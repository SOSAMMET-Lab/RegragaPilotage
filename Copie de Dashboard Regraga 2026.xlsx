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1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176f9a61a378a49/Bureau/RegragaAPP/"/>
    </mc:Choice>
  </mc:AlternateContent>
  <xr:revisionPtr revIDLastSave="307" documentId="8_{45C53728-B65F-4848-9D03-55735C676CF0}" xr6:coauthVersionLast="47" xr6:coauthVersionMax="47" xr10:uidLastSave="{53FCBE29-9788-475C-BD84-7B87C0B57767}"/>
  <bookViews>
    <workbookView xWindow="-120" yWindow="-120" windowWidth="20730" windowHeight="11310" tabRatio="821" xr2:uid="{00000000-000D-0000-FFFF-FFFF00000000}"/>
  </bookViews>
  <sheets>
    <sheet name="Dashboard" sheetId="1" r:id="rId1"/>
    <sheet name="tbl_Ventes" sheetId="2" r:id="rId2"/>
    <sheet name="tbl_Charges_Fixes" sheetId="3" r:id="rId3"/>
    <sheet name="tbl_Produits" sheetId="4" r:id="rId4"/>
    <sheet name="tbl_Recettes" sheetId="15" r:id="rId5"/>
    <sheet name="tbl_Stock" sheetId="6" r:id="rId6"/>
    <sheet name="tbl_Achats" sheetId="7" r:id="rId7"/>
    <sheet name="tbl_Sorties" sheetId="8" r:id="rId8"/>
    <sheet name="Référentiels" sheetId="9" r:id="rId9"/>
    <sheet name="tbl_PtDj&amp;Sup" sheetId="10" r:id="rId10"/>
    <sheet name="tbl_Taj&amp;Pla" sheetId="11" r:id="rId11"/>
    <sheet name="tbl_Snk&amp;Ita" sheetId="12" r:id="rId12"/>
    <sheet name="tbl_GaufCre&amp;Dsrt" sheetId="13" r:id="rId13"/>
    <sheet name="tbl_BoissonJus" sheetId="14" r:id="rId14"/>
  </sheets>
  <definedNames>
    <definedName name="DonnéesExternes_1" localSheetId="4" hidden="1">tbl_Recettes!$A$1:$F$976</definedName>
    <definedName name="Plage_BoissonJus" localSheetId="13">tbl_BoissonJus!$A$1:$F$181</definedName>
    <definedName name="Plage_GauffreCrepe" localSheetId="12">'tbl_GaufCre&amp;Dsrt'!$A$1:$F$198</definedName>
    <definedName name="Plage_Marocains" localSheetId="10">'tbl_Taj&amp;Pla'!$A$1:$F$345</definedName>
    <definedName name="Plage_PtiDej" localSheetId="9">'tbl_PtDj&amp;Sup'!$A$1:$F$168</definedName>
    <definedName name="Plage_Snack" localSheetId="11">'tbl_Snk&amp;Ita'!$A$1:$F$300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G4" i="1"/>
  <c r="B71" i="2"/>
  <c r="J2" i="4" a="1"/>
  <c r="J2" i="4"/>
  <c r="J3" i="4" a="1"/>
  <c r="J3" i="4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11" i="1"/>
  <c r="F4" i="1"/>
  <c r="G50" i="3"/>
  <c r="E48" i="3"/>
  <c r="F48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2" i="2"/>
  <c r="B94" i="14"/>
  <c r="C94" i="14"/>
  <c r="F94" i="14"/>
  <c r="B95" i="14"/>
  <c r="C95" i="14"/>
  <c r="F95" i="14"/>
  <c r="B93" i="14"/>
  <c r="C93" i="14"/>
  <c r="F93" i="14"/>
  <c r="S3" i="9"/>
  <c r="R3" i="9" s="1"/>
  <c r="S4" i="9"/>
  <c r="R4" i="9" s="1"/>
  <c r="S5" i="9"/>
  <c r="R5" i="9" s="1"/>
  <c r="S6" i="9"/>
  <c r="R6" i="9" s="1"/>
  <c r="S7" i="9"/>
  <c r="R7" i="9" s="1"/>
  <c r="S8" i="9"/>
  <c r="R8" i="9" s="1"/>
  <c r="S9" i="9"/>
  <c r="R9" i="9" s="1"/>
  <c r="S10" i="9"/>
  <c r="R10" i="9" s="1"/>
  <c r="S11" i="9"/>
  <c r="R11" i="9" s="1"/>
  <c r="S12" i="9"/>
  <c r="R12" i="9" s="1"/>
  <c r="S13" i="9"/>
  <c r="R13" i="9" s="1"/>
  <c r="S14" i="9"/>
  <c r="R14" i="9" s="1"/>
  <c r="S15" i="9"/>
  <c r="R15" i="9" s="1"/>
  <c r="S16" i="9"/>
  <c r="R16" i="9" s="1"/>
  <c r="S17" i="9"/>
  <c r="R17" i="9" s="1"/>
  <c r="S18" i="9"/>
  <c r="R18" i="9" s="1"/>
  <c r="S19" i="9"/>
  <c r="R19" i="9" s="1"/>
  <c r="S20" i="9"/>
  <c r="R20" i="9" s="1"/>
  <c r="S21" i="9"/>
  <c r="R21" i="9" s="1"/>
  <c r="S22" i="9"/>
  <c r="R22" i="9" s="1"/>
  <c r="S23" i="9"/>
  <c r="R23" i="9" s="1"/>
  <c r="S24" i="9"/>
  <c r="R24" i="9" s="1"/>
  <c r="S25" i="9"/>
  <c r="R25" i="9" s="1"/>
  <c r="S26" i="9"/>
  <c r="R26" i="9" s="1"/>
  <c r="S27" i="9"/>
  <c r="R27" i="9" s="1"/>
  <c r="S28" i="9"/>
  <c r="R28" i="9" s="1"/>
  <c r="S29" i="9"/>
  <c r="R29" i="9" s="1"/>
  <c r="S30" i="9"/>
  <c r="R30" i="9" s="1"/>
  <c r="S31" i="9"/>
  <c r="R31" i="9" s="1"/>
  <c r="S32" i="9"/>
  <c r="R32" i="9" s="1"/>
  <c r="S33" i="9"/>
  <c r="R33" i="9" s="1"/>
  <c r="S34" i="9"/>
  <c r="R34" i="9" s="1"/>
  <c r="S35" i="9"/>
  <c r="R35" i="9" s="1"/>
  <c r="S36" i="9"/>
  <c r="R36" i="9" s="1"/>
  <c r="S37" i="9"/>
  <c r="R37" i="9" s="1"/>
  <c r="S38" i="9"/>
  <c r="R38" i="9" s="1"/>
  <c r="S39" i="9"/>
  <c r="R39" i="9" s="1"/>
  <c r="S40" i="9"/>
  <c r="R40" i="9" s="1"/>
  <c r="S41" i="9"/>
  <c r="R41" i="9" s="1"/>
  <c r="S42" i="9"/>
  <c r="R42" i="9" s="1"/>
  <c r="S43" i="9"/>
  <c r="R43" i="9" s="1"/>
  <c r="S44" i="9"/>
  <c r="R44" i="9" s="1"/>
  <c r="S45" i="9"/>
  <c r="R45" i="9" s="1"/>
  <c r="S46" i="9"/>
  <c r="R46" i="9" s="1"/>
  <c r="S47" i="9"/>
  <c r="R47" i="9" s="1"/>
  <c r="S48" i="9"/>
  <c r="R48" i="9" s="1"/>
  <c r="S49" i="9"/>
  <c r="R49" i="9" s="1"/>
  <c r="S50" i="9"/>
  <c r="R50" i="9" s="1"/>
  <c r="S51" i="9"/>
  <c r="R51" i="9" s="1"/>
  <c r="S52" i="9"/>
  <c r="R52" i="9" s="1"/>
  <c r="S53" i="9"/>
  <c r="R53" i="9" s="1"/>
  <c r="S54" i="9"/>
  <c r="R54" i="9" s="1"/>
  <c r="S55" i="9"/>
  <c r="R55" i="9" s="1"/>
  <c r="S56" i="9"/>
  <c r="R56" i="9" s="1"/>
  <c r="S57" i="9"/>
  <c r="R57" i="9" s="1"/>
  <c r="S58" i="9"/>
  <c r="R58" i="9" s="1"/>
  <c r="S59" i="9"/>
  <c r="R59" i="9" s="1"/>
  <c r="S60" i="9"/>
  <c r="R60" i="9" s="1"/>
  <c r="S61" i="9"/>
  <c r="R61" i="9" s="1"/>
  <c r="S62" i="9"/>
  <c r="R62" i="9" s="1"/>
  <c r="S63" i="9"/>
  <c r="R63" i="9" s="1"/>
  <c r="S64" i="9"/>
  <c r="R64" i="9" s="1"/>
  <c r="S65" i="9"/>
  <c r="R65" i="9" s="1"/>
  <c r="S66" i="9"/>
  <c r="R66" i="9" s="1"/>
  <c r="S67" i="9"/>
  <c r="R67" i="9" s="1"/>
  <c r="S68" i="9"/>
  <c r="R68" i="9" s="1"/>
  <c r="S69" i="9"/>
  <c r="R69" i="9" s="1"/>
  <c r="S70" i="9"/>
  <c r="R70" i="9" s="1"/>
  <c r="S71" i="9"/>
  <c r="R71" i="9" s="1"/>
  <c r="S72" i="9"/>
  <c r="R72" i="9" s="1"/>
  <c r="S73" i="9"/>
  <c r="R73" i="9" s="1"/>
  <c r="S74" i="9"/>
  <c r="R74" i="9" s="1"/>
  <c r="S75" i="9"/>
  <c r="R75" i="9" s="1"/>
  <c r="S76" i="9"/>
  <c r="R76" i="9" s="1"/>
  <c r="S77" i="9"/>
  <c r="R77" i="9" s="1"/>
  <c r="S78" i="9"/>
  <c r="R78" i="9" s="1"/>
  <c r="S79" i="9"/>
  <c r="R79" i="9" s="1"/>
  <c r="S80" i="9"/>
  <c r="R80" i="9" s="1"/>
  <c r="S81" i="9"/>
  <c r="R81" i="9" s="1"/>
  <c r="S82" i="9"/>
  <c r="R82" i="9" s="1"/>
  <c r="S83" i="9"/>
  <c r="R83" i="9" s="1"/>
  <c r="S84" i="9"/>
  <c r="R84" i="9" s="1"/>
  <c r="S85" i="9"/>
  <c r="R85" i="9" s="1"/>
  <c r="S86" i="9"/>
  <c r="R86" i="9" s="1"/>
  <c r="S87" i="9"/>
  <c r="R87" i="9" s="1"/>
  <c r="S88" i="9"/>
  <c r="R88" i="9" s="1"/>
  <c r="S89" i="9"/>
  <c r="R89" i="9" s="1"/>
  <c r="S90" i="9"/>
  <c r="R90" i="9" s="1"/>
  <c r="S91" i="9"/>
  <c r="R91" i="9" s="1"/>
  <c r="S92" i="9"/>
  <c r="R92" i="9" s="1"/>
  <c r="S93" i="9"/>
  <c r="R93" i="9" s="1"/>
  <c r="S94" i="9"/>
  <c r="R94" i="9" s="1"/>
  <c r="S95" i="9"/>
  <c r="R95" i="9" s="1"/>
  <c r="S96" i="9"/>
  <c r="R96" i="9" s="1"/>
  <c r="S97" i="9"/>
  <c r="R97" i="9" s="1"/>
  <c r="S98" i="9"/>
  <c r="R98" i="9" s="1"/>
  <c r="S99" i="9"/>
  <c r="R99" i="9" s="1"/>
  <c r="S100" i="9"/>
  <c r="R100" i="9" s="1"/>
  <c r="S101" i="9"/>
  <c r="R101" i="9" s="1"/>
  <c r="S102" i="9"/>
  <c r="R102" i="9" s="1"/>
  <c r="S103" i="9"/>
  <c r="R103" i="9" s="1"/>
  <c r="S104" i="9"/>
  <c r="R104" i="9" s="1"/>
  <c r="S105" i="9"/>
  <c r="R105" i="9" s="1"/>
  <c r="S106" i="9"/>
  <c r="R106" i="9" s="1"/>
  <c r="S107" i="9"/>
  <c r="R107" i="9" s="1"/>
  <c r="S108" i="9"/>
  <c r="R108" i="9" s="1"/>
  <c r="S109" i="9"/>
  <c r="R109" i="9" s="1"/>
  <c r="S110" i="9"/>
  <c r="R110" i="9" s="1"/>
  <c r="S111" i="9"/>
  <c r="R111" i="9" s="1"/>
  <c r="S112" i="9"/>
  <c r="R112" i="9" s="1"/>
  <c r="S113" i="9"/>
  <c r="R113" i="9" s="1"/>
  <c r="S114" i="9"/>
  <c r="R114" i="9" s="1"/>
  <c r="S115" i="9"/>
  <c r="R115" i="9" s="1"/>
  <c r="S116" i="9"/>
  <c r="R116" i="9" s="1"/>
  <c r="S117" i="9"/>
  <c r="R117" i="9" s="1"/>
  <c r="S118" i="9"/>
  <c r="R118" i="9" s="1"/>
  <c r="S119" i="9"/>
  <c r="R119" i="9" s="1"/>
  <c r="S120" i="9"/>
  <c r="R120" i="9" s="1"/>
  <c r="S121" i="9"/>
  <c r="R121" i="9" s="1"/>
  <c r="S122" i="9"/>
  <c r="R122" i="9" s="1"/>
  <c r="S123" i="9"/>
  <c r="R123" i="9" s="1"/>
  <c r="S124" i="9"/>
  <c r="R124" i="9" s="1"/>
  <c r="S125" i="9"/>
  <c r="R125" i="9" s="1"/>
  <c r="S126" i="9"/>
  <c r="R126" i="9" s="1"/>
  <c r="S127" i="9"/>
  <c r="R127" i="9" s="1"/>
  <c r="S128" i="9"/>
  <c r="R128" i="9" s="1"/>
  <c r="S129" i="9"/>
  <c r="R129" i="9" s="1"/>
  <c r="S130" i="9"/>
  <c r="R130" i="9" s="1"/>
  <c r="S131" i="9"/>
  <c r="R131" i="9" s="1"/>
  <c r="S132" i="9"/>
  <c r="R132" i="9" s="1"/>
  <c r="S133" i="9"/>
  <c r="R133" i="9" s="1"/>
  <c r="S134" i="9"/>
  <c r="R134" i="9" s="1"/>
  <c r="S135" i="9"/>
  <c r="R135" i="9" s="1"/>
  <c r="S136" i="9"/>
  <c r="R136" i="9" s="1"/>
  <c r="S137" i="9"/>
  <c r="R137" i="9" s="1"/>
  <c r="S138" i="9"/>
  <c r="R138" i="9" s="1"/>
  <c r="S139" i="9"/>
  <c r="R139" i="9" s="1"/>
  <c r="S140" i="9"/>
  <c r="R140" i="9" s="1"/>
  <c r="S141" i="9"/>
  <c r="R141" i="9" s="1"/>
  <c r="S142" i="9"/>
  <c r="R142" i="9" s="1"/>
  <c r="S143" i="9"/>
  <c r="R143" i="9" s="1"/>
  <c r="S144" i="9"/>
  <c r="R144" i="9" s="1"/>
  <c r="S145" i="9"/>
  <c r="R145" i="9" s="1"/>
  <c r="S146" i="9"/>
  <c r="R146" i="9" s="1"/>
  <c r="S147" i="9"/>
  <c r="R147" i="9" s="1"/>
  <c r="S148" i="9"/>
  <c r="R148" i="9" s="1"/>
  <c r="S149" i="9"/>
  <c r="R149" i="9" s="1"/>
  <c r="S150" i="9"/>
  <c r="R150" i="9" s="1"/>
  <c r="S151" i="9"/>
  <c r="R151" i="9" s="1"/>
  <c r="S152" i="9"/>
  <c r="R152" i="9" s="1"/>
  <c r="S153" i="9"/>
  <c r="R153" i="9" s="1"/>
  <c r="S154" i="9"/>
  <c r="R154" i="9" s="1"/>
  <c r="S155" i="9"/>
  <c r="R155" i="9" s="1"/>
  <c r="S156" i="9"/>
  <c r="R156" i="9" s="1"/>
  <c r="S157" i="9"/>
  <c r="R157" i="9" s="1"/>
  <c r="S158" i="9"/>
  <c r="R158" i="9" s="1"/>
  <c r="S159" i="9"/>
  <c r="R159" i="9" s="1"/>
  <c r="S160" i="9"/>
  <c r="R160" i="9" s="1"/>
  <c r="S161" i="9"/>
  <c r="R161" i="9" s="1"/>
  <c r="S162" i="9"/>
  <c r="R162" i="9" s="1"/>
  <c r="S163" i="9"/>
  <c r="R163" i="9" s="1"/>
  <c r="S164" i="9"/>
  <c r="R164" i="9" s="1"/>
  <c r="S165" i="9"/>
  <c r="R165" i="9" s="1"/>
  <c r="S166" i="9"/>
  <c r="R166" i="9" s="1"/>
  <c r="S167" i="9"/>
  <c r="R167" i="9" s="1"/>
  <c r="S168" i="9"/>
  <c r="R168" i="9" s="1"/>
  <c r="S169" i="9"/>
  <c r="R169" i="9" s="1"/>
  <c r="S170" i="9"/>
  <c r="R170" i="9" s="1"/>
  <c r="S171" i="9"/>
  <c r="R171" i="9" s="1"/>
  <c r="S172" i="9"/>
  <c r="R172" i="9" s="1"/>
  <c r="S173" i="9"/>
  <c r="R173" i="9" s="1"/>
  <c r="S174" i="9"/>
  <c r="R174" i="9" s="1"/>
  <c r="S175" i="9"/>
  <c r="R175" i="9" s="1"/>
  <c r="S176" i="9"/>
  <c r="R176" i="9" s="1"/>
  <c r="S177" i="9"/>
  <c r="R177" i="9" s="1"/>
  <c r="S178" i="9"/>
  <c r="R178" i="9" s="1"/>
  <c r="S179" i="9"/>
  <c r="R179" i="9" s="1"/>
  <c r="S180" i="9"/>
  <c r="R180" i="9" s="1"/>
  <c r="S181" i="9"/>
  <c r="R181" i="9" s="1"/>
  <c r="S182" i="9"/>
  <c r="R182" i="9" s="1"/>
  <c r="S183" i="9"/>
  <c r="R183" i="9" s="1"/>
  <c r="S184" i="9"/>
  <c r="R184" i="9" s="1"/>
  <c r="S185" i="9"/>
  <c r="R185" i="9" s="1"/>
  <c r="S186" i="9"/>
  <c r="R186" i="9" s="1"/>
  <c r="S187" i="9"/>
  <c r="R187" i="9" s="1"/>
  <c r="S188" i="9"/>
  <c r="R188" i="9" s="1"/>
  <c r="S189" i="9"/>
  <c r="R189" i="9" s="1"/>
  <c r="S190" i="9"/>
  <c r="R190" i="9" s="1"/>
  <c r="S191" i="9"/>
  <c r="R191" i="9" s="1"/>
  <c r="S192" i="9"/>
  <c r="R192" i="9" s="1"/>
  <c r="S193" i="9"/>
  <c r="R193" i="9" s="1"/>
  <c r="S194" i="9"/>
  <c r="R194" i="9" s="1"/>
  <c r="S195" i="9"/>
  <c r="R195" i="9" s="1"/>
  <c r="S196" i="9"/>
  <c r="R196" i="9" s="1"/>
  <c r="S197" i="9"/>
  <c r="R197" i="9" s="1"/>
  <c r="S198" i="9"/>
  <c r="R198" i="9" s="1"/>
  <c r="S199" i="9"/>
  <c r="R199" i="9" s="1"/>
  <c r="S200" i="9"/>
  <c r="R200" i="9" s="1"/>
  <c r="S201" i="9"/>
  <c r="R201" i="9" s="1"/>
  <c r="S202" i="9"/>
  <c r="R202" i="9" s="1"/>
  <c r="S203" i="9"/>
  <c r="R203" i="9" s="1"/>
  <c r="S204" i="9"/>
  <c r="R204" i="9" s="1"/>
  <c r="S205" i="9"/>
  <c r="R205" i="9" s="1"/>
  <c r="S206" i="9"/>
  <c r="R206" i="9" s="1"/>
  <c r="S207" i="9"/>
  <c r="R207" i="9" s="1"/>
  <c r="S208" i="9"/>
  <c r="R208" i="9" s="1"/>
  <c r="S209" i="9"/>
  <c r="R209" i="9" s="1"/>
  <c r="S210" i="9"/>
  <c r="R210" i="9" s="1"/>
  <c r="S211" i="9"/>
  <c r="R211" i="9" s="1"/>
  <c r="S212" i="9"/>
  <c r="R212" i="9" s="1"/>
  <c r="S213" i="9"/>
  <c r="R213" i="9" s="1"/>
  <c r="S214" i="9"/>
  <c r="R214" i="9" s="1"/>
  <c r="S215" i="9"/>
  <c r="R215" i="9" s="1"/>
  <c r="S216" i="9"/>
  <c r="R216" i="9" s="1"/>
  <c r="S217" i="9"/>
  <c r="R217" i="9" s="1"/>
  <c r="S218" i="9"/>
  <c r="R218" i="9" s="1"/>
  <c r="S219" i="9"/>
  <c r="R219" i="9" s="1"/>
  <c r="S220" i="9"/>
  <c r="R220" i="9" s="1"/>
  <c r="S221" i="9"/>
  <c r="R221" i="9" s="1"/>
  <c r="S222" i="9"/>
  <c r="R222" i="9" s="1"/>
  <c r="S223" i="9"/>
  <c r="R223" i="9" s="1"/>
  <c r="S224" i="9"/>
  <c r="R224" i="9" s="1"/>
  <c r="S225" i="9"/>
  <c r="R225" i="9" s="1"/>
  <c r="S226" i="9"/>
  <c r="R226" i="9" s="1"/>
  <c r="S227" i="9"/>
  <c r="R227" i="9" s="1"/>
  <c r="S228" i="9"/>
  <c r="R228" i="9" s="1"/>
  <c r="S229" i="9"/>
  <c r="R229" i="9" s="1"/>
  <c r="S230" i="9"/>
  <c r="R230" i="9" s="1"/>
  <c r="S231" i="9"/>
  <c r="R231" i="9" s="1"/>
  <c r="S232" i="9"/>
  <c r="R232" i="9" s="1"/>
  <c r="S233" i="9"/>
  <c r="R233" i="9" s="1"/>
  <c r="S234" i="9"/>
  <c r="R234" i="9" s="1"/>
  <c r="S235" i="9"/>
  <c r="R235" i="9" s="1"/>
  <c r="S236" i="9"/>
  <c r="R236" i="9" s="1"/>
  <c r="S237" i="9"/>
  <c r="R237" i="9" s="1"/>
  <c r="S238" i="9"/>
  <c r="R238" i="9" s="1"/>
  <c r="S239" i="9"/>
  <c r="R239" i="9" s="1"/>
  <c r="S240" i="9"/>
  <c r="R240" i="9" s="1"/>
  <c r="S241" i="9"/>
  <c r="R241" i="9" s="1"/>
  <c r="S242" i="9"/>
  <c r="R242" i="9" s="1"/>
  <c r="S243" i="9"/>
  <c r="R243" i="9" s="1"/>
  <c r="S244" i="9"/>
  <c r="R244" i="9" s="1"/>
  <c r="S245" i="9"/>
  <c r="R245" i="9" s="1"/>
  <c r="S246" i="9"/>
  <c r="R246" i="9" s="1"/>
  <c r="S247" i="9"/>
  <c r="R247" i="9" s="1"/>
  <c r="S248" i="9"/>
  <c r="R248" i="9" s="1"/>
  <c r="S249" i="9"/>
  <c r="R249" i="9" s="1"/>
  <c r="S250" i="9"/>
  <c r="R250" i="9" s="1"/>
  <c r="S251" i="9"/>
  <c r="R251" i="9" s="1"/>
  <c r="S252" i="9"/>
  <c r="R252" i="9" s="1"/>
  <c r="S253" i="9"/>
  <c r="R253" i="9" s="1"/>
  <c r="S254" i="9"/>
  <c r="R254" i="9" s="1"/>
  <c r="S255" i="9"/>
  <c r="R255" i="9" s="1"/>
  <c r="S256" i="9"/>
  <c r="R256" i="9" s="1"/>
  <c r="S257" i="9"/>
  <c r="R257" i="9" s="1"/>
  <c r="S258" i="9"/>
  <c r="R258" i="9" s="1"/>
  <c r="S259" i="9"/>
  <c r="R259" i="9" s="1"/>
  <c r="S260" i="9"/>
  <c r="R260" i="9" s="1"/>
  <c r="S261" i="9"/>
  <c r="R261" i="9" s="1"/>
  <c r="S262" i="9"/>
  <c r="R262" i="9" s="1"/>
  <c r="S263" i="9"/>
  <c r="R263" i="9" s="1"/>
  <c r="S264" i="9"/>
  <c r="R264" i="9" s="1"/>
  <c r="S265" i="9"/>
  <c r="R265" i="9" s="1"/>
  <c r="S266" i="9"/>
  <c r="R266" i="9" s="1"/>
  <c r="S267" i="9"/>
  <c r="R267" i="9" s="1"/>
  <c r="S2" i="9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" i="6"/>
  <c r="D31" i="4"/>
  <c r="D57" i="4"/>
  <c r="D165" i="4"/>
  <c r="D166" i="4"/>
  <c r="D167" i="4"/>
  <c r="D222" i="4"/>
  <c r="D223" i="4"/>
  <c r="D229" i="4"/>
  <c r="D230" i="4"/>
  <c r="D237" i="4"/>
  <c r="J4" i="4" a="1"/>
  <c r="J4" i="4"/>
  <c r="J5" i="4" a="1"/>
  <c r="J5" i="4"/>
  <c r="J6" i="4" a="1"/>
  <c r="J6" i="4"/>
  <c r="J7" i="4" a="1"/>
  <c r="J7" i="4"/>
  <c r="J8" i="4" a="1"/>
  <c r="J8" i="4"/>
  <c r="J9" i="4" a="1"/>
  <c r="J9" i="4"/>
  <c r="J10" i="4" a="1"/>
  <c r="J10" i="4"/>
  <c r="J11" i="4" a="1"/>
  <c r="J11" i="4"/>
  <c r="J12" i="4" a="1"/>
  <c r="J12" i="4"/>
  <c r="J13" i="4" a="1"/>
  <c r="J13" i="4"/>
  <c r="J14" i="4" a="1"/>
  <c r="J14" i="4"/>
  <c r="J15" i="4" a="1"/>
  <c r="J15" i="4"/>
  <c r="J16" i="4" a="1"/>
  <c r="J16" i="4"/>
  <c r="J17" i="4" a="1"/>
  <c r="J17" i="4"/>
  <c r="J18" i="4" a="1"/>
  <c r="J18" i="4"/>
  <c r="J19" i="4" a="1"/>
  <c r="J19" i="4"/>
  <c r="J20" i="4" a="1"/>
  <c r="J20" i="4"/>
  <c r="J21" i="4" a="1"/>
  <c r="J21" i="4"/>
  <c r="J22" i="4" a="1"/>
  <c r="J22" i="4"/>
  <c r="J23" i="4" a="1"/>
  <c r="J23" i="4"/>
  <c r="J24" i="4" a="1"/>
  <c r="J24" i="4"/>
  <c r="J25" i="4" a="1"/>
  <c r="J25" i="4"/>
  <c r="J26" i="4" a="1"/>
  <c r="J26" i="4"/>
  <c r="J27" i="4" a="1"/>
  <c r="J27" i="4"/>
  <c r="J28" i="4" a="1"/>
  <c r="J28" i="4"/>
  <c r="J29" i="4" a="1"/>
  <c r="J29" i="4"/>
  <c r="J30" i="4" a="1"/>
  <c r="J30" i="4"/>
  <c r="J31" i="4" a="1"/>
  <c r="J31" i="4"/>
  <c r="J32" i="4" a="1"/>
  <c r="J32" i="4"/>
  <c r="J33" i="4" a="1"/>
  <c r="J33" i="4"/>
  <c r="J34" i="4" a="1"/>
  <c r="J34" i="4"/>
  <c r="J35" i="4" a="1"/>
  <c r="J35" i="4"/>
  <c r="J36" i="4" a="1"/>
  <c r="J36" i="4"/>
  <c r="J37" i="4" a="1"/>
  <c r="J37" i="4"/>
  <c r="J38" i="4" a="1"/>
  <c r="J38" i="4"/>
  <c r="J39" i="4" a="1"/>
  <c r="J39" i="4"/>
  <c r="J40" i="4" a="1"/>
  <c r="J40" i="4"/>
  <c r="J41" i="4" a="1"/>
  <c r="J41" i="4"/>
  <c r="J42" i="4" a="1"/>
  <c r="J42" i="4"/>
  <c r="J43" i="4" a="1"/>
  <c r="J43" i="4"/>
  <c r="J44" i="4" a="1"/>
  <c r="J44" i="4"/>
  <c r="J45" i="4" a="1"/>
  <c r="J45" i="4"/>
  <c r="J46" i="4" a="1"/>
  <c r="J46" i="4"/>
  <c r="J47" i="4" a="1"/>
  <c r="J47" i="4"/>
  <c r="J48" i="4" a="1"/>
  <c r="J48" i="4"/>
  <c r="J49" i="4" a="1"/>
  <c r="J49" i="4"/>
  <c r="J50" i="4" a="1"/>
  <c r="J50" i="4"/>
  <c r="J51" i="4" a="1"/>
  <c r="J51" i="4"/>
  <c r="J52" i="4" a="1"/>
  <c r="J52" i="4"/>
  <c r="J53" i="4" a="1"/>
  <c r="J53" i="4"/>
  <c r="J54" i="4" a="1"/>
  <c r="J54" i="4"/>
  <c r="J55" i="4" a="1"/>
  <c r="J55" i="4"/>
  <c r="J56" i="4" a="1"/>
  <c r="J56" i="4"/>
  <c r="J57" i="4" a="1"/>
  <c r="J57" i="4"/>
  <c r="J58" i="4" a="1"/>
  <c r="J58" i="4"/>
  <c r="J59" i="4" a="1"/>
  <c r="J59" i="4"/>
  <c r="J60" i="4" a="1"/>
  <c r="J60" i="4"/>
  <c r="J61" i="4" a="1"/>
  <c r="J61" i="4"/>
  <c r="J62" i="4" a="1"/>
  <c r="J62" i="4"/>
  <c r="J63" i="4" a="1"/>
  <c r="J63" i="4"/>
  <c r="J64" i="4" a="1"/>
  <c r="J64" i="4"/>
  <c r="J65" i="4" a="1"/>
  <c r="J65" i="4"/>
  <c r="J66" i="4" a="1"/>
  <c r="J66" i="4"/>
  <c r="J67" i="4" a="1"/>
  <c r="J67" i="4"/>
  <c r="J68" i="4" a="1"/>
  <c r="J68" i="4"/>
  <c r="J69" i="4" a="1"/>
  <c r="J69" i="4"/>
  <c r="J70" i="4" a="1"/>
  <c r="J70" i="4"/>
  <c r="J71" i="4" a="1"/>
  <c r="J71" i="4"/>
  <c r="J72" i="4" a="1"/>
  <c r="J72" i="4"/>
  <c r="J73" i="4" a="1"/>
  <c r="J73" i="4"/>
  <c r="J74" i="4" a="1"/>
  <c r="J74" i="4"/>
  <c r="J75" i="4" a="1"/>
  <c r="J75" i="4"/>
  <c r="J76" i="4" a="1"/>
  <c r="J76" i="4"/>
  <c r="J77" i="4" a="1"/>
  <c r="J77" i="4"/>
  <c r="J78" i="4" a="1"/>
  <c r="J78" i="4"/>
  <c r="J79" i="4" a="1"/>
  <c r="J79" i="4"/>
  <c r="J80" i="4" a="1"/>
  <c r="J80" i="4"/>
  <c r="J81" i="4" a="1"/>
  <c r="J81" i="4"/>
  <c r="J82" i="4" a="1"/>
  <c r="J82" i="4"/>
  <c r="J83" i="4" a="1"/>
  <c r="J83" i="4"/>
  <c r="J84" i="4" a="1"/>
  <c r="J84" i="4"/>
  <c r="J85" i="4" a="1"/>
  <c r="J85" i="4"/>
  <c r="J86" i="4" a="1"/>
  <c r="J86" i="4"/>
  <c r="J87" i="4" a="1"/>
  <c r="J87" i="4"/>
  <c r="J88" i="4" a="1"/>
  <c r="J88" i="4"/>
  <c r="J89" i="4" a="1"/>
  <c r="J89" i="4"/>
  <c r="J90" i="4" a="1"/>
  <c r="J90" i="4"/>
  <c r="J91" i="4" a="1"/>
  <c r="J91" i="4"/>
  <c r="J92" i="4" a="1"/>
  <c r="J92" i="4"/>
  <c r="J93" i="4" a="1"/>
  <c r="J93" i="4"/>
  <c r="J94" i="4" a="1"/>
  <c r="J94" i="4"/>
  <c r="J95" i="4" a="1"/>
  <c r="J95" i="4"/>
  <c r="J96" i="4" a="1"/>
  <c r="J96" i="4"/>
  <c r="J97" i="4" a="1"/>
  <c r="J97" i="4"/>
  <c r="J98" i="4" a="1"/>
  <c r="J98" i="4"/>
  <c r="J99" i="4" a="1"/>
  <c r="J99" i="4"/>
  <c r="J100" i="4" a="1"/>
  <c r="J100" i="4"/>
  <c r="J101" i="4" a="1"/>
  <c r="J101" i="4"/>
  <c r="J102" i="4" a="1"/>
  <c r="J102" i="4"/>
  <c r="J103" i="4" a="1"/>
  <c r="J103" i="4"/>
  <c r="J104" i="4" a="1"/>
  <c r="J104" i="4"/>
  <c r="J105" i="4" a="1"/>
  <c r="J105" i="4"/>
  <c r="J106" i="4" a="1"/>
  <c r="J106" i="4"/>
  <c r="J107" i="4" a="1"/>
  <c r="J107" i="4"/>
  <c r="J108" i="4" a="1"/>
  <c r="J108" i="4"/>
  <c r="J109" i="4" a="1"/>
  <c r="J109" i="4"/>
  <c r="J110" i="4" a="1"/>
  <c r="J110" i="4"/>
  <c r="J111" i="4" a="1"/>
  <c r="J111" i="4"/>
  <c r="J112" i="4" a="1"/>
  <c r="J112" i="4"/>
  <c r="J113" i="4" a="1"/>
  <c r="J113" i="4"/>
  <c r="J114" i="4" a="1"/>
  <c r="J114" i="4"/>
  <c r="J115" i="4" a="1"/>
  <c r="J115" i="4"/>
  <c r="J116" i="4" a="1"/>
  <c r="J116" i="4"/>
  <c r="J117" i="4" a="1"/>
  <c r="J117" i="4"/>
  <c r="J118" i="4" a="1"/>
  <c r="J118" i="4"/>
  <c r="J119" i="4" a="1"/>
  <c r="J119" i="4"/>
  <c r="J120" i="4" a="1"/>
  <c r="J120" i="4"/>
  <c r="J121" i="4" a="1"/>
  <c r="J121" i="4"/>
  <c r="J122" i="4" a="1"/>
  <c r="J122" i="4"/>
  <c r="J123" i="4" a="1"/>
  <c r="J123" i="4"/>
  <c r="J124" i="4" a="1"/>
  <c r="J124" i="4"/>
  <c r="J125" i="4" a="1"/>
  <c r="J125" i="4"/>
  <c r="J126" i="4" a="1"/>
  <c r="J126" i="4"/>
  <c r="J127" i="4" a="1"/>
  <c r="J127" i="4"/>
  <c r="J128" i="4" a="1"/>
  <c r="J128" i="4"/>
  <c r="J129" i="4" a="1"/>
  <c r="J129" i="4"/>
  <c r="J130" i="4" a="1"/>
  <c r="J130" i="4"/>
  <c r="J131" i="4" a="1"/>
  <c r="J131" i="4"/>
  <c r="J132" i="4" a="1"/>
  <c r="J132" i="4"/>
  <c r="J133" i="4" a="1"/>
  <c r="J133" i="4"/>
  <c r="J134" i="4" a="1"/>
  <c r="J134" i="4"/>
  <c r="J135" i="4" a="1"/>
  <c r="J135" i="4"/>
  <c r="J136" i="4" a="1"/>
  <c r="J136" i="4"/>
  <c r="J137" i="4" a="1"/>
  <c r="J137" i="4"/>
  <c r="J138" i="4" a="1"/>
  <c r="J138" i="4"/>
  <c r="J139" i="4" a="1"/>
  <c r="J139" i="4"/>
  <c r="J140" i="4" a="1"/>
  <c r="J140" i="4"/>
  <c r="J141" i="4" a="1"/>
  <c r="J141" i="4"/>
  <c r="J142" i="4" a="1"/>
  <c r="J142" i="4"/>
  <c r="J143" i="4" a="1"/>
  <c r="J143" i="4"/>
  <c r="J144" i="4" a="1"/>
  <c r="J144" i="4"/>
  <c r="J145" i="4" a="1"/>
  <c r="J145" i="4"/>
  <c r="J146" i="4" a="1"/>
  <c r="J146" i="4"/>
  <c r="J147" i="4" a="1"/>
  <c r="J147" i="4"/>
  <c r="J148" i="4" a="1"/>
  <c r="J148" i="4"/>
  <c r="J149" i="4" a="1"/>
  <c r="J149" i="4"/>
  <c r="J150" i="4" a="1"/>
  <c r="J150" i="4"/>
  <c r="J151" i="4" a="1"/>
  <c r="J151" i="4"/>
  <c r="J152" i="4" a="1"/>
  <c r="J152" i="4"/>
  <c r="J153" i="4" a="1"/>
  <c r="J153" i="4"/>
  <c r="J154" i="4" a="1"/>
  <c r="J154" i="4"/>
  <c r="J155" i="4" a="1"/>
  <c r="J155" i="4"/>
  <c r="J156" i="4" a="1"/>
  <c r="J156" i="4"/>
  <c r="J157" i="4" a="1"/>
  <c r="J157" i="4"/>
  <c r="J158" i="4" a="1"/>
  <c r="J158" i="4"/>
  <c r="J159" i="4" a="1"/>
  <c r="J159" i="4"/>
  <c r="J160" i="4" a="1"/>
  <c r="J160" i="4"/>
  <c r="J161" i="4" a="1"/>
  <c r="J161" i="4"/>
  <c r="J162" i="4" a="1"/>
  <c r="J162" i="4"/>
  <c r="J163" i="4" a="1"/>
  <c r="J163" i="4"/>
  <c r="J164" i="4" a="1"/>
  <c r="J164" i="4"/>
  <c r="J165" i="4" a="1"/>
  <c r="J165" i="4"/>
  <c r="J166" i="4" a="1"/>
  <c r="J166" i="4"/>
  <c r="J167" i="4" a="1"/>
  <c r="J167" i="4"/>
  <c r="J168" i="4" a="1"/>
  <c r="J168" i="4"/>
  <c r="J169" i="4" a="1"/>
  <c r="J169" i="4"/>
  <c r="J170" i="4" a="1"/>
  <c r="J170" i="4"/>
  <c r="J171" i="4" a="1"/>
  <c r="J171" i="4"/>
  <c r="J172" i="4" a="1"/>
  <c r="J172" i="4"/>
  <c r="J173" i="4" a="1"/>
  <c r="J173" i="4"/>
  <c r="J174" i="4" a="1"/>
  <c r="J174" i="4"/>
  <c r="J175" i="4" a="1"/>
  <c r="J175" i="4"/>
  <c r="J176" i="4" a="1"/>
  <c r="J176" i="4"/>
  <c r="J177" i="4" a="1"/>
  <c r="J177" i="4"/>
  <c r="J178" i="4" a="1"/>
  <c r="J178" i="4"/>
  <c r="J179" i="4" a="1"/>
  <c r="J179" i="4"/>
  <c r="J180" i="4" a="1"/>
  <c r="J180" i="4"/>
  <c r="J181" i="4" a="1"/>
  <c r="J181" i="4"/>
  <c r="J182" i="4" a="1"/>
  <c r="J182" i="4"/>
  <c r="J183" i="4" a="1"/>
  <c r="J183" i="4"/>
  <c r="J184" i="4" a="1"/>
  <c r="J184" i="4"/>
  <c r="J185" i="4" a="1"/>
  <c r="J185" i="4"/>
  <c r="J186" i="4" a="1"/>
  <c r="J186" i="4"/>
  <c r="J187" i="4" a="1"/>
  <c r="J187" i="4"/>
  <c r="J188" i="4" a="1"/>
  <c r="J188" i="4"/>
  <c r="J189" i="4" a="1"/>
  <c r="J189" i="4"/>
  <c r="J190" i="4" a="1"/>
  <c r="J190" i="4"/>
  <c r="J191" i="4" a="1"/>
  <c r="J191" i="4"/>
  <c r="J192" i="4" a="1"/>
  <c r="J192" i="4"/>
  <c r="J193" i="4" a="1"/>
  <c r="J193" i="4"/>
  <c r="J194" i="4" a="1"/>
  <c r="J194" i="4"/>
  <c r="J195" i="4" a="1"/>
  <c r="J195" i="4"/>
  <c r="J196" i="4" a="1"/>
  <c r="J196" i="4"/>
  <c r="J197" i="4" a="1"/>
  <c r="J197" i="4"/>
  <c r="J198" i="4" a="1"/>
  <c r="J198" i="4"/>
  <c r="J199" i="4" a="1"/>
  <c r="J199" i="4"/>
  <c r="J200" i="4" a="1"/>
  <c r="J200" i="4"/>
  <c r="J201" i="4" a="1"/>
  <c r="J201" i="4"/>
  <c r="J202" i="4" a="1"/>
  <c r="J202" i="4"/>
  <c r="J203" i="4" a="1"/>
  <c r="J203" i="4"/>
  <c r="J204" i="4" a="1"/>
  <c r="J204" i="4"/>
  <c r="J205" i="4" a="1"/>
  <c r="J205" i="4"/>
  <c r="J206" i="4" a="1"/>
  <c r="J206" i="4"/>
  <c r="J207" i="4" a="1"/>
  <c r="J207" i="4"/>
  <c r="J208" i="4" a="1"/>
  <c r="J208" i="4"/>
  <c r="J209" i="4" a="1"/>
  <c r="J209" i="4"/>
  <c r="J210" i="4" a="1"/>
  <c r="J210" i="4"/>
  <c r="J211" i="4" a="1"/>
  <c r="J211" i="4"/>
  <c r="J212" i="4" a="1"/>
  <c r="J212" i="4"/>
  <c r="J213" i="4" a="1"/>
  <c r="J213" i="4"/>
  <c r="J214" i="4" a="1"/>
  <c r="J214" i="4"/>
  <c r="J215" i="4" a="1"/>
  <c r="J215" i="4"/>
  <c r="J216" i="4" a="1"/>
  <c r="J216" i="4"/>
  <c r="J217" i="4" a="1"/>
  <c r="J217" i="4"/>
  <c r="J218" i="4" a="1"/>
  <c r="J218" i="4"/>
  <c r="J219" i="4" a="1"/>
  <c r="J219" i="4"/>
  <c r="J220" i="4" a="1"/>
  <c r="J220" i="4"/>
  <c r="J221" i="4" a="1"/>
  <c r="J221" i="4"/>
  <c r="J222" i="4" a="1"/>
  <c r="J222" i="4"/>
  <c r="J223" i="4" a="1"/>
  <c r="J223" i="4"/>
  <c r="J224" i="4" a="1"/>
  <c r="J224" i="4"/>
  <c r="J225" i="4" a="1"/>
  <c r="J225" i="4"/>
  <c r="J226" i="4" a="1"/>
  <c r="J226" i="4"/>
  <c r="J227" i="4" a="1"/>
  <c r="J227" i="4"/>
  <c r="J228" i="4" a="1"/>
  <c r="J228" i="4"/>
  <c r="J229" i="4" a="1"/>
  <c r="J229" i="4"/>
  <c r="J230" i="4" a="1"/>
  <c r="J230" i="4"/>
  <c r="J231" i="4" a="1"/>
  <c r="J231" i="4"/>
  <c r="J232" i="4" a="1"/>
  <c r="J232" i="4"/>
  <c r="J233" i="4" a="1"/>
  <c r="J233" i="4"/>
  <c r="J234" i="4" a="1"/>
  <c r="J234" i="4"/>
  <c r="J235" i="4" a="1"/>
  <c r="J235" i="4"/>
  <c r="J236" i="4" a="1"/>
  <c r="J236" i="4"/>
  <c r="J237" i="4" a="1"/>
  <c r="J237" i="4"/>
  <c r="J238" i="4" a="1"/>
  <c r="J238" i="4"/>
  <c r="J239" i="4" a="1"/>
  <c r="J239" i="4"/>
  <c r="J240" i="4" a="1"/>
  <c r="J240" i="4"/>
  <c r="J241" i="4" a="1"/>
  <c r="J241" i="4"/>
  <c r="J242" i="4" a="1"/>
  <c r="J242" i="4"/>
  <c r="J243" i="4" a="1"/>
  <c r="J243" i="4"/>
  <c r="J244" i="4" a="1"/>
  <c r="J244" i="4"/>
  <c r="J245" i="4" a="1"/>
  <c r="J245" i="4"/>
  <c r="J246" i="4" a="1"/>
  <c r="J246" i="4"/>
  <c r="J247" i="4" a="1"/>
  <c r="J247" i="4"/>
  <c r="J248" i="4" a="1"/>
  <c r="J248" i="4"/>
  <c r="J249" i="4" a="1"/>
  <c r="J249" i="4"/>
  <c r="J250" i="4" a="1"/>
  <c r="J250" i="4"/>
  <c r="J251" i="4" a="1"/>
  <c r="J251" i="4"/>
  <c r="J252" i="4" a="1"/>
  <c r="J252" i="4"/>
  <c r="J253" i="4" a="1"/>
  <c r="J253" i="4"/>
  <c r="J254" i="4" a="1"/>
  <c r="J254" i="4"/>
  <c r="J255" i="4" a="1"/>
  <c r="J255" i="4"/>
  <c r="J256" i="4" a="1"/>
  <c r="J256" i="4"/>
  <c r="J257" i="4" a="1"/>
  <c r="J257" i="4"/>
  <c r="J258" i="4" a="1"/>
  <c r="J258" i="4"/>
  <c r="J259" i="4" a="1"/>
  <c r="J259" i="4"/>
  <c r="J260" i="4" a="1"/>
  <c r="J260" i="4"/>
  <c r="J261" i="4" a="1"/>
  <c r="J261" i="4"/>
  <c r="J262" i="4" a="1"/>
  <c r="J262" i="4"/>
  <c r="J263" i="4" a="1"/>
  <c r="J263" i="4"/>
  <c r="J264" i="4" a="1"/>
  <c r="J264" i="4"/>
  <c r="J265" i="4" a="1"/>
  <c r="J265" i="4"/>
  <c r="J266" i="4" a="1"/>
  <c r="J266" i="4"/>
  <c r="J267" i="4" a="1"/>
  <c r="J267" i="4"/>
  <c r="J268" i="4" a="1"/>
  <c r="J268" i="4"/>
  <c r="J269" i="4" a="1"/>
  <c r="J269" i="4"/>
  <c r="J270" i="4" a="1"/>
  <c r="J270" i="4"/>
  <c r="J271" i="4" a="1"/>
  <c r="J271" i="4"/>
  <c r="J272" i="4" a="1"/>
  <c r="J272" i="4"/>
  <c r="J273" i="4" a="1"/>
  <c r="J273" i="4"/>
  <c r="J274" i="4" a="1"/>
  <c r="J274" i="4"/>
  <c r="J275" i="4" a="1"/>
  <c r="J275" i="4"/>
  <c r="J276" i="4" a="1"/>
  <c r="J276" i="4"/>
  <c r="A2" i="8"/>
  <c r="A276" i="9"/>
  <c r="A275" i="9"/>
  <c r="A274" i="9"/>
  <c r="A273" i="9"/>
  <c r="A272" i="9"/>
  <c r="A271" i="9"/>
  <c r="A270" i="9"/>
  <c r="A269" i="9"/>
  <c r="A268" i="9"/>
  <c r="D267" i="9"/>
  <c r="A267" i="9"/>
  <c r="D266" i="9"/>
  <c r="A266" i="9"/>
  <c r="D265" i="9"/>
  <c r="A265" i="9"/>
  <c r="D264" i="9"/>
  <c r="A264" i="9"/>
  <c r="D263" i="9"/>
  <c r="A263" i="9"/>
  <c r="D262" i="9"/>
  <c r="A262" i="9"/>
  <c r="D261" i="9"/>
  <c r="A261" i="9"/>
  <c r="D260" i="9"/>
  <c r="A260" i="9"/>
  <c r="D259" i="9"/>
  <c r="A259" i="9"/>
  <c r="D258" i="9"/>
  <c r="A258" i="9"/>
  <c r="D257" i="9"/>
  <c r="A257" i="9"/>
  <c r="D256" i="9"/>
  <c r="A256" i="9"/>
  <c r="D255" i="9"/>
  <c r="A255" i="9"/>
  <c r="D254" i="9"/>
  <c r="A254" i="9"/>
  <c r="D253" i="9"/>
  <c r="A253" i="9"/>
  <c r="D252" i="9"/>
  <c r="A252" i="9"/>
  <c r="D251" i="9"/>
  <c r="A251" i="9"/>
  <c r="D250" i="9"/>
  <c r="A250" i="9"/>
  <c r="D249" i="9"/>
  <c r="A249" i="9"/>
  <c r="D248" i="9"/>
  <c r="A248" i="9"/>
  <c r="D247" i="9"/>
  <c r="A247" i="9"/>
  <c r="D246" i="9"/>
  <c r="A246" i="9"/>
  <c r="D245" i="9"/>
  <c r="A245" i="9"/>
  <c r="D244" i="9"/>
  <c r="A244" i="9"/>
  <c r="D243" i="9"/>
  <c r="A243" i="9"/>
  <c r="D242" i="9"/>
  <c r="A242" i="9"/>
  <c r="D241" i="9"/>
  <c r="A241" i="9"/>
  <c r="D240" i="9"/>
  <c r="A240" i="9"/>
  <c r="D239" i="9"/>
  <c r="A239" i="9"/>
  <c r="D238" i="9"/>
  <c r="A238" i="9"/>
  <c r="D237" i="9"/>
  <c r="A237" i="9"/>
  <c r="D236" i="9"/>
  <c r="A236" i="9"/>
  <c r="D235" i="9"/>
  <c r="A235" i="9"/>
  <c r="D234" i="9"/>
  <c r="A234" i="9"/>
  <c r="D233" i="9"/>
  <c r="A233" i="9"/>
  <c r="D232" i="9"/>
  <c r="A232" i="9"/>
  <c r="D231" i="9"/>
  <c r="A231" i="9"/>
  <c r="D230" i="9"/>
  <c r="A230" i="9"/>
  <c r="D229" i="9"/>
  <c r="A229" i="9"/>
  <c r="D228" i="9"/>
  <c r="A228" i="9"/>
  <c r="D227" i="9"/>
  <c r="A227" i="9"/>
  <c r="D226" i="9"/>
  <c r="A226" i="9"/>
  <c r="D225" i="9"/>
  <c r="A225" i="9"/>
  <c r="D224" i="9"/>
  <c r="A224" i="9"/>
  <c r="D223" i="9"/>
  <c r="A223" i="9"/>
  <c r="D222" i="9"/>
  <c r="A222" i="9"/>
  <c r="D221" i="9"/>
  <c r="A221" i="9"/>
  <c r="D220" i="9"/>
  <c r="A220" i="9"/>
  <c r="D219" i="9"/>
  <c r="A219" i="9"/>
  <c r="D218" i="9"/>
  <c r="A218" i="9"/>
  <c r="D217" i="9"/>
  <c r="A217" i="9"/>
  <c r="D216" i="9"/>
  <c r="A216" i="9"/>
  <c r="D215" i="9"/>
  <c r="A215" i="9"/>
  <c r="D214" i="9"/>
  <c r="A214" i="9"/>
  <c r="D213" i="9"/>
  <c r="A213" i="9"/>
  <c r="D212" i="9"/>
  <c r="A212" i="9"/>
  <c r="D211" i="9"/>
  <c r="A211" i="9"/>
  <c r="D210" i="9"/>
  <c r="A210" i="9"/>
  <c r="D209" i="9"/>
  <c r="A209" i="9"/>
  <c r="D208" i="9"/>
  <c r="A208" i="9"/>
  <c r="D207" i="9"/>
  <c r="A207" i="9"/>
  <c r="D206" i="9"/>
  <c r="A206" i="9"/>
  <c r="D205" i="9"/>
  <c r="A205" i="9"/>
  <c r="D204" i="9"/>
  <c r="A204" i="9"/>
  <c r="D203" i="9"/>
  <c r="A203" i="9"/>
  <c r="D202" i="9"/>
  <c r="A202" i="9"/>
  <c r="D201" i="9"/>
  <c r="A201" i="9"/>
  <c r="D200" i="9"/>
  <c r="A200" i="9"/>
  <c r="D199" i="9"/>
  <c r="A199" i="9"/>
  <c r="D198" i="9"/>
  <c r="A198" i="9"/>
  <c r="D197" i="9"/>
  <c r="A197" i="9"/>
  <c r="D196" i="9"/>
  <c r="A196" i="9"/>
  <c r="D195" i="9"/>
  <c r="A195" i="9"/>
  <c r="D194" i="9"/>
  <c r="A194" i="9"/>
  <c r="D193" i="9"/>
  <c r="A193" i="9"/>
  <c r="D192" i="9"/>
  <c r="A192" i="9"/>
  <c r="D191" i="9"/>
  <c r="A191" i="9"/>
  <c r="D190" i="9"/>
  <c r="A190" i="9"/>
  <c r="D189" i="9"/>
  <c r="A189" i="9"/>
  <c r="D188" i="9"/>
  <c r="A188" i="9"/>
  <c r="D187" i="9"/>
  <c r="A187" i="9"/>
  <c r="D186" i="9"/>
  <c r="A186" i="9"/>
  <c r="D185" i="9"/>
  <c r="A185" i="9"/>
  <c r="D184" i="9"/>
  <c r="A184" i="9"/>
  <c r="D183" i="9"/>
  <c r="A183" i="9"/>
  <c r="D182" i="9"/>
  <c r="A182" i="9"/>
  <c r="D181" i="9"/>
  <c r="A181" i="9"/>
  <c r="D180" i="9"/>
  <c r="A180" i="9"/>
  <c r="D179" i="9"/>
  <c r="A179" i="9"/>
  <c r="D178" i="9"/>
  <c r="A178" i="9"/>
  <c r="D177" i="9"/>
  <c r="A177" i="9"/>
  <c r="D176" i="9"/>
  <c r="A176" i="9"/>
  <c r="D175" i="9"/>
  <c r="A175" i="9"/>
  <c r="D174" i="9"/>
  <c r="A174" i="9"/>
  <c r="D173" i="9"/>
  <c r="A173" i="9"/>
  <c r="D172" i="9"/>
  <c r="A172" i="9"/>
  <c r="D171" i="9"/>
  <c r="A171" i="9"/>
  <c r="D170" i="9"/>
  <c r="A170" i="9"/>
  <c r="D169" i="9"/>
  <c r="A169" i="9"/>
  <c r="D168" i="9"/>
  <c r="A168" i="9"/>
  <c r="D167" i="9"/>
  <c r="A167" i="9"/>
  <c r="D166" i="9"/>
  <c r="A166" i="9"/>
  <c r="D165" i="9"/>
  <c r="A165" i="9"/>
  <c r="D164" i="9"/>
  <c r="A164" i="9"/>
  <c r="D163" i="9"/>
  <c r="A163" i="9"/>
  <c r="D162" i="9"/>
  <c r="A162" i="9"/>
  <c r="D161" i="9"/>
  <c r="A161" i="9"/>
  <c r="D160" i="9"/>
  <c r="A160" i="9"/>
  <c r="D159" i="9"/>
  <c r="A159" i="9"/>
  <c r="D158" i="9"/>
  <c r="A158" i="9"/>
  <c r="D157" i="9"/>
  <c r="A157" i="9"/>
  <c r="D156" i="9"/>
  <c r="A156" i="9"/>
  <c r="D155" i="9"/>
  <c r="A155" i="9"/>
  <c r="D154" i="9"/>
  <c r="A154" i="9"/>
  <c r="D153" i="9"/>
  <c r="A153" i="9"/>
  <c r="D152" i="9"/>
  <c r="A152" i="9"/>
  <c r="D151" i="9"/>
  <c r="A151" i="9"/>
  <c r="D150" i="9"/>
  <c r="A150" i="9"/>
  <c r="D149" i="9"/>
  <c r="A149" i="9"/>
  <c r="D148" i="9"/>
  <c r="A148" i="9"/>
  <c r="D147" i="9"/>
  <c r="A147" i="9"/>
  <c r="D146" i="9"/>
  <c r="A146" i="9"/>
  <c r="D145" i="9"/>
  <c r="A145" i="9"/>
  <c r="D144" i="9"/>
  <c r="A144" i="9"/>
  <c r="D143" i="9"/>
  <c r="A143" i="9"/>
  <c r="D142" i="9"/>
  <c r="A142" i="9"/>
  <c r="D141" i="9"/>
  <c r="A141" i="9"/>
  <c r="D140" i="9"/>
  <c r="A140" i="9"/>
  <c r="D139" i="9"/>
  <c r="A139" i="9"/>
  <c r="D138" i="9"/>
  <c r="A138" i="9"/>
  <c r="D137" i="9"/>
  <c r="A137" i="9"/>
  <c r="D136" i="9"/>
  <c r="A136" i="9"/>
  <c r="D135" i="9"/>
  <c r="A135" i="9"/>
  <c r="D134" i="9"/>
  <c r="A134" i="9"/>
  <c r="D133" i="9"/>
  <c r="A133" i="9"/>
  <c r="D132" i="9"/>
  <c r="A132" i="9"/>
  <c r="D131" i="9"/>
  <c r="A131" i="9"/>
  <c r="D130" i="9"/>
  <c r="A130" i="9"/>
  <c r="D129" i="9"/>
  <c r="A129" i="9"/>
  <c r="D128" i="9"/>
  <c r="A128" i="9"/>
  <c r="D127" i="9"/>
  <c r="A127" i="9"/>
  <c r="D126" i="9"/>
  <c r="A126" i="9"/>
  <c r="D125" i="9"/>
  <c r="A125" i="9"/>
  <c r="D124" i="9"/>
  <c r="A124" i="9"/>
  <c r="D123" i="9"/>
  <c r="A123" i="9"/>
  <c r="D122" i="9"/>
  <c r="A122" i="9"/>
  <c r="D121" i="9"/>
  <c r="A121" i="9"/>
  <c r="P120" i="9"/>
  <c r="D120" i="9"/>
  <c r="A120" i="9"/>
  <c r="D119" i="9"/>
  <c r="A119" i="9"/>
  <c r="D118" i="9"/>
  <c r="A118" i="9"/>
  <c r="D117" i="9"/>
  <c r="A117" i="9"/>
  <c r="D116" i="9"/>
  <c r="A116" i="9"/>
  <c r="D115" i="9"/>
  <c r="A115" i="9"/>
  <c r="D114" i="9"/>
  <c r="A114" i="9"/>
  <c r="D113" i="9"/>
  <c r="A113" i="9"/>
  <c r="D112" i="9"/>
  <c r="A112" i="9"/>
  <c r="D111" i="9"/>
  <c r="A111" i="9"/>
  <c r="D110" i="9"/>
  <c r="A110" i="9"/>
  <c r="D109" i="9"/>
  <c r="A109" i="9"/>
  <c r="D108" i="9"/>
  <c r="A108" i="9"/>
  <c r="D107" i="9"/>
  <c r="A107" i="9"/>
  <c r="D106" i="9"/>
  <c r="A106" i="9"/>
  <c r="D105" i="9"/>
  <c r="A105" i="9"/>
  <c r="D104" i="9"/>
  <c r="A104" i="9"/>
  <c r="D103" i="9"/>
  <c r="A103" i="9"/>
  <c r="D102" i="9"/>
  <c r="A102" i="9"/>
  <c r="D101" i="9"/>
  <c r="A101" i="9"/>
  <c r="D100" i="9"/>
  <c r="A100" i="9"/>
  <c r="D99" i="9"/>
  <c r="A99" i="9"/>
  <c r="D98" i="9"/>
  <c r="A98" i="9"/>
  <c r="P97" i="9"/>
  <c r="P99" i="9" s="1"/>
  <c r="D97" i="9"/>
  <c r="A97" i="9"/>
  <c r="D96" i="9"/>
  <c r="A96" i="9"/>
  <c r="D95" i="9"/>
  <c r="A95" i="9"/>
  <c r="D94" i="9"/>
  <c r="A94" i="9"/>
  <c r="D93" i="9"/>
  <c r="A93" i="9"/>
  <c r="D92" i="9"/>
  <c r="A92" i="9"/>
  <c r="D91" i="9"/>
  <c r="A91" i="9"/>
  <c r="D90" i="9"/>
  <c r="A90" i="9"/>
  <c r="D89" i="9"/>
  <c r="A89" i="9"/>
  <c r="D88" i="9"/>
  <c r="A88" i="9"/>
  <c r="D87" i="9"/>
  <c r="A87" i="9"/>
  <c r="D86" i="9"/>
  <c r="A86" i="9"/>
  <c r="D85" i="9"/>
  <c r="A85" i="9"/>
  <c r="D84" i="9"/>
  <c r="A84" i="9"/>
  <c r="D83" i="9"/>
  <c r="A83" i="9"/>
  <c r="D82" i="9"/>
  <c r="A82" i="9"/>
  <c r="D81" i="9"/>
  <c r="A81" i="9"/>
  <c r="D80" i="9"/>
  <c r="A80" i="9"/>
  <c r="D79" i="9"/>
  <c r="A79" i="9"/>
  <c r="D78" i="9"/>
  <c r="A78" i="9"/>
  <c r="D77" i="9"/>
  <c r="A77" i="9"/>
  <c r="D76" i="9"/>
  <c r="A76" i="9"/>
  <c r="D75" i="9"/>
  <c r="A75" i="9"/>
  <c r="D74" i="9"/>
  <c r="A74" i="9"/>
  <c r="D73" i="9"/>
  <c r="A73" i="9"/>
  <c r="D72" i="9"/>
  <c r="A72" i="9"/>
  <c r="D71" i="9"/>
  <c r="A71" i="9"/>
  <c r="D70" i="9"/>
  <c r="A70" i="9"/>
  <c r="D69" i="9"/>
  <c r="A69" i="9"/>
  <c r="D68" i="9"/>
  <c r="A68" i="9"/>
  <c r="D67" i="9"/>
  <c r="A67" i="9"/>
  <c r="D66" i="9"/>
  <c r="A66" i="9"/>
  <c r="D65" i="9"/>
  <c r="A65" i="9"/>
  <c r="D64" i="9"/>
  <c r="A64" i="9"/>
  <c r="D63" i="9"/>
  <c r="A63" i="9"/>
  <c r="D62" i="9"/>
  <c r="A62" i="9"/>
  <c r="D61" i="9"/>
  <c r="A61" i="9"/>
  <c r="D60" i="9"/>
  <c r="A60" i="9"/>
  <c r="D59" i="9"/>
  <c r="A59" i="9"/>
  <c r="D58" i="9"/>
  <c r="A58" i="9"/>
  <c r="D57" i="9"/>
  <c r="A57" i="9"/>
  <c r="D56" i="9"/>
  <c r="A56" i="9"/>
  <c r="D55" i="9"/>
  <c r="A55" i="9"/>
  <c r="D54" i="9"/>
  <c r="A54" i="9"/>
  <c r="D53" i="9"/>
  <c r="A53" i="9"/>
  <c r="D52" i="9"/>
  <c r="A52" i="9"/>
  <c r="D51" i="9"/>
  <c r="A51" i="9"/>
  <c r="D50" i="9"/>
  <c r="A50" i="9"/>
  <c r="D49" i="9"/>
  <c r="A49" i="9"/>
  <c r="D48" i="9"/>
  <c r="A48" i="9"/>
  <c r="D47" i="9"/>
  <c r="A47" i="9"/>
  <c r="D46" i="9"/>
  <c r="A46" i="9"/>
  <c r="D45" i="9"/>
  <c r="A45" i="9"/>
  <c r="D44" i="9"/>
  <c r="A44" i="9"/>
  <c r="D43" i="9"/>
  <c r="A43" i="9"/>
  <c r="D42" i="9"/>
  <c r="A42" i="9"/>
  <c r="D41" i="9"/>
  <c r="A41" i="9"/>
  <c r="D40" i="9"/>
  <c r="A40" i="9"/>
  <c r="D39" i="9"/>
  <c r="A39" i="9"/>
  <c r="D38" i="9"/>
  <c r="A38" i="9"/>
  <c r="D37" i="9"/>
  <c r="A37" i="9"/>
  <c r="D36" i="9"/>
  <c r="A36" i="9"/>
  <c r="D35" i="9"/>
  <c r="A35" i="9"/>
  <c r="D34" i="9"/>
  <c r="A34" i="9"/>
  <c r="D33" i="9"/>
  <c r="A33" i="9"/>
  <c r="D32" i="9"/>
  <c r="A32" i="9"/>
  <c r="D31" i="9"/>
  <c r="A31" i="9"/>
  <c r="D30" i="9"/>
  <c r="A30" i="9"/>
  <c r="D29" i="9"/>
  <c r="A29" i="9"/>
  <c r="D28" i="9"/>
  <c r="A28" i="9"/>
  <c r="D27" i="9"/>
  <c r="A27" i="9"/>
  <c r="D26" i="9"/>
  <c r="A26" i="9"/>
  <c r="D25" i="9"/>
  <c r="A25" i="9"/>
  <c r="D24" i="9"/>
  <c r="A24" i="9"/>
  <c r="D23" i="9"/>
  <c r="A23" i="9"/>
  <c r="D22" i="9"/>
  <c r="A22" i="9"/>
  <c r="D21" i="9"/>
  <c r="A21" i="9"/>
  <c r="D20" i="9"/>
  <c r="A20" i="9"/>
  <c r="D19" i="9"/>
  <c r="A19" i="9"/>
  <c r="D18" i="9"/>
  <c r="A18" i="9"/>
  <c r="D17" i="9"/>
  <c r="A17" i="9"/>
  <c r="D16" i="9"/>
  <c r="A16" i="9"/>
  <c r="D15" i="9"/>
  <c r="A15" i="9"/>
  <c r="D14" i="9"/>
  <c r="A14" i="9"/>
  <c r="D13" i="9"/>
  <c r="A13" i="9"/>
  <c r="D12" i="9"/>
  <c r="A12" i="9"/>
  <c r="D11" i="9"/>
  <c r="A11" i="9"/>
  <c r="D10" i="9"/>
  <c r="A10" i="9"/>
  <c r="D9" i="9"/>
  <c r="A9" i="9"/>
  <c r="D8" i="9"/>
  <c r="A8" i="9"/>
  <c r="D7" i="9"/>
  <c r="A7" i="9"/>
  <c r="D6" i="9"/>
  <c r="A6" i="9"/>
  <c r="D5" i="9"/>
  <c r="A5" i="9"/>
  <c r="D4" i="9"/>
  <c r="A4" i="9"/>
  <c r="D3" i="9"/>
  <c r="A3" i="9"/>
  <c r="D2" i="9"/>
  <c r="A2" i="9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I620" i="7"/>
  <c r="D620" i="7"/>
  <c r="I619" i="7"/>
  <c r="D619" i="7"/>
  <c r="I618" i="7"/>
  <c r="D618" i="7"/>
  <c r="I617" i="7"/>
  <c r="D617" i="7"/>
  <c r="I616" i="7"/>
  <c r="D616" i="7"/>
  <c r="I615" i="7"/>
  <c r="D615" i="7"/>
  <c r="I614" i="7"/>
  <c r="D614" i="7"/>
  <c r="I613" i="7"/>
  <c r="D613" i="7"/>
  <c r="I612" i="7"/>
  <c r="D612" i="7"/>
  <c r="I611" i="7"/>
  <c r="D611" i="7"/>
  <c r="I610" i="7"/>
  <c r="D610" i="7"/>
  <c r="I609" i="7"/>
  <c r="D609" i="7"/>
  <c r="I608" i="7"/>
  <c r="D608" i="7"/>
  <c r="I607" i="7"/>
  <c r="D607" i="7"/>
  <c r="I606" i="7"/>
  <c r="D606" i="7"/>
  <c r="I605" i="7"/>
  <c r="D605" i="7"/>
  <c r="I604" i="7"/>
  <c r="D604" i="7"/>
  <c r="I603" i="7"/>
  <c r="D603" i="7"/>
  <c r="I602" i="7"/>
  <c r="D602" i="7"/>
  <c r="I601" i="7"/>
  <c r="D601" i="7"/>
  <c r="I600" i="7"/>
  <c r="D600" i="7"/>
  <c r="I599" i="7"/>
  <c r="D599" i="7"/>
  <c r="I598" i="7"/>
  <c r="D598" i="7"/>
  <c r="I597" i="7"/>
  <c r="D597" i="7"/>
  <c r="I596" i="7"/>
  <c r="D596" i="7"/>
  <c r="I595" i="7"/>
  <c r="D595" i="7"/>
  <c r="I594" i="7"/>
  <c r="D594" i="7"/>
  <c r="I593" i="7"/>
  <c r="D593" i="7"/>
  <c r="I592" i="7"/>
  <c r="D592" i="7"/>
  <c r="I591" i="7"/>
  <c r="D591" i="7"/>
  <c r="I590" i="7"/>
  <c r="D590" i="7"/>
  <c r="I589" i="7"/>
  <c r="D589" i="7"/>
  <c r="I588" i="7"/>
  <c r="D588" i="7"/>
  <c r="I587" i="7"/>
  <c r="D587" i="7"/>
  <c r="I586" i="7"/>
  <c r="D586" i="7"/>
  <c r="I585" i="7"/>
  <c r="D585" i="7"/>
  <c r="I584" i="7"/>
  <c r="D584" i="7"/>
  <c r="I583" i="7"/>
  <c r="D583" i="7"/>
  <c r="I582" i="7"/>
  <c r="D582" i="7"/>
  <c r="I581" i="7"/>
  <c r="D581" i="7"/>
  <c r="I580" i="7"/>
  <c r="D580" i="7"/>
  <c r="I579" i="7"/>
  <c r="D579" i="7"/>
  <c r="I578" i="7"/>
  <c r="D578" i="7"/>
  <c r="I577" i="7"/>
  <c r="D577" i="7"/>
  <c r="I576" i="7"/>
  <c r="D576" i="7"/>
  <c r="I575" i="7"/>
  <c r="D575" i="7"/>
  <c r="I574" i="7"/>
  <c r="D574" i="7"/>
  <c r="I573" i="7"/>
  <c r="D573" i="7"/>
  <c r="I572" i="7"/>
  <c r="D572" i="7"/>
  <c r="I571" i="7"/>
  <c r="D571" i="7"/>
  <c r="I570" i="7"/>
  <c r="D570" i="7"/>
  <c r="I569" i="7"/>
  <c r="D569" i="7"/>
  <c r="I568" i="7"/>
  <c r="D568" i="7"/>
  <c r="I567" i="7"/>
  <c r="D567" i="7"/>
  <c r="I566" i="7"/>
  <c r="D566" i="7"/>
  <c r="I565" i="7"/>
  <c r="D565" i="7"/>
  <c r="I564" i="7"/>
  <c r="D564" i="7"/>
  <c r="I563" i="7"/>
  <c r="D563" i="7"/>
  <c r="I562" i="7"/>
  <c r="D562" i="7"/>
  <c r="I561" i="7"/>
  <c r="D561" i="7"/>
  <c r="I560" i="7"/>
  <c r="D560" i="7"/>
  <c r="I559" i="7"/>
  <c r="D559" i="7"/>
  <c r="I558" i="7"/>
  <c r="D558" i="7"/>
  <c r="I557" i="7"/>
  <c r="D557" i="7"/>
  <c r="I556" i="7"/>
  <c r="D556" i="7"/>
  <c r="I555" i="7"/>
  <c r="D555" i="7"/>
  <c r="I554" i="7"/>
  <c r="D554" i="7"/>
  <c r="I553" i="7"/>
  <c r="D553" i="7"/>
  <c r="I552" i="7"/>
  <c r="D552" i="7"/>
  <c r="I551" i="7"/>
  <c r="D551" i="7"/>
  <c r="I550" i="7"/>
  <c r="D550" i="7"/>
  <c r="I549" i="7"/>
  <c r="D549" i="7"/>
  <c r="I548" i="7"/>
  <c r="D548" i="7"/>
  <c r="I547" i="7"/>
  <c r="D547" i="7"/>
  <c r="I546" i="7"/>
  <c r="D546" i="7"/>
  <c r="I545" i="7"/>
  <c r="D545" i="7"/>
  <c r="I544" i="7"/>
  <c r="D544" i="7"/>
  <c r="I543" i="7"/>
  <c r="D543" i="7"/>
  <c r="I542" i="7"/>
  <c r="D542" i="7"/>
  <c r="I541" i="7"/>
  <c r="D541" i="7"/>
  <c r="I540" i="7"/>
  <c r="D540" i="7"/>
  <c r="I539" i="7"/>
  <c r="D539" i="7"/>
  <c r="I538" i="7"/>
  <c r="D538" i="7"/>
  <c r="I537" i="7"/>
  <c r="D537" i="7"/>
  <c r="I536" i="7"/>
  <c r="D536" i="7"/>
  <c r="I535" i="7"/>
  <c r="D535" i="7"/>
  <c r="I534" i="7"/>
  <c r="D534" i="7"/>
  <c r="I533" i="7"/>
  <c r="D533" i="7"/>
  <c r="I532" i="7"/>
  <c r="D532" i="7"/>
  <c r="I531" i="7"/>
  <c r="D531" i="7"/>
  <c r="I530" i="7"/>
  <c r="D530" i="7"/>
  <c r="I529" i="7"/>
  <c r="D529" i="7"/>
  <c r="I528" i="7"/>
  <c r="D528" i="7"/>
  <c r="I527" i="7"/>
  <c r="D527" i="7"/>
  <c r="I526" i="7"/>
  <c r="D526" i="7"/>
  <c r="I525" i="7"/>
  <c r="D525" i="7"/>
  <c r="I524" i="7"/>
  <c r="D524" i="7"/>
  <c r="I523" i="7"/>
  <c r="D523" i="7"/>
  <c r="I522" i="7"/>
  <c r="D522" i="7"/>
  <c r="I521" i="7"/>
  <c r="D521" i="7"/>
  <c r="I520" i="7"/>
  <c r="D520" i="7"/>
  <c r="I519" i="7"/>
  <c r="D519" i="7"/>
  <c r="I518" i="7"/>
  <c r="D518" i="7"/>
  <c r="I517" i="7"/>
  <c r="D517" i="7"/>
  <c r="I516" i="7"/>
  <c r="D516" i="7"/>
  <c r="I515" i="7"/>
  <c r="D515" i="7"/>
  <c r="I514" i="7"/>
  <c r="D514" i="7"/>
  <c r="I513" i="7"/>
  <c r="D513" i="7"/>
  <c r="I512" i="7"/>
  <c r="D512" i="7"/>
  <c r="I511" i="7"/>
  <c r="D511" i="7"/>
  <c r="I510" i="7"/>
  <c r="D510" i="7"/>
  <c r="I509" i="7"/>
  <c r="D509" i="7"/>
  <c r="I508" i="7"/>
  <c r="D508" i="7"/>
  <c r="I507" i="7"/>
  <c r="D507" i="7"/>
  <c r="I506" i="7"/>
  <c r="D506" i="7"/>
  <c r="I505" i="7"/>
  <c r="D505" i="7"/>
  <c r="I504" i="7"/>
  <c r="D504" i="7"/>
  <c r="I503" i="7"/>
  <c r="D503" i="7"/>
  <c r="I502" i="7"/>
  <c r="D502" i="7"/>
  <c r="I501" i="7"/>
  <c r="D501" i="7"/>
  <c r="I500" i="7"/>
  <c r="D500" i="7"/>
  <c r="I499" i="7"/>
  <c r="D499" i="7"/>
  <c r="I498" i="7"/>
  <c r="D498" i="7"/>
  <c r="I497" i="7"/>
  <c r="D497" i="7"/>
  <c r="I496" i="7"/>
  <c r="D496" i="7"/>
  <c r="I495" i="7"/>
  <c r="D495" i="7"/>
  <c r="I494" i="7"/>
  <c r="D494" i="7"/>
  <c r="I493" i="7"/>
  <c r="D493" i="7"/>
  <c r="I492" i="7"/>
  <c r="D492" i="7"/>
  <c r="I491" i="7"/>
  <c r="D491" i="7"/>
  <c r="I490" i="7"/>
  <c r="D490" i="7"/>
  <c r="I489" i="7"/>
  <c r="D489" i="7"/>
  <c r="I488" i="7"/>
  <c r="D488" i="7"/>
  <c r="I487" i="7"/>
  <c r="D487" i="7"/>
  <c r="I486" i="7"/>
  <c r="D486" i="7"/>
  <c r="I485" i="7"/>
  <c r="D485" i="7"/>
  <c r="I484" i="7"/>
  <c r="D484" i="7"/>
  <c r="I483" i="7"/>
  <c r="D483" i="7"/>
  <c r="I482" i="7"/>
  <c r="D482" i="7"/>
  <c r="I481" i="7"/>
  <c r="D481" i="7"/>
  <c r="I480" i="7"/>
  <c r="D480" i="7"/>
  <c r="I479" i="7"/>
  <c r="D479" i="7"/>
  <c r="I478" i="7"/>
  <c r="D478" i="7"/>
  <c r="I477" i="7"/>
  <c r="D477" i="7"/>
  <c r="I476" i="7"/>
  <c r="D476" i="7"/>
  <c r="I475" i="7"/>
  <c r="D475" i="7"/>
  <c r="I474" i="7"/>
  <c r="D474" i="7"/>
  <c r="I473" i="7"/>
  <c r="D473" i="7"/>
  <c r="I472" i="7"/>
  <c r="D472" i="7"/>
  <c r="I471" i="7"/>
  <c r="D471" i="7"/>
  <c r="I470" i="7"/>
  <c r="D470" i="7"/>
  <c r="I469" i="7"/>
  <c r="D469" i="7"/>
  <c r="I468" i="7"/>
  <c r="D468" i="7"/>
  <c r="I467" i="7"/>
  <c r="D467" i="7"/>
  <c r="I466" i="7"/>
  <c r="D466" i="7"/>
  <c r="I465" i="7"/>
  <c r="D465" i="7"/>
  <c r="I464" i="7"/>
  <c r="D464" i="7"/>
  <c r="I463" i="7"/>
  <c r="D463" i="7"/>
  <c r="I462" i="7"/>
  <c r="D462" i="7"/>
  <c r="I461" i="7"/>
  <c r="D461" i="7"/>
  <c r="I460" i="7"/>
  <c r="D460" i="7"/>
  <c r="I459" i="7"/>
  <c r="D459" i="7"/>
  <c r="I458" i="7"/>
  <c r="D458" i="7"/>
  <c r="I457" i="7"/>
  <c r="D457" i="7"/>
  <c r="I456" i="7"/>
  <c r="D456" i="7"/>
  <c r="I455" i="7"/>
  <c r="D455" i="7"/>
  <c r="I454" i="7"/>
  <c r="D454" i="7"/>
  <c r="I453" i="7"/>
  <c r="D453" i="7"/>
  <c r="I452" i="7"/>
  <c r="D452" i="7"/>
  <c r="I451" i="7"/>
  <c r="D451" i="7"/>
  <c r="I450" i="7"/>
  <c r="D450" i="7"/>
  <c r="I449" i="7"/>
  <c r="D449" i="7"/>
  <c r="I448" i="7"/>
  <c r="D448" i="7"/>
  <c r="I447" i="7"/>
  <c r="D447" i="7"/>
  <c r="I446" i="7"/>
  <c r="D446" i="7"/>
  <c r="I445" i="7"/>
  <c r="D445" i="7"/>
  <c r="I444" i="7"/>
  <c r="D444" i="7"/>
  <c r="I443" i="7"/>
  <c r="D443" i="7"/>
  <c r="I442" i="7"/>
  <c r="D442" i="7"/>
  <c r="I441" i="7"/>
  <c r="D441" i="7"/>
  <c r="I440" i="7"/>
  <c r="D440" i="7"/>
  <c r="I439" i="7"/>
  <c r="D439" i="7"/>
  <c r="I438" i="7"/>
  <c r="D438" i="7"/>
  <c r="I437" i="7"/>
  <c r="D437" i="7"/>
  <c r="I436" i="7"/>
  <c r="D436" i="7"/>
  <c r="I435" i="7"/>
  <c r="D435" i="7"/>
  <c r="I434" i="7"/>
  <c r="D434" i="7"/>
  <c r="I433" i="7"/>
  <c r="D433" i="7"/>
  <c r="I432" i="7"/>
  <c r="D432" i="7"/>
  <c r="I431" i="7"/>
  <c r="D431" i="7"/>
  <c r="I430" i="7"/>
  <c r="D430" i="7"/>
  <c r="I429" i="7"/>
  <c r="D429" i="7"/>
  <c r="I428" i="7"/>
  <c r="D428" i="7"/>
  <c r="I427" i="7"/>
  <c r="D427" i="7"/>
  <c r="I426" i="7"/>
  <c r="D426" i="7"/>
  <c r="I425" i="7"/>
  <c r="D425" i="7"/>
  <c r="I424" i="7"/>
  <c r="D424" i="7"/>
  <c r="I423" i="7"/>
  <c r="D423" i="7"/>
  <c r="I422" i="7"/>
  <c r="D422" i="7"/>
  <c r="I421" i="7"/>
  <c r="D421" i="7"/>
  <c r="I420" i="7"/>
  <c r="D420" i="7"/>
  <c r="I419" i="7"/>
  <c r="D419" i="7"/>
  <c r="I418" i="7"/>
  <c r="D418" i="7"/>
  <c r="I417" i="7"/>
  <c r="D417" i="7"/>
  <c r="I416" i="7"/>
  <c r="D416" i="7"/>
  <c r="I415" i="7"/>
  <c r="D415" i="7"/>
  <c r="I414" i="7"/>
  <c r="D414" i="7"/>
  <c r="I413" i="7"/>
  <c r="D413" i="7"/>
  <c r="I412" i="7"/>
  <c r="D412" i="7"/>
  <c r="I411" i="7"/>
  <c r="D411" i="7"/>
  <c r="I410" i="7"/>
  <c r="D410" i="7"/>
  <c r="I409" i="7"/>
  <c r="D409" i="7"/>
  <c r="I408" i="7"/>
  <c r="D408" i="7"/>
  <c r="I407" i="7"/>
  <c r="D407" i="7"/>
  <c r="I406" i="7"/>
  <c r="D406" i="7"/>
  <c r="I405" i="7"/>
  <c r="D405" i="7"/>
  <c r="I404" i="7"/>
  <c r="D404" i="7"/>
  <c r="I403" i="7"/>
  <c r="D403" i="7"/>
  <c r="I402" i="7"/>
  <c r="D402" i="7"/>
  <c r="I401" i="7"/>
  <c r="D401" i="7"/>
  <c r="I400" i="7"/>
  <c r="D400" i="7"/>
  <c r="I399" i="7"/>
  <c r="D399" i="7"/>
  <c r="I398" i="7"/>
  <c r="D398" i="7"/>
  <c r="I397" i="7"/>
  <c r="D397" i="7"/>
  <c r="I396" i="7"/>
  <c r="D396" i="7"/>
  <c r="I395" i="7"/>
  <c r="D395" i="7"/>
  <c r="I394" i="7"/>
  <c r="D394" i="7"/>
  <c r="I393" i="7"/>
  <c r="D393" i="7"/>
  <c r="I392" i="7"/>
  <c r="D392" i="7"/>
  <c r="I391" i="7"/>
  <c r="D391" i="7"/>
  <c r="I390" i="7"/>
  <c r="D390" i="7"/>
  <c r="I389" i="7"/>
  <c r="D389" i="7"/>
  <c r="I388" i="7"/>
  <c r="D388" i="7"/>
  <c r="I387" i="7"/>
  <c r="D387" i="7"/>
  <c r="I386" i="7"/>
  <c r="D386" i="7"/>
  <c r="I385" i="7"/>
  <c r="D385" i="7"/>
  <c r="I384" i="7"/>
  <c r="D384" i="7"/>
  <c r="I383" i="7"/>
  <c r="D383" i="7"/>
  <c r="I382" i="7"/>
  <c r="D382" i="7"/>
  <c r="I381" i="7"/>
  <c r="D381" i="7"/>
  <c r="I380" i="7"/>
  <c r="D380" i="7"/>
  <c r="I379" i="7"/>
  <c r="D379" i="7"/>
  <c r="I378" i="7"/>
  <c r="D378" i="7"/>
  <c r="I377" i="7"/>
  <c r="D377" i="7"/>
  <c r="I376" i="7"/>
  <c r="D376" i="7"/>
  <c r="I375" i="7"/>
  <c r="D375" i="7"/>
  <c r="I374" i="7"/>
  <c r="D374" i="7"/>
  <c r="I373" i="7"/>
  <c r="D373" i="7"/>
  <c r="I372" i="7"/>
  <c r="D372" i="7"/>
  <c r="I371" i="7"/>
  <c r="D371" i="7"/>
  <c r="I370" i="7"/>
  <c r="D370" i="7"/>
  <c r="I369" i="7"/>
  <c r="D369" i="7"/>
  <c r="I368" i="7"/>
  <c r="D368" i="7"/>
  <c r="I367" i="7"/>
  <c r="D367" i="7"/>
  <c r="I366" i="7"/>
  <c r="D366" i="7"/>
  <c r="I365" i="7"/>
  <c r="D365" i="7"/>
  <c r="I364" i="7"/>
  <c r="D364" i="7"/>
  <c r="I363" i="7"/>
  <c r="D363" i="7"/>
  <c r="I362" i="7"/>
  <c r="D362" i="7"/>
  <c r="I361" i="7"/>
  <c r="D361" i="7"/>
  <c r="I360" i="7"/>
  <c r="D360" i="7"/>
  <c r="I359" i="7"/>
  <c r="D359" i="7"/>
  <c r="I358" i="7"/>
  <c r="D358" i="7"/>
  <c r="I357" i="7"/>
  <c r="D357" i="7"/>
  <c r="I356" i="7"/>
  <c r="D356" i="7"/>
  <c r="I355" i="7"/>
  <c r="D355" i="7"/>
  <c r="I354" i="7"/>
  <c r="D354" i="7"/>
  <c r="I353" i="7"/>
  <c r="D353" i="7"/>
  <c r="I352" i="7"/>
  <c r="D352" i="7"/>
  <c r="I351" i="7"/>
  <c r="D351" i="7"/>
  <c r="I350" i="7"/>
  <c r="D350" i="7"/>
  <c r="I349" i="7"/>
  <c r="D349" i="7"/>
  <c r="I348" i="7"/>
  <c r="D348" i="7"/>
  <c r="I347" i="7"/>
  <c r="D347" i="7"/>
  <c r="I346" i="7"/>
  <c r="D346" i="7"/>
  <c r="I345" i="7"/>
  <c r="D345" i="7"/>
  <c r="I344" i="7"/>
  <c r="D344" i="7"/>
  <c r="I343" i="7"/>
  <c r="D343" i="7"/>
  <c r="I342" i="7"/>
  <c r="D342" i="7"/>
  <c r="I341" i="7"/>
  <c r="D341" i="7"/>
  <c r="I340" i="7"/>
  <c r="D340" i="7"/>
  <c r="I339" i="7"/>
  <c r="D339" i="7"/>
  <c r="I338" i="7"/>
  <c r="D338" i="7"/>
  <c r="I337" i="7"/>
  <c r="D337" i="7"/>
  <c r="I336" i="7"/>
  <c r="D336" i="7"/>
  <c r="I335" i="7"/>
  <c r="D335" i="7"/>
  <c r="I334" i="7"/>
  <c r="D334" i="7"/>
  <c r="I333" i="7"/>
  <c r="D333" i="7"/>
  <c r="I332" i="7"/>
  <c r="D332" i="7"/>
  <c r="I331" i="7"/>
  <c r="D331" i="7"/>
  <c r="I330" i="7"/>
  <c r="D330" i="7"/>
  <c r="I329" i="7"/>
  <c r="D329" i="7"/>
  <c r="I328" i="7"/>
  <c r="D328" i="7"/>
  <c r="I327" i="7"/>
  <c r="D327" i="7"/>
  <c r="I326" i="7"/>
  <c r="D326" i="7"/>
  <c r="I325" i="7"/>
  <c r="D325" i="7"/>
  <c r="I324" i="7"/>
  <c r="D324" i="7"/>
  <c r="I323" i="7"/>
  <c r="D323" i="7"/>
  <c r="I322" i="7"/>
  <c r="D322" i="7"/>
  <c r="I321" i="7"/>
  <c r="D321" i="7"/>
  <c r="I320" i="7"/>
  <c r="D320" i="7"/>
  <c r="I319" i="7"/>
  <c r="D319" i="7"/>
  <c r="I318" i="7"/>
  <c r="D318" i="7"/>
  <c r="I317" i="7"/>
  <c r="D317" i="7"/>
  <c r="I316" i="7"/>
  <c r="D316" i="7"/>
  <c r="I315" i="7"/>
  <c r="D315" i="7"/>
  <c r="I314" i="7"/>
  <c r="D314" i="7"/>
  <c r="I313" i="7"/>
  <c r="D313" i="7"/>
  <c r="I312" i="7"/>
  <c r="D312" i="7"/>
  <c r="I311" i="7"/>
  <c r="D311" i="7"/>
  <c r="I310" i="7"/>
  <c r="D310" i="7"/>
  <c r="I309" i="7"/>
  <c r="D309" i="7"/>
  <c r="I308" i="7"/>
  <c r="D308" i="7"/>
  <c r="I307" i="7"/>
  <c r="D307" i="7"/>
  <c r="I306" i="7"/>
  <c r="D306" i="7"/>
  <c r="I305" i="7"/>
  <c r="D305" i="7"/>
  <c r="I304" i="7"/>
  <c r="D304" i="7"/>
  <c r="I303" i="7"/>
  <c r="D303" i="7"/>
  <c r="I302" i="7"/>
  <c r="D302" i="7"/>
  <c r="I301" i="7"/>
  <c r="D301" i="7"/>
  <c r="I300" i="7"/>
  <c r="D300" i="7"/>
  <c r="I299" i="7"/>
  <c r="D299" i="7"/>
  <c r="I298" i="7"/>
  <c r="D298" i="7"/>
  <c r="I297" i="7"/>
  <c r="D297" i="7"/>
  <c r="I296" i="7"/>
  <c r="D296" i="7"/>
  <c r="I295" i="7"/>
  <c r="D295" i="7"/>
  <c r="I294" i="7"/>
  <c r="D294" i="7"/>
  <c r="I293" i="7"/>
  <c r="D293" i="7"/>
  <c r="I292" i="7"/>
  <c r="D292" i="7"/>
  <c r="I291" i="7"/>
  <c r="D291" i="7"/>
  <c r="I290" i="7"/>
  <c r="D290" i="7"/>
  <c r="I289" i="7"/>
  <c r="D289" i="7"/>
  <c r="I288" i="7"/>
  <c r="D288" i="7"/>
  <c r="I287" i="7"/>
  <c r="D287" i="7"/>
  <c r="I286" i="7"/>
  <c r="D286" i="7"/>
  <c r="I285" i="7"/>
  <c r="D285" i="7"/>
  <c r="I284" i="7"/>
  <c r="D284" i="7"/>
  <c r="I283" i="7"/>
  <c r="D283" i="7"/>
  <c r="I282" i="7"/>
  <c r="D282" i="7"/>
  <c r="I281" i="7"/>
  <c r="D281" i="7"/>
  <c r="I280" i="7"/>
  <c r="D280" i="7"/>
  <c r="I279" i="7"/>
  <c r="D279" i="7"/>
  <c r="I278" i="7"/>
  <c r="D278" i="7"/>
  <c r="I277" i="7"/>
  <c r="D277" i="7"/>
  <c r="I276" i="7"/>
  <c r="D276" i="7"/>
  <c r="I275" i="7"/>
  <c r="D275" i="7"/>
  <c r="I274" i="7"/>
  <c r="D274" i="7"/>
  <c r="I273" i="7"/>
  <c r="D273" i="7"/>
  <c r="I272" i="7"/>
  <c r="D272" i="7"/>
  <c r="I271" i="7"/>
  <c r="D271" i="7"/>
  <c r="I270" i="7"/>
  <c r="D270" i="7"/>
  <c r="I269" i="7"/>
  <c r="D269" i="7"/>
  <c r="I268" i="7"/>
  <c r="D268" i="7"/>
  <c r="I267" i="7"/>
  <c r="D267" i="7"/>
  <c r="I266" i="7"/>
  <c r="D266" i="7"/>
  <c r="I265" i="7"/>
  <c r="D265" i="7"/>
  <c r="I264" i="7"/>
  <c r="D264" i="7"/>
  <c r="I263" i="7"/>
  <c r="D263" i="7"/>
  <c r="I262" i="7"/>
  <c r="D262" i="7"/>
  <c r="I261" i="7"/>
  <c r="D261" i="7"/>
  <c r="I260" i="7"/>
  <c r="D260" i="7"/>
  <c r="I259" i="7"/>
  <c r="D259" i="7"/>
  <c r="I258" i="7"/>
  <c r="D258" i="7"/>
  <c r="I257" i="7"/>
  <c r="D257" i="7"/>
  <c r="I256" i="7"/>
  <c r="D256" i="7"/>
  <c r="I255" i="7"/>
  <c r="D255" i="7"/>
  <c r="I254" i="7"/>
  <c r="D254" i="7"/>
  <c r="I253" i="7"/>
  <c r="D253" i="7"/>
  <c r="I252" i="7"/>
  <c r="D252" i="7"/>
  <c r="I251" i="7"/>
  <c r="D251" i="7"/>
  <c r="I250" i="7"/>
  <c r="D250" i="7"/>
  <c r="I249" i="7"/>
  <c r="D249" i="7"/>
  <c r="I248" i="7"/>
  <c r="D248" i="7"/>
  <c r="I247" i="7"/>
  <c r="D247" i="7"/>
  <c r="I246" i="7"/>
  <c r="D246" i="7"/>
  <c r="I245" i="7"/>
  <c r="D245" i="7"/>
  <c r="I244" i="7"/>
  <c r="D244" i="7"/>
  <c r="I243" i="7"/>
  <c r="D243" i="7"/>
  <c r="I242" i="7"/>
  <c r="D242" i="7"/>
  <c r="I241" i="7"/>
  <c r="D241" i="7"/>
  <c r="I240" i="7"/>
  <c r="D240" i="7"/>
  <c r="I239" i="7"/>
  <c r="D239" i="7"/>
  <c r="I238" i="7"/>
  <c r="D238" i="7"/>
  <c r="I237" i="7"/>
  <c r="D237" i="7"/>
  <c r="I236" i="7"/>
  <c r="D236" i="7"/>
  <c r="I235" i="7"/>
  <c r="D235" i="7"/>
  <c r="I234" i="7"/>
  <c r="D234" i="7"/>
  <c r="I233" i="7"/>
  <c r="D233" i="7"/>
  <c r="I232" i="7"/>
  <c r="D232" i="7"/>
  <c r="I231" i="7"/>
  <c r="D231" i="7"/>
  <c r="I230" i="7"/>
  <c r="D230" i="7"/>
  <c r="I229" i="7"/>
  <c r="D229" i="7"/>
  <c r="I228" i="7"/>
  <c r="D228" i="7"/>
  <c r="I227" i="7"/>
  <c r="D227" i="7"/>
  <c r="I226" i="7"/>
  <c r="D226" i="7"/>
  <c r="I225" i="7"/>
  <c r="D225" i="7"/>
  <c r="I224" i="7"/>
  <c r="D224" i="7"/>
  <c r="I223" i="7"/>
  <c r="D223" i="7"/>
  <c r="I222" i="7"/>
  <c r="D222" i="7"/>
  <c r="I221" i="7"/>
  <c r="D221" i="7"/>
  <c r="I220" i="7"/>
  <c r="D220" i="7"/>
  <c r="I219" i="7"/>
  <c r="D219" i="7"/>
  <c r="I218" i="7"/>
  <c r="D218" i="7"/>
  <c r="I217" i="7"/>
  <c r="D217" i="7"/>
  <c r="I216" i="7"/>
  <c r="D216" i="7"/>
  <c r="I215" i="7"/>
  <c r="D215" i="7"/>
  <c r="I214" i="7"/>
  <c r="D214" i="7"/>
  <c r="I213" i="7"/>
  <c r="D213" i="7"/>
  <c r="I212" i="7"/>
  <c r="D212" i="7"/>
  <c r="I211" i="7"/>
  <c r="D211" i="7"/>
  <c r="I210" i="7"/>
  <c r="D210" i="7"/>
  <c r="I209" i="7"/>
  <c r="D209" i="7"/>
  <c r="I208" i="7"/>
  <c r="D208" i="7"/>
  <c r="I207" i="7"/>
  <c r="D207" i="7"/>
  <c r="I206" i="7"/>
  <c r="D206" i="7"/>
  <c r="I205" i="7"/>
  <c r="D205" i="7"/>
  <c r="I204" i="7"/>
  <c r="D204" i="7"/>
  <c r="I203" i="7"/>
  <c r="D203" i="7"/>
  <c r="I202" i="7"/>
  <c r="D202" i="7"/>
  <c r="I201" i="7"/>
  <c r="D201" i="7"/>
  <c r="I200" i="7"/>
  <c r="D200" i="7"/>
  <c r="I199" i="7"/>
  <c r="D199" i="7"/>
  <c r="I198" i="7"/>
  <c r="D198" i="7"/>
  <c r="I197" i="7"/>
  <c r="D197" i="7"/>
  <c r="I196" i="7"/>
  <c r="D196" i="7"/>
  <c r="I195" i="7"/>
  <c r="D195" i="7"/>
  <c r="I194" i="7"/>
  <c r="D194" i="7"/>
  <c r="I193" i="7"/>
  <c r="D193" i="7"/>
  <c r="I192" i="7"/>
  <c r="D192" i="7"/>
  <c r="I191" i="7"/>
  <c r="D191" i="7"/>
  <c r="I190" i="7"/>
  <c r="D190" i="7"/>
  <c r="I189" i="7"/>
  <c r="D189" i="7"/>
  <c r="I188" i="7"/>
  <c r="D188" i="7"/>
  <c r="I187" i="7"/>
  <c r="D187" i="7"/>
  <c r="I186" i="7"/>
  <c r="D186" i="7"/>
  <c r="I185" i="7"/>
  <c r="D185" i="7"/>
  <c r="I184" i="7"/>
  <c r="D184" i="7"/>
  <c r="I183" i="7"/>
  <c r="D183" i="7"/>
  <c r="I182" i="7"/>
  <c r="D182" i="7"/>
  <c r="I181" i="7"/>
  <c r="D181" i="7"/>
  <c r="I180" i="7"/>
  <c r="D180" i="7"/>
  <c r="I179" i="7"/>
  <c r="D179" i="7"/>
  <c r="I178" i="7"/>
  <c r="D178" i="7"/>
  <c r="I177" i="7"/>
  <c r="D177" i="7"/>
  <c r="I176" i="7"/>
  <c r="D176" i="7"/>
  <c r="I175" i="7"/>
  <c r="D175" i="7"/>
  <c r="I174" i="7"/>
  <c r="D174" i="7"/>
  <c r="I173" i="7"/>
  <c r="D173" i="7"/>
  <c r="I172" i="7"/>
  <c r="D172" i="7"/>
  <c r="I171" i="7"/>
  <c r="D171" i="7"/>
  <c r="I170" i="7"/>
  <c r="D170" i="7"/>
  <c r="I169" i="7"/>
  <c r="D169" i="7"/>
  <c r="I168" i="7"/>
  <c r="D168" i="7"/>
  <c r="I167" i="7"/>
  <c r="D167" i="7"/>
  <c r="I166" i="7"/>
  <c r="D166" i="7"/>
  <c r="I165" i="7"/>
  <c r="D165" i="7"/>
  <c r="I164" i="7"/>
  <c r="D164" i="7"/>
  <c r="I163" i="7"/>
  <c r="D163" i="7"/>
  <c r="I162" i="7"/>
  <c r="D162" i="7"/>
  <c r="I161" i="7"/>
  <c r="D161" i="7"/>
  <c r="I160" i="7"/>
  <c r="D160" i="7"/>
  <c r="I159" i="7"/>
  <c r="D159" i="7"/>
  <c r="I158" i="7"/>
  <c r="D158" i="7"/>
  <c r="I157" i="7"/>
  <c r="D157" i="7"/>
  <c r="I156" i="7"/>
  <c r="D156" i="7"/>
  <c r="I155" i="7"/>
  <c r="D155" i="7"/>
  <c r="I154" i="7"/>
  <c r="D154" i="7"/>
  <c r="I153" i="7"/>
  <c r="D153" i="7"/>
  <c r="I152" i="7"/>
  <c r="D152" i="7"/>
  <c r="I151" i="7"/>
  <c r="D151" i="7"/>
  <c r="I150" i="7"/>
  <c r="D150" i="7"/>
  <c r="I149" i="7"/>
  <c r="D149" i="7"/>
  <c r="I148" i="7"/>
  <c r="D148" i="7"/>
  <c r="I147" i="7"/>
  <c r="D147" i="7"/>
  <c r="I146" i="7"/>
  <c r="D146" i="7"/>
  <c r="I145" i="7"/>
  <c r="D145" i="7"/>
  <c r="I144" i="7"/>
  <c r="D144" i="7"/>
  <c r="I143" i="7"/>
  <c r="D143" i="7"/>
  <c r="I142" i="7"/>
  <c r="D142" i="7"/>
  <c r="I141" i="7"/>
  <c r="D141" i="7"/>
  <c r="I140" i="7"/>
  <c r="D140" i="7"/>
  <c r="I139" i="7"/>
  <c r="D139" i="7"/>
  <c r="I138" i="7"/>
  <c r="D138" i="7"/>
  <c r="I137" i="7"/>
  <c r="D137" i="7"/>
  <c r="I136" i="7"/>
  <c r="D136" i="7"/>
  <c r="I135" i="7"/>
  <c r="D135" i="7"/>
  <c r="I134" i="7"/>
  <c r="D134" i="7"/>
  <c r="I133" i="7"/>
  <c r="D133" i="7"/>
  <c r="I132" i="7"/>
  <c r="D132" i="7"/>
  <c r="I131" i="7"/>
  <c r="D131" i="7"/>
  <c r="I130" i="7"/>
  <c r="D130" i="7"/>
  <c r="I129" i="7"/>
  <c r="D129" i="7"/>
  <c r="I128" i="7"/>
  <c r="D128" i="7"/>
  <c r="I127" i="7"/>
  <c r="D127" i="7"/>
  <c r="I126" i="7"/>
  <c r="D126" i="7"/>
  <c r="I125" i="7"/>
  <c r="D125" i="7"/>
  <c r="I124" i="7"/>
  <c r="D124" i="7"/>
  <c r="I123" i="7"/>
  <c r="D123" i="7"/>
  <c r="I122" i="7"/>
  <c r="D122" i="7"/>
  <c r="I121" i="7"/>
  <c r="D121" i="7"/>
  <c r="I120" i="7"/>
  <c r="D120" i="7"/>
  <c r="I119" i="7"/>
  <c r="D119" i="7"/>
  <c r="I118" i="7"/>
  <c r="D118" i="7"/>
  <c r="I117" i="7"/>
  <c r="D117" i="7"/>
  <c r="I116" i="7"/>
  <c r="D116" i="7"/>
  <c r="I115" i="7"/>
  <c r="D115" i="7"/>
  <c r="I114" i="7"/>
  <c r="D114" i="7"/>
  <c r="I113" i="7"/>
  <c r="D113" i="7"/>
  <c r="I112" i="7"/>
  <c r="D112" i="7"/>
  <c r="I111" i="7"/>
  <c r="D111" i="7"/>
  <c r="I110" i="7"/>
  <c r="D110" i="7"/>
  <c r="I109" i="7"/>
  <c r="D109" i="7"/>
  <c r="I108" i="7"/>
  <c r="D108" i="7"/>
  <c r="I107" i="7"/>
  <c r="D107" i="7"/>
  <c r="I106" i="7"/>
  <c r="D106" i="7"/>
  <c r="I105" i="7"/>
  <c r="D105" i="7"/>
  <c r="I104" i="7"/>
  <c r="D104" i="7"/>
  <c r="I103" i="7"/>
  <c r="D103" i="7"/>
  <c r="I102" i="7"/>
  <c r="D102" i="7"/>
  <c r="I101" i="7"/>
  <c r="D101" i="7"/>
  <c r="I100" i="7"/>
  <c r="D100" i="7"/>
  <c r="I99" i="7"/>
  <c r="D99" i="7"/>
  <c r="I98" i="7"/>
  <c r="D98" i="7"/>
  <c r="I97" i="7"/>
  <c r="D97" i="7"/>
  <c r="I96" i="7"/>
  <c r="D96" i="7"/>
  <c r="I95" i="7"/>
  <c r="D95" i="7"/>
  <c r="I94" i="7"/>
  <c r="D94" i="7"/>
  <c r="I93" i="7"/>
  <c r="D93" i="7"/>
  <c r="I92" i="7"/>
  <c r="D92" i="7"/>
  <c r="I91" i="7"/>
  <c r="D91" i="7"/>
  <c r="I90" i="7"/>
  <c r="D90" i="7"/>
  <c r="I89" i="7"/>
  <c r="D89" i="7"/>
  <c r="I88" i="7"/>
  <c r="D88" i="7"/>
  <c r="I87" i="7"/>
  <c r="D87" i="7"/>
  <c r="I86" i="7"/>
  <c r="D86" i="7"/>
  <c r="I85" i="7"/>
  <c r="D85" i="7"/>
  <c r="I84" i="7"/>
  <c r="D84" i="7"/>
  <c r="I83" i="7"/>
  <c r="D83" i="7"/>
  <c r="I82" i="7"/>
  <c r="D82" i="7"/>
  <c r="I81" i="7"/>
  <c r="D81" i="7"/>
  <c r="I80" i="7"/>
  <c r="D80" i="7"/>
  <c r="I79" i="7"/>
  <c r="D79" i="7"/>
  <c r="I78" i="7"/>
  <c r="D78" i="7"/>
  <c r="I77" i="7"/>
  <c r="D77" i="7"/>
  <c r="I76" i="7"/>
  <c r="D76" i="7"/>
  <c r="I75" i="7"/>
  <c r="D75" i="7"/>
  <c r="I74" i="7"/>
  <c r="D74" i="7"/>
  <c r="I73" i="7"/>
  <c r="D73" i="7"/>
  <c r="I72" i="7"/>
  <c r="D72" i="7"/>
  <c r="I71" i="7"/>
  <c r="D71" i="7"/>
  <c r="I70" i="7"/>
  <c r="D70" i="7"/>
  <c r="I69" i="7"/>
  <c r="D69" i="7"/>
  <c r="I68" i="7"/>
  <c r="D68" i="7"/>
  <c r="I67" i="7"/>
  <c r="D67" i="7"/>
  <c r="I66" i="7"/>
  <c r="D66" i="7"/>
  <c r="I65" i="7"/>
  <c r="D65" i="7"/>
  <c r="I64" i="7"/>
  <c r="D64" i="7"/>
  <c r="I63" i="7"/>
  <c r="D63" i="7"/>
  <c r="I62" i="7"/>
  <c r="D62" i="7"/>
  <c r="I61" i="7"/>
  <c r="D61" i="7"/>
  <c r="I60" i="7"/>
  <c r="D60" i="7"/>
  <c r="I59" i="7"/>
  <c r="D59" i="7"/>
  <c r="I58" i="7"/>
  <c r="D58" i="7"/>
  <c r="I57" i="7"/>
  <c r="D57" i="7"/>
  <c r="I56" i="7"/>
  <c r="D56" i="7"/>
  <c r="I55" i="7"/>
  <c r="D55" i="7"/>
  <c r="I54" i="7"/>
  <c r="D54" i="7"/>
  <c r="I53" i="7"/>
  <c r="D53" i="7"/>
  <c r="I52" i="7"/>
  <c r="D52" i="7"/>
  <c r="I51" i="7"/>
  <c r="D51" i="7"/>
  <c r="I50" i="7"/>
  <c r="D50" i="7"/>
  <c r="I49" i="7"/>
  <c r="D49" i="7"/>
  <c r="I48" i="7"/>
  <c r="D48" i="7"/>
  <c r="I47" i="7"/>
  <c r="D47" i="7"/>
  <c r="I46" i="7"/>
  <c r="D46" i="7"/>
  <c r="I45" i="7"/>
  <c r="D45" i="7"/>
  <c r="I44" i="7"/>
  <c r="D44" i="7"/>
  <c r="I43" i="7"/>
  <c r="D43" i="7"/>
  <c r="I42" i="7"/>
  <c r="D42" i="7"/>
  <c r="I41" i="7"/>
  <c r="D41" i="7"/>
  <c r="I40" i="7"/>
  <c r="D40" i="7"/>
  <c r="I39" i="7"/>
  <c r="D39" i="7"/>
  <c r="I38" i="7"/>
  <c r="D38" i="7"/>
  <c r="I37" i="7"/>
  <c r="D37" i="7"/>
  <c r="I36" i="7"/>
  <c r="D36" i="7"/>
  <c r="I35" i="7"/>
  <c r="D35" i="7"/>
  <c r="I34" i="7"/>
  <c r="D34" i="7"/>
  <c r="I33" i="7"/>
  <c r="D33" i="7"/>
  <c r="I32" i="7"/>
  <c r="D32" i="7"/>
  <c r="I31" i="7"/>
  <c r="D31" i="7"/>
  <c r="I30" i="7"/>
  <c r="D30" i="7"/>
  <c r="I29" i="7"/>
  <c r="D29" i="7"/>
  <c r="I28" i="7"/>
  <c r="D28" i="7"/>
  <c r="I27" i="7"/>
  <c r="D27" i="7"/>
  <c r="I26" i="7"/>
  <c r="D26" i="7"/>
  <c r="I25" i="7"/>
  <c r="D25" i="7"/>
  <c r="I24" i="7"/>
  <c r="D24" i="7"/>
  <c r="I23" i="7"/>
  <c r="D23" i="7"/>
  <c r="I22" i="7"/>
  <c r="D22" i="7"/>
  <c r="I21" i="7"/>
  <c r="D21" i="7"/>
  <c r="I20" i="7"/>
  <c r="D20" i="7"/>
  <c r="I19" i="7"/>
  <c r="D19" i="7"/>
  <c r="I18" i="7"/>
  <c r="D18" i="7"/>
  <c r="I17" i="7"/>
  <c r="D17" i="7"/>
  <c r="I16" i="7"/>
  <c r="D16" i="7"/>
  <c r="I15" i="7"/>
  <c r="D15" i="7"/>
  <c r="I14" i="7"/>
  <c r="D14" i="7"/>
  <c r="I13" i="7"/>
  <c r="D13" i="7"/>
  <c r="I12" i="7"/>
  <c r="D12" i="7"/>
  <c r="I11" i="7"/>
  <c r="D11" i="7"/>
  <c r="I10" i="7"/>
  <c r="D10" i="7"/>
  <c r="I9" i="7"/>
  <c r="I8" i="7"/>
  <c r="I7" i="7"/>
  <c r="I6" i="7"/>
  <c r="I5" i="7"/>
  <c r="I4" i="7"/>
  <c r="I3" i="7"/>
  <c r="I2" i="7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276" i="4"/>
  <c r="E276" i="4" s="1"/>
  <c r="B275" i="4"/>
  <c r="E275" i="4" s="1"/>
  <c r="B274" i="4"/>
  <c r="E274" i="4" s="1"/>
  <c r="B273" i="4"/>
  <c r="E273" i="4" s="1"/>
  <c r="B272" i="4"/>
  <c r="E272" i="4" s="1"/>
  <c r="B271" i="4"/>
  <c r="E271" i="4" s="1"/>
  <c r="B270" i="4"/>
  <c r="E270" i="4" s="1"/>
  <c r="B269" i="4"/>
  <c r="E269" i="4" s="1"/>
  <c r="B268" i="4"/>
  <c r="E268" i="4" s="1"/>
  <c r="B267" i="4"/>
  <c r="E267" i="4" s="1"/>
  <c r="B266" i="4"/>
  <c r="E266" i="4" s="1"/>
  <c r="B265" i="4"/>
  <c r="E265" i="4" s="1"/>
  <c r="B264" i="4"/>
  <c r="E264" i="4" s="1"/>
  <c r="B263" i="4"/>
  <c r="E263" i="4" s="1"/>
  <c r="B262" i="4"/>
  <c r="E262" i="4" s="1"/>
  <c r="B261" i="4"/>
  <c r="E261" i="4" s="1"/>
  <c r="B260" i="4"/>
  <c r="E260" i="4" s="1"/>
  <c r="B259" i="4"/>
  <c r="E259" i="4" s="1"/>
  <c r="B258" i="4"/>
  <c r="E258" i="4" s="1"/>
  <c r="B257" i="4"/>
  <c r="E257" i="4" s="1"/>
  <c r="B256" i="4"/>
  <c r="E256" i="4" s="1"/>
  <c r="B255" i="4"/>
  <c r="E255" i="4" s="1"/>
  <c r="B254" i="4"/>
  <c r="E254" i="4" s="1"/>
  <c r="B253" i="4"/>
  <c r="E253" i="4" s="1"/>
  <c r="B252" i="4"/>
  <c r="E252" i="4" s="1"/>
  <c r="B251" i="4"/>
  <c r="E251" i="4" s="1"/>
  <c r="B250" i="4"/>
  <c r="E250" i="4" s="1"/>
  <c r="B249" i="4"/>
  <c r="E249" i="4" s="1"/>
  <c r="B248" i="4"/>
  <c r="E248" i="4" s="1"/>
  <c r="B247" i="4"/>
  <c r="E247" i="4" s="1"/>
  <c r="B246" i="4"/>
  <c r="E246" i="4" s="1"/>
  <c r="B245" i="4"/>
  <c r="E245" i="4" s="1"/>
  <c r="B244" i="4"/>
  <c r="E244" i="4" s="1"/>
  <c r="B243" i="4"/>
  <c r="E243" i="4" s="1"/>
  <c r="B242" i="4"/>
  <c r="E242" i="4" s="1"/>
  <c r="B241" i="4"/>
  <c r="E241" i="4" s="1"/>
  <c r="B240" i="4"/>
  <c r="E240" i="4" s="1"/>
  <c r="B239" i="4"/>
  <c r="E239" i="4" s="1"/>
  <c r="B238" i="4"/>
  <c r="E238" i="4" s="1"/>
  <c r="B237" i="4"/>
  <c r="E237" i="4" s="1"/>
  <c r="B236" i="4"/>
  <c r="E236" i="4" s="1"/>
  <c r="B235" i="4"/>
  <c r="E235" i="4" s="1"/>
  <c r="B234" i="4"/>
  <c r="E234" i="4" s="1"/>
  <c r="B233" i="4"/>
  <c r="E233" i="4" s="1"/>
  <c r="B232" i="4"/>
  <c r="E232" i="4" s="1"/>
  <c r="B231" i="4"/>
  <c r="E231" i="4" s="1"/>
  <c r="B230" i="4"/>
  <c r="E230" i="4" s="1"/>
  <c r="B229" i="4"/>
  <c r="E229" i="4" s="1"/>
  <c r="B228" i="4"/>
  <c r="E228" i="4" s="1"/>
  <c r="B227" i="4"/>
  <c r="E227" i="4" s="1"/>
  <c r="B226" i="4"/>
  <c r="E226" i="4" s="1"/>
  <c r="B225" i="4"/>
  <c r="E225" i="4" s="1"/>
  <c r="B224" i="4"/>
  <c r="E224" i="4" s="1"/>
  <c r="B223" i="4"/>
  <c r="E223" i="4" s="1"/>
  <c r="B222" i="4"/>
  <c r="E222" i="4" s="1"/>
  <c r="B221" i="4"/>
  <c r="E221" i="4" s="1"/>
  <c r="B220" i="4"/>
  <c r="E220" i="4" s="1"/>
  <c r="B219" i="4"/>
  <c r="E219" i="4" s="1"/>
  <c r="B218" i="4"/>
  <c r="E218" i="4" s="1"/>
  <c r="B217" i="4"/>
  <c r="E217" i="4" s="1"/>
  <c r="B216" i="4"/>
  <c r="E216" i="4" s="1"/>
  <c r="B215" i="4"/>
  <c r="E215" i="4" s="1"/>
  <c r="B214" i="4"/>
  <c r="E214" i="4" s="1"/>
  <c r="B213" i="4"/>
  <c r="E213" i="4" s="1"/>
  <c r="B212" i="4"/>
  <c r="E212" i="4" s="1"/>
  <c r="B211" i="4"/>
  <c r="E211" i="4" s="1"/>
  <c r="B210" i="4"/>
  <c r="E210" i="4" s="1"/>
  <c r="B209" i="4"/>
  <c r="E209" i="4" s="1"/>
  <c r="B208" i="4"/>
  <c r="E208" i="4" s="1"/>
  <c r="B207" i="4"/>
  <c r="E207" i="4" s="1"/>
  <c r="B206" i="4"/>
  <c r="E206" i="4" s="1"/>
  <c r="B205" i="4"/>
  <c r="E205" i="4" s="1"/>
  <c r="B204" i="4"/>
  <c r="E204" i="4" s="1"/>
  <c r="B203" i="4"/>
  <c r="E203" i="4" s="1"/>
  <c r="B202" i="4"/>
  <c r="E202" i="4" s="1"/>
  <c r="B201" i="4"/>
  <c r="E201" i="4" s="1"/>
  <c r="B200" i="4"/>
  <c r="E200" i="4" s="1"/>
  <c r="B199" i="4"/>
  <c r="E199" i="4" s="1"/>
  <c r="B198" i="4"/>
  <c r="E198" i="4" s="1"/>
  <c r="B197" i="4"/>
  <c r="E197" i="4" s="1"/>
  <c r="B196" i="4"/>
  <c r="E196" i="4" s="1"/>
  <c r="B195" i="4"/>
  <c r="E195" i="4" s="1"/>
  <c r="B194" i="4"/>
  <c r="E194" i="4" s="1"/>
  <c r="B193" i="4"/>
  <c r="E193" i="4" s="1"/>
  <c r="B192" i="4"/>
  <c r="E192" i="4" s="1"/>
  <c r="B191" i="4"/>
  <c r="E191" i="4" s="1"/>
  <c r="B190" i="4"/>
  <c r="E190" i="4" s="1"/>
  <c r="B189" i="4"/>
  <c r="E189" i="4" s="1"/>
  <c r="B188" i="4"/>
  <c r="E188" i="4" s="1"/>
  <c r="B187" i="4"/>
  <c r="E187" i="4" s="1"/>
  <c r="B186" i="4"/>
  <c r="E186" i="4" s="1"/>
  <c r="B185" i="4"/>
  <c r="E185" i="4" s="1"/>
  <c r="B184" i="4"/>
  <c r="E184" i="4" s="1"/>
  <c r="B183" i="4"/>
  <c r="E183" i="4" s="1"/>
  <c r="B182" i="4"/>
  <c r="E182" i="4" s="1"/>
  <c r="B181" i="4"/>
  <c r="E181" i="4" s="1"/>
  <c r="B180" i="4"/>
  <c r="E180" i="4" s="1"/>
  <c r="B179" i="4"/>
  <c r="E179" i="4" s="1"/>
  <c r="B178" i="4"/>
  <c r="E178" i="4" s="1"/>
  <c r="B177" i="4"/>
  <c r="E177" i="4" s="1"/>
  <c r="B176" i="4"/>
  <c r="E176" i="4" s="1"/>
  <c r="B175" i="4"/>
  <c r="E175" i="4" s="1"/>
  <c r="B174" i="4"/>
  <c r="E174" i="4" s="1"/>
  <c r="B173" i="4"/>
  <c r="E173" i="4" s="1"/>
  <c r="B172" i="4"/>
  <c r="E172" i="4" s="1"/>
  <c r="B171" i="4"/>
  <c r="E171" i="4" s="1"/>
  <c r="B170" i="4"/>
  <c r="E170" i="4" s="1"/>
  <c r="B169" i="4"/>
  <c r="E169" i="4" s="1"/>
  <c r="B168" i="4"/>
  <c r="E168" i="4" s="1"/>
  <c r="B167" i="4"/>
  <c r="E167" i="4" s="1"/>
  <c r="B166" i="4"/>
  <c r="E166" i="4" s="1"/>
  <c r="B165" i="4"/>
  <c r="E165" i="4" s="1"/>
  <c r="B164" i="4"/>
  <c r="E164" i="4" s="1"/>
  <c r="B163" i="4"/>
  <c r="E163" i="4" s="1"/>
  <c r="B162" i="4"/>
  <c r="E162" i="4" s="1"/>
  <c r="B161" i="4"/>
  <c r="E161" i="4" s="1"/>
  <c r="B160" i="4"/>
  <c r="E160" i="4" s="1"/>
  <c r="B159" i="4"/>
  <c r="E159" i="4" s="1"/>
  <c r="B158" i="4"/>
  <c r="E158" i="4" s="1"/>
  <c r="B157" i="4"/>
  <c r="E157" i="4" s="1"/>
  <c r="B156" i="4"/>
  <c r="E156" i="4" s="1"/>
  <c r="B155" i="4"/>
  <c r="E155" i="4" s="1"/>
  <c r="B154" i="4"/>
  <c r="E154" i="4" s="1"/>
  <c r="B153" i="4"/>
  <c r="E153" i="4" s="1"/>
  <c r="B152" i="4"/>
  <c r="E152" i="4" s="1"/>
  <c r="B151" i="4"/>
  <c r="E151" i="4" s="1"/>
  <c r="B150" i="4"/>
  <c r="E150" i="4" s="1"/>
  <c r="B149" i="4"/>
  <c r="E149" i="4" s="1"/>
  <c r="B148" i="4"/>
  <c r="E148" i="4" s="1"/>
  <c r="B147" i="4"/>
  <c r="E147" i="4" s="1"/>
  <c r="B146" i="4"/>
  <c r="E146" i="4" s="1"/>
  <c r="B145" i="4"/>
  <c r="E145" i="4" s="1"/>
  <c r="B144" i="4"/>
  <c r="E144" i="4" s="1"/>
  <c r="B143" i="4"/>
  <c r="E143" i="4" s="1"/>
  <c r="B142" i="4"/>
  <c r="E142" i="4" s="1"/>
  <c r="B141" i="4"/>
  <c r="E141" i="4" s="1"/>
  <c r="B140" i="4"/>
  <c r="E140" i="4" s="1"/>
  <c r="B139" i="4"/>
  <c r="E139" i="4" s="1"/>
  <c r="B138" i="4"/>
  <c r="E138" i="4" s="1"/>
  <c r="B137" i="4"/>
  <c r="E137" i="4" s="1"/>
  <c r="B136" i="4"/>
  <c r="E136" i="4" s="1"/>
  <c r="B135" i="4"/>
  <c r="E135" i="4" s="1"/>
  <c r="B134" i="4"/>
  <c r="E134" i="4" s="1"/>
  <c r="B133" i="4"/>
  <c r="E133" i="4" s="1"/>
  <c r="B132" i="4"/>
  <c r="E132" i="4" s="1"/>
  <c r="B131" i="4"/>
  <c r="E131" i="4" s="1"/>
  <c r="B130" i="4"/>
  <c r="E130" i="4" s="1"/>
  <c r="B129" i="4"/>
  <c r="E129" i="4" s="1"/>
  <c r="B128" i="4"/>
  <c r="E128" i="4" s="1"/>
  <c r="B127" i="4"/>
  <c r="E127" i="4" s="1"/>
  <c r="B126" i="4"/>
  <c r="E126" i="4" s="1"/>
  <c r="B125" i="4"/>
  <c r="E125" i="4" s="1"/>
  <c r="B124" i="4"/>
  <c r="E124" i="4" s="1"/>
  <c r="B123" i="4"/>
  <c r="E123" i="4" s="1"/>
  <c r="B122" i="4"/>
  <c r="E122" i="4" s="1"/>
  <c r="B121" i="4"/>
  <c r="E121" i="4" s="1"/>
  <c r="B120" i="4"/>
  <c r="E120" i="4" s="1"/>
  <c r="B119" i="4"/>
  <c r="E119" i="4" s="1"/>
  <c r="B118" i="4"/>
  <c r="E118" i="4" s="1"/>
  <c r="B117" i="4"/>
  <c r="E117" i="4" s="1"/>
  <c r="B116" i="4"/>
  <c r="E116" i="4" s="1"/>
  <c r="B115" i="4"/>
  <c r="E115" i="4" s="1"/>
  <c r="B114" i="4"/>
  <c r="E114" i="4" s="1"/>
  <c r="B113" i="4"/>
  <c r="E113" i="4" s="1"/>
  <c r="B112" i="4"/>
  <c r="E112" i="4" s="1"/>
  <c r="B111" i="4"/>
  <c r="E111" i="4" s="1"/>
  <c r="B110" i="4"/>
  <c r="E110" i="4" s="1"/>
  <c r="B109" i="4"/>
  <c r="E109" i="4" s="1"/>
  <c r="B108" i="4"/>
  <c r="E108" i="4" s="1"/>
  <c r="B107" i="4"/>
  <c r="E107" i="4" s="1"/>
  <c r="B106" i="4"/>
  <c r="E106" i="4" s="1"/>
  <c r="B105" i="4"/>
  <c r="E105" i="4" s="1"/>
  <c r="B104" i="4"/>
  <c r="E104" i="4" s="1"/>
  <c r="B103" i="4"/>
  <c r="E103" i="4" s="1"/>
  <c r="B102" i="4"/>
  <c r="E102" i="4" s="1"/>
  <c r="B101" i="4"/>
  <c r="E101" i="4" s="1"/>
  <c r="B100" i="4"/>
  <c r="E100" i="4" s="1"/>
  <c r="B99" i="4"/>
  <c r="E99" i="4" s="1"/>
  <c r="B98" i="4"/>
  <c r="E98" i="4" s="1"/>
  <c r="B97" i="4"/>
  <c r="E97" i="4" s="1"/>
  <c r="B96" i="4"/>
  <c r="E96" i="4" s="1"/>
  <c r="B95" i="4"/>
  <c r="E95" i="4" s="1"/>
  <c r="B94" i="4"/>
  <c r="E94" i="4" s="1"/>
  <c r="B93" i="4"/>
  <c r="E93" i="4" s="1"/>
  <c r="B92" i="4"/>
  <c r="E92" i="4" s="1"/>
  <c r="B91" i="4"/>
  <c r="E91" i="4" s="1"/>
  <c r="B90" i="4"/>
  <c r="E90" i="4" s="1"/>
  <c r="B89" i="4"/>
  <c r="E89" i="4" s="1"/>
  <c r="B88" i="4"/>
  <c r="E88" i="4" s="1"/>
  <c r="B87" i="4"/>
  <c r="E87" i="4" s="1"/>
  <c r="B86" i="4"/>
  <c r="E86" i="4" s="1"/>
  <c r="B85" i="4"/>
  <c r="E85" i="4" s="1"/>
  <c r="B84" i="4"/>
  <c r="E84" i="4" s="1"/>
  <c r="B83" i="4"/>
  <c r="E83" i="4" s="1"/>
  <c r="B82" i="4"/>
  <c r="E82" i="4" s="1"/>
  <c r="B81" i="4"/>
  <c r="E81" i="4" s="1"/>
  <c r="B80" i="4"/>
  <c r="E80" i="4" s="1"/>
  <c r="B79" i="4"/>
  <c r="E79" i="4" s="1"/>
  <c r="B78" i="4"/>
  <c r="E78" i="4" s="1"/>
  <c r="B77" i="4"/>
  <c r="E77" i="4" s="1"/>
  <c r="B76" i="4"/>
  <c r="E76" i="4" s="1"/>
  <c r="B75" i="4"/>
  <c r="E75" i="4" s="1"/>
  <c r="B74" i="4"/>
  <c r="E74" i="4" s="1"/>
  <c r="B73" i="4"/>
  <c r="E73" i="4" s="1"/>
  <c r="B72" i="4"/>
  <c r="E72" i="4" s="1"/>
  <c r="B71" i="4"/>
  <c r="E71" i="4" s="1"/>
  <c r="B70" i="4"/>
  <c r="E70" i="4" s="1"/>
  <c r="B69" i="4"/>
  <c r="E69" i="4" s="1"/>
  <c r="B68" i="4"/>
  <c r="E68" i="4" s="1"/>
  <c r="B67" i="4"/>
  <c r="E67" i="4" s="1"/>
  <c r="B66" i="4"/>
  <c r="E66" i="4" s="1"/>
  <c r="B65" i="4"/>
  <c r="E65" i="4" s="1"/>
  <c r="B64" i="4"/>
  <c r="E64" i="4" s="1"/>
  <c r="B63" i="4"/>
  <c r="E63" i="4" s="1"/>
  <c r="B62" i="4"/>
  <c r="E62" i="4" s="1"/>
  <c r="B61" i="4"/>
  <c r="E61" i="4" s="1"/>
  <c r="B60" i="4"/>
  <c r="E60" i="4" s="1"/>
  <c r="B59" i="4"/>
  <c r="E59" i="4" s="1"/>
  <c r="B58" i="4"/>
  <c r="E58" i="4" s="1"/>
  <c r="B57" i="4"/>
  <c r="E57" i="4" s="1"/>
  <c r="B56" i="4"/>
  <c r="E56" i="4" s="1"/>
  <c r="B55" i="4"/>
  <c r="E55" i="4" s="1"/>
  <c r="B54" i="4"/>
  <c r="E54" i="4" s="1"/>
  <c r="B53" i="4"/>
  <c r="E53" i="4" s="1"/>
  <c r="B52" i="4"/>
  <c r="E52" i="4" s="1"/>
  <c r="B51" i="4"/>
  <c r="E51" i="4" s="1"/>
  <c r="B50" i="4"/>
  <c r="E50" i="4" s="1"/>
  <c r="B49" i="4"/>
  <c r="E49" i="4" s="1"/>
  <c r="B48" i="4"/>
  <c r="E48" i="4" s="1"/>
  <c r="B47" i="4"/>
  <c r="E47" i="4" s="1"/>
  <c r="B46" i="4"/>
  <c r="E46" i="4" s="1"/>
  <c r="B45" i="4"/>
  <c r="E45" i="4" s="1"/>
  <c r="B44" i="4"/>
  <c r="E44" i="4" s="1"/>
  <c r="B43" i="4"/>
  <c r="E43" i="4" s="1"/>
  <c r="B42" i="4"/>
  <c r="E42" i="4" s="1"/>
  <c r="B41" i="4"/>
  <c r="E41" i="4" s="1"/>
  <c r="B40" i="4"/>
  <c r="E40" i="4" s="1"/>
  <c r="B39" i="4"/>
  <c r="E39" i="4" s="1"/>
  <c r="B38" i="4"/>
  <c r="E38" i="4" s="1"/>
  <c r="B37" i="4"/>
  <c r="E37" i="4" s="1"/>
  <c r="B36" i="4"/>
  <c r="E36" i="4" s="1"/>
  <c r="B35" i="4"/>
  <c r="E35" i="4" s="1"/>
  <c r="B34" i="4"/>
  <c r="E34" i="4" s="1"/>
  <c r="B33" i="4"/>
  <c r="E33" i="4" s="1"/>
  <c r="B32" i="4"/>
  <c r="E32" i="4" s="1"/>
  <c r="B31" i="4"/>
  <c r="E31" i="4" s="1"/>
  <c r="B30" i="4"/>
  <c r="E30" i="4" s="1"/>
  <c r="B29" i="4"/>
  <c r="E29" i="4" s="1"/>
  <c r="B28" i="4"/>
  <c r="E28" i="4" s="1"/>
  <c r="B27" i="4"/>
  <c r="E27" i="4" s="1"/>
  <c r="B26" i="4"/>
  <c r="E26" i="4" s="1"/>
  <c r="B25" i="4"/>
  <c r="E25" i="4" s="1"/>
  <c r="B24" i="4"/>
  <c r="E24" i="4" s="1"/>
  <c r="B23" i="4"/>
  <c r="E23" i="4" s="1"/>
  <c r="B22" i="4"/>
  <c r="E22" i="4" s="1"/>
  <c r="B21" i="4"/>
  <c r="E21" i="4" s="1"/>
  <c r="B20" i="4"/>
  <c r="E20" i="4" s="1"/>
  <c r="B19" i="4"/>
  <c r="E19" i="4" s="1"/>
  <c r="B18" i="4"/>
  <c r="E18" i="4" s="1"/>
  <c r="B17" i="4"/>
  <c r="E17" i="4" s="1"/>
  <c r="B16" i="4"/>
  <c r="E16" i="4" s="1"/>
  <c r="B15" i="4"/>
  <c r="E15" i="4" s="1"/>
  <c r="B14" i="4"/>
  <c r="E14" i="4" s="1"/>
  <c r="B13" i="4"/>
  <c r="E13" i="4" s="1"/>
  <c r="B12" i="4"/>
  <c r="E12" i="4" s="1"/>
  <c r="B11" i="4"/>
  <c r="E11" i="4" s="1"/>
  <c r="B10" i="4"/>
  <c r="E10" i="4" s="1"/>
  <c r="B9" i="4"/>
  <c r="E9" i="4" s="1"/>
  <c r="B8" i="4"/>
  <c r="E8" i="4" s="1"/>
  <c r="B7" i="4"/>
  <c r="E7" i="4" s="1"/>
  <c r="B6" i="4"/>
  <c r="E6" i="4" s="1"/>
  <c r="B5" i="4"/>
  <c r="E5" i="4" s="1"/>
  <c r="B4" i="4"/>
  <c r="E4" i="4" s="1"/>
  <c r="B3" i="4"/>
  <c r="E3" i="4" s="1"/>
  <c r="B2" i="4"/>
  <c r="E2" i="4" s="1"/>
  <c r="T1" i="4"/>
  <c r="E10" i="3"/>
  <c r="E9" i="3"/>
  <c r="E8" i="3"/>
  <c r="E5" i="3"/>
  <c r="F5000" i="2"/>
  <c r="D5000" i="2"/>
  <c r="F4999" i="2"/>
  <c r="D4999" i="2"/>
  <c r="F4998" i="2"/>
  <c r="D4998" i="2"/>
  <c r="F4997" i="2"/>
  <c r="D4997" i="2"/>
  <c r="F4996" i="2"/>
  <c r="D4996" i="2"/>
  <c r="F4995" i="2"/>
  <c r="D4995" i="2"/>
  <c r="F4994" i="2"/>
  <c r="D4994" i="2"/>
  <c r="F4993" i="2"/>
  <c r="D4993" i="2"/>
  <c r="F4992" i="2"/>
  <c r="D4992" i="2"/>
  <c r="F4991" i="2"/>
  <c r="D4991" i="2"/>
  <c r="F4990" i="2"/>
  <c r="D4990" i="2"/>
  <c r="F4989" i="2"/>
  <c r="D4989" i="2"/>
  <c r="F4988" i="2"/>
  <c r="D4988" i="2"/>
  <c r="F4987" i="2"/>
  <c r="D4987" i="2"/>
  <c r="F4986" i="2"/>
  <c r="D4986" i="2"/>
  <c r="F4985" i="2"/>
  <c r="D4985" i="2"/>
  <c r="F4984" i="2"/>
  <c r="D4984" i="2"/>
  <c r="F4983" i="2"/>
  <c r="D4983" i="2"/>
  <c r="F4982" i="2"/>
  <c r="D4982" i="2"/>
  <c r="F4981" i="2"/>
  <c r="D4981" i="2"/>
  <c r="F4980" i="2"/>
  <c r="D4980" i="2"/>
  <c r="F4979" i="2"/>
  <c r="D4979" i="2"/>
  <c r="F4978" i="2"/>
  <c r="D4978" i="2"/>
  <c r="F4977" i="2"/>
  <c r="D4977" i="2"/>
  <c r="F4976" i="2"/>
  <c r="D4976" i="2"/>
  <c r="F4975" i="2"/>
  <c r="D4975" i="2"/>
  <c r="F4974" i="2"/>
  <c r="D4974" i="2"/>
  <c r="F4973" i="2"/>
  <c r="D4973" i="2"/>
  <c r="F4972" i="2"/>
  <c r="D4972" i="2"/>
  <c r="F4971" i="2"/>
  <c r="D4971" i="2"/>
  <c r="F4970" i="2"/>
  <c r="D4970" i="2"/>
  <c r="F4969" i="2"/>
  <c r="D4969" i="2"/>
  <c r="F4968" i="2"/>
  <c r="D4968" i="2"/>
  <c r="F4967" i="2"/>
  <c r="D4967" i="2"/>
  <c r="F4966" i="2"/>
  <c r="D4966" i="2"/>
  <c r="F4965" i="2"/>
  <c r="D4965" i="2"/>
  <c r="F4964" i="2"/>
  <c r="D4964" i="2"/>
  <c r="F4963" i="2"/>
  <c r="D4963" i="2"/>
  <c r="F4962" i="2"/>
  <c r="D4962" i="2"/>
  <c r="F4961" i="2"/>
  <c r="D4961" i="2"/>
  <c r="F4960" i="2"/>
  <c r="D4960" i="2"/>
  <c r="F4959" i="2"/>
  <c r="D4959" i="2"/>
  <c r="F4958" i="2"/>
  <c r="D4958" i="2"/>
  <c r="F4957" i="2"/>
  <c r="D4957" i="2"/>
  <c r="F4956" i="2"/>
  <c r="D4956" i="2"/>
  <c r="F4955" i="2"/>
  <c r="D4955" i="2"/>
  <c r="F4954" i="2"/>
  <c r="D4954" i="2"/>
  <c r="F4953" i="2"/>
  <c r="D4953" i="2"/>
  <c r="F4952" i="2"/>
  <c r="D4952" i="2"/>
  <c r="F4951" i="2"/>
  <c r="D4951" i="2"/>
  <c r="F4950" i="2"/>
  <c r="D4950" i="2"/>
  <c r="F4949" i="2"/>
  <c r="D4949" i="2"/>
  <c r="F4948" i="2"/>
  <c r="D4948" i="2"/>
  <c r="F4947" i="2"/>
  <c r="D4947" i="2"/>
  <c r="F4946" i="2"/>
  <c r="D4946" i="2"/>
  <c r="F4945" i="2"/>
  <c r="D4945" i="2"/>
  <c r="F4944" i="2"/>
  <c r="D4944" i="2"/>
  <c r="F4943" i="2"/>
  <c r="D4943" i="2"/>
  <c r="F4942" i="2"/>
  <c r="D4942" i="2"/>
  <c r="F4941" i="2"/>
  <c r="D4941" i="2"/>
  <c r="F4940" i="2"/>
  <c r="D4940" i="2"/>
  <c r="F4939" i="2"/>
  <c r="D4939" i="2"/>
  <c r="F4938" i="2"/>
  <c r="D4938" i="2"/>
  <c r="F4937" i="2"/>
  <c r="D4937" i="2"/>
  <c r="F4936" i="2"/>
  <c r="D4936" i="2"/>
  <c r="F4935" i="2"/>
  <c r="D4935" i="2"/>
  <c r="F4934" i="2"/>
  <c r="D4934" i="2"/>
  <c r="F4933" i="2"/>
  <c r="D4933" i="2"/>
  <c r="F4932" i="2"/>
  <c r="D4932" i="2"/>
  <c r="F4931" i="2"/>
  <c r="D4931" i="2"/>
  <c r="F4930" i="2"/>
  <c r="D4930" i="2"/>
  <c r="F4929" i="2"/>
  <c r="D4929" i="2"/>
  <c r="F4928" i="2"/>
  <c r="D4928" i="2"/>
  <c r="F4927" i="2"/>
  <c r="D4927" i="2"/>
  <c r="F4926" i="2"/>
  <c r="D4926" i="2"/>
  <c r="F4925" i="2"/>
  <c r="D4925" i="2"/>
  <c r="F4924" i="2"/>
  <c r="D4924" i="2"/>
  <c r="F4923" i="2"/>
  <c r="D4923" i="2"/>
  <c r="F4922" i="2"/>
  <c r="D4922" i="2"/>
  <c r="F4921" i="2"/>
  <c r="D4921" i="2"/>
  <c r="F4920" i="2"/>
  <c r="D4920" i="2"/>
  <c r="F4919" i="2"/>
  <c r="D4919" i="2"/>
  <c r="F4918" i="2"/>
  <c r="D4918" i="2"/>
  <c r="F4917" i="2"/>
  <c r="D4917" i="2"/>
  <c r="F4916" i="2"/>
  <c r="D4916" i="2"/>
  <c r="F4915" i="2"/>
  <c r="D4915" i="2"/>
  <c r="F4914" i="2"/>
  <c r="D4914" i="2"/>
  <c r="F4913" i="2"/>
  <c r="D4913" i="2"/>
  <c r="F4912" i="2"/>
  <c r="D4912" i="2"/>
  <c r="F4911" i="2"/>
  <c r="D4911" i="2"/>
  <c r="F4910" i="2"/>
  <c r="D4910" i="2"/>
  <c r="F4909" i="2"/>
  <c r="D4909" i="2"/>
  <c r="F4908" i="2"/>
  <c r="D4908" i="2"/>
  <c r="F4907" i="2"/>
  <c r="D4907" i="2"/>
  <c r="F4906" i="2"/>
  <c r="D4906" i="2"/>
  <c r="F4905" i="2"/>
  <c r="D4905" i="2"/>
  <c r="F4904" i="2"/>
  <c r="D4904" i="2"/>
  <c r="F4903" i="2"/>
  <c r="D4903" i="2"/>
  <c r="F4902" i="2"/>
  <c r="D4902" i="2"/>
  <c r="F4901" i="2"/>
  <c r="D4901" i="2"/>
  <c r="F4900" i="2"/>
  <c r="D4900" i="2"/>
  <c r="F4899" i="2"/>
  <c r="D4899" i="2"/>
  <c r="F4898" i="2"/>
  <c r="D4898" i="2"/>
  <c r="F4897" i="2"/>
  <c r="D4897" i="2"/>
  <c r="F4896" i="2"/>
  <c r="D4896" i="2"/>
  <c r="F4895" i="2"/>
  <c r="D4895" i="2"/>
  <c r="F4894" i="2"/>
  <c r="D4894" i="2"/>
  <c r="F4893" i="2"/>
  <c r="D4893" i="2"/>
  <c r="F4892" i="2"/>
  <c r="D4892" i="2"/>
  <c r="F4891" i="2"/>
  <c r="D4891" i="2"/>
  <c r="F4890" i="2"/>
  <c r="D4890" i="2"/>
  <c r="F4889" i="2"/>
  <c r="D4889" i="2"/>
  <c r="F4888" i="2"/>
  <c r="D4888" i="2"/>
  <c r="F4887" i="2"/>
  <c r="D4887" i="2"/>
  <c r="F4886" i="2"/>
  <c r="D4886" i="2"/>
  <c r="F4885" i="2"/>
  <c r="D4885" i="2"/>
  <c r="F4884" i="2"/>
  <c r="D4884" i="2"/>
  <c r="F4883" i="2"/>
  <c r="D4883" i="2"/>
  <c r="F4882" i="2"/>
  <c r="D4882" i="2"/>
  <c r="F4881" i="2"/>
  <c r="D4881" i="2"/>
  <c r="F4880" i="2"/>
  <c r="D4880" i="2"/>
  <c r="F4879" i="2"/>
  <c r="D4879" i="2"/>
  <c r="F4878" i="2"/>
  <c r="D4878" i="2"/>
  <c r="F4877" i="2"/>
  <c r="D4877" i="2"/>
  <c r="F4876" i="2"/>
  <c r="D4876" i="2"/>
  <c r="F4875" i="2"/>
  <c r="D4875" i="2"/>
  <c r="F4874" i="2"/>
  <c r="D4874" i="2"/>
  <c r="F4873" i="2"/>
  <c r="D4873" i="2"/>
  <c r="F4872" i="2"/>
  <c r="D4872" i="2"/>
  <c r="F4871" i="2"/>
  <c r="D4871" i="2"/>
  <c r="F4870" i="2"/>
  <c r="D4870" i="2"/>
  <c r="F4869" i="2"/>
  <c r="D4869" i="2"/>
  <c r="F4868" i="2"/>
  <c r="D4868" i="2"/>
  <c r="F4867" i="2"/>
  <c r="D4867" i="2"/>
  <c r="F4866" i="2"/>
  <c r="D4866" i="2"/>
  <c r="F4865" i="2"/>
  <c r="D4865" i="2"/>
  <c r="F4864" i="2"/>
  <c r="D4864" i="2"/>
  <c r="F4863" i="2"/>
  <c r="D4863" i="2"/>
  <c r="F4862" i="2"/>
  <c r="D4862" i="2"/>
  <c r="F4861" i="2"/>
  <c r="D4861" i="2"/>
  <c r="F4860" i="2"/>
  <c r="D4860" i="2"/>
  <c r="F4859" i="2"/>
  <c r="D4859" i="2"/>
  <c r="F4858" i="2"/>
  <c r="D4858" i="2"/>
  <c r="F4857" i="2"/>
  <c r="D4857" i="2"/>
  <c r="F4856" i="2"/>
  <c r="D4856" i="2"/>
  <c r="F4855" i="2"/>
  <c r="D4855" i="2"/>
  <c r="F4854" i="2"/>
  <c r="D4854" i="2"/>
  <c r="F4853" i="2"/>
  <c r="D4853" i="2"/>
  <c r="F4852" i="2"/>
  <c r="D4852" i="2"/>
  <c r="F4851" i="2"/>
  <c r="D4851" i="2"/>
  <c r="F4850" i="2"/>
  <c r="D4850" i="2"/>
  <c r="F4849" i="2"/>
  <c r="D4849" i="2"/>
  <c r="F4848" i="2"/>
  <c r="D4848" i="2"/>
  <c r="F4847" i="2"/>
  <c r="D4847" i="2"/>
  <c r="F4846" i="2"/>
  <c r="D4846" i="2"/>
  <c r="F4845" i="2"/>
  <c r="D4845" i="2"/>
  <c r="F4844" i="2"/>
  <c r="D4844" i="2"/>
  <c r="F4843" i="2"/>
  <c r="D4843" i="2"/>
  <c r="F4842" i="2"/>
  <c r="D4842" i="2"/>
  <c r="F4841" i="2"/>
  <c r="D4841" i="2"/>
  <c r="F4840" i="2"/>
  <c r="D4840" i="2"/>
  <c r="F4839" i="2"/>
  <c r="D4839" i="2"/>
  <c r="F4838" i="2"/>
  <c r="D4838" i="2"/>
  <c r="F4837" i="2"/>
  <c r="D4837" i="2"/>
  <c r="F4836" i="2"/>
  <c r="D4836" i="2"/>
  <c r="F4835" i="2"/>
  <c r="D4835" i="2"/>
  <c r="F4834" i="2"/>
  <c r="D4834" i="2"/>
  <c r="F4833" i="2"/>
  <c r="D4833" i="2"/>
  <c r="F4832" i="2"/>
  <c r="D4832" i="2"/>
  <c r="F4831" i="2"/>
  <c r="D4831" i="2"/>
  <c r="F4830" i="2"/>
  <c r="D4830" i="2"/>
  <c r="F4829" i="2"/>
  <c r="D4829" i="2"/>
  <c r="F4828" i="2"/>
  <c r="D4828" i="2"/>
  <c r="F4827" i="2"/>
  <c r="D4827" i="2"/>
  <c r="F4826" i="2"/>
  <c r="D4826" i="2"/>
  <c r="F4825" i="2"/>
  <c r="D4825" i="2"/>
  <c r="F4824" i="2"/>
  <c r="D4824" i="2"/>
  <c r="F4823" i="2"/>
  <c r="D4823" i="2"/>
  <c r="F4822" i="2"/>
  <c r="D4822" i="2"/>
  <c r="F4821" i="2"/>
  <c r="D4821" i="2"/>
  <c r="F4820" i="2"/>
  <c r="D4820" i="2"/>
  <c r="F4819" i="2"/>
  <c r="D4819" i="2"/>
  <c r="F4818" i="2"/>
  <c r="D4818" i="2"/>
  <c r="F4817" i="2"/>
  <c r="D4817" i="2"/>
  <c r="F4816" i="2"/>
  <c r="D4816" i="2"/>
  <c r="F4815" i="2"/>
  <c r="D4815" i="2"/>
  <c r="F4814" i="2"/>
  <c r="D4814" i="2"/>
  <c r="F4813" i="2"/>
  <c r="D4813" i="2"/>
  <c r="F4812" i="2"/>
  <c r="D4812" i="2"/>
  <c r="F4811" i="2"/>
  <c r="D4811" i="2"/>
  <c r="F4810" i="2"/>
  <c r="D4810" i="2"/>
  <c r="F4809" i="2"/>
  <c r="D4809" i="2"/>
  <c r="F4808" i="2"/>
  <c r="D4808" i="2"/>
  <c r="F4807" i="2"/>
  <c r="D4807" i="2"/>
  <c r="F4806" i="2"/>
  <c r="D4806" i="2"/>
  <c r="F4805" i="2"/>
  <c r="D4805" i="2"/>
  <c r="F4804" i="2"/>
  <c r="D4804" i="2"/>
  <c r="F4803" i="2"/>
  <c r="D4803" i="2"/>
  <c r="F4802" i="2"/>
  <c r="D4802" i="2"/>
  <c r="F4801" i="2"/>
  <c r="D4801" i="2"/>
  <c r="F4800" i="2"/>
  <c r="D4800" i="2"/>
  <c r="F4799" i="2"/>
  <c r="D4799" i="2"/>
  <c r="F4798" i="2"/>
  <c r="D4798" i="2"/>
  <c r="F4797" i="2"/>
  <c r="D4797" i="2"/>
  <c r="F4796" i="2"/>
  <c r="D4796" i="2"/>
  <c r="F4795" i="2"/>
  <c r="D4795" i="2"/>
  <c r="F4794" i="2"/>
  <c r="D4794" i="2"/>
  <c r="F4793" i="2"/>
  <c r="D4793" i="2"/>
  <c r="F4792" i="2"/>
  <c r="D4792" i="2"/>
  <c r="F4791" i="2"/>
  <c r="D4791" i="2"/>
  <c r="F4790" i="2"/>
  <c r="D4790" i="2"/>
  <c r="F4789" i="2"/>
  <c r="D4789" i="2"/>
  <c r="F4788" i="2"/>
  <c r="D4788" i="2"/>
  <c r="F4787" i="2"/>
  <c r="D4787" i="2"/>
  <c r="F4786" i="2"/>
  <c r="D4786" i="2"/>
  <c r="F4785" i="2"/>
  <c r="D4785" i="2"/>
  <c r="F4784" i="2"/>
  <c r="D4784" i="2"/>
  <c r="F4783" i="2"/>
  <c r="D4783" i="2"/>
  <c r="F4782" i="2"/>
  <c r="D4782" i="2"/>
  <c r="F4781" i="2"/>
  <c r="D4781" i="2"/>
  <c r="F4780" i="2"/>
  <c r="D4780" i="2"/>
  <c r="F4779" i="2"/>
  <c r="D4779" i="2"/>
  <c r="F4778" i="2"/>
  <c r="D4778" i="2"/>
  <c r="F4777" i="2"/>
  <c r="D4777" i="2"/>
  <c r="F4776" i="2"/>
  <c r="D4776" i="2"/>
  <c r="F4775" i="2"/>
  <c r="D4775" i="2"/>
  <c r="F4774" i="2"/>
  <c r="D4774" i="2"/>
  <c r="F4773" i="2"/>
  <c r="D4773" i="2"/>
  <c r="F4772" i="2"/>
  <c r="D4772" i="2"/>
  <c r="F4771" i="2"/>
  <c r="D4771" i="2"/>
  <c r="F4770" i="2"/>
  <c r="D4770" i="2"/>
  <c r="F4769" i="2"/>
  <c r="D4769" i="2"/>
  <c r="F4768" i="2"/>
  <c r="D4768" i="2"/>
  <c r="F4767" i="2"/>
  <c r="D4767" i="2"/>
  <c r="F4766" i="2"/>
  <c r="D4766" i="2"/>
  <c r="F4765" i="2"/>
  <c r="D4765" i="2"/>
  <c r="F4764" i="2"/>
  <c r="D4764" i="2"/>
  <c r="F4763" i="2"/>
  <c r="D4763" i="2"/>
  <c r="F4762" i="2"/>
  <c r="D4762" i="2"/>
  <c r="F4761" i="2"/>
  <c r="D4761" i="2"/>
  <c r="F4760" i="2"/>
  <c r="D4760" i="2"/>
  <c r="F4759" i="2"/>
  <c r="D4759" i="2"/>
  <c r="F4758" i="2"/>
  <c r="D4758" i="2"/>
  <c r="F4757" i="2"/>
  <c r="D4757" i="2"/>
  <c r="F4756" i="2"/>
  <c r="D4756" i="2"/>
  <c r="F4755" i="2"/>
  <c r="D4755" i="2"/>
  <c r="F4754" i="2"/>
  <c r="D4754" i="2"/>
  <c r="F4753" i="2"/>
  <c r="D4753" i="2"/>
  <c r="F4752" i="2"/>
  <c r="D4752" i="2"/>
  <c r="F4751" i="2"/>
  <c r="D4751" i="2"/>
  <c r="F4750" i="2"/>
  <c r="D4750" i="2"/>
  <c r="F4749" i="2"/>
  <c r="D4749" i="2"/>
  <c r="F4748" i="2"/>
  <c r="D4748" i="2"/>
  <c r="F4747" i="2"/>
  <c r="D4747" i="2"/>
  <c r="F4746" i="2"/>
  <c r="D4746" i="2"/>
  <c r="F4745" i="2"/>
  <c r="D4745" i="2"/>
  <c r="F4744" i="2"/>
  <c r="D4744" i="2"/>
  <c r="F4743" i="2"/>
  <c r="D4743" i="2"/>
  <c r="F4742" i="2"/>
  <c r="D4742" i="2"/>
  <c r="F4741" i="2"/>
  <c r="D4741" i="2"/>
  <c r="F4740" i="2"/>
  <c r="D4740" i="2"/>
  <c r="F4739" i="2"/>
  <c r="D4739" i="2"/>
  <c r="F4738" i="2"/>
  <c r="D4738" i="2"/>
  <c r="F4737" i="2"/>
  <c r="D4737" i="2"/>
  <c r="F4736" i="2"/>
  <c r="D4736" i="2"/>
  <c r="F4735" i="2"/>
  <c r="D4735" i="2"/>
  <c r="F4734" i="2"/>
  <c r="D4734" i="2"/>
  <c r="F4733" i="2"/>
  <c r="D4733" i="2"/>
  <c r="F4732" i="2"/>
  <c r="D4732" i="2"/>
  <c r="F4731" i="2"/>
  <c r="D4731" i="2"/>
  <c r="F4730" i="2"/>
  <c r="D4730" i="2"/>
  <c r="F4729" i="2"/>
  <c r="D4729" i="2"/>
  <c r="F4728" i="2"/>
  <c r="D4728" i="2"/>
  <c r="F4727" i="2"/>
  <c r="D4727" i="2"/>
  <c r="F4726" i="2"/>
  <c r="D4726" i="2"/>
  <c r="F4725" i="2"/>
  <c r="D4725" i="2"/>
  <c r="F4724" i="2"/>
  <c r="D4724" i="2"/>
  <c r="F4723" i="2"/>
  <c r="D4723" i="2"/>
  <c r="F4722" i="2"/>
  <c r="D4722" i="2"/>
  <c r="F4721" i="2"/>
  <c r="D4721" i="2"/>
  <c r="F4720" i="2"/>
  <c r="D4720" i="2"/>
  <c r="F4719" i="2"/>
  <c r="D4719" i="2"/>
  <c r="F4718" i="2"/>
  <c r="D4718" i="2"/>
  <c r="F4717" i="2"/>
  <c r="D4717" i="2"/>
  <c r="F4716" i="2"/>
  <c r="D4716" i="2"/>
  <c r="F4715" i="2"/>
  <c r="D4715" i="2"/>
  <c r="F4714" i="2"/>
  <c r="D4714" i="2"/>
  <c r="F4713" i="2"/>
  <c r="D4713" i="2"/>
  <c r="F4712" i="2"/>
  <c r="D4712" i="2"/>
  <c r="F4711" i="2"/>
  <c r="D4711" i="2"/>
  <c r="F4710" i="2"/>
  <c r="D4710" i="2"/>
  <c r="F4709" i="2"/>
  <c r="D4709" i="2"/>
  <c r="F4708" i="2"/>
  <c r="D4708" i="2"/>
  <c r="F4707" i="2"/>
  <c r="D4707" i="2"/>
  <c r="F4706" i="2"/>
  <c r="D4706" i="2"/>
  <c r="F4705" i="2"/>
  <c r="D4705" i="2"/>
  <c r="F4704" i="2"/>
  <c r="D4704" i="2"/>
  <c r="F4703" i="2"/>
  <c r="D4703" i="2"/>
  <c r="F4702" i="2"/>
  <c r="D4702" i="2"/>
  <c r="F4701" i="2"/>
  <c r="D4701" i="2"/>
  <c r="F4700" i="2"/>
  <c r="D4700" i="2"/>
  <c r="F4699" i="2"/>
  <c r="D4699" i="2"/>
  <c r="F4698" i="2"/>
  <c r="D4698" i="2"/>
  <c r="F4697" i="2"/>
  <c r="D4697" i="2"/>
  <c r="F4696" i="2"/>
  <c r="D4696" i="2"/>
  <c r="F4695" i="2"/>
  <c r="D4695" i="2"/>
  <c r="F4694" i="2"/>
  <c r="D4694" i="2"/>
  <c r="F4693" i="2"/>
  <c r="D4693" i="2"/>
  <c r="F4692" i="2"/>
  <c r="D4692" i="2"/>
  <c r="F4691" i="2"/>
  <c r="D4691" i="2"/>
  <c r="F4690" i="2"/>
  <c r="D4690" i="2"/>
  <c r="F4689" i="2"/>
  <c r="D4689" i="2"/>
  <c r="F4688" i="2"/>
  <c r="D4688" i="2"/>
  <c r="F4687" i="2"/>
  <c r="D4687" i="2"/>
  <c r="F4686" i="2"/>
  <c r="D4686" i="2"/>
  <c r="F4685" i="2"/>
  <c r="D4685" i="2"/>
  <c r="F4684" i="2"/>
  <c r="D4684" i="2"/>
  <c r="F4683" i="2"/>
  <c r="D4683" i="2"/>
  <c r="F4682" i="2"/>
  <c r="D4682" i="2"/>
  <c r="F4681" i="2"/>
  <c r="D4681" i="2"/>
  <c r="F4680" i="2"/>
  <c r="D4680" i="2"/>
  <c r="F4679" i="2"/>
  <c r="D4679" i="2"/>
  <c r="F4678" i="2"/>
  <c r="D4678" i="2"/>
  <c r="F4677" i="2"/>
  <c r="D4677" i="2"/>
  <c r="F4676" i="2"/>
  <c r="D4676" i="2"/>
  <c r="F4675" i="2"/>
  <c r="D4675" i="2"/>
  <c r="F4674" i="2"/>
  <c r="D4674" i="2"/>
  <c r="F4673" i="2"/>
  <c r="D4673" i="2"/>
  <c r="F4672" i="2"/>
  <c r="D4672" i="2"/>
  <c r="F4671" i="2"/>
  <c r="D4671" i="2"/>
  <c r="F4670" i="2"/>
  <c r="D4670" i="2"/>
  <c r="F4669" i="2"/>
  <c r="D4669" i="2"/>
  <c r="F4668" i="2"/>
  <c r="D4668" i="2"/>
  <c r="F4667" i="2"/>
  <c r="D4667" i="2"/>
  <c r="F4666" i="2"/>
  <c r="D4666" i="2"/>
  <c r="F4665" i="2"/>
  <c r="D4665" i="2"/>
  <c r="F4664" i="2"/>
  <c r="D4664" i="2"/>
  <c r="F4663" i="2"/>
  <c r="D4663" i="2"/>
  <c r="F4662" i="2"/>
  <c r="D4662" i="2"/>
  <c r="F4661" i="2"/>
  <c r="D4661" i="2"/>
  <c r="F4660" i="2"/>
  <c r="D4660" i="2"/>
  <c r="F4659" i="2"/>
  <c r="D4659" i="2"/>
  <c r="F4658" i="2"/>
  <c r="D4658" i="2"/>
  <c r="F4657" i="2"/>
  <c r="D4657" i="2"/>
  <c r="F4656" i="2"/>
  <c r="D4656" i="2"/>
  <c r="F4655" i="2"/>
  <c r="D4655" i="2"/>
  <c r="F4654" i="2"/>
  <c r="D4654" i="2"/>
  <c r="F4653" i="2"/>
  <c r="D4653" i="2"/>
  <c r="F4652" i="2"/>
  <c r="D4652" i="2"/>
  <c r="F4651" i="2"/>
  <c r="D4651" i="2"/>
  <c r="F4650" i="2"/>
  <c r="D4650" i="2"/>
  <c r="F4649" i="2"/>
  <c r="D4649" i="2"/>
  <c r="F4648" i="2"/>
  <c r="D4648" i="2"/>
  <c r="F4647" i="2"/>
  <c r="D4647" i="2"/>
  <c r="F4646" i="2"/>
  <c r="D4646" i="2"/>
  <c r="F4645" i="2"/>
  <c r="D4645" i="2"/>
  <c r="F4644" i="2"/>
  <c r="D4644" i="2"/>
  <c r="F4643" i="2"/>
  <c r="D4643" i="2"/>
  <c r="F4642" i="2"/>
  <c r="D4642" i="2"/>
  <c r="F4641" i="2"/>
  <c r="D4641" i="2"/>
  <c r="F4640" i="2"/>
  <c r="D4640" i="2"/>
  <c r="F4639" i="2"/>
  <c r="D4639" i="2"/>
  <c r="F4638" i="2"/>
  <c r="D4638" i="2"/>
  <c r="F4637" i="2"/>
  <c r="D4637" i="2"/>
  <c r="F4636" i="2"/>
  <c r="D4636" i="2"/>
  <c r="F4635" i="2"/>
  <c r="D4635" i="2"/>
  <c r="F4634" i="2"/>
  <c r="D4634" i="2"/>
  <c r="F4633" i="2"/>
  <c r="D4633" i="2"/>
  <c r="F4632" i="2"/>
  <c r="D4632" i="2"/>
  <c r="F4631" i="2"/>
  <c r="D4631" i="2"/>
  <c r="F4630" i="2"/>
  <c r="D4630" i="2"/>
  <c r="F4629" i="2"/>
  <c r="D4629" i="2"/>
  <c r="F4628" i="2"/>
  <c r="D4628" i="2"/>
  <c r="F4627" i="2"/>
  <c r="D4627" i="2"/>
  <c r="F4626" i="2"/>
  <c r="D4626" i="2"/>
  <c r="F4625" i="2"/>
  <c r="D4625" i="2"/>
  <c r="F4624" i="2"/>
  <c r="D4624" i="2"/>
  <c r="F4623" i="2"/>
  <c r="D4623" i="2"/>
  <c r="F4622" i="2"/>
  <c r="D4622" i="2"/>
  <c r="F4621" i="2"/>
  <c r="D4621" i="2"/>
  <c r="F4620" i="2"/>
  <c r="D4620" i="2"/>
  <c r="F4619" i="2"/>
  <c r="D4619" i="2"/>
  <c r="F4618" i="2"/>
  <c r="D4618" i="2"/>
  <c r="F4617" i="2"/>
  <c r="D4617" i="2"/>
  <c r="F4616" i="2"/>
  <c r="D4616" i="2"/>
  <c r="F4615" i="2"/>
  <c r="D4615" i="2"/>
  <c r="F4614" i="2"/>
  <c r="D4614" i="2"/>
  <c r="F4613" i="2"/>
  <c r="D4613" i="2"/>
  <c r="F4612" i="2"/>
  <c r="D4612" i="2"/>
  <c r="F4611" i="2"/>
  <c r="D4611" i="2"/>
  <c r="F4610" i="2"/>
  <c r="D4610" i="2"/>
  <c r="F4609" i="2"/>
  <c r="D4609" i="2"/>
  <c r="F4608" i="2"/>
  <c r="D4608" i="2"/>
  <c r="F4607" i="2"/>
  <c r="D4607" i="2"/>
  <c r="F4606" i="2"/>
  <c r="D4606" i="2"/>
  <c r="F4605" i="2"/>
  <c r="D4605" i="2"/>
  <c r="F4604" i="2"/>
  <c r="D4604" i="2"/>
  <c r="F4603" i="2"/>
  <c r="D4603" i="2"/>
  <c r="F4602" i="2"/>
  <c r="D4602" i="2"/>
  <c r="F4601" i="2"/>
  <c r="D4601" i="2"/>
  <c r="F4600" i="2"/>
  <c r="D4600" i="2"/>
  <c r="F4599" i="2"/>
  <c r="D4599" i="2"/>
  <c r="F4598" i="2"/>
  <c r="D4598" i="2"/>
  <c r="F4597" i="2"/>
  <c r="D4597" i="2"/>
  <c r="F4596" i="2"/>
  <c r="D4596" i="2"/>
  <c r="F4595" i="2"/>
  <c r="D4595" i="2"/>
  <c r="F4594" i="2"/>
  <c r="D4594" i="2"/>
  <c r="F4593" i="2"/>
  <c r="D4593" i="2"/>
  <c r="F4592" i="2"/>
  <c r="D4592" i="2"/>
  <c r="F4591" i="2"/>
  <c r="D4591" i="2"/>
  <c r="F4590" i="2"/>
  <c r="D4590" i="2"/>
  <c r="F4589" i="2"/>
  <c r="D4589" i="2"/>
  <c r="F4588" i="2"/>
  <c r="D4588" i="2"/>
  <c r="F4587" i="2"/>
  <c r="D4587" i="2"/>
  <c r="F4586" i="2"/>
  <c r="D4586" i="2"/>
  <c r="F4585" i="2"/>
  <c r="D4585" i="2"/>
  <c r="F4584" i="2"/>
  <c r="D4584" i="2"/>
  <c r="F4583" i="2"/>
  <c r="D4583" i="2"/>
  <c r="F4582" i="2"/>
  <c r="D4582" i="2"/>
  <c r="F4581" i="2"/>
  <c r="D4581" i="2"/>
  <c r="F4580" i="2"/>
  <c r="D4580" i="2"/>
  <c r="F4579" i="2"/>
  <c r="D4579" i="2"/>
  <c r="F4578" i="2"/>
  <c r="D4578" i="2"/>
  <c r="F4577" i="2"/>
  <c r="D4577" i="2"/>
  <c r="F4576" i="2"/>
  <c r="D4576" i="2"/>
  <c r="F4575" i="2"/>
  <c r="D4575" i="2"/>
  <c r="F4574" i="2"/>
  <c r="D4574" i="2"/>
  <c r="F4573" i="2"/>
  <c r="D4573" i="2"/>
  <c r="F4572" i="2"/>
  <c r="D4572" i="2"/>
  <c r="F4571" i="2"/>
  <c r="D4571" i="2"/>
  <c r="F4570" i="2"/>
  <c r="D4570" i="2"/>
  <c r="F4569" i="2"/>
  <c r="D4569" i="2"/>
  <c r="F4568" i="2"/>
  <c r="D4568" i="2"/>
  <c r="F4567" i="2"/>
  <c r="D4567" i="2"/>
  <c r="F4566" i="2"/>
  <c r="D4566" i="2"/>
  <c r="F4565" i="2"/>
  <c r="D4565" i="2"/>
  <c r="F4564" i="2"/>
  <c r="D4564" i="2"/>
  <c r="F4563" i="2"/>
  <c r="D4563" i="2"/>
  <c r="F4562" i="2"/>
  <c r="D4562" i="2"/>
  <c r="F4561" i="2"/>
  <c r="D4561" i="2"/>
  <c r="F4560" i="2"/>
  <c r="D4560" i="2"/>
  <c r="F4559" i="2"/>
  <c r="D4559" i="2"/>
  <c r="F4558" i="2"/>
  <c r="D4558" i="2"/>
  <c r="F4557" i="2"/>
  <c r="D4557" i="2"/>
  <c r="F4556" i="2"/>
  <c r="D4556" i="2"/>
  <c r="F4555" i="2"/>
  <c r="D4555" i="2"/>
  <c r="F4554" i="2"/>
  <c r="D4554" i="2"/>
  <c r="F4553" i="2"/>
  <c r="D4553" i="2"/>
  <c r="F4552" i="2"/>
  <c r="D4552" i="2"/>
  <c r="F4551" i="2"/>
  <c r="D4551" i="2"/>
  <c r="F4550" i="2"/>
  <c r="D4550" i="2"/>
  <c r="F4549" i="2"/>
  <c r="D4549" i="2"/>
  <c r="F4548" i="2"/>
  <c r="D4548" i="2"/>
  <c r="F4547" i="2"/>
  <c r="D4547" i="2"/>
  <c r="F4546" i="2"/>
  <c r="D4546" i="2"/>
  <c r="F4545" i="2"/>
  <c r="D4545" i="2"/>
  <c r="F4544" i="2"/>
  <c r="D4544" i="2"/>
  <c r="F4543" i="2"/>
  <c r="D4543" i="2"/>
  <c r="F4542" i="2"/>
  <c r="D4542" i="2"/>
  <c r="F4541" i="2"/>
  <c r="D4541" i="2"/>
  <c r="F4540" i="2"/>
  <c r="D4540" i="2"/>
  <c r="F4539" i="2"/>
  <c r="D4539" i="2"/>
  <c r="F4538" i="2"/>
  <c r="D4538" i="2"/>
  <c r="F4537" i="2"/>
  <c r="D4537" i="2"/>
  <c r="F4536" i="2"/>
  <c r="D4536" i="2"/>
  <c r="F4535" i="2"/>
  <c r="D4535" i="2"/>
  <c r="F4534" i="2"/>
  <c r="D4534" i="2"/>
  <c r="F4533" i="2"/>
  <c r="D4533" i="2"/>
  <c r="F4532" i="2"/>
  <c r="D4532" i="2"/>
  <c r="F4531" i="2"/>
  <c r="D4531" i="2"/>
  <c r="F4530" i="2"/>
  <c r="D4530" i="2"/>
  <c r="F4529" i="2"/>
  <c r="D4529" i="2"/>
  <c r="F4528" i="2"/>
  <c r="D4528" i="2"/>
  <c r="F4527" i="2"/>
  <c r="D4527" i="2"/>
  <c r="F4526" i="2"/>
  <c r="D4526" i="2"/>
  <c r="F4525" i="2"/>
  <c r="D4525" i="2"/>
  <c r="F4524" i="2"/>
  <c r="D4524" i="2"/>
  <c r="F4523" i="2"/>
  <c r="D4523" i="2"/>
  <c r="F4522" i="2"/>
  <c r="D4522" i="2"/>
  <c r="F4521" i="2"/>
  <c r="D4521" i="2"/>
  <c r="F4520" i="2"/>
  <c r="D4520" i="2"/>
  <c r="F4519" i="2"/>
  <c r="D4519" i="2"/>
  <c r="F4518" i="2"/>
  <c r="D4518" i="2"/>
  <c r="F4517" i="2"/>
  <c r="D4517" i="2"/>
  <c r="F4516" i="2"/>
  <c r="D4516" i="2"/>
  <c r="F4515" i="2"/>
  <c r="D4515" i="2"/>
  <c r="F4514" i="2"/>
  <c r="D4514" i="2"/>
  <c r="F4513" i="2"/>
  <c r="D4513" i="2"/>
  <c r="F4512" i="2"/>
  <c r="D4512" i="2"/>
  <c r="F4511" i="2"/>
  <c r="D4511" i="2"/>
  <c r="F4510" i="2"/>
  <c r="D4510" i="2"/>
  <c r="F4509" i="2"/>
  <c r="D4509" i="2"/>
  <c r="F4508" i="2"/>
  <c r="D4508" i="2"/>
  <c r="F4507" i="2"/>
  <c r="D4507" i="2"/>
  <c r="F4506" i="2"/>
  <c r="D4506" i="2"/>
  <c r="F4505" i="2"/>
  <c r="D4505" i="2"/>
  <c r="F4504" i="2"/>
  <c r="D4504" i="2"/>
  <c r="F4503" i="2"/>
  <c r="D4503" i="2"/>
  <c r="F4502" i="2"/>
  <c r="D4502" i="2"/>
  <c r="F4501" i="2"/>
  <c r="D4501" i="2"/>
  <c r="F4500" i="2"/>
  <c r="D4500" i="2"/>
  <c r="F4499" i="2"/>
  <c r="D4499" i="2"/>
  <c r="F4498" i="2"/>
  <c r="D4498" i="2"/>
  <c r="F4497" i="2"/>
  <c r="D4497" i="2"/>
  <c r="F4496" i="2"/>
  <c r="D4496" i="2"/>
  <c r="F4495" i="2"/>
  <c r="D4495" i="2"/>
  <c r="F4494" i="2"/>
  <c r="D4494" i="2"/>
  <c r="F4493" i="2"/>
  <c r="D4493" i="2"/>
  <c r="F4492" i="2"/>
  <c r="D4492" i="2"/>
  <c r="F4491" i="2"/>
  <c r="D4491" i="2"/>
  <c r="F4490" i="2"/>
  <c r="D4490" i="2"/>
  <c r="F4489" i="2"/>
  <c r="D4489" i="2"/>
  <c r="F4488" i="2"/>
  <c r="D4488" i="2"/>
  <c r="F4487" i="2"/>
  <c r="D4487" i="2"/>
  <c r="F4486" i="2"/>
  <c r="D4486" i="2"/>
  <c r="F4485" i="2"/>
  <c r="D4485" i="2"/>
  <c r="F4484" i="2"/>
  <c r="D4484" i="2"/>
  <c r="F4483" i="2"/>
  <c r="D4483" i="2"/>
  <c r="F4482" i="2"/>
  <c r="D4482" i="2"/>
  <c r="F4481" i="2"/>
  <c r="D4481" i="2"/>
  <c r="F4480" i="2"/>
  <c r="D4480" i="2"/>
  <c r="F4479" i="2"/>
  <c r="D4479" i="2"/>
  <c r="F4478" i="2"/>
  <c r="D4478" i="2"/>
  <c r="F4477" i="2"/>
  <c r="D4477" i="2"/>
  <c r="F4476" i="2"/>
  <c r="D4476" i="2"/>
  <c r="F4475" i="2"/>
  <c r="D4475" i="2"/>
  <c r="F4474" i="2"/>
  <c r="D4474" i="2"/>
  <c r="F4473" i="2"/>
  <c r="D4473" i="2"/>
  <c r="F4472" i="2"/>
  <c r="D4472" i="2"/>
  <c r="F4471" i="2"/>
  <c r="D4471" i="2"/>
  <c r="F4470" i="2"/>
  <c r="D4470" i="2"/>
  <c r="F4469" i="2"/>
  <c r="D4469" i="2"/>
  <c r="F4468" i="2"/>
  <c r="D4468" i="2"/>
  <c r="F4467" i="2"/>
  <c r="D4467" i="2"/>
  <c r="F4466" i="2"/>
  <c r="D4466" i="2"/>
  <c r="F4465" i="2"/>
  <c r="D4465" i="2"/>
  <c r="F4464" i="2"/>
  <c r="D4464" i="2"/>
  <c r="F4463" i="2"/>
  <c r="D4463" i="2"/>
  <c r="F4462" i="2"/>
  <c r="D4462" i="2"/>
  <c r="F4461" i="2"/>
  <c r="D4461" i="2"/>
  <c r="F4460" i="2"/>
  <c r="D4460" i="2"/>
  <c r="F4459" i="2"/>
  <c r="D4459" i="2"/>
  <c r="F4458" i="2"/>
  <c r="D4458" i="2"/>
  <c r="F4457" i="2"/>
  <c r="D4457" i="2"/>
  <c r="F4456" i="2"/>
  <c r="D4456" i="2"/>
  <c r="F4455" i="2"/>
  <c r="D4455" i="2"/>
  <c r="F4454" i="2"/>
  <c r="D4454" i="2"/>
  <c r="F4453" i="2"/>
  <c r="D4453" i="2"/>
  <c r="F4452" i="2"/>
  <c r="D4452" i="2"/>
  <c r="F4451" i="2"/>
  <c r="D4451" i="2"/>
  <c r="F4450" i="2"/>
  <c r="D4450" i="2"/>
  <c r="F4449" i="2"/>
  <c r="D4449" i="2"/>
  <c r="F4448" i="2"/>
  <c r="D4448" i="2"/>
  <c r="F4447" i="2"/>
  <c r="D4447" i="2"/>
  <c r="F4446" i="2"/>
  <c r="D4446" i="2"/>
  <c r="F4445" i="2"/>
  <c r="D4445" i="2"/>
  <c r="F4444" i="2"/>
  <c r="D4444" i="2"/>
  <c r="F4443" i="2"/>
  <c r="D4443" i="2"/>
  <c r="F4442" i="2"/>
  <c r="D4442" i="2"/>
  <c r="F4441" i="2"/>
  <c r="D4441" i="2"/>
  <c r="F4440" i="2"/>
  <c r="D4440" i="2"/>
  <c r="F4439" i="2"/>
  <c r="D4439" i="2"/>
  <c r="F4438" i="2"/>
  <c r="D4438" i="2"/>
  <c r="F4437" i="2"/>
  <c r="D4437" i="2"/>
  <c r="F4436" i="2"/>
  <c r="D4436" i="2"/>
  <c r="F4435" i="2"/>
  <c r="D4435" i="2"/>
  <c r="F4434" i="2"/>
  <c r="D4434" i="2"/>
  <c r="F4433" i="2"/>
  <c r="D4433" i="2"/>
  <c r="F4432" i="2"/>
  <c r="D4432" i="2"/>
  <c r="F4431" i="2"/>
  <c r="D4431" i="2"/>
  <c r="F4430" i="2"/>
  <c r="D4430" i="2"/>
  <c r="F4429" i="2"/>
  <c r="D4429" i="2"/>
  <c r="F4428" i="2"/>
  <c r="D4428" i="2"/>
  <c r="F4427" i="2"/>
  <c r="D4427" i="2"/>
  <c r="F4426" i="2"/>
  <c r="D4426" i="2"/>
  <c r="F4425" i="2"/>
  <c r="D4425" i="2"/>
  <c r="F4424" i="2"/>
  <c r="D4424" i="2"/>
  <c r="F4423" i="2"/>
  <c r="D4423" i="2"/>
  <c r="F4422" i="2"/>
  <c r="D4422" i="2"/>
  <c r="F4421" i="2"/>
  <c r="D4421" i="2"/>
  <c r="F4420" i="2"/>
  <c r="D4420" i="2"/>
  <c r="F4419" i="2"/>
  <c r="D4419" i="2"/>
  <c r="F4418" i="2"/>
  <c r="D4418" i="2"/>
  <c r="F4417" i="2"/>
  <c r="D4417" i="2"/>
  <c r="F4416" i="2"/>
  <c r="D4416" i="2"/>
  <c r="F4415" i="2"/>
  <c r="D4415" i="2"/>
  <c r="F4414" i="2"/>
  <c r="D4414" i="2"/>
  <c r="F4413" i="2"/>
  <c r="D4413" i="2"/>
  <c r="F4412" i="2"/>
  <c r="D4412" i="2"/>
  <c r="F4411" i="2"/>
  <c r="D4411" i="2"/>
  <c r="F4410" i="2"/>
  <c r="D4410" i="2"/>
  <c r="F4409" i="2"/>
  <c r="D4409" i="2"/>
  <c r="F4408" i="2"/>
  <c r="D4408" i="2"/>
  <c r="F4407" i="2"/>
  <c r="D4407" i="2"/>
  <c r="F4406" i="2"/>
  <c r="D4406" i="2"/>
  <c r="F4405" i="2"/>
  <c r="D4405" i="2"/>
  <c r="F4404" i="2"/>
  <c r="D4404" i="2"/>
  <c r="F4403" i="2"/>
  <c r="D4403" i="2"/>
  <c r="F4402" i="2"/>
  <c r="D4402" i="2"/>
  <c r="F4401" i="2"/>
  <c r="D4401" i="2"/>
  <c r="F4400" i="2"/>
  <c r="D4400" i="2"/>
  <c r="F4399" i="2"/>
  <c r="D4399" i="2"/>
  <c r="F4398" i="2"/>
  <c r="D4398" i="2"/>
  <c r="F4397" i="2"/>
  <c r="D4397" i="2"/>
  <c r="F4396" i="2"/>
  <c r="D4396" i="2"/>
  <c r="F4395" i="2"/>
  <c r="D4395" i="2"/>
  <c r="F4394" i="2"/>
  <c r="D4394" i="2"/>
  <c r="F4393" i="2"/>
  <c r="D4393" i="2"/>
  <c r="F4392" i="2"/>
  <c r="D4392" i="2"/>
  <c r="F4391" i="2"/>
  <c r="D4391" i="2"/>
  <c r="F4390" i="2"/>
  <c r="D4390" i="2"/>
  <c r="F4389" i="2"/>
  <c r="D4389" i="2"/>
  <c r="F4388" i="2"/>
  <c r="D4388" i="2"/>
  <c r="F4387" i="2"/>
  <c r="D4387" i="2"/>
  <c r="F4386" i="2"/>
  <c r="D4386" i="2"/>
  <c r="F4385" i="2"/>
  <c r="D4385" i="2"/>
  <c r="F4384" i="2"/>
  <c r="D4384" i="2"/>
  <c r="F4383" i="2"/>
  <c r="D4383" i="2"/>
  <c r="F4382" i="2"/>
  <c r="D4382" i="2"/>
  <c r="F4381" i="2"/>
  <c r="D4381" i="2"/>
  <c r="F4380" i="2"/>
  <c r="D4380" i="2"/>
  <c r="F4379" i="2"/>
  <c r="D4379" i="2"/>
  <c r="F4378" i="2"/>
  <c r="D4378" i="2"/>
  <c r="F4377" i="2"/>
  <c r="D4377" i="2"/>
  <c r="F4376" i="2"/>
  <c r="D4376" i="2"/>
  <c r="F4375" i="2"/>
  <c r="D4375" i="2"/>
  <c r="F4374" i="2"/>
  <c r="D4374" i="2"/>
  <c r="F4373" i="2"/>
  <c r="D4373" i="2"/>
  <c r="F4372" i="2"/>
  <c r="D4372" i="2"/>
  <c r="F4371" i="2"/>
  <c r="D4371" i="2"/>
  <c r="F4370" i="2"/>
  <c r="D4370" i="2"/>
  <c r="F4369" i="2"/>
  <c r="D4369" i="2"/>
  <c r="F4368" i="2"/>
  <c r="D4368" i="2"/>
  <c r="F4367" i="2"/>
  <c r="D4367" i="2"/>
  <c r="F4366" i="2"/>
  <c r="D4366" i="2"/>
  <c r="F4365" i="2"/>
  <c r="D4365" i="2"/>
  <c r="F4364" i="2"/>
  <c r="D4364" i="2"/>
  <c r="F4363" i="2"/>
  <c r="D4363" i="2"/>
  <c r="F4362" i="2"/>
  <c r="D4362" i="2"/>
  <c r="F4361" i="2"/>
  <c r="D4361" i="2"/>
  <c r="F4360" i="2"/>
  <c r="D4360" i="2"/>
  <c r="F4359" i="2"/>
  <c r="D4359" i="2"/>
  <c r="F4358" i="2"/>
  <c r="D4358" i="2"/>
  <c r="F4357" i="2"/>
  <c r="D4357" i="2"/>
  <c r="F4356" i="2"/>
  <c r="D4356" i="2"/>
  <c r="F4355" i="2"/>
  <c r="D4355" i="2"/>
  <c r="F4354" i="2"/>
  <c r="D4354" i="2"/>
  <c r="F4353" i="2"/>
  <c r="D4353" i="2"/>
  <c r="F4352" i="2"/>
  <c r="D4352" i="2"/>
  <c r="F4351" i="2"/>
  <c r="D4351" i="2"/>
  <c r="F4350" i="2"/>
  <c r="D4350" i="2"/>
  <c r="F4349" i="2"/>
  <c r="D4349" i="2"/>
  <c r="F4348" i="2"/>
  <c r="D4348" i="2"/>
  <c r="F4347" i="2"/>
  <c r="D4347" i="2"/>
  <c r="F4346" i="2"/>
  <c r="D4346" i="2"/>
  <c r="F4345" i="2"/>
  <c r="D4345" i="2"/>
  <c r="F4344" i="2"/>
  <c r="D4344" i="2"/>
  <c r="F4343" i="2"/>
  <c r="D4343" i="2"/>
  <c r="F4342" i="2"/>
  <c r="D4342" i="2"/>
  <c r="F4341" i="2"/>
  <c r="D4341" i="2"/>
  <c r="F4340" i="2"/>
  <c r="D4340" i="2"/>
  <c r="F4339" i="2"/>
  <c r="D4339" i="2"/>
  <c r="F4338" i="2"/>
  <c r="D4338" i="2"/>
  <c r="F4337" i="2"/>
  <c r="D4337" i="2"/>
  <c r="F4336" i="2"/>
  <c r="D4336" i="2"/>
  <c r="F4335" i="2"/>
  <c r="D4335" i="2"/>
  <c r="F4334" i="2"/>
  <c r="D4334" i="2"/>
  <c r="F4333" i="2"/>
  <c r="D4333" i="2"/>
  <c r="F4332" i="2"/>
  <c r="D4332" i="2"/>
  <c r="F4331" i="2"/>
  <c r="D4331" i="2"/>
  <c r="F4330" i="2"/>
  <c r="D4330" i="2"/>
  <c r="F4329" i="2"/>
  <c r="D4329" i="2"/>
  <c r="F4328" i="2"/>
  <c r="D4328" i="2"/>
  <c r="F4327" i="2"/>
  <c r="D4327" i="2"/>
  <c r="F4326" i="2"/>
  <c r="D4326" i="2"/>
  <c r="F4325" i="2"/>
  <c r="D4325" i="2"/>
  <c r="F4324" i="2"/>
  <c r="D4324" i="2"/>
  <c r="F4323" i="2"/>
  <c r="D4323" i="2"/>
  <c r="F4322" i="2"/>
  <c r="D4322" i="2"/>
  <c r="F4321" i="2"/>
  <c r="D4321" i="2"/>
  <c r="F4320" i="2"/>
  <c r="D4320" i="2"/>
  <c r="F4319" i="2"/>
  <c r="D4319" i="2"/>
  <c r="F4318" i="2"/>
  <c r="D4318" i="2"/>
  <c r="F4317" i="2"/>
  <c r="D4317" i="2"/>
  <c r="F4316" i="2"/>
  <c r="D4316" i="2"/>
  <c r="F4315" i="2"/>
  <c r="D4315" i="2"/>
  <c r="F4314" i="2"/>
  <c r="D4314" i="2"/>
  <c r="F4313" i="2"/>
  <c r="D4313" i="2"/>
  <c r="F4312" i="2"/>
  <c r="D4312" i="2"/>
  <c r="F4311" i="2"/>
  <c r="D4311" i="2"/>
  <c r="F4310" i="2"/>
  <c r="D4310" i="2"/>
  <c r="F4309" i="2"/>
  <c r="D4309" i="2"/>
  <c r="F4308" i="2"/>
  <c r="D4308" i="2"/>
  <c r="F4307" i="2"/>
  <c r="D4307" i="2"/>
  <c r="F4306" i="2"/>
  <c r="D4306" i="2"/>
  <c r="F4305" i="2"/>
  <c r="D4305" i="2"/>
  <c r="F4304" i="2"/>
  <c r="D4304" i="2"/>
  <c r="F4303" i="2"/>
  <c r="D4303" i="2"/>
  <c r="F4302" i="2"/>
  <c r="D4302" i="2"/>
  <c r="F4301" i="2"/>
  <c r="D4301" i="2"/>
  <c r="F4300" i="2"/>
  <c r="D4300" i="2"/>
  <c r="F4299" i="2"/>
  <c r="D4299" i="2"/>
  <c r="F4298" i="2"/>
  <c r="D4298" i="2"/>
  <c r="F4297" i="2"/>
  <c r="D4297" i="2"/>
  <c r="F4296" i="2"/>
  <c r="D4296" i="2"/>
  <c r="F4295" i="2"/>
  <c r="D4295" i="2"/>
  <c r="F4294" i="2"/>
  <c r="D4294" i="2"/>
  <c r="F4293" i="2"/>
  <c r="D4293" i="2"/>
  <c r="F4292" i="2"/>
  <c r="D4292" i="2"/>
  <c r="F4291" i="2"/>
  <c r="D4291" i="2"/>
  <c r="F4290" i="2"/>
  <c r="D4290" i="2"/>
  <c r="F4289" i="2"/>
  <c r="D4289" i="2"/>
  <c r="F4288" i="2"/>
  <c r="D4288" i="2"/>
  <c r="F4287" i="2"/>
  <c r="D4287" i="2"/>
  <c r="F4286" i="2"/>
  <c r="D4286" i="2"/>
  <c r="F4285" i="2"/>
  <c r="D4285" i="2"/>
  <c r="F4284" i="2"/>
  <c r="D4284" i="2"/>
  <c r="F4283" i="2"/>
  <c r="D4283" i="2"/>
  <c r="F4282" i="2"/>
  <c r="D4282" i="2"/>
  <c r="F4281" i="2"/>
  <c r="D4281" i="2"/>
  <c r="F4280" i="2"/>
  <c r="D4280" i="2"/>
  <c r="F4279" i="2"/>
  <c r="D4279" i="2"/>
  <c r="F4278" i="2"/>
  <c r="D4278" i="2"/>
  <c r="F4277" i="2"/>
  <c r="D4277" i="2"/>
  <c r="F4276" i="2"/>
  <c r="D4276" i="2"/>
  <c r="F4275" i="2"/>
  <c r="D4275" i="2"/>
  <c r="F4274" i="2"/>
  <c r="D4274" i="2"/>
  <c r="F4273" i="2"/>
  <c r="D4273" i="2"/>
  <c r="F4272" i="2"/>
  <c r="D4272" i="2"/>
  <c r="F4271" i="2"/>
  <c r="D4271" i="2"/>
  <c r="F4270" i="2"/>
  <c r="D4270" i="2"/>
  <c r="F4269" i="2"/>
  <c r="D4269" i="2"/>
  <c r="F4268" i="2"/>
  <c r="D4268" i="2"/>
  <c r="F4267" i="2"/>
  <c r="D4267" i="2"/>
  <c r="F4266" i="2"/>
  <c r="D4266" i="2"/>
  <c r="F4265" i="2"/>
  <c r="D4265" i="2"/>
  <c r="F4264" i="2"/>
  <c r="D4264" i="2"/>
  <c r="F4263" i="2"/>
  <c r="D4263" i="2"/>
  <c r="F4262" i="2"/>
  <c r="D4262" i="2"/>
  <c r="F4261" i="2"/>
  <c r="D4261" i="2"/>
  <c r="F4260" i="2"/>
  <c r="D4260" i="2"/>
  <c r="F4259" i="2"/>
  <c r="D4259" i="2"/>
  <c r="F4258" i="2"/>
  <c r="D4258" i="2"/>
  <c r="F4257" i="2"/>
  <c r="D4257" i="2"/>
  <c r="F4256" i="2"/>
  <c r="D4256" i="2"/>
  <c r="F4255" i="2"/>
  <c r="D4255" i="2"/>
  <c r="F4254" i="2"/>
  <c r="D4254" i="2"/>
  <c r="F4253" i="2"/>
  <c r="D4253" i="2"/>
  <c r="F4252" i="2"/>
  <c r="D4252" i="2"/>
  <c r="F4251" i="2"/>
  <c r="D4251" i="2"/>
  <c r="F4250" i="2"/>
  <c r="D4250" i="2"/>
  <c r="F4249" i="2"/>
  <c r="D4249" i="2"/>
  <c r="F4248" i="2"/>
  <c r="D4248" i="2"/>
  <c r="F4247" i="2"/>
  <c r="D4247" i="2"/>
  <c r="F4246" i="2"/>
  <c r="D4246" i="2"/>
  <c r="F4245" i="2"/>
  <c r="D4245" i="2"/>
  <c r="F4244" i="2"/>
  <c r="D4244" i="2"/>
  <c r="F4243" i="2"/>
  <c r="D4243" i="2"/>
  <c r="F4242" i="2"/>
  <c r="D4242" i="2"/>
  <c r="F4241" i="2"/>
  <c r="D4241" i="2"/>
  <c r="F4240" i="2"/>
  <c r="D4240" i="2"/>
  <c r="F4239" i="2"/>
  <c r="D4239" i="2"/>
  <c r="F4238" i="2"/>
  <c r="D4238" i="2"/>
  <c r="F4237" i="2"/>
  <c r="D4237" i="2"/>
  <c r="F4236" i="2"/>
  <c r="D4236" i="2"/>
  <c r="F4235" i="2"/>
  <c r="D4235" i="2"/>
  <c r="F4234" i="2"/>
  <c r="D4234" i="2"/>
  <c r="F4233" i="2"/>
  <c r="D4233" i="2"/>
  <c r="F4232" i="2"/>
  <c r="D4232" i="2"/>
  <c r="F4231" i="2"/>
  <c r="D4231" i="2"/>
  <c r="F4230" i="2"/>
  <c r="D4230" i="2"/>
  <c r="F4229" i="2"/>
  <c r="D4229" i="2"/>
  <c r="F4228" i="2"/>
  <c r="D4228" i="2"/>
  <c r="F4227" i="2"/>
  <c r="D4227" i="2"/>
  <c r="F4226" i="2"/>
  <c r="D4226" i="2"/>
  <c r="F4225" i="2"/>
  <c r="D4225" i="2"/>
  <c r="F4224" i="2"/>
  <c r="D4224" i="2"/>
  <c r="F4223" i="2"/>
  <c r="D4223" i="2"/>
  <c r="F4222" i="2"/>
  <c r="D4222" i="2"/>
  <c r="F4221" i="2"/>
  <c r="D4221" i="2"/>
  <c r="F4220" i="2"/>
  <c r="D4220" i="2"/>
  <c r="F4219" i="2"/>
  <c r="D4219" i="2"/>
  <c r="F4218" i="2"/>
  <c r="D4218" i="2"/>
  <c r="F4217" i="2"/>
  <c r="D4217" i="2"/>
  <c r="F4216" i="2"/>
  <c r="D4216" i="2"/>
  <c r="F4215" i="2"/>
  <c r="D4215" i="2"/>
  <c r="F4214" i="2"/>
  <c r="D4214" i="2"/>
  <c r="F4213" i="2"/>
  <c r="D4213" i="2"/>
  <c r="F4212" i="2"/>
  <c r="D4212" i="2"/>
  <c r="F4211" i="2"/>
  <c r="D4211" i="2"/>
  <c r="F4210" i="2"/>
  <c r="D4210" i="2"/>
  <c r="F4209" i="2"/>
  <c r="D4209" i="2"/>
  <c r="F4208" i="2"/>
  <c r="D4208" i="2"/>
  <c r="F4207" i="2"/>
  <c r="D4207" i="2"/>
  <c r="F4206" i="2"/>
  <c r="D4206" i="2"/>
  <c r="F4205" i="2"/>
  <c r="D4205" i="2"/>
  <c r="F4204" i="2"/>
  <c r="D4204" i="2"/>
  <c r="F4203" i="2"/>
  <c r="D4203" i="2"/>
  <c r="F4202" i="2"/>
  <c r="D4202" i="2"/>
  <c r="F4201" i="2"/>
  <c r="D4201" i="2"/>
  <c r="F4200" i="2"/>
  <c r="D4200" i="2"/>
  <c r="F4199" i="2"/>
  <c r="D4199" i="2"/>
  <c r="F4198" i="2"/>
  <c r="D4198" i="2"/>
  <c r="F4197" i="2"/>
  <c r="D4197" i="2"/>
  <c r="F4196" i="2"/>
  <c r="D4196" i="2"/>
  <c r="F4195" i="2"/>
  <c r="D4195" i="2"/>
  <c r="F4194" i="2"/>
  <c r="D4194" i="2"/>
  <c r="F4193" i="2"/>
  <c r="D4193" i="2"/>
  <c r="F4192" i="2"/>
  <c r="D4192" i="2"/>
  <c r="F4191" i="2"/>
  <c r="D4191" i="2"/>
  <c r="F4190" i="2"/>
  <c r="D4190" i="2"/>
  <c r="F4189" i="2"/>
  <c r="D4189" i="2"/>
  <c r="F4188" i="2"/>
  <c r="D4188" i="2"/>
  <c r="F4187" i="2"/>
  <c r="D4187" i="2"/>
  <c r="F4186" i="2"/>
  <c r="D4186" i="2"/>
  <c r="F4185" i="2"/>
  <c r="D4185" i="2"/>
  <c r="F4184" i="2"/>
  <c r="D4184" i="2"/>
  <c r="F4183" i="2"/>
  <c r="D4183" i="2"/>
  <c r="F4182" i="2"/>
  <c r="D4182" i="2"/>
  <c r="F4181" i="2"/>
  <c r="D4181" i="2"/>
  <c r="F4180" i="2"/>
  <c r="D4180" i="2"/>
  <c r="F4179" i="2"/>
  <c r="D4179" i="2"/>
  <c r="F4178" i="2"/>
  <c r="D4178" i="2"/>
  <c r="F4177" i="2"/>
  <c r="D4177" i="2"/>
  <c r="F4176" i="2"/>
  <c r="D4176" i="2"/>
  <c r="F4175" i="2"/>
  <c r="D4175" i="2"/>
  <c r="F4174" i="2"/>
  <c r="D4174" i="2"/>
  <c r="F4173" i="2"/>
  <c r="D4173" i="2"/>
  <c r="F4172" i="2"/>
  <c r="D4172" i="2"/>
  <c r="F4171" i="2"/>
  <c r="D4171" i="2"/>
  <c r="F4170" i="2"/>
  <c r="D4170" i="2"/>
  <c r="F4169" i="2"/>
  <c r="D4169" i="2"/>
  <c r="F4168" i="2"/>
  <c r="D4168" i="2"/>
  <c r="F4167" i="2"/>
  <c r="D4167" i="2"/>
  <c r="F4166" i="2"/>
  <c r="D4166" i="2"/>
  <c r="F4165" i="2"/>
  <c r="D4165" i="2"/>
  <c r="F4164" i="2"/>
  <c r="D4164" i="2"/>
  <c r="F4163" i="2"/>
  <c r="D4163" i="2"/>
  <c r="F4162" i="2"/>
  <c r="D4162" i="2"/>
  <c r="F4161" i="2"/>
  <c r="D4161" i="2"/>
  <c r="F4160" i="2"/>
  <c r="D4160" i="2"/>
  <c r="F4159" i="2"/>
  <c r="D4159" i="2"/>
  <c r="F4158" i="2"/>
  <c r="D4158" i="2"/>
  <c r="F4157" i="2"/>
  <c r="D4157" i="2"/>
  <c r="F4156" i="2"/>
  <c r="D4156" i="2"/>
  <c r="F4155" i="2"/>
  <c r="D4155" i="2"/>
  <c r="F4154" i="2"/>
  <c r="D4154" i="2"/>
  <c r="F4153" i="2"/>
  <c r="D4153" i="2"/>
  <c r="F4152" i="2"/>
  <c r="D4152" i="2"/>
  <c r="F4151" i="2"/>
  <c r="D4151" i="2"/>
  <c r="F4150" i="2"/>
  <c r="D4150" i="2"/>
  <c r="F4149" i="2"/>
  <c r="D4149" i="2"/>
  <c r="F4148" i="2"/>
  <c r="D4148" i="2"/>
  <c r="F4147" i="2"/>
  <c r="D4147" i="2"/>
  <c r="F4146" i="2"/>
  <c r="D4146" i="2"/>
  <c r="F4145" i="2"/>
  <c r="D4145" i="2"/>
  <c r="F4144" i="2"/>
  <c r="D4144" i="2"/>
  <c r="F4143" i="2"/>
  <c r="D4143" i="2"/>
  <c r="F4142" i="2"/>
  <c r="D4142" i="2"/>
  <c r="F4141" i="2"/>
  <c r="D4141" i="2"/>
  <c r="F4140" i="2"/>
  <c r="D4140" i="2"/>
  <c r="F4139" i="2"/>
  <c r="D4139" i="2"/>
  <c r="F4138" i="2"/>
  <c r="D4138" i="2"/>
  <c r="F4137" i="2"/>
  <c r="D4137" i="2"/>
  <c r="F4136" i="2"/>
  <c r="D4136" i="2"/>
  <c r="F4135" i="2"/>
  <c r="D4135" i="2"/>
  <c r="F4134" i="2"/>
  <c r="D4134" i="2"/>
  <c r="F4133" i="2"/>
  <c r="D4133" i="2"/>
  <c r="F4132" i="2"/>
  <c r="D4132" i="2"/>
  <c r="F4131" i="2"/>
  <c r="D4131" i="2"/>
  <c r="F4130" i="2"/>
  <c r="D4130" i="2"/>
  <c r="F4129" i="2"/>
  <c r="D4129" i="2"/>
  <c r="F4128" i="2"/>
  <c r="D4128" i="2"/>
  <c r="F4127" i="2"/>
  <c r="D4127" i="2"/>
  <c r="F4126" i="2"/>
  <c r="D4126" i="2"/>
  <c r="F4125" i="2"/>
  <c r="D4125" i="2"/>
  <c r="F4124" i="2"/>
  <c r="D4124" i="2"/>
  <c r="F4123" i="2"/>
  <c r="D4123" i="2"/>
  <c r="F4122" i="2"/>
  <c r="D4122" i="2"/>
  <c r="F4121" i="2"/>
  <c r="D4121" i="2"/>
  <c r="F4120" i="2"/>
  <c r="D4120" i="2"/>
  <c r="F4119" i="2"/>
  <c r="D4119" i="2"/>
  <c r="F4118" i="2"/>
  <c r="D4118" i="2"/>
  <c r="F4117" i="2"/>
  <c r="D4117" i="2"/>
  <c r="F4116" i="2"/>
  <c r="D4116" i="2"/>
  <c r="F4115" i="2"/>
  <c r="D4115" i="2"/>
  <c r="F4114" i="2"/>
  <c r="D4114" i="2"/>
  <c r="F4113" i="2"/>
  <c r="D4113" i="2"/>
  <c r="F4112" i="2"/>
  <c r="D4112" i="2"/>
  <c r="F4111" i="2"/>
  <c r="D4111" i="2"/>
  <c r="F4110" i="2"/>
  <c r="D4110" i="2"/>
  <c r="F4109" i="2"/>
  <c r="D4109" i="2"/>
  <c r="F4108" i="2"/>
  <c r="D4108" i="2"/>
  <c r="F4107" i="2"/>
  <c r="D4107" i="2"/>
  <c r="F4106" i="2"/>
  <c r="D4106" i="2"/>
  <c r="F4105" i="2"/>
  <c r="D4105" i="2"/>
  <c r="F4104" i="2"/>
  <c r="D4104" i="2"/>
  <c r="F4103" i="2"/>
  <c r="D4103" i="2"/>
  <c r="F4102" i="2"/>
  <c r="D4102" i="2"/>
  <c r="F4101" i="2"/>
  <c r="D4101" i="2"/>
  <c r="F4100" i="2"/>
  <c r="D4100" i="2"/>
  <c r="F4099" i="2"/>
  <c r="D4099" i="2"/>
  <c r="F4098" i="2"/>
  <c r="D4098" i="2"/>
  <c r="F4097" i="2"/>
  <c r="D4097" i="2"/>
  <c r="F4096" i="2"/>
  <c r="D4096" i="2"/>
  <c r="F4095" i="2"/>
  <c r="D4095" i="2"/>
  <c r="F4094" i="2"/>
  <c r="D4094" i="2"/>
  <c r="F4093" i="2"/>
  <c r="D4093" i="2"/>
  <c r="F4092" i="2"/>
  <c r="D4092" i="2"/>
  <c r="F4091" i="2"/>
  <c r="D4091" i="2"/>
  <c r="F4090" i="2"/>
  <c r="D4090" i="2"/>
  <c r="F4089" i="2"/>
  <c r="D4089" i="2"/>
  <c r="F4088" i="2"/>
  <c r="D4088" i="2"/>
  <c r="F4087" i="2"/>
  <c r="D4087" i="2"/>
  <c r="F4086" i="2"/>
  <c r="D4086" i="2"/>
  <c r="F4085" i="2"/>
  <c r="D4085" i="2"/>
  <c r="F4084" i="2"/>
  <c r="D4084" i="2"/>
  <c r="F4083" i="2"/>
  <c r="D4083" i="2"/>
  <c r="F4082" i="2"/>
  <c r="D4082" i="2"/>
  <c r="F4081" i="2"/>
  <c r="D4081" i="2"/>
  <c r="F4080" i="2"/>
  <c r="D4080" i="2"/>
  <c r="F4079" i="2"/>
  <c r="D4079" i="2"/>
  <c r="F4078" i="2"/>
  <c r="D4078" i="2"/>
  <c r="F4077" i="2"/>
  <c r="D4077" i="2"/>
  <c r="F4076" i="2"/>
  <c r="D4076" i="2"/>
  <c r="F4075" i="2"/>
  <c r="D4075" i="2"/>
  <c r="F4074" i="2"/>
  <c r="D4074" i="2"/>
  <c r="F4073" i="2"/>
  <c r="D4073" i="2"/>
  <c r="F4072" i="2"/>
  <c r="D4072" i="2"/>
  <c r="F4071" i="2"/>
  <c r="D4071" i="2"/>
  <c r="F4070" i="2"/>
  <c r="D4070" i="2"/>
  <c r="F4069" i="2"/>
  <c r="D4069" i="2"/>
  <c r="F4068" i="2"/>
  <c r="D4068" i="2"/>
  <c r="F4067" i="2"/>
  <c r="D4067" i="2"/>
  <c r="F4066" i="2"/>
  <c r="D4066" i="2"/>
  <c r="F4065" i="2"/>
  <c r="D4065" i="2"/>
  <c r="F4064" i="2"/>
  <c r="D4064" i="2"/>
  <c r="F4063" i="2"/>
  <c r="D4063" i="2"/>
  <c r="F4062" i="2"/>
  <c r="D4062" i="2"/>
  <c r="F4061" i="2"/>
  <c r="D4061" i="2"/>
  <c r="F4060" i="2"/>
  <c r="D4060" i="2"/>
  <c r="F4059" i="2"/>
  <c r="D4059" i="2"/>
  <c r="F4058" i="2"/>
  <c r="D4058" i="2"/>
  <c r="F4057" i="2"/>
  <c r="D4057" i="2"/>
  <c r="F4056" i="2"/>
  <c r="D4056" i="2"/>
  <c r="F4055" i="2"/>
  <c r="D4055" i="2"/>
  <c r="F4054" i="2"/>
  <c r="D4054" i="2"/>
  <c r="F4053" i="2"/>
  <c r="D4053" i="2"/>
  <c r="F4052" i="2"/>
  <c r="D4052" i="2"/>
  <c r="F4051" i="2"/>
  <c r="D4051" i="2"/>
  <c r="F4050" i="2"/>
  <c r="D4050" i="2"/>
  <c r="F4049" i="2"/>
  <c r="D4049" i="2"/>
  <c r="F4048" i="2"/>
  <c r="D4048" i="2"/>
  <c r="F4047" i="2"/>
  <c r="D4047" i="2"/>
  <c r="F4046" i="2"/>
  <c r="D4046" i="2"/>
  <c r="F4045" i="2"/>
  <c r="D4045" i="2"/>
  <c r="F4044" i="2"/>
  <c r="D4044" i="2"/>
  <c r="F4043" i="2"/>
  <c r="D4043" i="2"/>
  <c r="F4042" i="2"/>
  <c r="D4042" i="2"/>
  <c r="F4041" i="2"/>
  <c r="D4041" i="2"/>
  <c r="F4040" i="2"/>
  <c r="D4040" i="2"/>
  <c r="F4039" i="2"/>
  <c r="D4039" i="2"/>
  <c r="F4038" i="2"/>
  <c r="D4038" i="2"/>
  <c r="F4037" i="2"/>
  <c r="D4037" i="2"/>
  <c r="F4036" i="2"/>
  <c r="D4036" i="2"/>
  <c r="F4035" i="2"/>
  <c r="D4035" i="2"/>
  <c r="F4034" i="2"/>
  <c r="D4034" i="2"/>
  <c r="F4033" i="2"/>
  <c r="D4033" i="2"/>
  <c r="F4032" i="2"/>
  <c r="D4032" i="2"/>
  <c r="F4031" i="2"/>
  <c r="D4031" i="2"/>
  <c r="F4030" i="2"/>
  <c r="D4030" i="2"/>
  <c r="F4029" i="2"/>
  <c r="D4029" i="2"/>
  <c r="F4028" i="2"/>
  <c r="D4028" i="2"/>
  <c r="F4027" i="2"/>
  <c r="D4027" i="2"/>
  <c r="F4026" i="2"/>
  <c r="D4026" i="2"/>
  <c r="F4025" i="2"/>
  <c r="D4025" i="2"/>
  <c r="F4024" i="2"/>
  <c r="D4024" i="2"/>
  <c r="F4023" i="2"/>
  <c r="D4023" i="2"/>
  <c r="F4022" i="2"/>
  <c r="D4022" i="2"/>
  <c r="F4021" i="2"/>
  <c r="D4021" i="2"/>
  <c r="F4020" i="2"/>
  <c r="D4020" i="2"/>
  <c r="F4019" i="2"/>
  <c r="D4019" i="2"/>
  <c r="F4018" i="2"/>
  <c r="D4018" i="2"/>
  <c r="F4017" i="2"/>
  <c r="D4017" i="2"/>
  <c r="F4016" i="2"/>
  <c r="D4016" i="2"/>
  <c r="F4015" i="2"/>
  <c r="D4015" i="2"/>
  <c r="F4014" i="2"/>
  <c r="D4014" i="2"/>
  <c r="F4013" i="2"/>
  <c r="D4013" i="2"/>
  <c r="F4012" i="2"/>
  <c r="D4012" i="2"/>
  <c r="F4011" i="2"/>
  <c r="D4011" i="2"/>
  <c r="F4010" i="2"/>
  <c r="D4010" i="2"/>
  <c r="F4009" i="2"/>
  <c r="D4009" i="2"/>
  <c r="F4008" i="2"/>
  <c r="D4008" i="2"/>
  <c r="F4007" i="2"/>
  <c r="D4007" i="2"/>
  <c r="F4006" i="2"/>
  <c r="D4006" i="2"/>
  <c r="F4005" i="2"/>
  <c r="D4005" i="2"/>
  <c r="F4004" i="2"/>
  <c r="D4004" i="2"/>
  <c r="F4003" i="2"/>
  <c r="D4003" i="2"/>
  <c r="F4002" i="2"/>
  <c r="D4002" i="2"/>
  <c r="F4001" i="2"/>
  <c r="D4001" i="2"/>
  <c r="F4000" i="2"/>
  <c r="D4000" i="2"/>
  <c r="F3999" i="2"/>
  <c r="D3999" i="2"/>
  <c r="F3998" i="2"/>
  <c r="D3998" i="2"/>
  <c r="F3997" i="2"/>
  <c r="D3997" i="2"/>
  <c r="F3996" i="2"/>
  <c r="D3996" i="2"/>
  <c r="F3995" i="2"/>
  <c r="D3995" i="2"/>
  <c r="F3994" i="2"/>
  <c r="D3994" i="2"/>
  <c r="F3993" i="2"/>
  <c r="D3993" i="2"/>
  <c r="F3992" i="2"/>
  <c r="D3992" i="2"/>
  <c r="F3991" i="2"/>
  <c r="D3991" i="2"/>
  <c r="F3990" i="2"/>
  <c r="D3990" i="2"/>
  <c r="F3989" i="2"/>
  <c r="D3989" i="2"/>
  <c r="F3988" i="2"/>
  <c r="D3988" i="2"/>
  <c r="F3987" i="2"/>
  <c r="D3987" i="2"/>
  <c r="F3986" i="2"/>
  <c r="D3986" i="2"/>
  <c r="F3985" i="2"/>
  <c r="D3985" i="2"/>
  <c r="F3984" i="2"/>
  <c r="D3984" i="2"/>
  <c r="F3983" i="2"/>
  <c r="D3983" i="2"/>
  <c r="F3982" i="2"/>
  <c r="D3982" i="2"/>
  <c r="F3981" i="2"/>
  <c r="D3981" i="2"/>
  <c r="F3980" i="2"/>
  <c r="D3980" i="2"/>
  <c r="F3979" i="2"/>
  <c r="D3979" i="2"/>
  <c r="F3978" i="2"/>
  <c r="D3978" i="2"/>
  <c r="F3977" i="2"/>
  <c r="D3977" i="2"/>
  <c r="F3976" i="2"/>
  <c r="D3976" i="2"/>
  <c r="F3975" i="2"/>
  <c r="D3975" i="2"/>
  <c r="F3974" i="2"/>
  <c r="D3974" i="2"/>
  <c r="F3973" i="2"/>
  <c r="D3973" i="2"/>
  <c r="F3972" i="2"/>
  <c r="D3972" i="2"/>
  <c r="F3971" i="2"/>
  <c r="D3971" i="2"/>
  <c r="F3970" i="2"/>
  <c r="D3970" i="2"/>
  <c r="F3969" i="2"/>
  <c r="D3969" i="2"/>
  <c r="F3968" i="2"/>
  <c r="D3968" i="2"/>
  <c r="F3967" i="2"/>
  <c r="D3967" i="2"/>
  <c r="F3966" i="2"/>
  <c r="D3966" i="2"/>
  <c r="F3965" i="2"/>
  <c r="D3965" i="2"/>
  <c r="F3964" i="2"/>
  <c r="D3964" i="2"/>
  <c r="F3963" i="2"/>
  <c r="D3963" i="2"/>
  <c r="F3962" i="2"/>
  <c r="D3962" i="2"/>
  <c r="F3961" i="2"/>
  <c r="D3961" i="2"/>
  <c r="F3960" i="2"/>
  <c r="D3960" i="2"/>
  <c r="F3959" i="2"/>
  <c r="D3959" i="2"/>
  <c r="F3958" i="2"/>
  <c r="D3958" i="2"/>
  <c r="F3957" i="2"/>
  <c r="D3957" i="2"/>
  <c r="F3956" i="2"/>
  <c r="D3956" i="2"/>
  <c r="F3955" i="2"/>
  <c r="D3955" i="2"/>
  <c r="F3954" i="2"/>
  <c r="D3954" i="2"/>
  <c r="F3953" i="2"/>
  <c r="D3953" i="2"/>
  <c r="F3952" i="2"/>
  <c r="D3952" i="2"/>
  <c r="F3951" i="2"/>
  <c r="D3951" i="2"/>
  <c r="F3950" i="2"/>
  <c r="D3950" i="2"/>
  <c r="F3949" i="2"/>
  <c r="D3949" i="2"/>
  <c r="F3948" i="2"/>
  <c r="D3948" i="2"/>
  <c r="F3947" i="2"/>
  <c r="D3947" i="2"/>
  <c r="F3946" i="2"/>
  <c r="D3946" i="2"/>
  <c r="F3945" i="2"/>
  <c r="D3945" i="2"/>
  <c r="F3944" i="2"/>
  <c r="D3944" i="2"/>
  <c r="F3943" i="2"/>
  <c r="D3943" i="2"/>
  <c r="F3942" i="2"/>
  <c r="D3942" i="2"/>
  <c r="F3941" i="2"/>
  <c r="D3941" i="2"/>
  <c r="F3940" i="2"/>
  <c r="D3940" i="2"/>
  <c r="F3939" i="2"/>
  <c r="D3939" i="2"/>
  <c r="F3938" i="2"/>
  <c r="D3938" i="2"/>
  <c r="F3937" i="2"/>
  <c r="D3937" i="2"/>
  <c r="F3936" i="2"/>
  <c r="D3936" i="2"/>
  <c r="F3935" i="2"/>
  <c r="D3935" i="2"/>
  <c r="F3934" i="2"/>
  <c r="D3934" i="2"/>
  <c r="F3933" i="2"/>
  <c r="D3933" i="2"/>
  <c r="F3932" i="2"/>
  <c r="D3932" i="2"/>
  <c r="F3931" i="2"/>
  <c r="D3931" i="2"/>
  <c r="F3930" i="2"/>
  <c r="D3930" i="2"/>
  <c r="F3929" i="2"/>
  <c r="D3929" i="2"/>
  <c r="F3928" i="2"/>
  <c r="D3928" i="2"/>
  <c r="F3927" i="2"/>
  <c r="D3927" i="2"/>
  <c r="F3926" i="2"/>
  <c r="D3926" i="2"/>
  <c r="F3925" i="2"/>
  <c r="D3925" i="2"/>
  <c r="F3924" i="2"/>
  <c r="D3924" i="2"/>
  <c r="F3923" i="2"/>
  <c r="D3923" i="2"/>
  <c r="F3922" i="2"/>
  <c r="D3922" i="2"/>
  <c r="F3921" i="2"/>
  <c r="D3921" i="2"/>
  <c r="F3920" i="2"/>
  <c r="D3920" i="2"/>
  <c r="F3919" i="2"/>
  <c r="D3919" i="2"/>
  <c r="F3918" i="2"/>
  <c r="D3918" i="2"/>
  <c r="F3917" i="2"/>
  <c r="D3917" i="2"/>
  <c r="F3916" i="2"/>
  <c r="D3916" i="2"/>
  <c r="F3915" i="2"/>
  <c r="D3915" i="2"/>
  <c r="F3914" i="2"/>
  <c r="D3914" i="2"/>
  <c r="F3913" i="2"/>
  <c r="D3913" i="2"/>
  <c r="F3912" i="2"/>
  <c r="D3912" i="2"/>
  <c r="F3911" i="2"/>
  <c r="D3911" i="2"/>
  <c r="F3910" i="2"/>
  <c r="D3910" i="2"/>
  <c r="F3909" i="2"/>
  <c r="D3909" i="2"/>
  <c r="F3908" i="2"/>
  <c r="D3908" i="2"/>
  <c r="F3907" i="2"/>
  <c r="D3907" i="2"/>
  <c r="F3906" i="2"/>
  <c r="D3906" i="2"/>
  <c r="F3905" i="2"/>
  <c r="D3905" i="2"/>
  <c r="F3904" i="2"/>
  <c r="D3904" i="2"/>
  <c r="F3903" i="2"/>
  <c r="D3903" i="2"/>
  <c r="F3902" i="2"/>
  <c r="D3902" i="2"/>
  <c r="F3901" i="2"/>
  <c r="D3901" i="2"/>
  <c r="F3900" i="2"/>
  <c r="D3900" i="2"/>
  <c r="F3899" i="2"/>
  <c r="D3899" i="2"/>
  <c r="F3898" i="2"/>
  <c r="D3898" i="2"/>
  <c r="F3897" i="2"/>
  <c r="D3897" i="2"/>
  <c r="F3896" i="2"/>
  <c r="D3896" i="2"/>
  <c r="F3895" i="2"/>
  <c r="D3895" i="2"/>
  <c r="F3894" i="2"/>
  <c r="D3894" i="2"/>
  <c r="F3893" i="2"/>
  <c r="D3893" i="2"/>
  <c r="F3892" i="2"/>
  <c r="D3892" i="2"/>
  <c r="F3891" i="2"/>
  <c r="D3891" i="2"/>
  <c r="F3890" i="2"/>
  <c r="D3890" i="2"/>
  <c r="F3889" i="2"/>
  <c r="D3889" i="2"/>
  <c r="F3888" i="2"/>
  <c r="D3888" i="2"/>
  <c r="F3887" i="2"/>
  <c r="D3887" i="2"/>
  <c r="F3886" i="2"/>
  <c r="D3886" i="2"/>
  <c r="F3885" i="2"/>
  <c r="D3885" i="2"/>
  <c r="F3884" i="2"/>
  <c r="D3884" i="2"/>
  <c r="F3883" i="2"/>
  <c r="D3883" i="2"/>
  <c r="F3882" i="2"/>
  <c r="D3882" i="2"/>
  <c r="F3881" i="2"/>
  <c r="D3881" i="2"/>
  <c r="F3880" i="2"/>
  <c r="D3880" i="2"/>
  <c r="F3879" i="2"/>
  <c r="D3879" i="2"/>
  <c r="F3878" i="2"/>
  <c r="D3878" i="2"/>
  <c r="F3877" i="2"/>
  <c r="D3877" i="2"/>
  <c r="F3876" i="2"/>
  <c r="D3876" i="2"/>
  <c r="F3875" i="2"/>
  <c r="D3875" i="2"/>
  <c r="F3874" i="2"/>
  <c r="D3874" i="2"/>
  <c r="F3873" i="2"/>
  <c r="D3873" i="2"/>
  <c r="F3872" i="2"/>
  <c r="D3872" i="2"/>
  <c r="F3871" i="2"/>
  <c r="D3871" i="2"/>
  <c r="F3870" i="2"/>
  <c r="D3870" i="2"/>
  <c r="F3869" i="2"/>
  <c r="D3869" i="2"/>
  <c r="F3868" i="2"/>
  <c r="D3868" i="2"/>
  <c r="F3867" i="2"/>
  <c r="D3867" i="2"/>
  <c r="F3866" i="2"/>
  <c r="D3866" i="2"/>
  <c r="F3865" i="2"/>
  <c r="D3865" i="2"/>
  <c r="F3864" i="2"/>
  <c r="D3864" i="2"/>
  <c r="F3863" i="2"/>
  <c r="D3863" i="2"/>
  <c r="F3862" i="2"/>
  <c r="D3862" i="2"/>
  <c r="F3861" i="2"/>
  <c r="D3861" i="2"/>
  <c r="F3860" i="2"/>
  <c r="D3860" i="2"/>
  <c r="F3859" i="2"/>
  <c r="D3859" i="2"/>
  <c r="F3858" i="2"/>
  <c r="D3858" i="2"/>
  <c r="F3857" i="2"/>
  <c r="D3857" i="2"/>
  <c r="F3856" i="2"/>
  <c r="D3856" i="2"/>
  <c r="F3855" i="2"/>
  <c r="D3855" i="2"/>
  <c r="F3854" i="2"/>
  <c r="D3854" i="2"/>
  <c r="F3853" i="2"/>
  <c r="D3853" i="2"/>
  <c r="F3852" i="2"/>
  <c r="D3852" i="2"/>
  <c r="F3851" i="2"/>
  <c r="D3851" i="2"/>
  <c r="F3850" i="2"/>
  <c r="D3850" i="2"/>
  <c r="F3849" i="2"/>
  <c r="D3849" i="2"/>
  <c r="F3848" i="2"/>
  <c r="D3848" i="2"/>
  <c r="F3847" i="2"/>
  <c r="D3847" i="2"/>
  <c r="F3846" i="2"/>
  <c r="D3846" i="2"/>
  <c r="F3845" i="2"/>
  <c r="D3845" i="2"/>
  <c r="F3844" i="2"/>
  <c r="D3844" i="2"/>
  <c r="F3843" i="2"/>
  <c r="D3843" i="2"/>
  <c r="F3842" i="2"/>
  <c r="D3842" i="2"/>
  <c r="F3841" i="2"/>
  <c r="D3841" i="2"/>
  <c r="F3840" i="2"/>
  <c r="D3840" i="2"/>
  <c r="F3839" i="2"/>
  <c r="D3839" i="2"/>
  <c r="F3838" i="2"/>
  <c r="D3838" i="2"/>
  <c r="F3837" i="2"/>
  <c r="D3837" i="2"/>
  <c r="F3836" i="2"/>
  <c r="D3836" i="2"/>
  <c r="F3835" i="2"/>
  <c r="D3835" i="2"/>
  <c r="F3834" i="2"/>
  <c r="D3834" i="2"/>
  <c r="F3833" i="2"/>
  <c r="D3833" i="2"/>
  <c r="F3832" i="2"/>
  <c r="D3832" i="2"/>
  <c r="F3831" i="2"/>
  <c r="D3831" i="2"/>
  <c r="F3830" i="2"/>
  <c r="D3830" i="2"/>
  <c r="F3829" i="2"/>
  <c r="D3829" i="2"/>
  <c r="F3828" i="2"/>
  <c r="D3828" i="2"/>
  <c r="F3827" i="2"/>
  <c r="D3827" i="2"/>
  <c r="F3826" i="2"/>
  <c r="D3826" i="2"/>
  <c r="F3825" i="2"/>
  <c r="D3825" i="2"/>
  <c r="F3824" i="2"/>
  <c r="D3824" i="2"/>
  <c r="F3823" i="2"/>
  <c r="D3823" i="2"/>
  <c r="F3822" i="2"/>
  <c r="D3822" i="2"/>
  <c r="F3821" i="2"/>
  <c r="D3821" i="2"/>
  <c r="F3820" i="2"/>
  <c r="D3820" i="2"/>
  <c r="F3819" i="2"/>
  <c r="D3819" i="2"/>
  <c r="F3818" i="2"/>
  <c r="D3818" i="2"/>
  <c r="F3817" i="2"/>
  <c r="D3817" i="2"/>
  <c r="F3816" i="2"/>
  <c r="D3816" i="2"/>
  <c r="F3815" i="2"/>
  <c r="D3815" i="2"/>
  <c r="F3814" i="2"/>
  <c r="D3814" i="2"/>
  <c r="F3813" i="2"/>
  <c r="D3813" i="2"/>
  <c r="F3812" i="2"/>
  <c r="D3812" i="2"/>
  <c r="F3811" i="2"/>
  <c r="D3811" i="2"/>
  <c r="F3810" i="2"/>
  <c r="D3810" i="2"/>
  <c r="F3809" i="2"/>
  <c r="D3809" i="2"/>
  <c r="F3808" i="2"/>
  <c r="D3808" i="2"/>
  <c r="F3807" i="2"/>
  <c r="D3807" i="2"/>
  <c r="F3806" i="2"/>
  <c r="D3806" i="2"/>
  <c r="F3805" i="2"/>
  <c r="D3805" i="2"/>
  <c r="F3804" i="2"/>
  <c r="D3804" i="2"/>
  <c r="F3803" i="2"/>
  <c r="D3803" i="2"/>
  <c r="F3802" i="2"/>
  <c r="D3802" i="2"/>
  <c r="F3801" i="2"/>
  <c r="D3801" i="2"/>
  <c r="F3800" i="2"/>
  <c r="D3800" i="2"/>
  <c r="F3799" i="2"/>
  <c r="D3799" i="2"/>
  <c r="F3798" i="2"/>
  <c r="D3798" i="2"/>
  <c r="F3797" i="2"/>
  <c r="D3797" i="2"/>
  <c r="F3796" i="2"/>
  <c r="D3796" i="2"/>
  <c r="F3795" i="2"/>
  <c r="D3795" i="2"/>
  <c r="F3794" i="2"/>
  <c r="D3794" i="2"/>
  <c r="F3793" i="2"/>
  <c r="D3793" i="2"/>
  <c r="F3792" i="2"/>
  <c r="D3792" i="2"/>
  <c r="F3791" i="2"/>
  <c r="D3791" i="2"/>
  <c r="F3790" i="2"/>
  <c r="D3790" i="2"/>
  <c r="F3789" i="2"/>
  <c r="D3789" i="2"/>
  <c r="F3788" i="2"/>
  <c r="D3788" i="2"/>
  <c r="F3787" i="2"/>
  <c r="D3787" i="2"/>
  <c r="F3786" i="2"/>
  <c r="D3786" i="2"/>
  <c r="F3785" i="2"/>
  <c r="D3785" i="2"/>
  <c r="F3784" i="2"/>
  <c r="D3784" i="2"/>
  <c r="F3783" i="2"/>
  <c r="D3783" i="2"/>
  <c r="F3782" i="2"/>
  <c r="D3782" i="2"/>
  <c r="F3781" i="2"/>
  <c r="D3781" i="2"/>
  <c r="F3780" i="2"/>
  <c r="D3780" i="2"/>
  <c r="F3779" i="2"/>
  <c r="D3779" i="2"/>
  <c r="F3778" i="2"/>
  <c r="D3778" i="2"/>
  <c r="F3777" i="2"/>
  <c r="D3777" i="2"/>
  <c r="F3776" i="2"/>
  <c r="D3776" i="2"/>
  <c r="F3775" i="2"/>
  <c r="D3775" i="2"/>
  <c r="F3774" i="2"/>
  <c r="D3774" i="2"/>
  <c r="F3773" i="2"/>
  <c r="D3773" i="2"/>
  <c r="F3772" i="2"/>
  <c r="D3772" i="2"/>
  <c r="F3771" i="2"/>
  <c r="D3771" i="2"/>
  <c r="F3770" i="2"/>
  <c r="D3770" i="2"/>
  <c r="F3769" i="2"/>
  <c r="D3769" i="2"/>
  <c r="F3768" i="2"/>
  <c r="D3768" i="2"/>
  <c r="F3767" i="2"/>
  <c r="D3767" i="2"/>
  <c r="F3766" i="2"/>
  <c r="D3766" i="2"/>
  <c r="F3765" i="2"/>
  <c r="D3765" i="2"/>
  <c r="F3764" i="2"/>
  <c r="D3764" i="2"/>
  <c r="F3763" i="2"/>
  <c r="D3763" i="2"/>
  <c r="F3762" i="2"/>
  <c r="D3762" i="2"/>
  <c r="F3761" i="2"/>
  <c r="D3761" i="2"/>
  <c r="F3760" i="2"/>
  <c r="D3760" i="2"/>
  <c r="F3759" i="2"/>
  <c r="D3759" i="2"/>
  <c r="F3758" i="2"/>
  <c r="D3758" i="2"/>
  <c r="F3757" i="2"/>
  <c r="D3757" i="2"/>
  <c r="F3756" i="2"/>
  <c r="D3756" i="2"/>
  <c r="F3755" i="2"/>
  <c r="D3755" i="2"/>
  <c r="F3754" i="2"/>
  <c r="D3754" i="2"/>
  <c r="F3753" i="2"/>
  <c r="D3753" i="2"/>
  <c r="F3752" i="2"/>
  <c r="D3752" i="2"/>
  <c r="F3751" i="2"/>
  <c r="D3751" i="2"/>
  <c r="F3750" i="2"/>
  <c r="D3750" i="2"/>
  <c r="F3749" i="2"/>
  <c r="D3749" i="2"/>
  <c r="F3748" i="2"/>
  <c r="D3748" i="2"/>
  <c r="F3747" i="2"/>
  <c r="D3747" i="2"/>
  <c r="F3746" i="2"/>
  <c r="D3746" i="2"/>
  <c r="F3745" i="2"/>
  <c r="D3745" i="2"/>
  <c r="F3744" i="2"/>
  <c r="D3744" i="2"/>
  <c r="F3743" i="2"/>
  <c r="D3743" i="2"/>
  <c r="F3742" i="2"/>
  <c r="D3742" i="2"/>
  <c r="F3741" i="2"/>
  <c r="D3741" i="2"/>
  <c r="F3740" i="2"/>
  <c r="D3740" i="2"/>
  <c r="F3739" i="2"/>
  <c r="D3739" i="2"/>
  <c r="F3738" i="2"/>
  <c r="D3738" i="2"/>
  <c r="F3737" i="2"/>
  <c r="D3737" i="2"/>
  <c r="F3736" i="2"/>
  <c r="D3736" i="2"/>
  <c r="F3735" i="2"/>
  <c r="D3735" i="2"/>
  <c r="F3734" i="2"/>
  <c r="D3734" i="2"/>
  <c r="F3733" i="2"/>
  <c r="D3733" i="2"/>
  <c r="F3732" i="2"/>
  <c r="D3732" i="2"/>
  <c r="F3731" i="2"/>
  <c r="D3731" i="2"/>
  <c r="F3730" i="2"/>
  <c r="D3730" i="2"/>
  <c r="F3729" i="2"/>
  <c r="D3729" i="2"/>
  <c r="F3728" i="2"/>
  <c r="D3728" i="2"/>
  <c r="F3727" i="2"/>
  <c r="D3727" i="2"/>
  <c r="F3726" i="2"/>
  <c r="D3726" i="2"/>
  <c r="F3725" i="2"/>
  <c r="D3725" i="2"/>
  <c r="F3724" i="2"/>
  <c r="D3724" i="2"/>
  <c r="F3723" i="2"/>
  <c r="D3723" i="2"/>
  <c r="F3722" i="2"/>
  <c r="D3722" i="2"/>
  <c r="F3721" i="2"/>
  <c r="D3721" i="2"/>
  <c r="F3720" i="2"/>
  <c r="D3720" i="2"/>
  <c r="F3719" i="2"/>
  <c r="D3719" i="2"/>
  <c r="F3718" i="2"/>
  <c r="D3718" i="2"/>
  <c r="F3717" i="2"/>
  <c r="D3717" i="2"/>
  <c r="F3716" i="2"/>
  <c r="D3716" i="2"/>
  <c r="F3715" i="2"/>
  <c r="D3715" i="2"/>
  <c r="F3714" i="2"/>
  <c r="D3714" i="2"/>
  <c r="F3713" i="2"/>
  <c r="D3713" i="2"/>
  <c r="F3712" i="2"/>
  <c r="D3712" i="2"/>
  <c r="F3711" i="2"/>
  <c r="D3711" i="2"/>
  <c r="F3710" i="2"/>
  <c r="D3710" i="2"/>
  <c r="F3709" i="2"/>
  <c r="D3709" i="2"/>
  <c r="F3708" i="2"/>
  <c r="D3708" i="2"/>
  <c r="F3707" i="2"/>
  <c r="D3707" i="2"/>
  <c r="F3706" i="2"/>
  <c r="D3706" i="2"/>
  <c r="F3705" i="2"/>
  <c r="D3705" i="2"/>
  <c r="F3704" i="2"/>
  <c r="D3704" i="2"/>
  <c r="F3703" i="2"/>
  <c r="D3703" i="2"/>
  <c r="F3702" i="2"/>
  <c r="D3702" i="2"/>
  <c r="F3701" i="2"/>
  <c r="D3701" i="2"/>
  <c r="F3700" i="2"/>
  <c r="D3700" i="2"/>
  <c r="F3699" i="2"/>
  <c r="D3699" i="2"/>
  <c r="F3698" i="2"/>
  <c r="D3698" i="2"/>
  <c r="F3697" i="2"/>
  <c r="D3697" i="2"/>
  <c r="F3696" i="2"/>
  <c r="D3696" i="2"/>
  <c r="F3695" i="2"/>
  <c r="D3695" i="2"/>
  <c r="F3694" i="2"/>
  <c r="D3694" i="2"/>
  <c r="F3693" i="2"/>
  <c r="D3693" i="2"/>
  <c r="F3692" i="2"/>
  <c r="D3692" i="2"/>
  <c r="F3691" i="2"/>
  <c r="D3691" i="2"/>
  <c r="F3690" i="2"/>
  <c r="D3690" i="2"/>
  <c r="F3689" i="2"/>
  <c r="D3689" i="2"/>
  <c r="F3688" i="2"/>
  <c r="D3688" i="2"/>
  <c r="F3687" i="2"/>
  <c r="D3687" i="2"/>
  <c r="F3686" i="2"/>
  <c r="D3686" i="2"/>
  <c r="F3685" i="2"/>
  <c r="D3685" i="2"/>
  <c r="F3684" i="2"/>
  <c r="D3684" i="2"/>
  <c r="F3683" i="2"/>
  <c r="D3683" i="2"/>
  <c r="F3682" i="2"/>
  <c r="D3682" i="2"/>
  <c r="F3681" i="2"/>
  <c r="D3681" i="2"/>
  <c r="F3680" i="2"/>
  <c r="D3680" i="2"/>
  <c r="F3679" i="2"/>
  <c r="D3679" i="2"/>
  <c r="F3678" i="2"/>
  <c r="D3678" i="2"/>
  <c r="F3677" i="2"/>
  <c r="D3677" i="2"/>
  <c r="F3676" i="2"/>
  <c r="D3676" i="2"/>
  <c r="F3675" i="2"/>
  <c r="D3675" i="2"/>
  <c r="F3674" i="2"/>
  <c r="D3674" i="2"/>
  <c r="F3673" i="2"/>
  <c r="D3673" i="2"/>
  <c r="F3672" i="2"/>
  <c r="D3672" i="2"/>
  <c r="F3671" i="2"/>
  <c r="D3671" i="2"/>
  <c r="F3670" i="2"/>
  <c r="D3670" i="2"/>
  <c r="F3669" i="2"/>
  <c r="D3669" i="2"/>
  <c r="F3668" i="2"/>
  <c r="D3668" i="2"/>
  <c r="F3667" i="2"/>
  <c r="D3667" i="2"/>
  <c r="F3666" i="2"/>
  <c r="D3666" i="2"/>
  <c r="F3665" i="2"/>
  <c r="D3665" i="2"/>
  <c r="F3664" i="2"/>
  <c r="D3664" i="2"/>
  <c r="F3663" i="2"/>
  <c r="D3663" i="2"/>
  <c r="F3662" i="2"/>
  <c r="D3662" i="2"/>
  <c r="F3661" i="2"/>
  <c r="D3661" i="2"/>
  <c r="F3660" i="2"/>
  <c r="D3660" i="2"/>
  <c r="F3659" i="2"/>
  <c r="D3659" i="2"/>
  <c r="F3658" i="2"/>
  <c r="D3658" i="2"/>
  <c r="F3657" i="2"/>
  <c r="D3657" i="2"/>
  <c r="F3656" i="2"/>
  <c r="D3656" i="2"/>
  <c r="F3655" i="2"/>
  <c r="D3655" i="2"/>
  <c r="F3654" i="2"/>
  <c r="D3654" i="2"/>
  <c r="F3653" i="2"/>
  <c r="D3653" i="2"/>
  <c r="F3652" i="2"/>
  <c r="D3652" i="2"/>
  <c r="F3651" i="2"/>
  <c r="D3651" i="2"/>
  <c r="F3650" i="2"/>
  <c r="D3650" i="2"/>
  <c r="F3649" i="2"/>
  <c r="D3649" i="2"/>
  <c r="F3648" i="2"/>
  <c r="D3648" i="2"/>
  <c r="F3647" i="2"/>
  <c r="D3647" i="2"/>
  <c r="F3646" i="2"/>
  <c r="D3646" i="2"/>
  <c r="F3645" i="2"/>
  <c r="D3645" i="2"/>
  <c r="F3644" i="2"/>
  <c r="D3644" i="2"/>
  <c r="F3643" i="2"/>
  <c r="D3643" i="2"/>
  <c r="F3642" i="2"/>
  <c r="D3642" i="2"/>
  <c r="F3641" i="2"/>
  <c r="D3641" i="2"/>
  <c r="F3640" i="2"/>
  <c r="D3640" i="2"/>
  <c r="F3639" i="2"/>
  <c r="D3639" i="2"/>
  <c r="F3638" i="2"/>
  <c r="D3638" i="2"/>
  <c r="F3637" i="2"/>
  <c r="D3637" i="2"/>
  <c r="F3636" i="2"/>
  <c r="D3636" i="2"/>
  <c r="F3635" i="2"/>
  <c r="D3635" i="2"/>
  <c r="F3634" i="2"/>
  <c r="D3634" i="2"/>
  <c r="F3633" i="2"/>
  <c r="D3633" i="2"/>
  <c r="F3632" i="2"/>
  <c r="D3632" i="2"/>
  <c r="F3631" i="2"/>
  <c r="D3631" i="2"/>
  <c r="F3630" i="2"/>
  <c r="D3630" i="2"/>
  <c r="F3629" i="2"/>
  <c r="D3629" i="2"/>
  <c r="F3628" i="2"/>
  <c r="D3628" i="2"/>
  <c r="F3627" i="2"/>
  <c r="D3627" i="2"/>
  <c r="F3626" i="2"/>
  <c r="D3626" i="2"/>
  <c r="F3625" i="2"/>
  <c r="D3625" i="2"/>
  <c r="F3624" i="2"/>
  <c r="D3624" i="2"/>
  <c r="F3623" i="2"/>
  <c r="D3623" i="2"/>
  <c r="F3622" i="2"/>
  <c r="D3622" i="2"/>
  <c r="F3621" i="2"/>
  <c r="D3621" i="2"/>
  <c r="F3620" i="2"/>
  <c r="D3620" i="2"/>
  <c r="F3619" i="2"/>
  <c r="D3619" i="2"/>
  <c r="F3618" i="2"/>
  <c r="D3618" i="2"/>
  <c r="F3617" i="2"/>
  <c r="D3617" i="2"/>
  <c r="F3616" i="2"/>
  <c r="D3616" i="2"/>
  <c r="F3615" i="2"/>
  <c r="D3615" i="2"/>
  <c r="F3614" i="2"/>
  <c r="D3614" i="2"/>
  <c r="F3613" i="2"/>
  <c r="D3613" i="2"/>
  <c r="F3612" i="2"/>
  <c r="D3612" i="2"/>
  <c r="F3611" i="2"/>
  <c r="D3611" i="2"/>
  <c r="F3610" i="2"/>
  <c r="D3610" i="2"/>
  <c r="F3609" i="2"/>
  <c r="D3609" i="2"/>
  <c r="F3608" i="2"/>
  <c r="D3608" i="2"/>
  <c r="F3607" i="2"/>
  <c r="D3607" i="2"/>
  <c r="F3606" i="2"/>
  <c r="D3606" i="2"/>
  <c r="F3605" i="2"/>
  <c r="D3605" i="2"/>
  <c r="F3604" i="2"/>
  <c r="D3604" i="2"/>
  <c r="F3603" i="2"/>
  <c r="D3603" i="2"/>
  <c r="F3602" i="2"/>
  <c r="D3602" i="2"/>
  <c r="F3601" i="2"/>
  <c r="D3601" i="2"/>
  <c r="F3600" i="2"/>
  <c r="D3600" i="2"/>
  <c r="F3599" i="2"/>
  <c r="D3599" i="2"/>
  <c r="F3598" i="2"/>
  <c r="D3598" i="2"/>
  <c r="F3597" i="2"/>
  <c r="D3597" i="2"/>
  <c r="F3596" i="2"/>
  <c r="D3596" i="2"/>
  <c r="F3595" i="2"/>
  <c r="D3595" i="2"/>
  <c r="F3594" i="2"/>
  <c r="D3594" i="2"/>
  <c r="F3593" i="2"/>
  <c r="D3593" i="2"/>
  <c r="F3592" i="2"/>
  <c r="D3592" i="2"/>
  <c r="F3591" i="2"/>
  <c r="D3591" i="2"/>
  <c r="F3590" i="2"/>
  <c r="D3590" i="2"/>
  <c r="F3589" i="2"/>
  <c r="D3589" i="2"/>
  <c r="F3588" i="2"/>
  <c r="D3588" i="2"/>
  <c r="F3587" i="2"/>
  <c r="D3587" i="2"/>
  <c r="F3586" i="2"/>
  <c r="D3586" i="2"/>
  <c r="F3585" i="2"/>
  <c r="D3585" i="2"/>
  <c r="F3584" i="2"/>
  <c r="D3584" i="2"/>
  <c r="F3583" i="2"/>
  <c r="D3583" i="2"/>
  <c r="F3582" i="2"/>
  <c r="D3582" i="2"/>
  <c r="F3581" i="2"/>
  <c r="D3581" i="2"/>
  <c r="F3580" i="2"/>
  <c r="D3580" i="2"/>
  <c r="F3579" i="2"/>
  <c r="D3579" i="2"/>
  <c r="F3578" i="2"/>
  <c r="D3578" i="2"/>
  <c r="F3577" i="2"/>
  <c r="D3577" i="2"/>
  <c r="F3576" i="2"/>
  <c r="D3576" i="2"/>
  <c r="F3575" i="2"/>
  <c r="D3575" i="2"/>
  <c r="F3574" i="2"/>
  <c r="D3574" i="2"/>
  <c r="F3573" i="2"/>
  <c r="D3573" i="2"/>
  <c r="F3572" i="2"/>
  <c r="D3572" i="2"/>
  <c r="F3571" i="2"/>
  <c r="D3571" i="2"/>
  <c r="F3570" i="2"/>
  <c r="D3570" i="2"/>
  <c r="F3569" i="2"/>
  <c r="D3569" i="2"/>
  <c r="F3568" i="2"/>
  <c r="D3568" i="2"/>
  <c r="F3567" i="2"/>
  <c r="D3567" i="2"/>
  <c r="F3566" i="2"/>
  <c r="D3566" i="2"/>
  <c r="F3565" i="2"/>
  <c r="D3565" i="2"/>
  <c r="F3564" i="2"/>
  <c r="D3564" i="2"/>
  <c r="F3563" i="2"/>
  <c r="D3563" i="2"/>
  <c r="F3562" i="2"/>
  <c r="D3562" i="2"/>
  <c r="F3561" i="2"/>
  <c r="D3561" i="2"/>
  <c r="F3560" i="2"/>
  <c r="D3560" i="2"/>
  <c r="F3559" i="2"/>
  <c r="D3559" i="2"/>
  <c r="F3558" i="2"/>
  <c r="D3558" i="2"/>
  <c r="F3557" i="2"/>
  <c r="D3557" i="2"/>
  <c r="F3556" i="2"/>
  <c r="D3556" i="2"/>
  <c r="F3555" i="2"/>
  <c r="D3555" i="2"/>
  <c r="F3554" i="2"/>
  <c r="D3554" i="2"/>
  <c r="F3553" i="2"/>
  <c r="D3553" i="2"/>
  <c r="F3552" i="2"/>
  <c r="D3552" i="2"/>
  <c r="F3551" i="2"/>
  <c r="D3551" i="2"/>
  <c r="F3550" i="2"/>
  <c r="D3550" i="2"/>
  <c r="F3549" i="2"/>
  <c r="D3549" i="2"/>
  <c r="F3548" i="2"/>
  <c r="D3548" i="2"/>
  <c r="F3547" i="2"/>
  <c r="D3547" i="2"/>
  <c r="F3546" i="2"/>
  <c r="D3546" i="2"/>
  <c r="F3545" i="2"/>
  <c r="D3545" i="2"/>
  <c r="F3544" i="2"/>
  <c r="D3544" i="2"/>
  <c r="F3543" i="2"/>
  <c r="D3543" i="2"/>
  <c r="F3542" i="2"/>
  <c r="D3542" i="2"/>
  <c r="F3541" i="2"/>
  <c r="D3541" i="2"/>
  <c r="F3540" i="2"/>
  <c r="D3540" i="2"/>
  <c r="F3539" i="2"/>
  <c r="D3539" i="2"/>
  <c r="F3538" i="2"/>
  <c r="D3538" i="2"/>
  <c r="F3537" i="2"/>
  <c r="D3537" i="2"/>
  <c r="F3536" i="2"/>
  <c r="D3536" i="2"/>
  <c r="F3535" i="2"/>
  <c r="D3535" i="2"/>
  <c r="F3534" i="2"/>
  <c r="D3534" i="2"/>
  <c r="F3533" i="2"/>
  <c r="D3533" i="2"/>
  <c r="F3532" i="2"/>
  <c r="D3532" i="2"/>
  <c r="F3531" i="2"/>
  <c r="D3531" i="2"/>
  <c r="F3530" i="2"/>
  <c r="D3530" i="2"/>
  <c r="F3529" i="2"/>
  <c r="D3529" i="2"/>
  <c r="F3528" i="2"/>
  <c r="D3528" i="2"/>
  <c r="F3527" i="2"/>
  <c r="D3527" i="2"/>
  <c r="F3526" i="2"/>
  <c r="D3526" i="2"/>
  <c r="F3525" i="2"/>
  <c r="D3525" i="2"/>
  <c r="F3524" i="2"/>
  <c r="D3524" i="2"/>
  <c r="F3523" i="2"/>
  <c r="D3523" i="2"/>
  <c r="F3522" i="2"/>
  <c r="D3522" i="2"/>
  <c r="F3521" i="2"/>
  <c r="D3521" i="2"/>
  <c r="F3520" i="2"/>
  <c r="D3520" i="2"/>
  <c r="F3519" i="2"/>
  <c r="D3519" i="2"/>
  <c r="F3518" i="2"/>
  <c r="D3518" i="2"/>
  <c r="F3517" i="2"/>
  <c r="D3517" i="2"/>
  <c r="F3516" i="2"/>
  <c r="D3516" i="2"/>
  <c r="F3515" i="2"/>
  <c r="D3515" i="2"/>
  <c r="F3514" i="2"/>
  <c r="D3514" i="2"/>
  <c r="F3513" i="2"/>
  <c r="D3513" i="2"/>
  <c r="F3512" i="2"/>
  <c r="D3512" i="2"/>
  <c r="F3511" i="2"/>
  <c r="D3511" i="2"/>
  <c r="F3510" i="2"/>
  <c r="D3510" i="2"/>
  <c r="F3509" i="2"/>
  <c r="D3509" i="2"/>
  <c r="F3508" i="2"/>
  <c r="D3508" i="2"/>
  <c r="F3507" i="2"/>
  <c r="D3507" i="2"/>
  <c r="F3506" i="2"/>
  <c r="D3506" i="2"/>
  <c r="F3505" i="2"/>
  <c r="D3505" i="2"/>
  <c r="F3504" i="2"/>
  <c r="D3504" i="2"/>
  <c r="F3503" i="2"/>
  <c r="D3503" i="2"/>
  <c r="F3502" i="2"/>
  <c r="D3502" i="2"/>
  <c r="F3501" i="2"/>
  <c r="D3501" i="2"/>
  <c r="F3500" i="2"/>
  <c r="D3500" i="2"/>
  <c r="F3499" i="2"/>
  <c r="D3499" i="2"/>
  <c r="F3498" i="2"/>
  <c r="D3498" i="2"/>
  <c r="F3497" i="2"/>
  <c r="D3497" i="2"/>
  <c r="F3496" i="2"/>
  <c r="D3496" i="2"/>
  <c r="F3495" i="2"/>
  <c r="D3495" i="2"/>
  <c r="F3494" i="2"/>
  <c r="D3494" i="2"/>
  <c r="F3493" i="2"/>
  <c r="D3493" i="2"/>
  <c r="F3492" i="2"/>
  <c r="D3492" i="2"/>
  <c r="F3491" i="2"/>
  <c r="D3491" i="2"/>
  <c r="F3490" i="2"/>
  <c r="D3490" i="2"/>
  <c r="F3489" i="2"/>
  <c r="D3489" i="2"/>
  <c r="F3488" i="2"/>
  <c r="D3488" i="2"/>
  <c r="F3487" i="2"/>
  <c r="D3487" i="2"/>
  <c r="F3486" i="2"/>
  <c r="D3486" i="2"/>
  <c r="F3485" i="2"/>
  <c r="D3485" i="2"/>
  <c r="F3484" i="2"/>
  <c r="D3484" i="2"/>
  <c r="F3483" i="2"/>
  <c r="D3483" i="2"/>
  <c r="F3482" i="2"/>
  <c r="D3482" i="2"/>
  <c r="F3481" i="2"/>
  <c r="D3481" i="2"/>
  <c r="F3480" i="2"/>
  <c r="D3480" i="2"/>
  <c r="F3479" i="2"/>
  <c r="D3479" i="2"/>
  <c r="F3478" i="2"/>
  <c r="D3478" i="2"/>
  <c r="F3477" i="2"/>
  <c r="D3477" i="2"/>
  <c r="F3476" i="2"/>
  <c r="D3476" i="2"/>
  <c r="F3475" i="2"/>
  <c r="D3475" i="2"/>
  <c r="F3474" i="2"/>
  <c r="D3474" i="2"/>
  <c r="F3473" i="2"/>
  <c r="D3473" i="2"/>
  <c r="F3472" i="2"/>
  <c r="D3472" i="2"/>
  <c r="F3471" i="2"/>
  <c r="D3471" i="2"/>
  <c r="F3470" i="2"/>
  <c r="D3470" i="2"/>
  <c r="F3469" i="2"/>
  <c r="D3469" i="2"/>
  <c r="F3468" i="2"/>
  <c r="D3468" i="2"/>
  <c r="F3467" i="2"/>
  <c r="D3467" i="2"/>
  <c r="F3466" i="2"/>
  <c r="D3466" i="2"/>
  <c r="F3465" i="2"/>
  <c r="D3465" i="2"/>
  <c r="F3464" i="2"/>
  <c r="D3464" i="2"/>
  <c r="F3463" i="2"/>
  <c r="D3463" i="2"/>
  <c r="F3462" i="2"/>
  <c r="D3462" i="2"/>
  <c r="F3461" i="2"/>
  <c r="D3461" i="2"/>
  <c r="F3460" i="2"/>
  <c r="D3460" i="2"/>
  <c r="F3459" i="2"/>
  <c r="D3459" i="2"/>
  <c r="F3458" i="2"/>
  <c r="D3458" i="2"/>
  <c r="F3457" i="2"/>
  <c r="D3457" i="2"/>
  <c r="F3456" i="2"/>
  <c r="D3456" i="2"/>
  <c r="F3455" i="2"/>
  <c r="D3455" i="2"/>
  <c r="F3454" i="2"/>
  <c r="D3454" i="2"/>
  <c r="F3453" i="2"/>
  <c r="D3453" i="2"/>
  <c r="F3452" i="2"/>
  <c r="D3452" i="2"/>
  <c r="F3451" i="2"/>
  <c r="D3451" i="2"/>
  <c r="F3450" i="2"/>
  <c r="D3450" i="2"/>
  <c r="F3449" i="2"/>
  <c r="D3449" i="2"/>
  <c r="F3448" i="2"/>
  <c r="D3448" i="2"/>
  <c r="F3447" i="2"/>
  <c r="D3447" i="2"/>
  <c r="F3446" i="2"/>
  <c r="D3446" i="2"/>
  <c r="F3445" i="2"/>
  <c r="D3445" i="2"/>
  <c r="F3444" i="2"/>
  <c r="D3444" i="2"/>
  <c r="F3443" i="2"/>
  <c r="D3443" i="2"/>
  <c r="F3442" i="2"/>
  <c r="D3442" i="2"/>
  <c r="F3441" i="2"/>
  <c r="D3441" i="2"/>
  <c r="F3440" i="2"/>
  <c r="D3440" i="2"/>
  <c r="F3439" i="2"/>
  <c r="D3439" i="2"/>
  <c r="F3438" i="2"/>
  <c r="D3438" i="2"/>
  <c r="F3437" i="2"/>
  <c r="D3437" i="2"/>
  <c r="F3436" i="2"/>
  <c r="D3436" i="2"/>
  <c r="F3435" i="2"/>
  <c r="D3435" i="2"/>
  <c r="F3434" i="2"/>
  <c r="D3434" i="2"/>
  <c r="F3433" i="2"/>
  <c r="D3433" i="2"/>
  <c r="F3432" i="2"/>
  <c r="D3432" i="2"/>
  <c r="F3431" i="2"/>
  <c r="D3431" i="2"/>
  <c r="F3430" i="2"/>
  <c r="D3430" i="2"/>
  <c r="F3429" i="2"/>
  <c r="D3429" i="2"/>
  <c r="F3428" i="2"/>
  <c r="D3428" i="2"/>
  <c r="F3427" i="2"/>
  <c r="D3427" i="2"/>
  <c r="F3426" i="2"/>
  <c r="D3426" i="2"/>
  <c r="F3425" i="2"/>
  <c r="D3425" i="2"/>
  <c r="F3424" i="2"/>
  <c r="D3424" i="2"/>
  <c r="F3423" i="2"/>
  <c r="D3423" i="2"/>
  <c r="F3422" i="2"/>
  <c r="D3422" i="2"/>
  <c r="F3421" i="2"/>
  <c r="D3421" i="2"/>
  <c r="F3420" i="2"/>
  <c r="D3420" i="2"/>
  <c r="F3419" i="2"/>
  <c r="D3419" i="2"/>
  <c r="F3418" i="2"/>
  <c r="D3418" i="2"/>
  <c r="F3417" i="2"/>
  <c r="D3417" i="2"/>
  <c r="F3416" i="2"/>
  <c r="D3416" i="2"/>
  <c r="F3415" i="2"/>
  <c r="D3415" i="2"/>
  <c r="F3414" i="2"/>
  <c r="D3414" i="2"/>
  <c r="F3413" i="2"/>
  <c r="D3413" i="2"/>
  <c r="F3412" i="2"/>
  <c r="D3412" i="2"/>
  <c r="F3411" i="2"/>
  <c r="D3411" i="2"/>
  <c r="F3410" i="2"/>
  <c r="D3410" i="2"/>
  <c r="F3409" i="2"/>
  <c r="D3409" i="2"/>
  <c r="F3408" i="2"/>
  <c r="D3408" i="2"/>
  <c r="F3407" i="2"/>
  <c r="D3407" i="2"/>
  <c r="F3406" i="2"/>
  <c r="D3406" i="2"/>
  <c r="F3405" i="2"/>
  <c r="D3405" i="2"/>
  <c r="F3404" i="2"/>
  <c r="D3404" i="2"/>
  <c r="F3403" i="2"/>
  <c r="D3403" i="2"/>
  <c r="F3402" i="2"/>
  <c r="D3402" i="2"/>
  <c r="F3401" i="2"/>
  <c r="D3401" i="2"/>
  <c r="F3400" i="2"/>
  <c r="D3400" i="2"/>
  <c r="F3399" i="2"/>
  <c r="D3399" i="2"/>
  <c r="F3398" i="2"/>
  <c r="D3398" i="2"/>
  <c r="F3397" i="2"/>
  <c r="D3397" i="2"/>
  <c r="F3396" i="2"/>
  <c r="D3396" i="2"/>
  <c r="F3395" i="2"/>
  <c r="D3395" i="2"/>
  <c r="F3394" i="2"/>
  <c r="D3394" i="2"/>
  <c r="F3393" i="2"/>
  <c r="D3393" i="2"/>
  <c r="F3392" i="2"/>
  <c r="D3392" i="2"/>
  <c r="F3391" i="2"/>
  <c r="D3391" i="2"/>
  <c r="F3390" i="2"/>
  <c r="D3390" i="2"/>
  <c r="F3389" i="2"/>
  <c r="D3389" i="2"/>
  <c r="F3388" i="2"/>
  <c r="D3388" i="2"/>
  <c r="F3387" i="2"/>
  <c r="D3387" i="2"/>
  <c r="F3386" i="2"/>
  <c r="D3386" i="2"/>
  <c r="F3385" i="2"/>
  <c r="D3385" i="2"/>
  <c r="F3384" i="2"/>
  <c r="D3384" i="2"/>
  <c r="F3383" i="2"/>
  <c r="D3383" i="2"/>
  <c r="F3382" i="2"/>
  <c r="D3382" i="2"/>
  <c r="F3381" i="2"/>
  <c r="D3381" i="2"/>
  <c r="F3380" i="2"/>
  <c r="D3380" i="2"/>
  <c r="F3379" i="2"/>
  <c r="D3379" i="2"/>
  <c r="F3378" i="2"/>
  <c r="D3378" i="2"/>
  <c r="F3377" i="2"/>
  <c r="D3377" i="2"/>
  <c r="F3376" i="2"/>
  <c r="D3376" i="2"/>
  <c r="F3375" i="2"/>
  <c r="D3375" i="2"/>
  <c r="F3374" i="2"/>
  <c r="D3374" i="2"/>
  <c r="F3373" i="2"/>
  <c r="D3373" i="2"/>
  <c r="F3372" i="2"/>
  <c r="D3372" i="2"/>
  <c r="F3371" i="2"/>
  <c r="D3371" i="2"/>
  <c r="F3370" i="2"/>
  <c r="D3370" i="2"/>
  <c r="F3369" i="2"/>
  <c r="D3369" i="2"/>
  <c r="F3368" i="2"/>
  <c r="D3368" i="2"/>
  <c r="F3367" i="2"/>
  <c r="D3367" i="2"/>
  <c r="F3366" i="2"/>
  <c r="D3366" i="2"/>
  <c r="F3365" i="2"/>
  <c r="D3365" i="2"/>
  <c r="F3364" i="2"/>
  <c r="D3364" i="2"/>
  <c r="F3363" i="2"/>
  <c r="D3363" i="2"/>
  <c r="F3362" i="2"/>
  <c r="D3362" i="2"/>
  <c r="F3361" i="2"/>
  <c r="D3361" i="2"/>
  <c r="F3360" i="2"/>
  <c r="D3360" i="2"/>
  <c r="F3359" i="2"/>
  <c r="D3359" i="2"/>
  <c r="F3358" i="2"/>
  <c r="D3358" i="2"/>
  <c r="F3357" i="2"/>
  <c r="D3357" i="2"/>
  <c r="F3356" i="2"/>
  <c r="D3356" i="2"/>
  <c r="F3355" i="2"/>
  <c r="D3355" i="2"/>
  <c r="F3354" i="2"/>
  <c r="D3354" i="2"/>
  <c r="F3353" i="2"/>
  <c r="D3353" i="2"/>
  <c r="F3352" i="2"/>
  <c r="D3352" i="2"/>
  <c r="F3351" i="2"/>
  <c r="D3351" i="2"/>
  <c r="F3350" i="2"/>
  <c r="D3350" i="2"/>
  <c r="F3349" i="2"/>
  <c r="D3349" i="2"/>
  <c r="F3348" i="2"/>
  <c r="D3348" i="2"/>
  <c r="F3347" i="2"/>
  <c r="D3347" i="2"/>
  <c r="F3346" i="2"/>
  <c r="D3346" i="2"/>
  <c r="F3345" i="2"/>
  <c r="D3345" i="2"/>
  <c r="F3344" i="2"/>
  <c r="D3344" i="2"/>
  <c r="F3343" i="2"/>
  <c r="D3343" i="2"/>
  <c r="F3342" i="2"/>
  <c r="D3342" i="2"/>
  <c r="F3341" i="2"/>
  <c r="D3341" i="2"/>
  <c r="F3340" i="2"/>
  <c r="D3340" i="2"/>
  <c r="F3339" i="2"/>
  <c r="D3339" i="2"/>
  <c r="F3338" i="2"/>
  <c r="D3338" i="2"/>
  <c r="F3337" i="2"/>
  <c r="D3337" i="2"/>
  <c r="F3336" i="2"/>
  <c r="D3336" i="2"/>
  <c r="F3335" i="2"/>
  <c r="D3335" i="2"/>
  <c r="F3334" i="2"/>
  <c r="D3334" i="2"/>
  <c r="F3333" i="2"/>
  <c r="D3333" i="2"/>
  <c r="F3332" i="2"/>
  <c r="D3332" i="2"/>
  <c r="F3331" i="2"/>
  <c r="D3331" i="2"/>
  <c r="F3330" i="2"/>
  <c r="D3330" i="2"/>
  <c r="F3329" i="2"/>
  <c r="D3329" i="2"/>
  <c r="F3328" i="2"/>
  <c r="D3328" i="2"/>
  <c r="F3327" i="2"/>
  <c r="D3327" i="2"/>
  <c r="F3326" i="2"/>
  <c r="D3326" i="2"/>
  <c r="F3325" i="2"/>
  <c r="D3325" i="2"/>
  <c r="F3324" i="2"/>
  <c r="D3324" i="2"/>
  <c r="F3323" i="2"/>
  <c r="D3323" i="2"/>
  <c r="F3322" i="2"/>
  <c r="D3322" i="2"/>
  <c r="F3321" i="2"/>
  <c r="D3321" i="2"/>
  <c r="F3320" i="2"/>
  <c r="D3320" i="2"/>
  <c r="F3319" i="2"/>
  <c r="D3319" i="2"/>
  <c r="F3318" i="2"/>
  <c r="D3318" i="2"/>
  <c r="F3317" i="2"/>
  <c r="D3317" i="2"/>
  <c r="F3316" i="2"/>
  <c r="D3316" i="2"/>
  <c r="F3315" i="2"/>
  <c r="D3315" i="2"/>
  <c r="F3314" i="2"/>
  <c r="D3314" i="2"/>
  <c r="F3313" i="2"/>
  <c r="D3313" i="2"/>
  <c r="F3312" i="2"/>
  <c r="D3312" i="2"/>
  <c r="F3311" i="2"/>
  <c r="D3311" i="2"/>
  <c r="F3310" i="2"/>
  <c r="D3310" i="2"/>
  <c r="F3309" i="2"/>
  <c r="D3309" i="2"/>
  <c r="F3308" i="2"/>
  <c r="D3308" i="2"/>
  <c r="F3307" i="2"/>
  <c r="D3307" i="2"/>
  <c r="F3306" i="2"/>
  <c r="D3306" i="2"/>
  <c r="F3305" i="2"/>
  <c r="D3305" i="2"/>
  <c r="F3304" i="2"/>
  <c r="D3304" i="2"/>
  <c r="F3303" i="2"/>
  <c r="D3303" i="2"/>
  <c r="F3302" i="2"/>
  <c r="D3302" i="2"/>
  <c r="F3301" i="2"/>
  <c r="D3301" i="2"/>
  <c r="F3300" i="2"/>
  <c r="D3300" i="2"/>
  <c r="F3299" i="2"/>
  <c r="D3299" i="2"/>
  <c r="F3298" i="2"/>
  <c r="D3298" i="2"/>
  <c r="F3297" i="2"/>
  <c r="D3297" i="2"/>
  <c r="F3296" i="2"/>
  <c r="D3296" i="2"/>
  <c r="F3295" i="2"/>
  <c r="D3295" i="2"/>
  <c r="F3294" i="2"/>
  <c r="D3294" i="2"/>
  <c r="F3293" i="2"/>
  <c r="D3293" i="2"/>
  <c r="F3292" i="2"/>
  <c r="D3292" i="2"/>
  <c r="F3291" i="2"/>
  <c r="D3291" i="2"/>
  <c r="F3290" i="2"/>
  <c r="D3290" i="2"/>
  <c r="F3289" i="2"/>
  <c r="D3289" i="2"/>
  <c r="F3288" i="2"/>
  <c r="D3288" i="2"/>
  <c r="F3287" i="2"/>
  <c r="D3287" i="2"/>
  <c r="F3286" i="2"/>
  <c r="D3286" i="2"/>
  <c r="F3285" i="2"/>
  <c r="D3285" i="2"/>
  <c r="F3284" i="2"/>
  <c r="D3284" i="2"/>
  <c r="F3283" i="2"/>
  <c r="D3283" i="2"/>
  <c r="F3282" i="2"/>
  <c r="D3282" i="2"/>
  <c r="F3281" i="2"/>
  <c r="D3281" i="2"/>
  <c r="F3280" i="2"/>
  <c r="D3280" i="2"/>
  <c r="F3279" i="2"/>
  <c r="D3279" i="2"/>
  <c r="F3278" i="2"/>
  <c r="D3278" i="2"/>
  <c r="F3277" i="2"/>
  <c r="D3277" i="2"/>
  <c r="F3276" i="2"/>
  <c r="D3276" i="2"/>
  <c r="F3275" i="2"/>
  <c r="D3275" i="2"/>
  <c r="F3274" i="2"/>
  <c r="D3274" i="2"/>
  <c r="F3273" i="2"/>
  <c r="D3273" i="2"/>
  <c r="F3272" i="2"/>
  <c r="D3272" i="2"/>
  <c r="F3271" i="2"/>
  <c r="D3271" i="2"/>
  <c r="F3270" i="2"/>
  <c r="D3270" i="2"/>
  <c r="F3269" i="2"/>
  <c r="D3269" i="2"/>
  <c r="F3268" i="2"/>
  <c r="D3268" i="2"/>
  <c r="F3267" i="2"/>
  <c r="D3267" i="2"/>
  <c r="F3266" i="2"/>
  <c r="D3266" i="2"/>
  <c r="F3265" i="2"/>
  <c r="D3265" i="2"/>
  <c r="F3264" i="2"/>
  <c r="D3264" i="2"/>
  <c r="F3263" i="2"/>
  <c r="D3263" i="2"/>
  <c r="F3262" i="2"/>
  <c r="D3262" i="2"/>
  <c r="F3261" i="2"/>
  <c r="D3261" i="2"/>
  <c r="F3260" i="2"/>
  <c r="D3260" i="2"/>
  <c r="F3259" i="2"/>
  <c r="D3259" i="2"/>
  <c r="F3258" i="2"/>
  <c r="D3258" i="2"/>
  <c r="F3257" i="2"/>
  <c r="D3257" i="2"/>
  <c r="F3256" i="2"/>
  <c r="D3256" i="2"/>
  <c r="F3255" i="2"/>
  <c r="D3255" i="2"/>
  <c r="F3254" i="2"/>
  <c r="D3254" i="2"/>
  <c r="F3253" i="2"/>
  <c r="D3253" i="2"/>
  <c r="F3252" i="2"/>
  <c r="D3252" i="2"/>
  <c r="F3251" i="2"/>
  <c r="D3251" i="2"/>
  <c r="F3250" i="2"/>
  <c r="D3250" i="2"/>
  <c r="F3249" i="2"/>
  <c r="D3249" i="2"/>
  <c r="F3248" i="2"/>
  <c r="D3248" i="2"/>
  <c r="F3247" i="2"/>
  <c r="D3247" i="2"/>
  <c r="F3246" i="2"/>
  <c r="D3246" i="2"/>
  <c r="F3245" i="2"/>
  <c r="D3245" i="2"/>
  <c r="F3244" i="2"/>
  <c r="D3244" i="2"/>
  <c r="F3243" i="2"/>
  <c r="D3243" i="2"/>
  <c r="F3242" i="2"/>
  <c r="D3242" i="2"/>
  <c r="F3241" i="2"/>
  <c r="D3241" i="2"/>
  <c r="F3240" i="2"/>
  <c r="D3240" i="2"/>
  <c r="F3239" i="2"/>
  <c r="D3239" i="2"/>
  <c r="F3238" i="2"/>
  <c r="D3238" i="2"/>
  <c r="F3237" i="2"/>
  <c r="D3237" i="2"/>
  <c r="F3236" i="2"/>
  <c r="D3236" i="2"/>
  <c r="F3235" i="2"/>
  <c r="D3235" i="2"/>
  <c r="F3234" i="2"/>
  <c r="D3234" i="2"/>
  <c r="F3233" i="2"/>
  <c r="D3233" i="2"/>
  <c r="F3232" i="2"/>
  <c r="D3232" i="2"/>
  <c r="F3231" i="2"/>
  <c r="D3231" i="2"/>
  <c r="F3230" i="2"/>
  <c r="D3230" i="2"/>
  <c r="F3229" i="2"/>
  <c r="D3229" i="2"/>
  <c r="F3228" i="2"/>
  <c r="D3228" i="2"/>
  <c r="F3227" i="2"/>
  <c r="D3227" i="2"/>
  <c r="F3226" i="2"/>
  <c r="D3226" i="2"/>
  <c r="F3225" i="2"/>
  <c r="D3225" i="2"/>
  <c r="F3224" i="2"/>
  <c r="D3224" i="2"/>
  <c r="F3223" i="2"/>
  <c r="D3223" i="2"/>
  <c r="F3222" i="2"/>
  <c r="D3222" i="2"/>
  <c r="F3221" i="2"/>
  <c r="D3221" i="2"/>
  <c r="F3220" i="2"/>
  <c r="D3220" i="2"/>
  <c r="F3219" i="2"/>
  <c r="D3219" i="2"/>
  <c r="F3218" i="2"/>
  <c r="D3218" i="2"/>
  <c r="F3217" i="2"/>
  <c r="D3217" i="2"/>
  <c r="F3216" i="2"/>
  <c r="D3216" i="2"/>
  <c r="F3215" i="2"/>
  <c r="D3215" i="2"/>
  <c r="F3214" i="2"/>
  <c r="D3214" i="2"/>
  <c r="F3213" i="2"/>
  <c r="D3213" i="2"/>
  <c r="F3212" i="2"/>
  <c r="D3212" i="2"/>
  <c r="F3211" i="2"/>
  <c r="D3211" i="2"/>
  <c r="F3210" i="2"/>
  <c r="D3210" i="2"/>
  <c r="F3209" i="2"/>
  <c r="D3209" i="2"/>
  <c r="F3208" i="2"/>
  <c r="D3208" i="2"/>
  <c r="F3207" i="2"/>
  <c r="D3207" i="2"/>
  <c r="F3206" i="2"/>
  <c r="D3206" i="2"/>
  <c r="F3205" i="2"/>
  <c r="D3205" i="2"/>
  <c r="F3204" i="2"/>
  <c r="D3204" i="2"/>
  <c r="F3203" i="2"/>
  <c r="D3203" i="2"/>
  <c r="F3202" i="2"/>
  <c r="D3202" i="2"/>
  <c r="F3201" i="2"/>
  <c r="D3201" i="2"/>
  <c r="F3200" i="2"/>
  <c r="D3200" i="2"/>
  <c r="F3199" i="2"/>
  <c r="D3199" i="2"/>
  <c r="F3198" i="2"/>
  <c r="D3198" i="2"/>
  <c r="F3197" i="2"/>
  <c r="D3197" i="2"/>
  <c r="F3196" i="2"/>
  <c r="D3196" i="2"/>
  <c r="F3195" i="2"/>
  <c r="D3195" i="2"/>
  <c r="F3194" i="2"/>
  <c r="D3194" i="2"/>
  <c r="F3193" i="2"/>
  <c r="D3193" i="2"/>
  <c r="F3192" i="2"/>
  <c r="D3192" i="2"/>
  <c r="F3191" i="2"/>
  <c r="D3191" i="2"/>
  <c r="F3190" i="2"/>
  <c r="D3190" i="2"/>
  <c r="F3189" i="2"/>
  <c r="D3189" i="2"/>
  <c r="F3188" i="2"/>
  <c r="D3188" i="2"/>
  <c r="F3187" i="2"/>
  <c r="D3187" i="2"/>
  <c r="F3186" i="2"/>
  <c r="D3186" i="2"/>
  <c r="F3185" i="2"/>
  <c r="D3185" i="2"/>
  <c r="F3184" i="2"/>
  <c r="D3184" i="2"/>
  <c r="F3183" i="2"/>
  <c r="D3183" i="2"/>
  <c r="F3182" i="2"/>
  <c r="D3182" i="2"/>
  <c r="F3181" i="2"/>
  <c r="D3181" i="2"/>
  <c r="F3180" i="2"/>
  <c r="D3180" i="2"/>
  <c r="F3179" i="2"/>
  <c r="D3179" i="2"/>
  <c r="F3178" i="2"/>
  <c r="D3178" i="2"/>
  <c r="F3177" i="2"/>
  <c r="D3177" i="2"/>
  <c r="F3176" i="2"/>
  <c r="D3176" i="2"/>
  <c r="F3175" i="2"/>
  <c r="D3175" i="2"/>
  <c r="F3174" i="2"/>
  <c r="D3174" i="2"/>
  <c r="F3173" i="2"/>
  <c r="D3173" i="2"/>
  <c r="F3172" i="2"/>
  <c r="D3172" i="2"/>
  <c r="F3171" i="2"/>
  <c r="D3171" i="2"/>
  <c r="F3170" i="2"/>
  <c r="D3170" i="2"/>
  <c r="F3169" i="2"/>
  <c r="D3169" i="2"/>
  <c r="F3168" i="2"/>
  <c r="D3168" i="2"/>
  <c r="F3167" i="2"/>
  <c r="D3167" i="2"/>
  <c r="F3166" i="2"/>
  <c r="D3166" i="2"/>
  <c r="F3165" i="2"/>
  <c r="D3165" i="2"/>
  <c r="F3164" i="2"/>
  <c r="D3164" i="2"/>
  <c r="F3163" i="2"/>
  <c r="D3163" i="2"/>
  <c r="F3162" i="2"/>
  <c r="D3162" i="2"/>
  <c r="F3161" i="2"/>
  <c r="D3161" i="2"/>
  <c r="F3160" i="2"/>
  <c r="D3160" i="2"/>
  <c r="F3159" i="2"/>
  <c r="D3159" i="2"/>
  <c r="F3158" i="2"/>
  <c r="D3158" i="2"/>
  <c r="F3157" i="2"/>
  <c r="D3157" i="2"/>
  <c r="F3156" i="2"/>
  <c r="D3156" i="2"/>
  <c r="F3155" i="2"/>
  <c r="D3155" i="2"/>
  <c r="F3154" i="2"/>
  <c r="D3154" i="2"/>
  <c r="F3153" i="2"/>
  <c r="D3153" i="2"/>
  <c r="F3152" i="2"/>
  <c r="D3152" i="2"/>
  <c r="F3151" i="2"/>
  <c r="D3151" i="2"/>
  <c r="F3150" i="2"/>
  <c r="D3150" i="2"/>
  <c r="F3149" i="2"/>
  <c r="D3149" i="2"/>
  <c r="F3148" i="2"/>
  <c r="D3148" i="2"/>
  <c r="F3147" i="2"/>
  <c r="D3147" i="2"/>
  <c r="F3146" i="2"/>
  <c r="D3146" i="2"/>
  <c r="F3145" i="2"/>
  <c r="D3145" i="2"/>
  <c r="F3144" i="2"/>
  <c r="D3144" i="2"/>
  <c r="F3143" i="2"/>
  <c r="D3143" i="2"/>
  <c r="F3142" i="2"/>
  <c r="D3142" i="2"/>
  <c r="F3141" i="2"/>
  <c r="D3141" i="2"/>
  <c r="F3140" i="2"/>
  <c r="D3140" i="2"/>
  <c r="F3139" i="2"/>
  <c r="D3139" i="2"/>
  <c r="F3138" i="2"/>
  <c r="D3138" i="2"/>
  <c r="F3137" i="2"/>
  <c r="D3137" i="2"/>
  <c r="F3136" i="2"/>
  <c r="D3136" i="2"/>
  <c r="F3135" i="2"/>
  <c r="D3135" i="2"/>
  <c r="F3134" i="2"/>
  <c r="D3134" i="2"/>
  <c r="F3133" i="2"/>
  <c r="D3133" i="2"/>
  <c r="F3132" i="2"/>
  <c r="D3132" i="2"/>
  <c r="F3131" i="2"/>
  <c r="D3131" i="2"/>
  <c r="F3130" i="2"/>
  <c r="D3130" i="2"/>
  <c r="F3129" i="2"/>
  <c r="D3129" i="2"/>
  <c r="F3128" i="2"/>
  <c r="D3128" i="2"/>
  <c r="F3127" i="2"/>
  <c r="D3127" i="2"/>
  <c r="F3126" i="2"/>
  <c r="D3126" i="2"/>
  <c r="F3125" i="2"/>
  <c r="D3125" i="2"/>
  <c r="F3124" i="2"/>
  <c r="D3124" i="2"/>
  <c r="F3123" i="2"/>
  <c r="D3123" i="2"/>
  <c r="F3122" i="2"/>
  <c r="D3122" i="2"/>
  <c r="F3121" i="2"/>
  <c r="D3121" i="2"/>
  <c r="F3120" i="2"/>
  <c r="D3120" i="2"/>
  <c r="F3119" i="2"/>
  <c r="D3119" i="2"/>
  <c r="F3118" i="2"/>
  <c r="D3118" i="2"/>
  <c r="F3117" i="2"/>
  <c r="D3117" i="2"/>
  <c r="F3116" i="2"/>
  <c r="D3116" i="2"/>
  <c r="F3115" i="2"/>
  <c r="D3115" i="2"/>
  <c r="F3114" i="2"/>
  <c r="D3114" i="2"/>
  <c r="F3113" i="2"/>
  <c r="D3113" i="2"/>
  <c r="F3112" i="2"/>
  <c r="D3112" i="2"/>
  <c r="F3111" i="2"/>
  <c r="D3111" i="2"/>
  <c r="F3110" i="2"/>
  <c r="D3110" i="2"/>
  <c r="F3109" i="2"/>
  <c r="D3109" i="2"/>
  <c r="F3108" i="2"/>
  <c r="D3108" i="2"/>
  <c r="F3107" i="2"/>
  <c r="D3107" i="2"/>
  <c r="F3106" i="2"/>
  <c r="D3106" i="2"/>
  <c r="F3105" i="2"/>
  <c r="D3105" i="2"/>
  <c r="F3104" i="2"/>
  <c r="D3104" i="2"/>
  <c r="F3103" i="2"/>
  <c r="D3103" i="2"/>
  <c r="F3102" i="2"/>
  <c r="D3102" i="2"/>
  <c r="F3101" i="2"/>
  <c r="D3101" i="2"/>
  <c r="F3100" i="2"/>
  <c r="D3100" i="2"/>
  <c r="F3099" i="2"/>
  <c r="D3099" i="2"/>
  <c r="F3098" i="2"/>
  <c r="D3098" i="2"/>
  <c r="F3097" i="2"/>
  <c r="D3097" i="2"/>
  <c r="F3096" i="2"/>
  <c r="D3096" i="2"/>
  <c r="F3095" i="2"/>
  <c r="D3095" i="2"/>
  <c r="F3094" i="2"/>
  <c r="D3094" i="2"/>
  <c r="F3093" i="2"/>
  <c r="D3093" i="2"/>
  <c r="F3092" i="2"/>
  <c r="D3092" i="2"/>
  <c r="F3091" i="2"/>
  <c r="D3091" i="2"/>
  <c r="F3090" i="2"/>
  <c r="D3090" i="2"/>
  <c r="F3089" i="2"/>
  <c r="D3089" i="2"/>
  <c r="F3088" i="2"/>
  <c r="D3088" i="2"/>
  <c r="F3087" i="2"/>
  <c r="D3087" i="2"/>
  <c r="F3086" i="2"/>
  <c r="D3086" i="2"/>
  <c r="F3085" i="2"/>
  <c r="D3085" i="2"/>
  <c r="F3084" i="2"/>
  <c r="D3084" i="2"/>
  <c r="F3083" i="2"/>
  <c r="D3083" i="2"/>
  <c r="F3082" i="2"/>
  <c r="D3082" i="2"/>
  <c r="F3081" i="2"/>
  <c r="D3081" i="2"/>
  <c r="F3080" i="2"/>
  <c r="D3080" i="2"/>
  <c r="F3079" i="2"/>
  <c r="D3079" i="2"/>
  <c r="F3078" i="2"/>
  <c r="D3078" i="2"/>
  <c r="F3077" i="2"/>
  <c r="D3077" i="2"/>
  <c r="F3076" i="2"/>
  <c r="D3076" i="2"/>
  <c r="F3075" i="2"/>
  <c r="D3075" i="2"/>
  <c r="F3074" i="2"/>
  <c r="D3074" i="2"/>
  <c r="F3073" i="2"/>
  <c r="D3073" i="2"/>
  <c r="F3072" i="2"/>
  <c r="D3072" i="2"/>
  <c r="F3071" i="2"/>
  <c r="D3071" i="2"/>
  <c r="F3070" i="2"/>
  <c r="D3070" i="2"/>
  <c r="F3069" i="2"/>
  <c r="D3069" i="2"/>
  <c r="F3068" i="2"/>
  <c r="D3068" i="2"/>
  <c r="F3067" i="2"/>
  <c r="D3067" i="2"/>
  <c r="F3066" i="2"/>
  <c r="D3066" i="2"/>
  <c r="F3065" i="2"/>
  <c r="D3065" i="2"/>
  <c r="F3064" i="2"/>
  <c r="D3064" i="2"/>
  <c r="F3063" i="2"/>
  <c r="D3063" i="2"/>
  <c r="F3062" i="2"/>
  <c r="D3062" i="2"/>
  <c r="F3061" i="2"/>
  <c r="D3061" i="2"/>
  <c r="F3060" i="2"/>
  <c r="D3060" i="2"/>
  <c r="F3059" i="2"/>
  <c r="D3059" i="2"/>
  <c r="F3058" i="2"/>
  <c r="D3058" i="2"/>
  <c r="F3057" i="2"/>
  <c r="D3057" i="2"/>
  <c r="F3056" i="2"/>
  <c r="D3056" i="2"/>
  <c r="F3055" i="2"/>
  <c r="D3055" i="2"/>
  <c r="F3054" i="2"/>
  <c r="D3054" i="2"/>
  <c r="F3053" i="2"/>
  <c r="D3053" i="2"/>
  <c r="F3052" i="2"/>
  <c r="D3052" i="2"/>
  <c r="F3051" i="2"/>
  <c r="D3051" i="2"/>
  <c r="F3050" i="2"/>
  <c r="D3050" i="2"/>
  <c r="F3049" i="2"/>
  <c r="D3049" i="2"/>
  <c r="F3048" i="2"/>
  <c r="D3048" i="2"/>
  <c r="F3047" i="2"/>
  <c r="D3047" i="2"/>
  <c r="F3046" i="2"/>
  <c r="D3046" i="2"/>
  <c r="F3045" i="2"/>
  <c r="D3045" i="2"/>
  <c r="F3044" i="2"/>
  <c r="D3044" i="2"/>
  <c r="F3043" i="2"/>
  <c r="D3043" i="2"/>
  <c r="F3042" i="2"/>
  <c r="D3042" i="2"/>
  <c r="F3041" i="2"/>
  <c r="D3041" i="2"/>
  <c r="F3040" i="2"/>
  <c r="D3040" i="2"/>
  <c r="F3039" i="2"/>
  <c r="D3039" i="2"/>
  <c r="F3038" i="2"/>
  <c r="D3038" i="2"/>
  <c r="F3037" i="2"/>
  <c r="D3037" i="2"/>
  <c r="F3036" i="2"/>
  <c r="D3036" i="2"/>
  <c r="F3035" i="2"/>
  <c r="D3035" i="2"/>
  <c r="F3034" i="2"/>
  <c r="D3034" i="2"/>
  <c r="F3033" i="2"/>
  <c r="D3033" i="2"/>
  <c r="F3032" i="2"/>
  <c r="D3032" i="2"/>
  <c r="F3031" i="2"/>
  <c r="D3031" i="2"/>
  <c r="F3030" i="2"/>
  <c r="D3030" i="2"/>
  <c r="F3029" i="2"/>
  <c r="D3029" i="2"/>
  <c r="F3028" i="2"/>
  <c r="D3028" i="2"/>
  <c r="F3027" i="2"/>
  <c r="D3027" i="2"/>
  <c r="F3026" i="2"/>
  <c r="D3026" i="2"/>
  <c r="F3025" i="2"/>
  <c r="D3025" i="2"/>
  <c r="F3024" i="2"/>
  <c r="D3024" i="2"/>
  <c r="F3023" i="2"/>
  <c r="D3023" i="2"/>
  <c r="F3022" i="2"/>
  <c r="D3022" i="2"/>
  <c r="F3021" i="2"/>
  <c r="D3021" i="2"/>
  <c r="F3020" i="2"/>
  <c r="D3020" i="2"/>
  <c r="F3019" i="2"/>
  <c r="D3019" i="2"/>
  <c r="F3018" i="2"/>
  <c r="D3018" i="2"/>
  <c r="F3017" i="2"/>
  <c r="D3017" i="2"/>
  <c r="F3016" i="2"/>
  <c r="D3016" i="2"/>
  <c r="F3015" i="2"/>
  <c r="D3015" i="2"/>
  <c r="F3014" i="2"/>
  <c r="D3014" i="2"/>
  <c r="F3013" i="2"/>
  <c r="D3013" i="2"/>
  <c r="F3012" i="2"/>
  <c r="D3012" i="2"/>
  <c r="F3011" i="2"/>
  <c r="D3011" i="2"/>
  <c r="F3010" i="2"/>
  <c r="D3010" i="2"/>
  <c r="F3009" i="2"/>
  <c r="D3009" i="2"/>
  <c r="F3008" i="2"/>
  <c r="D3008" i="2"/>
  <c r="F3007" i="2"/>
  <c r="D3007" i="2"/>
  <c r="F3006" i="2"/>
  <c r="D3006" i="2"/>
  <c r="F3005" i="2"/>
  <c r="D3005" i="2"/>
  <c r="F3004" i="2"/>
  <c r="D3004" i="2"/>
  <c r="F3003" i="2"/>
  <c r="D3003" i="2"/>
  <c r="F3002" i="2"/>
  <c r="D3002" i="2"/>
  <c r="F3001" i="2"/>
  <c r="D3001" i="2"/>
  <c r="F3000" i="2"/>
  <c r="D3000" i="2"/>
  <c r="F2999" i="2"/>
  <c r="D2999" i="2"/>
  <c r="F2998" i="2"/>
  <c r="D2998" i="2"/>
  <c r="F2997" i="2"/>
  <c r="D2997" i="2"/>
  <c r="F2996" i="2"/>
  <c r="D2996" i="2"/>
  <c r="F2995" i="2"/>
  <c r="D2995" i="2"/>
  <c r="F2994" i="2"/>
  <c r="D2994" i="2"/>
  <c r="F2993" i="2"/>
  <c r="D2993" i="2"/>
  <c r="F2992" i="2"/>
  <c r="D2992" i="2"/>
  <c r="F2991" i="2"/>
  <c r="D2991" i="2"/>
  <c r="F2990" i="2"/>
  <c r="D2990" i="2"/>
  <c r="F2989" i="2"/>
  <c r="D2989" i="2"/>
  <c r="F2988" i="2"/>
  <c r="D2988" i="2"/>
  <c r="F2987" i="2"/>
  <c r="D2987" i="2"/>
  <c r="F2986" i="2"/>
  <c r="D2986" i="2"/>
  <c r="F2985" i="2"/>
  <c r="D2985" i="2"/>
  <c r="F2984" i="2"/>
  <c r="D2984" i="2"/>
  <c r="F2983" i="2"/>
  <c r="D2983" i="2"/>
  <c r="F2982" i="2"/>
  <c r="D2982" i="2"/>
  <c r="F2981" i="2"/>
  <c r="D2981" i="2"/>
  <c r="F2980" i="2"/>
  <c r="D2980" i="2"/>
  <c r="F2979" i="2"/>
  <c r="D2979" i="2"/>
  <c r="F2978" i="2"/>
  <c r="D2978" i="2"/>
  <c r="F2977" i="2"/>
  <c r="D2977" i="2"/>
  <c r="F2976" i="2"/>
  <c r="D2976" i="2"/>
  <c r="F2975" i="2"/>
  <c r="D2975" i="2"/>
  <c r="F2974" i="2"/>
  <c r="D2974" i="2"/>
  <c r="F2973" i="2"/>
  <c r="D2973" i="2"/>
  <c r="F2972" i="2"/>
  <c r="D2972" i="2"/>
  <c r="F2971" i="2"/>
  <c r="D2971" i="2"/>
  <c r="F2970" i="2"/>
  <c r="D2970" i="2"/>
  <c r="F2969" i="2"/>
  <c r="D2969" i="2"/>
  <c r="F2968" i="2"/>
  <c r="D2968" i="2"/>
  <c r="F2967" i="2"/>
  <c r="D2967" i="2"/>
  <c r="F2966" i="2"/>
  <c r="D2966" i="2"/>
  <c r="F2965" i="2"/>
  <c r="D2965" i="2"/>
  <c r="F2964" i="2"/>
  <c r="D2964" i="2"/>
  <c r="F2963" i="2"/>
  <c r="D2963" i="2"/>
  <c r="F2962" i="2"/>
  <c r="D2962" i="2"/>
  <c r="F2961" i="2"/>
  <c r="D2961" i="2"/>
  <c r="F2960" i="2"/>
  <c r="D2960" i="2"/>
  <c r="F2959" i="2"/>
  <c r="D2959" i="2"/>
  <c r="F2958" i="2"/>
  <c r="D2958" i="2"/>
  <c r="F2957" i="2"/>
  <c r="D2957" i="2"/>
  <c r="F2956" i="2"/>
  <c r="D2956" i="2"/>
  <c r="F2955" i="2"/>
  <c r="D2955" i="2"/>
  <c r="F2954" i="2"/>
  <c r="D2954" i="2"/>
  <c r="F2953" i="2"/>
  <c r="D2953" i="2"/>
  <c r="F2952" i="2"/>
  <c r="D2952" i="2"/>
  <c r="F2951" i="2"/>
  <c r="D2951" i="2"/>
  <c r="F2950" i="2"/>
  <c r="D2950" i="2"/>
  <c r="F2949" i="2"/>
  <c r="D2949" i="2"/>
  <c r="F2948" i="2"/>
  <c r="D2948" i="2"/>
  <c r="F2947" i="2"/>
  <c r="D2947" i="2"/>
  <c r="F2946" i="2"/>
  <c r="D2946" i="2"/>
  <c r="F2945" i="2"/>
  <c r="D2945" i="2"/>
  <c r="F2944" i="2"/>
  <c r="D2944" i="2"/>
  <c r="F2943" i="2"/>
  <c r="D2943" i="2"/>
  <c r="F2942" i="2"/>
  <c r="D2942" i="2"/>
  <c r="F2941" i="2"/>
  <c r="D2941" i="2"/>
  <c r="F2940" i="2"/>
  <c r="D2940" i="2"/>
  <c r="F2939" i="2"/>
  <c r="D2939" i="2"/>
  <c r="F2938" i="2"/>
  <c r="D2938" i="2"/>
  <c r="F2937" i="2"/>
  <c r="D2937" i="2"/>
  <c r="F2936" i="2"/>
  <c r="D2936" i="2"/>
  <c r="F2935" i="2"/>
  <c r="D2935" i="2"/>
  <c r="F2934" i="2"/>
  <c r="D2934" i="2"/>
  <c r="F2933" i="2"/>
  <c r="D2933" i="2"/>
  <c r="F2932" i="2"/>
  <c r="D2932" i="2"/>
  <c r="F2931" i="2"/>
  <c r="D2931" i="2"/>
  <c r="F2930" i="2"/>
  <c r="D2930" i="2"/>
  <c r="F2929" i="2"/>
  <c r="D2929" i="2"/>
  <c r="F2928" i="2"/>
  <c r="D2928" i="2"/>
  <c r="F2927" i="2"/>
  <c r="D2927" i="2"/>
  <c r="F2926" i="2"/>
  <c r="D2926" i="2"/>
  <c r="F2925" i="2"/>
  <c r="D2925" i="2"/>
  <c r="F2924" i="2"/>
  <c r="D2924" i="2"/>
  <c r="F2923" i="2"/>
  <c r="D2923" i="2"/>
  <c r="F2922" i="2"/>
  <c r="D2922" i="2"/>
  <c r="F2921" i="2"/>
  <c r="D2921" i="2"/>
  <c r="F2920" i="2"/>
  <c r="D2920" i="2"/>
  <c r="F2919" i="2"/>
  <c r="D2919" i="2"/>
  <c r="F2918" i="2"/>
  <c r="D2918" i="2"/>
  <c r="F2917" i="2"/>
  <c r="D2917" i="2"/>
  <c r="F2916" i="2"/>
  <c r="D2916" i="2"/>
  <c r="F2915" i="2"/>
  <c r="D2915" i="2"/>
  <c r="F2914" i="2"/>
  <c r="D2914" i="2"/>
  <c r="F2913" i="2"/>
  <c r="D2913" i="2"/>
  <c r="F2912" i="2"/>
  <c r="D2912" i="2"/>
  <c r="F2911" i="2"/>
  <c r="D2911" i="2"/>
  <c r="F2910" i="2"/>
  <c r="D2910" i="2"/>
  <c r="F2909" i="2"/>
  <c r="D2909" i="2"/>
  <c r="F2908" i="2"/>
  <c r="D2908" i="2"/>
  <c r="F2907" i="2"/>
  <c r="D2907" i="2"/>
  <c r="F2906" i="2"/>
  <c r="D2906" i="2"/>
  <c r="F2905" i="2"/>
  <c r="D2905" i="2"/>
  <c r="F2904" i="2"/>
  <c r="D2904" i="2"/>
  <c r="F2903" i="2"/>
  <c r="D2903" i="2"/>
  <c r="F2902" i="2"/>
  <c r="D2902" i="2"/>
  <c r="F2901" i="2"/>
  <c r="D2901" i="2"/>
  <c r="F2900" i="2"/>
  <c r="D2900" i="2"/>
  <c r="F2899" i="2"/>
  <c r="D2899" i="2"/>
  <c r="F2898" i="2"/>
  <c r="D2898" i="2"/>
  <c r="F2897" i="2"/>
  <c r="D2897" i="2"/>
  <c r="F2896" i="2"/>
  <c r="D2896" i="2"/>
  <c r="F2895" i="2"/>
  <c r="D2895" i="2"/>
  <c r="F2894" i="2"/>
  <c r="D2894" i="2"/>
  <c r="F2893" i="2"/>
  <c r="D2893" i="2"/>
  <c r="F2892" i="2"/>
  <c r="D2892" i="2"/>
  <c r="F2891" i="2"/>
  <c r="D2891" i="2"/>
  <c r="F2890" i="2"/>
  <c r="D2890" i="2"/>
  <c r="F2889" i="2"/>
  <c r="D2889" i="2"/>
  <c r="F2888" i="2"/>
  <c r="D2888" i="2"/>
  <c r="F2887" i="2"/>
  <c r="D2887" i="2"/>
  <c r="F2886" i="2"/>
  <c r="D2886" i="2"/>
  <c r="F2885" i="2"/>
  <c r="D2885" i="2"/>
  <c r="F2884" i="2"/>
  <c r="D2884" i="2"/>
  <c r="F2883" i="2"/>
  <c r="D2883" i="2"/>
  <c r="F2882" i="2"/>
  <c r="D2882" i="2"/>
  <c r="F2881" i="2"/>
  <c r="D2881" i="2"/>
  <c r="F2880" i="2"/>
  <c r="D2880" i="2"/>
  <c r="F2879" i="2"/>
  <c r="D2879" i="2"/>
  <c r="F2878" i="2"/>
  <c r="D2878" i="2"/>
  <c r="F2877" i="2"/>
  <c r="D2877" i="2"/>
  <c r="F2876" i="2"/>
  <c r="D2876" i="2"/>
  <c r="F2875" i="2"/>
  <c r="D2875" i="2"/>
  <c r="F2874" i="2"/>
  <c r="D2874" i="2"/>
  <c r="F2873" i="2"/>
  <c r="D2873" i="2"/>
  <c r="F2872" i="2"/>
  <c r="D2872" i="2"/>
  <c r="F2871" i="2"/>
  <c r="D2871" i="2"/>
  <c r="F2870" i="2"/>
  <c r="D2870" i="2"/>
  <c r="F2869" i="2"/>
  <c r="D2869" i="2"/>
  <c r="F2868" i="2"/>
  <c r="D2868" i="2"/>
  <c r="F2867" i="2"/>
  <c r="D2867" i="2"/>
  <c r="F2866" i="2"/>
  <c r="D2866" i="2"/>
  <c r="F2865" i="2"/>
  <c r="D2865" i="2"/>
  <c r="F2864" i="2"/>
  <c r="D2864" i="2"/>
  <c r="F2863" i="2"/>
  <c r="D2863" i="2"/>
  <c r="F2862" i="2"/>
  <c r="D2862" i="2"/>
  <c r="F2861" i="2"/>
  <c r="D2861" i="2"/>
  <c r="F2860" i="2"/>
  <c r="D2860" i="2"/>
  <c r="F2859" i="2"/>
  <c r="D2859" i="2"/>
  <c r="F2858" i="2"/>
  <c r="D2858" i="2"/>
  <c r="F2857" i="2"/>
  <c r="D2857" i="2"/>
  <c r="F2856" i="2"/>
  <c r="D2856" i="2"/>
  <c r="F2855" i="2"/>
  <c r="D2855" i="2"/>
  <c r="F2854" i="2"/>
  <c r="D2854" i="2"/>
  <c r="F2853" i="2"/>
  <c r="D2853" i="2"/>
  <c r="F2852" i="2"/>
  <c r="D2852" i="2"/>
  <c r="F2851" i="2"/>
  <c r="D2851" i="2"/>
  <c r="F2850" i="2"/>
  <c r="D2850" i="2"/>
  <c r="F2849" i="2"/>
  <c r="D2849" i="2"/>
  <c r="F2848" i="2"/>
  <c r="D2848" i="2"/>
  <c r="F2847" i="2"/>
  <c r="D2847" i="2"/>
  <c r="F2846" i="2"/>
  <c r="D2846" i="2"/>
  <c r="F2845" i="2"/>
  <c r="D2845" i="2"/>
  <c r="F2844" i="2"/>
  <c r="D2844" i="2"/>
  <c r="F2843" i="2"/>
  <c r="D2843" i="2"/>
  <c r="F2842" i="2"/>
  <c r="D2842" i="2"/>
  <c r="F2841" i="2"/>
  <c r="D2841" i="2"/>
  <c r="F2840" i="2"/>
  <c r="D2840" i="2"/>
  <c r="F2839" i="2"/>
  <c r="D2839" i="2"/>
  <c r="F2838" i="2"/>
  <c r="D2838" i="2"/>
  <c r="F2837" i="2"/>
  <c r="D2837" i="2"/>
  <c r="F2836" i="2"/>
  <c r="D2836" i="2"/>
  <c r="F2835" i="2"/>
  <c r="D2835" i="2"/>
  <c r="F2834" i="2"/>
  <c r="D2834" i="2"/>
  <c r="F2833" i="2"/>
  <c r="D2833" i="2"/>
  <c r="F2832" i="2"/>
  <c r="D2832" i="2"/>
  <c r="F2831" i="2"/>
  <c r="D2831" i="2"/>
  <c r="F2830" i="2"/>
  <c r="D2830" i="2"/>
  <c r="F2829" i="2"/>
  <c r="D2829" i="2"/>
  <c r="F2828" i="2"/>
  <c r="D2828" i="2"/>
  <c r="F2827" i="2"/>
  <c r="D2827" i="2"/>
  <c r="F2826" i="2"/>
  <c r="D2826" i="2"/>
  <c r="F2825" i="2"/>
  <c r="D2825" i="2"/>
  <c r="F2824" i="2"/>
  <c r="D2824" i="2"/>
  <c r="F2823" i="2"/>
  <c r="D2823" i="2"/>
  <c r="F2822" i="2"/>
  <c r="D2822" i="2"/>
  <c r="F2821" i="2"/>
  <c r="D2821" i="2"/>
  <c r="F2820" i="2"/>
  <c r="D2820" i="2"/>
  <c r="F2819" i="2"/>
  <c r="D2819" i="2"/>
  <c r="F2818" i="2"/>
  <c r="D2818" i="2"/>
  <c r="F2817" i="2"/>
  <c r="D2817" i="2"/>
  <c r="F2816" i="2"/>
  <c r="D2816" i="2"/>
  <c r="F2815" i="2"/>
  <c r="D2815" i="2"/>
  <c r="F2814" i="2"/>
  <c r="D2814" i="2"/>
  <c r="F2813" i="2"/>
  <c r="D2813" i="2"/>
  <c r="F2812" i="2"/>
  <c r="D2812" i="2"/>
  <c r="F2811" i="2"/>
  <c r="D2811" i="2"/>
  <c r="F2810" i="2"/>
  <c r="D2810" i="2"/>
  <c r="F2809" i="2"/>
  <c r="D2809" i="2"/>
  <c r="F2808" i="2"/>
  <c r="D2808" i="2"/>
  <c r="F2807" i="2"/>
  <c r="D2807" i="2"/>
  <c r="F2806" i="2"/>
  <c r="D2806" i="2"/>
  <c r="F2805" i="2"/>
  <c r="D2805" i="2"/>
  <c r="F2804" i="2"/>
  <c r="D2804" i="2"/>
  <c r="F2803" i="2"/>
  <c r="D2803" i="2"/>
  <c r="F2802" i="2"/>
  <c r="D2802" i="2"/>
  <c r="F2801" i="2"/>
  <c r="D2801" i="2"/>
  <c r="F2800" i="2"/>
  <c r="D2800" i="2"/>
  <c r="F2799" i="2"/>
  <c r="D2799" i="2"/>
  <c r="F2798" i="2"/>
  <c r="D2798" i="2"/>
  <c r="F2797" i="2"/>
  <c r="D2797" i="2"/>
  <c r="F2796" i="2"/>
  <c r="D2796" i="2"/>
  <c r="F2795" i="2"/>
  <c r="D2795" i="2"/>
  <c r="F2794" i="2"/>
  <c r="D2794" i="2"/>
  <c r="F2793" i="2"/>
  <c r="D2793" i="2"/>
  <c r="F2792" i="2"/>
  <c r="D2792" i="2"/>
  <c r="F2791" i="2"/>
  <c r="D2791" i="2"/>
  <c r="F2790" i="2"/>
  <c r="D2790" i="2"/>
  <c r="F2789" i="2"/>
  <c r="D2789" i="2"/>
  <c r="F2788" i="2"/>
  <c r="D2788" i="2"/>
  <c r="F2787" i="2"/>
  <c r="D2787" i="2"/>
  <c r="F2786" i="2"/>
  <c r="D2786" i="2"/>
  <c r="F2785" i="2"/>
  <c r="D2785" i="2"/>
  <c r="F2784" i="2"/>
  <c r="D2784" i="2"/>
  <c r="F2783" i="2"/>
  <c r="D2783" i="2"/>
  <c r="F2782" i="2"/>
  <c r="D2782" i="2"/>
  <c r="F2781" i="2"/>
  <c r="D2781" i="2"/>
  <c r="F2780" i="2"/>
  <c r="D2780" i="2"/>
  <c r="F2779" i="2"/>
  <c r="D2779" i="2"/>
  <c r="F2778" i="2"/>
  <c r="D2778" i="2"/>
  <c r="F2777" i="2"/>
  <c r="D2777" i="2"/>
  <c r="F2776" i="2"/>
  <c r="D2776" i="2"/>
  <c r="F2775" i="2"/>
  <c r="D2775" i="2"/>
  <c r="F2774" i="2"/>
  <c r="D2774" i="2"/>
  <c r="F2773" i="2"/>
  <c r="D2773" i="2"/>
  <c r="F2772" i="2"/>
  <c r="D2772" i="2"/>
  <c r="F2771" i="2"/>
  <c r="D2771" i="2"/>
  <c r="F2770" i="2"/>
  <c r="D2770" i="2"/>
  <c r="F2769" i="2"/>
  <c r="D2769" i="2"/>
  <c r="F2768" i="2"/>
  <c r="D2768" i="2"/>
  <c r="F2767" i="2"/>
  <c r="D2767" i="2"/>
  <c r="F2766" i="2"/>
  <c r="D2766" i="2"/>
  <c r="F2765" i="2"/>
  <c r="D2765" i="2"/>
  <c r="F2764" i="2"/>
  <c r="D2764" i="2"/>
  <c r="F2763" i="2"/>
  <c r="D2763" i="2"/>
  <c r="F2762" i="2"/>
  <c r="D2762" i="2"/>
  <c r="F2761" i="2"/>
  <c r="D2761" i="2"/>
  <c r="F2760" i="2"/>
  <c r="D2760" i="2"/>
  <c r="F2759" i="2"/>
  <c r="D2759" i="2"/>
  <c r="F2758" i="2"/>
  <c r="D2758" i="2"/>
  <c r="F2757" i="2"/>
  <c r="D2757" i="2"/>
  <c r="F2756" i="2"/>
  <c r="D2756" i="2"/>
  <c r="F2755" i="2"/>
  <c r="D2755" i="2"/>
  <c r="F2754" i="2"/>
  <c r="D2754" i="2"/>
  <c r="F2753" i="2"/>
  <c r="D2753" i="2"/>
  <c r="F2752" i="2"/>
  <c r="D2752" i="2"/>
  <c r="F2751" i="2"/>
  <c r="D2751" i="2"/>
  <c r="F2750" i="2"/>
  <c r="D2750" i="2"/>
  <c r="F2749" i="2"/>
  <c r="D2749" i="2"/>
  <c r="F2748" i="2"/>
  <c r="D2748" i="2"/>
  <c r="F2747" i="2"/>
  <c r="D2747" i="2"/>
  <c r="F2746" i="2"/>
  <c r="D2746" i="2"/>
  <c r="F2745" i="2"/>
  <c r="D2745" i="2"/>
  <c r="F2744" i="2"/>
  <c r="D2744" i="2"/>
  <c r="F2743" i="2"/>
  <c r="D2743" i="2"/>
  <c r="F2742" i="2"/>
  <c r="D2742" i="2"/>
  <c r="F2741" i="2"/>
  <c r="D2741" i="2"/>
  <c r="F2740" i="2"/>
  <c r="D2740" i="2"/>
  <c r="F2739" i="2"/>
  <c r="D2739" i="2"/>
  <c r="F2738" i="2"/>
  <c r="D2738" i="2"/>
  <c r="F2737" i="2"/>
  <c r="D2737" i="2"/>
  <c r="F2736" i="2"/>
  <c r="D2736" i="2"/>
  <c r="F2735" i="2"/>
  <c r="D2735" i="2"/>
  <c r="F2734" i="2"/>
  <c r="D2734" i="2"/>
  <c r="F2733" i="2"/>
  <c r="D2733" i="2"/>
  <c r="F2732" i="2"/>
  <c r="D2732" i="2"/>
  <c r="F2731" i="2"/>
  <c r="D2731" i="2"/>
  <c r="F2730" i="2"/>
  <c r="D2730" i="2"/>
  <c r="F2729" i="2"/>
  <c r="D2729" i="2"/>
  <c r="F2728" i="2"/>
  <c r="D2728" i="2"/>
  <c r="F2727" i="2"/>
  <c r="D2727" i="2"/>
  <c r="F2726" i="2"/>
  <c r="D2726" i="2"/>
  <c r="F2725" i="2"/>
  <c r="D2725" i="2"/>
  <c r="F2724" i="2"/>
  <c r="D2724" i="2"/>
  <c r="F2723" i="2"/>
  <c r="D2723" i="2"/>
  <c r="F2722" i="2"/>
  <c r="D2722" i="2"/>
  <c r="F2721" i="2"/>
  <c r="D2721" i="2"/>
  <c r="F2720" i="2"/>
  <c r="D2720" i="2"/>
  <c r="F2719" i="2"/>
  <c r="D2719" i="2"/>
  <c r="F2718" i="2"/>
  <c r="D2718" i="2"/>
  <c r="F2717" i="2"/>
  <c r="D2717" i="2"/>
  <c r="F2716" i="2"/>
  <c r="D2716" i="2"/>
  <c r="F2715" i="2"/>
  <c r="D2715" i="2"/>
  <c r="F2714" i="2"/>
  <c r="D2714" i="2"/>
  <c r="F2713" i="2"/>
  <c r="D2713" i="2"/>
  <c r="F2712" i="2"/>
  <c r="D2712" i="2"/>
  <c r="F2711" i="2"/>
  <c r="D2711" i="2"/>
  <c r="F2710" i="2"/>
  <c r="D2710" i="2"/>
  <c r="F2709" i="2"/>
  <c r="D2709" i="2"/>
  <c r="F2708" i="2"/>
  <c r="D2708" i="2"/>
  <c r="F2707" i="2"/>
  <c r="D2707" i="2"/>
  <c r="F2706" i="2"/>
  <c r="D2706" i="2"/>
  <c r="F2705" i="2"/>
  <c r="D2705" i="2"/>
  <c r="F2704" i="2"/>
  <c r="D2704" i="2"/>
  <c r="F2703" i="2"/>
  <c r="D2703" i="2"/>
  <c r="F2702" i="2"/>
  <c r="D2702" i="2"/>
  <c r="F2701" i="2"/>
  <c r="D2701" i="2"/>
  <c r="F2700" i="2"/>
  <c r="D2700" i="2"/>
  <c r="F2699" i="2"/>
  <c r="D2699" i="2"/>
  <c r="F2698" i="2"/>
  <c r="D2698" i="2"/>
  <c r="F2697" i="2"/>
  <c r="D2697" i="2"/>
  <c r="F2696" i="2"/>
  <c r="D2696" i="2"/>
  <c r="F2695" i="2"/>
  <c r="D2695" i="2"/>
  <c r="F2694" i="2"/>
  <c r="D2694" i="2"/>
  <c r="F2693" i="2"/>
  <c r="D2693" i="2"/>
  <c r="F2692" i="2"/>
  <c r="D2692" i="2"/>
  <c r="F2691" i="2"/>
  <c r="D2691" i="2"/>
  <c r="F2690" i="2"/>
  <c r="D2690" i="2"/>
  <c r="F2689" i="2"/>
  <c r="D2689" i="2"/>
  <c r="F2688" i="2"/>
  <c r="D2688" i="2"/>
  <c r="F2687" i="2"/>
  <c r="D2687" i="2"/>
  <c r="F2686" i="2"/>
  <c r="D2686" i="2"/>
  <c r="F2685" i="2"/>
  <c r="D2685" i="2"/>
  <c r="F2684" i="2"/>
  <c r="D2684" i="2"/>
  <c r="F2683" i="2"/>
  <c r="D2683" i="2"/>
  <c r="F2682" i="2"/>
  <c r="D2682" i="2"/>
  <c r="F2681" i="2"/>
  <c r="D2681" i="2"/>
  <c r="F2680" i="2"/>
  <c r="D2680" i="2"/>
  <c r="F2679" i="2"/>
  <c r="D2679" i="2"/>
  <c r="F2678" i="2"/>
  <c r="D2678" i="2"/>
  <c r="F2677" i="2"/>
  <c r="D2677" i="2"/>
  <c r="F2676" i="2"/>
  <c r="D2676" i="2"/>
  <c r="F2675" i="2"/>
  <c r="D2675" i="2"/>
  <c r="F2674" i="2"/>
  <c r="D2674" i="2"/>
  <c r="F2673" i="2"/>
  <c r="D2673" i="2"/>
  <c r="F2672" i="2"/>
  <c r="D2672" i="2"/>
  <c r="F2671" i="2"/>
  <c r="D2671" i="2"/>
  <c r="F2670" i="2"/>
  <c r="D2670" i="2"/>
  <c r="F2669" i="2"/>
  <c r="D2669" i="2"/>
  <c r="F2668" i="2"/>
  <c r="D2668" i="2"/>
  <c r="F2667" i="2"/>
  <c r="D2667" i="2"/>
  <c r="F2666" i="2"/>
  <c r="D2666" i="2"/>
  <c r="F2665" i="2"/>
  <c r="D2665" i="2"/>
  <c r="F2664" i="2"/>
  <c r="D2664" i="2"/>
  <c r="F2663" i="2"/>
  <c r="D2663" i="2"/>
  <c r="F2662" i="2"/>
  <c r="D2662" i="2"/>
  <c r="F2661" i="2"/>
  <c r="D2661" i="2"/>
  <c r="F2660" i="2"/>
  <c r="D2660" i="2"/>
  <c r="F2659" i="2"/>
  <c r="D2659" i="2"/>
  <c r="F2658" i="2"/>
  <c r="D2658" i="2"/>
  <c r="F2657" i="2"/>
  <c r="D2657" i="2"/>
  <c r="F2656" i="2"/>
  <c r="D2656" i="2"/>
  <c r="F2655" i="2"/>
  <c r="D2655" i="2"/>
  <c r="F2654" i="2"/>
  <c r="D2654" i="2"/>
  <c r="F2653" i="2"/>
  <c r="D2653" i="2"/>
  <c r="F2652" i="2"/>
  <c r="D2652" i="2"/>
  <c r="F2651" i="2"/>
  <c r="D2651" i="2"/>
  <c r="F2650" i="2"/>
  <c r="D2650" i="2"/>
  <c r="F2649" i="2"/>
  <c r="D2649" i="2"/>
  <c r="F2648" i="2"/>
  <c r="D2648" i="2"/>
  <c r="F2647" i="2"/>
  <c r="D2647" i="2"/>
  <c r="F2646" i="2"/>
  <c r="D2646" i="2"/>
  <c r="F2645" i="2"/>
  <c r="D2645" i="2"/>
  <c r="F2644" i="2"/>
  <c r="D2644" i="2"/>
  <c r="F2643" i="2"/>
  <c r="D2643" i="2"/>
  <c r="F2642" i="2"/>
  <c r="D2642" i="2"/>
  <c r="F2641" i="2"/>
  <c r="D2641" i="2"/>
  <c r="F2640" i="2"/>
  <c r="D2640" i="2"/>
  <c r="F2639" i="2"/>
  <c r="D2639" i="2"/>
  <c r="F2638" i="2"/>
  <c r="D2638" i="2"/>
  <c r="F2637" i="2"/>
  <c r="D2637" i="2"/>
  <c r="F2636" i="2"/>
  <c r="D2636" i="2"/>
  <c r="F2635" i="2"/>
  <c r="D2635" i="2"/>
  <c r="F2634" i="2"/>
  <c r="D2634" i="2"/>
  <c r="F2633" i="2"/>
  <c r="D2633" i="2"/>
  <c r="F2632" i="2"/>
  <c r="D2632" i="2"/>
  <c r="F2631" i="2"/>
  <c r="D2631" i="2"/>
  <c r="F2630" i="2"/>
  <c r="D2630" i="2"/>
  <c r="F2629" i="2"/>
  <c r="D2629" i="2"/>
  <c r="F2628" i="2"/>
  <c r="D2628" i="2"/>
  <c r="F2627" i="2"/>
  <c r="D2627" i="2"/>
  <c r="F2626" i="2"/>
  <c r="D2626" i="2"/>
  <c r="F2625" i="2"/>
  <c r="D2625" i="2"/>
  <c r="F2624" i="2"/>
  <c r="D2624" i="2"/>
  <c r="F2623" i="2"/>
  <c r="D2623" i="2"/>
  <c r="F2622" i="2"/>
  <c r="D2622" i="2"/>
  <c r="F2621" i="2"/>
  <c r="D2621" i="2"/>
  <c r="F2620" i="2"/>
  <c r="D2620" i="2"/>
  <c r="F2619" i="2"/>
  <c r="D2619" i="2"/>
  <c r="F2618" i="2"/>
  <c r="D2618" i="2"/>
  <c r="F2617" i="2"/>
  <c r="D2617" i="2"/>
  <c r="F2616" i="2"/>
  <c r="D2616" i="2"/>
  <c r="F2615" i="2"/>
  <c r="D2615" i="2"/>
  <c r="F2614" i="2"/>
  <c r="D2614" i="2"/>
  <c r="F2613" i="2"/>
  <c r="D2613" i="2"/>
  <c r="F2612" i="2"/>
  <c r="D2612" i="2"/>
  <c r="F2611" i="2"/>
  <c r="D2611" i="2"/>
  <c r="F2610" i="2"/>
  <c r="D2610" i="2"/>
  <c r="F2609" i="2"/>
  <c r="D2609" i="2"/>
  <c r="F2608" i="2"/>
  <c r="D2608" i="2"/>
  <c r="F2607" i="2"/>
  <c r="D2607" i="2"/>
  <c r="F2606" i="2"/>
  <c r="D2606" i="2"/>
  <c r="F2605" i="2"/>
  <c r="D2605" i="2"/>
  <c r="F2604" i="2"/>
  <c r="D2604" i="2"/>
  <c r="F2603" i="2"/>
  <c r="D2603" i="2"/>
  <c r="F2602" i="2"/>
  <c r="D2602" i="2"/>
  <c r="F2601" i="2"/>
  <c r="D2601" i="2"/>
  <c r="F2600" i="2"/>
  <c r="D2600" i="2"/>
  <c r="F2599" i="2"/>
  <c r="D2599" i="2"/>
  <c r="F2598" i="2"/>
  <c r="D2598" i="2"/>
  <c r="F2597" i="2"/>
  <c r="D2597" i="2"/>
  <c r="F2596" i="2"/>
  <c r="D2596" i="2"/>
  <c r="F2595" i="2"/>
  <c r="D2595" i="2"/>
  <c r="F2594" i="2"/>
  <c r="D2594" i="2"/>
  <c r="F2593" i="2"/>
  <c r="D2593" i="2"/>
  <c r="F2592" i="2"/>
  <c r="D2592" i="2"/>
  <c r="F2591" i="2"/>
  <c r="D2591" i="2"/>
  <c r="F2590" i="2"/>
  <c r="D2590" i="2"/>
  <c r="F2589" i="2"/>
  <c r="D2589" i="2"/>
  <c r="F2588" i="2"/>
  <c r="D2588" i="2"/>
  <c r="F2587" i="2"/>
  <c r="D2587" i="2"/>
  <c r="F2586" i="2"/>
  <c r="D2586" i="2"/>
  <c r="F2585" i="2"/>
  <c r="D2585" i="2"/>
  <c r="F2584" i="2"/>
  <c r="D2584" i="2"/>
  <c r="F2583" i="2"/>
  <c r="D2583" i="2"/>
  <c r="F2582" i="2"/>
  <c r="D2582" i="2"/>
  <c r="F2581" i="2"/>
  <c r="D2581" i="2"/>
  <c r="F2580" i="2"/>
  <c r="D2580" i="2"/>
  <c r="F2579" i="2"/>
  <c r="D2579" i="2"/>
  <c r="F2578" i="2"/>
  <c r="D2578" i="2"/>
  <c r="F2577" i="2"/>
  <c r="D2577" i="2"/>
  <c r="F2576" i="2"/>
  <c r="D2576" i="2"/>
  <c r="F2575" i="2"/>
  <c r="D2575" i="2"/>
  <c r="F2574" i="2"/>
  <c r="D2574" i="2"/>
  <c r="F2573" i="2"/>
  <c r="D2573" i="2"/>
  <c r="F2572" i="2"/>
  <c r="D2572" i="2"/>
  <c r="F2571" i="2"/>
  <c r="D2571" i="2"/>
  <c r="F2570" i="2"/>
  <c r="D2570" i="2"/>
  <c r="F2569" i="2"/>
  <c r="D2569" i="2"/>
  <c r="F2568" i="2"/>
  <c r="D2568" i="2"/>
  <c r="F2567" i="2"/>
  <c r="D2567" i="2"/>
  <c r="F2566" i="2"/>
  <c r="D2566" i="2"/>
  <c r="F2565" i="2"/>
  <c r="D2565" i="2"/>
  <c r="F2564" i="2"/>
  <c r="D2564" i="2"/>
  <c r="F2563" i="2"/>
  <c r="D2563" i="2"/>
  <c r="F2562" i="2"/>
  <c r="D2562" i="2"/>
  <c r="F2561" i="2"/>
  <c r="D2561" i="2"/>
  <c r="F2560" i="2"/>
  <c r="D2560" i="2"/>
  <c r="F2559" i="2"/>
  <c r="D2559" i="2"/>
  <c r="F2558" i="2"/>
  <c r="D2558" i="2"/>
  <c r="F2557" i="2"/>
  <c r="D2557" i="2"/>
  <c r="F2556" i="2"/>
  <c r="D2556" i="2"/>
  <c r="F2555" i="2"/>
  <c r="D2555" i="2"/>
  <c r="F2554" i="2"/>
  <c r="D2554" i="2"/>
  <c r="F2553" i="2"/>
  <c r="D2553" i="2"/>
  <c r="F2552" i="2"/>
  <c r="D2552" i="2"/>
  <c r="F2551" i="2"/>
  <c r="D2551" i="2"/>
  <c r="F2550" i="2"/>
  <c r="D2550" i="2"/>
  <c r="F2549" i="2"/>
  <c r="D2549" i="2"/>
  <c r="F2548" i="2"/>
  <c r="D2548" i="2"/>
  <c r="F2547" i="2"/>
  <c r="D2547" i="2"/>
  <c r="F2546" i="2"/>
  <c r="D2546" i="2"/>
  <c r="F2545" i="2"/>
  <c r="D2545" i="2"/>
  <c r="F2544" i="2"/>
  <c r="D2544" i="2"/>
  <c r="F2543" i="2"/>
  <c r="D2543" i="2"/>
  <c r="F2542" i="2"/>
  <c r="D2542" i="2"/>
  <c r="F2541" i="2"/>
  <c r="D2541" i="2"/>
  <c r="F2540" i="2"/>
  <c r="D2540" i="2"/>
  <c r="F2539" i="2"/>
  <c r="D2539" i="2"/>
  <c r="F2538" i="2"/>
  <c r="D2538" i="2"/>
  <c r="F2537" i="2"/>
  <c r="D2537" i="2"/>
  <c r="F2536" i="2"/>
  <c r="D2536" i="2"/>
  <c r="F2535" i="2"/>
  <c r="D2535" i="2"/>
  <c r="F2534" i="2"/>
  <c r="D2534" i="2"/>
  <c r="F2533" i="2"/>
  <c r="D2533" i="2"/>
  <c r="F2532" i="2"/>
  <c r="D2532" i="2"/>
  <c r="F2531" i="2"/>
  <c r="D2531" i="2"/>
  <c r="F2530" i="2"/>
  <c r="D2530" i="2"/>
  <c r="F2529" i="2"/>
  <c r="D2529" i="2"/>
  <c r="F2528" i="2"/>
  <c r="D2528" i="2"/>
  <c r="F2527" i="2"/>
  <c r="D2527" i="2"/>
  <c r="F2526" i="2"/>
  <c r="D2526" i="2"/>
  <c r="F2525" i="2"/>
  <c r="D2525" i="2"/>
  <c r="F2524" i="2"/>
  <c r="D2524" i="2"/>
  <c r="F2523" i="2"/>
  <c r="D2523" i="2"/>
  <c r="F2522" i="2"/>
  <c r="D2522" i="2"/>
  <c r="F2521" i="2"/>
  <c r="D2521" i="2"/>
  <c r="F2520" i="2"/>
  <c r="D2520" i="2"/>
  <c r="F2519" i="2"/>
  <c r="D2519" i="2"/>
  <c r="F2518" i="2"/>
  <c r="D2518" i="2"/>
  <c r="F2517" i="2"/>
  <c r="D2517" i="2"/>
  <c r="F2516" i="2"/>
  <c r="D2516" i="2"/>
  <c r="F2515" i="2"/>
  <c r="D2515" i="2"/>
  <c r="F2514" i="2"/>
  <c r="D2514" i="2"/>
  <c r="F2513" i="2"/>
  <c r="D2513" i="2"/>
  <c r="F2512" i="2"/>
  <c r="D2512" i="2"/>
  <c r="F2511" i="2"/>
  <c r="D2511" i="2"/>
  <c r="F2510" i="2"/>
  <c r="D2510" i="2"/>
  <c r="F2509" i="2"/>
  <c r="D2509" i="2"/>
  <c r="F2508" i="2"/>
  <c r="D2508" i="2"/>
  <c r="F2507" i="2"/>
  <c r="D2507" i="2"/>
  <c r="F2506" i="2"/>
  <c r="D2506" i="2"/>
  <c r="F2505" i="2"/>
  <c r="D2505" i="2"/>
  <c r="F2504" i="2"/>
  <c r="D2504" i="2"/>
  <c r="F2503" i="2"/>
  <c r="D2503" i="2"/>
  <c r="F2502" i="2"/>
  <c r="D2502" i="2"/>
  <c r="F2501" i="2"/>
  <c r="D2501" i="2"/>
  <c r="F2500" i="2"/>
  <c r="D2500" i="2"/>
  <c r="F2499" i="2"/>
  <c r="D2499" i="2"/>
  <c r="F2498" i="2"/>
  <c r="D2498" i="2"/>
  <c r="F2497" i="2"/>
  <c r="D2497" i="2"/>
  <c r="F2496" i="2"/>
  <c r="D2496" i="2"/>
  <c r="F2495" i="2"/>
  <c r="D2495" i="2"/>
  <c r="F2494" i="2"/>
  <c r="D2494" i="2"/>
  <c r="F2493" i="2"/>
  <c r="D2493" i="2"/>
  <c r="F2492" i="2"/>
  <c r="D2492" i="2"/>
  <c r="F2491" i="2"/>
  <c r="D2491" i="2"/>
  <c r="F2490" i="2"/>
  <c r="D2490" i="2"/>
  <c r="F2489" i="2"/>
  <c r="D2489" i="2"/>
  <c r="F2488" i="2"/>
  <c r="D2488" i="2"/>
  <c r="F2487" i="2"/>
  <c r="D2487" i="2"/>
  <c r="F2486" i="2"/>
  <c r="D2486" i="2"/>
  <c r="F2485" i="2"/>
  <c r="D2485" i="2"/>
  <c r="F2484" i="2"/>
  <c r="D2484" i="2"/>
  <c r="F2483" i="2"/>
  <c r="D2483" i="2"/>
  <c r="F2482" i="2"/>
  <c r="D2482" i="2"/>
  <c r="F2481" i="2"/>
  <c r="D2481" i="2"/>
  <c r="F2480" i="2"/>
  <c r="D2480" i="2"/>
  <c r="F2479" i="2"/>
  <c r="D2479" i="2"/>
  <c r="F2478" i="2"/>
  <c r="D2478" i="2"/>
  <c r="F2477" i="2"/>
  <c r="D2477" i="2"/>
  <c r="F2476" i="2"/>
  <c r="D2476" i="2"/>
  <c r="F2475" i="2"/>
  <c r="D2475" i="2"/>
  <c r="F2474" i="2"/>
  <c r="D2474" i="2"/>
  <c r="F2473" i="2"/>
  <c r="D2473" i="2"/>
  <c r="F2472" i="2"/>
  <c r="D2472" i="2"/>
  <c r="F2471" i="2"/>
  <c r="D2471" i="2"/>
  <c r="F2470" i="2"/>
  <c r="D2470" i="2"/>
  <c r="F2469" i="2"/>
  <c r="D2469" i="2"/>
  <c r="F2468" i="2"/>
  <c r="D2468" i="2"/>
  <c r="F2467" i="2"/>
  <c r="D2467" i="2"/>
  <c r="F2466" i="2"/>
  <c r="D2466" i="2"/>
  <c r="F2465" i="2"/>
  <c r="D2465" i="2"/>
  <c r="F2464" i="2"/>
  <c r="D2464" i="2"/>
  <c r="F2463" i="2"/>
  <c r="D2463" i="2"/>
  <c r="F2462" i="2"/>
  <c r="D2462" i="2"/>
  <c r="F2461" i="2"/>
  <c r="D2461" i="2"/>
  <c r="F2460" i="2"/>
  <c r="D2460" i="2"/>
  <c r="F2459" i="2"/>
  <c r="D2459" i="2"/>
  <c r="F2458" i="2"/>
  <c r="D2458" i="2"/>
  <c r="F2457" i="2"/>
  <c r="D2457" i="2"/>
  <c r="F2456" i="2"/>
  <c r="D2456" i="2"/>
  <c r="F2455" i="2"/>
  <c r="D2455" i="2"/>
  <c r="F2454" i="2"/>
  <c r="D2454" i="2"/>
  <c r="F2453" i="2"/>
  <c r="D2453" i="2"/>
  <c r="F2452" i="2"/>
  <c r="D2452" i="2"/>
  <c r="F2451" i="2"/>
  <c r="D2451" i="2"/>
  <c r="F2450" i="2"/>
  <c r="D2450" i="2"/>
  <c r="F2449" i="2"/>
  <c r="D2449" i="2"/>
  <c r="F2448" i="2"/>
  <c r="D2448" i="2"/>
  <c r="F2447" i="2"/>
  <c r="D2447" i="2"/>
  <c r="F2446" i="2"/>
  <c r="D2446" i="2"/>
  <c r="F2445" i="2"/>
  <c r="D2445" i="2"/>
  <c r="F2444" i="2"/>
  <c r="D2444" i="2"/>
  <c r="F2443" i="2"/>
  <c r="D2443" i="2"/>
  <c r="F2442" i="2"/>
  <c r="D2442" i="2"/>
  <c r="F2441" i="2"/>
  <c r="D2441" i="2"/>
  <c r="F2440" i="2"/>
  <c r="D2440" i="2"/>
  <c r="F2439" i="2"/>
  <c r="D2439" i="2"/>
  <c r="F2438" i="2"/>
  <c r="D2438" i="2"/>
  <c r="F2437" i="2"/>
  <c r="D2437" i="2"/>
  <c r="F2436" i="2"/>
  <c r="D2436" i="2"/>
  <c r="F2435" i="2"/>
  <c r="D2435" i="2"/>
  <c r="F2434" i="2"/>
  <c r="D2434" i="2"/>
  <c r="F2433" i="2"/>
  <c r="D2433" i="2"/>
  <c r="F2432" i="2"/>
  <c r="D2432" i="2"/>
  <c r="F2431" i="2"/>
  <c r="D2431" i="2"/>
  <c r="F2430" i="2"/>
  <c r="D2430" i="2"/>
  <c r="F2429" i="2"/>
  <c r="D2429" i="2"/>
  <c r="F2428" i="2"/>
  <c r="D2428" i="2"/>
  <c r="F2427" i="2"/>
  <c r="D2427" i="2"/>
  <c r="F2426" i="2"/>
  <c r="D2426" i="2"/>
  <c r="F2425" i="2"/>
  <c r="D2425" i="2"/>
  <c r="F2424" i="2"/>
  <c r="D2424" i="2"/>
  <c r="F2423" i="2"/>
  <c r="D2423" i="2"/>
  <c r="F2422" i="2"/>
  <c r="D2422" i="2"/>
  <c r="F2421" i="2"/>
  <c r="D2421" i="2"/>
  <c r="F2420" i="2"/>
  <c r="D2420" i="2"/>
  <c r="F2419" i="2"/>
  <c r="D2419" i="2"/>
  <c r="F2418" i="2"/>
  <c r="D2418" i="2"/>
  <c r="F2417" i="2"/>
  <c r="D2417" i="2"/>
  <c r="F2416" i="2"/>
  <c r="D2416" i="2"/>
  <c r="F2415" i="2"/>
  <c r="D2415" i="2"/>
  <c r="F2414" i="2"/>
  <c r="D2414" i="2"/>
  <c r="F2413" i="2"/>
  <c r="D2413" i="2"/>
  <c r="F2412" i="2"/>
  <c r="D2412" i="2"/>
  <c r="F2411" i="2"/>
  <c r="D2411" i="2"/>
  <c r="F2410" i="2"/>
  <c r="D2410" i="2"/>
  <c r="F2409" i="2"/>
  <c r="D2409" i="2"/>
  <c r="F2408" i="2"/>
  <c r="D2408" i="2"/>
  <c r="F2407" i="2"/>
  <c r="D2407" i="2"/>
  <c r="F2406" i="2"/>
  <c r="D2406" i="2"/>
  <c r="F2405" i="2"/>
  <c r="D2405" i="2"/>
  <c r="F2404" i="2"/>
  <c r="D2404" i="2"/>
  <c r="F2403" i="2"/>
  <c r="D2403" i="2"/>
  <c r="F2402" i="2"/>
  <c r="D2402" i="2"/>
  <c r="F2401" i="2"/>
  <c r="D2401" i="2"/>
  <c r="F2400" i="2"/>
  <c r="D2400" i="2"/>
  <c r="F2399" i="2"/>
  <c r="D2399" i="2"/>
  <c r="F2398" i="2"/>
  <c r="D2398" i="2"/>
  <c r="F2397" i="2"/>
  <c r="D2397" i="2"/>
  <c r="F2396" i="2"/>
  <c r="D2396" i="2"/>
  <c r="F2395" i="2"/>
  <c r="D2395" i="2"/>
  <c r="F2394" i="2"/>
  <c r="D2394" i="2"/>
  <c r="F2393" i="2"/>
  <c r="D2393" i="2"/>
  <c r="F2392" i="2"/>
  <c r="D2392" i="2"/>
  <c r="F2391" i="2"/>
  <c r="D2391" i="2"/>
  <c r="F2390" i="2"/>
  <c r="D2390" i="2"/>
  <c r="F2389" i="2"/>
  <c r="D2389" i="2"/>
  <c r="F2388" i="2"/>
  <c r="D2388" i="2"/>
  <c r="F2387" i="2"/>
  <c r="D2387" i="2"/>
  <c r="F2386" i="2"/>
  <c r="D2386" i="2"/>
  <c r="F2385" i="2"/>
  <c r="D2385" i="2"/>
  <c r="F2384" i="2"/>
  <c r="D2384" i="2"/>
  <c r="F2383" i="2"/>
  <c r="D2383" i="2"/>
  <c r="F2382" i="2"/>
  <c r="D2382" i="2"/>
  <c r="F2381" i="2"/>
  <c r="D2381" i="2"/>
  <c r="F2380" i="2"/>
  <c r="D2380" i="2"/>
  <c r="F2379" i="2"/>
  <c r="D2379" i="2"/>
  <c r="F2378" i="2"/>
  <c r="D2378" i="2"/>
  <c r="F2377" i="2"/>
  <c r="D2377" i="2"/>
  <c r="F2376" i="2"/>
  <c r="D2376" i="2"/>
  <c r="F2375" i="2"/>
  <c r="D2375" i="2"/>
  <c r="F2374" i="2"/>
  <c r="D2374" i="2"/>
  <c r="F2373" i="2"/>
  <c r="D2373" i="2"/>
  <c r="F2372" i="2"/>
  <c r="D2372" i="2"/>
  <c r="F2371" i="2"/>
  <c r="D2371" i="2"/>
  <c r="F2370" i="2"/>
  <c r="D2370" i="2"/>
  <c r="F2369" i="2"/>
  <c r="D2369" i="2"/>
  <c r="F2368" i="2"/>
  <c r="D2368" i="2"/>
  <c r="F2367" i="2"/>
  <c r="D2367" i="2"/>
  <c r="F2366" i="2"/>
  <c r="D2366" i="2"/>
  <c r="F2365" i="2"/>
  <c r="D2365" i="2"/>
  <c r="F2364" i="2"/>
  <c r="D2364" i="2"/>
  <c r="F2363" i="2"/>
  <c r="D2363" i="2"/>
  <c r="F2362" i="2"/>
  <c r="D2362" i="2"/>
  <c r="F2361" i="2"/>
  <c r="D2361" i="2"/>
  <c r="F2360" i="2"/>
  <c r="D2360" i="2"/>
  <c r="F2359" i="2"/>
  <c r="D2359" i="2"/>
  <c r="F2358" i="2"/>
  <c r="D2358" i="2"/>
  <c r="F2357" i="2"/>
  <c r="D2357" i="2"/>
  <c r="F2356" i="2"/>
  <c r="D2356" i="2"/>
  <c r="F2355" i="2"/>
  <c r="D2355" i="2"/>
  <c r="F2354" i="2"/>
  <c r="D2354" i="2"/>
  <c r="F2353" i="2"/>
  <c r="D2353" i="2"/>
  <c r="F2352" i="2"/>
  <c r="D2352" i="2"/>
  <c r="F2351" i="2"/>
  <c r="D2351" i="2"/>
  <c r="F2350" i="2"/>
  <c r="D2350" i="2"/>
  <c r="F2349" i="2"/>
  <c r="D2349" i="2"/>
  <c r="F2348" i="2"/>
  <c r="D2348" i="2"/>
  <c r="F2347" i="2"/>
  <c r="D2347" i="2"/>
  <c r="F2346" i="2"/>
  <c r="D2346" i="2"/>
  <c r="F2345" i="2"/>
  <c r="D2345" i="2"/>
  <c r="F2344" i="2"/>
  <c r="D2344" i="2"/>
  <c r="F2343" i="2"/>
  <c r="D2343" i="2"/>
  <c r="F2342" i="2"/>
  <c r="D2342" i="2"/>
  <c r="F2341" i="2"/>
  <c r="D2341" i="2"/>
  <c r="F2340" i="2"/>
  <c r="D2340" i="2"/>
  <c r="F2339" i="2"/>
  <c r="D2339" i="2"/>
  <c r="F2338" i="2"/>
  <c r="D2338" i="2"/>
  <c r="F2337" i="2"/>
  <c r="D2337" i="2"/>
  <c r="F2336" i="2"/>
  <c r="D2336" i="2"/>
  <c r="F2335" i="2"/>
  <c r="D2335" i="2"/>
  <c r="F2334" i="2"/>
  <c r="D2334" i="2"/>
  <c r="F2333" i="2"/>
  <c r="D2333" i="2"/>
  <c r="F2332" i="2"/>
  <c r="D2332" i="2"/>
  <c r="F2331" i="2"/>
  <c r="D2331" i="2"/>
  <c r="F2330" i="2"/>
  <c r="D2330" i="2"/>
  <c r="F2329" i="2"/>
  <c r="D2329" i="2"/>
  <c r="F2328" i="2"/>
  <c r="D2328" i="2"/>
  <c r="F2327" i="2"/>
  <c r="D2327" i="2"/>
  <c r="F2326" i="2"/>
  <c r="D2326" i="2"/>
  <c r="F2325" i="2"/>
  <c r="D2325" i="2"/>
  <c r="F2324" i="2"/>
  <c r="D2324" i="2"/>
  <c r="F2323" i="2"/>
  <c r="D2323" i="2"/>
  <c r="F2322" i="2"/>
  <c r="D2322" i="2"/>
  <c r="F2321" i="2"/>
  <c r="D2321" i="2"/>
  <c r="F2320" i="2"/>
  <c r="D2320" i="2"/>
  <c r="F2319" i="2"/>
  <c r="D2319" i="2"/>
  <c r="F2318" i="2"/>
  <c r="D2318" i="2"/>
  <c r="F2317" i="2"/>
  <c r="D2317" i="2"/>
  <c r="F2316" i="2"/>
  <c r="D2316" i="2"/>
  <c r="F2315" i="2"/>
  <c r="D2315" i="2"/>
  <c r="F2314" i="2"/>
  <c r="D2314" i="2"/>
  <c r="F2313" i="2"/>
  <c r="D2313" i="2"/>
  <c r="F2312" i="2"/>
  <c r="D2312" i="2"/>
  <c r="F2311" i="2"/>
  <c r="D2311" i="2"/>
  <c r="F2310" i="2"/>
  <c r="D2310" i="2"/>
  <c r="F2309" i="2"/>
  <c r="D2309" i="2"/>
  <c r="F2308" i="2"/>
  <c r="D2308" i="2"/>
  <c r="F2307" i="2"/>
  <c r="D2307" i="2"/>
  <c r="F2306" i="2"/>
  <c r="D2306" i="2"/>
  <c r="F2305" i="2"/>
  <c r="D2305" i="2"/>
  <c r="F2304" i="2"/>
  <c r="D2304" i="2"/>
  <c r="F2303" i="2"/>
  <c r="D2303" i="2"/>
  <c r="F2302" i="2"/>
  <c r="D2302" i="2"/>
  <c r="F2301" i="2"/>
  <c r="D2301" i="2"/>
  <c r="F2300" i="2"/>
  <c r="D2300" i="2"/>
  <c r="F2299" i="2"/>
  <c r="D2299" i="2"/>
  <c r="F2298" i="2"/>
  <c r="D2298" i="2"/>
  <c r="F2297" i="2"/>
  <c r="D2297" i="2"/>
  <c r="F2296" i="2"/>
  <c r="D2296" i="2"/>
  <c r="F2295" i="2"/>
  <c r="D2295" i="2"/>
  <c r="F2294" i="2"/>
  <c r="D2294" i="2"/>
  <c r="F2293" i="2"/>
  <c r="D2293" i="2"/>
  <c r="F2292" i="2"/>
  <c r="D2292" i="2"/>
  <c r="F2291" i="2"/>
  <c r="D2291" i="2"/>
  <c r="F2290" i="2"/>
  <c r="D2290" i="2"/>
  <c r="F2289" i="2"/>
  <c r="D2289" i="2"/>
  <c r="F2288" i="2"/>
  <c r="D2288" i="2"/>
  <c r="F2287" i="2"/>
  <c r="D2287" i="2"/>
  <c r="F2286" i="2"/>
  <c r="D2286" i="2"/>
  <c r="F2285" i="2"/>
  <c r="D2285" i="2"/>
  <c r="F2284" i="2"/>
  <c r="D2284" i="2"/>
  <c r="F2283" i="2"/>
  <c r="D2283" i="2"/>
  <c r="F2282" i="2"/>
  <c r="D2282" i="2"/>
  <c r="F2281" i="2"/>
  <c r="D2281" i="2"/>
  <c r="F2280" i="2"/>
  <c r="D2280" i="2"/>
  <c r="F2279" i="2"/>
  <c r="D2279" i="2"/>
  <c r="F2278" i="2"/>
  <c r="D2278" i="2"/>
  <c r="F2277" i="2"/>
  <c r="D2277" i="2"/>
  <c r="F2276" i="2"/>
  <c r="D2276" i="2"/>
  <c r="F2275" i="2"/>
  <c r="D2275" i="2"/>
  <c r="F2274" i="2"/>
  <c r="D2274" i="2"/>
  <c r="F2273" i="2"/>
  <c r="D2273" i="2"/>
  <c r="F2272" i="2"/>
  <c r="D2272" i="2"/>
  <c r="F2271" i="2"/>
  <c r="D2271" i="2"/>
  <c r="F2270" i="2"/>
  <c r="D2270" i="2"/>
  <c r="F2269" i="2"/>
  <c r="D2269" i="2"/>
  <c r="F2268" i="2"/>
  <c r="D2268" i="2"/>
  <c r="F2267" i="2"/>
  <c r="D2267" i="2"/>
  <c r="F2266" i="2"/>
  <c r="D2266" i="2"/>
  <c r="F2265" i="2"/>
  <c r="D2265" i="2"/>
  <c r="F2264" i="2"/>
  <c r="D2264" i="2"/>
  <c r="F2263" i="2"/>
  <c r="D2263" i="2"/>
  <c r="F2262" i="2"/>
  <c r="D2262" i="2"/>
  <c r="F2261" i="2"/>
  <c r="D2261" i="2"/>
  <c r="F2260" i="2"/>
  <c r="D2260" i="2"/>
  <c r="F2259" i="2"/>
  <c r="D2259" i="2"/>
  <c r="F2258" i="2"/>
  <c r="D2258" i="2"/>
  <c r="F2257" i="2"/>
  <c r="D2257" i="2"/>
  <c r="F2256" i="2"/>
  <c r="D2256" i="2"/>
  <c r="F2255" i="2"/>
  <c r="D2255" i="2"/>
  <c r="F2254" i="2"/>
  <c r="D2254" i="2"/>
  <c r="F2253" i="2"/>
  <c r="D2253" i="2"/>
  <c r="F2252" i="2"/>
  <c r="D2252" i="2"/>
  <c r="F2251" i="2"/>
  <c r="D2251" i="2"/>
  <c r="F2250" i="2"/>
  <c r="D2250" i="2"/>
  <c r="F2249" i="2"/>
  <c r="D2249" i="2"/>
  <c r="F2248" i="2"/>
  <c r="D2248" i="2"/>
  <c r="F2247" i="2"/>
  <c r="D2247" i="2"/>
  <c r="F2246" i="2"/>
  <c r="D2246" i="2"/>
  <c r="F2245" i="2"/>
  <c r="D2245" i="2"/>
  <c r="F2244" i="2"/>
  <c r="D2244" i="2"/>
  <c r="F2243" i="2"/>
  <c r="D2243" i="2"/>
  <c r="F2242" i="2"/>
  <c r="D2242" i="2"/>
  <c r="F2241" i="2"/>
  <c r="D2241" i="2"/>
  <c r="F2240" i="2"/>
  <c r="D2240" i="2"/>
  <c r="F2239" i="2"/>
  <c r="D2239" i="2"/>
  <c r="F2238" i="2"/>
  <c r="D2238" i="2"/>
  <c r="F2237" i="2"/>
  <c r="D2237" i="2"/>
  <c r="F2236" i="2"/>
  <c r="D2236" i="2"/>
  <c r="F2235" i="2"/>
  <c r="D2235" i="2"/>
  <c r="F2234" i="2"/>
  <c r="D2234" i="2"/>
  <c r="F2233" i="2"/>
  <c r="D2233" i="2"/>
  <c r="F2232" i="2"/>
  <c r="D2232" i="2"/>
  <c r="F2231" i="2"/>
  <c r="D2231" i="2"/>
  <c r="F2230" i="2"/>
  <c r="D2230" i="2"/>
  <c r="F2229" i="2"/>
  <c r="D2229" i="2"/>
  <c r="F2228" i="2"/>
  <c r="D2228" i="2"/>
  <c r="F2227" i="2"/>
  <c r="D2227" i="2"/>
  <c r="F2226" i="2"/>
  <c r="D2226" i="2"/>
  <c r="F2225" i="2"/>
  <c r="D2225" i="2"/>
  <c r="F2224" i="2"/>
  <c r="D2224" i="2"/>
  <c r="F2223" i="2"/>
  <c r="D2223" i="2"/>
  <c r="F2222" i="2"/>
  <c r="D2222" i="2"/>
  <c r="F2221" i="2"/>
  <c r="D2221" i="2"/>
  <c r="F2220" i="2"/>
  <c r="D2220" i="2"/>
  <c r="F2219" i="2"/>
  <c r="D2219" i="2"/>
  <c r="F2218" i="2"/>
  <c r="D2218" i="2"/>
  <c r="F2217" i="2"/>
  <c r="D2217" i="2"/>
  <c r="F2216" i="2"/>
  <c r="D2216" i="2"/>
  <c r="F2215" i="2"/>
  <c r="D2215" i="2"/>
  <c r="F2214" i="2"/>
  <c r="D2214" i="2"/>
  <c r="F2213" i="2"/>
  <c r="D2213" i="2"/>
  <c r="F2212" i="2"/>
  <c r="D2212" i="2"/>
  <c r="F2211" i="2"/>
  <c r="D2211" i="2"/>
  <c r="F2210" i="2"/>
  <c r="D2210" i="2"/>
  <c r="F2209" i="2"/>
  <c r="D2209" i="2"/>
  <c r="F2208" i="2"/>
  <c r="D2208" i="2"/>
  <c r="F2207" i="2"/>
  <c r="D2207" i="2"/>
  <c r="F2206" i="2"/>
  <c r="D2206" i="2"/>
  <c r="F2205" i="2"/>
  <c r="D2205" i="2"/>
  <c r="F2204" i="2"/>
  <c r="D2204" i="2"/>
  <c r="F2203" i="2"/>
  <c r="D2203" i="2"/>
  <c r="F2202" i="2"/>
  <c r="D2202" i="2"/>
  <c r="F2201" i="2"/>
  <c r="D2201" i="2"/>
  <c r="F2200" i="2"/>
  <c r="D2200" i="2"/>
  <c r="F2199" i="2"/>
  <c r="D2199" i="2"/>
  <c r="F2198" i="2"/>
  <c r="D2198" i="2"/>
  <c r="F2197" i="2"/>
  <c r="D2197" i="2"/>
  <c r="F2196" i="2"/>
  <c r="D2196" i="2"/>
  <c r="F2195" i="2"/>
  <c r="D2195" i="2"/>
  <c r="F2194" i="2"/>
  <c r="D2194" i="2"/>
  <c r="F2193" i="2"/>
  <c r="D2193" i="2"/>
  <c r="F2192" i="2"/>
  <c r="D2192" i="2"/>
  <c r="F2191" i="2"/>
  <c r="D2191" i="2"/>
  <c r="F2190" i="2"/>
  <c r="D2190" i="2"/>
  <c r="F2189" i="2"/>
  <c r="D2189" i="2"/>
  <c r="F2188" i="2"/>
  <c r="D2188" i="2"/>
  <c r="F2187" i="2"/>
  <c r="D2187" i="2"/>
  <c r="F2186" i="2"/>
  <c r="D2186" i="2"/>
  <c r="F2185" i="2"/>
  <c r="D2185" i="2"/>
  <c r="F2184" i="2"/>
  <c r="D2184" i="2"/>
  <c r="F2183" i="2"/>
  <c r="D2183" i="2"/>
  <c r="F2182" i="2"/>
  <c r="D2182" i="2"/>
  <c r="F2181" i="2"/>
  <c r="D2181" i="2"/>
  <c r="F2180" i="2"/>
  <c r="D2180" i="2"/>
  <c r="F2179" i="2"/>
  <c r="D2179" i="2"/>
  <c r="F2178" i="2"/>
  <c r="D2178" i="2"/>
  <c r="F2177" i="2"/>
  <c r="D2177" i="2"/>
  <c r="F2176" i="2"/>
  <c r="D2176" i="2"/>
  <c r="F2175" i="2"/>
  <c r="D2175" i="2"/>
  <c r="F2174" i="2"/>
  <c r="D2174" i="2"/>
  <c r="F2173" i="2"/>
  <c r="D2173" i="2"/>
  <c r="F2172" i="2"/>
  <c r="D2172" i="2"/>
  <c r="F2171" i="2"/>
  <c r="D2171" i="2"/>
  <c r="F2170" i="2"/>
  <c r="D2170" i="2"/>
  <c r="F2169" i="2"/>
  <c r="D2169" i="2"/>
  <c r="F2168" i="2"/>
  <c r="D2168" i="2"/>
  <c r="F2167" i="2"/>
  <c r="D2167" i="2"/>
  <c r="F2166" i="2"/>
  <c r="D2166" i="2"/>
  <c r="F2165" i="2"/>
  <c r="D2165" i="2"/>
  <c r="F2164" i="2"/>
  <c r="D2164" i="2"/>
  <c r="F2163" i="2"/>
  <c r="D2163" i="2"/>
  <c r="F2162" i="2"/>
  <c r="D2162" i="2"/>
  <c r="F2161" i="2"/>
  <c r="D2161" i="2"/>
  <c r="F2160" i="2"/>
  <c r="D2160" i="2"/>
  <c r="F2159" i="2"/>
  <c r="D2159" i="2"/>
  <c r="F2158" i="2"/>
  <c r="D2158" i="2"/>
  <c r="F2157" i="2"/>
  <c r="D2157" i="2"/>
  <c r="F2156" i="2"/>
  <c r="D2156" i="2"/>
  <c r="F2155" i="2"/>
  <c r="D2155" i="2"/>
  <c r="F2154" i="2"/>
  <c r="D2154" i="2"/>
  <c r="F2153" i="2"/>
  <c r="D2153" i="2"/>
  <c r="F2152" i="2"/>
  <c r="D2152" i="2"/>
  <c r="F2151" i="2"/>
  <c r="D2151" i="2"/>
  <c r="F2150" i="2"/>
  <c r="D2150" i="2"/>
  <c r="F2149" i="2"/>
  <c r="D2149" i="2"/>
  <c r="F2148" i="2"/>
  <c r="D2148" i="2"/>
  <c r="F2147" i="2"/>
  <c r="D2147" i="2"/>
  <c r="F2146" i="2"/>
  <c r="D2146" i="2"/>
  <c r="F2145" i="2"/>
  <c r="D2145" i="2"/>
  <c r="F2144" i="2"/>
  <c r="D2144" i="2"/>
  <c r="F2143" i="2"/>
  <c r="D2143" i="2"/>
  <c r="F2142" i="2"/>
  <c r="D2142" i="2"/>
  <c r="F2141" i="2"/>
  <c r="D2141" i="2"/>
  <c r="F2140" i="2"/>
  <c r="D2140" i="2"/>
  <c r="F2139" i="2"/>
  <c r="D2139" i="2"/>
  <c r="F2138" i="2"/>
  <c r="D2138" i="2"/>
  <c r="F2137" i="2"/>
  <c r="D2137" i="2"/>
  <c r="F2136" i="2"/>
  <c r="D2136" i="2"/>
  <c r="F2135" i="2"/>
  <c r="D2135" i="2"/>
  <c r="F2134" i="2"/>
  <c r="D2134" i="2"/>
  <c r="F2133" i="2"/>
  <c r="D2133" i="2"/>
  <c r="F2132" i="2"/>
  <c r="D2132" i="2"/>
  <c r="F2131" i="2"/>
  <c r="D2131" i="2"/>
  <c r="F2130" i="2"/>
  <c r="D2130" i="2"/>
  <c r="F2129" i="2"/>
  <c r="D2129" i="2"/>
  <c r="F2128" i="2"/>
  <c r="D2128" i="2"/>
  <c r="F2127" i="2"/>
  <c r="D2127" i="2"/>
  <c r="F2126" i="2"/>
  <c r="D2126" i="2"/>
  <c r="F2125" i="2"/>
  <c r="D2125" i="2"/>
  <c r="F2124" i="2"/>
  <c r="D2124" i="2"/>
  <c r="F2123" i="2"/>
  <c r="D2123" i="2"/>
  <c r="F2122" i="2"/>
  <c r="D2122" i="2"/>
  <c r="F2121" i="2"/>
  <c r="D2121" i="2"/>
  <c r="F2120" i="2"/>
  <c r="D2120" i="2"/>
  <c r="F2119" i="2"/>
  <c r="D2119" i="2"/>
  <c r="F2118" i="2"/>
  <c r="D2118" i="2"/>
  <c r="F2117" i="2"/>
  <c r="D2117" i="2"/>
  <c r="F2116" i="2"/>
  <c r="D2116" i="2"/>
  <c r="F2115" i="2"/>
  <c r="D2115" i="2"/>
  <c r="F2114" i="2"/>
  <c r="D2114" i="2"/>
  <c r="F2113" i="2"/>
  <c r="D2113" i="2"/>
  <c r="F2112" i="2"/>
  <c r="D2112" i="2"/>
  <c r="F2111" i="2"/>
  <c r="D2111" i="2"/>
  <c r="F2110" i="2"/>
  <c r="D2110" i="2"/>
  <c r="F2109" i="2"/>
  <c r="D2109" i="2"/>
  <c r="F2108" i="2"/>
  <c r="D2108" i="2"/>
  <c r="F2107" i="2"/>
  <c r="D2107" i="2"/>
  <c r="F2106" i="2"/>
  <c r="D2106" i="2"/>
  <c r="F2105" i="2"/>
  <c r="D2105" i="2"/>
  <c r="F2104" i="2"/>
  <c r="D2104" i="2"/>
  <c r="F2103" i="2"/>
  <c r="D2103" i="2"/>
  <c r="F2102" i="2"/>
  <c r="D2102" i="2"/>
  <c r="F2101" i="2"/>
  <c r="D2101" i="2"/>
  <c r="F2100" i="2"/>
  <c r="D2100" i="2"/>
  <c r="F2099" i="2"/>
  <c r="D2099" i="2"/>
  <c r="F2098" i="2"/>
  <c r="D2098" i="2"/>
  <c r="F2097" i="2"/>
  <c r="D2097" i="2"/>
  <c r="F2096" i="2"/>
  <c r="D2096" i="2"/>
  <c r="F2095" i="2"/>
  <c r="D2095" i="2"/>
  <c r="F2094" i="2"/>
  <c r="D2094" i="2"/>
  <c r="F2093" i="2"/>
  <c r="D2093" i="2"/>
  <c r="F2092" i="2"/>
  <c r="D2092" i="2"/>
  <c r="F2091" i="2"/>
  <c r="D2091" i="2"/>
  <c r="F2090" i="2"/>
  <c r="D2090" i="2"/>
  <c r="F2089" i="2"/>
  <c r="D2089" i="2"/>
  <c r="F2088" i="2"/>
  <c r="D2088" i="2"/>
  <c r="F2087" i="2"/>
  <c r="D2087" i="2"/>
  <c r="F2086" i="2"/>
  <c r="D2086" i="2"/>
  <c r="F2085" i="2"/>
  <c r="D2085" i="2"/>
  <c r="F2084" i="2"/>
  <c r="D2084" i="2"/>
  <c r="F2083" i="2"/>
  <c r="D2083" i="2"/>
  <c r="F2082" i="2"/>
  <c r="D2082" i="2"/>
  <c r="F2081" i="2"/>
  <c r="D2081" i="2"/>
  <c r="F2080" i="2"/>
  <c r="D2080" i="2"/>
  <c r="F2079" i="2"/>
  <c r="D2079" i="2"/>
  <c r="F2078" i="2"/>
  <c r="D2078" i="2"/>
  <c r="F2077" i="2"/>
  <c r="D2077" i="2"/>
  <c r="F2076" i="2"/>
  <c r="D2076" i="2"/>
  <c r="F2075" i="2"/>
  <c r="D2075" i="2"/>
  <c r="F2074" i="2"/>
  <c r="D2074" i="2"/>
  <c r="F2073" i="2"/>
  <c r="D2073" i="2"/>
  <c r="F2072" i="2"/>
  <c r="D2072" i="2"/>
  <c r="F2071" i="2"/>
  <c r="D2071" i="2"/>
  <c r="F2070" i="2"/>
  <c r="D2070" i="2"/>
  <c r="F2069" i="2"/>
  <c r="D2069" i="2"/>
  <c r="F2068" i="2"/>
  <c r="D2068" i="2"/>
  <c r="F2067" i="2"/>
  <c r="D2067" i="2"/>
  <c r="F2066" i="2"/>
  <c r="D2066" i="2"/>
  <c r="F2065" i="2"/>
  <c r="D2065" i="2"/>
  <c r="F2064" i="2"/>
  <c r="D2064" i="2"/>
  <c r="F2063" i="2"/>
  <c r="D2063" i="2"/>
  <c r="F2062" i="2"/>
  <c r="D2062" i="2"/>
  <c r="F2061" i="2"/>
  <c r="D2061" i="2"/>
  <c r="F2060" i="2"/>
  <c r="D2060" i="2"/>
  <c r="F2059" i="2"/>
  <c r="D2059" i="2"/>
  <c r="F2058" i="2"/>
  <c r="D2058" i="2"/>
  <c r="F2057" i="2"/>
  <c r="D2057" i="2"/>
  <c r="F2056" i="2"/>
  <c r="D2056" i="2"/>
  <c r="F2055" i="2"/>
  <c r="D2055" i="2"/>
  <c r="F2054" i="2"/>
  <c r="D2054" i="2"/>
  <c r="F2053" i="2"/>
  <c r="D2053" i="2"/>
  <c r="F2052" i="2"/>
  <c r="D2052" i="2"/>
  <c r="F2051" i="2"/>
  <c r="D2051" i="2"/>
  <c r="F2050" i="2"/>
  <c r="D2050" i="2"/>
  <c r="F2049" i="2"/>
  <c r="D2049" i="2"/>
  <c r="F2048" i="2"/>
  <c r="D2048" i="2"/>
  <c r="F2047" i="2"/>
  <c r="D2047" i="2"/>
  <c r="F2046" i="2"/>
  <c r="D2046" i="2"/>
  <c r="F2045" i="2"/>
  <c r="D2045" i="2"/>
  <c r="F2044" i="2"/>
  <c r="D2044" i="2"/>
  <c r="F2043" i="2"/>
  <c r="D2043" i="2"/>
  <c r="F2042" i="2"/>
  <c r="D2042" i="2"/>
  <c r="F2041" i="2"/>
  <c r="D2041" i="2"/>
  <c r="F2040" i="2"/>
  <c r="D2040" i="2"/>
  <c r="F2039" i="2"/>
  <c r="D2039" i="2"/>
  <c r="F2038" i="2"/>
  <c r="D2038" i="2"/>
  <c r="F2037" i="2"/>
  <c r="D2037" i="2"/>
  <c r="F2036" i="2"/>
  <c r="D2036" i="2"/>
  <c r="F2035" i="2"/>
  <c r="D2035" i="2"/>
  <c r="F2034" i="2"/>
  <c r="D2034" i="2"/>
  <c r="F2033" i="2"/>
  <c r="D2033" i="2"/>
  <c r="F2032" i="2"/>
  <c r="D2032" i="2"/>
  <c r="F2031" i="2"/>
  <c r="D2031" i="2"/>
  <c r="F2030" i="2"/>
  <c r="D2030" i="2"/>
  <c r="F2029" i="2"/>
  <c r="D2029" i="2"/>
  <c r="F2028" i="2"/>
  <c r="D2028" i="2"/>
  <c r="F2027" i="2"/>
  <c r="D2027" i="2"/>
  <c r="F2026" i="2"/>
  <c r="D2026" i="2"/>
  <c r="F2025" i="2"/>
  <c r="D2025" i="2"/>
  <c r="F2024" i="2"/>
  <c r="D2024" i="2"/>
  <c r="F2023" i="2"/>
  <c r="D2023" i="2"/>
  <c r="F2022" i="2"/>
  <c r="D2022" i="2"/>
  <c r="F2021" i="2"/>
  <c r="D2021" i="2"/>
  <c r="F2020" i="2"/>
  <c r="D2020" i="2"/>
  <c r="F2019" i="2"/>
  <c r="D2019" i="2"/>
  <c r="F2018" i="2"/>
  <c r="D2018" i="2"/>
  <c r="F2017" i="2"/>
  <c r="D2017" i="2"/>
  <c r="F2016" i="2"/>
  <c r="D2016" i="2"/>
  <c r="F2015" i="2"/>
  <c r="D2015" i="2"/>
  <c r="F2014" i="2"/>
  <c r="D2014" i="2"/>
  <c r="F2013" i="2"/>
  <c r="D2013" i="2"/>
  <c r="F2012" i="2"/>
  <c r="D2012" i="2"/>
  <c r="F2011" i="2"/>
  <c r="D2011" i="2"/>
  <c r="F2010" i="2"/>
  <c r="D2010" i="2"/>
  <c r="F2009" i="2"/>
  <c r="D2009" i="2"/>
  <c r="F2008" i="2"/>
  <c r="D2008" i="2"/>
  <c r="F2007" i="2"/>
  <c r="D2007" i="2"/>
  <c r="F2006" i="2"/>
  <c r="D2006" i="2"/>
  <c r="F2005" i="2"/>
  <c r="D2005" i="2"/>
  <c r="F2004" i="2"/>
  <c r="D2004" i="2"/>
  <c r="F2003" i="2"/>
  <c r="D2003" i="2"/>
  <c r="F2002" i="2"/>
  <c r="D2002" i="2"/>
  <c r="F2001" i="2"/>
  <c r="D2001" i="2"/>
  <c r="F2000" i="2"/>
  <c r="D2000" i="2"/>
  <c r="F1999" i="2"/>
  <c r="D1999" i="2"/>
  <c r="F1998" i="2"/>
  <c r="D1998" i="2"/>
  <c r="F1997" i="2"/>
  <c r="D1997" i="2"/>
  <c r="F1996" i="2"/>
  <c r="D1996" i="2"/>
  <c r="F1995" i="2"/>
  <c r="D1995" i="2"/>
  <c r="F1994" i="2"/>
  <c r="D1994" i="2"/>
  <c r="F1993" i="2"/>
  <c r="D1993" i="2"/>
  <c r="F1992" i="2"/>
  <c r="D1992" i="2"/>
  <c r="F1991" i="2"/>
  <c r="D1991" i="2"/>
  <c r="F1990" i="2"/>
  <c r="D1990" i="2"/>
  <c r="F1989" i="2"/>
  <c r="D1989" i="2"/>
  <c r="F1988" i="2"/>
  <c r="D1988" i="2"/>
  <c r="F1987" i="2"/>
  <c r="D1987" i="2"/>
  <c r="F1986" i="2"/>
  <c r="D1986" i="2"/>
  <c r="F1985" i="2"/>
  <c r="D1985" i="2"/>
  <c r="F1984" i="2"/>
  <c r="D1984" i="2"/>
  <c r="F1983" i="2"/>
  <c r="D1983" i="2"/>
  <c r="F1982" i="2"/>
  <c r="D1982" i="2"/>
  <c r="F1981" i="2"/>
  <c r="D1981" i="2"/>
  <c r="F1980" i="2"/>
  <c r="D1980" i="2"/>
  <c r="F1979" i="2"/>
  <c r="D1979" i="2"/>
  <c r="F1978" i="2"/>
  <c r="D1978" i="2"/>
  <c r="F1977" i="2"/>
  <c r="D1977" i="2"/>
  <c r="F1976" i="2"/>
  <c r="D1976" i="2"/>
  <c r="F1975" i="2"/>
  <c r="D1975" i="2"/>
  <c r="F1974" i="2"/>
  <c r="D1974" i="2"/>
  <c r="F1973" i="2"/>
  <c r="D1973" i="2"/>
  <c r="F1972" i="2"/>
  <c r="D1972" i="2"/>
  <c r="F1971" i="2"/>
  <c r="D1971" i="2"/>
  <c r="F1970" i="2"/>
  <c r="D1970" i="2"/>
  <c r="F1969" i="2"/>
  <c r="D1969" i="2"/>
  <c r="F1968" i="2"/>
  <c r="D1968" i="2"/>
  <c r="F1967" i="2"/>
  <c r="D1967" i="2"/>
  <c r="F1966" i="2"/>
  <c r="D1966" i="2"/>
  <c r="F1965" i="2"/>
  <c r="D1965" i="2"/>
  <c r="F1964" i="2"/>
  <c r="D1964" i="2"/>
  <c r="F1963" i="2"/>
  <c r="D1963" i="2"/>
  <c r="F1962" i="2"/>
  <c r="D1962" i="2"/>
  <c r="F1961" i="2"/>
  <c r="D1961" i="2"/>
  <c r="F1960" i="2"/>
  <c r="D1960" i="2"/>
  <c r="F1959" i="2"/>
  <c r="D1959" i="2"/>
  <c r="F1958" i="2"/>
  <c r="D1958" i="2"/>
  <c r="F1957" i="2"/>
  <c r="D1957" i="2"/>
  <c r="F1956" i="2"/>
  <c r="D1956" i="2"/>
  <c r="F1955" i="2"/>
  <c r="D1955" i="2"/>
  <c r="F1954" i="2"/>
  <c r="D1954" i="2"/>
  <c r="F1953" i="2"/>
  <c r="D1953" i="2"/>
  <c r="F1952" i="2"/>
  <c r="D1952" i="2"/>
  <c r="F1951" i="2"/>
  <c r="D1951" i="2"/>
  <c r="F1950" i="2"/>
  <c r="D1950" i="2"/>
  <c r="F1949" i="2"/>
  <c r="D1949" i="2"/>
  <c r="F1948" i="2"/>
  <c r="D1948" i="2"/>
  <c r="F1947" i="2"/>
  <c r="D1947" i="2"/>
  <c r="F1946" i="2"/>
  <c r="D1946" i="2"/>
  <c r="F1945" i="2"/>
  <c r="D1945" i="2"/>
  <c r="F1944" i="2"/>
  <c r="D1944" i="2"/>
  <c r="F1943" i="2"/>
  <c r="D1943" i="2"/>
  <c r="F1942" i="2"/>
  <c r="D1942" i="2"/>
  <c r="F1941" i="2"/>
  <c r="D1941" i="2"/>
  <c r="F1940" i="2"/>
  <c r="D1940" i="2"/>
  <c r="F1939" i="2"/>
  <c r="D1939" i="2"/>
  <c r="F1938" i="2"/>
  <c r="D1938" i="2"/>
  <c r="F1937" i="2"/>
  <c r="D1937" i="2"/>
  <c r="F1936" i="2"/>
  <c r="D1936" i="2"/>
  <c r="F1935" i="2"/>
  <c r="D1935" i="2"/>
  <c r="F1934" i="2"/>
  <c r="D1934" i="2"/>
  <c r="F1933" i="2"/>
  <c r="D1933" i="2"/>
  <c r="F1932" i="2"/>
  <c r="D1932" i="2"/>
  <c r="F1931" i="2"/>
  <c r="D1931" i="2"/>
  <c r="F1930" i="2"/>
  <c r="D1930" i="2"/>
  <c r="F1929" i="2"/>
  <c r="D1929" i="2"/>
  <c r="F1928" i="2"/>
  <c r="D1928" i="2"/>
  <c r="F1927" i="2"/>
  <c r="D1927" i="2"/>
  <c r="F1926" i="2"/>
  <c r="D1926" i="2"/>
  <c r="F1925" i="2"/>
  <c r="D1925" i="2"/>
  <c r="F1924" i="2"/>
  <c r="D1924" i="2"/>
  <c r="F1923" i="2"/>
  <c r="D1923" i="2"/>
  <c r="F1922" i="2"/>
  <c r="D1922" i="2"/>
  <c r="F1921" i="2"/>
  <c r="D1921" i="2"/>
  <c r="F1920" i="2"/>
  <c r="D1920" i="2"/>
  <c r="F1919" i="2"/>
  <c r="D1919" i="2"/>
  <c r="F1918" i="2"/>
  <c r="D1918" i="2"/>
  <c r="F1917" i="2"/>
  <c r="D1917" i="2"/>
  <c r="F1916" i="2"/>
  <c r="D1916" i="2"/>
  <c r="F1915" i="2"/>
  <c r="D1915" i="2"/>
  <c r="F1914" i="2"/>
  <c r="D1914" i="2"/>
  <c r="F1913" i="2"/>
  <c r="D1913" i="2"/>
  <c r="F1912" i="2"/>
  <c r="D1912" i="2"/>
  <c r="F1911" i="2"/>
  <c r="D1911" i="2"/>
  <c r="F1910" i="2"/>
  <c r="D1910" i="2"/>
  <c r="F1909" i="2"/>
  <c r="D1909" i="2"/>
  <c r="F1908" i="2"/>
  <c r="D1908" i="2"/>
  <c r="F1907" i="2"/>
  <c r="D1907" i="2"/>
  <c r="F1906" i="2"/>
  <c r="D1906" i="2"/>
  <c r="F1905" i="2"/>
  <c r="D1905" i="2"/>
  <c r="F1904" i="2"/>
  <c r="D1904" i="2"/>
  <c r="F1903" i="2"/>
  <c r="D1903" i="2"/>
  <c r="F1902" i="2"/>
  <c r="D1902" i="2"/>
  <c r="F1901" i="2"/>
  <c r="D1901" i="2"/>
  <c r="F1900" i="2"/>
  <c r="D1900" i="2"/>
  <c r="F1899" i="2"/>
  <c r="D1899" i="2"/>
  <c r="F1898" i="2"/>
  <c r="D1898" i="2"/>
  <c r="F1897" i="2"/>
  <c r="D1897" i="2"/>
  <c r="F1896" i="2"/>
  <c r="D1896" i="2"/>
  <c r="F1895" i="2"/>
  <c r="D1895" i="2"/>
  <c r="F1894" i="2"/>
  <c r="D1894" i="2"/>
  <c r="F1893" i="2"/>
  <c r="D1893" i="2"/>
  <c r="F1892" i="2"/>
  <c r="D1892" i="2"/>
  <c r="F1891" i="2"/>
  <c r="D1891" i="2"/>
  <c r="F1890" i="2"/>
  <c r="D1890" i="2"/>
  <c r="F1889" i="2"/>
  <c r="D1889" i="2"/>
  <c r="F1888" i="2"/>
  <c r="D1888" i="2"/>
  <c r="F1887" i="2"/>
  <c r="D1887" i="2"/>
  <c r="F1886" i="2"/>
  <c r="D1886" i="2"/>
  <c r="F1885" i="2"/>
  <c r="D1885" i="2"/>
  <c r="F1884" i="2"/>
  <c r="D1884" i="2"/>
  <c r="F1883" i="2"/>
  <c r="D1883" i="2"/>
  <c r="F1882" i="2"/>
  <c r="D1882" i="2"/>
  <c r="F1881" i="2"/>
  <c r="D1881" i="2"/>
  <c r="F1880" i="2"/>
  <c r="D1880" i="2"/>
  <c r="F1879" i="2"/>
  <c r="D1879" i="2"/>
  <c r="F1878" i="2"/>
  <c r="D1878" i="2"/>
  <c r="F1877" i="2"/>
  <c r="D1877" i="2"/>
  <c r="F1876" i="2"/>
  <c r="D1876" i="2"/>
  <c r="F1875" i="2"/>
  <c r="D1875" i="2"/>
  <c r="F1874" i="2"/>
  <c r="D1874" i="2"/>
  <c r="F1873" i="2"/>
  <c r="D1873" i="2"/>
  <c r="F1872" i="2"/>
  <c r="D1872" i="2"/>
  <c r="F1871" i="2"/>
  <c r="D1871" i="2"/>
  <c r="F1870" i="2"/>
  <c r="D1870" i="2"/>
  <c r="F1869" i="2"/>
  <c r="D1869" i="2"/>
  <c r="F1868" i="2"/>
  <c r="D1868" i="2"/>
  <c r="F1867" i="2"/>
  <c r="D1867" i="2"/>
  <c r="F1866" i="2"/>
  <c r="D1866" i="2"/>
  <c r="F1865" i="2"/>
  <c r="D1865" i="2"/>
  <c r="F1864" i="2"/>
  <c r="D1864" i="2"/>
  <c r="F1863" i="2"/>
  <c r="D1863" i="2"/>
  <c r="F1862" i="2"/>
  <c r="D1862" i="2"/>
  <c r="F1861" i="2"/>
  <c r="D1861" i="2"/>
  <c r="F1860" i="2"/>
  <c r="D1860" i="2"/>
  <c r="F1859" i="2"/>
  <c r="D1859" i="2"/>
  <c r="F1858" i="2"/>
  <c r="D1858" i="2"/>
  <c r="F1857" i="2"/>
  <c r="D1857" i="2"/>
  <c r="F1856" i="2"/>
  <c r="D1856" i="2"/>
  <c r="F1855" i="2"/>
  <c r="D1855" i="2"/>
  <c r="F1854" i="2"/>
  <c r="D1854" i="2"/>
  <c r="F1853" i="2"/>
  <c r="D1853" i="2"/>
  <c r="F1852" i="2"/>
  <c r="D1852" i="2"/>
  <c r="F1851" i="2"/>
  <c r="D1851" i="2"/>
  <c r="F1850" i="2"/>
  <c r="D1850" i="2"/>
  <c r="F1849" i="2"/>
  <c r="D1849" i="2"/>
  <c r="F1848" i="2"/>
  <c r="D1848" i="2"/>
  <c r="F1847" i="2"/>
  <c r="D1847" i="2"/>
  <c r="F1846" i="2"/>
  <c r="D1846" i="2"/>
  <c r="F1845" i="2"/>
  <c r="D1845" i="2"/>
  <c r="F1844" i="2"/>
  <c r="D1844" i="2"/>
  <c r="F1843" i="2"/>
  <c r="D1843" i="2"/>
  <c r="F1842" i="2"/>
  <c r="D1842" i="2"/>
  <c r="F1841" i="2"/>
  <c r="D1841" i="2"/>
  <c r="F1840" i="2"/>
  <c r="D1840" i="2"/>
  <c r="F1839" i="2"/>
  <c r="D1839" i="2"/>
  <c r="F1838" i="2"/>
  <c r="D1838" i="2"/>
  <c r="F1837" i="2"/>
  <c r="D1837" i="2"/>
  <c r="F1836" i="2"/>
  <c r="D1836" i="2"/>
  <c r="F1835" i="2"/>
  <c r="D1835" i="2"/>
  <c r="F1834" i="2"/>
  <c r="D1834" i="2"/>
  <c r="F1833" i="2"/>
  <c r="D1833" i="2"/>
  <c r="F1832" i="2"/>
  <c r="D1832" i="2"/>
  <c r="F1831" i="2"/>
  <c r="D1831" i="2"/>
  <c r="F1830" i="2"/>
  <c r="D1830" i="2"/>
  <c r="F1829" i="2"/>
  <c r="D1829" i="2"/>
  <c r="F1828" i="2"/>
  <c r="D1828" i="2"/>
  <c r="F1827" i="2"/>
  <c r="D1827" i="2"/>
  <c r="F1826" i="2"/>
  <c r="D1826" i="2"/>
  <c r="F1825" i="2"/>
  <c r="D1825" i="2"/>
  <c r="F1824" i="2"/>
  <c r="D1824" i="2"/>
  <c r="F1823" i="2"/>
  <c r="D1823" i="2"/>
  <c r="F1822" i="2"/>
  <c r="D1822" i="2"/>
  <c r="F1821" i="2"/>
  <c r="D1821" i="2"/>
  <c r="F1820" i="2"/>
  <c r="D1820" i="2"/>
  <c r="F1819" i="2"/>
  <c r="D1819" i="2"/>
  <c r="F1818" i="2"/>
  <c r="D1818" i="2"/>
  <c r="F1817" i="2"/>
  <c r="D1817" i="2"/>
  <c r="F1816" i="2"/>
  <c r="D1816" i="2"/>
  <c r="F1815" i="2"/>
  <c r="D1815" i="2"/>
  <c r="F1814" i="2"/>
  <c r="D1814" i="2"/>
  <c r="F1813" i="2"/>
  <c r="D1813" i="2"/>
  <c r="F1812" i="2"/>
  <c r="D1812" i="2"/>
  <c r="F1811" i="2"/>
  <c r="D1811" i="2"/>
  <c r="F1810" i="2"/>
  <c r="D1810" i="2"/>
  <c r="F1809" i="2"/>
  <c r="D1809" i="2"/>
  <c r="F1808" i="2"/>
  <c r="D1808" i="2"/>
  <c r="F1807" i="2"/>
  <c r="D1807" i="2"/>
  <c r="F1806" i="2"/>
  <c r="D1806" i="2"/>
  <c r="F1805" i="2"/>
  <c r="D1805" i="2"/>
  <c r="F1804" i="2"/>
  <c r="D1804" i="2"/>
  <c r="F1803" i="2"/>
  <c r="D1803" i="2"/>
  <c r="F1802" i="2"/>
  <c r="D1802" i="2"/>
  <c r="F1801" i="2"/>
  <c r="D1801" i="2"/>
  <c r="F1800" i="2"/>
  <c r="D1800" i="2"/>
  <c r="F1799" i="2"/>
  <c r="D1799" i="2"/>
  <c r="F1798" i="2"/>
  <c r="D1798" i="2"/>
  <c r="F1797" i="2"/>
  <c r="D1797" i="2"/>
  <c r="F1796" i="2"/>
  <c r="D1796" i="2"/>
  <c r="F1795" i="2"/>
  <c r="D1795" i="2"/>
  <c r="F1794" i="2"/>
  <c r="D1794" i="2"/>
  <c r="F1793" i="2"/>
  <c r="D1793" i="2"/>
  <c r="F1792" i="2"/>
  <c r="D1792" i="2"/>
  <c r="F1791" i="2"/>
  <c r="D1791" i="2"/>
  <c r="F1790" i="2"/>
  <c r="D1790" i="2"/>
  <c r="F1789" i="2"/>
  <c r="D1789" i="2"/>
  <c r="F1788" i="2"/>
  <c r="D1788" i="2"/>
  <c r="F1787" i="2"/>
  <c r="D1787" i="2"/>
  <c r="F1786" i="2"/>
  <c r="D1786" i="2"/>
  <c r="F1785" i="2"/>
  <c r="D1785" i="2"/>
  <c r="F1784" i="2"/>
  <c r="D1784" i="2"/>
  <c r="F1783" i="2"/>
  <c r="D1783" i="2"/>
  <c r="F1782" i="2"/>
  <c r="D1782" i="2"/>
  <c r="F1781" i="2"/>
  <c r="D1781" i="2"/>
  <c r="F1780" i="2"/>
  <c r="D1780" i="2"/>
  <c r="F1779" i="2"/>
  <c r="D1779" i="2"/>
  <c r="F1778" i="2"/>
  <c r="D1778" i="2"/>
  <c r="F1777" i="2"/>
  <c r="D1777" i="2"/>
  <c r="F1776" i="2"/>
  <c r="D1776" i="2"/>
  <c r="F1775" i="2"/>
  <c r="D1775" i="2"/>
  <c r="F1774" i="2"/>
  <c r="D1774" i="2"/>
  <c r="F1773" i="2"/>
  <c r="D1773" i="2"/>
  <c r="F1772" i="2"/>
  <c r="D1772" i="2"/>
  <c r="F1771" i="2"/>
  <c r="D1771" i="2"/>
  <c r="F1770" i="2"/>
  <c r="D1770" i="2"/>
  <c r="F1769" i="2"/>
  <c r="D1769" i="2"/>
  <c r="F1768" i="2"/>
  <c r="D1768" i="2"/>
  <c r="F1767" i="2"/>
  <c r="D1767" i="2"/>
  <c r="F1766" i="2"/>
  <c r="D1766" i="2"/>
  <c r="F1765" i="2"/>
  <c r="D1765" i="2"/>
  <c r="F1764" i="2"/>
  <c r="D1764" i="2"/>
  <c r="F1763" i="2"/>
  <c r="D1763" i="2"/>
  <c r="F1762" i="2"/>
  <c r="D1762" i="2"/>
  <c r="F1761" i="2"/>
  <c r="D1761" i="2"/>
  <c r="F1760" i="2"/>
  <c r="D1760" i="2"/>
  <c r="F1759" i="2"/>
  <c r="D1759" i="2"/>
  <c r="F1758" i="2"/>
  <c r="D1758" i="2"/>
  <c r="F1757" i="2"/>
  <c r="D1757" i="2"/>
  <c r="F1756" i="2"/>
  <c r="D1756" i="2"/>
  <c r="F1755" i="2"/>
  <c r="D1755" i="2"/>
  <c r="F1754" i="2"/>
  <c r="D1754" i="2"/>
  <c r="F1753" i="2"/>
  <c r="D1753" i="2"/>
  <c r="F1752" i="2"/>
  <c r="D1752" i="2"/>
  <c r="F1751" i="2"/>
  <c r="D1751" i="2"/>
  <c r="F1750" i="2"/>
  <c r="D1750" i="2"/>
  <c r="F1749" i="2"/>
  <c r="D1749" i="2"/>
  <c r="F1748" i="2"/>
  <c r="D1748" i="2"/>
  <c r="F1747" i="2"/>
  <c r="D1747" i="2"/>
  <c r="F1746" i="2"/>
  <c r="D1746" i="2"/>
  <c r="F1745" i="2"/>
  <c r="D1745" i="2"/>
  <c r="F1744" i="2"/>
  <c r="D1744" i="2"/>
  <c r="F1743" i="2"/>
  <c r="D1743" i="2"/>
  <c r="F1742" i="2"/>
  <c r="D1742" i="2"/>
  <c r="F1741" i="2"/>
  <c r="D1741" i="2"/>
  <c r="F1740" i="2"/>
  <c r="D1740" i="2"/>
  <c r="F1739" i="2"/>
  <c r="D1739" i="2"/>
  <c r="F1738" i="2"/>
  <c r="D1738" i="2"/>
  <c r="F1737" i="2"/>
  <c r="D1737" i="2"/>
  <c r="F1736" i="2"/>
  <c r="D1736" i="2"/>
  <c r="F1735" i="2"/>
  <c r="D1735" i="2"/>
  <c r="F1734" i="2"/>
  <c r="D1734" i="2"/>
  <c r="F1733" i="2"/>
  <c r="D1733" i="2"/>
  <c r="F1732" i="2"/>
  <c r="D1732" i="2"/>
  <c r="F1731" i="2"/>
  <c r="D1731" i="2"/>
  <c r="F1730" i="2"/>
  <c r="D1730" i="2"/>
  <c r="F1729" i="2"/>
  <c r="D1729" i="2"/>
  <c r="F1728" i="2"/>
  <c r="D1728" i="2"/>
  <c r="F1727" i="2"/>
  <c r="D1727" i="2"/>
  <c r="F1726" i="2"/>
  <c r="D1726" i="2"/>
  <c r="F1725" i="2"/>
  <c r="D1725" i="2"/>
  <c r="F1724" i="2"/>
  <c r="D1724" i="2"/>
  <c r="F1723" i="2"/>
  <c r="D1723" i="2"/>
  <c r="F1722" i="2"/>
  <c r="D1722" i="2"/>
  <c r="F1721" i="2"/>
  <c r="D1721" i="2"/>
  <c r="F1720" i="2"/>
  <c r="D1720" i="2"/>
  <c r="F1719" i="2"/>
  <c r="D1719" i="2"/>
  <c r="F1718" i="2"/>
  <c r="D1718" i="2"/>
  <c r="F1717" i="2"/>
  <c r="D1717" i="2"/>
  <c r="F1716" i="2"/>
  <c r="D1716" i="2"/>
  <c r="F1715" i="2"/>
  <c r="D1715" i="2"/>
  <c r="F1714" i="2"/>
  <c r="D1714" i="2"/>
  <c r="F1713" i="2"/>
  <c r="D1713" i="2"/>
  <c r="F1712" i="2"/>
  <c r="D1712" i="2"/>
  <c r="F1711" i="2"/>
  <c r="D1711" i="2"/>
  <c r="F1710" i="2"/>
  <c r="D1710" i="2"/>
  <c r="F1709" i="2"/>
  <c r="D1709" i="2"/>
  <c r="F1708" i="2"/>
  <c r="D1708" i="2"/>
  <c r="F1707" i="2"/>
  <c r="D1707" i="2"/>
  <c r="F1706" i="2"/>
  <c r="D1706" i="2"/>
  <c r="F1705" i="2"/>
  <c r="D1705" i="2"/>
  <c r="F1704" i="2"/>
  <c r="D1704" i="2"/>
  <c r="F1703" i="2"/>
  <c r="D1703" i="2"/>
  <c r="F1702" i="2"/>
  <c r="D1702" i="2"/>
  <c r="F1701" i="2"/>
  <c r="D1701" i="2"/>
  <c r="F1700" i="2"/>
  <c r="D1700" i="2"/>
  <c r="F1699" i="2"/>
  <c r="D1699" i="2"/>
  <c r="F1698" i="2"/>
  <c r="D1698" i="2"/>
  <c r="F1697" i="2"/>
  <c r="D1697" i="2"/>
  <c r="F1696" i="2"/>
  <c r="D1696" i="2"/>
  <c r="F1695" i="2"/>
  <c r="D1695" i="2"/>
  <c r="F1694" i="2"/>
  <c r="D1694" i="2"/>
  <c r="F1693" i="2"/>
  <c r="D1693" i="2"/>
  <c r="F1692" i="2"/>
  <c r="D1692" i="2"/>
  <c r="F1691" i="2"/>
  <c r="D1691" i="2"/>
  <c r="F1690" i="2"/>
  <c r="D1690" i="2"/>
  <c r="F1689" i="2"/>
  <c r="D1689" i="2"/>
  <c r="F1688" i="2"/>
  <c r="D1688" i="2"/>
  <c r="F1687" i="2"/>
  <c r="D1687" i="2"/>
  <c r="F1686" i="2"/>
  <c r="D1686" i="2"/>
  <c r="F1685" i="2"/>
  <c r="D1685" i="2"/>
  <c r="F1684" i="2"/>
  <c r="D1684" i="2"/>
  <c r="F1683" i="2"/>
  <c r="D1683" i="2"/>
  <c r="F1682" i="2"/>
  <c r="D1682" i="2"/>
  <c r="F1681" i="2"/>
  <c r="D1681" i="2"/>
  <c r="F1680" i="2"/>
  <c r="D1680" i="2"/>
  <c r="F1679" i="2"/>
  <c r="D1679" i="2"/>
  <c r="F1678" i="2"/>
  <c r="D1678" i="2"/>
  <c r="F1677" i="2"/>
  <c r="D1677" i="2"/>
  <c r="F1676" i="2"/>
  <c r="D1676" i="2"/>
  <c r="F1675" i="2"/>
  <c r="D1675" i="2"/>
  <c r="F1674" i="2"/>
  <c r="D1674" i="2"/>
  <c r="F1673" i="2"/>
  <c r="D1673" i="2"/>
  <c r="F1672" i="2"/>
  <c r="D1672" i="2"/>
  <c r="F1671" i="2"/>
  <c r="D1671" i="2"/>
  <c r="F1670" i="2"/>
  <c r="D1670" i="2"/>
  <c r="F1669" i="2"/>
  <c r="D1669" i="2"/>
  <c r="F1668" i="2"/>
  <c r="D1668" i="2"/>
  <c r="F1667" i="2"/>
  <c r="D1667" i="2"/>
  <c r="F1666" i="2"/>
  <c r="D1666" i="2"/>
  <c r="F1665" i="2"/>
  <c r="D1665" i="2"/>
  <c r="F1664" i="2"/>
  <c r="D1664" i="2"/>
  <c r="F1663" i="2"/>
  <c r="D1663" i="2"/>
  <c r="F1662" i="2"/>
  <c r="D1662" i="2"/>
  <c r="F1661" i="2"/>
  <c r="D1661" i="2"/>
  <c r="F1660" i="2"/>
  <c r="D1660" i="2"/>
  <c r="F1659" i="2"/>
  <c r="D1659" i="2"/>
  <c r="F1658" i="2"/>
  <c r="D1658" i="2"/>
  <c r="F1657" i="2"/>
  <c r="D1657" i="2"/>
  <c r="F1656" i="2"/>
  <c r="D1656" i="2"/>
  <c r="F1655" i="2"/>
  <c r="D1655" i="2"/>
  <c r="F1654" i="2"/>
  <c r="D1654" i="2"/>
  <c r="F1653" i="2"/>
  <c r="D1653" i="2"/>
  <c r="F1652" i="2"/>
  <c r="D1652" i="2"/>
  <c r="F1651" i="2"/>
  <c r="D1651" i="2"/>
  <c r="F1650" i="2"/>
  <c r="D1650" i="2"/>
  <c r="F1649" i="2"/>
  <c r="D1649" i="2"/>
  <c r="F1648" i="2"/>
  <c r="D1648" i="2"/>
  <c r="F1647" i="2"/>
  <c r="D1647" i="2"/>
  <c r="F1646" i="2"/>
  <c r="D1646" i="2"/>
  <c r="F1645" i="2"/>
  <c r="D1645" i="2"/>
  <c r="F1644" i="2"/>
  <c r="D1644" i="2"/>
  <c r="F1643" i="2"/>
  <c r="D1643" i="2"/>
  <c r="F1642" i="2"/>
  <c r="D1642" i="2"/>
  <c r="F1641" i="2"/>
  <c r="D1641" i="2"/>
  <c r="F1640" i="2"/>
  <c r="D1640" i="2"/>
  <c r="F1639" i="2"/>
  <c r="D1639" i="2"/>
  <c r="F1638" i="2"/>
  <c r="D1638" i="2"/>
  <c r="F1637" i="2"/>
  <c r="D1637" i="2"/>
  <c r="F1636" i="2"/>
  <c r="D1636" i="2"/>
  <c r="F1635" i="2"/>
  <c r="D1635" i="2"/>
  <c r="F1634" i="2"/>
  <c r="D1634" i="2"/>
  <c r="F1633" i="2"/>
  <c r="D1633" i="2"/>
  <c r="F1632" i="2"/>
  <c r="D1632" i="2"/>
  <c r="F1631" i="2"/>
  <c r="D1631" i="2"/>
  <c r="F1630" i="2"/>
  <c r="D1630" i="2"/>
  <c r="F1629" i="2"/>
  <c r="D1629" i="2"/>
  <c r="F1628" i="2"/>
  <c r="D1628" i="2"/>
  <c r="F1627" i="2"/>
  <c r="D1627" i="2"/>
  <c r="F1626" i="2"/>
  <c r="D1626" i="2"/>
  <c r="F1625" i="2"/>
  <c r="D1625" i="2"/>
  <c r="F1624" i="2"/>
  <c r="D1624" i="2"/>
  <c r="F1623" i="2"/>
  <c r="D1623" i="2"/>
  <c r="F1622" i="2"/>
  <c r="D1622" i="2"/>
  <c r="F1621" i="2"/>
  <c r="D1621" i="2"/>
  <c r="F1620" i="2"/>
  <c r="D1620" i="2"/>
  <c r="F1619" i="2"/>
  <c r="D1619" i="2"/>
  <c r="F1618" i="2"/>
  <c r="D1618" i="2"/>
  <c r="F1617" i="2"/>
  <c r="D1617" i="2"/>
  <c r="F1616" i="2"/>
  <c r="D1616" i="2"/>
  <c r="F1615" i="2"/>
  <c r="D1615" i="2"/>
  <c r="F1614" i="2"/>
  <c r="D1614" i="2"/>
  <c r="F1613" i="2"/>
  <c r="D1613" i="2"/>
  <c r="F1612" i="2"/>
  <c r="D1612" i="2"/>
  <c r="F1611" i="2"/>
  <c r="D1611" i="2"/>
  <c r="F1610" i="2"/>
  <c r="D1610" i="2"/>
  <c r="F1609" i="2"/>
  <c r="D1609" i="2"/>
  <c r="F1608" i="2"/>
  <c r="D1608" i="2"/>
  <c r="F1607" i="2"/>
  <c r="D1607" i="2"/>
  <c r="F1606" i="2"/>
  <c r="D1606" i="2"/>
  <c r="F1605" i="2"/>
  <c r="D1605" i="2"/>
  <c r="F1604" i="2"/>
  <c r="D1604" i="2"/>
  <c r="F1603" i="2"/>
  <c r="D1603" i="2"/>
  <c r="F1602" i="2"/>
  <c r="D1602" i="2"/>
  <c r="F1601" i="2"/>
  <c r="D1601" i="2"/>
  <c r="F1600" i="2"/>
  <c r="D1600" i="2"/>
  <c r="F1599" i="2"/>
  <c r="D1599" i="2"/>
  <c r="F1598" i="2"/>
  <c r="D1598" i="2"/>
  <c r="F1597" i="2"/>
  <c r="D1597" i="2"/>
  <c r="F1596" i="2"/>
  <c r="D1596" i="2"/>
  <c r="F1595" i="2"/>
  <c r="D1595" i="2"/>
  <c r="F1594" i="2"/>
  <c r="D1594" i="2"/>
  <c r="F1593" i="2"/>
  <c r="D1593" i="2"/>
  <c r="F1592" i="2"/>
  <c r="D1592" i="2"/>
  <c r="F1591" i="2"/>
  <c r="D1591" i="2"/>
  <c r="F1590" i="2"/>
  <c r="D1590" i="2"/>
  <c r="F1589" i="2"/>
  <c r="D1589" i="2"/>
  <c r="F1588" i="2"/>
  <c r="D1588" i="2"/>
  <c r="F1587" i="2"/>
  <c r="D1587" i="2"/>
  <c r="F1586" i="2"/>
  <c r="D1586" i="2"/>
  <c r="F1585" i="2"/>
  <c r="D1585" i="2"/>
  <c r="F1584" i="2"/>
  <c r="D1584" i="2"/>
  <c r="F1583" i="2"/>
  <c r="D1583" i="2"/>
  <c r="F1582" i="2"/>
  <c r="D1582" i="2"/>
  <c r="F1581" i="2"/>
  <c r="D1581" i="2"/>
  <c r="F1580" i="2"/>
  <c r="D1580" i="2"/>
  <c r="F1579" i="2"/>
  <c r="D1579" i="2"/>
  <c r="F1578" i="2"/>
  <c r="D1578" i="2"/>
  <c r="F1577" i="2"/>
  <c r="D1577" i="2"/>
  <c r="F1576" i="2"/>
  <c r="D1576" i="2"/>
  <c r="F1575" i="2"/>
  <c r="D1575" i="2"/>
  <c r="F1574" i="2"/>
  <c r="D1574" i="2"/>
  <c r="F1573" i="2"/>
  <c r="D1573" i="2"/>
  <c r="F1572" i="2"/>
  <c r="D1572" i="2"/>
  <c r="F1571" i="2"/>
  <c r="D1571" i="2"/>
  <c r="F1570" i="2"/>
  <c r="D1570" i="2"/>
  <c r="F1569" i="2"/>
  <c r="D1569" i="2"/>
  <c r="F1568" i="2"/>
  <c r="D1568" i="2"/>
  <c r="F1567" i="2"/>
  <c r="D1567" i="2"/>
  <c r="F1566" i="2"/>
  <c r="D1566" i="2"/>
  <c r="F1565" i="2"/>
  <c r="D1565" i="2"/>
  <c r="F1564" i="2"/>
  <c r="D1564" i="2"/>
  <c r="F1563" i="2"/>
  <c r="D1563" i="2"/>
  <c r="F1562" i="2"/>
  <c r="D1562" i="2"/>
  <c r="F1561" i="2"/>
  <c r="D1561" i="2"/>
  <c r="F1560" i="2"/>
  <c r="D1560" i="2"/>
  <c r="F1559" i="2"/>
  <c r="D1559" i="2"/>
  <c r="F1558" i="2"/>
  <c r="D1558" i="2"/>
  <c r="F1557" i="2"/>
  <c r="D1557" i="2"/>
  <c r="F1556" i="2"/>
  <c r="D1556" i="2"/>
  <c r="F1555" i="2"/>
  <c r="D1555" i="2"/>
  <c r="F1554" i="2"/>
  <c r="D1554" i="2"/>
  <c r="F1553" i="2"/>
  <c r="D1553" i="2"/>
  <c r="F1552" i="2"/>
  <c r="D1552" i="2"/>
  <c r="F1551" i="2"/>
  <c r="D1551" i="2"/>
  <c r="F1550" i="2"/>
  <c r="D1550" i="2"/>
  <c r="F1549" i="2"/>
  <c r="D1549" i="2"/>
  <c r="F1548" i="2"/>
  <c r="D1548" i="2"/>
  <c r="F1547" i="2"/>
  <c r="D1547" i="2"/>
  <c r="F1546" i="2"/>
  <c r="D1546" i="2"/>
  <c r="F1545" i="2"/>
  <c r="D1545" i="2"/>
  <c r="F1544" i="2"/>
  <c r="D1544" i="2"/>
  <c r="F1543" i="2"/>
  <c r="D1543" i="2"/>
  <c r="F1542" i="2"/>
  <c r="D1542" i="2"/>
  <c r="F1541" i="2"/>
  <c r="D1541" i="2"/>
  <c r="F1540" i="2"/>
  <c r="D1540" i="2"/>
  <c r="F1539" i="2"/>
  <c r="D1539" i="2"/>
  <c r="F1538" i="2"/>
  <c r="D1538" i="2"/>
  <c r="F1537" i="2"/>
  <c r="D1537" i="2"/>
  <c r="F1536" i="2"/>
  <c r="D1536" i="2"/>
  <c r="F1535" i="2"/>
  <c r="D1535" i="2"/>
  <c r="F1534" i="2"/>
  <c r="D1534" i="2"/>
  <c r="F1533" i="2"/>
  <c r="D1533" i="2"/>
  <c r="F1532" i="2"/>
  <c r="D1532" i="2"/>
  <c r="F1531" i="2"/>
  <c r="D1531" i="2"/>
  <c r="F1530" i="2"/>
  <c r="D1530" i="2"/>
  <c r="F1529" i="2"/>
  <c r="D1529" i="2"/>
  <c r="F1528" i="2"/>
  <c r="D1528" i="2"/>
  <c r="F1527" i="2"/>
  <c r="D1527" i="2"/>
  <c r="F1526" i="2"/>
  <c r="D1526" i="2"/>
  <c r="F1525" i="2"/>
  <c r="D1525" i="2"/>
  <c r="F1524" i="2"/>
  <c r="D1524" i="2"/>
  <c r="F1523" i="2"/>
  <c r="D1523" i="2"/>
  <c r="F1522" i="2"/>
  <c r="D1522" i="2"/>
  <c r="F1521" i="2"/>
  <c r="D1521" i="2"/>
  <c r="F1520" i="2"/>
  <c r="D1520" i="2"/>
  <c r="F1519" i="2"/>
  <c r="D1519" i="2"/>
  <c r="F1518" i="2"/>
  <c r="D1518" i="2"/>
  <c r="F1517" i="2"/>
  <c r="D1517" i="2"/>
  <c r="F1516" i="2"/>
  <c r="D1516" i="2"/>
  <c r="F1515" i="2"/>
  <c r="D1515" i="2"/>
  <c r="F1514" i="2"/>
  <c r="D1514" i="2"/>
  <c r="F1513" i="2"/>
  <c r="D1513" i="2"/>
  <c r="F1512" i="2"/>
  <c r="D1512" i="2"/>
  <c r="F1511" i="2"/>
  <c r="D1511" i="2"/>
  <c r="F1510" i="2"/>
  <c r="D1510" i="2"/>
  <c r="F1509" i="2"/>
  <c r="D1509" i="2"/>
  <c r="F1508" i="2"/>
  <c r="D1508" i="2"/>
  <c r="F1507" i="2"/>
  <c r="D1507" i="2"/>
  <c r="F1506" i="2"/>
  <c r="D1506" i="2"/>
  <c r="F1505" i="2"/>
  <c r="D1505" i="2"/>
  <c r="F1504" i="2"/>
  <c r="D1504" i="2"/>
  <c r="F1503" i="2"/>
  <c r="D1503" i="2"/>
  <c r="F1502" i="2"/>
  <c r="D1502" i="2"/>
  <c r="F1501" i="2"/>
  <c r="D1501" i="2"/>
  <c r="F1500" i="2"/>
  <c r="D1500" i="2"/>
  <c r="F1499" i="2"/>
  <c r="D1499" i="2"/>
  <c r="F1498" i="2"/>
  <c r="D1498" i="2"/>
  <c r="F1497" i="2"/>
  <c r="D1497" i="2"/>
  <c r="F1496" i="2"/>
  <c r="D1496" i="2"/>
  <c r="F1495" i="2"/>
  <c r="D1495" i="2"/>
  <c r="F1494" i="2"/>
  <c r="D1494" i="2"/>
  <c r="F1493" i="2"/>
  <c r="D1493" i="2"/>
  <c r="F1492" i="2"/>
  <c r="D1492" i="2"/>
  <c r="F1491" i="2"/>
  <c r="D1491" i="2"/>
  <c r="F1490" i="2"/>
  <c r="D1490" i="2"/>
  <c r="F1489" i="2"/>
  <c r="D1489" i="2"/>
  <c r="F1488" i="2"/>
  <c r="D1488" i="2"/>
  <c r="F1487" i="2"/>
  <c r="D1487" i="2"/>
  <c r="F1486" i="2"/>
  <c r="D1486" i="2"/>
  <c r="F1485" i="2"/>
  <c r="D1485" i="2"/>
  <c r="F1484" i="2"/>
  <c r="D1484" i="2"/>
  <c r="F1483" i="2"/>
  <c r="D1483" i="2"/>
  <c r="F1482" i="2"/>
  <c r="D1482" i="2"/>
  <c r="F1481" i="2"/>
  <c r="D1481" i="2"/>
  <c r="F1480" i="2"/>
  <c r="D1480" i="2"/>
  <c r="F1479" i="2"/>
  <c r="D1479" i="2"/>
  <c r="F1478" i="2"/>
  <c r="D1478" i="2"/>
  <c r="F1477" i="2"/>
  <c r="D1477" i="2"/>
  <c r="F1476" i="2"/>
  <c r="D1476" i="2"/>
  <c r="F1475" i="2"/>
  <c r="D1475" i="2"/>
  <c r="F1474" i="2"/>
  <c r="D1474" i="2"/>
  <c r="F1473" i="2"/>
  <c r="D1473" i="2"/>
  <c r="F1472" i="2"/>
  <c r="D1472" i="2"/>
  <c r="F1471" i="2"/>
  <c r="D1471" i="2"/>
  <c r="F1470" i="2"/>
  <c r="D1470" i="2"/>
  <c r="F1469" i="2"/>
  <c r="D1469" i="2"/>
  <c r="F1468" i="2"/>
  <c r="D1468" i="2"/>
  <c r="F1467" i="2"/>
  <c r="D1467" i="2"/>
  <c r="F1466" i="2"/>
  <c r="D1466" i="2"/>
  <c r="F1465" i="2"/>
  <c r="D1465" i="2"/>
  <c r="F1464" i="2"/>
  <c r="D1464" i="2"/>
  <c r="F1463" i="2"/>
  <c r="D1463" i="2"/>
  <c r="F1462" i="2"/>
  <c r="D1462" i="2"/>
  <c r="F1461" i="2"/>
  <c r="D1461" i="2"/>
  <c r="F1460" i="2"/>
  <c r="D1460" i="2"/>
  <c r="F1459" i="2"/>
  <c r="D1459" i="2"/>
  <c r="F1458" i="2"/>
  <c r="D1458" i="2"/>
  <c r="F1457" i="2"/>
  <c r="D1457" i="2"/>
  <c r="F1456" i="2"/>
  <c r="D1456" i="2"/>
  <c r="F1455" i="2"/>
  <c r="D1455" i="2"/>
  <c r="F1454" i="2"/>
  <c r="D1454" i="2"/>
  <c r="F1453" i="2"/>
  <c r="D1453" i="2"/>
  <c r="F1452" i="2"/>
  <c r="D1452" i="2"/>
  <c r="F1451" i="2"/>
  <c r="D1451" i="2"/>
  <c r="F1450" i="2"/>
  <c r="D1450" i="2"/>
  <c r="F1449" i="2"/>
  <c r="D1449" i="2"/>
  <c r="F1448" i="2"/>
  <c r="D1448" i="2"/>
  <c r="F1447" i="2"/>
  <c r="D1447" i="2"/>
  <c r="F1446" i="2"/>
  <c r="D1446" i="2"/>
  <c r="F1445" i="2"/>
  <c r="D1445" i="2"/>
  <c r="F1444" i="2"/>
  <c r="D1444" i="2"/>
  <c r="F1443" i="2"/>
  <c r="D1443" i="2"/>
  <c r="F1442" i="2"/>
  <c r="D1442" i="2"/>
  <c r="F1441" i="2"/>
  <c r="D1441" i="2"/>
  <c r="F1440" i="2"/>
  <c r="D1440" i="2"/>
  <c r="F1439" i="2"/>
  <c r="D1439" i="2"/>
  <c r="F1438" i="2"/>
  <c r="D1438" i="2"/>
  <c r="F1437" i="2"/>
  <c r="D1437" i="2"/>
  <c r="F1436" i="2"/>
  <c r="D1436" i="2"/>
  <c r="F1435" i="2"/>
  <c r="D1435" i="2"/>
  <c r="F1434" i="2"/>
  <c r="D1434" i="2"/>
  <c r="F1433" i="2"/>
  <c r="D1433" i="2"/>
  <c r="F1432" i="2"/>
  <c r="D1432" i="2"/>
  <c r="F1431" i="2"/>
  <c r="D1431" i="2"/>
  <c r="F1430" i="2"/>
  <c r="D1430" i="2"/>
  <c r="F1429" i="2"/>
  <c r="D1429" i="2"/>
  <c r="F1428" i="2"/>
  <c r="D1428" i="2"/>
  <c r="F1427" i="2"/>
  <c r="D1427" i="2"/>
  <c r="F1426" i="2"/>
  <c r="D1426" i="2"/>
  <c r="F1425" i="2"/>
  <c r="D1425" i="2"/>
  <c r="F1424" i="2"/>
  <c r="D1424" i="2"/>
  <c r="F1423" i="2"/>
  <c r="D1423" i="2"/>
  <c r="F1422" i="2"/>
  <c r="D1422" i="2"/>
  <c r="F1421" i="2"/>
  <c r="D1421" i="2"/>
  <c r="F1420" i="2"/>
  <c r="D1420" i="2"/>
  <c r="F1419" i="2"/>
  <c r="D1419" i="2"/>
  <c r="F1418" i="2"/>
  <c r="D1418" i="2"/>
  <c r="F1417" i="2"/>
  <c r="D1417" i="2"/>
  <c r="F1416" i="2"/>
  <c r="D1416" i="2"/>
  <c r="F1415" i="2"/>
  <c r="D1415" i="2"/>
  <c r="F1414" i="2"/>
  <c r="D1414" i="2"/>
  <c r="F1413" i="2"/>
  <c r="D1413" i="2"/>
  <c r="F1412" i="2"/>
  <c r="D1412" i="2"/>
  <c r="F1411" i="2"/>
  <c r="D1411" i="2"/>
  <c r="F1410" i="2"/>
  <c r="D1410" i="2"/>
  <c r="F1409" i="2"/>
  <c r="D1409" i="2"/>
  <c r="F1408" i="2"/>
  <c r="D1408" i="2"/>
  <c r="F1407" i="2"/>
  <c r="D1407" i="2"/>
  <c r="F1406" i="2"/>
  <c r="D1406" i="2"/>
  <c r="F1405" i="2"/>
  <c r="D1405" i="2"/>
  <c r="F1404" i="2"/>
  <c r="D1404" i="2"/>
  <c r="F1403" i="2"/>
  <c r="D1403" i="2"/>
  <c r="F1402" i="2"/>
  <c r="D1402" i="2"/>
  <c r="F1401" i="2"/>
  <c r="D1401" i="2"/>
  <c r="F1400" i="2"/>
  <c r="D1400" i="2"/>
  <c r="F1399" i="2"/>
  <c r="D1399" i="2"/>
  <c r="F1398" i="2"/>
  <c r="D1398" i="2"/>
  <c r="F1397" i="2"/>
  <c r="D1397" i="2"/>
  <c r="F1396" i="2"/>
  <c r="D1396" i="2"/>
  <c r="F1395" i="2"/>
  <c r="D1395" i="2"/>
  <c r="F1394" i="2"/>
  <c r="D1394" i="2"/>
  <c r="F1393" i="2"/>
  <c r="D1393" i="2"/>
  <c r="F1392" i="2"/>
  <c r="D1392" i="2"/>
  <c r="F1391" i="2"/>
  <c r="D1391" i="2"/>
  <c r="F1390" i="2"/>
  <c r="D1390" i="2"/>
  <c r="F1389" i="2"/>
  <c r="D1389" i="2"/>
  <c r="F1388" i="2"/>
  <c r="D1388" i="2"/>
  <c r="F1387" i="2"/>
  <c r="D1387" i="2"/>
  <c r="F1386" i="2"/>
  <c r="D1386" i="2"/>
  <c r="F1385" i="2"/>
  <c r="D1385" i="2"/>
  <c r="F1384" i="2"/>
  <c r="D1384" i="2"/>
  <c r="F1383" i="2"/>
  <c r="D1383" i="2"/>
  <c r="F1382" i="2"/>
  <c r="D1382" i="2"/>
  <c r="F1381" i="2"/>
  <c r="D1381" i="2"/>
  <c r="F1380" i="2"/>
  <c r="D1380" i="2"/>
  <c r="F1379" i="2"/>
  <c r="D1379" i="2"/>
  <c r="F1378" i="2"/>
  <c r="D1378" i="2"/>
  <c r="F1377" i="2"/>
  <c r="D1377" i="2"/>
  <c r="F1376" i="2"/>
  <c r="D1376" i="2"/>
  <c r="F1375" i="2"/>
  <c r="D1375" i="2"/>
  <c r="F1374" i="2"/>
  <c r="D1374" i="2"/>
  <c r="F1373" i="2"/>
  <c r="D1373" i="2"/>
  <c r="F1372" i="2"/>
  <c r="D1372" i="2"/>
  <c r="F1371" i="2"/>
  <c r="D1371" i="2"/>
  <c r="F1370" i="2"/>
  <c r="D1370" i="2"/>
  <c r="F1369" i="2"/>
  <c r="D1369" i="2"/>
  <c r="F1368" i="2"/>
  <c r="D1368" i="2"/>
  <c r="F1367" i="2"/>
  <c r="D1367" i="2"/>
  <c r="F1366" i="2"/>
  <c r="D1366" i="2"/>
  <c r="F1365" i="2"/>
  <c r="D1365" i="2"/>
  <c r="F1364" i="2"/>
  <c r="D1364" i="2"/>
  <c r="F1363" i="2"/>
  <c r="D1363" i="2"/>
  <c r="F1362" i="2"/>
  <c r="D1362" i="2"/>
  <c r="F1361" i="2"/>
  <c r="D1361" i="2"/>
  <c r="F1360" i="2"/>
  <c r="D1360" i="2"/>
  <c r="F1359" i="2"/>
  <c r="D1359" i="2"/>
  <c r="F1358" i="2"/>
  <c r="D1358" i="2"/>
  <c r="F1357" i="2"/>
  <c r="D1357" i="2"/>
  <c r="F1356" i="2"/>
  <c r="D1356" i="2"/>
  <c r="F1355" i="2"/>
  <c r="D1355" i="2"/>
  <c r="F1354" i="2"/>
  <c r="D1354" i="2"/>
  <c r="F1353" i="2"/>
  <c r="D1353" i="2"/>
  <c r="F1352" i="2"/>
  <c r="D1352" i="2"/>
  <c r="F1351" i="2"/>
  <c r="D1351" i="2"/>
  <c r="F1350" i="2"/>
  <c r="D1350" i="2"/>
  <c r="F1349" i="2"/>
  <c r="D1349" i="2"/>
  <c r="F1348" i="2"/>
  <c r="D1348" i="2"/>
  <c r="F1347" i="2"/>
  <c r="D1347" i="2"/>
  <c r="F1346" i="2"/>
  <c r="D1346" i="2"/>
  <c r="F1345" i="2"/>
  <c r="D1345" i="2"/>
  <c r="F1344" i="2"/>
  <c r="D1344" i="2"/>
  <c r="F1343" i="2"/>
  <c r="D1343" i="2"/>
  <c r="F1342" i="2"/>
  <c r="D1342" i="2"/>
  <c r="F1341" i="2"/>
  <c r="D1341" i="2"/>
  <c r="F1340" i="2"/>
  <c r="D1340" i="2"/>
  <c r="F1339" i="2"/>
  <c r="D1339" i="2"/>
  <c r="F1338" i="2"/>
  <c r="D1338" i="2"/>
  <c r="F1337" i="2"/>
  <c r="D1337" i="2"/>
  <c r="F1336" i="2"/>
  <c r="D1336" i="2"/>
  <c r="F1335" i="2"/>
  <c r="D1335" i="2"/>
  <c r="F1334" i="2"/>
  <c r="D1334" i="2"/>
  <c r="F1333" i="2"/>
  <c r="D1333" i="2"/>
  <c r="F1332" i="2"/>
  <c r="D1332" i="2"/>
  <c r="F1331" i="2"/>
  <c r="D1331" i="2"/>
  <c r="F1330" i="2"/>
  <c r="D1330" i="2"/>
  <c r="F1329" i="2"/>
  <c r="D1329" i="2"/>
  <c r="F1328" i="2"/>
  <c r="D1328" i="2"/>
  <c r="F1327" i="2"/>
  <c r="D1327" i="2"/>
  <c r="F1326" i="2"/>
  <c r="D1326" i="2"/>
  <c r="F1325" i="2"/>
  <c r="D1325" i="2"/>
  <c r="F1324" i="2"/>
  <c r="D1324" i="2"/>
  <c r="F1323" i="2"/>
  <c r="D1323" i="2"/>
  <c r="F1322" i="2"/>
  <c r="D1322" i="2"/>
  <c r="F1321" i="2"/>
  <c r="D1321" i="2"/>
  <c r="F1320" i="2"/>
  <c r="D1320" i="2"/>
  <c r="F1319" i="2"/>
  <c r="D1319" i="2"/>
  <c r="F1318" i="2"/>
  <c r="D1318" i="2"/>
  <c r="F1317" i="2"/>
  <c r="D1317" i="2"/>
  <c r="F1316" i="2"/>
  <c r="D1316" i="2"/>
  <c r="F1315" i="2"/>
  <c r="D1315" i="2"/>
  <c r="F1314" i="2"/>
  <c r="D1314" i="2"/>
  <c r="F1313" i="2"/>
  <c r="D1313" i="2"/>
  <c r="F1312" i="2"/>
  <c r="D1312" i="2"/>
  <c r="F1311" i="2"/>
  <c r="D1311" i="2"/>
  <c r="F1310" i="2"/>
  <c r="D1310" i="2"/>
  <c r="F1309" i="2"/>
  <c r="D1309" i="2"/>
  <c r="F1308" i="2"/>
  <c r="D1308" i="2"/>
  <c r="F1307" i="2"/>
  <c r="D1307" i="2"/>
  <c r="F1306" i="2"/>
  <c r="D1306" i="2"/>
  <c r="F1305" i="2"/>
  <c r="D1305" i="2"/>
  <c r="F1304" i="2"/>
  <c r="D1304" i="2"/>
  <c r="F1303" i="2"/>
  <c r="D1303" i="2"/>
  <c r="F1302" i="2"/>
  <c r="D1302" i="2"/>
  <c r="F1301" i="2"/>
  <c r="D1301" i="2"/>
  <c r="F1300" i="2"/>
  <c r="D1300" i="2"/>
  <c r="F1299" i="2"/>
  <c r="D1299" i="2"/>
  <c r="F1298" i="2"/>
  <c r="D1298" i="2"/>
  <c r="F1297" i="2"/>
  <c r="D1297" i="2"/>
  <c r="F1296" i="2"/>
  <c r="D1296" i="2"/>
  <c r="F1295" i="2"/>
  <c r="D1295" i="2"/>
  <c r="F1294" i="2"/>
  <c r="D1294" i="2"/>
  <c r="F1293" i="2"/>
  <c r="D1293" i="2"/>
  <c r="F1292" i="2"/>
  <c r="D1292" i="2"/>
  <c r="F1291" i="2"/>
  <c r="D1291" i="2"/>
  <c r="F1290" i="2"/>
  <c r="D1290" i="2"/>
  <c r="F1289" i="2"/>
  <c r="D1289" i="2"/>
  <c r="F1288" i="2"/>
  <c r="D1288" i="2"/>
  <c r="F1287" i="2"/>
  <c r="D1287" i="2"/>
  <c r="F1286" i="2"/>
  <c r="D1286" i="2"/>
  <c r="F1285" i="2"/>
  <c r="D1285" i="2"/>
  <c r="F1284" i="2"/>
  <c r="D1284" i="2"/>
  <c r="F1283" i="2"/>
  <c r="D1283" i="2"/>
  <c r="F1282" i="2"/>
  <c r="D1282" i="2"/>
  <c r="F1281" i="2"/>
  <c r="D1281" i="2"/>
  <c r="F1280" i="2"/>
  <c r="D1280" i="2"/>
  <c r="F1279" i="2"/>
  <c r="D1279" i="2"/>
  <c r="F1278" i="2"/>
  <c r="D1278" i="2"/>
  <c r="F1277" i="2"/>
  <c r="D1277" i="2"/>
  <c r="F1276" i="2"/>
  <c r="D1276" i="2"/>
  <c r="F1275" i="2"/>
  <c r="D1275" i="2"/>
  <c r="F1274" i="2"/>
  <c r="D1274" i="2"/>
  <c r="F1273" i="2"/>
  <c r="D1273" i="2"/>
  <c r="F1272" i="2"/>
  <c r="D1272" i="2"/>
  <c r="F1271" i="2"/>
  <c r="D1271" i="2"/>
  <c r="F1270" i="2"/>
  <c r="D1270" i="2"/>
  <c r="F1269" i="2"/>
  <c r="D1269" i="2"/>
  <c r="F1268" i="2"/>
  <c r="D1268" i="2"/>
  <c r="F1267" i="2"/>
  <c r="D1267" i="2"/>
  <c r="F1266" i="2"/>
  <c r="D1266" i="2"/>
  <c r="F1265" i="2"/>
  <c r="D1265" i="2"/>
  <c r="F1264" i="2"/>
  <c r="D1264" i="2"/>
  <c r="F1263" i="2"/>
  <c r="D1263" i="2"/>
  <c r="F1262" i="2"/>
  <c r="D1262" i="2"/>
  <c r="F1261" i="2"/>
  <c r="D1261" i="2"/>
  <c r="F1260" i="2"/>
  <c r="D1260" i="2"/>
  <c r="F1259" i="2"/>
  <c r="D1259" i="2"/>
  <c r="F1258" i="2"/>
  <c r="D1258" i="2"/>
  <c r="F1257" i="2"/>
  <c r="D1257" i="2"/>
  <c r="F1256" i="2"/>
  <c r="D1256" i="2"/>
  <c r="F1255" i="2"/>
  <c r="D1255" i="2"/>
  <c r="F1254" i="2"/>
  <c r="D1254" i="2"/>
  <c r="F1253" i="2"/>
  <c r="D1253" i="2"/>
  <c r="F1252" i="2"/>
  <c r="D1252" i="2"/>
  <c r="F1251" i="2"/>
  <c r="D1251" i="2"/>
  <c r="F1250" i="2"/>
  <c r="D1250" i="2"/>
  <c r="F1249" i="2"/>
  <c r="D1249" i="2"/>
  <c r="F1248" i="2"/>
  <c r="D1248" i="2"/>
  <c r="F1247" i="2"/>
  <c r="D1247" i="2"/>
  <c r="F1246" i="2"/>
  <c r="D1246" i="2"/>
  <c r="F1245" i="2"/>
  <c r="D1245" i="2"/>
  <c r="F1244" i="2"/>
  <c r="D1244" i="2"/>
  <c r="F1243" i="2"/>
  <c r="D1243" i="2"/>
  <c r="F1242" i="2"/>
  <c r="D1242" i="2"/>
  <c r="F1241" i="2"/>
  <c r="D1241" i="2"/>
  <c r="F1240" i="2"/>
  <c r="D1240" i="2"/>
  <c r="F1239" i="2"/>
  <c r="D1239" i="2"/>
  <c r="F1238" i="2"/>
  <c r="D1238" i="2"/>
  <c r="F1237" i="2"/>
  <c r="D1237" i="2"/>
  <c r="F1236" i="2"/>
  <c r="D1236" i="2"/>
  <c r="F1235" i="2"/>
  <c r="D1235" i="2"/>
  <c r="F1234" i="2"/>
  <c r="D1234" i="2"/>
  <c r="F1233" i="2"/>
  <c r="D1233" i="2"/>
  <c r="F1232" i="2"/>
  <c r="D1232" i="2"/>
  <c r="F1231" i="2"/>
  <c r="D1231" i="2"/>
  <c r="F1230" i="2"/>
  <c r="D1230" i="2"/>
  <c r="F1229" i="2"/>
  <c r="D1229" i="2"/>
  <c r="F1228" i="2"/>
  <c r="D1228" i="2"/>
  <c r="F1227" i="2"/>
  <c r="D1227" i="2"/>
  <c r="F1226" i="2"/>
  <c r="D1226" i="2"/>
  <c r="F1225" i="2"/>
  <c r="D1225" i="2"/>
  <c r="F1224" i="2"/>
  <c r="D1224" i="2"/>
  <c r="F1223" i="2"/>
  <c r="D1223" i="2"/>
  <c r="F1222" i="2"/>
  <c r="D1222" i="2"/>
  <c r="F1221" i="2"/>
  <c r="D1221" i="2"/>
  <c r="F1220" i="2"/>
  <c r="D1220" i="2"/>
  <c r="F1219" i="2"/>
  <c r="D1219" i="2"/>
  <c r="F1218" i="2"/>
  <c r="D1218" i="2"/>
  <c r="F1217" i="2"/>
  <c r="D1217" i="2"/>
  <c r="F1216" i="2"/>
  <c r="D1216" i="2"/>
  <c r="F1215" i="2"/>
  <c r="D1215" i="2"/>
  <c r="F1214" i="2"/>
  <c r="D1214" i="2"/>
  <c r="F1213" i="2"/>
  <c r="D1213" i="2"/>
  <c r="F1212" i="2"/>
  <c r="D1212" i="2"/>
  <c r="F1211" i="2"/>
  <c r="D1211" i="2"/>
  <c r="F1210" i="2"/>
  <c r="D1210" i="2"/>
  <c r="F1209" i="2"/>
  <c r="D1209" i="2"/>
  <c r="F1208" i="2"/>
  <c r="D1208" i="2"/>
  <c r="F1207" i="2"/>
  <c r="D1207" i="2"/>
  <c r="F1206" i="2"/>
  <c r="D1206" i="2"/>
  <c r="F1205" i="2"/>
  <c r="D1205" i="2"/>
  <c r="F1204" i="2"/>
  <c r="D1204" i="2"/>
  <c r="F1203" i="2"/>
  <c r="D1203" i="2"/>
  <c r="F1202" i="2"/>
  <c r="D1202" i="2"/>
  <c r="F1201" i="2"/>
  <c r="D1201" i="2"/>
  <c r="F1200" i="2"/>
  <c r="D1200" i="2"/>
  <c r="F1199" i="2"/>
  <c r="D1199" i="2"/>
  <c r="F1198" i="2"/>
  <c r="D1198" i="2"/>
  <c r="F1197" i="2"/>
  <c r="D1197" i="2"/>
  <c r="F1196" i="2"/>
  <c r="D1196" i="2"/>
  <c r="F1195" i="2"/>
  <c r="D1195" i="2"/>
  <c r="F1194" i="2"/>
  <c r="D1194" i="2"/>
  <c r="F1193" i="2"/>
  <c r="D1193" i="2"/>
  <c r="F1192" i="2"/>
  <c r="D1192" i="2"/>
  <c r="F1191" i="2"/>
  <c r="D1191" i="2"/>
  <c r="F1190" i="2"/>
  <c r="D1190" i="2"/>
  <c r="F1189" i="2"/>
  <c r="D1189" i="2"/>
  <c r="F1188" i="2"/>
  <c r="D1188" i="2"/>
  <c r="F1187" i="2"/>
  <c r="D1187" i="2"/>
  <c r="F1186" i="2"/>
  <c r="D1186" i="2"/>
  <c r="F1185" i="2"/>
  <c r="D1185" i="2"/>
  <c r="F1184" i="2"/>
  <c r="D1184" i="2"/>
  <c r="F1183" i="2"/>
  <c r="D1183" i="2"/>
  <c r="F1182" i="2"/>
  <c r="D1182" i="2"/>
  <c r="F1181" i="2"/>
  <c r="D1181" i="2"/>
  <c r="F1180" i="2"/>
  <c r="D1180" i="2"/>
  <c r="F1179" i="2"/>
  <c r="D1179" i="2"/>
  <c r="F1178" i="2"/>
  <c r="D1178" i="2"/>
  <c r="F1177" i="2"/>
  <c r="D1177" i="2"/>
  <c r="F1176" i="2"/>
  <c r="D1176" i="2"/>
  <c r="F1175" i="2"/>
  <c r="D1175" i="2"/>
  <c r="F1174" i="2"/>
  <c r="D1174" i="2"/>
  <c r="F1173" i="2"/>
  <c r="D1173" i="2"/>
  <c r="F1172" i="2"/>
  <c r="D1172" i="2"/>
  <c r="F1171" i="2"/>
  <c r="D1171" i="2"/>
  <c r="F1170" i="2"/>
  <c r="D1170" i="2"/>
  <c r="F1169" i="2"/>
  <c r="D1169" i="2"/>
  <c r="F1168" i="2"/>
  <c r="D1168" i="2"/>
  <c r="F1167" i="2"/>
  <c r="D1167" i="2"/>
  <c r="F1166" i="2"/>
  <c r="D1166" i="2"/>
  <c r="F1165" i="2"/>
  <c r="D1165" i="2"/>
  <c r="F1164" i="2"/>
  <c r="D1164" i="2"/>
  <c r="F1163" i="2"/>
  <c r="D1163" i="2"/>
  <c r="F1162" i="2"/>
  <c r="D1162" i="2"/>
  <c r="F1161" i="2"/>
  <c r="D1161" i="2"/>
  <c r="F1160" i="2"/>
  <c r="D1160" i="2"/>
  <c r="F1159" i="2"/>
  <c r="D1159" i="2"/>
  <c r="F1158" i="2"/>
  <c r="D1158" i="2"/>
  <c r="F1157" i="2"/>
  <c r="D1157" i="2"/>
  <c r="F1156" i="2"/>
  <c r="D1156" i="2"/>
  <c r="F1155" i="2"/>
  <c r="D1155" i="2"/>
  <c r="F1154" i="2"/>
  <c r="D1154" i="2"/>
  <c r="F1153" i="2"/>
  <c r="D1153" i="2"/>
  <c r="F1152" i="2"/>
  <c r="D1152" i="2"/>
  <c r="F1151" i="2"/>
  <c r="D1151" i="2"/>
  <c r="F1150" i="2"/>
  <c r="D1150" i="2"/>
  <c r="F1149" i="2"/>
  <c r="D1149" i="2"/>
  <c r="F1148" i="2"/>
  <c r="D1148" i="2"/>
  <c r="F1147" i="2"/>
  <c r="D1147" i="2"/>
  <c r="F1146" i="2"/>
  <c r="D1146" i="2"/>
  <c r="F1145" i="2"/>
  <c r="D1145" i="2"/>
  <c r="F1144" i="2"/>
  <c r="D1144" i="2"/>
  <c r="F1143" i="2"/>
  <c r="D1143" i="2"/>
  <c r="F1142" i="2"/>
  <c r="D1142" i="2"/>
  <c r="F1141" i="2"/>
  <c r="D1141" i="2"/>
  <c r="F1140" i="2"/>
  <c r="D1140" i="2"/>
  <c r="F1139" i="2"/>
  <c r="D1139" i="2"/>
  <c r="F1138" i="2"/>
  <c r="D1138" i="2"/>
  <c r="F1137" i="2"/>
  <c r="D1137" i="2"/>
  <c r="F1136" i="2"/>
  <c r="D1136" i="2"/>
  <c r="F1135" i="2"/>
  <c r="D1135" i="2"/>
  <c r="F1134" i="2"/>
  <c r="D1134" i="2"/>
  <c r="F1133" i="2"/>
  <c r="D1133" i="2"/>
  <c r="F1132" i="2"/>
  <c r="D1132" i="2"/>
  <c r="F1131" i="2"/>
  <c r="D1131" i="2"/>
  <c r="F1130" i="2"/>
  <c r="D1130" i="2"/>
  <c r="F1129" i="2"/>
  <c r="D1129" i="2"/>
  <c r="F1128" i="2"/>
  <c r="D1128" i="2"/>
  <c r="F1127" i="2"/>
  <c r="D1127" i="2"/>
  <c r="F1126" i="2"/>
  <c r="D1126" i="2"/>
  <c r="F1125" i="2"/>
  <c r="D1125" i="2"/>
  <c r="F1124" i="2"/>
  <c r="D1124" i="2"/>
  <c r="F1123" i="2"/>
  <c r="D1123" i="2"/>
  <c r="F1122" i="2"/>
  <c r="D1122" i="2"/>
  <c r="F1121" i="2"/>
  <c r="D1121" i="2"/>
  <c r="F1120" i="2"/>
  <c r="D1120" i="2"/>
  <c r="F1119" i="2"/>
  <c r="D1119" i="2"/>
  <c r="F1118" i="2"/>
  <c r="D1118" i="2"/>
  <c r="F1117" i="2"/>
  <c r="D1117" i="2"/>
  <c r="F1116" i="2"/>
  <c r="D1116" i="2"/>
  <c r="F1115" i="2"/>
  <c r="D1115" i="2"/>
  <c r="F1114" i="2"/>
  <c r="D1114" i="2"/>
  <c r="F1113" i="2"/>
  <c r="D1113" i="2"/>
  <c r="F1112" i="2"/>
  <c r="D1112" i="2"/>
  <c r="F1111" i="2"/>
  <c r="D1111" i="2"/>
  <c r="F1110" i="2"/>
  <c r="D1110" i="2"/>
  <c r="F1109" i="2"/>
  <c r="D1109" i="2"/>
  <c r="F1108" i="2"/>
  <c r="D1108" i="2"/>
  <c r="F1107" i="2"/>
  <c r="D1107" i="2"/>
  <c r="F1106" i="2"/>
  <c r="D1106" i="2"/>
  <c r="F1105" i="2"/>
  <c r="D1105" i="2"/>
  <c r="F1104" i="2"/>
  <c r="D1104" i="2"/>
  <c r="F1103" i="2"/>
  <c r="D1103" i="2"/>
  <c r="F1102" i="2"/>
  <c r="D1102" i="2"/>
  <c r="F1101" i="2"/>
  <c r="D1101" i="2"/>
  <c r="F1100" i="2"/>
  <c r="D1100" i="2"/>
  <c r="F1099" i="2"/>
  <c r="D1099" i="2"/>
  <c r="F1098" i="2"/>
  <c r="D1098" i="2"/>
  <c r="F1097" i="2"/>
  <c r="D1097" i="2"/>
  <c r="F1096" i="2"/>
  <c r="D1096" i="2"/>
  <c r="F1095" i="2"/>
  <c r="D1095" i="2"/>
  <c r="F1094" i="2"/>
  <c r="D1094" i="2"/>
  <c r="F1093" i="2"/>
  <c r="D1093" i="2"/>
  <c r="F1092" i="2"/>
  <c r="D1092" i="2"/>
  <c r="F1091" i="2"/>
  <c r="D1091" i="2"/>
  <c r="F1090" i="2"/>
  <c r="D1090" i="2"/>
  <c r="F1089" i="2"/>
  <c r="D1089" i="2"/>
  <c r="F1088" i="2"/>
  <c r="D1088" i="2"/>
  <c r="F1087" i="2"/>
  <c r="D1087" i="2"/>
  <c r="F1086" i="2"/>
  <c r="D1086" i="2"/>
  <c r="F1085" i="2"/>
  <c r="D1085" i="2"/>
  <c r="F1084" i="2"/>
  <c r="D1084" i="2"/>
  <c r="F1083" i="2"/>
  <c r="D1083" i="2"/>
  <c r="F1082" i="2"/>
  <c r="D1082" i="2"/>
  <c r="F1081" i="2"/>
  <c r="D1081" i="2"/>
  <c r="F1080" i="2"/>
  <c r="D1080" i="2"/>
  <c r="F1079" i="2"/>
  <c r="D1079" i="2"/>
  <c r="F1078" i="2"/>
  <c r="D1078" i="2"/>
  <c r="F1077" i="2"/>
  <c r="D1077" i="2"/>
  <c r="F1076" i="2"/>
  <c r="D1076" i="2"/>
  <c r="F1075" i="2"/>
  <c r="D1075" i="2"/>
  <c r="F1074" i="2"/>
  <c r="D1074" i="2"/>
  <c r="F1073" i="2"/>
  <c r="D1073" i="2"/>
  <c r="F1072" i="2"/>
  <c r="D1072" i="2"/>
  <c r="F1071" i="2"/>
  <c r="D1071" i="2"/>
  <c r="F1070" i="2"/>
  <c r="D1070" i="2"/>
  <c r="F1069" i="2"/>
  <c r="D1069" i="2"/>
  <c r="F1068" i="2"/>
  <c r="D1068" i="2"/>
  <c r="F1067" i="2"/>
  <c r="D1067" i="2"/>
  <c r="F1066" i="2"/>
  <c r="D1066" i="2"/>
  <c r="F1065" i="2"/>
  <c r="D1065" i="2"/>
  <c r="F1064" i="2"/>
  <c r="D1064" i="2"/>
  <c r="F1063" i="2"/>
  <c r="D1063" i="2"/>
  <c r="F1062" i="2"/>
  <c r="D1062" i="2"/>
  <c r="F1061" i="2"/>
  <c r="D1061" i="2"/>
  <c r="F1060" i="2"/>
  <c r="D1060" i="2"/>
  <c r="F1059" i="2"/>
  <c r="D1059" i="2"/>
  <c r="F1058" i="2"/>
  <c r="D1058" i="2"/>
  <c r="F1057" i="2"/>
  <c r="D1057" i="2"/>
  <c r="F1056" i="2"/>
  <c r="D1056" i="2"/>
  <c r="F1055" i="2"/>
  <c r="D1055" i="2"/>
  <c r="F1054" i="2"/>
  <c r="D1054" i="2"/>
  <c r="F1053" i="2"/>
  <c r="D1053" i="2"/>
  <c r="F1052" i="2"/>
  <c r="D1052" i="2"/>
  <c r="F1051" i="2"/>
  <c r="D1051" i="2"/>
  <c r="F1050" i="2"/>
  <c r="D1050" i="2"/>
  <c r="F1049" i="2"/>
  <c r="D1049" i="2"/>
  <c r="F1048" i="2"/>
  <c r="D1048" i="2"/>
  <c r="F1047" i="2"/>
  <c r="D1047" i="2"/>
  <c r="F1046" i="2"/>
  <c r="D1046" i="2"/>
  <c r="F1045" i="2"/>
  <c r="D1045" i="2"/>
  <c r="F1044" i="2"/>
  <c r="D1044" i="2"/>
  <c r="F1043" i="2"/>
  <c r="D1043" i="2"/>
  <c r="F1042" i="2"/>
  <c r="D1042" i="2"/>
  <c r="F1041" i="2"/>
  <c r="D1041" i="2"/>
  <c r="F1040" i="2"/>
  <c r="D1040" i="2"/>
  <c r="F1039" i="2"/>
  <c r="D1039" i="2"/>
  <c r="F1038" i="2"/>
  <c r="D1038" i="2"/>
  <c r="F1037" i="2"/>
  <c r="D1037" i="2"/>
  <c r="F1036" i="2"/>
  <c r="D1036" i="2"/>
  <c r="F1035" i="2"/>
  <c r="D1035" i="2"/>
  <c r="F1034" i="2"/>
  <c r="D1034" i="2"/>
  <c r="F1033" i="2"/>
  <c r="D1033" i="2"/>
  <c r="F1032" i="2"/>
  <c r="D1032" i="2"/>
  <c r="F1031" i="2"/>
  <c r="D1031" i="2"/>
  <c r="F1030" i="2"/>
  <c r="D1030" i="2"/>
  <c r="F1029" i="2"/>
  <c r="D1029" i="2"/>
  <c r="F1028" i="2"/>
  <c r="D1028" i="2"/>
  <c r="F1027" i="2"/>
  <c r="D1027" i="2"/>
  <c r="F1026" i="2"/>
  <c r="D1026" i="2"/>
  <c r="F1025" i="2"/>
  <c r="D1025" i="2"/>
  <c r="F1024" i="2"/>
  <c r="D1024" i="2"/>
  <c r="F1023" i="2"/>
  <c r="D1023" i="2"/>
  <c r="F1022" i="2"/>
  <c r="D1022" i="2"/>
  <c r="F1021" i="2"/>
  <c r="D1021" i="2"/>
  <c r="F1020" i="2"/>
  <c r="D1020" i="2"/>
  <c r="F1019" i="2"/>
  <c r="D1019" i="2"/>
  <c r="F1018" i="2"/>
  <c r="D1018" i="2"/>
  <c r="F1017" i="2"/>
  <c r="D1017" i="2"/>
  <c r="F1016" i="2"/>
  <c r="D1016" i="2"/>
  <c r="F1015" i="2"/>
  <c r="D1015" i="2"/>
  <c r="F1014" i="2"/>
  <c r="D1014" i="2"/>
  <c r="F1013" i="2"/>
  <c r="D1013" i="2"/>
  <c r="F1012" i="2"/>
  <c r="D1012" i="2"/>
  <c r="F1011" i="2"/>
  <c r="D1011" i="2"/>
  <c r="F1010" i="2"/>
  <c r="D1010" i="2"/>
  <c r="F1009" i="2"/>
  <c r="D1009" i="2"/>
  <c r="F1008" i="2"/>
  <c r="D1008" i="2"/>
  <c r="F1007" i="2"/>
  <c r="D1007" i="2"/>
  <c r="F1006" i="2"/>
  <c r="D1006" i="2"/>
  <c r="F1005" i="2"/>
  <c r="D1005" i="2"/>
  <c r="F1004" i="2"/>
  <c r="D1004" i="2"/>
  <c r="F1003" i="2"/>
  <c r="D1003" i="2"/>
  <c r="F1002" i="2"/>
  <c r="D1002" i="2"/>
  <c r="F1001" i="2"/>
  <c r="D1001" i="2"/>
  <c r="F1000" i="2"/>
  <c r="D1000" i="2"/>
  <c r="F999" i="2"/>
  <c r="D999" i="2"/>
  <c r="F998" i="2"/>
  <c r="D998" i="2"/>
  <c r="F997" i="2"/>
  <c r="D997" i="2"/>
  <c r="F996" i="2"/>
  <c r="D996" i="2"/>
  <c r="F995" i="2"/>
  <c r="D995" i="2"/>
  <c r="F994" i="2"/>
  <c r="D994" i="2"/>
  <c r="F993" i="2"/>
  <c r="D993" i="2"/>
  <c r="F992" i="2"/>
  <c r="D992" i="2"/>
  <c r="F991" i="2"/>
  <c r="D991" i="2"/>
  <c r="F990" i="2"/>
  <c r="D990" i="2"/>
  <c r="F989" i="2"/>
  <c r="D989" i="2"/>
  <c r="F988" i="2"/>
  <c r="D988" i="2"/>
  <c r="F987" i="2"/>
  <c r="D987" i="2"/>
  <c r="F986" i="2"/>
  <c r="D986" i="2"/>
  <c r="F985" i="2"/>
  <c r="D985" i="2"/>
  <c r="F984" i="2"/>
  <c r="D984" i="2"/>
  <c r="F983" i="2"/>
  <c r="D983" i="2"/>
  <c r="F982" i="2"/>
  <c r="D982" i="2"/>
  <c r="F981" i="2"/>
  <c r="D981" i="2"/>
  <c r="F980" i="2"/>
  <c r="D980" i="2"/>
  <c r="F979" i="2"/>
  <c r="D979" i="2"/>
  <c r="F978" i="2"/>
  <c r="D978" i="2"/>
  <c r="F977" i="2"/>
  <c r="D977" i="2"/>
  <c r="F976" i="2"/>
  <c r="D976" i="2"/>
  <c r="F975" i="2"/>
  <c r="D975" i="2"/>
  <c r="F974" i="2"/>
  <c r="D974" i="2"/>
  <c r="F973" i="2"/>
  <c r="D973" i="2"/>
  <c r="F972" i="2"/>
  <c r="D972" i="2"/>
  <c r="F971" i="2"/>
  <c r="D971" i="2"/>
  <c r="F970" i="2"/>
  <c r="D970" i="2"/>
  <c r="F969" i="2"/>
  <c r="D969" i="2"/>
  <c r="F968" i="2"/>
  <c r="D968" i="2"/>
  <c r="F967" i="2"/>
  <c r="D967" i="2"/>
  <c r="F966" i="2"/>
  <c r="D966" i="2"/>
  <c r="F965" i="2"/>
  <c r="D965" i="2"/>
  <c r="F964" i="2"/>
  <c r="D964" i="2"/>
  <c r="F963" i="2"/>
  <c r="D963" i="2"/>
  <c r="F962" i="2"/>
  <c r="D962" i="2"/>
  <c r="F961" i="2"/>
  <c r="D961" i="2"/>
  <c r="F960" i="2"/>
  <c r="D960" i="2"/>
  <c r="F959" i="2"/>
  <c r="D959" i="2"/>
  <c r="F958" i="2"/>
  <c r="D958" i="2"/>
  <c r="F957" i="2"/>
  <c r="D957" i="2"/>
  <c r="F956" i="2"/>
  <c r="D956" i="2"/>
  <c r="F955" i="2"/>
  <c r="D955" i="2"/>
  <c r="F954" i="2"/>
  <c r="D954" i="2"/>
  <c r="F953" i="2"/>
  <c r="D953" i="2"/>
  <c r="F952" i="2"/>
  <c r="D952" i="2"/>
  <c r="F951" i="2"/>
  <c r="D951" i="2"/>
  <c r="F950" i="2"/>
  <c r="D950" i="2"/>
  <c r="F949" i="2"/>
  <c r="D949" i="2"/>
  <c r="F948" i="2"/>
  <c r="D948" i="2"/>
  <c r="F947" i="2"/>
  <c r="D947" i="2"/>
  <c r="F946" i="2"/>
  <c r="D946" i="2"/>
  <c r="F945" i="2"/>
  <c r="D945" i="2"/>
  <c r="F944" i="2"/>
  <c r="D944" i="2"/>
  <c r="F943" i="2"/>
  <c r="D943" i="2"/>
  <c r="F942" i="2"/>
  <c r="D942" i="2"/>
  <c r="F941" i="2"/>
  <c r="D941" i="2"/>
  <c r="F940" i="2"/>
  <c r="D940" i="2"/>
  <c r="F939" i="2"/>
  <c r="D939" i="2"/>
  <c r="F938" i="2"/>
  <c r="D938" i="2"/>
  <c r="F937" i="2"/>
  <c r="D937" i="2"/>
  <c r="F936" i="2"/>
  <c r="D936" i="2"/>
  <c r="F935" i="2"/>
  <c r="D935" i="2"/>
  <c r="F934" i="2"/>
  <c r="D934" i="2"/>
  <c r="F933" i="2"/>
  <c r="D933" i="2"/>
  <c r="F932" i="2"/>
  <c r="D932" i="2"/>
  <c r="F931" i="2"/>
  <c r="D931" i="2"/>
  <c r="F930" i="2"/>
  <c r="D930" i="2"/>
  <c r="F929" i="2"/>
  <c r="D929" i="2"/>
  <c r="F928" i="2"/>
  <c r="D928" i="2"/>
  <c r="F927" i="2"/>
  <c r="D927" i="2"/>
  <c r="F926" i="2"/>
  <c r="D926" i="2"/>
  <c r="F925" i="2"/>
  <c r="D925" i="2"/>
  <c r="F924" i="2"/>
  <c r="D924" i="2"/>
  <c r="F923" i="2"/>
  <c r="D923" i="2"/>
  <c r="F922" i="2"/>
  <c r="D922" i="2"/>
  <c r="F921" i="2"/>
  <c r="D921" i="2"/>
  <c r="F920" i="2"/>
  <c r="D920" i="2"/>
  <c r="F919" i="2"/>
  <c r="D919" i="2"/>
  <c r="F918" i="2"/>
  <c r="D918" i="2"/>
  <c r="F917" i="2"/>
  <c r="D917" i="2"/>
  <c r="F916" i="2"/>
  <c r="D916" i="2"/>
  <c r="F915" i="2"/>
  <c r="D915" i="2"/>
  <c r="F914" i="2"/>
  <c r="D914" i="2"/>
  <c r="F913" i="2"/>
  <c r="D913" i="2"/>
  <c r="F912" i="2"/>
  <c r="D912" i="2"/>
  <c r="F911" i="2"/>
  <c r="D911" i="2"/>
  <c r="F910" i="2"/>
  <c r="D910" i="2"/>
  <c r="F909" i="2"/>
  <c r="D909" i="2"/>
  <c r="F908" i="2"/>
  <c r="D908" i="2"/>
  <c r="F907" i="2"/>
  <c r="D907" i="2"/>
  <c r="F906" i="2"/>
  <c r="D906" i="2"/>
  <c r="F905" i="2"/>
  <c r="D905" i="2"/>
  <c r="F904" i="2"/>
  <c r="D904" i="2"/>
  <c r="F903" i="2"/>
  <c r="D903" i="2"/>
  <c r="F902" i="2"/>
  <c r="D902" i="2"/>
  <c r="F901" i="2"/>
  <c r="D901" i="2"/>
  <c r="F900" i="2"/>
  <c r="D900" i="2"/>
  <c r="F899" i="2"/>
  <c r="D899" i="2"/>
  <c r="F898" i="2"/>
  <c r="D898" i="2"/>
  <c r="F897" i="2"/>
  <c r="D897" i="2"/>
  <c r="F896" i="2"/>
  <c r="D896" i="2"/>
  <c r="F895" i="2"/>
  <c r="D895" i="2"/>
  <c r="F894" i="2"/>
  <c r="D894" i="2"/>
  <c r="F893" i="2"/>
  <c r="D893" i="2"/>
  <c r="F892" i="2"/>
  <c r="D892" i="2"/>
  <c r="F891" i="2"/>
  <c r="D891" i="2"/>
  <c r="F890" i="2"/>
  <c r="D890" i="2"/>
  <c r="F889" i="2"/>
  <c r="D889" i="2"/>
  <c r="F888" i="2"/>
  <c r="D888" i="2"/>
  <c r="F887" i="2"/>
  <c r="D887" i="2"/>
  <c r="F886" i="2"/>
  <c r="D886" i="2"/>
  <c r="F885" i="2"/>
  <c r="D885" i="2"/>
  <c r="F884" i="2"/>
  <c r="D884" i="2"/>
  <c r="F883" i="2"/>
  <c r="D883" i="2"/>
  <c r="F882" i="2"/>
  <c r="D882" i="2"/>
  <c r="F881" i="2"/>
  <c r="D881" i="2"/>
  <c r="F880" i="2"/>
  <c r="D880" i="2"/>
  <c r="F879" i="2"/>
  <c r="D879" i="2"/>
  <c r="F878" i="2"/>
  <c r="D878" i="2"/>
  <c r="F877" i="2"/>
  <c r="D877" i="2"/>
  <c r="F876" i="2"/>
  <c r="D876" i="2"/>
  <c r="F875" i="2"/>
  <c r="D875" i="2"/>
  <c r="F874" i="2"/>
  <c r="D874" i="2"/>
  <c r="F873" i="2"/>
  <c r="D873" i="2"/>
  <c r="F872" i="2"/>
  <c r="D872" i="2"/>
  <c r="F871" i="2"/>
  <c r="D871" i="2"/>
  <c r="F870" i="2"/>
  <c r="D870" i="2"/>
  <c r="F869" i="2"/>
  <c r="D869" i="2"/>
  <c r="F868" i="2"/>
  <c r="D868" i="2"/>
  <c r="F867" i="2"/>
  <c r="D867" i="2"/>
  <c r="F866" i="2"/>
  <c r="D866" i="2"/>
  <c r="F865" i="2"/>
  <c r="D865" i="2"/>
  <c r="F864" i="2"/>
  <c r="D864" i="2"/>
  <c r="F863" i="2"/>
  <c r="D863" i="2"/>
  <c r="F862" i="2"/>
  <c r="D862" i="2"/>
  <c r="F861" i="2"/>
  <c r="D861" i="2"/>
  <c r="F860" i="2"/>
  <c r="D860" i="2"/>
  <c r="F859" i="2"/>
  <c r="D859" i="2"/>
  <c r="F858" i="2"/>
  <c r="D858" i="2"/>
  <c r="F857" i="2"/>
  <c r="D857" i="2"/>
  <c r="F856" i="2"/>
  <c r="D856" i="2"/>
  <c r="F855" i="2"/>
  <c r="D855" i="2"/>
  <c r="F854" i="2"/>
  <c r="D854" i="2"/>
  <c r="F853" i="2"/>
  <c r="D853" i="2"/>
  <c r="F852" i="2"/>
  <c r="D852" i="2"/>
  <c r="F851" i="2"/>
  <c r="D851" i="2"/>
  <c r="F850" i="2"/>
  <c r="D850" i="2"/>
  <c r="F849" i="2"/>
  <c r="D849" i="2"/>
  <c r="F848" i="2"/>
  <c r="D848" i="2"/>
  <c r="F847" i="2"/>
  <c r="D847" i="2"/>
  <c r="F846" i="2"/>
  <c r="D846" i="2"/>
  <c r="F845" i="2"/>
  <c r="D845" i="2"/>
  <c r="F844" i="2"/>
  <c r="D844" i="2"/>
  <c r="F843" i="2"/>
  <c r="D843" i="2"/>
  <c r="F842" i="2"/>
  <c r="D842" i="2"/>
  <c r="F841" i="2"/>
  <c r="D841" i="2"/>
  <c r="F840" i="2"/>
  <c r="D840" i="2"/>
  <c r="F839" i="2"/>
  <c r="D839" i="2"/>
  <c r="F838" i="2"/>
  <c r="D838" i="2"/>
  <c r="F837" i="2"/>
  <c r="D837" i="2"/>
  <c r="F836" i="2"/>
  <c r="D836" i="2"/>
  <c r="F835" i="2"/>
  <c r="D835" i="2"/>
  <c r="F834" i="2"/>
  <c r="D834" i="2"/>
  <c r="F833" i="2"/>
  <c r="D833" i="2"/>
  <c r="F832" i="2"/>
  <c r="D832" i="2"/>
  <c r="F831" i="2"/>
  <c r="D831" i="2"/>
  <c r="F830" i="2"/>
  <c r="D830" i="2"/>
  <c r="F829" i="2"/>
  <c r="D829" i="2"/>
  <c r="F828" i="2"/>
  <c r="D828" i="2"/>
  <c r="F827" i="2"/>
  <c r="D827" i="2"/>
  <c r="F826" i="2"/>
  <c r="D826" i="2"/>
  <c r="F825" i="2"/>
  <c r="D825" i="2"/>
  <c r="F824" i="2"/>
  <c r="D824" i="2"/>
  <c r="F823" i="2"/>
  <c r="D823" i="2"/>
  <c r="F822" i="2"/>
  <c r="D822" i="2"/>
  <c r="F821" i="2"/>
  <c r="D821" i="2"/>
  <c r="F820" i="2"/>
  <c r="D820" i="2"/>
  <c r="F819" i="2"/>
  <c r="D819" i="2"/>
  <c r="F818" i="2"/>
  <c r="D818" i="2"/>
  <c r="F817" i="2"/>
  <c r="D817" i="2"/>
  <c r="F816" i="2"/>
  <c r="D816" i="2"/>
  <c r="F815" i="2"/>
  <c r="D815" i="2"/>
  <c r="F814" i="2"/>
  <c r="D814" i="2"/>
  <c r="F813" i="2"/>
  <c r="D813" i="2"/>
  <c r="F812" i="2"/>
  <c r="D812" i="2"/>
  <c r="F811" i="2"/>
  <c r="D811" i="2"/>
  <c r="F810" i="2"/>
  <c r="D810" i="2"/>
  <c r="F809" i="2"/>
  <c r="D809" i="2"/>
  <c r="F808" i="2"/>
  <c r="D808" i="2"/>
  <c r="F807" i="2"/>
  <c r="D807" i="2"/>
  <c r="F806" i="2"/>
  <c r="D806" i="2"/>
  <c r="F805" i="2"/>
  <c r="D805" i="2"/>
  <c r="F804" i="2"/>
  <c r="D804" i="2"/>
  <c r="F803" i="2"/>
  <c r="D803" i="2"/>
  <c r="F802" i="2"/>
  <c r="D802" i="2"/>
  <c r="F801" i="2"/>
  <c r="D801" i="2"/>
  <c r="F800" i="2"/>
  <c r="D800" i="2"/>
  <c r="F799" i="2"/>
  <c r="D799" i="2"/>
  <c r="F798" i="2"/>
  <c r="D798" i="2"/>
  <c r="F797" i="2"/>
  <c r="D797" i="2"/>
  <c r="F796" i="2"/>
  <c r="D796" i="2"/>
  <c r="F795" i="2"/>
  <c r="D795" i="2"/>
  <c r="F794" i="2"/>
  <c r="D794" i="2"/>
  <c r="F793" i="2"/>
  <c r="D793" i="2"/>
  <c r="F792" i="2"/>
  <c r="D792" i="2"/>
  <c r="F791" i="2"/>
  <c r="D791" i="2"/>
  <c r="F790" i="2"/>
  <c r="D790" i="2"/>
  <c r="F789" i="2"/>
  <c r="D789" i="2"/>
  <c r="F788" i="2"/>
  <c r="D788" i="2"/>
  <c r="F787" i="2"/>
  <c r="D787" i="2"/>
  <c r="F786" i="2"/>
  <c r="D786" i="2"/>
  <c r="F785" i="2"/>
  <c r="D785" i="2"/>
  <c r="F784" i="2"/>
  <c r="D784" i="2"/>
  <c r="F783" i="2"/>
  <c r="D783" i="2"/>
  <c r="F782" i="2"/>
  <c r="D782" i="2"/>
  <c r="F781" i="2"/>
  <c r="D781" i="2"/>
  <c r="F780" i="2"/>
  <c r="D780" i="2"/>
  <c r="F779" i="2"/>
  <c r="D779" i="2"/>
  <c r="F778" i="2"/>
  <c r="D778" i="2"/>
  <c r="F777" i="2"/>
  <c r="D777" i="2"/>
  <c r="F776" i="2"/>
  <c r="D776" i="2"/>
  <c r="F775" i="2"/>
  <c r="D775" i="2"/>
  <c r="F774" i="2"/>
  <c r="D774" i="2"/>
  <c r="F773" i="2"/>
  <c r="D773" i="2"/>
  <c r="F772" i="2"/>
  <c r="D772" i="2"/>
  <c r="F771" i="2"/>
  <c r="D771" i="2"/>
  <c r="F770" i="2"/>
  <c r="D770" i="2"/>
  <c r="F769" i="2"/>
  <c r="D769" i="2"/>
  <c r="F768" i="2"/>
  <c r="D768" i="2"/>
  <c r="F767" i="2"/>
  <c r="D767" i="2"/>
  <c r="F766" i="2"/>
  <c r="D766" i="2"/>
  <c r="F765" i="2"/>
  <c r="D765" i="2"/>
  <c r="F764" i="2"/>
  <c r="D764" i="2"/>
  <c r="F763" i="2"/>
  <c r="D763" i="2"/>
  <c r="F762" i="2"/>
  <c r="D762" i="2"/>
  <c r="F761" i="2"/>
  <c r="D761" i="2"/>
  <c r="F760" i="2"/>
  <c r="D760" i="2"/>
  <c r="F759" i="2"/>
  <c r="D759" i="2"/>
  <c r="F758" i="2"/>
  <c r="D758" i="2"/>
  <c r="F757" i="2"/>
  <c r="D757" i="2"/>
  <c r="F756" i="2"/>
  <c r="D756" i="2"/>
  <c r="F755" i="2"/>
  <c r="D755" i="2"/>
  <c r="F754" i="2"/>
  <c r="D754" i="2"/>
  <c r="F753" i="2"/>
  <c r="D753" i="2"/>
  <c r="F752" i="2"/>
  <c r="D752" i="2"/>
  <c r="F751" i="2"/>
  <c r="D751" i="2"/>
  <c r="F750" i="2"/>
  <c r="D750" i="2"/>
  <c r="F749" i="2"/>
  <c r="D749" i="2"/>
  <c r="F748" i="2"/>
  <c r="D748" i="2"/>
  <c r="F747" i="2"/>
  <c r="D747" i="2"/>
  <c r="F746" i="2"/>
  <c r="D746" i="2"/>
  <c r="F745" i="2"/>
  <c r="D745" i="2"/>
  <c r="F744" i="2"/>
  <c r="D744" i="2"/>
  <c r="F743" i="2"/>
  <c r="D743" i="2"/>
  <c r="F742" i="2"/>
  <c r="D742" i="2"/>
  <c r="F741" i="2"/>
  <c r="D741" i="2"/>
  <c r="F740" i="2"/>
  <c r="D740" i="2"/>
  <c r="F739" i="2"/>
  <c r="D739" i="2"/>
  <c r="F738" i="2"/>
  <c r="D738" i="2"/>
  <c r="F737" i="2"/>
  <c r="D737" i="2"/>
  <c r="F736" i="2"/>
  <c r="D736" i="2"/>
  <c r="F735" i="2"/>
  <c r="D735" i="2"/>
  <c r="F734" i="2"/>
  <c r="D734" i="2"/>
  <c r="F733" i="2"/>
  <c r="D733" i="2"/>
  <c r="F732" i="2"/>
  <c r="D732" i="2"/>
  <c r="F731" i="2"/>
  <c r="D731" i="2"/>
  <c r="F730" i="2"/>
  <c r="D730" i="2"/>
  <c r="F729" i="2"/>
  <c r="D729" i="2"/>
  <c r="F728" i="2"/>
  <c r="D728" i="2"/>
  <c r="F727" i="2"/>
  <c r="D727" i="2"/>
  <c r="F726" i="2"/>
  <c r="D726" i="2"/>
  <c r="F725" i="2"/>
  <c r="D725" i="2"/>
  <c r="F724" i="2"/>
  <c r="D724" i="2"/>
  <c r="F723" i="2"/>
  <c r="D723" i="2"/>
  <c r="F722" i="2"/>
  <c r="D722" i="2"/>
  <c r="F721" i="2"/>
  <c r="D721" i="2"/>
  <c r="F720" i="2"/>
  <c r="D720" i="2"/>
  <c r="F719" i="2"/>
  <c r="D719" i="2"/>
  <c r="F718" i="2"/>
  <c r="D718" i="2"/>
  <c r="F717" i="2"/>
  <c r="D717" i="2"/>
  <c r="F716" i="2"/>
  <c r="D716" i="2"/>
  <c r="F715" i="2"/>
  <c r="D715" i="2"/>
  <c r="F714" i="2"/>
  <c r="D714" i="2"/>
  <c r="F713" i="2"/>
  <c r="D713" i="2"/>
  <c r="F712" i="2"/>
  <c r="D712" i="2"/>
  <c r="F711" i="2"/>
  <c r="D711" i="2"/>
  <c r="F710" i="2"/>
  <c r="D710" i="2"/>
  <c r="F709" i="2"/>
  <c r="D709" i="2"/>
  <c r="F708" i="2"/>
  <c r="D708" i="2"/>
  <c r="F707" i="2"/>
  <c r="D707" i="2"/>
  <c r="F706" i="2"/>
  <c r="D706" i="2"/>
  <c r="F705" i="2"/>
  <c r="D705" i="2"/>
  <c r="F704" i="2"/>
  <c r="D704" i="2"/>
  <c r="F703" i="2"/>
  <c r="D703" i="2"/>
  <c r="F702" i="2"/>
  <c r="D702" i="2"/>
  <c r="F701" i="2"/>
  <c r="D701" i="2"/>
  <c r="F700" i="2"/>
  <c r="D700" i="2"/>
  <c r="F699" i="2"/>
  <c r="D699" i="2"/>
  <c r="F698" i="2"/>
  <c r="D698" i="2"/>
  <c r="F697" i="2"/>
  <c r="D697" i="2"/>
  <c r="F696" i="2"/>
  <c r="D696" i="2"/>
  <c r="F695" i="2"/>
  <c r="D695" i="2"/>
  <c r="F694" i="2"/>
  <c r="D694" i="2"/>
  <c r="F693" i="2"/>
  <c r="D693" i="2"/>
  <c r="F692" i="2"/>
  <c r="D692" i="2"/>
  <c r="F691" i="2"/>
  <c r="D691" i="2"/>
  <c r="F690" i="2"/>
  <c r="D690" i="2"/>
  <c r="F689" i="2"/>
  <c r="D689" i="2"/>
  <c r="F688" i="2"/>
  <c r="D688" i="2"/>
  <c r="F687" i="2"/>
  <c r="D687" i="2"/>
  <c r="F686" i="2"/>
  <c r="D686" i="2"/>
  <c r="F685" i="2"/>
  <c r="D685" i="2"/>
  <c r="F684" i="2"/>
  <c r="D684" i="2"/>
  <c r="F683" i="2"/>
  <c r="D683" i="2"/>
  <c r="F682" i="2"/>
  <c r="D682" i="2"/>
  <c r="F681" i="2"/>
  <c r="D681" i="2"/>
  <c r="F680" i="2"/>
  <c r="D680" i="2"/>
  <c r="F679" i="2"/>
  <c r="D679" i="2"/>
  <c r="F678" i="2"/>
  <c r="D678" i="2"/>
  <c r="F677" i="2"/>
  <c r="D677" i="2"/>
  <c r="F676" i="2"/>
  <c r="D676" i="2"/>
  <c r="F675" i="2"/>
  <c r="D675" i="2"/>
  <c r="F674" i="2"/>
  <c r="D674" i="2"/>
  <c r="F673" i="2"/>
  <c r="D673" i="2"/>
  <c r="F672" i="2"/>
  <c r="D672" i="2"/>
  <c r="F671" i="2"/>
  <c r="D671" i="2"/>
  <c r="F670" i="2"/>
  <c r="D670" i="2"/>
  <c r="F669" i="2"/>
  <c r="D669" i="2"/>
  <c r="F668" i="2"/>
  <c r="D668" i="2"/>
  <c r="F667" i="2"/>
  <c r="D667" i="2"/>
  <c r="F666" i="2"/>
  <c r="D666" i="2"/>
  <c r="F665" i="2"/>
  <c r="D665" i="2"/>
  <c r="F664" i="2"/>
  <c r="D664" i="2"/>
  <c r="F663" i="2"/>
  <c r="D663" i="2"/>
  <c r="F662" i="2"/>
  <c r="D662" i="2"/>
  <c r="F661" i="2"/>
  <c r="D661" i="2"/>
  <c r="F660" i="2"/>
  <c r="D660" i="2"/>
  <c r="F659" i="2"/>
  <c r="D659" i="2"/>
  <c r="F658" i="2"/>
  <c r="D658" i="2"/>
  <c r="F657" i="2"/>
  <c r="D657" i="2"/>
  <c r="F656" i="2"/>
  <c r="D656" i="2"/>
  <c r="F655" i="2"/>
  <c r="D655" i="2"/>
  <c r="F654" i="2"/>
  <c r="D654" i="2"/>
  <c r="F653" i="2"/>
  <c r="D653" i="2"/>
  <c r="F652" i="2"/>
  <c r="D652" i="2"/>
  <c r="F651" i="2"/>
  <c r="D651" i="2"/>
  <c r="F650" i="2"/>
  <c r="D650" i="2"/>
  <c r="F649" i="2"/>
  <c r="D649" i="2"/>
  <c r="F648" i="2"/>
  <c r="D648" i="2"/>
  <c r="F647" i="2"/>
  <c r="D647" i="2"/>
  <c r="F646" i="2"/>
  <c r="D646" i="2"/>
  <c r="F645" i="2"/>
  <c r="D645" i="2"/>
  <c r="F644" i="2"/>
  <c r="D644" i="2"/>
  <c r="F643" i="2"/>
  <c r="D643" i="2"/>
  <c r="F642" i="2"/>
  <c r="D642" i="2"/>
  <c r="F641" i="2"/>
  <c r="D641" i="2"/>
  <c r="F640" i="2"/>
  <c r="D640" i="2"/>
  <c r="F639" i="2"/>
  <c r="D639" i="2"/>
  <c r="F638" i="2"/>
  <c r="D638" i="2"/>
  <c r="F637" i="2"/>
  <c r="D637" i="2"/>
  <c r="F636" i="2"/>
  <c r="D636" i="2"/>
  <c r="F635" i="2"/>
  <c r="D635" i="2"/>
  <c r="F634" i="2"/>
  <c r="D634" i="2"/>
  <c r="F633" i="2"/>
  <c r="D633" i="2"/>
  <c r="F632" i="2"/>
  <c r="D632" i="2"/>
  <c r="F631" i="2"/>
  <c r="D631" i="2"/>
  <c r="F630" i="2"/>
  <c r="D630" i="2"/>
  <c r="F629" i="2"/>
  <c r="D629" i="2"/>
  <c r="F628" i="2"/>
  <c r="D628" i="2"/>
  <c r="F627" i="2"/>
  <c r="D627" i="2"/>
  <c r="F626" i="2"/>
  <c r="D626" i="2"/>
  <c r="F625" i="2"/>
  <c r="D625" i="2"/>
  <c r="F624" i="2"/>
  <c r="D624" i="2"/>
  <c r="F623" i="2"/>
  <c r="D623" i="2"/>
  <c r="F622" i="2"/>
  <c r="D622" i="2"/>
  <c r="F621" i="2"/>
  <c r="D621" i="2"/>
  <c r="F620" i="2"/>
  <c r="D620" i="2"/>
  <c r="F619" i="2"/>
  <c r="D619" i="2"/>
  <c r="F618" i="2"/>
  <c r="D618" i="2"/>
  <c r="F617" i="2"/>
  <c r="D617" i="2"/>
  <c r="F616" i="2"/>
  <c r="D616" i="2"/>
  <c r="F615" i="2"/>
  <c r="D615" i="2"/>
  <c r="F614" i="2"/>
  <c r="D614" i="2"/>
  <c r="F613" i="2"/>
  <c r="D613" i="2"/>
  <c r="F612" i="2"/>
  <c r="D612" i="2"/>
  <c r="F611" i="2"/>
  <c r="D611" i="2"/>
  <c r="F610" i="2"/>
  <c r="D610" i="2"/>
  <c r="F609" i="2"/>
  <c r="D609" i="2"/>
  <c r="F608" i="2"/>
  <c r="D608" i="2"/>
  <c r="F607" i="2"/>
  <c r="D607" i="2"/>
  <c r="F606" i="2"/>
  <c r="D606" i="2"/>
  <c r="F605" i="2"/>
  <c r="D605" i="2"/>
  <c r="F604" i="2"/>
  <c r="D604" i="2"/>
  <c r="F603" i="2"/>
  <c r="D603" i="2"/>
  <c r="F602" i="2"/>
  <c r="D602" i="2"/>
  <c r="F601" i="2"/>
  <c r="D601" i="2"/>
  <c r="F600" i="2"/>
  <c r="D600" i="2"/>
  <c r="F599" i="2"/>
  <c r="D599" i="2"/>
  <c r="F598" i="2"/>
  <c r="D598" i="2"/>
  <c r="F597" i="2"/>
  <c r="D597" i="2"/>
  <c r="F596" i="2"/>
  <c r="D596" i="2"/>
  <c r="F595" i="2"/>
  <c r="D595" i="2"/>
  <c r="F594" i="2"/>
  <c r="D594" i="2"/>
  <c r="F593" i="2"/>
  <c r="D593" i="2"/>
  <c r="F592" i="2"/>
  <c r="D592" i="2"/>
  <c r="F591" i="2"/>
  <c r="D591" i="2"/>
  <c r="F590" i="2"/>
  <c r="D590" i="2"/>
  <c r="F589" i="2"/>
  <c r="D589" i="2"/>
  <c r="F588" i="2"/>
  <c r="D588" i="2"/>
  <c r="F587" i="2"/>
  <c r="D587" i="2"/>
  <c r="F586" i="2"/>
  <c r="D586" i="2"/>
  <c r="F585" i="2"/>
  <c r="D585" i="2"/>
  <c r="F584" i="2"/>
  <c r="D584" i="2"/>
  <c r="F583" i="2"/>
  <c r="D583" i="2"/>
  <c r="F582" i="2"/>
  <c r="D582" i="2"/>
  <c r="F581" i="2"/>
  <c r="D581" i="2"/>
  <c r="F580" i="2"/>
  <c r="D580" i="2"/>
  <c r="F579" i="2"/>
  <c r="D579" i="2"/>
  <c r="F578" i="2"/>
  <c r="D578" i="2"/>
  <c r="F577" i="2"/>
  <c r="D577" i="2"/>
  <c r="F576" i="2"/>
  <c r="D576" i="2"/>
  <c r="F575" i="2"/>
  <c r="D575" i="2"/>
  <c r="F574" i="2"/>
  <c r="D574" i="2"/>
  <c r="F573" i="2"/>
  <c r="D573" i="2"/>
  <c r="F572" i="2"/>
  <c r="D572" i="2"/>
  <c r="F571" i="2"/>
  <c r="D571" i="2"/>
  <c r="F570" i="2"/>
  <c r="D570" i="2"/>
  <c r="F569" i="2"/>
  <c r="D569" i="2"/>
  <c r="F568" i="2"/>
  <c r="D568" i="2"/>
  <c r="F567" i="2"/>
  <c r="D567" i="2"/>
  <c r="F566" i="2"/>
  <c r="D566" i="2"/>
  <c r="F565" i="2"/>
  <c r="D565" i="2"/>
  <c r="F564" i="2"/>
  <c r="D564" i="2"/>
  <c r="F563" i="2"/>
  <c r="D563" i="2"/>
  <c r="F562" i="2"/>
  <c r="D562" i="2"/>
  <c r="F561" i="2"/>
  <c r="D561" i="2"/>
  <c r="F560" i="2"/>
  <c r="D560" i="2"/>
  <c r="F559" i="2"/>
  <c r="D559" i="2"/>
  <c r="F558" i="2"/>
  <c r="D558" i="2"/>
  <c r="F557" i="2"/>
  <c r="D557" i="2"/>
  <c r="F556" i="2"/>
  <c r="D556" i="2"/>
  <c r="F555" i="2"/>
  <c r="D555" i="2"/>
  <c r="F554" i="2"/>
  <c r="D554" i="2"/>
  <c r="F553" i="2"/>
  <c r="D553" i="2"/>
  <c r="F552" i="2"/>
  <c r="D552" i="2"/>
  <c r="F551" i="2"/>
  <c r="D551" i="2"/>
  <c r="F550" i="2"/>
  <c r="D550" i="2"/>
  <c r="F549" i="2"/>
  <c r="D549" i="2"/>
  <c r="F548" i="2"/>
  <c r="D548" i="2"/>
  <c r="F547" i="2"/>
  <c r="D547" i="2"/>
  <c r="F546" i="2"/>
  <c r="D546" i="2"/>
  <c r="F545" i="2"/>
  <c r="D545" i="2"/>
  <c r="F544" i="2"/>
  <c r="D544" i="2"/>
  <c r="F543" i="2"/>
  <c r="D543" i="2"/>
  <c r="F542" i="2"/>
  <c r="D542" i="2"/>
  <c r="F541" i="2"/>
  <c r="D541" i="2"/>
  <c r="F540" i="2"/>
  <c r="D540" i="2"/>
  <c r="F539" i="2"/>
  <c r="D539" i="2"/>
  <c r="F538" i="2"/>
  <c r="D538" i="2"/>
  <c r="F537" i="2"/>
  <c r="D537" i="2"/>
  <c r="F536" i="2"/>
  <c r="D536" i="2"/>
  <c r="F535" i="2"/>
  <c r="D535" i="2"/>
  <c r="F534" i="2"/>
  <c r="D534" i="2"/>
  <c r="F533" i="2"/>
  <c r="D533" i="2"/>
  <c r="F532" i="2"/>
  <c r="D532" i="2"/>
  <c r="F531" i="2"/>
  <c r="D531" i="2"/>
  <c r="F530" i="2"/>
  <c r="D530" i="2"/>
  <c r="F529" i="2"/>
  <c r="D529" i="2"/>
  <c r="F528" i="2"/>
  <c r="D528" i="2"/>
  <c r="F527" i="2"/>
  <c r="D527" i="2"/>
  <c r="F526" i="2"/>
  <c r="D526" i="2"/>
  <c r="F525" i="2"/>
  <c r="D525" i="2"/>
  <c r="F524" i="2"/>
  <c r="D524" i="2"/>
  <c r="F523" i="2"/>
  <c r="D523" i="2"/>
  <c r="F522" i="2"/>
  <c r="D522" i="2"/>
  <c r="F521" i="2"/>
  <c r="D521" i="2"/>
  <c r="F520" i="2"/>
  <c r="D520" i="2"/>
  <c r="F519" i="2"/>
  <c r="D519" i="2"/>
  <c r="F518" i="2"/>
  <c r="D518" i="2"/>
  <c r="F517" i="2"/>
  <c r="D517" i="2"/>
  <c r="F516" i="2"/>
  <c r="D516" i="2"/>
  <c r="F515" i="2"/>
  <c r="D515" i="2"/>
  <c r="F514" i="2"/>
  <c r="D514" i="2"/>
  <c r="F513" i="2"/>
  <c r="D513" i="2"/>
  <c r="F512" i="2"/>
  <c r="D512" i="2"/>
  <c r="F511" i="2"/>
  <c r="D511" i="2"/>
  <c r="F510" i="2"/>
  <c r="D510" i="2"/>
  <c r="F509" i="2"/>
  <c r="D509" i="2"/>
  <c r="F508" i="2"/>
  <c r="D508" i="2"/>
  <c r="F507" i="2"/>
  <c r="D507" i="2"/>
  <c r="F506" i="2"/>
  <c r="D506" i="2"/>
  <c r="F505" i="2"/>
  <c r="D505" i="2"/>
  <c r="F504" i="2"/>
  <c r="D504" i="2"/>
  <c r="F503" i="2"/>
  <c r="D503" i="2"/>
  <c r="F502" i="2"/>
  <c r="D502" i="2"/>
  <c r="F501" i="2"/>
  <c r="D501" i="2"/>
  <c r="F500" i="2"/>
  <c r="D500" i="2"/>
  <c r="F499" i="2"/>
  <c r="D499" i="2"/>
  <c r="F498" i="2"/>
  <c r="D498" i="2"/>
  <c r="F497" i="2"/>
  <c r="D497" i="2"/>
  <c r="F496" i="2"/>
  <c r="D496" i="2"/>
  <c r="F495" i="2"/>
  <c r="D495" i="2"/>
  <c r="F494" i="2"/>
  <c r="D494" i="2"/>
  <c r="F493" i="2"/>
  <c r="D493" i="2"/>
  <c r="F492" i="2"/>
  <c r="D492" i="2"/>
  <c r="F491" i="2"/>
  <c r="D491" i="2"/>
  <c r="F490" i="2"/>
  <c r="D490" i="2"/>
  <c r="F489" i="2"/>
  <c r="D489" i="2"/>
  <c r="F488" i="2"/>
  <c r="D488" i="2"/>
  <c r="F487" i="2"/>
  <c r="D487" i="2"/>
  <c r="F486" i="2"/>
  <c r="D486" i="2"/>
  <c r="F485" i="2"/>
  <c r="D485" i="2"/>
  <c r="F484" i="2"/>
  <c r="D484" i="2"/>
  <c r="F483" i="2"/>
  <c r="D483" i="2"/>
  <c r="F482" i="2"/>
  <c r="D482" i="2"/>
  <c r="F481" i="2"/>
  <c r="D481" i="2"/>
  <c r="F480" i="2"/>
  <c r="D480" i="2"/>
  <c r="F479" i="2"/>
  <c r="D479" i="2"/>
  <c r="F478" i="2"/>
  <c r="D478" i="2"/>
  <c r="F477" i="2"/>
  <c r="D477" i="2"/>
  <c r="F476" i="2"/>
  <c r="D476" i="2"/>
  <c r="F475" i="2"/>
  <c r="D475" i="2"/>
  <c r="F474" i="2"/>
  <c r="D474" i="2"/>
  <c r="F473" i="2"/>
  <c r="D473" i="2"/>
  <c r="F472" i="2"/>
  <c r="D472" i="2"/>
  <c r="F471" i="2"/>
  <c r="D471" i="2"/>
  <c r="F470" i="2"/>
  <c r="D470" i="2"/>
  <c r="F469" i="2"/>
  <c r="D469" i="2"/>
  <c r="F468" i="2"/>
  <c r="D468" i="2"/>
  <c r="F467" i="2"/>
  <c r="D467" i="2"/>
  <c r="F466" i="2"/>
  <c r="D466" i="2"/>
  <c r="F465" i="2"/>
  <c r="D465" i="2"/>
  <c r="F464" i="2"/>
  <c r="D464" i="2"/>
  <c r="F463" i="2"/>
  <c r="D463" i="2"/>
  <c r="F462" i="2"/>
  <c r="D462" i="2"/>
  <c r="F461" i="2"/>
  <c r="D461" i="2"/>
  <c r="F460" i="2"/>
  <c r="D460" i="2"/>
  <c r="F459" i="2"/>
  <c r="D459" i="2"/>
  <c r="F458" i="2"/>
  <c r="D458" i="2"/>
  <c r="F457" i="2"/>
  <c r="D457" i="2"/>
  <c r="F456" i="2"/>
  <c r="D456" i="2"/>
  <c r="F455" i="2"/>
  <c r="D455" i="2"/>
  <c r="F454" i="2"/>
  <c r="D454" i="2"/>
  <c r="F453" i="2"/>
  <c r="D453" i="2"/>
  <c r="F452" i="2"/>
  <c r="D452" i="2"/>
  <c r="F451" i="2"/>
  <c r="D451" i="2"/>
  <c r="F450" i="2"/>
  <c r="D450" i="2"/>
  <c r="F449" i="2"/>
  <c r="D449" i="2"/>
  <c r="F448" i="2"/>
  <c r="D448" i="2"/>
  <c r="F447" i="2"/>
  <c r="D447" i="2"/>
  <c r="F446" i="2"/>
  <c r="D446" i="2"/>
  <c r="F445" i="2"/>
  <c r="D445" i="2"/>
  <c r="F444" i="2"/>
  <c r="D444" i="2"/>
  <c r="F443" i="2"/>
  <c r="D443" i="2"/>
  <c r="F442" i="2"/>
  <c r="D442" i="2"/>
  <c r="F441" i="2"/>
  <c r="D441" i="2"/>
  <c r="F440" i="2"/>
  <c r="D440" i="2"/>
  <c r="F439" i="2"/>
  <c r="D439" i="2"/>
  <c r="F438" i="2"/>
  <c r="D438" i="2"/>
  <c r="F437" i="2"/>
  <c r="D437" i="2"/>
  <c r="F436" i="2"/>
  <c r="D436" i="2"/>
  <c r="F435" i="2"/>
  <c r="D435" i="2"/>
  <c r="F434" i="2"/>
  <c r="D434" i="2"/>
  <c r="F433" i="2"/>
  <c r="D433" i="2"/>
  <c r="F432" i="2"/>
  <c r="D432" i="2"/>
  <c r="F431" i="2"/>
  <c r="D431" i="2"/>
  <c r="F430" i="2"/>
  <c r="D430" i="2"/>
  <c r="F429" i="2"/>
  <c r="D429" i="2"/>
  <c r="F428" i="2"/>
  <c r="D428" i="2"/>
  <c r="F427" i="2"/>
  <c r="D427" i="2"/>
  <c r="F426" i="2"/>
  <c r="D426" i="2"/>
  <c r="F425" i="2"/>
  <c r="D425" i="2"/>
  <c r="F424" i="2"/>
  <c r="D424" i="2"/>
  <c r="F423" i="2"/>
  <c r="D423" i="2"/>
  <c r="F422" i="2"/>
  <c r="D422" i="2"/>
  <c r="F421" i="2"/>
  <c r="D421" i="2"/>
  <c r="F420" i="2"/>
  <c r="D420" i="2"/>
  <c r="F419" i="2"/>
  <c r="D419" i="2"/>
  <c r="F418" i="2"/>
  <c r="D418" i="2"/>
  <c r="F417" i="2"/>
  <c r="D417" i="2"/>
  <c r="F416" i="2"/>
  <c r="D416" i="2"/>
  <c r="F415" i="2"/>
  <c r="D415" i="2"/>
  <c r="F414" i="2"/>
  <c r="D414" i="2"/>
  <c r="F413" i="2"/>
  <c r="D413" i="2"/>
  <c r="F412" i="2"/>
  <c r="D412" i="2"/>
  <c r="F411" i="2"/>
  <c r="D411" i="2"/>
  <c r="F410" i="2"/>
  <c r="D410" i="2"/>
  <c r="F409" i="2"/>
  <c r="D409" i="2"/>
  <c r="F408" i="2"/>
  <c r="D408" i="2"/>
  <c r="F407" i="2"/>
  <c r="D407" i="2"/>
  <c r="F406" i="2"/>
  <c r="D406" i="2"/>
  <c r="F405" i="2"/>
  <c r="D405" i="2"/>
  <c r="F404" i="2"/>
  <c r="D404" i="2"/>
  <c r="F403" i="2"/>
  <c r="D403" i="2"/>
  <c r="F402" i="2"/>
  <c r="D402" i="2"/>
  <c r="F401" i="2"/>
  <c r="D401" i="2"/>
  <c r="F400" i="2"/>
  <c r="D400" i="2"/>
  <c r="F399" i="2"/>
  <c r="D399" i="2"/>
  <c r="F398" i="2"/>
  <c r="D398" i="2"/>
  <c r="F397" i="2"/>
  <c r="D397" i="2"/>
  <c r="F396" i="2"/>
  <c r="D396" i="2"/>
  <c r="F395" i="2"/>
  <c r="D395" i="2"/>
  <c r="F394" i="2"/>
  <c r="D394" i="2"/>
  <c r="F393" i="2"/>
  <c r="D393" i="2"/>
  <c r="F392" i="2"/>
  <c r="D392" i="2"/>
  <c r="F391" i="2"/>
  <c r="D391" i="2"/>
  <c r="F390" i="2"/>
  <c r="D390" i="2"/>
  <c r="F389" i="2"/>
  <c r="D389" i="2"/>
  <c r="F388" i="2"/>
  <c r="D388" i="2"/>
  <c r="F387" i="2"/>
  <c r="D387" i="2"/>
  <c r="F386" i="2"/>
  <c r="D386" i="2"/>
  <c r="F385" i="2"/>
  <c r="D385" i="2"/>
  <c r="F384" i="2"/>
  <c r="D384" i="2"/>
  <c r="F383" i="2"/>
  <c r="D383" i="2"/>
  <c r="F382" i="2"/>
  <c r="D382" i="2"/>
  <c r="F381" i="2"/>
  <c r="D381" i="2"/>
  <c r="F380" i="2"/>
  <c r="D380" i="2"/>
  <c r="F379" i="2"/>
  <c r="D379" i="2"/>
  <c r="F378" i="2"/>
  <c r="D378" i="2"/>
  <c r="F377" i="2"/>
  <c r="D377" i="2"/>
  <c r="F376" i="2"/>
  <c r="D376" i="2"/>
  <c r="F375" i="2"/>
  <c r="D375" i="2"/>
  <c r="F374" i="2"/>
  <c r="D374" i="2"/>
  <c r="F373" i="2"/>
  <c r="D373" i="2"/>
  <c r="F372" i="2"/>
  <c r="D372" i="2"/>
  <c r="F371" i="2"/>
  <c r="D371" i="2"/>
  <c r="F370" i="2"/>
  <c r="D370" i="2"/>
  <c r="F369" i="2"/>
  <c r="D369" i="2"/>
  <c r="F368" i="2"/>
  <c r="D368" i="2"/>
  <c r="F367" i="2"/>
  <c r="D367" i="2"/>
  <c r="F366" i="2"/>
  <c r="D366" i="2"/>
  <c r="F365" i="2"/>
  <c r="D365" i="2"/>
  <c r="F364" i="2"/>
  <c r="D364" i="2"/>
  <c r="F363" i="2"/>
  <c r="D363" i="2"/>
  <c r="F362" i="2"/>
  <c r="D362" i="2"/>
  <c r="F361" i="2"/>
  <c r="D361" i="2"/>
  <c r="F360" i="2"/>
  <c r="D360" i="2"/>
  <c r="F359" i="2"/>
  <c r="D359" i="2"/>
  <c r="F358" i="2"/>
  <c r="D358" i="2"/>
  <c r="F357" i="2"/>
  <c r="D357" i="2"/>
  <c r="F356" i="2"/>
  <c r="D356" i="2"/>
  <c r="F355" i="2"/>
  <c r="D355" i="2"/>
  <c r="F354" i="2"/>
  <c r="D354" i="2"/>
  <c r="F353" i="2"/>
  <c r="D353" i="2"/>
  <c r="F352" i="2"/>
  <c r="D352" i="2"/>
  <c r="F351" i="2"/>
  <c r="D351" i="2"/>
  <c r="F350" i="2"/>
  <c r="D350" i="2"/>
  <c r="F349" i="2"/>
  <c r="D349" i="2"/>
  <c r="F348" i="2"/>
  <c r="D348" i="2"/>
  <c r="F347" i="2"/>
  <c r="D347" i="2"/>
  <c r="F346" i="2"/>
  <c r="D346" i="2"/>
  <c r="F345" i="2"/>
  <c r="D345" i="2"/>
  <c r="F344" i="2"/>
  <c r="D344" i="2"/>
  <c r="F343" i="2"/>
  <c r="D343" i="2"/>
  <c r="F342" i="2"/>
  <c r="D342" i="2"/>
  <c r="F341" i="2"/>
  <c r="D341" i="2"/>
  <c r="F340" i="2"/>
  <c r="D340" i="2"/>
  <c r="F339" i="2"/>
  <c r="D339" i="2"/>
  <c r="F338" i="2"/>
  <c r="D338" i="2"/>
  <c r="F337" i="2"/>
  <c r="D337" i="2"/>
  <c r="F336" i="2"/>
  <c r="D336" i="2"/>
  <c r="F335" i="2"/>
  <c r="D335" i="2"/>
  <c r="F334" i="2"/>
  <c r="D334" i="2"/>
  <c r="F333" i="2"/>
  <c r="D333" i="2"/>
  <c r="F332" i="2"/>
  <c r="D332" i="2"/>
  <c r="F331" i="2"/>
  <c r="D331" i="2"/>
  <c r="F330" i="2"/>
  <c r="D330" i="2"/>
  <c r="F329" i="2"/>
  <c r="D329" i="2"/>
  <c r="F328" i="2"/>
  <c r="D328" i="2"/>
  <c r="F327" i="2"/>
  <c r="D327" i="2"/>
  <c r="F326" i="2"/>
  <c r="D326" i="2"/>
  <c r="F325" i="2"/>
  <c r="D325" i="2"/>
  <c r="F324" i="2"/>
  <c r="D324" i="2"/>
  <c r="F323" i="2"/>
  <c r="D323" i="2"/>
  <c r="F322" i="2"/>
  <c r="D322" i="2"/>
  <c r="F321" i="2"/>
  <c r="D321" i="2"/>
  <c r="F320" i="2"/>
  <c r="D320" i="2"/>
  <c r="F319" i="2"/>
  <c r="D319" i="2"/>
  <c r="F318" i="2"/>
  <c r="D318" i="2"/>
  <c r="F317" i="2"/>
  <c r="D317" i="2"/>
  <c r="F316" i="2"/>
  <c r="D316" i="2"/>
  <c r="F315" i="2"/>
  <c r="D315" i="2"/>
  <c r="F314" i="2"/>
  <c r="D314" i="2"/>
  <c r="F313" i="2"/>
  <c r="D313" i="2"/>
  <c r="F312" i="2"/>
  <c r="D312" i="2"/>
  <c r="F311" i="2"/>
  <c r="D311" i="2"/>
  <c r="F310" i="2"/>
  <c r="D310" i="2"/>
  <c r="F309" i="2"/>
  <c r="D309" i="2"/>
  <c r="F308" i="2"/>
  <c r="D308" i="2"/>
  <c r="F307" i="2"/>
  <c r="D307" i="2"/>
  <c r="F306" i="2"/>
  <c r="D306" i="2"/>
  <c r="F305" i="2"/>
  <c r="D305" i="2"/>
  <c r="F304" i="2"/>
  <c r="D304" i="2"/>
  <c r="F303" i="2"/>
  <c r="D303" i="2"/>
  <c r="F302" i="2"/>
  <c r="D302" i="2"/>
  <c r="F301" i="2"/>
  <c r="D301" i="2"/>
  <c r="F300" i="2"/>
  <c r="D300" i="2"/>
  <c r="F299" i="2"/>
  <c r="D299" i="2"/>
  <c r="F298" i="2"/>
  <c r="D298" i="2"/>
  <c r="F297" i="2"/>
  <c r="D297" i="2"/>
  <c r="F296" i="2"/>
  <c r="D296" i="2"/>
  <c r="F295" i="2"/>
  <c r="D295" i="2"/>
  <c r="F294" i="2"/>
  <c r="D294" i="2"/>
  <c r="F293" i="2"/>
  <c r="D293" i="2"/>
  <c r="F292" i="2"/>
  <c r="D292" i="2"/>
  <c r="F291" i="2"/>
  <c r="D291" i="2"/>
  <c r="F290" i="2"/>
  <c r="D290" i="2"/>
  <c r="F289" i="2"/>
  <c r="D289" i="2"/>
  <c r="F288" i="2"/>
  <c r="D288" i="2"/>
  <c r="F287" i="2"/>
  <c r="D287" i="2"/>
  <c r="F286" i="2"/>
  <c r="D286" i="2"/>
  <c r="F285" i="2"/>
  <c r="D285" i="2"/>
  <c r="F284" i="2"/>
  <c r="D284" i="2"/>
  <c r="F283" i="2"/>
  <c r="D283" i="2"/>
  <c r="F282" i="2"/>
  <c r="D282" i="2"/>
  <c r="F281" i="2"/>
  <c r="D281" i="2"/>
  <c r="F280" i="2"/>
  <c r="D280" i="2"/>
  <c r="F279" i="2"/>
  <c r="D279" i="2"/>
  <c r="F278" i="2"/>
  <c r="D278" i="2"/>
  <c r="F277" i="2"/>
  <c r="D277" i="2"/>
  <c r="F276" i="2"/>
  <c r="D276" i="2"/>
  <c r="F275" i="2"/>
  <c r="D275" i="2"/>
  <c r="F274" i="2"/>
  <c r="D274" i="2"/>
  <c r="F273" i="2"/>
  <c r="D273" i="2"/>
  <c r="F272" i="2"/>
  <c r="D272" i="2"/>
  <c r="F271" i="2"/>
  <c r="D271" i="2"/>
  <c r="F270" i="2"/>
  <c r="D270" i="2"/>
  <c r="F269" i="2"/>
  <c r="D269" i="2"/>
  <c r="F268" i="2"/>
  <c r="D268" i="2"/>
  <c r="F267" i="2"/>
  <c r="D267" i="2"/>
  <c r="F266" i="2"/>
  <c r="D266" i="2"/>
  <c r="F265" i="2"/>
  <c r="D265" i="2"/>
  <c r="F264" i="2"/>
  <c r="D264" i="2"/>
  <c r="F263" i="2"/>
  <c r="D263" i="2"/>
  <c r="F262" i="2"/>
  <c r="D262" i="2"/>
  <c r="F261" i="2"/>
  <c r="D261" i="2"/>
  <c r="F260" i="2"/>
  <c r="D260" i="2"/>
  <c r="F259" i="2"/>
  <c r="D259" i="2"/>
  <c r="F258" i="2"/>
  <c r="D258" i="2"/>
  <c r="F257" i="2"/>
  <c r="D257" i="2"/>
  <c r="F256" i="2"/>
  <c r="D256" i="2"/>
  <c r="F255" i="2"/>
  <c r="D255" i="2"/>
  <c r="F254" i="2"/>
  <c r="D254" i="2"/>
  <c r="F253" i="2"/>
  <c r="D253" i="2"/>
  <c r="F252" i="2"/>
  <c r="D252" i="2"/>
  <c r="F251" i="2"/>
  <c r="D251" i="2"/>
  <c r="F250" i="2"/>
  <c r="D250" i="2"/>
  <c r="F249" i="2"/>
  <c r="D249" i="2"/>
  <c r="F248" i="2"/>
  <c r="D248" i="2"/>
  <c r="F247" i="2"/>
  <c r="D247" i="2"/>
  <c r="F246" i="2"/>
  <c r="D246" i="2"/>
  <c r="F245" i="2"/>
  <c r="D245" i="2"/>
  <c r="F244" i="2"/>
  <c r="D244" i="2"/>
  <c r="F243" i="2"/>
  <c r="D243" i="2"/>
  <c r="F242" i="2"/>
  <c r="D242" i="2"/>
  <c r="F241" i="2"/>
  <c r="D241" i="2"/>
  <c r="F240" i="2"/>
  <c r="D240" i="2"/>
  <c r="F239" i="2"/>
  <c r="D239" i="2"/>
  <c r="F238" i="2"/>
  <c r="D238" i="2"/>
  <c r="F237" i="2"/>
  <c r="D237" i="2"/>
  <c r="F236" i="2"/>
  <c r="D236" i="2"/>
  <c r="F235" i="2"/>
  <c r="D235" i="2"/>
  <c r="F234" i="2"/>
  <c r="D234" i="2"/>
  <c r="F233" i="2"/>
  <c r="D233" i="2"/>
  <c r="F232" i="2"/>
  <c r="D232" i="2"/>
  <c r="F231" i="2"/>
  <c r="D231" i="2"/>
  <c r="F230" i="2"/>
  <c r="D230" i="2"/>
  <c r="F229" i="2"/>
  <c r="D229" i="2"/>
  <c r="F228" i="2"/>
  <c r="D228" i="2"/>
  <c r="F227" i="2"/>
  <c r="D227" i="2"/>
  <c r="F226" i="2"/>
  <c r="D226" i="2"/>
  <c r="F225" i="2"/>
  <c r="D225" i="2"/>
  <c r="F224" i="2"/>
  <c r="D224" i="2"/>
  <c r="F223" i="2"/>
  <c r="D223" i="2"/>
  <c r="F222" i="2"/>
  <c r="D222" i="2"/>
  <c r="F221" i="2"/>
  <c r="D221" i="2"/>
  <c r="F220" i="2"/>
  <c r="D220" i="2"/>
  <c r="F219" i="2"/>
  <c r="D219" i="2"/>
  <c r="F218" i="2"/>
  <c r="D218" i="2"/>
  <c r="F217" i="2"/>
  <c r="D217" i="2"/>
  <c r="F216" i="2"/>
  <c r="D216" i="2"/>
  <c r="F215" i="2"/>
  <c r="D215" i="2"/>
  <c r="F214" i="2"/>
  <c r="D214" i="2"/>
  <c r="F213" i="2"/>
  <c r="D213" i="2"/>
  <c r="F212" i="2"/>
  <c r="D212" i="2"/>
  <c r="F211" i="2"/>
  <c r="D211" i="2"/>
  <c r="F210" i="2"/>
  <c r="D210" i="2"/>
  <c r="F209" i="2"/>
  <c r="D209" i="2"/>
  <c r="F208" i="2"/>
  <c r="D208" i="2"/>
  <c r="F207" i="2"/>
  <c r="D207" i="2"/>
  <c r="F206" i="2"/>
  <c r="D206" i="2"/>
  <c r="F205" i="2"/>
  <c r="D205" i="2"/>
  <c r="F204" i="2"/>
  <c r="D204" i="2"/>
  <c r="F203" i="2"/>
  <c r="D203" i="2"/>
  <c r="F202" i="2"/>
  <c r="D202" i="2"/>
  <c r="F201" i="2"/>
  <c r="D201" i="2"/>
  <c r="F200" i="2"/>
  <c r="D200" i="2"/>
  <c r="F199" i="2"/>
  <c r="D199" i="2"/>
  <c r="F198" i="2"/>
  <c r="D198" i="2"/>
  <c r="F197" i="2"/>
  <c r="D197" i="2"/>
  <c r="F196" i="2"/>
  <c r="D196" i="2"/>
  <c r="F195" i="2"/>
  <c r="D195" i="2"/>
  <c r="F194" i="2"/>
  <c r="D194" i="2"/>
  <c r="F193" i="2"/>
  <c r="D193" i="2"/>
  <c r="F192" i="2"/>
  <c r="D192" i="2"/>
  <c r="F191" i="2"/>
  <c r="D191" i="2"/>
  <c r="F190" i="2"/>
  <c r="D190" i="2"/>
  <c r="F189" i="2"/>
  <c r="D189" i="2"/>
  <c r="F188" i="2"/>
  <c r="D188" i="2"/>
  <c r="F187" i="2"/>
  <c r="D187" i="2"/>
  <c r="F186" i="2"/>
  <c r="D186" i="2"/>
  <c r="F185" i="2"/>
  <c r="D185" i="2"/>
  <c r="F184" i="2"/>
  <c r="D184" i="2"/>
  <c r="F183" i="2"/>
  <c r="D183" i="2"/>
  <c r="F182" i="2"/>
  <c r="D182" i="2"/>
  <c r="F181" i="2"/>
  <c r="D181" i="2"/>
  <c r="F180" i="2"/>
  <c r="D180" i="2"/>
  <c r="F179" i="2"/>
  <c r="D179" i="2"/>
  <c r="F178" i="2"/>
  <c r="D178" i="2"/>
  <c r="F177" i="2"/>
  <c r="D177" i="2"/>
  <c r="F176" i="2"/>
  <c r="D176" i="2"/>
  <c r="F175" i="2"/>
  <c r="D175" i="2"/>
  <c r="F174" i="2"/>
  <c r="D174" i="2"/>
  <c r="F173" i="2"/>
  <c r="D173" i="2"/>
  <c r="F172" i="2"/>
  <c r="D172" i="2"/>
  <c r="F171" i="2"/>
  <c r="D171" i="2"/>
  <c r="F170" i="2"/>
  <c r="D170" i="2"/>
  <c r="F169" i="2"/>
  <c r="D169" i="2"/>
  <c r="F168" i="2"/>
  <c r="D168" i="2"/>
  <c r="F167" i="2"/>
  <c r="D167" i="2"/>
  <c r="F166" i="2"/>
  <c r="D166" i="2"/>
  <c r="F165" i="2"/>
  <c r="D165" i="2"/>
  <c r="F164" i="2"/>
  <c r="D164" i="2"/>
  <c r="F163" i="2"/>
  <c r="D163" i="2"/>
  <c r="F162" i="2"/>
  <c r="D162" i="2"/>
  <c r="F161" i="2"/>
  <c r="D161" i="2"/>
  <c r="F160" i="2"/>
  <c r="D160" i="2"/>
  <c r="F159" i="2"/>
  <c r="D159" i="2"/>
  <c r="F158" i="2"/>
  <c r="D158" i="2"/>
  <c r="F157" i="2"/>
  <c r="D157" i="2"/>
  <c r="F156" i="2"/>
  <c r="D156" i="2"/>
  <c r="F155" i="2"/>
  <c r="D155" i="2"/>
  <c r="F154" i="2"/>
  <c r="D154" i="2"/>
  <c r="F153" i="2"/>
  <c r="D153" i="2"/>
  <c r="F152" i="2"/>
  <c r="D152" i="2"/>
  <c r="F151" i="2"/>
  <c r="D151" i="2"/>
  <c r="F150" i="2"/>
  <c r="D150" i="2"/>
  <c r="F149" i="2"/>
  <c r="D149" i="2"/>
  <c r="F148" i="2"/>
  <c r="D148" i="2"/>
  <c r="F147" i="2"/>
  <c r="D147" i="2"/>
  <c r="F146" i="2"/>
  <c r="D146" i="2"/>
  <c r="F145" i="2"/>
  <c r="D145" i="2"/>
  <c r="F144" i="2"/>
  <c r="D144" i="2"/>
  <c r="F143" i="2"/>
  <c r="D143" i="2"/>
  <c r="F142" i="2"/>
  <c r="D142" i="2"/>
  <c r="F141" i="2"/>
  <c r="D141" i="2"/>
  <c r="F140" i="2"/>
  <c r="D140" i="2"/>
  <c r="F139" i="2"/>
  <c r="D139" i="2"/>
  <c r="F138" i="2"/>
  <c r="D138" i="2"/>
  <c r="F137" i="2"/>
  <c r="D137" i="2"/>
  <c r="F136" i="2"/>
  <c r="D136" i="2"/>
  <c r="F135" i="2"/>
  <c r="D135" i="2"/>
  <c r="F134" i="2"/>
  <c r="D134" i="2"/>
  <c r="F133" i="2"/>
  <c r="D133" i="2"/>
  <c r="F132" i="2"/>
  <c r="D132" i="2"/>
  <c r="F131" i="2"/>
  <c r="D131" i="2"/>
  <c r="F130" i="2"/>
  <c r="D130" i="2"/>
  <c r="F129" i="2"/>
  <c r="D129" i="2"/>
  <c r="F128" i="2"/>
  <c r="D128" i="2"/>
  <c r="F127" i="2"/>
  <c r="D127" i="2"/>
  <c r="F126" i="2"/>
  <c r="D126" i="2"/>
  <c r="F125" i="2"/>
  <c r="D125" i="2"/>
  <c r="F124" i="2"/>
  <c r="D124" i="2"/>
  <c r="F123" i="2"/>
  <c r="D123" i="2"/>
  <c r="F122" i="2"/>
  <c r="D122" i="2"/>
  <c r="F121" i="2"/>
  <c r="D121" i="2"/>
  <c r="F120" i="2"/>
  <c r="D120" i="2"/>
  <c r="F119" i="2"/>
  <c r="D119" i="2"/>
  <c r="F118" i="2"/>
  <c r="D118" i="2"/>
  <c r="F117" i="2"/>
  <c r="D117" i="2"/>
  <c r="F116" i="2"/>
  <c r="D116" i="2"/>
  <c r="F115" i="2"/>
  <c r="D115" i="2"/>
  <c r="F114" i="2"/>
  <c r="D114" i="2"/>
  <c r="F113" i="2"/>
  <c r="D113" i="2"/>
  <c r="F112" i="2"/>
  <c r="D112" i="2"/>
  <c r="F111" i="2"/>
  <c r="D111" i="2"/>
  <c r="F110" i="2"/>
  <c r="D110" i="2"/>
  <c r="F109" i="2"/>
  <c r="D109" i="2"/>
  <c r="F108" i="2"/>
  <c r="D108" i="2"/>
  <c r="F107" i="2"/>
  <c r="D107" i="2"/>
  <c r="F106" i="2"/>
  <c r="D106" i="2"/>
  <c r="F105" i="2"/>
  <c r="D105" i="2"/>
  <c r="F104" i="2"/>
  <c r="D104" i="2"/>
  <c r="F103" i="2"/>
  <c r="D103" i="2"/>
  <c r="F102" i="2"/>
  <c r="D102" i="2"/>
  <c r="F101" i="2"/>
  <c r="D101" i="2"/>
  <c r="F100" i="2"/>
  <c r="D100" i="2"/>
  <c r="F99" i="2"/>
  <c r="D99" i="2"/>
  <c r="F98" i="2"/>
  <c r="D98" i="2"/>
  <c r="F97" i="2"/>
  <c r="D97" i="2"/>
  <c r="F96" i="2"/>
  <c r="D96" i="2"/>
  <c r="F95" i="2"/>
  <c r="D95" i="2"/>
  <c r="F94" i="2"/>
  <c r="D94" i="2"/>
  <c r="F93" i="2"/>
  <c r="D93" i="2"/>
  <c r="F92" i="2"/>
  <c r="D92" i="2"/>
  <c r="F91" i="2"/>
  <c r="D91" i="2"/>
  <c r="F90" i="2"/>
  <c r="D90" i="2"/>
  <c r="F89" i="2"/>
  <c r="D89" i="2"/>
  <c r="F88" i="2"/>
  <c r="D88" i="2"/>
  <c r="F87" i="2"/>
  <c r="D87" i="2"/>
  <c r="F86" i="2"/>
  <c r="D86" i="2"/>
  <c r="F85" i="2"/>
  <c r="D85" i="2"/>
  <c r="F84" i="2"/>
  <c r="D84" i="2"/>
  <c r="F83" i="2"/>
  <c r="D83" i="2"/>
  <c r="F82" i="2"/>
  <c r="D82" i="2"/>
  <c r="F81" i="2"/>
  <c r="D81" i="2"/>
  <c r="F80" i="2"/>
  <c r="D80" i="2"/>
  <c r="F79" i="2"/>
  <c r="D79" i="2"/>
  <c r="F78" i="2"/>
  <c r="D78" i="2"/>
  <c r="F77" i="2"/>
  <c r="D77" i="2"/>
  <c r="F76" i="2"/>
  <c r="D76" i="2"/>
  <c r="F75" i="2"/>
  <c r="D75" i="2"/>
  <c r="F74" i="2"/>
  <c r="D74" i="2"/>
  <c r="F73" i="2"/>
  <c r="D73" i="2"/>
  <c r="F72" i="2"/>
  <c r="D72" i="2"/>
  <c r="F71" i="2"/>
  <c r="D71" i="2"/>
  <c r="F70" i="2"/>
  <c r="D70" i="2"/>
  <c r="F69" i="2"/>
  <c r="D69" i="2"/>
  <c r="G69" i="2" s="1"/>
  <c r="F68" i="2"/>
  <c r="D68" i="2"/>
  <c r="G68" i="2" s="1"/>
  <c r="F67" i="2"/>
  <c r="D67" i="2"/>
  <c r="G67" i="2" s="1"/>
  <c r="F66" i="2"/>
  <c r="D66" i="2"/>
  <c r="G66" i="2" s="1"/>
  <c r="F65" i="2"/>
  <c r="D65" i="2"/>
  <c r="G65" i="2" s="1"/>
  <c r="F64" i="2"/>
  <c r="D64" i="2"/>
  <c r="G64" i="2" s="1"/>
  <c r="F63" i="2"/>
  <c r="D63" i="2"/>
  <c r="G63" i="2" s="1"/>
  <c r="F62" i="2"/>
  <c r="D62" i="2"/>
  <c r="G62" i="2" s="1"/>
  <c r="F61" i="2"/>
  <c r="D61" i="2"/>
  <c r="G61" i="2" s="1"/>
  <c r="F60" i="2"/>
  <c r="D60" i="2"/>
  <c r="G60" i="2" s="1"/>
  <c r="F59" i="2"/>
  <c r="D59" i="2"/>
  <c r="G59" i="2" s="1"/>
  <c r="F58" i="2"/>
  <c r="D58" i="2"/>
  <c r="G58" i="2" s="1"/>
  <c r="F57" i="2"/>
  <c r="D57" i="2"/>
  <c r="G57" i="2" s="1"/>
  <c r="F56" i="2"/>
  <c r="D56" i="2"/>
  <c r="G56" i="2" s="1"/>
  <c r="F55" i="2"/>
  <c r="D55" i="2"/>
  <c r="G55" i="2" s="1"/>
  <c r="F54" i="2"/>
  <c r="D54" i="2"/>
  <c r="G54" i="2" s="1"/>
  <c r="F53" i="2"/>
  <c r="D53" i="2"/>
  <c r="G53" i="2" s="1"/>
  <c r="F52" i="2"/>
  <c r="D52" i="2"/>
  <c r="G52" i="2" s="1"/>
  <c r="F51" i="2"/>
  <c r="D51" i="2"/>
  <c r="G51" i="2" s="1"/>
  <c r="F50" i="2"/>
  <c r="D50" i="2"/>
  <c r="G50" i="2" s="1"/>
  <c r="F49" i="2"/>
  <c r="D49" i="2"/>
  <c r="G49" i="2" s="1"/>
  <c r="F48" i="2"/>
  <c r="D48" i="2"/>
  <c r="G48" i="2" s="1"/>
  <c r="F47" i="2"/>
  <c r="D47" i="2"/>
  <c r="G47" i="2" s="1"/>
  <c r="F46" i="2"/>
  <c r="D46" i="2"/>
  <c r="G46" i="2" s="1"/>
  <c r="F45" i="2"/>
  <c r="D45" i="2"/>
  <c r="G45" i="2" s="1"/>
  <c r="F44" i="2"/>
  <c r="D44" i="2"/>
  <c r="G44" i="2" s="1"/>
  <c r="F43" i="2"/>
  <c r="D43" i="2"/>
  <c r="G43" i="2" s="1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5" i="1"/>
  <c r="H1528" i="2" l="1"/>
  <c r="I1528" i="2" s="1"/>
  <c r="G1528" i="2"/>
  <c r="J1528" i="2" s="1"/>
  <c r="H1529" i="2"/>
  <c r="I1529" i="2" s="1"/>
  <c r="G1529" i="2"/>
  <c r="J1529" i="2" s="1"/>
  <c r="H1530" i="2"/>
  <c r="I1530" i="2" s="1"/>
  <c r="G1530" i="2"/>
  <c r="J1530" i="2" s="1"/>
  <c r="H1531" i="2"/>
  <c r="I1531" i="2" s="1"/>
  <c r="G1531" i="2"/>
  <c r="J1531" i="2" s="1"/>
  <c r="H1532" i="2"/>
  <c r="I1532" i="2" s="1"/>
  <c r="G1532" i="2"/>
  <c r="J1532" i="2" s="1"/>
  <c r="H1533" i="2"/>
  <c r="I1533" i="2" s="1"/>
  <c r="G1533" i="2"/>
  <c r="J1533" i="2" s="1"/>
  <c r="H1534" i="2"/>
  <c r="I1534" i="2" s="1"/>
  <c r="G1534" i="2"/>
  <c r="J1534" i="2" s="1"/>
  <c r="H1535" i="2"/>
  <c r="I1535" i="2" s="1"/>
  <c r="G1535" i="2"/>
  <c r="J1535" i="2" s="1"/>
  <c r="H1536" i="2"/>
  <c r="I1536" i="2" s="1"/>
  <c r="G1536" i="2"/>
  <c r="J1536" i="2" s="1"/>
  <c r="H1537" i="2"/>
  <c r="I1537" i="2" s="1"/>
  <c r="G1537" i="2"/>
  <c r="J1537" i="2" s="1"/>
  <c r="H1538" i="2"/>
  <c r="I1538" i="2" s="1"/>
  <c r="G1538" i="2"/>
  <c r="J1538" i="2" s="1"/>
  <c r="H1539" i="2"/>
  <c r="I1539" i="2" s="1"/>
  <c r="G1539" i="2"/>
  <c r="J1539" i="2" s="1"/>
  <c r="H1540" i="2"/>
  <c r="I1540" i="2" s="1"/>
  <c r="G1540" i="2"/>
  <c r="J1540" i="2" s="1"/>
  <c r="H1541" i="2"/>
  <c r="I1541" i="2" s="1"/>
  <c r="G1541" i="2"/>
  <c r="J1541" i="2" s="1"/>
  <c r="H1542" i="2"/>
  <c r="I1542" i="2" s="1"/>
  <c r="G1542" i="2"/>
  <c r="J1542" i="2" s="1"/>
  <c r="H1543" i="2"/>
  <c r="I1543" i="2" s="1"/>
  <c r="G1543" i="2"/>
  <c r="J1543" i="2" s="1"/>
  <c r="H1544" i="2"/>
  <c r="I1544" i="2" s="1"/>
  <c r="G1544" i="2"/>
  <c r="J1544" i="2" s="1"/>
  <c r="H1545" i="2"/>
  <c r="I1545" i="2" s="1"/>
  <c r="G1545" i="2"/>
  <c r="J1545" i="2" s="1"/>
  <c r="H1546" i="2"/>
  <c r="I1546" i="2" s="1"/>
  <c r="G1546" i="2"/>
  <c r="J1546" i="2" s="1"/>
  <c r="H1547" i="2"/>
  <c r="I1547" i="2" s="1"/>
  <c r="G1547" i="2"/>
  <c r="J1547" i="2" s="1"/>
  <c r="H1548" i="2"/>
  <c r="I1548" i="2" s="1"/>
  <c r="G1548" i="2"/>
  <c r="J1548" i="2" s="1"/>
  <c r="H1549" i="2"/>
  <c r="I1549" i="2" s="1"/>
  <c r="G1549" i="2"/>
  <c r="J1549" i="2" s="1"/>
  <c r="H1550" i="2"/>
  <c r="I1550" i="2" s="1"/>
  <c r="G1550" i="2"/>
  <c r="J1550" i="2" s="1"/>
  <c r="H1551" i="2"/>
  <c r="I1551" i="2" s="1"/>
  <c r="G1551" i="2"/>
  <c r="J1551" i="2" s="1"/>
  <c r="H1552" i="2"/>
  <c r="I1552" i="2" s="1"/>
  <c r="G1552" i="2"/>
  <c r="J1552" i="2" s="1"/>
  <c r="H1553" i="2"/>
  <c r="I1553" i="2" s="1"/>
  <c r="G1553" i="2"/>
  <c r="J1553" i="2" s="1"/>
  <c r="H1554" i="2"/>
  <c r="I1554" i="2" s="1"/>
  <c r="G1554" i="2"/>
  <c r="J1554" i="2" s="1"/>
  <c r="H1555" i="2"/>
  <c r="I1555" i="2" s="1"/>
  <c r="G1555" i="2"/>
  <c r="J1555" i="2" s="1"/>
  <c r="H1556" i="2"/>
  <c r="I1556" i="2" s="1"/>
  <c r="G1556" i="2"/>
  <c r="J1556" i="2" s="1"/>
  <c r="H1557" i="2"/>
  <c r="I1557" i="2" s="1"/>
  <c r="G1557" i="2"/>
  <c r="J1557" i="2" s="1"/>
  <c r="H1558" i="2"/>
  <c r="I1558" i="2" s="1"/>
  <c r="G1558" i="2"/>
  <c r="J1558" i="2" s="1"/>
  <c r="H1559" i="2"/>
  <c r="I1559" i="2" s="1"/>
  <c r="G1559" i="2"/>
  <c r="J1559" i="2" s="1"/>
  <c r="H1560" i="2"/>
  <c r="I1560" i="2" s="1"/>
  <c r="G1560" i="2"/>
  <c r="J1560" i="2" s="1"/>
  <c r="H1561" i="2"/>
  <c r="I1561" i="2" s="1"/>
  <c r="G1561" i="2"/>
  <c r="J1561" i="2" s="1"/>
  <c r="H1562" i="2"/>
  <c r="I1562" i="2" s="1"/>
  <c r="G1562" i="2"/>
  <c r="J1562" i="2" s="1"/>
  <c r="H1563" i="2"/>
  <c r="I1563" i="2" s="1"/>
  <c r="G1563" i="2"/>
  <c r="J1563" i="2" s="1"/>
  <c r="H1564" i="2"/>
  <c r="I1564" i="2" s="1"/>
  <c r="G1564" i="2"/>
  <c r="J1564" i="2" s="1"/>
  <c r="H1565" i="2"/>
  <c r="I1565" i="2" s="1"/>
  <c r="G1565" i="2"/>
  <c r="J1565" i="2" s="1"/>
  <c r="H1566" i="2"/>
  <c r="I1566" i="2" s="1"/>
  <c r="G1566" i="2"/>
  <c r="J1566" i="2" s="1"/>
  <c r="H1567" i="2"/>
  <c r="I1567" i="2" s="1"/>
  <c r="G1567" i="2"/>
  <c r="J1567" i="2" s="1"/>
  <c r="H1568" i="2"/>
  <c r="I1568" i="2" s="1"/>
  <c r="G1568" i="2"/>
  <c r="J1568" i="2" s="1"/>
  <c r="H1569" i="2"/>
  <c r="I1569" i="2" s="1"/>
  <c r="G1569" i="2"/>
  <c r="J1569" i="2" s="1"/>
  <c r="H1570" i="2"/>
  <c r="I1570" i="2" s="1"/>
  <c r="G1570" i="2"/>
  <c r="J1570" i="2" s="1"/>
  <c r="H1571" i="2"/>
  <c r="I1571" i="2" s="1"/>
  <c r="G1571" i="2"/>
  <c r="J1571" i="2" s="1"/>
  <c r="H1572" i="2"/>
  <c r="I1572" i="2" s="1"/>
  <c r="G1572" i="2"/>
  <c r="J1572" i="2" s="1"/>
  <c r="H1573" i="2"/>
  <c r="I1573" i="2" s="1"/>
  <c r="G1573" i="2"/>
  <c r="J1573" i="2" s="1"/>
  <c r="H1574" i="2"/>
  <c r="I1574" i="2" s="1"/>
  <c r="G1574" i="2"/>
  <c r="J1574" i="2" s="1"/>
  <c r="H1575" i="2"/>
  <c r="I1575" i="2" s="1"/>
  <c r="G1575" i="2"/>
  <c r="J1575" i="2" s="1"/>
  <c r="H1576" i="2"/>
  <c r="I1576" i="2" s="1"/>
  <c r="G1576" i="2"/>
  <c r="J1576" i="2" s="1"/>
  <c r="H1577" i="2"/>
  <c r="I1577" i="2" s="1"/>
  <c r="G1577" i="2"/>
  <c r="J1577" i="2" s="1"/>
  <c r="H1578" i="2"/>
  <c r="I1578" i="2" s="1"/>
  <c r="G1578" i="2"/>
  <c r="J1578" i="2" s="1"/>
  <c r="H1579" i="2"/>
  <c r="I1579" i="2" s="1"/>
  <c r="G1579" i="2"/>
  <c r="J1579" i="2" s="1"/>
  <c r="H1580" i="2"/>
  <c r="I1580" i="2" s="1"/>
  <c r="G1580" i="2"/>
  <c r="J1580" i="2" s="1"/>
  <c r="H1581" i="2"/>
  <c r="I1581" i="2" s="1"/>
  <c r="G1581" i="2"/>
  <c r="J1581" i="2" s="1"/>
  <c r="H1582" i="2"/>
  <c r="I1582" i="2" s="1"/>
  <c r="G1582" i="2"/>
  <c r="J1582" i="2" s="1"/>
  <c r="H1583" i="2"/>
  <c r="I1583" i="2" s="1"/>
  <c r="G1583" i="2"/>
  <c r="J1583" i="2" s="1"/>
  <c r="H1584" i="2"/>
  <c r="I1584" i="2" s="1"/>
  <c r="G1584" i="2"/>
  <c r="J1584" i="2" s="1"/>
  <c r="H1585" i="2"/>
  <c r="I1585" i="2" s="1"/>
  <c r="G1585" i="2"/>
  <c r="J1585" i="2" s="1"/>
  <c r="H1586" i="2"/>
  <c r="I1586" i="2" s="1"/>
  <c r="G1586" i="2"/>
  <c r="J1586" i="2" s="1"/>
  <c r="H1587" i="2"/>
  <c r="I1587" i="2" s="1"/>
  <c r="G1587" i="2"/>
  <c r="J1587" i="2" s="1"/>
  <c r="H1588" i="2"/>
  <c r="I1588" i="2" s="1"/>
  <c r="G1588" i="2"/>
  <c r="J1588" i="2" s="1"/>
  <c r="H1589" i="2"/>
  <c r="I1589" i="2" s="1"/>
  <c r="G1589" i="2"/>
  <c r="J1589" i="2" s="1"/>
  <c r="H1590" i="2"/>
  <c r="I1590" i="2" s="1"/>
  <c r="G1590" i="2"/>
  <c r="J1590" i="2" s="1"/>
  <c r="H1591" i="2"/>
  <c r="I1591" i="2" s="1"/>
  <c r="G1591" i="2"/>
  <c r="J1591" i="2" s="1"/>
  <c r="H1592" i="2"/>
  <c r="I1592" i="2" s="1"/>
  <c r="G1592" i="2"/>
  <c r="J1592" i="2" s="1"/>
  <c r="H1593" i="2"/>
  <c r="I1593" i="2" s="1"/>
  <c r="G1593" i="2"/>
  <c r="J1593" i="2" s="1"/>
  <c r="H1594" i="2"/>
  <c r="I1594" i="2" s="1"/>
  <c r="G1594" i="2"/>
  <c r="J1594" i="2" s="1"/>
  <c r="H1595" i="2"/>
  <c r="I1595" i="2" s="1"/>
  <c r="G1595" i="2"/>
  <c r="J1595" i="2" s="1"/>
  <c r="H1596" i="2"/>
  <c r="I1596" i="2" s="1"/>
  <c r="G1596" i="2"/>
  <c r="J1596" i="2" s="1"/>
  <c r="H1597" i="2"/>
  <c r="I1597" i="2" s="1"/>
  <c r="G1597" i="2"/>
  <c r="J1597" i="2" s="1"/>
  <c r="H1598" i="2"/>
  <c r="I1598" i="2" s="1"/>
  <c r="G1598" i="2"/>
  <c r="J1598" i="2" s="1"/>
  <c r="H1599" i="2"/>
  <c r="I1599" i="2" s="1"/>
  <c r="G1599" i="2"/>
  <c r="J1599" i="2" s="1"/>
  <c r="H1600" i="2"/>
  <c r="I1600" i="2" s="1"/>
  <c r="G1600" i="2"/>
  <c r="J1600" i="2" s="1"/>
  <c r="H1601" i="2"/>
  <c r="I1601" i="2" s="1"/>
  <c r="G1601" i="2"/>
  <c r="J1601" i="2" s="1"/>
  <c r="H1602" i="2"/>
  <c r="I1602" i="2" s="1"/>
  <c r="G1602" i="2"/>
  <c r="J1602" i="2" s="1"/>
  <c r="H1603" i="2"/>
  <c r="I1603" i="2" s="1"/>
  <c r="G1603" i="2"/>
  <c r="J1603" i="2" s="1"/>
  <c r="H1604" i="2"/>
  <c r="I1604" i="2" s="1"/>
  <c r="G1604" i="2"/>
  <c r="J1604" i="2" s="1"/>
  <c r="H1605" i="2"/>
  <c r="I1605" i="2" s="1"/>
  <c r="G1605" i="2"/>
  <c r="J1605" i="2" s="1"/>
  <c r="H1606" i="2"/>
  <c r="I1606" i="2" s="1"/>
  <c r="G1606" i="2"/>
  <c r="J1606" i="2" s="1"/>
  <c r="H1607" i="2"/>
  <c r="I1607" i="2" s="1"/>
  <c r="G1607" i="2"/>
  <c r="J1607" i="2" s="1"/>
  <c r="H1608" i="2"/>
  <c r="I1608" i="2" s="1"/>
  <c r="G1608" i="2"/>
  <c r="J1608" i="2" s="1"/>
  <c r="H1609" i="2"/>
  <c r="I1609" i="2" s="1"/>
  <c r="G1609" i="2"/>
  <c r="J1609" i="2" s="1"/>
  <c r="H1610" i="2"/>
  <c r="I1610" i="2" s="1"/>
  <c r="G1610" i="2"/>
  <c r="J1610" i="2" s="1"/>
  <c r="H1611" i="2"/>
  <c r="I1611" i="2" s="1"/>
  <c r="G1611" i="2"/>
  <c r="J1611" i="2" s="1"/>
  <c r="H1612" i="2"/>
  <c r="I1612" i="2" s="1"/>
  <c r="G1612" i="2"/>
  <c r="J1612" i="2" s="1"/>
  <c r="H1613" i="2"/>
  <c r="I1613" i="2" s="1"/>
  <c r="G1613" i="2"/>
  <c r="J1613" i="2" s="1"/>
  <c r="H1614" i="2"/>
  <c r="I1614" i="2" s="1"/>
  <c r="G1614" i="2"/>
  <c r="J1614" i="2" s="1"/>
  <c r="H1615" i="2"/>
  <c r="I1615" i="2" s="1"/>
  <c r="G1615" i="2"/>
  <c r="J1615" i="2" s="1"/>
  <c r="H1616" i="2"/>
  <c r="I1616" i="2" s="1"/>
  <c r="G1616" i="2"/>
  <c r="J1616" i="2" s="1"/>
  <c r="H1617" i="2"/>
  <c r="I1617" i="2" s="1"/>
  <c r="G1617" i="2"/>
  <c r="J1617" i="2" s="1"/>
  <c r="H1618" i="2"/>
  <c r="I1618" i="2" s="1"/>
  <c r="G1618" i="2"/>
  <c r="J1618" i="2" s="1"/>
  <c r="H1619" i="2"/>
  <c r="I1619" i="2" s="1"/>
  <c r="G1619" i="2"/>
  <c r="J1619" i="2" s="1"/>
  <c r="H1620" i="2"/>
  <c r="I1620" i="2" s="1"/>
  <c r="G1620" i="2"/>
  <c r="J1620" i="2" s="1"/>
  <c r="H1621" i="2"/>
  <c r="I1621" i="2" s="1"/>
  <c r="G1621" i="2"/>
  <c r="J1621" i="2" s="1"/>
  <c r="H1622" i="2"/>
  <c r="I1622" i="2" s="1"/>
  <c r="G1622" i="2"/>
  <c r="J1622" i="2" s="1"/>
  <c r="H1623" i="2"/>
  <c r="I1623" i="2" s="1"/>
  <c r="G1623" i="2"/>
  <c r="J1623" i="2" s="1"/>
  <c r="H1624" i="2"/>
  <c r="I1624" i="2" s="1"/>
  <c r="G1624" i="2"/>
  <c r="J1624" i="2" s="1"/>
  <c r="H1625" i="2"/>
  <c r="I1625" i="2" s="1"/>
  <c r="G1625" i="2"/>
  <c r="J1625" i="2" s="1"/>
  <c r="H1626" i="2"/>
  <c r="I1626" i="2" s="1"/>
  <c r="G1626" i="2"/>
  <c r="J1626" i="2" s="1"/>
  <c r="H1627" i="2"/>
  <c r="I1627" i="2" s="1"/>
  <c r="G1627" i="2"/>
  <c r="J1627" i="2" s="1"/>
  <c r="H1628" i="2"/>
  <c r="I1628" i="2" s="1"/>
  <c r="G1628" i="2"/>
  <c r="J1628" i="2" s="1"/>
  <c r="H1629" i="2"/>
  <c r="I1629" i="2" s="1"/>
  <c r="G1629" i="2"/>
  <c r="J1629" i="2" s="1"/>
  <c r="H1630" i="2"/>
  <c r="I1630" i="2" s="1"/>
  <c r="G1630" i="2"/>
  <c r="J1630" i="2" s="1"/>
  <c r="H1631" i="2"/>
  <c r="I1631" i="2" s="1"/>
  <c r="G1631" i="2"/>
  <c r="J1631" i="2" s="1"/>
  <c r="H1632" i="2"/>
  <c r="I1632" i="2" s="1"/>
  <c r="G1632" i="2"/>
  <c r="J1632" i="2" s="1"/>
  <c r="H1633" i="2"/>
  <c r="I1633" i="2" s="1"/>
  <c r="G1633" i="2"/>
  <c r="J1633" i="2" s="1"/>
  <c r="H1634" i="2"/>
  <c r="I1634" i="2" s="1"/>
  <c r="G1634" i="2"/>
  <c r="J1634" i="2" s="1"/>
  <c r="H1635" i="2"/>
  <c r="I1635" i="2" s="1"/>
  <c r="G1635" i="2"/>
  <c r="J1635" i="2" s="1"/>
  <c r="H1636" i="2"/>
  <c r="I1636" i="2" s="1"/>
  <c r="G1636" i="2"/>
  <c r="J1636" i="2" s="1"/>
  <c r="H1637" i="2"/>
  <c r="I1637" i="2" s="1"/>
  <c r="G1637" i="2"/>
  <c r="J1637" i="2" s="1"/>
  <c r="H1638" i="2"/>
  <c r="I1638" i="2" s="1"/>
  <c r="G1638" i="2"/>
  <c r="J1638" i="2" s="1"/>
  <c r="H1639" i="2"/>
  <c r="I1639" i="2" s="1"/>
  <c r="G1639" i="2"/>
  <c r="J1639" i="2" s="1"/>
  <c r="H1640" i="2"/>
  <c r="I1640" i="2" s="1"/>
  <c r="G1640" i="2"/>
  <c r="J1640" i="2" s="1"/>
  <c r="H1641" i="2"/>
  <c r="I1641" i="2" s="1"/>
  <c r="G1641" i="2"/>
  <c r="J1641" i="2" s="1"/>
  <c r="H1642" i="2"/>
  <c r="I1642" i="2" s="1"/>
  <c r="G1642" i="2"/>
  <c r="J1642" i="2" s="1"/>
  <c r="H1643" i="2"/>
  <c r="I1643" i="2" s="1"/>
  <c r="G1643" i="2"/>
  <c r="J1643" i="2" s="1"/>
  <c r="H1644" i="2"/>
  <c r="I1644" i="2" s="1"/>
  <c r="G1644" i="2"/>
  <c r="J1644" i="2" s="1"/>
  <c r="H1645" i="2"/>
  <c r="I1645" i="2" s="1"/>
  <c r="G1645" i="2"/>
  <c r="J1645" i="2" s="1"/>
  <c r="H1646" i="2"/>
  <c r="I1646" i="2" s="1"/>
  <c r="G1646" i="2"/>
  <c r="J1646" i="2" s="1"/>
  <c r="H1647" i="2"/>
  <c r="I1647" i="2" s="1"/>
  <c r="G1647" i="2"/>
  <c r="J1647" i="2" s="1"/>
  <c r="H1648" i="2"/>
  <c r="I1648" i="2" s="1"/>
  <c r="G1648" i="2"/>
  <c r="J1648" i="2" s="1"/>
  <c r="H1649" i="2"/>
  <c r="I1649" i="2" s="1"/>
  <c r="G1649" i="2"/>
  <c r="J1649" i="2" s="1"/>
  <c r="H1650" i="2"/>
  <c r="I1650" i="2" s="1"/>
  <c r="G1650" i="2"/>
  <c r="J1650" i="2" s="1"/>
  <c r="H1651" i="2"/>
  <c r="I1651" i="2" s="1"/>
  <c r="G1651" i="2"/>
  <c r="J1651" i="2" s="1"/>
  <c r="H1652" i="2"/>
  <c r="I1652" i="2" s="1"/>
  <c r="G1652" i="2"/>
  <c r="J1652" i="2" s="1"/>
  <c r="H1653" i="2"/>
  <c r="I1653" i="2" s="1"/>
  <c r="G1653" i="2"/>
  <c r="J1653" i="2" s="1"/>
  <c r="H1654" i="2"/>
  <c r="I1654" i="2" s="1"/>
  <c r="G1654" i="2"/>
  <c r="J1654" i="2" s="1"/>
  <c r="H1655" i="2"/>
  <c r="I1655" i="2" s="1"/>
  <c r="G1655" i="2"/>
  <c r="J1655" i="2" s="1"/>
  <c r="H1656" i="2"/>
  <c r="I1656" i="2" s="1"/>
  <c r="G1656" i="2"/>
  <c r="J1656" i="2" s="1"/>
  <c r="H1657" i="2"/>
  <c r="I1657" i="2" s="1"/>
  <c r="G1657" i="2"/>
  <c r="J1657" i="2" s="1"/>
  <c r="H1658" i="2"/>
  <c r="I1658" i="2" s="1"/>
  <c r="G1658" i="2"/>
  <c r="J1658" i="2" s="1"/>
  <c r="H1659" i="2"/>
  <c r="I1659" i="2" s="1"/>
  <c r="G1659" i="2"/>
  <c r="J1659" i="2" s="1"/>
  <c r="H1660" i="2"/>
  <c r="I1660" i="2" s="1"/>
  <c r="G1660" i="2"/>
  <c r="J1660" i="2" s="1"/>
  <c r="H1661" i="2"/>
  <c r="I1661" i="2" s="1"/>
  <c r="G1661" i="2"/>
  <c r="J1661" i="2" s="1"/>
  <c r="H1662" i="2"/>
  <c r="I1662" i="2" s="1"/>
  <c r="G1662" i="2"/>
  <c r="J1662" i="2" s="1"/>
  <c r="H1663" i="2"/>
  <c r="I1663" i="2" s="1"/>
  <c r="G1663" i="2"/>
  <c r="J1663" i="2" s="1"/>
  <c r="H1664" i="2"/>
  <c r="I1664" i="2" s="1"/>
  <c r="G1664" i="2"/>
  <c r="J1664" i="2" s="1"/>
  <c r="H1665" i="2"/>
  <c r="I1665" i="2" s="1"/>
  <c r="G1665" i="2"/>
  <c r="J1665" i="2" s="1"/>
  <c r="H1666" i="2"/>
  <c r="I1666" i="2" s="1"/>
  <c r="G1666" i="2"/>
  <c r="J1666" i="2" s="1"/>
  <c r="H1667" i="2"/>
  <c r="I1667" i="2" s="1"/>
  <c r="G1667" i="2"/>
  <c r="J1667" i="2" s="1"/>
  <c r="H1668" i="2"/>
  <c r="I1668" i="2" s="1"/>
  <c r="G1668" i="2"/>
  <c r="J1668" i="2" s="1"/>
  <c r="H1669" i="2"/>
  <c r="I1669" i="2" s="1"/>
  <c r="G1669" i="2"/>
  <c r="J1669" i="2" s="1"/>
  <c r="H1670" i="2"/>
  <c r="I1670" i="2" s="1"/>
  <c r="G1670" i="2"/>
  <c r="J1670" i="2" s="1"/>
  <c r="H1671" i="2"/>
  <c r="I1671" i="2" s="1"/>
  <c r="G1671" i="2"/>
  <c r="J1671" i="2" s="1"/>
  <c r="H1672" i="2"/>
  <c r="I1672" i="2" s="1"/>
  <c r="G1672" i="2"/>
  <c r="J1672" i="2" s="1"/>
  <c r="H1673" i="2"/>
  <c r="I1673" i="2" s="1"/>
  <c r="G1673" i="2"/>
  <c r="J1673" i="2" s="1"/>
  <c r="H1674" i="2"/>
  <c r="I1674" i="2" s="1"/>
  <c r="G1674" i="2"/>
  <c r="J1674" i="2" s="1"/>
  <c r="H1675" i="2"/>
  <c r="I1675" i="2" s="1"/>
  <c r="G1675" i="2"/>
  <c r="J1675" i="2" s="1"/>
  <c r="H1676" i="2"/>
  <c r="I1676" i="2" s="1"/>
  <c r="G1676" i="2"/>
  <c r="J1676" i="2" s="1"/>
  <c r="H1677" i="2"/>
  <c r="I1677" i="2" s="1"/>
  <c r="G1677" i="2"/>
  <c r="J1677" i="2" s="1"/>
  <c r="H1678" i="2"/>
  <c r="I1678" i="2" s="1"/>
  <c r="G1678" i="2"/>
  <c r="J1678" i="2" s="1"/>
  <c r="H1679" i="2"/>
  <c r="I1679" i="2" s="1"/>
  <c r="G1679" i="2"/>
  <c r="J1679" i="2" s="1"/>
  <c r="H1680" i="2"/>
  <c r="I1680" i="2" s="1"/>
  <c r="G1680" i="2"/>
  <c r="J1680" i="2" s="1"/>
  <c r="H1681" i="2"/>
  <c r="I1681" i="2" s="1"/>
  <c r="G1681" i="2"/>
  <c r="J1681" i="2" s="1"/>
  <c r="H1682" i="2"/>
  <c r="I1682" i="2" s="1"/>
  <c r="G1682" i="2"/>
  <c r="J1682" i="2" s="1"/>
  <c r="H1683" i="2"/>
  <c r="I1683" i="2" s="1"/>
  <c r="G1683" i="2"/>
  <c r="J1683" i="2" s="1"/>
  <c r="H1684" i="2"/>
  <c r="I1684" i="2" s="1"/>
  <c r="G1684" i="2"/>
  <c r="J1684" i="2" s="1"/>
  <c r="H1685" i="2"/>
  <c r="I1685" i="2" s="1"/>
  <c r="G1685" i="2"/>
  <c r="J1685" i="2" s="1"/>
  <c r="H1686" i="2"/>
  <c r="I1686" i="2" s="1"/>
  <c r="G1686" i="2"/>
  <c r="J1686" i="2" s="1"/>
  <c r="H1687" i="2"/>
  <c r="I1687" i="2" s="1"/>
  <c r="G1687" i="2"/>
  <c r="J1687" i="2" s="1"/>
  <c r="H1688" i="2"/>
  <c r="I1688" i="2" s="1"/>
  <c r="G1688" i="2"/>
  <c r="J1688" i="2" s="1"/>
  <c r="H1689" i="2"/>
  <c r="I1689" i="2" s="1"/>
  <c r="G1689" i="2"/>
  <c r="J1689" i="2" s="1"/>
  <c r="H1690" i="2"/>
  <c r="I1690" i="2" s="1"/>
  <c r="G1690" i="2"/>
  <c r="J1690" i="2" s="1"/>
  <c r="H1691" i="2"/>
  <c r="I1691" i="2" s="1"/>
  <c r="G1691" i="2"/>
  <c r="J1691" i="2" s="1"/>
  <c r="H1692" i="2"/>
  <c r="I1692" i="2" s="1"/>
  <c r="G1692" i="2"/>
  <c r="J1692" i="2" s="1"/>
  <c r="H1693" i="2"/>
  <c r="I1693" i="2" s="1"/>
  <c r="G1693" i="2"/>
  <c r="J1693" i="2" s="1"/>
  <c r="H1694" i="2"/>
  <c r="I1694" i="2" s="1"/>
  <c r="G1694" i="2"/>
  <c r="J1694" i="2" s="1"/>
  <c r="H1695" i="2"/>
  <c r="I1695" i="2" s="1"/>
  <c r="G1695" i="2"/>
  <c r="J1695" i="2" s="1"/>
  <c r="H1696" i="2"/>
  <c r="I1696" i="2" s="1"/>
  <c r="G1696" i="2"/>
  <c r="J1696" i="2" s="1"/>
  <c r="H1697" i="2"/>
  <c r="I1697" i="2" s="1"/>
  <c r="G1697" i="2"/>
  <c r="J1697" i="2" s="1"/>
  <c r="H1698" i="2"/>
  <c r="I1698" i="2" s="1"/>
  <c r="G1698" i="2"/>
  <c r="J1698" i="2" s="1"/>
  <c r="H1699" i="2"/>
  <c r="I1699" i="2" s="1"/>
  <c r="G1699" i="2"/>
  <c r="J1699" i="2" s="1"/>
  <c r="H1700" i="2"/>
  <c r="I1700" i="2" s="1"/>
  <c r="G1700" i="2"/>
  <c r="J1700" i="2" s="1"/>
  <c r="H1701" i="2"/>
  <c r="I1701" i="2" s="1"/>
  <c r="G1701" i="2"/>
  <c r="J1701" i="2" s="1"/>
  <c r="H1702" i="2"/>
  <c r="I1702" i="2" s="1"/>
  <c r="G1702" i="2"/>
  <c r="J1702" i="2" s="1"/>
  <c r="H1703" i="2"/>
  <c r="I1703" i="2" s="1"/>
  <c r="G1703" i="2"/>
  <c r="J1703" i="2" s="1"/>
  <c r="H1704" i="2"/>
  <c r="I1704" i="2" s="1"/>
  <c r="G1704" i="2"/>
  <c r="J1704" i="2" s="1"/>
  <c r="H1705" i="2"/>
  <c r="I1705" i="2" s="1"/>
  <c r="G1705" i="2"/>
  <c r="J1705" i="2" s="1"/>
  <c r="H1706" i="2"/>
  <c r="I1706" i="2" s="1"/>
  <c r="G1706" i="2"/>
  <c r="J1706" i="2" s="1"/>
  <c r="H1707" i="2"/>
  <c r="I1707" i="2" s="1"/>
  <c r="G1707" i="2"/>
  <c r="J1707" i="2" s="1"/>
  <c r="H1708" i="2"/>
  <c r="I1708" i="2" s="1"/>
  <c r="G1708" i="2"/>
  <c r="J1708" i="2" s="1"/>
  <c r="H1709" i="2"/>
  <c r="I1709" i="2" s="1"/>
  <c r="G1709" i="2"/>
  <c r="J1709" i="2" s="1"/>
  <c r="H1710" i="2"/>
  <c r="I1710" i="2" s="1"/>
  <c r="G1710" i="2"/>
  <c r="J1710" i="2" s="1"/>
  <c r="H1711" i="2"/>
  <c r="I1711" i="2" s="1"/>
  <c r="G1711" i="2"/>
  <c r="J1711" i="2" s="1"/>
  <c r="H1712" i="2"/>
  <c r="I1712" i="2" s="1"/>
  <c r="G1712" i="2"/>
  <c r="J1712" i="2" s="1"/>
  <c r="H1713" i="2"/>
  <c r="I1713" i="2" s="1"/>
  <c r="G1713" i="2"/>
  <c r="J1713" i="2" s="1"/>
  <c r="H1714" i="2"/>
  <c r="I1714" i="2" s="1"/>
  <c r="G1714" i="2"/>
  <c r="J1714" i="2" s="1"/>
  <c r="H1715" i="2"/>
  <c r="I1715" i="2" s="1"/>
  <c r="G1715" i="2"/>
  <c r="J1715" i="2" s="1"/>
  <c r="H1716" i="2"/>
  <c r="I1716" i="2" s="1"/>
  <c r="G1716" i="2"/>
  <c r="J1716" i="2" s="1"/>
  <c r="H1717" i="2"/>
  <c r="I1717" i="2" s="1"/>
  <c r="G1717" i="2"/>
  <c r="J1717" i="2" s="1"/>
  <c r="H1718" i="2"/>
  <c r="I1718" i="2" s="1"/>
  <c r="G1718" i="2"/>
  <c r="J1718" i="2" s="1"/>
  <c r="H1719" i="2"/>
  <c r="I1719" i="2" s="1"/>
  <c r="G1719" i="2"/>
  <c r="J1719" i="2" s="1"/>
  <c r="H1720" i="2"/>
  <c r="I1720" i="2" s="1"/>
  <c r="G1720" i="2"/>
  <c r="J1720" i="2" s="1"/>
  <c r="H1721" i="2"/>
  <c r="I1721" i="2" s="1"/>
  <c r="G1721" i="2"/>
  <c r="J1721" i="2" s="1"/>
  <c r="H1722" i="2"/>
  <c r="I1722" i="2" s="1"/>
  <c r="G1722" i="2"/>
  <c r="J1722" i="2" s="1"/>
  <c r="H1723" i="2"/>
  <c r="I1723" i="2" s="1"/>
  <c r="G1723" i="2"/>
  <c r="J1723" i="2" s="1"/>
  <c r="H1724" i="2"/>
  <c r="I1724" i="2" s="1"/>
  <c r="G1724" i="2"/>
  <c r="J1724" i="2" s="1"/>
  <c r="H1725" i="2"/>
  <c r="I1725" i="2" s="1"/>
  <c r="G1725" i="2"/>
  <c r="J1725" i="2" s="1"/>
  <c r="H1726" i="2"/>
  <c r="I1726" i="2" s="1"/>
  <c r="G1726" i="2"/>
  <c r="J1726" i="2" s="1"/>
  <c r="H1727" i="2"/>
  <c r="I1727" i="2" s="1"/>
  <c r="G1727" i="2"/>
  <c r="J1727" i="2" s="1"/>
  <c r="H1728" i="2"/>
  <c r="I1728" i="2" s="1"/>
  <c r="G1728" i="2"/>
  <c r="J1728" i="2" s="1"/>
  <c r="H1729" i="2"/>
  <c r="I1729" i="2" s="1"/>
  <c r="G1729" i="2"/>
  <c r="J1729" i="2" s="1"/>
  <c r="H1730" i="2"/>
  <c r="I1730" i="2" s="1"/>
  <c r="G1730" i="2"/>
  <c r="J1730" i="2" s="1"/>
  <c r="H1731" i="2"/>
  <c r="I1731" i="2" s="1"/>
  <c r="G1731" i="2"/>
  <c r="J1731" i="2" s="1"/>
  <c r="H1732" i="2"/>
  <c r="I1732" i="2" s="1"/>
  <c r="G1732" i="2"/>
  <c r="J1732" i="2" s="1"/>
  <c r="H1733" i="2"/>
  <c r="I1733" i="2" s="1"/>
  <c r="G1733" i="2"/>
  <c r="J1733" i="2" s="1"/>
  <c r="H1734" i="2"/>
  <c r="I1734" i="2" s="1"/>
  <c r="G1734" i="2"/>
  <c r="J1734" i="2" s="1"/>
  <c r="H1735" i="2"/>
  <c r="I1735" i="2" s="1"/>
  <c r="G1735" i="2"/>
  <c r="J1735" i="2" s="1"/>
  <c r="H1736" i="2"/>
  <c r="I1736" i="2" s="1"/>
  <c r="G1736" i="2"/>
  <c r="J1736" i="2" s="1"/>
  <c r="H1737" i="2"/>
  <c r="I1737" i="2" s="1"/>
  <c r="G1737" i="2"/>
  <c r="J1737" i="2" s="1"/>
  <c r="H1738" i="2"/>
  <c r="I1738" i="2" s="1"/>
  <c r="G1738" i="2"/>
  <c r="J1738" i="2" s="1"/>
  <c r="H1739" i="2"/>
  <c r="I1739" i="2" s="1"/>
  <c r="G1739" i="2"/>
  <c r="J1739" i="2" s="1"/>
  <c r="H1740" i="2"/>
  <c r="I1740" i="2" s="1"/>
  <c r="G1740" i="2"/>
  <c r="J1740" i="2" s="1"/>
  <c r="H1741" i="2"/>
  <c r="I1741" i="2" s="1"/>
  <c r="G1741" i="2"/>
  <c r="J1741" i="2" s="1"/>
  <c r="H1742" i="2"/>
  <c r="I1742" i="2" s="1"/>
  <c r="G1742" i="2"/>
  <c r="J1742" i="2" s="1"/>
  <c r="H1743" i="2"/>
  <c r="I1743" i="2" s="1"/>
  <c r="G1743" i="2"/>
  <c r="J1743" i="2" s="1"/>
  <c r="H1744" i="2"/>
  <c r="I1744" i="2" s="1"/>
  <c r="G1744" i="2"/>
  <c r="J1744" i="2" s="1"/>
  <c r="H1745" i="2"/>
  <c r="I1745" i="2" s="1"/>
  <c r="G1745" i="2"/>
  <c r="J1745" i="2" s="1"/>
  <c r="H1746" i="2"/>
  <c r="I1746" i="2" s="1"/>
  <c r="G1746" i="2"/>
  <c r="J1746" i="2" s="1"/>
  <c r="H1747" i="2"/>
  <c r="I1747" i="2" s="1"/>
  <c r="G1747" i="2"/>
  <c r="J1747" i="2" s="1"/>
  <c r="H1748" i="2"/>
  <c r="I1748" i="2" s="1"/>
  <c r="G1748" i="2"/>
  <c r="J1748" i="2" s="1"/>
  <c r="H1749" i="2"/>
  <c r="I1749" i="2" s="1"/>
  <c r="G1749" i="2"/>
  <c r="J1749" i="2" s="1"/>
  <c r="H1750" i="2"/>
  <c r="I1750" i="2" s="1"/>
  <c r="G1750" i="2"/>
  <c r="J1750" i="2" s="1"/>
  <c r="H1751" i="2"/>
  <c r="I1751" i="2" s="1"/>
  <c r="G1751" i="2"/>
  <c r="J1751" i="2" s="1"/>
  <c r="H1752" i="2"/>
  <c r="I1752" i="2" s="1"/>
  <c r="G1752" i="2"/>
  <c r="J1752" i="2" s="1"/>
  <c r="H1753" i="2"/>
  <c r="I1753" i="2" s="1"/>
  <c r="G1753" i="2"/>
  <c r="J1753" i="2" s="1"/>
  <c r="H1754" i="2"/>
  <c r="I1754" i="2" s="1"/>
  <c r="G1754" i="2"/>
  <c r="J1754" i="2" s="1"/>
  <c r="H1755" i="2"/>
  <c r="I1755" i="2" s="1"/>
  <c r="G1755" i="2"/>
  <c r="J1755" i="2" s="1"/>
  <c r="H1756" i="2"/>
  <c r="I1756" i="2" s="1"/>
  <c r="G1756" i="2"/>
  <c r="J1756" i="2" s="1"/>
  <c r="H1757" i="2"/>
  <c r="I1757" i="2" s="1"/>
  <c r="G1757" i="2"/>
  <c r="J1757" i="2" s="1"/>
  <c r="H1758" i="2"/>
  <c r="I1758" i="2" s="1"/>
  <c r="G1758" i="2"/>
  <c r="J1758" i="2" s="1"/>
  <c r="H1759" i="2"/>
  <c r="I1759" i="2" s="1"/>
  <c r="G1759" i="2"/>
  <c r="J1759" i="2" s="1"/>
  <c r="H1760" i="2"/>
  <c r="I1760" i="2" s="1"/>
  <c r="G1760" i="2"/>
  <c r="J1760" i="2" s="1"/>
  <c r="H1761" i="2"/>
  <c r="I1761" i="2" s="1"/>
  <c r="G1761" i="2"/>
  <c r="J1761" i="2" s="1"/>
  <c r="H1762" i="2"/>
  <c r="I1762" i="2" s="1"/>
  <c r="G1762" i="2"/>
  <c r="J1762" i="2" s="1"/>
  <c r="H1763" i="2"/>
  <c r="I1763" i="2" s="1"/>
  <c r="G1763" i="2"/>
  <c r="J1763" i="2" s="1"/>
  <c r="H1764" i="2"/>
  <c r="I1764" i="2" s="1"/>
  <c r="G1764" i="2"/>
  <c r="J1764" i="2" s="1"/>
  <c r="H1765" i="2"/>
  <c r="I1765" i="2" s="1"/>
  <c r="G1765" i="2"/>
  <c r="J1765" i="2" s="1"/>
  <c r="H1766" i="2"/>
  <c r="I1766" i="2" s="1"/>
  <c r="G1766" i="2"/>
  <c r="J1766" i="2" s="1"/>
  <c r="H1767" i="2"/>
  <c r="I1767" i="2" s="1"/>
  <c r="G1767" i="2"/>
  <c r="J1767" i="2" s="1"/>
  <c r="H1768" i="2"/>
  <c r="I1768" i="2" s="1"/>
  <c r="G1768" i="2"/>
  <c r="J1768" i="2" s="1"/>
  <c r="H1769" i="2"/>
  <c r="I1769" i="2" s="1"/>
  <c r="G1769" i="2"/>
  <c r="J1769" i="2" s="1"/>
  <c r="H1770" i="2"/>
  <c r="I1770" i="2" s="1"/>
  <c r="G1770" i="2"/>
  <c r="J1770" i="2" s="1"/>
  <c r="H1771" i="2"/>
  <c r="I1771" i="2" s="1"/>
  <c r="G1771" i="2"/>
  <c r="J1771" i="2" s="1"/>
  <c r="H1772" i="2"/>
  <c r="I1772" i="2" s="1"/>
  <c r="G1772" i="2"/>
  <c r="J1772" i="2" s="1"/>
  <c r="H1773" i="2"/>
  <c r="I1773" i="2" s="1"/>
  <c r="G1773" i="2"/>
  <c r="J1773" i="2" s="1"/>
  <c r="H1774" i="2"/>
  <c r="I1774" i="2" s="1"/>
  <c r="G1774" i="2"/>
  <c r="J1774" i="2" s="1"/>
  <c r="H1775" i="2"/>
  <c r="I1775" i="2" s="1"/>
  <c r="G1775" i="2"/>
  <c r="J1775" i="2" s="1"/>
  <c r="H1776" i="2"/>
  <c r="I1776" i="2" s="1"/>
  <c r="G1776" i="2"/>
  <c r="J1776" i="2" s="1"/>
  <c r="H1777" i="2"/>
  <c r="I1777" i="2" s="1"/>
  <c r="G1777" i="2"/>
  <c r="J1777" i="2" s="1"/>
  <c r="H1778" i="2"/>
  <c r="I1778" i="2" s="1"/>
  <c r="G1778" i="2"/>
  <c r="J1778" i="2" s="1"/>
  <c r="H1779" i="2"/>
  <c r="I1779" i="2" s="1"/>
  <c r="G1779" i="2"/>
  <c r="J1779" i="2" s="1"/>
  <c r="H1780" i="2"/>
  <c r="I1780" i="2" s="1"/>
  <c r="G1780" i="2"/>
  <c r="J1780" i="2" s="1"/>
  <c r="H1781" i="2"/>
  <c r="I1781" i="2" s="1"/>
  <c r="G1781" i="2"/>
  <c r="J1781" i="2" s="1"/>
  <c r="H1782" i="2"/>
  <c r="I1782" i="2" s="1"/>
  <c r="G1782" i="2"/>
  <c r="J1782" i="2" s="1"/>
  <c r="H1783" i="2"/>
  <c r="I1783" i="2" s="1"/>
  <c r="G1783" i="2"/>
  <c r="J1783" i="2" s="1"/>
  <c r="H1784" i="2"/>
  <c r="I1784" i="2" s="1"/>
  <c r="G1784" i="2"/>
  <c r="J1784" i="2" s="1"/>
  <c r="H1785" i="2"/>
  <c r="I1785" i="2" s="1"/>
  <c r="G1785" i="2"/>
  <c r="J1785" i="2" s="1"/>
  <c r="H1786" i="2"/>
  <c r="I1786" i="2" s="1"/>
  <c r="G1786" i="2"/>
  <c r="J1786" i="2" s="1"/>
  <c r="H1787" i="2"/>
  <c r="I1787" i="2" s="1"/>
  <c r="G1787" i="2"/>
  <c r="J1787" i="2" s="1"/>
  <c r="H1788" i="2"/>
  <c r="I1788" i="2" s="1"/>
  <c r="G1788" i="2"/>
  <c r="J1788" i="2" s="1"/>
  <c r="H1789" i="2"/>
  <c r="I1789" i="2" s="1"/>
  <c r="G1789" i="2"/>
  <c r="J1789" i="2" s="1"/>
  <c r="H1790" i="2"/>
  <c r="I1790" i="2" s="1"/>
  <c r="G1790" i="2"/>
  <c r="J1790" i="2" s="1"/>
  <c r="H1791" i="2"/>
  <c r="I1791" i="2" s="1"/>
  <c r="G1791" i="2"/>
  <c r="J1791" i="2" s="1"/>
  <c r="H1792" i="2"/>
  <c r="I1792" i="2" s="1"/>
  <c r="G1792" i="2"/>
  <c r="J1792" i="2" s="1"/>
  <c r="H1793" i="2"/>
  <c r="I1793" i="2" s="1"/>
  <c r="G1793" i="2"/>
  <c r="J1793" i="2" s="1"/>
  <c r="H1794" i="2"/>
  <c r="I1794" i="2" s="1"/>
  <c r="G1794" i="2"/>
  <c r="J1794" i="2" s="1"/>
  <c r="H1795" i="2"/>
  <c r="I1795" i="2" s="1"/>
  <c r="G1795" i="2"/>
  <c r="J1795" i="2" s="1"/>
  <c r="H1796" i="2"/>
  <c r="I1796" i="2" s="1"/>
  <c r="G1796" i="2"/>
  <c r="J1796" i="2" s="1"/>
  <c r="H1797" i="2"/>
  <c r="I1797" i="2" s="1"/>
  <c r="G1797" i="2"/>
  <c r="J1797" i="2" s="1"/>
  <c r="H1798" i="2"/>
  <c r="I1798" i="2" s="1"/>
  <c r="G1798" i="2"/>
  <c r="J1798" i="2" s="1"/>
  <c r="H1799" i="2"/>
  <c r="I1799" i="2" s="1"/>
  <c r="G1799" i="2"/>
  <c r="J1799" i="2" s="1"/>
  <c r="H1800" i="2"/>
  <c r="I1800" i="2" s="1"/>
  <c r="G1800" i="2"/>
  <c r="J1800" i="2" s="1"/>
  <c r="H1801" i="2"/>
  <c r="I1801" i="2" s="1"/>
  <c r="G1801" i="2"/>
  <c r="J1801" i="2" s="1"/>
  <c r="H1802" i="2"/>
  <c r="I1802" i="2" s="1"/>
  <c r="G1802" i="2"/>
  <c r="J1802" i="2" s="1"/>
  <c r="H1803" i="2"/>
  <c r="I1803" i="2" s="1"/>
  <c r="G1803" i="2"/>
  <c r="J1803" i="2" s="1"/>
  <c r="H1804" i="2"/>
  <c r="I1804" i="2" s="1"/>
  <c r="G1804" i="2"/>
  <c r="J1804" i="2" s="1"/>
  <c r="H1805" i="2"/>
  <c r="I1805" i="2" s="1"/>
  <c r="G1805" i="2"/>
  <c r="J1805" i="2" s="1"/>
  <c r="H1806" i="2"/>
  <c r="I1806" i="2" s="1"/>
  <c r="G1806" i="2"/>
  <c r="J1806" i="2" s="1"/>
  <c r="H1807" i="2"/>
  <c r="I1807" i="2" s="1"/>
  <c r="G1807" i="2"/>
  <c r="J1807" i="2" s="1"/>
  <c r="H1808" i="2"/>
  <c r="I1808" i="2" s="1"/>
  <c r="G1808" i="2"/>
  <c r="J1808" i="2" s="1"/>
  <c r="H1809" i="2"/>
  <c r="I1809" i="2" s="1"/>
  <c r="G1809" i="2"/>
  <c r="J1809" i="2" s="1"/>
  <c r="H1810" i="2"/>
  <c r="I1810" i="2" s="1"/>
  <c r="G1810" i="2"/>
  <c r="J1810" i="2" s="1"/>
  <c r="H1811" i="2"/>
  <c r="I1811" i="2" s="1"/>
  <c r="G1811" i="2"/>
  <c r="J1811" i="2" s="1"/>
  <c r="H1812" i="2"/>
  <c r="I1812" i="2" s="1"/>
  <c r="G1812" i="2"/>
  <c r="J1812" i="2" s="1"/>
  <c r="H1813" i="2"/>
  <c r="I1813" i="2" s="1"/>
  <c r="G1813" i="2"/>
  <c r="J1813" i="2" s="1"/>
  <c r="H1814" i="2"/>
  <c r="I1814" i="2" s="1"/>
  <c r="G1814" i="2"/>
  <c r="J1814" i="2" s="1"/>
  <c r="H1815" i="2"/>
  <c r="I1815" i="2" s="1"/>
  <c r="G1815" i="2"/>
  <c r="J1815" i="2" s="1"/>
  <c r="H1816" i="2"/>
  <c r="I1816" i="2" s="1"/>
  <c r="G1816" i="2"/>
  <c r="J1816" i="2" s="1"/>
  <c r="H1817" i="2"/>
  <c r="I1817" i="2" s="1"/>
  <c r="G1817" i="2"/>
  <c r="J1817" i="2" s="1"/>
  <c r="H1818" i="2"/>
  <c r="I1818" i="2" s="1"/>
  <c r="G1818" i="2"/>
  <c r="J1818" i="2" s="1"/>
  <c r="H1819" i="2"/>
  <c r="I1819" i="2" s="1"/>
  <c r="G1819" i="2"/>
  <c r="J1819" i="2" s="1"/>
  <c r="H1820" i="2"/>
  <c r="I1820" i="2" s="1"/>
  <c r="G1820" i="2"/>
  <c r="J1820" i="2" s="1"/>
  <c r="H1821" i="2"/>
  <c r="I1821" i="2" s="1"/>
  <c r="G1821" i="2"/>
  <c r="J1821" i="2" s="1"/>
  <c r="H1822" i="2"/>
  <c r="I1822" i="2" s="1"/>
  <c r="G1822" i="2"/>
  <c r="J1822" i="2" s="1"/>
  <c r="H1823" i="2"/>
  <c r="I1823" i="2" s="1"/>
  <c r="G1823" i="2"/>
  <c r="J1823" i="2" s="1"/>
  <c r="H1824" i="2"/>
  <c r="I1824" i="2" s="1"/>
  <c r="G1824" i="2"/>
  <c r="J1824" i="2" s="1"/>
  <c r="H1825" i="2"/>
  <c r="I1825" i="2" s="1"/>
  <c r="G1825" i="2"/>
  <c r="J1825" i="2" s="1"/>
  <c r="H1826" i="2"/>
  <c r="I1826" i="2" s="1"/>
  <c r="G1826" i="2"/>
  <c r="J1826" i="2" s="1"/>
  <c r="H1827" i="2"/>
  <c r="I1827" i="2" s="1"/>
  <c r="G1827" i="2"/>
  <c r="J1827" i="2" s="1"/>
  <c r="H1828" i="2"/>
  <c r="I1828" i="2" s="1"/>
  <c r="G1828" i="2"/>
  <c r="J1828" i="2" s="1"/>
  <c r="H1829" i="2"/>
  <c r="I1829" i="2" s="1"/>
  <c r="G1829" i="2"/>
  <c r="J1829" i="2" s="1"/>
  <c r="H1830" i="2"/>
  <c r="I1830" i="2" s="1"/>
  <c r="G1830" i="2"/>
  <c r="J1830" i="2" s="1"/>
  <c r="H1831" i="2"/>
  <c r="I1831" i="2" s="1"/>
  <c r="G1831" i="2"/>
  <c r="J1831" i="2" s="1"/>
  <c r="H1832" i="2"/>
  <c r="I1832" i="2" s="1"/>
  <c r="G1832" i="2"/>
  <c r="J1832" i="2" s="1"/>
  <c r="H1833" i="2"/>
  <c r="I1833" i="2" s="1"/>
  <c r="G1833" i="2"/>
  <c r="J1833" i="2" s="1"/>
  <c r="H1834" i="2"/>
  <c r="I1834" i="2" s="1"/>
  <c r="G1834" i="2"/>
  <c r="J1834" i="2" s="1"/>
  <c r="H1835" i="2"/>
  <c r="I1835" i="2" s="1"/>
  <c r="G1835" i="2"/>
  <c r="J1835" i="2" s="1"/>
  <c r="H1836" i="2"/>
  <c r="I1836" i="2" s="1"/>
  <c r="G1836" i="2"/>
  <c r="J1836" i="2" s="1"/>
  <c r="H1837" i="2"/>
  <c r="I1837" i="2" s="1"/>
  <c r="G1837" i="2"/>
  <c r="J1837" i="2" s="1"/>
  <c r="H1838" i="2"/>
  <c r="I1838" i="2" s="1"/>
  <c r="G1838" i="2"/>
  <c r="J1838" i="2" s="1"/>
  <c r="H1839" i="2"/>
  <c r="I1839" i="2" s="1"/>
  <c r="G1839" i="2"/>
  <c r="J1839" i="2" s="1"/>
  <c r="H1840" i="2"/>
  <c r="I1840" i="2" s="1"/>
  <c r="G1840" i="2"/>
  <c r="J1840" i="2" s="1"/>
  <c r="H1841" i="2"/>
  <c r="I1841" i="2" s="1"/>
  <c r="G1841" i="2"/>
  <c r="J1841" i="2" s="1"/>
  <c r="H1842" i="2"/>
  <c r="I1842" i="2" s="1"/>
  <c r="G1842" i="2"/>
  <c r="J1842" i="2" s="1"/>
  <c r="H1843" i="2"/>
  <c r="I1843" i="2" s="1"/>
  <c r="G1843" i="2"/>
  <c r="J1843" i="2" s="1"/>
  <c r="H1844" i="2"/>
  <c r="I1844" i="2" s="1"/>
  <c r="G1844" i="2"/>
  <c r="J1844" i="2" s="1"/>
  <c r="H1845" i="2"/>
  <c r="I1845" i="2" s="1"/>
  <c r="G1845" i="2"/>
  <c r="J1845" i="2" s="1"/>
  <c r="H1846" i="2"/>
  <c r="I1846" i="2" s="1"/>
  <c r="G1846" i="2"/>
  <c r="J1846" i="2" s="1"/>
  <c r="H1847" i="2"/>
  <c r="I1847" i="2" s="1"/>
  <c r="G1847" i="2"/>
  <c r="J1847" i="2" s="1"/>
  <c r="H1848" i="2"/>
  <c r="I1848" i="2" s="1"/>
  <c r="G1848" i="2"/>
  <c r="J1848" i="2" s="1"/>
  <c r="H1849" i="2"/>
  <c r="I1849" i="2" s="1"/>
  <c r="G1849" i="2"/>
  <c r="J1849" i="2" s="1"/>
  <c r="H1850" i="2"/>
  <c r="I1850" i="2" s="1"/>
  <c r="G1850" i="2"/>
  <c r="J1850" i="2" s="1"/>
  <c r="H1851" i="2"/>
  <c r="I1851" i="2" s="1"/>
  <c r="G1851" i="2"/>
  <c r="J1851" i="2" s="1"/>
  <c r="H1852" i="2"/>
  <c r="I1852" i="2" s="1"/>
  <c r="G1852" i="2"/>
  <c r="J1852" i="2" s="1"/>
  <c r="H1853" i="2"/>
  <c r="I1853" i="2" s="1"/>
  <c r="G1853" i="2"/>
  <c r="J1853" i="2" s="1"/>
  <c r="H1854" i="2"/>
  <c r="I1854" i="2" s="1"/>
  <c r="G1854" i="2"/>
  <c r="J1854" i="2" s="1"/>
  <c r="H1855" i="2"/>
  <c r="I1855" i="2" s="1"/>
  <c r="G1855" i="2"/>
  <c r="J1855" i="2" s="1"/>
  <c r="H1856" i="2"/>
  <c r="I1856" i="2" s="1"/>
  <c r="G1856" i="2"/>
  <c r="J1856" i="2" s="1"/>
  <c r="H1857" i="2"/>
  <c r="I1857" i="2" s="1"/>
  <c r="G1857" i="2"/>
  <c r="J1857" i="2" s="1"/>
  <c r="H1858" i="2"/>
  <c r="I1858" i="2" s="1"/>
  <c r="G1858" i="2"/>
  <c r="J1858" i="2" s="1"/>
  <c r="H1859" i="2"/>
  <c r="I1859" i="2" s="1"/>
  <c r="G1859" i="2"/>
  <c r="J1859" i="2" s="1"/>
  <c r="H1860" i="2"/>
  <c r="I1860" i="2" s="1"/>
  <c r="G1860" i="2"/>
  <c r="J1860" i="2" s="1"/>
  <c r="H1861" i="2"/>
  <c r="I1861" i="2" s="1"/>
  <c r="G1861" i="2"/>
  <c r="J1861" i="2" s="1"/>
  <c r="H1862" i="2"/>
  <c r="I1862" i="2" s="1"/>
  <c r="G1862" i="2"/>
  <c r="J1862" i="2" s="1"/>
  <c r="H1863" i="2"/>
  <c r="I1863" i="2" s="1"/>
  <c r="G1863" i="2"/>
  <c r="J1863" i="2" s="1"/>
  <c r="H1864" i="2"/>
  <c r="I1864" i="2" s="1"/>
  <c r="G1864" i="2"/>
  <c r="J1864" i="2" s="1"/>
  <c r="H1865" i="2"/>
  <c r="I1865" i="2" s="1"/>
  <c r="G1865" i="2"/>
  <c r="J1865" i="2" s="1"/>
  <c r="H1866" i="2"/>
  <c r="I1866" i="2" s="1"/>
  <c r="G1866" i="2"/>
  <c r="J1866" i="2" s="1"/>
  <c r="H1867" i="2"/>
  <c r="I1867" i="2" s="1"/>
  <c r="G1867" i="2"/>
  <c r="J1867" i="2" s="1"/>
  <c r="H1868" i="2"/>
  <c r="I1868" i="2" s="1"/>
  <c r="G1868" i="2"/>
  <c r="J1868" i="2" s="1"/>
  <c r="H1869" i="2"/>
  <c r="I1869" i="2" s="1"/>
  <c r="G1869" i="2"/>
  <c r="J1869" i="2" s="1"/>
  <c r="H1870" i="2"/>
  <c r="I1870" i="2" s="1"/>
  <c r="G1870" i="2"/>
  <c r="J1870" i="2" s="1"/>
  <c r="H1871" i="2"/>
  <c r="I1871" i="2" s="1"/>
  <c r="G1871" i="2"/>
  <c r="J1871" i="2" s="1"/>
  <c r="H1872" i="2"/>
  <c r="I1872" i="2" s="1"/>
  <c r="G1872" i="2"/>
  <c r="J1872" i="2" s="1"/>
  <c r="H1873" i="2"/>
  <c r="I1873" i="2" s="1"/>
  <c r="G1873" i="2"/>
  <c r="J1873" i="2" s="1"/>
  <c r="H1874" i="2"/>
  <c r="I1874" i="2" s="1"/>
  <c r="G1874" i="2"/>
  <c r="J1874" i="2" s="1"/>
  <c r="H1875" i="2"/>
  <c r="I1875" i="2" s="1"/>
  <c r="G1875" i="2"/>
  <c r="J1875" i="2" s="1"/>
  <c r="H1876" i="2"/>
  <c r="I1876" i="2" s="1"/>
  <c r="G1876" i="2"/>
  <c r="J1876" i="2" s="1"/>
  <c r="H1877" i="2"/>
  <c r="I1877" i="2" s="1"/>
  <c r="G1877" i="2"/>
  <c r="J1877" i="2" s="1"/>
  <c r="H1878" i="2"/>
  <c r="I1878" i="2" s="1"/>
  <c r="G1878" i="2"/>
  <c r="J1878" i="2" s="1"/>
  <c r="H1879" i="2"/>
  <c r="I1879" i="2" s="1"/>
  <c r="G1879" i="2"/>
  <c r="J1879" i="2" s="1"/>
  <c r="H1880" i="2"/>
  <c r="I1880" i="2" s="1"/>
  <c r="G1880" i="2"/>
  <c r="J1880" i="2" s="1"/>
  <c r="H1881" i="2"/>
  <c r="I1881" i="2" s="1"/>
  <c r="G1881" i="2"/>
  <c r="J1881" i="2" s="1"/>
  <c r="H1882" i="2"/>
  <c r="I1882" i="2" s="1"/>
  <c r="G1882" i="2"/>
  <c r="J1882" i="2" s="1"/>
  <c r="H1883" i="2"/>
  <c r="I1883" i="2" s="1"/>
  <c r="G1883" i="2"/>
  <c r="J1883" i="2" s="1"/>
  <c r="H1884" i="2"/>
  <c r="I1884" i="2" s="1"/>
  <c r="G1884" i="2"/>
  <c r="J1884" i="2" s="1"/>
  <c r="H1885" i="2"/>
  <c r="I1885" i="2" s="1"/>
  <c r="G1885" i="2"/>
  <c r="J1885" i="2" s="1"/>
  <c r="H1886" i="2"/>
  <c r="I1886" i="2" s="1"/>
  <c r="G1886" i="2"/>
  <c r="J1886" i="2" s="1"/>
  <c r="H1887" i="2"/>
  <c r="I1887" i="2" s="1"/>
  <c r="G1887" i="2"/>
  <c r="J1887" i="2" s="1"/>
  <c r="H1888" i="2"/>
  <c r="I1888" i="2" s="1"/>
  <c r="G1888" i="2"/>
  <c r="J1888" i="2" s="1"/>
  <c r="H1889" i="2"/>
  <c r="I1889" i="2" s="1"/>
  <c r="G1889" i="2"/>
  <c r="J1889" i="2" s="1"/>
  <c r="H1890" i="2"/>
  <c r="I1890" i="2" s="1"/>
  <c r="G1890" i="2"/>
  <c r="J1890" i="2" s="1"/>
  <c r="H1891" i="2"/>
  <c r="I1891" i="2" s="1"/>
  <c r="G1891" i="2"/>
  <c r="J1891" i="2" s="1"/>
  <c r="H1892" i="2"/>
  <c r="I1892" i="2" s="1"/>
  <c r="G1892" i="2"/>
  <c r="J1892" i="2" s="1"/>
  <c r="H1893" i="2"/>
  <c r="I1893" i="2" s="1"/>
  <c r="G1893" i="2"/>
  <c r="J1893" i="2" s="1"/>
  <c r="H1894" i="2"/>
  <c r="I1894" i="2" s="1"/>
  <c r="G1894" i="2"/>
  <c r="J1894" i="2" s="1"/>
  <c r="H1895" i="2"/>
  <c r="I1895" i="2" s="1"/>
  <c r="G1895" i="2"/>
  <c r="J1895" i="2" s="1"/>
  <c r="H1896" i="2"/>
  <c r="I1896" i="2" s="1"/>
  <c r="G1896" i="2"/>
  <c r="J1896" i="2" s="1"/>
  <c r="H1897" i="2"/>
  <c r="I1897" i="2" s="1"/>
  <c r="G1897" i="2"/>
  <c r="J1897" i="2" s="1"/>
  <c r="H1898" i="2"/>
  <c r="I1898" i="2" s="1"/>
  <c r="G1898" i="2"/>
  <c r="J1898" i="2" s="1"/>
  <c r="H1899" i="2"/>
  <c r="I1899" i="2" s="1"/>
  <c r="G1899" i="2"/>
  <c r="J1899" i="2" s="1"/>
  <c r="H1900" i="2"/>
  <c r="I1900" i="2" s="1"/>
  <c r="G1900" i="2"/>
  <c r="J1900" i="2" s="1"/>
  <c r="H1901" i="2"/>
  <c r="I1901" i="2" s="1"/>
  <c r="G1901" i="2"/>
  <c r="J1901" i="2" s="1"/>
  <c r="H1902" i="2"/>
  <c r="I1902" i="2" s="1"/>
  <c r="G1902" i="2"/>
  <c r="J1902" i="2" s="1"/>
  <c r="H1903" i="2"/>
  <c r="I1903" i="2" s="1"/>
  <c r="G1903" i="2"/>
  <c r="J1903" i="2" s="1"/>
  <c r="H1904" i="2"/>
  <c r="I1904" i="2" s="1"/>
  <c r="G1904" i="2"/>
  <c r="J1904" i="2" s="1"/>
  <c r="H1905" i="2"/>
  <c r="I1905" i="2" s="1"/>
  <c r="G1905" i="2"/>
  <c r="J1905" i="2" s="1"/>
  <c r="H1906" i="2"/>
  <c r="I1906" i="2" s="1"/>
  <c r="G1906" i="2"/>
  <c r="J1906" i="2" s="1"/>
  <c r="H1907" i="2"/>
  <c r="I1907" i="2" s="1"/>
  <c r="G1907" i="2"/>
  <c r="J1907" i="2" s="1"/>
  <c r="H1908" i="2"/>
  <c r="I1908" i="2" s="1"/>
  <c r="G1908" i="2"/>
  <c r="J1908" i="2" s="1"/>
  <c r="H1909" i="2"/>
  <c r="I1909" i="2" s="1"/>
  <c r="G1909" i="2"/>
  <c r="J1909" i="2" s="1"/>
  <c r="H1910" i="2"/>
  <c r="I1910" i="2" s="1"/>
  <c r="G1910" i="2"/>
  <c r="J1910" i="2" s="1"/>
  <c r="H1911" i="2"/>
  <c r="I1911" i="2" s="1"/>
  <c r="G1911" i="2"/>
  <c r="J1911" i="2" s="1"/>
  <c r="H1912" i="2"/>
  <c r="I1912" i="2" s="1"/>
  <c r="G1912" i="2"/>
  <c r="J1912" i="2" s="1"/>
  <c r="H1913" i="2"/>
  <c r="I1913" i="2" s="1"/>
  <c r="G1913" i="2"/>
  <c r="J1913" i="2" s="1"/>
  <c r="H1914" i="2"/>
  <c r="I1914" i="2" s="1"/>
  <c r="G1914" i="2"/>
  <c r="J1914" i="2" s="1"/>
  <c r="H1915" i="2"/>
  <c r="I1915" i="2" s="1"/>
  <c r="G1915" i="2"/>
  <c r="J1915" i="2" s="1"/>
  <c r="H1916" i="2"/>
  <c r="I1916" i="2" s="1"/>
  <c r="G1916" i="2"/>
  <c r="J1916" i="2" s="1"/>
  <c r="H1917" i="2"/>
  <c r="I1917" i="2" s="1"/>
  <c r="G1917" i="2"/>
  <c r="J1917" i="2" s="1"/>
  <c r="H1918" i="2"/>
  <c r="I1918" i="2" s="1"/>
  <c r="G1918" i="2"/>
  <c r="J1918" i="2" s="1"/>
  <c r="H1919" i="2"/>
  <c r="I1919" i="2" s="1"/>
  <c r="G1919" i="2"/>
  <c r="J1919" i="2" s="1"/>
  <c r="H1920" i="2"/>
  <c r="I1920" i="2" s="1"/>
  <c r="G1920" i="2"/>
  <c r="J1920" i="2" s="1"/>
  <c r="H1921" i="2"/>
  <c r="I1921" i="2" s="1"/>
  <c r="G1921" i="2"/>
  <c r="J1921" i="2" s="1"/>
  <c r="H1922" i="2"/>
  <c r="I1922" i="2" s="1"/>
  <c r="G1922" i="2"/>
  <c r="J1922" i="2" s="1"/>
  <c r="H1923" i="2"/>
  <c r="I1923" i="2" s="1"/>
  <c r="G1923" i="2"/>
  <c r="J1923" i="2" s="1"/>
  <c r="H1924" i="2"/>
  <c r="I1924" i="2" s="1"/>
  <c r="G1924" i="2"/>
  <c r="J1924" i="2" s="1"/>
  <c r="H1925" i="2"/>
  <c r="I1925" i="2" s="1"/>
  <c r="G1925" i="2"/>
  <c r="J1925" i="2" s="1"/>
  <c r="H1926" i="2"/>
  <c r="I1926" i="2" s="1"/>
  <c r="G1926" i="2"/>
  <c r="J1926" i="2" s="1"/>
  <c r="H1927" i="2"/>
  <c r="I1927" i="2" s="1"/>
  <c r="G1927" i="2"/>
  <c r="J1927" i="2" s="1"/>
  <c r="H1928" i="2"/>
  <c r="I1928" i="2" s="1"/>
  <c r="G1928" i="2"/>
  <c r="J1928" i="2" s="1"/>
  <c r="H1929" i="2"/>
  <c r="I1929" i="2" s="1"/>
  <c r="G1929" i="2"/>
  <c r="J1929" i="2" s="1"/>
  <c r="H1930" i="2"/>
  <c r="I1930" i="2" s="1"/>
  <c r="G1930" i="2"/>
  <c r="J1930" i="2" s="1"/>
  <c r="H1931" i="2"/>
  <c r="I1931" i="2" s="1"/>
  <c r="G1931" i="2"/>
  <c r="J1931" i="2" s="1"/>
  <c r="H1932" i="2"/>
  <c r="I1932" i="2" s="1"/>
  <c r="G1932" i="2"/>
  <c r="J1932" i="2" s="1"/>
  <c r="H1933" i="2"/>
  <c r="I1933" i="2" s="1"/>
  <c r="G1933" i="2"/>
  <c r="J1933" i="2" s="1"/>
  <c r="H1934" i="2"/>
  <c r="I1934" i="2" s="1"/>
  <c r="G1934" i="2"/>
  <c r="J1934" i="2" s="1"/>
  <c r="H1935" i="2"/>
  <c r="I1935" i="2" s="1"/>
  <c r="G1935" i="2"/>
  <c r="J1935" i="2" s="1"/>
  <c r="H1936" i="2"/>
  <c r="I1936" i="2" s="1"/>
  <c r="G1936" i="2"/>
  <c r="J1936" i="2" s="1"/>
  <c r="H1937" i="2"/>
  <c r="I1937" i="2" s="1"/>
  <c r="G1937" i="2"/>
  <c r="J1937" i="2" s="1"/>
  <c r="H1938" i="2"/>
  <c r="I1938" i="2" s="1"/>
  <c r="G1938" i="2"/>
  <c r="J1938" i="2" s="1"/>
  <c r="H1939" i="2"/>
  <c r="I1939" i="2" s="1"/>
  <c r="G1939" i="2"/>
  <c r="J1939" i="2" s="1"/>
  <c r="H1940" i="2"/>
  <c r="I1940" i="2" s="1"/>
  <c r="G1940" i="2"/>
  <c r="J1940" i="2" s="1"/>
  <c r="H1941" i="2"/>
  <c r="I1941" i="2" s="1"/>
  <c r="G1941" i="2"/>
  <c r="J1941" i="2" s="1"/>
  <c r="H1942" i="2"/>
  <c r="I1942" i="2" s="1"/>
  <c r="G1942" i="2"/>
  <c r="J1942" i="2" s="1"/>
  <c r="H1943" i="2"/>
  <c r="I1943" i="2" s="1"/>
  <c r="G1943" i="2"/>
  <c r="J1943" i="2" s="1"/>
  <c r="H1944" i="2"/>
  <c r="I1944" i="2" s="1"/>
  <c r="G1944" i="2"/>
  <c r="J1944" i="2" s="1"/>
  <c r="H1945" i="2"/>
  <c r="I1945" i="2" s="1"/>
  <c r="G1945" i="2"/>
  <c r="J1945" i="2" s="1"/>
  <c r="H1946" i="2"/>
  <c r="I1946" i="2" s="1"/>
  <c r="G1946" i="2"/>
  <c r="J1946" i="2" s="1"/>
  <c r="H1947" i="2"/>
  <c r="I1947" i="2" s="1"/>
  <c r="G1947" i="2"/>
  <c r="J1947" i="2" s="1"/>
  <c r="H1948" i="2"/>
  <c r="I1948" i="2" s="1"/>
  <c r="G1948" i="2"/>
  <c r="J1948" i="2" s="1"/>
  <c r="H1949" i="2"/>
  <c r="I1949" i="2" s="1"/>
  <c r="G1949" i="2"/>
  <c r="J1949" i="2" s="1"/>
  <c r="H1950" i="2"/>
  <c r="I1950" i="2" s="1"/>
  <c r="G1950" i="2"/>
  <c r="J1950" i="2" s="1"/>
  <c r="H1951" i="2"/>
  <c r="I1951" i="2" s="1"/>
  <c r="G1951" i="2"/>
  <c r="J1951" i="2" s="1"/>
  <c r="H1952" i="2"/>
  <c r="I1952" i="2" s="1"/>
  <c r="G1952" i="2"/>
  <c r="J1952" i="2" s="1"/>
  <c r="H1953" i="2"/>
  <c r="I1953" i="2" s="1"/>
  <c r="G1953" i="2"/>
  <c r="J1953" i="2" s="1"/>
  <c r="H1954" i="2"/>
  <c r="I1954" i="2" s="1"/>
  <c r="G1954" i="2"/>
  <c r="J1954" i="2" s="1"/>
  <c r="H1955" i="2"/>
  <c r="I1955" i="2" s="1"/>
  <c r="G1955" i="2"/>
  <c r="J1955" i="2" s="1"/>
  <c r="H1956" i="2"/>
  <c r="I1956" i="2" s="1"/>
  <c r="G1956" i="2"/>
  <c r="J1956" i="2" s="1"/>
  <c r="H1957" i="2"/>
  <c r="I1957" i="2" s="1"/>
  <c r="G1957" i="2"/>
  <c r="J1957" i="2" s="1"/>
  <c r="H1958" i="2"/>
  <c r="I1958" i="2" s="1"/>
  <c r="G1958" i="2"/>
  <c r="J1958" i="2" s="1"/>
  <c r="H1959" i="2"/>
  <c r="I1959" i="2" s="1"/>
  <c r="G1959" i="2"/>
  <c r="J1959" i="2" s="1"/>
  <c r="H1960" i="2"/>
  <c r="I1960" i="2" s="1"/>
  <c r="G1960" i="2"/>
  <c r="J1960" i="2" s="1"/>
  <c r="H1961" i="2"/>
  <c r="I1961" i="2" s="1"/>
  <c r="G1961" i="2"/>
  <c r="J1961" i="2" s="1"/>
  <c r="H1962" i="2"/>
  <c r="I1962" i="2" s="1"/>
  <c r="G1962" i="2"/>
  <c r="J1962" i="2" s="1"/>
  <c r="H1963" i="2"/>
  <c r="I1963" i="2" s="1"/>
  <c r="G1963" i="2"/>
  <c r="J1963" i="2" s="1"/>
  <c r="H1964" i="2"/>
  <c r="I1964" i="2" s="1"/>
  <c r="G1964" i="2"/>
  <c r="J1964" i="2" s="1"/>
  <c r="H1965" i="2"/>
  <c r="I1965" i="2" s="1"/>
  <c r="G1965" i="2"/>
  <c r="J1965" i="2" s="1"/>
  <c r="H1966" i="2"/>
  <c r="I1966" i="2" s="1"/>
  <c r="G1966" i="2"/>
  <c r="J1966" i="2" s="1"/>
  <c r="H1967" i="2"/>
  <c r="I1967" i="2" s="1"/>
  <c r="G1967" i="2"/>
  <c r="J1967" i="2" s="1"/>
  <c r="H1968" i="2"/>
  <c r="I1968" i="2" s="1"/>
  <c r="G1968" i="2"/>
  <c r="J1968" i="2" s="1"/>
  <c r="H1969" i="2"/>
  <c r="I1969" i="2" s="1"/>
  <c r="G1969" i="2"/>
  <c r="J1969" i="2" s="1"/>
  <c r="H1970" i="2"/>
  <c r="I1970" i="2" s="1"/>
  <c r="G1970" i="2"/>
  <c r="J1970" i="2" s="1"/>
  <c r="H1971" i="2"/>
  <c r="I1971" i="2" s="1"/>
  <c r="G1971" i="2"/>
  <c r="J1971" i="2" s="1"/>
  <c r="H1972" i="2"/>
  <c r="I1972" i="2" s="1"/>
  <c r="G1972" i="2"/>
  <c r="J1972" i="2" s="1"/>
  <c r="H1973" i="2"/>
  <c r="I1973" i="2" s="1"/>
  <c r="G1973" i="2"/>
  <c r="J1973" i="2" s="1"/>
  <c r="H1974" i="2"/>
  <c r="I1974" i="2" s="1"/>
  <c r="G1974" i="2"/>
  <c r="J1974" i="2" s="1"/>
  <c r="H1975" i="2"/>
  <c r="I1975" i="2" s="1"/>
  <c r="G1975" i="2"/>
  <c r="J1975" i="2" s="1"/>
  <c r="H1976" i="2"/>
  <c r="I1976" i="2" s="1"/>
  <c r="G1976" i="2"/>
  <c r="J1976" i="2" s="1"/>
  <c r="H1977" i="2"/>
  <c r="I1977" i="2" s="1"/>
  <c r="G1977" i="2"/>
  <c r="J1977" i="2" s="1"/>
  <c r="H1978" i="2"/>
  <c r="I1978" i="2" s="1"/>
  <c r="G1978" i="2"/>
  <c r="J1978" i="2" s="1"/>
  <c r="H1979" i="2"/>
  <c r="I1979" i="2" s="1"/>
  <c r="G1979" i="2"/>
  <c r="J1979" i="2" s="1"/>
  <c r="H1980" i="2"/>
  <c r="I1980" i="2" s="1"/>
  <c r="G1980" i="2"/>
  <c r="J1980" i="2" s="1"/>
  <c r="H1981" i="2"/>
  <c r="I1981" i="2" s="1"/>
  <c r="G1981" i="2"/>
  <c r="J1981" i="2" s="1"/>
  <c r="H1982" i="2"/>
  <c r="I1982" i="2" s="1"/>
  <c r="G1982" i="2"/>
  <c r="J1982" i="2" s="1"/>
  <c r="H1983" i="2"/>
  <c r="I1983" i="2" s="1"/>
  <c r="G1983" i="2"/>
  <c r="J1983" i="2" s="1"/>
  <c r="H1984" i="2"/>
  <c r="I1984" i="2" s="1"/>
  <c r="G1984" i="2"/>
  <c r="J1984" i="2" s="1"/>
  <c r="H1985" i="2"/>
  <c r="I1985" i="2" s="1"/>
  <c r="G1985" i="2"/>
  <c r="J1985" i="2" s="1"/>
  <c r="H1986" i="2"/>
  <c r="I1986" i="2" s="1"/>
  <c r="G1986" i="2"/>
  <c r="J1986" i="2" s="1"/>
  <c r="H1987" i="2"/>
  <c r="I1987" i="2" s="1"/>
  <c r="G1987" i="2"/>
  <c r="J1987" i="2" s="1"/>
  <c r="H1988" i="2"/>
  <c r="I1988" i="2" s="1"/>
  <c r="G1988" i="2"/>
  <c r="J1988" i="2" s="1"/>
  <c r="H1989" i="2"/>
  <c r="I1989" i="2" s="1"/>
  <c r="G1989" i="2"/>
  <c r="J1989" i="2" s="1"/>
  <c r="H1990" i="2"/>
  <c r="I1990" i="2" s="1"/>
  <c r="G1990" i="2"/>
  <c r="J1990" i="2" s="1"/>
  <c r="H1991" i="2"/>
  <c r="I1991" i="2" s="1"/>
  <c r="G1991" i="2"/>
  <c r="J1991" i="2" s="1"/>
  <c r="H1992" i="2"/>
  <c r="I1992" i="2" s="1"/>
  <c r="G1992" i="2"/>
  <c r="J1992" i="2" s="1"/>
  <c r="H1993" i="2"/>
  <c r="I1993" i="2" s="1"/>
  <c r="G1993" i="2"/>
  <c r="J1993" i="2" s="1"/>
  <c r="H1994" i="2"/>
  <c r="I1994" i="2" s="1"/>
  <c r="G1994" i="2"/>
  <c r="J1994" i="2" s="1"/>
  <c r="H1995" i="2"/>
  <c r="I1995" i="2" s="1"/>
  <c r="G1995" i="2"/>
  <c r="J1995" i="2" s="1"/>
  <c r="H1996" i="2"/>
  <c r="I1996" i="2" s="1"/>
  <c r="G1996" i="2"/>
  <c r="J1996" i="2" s="1"/>
  <c r="H1997" i="2"/>
  <c r="I1997" i="2" s="1"/>
  <c r="G1997" i="2"/>
  <c r="J1997" i="2" s="1"/>
  <c r="H1998" i="2"/>
  <c r="I1998" i="2" s="1"/>
  <c r="G1998" i="2"/>
  <c r="J1998" i="2" s="1"/>
  <c r="H1999" i="2"/>
  <c r="I1999" i="2" s="1"/>
  <c r="G1999" i="2"/>
  <c r="J1999" i="2" s="1"/>
  <c r="H2000" i="2"/>
  <c r="I2000" i="2" s="1"/>
  <c r="G2000" i="2"/>
  <c r="J2000" i="2" s="1"/>
  <c r="H2001" i="2"/>
  <c r="I2001" i="2" s="1"/>
  <c r="G2001" i="2"/>
  <c r="J2001" i="2" s="1"/>
  <c r="H2002" i="2"/>
  <c r="I2002" i="2" s="1"/>
  <c r="G2002" i="2"/>
  <c r="J2002" i="2" s="1"/>
  <c r="H2003" i="2"/>
  <c r="I2003" i="2" s="1"/>
  <c r="G2003" i="2"/>
  <c r="J2003" i="2" s="1"/>
  <c r="H2004" i="2"/>
  <c r="I2004" i="2" s="1"/>
  <c r="G2004" i="2"/>
  <c r="J2004" i="2" s="1"/>
  <c r="H2005" i="2"/>
  <c r="I2005" i="2" s="1"/>
  <c r="G2005" i="2"/>
  <c r="J2005" i="2" s="1"/>
  <c r="H2006" i="2"/>
  <c r="I2006" i="2" s="1"/>
  <c r="G2006" i="2"/>
  <c r="J2006" i="2" s="1"/>
  <c r="H2007" i="2"/>
  <c r="I2007" i="2" s="1"/>
  <c r="G2007" i="2"/>
  <c r="J2007" i="2" s="1"/>
  <c r="H2008" i="2"/>
  <c r="I2008" i="2" s="1"/>
  <c r="G2008" i="2"/>
  <c r="J2008" i="2" s="1"/>
  <c r="H2009" i="2"/>
  <c r="I2009" i="2" s="1"/>
  <c r="G2009" i="2"/>
  <c r="J2009" i="2" s="1"/>
  <c r="H2010" i="2"/>
  <c r="I2010" i="2" s="1"/>
  <c r="G2010" i="2"/>
  <c r="J2010" i="2" s="1"/>
  <c r="H2011" i="2"/>
  <c r="I2011" i="2" s="1"/>
  <c r="G2011" i="2"/>
  <c r="J2011" i="2" s="1"/>
  <c r="H2012" i="2"/>
  <c r="I2012" i="2" s="1"/>
  <c r="G2012" i="2"/>
  <c r="J2012" i="2" s="1"/>
  <c r="H2013" i="2"/>
  <c r="I2013" i="2" s="1"/>
  <c r="G2013" i="2"/>
  <c r="J2013" i="2" s="1"/>
  <c r="H2014" i="2"/>
  <c r="I2014" i="2" s="1"/>
  <c r="G2014" i="2"/>
  <c r="J2014" i="2" s="1"/>
  <c r="H2015" i="2"/>
  <c r="I2015" i="2" s="1"/>
  <c r="G2015" i="2"/>
  <c r="J2015" i="2" s="1"/>
  <c r="H2016" i="2"/>
  <c r="I2016" i="2" s="1"/>
  <c r="G2016" i="2"/>
  <c r="J2016" i="2" s="1"/>
  <c r="H2017" i="2"/>
  <c r="I2017" i="2" s="1"/>
  <c r="G2017" i="2"/>
  <c r="J2017" i="2" s="1"/>
  <c r="H2018" i="2"/>
  <c r="I2018" i="2" s="1"/>
  <c r="G2018" i="2"/>
  <c r="J2018" i="2" s="1"/>
  <c r="H2019" i="2"/>
  <c r="I2019" i="2" s="1"/>
  <c r="G2019" i="2"/>
  <c r="J2019" i="2" s="1"/>
  <c r="H2020" i="2"/>
  <c r="I2020" i="2" s="1"/>
  <c r="G2020" i="2"/>
  <c r="J2020" i="2" s="1"/>
  <c r="H2021" i="2"/>
  <c r="I2021" i="2" s="1"/>
  <c r="G2021" i="2"/>
  <c r="J2021" i="2" s="1"/>
  <c r="H2022" i="2"/>
  <c r="I2022" i="2" s="1"/>
  <c r="G2022" i="2"/>
  <c r="J2022" i="2" s="1"/>
  <c r="H2023" i="2"/>
  <c r="I2023" i="2" s="1"/>
  <c r="G2023" i="2"/>
  <c r="J2023" i="2" s="1"/>
  <c r="H2024" i="2"/>
  <c r="I2024" i="2" s="1"/>
  <c r="G2024" i="2"/>
  <c r="J2024" i="2" s="1"/>
  <c r="H2025" i="2"/>
  <c r="I2025" i="2" s="1"/>
  <c r="G2025" i="2"/>
  <c r="J2025" i="2" s="1"/>
  <c r="H2026" i="2"/>
  <c r="I2026" i="2" s="1"/>
  <c r="G2026" i="2"/>
  <c r="J2026" i="2" s="1"/>
  <c r="H2027" i="2"/>
  <c r="I2027" i="2" s="1"/>
  <c r="G2027" i="2"/>
  <c r="J2027" i="2" s="1"/>
  <c r="H2028" i="2"/>
  <c r="I2028" i="2" s="1"/>
  <c r="G2028" i="2"/>
  <c r="J2028" i="2" s="1"/>
  <c r="H2029" i="2"/>
  <c r="I2029" i="2" s="1"/>
  <c r="G2029" i="2"/>
  <c r="J2029" i="2" s="1"/>
  <c r="H2030" i="2"/>
  <c r="I2030" i="2" s="1"/>
  <c r="G2030" i="2"/>
  <c r="J2030" i="2" s="1"/>
  <c r="H2031" i="2"/>
  <c r="I2031" i="2" s="1"/>
  <c r="G2031" i="2"/>
  <c r="J2031" i="2" s="1"/>
  <c r="H2032" i="2"/>
  <c r="I2032" i="2" s="1"/>
  <c r="G2032" i="2"/>
  <c r="J2032" i="2" s="1"/>
  <c r="H2033" i="2"/>
  <c r="I2033" i="2" s="1"/>
  <c r="G2033" i="2"/>
  <c r="J2033" i="2" s="1"/>
  <c r="H2034" i="2"/>
  <c r="I2034" i="2" s="1"/>
  <c r="G2034" i="2"/>
  <c r="J2034" i="2" s="1"/>
  <c r="H2035" i="2"/>
  <c r="I2035" i="2" s="1"/>
  <c r="G2035" i="2"/>
  <c r="J2035" i="2" s="1"/>
  <c r="H2036" i="2"/>
  <c r="I2036" i="2" s="1"/>
  <c r="G2036" i="2"/>
  <c r="J2036" i="2" s="1"/>
  <c r="H2037" i="2"/>
  <c r="I2037" i="2" s="1"/>
  <c r="G2037" i="2"/>
  <c r="J2037" i="2" s="1"/>
  <c r="H2038" i="2"/>
  <c r="I2038" i="2" s="1"/>
  <c r="G2038" i="2"/>
  <c r="J2038" i="2" s="1"/>
  <c r="H2039" i="2"/>
  <c r="I2039" i="2" s="1"/>
  <c r="G2039" i="2"/>
  <c r="J2039" i="2" s="1"/>
  <c r="H2040" i="2"/>
  <c r="I2040" i="2" s="1"/>
  <c r="G2040" i="2"/>
  <c r="J2040" i="2" s="1"/>
  <c r="H2041" i="2"/>
  <c r="I2041" i="2" s="1"/>
  <c r="G2041" i="2"/>
  <c r="J2041" i="2" s="1"/>
  <c r="H2042" i="2"/>
  <c r="I2042" i="2" s="1"/>
  <c r="G2042" i="2"/>
  <c r="J2042" i="2" s="1"/>
  <c r="H2043" i="2"/>
  <c r="I2043" i="2" s="1"/>
  <c r="G2043" i="2"/>
  <c r="J2043" i="2" s="1"/>
  <c r="H2044" i="2"/>
  <c r="I2044" i="2" s="1"/>
  <c r="G2044" i="2"/>
  <c r="J2044" i="2" s="1"/>
  <c r="H2045" i="2"/>
  <c r="I2045" i="2" s="1"/>
  <c r="G2045" i="2"/>
  <c r="J2045" i="2" s="1"/>
  <c r="H2046" i="2"/>
  <c r="I2046" i="2" s="1"/>
  <c r="G2046" i="2"/>
  <c r="J2046" i="2" s="1"/>
  <c r="H2047" i="2"/>
  <c r="I2047" i="2" s="1"/>
  <c r="G2047" i="2"/>
  <c r="J2047" i="2" s="1"/>
  <c r="H2048" i="2"/>
  <c r="I2048" i="2" s="1"/>
  <c r="G2048" i="2"/>
  <c r="J2048" i="2" s="1"/>
  <c r="H2049" i="2"/>
  <c r="I2049" i="2" s="1"/>
  <c r="G2049" i="2"/>
  <c r="J2049" i="2" s="1"/>
  <c r="H2050" i="2"/>
  <c r="I2050" i="2" s="1"/>
  <c r="G2050" i="2"/>
  <c r="J2050" i="2" s="1"/>
  <c r="H2051" i="2"/>
  <c r="I2051" i="2" s="1"/>
  <c r="G2051" i="2"/>
  <c r="J2051" i="2" s="1"/>
  <c r="H2052" i="2"/>
  <c r="I2052" i="2" s="1"/>
  <c r="G2052" i="2"/>
  <c r="J2052" i="2" s="1"/>
  <c r="H2053" i="2"/>
  <c r="I2053" i="2" s="1"/>
  <c r="G2053" i="2"/>
  <c r="J2053" i="2" s="1"/>
  <c r="H2054" i="2"/>
  <c r="I2054" i="2" s="1"/>
  <c r="G2054" i="2"/>
  <c r="J2054" i="2" s="1"/>
  <c r="H2055" i="2"/>
  <c r="I2055" i="2" s="1"/>
  <c r="G2055" i="2"/>
  <c r="J2055" i="2" s="1"/>
  <c r="H2056" i="2"/>
  <c r="I2056" i="2" s="1"/>
  <c r="G2056" i="2"/>
  <c r="J2056" i="2" s="1"/>
  <c r="H2057" i="2"/>
  <c r="I2057" i="2" s="1"/>
  <c r="G2057" i="2"/>
  <c r="J2057" i="2" s="1"/>
  <c r="H2058" i="2"/>
  <c r="I2058" i="2" s="1"/>
  <c r="G2058" i="2"/>
  <c r="J2058" i="2" s="1"/>
  <c r="H2059" i="2"/>
  <c r="I2059" i="2" s="1"/>
  <c r="G2059" i="2"/>
  <c r="J2059" i="2" s="1"/>
  <c r="H2060" i="2"/>
  <c r="I2060" i="2" s="1"/>
  <c r="G2060" i="2"/>
  <c r="J2060" i="2" s="1"/>
  <c r="H2061" i="2"/>
  <c r="I2061" i="2" s="1"/>
  <c r="G2061" i="2"/>
  <c r="J2061" i="2" s="1"/>
  <c r="H2062" i="2"/>
  <c r="I2062" i="2" s="1"/>
  <c r="G2062" i="2"/>
  <c r="J2062" i="2" s="1"/>
  <c r="H2063" i="2"/>
  <c r="I2063" i="2" s="1"/>
  <c r="G2063" i="2"/>
  <c r="J2063" i="2" s="1"/>
  <c r="H2064" i="2"/>
  <c r="I2064" i="2" s="1"/>
  <c r="G2064" i="2"/>
  <c r="J2064" i="2" s="1"/>
  <c r="H2065" i="2"/>
  <c r="I2065" i="2" s="1"/>
  <c r="G2065" i="2"/>
  <c r="J2065" i="2" s="1"/>
  <c r="H2066" i="2"/>
  <c r="I2066" i="2" s="1"/>
  <c r="G2066" i="2"/>
  <c r="J2066" i="2" s="1"/>
  <c r="H2067" i="2"/>
  <c r="I2067" i="2" s="1"/>
  <c r="G2067" i="2"/>
  <c r="J2067" i="2" s="1"/>
  <c r="H2068" i="2"/>
  <c r="I2068" i="2" s="1"/>
  <c r="G2068" i="2"/>
  <c r="J2068" i="2" s="1"/>
  <c r="H2069" i="2"/>
  <c r="I2069" i="2" s="1"/>
  <c r="G2069" i="2"/>
  <c r="J2069" i="2" s="1"/>
  <c r="H2070" i="2"/>
  <c r="I2070" i="2" s="1"/>
  <c r="G2070" i="2"/>
  <c r="J2070" i="2" s="1"/>
  <c r="H2071" i="2"/>
  <c r="I2071" i="2" s="1"/>
  <c r="G2071" i="2"/>
  <c r="J2071" i="2" s="1"/>
  <c r="H2072" i="2"/>
  <c r="I2072" i="2" s="1"/>
  <c r="G2072" i="2"/>
  <c r="J2072" i="2" s="1"/>
  <c r="H2073" i="2"/>
  <c r="I2073" i="2" s="1"/>
  <c r="G2073" i="2"/>
  <c r="J2073" i="2" s="1"/>
  <c r="H2074" i="2"/>
  <c r="I2074" i="2" s="1"/>
  <c r="G2074" i="2"/>
  <c r="J2074" i="2" s="1"/>
  <c r="H2075" i="2"/>
  <c r="I2075" i="2" s="1"/>
  <c r="G2075" i="2"/>
  <c r="J2075" i="2" s="1"/>
  <c r="H2076" i="2"/>
  <c r="I2076" i="2" s="1"/>
  <c r="G2076" i="2"/>
  <c r="J2076" i="2" s="1"/>
  <c r="H2077" i="2"/>
  <c r="I2077" i="2" s="1"/>
  <c r="G2077" i="2"/>
  <c r="J2077" i="2" s="1"/>
  <c r="H2078" i="2"/>
  <c r="I2078" i="2" s="1"/>
  <c r="G2078" i="2"/>
  <c r="J2078" i="2" s="1"/>
  <c r="H2079" i="2"/>
  <c r="I2079" i="2" s="1"/>
  <c r="G2079" i="2"/>
  <c r="J2079" i="2" s="1"/>
  <c r="H2080" i="2"/>
  <c r="I2080" i="2" s="1"/>
  <c r="G2080" i="2"/>
  <c r="J2080" i="2" s="1"/>
  <c r="H2081" i="2"/>
  <c r="I2081" i="2" s="1"/>
  <c r="G2081" i="2"/>
  <c r="J2081" i="2" s="1"/>
  <c r="H2082" i="2"/>
  <c r="I2082" i="2" s="1"/>
  <c r="G2082" i="2"/>
  <c r="J2082" i="2" s="1"/>
  <c r="H2083" i="2"/>
  <c r="I2083" i="2" s="1"/>
  <c r="G2083" i="2"/>
  <c r="J2083" i="2" s="1"/>
  <c r="H2084" i="2"/>
  <c r="I2084" i="2" s="1"/>
  <c r="G2084" i="2"/>
  <c r="J2084" i="2" s="1"/>
  <c r="H2085" i="2"/>
  <c r="I2085" i="2" s="1"/>
  <c r="G2085" i="2"/>
  <c r="J2085" i="2" s="1"/>
  <c r="H2086" i="2"/>
  <c r="I2086" i="2" s="1"/>
  <c r="G2086" i="2"/>
  <c r="J2086" i="2" s="1"/>
  <c r="H2087" i="2"/>
  <c r="I2087" i="2" s="1"/>
  <c r="G2087" i="2"/>
  <c r="J2087" i="2" s="1"/>
  <c r="H2088" i="2"/>
  <c r="I2088" i="2" s="1"/>
  <c r="G2088" i="2"/>
  <c r="J2088" i="2" s="1"/>
  <c r="H2089" i="2"/>
  <c r="I2089" i="2" s="1"/>
  <c r="G2089" i="2"/>
  <c r="J2089" i="2" s="1"/>
  <c r="H2090" i="2"/>
  <c r="I2090" i="2" s="1"/>
  <c r="G2090" i="2"/>
  <c r="J2090" i="2" s="1"/>
  <c r="H2091" i="2"/>
  <c r="I2091" i="2" s="1"/>
  <c r="G2091" i="2"/>
  <c r="J2091" i="2" s="1"/>
  <c r="H2092" i="2"/>
  <c r="I2092" i="2" s="1"/>
  <c r="G2092" i="2"/>
  <c r="J2092" i="2" s="1"/>
  <c r="H2093" i="2"/>
  <c r="I2093" i="2" s="1"/>
  <c r="G2093" i="2"/>
  <c r="J2093" i="2" s="1"/>
  <c r="H2094" i="2"/>
  <c r="I2094" i="2" s="1"/>
  <c r="G2094" i="2"/>
  <c r="J2094" i="2" s="1"/>
  <c r="H2095" i="2"/>
  <c r="I2095" i="2" s="1"/>
  <c r="G2095" i="2"/>
  <c r="J2095" i="2" s="1"/>
  <c r="H2096" i="2"/>
  <c r="I2096" i="2" s="1"/>
  <c r="G2096" i="2"/>
  <c r="J2096" i="2" s="1"/>
  <c r="H2097" i="2"/>
  <c r="I2097" i="2" s="1"/>
  <c r="G2097" i="2"/>
  <c r="J2097" i="2" s="1"/>
  <c r="H2098" i="2"/>
  <c r="I2098" i="2" s="1"/>
  <c r="G2098" i="2"/>
  <c r="J2098" i="2" s="1"/>
  <c r="H2099" i="2"/>
  <c r="I2099" i="2" s="1"/>
  <c r="G2099" i="2"/>
  <c r="J2099" i="2" s="1"/>
  <c r="H2100" i="2"/>
  <c r="I2100" i="2" s="1"/>
  <c r="G2100" i="2"/>
  <c r="J2100" i="2" s="1"/>
  <c r="H2101" i="2"/>
  <c r="I2101" i="2" s="1"/>
  <c r="G2101" i="2"/>
  <c r="J2101" i="2" s="1"/>
  <c r="H2102" i="2"/>
  <c r="I2102" i="2" s="1"/>
  <c r="G2102" i="2"/>
  <c r="J2102" i="2" s="1"/>
  <c r="H2103" i="2"/>
  <c r="I2103" i="2" s="1"/>
  <c r="G2103" i="2"/>
  <c r="J2103" i="2" s="1"/>
  <c r="H2104" i="2"/>
  <c r="I2104" i="2" s="1"/>
  <c r="G2104" i="2"/>
  <c r="J2104" i="2" s="1"/>
  <c r="H2105" i="2"/>
  <c r="I2105" i="2" s="1"/>
  <c r="G2105" i="2"/>
  <c r="J2105" i="2" s="1"/>
  <c r="H2106" i="2"/>
  <c r="I2106" i="2" s="1"/>
  <c r="G2106" i="2"/>
  <c r="J2106" i="2" s="1"/>
  <c r="H2107" i="2"/>
  <c r="I2107" i="2" s="1"/>
  <c r="G2107" i="2"/>
  <c r="J2107" i="2" s="1"/>
  <c r="H2108" i="2"/>
  <c r="I2108" i="2" s="1"/>
  <c r="G2108" i="2"/>
  <c r="J2108" i="2" s="1"/>
  <c r="H2109" i="2"/>
  <c r="I2109" i="2" s="1"/>
  <c r="G2109" i="2"/>
  <c r="J2109" i="2" s="1"/>
  <c r="H2110" i="2"/>
  <c r="I2110" i="2" s="1"/>
  <c r="G2110" i="2"/>
  <c r="J2110" i="2" s="1"/>
  <c r="H2111" i="2"/>
  <c r="I2111" i="2" s="1"/>
  <c r="G2111" i="2"/>
  <c r="J2111" i="2" s="1"/>
  <c r="H2112" i="2"/>
  <c r="I2112" i="2" s="1"/>
  <c r="G2112" i="2"/>
  <c r="J2112" i="2" s="1"/>
  <c r="H2113" i="2"/>
  <c r="I2113" i="2" s="1"/>
  <c r="G2113" i="2"/>
  <c r="J2113" i="2" s="1"/>
  <c r="H2114" i="2"/>
  <c r="I2114" i="2" s="1"/>
  <c r="G2114" i="2"/>
  <c r="J2114" i="2" s="1"/>
  <c r="H2115" i="2"/>
  <c r="I2115" i="2" s="1"/>
  <c r="G2115" i="2"/>
  <c r="J2115" i="2" s="1"/>
  <c r="H2116" i="2"/>
  <c r="I2116" i="2" s="1"/>
  <c r="G2116" i="2"/>
  <c r="J2116" i="2" s="1"/>
  <c r="H2117" i="2"/>
  <c r="I2117" i="2" s="1"/>
  <c r="G2117" i="2"/>
  <c r="J2117" i="2" s="1"/>
  <c r="H2118" i="2"/>
  <c r="I2118" i="2" s="1"/>
  <c r="G2118" i="2"/>
  <c r="J2118" i="2" s="1"/>
  <c r="H2119" i="2"/>
  <c r="I2119" i="2" s="1"/>
  <c r="G2119" i="2"/>
  <c r="J2119" i="2" s="1"/>
  <c r="H2120" i="2"/>
  <c r="I2120" i="2" s="1"/>
  <c r="G2120" i="2"/>
  <c r="J2120" i="2" s="1"/>
  <c r="H2121" i="2"/>
  <c r="I2121" i="2" s="1"/>
  <c r="G2121" i="2"/>
  <c r="J2121" i="2" s="1"/>
  <c r="H2122" i="2"/>
  <c r="I2122" i="2" s="1"/>
  <c r="G2122" i="2"/>
  <c r="J2122" i="2" s="1"/>
  <c r="H2123" i="2"/>
  <c r="I2123" i="2" s="1"/>
  <c r="G2123" i="2"/>
  <c r="J2123" i="2" s="1"/>
  <c r="H2124" i="2"/>
  <c r="I2124" i="2" s="1"/>
  <c r="G2124" i="2"/>
  <c r="J2124" i="2" s="1"/>
  <c r="H2125" i="2"/>
  <c r="I2125" i="2" s="1"/>
  <c r="G2125" i="2"/>
  <c r="J2125" i="2" s="1"/>
  <c r="H2126" i="2"/>
  <c r="I2126" i="2" s="1"/>
  <c r="G2126" i="2"/>
  <c r="J2126" i="2" s="1"/>
  <c r="H2127" i="2"/>
  <c r="I2127" i="2" s="1"/>
  <c r="G2127" i="2"/>
  <c r="J2127" i="2" s="1"/>
  <c r="H2128" i="2"/>
  <c r="I2128" i="2" s="1"/>
  <c r="G2128" i="2"/>
  <c r="J2128" i="2" s="1"/>
  <c r="H2129" i="2"/>
  <c r="I2129" i="2" s="1"/>
  <c r="G2129" i="2"/>
  <c r="J2129" i="2" s="1"/>
  <c r="H2130" i="2"/>
  <c r="I2130" i="2" s="1"/>
  <c r="G2130" i="2"/>
  <c r="J2130" i="2" s="1"/>
  <c r="H2131" i="2"/>
  <c r="I2131" i="2" s="1"/>
  <c r="G2131" i="2"/>
  <c r="J2131" i="2" s="1"/>
  <c r="H2132" i="2"/>
  <c r="I2132" i="2" s="1"/>
  <c r="G2132" i="2"/>
  <c r="J2132" i="2" s="1"/>
  <c r="H2133" i="2"/>
  <c r="I2133" i="2" s="1"/>
  <c r="G2133" i="2"/>
  <c r="J2133" i="2" s="1"/>
  <c r="H2134" i="2"/>
  <c r="I2134" i="2" s="1"/>
  <c r="G2134" i="2"/>
  <c r="J2134" i="2" s="1"/>
  <c r="H2135" i="2"/>
  <c r="I2135" i="2" s="1"/>
  <c r="G2135" i="2"/>
  <c r="J2135" i="2" s="1"/>
  <c r="H2136" i="2"/>
  <c r="I2136" i="2" s="1"/>
  <c r="G2136" i="2"/>
  <c r="J2136" i="2" s="1"/>
  <c r="H2137" i="2"/>
  <c r="I2137" i="2" s="1"/>
  <c r="G2137" i="2"/>
  <c r="J2137" i="2" s="1"/>
  <c r="H2138" i="2"/>
  <c r="I2138" i="2" s="1"/>
  <c r="G2138" i="2"/>
  <c r="J2138" i="2" s="1"/>
  <c r="H2139" i="2"/>
  <c r="I2139" i="2" s="1"/>
  <c r="G2139" i="2"/>
  <c r="J2139" i="2" s="1"/>
  <c r="H2140" i="2"/>
  <c r="I2140" i="2" s="1"/>
  <c r="G2140" i="2"/>
  <c r="J2140" i="2" s="1"/>
  <c r="H2141" i="2"/>
  <c r="I2141" i="2" s="1"/>
  <c r="G2141" i="2"/>
  <c r="J2141" i="2" s="1"/>
  <c r="H2142" i="2"/>
  <c r="I2142" i="2" s="1"/>
  <c r="G2142" i="2"/>
  <c r="J2142" i="2" s="1"/>
  <c r="H2143" i="2"/>
  <c r="I2143" i="2" s="1"/>
  <c r="G2143" i="2"/>
  <c r="J2143" i="2" s="1"/>
  <c r="H2144" i="2"/>
  <c r="I2144" i="2" s="1"/>
  <c r="G2144" i="2"/>
  <c r="J2144" i="2" s="1"/>
  <c r="H2145" i="2"/>
  <c r="I2145" i="2" s="1"/>
  <c r="G2145" i="2"/>
  <c r="J2145" i="2" s="1"/>
  <c r="H2146" i="2"/>
  <c r="I2146" i="2" s="1"/>
  <c r="G2146" i="2"/>
  <c r="J2146" i="2" s="1"/>
  <c r="H2147" i="2"/>
  <c r="I2147" i="2" s="1"/>
  <c r="G2147" i="2"/>
  <c r="J2147" i="2" s="1"/>
  <c r="H2148" i="2"/>
  <c r="I2148" i="2" s="1"/>
  <c r="G2148" i="2"/>
  <c r="J2148" i="2" s="1"/>
  <c r="H2149" i="2"/>
  <c r="I2149" i="2" s="1"/>
  <c r="G2149" i="2"/>
  <c r="J2149" i="2" s="1"/>
  <c r="H2150" i="2"/>
  <c r="I2150" i="2" s="1"/>
  <c r="G2150" i="2"/>
  <c r="J2150" i="2" s="1"/>
  <c r="H2151" i="2"/>
  <c r="I2151" i="2" s="1"/>
  <c r="G2151" i="2"/>
  <c r="J2151" i="2" s="1"/>
  <c r="H2152" i="2"/>
  <c r="I2152" i="2" s="1"/>
  <c r="G2152" i="2"/>
  <c r="J2152" i="2" s="1"/>
  <c r="H2153" i="2"/>
  <c r="I2153" i="2" s="1"/>
  <c r="G2153" i="2"/>
  <c r="J2153" i="2" s="1"/>
  <c r="H2154" i="2"/>
  <c r="I2154" i="2" s="1"/>
  <c r="G2154" i="2"/>
  <c r="J2154" i="2" s="1"/>
  <c r="H2155" i="2"/>
  <c r="I2155" i="2" s="1"/>
  <c r="G2155" i="2"/>
  <c r="J2155" i="2" s="1"/>
  <c r="H2156" i="2"/>
  <c r="I2156" i="2" s="1"/>
  <c r="G2156" i="2"/>
  <c r="J2156" i="2" s="1"/>
  <c r="H2157" i="2"/>
  <c r="I2157" i="2" s="1"/>
  <c r="G2157" i="2"/>
  <c r="J2157" i="2" s="1"/>
  <c r="H2158" i="2"/>
  <c r="I2158" i="2" s="1"/>
  <c r="G2158" i="2"/>
  <c r="J2158" i="2" s="1"/>
  <c r="H2159" i="2"/>
  <c r="I2159" i="2" s="1"/>
  <c r="G2159" i="2"/>
  <c r="J2159" i="2" s="1"/>
  <c r="H2160" i="2"/>
  <c r="I2160" i="2" s="1"/>
  <c r="G2160" i="2"/>
  <c r="J2160" i="2" s="1"/>
  <c r="H2161" i="2"/>
  <c r="I2161" i="2" s="1"/>
  <c r="G2161" i="2"/>
  <c r="J2161" i="2" s="1"/>
  <c r="H2162" i="2"/>
  <c r="I2162" i="2" s="1"/>
  <c r="G2162" i="2"/>
  <c r="J2162" i="2" s="1"/>
  <c r="H2163" i="2"/>
  <c r="I2163" i="2" s="1"/>
  <c r="G2163" i="2"/>
  <c r="J2163" i="2" s="1"/>
  <c r="H2164" i="2"/>
  <c r="I2164" i="2" s="1"/>
  <c r="G2164" i="2"/>
  <c r="J2164" i="2" s="1"/>
  <c r="H2165" i="2"/>
  <c r="I2165" i="2" s="1"/>
  <c r="G2165" i="2"/>
  <c r="J2165" i="2" s="1"/>
  <c r="H2166" i="2"/>
  <c r="I2166" i="2" s="1"/>
  <c r="G2166" i="2"/>
  <c r="J2166" i="2" s="1"/>
  <c r="H2167" i="2"/>
  <c r="I2167" i="2" s="1"/>
  <c r="G2167" i="2"/>
  <c r="J2167" i="2" s="1"/>
  <c r="H2168" i="2"/>
  <c r="I2168" i="2" s="1"/>
  <c r="G2168" i="2"/>
  <c r="J2168" i="2" s="1"/>
  <c r="H2169" i="2"/>
  <c r="I2169" i="2" s="1"/>
  <c r="G2169" i="2"/>
  <c r="J2169" i="2" s="1"/>
  <c r="H2170" i="2"/>
  <c r="I2170" i="2" s="1"/>
  <c r="G2170" i="2"/>
  <c r="J2170" i="2" s="1"/>
  <c r="H2171" i="2"/>
  <c r="I2171" i="2" s="1"/>
  <c r="G2171" i="2"/>
  <c r="J2171" i="2" s="1"/>
  <c r="H2172" i="2"/>
  <c r="I2172" i="2" s="1"/>
  <c r="G2172" i="2"/>
  <c r="J2172" i="2" s="1"/>
  <c r="H2173" i="2"/>
  <c r="I2173" i="2" s="1"/>
  <c r="G2173" i="2"/>
  <c r="J2173" i="2" s="1"/>
  <c r="H2174" i="2"/>
  <c r="I2174" i="2" s="1"/>
  <c r="G2174" i="2"/>
  <c r="J2174" i="2" s="1"/>
  <c r="H2175" i="2"/>
  <c r="I2175" i="2" s="1"/>
  <c r="G2175" i="2"/>
  <c r="J2175" i="2" s="1"/>
  <c r="H2176" i="2"/>
  <c r="I2176" i="2" s="1"/>
  <c r="G2176" i="2"/>
  <c r="J2176" i="2" s="1"/>
  <c r="H2177" i="2"/>
  <c r="I2177" i="2" s="1"/>
  <c r="G2177" i="2"/>
  <c r="J2177" i="2" s="1"/>
  <c r="H2178" i="2"/>
  <c r="I2178" i="2" s="1"/>
  <c r="G2178" i="2"/>
  <c r="J2178" i="2" s="1"/>
  <c r="H2179" i="2"/>
  <c r="I2179" i="2" s="1"/>
  <c r="G2179" i="2"/>
  <c r="J2179" i="2" s="1"/>
  <c r="H2180" i="2"/>
  <c r="I2180" i="2" s="1"/>
  <c r="G2180" i="2"/>
  <c r="J2180" i="2" s="1"/>
  <c r="H2181" i="2"/>
  <c r="I2181" i="2" s="1"/>
  <c r="G2181" i="2"/>
  <c r="J2181" i="2" s="1"/>
  <c r="H2182" i="2"/>
  <c r="I2182" i="2" s="1"/>
  <c r="G2182" i="2"/>
  <c r="J2182" i="2" s="1"/>
  <c r="H2183" i="2"/>
  <c r="I2183" i="2" s="1"/>
  <c r="G2183" i="2"/>
  <c r="J2183" i="2" s="1"/>
  <c r="H2184" i="2"/>
  <c r="I2184" i="2" s="1"/>
  <c r="G2184" i="2"/>
  <c r="J2184" i="2" s="1"/>
  <c r="H2185" i="2"/>
  <c r="I2185" i="2" s="1"/>
  <c r="G2185" i="2"/>
  <c r="J2185" i="2" s="1"/>
  <c r="H2186" i="2"/>
  <c r="I2186" i="2" s="1"/>
  <c r="G2186" i="2"/>
  <c r="J2186" i="2" s="1"/>
  <c r="H2187" i="2"/>
  <c r="I2187" i="2" s="1"/>
  <c r="G2187" i="2"/>
  <c r="J2187" i="2" s="1"/>
  <c r="H2188" i="2"/>
  <c r="I2188" i="2" s="1"/>
  <c r="G2188" i="2"/>
  <c r="J2188" i="2" s="1"/>
  <c r="H2189" i="2"/>
  <c r="I2189" i="2" s="1"/>
  <c r="G2189" i="2"/>
  <c r="J2189" i="2" s="1"/>
  <c r="H2190" i="2"/>
  <c r="I2190" i="2" s="1"/>
  <c r="G2190" i="2"/>
  <c r="J2190" i="2" s="1"/>
  <c r="H2191" i="2"/>
  <c r="I2191" i="2" s="1"/>
  <c r="G2191" i="2"/>
  <c r="J2191" i="2" s="1"/>
  <c r="H2192" i="2"/>
  <c r="I2192" i="2" s="1"/>
  <c r="G2192" i="2"/>
  <c r="J2192" i="2" s="1"/>
  <c r="H2193" i="2"/>
  <c r="I2193" i="2" s="1"/>
  <c r="G2193" i="2"/>
  <c r="J2193" i="2" s="1"/>
  <c r="H2194" i="2"/>
  <c r="I2194" i="2" s="1"/>
  <c r="G2194" i="2"/>
  <c r="J2194" i="2" s="1"/>
  <c r="H2195" i="2"/>
  <c r="I2195" i="2" s="1"/>
  <c r="G2195" i="2"/>
  <c r="J2195" i="2" s="1"/>
  <c r="H2196" i="2"/>
  <c r="I2196" i="2" s="1"/>
  <c r="G2196" i="2"/>
  <c r="J2196" i="2" s="1"/>
  <c r="H2197" i="2"/>
  <c r="I2197" i="2" s="1"/>
  <c r="G2197" i="2"/>
  <c r="J2197" i="2" s="1"/>
  <c r="H2198" i="2"/>
  <c r="I2198" i="2" s="1"/>
  <c r="G2198" i="2"/>
  <c r="J2198" i="2" s="1"/>
  <c r="H2199" i="2"/>
  <c r="I2199" i="2" s="1"/>
  <c r="G2199" i="2"/>
  <c r="J2199" i="2" s="1"/>
  <c r="H2200" i="2"/>
  <c r="I2200" i="2" s="1"/>
  <c r="G2200" i="2"/>
  <c r="J2200" i="2" s="1"/>
  <c r="H2201" i="2"/>
  <c r="I2201" i="2" s="1"/>
  <c r="G2201" i="2"/>
  <c r="J2201" i="2" s="1"/>
  <c r="H2202" i="2"/>
  <c r="I2202" i="2" s="1"/>
  <c r="G2202" i="2"/>
  <c r="J2202" i="2" s="1"/>
  <c r="H2203" i="2"/>
  <c r="I2203" i="2" s="1"/>
  <c r="G2203" i="2"/>
  <c r="J2203" i="2" s="1"/>
  <c r="H2204" i="2"/>
  <c r="I2204" i="2" s="1"/>
  <c r="G2204" i="2"/>
  <c r="J2204" i="2" s="1"/>
  <c r="H2205" i="2"/>
  <c r="I2205" i="2" s="1"/>
  <c r="G2205" i="2"/>
  <c r="J2205" i="2" s="1"/>
  <c r="H2206" i="2"/>
  <c r="I2206" i="2" s="1"/>
  <c r="G2206" i="2"/>
  <c r="J2206" i="2" s="1"/>
  <c r="H2207" i="2"/>
  <c r="I2207" i="2" s="1"/>
  <c r="G2207" i="2"/>
  <c r="J2207" i="2" s="1"/>
  <c r="H2208" i="2"/>
  <c r="I2208" i="2" s="1"/>
  <c r="G2208" i="2"/>
  <c r="J2208" i="2" s="1"/>
  <c r="H2209" i="2"/>
  <c r="I2209" i="2" s="1"/>
  <c r="G2209" i="2"/>
  <c r="J2209" i="2" s="1"/>
  <c r="H2210" i="2"/>
  <c r="I2210" i="2" s="1"/>
  <c r="G2210" i="2"/>
  <c r="J2210" i="2" s="1"/>
  <c r="H2211" i="2"/>
  <c r="I2211" i="2" s="1"/>
  <c r="G2211" i="2"/>
  <c r="J2211" i="2" s="1"/>
  <c r="H2212" i="2"/>
  <c r="I2212" i="2" s="1"/>
  <c r="G2212" i="2"/>
  <c r="J2212" i="2" s="1"/>
  <c r="H2213" i="2"/>
  <c r="I2213" i="2" s="1"/>
  <c r="G2213" i="2"/>
  <c r="J2213" i="2" s="1"/>
  <c r="H2214" i="2"/>
  <c r="I2214" i="2" s="1"/>
  <c r="G2214" i="2"/>
  <c r="J2214" i="2" s="1"/>
  <c r="H2215" i="2"/>
  <c r="I2215" i="2" s="1"/>
  <c r="G2215" i="2"/>
  <c r="J2215" i="2" s="1"/>
  <c r="H2216" i="2"/>
  <c r="I2216" i="2" s="1"/>
  <c r="G2216" i="2"/>
  <c r="J2216" i="2" s="1"/>
  <c r="H2217" i="2"/>
  <c r="I2217" i="2" s="1"/>
  <c r="G2217" i="2"/>
  <c r="J2217" i="2" s="1"/>
  <c r="H2218" i="2"/>
  <c r="I2218" i="2" s="1"/>
  <c r="G2218" i="2"/>
  <c r="J2218" i="2" s="1"/>
  <c r="H2219" i="2"/>
  <c r="I2219" i="2" s="1"/>
  <c r="G2219" i="2"/>
  <c r="J2219" i="2" s="1"/>
  <c r="H2220" i="2"/>
  <c r="I2220" i="2" s="1"/>
  <c r="G2220" i="2"/>
  <c r="J2220" i="2" s="1"/>
  <c r="H2221" i="2"/>
  <c r="I2221" i="2" s="1"/>
  <c r="G2221" i="2"/>
  <c r="J2221" i="2" s="1"/>
  <c r="H2222" i="2"/>
  <c r="I2222" i="2" s="1"/>
  <c r="G2222" i="2"/>
  <c r="J2222" i="2" s="1"/>
  <c r="H2223" i="2"/>
  <c r="I2223" i="2" s="1"/>
  <c r="G2223" i="2"/>
  <c r="J2223" i="2" s="1"/>
  <c r="H2224" i="2"/>
  <c r="I2224" i="2" s="1"/>
  <c r="G2224" i="2"/>
  <c r="J2224" i="2" s="1"/>
  <c r="H2225" i="2"/>
  <c r="I2225" i="2" s="1"/>
  <c r="G2225" i="2"/>
  <c r="J2225" i="2" s="1"/>
  <c r="H2226" i="2"/>
  <c r="I2226" i="2" s="1"/>
  <c r="G2226" i="2"/>
  <c r="J2226" i="2" s="1"/>
  <c r="H2227" i="2"/>
  <c r="I2227" i="2" s="1"/>
  <c r="G2227" i="2"/>
  <c r="J2227" i="2" s="1"/>
  <c r="H2228" i="2"/>
  <c r="I2228" i="2" s="1"/>
  <c r="G2228" i="2"/>
  <c r="J2228" i="2" s="1"/>
  <c r="H2229" i="2"/>
  <c r="I2229" i="2" s="1"/>
  <c r="G2229" i="2"/>
  <c r="J2229" i="2" s="1"/>
  <c r="H2230" i="2"/>
  <c r="I2230" i="2" s="1"/>
  <c r="G2230" i="2"/>
  <c r="J2230" i="2" s="1"/>
  <c r="H2231" i="2"/>
  <c r="I2231" i="2" s="1"/>
  <c r="G2231" i="2"/>
  <c r="J2231" i="2" s="1"/>
  <c r="H2232" i="2"/>
  <c r="I2232" i="2" s="1"/>
  <c r="G2232" i="2"/>
  <c r="J2232" i="2" s="1"/>
  <c r="H2233" i="2"/>
  <c r="I2233" i="2" s="1"/>
  <c r="G2233" i="2"/>
  <c r="J2233" i="2" s="1"/>
  <c r="H2234" i="2"/>
  <c r="I2234" i="2" s="1"/>
  <c r="G2234" i="2"/>
  <c r="J2234" i="2" s="1"/>
  <c r="H2235" i="2"/>
  <c r="I2235" i="2" s="1"/>
  <c r="G2235" i="2"/>
  <c r="J2235" i="2" s="1"/>
  <c r="H2236" i="2"/>
  <c r="I2236" i="2" s="1"/>
  <c r="G2236" i="2"/>
  <c r="J2236" i="2" s="1"/>
  <c r="H2237" i="2"/>
  <c r="I2237" i="2" s="1"/>
  <c r="G2237" i="2"/>
  <c r="J2237" i="2" s="1"/>
  <c r="H2238" i="2"/>
  <c r="I2238" i="2" s="1"/>
  <c r="G2238" i="2"/>
  <c r="J2238" i="2" s="1"/>
  <c r="H2239" i="2"/>
  <c r="I2239" i="2" s="1"/>
  <c r="G2239" i="2"/>
  <c r="J2239" i="2" s="1"/>
  <c r="H2240" i="2"/>
  <c r="I2240" i="2" s="1"/>
  <c r="G2240" i="2"/>
  <c r="J2240" i="2" s="1"/>
  <c r="H2241" i="2"/>
  <c r="I2241" i="2" s="1"/>
  <c r="G2241" i="2"/>
  <c r="J2241" i="2" s="1"/>
  <c r="H2242" i="2"/>
  <c r="I2242" i="2" s="1"/>
  <c r="G2242" i="2"/>
  <c r="J2242" i="2" s="1"/>
  <c r="H2243" i="2"/>
  <c r="I2243" i="2" s="1"/>
  <c r="G2243" i="2"/>
  <c r="J2243" i="2" s="1"/>
  <c r="H2244" i="2"/>
  <c r="I2244" i="2" s="1"/>
  <c r="G2244" i="2"/>
  <c r="J2244" i="2" s="1"/>
  <c r="H2245" i="2"/>
  <c r="I2245" i="2" s="1"/>
  <c r="G2245" i="2"/>
  <c r="J2245" i="2" s="1"/>
  <c r="H2246" i="2"/>
  <c r="I2246" i="2" s="1"/>
  <c r="G2246" i="2"/>
  <c r="J2246" i="2" s="1"/>
  <c r="H2247" i="2"/>
  <c r="I2247" i="2" s="1"/>
  <c r="G2247" i="2"/>
  <c r="J2247" i="2" s="1"/>
  <c r="H2248" i="2"/>
  <c r="I2248" i="2" s="1"/>
  <c r="G2248" i="2"/>
  <c r="J2248" i="2" s="1"/>
  <c r="H2249" i="2"/>
  <c r="I2249" i="2" s="1"/>
  <c r="G2249" i="2"/>
  <c r="J2249" i="2" s="1"/>
  <c r="H2250" i="2"/>
  <c r="I2250" i="2" s="1"/>
  <c r="G2250" i="2"/>
  <c r="J2250" i="2" s="1"/>
  <c r="H2251" i="2"/>
  <c r="I2251" i="2" s="1"/>
  <c r="G2251" i="2"/>
  <c r="J2251" i="2" s="1"/>
  <c r="H2252" i="2"/>
  <c r="I2252" i="2" s="1"/>
  <c r="G2252" i="2"/>
  <c r="J2252" i="2" s="1"/>
  <c r="H2253" i="2"/>
  <c r="I2253" i="2" s="1"/>
  <c r="G2253" i="2"/>
  <c r="J2253" i="2" s="1"/>
  <c r="H2254" i="2"/>
  <c r="I2254" i="2" s="1"/>
  <c r="G2254" i="2"/>
  <c r="J2254" i="2" s="1"/>
  <c r="H2255" i="2"/>
  <c r="I2255" i="2" s="1"/>
  <c r="G2255" i="2"/>
  <c r="J2255" i="2" s="1"/>
  <c r="H2256" i="2"/>
  <c r="I2256" i="2" s="1"/>
  <c r="G2256" i="2"/>
  <c r="J2256" i="2" s="1"/>
  <c r="H2257" i="2"/>
  <c r="I2257" i="2" s="1"/>
  <c r="G2257" i="2"/>
  <c r="J2257" i="2" s="1"/>
  <c r="H2258" i="2"/>
  <c r="I2258" i="2" s="1"/>
  <c r="G2258" i="2"/>
  <c r="J2258" i="2" s="1"/>
  <c r="H2259" i="2"/>
  <c r="I2259" i="2" s="1"/>
  <c r="G2259" i="2"/>
  <c r="J2259" i="2" s="1"/>
  <c r="H2260" i="2"/>
  <c r="I2260" i="2" s="1"/>
  <c r="G2260" i="2"/>
  <c r="J2260" i="2" s="1"/>
  <c r="H2261" i="2"/>
  <c r="I2261" i="2" s="1"/>
  <c r="G2261" i="2"/>
  <c r="J2261" i="2" s="1"/>
  <c r="H2262" i="2"/>
  <c r="I2262" i="2" s="1"/>
  <c r="G2262" i="2"/>
  <c r="J2262" i="2" s="1"/>
  <c r="H2263" i="2"/>
  <c r="I2263" i="2" s="1"/>
  <c r="G2263" i="2"/>
  <c r="J2263" i="2" s="1"/>
  <c r="H2264" i="2"/>
  <c r="I2264" i="2" s="1"/>
  <c r="G2264" i="2"/>
  <c r="J2264" i="2" s="1"/>
  <c r="H2265" i="2"/>
  <c r="I2265" i="2" s="1"/>
  <c r="G2265" i="2"/>
  <c r="J2265" i="2" s="1"/>
  <c r="H2266" i="2"/>
  <c r="I2266" i="2" s="1"/>
  <c r="G2266" i="2"/>
  <c r="J2266" i="2" s="1"/>
  <c r="H2267" i="2"/>
  <c r="I2267" i="2" s="1"/>
  <c r="G2267" i="2"/>
  <c r="J2267" i="2" s="1"/>
  <c r="H2268" i="2"/>
  <c r="I2268" i="2" s="1"/>
  <c r="G2268" i="2"/>
  <c r="J2268" i="2" s="1"/>
  <c r="H2269" i="2"/>
  <c r="I2269" i="2" s="1"/>
  <c r="G2269" i="2"/>
  <c r="J2269" i="2" s="1"/>
  <c r="H2270" i="2"/>
  <c r="I2270" i="2" s="1"/>
  <c r="G2270" i="2"/>
  <c r="J2270" i="2" s="1"/>
  <c r="H2271" i="2"/>
  <c r="I2271" i="2" s="1"/>
  <c r="G2271" i="2"/>
  <c r="J2271" i="2" s="1"/>
  <c r="H2272" i="2"/>
  <c r="I2272" i="2" s="1"/>
  <c r="G2272" i="2"/>
  <c r="J2272" i="2" s="1"/>
  <c r="H2273" i="2"/>
  <c r="I2273" i="2" s="1"/>
  <c r="G2273" i="2"/>
  <c r="J2273" i="2" s="1"/>
  <c r="H2274" i="2"/>
  <c r="I2274" i="2" s="1"/>
  <c r="G2274" i="2"/>
  <c r="J2274" i="2" s="1"/>
  <c r="H2275" i="2"/>
  <c r="I2275" i="2" s="1"/>
  <c r="G2275" i="2"/>
  <c r="J2275" i="2" s="1"/>
  <c r="H2276" i="2"/>
  <c r="I2276" i="2" s="1"/>
  <c r="G2276" i="2"/>
  <c r="J2276" i="2" s="1"/>
  <c r="H2277" i="2"/>
  <c r="I2277" i="2" s="1"/>
  <c r="G2277" i="2"/>
  <c r="J2277" i="2" s="1"/>
  <c r="H2278" i="2"/>
  <c r="I2278" i="2" s="1"/>
  <c r="G2278" i="2"/>
  <c r="J2278" i="2" s="1"/>
  <c r="H2279" i="2"/>
  <c r="I2279" i="2" s="1"/>
  <c r="G2279" i="2"/>
  <c r="J2279" i="2" s="1"/>
  <c r="H2280" i="2"/>
  <c r="I2280" i="2" s="1"/>
  <c r="G2280" i="2"/>
  <c r="J2280" i="2" s="1"/>
  <c r="H2281" i="2"/>
  <c r="I2281" i="2" s="1"/>
  <c r="G2281" i="2"/>
  <c r="J2281" i="2" s="1"/>
  <c r="H2282" i="2"/>
  <c r="I2282" i="2" s="1"/>
  <c r="G2282" i="2"/>
  <c r="J2282" i="2" s="1"/>
  <c r="H2283" i="2"/>
  <c r="I2283" i="2" s="1"/>
  <c r="G2283" i="2"/>
  <c r="J2283" i="2" s="1"/>
  <c r="H2284" i="2"/>
  <c r="I2284" i="2" s="1"/>
  <c r="G2284" i="2"/>
  <c r="J2284" i="2" s="1"/>
  <c r="H2285" i="2"/>
  <c r="I2285" i="2" s="1"/>
  <c r="G2285" i="2"/>
  <c r="J2285" i="2" s="1"/>
  <c r="H2286" i="2"/>
  <c r="I2286" i="2" s="1"/>
  <c r="G2286" i="2"/>
  <c r="J2286" i="2" s="1"/>
  <c r="H2287" i="2"/>
  <c r="I2287" i="2" s="1"/>
  <c r="G2287" i="2"/>
  <c r="J2287" i="2" s="1"/>
  <c r="H2288" i="2"/>
  <c r="I2288" i="2" s="1"/>
  <c r="G2288" i="2"/>
  <c r="J2288" i="2" s="1"/>
  <c r="H2289" i="2"/>
  <c r="I2289" i="2" s="1"/>
  <c r="G2289" i="2"/>
  <c r="J2289" i="2" s="1"/>
  <c r="H2290" i="2"/>
  <c r="I2290" i="2" s="1"/>
  <c r="G2290" i="2"/>
  <c r="J2290" i="2" s="1"/>
  <c r="H2291" i="2"/>
  <c r="I2291" i="2" s="1"/>
  <c r="G2291" i="2"/>
  <c r="J2291" i="2" s="1"/>
  <c r="H2292" i="2"/>
  <c r="I2292" i="2" s="1"/>
  <c r="G2292" i="2"/>
  <c r="J2292" i="2" s="1"/>
  <c r="H2293" i="2"/>
  <c r="I2293" i="2" s="1"/>
  <c r="G2293" i="2"/>
  <c r="J2293" i="2" s="1"/>
  <c r="H2294" i="2"/>
  <c r="I2294" i="2" s="1"/>
  <c r="G2294" i="2"/>
  <c r="J2294" i="2" s="1"/>
  <c r="H2295" i="2"/>
  <c r="I2295" i="2" s="1"/>
  <c r="G2295" i="2"/>
  <c r="J2295" i="2" s="1"/>
  <c r="H2296" i="2"/>
  <c r="I2296" i="2" s="1"/>
  <c r="G2296" i="2"/>
  <c r="J2296" i="2" s="1"/>
  <c r="H2297" i="2"/>
  <c r="I2297" i="2" s="1"/>
  <c r="G2297" i="2"/>
  <c r="J2297" i="2" s="1"/>
  <c r="H2298" i="2"/>
  <c r="I2298" i="2" s="1"/>
  <c r="G2298" i="2"/>
  <c r="J2298" i="2" s="1"/>
  <c r="H2299" i="2"/>
  <c r="I2299" i="2" s="1"/>
  <c r="G2299" i="2"/>
  <c r="J2299" i="2" s="1"/>
  <c r="H2300" i="2"/>
  <c r="I2300" i="2" s="1"/>
  <c r="G2300" i="2"/>
  <c r="J2300" i="2" s="1"/>
  <c r="H2301" i="2"/>
  <c r="I2301" i="2" s="1"/>
  <c r="G2301" i="2"/>
  <c r="J2301" i="2" s="1"/>
  <c r="H2302" i="2"/>
  <c r="I2302" i="2" s="1"/>
  <c r="G2302" i="2"/>
  <c r="J2302" i="2" s="1"/>
  <c r="H2303" i="2"/>
  <c r="I2303" i="2" s="1"/>
  <c r="G2303" i="2"/>
  <c r="J2303" i="2" s="1"/>
  <c r="H2304" i="2"/>
  <c r="I2304" i="2" s="1"/>
  <c r="G2304" i="2"/>
  <c r="J2304" i="2" s="1"/>
  <c r="H2305" i="2"/>
  <c r="I2305" i="2" s="1"/>
  <c r="G2305" i="2"/>
  <c r="J2305" i="2" s="1"/>
  <c r="H2306" i="2"/>
  <c r="I2306" i="2" s="1"/>
  <c r="G2306" i="2"/>
  <c r="J2306" i="2" s="1"/>
  <c r="H2307" i="2"/>
  <c r="I2307" i="2" s="1"/>
  <c r="G2307" i="2"/>
  <c r="J2307" i="2" s="1"/>
  <c r="H2308" i="2"/>
  <c r="I2308" i="2" s="1"/>
  <c r="G2308" i="2"/>
  <c r="J2308" i="2" s="1"/>
  <c r="H2309" i="2"/>
  <c r="I2309" i="2" s="1"/>
  <c r="G2309" i="2"/>
  <c r="J2309" i="2" s="1"/>
  <c r="H2310" i="2"/>
  <c r="I2310" i="2" s="1"/>
  <c r="G2310" i="2"/>
  <c r="J2310" i="2" s="1"/>
  <c r="H2311" i="2"/>
  <c r="I2311" i="2" s="1"/>
  <c r="G2311" i="2"/>
  <c r="J2311" i="2" s="1"/>
  <c r="H2312" i="2"/>
  <c r="I2312" i="2" s="1"/>
  <c r="G2312" i="2"/>
  <c r="J2312" i="2" s="1"/>
  <c r="H2313" i="2"/>
  <c r="I2313" i="2" s="1"/>
  <c r="G2313" i="2"/>
  <c r="J2313" i="2" s="1"/>
  <c r="H2314" i="2"/>
  <c r="I2314" i="2" s="1"/>
  <c r="G2314" i="2"/>
  <c r="J2314" i="2" s="1"/>
  <c r="H2315" i="2"/>
  <c r="I2315" i="2" s="1"/>
  <c r="G2315" i="2"/>
  <c r="J2315" i="2" s="1"/>
  <c r="H2316" i="2"/>
  <c r="I2316" i="2" s="1"/>
  <c r="G2316" i="2"/>
  <c r="J2316" i="2" s="1"/>
  <c r="H2317" i="2"/>
  <c r="I2317" i="2" s="1"/>
  <c r="G2317" i="2"/>
  <c r="J2317" i="2" s="1"/>
  <c r="H2318" i="2"/>
  <c r="I2318" i="2" s="1"/>
  <c r="G2318" i="2"/>
  <c r="J2318" i="2" s="1"/>
  <c r="H2319" i="2"/>
  <c r="I2319" i="2" s="1"/>
  <c r="G2319" i="2"/>
  <c r="J2319" i="2" s="1"/>
  <c r="H2320" i="2"/>
  <c r="I2320" i="2" s="1"/>
  <c r="G2320" i="2"/>
  <c r="J2320" i="2" s="1"/>
  <c r="H2321" i="2"/>
  <c r="I2321" i="2" s="1"/>
  <c r="G2321" i="2"/>
  <c r="J2321" i="2" s="1"/>
  <c r="H2322" i="2"/>
  <c r="I2322" i="2" s="1"/>
  <c r="G2322" i="2"/>
  <c r="J2322" i="2" s="1"/>
  <c r="H2323" i="2"/>
  <c r="I2323" i="2" s="1"/>
  <c r="G2323" i="2"/>
  <c r="J2323" i="2" s="1"/>
  <c r="H2324" i="2"/>
  <c r="I2324" i="2" s="1"/>
  <c r="G2324" i="2"/>
  <c r="J2324" i="2" s="1"/>
  <c r="H2325" i="2"/>
  <c r="I2325" i="2" s="1"/>
  <c r="G2325" i="2"/>
  <c r="J2325" i="2" s="1"/>
  <c r="H2326" i="2"/>
  <c r="I2326" i="2" s="1"/>
  <c r="G2326" i="2"/>
  <c r="J2326" i="2" s="1"/>
  <c r="H2327" i="2"/>
  <c r="I2327" i="2" s="1"/>
  <c r="G2327" i="2"/>
  <c r="J2327" i="2" s="1"/>
  <c r="H2328" i="2"/>
  <c r="I2328" i="2" s="1"/>
  <c r="G2328" i="2"/>
  <c r="J2328" i="2" s="1"/>
  <c r="H2329" i="2"/>
  <c r="I2329" i="2" s="1"/>
  <c r="G2329" i="2"/>
  <c r="J2329" i="2" s="1"/>
  <c r="H2330" i="2"/>
  <c r="I2330" i="2" s="1"/>
  <c r="G2330" i="2"/>
  <c r="J2330" i="2" s="1"/>
  <c r="H2331" i="2"/>
  <c r="I2331" i="2" s="1"/>
  <c r="G2331" i="2"/>
  <c r="J2331" i="2" s="1"/>
  <c r="H2332" i="2"/>
  <c r="I2332" i="2" s="1"/>
  <c r="G2332" i="2"/>
  <c r="J2332" i="2" s="1"/>
  <c r="H2333" i="2"/>
  <c r="I2333" i="2" s="1"/>
  <c r="G2333" i="2"/>
  <c r="J2333" i="2" s="1"/>
  <c r="H2334" i="2"/>
  <c r="I2334" i="2" s="1"/>
  <c r="G2334" i="2"/>
  <c r="J2334" i="2" s="1"/>
  <c r="H2335" i="2"/>
  <c r="I2335" i="2" s="1"/>
  <c r="G2335" i="2"/>
  <c r="J2335" i="2" s="1"/>
  <c r="H2336" i="2"/>
  <c r="I2336" i="2" s="1"/>
  <c r="G2336" i="2"/>
  <c r="J2336" i="2" s="1"/>
  <c r="H2337" i="2"/>
  <c r="I2337" i="2" s="1"/>
  <c r="G2337" i="2"/>
  <c r="J2337" i="2" s="1"/>
  <c r="H2338" i="2"/>
  <c r="I2338" i="2" s="1"/>
  <c r="G2338" i="2"/>
  <c r="J2338" i="2" s="1"/>
  <c r="H2339" i="2"/>
  <c r="I2339" i="2" s="1"/>
  <c r="G2339" i="2"/>
  <c r="J2339" i="2" s="1"/>
  <c r="H2340" i="2"/>
  <c r="I2340" i="2" s="1"/>
  <c r="G2340" i="2"/>
  <c r="J2340" i="2" s="1"/>
  <c r="H2341" i="2"/>
  <c r="I2341" i="2" s="1"/>
  <c r="G2341" i="2"/>
  <c r="J2341" i="2" s="1"/>
  <c r="H2342" i="2"/>
  <c r="I2342" i="2" s="1"/>
  <c r="G2342" i="2"/>
  <c r="J2342" i="2" s="1"/>
  <c r="H2343" i="2"/>
  <c r="I2343" i="2" s="1"/>
  <c r="G2343" i="2"/>
  <c r="J2343" i="2" s="1"/>
  <c r="H2344" i="2"/>
  <c r="I2344" i="2" s="1"/>
  <c r="G2344" i="2"/>
  <c r="J2344" i="2" s="1"/>
  <c r="H2345" i="2"/>
  <c r="I2345" i="2" s="1"/>
  <c r="G2345" i="2"/>
  <c r="J2345" i="2" s="1"/>
  <c r="H2346" i="2"/>
  <c r="I2346" i="2" s="1"/>
  <c r="G2346" i="2"/>
  <c r="J2346" i="2" s="1"/>
  <c r="H2347" i="2"/>
  <c r="I2347" i="2" s="1"/>
  <c r="G2347" i="2"/>
  <c r="J2347" i="2" s="1"/>
  <c r="H2348" i="2"/>
  <c r="I2348" i="2" s="1"/>
  <c r="G2348" i="2"/>
  <c r="J2348" i="2" s="1"/>
  <c r="H2349" i="2"/>
  <c r="I2349" i="2" s="1"/>
  <c r="G2349" i="2"/>
  <c r="J2349" i="2" s="1"/>
  <c r="H2350" i="2"/>
  <c r="I2350" i="2" s="1"/>
  <c r="G2350" i="2"/>
  <c r="J2350" i="2" s="1"/>
  <c r="H2351" i="2"/>
  <c r="I2351" i="2" s="1"/>
  <c r="G2351" i="2"/>
  <c r="J2351" i="2" s="1"/>
  <c r="H2352" i="2"/>
  <c r="I2352" i="2" s="1"/>
  <c r="G2352" i="2"/>
  <c r="J2352" i="2" s="1"/>
  <c r="H2353" i="2"/>
  <c r="I2353" i="2" s="1"/>
  <c r="G2353" i="2"/>
  <c r="J2353" i="2" s="1"/>
  <c r="H2354" i="2"/>
  <c r="I2354" i="2" s="1"/>
  <c r="G2354" i="2"/>
  <c r="J2354" i="2" s="1"/>
  <c r="H2355" i="2"/>
  <c r="I2355" i="2" s="1"/>
  <c r="G2355" i="2"/>
  <c r="J2355" i="2" s="1"/>
  <c r="H2356" i="2"/>
  <c r="I2356" i="2" s="1"/>
  <c r="G2356" i="2"/>
  <c r="J2356" i="2" s="1"/>
  <c r="H2357" i="2"/>
  <c r="I2357" i="2" s="1"/>
  <c r="G2357" i="2"/>
  <c r="J2357" i="2" s="1"/>
  <c r="H2358" i="2"/>
  <c r="I2358" i="2" s="1"/>
  <c r="G2358" i="2"/>
  <c r="J2358" i="2" s="1"/>
  <c r="H2359" i="2"/>
  <c r="I2359" i="2" s="1"/>
  <c r="G2359" i="2"/>
  <c r="J2359" i="2" s="1"/>
  <c r="H2360" i="2"/>
  <c r="I2360" i="2" s="1"/>
  <c r="G2360" i="2"/>
  <c r="J2360" i="2" s="1"/>
  <c r="H2361" i="2"/>
  <c r="I2361" i="2" s="1"/>
  <c r="G2361" i="2"/>
  <c r="J2361" i="2" s="1"/>
  <c r="H2362" i="2"/>
  <c r="I2362" i="2" s="1"/>
  <c r="G2362" i="2"/>
  <c r="J2362" i="2" s="1"/>
  <c r="H2363" i="2"/>
  <c r="I2363" i="2" s="1"/>
  <c r="G2363" i="2"/>
  <c r="J2363" i="2" s="1"/>
  <c r="H2364" i="2"/>
  <c r="I2364" i="2" s="1"/>
  <c r="G2364" i="2"/>
  <c r="J2364" i="2" s="1"/>
  <c r="H2365" i="2"/>
  <c r="I2365" i="2" s="1"/>
  <c r="G2365" i="2"/>
  <c r="J2365" i="2" s="1"/>
  <c r="H2366" i="2"/>
  <c r="I2366" i="2" s="1"/>
  <c r="G2366" i="2"/>
  <c r="J2366" i="2" s="1"/>
  <c r="H2367" i="2"/>
  <c r="I2367" i="2" s="1"/>
  <c r="G2367" i="2"/>
  <c r="J2367" i="2" s="1"/>
  <c r="H2368" i="2"/>
  <c r="I2368" i="2" s="1"/>
  <c r="G2368" i="2"/>
  <c r="J2368" i="2" s="1"/>
  <c r="H2369" i="2"/>
  <c r="I2369" i="2" s="1"/>
  <c r="G2369" i="2"/>
  <c r="J2369" i="2" s="1"/>
  <c r="H2370" i="2"/>
  <c r="I2370" i="2" s="1"/>
  <c r="G2370" i="2"/>
  <c r="J2370" i="2" s="1"/>
  <c r="H2371" i="2"/>
  <c r="I2371" i="2" s="1"/>
  <c r="G2371" i="2"/>
  <c r="J2371" i="2" s="1"/>
  <c r="H2372" i="2"/>
  <c r="I2372" i="2" s="1"/>
  <c r="G2372" i="2"/>
  <c r="J2372" i="2" s="1"/>
  <c r="H2373" i="2"/>
  <c r="I2373" i="2" s="1"/>
  <c r="G2373" i="2"/>
  <c r="J2373" i="2" s="1"/>
  <c r="H2374" i="2"/>
  <c r="I2374" i="2" s="1"/>
  <c r="G2374" i="2"/>
  <c r="J2374" i="2" s="1"/>
  <c r="H2375" i="2"/>
  <c r="I2375" i="2" s="1"/>
  <c r="G2375" i="2"/>
  <c r="J2375" i="2" s="1"/>
  <c r="H2376" i="2"/>
  <c r="I2376" i="2" s="1"/>
  <c r="G2376" i="2"/>
  <c r="J2376" i="2" s="1"/>
  <c r="H2377" i="2"/>
  <c r="I2377" i="2" s="1"/>
  <c r="G2377" i="2"/>
  <c r="J2377" i="2" s="1"/>
  <c r="H2378" i="2"/>
  <c r="I2378" i="2" s="1"/>
  <c r="G2378" i="2"/>
  <c r="J2378" i="2" s="1"/>
  <c r="H2379" i="2"/>
  <c r="I2379" i="2" s="1"/>
  <c r="G2379" i="2"/>
  <c r="J2379" i="2" s="1"/>
  <c r="H2380" i="2"/>
  <c r="I2380" i="2" s="1"/>
  <c r="G2380" i="2"/>
  <c r="J2380" i="2" s="1"/>
  <c r="H2381" i="2"/>
  <c r="I2381" i="2" s="1"/>
  <c r="G2381" i="2"/>
  <c r="J2381" i="2" s="1"/>
  <c r="H2382" i="2"/>
  <c r="I2382" i="2" s="1"/>
  <c r="G2382" i="2"/>
  <c r="J2382" i="2" s="1"/>
  <c r="H2383" i="2"/>
  <c r="I2383" i="2" s="1"/>
  <c r="G2383" i="2"/>
  <c r="J2383" i="2" s="1"/>
  <c r="H2384" i="2"/>
  <c r="I2384" i="2" s="1"/>
  <c r="G2384" i="2"/>
  <c r="J2384" i="2" s="1"/>
  <c r="H2385" i="2"/>
  <c r="I2385" i="2" s="1"/>
  <c r="G2385" i="2"/>
  <c r="J2385" i="2" s="1"/>
  <c r="H2386" i="2"/>
  <c r="I2386" i="2" s="1"/>
  <c r="G2386" i="2"/>
  <c r="J2386" i="2" s="1"/>
  <c r="H2387" i="2"/>
  <c r="I2387" i="2" s="1"/>
  <c r="G2387" i="2"/>
  <c r="J2387" i="2" s="1"/>
  <c r="H2388" i="2"/>
  <c r="I2388" i="2" s="1"/>
  <c r="G2388" i="2"/>
  <c r="J2388" i="2" s="1"/>
  <c r="H2389" i="2"/>
  <c r="I2389" i="2" s="1"/>
  <c r="G2389" i="2"/>
  <c r="J2389" i="2" s="1"/>
  <c r="H2390" i="2"/>
  <c r="I2390" i="2" s="1"/>
  <c r="G2390" i="2"/>
  <c r="J2390" i="2" s="1"/>
  <c r="H2391" i="2"/>
  <c r="I2391" i="2" s="1"/>
  <c r="G2391" i="2"/>
  <c r="J2391" i="2" s="1"/>
  <c r="H2392" i="2"/>
  <c r="I2392" i="2" s="1"/>
  <c r="G2392" i="2"/>
  <c r="J2392" i="2" s="1"/>
  <c r="H2393" i="2"/>
  <c r="I2393" i="2" s="1"/>
  <c r="G2393" i="2"/>
  <c r="J2393" i="2" s="1"/>
  <c r="H2394" i="2"/>
  <c r="I2394" i="2" s="1"/>
  <c r="G2394" i="2"/>
  <c r="J2394" i="2" s="1"/>
  <c r="H2395" i="2"/>
  <c r="I2395" i="2" s="1"/>
  <c r="G2395" i="2"/>
  <c r="J2395" i="2" s="1"/>
  <c r="H2396" i="2"/>
  <c r="I2396" i="2" s="1"/>
  <c r="G2396" i="2"/>
  <c r="J2396" i="2" s="1"/>
  <c r="H2397" i="2"/>
  <c r="I2397" i="2" s="1"/>
  <c r="G2397" i="2"/>
  <c r="J2397" i="2" s="1"/>
  <c r="H2398" i="2"/>
  <c r="I2398" i="2" s="1"/>
  <c r="G2398" i="2"/>
  <c r="J2398" i="2" s="1"/>
  <c r="H2399" i="2"/>
  <c r="I2399" i="2" s="1"/>
  <c r="G2399" i="2"/>
  <c r="J2399" i="2" s="1"/>
  <c r="H2400" i="2"/>
  <c r="I2400" i="2" s="1"/>
  <c r="G2400" i="2"/>
  <c r="J2400" i="2" s="1"/>
  <c r="H2401" i="2"/>
  <c r="I2401" i="2" s="1"/>
  <c r="G2401" i="2"/>
  <c r="J2401" i="2" s="1"/>
  <c r="H2402" i="2"/>
  <c r="I2402" i="2" s="1"/>
  <c r="G2402" i="2"/>
  <c r="J2402" i="2" s="1"/>
  <c r="H2403" i="2"/>
  <c r="I2403" i="2" s="1"/>
  <c r="G2403" i="2"/>
  <c r="J2403" i="2" s="1"/>
  <c r="H2404" i="2"/>
  <c r="I2404" i="2" s="1"/>
  <c r="G2404" i="2"/>
  <c r="J2404" i="2" s="1"/>
  <c r="H2405" i="2"/>
  <c r="I2405" i="2" s="1"/>
  <c r="G2405" i="2"/>
  <c r="J2405" i="2" s="1"/>
  <c r="H2406" i="2"/>
  <c r="I2406" i="2" s="1"/>
  <c r="G2406" i="2"/>
  <c r="J2406" i="2" s="1"/>
  <c r="H2407" i="2"/>
  <c r="I2407" i="2" s="1"/>
  <c r="G2407" i="2"/>
  <c r="J2407" i="2" s="1"/>
  <c r="H2408" i="2"/>
  <c r="I2408" i="2" s="1"/>
  <c r="G2408" i="2"/>
  <c r="J2408" i="2" s="1"/>
  <c r="H2409" i="2"/>
  <c r="I2409" i="2" s="1"/>
  <c r="G2409" i="2"/>
  <c r="J2409" i="2" s="1"/>
  <c r="H2410" i="2"/>
  <c r="I2410" i="2" s="1"/>
  <c r="G2410" i="2"/>
  <c r="J2410" i="2" s="1"/>
  <c r="H2411" i="2"/>
  <c r="I2411" i="2" s="1"/>
  <c r="G2411" i="2"/>
  <c r="J2411" i="2" s="1"/>
  <c r="H2412" i="2"/>
  <c r="I2412" i="2" s="1"/>
  <c r="G2412" i="2"/>
  <c r="J2412" i="2" s="1"/>
  <c r="H2413" i="2"/>
  <c r="I2413" i="2" s="1"/>
  <c r="G2413" i="2"/>
  <c r="J2413" i="2" s="1"/>
  <c r="H2414" i="2"/>
  <c r="I2414" i="2" s="1"/>
  <c r="G2414" i="2"/>
  <c r="J2414" i="2" s="1"/>
  <c r="H2415" i="2"/>
  <c r="I2415" i="2" s="1"/>
  <c r="G2415" i="2"/>
  <c r="J2415" i="2" s="1"/>
  <c r="H2416" i="2"/>
  <c r="I2416" i="2" s="1"/>
  <c r="G2416" i="2"/>
  <c r="J2416" i="2" s="1"/>
  <c r="H2417" i="2"/>
  <c r="I2417" i="2" s="1"/>
  <c r="G2417" i="2"/>
  <c r="J2417" i="2" s="1"/>
  <c r="H2418" i="2"/>
  <c r="I2418" i="2" s="1"/>
  <c r="G2418" i="2"/>
  <c r="J2418" i="2" s="1"/>
  <c r="H2419" i="2"/>
  <c r="I2419" i="2" s="1"/>
  <c r="G2419" i="2"/>
  <c r="J2419" i="2" s="1"/>
  <c r="H2420" i="2"/>
  <c r="I2420" i="2" s="1"/>
  <c r="G2420" i="2"/>
  <c r="J2420" i="2" s="1"/>
  <c r="H2421" i="2"/>
  <c r="I2421" i="2" s="1"/>
  <c r="G2421" i="2"/>
  <c r="J2421" i="2" s="1"/>
  <c r="H2422" i="2"/>
  <c r="I2422" i="2" s="1"/>
  <c r="G2422" i="2"/>
  <c r="J2422" i="2" s="1"/>
  <c r="H2423" i="2"/>
  <c r="I2423" i="2" s="1"/>
  <c r="G2423" i="2"/>
  <c r="J2423" i="2" s="1"/>
  <c r="H2424" i="2"/>
  <c r="I2424" i="2" s="1"/>
  <c r="G2424" i="2"/>
  <c r="J2424" i="2" s="1"/>
  <c r="H2425" i="2"/>
  <c r="I2425" i="2" s="1"/>
  <c r="G2425" i="2"/>
  <c r="J2425" i="2" s="1"/>
  <c r="H2426" i="2"/>
  <c r="I2426" i="2" s="1"/>
  <c r="G2426" i="2"/>
  <c r="J2426" i="2" s="1"/>
  <c r="H2427" i="2"/>
  <c r="I2427" i="2" s="1"/>
  <c r="G2427" i="2"/>
  <c r="J2427" i="2" s="1"/>
  <c r="H2428" i="2"/>
  <c r="I2428" i="2" s="1"/>
  <c r="G2428" i="2"/>
  <c r="J2428" i="2" s="1"/>
  <c r="H2429" i="2"/>
  <c r="I2429" i="2" s="1"/>
  <c r="G2429" i="2"/>
  <c r="J2429" i="2" s="1"/>
  <c r="H2430" i="2"/>
  <c r="I2430" i="2" s="1"/>
  <c r="G2430" i="2"/>
  <c r="J2430" i="2" s="1"/>
  <c r="H2431" i="2"/>
  <c r="I2431" i="2" s="1"/>
  <c r="G2431" i="2"/>
  <c r="J2431" i="2" s="1"/>
  <c r="H2432" i="2"/>
  <c r="I2432" i="2" s="1"/>
  <c r="G2432" i="2"/>
  <c r="J2432" i="2" s="1"/>
  <c r="H2433" i="2"/>
  <c r="I2433" i="2" s="1"/>
  <c r="G2433" i="2"/>
  <c r="J2433" i="2" s="1"/>
  <c r="H2434" i="2"/>
  <c r="I2434" i="2" s="1"/>
  <c r="G2434" i="2"/>
  <c r="J2434" i="2" s="1"/>
  <c r="H2435" i="2"/>
  <c r="I2435" i="2" s="1"/>
  <c r="G2435" i="2"/>
  <c r="J2435" i="2" s="1"/>
  <c r="H2436" i="2"/>
  <c r="I2436" i="2" s="1"/>
  <c r="G2436" i="2"/>
  <c r="J2436" i="2" s="1"/>
  <c r="H2437" i="2"/>
  <c r="I2437" i="2" s="1"/>
  <c r="G2437" i="2"/>
  <c r="J2437" i="2" s="1"/>
  <c r="H2438" i="2"/>
  <c r="I2438" i="2" s="1"/>
  <c r="G2438" i="2"/>
  <c r="J2438" i="2" s="1"/>
  <c r="H2439" i="2"/>
  <c r="I2439" i="2" s="1"/>
  <c r="G2439" i="2"/>
  <c r="J2439" i="2" s="1"/>
  <c r="H2440" i="2"/>
  <c r="I2440" i="2" s="1"/>
  <c r="G2440" i="2"/>
  <c r="J2440" i="2" s="1"/>
  <c r="H2441" i="2"/>
  <c r="I2441" i="2" s="1"/>
  <c r="G2441" i="2"/>
  <c r="J2441" i="2" s="1"/>
  <c r="H2442" i="2"/>
  <c r="I2442" i="2" s="1"/>
  <c r="G2442" i="2"/>
  <c r="J2442" i="2" s="1"/>
  <c r="H2443" i="2"/>
  <c r="I2443" i="2" s="1"/>
  <c r="G2443" i="2"/>
  <c r="J2443" i="2" s="1"/>
  <c r="H2444" i="2"/>
  <c r="I2444" i="2" s="1"/>
  <c r="G2444" i="2"/>
  <c r="J2444" i="2" s="1"/>
  <c r="H2445" i="2"/>
  <c r="I2445" i="2" s="1"/>
  <c r="G2445" i="2"/>
  <c r="J2445" i="2" s="1"/>
  <c r="H2446" i="2"/>
  <c r="I2446" i="2" s="1"/>
  <c r="G2446" i="2"/>
  <c r="J2446" i="2" s="1"/>
  <c r="H2447" i="2"/>
  <c r="I2447" i="2" s="1"/>
  <c r="G2447" i="2"/>
  <c r="J2447" i="2" s="1"/>
  <c r="H2448" i="2"/>
  <c r="I2448" i="2" s="1"/>
  <c r="G2448" i="2"/>
  <c r="J2448" i="2" s="1"/>
  <c r="H2449" i="2"/>
  <c r="I2449" i="2" s="1"/>
  <c r="G2449" i="2"/>
  <c r="J2449" i="2" s="1"/>
  <c r="H2450" i="2"/>
  <c r="I2450" i="2" s="1"/>
  <c r="G2450" i="2"/>
  <c r="J2450" i="2" s="1"/>
  <c r="H2451" i="2"/>
  <c r="I2451" i="2" s="1"/>
  <c r="G2451" i="2"/>
  <c r="J2451" i="2" s="1"/>
  <c r="H2452" i="2"/>
  <c r="I2452" i="2" s="1"/>
  <c r="G2452" i="2"/>
  <c r="J2452" i="2" s="1"/>
  <c r="H2453" i="2"/>
  <c r="I2453" i="2" s="1"/>
  <c r="G2453" i="2"/>
  <c r="J2453" i="2" s="1"/>
  <c r="H2454" i="2"/>
  <c r="I2454" i="2" s="1"/>
  <c r="G2454" i="2"/>
  <c r="J2454" i="2" s="1"/>
  <c r="H2455" i="2"/>
  <c r="I2455" i="2" s="1"/>
  <c r="G2455" i="2"/>
  <c r="J2455" i="2" s="1"/>
  <c r="H2456" i="2"/>
  <c r="I2456" i="2" s="1"/>
  <c r="G2456" i="2"/>
  <c r="J2456" i="2" s="1"/>
  <c r="H2457" i="2"/>
  <c r="I2457" i="2" s="1"/>
  <c r="G2457" i="2"/>
  <c r="J2457" i="2" s="1"/>
  <c r="H2458" i="2"/>
  <c r="I2458" i="2" s="1"/>
  <c r="G2458" i="2"/>
  <c r="J2458" i="2" s="1"/>
  <c r="H2459" i="2"/>
  <c r="I2459" i="2" s="1"/>
  <c r="G2459" i="2"/>
  <c r="J2459" i="2" s="1"/>
  <c r="H2460" i="2"/>
  <c r="I2460" i="2" s="1"/>
  <c r="G2460" i="2"/>
  <c r="J2460" i="2" s="1"/>
  <c r="H2461" i="2"/>
  <c r="I2461" i="2" s="1"/>
  <c r="G2461" i="2"/>
  <c r="J2461" i="2" s="1"/>
  <c r="H2462" i="2"/>
  <c r="I2462" i="2" s="1"/>
  <c r="G2462" i="2"/>
  <c r="J2462" i="2" s="1"/>
  <c r="H2463" i="2"/>
  <c r="I2463" i="2" s="1"/>
  <c r="G2463" i="2"/>
  <c r="J2463" i="2" s="1"/>
  <c r="H2464" i="2"/>
  <c r="I2464" i="2" s="1"/>
  <c r="G2464" i="2"/>
  <c r="J2464" i="2" s="1"/>
  <c r="H2465" i="2"/>
  <c r="I2465" i="2" s="1"/>
  <c r="G2465" i="2"/>
  <c r="J2465" i="2" s="1"/>
  <c r="H2466" i="2"/>
  <c r="I2466" i="2" s="1"/>
  <c r="G2466" i="2"/>
  <c r="J2466" i="2" s="1"/>
  <c r="H2467" i="2"/>
  <c r="I2467" i="2" s="1"/>
  <c r="G2467" i="2"/>
  <c r="J2467" i="2" s="1"/>
  <c r="H2468" i="2"/>
  <c r="I2468" i="2" s="1"/>
  <c r="G2468" i="2"/>
  <c r="J2468" i="2" s="1"/>
  <c r="H2469" i="2"/>
  <c r="I2469" i="2" s="1"/>
  <c r="G2469" i="2"/>
  <c r="J2469" i="2" s="1"/>
  <c r="H2470" i="2"/>
  <c r="I2470" i="2" s="1"/>
  <c r="G2470" i="2"/>
  <c r="J2470" i="2" s="1"/>
  <c r="H2471" i="2"/>
  <c r="I2471" i="2" s="1"/>
  <c r="G2471" i="2"/>
  <c r="J2471" i="2" s="1"/>
  <c r="H2472" i="2"/>
  <c r="I2472" i="2" s="1"/>
  <c r="G2472" i="2"/>
  <c r="J2472" i="2" s="1"/>
  <c r="H2473" i="2"/>
  <c r="I2473" i="2" s="1"/>
  <c r="G2473" i="2"/>
  <c r="J2473" i="2" s="1"/>
  <c r="H2474" i="2"/>
  <c r="I2474" i="2" s="1"/>
  <c r="G2474" i="2"/>
  <c r="J2474" i="2" s="1"/>
  <c r="H2475" i="2"/>
  <c r="I2475" i="2" s="1"/>
  <c r="G2475" i="2"/>
  <c r="J2475" i="2" s="1"/>
  <c r="H2476" i="2"/>
  <c r="I2476" i="2" s="1"/>
  <c r="G2476" i="2"/>
  <c r="J2476" i="2" s="1"/>
  <c r="H2477" i="2"/>
  <c r="I2477" i="2" s="1"/>
  <c r="G2477" i="2"/>
  <c r="J2477" i="2" s="1"/>
  <c r="H2478" i="2"/>
  <c r="I2478" i="2" s="1"/>
  <c r="G2478" i="2"/>
  <c r="J2478" i="2" s="1"/>
  <c r="H2479" i="2"/>
  <c r="I2479" i="2" s="1"/>
  <c r="G2479" i="2"/>
  <c r="J2479" i="2" s="1"/>
  <c r="H2480" i="2"/>
  <c r="I2480" i="2" s="1"/>
  <c r="G2480" i="2"/>
  <c r="J2480" i="2" s="1"/>
  <c r="H2481" i="2"/>
  <c r="I2481" i="2" s="1"/>
  <c r="G2481" i="2"/>
  <c r="J2481" i="2" s="1"/>
  <c r="H2482" i="2"/>
  <c r="I2482" i="2" s="1"/>
  <c r="G2482" i="2"/>
  <c r="J2482" i="2" s="1"/>
  <c r="H2483" i="2"/>
  <c r="I2483" i="2" s="1"/>
  <c r="G2483" i="2"/>
  <c r="J2483" i="2" s="1"/>
  <c r="H2484" i="2"/>
  <c r="I2484" i="2" s="1"/>
  <c r="G2484" i="2"/>
  <c r="J2484" i="2" s="1"/>
  <c r="H2485" i="2"/>
  <c r="I2485" i="2" s="1"/>
  <c r="G2485" i="2"/>
  <c r="J2485" i="2" s="1"/>
  <c r="H2486" i="2"/>
  <c r="I2486" i="2" s="1"/>
  <c r="G2486" i="2"/>
  <c r="J2486" i="2" s="1"/>
  <c r="H2487" i="2"/>
  <c r="I2487" i="2" s="1"/>
  <c r="G2487" i="2"/>
  <c r="J2487" i="2" s="1"/>
  <c r="H2488" i="2"/>
  <c r="I2488" i="2" s="1"/>
  <c r="G2488" i="2"/>
  <c r="J2488" i="2" s="1"/>
  <c r="H2489" i="2"/>
  <c r="I2489" i="2" s="1"/>
  <c r="G2489" i="2"/>
  <c r="J2489" i="2" s="1"/>
  <c r="H2490" i="2"/>
  <c r="I2490" i="2" s="1"/>
  <c r="G2490" i="2"/>
  <c r="J2490" i="2" s="1"/>
  <c r="H2491" i="2"/>
  <c r="I2491" i="2" s="1"/>
  <c r="G2491" i="2"/>
  <c r="J2491" i="2" s="1"/>
  <c r="H2492" i="2"/>
  <c r="I2492" i="2" s="1"/>
  <c r="G2492" i="2"/>
  <c r="J2492" i="2" s="1"/>
  <c r="H2493" i="2"/>
  <c r="I2493" i="2" s="1"/>
  <c r="G2493" i="2"/>
  <c r="J2493" i="2" s="1"/>
  <c r="H2494" i="2"/>
  <c r="I2494" i="2" s="1"/>
  <c r="G2494" i="2"/>
  <c r="J2494" i="2" s="1"/>
  <c r="H2495" i="2"/>
  <c r="I2495" i="2" s="1"/>
  <c r="G2495" i="2"/>
  <c r="J2495" i="2" s="1"/>
  <c r="H2496" i="2"/>
  <c r="I2496" i="2" s="1"/>
  <c r="G2496" i="2"/>
  <c r="J2496" i="2" s="1"/>
  <c r="H2497" i="2"/>
  <c r="I2497" i="2" s="1"/>
  <c r="G2497" i="2"/>
  <c r="J2497" i="2" s="1"/>
  <c r="H2498" i="2"/>
  <c r="I2498" i="2" s="1"/>
  <c r="G2498" i="2"/>
  <c r="J2498" i="2" s="1"/>
  <c r="H2499" i="2"/>
  <c r="I2499" i="2" s="1"/>
  <c r="G2499" i="2"/>
  <c r="J2499" i="2" s="1"/>
  <c r="H2500" i="2"/>
  <c r="I2500" i="2" s="1"/>
  <c r="G2500" i="2"/>
  <c r="J2500" i="2" s="1"/>
  <c r="H2501" i="2"/>
  <c r="I2501" i="2" s="1"/>
  <c r="G2501" i="2"/>
  <c r="J2501" i="2" s="1"/>
  <c r="H2502" i="2"/>
  <c r="I2502" i="2" s="1"/>
  <c r="G2502" i="2"/>
  <c r="J2502" i="2" s="1"/>
  <c r="H2503" i="2"/>
  <c r="I2503" i="2" s="1"/>
  <c r="G2503" i="2"/>
  <c r="J2503" i="2" s="1"/>
  <c r="H2504" i="2"/>
  <c r="I2504" i="2" s="1"/>
  <c r="G2504" i="2"/>
  <c r="J2504" i="2" s="1"/>
  <c r="H2505" i="2"/>
  <c r="I2505" i="2" s="1"/>
  <c r="G2505" i="2"/>
  <c r="J2505" i="2" s="1"/>
  <c r="H2506" i="2"/>
  <c r="I2506" i="2" s="1"/>
  <c r="G2506" i="2"/>
  <c r="J2506" i="2" s="1"/>
  <c r="H2507" i="2"/>
  <c r="I2507" i="2" s="1"/>
  <c r="G2507" i="2"/>
  <c r="J2507" i="2" s="1"/>
  <c r="H2508" i="2"/>
  <c r="I2508" i="2" s="1"/>
  <c r="G2508" i="2"/>
  <c r="J2508" i="2" s="1"/>
  <c r="H2509" i="2"/>
  <c r="I2509" i="2" s="1"/>
  <c r="G2509" i="2"/>
  <c r="J2509" i="2" s="1"/>
  <c r="H2510" i="2"/>
  <c r="I2510" i="2" s="1"/>
  <c r="G2510" i="2"/>
  <c r="J2510" i="2" s="1"/>
  <c r="H2511" i="2"/>
  <c r="I2511" i="2" s="1"/>
  <c r="G2511" i="2"/>
  <c r="J2511" i="2" s="1"/>
  <c r="H2512" i="2"/>
  <c r="I2512" i="2" s="1"/>
  <c r="G2512" i="2"/>
  <c r="J2512" i="2" s="1"/>
  <c r="H2513" i="2"/>
  <c r="I2513" i="2" s="1"/>
  <c r="G2513" i="2"/>
  <c r="J2513" i="2" s="1"/>
  <c r="H2514" i="2"/>
  <c r="I2514" i="2" s="1"/>
  <c r="G2514" i="2"/>
  <c r="J2514" i="2" s="1"/>
  <c r="H2515" i="2"/>
  <c r="I2515" i="2" s="1"/>
  <c r="G2515" i="2"/>
  <c r="J2515" i="2" s="1"/>
  <c r="H2516" i="2"/>
  <c r="I2516" i="2" s="1"/>
  <c r="G2516" i="2"/>
  <c r="J2516" i="2" s="1"/>
  <c r="H2517" i="2"/>
  <c r="I2517" i="2" s="1"/>
  <c r="G2517" i="2"/>
  <c r="J2517" i="2" s="1"/>
  <c r="H2518" i="2"/>
  <c r="I2518" i="2" s="1"/>
  <c r="G2518" i="2"/>
  <c r="J2518" i="2" s="1"/>
  <c r="H2519" i="2"/>
  <c r="I2519" i="2" s="1"/>
  <c r="G2519" i="2"/>
  <c r="J2519" i="2" s="1"/>
  <c r="H2520" i="2"/>
  <c r="I2520" i="2" s="1"/>
  <c r="G2520" i="2"/>
  <c r="J2520" i="2" s="1"/>
  <c r="H2521" i="2"/>
  <c r="I2521" i="2" s="1"/>
  <c r="G2521" i="2"/>
  <c r="J2521" i="2" s="1"/>
  <c r="H2522" i="2"/>
  <c r="I2522" i="2" s="1"/>
  <c r="G2522" i="2"/>
  <c r="J2522" i="2" s="1"/>
  <c r="H2523" i="2"/>
  <c r="I2523" i="2" s="1"/>
  <c r="G2523" i="2"/>
  <c r="J2523" i="2" s="1"/>
  <c r="H2524" i="2"/>
  <c r="I2524" i="2" s="1"/>
  <c r="G2524" i="2"/>
  <c r="J2524" i="2" s="1"/>
  <c r="H2525" i="2"/>
  <c r="I2525" i="2" s="1"/>
  <c r="G2525" i="2"/>
  <c r="J2525" i="2" s="1"/>
  <c r="H2526" i="2"/>
  <c r="I2526" i="2" s="1"/>
  <c r="G2526" i="2"/>
  <c r="J2526" i="2" s="1"/>
  <c r="H2527" i="2"/>
  <c r="I2527" i="2" s="1"/>
  <c r="G2527" i="2"/>
  <c r="J2527" i="2" s="1"/>
  <c r="H2528" i="2"/>
  <c r="I2528" i="2" s="1"/>
  <c r="G2528" i="2"/>
  <c r="J2528" i="2" s="1"/>
  <c r="H2529" i="2"/>
  <c r="I2529" i="2" s="1"/>
  <c r="G2529" i="2"/>
  <c r="J2529" i="2" s="1"/>
  <c r="H2530" i="2"/>
  <c r="I2530" i="2" s="1"/>
  <c r="G2530" i="2"/>
  <c r="J2530" i="2" s="1"/>
  <c r="H2531" i="2"/>
  <c r="I2531" i="2" s="1"/>
  <c r="G2531" i="2"/>
  <c r="J2531" i="2" s="1"/>
  <c r="H2532" i="2"/>
  <c r="I2532" i="2" s="1"/>
  <c r="G2532" i="2"/>
  <c r="J2532" i="2" s="1"/>
  <c r="H2533" i="2"/>
  <c r="I2533" i="2" s="1"/>
  <c r="G2533" i="2"/>
  <c r="J2533" i="2" s="1"/>
  <c r="H2534" i="2"/>
  <c r="I2534" i="2" s="1"/>
  <c r="G2534" i="2"/>
  <c r="J2534" i="2" s="1"/>
  <c r="H2535" i="2"/>
  <c r="I2535" i="2" s="1"/>
  <c r="G2535" i="2"/>
  <c r="J2535" i="2" s="1"/>
  <c r="H2536" i="2"/>
  <c r="I2536" i="2" s="1"/>
  <c r="G2536" i="2"/>
  <c r="J2536" i="2" s="1"/>
  <c r="H2537" i="2"/>
  <c r="I2537" i="2" s="1"/>
  <c r="G2537" i="2"/>
  <c r="J2537" i="2" s="1"/>
  <c r="H2538" i="2"/>
  <c r="I2538" i="2" s="1"/>
  <c r="G2538" i="2"/>
  <c r="J2538" i="2" s="1"/>
  <c r="H2539" i="2"/>
  <c r="I2539" i="2" s="1"/>
  <c r="G2539" i="2"/>
  <c r="J2539" i="2" s="1"/>
  <c r="H2540" i="2"/>
  <c r="I2540" i="2" s="1"/>
  <c r="G2540" i="2"/>
  <c r="J2540" i="2" s="1"/>
  <c r="H2541" i="2"/>
  <c r="I2541" i="2" s="1"/>
  <c r="G2541" i="2"/>
  <c r="J2541" i="2" s="1"/>
  <c r="H2542" i="2"/>
  <c r="I2542" i="2" s="1"/>
  <c r="G2542" i="2"/>
  <c r="J2542" i="2" s="1"/>
  <c r="H2543" i="2"/>
  <c r="I2543" i="2" s="1"/>
  <c r="G2543" i="2"/>
  <c r="J2543" i="2" s="1"/>
  <c r="H2544" i="2"/>
  <c r="I2544" i="2" s="1"/>
  <c r="G2544" i="2"/>
  <c r="J2544" i="2" s="1"/>
  <c r="H2545" i="2"/>
  <c r="I2545" i="2" s="1"/>
  <c r="G2545" i="2"/>
  <c r="J2545" i="2" s="1"/>
  <c r="H2546" i="2"/>
  <c r="I2546" i="2" s="1"/>
  <c r="G2546" i="2"/>
  <c r="J2546" i="2" s="1"/>
  <c r="H2547" i="2"/>
  <c r="I2547" i="2" s="1"/>
  <c r="G2547" i="2"/>
  <c r="J2547" i="2" s="1"/>
  <c r="H2548" i="2"/>
  <c r="I2548" i="2" s="1"/>
  <c r="G2548" i="2"/>
  <c r="J2548" i="2" s="1"/>
  <c r="H2549" i="2"/>
  <c r="I2549" i="2" s="1"/>
  <c r="G2549" i="2"/>
  <c r="J2549" i="2" s="1"/>
  <c r="H2550" i="2"/>
  <c r="I2550" i="2" s="1"/>
  <c r="G2550" i="2"/>
  <c r="J2550" i="2" s="1"/>
  <c r="H2551" i="2"/>
  <c r="I2551" i="2" s="1"/>
  <c r="G2551" i="2"/>
  <c r="J2551" i="2" s="1"/>
  <c r="H2552" i="2"/>
  <c r="I2552" i="2" s="1"/>
  <c r="G2552" i="2"/>
  <c r="J2552" i="2" s="1"/>
  <c r="H2553" i="2"/>
  <c r="I2553" i="2" s="1"/>
  <c r="G2553" i="2"/>
  <c r="J2553" i="2" s="1"/>
  <c r="H2554" i="2"/>
  <c r="I2554" i="2" s="1"/>
  <c r="G2554" i="2"/>
  <c r="J2554" i="2" s="1"/>
  <c r="H2555" i="2"/>
  <c r="I2555" i="2" s="1"/>
  <c r="G2555" i="2"/>
  <c r="J2555" i="2" s="1"/>
  <c r="H2556" i="2"/>
  <c r="I2556" i="2" s="1"/>
  <c r="G2556" i="2"/>
  <c r="J2556" i="2" s="1"/>
  <c r="H2557" i="2"/>
  <c r="I2557" i="2" s="1"/>
  <c r="G2557" i="2"/>
  <c r="J2557" i="2" s="1"/>
  <c r="H2558" i="2"/>
  <c r="I2558" i="2" s="1"/>
  <c r="G2558" i="2"/>
  <c r="J2558" i="2" s="1"/>
  <c r="H2559" i="2"/>
  <c r="I2559" i="2" s="1"/>
  <c r="G2559" i="2"/>
  <c r="J2559" i="2" s="1"/>
  <c r="H2560" i="2"/>
  <c r="I2560" i="2" s="1"/>
  <c r="G2560" i="2"/>
  <c r="J2560" i="2" s="1"/>
  <c r="H2561" i="2"/>
  <c r="I2561" i="2" s="1"/>
  <c r="G2561" i="2"/>
  <c r="J2561" i="2" s="1"/>
  <c r="H2562" i="2"/>
  <c r="I2562" i="2" s="1"/>
  <c r="G2562" i="2"/>
  <c r="J2562" i="2" s="1"/>
  <c r="H2563" i="2"/>
  <c r="I2563" i="2" s="1"/>
  <c r="G2563" i="2"/>
  <c r="J2563" i="2" s="1"/>
  <c r="H2564" i="2"/>
  <c r="I2564" i="2" s="1"/>
  <c r="G2564" i="2"/>
  <c r="J2564" i="2" s="1"/>
  <c r="H2565" i="2"/>
  <c r="I2565" i="2" s="1"/>
  <c r="G2565" i="2"/>
  <c r="J2565" i="2" s="1"/>
  <c r="H2566" i="2"/>
  <c r="I2566" i="2" s="1"/>
  <c r="G2566" i="2"/>
  <c r="J2566" i="2" s="1"/>
  <c r="H2567" i="2"/>
  <c r="I2567" i="2" s="1"/>
  <c r="G2567" i="2"/>
  <c r="J2567" i="2" s="1"/>
  <c r="H2568" i="2"/>
  <c r="I2568" i="2" s="1"/>
  <c r="G2568" i="2"/>
  <c r="J2568" i="2" s="1"/>
  <c r="H2569" i="2"/>
  <c r="I2569" i="2" s="1"/>
  <c r="G2569" i="2"/>
  <c r="J2569" i="2" s="1"/>
  <c r="H2570" i="2"/>
  <c r="I2570" i="2" s="1"/>
  <c r="G2570" i="2"/>
  <c r="J2570" i="2" s="1"/>
  <c r="H2571" i="2"/>
  <c r="I2571" i="2" s="1"/>
  <c r="G2571" i="2"/>
  <c r="J2571" i="2" s="1"/>
  <c r="H2572" i="2"/>
  <c r="I2572" i="2" s="1"/>
  <c r="G2572" i="2"/>
  <c r="J2572" i="2" s="1"/>
  <c r="H2573" i="2"/>
  <c r="I2573" i="2" s="1"/>
  <c r="G2573" i="2"/>
  <c r="J2573" i="2" s="1"/>
  <c r="H2574" i="2"/>
  <c r="I2574" i="2" s="1"/>
  <c r="G2574" i="2"/>
  <c r="J2574" i="2" s="1"/>
  <c r="H2575" i="2"/>
  <c r="I2575" i="2" s="1"/>
  <c r="G2575" i="2"/>
  <c r="J2575" i="2" s="1"/>
  <c r="H2576" i="2"/>
  <c r="I2576" i="2" s="1"/>
  <c r="G2576" i="2"/>
  <c r="J2576" i="2" s="1"/>
  <c r="H2577" i="2"/>
  <c r="I2577" i="2" s="1"/>
  <c r="G2577" i="2"/>
  <c r="J2577" i="2" s="1"/>
  <c r="H2578" i="2"/>
  <c r="I2578" i="2" s="1"/>
  <c r="G2578" i="2"/>
  <c r="J2578" i="2" s="1"/>
  <c r="H2579" i="2"/>
  <c r="I2579" i="2" s="1"/>
  <c r="G2579" i="2"/>
  <c r="J2579" i="2" s="1"/>
  <c r="H2580" i="2"/>
  <c r="I2580" i="2" s="1"/>
  <c r="G2580" i="2"/>
  <c r="J2580" i="2" s="1"/>
  <c r="H2581" i="2"/>
  <c r="I2581" i="2" s="1"/>
  <c r="G2581" i="2"/>
  <c r="J2581" i="2" s="1"/>
  <c r="H2582" i="2"/>
  <c r="I2582" i="2" s="1"/>
  <c r="G2582" i="2"/>
  <c r="J2582" i="2" s="1"/>
  <c r="H2583" i="2"/>
  <c r="I2583" i="2" s="1"/>
  <c r="G2583" i="2"/>
  <c r="J2583" i="2" s="1"/>
  <c r="H2584" i="2"/>
  <c r="I2584" i="2" s="1"/>
  <c r="G2584" i="2"/>
  <c r="J2584" i="2" s="1"/>
  <c r="H2585" i="2"/>
  <c r="I2585" i="2" s="1"/>
  <c r="G2585" i="2"/>
  <c r="J2585" i="2" s="1"/>
  <c r="H2586" i="2"/>
  <c r="I2586" i="2" s="1"/>
  <c r="G2586" i="2"/>
  <c r="J2586" i="2" s="1"/>
  <c r="H2587" i="2"/>
  <c r="I2587" i="2" s="1"/>
  <c r="G2587" i="2"/>
  <c r="J2587" i="2" s="1"/>
  <c r="H2588" i="2"/>
  <c r="I2588" i="2" s="1"/>
  <c r="G2588" i="2"/>
  <c r="J2588" i="2" s="1"/>
  <c r="H2589" i="2"/>
  <c r="I2589" i="2" s="1"/>
  <c r="G2589" i="2"/>
  <c r="J2589" i="2" s="1"/>
  <c r="H2590" i="2"/>
  <c r="I2590" i="2" s="1"/>
  <c r="G2590" i="2"/>
  <c r="J2590" i="2" s="1"/>
  <c r="H2591" i="2"/>
  <c r="I2591" i="2" s="1"/>
  <c r="G2591" i="2"/>
  <c r="J2591" i="2" s="1"/>
  <c r="H2592" i="2"/>
  <c r="I2592" i="2" s="1"/>
  <c r="G2592" i="2"/>
  <c r="J2592" i="2" s="1"/>
  <c r="H2593" i="2"/>
  <c r="I2593" i="2" s="1"/>
  <c r="G2593" i="2"/>
  <c r="J2593" i="2" s="1"/>
  <c r="H2594" i="2"/>
  <c r="I2594" i="2" s="1"/>
  <c r="G2594" i="2"/>
  <c r="J2594" i="2" s="1"/>
  <c r="H2595" i="2"/>
  <c r="I2595" i="2" s="1"/>
  <c r="G2595" i="2"/>
  <c r="J2595" i="2" s="1"/>
  <c r="H2596" i="2"/>
  <c r="I2596" i="2" s="1"/>
  <c r="G2596" i="2"/>
  <c r="J2596" i="2" s="1"/>
  <c r="H2597" i="2"/>
  <c r="I2597" i="2" s="1"/>
  <c r="G2597" i="2"/>
  <c r="J2597" i="2" s="1"/>
  <c r="H2598" i="2"/>
  <c r="I2598" i="2" s="1"/>
  <c r="G2598" i="2"/>
  <c r="J2598" i="2" s="1"/>
  <c r="H2599" i="2"/>
  <c r="I2599" i="2" s="1"/>
  <c r="G2599" i="2"/>
  <c r="J2599" i="2" s="1"/>
  <c r="H2600" i="2"/>
  <c r="I2600" i="2" s="1"/>
  <c r="G2600" i="2"/>
  <c r="J2600" i="2" s="1"/>
  <c r="H2601" i="2"/>
  <c r="I2601" i="2" s="1"/>
  <c r="G2601" i="2"/>
  <c r="J2601" i="2" s="1"/>
  <c r="H2602" i="2"/>
  <c r="I2602" i="2" s="1"/>
  <c r="G2602" i="2"/>
  <c r="J2602" i="2" s="1"/>
  <c r="H2603" i="2"/>
  <c r="I2603" i="2" s="1"/>
  <c r="G2603" i="2"/>
  <c r="J2603" i="2" s="1"/>
  <c r="H2604" i="2"/>
  <c r="I2604" i="2" s="1"/>
  <c r="G2604" i="2"/>
  <c r="J2604" i="2" s="1"/>
  <c r="H2605" i="2"/>
  <c r="I2605" i="2" s="1"/>
  <c r="G2605" i="2"/>
  <c r="J2605" i="2" s="1"/>
  <c r="H2606" i="2"/>
  <c r="I2606" i="2" s="1"/>
  <c r="G2606" i="2"/>
  <c r="J2606" i="2" s="1"/>
  <c r="H2607" i="2"/>
  <c r="I2607" i="2" s="1"/>
  <c r="G2607" i="2"/>
  <c r="J2607" i="2" s="1"/>
  <c r="H2608" i="2"/>
  <c r="I2608" i="2" s="1"/>
  <c r="G2608" i="2"/>
  <c r="J2608" i="2" s="1"/>
  <c r="H2609" i="2"/>
  <c r="I2609" i="2" s="1"/>
  <c r="G2609" i="2"/>
  <c r="J2609" i="2" s="1"/>
  <c r="H2610" i="2"/>
  <c r="I2610" i="2" s="1"/>
  <c r="G2610" i="2"/>
  <c r="J2610" i="2" s="1"/>
  <c r="H2611" i="2"/>
  <c r="I2611" i="2" s="1"/>
  <c r="G2611" i="2"/>
  <c r="J2611" i="2" s="1"/>
  <c r="H2612" i="2"/>
  <c r="I2612" i="2" s="1"/>
  <c r="G2612" i="2"/>
  <c r="J2612" i="2" s="1"/>
  <c r="H2613" i="2"/>
  <c r="I2613" i="2" s="1"/>
  <c r="G2613" i="2"/>
  <c r="J2613" i="2" s="1"/>
  <c r="H2614" i="2"/>
  <c r="I2614" i="2" s="1"/>
  <c r="G2614" i="2"/>
  <c r="J2614" i="2" s="1"/>
  <c r="H2615" i="2"/>
  <c r="I2615" i="2" s="1"/>
  <c r="G2615" i="2"/>
  <c r="J2615" i="2" s="1"/>
  <c r="H2616" i="2"/>
  <c r="I2616" i="2" s="1"/>
  <c r="G2616" i="2"/>
  <c r="J2616" i="2" s="1"/>
  <c r="H2617" i="2"/>
  <c r="I2617" i="2" s="1"/>
  <c r="G2617" i="2"/>
  <c r="J2617" i="2" s="1"/>
  <c r="H2618" i="2"/>
  <c r="I2618" i="2" s="1"/>
  <c r="G2618" i="2"/>
  <c r="J2618" i="2" s="1"/>
  <c r="H2619" i="2"/>
  <c r="I2619" i="2" s="1"/>
  <c r="G2619" i="2"/>
  <c r="J2619" i="2" s="1"/>
  <c r="H2620" i="2"/>
  <c r="I2620" i="2" s="1"/>
  <c r="G2620" i="2"/>
  <c r="J2620" i="2" s="1"/>
  <c r="H2621" i="2"/>
  <c r="I2621" i="2" s="1"/>
  <c r="G2621" i="2"/>
  <c r="J2621" i="2" s="1"/>
  <c r="H2622" i="2"/>
  <c r="I2622" i="2" s="1"/>
  <c r="G2622" i="2"/>
  <c r="J2622" i="2" s="1"/>
  <c r="H2623" i="2"/>
  <c r="I2623" i="2" s="1"/>
  <c r="G2623" i="2"/>
  <c r="J2623" i="2" s="1"/>
  <c r="H2624" i="2"/>
  <c r="I2624" i="2" s="1"/>
  <c r="G2624" i="2"/>
  <c r="J2624" i="2" s="1"/>
  <c r="H2625" i="2"/>
  <c r="I2625" i="2" s="1"/>
  <c r="G2625" i="2"/>
  <c r="J2625" i="2" s="1"/>
  <c r="H2626" i="2"/>
  <c r="I2626" i="2" s="1"/>
  <c r="G2626" i="2"/>
  <c r="J2626" i="2" s="1"/>
  <c r="H2627" i="2"/>
  <c r="I2627" i="2" s="1"/>
  <c r="G2627" i="2"/>
  <c r="J2627" i="2" s="1"/>
  <c r="H2628" i="2"/>
  <c r="I2628" i="2" s="1"/>
  <c r="G2628" i="2"/>
  <c r="J2628" i="2" s="1"/>
  <c r="H2629" i="2"/>
  <c r="I2629" i="2" s="1"/>
  <c r="G2629" i="2"/>
  <c r="J2629" i="2" s="1"/>
  <c r="H2630" i="2"/>
  <c r="I2630" i="2" s="1"/>
  <c r="G2630" i="2"/>
  <c r="J2630" i="2" s="1"/>
  <c r="H2631" i="2"/>
  <c r="I2631" i="2" s="1"/>
  <c r="G2631" i="2"/>
  <c r="J2631" i="2" s="1"/>
  <c r="H2632" i="2"/>
  <c r="I2632" i="2" s="1"/>
  <c r="G2632" i="2"/>
  <c r="J2632" i="2" s="1"/>
  <c r="H2633" i="2"/>
  <c r="I2633" i="2" s="1"/>
  <c r="G2633" i="2"/>
  <c r="J2633" i="2" s="1"/>
  <c r="H2634" i="2"/>
  <c r="I2634" i="2" s="1"/>
  <c r="G2634" i="2"/>
  <c r="J2634" i="2" s="1"/>
  <c r="H2635" i="2"/>
  <c r="I2635" i="2" s="1"/>
  <c r="G2635" i="2"/>
  <c r="J2635" i="2" s="1"/>
  <c r="H2636" i="2"/>
  <c r="I2636" i="2" s="1"/>
  <c r="G2636" i="2"/>
  <c r="J2636" i="2" s="1"/>
  <c r="H2637" i="2"/>
  <c r="I2637" i="2" s="1"/>
  <c r="G2637" i="2"/>
  <c r="J2637" i="2" s="1"/>
  <c r="H2638" i="2"/>
  <c r="I2638" i="2" s="1"/>
  <c r="G2638" i="2"/>
  <c r="J2638" i="2" s="1"/>
  <c r="H2639" i="2"/>
  <c r="I2639" i="2" s="1"/>
  <c r="G2639" i="2"/>
  <c r="J2639" i="2" s="1"/>
  <c r="H2640" i="2"/>
  <c r="I2640" i="2" s="1"/>
  <c r="G2640" i="2"/>
  <c r="J2640" i="2" s="1"/>
  <c r="H2641" i="2"/>
  <c r="I2641" i="2" s="1"/>
  <c r="G2641" i="2"/>
  <c r="J2641" i="2" s="1"/>
  <c r="H2642" i="2"/>
  <c r="I2642" i="2" s="1"/>
  <c r="G2642" i="2"/>
  <c r="J2642" i="2" s="1"/>
  <c r="H2643" i="2"/>
  <c r="I2643" i="2" s="1"/>
  <c r="G2643" i="2"/>
  <c r="J2643" i="2" s="1"/>
  <c r="H2644" i="2"/>
  <c r="I2644" i="2" s="1"/>
  <c r="G2644" i="2"/>
  <c r="J2644" i="2" s="1"/>
  <c r="H2645" i="2"/>
  <c r="I2645" i="2" s="1"/>
  <c r="G2645" i="2"/>
  <c r="J2645" i="2" s="1"/>
  <c r="H2646" i="2"/>
  <c r="I2646" i="2" s="1"/>
  <c r="G2646" i="2"/>
  <c r="J2646" i="2" s="1"/>
  <c r="H2647" i="2"/>
  <c r="I2647" i="2" s="1"/>
  <c r="G2647" i="2"/>
  <c r="J2647" i="2" s="1"/>
  <c r="H2648" i="2"/>
  <c r="I2648" i="2" s="1"/>
  <c r="G2648" i="2"/>
  <c r="J2648" i="2" s="1"/>
  <c r="H2649" i="2"/>
  <c r="I2649" i="2" s="1"/>
  <c r="G2649" i="2"/>
  <c r="J2649" i="2" s="1"/>
  <c r="H2650" i="2"/>
  <c r="I2650" i="2" s="1"/>
  <c r="G2650" i="2"/>
  <c r="J2650" i="2" s="1"/>
  <c r="H2651" i="2"/>
  <c r="I2651" i="2" s="1"/>
  <c r="G2651" i="2"/>
  <c r="J2651" i="2" s="1"/>
  <c r="H2652" i="2"/>
  <c r="I2652" i="2" s="1"/>
  <c r="G2652" i="2"/>
  <c r="J2652" i="2" s="1"/>
  <c r="H2653" i="2"/>
  <c r="I2653" i="2" s="1"/>
  <c r="G2653" i="2"/>
  <c r="J2653" i="2" s="1"/>
  <c r="H2654" i="2"/>
  <c r="I2654" i="2" s="1"/>
  <c r="G2654" i="2"/>
  <c r="J2654" i="2" s="1"/>
  <c r="H2655" i="2"/>
  <c r="I2655" i="2" s="1"/>
  <c r="G2655" i="2"/>
  <c r="J2655" i="2" s="1"/>
  <c r="H2656" i="2"/>
  <c r="I2656" i="2" s="1"/>
  <c r="G2656" i="2"/>
  <c r="J2656" i="2" s="1"/>
  <c r="H2657" i="2"/>
  <c r="I2657" i="2" s="1"/>
  <c r="G2657" i="2"/>
  <c r="J2657" i="2" s="1"/>
  <c r="H2658" i="2"/>
  <c r="I2658" i="2" s="1"/>
  <c r="G2658" i="2"/>
  <c r="J2658" i="2" s="1"/>
  <c r="H2659" i="2"/>
  <c r="I2659" i="2" s="1"/>
  <c r="G2659" i="2"/>
  <c r="J2659" i="2" s="1"/>
  <c r="H2660" i="2"/>
  <c r="I2660" i="2" s="1"/>
  <c r="G2660" i="2"/>
  <c r="J2660" i="2" s="1"/>
  <c r="H2661" i="2"/>
  <c r="I2661" i="2" s="1"/>
  <c r="G2661" i="2"/>
  <c r="J2661" i="2" s="1"/>
  <c r="H2662" i="2"/>
  <c r="I2662" i="2" s="1"/>
  <c r="G2662" i="2"/>
  <c r="J2662" i="2" s="1"/>
  <c r="H2663" i="2"/>
  <c r="I2663" i="2" s="1"/>
  <c r="G2663" i="2"/>
  <c r="J2663" i="2" s="1"/>
  <c r="H2664" i="2"/>
  <c r="I2664" i="2" s="1"/>
  <c r="G2664" i="2"/>
  <c r="J2664" i="2" s="1"/>
  <c r="H2665" i="2"/>
  <c r="I2665" i="2" s="1"/>
  <c r="G2665" i="2"/>
  <c r="J2665" i="2" s="1"/>
  <c r="H2666" i="2"/>
  <c r="I2666" i="2" s="1"/>
  <c r="G2666" i="2"/>
  <c r="J2666" i="2" s="1"/>
  <c r="H2667" i="2"/>
  <c r="I2667" i="2" s="1"/>
  <c r="G2667" i="2"/>
  <c r="J2667" i="2" s="1"/>
  <c r="H2668" i="2"/>
  <c r="I2668" i="2" s="1"/>
  <c r="G2668" i="2"/>
  <c r="J2668" i="2" s="1"/>
  <c r="H2669" i="2"/>
  <c r="I2669" i="2" s="1"/>
  <c r="G2669" i="2"/>
  <c r="J2669" i="2" s="1"/>
  <c r="H2670" i="2"/>
  <c r="I2670" i="2" s="1"/>
  <c r="G2670" i="2"/>
  <c r="J2670" i="2" s="1"/>
  <c r="H2671" i="2"/>
  <c r="I2671" i="2" s="1"/>
  <c r="G2671" i="2"/>
  <c r="J2671" i="2" s="1"/>
  <c r="H2672" i="2"/>
  <c r="I2672" i="2" s="1"/>
  <c r="G2672" i="2"/>
  <c r="J2672" i="2" s="1"/>
  <c r="H2673" i="2"/>
  <c r="I2673" i="2" s="1"/>
  <c r="G2673" i="2"/>
  <c r="J2673" i="2" s="1"/>
  <c r="H2674" i="2"/>
  <c r="I2674" i="2" s="1"/>
  <c r="G2674" i="2"/>
  <c r="J2674" i="2" s="1"/>
  <c r="H2675" i="2"/>
  <c r="I2675" i="2" s="1"/>
  <c r="G2675" i="2"/>
  <c r="J2675" i="2" s="1"/>
  <c r="H2676" i="2"/>
  <c r="I2676" i="2" s="1"/>
  <c r="G2676" i="2"/>
  <c r="J2676" i="2" s="1"/>
  <c r="H2677" i="2"/>
  <c r="I2677" i="2" s="1"/>
  <c r="G2677" i="2"/>
  <c r="J2677" i="2" s="1"/>
  <c r="H2678" i="2"/>
  <c r="I2678" i="2" s="1"/>
  <c r="G2678" i="2"/>
  <c r="J2678" i="2" s="1"/>
  <c r="H2679" i="2"/>
  <c r="I2679" i="2" s="1"/>
  <c r="G2679" i="2"/>
  <c r="J2679" i="2" s="1"/>
  <c r="H2680" i="2"/>
  <c r="I2680" i="2" s="1"/>
  <c r="G2680" i="2"/>
  <c r="J2680" i="2" s="1"/>
  <c r="H2681" i="2"/>
  <c r="I2681" i="2" s="1"/>
  <c r="G2681" i="2"/>
  <c r="J2681" i="2" s="1"/>
  <c r="H2682" i="2"/>
  <c r="I2682" i="2" s="1"/>
  <c r="G2682" i="2"/>
  <c r="J2682" i="2" s="1"/>
  <c r="H2683" i="2"/>
  <c r="I2683" i="2" s="1"/>
  <c r="G2683" i="2"/>
  <c r="J2683" i="2" s="1"/>
  <c r="H2684" i="2"/>
  <c r="I2684" i="2" s="1"/>
  <c r="G2684" i="2"/>
  <c r="J2684" i="2" s="1"/>
  <c r="H2685" i="2"/>
  <c r="I2685" i="2" s="1"/>
  <c r="G2685" i="2"/>
  <c r="J2685" i="2" s="1"/>
  <c r="H2686" i="2"/>
  <c r="I2686" i="2" s="1"/>
  <c r="G2686" i="2"/>
  <c r="J2686" i="2" s="1"/>
  <c r="H2687" i="2"/>
  <c r="I2687" i="2" s="1"/>
  <c r="G2687" i="2"/>
  <c r="J2687" i="2" s="1"/>
  <c r="H2688" i="2"/>
  <c r="I2688" i="2" s="1"/>
  <c r="G2688" i="2"/>
  <c r="J2688" i="2" s="1"/>
  <c r="H2689" i="2"/>
  <c r="I2689" i="2" s="1"/>
  <c r="G2689" i="2"/>
  <c r="J2689" i="2" s="1"/>
  <c r="H2690" i="2"/>
  <c r="I2690" i="2" s="1"/>
  <c r="G2690" i="2"/>
  <c r="J2690" i="2" s="1"/>
  <c r="H2691" i="2"/>
  <c r="I2691" i="2" s="1"/>
  <c r="G2691" i="2"/>
  <c r="J2691" i="2" s="1"/>
  <c r="H2692" i="2"/>
  <c r="I2692" i="2" s="1"/>
  <c r="G2692" i="2"/>
  <c r="J2692" i="2" s="1"/>
  <c r="H2693" i="2"/>
  <c r="I2693" i="2" s="1"/>
  <c r="G2693" i="2"/>
  <c r="J2693" i="2" s="1"/>
  <c r="H2694" i="2"/>
  <c r="I2694" i="2" s="1"/>
  <c r="G2694" i="2"/>
  <c r="J2694" i="2" s="1"/>
  <c r="H2695" i="2"/>
  <c r="I2695" i="2" s="1"/>
  <c r="G2695" i="2"/>
  <c r="J2695" i="2" s="1"/>
  <c r="H2696" i="2"/>
  <c r="I2696" i="2" s="1"/>
  <c r="G2696" i="2"/>
  <c r="J2696" i="2" s="1"/>
  <c r="H2697" i="2"/>
  <c r="I2697" i="2" s="1"/>
  <c r="G2697" i="2"/>
  <c r="J2697" i="2" s="1"/>
  <c r="H2698" i="2"/>
  <c r="I2698" i="2" s="1"/>
  <c r="G2698" i="2"/>
  <c r="J2698" i="2" s="1"/>
  <c r="H2699" i="2"/>
  <c r="I2699" i="2" s="1"/>
  <c r="G2699" i="2"/>
  <c r="J2699" i="2" s="1"/>
  <c r="H2700" i="2"/>
  <c r="I2700" i="2" s="1"/>
  <c r="G2700" i="2"/>
  <c r="J2700" i="2" s="1"/>
  <c r="H2701" i="2"/>
  <c r="I2701" i="2" s="1"/>
  <c r="G2701" i="2"/>
  <c r="J2701" i="2" s="1"/>
  <c r="H2702" i="2"/>
  <c r="I2702" i="2" s="1"/>
  <c r="G2702" i="2"/>
  <c r="J2702" i="2" s="1"/>
  <c r="H2703" i="2"/>
  <c r="I2703" i="2" s="1"/>
  <c r="G2703" i="2"/>
  <c r="J2703" i="2" s="1"/>
  <c r="H2704" i="2"/>
  <c r="I2704" i="2" s="1"/>
  <c r="G2704" i="2"/>
  <c r="J2704" i="2" s="1"/>
  <c r="H2705" i="2"/>
  <c r="I2705" i="2" s="1"/>
  <c r="G2705" i="2"/>
  <c r="J2705" i="2" s="1"/>
  <c r="H2706" i="2"/>
  <c r="I2706" i="2" s="1"/>
  <c r="G2706" i="2"/>
  <c r="J2706" i="2" s="1"/>
  <c r="H2707" i="2"/>
  <c r="I2707" i="2" s="1"/>
  <c r="G2707" i="2"/>
  <c r="J2707" i="2" s="1"/>
  <c r="H2708" i="2"/>
  <c r="I2708" i="2" s="1"/>
  <c r="G2708" i="2"/>
  <c r="J2708" i="2" s="1"/>
  <c r="H2709" i="2"/>
  <c r="I2709" i="2" s="1"/>
  <c r="G2709" i="2"/>
  <c r="J2709" i="2" s="1"/>
  <c r="H2710" i="2"/>
  <c r="I2710" i="2" s="1"/>
  <c r="G2710" i="2"/>
  <c r="J2710" i="2" s="1"/>
  <c r="H2711" i="2"/>
  <c r="I2711" i="2" s="1"/>
  <c r="G2711" i="2"/>
  <c r="J2711" i="2" s="1"/>
  <c r="H2712" i="2"/>
  <c r="I2712" i="2" s="1"/>
  <c r="G2712" i="2"/>
  <c r="J2712" i="2" s="1"/>
  <c r="H2713" i="2"/>
  <c r="I2713" i="2" s="1"/>
  <c r="G2713" i="2"/>
  <c r="J2713" i="2" s="1"/>
  <c r="H2714" i="2"/>
  <c r="I2714" i="2" s="1"/>
  <c r="G2714" i="2"/>
  <c r="J2714" i="2" s="1"/>
  <c r="H2715" i="2"/>
  <c r="I2715" i="2" s="1"/>
  <c r="G2715" i="2"/>
  <c r="J2715" i="2" s="1"/>
  <c r="H2716" i="2"/>
  <c r="I2716" i="2" s="1"/>
  <c r="G2716" i="2"/>
  <c r="J2716" i="2" s="1"/>
  <c r="H2717" i="2"/>
  <c r="I2717" i="2" s="1"/>
  <c r="G2717" i="2"/>
  <c r="J2717" i="2" s="1"/>
  <c r="H2718" i="2"/>
  <c r="I2718" i="2" s="1"/>
  <c r="G2718" i="2"/>
  <c r="J2718" i="2" s="1"/>
  <c r="H2719" i="2"/>
  <c r="I2719" i="2" s="1"/>
  <c r="G2719" i="2"/>
  <c r="J2719" i="2" s="1"/>
  <c r="H2720" i="2"/>
  <c r="I2720" i="2" s="1"/>
  <c r="G2720" i="2"/>
  <c r="J2720" i="2" s="1"/>
  <c r="H2721" i="2"/>
  <c r="I2721" i="2" s="1"/>
  <c r="G2721" i="2"/>
  <c r="J2721" i="2" s="1"/>
  <c r="H2722" i="2"/>
  <c r="I2722" i="2" s="1"/>
  <c r="G2722" i="2"/>
  <c r="J2722" i="2" s="1"/>
  <c r="H2723" i="2"/>
  <c r="I2723" i="2" s="1"/>
  <c r="G2723" i="2"/>
  <c r="J2723" i="2" s="1"/>
  <c r="H2724" i="2"/>
  <c r="I2724" i="2" s="1"/>
  <c r="G2724" i="2"/>
  <c r="J2724" i="2" s="1"/>
  <c r="H2725" i="2"/>
  <c r="I2725" i="2" s="1"/>
  <c r="G2725" i="2"/>
  <c r="J2725" i="2" s="1"/>
  <c r="H2726" i="2"/>
  <c r="I2726" i="2" s="1"/>
  <c r="G2726" i="2"/>
  <c r="J2726" i="2" s="1"/>
  <c r="H2727" i="2"/>
  <c r="I2727" i="2" s="1"/>
  <c r="G2727" i="2"/>
  <c r="J2727" i="2" s="1"/>
  <c r="H2728" i="2"/>
  <c r="I2728" i="2" s="1"/>
  <c r="G2728" i="2"/>
  <c r="J2728" i="2" s="1"/>
  <c r="H2729" i="2"/>
  <c r="I2729" i="2" s="1"/>
  <c r="G2729" i="2"/>
  <c r="J2729" i="2" s="1"/>
  <c r="H2730" i="2"/>
  <c r="I2730" i="2" s="1"/>
  <c r="G2730" i="2"/>
  <c r="J2730" i="2" s="1"/>
  <c r="H2731" i="2"/>
  <c r="I2731" i="2" s="1"/>
  <c r="G2731" i="2"/>
  <c r="J2731" i="2" s="1"/>
  <c r="H2732" i="2"/>
  <c r="I2732" i="2" s="1"/>
  <c r="G2732" i="2"/>
  <c r="J2732" i="2" s="1"/>
  <c r="H2733" i="2"/>
  <c r="I2733" i="2" s="1"/>
  <c r="G2733" i="2"/>
  <c r="J2733" i="2" s="1"/>
  <c r="H2734" i="2"/>
  <c r="I2734" i="2" s="1"/>
  <c r="G2734" i="2"/>
  <c r="J2734" i="2" s="1"/>
  <c r="H2735" i="2"/>
  <c r="I2735" i="2" s="1"/>
  <c r="G2735" i="2"/>
  <c r="J2735" i="2" s="1"/>
  <c r="H2736" i="2"/>
  <c r="I2736" i="2" s="1"/>
  <c r="G2736" i="2"/>
  <c r="J2736" i="2" s="1"/>
  <c r="H2737" i="2"/>
  <c r="I2737" i="2" s="1"/>
  <c r="G2737" i="2"/>
  <c r="J2737" i="2" s="1"/>
  <c r="H2738" i="2"/>
  <c r="I2738" i="2" s="1"/>
  <c r="G2738" i="2"/>
  <c r="J2738" i="2" s="1"/>
  <c r="H2739" i="2"/>
  <c r="I2739" i="2" s="1"/>
  <c r="G2739" i="2"/>
  <c r="J2739" i="2" s="1"/>
  <c r="H2740" i="2"/>
  <c r="I2740" i="2" s="1"/>
  <c r="G2740" i="2"/>
  <c r="J2740" i="2" s="1"/>
  <c r="H2741" i="2"/>
  <c r="I2741" i="2" s="1"/>
  <c r="G2741" i="2"/>
  <c r="J2741" i="2" s="1"/>
  <c r="H2742" i="2"/>
  <c r="I2742" i="2" s="1"/>
  <c r="G2742" i="2"/>
  <c r="J2742" i="2" s="1"/>
  <c r="H2743" i="2"/>
  <c r="I2743" i="2" s="1"/>
  <c r="G2743" i="2"/>
  <c r="J2743" i="2" s="1"/>
  <c r="H2744" i="2"/>
  <c r="I2744" i="2" s="1"/>
  <c r="G2744" i="2"/>
  <c r="J2744" i="2" s="1"/>
  <c r="H2745" i="2"/>
  <c r="I2745" i="2" s="1"/>
  <c r="G2745" i="2"/>
  <c r="J2745" i="2" s="1"/>
  <c r="H2746" i="2"/>
  <c r="I2746" i="2" s="1"/>
  <c r="G2746" i="2"/>
  <c r="J2746" i="2" s="1"/>
  <c r="H2747" i="2"/>
  <c r="I2747" i="2" s="1"/>
  <c r="G2747" i="2"/>
  <c r="J2747" i="2" s="1"/>
  <c r="H2748" i="2"/>
  <c r="I2748" i="2" s="1"/>
  <c r="G2748" i="2"/>
  <c r="J2748" i="2" s="1"/>
  <c r="H2749" i="2"/>
  <c r="I2749" i="2" s="1"/>
  <c r="G2749" i="2"/>
  <c r="J2749" i="2" s="1"/>
  <c r="H2750" i="2"/>
  <c r="I2750" i="2" s="1"/>
  <c r="G2750" i="2"/>
  <c r="J2750" i="2" s="1"/>
  <c r="H2751" i="2"/>
  <c r="I2751" i="2" s="1"/>
  <c r="G2751" i="2"/>
  <c r="J2751" i="2" s="1"/>
  <c r="H2752" i="2"/>
  <c r="I2752" i="2" s="1"/>
  <c r="G2752" i="2"/>
  <c r="J2752" i="2" s="1"/>
  <c r="H2753" i="2"/>
  <c r="I2753" i="2" s="1"/>
  <c r="G2753" i="2"/>
  <c r="J2753" i="2" s="1"/>
  <c r="H2754" i="2"/>
  <c r="I2754" i="2" s="1"/>
  <c r="G2754" i="2"/>
  <c r="J2754" i="2" s="1"/>
  <c r="H2755" i="2"/>
  <c r="I2755" i="2" s="1"/>
  <c r="G2755" i="2"/>
  <c r="J2755" i="2" s="1"/>
  <c r="H2756" i="2"/>
  <c r="I2756" i="2" s="1"/>
  <c r="G2756" i="2"/>
  <c r="J2756" i="2" s="1"/>
  <c r="H2757" i="2"/>
  <c r="I2757" i="2" s="1"/>
  <c r="G2757" i="2"/>
  <c r="J2757" i="2" s="1"/>
  <c r="H2758" i="2"/>
  <c r="I2758" i="2" s="1"/>
  <c r="G2758" i="2"/>
  <c r="J2758" i="2" s="1"/>
  <c r="H2759" i="2"/>
  <c r="I2759" i="2" s="1"/>
  <c r="G2759" i="2"/>
  <c r="J2759" i="2" s="1"/>
  <c r="H2760" i="2"/>
  <c r="I2760" i="2" s="1"/>
  <c r="G2760" i="2"/>
  <c r="J2760" i="2" s="1"/>
  <c r="H2761" i="2"/>
  <c r="I2761" i="2" s="1"/>
  <c r="G2761" i="2"/>
  <c r="J2761" i="2" s="1"/>
  <c r="H2762" i="2"/>
  <c r="I2762" i="2" s="1"/>
  <c r="G2762" i="2"/>
  <c r="J2762" i="2" s="1"/>
  <c r="H2763" i="2"/>
  <c r="I2763" i="2" s="1"/>
  <c r="G2763" i="2"/>
  <c r="J2763" i="2" s="1"/>
  <c r="H2764" i="2"/>
  <c r="I2764" i="2" s="1"/>
  <c r="G2764" i="2"/>
  <c r="J2764" i="2" s="1"/>
  <c r="H2765" i="2"/>
  <c r="I2765" i="2" s="1"/>
  <c r="G2765" i="2"/>
  <c r="J2765" i="2" s="1"/>
  <c r="H2766" i="2"/>
  <c r="I2766" i="2" s="1"/>
  <c r="G2766" i="2"/>
  <c r="J2766" i="2" s="1"/>
  <c r="H2767" i="2"/>
  <c r="I2767" i="2" s="1"/>
  <c r="G2767" i="2"/>
  <c r="J2767" i="2" s="1"/>
  <c r="H2768" i="2"/>
  <c r="I2768" i="2" s="1"/>
  <c r="G2768" i="2"/>
  <c r="J2768" i="2" s="1"/>
  <c r="H2769" i="2"/>
  <c r="I2769" i="2" s="1"/>
  <c r="G2769" i="2"/>
  <c r="J2769" i="2" s="1"/>
  <c r="H2770" i="2"/>
  <c r="I2770" i="2" s="1"/>
  <c r="G2770" i="2"/>
  <c r="J2770" i="2" s="1"/>
  <c r="H2771" i="2"/>
  <c r="I2771" i="2" s="1"/>
  <c r="G2771" i="2"/>
  <c r="J2771" i="2" s="1"/>
  <c r="H2772" i="2"/>
  <c r="I2772" i="2" s="1"/>
  <c r="G2772" i="2"/>
  <c r="J2772" i="2" s="1"/>
  <c r="H2773" i="2"/>
  <c r="I2773" i="2" s="1"/>
  <c r="G2773" i="2"/>
  <c r="J2773" i="2" s="1"/>
  <c r="H2774" i="2"/>
  <c r="I2774" i="2" s="1"/>
  <c r="G2774" i="2"/>
  <c r="J2774" i="2" s="1"/>
  <c r="H2775" i="2"/>
  <c r="I2775" i="2" s="1"/>
  <c r="G2775" i="2"/>
  <c r="J2775" i="2" s="1"/>
  <c r="H2776" i="2"/>
  <c r="I2776" i="2" s="1"/>
  <c r="G2776" i="2"/>
  <c r="J2776" i="2" s="1"/>
  <c r="H2777" i="2"/>
  <c r="I2777" i="2" s="1"/>
  <c r="G2777" i="2"/>
  <c r="J2777" i="2" s="1"/>
  <c r="H2778" i="2"/>
  <c r="I2778" i="2" s="1"/>
  <c r="G2778" i="2"/>
  <c r="J2778" i="2" s="1"/>
  <c r="H2779" i="2"/>
  <c r="I2779" i="2" s="1"/>
  <c r="G2779" i="2"/>
  <c r="J2779" i="2" s="1"/>
  <c r="H2780" i="2"/>
  <c r="I2780" i="2" s="1"/>
  <c r="G2780" i="2"/>
  <c r="J2780" i="2" s="1"/>
  <c r="H2781" i="2"/>
  <c r="I2781" i="2" s="1"/>
  <c r="G2781" i="2"/>
  <c r="J2781" i="2" s="1"/>
  <c r="H2782" i="2"/>
  <c r="I2782" i="2" s="1"/>
  <c r="G2782" i="2"/>
  <c r="J2782" i="2" s="1"/>
  <c r="H2783" i="2"/>
  <c r="I2783" i="2" s="1"/>
  <c r="G2783" i="2"/>
  <c r="J2783" i="2" s="1"/>
  <c r="H2784" i="2"/>
  <c r="I2784" i="2" s="1"/>
  <c r="G2784" i="2"/>
  <c r="J2784" i="2" s="1"/>
  <c r="H2785" i="2"/>
  <c r="I2785" i="2" s="1"/>
  <c r="G2785" i="2"/>
  <c r="J2785" i="2" s="1"/>
  <c r="H2786" i="2"/>
  <c r="I2786" i="2" s="1"/>
  <c r="G2786" i="2"/>
  <c r="J2786" i="2" s="1"/>
  <c r="H2787" i="2"/>
  <c r="I2787" i="2" s="1"/>
  <c r="G2787" i="2"/>
  <c r="J2787" i="2" s="1"/>
  <c r="H2788" i="2"/>
  <c r="I2788" i="2" s="1"/>
  <c r="G2788" i="2"/>
  <c r="J2788" i="2" s="1"/>
  <c r="H2789" i="2"/>
  <c r="I2789" i="2" s="1"/>
  <c r="G2789" i="2"/>
  <c r="J2789" i="2" s="1"/>
  <c r="H2790" i="2"/>
  <c r="I2790" i="2" s="1"/>
  <c r="G2790" i="2"/>
  <c r="J2790" i="2" s="1"/>
  <c r="H2791" i="2"/>
  <c r="I2791" i="2" s="1"/>
  <c r="G2791" i="2"/>
  <c r="J2791" i="2" s="1"/>
  <c r="H2792" i="2"/>
  <c r="I2792" i="2" s="1"/>
  <c r="G2792" i="2"/>
  <c r="J2792" i="2" s="1"/>
  <c r="H2793" i="2"/>
  <c r="I2793" i="2" s="1"/>
  <c r="G2793" i="2"/>
  <c r="J2793" i="2" s="1"/>
  <c r="H2794" i="2"/>
  <c r="I2794" i="2" s="1"/>
  <c r="G2794" i="2"/>
  <c r="J2794" i="2" s="1"/>
  <c r="H2795" i="2"/>
  <c r="I2795" i="2" s="1"/>
  <c r="G2795" i="2"/>
  <c r="J2795" i="2" s="1"/>
  <c r="H2796" i="2"/>
  <c r="I2796" i="2" s="1"/>
  <c r="G2796" i="2"/>
  <c r="J2796" i="2" s="1"/>
  <c r="H2797" i="2"/>
  <c r="I2797" i="2" s="1"/>
  <c r="G2797" i="2"/>
  <c r="J2797" i="2" s="1"/>
  <c r="H2798" i="2"/>
  <c r="I2798" i="2" s="1"/>
  <c r="G2798" i="2"/>
  <c r="J2798" i="2" s="1"/>
  <c r="H2799" i="2"/>
  <c r="I2799" i="2" s="1"/>
  <c r="G2799" i="2"/>
  <c r="J2799" i="2" s="1"/>
  <c r="H2800" i="2"/>
  <c r="I2800" i="2" s="1"/>
  <c r="G2800" i="2"/>
  <c r="J2800" i="2" s="1"/>
  <c r="H2801" i="2"/>
  <c r="I2801" i="2" s="1"/>
  <c r="G2801" i="2"/>
  <c r="J2801" i="2" s="1"/>
  <c r="H2802" i="2"/>
  <c r="I2802" i="2" s="1"/>
  <c r="G2802" i="2"/>
  <c r="J2802" i="2" s="1"/>
  <c r="H2803" i="2"/>
  <c r="I2803" i="2" s="1"/>
  <c r="G2803" i="2"/>
  <c r="J2803" i="2" s="1"/>
  <c r="H2804" i="2"/>
  <c r="I2804" i="2" s="1"/>
  <c r="G2804" i="2"/>
  <c r="J2804" i="2" s="1"/>
  <c r="H2805" i="2"/>
  <c r="I2805" i="2" s="1"/>
  <c r="G2805" i="2"/>
  <c r="J2805" i="2" s="1"/>
  <c r="H2806" i="2"/>
  <c r="I2806" i="2" s="1"/>
  <c r="G2806" i="2"/>
  <c r="J2806" i="2" s="1"/>
  <c r="H2807" i="2"/>
  <c r="I2807" i="2" s="1"/>
  <c r="G2807" i="2"/>
  <c r="J2807" i="2" s="1"/>
  <c r="H2808" i="2"/>
  <c r="I2808" i="2" s="1"/>
  <c r="G2808" i="2"/>
  <c r="J2808" i="2" s="1"/>
  <c r="H2809" i="2"/>
  <c r="I2809" i="2" s="1"/>
  <c r="G2809" i="2"/>
  <c r="J2809" i="2" s="1"/>
  <c r="H2810" i="2"/>
  <c r="I2810" i="2" s="1"/>
  <c r="G2810" i="2"/>
  <c r="J2810" i="2" s="1"/>
  <c r="H2811" i="2"/>
  <c r="I2811" i="2" s="1"/>
  <c r="G2811" i="2"/>
  <c r="J2811" i="2" s="1"/>
  <c r="H2812" i="2"/>
  <c r="I2812" i="2" s="1"/>
  <c r="G2812" i="2"/>
  <c r="J2812" i="2" s="1"/>
  <c r="H2813" i="2"/>
  <c r="I2813" i="2" s="1"/>
  <c r="G2813" i="2"/>
  <c r="J2813" i="2" s="1"/>
  <c r="H2814" i="2"/>
  <c r="I2814" i="2" s="1"/>
  <c r="G2814" i="2"/>
  <c r="J2814" i="2" s="1"/>
  <c r="H2815" i="2"/>
  <c r="I2815" i="2" s="1"/>
  <c r="G2815" i="2"/>
  <c r="J2815" i="2" s="1"/>
  <c r="H2816" i="2"/>
  <c r="I2816" i="2" s="1"/>
  <c r="G2816" i="2"/>
  <c r="J2816" i="2" s="1"/>
  <c r="H2817" i="2"/>
  <c r="I2817" i="2" s="1"/>
  <c r="G2817" i="2"/>
  <c r="J2817" i="2" s="1"/>
  <c r="H2818" i="2"/>
  <c r="I2818" i="2" s="1"/>
  <c r="G2818" i="2"/>
  <c r="J2818" i="2" s="1"/>
  <c r="H2819" i="2"/>
  <c r="I2819" i="2" s="1"/>
  <c r="G2819" i="2"/>
  <c r="J2819" i="2" s="1"/>
  <c r="H2820" i="2"/>
  <c r="I2820" i="2" s="1"/>
  <c r="G2820" i="2"/>
  <c r="J2820" i="2" s="1"/>
  <c r="H2821" i="2"/>
  <c r="I2821" i="2" s="1"/>
  <c r="G2821" i="2"/>
  <c r="J2821" i="2" s="1"/>
  <c r="H2822" i="2"/>
  <c r="I2822" i="2" s="1"/>
  <c r="G2822" i="2"/>
  <c r="J2822" i="2" s="1"/>
  <c r="H2823" i="2"/>
  <c r="I2823" i="2" s="1"/>
  <c r="G2823" i="2"/>
  <c r="J2823" i="2" s="1"/>
  <c r="H2824" i="2"/>
  <c r="I2824" i="2" s="1"/>
  <c r="G2824" i="2"/>
  <c r="J2824" i="2" s="1"/>
  <c r="H2825" i="2"/>
  <c r="I2825" i="2" s="1"/>
  <c r="G2825" i="2"/>
  <c r="J2825" i="2" s="1"/>
  <c r="H2826" i="2"/>
  <c r="I2826" i="2" s="1"/>
  <c r="G2826" i="2"/>
  <c r="J2826" i="2" s="1"/>
  <c r="H2827" i="2"/>
  <c r="I2827" i="2" s="1"/>
  <c r="G2827" i="2"/>
  <c r="J2827" i="2" s="1"/>
  <c r="H2828" i="2"/>
  <c r="I2828" i="2" s="1"/>
  <c r="G2828" i="2"/>
  <c r="J2828" i="2" s="1"/>
  <c r="H2829" i="2"/>
  <c r="I2829" i="2" s="1"/>
  <c r="G2829" i="2"/>
  <c r="J2829" i="2" s="1"/>
  <c r="H2830" i="2"/>
  <c r="I2830" i="2" s="1"/>
  <c r="G2830" i="2"/>
  <c r="J2830" i="2" s="1"/>
  <c r="H2831" i="2"/>
  <c r="I2831" i="2" s="1"/>
  <c r="G2831" i="2"/>
  <c r="J2831" i="2" s="1"/>
  <c r="H2832" i="2"/>
  <c r="I2832" i="2" s="1"/>
  <c r="G2832" i="2"/>
  <c r="J2832" i="2" s="1"/>
  <c r="H2833" i="2"/>
  <c r="I2833" i="2" s="1"/>
  <c r="G2833" i="2"/>
  <c r="J2833" i="2" s="1"/>
  <c r="H2834" i="2"/>
  <c r="I2834" i="2" s="1"/>
  <c r="G2834" i="2"/>
  <c r="J2834" i="2" s="1"/>
  <c r="H2835" i="2"/>
  <c r="I2835" i="2" s="1"/>
  <c r="G2835" i="2"/>
  <c r="J2835" i="2" s="1"/>
  <c r="H2836" i="2"/>
  <c r="I2836" i="2" s="1"/>
  <c r="G2836" i="2"/>
  <c r="J2836" i="2" s="1"/>
  <c r="H2837" i="2"/>
  <c r="I2837" i="2" s="1"/>
  <c r="G2837" i="2"/>
  <c r="J2837" i="2" s="1"/>
  <c r="H2838" i="2"/>
  <c r="I2838" i="2" s="1"/>
  <c r="G2838" i="2"/>
  <c r="J2838" i="2" s="1"/>
  <c r="H2839" i="2"/>
  <c r="I2839" i="2" s="1"/>
  <c r="G2839" i="2"/>
  <c r="J2839" i="2" s="1"/>
  <c r="H2840" i="2"/>
  <c r="I2840" i="2" s="1"/>
  <c r="G2840" i="2"/>
  <c r="J2840" i="2" s="1"/>
  <c r="H2841" i="2"/>
  <c r="I2841" i="2" s="1"/>
  <c r="G2841" i="2"/>
  <c r="J2841" i="2" s="1"/>
  <c r="H2842" i="2"/>
  <c r="I2842" i="2" s="1"/>
  <c r="G2842" i="2"/>
  <c r="J2842" i="2" s="1"/>
  <c r="H2843" i="2"/>
  <c r="I2843" i="2" s="1"/>
  <c r="G2843" i="2"/>
  <c r="J2843" i="2" s="1"/>
  <c r="H2844" i="2"/>
  <c r="I2844" i="2" s="1"/>
  <c r="G2844" i="2"/>
  <c r="J2844" i="2" s="1"/>
  <c r="H2845" i="2"/>
  <c r="I2845" i="2" s="1"/>
  <c r="G2845" i="2"/>
  <c r="J2845" i="2" s="1"/>
  <c r="H2846" i="2"/>
  <c r="I2846" i="2" s="1"/>
  <c r="G2846" i="2"/>
  <c r="J2846" i="2" s="1"/>
  <c r="H2847" i="2"/>
  <c r="I2847" i="2" s="1"/>
  <c r="G2847" i="2"/>
  <c r="J2847" i="2" s="1"/>
  <c r="H2848" i="2"/>
  <c r="I2848" i="2" s="1"/>
  <c r="G2848" i="2"/>
  <c r="J2848" i="2" s="1"/>
  <c r="H2849" i="2"/>
  <c r="I2849" i="2" s="1"/>
  <c r="G2849" i="2"/>
  <c r="J2849" i="2" s="1"/>
  <c r="H2850" i="2"/>
  <c r="I2850" i="2" s="1"/>
  <c r="G2850" i="2"/>
  <c r="J2850" i="2" s="1"/>
  <c r="H2851" i="2"/>
  <c r="I2851" i="2" s="1"/>
  <c r="G2851" i="2"/>
  <c r="J2851" i="2" s="1"/>
  <c r="H2852" i="2"/>
  <c r="I2852" i="2" s="1"/>
  <c r="G2852" i="2"/>
  <c r="J2852" i="2" s="1"/>
  <c r="H2853" i="2"/>
  <c r="I2853" i="2" s="1"/>
  <c r="G2853" i="2"/>
  <c r="J2853" i="2" s="1"/>
  <c r="H2854" i="2"/>
  <c r="I2854" i="2" s="1"/>
  <c r="G2854" i="2"/>
  <c r="J2854" i="2" s="1"/>
  <c r="H2855" i="2"/>
  <c r="I2855" i="2" s="1"/>
  <c r="G2855" i="2"/>
  <c r="J2855" i="2" s="1"/>
  <c r="H2856" i="2"/>
  <c r="I2856" i="2" s="1"/>
  <c r="G2856" i="2"/>
  <c r="J2856" i="2" s="1"/>
  <c r="H2857" i="2"/>
  <c r="I2857" i="2" s="1"/>
  <c r="G2857" i="2"/>
  <c r="J2857" i="2" s="1"/>
  <c r="H2858" i="2"/>
  <c r="I2858" i="2" s="1"/>
  <c r="G2858" i="2"/>
  <c r="J2858" i="2" s="1"/>
  <c r="H2859" i="2"/>
  <c r="I2859" i="2" s="1"/>
  <c r="G2859" i="2"/>
  <c r="J2859" i="2" s="1"/>
  <c r="H2860" i="2"/>
  <c r="I2860" i="2" s="1"/>
  <c r="G2860" i="2"/>
  <c r="J2860" i="2" s="1"/>
  <c r="H2861" i="2"/>
  <c r="I2861" i="2" s="1"/>
  <c r="G2861" i="2"/>
  <c r="J2861" i="2" s="1"/>
  <c r="H2862" i="2"/>
  <c r="I2862" i="2" s="1"/>
  <c r="G2862" i="2"/>
  <c r="J2862" i="2" s="1"/>
  <c r="H2863" i="2"/>
  <c r="I2863" i="2" s="1"/>
  <c r="G2863" i="2"/>
  <c r="J2863" i="2" s="1"/>
  <c r="H2864" i="2"/>
  <c r="I2864" i="2" s="1"/>
  <c r="G2864" i="2"/>
  <c r="J2864" i="2" s="1"/>
  <c r="H2865" i="2"/>
  <c r="I2865" i="2" s="1"/>
  <c r="G2865" i="2"/>
  <c r="J2865" i="2" s="1"/>
  <c r="H2866" i="2"/>
  <c r="I2866" i="2" s="1"/>
  <c r="G2866" i="2"/>
  <c r="J2866" i="2" s="1"/>
  <c r="H2867" i="2"/>
  <c r="I2867" i="2" s="1"/>
  <c r="G2867" i="2"/>
  <c r="J2867" i="2" s="1"/>
  <c r="H2868" i="2"/>
  <c r="I2868" i="2" s="1"/>
  <c r="G2868" i="2"/>
  <c r="J2868" i="2" s="1"/>
  <c r="H2869" i="2"/>
  <c r="I2869" i="2" s="1"/>
  <c r="G2869" i="2"/>
  <c r="J2869" i="2" s="1"/>
  <c r="H2870" i="2"/>
  <c r="I2870" i="2" s="1"/>
  <c r="G2870" i="2"/>
  <c r="J2870" i="2" s="1"/>
  <c r="H2871" i="2"/>
  <c r="I2871" i="2" s="1"/>
  <c r="G2871" i="2"/>
  <c r="J2871" i="2" s="1"/>
  <c r="H2872" i="2"/>
  <c r="I2872" i="2" s="1"/>
  <c r="G2872" i="2"/>
  <c r="J2872" i="2" s="1"/>
  <c r="H2873" i="2"/>
  <c r="I2873" i="2" s="1"/>
  <c r="G2873" i="2"/>
  <c r="J2873" i="2" s="1"/>
  <c r="H2874" i="2"/>
  <c r="I2874" i="2" s="1"/>
  <c r="G2874" i="2"/>
  <c r="J2874" i="2" s="1"/>
  <c r="H2875" i="2"/>
  <c r="I2875" i="2" s="1"/>
  <c r="G2875" i="2"/>
  <c r="J2875" i="2" s="1"/>
  <c r="H2876" i="2"/>
  <c r="I2876" i="2" s="1"/>
  <c r="G2876" i="2"/>
  <c r="J2876" i="2" s="1"/>
  <c r="H2877" i="2"/>
  <c r="I2877" i="2" s="1"/>
  <c r="G2877" i="2"/>
  <c r="J2877" i="2" s="1"/>
  <c r="H2878" i="2"/>
  <c r="I2878" i="2" s="1"/>
  <c r="G2878" i="2"/>
  <c r="J2878" i="2" s="1"/>
  <c r="H2879" i="2"/>
  <c r="I2879" i="2" s="1"/>
  <c r="G2879" i="2"/>
  <c r="J2879" i="2" s="1"/>
  <c r="H2880" i="2"/>
  <c r="I2880" i="2" s="1"/>
  <c r="G2880" i="2"/>
  <c r="J2880" i="2" s="1"/>
  <c r="H2881" i="2"/>
  <c r="I2881" i="2" s="1"/>
  <c r="G2881" i="2"/>
  <c r="J2881" i="2" s="1"/>
  <c r="H2882" i="2"/>
  <c r="I2882" i="2" s="1"/>
  <c r="G2882" i="2"/>
  <c r="J2882" i="2" s="1"/>
  <c r="H2883" i="2"/>
  <c r="I2883" i="2" s="1"/>
  <c r="G2883" i="2"/>
  <c r="J2883" i="2" s="1"/>
  <c r="H2884" i="2"/>
  <c r="I2884" i="2" s="1"/>
  <c r="G2884" i="2"/>
  <c r="J2884" i="2" s="1"/>
  <c r="H2885" i="2"/>
  <c r="I2885" i="2" s="1"/>
  <c r="G2885" i="2"/>
  <c r="J2885" i="2" s="1"/>
  <c r="H2886" i="2"/>
  <c r="I2886" i="2" s="1"/>
  <c r="G2886" i="2"/>
  <c r="J2886" i="2" s="1"/>
  <c r="H2887" i="2"/>
  <c r="I2887" i="2" s="1"/>
  <c r="G2887" i="2"/>
  <c r="J2887" i="2" s="1"/>
  <c r="H2888" i="2"/>
  <c r="I2888" i="2" s="1"/>
  <c r="G2888" i="2"/>
  <c r="J2888" i="2" s="1"/>
  <c r="H2889" i="2"/>
  <c r="I2889" i="2" s="1"/>
  <c r="G2889" i="2"/>
  <c r="J2889" i="2" s="1"/>
  <c r="H2890" i="2"/>
  <c r="I2890" i="2" s="1"/>
  <c r="G2890" i="2"/>
  <c r="J2890" i="2" s="1"/>
  <c r="H2891" i="2"/>
  <c r="I2891" i="2" s="1"/>
  <c r="G2891" i="2"/>
  <c r="J2891" i="2" s="1"/>
  <c r="H2892" i="2"/>
  <c r="I2892" i="2" s="1"/>
  <c r="G2892" i="2"/>
  <c r="J2892" i="2" s="1"/>
  <c r="H2893" i="2"/>
  <c r="I2893" i="2" s="1"/>
  <c r="G2893" i="2"/>
  <c r="J2893" i="2" s="1"/>
  <c r="H2894" i="2"/>
  <c r="I2894" i="2" s="1"/>
  <c r="G2894" i="2"/>
  <c r="J2894" i="2" s="1"/>
  <c r="H2895" i="2"/>
  <c r="I2895" i="2" s="1"/>
  <c r="G2895" i="2"/>
  <c r="J2895" i="2" s="1"/>
  <c r="H2896" i="2"/>
  <c r="I2896" i="2" s="1"/>
  <c r="G2896" i="2"/>
  <c r="J2896" i="2" s="1"/>
  <c r="H2897" i="2"/>
  <c r="I2897" i="2" s="1"/>
  <c r="G2897" i="2"/>
  <c r="J2897" i="2" s="1"/>
  <c r="H2898" i="2"/>
  <c r="I2898" i="2" s="1"/>
  <c r="G2898" i="2"/>
  <c r="J2898" i="2" s="1"/>
  <c r="H2899" i="2"/>
  <c r="I2899" i="2" s="1"/>
  <c r="G2899" i="2"/>
  <c r="J2899" i="2" s="1"/>
  <c r="H2900" i="2"/>
  <c r="I2900" i="2" s="1"/>
  <c r="G2900" i="2"/>
  <c r="J2900" i="2" s="1"/>
  <c r="H2901" i="2"/>
  <c r="I2901" i="2" s="1"/>
  <c r="G2901" i="2"/>
  <c r="J2901" i="2" s="1"/>
  <c r="H2902" i="2"/>
  <c r="I2902" i="2" s="1"/>
  <c r="G2902" i="2"/>
  <c r="J2902" i="2" s="1"/>
  <c r="H2903" i="2"/>
  <c r="I2903" i="2" s="1"/>
  <c r="G2903" i="2"/>
  <c r="J2903" i="2" s="1"/>
  <c r="H2904" i="2"/>
  <c r="I2904" i="2" s="1"/>
  <c r="G2904" i="2"/>
  <c r="J2904" i="2" s="1"/>
  <c r="H2905" i="2"/>
  <c r="I2905" i="2" s="1"/>
  <c r="G2905" i="2"/>
  <c r="J2905" i="2" s="1"/>
  <c r="H2906" i="2"/>
  <c r="I2906" i="2" s="1"/>
  <c r="G2906" i="2"/>
  <c r="J2906" i="2" s="1"/>
  <c r="H2907" i="2"/>
  <c r="I2907" i="2" s="1"/>
  <c r="G2907" i="2"/>
  <c r="J2907" i="2" s="1"/>
  <c r="H2908" i="2"/>
  <c r="I2908" i="2" s="1"/>
  <c r="G2908" i="2"/>
  <c r="J2908" i="2" s="1"/>
  <c r="H2909" i="2"/>
  <c r="I2909" i="2" s="1"/>
  <c r="G2909" i="2"/>
  <c r="J2909" i="2" s="1"/>
  <c r="H2910" i="2"/>
  <c r="I2910" i="2" s="1"/>
  <c r="G2910" i="2"/>
  <c r="J2910" i="2" s="1"/>
  <c r="H2911" i="2"/>
  <c r="I2911" i="2" s="1"/>
  <c r="G2911" i="2"/>
  <c r="J2911" i="2" s="1"/>
  <c r="H2912" i="2"/>
  <c r="I2912" i="2" s="1"/>
  <c r="G2912" i="2"/>
  <c r="J2912" i="2" s="1"/>
  <c r="H2913" i="2"/>
  <c r="I2913" i="2" s="1"/>
  <c r="G2913" i="2"/>
  <c r="J2913" i="2" s="1"/>
  <c r="H2914" i="2"/>
  <c r="I2914" i="2" s="1"/>
  <c r="G2914" i="2"/>
  <c r="J2914" i="2" s="1"/>
  <c r="H2915" i="2"/>
  <c r="I2915" i="2" s="1"/>
  <c r="G2915" i="2"/>
  <c r="J2915" i="2" s="1"/>
  <c r="H2916" i="2"/>
  <c r="I2916" i="2" s="1"/>
  <c r="G2916" i="2"/>
  <c r="J2916" i="2" s="1"/>
  <c r="H2917" i="2"/>
  <c r="I2917" i="2" s="1"/>
  <c r="G2917" i="2"/>
  <c r="J2917" i="2" s="1"/>
  <c r="H2918" i="2"/>
  <c r="I2918" i="2" s="1"/>
  <c r="G2918" i="2"/>
  <c r="J2918" i="2" s="1"/>
  <c r="H2919" i="2"/>
  <c r="I2919" i="2" s="1"/>
  <c r="G2919" i="2"/>
  <c r="J2919" i="2" s="1"/>
  <c r="H2920" i="2"/>
  <c r="I2920" i="2" s="1"/>
  <c r="G2920" i="2"/>
  <c r="J2920" i="2" s="1"/>
  <c r="H2921" i="2"/>
  <c r="I2921" i="2" s="1"/>
  <c r="G2921" i="2"/>
  <c r="J2921" i="2" s="1"/>
  <c r="H2922" i="2"/>
  <c r="I2922" i="2" s="1"/>
  <c r="G2922" i="2"/>
  <c r="J2922" i="2" s="1"/>
  <c r="H2923" i="2"/>
  <c r="I2923" i="2" s="1"/>
  <c r="G2923" i="2"/>
  <c r="J2923" i="2" s="1"/>
  <c r="H2924" i="2"/>
  <c r="I2924" i="2" s="1"/>
  <c r="G2924" i="2"/>
  <c r="J2924" i="2" s="1"/>
  <c r="H2925" i="2"/>
  <c r="I2925" i="2" s="1"/>
  <c r="G2925" i="2"/>
  <c r="J2925" i="2" s="1"/>
  <c r="H2926" i="2"/>
  <c r="I2926" i="2" s="1"/>
  <c r="G2926" i="2"/>
  <c r="J2926" i="2" s="1"/>
  <c r="H2927" i="2"/>
  <c r="I2927" i="2" s="1"/>
  <c r="G2927" i="2"/>
  <c r="J2927" i="2" s="1"/>
  <c r="H2928" i="2"/>
  <c r="I2928" i="2" s="1"/>
  <c r="G2928" i="2"/>
  <c r="J2928" i="2" s="1"/>
  <c r="H2929" i="2"/>
  <c r="I2929" i="2" s="1"/>
  <c r="G2929" i="2"/>
  <c r="J2929" i="2" s="1"/>
  <c r="H2930" i="2"/>
  <c r="I2930" i="2" s="1"/>
  <c r="G2930" i="2"/>
  <c r="J2930" i="2" s="1"/>
  <c r="H2931" i="2"/>
  <c r="I2931" i="2" s="1"/>
  <c r="G2931" i="2"/>
  <c r="J2931" i="2" s="1"/>
  <c r="H2932" i="2"/>
  <c r="I2932" i="2" s="1"/>
  <c r="G2932" i="2"/>
  <c r="J2932" i="2" s="1"/>
  <c r="H2933" i="2"/>
  <c r="I2933" i="2" s="1"/>
  <c r="G2933" i="2"/>
  <c r="J2933" i="2" s="1"/>
  <c r="H2934" i="2"/>
  <c r="I2934" i="2" s="1"/>
  <c r="G2934" i="2"/>
  <c r="J2934" i="2" s="1"/>
  <c r="H2935" i="2"/>
  <c r="I2935" i="2" s="1"/>
  <c r="G2935" i="2"/>
  <c r="J2935" i="2" s="1"/>
  <c r="H2936" i="2"/>
  <c r="I2936" i="2" s="1"/>
  <c r="G2936" i="2"/>
  <c r="J2936" i="2" s="1"/>
  <c r="H2937" i="2"/>
  <c r="I2937" i="2" s="1"/>
  <c r="G2937" i="2"/>
  <c r="J2937" i="2" s="1"/>
  <c r="H2938" i="2"/>
  <c r="I2938" i="2" s="1"/>
  <c r="G2938" i="2"/>
  <c r="J2938" i="2" s="1"/>
  <c r="H2939" i="2"/>
  <c r="I2939" i="2" s="1"/>
  <c r="G2939" i="2"/>
  <c r="J2939" i="2" s="1"/>
  <c r="H2940" i="2"/>
  <c r="I2940" i="2" s="1"/>
  <c r="G2940" i="2"/>
  <c r="J2940" i="2" s="1"/>
  <c r="H2941" i="2"/>
  <c r="I2941" i="2" s="1"/>
  <c r="G2941" i="2"/>
  <c r="J2941" i="2" s="1"/>
  <c r="H2942" i="2"/>
  <c r="I2942" i="2" s="1"/>
  <c r="G2942" i="2"/>
  <c r="J2942" i="2" s="1"/>
  <c r="H2943" i="2"/>
  <c r="I2943" i="2" s="1"/>
  <c r="G2943" i="2"/>
  <c r="J2943" i="2" s="1"/>
  <c r="H2944" i="2"/>
  <c r="I2944" i="2" s="1"/>
  <c r="G2944" i="2"/>
  <c r="J2944" i="2" s="1"/>
  <c r="H2945" i="2"/>
  <c r="I2945" i="2" s="1"/>
  <c r="G2945" i="2"/>
  <c r="J2945" i="2" s="1"/>
  <c r="H2946" i="2"/>
  <c r="I2946" i="2" s="1"/>
  <c r="G2946" i="2"/>
  <c r="J2946" i="2" s="1"/>
  <c r="H2947" i="2"/>
  <c r="I2947" i="2" s="1"/>
  <c r="G2947" i="2"/>
  <c r="J2947" i="2" s="1"/>
  <c r="H2948" i="2"/>
  <c r="I2948" i="2" s="1"/>
  <c r="G2948" i="2"/>
  <c r="J2948" i="2" s="1"/>
  <c r="H2949" i="2"/>
  <c r="I2949" i="2" s="1"/>
  <c r="G2949" i="2"/>
  <c r="J2949" i="2" s="1"/>
  <c r="H2950" i="2"/>
  <c r="I2950" i="2" s="1"/>
  <c r="G2950" i="2"/>
  <c r="J2950" i="2" s="1"/>
  <c r="H2951" i="2"/>
  <c r="I2951" i="2" s="1"/>
  <c r="G2951" i="2"/>
  <c r="J2951" i="2" s="1"/>
  <c r="H2952" i="2"/>
  <c r="I2952" i="2" s="1"/>
  <c r="G2952" i="2"/>
  <c r="J2952" i="2" s="1"/>
  <c r="H2953" i="2"/>
  <c r="I2953" i="2" s="1"/>
  <c r="G2953" i="2"/>
  <c r="J2953" i="2" s="1"/>
  <c r="H2954" i="2"/>
  <c r="I2954" i="2" s="1"/>
  <c r="G2954" i="2"/>
  <c r="J2954" i="2" s="1"/>
  <c r="H2955" i="2"/>
  <c r="I2955" i="2" s="1"/>
  <c r="G2955" i="2"/>
  <c r="J2955" i="2" s="1"/>
  <c r="H2956" i="2"/>
  <c r="I2956" i="2" s="1"/>
  <c r="G2956" i="2"/>
  <c r="J2956" i="2" s="1"/>
  <c r="H2957" i="2"/>
  <c r="I2957" i="2" s="1"/>
  <c r="G2957" i="2"/>
  <c r="J2957" i="2" s="1"/>
  <c r="H2958" i="2"/>
  <c r="I2958" i="2" s="1"/>
  <c r="G2958" i="2"/>
  <c r="J2958" i="2" s="1"/>
  <c r="H2959" i="2"/>
  <c r="I2959" i="2" s="1"/>
  <c r="G2959" i="2"/>
  <c r="J2959" i="2" s="1"/>
  <c r="H2960" i="2"/>
  <c r="I2960" i="2" s="1"/>
  <c r="G2960" i="2"/>
  <c r="J2960" i="2" s="1"/>
  <c r="H2961" i="2"/>
  <c r="I2961" i="2" s="1"/>
  <c r="G2961" i="2"/>
  <c r="J2961" i="2" s="1"/>
  <c r="H2962" i="2"/>
  <c r="I2962" i="2" s="1"/>
  <c r="G2962" i="2"/>
  <c r="J2962" i="2" s="1"/>
  <c r="H2963" i="2"/>
  <c r="I2963" i="2" s="1"/>
  <c r="G2963" i="2"/>
  <c r="J2963" i="2" s="1"/>
  <c r="H2964" i="2"/>
  <c r="I2964" i="2" s="1"/>
  <c r="G2964" i="2"/>
  <c r="J2964" i="2" s="1"/>
  <c r="H2965" i="2"/>
  <c r="I2965" i="2" s="1"/>
  <c r="G2965" i="2"/>
  <c r="J2965" i="2" s="1"/>
  <c r="H2966" i="2"/>
  <c r="I2966" i="2" s="1"/>
  <c r="G2966" i="2"/>
  <c r="J2966" i="2" s="1"/>
  <c r="H2967" i="2"/>
  <c r="I2967" i="2" s="1"/>
  <c r="G2967" i="2"/>
  <c r="J2967" i="2" s="1"/>
  <c r="H2968" i="2"/>
  <c r="I2968" i="2" s="1"/>
  <c r="G2968" i="2"/>
  <c r="J2968" i="2" s="1"/>
  <c r="H2969" i="2"/>
  <c r="I2969" i="2" s="1"/>
  <c r="G2969" i="2"/>
  <c r="J2969" i="2" s="1"/>
  <c r="H2970" i="2"/>
  <c r="I2970" i="2" s="1"/>
  <c r="G2970" i="2"/>
  <c r="J2970" i="2" s="1"/>
  <c r="H2971" i="2"/>
  <c r="I2971" i="2" s="1"/>
  <c r="G2971" i="2"/>
  <c r="J2971" i="2" s="1"/>
  <c r="H2972" i="2"/>
  <c r="I2972" i="2" s="1"/>
  <c r="G2972" i="2"/>
  <c r="J2972" i="2" s="1"/>
  <c r="H2973" i="2"/>
  <c r="I2973" i="2" s="1"/>
  <c r="G2973" i="2"/>
  <c r="J2973" i="2" s="1"/>
  <c r="H2974" i="2"/>
  <c r="I2974" i="2" s="1"/>
  <c r="G2974" i="2"/>
  <c r="J2974" i="2" s="1"/>
  <c r="H2975" i="2"/>
  <c r="I2975" i="2" s="1"/>
  <c r="G2975" i="2"/>
  <c r="J2975" i="2" s="1"/>
  <c r="H2976" i="2"/>
  <c r="I2976" i="2" s="1"/>
  <c r="G2976" i="2"/>
  <c r="J2976" i="2" s="1"/>
  <c r="H2977" i="2"/>
  <c r="I2977" i="2" s="1"/>
  <c r="G2977" i="2"/>
  <c r="J2977" i="2" s="1"/>
  <c r="H2978" i="2"/>
  <c r="I2978" i="2" s="1"/>
  <c r="G2978" i="2"/>
  <c r="J2978" i="2" s="1"/>
  <c r="H2979" i="2"/>
  <c r="I2979" i="2" s="1"/>
  <c r="G2979" i="2"/>
  <c r="J2979" i="2" s="1"/>
  <c r="H2980" i="2"/>
  <c r="I2980" i="2" s="1"/>
  <c r="G2980" i="2"/>
  <c r="J2980" i="2" s="1"/>
  <c r="H2981" i="2"/>
  <c r="I2981" i="2" s="1"/>
  <c r="G2981" i="2"/>
  <c r="J2981" i="2" s="1"/>
  <c r="H2982" i="2"/>
  <c r="I2982" i="2" s="1"/>
  <c r="G2982" i="2"/>
  <c r="J2982" i="2" s="1"/>
  <c r="H2983" i="2"/>
  <c r="I2983" i="2" s="1"/>
  <c r="G2983" i="2"/>
  <c r="J2983" i="2" s="1"/>
  <c r="H2984" i="2"/>
  <c r="I2984" i="2" s="1"/>
  <c r="G2984" i="2"/>
  <c r="J2984" i="2" s="1"/>
  <c r="H2985" i="2"/>
  <c r="I2985" i="2" s="1"/>
  <c r="G2985" i="2"/>
  <c r="J2985" i="2" s="1"/>
  <c r="H2986" i="2"/>
  <c r="I2986" i="2" s="1"/>
  <c r="G2986" i="2"/>
  <c r="J2986" i="2" s="1"/>
  <c r="H2987" i="2"/>
  <c r="I2987" i="2" s="1"/>
  <c r="G2987" i="2"/>
  <c r="J2987" i="2" s="1"/>
  <c r="H2988" i="2"/>
  <c r="I2988" i="2" s="1"/>
  <c r="G2988" i="2"/>
  <c r="J2988" i="2" s="1"/>
  <c r="H2989" i="2"/>
  <c r="I2989" i="2" s="1"/>
  <c r="G2989" i="2"/>
  <c r="J2989" i="2" s="1"/>
  <c r="H2990" i="2"/>
  <c r="I2990" i="2" s="1"/>
  <c r="G2990" i="2"/>
  <c r="J2990" i="2" s="1"/>
  <c r="H2991" i="2"/>
  <c r="I2991" i="2" s="1"/>
  <c r="G2991" i="2"/>
  <c r="J2991" i="2" s="1"/>
  <c r="H2992" i="2"/>
  <c r="I2992" i="2" s="1"/>
  <c r="G2992" i="2"/>
  <c r="J2992" i="2" s="1"/>
  <c r="H2993" i="2"/>
  <c r="I2993" i="2" s="1"/>
  <c r="G2993" i="2"/>
  <c r="J2993" i="2" s="1"/>
  <c r="H2994" i="2"/>
  <c r="I2994" i="2" s="1"/>
  <c r="G2994" i="2"/>
  <c r="J2994" i="2" s="1"/>
  <c r="H2995" i="2"/>
  <c r="I2995" i="2" s="1"/>
  <c r="G2995" i="2"/>
  <c r="J2995" i="2" s="1"/>
  <c r="H2996" i="2"/>
  <c r="I2996" i="2" s="1"/>
  <c r="G2996" i="2"/>
  <c r="J2996" i="2" s="1"/>
  <c r="H2997" i="2"/>
  <c r="I2997" i="2" s="1"/>
  <c r="G2997" i="2"/>
  <c r="J2997" i="2" s="1"/>
  <c r="H2998" i="2"/>
  <c r="I2998" i="2" s="1"/>
  <c r="G2998" i="2"/>
  <c r="J2998" i="2" s="1"/>
  <c r="H2999" i="2"/>
  <c r="I2999" i="2" s="1"/>
  <c r="G2999" i="2"/>
  <c r="J2999" i="2" s="1"/>
  <c r="H3000" i="2"/>
  <c r="I3000" i="2" s="1"/>
  <c r="G3000" i="2"/>
  <c r="J3000" i="2" s="1"/>
  <c r="H3001" i="2"/>
  <c r="I3001" i="2" s="1"/>
  <c r="G3001" i="2"/>
  <c r="J3001" i="2" s="1"/>
  <c r="H3002" i="2"/>
  <c r="I3002" i="2" s="1"/>
  <c r="G3002" i="2"/>
  <c r="J3002" i="2" s="1"/>
  <c r="H3003" i="2"/>
  <c r="I3003" i="2" s="1"/>
  <c r="G3003" i="2"/>
  <c r="J3003" i="2" s="1"/>
  <c r="H3004" i="2"/>
  <c r="I3004" i="2" s="1"/>
  <c r="G3004" i="2"/>
  <c r="J3004" i="2" s="1"/>
  <c r="H3005" i="2"/>
  <c r="I3005" i="2" s="1"/>
  <c r="G3005" i="2"/>
  <c r="J3005" i="2" s="1"/>
  <c r="H3006" i="2"/>
  <c r="I3006" i="2" s="1"/>
  <c r="G3006" i="2"/>
  <c r="J3006" i="2" s="1"/>
  <c r="H3007" i="2"/>
  <c r="I3007" i="2" s="1"/>
  <c r="G3007" i="2"/>
  <c r="J3007" i="2" s="1"/>
  <c r="H3008" i="2"/>
  <c r="I3008" i="2" s="1"/>
  <c r="G3008" i="2"/>
  <c r="J3008" i="2" s="1"/>
  <c r="H3009" i="2"/>
  <c r="I3009" i="2" s="1"/>
  <c r="G3009" i="2"/>
  <c r="J3009" i="2" s="1"/>
  <c r="H3010" i="2"/>
  <c r="I3010" i="2" s="1"/>
  <c r="G3010" i="2"/>
  <c r="J3010" i="2" s="1"/>
  <c r="H3011" i="2"/>
  <c r="I3011" i="2" s="1"/>
  <c r="G3011" i="2"/>
  <c r="J3011" i="2" s="1"/>
  <c r="H3012" i="2"/>
  <c r="I3012" i="2" s="1"/>
  <c r="G3012" i="2"/>
  <c r="J3012" i="2" s="1"/>
  <c r="H3013" i="2"/>
  <c r="I3013" i="2" s="1"/>
  <c r="G3013" i="2"/>
  <c r="J3013" i="2" s="1"/>
  <c r="H3014" i="2"/>
  <c r="I3014" i="2" s="1"/>
  <c r="G3014" i="2"/>
  <c r="J3014" i="2" s="1"/>
  <c r="H3015" i="2"/>
  <c r="I3015" i="2" s="1"/>
  <c r="G3015" i="2"/>
  <c r="J3015" i="2" s="1"/>
  <c r="H3016" i="2"/>
  <c r="I3016" i="2" s="1"/>
  <c r="G3016" i="2"/>
  <c r="J3016" i="2" s="1"/>
  <c r="H3017" i="2"/>
  <c r="I3017" i="2" s="1"/>
  <c r="G3017" i="2"/>
  <c r="J3017" i="2" s="1"/>
  <c r="H3018" i="2"/>
  <c r="I3018" i="2" s="1"/>
  <c r="G3018" i="2"/>
  <c r="J3018" i="2" s="1"/>
  <c r="H3019" i="2"/>
  <c r="I3019" i="2" s="1"/>
  <c r="G3019" i="2"/>
  <c r="J3019" i="2" s="1"/>
  <c r="H3020" i="2"/>
  <c r="I3020" i="2" s="1"/>
  <c r="G3020" i="2"/>
  <c r="J3020" i="2" s="1"/>
  <c r="H3021" i="2"/>
  <c r="I3021" i="2" s="1"/>
  <c r="G3021" i="2"/>
  <c r="J3021" i="2" s="1"/>
  <c r="H3022" i="2"/>
  <c r="I3022" i="2" s="1"/>
  <c r="G3022" i="2"/>
  <c r="J3022" i="2" s="1"/>
  <c r="H3023" i="2"/>
  <c r="I3023" i="2" s="1"/>
  <c r="G3023" i="2"/>
  <c r="J3023" i="2" s="1"/>
  <c r="H3024" i="2"/>
  <c r="I3024" i="2" s="1"/>
  <c r="G3024" i="2"/>
  <c r="J3024" i="2" s="1"/>
  <c r="H3025" i="2"/>
  <c r="I3025" i="2" s="1"/>
  <c r="G3025" i="2"/>
  <c r="J3025" i="2" s="1"/>
  <c r="H3026" i="2"/>
  <c r="I3026" i="2" s="1"/>
  <c r="G3026" i="2"/>
  <c r="J3026" i="2" s="1"/>
  <c r="H3027" i="2"/>
  <c r="I3027" i="2" s="1"/>
  <c r="G3027" i="2"/>
  <c r="J3027" i="2" s="1"/>
  <c r="H3028" i="2"/>
  <c r="I3028" i="2" s="1"/>
  <c r="G3028" i="2"/>
  <c r="J3028" i="2" s="1"/>
  <c r="H3029" i="2"/>
  <c r="I3029" i="2" s="1"/>
  <c r="G3029" i="2"/>
  <c r="J3029" i="2" s="1"/>
  <c r="H3030" i="2"/>
  <c r="I3030" i="2" s="1"/>
  <c r="G3030" i="2"/>
  <c r="J3030" i="2" s="1"/>
  <c r="H3031" i="2"/>
  <c r="I3031" i="2" s="1"/>
  <c r="G3031" i="2"/>
  <c r="J3031" i="2" s="1"/>
  <c r="H3032" i="2"/>
  <c r="I3032" i="2" s="1"/>
  <c r="G3032" i="2"/>
  <c r="J3032" i="2" s="1"/>
  <c r="H3033" i="2"/>
  <c r="I3033" i="2" s="1"/>
  <c r="G3033" i="2"/>
  <c r="J3033" i="2" s="1"/>
  <c r="H3034" i="2"/>
  <c r="I3034" i="2" s="1"/>
  <c r="G3034" i="2"/>
  <c r="J3034" i="2" s="1"/>
  <c r="H3035" i="2"/>
  <c r="I3035" i="2" s="1"/>
  <c r="G3035" i="2"/>
  <c r="J3035" i="2" s="1"/>
  <c r="H3036" i="2"/>
  <c r="I3036" i="2" s="1"/>
  <c r="G3036" i="2"/>
  <c r="J3036" i="2" s="1"/>
  <c r="H3037" i="2"/>
  <c r="I3037" i="2" s="1"/>
  <c r="G3037" i="2"/>
  <c r="J3037" i="2" s="1"/>
  <c r="H3038" i="2"/>
  <c r="I3038" i="2" s="1"/>
  <c r="G3038" i="2"/>
  <c r="J3038" i="2" s="1"/>
  <c r="H3039" i="2"/>
  <c r="I3039" i="2" s="1"/>
  <c r="G3039" i="2"/>
  <c r="J3039" i="2" s="1"/>
  <c r="H3040" i="2"/>
  <c r="I3040" i="2" s="1"/>
  <c r="G3040" i="2"/>
  <c r="J3040" i="2" s="1"/>
  <c r="H3041" i="2"/>
  <c r="I3041" i="2" s="1"/>
  <c r="G3041" i="2"/>
  <c r="J3041" i="2" s="1"/>
  <c r="H3042" i="2"/>
  <c r="I3042" i="2" s="1"/>
  <c r="G3042" i="2"/>
  <c r="J3042" i="2" s="1"/>
  <c r="H3043" i="2"/>
  <c r="I3043" i="2" s="1"/>
  <c r="G3043" i="2"/>
  <c r="J3043" i="2" s="1"/>
  <c r="H3044" i="2"/>
  <c r="I3044" i="2" s="1"/>
  <c r="G3044" i="2"/>
  <c r="J3044" i="2" s="1"/>
  <c r="H3045" i="2"/>
  <c r="I3045" i="2" s="1"/>
  <c r="G3045" i="2"/>
  <c r="J3045" i="2" s="1"/>
  <c r="H3046" i="2"/>
  <c r="I3046" i="2" s="1"/>
  <c r="G3046" i="2"/>
  <c r="J3046" i="2" s="1"/>
  <c r="H3047" i="2"/>
  <c r="I3047" i="2" s="1"/>
  <c r="G3047" i="2"/>
  <c r="J3047" i="2" s="1"/>
  <c r="H3048" i="2"/>
  <c r="I3048" i="2" s="1"/>
  <c r="G3048" i="2"/>
  <c r="J3048" i="2" s="1"/>
  <c r="H3049" i="2"/>
  <c r="I3049" i="2" s="1"/>
  <c r="G3049" i="2"/>
  <c r="J3049" i="2" s="1"/>
  <c r="H3050" i="2"/>
  <c r="I3050" i="2" s="1"/>
  <c r="G3050" i="2"/>
  <c r="J3050" i="2" s="1"/>
  <c r="H3051" i="2"/>
  <c r="I3051" i="2" s="1"/>
  <c r="G3051" i="2"/>
  <c r="J3051" i="2" s="1"/>
  <c r="H3052" i="2"/>
  <c r="I3052" i="2" s="1"/>
  <c r="G3052" i="2"/>
  <c r="J3052" i="2" s="1"/>
  <c r="H3053" i="2"/>
  <c r="I3053" i="2" s="1"/>
  <c r="G3053" i="2"/>
  <c r="J3053" i="2" s="1"/>
  <c r="H3054" i="2"/>
  <c r="I3054" i="2" s="1"/>
  <c r="G3054" i="2"/>
  <c r="J3054" i="2" s="1"/>
  <c r="H3055" i="2"/>
  <c r="I3055" i="2" s="1"/>
  <c r="G3055" i="2"/>
  <c r="J3055" i="2" s="1"/>
  <c r="H3056" i="2"/>
  <c r="I3056" i="2" s="1"/>
  <c r="G3056" i="2"/>
  <c r="J3056" i="2" s="1"/>
  <c r="H3057" i="2"/>
  <c r="I3057" i="2" s="1"/>
  <c r="G3057" i="2"/>
  <c r="J3057" i="2" s="1"/>
  <c r="H3058" i="2"/>
  <c r="I3058" i="2" s="1"/>
  <c r="G3058" i="2"/>
  <c r="J3058" i="2" s="1"/>
  <c r="H3059" i="2"/>
  <c r="I3059" i="2" s="1"/>
  <c r="G3059" i="2"/>
  <c r="J3059" i="2" s="1"/>
  <c r="H3060" i="2"/>
  <c r="I3060" i="2" s="1"/>
  <c r="G3060" i="2"/>
  <c r="J3060" i="2" s="1"/>
  <c r="H3061" i="2"/>
  <c r="I3061" i="2" s="1"/>
  <c r="G3061" i="2"/>
  <c r="J3061" i="2" s="1"/>
  <c r="H3062" i="2"/>
  <c r="I3062" i="2" s="1"/>
  <c r="G3062" i="2"/>
  <c r="J3062" i="2" s="1"/>
  <c r="H3063" i="2"/>
  <c r="I3063" i="2" s="1"/>
  <c r="G3063" i="2"/>
  <c r="J3063" i="2" s="1"/>
  <c r="H3064" i="2"/>
  <c r="I3064" i="2" s="1"/>
  <c r="G3064" i="2"/>
  <c r="J3064" i="2" s="1"/>
  <c r="H3065" i="2"/>
  <c r="I3065" i="2" s="1"/>
  <c r="G3065" i="2"/>
  <c r="J3065" i="2" s="1"/>
  <c r="H3066" i="2"/>
  <c r="I3066" i="2" s="1"/>
  <c r="G3066" i="2"/>
  <c r="J3066" i="2" s="1"/>
  <c r="H3067" i="2"/>
  <c r="I3067" i="2" s="1"/>
  <c r="G3067" i="2"/>
  <c r="J3067" i="2" s="1"/>
  <c r="H3068" i="2"/>
  <c r="I3068" i="2" s="1"/>
  <c r="G3068" i="2"/>
  <c r="J3068" i="2" s="1"/>
  <c r="H3069" i="2"/>
  <c r="I3069" i="2" s="1"/>
  <c r="G3069" i="2"/>
  <c r="J3069" i="2" s="1"/>
  <c r="H3070" i="2"/>
  <c r="I3070" i="2" s="1"/>
  <c r="G3070" i="2"/>
  <c r="J3070" i="2" s="1"/>
  <c r="H3071" i="2"/>
  <c r="I3071" i="2" s="1"/>
  <c r="G3071" i="2"/>
  <c r="J3071" i="2" s="1"/>
  <c r="H3072" i="2"/>
  <c r="I3072" i="2" s="1"/>
  <c r="G3072" i="2"/>
  <c r="J3072" i="2" s="1"/>
  <c r="H3073" i="2"/>
  <c r="I3073" i="2" s="1"/>
  <c r="G3073" i="2"/>
  <c r="J3073" i="2" s="1"/>
  <c r="H3074" i="2"/>
  <c r="I3074" i="2" s="1"/>
  <c r="G3074" i="2"/>
  <c r="J3074" i="2" s="1"/>
  <c r="H3075" i="2"/>
  <c r="I3075" i="2" s="1"/>
  <c r="G3075" i="2"/>
  <c r="J3075" i="2" s="1"/>
  <c r="H3076" i="2"/>
  <c r="I3076" i="2" s="1"/>
  <c r="G3076" i="2"/>
  <c r="J3076" i="2" s="1"/>
  <c r="H3077" i="2"/>
  <c r="I3077" i="2" s="1"/>
  <c r="G3077" i="2"/>
  <c r="J3077" i="2" s="1"/>
  <c r="H3078" i="2"/>
  <c r="I3078" i="2" s="1"/>
  <c r="G3078" i="2"/>
  <c r="J3078" i="2" s="1"/>
  <c r="H3079" i="2"/>
  <c r="I3079" i="2" s="1"/>
  <c r="G3079" i="2"/>
  <c r="J3079" i="2" s="1"/>
  <c r="H3080" i="2"/>
  <c r="I3080" i="2" s="1"/>
  <c r="G3080" i="2"/>
  <c r="J3080" i="2" s="1"/>
  <c r="H3081" i="2"/>
  <c r="I3081" i="2" s="1"/>
  <c r="G3081" i="2"/>
  <c r="J3081" i="2" s="1"/>
  <c r="H3082" i="2"/>
  <c r="I3082" i="2" s="1"/>
  <c r="G3082" i="2"/>
  <c r="J3082" i="2" s="1"/>
  <c r="H3083" i="2"/>
  <c r="I3083" i="2" s="1"/>
  <c r="G3083" i="2"/>
  <c r="J3083" i="2" s="1"/>
  <c r="H3084" i="2"/>
  <c r="I3084" i="2" s="1"/>
  <c r="G3084" i="2"/>
  <c r="J3084" i="2" s="1"/>
  <c r="H3085" i="2"/>
  <c r="I3085" i="2" s="1"/>
  <c r="G3085" i="2"/>
  <c r="J3085" i="2" s="1"/>
  <c r="H3086" i="2"/>
  <c r="I3086" i="2" s="1"/>
  <c r="G3086" i="2"/>
  <c r="J3086" i="2" s="1"/>
  <c r="H3087" i="2"/>
  <c r="I3087" i="2" s="1"/>
  <c r="G3087" i="2"/>
  <c r="J3087" i="2" s="1"/>
  <c r="H3088" i="2"/>
  <c r="I3088" i="2" s="1"/>
  <c r="G3088" i="2"/>
  <c r="J3088" i="2" s="1"/>
  <c r="H3089" i="2"/>
  <c r="I3089" i="2" s="1"/>
  <c r="G3089" i="2"/>
  <c r="J3089" i="2" s="1"/>
  <c r="H3090" i="2"/>
  <c r="I3090" i="2" s="1"/>
  <c r="G3090" i="2"/>
  <c r="J3090" i="2" s="1"/>
  <c r="H3091" i="2"/>
  <c r="I3091" i="2" s="1"/>
  <c r="G3091" i="2"/>
  <c r="J3091" i="2" s="1"/>
  <c r="H3092" i="2"/>
  <c r="I3092" i="2" s="1"/>
  <c r="G3092" i="2"/>
  <c r="J3092" i="2" s="1"/>
  <c r="H3093" i="2"/>
  <c r="I3093" i="2" s="1"/>
  <c r="G3093" i="2"/>
  <c r="J3093" i="2" s="1"/>
  <c r="H3094" i="2"/>
  <c r="I3094" i="2" s="1"/>
  <c r="G3094" i="2"/>
  <c r="J3094" i="2" s="1"/>
  <c r="H3095" i="2"/>
  <c r="I3095" i="2" s="1"/>
  <c r="G3095" i="2"/>
  <c r="J3095" i="2" s="1"/>
  <c r="H3096" i="2"/>
  <c r="I3096" i="2" s="1"/>
  <c r="G3096" i="2"/>
  <c r="J3096" i="2" s="1"/>
  <c r="H3097" i="2"/>
  <c r="I3097" i="2" s="1"/>
  <c r="G3097" i="2"/>
  <c r="J3097" i="2" s="1"/>
  <c r="H3098" i="2"/>
  <c r="I3098" i="2" s="1"/>
  <c r="G3098" i="2"/>
  <c r="J3098" i="2" s="1"/>
  <c r="H3099" i="2"/>
  <c r="I3099" i="2" s="1"/>
  <c r="G3099" i="2"/>
  <c r="J3099" i="2" s="1"/>
  <c r="H3100" i="2"/>
  <c r="I3100" i="2" s="1"/>
  <c r="G3100" i="2"/>
  <c r="J3100" i="2" s="1"/>
  <c r="H3101" i="2"/>
  <c r="I3101" i="2" s="1"/>
  <c r="G3101" i="2"/>
  <c r="J3101" i="2" s="1"/>
  <c r="H3102" i="2"/>
  <c r="I3102" i="2" s="1"/>
  <c r="G3102" i="2"/>
  <c r="J3102" i="2" s="1"/>
  <c r="H3103" i="2"/>
  <c r="I3103" i="2" s="1"/>
  <c r="G3103" i="2"/>
  <c r="J3103" i="2" s="1"/>
  <c r="H3104" i="2"/>
  <c r="I3104" i="2" s="1"/>
  <c r="G3104" i="2"/>
  <c r="J3104" i="2" s="1"/>
  <c r="H3105" i="2"/>
  <c r="I3105" i="2" s="1"/>
  <c r="G3105" i="2"/>
  <c r="J3105" i="2" s="1"/>
  <c r="H3106" i="2"/>
  <c r="I3106" i="2" s="1"/>
  <c r="G3106" i="2"/>
  <c r="J3106" i="2" s="1"/>
  <c r="H3107" i="2"/>
  <c r="I3107" i="2" s="1"/>
  <c r="G3107" i="2"/>
  <c r="J3107" i="2" s="1"/>
  <c r="H3108" i="2"/>
  <c r="I3108" i="2" s="1"/>
  <c r="G3108" i="2"/>
  <c r="J3108" i="2" s="1"/>
  <c r="H3109" i="2"/>
  <c r="I3109" i="2" s="1"/>
  <c r="G3109" i="2"/>
  <c r="J3109" i="2" s="1"/>
  <c r="H3110" i="2"/>
  <c r="I3110" i="2" s="1"/>
  <c r="G3110" i="2"/>
  <c r="J3110" i="2" s="1"/>
  <c r="H3111" i="2"/>
  <c r="I3111" i="2" s="1"/>
  <c r="G3111" i="2"/>
  <c r="J3111" i="2" s="1"/>
  <c r="H3112" i="2"/>
  <c r="I3112" i="2" s="1"/>
  <c r="G3112" i="2"/>
  <c r="J3112" i="2" s="1"/>
  <c r="H3113" i="2"/>
  <c r="I3113" i="2" s="1"/>
  <c r="G3113" i="2"/>
  <c r="J3113" i="2" s="1"/>
  <c r="H3114" i="2"/>
  <c r="I3114" i="2" s="1"/>
  <c r="G3114" i="2"/>
  <c r="J3114" i="2" s="1"/>
  <c r="H3115" i="2"/>
  <c r="I3115" i="2" s="1"/>
  <c r="G3115" i="2"/>
  <c r="J3115" i="2" s="1"/>
  <c r="H3116" i="2"/>
  <c r="I3116" i="2" s="1"/>
  <c r="G3116" i="2"/>
  <c r="J3116" i="2" s="1"/>
  <c r="H3117" i="2"/>
  <c r="I3117" i="2" s="1"/>
  <c r="G3117" i="2"/>
  <c r="J3117" i="2" s="1"/>
  <c r="H3118" i="2"/>
  <c r="I3118" i="2" s="1"/>
  <c r="G3118" i="2"/>
  <c r="J3118" i="2" s="1"/>
  <c r="H3119" i="2"/>
  <c r="I3119" i="2" s="1"/>
  <c r="G3119" i="2"/>
  <c r="J3119" i="2" s="1"/>
  <c r="H3120" i="2"/>
  <c r="I3120" i="2" s="1"/>
  <c r="G3120" i="2"/>
  <c r="J3120" i="2" s="1"/>
  <c r="H3121" i="2"/>
  <c r="I3121" i="2" s="1"/>
  <c r="G3121" i="2"/>
  <c r="J3121" i="2" s="1"/>
  <c r="H3122" i="2"/>
  <c r="I3122" i="2" s="1"/>
  <c r="G3122" i="2"/>
  <c r="J3122" i="2" s="1"/>
  <c r="H3123" i="2"/>
  <c r="I3123" i="2" s="1"/>
  <c r="G3123" i="2"/>
  <c r="J3123" i="2" s="1"/>
  <c r="H3124" i="2"/>
  <c r="I3124" i="2" s="1"/>
  <c r="G3124" i="2"/>
  <c r="J3124" i="2" s="1"/>
  <c r="H3125" i="2"/>
  <c r="I3125" i="2" s="1"/>
  <c r="G3125" i="2"/>
  <c r="J3125" i="2" s="1"/>
  <c r="H3126" i="2"/>
  <c r="I3126" i="2" s="1"/>
  <c r="G3126" i="2"/>
  <c r="J3126" i="2" s="1"/>
  <c r="H3127" i="2"/>
  <c r="I3127" i="2" s="1"/>
  <c r="G3127" i="2"/>
  <c r="J3127" i="2" s="1"/>
  <c r="H3128" i="2"/>
  <c r="I3128" i="2" s="1"/>
  <c r="G3128" i="2"/>
  <c r="J3128" i="2" s="1"/>
  <c r="H3129" i="2"/>
  <c r="I3129" i="2" s="1"/>
  <c r="G3129" i="2"/>
  <c r="J3129" i="2" s="1"/>
  <c r="H3130" i="2"/>
  <c r="I3130" i="2" s="1"/>
  <c r="G3130" i="2"/>
  <c r="J3130" i="2" s="1"/>
  <c r="H3131" i="2"/>
  <c r="I3131" i="2" s="1"/>
  <c r="G3131" i="2"/>
  <c r="J3131" i="2" s="1"/>
  <c r="H3132" i="2"/>
  <c r="I3132" i="2" s="1"/>
  <c r="G3132" i="2"/>
  <c r="J3132" i="2" s="1"/>
  <c r="H3133" i="2"/>
  <c r="I3133" i="2" s="1"/>
  <c r="G3133" i="2"/>
  <c r="J3133" i="2" s="1"/>
  <c r="H3134" i="2"/>
  <c r="I3134" i="2" s="1"/>
  <c r="G3134" i="2"/>
  <c r="J3134" i="2" s="1"/>
  <c r="H3135" i="2"/>
  <c r="I3135" i="2" s="1"/>
  <c r="G3135" i="2"/>
  <c r="J3135" i="2" s="1"/>
  <c r="H3136" i="2"/>
  <c r="I3136" i="2" s="1"/>
  <c r="G3136" i="2"/>
  <c r="J3136" i="2" s="1"/>
  <c r="H3137" i="2"/>
  <c r="I3137" i="2" s="1"/>
  <c r="G3137" i="2"/>
  <c r="J3137" i="2" s="1"/>
  <c r="H3138" i="2"/>
  <c r="I3138" i="2" s="1"/>
  <c r="G3138" i="2"/>
  <c r="J3138" i="2" s="1"/>
  <c r="H3139" i="2"/>
  <c r="I3139" i="2" s="1"/>
  <c r="G3139" i="2"/>
  <c r="J3139" i="2" s="1"/>
  <c r="H3140" i="2"/>
  <c r="I3140" i="2" s="1"/>
  <c r="G3140" i="2"/>
  <c r="J3140" i="2" s="1"/>
  <c r="H3141" i="2"/>
  <c r="I3141" i="2" s="1"/>
  <c r="G3141" i="2"/>
  <c r="J3141" i="2" s="1"/>
  <c r="H3142" i="2"/>
  <c r="I3142" i="2" s="1"/>
  <c r="G3142" i="2"/>
  <c r="J3142" i="2" s="1"/>
  <c r="H3143" i="2"/>
  <c r="I3143" i="2" s="1"/>
  <c r="G3143" i="2"/>
  <c r="J3143" i="2" s="1"/>
  <c r="H3144" i="2"/>
  <c r="I3144" i="2" s="1"/>
  <c r="G3144" i="2"/>
  <c r="J3144" i="2" s="1"/>
  <c r="H3145" i="2"/>
  <c r="I3145" i="2" s="1"/>
  <c r="G3145" i="2"/>
  <c r="J3145" i="2" s="1"/>
  <c r="H3146" i="2"/>
  <c r="I3146" i="2" s="1"/>
  <c r="G3146" i="2"/>
  <c r="J3146" i="2" s="1"/>
  <c r="H3147" i="2"/>
  <c r="I3147" i="2" s="1"/>
  <c r="G3147" i="2"/>
  <c r="J3147" i="2" s="1"/>
  <c r="H3148" i="2"/>
  <c r="I3148" i="2" s="1"/>
  <c r="G3148" i="2"/>
  <c r="J3148" i="2" s="1"/>
  <c r="H3149" i="2"/>
  <c r="I3149" i="2" s="1"/>
  <c r="G3149" i="2"/>
  <c r="J3149" i="2" s="1"/>
  <c r="H3150" i="2"/>
  <c r="I3150" i="2" s="1"/>
  <c r="G3150" i="2"/>
  <c r="J3150" i="2" s="1"/>
  <c r="H3151" i="2"/>
  <c r="I3151" i="2" s="1"/>
  <c r="G3151" i="2"/>
  <c r="J3151" i="2" s="1"/>
  <c r="H3152" i="2"/>
  <c r="I3152" i="2" s="1"/>
  <c r="G3152" i="2"/>
  <c r="J3152" i="2" s="1"/>
  <c r="H3153" i="2"/>
  <c r="I3153" i="2" s="1"/>
  <c r="G3153" i="2"/>
  <c r="J3153" i="2" s="1"/>
  <c r="H3154" i="2"/>
  <c r="I3154" i="2" s="1"/>
  <c r="G3154" i="2"/>
  <c r="J3154" i="2" s="1"/>
  <c r="H3155" i="2"/>
  <c r="I3155" i="2" s="1"/>
  <c r="G3155" i="2"/>
  <c r="J3155" i="2" s="1"/>
  <c r="H3156" i="2"/>
  <c r="I3156" i="2" s="1"/>
  <c r="G3156" i="2"/>
  <c r="J3156" i="2" s="1"/>
  <c r="H3157" i="2"/>
  <c r="I3157" i="2" s="1"/>
  <c r="G3157" i="2"/>
  <c r="J3157" i="2" s="1"/>
  <c r="H3158" i="2"/>
  <c r="I3158" i="2" s="1"/>
  <c r="G3158" i="2"/>
  <c r="J3158" i="2" s="1"/>
  <c r="H3159" i="2"/>
  <c r="I3159" i="2" s="1"/>
  <c r="G3159" i="2"/>
  <c r="J3159" i="2" s="1"/>
  <c r="H3160" i="2"/>
  <c r="I3160" i="2" s="1"/>
  <c r="G3160" i="2"/>
  <c r="J3160" i="2" s="1"/>
  <c r="H3161" i="2"/>
  <c r="I3161" i="2" s="1"/>
  <c r="G3161" i="2"/>
  <c r="J3161" i="2" s="1"/>
  <c r="H3162" i="2"/>
  <c r="I3162" i="2" s="1"/>
  <c r="G3162" i="2"/>
  <c r="J3162" i="2" s="1"/>
  <c r="H3163" i="2"/>
  <c r="I3163" i="2" s="1"/>
  <c r="G3163" i="2"/>
  <c r="J3163" i="2" s="1"/>
  <c r="H3164" i="2"/>
  <c r="I3164" i="2" s="1"/>
  <c r="G3164" i="2"/>
  <c r="J3164" i="2" s="1"/>
  <c r="H3165" i="2"/>
  <c r="I3165" i="2" s="1"/>
  <c r="G3165" i="2"/>
  <c r="J3165" i="2" s="1"/>
  <c r="H3166" i="2"/>
  <c r="I3166" i="2" s="1"/>
  <c r="G3166" i="2"/>
  <c r="J3166" i="2" s="1"/>
  <c r="H3167" i="2"/>
  <c r="I3167" i="2" s="1"/>
  <c r="G3167" i="2"/>
  <c r="J3167" i="2" s="1"/>
  <c r="H3168" i="2"/>
  <c r="I3168" i="2" s="1"/>
  <c r="G3168" i="2"/>
  <c r="J3168" i="2" s="1"/>
  <c r="H3169" i="2"/>
  <c r="I3169" i="2" s="1"/>
  <c r="G3169" i="2"/>
  <c r="J3169" i="2" s="1"/>
  <c r="H3170" i="2"/>
  <c r="I3170" i="2" s="1"/>
  <c r="G3170" i="2"/>
  <c r="J3170" i="2" s="1"/>
  <c r="H3171" i="2"/>
  <c r="I3171" i="2" s="1"/>
  <c r="G3171" i="2"/>
  <c r="J3171" i="2" s="1"/>
  <c r="H3172" i="2"/>
  <c r="I3172" i="2" s="1"/>
  <c r="G3172" i="2"/>
  <c r="J3172" i="2" s="1"/>
  <c r="H3173" i="2"/>
  <c r="I3173" i="2" s="1"/>
  <c r="G3173" i="2"/>
  <c r="J3173" i="2" s="1"/>
  <c r="H3174" i="2"/>
  <c r="I3174" i="2" s="1"/>
  <c r="G3174" i="2"/>
  <c r="J3174" i="2" s="1"/>
  <c r="H3175" i="2"/>
  <c r="I3175" i="2" s="1"/>
  <c r="G3175" i="2"/>
  <c r="J3175" i="2" s="1"/>
  <c r="H3176" i="2"/>
  <c r="I3176" i="2" s="1"/>
  <c r="G3176" i="2"/>
  <c r="J3176" i="2" s="1"/>
  <c r="H3177" i="2"/>
  <c r="I3177" i="2" s="1"/>
  <c r="G3177" i="2"/>
  <c r="J3177" i="2" s="1"/>
  <c r="H3178" i="2"/>
  <c r="I3178" i="2" s="1"/>
  <c r="G3178" i="2"/>
  <c r="J3178" i="2" s="1"/>
  <c r="H3179" i="2"/>
  <c r="I3179" i="2" s="1"/>
  <c r="G3179" i="2"/>
  <c r="J3179" i="2" s="1"/>
  <c r="H3180" i="2"/>
  <c r="I3180" i="2" s="1"/>
  <c r="G3180" i="2"/>
  <c r="J3180" i="2" s="1"/>
  <c r="H3181" i="2"/>
  <c r="I3181" i="2" s="1"/>
  <c r="G3181" i="2"/>
  <c r="J3181" i="2" s="1"/>
  <c r="H3182" i="2"/>
  <c r="I3182" i="2" s="1"/>
  <c r="G3182" i="2"/>
  <c r="J3182" i="2" s="1"/>
  <c r="H3183" i="2"/>
  <c r="I3183" i="2" s="1"/>
  <c r="G3183" i="2"/>
  <c r="J3183" i="2" s="1"/>
  <c r="H3184" i="2"/>
  <c r="I3184" i="2" s="1"/>
  <c r="G3184" i="2"/>
  <c r="J3184" i="2" s="1"/>
  <c r="H3185" i="2"/>
  <c r="I3185" i="2" s="1"/>
  <c r="G3185" i="2"/>
  <c r="J3185" i="2" s="1"/>
  <c r="H3186" i="2"/>
  <c r="I3186" i="2" s="1"/>
  <c r="G3186" i="2"/>
  <c r="J3186" i="2" s="1"/>
  <c r="H3187" i="2"/>
  <c r="I3187" i="2" s="1"/>
  <c r="G3187" i="2"/>
  <c r="J3187" i="2" s="1"/>
  <c r="H3188" i="2"/>
  <c r="I3188" i="2" s="1"/>
  <c r="G3188" i="2"/>
  <c r="J3188" i="2" s="1"/>
  <c r="H3189" i="2"/>
  <c r="I3189" i="2" s="1"/>
  <c r="G3189" i="2"/>
  <c r="J3189" i="2" s="1"/>
  <c r="H3190" i="2"/>
  <c r="I3190" i="2" s="1"/>
  <c r="G3190" i="2"/>
  <c r="J3190" i="2" s="1"/>
  <c r="H3191" i="2"/>
  <c r="I3191" i="2" s="1"/>
  <c r="G3191" i="2"/>
  <c r="J3191" i="2" s="1"/>
  <c r="H3192" i="2"/>
  <c r="I3192" i="2" s="1"/>
  <c r="G3192" i="2"/>
  <c r="J3192" i="2" s="1"/>
  <c r="H3193" i="2"/>
  <c r="I3193" i="2" s="1"/>
  <c r="G3193" i="2"/>
  <c r="J3193" i="2" s="1"/>
  <c r="H3194" i="2"/>
  <c r="I3194" i="2" s="1"/>
  <c r="G3194" i="2"/>
  <c r="J3194" i="2" s="1"/>
  <c r="H3195" i="2"/>
  <c r="I3195" i="2" s="1"/>
  <c r="G3195" i="2"/>
  <c r="J3195" i="2" s="1"/>
  <c r="H3196" i="2"/>
  <c r="I3196" i="2" s="1"/>
  <c r="G3196" i="2"/>
  <c r="J3196" i="2" s="1"/>
  <c r="H3197" i="2"/>
  <c r="I3197" i="2" s="1"/>
  <c r="G3197" i="2"/>
  <c r="J3197" i="2" s="1"/>
  <c r="H3198" i="2"/>
  <c r="I3198" i="2" s="1"/>
  <c r="G3198" i="2"/>
  <c r="J3198" i="2" s="1"/>
  <c r="H3199" i="2"/>
  <c r="I3199" i="2" s="1"/>
  <c r="G3199" i="2"/>
  <c r="J3199" i="2" s="1"/>
  <c r="H3200" i="2"/>
  <c r="I3200" i="2" s="1"/>
  <c r="G3200" i="2"/>
  <c r="J3200" i="2" s="1"/>
  <c r="H3201" i="2"/>
  <c r="I3201" i="2" s="1"/>
  <c r="G3201" i="2"/>
  <c r="J3201" i="2" s="1"/>
  <c r="H3202" i="2"/>
  <c r="I3202" i="2" s="1"/>
  <c r="G3202" i="2"/>
  <c r="J3202" i="2" s="1"/>
  <c r="H3203" i="2"/>
  <c r="I3203" i="2" s="1"/>
  <c r="G3203" i="2"/>
  <c r="J3203" i="2" s="1"/>
  <c r="H3204" i="2"/>
  <c r="I3204" i="2" s="1"/>
  <c r="G3204" i="2"/>
  <c r="J3204" i="2" s="1"/>
  <c r="H3205" i="2"/>
  <c r="I3205" i="2" s="1"/>
  <c r="G3205" i="2"/>
  <c r="J3205" i="2" s="1"/>
  <c r="H3206" i="2"/>
  <c r="I3206" i="2" s="1"/>
  <c r="G3206" i="2"/>
  <c r="J3206" i="2" s="1"/>
  <c r="H3207" i="2"/>
  <c r="I3207" i="2" s="1"/>
  <c r="G3207" i="2"/>
  <c r="J3207" i="2" s="1"/>
  <c r="H3208" i="2"/>
  <c r="I3208" i="2" s="1"/>
  <c r="G3208" i="2"/>
  <c r="J3208" i="2" s="1"/>
  <c r="H3209" i="2"/>
  <c r="I3209" i="2" s="1"/>
  <c r="G3209" i="2"/>
  <c r="J3209" i="2" s="1"/>
  <c r="H3210" i="2"/>
  <c r="I3210" i="2" s="1"/>
  <c r="G3210" i="2"/>
  <c r="J3210" i="2" s="1"/>
  <c r="H3211" i="2"/>
  <c r="I3211" i="2" s="1"/>
  <c r="G3211" i="2"/>
  <c r="J3211" i="2" s="1"/>
  <c r="H3212" i="2"/>
  <c r="I3212" i="2" s="1"/>
  <c r="G3212" i="2"/>
  <c r="J3212" i="2" s="1"/>
  <c r="H3213" i="2"/>
  <c r="I3213" i="2" s="1"/>
  <c r="G3213" i="2"/>
  <c r="J3213" i="2" s="1"/>
  <c r="H3214" i="2"/>
  <c r="I3214" i="2" s="1"/>
  <c r="G3214" i="2"/>
  <c r="J3214" i="2" s="1"/>
  <c r="H3215" i="2"/>
  <c r="I3215" i="2" s="1"/>
  <c r="G3215" i="2"/>
  <c r="J3215" i="2" s="1"/>
  <c r="H3216" i="2"/>
  <c r="I3216" i="2" s="1"/>
  <c r="G3216" i="2"/>
  <c r="J3216" i="2" s="1"/>
  <c r="H3217" i="2"/>
  <c r="I3217" i="2" s="1"/>
  <c r="G3217" i="2"/>
  <c r="J3217" i="2" s="1"/>
  <c r="H3218" i="2"/>
  <c r="I3218" i="2" s="1"/>
  <c r="G3218" i="2"/>
  <c r="J3218" i="2" s="1"/>
  <c r="H3219" i="2"/>
  <c r="I3219" i="2" s="1"/>
  <c r="G3219" i="2"/>
  <c r="J3219" i="2" s="1"/>
  <c r="H3220" i="2"/>
  <c r="I3220" i="2" s="1"/>
  <c r="G3220" i="2"/>
  <c r="J3220" i="2" s="1"/>
  <c r="H3221" i="2"/>
  <c r="I3221" i="2" s="1"/>
  <c r="G3221" i="2"/>
  <c r="J3221" i="2" s="1"/>
  <c r="H3222" i="2"/>
  <c r="I3222" i="2" s="1"/>
  <c r="G3222" i="2"/>
  <c r="J3222" i="2" s="1"/>
  <c r="H3223" i="2"/>
  <c r="I3223" i="2" s="1"/>
  <c r="G3223" i="2"/>
  <c r="J3223" i="2" s="1"/>
  <c r="H3224" i="2"/>
  <c r="I3224" i="2" s="1"/>
  <c r="G3224" i="2"/>
  <c r="J3224" i="2" s="1"/>
  <c r="H3225" i="2"/>
  <c r="I3225" i="2" s="1"/>
  <c r="G3225" i="2"/>
  <c r="J3225" i="2" s="1"/>
  <c r="H3226" i="2"/>
  <c r="I3226" i="2" s="1"/>
  <c r="G3226" i="2"/>
  <c r="J3226" i="2" s="1"/>
  <c r="H3227" i="2"/>
  <c r="I3227" i="2" s="1"/>
  <c r="G3227" i="2"/>
  <c r="J3227" i="2" s="1"/>
  <c r="H3228" i="2"/>
  <c r="I3228" i="2" s="1"/>
  <c r="G3228" i="2"/>
  <c r="J3228" i="2" s="1"/>
  <c r="H3229" i="2"/>
  <c r="I3229" i="2" s="1"/>
  <c r="G3229" i="2"/>
  <c r="J3229" i="2" s="1"/>
  <c r="H3230" i="2"/>
  <c r="I3230" i="2" s="1"/>
  <c r="G3230" i="2"/>
  <c r="J3230" i="2" s="1"/>
  <c r="H3231" i="2"/>
  <c r="I3231" i="2" s="1"/>
  <c r="G3231" i="2"/>
  <c r="J3231" i="2" s="1"/>
  <c r="H3232" i="2"/>
  <c r="I3232" i="2" s="1"/>
  <c r="G3232" i="2"/>
  <c r="J3232" i="2" s="1"/>
  <c r="H3233" i="2"/>
  <c r="I3233" i="2" s="1"/>
  <c r="G3233" i="2"/>
  <c r="J3233" i="2" s="1"/>
  <c r="H3234" i="2"/>
  <c r="I3234" i="2" s="1"/>
  <c r="G3234" i="2"/>
  <c r="J3234" i="2" s="1"/>
  <c r="H3235" i="2"/>
  <c r="I3235" i="2" s="1"/>
  <c r="G3235" i="2"/>
  <c r="J3235" i="2" s="1"/>
  <c r="H3236" i="2"/>
  <c r="I3236" i="2" s="1"/>
  <c r="G3236" i="2"/>
  <c r="J3236" i="2" s="1"/>
  <c r="H3237" i="2"/>
  <c r="I3237" i="2" s="1"/>
  <c r="G3237" i="2"/>
  <c r="J3237" i="2" s="1"/>
  <c r="H3238" i="2"/>
  <c r="I3238" i="2" s="1"/>
  <c r="G3238" i="2"/>
  <c r="J3238" i="2" s="1"/>
  <c r="H3239" i="2"/>
  <c r="I3239" i="2" s="1"/>
  <c r="G3239" i="2"/>
  <c r="J3239" i="2" s="1"/>
  <c r="H3240" i="2"/>
  <c r="I3240" i="2" s="1"/>
  <c r="G3240" i="2"/>
  <c r="J3240" i="2" s="1"/>
  <c r="H3241" i="2"/>
  <c r="I3241" i="2" s="1"/>
  <c r="G3241" i="2"/>
  <c r="J3241" i="2" s="1"/>
  <c r="H3242" i="2"/>
  <c r="I3242" i="2" s="1"/>
  <c r="G3242" i="2"/>
  <c r="J3242" i="2" s="1"/>
  <c r="H3243" i="2"/>
  <c r="I3243" i="2" s="1"/>
  <c r="G3243" i="2"/>
  <c r="J3243" i="2" s="1"/>
  <c r="H3244" i="2"/>
  <c r="I3244" i="2" s="1"/>
  <c r="G3244" i="2"/>
  <c r="J3244" i="2" s="1"/>
  <c r="H3245" i="2"/>
  <c r="I3245" i="2" s="1"/>
  <c r="G3245" i="2"/>
  <c r="J3245" i="2" s="1"/>
  <c r="H3246" i="2"/>
  <c r="I3246" i="2" s="1"/>
  <c r="G3246" i="2"/>
  <c r="J3246" i="2" s="1"/>
  <c r="H3247" i="2"/>
  <c r="I3247" i="2" s="1"/>
  <c r="G3247" i="2"/>
  <c r="J3247" i="2" s="1"/>
  <c r="H3248" i="2"/>
  <c r="I3248" i="2" s="1"/>
  <c r="G3248" i="2"/>
  <c r="J3248" i="2" s="1"/>
  <c r="H3249" i="2"/>
  <c r="I3249" i="2" s="1"/>
  <c r="G3249" i="2"/>
  <c r="J3249" i="2" s="1"/>
  <c r="H3250" i="2"/>
  <c r="I3250" i="2" s="1"/>
  <c r="G3250" i="2"/>
  <c r="J3250" i="2" s="1"/>
  <c r="H3251" i="2"/>
  <c r="I3251" i="2" s="1"/>
  <c r="G3251" i="2"/>
  <c r="J3251" i="2" s="1"/>
  <c r="H3252" i="2"/>
  <c r="I3252" i="2" s="1"/>
  <c r="G3252" i="2"/>
  <c r="J3252" i="2" s="1"/>
  <c r="H3253" i="2"/>
  <c r="I3253" i="2" s="1"/>
  <c r="G3253" i="2"/>
  <c r="J3253" i="2" s="1"/>
  <c r="H3254" i="2"/>
  <c r="I3254" i="2" s="1"/>
  <c r="G3254" i="2"/>
  <c r="J3254" i="2" s="1"/>
  <c r="H3255" i="2"/>
  <c r="I3255" i="2" s="1"/>
  <c r="G3255" i="2"/>
  <c r="J3255" i="2" s="1"/>
  <c r="H3256" i="2"/>
  <c r="I3256" i="2" s="1"/>
  <c r="G3256" i="2"/>
  <c r="J3256" i="2" s="1"/>
  <c r="H3257" i="2"/>
  <c r="I3257" i="2" s="1"/>
  <c r="G3257" i="2"/>
  <c r="J3257" i="2" s="1"/>
  <c r="H3258" i="2"/>
  <c r="I3258" i="2" s="1"/>
  <c r="G3258" i="2"/>
  <c r="J3258" i="2" s="1"/>
  <c r="H3259" i="2"/>
  <c r="I3259" i="2" s="1"/>
  <c r="G3259" i="2"/>
  <c r="J3259" i="2" s="1"/>
  <c r="H3260" i="2"/>
  <c r="I3260" i="2" s="1"/>
  <c r="G3260" i="2"/>
  <c r="J3260" i="2" s="1"/>
  <c r="H3261" i="2"/>
  <c r="I3261" i="2" s="1"/>
  <c r="G3261" i="2"/>
  <c r="J3261" i="2" s="1"/>
  <c r="H3262" i="2"/>
  <c r="I3262" i="2" s="1"/>
  <c r="G3262" i="2"/>
  <c r="J3262" i="2" s="1"/>
  <c r="H3263" i="2"/>
  <c r="I3263" i="2" s="1"/>
  <c r="G3263" i="2"/>
  <c r="J3263" i="2" s="1"/>
  <c r="H3264" i="2"/>
  <c r="I3264" i="2" s="1"/>
  <c r="G3264" i="2"/>
  <c r="J3264" i="2" s="1"/>
  <c r="H3265" i="2"/>
  <c r="I3265" i="2" s="1"/>
  <c r="G3265" i="2"/>
  <c r="J3265" i="2" s="1"/>
  <c r="H3266" i="2"/>
  <c r="I3266" i="2" s="1"/>
  <c r="G3266" i="2"/>
  <c r="J3266" i="2" s="1"/>
  <c r="H3267" i="2"/>
  <c r="I3267" i="2" s="1"/>
  <c r="G3267" i="2"/>
  <c r="J3267" i="2" s="1"/>
  <c r="H3268" i="2"/>
  <c r="I3268" i="2" s="1"/>
  <c r="G3268" i="2"/>
  <c r="J3268" i="2" s="1"/>
  <c r="H3269" i="2"/>
  <c r="I3269" i="2" s="1"/>
  <c r="G3269" i="2"/>
  <c r="J3269" i="2" s="1"/>
  <c r="H3270" i="2"/>
  <c r="I3270" i="2" s="1"/>
  <c r="G3270" i="2"/>
  <c r="J3270" i="2" s="1"/>
  <c r="H3271" i="2"/>
  <c r="I3271" i="2" s="1"/>
  <c r="G3271" i="2"/>
  <c r="J3271" i="2" s="1"/>
  <c r="H3272" i="2"/>
  <c r="I3272" i="2" s="1"/>
  <c r="G3272" i="2"/>
  <c r="J3272" i="2" s="1"/>
  <c r="H3273" i="2"/>
  <c r="I3273" i="2" s="1"/>
  <c r="G3273" i="2"/>
  <c r="J3273" i="2" s="1"/>
  <c r="H3274" i="2"/>
  <c r="I3274" i="2" s="1"/>
  <c r="G3274" i="2"/>
  <c r="J3274" i="2" s="1"/>
  <c r="H3275" i="2"/>
  <c r="I3275" i="2" s="1"/>
  <c r="G3275" i="2"/>
  <c r="J3275" i="2" s="1"/>
  <c r="H3276" i="2"/>
  <c r="I3276" i="2" s="1"/>
  <c r="G3276" i="2"/>
  <c r="J3276" i="2" s="1"/>
  <c r="H3277" i="2"/>
  <c r="I3277" i="2" s="1"/>
  <c r="G3277" i="2"/>
  <c r="J3277" i="2" s="1"/>
  <c r="H3278" i="2"/>
  <c r="I3278" i="2" s="1"/>
  <c r="G3278" i="2"/>
  <c r="J3278" i="2" s="1"/>
  <c r="H3279" i="2"/>
  <c r="I3279" i="2" s="1"/>
  <c r="G3279" i="2"/>
  <c r="J3279" i="2" s="1"/>
  <c r="H3280" i="2"/>
  <c r="I3280" i="2" s="1"/>
  <c r="G3280" i="2"/>
  <c r="J3280" i="2" s="1"/>
  <c r="H3281" i="2"/>
  <c r="I3281" i="2" s="1"/>
  <c r="G3281" i="2"/>
  <c r="J3281" i="2" s="1"/>
  <c r="H3282" i="2"/>
  <c r="I3282" i="2" s="1"/>
  <c r="G3282" i="2"/>
  <c r="J3282" i="2" s="1"/>
  <c r="H3283" i="2"/>
  <c r="I3283" i="2" s="1"/>
  <c r="G3283" i="2"/>
  <c r="J3283" i="2" s="1"/>
  <c r="H3284" i="2"/>
  <c r="I3284" i="2" s="1"/>
  <c r="G3284" i="2"/>
  <c r="J3284" i="2" s="1"/>
  <c r="H3285" i="2"/>
  <c r="I3285" i="2" s="1"/>
  <c r="G3285" i="2"/>
  <c r="J3285" i="2" s="1"/>
  <c r="H3286" i="2"/>
  <c r="I3286" i="2" s="1"/>
  <c r="G3286" i="2"/>
  <c r="J3286" i="2" s="1"/>
  <c r="H3287" i="2"/>
  <c r="I3287" i="2" s="1"/>
  <c r="G3287" i="2"/>
  <c r="J3287" i="2" s="1"/>
  <c r="H3288" i="2"/>
  <c r="I3288" i="2" s="1"/>
  <c r="G3288" i="2"/>
  <c r="J3288" i="2" s="1"/>
  <c r="H3289" i="2"/>
  <c r="I3289" i="2" s="1"/>
  <c r="G3289" i="2"/>
  <c r="J3289" i="2" s="1"/>
  <c r="H3290" i="2"/>
  <c r="I3290" i="2" s="1"/>
  <c r="G3290" i="2"/>
  <c r="J3290" i="2" s="1"/>
  <c r="H3291" i="2"/>
  <c r="I3291" i="2" s="1"/>
  <c r="G3291" i="2"/>
  <c r="J3291" i="2" s="1"/>
  <c r="H3292" i="2"/>
  <c r="I3292" i="2" s="1"/>
  <c r="G3292" i="2"/>
  <c r="J3292" i="2" s="1"/>
  <c r="H3293" i="2"/>
  <c r="I3293" i="2" s="1"/>
  <c r="G3293" i="2"/>
  <c r="J3293" i="2" s="1"/>
  <c r="H3294" i="2"/>
  <c r="I3294" i="2" s="1"/>
  <c r="G3294" i="2"/>
  <c r="J3294" i="2" s="1"/>
  <c r="H3295" i="2"/>
  <c r="I3295" i="2" s="1"/>
  <c r="G3295" i="2"/>
  <c r="J3295" i="2" s="1"/>
  <c r="H3296" i="2"/>
  <c r="I3296" i="2" s="1"/>
  <c r="G3296" i="2"/>
  <c r="J3296" i="2" s="1"/>
  <c r="H3297" i="2"/>
  <c r="I3297" i="2" s="1"/>
  <c r="G3297" i="2"/>
  <c r="J3297" i="2" s="1"/>
  <c r="H3298" i="2"/>
  <c r="I3298" i="2" s="1"/>
  <c r="G3298" i="2"/>
  <c r="J3298" i="2" s="1"/>
  <c r="H3299" i="2"/>
  <c r="I3299" i="2" s="1"/>
  <c r="G3299" i="2"/>
  <c r="J3299" i="2" s="1"/>
  <c r="H3300" i="2"/>
  <c r="I3300" i="2" s="1"/>
  <c r="G3300" i="2"/>
  <c r="J3300" i="2" s="1"/>
  <c r="H3301" i="2"/>
  <c r="I3301" i="2" s="1"/>
  <c r="G3301" i="2"/>
  <c r="J3301" i="2" s="1"/>
  <c r="H3302" i="2"/>
  <c r="I3302" i="2" s="1"/>
  <c r="G3302" i="2"/>
  <c r="J3302" i="2" s="1"/>
  <c r="H3303" i="2"/>
  <c r="I3303" i="2" s="1"/>
  <c r="G3303" i="2"/>
  <c r="J3303" i="2" s="1"/>
  <c r="H3304" i="2"/>
  <c r="I3304" i="2" s="1"/>
  <c r="G3304" i="2"/>
  <c r="J3304" i="2" s="1"/>
  <c r="H3305" i="2"/>
  <c r="I3305" i="2" s="1"/>
  <c r="G3305" i="2"/>
  <c r="J3305" i="2" s="1"/>
  <c r="H3306" i="2"/>
  <c r="I3306" i="2" s="1"/>
  <c r="G3306" i="2"/>
  <c r="J3306" i="2" s="1"/>
  <c r="H3307" i="2"/>
  <c r="I3307" i="2" s="1"/>
  <c r="G3307" i="2"/>
  <c r="J3307" i="2" s="1"/>
  <c r="H3308" i="2"/>
  <c r="I3308" i="2" s="1"/>
  <c r="G3308" i="2"/>
  <c r="J3308" i="2" s="1"/>
  <c r="H3309" i="2"/>
  <c r="I3309" i="2" s="1"/>
  <c r="G3309" i="2"/>
  <c r="J3309" i="2" s="1"/>
  <c r="H3310" i="2"/>
  <c r="I3310" i="2" s="1"/>
  <c r="G3310" i="2"/>
  <c r="J3310" i="2" s="1"/>
  <c r="H3311" i="2"/>
  <c r="I3311" i="2" s="1"/>
  <c r="G3311" i="2"/>
  <c r="J3311" i="2" s="1"/>
  <c r="H3312" i="2"/>
  <c r="I3312" i="2" s="1"/>
  <c r="G3312" i="2"/>
  <c r="J3312" i="2" s="1"/>
  <c r="H3313" i="2"/>
  <c r="I3313" i="2" s="1"/>
  <c r="G3313" i="2"/>
  <c r="J3313" i="2" s="1"/>
  <c r="H3314" i="2"/>
  <c r="I3314" i="2" s="1"/>
  <c r="G3314" i="2"/>
  <c r="J3314" i="2" s="1"/>
  <c r="H3315" i="2"/>
  <c r="I3315" i="2" s="1"/>
  <c r="G3315" i="2"/>
  <c r="J3315" i="2" s="1"/>
  <c r="H3316" i="2"/>
  <c r="I3316" i="2" s="1"/>
  <c r="G3316" i="2"/>
  <c r="J3316" i="2" s="1"/>
  <c r="H3317" i="2"/>
  <c r="I3317" i="2" s="1"/>
  <c r="G3317" i="2"/>
  <c r="J3317" i="2" s="1"/>
  <c r="H3318" i="2"/>
  <c r="I3318" i="2" s="1"/>
  <c r="G3318" i="2"/>
  <c r="J3318" i="2" s="1"/>
  <c r="H3319" i="2"/>
  <c r="I3319" i="2" s="1"/>
  <c r="G3319" i="2"/>
  <c r="J3319" i="2" s="1"/>
  <c r="H3320" i="2"/>
  <c r="I3320" i="2" s="1"/>
  <c r="G3320" i="2"/>
  <c r="J3320" i="2" s="1"/>
  <c r="H3321" i="2"/>
  <c r="I3321" i="2" s="1"/>
  <c r="G3321" i="2"/>
  <c r="J3321" i="2" s="1"/>
  <c r="H3322" i="2"/>
  <c r="I3322" i="2" s="1"/>
  <c r="G3322" i="2"/>
  <c r="J3322" i="2" s="1"/>
  <c r="H3323" i="2"/>
  <c r="I3323" i="2" s="1"/>
  <c r="G3323" i="2"/>
  <c r="J3323" i="2" s="1"/>
  <c r="H3324" i="2"/>
  <c r="I3324" i="2" s="1"/>
  <c r="G3324" i="2"/>
  <c r="J3324" i="2" s="1"/>
  <c r="H3325" i="2"/>
  <c r="I3325" i="2" s="1"/>
  <c r="G3325" i="2"/>
  <c r="J3325" i="2" s="1"/>
  <c r="H3326" i="2"/>
  <c r="I3326" i="2" s="1"/>
  <c r="G3326" i="2"/>
  <c r="J3326" i="2" s="1"/>
  <c r="H3327" i="2"/>
  <c r="I3327" i="2" s="1"/>
  <c r="G3327" i="2"/>
  <c r="J3327" i="2" s="1"/>
  <c r="H3328" i="2"/>
  <c r="I3328" i="2" s="1"/>
  <c r="G3328" i="2"/>
  <c r="J3328" i="2" s="1"/>
  <c r="H3329" i="2"/>
  <c r="I3329" i="2" s="1"/>
  <c r="G3329" i="2"/>
  <c r="J3329" i="2" s="1"/>
  <c r="H3330" i="2"/>
  <c r="I3330" i="2" s="1"/>
  <c r="G3330" i="2"/>
  <c r="J3330" i="2" s="1"/>
  <c r="H3331" i="2"/>
  <c r="I3331" i="2" s="1"/>
  <c r="G3331" i="2"/>
  <c r="J3331" i="2" s="1"/>
  <c r="H3332" i="2"/>
  <c r="I3332" i="2" s="1"/>
  <c r="G3332" i="2"/>
  <c r="J3332" i="2" s="1"/>
  <c r="H3333" i="2"/>
  <c r="I3333" i="2" s="1"/>
  <c r="G3333" i="2"/>
  <c r="J3333" i="2" s="1"/>
  <c r="H3334" i="2"/>
  <c r="I3334" i="2" s="1"/>
  <c r="G3334" i="2"/>
  <c r="J3334" i="2" s="1"/>
  <c r="H3335" i="2"/>
  <c r="I3335" i="2" s="1"/>
  <c r="G3335" i="2"/>
  <c r="J3335" i="2" s="1"/>
  <c r="H3336" i="2"/>
  <c r="I3336" i="2" s="1"/>
  <c r="G3336" i="2"/>
  <c r="J3336" i="2" s="1"/>
  <c r="H3337" i="2"/>
  <c r="I3337" i="2" s="1"/>
  <c r="G3337" i="2"/>
  <c r="J3337" i="2" s="1"/>
  <c r="H3338" i="2"/>
  <c r="I3338" i="2" s="1"/>
  <c r="G3338" i="2"/>
  <c r="J3338" i="2" s="1"/>
  <c r="H3339" i="2"/>
  <c r="I3339" i="2" s="1"/>
  <c r="G3339" i="2"/>
  <c r="J3339" i="2" s="1"/>
  <c r="H3340" i="2"/>
  <c r="I3340" i="2" s="1"/>
  <c r="G3340" i="2"/>
  <c r="J3340" i="2" s="1"/>
  <c r="H3341" i="2"/>
  <c r="I3341" i="2" s="1"/>
  <c r="G3341" i="2"/>
  <c r="J3341" i="2" s="1"/>
  <c r="H3342" i="2"/>
  <c r="I3342" i="2" s="1"/>
  <c r="G3342" i="2"/>
  <c r="J3342" i="2" s="1"/>
  <c r="H3343" i="2"/>
  <c r="I3343" i="2" s="1"/>
  <c r="G3343" i="2"/>
  <c r="J3343" i="2" s="1"/>
  <c r="H3344" i="2"/>
  <c r="I3344" i="2" s="1"/>
  <c r="G3344" i="2"/>
  <c r="J3344" i="2" s="1"/>
  <c r="H3345" i="2"/>
  <c r="I3345" i="2" s="1"/>
  <c r="G3345" i="2"/>
  <c r="J3345" i="2" s="1"/>
  <c r="H3346" i="2"/>
  <c r="I3346" i="2" s="1"/>
  <c r="G3346" i="2"/>
  <c r="J3346" i="2" s="1"/>
  <c r="H3347" i="2"/>
  <c r="I3347" i="2" s="1"/>
  <c r="G3347" i="2"/>
  <c r="J3347" i="2" s="1"/>
  <c r="H3348" i="2"/>
  <c r="I3348" i="2" s="1"/>
  <c r="G3348" i="2"/>
  <c r="J3348" i="2" s="1"/>
  <c r="H3349" i="2"/>
  <c r="I3349" i="2" s="1"/>
  <c r="G3349" i="2"/>
  <c r="J3349" i="2" s="1"/>
  <c r="H3350" i="2"/>
  <c r="I3350" i="2" s="1"/>
  <c r="G3350" i="2"/>
  <c r="J3350" i="2" s="1"/>
  <c r="H3351" i="2"/>
  <c r="I3351" i="2" s="1"/>
  <c r="G3351" i="2"/>
  <c r="J3351" i="2" s="1"/>
  <c r="H3352" i="2"/>
  <c r="I3352" i="2" s="1"/>
  <c r="G3352" i="2"/>
  <c r="J3352" i="2" s="1"/>
  <c r="H3353" i="2"/>
  <c r="I3353" i="2" s="1"/>
  <c r="G3353" i="2"/>
  <c r="J3353" i="2" s="1"/>
  <c r="H3354" i="2"/>
  <c r="I3354" i="2" s="1"/>
  <c r="G3354" i="2"/>
  <c r="J3354" i="2" s="1"/>
  <c r="H3355" i="2"/>
  <c r="I3355" i="2" s="1"/>
  <c r="G3355" i="2"/>
  <c r="J3355" i="2" s="1"/>
  <c r="H3356" i="2"/>
  <c r="I3356" i="2" s="1"/>
  <c r="G3356" i="2"/>
  <c r="J3356" i="2" s="1"/>
  <c r="H3357" i="2"/>
  <c r="I3357" i="2" s="1"/>
  <c r="G3357" i="2"/>
  <c r="J3357" i="2" s="1"/>
  <c r="H3358" i="2"/>
  <c r="I3358" i="2" s="1"/>
  <c r="G3358" i="2"/>
  <c r="J3358" i="2" s="1"/>
  <c r="H3359" i="2"/>
  <c r="I3359" i="2" s="1"/>
  <c r="G3359" i="2"/>
  <c r="J3359" i="2" s="1"/>
  <c r="H3360" i="2"/>
  <c r="I3360" i="2" s="1"/>
  <c r="G3360" i="2"/>
  <c r="J3360" i="2" s="1"/>
  <c r="H3361" i="2"/>
  <c r="I3361" i="2" s="1"/>
  <c r="G3361" i="2"/>
  <c r="J3361" i="2" s="1"/>
  <c r="H3362" i="2"/>
  <c r="I3362" i="2" s="1"/>
  <c r="G3362" i="2"/>
  <c r="J3362" i="2" s="1"/>
  <c r="H3363" i="2"/>
  <c r="I3363" i="2" s="1"/>
  <c r="G3363" i="2"/>
  <c r="J3363" i="2" s="1"/>
  <c r="H3364" i="2"/>
  <c r="I3364" i="2" s="1"/>
  <c r="G3364" i="2"/>
  <c r="J3364" i="2" s="1"/>
  <c r="H3365" i="2"/>
  <c r="I3365" i="2" s="1"/>
  <c r="G3365" i="2"/>
  <c r="J3365" i="2" s="1"/>
  <c r="H3366" i="2"/>
  <c r="I3366" i="2" s="1"/>
  <c r="G3366" i="2"/>
  <c r="J3366" i="2" s="1"/>
  <c r="H3367" i="2"/>
  <c r="I3367" i="2" s="1"/>
  <c r="G3367" i="2"/>
  <c r="J3367" i="2" s="1"/>
  <c r="H3368" i="2"/>
  <c r="I3368" i="2" s="1"/>
  <c r="G3368" i="2"/>
  <c r="J3368" i="2" s="1"/>
  <c r="H3369" i="2"/>
  <c r="I3369" i="2" s="1"/>
  <c r="G3369" i="2"/>
  <c r="J3369" i="2" s="1"/>
  <c r="H3370" i="2"/>
  <c r="I3370" i="2" s="1"/>
  <c r="G3370" i="2"/>
  <c r="J3370" i="2" s="1"/>
  <c r="H3371" i="2"/>
  <c r="I3371" i="2" s="1"/>
  <c r="G3371" i="2"/>
  <c r="J3371" i="2" s="1"/>
  <c r="H3372" i="2"/>
  <c r="I3372" i="2" s="1"/>
  <c r="G3372" i="2"/>
  <c r="J3372" i="2" s="1"/>
  <c r="H3373" i="2"/>
  <c r="I3373" i="2" s="1"/>
  <c r="G3373" i="2"/>
  <c r="J3373" i="2" s="1"/>
  <c r="H3374" i="2"/>
  <c r="I3374" i="2" s="1"/>
  <c r="G3374" i="2"/>
  <c r="J3374" i="2" s="1"/>
  <c r="H3375" i="2"/>
  <c r="I3375" i="2" s="1"/>
  <c r="G3375" i="2"/>
  <c r="J3375" i="2" s="1"/>
  <c r="H3376" i="2"/>
  <c r="I3376" i="2" s="1"/>
  <c r="G3376" i="2"/>
  <c r="J3376" i="2" s="1"/>
  <c r="H3377" i="2"/>
  <c r="I3377" i="2" s="1"/>
  <c r="G3377" i="2"/>
  <c r="J3377" i="2" s="1"/>
  <c r="H3378" i="2"/>
  <c r="I3378" i="2" s="1"/>
  <c r="G3378" i="2"/>
  <c r="J3378" i="2" s="1"/>
  <c r="H3379" i="2"/>
  <c r="I3379" i="2" s="1"/>
  <c r="G3379" i="2"/>
  <c r="J3379" i="2" s="1"/>
  <c r="H3380" i="2"/>
  <c r="I3380" i="2" s="1"/>
  <c r="G3380" i="2"/>
  <c r="J3380" i="2" s="1"/>
  <c r="H3381" i="2"/>
  <c r="I3381" i="2" s="1"/>
  <c r="G3381" i="2"/>
  <c r="J3381" i="2" s="1"/>
  <c r="H3382" i="2"/>
  <c r="I3382" i="2" s="1"/>
  <c r="G3382" i="2"/>
  <c r="J3382" i="2" s="1"/>
  <c r="H3383" i="2"/>
  <c r="I3383" i="2" s="1"/>
  <c r="G3383" i="2"/>
  <c r="J3383" i="2" s="1"/>
  <c r="H3384" i="2"/>
  <c r="I3384" i="2" s="1"/>
  <c r="G3384" i="2"/>
  <c r="J3384" i="2" s="1"/>
  <c r="H3385" i="2"/>
  <c r="I3385" i="2" s="1"/>
  <c r="G3385" i="2"/>
  <c r="J3385" i="2" s="1"/>
  <c r="H3386" i="2"/>
  <c r="I3386" i="2" s="1"/>
  <c r="G3386" i="2"/>
  <c r="J3386" i="2" s="1"/>
  <c r="H3387" i="2"/>
  <c r="I3387" i="2" s="1"/>
  <c r="G3387" i="2"/>
  <c r="J3387" i="2" s="1"/>
  <c r="H3388" i="2"/>
  <c r="I3388" i="2" s="1"/>
  <c r="G3388" i="2"/>
  <c r="J3388" i="2" s="1"/>
  <c r="H3389" i="2"/>
  <c r="I3389" i="2" s="1"/>
  <c r="G3389" i="2"/>
  <c r="J3389" i="2" s="1"/>
  <c r="H3390" i="2"/>
  <c r="I3390" i="2" s="1"/>
  <c r="G3390" i="2"/>
  <c r="J3390" i="2" s="1"/>
  <c r="H3391" i="2"/>
  <c r="I3391" i="2" s="1"/>
  <c r="G3391" i="2"/>
  <c r="J3391" i="2" s="1"/>
  <c r="H3392" i="2"/>
  <c r="I3392" i="2" s="1"/>
  <c r="G3392" i="2"/>
  <c r="J3392" i="2" s="1"/>
  <c r="H3393" i="2"/>
  <c r="I3393" i="2" s="1"/>
  <c r="G3393" i="2"/>
  <c r="J3393" i="2" s="1"/>
  <c r="H3394" i="2"/>
  <c r="I3394" i="2" s="1"/>
  <c r="G3394" i="2"/>
  <c r="J3394" i="2" s="1"/>
  <c r="H3395" i="2"/>
  <c r="I3395" i="2" s="1"/>
  <c r="G3395" i="2"/>
  <c r="J3395" i="2" s="1"/>
  <c r="H3396" i="2"/>
  <c r="I3396" i="2" s="1"/>
  <c r="G3396" i="2"/>
  <c r="J3396" i="2" s="1"/>
  <c r="H3397" i="2"/>
  <c r="I3397" i="2" s="1"/>
  <c r="G3397" i="2"/>
  <c r="J3397" i="2" s="1"/>
  <c r="H3398" i="2"/>
  <c r="I3398" i="2" s="1"/>
  <c r="G3398" i="2"/>
  <c r="J3398" i="2" s="1"/>
  <c r="H3399" i="2"/>
  <c r="I3399" i="2" s="1"/>
  <c r="G3399" i="2"/>
  <c r="J3399" i="2" s="1"/>
  <c r="H3400" i="2"/>
  <c r="I3400" i="2" s="1"/>
  <c r="G3400" i="2"/>
  <c r="J3400" i="2" s="1"/>
  <c r="H3401" i="2"/>
  <c r="I3401" i="2" s="1"/>
  <c r="G3401" i="2"/>
  <c r="J3401" i="2" s="1"/>
  <c r="H3402" i="2"/>
  <c r="I3402" i="2" s="1"/>
  <c r="G3402" i="2"/>
  <c r="J3402" i="2" s="1"/>
  <c r="H3403" i="2"/>
  <c r="I3403" i="2" s="1"/>
  <c r="G3403" i="2"/>
  <c r="J3403" i="2" s="1"/>
  <c r="H3404" i="2"/>
  <c r="I3404" i="2" s="1"/>
  <c r="G3404" i="2"/>
  <c r="J3404" i="2" s="1"/>
  <c r="H3405" i="2"/>
  <c r="I3405" i="2" s="1"/>
  <c r="G3405" i="2"/>
  <c r="J3405" i="2" s="1"/>
  <c r="H3406" i="2"/>
  <c r="I3406" i="2" s="1"/>
  <c r="G3406" i="2"/>
  <c r="J3406" i="2" s="1"/>
  <c r="H3407" i="2"/>
  <c r="I3407" i="2" s="1"/>
  <c r="G3407" i="2"/>
  <c r="J3407" i="2" s="1"/>
  <c r="H3408" i="2"/>
  <c r="I3408" i="2" s="1"/>
  <c r="G3408" i="2"/>
  <c r="J3408" i="2" s="1"/>
  <c r="H3409" i="2"/>
  <c r="I3409" i="2" s="1"/>
  <c r="G3409" i="2"/>
  <c r="J3409" i="2" s="1"/>
  <c r="H3410" i="2"/>
  <c r="I3410" i="2" s="1"/>
  <c r="G3410" i="2"/>
  <c r="J3410" i="2" s="1"/>
  <c r="H3411" i="2"/>
  <c r="I3411" i="2" s="1"/>
  <c r="G3411" i="2"/>
  <c r="J3411" i="2" s="1"/>
  <c r="H3412" i="2"/>
  <c r="I3412" i="2" s="1"/>
  <c r="G3412" i="2"/>
  <c r="J3412" i="2" s="1"/>
  <c r="H3413" i="2"/>
  <c r="I3413" i="2" s="1"/>
  <c r="G3413" i="2"/>
  <c r="J3413" i="2" s="1"/>
  <c r="H3414" i="2"/>
  <c r="I3414" i="2" s="1"/>
  <c r="G3414" i="2"/>
  <c r="J3414" i="2" s="1"/>
  <c r="H3415" i="2"/>
  <c r="I3415" i="2" s="1"/>
  <c r="G3415" i="2"/>
  <c r="J3415" i="2" s="1"/>
  <c r="H3416" i="2"/>
  <c r="I3416" i="2" s="1"/>
  <c r="G3416" i="2"/>
  <c r="J3416" i="2" s="1"/>
  <c r="H3417" i="2"/>
  <c r="I3417" i="2" s="1"/>
  <c r="G3417" i="2"/>
  <c r="J3417" i="2" s="1"/>
  <c r="H3418" i="2"/>
  <c r="I3418" i="2" s="1"/>
  <c r="G3418" i="2"/>
  <c r="J3418" i="2" s="1"/>
  <c r="H3419" i="2"/>
  <c r="I3419" i="2" s="1"/>
  <c r="G3419" i="2"/>
  <c r="J3419" i="2" s="1"/>
  <c r="H3420" i="2"/>
  <c r="I3420" i="2" s="1"/>
  <c r="G3420" i="2"/>
  <c r="J3420" i="2" s="1"/>
  <c r="H3421" i="2"/>
  <c r="I3421" i="2" s="1"/>
  <c r="G3421" i="2"/>
  <c r="J3421" i="2" s="1"/>
  <c r="H3422" i="2"/>
  <c r="I3422" i="2" s="1"/>
  <c r="G3422" i="2"/>
  <c r="J3422" i="2" s="1"/>
  <c r="H3423" i="2"/>
  <c r="I3423" i="2" s="1"/>
  <c r="G3423" i="2"/>
  <c r="J3423" i="2" s="1"/>
  <c r="H3424" i="2"/>
  <c r="I3424" i="2" s="1"/>
  <c r="G3424" i="2"/>
  <c r="J3424" i="2" s="1"/>
  <c r="H3425" i="2"/>
  <c r="I3425" i="2" s="1"/>
  <c r="G3425" i="2"/>
  <c r="J3425" i="2" s="1"/>
  <c r="H3426" i="2"/>
  <c r="I3426" i="2" s="1"/>
  <c r="G3426" i="2"/>
  <c r="J3426" i="2" s="1"/>
  <c r="H3427" i="2"/>
  <c r="I3427" i="2" s="1"/>
  <c r="G3427" i="2"/>
  <c r="J3427" i="2" s="1"/>
  <c r="H3428" i="2"/>
  <c r="I3428" i="2" s="1"/>
  <c r="G3428" i="2"/>
  <c r="J3428" i="2" s="1"/>
  <c r="H3429" i="2"/>
  <c r="I3429" i="2" s="1"/>
  <c r="G3429" i="2"/>
  <c r="J3429" i="2" s="1"/>
  <c r="H3430" i="2"/>
  <c r="I3430" i="2" s="1"/>
  <c r="G3430" i="2"/>
  <c r="J3430" i="2" s="1"/>
  <c r="H3431" i="2"/>
  <c r="I3431" i="2" s="1"/>
  <c r="G3431" i="2"/>
  <c r="J3431" i="2" s="1"/>
  <c r="H3432" i="2"/>
  <c r="I3432" i="2" s="1"/>
  <c r="G3432" i="2"/>
  <c r="J3432" i="2" s="1"/>
  <c r="H3433" i="2"/>
  <c r="I3433" i="2" s="1"/>
  <c r="G3433" i="2"/>
  <c r="J3433" i="2" s="1"/>
  <c r="H3434" i="2"/>
  <c r="I3434" i="2" s="1"/>
  <c r="G3434" i="2"/>
  <c r="J3434" i="2" s="1"/>
  <c r="H3435" i="2"/>
  <c r="I3435" i="2" s="1"/>
  <c r="G3435" i="2"/>
  <c r="J3435" i="2" s="1"/>
  <c r="H3436" i="2"/>
  <c r="I3436" i="2" s="1"/>
  <c r="G3436" i="2"/>
  <c r="J3436" i="2" s="1"/>
  <c r="H3437" i="2"/>
  <c r="I3437" i="2" s="1"/>
  <c r="G3437" i="2"/>
  <c r="J3437" i="2" s="1"/>
  <c r="H3438" i="2"/>
  <c r="I3438" i="2" s="1"/>
  <c r="G3438" i="2"/>
  <c r="J3438" i="2" s="1"/>
  <c r="H3439" i="2"/>
  <c r="I3439" i="2" s="1"/>
  <c r="G3439" i="2"/>
  <c r="J3439" i="2" s="1"/>
  <c r="H3440" i="2"/>
  <c r="I3440" i="2" s="1"/>
  <c r="G3440" i="2"/>
  <c r="J3440" i="2" s="1"/>
  <c r="H3441" i="2"/>
  <c r="I3441" i="2" s="1"/>
  <c r="G3441" i="2"/>
  <c r="J3441" i="2" s="1"/>
  <c r="H3442" i="2"/>
  <c r="I3442" i="2" s="1"/>
  <c r="G3442" i="2"/>
  <c r="J3442" i="2" s="1"/>
  <c r="H3443" i="2"/>
  <c r="I3443" i="2" s="1"/>
  <c r="G3443" i="2"/>
  <c r="J3443" i="2" s="1"/>
  <c r="H3444" i="2"/>
  <c r="I3444" i="2" s="1"/>
  <c r="G3444" i="2"/>
  <c r="J3444" i="2" s="1"/>
  <c r="H3445" i="2"/>
  <c r="I3445" i="2" s="1"/>
  <c r="G3445" i="2"/>
  <c r="J3445" i="2" s="1"/>
  <c r="H3446" i="2"/>
  <c r="I3446" i="2" s="1"/>
  <c r="G3446" i="2"/>
  <c r="J3446" i="2" s="1"/>
  <c r="H3447" i="2"/>
  <c r="I3447" i="2" s="1"/>
  <c r="G3447" i="2"/>
  <c r="J3447" i="2" s="1"/>
  <c r="H3448" i="2"/>
  <c r="I3448" i="2" s="1"/>
  <c r="G3448" i="2"/>
  <c r="J3448" i="2" s="1"/>
  <c r="H3449" i="2"/>
  <c r="I3449" i="2" s="1"/>
  <c r="G3449" i="2"/>
  <c r="J3449" i="2" s="1"/>
  <c r="H3450" i="2"/>
  <c r="I3450" i="2" s="1"/>
  <c r="G3450" i="2"/>
  <c r="J3450" i="2" s="1"/>
  <c r="H3451" i="2"/>
  <c r="I3451" i="2" s="1"/>
  <c r="G3451" i="2"/>
  <c r="J3451" i="2" s="1"/>
  <c r="H3452" i="2"/>
  <c r="I3452" i="2" s="1"/>
  <c r="G3452" i="2"/>
  <c r="J3452" i="2" s="1"/>
  <c r="H3453" i="2"/>
  <c r="I3453" i="2" s="1"/>
  <c r="G3453" i="2"/>
  <c r="J3453" i="2" s="1"/>
  <c r="H3454" i="2"/>
  <c r="I3454" i="2" s="1"/>
  <c r="G3454" i="2"/>
  <c r="J3454" i="2" s="1"/>
  <c r="H3455" i="2"/>
  <c r="I3455" i="2" s="1"/>
  <c r="G3455" i="2"/>
  <c r="J3455" i="2" s="1"/>
  <c r="H3456" i="2"/>
  <c r="I3456" i="2" s="1"/>
  <c r="G3456" i="2"/>
  <c r="J3456" i="2" s="1"/>
  <c r="H3457" i="2"/>
  <c r="I3457" i="2" s="1"/>
  <c r="G3457" i="2"/>
  <c r="J3457" i="2" s="1"/>
  <c r="H3458" i="2"/>
  <c r="I3458" i="2" s="1"/>
  <c r="G3458" i="2"/>
  <c r="J3458" i="2" s="1"/>
  <c r="H3459" i="2"/>
  <c r="I3459" i="2" s="1"/>
  <c r="G3459" i="2"/>
  <c r="J3459" i="2" s="1"/>
  <c r="H3460" i="2"/>
  <c r="I3460" i="2" s="1"/>
  <c r="G3460" i="2"/>
  <c r="J3460" i="2" s="1"/>
  <c r="H3461" i="2"/>
  <c r="I3461" i="2" s="1"/>
  <c r="G3461" i="2"/>
  <c r="J3461" i="2" s="1"/>
  <c r="H3462" i="2"/>
  <c r="I3462" i="2" s="1"/>
  <c r="G3462" i="2"/>
  <c r="J3462" i="2" s="1"/>
  <c r="H3463" i="2"/>
  <c r="I3463" i="2" s="1"/>
  <c r="G3463" i="2"/>
  <c r="J3463" i="2" s="1"/>
  <c r="H3464" i="2"/>
  <c r="I3464" i="2" s="1"/>
  <c r="G3464" i="2"/>
  <c r="J3464" i="2" s="1"/>
  <c r="H3465" i="2"/>
  <c r="I3465" i="2" s="1"/>
  <c r="G3465" i="2"/>
  <c r="J3465" i="2" s="1"/>
  <c r="H3466" i="2"/>
  <c r="I3466" i="2" s="1"/>
  <c r="G3466" i="2"/>
  <c r="J3466" i="2" s="1"/>
  <c r="H3467" i="2"/>
  <c r="I3467" i="2" s="1"/>
  <c r="G3467" i="2"/>
  <c r="J3467" i="2" s="1"/>
  <c r="H3468" i="2"/>
  <c r="I3468" i="2" s="1"/>
  <c r="G3468" i="2"/>
  <c r="J3468" i="2" s="1"/>
  <c r="H3469" i="2"/>
  <c r="I3469" i="2" s="1"/>
  <c r="G3469" i="2"/>
  <c r="J3469" i="2" s="1"/>
  <c r="H3470" i="2"/>
  <c r="I3470" i="2" s="1"/>
  <c r="G3470" i="2"/>
  <c r="J3470" i="2" s="1"/>
  <c r="H3471" i="2"/>
  <c r="I3471" i="2" s="1"/>
  <c r="G3471" i="2"/>
  <c r="J3471" i="2" s="1"/>
  <c r="H3472" i="2"/>
  <c r="I3472" i="2" s="1"/>
  <c r="G3472" i="2"/>
  <c r="J3472" i="2" s="1"/>
  <c r="H3473" i="2"/>
  <c r="I3473" i="2" s="1"/>
  <c r="G3473" i="2"/>
  <c r="J3473" i="2" s="1"/>
  <c r="H3474" i="2"/>
  <c r="I3474" i="2" s="1"/>
  <c r="G3474" i="2"/>
  <c r="J3474" i="2" s="1"/>
  <c r="H3475" i="2"/>
  <c r="I3475" i="2" s="1"/>
  <c r="G3475" i="2"/>
  <c r="J3475" i="2" s="1"/>
  <c r="H3476" i="2"/>
  <c r="I3476" i="2" s="1"/>
  <c r="G3476" i="2"/>
  <c r="J3476" i="2" s="1"/>
  <c r="H3477" i="2"/>
  <c r="I3477" i="2" s="1"/>
  <c r="G3477" i="2"/>
  <c r="J3477" i="2" s="1"/>
  <c r="H3478" i="2"/>
  <c r="I3478" i="2" s="1"/>
  <c r="G3478" i="2"/>
  <c r="J3478" i="2" s="1"/>
  <c r="H3479" i="2"/>
  <c r="I3479" i="2" s="1"/>
  <c r="G3479" i="2"/>
  <c r="J3479" i="2" s="1"/>
  <c r="H3480" i="2"/>
  <c r="I3480" i="2" s="1"/>
  <c r="G3480" i="2"/>
  <c r="J3480" i="2" s="1"/>
  <c r="H3481" i="2"/>
  <c r="I3481" i="2" s="1"/>
  <c r="G3481" i="2"/>
  <c r="J3481" i="2" s="1"/>
  <c r="H3482" i="2"/>
  <c r="I3482" i="2" s="1"/>
  <c r="G3482" i="2"/>
  <c r="J3482" i="2" s="1"/>
  <c r="H3483" i="2"/>
  <c r="I3483" i="2" s="1"/>
  <c r="G3483" i="2"/>
  <c r="J3483" i="2" s="1"/>
  <c r="H3484" i="2"/>
  <c r="I3484" i="2" s="1"/>
  <c r="G3484" i="2"/>
  <c r="J3484" i="2" s="1"/>
  <c r="H3485" i="2"/>
  <c r="I3485" i="2" s="1"/>
  <c r="G3485" i="2"/>
  <c r="J3485" i="2" s="1"/>
  <c r="H3486" i="2"/>
  <c r="I3486" i="2" s="1"/>
  <c r="G3486" i="2"/>
  <c r="J3486" i="2" s="1"/>
  <c r="H3487" i="2"/>
  <c r="I3487" i="2" s="1"/>
  <c r="G3487" i="2"/>
  <c r="J3487" i="2" s="1"/>
  <c r="H3488" i="2"/>
  <c r="I3488" i="2" s="1"/>
  <c r="G3488" i="2"/>
  <c r="J3488" i="2" s="1"/>
  <c r="H3489" i="2"/>
  <c r="I3489" i="2" s="1"/>
  <c r="G3489" i="2"/>
  <c r="J3489" i="2" s="1"/>
  <c r="H3490" i="2"/>
  <c r="I3490" i="2" s="1"/>
  <c r="G3490" i="2"/>
  <c r="J3490" i="2" s="1"/>
  <c r="H3491" i="2"/>
  <c r="I3491" i="2" s="1"/>
  <c r="G3491" i="2"/>
  <c r="J3491" i="2" s="1"/>
  <c r="H3492" i="2"/>
  <c r="I3492" i="2" s="1"/>
  <c r="G3492" i="2"/>
  <c r="J3492" i="2" s="1"/>
  <c r="H3493" i="2"/>
  <c r="I3493" i="2" s="1"/>
  <c r="G3493" i="2"/>
  <c r="J3493" i="2" s="1"/>
  <c r="H3494" i="2"/>
  <c r="I3494" i="2" s="1"/>
  <c r="G3494" i="2"/>
  <c r="J3494" i="2" s="1"/>
  <c r="H3495" i="2"/>
  <c r="I3495" i="2" s="1"/>
  <c r="G3495" i="2"/>
  <c r="J3495" i="2" s="1"/>
  <c r="H3496" i="2"/>
  <c r="I3496" i="2" s="1"/>
  <c r="G3496" i="2"/>
  <c r="J3496" i="2" s="1"/>
  <c r="H3497" i="2"/>
  <c r="I3497" i="2" s="1"/>
  <c r="G3497" i="2"/>
  <c r="J3497" i="2" s="1"/>
  <c r="H3498" i="2"/>
  <c r="I3498" i="2" s="1"/>
  <c r="G3498" i="2"/>
  <c r="J3498" i="2" s="1"/>
  <c r="H3499" i="2"/>
  <c r="I3499" i="2" s="1"/>
  <c r="G3499" i="2"/>
  <c r="J3499" i="2" s="1"/>
  <c r="H3500" i="2"/>
  <c r="I3500" i="2" s="1"/>
  <c r="G3500" i="2"/>
  <c r="J3500" i="2" s="1"/>
  <c r="H3501" i="2"/>
  <c r="I3501" i="2" s="1"/>
  <c r="G3501" i="2"/>
  <c r="J3501" i="2" s="1"/>
  <c r="H3502" i="2"/>
  <c r="I3502" i="2" s="1"/>
  <c r="G3502" i="2"/>
  <c r="J3502" i="2" s="1"/>
  <c r="H3503" i="2"/>
  <c r="I3503" i="2" s="1"/>
  <c r="G3503" i="2"/>
  <c r="J3503" i="2" s="1"/>
  <c r="H3504" i="2"/>
  <c r="I3504" i="2" s="1"/>
  <c r="G3504" i="2"/>
  <c r="J3504" i="2" s="1"/>
  <c r="H3505" i="2"/>
  <c r="I3505" i="2" s="1"/>
  <c r="G3505" i="2"/>
  <c r="J3505" i="2" s="1"/>
  <c r="H3506" i="2"/>
  <c r="I3506" i="2" s="1"/>
  <c r="G3506" i="2"/>
  <c r="J3506" i="2" s="1"/>
  <c r="H3507" i="2"/>
  <c r="I3507" i="2" s="1"/>
  <c r="G3507" i="2"/>
  <c r="J3507" i="2" s="1"/>
  <c r="H3508" i="2"/>
  <c r="I3508" i="2" s="1"/>
  <c r="G3508" i="2"/>
  <c r="J3508" i="2" s="1"/>
  <c r="H3509" i="2"/>
  <c r="I3509" i="2" s="1"/>
  <c r="G3509" i="2"/>
  <c r="J3509" i="2" s="1"/>
  <c r="H3510" i="2"/>
  <c r="I3510" i="2" s="1"/>
  <c r="G3510" i="2"/>
  <c r="J3510" i="2" s="1"/>
  <c r="H3511" i="2"/>
  <c r="I3511" i="2" s="1"/>
  <c r="G3511" i="2"/>
  <c r="J3511" i="2" s="1"/>
  <c r="H3512" i="2"/>
  <c r="I3512" i="2" s="1"/>
  <c r="G3512" i="2"/>
  <c r="J3512" i="2" s="1"/>
  <c r="H3513" i="2"/>
  <c r="I3513" i="2" s="1"/>
  <c r="G3513" i="2"/>
  <c r="J3513" i="2" s="1"/>
  <c r="H3514" i="2"/>
  <c r="I3514" i="2" s="1"/>
  <c r="G3514" i="2"/>
  <c r="J3514" i="2" s="1"/>
  <c r="H3515" i="2"/>
  <c r="I3515" i="2" s="1"/>
  <c r="G3515" i="2"/>
  <c r="J3515" i="2" s="1"/>
  <c r="H3516" i="2"/>
  <c r="I3516" i="2" s="1"/>
  <c r="G3516" i="2"/>
  <c r="J3516" i="2" s="1"/>
  <c r="H3517" i="2"/>
  <c r="I3517" i="2" s="1"/>
  <c r="G3517" i="2"/>
  <c r="J3517" i="2" s="1"/>
  <c r="H3518" i="2"/>
  <c r="I3518" i="2" s="1"/>
  <c r="G3518" i="2"/>
  <c r="J3518" i="2" s="1"/>
  <c r="H3519" i="2"/>
  <c r="I3519" i="2" s="1"/>
  <c r="G3519" i="2"/>
  <c r="J3519" i="2" s="1"/>
  <c r="H3520" i="2"/>
  <c r="I3520" i="2" s="1"/>
  <c r="G3520" i="2"/>
  <c r="J3520" i="2" s="1"/>
  <c r="H3521" i="2"/>
  <c r="I3521" i="2" s="1"/>
  <c r="G3521" i="2"/>
  <c r="J3521" i="2" s="1"/>
  <c r="H3522" i="2"/>
  <c r="I3522" i="2" s="1"/>
  <c r="G3522" i="2"/>
  <c r="J3522" i="2" s="1"/>
  <c r="H3523" i="2"/>
  <c r="I3523" i="2" s="1"/>
  <c r="G3523" i="2"/>
  <c r="J3523" i="2" s="1"/>
  <c r="H3524" i="2"/>
  <c r="I3524" i="2" s="1"/>
  <c r="G3524" i="2"/>
  <c r="J3524" i="2" s="1"/>
  <c r="H3525" i="2"/>
  <c r="I3525" i="2" s="1"/>
  <c r="G3525" i="2"/>
  <c r="J3525" i="2" s="1"/>
  <c r="H3526" i="2"/>
  <c r="I3526" i="2" s="1"/>
  <c r="G3526" i="2"/>
  <c r="J3526" i="2" s="1"/>
  <c r="H3527" i="2"/>
  <c r="I3527" i="2" s="1"/>
  <c r="G3527" i="2"/>
  <c r="J3527" i="2" s="1"/>
  <c r="H3528" i="2"/>
  <c r="I3528" i="2" s="1"/>
  <c r="G3528" i="2"/>
  <c r="J3528" i="2" s="1"/>
  <c r="H3529" i="2"/>
  <c r="I3529" i="2" s="1"/>
  <c r="G3529" i="2"/>
  <c r="J3529" i="2" s="1"/>
  <c r="H3530" i="2"/>
  <c r="I3530" i="2" s="1"/>
  <c r="G3530" i="2"/>
  <c r="J3530" i="2" s="1"/>
  <c r="H3531" i="2"/>
  <c r="I3531" i="2" s="1"/>
  <c r="G3531" i="2"/>
  <c r="J3531" i="2" s="1"/>
  <c r="H3532" i="2"/>
  <c r="I3532" i="2" s="1"/>
  <c r="G3532" i="2"/>
  <c r="J3532" i="2" s="1"/>
  <c r="H3533" i="2"/>
  <c r="I3533" i="2" s="1"/>
  <c r="G3533" i="2"/>
  <c r="J3533" i="2" s="1"/>
  <c r="H3534" i="2"/>
  <c r="I3534" i="2" s="1"/>
  <c r="G3534" i="2"/>
  <c r="J3534" i="2" s="1"/>
  <c r="H3535" i="2"/>
  <c r="I3535" i="2" s="1"/>
  <c r="G3535" i="2"/>
  <c r="J3535" i="2" s="1"/>
  <c r="H3536" i="2"/>
  <c r="I3536" i="2" s="1"/>
  <c r="G3536" i="2"/>
  <c r="J3536" i="2" s="1"/>
  <c r="H3537" i="2"/>
  <c r="I3537" i="2" s="1"/>
  <c r="G3537" i="2"/>
  <c r="J3537" i="2" s="1"/>
  <c r="H3538" i="2"/>
  <c r="I3538" i="2" s="1"/>
  <c r="G3538" i="2"/>
  <c r="J3538" i="2" s="1"/>
  <c r="H3539" i="2"/>
  <c r="I3539" i="2" s="1"/>
  <c r="G3539" i="2"/>
  <c r="J3539" i="2" s="1"/>
  <c r="H3540" i="2"/>
  <c r="I3540" i="2" s="1"/>
  <c r="G3540" i="2"/>
  <c r="J3540" i="2" s="1"/>
  <c r="H3541" i="2"/>
  <c r="I3541" i="2" s="1"/>
  <c r="G3541" i="2"/>
  <c r="J3541" i="2" s="1"/>
  <c r="H3542" i="2"/>
  <c r="I3542" i="2" s="1"/>
  <c r="G3542" i="2"/>
  <c r="J3542" i="2" s="1"/>
  <c r="H3543" i="2"/>
  <c r="I3543" i="2" s="1"/>
  <c r="G3543" i="2"/>
  <c r="J3543" i="2" s="1"/>
  <c r="H3544" i="2"/>
  <c r="I3544" i="2" s="1"/>
  <c r="G3544" i="2"/>
  <c r="J3544" i="2" s="1"/>
  <c r="H3545" i="2"/>
  <c r="I3545" i="2" s="1"/>
  <c r="G3545" i="2"/>
  <c r="J3545" i="2" s="1"/>
  <c r="H3546" i="2"/>
  <c r="I3546" i="2" s="1"/>
  <c r="G3546" i="2"/>
  <c r="J3546" i="2" s="1"/>
  <c r="H3547" i="2"/>
  <c r="I3547" i="2" s="1"/>
  <c r="G3547" i="2"/>
  <c r="J3547" i="2" s="1"/>
  <c r="H3548" i="2"/>
  <c r="I3548" i="2" s="1"/>
  <c r="G3548" i="2"/>
  <c r="J3548" i="2" s="1"/>
  <c r="H3549" i="2"/>
  <c r="I3549" i="2" s="1"/>
  <c r="G3549" i="2"/>
  <c r="J3549" i="2" s="1"/>
  <c r="H3550" i="2"/>
  <c r="I3550" i="2" s="1"/>
  <c r="G3550" i="2"/>
  <c r="J3550" i="2" s="1"/>
  <c r="H3551" i="2"/>
  <c r="I3551" i="2" s="1"/>
  <c r="G3551" i="2"/>
  <c r="J3551" i="2" s="1"/>
  <c r="H3552" i="2"/>
  <c r="I3552" i="2" s="1"/>
  <c r="G3552" i="2"/>
  <c r="J3552" i="2" s="1"/>
  <c r="H3553" i="2"/>
  <c r="I3553" i="2" s="1"/>
  <c r="G3553" i="2"/>
  <c r="J3553" i="2" s="1"/>
  <c r="H3554" i="2"/>
  <c r="I3554" i="2" s="1"/>
  <c r="G3554" i="2"/>
  <c r="J3554" i="2" s="1"/>
  <c r="H3555" i="2"/>
  <c r="I3555" i="2" s="1"/>
  <c r="G3555" i="2"/>
  <c r="J3555" i="2" s="1"/>
  <c r="H3556" i="2"/>
  <c r="I3556" i="2" s="1"/>
  <c r="G3556" i="2"/>
  <c r="J3556" i="2" s="1"/>
  <c r="H3557" i="2"/>
  <c r="I3557" i="2" s="1"/>
  <c r="G3557" i="2"/>
  <c r="J3557" i="2" s="1"/>
  <c r="H3558" i="2"/>
  <c r="I3558" i="2" s="1"/>
  <c r="G3558" i="2"/>
  <c r="J3558" i="2" s="1"/>
  <c r="H3559" i="2"/>
  <c r="I3559" i="2" s="1"/>
  <c r="G3559" i="2"/>
  <c r="J3559" i="2" s="1"/>
  <c r="H3560" i="2"/>
  <c r="I3560" i="2" s="1"/>
  <c r="G3560" i="2"/>
  <c r="J3560" i="2" s="1"/>
  <c r="H3561" i="2"/>
  <c r="I3561" i="2" s="1"/>
  <c r="G3561" i="2"/>
  <c r="J3561" i="2" s="1"/>
  <c r="H3562" i="2"/>
  <c r="I3562" i="2" s="1"/>
  <c r="G3562" i="2"/>
  <c r="J3562" i="2" s="1"/>
  <c r="H3563" i="2"/>
  <c r="I3563" i="2" s="1"/>
  <c r="G3563" i="2"/>
  <c r="J3563" i="2" s="1"/>
  <c r="H3564" i="2"/>
  <c r="I3564" i="2" s="1"/>
  <c r="G3564" i="2"/>
  <c r="J3564" i="2" s="1"/>
  <c r="H3565" i="2"/>
  <c r="I3565" i="2" s="1"/>
  <c r="G3565" i="2"/>
  <c r="J3565" i="2" s="1"/>
  <c r="H3566" i="2"/>
  <c r="I3566" i="2" s="1"/>
  <c r="G3566" i="2"/>
  <c r="J3566" i="2" s="1"/>
  <c r="H3567" i="2"/>
  <c r="I3567" i="2" s="1"/>
  <c r="G3567" i="2"/>
  <c r="J3567" i="2" s="1"/>
  <c r="H3568" i="2"/>
  <c r="I3568" i="2" s="1"/>
  <c r="G3568" i="2"/>
  <c r="J3568" i="2" s="1"/>
  <c r="H3569" i="2"/>
  <c r="I3569" i="2" s="1"/>
  <c r="G3569" i="2"/>
  <c r="J3569" i="2" s="1"/>
  <c r="H3570" i="2"/>
  <c r="I3570" i="2" s="1"/>
  <c r="G3570" i="2"/>
  <c r="J3570" i="2" s="1"/>
  <c r="H3571" i="2"/>
  <c r="I3571" i="2" s="1"/>
  <c r="G3571" i="2"/>
  <c r="J3571" i="2" s="1"/>
  <c r="H3572" i="2"/>
  <c r="I3572" i="2" s="1"/>
  <c r="G3572" i="2"/>
  <c r="J3572" i="2" s="1"/>
  <c r="H3573" i="2"/>
  <c r="I3573" i="2" s="1"/>
  <c r="G3573" i="2"/>
  <c r="J3573" i="2" s="1"/>
  <c r="H3574" i="2"/>
  <c r="I3574" i="2" s="1"/>
  <c r="G3574" i="2"/>
  <c r="J3574" i="2" s="1"/>
  <c r="H3575" i="2"/>
  <c r="I3575" i="2" s="1"/>
  <c r="G3575" i="2"/>
  <c r="J3575" i="2" s="1"/>
  <c r="H3576" i="2"/>
  <c r="I3576" i="2" s="1"/>
  <c r="G3576" i="2"/>
  <c r="J3576" i="2" s="1"/>
  <c r="H3577" i="2"/>
  <c r="I3577" i="2" s="1"/>
  <c r="G3577" i="2"/>
  <c r="J3577" i="2" s="1"/>
  <c r="H3578" i="2"/>
  <c r="I3578" i="2" s="1"/>
  <c r="G3578" i="2"/>
  <c r="J3578" i="2" s="1"/>
  <c r="H3579" i="2"/>
  <c r="I3579" i="2" s="1"/>
  <c r="G3579" i="2"/>
  <c r="J3579" i="2" s="1"/>
  <c r="H3580" i="2"/>
  <c r="I3580" i="2" s="1"/>
  <c r="G3580" i="2"/>
  <c r="J3580" i="2" s="1"/>
  <c r="H3581" i="2"/>
  <c r="I3581" i="2" s="1"/>
  <c r="G3581" i="2"/>
  <c r="J3581" i="2" s="1"/>
  <c r="H3582" i="2"/>
  <c r="I3582" i="2" s="1"/>
  <c r="G3582" i="2"/>
  <c r="J3582" i="2" s="1"/>
  <c r="H3583" i="2"/>
  <c r="I3583" i="2" s="1"/>
  <c r="G3583" i="2"/>
  <c r="J3583" i="2" s="1"/>
  <c r="H3584" i="2"/>
  <c r="I3584" i="2" s="1"/>
  <c r="G3584" i="2"/>
  <c r="J3584" i="2" s="1"/>
  <c r="H3585" i="2"/>
  <c r="I3585" i="2" s="1"/>
  <c r="G3585" i="2"/>
  <c r="J3585" i="2" s="1"/>
  <c r="H3586" i="2"/>
  <c r="I3586" i="2" s="1"/>
  <c r="G3586" i="2"/>
  <c r="J3586" i="2" s="1"/>
  <c r="H3587" i="2"/>
  <c r="I3587" i="2" s="1"/>
  <c r="G3587" i="2"/>
  <c r="J3587" i="2" s="1"/>
  <c r="H3588" i="2"/>
  <c r="I3588" i="2" s="1"/>
  <c r="G3588" i="2"/>
  <c r="J3588" i="2" s="1"/>
  <c r="H3589" i="2"/>
  <c r="I3589" i="2" s="1"/>
  <c r="G3589" i="2"/>
  <c r="J3589" i="2" s="1"/>
  <c r="H3590" i="2"/>
  <c r="I3590" i="2" s="1"/>
  <c r="G3590" i="2"/>
  <c r="J3590" i="2" s="1"/>
  <c r="H3591" i="2"/>
  <c r="I3591" i="2" s="1"/>
  <c r="G3591" i="2"/>
  <c r="J3591" i="2" s="1"/>
  <c r="H3592" i="2"/>
  <c r="I3592" i="2" s="1"/>
  <c r="G3592" i="2"/>
  <c r="J3592" i="2" s="1"/>
  <c r="H3593" i="2"/>
  <c r="I3593" i="2" s="1"/>
  <c r="G3593" i="2"/>
  <c r="J3593" i="2" s="1"/>
  <c r="H3594" i="2"/>
  <c r="I3594" i="2" s="1"/>
  <c r="G3594" i="2"/>
  <c r="J3594" i="2" s="1"/>
  <c r="H3595" i="2"/>
  <c r="I3595" i="2" s="1"/>
  <c r="G3595" i="2"/>
  <c r="J3595" i="2" s="1"/>
  <c r="H3596" i="2"/>
  <c r="I3596" i="2" s="1"/>
  <c r="G3596" i="2"/>
  <c r="J3596" i="2" s="1"/>
  <c r="H3597" i="2"/>
  <c r="I3597" i="2" s="1"/>
  <c r="G3597" i="2"/>
  <c r="J3597" i="2" s="1"/>
  <c r="H3598" i="2"/>
  <c r="I3598" i="2" s="1"/>
  <c r="G3598" i="2"/>
  <c r="J3598" i="2" s="1"/>
  <c r="H3599" i="2"/>
  <c r="I3599" i="2" s="1"/>
  <c r="G3599" i="2"/>
  <c r="J3599" i="2" s="1"/>
  <c r="H3600" i="2"/>
  <c r="I3600" i="2" s="1"/>
  <c r="G3600" i="2"/>
  <c r="J3600" i="2" s="1"/>
  <c r="H3601" i="2"/>
  <c r="I3601" i="2" s="1"/>
  <c r="G3601" i="2"/>
  <c r="J3601" i="2" s="1"/>
  <c r="H3602" i="2"/>
  <c r="I3602" i="2" s="1"/>
  <c r="G3602" i="2"/>
  <c r="J3602" i="2" s="1"/>
  <c r="H3603" i="2"/>
  <c r="I3603" i="2" s="1"/>
  <c r="G3603" i="2"/>
  <c r="J3603" i="2" s="1"/>
  <c r="H3604" i="2"/>
  <c r="I3604" i="2" s="1"/>
  <c r="G3604" i="2"/>
  <c r="J3604" i="2" s="1"/>
  <c r="H3605" i="2"/>
  <c r="I3605" i="2" s="1"/>
  <c r="G3605" i="2"/>
  <c r="J3605" i="2" s="1"/>
  <c r="H3606" i="2"/>
  <c r="I3606" i="2" s="1"/>
  <c r="G3606" i="2"/>
  <c r="J3606" i="2" s="1"/>
  <c r="H3607" i="2"/>
  <c r="I3607" i="2" s="1"/>
  <c r="G3607" i="2"/>
  <c r="J3607" i="2" s="1"/>
  <c r="H3608" i="2"/>
  <c r="I3608" i="2" s="1"/>
  <c r="G3608" i="2"/>
  <c r="J3608" i="2" s="1"/>
  <c r="H3609" i="2"/>
  <c r="I3609" i="2" s="1"/>
  <c r="G3609" i="2"/>
  <c r="J3609" i="2" s="1"/>
  <c r="H3610" i="2"/>
  <c r="I3610" i="2" s="1"/>
  <c r="G3610" i="2"/>
  <c r="J3610" i="2" s="1"/>
  <c r="H3611" i="2"/>
  <c r="I3611" i="2" s="1"/>
  <c r="G3611" i="2"/>
  <c r="J3611" i="2" s="1"/>
  <c r="H3612" i="2"/>
  <c r="I3612" i="2" s="1"/>
  <c r="G3612" i="2"/>
  <c r="J3612" i="2" s="1"/>
  <c r="H3613" i="2"/>
  <c r="I3613" i="2" s="1"/>
  <c r="G3613" i="2"/>
  <c r="J3613" i="2" s="1"/>
  <c r="H3614" i="2"/>
  <c r="I3614" i="2" s="1"/>
  <c r="G3614" i="2"/>
  <c r="J3614" i="2" s="1"/>
  <c r="H3615" i="2"/>
  <c r="I3615" i="2" s="1"/>
  <c r="G3615" i="2"/>
  <c r="J3615" i="2" s="1"/>
  <c r="H3616" i="2"/>
  <c r="I3616" i="2" s="1"/>
  <c r="G3616" i="2"/>
  <c r="J3616" i="2" s="1"/>
  <c r="H3617" i="2"/>
  <c r="I3617" i="2" s="1"/>
  <c r="G3617" i="2"/>
  <c r="J3617" i="2" s="1"/>
  <c r="H3618" i="2"/>
  <c r="I3618" i="2" s="1"/>
  <c r="G3618" i="2"/>
  <c r="J3618" i="2" s="1"/>
  <c r="H3619" i="2"/>
  <c r="I3619" i="2" s="1"/>
  <c r="G3619" i="2"/>
  <c r="J3619" i="2" s="1"/>
  <c r="H3620" i="2"/>
  <c r="I3620" i="2" s="1"/>
  <c r="G3620" i="2"/>
  <c r="J3620" i="2" s="1"/>
  <c r="H3621" i="2"/>
  <c r="I3621" i="2" s="1"/>
  <c r="G3621" i="2"/>
  <c r="J3621" i="2" s="1"/>
  <c r="H3622" i="2"/>
  <c r="I3622" i="2" s="1"/>
  <c r="G3622" i="2"/>
  <c r="J3622" i="2" s="1"/>
  <c r="H3623" i="2"/>
  <c r="I3623" i="2" s="1"/>
  <c r="G3623" i="2"/>
  <c r="J3623" i="2" s="1"/>
  <c r="H3624" i="2"/>
  <c r="I3624" i="2" s="1"/>
  <c r="G3624" i="2"/>
  <c r="J3624" i="2" s="1"/>
  <c r="H3625" i="2"/>
  <c r="I3625" i="2" s="1"/>
  <c r="G3625" i="2"/>
  <c r="J3625" i="2" s="1"/>
  <c r="H3626" i="2"/>
  <c r="I3626" i="2" s="1"/>
  <c r="G3626" i="2"/>
  <c r="J3626" i="2" s="1"/>
  <c r="H3627" i="2"/>
  <c r="I3627" i="2" s="1"/>
  <c r="G3627" i="2"/>
  <c r="J3627" i="2" s="1"/>
  <c r="H3628" i="2"/>
  <c r="I3628" i="2" s="1"/>
  <c r="G3628" i="2"/>
  <c r="J3628" i="2" s="1"/>
  <c r="H3629" i="2"/>
  <c r="I3629" i="2" s="1"/>
  <c r="G3629" i="2"/>
  <c r="J3629" i="2" s="1"/>
  <c r="H3630" i="2"/>
  <c r="I3630" i="2" s="1"/>
  <c r="G3630" i="2"/>
  <c r="J3630" i="2" s="1"/>
  <c r="H3631" i="2"/>
  <c r="I3631" i="2" s="1"/>
  <c r="G3631" i="2"/>
  <c r="J3631" i="2" s="1"/>
  <c r="H3632" i="2"/>
  <c r="I3632" i="2" s="1"/>
  <c r="G3632" i="2"/>
  <c r="J3632" i="2" s="1"/>
  <c r="H3633" i="2"/>
  <c r="I3633" i="2" s="1"/>
  <c r="G3633" i="2"/>
  <c r="J3633" i="2" s="1"/>
  <c r="H3634" i="2"/>
  <c r="I3634" i="2" s="1"/>
  <c r="G3634" i="2"/>
  <c r="J3634" i="2" s="1"/>
  <c r="H3635" i="2"/>
  <c r="I3635" i="2" s="1"/>
  <c r="G3635" i="2"/>
  <c r="J3635" i="2" s="1"/>
  <c r="H3636" i="2"/>
  <c r="I3636" i="2" s="1"/>
  <c r="G3636" i="2"/>
  <c r="J3636" i="2" s="1"/>
  <c r="H3637" i="2"/>
  <c r="I3637" i="2" s="1"/>
  <c r="G3637" i="2"/>
  <c r="J3637" i="2" s="1"/>
  <c r="H3638" i="2"/>
  <c r="I3638" i="2" s="1"/>
  <c r="G3638" i="2"/>
  <c r="J3638" i="2" s="1"/>
  <c r="H3639" i="2"/>
  <c r="I3639" i="2" s="1"/>
  <c r="G3639" i="2"/>
  <c r="J3639" i="2" s="1"/>
  <c r="H3640" i="2"/>
  <c r="I3640" i="2" s="1"/>
  <c r="G3640" i="2"/>
  <c r="J3640" i="2" s="1"/>
  <c r="H3641" i="2"/>
  <c r="I3641" i="2" s="1"/>
  <c r="G3641" i="2"/>
  <c r="J3641" i="2" s="1"/>
  <c r="H3642" i="2"/>
  <c r="I3642" i="2" s="1"/>
  <c r="G3642" i="2"/>
  <c r="J3642" i="2" s="1"/>
  <c r="H3643" i="2"/>
  <c r="I3643" i="2" s="1"/>
  <c r="G3643" i="2"/>
  <c r="J3643" i="2" s="1"/>
  <c r="H3644" i="2"/>
  <c r="I3644" i="2" s="1"/>
  <c r="G3644" i="2"/>
  <c r="J3644" i="2" s="1"/>
  <c r="H3645" i="2"/>
  <c r="I3645" i="2" s="1"/>
  <c r="G3645" i="2"/>
  <c r="J3645" i="2" s="1"/>
  <c r="H3646" i="2"/>
  <c r="I3646" i="2" s="1"/>
  <c r="G3646" i="2"/>
  <c r="J3646" i="2" s="1"/>
  <c r="H3647" i="2"/>
  <c r="I3647" i="2" s="1"/>
  <c r="G3647" i="2"/>
  <c r="J3647" i="2" s="1"/>
  <c r="H3648" i="2"/>
  <c r="I3648" i="2" s="1"/>
  <c r="G3648" i="2"/>
  <c r="J3648" i="2" s="1"/>
  <c r="H3649" i="2"/>
  <c r="I3649" i="2" s="1"/>
  <c r="G3649" i="2"/>
  <c r="J3649" i="2" s="1"/>
  <c r="H3650" i="2"/>
  <c r="I3650" i="2" s="1"/>
  <c r="G3650" i="2"/>
  <c r="J3650" i="2" s="1"/>
  <c r="H3651" i="2"/>
  <c r="I3651" i="2" s="1"/>
  <c r="G3651" i="2"/>
  <c r="J3651" i="2" s="1"/>
  <c r="H3652" i="2"/>
  <c r="I3652" i="2" s="1"/>
  <c r="G3652" i="2"/>
  <c r="J3652" i="2" s="1"/>
  <c r="H3653" i="2"/>
  <c r="I3653" i="2" s="1"/>
  <c r="G3653" i="2"/>
  <c r="J3653" i="2" s="1"/>
  <c r="H3654" i="2"/>
  <c r="I3654" i="2" s="1"/>
  <c r="G3654" i="2"/>
  <c r="J3654" i="2" s="1"/>
  <c r="H3655" i="2"/>
  <c r="I3655" i="2" s="1"/>
  <c r="G3655" i="2"/>
  <c r="J3655" i="2" s="1"/>
  <c r="H3656" i="2"/>
  <c r="I3656" i="2" s="1"/>
  <c r="G3656" i="2"/>
  <c r="J3656" i="2" s="1"/>
  <c r="H3657" i="2"/>
  <c r="I3657" i="2" s="1"/>
  <c r="G3657" i="2"/>
  <c r="J3657" i="2" s="1"/>
  <c r="H3658" i="2"/>
  <c r="I3658" i="2" s="1"/>
  <c r="G3658" i="2"/>
  <c r="J3658" i="2" s="1"/>
  <c r="H3659" i="2"/>
  <c r="I3659" i="2" s="1"/>
  <c r="G3659" i="2"/>
  <c r="J3659" i="2" s="1"/>
  <c r="H3660" i="2"/>
  <c r="I3660" i="2" s="1"/>
  <c r="G3660" i="2"/>
  <c r="J3660" i="2" s="1"/>
  <c r="H3661" i="2"/>
  <c r="I3661" i="2" s="1"/>
  <c r="G3661" i="2"/>
  <c r="J3661" i="2" s="1"/>
  <c r="H3662" i="2"/>
  <c r="I3662" i="2" s="1"/>
  <c r="G3662" i="2"/>
  <c r="J3662" i="2" s="1"/>
  <c r="H3663" i="2"/>
  <c r="I3663" i="2" s="1"/>
  <c r="G3663" i="2"/>
  <c r="J3663" i="2" s="1"/>
  <c r="H3664" i="2"/>
  <c r="I3664" i="2" s="1"/>
  <c r="G3664" i="2"/>
  <c r="J3664" i="2" s="1"/>
  <c r="H3665" i="2"/>
  <c r="I3665" i="2" s="1"/>
  <c r="G3665" i="2"/>
  <c r="J3665" i="2" s="1"/>
  <c r="H3666" i="2"/>
  <c r="I3666" i="2" s="1"/>
  <c r="G3666" i="2"/>
  <c r="J3666" i="2" s="1"/>
  <c r="H3667" i="2"/>
  <c r="I3667" i="2" s="1"/>
  <c r="G3667" i="2"/>
  <c r="J3667" i="2" s="1"/>
  <c r="H3668" i="2"/>
  <c r="I3668" i="2" s="1"/>
  <c r="G3668" i="2"/>
  <c r="J3668" i="2" s="1"/>
  <c r="H3669" i="2"/>
  <c r="I3669" i="2" s="1"/>
  <c r="G3669" i="2"/>
  <c r="J3669" i="2" s="1"/>
  <c r="H3670" i="2"/>
  <c r="I3670" i="2" s="1"/>
  <c r="G3670" i="2"/>
  <c r="J3670" i="2" s="1"/>
  <c r="H3671" i="2"/>
  <c r="I3671" i="2" s="1"/>
  <c r="G3671" i="2"/>
  <c r="J3671" i="2" s="1"/>
  <c r="H3672" i="2"/>
  <c r="I3672" i="2" s="1"/>
  <c r="G3672" i="2"/>
  <c r="J3672" i="2" s="1"/>
  <c r="H3673" i="2"/>
  <c r="I3673" i="2" s="1"/>
  <c r="G3673" i="2"/>
  <c r="J3673" i="2" s="1"/>
  <c r="H3674" i="2"/>
  <c r="I3674" i="2" s="1"/>
  <c r="G3674" i="2"/>
  <c r="J3674" i="2" s="1"/>
  <c r="H3675" i="2"/>
  <c r="I3675" i="2" s="1"/>
  <c r="G3675" i="2"/>
  <c r="J3675" i="2" s="1"/>
  <c r="H3676" i="2"/>
  <c r="I3676" i="2" s="1"/>
  <c r="G3676" i="2"/>
  <c r="J3676" i="2" s="1"/>
  <c r="H3677" i="2"/>
  <c r="I3677" i="2" s="1"/>
  <c r="G3677" i="2"/>
  <c r="J3677" i="2" s="1"/>
  <c r="H3678" i="2"/>
  <c r="I3678" i="2" s="1"/>
  <c r="G3678" i="2"/>
  <c r="J3678" i="2" s="1"/>
  <c r="H3679" i="2"/>
  <c r="I3679" i="2" s="1"/>
  <c r="G3679" i="2"/>
  <c r="J3679" i="2" s="1"/>
  <c r="H3680" i="2"/>
  <c r="I3680" i="2" s="1"/>
  <c r="G3680" i="2"/>
  <c r="J3680" i="2" s="1"/>
  <c r="H3681" i="2"/>
  <c r="I3681" i="2" s="1"/>
  <c r="G3681" i="2"/>
  <c r="J3681" i="2" s="1"/>
  <c r="H3682" i="2"/>
  <c r="I3682" i="2" s="1"/>
  <c r="G3682" i="2"/>
  <c r="J3682" i="2" s="1"/>
  <c r="H3683" i="2"/>
  <c r="I3683" i="2" s="1"/>
  <c r="G3683" i="2"/>
  <c r="J3683" i="2" s="1"/>
  <c r="H3684" i="2"/>
  <c r="I3684" i="2" s="1"/>
  <c r="G3684" i="2"/>
  <c r="J3684" i="2" s="1"/>
  <c r="H3685" i="2"/>
  <c r="I3685" i="2" s="1"/>
  <c r="G3685" i="2"/>
  <c r="J3685" i="2" s="1"/>
  <c r="H3686" i="2"/>
  <c r="I3686" i="2" s="1"/>
  <c r="G3686" i="2"/>
  <c r="J3686" i="2" s="1"/>
  <c r="H3687" i="2"/>
  <c r="I3687" i="2" s="1"/>
  <c r="G3687" i="2"/>
  <c r="J3687" i="2" s="1"/>
  <c r="H3688" i="2"/>
  <c r="I3688" i="2" s="1"/>
  <c r="G3688" i="2"/>
  <c r="J3688" i="2" s="1"/>
  <c r="H3689" i="2"/>
  <c r="I3689" i="2" s="1"/>
  <c r="G3689" i="2"/>
  <c r="J3689" i="2" s="1"/>
  <c r="H3690" i="2"/>
  <c r="I3690" i="2" s="1"/>
  <c r="G3690" i="2"/>
  <c r="J3690" i="2" s="1"/>
  <c r="H3691" i="2"/>
  <c r="I3691" i="2" s="1"/>
  <c r="G3691" i="2"/>
  <c r="J3691" i="2" s="1"/>
  <c r="H3692" i="2"/>
  <c r="I3692" i="2" s="1"/>
  <c r="G3692" i="2"/>
  <c r="J3692" i="2" s="1"/>
  <c r="H3693" i="2"/>
  <c r="I3693" i="2" s="1"/>
  <c r="G3693" i="2"/>
  <c r="J3693" i="2" s="1"/>
  <c r="H3694" i="2"/>
  <c r="I3694" i="2" s="1"/>
  <c r="G3694" i="2"/>
  <c r="J3694" i="2" s="1"/>
  <c r="H3695" i="2"/>
  <c r="I3695" i="2" s="1"/>
  <c r="G3695" i="2"/>
  <c r="J3695" i="2" s="1"/>
  <c r="H3696" i="2"/>
  <c r="I3696" i="2" s="1"/>
  <c r="G3696" i="2"/>
  <c r="J3696" i="2" s="1"/>
  <c r="H3697" i="2"/>
  <c r="I3697" i="2" s="1"/>
  <c r="G3697" i="2"/>
  <c r="J3697" i="2" s="1"/>
  <c r="H3698" i="2"/>
  <c r="I3698" i="2" s="1"/>
  <c r="G3698" i="2"/>
  <c r="J3698" i="2" s="1"/>
  <c r="H3699" i="2"/>
  <c r="I3699" i="2" s="1"/>
  <c r="G3699" i="2"/>
  <c r="J3699" i="2" s="1"/>
  <c r="H3700" i="2"/>
  <c r="I3700" i="2" s="1"/>
  <c r="G3700" i="2"/>
  <c r="J3700" i="2" s="1"/>
  <c r="H3701" i="2"/>
  <c r="I3701" i="2" s="1"/>
  <c r="G3701" i="2"/>
  <c r="J3701" i="2" s="1"/>
  <c r="H3702" i="2"/>
  <c r="I3702" i="2" s="1"/>
  <c r="G3702" i="2"/>
  <c r="J3702" i="2" s="1"/>
  <c r="H3703" i="2"/>
  <c r="I3703" i="2" s="1"/>
  <c r="G3703" i="2"/>
  <c r="J3703" i="2" s="1"/>
  <c r="H3704" i="2"/>
  <c r="I3704" i="2" s="1"/>
  <c r="G3704" i="2"/>
  <c r="J3704" i="2" s="1"/>
  <c r="H3705" i="2"/>
  <c r="I3705" i="2" s="1"/>
  <c r="G3705" i="2"/>
  <c r="J3705" i="2" s="1"/>
  <c r="H3706" i="2"/>
  <c r="I3706" i="2" s="1"/>
  <c r="G3706" i="2"/>
  <c r="J3706" i="2" s="1"/>
  <c r="H3707" i="2"/>
  <c r="I3707" i="2" s="1"/>
  <c r="G3707" i="2"/>
  <c r="J3707" i="2" s="1"/>
  <c r="H3708" i="2"/>
  <c r="I3708" i="2" s="1"/>
  <c r="G3708" i="2"/>
  <c r="J3708" i="2" s="1"/>
  <c r="H3709" i="2"/>
  <c r="I3709" i="2" s="1"/>
  <c r="G3709" i="2"/>
  <c r="J3709" i="2" s="1"/>
  <c r="H3710" i="2"/>
  <c r="I3710" i="2" s="1"/>
  <c r="G3710" i="2"/>
  <c r="J3710" i="2" s="1"/>
  <c r="H3711" i="2"/>
  <c r="I3711" i="2" s="1"/>
  <c r="G3711" i="2"/>
  <c r="J3711" i="2" s="1"/>
  <c r="H3712" i="2"/>
  <c r="I3712" i="2" s="1"/>
  <c r="G3712" i="2"/>
  <c r="J3712" i="2" s="1"/>
  <c r="H3713" i="2"/>
  <c r="I3713" i="2" s="1"/>
  <c r="G3713" i="2"/>
  <c r="J3713" i="2" s="1"/>
  <c r="H3714" i="2"/>
  <c r="I3714" i="2" s="1"/>
  <c r="G3714" i="2"/>
  <c r="J3714" i="2" s="1"/>
  <c r="H3715" i="2"/>
  <c r="I3715" i="2" s="1"/>
  <c r="G3715" i="2"/>
  <c r="J3715" i="2" s="1"/>
  <c r="H3716" i="2"/>
  <c r="I3716" i="2" s="1"/>
  <c r="G3716" i="2"/>
  <c r="J3716" i="2" s="1"/>
  <c r="H3717" i="2"/>
  <c r="I3717" i="2" s="1"/>
  <c r="G3717" i="2"/>
  <c r="J3717" i="2" s="1"/>
  <c r="H3718" i="2"/>
  <c r="I3718" i="2" s="1"/>
  <c r="G3718" i="2"/>
  <c r="J3718" i="2" s="1"/>
  <c r="H3719" i="2"/>
  <c r="I3719" i="2" s="1"/>
  <c r="G3719" i="2"/>
  <c r="J3719" i="2" s="1"/>
  <c r="H3720" i="2"/>
  <c r="I3720" i="2" s="1"/>
  <c r="G3720" i="2"/>
  <c r="J3720" i="2" s="1"/>
  <c r="H3721" i="2"/>
  <c r="I3721" i="2" s="1"/>
  <c r="G3721" i="2"/>
  <c r="J3721" i="2" s="1"/>
  <c r="H3722" i="2"/>
  <c r="I3722" i="2" s="1"/>
  <c r="G3722" i="2"/>
  <c r="J3722" i="2" s="1"/>
  <c r="H3723" i="2"/>
  <c r="I3723" i="2" s="1"/>
  <c r="G3723" i="2"/>
  <c r="J3723" i="2" s="1"/>
  <c r="H3724" i="2"/>
  <c r="I3724" i="2" s="1"/>
  <c r="G3724" i="2"/>
  <c r="J3724" i="2" s="1"/>
  <c r="H3725" i="2"/>
  <c r="I3725" i="2" s="1"/>
  <c r="G3725" i="2"/>
  <c r="J3725" i="2" s="1"/>
  <c r="H3726" i="2"/>
  <c r="I3726" i="2" s="1"/>
  <c r="G3726" i="2"/>
  <c r="J3726" i="2" s="1"/>
  <c r="H3727" i="2"/>
  <c r="I3727" i="2" s="1"/>
  <c r="G3727" i="2"/>
  <c r="J3727" i="2" s="1"/>
  <c r="H3728" i="2"/>
  <c r="I3728" i="2" s="1"/>
  <c r="G3728" i="2"/>
  <c r="J3728" i="2" s="1"/>
  <c r="H3729" i="2"/>
  <c r="I3729" i="2" s="1"/>
  <c r="G3729" i="2"/>
  <c r="J3729" i="2" s="1"/>
  <c r="H3730" i="2"/>
  <c r="I3730" i="2" s="1"/>
  <c r="G3730" i="2"/>
  <c r="J3730" i="2" s="1"/>
  <c r="H3731" i="2"/>
  <c r="I3731" i="2" s="1"/>
  <c r="G3731" i="2"/>
  <c r="J3731" i="2" s="1"/>
  <c r="H3732" i="2"/>
  <c r="I3732" i="2" s="1"/>
  <c r="G3732" i="2"/>
  <c r="J3732" i="2" s="1"/>
  <c r="H3733" i="2"/>
  <c r="I3733" i="2" s="1"/>
  <c r="G3733" i="2"/>
  <c r="J3733" i="2" s="1"/>
  <c r="H3734" i="2"/>
  <c r="I3734" i="2" s="1"/>
  <c r="G3734" i="2"/>
  <c r="J3734" i="2" s="1"/>
  <c r="H3735" i="2"/>
  <c r="I3735" i="2" s="1"/>
  <c r="G3735" i="2"/>
  <c r="J3735" i="2" s="1"/>
  <c r="H3736" i="2"/>
  <c r="I3736" i="2" s="1"/>
  <c r="G3736" i="2"/>
  <c r="J3736" i="2" s="1"/>
  <c r="H3737" i="2"/>
  <c r="I3737" i="2" s="1"/>
  <c r="G3737" i="2"/>
  <c r="J3737" i="2" s="1"/>
  <c r="H3738" i="2"/>
  <c r="I3738" i="2" s="1"/>
  <c r="G3738" i="2"/>
  <c r="J3738" i="2" s="1"/>
  <c r="H3739" i="2"/>
  <c r="I3739" i="2" s="1"/>
  <c r="G3739" i="2"/>
  <c r="J3739" i="2" s="1"/>
  <c r="H3740" i="2"/>
  <c r="I3740" i="2" s="1"/>
  <c r="G3740" i="2"/>
  <c r="J3740" i="2" s="1"/>
  <c r="H3741" i="2"/>
  <c r="I3741" i="2" s="1"/>
  <c r="G3741" i="2"/>
  <c r="J3741" i="2" s="1"/>
  <c r="H3742" i="2"/>
  <c r="I3742" i="2" s="1"/>
  <c r="G3742" i="2"/>
  <c r="J3742" i="2" s="1"/>
  <c r="H3743" i="2"/>
  <c r="I3743" i="2" s="1"/>
  <c r="G3743" i="2"/>
  <c r="J3743" i="2" s="1"/>
  <c r="H3744" i="2"/>
  <c r="I3744" i="2" s="1"/>
  <c r="G3744" i="2"/>
  <c r="J3744" i="2" s="1"/>
  <c r="H3745" i="2"/>
  <c r="I3745" i="2" s="1"/>
  <c r="G3745" i="2"/>
  <c r="J3745" i="2" s="1"/>
  <c r="H3746" i="2"/>
  <c r="I3746" i="2" s="1"/>
  <c r="G3746" i="2"/>
  <c r="J3746" i="2" s="1"/>
  <c r="H3747" i="2"/>
  <c r="I3747" i="2" s="1"/>
  <c r="G3747" i="2"/>
  <c r="J3747" i="2" s="1"/>
  <c r="H3748" i="2"/>
  <c r="I3748" i="2" s="1"/>
  <c r="G3748" i="2"/>
  <c r="J3748" i="2" s="1"/>
  <c r="H3749" i="2"/>
  <c r="I3749" i="2" s="1"/>
  <c r="G3749" i="2"/>
  <c r="J3749" i="2" s="1"/>
  <c r="H3750" i="2"/>
  <c r="I3750" i="2" s="1"/>
  <c r="G3750" i="2"/>
  <c r="J3750" i="2" s="1"/>
  <c r="H3751" i="2"/>
  <c r="I3751" i="2" s="1"/>
  <c r="G3751" i="2"/>
  <c r="J3751" i="2" s="1"/>
  <c r="H3752" i="2"/>
  <c r="I3752" i="2" s="1"/>
  <c r="G3752" i="2"/>
  <c r="J3752" i="2" s="1"/>
  <c r="H3753" i="2"/>
  <c r="I3753" i="2" s="1"/>
  <c r="G3753" i="2"/>
  <c r="J3753" i="2" s="1"/>
  <c r="H3754" i="2"/>
  <c r="I3754" i="2" s="1"/>
  <c r="G3754" i="2"/>
  <c r="J3754" i="2" s="1"/>
  <c r="H3755" i="2"/>
  <c r="I3755" i="2" s="1"/>
  <c r="G3755" i="2"/>
  <c r="J3755" i="2" s="1"/>
  <c r="H3756" i="2"/>
  <c r="I3756" i="2" s="1"/>
  <c r="G3756" i="2"/>
  <c r="J3756" i="2" s="1"/>
  <c r="H3757" i="2"/>
  <c r="I3757" i="2" s="1"/>
  <c r="G3757" i="2"/>
  <c r="J3757" i="2" s="1"/>
  <c r="H3758" i="2"/>
  <c r="I3758" i="2" s="1"/>
  <c r="G3758" i="2"/>
  <c r="J3758" i="2" s="1"/>
  <c r="H3759" i="2"/>
  <c r="I3759" i="2" s="1"/>
  <c r="G3759" i="2"/>
  <c r="J3759" i="2" s="1"/>
  <c r="H3760" i="2"/>
  <c r="I3760" i="2" s="1"/>
  <c r="G3760" i="2"/>
  <c r="J3760" i="2" s="1"/>
  <c r="H3761" i="2"/>
  <c r="I3761" i="2" s="1"/>
  <c r="G3761" i="2"/>
  <c r="J3761" i="2" s="1"/>
  <c r="H3762" i="2"/>
  <c r="I3762" i="2" s="1"/>
  <c r="G3762" i="2"/>
  <c r="J3762" i="2" s="1"/>
  <c r="H3763" i="2"/>
  <c r="I3763" i="2" s="1"/>
  <c r="G3763" i="2"/>
  <c r="J3763" i="2" s="1"/>
  <c r="H3764" i="2"/>
  <c r="I3764" i="2" s="1"/>
  <c r="G3764" i="2"/>
  <c r="J3764" i="2" s="1"/>
  <c r="H3765" i="2"/>
  <c r="I3765" i="2" s="1"/>
  <c r="G3765" i="2"/>
  <c r="J3765" i="2" s="1"/>
  <c r="H3766" i="2"/>
  <c r="I3766" i="2" s="1"/>
  <c r="G3766" i="2"/>
  <c r="J3766" i="2" s="1"/>
  <c r="H3767" i="2"/>
  <c r="I3767" i="2" s="1"/>
  <c r="G3767" i="2"/>
  <c r="J3767" i="2" s="1"/>
  <c r="H3768" i="2"/>
  <c r="I3768" i="2" s="1"/>
  <c r="G3768" i="2"/>
  <c r="J3768" i="2" s="1"/>
  <c r="H3769" i="2"/>
  <c r="I3769" i="2" s="1"/>
  <c r="G3769" i="2"/>
  <c r="J3769" i="2" s="1"/>
  <c r="H3770" i="2"/>
  <c r="I3770" i="2" s="1"/>
  <c r="G3770" i="2"/>
  <c r="J3770" i="2" s="1"/>
  <c r="H3771" i="2"/>
  <c r="I3771" i="2" s="1"/>
  <c r="G3771" i="2"/>
  <c r="J3771" i="2" s="1"/>
  <c r="H3772" i="2"/>
  <c r="I3772" i="2" s="1"/>
  <c r="G3772" i="2"/>
  <c r="J3772" i="2" s="1"/>
  <c r="H3773" i="2"/>
  <c r="I3773" i="2" s="1"/>
  <c r="G3773" i="2"/>
  <c r="J3773" i="2" s="1"/>
  <c r="H3774" i="2"/>
  <c r="I3774" i="2" s="1"/>
  <c r="G3774" i="2"/>
  <c r="J3774" i="2" s="1"/>
  <c r="H3775" i="2"/>
  <c r="I3775" i="2" s="1"/>
  <c r="G3775" i="2"/>
  <c r="J3775" i="2" s="1"/>
  <c r="H3776" i="2"/>
  <c r="I3776" i="2" s="1"/>
  <c r="G3776" i="2"/>
  <c r="J3776" i="2" s="1"/>
  <c r="H3777" i="2"/>
  <c r="I3777" i="2" s="1"/>
  <c r="G3777" i="2"/>
  <c r="J3777" i="2" s="1"/>
  <c r="H3778" i="2"/>
  <c r="I3778" i="2" s="1"/>
  <c r="G3778" i="2"/>
  <c r="J3778" i="2" s="1"/>
  <c r="H3779" i="2"/>
  <c r="I3779" i="2" s="1"/>
  <c r="G3779" i="2"/>
  <c r="J3779" i="2" s="1"/>
  <c r="H3780" i="2"/>
  <c r="I3780" i="2" s="1"/>
  <c r="G3780" i="2"/>
  <c r="J3780" i="2" s="1"/>
  <c r="H3781" i="2"/>
  <c r="I3781" i="2" s="1"/>
  <c r="G3781" i="2"/>
  <c r="J3781" i="2" s="1"/>
  <c r="H3782" i="2"/>
  <c r="I3782" i="2" s="1"/>
  <c r="G3782" i="2"/>
  <c r="J3782" i="2" s="1"/>
  <c r="H3783" i="2"/>
  <c r="I3783" i="2" s="1"/>
  <c r="G3783" i="2"/>
  <c r="J3783" i="2" s="1"/>
  <c r="H3784" i="2"/>
  <c r="I3784" i="2" s="1"/>
  <c r="G3784" i="2"/>
  <c r="J3784" i="2" s="1"/>
  <c r="H3785" i="2"/>
  <c r="I3785" i="2" s="1"/>
  <c r="G3785" i="2"/>
  <c r="J3785" i="2" s="1"/>
  <c r="H3786" i="2"/>
  <c r="I3786" i="2" s="1"/>
  <c r="G3786" i="2"/>
  <c r="J3786" i="2" s="1"/>
  <c r="H3787" i="2"/>
  <c r="I3787" i="2" s="1"/>
  <c r="G3787" i="2"/>
  <c r="J3787" i="2" s="1"/>
  <c r="H3788" i="2"/>
  <c r="I3788" i="2" s="1"/>
  <c r="G3788" i="2"/>
  <c r="J3788" i="2" s="1"/>
  <c r="H3789" i="2"/>
  <c r="I3789" i="2" s="1"/>
  <c r="G3789" i="2"/>
  <c r="J3789" i="2" s="1"/>
  <c r="H3790" i="2"/>
  <c r="I3790" i="2" s="1"/>
  <c r="G3790" i="2"/>
  <c r="J3790" i="2" s="1"/>
  <c r="H3791" i="2"/>
  <c r="I3791" i="2" s="1"/>
  <c r="G3791" i="2"/>
  <c r="J3791" i="2" s="1"/>
  <c r="H3792" i="2"/>
  <c r="I3792" i="2" s="1"/>
  <c r="G3792" i="2"/>
  <c r="J3792" i="2" s="1"/>
  <c r="H3793" i="2"/>
  <c r="I3793" i="2" s="1"/>
  <c r="G3793" i="2"/>
  <c r="J3793" i="2" s="1"/>
  <c r="H3794" i="2"/>
  <c r="I3794" i="2" s="1"/>
  <c r="G3794" i="2"/>
  <c r="J3794" i="2" s="1"/>
  <c r="H3795" i="2"/>
  <c r="I3795" i="2" s="1"/>
  <c r="G3795" i="2"/>
  <c r="J3795" i="2" s="1"/>
  <c r="H3796" i="2"/>
  <c r="I3796" i="2" s="1"/>
  <c r="G3796" i="2"/>
  <c r="J3796" i="2" s="1"/>
  <c r="H3797" i="2"/>
  <c r="I3797" i="2" s="1"/>
  <c r="G3797" i="2"/>
  <c r="J3797" i="2" s="1"/>
  <c r="H3798" i="2"/>
  <c r="I3798" i="2" s="1"/>
  <c r="G3798" i="2"/>
  <c r="J3798" i="2" s="1"/>
  <c r="H3799" i="2"/>
  <c r="I3799" i="2" s="1"/>
  <c r="G3799" i="2"/>
  <c r="J3799" i="2" s="1"/>
  <c r="H3800" i="2"/>
  <c r="I3800" i="2" s="1"/>
  <c r="G3800" i="2"/>
  <c r="J3800" i="2" s="1"/>
  <c r="H3801" i="2"/>
  <c r="I3801" i="2" s="1"/>
  <c r="G3801" i="2"/>
  <c r="J3801" i="2" s="1"/>
  <c r="H3802" i="2"/>
  <c r="I3802" i="2" s="1"/>
  <c r="G3802" i="2"/>
  <c r="J3802" i="2" s="1"/>
  <c r="H3803" i="2"/>
  <c r="I3803" i="2" s="1"/>
  <c r="G3803" i="2"/>
  <c r="J3803" i="2" s="1"/>
  <c r="H3804" i="2"/>
  <c r="I3804" i="2" s="1"/>
  <c r="G3804" i="2"/>
  <c r="J3804" i="2" s="1"/>
  <c r="H3805" i="2"/>
  <c r="I3805" i="2" s="1"/>
  <c r="G3805" i="2"/>
  <c r="J3805" i="2" s="1"/>
  <c r="H3806" i="2"/>
  <c r="I3806" i="2" s="1"/>
  <c r="G3806" i="2"/>
  <c r="J3806" i="2" s="1"/>
  <c r="H3807" i="2"/>
  <c r="I3807" i="2" s="1"/>
  <c r="G3807" i="2"/>
  <c r="J3807" i="2" s="1"/>
  <c r="H3808" i="2"/>
  <c r="I3808" i="2" s="1"/>
  <c r="G3808" i="2"/>
  <c r="J3808" i="2" s="1"/>
  <c r="H3809" i="2"/>
  <c r="I3809" i="2" s="1"/>
  <c r="G3809" i="2"/>
  <c r="J3809" i="2" s="1"/>
  <c r="H3810" i="2"/>
  <c r="I3810" i="2" s="1"/>
  <c r="G3810" i="2"/>
  <c r="J3810" i="2" s="1"/>
  <c r="H3811" i="2"/>
  <c r="I3811" i="2" s="1"/>
  <c r="G3811" i="2"/>
  <c r="J3811" i="2" s="1"/>
  <c r="H3812" i="2"/>
  <c r="I3812" i="2" s="1"/>
  <c r="G3812" i="2"/>
  <c r="J3812" i="2" s="1"/>
  <c r="H3813" i="2"/>
  <c r="I3813" i="2" s="1"/>
  <c r="G3813" i="2"/>
  <c r="J3813" i="2" s="1"/>
  <c r="H3814" i="2"/>
  <c r="I3814" i="2" s="1"/>
  <c r="G3814" i="2"/>
  <c r="J3814" i="2" s="1"/>
  <c r="H3815" i="2"/>
  <c r="I3815" i="2" s="1"/>
  <c r="G3815" i="2"/>
  <c r="J3815" i="2" s="1"/>
  <c r="H3816" i="2"/>
  <c r="I3816" i="2" s="1"/>
  <c r="G3816" i="2"/>
  <c r="J3816" i="2" s="1"/>
  <c r="H3817" i="2"/>
  <c r="I3817" i="2" s="1"/>
  <c r="G3817" i="2"/>
  <c r="J3817" i="2" s="1"/>
  <c r="H3818" i="2"/>
  <c r="I3818" i="2" s="1"/>
  <c r="G3818" i="2"/>
  <c r="J3818" i="2" s="1"/>
  <c r="H3819" i="2"/>
  <c r="I3819" i="2" s="1"/>
  <c r="G3819" i="2"/>
  <c r="J3819" i="2" s="1"/>
  <c r="H3820" i="2"/>
  <c r="I3820" i="2" s="1"/>
  <c r="G3820" i="2"/>
  <c r="J3820" i="2" s="1"/>
  <c r="H3821" i="2"/>
  <c r="I3821" i="2" s="1"/>
  <c r="G3821" i="2"/>
  <c r="J3821" i="2" s="1"/>
  <c r="H3822" i="2"/>
  <c r="I3822" i="2" s="1"/>
  <c r="G3822" i="2"/>
  <c r="J3822" i="2" s="1"/>
  <c r="H3823" i="2"/>
  <c r="I3823" i="2" s="1"/>
  <c r="G3823" i="2"/>
  <c r="J3823" i="2" s="1"/>
  <c r="H3824" i="2"/>
  <c r="I3824" i="2" s="1"/>
  <c r="G3824" i="2"/>
  <c r="J3824" i="2" s="1"/>
  <c r="H3825" i="2"/>
  <c r="I3825" i="2" s="1"/>
  <c r="G3825" i="2"/>
  <c r="J3825" i="2" s="1"/>
  <c r="H3826" i="2"/>
  <c r="I3826" i="2" s="1"/>
  <c r="G3826" i="2"/>
  <c r="J3826" i="2" s="1"/>
  <c r="H3827" i="2"/>
  <c r="I3827" i="2" s="1"/>
  <c r="G3827" i="2"/>
  <c r="J3827" i="2" s="1"/>
  <c r="H3828" i="2"/>
  <c r="I3828" i="2" s="1"/>
  <c r="G3828" i="2"/>
  <c r="J3828" i="2" s="1"/>
  <c r="H3829" i="2"/>
  <c r="I3829" i="2" s="1"/>
  <c r="G3829" i="2"/>
  <c r="J3829" i="2" s="1"/>
  <c r="H3830" i="2"/>
  <c r="I3830" i="2" s="1"/>
  <c r="G3830" i="2"/>
  <c r="J3830" i="2" s="1"/>
  <c r="H3831" i="2"/>
  <c r="I3831" i="2" s="1"/>
  <c r="G3831" i="2"/>
  <c r="J3831" i="2" s="1"/>
  <c r="H3832" i="2"/>
  <c r="I3832" i="2" s="1"/>
  <c r="G3832" i="2"/>
  <c r="J3832" i="2" s="1"/>
  <c r="H3833" i="2"/>
  <c r="I3833" i="2" s="1"/>
  <c r="G3833" i="2"/>
  <c r="J3833" i="2" s="1"/>
  <c r="H3834" i="2"/>
  <c r="I3834" i="2" s="1"/>
  <c r="G3834" i="2"/>
  <c r="J3834" i="2" s="1"/>
  <c r="H3835" i="2"/>
  <c r="I3835" i="2" s="1"/>
  <c r="G3835" i="2"/>
  <c r="J3835" i="2" s="1"/>
  <c r="H3836" i="2"/>
  <c r="I3836" i="2" s="1"/>
  <c r="G3836" i="2"/>
  <c r="J3836" i="2" s="1"/>
  <c r="H3837" i="2"/>
  <c r="I3837" i="2" s="1"/>
  <c r="G3837" i="2"/>
  <c r="J3837" i="2" s="1"/>
  <c r="H3838" i="2"/>
  <c r="I3838" i="2" s="1"/>
  <c r="G3838" i="2"/>
  <c r="J3838" i="2" s="1"/>
  <c r="H3839" i="2"/>
  <c r="I3839" i="2" s="1"/>
  <c r="G3839" i="2"/>
  <c r="J3839" i="2" s="1"/>
  <c r="H3840" i="2"/>
  <c r="I3840" i="2" s="1"/>
  <c r="G3840" i="2"/>
  <c r="J3840" i="2" s="1"/>
  <c r="H3841" i="2"/>
  <c r="I3841" i="2" s="1"/>
  <c r="G3841" i="2"/>
  <c r="J3841" i="2" s="1"/>
  <c r="H3842" i="2"/>
  <c r="I3842" i="2" s="1"/>
  <c r="G3842" i="2"/>
  <c r="J3842" i="2" s="1"/>
  <c r="H3843" i="2"/>
  <c r="I3843" i="2" s="1"/>
  <c r="G3843" i="2"/>
  <c r="J3843" i="2" s="1"/>
  <c r="H3844" i="2"/>
  <c r="I3844" i="2" s="1"/>
  <c r="G3844" i="2"/>
  <c r="J3844" i="2" s="1"/>
  <c r="H3845" i="2"/>
  <c r="I3845" i="2" s="1"/>
  <c r="G3845" i="2"/>
  <c r="J3845" i="2" s="1"/>
  <c r="H3846" i="2"/>
  <c r="I3846" i="2" s="1"/>
  <c r="G3846" i="2"/>
  <c r="J3846" i="2" s="1"/>
  <c r="H3847" i="2"/>
  <c r="I3847" i="2" s="1"/>
  <c r="G3847" i="2"/>
  <c r="J3847" i="2" s="1"/>
  <c r="H3848" i="2"/>
  <c r="I3848" i="2" s="1"/>
  <c r="G3848" i="2"/>
  <c r="J3848" i="2" s="1"/>
  <c r="H3849" i="2"/>
  <c r="I3849" i="2" s="1"/>
  <c r="G3849" i="2"/>
  <c r="J3849" i="2" s="1"/>
  <c r="H3850" i="2"/>
  <c r="I3850" i="2" s="1"/>
  <c r="G3850" i="2"/>
  <c r="J3850" i="2" s="1"/>
  <c r="H3851" i="2"/>
  <c r="I3851" i="2" s="1"/>
  <c r="G3851" i="2"/>
  <c r="J3851" i="2" s="1"/>
  <c r="H3852" i="2"/>
  <c r="I3852" i="2" s="1"/>
  <c r="G3852" i="2"/>
  <c r="J3852" i="2" s="1"/>
  <c r="H3853" i="2"/>
  <c r="I3853" i="2" s="1"/>
  <c r="G3853" i="2"/>
  <c r="J3853" i="2" s="1"/>
  <c r="H3854" i="2"/>
  <c r="I3854" i="2" s="1"/>
  <c r="G3854" i="2"/>
  <c r="J3854" i="2" s="1"/>
  <c r="H3855" i="2"/>
  <c r="I3855" i="2" s="1"/>
  <c r="G3855" i="2"/>
  <c r="J3855" i="2" s="1"/>
  <c r="H3856" i="2"/>
  <c r="I3856" i="2" s="1"/>
  <c r="G3856" i="2"/>
  <c r="J3856" i="2" s="1"/>
  <c r="H3857" i="2"/>
  <c r="I3857" i="2" s="1"/>
  <c r="G3857" i="2"/>
  <c r="J3857" i="2" s="1"/>
  <c r="H3858" i="2"/>
  <c r="I3858" i="2" s="1"/>
  <c r="G3858" i="2"/>
  <c r="J3858" i="2" s="1"/>
  <c r="H3859" i="2"/>
  <c r="I3859" i="2" s="1"/>
  <c r="G3859" i="2"/>
  <c r="J3859" i="2" s="1"/>
  <c r="H3860" i="2"/>
  <c r="I3860" i="2" s="1"/>
  <c r="G3860" i="2"/>
  <c r="J3860" i="2" s="1"/>
  <c r="H3861" i="2"/>
  <c r="I3861" i="2" s="1"/>
  <c r="G3861" i="2"/>
  <c r="J3861" i="2" s="1"/>
  <c r="H3862" i="2"/>
  <c r="I3862" i="2" s="1"/>
  <c r="G3862" i="2"/>
  <c r="J3862" i="2" s="1"/>
  <c r="H3863" i="2"/>
  <c r="I3863" i="2" s="1"/>
  <c r="G3863" i="2"/>
  <c r="J3863" i="2" s="1"/>
  <c r="H3864" i="2"/>
  <c r="I3864" i="2" s="1"/>
  <c r="G3864" i="2"/>
  <c r="J3864" i="2" s="1"/>
  <c r="H3865" i="2"/>
  <c r="I3865" i="2" s="1"/>
  <c r="G3865" i="2"/>
  <c r="J3865" i="2" s="1"/>
  <c r="H3866" i="2"/>
  <c r="I3866" i="2" s="1"/>
  <c r="G3866" i="2"/>
  <c r="J3866" i="2" s="1"/>
  <c r="H3867" i="2"/>
  <c r="I3867" i="2" s="1"/>
  <c r="G3867" i="2"/>
  <c r="J3867" i="2" s="1"/>
  <c r="H3868" i="2"/>
  <c r="I3868" i="2" s="1"/>
  <c r="G3868" i="2"/>
  <c r="J3868" i="2" s="1"/>
  <c r="H3869" i="2"/>
  <c r="I3869" i="2" s="1"/>
  <c r="G3869" i="2"/>
  <c r="J3869" i="2" s="1"/>
  <c r="H3870" i="2"/>
  <c r="I3870" i="2" s="1"/>
  <c r="G3870" i="2"/>
  <c r="J3870" i="2" s="1"/>
  <c r="H3871" i="2"/>
  <c r="I3871" i="2" s="1"/>
  <c r="G3871" i="2"/>
  <c r="J3871" i="2" s="1"/>
  <c r="H3872" i="2"/>
  <c r="I3872" i="2" s="1"/>
  <c r="G3872" i="2"/>
  <c r="J3872" i="2" s="1"/>
  <c r="H3873" i="2"/>
  <c r="I3873" i="2" s="1"/>
  <c r="G3873" i="2"/>
  <c r="J3873" i="2" s="1"/>
  <c r="H3874" i="2"/>
  <c r="I3874" i="2" s="1"/>
  <c r="G3874" i="2"/>
  <c r="J3874" i="2" s="1"/>
  <c r="H3875" i="2"/>
  <c r="I3875" i="2" s="1"/>
  <c r="G3875" i="2"/>
  <c r="J3875" i="2" s="1"/>
  <c r="H3876" i="2"/>
  <c r="I3876" i="2" s="1"/>
  <c r="G3876" i="2"/>
  <c r="J3876" i="2" s="1"/>
  <c r="H3877" i="2"/>
  <c r="I3877" i="2" s="1"/>
  <c r="G3877" i="2"/>
  <c r="J3877" i="2" s="1"/>
  <c r="H3878" i="2"/>
  <c r="I3878" i="2" s="1"/>
  <c r="G3878" i="2"/>
  <c r="J3878" i="2" s="1"/>
  <c r="H3879" i="2"/>
  <c r="I3879" i="2" s="1"/>
  <c r="G3879" i="2"/>
  <c r="J3879" i="2" s="1"/>
  <c r="H3880" i="2"/>
  <c r="I3880" i="2" s="1"/>
  <c r="G3880" i="2"/>
  <c r="J3880" i="2" s="1"/>
  <c r="H3881" i="2"/>
  <c r="I3881" i="2" s="1"/>
  <c r="G3881" i="2"/>
  <c r="J3881" i="2" s="1"/>
  <c r="H3882" i="2"/>
  <c r="I3882" i="2" s="1"/>
  <c r="G3882" i="2"/>
  <c r="J3882" i="2" s="1"/>
  <c r="H3883" i="2"/>
  <c r="I3883" i="2" s="1"/>
  <c r="G3883" i="2"/>
  <c r="J3883" i="2" s="1"/>
  <c r="H3884" i="2"/>
  <c r="I3884" i="2" s="1"/>
  <c r="G3884" i="2"/>
  <c r="J3884" i="2" s="1"/>
  <c r="H3885" i="2"/>
  <c r="I3885" i="2" s="1"/>
  <c r="G3885" i="2"/>
  <c r="J3885" i="2" s="1"/>
  <c r="H3886" i="2"/>
  <c r="I3886" i="2" s="1"/>
  <c r="G3886" i="2"/>
  <c r="J3886" i="2" s="1"/>
  <c r="H3887" i="2"/>
  <c r="I3887" i="2" s="1"/>
  <c r="G3887" i="2"/>
  <c r="J3887" i="2" s="1"/>
  <c r="H3888" i="2"/>
  <c r="I3888" i="2" s="1"/>
  <c r="G3888" i="2"/>
  <c r="J3888" i="2" s="1"/>
  <c r="H3889" i="2"/>
  <c r="I3889" i="2" s="1"/>
  <c r="G3889" i="2"/>
  <c r="J3889" i="2" s="1"/>
  <c r="H3890" i="2"/>
  <c r="I3890" i="2" s="1"/>
  <c r="G3890" i="2"/>
  <c r="J3890" i="2" s="1"/>
  <c r="H3891" i="2"/>
  <c r="I3891" i="2" s="1"/>
  <c r="G3891" i="2"/>
  <c r="J3891" i="2" s="1"/>
  <c r="H3892" i="2"/>
  <c r="I3892" i="2" s="1"/>
  <c r="G3892" i="2"/>
  <c r="J3892" i="2" s="1"/>
  <c r="H3893" i="2"/>
  <c r="I3893" i="2" s="1"/>
  <c r="G3893" i="2"/>
  <c r="J3893" i="2" s="1"/>
  <c r="H3894" i="2"/>
  <c r="I3894" i="2" s="1"/>
  <c r="G3894" i="2"/>
  <c r="J3894" i="2" s="1"/>
  <c r="H3895" i="2"/>
  <c r="I3895" i="2" s="1"/>
  <c r="G3895" i="2"/>
  <c r="J3895" i="2" s="1"/>
  <c r="H3896" i="2"/>
  <c r="I3896" i="2" s="1"/>
  <c r="G3896" i="2"/>
  <c r="J3896" i="2" s="1"/>
  <c r="H3897" i="2"/>
  <c r="I3897" i="2" s="1"/>
  <c r="G3897" i="2"/>
  <c r="J3897" i="2" s="1"/>
  <c r="H3898" i="2"/>
  <c r="I3898" i="2" s="1"/>
  <c r="G3898" i="2"/>
  <c r="J3898" i="2" s="1"/>
  <c r="H3899" i="2"/>
  <c r="I3899" i="2" s="1"/>
  <c r="G3899" i="2"/>
  <c r="J3899" i="2" s="1"/>
  <c r="H3900" i="2"/>
  <c r="I3900" i="2" s="1"/>
  <c r="G3900" i="2"/>
  <c r="J3900" i="2" s="1"/>
  <c r="H3901" i="2"/>
  <c r="I3901" i="2" s="1"/>
  <c r="G3901" i="2"/>
  <c r="J3901" i="2" s="1"/>
  <c r="H3902" i="2"/>
  <c r="I3902" i="2" s="1"/>
  <c r="G3902" i="2"/>
  <c r="J3902" i="2" s="1"/>
  <c r="H3903" i="2"/>
  <c r="I3903" i="2" s="1"/>
  <c r="G3903" i="2"/>
  <c r="J3903" i="2" s="1"/>
  <c r="H3904" i="2"/>
  <c r="I3904" i="2" s="1"/>
  <c r="G3904" i="2"/>
  <c r="J3904" i="2" s="1"/>
  <c r="H3905" i="2"/>
  <c r="I3905" i="2" s="1"/>
  <c r="G3905" i="2"/>
  <c r="J3905" i="2" s="1"/>
  <c r="H3906" i="2"/>
  <c r="I3906" i="2" s="1"/>
  <c r="G3906" i="2"/>
  <c r="J3906" i="2" s="1"/>
  <c r="H3907" i="2"/>
  <c r="I3907" i="2" s="1"/>
  <c r="G3907" i="2"/>
  <c r="J3907" i="2" s="1"/>
  <c r="H3908" i="2"/>
  <c r="I3908" i="2" s="1"/>
  <c r="G3908" i="2"/>
  <c r="J3908" i="2" s="1"/>
  <c r="H3909" i="2"/>
  <c r="I3909" i="2" s="1"/>
  <c r="G3909" i="2"/>
  <c r="J3909" i="2" s="1"/>
  <c r="H3910" i="2"/>
  <c r="I3910" i="2" s="1"/>
  <c r="G3910" i="2"/>
  <c r="J3910" i="2" s="1"/>
  <c r="H3911" i="2"/>
  <c r="I3911" i="2" s="1"/>
  <c r="G3911" i="2"/>
  <c r="J3911" i="2" s="1"/>
  <c r="H3912" i="2"/>
  <c r="I3912" i="2" s="1"/>
  <c r="G3912" i="2"/>
  <c r="J3912" i="2" s="1"/>
  <c r="H3913" i="2"/>
  <c r="I3913" i="2" s="1"/>
  <c r="G3913" i="2"/>
  <c r="J3913" i="2" s="1"/>
  <c r="H3914" i="2"/>
  <c r="I3914" i="2" s="1"/>
  <c r="G3914" i="2"/>
  <c r="J3914" i="2" s="1"/>
  <c r="H3915" i="2"/>
  <c r="I3915" i="2" s="1"/>
  <c r="G3915" i="2"/>
  <c r="J3915" i="2" s="1"/>
  <c r="H3916" i="2"/>
  <c r="I3916" i="2" s="1"/>
  <c r="G3916" i="2"/>
  <c r="J3916" i="2" s="1"/>
  <c r="H3917" i="2"/>
  <c r="I3917" i="2" s="1"/>
  <c r="G3917" i="2"/>
  <c r="J3917" i="2" s="1"/>
  <c r="H3918" i="2"/>
  <c r="I3918" i="2" s="1"/>
  <c r="G3918" i="2"/>
  <c r="J3918" i="2" s="1"/>
  <c r="H3919" i="2"/>
  <c r="I3919" i="2" s="1"/>
  <c r="G3919" i="2"/>
  <c r="J3919" i="2" s="1"/>
  <c r="H3920" i="2"/>
  <c r="I3920" i="2" s="1"/>
  <c r="G3920" i="2"/>
  <c r="J3920" i="2" s="1"/>
  <c r="H3921" i="2"/>
  <c r="I3921" i="2" s="1"/>
  <c r="G3921" i="2"/>
  <c r="J3921" i="2" s="1"/>
  <c r="H3922" i="2"/>
  <c r="I3922" i="2" s="1"/>
  <c r="G3922" i="2"/>
  <c r="J3922" i="2" s="1"/>
  <c r="H3923" i="2"/>
  <c r="I3923" i="2" s="1"/>
  <c r="G3923" i="2"/>
  <c r="J3923" i="2" s="1"/>
  <c r="H3924" i="2"/>
  <c r="I3924" i="2" s="1"/>
  <c r="G3924" i="2"/>
  <c r="J3924" i="2" s="1"/>
  <c r="H3925" i="2"/>
  <c r="I3925" i="2" s="1"/>
  <c r="G3925" i="2"/>
  <c r="J3925" i="2" s="1"/>
  <c r="H3926" i="2"/>
  <c r="I3926" i="2" s="1"/>
  <c r="G3926" i="2"/>
  <c r="J3926" i="2" s="1"/>
  <c r="H3927" i="2"/>
  <c r="I3927" i="2" s="1"/>
  <c r="G3927" i="2"/>
  <c r="J3927" i="2" s="1"/>
  <c r="H3928" i="2"/>
  <c r="I3928" i="2" s="1"/>
  <c r="G3928" i="2"/>
  <c r="J3928" i="2" s="1"/>
  <c r="H3929" i="2"/>
  <c r="I3929" i="2" s="1"/>
  <c r="G3929" i="2"/>
  <c r="J3929" i="2" s="1"/>
  <c r="H3930" i="2"/>
  <c r="I3930" i="2" s="1"/>
  <c r="G3930" i="2"/>
  <c r="J3930" i="2" s="1"/>
  <c r="H3931" i="2"/>
  <c r="I3931" i="2" s="1"/>
  <c r="G3931" i="2"/>
  <c r="J3931" i="2" s="1"/>
  <c r="H3932" i="2"/>
  <c r="I3932" i="2" s="1"/>
  <c r="G3932" i="2"/>
  <c r="J3932" i="2" s="1"/>
  <c r="H3933" i="2"/>
  <c r="I3933" i="2" s="1"/>
  <c r="G3933" i="2"/>
  <c r="J3933" i="2" s="1"/>
  <c r="H3934" i="2"/>
  <c r="I3934" i="2" s="1"/>
  <c r="G3934" i="2"/>
  <c r="J3934" i="2" s="1"/>
  <c r="H3935" i="2"/>
  <c r="I3935" i="2" s="1"/>
  <c r="G3935" i="2"/>
  <c r="J3935" i="2" s="1"/>
  <c r="H3936" i="2"/>
  <c r="I3936" i="2" s="1"/>
  <c r="G3936" i="2"/>
  <c r="J3936" i="2" s="1"/>
  <c r="H3937" i="2"/>
  <c r="I3937" i="2" s="1"/>
  <c r="G3937" i="2"/>
  <c r="J3937" i="2" s="1"/>
  <c r="H3938" i="2"/>
  <c r="I3938" i="2" s="1"/>
  <c r="G3938" i="2"/>
  <c r="J3938" i="2" s="1"/>
  <c r="H3939" i="2"/>
  <c r="I3939" i="2" s="1"/>
  <c r="G3939" i="2"/>
  <c r="J3939" i="2" s="1"/>
  <c r="H3940" i="2"/>
  <c r="I3940" i="2" s="1"/>
  <c r="G3940" i="2"/>
  <c r="J3940" i="2" s="1"/>
  <c r="H3941" i="2"/>
  <c r="I3941" i="2" s="1"/>
  <c r="G3941" i="2"/>
  <c r="J3941" i="2" s="1"/>
  <c r="H3942" i="2"/>
  <c r="I3942" i="2" s="1"/>
  <c r="G3942" i="2"/>
  <c r="J3942" i="2" s="1"/>
  <c r="H3943" i="2"/>
  <c r="I3943" i="2" s="1"/>
  <c r="G3943" i="2"/>
  <c r="J3943" i="2" s="1"/>
  <c r="H3944" i="2"/>
  <c r="I3944" i="2" s="1"/>
  <c r="G3944" i="2"/>
  <c r="J3944" i="2" s="1"/>
  <c r="H3945" i="2"/>
  <c r="I3945" i="2" s="1"/>
  <c r="G3945" i="2"/>
  <c r="J3945" i="2" s="1"/>
  <c r="H3946" i="2"/>
  <c r="I3946" i="2" s="1"/>
  <c r="G3946" i="2"/>
  <c r="J3946" i="2" s="1"/>
  <c r="H3947" i="2"/>
  <c r="I3947" i="2" s="1"/>
  <c r="G3947" i="2"/>
  <c r="J3947" i="2" s="1"/>
  <c r="H3948" i="2"/>
  <c r="I3948" i="2" s="1"/>
  <c r="G3948" i="2"/>
  <c r="J3948" i="2" s="1"/>
  <c r="H3949" i="2"/>
  <c r="I3949" i="2" s="1"/>
  <c r="G3949" i="2"/>
  <c r="J3949" i="2" s="1"/>
  <c r="H3950" i="2"/>
  <c r="I3950" i="2" s="1"/>
  <c r="G3950" i="2"/>
  <c r="J3950" i="2" s="1"/>
  <c r="H3951" i="2"/>
  <c r="I3951" i="2" s="1"/>
  <c r="G3951" i="2"/>
  <c r="J3951" i="2" s="1"/>
  <c r="H3952" i="2"/>
  <c r="I3952" i="2" s="1"/>
  <c r="G3952" i="2"/>
  <c r="J3952" i="2" s="1"/>
  <c r="H3953" i="2"/>
  <c r="I3953" i="2" s="1"/>
  <c r="G3953" i="2"/>
  <c r="J3953" i="2" s="1"/>
  <c r="H3954" i="2"/>
  <c r="I3954" i="2" s="1"/>
  <c r="G3954" i="2"/>
  <c r="J3954" i="2" s="1"/>
  <c r="H3955" i="2"/>
  <c r="I3955" i="2" s="1"/>
  <c r="G3955" i="2"/>
  <c r="J3955" i="2" s="1"/>
  <c r="H3956" i="2"/>
  <c r="I3956" i="2" s="1"/>
  <c r="G3956" i="2"/>
  <c r="J3956" i="2" s="1"/>
  <c r="H3957" i="2"/>
  <c r="I3957" i="2" s="1"/>
  <c r="G3957" i="2"/>
  <c r="J3957" i="2" s="1"/>
  <c r="H3958" i="2"/>
  <c r="I3958" i="2" s="1"/>
  <c r="G3958" i="2"/>
  <c r="J3958" i="2" s="1"/>
  <c r="H3959" i="2"/>
  <c r="I3959" i="2" s="1"/>
  <c r="G3959" i="2"/>
  <c r="J3959" i="2" s="1"/>
  <c r="H3960" i="2"/>
  <c r="I3960" i="2" s="1"/>
  <c r="G3960" i="2"/>
  <c r="J3960" i="2" s="1"/>
  <c r="H3961" i="2"/>
  <c r="I3961" i="2" s="1"/>
  <c r="G3961" i="2"/>
  <c r="J3961" i="2" s="1"/>
  <c r="H3962" i="2"/>
  <c r="I3962" i="2" s="1"/>
  <c r="G3962" i="2"/>
  <c r="J3962" i="2" s="1"/>
  <c r="H3963" i="2"/>
  <c r="I3963" i="2" s="1"/>
  <c r="G3963" i="2"/>
  <c r="J3963" i="2" s="1"/>
  <c r="H3964" i="2"/>
  <c r="I3964" i="2" s="1"/>
  <c r="G3964" i="2"/>
  <c r="J3964" i="2" s="1"/>
  <c r="H3965" i="2"/>
  <c r="I3965" i="2" s="1"/>
  <c r="G3965" i="2"/>
  <c r="J3965" i="2" s="1"/>
  <c r="H3966" i="2"/>
  <c r="I3966" i="2" s="1"/>
  <c r="G3966" i="2"/>
  <c r="J3966" i="2" s="1"/>
  <c r="H3967" i="2"/>
  <c r="I3967" i="2" s="1"/>
  <c r="G3967" i="2"/>
  <c r="J3967" i="2" s="1"/>
  <c r="H3968" i="2"/>
  <c r="I3968" i="2" s="1"/>
  <c r="G3968" i="2"/>
  <c r="J3968" i="2" s="1"/>
  <c r="H3969" i="2"/>
  <c r="I3969" i="2" s="1"/>
  <c r="G3969" i="2"/>
  <c r="J3969" i="2" s="1"/>
  <c r="H3970" i="2"/>
  <c r="I3970" i="2" s="1"/>
  <c r="G3970" i="2"/>
  <c r="J3970" i="2" s="1"/>
  <c r="H3971" i="2"/>
  <c r="I3971" i="2" s="1"/>
  <c r="G3971" i="2"/>
  <c r="J3971" i="2" s="1"/>
  <c r="H3972" i="2"/>
  <c r="I3972" i="2" s="1"/>
  <c r="G3972" i="2"/>
  <c r="J3972" i="2" s="1"/>
  <c r="H3973" i="2"/>
  <c r="I3973" i="2" s="1"/>
  <c r="G3973" i="2"/>
  <c r="J3973" i="2" s="1"/>
  <c r="H3974" i="2"/>
  <c r="I3974" i="2" s="1"/>
  <c r="G3974" i="2"/>
  <c r="J3974" i="2" s="1"/>
  <c r="H3975" i="2"/>
  <c r="I3975" i="2" s="1"/>
  <c r="G3975" i="2"/>
  <c r="J3975" i="2" s="1"/>
  <c r="H3976" i="2"/>
  <c r="I3976" i="2" s="1"/>
  <c r="G3976" i="2"/>
  <c r="J3976" i="2" s="1"/>
  <c r="H3977" i="2"/>
  <c r="I3977" i="2" s="1"/>
  <c r="G3977" i="2"/>
  <c r="J3977" i="2" s="1"/>
  <c r="H3978" i="2"/>
  <c r="I3978" i="2" s="1"/>
  <c r="G3978" i="2"/>
  <c r="J3978" i="2" s="1"/>
  <c r="H3979" i="2"/>
  <c r="I3979" i="2" s="1"/>
  <c r="G3979" i="2"/>
  <c r="J3979" i="2" s="1"/>
  <c r="H3980" i="2"/>
  <c r="I3980" i="2" s="1"/>
  <c r="G3980" i="2"/>
  <c r="J3980" i="2" s="1"/>
  <c r="H3981" i="2"/>
  <c r="I3981" i="2" s="1"/>
  <c r="G3981" i="2"/>
  <c r="J3981" i="2" s="1"/>
  <c r="H3982" i="2"/>
  <c r="I3982" i="2" s="1"/>
  <c r="G3982" i="2"/>
  <c r="J3982" i="2" s="1"/>
  <c r="H3983" i="2"/>
  <c r="I3983" i="2" s="1"/>
  <c r="G3983" i="2"/>
  <c r="J3983" i="2" s="1"/>
  <c r="H3984" i="2"/>
  <c r="I3984" i="2" s="1"/>
  <c r="G3984" i="2"/>
  <c r="J3984" i="2" s="1"/>
  <c r="H3985" i="2"/>
  <c r="I3985" i="2" s="1"/>
  <c r="G3985" i="2"/>
  <c r="J3985" i="2" s="1"/>
  <c r="H3986" i="2"/>
  <c r="I3986" i="2" s="1"/>
  <c r="G3986" i="2"/>
  <c r="J3986" i="2" s="1"/>
  <c r="H3987" i="2"/>
  <c r="I3987" i="2" s="1"/>
  <c r="G3987" i="2"/>
  <c r="J3987" i="2" s="1"/>
  <c r="H3988" i="2"/>
  <c r="I3988" i="2" s="1"/>
  <c r="G3988" i="2"/>
  <c r="J3988" i="2" s="1"/>
  <c r="H3989" i="2"/>
  <c r="I3989" i="2" s="1"/>
  <c r="G3989" i="2"/>
  <c r="J3989" i="2" s="1"/>
  <c r="H3990" i="2"/>
  <c r="I3990" i="2" s="1"/>
  <c r="G3990" i="2"/>
  <c r="J3990" i="2" s="1"/>
  <c r="H3991" i="2"/>
  <c r="I3991" i="2" s="1"/>
  <c r="G3991" i="2"/>
  <c r="J3991" i="2" s="1"/>
  <c r="H3992" i="2"/>
  <c r="I3992" i="2" s="1"/>
  <c r="G3992" i="2"/>
  <c r="J3992" i="2" s="1"/>
  <c r="H3993" i="2"/>
  <c r="I3993" i="2" s="1"/>
  <c r="G3993" i="2"/>
  <c r="J3993" i="2" s="1"/>
  <c r="H3994" i="2"/>
  <c r="I3994" i="2" s="1"/>
  <c r="G3994" i="2"/>
  <c r="J3994" i="2" s="1"/>
  <c r="H3995" i="2"/>
  <c r="I3995" i="2" s="1"/>
  <c r="G3995" i="2"/>
  <c r="J3995" i="2" s="1"/>
  <c r="H3996" i="2"/>
  <c r="I3996" i="2" s="1"/>
  <c r="G3996" i="2"/>
  <c r="J3996" i="2" s="1"/>
  <c r="H3997" i="2"/>
  <c r="I3997" i="2" s="1"/>
  <c r="G3997" i="2"/>
  <c r="J3997" i="2" s="1"/>
  <c r="H3998" i="2"/>
  <c r="I3998" i="2" s="1"/>
  <c r="G3998" i="2"/>
  <c r="J3998" i="2" s="1"/>
  <c r="H3999" i="2"/>
  <c r="I3999" i="2" s="1"/>
  <c r="G3999" i="2"/>
  <c r="J3999" i="2" s="1"/>
  <c r="H4000" i="2"/>
  <c r="I4000" i="2" s="1"/>
  <c r="G4000" i="2"/>
  <c r="J4000" i="2" s="1"/>
  <c r="H4001" i="2"/>
  <c r="I4001" i="2" s="1"/>
  <c r="G4001" i="2"/>
  <c r="J4001" i="2" s="1"/>
  <c r="H4002" i="2"/>
  <c r="I4002" i="2" s="1"/>
  <c r="G4002" i="2"/>
  <c r="J4002" i="2" s="1"/>
  <c r="H4003" i="2"/>
  <c r="I4003" i="2" s="1"/>
  <c r="G4003" i="2"/>
  <c r="J4003" i="2" s="1"/>
  <c r="H4004" i="2"/>
  <c r="I4004" i="2" s="1"/>
  <c r="G4004" i="2"/>
  <c r="J4004" i="2" s="1"/>
  <c r="H4005" i="2"/>
  <c r="I4005" i="2" s="1"/>
  <c r="G4005" i="2"/>
  <c r="J4005" i="2" s="1"/>
  <c r="H4006" i="2"/>
  <c r="I4006" i="2" s="1"/>
  <c r="G4006" i="2"/>
  <c r="J4006" i="2" s="1"/>
  <c r="H4007" i="2"/>
  <c r="I4007" i="2" s="1"/>
  <c r="G4007" i="2"/>
  <c r="J4007" i="2" s="1"/>
  <c r="H4008" i="2"/>
  <c r="I4008" i="2" s="1"/>
  <c r="G4008" i="2"/>
  <c r="J4008" i="2" s="1"/>
  <c r="H4009" i="2"/>
  <c r="I4009" i="2" s="1"/>
  <c r="G4009" i="2"/>
  <c r="J4009" i="2" s="1"/>
  <c r="H4010" i="2"/>
  <c r="I4010" i="2" s="1"/>
  <c r="G4010" i="2"/>
  <c r="J4010" i="2" s="1"/>
  <c r="H4011" i="2"/>
  <c r="I4011" i="2" s="1"/>
  <c r="G4011" i="2"/>
  <c r="J4011" i="2" s="1"/>
  <c r="H4012" i="2"/>
  <c r="I4012" i="2" s="1"/>
  <c r="G4012" i="2"/>
  <c r="J4012" i="2" s="1"/>
  <c r="H4013" i="2"/>
  <c r="I4013" i="2" s="1"/>
  <c r="G4013" i="2"/>
  <c r="J4013" i="2" s="1"/>
  <c r="H4014" i="2"/>
  <c r="I4014" i="2" s="1"/>
  <c r="G4014" i="2"/>
  <c r="J4014" i="2" s="1"/>
  <c r="H4015" i="2"/>
  <c r="I4015" i="2" s="1"/>
  <c r="G4015" i="2"/>
  <c r="J4015" i="2" s="1"/>
  <c r="H4016" i="2"/>
  <c r="I4016" i="2" s="1"/>
  <c r="G4016" i="2"/>
  <c r="J4016" i="2" s="1"/>
  <c r="H4017" i="2"/>
  <c r="I4017" i="2" s="1"/>
  <c r="G4017" i="2"/>
  <c r="J4017" i="2" s="1"/>
  <c r="H4018" i="2"/>
  <c r="I4018" i="2" s="1"/>
  <c r="G4018" i="2"/>
  <c r="J4018" i="2" s="1"/>
  <c r="H4019" i="2"/>
  <c r="I4019" i="2" s="1"/>
  <c r="G4019" i="2"/>
  <c r="J4019" i="2" s="1"/>
  <c r="H4020" i="2"/>
  <c r="I4020" i="2" s="1"/>
  <c r="G4020" i="2"/>
  <c r="J4020" i="2" s="1"/>
  <c r="H4021" i="2"/>
  <c r="I4021" i="2" s="1"/>
  <c r="G4021" i="2"/>
  <c r="J4021" i="2" s="1"/>
  <c r="H4022" i="2"/>
  <c r="I4022" i="2" s="1"/>
  <c r="G4022" i="2"/>
  <c r="J4022" i="2" s="1"/>
  <c r="H4023" i="2"/>
  <c r="I4023" i="2" s="1"/>
  <c r="G4023" i="2"/>
  <c r="J4023" i="2" s="1"/>
  <c r="H4024" i="2"/>
  <c r="I4024" i="2" s="1"/>
  <c r="G4024" i="2"/>
  <c r="J4024" i="2" s="1"/>
  <c r="H4025" i="2"/>
  <c r="I4025" i="2" s="1"/>
  <c r="G4025" i="2"/>
  <c r="J4025" i="2" s="1"/>
  <c r="H4026" i="2"/>
  <c r="I4026" i="2" s="1"/>
  <c r="G4026" i="2"/>
  <c r="J4026" i="2" s="1"/>
  <c r="H4027" i="2"/>
  <c r="I4027" i="2" s="1"/>
  <c r="G4027" i="2"/>
  <c r="J4027" i="2" s="1"/>
  <c r="H4028" i="2"/>
  <c r="I4028" i="2" s="1"/>
  <c r="G4028" i="2"/>
  <c r="J4028" i="2" s="1"/>
  <c r="H4029" i="2"/>
  <c r="I4029" i="2" s="1"/>
  <c r="G4029" i="2"/>
  <c r="J4029" i="2" s="1"/>
  <c r="H4030" i="2"/>
  <c r="I4030" i="2" s="1"/>
  <c r="G4030" i="2"/>
  <c r="J4030" i="2" s="1"/>
  <c r="H4031" i="2"/>
  <c r="I4031" i="2" s="1"/>
  <c r="G4031" i="2"/>
  <c r="J4031" i="2" s="1"/>
  <c r="H4032" i="2"/>
  <c r="I4032" i="2" s="1"/>
  <c r="G4032" i="2"/>
  <c r="J4032" i="2" s="1"/>
  <c r="H4033" i="2"/>
  <c r="I4033" i="2" s="1"/>
  <c r="G4033" i="2"/>
  <c r="J4033" i="2" s="1"/>
  <c r="H4034" i="2"/>
  <c r="I4034" i="2" s="1"/>
  <c r="G4034" i="2"/>
  <c r="J4034" i="2" s="1"/>
  <c r="H4035" i="2"/>
  <c r="I4035" i="2" s="1"/>
  <c r="G4035" i="2"/>
  <c r="J4035" i="2" s="1"/>
  <c r="H4036" i="2"/>
  <c r="I4036" i="2" s="1"/>
  <c r="G4036" i="2"/>
  <c r="J4036" i="2" s="1"/>
  <c r="H4037" i="2"/>
  <c r="I4037" i="2" s="1"/>
  <c r="G4037" i="2"/>
  <c r="J4037" i="2" s="1"/>
  <c r="H4038" i="2"/>
  <c r="I4038" i="2" s="1"/>
  <c r="G4038" i="2"/>
  <c r="J4038" i="2" s="1"/>
  <c r="H4039" i="2"/>
  <c r="I4039" i="2" s="1"/>
  <c r="G4039" i="2"/>
  <c r="J4039" i="2" s="1"/>
  <c r="H4040" i="2"/>
  <c r="I4040" i="2" s="1"/>
  <c r="G4040" i="2"/>
  <c r="J4040" i="2" s="1"/>
  <c r="H4041" i="2"/>
  <c r="I4041" i="2" s="1"/>
  <c r="G4041" i="2"/>
  <c r="J4041" i="2" s="1"/>
  <c r="H4042" i="2"/>
  <c r="I4042" i="2" s="1"/>
  <c r="G4042" i="2"/>
  <c r="J4042" i="2" s="1"/>
  <c r="H4043" i="2"/>
  <c r="I4043" i="2" s="1"/>
  <c r="G4043" i="2"/>
  <c r="J4043" i="2" s="1"/>
  <c r="H4044" i="2"/>
  <c r="I4044" i="2" s="1"/>
  <c r="G4044" i="2"/>
  <c r="J4044" i="2" s="1"/>
  <c r="H4045" i="2"/>
  <c r="I4045" i="2" s="1"/>
  <c r="G4045" i="2"/>
  <c r="J4045" i="2" s="1"/>
  <c r="H4046" i="2"/>
  <c r="I4046" i="2" s="1"/>
  <c r="G4046" i="2"/>
  <c r="J4046" i="2" s="1"/>
  <c r="H4047" i="2"/>
  <c r="I4047" i="2" s="1"/>
  <c r="G4047" i="2"/>
  <c r="J4047" i="2" s="1"/>
  <c r="H4048" i="2"/>
  <c r="I4048" i="2" s="1"/>
  <c r="G4048" i="2"/>
  <c r="J4048" i="2" s="1"/>
  <c r="H4049" i="2"/>
  <c r="I4049" i="2" s="1"/>
  <c r="G4049" i="2"/>
  <c r="J4049" i="2" s="1"/>
  <c r="H4050" i="2"/>
  <c r="I4050" i="2" s="1"/>
  <c r="G4050" i="2"/>
  <c r="J4050" i="2" s="1"/>
  <c r="H4051" i="2"/>
  <c r="I4051" i="2" s="1"/>
  <c r="G4051" i="2"/>
  <c r="J4051" i="2" s="1"/>
  <c r="H4052" i="2"/>
  <c r="I4052" i="2" s="1"/>
  <c r="G4052" i="2"/>
  <c r="J4052" i="2" s="1"/>
  <c r="H4053" i="2"/>
  <c r="I4053" i="2" s="1"/>
  <c r="G4053" i="2"/>
  <c r="J4053" i="2" s="1"/>
  <c r="H4054" i="2"/>
  <c r="I4054" i="2" s="1"/>
  <c r="G4054" i="2"/>
  <c r="J4054" i="2" s="1"/>
  <c r="H4055" i="2"/>
  <c r="I4055" i="2" s="1"/>
  <c r="G4055" i="2"/>
  <c r="J4055" i="2" s="1"/>
  <c r="H4056" i="2"/>
  <c r="I4056" i="2" s="1"/>
  <c r="G4056" i="2"/>
  <c r="J4056" i="2" s="1"/>
  <c r="H4057" i="2"/>
  <c r="I4057" i="2" s="1"/>
  <c r="G4057" i="2"/>
  <c r="J4057" i="2" s="1"/>
  <c r="H4058" i="2"/>
  <c r="I4058" i="2" s="1"/>
  <c r="G4058" i="2"/>
  <c r="J4058" i="2" s="1"/>
  <c r="H4059" i="2"/>
  <c r="I4059" i="2" s="1"/>
  <c r="G4059" i="2"/>
  <c r="J4059" i="2" s="1"/>
  <c r="H4060" i="2"/>
  <c r="I4060" i="2" s="1"/>
  <c r="G4060" i="2"/>
  <c r="J4060" i="2" s="1"/>
  <c r="H4061" i="2"/>
  <c r="I4061" i="2" s="1"/>
  <c r="G4061" i="2"/>
  <c r="J4061" i="2" s="1"/>
  <c r="H4062" i="2"/>
  <c r="I4062" i="2" s="1"/>
  <c r="G4062" i="2"/>
  <c r="J4062" i="2" s="1"/>
  <c r="H4063" i="2"/>
  <c r="I4063" i="2" s="1"/>
  <c r="G4063" i="2"/>
  <c r="J4063" i="2" s="1"/>
  <c r="H4064" i="2"/>
  <c r="I4064" i="2" s="1"/>
  <c r="G4064" i="2"/>
  <c r="J4064" i="2" s="1"/>
  <c r="H4065" i="2"/>
  <c r="I4065" i="2" s="1"/>
  <c r="G4065" i="2"/>
  <c r="J4065" i="2" s="1"/>
  <c r="H4066" i="2"/>
  <c r="I4066" i="2" s="1"/>
  <c r="G4066" i="2"/>
  <c r="J4066" i="2" s="1"/>
  <c r="H4067" i="2"/>
  <c r="I4067" i="2" s="1"/>
  <c r="G4067" i="2"/>
  <c r="J4067" i="2" s="1"/>
  <c r="H4068" i="2"/>
  <c r="I4068" i="2" s="1"/>
  <c r="G4068" i="2"/>
  <c r="J4068" i="2" s="1"/>
  <c r="H4069" i="2"/>
  <c r="I4069" i="2" s="1"/>
  <c r="G4069" i="2"/>
  <c r="J4069" i="2" s="1"/>
  <c r="H4070" i="2"/>
  <c r="I4070" i="2" s="1"/>
  <c r="G4070" i="2"/>
  <c r="J4070" i="2" s="1"/>
  <c r="H4071" i="2"/>
  <c r="I4071" i="2" s="1"/>
  <c r="G4071" i="2"/>
  <c r="J4071" i="2" s="1"/>
  <c r="H4072" i="2"/>
  <c r="I4072" i="2" s="1"/>
  <c r="G4072" i="2"/>
  <c r="J4072" i="2" s="1"/>
  <c r="H4073" i="2"/>
  <c r="I4073" i="2" s="1"/>
  <c r="G4073" i="2"/>
  <c r="J4073" i="2" s="1"/>
  <c r="H4074" i="2"/>
  <c r="I4074" i="2" s="1"/>
  <c r="G4074" i="2"/>
  <c r="J4074" i="2" s="1"/>
  <c r="H4075" i="2"/>
  <c r="I4075" i="2" s="1"/>
  <c r="G4075" i="2"/>
  <c r="J4075" i="2" s="1"/>
  <c r="H4076" i="2"/>
  <c r="I4076" i="2" s="1"/>
  <c r="G4076" i="2"/>
  <c r="J4076" i="2" s="1"/>
  <c r="H4077" i="2"/>
  <c r="I4077" i="2" s="1"/>
  <c r="G4077" i="2"/>
  <c r="J4077" i="2" s="1"/>
  <c r="H4078" i="2"/>
  <c r="I4078" i="2" s="1"/>
  <c r="G4078" i="2"/>
  <c r="J4078" i="2" s="1"/>
  <c r="H4079" i="2"/>
  <c r="I4079" i="2" s="1"/>
  <c r="G4079" i="2"/>
  <c r="J4079" i="2" s="1"/>
  <c r="H4080" i="2"/>
  <c r="I4080" i="2" s="1"/>
  <c r="G4080" i="2"/>
  <c r="J4080" i="2" s="1"/>
  <c r="H4081" i="2"/>
  <c r="I4081" i="2" s="1"/>
  <c r="G4081" i="2"/>
  <c r="J4081" i="2" s="1"/>
  <c r="H4082" i="2"/>
  <c r="I4082" i="2" s="1"/>
  <c r="G4082" i="2"/>
  <c r="J4082" i="2" s="1"/>
  <c r="H4083" i="2"/>
  <c r="I4083" i="2" s="1"/>
  <c r="G4083" i="2"/>
  <c r="J4083" i="2" s="1"/>
  <c r="H4084" i="2"/>
  <c r="I4084" i="2" s="1"/>
  <c r="G4084" i="2"/>
  <c r="J4084" i="2" s="1"/>
  <c r="H4085" i="2"/>
  <c r="I4085" i="2" s="1"/>
  <c r="G4085" i="2"/>
  <c r="J4085" i="2" s="1"/>
  <c r="H4086" i="2"/>
  <c r="I4086" i="2" s="1"/>
  <c r="G4086" i="2"/>
  <c r="J4086" i="2" s="1"/>
  <c r="H4087" i="2"/>
  <c r="I4087" i="2" s="1"/>
  <c r="G4087" i="2"/>
  <c r="J4087" i="2" s="1"/>
  <c r="H4088" i="2"/>
  <c r="I4088" i="2" s="1"/>
  <c r="G4088" i="2"/>
  <c r="J4088" i="2" s="1"/>
  <c r="H4089" i="2"/>
  <c r="I4089" i="2" s="1"/>
  <c r="G4089" i="2"/>
  <c r="J4089" i="2" s="1"/>
  <c r="H4090" i="2"/>
  <c r="I4090" i="2" s="1"/>
  <c r="G4090" i="2"/>
  <c r="J4090" i="2" s="1"/>
  <c r="H4091" i="2"/>
  <c r="I4091" i="2" s="1"/>
  <c r="G4091" i="2"/>
  <c r="J4091" i="2" s="1"/>
  <c r="H4092" i="2"/>
  <c r="I4092" i="2" s="1"/>
  <c r="G4092" i="2"/>
  <c r="J4092" i="2" s="1"/>
  <c r="H4093" i="2"/>
  <c r="I4093" i="2" s="1"/>
  <c r="G4093" i="2"/>
  <c r="J4093" i="2" s="1"/>
  <c r="H4094" i="2"/>
  <c r="I4094" i="2" s="1"/>
  <c r="G4094" i="2"/>
  <c r="J4094" i="2" s="1"/>
  <c r="H4095" i="2"/>
  <c r="I4095" i="2" s="1"/>
  <c r="G4095" i="2"/>
  <c r="J4095" i="2" s="1"/>
  <c r="H4096" i="2"/>
  <c r="I4096" i="2" s="1"/>
  <c r="G4096" i="2"/>
  <c r="J4096" i="2" s="1"/>
  <c r="H4097" i="2"/>
  <c r="I4097" i="2" s="1"/>
  <c r="G4097" i="2"/>
  <c r="J4097" i="2" s="1"/>
  <c r="H4098" i="2"/>
  <c r="I4098" i="2" s="1"/>
  <c r="G4098" i="2"/>
  <c r="J4098" i="2" s="1"/>
  <c r="H4099" i="2"/>
  <c r="I4099" i="2" s="1"/>
  <c r="G4099" i="2"/>
  <c r="J4099" i="2" s="1"/>
  <c r="H4100" i="2"/>
  <c r="I4100" i="2" s="1"/>
  <c r="G4100" i="2"/>
  <c r="J4100" i="2" s="1"/>
  <c r="H4101" i="2"/>
  <c r="I4101" i="2" s="1"/>
  <c r="G4101" i="2"/>
  <c r="J4101" i="2" s="1"/>
  <c r="H4102" i="2"/>
  <c r="I4102" i="2" s="1"/>
  <c r="G4102" i="2"/>
  <c r="J4102" i="2" s="1"/>
  <c r="H4103" i="2"/>
  <c r="I4103" i="2" s="1"/>
  <c r="G4103" i="2"/>
  <c r="J4103" i="2" s="1"/>
  <c r="H4104" i="2"/>
  <c r="I4104" i="2" s="1"/>
  <c r="G4104" i="2"/>
  <c r="J4104" i="2" s="1"/>
  <c r="H4105" i="2"/>
  <c r="I4105" i="2" s="1"/>
  <c r="G4105" i="2"/>
  <c r="J4105" i="2" s="1"/>
  <c r="H4106" i="2"/>
  <c r="I4106" i="2" s="1"/>
  <c r="G4106" i="2"/>
  <c r="J4106" i="2" s="1"/>
  <c r="H4107" i="2"/>
  <c r="I4107" i="2" s="1"/>
  <c r="G4107" i="2"/>
  <c r="J4107" i="2" s="1"/>
  <c r="H4108" i="2"/>
  <c r="I4108" i="2" s="1"/>
  <c r="G4108" i="2"/>
  <c r="J4108" i="2" s="1"/>
  <c r="H4109" i="2"/>
  <c r="I4109" i="2" s="1"/>
  <c r="G4109" i="2"/>
  <c r="J4109" i="2" s="1"/>
  <c r="H4110" i="2"/>
  <c r="I4110" i="2" s="1"/>
  <c r="G4110" i="2"/>
  <c r="J4110" i="2" s="1"/>
  <c r="H4111" i="2"/>
  <c r="I4111" i="2" s="1"/>
  <c r="G4111" i="2"/>
  <c r="J4111" i="2" s="1"/>
  <c r="H4112" i="2"/>
  <c r="I4112" i="2" s="1"/>
  <c r="G4112" i="2"/>
  <c r="J4112" i="2" s="1"/>
  <c r="H4113" i="2"/>
  <c r="I4113" i="2" s="1"/>
  <c r="G4113" i="2"/>
  <c r="J4113" i="2" s="1"/>
  <c r="H4114" i="2"/>
  <c r="I4114" i="2" s="1"/>
  <c r="G4114" i="2"/>
  <c r="J4114" i="2" s="1"/>
  <c r="H4115" i="2"/>
  <c r="I4115" i="2" s="1"/>
  <c r="G4115" i="2"/>
  <c r="J4115" i="2" s="1"/>
  <c r="H4116" i="2"/>
  <c r="I4116" i="2" s="1"/>
  <c r="G4116" i="2"/>
  <c r="J4116" i="2" s="1"/>
  <c r="H4117" i="2"/>
  <c r="I4117" i="2" s="1"/>
  <c r="G4117" i="2"/>
  <c r="J4117" i="2" s="1"/>
  <c r="H4118" i="2"/>
  <c r="I4118" i="2" s="1"/>
  <c r="G4118" i="2"/>
  <c r="J4118" i="2" s="1"/>
  <c r="H4119" i="2"/>
  <c r="I4119" i="2" s="1"/>
  <c r="G4119" i="2"/>
  <c r="J4119" i="2" s="1"/>
  <c r="H4120" i="2"/>
  <c r="I4120" i="2" s="1"/>
  <c r="G4120" i="2"/>
  <c r="J4120" i="2" s="1"/>
  <c r="H4121" i="2"/>
  <c r="I4121" i="2" s="1"/>
  <c r="G4121" i="2"/>
  <c r="J4121" i="2" s="1"/>
  <c r="H4122" i="2"/>
  <c r="I4122" i="2" s="1"/>
  <c r="G4122" i="2"/>
  <c r="J4122" i="2" s="1"/>
  <c r="H4123" i="2"/>
  <c r="I4123" i="2" s="1"/>
  <c r="G4123" i="2"/>
  <c r="J4123" i="2" s="1"/>
  <c r="H4124" i="2"/>
  <c r="I4124" i="2" s="1"/>
  <c r="G4124" i="2"/>
  <c r="J4124" i="2" s="1"/>
  <c r="H4125" i="2"/>
  <c r="I4125" i="2" s="1"/>
  <c r="G4125" i="2"/>
  <c r="J4125" i="2" s="1"/>
  <c r="H4126" i="2"/>
  <c r="I4126" i="2" s="1"/>
  <c r="G4126" i="2"/>
  <c r="J4126" i="2" s="1"/>
  <c r="H4127" i="2"/>
  <c r="I4127" i="2" s="1"/>
  <c r="G4127" i="2"/>
  <c r="J4127" i="2" s="1"/>
  <c r="H4128" i="2"/>
  <c r="I4128" i="2" s="1"/>
  <c r="G4128" i="2"/>
  <c r="J4128" i="2" s="1"/>
  <c r="H4129" i="2"/>
  <c r="I4129" i="2" s="1"/>
  <c r="G4129" i="2"/>
  <c r="J4129" i="2" s="1"/>
  <c r="H4130" i="2"/>
  <c r="I4130" i="2" s="1"/>
  <c r="G4130" i="2"/>
  <c r="J4130" i="2" s="1"/>
  <c r="H4131" i="2"/>
  <c r="I4131" i="2" s="1"/>
  <c r="G4131" i="2"/>
  <c r="J4131" i="2" s="1"/>
  <c r="H4132" i="2"/>
  <c r="I4132" i="2" s="1"/>
  <c r="G4132" i="2"/>
  <c r="J4132" i="2" s="1"/>
  <c r="H4133" i="2"/>
  <c r="I4133" i="2" s="1"/>
  <c r="G4133" i="2"/>
  <c r="J4133" i="2" s="1"/>
  <c r="H4134" i="2"/>
  <c r="I4134" i="2" s="1"/>
  <c r="G4134" i="2"/>
  <c r="J4134" i="2" s="1"/>
  <c r="H4135" i="2"/>
  <c r="I4135" i="2" s="1"/>
  <c r="G4135" i="2"/>
  <c r="J4135" i="2" s="1"/>
  <c r="H4136" i="2"/>
  <c r="I4136" i="2" s="1"/>
  <c r="G4136" i="2"/>
  <c r="J4136" i="2" s="1"/>
  <c r="H4137" i="2"/>
  <c r="I4137" i="2" s="1"/>
  <c r="G4137" i="2"/>
  <c r="J4137" i="2" s="1"/>
  <c r="H4138" i="2"/>
  <c r="I4138" i="2" s="1"/>
  <c r="G4138" i="2"/>
  <c r="J4138" i="2" s="1"/>
  <c r="H4139" i="2"/>
  <c r="I4139" i="2" s="1"/>
  <c r="G4139" i="2"/>
  <c r="J4139" i="2" s="1"/>
  <c r="H4140" i="2"/>
  <c r="I4140" i="2" s="1"/>
  <c r="G4140" i="2"/>
  <c r="J4140" i="2" s="1"/>
  <c r="H4141" i="2"/>
  <c r="I4141" i="2" s="1"/>
  <c r="G4141" i="2"/>
  <c r="J4141" i="2" s="1"/>
  <c r="H4142" i="2"/>
  <c r="I4142" i="2" s="1"/>
  <c r="G4142" i="2"/>
  <c r="J4142" i="2" s="1"/>
  <c r="H4143" i="2"/>
  <c r="I4143" i="2" s="1"/>
  <c r="G4143" i="2"/>
  <c r="J4143" i="2" s="1"/>
  <c r="H4144" i="2"/>
  <c r="I4144" i="2" s="1"/>
  <c r="G4144" i="2"/>
  <c r="J4144" i="2" s="1"/>
  <c r="H4145" i="2"/>
  <c r="I4145" i="2" s="1"/>
  <c r="G4145" i="2"/>
  <c r="J4145" i="2" s="1"/>
  <c r="H4146" i="2"/>
  <c r="I4146" i="2" s="1"/>
  <c r="G4146" i="2"/>
  <c r="J4146" i="2" s="1"/>
  <c r="H4147" i="2"/>
  <c r="I4147" i="2" s="1"/>
  <c r="G4147" i="2"/>
  <c r="J4147" i="2" s="1"/>
  <c r="H4148" i="2"/>
  <c r="I4148" i="2" s="1"/>
  <c r="G4148" i="2"/>
  <c r="J4148" i="2" s="1"/>
  <c r="H4149" i="2"/>
  <c r="I4149" i="2" s="1"/>
  <c r="G4149" i="2"/>
  <c r="J4149" i="2" s="1"/>
  <c r="H4150" i="2"/>
  <c r="I4150" i="2" s="1"/>
  <c r="G4150" i="2"/>
  <c r="J4150" i="2" s="1"/>
  <c r="H4151" i="2"/>
  <c r="I4151" i="2" s="1"/>
  <c r="G4151" i="2"/>
  <c r="J4151" i="2" s="1"/>
  <c r="H4152" i="2"/>
  <c r="I4152" i="2" s="1"/>
  <c r="G4152" i="2"/>
  <c r="J4152" i="2" s="1"/>
  <c r="H4153" i="2"/>
  <c r="I4153" i="2" s="1"/>
  <c r="G4153" i="2"/>
  <c r="J4153" i="2" s="1"/>
  <c r="H4154" i="2"/>
  <c r="I4154" i="2" s="1"/>
  <c r="G4154" i="2"/>
  <c r="J4154" i="2" s="1"/>
  <c r="H4155" i="2"/>
  <c r="I4155" i="2" s="1"/>
  <c r="G4155" i="2"/>
  <c r="J4155" i="2" s="1"/>
  <c r="H4156" i="2"/>
  <c r="I4156" i="2" s="1"/>
  <c r="G4156" i="2"/>
  <c r="J4156" i="2" s="1"/>
  <c r="H4157" i="2"/>
  <c r="I4157" i="2" s="1"/>
  <c r="G4157" i="2"/>
  <c r="J4157" i="2" s="1"/>
  <c r="H4158" i="2"/>
  <c r="I4158" i="2" s="1"/>
  <c r="G4158" i="2"/>
  <c r="J4158" i="2" s="1"/>
  <c r="H4159" i="2"/>
  <c r="I4159" i="2" s="1"/>
  <c r="G4159" i="2"/>
  <c r="J4159" i="2" s="1"/>
  <c r="H4160" i="2"/>
  <c r="I4160" i="2" s="1"/>
  <c r="G4160" i="2"/>
  <c r="J4160" i="2" s="1"/>
  <c r="H4161" i="2"/>
  <c r="I4161" i="2" s="1"/>
  <c r="G4161" i="2"/>
  <c r="J4161" i="2" s="1"/>
  <c r="H4162" i="2"/>
  <c r="I4162" i="2" s="1"/>
  <c r="G4162" i="2"/>
  <c r="J4162" i="2" s="1"/>
  <c r="H4163" i="2"/>
  <c r="I4163" i="2" s="1"/>
  <c r="G4163" i="2"/>
  <c r="J4163" i="2" s="1"/>
  <c r="H4164" i="2"/>
  <c r="I4164" i="2" s="1"/>
  <c r="G4164" i="2"/>
  <c r="J4164" i="2" s="1"/>
  <c r="H4165" i="2"/>
  <c r="I4165" i="2" s="1"/>
  <c r="G4165" i="2"/>
  <c r="J4165" i="2" s="1"/>
  <c r="H4166" i="2"/>
  <c r="I4166" i="2" s="1"/>
  <c r="G4166" i="2"/>
  <c r="J4166" i="2" s="1"/>
  <c r="H4167" i="2"/>
  <c r="I4167" i="2" s="1"/>
  <c r="G4167" i="2"/>
  <c r="J4167" i="2" s="1"/>
  <c r="H4168" i="2"/>
  <c r="I4168" i="2" s="1"/>
  <c r="G4168" i="2"/>
  <c r="J4168" i="2" s="1"/>
  <c r="H4169" i="2"/>
  <c r="I4169" i="2" s="1"/>
  <c r="G4169" i="2"/>
  <c r="J4169" i="2" s="1"/>
  <c r="H4170" i="2"/>
  <c r="I4170" i="2" s="1"/>
  <c r="G4170" i="2"/>
  <c r="J4170" i="2" s="1"/>
  <c r="H4171" i="2"/>
  <c r="I4171" i="2" s="1"/>
  <c r="G4171" i="2"/>
  <c r="J4171" i="2" s="1"/>
  <c r="H4172" i="2"/>
  <c r="I4172" i="2" s="1"/>
  <c r="G4172" i="2"/>
  <c r="J4172" i="2" s="1"/>
  <c r="H4173" i="2"/>
  <c r="I4173" i="2" s="1"/>
  <c r="G4173" i="2"/>
  <c r="J4173" i="2" s="1"/>
  <c r="H4174" i="2"/>
  <c r="I4174" i="2" s="1"/>
  <c r="G4174" i="2"/>
  <c r="J4174" i="2" s="1"/>
  <c r="H4175" i="2"/>
  <c r="I4175" i="2" s="1"/>
  <c r="G4175" i="2"/>
  <c r="J4175" i="2" s="1"/>
  <c r="H4176" i="2"/>
  <c r="I4176" i="2" s="1"/>
  <c r="G4176" i="2"/>
  <c r="J4176" i="2" s="1"/>
  <c r="H4177" i="2"/>
  <c r="I4177" i="2" s="1"/>
  <c r="G4177" i="2"/>
  <c r="J4177" i="2" s="1"/>
  <c r="H4178" i="2"/>
  <c r="I4178" i="2" s="1"/>
  <c r="G4178" i="2"/>
  <c r="J4178" i="2" s="1"/>
  <c r="H4179" i="2"/>
  <c r="I4179" i="2" s="1"/>
  <c r="G4179" i="2"/>
  <c r="J4179" i="2" s="1"/>
  <c r="H4180" i="2"/>
  <c r="I4180" i="2" s="1"/>
  <c r="G4180" i="2"/>
  <c r="J4180" i="2" s="1"/>
  <c r="H4181" i="2"/>
  <c r="I4181" i="2" s="1"/>
  <c r="G4181" i="2"/>
  <c r="J4181" i="2" s="1"/>
  <c r="H4182" i="2"/>
  <c r="I4182" i="2" s="1"/>
  <c r="G4182" i="2"/>
  <c r="J4182" i="2" s="1"/>
  <c r="H4183" i="2"/>
  <c r="I4183" i="2" s="1"/>
  <c r="G4183" i="2"/>
  <c r="J4183" i="2" s="1"/>
  <c r="H4184" i="2"/>
  <c r="I4184" i="2" s="1"/>
  <c r="G4184" i="2"/>
  <c r="J4184" i="2" s="1"/>
  <c r="H4185" i="2"/>
  <c r="I4185" i="2" s="1"/>
  <c r="G4185" i="2"/>
  <c r="J4185" i="2" s="1"/>
  <c r="H4186" i="2"/>
  <c r="I4186" i="2" s="1"/>
  <c r="G4186" i="2"/>
  <c r="J4186" i="2" s="1"/>
  <c r="H4187" i="2"/>
  <c r="I4187" i="2" s="1"/>
  <c r="G4187" i="2"/>
  <c r="J4187" i="2" s="1"/>
  <c r="H4188" i="2"/>
  <c r="I4188" i="2" s="1"/>
  <c r="G4188" i="2"/>
  <c r="J4188" i="2" s="1"/>
  <c r="H4189" i="2"/>
  <c r="I4189" i="2" s="1"/>
  <c r="G4189" i="2"/>
  <c r="J4189" i="2" s="1"/>
  <c r="H4190" i="2"/>
  <c r="I4190" i="2" s="1"/>
  <c r="G4190" i="2"/>
  <c r="J4190" i="2" s="1"/>
  <c r="H4191" i="2"/>
  <c r="I4191" i="2" s="1"/>
  <c r="G4191" i="2"/>
  <c r="J4191" i="2" s="1"/>
  <c r="H4192" i="2"/>
  <c r="I4192" i="2" s="1"/>
  <c r="G4192" i="2"/>
  <c r="J4192" i="2" s="1"/>
  <c r="H4193" i="2"/>
  <c r="I4193" i="2" s="1"/>
  <c r="G4193" i="2"/>
  <c r="J4193" i="2" s="1"/>
  <c r="H4194" i="2"/>
  <c r="I4194" i="2" s="1"/>
  <c r="G4194" i="2"/>
  <c r="J4194" i="2" s="1"/>
  <c r="H4195" i="2"/>
  <c r="I4195" i="2" s="1"/>
  <c r="G4195" i="2"/>
  <c r="J4195" i="2" s="1"/>
  <c r="H4196" i="2"/>
  <c r="I4196" i="2" s="1"/>
  <c r="G4196" i="2"/>
  <c r="J4196" i="2" s="1"/>
  <c r="H4197" i="2"/>
  <c r="I4197" i="2" s="1"/>
  <c r="G4197" i="2"/>
  <c r="J4197" i="2" s="1"/>
  <c r="H4198" i="2"/>
  <c r="I4198" i="2" s="1"/>
  <c r="G4198" i="2"/>
  <c r="J4198" i="2" s="1"/>
  <c r="H4199" i="2"/>
  <c r="I4199" i="2" s="1"/>
  <c r="G4199" i="2"/>
  <c r="J4199" i="2" s="1"/>
  <c r="H4200" i="2"/>
  <c r="I4200" i="2" s="1"/>
  <c r="G4200" i="2"/>
  <c r="J4200" i="2" s="1"/>
  <c r="H4201" i="2"/>
  <c r="I4201" i="2" s="1"/>
  <c r="G4201" i="2"/>
  <c r="J4201" i="2" s="1"/>
  <c r="H4202" i="2"/>
  <c r="I4202" i="2" s="1"/>
  <c r="G4202" i="2"/>
  <c r="J4202" i="2" s="1"/>
  <c r="H4203" i="2"/>
  <c r="I4203" i="2" s="1"/>
  <c r="G4203" i="2"/>
  <c r="J4203" i="2" s="1"/>
  <c r="H4204" i="2"/>
  <c r="I4204" i="2" s="1"/>
  <c r="G4204" i="2"/>
  <c r="J4204" i="2" s="1"/>
  <c r="H4205" i="2"/>
  <c r="I4205" i="2" s="1"/>
  <c r="G4205" i="2"/>
  <c r="J4205" i="2" s="1"/>
  <c r="H4206" i="2"/>
  <c r="I4206" i="2" s="1"/>
  <c r="G4206" i="2"/>
  <c r="J4206" i="2" s="1"/>
  <c r="H4207" i="2"/>
  <c r="I4207" i="2" s="1"/>
  <c r="G4207" i="2"/>
  <c r="J4207" i="2" s="1"/>
  <c r="H4208" i="2"/>
  <c r="I4208" i="2" s="1"/>
  <c r="G4208" i="2"/>
  <c r="J4208" i="2" s="1"/>
  <c r="H4209" i="2"/>
  <c r="I4209" i="2" s="1"/>
  <c r="G4209" i="2"/>
  <c r="J4209" i="2" s="1"/>
  <c r="H4210" i="2"/>
  <c r="I4210" i="2" s="1"/>
  <c r="G4210" i="2"/>
  <c r="J4210" i="2" s="1"/>
  <c r="H4211" i="2"/>
  <c r="I4211" i="2" s="1"/>
  <c r="G4211" i="2"/>
  <c r="J4211" i="2" s="1"/>
  <c r="H4212" i="2"/>
  <c r="I4212" i="2" s="1"/>
  <c r="G4212" i="2"/>
  <c r="J4212" i="2" s="1"/>
  <c r="H4213" i="2"/>
  <c r="I4213" i="2" s="1"/>
  <c r="G4213" i="2"/>
  <c r="J4213" i="2" s="1"/>
  <c r="H4214" i="2"/>
  <c r="I4214" i="2" s="1"/>
  <c r="G4214" i="2"/>
  <c r="J4214" i="2" s="1"/>
  <c r="H4215" i="2"/>
  <c r="I4215" i="2" s="1"/>
  <c r="G4215" i="2"/>
  <c r="J4215" i="2" s="1"/>
  <c r="H4216" i="2"/>
  <c r="I4216" i="2" s="1"/>
  <c r="G4216" i="2"/>
  <c r="J4216" i="2" s="1"/>
  <c r="H4217" i="2"/>
  <c r="I4217" i="2" s="1"/>
  <c r="G4217" i="2"/>
  <c r="J4217" i="2" s="1"/>
  <c r="H4218" i="2"/>
  <c r="I4218" i="2" s="1"/>
  <c r="G4218" i="2"/>
  <c r="J4218" i="2" s="1"/>
  <c r="H4219" i="2"/>
  <c r="I4219" i="2" s="1"/>
  <c r="G4219" i="2"/>
  <c r="J4219" i="2" s="1"/>
  <c r="H4220" i="2"/>
  <c r="I4220" i="2" s="1"/>
  <c r="G4220" i="2"/>
  <c r="J4220" i="2" s="1"/>
  <c r="H4221" i="2"/>
  <c r="I4221" i="2" s="1"/>
  <c r="G4221" i="2"/>
  <c r="J4221" i="2" s="1"/>
  <c r="H4222" i="2"/>
  <c r="I4222" i="2" s="1"/>
  <c r="G4222" i="2"/>
  <c r="J4222" i="2" s="1"/>
  <c r="H4223" i="2"/>
  <c r="I4223" i="2" s="1"/>
  <c r="G4223" i="2"/>
  <c r="J4223" i="2" s="1"/>
  <c r="H4224" i="2"/>
  <c r="I4224" i="2" s="1"/>
  <c r="G4224" i="2"/>
  <c r="J4224" i="2" s="1"/>
  <c r="H4225" i="2"/>
  <c r="I4225" i="2" s="1"/>
  <c r="G4225" i="2"/>
  <c r="J4225" i="2" s="1"/>
  <c r="H4226" i="2"/>
  <c r="I4226" i="2" s="1"/>
  <c r="G4226" i="2"/>
  <c r="J4226" i="2" s="1"/>
  <c r="H4227" i="2"/>
  <c r="I4227" i="2" s="1"/>
  <c r="G4227" i="2"/>
  <c r="J4227" i="2" s="1"/>
  <c r="H4228" i="2"/>
  <c r="I4228" i="2" s="1"/>
  <c r="G4228" i="2"/>
  <c r="J4228" i="2" s="1"/>
  <c r="H4229" i="2"/>
  <c r="I4229" i="2" s="1"/>
  <c r="G4229" i="2"/>
  <c r="J4229" i="2" s="1"/>
  <c r="H4230" i="2"/>
  <c r="I4230" i="2" s="1"/>
  <c r="G4230" i="2"/>
  <c r="J4230" i="2" s="1"/>
  <c r="H4231" i="2"/>
  <c r="I4231" i="2" s="1"/>
  <c r="G4231" i="2"/>
  <c r="J4231" i="2" s="1"/>
  <c r="H4232" i="2"/>
  <c r="I4232" i="2" s="1"/>
  <c r="G4232" i="2"/>
  <c r="J4232" i="2" s="1"/>
  <c r="H4233" i="2"/>
  <c r="I4233" i="2" s="1"/>
  <c r="G4233" i="2"/>
  <c r="J4233" i="2" s="1"/>
  <c r="H4234" i="2"/>
  <c r="I4234" i="2" s="1"/>
  <c r="G4234" i="2"/>
  <c r="J4234" i="2" s="1"/>
  <c r="H4235" i="2"/>
  <c r="I4235" i="2" s="1"/>
  <c r="G4235" i="2"/>
  <c r="J4235" i="2" s="1"/>
  <c r="H4236" i="2"/>
  <c r="I4236" i="2" s="1"/>
  <c r="G4236" i="2"/>
  <c r="J4236" i="2" s="1"/>
  <c r="H4237" i="2"/>
  <c r="I4237" i="2" s="1"/>
  <c r="G4237" i="2"/>
  <c r="J4237" i="2" s="1"/>
  <c r="H4238" i="2"/>
  <c r="I4238" i="2" s="1"/>
  <c r="G4238" i="2"/>
  <c r="J4238" i="2" s="1"/>
  <c r="H4239" i="2"/>
  <c r="I4239" i="2" s="1"/>
  <c r="G4239" i="2"/>
  <c r="J4239" i="2" s="1"/>
  <c r="H4240" i="2"/>
  <c r="I4240" i="2" s="1"/>
  <c r="G4240" i="2"/>
  <c r="J4240" i="2" s="1"/>
  <c r="H4241" i="2"/>
  <c r="I4241" i="2" s="1"/>
  <c r="G4241" i="2"/>
  <c r="J4241" i="2" s="1"/>
  <c r="H4242" i="2"/>
  <c r="I4242" i="2" s="1"/>
  <c r="G4242" i="2"/>
  <c r="J4242" i="2" s="1"/>
  <c r="H4243" i="2"/>
  <c r="I4243" i="2" s="1"/>
  <c r="G4243" i="2"/>
  <c r="J4243" i="2" s="1"/>
  <c r="H4244" i="2"/>
  <c r="I4244" i="2" s="1"/>
  <c r="G4244" i="2"/>
  <c r="J4244" i="2" s="1"/>
  <c r="H4245" i="2"/>
  <c r="I4245" i="2" s="1"/>
  <c r="G4245" i="2"/>
  <c r="J4245" i="2" s="1"/>
  <c r="H4246" i="2"/>
  <c r="I4246" i="2" s="1"/>
  <c r="G4246" i="2"/>
  <c r="J4246" i="2" s="1"/>
  <c r="H4247" i="2"/>
  <c r="I4247" i="2" s="1"/>
  <c r="G4247" i="2"/>
  <c r="J4247" i="2" s="1"/>
  <c r="H4248" i="2"/>
  <c r="I4248" i="2" s="1"/>
  <c r="G4248" i="2"/>
  <c r="J4248" i="2" s="1"/>
  <c r="H4249" i="2"/>
  <c r="I4249" i="2" s="1"/>
  <c r="G4249" i="2"/>
  <c r="J4249" i="2" s="1"/>
  <c r="H4250" i="2"/>
  <c r="I4250" i="2" s="1"/>
  <c r="G4250" i="2"/>
  <c r="J4250" i="2" s="1"/>
  <c r="H4251" i="2"/>
  <c r="I4251" i="2" s="1"/>
  <c r="G4251" i="2"/>
  <c r="J4251" i="2" s="1"/>
  <c r="H4252" i="2"/>
  <c r="I4252" i="2" s="1"/>
  <c r="G4252" i="2"/>
  <c r="J4252" i="2" s="1"/>
  <c r="H4253" i="2"/>
  <c r="I4253" i="2" s="1"/>
  <c r="G4253" i="2"/>
  <c r="J4253" i="2" s="1"/>
  <c r="H4254" i="2"/>
  <c r="I4254" i="2" s="1"/>
  <c r="G4254" i="2"/>
  <c r="J4254" i="2" s="1"/>
  <c r="H4255" i="2"/>
  <c r="I4255" i="2" s="1"/>
  <c r="G4255" i="2"/>
  <c r="J4255" i="2" s="1"/>
  <c r="H4256" i="2"/>
  <c r="I4256" i="2" s="1"/>
  <c r="G4256" i="2"/>
  <c r="J4256" i="2" s="1"/>
  <c r="H4257" i="2"/>
  <c r="I4257" i="2" s="1"/>
  <c r="G4257" i="2"/>
  <c r="J4257" i="2" s="1"/>
  <c r="H4258" i="2"/>
  <c r="I4258" i="2" s="1"/>
  <c r="G4258" i="2"/>
  <c r="J4258" i="2" s="1"/>
  <c r="H4259" i="2"/>
  <c r="I4259" i="2" s="1"/>
  <c r="G4259" i="2"/>
  <c r="J4259" i="2" s="1"/>
  <c r="H4260" i="2"/>
  <c r="I4260" i="2" s="1"/>
  <c r="G4260" i="2"/>
  <c r="J4260" i="2" s="1"/>
  <c r="H4261" i="2"/>
  <c r="I4261" i="2" s="1"/>
  <c r="G4261" i="2"/>
  <c r="J4261" i="2" s="1"/>
  <c r="H4262" i="2"/>
  <c r="I4262" i="2" s="1"/>
  <c r="G4262" i="2"/>
  <c r="J4262" i="2" s="1"/>
  <c r="H4263" i="2"/>
  <c r="I4263" i="2" s="1"/>
  <c r="G4263" i="2"/>
  <c r="J4263" i="2" s="1"/>
  <c r="H4264" i="2"/>
  <c r="I4264" i="2" s="1"/>
  <c r="G4264" i="2"/>
  <c r="J4264" i="2" s="1"/>
  <c r="H4265" i="2"/>
  <c r="I4265" i="2" s="1"/>
  <c r="G4265" i="2"/>
  <c r="J4265" i="2" s="1"/>
  <c r="H4266" i="2"/>
  <c r="I4266" i="2" s="1"/>
  <c r="G4266" i="2"/>
  <c r="J4266" i="2" s="1"/>
  <c r="H4267" i="2"/>
  <c r="I4267" i="2" s="1"/>
  <c r="G4267" i="2"/>
  <c r="J4267" i="2" s="1"/>
  <c r="H4268" i="2"/>
  <c r="I4268" i="2" s="1"/>
  <c r="G4268" i="2"/>
  <c r="J4268" i="2" s="1"/>
  <c r="H4269" i="2"/>
  <c r="I4269" i="2" s="1"/>
  <c r="G4269" i="2"/>
  <c r="J4269" i="2" s="1"/>
  <c r="H4270" i="2"/>
  <c r="I4270" i="2" s="1"/>
  <c r="G4270" i="2"/>
  <c r="J4270" i="2" s="1"/>
  <c r="H4271" i="2"/>
  <c r="I4271" i="2" s="1"/>
  <c r="G4271" i="2"/>
  <c r="J4271" i="2" s="1"/>
  <c r="H4272" i="2"/>
  <c r="I4272" i="2" s="1"/>
  <c r="G4272" i="2"/>
  <c r="J4272" i="2" s="1"/>
  <c r="H4273" i="2"/>
  <c r="I4273" i="2" s="1"/>
  <c r="G4273" i="2"/>
  <c r="J4273" i="2" s="1"/>
  <c r="H4274" i="2"/>
  <c r="I4274" i="2" s="1"/>
  <c r="G4274" i="2"/>
  <c r="J4274" i="2" s="1"/>
  <c r="H4275" i="2"/>
  <c r="I4275" i="2" s="1"/>
  <c r="G4275" i="2"/>
  <c r="J4275" i="2" s="1"/>
  <c r="H4276" i="2"/>
  <c r="I4276" i="2" s="1"/>
  <c r="G4276" i="2"/>
  <c r="J4276" i="2" s="1"/>
  <c r="H4277" i="2"/>
  <c r="I4277" i="2" s="1"/>
  <c r="G4277" i="2"/>
  <c r="J4277" i="2" s="1"/>
  <c r="H4278" i="2"/>
  <c r="I4278" i="2" s="1"/>
  <c r="G4278" i="2"/>
  <c r="J4278" i="2" s="1"/>
  <c r="H4279" i="2"/>
  <c r="I4279" i="2" s="1"/>
  <c r="G4279" i="2"/>
  <c r="J4279" i="2" s="1"/>
  <c r="H4280" i="2"/>
  <c r="I4280" i="2" s="1"/>
  <c r="G4280" i="2"/>
  <c r="J4280" i="2" s="1"/>
  <c r="H4281" i="2"/>
  <c r="I4281" i="2" s="1"/>
  <c r="G4281" i="2"/>
  <c r="J4281" i="2" s="1"/>
  <c r="H4282" i="2"/>
  <c r="I4282" i="2" s="1"/>
  <c r="G4282" i="2"/>
  <c r="J4282" i="2" s="1"/>
  <c r="H4283" i="2"/>
  <c r="I4283" i="2" s="1"/>
  <c r="G4283" i="2"/>
  <c r="J4283" i="2" s="1"/>
  <c r="H4284" i="2"/>
  <c r="I4284" i="2" s="1"/>
  <c r="G4284" i="2"/>
  <c r="J4284" i="2" s="1"/>
  <c r="H4285" i="2"/>
  <c r="I4285" i="2" s="1"/>
  <c r="G4285" i="2"/>
  <c r="J4285" i="2" s="1"/>
  <c r="H4286" i="2"/>
  <c r="I4286" i="2" s="1"/>
  <c r="G4286" i="2"/>
  <c r="J4286" i="2" s="1"/>
  <c r="H4287" i="2"/>
  <c r="I4287" i="2" s="1"/>
  <c r="G4287" i="2"/>
  <c r="J4287" i="2" s="1"/>
  <c r="H4288" i="2"/>
  <c r="I4288" i="2" s="1"/>
  <c r="G4288" i="2"/>
  <c r="J4288" i="2" s="1"/>
  <c r="H4289" i="2"/>
  <c r="I4289" i="2" s="1"/>
  <c r="G4289" i="2"/>
  <c r="J4289" i="2" s="1"/>
  <c r="H4290" i="2"/>
  <c r="I4290" i="2" s="1"/>
  <c r="G4290" i="2"/>
  <c r="J4290" i="2" s="1"/>
  <c r="H4291" i="2"/>
  <c r="I4291" i="2" s="1"/>
  <c r="G4291" i="2"/>
  <c r="J4291" i="2" s="1"/>
  <c r="H4292" i="2"/>
  <c r="I4292" i="2" s="1"/>
  <c r="G4292" i="2"/>
  <c r="J4292" i="2" s="1"/>
  <c r="H4293" i="2"/>
  <c r="I4293" i="2" s="1"/>
  <c r="G4293" i="2"/>
  <c r="J4293" i="2" s="1"/>
  <c r="H4294" i="2"/>
  <c r="I4294" i="2" s="1"/>
  <c r="G4294" i="2"/>
  <c r="J4294" i="2" s="1"/>
  <c r="H4295" i="2"/>
  <c r="I4295" i="2" s="1"/>
  <c r="G4295" i="2"/>
  <c r="J4295" i="2" s="1"/>
  <c r="H4296" i="2"/>
  <c r="I4296" i="2" s="1"/>
  <c r="G4296" i="2"/>
  <c r="J4296" i="2" s="1"/>
  <c r="H4297" i="2"/>
  <c r="I4297" i="2" s="1"/>
  <c r="G4297" i="2"/>
  <c r="J4297" i="2" s="1"/>
  <c r="H4298" i="2"/>
  <c r="I4298" i="2" s="1"/>
  <c r="G4298" i="2"/>
  <c r="J4298" i="2" s="1"/>
  <c r="H4299" i="2"/>
  <c r="I4299" i="2" s="1"/>
  <c r="G4299" i="2"/>
  <c r="J4299" i="2" s="1"/>
  <c r="H4300" i="2"/>
  <c r="I4300" i="2" s="1"/>
  <c r="G4300" i="2"/>
  <c r="J4300" i="2" s="1"/>
  <c r="H4301" i="2"/>
  <c r="I4301" i="2" s="1"/>
  <c r="G4301" i="2"/>
  <c r="J4301" i="2" s="1"/>
  <c r="H4302" i="2"/>
  <c r="I4302" i="2" s="1"/>
  <c r="G4302" i="2"/>
  <c r="J4302" i="2" s="1"/>
  <c r="H4303" i="2"/>
  <c r="I4303" i="2" s="1"/>
  <c r="G4303" i="2"/>
  <c r="J4303" i="2" s="1"/>
  <c r="H4304" i="2"/>
  <c r="I4304" i="2" s="1"/>
  <c r="G4304" i="2"/>
  <c r="J4304" i="2" s="1"/>
  <c r="H4305" i="2"/>
  <c r="I4305" i="2" s="1"/>
  <c r="G4305" i="2"/>
  <c r="J4305" i="2" s="1"/>
  <c r="H4306" i="2"/>
  <c r="I4306" i="2" s="1"/>
  <c r="G4306" i="2"/>
  <c r="J4306" i="2" s="1"/>
  <c r="H4307" i="2"/>
  <c r="I4307" i="2" s="1"/>
  <c r="G4307" i="2"/>
  <c r="J4307" i="2" s="1"/>
  <c r="H4308" i="2"/>
  <c r="I4308" i="2" s="1"/>
  <c r="G4308" i="2"/>
  <c r="J4308" i="2" s="1"/>
  <c r="H4309" i="2"/>
  <c r="I4309" i="2" s="1"/>
  <c r="G4309" i="2"/>
  <c r="J4309" i="2" s="1"/>
  <c r="H4310" i="2"/>
  <c r="I4310" i="2" s="1"/>
  <c r="G4310" i="2"/>
  <c r="J4310" i="2" s="1"/>
  <c r="H4311" i="2"/>
  <c r="I4311" i="2" s="1"/>
  <c r="G4311" i="2"/>
  <c r="J4311" i="2" s="1"/>
  <c r="H4312" i="2"/>
  <c r="I4312" i="2" s="1"/>
  <c r="G4312" i="2"/>
  <c r="J4312" i="2" s="1"/>
  <c r="H4313" i="2"/>
  <c r="I4313" i="2" s="1"/>
  <c r="G4313" i="2"/>
  <c r="J4313" i="2" s="1"/>
  <c r="H4314" i="2"/>
  <c r="I4314" i="2" s="1"/>
  <c r="G4314" i="2"/>
  <c r="J4314" i="2" s="1"/>
  <c r="H4315" i="2"/>
  <c r="I4315" i="2" s="1"/>
  <c r="G4315" i="2"/>
  <c r="J4315" i="2" s="1"/>
  <c r="H4316" i="2"/>
  <c r="I4316" i="2" s="1"/>
  <c r="G4316" i="2"/>
  <c r="J4316" i="2" s="1"/>
  <c r="H4317" i="2"/>
  <c r="I4317" i="2" s="1"/>
  <c r="G4317" i="2"/>
  <c r="J4317" i="2" s="1"/>
  <c r="H4318" i="2"/>
  <c r="I4318" i="2" s="1"/>
  <c r="G4318" i="2"/>
  <c r="J4318" i="2" s="1"/>
  <c r="H4319" i="2"/>
  <c r="I4319" i="2" s="1"/>
  <c r="G4319" i="2"/>
  <c r="J4319" i="2" s="1"/>
  <c r="H4320" i="2"/>
  <c r="I4320" i="2" s="1"/>
  <c r="G4320" i="2"/>
  <c r="J4320" i="2" s="1"/>
  <c r="H4321" i="2"/>
  <c r="I4321" i="2" s="1"/>
  <c r="G4321" i="2"/>
  <c r="J4321" i="2" s="1"/>
  <c r="H4322" i="2"/>
  <c r="I4322" i="2" s="1"/>
  <c r="G4322" i="2"/>
  <c r="J4322" i="2" s="1"/>
  <c r="H4323" i="2"/>
  <c r="I4323" i="2" s="1"/>
  <c r="G4323" i="2"/>
  <c r="J4323" i="2" s="1"/>
  <c r="H4324" i="2"/>
  <c r="I4324" i="2" s="1"/>
  <c r="G4324" i="2"/>
  <c r="J4324" i="2" s="1"/>
  <c r="H4325" i="2"/>
  <c r="I4325" i="2" s="1"/>
  <c r="G4325" i="2"/>
  <c r="J4325" i="2" s="1"/>
  <c r="H4326" i="2"/>
  <c r="I4326" i="2" s="1"/>
  <c r="G4326" i="2"/>
  <c r="J4326" i="2" s="1"/>
  <c r="H4327" i="2"/>
  <c r="I4327" i="2" s="1"/>
  <c r="G4327" i="2"/>
  <c r="J4327" i="2" s="1"/>
  <c r="H4328" i="2"/>
  <c r="I4328" i="2" s="1"/>
  <c r="G4328" i="2"/>
  <c r="J4328" i="2" s="1"/>
  <c r="H4329" i="2"/>
  <c r="I4329" i="2" s="1"/>
  <c r="G4329" i="2"/>
  <c r="J4329" i="2" s="1"/>
  <c r="H4330" i="2"/>
  <c r="I4330" i="2" s="1"/>
  <c r="G4330" i="2"/>
  <c r="J4330" i="2" s="1"/>
  <c r="H4331" i="2"/>
  <c r="I4331" i="2" s="1"/>
  <c r="G4331" i="2"/>
  <c r="J4331" i="2" s="1"/>
  <c r="H4332" i="2"/>
  <c r="I4332" i="2" s="1"/>
  <c r="G4332" i="2"/>
  <c r="J4332" i="2" s="1"/>
  <c r="H4333" i="2"/>
  <c r="I4333" i="2" s="1"/>
  <c r="G4333" i="2"/>
  <c r="J4333" i="2" s="1"/>
  <c r="H4334" i="2"/>
  <c r="I4334" i="2" s="1"/>
  <c r="G4334" i="2"/>
  <c r="J4334" i="2" s="1"/>
  <c r="H4335" i="2"/>
  <c r="I4335" i="2" s="1"/>
  <c r="G4335" i="2"/>
  <c r="J4335" i="2" s="1"/>
  <c r="H4336" i="2"/>
  <c r="I4336" i="2" s="1"/>
  <c r="G4336" i="2"/>
  <c r="J4336" i="2" s="1"/>
  <c r="H4337" i="2"/>
  <c r="I4337" i="2" s="1"/>
  <c r="G4337" i="2"/>
  <c r="J4337" i="2" s="1"/>
  <c r="H4338" i="2"/>
  <c r="I4338" i="2" s="1"/>
  <c r="G4338" i="2"/>
  <c r="J4338" i="2" s="1"/>
  <c r="H4339" i="2"/>
  <c r="I4339" i="2" s="1"/>
  <c r="G4339" i="2"/>
  <c r="J4339" i="2" s="1"/>
  <c r="H4340" i="2"/>
  <c r="I4340" i="2" s="1"/>
  <c r="G4340" i="2"/>
  <c r="J4340" i="2" s="1"/>
  <c r="H4341" i="2"/>
  <c r="I4341" i="2" s="1"/>
  <c r="G4341" i="2"/>
  <c r="J4341" i="2" s="1"/>
  <c r="H4342" i="2"/>
  <c r="I4342" i="2" s="1"/>
  <c r="G4342" i="2"/>
  <c r="J4342" i="2" s="1"/>
  <c r="H4343" i="2"/>
  <c r="I4343" i="2" s="1"/>
  <c r="G4343" i="2"/>
  <c r="J4343" i="2" s="1"/>
  <c r="H4344" i="2"/>
  <c r="I4344" i="2" s="1"/>
  <c r="G4344" i="2"/>
  <c r="J4344" i="2" s="1"/>
  <c r="H4345" i="2"/>
  <c r="I4345" i="2" s="1"/>
  <c r="G4345" i="2"/>
  <c r="J4345" i="2" s="1"/>
  <c r="H4346" i="2"/>
  <c r="I4346" i="2" s="1"/>
  <c r="G4346" i="2"/>
  <c r="J4346" i="2" s="1"/>
  <c r="H4347" i="2"/>
  <c r="I4347" i="2" s="1"/>
  <c r="G4347" i="2"/>
  <c r="J4347" i="2" s="1"/>
  <c r="H4348" i="2"/>
  <c r="I4348" i="2" s="1"/>
  <c r="G4348" i="2"/>
  <c r="J4348" i="2" s="1"/>
  <c r="H4349" i="2"/>
  <c r="I4349" i="2" s="1"/>
  <c r="G4349" i="2"/>
  <c r="J4349" i="2" s="1"/>
  <c r="H4350" i="2"/>
  <c r="I4350" i="2" s="1"/>
  <c r="G4350" i="2"/>
  <c r="J4350" i="2" s="1"/>
  <c r="H4351" i="2"/>
  <c r="I4351" i="2" s="1"/>
  <c r="G4351" i="2"/>
  <c r="J4351" i="2" s="1"/>
  <c r="H4352" i="2"/>
  <c r="I4352" i="2" s="1"/>
  <c r="G4352" i="2"/>
  <c r="J4352" i="2" s="1"/>
  <c r="H4353" i="2"/>
  <c r="I4353" i="2" s="1"/>
  <c r="G4353" i="2"/>
  <c r="J4353" i="2" s="1"/>
  <c r="H4354" i="2"/>
  <c r="I4354" i="2" s="1"/>
  <c r="G4354" i="2"/>
  <c r="J4354" i="2" s="1"/>
  <c r="H4355" i="2"/>
  <c r="I4355" i="2" s="1"/>
  <c r="G4355" i="2"/>
  <c r="J4355" i="2" s="1"/>
  <c r="H4356" i="2"/>
  <c r="I4356" i="2" s="1"/>
  <c r="G4356" i="2"/>
  <c r="J4356" i="2" s="1"/>
  <c r="H4357" i="2"/>
  <c r="I4357" i="2" s="1"/>
  <c r="G4357" i="2"/>
  <c r="J4357" i="2" s="1"/>
  <c r="H4358" i="2"/>
  <c r="I4358" i="2" s="1"/>
  <c r="G4358" i="2"/>
  <c r="J4358" i="2" s="1"/>
  <c r="H4359" i="2"/>
  <c r="I4359" i="2" s="1"/>
  <c r="G4359" i="2"/>
  <c r="J4359" i="2" s="1"/>
  <c r="H4360" i="2"/>
  <c r="I4360" i="2" s="1"/>
  <c r="G4360" i="2"/>
  <c r="J4360" i="2" s="1"/>
  <c r="H4361" i="2"/>
  <c r="I4361" i="2" s="1"/>
  <c r="G4361" i="2"/>
  <c r="J4361" i="2" s="1"/>
  <c r="H4362" i="2"/>
  <c r="I4362" i="2" s="1"/>
  <c r="G4362" i="2"/>
  <c r="J4362" i="2" s="1"/>
  <c r="H4363" i="2"/>
  <c r="I4363" i="2" s="1"/>
  <c r="G4363" i="2"/>
  <c r="J4363" i="2" s="1"/>
  <c r="H4364" i="2"/>
  <c r="I4364" i="2" s="1"/>
  <c r="G4364" i="2"/>
  <c r="J4364" i="2" s="1"/>
  <c r="H4365" i="2"/>
  <c r="I4365" i="2" s="1"/>
  <c r="G4365" i="2"/>
  <c r="J4365" i="2" s="1"/>
  <c r="H4366" i="2"/>
  <c r="I4366" i="2" s="1"/>
  <c r="G4366" i="2"/>
  <c r="J4366" i="2" s="1"/>
  <c r="H4367" i="2"/>
  <c r="I4367" i="2" s="1"/>
  <c r="G4367" i="2"/>
  <c r="J4367" i="2" s="1"/>
  <c r="H4368" i="2"/>
  <c r="I4368" i="2" s="1"/>
  <c r="G4368" i="2"/>
  <c r="J4368" i="2" s="1"/>
  <c r="H4369" i="2"/>
  <c r="I4369" i="2" s="1"/>
  <c r="G4369" i="2"/>
  <c r="J4369" i="2" s="1"/>
  <c r="H4370" i="2"/>
  <c r="I4370" i="2" s="1"/>
  <c r="G4370" i="2"/>
  <c r="J4370" i="2" s="1"/>
  <c r="H4371" i="2"/>
  <c r="I4371" i="2" s="1"/>
  <c r="G4371" i="2"/>
  <c r="J4371" i="2" s="1"/>
  <c r="H4372" i="2"/>
  <c r="I4372" i="2" s="1"/>
  <c r="G4372" i="2"/>
  <c r="J4372" i="2" s="1"/>
  <c r="H4373" i="2"/>
  <c r="I4373" i="2" s="1"/>
  <c r="G4373" i="2"/>
  <c r="J4373" i="2" s="1"/>
  <c r="H4374" i="2"/>
  <c r="I4374" i="2" s="1"/>
  <c r="G4374" i="2"/>
  <c r="J4374" i="2" s="1"/>
  <c r="H4375" i="2"/>
  <c r="I4375" i="2" s="1"/>
  <c r="G4375" i="2"/>
  <c r="J4375" i="2" s="1"/>
  <c r="H4376" i="2"/>
  <c r="I4376" i="2" s="1"/>
  <c r="G4376" i="2"/>
  <c r="J4376" i="2" s="1"/>
  <c r="H4377" i="2"/>
  <c r="I4377" i="2" s="1"/>
  <c r="G4377" i="2"/>
  <c r="J4377" i="2" s="1"/>
  <c r="H4378" i="2"/>
  <c r="I4378" i="2" s="1"/>
  <c r="G4378" i="2"/>
  <c r="J4378" i="2" s="1"/>
  <c r="H4379" i="2"/>
  <c r="I4379" i="2" s="1"/>
  <c r="G4379" i="2"/>
  <c r="J4379" i="2" s="1"/>
  <c r="H4380" i="2"/>
  <c r="I4380" i="2" s="1"/>
  <c r="G4380" i="2"/>
  <c r="J4380" i="2" s="1"/>
  <c r="H4381" i="2"/>
  <c r="I4381" i="2" s="1"/>
  <c r="G4381" i="2"/>
  <c r="J4381" i="2" s="1"/>
  <c r="H4382" i="2"/>
  <c r="I4382" i="2" s="1"/>
  <c r="G4382" i="2"/>
  <c r="J4382" i="2" s="1"/>
  <c r="H4383" i="2"/>
  <c r="I4383" i="2" s="1"/>
  <c r="G4383" i="2"/>
  <c r="J4383" i="2" s="1"/>
  <c r="H4384" i="2"/>
  <c r="I4384" i="2" s="1"/>
  <c r="G4384" i="2"/>
  <c r="J4384" i="2" s="1"/>
  <c r="H4385" i="2"/>
  <c r="I4385" i="2" s="1"/>
  <c r="G4385" i="2"/>
  <c r="J4385" i="2" s="1"/>
  <c r="H4386" i="2"/>
  <c r="I4386" i="2" s="1"/>
  <c r="G4386" i="2"/>
  <c r="J4386" i="2" s="1"/>
  <c r="H4387" i="2"/>
  <c r="I4387" i="2" s="1"/>
  <c r="G4387" i="2"/>
  <c r="J4387" i="2" s="1"/>
  <c r="H4388" i="2"/>
  <c r="I4388" i="2" s="1"/>
  <c r="G4388" i="2"/>
  <c r="J4388" i="2" s="1"/>
  <c r="H4389" i="2"/>
  <c r="I4389" i="2" s="1"/>
  <c r="G4389" i="2"/>
  <c r="J4389" i="2" s="1"/>
  <c r="H4390" i="2"/>
  <c r="I4390" i="2" s="1"/>
  <c r="G4390" i="2"/>
  <c r="J4390" i="2" s="1"/>
  <c r="H4391" i="2"/>
  <c r="I4391" i="2" s="1"/>
  <c r="G4391" i="2"/>
  <c r="J4391" i="2" s="1"/>
  <c r="H4392" i="2"/>
  <c r="I4392" i="2" s="1"/>
  <c r="G4392" i="2"/>
  <c r="J4392" i="2" s="1"/>
  <c r="H4393" i="2"/>
  <c r="I4393" i="2" s="1"/>
  <c r="G4393" i="2"/>
  <c r="J4393" i="2" s="1"/>
  <c r="H4394" i="2"/>
  <c r="I4394" i="2" s="1"/>
  <c r="G4394" i="2"/>
  <c r="J4394" i="2" s="1"/>
  <c r="H4395" i="2"/>
  <c r="I4395" i="2" s="1"/>
  <c r="G4395" i="2"/>
  <c r="J4395" i="2" s="1"/>
  <c r="H4396" i="2"/>
  <c r="I4396" i="2" s="1"/>
  <c r="G4396" i="2"/>
  <c r="J4396" i="2" s="1"/>
  <c r="H4397" i="2"/>
  <c r="I4397" i="2" s="1"/>
  <c r="G4397" i="2"/>
  <c r="J4397" i="2" s="1"/>
  <c r="H4398" i="2"/>
  <c r="I4398" i="2" s="1"/>
  <c r="G4398" i="2"/>
  <c r="J4398" i="2" s="1"/>
  <c r="H4399" i="2"/>
  <c r="I4399" i="2" s="1"/>
  <c r="G4399" i="2"/>
  <c r="J4399" i="2" s="1"/>
  <c r="H4400" i="2"/>
  <c r="I4400" i="2" s="1"/>
  <c r="G4400" i="2"/>
  <c r="J4400" i="2" s="1"/>
  <c r="H4401" i="2"/>
  <c r="I4401" i="2" s="1"/>
  <c r="G4401" i="2"/>
  <c r="J4401" i="2" s="1"/>
  <c r="H4402" i="2"/>
  <c r="I4402" i="2" s="1"/>
  <c r="G4402" i="2"/>
  <c r="J4402" i="2" s="1"/>
  <c r="H4403" i="2"/>
  <c r="I4403" i="2" s="1"/>
  <c r="G4403" i="2"/>
  <c r="J4403" i="2" s="1"/>
  <c r="H4404" i="2"/>
  <c r="I4404" i="2" s="1"/>
  <c r="G4404" i="2"/>
  <c r="J4404" i="2" s="1"/>
  <c r="H4405" i="2"/>
  <c r="I4405" i="2" s="1"/>
  <c r="G4405" i="2"/>
  <c r="J4405" i="2" s="1"/>
  <c r="H4406" i="2"/>
  <c r="I4406" i="2" s="1"/>
  <c r="G4406" i="2"/>
  <c r="J4406" i="2" s="1"/>
  <c r="H4407" i="2"/>
  <c r="I4407" i="2" s="1"/>
  <c r="G4407" i="2"/>
  <c r="J4407" i="2" s="1"/>
  <c r="H4408" i="2"/>
  <c r="I4408" i="2" s="1"/>
  <c r="G4408" i="2"/>
  <c r="J4408" i="2" s="1"/>
  <c r="H4409" i="2"/>
  <c r="I4409" i="2" s="1"/>
  <c r="G4409" i="2"/>
  <c r="J4409" i="2" s="1"/>
  <c r="H4410" i="2"/>
  <c r="I4410" i="2" s="1"/>
  <c r="G4410" i="2"/>
  <c r="J4410" i="2" s="1"/>
  <c r="H4411" i="2"/>
  <c r="I4411" i="2" s="1"/>
  <c r="G4411" i="2"/>
  <c r="J4411" i="2" s="1"/>
  <c r="H4412" i="2"/>
  <c r="I4412" i="2" s="1"/>
  <c r="G4412" i="2"/>
  <c r="J4412" i="2" s="1"/>
  <c r="H4413" i="2"/>
  <c r="I4413" i="2" s="1"/>
  <c r="G4413" i="2"/>
  <c r="J4413" i="2" s="1"/>
  <c r="H4414" i="2"/>
  <c r="I4414" i="2" s="1"/>
  <c r="G4414" i="2"/>
  <c r="J4414" i="2" s="1"/>
  <c r="H4415" i="2"/>
  <c r="I4415" i="2" s="1"/>
  <c r="G4415" i="2"/>
  <c r="J4415" i="2" s="1"/>
  <c r="H4416" i="2"/>
  <c r="I4416" i="2" s="1"/>
  <c r="G4416" i="2"/>
  <c r="J4416" i="2" s="1"/>
  <c r="H4417" i="2"/>
  <c r="I4417" i="2" s="1"/>
  <c r="G4417" i="2"/>
  <c r="J4417" i="2" s="1"/>
  <c r="H4418" i="2"/>
  <c r="I4418" i="2" s="1"/>
  <c r="G4418" i="2"/>
  <c r="J4418" i="2" s="1"/>
  <c r="H4419" i="2"/>
  <c r="I4419" i="2" s="1"/>
  <c r="G4419" i="2"/>
  <c r="J4419" i="2" s="1"/>
  <c r="H4420" i="2"/>
  <c r="I4420" i="2" s="1"/>
  <c r="G4420" i="2"/>
  <c r="J4420" i="2" s="1"/>
  <c r="H4421" i="2"/>
  <c r="I4421" i="2" s="1"/>
  <c r="G4421" i="2"/>
  <c r="J4421" i="2" s="1"/>
  <c r="H4422" i="2"/>
  <c r="I4422" i="2" s="1"/>
  <c r="G4422" i="2"/>
  <c r="J4422" i="2" s="1"/>
  <c r="H4423" i="2"/>
  <c r="I4423" i="2" s="1"/>
  <c r="G4423" i="2"/>
  <c r="J4423" i="2" s="1"/>
  <c r="H4424" i="2"/>
  <c r="I4424" i="2" s="1"/>
  <c r="G4424" i="2"/>
  <c r="J4424" i="2" s="1"/>
  <c r="H4425" i="2"/>
  <c r="I4425" i="2" s="1"/>
  <c r="G4425" i="2"/>
  <c r="J4425" i="2" s="1"/>
  <c r="H4426" i="2"/>
  <c r="I4426" i="2" s="1"/>
  <c r="G4426" i="2"/>
  <c r="J4426" i="2" s="1"/>
  <c r="H4427" i="2"/>
  <c r="I4427" i="2" s="1"/>
  <c r="G4427" i="2"/>
  <c r="J4427" i="2" s="1"/>
  <c r="H4428" i="2"/>
  <c r="I4428" i="2" s="1"/>
  <c r="G4428" i="2"/>
  <c r="J4428" i="2" s="1"/>
  <c r="H4429" i="2"/>
  <c r="I4429" i="2" s="1"/>
  <c r="G4429" i="2"/>
  <c r="J4429" i="2" s="1"/>
  <c r="H4430" i="2"/>
  <c r="I4430" i="2" s="1"/>
  <c r="G4430" i="2"/>
  <c r="J4430" i="2" s="1"/>
  <c r="H4431" i="2"/>
  <c r="I4431" i="2" s="1"/>
  <c r="G4431" i="2"/>
  <c r="J4431" i="2" s="1"/>
  <c r="H4432" i="2"/>
  <c r="I4432" i="2" s="1"/>
  <c r="G4432" i="2"/>
  <c r="J4432" i="2" s="1"/>
  <c r="H4433" i="2"/>
  <c r="I4433" i="2" s="1"/>
  <c r="G4433" i="2"/>
  <c r="J4433" i="2" s="1"/>
  <c r="H4434" i="2"/>
  <c r="I4434" i="2" s="1"/>
  <c r="G4434" i="2"/>
  <c r="J4434" i="2" s="1"/>
  <c r="H4435" i="2"/>
  <c r="I4435" i="2" s="1"/>
  <c r="G4435" i="2"/>
  <c r="J4435" i="2" s="1"/>
  <c r="H4436" i="2"/>
  <c r="I4436" i="2" s="1"/>
  <c r="G4436" i="2"/>
  <c r="J4436" i="2" s="1"/>
  <c r="H4437" i="2"/>
  <c r="I4437" i="2" s="1"/>
  <c r="G4437" i="2"/>
  <c r="J4437" i="2" s="1"/>
  <c r="H4438" i="2"/>
  <c r="I4438" i="2" s="1"/>
  <c r="G4438" i="2"/>
  <c r="J4438" i="2" s="1"/>
  <c r="H4439" i="2"/>
  <c r="I4439" i="2" s="1"/>
  <c r="G4439" i="2"/>
  <c r="J4439" i="2" s="1"/>
  <c r="H4440" i="2"/>
  <c r="I4440" i="2" s="1"/>
  <c r="G4440" i="2"/>
  <c r="J4440" i="2" s="1"/>
  <c r="H4441" i="2"/>
  <c r="I4441" i="2" s="1"/>
  <c r="G4441" i="2"/>
  <c r="J4441" i="2" s="1"/>
  <c r="H4442" i="2"/>
  <c r="I4442" i="2" s="1"/>
  <c r="G4442" i="2"/>
  <c r="J4442" i="2" s="1"/>
  <c r="H4443" i="2"/>
  <c r="I4443" i="2" s="1"/>
  <c r="G4443" i="2"/>
  <c r="J4443" i="2" s="1"/>
  <c r="H4444" i="2"/>
  <c r="I4444" i="2" s="1"/>
  <c r="G4444" i="2"/>
  <c r="J4444" i="2" s="1"/>
  <c r="H4445" i="2"/>
  <c r="I4445" i="2" s="1"/>
  <c r="G4445" i="2"/>
  <c r="J4445" i="2" s="1"/>
  <c r="H4446" i="2"/>
  <c r="I4446" i="2" s="1"/>
  <c r="G4446" i="2"/>
  <c r="J4446" i="2" s="1"/>
  <c r="H4447" i="2"/>
  <c r="I4447" i="2" s="1"/>
  <c r="G4447" i="2"/>
  <c r="J4447" i="2" s="1"/>
  <c r="H4448" i="2"/>
  <c r="I4448" i="2" s="1"/>
  <c r="G4448" i="2"/>
  <c r="J4448" i="2" s="1"/>
  <c r="H4449" i="2"/>
  <c r="I4449" i="2" s="1"/>
  <c r="G4449" i="2"/>
  <c r="J4449" i="2" s="1"/>
  <c r="H4450" i="2"/>
  <c r="I4450" i="2" s="1"/>
  <c r="G4450" i="2"/>
  <c r="J4450" i="2" s="1"/>
  <c r="H4451" i="2"/>
  <c r="I4451" i="2" s="1"/>
  <c r="G4451" i="2"/>
  <c r="J4451" i="2" s="1"/>
  <c r="H4452" i="2"/>
  <c r="I4452" i="2" s="1"/>
  <c r="G4452" i="2"/>
  <c r="J4452" i="2" s="1"/>
  <c r="H4453" i="2"/>
  <c r="I4453" i="2" s="1"/>
  <c r="G4453" i="2"/>
  <c r="J4453" i="2" s="1"/>
  <c r="H4454" i="2"/>
  <c r="I4454" i="2" s="1"/>
  <c r="G4454" i="2"/>
  <c r="J4454" i="2" s="1"/>
  <c r="H4455" i="2"/>
  <c r="I4455" i="2" s="1"/>
  <c r="G4455" i="2"/>
  <c r="J4455" i="2" s="1"/>
  <c r="H4456" i="2"/>
  <c r="I4456" i="2" s="1"/>
  <c r="G4456" i="2"/>
  <c r="J4456" i="2" s="1"/>
  <c r="H4457" i="2"/>
  <c r="I4457" i="2" s="1"/>
  <c r="G4457" i="2"/>
  <c r="J4457" i="2" s="1"/>
  <c r="H4458" i="2"/>
  <c r="I4458" i="2" s="1"/>
  <c r="G4458" i="2"/>
  <c r="J4458" i="2" s="1"/>
  <c r="H4459" i="2"/>
  <c r="I4459" i="2" s="1"/>
  <c r="G4459" i="2"/>
  <c r="J4459" i="2" s="1"/>
  <c r="H4460" i="2"/>
  <c r="I4460" i="2" s="1"/>
  <c r="G4460" i="2"/>
  <c r="J4460" i="2" s="1"/>
  <c r="H4461" i="2"/>
  <c r="I4461" i="2" s="1"/>
  <c r="G4461" i="2"/>
  <c r="J4461" i="2" s="1"/>
  <c r="H4462" i="2"/>
  <c r="I4462" i="2" s="1"/>
  <c r="G4462" i="2"/>
  <c r="J4462" i="2" s="1"/>
  <c r="H4463" i="2"/>
  <c r="I4463" i="2" s="1"/>
  <c r="G4463" i="2"/>
  <c r="J4463" i="2" s="1"/>
  <c r="H4464" i="2"/>
  <c r="I4464" i="2" s="1"/>
  <c r="G4464" i="2"/>
  <c r="J4464" i="2" s="1"/>
  <c r="H4465" i="2"/>
  <c r="I4465" i="2" s="1"/>
  <c r="G4465" i="2"/>
  <c r="J4465" i="2" s="1"/>
  <c r="H4466" i="2"/>
  <c r="I4466" i="2" s="1"/>
  <c r="G4466" i="2"/>
  <c r="J4466" i="2" s="1"/>
  <c r="H4467" i="2"/>
  <c r="I4467" i="2" s="1"/>
  <c r="G4467" i="2"/>
  <c r="J4467" i="2" s="1"/>
  <c r="H4468" i="2"/>
  <c r="I4468" i="2" s="1"/>
  <c r="G4468" i="2"/>
  <c r="J4468" i="2" s="1"/>
  <c r="H4469" i="2"/>
  <c r="I4469" i="2" s="1"/>
  <c r="G4469" i="2"/>
  <c r="J4469" i="2" s="1"/>
  <c r="H4470" i="2"/>
  <c r="I4470" i="2" s="1"/>
  <c r="G4470" i="2"/>
  <c r="J4470" i="2" s="1"/>
  <c r="H4471" i="2"/>
  <c r="I4471" i="2" s="1"/>
  <c r="G4471" i="2"/>
  <c r="J4471" i="2" s="1"/>
  <c r="H4472" i="2"/>
  <c r="I4472" i="2" s="1"/>
  <c r="G4472" i="2"/>
  <c r="J4472" i="2" s="1"/>
  <c r="H4473" i="2"/>
  <c r="I4473" i="2" s="1"/>
  <c r="G4473" i="2"/>
  <c r="J4473" i="2" s="1"/>
  <c r="H4474" i="2"/>
  <c r="I4474" i="2" s="1"/>
  <c r="G4474" i="2"/>
  <c r="J4474" i="2" s="1"/>
  <c r="H4475" i="2"/>
  <c r="I4475" i="2" s="1"/>
  <c r="G4475" i="2"/>
  <c r="J4475" i="2" s="1"/>
  <c r="H4476" i="2"/>
  <c r="I4476" i="2" s="1"/>
  <c r="G4476" i="2"/>
  <c r="J4476" i="2" s="1"/>
  <c r="H4477" i="2"/>
  <c r="I4477" i="2" s="1"/>
  <c r="G4477" i="2"/>
  <c r="J4477" i="2" s="1"/>
  <c r="H4478" i="2"/>
  <c r="I4478" i="2" s="1"/>
  <c r="G4478" i="2"/>
  <c r="J4478" i="2" s="1"/>
  <c r="H4479" i="2"/>
  <c r="I4479" i="2" s="1"/>
  <c r="G4479" i="2"/>
  <c r="J4479" i="2" s="1"/>
  <c r="H4480" i="2"/>
  <c r="I4480" i="2" s="1"/>
  <c r="G4480" i="2"/>
  <c r="J4480" i="2" s="1"/>
  <c r="H4481" i="2"/>
  <c r="I4481" i="2" s="1"/>
  <c r="G4481" i="2"/>
  <c r="J4481" i="2" s="1"/>
  <c r="H4482" i="2"/>
  <c r="I4482" i="2" s="1"/>
  <c r="G4482" i="2"/>
  <c r="J4482" i="2" s="1"/>
  <c r="H4483" i="2"/>
  <c r="I4483" i="2" s="1"/>
  <c r="G4483" i="2"/>
  <c r="J4483" i="2" s="1"/>
  <c r="H4484" i="2"/>
  <c r="I4484" i="2" s="1"/>
  <c r="G4484" i="2"/>
  <c r="J4484" i="2" s="1"/>
  <c r="H4485" i="2"/>
  <c r="I4485" i="2" s="1"/>
  <c r="G4485" i="2"/>
  <c r="J4485" i="2" s="1"/>
  <c r="H4486" i="2"/>
  <c r="I4486" i="2" s="1"/>
  <c r="G4486" i="2"/>
  <c r="J4486" i="2" s="1"/>
  <c r="H4487" i="2"/>
  <c r="I4487" i="2" s="1"/>
  <c r="G4487" i="2"/>
  <c r="J4487" i="2" s="1"/>
  <c r="H4488" i="2"/>
  <c r="I4488" i="2" s="1"/>
  <c r="G4488" i="2"/>
  <c r="J4488" i="2" s="1"/>
  <c r="H4489" i="2"/>
  <c r="I4489" i="2" s="1"/>
  <c r="G4489" i="2"/>
  <c r="J4489" i="2" s="1"/>
  <c r="H4490" i="2"/>
  <c r="I4490" i="2" s="1"/>
  <c r="G4490" i="2"/>
  <c r="J4490" i="2" s="1"/>
  <c r="H4491" i="2"/>
  <c r="I4491" i="2" s="1"/>
  <c r="G4491" i="2"/>
  <c r="J4491" i="2" s="1"/>
  <c r="H4492" i="2"/>
  <c r="I4492" i="2" s="1"/>
  <c r="G4492" i="2"/>
  <c r="J4492" i="2" s="1"/>
  <c r="H4493" i="2"/>
  <c r="I4493" i="2" s="1"/>
  <c r="G4493" i="2"/>
  <c r="J4493" i="2" s="1"/>
  <c r="H4494" i="2"/>
  <c r="I4494" i="2" s="1"/>
  <c r="G4494" i="2"/>
  <c r="J4494" i="2" s="1"/>
  <c r="H4495" i="2"/>
  <c r="I4495" i="2" s="1"/>
  <c r="G4495" i="2"/>
  <c r="J4495" i="2" s="1"/>
  <c r="H4496" i="2"/>
  <c r="I4496" i="2" s="1"/>
  <c r="G4496" i="2"/>
  <c r="J4496" i="2" s="1"/>
  <c r="H4497" i="2"/>
  <c r="I4497" i="2" s="1"/>
  <c r="G4497" i="2"/>
  <c r="J4497" i="2" s="1"/>
  <c r="H4498" i="2"/>
  <c r="I4498" i="2" s="1"/>
  <c r="G4498" i="2"/>
  <c r="J4498" i="2" s="1"/>
  <c r="H4499" i="2"/>
  <c r="I4499" i="2" s="1"/>
  <c r="G4499" i="2"/>
  <c r="J4499" i="2" s="1"/>
  <c r="H4500" i="2"/>
  <c r="I4500" i="2" s="1"/>
  <c r="G4500" i="2"/>
  <c r="J4500" i="2" s="1"/>
  <c r="H4501" i="2"/>
  <c r="I4501" i="2" s="1"/>
  <c r="G4501" i="2"/>
  <c r="J4501" i="2" s="1"/>
  <c r="H4502" i="2"/>
  <c r="I4502" i="2" s="1"/>
  <c r="G4502" i="2"/>
  <c r="J4502" i="2" s="1"/>
  <c r="H4503" i="2"/>
  <c r="I4503" i="2" s="1"/>
  <c r="G4503" i="2"/>
  <c r="J4503" i="2" s="1"/>
  <c r="H4504" i="2"/>
  <c r="I4504" i="2" s="1"/>
  <c r="G4504" i="2"/>
  <c r="J4504" i="2" s="1"/>
  <c r="H4505" i="2"/>
  <c r="I4505" i="2" s="1"/>
  <c r="G4505" i="2"/>
  <c r="J4505" i="2" s="1"/>
  <c r="H4506" i="2"/>
  <c r="I4506" i="2" s="1"/>
  <c r="G4506" i="2"/>
  <c r="J4506" i="2" s="1"/>
  <c r="H4507" i="2"/>
  <c r="I4507" i="2" s="1"/>
  <c r="G4507" i="2"/>
  <c r="J4507" i="2" s="1"/>
  <c r="H4508" i="2"/>
  <c r="I4508" i="2" s="1"/>
  <c r="G4508" i="2"/>
  <c r="J4508" i="2" s="1"/>
  <c r="H4509" i="2"/>
  <c r="I4509" i="2" s="1"/>
  <c r="G4509" i="2"/>
  <c r="J4509" i="2" s="1"/>
  <c r="H4510" i="2"/>
  <c r="I4510" i="2" s="1"/>
  <c r="G4510" i="2"/>
  <c r="J4510" i="2" s="1"/>
  <c r="H4511" i="2"/>
  <c r="I4511" i="2" s="1"/>
  <c r="G4511" i="2"/>
  <c r="J4511" i="2" s="1"/>
  <c r="H4512" i="2"/>
  <c r="I4512" i="2" s="1"/>
  <c r="G4512" i="2"/>
  <c r="J4512" i="2" s="1"/>
  <c r="H4513" i="2"/>
  <c r="I4513" i="2" s="1"/>
  <c r="G4513" i="2"/>
  <c r="J4513" i="2" s="1"/>
  <c r="H4514" i="2"/>
  <c r="I4514" i="2" s="1"/>
  <c r="G4514" i="2"/>
  <c r="J4514" i="2" s="1"/>
  <c r="H4515" i="2"/>
  <c r="I4515" i="2" s="1"/>
  <c r="G4515" i="2"/>
  <c r="J4515" i="2" s="1"/>
  <c r="H4516" i="2"/>
  <c r="I4516" i="2" s="1"/>
  <c r="G4516" i="2"/>
  <c r="J4516" i="2" s="1"/>
  <c r="H4517" i="2"/>
  <c r="I4517" i="2" s="1"/>
  <c r="G4517" i="2"/>
  <c r="J4517" i="2" s="1"/>
  <c r="H4518" i="2"/>
  <c r="I4518" i="2" s="1"/>
  <c r="G4518" i="2"/>
  <c r="J4518" i="2" s="1"/>
  <c r="H4519" i="2"/>
  <c r="I4519" i="2" s="1"/>
  <c r="G4519" i="2"/>
  <c r="J4519" i="2" s="1"/>
  <c r="H4520" i="2"/>
  <c r="I4520" i="2" s="1"/>
  <c r="G4520" i="2"/>
  <c r="J4520" i="2" s="1"/>
  <c r="H4521" i="2"/>
  <c r="I4521" i="2" s="1"/>
  <c r="G4521" i="2"/>
  <c r="J4521" i="2" s="1"/>
  <c r="H4522" i="2"/>
  <c r="I4522" i="2" s="1"/>
  <c r="G4522" i="2"/>
  <c r="J4522" i="2" s="1"/>
  <c r="H4523" i="2"/>
  <c r="I4523" i="2" s="1"/>
  <c r="G4523" i="2"/>
  <c r="J4523" i="2" s="1"/>
  <c r="H4524" i="2"/>
  <c r="I4524" i="2" s="1"/>
  <c r="G4524" i="2"/>
  <c r="J4524" i="2" s="1"/>
  <c r="H4525" i="2"/>
  <c r="I4525" i="2" s="1"/>
  <c r="G4525" i="2"/>
  <c r="J4525" i="2" s="1"/>
  <c r="H4526" i="2"/>
  <c r="I4526" i="2" s="1"/>
  <c r="G4526" i="2"/>
  <c r="J4526" i="2" s="1"/>
  <c r="H4527" i="2"/>
  <c r="I4527" i="2" s="1"/>
  <c r="G4527" i="2"/>
  <c r="J4527" i="2" s="1"/>
  <c r="H4528" i="2"/>
  <c r="I4528" i="2" s="1"/>
  <c r="G4528" i="2"/>
  <c r="J4528" i="2" s="1"/>
  <c r="H4529" i="2"/>
  <c r="I4529" i="2" s="1"/>
  <c r="G4529" i="2"/>
  <c r="J4529" i="2" s="1"/>
  <c r="H4530" i="2"/>
  <c r="I4530" i="2" s="1"/>
  <c r="G4530" i="2"/>
  <c r="J4530" i="2" s="1"/>
  <c r="H4531" i="2"/>
  <c r="I4531" i="2" s="1"/>
  <c r="G4531" i="2"/>
  <c r="J4531" i="2" s="1"/>
  <c r="H4532" i="2"/>
  <c r="I4532" i="2" s="1"/>
  <c r="G4532" i="2"/>
  <c r="J4532" i="2" s="1"/>
  <c r="H4533" i="2"/>
  <c r="I4533" i="2" s="1"/>
  <c r="G4533" i="2"/>
  <c r="J4533" i="2" s="1"/>
  <c r="H4534" i="2"/>
  <c r="I4534" i="2" s="1"/>
  <c r="G4534" i="2"/>
  <c r="J4534" i="2" s="1"/>
  <c r="H4535" i="2"/>
  <c r="I4535" i="2" s="1"/>
  <c r="G4535" i="2"/>
  <c r="J4535" i="2" s="1"/>
  <c r="H4536" i="2"/>
  <c r="I4536" i="2" s="1"/>
  <c r="G4536" i="2"/>
  <c r="J4536" i="2" s="1"/>
  <c r="H4537" i="2"/>
  <c r="I4537" i="2" s="1"/>
  <c r="G4537" i="2"/>
  <c r="J4537" i="2" s="1"/>
  <c r="H4538" i="2"/>
  <c r="I4538" i="2" s="1"/>
  <c r="G4538" i="2"/>
  <c r="J4538" i="2" s="1"/>
  <c r="H4539" i="2"/>
  <c r="I4539" i="2" s="1"/>
  <c r="G4539" i="2"/>
  <c r="J4539" i="2" s="1"/>
  <c r="H4540" i="2"/>
  <c r="I4540" i="2" s="1"/>
  <c r="G4540" i="2"/>
  <c r="J4540" i="2" s="1"/>
  <c r="H4541" i="2"/>
  <c r="I4541" i="2" s="1"/>
  <c r="G4541" i="2"/>
  <c r="J4541" i="2" s="1"/>
  <c r="H4542" i="2"/>
  <c r="I4542" i="2" s="1"/>
  <c r="G4542" i="2"/>
  <c r="J4542" i="2" s="1"/>
  <c r="H4543" i="2"/>
  <c r="I4543" i="2" s="1"/>
  <c r="G4543" i="2"/>
  <c r="J4543" i="2" s="1"/>
  <c r="H4544" i="2"/>
  <c r="I4544" i="2" s="1"/>
  <c r="G4544" i="2"/>
  <c r="J4544" i="2" s="1"/>
  <c r="H4545" i="2"/>
  <c r="I4545" i="2" s="1"/>
  <c r="G4545" i="2"/>
  <c r="J4545" i="2" s="1"/>
  <c r="H4546" i="2"/>
  <c r="I4546" i="2" s="1"/>
  <c r="G4546" i="2"/>
  <c r="J4546" i="2" s="1"/>
  <c r="H4547" i="2"/>
  <c r="I4547" i="2" s="1"/>
  <c r="G4547" i="2"/>
  <c r="J4547" i="2" s="1"/>
  <c r="H4548" i="2"/>
  <c r="I4548" i="2" s="1"/>
  <c r="G4548" i="2"/>
  <c r="J4548" i="2" s="1"/>
  <c r="H4549" i="2"/>
  <c r="I4549" i="2" s="1"/>
  <c r="G4549" i="2"/>
  <c r="J4549" i="2" s="1"/>
  <c r="H4550" i="2"/>
  <c r="I4550" i="2" s="1"/>
  <c r="G4550" i="2"/>
  <c r="J4550" i="2" s="1"/>
  <c r="H4551" i="2"/>
  <c r="I4551" i="2" s="1"/>
  <c r="G4551" i="2"/>
  <c r="J4551" i="2" s="1"/>
  <c r="H4552" i="2"/>
  <c r="I4552" i="2" s="1"/>
  <c r="G4552" i="2"/>
  <c r="J4552" i="2" s="1"/>
  <c r="H4553" i="2"/>
  <c r="I4553" i="2" s="1"/>
  <c r="G4553" i="2"/>
  <c r="J4553" i="2" s="1"/>
  <c r="H4554" i="2"/>
  <c r="I4554" i="2" s="1"/>
  <c r="G4554" i="2"/>
  <c r="J4554" i="2" s="1"/>
  <c r="H4555" i="2"/>
  <c r="I4555" i="2" s="1"/>
  <c r="G4555" i="2"/>
  <c r="J4555" i="2" s="1"/>
  <c r="H4556" i="2"/>
  <c r="I4556" i="2" s="1"/>
  <c r="G4556" i="2"/>
  <c r="J4556" i="2" s="1"/>
  <c r="H4557" i="2"/>
  <c r="I4557" i="2" s="1"/>
  <c r="G4557" i="2"/>
  <c r="J4557" i="2" s="1"/>
  <c r="H4558" i="2"/>
  <c r="I4558" i="2" s="1"/>
  <c r="G4558" i="2"/>
  <c r="J4558" i="2" s="1"/>
  <c r="H4559" i="2"/>
  <c r="I4559" i="2" s="1"/>
  <c r="G4559" i="2"/>
  <c r="J4559" i="2" s="1"/>
  <c r="H4560" i="2"/>
  <c r="I4560" i="2" s="1"/>
  <c r="G4560" i="2"/>
  <c r="J4560" i="2" s="1"/>
  <c r="H4561" i="2"/>
  <c r="I4561" i="2" s="1"/>
  <c r="G4561" i="2"/>
  <c r="J4561" i="2" s="1"/>
  <c r="H4562" i="2"/>
  <c r="I4562" i="2" s="1"/>
  <c r="G4562" i="2"/>
  <c r="J4562" i="2" s="1"/>
  <c r="H4563" i="2"/>
  <c r="I4563" i="2" s="1"/>
  <c r="G4563" i="2"/>
  <c r="J4563" i="2" s="1"/>
  <c r="H4564" i="2"/>
  <c r="I4564" i="2" s="1"/>
  <c r="G4564" i="2"/>
  <c r="J4564" i="2" s="1"/>
  <c r="H4565" i="2"/>
  <c r="I4565" i="2" s="1"/>
  <c r="G4565" i="2"/>
  <c r="J4565" i="2" s="1"/>
  <c r="H4566" i="2"/>
  <c r="I4566" i="2" s="1"/>
  <c r="G4566" i="2"/>
  <c r="J4566" i="2" s="1"/>
  <c r="H4567" i="2"/>
  <c r="I4567" i="2" s="1"/>
  <c r="G4567" i="2"/>
  <c r="J4567" i="2" s="1"/>
  <c r="H4568" i="2"/>
  <c r="I4568" i="2" s="1"/>
  <c r="G4568" i="2"/>
  <c r="J4568" i="2" s="1"/>
  <c r="H4569" i="2"/>
  <c r="I4569" i="2" s="1"/>
  <c r="G4569" i="2"/>
  <c r="J4569" i="2" s="1"/>
  <c r="H4570" i="2"/>
  <c r="I4570" i="2" s="1"/>
  <c r="G4570" i="2"/>
  <c r="J4570" i="2" s="1"/>
  <c r="H4571" i="2"/>
  <c r="I4571" i="2" s="1"/>
  <c r="G4571" i="2"/>
  <c r="J4571" i="2" s="1"/>
  <c r="H4572" i="2"/>
  <c r="I4572" i="2" s="1"/>
  <c r="G4572" i="2"/>
  <c r="J4572" i="2" s="1"/>
  <c r="H4573" i="2"/>
  <c r="I4573" i="2" s="1"/>
  <c r="G4573" i="2"/>
  <c r="J4573" i="2" s="1"/>
  <c r="H4574" i="2"/>
  <c r="I4574" i="2" s="1"/>
  <c r="G4574" i="2"/>
  <c r="J4574" i="2" s="1"/>
  <c r="H4575" i="2"/>
  <c r="I4575" i="2" s="1"/>
  <c r="G4575" i="2"/>
  <c r="J4575" i="2" s="1"/>
  <c r="H4576" i="2"/>
  <c r="I4576" i="2" s="1"/>
  <c r="G4576" i="2"/>
  <c r="J4576" i="2" s="1"/>
  <c r="H4577" i="2"/>
  <c r="I4577" i="2" s="1"/>
  <c r="G4577" i="2"/>
  <c r="J4577" i="2" s="1"/>
  <c r="H4578" i="2"/>
  <c r="I4578" i="2" s="1"/>
  <c r="G4578" i="2"/>
  <c r="J4578" i="2" s="1"/>
  <c r="H4579" i="2"/>
  <c r="I4579" i="2" s="1"/>
  <c r="G4579" i="2"/>
  <c r="J4579" i="2" s="1"/>
  <c r="H4580" i="2"/>
  <c r="I4580" i="2" s="1"/>
  <c r="G4580" i="2"/>
  <c r="J4580" i="2" s="1"/>
  <c r="H4581" i="2"/>
  <c r="I4581" i="2" s="1"/>
  <c r="G4581" i="2"/>
  <c r="J4581" i="2" s="1"/>
  <c r="H4582" i="2"/>
  <c r="I4582" i="2" s="1"/>
  <c r="G4582" i="2"/>
  <c r="J4582" i="2" s="1"/>
  <c r="H4583" i="2"/>
  <c r="I4583" i="2" s="1"/>
  <c r="G4583" i="2"/>
  <c r="J4583" i="2" s="1"/>
  <c r="H4584" i="2"/>
  <c r="I4584" i="2" s="1"/>
  <c r="G4584" i="2"/>
  <c r="J4584" i="2" s="1"/>
  <c r="H4585" i="2"/>
  <c r="I4585" i="2" s="1"/>
  <c r="G4585" i="2"/>
  <c r="J4585" i="2" s="1"/>
  <c r="H4586" i="2"/>
  <c r="I4586" i="2" s="1"/>
  <c r="G4586" i="2"/>
  <c r="J4586" i="2" s="1"/>
  <c r="H4587" i="2"/>
  <c r="I4587" i="2" s="1"/>
  <c r="G4587" i="2"/>
  <c r="J4587" i="2" s="1"/>
  <c r="H4588" i="2"/>
  <c r="I4588" i="2" s="1"/>
  <c r="G4588" i="2"/>
  <c r="J4588" i="2" s="1"/>
  <c r="H4589" i="2"/>
  <c r="I4589" i="2" s="1"/>
  <c r="G4589" i="2"/>
  <c r="J4589" i="2" s="1"/>
  <c r="H4590" i="2"/>
  <c r="I4590" i="2" s="1"/>
  <c r="G4590" i="2"/>
  <c r="J4590" i="2" s="1"/>
  <c r="H4591" i="2"/>
  <c r="I4591" i="2" s="1"/>
  <c r="G4591" i="2"/>
  <c r="J4591" i="2" s="1"/>
  <c r="H4592" i="2"/>
  <c r="I4592" i="2" s="1"/>
  <c r="G4592" i="2"/>
  <c r="J4592" i="2" s="1"/>
  <c r="H4593" i="2"/>
  <c r="I4593" i="2" s="1"/>
  <c r="G4593" i="2"/>
  <c r="J4593" i="2" s="1"/>
  <c r="H4594" i="2"/>
  <c r="I4594" i="2" s="1"/>
  <c r="G4594" i="2"/>
  <c r="J4594" i="2" s="1"/>
  <c r="H4595" i="2"/>
  <c r="I4595" i="2" s="1"/>
  <c r="G4595" i="2"/>
  <c r="J4595" i="2" s="1"/>
  <c r="H4596" i="2"/>
  <c r="I4596" i="2" s="1"/>
  <c r="G4596" i="2"/>
  <c r="J4596" i="2" s="1"/>
  <c r="H4597" i="2"/>
  <c r="I4597" i="2" s="1"/>
  <c r="G4597" i="2"/>
  <c r="J4597" i="2" s="1"/>
  <c r="H4598" i="2"/>
  <c r="I4598" i="2" s="1"/>
  <c r="G4598" i="2"/>
  <c r="J4598" i="2" s="1"/>
  <c r="H4599" i="2"/>
  <c r="I4599" i="2" s="1"/>
  <c r="G4599" i="2"/>
  <c r="J4599" i="2" s="1"/>
  <c r="H4600" i="2"/>
  <c r="I4600" i="2" s="1"/>
  <c r="G4600" i="2"/>
  <c r="J4600" i="2" s="1"/>
  <c r="H4601" i="2"/>
  <c r="I4601" i="2" s="1"/>
  <c r="G4601" i="2"/>
  <c r="J4601" i="2" s="1"/>
  <c r="H4602" i="2"/>
  <c r="I4602" i="2" s="1"/>
  <c r="G4602" i="2"/>
  <c r="J4602" i="2" s="1"/>
  <c r="H4603" i="2"/>
  <c r="I4603" i="2" s="1"/>
  <c r="G4603" i="2"/>
  <c r="J4603" i="2" s="1"/>
  <c r="H4604" i="2"/>
  <c r="I4604" i="2" s="1"/>
  <c r="G4604" i="2"/>
  <c r="J4604" i="2" s="1"/>
  <c r="H4605" i="2"/>
  <c r="I4605" i="2" s="1"/>
  <c r="G4605" i="2"/>
  <c r="J4605" i="2" s="1"/>
  <c r="H4606" i="2"/>
  <c r="I4606" i="2" s="1"/>
  <c r="G4606" i="2"/>
  <c r="J4606" i="2" s="1"/>
  <c r="H4607" i="2"/>
  <c r="I4607" i="2" s="1"/>
  <c r="G4607" i="2"/>
  <c r="J4607" i="2" s="1"/>
  <c r="H4608" i="2"/>
  <c r="I4608" i="2" s="1"/>
  <c r="G4608" i="2"/>
  <c r="J4608" i="2" s="1"/>
  <c r="H4609" i="2"/>
  <c r="I4609" i="2" s="1"/>
  <c r="G4609" i="2"/>
  <c r="J4609" i="2" s="1"/>
  <c r="H4610" i="2"/>
  <c r="I4610" i="2" s="1"/>
  <c r="G4610" i="2"/>
  <c r="J4610" i="2" s="1"/>
  <c r="H4611" i="2"/>
  <c r="I4611" i="2" s="1"/>
  <c r="G4611" i="2"/>
  <c r="J4611" i="2" s="1"/>
  <c r="H4612" i="2"/>
  <c r="I4612" i="2" s="1"/>
  <c r="G4612" i="2"/>
  <c r="J4612" i="2" s="1"/>
  <c r="H4613" i="2"/>
  <c r="I4613" i="2" s="1"/>
  <c r="G4613" i="2"/>
  <c r="J4613" i="2" s="1"/>
  <c r="H4614" i="2"/>
  <c r="I4614" i="2" s="1"/>
  <c r="G4614" i="2"/>
  <c r="J4614" i="2" s="1"/>
  <c r="H4615" i="2"/>
  <c r="I4615" i="2" s="1"/>
  <c r="G4615" i="2"/>
  <c r="J4615" i="2" s="1"/>
  <c r="H4616" i="2"/>
  <c r="I4616" i="2" s="1"/>
  <c r="G4616" i="2"/>
  <c r="J4616" i="2" s="1"/>
  <c r="H4617" i="2"/>
  <c r="I4617" i="2" s="1"/>
  <c r="G4617" i="2"/>
  <c r="J4617" i="2" s="1"/>
  <c r="H4618" i="2"/>
  <c r="I4618" i="2" s="1"/>
  <c r="G4618" i="2"/>
  <c r="J4618" i="2" s="1"/>
  <c r="H4619" i="2"/>
  <c r="I4619" i="2" s="1"/>
  <c r="G4619" i="2"/>
  <c r="J4619" i="2" s="1"/>
  <c r="H4620" i="2"/>
  <c r="I4620" i="2" s="1"/>
  <c r="G4620" i="2"/>
  <c r="J4620" i="2" s="1"/>
  <c r="H4621" i="2"/>
  <c r="I4621" i="2" s="1"/>
  <c r="G4621" i="2"/>
  <c r="J4621" i="2" s="1"/>
  <c r="H4622" i="2"/>
  <c r="I4622" i="2" s="1"/>
  <c r="G4622" i="2"/>
  <c r="J4622" i="2" s="1"/>
  <c r="H4623" i="2"/>
  <c r="I4623" i="2" s="1"/>
  <c r="G4623" i="2"/>
  <c r="J4623" i="2" s="1"/>
  <c r="H4624" i="2"/>
  <c r="I4624" i="2" s="1"/>
  <c r="G4624" i="2"/>
  <c r="J4624" i="2" s="1"/>
  <c r="H4625" i="2"/>
  <c r="I4625" i="2" s="1"/>
  <c r="G4625" i="2"/>
  <c r="J4625" i="2" s="1"/>
  <c r="H4626" i="2"/>
  <c r="I4626" i="2" s="1"/>
  <c r="G4626" i="2"/>
  <c r="J4626" i="2" s="1"/>
  <c r="H4627" i="2"/>
  <c r="I4627" i="2" s="1"/>
  <c r="G4627" i="2"/>
  <c r="J4627" i="2" s="1"/>
  <c r="H4628" i="2"/>
  <c r="I4628" i="2" s="1"/>
  <c r="G4628" i="2"/>
  <c r="J4628" i="2" s="1"/>
  <c r="H4629" i="2"/>
  <c r="I4629" i="2" s="1"/>
  <c r="G4629" i="2"/>
  <c r="J4629" i="2" s="1"/>
  <c r="H4630" i="2"/>
  <c r="I4630" i="2" s="1"/>
  <c r="G4630" i="2"/>
  <c r="J4630" i="2" s="1"/>
  <c r="H4631" i="2"/>
  <c r="I4631" i="2" s="1"/>
  <c r="G4631" i="2"/>
  <c r="J4631" i="2" s="1"/>
  <c r="H4632" i="2"/>
  <c r="I4632" i="2" s="1"/>
  <c r="G4632" i="2"/>
  <c r="J4632" i="2" s="1"/>
  <c r="H4633" i="2"/>
  <c r="I4633" i="2" s="1"/>
  <c r="G4633" i="2"/>
  <c r="J4633" i="2" s="1"/>
  <c r="H4634" i="2"/>
  <c r="I4634" i="2" s="1"/>
  <c r="G4634" i="2"/>
  <c r="J4634" i="2" s="1"/>
  <c r="H4635" i="2"/>
  <c r="I4635" i="2" s="1"/>
  <c r="G4635" i="2"/>
  <c r="J4635" i="2" s="1"/>
  <c r="H4636" i="2"/>
  <c r="I4636" i="2" s="1"/>
  <c r="G4636" i="2"/>
  <c r="J4636" i="2" s="1"/>
  <c r="H4637" i="2"/>
  <c r="I4637" i="2" s="1"/>
  <c r="G4637" i="2"/>
  <c r="J4637" i="2" s="1"/>
  <c r="H4638" i="2"/>
  <c r="I4638" i="2" s="1"/>
  <c r="G4638" i="2"/>
  <c r="J4638" i="2" s="1"/>
  <c r="H4639" i="2"/>
  <c r="I4639" i="2" s="1"/>
  <c r="G4639" i="2"/>
  <c r="J4639" i="2" s="1"/>
  <c r="H4640" i="2"/>
  <c r="I4640" i="2" s="1"/>
  <c r="G4640" i="2"/>
  <c r="J4640" i="2" s="1"/>
  <c r="H4641" i="2"/>
  <c r="I4641" i="2" s="1"/>
  <c r="G4641" i="2"/>
  <c r="J4641" i="2" s="1"/>
  <c r="H4642" i="2"/>
  <c r="I4642" i="2" s="1"/>
  <c r="G4642" i="2"/>
  <c r="J4642" i="2" s="1"/>
  <c r="H4643" i="2"/>
  <c r="I4643" i="2" s="1"/>
  <c r="G4643" i="2"/>
  <c r="J4643" i="2" s="1"/>
  <c r="H4644" i="2"/>
  <c r="I4644" i="2" s="1"/>
  <c r="G4644" i="2"/>
  <c r="J4644" i="2" s="1"/>
  <c r="H4645" i="2"/>
  <c r="I4645" i="2" s="1"/>
  <c r="G4645" i="2"/>
  <c r="J4645" i="2" s="1"/>
  <c r="H4646" i="2"/>
  <c r="I4646" i="2" s="1"/>
  <c r="G4646" i="2"/>
  <c r="J4646" i="2" s="1"/>
  <c r="H4647" i="2"/>
  <c r="I4647" i="2" s="1"/>
  <c r="G4647" i="2"/>
  <c r="J4647" i="2" s="1"/>
  <c r="H4648" i="2"/>
  <c r="I4648" i="2" s="1"/>
  <c r="G4648" i="2"/>
  <c r="J4648" i="2" s="1"/>
  <c r="H4649" i="2"/>
  <c r="I4649" i="2" s="1"/>
  <c r="G4649" i="2"/>
  <c r="J4649" i="2" s="1"/>
  <c r="H4650" i="2"/>
  <c r="I4650" i="2" s="1"/>
  <c r="G4650" i="2"/>
  <c r="J4650" i="2" s="1"/>
  <c r="H4651" i="2"/>
  <c r="I4651" i="2" s="1"/>
  <c r="G4651" i="2"/>
  <c r="J4651" i="2" s="1"/>
  <c r="H4652" i="2"/>
  <c r="I4652" i="2" s="1"/>
  <c r="G4652" i="2"/>
  <c r="J4652" i="2" s="1"/>
  <c r="H4653" i="2"/>
  <c r="I4653" i="2" s="1"/>
  <c r="G4653" i="2"/>
  <c r="J4653" i="2" s="1"/>
  <c r="H4654" i="2"/>
  <c r="I4654" i="2" s="1"/>
  <c r="G4654" i="2"/>
  <c r="J4654" i="2" s="1"/>
  <c r="H4655" i="2"/>
  <c r="I4655" i="2" s="1"/>
  <c r="G4655" i="2"/>
  <c r="J4655" i="2" s="1"/>
  <c r="H4656" i="2"/>
  <c r="I4656" i="2" s="1"/>
  <c r="G4656" i="2"/>
  <c r="J4656" i="2" s="1"/>
  <c r="H4657" i="2"/>
  <c r="I4657" i="2" s="1"/>
  <c r="G4657" i="2"/>
  <c r="J4657" i="2" s="1"/>
  <c r="H4658" i="2"/>
  <c r="I4658" i="2" s="1"/>
  <c r="G4658" i="2"/>
  <c r="J4658" i="2" s="1"/>
  <c r="H4659" i="2"/>
  <c r="I4659" i="2" s="1"/>
  <c r="G4659" i="2"/>
  <c r="J4659" i="2" s="1"/>
  <c r="H4660" i="2"/>
  <c r="I4660" i="2" s="1"/>
  <c r="G4660" i="2"/>
  <c r="J4660" i="2" s="1"/>
  <c r="H4661" i="2"/>
  <c r="I4661" i="2" s="1"/>
  <c r="G4661" i="2"/>
  <c r="J4661" i="2" s="1"/>
  <c r="H4662" i="2"/>
  <c r="I4662" i="2" s="1"/>
  <c r="G4662" i="2"/>
  <c r="J4662" i="2" s="1"/>
  <c r="H4663" i="2"/>
  <c r="I4663" i="2" s="1"/>
  <c r="G4663" i="2"/>
  <c r="J4663" i="2" s="1"/>
  <c r="H4664" i="2"/>
  <c r="I4664" i="2" s="1"/>
  <c r="G4664" i="2"/>
  <c r="J4664" i="2" s="1"/>
  <c r="H4665" i="2"/>
  <c r="I4665" i="2" s="1"/>
  <c r="G4665" i="2"/>
  <c r="J4665" i="2" s="1"/>
  <c r="H4666" i="2"/>
  <c r="I4666" i="2" s="1"/>
  <c r="G4666" i="2"/>
  <c r="J4666" i="2" s="1"/>
  <c r="H4667" i="2"/>
  <c r="I4667" i="2" s="1"/>
  <c r="G4667" i="2"/>
  <c r="J4667" i="2" s="1"/>
  <c r="H4668" i="2"/>
  <c r="I4668" i="2" s="1"/>
  <c r="G4668" i="2"/>
  <c r="J4668" i="2" s="1"/>
  <c r="H4669" i="2"/>
  <c r="I4669" i="2" s="1"/>
  <c r="G4669" i="2"/>
  <c r="J4669" i="2" s="1"/>
  <c r="H4670" i="2"/>
  <c r="I4670" i="2" s="1"/>
  <c r="G4670" i="2"/>
  <c r="J4670" i="2" s="1"/>
  <c r="H4671" i="2"/>
  <c r="I4671" i="2" s="1"/>
  <c r="G4671" i="2"/>
  <c r="J4671" i="2" s="1"/>
  <c r="H4672" i="2"/>
  <c r="I4672" i="2" s="1"/>
  <c r="G4672" i="2"/>
  <c r="J4672" i="2" s="1"/>
  <c r="H4673" i="2"/>
  <c r="I4673" i="2" s="1"/>
  <c r="G4673" i="2"/>
  <c r="J4673" i="2" s="1"/>
  <c r="H4674" i="2"/>
  <c r="I4674" i="2" s="1"/>
  <c r="G4674" i="2"/>
  <c r="J4674" i="2" s="1"/>
  <c r="H4675" i="2"/>
  <c r="I4675" i="2" s="1"/>
  <c r="G4675" i="2"/>
  <c r="J4675" i="2" s="1"/>
  <c r="H4676" i="2"/>
  <c r="I4676" i="2" s="1"/>
  <c r="G4676" i="2"/>
  <c r="J4676" i="2" s="1"/>
  <c r="H4677" i="2"/>
  <c r="I4677" i="2" s="1"/>
  <c r="G4677" i="2"/>
  <c r="J4677" i="2" s="1"/>
  <c r="H4678" i="2"/>
  <c r="I4678" i="2" s="1"/>
  <c r="G4678" i="2"/>
  <c r="J4678" i="2" s="1"/>
  <c r="H4679" i="2"/>
  <c r="I4679" i="2" s="1"/>
  <c r="G4679" i="2"/>
  <c r="J4679" i="2" s="1"/>
  <c r="H4680" i="2"/>
  <c r="I4680" i="2" s="1"/>
  <c r="G4680" i="2"/>
  <c r="J4680" i="2" s="1"/>
  <c r="H4681" i="2"/>
  <c r="I4681" i="2" s="1"/>
  <c r="G4681" i="2"/>
  <c r="J4681" i="2" s="1"/>
  <c r="H4682" i="2"/>
  <c r="I4682" i="2" s="1"/>
  <c r="G4682" i="2"/>
  <c r="J4682" i="2" s="1"/>
  <c r="H4683" i="2"/>
  <c r="I4683" i="2" s="1"/>
  <c r="G4683" i="2"/>
  <c r="J4683" i="2" s="1"/>
  <c r="H4684" i="2"/>
  <c r="I4684" i="2" s="1"/>
  <c r="G4684" i="2"/>
  <c r="J4684" i="2" s="1"/>
  <c r="H4685" i="2"/>
  <c r="I4685" i="2" s="1"/>
  <c r="G4685" i="2"/>
  <c r="J4685" i="2" s="1"/>
  <c r="H4686" i="2"/>
  <c r="I4686" i="2" s="1"/>
  <c r="G4686" i="2"/>
  <c r="J4686" i="2" s="1"/>
  <c r="H4687" i="2"/>
  <c r="I4687" i="2" s="1"/>
  <c r="G4687" i="2"/>
  <c r="J4687" i="2" s="1"/>
  <c r="H4688" i="2"/>
  <c r="I4688" i="2" s="1"/>
  <c r="G4688" i="2"/>
  <c r="J4688" i="2" s="1"/>
  <c r="H4689" i="2"/>
  <c r="I4689" i="2" s="1"/>
  <c r="G4689" i="2"/>
  <c r="J4689" i="2" s="1"/>
  <c r="H4690" i="2"/>
  <c r="I4690" i="2" s="1"/>
  <c r="G4690" i="2"/>
  <c r="J4690" i="2" s="1"/>
  <c r="H4691" i="2"/>
  <c r="I4691" i="2" s="1"/>
  <c r="G4691" i="2"/>
  <c r="J4691" i="2" s="1"/>
  <c r="H4692" i="2"/>
  <c r="I4692" i="2" s="1"/>
  <c r="G4692" i="2"/>
  <c r="J4692" i="2" s="1"/>
  <c r="H4693" i="2"/>
  <c r="I4693" i="2" s="1"/>
  <c r="G4693" i="2"/>
  <c r="J4693" i="2" s="1"/>
  <c r="H4694" i="2"/>
  <c r="I4694" i="2" s="1"/>
  <c r="G4694" i="2"/>
  <c r="J4694" i="2" s="1"/>
  <c r="H4695" i="2"/>
  <c r="I4695" i="2" s="1"/>
  <c r="G4695" i="2"/>
  <c r="J4695" i="2" s="1"/>
  <c r="H4696" i="2"/>
  <c r="I4696" i="2" s="1"/>
  <c r="G4696" i="2"/>
  <c r="J4696" i="2" s="1"/>
  <c r="H4697" i="2"/>
  <c r="I4697" i="2" s="1"/>
  <c r="G4697" i="2"/>
  <c r="J4697" i="2" s="1"/>
  <c r="H4698" i="2"/>
  <c r="I4698" i="2" s="1"/>
  <c r="G4698" i="2"/>
  <c r="J4698" i="2" s="1"/>
  <c r="H4699" i="2"/>
  <c r="I4699" i="2" s="1"/>
  <c r="G4699" i="2"/>
  <c r="J4699" i="2" s="1"/>
  <c r="H4700" i="2"/>
  <c r="I4700" i="2" s="1"/>
  <c r="G4700" i="2"/>
  <c r="J4700" i="2" s="1"/>
  <c r="H4701" i="2"/>
  <c r="I4701" i="2" s="1"/>
  <c r="G4701" i="2"/>
  <c r="J4701" i="2" s="1"/>
  <c r="H4702" i="2"/>
  <c r="I4702" i="2" s="1"/>
  <c r="G4702" i="2"/>
  <c r="J4702" i="2" s="1"/>
  <c r="H4703" i="2"/>
  <c r="I4703" i="2" s="1"/>
  <c r="G4703" i="2"/>
  <c r="J4703" i="2" s="1"/>
  <c r="H4704" i="2"/>
  <c r="I4704" i="2" s="1"/>
  <c r="G4704" i="2"/>
  <c r="J4704" i="2" s="1"/>
  <c r="H4705" i="2"/>
  <c r="I4705" i="2" s="1"/>
  <c r="G4705" i="2"/>
  <c r="J4705" i="2" s="1"/>
  <c r="H4706" i="2"/>
  <c r="I4706" i="2" s="1"/>
  <c r="G4706" i="2"/>
  <c r="J4706" i="2" s="1"/>
  <c r="H4707" i="2"/>
  <c r="I4707" i="2" s="1"/>
  <c r="G4707" i="2"/>
  <c r="J4707" i="2" s="1"/>
  <c r="H4708" i="2"/>
  <c r="I4708" i="2" s="1"/>
  <c r="G4708" i="2"/>
  <c r="J4708" i="2" s="1"/>
  <c r="H4709" i="2"/>
  <c r="I4709" i="2" s="1"/>
  <c r="G4709" i="2"/>
  <c r="J4709" i="2" s="1"/>
  <c r="H4710" i="2"/>
  <c r="I4710" i="2" s="1"/>
  <c r="G4710" i="2"/>
  <c r="J4710" i="2" s="1"/>
  <c r="H4711" i="2"/>
  <c r="I4711" i="2" s="1"/>
  <c r="G4711" i="2"/>
  <c r="J4711" i="2" s="1"/>
  <c r="H4712" i="2"/>
  <c r="I4712" i="2" s="1"/>
  <c r="G4712" i="2"/>
  <c r="J4712" i="2" s="1"/>
  <c r="H4713" i="2"/>
  <c r="I4713" i="2" s="1"/>
  <c r="G4713" i="2"/>
  <c r="J4713" i="2" s="1"/>
  <c r="H4714" i="2"/>
  <c r="I4714" i="2" s="1"/>
  <c r="G4714" i="2"/>
  <c r="J4714" i="2" s="1"/>
  <c r="H4715" i="2"/>
  <c r="I4715" i="2" s="1"/>
  <c r="G4715" i="2"/>
  <c r="J4715" i="2" s="1"/>
  <c r="H4716" i="2"/>
  <c r="I4716" i="2" s="1"/>
  <c r="G4716" i="2"/>
  <c r="J4716" i="2" s="1"/>
  <c r="H4717" i="2"/>
  <c r="I4717" i="2" s="1"/>
  <c r="G4717" i="2"/>
  <c r="J4717" i="2" s="1"/>
  <c r="H4718" i="2"/>
  <c r="I4718" i="2" s="1"/>
  <c r="G4718" i="2"/>
  <c r="J4718" i="2" s="1"/>
  <c r="H4719" i="2"/>
  <c r="I4719" i="2" s="1"/>
  <c r="G4719" i="2"/>
  <c r="J4719" i="2" s="1"/>
  <c r="H4720" i="2"/>
  <c r="I4720" i="2" s="1"/>
  <c r="G4720" i="2"/>
  <c r="J4720" i="2" s="1"/>
  <c r="H4721" i="2"/>
  <c r="I4721" i="2" s="1"/>
  <c r="G4721" i="2"/>
  <c r="J4721" i="2" s="1"/>
  <c r="H4722" i="2"/>
  <c r="I4722" i="2" s="1"/>
  <c r="G4722" i="2"/>
  <c r="J4722" i="2" s="1"/>
  <c r="H4723" i="2"/>
  <c r="I4723" i="2" s="1"/>
  <c r="G4723" i="2"/>
  <c r="J4723" i="2" s="1"/>
  <c r="H4724" i="2"/>
  <c r="I4724" i="2" s="1"/>
  <c r="G4724" i="2"/>
  <c r="J4724" i="2" s="1"/>
  <c r="H4725" i="2"/>
  <c r="I4725" i="2" s="1"/>
  <c r="G4725" i="2"/>
  <c r="J4725" i="2" s="1"/>
  <c r="H4726" i="2"/>
  <c r="I4726" i="2" s="1"/>
  <c r="G4726" i="2"/>
  <c r="J4726" i="2" s="1"/>
  <c r="H4727" i="2"/>
  <c r="I4727" i="2" s="1"/>
  <c r="G4727" i="2"/>
  <c r="J4727" i="2" s="1"/>
  <c r="H4728" i="2"/>
  <c r="I4728" i="2" s="1"/>
  <c r="G4728" i="2"/>
  <c r="J4728" i="2" s="1"/>
  <c r="H4729" i="2"/>
  <c r="I4729" i="2" s="1"/>
  <c r="G4729" i="2"/>
  <c r="J4729" i="2" s="1"/>
  <c r="H4730" i="2"/>
  <c r="I4730" i="2" s="1"/>
  <c r="G4730" i="2"/>
  <c r="J4730" i="2" s="1"/>
  <c r="H4731" i="2"/>
  <c r="I4731" i="2" s="1"/>
  <c r="G4731" i="2"/>
  <c r="J4731" i="2" s="1"/>
  <c r="H4732" i="2"/>
  <c r="I4732" i="2" s="1"/>
  <c r="G4732" i="2"/>
  <c r="J4732" i="2" s="1"/>
  <c r="H4733" i="2"/>
  <c r="I4733" i="2" s="1"/>
  <c r="G4733" i="2"/>
  <c r="J4733" i="2" s="1"/>
  <c r="H4734" i="2"/>
  <c r="I4734" i="2" s="1"/>
  <c r="G4734" i="2"/>
  <c r="J4734" i="2" s="1"/>
  <c r="H4735" i="2"/>
  <c r="I4735" i="2" s="1"/>
  <c r="G4735" i="2"/>
  <c r="J4735" i="2" s="1"/>
  <c r="H4736" i="2"/>
  <c r="I4736" i="2" s="1"/>
  <c r="G4736" i="2"/>
  <c r="J4736" i="2" s="1"/>
  <c r="H4737" i="2"/>
  <c r="I4737" i="2" s="1"/>
  <c r="G4737" i="2"/>
  <c r="J4737" i="2" s="1"/>
  <c r="H4738" i="2"/>
  <c r="I4738" i="2" s="1"/>
  <c r="G4738" i="2"/>
  <c r="J4738" i="2" s="1"/>
  <c r="H4739" i="2"/>
  <c r="I4739" i="2" s="1"/>
  <c r="G4739" i="2"/>
  <c r="J4739" i="2" s="1"/>
  <c r="H4740" i="2"/>
  <c r="I4740" i="2" s="1"/>
  <c r="G4740" i="2"/>
  <c r="J4740" i="2" s="1"/>
  <c r="H4741" i="2"/>
  <c r="I4741" i="2" s="1"/>
  <c r="G4741" i="2"/>
  <c r="J4741" i="2" s="1"/>
  <c r="H4742" i="2"/>
  <c r="I4742" i="2" s="1"/>
  <c r="G4742" i="2"/>
  <c r="J4742" i="2" s="1"/>
  <c r="H4743" i="2"/>
  <c r="I4743" i="2" s="1"/>
  <c r="G4743" i="2"/>
  <c r="J4743" i="2" s="1"/>
  <c r="H4744" i="2"/>
  <c r="I4744" i="2" s="1"/>
  <c r="G4744" i="2"/>
  <c r="J4744" i="2" s="1"/>
  <c r="H4745" i="2"/>
  <c r="I4745" i="2" s="1"/>
  <c r="G4745" i="2"/>
  <c r="J4745" i="2" s="1"/>
  <c r="H4746" i="2"/>
  <c r="I4746" i="2" s="1"/>
  <c r="G4746" i="2"/>
  <c r="J4746" i="2" s="1"/>
  <c r="H4747" i="2"/>
  <c r="I4747" i="2" s="1"/>
  <c r="G4747" i="2"/>
  <c r="J4747" i="2" s="1"/>
  <c r="H4748" i="2"/>
  <c r="I4748" i="2" s="1"/>
  <c r="G4748" i="2"/>
  <c r="J4748" i="2" s="1"/>
  <c r="H4749" i="2"/>
  <c r="I4749" i="2" s="1"/>
  <c r="G4749" i="2"/>
  <c r="J4749" i="2" s="1"/>
  <c r="H4750" i="2"/>
  <c r="I4750" i="2" s="1"/>
  <c r="G4750" i="2"/>
  <c r="J4750" i="2" s="1"/>
  <c r="H4751" i="2"/>
  <c r="I4751" i="2" s="1"/>
  <c r="G4751" i="2"/>
  <c r="J4751" i="2" s="1"/>
  <c r="H4752" i="2"/>
  <c r="I4752" i="2" s="1"/>
  <c r="G4752" i="2"/>
  <c r="J4752" i="2" s="1"/>
  <c r="H4753" i="2"/>
  <c r="I4753" i="2" s="1"/>
  <c r="G4753" i="2"/>
  <c r="J4753" i="2" s="1"/>
  <c r="H4754" i="2"/>
  <c r="I4754" i="2" s="1"/>
  <c r="G4754" i="2"/>
  <c r="J4754" i="2" s="1"/>
  <c r="H4755" i="2"/>
  <c r="I4755" i="2" s="1"/>
  <c r="G4755" i="2"/>
  <c r="J4755" i="2" s="1"/>
  <c r="H4756" i="2"/>
  <c r="I4756" i="2" s="1"/>
  <c r="G4756" i="2"/>
  <c r="J4756" i="2" s="1"/>
  <c r="H4757" i="2"/>
  <c r="I4757" i="2" s="1"/>
  <c r="G4757" i="2"/>
  <c r="J4757" i="2" s="1"/>
  <c r="H4758" i="2"/>
  <c r="I4758" i="2" s="1"/>
  <c r="G4758" i="2"/>
  <c r="J4758" i="2" s="1"/>
  <c r="H4759" i="2"/>
  <c r="I4759" i="2" s="1"/>
  <c r="G4759" i="2"/>
  <c r="J4759" i="2" s="1"/>
  <c r="H4760" i="2"/>
  <c r="I4760" i="2" s="1"/>
  <c r="G4760" i="2"/>
  <c r="J4760" i="2" s="1"/>
  <c r="H4761" i="2"/>
  <c r="I4761" i="2" s="1"/>
  <c r="G4761" i="2"/>
  <c r="J4761" i="2" s="1"/>
  <c r="H4762" i="2"/>
  <c r="I4762" i="2" s="1"/>
  <c r="G4762" i="2"/>
  <c r="J4762" i="2" s="1"/>
  <c r="H4763" i="2"/>
  <c r="I4763" i="2" s="1"/>
  <c r="G4763" i="2"/>
  <c r="J4763" i="2" s="1"/>
  <c r="H4764" i="2"/>
  <c r="I4764" i="2" s="1"/>
  <c r="G4764" i="2"/>
  <c r="J4764" i="2" s="1"/>
  <c r="H4765" i="2"/>
  <c r="I4765" i="2" s="1"/>
  <c r="G4765" i="2"/>
  <c r="J4765" i="2" s="1"/>
  <c r="H4766" i="2"/>
  <c r="I4766" i="2" s="1"/>
  <c r="G4766" i="2"/>
  <c r="J4766" i="2" s="1"/>
  <c r="H4767" i="2"/>
  <c r="I4767" i="2" s="1"/>
  <c r="G4767" i="2"/>
  <c r="J4767" i="2" s="1"/>
  <c r="H4768" i="2"/>
  <c r="I4768" i="2" s="1"/>
  <c r="G4768" i="2"/>
  <c r="J4768" i="2" s="1"/>
  <c r="H4769" i="2"/>
  <c r="I4769" i="2" s="1"/>
  <c r="G4769" i="2"/>
  <c r="J4769" i="2" s="1"/>
  <c r="H4770" i="2"/>
  <c r="I4770" i="2" s="1"/>
  <c r="G4770" i="2"/>
  <c r="J4770" i="2" s="1"/>
  <c r="H4771" i="2"/>
  <c r="I4771" i="2" s="1"/>
  <c r="G4771" i="2"/>
  <c r="J4771" i="2" s="1"/>
  <c r="H4772" i="2"/>
  <c r="I4772" i="2" s="1"/>
  <c r="G4772" i="2"/>
  <c r="J4772" i="2" s="1"/>
  <c r="H4773" i="2"/>
  <c r="I4773" i="2" s="1"/>
  <c r="G4773" i="2"/>
  <c r="J4773" i="2" s="1"/>
  <c r="H4774" i="2"/>
  <c r="I4774" i="2" s="1"/>
  <c r="G4774" i="2"/>
  <c r="J4774" i="2" s="1"/>
  <c r="H4775" i="2"/>
  <c r="I4775" i="2" s="1"/>
  <c r="G4775" i="2"/>
  <c r="J4775" i="2" s="1"/>
  <c r="H4776" i="2"/>
  <c r="I4776" i="2" s="1"/>
  <c r="G4776" i="2"/>
  <c r="J4776" i="2" s="1"/>
  <c r="H4777" i="2"/>
  <c r="I4777" i="2" s="1"/>
  <c r="G4777" i="2"/>
  <c r="J4777" i="2" s="1"/>
  <c r="H4778" i="2"/>
  <c r="I4778" i="2" s="1"/>
  <c r="G4778" i="2"/>
  <c r="J4778" i="2" s="1"/>
  <c r="H4779" i="2"/>
  <c r="I4779" i="2" s="1"/>
  <c r="G4779" i="2"/>
  <c r="J4779" i="2" s="1"/>
  <c r="H4780" i="2"/>
  <c r="I4780" i="2" s="1"/>
  <c r="G4780" i="2"/>
  <c r="J4780" i="2" s="1"/>
  <c r="H4781" i="2"/>
  <c r="I4781" i="2" s="1"/>
  <c r="G4781" i="2"/>
  <c r="J4781" i="2" s="1"/>
  <c r="H4782" i="2"/>
  <c r="I4782" i="2" s="1"/>
  <c r="G4782" i="2"/>
  <c r="J4782" i="2" s="1"/>
  <c r="H4783" i="2"/>
  <c r="I4783" i="2" s="1"/>
  <c r="G4783" i="2"/>
  <c r="J4783" i="2" s="1"/>
  <c r="H4784" i="2"/>
  <c r="I4784" i="2" s="1"/>
  <c r="G4784" i="2"/>
  <c r="J4784" i="2" s="1"/>
  <c r="H4785" i="2"/>
  <c r="I4785" i="2" s="1"/>
  <c r="G4785" i="2"/>
  <c r="J4785" i="2" s="1"/>
  <c r="H4786" i="2"/>
  <c r="I4786" i="2" s="1"/>
  <c r="G4786" i="2"/>
  <c r="J4786" i="2" s="1"/>
  <c r="H4787" i="2"/>
  <c r="I4787" i="2" s="1"/>
  <c r="G4787" i="2"/>
  <c r="J4787" i="2" s="1"/>
  <c r="H4788" i="2"/>
  <c r="I4788" i="2" s="1"/>
  <c r="G4788" i="2"/>
  <c r="J4788" i="2" s="1"/>
  <c r="H4789" i="2"/>
  <c r="I4789" i="2" s="1"/>
  <c r="G4789" i="2"/>
  <c r="J4789" i="2" s="1"/>
  <c r="H4790" i="2"/>
  <c r="I4790" i="2" s="1"/>
  <c r="G4790" i="2"/>
  <c r="J4790" i="2" s="1"/>
  <c r="H4791" i="2"/>
  <c r="I4791" i="2" s="1"/>
  <c r="G4791" i="2"/>
  <c r="J4791" i="2" s="1"/>
  <c r="H4792" i="2"/>
  <c r="I4792" i="2" s="1"/>
  <c r="G4792" i="2"/>
  <c r="J4792" i="2" s="1"/>
  <c r="H4793" i="2"/>
  <c r="I4793" i="2" s="1"/>
  <c r="G4793" i="2"/>
  <c r="J4793" i="2" s="1"/>
  <c r="H4794" i="2"/>
  <c r="I4794" i="2" s="1"/>
  <c r="G4794" i="2"/>
  <c r="J4794" i="2" s="1"/>
  <c r="H4795" i="2"/>
  <c r="I4795" i="2" s="1"/>
  <c r="G4795" i="2"/>
  <c r="J4795" i="2" s="1"/>
  <c r="H4796" i="2"/>
  <c r="I4796" i="2" s="1"/>
  <c r="G4796" i="2"/>
  <c r="J4796" i="2" s="1"/>
  <c r="H4797" i="2"/>
  <c r="I4797" i="2" s="1"/>
  <c r="G4797" i="2"/>
  <c r="J4797" i="2" s="1"/>
  <c r="H4798" i="2"/>
  <c r="I4798" i="2" s="1"/>
  <c r="G4798" i="2"/>
  <c r="J4798" i="2" s="1"/>
  <c r="H4799" i="2"/>
  <c r="I4799" i="2" s="1"/>
  <c r="G4799" i="2"/>
  <c r="J4799" i="2" s="1"/>
  <c r="H4800" i="2"/>
  <c r="I4800" i="2" s="1"/>
  <c r="G4800" i="2"/>
  <c r="J4800" i="2" s="1"/>
  <c r="H4801" i="2"/>
  <c r="I4801" i="2" s="1"/>
  <c r="G4801" i="2"/>
  <c r="J4801" i="2" s="1"/>
  <c r="H4802" i="2"/>
  <c r="I4802" i="2" s="1"/>
  <c r="G4802" i="2"/>
  <c r="J4802" i="2" s="1"/>
  <c r="H4803" i="2"/>
  <c r="I4803" i="2" s="1"/>
  <c r="G4803" i="2"/>
  <c r="J4803" i="2" s="1"/>
  <c r="H4804" i="2"/>
  <c r="I4804" i="2" s="1"/>
  <c r="G4804" i="2"/>
  <c r="J4804" i="2" s="1"/>
  <c r="H4805" i="2"/>
  <c r="I4805" i="2" s="1"/>
  <c r="G4805" i="2"/>
  <c r="J4805" i="2" s="1"/>
  <c r="H4806" i="2"/>
  <c r="I4806" i="2" s="1"/>
  <c r="G4806" i="2"/>
  <c r="J4806" i="2" s="1"/>
  <c r="H4807" i="2"/>
  <c r="I4807" i="2" s="1"/>
  <c r="G4807" i="2"/>
  <c r="J4807" i="2" s="1"/>
  <c r="H4808" i="2"/>
  <c r="I4808" i="2" s="1"/>
  <c r="G4808" i="2"/>
  <c r="J4808" i="2" s="1"/>
  <c r="H4809" i="2"/>
  <c r="I4809" i="2" s="1"/>
  <c r="G4809" i="2"/>
  <c r="J4809" i="2" s="1"/>
  <c r="H4810" i="2"/>
  <c r="I4810" i="2" s="1"/>
  <c r="G4810" i="2"/>
  <c r="J4810" i="2" s="1"/>
  <c r="H4811" i="2"/>
  <c r="I4811" i="2" s="1"/>
  <c r="G4811" i="2"/>
  <c r="J4811" i="2" s="1"/>
  <c r="H4812" i="2"/>
  <c r="I4812" i="2" s="1"/>
  <c r="G4812" i="2"/>
  <c r="J4812" i="2" s="1"/>
  <c r="H4813" i="2"/>
  <c r="I4813" i="2" s="1"/>
  <c r="G4813" i="2"/>
  <c r="J4813" i="2" s="1"/>
  <c r="H4814" i="2"/>
  <c r="I4814" i="2" s="1"/>
  <c r="G4814" i="2"/>
  <c r="J4814" i="2" s="1"/>
  <c r="H4815" i="2"/>
  <c r="I4815" i="2" s="1"/>
  <c r="G4815" i="2"/>
  <c r="J4815" i="2" s="1"/>
  <c r="H4816" i="2"/>
  <c r="I4816" i="2" s="1"/>
  <c r="G4816" i="2"/>
  <c r="J4816" i="2" s="1"/>
  <c r="H4817" i="2"/>
  <c r="I4817" i="2" s="1"/>
  <c r="G4817" i="2"/>
  <c r="J4817" i="2" s="1"/>
  <c r="H4818" i="2"/>
  <c r="I4818" i="2" s="1"/>
  <c r="G4818" i="2"/>
  <c r="J4818" i="2" s="1"/>
  <c r="H4819" i="2"/>
  <c r="I4819" i="2" s="1"/>
  <c r="G4819" i="2"/>
  <c r="J4819" i="2" s="1"/>
  <c r="H4820" i="2"/>
  <c r="I4820" i="2" s="1"/>
  <c r="G4820" i="2"/>
  <c r="J4820" i="2" s="1"/>
  <c r="H4821" i="2"/>
  <c r="I4821" i="2" s="1"/>
  <c r="G4821" i="2"/>
  <c r="J4821" i="2" s="1"/>
  <c r="H4822" i="2"/>
  <c r="I4822" i="2" s="1"/>
  <c r="G4822" i="2"/>
  <c r="J4822" i="2" s="1"/>
  <c r="H4823" i="2"/>
  <c r="I4823" i="2" s="1"/>
  <c r="G4823" i="2"/>
  <c r="J4823" i="2" s="1"/>
  <c r="H4824" i="2"/>
  <c r="I4824" i="2" s="1"/>
  <c r="G4824" i="2"/>
  <c r="J4824" i="2" s="1"/>
  <c r="H4825" i="2"/>
  <c r="I4825" i="2" s="1"/>
  <c r="G4825" i="2"/>
  <c r="J4825" i="2" s="1"/>
  <c r="H4826" i="2"/>
  <c r="I4826" i="2" s="1"/>
  <c r="G4826" i="2"/>
  <c r="J4826" i="2" s="1"/>
  <c r="H4827" i="2"/>
  <c r="I4827" i="2" s="1"/>
  <c r="G4827" i="2"/>
  <c r="J4827" i="2" s="1"/>
  <c r="H4828" i="2"/>
  <c r="I4828" i="2" s="1"/>
  <c r="G4828" i="2"/>
  <c r="J4828" i="2" s="1"/>
  <c r="H4829" i="2"/>
  <c r="I4829" i="2" s="1"/>
  <c r="G4829" i="2"/>
  <c r="J4829" i="2" s="1"/>
  <c r="H4830" i="2"/>
  <c r="I4830" i="2" s="1"/>
  <c r="G4830" i="2"/>
  <c r="J4830" i="2" s="1"/>
  <c r="H4831" i="2"/>
  <c r="I4831" i="2" s="1"/>
  <c r="G4831" i="2"/>
  <c r="J4831" i="2" s="1"/>
  <c r="H4832" i="2"/>
  <c r="I4832" i="2" s="1"/>
  <c r="G4832" i="2"/>
  <c r="J4832" i="2" s="1"/>
  <c r="H4833" i="2"/>
  <c r="I4833" i="2" s="1"/>
  <c r="G4833" i="2"/>
  <c r="J4833" i="2" s="1"/>
  <c r="H4834" i="2"/>
  <c r="I4834" i="2" s="1"/>
  <c r="G4834" i="2"/>
  <c r="J4834" i="2" s="1"/>
  <c r="H4835" i="2"/>
  <c r="I4835" i="2" s="1"/>
  <c r="G4835" i="2"/>
  <c r="J4835" i="2" s="1"/>
  <c r="H4836" i="2"/>
  <c r="I4836" i="2" s="1"/>
  <c r="G4836" i="2"/>
  <c r="J4836" i="2" s="1"/>
  <c r="H4837" i="2"/>
  <c r="I4837" i="2" s="1"/>
  <c r="G4837" i="2"/>
  <c r="J4837" i="2" s="1"/>
  <c r="H4838" i="2"/>
  <c r="I4838" i="2" s="1"/>
  <c r="G4838" i="2"/>
  <c r="J4838" i="2" s="1"/>
  <c r="H4839" i="2"/>
  <c r="I4839" i="2" s="1"/>
  <c r="G4839" i="2"/>
  <c r="J4839" i="2" s="1"/>
  <c r="H4840" i="2"/>
  <c r="I4840" i="2" s="1"/>
  <c r="G4840" i="2"/>
  <c r="J4840" i="2" s="1"/>
  <c r="H4841" i="2"/>
  <c r="I4841" i="2" s="1"/>
  <c r="G4841" i="2"/>
  <c r="J4841" i="2" s="1"/>
  <c r="H4842" i="2"/>
  <c r="I4842" i="2" s="1"/>
  <c r="G4842" i="2"/>
  <c r="J4842" i="2" s="1"/>
  <c r="H4843" i="2"/>
  <c r="I4843" i="2" s="1"/>
  <c r="G4843" i="2"/>
  <c r="J4843" i="2" s="1"/>
  <c r="H4844" i="2"/>
  <c r="I4844" i="2" s="1"/>
  <c r="G4844" i="2"/>
  <c r="J4844" i="2" s="1"/>
  <c r="H4845" i="2"/>
  <c r="I4845" i="2" s="1"/>
  <c r="G4845" i="2"/>
  <c r="J4845" i="2" s="1"/>
  <c r="H4846" i="2"/>
  <c r="I4846" i="2" s="1"/>
  <c r="G4846" i="2"/>
  <c r="J4846" i="2" s="1"/>
  <c r="H4847" i="2"/>
  <c r="I4847" i="2" s="1"/>
  <c r="G4847" i="2"/>
  <c r="J4847" i="2" s="1"/>
  <c r="H4848" i="2"/>
  <c r="I4848" i="2" s="1"/>
  <c r="G4848" i="2"/>
  <c r="J4848" i="2" s="1"/>
  <c r="H4849" i="2"/>
  <c r="I4849" i="2" s="1"/>
  <c r="G4849" i="2"/>
  <c r="J4849" i="2" s="1"/>
  <c r="H4850" i="2"/>
  <c r="I4850" i="2" s="1"/>
  <c r="G4850" i="2"/>
  <c r="J4850" i="2" s="1"/>
  <c r="H4851" i="2"/>
  <c r="I4851" i="2" s="1"/>
  <c r="G4851" i="2"/>
  <c r="J4851" i="2" s="1"/>
  <c r="H4852" i="2"/>
  <c r="I4852" i="2" s="1"/>
  <c r="G4852" i="2"/>
  <c r="J4852" i="2" s="1"/>
  <c r="H4853" i="2"/>
  <c r="I4853" i="2" s="1"/>
  <c r="G4853" i="2"/>
  <c r="J4853" i="2" s="1"/>
  <c r="H4854" i="2"/>
  <c r="I4854" i="2" s="1"/>
  <c r="G4854" i="2"/>
  <c r="J4854" i="2" s="1"/>
  <c r="H4855" i="2"/>
  <c r="I4855" i="2" s="1"/>
  <c r="G4855" i="2"/>
  <c r="J4855" i="2" s="1"/>
  <c r="H4856" i="2"/>
  <c r="I4856" i="2" s="1"/>
  <c r="G4856" i="2"/>
  <c r="J4856" i="2" s="1"/>
  <c r="H4857" i="2"/>
  <c r="I4857" i="2" s="1"/>
  <c r="G4857" i="2"/>
  <c r="J4857" i="2" s="1"/>
  <c r="H4858" i="2"/>
  <c r="I4858" i="2" s="1"/>
  <c r="G4858" i="2"/>
  <c r="J4858" i="2" s="1"/>
  <c r="H4859" i="2"/>
  <c r="I4859" i="2" s="1"/>
  <c r="G4859" i="2"/>
  <c r="J4859" i="2" s="1"/>
  <c r="H4860" i="2"/>
  <c r="I4860" i="2" s="1"/>
  <c r="G4860" i="2"/>
  <c r="J4860" i="2" s="1"/>
  <c r="H4861" i="2"/>
  <c r="I4861" i="2" s="1"/>
  <c r="G4861" i="2"/>
  <c r="J4861" i="2" s="1"/>
  <c r="H4862" i="2"/>
  <c r="I4862" i="2" s="1"/>
  <c r="G4862" i="2"/>
  <c r="J4862" i="2" s="1"/>
  <c r="H4863" i="2"/>
  <c r="I4863" i="2" s="1"/>
  <c r="G4863" i="2"/>
  <c r="J4863" i="2" s="1"/>
  <c r="H4864" i="2"/>
  <c r="I4864" i="2" s="1"/>
  <c r="G4864" i="2"/>
  <c r="J4864" i="2" s="1"/>
  <c r="H4865" i="2"/>
  <c r="I4865" i="2" s="1"/>
  <c r="G4865" i="2"/>
  <c r="J4865" i="2" s="1"/>
  <c r="H4866" i="2"/>
  <c r="I4866" i="2" s="1"/>
  <c r="G4866" i="2"/>
  <c r="J4866" i="2" s="1"/>
  <c r="H4867" i="2"/>
  <c r="I4867" i="2" s="1"/>
  <c r="G4867" i="2"/>
  <c r="J4867" i="2" s="1"/>
  <c r="H4868" i="2"/>
  <c r="I4868" i="2" s="1"/>
  <c r="G4868" i="2"/>
  <c r="J4868" i="2" s="1"/>
  <c r="H4869" i="2"/>
  <c r="I4869" i="2" s="1"/>
  <c r="G4869" i="2"/>
  <c r="J4869" i="2" s="1"/>
  <c r="H4870" i="2"/>
  <c r="I4870" i="2" s="1"/>
  <c r="G4870" i="2"/>
  <c r="J4870" i="2" s="1"/>
  <c r="H4871" i="2"/>
  <c r="I4871" i="2" s="1"/>
  <c r="G4871" i="2"/>
  <c r="J4871" i="2" s="1"/>
  <c r="H4872" i="2"/>
  <c r="I4872" i="2" s="1"/>
  <c r="G4872" i="2"/>
  <c r="J4872" i="2" s="1"/>
  <c r="H4873" i="2"/>
  <c r="I4873" i="2" s="1"/>
  <c r="G4873" i="2"/>
  <c r="J4873" i="2" s="1"/>
  <c r="H4874" i="2"/>
  <c r="I4874" i="2" s="1"/>
  <c r="G4874" i="2"/>
  <c r="J4874" i="2" s="1"/>
  <c r="H4875" i="2"/>
  <c r="I4875" i="2" s="1"/>
  <c r="G4875" i="2"/>
  <c r="J4875" i="2" s="1"/>
  <c r="H4876" i="2"/>
  <c r="I4876" i="2" s="1"/>
  <c r="G4876" i="2"/>
  <c r="J4876" i="2" s="1"/>
  <c r="H4877" i="2"/>
  <c r="I4877" i="2" s="1"/>
  <c r="G4877" i="2"/>
  <c r="J4877" i="2" s="1"/>
  <c r="H4878" i="2"/>
  <c r="I4878" i="2" s="1"/>
  <c r="G4878" i="2"/>
  <c r="J4878" i="2" s="1"/>
  <c r="H4879" i="2"/>
  <c r="I4879" i="2" s="1"/>
  <c r="G4879" i="2"/>
  <c r="J4879" i="2" s="1"/>
  <c r="H4880" i="2"/>
  <c r="I4880" i="2" s="1"/>
  <c r="G4880" i="2"/>
  <c r="J4880" i="2" s="1"/>
  <c r="H4881" i="2"/>
  <c r="I4881" i="2" s="1"/>
  <c r="G4881" i="2"/>
  <c r="J4881" i="2" s="1"/>
  <c r="H4882" i="2"/>
  <c r="I4882" i="2" s="1"/>
  <c r="G4882" i="2"/>
  <c r="J4882" i="2" s="1"/>
  <c r="H4883" i="2"/>
  <c r="I4883" i="2" s="1"/>
  <c r="G4883" i="2"/>
  <c r="J4883" i="2" s="1"/>
  <c r="H4884" i="2"/>
  <c r="I4884" i="2" s="1"/>
  <c r="G4884" i="2"/>
  <c r="J4884" i="2" s="1"/>
  <c r="H4885" i="2"/>
  <c r="I4885" i="2" s="1"/>
  <c r="G4885" i="2"/>
  <c r="J4885" i="2" s="1"/>
  <c r="H4886" i="2"/>
  <c r="I4886" i="2" s="1"/>
  <c r="G4886" i="2"/>
  <c r="J4886" i="2" s="1"/>
  <c r="H4887" i="2"/>
  <c r="I4887" i="2" s="1"/>
  <c r="G4887" i="2"/>
  <c r="J4887" i="2" s="1"/>
  <c r="H4888" i="2"/>
  <c r="I4888" i="2" s="1"/>
  <c r="G4888" i="2"/>
  <c r="J4888" i="2" s="1"/>
  <c r="H4889" i="2"/>
  <c r="I4889" i="2" s="1"/>
  <c r="G4889" i="2"/>
  <c r="J4889" i="2" s="1"/>
  <c r="H4890" i="2"/>
  <c r="I4890" i="2" s="1"/>
  <c r="G4890" i="2"/>
  <c r="J4890" i="2" s="1"/>
  <c r="H4891" i="2"/>
  <c r="I4891" i="2" s="1"/>
  <c r="G4891" i="2"/>
  <c r="J4891" i="2" s="1"/>
  <c r="H4892" i="2"/>
  <c r="I4892" i="2" s="1"/>
  <c r="G4892" i="2"/>
  <c r="J4892" i="2" s="1"/>
  <c r="H4893" i="2"/>
  <c r="I4893" i="2" s="1"/>
  <c r="G4893" i="2"/>
  <c r="J4893" i="2" s="1"/>
  <c r="H4894" i="2"/>
  <c r="I4894" i="2" s="1"/>
  <c r="G4894" i="2"/>
  <c r="J4894" i="2" s="1"/>
  <c r="H4895" i="2"/>
  <c r="I4895" i="2" s="1"/>
  <c r="G4895" i="2"/>
  <c r="J4895" i="2" s="1"/>
  <c r="H4896" i="2"/>
  <c r="I4896" i="2" s="1"/>
  <c r="G4896" i="2"/>
  <c r="J4896" i="2" s="1"/>
  <c r="H4897" i="2"/>
  <c r="I4897" i="2" s="1"/>
  <c r="G4897" i="2"/>
  <c r="J4897" i="2" s="1"/>
  <c r="H4898" i="2"/>
  <c r="I4898" i="2" s="1"/>
  <c r="G4898" i="2"/>
  <c r="J4898" i="2" s="1"/>
  <c r="H4899" i="2"/>
  <c r="I4899" i="2" s="1"/>
  <c r="G4899" i="2"/>
  <c r="J4899" i="2" s="1"/>
  <c r="H4900" i="2"/>
  <c r="I4900" i="2" s="1"/>
  <c r="G4900" i="2"/>
  <c r="J4900" i="2" s="1"/>
  <c r="H4901" i="2"/>
  <c r="I4901" i="2" s="1"/>
  <c r="G4901" i="2"/>
  <c r="J4901" i="2" s="1"/>
  <c r="H4902" i="2"/>
  <c r="I4902" i="2" s="1"/>
  <c r="G4902" i="2"/>
  <c r="J4902" i="2" s="1"/>
  <c r="H4903" i="2"/>
  <c r="I4903" i="2" s="1"/>
  <c r="G4903" i="2"/>
  <c r="J4903" i="2" s="1"/>
  <c r="H4904" i="2"/>
  <c r="I4904" i="2" s="1"/>
  <c r="G4904" i="2"/>
  <c r="J4904" i="2" s="1"/>
  <c r="H4905" i="2"/>
  <c r="I4905" i="2" s="1"/>
  <c r="G4905" i="2"/>
  <c r="J4905" i="2" s="1"/>
  <c r="H4906" i="2"/>
  <c r="I4906" i="2" s="1"/>
  <c r="G4906" i="2"/>
  <c r="J4906" i="2" s="1"/>
  <c r="H4907" i="2"/>
  <c r="I4907" i="2" s="1"/>
  <c r="G4907" i="2"/>
  <c r="J4907" i="2" s="1"/>
  <c r="H4908" i="2"/>
  <c r="I4908" i="2" s="1"/>
  <c r="G4908" i="2"/>
  <c r="J4908" i="2" s="1"/>
  <c r="H4909" i="2"/>
  <c r="I4909" i="2" s="1"/>
  <c r="G4909" i="2"/>
  <c r="J4909" i="2" s="1"/>
  <c r="H4910" i="2"/>
  <c r="I4910" i="2" s="1"/>
  <c r="G4910" i="2"/>
  <c r="J4910" i="2" s="1"/>
  <c r="H4911" i="2"/>
  <c r="I4911" i="2" s="1"/>
  <c r="G4911" i="2"/>
  <c r="J4911" i="2" s="1"/>
  <c r="H4912" i="2"/>
  <c r="I4912" i="2" s="1"/>
  <c r="G4912" i="2"/>
  <c r="J4912" i="2" s="1"/>
  <c r="H4913" i="2"/>
  <c r="I4913" i="2" s="1"/>
  <c r="G4913" i="2"/>
  <c r="J4913" i="2" s="1"/>
  <c r="H4914" i="2"/>
  <c r="I4914" i="2" s="1"/>
  <c r="G4914" i="2"/>
  <c r="J4914" i="2" s="1"/>
  <c r="H4915" i="2"/>
  <c r="I4915" i="2" s="1"/>
  <c r="G4915" i="2"/>
  <c r="J4915" i="2" s="1"/>
  <c r="H4916" i="2"/>
  <c r="I4916" i="2" s="1"/>
  <c r="G4916" i="2"/>
  <c r="J4916" i="2" s="1"/>
  <c r="H4917" i="2"/>
  <c r="I4917" i="2" s="1"/>
  <c r="G4917" i="2"/>
  <c r="J4917" i="2" s="1"/>
  <c r="H4918" i="2"/>
  <c r="I4918" i="2" s="1"/>
  <c r="G4918" i="2"/>
  <c r="J4918" i="2" s="1"/>
  <c r="H4919" i="2"/>
  <c r="I4919" i="2" s="1"/>
  <c r="G4919" i="2"/>
  <c r="J4919" i="2" s="1"/>
  <c r="H4920" i="2"/>
  <c r="I4920" i="2" s="1"/>
  <c r="G4920" i="2"/>
  <c r="J4920" i="2" s="1"/>
  <c r="H4921" i="2"/>
  <c r="I4921" i="2" s="1"/>
  <c r="G4921" i="2"/>
  <c r="J4921" i="2" s="1"/>
  <c r="H4922" i="2"/>
  <c r="I4922" i="2" s="1"/>
  <c r="G4922" i="2"/>
  <c r="J4922" i="2" s="1"/>
  <c r="H4923" i="2"/>
  <c r="I4923" i="2" s="1"/>
  <c r="G4923" i="2"/>
  <c r="J4923" i="2" s="1"/>
  <c r="H4924" i="2"/>
  <c r="I4924" i="2" s="1"/>
  <c r="G4924" i="2"/>
  <c r="J4924" i="2" s="1"/>
  <c r="H4925" i="2"/>
  <c r="I4925" i="2" s="1"/>
  <c r="G4925" i="2"/>
  <c r="J4925" i="2" s="1"/>
  <c r="H4926" i="2"/>
  <c r="I4926" i="2" s="1"/>
  <c r="G4926" i="2"/>
  <c r="J4926" i="2" s="1"/>
  <c r="H4927" i="2"/>
  <c r="I4927" i="2" s="1"/>
  <c r="G4927" i="2"/>
  <c r="J4927" i="2" s="1"/>
  <c r="H4928" i="2"/>
  <c r="I4928" i="2" s="1"/>
  <c r="G4928" i="2"/>
  <c r="J4928" i="2" s="1"/>
  <c r="H4929" i="2"/>
  <c r="I4929" i="2" s="1"/>
  <c r="G4929" i="2"/>
  <c r="J4929" i="2" s="1"/>
  <c r="H4930" i="2"/>
  <c r="I4930" i="2" s="1"/>
  <c r="G4930" i="2"/>
  <c r="J4930" i="2" s="1"/>
  <c r="H4931" i="2"/>
  <c r="I4931" i="2" s="1"/>
  <c r="G4931" i="2"/>
  <c r="J4931" i="2" s="1"/>
  <c r="H4932" i="2"/>
  <c r="I4932" i="2" s="1"/>
  <c r="G4932" i="2"/>
  <c r="J4932" i="2" s="1"/>
  <c r="H4933" i="2"/>
  <c r="I4933" i="2" s="1"/>
  <c r="G4933" i="2"/>
  <c r="J4933" i="2" s="1"/>
  <c r="H4934" i="2"/>
  <c r="I4934" i="2" s="1"/>
  <c r="G4934" i="2"/>
  <c r="J4934" i="2" s="1"/>
  <c r="H4935" i="2"/>
  <c r="I4935" i="2" s="1"/>
  <c r="G4935" i="2"/>
  <c r="J4935" i="2" s="1"/>
  <c r="H4936" i="2"/>
  <c r="I4936" i="2" s="1"/>
  <c r="G4936" i="2"/>
  <c r="J4936" i="2" s="1"/>
  <c r="H4937" i="2"/>
  <c r="I4937" i="2" s="1"/>
  <c r="G4937" i="2"/>
  <c r="J4937" i="2" s="1"/>
  <c r="H4938" i="2"/>
  <c r="I4938" i="2" s="1"/>
  <c r="G4938" i="2"/>
  <c r="J4938" i="2" s="1"/>
  <c r="H4939" i="2"/>
  <c r="I4939" i="2" s="1"/>
  <c r="G4939" i="2"/>
  <c r="J4939" i="2" s="1"/>
  <c r="H4940" i="2"/>
  <c r="I4940" i="2" s="1"/>
  <c r="G4940" i="2"/>
  <c r="J4940" i="2" s="1"/>
  <c r="H4941" i="2"/>
  <c r="I4941" i="2" s="1"/>
  <c r="G4941" i="2"/>
  <c r="J4941" i="2" s="1"/>
  <c r="H4942" i="2"/>
  <c r="I4942" i="2" s="1"/>
  <c r="G4942" i="2"/>
  <c r="J4942" i="2" s="1"/>
  <c r="H4943" i="2"/>
  <c r="I4943" i="2" s="1"/>
  <c r="G4943" i="2"/>
  <c r="J4943" i="2" s="1"/>
  <c r="H4944" i="2"/>
  <c r="I4944" i="2" s="1"/>
  <c r="G4944" i="2"/>
  <c r="J4944" i="2" s="1"/>
  <c r="H4945" i="2"/>
  <c r="I4945" i="2" s="1"/>
  <c r="G4945" i="2"/>
  <c r="J4945" i="2" s="1"/>
  <c r="H4946" i="2"/>
  <c r="I4946" i="2" s="1"/>
  <c r="G4946" i="2"/>
  <c r="J4946" i="2" s="1"/>
  <c r="H4947" i="2"/>
  <c r="I4947" i="2" s="1"/>
  <c r="G4947" i="2"/>
  <c r="J4947" i="2" s="1"/>
  <c r="H4948" i="2"/>
  <c r="I4948" i="2" s="1"/>
  <c r="G4948" i="2"/>
  <c r="J4948" i="2" s="1"/>
  <c r="H4949" i="2"/>
  <c r="I4949" i="2" s="1"/>
  <c r="G4949" i="2"/>
  <c r="J4949" i="2" s="1"/>
  <c r="H4950" i="2"/>
  <c r="I4950" i="2" s="1"/>
  <c r="G4950" i="2"/>
  <c r="J4950" i="2" s="1"/>
  <c r="H4951" i="2"/>
  <c r="I4951" i="2" s="1"/>
  <c r="G4951" i="2"/>
  <c r="J4951" i="2" s="1"/>
  <c r="H4952" i="2"/>
  <c r="I4952" i="2" s="1"/>
  <c r="G4952" i="2"/>
  <c r="J4952" i="2" s="1"/>
  <c r="H4953" i="2"/>
  <c r="I4953" i="2" s="1"/>
  <c r="G4953" i="2"/>
  <c r="J4953" i="2" s="1"/>
  <c r="H4954" i="2"/>
  <c r="I4954" i="2" s="1"/>
  <c r="G4954" i="2"/>
  <c r="J4954" i="2" s="1"/>
  <c r="H4955" i="2"/>
  <c r="I4955" i="2" s="1"/>
  <c r="G4955" i="2"/>
  <c r="J4955" i="2" s="1"/>
  <c r="H4956" i="2"/>
  <c r="I4956" i="2" s="1"/>
  <c r="G4956" i="2"/>
  <c r="J4956" i="2" s="1"/>
  <c r="H4957" i="2"/>
  <c r="I4957" i="2" s="1"/>
  <c r="G4957" i="2"/>
  <c r="J4957" i="2" s="1"/>
  <c r="H4958" i="2"/>
  <c r="I4958" i="2" s="1"/>
  <c r="G4958" i="2"/>
  <c r="J4958" i="2" s="1"/>
  <c r="H4959" i="2"/>
  <c r="I4959" i="2" s="1"/>
  <c r="G4959" i="2"/>
  <c r="J4959" i="2" s="1"/>
  <c r="H4960" i="2"/>
  <c r="I4960" i="2" s="1"/>
  <c r="G4960" i="2"/>
  <c r="J4960" i="2" s="1"/>
  <c r="H4961" i="2"/>
  <c r="I4961" i="2" s="1"/>
  <c r="G4961" i="2"/>
  <c r="J4961" i="2" s="1"/>
  <c r="H4962" i="2"/>
  <c r="I4962" i="2" s="1"/>
  <c r="G4962" i="2"/>
  <c r="J4962" i="2" s="1"/>
  <c r="H4963" i="2"/>
  <c r="I4963" i="2" s="1"/>
  <c r="G4963" i="2"/>
  <c r="J4963" i="2" s="1"/>
  <c r="H4964" i="2"/>
  <c r="I4964" i="2" s="1"/>
  <c r="G4964" i="2"/>
  <c r="J4964" i="2" s="1"/>
  <c r="H4965" i="2"/>
  <c r="I4965" i="2" s="1"/>
  <c r="G4965" i="2"/>
  <c r="J4965" i="2" s="1"/>
  <c r="H4966" i="2"/>
  <c r="I4966" i="2" s="1"/>
  <c r="G4966" i="2"/>
  <c r="J4966" i="2" s="1"/>
  <c r="H4967" i="2"/>
  <c r="I4967" i="2" s="1"/>
  <c r="G4967" i="2"/>
  <c r="J4967" i="2" s="1"/>
  <c r="H4968" i="2"/>
  <c r="I4968" i="2" s="1"/>
  <c r="G4968" i="2"/>
  <c r="J4968" i="2" s="1"/>
  <c r="H4969" i="2"/>
  <c r="I4969" i="2" s="1"/>
  <c r="G4969" i="2"/>
  <c r="J4969" i="2" s="1"/>
  <c r="H4970" i="2"/>
  <c r="I4970" i="2" s="1"/>
  <c r="G4970" i="2"/>
  <c r="J4970" i="2" s="1"/>
  <c r="H4971" i="2"/>
  <c r="I4971" i="2" s="1"/>
  <c r="G4971" i="2"/>
  <c r="J4971" i="2" s="1"/>
  <c r="H4972" i="2"/>
  <c r="I4972" i="2" s="1"/>
  <c r="G4972" i="2"/>
  <c r="J4972" i="2" s="1"/>
  <c r="H4973" i="2"/>
  <c r="I4973" i="2" s="1"/>
  <c r="G4973" i="2"/>
  <c r="J4973" i="2" s="1"/>
  <c r="H4974" i="2"/>
  <c r="I4974" i="2" s="1"/>
  <c r="G4974" i="2"/>
  <c r="J4974" i="2" s="1"/>
  <c r="H4975" i="2"/>
  <c r="I4975" i="2" s="1"/>
  <c r="G4975" i="2"/>
  <c r="J4975" i="2" s="1"/>
  <c r="H4976" i="2"/>
  <c r="I4976" i="2" s="1"/>
  <c r="G4976" i="2"/>
  <c r="J4976" i="2" s="1"/>
  <c r="H4977" i="2"/>
  <c r="I4977" i="2" s="1"/>
  <c r="G4977" i="2"/>
  <c r="J4977" i="2" s="1"/>
  <c r="H4978" i="2"/>
  <c r="I4978" i="2" s="1"/>
  <c r="G4978" i="2"/>
  <c r="J4978" i="2" s="1"/>
  <c r="H4979" i="2"/>
  <c r="I4979" i="2" s="1"/>
  <c r="G4979" i="2"/>
  <c r="J4979" i="2" s="1"/>
  <c r="H4980" i="2"/>
  <c r="I4980" i="2" s="1"/>
  <c r="G4980" i="2"/>
  <c r="J4980" i="2" s="1"/>
  <c r="H4981" i="2"/>
  <c r="I4981" i="2" s="1"/>
  <c r="G4981" i="2"/>
  <c r="J4981" i="2" s="1"/>
  <c r="H4982" i="2"/>
  <c r="I4982" i="2" s="1"/>
  <c r="G4982" i="2"/>
  <c r="J4982" i="2" s="1"/>
  <c r="H4983" i="2"/>
  <c r="I4983" i="2" s="1"/>
  <c r="G4983" i="2"/>
  <c r="J4983" i="2" s="1"/>
  <c r="H4984" i="2"/>
  <c r="I4984" i="2" s="1"/>
  <c r="G4984" i="2"/>
  <c r="J4984" i="2" s="1"/>
  <c r="H4985" i="2"/>
  <c r="I4985" i="2" s="1"/>
  <c r="G4985" i="2"/>
  <c r="J4985" i="2" s="1"/>
  <c r="H4986" i="2"/>
  <c r="I4986" i="2" s="1"/>
  <c r="G4986" i="2"/>
  <c r="J4986" i="2" s="1"/>
  <c r="H4987" i="2"/>
  <c r="I4987" i="2" s="1"/>
  <c r="G4987" i="2"/>
  <c r="J4987" i="2" s="1"/>
  <c r="H4988" i="2"/>
  <c r="I4988" i="2" s="1"/>
  <c r="G4988" i="2"/>
  <c r="J4988" i="2" s="1"/>
  <c r="H4989" i="2"/>
  <c r="I4989" i="2" s="1"/>
  <c r="G4989" i="2"/>
  <c r="J4989" i="2" s="1"/>
  <c r="H4990" i="2"/>
  <c r="I4990" i="2" s="1"/>
  <c r="G4990" i="2"/>
  <c r="J4990" i="2" s="1"/>
  <c r="H4991" i="2"/>
  <c r="I4991" i="2" s="1"/>
  <c r="G4991" i="2"/>
  <c r="J4991" i="2" s="1"/>
  <c r="H4992" i="2"/>
  <c r="I4992" i="2" s="1"/>
  <c r="G4992" i="2"/>
  <c r="J4992" i="2" s="1"/>
  <c r="H4993" i="2"/>
  <c r="I4993" i="2" s="1"/>
  <c r="G4993" i="2"/>
  <c r="J4993" i="2" s="1"/>
  <c r="H4994" i="2"/>
  <c r="I4994" i="2" s="1"/>
  <c r="G4994" i="2"/>
  <c r="J4994" i="2" s="1"/>
  <c r="H4995" i="2"/>
  <c r="I4995" i="2" s="1"/>
  <c r="G4995" i="2"/>
  <c r="J4995" i="2" s="1"/>
  <c r="H4996" i="2"/>
  <c r="I4996" i="2" s="1"/>
  <c r="G4996" i="2"/>
  <c r="J4996" i="2" s="1"/>
  <c r="H4997" i="2"/>
  <c r="I4997" i="2" s="1"/>
  <c r="G4997" i="2"/>
  <c r="J4997" i="2" s="1"/>
  <c r="H4998" i="2"/>
  <c r="I4998" i="2" s="1"/>
  <c r="G4998" i="2"/>
  <c r="J4998" i="2" s="1"/>
  <c r="H4999" i="2"/>
  <c r="I4999" i="2" s="1"/>
  <c r="G4999" i="2"/>
  <c r="J4999" i="2" s="1"/>
  <c r="H5000" i="2"/>
  <c r="I5000" i="2" s="1"/>
  <c r="G5000" i="2"/>
  <c r="J5000" i="2" s="1"/>
  <c r="G48" i="3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K237" i="4" a="1"/>
  <c r="K237" i="4" s="1"/>
  <c r="I237" i="4"/>
  <c r="K230" i="4" a="1"/>
  <c r="K230" i="4" s="1"/>
  <c r="I230" i="4"/>
  <c r="K229" i="4" a="1"/>
  <c r="K229" i="4" s="1"/>
  <c r="I229" i="4"/>
  <c r="K223" i="4" a="1"/>
  <c r="K223" i="4" s="1"/>
  <c r="I223" i="4"/>
  <c r="K222" i="4" a="1"/>
  <c r="K222" i="4" s="1"/>
  <c r="I222" i="4"/>
  <c r="K167" i="4" a="1"/>
  <c r="K167" i="4" s="1"/>
  <c r="I167" i="4"/>
  <c r="K166" i="4" a="1"/>
  <c r="K166" i="4" s="1"/>
  <c r="I166" i="4"/>
  <c r="K165" i="4" a="1"/>
  <c r="K165" i="4" s="1"/>
  <c r="I165" i="4"/>
  <c r="K57" i="4" a="1"/>
  <c r="K57" i="4" s="1"/>
  <c r="I57" i="4"/>
  <c r="K31" i="4" a="1"/>
  <c r="K31" i="4" s="1"/>
  <c r="I31" i="4"/>
  <c r="E6" i="3"/>
  <c r="B2" i="9"/>
  <c r="E2" i="9"/>
  <c r="N2" i="9" s="1"/>
  <c r="B3" i="9"/>
  <c r="E3" i="9"/>
  <c r="N3" i="9" s="1"/>
  <c r="B4" i="9"/>
  <c r="E4" i="9"/>
  <c r="N4" i="9" s="1"/>
  <c r="B5" i="9"/>
  <c r="E5" i="9"/>
  <c r="N5" i="9" s="1"/>
  <c r="B6" i="9"/>
  <c r="E6" i="9"/>
  <c r="N6" i="9" s="1"/>
  <c r="B7" i="9"/>
  <c r="E7" i="9"/>
  <c r="N7" i="9" s="1"/>
  <c r="B8" i="9"/>
  <c r="E8" i="9"/>
  <c r="N8" i="9" s="1"/>
  <c r="B9" i="9"/>
  <c r="E9" i="9"/>
  <c r="N9" i="9" s="1"/>
  <c r="B10" i="9"/>
  <c r="E10" i="9"/>
  <c r="N10" i="9" s="1"/>
  <c r="B11" i="9"/>
  <c r="E11" i="9"/>
  <c r="N11" i="9" s="1"/>
  <c r="B12" i="9"/>
  <c r="E12" i="9"/>
  <c r="N12" i="9" s="1"/>
  <c r="B13" i="9"/>
  <c r="E13" i="9"/>
  <c r="N13" i="9" s="1"/>
  <c r="B14" i="9"/>
  <c r="E14" i="9"/>
  <c r="N14" i="9" s="1"/>
  <c r="B15" i="9"/>
  <c r="E15" i="9"/>
  <c r="N15" i="9" s="1"/>
  <c r="B16" i="9"/>
  <c r="E16" i="9"/>
  <c r="N16" i="9" s="1"/>
  <c r="B17" i="9"/>
  <c r="E17" i="9"/>
  <c r="N17" i="9" s="1"/>
  <c r="B18" i="9"/>
  <c r="E18" i="9"/>
  <c r="N18" i="9" s="1"/>
  <c r="B19" i="9"/>
  <c r="E19" i="9"/>
  <c r="N19" i="9" s="1"/>
  <c r="B20" i="9"/>
  <c r="E20" i="9"/>
  <c r="N20" i="9" s="1"/>
  <c r="B21" i="9"/>
  <c r="E21" i="9"/>
  <c r="N21" i="9" s="1"/>
  <c r="B22" i="9"/>
  <c r="E22" i="9"/>
  <c r="N22" i="9" s="1"/>
  <c r="B23" i="9"/>
  <c r="E23" i="9"/>
  <c r="N23" i="9" s="1"/>
  <c r="B24" i="9"/>
  <c r="E24" i="9"/>
  <c r="N24" i="9" s="1"/>
  <c r="B25" i="9"/>
  <c r="E25" i="9"/>
  <c r="N25" i="9" s="1"/>
  <c r="B26" i="9"/>
  <c r="E26" i="9"/>
  <c r="N26" i="9" s="1"/>
  <c r="B27" i="9"/>
  <c r="E27" i="9"/>
  <c r="N27" i="9" s="1"/>
  <c r="B28" i="9"/>
  <c r="E28" i="9"/>
  <c r="N28" i="9" s="1"/>
  <c r="B29" i="9"/>
  <c r="E29" i="9"/>
  <c r="N29" i="9" s="1"/>
  <c r="B30" i="9"/>
  <c r="E30" i="9"/>
  <c r="N30" i="9" s="1"/>
  <c r="B31" i="9"/>
  <c r="E31" i="9"/>
  <c r="N31" i="9" s="1"/>
  <c r="B32" i="9"/>
  <c r="E32" i="9"/>
  <c r="N32" i="9" s="1"/>
  <c r="B33" i="9"/>
  <c r="E33" i="9"/>
  <c r="N33" i="9" s="1"/>
  <c r="B34" i="9"/>
  <c r="E34" i="9"/>
  <c r="N34" i="9" s="1"/>
  <c r="B35" i="9"/>
  <c r="E35" i="9"/>
  <c r="N35" i="9" s="1"/>
  <c r="B36" i="9"/>
  <c r="E36" i="9"/>
  <c r="N36" i="9" s="1"/>
  <c r="B37" i="9"/>
  <c r="E37" i="9"/>
  <c r="N37" i="9" s="1"/>
  <c r="B38" i="9"/>
  <c r="E38" i="9"/>
  <c r="N38" i="9" s="1"/>
  <c r="B39" i="9"/>
  <c r="E39" i="9"/>
  <c r="N39" i="9" s="1"/>
  <c r="B40" i="9"/>
  <c r="E40" i="9"/>
  <c r="N40" i="9" s="1"/>
  <c r="B41" i="9"/>
  <c r="E41" i="9"/>
  <c r="N41" i="9" s="1"/>
  <c r="B42" i="9"/>
  <c r="E42" i="9"/>
  <c r="N42" i="9" s="1"/>
  <c r="B43" i="9"/>
  <c r="E43" i="9"/>
  <c r="N43" i="9" s="1"/>
  <c r="B44" i="9"/>
  <c r="E44" i="9"/>
  <c r="N44" i="9" s="1"/>
  <c r="B45" i="9"/>
  <c r="E45" i="9"/>
  <c r="N45" i="9" s="1"/>
  <c r="B46" i="9"/>
  <c r="E46" i="9"/>
  <c r="N46" i="9" s="1"/>
  <c r="B47" i="9"/>
  <c r="E47" i="9"/>
  <c r="N47" i="9" s="1"/>
  <c r="B48" i="9"/>
  <c r="E48" i="9"/>
  <c r="N48" i="9" s="1"/>
  <c r="B49" i="9"/>
  <c r="E49" i="9"/>
  <c r="N49" i="9" s="1"/>
  <c r="B50" i="9"/>
  <c r="E50" i="9"/>
  <c r="N50" i="9" s="1"/>
  <c r="B51" i="9"/>
  <c r="E51" i="9"/>
  <c r="N51" i="9" s="1"/>
  <c r="B52" i="9"/>
  <c r="E52" i="9"/>
  <c r="N52" i="9" s="1"/>
  <c r="B53" i="9"/>
  <c r="E53" i="9"/>
  <c r="N53" i="9" s="1"/>
  <c r="B54" i="9"/>
  <c r="E54" i="9"/>
  <c r="N54" i="9" s="1"/>
  <c r="B55" i="9"/>
  <c r="E55" i="9"/>
  <c r="N55" i="9" s="1"/>
  <c r="B56" i="9"/>
  <c r="E56" i="9"/>
  <c r="N56" i="9" s="1"/>
  <c r="B57" i="9"/>
  <c r="E57" i="9"/>
  <c r="N57" i="9" s="1"/>
  <c r="B58" i="9"/>
  <c r="E58" i="9"/>
  <c r="N58" i="9" s="1"/>
  <c r="B59" i="9"/>
  <c r="E59" i="9"/>
  <c r="N59" i="9" s="1"/>
  <c r="B60" i="9"/>
  <c r="E60" i="9"/>
  <c r="N60" i="9" s="1"/>
  <c r="B61" i="9"/>
  <c r="E61" i="9"/>
  <c r="N61" i="9" s="1"/>
  <c r="B62" i="9"/>
  <c r="E62" i="9"/>
  <c r="N62" i="9" s="1"/>
  <c r="B63" i="9"/>
  <c r="E63" i="9"/>
  <c r="N63" i="9" s="1"/>
  <c r="B64" i="9"/>
  <c r="E64" i="9"/>
  <c r="N64" i="9" s="1"/>
  <c r="B65" i="9"/>
  <c r="E65" i="9"/>
  <c r="N65" i="9" s="1"/>
  <c r="B66" i="9"/>
  <c r="E66" i="9"/>
  <c r="N66" i="9" s="1"/>
  <c r="B67" i="9"/>
  <c r="E67" i="9"/>
  <c r="N67" i="9" s="1"/>
  <c r="B68" i="9"/>
  <c r="E68" i="9"/>
  <c r="N68" i="9" s="1"/>
  <c r="B69" i="9"/>
  <c r="E69" i="9"/>
  <c r="N69" i="9" s="1"/>
  <c r="B70" i="9"/>
  <c r="E70" i="9"/>
  <c r="N70" i="9" s="1"/>
  <c r="B71" i="9"/>
  <c r="E71" i="9"/>
  <c r="N71" i="9" s="1"/>
  <c r="B72" i="9"/>
  <c r="E72" i="9"/>
  <c r="N72" i="9" s="1"/>
  <c r="B73" i="9"/>
  <c r="E73" i="9"/>
  <c r="N73" i="9" s="1"/>
  <c r="B74" i="9"/>
  <c r="E74" i="9"/>
  <c r="N74" i="9" s="1"/>
  <c r="B75" i="9"/>
  <c r="E75" i="9"/>
  <c r="N75" i="9" s="1"/>
  <c r="B76" i="9"/>
  <c r="E76" i="9"/>
  <c r="N76" i="9" s="1"/>
  <c r="B77" i="9"/>
  <c r="E77" i="9"/>
  <c r="N77" i="9" s="1"/>
  <c r="B78" i="9"/>
  <c r="E78" i="9"/>
  <c r="N78" i="9" s="1"/>
  <c r="B79" i="9"/>
  <c r="E79" i="9"/>
  <c r="N79" i="9" s="1"/>
  <c r="B80" i="9"/>
  <c r="E80" i="9"/>
  <c r="N80" i="9" s="1"/>
  <c r="B81" i="9"/>
  <c r="E81" i="9"/>
  <c r="N81" i="9" s="1"/>
  <c r="B82" i="9"/>
  <c r="E82" i="9"/>
  <c r="N82" i="9" s="1"/>
  <c r="B83" i="9"/>
  <c r="E83" i="9"/>
  <c r="N83" i="9" s="1"/>
  <c r="B84" i="9"/>
  <c r="E84" i="9"/>
  <c r="N84" i="9" s="1"/>
  <c r="B85" i="9"/>
  <c r="E85" i="9"/>
  <c r="N85" i="9" s="1"/>
  <c r="B86" i="9"/>
  <c r="E86" i="9"/>
  <c r="N86" i="9" s="1"/>
  <c r="B87" i="9"/>
  <c r="E87" i="9"/>
  <c r="N87" i="9" s="1"/>
  <c r="B88" i="9"/>
  <c r="E88" i="9"/>
  <c r="N88" i="9" s="1"/>
  <c r="B89" i="9"/>
  <c r="E89" i="9"/>
  <c r="N89" i="9" s="1"/>
  <c r="B90" i="9"/>
  <c r="E90" i="9"/>
  <c r="N90" i="9" s="1"/>
  <c r="B91" i="9"/>
  <c r="E91" i="9"/>
  <c r="N91" i="9" s="1"/>
  <c r="B92" i="9"/>
  <c r="E92" i="9"/>
  <c r="N92" i="9" s="1"/>
  <c r="B93" i="9"/>
  <c r="E93" i="9"/>
  <c r="N93" i="9" s="1"/>
  <c r="B94" i="9"/>
  <c r="E94" i="9"/>
  <c r="N94" i="9" s="1"/>
  <c r="B95" i="9"/>
  <c r="E95" i="9"/>
  <c r="N95" i="9" s="1"/>
  <c r="B96" i="9"/>
  <c r="E96" i="9"/>
  <c r="N96" i="9" s="1"/>
  <c r="B97" i="9"/>
  <c r="E97" i="9"/>
  <c r="N97" i="9" s="1"/>
  <c r="B98" i="9"/>
  <c r="E98" i="9"/>
  <c r="N98" i="9" s="1"/>
  <c r="B99" i="9"/>
  <c r="E99" i="9"/>
  <c r="N99" i="9" s="1"/>
  <c r="B100" i="9"/>
  <c r="E100" i="9"/>
  <c r="N100" i="9" s="1"/>
  <c r="B101" i="9"/>
  <c r="E101" i="9"/>
  <c r="N101" i="9" s="1"/>
  <c r="B102" i="9"/>
  <c r="E102" i="9"/>
  <c r="N102" i="9" s="1"/>
  <c r="B103" i="9"/>
  <c r="E103" i="9"/>
  <c r="N103" i="9" s="1"/>
  <c r="B104" i="9"/>
  <c r="E104" i="9"/>
  <c r="N104" i="9" s="1"/>
  <c r="B105" i="9"/>
  <c r="E105" i="9"/>
  <c r="N105" i="9" s="1"/>
  <c r="B106" i="9"/>
  <c r="E106" i="9"/>
  <c r="N106" i="9" s="1"/>
  <c r="B107" i="9"/>
  <c r="E107" i="9"/>
  <c r="N107" i="9" s="1"/>
  <c r="B108" i="9"/>
  <c r="E108" i="9"/>
  <c r="N108" i="9" s="1"/>
  <c r="B109" i="9"/>
  <c r="E109" i="9"/>
  <c r="N109" i="9" s="1"/>
  <c r="B110" i="9"/>
  <c r="E110" i="9"/>
  <c r="N110" i="9" s="1"/>
  <c r="B111" i="9"/>
  <c r="E111" i="9"/>
  <c r="N111" i="9" s="1"/>
  <c r="B112" i="9"/>
  <c r="E112" i="9"/>
  <c r="N112" i="9" s="1"/>
  <c r="B113" i="9"/>
  <c r="E113" i="9"/>
  <c r="N113" i="9" s="1"/>
  <c r="B114" i="9"/>
  <c r="E114" i="9"/>
  <c r="N114" i="9" s="1"/>
  <c r="B115" i="9"/>
  <c r="E115" i="9"/>
  <c r="N115" i="9" s="1"/>
  <c r="B116" i="9"/>
  <c r="E116" i="9"/>
  <c r="N116" i="9" s="1"/>
  <c r="B117" i="9"/>
  <c r="E117" i="9"/>
  <c r="N117" i="9" s="1"/>
  <c r="B118" i="9"/>
  <c r="E118" i="9"/>
  <c r="N118" i="9" s="1"/>
  <c r="B119" i="9"/>
  <c r="E119" i="9"/>
  <c r="N119" i="9" s="1"/>
  <c r="B120" i="9"/>
  <c r="E120" i="9"/>
  <c r="N120" i="9" s="1"/>
  <c r="B121" i="9"/>
  <c r="E121" i="9"/>
  <c r="N121" i="9" s="1"/>
  <c r="B122" i="9"/>
  <c r="E122" i="9"/>
  <c r="N122" i="9" s="1"/>
  <c r="B123" i="9"/>
  <c r="E123" i="9"/>
  <c r="N123" i="9" s="1"/>
  <c r="B124" i="9"/>
  <c r="E124" i="9"/>
  <c r="N124" i="9" s="1"/>
  <c r="B125" i="9"/>
  <c r="E125" i="9"/>
  <c r="N125" i="9" s="1"/>
  <c r="B126" i="9"/>
  <c r="E126" i="9"/>
  <c r="N126" i="9" s="1"/>
  <c r="B127" i="9"/>
  <c r="E127" i="9"/>
  <c r="N127" i="9" s="1"/>
  <c r="B128" i="9"/>
  <c r="E128" i="9"/>
  <c r="N128" i="9" s="1"/>
  <c r="B129" i="9"/>
  <c r="E129" i="9"/>
  <c r="N129" i="9" s="1"/>
  <c r="B130" i="9"/>
  <c r="E130" i="9"/>
  <c r="N130" i="9" s="1"/>
  <c r="B131" i="9"/>
  <c r="E131" i="9"/>
  <c r="N131" i="9" s="1"/>
  <c r="B132" i="9"/>
  <c r="E132" i="9"/>
  <c r="N132" i="9" s="1"/>
  <c r="B133" i="9"/>
  <c r="E133" i="9"/>
  <c r="N133" i="9" s="1"/>
  <c r="B134" i="9"/>
  <c r="E134" i="9"/>
  <c r="N134" i="9" s="1"/>
  <c r="B135" i="9"/>
  <c r="E135" i="9"/>
  <c r="N135" i="9" s="1"/>
  <c r="B136" i="9"/>
  <c r="E136" i="9"/>
  <c r="N136" i="9" s="1"/>
  <c r="B137" i="9"/>
  <c r="E137" i="9"/>
  <c r="N137" i="9" s="1"/>
  <c r="B138" i="9"/>
  <c r="E138" i="9"/>
  <c r="N138" i="9" s="1"/>
  <c r="B139" i="9"/>
  <c r="E139" i="9"/>
  <c r="N139" i="9" s="1"/>
  <c r="B140" i="9"/>
  <c r="E140" i="9"/>
  <c r="N140" i="9" s="1"/>
  <c r="B141" i="9"/>
  <c r="E141" i="9"/>
  <c r="N141" i="9" s="1"/>
  <c r="B142" i="9"/>
  <c r="E142" i="9"/>
  <c r="N142" i="9" s="1"/>
  <c r="B143" i="9"/>
  <c r="E143" i="9"/>
  <c r="N143" i="9" s="1"/>
  <c r="B144" i="9"/>
  <c r="E144" i="9"/>
  <c r="N144" i="9" s="1"/>
  <c r="B145" i="9"/>
  <c r="E145" i="9"/>
  <c r="N145" i="9" s="1"/>
  <c r="B146" i="9"/>
  <c r="E146" i="9"/>
  <c r="N146" i="9" s="1"/>
  <c r="B147" i="9"/>
  <c r="E147" i="9"/>
  <c r="N147" i="9" s="1"/>
  <c r="B148" i="9"/>
  <c r="E148" i="9"/>
  <c r="N148" i="9" s="1"/>
  <c r="B149" i="9"/>
  <c r="E149" i="9"/>
  <c r="N149" i="9" s="1"/>
  <c r="B150" i="9"/>
  <c r="E150" i="9"/>
  <c r="N150" i="9" s="1"/>
  <c r="B151" i="9"/>
  <c r="E151" i="9"/>
  <c r="N151" i="9" s="1"/>
  <c r="B152" i="9"/>
  <c r="E152" i="9"/>
  <c r="N152" i="9" s="1"/>
  <c r="B153" i="9"/>
  <c r="E153" i="9"/>
  <c r="N153" i="9" s="1"/>
  <c r="B154" i="9"/>
  <c r="E154" i="9"/>
  <c r="N154" i="9" s="1"/>
  <c r="B155" i="9"/>
  <c r="E155" i="9"/>
  <c r="N155" i="9" s="1"/>
  <c r="B156" i="9"/>
  <c r="E156" i="9"/>
  <c r="N156" i="9" s="1"/>
  <c r="B157" i="9"/>
  <c r="E157" i="9"/>
  <c r="N157" i="9" s="1"/>
  <c r="B158" i="9"/>
  <c r="E158" i="9"/>
  <c r="N158" i="9" s="1"/>
  <c r="B159" i="9"/>
  <c r="E159" i="9"/>
  <c r="N159" i="9" s="1"/>
  <c r="B160" i="9"/>
  <c r="E160" i="9"/>
  <c r="N160" i="9" s="1"/>
  <c r="B161" i="9"/>
  <c r="E161" i="9"/>
  <c r="N161" i="9" s="1"/>
  <c r="B162" i="9"/>
  <c r="E162" i="9"/>
  <c r="N162" i="9" s="1"/>
  <c r="B163" i="9"/>
  <c r="E163" i="9"/>
  <c r="N163" i="9" s="1"/>
  <c r="B164" i="9"/>
  <c r="E164" i="9"/>
  <c r="N164" i="9" s="1"/>
  <c r="B165" i="9"/>
  <c r="E165" i="9"/>
  <c r="N165" i="9" s="1"/>
  <c r="B166" i="9"/>
  <c r="E166" i="9"/>
  <c r="N166" i="9" s="1"/>
  <c r="B167" i="9"/>
  <c r="E167" i="9"/>
  <c r="N167" i="9" s="1"/>
  <c r="B168" i="9"/>
  <c r="E168" i="9"/>
  <c r="N168" i="9" s="1"/>
  <c r="B169" i="9"/>
  <c r="E169" i="9"/>
  <c r="N169" i="9" s="1"/>
  <c r="B170" i="9"/>
  <c r="E170" i="9"/>
  <c r="N170" i="9" s="1"/>
  <c r="B171" i="9"/>
  <c r="E171" i="9"/>
  <c r="N171" i="9" s="1"/>
  <c r="B172" i="9"/>
  <c r="E172" i="9"/>
  <c r="N172" i="9" s="1"/>
  <c r="B173" i="9"/>
  <c r="E173" i="9"/>
  <c r="N173" i="9" s="1"/>
  <c r="B174" i="9"/>
  <c r="E174" i="9"/>
  <c r="N174" i="9" s="1"/>
  <c r="B175" i="9"/>
  <c r="E175" i="9"/>
  <c r="N175" i="9" s="1"/>
  <c r="B176" i="9"/>
  <c r="E176" i="9"/>
  <c r="N176" i="9" s="1"/>
  <c r="B177" i="9"/>
  <c r="E177" i="9"/>
  <c r="N177" i="9" s="1"/>
  <c r="B178" i="9"/>
  <c r="E178" i="9"/>
  <c r="N178" i="9" s="1"/>
  <c r="B179" i="9"/>
  <c r="E179" i="9"/>
  <c r="N179" i="9" s="1"/>
  <c r="B180" i="9"/>
  <c r="E180" i="9"/>
  <c r="N180" i="9" s="1"/>
  <c r="B181" i="9"/>
  <c r="E181" i="9"/>
  <c r="N181" i="9" s="1"/>
  <c r="B182" i="9"/>
  <c r="E182" i="9"/>
  <c r="N182" i="9" s="1"/>
  <c r="B183" i="9"/>
  <c r="E183" i="9"/>
  <c r="N183" i="9" s="1"/>
  <c r="B184" i="9"/>
  <c r="E184" i="9"/>
  <c r="N184" i="9" s="1"/>
  <c r="B185" i="9"/>
  <c r="E185" i="9"/>
  <c r="N185" i="9" s="1"/>
  <c r="B186" i="9"/>
  <c r="E186" i="9"/>
  <c r="N186" i="9" s="1"/>
  <c r="B187" i="9"/>
  <c r="E187" i="9"/>
  <c r="N187" i="9" s="1"/>
  <c r="B188" i="9"/>
  <c r="E188" i="9"/>
  <c r="N188" i="9" s="1"/>
  <c r="B189" i="9"/>
  <c r="E189" i="9"/>
  <c r="N189" i="9" s="1"/>
  <c r="B190" i="9"/>
  <c r="E190" i="9"/>
  <c r="N190" i="9" s="1"/>
  <c r="B191" i="9"/>
  <c r="E191" i="9"/>
  <c r="N191" i="9" s="1"/>
  <c r="B192" i="9"/>
  <c r="E192" i="9"/>
  <c r="N192" i="9" s="1"/>
  <c r="B193" i="9"/>
  <c r="E193" i="9"/>
  <c r="N193" i="9" s="1"/>
  <c r="B194" i="9"/>
  <c r="E194" i="9"/>
  <c r="N194" i="9" s="1"/>
  <c r="B195" i="9"/>
  <c r="E195" i="9"/>
  <c r="N195" i="9" s="1"/>
  <c r="B196" i="9"/>
  <c r="E196" i="9"/>
  <c r="N196" i="9" s="1"/>
  <c r="B197" i="9"/>
  <c r="E197" i="9"/>
  <c r="N197" i="9" s="1"/>
  <c r="B198" i="9"/>
  <c r="E198" i="9"/>
  <c r="N198" i="9" s="1"/>
  <c r="B199" i="9"/>
  <c r="E199" i="9"/>
  <c r="N199" i="9" s="1"/>
  <c r="B200" i="9"/>
  <c r="E200" i="9"/>
  <c r="N200" i="9" s="1"/>
  <c r="B201" i="9"/>
  <c r="E201" i="9"/>
  <c r="N201" i="9" s="1"/>
  <c r="B202" i="9"/>
  <c r="E202" i="9"/>
  <c r="N202" i="9" s="1"/>
  <c r="B203" i="9"/>
  <c r="E203" i="9"/>
  <c r="N203" i="9" s="1"/>
  <c r="B204" i="9"/>
  <c r="E204" i="9"/>
  <c r="N204" i="9" s="1"/>
  <c r="B205" i="9"/>
  <c r="E205" i="9"/>
  <c r="N205" i="9" s="1"/>
  <c r="B206" i="9"/>
  <c r="E206" i="9"/>
  <c r="N206" i="9" s="1"/>
  <c r="B207" i="9"/>
  <c r="E207" i="9"/>
  <c r="N207" i="9" s="1"/>
  <c r="B208" i="9"/>
  <c r="E208" i="9"/>
  <c r="N208" i="9" s="1"/>
  <c r="B209" i="9"/>
  <c r="E209" i="9"/>
  <c r="N209" i="9" s="1"/>
  <c r="B210" i="9"/>
  <c r="E210" i="9"/>
  <c r="N210" i="9" s="1"/>
  <c r="B211" i="9"/>
  <c r="E211" i="9"/>
  <c r="N211" i="9" s="1"/>
  <c r="B212" i="9"/>
  <c r="E212" i="9"/>
  <c r="N212" i="9" s="1"/>
  <c r="B213" i="9"/>
  <c r="E213" i="9"/>
  <c r="N213" i="9" s="1"/>
  <c r="B214" i="9"/>
  <c r="E214" i="9"/>
  <c r="N214" i="9" s="1"/>
  <c r="B215" i="9"/>
  <c r="E215" i="9"/>
  <c r="N215" i="9" s="1"/>
  <c r="B216" i="9"/>
  <c r="E216" i="9"/>
  <c r="N216" i="9" s="1"/>
  <c r="B217" i="9"/>
  <c r="E217" i="9"/>
  <c r="N217" i="9" s="1"/>
  <c r="B218" i="9"/>
  <c r="E218" i="9"/>
  <c r="N218" i="9" s="1"/>
  <c r="B219" i="9"/>
  <c r="E219" i="9"/>
  <c r="N219" i="9" s="1"/>
  <c r="B220" i="9"/>
  <c r="E220" i="9"/>
  <c r="N220" i="9" s="1"/>
  <c r="B221" i="9"/>
  <c r="E221" i="9"/>
  <c r="N221" i="9" s="1"/>
  <c r="B222" i="9"/>
  <c r="E222" i="9"/>
  <c r="N222" i="9" s="1"/>
  <c r="B223" i="9"/>
  <c r="E223" i="9"/>
  <c r="N223" i="9" s="1"/>
  <c r="B224" i="9"/>
  <c r="E224" i="9"/>
  <c r="N224" i="9" s="1"/>
  <c r="B225" i="9"/>
  <c r="E225" i="9"/>
  <c r="N225" i="9" s="1"/>
  <c r="B226" i="9"/>
  <c r="E226" i="9"/>
  <c r="N226" i="9" s="1"/>
  <c r="B227" i="9"/>
  <c r="E227" i="9"/>
  <c r="N227" i="9" s="1"/>
  <c r="B228" i="9"/>
  <c r="E228" i="9"/>
  <c r="N228" i="9" s="1"/>
  <c r="B229" i="9"/>
  <c r="E229" i="9"/>
  <c r="N229" i="9" s="1"/>
  <c r="B230" i="9"/>
  <c r="E230" i="9"/>
  <c r="N230" i="9" s="1"/>
  <c r="B231" i="9"/>
  <c r="E231" i="9"/>
  <c r="N231" i="9" s="1"/>
  <c r="B232" i="9"/>
  <c r="E232" i="9"/>
  <c r="N232" i="9" s="1"/>
  <c r="B233" i="9"/>
  <c r="E233" i="9"/>
  <c r="N233" i="9" s="1"/>
  <c r="B234" i="9"/>
  <c r="E234" i="9"/>
  <c r="N234" i="9" s="1"/>
  <c r="B235" i="9"/>
  <c r="E235" i="9"/>
  <c r="N235" i="9" s="1"/>
  <c r="B236" i="9"/>
  <c r="E236" i="9"/>
  <c r="N236" i="9" s="1"/>
  <c r="B237" i="9"/>
  <c r="E237" i="9"/>
  <c r="N237" i="9" s="1"/>
  <c r="B238" i="9"/>
  <c r="E238" i="9"/>
  <c r="N238" i="9" s="1"/>
  <c r="B239" i="9"/>
  <c r="E239" i="9"/>
  <c r="N239" i="9" s="1"/>
  <c r="B240" i="9"/>
  <c r="E240" i="9"/>
  <c r="N240" i="9" s="1"/>
  <c r="B241" i="9"/>
  <c r="E241" i="9"/>
  <c r="N241" i="9" s="1"/>
  <c r="B242" i="9"/>
  <c r="E242" i="9"/>
  <c r="N242" i="9" s="1"/>
  <c r="B243" i="9"/>
  <c r="E243" i="9"/>
  <c r="N243" i="9" s="1"/>
  <c r="B244" i="9"/>
  <c r="E244" i="9"/>
  <c r="N244" i="9" s="1"/>
  <c r="B245" i="9"/>
  <c r="E245" i="9"/>
  <c r="N245" i="9" s="1"/>
  <c r="B246" i="9"/>
  <c r="E246" i="9"/>
  <c r="N246" i="9" s="1"/>
  <c r="B247" i="9"/>
  <c r="E247" i="9"/>
  <c r="N247" i="9" s="1"/>
  <c r="B248" i="9"/>
  <c r="E248" i="9"/>
  <c r="N248" i="9" s="1"/>
  <c r="B249" i="9"/>
  <c r="E249" i="9"/>
  <c r="N249" i="9" s="1"/>
  <c r="B250" i="9"/>
  <c r="E250" i="9"/>
  <c r="N250" i="9" s="1"/>
  <c r="B251" i="9"/>
  <c r="E251" i="9"/>
  <c r="N251" i="9" s="1"/>
  <c r="B252" i="9"/>
  <c r="E252" i="9"/>
  <c r="N252" i="9" s="1"/>
  <c r="B253" i="9"/>
  <c r="E253" i="9"/>
  <c r="N253" i="9" s="1"/>
  <c r="B254" i="9"/>
  <c r="E254" i="9"/>
  <c r="N254" i="9" s="1"/>
  <c r="B255" i="9"/>
  <c r="E255" i="9"/>
  <c r="N255" i="9" s="1"/>
  <c r="B256" i="9"/>
  <c r="E256" i="9"/>
  <c r="N256" i="9" s="1"/>
  <c r="B257" i="9"/>
  <c r="E257" i="9"/>
  <c r="N257" i="9" s="1"/>
  <c r="B258" i="9"/>
  <c r="E258" i="9"/>
  <c r="N258" i="9" s="1"/>
  <c r="B259" i="9"/>
  <c r="E259" i="9"/>
  <c r="N259" i="9" s="1"/>
  <c r="B260" i="9"/>
  <c r="E260" i="9"/>
  <c r="N260" i="9" s="1"/>
  <c r="B261" i="9"/>
  <c r="E261" i="9"/>
  <c r="N261" i="9" s="1"/>
  <c r="B262" i="9"/>
  <c r="E262" i="9"/>
  <c r="N262" i="9" s="1"/>
  <c r="B263" i="9"/>
  <c r="E263" i="9"/>
  <c r="N263" i="9" s="1"/>
  <c r="B264" i="9"/>
  <c r="E264" i="9"/>
  <c r="N264" i="9" s="1"/>
  <c r="B265" i="9"/>
  <c r="E265" i="9"/>
  <c r="N265" i="9" s="1"/>
  <c r="B266" i="9"/>
  <c r="E266" i="9"/>
  <c r="N266" i="9" s="1"/>
  <c r="B267" i="9"/>
  <c r="E267" i="9"/>
  <c r="N267" i="9" s="1"/>
  <c r="B268" i="9"/>
  <c r="B269" i="9"/>
  <c r="B270" i="9"/>
  <c r="B271" i="9"/>
  <c r="B272" i="9"/>
  <c r="B273" i="9"/>
  <c r="B274" i="9"/>
  <c r="B275" i="9"/>
  <c r="B276" i="9"/>
  <c r="A276" i="4" l="1"/>
  <c r="G276" i="9"/>
  <c r="A275" i="4"/>
  <c r="G275" i="9"/>
  <c r="A274" i="4"/>
  <c r="G274" i="9"/>
  <c r="A273" i="4"/>
  <c r="G273" i="9"/>
  <c r="A272" i="4"/>
  <c r="G272" i="9"/>
  <c r="A271" i="4"/>
  <c r="G271" i="9"/>
  <c r="A270" i="4"/>
  <c r="G270" i="9"/>
  <c r="A269" i="4"/>
  <c r="G269" i="9"/>
  <c r="A268" i="4"/>
  <c r="G268" i="9"/>
  <c r="C36" i="10"/>
  <c r="F36" i="10" s="1"/>
  <c r="A267" i="6"/>
  <c r="A267" i="4"/>
  <c r="G267" i="9"/>
  <c r="C35" i="10"/>
  <c r="F35" i="10" s="1"/>
  <c r="A266" i="6"/>
  <c r="A266" i="4"/>
  <c r="G266" i="9"/>
  <c r="C185" i="14"/>
  <c r="F185" i="14" s="1"/>
  <c r="A265" i="6"/>
  <c r="A265" i="4"/>
  <c r="G265" i="9"/>
  <c r="C184" i="14"/>
  <c r="F184" i="14" s="1"/>
  <c r="C177" i="14"/>
  <c r="F177" i="14" s="1"/>
  <c r="C173" i="14"/>
  <c r="F173" i="14" s="1"/>
  <c r="A264" i="6"/>
  <c r="A264" i="4"/>
  <c r="G264" i="9"/>
  <c r="C183" i="14"/>
  <c r="F183" i="14" s="1"/>
  <c r="D8" i="7"/>
  <c r="A263" i="6"/>
  <c r="A263" i="4"/>
  <c r="G263" i="9"/>
  <c r="C182" i="14"/>
  <c r="F182" i="14" s="1"/>
  <c r="A5" i="8"/>
  <c r="D5" i="8" s="1"/>
  <c r="D7" i="7"/>
  <c r="A262" i="6"/>
  <c r="A262" i="4"/>
  <c r="G262" i="9"/>
  <c r="C181" i="14"/>
  <c r="F181" i="14" s="1"/>
  <c r="A6" i="8"/>
  <c r="D6" i="8" s="1"/>
  <c r="D6" i="7"/>
  <c r="A261" i="6"/>
  <c r="A261" i="4"/>
  <c r="G261" i="9"/>
  <c r="C180" i="14"/>
  <c r="F180" i="14" s="1"/>
  <c r="A260" i="6"/>
  <c r="A260" i="4"/>
  <c r="G260" i="9"/>
  <c r="C140" i="14"/>
  <c r="F140" i="14" s="1"/>
  <c r="A259" i="6"/>
  <c r="A259" i="4"/>
  <c r="G259" i="9"/>
  <c r="C133" i="14"/>
  <c r="F133" i="14" s="1"/>
  <c r="A258" i="6"/>
  <c r="A258" i="4"/>
  <c r="G258" i="9"/>
  <c r="C135" i="14"/>
  <c r="F135" i="14" s="1"/>
  <c r="A257" i="6"/>
  <c r="A257" i="4"/>
  <c r="G257" i="9"/>
  <c r="C176" i="14"/>
  <c r="F176" i="14" s="1"/>
  <c r="C172" i="14"/>
  <c r="F172" i="14" s="1"/>
  <c r="C145" i="14"/>
  <c r="F145" i="14" s="1"/>
  <c r="C138" i="14"/>
  <c r="F138" i="14" s="1"/>
  <c r="C131" i="14"/>
  <c r="F131" i="14" s="1"/>
  <c r="C128" i="14"/>
  <c r="F128" i="14" s="1"/>
  <c r="A256" i="6"/>
  <c r="A256" i="4"/>
  <c r="G256" i="9"/>
  <c r="C62" i="14"/>
  <c r="F62" i="14" s="1"/>
  <c r="C60" i="14"/>
  <c r="F60" i="14" s="1"/>
  <c r="C59" i="14"/>
  <c r="F59" i="14" s="1"/>
  <c r="C57" i="14"/>
  <c r="F57" i="14" s="1"/>
  <c r="A255" i="6"/>
  <c r="A255" i="4"/>
  <c r="G255" i="9"/>
  <c r="C123" i="14"/>
  <c r="F123" i="14" s="1"/>
  <c r="C103" i="14"/>
  <c r="F103" i="14" s="1"/>
  <c r="C100" i="14"/>
  <c r="F100" i="14" s="1"/>
  <c r="C97" i="14"/>
  <c r="F97" i="14" s="1"/>
  <c r="C91" i="14"/>
  <c r="F91" i="14" s="1"/>
  <c r="C87" i="14"/>
  <c r="F87" i="14" s="1"/>
  <c r="C83" i="14"/>
  <c r="F83" i="14" s="1"/>
  <c r="C79" i="14"/>
  <c r="F79" i="14" s="1"/>
  <c r="C76" i="14"/>
  <c r="F76" i="14" s="1"/>
  <c r="C71" i="14"/>
  <c r="F71" i="14" s="1"/>
  <c r="C70" i="14"/>
  <c r="F70" i="14" s="1"/>
  <c r="C67" i="14"/>
  <c r="F67" i="14" s="1"/>
  <c r="C65" i="14"/>
  <c r="F65" i="14" s="1"/>
  <c r="C63" i="14"/>
  <c r="F63" i="14" s="1"/>
  <c r="A254" i="6"/>
  <c r="A254" i="4"/>
  <c r="G254" i="9"/>
  <c r="C31" i="13"/>
  <c r="F31" i="13" s="1"/>
  <c r="A253" i="6"/>
  <c r="A253" i="4"/>
  <c r="G253" i="9"/>
  <c r="C28" i="13"/>
  <c r="F28" i="13" s="1"/>
  <c r="A252" i="6"/>
  <c r="A252" i="4"/>
  <c r="G252" i="9"/>
  <c r="C27" i="13"/>
  <c r="F27" i="13" s="1"/>
  <c r="A251" i="6"/>
  <c r="A251" i="4"/>
  <c r="G251" i="9"/>
  <c r="C26" i="13"/>
  <c r="F26" i="13" s="1"/>
  <c r="A250" i="6"/>
  <c r="A250" i="4"/>
  <c r="G250" i="9"/>
  <c r="C29" i="13"/>
  <c r="F29" i="13" s="1"/>
  <c r="A249" i="6"/>
  <c r="A249" i="4"/>
  <c r="G249" i="9"/>
  <c r="C30" i="13"/>
  <c r="F30" i="13" s="1"/>
  <c r="A248" i="6"/>
  <c r="A248" i="4"/>
  <c r="G248" i="9"/>
  <c r="C103" i="13"/>
  <c r="F103" i="13" s="1"/>
  <c r="A247" i="6"/>
  <c r="A247" i="4"/>
  <c r="G247" i="9"/>
  <c r="C101" i="13"/>
  <c r="F101" i="13" s="1"/>
  <c r="A246" i="6"/>
  <c r="A246" i="4"/>
  <c r="G246" i="9"/>
  <c r="A245" i="6"/>
  <c r="A245" i="4"/>
  <c r="G245" i="9"/>
  <c r="C40" i="14"/>
  <c r="F40" i="14" s="1"/>
  <c r="C37" i="14"/>
  <c r="F37" i="14" s="1"/>
  <c r="C34" i="14"/>
  <c r="F34" i="14" s="1"/>
  <c r="C31" i="14"/>
  <c r="F31" i="14" s="1"/>
  <c r="C28" i="14"/>
  <c r="F28" i="14" s="1"/>
  <c r="C25" i="14"/>
  <c r="F25" i="14" s="1"/>
  <c r="C21" i="14"/>
  <c r="F21" i="14" s="1"/>
  <c r="C18" i="14"/>
  <c r="F18" i="14" s="1"/>
  <c r="C102" i="13"/>
  <c r="F102" i="13" s="1"/>
  <c r="C95" i="13"/>
  <c r="F95" i="13" s="1"/>
  <c r="C93" i="13"/>
  <c r="F93" i="13" s="1"/>
  <c r="C89" i="13"/>
  <c r="F89" i="13" s="1"/>
  <c r="C86" i="13"/>
  <c r="F86" i="13" s="1"/>
  <c r="C81" i="13"/>
  <c r="F81" i="13" s="1"/>
  <c r="C78" i="13"/>
  <c r="F78" i="13" s="1"/>
  <c r="C58" i="13"/>
  <c r="F58" i="13" s="1"/>
  <c r="C5" i="13"/>
  <c r="F5" i="13" s="1"/>
  <c r="A244" i="6"/>
  <c r="A244" i="4"/>
  <c r="G244" i="9"/>
  <c r="C163" i="14"/>
  <c r="F163" i="14" s="1"/>
  <c r="C53" i="14"/>
  <c r="F53" i="14" s="1"/>
  <c r="C104" i="10"/>
  <c r="F104" i="10" s="1"/>
  <c r="C59" i="10"/>
  <c r="F59" i="10" s="1"/>
  <c r="C53" i="10"/>
  <c r="F53" i="10" s="1"/>
  <c r="A243" i="6"/>
  <c r="A243" i="4"/>
  <c r="G243" i="9"/>
  <c r="C179" i="14"/>
  <c r="F179" i="14" s="1"/>
  <c r="C168" i="14"/>
  <c r="F168" i="14" s="1"/>
  <c r="C139" i="14"/>
  <c r="F139" i="14" s="1"/>
  <c r="C132" i="14"/>
  <c r="F132" i="14" s="1"/>
  <c r="C129" i="14"/>
  <c r="F129" i="14" s="1"/>
  <c r="C126" i="14"/>
  <c r="F126" i="14" s="1"/>
  <c r="C105" i="13"/>
  <c r="F105" i="13" s="1"/>
  <c r="C99" i="13"/>
  <c r="F99" i="13" s="1"/>
  <c r="C25" i="13"/>
  <c r="F25" i="13" s="1"/>
  <c r="A242" i="6"/>
  <c r="A242" i="4"/>
  <c r="G242" i="9"/>
  <c r="C175" i="14"/>
  <c r="F175" i="14" s="1"/>
  <c r="C171" i="14"/>
  <c r="F171" i="14" s="1"/>
  <c r="C158" i="14"/>
  <c r="F158" i="14" s="1"/>
  <c r="C153" i="14"/>
  <c r="F153" i="14" s="1"/>
  <c r="C149" i="14"/>
  <c r="F149" i="14" s="1"/>
  <c r="C110" i="14"/>
  <c r="F110" i="14" s="1"/>
  <c r="C99" i="14"/>
  <c r="F99" i="14" s="1"/>
  <c r="C89" i="14"/>
  <c r="F89" i="14" s="1"/>
  <c r="C85" i="14"/>
  <c r="F85" i="14" s="1"/>
  <c r="C69" i="14"/>
  <c r="F69" i="14" s="1"/>
  <c r="C66" i="14"/>
  <c r="F66" i="14" s="1"/>
  <c r="C64" i="14"/>
  <c r="F64" i="14" s="1"/>
  <c r="C58" i="14"/>
  <c r="F58" i="14" s="1"/>
  <c r="A241" i="6"/>
  <c r="A241" i="4"/>
  <c r="G241" i="9"/>
  <c r="C108" i="14"/>
  <c r="F108" i="14" s="1"/>
  <c r="A240" i="6"/>
  <c r="A240" i="4"/>
  <c r="G240" i="9"/>
  <c r="A239" i="6"/>
  <c r="A239" i="4"/>
  <c r="G239" i="9"/>
  <c r="C107" i="14"/>
  <c r="F107" i="14" s="1"/>
  <c r="A238" i="6"/>
  <c r="A238" i="4"/>
  <c r="G238" i="9"/>
  <c r="A237" i="6"/>
  <c r="A237" i="4"/>
  <c r="G237" i="9"/>
  <c r="K237" i="9" s="1"/>
  <c r="A236" i="6"/>
  <c r="A236" i="4"/>
  <c r="G236" i="9"/>
  <c r="A235" i="6"/>
  <c r="A235" i="4"/>
  <c r="G235" i="9"/>
  <c r="C122" i="14"/>
  <c r="F122" i="14" s="1"/>
  <c r="C120" i="14"/>
  <c r="F120" i="14" s="1"/>
  <c r="C118" i="14"/>
  <c r="F118" i="14" s="1"/>
  <c r="C115" i="14"/>
  <c r="F115" i="14" s="1"/>
  <c r="C114" i="14"/>
  <c r="F114" i="14" s="1"/>
  <c r="C113" i="14"/>
  <c r="F113" i="14" s="1"/>
  <c r="C109" i="14"/>
  <c r="F109" i="14" s="1"/>
  <c r="C104" i="14"/>
  <c r="F104" i="14" s="1"/>
  <c r="C80" i="14"/>
  <c r="F80" i="14" s="1"/>
  <c r="A234" i="6"/>
  <c r="A234" i="4"/>
  <c r="G234" i="9"/>
  <c r="C124" i="14"/>
  <c r="F124" i="14" s="1"/>
  <c r="C77" i="14"/>
  <c r="F77" i="14" s="1"/>
  <c r="C44" i="14"/>
  <c r="F44" i="14" s="1"/>
  <c r="C41" i="14"/>
  <c r="F41" i="14" s="1"/>
  <c r="A233" i="6"/>
  <c r="A233" i="4"/>
  <c r="G233" i="9"/>
  <c r="C22" i="14"/>
  <c r="F22" i="14" s="1"/>
  <c r="A232" i="6"/>
  <c r="A232" i="4"/>
  <c r="G232" i="9"/>
  <c r="C29" i="14"/>
  <c r="F29" i="14" s="1"/>
  <c r="A231" i="6"/>
  <c r="A231" i="4"/>
  <c r="G231" i="9"/>
  <c r="C19" i="14"/>
  <c r="F19" i="14" s="1"/>
  <c r="C57" i="13"/>
  <c r="F57" i="13" s="1"/>
  <c r="A230" i="6"/>
  <c r="A230" i="4"/>
  <c r="G230" i="9"/>
  <c r="K230" i="9" s="1"/>
  <c r="C26" i="14"/>
  <c r="F26" i="14" s="1"/>
  <c r="C4" i="13"/>
  <c r="F4" i="13" s="1"/>
  <c r="A229" i="6"/>
  <c r="A229" i="4"/>
  <c r="G229" i="9"/>
  <c r="K229" i="9" s="1"/>
  <c r="C111" i="14"/>
  <c r="F111" i="14" s="1"/>
  <c r="C73" i="14"/>
  <c r="F73" i="14" s="1"/>
  <c r="C73" i="13"/>
  <c r="F73" i="13" s="1"/>
  <c r="C70" i="13"/>
  <c r="F70" i="13" s="1"/>
  <c r="C61" i="13"/>
  <c r="F61" i="13" s="1"/>
  <c r="C56" i="13"/>
  <c r="F56" i="13" s="1"/>
  <c r="C20" i="13"/>
  <c r="F20" i="13" s="1"/>
  <c r="C17" i="13"/>
  <c r="F17" i="13" s="1"/>
  <c r="C8" i="13"/>
  <c r="F8" i="13" s="1"/>
  <c r="C3" i="13"/>
  <c r="F3" i="13" s="1"/>
  <c r="A228" i="6"/>
  <c r="A228" i="4"/>
  <c r="G228" i="9"/>
  <c r="C75" i="13"/>
  <c r="F75" i="13" s="1"/>
  <c r="C22" i="13"/>
  <c r="F22" i="13" s="1"/>
  <c r="C112" i="10"/>
  <c r="F112" i="10" s="1"/>
  <c r="C103" i="10"/>
  <c r="F103" i="10" s="1"/>
  <c r="C52" i="10"/>
  <c r="F52" i="10" s="1"/>
  <c r="A227" i="6"/>
  <c r="A227" i="4"/>
  <c r="G227" i="9"/>
  <c r="C60" i="10"/>
  <c r="F60" i="10" s="1"/>
  <c r="C51" i="10"/>
  <c r="F51" i="10" s="1"/>
  <c r="A226" i="6"/>
  <c r="A226" i="4"/>
  <c r="G226" i="9"/>
  <c r="C137" i="14"/>
  <c r="F137" i="14" s="1"/>
  <c r="C130" i="14"/>
  <c r="F130" i="14" s="1"/>
  <c r="C127" i="14"/>
  <c r="F127" i="14" s="1"/>
  <c r="A225" i="6"/>
  <c r="A225" i="4"/>
  <c r="G225" i="9"/>
  <c r="A224" i="6"/>
  <c r="A224" i="4"/>
  <c r="G224" i="9"/>
  <c r="C182" i="12"/>
  <c r="F182" i="12" s="1"/>
  <c r="A223" i="6"/>
  <c r="A223" i="4"/>
  <c r="G223" i="9"/>
  <c r="K223" i="9" s="1"/>
  <c r="C166" i="12"/>
  <c r="F166" i="12" s="1"/>
  <c r="C99" i="11"/>
  <c r="F99" i="11" s="1"/>
  <c r="A222" i="6"/>
  <c r="A222" i="4"/>
  <c r="G222" i="9"/>
  <c r="K222" i="9" s="1"/>
  <c r="C162" i="14"/>
  <c r="F162" i="14" s="1"/>
  <c r="C143" i="14"/>
  <c r="F143" i="14" s="1"/>
  <c r="A221" i="6"/>
  <c r="A221" i="4"/>
  <c r="G221" i="9"/>
  <c r="K221" i="9" s="1"/>
  <c r="C36" i="12"/>
  <c r="F36" i="12" s="1"/>
  <c r="C143" i="11"/>
  <c r="F143" i="11" s="1"/>
  <c r="C97" i="10"/>
  <c r="F97" i="10" s="1"/>
  <c r="C94" i="10"/>
  <c r="F94" i="10" s="1"/>
  <c r="C90" i="10"/>
  <c r="F90" i="10" s="1"/>
  <c r="C85" i="10"/>
  <c r="F85" i="10" s="1"/>
  <c r="C78" i="10"/>
  <c r="F78" i="10" s="1"/>
  <c r="C70" i="10"/>
  <c r="F70" i="10" s="1"/>
  <c r="C65" i="10"/>
  <c r="F65" i="10" s="1"/>
  <c r="A220" i="6"/>
  <c r="A220" i="4"/>
  <c r="G220" i="9"/>
  <c r="C266" i="11"/>
  <c r="F266" i="11" s="1"/>
  <c r="A219" i="6"/>
  <c r="A219" i="4"/>
  <c r="G219" i="9"/>
  <c r="C107" i="13"/>
  <c r="F107" i="13" s="1"/>
  <c r="C268" i="11"/>
  <c r="F268" i="11" s="1"/>
  <c r="C218" i="11"/>
  <c r="F218" i="11" s="1"/>
  <c r="C213" i="11"/>
  <c r="F213" i="11" s="1"/>
  <c r="A218" i="6"/>
  <c r="A218" i="4"/>
  <c r="G218" i="9"/>
  <c r="C93" i="11"/>
  <c r="F93" i="11" s="1"/>
  <c r="A217" i="6"/>
  <c r="A217" i="4"/>
  <c r="G217" i="9"/>
  <c r="C334" i="11"/>
  <c r="F334" i="11" s="1"/>
  <c r="C252" i="11"/>
  <c r="F252" i="11" s="1"/>
  <c r="C247" i="11"/>
  <c r="F247" i="11" s="1"/>
  <c r="C242" i="11"/>
  <c r="F242" i="11" s="1"/>
  <c r="C236" i="11"/>
  <c r="F236" i="11" s="1"/>
  <c r="C229" i="11"/>
  <c r="F229" i="11" s="1"/>
  <c r="C226" i="11"/>
  <c r="F226" i="11" s="1"/>
  <c r="C208" i="11"/>
  <c r="F208" i="11" s="1"/>
  <c r="C200" i="11"/>
  <c r="F200" i="11" s="1"/>
  <c r="C192" i="11"/>
  <c r="F192" i="11" s="1"/>
  <c r="C185" i="11"/>
  <c r="F185" i="11" s="1"/>
  <c r="C139" i="11"/>
  <c r="F139" i="11" s="1"/>
  <c r="C118" i="11"/>
  <c r="F118" i="11" s="1"/>
  <c r="C107" i="11"/>
  <c r="F107" i="11" s="1"/>
  <c r="C102" i="11"/>
  <c r="F102" i="11" s="1"/>
  <c r="A216" i="6"/>
  <c r="A216" i="4"/>
  <c r="G216" i="9"/>
  <c r="C167" i="14"/>
  <c r="F167" i="14" s="1"/>
  <c r="C119" i="14"/>
  <c r="F119" i="14" s="1"/>
  <c r="C166" i="11"/>
  <c r="F166" i="11" s="1"/>
  <c r="C162" i="11"/>
  <c r="F162" i="11" s="1"/>
  <c r="A215" i="6"/>
  <c r="A215" i="4"/>
  <c r="G215" i="9"/>
  <c r="C103" i="12"/>
  <c r="F103" i="12" s="1"/>
  <c r="C96" i="12"/>
  <c r="F96" i="12" s="1"/>
  <c r="A214" i="6"/>
  <c r="A214" i="4"/>
  <c r="G214" i="9"/>
  <c r="C123" i="11"/>
  <c r="F123" i="11" s="1"/>
  <c r="A213" i="6"/>
  <c r="A213" i="4"/>
  <c r="G213" i="9"/>
  <c r="C18" i="11"/>
  <c r="F18" i="11" s="1"/>
  <c r="A212" i="6"/>
  <c r="A212" i="4"/>
  <c r="G212" i="9"/>
  <c r="C339" i="11"/>
  <c r="F339" i="11" s="1"/>
  <c r="A211" i="6"/>
  <c r="A211" i="4"/>
  <c r="G211" i="9"/>
  <c r="C28" i="10"/>
  <c r="F28" i="10" s="1"/>
  <c r="A210" i="6"/>
  <c r="A210" i="4"/>
  <c r="G210" i="9"/>
  <c r="C173" i="11"/>
  <c r="F173" i="11" s="1"/>
  <c r="A209" i="6"/>
  <c r="A209" i="4"/>
  <c r="G209" i="9"/>
  <c r="C220" i="12"/>
  <c r="F220" i="12" s="1"/>
  <c r="C216" i="12"/>
  <c r="F216" i="12" s="1"/>
  <c r="C212" i="12"/>
  <c r="F212" i="12" s="1"/>
  <c r="C90" i="12"/>
  <c r="F90" i="12" s="1"/>
  <c r="C145" i="11"/>
  <c r="F145" i="11" s="1"/>
  <c r="C31" i="10"/>
  <c r="F31" i="10" s="1"/>
  <c r="A208" i="6"/>
  <c r="A208" i="4"/>
  <c r="G208" i="9"/>
  <c r="C33" i="11"/>
  <c r="F33" i="11" s="1"/>
  <c r="A207" i="6"/>
  <c r="A207" i="4"/>
  <c r="G207" i="9"/>
  <c r="A206" i="6"/>
  <c r="A206" i="4"/>
  <c r="G206" i="9"/>
  <c r="C131" i="12"/>
  <c r="F131" i="12" s="1"/>
  <c r="C124" i="12"/>
  <c r="F124" i="12" s="1"/>
  <c r="C120" i="12"/>
  <c r="F120" i="12" s="1"/>
  <c r="A205" i="6"/>
  <c r="A205" i="4"/>
  <c r="G205" i="9"/>
  <c r="C12" i="12"/>
  <c r="F12" i="12" s="1"/>
  <c r="C7" i="12"/>
  <c r="F7" i="12" s="1"/>
  <c r="A204" i="6"/>
  <c r="A204" i="4"/>
  <c r="G204" i="9"/>
  <c r="C315" i="11"/>
  <c r="F315" i="11" s="1"/>
  <c r="C276" i="11"/>
  <c r="F276" i="11" s="1"/>
  <c r="C274" i="11"/>
  <c r="F274" i="11" s="1"/>
  <c r="A203" i="6"/>
  <c r="A203" i="4"/>
  <c r="G203" i="9"/>
  <c r="C133" i="11"/>
  <c r="F133" i="11" s="1"/>
  <c r="A202" i="6"/>
  <c r="A202" i="4"/>
  <c r="G202" i="9"/>
  <c r="C128" i="11"/>
  <c r="F128" i="11" s="1"/>
  <c r="A201" i="6"/>
  <c r="A201" i="4"/>
  <c r="G201" i="9"/>
  <c r="C207" i="12"/>
  <c r="F207" i="12" s="1"/>
  <c r="C201" i="12"/>
  <c r="F201" i="12" s="1"/>
  <c r="C195" i="12"/>
  <c r="F195" i="12" s="1"/>
  <c r="C186" i="12"/>
  <c r="F186" i="12" s="1"/>
  <c r="C183" i="12"/>
  <c r="F183" i="12" s="1"/>
  <c r="C171" i="12"/>
  <c r="F171" i="12" s="1"/>
  <c r="C167" i="12"/>
  <c r="F167" i="12" s="1"/>
  <c r="C157" i="12"/>
  <c r="F157" i="12" s="1"/>
  <c r="C151" i="12"/>
  <c r="F151" i="12" s="1"/>
  <c r="C141" i="12"/>
  <c r="F141" i="12" s="1"/>
  <c r="C133" i="12"/>
  <c r="F133" i="12" s="1"/>
  <c r="C78" i="12"/>
  <c r="F78" i="12" s="1"/>
  <c r="C74" i="12"/>
  <c r="F74" i="12" s="1"/>
  <c r="C68" i="12"/>
  <c r="F68" i="12" s="1"/>
  <c r="C64" i="12"/>
  <c r="F64" i="12" s="1"/>
  <c r="C57" i="12"/>
  <c r="F57" i="12" s="1"/>
  <c r="C39" i="12"/>
  <c r="F39" i="12" s="1"/>
  <c r="C22" i="12"/>
  <c r="F22" i="12" s="1"/>
  <c r="C324" i="11"/>
  <c r="F324" i="11" s="1"/>
  <c r="C319" i="11"/>
  <c r="F319" i="11" s="1"/>
  <c r="C281" i="11"/>
  <c r="F281" i="11" s="1"/>
  <c r="C278" i="11"/>
  <c r="F278" i="11" s="1"/>
  <c r="C154" i="11"/>
  <c r="F154" i="11" s="1"/>
  <c r="C27" i="11"/>
  <c r="F27" i="11" s="1"/>
  <c r="C9" i="10"/>
  <c r="F9" i="10" s="1"/>
  <c r="A200" i="6"/>
  <c r="A200" i="4"/>
  <c r="G200" i="9"/>
  <c r="C100" i="13"/>
  <c r="F100" i="13" s="1"/>
  <c r="A199" i="6"/>
  <c r="A199" i="4"/>
  <c r="G199" i="9"/>
  <c r="C91" i="13"/>
  <c r="F91" i="13" s="1"/>
  <c r="C87" i="13"/>
  <c r="F87" i="13" s="1"/>
  <c r="C77" i="13"/>
  <c r="F77" i="13" s="1"/>
  <c r="C24" i="13"/>
  <c r="F24" i="13" s="1"/>
  <c r="A198" i="6"/>
  <c r="A198" i="4"/>
  <c r="G198" i="9"/>
  <c r="C38" i="14"/>
  <c r="F38" i="14" s="1"/>
  <c r="C23" i="14"/>
  <c r="F23" i="14" s="1"/>
  <c r="C84" i="13"/>
  <c r="F84" i="13" s="1"/>
  <c r="C68" i="13"/>
  <c r="F68" i="13" s="1"/>
  <c r="C62" i="13"/>
  <c r="F62" i="13" s="1"/>
  <c r="C15" i="13"/>
  <c r="F15" i="13" s="1"/>
  <c r="C9" i="13"/>
  <c r="F9" i="13" s="1"/>
  <c r="A197" i="6"/>
  <c r="A197" i="4"/>
  <c r="G197" i="9"/>
  <c r="C25" i="10"/>
  <c r="F25" i="10" s="1"/>
  <c r="A196" i="6"/>
  <c r="A196" i="4"/>
  <c r="G196" i="9"/>
  <c r="C41" i="12"/>
  <c r="F41" i="12" s="1"/>
  <c r="C24" i="12"/>
  <c r="F24" i="12" s="1"/>
  <c r="C17" i="12"/>
  <c r="F17" i="12" s="1"/>
  <c r="C287" i="11"/>
  <c r="F287" i="11" s="1"/>
  <c r="C267" i="11"/>
  <c r="F267" i="11" s="1"/>
  <c r="C262" i="11"/>
  <c r="F262" i="11" s="1"/>
  <c r="C257" i="11"/>
  <c r="F257" i="11" s="1"/>
  <c r="C251" i="11"/>
  <c r="F251" i="11" s="1"/>
  <c r="C246" i="11"/>
  <c r="F246" i="11" s="1"/>
  <c r="C241" i="11"/>
  <c r="F241" i="11" s="1"/>
  <c r="C235" i="11"/>
  <c r="F235" i="11" s="1"/>
  <c r="C230" i="11"/>
  <c r="F230" i="11" s="1"/>
  <c r="C227" i="11"/>
  <c r="F227" i="11" s="1"/>
  <c r="C217" i="11"/>
  <c r="F217" i="11" s="1"/>
  <c r="C212" i="11"/>
  <c r="F212" i="11" s="1"/>
  <c r="C207" i="11"/>
  <c r="F207" i="11" s="1"/>
  <c r="C199" i="11"/>
  <c r="F199" i="11" s="1"/>
  <c r="C191" i="11"/>
  <c r="F191" i="11" s="1"/>
  <c r="C184" i="11"/>
  <c r="F184" i="11" s="1"/>
  <c r="C178" i="11"/>
  <c r="F178" i="11" s="1"/>
  <c r="C155" i="11"/>
  <c r="F155" i="11" s="1"/>
  <c r="C149" i="11"/>
  <c r="F149" i="11" s="1"/>
  <c r="C141" i="11"/>
  <c r="F141" i="11" s="1"/>
  <c r="C138" i="11"/>
  <c r="F138" i="11" s="1"/>
  <c r="C116" i="11"/>
  <c r="F116" i="11" s="1"/>
  <c r="C108" i="11"/>
  <c r="F108" i="11" s="1"/>
  <c r="C101" i="11"/>
  <c r="F101" i="11" s="1"/>
  <c r="C114" i="10"/>
  <c r="F114" i="10" s="1"/>
  <c r="C96" i="10"/>
  <c r="F96" i="10" s="1"/>
  <c r="C93" i="10"/>
  <c r="F93" i="10" s="1"/>
  <c r="C89" i="10"/>
  <c r="F89" i="10" s="1"/>
  <c r="C84" i="10"/>
  <c r="F84" i="10" s="1"/>
  <c r="C77" i="10"/>
  <c r="F77" i="10" s="1"/>
  <c r="C69" i="10"/>
  <c r="F69" i="10" s="1"/>
  <c r="C64" i="10"/>
  <c r="F64" i="10" s="1"/>
  <c r="A195" i="6"/>
  <c r="A195" i="4"/>
  <c r="G195" i="9"/>
  <c r="C264" i="11"/>
  <c r="F264" i="11" s="1"/>
  <c r="A194" i="6"/>
  <c r="A194" i="4"/>
  <c r="G194" i="9"/>
  <c r="C22" i="11"/>
  <c r="F22" i="11" s="1"/>
  <c r="A193" i="6"/>
  <c r="A193" i="4"/>
  <c r="G193" i="9"/>
  <c r="C96" i="13"/>
  <c r="F96" i="13" s="1"/>
  <c r="A192" i="6"/>
  <c r="A192" i="4"/>
  <c r="G192" i="9"/>
  <c r="C35" i="14"/>
  <c r="F35" i="14" s="1"/>
  <c r="A191" i="6"/>
  <c r="A191" i="4"/>
  <c r="G191" i="9"/>
  <c r="C82" i="13"/>
  <c r="F82" i="13" s="1"/>
  <c r="C63" i="13"/>
  <c r="F63" i="13" s="1"/>
  <c r="C10" i="13"/>
  <c r="F10" i="13" s="1"/>
  <c r="C106" i="10"/>
  <c r="F106" i="10" s="1"/>
  <c r="A190" i="6"/>
  <c r="A190" i="4"/>
  <c r="G190" i="9"/>
  <c r="C341" i="11"/>
  <c r="F341" i="11" s="1"/>
  <c r="A189" i="6"/>
  <c r="A189" i="4"/>
  <c r="G189" i="9"/>
  <c r="C117" i="11"/>
  <c r="F117" i="11" s="1"/>
  <c r="C92" i="11"/>
  <c r="F92" i="11" s="1"/>
  <c r="A188" i="6"/>
  <c r="A188" i="4"/>
  <c r="G188" i="9"/>
  <c r="C172" i="12"/>
  <c r="F172" i="12" s="1"/>
  <c r="C138" i="12"/>
  <c r="F138" i="12" s="1"/>
  <c r="A187" i="6"/>
  <c r="A187" i="4"/>
  <c r="G187" i="9"/>
  <c r="C271" i="11"/>
  <c r="F271" i="11" s="1"/>
  <c r="C260" i="11"/>
  <c r="F260" i="11" s="1"/>
  <c r="C255" i="11"/>
  <c r="F255" i="11" s="1"/>
  <c r="C239" i="11"/>
  <c r="F239" i="11" s="1"/>
  <c r="C233" i="11"/>
  <c r="F233" i="11" s="1"/>
  <c r="A186" i="6"/>
  <c r="A186" i="4"/>
  <c r="G186" i="9"/>
  <c r="C205" i="12"/>
  <c r="F205" i="12" s="1"/>
  <c r="C199" i="12"/>
  <c r="F199" i="12" s="1"/>
  <c r="C193" i="12"/>
  <c r="F193" i="12" s="1"/>
  <c r="A185" i="6"/>
  <c r="A185" i="4"/>
  <c r="G185" i="9"/>
  <c r="C216" i="11"/>
  <c r="F216" i="11" s="1"/>
  <c r="C211" i="11"/>
  <c r="F211" i="11" s="1"/>
  <c r="A184" i="6"/>
  <c r="A184" i="4"/>
  <c r="G184" i="9"/>
  <c r="C291" i="11"/>
  <c r="F291" i="11" s="1"/>
  <c r="C286" i="11"/>
  <c r="F286" i="11" s="1"/>
  <c r="A183" i="6"/>
  <c r="A183" i="4"/>
  <c r="G183" i="9"/>
  <c r="C187" i="11"/>
  <c r="F187" i="11" s="1"/>
  <c r="C180" i="11"/>
  <c r="F180" i="11" s="1"/>
  <c r="C90" i="11"/>
  <c r="F90" i="11" s="1"/>
  <c r="A182" i="6"/>
  <c r="A182" i="4"/>
  <c r="G182" i="9"/>
  <c r="C270" i="11"/>
  <c r="F270" i="11" s="1"/>
  <c r="C259" i="11"/>
  <c r="F259" i="11" s="1"/>
  <c r="C254" i="11"/>
  <c r="F254" i="11" s="1"/>
  <c r="C238" i="11"/>
  <c r="F238" i="11" s="1"/>
  <c r="C232" i="11"/>
  <c r="F232" i="11" s="1"/>
  <c r="A181" i="6"/>
  <c r="A181" i="4"/>
  <c r="G181" i="9"/>
  <c r="C160" i="11"/>
  <c r="F160" i="11" s="1"/>
  <c r="A180" i="6"/>
  <c r="A180" i="4"/>
  <c r="G180" i="9"/>
  <c r="C47" i="13"/>
  <c r="F47" i="13" s="1"/>
  <c r="C46" i="12"/>
  <c r="F46" i="12" s="1"/>
  <c r="C28" i="12"/>
  <c r="F28" i="12" s="1"/>
  <c r="C135" i="11"/>
  <c r="F135" i="11" s="1"/>
  <c r="C83" i="10"/>
  <c r="F83" i="10" s="1"/>
  <c r="C76" i="10"/>
  <c r="F76" i="10" s="1"/>
  <c r="A179" i="6"/>
  <c r="A179" i="4"/>
  <c r="G179" i="9"/>
  <c r="C173" i="12"/>
  <c r="F173" i="12" s="1"/>
  <c r="C107" i="12"/>
  <c r="F107" i="12" s="1"/>
  <c r="C100" i="12"/>
  <c r="F100" i="12" s="1"/>
  <c r="C87" i="12"/>
  <c r="F87" i="12" s="1"/>
  <c r="A178" i="6"/>
  <c r="A178" i="4"/>
  <c r="G178" i="9"/>
  <c r="C101" i="12"/>
  <c r="F101" i="12" s="1"/>
  <c r="C94" i="12"/>
  <c r="F94" i="12" s="1"/>
  <c r="C88" i="12"/>
  <c r="F88" i="12" s="1"/>
  <c r="A177" i="6"/>
  <c r="A177" i="4"/>
  <c r="G177" i="9"/>
  <c r="C117" i="14"/>
  <c r="F117" i="14" s="1"/>
  <c r="C112" i="14"/>
  <c r="F112" i="14" s="1"/>
  <c r="C106" i="14"/>
  <c r="F106" i="14" s="1"/>
  <c r="C96" i="14"/>
  <c r="F96" i="14" s="1"/>
  <c r="C90" i="14"/>
  <c r="F90" i="14" s="1"/>
  <c r="C86" i="14"/>
  <c r="F86" i="14" s="1"/>
  <c r="C82" i="14"/>
  <c r="F82" i="14" s="1"/>
  <c r="C75" i="14"/>
  <c r="F75" i="14" s="1"/>
  <c r="C94" i="13"/>
  <c r="F94" i="13" s="1"/>
  <c r="C92" i="13"/>
  <c r="F92" i="13" s="1"/>
  <c r="C88" i="13"/>
  <c r="F88" i="13" s="1"/>
  <c r="C85" i="13"/>
  <c r="F85" i="13" s="1"/>
  <c r="C80" i="13"/>
  <c r="F80" i="13" s="1"/>
  <c r="C65" i="13"/>
  <c r="F65" i="13" s="1"/>
  <c r="C59" i="13"/>
  <c r="F59" i="13" s="1"/>
  <c r="C12" i="13"/>
  <c r="F12" i="13" s="1"/>
  <c r="C6" i="13"/>
  <c r="F6" i="13" s="1"/>
  <c r="A176" i="6"/>
  <c r="A176" i="4"/>
  <c r="G176" i="9"/>
  <c r="C48" i="13"/>
  <c r="F48" i="13" s="1"/>
  <c r="C39" i="13"/>
  <c r="F39" i="13" s="1"/>
  <c r="A175" i="6"/>
  <c r="A175" i="4"/>
  <c r="G175" i="9"/>
  <c r="C296" i="11"/>
  <c r="F296" i="11" s="1"/>
  <c r="A174" i="6"/>
  <c r="A174" i="4"/>
  <c r="G174" i="9"/>
  <c r="C295" i="11"/>
  <c r="F295" i="11" s="1"/>
  <c r="A173" i="6"/>
  <c r="A173" i="4"/>
  <c r="G173" i="9"/>
  <c r="C294" i="11"/>
  <c r="F294" i="11" s="1"/>
  <c r="A172" i="6"/>
  <c r="A172" i="4"/>
  <c r="G172" i="9"/>
  <c r="C293" i="11"/>
  <c r="F293" i="11" s="1"/>
  <c r="A171" i="6"/>
  <c r="A171" i="4"/>
  <c r="G171" i="9"/>
  <c r="C292" i="11"/>
  <c r="F292" i="11" s="1"/>
  <c r="A170" i="6"/>
  <c r="A170" i="4"/>
  <c r="G170" i="9"/>
  <c r="C188" i="12"/>
  <c r="F188" i="12" s="1"/>
  <c r="C25" i="12"/>
  <c r="F25" i="12" s="1"/>
  <c r="A169" i="6"/>
  <c r="A169" i="4"/>
  <c r="G169" i="9"/>
  <c r="C282" i="11"/>
  <c r="F282" i="11" s="1"/>
  <c r="C109" i="11"/>
  <c r="F109" i="11" s="1"/>
  <c r="C100" i="11"/>
  <c r="F100" i="11" s="1"/>
  <c r="A168" i="6"/>
  <c r="A168" i="4"/>
  <c r="G168" i="9"/>
  <c r="C16" i="12"/>
  <c r="F16" i="12" s="1"/>
  <c r="C124" i="11"/>
  <c r="F124" i="11" s="1"/>
  <c r="A167" i="6"/>
  <c r="A167" i="4"/>
  <c r="G167" i="9"/>
  <c r="K167" i="9" s="1"/>
  <c r="C115" i="11"/>
  <c r="F115" i="11" s="1"/>
  <c r="C106" i="11"/>
  <c r="F106" i="11" s="1"/>
  <c r="A166" i="6"/>
  <c r="A166" i="4"/>
  <c r="G166" i="9"/>
  <c r="K166" i="9" s="1"/>
  <c r="C114" i="11"/>
  <c r="F114" i="11" s="1"/>
  <c r="A165" i="6"/>
  <c r="A165" i="4"/>
  <c r="G165" i="9"/>
  <c r="K165" i="9" s="1"/>
  <c r="C178" i="14"/>
  <c r="F178" i="14" s="1"/>
  <c r="C174" i="14"/>
  <c r="F174" i="14" s="1"/>
  <c r="C170" i="14"/>
  <c r="F170" i="14" s="1"/>
  <c r="C152" i="14"/>
  <c r="F152" i="14" s="1"/>
  <c r="C144" i="14"/>
  <c r="F144" i="14" s="1"/>
  <c r="C106" i="13"/>
  <c r="F106" i="13" s="1"/>
  <c r="C81" i="11"/>
  <c r="F81" i="11" s="1"/>
  <c r="C79" i="11"/>
  <c r="F79" i="11" s="1"/>
  <c r="A164" i="6"/>
  <c r="A164" i="4"/>
  <c r="G164" i="9"/>
  <c r="C35" i="11"/>
  <c r="F35" i="11" s="1"/>
  <c r="C10" i="11"/>
  <c r="F10" i="11" s="1"/>
  <c r="A163" i="6"/>
  <c r="A163" i="4"/>
  <c r="G163" i="9"/>
  <c r="A162" i="4"/>
  <c r="G162" i="9"/>
  <c r="C114" i="12"/>
  <c r="F114" i="12" s="1"/>
  <c r="C110" i="12"/>
  <c r="F110" i="12" s="1"/>
  <c r="C93" i="12"/>
  <c r="F93" i="12" s="1"/>
  <c r="C10" i="12"/>
  <c r="F10" i="12" s="1"/>
  <c r="C4" i="12"/>
  <c r="F4" i="12" s="1"/>
  <c r="A161" i="6"/>
  <c r="A161" i="4"/>
  <c r="G161" i="9"/>
  <c r="C8" i="11"/>
  <c r="F8" i="11" s="1"/>
  <c r="A160" i="6"/>
  <c r="A160" i="4"/>
  <c r="G160" i="9"/>
  <c r="C161" i="14"/>
  <c r="F161" i="14" s="1"/>
  <c r="C337" i="11"/>
  <c r="F337" i="11" s="1"/>
  <c r="C203" i="11"/>
  <c r="F203" i="11" s="1"/>
  <c r="C195" i="11"/>
  <c r="F195" i="11" s="1"/>
  <c r="C113" i="11"/>
  <c r="F113" i="11" s="1"/>
  <c r="C40" i="11"/>
  <c r="F40" i="11" s="1"/>
  <c r="A159" i="6"/>
  <c r="A159" i="4"/>
  <c r="G159" i="9"/>
  <c r="C308" i="11"/>
  <c r="F308" i="11" s="1"/>
  <c r="C301" i="11"/>
  <c r="F301" i="11" s="1"/>
  <c r="A158" i="6"/>
  <c r="A158" i="4"/>
  <c r="G158" i="9"/>
  <c r="C162" i="12"/>
  <c r="F162" i="12" s="1"/>
  <c r="C148" i="12"/>
  <c r="F148" i="12" s="1"/>
  <c r="C106" i="12"/>
  <c r="F106" i="12" s="1"/>
  <c r="C82" i="12"/>
  <c r="F82" i="12" s="1"/>
  <c r="C168" i="11"/>
  <c r="F168" i="11" s="1"/>
  <c r="C159" i="11"/>
  <c r="F159" i="11" s="1"/>
  <c r="C153" i="11"/>
  <c r="F153" i="11" s="1"/>
  <c r="A157" i="6"/>
  <c r="A157" i="4"/>
  <c r="G157" i="9"/>
  <c r="C164" i="11"/>
  <c r="F164" i="11" s="1"/>
  <c r="C87" i="10"/>
  <c r="F87" i="10" s="1"/>
  <c r="C32" i="10"/>
  <c r="F32" i="10" s="1"/>
  <c r="A156" i="6"/>
  <c r="A156" i="4"/>
  <c r="G156" i="9"/>
  <c r="C178" i="12"/>
  <c r="F178" i="12" s="1"/>
  <c r="A155" i="6"/>
  <c r="A155" i="4"/>
  <c r="G155" i="9"/>
  <c r="C177" i="12"/>
  <c r="F177" i="12" s="1"/>
  <c r="C145" i="12"/>
  <c r="F145" i="12" s="1"/>
  <c r="C202" i="11"/>
  <c r="F202" i="11" s="1"/>
  <c r="C194" i="11"/>
  <c r="F194" i="11" s="1"/>
  <c r="A154" i="6"/>
  <c r="A154" i="4"/>
  <c r="G154" i="9"/>
  <c r="C181" i="12"/>
  <c r="F181" i="12" s="1"/>
  <c r="C89" i="11"/>
  <c r="F89" i="11" s="1"/>
  <c r="C51" i="11"/>
  <c r="F51" i="11" s="1"/>
  <c r="A153" i="6"/>
  <c r="A153" i="4"/>
  <c r="G153" i="9"/>
  <c r="C180" i="12"/>
  <c r="F180" i="12" s="1"/>
  <c r="C298" i="11"/>
  <c r="F298" i="11" s="1"/>
  <c r="C97" i="11"/>
  <c r="F97" i="11" s="1"/>
  <c r="C88" i="11"/>
  <c r="F88" i="11" s="1"/>
  <c r="C50" i="11"/>
  <c r="F50" i="11" s="1"/>
  <c r="A152" i="6"/>
  <c r="A152" i="4"/>
  <c r="G152" i="9"/>
  <c r="C179" i="12"/>
  <c r="F179" i="12" s="1"/>
  <c r="C146" i="12"/>
  <c r="F146" i="12" s="1"/>
  <c r="C299" i="11"/>
  <c r="F299" i="11" s="1"/>
  <c r="C176" i="11"/>
  <c r="F176" i="11" s="1"/>
  <c r="C152" i="11"/>
  <c r="F152" i="11" s="1"/>
  <c r="C96" i="11"/>
  <c r="F96" i="11" s="1"/>
  <c r="C87" i="11"/>
  <c r="F87" i="11" s="1"/>
  <c r="C75" i="11"/>
  <c r="F75" i="11" s="1"/>
  <c r="C56" i="11"/>
  <c r="F56" i="11" s="1"/>
  <c r="C49" i="11"/>
  <c r="F49" i="11" s="1"/>
  <c r="C41" i="11"/>
  <c r="F41" i="11" s="1"/>
  <c r="C82" i="10"/>
  <c r="F82" i="10" s="1"/>
  <c r="A151" i="6"/>
  <c r="A151" i="4"/>
  <c r="G151" i="9"/>
  <c r="C12" i="11"/>
  <c r="F12" i="11" s="1"/>
  <c r="A150" i="6"/>
  <c r="A150" i="4"/>
  <c r="G150" i="9"/>
  <c r="A149" i="6"/>
  <c r="A149" i="4"/>
  <c r="G149" i="9"/>
  <c r="C13" i="11"/>
  <c r="F13" i="11" s="1"/>
  <c r="A148" i="6"/>
  <c r="A148" i="4"/>
  <c r="G148" i="9"/>
  <c r="C305" i="11"/>
  <c r="F305" i="11" s="1"/>
  <c r="C300" i="11"/>
  <c r="F300" i="11" s="1"/>
  <c r="C34" i="11"/>
  <c r="F34" i="11" s="1"/>
  <c r="C28" i="11"/>
  <c r="F28" i="11" s="1"/>
  <c r="A162" i="6"/>
  <c r="A147" i="6"/>
  <c r="A147" i="4"/>
  <c r="G147" i="9"/>
  <c r="C42" i="13"/>
  <c r="F42" i="13" s="1"/>
  <c r="C115" i="12"/>
  <c r="F115" i="12" s="1"/>
  <c r="C111" i="12"/>
  <c r="F111" i="12" s="1"/>
  <c r="C40" i="12"/>
  <c r="F40" i="12" s="1"/>
  <c r="C30" i="12"/>
  <c r="F30" i="12" s="1"/>
  <c r="C6" i="12"/>
  <c r="F6" i="12" s="1"/>
  <c r="C333" i="11"/>
  <c r="F333" i="11" s="1"/>
  <c r="C311" i="11"/>
  <c r="F311" i="11" s="1"/>
  <c r="C307" i="11"/>
  <c r="F307" i="11" s="1"/>
  <c r="C303" i="11"/>
  <c r="F303" i="11" s="1"/>
  <c r="C272" i="11"/>
  <c r="F272" i="11" s="1"/>
  <c r="C265" i="11"/>
  <c r="F265" i="11" s="1"/>
  <c r="C261" i="11"/>
  <c r="F261" i="11" s="1"/>
  <c r="C256" i="11"/>
  <c r="F256" i="11" s="1"/>
  <c r="C249" i="11"/>
  <c r="F249" i="11" s="1"/>
  <c r="C244" i="11"/>
  <c r="F244" i="11" s="1"/>
  <c r="C240" i="11"/>
  <c r="F240" i="11" s="1"/>
  <c r="C234" i="11"/>
  <c r="F234" i="11" s="1"/>
  <c r="C223" i="11"/>
  <c r="F223" i="11" s="1"/>
  <c r="C220" i="11"/>
  <c r="F220" i="11" s="1"/>
  <c r="C215" i="11"/>
  <c r="F215" i="11" s="1"/>
  <c r="C210" i="11"/>
  <c r="F210" i="11" s="1"/>
  <c r="C205" i="11"/>
  <c r="F205" i="11" s="1"/>
  <c r="C197" i="11"/>
  <c r="F197" i="11" s="1"/>
  <c r="C189" i="11"/>
  <c r="F189" i="11" s="1"/>
  <c r="C182" i="11"/>
  <c r="F182" i="11" s="1"/>
  <c r="C177" i="11"/>
  <c r="F177" i="11" s="1"/>
  <c r="C174" i="11"/>
  <c r="F174" i="11" s="1"/>
  <c r="C170" i="11"/>
  <c r="F170" i="11" s="1"/>
  <c r="C151" i="11"/>
  <c r="F151" i="11" s="1"/>
  <c r="C112" i="11"/>
  <c r="F112" i="11" s="1"/>
  <c r="C98" i="11"/>
  <c r="F98" i="11" s="1"/>
  <c r="C76" i="11"/>
  <c r="F76" i="11" s="1"/>
  <c r="C57" i="11"/>
  <c r="F57" i="11" s="1"/>
  <c r="C52" i="11"/>
  <c r="F52" i="11" s="1"/>
  <c r="C88" i="10"/>
  <c r="F88" i="10" s="1"/>
  <c r="C81" i="10"/>
  <c r="F81" i="10" s="1"/>
  <c r="C75" i="10"/>
  <c r="F75" i="10" s="1"/>
  <c r="A146" i="6"/>
  <c r="A146" i="4"/>
  <c r="G146" i="9"/>
  <c r="C309" i="11"/>
  <c r="F309" i="11" s="1"/>
  <c r="C204" i="11"/>
  <c r="F204" i="11" s="1"/>
  <c r="C196" i="11"/>
  <c r="F196" i="11" s="1"/>
  <c r="C188" i="11"/>
  <c r="F188" i="11" s="1"/>
  <c r="C181" i="11"/>
  <c r="F181" i="11" s="1"/>
  <c r="C36" i="11"/>
  <c r="F36" i="11" s="1"/>
  <c r="A145" i="6"/>
  <c r="A145" i="4"/>
  <c r="G145" i="9"/>
  <c r="C24" i="10"/>
  <c r="F24" i="10" s="1"/>
  <c r="A144" i="6"/>
  <c r="A144" i="4"/>
  <c r="G144" i="9"/>
  <c r="C134" i="12"/>
  <c r="F134" i="12" s="1"/>
  <c r="A143" i="6"/>
  <c r="A143" i="4"/>
  <c r="G143" i="9"/>
  <c r="C176" i="12"/>
  <c r="F176" i="12" s="1"/>
  <c r="C23" i="12"/>
  <c r="F23" i="12" s="1"/>
  <c r="C29" i="11"/>
  <c r="F29" i="11" s="1"/>
  <c r="C11" i="11"/>
  <c r="F11" i="11" s="1"/>
  <c r="C10" i="10"/>
  <c r="F10" i="10" s="1"/>
  <c r="A142" i="6"/>
  <c r="A142" i="4"/>
  <c r="G142" i="9"/>
  <c r="C43" i="13"/>
  <c r="F43" i="13" s="1"/>
  <c r="C83" i="12"/>
  <c r="F83" i="12" s="1"/>
  <c r="C47" i="12"/>
  <c r="F47" i="12" s="1"/>
  <c r="C11" i="12"/>
  <c r="F11" i="12" s="1"/>
  <c r="C5" i="12"/>
  <c r="F5" i="12" s="1"/>
  <c r="C310" i="11"/>
  <c r="F310" i="11" s="1"/>
  <c r="C306" i="11"/>
  <c r="F306" i="11" s="1"/>
  <c r="C302" i="11"/>
  <c r="F302" i="11" s="1"/>
  <c r="C297" i="11"/>
  <c r="F297" i="11" s="1"/>
  <c r="C250" i="11"/>
  <c r="F250" i="11" s="1"/>
  <c r="C245" i="11"/>
  <c r="F245" i="11" s="1"/>
  <c r="C206" i="11"/>
  <c r="F206" i="11" s="1"/>
  <c r="C198" i="11"/>
  <c r="F198" i="11" s="1"/>
  <c r="C190" i="11"/>
  <c r="F190" i="11" s="1"/>
  <c r="C183" i="11"/>
  <c r="F183" i="11" s="1"/>
  <c r="C111" i="11"/>
  <c r="F111" i="11" s="1"/>
  <c r="C95" i="11"/>
  <c r="F95" i="11" s="1"/>
  <c r="C91" i="11"/>
  <c r="F91" i="11" s="1"/>
  <c r="C37" i="11"/>
  <c r="F37" i="11" s="1"/>
  <c r="C80" i="10"/>
  <c r="F80" i="10" s="1"/>
  <c r="C74" i="10"/>
  <c r="F74" i="10" s="1"/>
  <c r="A141" i="6"/>
  <c r="A141" i="4"/>
  <c r="G141" i="9"/>
  <c r="C340" i="11"/>
  <c r="F340" i="11" s="1"/>
  <c r="C290" i="11"/>
  <c r="F290" i="11" s="1"/>
  <c r="C285" i="11"/>
  <c r="F285" i="11" s="1"/>
  <c r="C224" i="11"/>
  <c r="F224" i="11" s="1"/>
  <c r="C221" i="11"/>
  <c r="F221" i="11" s="1"/>
  <c r="C157" i="11"/>
  <c r="F157" i="11" s="1"/>
  <c r="C148" i="11"/>
  <c r="F148" i="11" s="1"/>
  <c r="C146" i="11"/>
  <c r="F146" i="11" s="1"/>
  <c r="C142" i="11"/>
  <c r="F142" i="11" s="1"/>
  <c r="C137" i="11"/>
  <c r="F137" i="11" s="1"/>
  <c r="A140" i="6"/>
  <c r="A140" i="4"/>
  <c r="G140" i="9"/>
  <c r="C159" i="14"/>
  <c r="F159" i="14" s="1"/>
  <c r="C79" i="13"/>
  <c r="F79" i="13" s="1"/>
  <c r="A139" i="6"/>
  <c r="A139" i="4"/>
  <c r="G139" i="9"/>
  <c r="C67" i="13"/>
  <c r="F67" i="13" s="1"/>
  <c r="C14" i="13"/>
  <c r="F14" i="13" s="1"/>
  <c r="A138" i="6"/>
  <c r="A138" i="4"/>
  <c r="G138" i="9"/>
  <c r="C108" i="13"/>
  <c r="F108" i="13" s="1"/>
  <c r="A137" i="6"/>
  <c r="A137" i="4"/>
  <c r="G137" i="9"/>
  <c r="C147" i="14"/>
  <c r="F147" i="14" s="1"/>
  <c r="C47" i="14"/>
  <c r="F47" i="14" s="1"/>
  <c r="A136" i="6"/>
  <c r="A136" i="4"/>
  <c r="G136" i="9"/>
  <c r="A135" i="6"/>
  <c r="A135" i="4"/>
  <c r="G135" i="9"/>
  <c r="C164" i="14"/>
  <c r="F164" i="14" s="1"/>
  <c r="C160" i="14"/>
  <c r="F160" i="14" s="1"/>
  <c r="C48" i="14"/>
  <c r="F48" i="14" s="1"/>
  <c r="C16" i="14"/>
  <c r="F16" i="14" s="1"/>
  <c r="C2" i="14"/>
  <c r="F2" i="14" s="1"/>
  <c r="A134" i="6"/>
  <c r="A134" i="4"/>
  <c r="G134" i="9"/>
  <c r="C165" i="14"/>
  <c r="F165" i="14" s="1"/>
  <c r="C141" i="14"/>
  <c r="F141" i="14" s="1"/>
  <c r="C8" i="14"/>
  <c r="F8" i="14" s="1"/>
  <c r="C7" i="11"/>
  <c r="F7" i="11" s="1"/>
  <c r="A133" i="6"/>
  <c r="A133" i="4"/>
  <c r="G133" i="9"/>
  <c r="C154" i="14"/>
  <c r="F154" i="14" s="1"/>
  <c r="C151" i="14"/>
  <c r="F151" i="14" s="1"/>
  <c r="C12" i="14"/>
  <c r="F12" i="14" s="1"/>
  <c r="A132" i="6"/>
  <c r="A132" i="4"/>
  <c r="G132" i="9"/>
  <c r="C150" i="14"/>
  <c r="F150" i="14" s="1"/>
  <c r="C55" i="14"/>
  <c r="F55" i="14" s="1"/>
  <c r="C14" i="14"/>
  <c r="F14" i="14" s="1"/>
  <c r="C4" i="14"/>
  <c r="F4" i="14" s="1"/>
  <c r="A131" i="6"/>
  <c r="A131" i="4"/>
  <c r="G131" i="9"/>
  <c r="C13" i="14"/>
  <c r="F13" i="14" s="1"/>
  <c r="A130" i="6"/>
  <c r="A130" i="4"/>
  <c r="G130" i="9"/>
  <c r="C156" i="14"/>
  <c r="F156" i="14" s="1"/>
  <c r="C54" i="14"/>
  <c r="F54" i="14" s="1"/>
  <c r="C6" i="14"/>
  <c r="F6" i="14" s="1"/>
  <c r="A129" i="6"/>
  <c r="A129" i="4"/>
  <c r="G129" i="9"/>
  <c r="C169" i="14"/>
  <c r="F169" i="14" s="1"/>
  <c r="C155" i="14"/>
  <c r="F155" i="14" s="1"/>
  <c r="C32" i="14"/>
  <c r="F32" i="14" s="1"/>
  <c r="C11" i="14"/>
  <c r="F11" i="14" s="1"/>
  <c r="C5" i="14"/>
  <c r="F5" i="14" s="1"/>
  <c r="A128" i="6"/>
  <c r="A128" i="4"/>
  <c r="G128" i="9"/>
  <c r="C142" i="14"/>
  <c r="F142" i="14" s="1"/>
  <c r="C45" i="14"/>
  <c r="F45" i="14" s="1"/>
  <c r="C7" i="14"/>
  <c r="F7" i="14" s="1"/>
  <c r="C25" i="11"/>
  <c r="F25" i="11" s="1"/>
  <c r="C20" i="11"/>
  <c r="F20" i="11" s="1"/>
  <c r="C6" i="11"/>
  <c r="F6" i="11" s="1"/>
  <c r="A127" i="6"/>
  <c r="A127" i="4"/>
  <c r="G127" i="9"/>
  <c r="C146" i="14"/>
  <c r="F146" i="14" s="1"/>
  <c r="A126" i="6"/>
  <c r="A126" i="4"/>
  <c r="G126" i="9"/>
  <c r="C50" i="14"/>
  <c r="F50" i="14" s="1"/>
  <c r="C43" i="14"/>
  <c r="F43" i="14" s="1"/>
  <c r="C15" i="14"/>
  <c r="F15" i="14" s="1"/>
  <c r="C3" i="14"/>
  <c r="F3" i="14" s="1"/>
  <c r="C90" i="13"/>
  <c r="F90" i="13" s="1"/>
  <c r="C83" i="13"/>
  <c r="F83" i="13" s="1"/>
  <c r="C71" i="13"/>
  <c r="F71" i="13" s="1"/>
  <c r="C64" i="13"/>
  <c r="F64" i="13" s="1"/>
  <c r="C18" i="13"/>
  <c r="F18" i="13" s="1"/>
  <c r="C11" i="13"/>
  <c r="F11" i="13" s="1"/>
  <c r="D5" i="7"/>
  <c r="D4" i="7"/>
  <c r="A125" i="6"/>
  <c r="A125" i="4"/>
  <c r="G125" i="9"/>
  <c r="C157" i="14"/>
  <c r="F157" i="14" s="1"/>
  <c r="A124" i="6"/>
  <c r="A124" i="4"/>
  <c r="G124" i="9"/>
  <c r="C3" i="10"/>
  <c r="F3" i="10" s="1"/>
  <c r="A123" i="6"/>
  <c r="A123" i="4"/>
  <c r="G123" i="9"/>
  <c r="C9" i="14"/>
  <c r="F9" i="14" s="1"/>
  <c r="C26" i="11"/>
  <c r="F26" i="11" s="1"/>
  <c r="C21" i="11"/>
  <c r="F21" i="11" s="1"/>
  <c r="C5" i="11"/>
  <c r="F5" i="11" s="1"/>
  <c r="C33" i="10"/>
  <c r="F33" i="10" s="1"/>
  <c r="A122" i="6"/>
  <c r="A122" i="4"/>
  <c r="G122" i="9"/>
  <c r="C102" i="12"/>
  <c r="F102" i="12" s="1"/>
  <c r="C95" i="12"/>
  <c r="F95" i="12" s="1"/>
  <c r="C89" i="12"/>
  <c r="F89" i="12" s="1"/>
  <c r="A121" i="6"/>
  <c r="A121" i="4"/>
  <c r="G121" i="9"/>
  <c r="C166" i="14"/>
  <c r="F166" i="14" s="1"/>
  <c r="C148" i="14"/>
  <c r="F148" i="14" s="1"/>
  <c r="A120" i="6"/>
  <c r="A120" i="4"/>
  <c r="G120" i="9"/>
  <c r="C97" i="13"/>
  <c r="F97" i="13" s="1"/>
  <c r="C163" i="12"/>
  <c r="F163" i="12" s="1"/>
  <c r="A119" i="6"/>
  <c r="A119" i="4"/>
  <c r="G119" i="9"/>
  <c r="C75" i="12"/>
  <c r="F75" i="12" s="1"/>
  <c r="C65" i="12"/>
  <c r="F65" i="12" s="1"/>
  <c r="C58" i="12"/>
  <c r="F58" i="12" s="1"/>
  <c r="C48" i="12"/>
  <c r="F48" i="12" s="1"/>
  <c r="C33" i="12"/>
  <c r="F33" i="12" s="1"/>
  <c r="C29" i="12"/>
  <c r="F29" i="12" s="1"/>
  <c r="C15" i="12"/>
  <c r="F15" i="12" s="1"/>
  <c r="C172" i="11"/>
  <c r="F172" i="11" s="1"/>
  <c r="C169" i="11"/>
  <c r="F169" i="11" s="1"/>
  <c r="C130" i="11"/>
  <c r="F130" i="11" s="1"/>
  <c r="A118" i="6"/>
  <c r="A118" i="4"/>
  <c r="G118" i="9"/>
  <c r="A117" i="6"/>
  <c r="A117" i="4"/>
  <c r="G117" i="9"/>
  <c r="C222" i="12"/>
  <c r="F222" i="12" s="1"/>
  <c r="C165" i="11"/>
  <c r="F165" i="11" s="1"/>
  <c r="C111" i="10"/>
  <c r="F111" i="10" s="1"/>
  <c r="C100" i="10"/>
  <c r="F100" i="10" s="1"/>
  <c r="A116" i="6"/>
  <c r="A116" i="4"/>
  <c r="G116" i="9"/>
  <c r="C37" i="10"/>
  <c r="F37" i="10" s="1"/>
  <c r="A115" i="6"/>
  <c r="A115" i="4"/>
  <c r="G115" i="9"/>
  <c r="C154" i="12"/>
  <c r="F154" i="12" s="1"/>
  <c r="A114" i="6"/>
  <c r="A114" i="4"/>
  <c r="G114" i="9"/>
  <c r="C155" i="12"/>
  <c r="F155" i="12" s="1"/>
  <c r="A113" i="6"/>
  <c r="A113" i="4"/>
  <c r="G113" i="9"/>
  <c r="C187" i="12"/>
  <c r="F187" i="12" s="1"/>
  <c r="C184" i="12"/>
  <c r="F184" i="12" s="1"/>
  <c r="C158" i="12"/>
  <c r="F158" i="12" s="1"/>
  <c r="C152" i="12"/>
  <c r="F152" i="12" s="1"/>
  <c r="A112" i="6"/>
  <c r="A112" i="4"/>
  <c r="G112" i="9"/>
  <c r="C42" i="12"/>
  <c r="F42" i="12" s="1"/>
  <c r="C35" i="12"/>
  <c r="F35" i="12" s="1"/>
  <c r="C32" i="11"/>
  <c r="F32" i="11" s="1"/>
  <c r="A111" i="6"/>
  <c r="A111" i="4"/>
  <c r="G111" i="9"/>
  <c r="C27" i="10"/>
  <c r="F27" i="10" s="1"/>
  <c r="A110" i="6"/>
  <c r="A110" i="4"/>
  <c r="G110" i="9"/>
  <c r="C153" i="12"/>
  <c r="F153" i="12" s="1"/>
  <c r="C20" i="10"/>
  <c r="F20" i="10" s="1"/>
  <c r="A109" i="6"/>
  <c r="A109" i="4"/>
  <c r="G109" i="9"/>
  <c r="C63" i="10"/>
  <c r="F63" i="10" s="1"/>
  <c r="A108" i="6"/>
  <c r="A108" i="4"/>
  <c r="G108" i="9"/>
  <c r="C58" i="10"/>
  <c r="F58" i="10" s="1"/>
  <c r="C50" i="10"/>
  <c r="F50" i="10" s="1"/>
  <c r="A107" i="6"/>
  <c r="A107" i="4"/>
  <c r="G107" i="9"/>
  <c r="C105" i="14"/>
  <c r="F105" i="14" s="1"/>
  <c r="C72" i="14"/>
  <c r="F72" i="14" s="1"/>
  <c r="A106" i="6"/>
  <c r="A106" i="4"/>
  <c r="G106" i="9"/>
  <c r="C136" i="14"/>
  <c r="F136" i="14" s="1"/>
  <c r="C134" i="14"/>
  <c r="F134" i="14" s="1"/>
  <c r="C125" i="14"/>
  <c r="F125" i="14" s="1"/>
  <c r="C121" i="14"/>
  <c r="F121" i="14" s="1"/>
  <c r="C116" i="14"/>
  <c r="F116" i="14" s="1"/>
  <c r="C102" i="14"/>
  <c r="F102" i="14" s="1"/>
  <c r="C101" i="14"/>
  <c r="F101" i="14" s="1"/>
  <c r="C98" i="14"/>
  <c r="F98" i="14" s="1"/>
  <c r="C92" i="14"/>
  <c r="F92" i="14" s="1"/>
  <c r="C88" i="14"/>
  <c r="F88" i="14" s="1"/>
  <c r="C84" i="14"/>
  <c r="F84" i="14" s="1"/>
  <c r="C81" i="14"/>
  <c r="F81" i="14" s="1"/>
  <c r="C78" i="14"/>
  <c r="F78" i="14" s="1"/>
  <c r="C74" i="14"/>
  <c r="F74" i="14" s="1"/>
  <c r="C68" i="14"/>
  <c r="F68" i="14" s="1"/>
  <c r="C61" i="14"/>
  <c r="F61" i="14" s="1"/>
  <c r="C51" i="14"/>
  <c r="F51" i="14" s="1"/>
  <c r="C46" i="14"/>
  <c r="F46" i="14" s="1"/>
  <c r="C42" i="14"/>
  <c r="F42" i="14" s="1"/>
  <c r="C39" i="14"/>
  <c r="F39" i="14" s="1"/>
  <c r="C36" i="14"/>
  <c r="F36" i="14" s="1"/>
  <c r="C33" i="14"/>
  <c r="F33" i="14" s="1"/>
  <c r="C30" i="14"/>
  <c r="F30" i="14" s="1"/>
  <c r="C27" i="14"/>
  <c r="F27" i="14" s="1"/>
  <c r="C24" i="14"/>
  <c r="F24" i="14" s="1"/>
  <c r="C20" i="14"/>
  <c r="F20" i="14" s="1"/>
  <c r="C17" i="14"/>
  <c r="F17" i="14" s="1"/>
  <c r="C10" i="14"/>
  <c r="F10" i="14" s="1"/>
  <c r="A105" i="6"/>
  <c r="A105" i="4"/>
  <c r="G105" i="9"/>
  <c r="C11" i="10"/>
  <c r="F11" i="10" s="1"/>
  <c r="A104" i="6"/>
  <c r="A104" i="4"/>
  <c r="G104" i="9"/>
  <c r="A103" i="4"/>
  <c r="G103" i="9"/>
  <c r="C54" i="13"/>
  <c r="F54" i="13" s="1"/>
  <c r="C51" i="13"/>
  <c r="F51" i="13" s="1"/>
  <c r="C49" i="13"/>
  <c r="F49" i="13" s="1"/>
  <c r="C44" i="13"/>
  <c r="F44" i="13" s="1"/>
  <c r="C219" i="12"/>
  <c r="F219" i="12" s="1"/>
  <c r="C215" i="12"/>
  <c r="F215" i="12" s="1"/>
  <c r="C211" i="12"/>
  <c r="F211" i="12" s="1"/>
  <c r="C206" i="12"/>
  <c r="F206" i="12" s="1"/>
  <c r="C200" i="12"/>
  <c r="F200" i="12" s="1"/>
  <c r="C194" i="12"/>
  <c r="F194" i="12" s="1"/>
  <c r="C174" i="12"/>
  <c r="F174" i="12" s="1"/>
  <c r="C168" i="12"/>
  <c r="F168" i="12" s="1"/>
  <c r="C149" i="12"/>
  <c r="F149" i="12" s="1"/>
  <c r="C139" i="12"/>
  <c r="F139" i="12" s="1"/>
  <c r="C130" i="12"/>
  <c r="F130" i="12" s="1"/>
  <c r="C127" i="12"/>
  <c r="F127" i="12" s="1"/>
  <c r="C123" i="12"/>
  <c r="F123" i="12" s="1"/>
  <c r="C119" i="12"/>
  <c r="F119" i="12" s="1"/>
  <c r="C84" i="12"/>
  <c r="F84" i="12" s="1"/>
  <c r="C79" i="12"/>
  <c r="F79" i="12" s="1"/>
  <c r="C69" i="12"/>
  <c r="F69" i="12" s="1"/>
  <c r="C59" i="12"/>
  <c r="F59" i="12" s="1"/>
  <c r="C344" i="11"/>
  <c r="F344" i="11" s="1"/>
  <c r="C330" i="11"/>
  <c r="F330" i="11" s="1"/>
  <c r="C325" i="11"/>
  <c r="F325" i="11" s="1"/>
  <c r="C320" i="11"/>
  <c r="F320" i="11" s="1"/>
  <c r="C161" i="11"/>
  <c r="F161" i="11" s="1"/>
  <c r="C47" i="11"/>
  <c r="F47" i="11" s="1"/>
  <c r="C108" i="10"/>
  <c r="F108" i="10" s="1"/>
  <c r="C92" i="10"/>
  <c r="F92" i="10" s="1"/>
  <c r="C72" i="10"/>
  <c r="F72" i="10" s="1"/>
  <c r="C67" i="10"/>
  <c r="F67" i="10" s="1"/>
  <c r="A102" i="6"/>
  <c r="A102" i="4"/>
  <c r="G102" i="9"/>
  <c r="C119" i="10"/>
  <c r="F119" i="10" s="1"/>
  <c r="C41" i="10"/>
  <c r="F41" i="10" s="1"/>
  <c r="A101" i="6"/>
  <c r="A101" i="4"/>
  <c r="G101" i="9"/>
  <c r="C345" i="11"/>
  <c r="F345" i="11" s="1"/>
  <c r="C105" i="10"/>
  <c r="F105" i="10" s="1"/>
  <c r="C54" i="10"/>
  <c r="F54" i="10" s="1"/>
  <c r="C46" i="10"/>
  <c r="F46" i="10" s="1"/>
  <c r="C26" i="10"/>
  <c r="F26" i="10" s="1"/>
  <c r="C22" i="10"/>
  <c r="F22" i="10" s="1"/>
  <c r="C17" i="10"/>
  <c r="F17" i="10" s="1"/>
  <c r="C13" i="10"/>
  <c r="F13" i="10" s="1"/>
  <c r="C6" i="10"/>
  <c r="F6" i="10" s="1"/>
  <c r="A103" i="6"/>
  <c r="A100" i="6"/>
  <c r="A100" i="4"/>
  <c r="G100" i="9"/>
  <c r="A99" i="6"/>
  <c r="A99" i="4"/>
  <c r="G99" i="9"/>
  <c r="C56" i="14"/>
  <c r="F56" i="14" s="1"/>
  <c r="C52" i="14"/>
  <c r="F52" i="14" s="1"/>
  <c r="C49" i="14"/>
  <c r="F49" i="14" s="1"/>
  <c r="A98" i="6"/>
  <c r="A98" i="4"/>
  <c r="G98" i="9"/>
  <c r="C104" i="13"/>
  <c r="F104" i="13" s="1"/>
  <c r="A97" i="6"/>
  <c r="A97" i="4"/>
  <c r="G97" i="9"/>
  <c r="C98" i="13"/>
  <c r="F98" i="13" s="1"/>
  <c r="C34" i="13"/>
  <c r="F34" i="13" s="1"/>
  <c r="C99" i="12"/>
  <c r="F99" i="12" s="1"/>
  <c r="C34" i="12"/>
  <c r="F34" i="12" s="1"/>
  <c r="C279" i="11"/>
  <c r="F279" i="11" s="1"/>
  <c r="C38" i="11"/>
  <c r="F38" i="11" s="1"/>
  <c r="C110" i="10"/>
  <c r="F110" i="10" s="1"/>
  <c r="C101" i="10"/>
  <c r="F101" i="10" s="1"/>
  <c r="C95" i="10"/>
  <c r="F95" i="10" s="1"/>
  <c r="C91" i="10"/>
  <c r="F91" i="10" s="1"/>
  <c r="C86" i="10"/>
  <c r="F86" i="10" s="1"/>
  <c r="C79" i="10"/>
  <c r="F79" i="10" s="1"/>
  <c r="C71" i="10"/>
  <c r="F71" i="10" s="1"/>
  <c r="C66" i="10"/>
  <c r="F66" i="10" s="1"/>
  <c r="C61" i="10"/>
  <c r="F61" i="10" s="1"/>
  <c r="C55" i="10"/>
  <c r="F55" i="10" s="1"/>
  <c r="C44" i="10"/>
  <c r="F44" i="10" s="1"/>
  <c r="C39" i="10"/>
  <c r="F39" i="10" s="1"/>
  <c r="C34" i="10"/>
  <c r="F34" i="10" s="1"/>
  <c r="C30" i="10"/>
  <c r="F30" i="10" s="1"/>
  <c r="C19" i="10"/>
  <c r="F19" i="10" s="1"/>
  <c r="C15" i="10"/>
  <c r="F15" i="10" s="1"/>
  <c r="C8" i="10"/>
  <c r="F8" i="10" s="1"/>
  <c r="C4" i="10"/>
  <c r="F4" i="10" s="1"/>
  <c r="A96" i="6"/>
  <c r="A96" i="4"/>
  <c r="G96" i="9"/>
  <c r="C318" i="11"/>
  <c r="F318" i="11" s="1"/>
  <c r="C113" i="10"/>
  <c r="F113" i="10" s="1"/>
  <c r="A95" i="6"/>
  <c r="A95" i="4"/>
  <c r="G95" i="9"/>
  <c r="C53" i="13"/>
  <c r="F53" i="13" s="1"/>
  <c r="C223" i="12"/>
  <c r="F223" i="12" s="1"/>
  <c r="C32" i="12"/>
  <c r="F32" i="12" s="1"/>
  <c r="C323" i="11"/>
  <c r="F323" i="11" s="1"/>
  <c r="C109" i="10"/>
  <c r="F109" i="10" s="1"/>
  <c r="C99" i="10"/>
  <c r="F99" i="10" s="1"/>
  <c r="C73" i="10"/>
  <c r="F73" i="10" s="1"/>
  <c r="C68" i="10"/>
  <c r="F68" i="10" s="1"/>
  <c r="C42" i="10"/>
  <c r="F42" i="10" s="1"/>
  <c r="C40" i="10"/>
  <c r="F40" i="10" s="1"/>
  <c r="C21" i="10"/>
  <c r="F21" i="10" s="1"/>
  <c r="A94" i="6"/>
  <c r="A94" i="4"/>
  <c r="G94" i="9"/>
  <c r="C44" i="12"/>
  <c r="F44" i="12" s="1"/>
  <c r="A93" i="6"/>
  <c r="A93" i="4"/>
  <c r="G93" i="9"/>
  <c r="C33" i="13"/>
  <c r="F33" i="13" s="1"/>
  <c r="A92" i="6"/>
  <c r="A92" i="4"/>
  <c r="G92" i="9"/>
  <c r="C45" i="10"/>
  <c r="F45" i="10" s="1"/>
  <c r="A91" i="6"/>
  <c r="A91" i="4"/>
  <c r="G91" i="9"/>
  <c r="C9" i="11"/>
  <c r="F9" i="11" s="1"/>
  <c r="A90" i="6"/>
  <c r="A90" i="4"/>
  <c r="G90" i="9"/>
  <c r="C38" i="13"/>
  <c r="F38" i="13" s="1"/>
  <c r="C137" i="12"/>
  <c r="F137" i="12" s="1"/>
  <c r="C73" i="12"/>
  <c r="F73" i="12" s="1"/>
  <c r="C63" i="12"/>
  <c r="F63" i="12" s="1"/>
  <c r="C54" i="12"/>
  <c r="F54" i="12" s="1"/>
  <c r="C21" i="12"/>
  <c r="F21" i="12" s="1"/>
  <c r="C105" i="11"/>
  <c r="F105" i="11" s="1"/>
  <c r="C86" i="11"/>
  <c r="F86" i="11" s="1"/>
  <c r="A89" i="6"/>
  <c r="A89" i="4"/>
  <c r="G89" i="9"/>
  <c r="C17" i="11"/>
  <c r="F17" i="11" s="1"/>
  <c r="A88" i="6"/>
  <c r="A88" i="4"/>
  <c r="G88" i="9"/>
  <c r="C37" i="13"/>
  <c r="F37" i="13" s="1"/>
  <c r="C143" i="12"/>
  <c r="F143" i="12" s="1"/>
  <c r="C136" i="12"/>
  <c r="F136" i="12" s="1"/>
  <c r="C72" i="12"/>
  <c r="F72" i="12" s="1"/>
  <c r="C62" i="12"/>
  <c r="F62" i="12" s="1"/>
  <c r="C55" i="12"/>
  <c r="F55" i="12" s="1"/>
  <c r="C20" i="12"/>
  <c r="F20" i="12" s="1"/>
  <c r="C328" i="11"/>
  <c r="F328" i="11" s="1"/>
  <c r="C314" i="11"/>
  <c r="F314" i="11" s="1"/>
  <c r="C127" i="11"/>
  <c r="F127" i="11" s="1"/>
  <c r="C104" i="11"/>
  <c r="F104" i="11" s="1"/>
  <c r="C85" i="11"/>
  <c r="F85" i="11" s="1"/>
  <c r="C23" i="11"/>
  <c r="F23" i="11" s="1"/>
  <c r="C15" i="11"/>
  <c r="F15" i="11" s="1"/>
  <c r="C4" i="11"/>
  <c r="F4" i="11" s="1"/>
  <c r="A87" i="6"/>
  <c r="A87" i="4"/>
  <c r="G87" i="9"/>
  <c r="C36" i="13"/>
  <c r="F36" i="13" s="1"/>
  <c r="C142" i="12"/>
  <c r="F142" i="12" s="1"/>
  <c r="C135" i="12"/>
  <c r="F135" i="12" s="1"/>
  <c r="C71" i="12"/>
  <c r="F71" i="12" s="1"/>
  <c r="C61" i="12"/>
  <c r="F61" i="12" s="1"/>
  <c r="C53" i="12"/>
  <c r="F53" i="12" s="1"/>
  <c r="C45" i="12"/>
  <c r="F45" i="12" s="1"/>
  <c r="C19" i="12"/>
  <c r="F19" i="12" s="1"/>
  <c r="C327" i="11"/>
  <c r="F327" i="11" s="1"/>
  <c r="C313" i="11"/>
  <c r="F313" i="11" s="1"/>
  <c r="C134" i="11"/>
  <c r="F134" i="11" s="1"/>
  <c r="C131" i="11"/>
  <c r="F131" i="11" s="1"/>
  <c r="C103" i="11"/>
  <c r="F103" i="11" s="1"/>
  <c r="C84" i="11"/>
  <c r="F84" i="11" s="1"/>
  <c r="C24" i="11"/>
  <c r="F24" i="11" s="1"/>
  <c r="C16" i="11"/>
  <c r="F16" i="11" s="1"/>
  <c r="C3" i="11"/>
  <c r="F3" i="11" s="1"/>
  <c r="C62" i="10"/>
  <c r="F62" i="10" s="1"/>
  <c r="A86" i="6"/>
  <c r="A86" i="4"/>
  <c r="G86" i="9"/>
  <c r="C170" i="12"/>
  <c r="F170" i="12" s="1"/>
  <c r="C304" i="11"/>
  <c r="F304" i="11" s="1"/>
  <c r="C39" i="11"/>
  <c r="F39" i="11" s="1"/>
  <c r="A85" i="6"/>
  <c r="A85" i="4"/>
  <c r="G85" i="9"/>
  <c r="A84" i="6"/>
  <c r="A84" i="4"/>
  <c r="G84" i="9"/>
  <c r="A83" i="6"/>
  <c r="A83" i="4"/>
  <c r="G83" i="9"/>
  <c r="C329" i="11"/>
  <c r="F329" i="11" s="1"/>
  <c r="C132" i="11"/>
  <c r="F132" i="11" s="1"/>
  <c r="C125" i="11"/>
  <c r="F125" i="11" s="1"/>
  <c r="C110" i="11"/>
  <c r="F110" i="11" s="1"/>
  <c r="A82" i="6"/>
  <c r="A82" i="4"/>
  <c r="G82" i="9"/>
  <c r="C121" i="11"/>
  <c r="F121" i="11" s="1"/>
  <c r="C94" i="11"/>
  <c r="F94" i="11" s="1"/>
  <c r="A81" i="6"/>
  <c r="A81" i="4"/>
  <c r="G81" i="9"/>
  <c r="C120" i="11"/>
  <c r="F120" i="11" s="1"/>
  <c r="C119" i="11"/>
  <c r="F119" i="11" s="1"/>
  <c r="C80" i="11"/>
  <c r="F80" i="11" s="1"/>
  <c r="C78" i="11"/>
  <c r="F78" i="11" s="1"/>
  <c r="A80" i="6"/>
  <c r="A80" i="4"/>
  <c r="G80" i="9"/>
  <c r="C129" i="11"/>
  <c r="F129" i="11" s="1"/>
  <c r="A79" i="6"/>
  <c r="A79" i="4"/>
  <c r="G79" i="9"/>
  <c r="A78" i="6"/>
  <c r="A78" i="4"/>
  <c r="G78" i="9"/>
  <c r="C52" i="12"/>
  <c r="F52" i="12" s="1"/>
  <c r="C14" i="12"/>
  <c r="F14" i="12" s="1"/>
  <c r="C126" i="11"/>
  <c r="F126" i="11" s="1"/>
  <c r="C122" i="11"/>
  <c r="F122" i="11" s="1"/>
  <c r="C19" i="11"/>
  <c r="F19" i="11" s="1"/>
  <c r="A77" i="6"/>
  <c r="A77" i="4"/>
  <c r="G77" i="9"/>
  <c r="C5" i="10"/>
  <c r="F5" i="10" s="1"/>
  <c r="A76" i="6"/>
  <c r="A76" i="4"/>
  <c r="G76" i="9"/>
  <c r="C72" i="11"/>
  <c r="F72" i="11" s="1"/>
  <c r="A75" i="6"/>
  <c r="A75" i="4"/>
  <c r="G75" i="9"/>
  <c r="C273" i="11"/>
  <c r="F273" i="11" s="1"/>
  <c r="C66" i="11"/>
  <c r="F66" i="11" s="1"/>
  <c r="A74" i="6"/>
  <c r="A74" i="4"/>
  <c r="G74" i="9"/>
  <c r="C64" i="11"/>
  <c r="F64" i="11" s="1"/>
  <c r="A73" i="6"/>
  <c r="A73" i="4"/>
  <c r="G73" i="9"/>
  <c r="C63" i="11"/>
  <c r="F63" i="11" s="1"/>
  <c r="A72" i="6"/>
  <c r="A72" i="4"/>
  <c r="G72" i="9"/>
  <c r="C61" i="11"/>
  <c r="F61" i="11" s="1"/>
  <c r="A71" i="6"/>
  <c r="A71" i="4"/>
  <c r="G71" i="9"/>
  <c r="C73" i="11"/>
  <c r="F73" i="11" s="1"/>
  <c r="A70" i="6"/>
  <c r="A70" i="4"/>
  <c r="G70" i="9"/>
  <c r="C60" i="11"/>
  <c r="F60" i="11" s="1"/>
  <c r="A69" i="6"/>
  <c r="A69" i="4"/>
  <c r="G69" i="9"/>
  <c r="C263" i="11"/>
  <c r="F263" i="11" s="1"/>
  <c r="A68" i="6"/>
  <c r="A68" i="4"/>
  <c r="G68" i="9"/>
  <c r="C136" i="11"/>
  <c r="F136" i="11" s="1"/>
  <c r="A67" i="6"/>
  <c r="A67" i="4"/>
  <c r="G67" i="9"/>
  <c r="C62" i="11"/>
  <c r="F62" i="11" s="1"/>
  <c r="A66" i="6"/>
  <c r="A66" i="4"/>
  <c r="G66" i="9"/>
  <c r="C59" i="11"/>
  <c r="F59" i="11" s="1"/>
  <c r="C16" i="10"/>
  <c r="F16" i="10" s="1"/>
  <c r="C12" i="10"/>
  <c r="F12" i="10" s="1"/>
  <c r="A65" i="6"/>
  <c r="A65" i="4"/>
  <c r="G65" i="9"/>
  <c r="C67" i="11"/>
  <c r="F67" i="11" s="1"/>
  <c r="A64" i="6"/>
  <c r="A64" i="4"/>
  <c r="G64" i="9"/>
  <c r="C68" i="11"/>
  <c r="F68" i="11" s="1"/>
  <c r="A63" i="6"/>
  <c r="A63" i="4"/>
  <c r="G63" i="9"/>
  <c r="C280" i="11"/>
  <c r="F280" i="11" s="1"/>
  <c r="A62" i="6"/>
  <c r="A62" i="4"/>
  <c r="G62" i="9"/>
  <c r="A61" i="6"/>
  <c r="A61" i="4"/>
  <c r="G61" i="9"/>
  <c r="C74" i="11"/>
  <c r="F74" i="11" s="1"/>
  <c r="A60" i="6"/>
  <c r="A60" i="4"/>
  <c r="G60" i="9"/>
  <c r="C275" i="11"/>
  <c r="F275" i="11" s="1"/>
  <c r="C65" i="11"/>
  <c r="F65" i="11" s="1"/>
  <c r="A59" i="6"/>
  <c r="A59" i="4"/>
  <c r="G59" i="9"/>
  <c r="C144" i="11"/>
  <c r="F144" i="11" s="1"/>
  <c r="A58" i="6"/>
  <c r="A58" i="4"/>
  <c r="G58" i="9"/>
  <c r="C58" i="11"/>
  <c r="F58" i="11" s="1"/>
  <c r="A9" i="8"/>
  <c r="D9" i="8" s="1"/>
  <c r="A57" i="6"/>
  <c r="A57" i="4"/>
  <c r="G57" i="9"/>
  <c r="K57" i="9" s="1"/>
  <c r="A56" i="6"/>
  <c r="A56" i="4"/>
  <c r="G56" i="9"/>
  <c r="C201" i="11"/>
  <c r="F201" i="11" s="1"/>
  <c r="C193" i="11"/>
  <c r="F193" i="11" s="1"/>
  <c r="A55" i="6"/>
  <c r="A55" i="4"/>
  <c r="G55" i="9"/>
  <c r="C186" i="11"/>
  <c r="F186" i="11" s="1"/>
  <c r="C179" i="11"/>
  <c r="F179" i="11" s="1"/>
  <c r="A54" i="6"/>
  <c r="A54" i="4"/>
  <c r="G54" i="9"/>
  <c r="C140" i="11"/>
  <c r="F140" i="11" s="1"/>
  <c r="A53" i="6"/>
  <c r="A53" i="4"/>
  <c r="G53" i="9"/>
  <c r="C147" i="11"/>
  <c r="F147" i="11" s="1"/>
  <c r="A52" i="6"/>
  <c r="A52" i="4"/>
  <c r="G52" i="9"/>
  <c r="C150" i="11"/>
  <c r="F150" i="11" s="1"/>
  <c r="A51" i="6"/>
  <c r="A51" i="4"/>
  <c r="G51" i="9"/>
  <c r="C81" i="12"/>
  <c r="F81" i="12" s="1"/>
  <c r="A50" i="6"/>
  <c r="A50" i="4"/>
  <c r="G50" i="9"/>
  <c r="C159" i="12"/>
  <c r="F159" i="12" s="1"/>
  <c r="A49" i="6"/>
  <c r="A49" i="4"/>
  <c r="G49" i="9"/>
  <c r="C284" i="11"/>
  <c r="F284" i="11" s="1"/>
  <c r="C228" i="11"/>
  <c r="F228" i="11" s="1"/>
  <c r="C225" i="11"/>
  <c r="F225" i="11" s="1"/>
  <c r="C222" i="11"/>
  <c r="F222" i="11" s="1"/>
  <c r="C219" i="11"/>
  <c r="F219" i="11" s="1"/>
  <c r="A48" i="6"/>
  <c r="A48" i="4"/>
  <c r="G48" i="9"/>
  <c r="C77" i="11"/>
  <c r="F77" i="11" s="1"/>
  <c r="A47" i="6"/>
  <c r="A47" i="4"/>
  <c r="G47" i="9"/>
  <c r="C71" i="11"/>
  <c r="F71" i="11" s="1"/>
  <c r="A46" i="6"/>
  <c r="A46" i="4"/>
  <c r="G46" i="9"/>
  <c r="C41" i="13"/>
  <c r="F41" i="13" s="1"/>
  <c r="C277" i="11"/>
  <c r="F277" i="11" s="1"/>
  <c r="C70" i="11"/>
  <c r="F70" i="11" s="1"/>
  <c r="A45" i="6"/>
  <c r="A45" i="4"/>
  <c r="G45" i="9"/>
  <c r="C214" i="12"/>
  <c r="F214" i="12" s="1"/>
  <c r="C209" i="12"/>
  <c r="F209" i="12" s="1"/>
  <c r="C197" i="12"/>
  <c r="F197" i="12" s="1"/>
  <c r="C190" i="12"/>
  <c r="F190" i="12" s="1"/>
  <c r="C165" i="12"/>
  <c r="F165" i="12" s="1"/>
  <c r="C144" i="12"/>
  <c r="F144" i="12" s="1"/>
  <c r="C122" i="12"/>
  <c r="F122" i="12" s="1"/>
  <c r="C117" i="12"/>
  <c r="F117" i="12" s="1"/>
  <c r="C113" i="12"/>
  <c r="F113" i="12" s="1"/>
  <c r="C105" i="12"/>
  <c r="F105" i="12" s="1"/>
  <c r="C98" i="12"/>
  <c r="F98" i="12" s="1"/>
  <c r="C92" i="12"/>
  <c r="F92" i="12" s="1"/>
  <c r="C86" i="12"/>
  <c r="F86" i="12" s="1"/>
  <c r="C77" i="12"/>
  <c r="F77" i="12" s="1"/>
  <c r="C67" i="12"/>
  <c r="F67" i="12" s="1"/>
  <c r="C56" i="12"/>
  <c r="F56" i="12" s="1"/>
  <c r="C38" i="12"/>
  <c r="F38" i="12" s="1"/>
  <c r="C317" i="11"/>
  <c r="F317" i="11" s="1"/>
  <c r="C69" i="11"/>
  <c r="F69" i="11" s="1"/>
  <c r="A7" i="8"/>
  <c r="D7" i="8" s="1"/>
  <c r="A44" i="6"/>
  <c r="A44" i="4"/>
  <c r="G44" i="9"/>
  <c r="C289" i="11"/>
  <c r="F289" i="11" s="1"/>
  <c r="C269" i="11"/>
  <c r="F269" i="11" s="1"/>
  <c r="C258" i="11"/>
  <c r="F258" i="11" s="1"/>
  <c r="C253" i="11"/>
  <c r="F253" i="11" s="1"/>
  <c r="A43" i="6"/>
  <c r="A43" i="4"/>
  <c r="G43" i="9"/>
  <c r="C237" i="11"/>
  <c r="F237" i="11" s="1"/>
  <c r="C231" i="11"/>
  <c r="F231" i="11" s="1"/>
  <c r="C214" i="11"/>
  <c r="F214" i="11" s="1"/>
  <c r="C209" i="11"/>
  <c r="F209" i="11" s="1"/>
  <c r="A42" i="6"/>
  <c r="A42" i="4"/>
  <c r="G42" i="9"/>
  <c r="C44" i="11"/>
  <c r="F44" i="11" s="1"/>
  <c r="C43" i="11"/>
  <c r="F43" i="11" s="1"/>
  <c r="A8" i="8"/>
  <c r="D8" i="8" s="1"/>
  <c r="A41" i="6"/>
  <c r="A41" i="4"/>
  <c r="G41" i="9"/>
  <c r="C221" i="12"/>
  <c r="F221" i="12" s="1"/>
  <c r="C129" i="12"/>
  <c r="F129" i="12" s="1"/>
  <c r="C45" i="11"/>
  <c r="F45" i="11" s="1"/>
  <c r="A40" i="6"/>
  <c r="A40" i="4"/>
  <c r="G40" i="9"/>
  <c r="C46" i="13"/>
  <c r="F46" i="13" s="1"/>
  <c r="C218" i="12"/>
  <c r="F218" i="12" s="1"/>
  <c r="C210" i="12"/>
  <c r="F210" i="12" s="1"/>
  <c r="C203" i="12"/>
  <c r="F203" i="12" s="1"/>
  <c r="C191" i="12"/>
  <c r="F191" i="12" s="1"/>
  <c r="C161" i="12"/>
  <c r="F161" i="12" s="1"/>
  <c r="C126" i="12"/>
  <c r="F126" i="12" s="1"/>
  <c r="C118" i="12"/>
  <c r="F118" i="12" s="1"/>
  <c r="C9" i="12"/>
  <c r="F9" i="12" s="1"/>
  <c r="C3" i="12"/>
  <c r="F3" i="12" s="1"/>
  <c r="A39" i="6"/>
  <c r="A39" i="4"/>
  <c r="G39" i="9"/>
  <c r="A38" i="6"/>
  <c r="A38" i="4"/>
  <c r="G38" i="9"/>
  <c r="C158" i="11"/>
  <c r="F158" i="11" s="1"/>
  <c r="C46" i="11"/>
  <c r="F46" i="11" s="1"/>
  <c r="A37" i="6"/>
  <c r="A37" i="4"/>
  <c r="G37" i="9"/>
  <c r="C53" i="11"/>
  <c r="F53" i="11" s="1"/>
  <c r="A36" i="6"/>
  <c r="A36" i="4"/>
  <c r="G36" i="9"/>
  <c r="C147" i="12"/>
  <c r="F147" i="12" s="1"/>
  <c r="C109" i="12"/>
  <c r="F109" i="12" s="1"/>
  <c r="C27" i="12"/>
  <c r="F27" i="12" s="1"/>
  <c r="C336" i="11"/>
  <c r="F336" i="11" s="1"/>
  <c r="C332" i="11"/>
  <c r="F332" i="11" s="1"/>
  <c r="C322" i="11"/>
  <c r="F322" i="11" s="1"/>
  <c r="C175" i="11"/>
  <c r="F175" i="11" s="1"/>
  <c r="C171" i="11"/>
  <c r="F171" i="11" s="1"/>
  <c r="C167" i="11"/>
  <c r="F167" i="11" s="1"/>
  <c r="C163" i="11"/>
  <c r="F163" i="11" s="1"/>
  <c r="C156" i="11"/>
  <c r="F156" i="11" s="1"/>
  <c r="C83" i="11"/>
  <c r="F83" i="11" s="1"/>
  <c r="C55" i="11"/>
  <c r="F55" i="11" s="1"/>
  <c r="C54" i="11"/>
  <c r="F54" i="11" s="1"/>
  <c r="C48" i="11"/>
  <c r="F48" i="11" s="1"/>
  <c r="C31" i="11"/>
  <c r="F31" i="11" s="1"/>
  <c r="A35" i="6"/>
  <c r="A35" i="4"/>
  <c r="G35" i="9"/>
  <c r="C248" i="11"/>
  <c r="F248" i="11" s="1"/>
  <c r="C243" i="11"/>
  <c r="F243" i="11" s="1"/>
  <c r="A34" i="6"/>
  <c r="A34" i="4"/>
  <c r="G34" i="9"/>
  <c r="C80" i="12"/>
  <c r="F80" i="12" s="1"/>
  <c r="A33" i="6"/>
  <c r="A33" i="4"/>
  <c r="G33" i="9"/>
  <c r="C76" i="12"/>
  <c r="F76" i="12" s="1"/>
  <c r="C70" i="12"/>
  <c r="F70" i="12" s="1"/>
  <c r="C49" i="12"/>
  <c r="F49" i="12" s="1"/>
  <c r="A32" i="6"/>
  <c r="A32" i="4"/>
  <c r="G32" i="9"/>
  <c r="C66" i="12"/>
  <c r="F66" i="12" s="1"/>
  <c r="C60" i="12"/>
  <c r="F60" i="12" s="1"/>
  <c r="A31" i="6"/>
  <c r="A31" i="4"/>
  <c r="G31" i="9"/>
  <c r="K31" i="9" s="1"/>
  <c r="C43" i="12"/>
  <c r="F43" i="12" s="1"/>
  <c r="C321" i="11"/>
  <c r="F321" i="11" s="1"/>
  <c r="C316" i="11"/>
  <c r="F316" i="11" s="1"/>
  <c r="A30" i="6"/>
  <c r="A30" i="4"/>
  <c r="G30" i="9"/>
  <c r="C50" i="12"/>
  <c r="F50" i="12" s="1"/>
  <c r="C37" i="12"/>
  <c r="F37" i="12" s="1"/>
  <c r="C31" i="12"/>
  <c r="F31" i="12" s="1"/>
  <c r="A29" i="6"/>
  <c r="A29" i="4"/>
  <c r="G29" i="9"/>
  <c r="C51" i="12"/>
  <c r="F51" i="12" s="1"/>
  <c r="C26" i="12"/>
  <c r="F26" i="12" s="1"/>
  <c r="C18" i="12"/>
  <c r="F18" i="12" s="1"/>
  <c r="C13" i="12"/>
  <c r="F13" i="12" s="1"/>
  <c r="A28" i="6"/>
  <c r="A28" i="4"/>
  <c r="G28" i="9"/>
  <c r="C288" i="11"/>
  <c r="F288" i="11" s="1"/>
  <c r="C283" i="11"/>
  <c r="F283" i="11" s="1"/>
  <c r="A27" i="6"/>
  <c r="A27" i="4"/>
  <c r="G27" i="9"/>
  <c r="C14" i="11"/>
  <c r="F14" i="11" s="1"/>
  <c r="C2" i="11"/>
  <c r="F2" i="11" s="1"/>
  <c r="A4" i="8"/>
  <c r="D4" i="8" s="1"/>
  <c r="A26" i="6"/>
  <c r="A26" i="4"/>
  <c r="G26" i="9"/>
  <c r="C82" i="11"/>
  <c r="F82" i="11" s="1"/>
  <c r="A25" i="6"/>
  <c r="A25" i="4"/>
  <c r="G25" i="9"/>
  <c r="C204" i="12"/>
  <c r="F204" i="12" s="1"/>
  <c r="C198" i="12"/>
  <c r="F198" i="12" s="1"/>
  <c r="C192" i="12"/>
  <c r="F192" i="12" s="1"/>
  <c r="C42" i="11"/>
  <c r="F42" i="11" s="1"/>
  <c r="A24" i="6"/>
  <c r="A24" i="4"/>
  <c r="G24" i="9"/>
  <c r="C338" i="11"/>
  <c r="F338" i="11" s="1"/>
  <c r="A23" i="6"/>
  <c r="A23" i="4"/>
  <c r="G23" i="9"/>
  <c r="C335" i="11"/>
  <c r="F335" i="11" s="1"/>
  <c r="A22" i="6"/>
  <c r="A22" i="4"/>
  <c r="G22" i="9"/>
  <c r="C343" i="11"/>
  <c r="F343" i="11" s="1"/>
  <c r="C331" i="11"/>
  <c r="F331" i="11" s="1"/>
  <c r="C326" i="11"/>
  <c r="F326" i="11" s="1"/>
  <c r="A21" i="6"/>
  <c r="A21" i="4"/>
  <c r="G21" i="9"/>
  <c r="C76" i="13"/>
  <c r="F76" i="13" s="1"/>
  <c r="C74" i="13"/>
  <c r="F74" i="13" s="1"/>
  <c r="C72" i="13"/>
  <c r="F72" i="13" s="1"/>
  <c r="C69" i="13"/>
  <c r="F69" i="13" s="1"/>
  <c r="C66" i="13"/>
  <c r="F66" i="13" s="1"/>
  <c r="C60" i="13"/>
  <c r="F60" i="13" s="1"/>
  <c r="C55" i="13"/>
  <c r="F55" i="13" s="1"/>
  <c r="C52" i="13"/>
  <c r="F52" i="13" s="1"/>
  <c r="C50" i="13"/>
  <c r="F50" i="13" s="1"/>
  <c r="C45" i="13"/>
  <c r="F45" i="13" s="1"/>
  <c r="C40" i="13"/>
  <c r="F40" i="13" s="1"/>
  <c r="C35" i="13"/>
  <c r="F35" i="13" s="1"/>
  <c r="C32" i="13"/>
  <c r="F32" i="13" s="1"/>
  <c r="A20" i="6"/>
  <c r="A20" i="4"/>
  <c r="G20" i="9"/>
  <c r="C128" i="12"/>
  <c r="F128" i="12" s="1"/>
  <c r="C125" i="12"/>
  <c r="F125" i="12" s="1"/>
  <c r="C121" i="12"/>
  <c r="F121" i="12" s="1"/>
  <c r="C116" i="12"/>
  <c r="F116" i="12" s="1"/>
  <c r="A19" i="6"/>
  <c r="A19" i="4"/>
  <c r="G19" i="9"/>
  <c r="C8" i="12"/>
  <c r="F8" i="12" s="1"/>
  <c r="C2" i="12"/>
  <c r="F2" i="12" s="1"/>
  <c r="A18" i="6"/>
  <c r="A18" i="4"/>
  <c r="G18" i="9"/>
  <c r="C312" i="11"/>
  <c r="F312" i="11" s="1"/>
  <c r="A17" i="6"/>
  <c r="A17" i="4"/>
  <c r="G17" i="9"/>
  <c r="C23" i="13"/>
  <c r="F23" i="13" s="1"/>
  <c r="C21" i="13"/>
  <c r="F21" i="13" s="1"/>
  <c r="C19" i="13"/>
  <c r="F19" i="13" s="1"/>
  <c r="C16" i="13"/>
  <c r="F16" i="13" s="1"/>
  <c r="C13" i="13"/>
  <c r="F13" i="13" s="1"/>
  <c r="C7" i="13"/>
  <c r="F7" i="13" s="1"/>
  <c r="C2" i="13"/>
  <c r="F2" i="13" s="1"/>
  <c r="A16" i="6"/>
  <c r="A16" i="4"/>
  <c r="G16" i="9"/>
  <c r="C217" i="12"/>
  <c r="F217" i="12" s="1"/>
  <c r="C213" i="12"/>
  <c r="F213" i="12" s="1"/>
  <c r="C208" i="12"/>
  <c r="F208" i="12" s="1"/>
  <c r="C202" i="12"/>
  <c r="F202" i="12" s="1"/>
  <c r="C196" i="12"/>
  <c r="F196" i="12" s="1"/>
  <c r="C189" i="12"/>
  <c r="F189" i="12" s="1"/>
  <c r="A15" i="6"/>
  <c r="A15" i="4"/>
  <c r="G15" i="9"/>
  <c r="C112" i="12"/>
  <c r="F112" i="12" s="1"/>
  <c r="C108" i="12"/>
  <c r="F108" i="12" s="1"/>
  <c r="C104" i="12"/>
  <c r="F104" i="12" s="1"/>
  <c r="C97" i="12"/>
  <c r="F97" i="12" s="1"/>
  <c r="C91" i="12"/>
  <c r="F91" i="12" s="1"/>
  <c r="C85" i="12"/>
  <c r="F85" i="12" s="1"/>
  <c r="C29" i="10"/>
  <c r="F29" i="10" s="1"/>
  <c r="A14" i="6"/>
  <c r="A14" i="4"/>
  <c r="G14" i="9"/>
  <c r="C30" i="11"/>
  <c r="F30" i="11" s="1"/>
  <c r="A13" i="6"/>
  <c r="A13" i="4"/>
  <c r="G13" i="9"/>
  <c r="C185" i="12"/>
  <c r="F185" i="12" s="1"/>
  <c r="C175" i="12"/>
  <c r="F175" i="12" s="1"/>
  <c r="C169" i="12"/>
  <c r="F169" i="12" s="1"/>
  <c r="C164" i="12"/>
  <c r="F164" i="12" s="1"/>
  <c r="C160" i="12"/>
  <c r="F160" i="12" s="1"/>
  <c r="C156" i="12"/>
  <c r="F156" i="12" s="1"/>
  <c r="C150" i="12"/>
  <c r="F150" i="12" s="1"/>
  <c r="C140" i="12"/>
  <c r="F140" i="12" s="1"/>
  <c r="C132" i="12"/>
  <c r="F132" i="12" s="1"/>
  <c r="A12" i="6"/>
  <c r="A12" i="4"/>
  <c r="G12" i="9"/>
  <c r="C102" i="10"/>
  <c r="F102" i="10" s="1"/>
  <c r="C49" i="10"/>
  <c r="F49" i="10" s="1"/>
  <c r="A11" i="6"/>
  <c r="A11" i="4"/>
  <c r="G11" i="9"/>
  <c r="C117" i="10"/>
  <c r="F117" i="10" s="1"/>
  <c r="C48" i="10"/>
  <c r="F48" i="10" s="1"/>
  <c r="A10" i="6"/>
  <c r="A10" i="4"/>
  <c r="G10" i="9"/>
  <c r="C47" i="10"/>
  <c r="F47" i="10" s="1"/>
  <c r="A9" i="6"/>
  <c r="A9" i="4"/>
  <c r="G9" i="9"/>
  <c r="C115" i="10"/>
  <c r="F115" i="10" s="1"/>
  <c r="A8" i="6"/>
  <c r="A8" i="4"/>
  <c r="G8" i="9"/>
  <c r="C116" i="10"/>
  <c r="F116" i="10" s="1"/>
  <c r="C56" i="10"/>
  <c r="F56" i="10" s="1"/>
  <c r="A7" i="6"/>
  <c r="A7" i="4"/>
  <c r="G7" i="9"/>
  <c r="C57" i="10"/>
  <c r="F57" i="10" s="1"/>
  <c r="A6" i="6"/>
  <c r="A6" i="4"/>
  <c r="G6" i="9"/>
  <c r="C107" i="10"/>
  <c r="F107" i="10" s="1"/>
  <c r="C98" i="10"/>
  <c r="F98" i="10" s="1"/>
  <c r="C18" i="10"/>
  <c r="F18" i="10" s="1"/>
  <c r="C2" i="10"/>
  <c r="F2" i="10" s="1"/>
  <c r="D2" i="8"/>
  <c r="D9" i="7"/>
  <c r="A5" i="6"/>
  <c r="A5" i="4"/>
  <c r="G5" i="9"/>
  <c r="C342" i="11"/>
  <c r="F342" i="11" s="1"/>
  <c r="C23" i="10"/>
  <c r="F23" i="10" s="1"/>
  <c r="A4" i="6"/>
  <c r="A4" i="4"/>
  <c r="G4" i="9"/>
  <c r="A3" i="6"/>
  <c r="A3" i="4"/>
  <c r="G3" i="9"/>
  <c r="C118" i="10"/>
  <c r="F118" i="10" s="1"/>
  <c r="C43" i="10"/>
  <c r="F43" i="10" s="1"/>
  <c r="C38" i="10"/>
  <c r="F38" i="10" s="1"/>
  <c r="C14" i="10"/>
  <c r="F14" i="10" s="1"/>
  <c r="C7" i="10"/>
  <c r="F7" i="10" s="1"/>
  <c r="A3" i="8"/>
  <c r="D3" i="8" s="1"/>
  <c r="D3" i="7"/>
  <c r="D2" i="7"/>
  <c r="A2" i="6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A2" i="4"/>
  <c r="G2" i="9"/>
  <c r="E7" i="3"/>
  <c r="E24" i="3" l="1"/>
  <c r="B6" i="10"/>
  <c r="B5" i="10"/>
  <c r="B4" i="10"/>
  <c r="B3" i="10"/>
  <c r="B2" i="10"/>
  <c r="K2" i="9"/>
  <c r="D24" i="2"/>
  <c r="G24" i="2" s="1"/>
  <c r="C2" i="4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2" i="6"/>
  <c r="L2" i="6" s="1"/>
  <c r="H2" i="6" a="1"/>
  <c r="H2" i="6" s="1"/>
  <c r="G2" i="6"/>
  <c r="N2" i="6" s="1"/>
  <c r="F2" i="6"/>
  <c r="C2" i="6"/>
  <c r="B13" i="10"/>
  <c r="B12" i="10"/>
  <c r="B11" i="10"/>
  <c r="B10" i="10"/>
  <c r="B9" i="10"/>
  <c r="B8" i="10"/>
  <c r="B7" i="10"/>
  <c r="K3" i="9"/>
  <c r="D39" i="2"/>
  <c r="G39" i="2" s="1"/>
  <c r="D25" i="2"/>
  <c r="G25" i="2" s="1"/>
  <c r="C3" i="4"/>
  <c r="K3" i="6"/>
  <c r="H3" i="6" a="1"/>
  <c r="H3" i="6" s="1"/>
  <c r="G3" i="6"/>
  <c r="N3" i="6" s="1"/>
  <c r="F3" i="6"/>
  <c r="L3" i="6" s="1"/>
  <c r="C3" i="6"/>
  <c r="B17" i="10"/>
  <c r="B16" i="10"/>
  <c r="B15" i="10"/>
  <c r="B14" i="10"/>
  <c r="K4" i="9"/>
  <c r="C4" i="4"/>
  <c r="K4" i="6"/>
  <c r="H4" i="6" a="1"/>
  <c r="H4" i="6" s="1"/>
  <c r="G4" i="6"/>
  <c r="N4" i="6" s="1"/>
  <c r="F4" i="6"/>
  <c r="L4" i="6" s="1"/>
  <c r="C4" i="6"/>
  <c r="B22" i="10"/>
  <c r="B21" i="10"/>
  <c r="B20" i="10"/>
  <c r="B19" i="10"/>
  <c r="B18" i="10"/>
  <c r="K5" i="9"/>
  <c r="C5" i="4"/>
  <c r="K5" i="6"/>
  <c r="H5" i="6" a="1"/>
  <c r="H5" i="6" s="1"/>
  <c r="G5" i="6"/>
  <c r="N5" i="6" s="1"/>
  <c r="F5" i="6"/>
  <c r="L5" i="6" s="1"/>
  <c r="C5" i="6"/>
  <c r="B28" i="10"/>
  <c r="B27" i="10"/>
  <c r="B26" i="10"/>
  <c r="B25" i="10"/>
  <c r="B24" i="10"/>
  <c r="B23" i="10"/>
  <c r="K6" i="9"/>
  <c r="C6" i="4"/>
  <c r="K6" i="6"/>
  <c r="H6" i="6" a="1"/>
  <c r="H6" i="6" s="1"/>
  <c r="G6" i="6"/>
  <c r="N6" i="6" s="1"/>
  <c r="F6" i="6"/>
  <c r="L6" i="6" s="1"/>
  <c r="G57" i="15" s="1"/>
  <c r="C6" i="6"/>
  <c r="B33" i="10"/>
  <c r="B32" i="10"/>
  <c r="B31" i="10"/>
  <c r="B30" i="10"/>
  <c r="B29" i="10"/>
  <c r="K7" i="9"/>
  <c r="C7" i="4"/>
  <c r="K7" i="6"/>
  <c r="H7" i="6" a="1"/>
  <c r="H7" i="6" s="1"/>
  <c r="G7" i="6"/>
  <c r="N7" i="6" s="1"/>
  <c r="F7" i="6"/>
  <c r="L7" i="6" s="1"/>
  <c r="C7" i="6"/>
  <c r="B37" i="10"/>
  <c r="B36" i="10"/>
  <c r="B35" i="10"/>
  <c r="B34" i="10"/>
  <c r="K8" i="9"/>
  <c r="C8" i="4"/>
  <c r="K8" i="6"/>
  <c r="H8" i="6" a="1"/>
  <c r="H8" i="6" s="1"/>
  <c r="G8" i="6"/>
  <c r="N8" i="6" s="1"/>
  <c r="F8" i="6"/>
  <c r="L8" i="6" s="1"/>
  <c r="G115" i="15" s="1"/>
  <c r="C8" i="6"/>
  <c r="B42" i="10"/>
  <c r="B41" i="10"/>
  <c r="B40" i="10"/>
  <c r="B39" i="10"/>
  <c r="B38" i="10"/>
  <c r="K9" i="9"/>
  <c r="C9" i="4"/>
  <c r="K9" i="6"/>
  <c r="H9" i="6" a="1"/>
  <c r="H9" i="6" s="1"/>
  <c r="G9" i="6"/>
  <c r="N9" i="6" s="1"/>
  <c r="F9" i="6"/>
  <c r="L9" i="6" s="1"/>
  <c r="G47" i="15" s="1"/>
  <c r="C9" i="6"/>
  <c r="B46" i="10"/>
  <c r="B45" i="10"/>
  <c r="B44" i="10"/>
  <c r="B43" i="10"/>
  <c r="K10" i="9"/>
  <c r="D35" i="2"/>
  <c r="G35" i="2" s="1"/>
  <c r="C10" i="4"/>
  <c r="K10" i="6"/>
  <c r="H10" i="6" a="1"/>
  <c r="H10" i="6" s="1"/>
  <c r="G10" i="6"/>
  <c r="N10" i="6" s="1"/>
  <c r="F10" i="6"/>
  <c r="L10" i="6" s="1"/>
  <c r="C10" i="6"/>
  <c r="B55" i="10"/>
  <c r="B54" i="10"/>
  <c r="B53" i="10"/>
  <c r="B52" i="10"/>
  <c r="B51" i="10"/>
  <c r="B50" i="10"/>
  <c r="B49" i="10"/>
  <c r="B48" i="10"/>
  <c r="B47" i="10"/>
  <c r="K11" i="9"/>
  <c r="D10" i="2"/>
  <c r="G10" i="2" s="1"/>
  <c r="C11" i="4"/>
  <c r="K11" i="6"/>
  <c r="H11" i="6" a="1"/>
  <c r="H11" i="6" s="1"/>
  <c r="G11" i="6"/>
  <c r="N11" i="6" s="1"/>
  <c r="F11" i="6"/>
  <c r="L11" i="6" s="1"/>
  <c r="C11" i="6"/>
  <c r="B60" i="10"/>
  <c r="B59" i="10"/>
  <c r="B58" i="10"/>
  <c r="B57" i="10"/>
  <c r="B56" i="10"/>
  <c r="K12" i="9"/>
  <c r="C12" i="4"/>
  <c r="K12" i="6"/>
  <c r="H12" i="6" a="1"/>
  <c r="H12" i="6" s="1"/>
  <c r="G12" i="6"/>
  <c r="N12" i="6" s="1"/>
  <c r="F12" i="6"/>
  <c r="L12" i="6" s="1"/>
  <c r="C12" i="6"/>
  <c r="B65" i="10"/>
  <c r="B64" i="10"/>
  <c r="B63" i="10"/>
  <c r="B62" i="10"/>
  <c r="B61" i="10"/>
  <c r="K13" i="9"/>
  <c r="C13" i="4"/>
  <c r="K13" i="6"/>
  <c r="H13" i="6" a="1"/>
  <c r="H13" i="6" s="1"/>
  <c r="G13" i="6"/>
  <c r="N13" i="6" s="1"/>
  <c r="F13" i="6"/>
  <c r="L13" i="6" s="1"/>
  <c r="G148" i="15" s="1"/>
  <c r="C13" i="6"/>
  <c r="B70" i="10"/>
  <c r="B69" i="10"/>
  <c r="B68" i="10"/>
  <c r="B67" i="10"/>
  <c r="B66" i="10"/>
  <c r="K14" i="9"/>
  <c r="C14" i="4"/>
  <c r="K14" i="6"/>
  <c r="H14" i="6" a="1"/>
  <c r="H14" i="6" s="1"/>
  <c r="G14" i="6"/>
  <c r="N14" i="6" s="1"/>
  <c r="F14" i="6"/>
  <c r="L14" i="6" s="1"/>
  <c r="C14" i="6"/>
  <c r="B78" i="10"/>
  <c r="B77" i="10"/>
  <c r="B76" i="10"/>
  <c r="B75" i="10"/>
  <c r="B74" i="10"/>
  <c r="B73" i="10"/>
  <c r="B72" i="10"/>
  <c r="B71" i="10"/>
  <c r="K15" i="9"/>
  <c r="C15" i="4"/>
  <c r="K15" i="6"/>
  <c r="H15" i="6" a="1"/>
  <c r="H15" i="6" s="1"/>
  <c r="G15" i="6"/>
  <c r="N15" i="6" s="1"/>
  <c r="F15" i="6"/>
  <c r="L15" i="6" s="1"/>
  <c r="C15" i="6"/>
  <c r="B85" i="10"/>
  <c r="B84" i="10"/>
  <c r="B83" i="10"/>
  <c r="B82" i="10"/>
  <c r="B81" i="10"/>
  <c r="B80" i="10"/>
  <c r="B79" i="10"/>
  <c r="K16" i="9"/>
  <c r="C16" i="4"/>
  <c r="K16" i="6"/>
  <c r="H16" i="6" a="1"/>
  <c r="H16" i="6" s="1"/>
  <c r="G16" i="6"/>
  <c r="N16" i="6" s="1"/>
  <c r="F16" i="6"/>
  <c r="L16" i="6" s="1"/>
  <c r="C16" i="6"/>
  <c r="B90" i="10"/>
  <c r="B89" i="10"/>
  <c r="B88" i="10"/>
  <c r="B87" i="10"/>
  <c r="B86" i="10"/>
  <c r="K17" i="9"/>
  <c r="D36" i="2"/>
  <c r="G36" i="2" s="1"/>
  <c r="C17" i="4"/>
  <c r="K17" i="6"/>
  <c r="H17" i="6" a="1"/>
  <c r="H17" i="6" s="1"/>
  <c r="G17" i="6"/>
  <c r="N17" i="6" s="1"/>
  <c r="F17" i="6"/>
  <c r="L17" i="6" s="1"/>
  <c r="G430" i="15" s="1"/>
  <c r="C17" i="6"/>
  <c r="B94" i="10"/>
  <c r="B93" i="10"/>
  <c r="B92" i="10"/>
  <c r="B91" i="10"/>
  <c r="K18" i="9"/>
  <c r="C18" i="4"/>
  <c r="K18" i="6"/>
  <c r="H18" i="6" a="1"/>
  <c r="H18" i="6" s="1"/>
  <c r="G18" i="6"/>
  <c r="N18" i="6" s="1"/>
  <c r="F18" i="6"/>
  <c r="L18" i="6" s="1"/>
  <c r="C18" i="6"/>
  <c r="B97" i="10"/>
  <c r="B96" i="10"/>
  <c r="B95" i="10"/>
  <c r="K19" i="9"/>
  <c r="C19" i="4"/>
  <c r="K19" i="6"/>
  <c r="H19" i="6" a="1"/>
  <c r="H19" i="6" s="1"/>
  <c r="G19" i="6"/>
  <c r="N19" i="6" s="1"/>
  <c r="F19" i="6"/>
  <c r="L19" i="6" s="1"/>
  <c r="C19" i="6"/>
  <c r="B101" i="10"/>
  <c r="B100" i="10"/>
  <c r="B99" i="10"/>
  <c r="B98" i="10"/>
  <c r="K20" i="9"/>
  <c r="C20" i="4"/>
  <c r="K20" i="6"/>
  <c r="H20" i="6" a="1"/>
  <c r="H20" i="6" s="1"/>
  <c r="G20" i="6"/>
  <c r="N20" i="6" s="1"/>
  <c r="F20" i="6"/>
  <c r="L20" i="6" s="1"/>
  <c r="C20" i="6"/>
  <c r="B106" i="10"/>
  <c r="B105" i="10"/>
  <c r="B104" i="10"/>
  <c r="B103" i="10"/>
  <c r="B102" i="10"/>
  <c r="K21" i="9"/>
  <c r="C21" i="4"/>
  <c r="K21" i="6"/>
  <c r="H21" i="6" a="1"/>
  <c r="H21" i="6" s="1"/>
  <c r="G21" i="6"/>
  <c r="N21" i="6" s="1"/>
  <c r="F21" i="6"/>
  <c r="L21" i="6" s="1"/>
  <c r="C21" i="6"/>
  <c r="B110" i="10"/>
  <c r="B109" i="10"/>
  <c r="B108" i="10"/>
  <c r="B107" i="10"/>
  <c r="K22" i="9"/>
  <c r="C22" i="4"/>
  <c r="K22" i="6"/>
  <c r="H22" i="6" a="1"/>
  <c r="H22" i="6" s="1"/>
  <c r="G22" i="6"/>
  <c r="N22" i="6" s="1"/>
  <c r="F22" i="6"/>
  <c r="L22" i="6" s="1"/>
  <c r="G453" i="15" s="1"/>
  <c r="C22" i="6"/>
  <c r="B111" i="10"/>
  <c r="K23" i="9"/>
  <c r="C23" i="4"/>
  <c r="K23" i="6"/>
  <c r="H23" i="6" a="1"/>
  <c r="H23" i="6" s="1"/>
  <c r="G23" i="6"/>
  <c r="N23" i="6" s="1"/>
  <c r="F23" i="6"/>
  <c r="L23" i="6" s="1"/>
  <c r="G456" i="15" s="1"/>
  <c r="C23" i="6"/>
  <c r="B112" i="10"/>
  <c r="K24" i="9"/>
  <c r="C24" i="4"/>
  <c r="K24" i="6"/>
  <c r="H24" i="6" a="1"/>
  <c r="H24" i="6" s="1"/>
  <c r="G24" i="6"/>
  <c r="N24" i="6" s="1"/>
  <c r="F24" i="6"/>
  <c r="L24" i="6" s="1"/>
  <c r="C24" i="6"/>
  <c r="B113" i="10"/>
  <c r="K25" i="9"/>
  <c r="C25" i="4"/>
  <c r="K25" i="6"/>
  <c r="H25" i="6" a="1"/>
  <c r="H25" i="6" s="1"/>
  <c r="G25" i="6"/>
  <c r="N25" i="6" s="1"/>
  <c r="F25" i="6"/>
  <c r="L25" i="6" s="1"/>
  <c r="G200" i="15" s="1"/>
  <c r="C25" i="6"/>
  <c r="B114" i="10"/>
  <c r="K26" i="9"/>
  <c r="C26" i="4"/>
  <c r="K26" i="6"/>
  <c r="H26" i="6" a="1"/>
  <c r="H26" i="6" s="1"/>
  <c r="G26" i="6"/>
  <c r="N26" i="6" s="1"/>
  <c r="F26" i="6"/>
  <c r="L26" i="6" s="1"/>
  <c r="C26" i="6"/>
  <c r="B115" i="10"/>
  <c r="K27" i="9"/>
  <c r="D37" i="2"/>
  <c r="G37" i="2" s="1"/>
  <c r="C27" i="4"/>
  <c r="K27" i="6"/>
  <c r="H27" i="6" a="1"/>
  <c r="H27" i="6" s="1"/>
  <c r="G27" i="6"/>
  <c r="N27" i="6" s="1"/>
  <c r="F27" i="6"/>
  <c r="L27" i="6" s="1"/>
  <c r="C27" i="6"/>
  <c r="B116" i="10"/>
  <c r="K28" i="9"/>
  <c r="C28" i="4"/>
  <c r="K28" i="6"/>
  <c r="H28" i="6" a="1"/>
  <c r="H28" i="6" s="1"/>
  <c r="G28" i="6"/>
  <c r="N28" i="6" s="1"/>
  <c r="F28" i="6"/>
  <c r="L28" i="6" s="1"/>
  <c r="C28" i="6"/>
  <c r="B117" i="10"/>
  <c r="K29" i="9"/>
  <c r="C29" i="4"/>
  <c r="K29" i="6"/>
  <c r="H29" i="6" a="1"/>
  <c r="H29" i="6" s="1"/>
  <c r="G29" i="6"/>
  <c r="N29" i="6" s="1"/>
  <c r="F29" i="6"/>
  <c r="L29" i="6" s="1"/>
  <c r="C29" i="6"/>
  <c r="B118" i="10"/>
  <c r="K30" i="9"/>
  <c r="C30" i="4"/>
  <c r="K30" i="6"/>
  <c r="H30" i="6" a="1"/>
  <c r="H30" i="6" s="1"/>
  <c r="G30" i="6"/>
  <c r="N30" i="6" s="1"/>
  <c r="F30" i="6"/>
  <c r="L30" i="6" s="1"/>
  <c r="C30" i="6"/>
  <c r="C31" i="4"/>
  <c r="K31" i="6"/>
  <c r="H31" i="6" a="1"/>
  <c r="H31" i="6" s="1"/>
  <c r="G31" i="6"/>
  <c r="N31" i="6" s="1"/>
  <c r="F31" i="6"/>
  <c r="L31" i="6" s="1"/>
  <c r="C31" i="6"/>
  <c r="B119" i="10"/>
  <c r="K32" i="9"/>
  <c r="D38" i="2"/>
  <c r="G38" i="2" s="1"/>
  <c r="C32" i="4"/>
  <c r="K32" i="6"/>
  <c r="H32" i="6" a="1"/>
  <c r="H32" i="6" s="1"/>
  <c r="G32" i="6"/>
  <c r="N32" i="6" s="1"/>
  <c r="F32" i="6"/>
  <c r="L32" i="6" s="1"/>
  <c r="C32" i="6"/>
  <c r="B12" i="11"/>
  <c r="B11" i="11"/>
  <c r="B10" i="11"/>
  <c r="B9" i="11"/>
  <c r="B8" i="11"/>
  <c r="B7" i="11"/>
  <c r="B6" i="11"/>
  <c r="B5" i="11"/>
  <c r="B4" i="11"/>
  <c r="B3" i="11"/>
  <c r="B2" i="11"/>
  <c r="K33" i="9"/>
  <c r="C33" i="4"/>
  <c r="K33" i="6"/>
  <c r="H33" i="6" a="1"/>
  <c r="H33" i="6" s="1"/>
  <c r="G33" i="6"/>
  <c r="N33" i="6" s="1"/>
  <c r="F33" i="6"/>
  <c r="L33" i="6" s="1"/>
  <c r="G542" i="15" s="1"/>
  <c r="C33" i="6"/>
  <c r="B18" i="11"/>
  <c r="B17" i="11"/>
  <c r="B16" i="11"/>
  <c r="B15" i="11"/>
  <c r="B14" i="11"/>
  <c r="B13" i="11"/>
  <c r="K34" i="9"/>
  <c r="C34" i="4"/>
  <c r="K34" i="6"/>
  <c r="H34" i="6" a="1"/>
  <c r="H34" i="6" s="1"/>
  <c r="G34" i="6"/>
  <c r="N34" i="6" s="1"/>
  <c r="F34" i="6"/>
  <c r="L34" i="6" s="1"/>
  <c r="C34" i="6"/>
  <c r="B21" i="11"/>
  <c r="B20" i="11"/>
  <c r="B19" i="11"/>
  <c r="K35" i="9"/>
  <c r="C35" i="4"/>
  <c r="K35" i="6"/>
  <c r="H35" i="6" a="1"/>
  <c r="H35" i="6" s="1"/>
  <c r="G35" i="6"/>
  <c r="N35" i="6" s="1"/>
  <c r="F35" i="6"/>
  <c r="L35" i="6" s="1"/>
  <c r="C35" i="6"/>
  <c r="B27" i="11"/>
  <c r="B26" i="11"/>
  <c r="B25" i="11"/>
  <c r="B24" i="11"/>
  <c r="B23" i="11"/>
  <c r="B22" i="11"/>
  <c r="K36" i="9"/>
  <c r="C36" i="4"/>
  <c r="K36" i="6"/>
  <c r="H36" i="6" a="1"/>
  <c r="H36" i="6" s="1"/>
  <c r="G36" i="6"/>
  <c r="N36" i="6" s="1"/>
  <c r="F36" i="6"/>
  <c r="L36" i="6" s="1"/>
  <c r="G171" i="15" s="1"/>
  <c r="C36" i="6"/>
  <c r="B33" i="11"/>
  <c r="B32" i="11"/>
  <c r="B31" i="11"/>
  <c r="B30" i="11"/>
  <c r="B29" i="11"/>
  <c r="B28" i="11"/>
  <c r="K37" i="9"/>
  <c r="C37" i="4"/>
  <c r="K37" i="6"/>
  <c r="H37" i="6" a="1"/>
  <c r="H37" i="6" s="1"/>
  <c r="G37" i="6"/>
  <c r="N37" i="6" s="1"/>
  <c r="F37" i="6"/>
  <c r="L37" i="6" s="1"/>
  <c r="C37" i="6"/>
  <c r="B42" i="11"/>
  <c r="B41" i="11"/>
  <c r="B40" i="11"/>
  <c r="B39" i="11"/>
  <c r="B38" i="11"/>
  <c r="B37" i="11"/>
  <c r="B36" i="11"/>
  <c r="B35" i="11"/>
  <c r="B34" i="11"/>
  <c r="K38" i="9"/>
  <c r="C38" i="4"/>
  <c r="K38" i="6"/>
  <c r="H38" i="6" a="1"/>
  <c r="H38" i="6" s="1"/>
  <c r="G38" i="6"/>
  <c r="N38" i="6" s="1"/>
  <c r="F38" i="6"/>
  <c r="L38" i="6" s="1"/>
  <c r="C38" i="6"/>
  <c r="B296" i="11"/>
  <c r="B295" i="11"/>
  <c r="B294" i="11"/>
  <c r="B293" i="11"/>
  <c r="B292" i="11"/>
  <c r="K39" i="9"/>
  <c r="C39" i="4"/>
  <c r="K39" i="6"/>
  <c r="H39" i="6" a="1"/>
  <c r="H39" i="6" s="1"/>
  <c r="G39" i="6"/>
  <c r="N39" i="6" s="1"/>
  <c r="F39" i="6"/>
  <c r="L39" i="6" s="1"/>
  <c r="C39" i="6"/>
  <c r="B299" i="11"/>
  <c r="B298" i="11"/>
  <c r="B297" i="11"/>
  <c r="K40" i="9"/>
  <c r="C40" i="4"/>
  <c r="K40" i="6"/>
  <c r="H40" i="6" a="1"/>
  <c r="H40" i="6" s="1"/>
  <c r="G40" i="6"/>
  <c r="N40" i="6" s="1"/>
  <c r="F40" i="6"/>
  <c r="L40" i="6" s="1"/>
  <c r="C40" i="6"/>
  <c r="B304" i="11"/>
  <c r="B303" i="11"/>
  <c r="B302" i="11"/>
  <c r="B301" i="11"/>
  <c r="B300" i="11"/>
  <c r="K41" i="9"/>
  <c r="C41" i="4"/>
  <c r="K41" i="6"/>
  <c r="H41" i="6" a="1"/>
  <c r="H41" i="6" s="1"/>
  <c r="G41" i="6"/>
  <c r="N41" i="6" s="1"/>
  <c r="F41" i="6"/>
  <c r="L41" i="6" s="1"/>
  <c r="C41" i="6"/>
  <c r="B308" i="11"/>
  <c r="B307" i="11"/>
  <c r="B306" i="11"/>
  <c r="B305" i="11"/>
  <c r="K42" i="9"/>
  <c r="C42" i="4"/>
  <c r="K42" i="6"/>
  <c r="H42" i="6" a="1"/>
  <c r="H42" i="6" s="1"/>
  <c r="G42" i="6"/>
  <c r="N42" i="6" s="1"/>
  <c r="F42" i="6"/>
  <c r="L42" i="6" s="1"/>
  <c r="C42" i="6"/>
  <c r="B320" i="11"/>
  <c r="B319" i="11"/>
  <c r="B318" i="11"/>
  <c r="B317" i="11"/>
  <c r="B316" i="11"/>
  <c r="K43" i="9"/>
  <c r="C43" i="4"/>
  <c r="K43" i="6"/>
  <c r="H43" i="6" a="1"/>
  <c r="H43" i="6" s="1"/>
  <c r="G43" i="6"/>
  <c r="N43" i="6" s="1"/>
  <c r="F43" i="6"/>
  <c r="L43" i="6" s="1"/>
  <c r="C43" i="6"/>
  <c r="B325" i="11"/>
  <c r="B324" i="11"/>
  <c r="B323" i="11"/>
  <c r="B322" i="11"/>
  <c r="B321" i="11"/>
  <c r="K44" i="9"/>
  <c r="C44" i="4"/>
  <c r="K44" i="6"/>
  <c r="H44" i="6" a="1"/>
  <c r="H44" i="6" s="1"/>
  <c r="G44" i="6"/>
  <c r="N44" i="6" s="1"/>
  <c r="F44" i="6"/>
  <c r="L44" i="6" s="1"/>
  <c r="C44" i="6"/>
  <c r="B334" i="11"/>
  <c r="B333" i="11"/>
  <c r="B332" i="11"/>
  <c r="B331" i="11"/>
  <c r="K45" i="9"/>
  <c r="C45" i="4"/>
  <c r="K45" i="6"/>
  <c r="H45" i="6" a="1"/>
  <c r="H45" i="6" s="1"/>
  <c r="G45" i="6"/>
  <c r="N45" i="6" s="1"/>
  <c r="F45" i="6"/>
  <c r="L45" i="6" s="1"/>
  <c r="C45" i="6"/>
  <c r="B345" i="11"/>
  <c r="B344" i="11"/>
  <c r="B343" i="11"/>
  <c r="K46" i="9"/>
  <c r="C46" i="4"/>
  <c r="K46" i="6"/>
  <c r="H46" i="6" a="1"/>
  <c r="H46" i="6" s="1"/>
  <c r="G46" i="6"/>
  <c r="N46" i="6" s="1"/>
  <c r="F46" i="6"/>
  <c r="L46" i="6" s="1"/>
  <c r="G189" i="15" s="1"/>
  <c r="C46" i="6"/>
  <c r="B339" i="11"/>
  <c r="B338" i="11"/>
  <c r="B337" i="11"/>
  <c r="B336" i="11"/>
  <c r="B335" i="11"/>
  <c r="K47" i="9"/>
  <c r="C47" i="4"/>
  <c r="K47" i="6"/>
  <c r="H47" i="6" a="1"/>
  <c r="H47" i="6" s="1"/>
  <c r="G47" i="6"/>
  <c r="N47" i="6" s="1"/>
  <c r="F47" i="6"/>
  <c r="L47" i="6" s="1"/>
  <c r="G195" i="15" s="1"/>
  <c r="C47" i="6"/>
  <c r="B342" i="11"/>
  <c r="B341" i="11"/>
  <c r="B340" i="11"/>
  <c r="K48" i="9"/>
  <c r="C48" i="4"/>
  <c r="K48" i="6"/>
  <c r="H48" i="6" a="1"/>
  <c r="H48" i="6" s="1"/>
  <c r="G48" i="6"/>
  <c r="N48" i="6" s="1"/>
  <c r="F48" i="6"/>
  <c r="L48" i="6" s="1"/>
  <c r="C48" i="6"/>
  <c r="B43" i="11"/>
  <c r="K49" i="9"/>
  <c r="D27" i="2"/>
  <c r="G27" i="2" s="1"/>
  <c r="C49" i="4"/>
  <c r="K49" i="6"/>
  <c r="H49" i="6" a="1"/>
  <c r="H49" i="6" s="1"/>
  <c r="G49" i="6"/>
  <c r="N49" i="6" s="1"/>
  <c r="F49" i="6"/>
  <c r="L49" i="6" s="1"/>
  <c r="G621" i="15" s="1"/>
  <c r="C49" i="6"/>
  <c r="B44" i="11"/>
  <c r="K50" i="9"/>
  <c r="C50" i="4"/>
  <c r="K50" i="6"/>
  <c r="H50" i="6" a="1"/>
  <c r="H50" i="6" s="1"/>
  <c r="G50" i="6"/>
  <c r="N50" i="6" s="1"/>
  <c r="F50" i="6"/>
  <c r="L50" i="6" s="1"/>
  <c r="G543" i="15" s="1"/>
  <c r="C50" i="6"/>
  <c r="B45" i="11"/>
  <c r="K51" i="9"/>
  <c r="C51" i="4"/>
  <c r="K51" i="6"/>
  <c r="H51" i="6" a="1"/>
  <c r="H51" i="6" s="1"/>
  <c r="G51" i="6"/>
  <c r="N51" i="6" s="1"/>
  <c r="F51" i="6"/>
  <c r="L51" i="6" s="1"/>
  <c r="G268" i="15" s="1"/>
  <c r="C51" i="6"/>
  <c r="B47" i="11"/>
  <c r="B46" i="11"/>
  <c r="K52" i="9"/>
  <c r="C52" i="4"/>
  <c r="K52" i="6"/>
  <c r="H52" i="6" a="1"/>
  <c r="H52" i="6" s="1"/>
  <c r="G52" i="6"/>
  <c r="N52" i="6" s="1"/>
  <c r="F52" i="6"/>
  <c r="L52" i="6" s="1"/>
  <c r="G265" i="15" s="1"/>
  <c r="C52" i="6"/>
  <c r="B52" i="11"/>
  <c r="B51" i="11"/>
  <c r="B50" i="11"/>
  <c r="B49" i="11"/>
  <c r="B48" i="11"/>
  <c r="K53" i="9"/>
  <c r="C53" i="4"/>
  <c r="K53" i="6"/>
  <c r="H53" i="6" a="1"/>
  <c r="H53" i="6" s="1"/>
  <c r="G53" i="6"/>
  <c r="N53" i="6" s="1"/>
  <c r="F53" i="6"/>
  <c r="L53" i="6" s="1"/>
  <c r="G258" i="15" s="1"/>
  <c r="C53" i="6"/>
  <c r="B53" i="11"/>
  <c r="K54" i="9"/>
  <c r="C54" i="4"/>
  <c r="K54" i="6"/>
  <c r="H54" i="6" a="1"/>
  <c r="H54" i="6" s="1"/>
  <c r="G54" i="6"/>
  <c r="N54" i="6" s="1"/>
  <c r="F54" i="6"/>
  <c r="L54" i="6" s="1"/>
  <c r="C54" i="6"/>
  <c r="B54" i="11"/>
  <c r="K55" i="9"/>
  <c r="C55" i="4"/>
  <c r="K55" i="6"/>
  <c r="H55" i="6" a="1"/>
  <c r="H55" i="6" s="1"/>
  <c r="G55" i="6"/>
  <c r="N55" i="6" s="1"/>
  <c r="F55" i="6"/>
  <c r="L55" i="6" s="1"/>
  <c r="C55" i="6"/>
  <c r="B57" i="11"/>
  <c r="B56" i="11"/>
  <c r="B55" i="11"/>
  <c r="K56" i="9"/>
  <c r="C56" i="4"/>
  <c r="K56" i="6"/>
  <c r="H56" i="6" a="1"/>
  <c r="H56" i="6" s="1"/>
  <c r="G56" i="6"/>
  <c r="N56" i="6" s="1"/>
  <c r="F56" i="6"/>
  <c r="L56" i="6" s="1"/>
  <c r="C56" i="6"/>
  <c r="C57" i="4"/>
  <c r="K57" i="6"/>
  <c r="H57" i="6" a="1"/>
  <c r="H57" i="6" s="1"/>
  <c r="G57" i="6"/>
  <c r="N57" i="6" s="1"/>
  <c r="F57" i="6"/>
  <c r="L57" i="6" s="1"/>
  <c r="G176" i="15" s="1"/>
  <c r="C57" i="6"/>
  <c r="B162" i="11"/>
  <c r="B161" i="11"/>
  <c r="B160" i="11"/>
  <c r="B159" i="11"/>
  <c r="B158" i="11"/>
  <c r="B157" i="11"/>
  <c r="B156" i="11"/>
  <c r="K58" i="9"/>
  <c r="C58" i="4"/>
  <c r="K58" i="6"/>
  <c r="H58" i="6" a="1"/>
  <c r="H58" i="6" s="1"/>
  <c r="G58" i="6"/>
  <c r="N58" i="6" s="1"/>
  <c r="F58" i="6"/>
  <c r="L58" i="6" s="1"/>
  <c r="G262" i="15" s="1"/>
  <c r="C58" i="6"/>
  <c r="B166" i="11"/>
  <c r="B165" i="11"/>
  <c r="B164" i="11"/>
  <c r="B163" i="11"/>
  <c r="K59" i="9"/>
  <c r="C59" i="4"/>
  <c r="K59" i="6"/>
  <c r="H59" i="6" a="1"/>
  <c r="H59" i="6" s="1"/>
  <c r="G59" i="6"/>
  <c r="N59" i="6" s="1"/>
  <c r="F59" i="6"/>
  <c r="L59" i="6" s="1"/>
  <c r="C59" i="6"/>
  <c r="B170" i="11"/>
  <c r="B169" i="11"/>
  <c r="B168" i="11"/>
  <c r="B167" i="11"/>
  <c r="K60" i="9"/>
  <c r="C60" i="4"/>
  <c r="K60" i="6"/>
  <c r="H60" i="6" a="1"/>
  <c r="H60" i="6" s="1"/>
  <c r="G60" i="6"/>
  <c r="N60" i="6" s="1"/>
  <c r="F60" i="6"/>
  <c r="L60" i="6" s="1"/>
  <c r="G192" i="15" s="1"/>
  <c r="C60" i="6"/>
  <c r="B174" i="11"/>
  <c r="B173" i="11"/>
  <c r="B172" i="11"/>
  <c r="B171" i="11"/>
  <c r="K61" i="9"/>
  <c r="C61" i="4"/>
  <c r="K61" i="6"/>
  <c r="H61" i="6" a="1"/>
  <c r="H61" i="6" s="1"/>
  <c r="G61" i="6"/>
  <c r="N61" i="6" s="1"/>
  <c r="F61" i="6"/>
  <c r="L61" i="6" s="1"/>
  <c r="C61" i="6"/>
  <c r="B178" i="11"/>
  <c r="B177" i="11"/>
  <c r="B176" i="11"/>
  <c r="B175" i="11"/>
  <c r="K62" i="9"/>
  <c r="C62" i="4"/>
  <c r="K62" i="6"/>
  <c r="H62" i="6" a="1"/>
  <c r="H62" i="6" s="1"/>
  <c r="G62" i="6"/>
  <c r="N62" i="6" s="1"/>
  <c r="F62" i="6"/>
  <c r="L62" i="6" s="1"/>
  <c r="G398" i="15" s="1"/>
  <c r="C62" i="6"/>
  <c r="B58" i="11"/>
  <c r="K63" i="9"/>
  <c r="D40" i="2"/>
  <c r="G40" i="2" s="1"/>
  <c r="C63" i="4"/>
  <c r="K63" i="6"/>
  <c r="H63" i="6" a="1"/>
  <c r="H63" i="6" s="1"/>
  <c r="G63" i="6"/>
  <c r="N63" i="6" s="1"/>
  <c r="F63" i="6"/>
  <c r="L63" i="6" s="1"/>
  <c r="G186" i="15" s="1"/>
  <c r="C63" i="6"/>
  <c r="B60" i="11"/>
  <c r="K64" i="9"/>
  <c r="C64" i="4"/>
  <c r="K64" i="6"/>
  <c r="H64" i="6" a="1"/>
  <c r="H64" i="6" s="1"/>
  <c r="G64" i="6"/>
  <c r="N64" i="6" s="1"/>
  <c r="F64" i="6"/>
  <c r="L64" i="6" s="1"/>
  <c r="G185" i="15" s="1"/>
  <c r="C64" i="6"/>
  <c r="B59" i="11"/>
  <c r="K65" i="9"/>
  <c r="C65" i="4"/>
  <c r="K65" i="6"/>
  <c r="H65" i="6" a="1"/>
  <c r="H65" i="6" s="1"/>
  <c r="G65" i="6"/>
  <c r="N65" i="6" s="1"/>
  <c r="F65" i="6"/>
  <c r="L65" i="6" s="1"/>
  <c r="C65" i="6"/>
  <c r="B61" i="11"/>
  <c r="K66" i="9"/>
  <c r="C66" i="4"/>
  <c r="K66" i="6"/>
  <c r="H66" i="6" a="1"/>
  <c r="H66" i="6" s="1"/>
  <c r="G66" i="6"/>
  <c r="N66" i="6" s="1"/>
  <c r="F66" i="6"/>
  <c r="L66" i="6" s="1"/>
  <c r="G180" i="15" s="1"/>
  <c r="C66" i="6"/>
  <c r="B62" i="11"/>
  <c r="K67" i="9"/>
  <c r="C67" i="4"/>
  <c r="K67" i="6"/>
  <c r="H67" i="6" a="1"/>
  <c r="H67" i="6" s="1"/>
  <c r="G67" i="6"/>
  <c r="N67" i="6" s="1"/>
  <c r="F67" i="6"/>
  <c r="L67" i="6" s="1"/>
  <c r="G254" i="15" s="1"/>
  <c r="C67" i="6"/>
  <c r="B63" i="11"/>
  <c r="K68" i="9"/>
  <c r="C68" i="4"/>
  <c r="K68" i="6"/>
  <c r="H68" i="6" a="1"/>
  <c r="H68" i="6" s="1"/>
  <c r="G68" i="6"/>
  <c r="N68" i="6" s="1"/>
  <c r="F68" i="6"/>
  <c r="L68" i="6" s="1"/>
  <c r="G381" i="15" s="1"/>
  <c r="C68" i="6"/>
  <c r="B64" i="11"/>
  <c r="K69" i="9"/>
  <c r="C69" i="4"/>
  <c r="K69" i="6"/>
  <c r="H69" i="6" a="1"/>
  <c r="H69" i="6" s="1"/>
  <c r="G69" i="6"/>
  <c r="N69" i="6" s="1"/>
  <c r="F69" i="6"/>
  <c r="L69" i="6" s="1"/>
  <c r="G178" i="15" s="1"/>
  <c r="C69" i="6"/>
  <c r="B65" i="11"/>
  <c r="K70" i="9"/>
  <c r="C70" i="4"/>
  <c r="K70" i="6"/>
  <c r="H70" i="6" a="1"/>
  <c r="H70" i="6" s="1"/>
  <c r="G70" i="6"/>
  <c r="N70" i="6" s="1"/>
  <c r="F70" i="6"/>
  <c r="L70" i="6" s="1"/>
  <c r="G191" i="15" s="1"/>
  <c r="C70" i="6"/>
  <c r="B66" i="11"/>
  <c r="K71" i="9"/>
  <c r="D11" i="2"/>
  <c r="G11" i="2" s="1"/>
  <c r="C71" i="4"/>
  <c r="K71" i="6"/>
  <c r="H71" i="6" a="1"/>
  <c r="H71" i="6" s="1"/>
  <c r="G71" i="6"/>
  <c r="N71" i="6" s="1"/>
  <c r="F71" i="6"/>
  <c r="L71" i="6" s="1"/>
  <c r="G179" i="15" s="1"/>
  <c r="C71" i="6"/>
  <c r="B68" i="11"/>
  <c r="B67" i="11"/>
  <c r="K72" i="9"/>
  <c r="C72" i="4"/>
  <c r="K72" i="6"/>
  <c r="H72" i="6" a="1"/>
  <c r="H72" i="6" s="1"/>
  <c r="G72" i="6"/>
  <c r="N72" i="6" s="1"/>
  <c r="F72" i="6"/>
  <c r="L72" i="6" s="1"/>
  <c r="G181" i="15" s="1"/>
  <c r="C72" i="6"/>
  <c r="B71" i="11"/>
  <c r="B70" i="11"/>
  <c r="K73" i="9"/>
  <c r="C73" i="4"/>
  <c r="K73" i="6"/>
  <c r="H73" i="6" a="1"/>
  <c r="H73" i="6" s="1"/>
  <c r="G73" i="6"/>
  <c r="N73" i="6" s="1"/>
  <c r="F73" i="6"/>
  <c r="L73" i="6" s="1"/>
  <c r="G182" i="15" s="1"/>
  <c r="C73" i="6"/>
  <c r="B69" i="11"/>
  <c r="K74" i="9"/>
  <c r="C74" i="4"/>
  <c r="K74" i="6"/>
  <c r="H74" i="6" a="1"/>
  <c r="H74" i="6" s="1"/>
  <c r="G74" i="6"/>
  <c r="N74" i="6" s="1"/>
  <c r="F74" i="6"/>
  <c r="L74" i="6" s="1"/>
  <c r="C74" i="6"/>
  <c r="B72" i="11"/>
  <c r="K75" i="9"/>
  <c r="C75" i="4"/>
  <c r="K75" i="6"/>
  <c r="H75" i="6" a="1"/>
  <c r="H75" i="6" s="1"/>
  <c r="G75" i="6"/>
  <c r="N75" i="6" s="1"/>
  <c r="F75" i="6"/>
  <c r="L75" i="6" s="1"/>
  <c r="G190" i="15" s="1"/>
  <c r="C75" i="6"/>
  <c r="B73" i="11"/>
  <c r="K76" i="9"/>
  <c r="C76" i="4"/>
  <c r="K76" i="6"/>
  <c r="H76" i="6" a="1"/>
  <c r="H76" i="6" s="1"/>
  <c r="G76" i="6"/>
  <c r="N76" i="6" s="1"/>
  <c r="F76" i="6"/>
  <c r="L76" i="6" s="1"/>
  <c r="G5" i="15" s="1"/>
  <c r="C76" i="6"/>
  <c r="B76" i="11"/>
  <c r="B75" i="11"/>
  <c r="B74" i="11"/>
  <c r="K77" i="9"/>
  <c r="D42" i="2"/>
  <c r="G42" i="2" s="1"/>
  <c r="D41" i="2"/>
  <c r="G41" i="2" s="1"/>
  <c r="C77" i="4"/>
  <c r="K77" i="6"/>
  <c r="H77" i="6" a="1"/>
  <c r="H77" i="6" s="1"/>
  <c r="G77" i="6"/>
  <c r="N77" i="6" s="1"/>
  <c r="F77" i="6"/>
  <c r="L77" i="6" s="1"/>
  <c r="C77" i="6"/>
  <c r="B77" i="11"/>
  <c r="K78" i="9"/>
  <c r="C78" i="4"/>
  <c r="K78" i="6"/>
  <c r="H78" i="6" a="1"/>
  <c r="H78" i="6" s="1"/>
  <c r="G78" i="6"/>
  <c r="N78" i="6" s="1"/>
  <c r="F78" i="6"/>
  <c r="L78" i="6" s="1"/>
  <c r="C78" i="6"/>
  <c r="B139" i="11"/>
  <c r="B138" i="11"/>
  <c r="B137" i="11"/>
  <c r="B136" i="11"/>
  <c r="K79" i="9"/>
  <c r="C79" i="4"/>
  <c r="K79" i="6"/>
  <c r="H79" i="6" a="1"/>
  <c r="H79" i="6" s="1"/>
  <c r="G79" i="6"/>
  <c r="N79" i="6" s="1"/>
  <c r="F79" i="6"/>
  <c r="L79" i="6" s="1"/>
  <c r="G247" i="15" s="1"/>
  <c r="C79" i="6"/>
  <c r="B143" i="11"/>
  <c r="B142" i="11"/>
  <c r="B141" i="11"/>
  <c r="B140" i="11"/>
  <c r="K80" i="9"/>
  <c r="C80" i="4"/>
  <c r="K80" i="6"/>
  <c r="H80" i="6" a="1"/>
  <c r="H80" i="6" s="1"/>
  <c r="G80" i="6"/>
  <c r="N80" i="6" s="1"/>
  <c r="F80" i="6"/>
  <c r="L80" i="6" s="1"/>
  <c r="C80" i="6"/>
  <c r="B146" i="11"/>
  <c r="B145" i="11"/>
  <c r="B144" i="11"/>
  <c r="K81" i="9"/>
  <c r="C81" i="4"/>
  <c r="K81" i="6"/>
  <c r="H81" i="6" a="1"/>
  <c r="H81" i="6" s="1"/>
  <c r="G81" i="6"/>
  <c r="N81" i="6" s="1"/>
  <c r="F81" i="6"/>
  <c r="L81" i="6" s="1"/>
  <c r="C81" i="6"/>
  <c r="B149" i="11"/>
  <c r="B148" i="11"/>
  <c r="B147" i="11"/>
  <c r="K82" i="9"/>
  <c r="C82" i="4"/>
  <c r="K82" i="6"/>
  <c r="H82" i="6" a="1"/>
  <c r="H82" i="6" s="1"/>
  <c r="G82" i="6"/>
  <c r="N82" i="6" s="1"/>
  <c r="F82" i="6"/>
  <c r="L82" i="6" s="1"/>
  <c r="C82" i="6"/>
  <c r="B155" i="11"/>
  <c r="B154" i="11"/>
  <c r="B153" i="11"/>
  <c r="B152" i="11"/>
  <c r="B151" i="11"/>
  <c r="B150" i="11"/>
  <c r="K83" i="9"/>
  <c r="C83" i="4"/>
  <c r="K83" i="6"/>
  <c r="H83" i="6" a="1"/>
  <c r="H83" i="6" s="1"/>
  <c r="G83" i="6"/>
  <c r="N83" i="6" s="1"/>
  <c r="F83" i="6"/>
  <c r="L83" i="6" s="1"/>
  <c r="C83" i="6"/>
  <c r="B311" i="11"/>
  <c r="B310" i="11"/>
  <c r="K84" i="9"/>
  <c r="C84" i="4"/>
  <c r="K84" i="6"/>
  <c r="H84" i="6" a="1"/>
  <c r="H84" i="6" s="1"/>
  <c r="G84" i="6"/>
  <c r="N84" i="6" s="1"/>
  <c r="F84" i="6"/>
  <c r="L84" i="6" s="1"/>
  <c r="C84" i="6"/>
  <c r="B81" i="11"/>
  <c r="B80" i="11"/>
  <c r="K85" i="9"/>
  <c r="C85" i="4"/>
  <c r="K85" i="6"/>
  <c r="H85" i="6" a="1"/>
  <c r="H85" i="6" s="1"/>
  <c r="G85" i="6"/>
  <c r="N85" i="6" s="1"/>
  <c r="F85" i="6"/>
  <c r="L85" i="6" s="1"/>
  <c r="C85" i="6"/>
  <c r="B79" i="11"/>
  <c r="B78" i="11"/>
  <c r="K86" i="9"/>
  <c r="C86" i="4"/>
  <c r="K86" i="6"/>
  <c r="H86" i="6" a="1"/>
  <c r="H86" i="6" s="1"/>
  <c r="G86" i="6"/>
  <c r="N86" i="6" s="1"/>
  <c r="F86" i="6"/>
  <c r="L86" i="6" s="1"/>
  <c r="C86" i="6"/>
  <c r="B93" i="11"/>
  <c r="B92" i="11"/>
  <c r="B91" i="11"/>
  <c r="B90" i="11"/>
  <c r="B89" i="11"/>
  <c r="B88" i="11"/>
  <c r="B87" i="11"/>
  <c r="B86" i="11"/>
  <c r="B85" i="11"/>
  <c r="B84" i="11"/>
  <c r="B83" i="11"/>
  <c r="B82" i="11"/>
  <c r="K87" i="9"/>
  <c r="C87" i="4"/>
  <c r="K87" i="6"/>
  <c r="H87" i="6" a="1"/>
  <c r="H87" i="6" s="1"/>
  <c r="G87" i="6"/>
  <c r="N87" i="6" s="1"/>
  <c r="F87" i="6"/>
  <c r="L87" i="6" s="1"/>
  <c r="C87" i="6"/>
  <c r="B120" i="11"/>
  <c r="K88" i="9"/>
  <c r="C88" i="4"/>
  <c r="K88" i="6"/>
  <c r="H88" i="6" a="1"/>
  <c r="H88" i="6" s="1"/>
  <c r="G88" i="6"/>
  <c r="N88" i="6" s="1"/>
  <c r="F88" i="6"/>
  <c r="L88" i="6" s="1"/>
  <c r="G135" i="15" s="1"/>
  <c r="C88" i="6"/>
  <c r="B102" i="11"/>
  <c r="B101" i="11"/>
  <c r="B100" i="11"/>
  <c r="B99" i="11"/>
  <c r="B98" i="11"/>
  <c r="B97" i="11"/>
  <c r="B96" i="11"/>
  <c r="B95" i="11"/>
  <c r="B94" i="11"/>
  <c r="K89" i="9"/>
  <c r="D28" i="2"/>
  <c r="G28" i="2" s="1"/>
  <c r="C89" i="4"/>
  <c r="K89" i="6"/>
  <c r="H89" i="6" a="1"/>
  <c r="H89" i="6" s="1"/>
  <c r="G89" i="6"/>
  <c r="N89" i="6" s="1"/>
  <c r="F89" i="6"/>
  <c r="L89" i="6" s="1"/>
  <c r="C89" i="6"/>
  <c r="B109" i="11"/>
  <c r="B108" i="11"/>
  <c r="B107" i="11"/>
  <c r="B106" i="11"/>
  <c r="B105" i="11"/>
  <c r="B104" i="11"/>
  <c r="B103" i="11"/>
  <c r="K90" i="9"/>
  <c r="C90" i="4"/>
  <c r="K90" i="6"/>
  <c r="H90" i="6" a="1"/>
  <c r="H90" i="6" s="1"/>
  <c r="G90" i="6"/>
  <c r="N90" i="6" s="1"/>
  <c r="F90" i="6"/>
  <c r="L90" i="6" s="1"/>
  <c r="G127" i="15" s="1"/>
  <c r="C90" i="6"/>
  <c r="B118" i="11"/>
  <c r="B117" i="11"/>
  <c r="B116" i="11"/>
  <c r="B115" i="11"/>
  <c r="B114" i="11"/>
  <c r="B113" i="11"/>
  <c r="B112" i="11"/>
  <c r="B111" i="11"/>
  <c r="B110" i="11"/>
  <c r="K91" i="9"/>
  <c r="C91" i="4"/>
  <c r="K91" i="6"/>
  <c r="H91" i="6" a="1"/>
  <c r="H91" i="6" s="1"/>
  <c r="G91" i="6"/>
  <c r="N91" i="6" s="1"/>
  <c r="F91" i="6"/>
  <c r="L91" i="6" s="1"/>
  <c r="G45" i="15" s="1"/>
  <c r="C91" i="6"/>
  <c r="B119" i="11"/>
  <c r="K92" i="9"/>
  <c r="C92" i="4"/>
  <c r="K92" i="6"/>
  <c r="H92" i="6" a="1"/>
  <c r="H92" i="6" s="1"/>
  <c r="G92" i="6"/>
  <c r="N92" i="6" s="1"/>
  <c r="F92" i="6"/>
  <c r="L92" i="6" s="1"/>
  <c r="G717" i="15" s="1"/>
  <c r="C92" i="6"/>
  <c r="B121" i="11"/>
  <c r="K93" i="9"/>
  <c r="C93" i="4"/>
  <c r="K93" i="6"/>
  <c r="H93" i="6" a="1"/>
  <c r="H93" i="6" s="1"/>
  <c r="G93" i="6"/>
  <c r="N93" i="6" s="1"/>
  <c r="F93" i="6"/>
  <c r="L93" i="6" s="1"/>
  <c r="G506" i="15" s="1"/>
  <c r="C93" i="6"/>
  <c r="B124" i="11"/>
  <c r="B123" i="11"/>
  <c r="B122" i="11"/>
  <c r="K94" i="9"/>
  <c r="C94" i="4"/>
  <c r="K94" i="6"/>
  <c r="H94" i="6" a="1"/>
  <c r="H94" i="6" s="1"/>
  <c r="G94" i="6"/>
  <c r="N94" i="6" s="1"/>
  <c r="F94" i="6"/>
  <c r="L94" i="6" s="1"/>
  <c r="C94" i="6"/>
  <c r="B128" i="11"/>
  <c r="B127" i="11"/>
  <c r="B126" i="11"/>
  <c r="B125" i="11"/>
  <c r="K95" i="9"/>
  <c r="C95" i="4"/>
  <c r="K95" i="6"/>
  <c r="H95" i="6" a="1"/>
  <c r="H95" i="6" s="1"/>
  <c r="G95" i="6"/>
  <c r="N95" i="6" s="1"/>
  <c r="F95" i="6"/>
  <c r="L95" i="6" s="1"/>
  <c r="C95" i="6"/>
  <c r="B131" i="11"/>
  <c r="B130" i="11"/>
  <c r="B129" i="11"/>
  <c r="K96" i="9"/>
  <c r="C96" i="4"/>
  <c r="K96" i="6"/>
  <c r="H96" i="6" a="1"/>
  <c r="H96" i="6" s="1"/>
  <c r="G96" i="6"/>
  <c r="N96" i="6" s="1"/>
  <c r="F96" i="6"/>
  <c r="L96" i="6" s="1"/>
  <c r="C96" i="6"/>
  <c r="B135" i="11"/>
  <c r="B134" i="11"/>
  <c r="B133" i="11"/>
  <c r="B132" i="11"/>
  <c r="K97" i="9"/>
  <c r="C97" i="4"/>
  <c r="K97" i="6"/>
  <c r="H97" i="6" a="1"/>
  <c r="H97" i="6" s="1"/>
  <c r="G97" i="6"/>
  <c r="N97" i="6" s="1"/>
  <c r="F97" i="6"/>
  <c r="L97" i="6" s="1"/>
  <c r="G788" i="15" s="1"/>
  <c r="C97" i="6"/>
  <c r="B315" i="11"/>
  <c r="B314" i="11"/>
  <c r="B313" i="11"/>
  <c r="K98" i="9"/>
  <c r="C98" i="4"/>
  <c r="K98" i="6"/>
  <c r="H98" i="6" a="1"/>
  <c r="H98" i="6" s="1"/>
  <c r="G98" i="6"/>
  <c r="N98" i="6" s="1"/>
  <c r="F98" i="6"/>
  <c r="L98" i="6" s="1"/>
  <c r="C98" i="6"/>
  <c r="B330" i="11"/>
  <c r="B329" i="11"/>
  <c r="B328" i="11"/>
  <c r="B327" i="11"/>
  <c r="B326" i="11"/>
  <c r="K99" i="9"/>
  <c r="C99" i="4"/>
  <c r="K99" i="6"/>
  <c r="H99" i="6" a="1"/>
  <c r="H99" i="6" s="1"/>
  <c r="G99" i="6"/>
  <c r="N99" i="6" s="1"/>
  <c r="F99" i="6"/>
  <c r="L99" i="6" s="1"/>
  <c r="C99" i="6"/>
  <c r="B185" i="11"/>
  <c r="B184" i="11"/>
  <c r="B183" i="11"/>
  <c r="B182" i="11"/>
  <c r="B181" i="11"/>
  <c r="B180" i="11"/>
  <c r="B179" i="11"/>
  <c r="K100" i="9"/>
  <c r="D5" i="2"/>
  <c r="G5" i="2" s="1"/>
  <c r="C100" i="4"/>
  <c r="K100" i="6"/>
  <c r="H100" i="6" a="1"/>
  <c r="H100" i="6" s="1"/>
  <c r="G100" i="6"/>
  <c r="N100" i="6" s="1"/>
  <c r="F100" i="6"/>
  <c r="L100" i="6" s="1"/>
  <c r="C100" i="6"/>
  <c r="K103" i="6"/>
  <c r="H103" i="6" a="1"/>
  <c r="H103" i="6" s="1"/>
  <c r="G103" i="6"/>
  <c r="N103" i="6" s="1"/>
  <c r="F103" i="6"/>
  <c r="L103" i="6" s="1"/>
  <c r="J103" i="6" s="1"/>
  <c r="D103" i="6"/>
  <c r="C103" i="6"/>
  <c r="B192" i="11"/>
  <c r="B191" i="11"/>
  <c r="B190" i="11"/>
  <c r="B189" i="11"/>
  <c r="B188" i="11"/>
  <c r="B187" i="11"/>
  <c r="B186" i="11"/>
  <c r="K101" i="9"/>
  <c r="C101" i="4"/>
  <c r="K101" i="6"/>
  <c r="H101" i="6" a="1"/>
  <c r="H101" i="6" s="1"/>
  <c r="G101" i="6"/>
  <c r="N101" i="6" s="1"/>
  <c r="F101" i="6"/>
  <c r="L101" i="6" s="1"/>
  <c r="C101" i="6"/>
  <c r="B200" i="11"/>
  <c r="B199" i="11"/>
  <c r="B198" i="11"/>
  <c r="B197" i="11"/>
  <c r="B196" i="11"/>
  <c r="B195" i="11"/>
  <c r="B194" i="11"/>
  <c r="B193" i="11"/>
  <c r="K102" i="9"/>
  <c r="C102" i="4"/>
  <c r="K102" i="6"/>
  <c r="H102" i="6" a="1"/>
  <c r="H102" i="6" s="1"/>
  <c r="G102" i="6"/>
  <c r="N102" i="6" s="1"/>
  <c r="F102" i="6"/>
  <c r="L102" i="6" s="1"/>
  <c r="C102" i="6"/>
  <c r="B208" i="11"/>
  <c r="B207" i="11"/>
  <c r="B206" i="11"/>
  <c r="B205" i="11"/>
  <c r="B204" i="11"/>
  <c r="B203" i="11"/>
  <c r="B202" i="11"/>
  <c r="B201" i="11"/>
  <c r="K103" i="9"/>
  <c r="D33" i="2"/>
  <c r="G33" i="2" s="1"/>
  <c r="C103" i="4"/>
  <c r="B213" i="11"/>
  <c r="B212" i="11"/>
  <c r="B211" i="11"/>
  <c r="B210" i="11"/>
  <c r="B209" i="11"/>
  <c r="K104" i="9"/>
  <c r="C104" i="4"/>
  <c r="K104" i="6"/>
  <c r="H104" i="6" a="1"/>
  <c r="H104" i="6" s="1"/>
  <c r="G104" i="6"/>
  <c r="N104" i="6" s="1"/>
  <c r="F104" i="6"/>
  <c r="L104" i="6" s="1"/>
  <c r="G11" i="15" s="1"/>
  <c r="C104" i="6"/>
  <c r="B218" i="11"/>
  <c r="B217" i="11"/>
  <c r="B216" i="11"/>
  <c r="B215" i="11"/>
  <c r="B214" i="11"/>
  <c r="K105" i="9"/>
  <c r="C105" i="4"/>
  <c r="K105" i="6"/>
  <c r="H105" i="6" a="1"/>
  <c r="H105" i="6" s="1"/>
  <c r="G105" i="6"/>
  <c r="N105" i="6" s="1"/>
  <c r="F105" i="6"/>
  <c r="L105" i="6" s="1"/>
  <c r="C105" i="6"/>
  <c r="B236" i="11"/>
  <c r="B235" i="11"/>
  <c r="B234" i="11"/>
  <c r="B233" i="11"/>
  <c r="B232" i="11"/>
  <c r="B231" i="11"/>
  <c r="K106" i="9"/>
  <c r="D29" i="2"/>
  <c r="G29" i="2" s="1"/>
  <c r="C106" i="4"/>
  <c r="K106" i="6"/>
  <c r="H106" i="6" a="1"/>
  <c r="H106" i="6" s="1"/>
  <c r="G106" i="6"/>
  <c r="N106" i="6" s="1"/>
  <c r="F106" i="6"/>
  <c r="L106" i="6" s="1"/>
  <c r="C106" i="6"/>
  <c r="B242" i="11"/>
  <c r="B241" i="11"/>
  <c r="B240" i="11"/>
  <c r="B239" i="11"/>
  <c r="B238" i="11"/>
  <c r="B237" i="11"/>
  <c r="K107" i="9"/>
  <c r="D7" i="2"/>
  <c r="G7" i="2" s="1"/>
  <c r="C107" i="4"/>
  <c r="K107" i="6"/>
  <c r="H107" i="6" a="1"/>
  <c r="H107" i="6" s="1"/>
  <c r="G107" i="6"/>
  <c r="N107" i="6" s="1"/>
  <c r="F107" i="6"/>
  <c r="L107" i="6" s="1"/>
  <c r="C107" i="6"/>
  <c r="B221" i="11"/>
  <c r="B220" i="11"/>
  <c r="B219" i="11"/>
  <c r="K108" i="9"/>
  <c r="C108" i="4"/>
  <c r="K108" i="6"/>
  <c r="H108" i="6" a="1"/>
  <c r="H108" i="6" s="1"/>
  <c r="G108" i="6"/>
  <c r="N108" i="6" s="1"/>
  <c r="F108" i="6"/>
  <c r="L108" i="6" s="1"/>
  <c r="G63" i="15" s="1"/>
  <c r="C108" i="6"/>
  <c r="B224" i="11"/>
  <c r="B223" i="11"/>
  <c r="B222" i="11"/>
  <c r="K109" i="9"/>
  <c r="D31" i="2"/>
  <c r="G31" i="2" s="1"/>
  <c r="D30" i="2"/>
  <c r="G30" i="2" s="1"/>
  <c r="C109" i="4"/>
  <c r="K109" i="6"/>
  <c r="H109" i="6" a="1"/>
  <c r="H109" i="6" s="1"/>
  <c r="G109" i="6"/>
  <c r="N109" i="6" s="1"/>
  <c r="F109" i="6"/>
  <c r="L109" i="6" s="1"/>
  <c r="C109" i="6"/>
  <c r="B227" i="11"/>
  <c r="B226" i="11"/>
  <c r="B225" i="11"/>
  <c r="K110" i="9"/>
  <c r="C110" i="4"/>
  <c r="K110" i="6"/>
  <c r="H110" i="6" a="1"/>
  <c r="H110" i="6" s="1"/>
  <c r="G110" i="6"/>
  <c r="N110" i="6" s="1"/>
  <c r="F110" i="6"/>
  <c r="L110" i="6" s="1"/>
  <c r="G27" i="15" s="1"/>
  <c r="C110" i="6"/>
  <c r="B230" i="11"/>
  <c r="B229" i="11"/>
  <c r="B228" i="11"/>
  <c r="K111" i="9"/>
  <c r="C111" i="4"/>
  <c r="K111" i="6"/>
  <c r="H111" i="6" a="1"/>
  <c r="H111" i="6" s="1"/>
  <c r="G111" i="6"/>
  <c r="N111" i="6" s="1"/>
  <c r="F111" i="6"/>
  <c r="L111" i="6" s="1"/>
  <c r="C111" i="6"/>
  <c r="B247" i="11"/>
  <c r="B246" i="11"/>
  <c r="B245" i="11"/>
  <c r="B244" i="11"/>
  <c r="B243" i="11"/>
  <c r="K112" i="9"/>
  <c r="C112" i="4"/>
  <c r="K112" i="6"/>
  <c r="H112" i="6" a="1"/>
  <c r="H112" i="6" s="1"/>
  <c r="G112" i="6"/>
  <c r="N112" i="6" s="1"/>
  <c r="F112" i="6"/>
  <c r="L112" i="6" s="1"/>
  <c r="C112" i="6"/>
  <c r="B252" i="11"/>
  <c r="B251" i="11"/>
  <c r="B250" i="11"/>
  <c r="B249" i="11"/>
  <c r="B248" i="11"/>
  <c r="K113" i="9"/>
  <c r="D34" i="2"/>
  <c r="G34" i="2" s="1"/>
  <c r="C113" i="4"/>
  <c r="K113" i="6"/>
  <c r="H113" i="6" a="1"/>
  <c r="H113" i="6" s="1"/>
  <c r="G113" i="6"/>
  <c r="N113" i="6" s="1"/>
  <c r="F113" i="6"/>
  <c r="L113" i="6" s="1"/>
  <c r="G617" i="15" s="1"/>
  <c r="C113" i="6"/>
  <c r="B257" i="11"/>
  <c r="B256" i="11"/>
  <c r="B255" i="11"/>
  <c r="B254" i="11"/>
  <c r="B253" i="11"/>
  <c r="K114" i="9"/>
  <c r="C114" i="4"/>
  <c r="K114" i="6"/>
  <c r="H114" i="6" a="1"/>
  <c r="H114" i="6" s="1"/>
  <c r="G114" i="6"/>
  <c r="N114" i="6" s="1"/>
  <c r="F114" i="6"/>
  <c r="L114" i="6" s="1"/>
  <c r="G616" i="15" s="1"/>
  <c r="C114" i="6"/>
  <c r="B262" i="11"/>
  <c r="B261" i="11"/>
  <c r="B260" i="11"/>
  <c r="B259" i="11"/>
  <c r="B258" i="11"/>
  <c r="K115" i="9"/>
  <c r="C115" i="4"/>
  <c r="K115" i="6"/>
  <c r="H115" i="6" a="1"/>
  <c r="H115" i="6" s="1"/>
  <c r="G115" i="6"/>
  <c r="N115" i="6" s="1"/>
  <c r="F115" i="6"/>
  <c r="L115" i="6" s="1"/>
  <c r="G37" i="15" s="1"/>
  <c r="C115" i="6"/>
  <c r="B272" i="11"/>
  <c r="B271" i="11"/>
  <c r="B270" i="11"/>
  <c r="B269" i="11"/>
  <c r="K116" i="9"/>
  <c r="C116" i="4"/>
  <c r="K116" i="6"/>
  <c r="H116" i="6" a="1"/>
  <c r="H116" i="6" s="1"/>
  <c r="G116" i="6"/>
  <c r="N116" i="6" s="1"/>
  <c r="F116" i="6"/>
  <c r="L116" i="6" s="1"/>
  <c r="C116" i="6"/>
  <c r="B268" i="11"/>
  <c r="B267" i="11"/>
  <c r="B266" i="11"/>
  <c r="B265" i="11"/>
  <c r="B264" i="11"/>
  <c r="B263" i="11"/>
  <c r="K117" i="9"/>
  <c r="C117" i="4"/>
  <c r="K117" i="6"/>
  <c r="H117" i="6" a="1"/>
  <c r="H117" i="6" s="1"/>
  <c r="G117" i="6"/>
  <c r="N117" i="6" s="1"/>
  <c r="F117" i="6"/>
  <c r="L117" i="6" s="1"/>
  <c r="C117" i="6"/>
  <c r="B274" i="11"/>
  <c r="B273" i="11"/>
  <c r="K118" i="9"/>
  <c r="C118" i="4"/>
  <c r="K118" i="6"/>
  <c r="H118" i="6" a="1"/>
  <c r="H118" i="6" s="1"/>
  <c r="G118" i="6"/>
  <c r="N118" i="6" s="1"/>
  <c r="F118" i="6"/>
  <c r="L118" i="6" s="1"/>
  <c r="C118" i="6"/>
  <c r="B276" i="11"/>
  <c r="B275" i="11"/>
  <c r="K119" i="9"/>
  <c r="C119" i="4"/>
  <c r="K119" i="6"/>
  <c r="H119" i="6" a="1"/>
  <c r="H119" i="6" s="1"/>
  <c r="G119" i="6"/>
  <c r="N119" i="6" s="1"/>
  <c r="F119" i="6"/>
  <c r="L119" i="6" s="1"/>
  <c r="C119" i="6"/>
  <c r="B279" i="11"/>
  <c r="B278" i="11"/>
  <c r="B277" i="11"/>
  <c r="K120" i="9"/>
  <c r="C120" i="4"/>
  <c r="K120" i="6"/>
  <c r="H120" i="6" a="1"/>
  <c r="H120" i="6" s="1"/>
  <c r="G120" i="6"/>
  <c r="N120" i="6" s="1"/>
  <c r="F120" i="6"/>
  <c r="L120" i="6" s="1"/>
  <c r="C120" i="6"/>
  <c r="B282" i="11"/>
  <c r="B281" i="11"/>
  <c r="B280" i="11"/>
  <c r="K121" i="9"/>
  <c r="C121" i="4"/>
  <c r="K121" i="6"/>
  <c r="H121" i="6" a="1"/>
  <c r="H121" i="6" s="1"/>
  <c r="G121" i="6"/>
  <c r="N121" i="6" s="1"/>
  <c r="F121" i="6"/>
  <c r="L121" i="6" s="1"/>
  <c r="C121" i="6"/>
  <c r="B291" i="11"/>
  <c r="B290" i="11"/>
  <c r="B289" i="11"/>
  <c r="B288" i="11"/>
  <c r="K122" i="9"/>
  <c r="C122" i="4"/>
  <c r="K122" i="6"/>
  <c r="H122" i="6" a="1"/>
  <c r="H122" i="6" s="1"/>
  <c r="G122" i="6"/>
  <c r="N122" i="6" s="1"/>
  <c r="F122" i="6"/>
  <c r="L122" i="6" s="1"/>
  <c r="C122" i="6"/>
  <c r="B287" i="11"/>
  <c r="B286" i="11"/>
  <c r="B285" i="11"/>
  <c r="B284" i="11"/>
  <c r="B283" i="11"/>
  <c r="K123" i="9"/>
  <c r="D32" i="2"/>
  <c r="G32" i="2" s="1"/>
  <c r="C123" i="4"/>
  <c r="K123" i="6"/>
  <c r="H123" i="6" a="1"/>
  <c r="H123" i="6" s="1"/>
  <c r="G123" i="6"/>
  <c r="N123" i="6" s="1"/>
  <c r="F123" i="6"/>
  <c r="L123" i="6" s="1"/>
  <c r="G3" i="15" s="1"/>
  <c r="C123" i="6"/>
  <c r="B312" i="11"/>
  <c r="K124" i="9"/>
  <c r="C124" i="4"/>
  <c r="K124" i="6"/>
  <c r="H124" i="6" a="1"/>
  <c r="H124" i="6" s="1"/>
  <c r="G124" i="6"/>
  <c r="N124" i="6" s="1"/>
  <c r="F124" i="6"/>
  <c r="L124" i="6" s="1"/>
  <c r="G948" i="15" s="1"/>
  <c r="C124" i="6"/>
  <c r="B17" i="12"/>
  <c r="B16" i="12"/>
  <c r="B15" i="12"/>
  <c r="B14" i="12"/>
  <c r="B13" i="12"/>
  <c r="K125" i="9"/>
  <c r="C125" i="4"/>
  <c r="K125" i="6"/>
  <c r="H125" i="6" a="1"/>
  <c r="H125" i="6" s="1"/>
  <c r="G125" i="6"/>
  <c r="N125" i="6" s="1"/>
  <c r="F125" i="6"/>
  <c r="L125" i="6" s="1"/>
  <c r="C125" i="6"/>
  <c r="B25" i="12"/>
  <c r="B24" i="12"/>
  <c r="B23" i="12"/>
  <c r="B22" i="12"/>
  <c r="B21" i="12"/>
  <c r="B20" i="12"/>
  <c r="B19" i="12"/>
  <c r="B18" i="12"/>
  <c r="K126" i="9"/>
  <c r="C126" i="4"/>
  <c r="K126" i="6"/>
  <c r="H126" i="6" a="1"/>
  <c r="H126" i="6" s="1"/>
  <c r="G126" i="6"/>
  <c r="N126" i="6" s="1"/>
  <c r="F126" i="6"/>
  <c r="L126" i="6" s="1"/>
  <c r="G937" i="15" s="1"/>
  <c r="C126" i="6"/>
  <c r="B30" i="12"/>
  <c r="B29" i="12"/>
  <c r="B28" i="12"/>
  <c r="B27" i="12"/>
  <c r="B26" i="12"/>
  <c r="K127" i="9"/>
  <c r="C127" i="4"/>
  <c r="K127" i="6"/>
  <c r="H127" i="6" a="1"/>
  <c r="H127" i="6" s="1"/>
  <c r="G127" i="6"/>
  <c r="N127" i="6" s="1"/>
  <c r="F127" i="6"/>
  <c r="L127" i="6" s="1"/>
  <c r="C127" i="6"/>
  <c r="B36" i="12"/>
  <c r="B35" i="12"/>
  <c r="B34" i="12"/>
  <c r="B33" i="12"/>
  <c r="B32" i="12"/>
  <c r="B31" i="12"/>
  <c r="K128" i="9"/>
  <c r="C128" i="4"/>
  <c r="K128" i="6"/>
  <c r="H128" i="6" a="1"/>
  <c r="H128" i="6" s="1"/>
  <c r="G128" i="6"/>
  <c r="N128" i="6" s="1"/>
  <c r="F128" i="6"/>
  <c r="L128" i="6" s="1"/>
  <c r="C128" i="6"/>
  <c r="B42" i="12"/>
  <c r="B41" i="12"/>
  <c r="B40" i="12"/>
  <c r="B39" i="12"/>
  <c r="B38" i="12"/>
  <c r="B37" i="12"/>
  <c r="K129" i="9"/>
  <c r="C129" i="4"/>
  <c r="K129" i="6"/>
  <c r="H129" i="6" a="1"/>
  <c r="H129" i="6" s="1"/>
  <c r="G129" i="6"/>
  <c r="N129" i="6" s="1"/>
  <c r="F129" i="6"/>
  <c r="L129" i="6" s="1"/>
  <c r="C129" i="6"/>
  <c r="B48" i="12"/>
  <c r="B47" i="12"/>
  <c r="B46" i="12"/>
  <c r="B45" i="12"/>
  <c r="B44" i="12"/>
  <c r="B43" i="12"/>
  <c r="K130" i="9"/>
  <c r="C130" i="4"/>
  <c r="K130" i="6"/>
  <c r="H130" i="6" a="1"/>
  <c r="H130" i="6" s="1"/>
  <c r="G130" i="6"/>
  <c r="N130" i="6" s="1"/>
  <c r="F130" i="6"/>
  <c r="L130" i="6" s="1"/>
  <c r="G804" i="15" s="1"/>
  <c r="C130" i="6"/>
  <c r="B59" i="12"/>
  <c r="B58" i="12"/>
  <c r="B57" i="12"/>
  <c r="B56" i="12"/>
  <c r="B55" i="12"/>
  <c r="B54" i="12"/>
  <c r="B53" i="12"/>
  <c r="B52" i="12"/>
  <c r="B51" i="12"/>
  <c r="B50" i="12"/>
  <c r="B49" i="12"/>
  <c r="K131" i="9"/>
  <c r="C131" i="4"/>
  <c r="K131" i="6"/>
  <c r="H131" i="6" a="1"/>
  <c r="H131" i="6" s="1"/>
  <c r="G131" i="6"/>
  <c r="N131" i="6" s="1"/>
  <c r="F131" i="6"/>
  <c r="L131" i="6" s="1"/>
  <c r="C131" i="6"/>
  <c r="B65" i="12"/>
  <c r="B64" i="12"/>
  <c r="B63" i="12"/>
  <c r="B62" i="12"/>
  <c r="B61" i="12"/>
  <c r="B60" i="12"/>
  <c r="K132" i="9"/>
  <c r="C132" i="4"/>
  <c r="K132" i="6"/>
  <c r="H132" i="6" a="1"/>
  <c r="H132" i="6" s="1"/>
  <c r="G132" i="6"/>
  <c r="N132" i="6" s="1"/>
  <c r="F132" i="6"/>
  <c r="L132" i="6" s="1"/>
  <c r="C132" i="6"/>
  <c r="B69" i="12"/>
  <c r="B68" i="12"/>
  <c r="B67" i="12"/>
  <c r="B66" i="12"/>
  <c r="K133" i="9"/>
  <c r="C133" i="4"/>
  <c r="K133" i="6"/>
  <c r="H133" i="6" a="1"/>
  <c r="H133" i="6" s="1"/>
  <c r="G133" i="6"/>
  <c r="N133" i="6" s="1"/>
  <c r="F133" i="6"/>
  <c r="L133" i="6" s="1"/>
  <c r="C133" i="6"/>
  <c r="B75" i="12"/>
  <c r="B74" i="12"/>
  <c r="B73" i="12"/>
  <c r="B72" i="12"/>
  <c r="B71" i="12"/>
  <c r="B70" i="12"/>
  <c r="K134" i="9"/>
  <c r="C134" i="4"/>
  <c r="K134" i="6"/>
  <c r="H134" i="6" a="1"/>
  <c r="H134" i="6" s="1"/>
  <c r="G134" i="6"/>
  <c r="N134" i="6" s="1"/>
  <c r="F134" i="6"/>
  <c r="L134" i="6" s="1"/>
  <c r="C134" i="6"/>
  <c r="B79" i="12"/>
  <c r="B78" i="12"/>
  <c r="B77" i="12"/>
  <c r="B76" i="12"/>
  <c r="K135" i="9"/>
  <c r="C135" i="4"/>
  <c r="K135" i="6"/>
  <c r="H135" i="6" a="1"/>
  <c r="H135" i="6" s="1"/>
  <c r="G135" i="6"/>
  <c r="N135" i="6" s="1"/>
  <c r="F135" i="6"/>
  <c r="L135" i="6" s="1"/>
  <c r="C135" i="6"/>
  <c r="B84" i="12"/>
  <c r="B83" i="12"/>
  <c r="B82" i="12"/>
  <c r="B81" i="12"/>
  <c r="B80" i="12"/>
  <c r="K136" i="9"/>
  <c r="D15" i="2"/>
  <c r="G15" i="2" s="1"/>
  <c r="C136" i="4"/>
  <c r="K136" i="6"/>
  <c r="H136" i="6" a="1"/>
  <c r="H136" i="6" s="1"/>
  <c r="G136" i="6"/>
  <c r="N136" i="6" s="1"/>
  <c r="F136" i="6"/>
  <c r="L136" i="6" s="1"/>
  <c r="C136" i="6"/>
  <c r="B139" i="12"/>
  <c r="B138" i="12"/>
  <c r="B137" i="12"/>
  <c r="B136" i="12"/>
  <c r="B135" i="12"/>
  <c r="B134" i="12"/>
  <c r="B133" i="12"/>
  <c r="B132" i="12"/>
  <c r="K137" i="9"/>
  <c r="C137" i="4"/>
  <c r="K137" i="6"/>
  <c r="H137" i="6" a="1"/>
  <c r="H137" i="6" s="1"/>
  <c r="G137" i="6"/>
  <c r="N137" i="6" s="1"/>
  <c r="F137" i="6"/>
  <c r="L137" i="6" s="1"/>
  <c r="G792" i="15" s="1"/>
  <c r="C137" i="6"/>
  <c r="B149" i="12"/>
  <c r="B148" i="12"/>
  <c r="B147" i="12"/>
  <c r="B146" i="12"/>
  <c r="B145" i="12"/>
  <c r="B144" i="12"/>
  <c r="B143" i="12"/>
  <c r="B142" i="12"/>
  <c r="B141" i="12"/>
  <c r="B140" i="12"/>
  <c r="K138" i="9"/>
  <c r="C138" i="4"/>
  <c r="K138" i="6"/>
  <c r="H138" i="6" a="1"/>
  <c r="H138" i="6" s="1"/>
  <c r="G138" i="6"/>
  <c r="N138" i="6" s="1"/>
  <c r="F138" i="6"/>
  <c r="L138" i="6" s="1"/>
  <c r="C138" i="6"/>
  <c r="B155" i="12"/>
  <c r="B154" i="12"/>
  <c r="B153" i="12"/>
  <c r="B152" i="12"/>
  <c r="B151" i="12"/>
  <c r="B150" i="12"/>
  <c r="K139" i="9"/>
  <c r="C139" i="4"/>
  <c r="K139" i="6"/>
  <c r="H139" i="6" a="1"/>
  <c r="H139" i="6" s="1"/>
  <c r="G139" i="6"/>
  <c r="N139" i="6" s="1"/>
  <c r="F139" i="6"/>
  <c r="L139" i="6" s="1"/>
  <c r="C139" i="6"/>
  <c r="B159" i="12"/>
  <c r="B158" i="12"/>
  <c r="B157" i="12"/>
  <c r="B156" i="12"/>
  <c r="K140" i="9"/>
  <c r="C140" i="4"/>
  <c r="K140" i="6"/>
  <c r="H140" i="6" a="1"/>
  <c r="H140" i="6" s="1"/>
  <c r="G140" i="6"/>
  <c r="N140" i="6" s="1"/>
  <c r="F140" i="6"/>
  <c r="L140" i="6" s="1"/>
  <c r="C140" i="6"/>
  <c r="B163" i="12"/>
  <c r="B162" i="12"/>
  <c r="B161" i="12"/>
  <c r="B160" i="12"/>
  <c r="K141" i="9"/>
  <c r="C141" i="4"/>
  <c r="K141" i="6"/>
  <c r="H141" i="6" a="1"/>
  <c r="H141" i="6" s="1"/>
  <c r="G141" i="6"/>
  <c r="N141" i="6" s="1"/>
  <c r="F141" i="6"/>
  <c r="L141" i="6" s="1"/>
  <c r="C141" i="6"/>
  <c r="B168" i="12"/>
  <c r="B167" i="12"/>
  <c r="B166" i="12"/>
  <c r="B165" i="12"/>
  <c r="B164" i="12"/>
  <c r="K142" i="9"/>
  <c r="C142" i="4"/>
  <c r="K142" i="6"/>
  <c r="H142" i="6" a="1"/>
  <c r="H142" i="6" s="1"/>
  <c r="G142" i="6"/>
  <c r="N142" i="6" s="1"/>
  <c r="F142" i="6"/>
  <c r="L142" i="6" s="1"/>
  <c r="C142" i="6"/>
  <c r="B174" i="12"/>
  <c r="B173" i="12"/>
  <c r="B172" i="12"/>
  <c r="B171" i="12"/>
  <c r="B170" i="12"/>
  <c r="B169" i="12"/>
  <c r="K143" i="9"/>
  <c r="C143" i="4"/>
  <c r="K143" i="6"/>
  <c r="H143" i="6" a="1"/>
  <c r="H143" i="6" s="1"/>
  <c r="G143" i="6"/>
  <c r="N143" i="6" s="1"/>
  <c r="F143" i="6"/>
  <c r="L143" i="6" s="1"/>
  <c r="G596" i="15" s="1"/>
  <c r="C143" i="6"/>
  <c r="B184" i="12"/>
  <c r="B183" i="12"/>
  <c r="B182" i="12"/>
  <c r="B181" i="12"/>
  <c r="B180" i="12"/>
  <c r="B179" i="12"/>
  <c r="B178" i="12"/>
  <c r="B177" i="12"/>
  <c r="B176" i="12"/>
  <c r="B175" i="12"/>
  <c r="K144" i="9"/>
  <c r="C144" i="4"/>
  <c r="K144" i="6"/>
  <c r="H144" i="6" a="1"/>
  <c r="H144" i="6" s="1"/>
  <c r="G144" i="6"/>
  <c r="N144" i="6" s="1"/>
  <c r="F144" i="6"/>
  <c r="L144" i="6" s="1"/>
  <c r="G24" i="15" s="1"/>
  <c r="C144" i="6"/>
  <c r="B188" i="12"/>
  <c r="B187" i="12"/>
  <c r="B186" i="12"/>
  <c r="B185" i="12"/>
  <c r="K145" i="9"/>
  <c r="C145" i="4"/>
  <c r="K145" i="6"/>
  <c r="H145" i="6" a="1"/>
  <c r="H145" i="6" s="1"/>
  <c r="G145" i="6"/>
  <c r="N145" i="6" s="1"/>
  <c r="F145" i="6"/>
  <c r="L145" i="6" s="1"/>
  <c r="C145" i="6"/>
  <c r="B90" i="12"/>
  <c r="B89" i="12"/>
  <c r="B88" i="12"/>
  <c r="B87" i="12"/>
  <c r="B86" i="12"/>
  <c r="B85" i="12"/>
  <c r="K146" i="9"/>
  <c r="C146" i="4"/>
  <c r="K146" i="6"/>
  <c r="H146" i="6" a="1"/>
  <c r="H146" i="6" s="1"/>
  <c r="G146" i="6"/>
  <c r="N146" i="6" s="1"/>
  <c r="F146" i="6"/>
  <c r="L146" i="6" s="1"/>
  <c r="C146" i="6"/>
  <c r="B96" i="12"/>
  <c r="B95" i="12"/>
  <c r="B94" i="12"/>
  <c r="B93" i="12"/>
  <c r="B92" i="12"/>
  <c r="B91" i="12"/>
  <c r="K147" i="9"/>
  <c r="C147" i="4"/>
  <c r="K147" i="6"/>
  <c r="H147" i="6" a="1"/>
  <c r="H147" i="6" s="1"/>
  <c r="G147" i="6"/>
  <c r="N147" i="6" s="1"/>
  <c r="F147" i="6"/>
  <c r="L147" i="6" s="1"/>
  <c r="C147" i="6"/>
  <c r="K162" i="6"/>
  <c r="H162" i="6" a="1"/>
  <c r="H162" i="6" s="1"/>
  <c r="G162" i="6"/>
  <c r="N162" i="6" s="1"/>
  <c r="F162" i="6"/>
  <c r="L162" i="6" s="1"/>
  <c r="J162" i="6" s="1"/>
  <c r="D162" i="6"/>
  <c r="C162" i="6"/>
  <c r="B103" i="12"/>
  <c r="B102" i="12"/>
  <c r="B101" i="12"/>
  <c r="B100" i="12"/>
  <c r="B99" i="12"/>
  <c r="B98" i="12"/>
  <c r="B97" i="12"/>
  <c r="K148" i="9"/>
  <c r="C148" i="4"/>
  <c r="K148" i="6"/>
  <c r="H148" i="6" a="1"/>
  <c r="H148" i="6" s="1"/>
  <c r="G148" i="6"/>
  <c r="N148" i="6" s="1"/>
  <c r="F148" i="6"/>
  <c r="L148" i="6" s="1"/>
  <c r="G131" i="15" s="1"/>
  <c r="C148" i="6"/>
  <c r="B107" i="12"/>
  <c r="B106" i="12"/>
  <c r="B105" i="12"/>
  <c r="B104" i="12"/>
  <c r="K149" i="9"/>
  <c r="C149" i="4"/>
  <c r="K149" i="6"/>
  <c r="H149" i="6" a="1"/>
  <c r="H149" i="6" s="1"/>
  <c r="G149" i="6"/>
  <c r="N149" i="6" s="1"/>
  <c r="F149" i="6"/>
  <c r="L149" i="6" s="1"/>
  <c r="C149" i="6"/>
  <c r="B111" i="12"/>
  <c r="B110" i="12"/>
  <c r="B109" i="12"/>
  <c r="B108" i="12"/>
  <c r="K150" i="9"/>
  <c r="C150" i="4"/>
  <c r="K150" i="6"/>
  <c r="H150" i="6" a="1"/>
  <c r="H150" i="6" s="1"/>
  <c r="G150" i="6"/>
  <c r="N150" i="6" s="1"/>
  <c r="F150" i="6"/>
  <c r="L150" i="6" s="1"/>
  <c r="G130" i="15" s="1"/>
  <c r="C150" i="6"/>
  <c r="B115" i="12"/>
  <c r="B114" i="12"/>
  <c r="B113" i="12"/>
  <c r="B112" i="12"/>
  <c r="K151" i="9"/>
  <c r="C151" i="4"/>
  <c r="K151" i="6"/>
  <c r="H151" i="6" a="1"/>
  <c r="H151" i="6" s="1"/>
  <c r="G151" i="6"/>
  <c r="N151" i="6" s="1"/>
  <c r="F151" i="6"/>
  <c r="L151" i="6" s="1"/>
  <c r="C151" i="6"/>
  <c r="B120" i="12"/>
  <c r="B119" i="12"/>
  <c r="B118" i="12"/>
  <c r="B117" i="12"/>
  <c r="B116" i="12"/>
  <c r="K152" i="9"/>
  <c r="C152" i="4"/>
  <c r="K152" i="6"/>
  <c r="H152" i="6" a="1"/>
  <c r="H152" i="6" s="1"/>
  <c r="G152" i="6"/>
  <c r="N152" i="6" s="1"/>
  <c r="F152" i="6"/>
  <c r="L152" i="6" s="1"/>
  <c r="C152" i="6"/>
  <c r="B124" i="12"/>
  <c r="B123" i="12"/>
  <c r="B122" i="12"/>
  <c r="B121" i="12"/>
  <c r="K153" i="9"/>
  <c r="C153" i="4"/>
  <c r="K153" i="6"/>
  <c r="H153" i="6" a="1"/>
  <c r="H153" i="6" s="1"/>
  <c r="G153" i="6"/>
  <c r="N153" i="6" s="1"/>
  <c r="F153" i="6"/>
  <c r="L153" i="6" s="1"/>
  <c r="C153" i="6"/>
  <c r="B127" i="12"/>
  <c r="B126" i="12"/>
  <c r="B125" i="12"/>
  <c r="K154" i="9"/>
  <c r="C154" i="4"/>
  <c r="K154" i="6"/>
  <c r="H154" i="6" a="1"/>
  <c r="H154" i="6" s="1"/>
  <c r="G154" i="6"/>
  <c r="N154" i="6" s="1"/>
  <c r="F154" i="6"/>
  <c r="L154" i="6" s="1"/>
  <c r="C154" i="6"/>
  <c r="B131" i="12"/>
  <c r="B130" i="12"/>
  <c r="B129" i="12"/>
  <c r="B128" i="12"/>
  <c r="K155" i="9"/>
  <c r="C155" i="4"/>
  <c r="K155" i="6"/>
  <c r="H155" i="6" a="1"/>
  <c r="H155" i="6" s="1"/>
  <c r="G155" i="6"/>
  <c r="N155" i="6" s="1"/>
  <c r="F155" i="6"/>
  <c r="L155" i="6" s="1"/>
  <c r="G640" i="15" s="1"/>
  <c r="C155" i="6"/>
  <c r="B12" i="12"/>
  <c r="B11" i="12"/>
  <c r="B10" i="12"/>
  <c r="B9" i="12"/>
  <c r="B8" i="12"/>
  <c r="K156" i="9"/>
  <c r="C156" i="4"/>
  <c r="K156" i="6"/>
  <c r="H156" i="6" a="1"/>
  <c r="H156" i="6" s="1"/>
  <c r="G156" i="6"/>
  <c r="N156" i="6" s="1"/>
  <c r="F156" i="6"/>
  <c r="L156" i="6" s="1"/>
  <c r="C156" i="6"/>
  <c r="B7" i="12"/>
  <c r="B6" i="12"/>
  <c r="B5" i="12"/>
  <c r="B4" i="12"/>
  <c r="B3" i="12"/>
  <c r="B2" i="12"/>
  <c r="K157" i="9"/>
  <c r="C157" i="4"/>
  <c r="K157" i="6"/>
  <c r="H157" i="6" a="1"/>
  <c r="H157" i="6" s="1"/>
  <c r="G157" i="6"/>
  <c r="N157" i="6" s="1"/>
  <c r="F157" i="6"/>
  <c r="L157" i="6" s="1"/>
  <c r="C157" i="6"/>
  <c r="B195" i="12"/>
  <c r="B194" i="12"/>
  <c r="B193" i="12"/>
  <c r="B192" i="12"/>
  <c r="B191" i="12"/>
  <c r="B190" i="12"/>
  <c r="B189" i="12"/>
  <c r="K158" i="9"/>
  <c r="C158" i="4"/>
  <c r="K158" i="6"/>
  <c r="H158" i="6" a="1"/>
  <c r="H158" i="6" s="1"/>
  <c r="G158" i="6"/>
  <c r="N158" i="6" s="1"/>
  <c r="F158" i="6"/>
  <c r="L158" i="6" s="1"/>
  <c r="C158" i="6"/>
  <c r="B201" i="12"/>
  <c r="B200" i="12"/>
  <c r="B199" i="12"/>
  <c r="B198" i="12"/>
  <c r="B197" i="12"/>
  <c r="B196" i="12"/>
  <c r="K159" i="9"/>
  <c r="C159" i="4"/>
  <c r="K159" i="6"/>
  <c r="H159" i="6" a="1"/>
  <c r="H159" i="6" s="1"/>
  <c r="G159" i="6"/>
  <c r="N159" i="6" s="1"/>
  <c r="F159" i="6"/>
  <c r="L159" i="6" s="1"/>
  <c r="C159" i="6"/>
  <c r="B207" i="12"/>
  <c r="B206" i="12"/>
  <c r="B205" i="12"/>
  <c r="B204" i="12"/>
  <c r="B203" i="12"/>
  <c r="B202" i="12"/>
  <c r="K160" i="9"/>
  <c r="C160" i="4"/>
  <c r="K160" i="6"/>
  <c r="H160" i="6" a="1"/>
  <c r="H160" i="6" s="1"/>
  <c r="G160" i="6"/>
  <c r="N160" i="6" s="1"/>
  <c r="F160" i="6"/>
  <c r="L160" i="6" s="1"/>
  <c r="G126" i="15" s="1"/>
  <c r="C160" i="6"/>
  <c r="B220" i="12"/>
  <c r="B219" i="12"/>
  <c r="B218" i="12"/>
  <c r="B217" i="12"/>
  <c r="K161" i="9"/>
  <c r="D20" i="2"/>
  <c r="G20" i="2" s="1"/>
  <c r="C161" i="4"/>
  <c r="K161" i="6"/>
  <c r="H161" i="6" a="1"/>
  <c r="H161" i="6" s="1"/>
  <c r="G161" i="6"/>
  <c r="N161" i="6" s="1"/>
  <c r="F161" i="6"/>
  <c r="L161" i="6" s="1"/>
  <c r="C161" i="6"/>
  <c r="B223" i="12"/>
  <c r="B222" i="12"/>
  <c r="B221" i="12"/>
  <c r="K162" i="9"/>
  <c r="D14" i="2"/>
  <c r="G14" i="2" s="1"/>
  <c r="C162" i="4"/>
  <c r="B212" i="12"/>
  <c r="B211" i="12"/>
  <c r="B210" i="12"/>
  <c r="B209" i="12"/>
  <c r="B208" i="12"/>
  <c r="K163" i="9"/>
  <c r="C163" i="4"/>
  <c r="K163" i="6"/>
  <c r="H163" i="6" a="1"/>
  <c r="H163" i="6" s="1"/>
  <c r="G163" i="6"/>
  <c r="N163" i="6" s="1"/>
  <c r="F163" i="6"/>
  <c r="L163" i="6" s="1"/>
  <c r="C163" i="6"/>
  <c r="B216" i="12"/>
  <c r="B215" i="12"/>
  <c r="B214" i="12"/>
  <c r="B213" i="12"/>
  <c r="K164" i="9"/>
  <c r="C164" i="4"/>
  <c r="K164" i="6"/>
  <c r="H164" i="6" a="1"/>
  <c r="H164" i="6" s="1"/>
  <c r="G164" i="6"/>
  <c r="N164" i="6" s="1"/>
  <c r="F164" i="6"/>
  <c r="L164" i="6" s="1"/>
  <c r="C164" i="6"/>
  <c r="C165" i="4"/>
  <c r="K165" i="6"/>
  <c r="H165" i="6" a="1"/>
  <c r="H165" i="6" s="1"/>
  <c r="G165" i="6"/>
  <c r="N165" i="6" s="1"/>
  <c r="F165" i="6"/>
  <c r="L165" i="6" s="1"/>
  <c r="G232" i="15" s="1"/>
  <c r="C165" i="6"/>
  <c r="C166" i="4"/>
  <c r="K166" i="6"/>
  <c r="H166" i="6" a="1"/>
  <c r="H166" i="6" s="1"/>
  <c r="G166" i="6"/>
  <c r="N166" i="6" s="1"/>
  <c r="F166" i="6"/>
  <c r="L166" i="6" s="1"/>
  <c r="C166" i="6"/>
  <c r="C167" i="4"/>
  <c r="K167" i="6"/>
  <c r="H167" i="6" a="1"/>
  <c r="H167" i="6" s="1"/>
  <c r="G167" i="6"/>
  <c r="N167" i="6" s="1"/>
  <c r="F167" i="6"/>
  <c r="L167" i="6" s="1"/>
  <c r="C167" i="6"/>
  <c r="B309" i="11"/>
  <c r="K168" i="9"/>
  <c r="C168" i="4"/>
  <c r="K168" i="6"/>
  <c r="H168" i="6" a="1"/>
  <c r="H168" i="6" s="1"/>
  <c r="G168" i="6"/>
  <c r="N168" i="6" s="1"/>
  <c r="F168" i="6"/>
  <c r="L168" i="6" s="1"/>
  <c r="C168" i="6"/>
  <c r="B80" i="13"/>
  <c r="B79" i="13"/>
  <c r="B78" i="13"/>
  <c r="K169" i="9"/>
  <c r="C169" i="4"/>
  <c r="K169" i="6"/>
  <c r="H169" i="6" a="1"/>
  <c r="H169" i="6" s="1"/>
  <c r="G169" i="6"/>
  <c r="N169" i="6" s="1"/>
  <c r="F169" i="6"/>
  <c r="L169" i="6" s="1"/>
  <c r="C169" i="6"/>
  <c r="B85" i="13"/>
  <c r="B84" i="13"/>
  <c r="B83" i="13"/>
  <c r="B82" i="13"/>
  <c r="B81" i="13"/>
  <c r="K170" i="9"/>
  <c r="C170" i="4"/>
  <c r="K170" i="6"/>
  <c r="H170" i="6" a="1"/>
  <c r="H170" i="6" s="1"/>
  <c r="G170" i="6"/>
  <c r="N170" i="6" s="1"/>
  <c r="F170" i="6"/>
  <c r="L170" i="6" s="1"/>
  <c r="G410" i="15" s="1"/>
  <c r="C170" i="6"/>
  <c r="B88" i="13"/>
  <c r="B87" i="13"/>
  <c r="B86" i="13"/>
  <c r="K171" i="9"/>
  <c r="C171" i="4"/>
  <c r="K171" i="6"/>
  <c r="H171" i="6" a="1"/>
  <c r="H171" i="6" s="1"/>
  <c r="G171" i="6"/>
  <c r="N171" i="6" s="1"/>
  <c r="F171" i="6"/>
  <c r="L171" i="6" s="1"/>
  <c r="G411" i="15" s="1"/>
  <c r="C171" i="6"/>
  <c r="B92" i="13"/>
  <c r="B91" i="13"/>
  <c r="B90" i="13"/>
  <c r="B89" i="13"/>
  <c r="K172" i="9"/>
  <c r="C172" i="4"/>
  <c r="K172" i="6"/>
  <c r="H172" i="6" a="1"/>
  <c r="H172" i="6" s="1"/>
  <c r="G172" i="6"/>
  <c r="N172" i="6" s="1"/>
  <c r="F172" i="6"/>
  <c r="L172" i="6" s="1"/>
  <c r="G412" i="15" s="1"/>
  <c r="C172" i="6"/>
  <c r="B94" i="13"/>
  <c r="B93" i="13"/>
  <c r="K173" i="9"/>
  <c r="C173" i="4"/>
  <c r="K173" i="6"/>
  <c r="H173" i="6" a="1"/>
  <c r="H173" i="6" s="1"/>
  <c r="G173" i="6"/>
  <c r="N173" i="6" s="1"/>
  <c r="F173" i="6"/>
  <c r="L173" i="6" s="1"/>
  <c r="G413" i="15" s="1"/>
  <c r="C173" i="6"/>
  <c r="B95" i="13"/>
  <c r="K174" i="9"/>
  <c r="C174" i="4"/>
  <c r="K174" i="6"/>
  <c r="H174" i="6" a="1"/>
  <c r="H174" i="6" s="1"/>
  <c r="G174" i="6"/>
  <c r="N174" i="6" s="1"/>
  <c r="F174" i="6"/>
  <c r="L174" i="6" s="1"/>
  <c r="G414" i="15" s="1"/>
  <c r="C174" i="6"/>
  <c r="B100" i="13"/>
  <c r="B99" i="13"/>
  <c r="B98" i="13"/>
  <c r="B97" i="13"/>
  <c r="B96" i="13"/>
  <c r="K175" i="9"/>
  <c r="C175" i="4"/>
  <c r="K175" i="6"/>
  <c r="H175" i="6" a="1"/>
  <c r="H175" i="6" s="1"/>
  <c r="G175" i="6"/>
  <c r="N175" i="6" s="1"/>
  <c r="F175" i="6"/>
  <c r="L175" i="6" s="1"/>
  <c r="C175" i="6"/>
  <c r="B102" i="13"/>
  <c r="B101" i="13"/>
  <c r="K176" i="9"/>
  <c r="C176" i="4"/>
  <c r="K176" i="6"/>
  <c r="H176" i="6" a="1"/>
  <c r="H176" i="6" s="1"/>
  <c r="G176" i="6"/>
  <c r="N176" i="6" s="1"/>
  <c r="F176" i="6"/>
  <c r="L176" i="6" s="1"/>
  <c r="C176" i="6"/>
  <c r="B107" i="13"/>
  <c r="B106" i="13"/>
  <c r="B105" i="13"/>
  <c r="B104" i="13"/>
  <c r="B103" i="13"/>
  <c r="K177" i="9"/>
  <c r="C177" i="4"/>
  <c r="K177" i="6"/>
  <c r="H177" i="6" a="1"/>
  <c r="H177" i="6" s="1"/>
  <c r="G177" i="6"/>
  <c r="N177" i="6" s="1"/>
  <c r="F177" i="6"/>
  <c r="L177" i="6" s="1"/>
  <c r="C177" i="6"/>
  <c r="B108" i="13"/>
  <c r="K178" i="9"/>
  <c r="C178" i="4"/>
  <c r="K178" i="6"/>
  <c r="H178" i="6" a="1"/>
  <c r="H178" i="6" s="1"/>
  <c r="G178" i="6"/>
  <c r="N178" i="6" s="1"/>
  <c r="F178" i="6"/>
  <c r="L178" i="6" s="1"/>
  <c r="C178" i="6"/>
  <c r="B26" i="13"/>
  <c r="K179" i="9"/>
  <c r="C179" i="4"/>
  <c r="K179" i="6"/>
  <c r="H179" i="6" a="1"/>
  <c r="H179" i="6" s="1"/>
  <c r="G179" i="6"/>
  <c r="N179" i="6" s="1"/>
  <c r="F179" i="6"/>
  <c r="L179" i="6" s="1"/>
  <c r="C179" i="6"/>
  <c r="B28" i="13"/>
  <c r="K180" i="9"/>
  <c r="C180" i="4"/>
  <c r="K180" i="6"/>
  <c r="H180" i="6" a="1"/>
  <c r="H180" i="6" s="1"/>
  <c r="G180" i="6"/>
  <c r="N180" i="6" s="1"/>
  <c r="F180" i="6"/>
  <c r="L180" i="6" s="1"/>
  <c r="G278" i="15" s="1"/>
  <c r="C180" i="6"/>
  <c r="B27" i="13"/>
  <c r="K181" i="9"/>
  <c r="C181" i="4"/>
  <c r="K181" i="6"/>
  <c r="H181" i="6" a="1"/>
  <c r="H181" i="6" s="1"/>
  <c r="G181" i="6"/>
  <c r="N181" i="6" s="1"/>
  <c r="F181" i="6"/>
  <c r="L181" i="6" s="1"/>
  <c r="C181" i="6"/>
  <c r="B29" i="13"/>
  <c r="K182" i="9"/>
  <c r="C182" i="4"/>
  <c r="K182" i="6"/>
  <c r="H182" i="6" a="1"/>
  <c r="H182" i="6" s="1"/>
  <c r="G182" i="6"/>
  <c r="N182" i="6" s="1"/>
  <c r="F182" i="6"/>
  <c r="L182" i="6" s="1"/>
  <c r="C182" i="6"/>
  <c r="B30" i="13"/>
  <c r="K183" i="9"/>
  <c r="C183" i="4"/>
  <c r="K183" i="6"/>
  <c r="H183" i="6" a="1"/>
  <c r="H183" i="6" s="1"/>
  <c r="G183" i="6"/>
  <c r="N183" i="6" s="1"/>
  <c r="F183" i="6"/>
  <c r="L183" i="6" s="1"/>
  <c r="C183" i="6"/>
  <c r="B31" i="13"/>
  <c r="K184" i="9"/>
  <c r="C184" i="4"/>
  <c r="K184" i="6"/>
  <c r="H184" i="6" a="1"/>
  <c r="H184" i="6" s="1"/>
  <c r="G184" i="6"/>
  <c r="N184" i="6" s="1"/>
  <c r="F184" i="6"/>
  <c r="L184" i="6" s="1"/>
  <c r="C184" i="6"/>
  <c r="B6" i="13"/>
  <c r="B5" i="13"/>
  <c r="B4" i="13"/>
  <c r="B3" i="13"/>
  <c r="B2" i="13"/>
  <c r="K185" i="9"/>
  <c r="C185" i="4"/>
  <c r="K185" i="6"/>
  <c r="H185" i="6" a="1"/>
  <c r="H185" i="6" s="1"/>
  <c r="G185" i="6"/>
  <c r="N185" i="6" s="1"/>
  <c r="F185" i="6"/>
  <c r="L185" i="6" s="1"/>
  <c r="C185" i="6"/>
  <c r="B12" i="13"/>
  <c r="B11" i="13"/>
  <c r="B10" i="13"/>
  <c r="B9" i="13"/>
  <c r="B8" i="13"/>
  <c r="B7" i="13"/>
  <c r="K186" i="9"/>
  <c r="C186" i="4"/>
  <c r="K186" i="6"/>
  <c r="H186" i="6" a="1"/>
  <c r="H186" i="6" s="1"/>
  <c r="G186" i="6"/>
  <c r="N186" i="6" s="1"/>
  <c r="F186" i="6"/>
  <c r="L186" i="6" s="1"/>
  <c r="C186" i="6"/>
  <c r="B15" i="13"/>
  <c r="B14" i="13"/>
  <c r="B13" i="13"/>
  <c r="K187" i="9"/>
  <c r="C187" i="4"/>
  <c r="K187" i="6"/>
  <c r="H187" i="6" a="1"/>
  <c r="H187" i="6" s="1"/>
  <c r="G187" i="6"/>
  <c r="N187" i="6" s="1"/>
  <c r="F187" i="6"/>
  <c r="L187" i="6" s="1"/>
  <c r="C187" i="6"/>
  <c r="B18" i="13"/>
  <c r="B17" i="13"/>
  <c r="B16" i="13"/>
  <c r="K188" i="9"/>
  <c r="C188" i="4"/>
  <c r="K188" i="6"/>
  <c r="H188" i="6" a="1"/>
  <c r="H188" i="6" s="1"/>
  <c r="G188" i="6"/>
  <c r="N188" i="6" s="1"/>
  <c r="F188" i="6"/>
  <c r="L188" i="6" s="1"/>
  <c r="C188" i="6"/>
  <c r="B20" i="13"/>
  <c r="B19" i="13"/>
  <c r="K189" i="9"/>
  <c r="C189" i="4"/>
  <c r="K189" i="6"/>
  <c r="H189" i="6" a="1"/>
  <c r="H189" i="6" s="1"/>
  <c r="G189" i="6"/>
  <c r="N189" i="6" s="1"/>
  <c r="F189" i="6"/>
  <c r="L189" i="6" s="1"/>
  <c r="G459" i="15" s="1"/>
  <c r="C189" i="6"/>
  <c r="B22" i="13"/>
  <c r="B21" i="13"/>
  <c r="K190" i="9"/>
  <c r="C190" i="4"/>
  <c r="K190" i="6"/>
  <c r="H190" i="6" a="1"/>
  <c r="H190" i="6" s="1"/>
  <c r="G190" i="6"/>
  <c r="N190" i="6" s="1"/>
  <c r="F190" i="6"/>
  <c r="L190" i="6" s="1"/>
  <c r="C190" i="6"/>
  <c r="B25" i="13"/>
  <c r="B24" i="13"/>
  <c r="B23" i="13"/>
  <c r="K191" i="9"/>
  <c r="C191" i="4"/>
  <c r="K191" i="6"/>
  <c r="H191" i="6" a="1"/>
  <c r="H191" i="6" s="1"/>
  <c r="G191" i="6"/>
  <c r="N191" i="6" s="1"/>
  <c r="F191" i="6"/>
  <c r="L191" i="6" s="1"/>
  <c r="G826" i="15" s="1"/>
  <c r="C191" i="6"/>
  <c r="B34" i="13"/>
  <c r="B33" i="13"/>
  <c r="B32" i="13"/>
  <c r="K192" i="9"/>
  <c r="C192" i="4"/>
  <c r="K192" i="6"/>
  <c r="H192" i="6" a="1"/>
  <c r="H192" i="6" s="1"/>
  <c r="G192" i="6"/>
  <c r="N192" i="6" s="1"/>
  <c r="F192" i="6"/>
  <c r="L192" i="6" s="1"/>
  <c r="G780" i="15" s="1"/>
  <c r="C192" i="6"/>
  <c r="B59" i="13"/>
  <c r="B58" i="13"/>
  <c r="B57" i="13"/>
  <c r="B56" i="13"/>
  <c r="B55" i="13"/>
  <c r="K193" i="9"/>
  <c r="C193" i="4"/>
  <c r="K193" i="6"/>
  <c r="H193" i="6" a="1"/>
  <c r="H193" i="6" s="1"/>
  <c r="G193" i="6"/>
  <c r="N193" i="6" s="1"/>
  <c r="F193" i="6"/>
  <c r="L193" i="6" s="1"/>
  <c r="G140" i="15" s="1"/>
  <c r="C193" i="6"/>
  <c r="B65" i="13"/>
  <c r="B64" i="13"/>
  <c r="B63" i="13"/>
  <c r="B62" i="13"/>
  <c r="B61" i="13"/>
  <c r="B60" i="13"/>
  <c r="K194" i="9"/>
  <c r="C194" i="4"/>
  <c r="K194" i="6"/>
  <c r="H194" i="6" a="1"/>
  <c r="H194" i="6" s="1"/>
  <c r="G194" i="6"/>
  <c r="N194" i="6" s="1"/>
  <c r="F194" i="6"/>
  <c r="L194" i="6" s="1"/>
  <c r="G382" i="15" s="1"/>
  <c r="C194" i="6"/>
  <c r="B68" i="13"/>
  <c r="B67" i="13"/>
  <c r="B66" i="13"/>
  <c r="K195" i="9"/>
  <c r="C195" i="4"/>
  <c r="K195" i="6"/>
  <c r="H195" i="6" a="1"/>
  <c r="H195" i="6" s="1"/>
  <c r="G195" i="6"/>
  <c r="N195" i="6" s="1"/>
  <c r="F195" i="6"/>
  <c r="L195" i="6" s="1"/>
  <c r="C195" i="6"/>
  <c r="B71" i="13"/>
  <c r="B70" i="13"/>
  <c r="B69" i="13"/>
  <c r="K196" i="9"/>
  <c r="C196" i="4"/>
  <c r="K196" i="6"/>
  <c r="H196" i="6" a="1"/>
  <c r="H196" i="6" s="1"/>
  <c r="G196" i="6"/>
  <c r="N196" i="6" s="1"/>
  <c r="F196" i="6"/>
  <c r="L196" i="6" s="1"/>
  <c r="G25" i="15" s="1"/>
  <c r="C196" i="6"/>
  <c r="B73" i="13"/>
  <c r="B72" i="13"/>
  <c r="K197" i="9"/>
  <c r="C197" i="4"/>
  <c r="K197" i="6"/>
  <c r="H197" i="6" a="1"/>
  <c r="H197" i="6" s="1"/>
  <c r="G197" i="6"/>
  <c r="N197" i="6" s="1"/>
  <c r="F197" i="6"/>
  <c r="L197" i="6" s="1"/>
  <c r="C197" i="6"/>
  <c r="B75" i="13"/>
  <c r="B74" i="13"/>
  <c r="K198" i="9"/>
  <c r="C198" i="4"/>
  <c r="K198" i="6"/>
  <c r="H198" i="6" a="1"/>
  <c r="H198" i="6" s="1"/>
  <c r="G198" i="6"/>
  <c r="N198" i="6" s="1"/>
  <c r="F198" i="6"/>
  <c r="L198" i="6" s="1"/>
  <c r="C198" i="6"/>
  <c r="B77" i="13"/>
  <c r="B76" i="13"/>
  <c r="K199" i="9"/>
  <c r="C199" i="4"/>
  <c r="K199" i="6"/>
  <c r="H199" i="6" a="1"/>
  <c r="H199" i="6" s="1"/>
  <c r="G199" i="6"/>
  <c r="N199" i="6" s="1"/>
  <c r="F199" i="6"/>
  <c r="L199" i="6" s="1"/>
  <c r="G784" i="15" s="1"/>
  <c r="C199" i="6"/>
  <c r="B39" i="13"/>
  <c r="B38" i="13"/>
  <c r="B37" i="13"/>
  <c r="B36" i="13"/>
  <c r="B35" i="13"/>
  <c r="K200" i="9"/>
  <c r="C200" i="4"/>
  <c r="K200" i="6"/>
  <c r="H200" i="6" a="1"/>
  <c r="H200" i="6" s="1"/>
  <c r="G200" i="6"/>
  <c r="N200" i="6" s="1"/>
  <c r="F200" i="6"/>
  <c r="L200" i="6" s="1"/>
  <c r="C200" i="6"/>
  <c r="B44" i="13"/>
  <c r="B43" i="13"/>
  <c r="B42" i="13"/>
  <c r="B41" i="13"/>
  <c r="B40" i="13"/>
  <c r="K201" i="9"/>
  <c r="C201" i="4"/>
  <c r="K201" i="6"/>
  <c r="H201" i="6" a="1"/>
  <c r="H201" i="6" s="1"/>
  <c r="G201" i="6"/>
  <c r="N201" i="6" s="1"/>
  <c r="F201" i="6"/>
  <c r="L201" i="6" s="1"/>
  <c r="G246" i="15" s="1"/>
  <c r="C201" i="6"/>
  <c r="B49" i="13"/>
  <c r="B48" i="13"/>
  <c r="B47" i="13"/>
  <c r="B46" i="13"/>
  <c r="B45" i="13"/>
  <c r="K202" i="9"/>
  <c r="C202" i="4"/>
  <c r="K202" i="6"/>
  <c r="H202" i="6" a="1"/>
  <c r="H202" i="6" s="1"/>
  <c r="G202" i="6"/>
  <c r="N202" i="6" s="1"/>
  <c r="F202" i="6"/>
  <c r="L202" i="6" s="1"/>
  <c r="G251" i="15" s="1"/>
  <c r="C202" i="6"/>
  <c r="B51" i="13"/>
  <c r="B50" i="13"/>
  <c r="K203" i="9"/>
  <c r="C203" i="4"/>
  <c r="K203" i="6"/>
  <c r="H203" i="6" a="1"/>
  <c r="H203" i="6" s="1"/>
  <c r="G203" i="6"/>
  <c r="N203" i="6" s="1"/>
  <c r="F203" i="6"/>
  <c r="L203" i="6" s="1"/>
  <c r="C203" i="6"/>
  <c r="B54" i="13"/>
  <c r="B53" i="13"/>
  <c r="B52" i="13"/>
  <c r="K204" i="9"/>
  <c r="C204" i="4"/>
  <c r="K204" i="6"/>
  <c r="H204" i="6" a="1"/>
  <c r="H204" i="6" s="1"/>
  <c r="G204" i="6"/>
  <c r="N204" i="6" s="1"/>
  <c r="F204" i="6"/>
  <c r="L204" i="6" s="1"/>
  <c r="C204" i="6"/>
  <c r="B59" i="14"/>
  <c r="K205" i="9"/>
  <c r="C205" i="4"/>
  <c r="K205" i="6"/>
  <c r="H205" i="6" a="1"/>
  <c r="H205" i="6" s="1"/>
  <c r="G205" i="6"/>
  <c r="N205" i="6" s="1"/>
  <c r="F205" i="6"/>
  <c r="L205" i="6" s="1"/>
  <c r="C205" i="6"/>
  <c r="B60" i="14"/>
  <c r="K206" i="9"/>
  <c r="D17" i="2"/>
  <c r="G17" i="2" s="1"/>
  <c r="C206" i="4"/>
  <c r="K206" i="6"/>
  <c r="H206" i="6" a="1"/>
  <c r="H206" i="6" s="1"/>
  <c r="G206" i="6"/>
  <c r="N206" i="6" s="1"/>
  <c r="F206" i="6"/>
  <c r="L206" i="6" s="1"/>
  <c r="C206" i="6"/>
  <c r="B58" i="14"/>
  <c r="B57" i="14"/>
  <c r="K207" i="9"/>
  <c r="C207" i="4"/>
  <c r="K207" i="6"/>
  <c r="H207" i="6" a="1"/>
  <c r="H207" i="6" s="1"/>
  <c r="G207" i="6"/>
  <c r="N207" i="6" s="1"/>
  <c r="F207" i="6"/>
  <c r="L207" i="6" s="1"/>
  <c r="G151" i="15" s="1"/>
  <c r="C207" i="6"/>
  <c r="B62" i="14"/>
  <c r="B61" i="14"/>
  <c r="K208" i="9"/>
  <c r="C208" i="4"/>
  <c r="K208" i="6"/>
  <c r="H208" i="6" a="1"/>
  <c r="H208" i="6" s="1"/>
  <c r="G208" i="6"/>
  <c r="N208" i="6" s="1"/>
  <c r="F208" i="6"/>
  <c r="L208" i="6" s="1"/>
  <c r="C208" i="6"/>
  <c r="B63" i="14"/>
  <c r="K209" i="9"/>
  <c r="C209" i="4"/>
  <c r="K209" i="6"/>
  <c r="H209" i="6" a="1"/>
  <c r="H209" i="6" s="1"/>
  <c r="G209" i="6"/>
  <c r="N209" i="6" s="1"/>
  <c r="F209" i="6"/>
  <c r="L209" i="6" s="1"/>
  <c r="G291" i="15" s="1"/>
  <c r="C209" i="6"/>
  <c r="B65" i="14"/>
  <c r="B64" i="14"/>
  <c r="K210" i="9"/>
  <c r="C210" i="4"/>
  <c r="K210" i="6"/>
  <c r="H210" i="6" a="1"/>
  <c r="H210" i="6" s="1"/>
  <c r="G210" i="6"/>
  <c r="N210" i="6" s="1"/>
  <c r="F210" i="6"/>
  <c r="L210" i="6" s="1"/>
  <c r="G28" i="15" s="1"/>
  <c r="C210" i="6"/>
  <c r="B68" i="14"/>
  <c r="B67" i="14"/>
  <c r="B66" i="14"/>
  <c r="K211" i="9"/>
  <c r="C211" i="4"/>
  <c r="K211" i="6"/>
  <c r="H211" i="6" a="1"/>
  <c r="H211" i="6" s="1"/>
  <c r="G211" i="6"/>
  <c r="N211" i="6" s="1"/>
  <c r="F211" i="6"/>
  <c r="L211" i="6" s="1"/>
  <c r="G457" i="15" s="1"/>
  <c r="C211" i="6"/>
  <c r="B101" i="14"/>
  <c r="B100" i="14"/>
  <c r="K212" i="9"/>
  <c r="C212" i="4"/>
  <c r="K212" i="6"/>
  <c r="H212" i="6" a="1"/>
  <c r="H212" i="6" s="1"/>
  <c r="G212" i="6"/>
  <c r="N212" i="6" s="1"/>
  <c r="F212" i="6"/>
  <c r="L212" i="6" s="1"/>
  <c r="G136" i="15" s="1"/>
  <c r="C212" i="6"/>
  <c r="B71" i="14"/>
  <c r="K213" i="9"/>
  <c r="D3" i="2"/>
  <c r="G3" i="2" s="1"/>
  <c r="C213" i="4"/>
  <c r="K213" i="6"/>
  <c r="H213" i="6" a="1"/>
  <c r="H213" i="6" s="1"/>
  <c r="G213" i="6"/>
  <c r="N213" i="6" s="1"/>
  <c r="F213" i="6"/>
  <c r="L213" i="6" s="1"/>
  <c r="G241" i="15" s="1"/>
  <c r="C213" i="6"/>
  <c r="B70" i="14"/>
  <c r="B69" i="14"/>
  <c r="K214" i="9"/>
  <c r="C214" i="4"/>
  <c r="K214" i="6"/>
  <c r="H214" i="6" a="1"/>
  <c r="H214" i="6" s="1"/>
  <c r="G214" i="6"/>
  <c r="N214" i="6" s="1"/>
  <c r="F214" i="6"/>
  <c r="L214" i="6" s="1"/>
  <c r="C214" i="6"/>
  <c r="B75" i="14"/>
  <c r="B74" i="14"/>
  <c r="B73" i="14"/>
  <c r="B72" i="14"/>
  <c r="K215" i="9"/>
  <c r="C215" i="4"/>
  <c r="K215" i="6"/>
  <c r="H215" i="6" a="1"/>
  <c r="H215" i="6" s="1"/>
  <c r="G215" i="6"/>
  <c r="N215" i="6" s="1"/>
  <c r="F215" i="6"/>
  <c r="L215" i="6" s="1"/>
  <c r="C215" i="6"/>
  <c r="B82" i="14"/>
  <c r="B81" i="14"/>
  <c r="B80" i="14"/>
  <c r="B79" i="14"/>
  <c r="K216" i="9"/>
  <c r="C216" i="4"/>
  <c r="K216" i="6"/>
  <c r="H216" i="6" a="1"/>
  <c r="H216" i="6" s="1"/>
  <c r="G216" i="6"/>
  <c r="N216" i="6" s="1"/>
  <c r="F216" i="6"/>
  <c r="L216" i="6" s="1"/>
  <c r="C216" i="6"/>
  <c r="B78" i="14"/>
  <c r="B77" i="14"/>
  <c r="B76" i="14"/>
  <c r="K217" i="9"/>
  <c r="C217" i="4"/>
  <c r="K217" i="6"/>
  <c r="H217" i="6" a="1"/>
  <c r="H217" i="6" s="1"/>
  <c r="G217" i="6"/>
  <c r="N217" i="6" s="1"/>
  <c r="F217" i="6"/>
  <c r="L217" i="6" s="1"/>
  <c r="G211" i="15" s="1"/>
  <c r="C217" i="6"/>
  <c r="B85" i="14"/>
  <c r="B84" i="14"/>
  <c r="B83" i="14"/>
  <c r="K218" i="9"/>
  <c r="C218" i="4"/>
  <c r="K218" i="6"/>
  <c r="H218" i="6" a="1"/>
  <c r="H218" i="6" s="1"/>
  <c r="G218" i="6"/>
  <c r="N218" i="6" s="1"/>
  <c r="F218" i="6"/>
  <c r="L218" i="6" s="1"/>
  <c r="C218" i="6"/>
  <c r="B99" i="14"/>
  <c r="B98" i="14"/>
  <c r="B97" i="14"/>
  <c r="B96" i="14"/>
  <c r="B89" i="14"/>
  <c r="B88" i="14"/>
  <c r="B87" i="14"/>
  <c r="B86" i="14"/>
  <c r="K219" i="9"/>
  <c r="C219" i="4"/>
  <c r="K219" i="6"/>
  <c r="H219" i="6" a="1"/>
  <c r="H219" i="6" s="1"/>
  <c r="G219" i="6"/>
  <c r="N219" i="6" s="1"/>
  <c r="F219" i="6"/>
  <c r="L219" i="6" s="1"/>
  <c r="G384" i="15" s="1"/>
  <c r="C219" i="6"/>
  <c r="B92" i="14"/>
  <c r="B91" i="14"/>
  <c r="B90" i="14"/>
  <c r="K220" i="9"/>
  <c r="C220" i="4"/>
  <c r="K220" i="6"/>
  <c r="H220" i="6" a="1"/>
  <c r="H220" i="6" s="1"/>
  <c r="G220" i="6"/>
  <c r="N220" i="6" s="1"/>
  <c r="F220" i="6"/>
  <c r="L220" i="6" s="1"/>
  <c r="C220" i="6"/>
  <c r="C221" i="4"/>
  <c r="K221" i="6"/>
  <c r="H221" i="6" a="1"/>
  <c r="H221" i="6" s="1"/>
  <c r="G221" i="6"/>
  <c r="N221" i="6" s="1"/>
  <c r="F221" i="6"/>
  <c r="L221" i="6" s="1"/>
  <c r="C221" i="6"/>
  <c r="C222" i="4"/>
  <c r="K222" i="6"/>
  <c r="H222" i="6" a="1"/>
  <c r="H222" i="6" s="1"/>
  <c r="G222" i="6"/>
  <c r="N222" i="6" s="1"/>
  <c r="F222" i="6"/>
  <c r="L222" i="6" s="1"/>
  <c r="C222" i="6"/>
  <c r="C223" i="4"/>
  <c r="K223" i="6"/>
  <c r="H223" i="6" a="1"/>
  <c r="H223" i="6" s="1"/>
  <c r="G223" i="6"/>
  <c r="N223" i="6" s="1"/>
  <c r="F223" i="6"/>
  <c r="L223" i="6" s="1"/>
  <c r="G644" i="15" s="1"/>
  <c r="C223" i="6"/>
  <c r="B108" i="14"/>
  <c r="B107" i="14"/>
  <c r="B106" i="14"/>
  <c r="B105" i="14"/>
  <c r="B104" i="14"/>
  <c r="B103" i="14"/>
  <c r="B102" i="14"/>
  <c r="K224" i="9"/>
  <c r="C224" i="4"/>
  <c r="K224" i="6"/>
  <c r="H224" i="6" a="1"/>
  <c r="H224" i="6" s="1"/>
  <c r="G224" i="6"/>
  <c r="N224" i="6" s="1"/>
  <c r="F224" i="6"/>
  <c r="L224" i="6" s="1"/>
  <c r="C224" i="6"/>
  <c r="B112" i="14"/>
  <c r="B111" i="14"/>
  <c r="B110" i="14"/>
  <c r="B109" i="14"/>
  <c r="K225" i="9"/>
  <c r="C225" i="4"/>
  <c r="K225" i="6"/>
  <c r="H225" i="6" a="1"/>
  <c r="H225" i="6" s="1"/>
  <c r="G225" i="6"/>
  <c r="N225" i="6" s="1"/>
  <c r="F225" i="6"/>
  <c r="L225" i="6" s="1"/>
  <c r="C225" i="6"/>
  <c r="B119" i="14"/>
  <c r="B118" i="14"/>
  <c r="B117" i="14"/>
  <c r="K226" i="9"/>
  <c r="C226" i="4"/>
  <c r="K226" i="6"/>
  <c r="H226" i="6" a="1"/>
  <c r="H226" i="6" s="1"/>
  <c r="G226" i="6"/>
  <c r="N226" i="6" s="1"/>
  <c r="F226" i="6"/>
  <c r="L226" i="6" s="1"/>
  <c r="C226" i="6"/>
  <c r="B126" i="14"/>
  <c r="B125" i="14"/>
  <c r="B124" i="14"/>
  <c r="B123" i="14"/>
  <c r="B122" i="14"/>
  <c r="K227" i="9"/>
  <c r="C227" i="4"/>
  <c r="K227" i="6"/>
  <c r="H227" i="6" a="1"/>
  <c r="H227" i="6" s="1"/>
  <c r="G227" i="6"/>
  <c r="N227" i="6" s="1"/>
  <c r="F227" i="6"/>
  <c r="L227" i="6" s="1"/>
  <c r="C227" i="6"/>
  <c r="B116" i="14"/>
  <c r="B115" i="14"/>
  <c r="B114" i="14"/>
  <c r="B113" i="14"/>
  <c r="K228" i="9"/>
  <c r="C228" i="4"/>
  <c r="K228" i="6"/>
  <c r="H228" i="6" a="1"/>
  <c r="H228" i="6" s="1"/>
  <c r="G228" i="6"/>
  <c r="N228" i="6" s="1"/>
  <c r="F228" i="6"/>
  <c r="L228" i="6" s="1"/>
  <c r="C228" i="6"/>
  <c r="C229" i="4"/>
  <c r="K229" i="6"/>
  <c r="H229" i="6" a="1"/>
  <c r="H229" i="6" s="1"/>
  <c r="G229" i="6"/>
  <c r="N229" i="6" s="1"/>
  <c r="F229" i="6"/>
  <c r="L229" i="6" s="1"/>
  <c r="C229" i="6"/>
  <c r="C230" i="4"/>
  <c r="K230" i="6"/>
  <c r="H230" i="6" a="1"/>
  <c r="H230" i="6" s="1"/>
  <c r="G230" i="6"/>
  <c r="N230" i="6" s="1"/>
  <c r="F230" i="6"/>
  <c r="L230" i="6" s="1"/>
  <c r="C230" i="6"/>
  <c r="B121" i="14"/>
  <c r="B120" i="14"/>
  <c r="K231" i="9"/>
  <c r="C231" i="4"/>
  <c r="K231" i="6"/>
  <c r="H231" i="6" a="1"/>
  <c r="H231" i="6" s="1"/>
  <c r="G231" i="6"/>
  <c r="N231" i="6" s="1"/>
  <c r="F231" i="6"/>
  <c r="L231" i="6" s="1"/>
  <c r="G820" i="15" s="1"/>
  <c r="C231" i="6"/>
  <c r="B129" i="14"/>
  <c r="B128" i="14"/>
  <c r="B127" i="14"/>
  <c r="K232" i="9"/>
  <c r="C232" i="4"/>
  <c r="K232" i="6"/>
  <c r="H232" i="6" a="1"/>
  <c r="H232" i="6" s="1"/>
  <c r="G232" i="6"/>
  <c r="N232" i="6" s="1"/>
  <c r="F232" i="6"/>
  <c r="L232" i="6" s="1"/>
  <c r="G813" i="15" s="1"/>
  <c r="C232" i="6"/>
  <c r="B132" i="14"/>
  <c r="B131" i="14"/>
  <c r="B130" i="14"/>
  <c r="K233" i="9"/>
  <c r="C233" i="4"/>
  <c r="K233" i="6"/>
  <c r="H233" i="6" a="1"/>
  <c r="H233" i="6" s="1"/>
  <c r="G233" i="6"/>
  <c r="N233" i="6" s="1"/>
  <c r="F233" i="6"/>
  <c r="L233" i="6" s="1"/>
  <c r="C233" i="6"/>
  <c r="B140" i="14"/>
  <c r="B139" i="14"/>
  <c r="B138" i="14"/>
  <c r="B137" i="14"/>
  <c r="K234" i="9"/>
  <c r="C234" i="4"/>
  <c r="K234" i="6"/>
  <c r="H234" i="6" a="1"/>
  <c r="H234" i="6" s="1"/>
  <c r="G234" i="6"/>
  <c r="N234" i="6" s="1"/>
  <c r="F234" i="6"/>
  <c r="L234" i="6" s="1"/>
  <c r="C234" i="6"/>
  <c r="B136" i="14"/>
  <c r="B135" i="14"/>
  <c r="K235" i="9"/>
  <c r="C235" i="4"/>
  <c r="K235" i="6"/>
  <c r="H235" i="6" a="1"/>
  <c r="H235" i="6" s="1"/>
  <c r="G235" i="6"/>
  <c r="N235" i="6" s="1"/>
  <c r="F235" i="6"/>
  <c r="L235" i="6" s="1"/>
  <c r="C235" i="6"/>
  <c r="B134" i="14"/>
  <c r="B133" i="14"/>
  <c r="K236" i="9"/>
  <c r="C236" i="4"/>
  <c r="K236" i="6"/>
  <c r="H236" i="6" a="1"/>
  <c r="H236" i="6" s="1"/>
  <c r="G236" i="6"/>
  <c r="N236" i="6" s="1"/>
  <c r="F236" i="6"/>
  <c r="L236" i="6" s="1"/>
  <c r="C236" i="6"/>
  <c r="C237" i="4"/>
  <c r="K237" i="6"/>
  <c r="H237" i="6" a="1"/>
  <c r="H237" i="6" s="1"/>
  <c r="G237" i="6"/>
  <c r="N237" i="6" s="1"/>
  <c r="F237" i="6"/>
  <c r="L237" i="6" s="1"/>
  <c r="C237" i="6"/>
  <c r="B16" i="14"/>
  <c r="K238" i="9"/>
  <c r="D26" i="2"/>
  <c r="G26" i="2" s="1"/>
  <c r="D2" i="2"/>
  <c r="G2" i="2" s="1"/>
  <c r="C238" i="4"/>
  <c r="K238" i="6"/>
  <c r="H238" i="6" a="1"/>
  <c r="H238" i="6" s="1"/>
  <c r="G238" i="6"/>
  <c r="N238" i="6" s="1"/>
  <c r="F238" i="6"/>
  <c r="L238" i="6" s="1"/>
  <c r="G898" i="15" s="1"/>
  <c r="C238" i="6"/>
  <c r="B15" i="14"/>
  <c r="K239" i="9"/>
  <c r="C239" i="4"/>
  <c r="K239" i="6"/>
  <c r="H239" i="6" a="1"/>
  <c r="H239" i="6" s="1"/>
  <c r="G239" i="6"/>
  <c r="N239" i="6" s="1"/>
  <c r="F239" i="6"/>
  <c r="L239" i="6" s="1"/>
  <c r="C239" i="6"/>
  <c r="B11" i="14"/>
  <c r="K240" i="9"/>
  <c r="C240" i="4"/>
  <c r="K240" i="6"/>
  <c r="H240" i="6" a="1"/>
  <c r="H240" i="6" s="1"/>
  <c r="G240" i="6"/>
  <c r="N240" i="6" s="1"/>
  <c r="F240" i="6"/>
  <c r="L240" i="6" s="1"/>
  <c r="G899" i="15" s="1"/>
  <c r="C240" i="6"/>
  <c r="B7" i="14"/>
  <c r="K241" i="9"/>
  <c r="C241" i="4"/>
  <c r="K241" i="6"/>
  <c r="H241" i="6" a="1"/>
  <c r="H241" i="6" s="1"/>
  <c r="G241" i="6"/>
  <c r="N241" i="6" s="1"/>
  <c r="F241" i="6"/>
  <c r="L241" i="6" s="1"/>
  <c r="C241" i="6"/>
  <c r="B12" i="14"/>
  <c r="K242" i="9"/>
  <c r="C242" i="4"/>
  <c r="K242" i="6"/>
  <c r="H242" i="6" a="1"/>
  <c r="H242" i="6" s="1"/>
  <c r="G242" i="6"/>
  <c r="N242" i="6" s="1"/>
  <c r="F242" i="6"/>
  <c r="L242" i="6" s="1"/>
  <c r="C242" i="6"/>
  <c r="B14" i="14"/>
  <c r="K243" i="9"/>
  <c r="C243" i="4"/>
  <c r="K243" i="6"/>
  <c r="H243" i="6" a="1"/>
  <c r="H243" i="6" s="1"/>
  <c r="G243" i="6"/>
  <c r="N243" i="6" s="1"/>
  <c r="F243" i="6"/>
  <c r="L243" i="6" s="1"/>
  <c r="C243" i="6"/>
  <c r="B13" i="14"/>
  <c r="K244" i="9"/>
  <c r="C244" i="4"/>
  <c r="K244" i="6"/>
  <c r="H244" i="6" a="1"/>
  <c r="H244" i="6" s="1"/>
  <c r="G244" i="6"/>
  <c r="N244" i="6" s="1"/>
  <c r="F244" i="6"/>
  <c r="L244" i="6" s="1"/>
  <c r="C244" i="6"/>
  <c r="B6" i="14"/>
  <c r="K245" i="9"/>
  <c r="C245" i="4"/>
  <c r="K245" i="6"/>
  <c r="H245" i="6" a="1"/>
  <c r="H245" i="6" s="1"/>
  <c r="G245" i="6"/>
  <c r="N245" i="6" s="1"/>
  <c r="F245" i="6"/>
  <c r="L245" i="6" s="1"/>
  <c r="C245" i="6"/>
  <c r="B10" i="14"/>
  <c r="B9" i="14"/>
  <c r="K246" i="9"/>
  <c r="C246" i="4"/>
  <c r="K246" i="6"/>
  <c r="H246" i="6" a="1"/>
  <c r="H246" i="6" s="1"/>
  <c r="G246" i="6"/>
  <c r="N246" i="6" s="1"/>
  <c r="F246" i="6"/>
  <c r="L246" i="6" s="1"/>
  <c r="G785" i="15" s="1"/>
  <c r="C246" i="6"/>
  <c r="B8" i="14"/>
  <c r="K247" i="9"/>
  <c r="C247" i="4"/>
  <c r="K247" i="6"/>
  <c r="H247" i="6" a="1"/>
  <c r="H247" i="6" s="1"/>
  <c r="G247" i="6"/>
  <c r="N247" i="6" s="1"/>
  <c r="F247" i="6"/>
  <c r="L247" i="6" s="1"/>
  <c r="G787" i="15" s="1"/>
  <c r="C247" i="6"/>
  <c r="B5" i="14"/>
  <c r="B4" i="14"/>
  <c r="B3" i="14"/>
  <c r="B2" i="14"/>
  <c r="K248" i="9"/>
  <c r="C248" i="4"/>
  <c r="K248" i="6"/>
  <c r="H248" i="6" a="1"/>
  <c r="H248" i="6" s="1"/>
  <c r="G248" i="6"/>
  <c r="N248" i="6" s="1"/>
  <c r="F248" i="6"/>
  <c r="L248" i="6" s="1"/>
  <c r="G714" i="15" s="1"/>
  <c r="C248" i="6"/>
  <c r="B19" i="14"/>
  <c r="B18" i="14"/>
  <c r="B17" i="14"/>
  <c r="K249" i="9"/>
  <c r="C249" i="4"/>
  <c r="K249" i="6"/>
  <c r="H249" i="6" a="1"/>
  <c r="H249" i="6" s="1"/>
  <c r="G249" i="6"/>
  <c r="N249" i="6" s="1"/>
  <c r="F249" i="6"/>
  <c r="L249" i="6" s="1"/>
  <c r="G713" i="15" s="1"/>
  <c r="C249" i="6"/>
  <c r="B23" i="14"/>
  <c r="B22" i="14"/>
  <c r="B21" i="14"/>
  <c r="B20" i="14"/>
  <c r="K250" i="9"/>
  <c r="D4" i="2"/>
  <c r="G4" i="2" s="1"/>
  <c r="C250" i="4"/>
  <c r="K250" i="6"/>
  <c r="H250" i="6" a="1"/>
  <c r="H250" i="6" s="1"/>
  <c r="G250" i="6"/>
  <c r="N250" i="6" s="1"/>
  <c r="F250" i="6"/>
  <c r="L250" i="6" s="1"/>
  <c r="G710" i="15" s="1"/>
  <c r="C250" i="6"/>
  <c r="B26" i="14"/>
  <c r="B25" i="14"/>
  <c r="B24" i="14"/>
  <c r="K251" i="9"/>
  <c r="C251" i="4"/>
  <c r="K251" i="6"/>
  <c r="H251" i="6" a="1"/>
  <c r="H251" i="6" s="1"/>
  <c r="G251" i="6"/>
  <c r="N251" i="6" s="1"/>
  <c r="F251" i="6"/>
  <c r="L251" i="6" s="1"/>
  <c r="G711" i="15" s="1"/>
  <c r="C251" i="6"/>
  <c r="B29" i="14"/>
  <c r="B28" i="14"/>
  <c r="B27" i="14"/>
  <c r="K252" i="9"/>
  <c r="C252" i="4"/>
  <c r="K252" i="6"/>
  <c r="H252" i="6" a="1"/>
  <c r="H252" i="6" s="1"/>
  <c r="G252" i="6"/>
  <c r="N252" i="6" s="1"/>
  <c r="F252" i="6"/>
  <c r="L252" i="6" s="1"/>
  <c r="G712" i="15" s="1"/>
  <c r="C252" i="6"/>
  <c r="B32" i="14"/>
  <c r="B31" i="14"/>
  <c r="B30" i="14"/>
  <c r="K253" i="9"/>
  <c r="C253" i="4"/>
  <c r="K253" i="6"/>
  <c r="H253" i="6" a="1"/>
  <c r="H253" i="6" s="1"/>
  <c r="G253" i="6"/>
  <c r="N253" i="6" s="1"/>
  <c r="F253" i="6"/>
  <c r="L253" i="6" s="1"/>
  <c r="G715" i="15" s="1"/>
  <c r="C253" i="6"/>
  <c r="B35" i="14"/>
  <c r="B34" i="14"/>
  <c r="B33" i="14"/>
  <c r="K254" i="9"/>
  <c r="C254" i="4"/>
  <c r="K254" i="6"/>
  <c r="H254" i="6" a="1"/>
  <c r="H254" i="6" s="1"/>
  <c r="G254" i="6"/>
  <c r="N254" i="6" s="1"/>
  <c r="F254" i="6"/>
  <c r="L254" i="6" s="1"/>
  <c r="C254" i="6"/>
  <c r="B38" i="14"/>
  <c r="B37" i="14"/>
  <c r="B36" i="14"/>
  <c r="K255" i="9"/>
  <c r="C255" i="4"/>
  <c r="K255" i="6"/>
  <c r="H255" i="6" a="1"/>
  <c r="H255" i="6" s="1"/>
  <c r="G255" i="6"/>
  <c r="N255" i="6" s="1"/>
  <c r="F255" i="6"/>
  <c r="L255" i="6" s="1"/>
  <c r="C255" i="6"/>
  <c r="B41" i="14"/>
  <c r="B40" i="14"/>
  <c r="B39" i="14"/>
  <c r="K256" i="9"/>
  <c r="C256" i="4"/>
  <c r="K256" i="6"/>
  <c r="H256" i="6" a="1"/>
  <c r="H256" i="6" s="1"/>
  <c r="G256" i="6"/>
  <c r="N256" i="6" s="1"/>
  <c r="F256" i="6"/>
  <c r="L256" i="6" s="1"/>
  <c r="C256" i="6"/>
  <c r="B44" i="14"/>
  <c r="B43" i="14"/>
  <c r="B42" i="14"/>
  <c r="K257" i="9"/>
  <c r="C257" i="4"/>
  <c r="K257" i="6"/>
  <c r="H257" i="6" a="1"/>
  <c r="H257" i="6" s="1"/>
  <c r="G257" i="6"/>
  <c r="N257" i="6" s="1"/>
  <c r="F257" i="6"/>
  <c r="L257" i="6" s="1"/>
  <c r="G926" i="15" s="1"/>
  <c r="C257" i="6"/>
  <c r="B46" i="14"/>
  <c r="B45" i="14"/>
  <c r="K258" i="9"/>
  <c r="C258" i="4"/>
  <c r="K258" i="6"/>
  <c r="H258" i="6" a="1"/>
  <c r="H258" i="6" s="1"/>
  <c r="G258" i="6"/>
  <c r="N258" i="6" s="1"/>
  <c r="F258" i="6"/>
  <c r="L258" i="6" s="1"/>
  <c r="G924" i="15" s="1"/>
  <c r="C258" i="6"/>
  <c r="B49" i="14"/>
  <c r="B48" i="14"/>
  <c r="B47" i="14"/>
  <c r="K259" i="9"/>
  <c r="C259" i="4"/>
  <c r="K259" i="6"/>
  <c r="H259" i="6" a="1"/>
  <c r="H259" i="6" s="1"/>
  <c r="G259" i="6"/>
  <c r="N259" i="6" s="1"/>
  <c r="F259" i="6"/>
  <c r="L259" i="6" s="1"/>
  <c r="G931" i="15" s="1"/>
  <c r="C259" i="6"/>
  <c r="B53" i="14"/>
  <c r="B52" i="14"/>
  <c r="B51" i="14"/>
  <c r="B50" i="14"/>
  <c r="K260" i="9"/>
  <c r="C260" i="4"/>
  <c r="K260" i="6"/>
  <c r="H260" i="6" a="1"/>
  <c r="H260" i="6" s="1"/>
  <c r="G260" i="6"/>
  <c r="N260" i="6" s="1"/>
  <c r="F260" i="6"/>
  <c r="L260" i="6" s="1"/>
  <c r="G971" i="15" s="1"/>
  <c r="C260" i="6"/>
  <c r="B56" i="14"/>
  <c r="B55" i="14"/>
  <c r="B54" i="14"/>
  <c r="K261" i="9"/>
  <c r="C261" i="4"/>
  <c r="K261" i="6"/>
  <c r="H261" i="6" a="1"/>
  <c r="H261" i="6" s="1"/>
  <c r="G261" i="6"/>
  <c r="N261" i="6" s="1"/>
  <c r="F261" i="6"/>
  <c r="L261" i="6" s="1"/>
  <c r="G972" i="15" s="1"/>
  <c r="C261" i="6"/>
  <c r="B145" i="14"/>
  <c r="B144" i="14"/>
  <c r="B143" i="14"/>
  <c r="B142" i="14"/>
  <c r="B141" i="14"/>
  <c r="K262" i="9"/>
  <c r="C262" i="4"/>
  <c r="K262" i="6"/>
  <c r="H262" i="6" a="1"/>
  <c r="H262" i="6" s="1"/>
  <c r="G262" i="6"/>
  <c r="N262" i="6" s="1"/>
  <c r="F262" i="6"/>
  <c r="L262" i="6" s="1"/>
  <c r="G973" i="15" s="1"/>
  <c r="C262" i="6"/>
  <c r="B149" i="14"/>
  <c r="B148" i="14"/>
  <c r="B147" i="14"/>
  <c r="B146" i="14"/>
  <c r="K263" i="9"/>
  <c r="C263" i="4"/>
  <c r="K263" i="6"/>
  <c r="H263" i="6" a="1"/>
  <c r="H263" i="6" s="1"/>
  <c r="G263" i="6"/>
  <c r="N263" i="6" s="1"/>
  <c r="F263" i="6"/>
  <c r="L263" i="6" s="1"/>
  <c r="G974" i="15" s="1"/>
  <c r="C263" i="6"/>
  <c r="B154" i="14"/>
  <c r="B153" i="14"/>
  <c r="B152" i="14"/>
  <c r="B151" i="14"/>
  <c r="B150" i="14"/>
  <c r="K264" i="9"/>
  <c r="C264" i="4"/>
  <c r="K264" i="6"/>
  <c r="H264" i="6" a="1"/>
  <c r="H264" i="6" s="1"/>
  <c r="G264" i="6"/>
  <c r="N264" i="6" s="1"/>
  <c r="F264" i="6"/>
  <c r="L264" i="6" s="1"/>
  <c r="C264" i="6"/>
  <c r="B159" i="14"/>
  <c r="B158" i="14"/>
  <c r="B157" i="14"/>
  <c r="B156" i="14"/>
  <c r="B155" i="14"/>
  <c r="K265" i="9"/>
  <c r="C265" i="4"/>
  <c r="K265" i="6"/>
  <c r="H265" i="6" a="1"/>
  <c r="H265" i="6" s="1"/>
  <c r="G265" i="6"/>
  <c r="N265" i="6" s="1"/>
  <c r="F265" i="6"/>
  <c r="L265" i="6" s="1"/>
  <c r="G976" i="15" s="1"/>
  <c r="C265" i="6"/>
  <c r="B164" i="14"/>
  <c r="B163" i="14"/>
  <c r="B162" i="14"/>
  <c r="B161" i="14"/>
  <c r="B160" i="14"/>
  <c r="K266" i="9"/>
  <c r="C266" i="4"/>
  <c r="K266" i="6"/>
  <c r="H266" i="6" a="1"/>
  <c r="H266" i="6" s="1"/>
  <c r="G266" i="6"/>
  <c r="N266" i="6" s="1"/>
  <c r="F266" i="6"/>
  <c r="L266" i="6" s="1"/>
  <c r="G35" i="15" s="1"/>
  <c r="C266" i="6"/>
  <c r="B168" i="14"/>
  <c r="B167" i="14"/>
  <c r="B166" i="14"/>
  <c r="B165" i="14"/>
  <c r="K267" i="9"/>
  <c r="D23" i="2"/>
  <c r="G23" i="2" s="1"/>
  <c r="O20" i="2" s="1"/>
  <c r="C267" i="4"/>
  <c r="K267" i="6"/>
  <c r="H267" i="6" a="1"/>
  <c r="H267" i="6" s="1"/>
  <c r="G267" i="6"/>
  <c r="N267" i="6" s="1"/>
  <c r="F267" i="6"/>
  <c r="L267" i="6" s="1"/>
  <c r="G36" i="15" s="1"/>
  <c r="C267" i="6"/>
  <c r="B173" i="14"/>
  <c r="B172" i="14"/>
  <c r="B171" i="14"/>
  <c r="B170" i="14"/>
  <c r="B169" i="14"/>
  <c r="K268" i="9"/>
  <c r="D19" i="2"/>
  <c r="G19" i="2" s="1"/>
  <c r="D6" i="2"/>
  <c r="G6" i="2" s="1"/>
  <c r="C268" i="4"/>
  <c r="B177" i="14"/>
  <c r="B176" i="14"/>
  <c r="B175" i="14"/>
  <c r="B174" i="14"/>
  <c r="K269" i="9"/>
  <c r="D8" i="2"/>
  <c r="G8" i="2" s="1"/>
  <c r="C269" i="4"/>
  <c r="B179" i="14"/>
  <c r="B178" i="14"/>
  <c r="K270" i="9"/>
  <c r="C270" i="4"/>
  <c r="B180" i="14"/>
  <c r="K271" i="9"/>
  <c r="D21" i="2"/>
  <c r="G21" i="2" s="1"/>
  <c r="D9" i="2"/>
  <c r="G9" i="2" s="1"/>
  <c r="C271" i="4"/>
  <c r="B181" i="14"/>
  <c r="K272" i="9"/>
  <c r="D16" i="2"/>
  <c r="G16" i="2" s="1"/>
  <c r="C272" i="4"/>
  <c r="B182" i="14"/>
  <c r="K273" i="9"/>
  <c r="D12" i="2"/>
  <c r="G12" i="2" s="1"/>
  <c r="C273" i="4"/>
  <c r="B183" i="14"/>
  <c r="K274" i="9"/>
  <c r="D13" i="2"/>
  <c r="G13" i="2" s="1"/>
  <c r="C274" i="4"/>
  <c r="B184" i="14"/>
  <c r="K275" i="9"/>
  <c r="D22" i="2"/>
  <c r="G22" i="2" s="1"/>
  <c r="D18" i="2"/>
  <c r="G18" i="2" s="1"/>
  <c r="C275" i="4"/>
  <c r="B185" i="14"/>
  <c r="K276" i="9"/>
  <c r="C276" i="4"/>
  <c r="C4" i="1" l="1"/>
  <c r="A8" i="1" s="1"/>
  <c r="G964" i="15"/>
  <c r="G968" i="15"/>
  <c r="G975" i="15"/>
  <c r="G919" i="15"/>
  <c r="G922" i="15"/>
  <c r="G929" i="15"/>
  <c r="G936" i="15"/>
  <c r="G963" i="15"/>
  <c r="G967" i="15"/>
  <c r="G848" i="15"/>
  <c r="G850" i="15"/>
  <c r="G851" i="15"/>
  <c r="G853" i="15"/>
  <c r="G854" i="15"/>
  <c r="G856" i="15"/>
  <c r="G858" i="15"/>
  <c r="G861" i="15"/>
  <c r="G862" i="15"/>
  <c r="G867" i="15"/>
  <c r="G870" i="15"/>
  <c r="G874" i="15"/>
  <c r="G878" i="15"/>
  <c r="G882" i="15"/>
  <c r="G885" i="15"/>
  <c r="G888" i="15"/>
  <c r="G891" i="15"/>
  <c r="G894" i="15"/>
  <c r="G914" i="15"/>
  <c r="G689" i="15"/>
  <c r="G742" i="15"/>
  <c r="G762" i="15"/>
  <c r="G765" i="15"/>
  <c r="G770" i="15"/>
  <c r="G773" i="15"/>
  <c r="G777" i="15"/>
  <c r="G779" i="15"/>
  <c r="G786" i="15"/>
  <c r="G809" i="15"/>
  <c r="G812" i="15"/>
  <c r="G816" i="15"/>
  <c r="G819" i="15"/>
  <c r="G822" i="15"/>
  <c r="G825" i="15"/>
  <c r="G828" i="15"/>
  <c r="G831" i="15"/>
  <c r="G53" i="15"/>
  <c r="G59" i="15"/>
  <c r="G104" i="15"/>
  <c r="G844" i="15"/>
  <c r="G954" i="15"/>
  <c r="G709" i="15"/>
  <c r="G783" i="15"/>
  <c r="G789" i="15"/>
  <c r="G917" i="15"/>
  <c r="G920" i="15"/>
  <c r="G923" i="15"/>
  <c r="G930" i="15"/>
  <c r="G959" i="15"/>
  <c r="G970" i="15"/>
  <c r="G849" i="15"/>
  <c r="G855" i="15"/>
  <c r="G857" i="15"/>
  <c r="G860" i="15"/>
  <c r="G876" i="15"/>
  <c r="G880" i="15"/>
  <c r="G890" i="15"/>
  <c r="G901" i="15"/>
  <c r="G940" i="15"/>
  <c r="G944" i="15"/>
  <c r="G949" i="15"/>
  <c r="G962" i="15"/>
  <c r="G966" i="15"/>
  <c r="G871" i="15"/>
  <c r="G884" i="15"/>
  <c r="G895" i="15"/>
  <c r="G900" i="15"/>
  <c r="G904" i="15"/>
  <c r="G905" i="15"/>
  <c r="G906" i="15"/>
  <c r="G909" i="15"/>
  <c r="G911" i="15"/>
  <c r="G913" i="15"/>
  <c r="G832" i="15"/>
  <c r="G835" i="15"/>
  <c r="G868" i="15"/>
  <c r="G915" i="15"/>
  <c r="G741" i="15"/>
  <c r="G810" i="15"/>
  <c r="G688" i="15"/>
  <c r="G817" i="15"/>
  <c r="G687" i="15"/>
  <c r="G692" i="15"/>
  <c r="G701" i="15"/>
  <c r="G704" i="15"/>
  <c r="G740" i="15"/>
  <c r="G745" i="15"/>
  <c r="G754" i="15"/>
  <c r="G757" i="15"/>
  <c r="G864" i="15"/>
  <c r="G902" i="15"/>
  <c r="G52" i="15"/>
  <c r="G103" i="15"/>
  <c r="G112" i="15"/>
  <c r="G706" i="15"/>
  <c r="G759" i="15"/>
  <c r="G51" i="15"/>
  <c r="G60" i="15"/>
  <c r="G918" i="15"/>
  <c r="G921" i="15"/>
  <c r="G928" i="15"/>
  <c r="G217" i="15"/>
  <c r="G628" i="15"/>
  <c r="G934" i="15"/>
  <c r="G953" i="15"/>
  <c r="G65" i="15"/>
  <c r="G70" i="15"/>
  <c r="G78" i="15"/>
  <c r="G85" i="15"/>
  <c r="G90" i="15"/>
  <c r="G94" i="15"/>
  <c r="G97" i="15"/>
  <c r="G261" i="15"/>
  <c r="G498" i="15"/>
  <c r="G331" i="15"/>
  <c r="G336" i="15"/>
  <c r="G386" i="15"/>
  <c r="G791" i="15"/>
  <c r="G220" i="15"/>
  <c r="G225" i="15"/>
  <c r="G236" i="15"/>
  <c r="G257" i="15"/>
  <c r="G303" i="15"/>
  <c r="G310" i="15"/>
  <c r="G318" i="15"/>
  <c r="G326" i="15"/>
  <c r="G344" i="15"/>
  <c r="G347" i="15"/>
  <c r="G354" i="15"/>
  <c r="G360" i="15"/>
  <c r="G365" i="15"/>
  <c r="G370" i="15"/>
  <c r="G452" i="15"/>
  <c r="G886" i="15"/>
  <c r="G280" i="15"/>
  <c r="G284" i="15"/>
  <c r="G910" i="15"/>
  <c r="G958" i="15"/>
  <c r="G558" i="15"/>
  <c r="G565" i="15"/>
  <c r="G31" i="15"/>
  <c r="G263" i="15"/>
  <c r="G552" i="15"/>
  <c r="G674" i="15"/>
  <c r="G678" i="15"/>
  <c r="G682" i="15"/>
  <c r="G582" i="15"/>
  <c r="G586" i="15"/>
  <c r="G593" i="15"/>
  <c r="G469" i="15"/>
  <c r="G474" i="15"/>
  <c r="G392" i="15"/>
  <c r="G394" i="15"/>
  <c r="G433" i="15"/>
  <c r="G9" i="15"/>
  <c r="G145" i="15"/>
  <c r="G272" i="15"/>
  <c r="G396" i="15"/>
  <c r="G399" i="15"/>
  <c r="G437" i="15"/>
  <c r="G442" i="15"/>
  <c r="G484" i="15"/>
  <c r="G501" i="15"/>
  <c r="G519" i="15"/>
  <c r="G526" i="15"/>
  <c r="G530" i="15"/>
  <c r="G536" i="15"/>
  <c r="G540" i="15"/>
  <c r="G595" i="15"/>
  <c r="G603" i="15"/>
  <c r="G613" i="15"/>
  <c r="G619" i="15"/>
  <c r="G629" i="15"/>
  <c r="G633" i="15"/>
  <c r="G645" i="15"/>
  <c r="G648" i="15"/>
  <c r="G657" i="15"/>
  <c r="G663" i="15"/>
  <c r="G669" i="15"/>
  <c r="G708" i="15"/>
  <c r="G761" i="15"/>
  <c r="G771" i="15"/>
  <c r="G775" i="15"/>
  <c r="G693" i="15"/>
  <c r="G699" i="15"/>
  <c r="G746" i="15"/>
  <c r="G752" i="15"/>
  <c r="G768" i="15"/>
  <c r="G814" i="15"/>
  <c r="G829" i="15"/>
  <c r="G64" i="15"/>
  <c r="G69" i="15"/>
  <c r="G77" i="15"/>
  <c r="G84" i="15"/>
  <c r="G89" i="15"/>
  <c r="G93" i="15"/>
  <c r="G96" i="15"/>
  <c r="G114" i="15"/>
  <c r="G219" i="15"/>
  <c r="G226" i="15"/>
  <c r="G234" i="15"/>
  <c r="G256" i="15"/>
  <c r="G259" i="15"/>
  <c r="G267" i="15"/>
  <c r="G273" i="15"/>
  <c r="G296" i="15"/>
  <c r="G302" i="15"/>
  <c r="G309" i="15"/>
  <c r="G317" i="15"/>
  <c r="G325" i="15"/>
  <c r="G330" i="15"/>
  <c r="G335" i="15"/>
  <c r="G345" i="15"/>
  <c r="G348" i="15"/>
  <c r="G353" i="15"/>
  <c r="G359" i="15"/>
  <c r="G364" i="15"/>
  <c r="G369" i="15"/>
  <c r="G375" i="15"/>
  <c r="G380" i="15"/>
  <c r="G385" i="15"/>
  <c r="G405" i="15"/>
  <c r="G479" i="15"/>
  <c r="G486" i="15"/>
  <c r="G503" i="15"/>
  <c r="G106" i="15"/>
  <c r="G694" i="15"/>
  <c r="G747" i="15"/>
  <c r="G766" i="15"/>
  <c r="G210" i="15"/>
  <c r="G235" i="15"/>
  <c r="G600" i="15"/>
  <c r="G634" i="15"/>
  <c r="G351" i="15"/>
  <c r="G357" i="15"/>
  <c r="G373" i="15"/>
  <c r="G378" i="15"/>
  <c r="G389" i="15"/>
  <c r="G655" i="15"/>
  <c r="G661" i="15"/>
  <c r="G667" i="15"/>
  <c r="G329" i="15"/>
  <c r="G334" i="15"/>
  <c r="G404" i="15"/>
  <c r="G409" i="15"/>
  <c r="G208" i="15"/>
  <c r="G298" i="15"/>
  <c r="G305" i="15"/>
  <c r="G350" i="15"/>
  <c r="G356" i="15"/>
  <c r="G372" i="15"/>
  <c r="G377" i="15"/>
  <c r="G388" i="15"/>
  <c r="G76" i="15"/>
  <c r="G83" i="15"/>
  <c r="G253" i="15"/>
  <c r="G490" i="15"/>
  <c r="G508" i="15"/>
  <c r="G731" i="15"/>
  <c r="G549" i="15"/>
  <c r="G562" i="15"/>
  <c r="G569" i="15"/>
  <c r="G635" i="15"/>
  <c r="G550" i="15"/>
  <c r="G556" i="15"/>
  <c r="G563" i="15"/>
  <c r="G690" i="15"/>
  <c r="G696" i="15"/>
  <c r="G743" i="15"/>
  <c r="G749" i="15"/>
  <c r="G764" i="15"/>
  <c r="G769" i="15"/>
  <c r="G772" i="15"/>
  <c r="G776" i="15"/>
  <c r="G778" i="15"/>
  <c r="G866" i="15"/>
  <c r="G873" i="15"/>
  <c r="G877" i="15"/>
  <c r="G881" i="15"/>
  <c r="G887" i="15"/>
  <c r="G897" i="15"/>
  <c r="G903" i="15"/>
  <c r="G908" i="15"/>
  <c r="G723" i="15"/>
  <c r="G732" i="15"/>
  <c r="G487" i="15"/>
  <c r="G650" i="15"/>
  <c r="G218" i="15"/>
  <c r="G227" i="15"/>
  <c r="G400" i="15"/>
  <c r="G242" i="15"/>
  <c r="G478" i="15"/>
  <c r="G224" i="15"/>
  <c r="G233" i="15"/>
  <c r="G197" i="15"/>
  <c r="G199" i="15"/>
  <c r="G790" i="15"/>
  <c r="G935" i="15"/>
  <c r="G943" i="15"/>
  <c r="G961" i="15"/>
  <c r="G965" i="15"/>
  <c r="G969" i="15"/>
  <c r="G128" i="15"/>
  <c r="G153" i="15"/>
  <c r="G466" i="15"/>
  <c r="G472" i="15"/>
  <c r="G555" i="15"/>
  <c r="G572" i="15"/>
  <c r="G576" i="15"/>
  <c r="G158" i="15"/>
  <c r="G231" i="15"/>
  <c r="G313" i="15"/>
  <c r="G321" i="15"/>
  <c r="G455" i="15"/>
  <c r="G952" i="15"/>
  <c r="G419" i="15"/>
  <c r="G426" i="15"/>
  <c r="G271" i="15"/>
  <c r="G277" i="15"/>
  <c r="G286" i="15"/>
  <c r="G544" i="15"/>
  <c r="G568" i="15"/>
  <c r="G610" i="15"/>
  <c r="G624" i="15"/>
  <c r="G32" i="15"/>
  <c r="G87" i="15"/>
  <c r="G282" i="15"/>
  <c r="G312" i="15"/>
  <c r="G320" i="15"/>
  <c r="G607" i="15"/>
  <c r="G639" i="15"/>
  <c r="G169" i="15"/>
  <c r="G207" i="15"/>
  <c r="G643" i="15"/>
  <c r="G168" i="15"/>
  <c r="G206" i="15"/>
  <c r="G215" i="15"/>
  <c r="G416" i="15"/>
  <c r="G642" i="15"/>
  <c r="G82" i="15"/>
  <c r="G159" i="15"/>
  <c r="G167" i="15"/>
  <c r="G174" i="15"/>
  <c r="G193" i="15"/>
  <c r="G205" i="15"/>
  <c r="G214" i="15"/>
  <c r="G270" i="15"/>
  <c r="G294" i="15"/>
  <c r="G417" i="15"/>
  <c r="G608" i="15"/>
  <c r="G641" i="15"/>
  <c r="G146" i="15"/>
  <c r="G152" i="15"/>
  <c r="G418" i="15"/>
  <c r="G423" i="15"/>
  <c r="G75" i="15"/>
  <c r="G81" i="15"/>
  <c r="G88" i="15"/>
  <c r="G170" i="15"/>
  <c r="G175" i="15"/>
  <c r="G194" i="15"/>
  <c r="G216" i="15"/>
  <c r="G230" i="15"/>
  <c r="G269" i="15"/>
  <c r="G288" i="15"/>
  <c r="G292" i="15"/>
  <c r="G295" i="15"/>
  <c r="G300" i="15"/>
  <c r="G307" i="15"/>
  <c r="G315" i="15"/>
  <c r="G323" i="15"/>
  <c r="G328" i="15"/>
  <c r="G333" i="15"/>
  <c r="G338" i="15"/>
  <c r="G341" i="15"/>
  <c r="G352" i="15"/>
  <c r="G358" i="15"/>
  <c r="G362" i="15"/>
  <c r="G367" i="15"/>
  <c r="G374" i="15"/>
  <c r="G379" i="15"/>
  <c r="G383" i="15"/>
  <c r="G390" i="15"/>
  <c r="G421" i="15"/>
  <c r="G425" i="15"/>
  <c r="G429" i="15"/>
  <c r="G451" i="15"/>
  <c r="G468" i="15"/>
  <c r="G492" i="15"/>
  <c r="G502" i="15"/>
  <c r="G573" i="15"/>
  <c r="G577" i="15"/>
  <c r="G726" i="15"/>
  <c r="G154" i="15"/>
  <c r="G299" i="15"/>
  <c r="G306" i="15"/>
  <c r="G314" i="15"/>
  <c r="G322" i="15"/>
  <c r="G427" i="15"/>
  <c r="G10" i="15"/>
  <c r="G129" i="15"/>
  <c r="G147" i="15"/>
  <c r="G485" i="15"/>
  <c r="G638" i="15"/>
  <c r="G74" i="15"/>
  <c r="G80" i="15"/>
  <c r="G155" i="15"/>
  <c r="G209" i="15"/>
  <c r="G213" i="15"/>
  <c r="G229" i="15"/>
  <c r="G301" i="15"/>
  <c r="G308" i="15"/>
  <c r="G316" i="15"/>
  <c r="G324" i="15"/>
  <c r="G363" i="15"/>
  <c r="G368" i="15"/>
  <c r="G415" i="15"/>
  <c r="G420" i="15"/>
  <c r="G424" i="15"/>
  <c r="G428" i="15"/>
  <c r="G467" i="15"/>
  <c r="G473" i="15"/>
  <c r="G509" i="15"/>
  <c r="G545" i="15"/>
  <c r="G727" i="15"/>
  <c r="G255" i="15"/>
  <c r="G260" i="15"/>
  <c r="G264" i="15"/>
  <c r="G266" i="15"/>
  <c r="G275" i="15"/>
  <c r="G339" i="15"/>
  <c r="G342" i="15"/>
  <c r="G403" i="15"/>
  <c r="G408" i="15"/>
  <c r="G458" i="15"/>
  <c r="G763" i="15"/>
  <c r="G950" i="15"/>
  <c r="G698" i="15"/>
  <c r="G751" i="15"/>
  <c r="G838" i="15"/>
  <c r="G938" i="15"/>
  <c r="G793" i="15"/>
  <c r="G807" i="15"/>
  <c r="G839" i="15"/>
  <c r="G951" i="15"/>
  <c r="G955" i="15"/>
  <c r="G125" i="15"/>
  <c r="G799" i="15"/>
  <c r="G932" i="15"/>
  <c r="G956" i="15"/>
  <c r="G803" i="15"/>
  <c r="G942" i="15"/>
  <c r="G945" i="15"/>
  <c r="G795" i="15"/>
  <c r="G805" i="15"/>
  <c r="G846" i="15"/>
  <c r="G941" i="15"/>
  <c r="G797" i="15"/>
  <c r="G845" i="15"/>
  <c r="G947" i="15"/>
  <c r="G796" i="15"/>
  <c r="G802" i="15"/>
  <c r="G823" i="15"/>
  <c r="G946" i="15"/>
  <c r="G960" i="15"/>
  <c r="G124" i="15"/>
  <c r="G138" i="15"/>
  <c r="G143" i="15"/>
  <c r="G798" i="15"/>
  <c r="G836" i="15"/>
  <c r="G933" i="15"/>
  <c r="G695" i="15"/>
  <c r="G702" i="15"/>
  <c r="G748" i="15"/>
  <c r="G755" i="15"/>
  <c r="G767" i="15"/>
  <c r="G774" i="15"/>
  <c r="G794" i="15"/>
  <c r="G806" i="15"/>
  <c r="G834" i="15"/>
  <c r="G841" i="15"/>
  <c r="G33" i="15"/>
  <c r="G123" i="15"/>
  <c r="G139" i="15"/>
  <c r="G144" i="15"/>
  <c r="G800" i="15"/>
  <c r="G551" i="15"/>
  <c r="G557" i="15"/>
  <c r="G564" i="15"/>
  <c r="G939" i="15"/>
  <c r="G957" i="15"/>
  <c r="G625" i="15"/>
  <c r="G781" i="15"/>
  <c r="G248" i="15"/>
  <c r="G287" i="15"/>
  <c r="G290" i="15"/>
  <c r="G477" i="15"/>
  <c r="G491" i="15"/>
  <c r="G495" i="15"/>
  <c r="G510" i="15"/>
  <c r="G520" i="15"/>
  <c r="G527" i="15"/>
  <c r="G537" i="15"/>
  <c r="G100" i="15"/>
  <c r="G111" i="15"/>
  <c r="G283" i="15"/>
  <c r="G684" i="15"/>
  <c r="G614" i="15"/>
  <c r="G620" i="15"/>
  <c r="G646" i="15"/>
  <c r="G649" i="15"/>
  <c r="G150" i="15"/>
  <c r="G497" i="15"/>
  <c r="G504" i="15"/>
  <c r="G20" i="15"/>
  <c r="G615" i="15"/>
  <c r="G50" i="15"/>
  <c r="G58" i="15"/>
  <c r="G863" i="15"/>
  <c r="G896" i="15"/>
  <c r="G801" i="15"/>
  <c r="G808" i="15"/>
  <c r="G811" i="15"/>
  <c r="G815" i="15"/>
  <c r="G818" i="15"/>
  <c r="G821" i="15"/>
  <c r="G824" i="15"/>
  <c r="G827" i="15"/>
  <c r="G830" i="15"/>
  <c r="G833" i="15"/>
  <c r="G837" i="15"/>
  <c r="G842" i="15"/>
  <c r="G852" i="15"/>
  <c r="G859" i="15"/>
  <c r="G865" i="15"/>
  <c r="G869" i="15"/>
  <c r="G872" i="15"/>
  <c r="G875" i="15"/>
  <c r="G879" i="15"/>
  <c r="G883" i="15"/>
  <c r="G889" i="15"/>
  <c r="G892" i="15"/>
  <c r="G893" i="15"/>
  <c r="G907" i="15"/>
  <c r="G912" i="15"/>
  <c r="G916" i="15"/>
  <c r="G925" i="15"/>
  <c r="G927" i="15"/>
  <c r="G67" i="15"/>
  <c r="G72" i="15"/>
  <c r="G92" i="15"/>
  <c r="G108" i="15"/>
  <c r="G165" i="15"/>
  <c r="G279" i="15"/>
  <c r="G438" i="15"/>
  <c r="G443" i="15"/>
  <c r="G448" i="15"/>
  <c r="G462" i="15"/>
  <c r="G521" i="15"/>
  <c r="G531" i="15"/>
  <c r="G541" i="15"/>
  <c r="G546" i="15"/>
  <c r="G581" i="15"/>
  <c r="G585" i="15"/>
  <c r="G589" i="15"/>
  <c r="G592" i="15"/>
  <c r="G601" i="15"/>
  <c r="G611" i="15"/>
  <c r="G630" i="15"/>
  <c r="G636" i="15"/>
  <c r="G656" i="15"/>
  <c r="G662" i="15"/>
  <c r="G668" i="15"/>
  <c r="G673" i="15"/>
  <c r="G677" i="15"/>
  <c r="G681" i="15"/>
  <c r="G728" i="15"/>
  <c r="G733" i="15"/>
  <c r="G735" i="15"/>
  <c r="G738" i="15"/>
  <c r="G41" i="15"/>
  <c r="G119" i="15"/>
  <c r="G6" i="15"/>
  <c r="G13" i="15"/>
  <c r="G17" i="15"/>
  <c r="G22" i="15"/>
  <c r="G26" i="15"/>
  <c r="G46" i="15"/>
  <c r="G54" i="15"/>
  <c r="G105" i="15"/>
  <c r="G463" i="15"/>
  <c r="G840" i="15"/>
  <c r="G843" i="15"/>
  <c r="G847" i="15"/>
  <c r="G4" i="15"/>
  <c r="G8" i="15"/>
  <c r="G15" i="15"/>
  <c r="G19" i="15"/>
  <c r="G30" i="15"/>
  <c r="G34" i="15"/>
  <c r="G39" i="15"/>
  <c r="G44" i="15"/>
  <c r="G55" i="15"/>
  <c r="G61" i="15"/>
  <c r="G66" i="15"/>
  <c r="G71" i="15"/>
  <c r="G79" i="15"/>
  <c r="G86" i="15"/>
  <c r="G91" i="15"/>
  <c r="G95" i="15"/>
  <c r="G101" i="15"/>
  <c r="G110" i="15"/>
  <c r="G156" i="15"/>
  <c r="G397" i="15"/>
  <c r="G496" i="15"/>
  <c r="G561" i="15"/>
  <c r="G718" i="15"/>
  <c r="G782" i="15"/>
  <c r="G113" i="15"/>
  <c r="G436" i="15"/>
  <c r="G21" i="15"/>
  <c r="G40" i="15"/>
  <c r="G42" i="15"/>
  <c r="G68" i="15"/>
  <c r="G73" i="15"/>
  <c r="G99" i="15"/>
  <c r="G109" i="15"/>
  <c r="G441" i="15"/>
  <c r="G494" i="15"/>
  <c r="G685" i="15"/>
  <c r="G737" i="15"/>
  <c r="G204" i="15"/>
  <c r="G223" i="15"/>
  <c r="G483" i="15"/>
  <c r="G516" i="15"/>
  <c r="G525" i="15"/>
  <c r="G535" i="15"/>
  <c r="G599" i="15"/>
  <c r="G722" i="15"/>
  <c r="G122" i="15"/>
  <c r="G133" i="15"/>
  <c r="G141" i="15"/>
  <c r="G203" i="15"/>
  <c r="G222" i="15"/>
  <c r="G245" i="15"/>
  <c r="G432" i="15"/>
  <c r="G446" i="15"/>
  <c r="G482" i="15"/>
  <c r="G517" i="15"/>
  <c r="G524" i="15"/>
  <c r="G534" i="15"/>
  <c r="G598" i="15"/>
  <c r="G605" i="15"/>
  <c r="G721" i="15"/>
  <c r="G62" i="15"/>
  <c r="G121" i="15"/>
  <c r="G134" i="15"/>
  <c r="G142" i="15"/>
  <c r="G202" i="15"/>
  <c r="G221" i="15"/>
  <c r="G249" i="15"/>
  <c r="G252" i="15"/>
  <c r="G431" i="15"/>
  <c r="G445" i="15"/>
  <c r="G481" i="15"/>
  <c r="G507" i="15"/>
  <c r="G515" i="15"/>
  <c r="G523" i="15"/>
  <c r="G533" i="15"/>
  <c r="G597" i="15"/>
  <c r="G604" i="15"/>
  <c r="G720" i="15"/>
  <c r="G157" i="15"/>
  <c r="G422" i="15"/>
  <c r="G632" i="15"/>
  <c r="G228" i="15"/>
  <c r="G243" i="15"/>
  <c r="G250" i="15"/>
  <c r="G447" i="15"/>
  <c r="G212" i="15"/>
  <c r="G239" i="15"/>
  <c r="G196" i="15"/>
  <c r="G198" i="15"/>
  <c r="G237" i="15"/>
  <c r="G238" i="15"/>
  <c r="G137" i="15"/>
  <c r="G240" i="15"/>
  <c r="G244" i="15"/>
  <c r="G476" i="15"/>
  <c r="G514" i="15"/>
  <c r="G184" i="15"/>
  <c r="G391" i="15"/>
  <c r="G12" i="15"/>
  <c r="G16" i="15"/>
  <c r="G177" i="15"/>
  <c r="G183" i="15"/>
  <c r="G393" i="15"/>
  <c r="G311" i="15"/>
  <c r="G319" i="15"/>
  <c r="G297" i="15"/>
  <c r="G304" i="15"/>
  <c r="G337" i="15"/>
  <c r="G340" i="15"/>
  <c r="G343" i="15"/>
  <c r="G346" i="15"/>
  <c r="G402" i="15"/>
  <c r="G188" i="15"/>
  <c r="G395" i="15"/>
  <c r="G725" i="15"/>
  <c r="G187" i="15"/>
  <c r="G435" i="15"/>
  <c r="G500" i="15"/>
  <c r="G518" i="15"/>
  <c r="G529" i="15"/>
  <c r="G539" i="15"/>
  <c r="G548" i="15"/>
  <c r="G554" i="15"/>
  <c r="G560" i="15"/>
  <c r="G567" i="15"/>
  <c r="G575" i="15"/>
  <c r="G579" i="15"/>
  <c r="G584" i="15"/>
  <c r="G606" i="15"/>
  <c r="G627" i="15"/>
  <c r="G652" i="15"/>
  <c r="G659" i="15"/>
  <c r="G671" i="15"/>
  <c r="G676" i="15"/>
  <c r="G371" i="15"/>
  <c r="G376" i="15"/>
  <c r="G387" i="15"/>
  <c r="G407" i="15"/>
  <c r="G327" i="15"/>
  <c r="G332" i="15"/>
  <c r="G349" i="15"/>
  <c r="G355" i="15"/>
  <c r="G161" i="15"/>
  <c r="G162" i="15"/>
  <c r="G163" i="15"/>
  <c r="G591" i="15"/>
  <c r="G683" i="15"/>
  <c r="G465" i="15"/>
  <c r="G471" i="15"/>
  <c r="G580" i="15"/>
  <c r="G588" i="15"/>
  <c r="G623" i="15"/>
  <c r="G653" i="15"/>
  <c r="G665" i="15"/>
  <c r="G672" i="15"/>
  <c r="G680" i="15"/>
  <c r="G730" i="15"/>
  <c r="G164" i="15"/>
  <c r="G276" i="15"/>
  <c r="G149" i="15"/>
  <c r="G166" i="15"/>
  <c r="G172" i="15"/>
  <c r="G173" i="15"/>
  <c r="G201" i="15"/>
  <c r="G274" i="15"/>
  <c r="G281" i="15"/>
  <c r="G285" i="15"/>
  <c r="G289" i="15"/>
  <c r="G293" i="15"/>
  <c r="G440" i="15"/>
  <c r="G450" i="15"/>
  <c r="G454" i="15"/>
  <c r="G489" i="15"/>
  <c r="G571" i="15"/>
  <c r="G609" i="15"/>
  <c r="G361" i="15"/>
  <c r="G366" i="15"/>
  <c r="G511" i="15"/>
  <c r="G532" i="15"/>
  <c r="G538" i="15"/>
  <c r="G522" i="15"/>
  <c r="G528" i="15"/>
  <c r="G434" i="15"/>
  <c r="G439" i="15"/>
  <c r="G505" i="15"/>
  <c r="G493" i="15"/>
  <c r="G499" i="15"/>
  <c r="G512" i="15"/>
  <c r="G475" i="15"/>
  <c r="G480" i="15"/>
  <c r="G488" i="15"/>
  <c r="G513" i="15"/>
  <c r="G401" i="15"/>
  <c r="G406" i="15"/>
  <c r="G120" i="15"/>
  <c r="G132" i="15"/>
  <c r="G160" i="15"/>
  <c r="G654" i="15"/>
  <c r="G660" i="15"/>
  <c r="G666" i="15"/>
  <c r="G444" i="15"/>
  <c r="G449" i="15"/>
  <c r="G461" i="15"/>
  <c r="G716" i="15"/>
  <c r="G719" i="15"/>
  <c r="G724" i="15"/>
  <c r="G729" i="15"/>
  <c r="G734" i="15"/>
  <c r="G736" i="15"/>
  <c r="G739" i="15"/>
  <c r="G744" i="15"/>
  <c r="G750" i="15"/>
  <c r="G753" i="15"/>
  <c r="G756" i="15"/>
  <c r="G758" i="15"/>
  <c r="G760" i="15"/>
  <c r="G578" i="15"/>
  <c r="G583" i="15"/>
  <c r="G587" i="15"/>
  <c r="G590" i="15"/>
  <c r="G464" i="15"/>
  <c r="G470" i="15"/>
  <c r="G686" i="15"/>
  <c r="G691" i="15"/>
  <c r="G697" i="15"/>
  <c r="G700" i="15"/>
  <c r="G703" i="15"/>
  <c r="G705" i="15"/>
  <c r="G707" i="15"/>
  <c r="G651" i="15"/>
  <c r="G658" i="15"/>
  <c r="G664" i="15"/>
  <c r="G670" i="15"/>
  <c r="G675" i="15"/>
  <c r="G679" i="15"/>
  <c r="G29" i="15"/>
  <c r="G547" i="15"/>
  <c r="G553" i="15"/>
  <c r="G559" i="15"/>
  <c r="G566" i="15"/>
  <c r="G570" i="15"/>
  <c r="G574" i="15"/>
  <c r="G594" i="15"/>
  <c r="G602" i="15"/>
  <c r="G612" i="15"/>
  <c r="G618" i="15"/>
  <c r="G622" i="15"/>
  <c r="G626" i="15"/>
  <c r="G631" i="15"/>
  <c r="G637" i="15"/>
  <c r="G647" i="15"/>
  <c r="G49" i="15"/>
  <c r="G102" i="15"/>
  <c r="G48" i="15"/>
  <c r="G117" i="15"/>
  <c r="G56" i="15"/>
  <c r="G116" i="15"/>
  <c r="G2" i="15"/>
  <c r="G18" i="15"/>
  <c r="G98" i="15"/>
  <c r="G107" i="15"/>
  <c r="G23" i="15"/>
  <c r="G460" i="15"/>
  <c r="G7" i="15"/>
  <c r="G14" i="15"/>
  <c r="G38" i="15"/>
  <c r="G43" i="15"/>
  <c r="G118" i="15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4" i="6"/>
  <c r="J243" i="6"/>
  <c r="J242" i="6"/>
  <c r="J241" i="6"/>
  <c r="J240" i="6"/>
  <c r="J238" i="6"/>
  <c r="J234" i="6"/>
  <c r="J233" i="6"/>
  <c r="J232" i="6"/>
  <c r="J231" i="6"/>
  <c r="J230" i="6"/>
  <c r="J229" i="6"/>
  <c r="J228" i="6"/>
  <c r="J227" i="6"/>
  <c r="J226" i="6"/>
  <c r="J225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2" i="6"/>
  <c r="J101" i="6"/>
  <c r="J100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2" i="6"/>
  <c r="J81" i="6"/>
  <c r="J80" i="6"/>
  <c r="J79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0" i="6"/>
  <c r="J59" i="6"/>
  <c r="J58" i="6"/>
  <c r="J57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4" i="6"/>
  <c r="O18" i="2"/>
  <c r="J5" i="6"/>
  <c r="J2" i="6"/>
  <c r="J245" i="6"/>
  <c r="J239" i="6"/>
  <c r="J237" i="6"/>
  <c r="J236" i="6"/>
  <c r="J235" i="6"/>
  <c r="J224" i="6"/>
  <c r="J206" i="6"/>
  <c r="J149" i="6"/>
  <c r="J135" i="6"/>
  <c r="J117" i="6"/>
  <c r="J99" i="6"/>
  <c r="J84" i="6"/>
  <c r="J83" i="6"/>
  <c r="J78" i="6"/>
  <c r="J61" i="6"/>
  <c r="J56" i="6"/>
  <c r="J38" i="6"/>
  <c r="J3" i="6"/>
  <c r="D276" i="4"/>
  <c r="D275" i="4"/>
  <c r="D274" i="4"/>
  <c r="D273" i="4"/>
  <c r="D272" i="4"/>
  <c r="D271" i="4"/>
  <c r="D205" i="4"/>
  <c r="D206" i="4"/>
  <c r="D209" i="4"/>
  <c r="D213" i="4"/>
  <c r="D184" i="4"/>
  <c r="D180" i="4"/>
  <c r="D181" i="4"/>
  <c r="D179" i="4"/>
  <c r="D182" i="4"/>
  <c r="D183" i="4"/>
  <c r="D174" i="4"/>
  <c r="D210" i="4"/>
  <c r="D214" i="4"/>
  <c r="D24" i="4"/>
  <c r="D232" i="4"/>
  <c r="D233" i="4"/>
  <c r="D234" i="4"/>
  <c r="D26" i="4"/>
  <c r="D226" i="4"/>
  <c r="D39" i="4"/>
  <c r="D269" i="4"/>
  <c r="D270" i="4"/>
  <c r="D168" i="4"/>
  <c r="D40" i="4"/>
  <c r="D84" i="4"/>
  <c r="D178" i="4"/>
  <c r="D238" i="4"/>
  <c r="D247" i="4"/>
  <c r="D242" i="4"/>
  <c r="D243" i="4"/>
  <c r="D264" i="4"/>
  <c r="D244" i="4"/>
  <c r="D245" i="4"/>
  <c r="D240" i="4"/>
  <c r="D268" i="4"/>
  <c r="D241" i="4"/>
  <c r="D239" i="4"/>
  <c r="D23" i="4"/>
  <c r="D249" i="4"/>
  <c r="D250" i="4"/>
  <c r="D251" i="4"/>
  <c r="D252" i="4"/>
  <c r="D253" i="4"/>
  <c r="D254" i="4"/>
  <c r="D255" i="4"/>
  <c r="D256" i="4"/>
  <c r="D257" i="4"/>
  <c r="D208" i="4"/>
  <c r="D224" i="4"/>
  <c r="D32" i="4"/>
  <c r="D8" i="4"/>
  <c r="D16" i="4"/>
  <c r="D17" i="4"/>
  <c r="D18" i="4"/>
  <c r="D19" i="4"/>
  <c r="D25" i="4"/>
  <c r="D90" i="4"/>
  <c r="D98" i="4"/>
  <c r="D91" i="4"/>
  <c r="D97" i="4"/>
  <c r="D89" i="4"/>
  <c r="D93" i="4"/>
  <c r="D86" i="4"/>
  <c r="D85" i="4"/>
  <c r="D92" i="4"/>
  <c r="D88" i="4"/>
  <c r="D96" i="4"/>
  <c r="D35" i="4"/>
  <c r="D94" i="4"/>
  <c r="D75" i="4"/>
  <c r="D71" i="4"/>
  <c r="D118" i="4"/>
  <c r="D69" i="4"/>
  <c r="D68" i="4"/>
  <c r="D66" i="4"/>
  <c r="D76" i="4"/>
  <c r="D64" i="4"/>
  <c r="D117" i="4"/>
  <c r="D79" i="4"/>
  <c r="D67" i="4"/>
  <c r="D65" i="4"/>
  <c r="D121" i="4"/>
  <c r="D77" i="4"/>
  <c r="D70" i="4"/>
  <c r="D119" i="4"/>
  <c r="D81" i="4"/>
  <c r="D63" i="4"/>
  <c r="D102" i="4"/>
  <c r="D103" i="4"/>
  <c r="D100" i="4"/>
  <c r="D101" i="4"/>
  <c r="D80" i="4"/>
  <c r="D82" i="4"/>
  <c r="D83" i="4"/>
  <c r="D108" i="4"/>
  <c r="D109" i="4"/>
  <c r="D110" i="4"/>
  <c r="D111" i="4"/>
  <c r="D78" i="4"/>
  <c r="D73" i="4"/>
  <c r="D120" i="4"/>
  <c r="D74" i="4"/>
  <c r="D114" i="4"/>
  <c r="D115" i="4"/>
  <c r="D116" i="4"/>
  <c r="D104" i="4"/>
  <c r="D105" i="4"/>
  <c r="D106" i="4"/>
  <c r="D107" i="4"/>
  <c r="D49" i="4"/>
  <c r="D50" i="4"/>
  <c r="D51" i="4"/>
  <c r="D162" i="4"/>
  <c r="D52" i="4"/>
  <c r="D54" i="4"/>
  <c r="D53" i="4"/>
  <c r="D55" i="4"/>
  <c r="D56" i="4"/>
  <c r="D58" i="4"/>
  <c r="D59" i="4"/>
  <c r="D60" i="4"/>
  <c r="D61" i="4"/>
  <c r="D62" i="4"/>
  <c r="D112" i="4"/>
  <c r="D113" i="4"/>
  <c r="D136" i="4"/>
  <c r="D134" i="4"/>
  <c r="D135" i="4"/>
  <c r="D132" i="4"/>
  <c r="D133" i="4"/>
  <c r="D43" i="4"/>
  <c r="D44" i="4"/>
  <c r="D130" i="4"/>
  <c r="D128" i="4"/>
  <c r="D129" i="4"/>
  <c r="D125" i="4"/>
  <c r="D126" i="4"/>
  <c r="D127" i="4"/>
  <c r="D123" i="4"/>
  <c r="D122" i="4"/>
  <c r="D33" i="4"/>
  <c r="D87" i="4"/>
  <c r="D47" i="4"/>
  <c r="D99" i="4"/>
  <c r="D45" i="4"/>
  <c r="D46" i="4"/>
  <c r="D192" i="4"/>
  <c r="D200" i="4"/>
  <c r="D201" i="4"/>
  <c r="D202" i="4"/>
  <c r="D203" i="4"/>
  <c r="D204" i="4"/>
  <c r="D193" i="4"/>
  <c r="D194" i="4"/>
  <c r="D195" i="4"/>
  <c r="D196" i="4"/>
  <c r="D197" i="4"/>
  <c r="D198" i="4"/>
  <c r="D199" i="4"/>
  <c r="D152" i="4"/>
  <c r="D153" i="4"/>
  <c r="D154" i="4"/>
  <c r="D155" i="4"/>
  <c r="D157" i="4"/>
  <c r="D156" i="4"/>
  <c r="D124" i="4"/>
  <c r="D185" i="4"/>
  <c r="D186" i="4"/>
  <c r="D187" i="4"/>
  <c r="D188" i="4"/>
  <c r="D189" i="4"/>
  <c r="D190" i="4"/>
  <c r="D191" i="4"/>
  <c r="D158" i="4"/>
  <c r="D159" i="4"/>
  <c r="D160" i="4"/>
  <c r="D163" i="4"/>
  <c r="D164" i="4"/>
  <c r="D161" i="4"/>
  <c r="D7" i="4"/>
  <c r="D146" i="4"/>
  <c r="D147" i="4"/>
  <c r="D148" i="4"/>
  <c r="D149" i="4"/>
  <c r="D150" i="4"/>
  <c r="D151" i="4"/>
  <c r="D137" i="4"/>
  <c r="D138" i="4"/>
  <c r="D139" i="4"/>
  <c r="D140" i="4"/>
  <c r="D141" i="4"/>
  <c r="D142" i="4"/>
  <c r="D143" i="4"/>
  <c r="D144" i="4"/>
  <c r="D145" i="4"/>
  <c r="D21" i="4"/>
  <c r="D29" i="4"/>
  <c r="D11" i="4"/>
  <c r="D27" i="4"/>
  <c r="D28" i="4"/>
  <c r="D5" i="4"/>
  <c r="D20" i="4"/>
  <c r="D22" i="4"/>
  <c r="D6" i="4"/>
  <c r="D3" i="4"/>
  <c r="D4" i="4"/>
  <c r="D9" i="4"/>
  <c r="D10" i="4"/>
  <c r="D30" i="4"/>
  <c r="D2" i="4"/>
  <c r="F276" i="4"/>
  <c r="G276" i="4" s="1"/>
  <c r="H276" i="4" s="1"/>
  <c r="F275" i="4"/>
  <c r="G275" i="4" s="1"/>
  <c r="H275" i="4" s="1"/>
  <c r="K18" i="2"/>
  <c r="K22" i="2"/>
  <c r="F274" i="4"/>
  <c r="G274" i="4" s="1"/>
  <c r="H274" i="4" s="1"/>
  <c r="K13" i="2"/>
  <c r="F273" i="4"/>
  <c r="G273" i="4" s="1"/>
  <c r="H273" i="4" s="1"/>
  <c r="K12" i="2"/>
  <c r="F272" i="4"/>
  <c r="G272" i="4" s="1"/>
  <c r="H272" i="4" s="1"/>
  <c r="K16" i="2"/>
  <c r="F271" i="4"/>
  <c r="G271" i="4" s="1"/>
  <c r="H271" i="4" s="1"/>
  <c r="K9" i="2"/>
  <c r="K21" i="2"/>
  <c r="F270" i="4"/>
  <c r="G270" i="4" s="1"/>
  <c r="H270" i="4" s="1"/>
  <c r="F269" i="4"/>
  <c r="G269" i="4" s="1"/>
  <c r="H269" i="4" s="1"/>
  <c r="K8" i="2"/>
  <c r="F268" i="4"/>
  <c r="G268" i="4" s="1"/>
  <c r="H268" i="4" s="1"/>
  <c r="K6" i="2"/>
  <c r="K19" i="2"/>
  <c r="P267" i="6"/>
  <c r="K23" i="2"/>
  <c r="P266" i="6"/>
  <c r="P265" i="6"/>
  <c r="P264" i="6"/>
  <c r="F264" i="4"/>
  <c r="G264" i="4" s="1"/>
  <c r="H264" i="4" s="1"/>
  <c r="P263" i="6"/>
  <c r="P262" i="6"/>
  <c r="P261" i="6"/>
  <c r="P260" i="6"/>
  <c r="P259" i="6"/>
  <c r="P258" i="6"/>
  <c r="P257" i="6"/>
  <c r="F257" i="4"/>
  <c r="G257" i="4" s="1"/>
  <c r="H257" i="4" s="1"/>
  <c r="P256" i="6"/>
  <c r="F256" i="4"/>
  <c r="G256" i="4" s="1"/>
  <c r="H256" i="4" s="1"/>
  <c r="P255" i="6"/>
  <c r="F255" i="4"/>
  <c r="G255" i="4" s="1"/>
  <c r="H255" i="4" s="1"/>
  <c r="P254" i="6"/>
  <c r="F254" i="4"/>
  <c r="G254" i="4" s="1"/>
  <c r="H254" i="4" s="1"/>
  <c r="P253" i="6"/>
  <c r="F253" i="4"/>
  <c r="G253" i="4" s="1"/>
  <c r="H253" i="4" s="1"/>
  <c r="P252" i="6"/>
  <c r="F252" i="4"/>
  <c r="G252" i="4" s="1"/>
  <c r="H252" i="4" s="1"/>
  <c r="P251" i="6"/>
  <c r="F251" i="4"/>
  <c r="G251" i="4" s="1"/>
  <c r="H251" i="4" s="1"/>
  <c r="P250" i="6"/>
  <c r="F250" i="4"/>
  <c r="G250" i="4" s="1"/>
  <c r="H250" i="4" s="1"/>
  <c r="K4" i="2"/>
  <c r="P249" i="6"/>
  <c r="F249" i="4"/>
  <c r="G249" i="4" s="1"/>
  <c r="H249" i="4" s="1"/>
  <c r="P248" i="6"/>
  <c r="P247" i="6"/>
  <c r="F247" i="4"/>
  <c r="G247" i="4" s="1"/>
  <c r="H247" i="4" s="1"/>
  <c r="P246" i="6"/>
  <c r="P245" i="6"/>
  <c r="F245" i="4"/>
  <c r="G245" i="4" s="1"/>
  <c r="H245" i="4" s="1"/>
  <c r="P244" i="6"/>
  <c r="F244" i="4"/>
  <c r="G244" i="4" s="1"/>
  <c r="H244" i="4" s="1"/>
  <c r="P243" i="6"/>
  <c r="F243" i="4"/>
  <c r="G243" i="4" s="1"/>
  <c r="H243" i="4" s="1"/>
  <c r="P242" i="6"/>
  <c r="F242" i="4"/>
  <c r="G242" i="4" s="1"/>
  <c r="H242" i="4" s="1"/>
  <c r="P241" i="6"/>
  <c r="F241" i="4"/>
  <c r="G241" i="4" s="1"/>
  <c r="H241" i="4" s="1"/>
  <c r="P240" i="6"/>
  <c r="F240" i="4"/>
  <c r="G240" i="4" s="1"/>
  <c r="H240" i="4" s="1"/>
  <c r="P239" i="6"/>
  <c r="F239" i="4"/>
  <c r="G239" i="4" s="1"/>
  <c r="H239" i="4" s="1"/>
  <c r="P238" i="6"/>
  <c r="F238" i="4"/>
  <c r="G238" i="4" s="1"/>
  <c r="H238" i="4" s="1"/>
  <c r="K2" i="2"/>
  <c r="K26" i="2"/>
  <c r="P237" i="6"/>
  <c r="F237" i="4"/>
  <c r="G237" i="4" s="1"/>
  <c r="H237" i="4" s="1"/>
  <c r="P236" i="6"/>
  <c r="P235" i="6"/>
  <c r="P234" i="6"/>
  <c r="F234" i="4"/>
  <c r="G234" i="4" s="1"/>
  <c r="H234" i="4" s="1"/>
  <c r="P233" i="6"/>
  <c r="F233" i="4"/>
  <c r="G233" i="4" s="1"/>
  <c r="H233" i="4" s="1"/>
  <c r="P232" i="6"/>
  <c r="F232" i="4"/>
  <c r="G232" i="4" s="1"/>
  <c r="H232" i="4" s="1"/>
  <c r="P231" i="6"/>
  <c r="P230" i="6"/>
  <c r="F230" i="4"/>
  <c r="G230" i="4" s="1"/>
  <c r="H230" i="4" s="1"/>
  <c r="P229" i="6"/>
  <c r="F229" i="4"/>
  <c r="G229" i="4" s="1"/>
  <c r="H229" i="4" s="1"/>
  <c r="P228" i="6"/>
  <c r="P227" i="6"/>
  <c r="P226" i="6"/>
  <c r="F226" i="4"/>
  <c r="G226" i="4" s="1"/>
  <c r="H226" i="4" s="1"/>
  <c r="P225" i="6"/>
  <c r="P224" i="6"/>
  <c r="F224" i="4"/>
  <c r="G224" i="4" s="1"/>
  <c r="H224" i="4" s="1"/>
  <c r="P223" i="6"/>
  <c r="F223" i="4"/>
  <c r="G223" i="4" s="1"/>
  <c r="H223" i="4" s="1"/>
  <c r="P222" i="6"/>
  <c r="F222" i="4"/>
  <c r="G222" i="4" s="1"/>
  <c r="H222" i="4" s="1"/>
  <c r="P221" i="6"/>
  <c r="P220" i="6"/>
  <c r="P219" i="6"/>
  <c r="P218" i="6"/>
  <c r="P217" i="6"/>
  <c r="P216" i="6"/>
  <c r="P215" i="6"/>
  <c r="P214" i="6"/>
  <c r="F214" i="4"/>
  <c r="G214" i="4" s="1"/>
  <c r="H214" i="4" s="1"/>
  <c r="P213" i="6"/>
  <c r="F213" i="4"/>
  <c r="G213" i="4" s="1"/>
  <c r="H213" i="4" s="1"/>
  <c r="K3" i="2"/>
  <c r="P212" i="6"/>
  <c r="P211" i="6"/>
  <c r="P210" i="6"/>
  <c r="F210" i="4"/>
  <c r="G210" i="4" s="1"/>
  <c r="H210" i="4" s="1"/>
  <c r="P209" i="6"/>
  <c r="F209" i="4"/>
  <c r="G209" i="4" s="1"/>
  <c r="H209" i="4" s="1"/>
  <c r="P208" i="6"/>
  <c r="F208" i="4"/>
  <c r="G208" i="4" s="1"/>
  <c r="H208" i="4" s="1"/>
  <c r="P207" i="6"/>
  <c r="P206" i="6"/>
  <c r="F206" i="4"/>
  <c r="G206" i="4" s="1"/>
  <c r="H206" i="4" s="1"/>
  <c r="K17" i="2"/>
  <c r="P205" i="6"/>
  <c r="F205" i="4"/>
  <c r="G205" i="4" s="1"/>
  <c r="H205" i="4" s="1"/>
  <c r="P204" i="6"/>
  <c r="F204" i="4"/>
  <c r="G204" i="4" s="1"/>
  <c r="H204" i="4" s="1"/>
  <c r="P203" i="6"/>
  <c r="F203" i="4"/>
  <c r="G203" i="4" s="1"/>
  <c r="H203" i="4" s="1"/>
  <c r="P202" i="6"/>
  <c r="F202" i="4"/>
  <c r="G202" i="4" s="1"/>
  <c r="H202" i="4" s="1"/>
  <c r="P201" i="6"/>
  <c r="F201" i="4"/>
  <c r="G201" i="4" s="1"/>
  <c r="H201" i="4" s="1"/>
  <c r="P200" i="6"/>
  <c r="F200" i="4"/>
  <c r="G200" i="4" s="1"/>
  <c r="H200" i="4" s="1"/>
  <c r="P199" i="6"/>
  <c r="F199" i="4"/>
  <c r="G199" i="4" s="1"/>
  <c r="H199" i="4" s="1"/>
  <c r="P198" i="6"/>
  <c r="F198" i="4"/>
  <c r="G198" i="4" s="1"/>
  <c r="H198" i="4" s="1"/>
  <c r="P197" i="6"/>
  <c r="F197" i="4"/>
  <c r="G197" i="4" s="1"/>
  <c r="H197" i="4" s="1"/>
  <c r="P196" i="6"/>
  <c r="F196" i="4"/>
  <c r="G196" i="4" s="1"/>
  <c r="H196" i="4" s="1"/>
  <c r="P195" i="6"/>
  <c r="F195" i="4"/>
  <c r="G195" i="4" s="1"/>
  <c r="H195" i="4" s="1"/>
  <c r="P194" i="6"/>
  <c r="F194" i="4"/>
  <c r="G194" i="4" s="1"/>
  <c r="H194" i="4" s="1"/>
  <c r="P193" i="6"/>
  <c r="F193" i="4"/>
  <c r="G193" i="4" s="1"/>
  <c r="H193" i="4" s="1"/>
  <c r="P192" i="6"/>
  <c r="F192" i="4"/>
  <c r="G192" i="4" s="1"/>
  <c r="H192" i="4" s="1"/>
  <c r="P191" i="6"/>
  <c r="F191" i="4"/>
  <c r="G191" i="4" s="1"/>
  <c r="H191" i="4" s="1"/>
  <c r="P190" i="6"/>
  <c r="F190" i="4"/>
  <c r="G190" i="4" s="1"/>
  <c r="H190" i="4" s="1"/>
  <c r="P189" i="6"/>
  <c r="F189" i="4"/>
  <c r="G189" i="4" s="1"/>
  <c r="H189" i="4" s="1"/>
  <c r="P188" i="6"/>
  <c r="F188" i="4"/>
  <c r="G188" i="4" s="1"/>
  <c r="H188" i="4" s="1"/>
  <c r="P187" i="6"/>
  <c r="F187" i="4"/>
  <c r="G187" i="4" s="1"/>
  <c r="H187" i="4" s="1"/>
  <c r="P186" i="6"/>
  <c r="F186" i="4"/>
  <c r="G186" i="4" s="1"/>
  <c r="H186" i="4" s="1"/>
  <c r="P185" i="6"/>
  <c r="F185" i="4"/>
  <c r="G185" i="4" s="1"/>
  <c r="H185" i="4" s="1"/>
  <c r="P184" i="6"/>
  <c r="F184" i="4"/>
  <c r="G184" i="4" s="1"/>
  <c r="H184" i="4" s="1"/>
  <c r="P183" i="6"/>
  <c r="F183" i="4"/>
  <c r="G183" i="4" s="1"/>
  <c r="H183" i="4" s="1"/>
  <c r="P182" i="6"/>
  <c r="F182" i="4"/>
  <c r="G182" i="4" s="1"/>
  <c r="H182" i="4" s="1"/>
  <c r="P181" i="6"/>
  <c r="F181" i="4"/>
  <c r="G181" i="4" s="1"/>
  <c r="H181" i="4" s="1"/>
  <c r="P180" i="6"/>
  <c r="F180" i="4"/>
  <c r="G180" i="4" s="1"/>
  <c r="H180" i="4" s="1"/>
  <c r="P179" i="6"/>
  <c r="F179" i="4"/>
  <c r="G179" i="4" s="1"/>
  <c r="H179" i="4" s="1"/>
  <c r="P178" i="6"/>
  <c r="F178" i="4"/>
  <c r="G178" i="4" s="1"/>
  <c r="H178" i="4" s="1"/>
  <c r="P177" i="6"/>
  <c r="P176" i="6"/>
  <c r="P175" i="6"/>
  <c r="P174" i="6"/>
  <c r="F174" i="4"/>
  <c r="G174" i="4" s="1"/>
  <c r="H174" i="4" s="1"/>
  <c r="P173" i="6"/>
  <c r="P172" i="6"/>
  <c r="P171" i="6"/>
  <c r="P170" i="6"/>
  <c r="P169" i="6"/>
  <c r="P168" i="6"/>
  <c r="F168" i="4"/>
  <c r="G168" i="4" s="1"/>
  <c r="H168" i="4" s="1"/>
  <c r="P167" i="6"/>
  <c r="F167" i="4"/>
  <c r="G167" i="4" s="1"/>
  <c r="H167" i="4" s="1"/>
  <c r="P166" i="6"/>
  <c r="F166" i="4"/>
  <c r="G166" i="4" s="1"/>
  <c r="H166" i="4" s="1"/>
  <c r="P165" i="6"/>
  <c r="F165" i="4"/>
  <c r="G165" i="4" s="1"/>
  <c r="H165" i="4" s="1"/>
  <c r="P164" i="6"/>
  <c r="F164" i="4"/>
  <c r="G164" i="4" s="1"/>
  <c r="H164" i="4" s="1"/>
  <c r="P163" i="6"/>
  <c r="F163" i="4"/>
  <c r="G163" i="4" s="1"/>
  <c r="H163" i="4" s="1"/>
  <c r="F162" i="4"/>
  <c r="G162" i="4" s="1"/>
  <c r="H162" i="4" s="1"/>
  <c r="K14" i="2"/>
  <c r="P161" i="6"/>
  <c r="F161" i="4"/>
  <c r="G161" i="4" s="1"/>
  <c r="H161" i="4" s="1"/>
  <c r="K20" i="2"/>
  <c r="P160" i="6"/>
  <c r="F160" i="4"/>
  <c r="G160" i="4" s="1"/>
  <c r="H160" i="4" s="1"/>
  <c r="P159" i="6"/>
  <c r="F159" i="4"/>
  <c r="G159" i="4" s="1"/>
  <c r="H159" i="4" s="1"/>
  <c r="P158" i="6"/>
  <c r="F158" i="4"/>
  <c r="G158" i="4" s="1"/>
  <c r="H158" i="4" s="1"/>
  <c r="P157" i="6"/>
  <c r="F157" i="4"/>
  <c r="G157" i="4" s="1"/>
  <c r="H157" i="4" s="1"/>
  <c r="P156" i="6"/>
  <c r="F156" i="4"/>
  <c r="G156" i="4" s="1"/>
  <c r="H156" i="4" s="1"/>
  <c r="P155" i="6"/>
  <c r="F155" i="4"/>
  <c r="G155" i="4" s="1"/>
  <c r="H155" i="4" s="1"/>
  <c r="P154" i="6"/>
  <c r="F154" i="4"/>
  <c r="G154" i="4" s="1"/>
  <c r="H154" i="4" s="1"/>
  <c r="P153" i="6"/>
  <c r="F153" i="4"/>
  <c r="G153" i="4" s="1"/>
  <c r="H153" i="4" s="1"/>
  <c r="P152" i="6"/>
  <c r="F152" i="4"/>
  <c r="G152" i="4" s="1"/>
  <c r="H152" i="4" s="1"/>
  <c r="P151" i="6"/>
  <c r="F151" i="4"/>
  <c r="G151" i="4" s="1"/>
  <c r="H151" i="4" s="1"/>
  <c r="P150" i="6"/>
  <c r="F150" i="4"/>
  <c r="G150" i="4" s="1"/>
  <c r="H150" i="4" s="1"/>
  <c r="P149" i="6"/>
  <c r="F149" i="4"/>
  <c r="G149" i="4" s="1"/>
  <c r="H149" i="4" s="1"/>
  <c r="P148" i="6"/>
  <c r="F148" i="4"/>
  <c r="G148" i="4" s="1"/>
  <c r="H148" i="4" s="1"/>
  <c r="P162" i="6"/>
  <c r="P147" i="6"/>
  <c r="F147" i="4"/>
  <c r="G147" i="4" s="1"/>
  <c r="H147" i="4" s="1"/>
  <c r="P146" i="6"/>
  <c r="F146" i="4"/>
  <c r="G146" i="4" s="1"/>
  <c r="H146" i="4" s="1"/>
  <c r="P145" i="6"/>
  <c r="F145" i="4"/>
  <c r="G145" i="4" s="1"/>
  <c r="H145" i="4" s="1"/>
  <c r="P144" i="6"/>
  <c r="F144" i="4"/>
  <c r="G144" i="4" s="1"/>
  <c r="H144" i="4" s="1"/>
  <c r="P143" i="6"/>
  <c r="F143" i="4"/>
  <c r="G143" i="4" s="1"/>
  <c r="H143" i="4" s="1"/>
  <c r="P142" i="6"/>
  <c r="F142" i="4"/>
  <c r="G142" i="4" s="1"/>
  <c r="H142" i="4" s="1"/>
  <c r="P141" i="6"/>
  <c r="F141" i="4"/>
  <c r="G141" i="4" s="1"/>
  <c r="H141" i="4" s="1"/>
  <c r="P140" i="6"/>
  <c r="F140" i="4"/>
  <c r="G140" i="4" s="1"/>
  <c r="H140" i="4" s="1"/>
  <c r="P139" i="6"/>
  <c r="F139" i="4"/>
  <c r="G139" i="4" s="1"/>
  <c r="H139" i="4" s="1"/>
  <c r="P138" i="6"/>
  <c r="F138" i="4"/>
  <c r="G138" i="4" s="1"/>
  <c r="H138" i="4" s="1"/>
  <c r="P137" i="6"/>
  <c r="F137" i="4"/>
  <c r="G137" i="4" s="1"/>
  <c r="H137" i="4" s="1"/>
  <c r="P136" i="6"/>
  <c r="F136" i="4"/>
  <c r="G136" i="4" s="1"/>
  <c r="H136" i="4" s="1"/>
  <c r="K15" i="2"/>
  <c r="P135" i="6"/>
  <c r="F135" i="4"/>
  <c r="G135" i="4" s="1"/>
  <c r="H135" i="4" s="1"/>
  <c r="P134" i="6"/>
  <c r="F134" i="4"/>
  <c r="G134" i="4" s="1"/>
  <c r="H134" i="4" s="1"/>
  <c r="P133" i="6"/>
  <c r="F133" i="4"/>
  <c r="G133" i="4" s="1"/>
  <c r="H133" i="4" s="1"/>
  <c r="P132" i="6"/>
  <c r="F132" i="4"/>
  <c r="G132" i="4" s="1"/>
  <c r="H132" i="4" s="1"/>
  <c r="P131" i="6"/>
  <c r="P130" i="6"/>
  <c r="F130" i="4"/>
  <c r="G130" i="4" s="1"/>
  <c r="H130" i="4" s="1"/>
  <c r="P129" i="6"/>
  <c r="F129" i="4"/>
  <c r="G129" i="4" s="1"/>
  <c r="H129" i="4" s="1"/>
  <c r="P128" i="6"/>
  <c r="F128" i="4"/>
  <c r="G128" i="4" s="1"/>
  <c r="H128" i="4" s="1"/>
  <c r="P127" i="6"/>
  <c r="F127" i="4"/>
  <c r="G127" i="4" s="1"/>
  <c r="H127" i="4" s="1"/>
  <c r="P126" i="6"/>
  <c r="F126" i="4"/>
  <c r="G126" i="4" s="1"/>
  <c r="H126" i="4" s="1"/>
  <c r="P125" i="6"/>
  <c r="F125" i="4"/>
  <c r="G125" i="4" s="1"/>
  <c r="H125" i="4" s="1"/>
  <c r="P124" i="6"/>
  <c r="F124" i="4"/>
  <c r="G124" i="4" s="1"/>
  <c r="H124" i="4" s="1"/>
  <c r="P123" i="6"/>
  <c r="F123" i="4"/>
  <c r="G123" i="4" s="1"/>
  <c r="H123" i="4" s="1"/>
  <c r="K32" i="2"/>
  <c r="P122" i="6"/>
  <c r="F122" i="4"/>
  <c r="G122" i="4" s="1"/>
  <c r="H122" i="4" s="1"/>
  <c r="P121" i="6"/>
  <c r="F121" i="4"/>
  <c r="G121" i="4" s="1"/>
  <c r="H121" i="4" s="1"/>
  <c r="P120" i="6"/>
  <c r="F120" i="4"/>
  <c r="G120" i="4" s="1"/>
  <c r="H120" i="4" s="1"/>
  <c r="P119" i="6"/>
  <c r="F119" i="4"/>
  <c r="G119" i="4" s="1"/>
  <c r="H119" i="4" s="1"/>
  <c r="P118" i="6"/>
  <c r="F118" i="4"/>
  <c r="G118" i="4" s="1"/>
  <c r="H118" i="4" s="1"/>
  <c r="P117" i="6"/>
  <c r="F117" i="4"/>
  <c r="G117" i="4" s="1"/>
  <c r="H117" i="4" s="1"/>
  <c r="P116" i="6"/>
  <c r="F116" i="4"/>
  <c r="G116" i="4" s="1"/>
  <c r="H116" i="4" s="1"/>
  <c r="P115" i="6"/>
  <c r="F115" i="4"/>
  <c r="G115" i="4" s="1"/>
  <c r="H115" i="4" s="1"/>
  <c r="P114" i="6"/>
  <c r="F114" i="4"/>
  <c r="G114" i="4" s="1"/>
  <c r="H114" i="4" s="1"/>
  <c r="P113" i="6"/>
  <c r="F113" i="4"/>
  <c r="G113" i="4" s="1"/>
  <c r="H113" i="4" s="1"/>
  <c r="K34" i="2"/>
  <c r="P112" i="6"/>
  <c r="F112" i="4"/>
  <c r="G112" i="4" s="1"/>
  <c r="H112" i="4" s="1"/>
  <c r="P111" i="6"/>
  <c r="F111" i="4"/>
  <c r="G111" i="4" s="1"/>
  <c r="H111" i="4" s="1"/>
  <c r="P110" i="6"/>
  <c r="F110" i="4"/>
  <c r="G110" i="4" s="1"/>
  <c r="H110" i="4" s="1"/>
  <c r="P109" i="6"/>
  <c r="F109" i="4"/>
  <c r="G109" i="4" s="1"/>
  <c r="H109" i="4" s="1"/>
  <c r="K30" i="2"/>
  <c r="K31" i="2"/>
  <c r="P108" i="6"/>
  <c r="F108" i="4"/>
  <c r="G108" i="4" s="1"/>
  <c r="H108" i="4" s="1"/>
  <c r="P107" i="6"/>
  <c r="F107" i="4"/>
  <c r="G107" i="4" s="1"/>
  <c r="H107" i="4" s="1"/>
  <c r="K7" i="2"/>
  <c r="P106" i="6"/>
  <c r="F106" i="4"/>
  <c r="G106" i="4" s="1"/>
  <c r="H106" i="4" s="1"/>
  <c r="K29" i="2"/>
  <c r="P105" i="6"/>
  <c r="F105" i="4"/>
  <c r="G105" i="4" s="1"/>
  <c r="H105" i="4" s="1"/>
  <c r="P104" i="6"/>
  <c r="F104" i="4"/>
  <c r="G104" i="4" s="1"/>
  <c r="H104" i="4" s="1"/>
  <c r="F103" i="4"/>
  <c r="G103" i="4" s="1"/>
  <c r="H103" i="4" s="1"/>
  <c r="K33" i="2"/>
  <c r="P102" i="6"/>
  <c r="F102" i="4"/>
  <c r="G102" i="4" s="1"/>
  <c r="H102" i="4" s="1"/>
  <c r="P101" i="6"/>
  <c r="F101" i="4"/>
  <c r="G101" i="4" s="1"/>
  <c r="H101" i="4" s="1"/>
  <c r="P103" i="6"/>
  <c r="P100" i="6"/>
  <c r="F100" i="4"/>
  <c r="G100" i="4" s="1"/>
  <c r="H100" i="4" s="1"/>
  <c r="K5" i="2"/>
  <c r="P99" i="6"/>
  <c r="F99" i="4"/>
  <c r="G99" i="4" s="1"/>
  <c r="H99" i="4" s="1"/>
  <c r="P98" i="6"/>
  <c r="F98" i="4"/>
  <c r="G98" i="4" s="1"/>
  <c r="H98" i="4" s="1"/>
  <c r="P97" i="6"/>
  <c r="F97" i="4"/>
  <c r="G97" i="4" s="1"/>
  <c r="H97" i="4" s="1"/>
  <c r="P96" i="6"/>
  <c r="F96" i="4"/>
  <c r="G96" i="4" s="1"/>
  <c r="H96" i="4" s="1"/>
  <c r="P95" i="6"/>
  <c r="P94" i="6"/>
  <c r="F94" i="4"/>
  <c r="G94" i="4" s="1"/>
  <c r="H94" i="4" s="1"/>
  <c r="P93" i="6"/>
  <c r="F93" i="4"/>
  <c r="G93" i="4" s="1"/>
  <c r="H93" i="4" s="1"/>
  <c r="P92" i="6"/>
  <c r="F92" i="4"/>
  <c r="G92" i="4" s="1"/>
  <c r="H92" i="4" s="1"/>
  <c r="P91" i="6"/>
  <c r="F91" i="4"/>
  <c r="G91" i="4" s="1"/>
  <c r="H91" i="4" s="1"/>
  <c r="P90" i="6"/>
  <c r="F90" i="4"/>
  <c r="G90" i="4" s="1"/>
  <c r="H90" i="4" s="1"/>
  <c r="P89" i="6"/>
  <c r="F89" i="4"/>
  <c r="G89" i="4" s="1"/>
  <c r="H89" i="4" s="1"/>
  <c r="K28" i="2"/>
  <c r="P88" i="6"/>
  <c r="F88" i="4"/>
  <c r="G88" i="4" s="1"/>
  <c r="H88" i="4" s="1"/>
  <c r="P87" i="6"/>
  <c r="F87" i="4"/>
  <c r="G87" i="4" s="1"/>
  <c r="H87" i="4" s="1"/>
  <c r="P86" i="6"/>
  <c r="F86" i="4"/>
  <c r="G86" i="4" s="1"/>
  <c r="H86" i="4" s="1"/>
  <c r="P85" i="6"/>
  <c r="F85" i="4"/>
  <c r="G85" i="4" s="1"/>
  <c r="H85" i="4" s="1"/>
  <c r="P84" i="6"/>
  <c r="F84" i="4"/>
  <c r="G84" i="4" s="1"/>
  <c r="H84" i="4" s="1"/>
  <c r="P83" i="6"/>
  <c r="F83" i="4"/>
  <c r="G83" i="4" s="1"/>
  <c r="H83" i="4" s="1"/>
  <c r="P82" i="6"/>
  <c r="F82" i="4"/>
  <c r="G82" i="4" s="1"/>
  <c r="H82" i="4" s="1"/>
  <c r="P81" i="6"/>
  <c r="F81" i="4"/>
  <c r="G81" i="4" s="1"/>
  <c r="H81" i="4" s="1"/>
  <c r="P80" i="6"/>
  <c r="F80" i="4"/>
  <c r="G80" i="4" s="1"/>
  <c r="H80" i="4" s="1"/>
  <c r="P79" i="6"/>
  <c r="F79" i="4"/>
  <c r="G79" i="4" s="1"/>
  <c r="H79" i="4" s="1"/>
  <c r="P78" i="6"/>
  <c r="F78" i="4"/>
  <c r="G78" i="4" s="1"/>
  <c r="H78" i="4" s="1"/>
  <c r="P77" i="6"/>
  <c r="F77" i="4"/>
  <c r="G77" i="4" s="1"/>
  <c r="H77" i="4" s="1"/>
  <c r="K41" i="2"/>
  <c r="K42" i="2"/>
  <c r="P76" i="6"/>
  <c r="F76" i="4"/>
  <c r="G76" i="4" s="1"/>
  <c r="H76" i="4" s="1"/>
  <c r="P75" i="6"/>
  <c r="F75" i="4"/>
  <c r="G75" i="4" s="1"/>
  <c r="H75" i="4" s="1"/>
  <c r="P74" i="6"/>
  <c r="F74" i="4"/>
  <c r="G74" i="4" s="1"/>
  <c r="H74" i="4" s="1"/>
  <c r="P73" i="6"/>
  <c r="F73" i="4"/>
  <c r="G73" i="4" s="1"/>
  <c r="H73" i="4" s="1"/>
  <c r="P72" i="6"/>
  <c r="P71" i="6"/>
  <c r="F71" i="4"/>
  <c r="G71" i="4" s="1"/>
  <c r="H71" i="4" s="1"/>
  <c r="K11" i="2"/>
  <c r="P70" i="6"/>
  <c r="F70" i="4"/>
  <c r="G70" i="4" s="1"/>
  <c r="H70" i="4" s="1"/>
  <c r="P69" i="6"/>
  <c r="F69" i="4"/>
  <c r="G69" i="4" s="1"/>
  <c r="H69" i="4" s="1"/>
  <c r="P68" i="6"/>
  <c r="F68" i="4"/>
  <c r="G68" i="4" s="1"/>
  <c r="H68" i="4" s="1"/>
  <c r="P67" i="6"/>
  <c r="F67" i="4"/>
  <c r="G67" i="4" s="1"/>
  <c r="H67" i="4" s="1"/>
  <c r="P66" i="6"/>
  <c r="F66" i="4"/>
  <c r="G66" i="4" s="1"/>
  <c r="H66" i="4" s="1"/>
  <c r="P65" i="6"/>
  <c r="F65" i="4"/>
  <c r="G65" i="4" s="1"/>
  <c r="H65" i="4" s="1"/>
  <c r="P64" i="6"/>
  <c r="F64" i="4"/>
  <c r="G64" i="4" s="1"/>
  <c r="H64" i="4" s="1"/>
  <c r="P63" i="6"/>
  <c r="F63" i="4"/>
  <c r="G63" i="4" s="1"/>
  <c r="H63" i="4" s="1"/>
  <c r="K40" i="2"/>
  <c r="P62" i="6"/>
  <c r="F62" i="4"/>
  <c r="G62" i="4" s="1"/>
  <c r="H62" i="4" s="1"/>
  <c r="P61" i="6"/>
  <c r="F61" i="4"/>
  <c r="G61" i="4" s="1"/>
  <c r="H61" i="4" s="1"/>
  <c r="P60" i="6"/>
  <c r="F60" i="4"/>
  <c r="G60" i="4" s="1"/>
  <c r="H60" i="4" s="1"/>
  <c r="P59" i="6"/>
  <c r="F59" i="4"/>
  <c r="G59" i="4" s="1"/>
  <c r="H59" i="4" s="1"/>
  <c r="P58" i="6"/>
  <c r="F58" i="4"/>
  <c r="G58" i="4" s="1"/>
  <c r="H58" i="4" s="1"/>
  <c r="P57" i="6"/>
  <c r="F57" i="4"/>
  <c r="G57" i="4" s="1"/>
  <c r="H57" i="4" s="1"/>
  <c r="P56" i="6"/>
  <c r="F56" i="4"/>
  <c r="G56" i="4" s="1"/>
  <c r="H56" i="4" s="1"/>
  <c r="P55" i="6"/>
  <c r="F55" i="4"/>
  <c r="G55" i="4" s="1"/>
  <c r="H55" i="4" s="1"/>
  <c r="P54" i="6"/>
  <c r="F54" i="4"/>
  <c r="G54" i="4" s="1"/>
  <c r="H54" i="4" s="1"/>
  <c r="P53" i="6"/>
  <c r="F53" i="4"/>
  <c r="G53" i="4" s="1"/>
  <c r="H53" i="4" s="1"/>
  <c r="P52" i="6"/>
  <c r="F52" i="4"/>
  <c r="G52" i="4" s="1"/>
  <c r="H52" i="4" s="1"/>
  <c r="P51" i="6"/>
  <c r="F51" i="4"/>
  <c r="G51" i="4" s="1"/>
  <c r="H51" i="4" s="1"/>
  <c r="P50" i="6"/>
  <c r="F50" i="4"/>
  <c r="G50" i="4" s="1"/>
  <c r="H50" i="4" s="1"/>
  <c r="P49" i="6"/>
  <c r="F49" i="4"/>
  <c r="G49" i="4" s="1"/>
  <c r="H49" i="4" s="1"/>
  <c r="K27" i="2"/>
  <c r="P48" i="6"/>
  <c r="P47" i="6"/>
  <c r="F47" i="4"/>
  <c r="G47" i="4" s="1"/>
  <c r="H47" i="4" s="1"/>
  <c r="P46" i="6"/>
  <c r="F46" i="4"/>
  <c r="G46" i="4" s="1"/>
  <c r="H46" i="4" s="1"/>
  <c r="P45" i="6"/>
  <c r="F45" i="4"/>
  <c r="G45" i="4" s="1"/>
  <c r="H45" i="4" s="1"/>
  <c r="P44" i="6"/>
  <c r="F44" i="4"/>
  <c r="G44" i="4" s="1"/>
  <c r="H44" i="4" s="1"/>
  <c r="P43" i="6"/>
  <c r="F43" i="4"/>
  <c r="G43" i="4" s="1"/>
  <c r="H43" i="4" s="1"/>
  <c r="P42" i="6"/>
  <c r="P41" i="6"/>
  <c r="P40" i="6"/>
  <c r="F40" i="4"/>
  <c r="G40" i="4" s="1"/>
  <c r="H40" i="4" s="1"/>
  <c r="P39" i="6"/>
  <c r="F39" i="4"/>
  <c r="G39" i="4" s="1"/>
  <c r="H39" i="4" s="1"/>
  <c r="P38" i="6"/>
  <c r="P37" i="6"/>
  <c r="P36" i="6"/>
  <c r="P35" i="6"/>
  <c r="F35" i="4"/>
  <c r="G35" i="4" s="1"/>
  <c r="H35" i="4" s="1"/>
  <c r="P34" i="6"/>
  <c r="P33" i="6"/>
  <c r="F33" i="4"/>
  <c r="G33" i="4" s="1"/>
  <c r="H33" i="4" s="1"/>
  <c r="P32" i="6"/>
  <c r="F32" i="4"/>
  <c r="G32" i="4" s="1"/>
  <c r="H32" i="4" s="1"/>
  <c r="K38" i="2"/>
  <c r="P31" i="6"/>
  <c r="F31" i="4"/>
  <c r="G31" i="4" s="1"/>
  <c r="H31" i="4" s="1"/>
  <c r="P30" i="6"/>
  <c r="F30" i="4"/>
  <c r="G30" i="4" s="1"/>
  <c r="H30" i="4" s="1"/>
  <c r="P29" i="6"/>
  <c r="F29" i="4"/>
  <c r="G29" i="4" s="1"/>
  <c r="H29" i="4" s="1"/>
  <c r="P28" i="6"/>
  <c r="F28" i="4"/>
  <c r="G28" i="4" s="1"/>
  <c r="H28" i="4" s="1"/>
  <c r="P27" i="6"/>
  <c r="F27" i="4"/>
  <c r="G27" i="4" s="1"/>
  <c r="H27" i="4" s="1"/>
  <c r="K37" i="2"/>
  <c r="P26" i="6"/>
  <c r="F26" i="4"/>
  <c r="G26" i="4" s="1"/>
  <c r="H26" i="4" s="1"/>
  <c r="P25" i="6"/>
  <c r="F25" i="4"/>
  <c r="G25" i="4" s="1"/>
  <c r="H25" i="4" s="1"/>
  <c r="P24" i="6"/>
  <c r="F24" i="4"/>
  <c r="G24" i="4" s="1"/>
  <c r="H24" i="4" s="1"/>
  <c r="P23" i="6"/>
  <c r="F23" i="4"/>
  <c r="G23" i="4" s="1"/>
  <c r="H23" i="4" s="1"/>
  <c r="P22" i="6"/>
  <c r="F22" i="4"/>
  <c r="G22" i="4" s="1"/>
  <c r="H22" i="4" s="1"/>
  <c r="P21" i="6"/>
  <c r="F21" i="4"/>
  <c r="G21" i="4" s="1"/>
  <c r="H21" i="4" s="1"/>
  <c r="P20" i="6"/>
  <c r="F20" i="4"/>
  <c r="G20" i="4" s="1"/>
  <c r="H20" i="4" s="1"/>
  <c r="P19" i="6"/>
  <c r="F19" i="4"/>
  <c r="G19" i="4" s="1"/>
  <c r="H19" i="4" s="1"/>
  <c r="P18" i="6"/>
  <c r="F18" i="4"/>
  <c r="G18" i="4" s="1"/>
  <c r="H18" i="4" s="1"/>
  <c r="P17" i="6"/>
  <c r="F17" i="4"/>
  <c r="G17" i="4" s="1"/>
  <c r="H17" i="4" s="1"/>
  <c r="K36" i="2"/>
  <c r="P16" i="6"/>
  <c r="F16" i="4"/>
  <c r="G16" i="4" s="1"/>
  <c r="H16" i="4" s="1"/>
  <c r="P15" i="6"/>
  <c r="P14" i="6"/>
  <c r="P13" i="6"/>
  <c r="P12" i="6"/>
  <c r="P11" i="6"/>
  <c r="F11" i="4"/>
  <c r="G11" i="4" s="1"/>
  <c r="H11" i="4" s="1"/>
  <c r="K10" i="2"/>
  <c r="P10" i="6"/>
  <c r="F10" i="4"/>
  <c r="G10" i="4" s="1"/>
  <c r="H10" i="4" s="1"/>
  <c r="K35" i="2"/>
  <c r="P9" i="6"/>
  <c r="F9" i="4"/>
  <c r="G9" i="4" s="1"/>
  <c r="H9" i="4" s="1"/>
  <c r="P8" i="6"/>
  <c r="F8" i="4"/>
  <c r="G8" i="4" s="1"/>
  <c r="H8" i="4" s="1"/>
  <c r="P7" i="6"/>
  <c r="F7" i="4"/>
  <c r="G7" i="4" s="1"/>
  <c r="H7" i="4" s="1"/>
  <c r="P6" i="6"/>
  <c r="F6" i="4"/>
  <c r="G6" i="4" s="1"/>
  <c r="H6" i="4" s="1"/>
  <c r="P5" i="6"/>
  <c r="F5" i="4"/>
  <c r="G5" i="4" s="1"/>
  <c r="H5" i="4" s="1"/>
  <c r="P4" i="6"/>
  <c r="F4" i="4"/>
  <c r="G4" i="4" s="1"/>
  <c r="H4" i="4" s="1"/>
  <c r="P3" i="6"/>
  <c r="F3" i="4"/>
  <c r="G3" i="4" s="1"/>
  <c r="H3" i="4" s="1"/>
  <c r="K25" i="2"/>
  <c r="K39" i="2"/>
  <c r="R2" i="9"/>
  <c r="D2" i="6"/>
  <c r="P2" i="6"/>
  <c r="F2" i="4"/>
  <c r="G2" i="4" s="1"/>
  <c r="H2" i="4" s="1"/>
  <c r="K24" i="2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G11" i="1"/>
  <c r="B4" i="1"/>
  <c r="E44" i="3"/>
  <c r="B11" i="1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H70" i="2"/>
  <c r="I70" i="2" s="1"/>
  <c r="J70" i="2" s="1"/>
  <c r="H71" i="2"/>
  <c r="I71" i="2" s="1"/>
  <c r="J71" i="2" s="1"/>
  <c r="H72" i="2"/>
  <c r="I72" i="2" s="1"/>
  <c r="J72" i="2" s="1"/>
  <c r="H73" i="2"/>
  <c r="I73" i="2" s="1"/>
  <c r="J73" i="2" s="1"/>
  <c r="H74" i="2"/>
  <c r="I74" i="2" s="1"/>
  <c r="J74" i="2" s="1"/>
  <c r="H75" i="2"/>
  <c r="I75" i="2" s="1"/>
  <c r="J75" i="2" s="1"/>
  <c r="H76" i="2"/>
  <c r="I76" i="2" s="1"/>
  <c r="J76" i="2" s="1"/>
  <c r="H77" i="2"/>
  <c r="I77" i="2" s="1"/>
  <c r="J77" i="2" s="1"/>
  <c r="H78" i="2"/>
  <c r="I78" i="2" s="1"/>
  <c r="J78" i="2" s="1"/>
  <c r="H79" i="2"/>
  <c r="I79" i="2" s="1"/>
  <c r="J79" i="2" s="1"/>
  <c r="H80" i="2"/>
  <c r="I80" i="2" s="1"/>
  <c r="J80" i="2" s="1"/>
  <c r="H81" i="2"/>
  <c r="I81" i="2" s="1"/>
  <c r="J81" i="2" s="1"/>
  <c r="H82" i="2"/>
  <c r="I82" i="2" s="1"/>
  <c r="J82" i="2" s="1"/>
  <c r="H83" i="2"/>
  <c r="I83" i="2" s="1"/>
  <c r="J83" i="2" s="1"/>
  <c r="H84" i="2"/>
  <c r="I84" i="2" s="1"/>
  <c r="J84" i="2" s="1"/>
  <c r="H85" i="2"/>
  <c r="I85" i="2" s="1"/>
  <c r="J85" i="2" s="1"/>
  <c r="H86" i="2"/>
  <c r="I86" i="2" s="1"/>
  <c r="J86" i="2" s="1"/>
  <c r="H87" i="2"/>
  <c r="I87" i="2" s="1"/>
  <c r="J87" i="2" s="1"/>
  <c r="H88" i="2"/>
  <c r="I88" i="2" s="1"/>
  <c r="J88" i="2" s="1"/>
  <c r="H89" i="2"/>
  <c r="I89" i="2" s="1"/>
  <c r="J89" i="2" s="1"/>
  <c r="H90" i="2"/>
  <c r="I90" i="2" s="1"/>
  <c r="J90" i="2" s="1"/>
  <c r="H91" i="2"/>
  <c r="I91" i="2" s="1"/>
  <c r="J91" i="2" s="1"/>
  <c r="H92" i="2"/>
  <c r="I92" i="2" s="1"/>
  <c r="J92" i="2" s="1"/>
  <c r="H93" i="2"/>
  <c r="I93" i="2" s="1"/>
  <c r="J93" i="2" s="1"/>
  <c r="H94" i="2"/>
  <c r="I94" i="2" s="1"/>
  <c r="J94" i="2" s="1"/>
  <c r="H95" i="2"/>
  <c r="I95" i="2" s="1"/>
  <c r="J95" i="2" s="1"/>
  <c r="H96" i="2"/>
  <c r="I96" i="2" s="1"/>
  <c r="J96" i="2" s="1"/>
  <c r="H97" i="2"/>
  <c r="I97" i="2" s="1"/>
  <c r="J97" i="2" s="1"/>
  <c r="H98" i="2"/>
  <c r="I98" i="2" s="1"/>
  <c r="J98" i="2" s="1"/>
  <c r="H99" i="2"/>
  <c r="I99" i="2" s="1"/>
  <c r="J99" i="2" s="1"/>
  <c r="H100" i="2"/>
  <c r="I100" i="2" s="1"/>
  <c r="J100" i="2" s="1"/>
  <c r="H101" i="2"/>
  <c r="I101" i="2" s="1"/>
  <c r="J101" i="2" s="1"/>
  <c r="H102" i="2"/>
  <c r="I102" i="2" s="1"/>
  <c r="J102" i="2" s="1"/>
  <c r="H103" i="2"/>
  <c r="I103" i="2" s="1"/>
  <c r="J103" i="2" s="1"/>
  <c r="H104" i="2"/>
  <c r="I104" i="2" s="1"/>
  <c r="J104" i="2" s="1"/>
  <c r="H105" i="2"/>
  <c r="I105" i="2" s="1"/>
  <c r="J105" i="2" s="1"/>
  <c r="H106" i="2"/>
  <c r="I106" i="2" s="1"/>
  <c r="J106" i="2" s="1"/>
  <c r="H107" i="2"/>
  <c r="I107" i="2" s="1"/>
  <c r="J107" i="2" s="1"/>
  <c r="H108" i="2"/>
  <c r="I108" i="2" s="1"/>
  <c r="J108" i="2" s="1"/>
  <c r="H109" i="2"/>
  <c r="I109" i="2" s="1"/>
  <c r="J109" i="2" s="1"/>
  <c r="H110" i="2"/>
  <c r="I110" i="2" s="1"/>
  <c r="J110" i="2" s="1"/>
  <c r="H111" i="2"/>
  <c r="I111" i="2" s="1"/>
  <c r="J111" i="2" s="1"/>
  <c r="H112" i="2"/>
  <c r="I112" i="2" s="1"/>
  <c r="J112" i="2" s="1"/>
  <c r="H113" i="2"/>
  <c r="I113" i="2" s="1"/>
  <c r="J113" i="2" s="1"/>
  <c r="H114" i="2"/>
  <c r="I114" i="2" s="1"/>
  <c r="J114" i="2" s="1"/>
  <c r="H115" i="2"/>
  <c r="I115" i="2" s="1"/>
  <c r="J115" i="2" s="1"/>
  <c r="H116" i="2"/>
  <c r="I116" i="2" s="1"/>
  <c r="J116" i="2" s="1"/>
  <c r="H117" i="2"/>
  <c r="I117" i="2" s="1"/>
  <c r="J117" i="2" s="1"/>
  <c r="H118" i="2"/>
  <c r="I118" i="2" s="1"/>
  <c r="J118" i="2" s="1"/>
  <c r="H119" i="2"/>
  <c r="I119" i="2" s="1"/>
  <c r="J119" i="2" s="1"/>
  <c r="H120" i="2"/>
  <c r="I120" i="2" s="1"/>
  <c r="J120" i="2" s="1"/>
  <c r="H121" i="2"/>
  <c r="I121" i="2" s="1"/>
  <c r="J121" i="2" s="1"/>
  <c r="H122" i="2"/>
  <c r="I122" i="2" s="1"/>
  <c r="J122" i="2" s="1"/>
  <c r="H123" i="2"/>
  <c r="I123" i="2" s="1"/>
  <c r="J123" i="2" s="1"/>
  <c r="H124" i="2"/>
  <c r="I124" i="2" s="1"/>
  <c r="J124" i="2" s="1"/>
  <c r="H125" i="2"/>
  <c r="I125" i="2" s="1"/>
  <c r="J125" i="2" s="1"/>
  <c r="H126" i="2"/>
  <c r="I126" i="2" s="1"/>
  <c r="J126" i="2" s="1"/>
  <c r="H127" i="2"/>
  <c r="I127" i="2" s="1"/>
  <c r="J127" i="2" s="1"/>
  <c r="H128" i="2"/>
  <c r="I128" i="2" s="1"/>
  <c r="J128" i="2" s="1"/>
  <c r="H129" i="2"/>
  <c r="I129" i="2" s="1"/>
  <c r="J129" i="2" s="1"/>
  <c r="H130" i="2"/>
  <c r="I130" i="2" s="1"/>
  <c r="J130" i="2" s="1"/>
  <c r="H131" i="2"/>
  <c r="I131" i="2" s="1"/>
  <c r="J131" i="2" s="1"/>
  <c r="H132" i="2"/>
  <c r="I132" i="2" s="1"/>
  <c r="J132" i="2" s="1"/>
  <c r="H133" i="2"/>
  <c r="I133" i="2" s="1"/>
  <c r="J133" i="2" s="1"/>
  <c r="H134" i="2"/>
  <c r="I134" i="2" s="1"/>
  <c r="J134" i="2" s="1"/>
  <c r="H135" i="2"/>
  <c r="I135" i="2" s="1"/>
  <c r="J135" i="2" s="1"/>
  <c r="H136" i="2"/>
  <c r="I136" i="2" s="1"/>
  <c r="J136" i="2" s="1"/>
  <c r="H137" i="2"/>
  <c r="I137" i="2" s="1"/>
  <c r="J137" i="2" s="1"/>
  <c r="H138" i="2"/>
  <c r="I138" i="2" s="1"/>
  <c r="J138" i="2" s="1"/>
  <c r="H139" i="2"/>
  <c r="I139" i="2" s="1"/>
  <c r="J139" i="2" s="1"/>
  <c r="H140" i="2"/>
  <c r="I140" i="2" s="1"/>
  <c r="J140" i="2" s="1"/>
  <c r="H141" i="2"/>
  <c r="I141" i="2" s="1"/>
  <c r="J141" i="2" s="1"/>
  <c r="H142" i="2"/>
  <c r="I142" i="2" s="1"/>
  <c r="J142" i="2" s="1"/>
  <c r="H143" i="2"/>
  <c r="I143" i="2" s="1"/>
  <c r="J143" i="2" s="1"/>
  <c r="H144" i="2"/>
  <c r="I144" i="2" s="1"/>
  <c r="J144" i="2" s="1"/>
  <c r="H145" i="2"/>
  <c r="I145" i="2" s="1"/>
  <c r="J145" i="2" s="1"/>
  <c r="H146" i="2"/>
  <c r="I146" i="2" s="1"/>
  <c r="J146" i="2" s="1"/>
  <c r="H147" i="2"/>
  <c r="I147" i="2" s="1"/>
  <c r="J147" i="2" s="1"/>
  <c r="H148" i="2"/>
  <c r="I148" i="2" s="1"/>
  <c r="J148" i="2" s="1"/>
  <c r="H149" i="2"/>
  <c r="I149" i="2" s="1"/>
  <c r="J149" i="2" s="1"/>
  <c r="H150" i="2"/>
  <c r="I150" i="2" s="1"/>
  <c r="J150" i="2" s="1"/>
  <c r="H151" i="2"/>
  <c r="I151" i="2" s="1"/>
  <c r="J151" i="2" s="1"/>
  <c r="H152" i="2"/>
  <c r="I152" i="2" s="1"/>
  <c r="J152" i="2" s="1"/>
  <c r="H153" i="2"/>
  <c r="I153" i="2" s="1"/>
  <c r="J153" i="2" s="1"/>
  <c r="H154" i="2"/>
  <c r="I154" i="2" s="1"/>
  <c r="J154" i="2" s="1"/>
  <c r="H155" i="2"/>
  <c r="I155" i="2" s="1"/>
  <c r="J155" i="2" s="1"/>
  <c r="H156" i="2"/>
  <c r="I156" i="2" s="1"/>
  <c r="J156" i="2" s="1"/>
  <c r="H157" i="2"/>
  <c r="I157" i="2" s="1"/>
  <c r="J157" i="2" s="1"/>
  <c r="H158" i="2"/>
  <c r="I158" i="2" s="1"/>
  <c r="J158" i="2" s="1"/>
  <c r="H159" i="2"/>
  <c r="I159" i="2" s="1"/>
  <c r="J159" i="2" s="1"/>
  <c r="H160" i="2"/>
  <c r="I160" i="2" s="1"/>
  <c r="J160" i="2" s="1"/>
  <c r="H161" i="2"/>
  <c r="I161" i="2" s="1"/>
  <c r="J161" i="2" s="1"/>
  <c r="H162" i="2"/>
  <c r="I162" i="2" s="1"/>
  <c r="J162" i="2" s="1"/>
  <c r="H163" i="2"/>
  <c r="I163" i="2" s="1"/>
  <c r="J163" i="2" s="1"/>
  <c r="H164" i="2"/>
  <c r="I164" i="2" s="1"/>
  <c r="J164" i="2" s="1"/>
  <c r="H165" i="2"/>
  <c r="I165" i="2" s="1"/>
  <c r="J165" i="2" s="1"/>
  <c r="H166" i="2"/>
  <c r="I166" i="2" s="1"/>
  <c r="J166" i="2" s="1"/>
  <c r="H167" i="2"/>
  <c r="I167" i="2" s="1"/>
  <c r="J167" i="2" s="1"/>
  <c r="H168" i="2"/>
  <c r="I168" i="2" s="1"/>
  <c r="J168" i="2" s="1"/>
  <c r="H169" i="2"/>
  <c r="I169" i="2" s="1"/>
  <c r="J169" i="2" s="1"/>
  <c r="H170" i="2"/>
  <c r="I170" i="2" s="1"/>
  <c r="J170" i="2" s="1"/>
  <c r="H171" i="2"/>
  <c r="I171" i="2" s="1"/>
  <c r="J171" i="2" s="1"/>
  <c r="H172" i="2"/>
  <c r="I172" i="2" s="1"/>
  <c r="J172" i="2" s="1"/>
  <c r="H173" i="2"/>
  <c r="I173" i="2" s="1"/>
  <c r="J173" i="2" s="1"/>
  <c r="H174" i="2"/>
  <c r="I174" i="2" s="1"/>
  <c r="J174" i="2" s="1"/>
  <c r="H175" i="2"/>
  <c r="I175" i="2" s="1"/>
  <c r="J175" i="2" s="1"/>
  <c r="H176" i="2"/>
  <c r="I176" i="2" s="1"/>
  <c r="J176" i="2" s="1"/>
  <c r="H177" i="2"/>
  <c r="I177" i="2" s="1"/>
  <c r="J177" i="2" s="1"/>
  <c r="H178" i="2"/>
  <c r="I178" i="2" s="1"/>
  <c r="J178" i="2" s="1"/>
  <c r="H179" i="2"/>
  <c r="I179" i="2" s="1"/>
  <c r="J179" i="2" s="1"/>
  <c r="H180" i="2"/>
  <c r="I180" i="2" s="1"/>
  <c r="J180" i="2" s="1"/>
  <c r="H181" i="2"/>
  <c r="I181" i="2" s="1"/>
  <c r="J181" i="2" s="1"/>
  <c r="H182" i="2"/>
  <c r="I182" i="2" s="1"/>
  <c r="J182" i="2" s="1"/>
  <c r="H183" i="2"/>
  <c r="I183" i="2" s="1"/>
  <c r="J183" i="2" s="1"/>
  <c r="H184" i="2"/>
  <c r="I184" i="2" s="1"/>
  <c r="J184" i="2" s="1"/>
  <c r="H185" i="2"/>
  <c r="I185" i="2" s="1"/>
  <c r="J185" i="2" s="1"/>
  <c r="H186" i="2"/>
  <c r="I186" i="2" s="1"/>
  <c r="J186" i="2" s="1"/>
  <c r="H187" i="2"/>
  <c r="I187" i="2" s="1"/>
  <c r="J187" i="2" s="1"/>
  <c r="H188" i="2"/>
  <c r="I188" i="2" s="1"/>
  <c r="J188" i="2" s="1"/>
  <c r="H189" i="2"/>
  <c r="I189" i="2" s="1"/>
  <c r="J189" i="2" s="1"/>
  <c r="H190" i="2"/>
  <c r="I190" i="2" s="1"/>
  <c r="J190" i="2" s="1"/>
  <c r="H191" i="2"/>
  <c r="I191" i="2" s="1"/>
  <c r="J191" i="2" s="1"/>
  <c r="H192" i="2"/>
  <c r="I192" i="2" s="1"/>
  <c r="J192" i="2" s="1"/>
  <c r="H193" i="2"/>
  <c r="I193" i="2" s="1"/>
  <c r="J193" i="2" s="1"/>
  <c r="H194" i="2"/>
  <c r="I194" i="2" s="1"/>
  <c r="J194" i="2" s="1"/>
  <c r="H195" i="2"/>
  <c r="I195" i="2" s="1"/>
  <c r="J195" i="2" s="1"/>
  <c r="H196" i="2"/>
  <c r="I196" i="2" s="1"/>
  <c r="J196" i="2" s="1"/>
  <c r="H197" i="2"/>
  <c r="I197" i="2" s="1"/>
  <c r="J197" i="2" s="1"/>
  <c r="H198" i="2"/>
  <c r="I198" i="2" s="1"/>
  <c r="J198" i="2" s="1"/>
  <c r="H199" i="2"/>
  <c r="I199" i="2" s="1"/>
  <c r="J199" i="2" s="1"/>
  <c r="H200" i="2"/>
  <c r="I200" i="2" s="1"/>
  <c r="J200" i="2" s="1"/>
  <c r="H201" i="2"/>
  <c r="I201" i="2" s="1"/>
  <c r="J201" i="2" s="1"/>
  <c r="H202" i="2"/>
  <c r="I202" i="2" s="1"/>
  <c r="J202" i="2" s="1"/>
  <c r="H203" i="2"/>
  <c r="I203" i="2" s="1"/>
  <c r="J203" i="2" s="1"/>
  <c r="H204" i="2"/>
  <c r="I204" i="2" s="1"/>
  <c r="J204" i="2" s="1"/>
  <c r="H205" i="2"/>
  <c r="I205" i="2" s="1"/>
  <c r="J205" i="2" s="1"/>
  <c r="H206" i="2"/>
  <c r="I206" i="2" s="1"/>
  <c r="J206" i="2" s="1"/>
  <c r="H207" i="2"/>
  <c r="I207" i="2" s="1"/>
  <c r="J207" i="2" s="1"/>
  <c r="H208" i="2"/>
  <c r="I208" i="2" s="1"/>
  <c r="J208" i="2" s="1"/>
  <c r="H209" i="2"/>
  <c r="I209" i="2" s="1"/>
  <c r="J209" i="2" s="1"/>
  <c r="H210" i="2"/>
  <c r="I210" i="2" s="1"/>
  <c r="J210" i="2" s="1"/>
  <c r="H211" i="2"/>
  <c r="I211" i="2" s="1"/>
  <c r="J211" i="2" s="1"/>
  <c r="H212" i="2"/>
  <c r="I212" i="2" s="1"/>
  <c r="J212" i="2" s="1"/>
  <c r="H213" i="2"/>
  <c r="I213" i="2" s="1"/>
  <c r="J213" i="2" s="1"/>
  <c r="H214" i="2"/>
  <c r="I214" i="2" s="1"/>
  <c r="J214" i="2" s="1"/>
  <c r="H215" i="2"/>
  <c r="I215" i="2" s="1"/>
  <c r="J215" i="2" s="1"/>
  <c r="H216" i="2"/>
  <c r="I216" i="2" s="1"/>
  <c r="J216" i="2" s="1"/>
  <c r="H217" i="2"/>
  <c r="I217" i="2" s="1"/>
  <c r="J217" i="2" s="1"/>
  <c r="H218" i="2"/>
  <c r="I218" i="2" s="1"/>
  <c r="J218" i="2" s="1"/>
  <c r="H219" i="2"/>
  <c r="I219" i="2" s="1"/>
  <c r="J219" i="2" s="1"/>
  <c r="H220" i="2"/>
  <c r="I220" i="2" s="1"/>
  <c r="J220" i="2" s="1"/>
  <c r="H221" i="2"/>
  <c r="I221" i="2" s="1"/>
  <c r="J221" i="2" s="1"/>
  <c r="H222" i="2"/>
  <c r="I222" i="2" s="1"/>
  <c r="J222" i="2" s="1"/>
  <c r="H223" i="2"/>
  <c r="I223" i="2" s="1"/>
  <c r="J223" i="2" s="1"/>
  <c r="H224" i="2"/>
  <c r="I224" i="2" s="1"/>
  <c r="J224" i="2" s="1"/>
  <c r="H225" i="2"/>
  <c r="I225" i="2" s="1"/>
  <c r="J225" i="2" s="1"/>
  <c r="H226" i="2"/>
  <c r="I226" i="2" s="1"/>
  <c r="J226" i="2" s="1"/>
  <c r="H227" i="2"/>
  <c r="I227" i="2" s="1"/>
  <c r="J227" i="2" s="1"/>
  <c r="H228" i="2"/>
  <c r="I228" i="2" s="1"/>
  <c r="J228" i="2" s="1"/>
  <c r="H229" i="2"/>
  <c r="I229" i="2" s="1"/>
  <c r="J229" i="2" s="1"/>
  <c r="H230" i="2"/>
  <c r="I230" i="2" s="1"/>
  <c r="J230" i="2" s="1"/>
  <c r="H231" i="2"/>
  <c r="I231" i="2" s="1"/>
  <c r="J231" i="2" s="1"/>
  <c r="H232" i="2"/>
  <c r="I232" i="2" s="1"/>
  <c r="J232" i="2" s="1"/>
  <c r="H233" i="2"/>
  <c r="I233" i="2" s="1"/>
  <c r="J233" i="2" s="1"/>
  <c r="H234" i="2"/>
  <c r="I234" i="2" s="1"/>
  <c r="J234" i="2" s="1"/>
  <c r="H235" i="2"/>
  <c r="I235" i="2" s="1"/>
  <c r="J235" i="2" s="1"/>
  <c r="H236" i="2"/>
  <c r="I236" i="2" s="1"/>
  <c r="J236" i="2" s="1"/>
  <c r="H237" i="2"/>
  <c r="I237" i="2" s="1"/>
  <c r="J237" i="2" s="1"/>
  <c r="H238" i="2"/>
  <c r="I238" i="2" s="1"/>
  <c r="J238" i="2" s="1"/>
  <c r="H239" i="2"/>
  <c r="I239" i="2" s="1"/>
  <c r="J239" i="2" s="1"/>
  <c r="H240" i="2"/>
  <c r="I240" i="2" s="1"/>
  <c r="J240" i="2" s="1"/>
  <c r="H241" i="2"/>
  <c r="I241" i="2" s="1"/>
  <c r="J241" i="2" s="1"/>
  <c r="H242" i="2"/>
  <c r="I242" i="2" s="1"/>
  <c r="J242" i="2" s="1"/>
  <c r="H243" i="2"/>
  <c r="I243" i="2" s="1"/>
  <c r="J243" i="2" s="1"/>
  <c r="H244" i="2"/>
  <c r="I244" i="2" s="1"/>
  <c r="J244" i="2" s="1"/>
  <c r="H245" i="2"/>
  <c r="I245" i="2" s="1"/>
  <c r="J245" i="2" s="1"/>
  <c r="H246" i="2"/>
  <c r="I246" i="2" s="1"/>
  <c r="J246" i="2" s="1"/>
  <c r="H247" i="2"/>
  <c r="I247" i="2" s="1"/>
  <c r="J247" i="2" s="1"/>
  <c r="H248" i="2"/>
  <c r="I248" i="2" s="1"/>
  <c r="J248" i="2" s="1"/>
  <c r="H249" i="2"/>
  <c r="I249" i="2" s="1"/>
  <c r="J249" i="2" s="1"/>
  <c r="H250" i="2"/>
  <c r="I250" i="2" s="1"/>
  <c r="J250" i="2" s="1"/>
  <c r="H251" i="2"/>
  <c r="I251" i="2" s="1"/>
  <c r="J251" i="2" s="1"/>
  <c r="H252" i="2"/>
  <c r="I252" i="2" s="1"/>
  <c r="J252" i="2" s="1"/>
  <c r="H253" i="2"/>
  <c r="I253" i="2" s="1"/>
  <c r="J253" i="2" s="1"/>
  <c r="H254" i="2"/>
  <c r="I254" i="2" s="1"/>
  <c r="J254" i="2" s="1"/>
  <c r="H255" i="2"/>
  <c r="I255" i="2" s="1"/>
  <c r="J255" i="2" s="1"/>
  <c r="H256" i="2"/>
  <c r="I256" i="2" s="1"/>
  <c r="J256" i="2" s="1"/>
  <c r="H257" i="2"/>
  <c r="I257" i="2" s="1"/>
  <c r="J257" i="2" s="1"/>
  <c r="H258" i="2"/>
  <c r="I258" i="2" s="1"/>
  <c r="J258" i="2" s="1"/>
  <c r="H259" i="2"/>
  <c r="I259" i="2" s="1"/>
  <c r="J259" i="2" s="1"/>
  <c r="H260" i="2"/>
  <c r="I260" i="2" s="1"/>
  <c r="J260" i="2" s="1"/>
  <c r="H261" i="2"/>
  <c r="I261" i="2" s="1"/>
  <c r="J261" i="2" s="1"/>
  <c r="H262" i="2"/>
  <c r="I262" i="2" s="1"/>
  <c r="J262" i="2" s="1"/>
  <c r="H263" i="2"/>
  <c r="I263" i="2" s="1"/>
  <c r="J263" i="2" s="1"/>
  <c r="H264" i="2"/>
  <c r="I264" i="2" s="1"/>
  <c r="J264" i="2" s="1"/>
  <c r="H265" i="2"/>
  <c r="I265" i="2" s="1"/>
  <c r="J265" i="2" s="1"/>
  <c r="H266" i="2"/>
  <c r="I266" i="2" s="1"/>
  <c r="J266" i="2" s="1"/>
  <c r="H267" i="2"/>
  <c r="I267" i="2" s="1"/>
  <c r="J267" i="2" s="1"/>
  <c r="H268" i="2"/>
  <c r="I268" i="2" s="1"/>
  <c r="J268" i="2" s="1"/>
  <c r="H269" i="2"/>
  <c r="I269" i="2" s="1"/>
  <c r="J269" i="2" s="1"/>
  <c r="H270" i="2"/>
  <c r="I270" i="2" s="1"/>
  <c r="J270" i="2" s="1"/>
  <c r="H271" i="2"/>
  <c r="I271" i="2" s="1"/>
  <c r="J271" i="2" s="1"/>
  <c r="H272" i="2"/>
  <c r="I272" i="2" s="1"/>
  <c r="J272" i="2" s="1"/>
  <c r="H273" i="2"/>
  <c r="I273" i="2" s="1"/>
  <c r="J273" i="2" s="1"/>
  <c r="H274" i="2"/>
  <c r="I274" i="2" s="1"/>
  <c r="J274" i="2" s="1"/>
  <c r="H275" i="2"/>
  <c r="I275" i="2" s="1"/>
  <c r="J275" i="2" s="1"/>
  <c r="H276" i="2"/>
  <c r="I276" i="2" s="1"/>
  <c r="J276" i="2" s="1"/>
  <c r="H277" i="2"/>
  <c r="I277" i="2" s="1"/>
  <c r="J277" i="2" s="1"/>
  <c r="H278" i="2"/>
  <c r="I278" i="2" s="1"/>
  <c r="J278" i="2" s="1"/>
  <c r="H279" i="2"/>
  <c r="I279" i="2" s="1"/>
  <c r="J279" i="2" s="1"/>
  <c r="H280" i="2"/>
  <c r="I280" i="2" s="1"/>
  <c r="J280" i="2" s="1"/>
  <c r="H281" i="2"/>
  <c r="I281" i="2" s="1"/>
  <c r="J281" i="2" s="1"/>
  <c r="H282" i="2"/>
  <c r="I282" i="2" s="1"/>
  <c r="J282" i="2" s="1"/>
  <c r="H283" i="2"/>
  <c r="I283" i="2" s="1"/>
  <c r="J283" i="2" s="1"/>
  <c r="H284" i="2"/>
  <c r="I284" i="2" s="1"/>
  <c r="J284" i="2" s="1"/>
  <c r="H285" i="2"/>
  <c r="I285" i="2" s="1"/>
  <c r="J285" i="2" s="1"/>
  <c r="H286" i="2"/>
  <c r="I286" i="2" s="1"/>
  <c r="J286" i="2" s="1"/>
  <c r="H287" i="2"/>
  <c r="I287" i="2" s="1"/>
  <c r="J287" i="2" s="1"/>
  <c r="H288" i="2"/>
  <c r="I288" i="2" s="1"/>
  <c r="J288" i="2" s="1"/>
  <c r="H289" i="2"/>
  <c r="I289" i="2" s="1"/>
  <c r="J289" i="2" s="1"/>
  <c r="H290" i="2"/>
  <c r="I290" i="2" s="1"/>
  <c r="J290" i="2" s="1"/>
  <c r="H291" i="2"/>
  <c r="I291" i="2" s="1"/>
  <c r="J291" i="2" s="1"/>
  <c r="H292" i="2"/>
  <c r="I292" i="2" s="1"/>
  <c r="J292" i="2" s="1"/>
  <c r="H293" i="2"/>
  <c r="I293" i="2" s="1"/>
  <c r="J293" i="2" s="1"/>
  <c r="H294" i="2"/>
  <c r="I294" i="2" s="1"/>
  <c r="J294" i="2" s="1"/>
  <c r="H295" i="2"/>
  <c r="I295" i="2" s="1"/>
  <c r="J295" i="2" s="1"/>
  <c r="H296" i="2"/>
  <c r="I296" i="2" s="1"/>
  <c r="J296" i="2" s="1"/>
  <c r="H297" i="2"/>
  <c r="I297" i="2" s="1"/>
  <c r="J297" i="2" s="1"/>
  <c r="H298" i="2"/>
  <c r="I298" i="2" s="1"/>
  <c r="J298" i="2" s="1"/>
  <c r="H299" i="2"/>
  <c r="I299" i="2" s="1"/>
  <c r="J299" i="2" s="1"/>
  <c r="H300" i="2"/>
  <c r="I300" i="2" s="1"/>
  <c r="J300" i="2" s="1"/>
  <c r="H301" i="2"/>
  <c r="I301" i="2" s="1"/>
  <c r="J301" i="2" s="1"/>
  <c r="H302" i="2"/>
  <c r="I302" i="2" s="1"/>
  <c r="J302" i="2" s="1"/>
  <c r="H303" i="2"/>
  <c r="I303" i="2" s="1"/>
  <c r="J303" i="2" s="1"/>
  <c r="H304" i="2"/>
  <c r="I304" i="2" s="1"/>
  <c r="J304" i="2" s="1"/>
  <c r="H305" i="2"/>
  <c r="I305" i="2" s="1"/>
  <c r="J305" i="2" s="1"/>
  <c r="H306" i="2"/>
  <c r="I306" i="2" s="1"/>
  <c r="J306" i="2" s="1"/>
  <c r="H307" i="2"/>
  <c r="I307" i="2" s="1"/>
  <c r="J307" i="2" s="1"/>
  <c r="H308" i="2"/>
  <c r="I308" i="2" s="1"/>
  <c r="J308" i="2" s="1"/>
  <c r="H309" i="2"/>
  <c r="I309" i="2" s="1"/>
  <c r="J309" i="2" s="1"/>
  <c r="H310" i="2"/>
  <c r="I310" i="2" s="1"/>
  <c r="J310" i="2" s="1"/>
  <c r="H311" i="2"/>
  <c r="I311" i="2" s="1"/>
  <c r="J311" i="2" s="1"/>
  <c r="H312" i="2"/>
  <c r="I312" i="2" s="1"/>
  <c r="J312" i="2" s="1"/>
  <c r="H313" i="2"/>
  <c r="I313" i="2" s="1"/>
  <c r="J313" i="2" s="1"/>
  <c r="H314" i="2"/>
  <c r="I314" i="2" s="1"/>
  <c r="J314" i="2" s="1"/>
  <c r="H315" i="2"/>
  <c r="I315" i="2" s="1"/>
  <c r="J315" i="2" s="1"/>
  <c r="H316" i="2"/>
  <c r="I316" i="2" s="1"/>
  <c r="J316" i="2" s="1"/>
  <c r="H317" i="2"/>
  <c r="I317" i="2" s="1"/>
  <c r="J317" i="2" s="1"/>
  <c r="H318" i="2"/>
  <c r="I318" i="2" s="1"/>
  <c r="J318" i="2" s="1"/>
  <c r="H319" i="2"/>
  <c r="I319" i="2" s="1"/>
  <c r="J319" i="2" s="1"/>
  <c r="H320" i="2"/>
  <c r="I320" i="2" s="1"/>
  <c r="J320" i="2" s="1"/>
  <c r="H321" i="2"/>
  <c r="I321" i="2" s="1"/>
  <c r="J321" i="2" s="1"/>
  <c r="H322" i="2"/>
  <c r="I322" i="2" s="1"/>
  <c r="J322" i="2" s="1"/>
  <c r="H323" i="2"/>
  <c r="I323" i="2" s="1"/>
  <c r="J323" i="2" s="1"/>
  <c r="H324" i="2"/>
  <c r="I324" i="2" s="1"/>
  <c r="J324" i="2" s="1"/>
  <c r="H325" i="2"/>
  <c r="I325" i="2" s="1"/>
  <c r="J325" i="2" s="1"/>
  <c r="H326" i="2"/>
  <c r="I326" i="2" s="1"/>
  <c r="J326" i="2" s="1"/>
  <c r="H327" i="2"/>
  <c r="I327" i="2" s="1"/>
  <c r="J327" i="2" s="1"/>
  <c r="H328" i="2"/>
  <c r="I328" i="2" s="1"/>
  <c r="J328" i="2" s="1"/>
  <c r="H329" i="2"/>
  <c r="I329" i="2" s="1"/>
  <c r="J329" i="2" s="1"/>
  <c r="H330" i="2"/>
  <c r="I330" i="2" s="1"/>
  <c r="J330" i="2" s="1"/>
  <c r="H331" i="2"/>
  <c r="I331" i="2" s="1"/>
  <c r="J331" i="2" s="1"/>
  <c r="H332" i="2"/>
  <c r="I332" i="2" s="1"/>
  <c r="J332" i="2" s="1"/>
  <c r="H333" i="2"/>
  <c r="I333" i="2" s="1"/>
  <c r="J333" i="2" s="1"/>
  <c r="H334" i="2"/>
  <c r="I334" i="2" s="1"/>
  <c r="J334" i="2" s="1"/>
  <c r="H335" i="2"/>
  <c r="I335" i="2" s="1"/>
  <c r="J335" i="2" s="1"/>
  <c r="H336" i="2"/>
  <c r="I336" i="2" s="1"/>
  <c r="J336" i="2" s="1"/>
  <c r="H337" i="2"/>
  <c r="I337" i="2" s="1"/>
  <c r="J337" i="2" s="1"/>
  <c r="H338" i="2"/>
  <c r="I338" i="2" s="1"/>
  <c r="J338" i="2" s="1"/>
  <c r="H339" i="2"/>
  <c r="I339" i="2" s="1"/>
  <c r="J339" i="2" s="1"/>
  <c r="H340" i="2"/>
  <c r="I340" i="2" s="1"/>
  <c r="J340" i="2" s="1"/>
  <c r="H341" i="2"/>
  <c r="I341" i="2" s="1"/>
  <c r="J341" i="2" s="1"/>
  <c r="H342" i="2"/>
  <c r="I342" i="2" s="1"/>
  <c r="J342" i="2" s="1"/>
  <c r="H343" i="2"/>
  <c r="I343" i="2" s="1"/>
  <c r="J343" i="2" s="1"/>
  <c r="H344" i="2"/>
  <c r="I344" i="2" s="1"/>
  <c r="J344" i="2" s="1"/>
  <c r="H345" i="2"/>
  <c r="I345" i="2" s="1"/>
  <c r="J345" i="2" s="1"/>
  <c r="H346" i="2"/>
  <c r="I346" i="2" s="1"/>
  <c r="J346" i="2" s="1"/>
  <c r="H347" i="2"/>
  <c r="I347" i="2" s="1"/>
  <c r="J347" i="2" s="1"/>
  <c r="H348" i="2"/>
  <c r="I348" i="2" s="1"/>
  <c r="J348" i="2" s="1"/>
  <c r="H349" i="2"/>
  <c r="I349" i="2" s="1"/>
  <c r="J349" i="2" s="1"/>
  <c r="H350" i="2"/>
  <c r="I350" i="2" s="1"/>
  <c r="J350" i="2" s="1"/>
  <c r="H351" i="2"/>
  <c r="I351" i="2" s="1"/>
  <c r="J351" i="2" s="1"/>
  <c r="H352" i="2"/>
  <c r="I352" i="2" s="1"/>
  <c r="J352" i="2" s="1"/>
  <c r="H353" i="2"/>
  <c r="I353" i="2" s="1"/>
  <c r="J353" i="2" s="1"/>
  <c r="H354" i="2"/>
  <c r="I354" i="2" s="1"/>
  <c r="J354" i="2" s="1"/>
  <c r="H355" i="2"/>
  <c r="I355" i="2" s="1"/>
  <c r="J355" i="2" s="1"/>
  <c r="H356" i="2"/>
  <c r="I356" i="2" s="1"/>
  <c r="J356" i="2" s="1"/>
  <c r="H357" i="2"/>
  <c r="I357" i="2" s="1"/>
  <c r="J357" i="2" s="1"/>
  <c r="H358" i="2"/>
  <c r="I358" i="2" s="1"/>
  <c r="J358" i="2" s="1"/>
  <c r="H359" i="2"/>
  <c r="I359" i="2" s="1"/>
  <c r="J359" i="2" s="1"/>
  <c r="H360" i="2"/>
  <c r="I360" i="2" s="1"/>
  <c r="J360" i="2" s="1"/>
  <c r="H361" i="2"/>
  <c r="I361" i="2" s="1"/>
  <c r="J361" i="2" s="1"/>
  <c r="H362" i="2"/>
  <c r="I362" i="2" s="1"/>
  <c r="J362" i="2" s="1"/>
  <c r="H363" i="2"/>
  <c r="I363" i="2" s="1"/>
  <c r="J363" i="2" s="1"/>
  <c r="H364" i="2"/>
  <c r="I364" i="2" s="1"/>
  <c r="J364" i="2" s="1"/>
  <c r="H365" i="2"/>
  <c r="I365" i="2" s="1"/>
  <c r="J365" i="2" s="1"/>
  <c r="H366" i="2"/>
  <c r="I366" i="2" s="1"/>
  <c r="J366" i="2" s="1"/>
  <c r="H367" i="2"/>
  <c r="I367" i="2" s="1"/>
  <c r="J367" i="2" s="1"/>
  <c r="H368" i="2"/>
  <c r="I368" i="2" s="1"/>
  <c r="J368" i="2" s="1"/>
  <c r="H369" i="2"/>
  <c r="I369" i="2" s="1"/>
  <c r="J369" i="2" s="1"/>
  <c r="H370" i="2"/>
  <c r="I370" i="2" s="1"/>
  <c r="J370" i="2" s="1"/>
  <c r="H371" i="2"/>
  <c r="I371" i="2" s="1"/>
  <c r="J371" i="2" s="1"/>
  <c r="H372" i="2"/>
  <c r="I372" i="2" s="1"/>
  <c r="J372" i="2" s="1"/>
  <c r="H373" i="2"/>
  <c r="I373" i="2" s="1"/>
  <c r="J373" i="2" s="1"/>
  <c r="H374" i="2"/>
  <c r="I374" i="2" s="1"/>
  <c r="J374" i="2" s="1"/>
  <c r="H375" i="2"/>
  <c r="I375" i="2" s="1"/>
  <c r="J375" i="2" s="1"/>
  <c r="H376" i="2"/>
  <c r="I376" i="2" s="1"/>
  <c r="J376" i="2" s="1"/>
  <c r="H377" i="2"/>
  <c r="I377" i="2" s="1"/>
  <c r="J377" i="2" s="1"/>
  <c r="H378" i="2"/>
  <c r="I378" i="2" s="1"/>
  <c r="J378" i="2" s="1"/>
  <c r="H379" i="2"/>
  <c r="I379" i="2" s="1"/>
  <c r="J379" i="2" s="1"/>
  <c r="H380" i="2"/>
  <c r="I380" i="2" s="1"/>
  <c r="J380" i="2" s="1"/>
  <c r="H381" i="2"/>
  <c r="I381" i="2" s="1"/>
  <c r="J381" i="2" s="1"/>
  <c r="H382" i="2"/>
  <c r="I382" i="2" s="1"/>
  <c r="J382" i="2" s="1"/>
  <c r="H383" i="2"/>
  <c r="I383" i="2" s="1"/>
  <c r="J383" i="2" s="1"/>
  <c r="H384" i="2"/>
  <c r="I384" i="2" s="1"/>
  <c r="J384" i="2" s="1"/>
  <c r="H385" i="2"/>
  <c r="I385" i="2" s="1"/>
  <c r="J385" i="2" s="1"/>
  <c r="H386" i="2"/>
  <c r="I386" i="2" s="1"/>
  <c r="J386" i="2" s="1"/>
  <c r="H387" i="2"/>
  <c r="I387" i="2" s="1"/>
  <c r="J387" i="2" s="1"/>
  <c r="H388" i="2"/>
  <c r="I388" i="2" s="1"/>
  <c r="J388" i="2" s="1"/>
  <c r="H389" i="2"/>
  <c r="I389" i="2" s="1"/>
  <c r="J389" i="2" s="1"/>
  <c r="H390" i="2"/>
  <c r="I390" i="2" s="1"/>
  <c r="J390" i="2" s="1"/>
  <c r="H391" i="2"/>
  <c r="I391" i="2" s="1"/>
  <c r="J391" i="2" s="1"/>
  <c r="H392" i="2"/>
  <c r="I392" i="2" s="1"/>
  <c r="J392" i="2" s="1"/>
  <c r="H393" i="2"/>
  <c r="I393" i="2" s="1"/>
  <c r="J393" i="2" s="1"/>
  <c r="H394" i="2"/>
  <c r="I394" i="2" s="1"/>
  <c r="J394" i="2" s="1"/>
  <c r="H395" i="2"/>
  <c r="I395" i="2" s="1"/>
  <c r="J395" i="2" s="1"/>
  <c r="H396" i="2"/>
  <c r="I396" i="2" s="1"/>
  <c r="J396" i="2" s="1"/>
  <c r="H397" i="2"/>
  <c r="I397" i="2" s="1"/>
  <c r="J397" i="2" s="1"/>
  <c r="H398" i="2"/>
  <c r="I398" i="2" s="1"/>
  <c r="J398" i="2" s="1"/>
  <c r="H399" i="2"/>
  <c r="I399" i="2" s="1"/>
  <c r="J399" i="2" s="1"/>
  <c r="H400" i="2"/>
  <c r="I400" i="2" s="1"/>
  <c r="J400" i="2" s="1"/>
  <c r="H401" i="2"/>
  <c r="I401" i="2" s="1"/>
  <c r="J401" i="2" s="1"/>
  <c r="H402" i="2"/>
  <c r="I402" i="2" s="1"/>
  <c r="J402" i="2" s="1"/>
  <c r="H403" i="2"/>
  <c r="I403" i="2" s="1"/>
  <c r="J403" i="2" s="1"/>
  <c r="H404" i="2"/>
  <c r="I404" i="2" s="1"/>
  <c r="J404" i="2" s="1"/>
  <c r="H405" i="2"/>
  <c r="I405" i="2" s="1"/>
  <c r="J405" i="2" s="1"/>
  <c r="H406" i="2"/>
  <c r="I406" i="2" s="1"/>
  <c r="J406" i="2" s="1"/>
  <c r="H407" i="2"/>
  <c r="I407" i="2" s="1"/>
  <c r="J407" i="2" s="1"/>
  <c r="H408" i="2"/>
  <c r="I408" i="2" s="1"/>
  <c r="J408" i="2" s="1"/>
  <c r="H409" i="2"/>
  <c r="I409" i="2" s="1"/>
  <c r="J409" i="2" s="1"/>
  <c r="H410" i="2"/>
  <c r="I410" i="2" s="1"/>
  <c r="J410" i="2" s="1"/>
  <c r="H411" i="2"/>
  <c r="I411" i="2" s="1"/>
  <c r="J411" i="2" s="1"/>
  <c r="H412" i="2"/>
  <c r="I412" i="2" s="1"/>
  <c r="J412" i="2" s="1"/>
  <c r="H413" i="2"/>
  <c r="I413" i="2" s="1"/>
  <c r="J413" i="2" s="1"/>
  <c r="H414" i="2"/>
  <c r="I414" i="2" s="1"/>
  <c r="J414" i="2" s="1"/>
  <c r="H415" i="2"/>
  <c r="I415" i="2" s="1"/>
  <c r="J415" i="2" s="1"/>
  <c r="H416" i="2"/>
  <c r="I416" i="2" s="1"/>
  <c r="J416" i="2" s="1"/>
  <c r="H417" i="2"/>
  <c r="I417" i="2" s="1"/>
  <c r="J417" i="2" s="1"/>
  <c r="H418" i="2"/>
  <c r="I418" i="2" s="1"/>
  <c r="J418" i="2" s="1"/>
  <c r="H419" i="2"/>
  <c r="I419" i="2" s="1"/>
  <c r="J419" i="2" s="1"/>
  <c r="H420" i="2"/>
  <c r="I420" i="2" s="1"/>
  <c r="J420" i="2" s="1"/>
  <c r="H421" i="2"/>
  <c r="I421" i="2" s="1"/>
  <c r="J421" i="2" s="1"/>
  <c r="H422" i="2"/>
  <c r="I422" i="2" s="1"/>
  <c r="J422" i="2" s="1"/>
  <c r="H423" i="2"/>
  <c r="I423" i="2" s="1"/>
  <c r="J423" i="2" s="1"/>
  <c r="H424" i="2"/>
  <c r="I424" i="2" s="1"/>
  <c r="J424" i="2" s="1"/>
  <c r="H425" i="2"/>
  <c r="I425" i="2" s="1"/>
  <c r="J425" i="2" s="1"/>
  <c r="H426" i="2"/>
  <c r="I426" i="2" s="1"/>
  <c r="J426" i="2" s="1"/>
  <c r="H427" i="2"/>
  <c r="I427" i="2" s="1"/>
  <c r="J427" i="2" s="1"/>
  <c r="H428" i="2"/>
  <c r="I428" i="2" s="1"/>
  <c r="J428" i="2" s="1"/>
  <c r="H429" i="2"/>
  <c r="I429" i="2" s="1"/>
  <c r="J429" i="2" s="1"/>
  <c r="H430" i="2"/>
  <c r="I430" i="2" s="1"/>
  <c r="J430" i="2" s="1"/>
  <c r="H431" i="2"/>
  <c r="I431" i="2" s="1"/>
  <c r="J431" i="2" s="1"/>
  <c r="H432" i="2"/>
  <c r="I432" i="2" s="1"/>
  <c r="J432" i="2" s="1"/>
  <c r="H433" i="2"/>
  <c r="I433" i="2" s="1"/>
  <c r="J433" i="2" s="1"/>
  <c r="H434" i="2"/>
  <c r="I434" i="2" s="1"/>
  <c r="J434" i="2" s="1"/>
  <c r="H435" i="2"/>
  <c r="I435" i="2" s="1"/>
  <c r="J435" i="2" s="1"/>
  <c r="H436" i="2"/>
  <c r="I436" i="2" s="1"/>
  <c r="J436" i="2" s="1"/>
  <c r="H437" i="2"/>
  <c r="I437" i="2" s="1"/>
  <c r="J437" i="2" s="1"/>
  <c r="H438" i="2"/>
  <c r="I438" i="2" s="1"/>
  <c r="J438" i="2" s="1"/>
  <c r="H439" i="2"/>
  <c r="I439" i="2" s="1"/>
  <c r="J439" i="2" s="1"/>
  <c r="H440" i="2"/>
  <c r="I440" i="2" s="1"/>
  <c r="J440" i="2" s="1"/>
  <c r="H441" i="2"/>
  <c r="I441" i="2" s="1"/>
  <c r="J441" i="2" s="1"/>
  <c r="H442" i="2"/>
  <c r="I442" i="2" s="1"/>
  <c r="J442" i="2" s="1"/>
  <c r="H443" i="2"/>
  <c r="I443" i="2" s="1"/>
  <c r="J443" i="2" s="1"/>
  <c r="H444" i="2"/>
  <c r="I444" i="2" s="1"/>
  <c r="J444" i="2" s="1"/>
  <c r="H445" i="2"/>
  <c r="I445" i="2" s="1"/>
  <c r="J445" i="2" s="1"/>
  <c r="H446" i="2"/>
  <c r="I446" i="2" s="1"/>
  <c r="J446" i="2" s="1"/>
  <c r="H447" i="2"/>
  <c r="I447" i="2" s="1"/>
  <c r="J447" i="2" s="1"/>
  <c r="H448" i="2"/>
  <c r="I448" i="2" s="1"/>
  <c r="J448" i="2" s="1"/>
  <c r="H449" i="2"/>
  <c r="I449" i="2" s="1"/>
  <c r="J449" i="2" s="1"/>
  <c r="H450" i="2"/>
  <c r="I450" i="2" s="1"/>
  <c r="J450" i="2" s="1"/>
  <c r="H451" i="2"/>
  <c r="I451" i="2" s="1"/>
  <c r="J451" i="2" s="1"/>
  <c r="H452" i="2"/>
  <c r="I452" i="2" s="1"/>
  <c r="J452" i="2" s="1"/>
  <c r="H453" i="2"/>
  <c r="I453" i="2" s="1"/>
  <c r="J453" i="2" s="1"/>
  <c r="H454" i="2"/>
  <c r="I454" i="2" s="1"/>
  <c r="J454" i="2" s="1"/>
  <c r="H455" i="2"/>
  <c r="I455" i="2" s="1"/>
  <c r="J455" i="2" s="1"/>
  <c r="H456" i="2"/>
  <c r="I456" i="2" s="1"/>
  <c r="J456" i="2" s="1"/>
  <c r="H457" i="2"/>
  <c r="I457" i="2" s="1"/>
  <c r="J457" i="2" s="1"/>
  <c r="H458" i="2"/>
  <c r="I458" i="2" s="1"/>
  <c r="J458" i="2" s="1"/>
  <c r="H459" i="2"/>
  <c r="I459" i="2" s="1"/>
  <c r="J459" i="2" s="1"/>
  <c r="H460" i="2"/>
  <c r="I460" i="2" s="1"/>
  <c r="J460" i="2" s="1"/>
  <c r="H461" i="2"/>
  <c r="I461" i="2" s="1"/>
  <c r="J461" i="2" s="1"/>
  <c r="H462" i="2"/>
  <c r="I462" i="2" s="1"/>
  <c r="J462" i="2" s="1"/>
  <c r="H463" i="2"/>
  <c r="I463" i="2" s="1"/>
  <c r="J463" i="2" s="1"/>
  <c r="H464" i="2"/>
  <c r="I464" i="2" s="1"/>
  <c r="J464" i="2" s="1"/>
  <c r="H465" i="2"/>
  <c r="I465" i="2" s="1"/>
  <c r="J465" i="2" s="1"/>
  <c r="H466" i="2"/>
  <c r="I466" i="2" s="1"/>
  <c r="J466" i="2" s="1"/>
  <c r="H467" i="2"/>
  <c r="I467" i="2" s="1"/>
  <c r="J467" i="2" s="1"/>
  <c r="H468" i="2"/>
  <c r="I468" i="2" s="1"/>
  <c r="J468" i="2" s="1"/>
  <c r="H469" i="2"/>
  <c r="I469" i="2" s="1"/>
  <c r="J469" i="2" s="1"/>
  <c r="H470" i="2"/>
  <c r="I470" i="2" s="1"/>
  <c r="J470" i="2" s="1"/>
  <c r="H471" i="2"/>
  <c r="I471" i="2" s="1"/>
  <c r="J471" i="2" s="1"/>
  <c r="H472" i="2"/>
  <c r="I472" i="2" s="1"/>
  <c r="J472" i="2" s="1"/>
  <c r="H473" i="2"/>
  <c r="I473" i="2" s="1"/>
  <c r="J473" i="2" s="1"/>
  <c r="H474" i="2"/>
  <c r="I474" i="2" s="1"/>
  <c r="J474" i="2" s="1"/>
  <c r="H475" i="2"/>
  <c r="I475" i="2" s="1"/>
  <c r="J475" i="2" s="1"/>
  <c r="H476" i="2"/>
  <c r="I476" i="2" s="1"/>
  <c r="J476" i="2" s="1"/>
  <c r="H477" i="2"/>
  <c r="I477" i="2" s="1"/>
  <c r="J477" i="2" s="1"/>
  <c r="H478" i="2"/>
  <c r="I478" i="2" s="1"/>
  <c r="J478" i="2" s="1"/>
  <c r="H479" i="2"/>
  <c r="I479" i="2" s="1"/>
  <c r="J479" i="2" s="1"/>
  <c r="H480" i="2"/>
  <c r="I480" i="2" s="1"/>
  <c r="J480" i="2" s="1"/>
  <c r="H481" i="2"/>
  <c r="I481" i="2" s="1"/>
  <c r="J481" i="2" s="1"/>
  <c r="H482" i="2"/>
  <c r="I482" i="2" s="1"/>
  <c r="J482" i="2" s="1"/>
  <c r="H483" i="2"/>
  <c r="I483" i="2" s="1"/>
  <c r="J483" i="2" s="1"/>
  <c r="H484" i="2"/>
  <c r="I484" i="2" s="1"/>
  <c r="J484" i="2" s="1"/>
  <c r="H485" i="2"/>
  <c r="I485" i="2" s="1"/>
  <c r="J485" i="2" s="1"/>
  <c r="H486" i="2"/>
  <c r="I486" i="2" s="1"/>
  <c r="J486" i="2" s="1"/>
  <c r="H487" i="2"/>
  <c r="I487" i="2" s="1"/>
  <c r="J487" i="2" s="1"/>
  <c r="H488" i="2"/>
  <c r="I488" i="2" s="1"/>
  <c r="J488" i="2" s="1"/>
  <c r="H489" i="2"/>
  <c r="I489" i="2" s="1"/>
  <c r="J489" i="2" s="1"/>
  <c r="H490" i="2"/>
  <c r="I490" i="2" s="1"/>
  <c r="J490" i="2" s="1"/>
  <c r="H491" i="2"/>
  <c r="I491" i="2" s="1"/>
  <c r="J491" i="2" s="1"/>
  <c r="H492" i="2"/>
  <c r="I492" i="2" s="1"/>
  <c r="J492" i="2" s="1"/>
  <c r="H493" i="2"/>
  <c r="I493" i="2" s="1"/>
  <c r="J493" i="2" s="1"/>
  <c r="H494" i="2"/>
  <c r="I494" i="2" s="1"/>
  <c r="J494" i="2" s="1"/>
  <c r="H495" i="2"/>
  <c r="I495" i="2" s="1"/>
  <c r="J495" i="2" s="1"/>
  <c r="H496" i="2"/>
  <c r="I496" i="2" s="1"/>
  <c r="J496" i="2" s="1"/>
  <c r="H497" i="2"/>
  <c r="I497" i="2" s="1"/>
  <c r="J497" i="2" s="1"/>
  <c r="H498" i="2"/>
  <c r="I498" i="2" s="1"/>
  <c r="J498" i="2" s="1"/>
  <c r="H499" i="2"/>
  <c r="I499" i="2" s="1"/>
  <c r="J499" i="2" s="1"/>
  <c r="H500" i="2"/>
  <c r="I500" i="2" s="1"/>
  <c r="J500" i="2" s="1"/>
  <c r="H501" i="2"/>
  <c r="I501" i="2" s="1"/>
  <c r="J501" i="2" s="1"/>
  <c r="H502" i="2"/>
  <c r="I502" i="2" s="1"/>
  <c r="J502" i="2" s="1"/>
  <c r="H503" i="2"/>
  <c r="I503" i="2" s="1"/>
  <c r="J503" i="2" s="1"/>
  <c r="H504" i="2"/>
  <c r="I504" i="2" s="1"/>
  <c r="J504" i="2" s="1"/>
  <c r="H505" i="2"/>
  <c r="I505" i="2" s="1"/>
  <c r="J505" i="2" s="1"/>
  <c r="H506" i="2"/>
  <c r="I506" i="2" s="1"/>
  <c r="J506" i="2" s="1"/>
  <c r="H507" i="2"/>
  <c r="I507" i="2" s="1"/>
  <c r="J507" i="2" s="1"/>
  <c r="H508" i="2"/>
  <c r="I508" i="2" s="1"/>
  <c r="J508" i="2" s="1"/>
  <c r="H509" i="2"/>
  <c r="I509" i="2" s="1"/>
  <c r="J509" i="2" s="1"/>
  <c r="H510" i="2"/>
  <c r="I510" i="2" s="1"/>
  <c r="J510" i="2" s="1"/>
  <c r="H511" i="2"/>
  <c r="I511" i="2" s="1"/>
  <c r="J511" i="2" s="1"/>
  <c r="H512" i="2"/>
  <c r="I512" i="2" s="1"/>
  <c r="J512" i="2" s="1"/>
  <c r="H513" i="2"/>
  <c r="I513" i="2" s="1"/>
  <c r="J513" i="2" s="1"/>
  <c r="H514" i="2"/>
  <c r="I514" i="2" s="1"/>
  <c r="J514" i="2" s="1"/>
  <c r="H515" i="2"/>
  <c r="I515" i="2" s="1"/>
  <c r="J515" i="2" s="1"/>
  <c r="H516" i="2"/>
  <c r="I516" i="2" s="1"/>
  <c r="J516" i="2" s="1"/>
  <c r="H517" i="2"/>
  <c r="I517" i="2" s="1"/>
  <c r="J517" i="2" s="1"/>
  <c r="H518" i="2"/>
  <c r="I518" i="2" s="1"/>
  <c r="J518" i="2" s="1"/>
  <c r="H519" i="2"/>
  <c r="I519" i="2" s="1"/>
  <c r="J519" i="2" s="1"/>
  <c r="H520" i="2"/>
  <c r="I520" i="2" s="1"/>
  <c r="J520" i="2" s="1"/>
  <c r="H521" i="2"/>
  <c r="I521" i="2" s="1"/>
  <c r="J521" i="2" s="1"/>
  <c r="H522" i="2"/>
  <c r="I522" i="2" s="1"/>
  <c r="J522" i="2" s="1"/>
  <c r="H523" i="2"/>
  <c r="I523" i="2" s="1"/>
  <c r="J523" i="2" s="1"/>
  <c r="H524" i="2"/>
  <c r="I524" i="2" s="1"/>
  <c r="J524" i="2" s="1"/>
  <c r="H525" i="2"/>
  <c r="I525" i="2" s="1"/>
  <c r="J525" i="2" s="1"/>
  <c r="H526" i="2"/>
  <c r="I526" i="2" s="1"/>
  <c r="J526" i="2" s="1"/>
  <c r="H527" i="2"/>
  <c r="I527" i="2" s="1"/>
  <c r="J527" i="2" s="1"/>
  <c r="H528" i="2"/>
  <c r="I528" i="2" s="1"/>
  <c r="J528" i="2" s="1"/>
  <c r="H529" i="2"/>
  <c r="I529" i="2" s="1"/>
  <c r="J529" i="2" s="1"/>
  <c r="H530" i="2"/>
  <c r="I530" i="2" s="1"/>
  <c r="J530" i="2" s="1"/>
  <c r="H531" i="2"/>
  <c r="I531" i="2" s="1"/>
  <c r="J531" i="2" s="1"/>
  <c r="H532" i="2"/>
  <c r="I532" i="2" s="1"/>
  <c r="J532" i="2" s="1"/>
  <c r="H533" i="2"/>
  <c r="I533" i="2" s="1"/>
  <c r="J533" i="2" s="1"/>
  <c r="H534" i="2"/>
  <c r="I534" i="2" s="1"/>
  <c r="J534" i="2" s="1"/>
  <c r="H535" i="2"/>
  <c r="I535" i="2" s="1"/>
  <c r="J535" i="2" s="1"/>
  <c r="H536" i="2"/>
  <c r="I536" i="2" s="1"/>
  <c r="J536" i="2" s="1"/>
  <c r="H537" i="2"/>
  <c r="I537" i="2" s="1"/>
  <c r="J537" i="2" s="1"/>
  <c r="H538" i="2"/>
  <c r="I538" i="2" s="1"/>
  <c r="J538" i="2" s="1"/>
  <c r="H539" i="2"/>
  <c r="I539" i="2" s="1"/>
  <c r="J539" i="2" s="1"/>
  <c r="H540" i="2"/>
  <c r="I540" i="2" s="1"/>
  <c r="J540" i="2" s="1"/>
  <c r="H541" i="2"/>
  <c r="I541" i="2" s="1"/>
  <c r="J541" i="2" s="1"/>
  <c r="H542" i="2"/>
  <c r="I542" i="2" s="1"/>
  <c r="J542" i="2" s="1"/>
  <c r="H543" i="2"/>
  <c r="I543" i="2" s="1"/>
  <c r="J543" i="2" s="1"/>
  <c r="H544" i="2"/>
  <c r="I544" i="2" s="1"/>
  <c r="J544" i="2" s="1"/>
  <c r="H545" i="2"/>
  <c r="I545" i="2" s="1"/>
  <c r="J545" i="2" s="1"/>
  <c r="H546" i="2"/>
  <c r="I546" i="2" s="1"/>
  <c r="J546" i="2" s="1"/>
  <c r="H547" i="2"/>
  <c r="I547" i="2" s="1"/>
  <c r="J547" i="2" s="1"/>
  <c r="H548" i="2"/>
  <c r="I548" i="2" s="1"/>
  <c r="J548" i="2" s="1"/>
  <c r="H549" i="2"/>
  <c r="I549" i="2" s="1"/>
  <c r="J549" i="2" s="1"/>
  <c r="H550" i="2"/>
  <c r="I550" i="2" s="1"/>
  <c r="J550" i="2" s="1"/>
  <c r="H551" i="2"/>
  <c r="I551" i="2" s="1"/>
  <c r="J551" i="2" s="1"/>
  <c r="H552" i="2"/>
  <c r="I552" i="2" s="1"/>
  <c r="J552" i="2" s="1"/>
  <c r="H553" i="2"/>
  <c r="I553" i="2" s="1"/>
  <c r="J553" i="2" s="1"/>
  <c r="H554" i="2"/>
  <c r="I554" i="2" s="1"/>
  <c r="J554" i="2" s="1"/>
  <c r="H555" i="2"/>
  <c r="I555" i="2" s="1"/>
  <c r="J555" i="2" s="1"/>
  <c r="H556" i="2"/>
  <c r="I556" i="2" s="1"/>
  <c r="J556" i="2" s="1"/>
  <c r="H557" i="2"/>
  <c r="I557" i="2" s="1"/>
  <c r="J557" i="2" s="1"/>
  <c r="H558" i="2"/>
  <c r="I558" i="2" s="1"/>
  <c r="J558" i="2" s="1"/>
  <c r="H559" i="2"/>
  <c r="I559" i="2" s="1"/>
  <c r="J559" i="2" s="1"/>
  <c r="H560" i="2"/>
  <c r="I560" i="2" s="1"/>
  <c r="J560" i="2" s="1"/>
  <c r="H561" i="2"/>
  <c r="I561" i="2" s="1"/>
  <c r="J561" i="2" s="1"/>
  <c r="H562" i="2"/>
  <c r="I562" i="2" s="1"/>
  <c r="J562" i="2" s="1"/>
  <c r="H563" i="2"/>
  <c r="I563" i="2" s="1"/>
  <c r="J563" i="2" s="1"/>
  <c r="H564" i="2"/>
  <c r="I564" i="2" s="1"/>
  <c r="J564" i="2" s="1"/>
  <c r="H565" i="2"/>
  <c r="I565" i="2" s="1"/>
  <c r="J565" i="2" s="1"/>
  <c r="H566" i="2"/>
  <c r="I566" i="2" s="1"/>
  <c r="J566" i="2" s="1"/>
  <c r="H567" i="2"/>
  <c r="I567" i="2" s="1"/>
  <c r="J567" i="2" s="1"/>
  <c r="H568" i="2"/>
  <c r="I568" i="2" s="1"/>
  <c r="J568" i="2" s="1"/>
  <c r="H569" i="2"/>
  <c r="I569" i="2" s="1"/>
  <c r="J569" i="2" s="1"/>
  <c r="H570" i="2"/>
  <c r="I570" i="2" s="1"/>
  <c r="J570" i="2" s="1"/>
  <c r="H571" i="2"/>
  <c r="I571" i="2" s="1"/>
  <c r="J571" i="2" s="1"/>
  <c r="H572" i="2"/>
  <c r="I572" i="2" s="1"/>
  <c r="J572" i="2" s="1"/>
  <c r="H573" i="2"/>
  <c r="I573" i="2" s="1"/>
  <c r="J573" i="2" s="1"/>
  <c r="H574" i="2"/>
  <c r="I574" i="2" s="1"/>
  <c r="J574" i="2" s="1"/>
  <c r="H575" i="2"/>
  <c r="I575" i="2" s="1"/>
  <c r="J575" i="2" s="1"/>
  <c r="H576" i="2"/>
  <c r="I576" i="2" s="1"/>
  <c r="J576" i="2" s="1"/>
  <c r="H577" i="2"/>
  <c r="I577" i="2" s="1"/>
  <c r="J577" i="2" s="1"/>
  <c r="H578" i="2"/>
  <c r="I578" i="2" s="1"/>
  <c r="J578" i="2" s="1"/>
  <c r="H579" i="2"/>
  <c r="I579" i="2" s="1"/>
  <c r="J579" i="2" s="1"/>
  <c r="H580" i="2"/>
  <c r="I580" i="2" s="1"/>
  <c r="J580" i="2" s="1"/>
  <c r="H581" i="2"/>
  <c r="I581" i="2" s="1"/>
  <c r="J581" i="2" s="1"/>
  <c r="H582" i="2"/>
  <c r="I582" i="2" s="1"/>
  <c r="J582" i="2" s="1"/>
  <c r="H583" i="2"/>
  <c r="I583" i="2" s="1"/>
  <c r="J583" i="2" s="1"/>
  <c r="H584" i="2"/>
  <c r="I584" i="2" s="1"/>
  <c r="J584" i="2" s="1"/>
  <c r="H585" i="2"/>
  <c r="I585" i="2" s="1"/>
  <c r="J585" i="2" s="1"/>
  <c r="H586" i="2"/>
  <c r="I586" i="2" s="1"/>
  <c r="J586" i="2" s="1"/>
  <c r="H587" i="2"/>
  <c r="I587" i="2" s="1"/>
  <c r="J587" i="2" s="1"/>
  <c r="H588" i="2"/>
  <c r="I588" i="2" s="1"/>
  <c r="J588" i="2" s="1"/>
  <c r="H589" i="2"/>
  <c r="I589" i="2" s="1"/>
  <c r="J589" i="2" s="1"/>
  <c r="H590" i="2"/>
  <c r="I590" i="2" s="1"/>
  <c r="J590" i="2" s="1"/>
  <c r="H591" i="2"/>
  <c r="I591" i="2" s="1"/>
  <c r="J591" i="2" s="1"/>
  <c r="H592" i="2"/>
  <c r="I592" i="2" s="1"/>
  <c r="J592" i="2" s="1"/>
  <c r="H593" i="2"/>
  <c r="I593" i="2" s="1"/>
  <c r="J593" i="2" s="1"/>
  <c r="H594" i="2"/>
  <c r="I594" i="2" s="1"/>
  <c r="J594" i="2" s="1"/>
  <c r="H595" i="2"/>
  <c r="I595" i="2" s="1"/>
  <c r="J595" i="2" s="1"/>
  <c r="H596" i="2"/>
  <c r="I596" i="2" s="1"/>
  <c r="J596" i="2" s="1"/>
  <c r="H597" i="2"/>
  <c r="I597" i="2" s="1"/>
  <c r="J597" i="2" s="1"/>
  <c r="H598" i="2"/>
  <c r="I598" i="2" s="1"/>
  <c r="J598" i="2" s="1"/>
  <c r="H599" i="2"/>
  <c r="I599" i="2" s="1"/>
  <c r="J599" i="2" s="1"/>
  <c r="H600" i="2"/>
  <c r="I600" i="2" s="1"/>
  <c r="J600" i="2" s="1"/>
  <c r="H601" i="2"/>
  <c r="I601" i="2" s="1"/>
  <c r="J601" i="2" s="1"/>
  <c r="H602" i="2"/>
  <c r="I602" i="2" s="1"/>
  <c r="J602" i="2" s="1"/>
  <c r="H603" i="2"/>
  <c r="I603" i="2" s="1"/>
  <c r="J603" i="2" s="1"/>
  <c r="H604" i="2"/>
  <c r="I604" i="2" s="1"/>
  <c r="J604" i="2" s="1"/>
  <c r="H605" i="2"/>
  <c r="I605" i="2" s="1"/>
  <c r="J605" i="2" s="1"/>
  <c r="H606" i="2"/>
  <c r="I606" i="2" s="1"/>
  <c r="J606" i="2" s="1"/>
  <c r="H607" i="2"/>
  <c r="I607" i="2" s="1"/>
  <c r="J607" i="2" s="1"/>
  <c r="H608" i="2"/>
  <c r="I608" i="2" s="1"/>
  <c r="J608" i="2" s="1"/>
  <c r="H609" i="2"/>
  <c r="I609" i="2" s="1"/>
  <c r="J609" i="2" s="1"/>
  <c r="H610" i="2"/>
  <c r="I610" i="2" s="1"/>
  <c r="J610" i="2" s="1"/>
  <c r="H611" i="2"/>
  <c r="I611" i="2" s="1"/>
  <c r="J611" i="2" s="1"/>
  <c r="H612" i="2"/>
  <c r="I612" i="2" s="1"/>
  <c r="J612" i="2" s="1"/>
  <c r="H613" i="2"/>
  <c r="I613" i="2" s="1"/>
  <c r="J613" i="2" s="1"/>
  <c r="H614" i="2"/>
  <c r="I614" i="2" s="1"/>
  <c r="J614" i="2" s="1"/>
  <c r="H615" i="2"/>
  <c r="I615" i="2" s="1"/>
  <c r="J615" i="2" s="1"/>
  <c r="H616" i="2"/>
  <c r="I616" i="2" s="1"/>
  <c r="J616" i="2" s="1"/>
  <c r="H617" i="2"/>
  <c r="I617" i="2" s="1"/>
  <c r="J617" i="2" s="1"/>
  <c r="H618" i="2"/>
  <c r="I618" i="2" s="1"/>
  <c r="J618" i="2" s="1"/>
  <c r="H619" i="2"/>
  <c r="I619" i="2" s="1"/>
  <c r="J619" i="2" s="1"/>
  <c r="H620" i="2"/>
  <c r="I620" i="2" s="1"/>
  <c r="J620" i="2" s="1"/>
  <c r="H621" i="2"/>
  <c r="I621" i="2" s="1"/>
  <c r="J621" i="2" s="1"/>
  <c r="H622" i="2"/>
  <c r="I622" i="2" s="1"/>
  <c r="J622" i="2" s="1"/>
  <c r="H623" i="2"/>
  <c r="I623" i="2" s="1"/>
  <c r="J623" i="2" s="1"/>
  <c r="H624" i="2"/>
  <c r="I624" i="2" s="1"/>
  <c r="J624" i="2" s="1"/>
  <c r="H625" i="2"/>
  <c r="I625" i="2" s="1"/>
  <c r="J625" i="2" s="1"/>
  <c r="H626" i="2"/>
  <c r="I626" i="2" s="1"/>
  <c r="J626" i="2" s="1"/>
  <c r="H627" i="2"/>
  <c r="I627" i="2" s="1"/>
  <c r="J627" i="2" s="1"/>
  <c r="H628" i="2"/>
  <c r="I628" i="2" s="1"/>
  <c r="J628" i="2" s="1"/>
  <c r="H629" i="2"/>
  <c r="I629" i="2" s="1"/>
  <c r="J629" i="2" s="1"/>
  <c r="H630" i="2"/>
  <c r="I630" i="2" s="1"/>
  <c r="J630" i="2" s="1"/>
  <c r="H631" i="2"/>
  <c r="I631" i="2" s="1"/>
  <c r="J631" i="2" s="1"/>
  <c r="H632" i="2"/>
  <c r="I632" i="2" s="1"/>
  <c r="J632" i="2" s="1"/>
  <c r="H633" i="2"/>
  <c r="I633" i="2" s="1"/>
  <c r="J633" i="2" s="1"/>
  <c r="H634" i="2"/>
  <c r="I634" i="2" s="1"/>
  <c r="J634" i="2" s="1"/>
  <c r="H635" i="2"/>
  <c r="I635" i="2" s="1"/>
  <c r="J635" i="2" s="1"/>
  <c r="H636" i="2"/>
  <c r="I636" i="2" s="1"/>
  <c r="J636" i="2" s="1"/>
  <c r="H637" i="2"/>
  <c r="I637" i="2" s="1"/>
  <c r="J637" i="2" s="1"/>
  <c r="H638" i="2"/>
  <c r="I638" i="2" s="1"/>
  <c r="J638" i="2" s="1"/>
  <c r="H639" i="2"/>
  <c r="I639" i="2" s="1"/>
  <c r="J639" i="2" s="1"/>
  <c r="H640" i="2"/>
  <c r="I640" i="2" s="1"/>
  <c r="J640" i="2" s="1"/>
  <c r="H641" i="2"/>
  <c r="I641" i="2" s="1"/>
  <c r="J641" i="2" s="1"/>
  <c r="H642" i="2"/>
  <c r="I642" i="2" s="1"/>
  <c r="J642" i="2" s="1"/>
  <c r="H643" i="2"/>
  <c r="I643" i="2" s="1"/>
  <c r="J643" i="2" s="1"/>
  <c r="H644" i="2"/>
  <c r="I644" i="2" s="1"/>
  <c r="J644" i="2" s="1"/>
  <c r="H645" i="2"/>
  <c r="I645" i="2" s="1"/>
  <c r="J645" i="2" s="1"/>
  <c r="H646" i="2"/>
  <c r="I646" i="2" s="1"/>
  <c r="J646" i="2" s="1"/>
  <c r="H647" i="2"/>
  <c r="I647" i="2" s="1"/>
  <c r="J647" i="2" s="1"/>
  <c r="H648" i="2"/>
  <c r="I648" i="2" s="1"/>
  <c r="J648" i="2" s="1"/>
  <c r="H649" i="2"/>
  <c r="I649" i="2" s="1"/>
  <c r="J649" i="2" s="1"/>
  <c r="H650" i="2"/>
  <c r="I650" i="2" s="1"/>
  <c r="J650" i="2" s="1"/>
  <c r="H651" i="2"/>
  <c r="I651" i="2" s="1"/>
  <c r="J651" i="2" s="1"/>
  <c r="H652" i="2"/>
  <c r="I652" i="2" s="1"/>
  <c r="J652" i="2" s="1"/>
  <c r="H653" i="2"/>
  <c r="I653" i="2" s="1"/>
  <c r="J653" i="2" s="1"/>
  <c r="H654" i="2"/>
  <c r="I654" i="2" s="1"/>
  <c r="J654" i="2" s="1"/>
  <c r="H655" i="2"/>
  <c r="I655" i="2" s="1"/>
  <c r="J655" i="2" s="1"/>
  <c r="H656" i="2"/>
  <c r="I656" i="2" s="1"/>
  <c r="J656" i="2" s="1"/>
  <c r="H657" i="2"/>
  <c r="I657" i="2" s="1"/>
  <c r="J657" i="2" s="1"/>
  <c r="H658" i="2"/>
  <c r="I658" i="2" s="1"/>
  <c r="J658" i="2" s="1"/>
  <c r="H659" i="2"/>
  <c r="I659" i="2" s="1"/>
  <c r="J659" i="2" s="1"/>
  <c r="H660" i="2"/>
  <c r="I660" i="2" s="1"/>
  <c r="J660" i="2" s="1"/>
  <c r="H661" i="2"/>
  <c r="I661" i="2" s="1"/>
  <c r="J661" i="2" s="1"/>
  <c r="H662" i="2"/>
  <c r="I662" i="2" s="1"/>
  <c r="J662" i="2" s="1"/>
  <c r="H663" i="2"/>
  <c r="I663" i="2" s="1"/>
  <c r="J663" i="2" s="1"/>
  <c r="H664" i="2"/>
  <c r="I664" i="2" s="1"/>
  <c r="J664" i="2" s="1"/>
  <c r="H665" i="2"/>
  <c r="I665" i="2" s="1"/>
  <c r="J665" i="2" s="1"/>
  <c r="H666" i="2"/>
  <c r="I666" i="2" s="1"/>
  <c r="J666" i="2" s="1"/>
  <c r="H667" i="2"/>
  <c r="I667" i="2" s="1"/>
  <c r="J667" i="2" s="1"/>
  <c r="H668" i="2"/>
  <c r="I668" i="2" s="1"/>
  <c r="J668" i="2" s="1"/>
  <c r="H669" i="2"/>
  <c r="I669" i="2" s="1"/>
  <c r="J669" i="2" s="1"/>
  <c r="H670" i="2"/>
  <c r="I670" i="2" s="1"/>
  <c r="J670" i="2" s="1"/>
  <c r="H671" i="2"/>
  <c r="I671" i="2" s="1"/>
  <c r="J671" i="2" s="1"/>
  <c r="H672" i="2"/>
  <c r="I672" i="2" s="1"/>
  <c r="J672" i="2" s="1"/>
  <c r="H673" i="2"/>
  <c r="I673" i="2" s="1"/>
  <c r="J673" i="2" s="1"/>
  <c r="H674" i="2"/>
  <c r="I674" i="2" s="1"/>
  <c r="J674" i="2" s="1"/>
  <c r="H675" i="2"/>
  <c r="I675" i="2" s="1"/>
  <c r="J675" i="2" s="1"/>
  <c r="H676" i="2"/>
  <c r="I676" i="2" s="1"/>
  <c r="J676" i="2" s="1"/>
  <c r="H677" i="2"/>
  <c r="I677" i="2" s="1"/>
  <c r="J677" i="2" s="1"/>
  <c r="H678" i="2"/>
  <c r="I678" i="2" s="1"/>
  <c r="J678" i="2" s="1"/>
  <c r="H679" i="2"/>
  <c r="I679" i="2" s="1"/>
  <c r="J679" i="2" s="1"/>
  <c r="H680" i="2"/>
  <c r="I680" i="2" s="1"/>
  <c r="J680" i="2" s="1"/>
  <c r="H681" i="2"/>
  <c r="I681" i="2" s="1"/>
  <c r="J681" i="2" s="1"/>
  <c r="H682" i="2"/>
  <c r="I682" i="2" s="1"/>
  <c r="J682" i="2" s="1"/>
  <c r="H683" i="2"/>
  <c r="I683" i="2" s="1"/>
  <c r="J683" i="2" s="1"/>
  <c r="H684" i="2"/>
  <c r="I684" i="2" s="1"/>
  <c r="J684" i="2" s="1"/>
  <c r="H685" i="2"/>
  <c r="I685" i="2" s="1"/>
  <c r="J685" i="2" s="1"/>
  <c r="H686" i="2"/>
  <c r="I686" i="2" s="1"/>
  <c r="J686" i="2" s="1"/>
  <c r="H687" i="2"/>
  <c r="I687" i="2" s="1"/>
  <c r="J687" i="2" s="1"/>
  <c r="H688" i="2"/>
  <c r="I688" i="2" s="1"/>
  <c r="J688" i="2" s="1"/>
  <c r="H689" i="2"/>
  <c r="I689" i="2" s="1"/>
  <c r="J689" i="2" s="1"/>
  <c r="H690" i="2"/>
  <c r="I690" i="2" s="1"/>
  <c r="J690" i="2" s="1"/>
  <c r="H691" i="2"/>
  <c r="I691" i="2" s="1"/>
  <c r="J691" i="2" s="1"/>
  <c r="H692" i="2"/>
  <c r="I692" i="2" s="1"/>
  <c r="J692" i="2" s="1"/>
  <c r="H693" i="2"/>
  <c r="I693" i="2" s="1"/>
  <c r="J693" i="2" s="1"/>
  <c r="H694" i="2"/>
  <c r="I694" i="2" s="1"/>
  <c r="J694" i="2" s="1"/>
  <c r="H695" i="2"/>
  <c r="I695" i="2" s="1"/>
  <c r="J695" i="2" s="1"/>
  <c r="H696" i="2"/>
  <c r="I696" i="2" s="1"/>
  <c r="J696" i="2" s="1"/>
  <c r="H697" i="2"/>
  <c r="I697" i="2" s="1"/>
  <c r="J697" i="2" s="1"/>
  <c r="H698" i="2"/>
  <c r="I698" i="2" s="1"/>
  <c r="J698" i="2" s="1"/>
  <c r="H699" i="2"/>
  <c r="I699" i="2" s="1"/>
  <c r="J699" i="2" s="1"/>
  <c r="H700" i="2"/>
  <c r="I700" i="2" s="1"/>
  <c r="J700" i="2" s="1"/>
  <c r="H701" i="2"/>
  <c r="I701" i="2" s="1"/>
  <c r="J701" i="2" s="1"/>
  <c r="H702" i="2"/>
  <c r="I702" i="2" s="1"/>
  <c r="J702" i="2" s="1"/>
  <c r="H703" i="2"/>
  <c r="I703" i="2" s="1"/>
  <c r="J703" i="2" s="1"/>
  <c r="H704" i="2"/>
  <c r="I704" i="2" s="1"/>
  <c r="J704" i="2" s="1"/>
  <c r="H705" i="2"/>
  <c r="I705" i="2" s="1"/>
  <c r="J705" i="2" s="1"/>
  <c r="H706" i="2"/>
  <c r="I706" i="2" s="1"/>
  <c r="J706" i="2" s="1"/>
  <c r="H707" i="2"/>
  <c r="I707" i="2" s="1"/>
  <c r="J707" i="2" s="1"/>
  <c r="H708" i="2"/>
  <c r="I708" i="2" s="1"/>
  <c r="J708" i="2" s="1"/>
  <c r="H709" i="2"/>
  <c r="I709" i="2" s="1"/>
  <c r="J709" i="2" s="1"/>
  <c r="H710" i="2"/>
  <c r="I710" i="2" s="1"/>
  <c r="J710" i="2" s="1"/>
  <c r="H711" i="2"/>
  <c r="I711" i="2" s="1"/>
  <c r="J711" i="2" s="1"/>
  <c r="H712" i="2"/>
  <c r="I712" i="2" s="1"/>
  <c r="J712" i="2" s="1"/>
  <c r="H713" i="2"/>
  <c r="I713" i="2" s="1"/>
  <c r="J713" i="2" s="1"/>
  <c r="H714" i="2"/>
  <c r="I714" i="2" s="1"/>
  <c r="J714" i="2" s="1"/>
  <c r="H715" i="2"/>
  <c r="I715" i="2" s="1"/>
  <c r="J715" i="2" s="1"/>
  <c r="H716" i="2"/>
  <c r="I716" i="2" s="1"/>
  <c r="J716" i="2" s="1"/>
  <c r="H717" i="2"/>
  <c r="I717" i="2" s="1"/>
  <c r="J717" i="2" s="1"/>
  <c r="H718" i="2"/>
  <c r="I718" i="2" s="1"/>
  <c r="J718" i="2" s="1"/>
  <c r="H719" i="2"/>
  <c r="I719" i="2" s="1"/>
  <c r="J719" i="2" s="1"/>
  <c r="H720" i="2"/>
  <c r="I720" i="2" s="1"/>
  <c r="J720" i="2" s="1"/>
  <c r="H721" i="2"/>
  <c r="I721" i="2" s="1"/>
  <c r="J721" i="2" s="1"/>
  <c r="H722" i="2"/>
  <c r="I722" i="2" s="1"/>
  <c r="J722" i="2" s="1"/>
  <c r="H723" i="2"/>
  <c r="I723" i="2" s="1"/>
  <c r="J723" i="2" s="1"/>
  <c r="H724" i="2"/>
  <c r="I724" i="2" s="1"/>
  <c r="J724" i="2" s="1"/>
  <c r="H725" i="2"/>
  <c r="I725" i="2" s="1"/>
  <c r="J725" i="2" s="1"/>
  <c r="H726" i="2"/>
  <c r="I726" i="2" s="1"/>
  <c r="J726" i="2" s="1"/>
  <c r="H727" i="2"/>
  <c r="I727" i="2" s="1"/>
  <c r="J727" i="2" s="1"/>
  <c r="H728" i="2"/>
  <c r="I728" i="2" s="1"/>
  <c r="J728" i="2" s="1"/>
  <c r="H729" i="2"/>
  <c r="I729" i="2" s="1"/>
  <c r="J729" i="2" s="1"/>
  <c r="H730" i="2"/>
  <c r="I730" i="2" s="1"/>
  <c r="J730" i="2" s="1"/>
  <c r="H731" i="2"/>
  <c r="I731" i="2" s="1"/>
  <c r="J731" i="2" s="1"/>
  <c r="H732" i="2"/>
  <c r="I732" i="2" s="1"/>
  <c r="J732" i="2" s="1"/>
  <c r="H733" i="2"/>
  <c r="I733" i="2" s="1"/>
  <c r="J733" i="2" s="1"/>
  <c r="H734" i="2"/>
  <c r="I734" i="2" s="1"/>
  <c r="J734" i="2" s="1"/>
  <c r="H735" i="2"/>
  <c r="I735" i="2" s="1"/>
  <c r="J735" i="2" s="1"/>
  <c r="H736" i="2"/>
  <c r="I736" i="2" s="1"/>
  <c r="J736" i="2" s="1"/>
  <c r="H737" i="2"/>
  <c r="I737" i="2" s="1"/>
  <c r="J737" i="2" s="1"/>
  <c r="H738" i="2"/>
  <c r="I738" i="2" s="1"/>
  <c r="J738" i="2" s="1"/>
  <c r="H739" i="2"/>
  <c r="I739" i="2" s="1"/>
  <c r="J739" i="2" s="1"/>
  <c r="H740" i="2"/>
  <c r="I740" i="2" s="1"/>
  <c r="J740" i="2" s="1"/>
  <c r="H741" i="2"/>
  <c r="I741" i="2" s="1"/>
  <c r="J741" i="2" s="1"/>
  <c r="H742" i="2"/>
  <c r="I742" i="2" s="1"/>
  <c r="J742" i="2" s="1"/>
  <c r="H743" i="2"/>
  <c r="I743" i="2" s="1"/>
  <c r="J743" i="2" s="1"/>
  <c r="H744" i="2"/>
  <c r="I744" i="2" s="1"/>
  <c r="J744" i="2" s="1"/>
  <c r="H745" i="2"/>
  <c r="I745" i="2" s="1"/>
  <c r="J745" i="2" s="1"/>
  <c r="H746" i="2"/>
  <c r="I746" i="2" s="1"/>
  <c r="J746" i="2" s="1"/>
  <c r="H747" i="2"/>
  <c r="I747" i="2" s="1"/>
  <c r="J747" i="2" s="1"/>
  <c r="H748" i="2"/>
  <c r="I748" i="2" s="1"/>
  <c r="J748" i="2" s="1"/>
  <c r="H749" i="2"/>
  <c r="I749" i="2" s="1"/>
  <c r="J749" i="2" s="1"/>
  <c r="H750" i="2"/>
  <c r="I750" i="2" s="1"/>
  <c r="J750" i="2" s="1"/>
  <c r="H751" i="2"/>
  <c r="I751" i="2" s="1"/>
  <c r="J751" i="2" s="1"/>
  <c r="H752" i="2"/>
  <c r="I752" i="2" s="1"/>
  <c r="J752" i="2" s="1"/>
  <c r="H753" i="2"/>
  <c r="I753" i="2" s="1"/>
  <c r="J753" i="2" s="1"/>
  <c r="H754" i="2"/>
  <c r="I754" i="2" s="1"/>
  <c r="J754" i="2" s="1"/>
  <c r="H755" i="2"/>
  <c r="I755" i="2" s="1"/>
  <c r="J755" i="2" s="1"/>
  <c r="H756" i="2"/>
  <c r="I756" i="2" s="1"/>
  <c r="J756" i="2" s="1"/>
  <c r="H757" i="2"/>
  <c r="I757" i="2" s="1"/>
  <c r="J757" i="2" s="1"/>
  <c r="H758" i="2"/>
  <c r="I758" i="2" s="1"/>
  <c r="J758" i="2" s="1"/>
  <c r="H759" i="2"/>
  <c r="I759" i="2" s="1"/>
  <c r="J759" i="2" s="1"/>
  <c r="H760" i="2"/>
  <c r="I760" i="2" s="1"/>
  <c r="J760" i="2" s="1"/>
  <c r="H761" i="2"/>
  <c r="I761" i="2" s="1"/>
  <c r="J761" i="2" s="1"/>
  <c r="H762" i="2"/>
  <c r="I762" i="2" s="1"/>
  <c r="J762" i="2" s="1"/>
  <c r="H763" i="2"/>
  <c r="I763" i="2" s="1"/>
  <c r="J763" i="2" s="1"/>
  <c r="H764" i="2"/>
  <c r="I764" i="2" s="1"/>
  <c r="J764" i="2" s="1"/>
  <c r="H765" i="2"/>
  <c r="I765" i="2" s="1"/>
  <c r="J765" i="2" s="1"/>
  <c r="H766" i="2"/>
  <c r="I766" i="2" s="1"/>
  <c r="J766" i="2" s="1"/>
  <c r="H767" i="2"/>
  <c r="I767" i="2" s="1"/>
  <c r="J767" i="2" s="1"/>
  <c r="H768" i="2"/>
  <c r="I768" i="2" s="1"/>
  <c r="J768" i="2" s="1"/>
  <c r="H769" i="2"/>
  <c r="I769" i="2" s="1"/>
  <c r="J769" i="2" s="1"/>
  <c r="H770" i="2"/>
  <c r="I770" i="2" s="1"/>
  <c r="J770" i="2" s="1"/>
  <c r="H771" i="2"/>
  <c r="I771" i="2" s="1"/>
  <c r="J771" i="2" s="1"/>
  <c r="H772" i="2"/>
  <c r="I772" i="2" s="1"/>
  <c r="J772" i="2" s="1"/>
  <c r="H773" i="2"/>
  <c r="I773" i="2" s="1"/>
  <c r="J773" i="2" s="1"/>
  <c r="H774" i="2"/>
  <c r="I774" i="2" s="1"/>
  <c r="J774" i="2" s="1"/>
  <c r="H775" i="2"/>
  <c r="I775" i="2" s="1"/>
  <c r="J775" i="2" s="1"/>
  <c r="H776" i="2"/>
  <c r="I776" i="2" s="1"/>
  <c r="J776" i="2" s="1"/>
  <c r="H777" i="2"/>
  <c r="I777" i="2" s="1"/>
  <c r="J777" i="2" s="1"/>
  <c r="H778" i="2"/>
  <c r="I778" i="2" s="1"/>
  <c r="J778" i="2" s="1"/>
  <c r="H779" i="2"/>
  <c r="I779" i="2" s="1"/>
  <c r="J779" i="2" s="1"/>
  <c r="H780" i="2"/>
  <c r="I780" i="2" s="1"/>
  <c r="J780" i="2" s="1"/>
  <c r="H781" i="2"/>
  <c r="I781" i="2" s="1"/>
  <c r="J781" i="2" s="1"/>
  <c r="H782" i="2"/>
  <c r="I782" i="2" s="1"/>
  <c r="J782" i="2" s="1"/>
  <c r="H783" i="2"/>
  <c r="I783" i="2" s="1"/>
  <c r="J783" i="2" s="1"/>
  <c r="H784" i="2"/>
  <c r="I784" i="2" s="1"/>
  <c r="J784" i="2" s="1"/>
  <c r="H785" i="2"/>
  <c r="I785" i="2" s="1"/>
  <c r="J785" i="2" s="1"/>
  <c r="H786" i="2"/>
  <c r="I786" i="2" s="1"/>
  <c r="J786" i="2" s="1"/>
  <c r="H787" i="2"/>
  <c r="I787" i="2" s="1"/>
  <c r="J787" i="2" s="1"/>
  <c r="H788" i="2"/>
  <c r="I788" i="2" s="1"/>
  <c r="J788" i="2" s="1"/>
  <c r="H789" i="2"/>
  <c r="I789" i="2" s="1"/>
  <c r="J789" i="2" s="1"/>
  <c r="H790" i="2"/>
  <c r="I790" i="2" s="1"/>
  <c r="J790" i="2" s="1"/>
  <c r="H791" i="2"/>
  <c r="I791" i="2" s="1"/>
  <c r="J791" i="2" s="1"/>
  <c r="H792" i="2"/>
  <c r="I792" i="2" s="1"/>
  <c r="J792" i="2" s="1"/>
  <c r="H793" i="2"/>
  <c r="I793" i="2" s="1"/>
  <c r="J793" i="2" s="1"/>
  <c r="H794" i="2"/>
  <c r="I794" i="2" s="1"/>
  <c r="J794" i="2" s="1"/>
  <c r="H795" i="2"/>
  <c r="I795" i="2" s="1"/>
  <c r="J795" i="2" s="1"/>
  <c r="H796" i="2"/>
  <c r="I796" i="2" s="1"/>
  <c r="J796" i="2" s="1"/>
  <c r="H797" i="2"/>
  <c r="I797" i="2" s="1"/>
  <c r="J797" i="2" s="1"/>
  <c r="H798" i="2"/>
  <c r="I798" i="2" s="1"/>
  <c r="J798" i="2" s="1"/>
  <c r="H799" i="2"/>
  <c r="I799" i="2" s="1"/>
  <c r="J799" i="2" s="1"/>
  <c r="H800" i="2"/>
  <c r="I800" i="2" s="1"/>
  <c r="J800" i="2" s="1"/>
  <c r="H801" i="2"/>
  <c r="I801" i="2" s="1"/>
  <c r="J801" i="2" s="1"/>
  <c r="H802" i="2"/>
  <c r="I802" i="2" s="1"/>
  <c r="J802" i="2" s="1"/>
  <c r="H803" i="2"/>
  <c r="I803" i="2" s="1"/>
  <c r="J803" i="2" s="1"/>
  <c r="H804" i="2"/>
  <c r="I804" i="2" s="1"/>
  <c r="J804" i="2" s="1"/>
  <c r="H805" i="2"/>
  <c r="I805" i="2" s="1"/>
  <c r="J805" i="2" s="1"/>
  <c r="H806" i="2"/>
  <c r="I806" i="2" s="1"/>
  <c r="J806" i="2" s="1"/>
  <c r="H807" i="2"/>
  <c r="I807" i="2" s="1"/>
  <c r="J807" i="2" s="1"/>
  <c r="H808" i="2"/>
  <c r="I808" i="2" s="1"/>
  <c r="J808" i="2" s="1"/>
  <c r="H809" i="2"/>
  <c r="I809" i="2" s="1"/>
  <c r="J809" i="2" s="1"/>
  <c r="H810" i="2"/>
  <c r="I810" i="2" s="1"/>
  <c r="J810" i="2" s="1"/>
  <c r="H811" i="2"/>
  <c r="I811" i="2" s="1"/>
  <c r="J811" i="2" s="1"/>
  <c r="H812" i="2"/>
  <c r="I812" i="2" s="1"/>
  <c r="J812" i="2" s="1"/>
  <c r="H813" i="2"/>
  <c r="I813" i="2" s="1"/>
  <c r="J813" i="2" s="1"/>
  <c r="H814" i="2"/>
  <c r="I814" i="2" s="1"/>
  <c r="J814" i="2" s="1"/>
  <c r="H815" i="2"/>
  <c r="I815" i="2" s="1"/>
  <c r="J815" i="2" s="1"/>
  <c r="H816" i="2"/>
  <c r="I816" i="2" s="1"/>
  <c r="J816" i="2" s="1"/>
  <c r="H817" i="2"/>
  <c r="I817" i="2" s="1"/>
  <c r="J817" i="2" s="1"/>
  <c r="H818" i="2"/>
  <c r="I818" i="2" s="1"/>
  <c r="J818" i="2" s="1"/>
  <c r="H819" i="2"/>
  <c r="I819" i="2" s="1"/>
  <c r="J819" i="2" s="1"/>
  <c r="H820" i="2"/>
  <c r="I820" i="2" s="1"/>
  <c r="J820" i="2" s="1"/>
  <c r="H821" i="2"/>
  <c r="I821" i="2" s="1"/>
  <c r="J821" i="2" s="1"/>
  <c r="H822" i="2"/>
  <c r="I822" i="2" s="1"/>
  <c r="J822" i="2" s="1"/>
  <c r="H823" i="2"/>
  <c r="I823" i="2" s="1"/>
  <c r="J823" i="2" s="1"/>
  <c r="H824" i="2"/>
  <c r="I824" i="2" s="1"/>
  <c r="J824" i="2" s="1"/>
  <c r="H825" i="2"/>
  <c r="I825" i="2" s="1"/>
  <c r="J825" i="2" s="1"/>
  <c r="H826" i="2"/>
  <c r="I826" i="2" s="1"/>
  <c r="J826" i="2" s="1"/>
  <c r="H827" i="2"/>
  <c r="I827" i="2" s="1"/>
  <c r="J827" i="2" s="1"/>
  <c r="H828" i="2"/>
  <c r="I828" i="2" s="1"/>
  <c r="J828" i="2" s="1"/>
  <c r="H829" i="2"/>
  <c r="I829" i="2" s="1"/>
  <c r="J829" i="2" s="1"/>
  <c r="H830" i="2"/>
  <c r="I830" i="2" s="1"/>
  <c r="J830" i="2" s="1"/>
  <c r="H831" i="2"/>
  <c r="I831" i="2" s="1"/>
  <c r="J831" i="2" s="1"/>
  <c r="H832" i="2"/>
  <c r="I832" i="2" s="1"/>
  <c r="J832" i="2" s="1"/>
  <c r="H833" i="2"/>
  <c r="I833" i="2" s="1"/>
  <c r="J833" i="2" s="1"/>
  <c r="H834" i="2"/>
  <c r="I834" i="2" s="1"/>
  <c r="J834" i="2" s="1"/>
  <c r="H835" i="2"/>
  <c r="I835" i="2" s="1"/>
  <c r="J835" i="2" s="1"/>
  <c r="H836" i="2"/>
  <c r="I836" i="2" s="1"/>
  <c r="J836" i="2" s="1"/>
  <c r="H837" i="2"/>
  <c r="I837" i="2" s="1"/>
  <c r="J837" i="2" s="1"/>
  <c r="H838" i="2"/>
  <c r="I838" i="2" s="1"/>
  <c r="J838" i="2" s="1"/>
  <c r="H839" i="2"/>
  <c r="I839" i="2" s="1"/>
  <c r="J839" i="2" s="1"/>
  <c r="H840" i="2"/>
  <c r="I840" i="2" s="1"/>
  <c r="J840" i="2" s="1"/>
  <c r="H841" i="2"/>
  <c r="I841" i="2" s="1"/>
  <c r="J841" i="2" s="1"/>
  <c r="H842" i="2"/>
  <c r="I842" i="2" s="1"/>
  <c r="J842" i="2" s="1"/>
  <c r="H843" i="2"/>
  <c r="I843" i="2" s="1"/>
  <c r="J843" i="2" s="1"/>
  <c r="H844" i="2"/>
  <c r="I844" i="2" s="1"/>
  <c r="J844" i="2" s="1"/>
  <c r="H845" i="2"/>
  <c r="I845" i="2" s="1"/>
  <c r="J845" i="2" s="1"/>
  <c r="H846" i="2"/>
  <c r="I846" i="2" s="1"/>
  <c r="J846" i="2" s="1"/>
  <c r="H847" i="2"/>
  <c r="I847" i="2" s="1"/>
  <c r="J847" i="2" s="1"/>
  <c r="H848" i="2"/>
  <c r="I848" i="2" s="1"/>
  <c r="J848" i="2" s="1"/>
  <c r="H849" i="2"/>
  <c r="I849" i="2" s="1"/>
  <c r="J849" i="2" s="1"/>
  <c r="H850" i="2"/>
  <c r="I850" i="2" s="1"/>
  <c r="J850" i="2" s="1"/>
  <c r="H851" i="2"/>
  <c r="I851" i="2" s="1"/>
  <c r="J851" i="2" s="1"/>
  <c r="H852" i="2"/>
  <c r="I852" i="2" s="1"/>
  <c r="J852" i="2" s="1"/>
  <c r="H853" i="2"/>
  <c r="I853" i="2" s="1"/>
  <c r="J853" i="2" s="1"/>
  <c r="H854" i="2"/>
  <c r="I854" i="2" s="1"/>
  <c r="J854" i="2" s="1"/>
  <c r="H855" i="2"/>
  <c r="I855" i="2" s="1"/>
  <c r="J855" i="2" s="1"/>
  <c r="H856" i="2"/>
  <c r="I856" i="2" s="1"/>
  <c r="J856" i="2" s="1"/>
  <c r="H857" i="2"/>
  <c r="I857" i="2" s="1"/>
  <c r="J857" i="2" s="1"/>
  <c r="H858" i="2"/>
  <c r="I858" i="2" s="1"/>
  <c r="J858" i="2" s="1"/>
  <c r="H859" i="2"/>
  <c r="I859" i="2" s="1"/>
  <c r="J859" i="2" s="1"/>
  <c r="H860" i="2"/>
  <c r="I860" i="2" s="1"/>
  <c r="J860" i="2" s="1"/>
  <c r="H861" i="2"/>
  <c r="I861" i="2" s="1"/>
  <c r="J861" i="2" s="1"/>
  <c r="H862" i="2"/>
  <c r="I862" i="2" s="1"/>
  <c r="J862" i="2" s="1"/>
  <c r="H863" i="2"/>
  <c r="I863" i="2" s="1"/>
  <c r="J863" i="2" s="1"/>
  <c r="H864" i="2"/>
  <c r="I864" i="2" s="1"/>
  <c r="J864" i="2" s="1"/>
  <c r="H865" i="2"/>
  <c r="I865" i="2" s="1"/>
  <c r="J865" i="2" s="1"/>
  <c r="H866" i="2"/>
  <c r="I866" i="2" s="1"/>
  <c r="J866" i="2" s="1"/>
  <c r="H867" i="2"/>
  <c r="I867" i="2" s="1"/>
  <c r="J867" i="2" s="1"/>
  <c r="H868" i="2"/>
  <c r="I868" i="2" s="1"/>
  <c r="J868" i="2" s="1"/>
  <c r="H869" i="2"/>
  <c r="I869" i="2" s="1"/>
  <c r="J869" i="2" s="1"/>
  <c r="H870" i="2"/>
  <c r="I870" i="2" s="1"/>
  <c r="J870" i="2" s="1"/>
  <c r="H871" i="2"/>
  <c r="I871" i="2" s="1"/>
  <c r="J871" i="2" s="1"/>
  <c r="H872" i="2"/>
  <c r="I872" i="2" s="1"/>
  <c r="J872" i="2" s="1"/>
  <c r="H873" i="2"/>
  <c r="I873" i="2" s="1"/>
  <c r="J873" i="2" s="1"/>
  <c r="H874" i="2"/>
  <c r="I874" i="2" s="1"/>
  <c r="J874" i="2" s="1"/>
  <c r="H875" i="2"/>
  <c r="I875" i="2" s="1"/>
  <c r="J875" i="2" s="1"/>
  <c r="H876" i="2"/>
  <c r="I876" i="2" s="1"/>
  <c r="J876" i="2" s="1"/>
  <c r="H877" i="2"/>
  <c r="I877" i="2" s="1"/>
  <c r="J877" i="2" s="1"/>
  <c r="H878" i="2"/>
  <c r="I878" i="2" s="1"/>
  <c r="J878" i="2" s="1"/>
  <c r="H879" i="2"/>
  <c r="I879" i="2" s="1"/>
  <c r="J879" i="2" s="1"/>
  <c r="H880" i="2"/>
  <c r="I880" i="2" s="1"/>
  <c r="J880" i="2" s="1"/>
  <c r="H881" i="2"/>
  <c r="I881" i="2" s="1"/>
  <c r="J881" i="2" s="1"/>
  <c r="H882" i="2"/>
  <c r="I882" i="2" s="1"/>
  <c r="J882" i="2" s="1"/>
  <c r="H883" i="2"/>
  <c r="I883" i="2" s="1"/>
  <c r="J883" i="2" s="1"/>
  <c r="H884" i="2"/>
  <c r="I884" i="2" s="1"/>
  <c r="J884" i="2" s="1"/>
  <c r="H885" i="2"/>
  <c r="I885" i="2" s="1"/>
  <c r="J885" i="2" s="1"/>
  <c r="H886" i="2"/>
  <c r="I886" i="2" s="1"/>
  <c r="J886" i="2" s="1"/>
  <c r="H887" i="2"/>
  <c r="I887" i="2" s="1"/>
  <c r="J887" i="2" s="1"/>
  <c r="H888" i="2"/>
  <c r="I888" i="2" s="1"/>
  <c r="J888" i="2" s="1"/>
  <c r="H889" i="2"/>
  <c r="I889" i="2" s="1"/>
  <c r="J889" i="2" s="1"/>
  <c r="H890" i="2"/>
  <c r="I890" i="2" s="1"/>
  <c r="J890" i="2" s="1"/>
  <c r="H891" i="2"/>
  <c r="I891" i="2" s="1"/>
  <c r="J891" i="2" s="1"/>
  <c r="H892" i="2"/>
  <c r="I892" i="2" s="1"/>
  <c r="J892" i="2" s="1"/>
  <c r="H893" i="2"/>
  <c r="I893" i="2" s="1"/>
  <c r="J893" i="2" s="1"/>
  <c r="H894" i="2"/>
  <c r="I894" i="2" s="1"/>
  <c r="J894" i="2" s="1"/>
  <c r="H895" i="2"/>
  <c r="I895" i="2" s="1"/>
  <c r="J895" i="2" s="1"/>
  <c r="H896" i="2"/>
  <c r="I896" i="2" s="1"/>
  <c r="J896" i="2" s="1"/>
  <c r="H897" i="2"/>
  <c r="I897" i="2" s="1"/>
  <c r="J897" i="2" s="1"/>
  <c r="H898" i="2"/>
  <c r="I898" i="2" s="1"/>
  <c r="J898" i="2" s="1"/>
  <c r="H899" i="2"/>
  <c r="I899" i="2" s="1"/>
  <c r="J899" i="2" s="1"/>
  <c r="H900" i="2"/>
  <c r="I900" i="2" s="1"/>
  <c r="J900" i="2" s="1"/>
  <c r="H901" i="2"/>
  <c r="I901" i="2" s="1"/>
  <c r="J901" i="2" s="1"/>
  <c r="H902" i="2"/>
  <c r="I902" i="2" s="1"/>
  <c r="J902" i="2" s="1"/>
  <c r="H903" i="2"/>
  <c r="I903" i="2" s="1"/>
  <c r="J903" i="2" s="1"/>
  <c r="H904" i="2"/>
  <c r="I904" i="2" s="1"/>
  <c r="J904" i="2" s="1"/>
  <c r="H905" i="2"/>
  <c r="I905" i="2" s="1"/>
  <c r="J905" i="2" s="1"/>
  <c r="H906" i="2"/>
  <c r="I906" i="2" s="1"/>
  <c r="J906" i="2" s="1"/>
  <c r="H907" i="2"/>
  <c r="I907" i="2" s="1"/>
  <c r="J907" i="2" s="1"/>
  <c r="H908" i="2"/>
  <c r="I908" i="2" s="1"/>
  <c r="J908" i="2" s="1"/>
  <c r="H909" i="2"/>
  <c r="I909" i="2" s="1"/>
  <c r="J909" i="2" s="1"/>
  <c r="H910" i="2"/>
  <c r="I910" i="2" s="1"/>
  <c r="J910" i="2" s="1"/>
  <c r="H911" i="2"/>
  <c r="I911" i="2" s="1"/>
  <c r="J911" i="2" s="1"/>
  <c r="H912" i="2"/>
  <c r="I912" i="2" s="1"/>
  <c r="J912" i="2" s="1"/>
  <c r="H913" i="2"/>
  <c r="I913" i="2" s="1"/>
  <c r="J913" i="2" s="1"/>
  <c r="H914" i="2"/>
  <c r="I914" i="2" s="1"/>
  <c r="J914" i="2" s="1"/>
  <c r="H915" i="2"/>
  <c r="I915" i="2" s="1"/>
  <c r="J915" i="2" s="1"/>
  <c r="H916" i="2"/>
  <c r="I916" i="2" s="1"/>
  <c r="J916" i="2" s="1"/>
  <c r="H917" i="2"/>
  <c r="I917" i="2" s="1"/>
  <c r="J917" i="2" s="1"/>
  <c r="H918" i="2"/>
  <c r="I918" i="2" s="1"/>
  <c r="J918" i="2" s="1"/>
  <c r="H919" i="2"/>
  <c r="I919" i="2" s="1"/>
  <c r="J919" i="2" s="1"/>
  <c r="H920" i="2"/>
  <c r="I920" i="2" s="1"/>
  <c r="J920" i="2" s="1"/>
  <c r="H921" i="2"/>
  <c r="I921" i="2" s="1"/>
  <c r="J921" i="2" s="1"/>
  <c r="H922" i="2"/>
  <c r="I922" i="2" s="1"/>
  <c r="J922" i="2" s="1"/>
  <c r="H923" i="2"/>
  <c r="I923" i="2" s="1"/>
  <c r="J923" i="2" s="1"/>
  <c r="H924" i="2"/>
  <c r="I924" i="2" s="1"/>
  <c r="J924" i="2" s="1"/>
  <c r="H925" i="2"/>
  <c r="I925" i="2" s="1"/>
  <c r="J925" i="2" s="1"/>
  <c r="H926" i="2"/>
  <c r="I926" i="2" s="1"/>
  <c r="J926" i="2" s="1"/>
  <c r="H927" i="2"/>
  <c r="I927" i="2" s="1"/>
  <c r="J927" i="2" s="1"/>
  <c r="H928" i="2"/>
  <c r="I928" i="2" s="1"/>
  <c r="J928" i="2" s="1"/>
  <c r="H929" i="2"/>
  <c r="I929" i="2" s="1"/>
  <c r="J929" i="2" s="1"/>
  <c r="H930" i="2"/>
  <c r="I930" i="2" s="1"/>
  <c r="J930" i="2" s="1"/>
  <c r="H931" i="2"/>
  <c r="I931" i="2" s="1"/>
  <c r="J931" i="2" s="1"/>
  <c r="H932" i="2"/>
  <c r="I932" i="2" s="1"/>
  <c r="J932" i="2" s="1"/>
  <c r="H933" i="2"/>
  <c r="I933" i="2" s="1"/>
  <c r="J933" i="2" s="1"/>
  <c r="H934" i="2"/>
  <c r="I934" i="2" s="1"/>
  <c r="J934" i="2" s="1"/>
  <c r="H935" i="2"/>
  <c r="I935" i="2" s="1"/>
  <c r="J935" i="2" s="1"/>
  <c r="H936" i="2"/>
  <c r="I936" i="2" s="1"/>
  <c r="J936" i="2" s="1"/>
  <c r="H937" i="2"/>
  <c r="I937" i="2" s="1"/>
  <c r="J937" i="2" s="1"/>
  <c r="H938" i="2"/>
  <c r="I938" i="2" s="1"/>
  <c r="J938" i="2" s="1"/>
  <c r="H939" i="2"/>
  <c r="I939" i="2" s="1"/>
  <c r="J939" i="2" s="1"/>
  <c r="H940" i="2"/>
  <c r="I940" i="2" s="1"/>
  <c r="J940" i="2" s="1"/>
  <c r="H941" i="2"/>
  <c r="I941" i="2" s="1"/>
  <c r="J941" i="2" s="1"/>
  <c r="H942" i="2"/>
  <c r="I942" i="2" s="1"/>
  <c r="J942" i="2" s="1"/>
  <c r="H943" i="2"/>
  <c r="I943" i="2" s="1"/>
  <c r="J943" i="2" s="1"/>
  <c r="H944" i="2"/>
  <c r="I944" i="2" s="1"/>
  <c r="J944" i="2" s="1"/>
  <c r="H945" i="2"/>
  <c r="I945" i="2" s="1"/>
  <c r="J945" i="2" s="1"/>
  <c r="H946" i="2"/>
  <c r="I946" i="2" s="1"/>
  <c r="J946" i="2" s="1"/>
  <c r="H947" i="2"/>
  <c r="I947" i="2" s="1"/>
  <c r="J947" i="2" s="1"/>
  <c r="H948" i="2"/>
  <c r="I948" i="2" s="1"/>
  <c r="J948" i="2" s="1"/>
  <c r="H949" i="2"/>
  <c r="I949" i="2" s="1"/>
  <c r="J949" i="2" s="1"/>
  <c r="H950" i="2"/>
  <c r="I950" i="2" s="1"/>
  <c r="J950" i="2" s="1"/>
  <c r="H951" i="2"/>
  <c r="I951" i="2" s="1"/>
  <c r="J951" i="2" s="1"/>
  <c r="H952" i="2"/>
  <c r="I952" i="2" s="1"/>
  <c r="J952" i="2" s="1"/>
  <c r="H953" i="2"/>
  <c r="I953" i="2" s="1"/>
  <c r="J953" i="2" s="1"/>
  <c r="H954" i="2"/>
  <c r="I954" i="2" s="1"/>
  <c r="J954" i="2" s="1"/>
  <c r="H955" i="2"/>
  <c r="I955" i="2" s="1"/>
  <c r="J955" i="2" s="1"/>
  <c r="H956" i="2"/>
  <c r="I956" i="2" s="1"/>
  <c r="J956" i="2" s="1"/>
  <c r="H957" i="2"/>
  <c r="I957" i="2" s="1"/>
  <c r="J957" i="2" s="1"/>
  <c r="H958" i="2"/>
  <c r="I958" i="2" s="1"/>
  <c r="J958" i="2" s="1"/>
  <c r="H959" i="2"/>
  <c r="I959" i="2" s="1"/>
  <c r="J959" i="2" s="1"/>
  <c r="H960" i="2"/>
  <c r="I960" i="2" s="1"/>
  <c r="J960" i="2" s="1"/>
  <c r="H961" i="2"/>
  <c r="I961" i="2" s="1"/>
  <c r="J961" i="2" s="1"/>
  <c r="H962" i="2"/>
  <c r="I962" i="2" s="1"/>
  <c r="J962" i="2" s="1"/>
  <c r="H963" i="2"/>
  <c r="I963" i="2" s="1"/>
  <c r="J963" i="2" s="1"/>
  <c r="H964" i="2"/>
  <c r="I964" i="2" s="1"/>
  <c r="J964" i="2" s="1"/>
  <c r="H965" i="2"/>
  <c r="I965" i="2" s="1"/>
  <c r="J965" i="2" s="1"/>
  <c r="H966" i="2"/>
  <c r="I966" i="2" s="1"/>
  <c r="J966" i="2" s="1"/>
  <c r="H967" i="2"/>
  <c r="I967" i="2" s="1"/>
  <c r="J967" i="2" s="1"/>
  <c r="H968" i="2"/>
  <c r="I968" i="2" s="1"/>
  <c r="J968" i="2" s="1"/>
  <c r="H969" i="2"/>
  <c r="I969" i="2" s="1"/>
  <c r="J969" i="2" s="1"/>
  <c r="H970" i="2"/>
  <c r="I970" i="2" s="1"/>
  <c r="J970" i="2" s="1"/>
  <c r="H971" i="2"/>
  <c r="I971" i="2" s="1"/>
  <c r="J971" i="2" s="1"/>
  <c r="H972" i="2"/>
  <c r="I972" i="2" s="1"/>
  <c r="J972" i="2" s="1"/>
  <c r="H973" i="2"/>
  <c r="I973" i="2" s="1"/>
  <c r="J973" i="2" s="1"/>
  <c r="H974" i="2"/>
  <c r="I974" i="2" s="1"/>
  <c r="J974" i="2" s="1"/>
  <c r="H975" i="2"/>
  <c r="I975" i="2" s="1"/>
  <c r="J975" i="2" s="1"/>
  <c r="H976" i="2"/>
  <c r="I976" i="2" s="1"/>
  <c r="J976" i="2" s="1"/>
  <c r="H977" i="2"/>
  <c r="I977" i="2" s="1"/>
  <c r="J977" i="2" s="1"/>
  <c r="H978" i="2"/>
  <c r="I978" i="2" s="1"/>
  <c r="J978" i="2" s="1"/>
  <c r="H979" i="2"/>
  <c r="I979" i="2" s="1"/>
  <c r="J979" i="2" s="1"/>
  <c r="H980" i="2"/>
  <c r="I980" i="2" s="1"/>
  <c r="J980" i="2" s="1"/>
  <c r="H981" i="2"/>
  <c r="I981" i="2" s="1"/>
  <c r="J981" i="2" s="1"/>
  <c r="H982" i="2"/>
  <c r="I982" i="2" s="1"/>
  <c r="J982" i="2" s="1"/>
  <c r="H983" i="2"/>
  <c r="I983" i="2" s="1"/>
  <c r="J983" i="2" s="1"/>
  <c r="H984" i="2"/>
  <c r="I984" i="2" s="1"/>
  <c r="J984" i="2" s="1"/>
  <c r="H985" i="2"/>
  <c r="I985" i="2" s="1"/>
  <c r="J985" i="2" s="1"/>
  <c r="H986" i="2"/>
  <c r="I986" i="2" s="1"/>
  <c r="J986" i="2" s="1"/>
  <c r="H987" i="2"/>
  <c r="I987" i="2" s="1"/>
  <c r="J987" i="2" s="1"/>
  <c r="H988" i="2"/>
  <c r="I988" i="2" s="1"/>
  <c r="J988" i="2" s="1"/>
  <c r="H989" i="2"/>
  <c r="I989" i="2" s="1"/>
  <c r="J989" i="2" s="1"/>
  <c r="H990" i="2"/>
  <c r="I990" i="2" s="1"/>
  <c r="J990" i="2" s="1"/>
  <c r="H991" i="2"/>
  <c r="I991" i="2" s="1"/>
  <c r="J991" i="2" s="1"/>
  <c r="H992" i="2"/>
  <c r="I992" i="2" s="1"/>
  <c r="J992" i="2" s="1"/>
  <c r="H993" i="2"/>
  <c r="I993" i="2" s="1"/>
  <c r="J993" i="2" s="1"/>
  <c r="H994" i="2"/>
  <c r="I994" i="2" s="1"/>
  <c r="J994" i="2" s="1"/>
  <c r="H995" i="2"/>
  <c r="I995" i="2" s="1"/>
  <c r="J995" i="2" s="1"/>
  <c r="H996" i="2"/>
  <c r="I996" i="2" s="1"/>
  <c r="J996" i="2" s="1"/>
  <c r="H997" i="2"/>
  <c r="I997" i="2" s="1"/>
  <c r="J997" i="2" s="1"/>
  <c r="H998" i="2"/>
  <c r="I998" i="2" s="1"/>
  <c r="J998" i="2" s="1"/>
  <c r="H999" i="2"/>
  <c r="I999" i="2" s="1"/>
  <c r="J999" i="2" s="1"/>
  <c r="H1000" i="2"/>
  <c r="I1000" i="2" s="1"/>
  <c r="J1000" i="2" s="1"/>
  <c r="H1001" i="2"/>
  <c r="I1001" i="2" s="1"/>
  <c r="J1001" i="2" s="1"/>
  <c r="H1002" i="2"/>
  <c r="I1002" i="2" s="1"/>
  <c r="J1002" i="2" s="1"/>
  <c r="H1003" i="2"/>
  <c r="I1003" i="2" s="1"/>
  <c r="J1003" i="2" s="1"/>
  <c r="H1004" i="2"/>
  <c r="I1004" i="2" s="1"/>
  <c r="J1004" i="2" s="1"/>
  <c r="H1005" i="2"/>
  <c r="I1005" i="2" s="1"/>
  <c r="J1005" i="2" s="1"/>
  <c r="H1006" i="2"/>
  <c r="I1006" i="2" s="1"/>
  <c r="J1006" i="2" s="1"/>
  <c r="H1007" i="2"/>
  <c r="I1007" i="2" s="1"/>
  <c r="J1007" i="2" s="1"/>
  <c r="H1008" i="2"/>
  <c r="I1008" i="2" s="1"/>
  <c r="J1008" i="2" s="1"/>
  <c r="H1009" i="2"/>
  <c r="I1009" i="2" s="1"/>
  <c r="J1009" i="2" s="1"/>
  <c r="H1010" i="2"/>
  <c r="I1010" i="2" s="1"/>
  <c r="J1010" i="2" s="1"/>
  <c r="H1011" i="2"/>
  <c r="I1011" i="2" s="1"/>
  <c r="J1011" i="2" s="1"/>
  <c r="H1012" i="2"/>
  <c r="I1012" i="2" s="1"/>
  <c r="J1012" i="2" s="1"/>
  <c r="H1013" i="2"/>
  <c r="I1013" i="2" s="1"/>
  <c r="J1013" i="2" s="1"/>
  <c r="H1014" i="2"/>
  <c r="I1014" i="2" s="1"/>
  <c r="J1014" i="2" s="1"/>
  <c r="H1015" i="2"/>
  <c r="I1015" i="2" s="1"/>
  <c r="J1015" i="2" s="1"/>
  <c r="H1016" i="2"/>
  <c r="I1016" i="2" s="1"/>
  <c r="J1016" i="2" s="1"/>
  <c r="H1017" i="2"/>
  <c r="I1017" i="2" s="1"/>
  <c r="J1017" i="2" s="1"/>
  <c r="H1018" i="2"/>
  <c r="I1018" i="2" s="1"/>
  <c r="J1018" i="2" s="1"/>
  <c r="H1019" i="2"/>
  <c r="I1019" i="2" s="1"/>
  <c r="J1019" i="2" s="1"/>
  <c r="H1020" i="2"/>
  <c r="I1020" i="2" s="1"/>
  <c r="J1020" i="2" s="1"/>
  <c r="H1021" i="2"/>
  <c r="I1021" i="2" s="1"/>
  <c r="J1021" i="2" s="1"/>
  <c r="H1022" i="2"/>
  <c r="I1022" i="2" s="1"/>
  <c r="J1022" i="2" s="1"/>
  <c r="H1023" i="2"/>
  <c r="I1023" i="2" s="1"/>
  <c r="J1023" i="2" s="1"/>
  <c r="H1024" i="2"/>
  <c r="I1024" i="2" s="1"/>
  <c r="J1024" i="2" s="1"/>
  <c r="H1025" i="2"/>
  <c r="I1025" i="2" s="1"/>
  <c r="J1025" i="2" s="1"/>
  <c r="H1026" i="2"/>
  <c r="I1026" i="2" s="1"/>
  <c r="J1026" i="2" s="1"/>
  <c r="H1027" i="2"/>
  <c r="I1027" i="2" s="1"/>
  <c r="J1027" i="2" s="1"/>
  <c r="H1028" i="2"/>
  <c r="I1028" i="2" s="1"/>
  <c r="J1028" i="2" s="1"/>
  <c r="H1029" i="2"/>
  <c r="I1029" i="2" s="1"/>
  <c r="J1029" i="2" s="1"/>
  <c r="H1030" i="2"/>
  <c r="I1030" i="2" s="1"/>
  <c r="J1030" i="2" s="1"/>
  <c r="H1031" i="2"/>
  <c r="I1031" i="2" s="1"/>
  <c r="J1031" i="2" s="1"/>
  <c r="H1032" i="2"/>
  <c r="I1032" i="2" s="1"/>
  <c r="J1032" i="2" s="1"/>
  <c r="H1033" i="2"/>
  <c r="I1033" i="2" s="1"/>
  <c r="J1033" i="2" s="1"/>
  <c r="H1034" i="2"/>
  <c r="I1034" i="2" s="1"/>
  <c r="J1034" i="2" s="1"/>
  <c r="H1035" i="2"/>
  <c r="I1035" i="2" s="1"/>
  <c r="J1035" i="2" s="1"/>
  <c r="H1036" i="2"/>
  <c r="I1036" i="2" s="1"/>
  <c r="J1036" i="2" s="1"/>
  <c r="H1037" i="2"/>
  <c r="I1037" i="2" s="1"/>
  <c r="J1037" i="2" s="1"/>
  <c r="H1038" i="2"/>
  <c r="I1038" i="2" s="1"/>
  <c r="J1038" i="2" s="1"/>
  <c r="H1039" i="2"/>
  <c r="I1039" i="2" s="1"/>
  <c r="J1039" i="2" s="1"/>
  <c r="H1040" i="2"/>
  <c r="I1040" i="2" s="1"/>
  <c r="J1040" i="2" s="1"/>
  <c r="H1041" i="2"/>
  <c r="I1041" i="2" s="1"/>
  <c r="J1041" i="2" s="1"/>
  <c r="H1042" i="2"/>
  <c r="I1042" i="2" s="1"/>
  <c r="J1042" i="2" s="1"/>
  <c r="H1043" i="2"/>
  <c r="I1043" i="2" s="1"/>
  <c r="J1043" i="2" s="1"/>
  <c r="H1044" i="2"/>
  <c r="I1044" i="2" s="1"/>
  <c r="J1044" i="2" s="1"/>
  <c r="H1045" i="2"/>
  <c r="I1045" i="2" s="1"/>
  <c r="J1045" i="2" s="1"/>
  <c r="H1046" i="2"/>
  <c r="I1046" i="2" s="1"/>
  <c r="J1046" i="2" s="1"/>
  <c r="H1047" i="2"/>
  <c r="I1047" i="2" s="1"/>
  <c r="J1047" i="2" s="1"/>
  <c r="H1048" i="2"/>
  <c r="I1048" i="2" s="1"/>
  <c r="J1048" i="2" s="1"/>
  <c r="H1049" i="2"/>
  <c r="I1049" i="2" s="1"/>
  <c r="J1049" i="2" s="1"/>
  <c r="H1050" i="2"/>
  <c r="I1050" i="2" s="1"/>
  <c r="J1050" i="2" s="1"/>
  <c r="H1051" i="2"/>
  <c r="I1051" i="2" s="1"/>
  <c r="J1051" i="2" s="1"/>
  <c r="H1052" i="2"/>
  <c r="I1052" i="2" s="1"/>
  <c r="J1052" i="2" s="1"/>
  <c r="H1053" i="2"/>
  <c r="I1053" i="2" s="1"/>
  <c r="J1053" i="2" s="1"/>
  <c r="H1054" i="2"/>
  <c r="I1054" i="2" s="1"/>
  <c r="J1054" i="2" s="1"/>
  <c r="H1055" i="2"/>
  <c r="I1055" i="2" s="1"/>
  <c r="J1055" i="2" s="1"/>
  <c r="H1056" i="2"/>
  <c r="I1056" i="2" s="1"/>
  <c r="J1056" i="2" s="1"/>
  <c r="H1057" i="2"/>
  <c r="I1057" i="2" s="1"/>
  <c r="J1057" i="2" s="1"/>
  <c r="H1058" i="2"/>
  <c r="I1058" i="2" s="1"/>
  <c r="J1058" i="2" s="1"/>
  <c r="H1059" i="2"/>
  <c r="I1059" i="2" s="1"/>
  <c r="J1059" i="2" s="1"/>
  <c r="H1060" i="2"/>
  <c r="I1060" i="2" s="1"/>
  <c r="J1060" i="2" s="1"/>
  <c r="H1061" i="2"/>
  <c r="I1061" i="2" s="1"/>
  <c r="J1061" i="2" s="1"/>
  <c r="H1062" i="2"/>
  <c r="I1062" i="2" s="1"/>
  <c r="J1062" i="2" s="1"/>
  <c r="H1063" i="2"/>
  <c r="I1063" i="2" s="1"/>
  <c r="J1063" i="2" s="1"/>
  <c r="H1064" i="2"/>
  <c r="I1064" i="2" s="1"/>
  <c r="J1064" i="2" s="1"/>
  <c r="H1065" i="2"/>
  <c r="I1065" i="2" s="1"/>
  <c r="J1065" i="2" s="1"/>
  <c r="H1066" i="2"/>
  <c r="I1066" i="2" s="1"/>
  <c r="J1066" i="2" s="1"/>
  <c r="H1067" i="2"/>
  <c r="I1067" i="2" s="1"/>
  <c r="J1067" i="2" s="1"/>
  <c r="H1068" i="2"/>
  <c r="I1068" i="2" s="1"/>
  <c r="J1068" i="2" s="1"/>
  <c r="H1069" i="2"/>
  <c r="I1069" i="2" s="1"/>
  <c r="J1069" i="2" s="1"/>
  <c r="H1070" i="2"/>
  <c r="I1070" i="2" s="1"/>
  <c r="J1070" i="2" s="1"/>
  <c r="H1071" i="2"/>
  <c r="I1071" i="2" s="1"/>
  <c r="J1071" i="2" s="1"/>
  <c r="H1072" i="2"/>
  <c r="I1072" i="2" s="1"/>
  <c r="J1072" i="2" s="1"/>
  <c r="H1073" i="2"/>
  <c r="I1073" i="2" s="1"/>
  <c r="J1073" i="2" s="1"/>
  <c r="H1074" i="2"/>
  <c r="I1074" i="2" s="1"/>
  <c r="J1074" i="2" s="1"/>
  <c r="H1075" i="2"/>
  <c r="I1075" i="2" s="1"/>
  <c r="J1075" i="2" s="1"/>
  <c r="H1076" i="2"/>
  <c r="I1076" i="2" s="1"/>
  <c r="J1076" i="2" s="1"/>
  <c r="H1077" i="2"/>
  <c r="I1077" i="2" s="1"/>
  <c r="J1077" i="2" s="1"/>
  <c r="H1078" i="2"/>
  <c r="I1078" i="2" s="1"/>
  <c r="J1078" i="2" s="1"/>
  <c r="H1079" i="2"/>
  <c r="I1079" i="2" s="1"/>
  <c r="J1079" i="2" s="1"/>
  <c r="H1080" i="2"/>
  <c r="I1080" i="2" s="1"/>
  <c r="J1080" i="2" s="1"/>
  <c r="H1081" i="2"/>
  <c r="I1081" i="2" s="1"/>
  <c r="J1081" i="2" s="1"/>
  <c r="H1082" i="2"/>
  <c r="I1082" i="2" s="1"/>
  <c r="J1082" i="2" s="1"/>
  <c r="H1083" i="2"/>
  <c r="I1083" i="2" s="1"/>
  <c r="J1083" i="2" s="1"/>
  <c r="H1084" i="2"/>
  <c r="I1084" i="2" s="1"/>
  <c r="J1084" i="2" s="1"/>
  <c r="H1085" i="2"/>
  <c r="I1085" i="2" s="1"/>
  <c r="J1085" i="2" s="1"/>
  <c r="H1086" i="2"/>
  <c r="I1086" i="2" s="1"/>
  <c r="J1086" i="2" s="1"/>
  <c r="H1087" i="2"/>
  <c r="I1087" i="2" s="1"/>
  <c r="J1087" i="2" s="1"/>
  <c r="H1088" i="2"/>
  <c r="I1088" i="2" s="1"/>
  <c r="J1088" i="2" s="1"/>
  <c r="H1089" i="2"/>
  <c r="I1089" i="2" s="1"/>
  <c r="J1089" i="2" s="1"/>
  <c r="H1090" i="2"/>
  <c r="I1090" i="2" s="1"/>
  <c r="J1090" i="2" s="1"/>
  <c r="H1091" i="2"/>
  <c r="I1091" i="2" s="1"/>
  <c r="J1091" i="2" s="1"/>
  <c r="H1092" i="2"/>
  <c r="I1092" i="2" s="1"/>
  <c r="J1092" i="2" s="1"/>
  <c r="H1093" i="2"/>
  <c r="I1093" i="2" s="1"/>
  <c r="J1093" i="2" s="1"/>
  <c r="H1094" i="2"/>
  <c r="I1094" i="2" s="1"/>
  <c r="J1094" i="2" s="1"/>
  <c r="H1095" i="2"/>
  <c r="I1095" i="2" s="1"/>
  <c r="J1095" i="2" s="1"/>
  <c r="H1096" i="2"/>
  <c r="I1096" i="2" s="1"/>
  <c r="J1096" i="2" s="1"/>
  <c r="H1097" i="2"/>
  <c r="I1097" i="2" s="1"/>
  <c r="J1097" i="2" s="1"/>
  <c r="H1098" i="2"/>
  <c r="I1098" i="2" s="1"/>
  <c r="J1098" i="2" s="1"/>
  <c r="H1099" i="2"/>
  <c r="I1099" i="2" s="1"/>
  <c r="J1099" i="2" s="1"/>
  <c r="H1100" i="2"/>
  <c r="I1100" i="2" s="1"/>
  <c r="J1100" i="2" s="1"/>
  <c r="H1101" i="2"/>
  <c r="I1101" i="2" s="1"/>
  <c r="J1101" i="2" s="1"/>
  <c r="H1102" i="2"/>
  <c r="I1102" i="2" s="1"/>
  <c r="J1102" i="2" s="1"/>
  <c r="H1103" i="2"/>
  <c r="I1103" i="2" s="1"/>
  <c r="J1103" i="2" s="1"/>
  <c r="H1104" i="2"/>
  <c r="I1104" i="2" s="1"/>
  <c r="J1104" i="2" s="1"/>
  <c r="H1105" i="2"/>
  <c r="I1105" i="2" s="1"/>
  <c r="J1105" i="2" s="1"/>
  <c r="H1106" i="2"/>
  <c r="I1106" i="2" s="1"/>
  <c r="J1106" i="2" s="1"/>
  <c r="H1107" i="2"/>
  <c r="I1107" i="2" s="1"/>
  <c r="J1107" i="2" s="1"/>
  <c r="H1108" i="2"/>
  <c r="I1108" i="2" s="1"/>
  <c r="J1108" i="2" s="1"/>
  <c r="H1109" i="2"/>
  <c r="I1109" i="2" s="1"/>
  <c r="J1109" i="2" s="1"/>
  <c r="H1110" i="2"/>
  <c r="I1110" i="2" s="1"/>
  <c r="J1110" i="2" s="1"/>
  <c r="H1111" i="2"/>
  <c r="I1111" i="2" s="1"/>
  <c r="J1111" i="2" s="1"/>
  <c r="H1112" i="2"/>
  <c r="I1112" i="2" s="1"/>
  <c r="J1112" i="2" s="1"/>
  <c r="H1113" i="2"/>
  <c r="I1113" i="2" s="1"/>
  <c r="J1113" i="2" s="1"/>
  <c r="H1114" i="2"/>
  <c r="I1114" i="2" s="1"/>
  <c r="J1114" i="2" s="1"/>
  <c r="H1115" i="2"/>
  <c r="I1115" i="2" s="1"/>
  <c r="J1115" i="2" s="1"/>
  <c r="H1116" i="2"/>
  <c r="I1116" i="2" s="1"/>
  <c r="J1116" i="2" s="1"/>
  <c r="H1117" i="2"/>
  <c r="I1117" i="2" s="1"/>
  <c r="J1117" i="2" s="1"/>
  <c r="H1118" i="2"/>
  <c r="I1118" i="2" s="1"/>
  <c r="J1118" i="2" s="1"/>
  <c r="H1119" i="2"/>
  <c r="I1119" i="2" s="1"/>
  <c r="J1119" i="2" s="1"/>
  <c r="H1120" i="2"/>
  <c r="I1120" i="2" s="1"/>
  <c r="J1120" i="2" s="1"/>
  <c r="H1121" i="2"/>
  <c r="I1121" i="2" s="1"/>
  <c r="J1121" i="2" s="1"/>
  <c r="H1122" i="2"/>
  <c r="I1122" i="2" s="1"/>
  <c r="J1122" i="2" s="1"/>
  <c r="H1123" i="2"/>
  <c r="I1123" i="2" s="1"/>
  <c r="J1123" i="2" s="1"/>
  <c r="H1124" i="2"/>
  <c r="I1124" i="2" s="1"/>
  <c r="J1124" i="2" s="1"/>
  <c r="H1125" i="2"/>
  <c r="I1125" i="2" s="1"/>
  <c r="J1125" i="2" s="1"/>
  <c r="H1126" i="2"/>
  <c r="I1126" i="2" s="1"/>
  <c r="J1126" i="2" s="1"/>
  <c r="H1127" i="2"/>
  <c r="I1127" i="2" s="1"/>
  <c r="J1127" i="2" s="1"/>
  <c r="H1128" i="2"/>
  <c r="I1128" i="2" s="1"/>
  <c r="J1128" i="2" s="1"/>
  <c r="H1129" i="2"/>
  <c r="I1129" i="2" s="1"/>
  <c r="J1129" i="2" s="1"/>
  <c r="H1130" i="2"/>
  <c r="I1130" i="2" s="1"/>
  <c r="J1130" i="2" s="1"/>
  <c r="H1131" i="2"/>
  <c r="I1131" i="2" s="1"/>
  <c r="J1131" i="2" s="1"/>
  <c r="H1132" i="2"/>
  <c r="I1132" i="2" s="1"/>
  <c r="J1132" i="2" s="1"/>
  <c r="H1133" i="2"/>
  <c r="I1133" i="2" s="1"/>
  <c r="J1133" i="2" s="1"/>
  <c r="H1134" i="2"/>
  <c r="I1134" i="2" s="1"/>
  <c r="J1134" i="2" s="1"/>
  <c r="H1135" i="2"/>
  <c r="I1135" i="2" s="1"/>
  <c r="J1135" i="2" s="1"/>
  <c r="H1136" i="2"/>
  <c r="I1136" i="2" s="1"/>
  <c r="J1136" i="2" s="1"/>
  <c r="H1137" i="2"/>
  <c r="I1137" i="2" s="1"/>
  <c r="J1137" i="2" s="1"/>
  <c r="H1138" i="2"/>
  <c r="I1138" i="2" s="1"/>
  <c r="J1138" i="2" s="1"/>
  <c r="H1139" i="2"/>
  <c r="I1139" i="2" s="1"/>
  <c r="J1139" i="2" s="1"/>
  <c r="H1140" i="2"/>
  <c r="I1140" i="2" s="1"/>
  <c r="J1140" i="2" s="1"/>
  <c r="H1141" i="2"/>
  <c r="I1141" i="2" s="1"/>
  <c r="J1141" i="2" s="1"/>
  <c r="H1142" i="2"/>
  <c r="I1142" i="2" s="1"/>
  <c r="J1142" i="2" s="1"/>
  <c r="H1143" i="2"/>
  <c r="I1143" i="2" s="1"/>
  <c r="J1143" i="2" s="1"/>
  <c r="H1144" i="2"/>
  <c r="I1144" i="2" s="1"/>
  <c r="J1144" i="2" s="1"/>
  <c r="H1145" i="2"/>
  <c r="I1145" i="2" s="1"/>
  <c r="J1145" i="2" s="1"/>
  <c r="H1146" i="2"/>
  <c r="I1146" i="2" s="1"/>
  <c r="J1146" i="2" s="1"/>
  <c r="H1147" i="2"/>
  <c r="I1147" i="2" s="1"/>
  <c r="J1147" i="2" s="1"/>
  <c r="H1148" i="2"/>
  <c r="I1148" i="2" s="1"/>
  <c r="J1148" i="2" s="1"/>
  <c r="H1149" i="2"/>
  <c r="I1149" i="2" s="1"/>
  <c r="J1149" i="2" s="1"/>
  <c r="H1150" i="2"/>
  <c r="I1150" i="2" s="1"/>
  <c r="J1150" i="2" s="1"/>
  <c r="H1151" i="2"/>
  <c r="I1151" i="2" s="1"/>
  <c r="J1151" i="2" s="1"/>
  <c r="H1152" i="2"/>
  <c r="I1152" i="2" s="1"/>
  <c r="J1152" i="2" s="1"/>
  <c r="H1153" i="2"/>
  <c r="I1153" i="2" s="1"/>
  <c r="J1153" i="2" s="1"/>
  <c r="H1154" i="2"/>
  <c r="I1154" i="2" s="1"/>
  <c r="J1154" i="2" s="1"/>
  <c r="H1155" i="2"/>
  <c r="I1155" i="2" s="1"/>
  <c r="J1155" i="2" s="1"/>
  <c r="H1156" i="2"/>
  <c r="I1156" i="2" s="1"/>
  <c r="J1156" i="2" s="1"/>
  <c r="H1157" i="2"/>
  <c r="I1157" i="2" s="1"/>
  <c r="J1157" i="2" s="1"/>
  <c r="H1158" i="2"/>
  <c r="I1158" i="2" s="1"/>
  <c r="J1158" i="2" s="1"/>
  <c r="H1159" i="2"/>
  <c r="I1159" i="2" s="1"/>
  <c r="J1159" i="2" s="1"/>
  <c r="H1160" i="2"/>
  <c r="I1160" i="2" s="1"/>
  <c r="J1160" i="2" s="1"/>
  <c r="H1161" i="2"/>
  <c r="I1161" i="2" s="1"/>
  <c r="J1161" i="2" s="1"/>
  <c r="H1162" i="2"/>
  <c r="I1162" i="2" s="1"/>
  <c r="J1162" i="2" s="1"/>
  <c r="H1163" i="2"/>
  <c r="I1163" i="2" s="1"/>
  <c r="J1163" i="2" s="1"/>
  <c r="H1164" i="2"/>
  <c r="I1164" i="2" s="1"/>
  <c r="J1164" i="2" s="1"/>
  <c r="H1165" i="2"/>
  <c r="I1165" i="2" s="1"/>
  <c r="J1165" i="2" s="1"/>
  <c r="H1166" i="2"/>
  <c r="I1166" i="2" s="1"/>
  <c r="J1166" i="2" s="1"/>
  <c r="H1167" i="2"/>
  <c r="I1167" i="2" s="1"/>
  <c r="J1167" i="2" s="1"/>
  <c r="H1168" i="2"/>
  <c r="I1168" i="2" s="1"/>
  <c r="J1168" i="2" s="1"/>
  <c r="H1169" i="2"/>
  <c r="I1169" i="2" s="1"/>
  <c r="J1169" i="2" s="1"/>
  <c r="H1170" i="2"/>
  <c r="I1170" i="2" s="1"/>
  <c r="J1170" i="2" s="1"/>
  <c r="H1171" i="2"/>
  <c r="I1171" i="2" s="1"/>
  <c r="J1171" i="2" s="1"/>
  <c r="H1172" i="2"/>
  <c r="I1172" i="2" s="1"/>
  <c r="J1172" i="2" s="1"/>
  <c r="H1173" i="2"/>
  <c r="I1173" i="2" s="1"/>
  <c r="J1173" i="2" s="1"/>
  <c r="H1174" i="2"/>
  <c r="I1174" i="2" s="1"/>
  <c r="J1174" i="2" s="1"/>
  <c r="H1175" i="2"/>
  <c r="I1175" i="2" s="1"/>
  <c r="J1175" i="2" s="1"/>
  <c r="H1176" i="2"/>
  <c r="I1176" i="2" s="1"/>
  <c r="J1176" i="2" s="1"/>
  <c r="H1177" i="2"/>
  <c r="I1177" i="2" s="1"/>
  <c r="J1177" i="2" s="1"/>
  <c r="H1178" i="2"/>
  <c r="I1178" i="2" s="1"/>
  <c r="J1178" i="2" s="1"/>
  <c r="H1179" i="2"/>
  <c r="I1179" i="2" s="1"/>
  <c r="J1179" i="2" s="1"/>
  <c r="H1180" i="2"/>
  <c r="I1180" i="2" s="1"/>
  <c r="J1180" i="2" s="1"/>
  <c r="H1181" i="2"/>
  <c r="I1181" i="2" s="1"/>
  <c r="J1181" i="2" s="1"/>
  <c r="H1182" i="2"/>
  <c r="I1182" i="2" s="1"/>
  <c r="J1182" i="2" s="1"/>
  <c r="H1183" i="2"/>
  <c r="I1183" i="2" s="1"/>
  <c r="J1183" i="2" s="1"/>
  <c r="H1184" i="2"/>
  <c r="I1184" i="2" s="1"/>
  <c r="J1184" i="2" s="1"/>
  <c r="H1185" i="2"/>
  <c r="I1185" i="2" s="1"/>
  <c r="J1185" i="2" s="1"/>
  <c r="H1186" i="2"/>
  <c r="I1186" i="2" s="1"/>
  <c r="J1186" i="2" s="1"/>
  <c r="H1187" i="2"/>
  <c r="I1187" i="2" s="1"/>
  <c r="J1187" i="2" s="1"/>
  <c r="H1188" i="2"/>
  <c r="I1188" i="2" s="1"/>
  <c r="J1188" i="2" s="1"/>
  <c r="H1189" i="2"/>
  <c r="I1189" i="2" s="1"/>
  <c r="J1189" i="2" s="1"/>
  <c r="H1190" i="2"/>
  <c r="I1190" i="2" s="1"/>
  <c r="J1190" i="2" s="1"/>
  <c r="H1191" i="2"/>
  <c r="I1191" i="2" s="1"/>
  <c r="J1191" i="2" s="1"/>
  <c r="H1192" i="2"/>
  <c r="I1192" i="2" s="1"/>
  <c r="J1192" i="2" s="1"/>
  <c r="H1193" i="2"/>
  <c r="I1193" i="2" s="1"/>
  <c r="J1193" i="2" s="1"/>
  <c r="H1194" i="2"/>
  <c r="I1194" i="2" s="1"/>
  <c r="J1194" i="2" s="1"/>
  <c r="H1195" i="2"/>
  <c r="I1195" i="2" s="1"/>
  <c r="J1195" i="2" s="1"/>
  <c r="H1196" i="2"/>
  <c r="I1196" i="2" s="1"/>
  <c r="J1196" i="2" s="1"/>
  <c r="H1197" i="2"/>
  <c r="I1197" i="2" s="1"/>
  <c r="J1197" i="2" s="1"/>
  <c r="H1198" i="2"/>
  <c r="I1198" i="2" s="1"/>
  <c r="J1198" i="2" s="1"/>
  <c r="H1199" i="2"/>
  <c r="I1199" i="2" s="1"/>
  <c r="J1199" i="2" s="1"/>
  <c r="H1200" i="2"/>
  <c r="I1200" i="2" s="1"/>
  <c r="J1200" i="2" s="1"/>
  <c r="H1201" i="2"/>
  <c r="I1201" i="2" s="1"/>
  <c r="J1201" i="2" s="1"/>
  <c r="H1202" i="2"/>
  <c r="I1202" i="2" s="1"/>
  <c r="J1202" i="2" s="1"/>
  <c r="H1203" i="2"/>
  <c r="I1203" i="2" s="1"/>
  <c r="J1203" i="2" s="1"/>
  <c r="H1204" i="2"/>
  <c r="I1204" i="2" s="1"/>
  <c r="J1204" i="2" s="1"/>
  <c r="H1205" i="2"/>
  <c r="I1205" i="2" s="1"/>
  <c r="J1205" i="2" s="1"/>
  <c r="H1206" i="2"/>
  <c r="I1206" i="2" s="1"/>
  <c r="J1206" i="2" s="1"/>
  <c r="H1207" i="2"/>
  <c r="I1207" i="2" s="1"/>
  <c r="J1207" i="2" s="1"/>
  <c r="H1208" i="2"/>
  <c r="I1208" i="2" s="1"/>
  <c r="J1208" i="2" s="1"/>
  <c r="H1209" i="2"/>
  <c r="I1209" i="2" s="1"/>
  <c r="J1209" i="2" s="1"/>
  <c r="H1210" i="2"/>
  <c r="I1210" i="2" s="1"/>
  <c r="J1210" i="2" s="1"/>
  <c r="H1211" i="2"/>
  <c r="I1211" i="2" s="1"/>
  <c r="J1211" i="2" s="1"/>
  <c r="H1212" i="2"/>
  <c r="I1212" i="2" s="1"/>
  <c r="J1212" i="2" s="1"/>
  <c r="H1213" i="2"/>
  <c r="I1213" i="2" s="1"/>
  <c r="J1213" i="2" s="1"/>
  <c r="H1214" i="2"/>
  <c r="I1214" i="2" s="1"/>
  <c r="J1214" i="2" s="1"/>
  <c r="H1215" i="2"/>
  <c r="I1215" i="2" s="1"/>
  <c r="J1215" i="2" s="1"/>
  <c r="H1216" i="2"/>
  <c r="I1216" i="2" s="1"/>
  <c r="J1216" i="2" s="1"/>
  <c r="H1217" i="2"/>
  <c r="I1217" i="2" s="1"/>
  <c r="J1217" i="2" s="1"/>
  <c r="H1218" i="2"/>
  <c r="I1218" i="2" s="1"/>
  <c r="J1218" i="2" s="1"/>
  <c r="H1219" i="2"/>
  <c r="I1219" i="2" s="1"/>
  <c r="J1219" i="2" s="1"/>
  <c r="H1220" i="2"/>
  <c r="I1220" i="2" s="1"/>
  <c r="J1220" i="2" s="1"/>
  <c r="H1221" i="2"/>
  <c r="I1221" i="2" s="1"/>
  <c r="J1221" i="2" s="1"/>
  <c r="H1222" i="2"/>
  <c r="I1222" i="2" s="1"/>
  <c r="J1222" i="2" s="1"/>
  <c r="H1223" i="2"/>
  <c r="I1223" i="2" s="1"/>
  <c r="J1223" i="2" s="1"/>
  <c r="H1224" i="2"/>
  <c r="I1224" i="2" s="1"/>
  <c r="J1224" i="2" s="1"/>
  <c r="H1225" i="2"/>
  <c r="I1225" i="2" s="1"/>
  <c r="J1225" i="2" s="1"/>
  <c r="H1226" i="2"/>
  <c r="I1226" i="2" s="1"/>
  <c r="J1226" i="2" s="1"/>
  <c r="H1227" i="2"/>
  <c r="I1227" i="2" s="1"/>
  <c r="J1227" i="2" s="1"/>
  <c r="H1228" i="2"/>
  <c r="I1228" i="2" s="1"/>
  <c r="J1228" i="2" s="1"/>
  <c r="H1229" i="2"/>
  <c r="I1229" i="2" s="1"/>
  <c r="J1229" i="2" s="1"/>
  <c r="H1230" i="2"/>
  <c r="I1230" i="2" s="1"/>
  <c r="J1230" i="2" s="1"/>
  <c r="H1231" i="2"/>
  <c r="I1231" i="2" s="1"/>
  <c r="J1231" i="2" s="1"/>
  <c r="H1232" i="2"/>
  <c r="I1232" i="2" s="1"/>
  <c r="J1232" i="2" s="1"/>
  <c r="H1233" i="2"/>
  <c r="I1233" i="2" s="1"/>
  <c r="J1233" i="2" s="1"/>
  <c r="H1234" i="2"/>
  <c r="I1234" i="2" s="1"/>
  <c r="J1234" i="2" s="1"/>
  <c r="H1235" i="2"/>
  <c r="I1235" i="2" s="1"/>
  <c r="J1235" i="2" s="1"/>
  <c r="H1236" i="2"/>
  <c r="I1236" i="2" s="1"/>
  <c r="J1236" i="2" s="1"/>
  <c r="H1237" i="2"/>
  <c r="I1237" i="2" s="1"/>
  <c r="J1237" i="2" s="1"/>
  <c r="H1238" i="2"/>
  <c r="I1238" i="2" s="1"/>
  <c r="J1238" i="2" s="1"/>
  <c r="H1239" i="2"/>
  <c r="I1239" i="2" s="1"/>
  <c r="J1239" i="2" s="1"/>
  <c r="H1240" i="2"/>
  <c r="I1240" i="2" s="1"/>
  <c r="J1240" i="2" s="1"/>
  <c r="H1241" i="2"/>
  <c r="I1241" i="2" s="1"/>
  <c r="J1241" i="2" s="1"/>
  <c r="H1242" i="2"/>
  <c r="I1242" i="2" s="1"/>
  <c r="J1242" i="2" s="1"/>
  <c r="H1243" i="2"/>
  <c r="I1243" i="2" s="1"/>
  <c r="J1243" i="2" s="1"/>
  <c r="H1244" i="2"/>
  <c r="I1244" i="2" s="1"/>
  <c r="J1244" i="2" s="1"/>
  <c r="H1245" i="2"/>
  <c r="I1245" i="2" s="1"/>
  <c r="J1245" i="2" s="1"/>
  <c r="H1246" i="2"/>
  <c r="I1246" i="2" s="1"/>
  <c r="J1246" i="2" s="1"/>
  <c r="H1247" i="2"/>
  <c r="I1247" i="2" s="1"/>
  <c r="J1247" i="2" s="1"/>
  <c r="H1248" i="2"/>
  <c r="I1248" i="2" s="1"/>
  <c r="J1248" i="2" s="1"/>
  <c r="H1249" i="2"/>
  <c r="I1249" i="2" s="1"/>
  <c r="J1249" i="2" s="1"/>
  <c r="H1250" i="2"/>
  <c r="I1250" i="2" s="1"/>
  <c r="J1250" i="2" s="1"/>
  <c r="H1251" i="2"/>
  <c r="I1251" i="2" s="1"/>
  <c r="J1251" i="2" s="1"/>
  <c r="H1252" i="2"/>
  <c r="I1252" i="2" s="1"/>
  <c r="J1252" i="2" s="1"/>
  <c r="H1253" i="2"/>
  <c r="I1253" i="2" s="1"/>
  <c r="J1253" i="2" s="1"/>
  <c r="H1254" i="2"/>
  <c r="I1254" i="2" s="1"/>
  <c r="J1254" i="2" s="1"/>
  <c r="H1255" i="2"/>
  <c r="I1255" i="2" s="1"/>
  <c r="J1255" i="2" s="1"/>
  <c r="H1256" i="2"/>
  <c r="I1256" i="2" s="1"/>
  <c r="J1256" i="2" s="1"/>
  <c r="H1257" i="2"/>
  <c r="I1257" i="2" s="1"/>
  <c r="J1257" i="2" s="1"/>
  <c r="H1258" i="2"/>
  <c r="I1258" i="2" s="1"/>
  <c r="J1258" i="2" s="1"/>
  <c r="H1259" i="2"/>
  <c r="I1259" i="2" s="1"/>
  <c r="J1259" i="2" s="1"/>
  <c r="H1260" i="2"/>
  <c r="I1260" i="2" s="1"/>
  <c r="J1260" i="2" s="1"/>
  <c r="H1261" i="2"/>
  <c r="I1261" i="2" s="1"/>
  <c r="J1261" i="2" s="1"/>
  <c r="H1262" i="2"/>
  <c r="I1262" i="2" s="1"/>
  <c r="J1262" i="2" s="1"/>
  <c r="H1263" i="2"/>
  <c r="I1263" i="2" s="1"/>
  <c r="J1263" i="2" s="1"/>
  <c r="H1264" i="2"/>
  <c r="I1264" i="2" s="1"/>
  <c r="J1264" i="2" s="1"/>
  <c r="H1265" i="2"/>
  <c r="I1265" i="2" s="1"/>
  <c r="J1265" i="2" s="1"/>
  <c r="H1266" i="2"/>
  <c r="I1266" i="2" s="1"/>
  <c r="J1266" i="2" s="1"/>
  <c r="H1267" i="2"/>
  <c r="I1267" i="2" s="1"/>
  <c r="J1267" i="2" s="1"/>
  <c r="H1268" i="2"/>
  <c r="I1268" i="2" s="1"/>
  <c r="J1268" i="2" s="1"/>
  <c r="H1269" i="2"/>
  <c r="I1269" i="2" s="1"/>
  <c r="J1269" i="2" s="1"/>
  <c r="H1270" i="2"/>
  <c r="I1270" i="2" s="1"/>
  <c r="J1270" i="2" s="1"/>
  <c r="H1271" i="2"/>
  <c r="I1271" i="2" s="1"/>
  <c r="J1271" i="2" s="1"/>
  <c r="H1272" i="2"/>
  <c r="I1272" i="2" s="1"/>
  <c r="J1272" i="2" s="1"/>
  <c r="H1273" i="2"/>
  <c r="I1273" i="2" s="1"/>
  <c r="J1273" i="2" s="1"/>
  <c r="H1274" i="2"/>
  <c r="I1274" i="2" s="1"/>
  <c r="J1274" i="2" s="1"/>
  <c r="H1275" i="2"/>
  <c r="I1275" i="2" s="1"/>
  <c r="J1275" i="2" s="1"/>
  <c r="H1276" i="2"/>
  <c r="I1276" i="2" s="1"/>
  <c r="J1276" i="2" s="1"/>
  <c r="H1277" i="2"/>
  <c r="I1277" i="2" s="1"/>
  <c r="J1277" i="2" s="1"/>
  <c r="H1278" i="2"/>
  <c r="I1278" i="2" s="1"/>
  <c r="J1278" i="2" s="1"/>
  <c r="H1279" i="2"/>
  <c r="I1279" i="2" s="1"/>
  <c r="J1279" i="2" s="1"/>
  <c r="H1280" i="2"/>
  <c r="I1280" i="2" s="1"/>
  <c r="J1280" i="2" s="1"/>
  <c r="H1281" i="2"/>
  <c r="I1281" i="2" s="1"/>
  <c r="J1281" i="2" s="1"/>
  <c r="H1282" i="2"/>
  <c r="I1282" i="2" s="1"/>
  <c r="J1282" i="2" s="1"/>
  <c r="H1283" i="2"/>
  <c r="I1283" i="2" s="1"/>
  <c r="J1283" i="2" s="1"/>
  <c r="H1284" i="2"/>
  <c r="I1284" i="2" s="1"/>
  <c r="J1284" i="2" s="1"/>
  <c r="H1285" i="2"/>
  <c r="I1285" i="2" s="1"/>
  <c r="J1285" i="2" s="1"/>
  <c r="H1286" i="2"/>
  <c r="I1286" i="2" s="1"/>
  <c r="J1286" i="2" s="1"/>
  <c r="H1287" i="2"/>
  <c r="I1287" i="2" s="1"/>
  <c r="J1287" i="2" s="1"/>
  <c r="H1288" i="2"/>
  <c r="I1288" i="2" s="1"/>
  <c r="J1288" i="2" s="1"/>
  <c r="H1289" i="2"/>
  <c r="I1289" i="2" s="1"/>
  <c r="J1289" i="2" s="1"/>
  <c r="H1290" i="2"/>
  <c r="I1290" i="2" s="1"/>
  <c r="J1290" i="2" s="1"/>
  <c r="H1291" i="2"/>
  <c r="I1291" i="2" s="1"/>
  <c r="J1291" i="2" s="1"/>
  <c r="H1292" i="2"/>
  <c r="I1292" i="2" s="1"/>
  <c r="J1292" i="2" s="1"/>
  <c r="H1293" i="2"/>
  <c r="I1293" i="2" s="1"/>
  <c r="J1293" i="2" s="1"/>
  <c r="H1294" i="2"/>
  <c r="I1294" i="2" s="1"/>
  <c r="J1294" i="2" s="1"/>
  <c r="H1295" i="2"/>
  <c r="I1295" i="2" s="1"/>
  <c r="J1295" i="2" s="1"/>
  <c r="H1296" i="2"/>
  <c r="I1296" i="2" s="1"/>
  <c r="J1296" i="2" s="1"/>
  <c r="H1297" i="2"/>
  <c r="I1297" i="2" s="1"/>
  <c r="J1297" i="2" s="1"/>
  <c r="H1298" i="2"/>
  <c r="I1298" i="2" s="1"/>
  <c r="J1298" i="2" s="1"/>
  <c r="H1299" i="2"/>
  <c r="I1299" i="2" s="1"/>
  <c r="J1299" i="2" s="1"/>
  <c r="H1300" i="2"/>
  <c r="I1300" i="2" s="1"/>
  <c r="J1300" i="2" s="1"/>
  <c r="H1301" i="2"/>
  <c r="I1301" i="2" s="1"/>
  <c r="J1301" i="2" s="1"/>
  <c r="H1302" i="2"/>
  <c r="I1302" i="2" s="1"/>
  <c r="J1302" i="2" s="1"/>
  <c r="H1303" i="2"/>
  <c r="I1303" i="2" s="1"/>
  <c r="J1303" i="2" s="1"/>
  <c r="H1304" i="2"/>
  <c r="I1304" i="2" s="1"/>
  <c r="J1304" i="2" s="1"/>
  <c r="H1305" i="2"/>
  <c r="I1305" i="2" s="1"/>
  <c r="J1305" i="2" s="1"/>
  <c r="H1306" i="2"/>
  <c r="I1306" i="2" s="1"/>
  <c r="J1306" i="2" s="1"/>
  <c r="H1307" i="2"/>
  <c r="I1307" i="2" s="1"/>
  <c r="J1307" i="2" s="1"/>
  <c r="H1308" i="2"/>
  <c r="I1308" i="2" s="1"/>
  <c r="J1308" i="2" s="1"/>
  <c r="H1309" i="2"/>
  <c r="I1309" i="2" s="1"/>
  <c r="J1309" i="2" s="1"/>
  <c r="H1310" i="2"/>
  <c r="I1310" i="2" s="1"/>
  <c r="J1310" i="2" s="1"/>
  <c r="H1311" i="2"/>
  <c r="I1311" i="2" s="1"/>
  <c r="J1311" i="2" s="1"/>
  <c r="H1312" i="2"/>
  <c r="I1312" i="2" s="1"/>
  <c r="J1312" i="2" s="1"/>
  <c r="H1313" i="2"/>
  <c r="I1313" i="2" s="1"/>
  <c r="J1313" i="2" s="1"/>
  <c r="H1314" i="2"/>
  <c r="I1314" i="2" s="1"/>
  <c r="J1314" i="2" s="1"/>
  <c r="H1315" i="2"/>
  <c r="I1315" i="2" s="1"/>
  <c r="J1315" i="2" s="1"/>
  <c r="H1316" i="2"/>
  <c r="I1316" i="2" s="1"/>
  <c r="J1316" i="2" s="1"/>
  <c r="H1317" i="2"/>
  <c r="I1317" i="2" s="1"/>
  <c r="J1317" i="2" s="1"/>
  <c r="H1318" i="2"/>
  <c r="I1318" i="2" s="1"/>
  <c r="J1318" i="2" s="1"/>
  <c r="H1319" i="2"/>
  <c r="I1319" i="2" s="1"/>
  <c r="J1319" i="2" s="1"/>
  <c r="H1320" i="2"/>
  <c r="I1320" i="2" s="1"/>
  <c r="J1320" i="2" s="1"/>
  <c r="H1321" i="2"/>
  <c r="I1321" i="2" s="1"/>
  <c r="J1321" i="2" s="1"/>
  <c r="H1322" i="2"/>
  <c r="I1322" i="2" s="1"/>
  <c r="J1322" i="2" s="1"/>
  <c r="H1323" i="2"/>
  <c r="I1323" i="2" s="1"/>
  <c r="J1323" i="2" s="1"/>
  <c r="H1324" i="2"/>
  <c r="I1324" i="2" s="1"/>
  <c r="J1324" i="2" s="1"/>
  <c r="H1325" i="2"/>
  <c r="I1325" i="2" s="1"/>
  <c r="J1325" i="2" s="1"/>
  <c r="H1326" i="2"/>
  <c r="I1326" i="2" s="1"/>
  <c r="J1326" i="2" s="1"/>
  <c r="H1327" i="2"/>
  <c r="I1327" i="2" s="1"/>
  <c r="J1327" i="2" s="1"/>
  <c r="H1328" i="2"/>
  <c r="I1328" i="2" s="1"/>
  <c r="J1328" i="2" s="1"/>
  <c r="H1329" i="2"/>
  <c r="I1329" i="2" s="1"/>
  <c r="J1329" i="2" s="1"/>
  <c r="H1330" i="2"/>
  <c r="I1330" i="2" s="1"/>
  <c r="J1330" i="2" s="1"/>
  <c r="H1331" i="2"/>
  <c r="I1331" i="2" s="1"/>
  <c r="J1331" i="2" s="1"/>
  <c r="H1332" i="2"/>
  <c r="I1332" i="2" s="1"/>
  <c r="J1332" i="2" s="1"/>
  <c r="H1333" i="2"/>
  <c r="I1333" i="2" s="1"/>
  <c r="J1333" i="2" s="1"/>
  <c r="H1334" i="2"/>
  <c r="I1334" i="2" s="1"/>
  <c r="J1334" i="2" s="1"/>
  <c r="H1335" i="2"/>
  <c r="I1335" i="2" s="1"/>
  <c r="J1335" i="2" s="1"/>
  <c r="H1336" i="2"/>
  <c r="I1336" i="2" s="1"/>
  <c r="J1336" i="2" s="1"/>
  <c r="H1337" i="2"/>
  <c r="I1337" i="2" s="1"/>
  <c r="J1337" i="2" s="1"/>
  <c r="H1338" i="2"/>
  <c r="I1338" i="2" s="1"/>
  <c r="J1338" i="2" s="1"/>
  <c r="H1339" i="2"/>
  <c r="I1339" i="2" s="1"/>
  <c r="J1339" i="2" s="1"/>
  <c r="H1340" i="2"/>
  <c r="I1340" i="2" s="1"/>
  <c r="J1340" i="2" s="1"/>
  <c r="H1341" i="2"/>
  <c r="I1341" i="2" s="1"/>
  <c r="J1341" i="2" s="1"/>
  <c r="H1342" i="2"/>
  <c r="I1342" i="2" s="1"/>
  <c r="J1342" i="2" s="1"/>
  <c r="H1343" i="2"/>
  <c r="I1343" i="2" s="1"/>
  <c r="J1343" i="2" s="1"/>
  <c r="H1344" i="2"/>
  <c r="I1344" i="2" s="1"/>
  <c r="J1344" i="2" s="1"/>
  <c r="H1345" i="2"/>
  <c r="I1345" i="2" s="1"/>
  <c r="J1345" i="2" s="1"/>
  <c r="H1346" i="2"/>
  <c r="I1346" i="2" s="1"/>
  <c r="J1346" i="2" s="1"/>
  <c r="H1347" i="2"/>
  <c r="I1347" i="2" s="1"/>
  <c r="J1347" i="2" s="1"/>
  <c r="H1348" i="2"/>
  <c r="I1348" i="2" s="1"/>
  <c r="J1348" i="2" s="1"/>
  <c r="H1349" i="2"/>
  <c r="I1349" i="2" s="1"/>
  <c r="J1349" i="2" s="1"/>
  <c r="H1350" i="2"/>
  <c r="I1350" i="2" s="1"/>
  <c r="J1350" i="2" s="1"/>
  <c r="H1351" i="2"/>
  <c r="I1351" i="2" s="1"/>
  <c r="J1351" i="2" s="1"/>
  <c r="H1352" i="2"/>
  <c r="I1352" i="2" s="1"/>
  <c r="J1352" i="2" s="1"/>
  <c r="H1353" i="2"/>
  <c r="I1353" i="2" s="1"/>
  <c r="J1353" i="2" s="1"/>
  <c r="H1354" i="2"/>
  <c r="I1354" i="2" s="1"/>
  <c r="J1354" i="2" s="1"/>
  <c r="H1355" i="2"/>
  <c r="I1355" i="2" s="1"/>
  <c r="J1355" i="2" s="1"/>
  <c r="H1356" i="2"/>
  <c r="I1356" i="2" s="1"/>
  <c r="J1356" i="2" s="1"/>
  <c r="H1357" i="2"/>
  <c r="I1357" i="2" s="1"/>
  <c r="J1357" i="2" s="1"/>
  <c r="H1358" i="2"/>
  <c r="I1358" i="2" s="1"/>
  <c r="J1358" i="2" s="1"/>
  <c r="H1359" i="2"/>
  <c r="I1359" i="2" s="1"/>
  <c r="J1359" i="2" s="1"/>
  <c r="H1360" i="2"/>
  <c r="I1360" i="2" s="1"/>
  <c r="J1360" i="2" s="1"/>
  <c r="H1361" i="2"/>
  <c r="I1361" i="2" s="1"/>
  <c r="J1361" i="2" s="1"/>
  <c r="H1362" i="2"/>
  <c r="I1362" i="2" s="1"/>
  <c r="J1362" i="2" s="1"/>
  <c r="H1363" i="2"/>
  <c r="I1363" i="2" s="1"/>
  <c r="J1363" i="2" s="1"/>
  <c r="H1364" i="2"/>
  <c r="I1364" i="2" s="1"/>
  <c r="J1364" i="2" s="1"/>
  <c r="H1365" i="2"/>
  <c r="I1365" i="2" s="1"/>
  <c r="J1365" i="2" s="1"/>
  <c r="H1366" i="2"/>
  <c r="I1366" i="2" s="1"/>
  <c r="J1366" i="2" s="1"/>
  <c r="H1367" i="2"/>
  <c r="I1367" i="2" s="1"/>
  <c r="J1367" i="2" s="1"/>
  <c r="H1368" i="2"/>
  <c r="I1368" i="2" s="1"/>
  <c r="J1368" i="2" s="1"/>
  <c r="H1369" i="2"/>
  <c r="I1369" i="2" s="1"/>
  <c r="J1369" i="2" s="1"/>
  <c r="H1370" i="2"/>
  <c r="I1370" i="2" s="1"/>
  <c r="J1370" i="2" s="1"/>
  <c r="H1371" i="2"/>
  <c r="I1371" i="2" s="1"/>
  <c r="J1371" i="2" s="1"/>
  <c r="H1372" i="2"/>
  <c r="I1372" i="2" s="1"/>
  <c r="J1372" i="2" s="1"/>
  <c r="H1373" i="2"/>
  <c r="I1373" i="2" s="1"/>
  <c r="J1373" i="2" s="1"/>
  <c r="H1374" i="2"/>
  <c r="I1374" i="2" s="1"/>
  <c r="J1374" i="2" s="1"/>
  <c r="H1375" i="2"/>
  <c r="I1375" i="2" s="1"/>
  <c r="J1375" i="2" s="1"/>
  <c r="H1376" i="2"/>
  <c r="I1376" i="2" s="1"/>
  <c r="J1376" i="2" s="1"/>
  <c r="H1377" i="2"/>
  <c r="I1377" i="2" s="1"/>
  <c r="J1377" i="2" s="1"/>
  <c r="H1378" i="2"/>
  <c r="I1378" i="2" s="1"/>
  <c r="J1378" i="2" s="1"/>
  <c r="H1379" i="2"/>
  <c r="I1379" i="2" s="1"/>
  <c r="J1379" i="2" s="1"/>
  <c r="H1380" i="2"/>
  <c r="I1380" i="2" s="1"/>
  <c r="J1380" i="2" s="1"/>
  <c r="H1381" i="2"/>
  <c r="I1381" i="2" s="1"/>
  <c r="J1381" i="2" s="1"/>
  <c r="H1382" i="2"/>
  <c r="I1382" i="2" s="1"/>
  <c r="J1382" i="2" s="1"/>
  <c r="H1383" i="2"/>
  <c r="I1383" i="2" s="1"/>
  <c r="J1383" i="2" s="1"/>
  <c r="H1384" i="2"/>
  <c r="I1384" i="2" s="1"/>
  <c r="J1384" i="2" s="1"/>
  <c r="H1385" i="2"/>
  <c r="I1385" i="2" s="1"/>
  <c r="J1385" i="2" s="1"/>
  <c r="H1386" i="2"/>
  <c r="I1386" i="2" s="1"/>
  <c r="J1386" i="2" s="1"/>
  <c r="H1387" i="2"/>
  <c r="I1387" i="2" s="1"/>
  <c r="J1387" i="2" s="1"/>
  <c r="H1388" i="2"/>
  <c r="I1388" i="2" s="1"/>
  <c r="J1388" i="2" s="1"/>
  <c r="H1389" i="2"/>
  <c r="I1389" i="2" s="1"/>
  <c r="J1389" i="2" s="1"/>
  <c r="H1390" i="2"/>
  <c r="I1390" i="2" s="1"/>
  <c r="J1390" i="2" s="1"/>
  <c r="H1391" i="2"/>
  <c r="I1391" i="2" s="1"/>
  <c r="J1391" i="2" s="1"/>
  <c r="H1392" i="2"/>
  <c r="I1392" i="2" s="1"/>
  <c r="J1392" i="2" s="1"/>
  <c r="H1393" i="2"/>
  <c r="I1393" i="2" s="1"/>
  <c r="J1393" i="2" s="1"/>
  <c r="H1394" i="2"/>
  <c r="I1394" i="2" s="1"/>
  <c r="J1394" i="2" s="1"/>
  <c r="H1395" i="2"/>
  <c r="I1395" i="2" s="1"/>
  <c r="J1395" i="2" s="1"/>
  <c r="H1396" i="2"/>
  <c r="I1396" i="2" s="1"/>
  <c r="J1396" i="2" s="1"/>
  <c r="H1397" i="2"/>
  <c r="I1397" i="2" s="1"/>
  <c r="J1397" i="2" s="1"/>
  <c r="H1398" i="2"/>
  <c r="I1398" i="2" s="1"/>
  <c r="J1398" i="2" s="1"/>
  <c r="H1399" i="2"/>
  <c r="I1399" i="2" s="1"/>
  <c r="J1399" i="2" s="1"/>
  <c r="H1400" i="2"/>
  <c r="I1400" i="2" s="1"/>
  <c r="J1400" i="2" s="1"/>
  <c r="H1401" i="2"/>
  <c r="I1401" i="2" s="1"/>
  <c r="J1401" i="2" s="1"/>
  <c r="H1402" i="2"/>
  <c r="I1402" i="2" s="1"/>
  <c r="J1402" i="2" s="1"/>
  <c r="H1403" i="2"/>
  <c r="I1403" i="2" s="1"/>
  <c r="J1403" i="2" s="1"/>
  <c r="H1404" i="2"/>
  <c r="I1404" i="2" s="1"/>
  <c r="J1404" i="2" s="1"/>
  <c r="H1405" i="2"/>
  <c r="I1405" i="2" s="1"/>
  <c r="J1405" i="2" s="1"/>
  <c r="H1406" i="2"/>
  <c r="I1406" i="2" s="1"/>
  <c r="J1406" i="2" s="1"/>
  <c r="H1407" i="2"/>
  <c r="I1407" i="2" s="1"/>
  <c r="J1407" i="2" s="1"/>
  <c r="H1408" i="2"/>
  <c r="I1408" i="2" s="1"/>
  <c r="J1408" i="2" s="1"/>
  <c r="H1409" i="2"/>
  <c r="I1409" i="2" s="1"/>
  <c r="J1409" i="2" s="1"/>
  <c r="H1410" i="2"/>
  <c r="I1410" i="2" s="1"/>
  <c r="J1410" i="2" s="1"/>
  <c r="H1411" i="2"/>
  <c r="I1411" i="2" s="1"/>
  <c r="J1411" i="2" s="1"/>
  <c r="H1412" i="2"/>
  <c r="I1412" i="2" s="1"/>
  <c r="J1412" i="2" s="1"/>
  <c r="H1413" i="2"/>
  <c r="I1413" i="2" s="1"/>
  <c r="J1413" i="2" s="1"/>
  <c r="H1414" i="2"/>
  <c r="I1414" i="2" s="1"/>
  <c r="J1414" i="2" s="1"/>
  <c r="H1415" i="2"/>
  <c r="I1415" i="2" s="1"/>
  <c r="J1415" i="2" s="1"/>
  <c r="H1416" i="2"/>
  <c r="I1416" i="2" s="1"/>
  <c r="J1416" i="2" s="1"/>
  <c r="H1417" i="2"/>
  <c r="I1417" i="2" s="1"/>
  <c r="J1417" i="2" s="1"/>
  <c r="H1418" i="2"/>
  <c r="I1418" i="2" s="1"/>
  <c r="J1418" i="2" s="1"/>
  <c r="H1419" i="2"/>
  <c r="I1419" i="2" s="1"/>
  <c r="J1419" i="2" s="1"/>
  <c r="H1420" i="2"/>
  <c r="I1420" i="2" s="1"/>
  <c r="J1420" i="2" s="1"/>
  <c r="H1421" i="2"/>
  <c r="I1421" i="2" s="1"/>
  <c r="J1421" i="2" s="1"/>
  <c r="H1422" i="2"/>
  <c r="I1422" i="2" s="1"/>
  <c r="J1422" i="2" s="1"/>
  <c r="H1423" i="2"/>
  <c r="I1423" i="2" s="1"/>
  <c r="J1423" i="2" s="1"/>
  <c r="H1424" i="2"/>
  <c r="I1424" i="2" s="1"/>
  <c r="J1424" i="2" s="1"/>
  <c r="H1425" i="2"/>
  <c r="I1425" i="2" s="1"/>
  <c r="J1425" i="2" s="1"/>
  <c r="H1426" i="2"/>
  <c r="I1426" i="2" s="1"/>
  <c r="J1426" i="2" s="1"/>
  <c r="H1427" i="2"/>
  <c r="I1427" i="2" s="1"/>
  <c r="J1427" i="2" s="1"/>
  <c r="H1428" i="2"/>
  <c r="I1428" i="2" s="1"/>
  <c r="J1428" i="2" s="1"/>
  <c r="H1429" i="2"/>
  <c r="I1429" i="2" s="1"/>
  <c r="J1429" i="2" s="1"/>
  <c r="H1430" i="2"/>
  <c r="I1430" i="2" s="1"/>
  <c r="J1430" i="2" s="1"/>
  <c r="H1431" i="2"/>
  <c r="I1431" i="2" s="1"/>
  <c r="J1431" i="2" s="1"/>
  <c r="H1432" i="2"/>
  <c r="I1432" i="2" s="1"/>
  <c r="J1432" i="2" s="1"/>
  <c r="H1433" i="2"/>
  <c r="I1433" i="2" s="1"/>
  <c r="J1433" i="2" s="1"/>
  <c r="H1434" i="2"/>
  <c r="I1434" i="2" s="1"/>
  <c r="J1434" i="2" s="1"/>
  <c r="H1435" i="2"/>
  <c r="I1435" i="2" s="1"/>
  <c r="J1435" i="2" s="1"/>
  <c r="H1436" i="2"/>
  <c r="I1436" i="2" s="1"/>
  <c r="J1436" i="2" s="1"/>
  <c r="H1437" i="2"/>
  <c r="I1437" i="2" s="1"/>
  <c r="J1437" i="2" s="1"/>
  <c r="H1438" i="2"/>
  <c r="I1438" i="2" s="1"/>
  <c r="J1438" i="2" s="1"/>
  <c r="H1439" i="2"/>
  <c r="I1439" i="2" s="1"/>
  <c r="J1439" i="2" s="1"/>
  <c r="H1440" i="2"/>
  <c r="I1440" i="2" s="1"/>
  <c r="J1440" i="2" s="1"/>
  <c r="H1441" i="2"/>
  <c r="I1441" i="2" s="1"/>
  <c r="J1441" i="2" s="1"/>
  <c r="H1442" i="2"/>
  <c r="I1442" i="2" s="1"/>
  <c r="J1442" i="2" s="1"/>
  <c r="H1443" i="2"/>
  <c r="I1443" i="2" s="1"/>
  <c r="J1443" i="2" s="1"/>
  <c r="H1444" i="2"/>
  <c r="I1444" i="2" s="1"/>
  <c r="J1444" i="2" s="1"/>
  <c r="H1445" i="2"/>
  <c r="I1445" i="2" s="1"/>
  <c r="J1445" i="2" s="1"/>
  <c r="H1446" i="2"/>
  <c r="I1446" i="2" s="1"/>
  <c r="J1446" i="2" s="1"/>
  <c r="H1447" i="2"/>
  <c r="I1447" i="2" s="1"/>
  <c r="J1447" i="2" s="1"/>
  <c r="H1448" i="2"/>
  <c r="I1448" i="2" s="1"/>
  <c r="J1448" i="2" s="1"/>
  <c r="H1449" i="2"/>
  <c r="I1449" i="2" s="1"/>
  <c r="J1449" i="2" s="1"/>
  <c r="H1450" i="2"/>
  <c r="I1450" i="2" s="1"/>
  <c r="J1450" i="2" s="1"/>
  <c r="H1451" i="2"/>
  <c r="I1451" i="2" s="1"/>
  <c r="J1451" i="2" s="1"/>
  <c r="H1452" i="2"/>
  <c r="I1452" i="2" s="1"/>
  <c r="J1452" i="2" s="1"/>
  <c r="H1453" i="2"/>
  <c r="I1453" i="2" s="1"/>
  <c r="J1453" i="2" s="1"/>
  <c r="H1454" i="2"/>
  <c r="I1454" i="2" s="1"/>
  <c r="J1454" i="2" s="1"/>
  <c r="H1455" i="2"/>
  <c r="I1455" i="2" s="1"/>
  <c r="J1455" i="2" s="1"/>
  <c r="H1456" i="2"/>
  <c r="I1456" i="2" s="1"/>
  <c r="J1456" i="2" s="1"/>
  <c r="H1457" i="2"/>
  <c r="I1457" i="2" s="1"/>
  <c r="J1457" i="2" s="1"/>
  <c r="H1458" i="2"/>
  <c r="I1458" i="2" s="1"/>
  <c r="J1458" i="2" s="1"/>
  <c r="H1459" i="2"/>
  <c r="I1459" i="2" s="1"/>
  <c r="J1459" i="2" s="1"/>
  <c r="H1460" i="2"/>
  <c r="I1460" i="2" s="1"/>
  <c r="J1460" i="2" s="1"/>
  <c r="H1461" i="2"/>
  <c r="I1461" i="2" s="1"/>
  <c r="J1461" i="2" s="1"/>
  <c r="H1462" i="2"/>
  <c r="I1462" i="2" s="1"/>
  <c r="J1462" i="2" s="1"/>
  <c r="H1463" i="2"/>
  <c r="I1463" i="2" s="1"/>
  <c r="J1463" i="2" s="1"/>
  <c r="H1464" i="2"/>
  <c r="I1464" i="2" s="1"/>
  <c r="J1464" i="2" s="1"/>
  <c r="H1465" i="2"/>
  <c r="I1465" i="2" s="1"/>
  <c r="J1465" i="2" s="1"/>
  <c r="H1466" i="2"/>
  <c r="I1466" i="2" s="1"/>
  <c r="J1466" i="2" s="1"/>
  <c r="H1467" i="2"/>
  <c r="I1467" i="2" s="1"/>
  <c r="J1467" i="2" s="1"/>
  <c r="H1468" i="2"/>
  <c r="I1468" i="2" s="1"/>
  <c r="J1468" i="2" s="1"/>
  <c r="H1469" i="2"/>
  <c r="I1469" i="2" s="1"/>
  <c r="J1469" i="2" s="1"/>
  <c r="H1470" i="2"/>
  <c r="I1470" i="2" s="1"/>
  <c r="J1470" i="2" s="1"/>
  <c r="H1471" i="2"/>
  <c r="I1471" i="2" s="1"/>
  <c r="J1471" i="2" s="1"/>
  <c r="H1472" i="2"/>
  <c r="I1472" i="2" s="1"/>
  <c r="J1472" i="2" s="1"/>
  <c r="H1473" i="2"/>
  <c r="I1473" i="2" s="1"/>
  <c r="J1473" i="2" s="1"/>
  <c r="H1474" i="2"/>
  <c r="I1474" i="2" s="1"/>
  <c r="J1474" i="2" s="1"/>
  <c r="H1475" i="2"/>
  <c r="I1475" i="2" s="1"/>
  <c r="J1475" i="2" s="1"/>
  <c r="H1476" i="2"/>
  <c r="I1476" i="2" s="1"/>
  <c r="J1476" i="2" s="1"/>
  <c r="H1477" i="2"/>
  <c r="I1477" i="2" s="1"/>
  <c r="J1477" i="2" s="1"/>
  <c r="H1478" i="2"/>
  <c r="I1478" i="2" s="1"/>
  <c r="J1478" i="2" s="1"/>
  <c r="H1479" i="2"/>
  <c r="I1479" i="2" s="1"/>
  <c r="J1479" i="2" s="1"/>
  <c r="H1480" i="2"/>
  <c r="I1480" i="2" s="1"/>
  <c r="J1480" i="2" s="1"/>
  <c r="H1481" i="2"/>
  <c r="I1481" i="2" s="1"/>
  <c r="J1481" i="2" s="1"/>
  <c r="H1482" i="2"/>
  <c r="I1482" i="2" s="1"/>
  <c r="J1482" i="2" s="1"/>
  <c r="H1483" i="2"/>
  <c r="I1483" i="2" s="1"/>
  <c r="J1483" i="2" s="1"/>
  <c r="H1484" i="2"/>
  <c r="I1484" i="2" s="1"/>
  <c r="J1484" i="2" s="1"/>
  <c r="H1485" i="2"/>
  <c r="I1485" i="2" s="1"/>
  <c r="J1485" i="2" s="1"/>
  <c r="H1486" i="2"/>
  <c r="I1486" i="2" s="1"/>
  <c r="J1486" i="2" s="1"/>
  <c r="H1487" i="2"/>
  <c r="I1487" i="2" s="1"/>
  <c r="J1487" i="2" s="1"/>
  <c r="H1488" i="2"/>
  <c r="I1488" i="2" s="1"/>
  <c r="J1488" i="2" s="1"/>
  <c r="H1489" i="2"/>
  <c r="I1489" i="2" s="1"/>
  <c r="J1489" i="2" s="1"/>
  <c r="H1490" i="2"/>
  <c r="I1490" i="2" s="1"/>
  <c r="J1490" i="2" s="1"/>
  <c r="H1491" i="2"/>
  <c r="I1491" i="2" s="1"/>
  <c r="J1491" i="2" s="1"/>
  <c r="H1492" i="2"/>
  <c r="I1492" i="2" s="1"/>
  <c r="J1492" i="2" s="1"/>
  <c r="H1493" i="2"/>
  <c r="I1493" i="2" s="1"/>
  <c r="J1493" i="2" s="1"/>
  <c r="H1494" i="2"/>
  <c r="I1494" i="2" s="1"/>
  <c r="J1494" i="2" s="1"/>
  <c r="H1495" i="2"/>
  <c r="I1495" i="2" s="1"/>
  <c r="J1495" i="2" s="1"/>
  <c r="H1496" i="2"/>
  <c r="I1496" i="2" s="1"/>
  <c r="J1496" i="2" s="1"/>
  <c r="H1497" i="2"/>
  <c r="I1497" i="2" s="1"/>
  <c r="J1497" i="2" s="1"/>
  <c r="H1498" i="2"/>
  <c r="I1498" i="2" s="1"/>
  <c r="J1498" i="2" s="1"/>
  <c r="H1499" i="2"/>
  <c r="I1499" i="2" s="1"/>
  <c r="J1499" i="2" s="1"/>
  <c r="H1500" i="2"/>
  <c r="I1500" i="2" s="1"/>
  <c r="J1500" i="2" s="1"/>
  <c r="H1501" i="2"/>
  <c r="I1501" i="2" s="1"/>
  <c r="J1501" i="2" s="1"/>
  <c r="H1502" i="2"/>
  <c r="I1502" i="2" s="1"/>
  <c r="J1502" i="2" s="1"/>
  <c r="H1503" i="2"/>
  <c r="I1503" i="2" s="1"/>
  <c r="J1503" i="2" s="1"/>
  <c r="H1504" i="2"/>
  <c r="I1504" i="2" s="1"/>
  <c r="J1504" i="2" s="1"/>
  <c r="H1505" i="2"/>
  <c r="I1505" i="2" s="1"/>
  <c r="J1505" i="2" s="1"/>
  <c r="H1506" i="2"/>
  <c r="I1506" i="2" s="1"/>
  <c r="J1506" i="2" s="1"/>
  <c r="H1507" i="2"/>
  <c r="I1507" i="2" s="1"/>
  <c r="J1507" i="2" s="1"/>
  <c r="H1508" i="2"/>
  <c r="I1508" i="2" s="1"/>
  <c r="J1508" i="2" s="1"/>
  <c r="H1509" i="2"/>
  <c r="I1509" i="2" s="1"/>
  <c r="J1509" i="2" s="1"/>
  <c r="H1510" i="2"/>
  <c r="I1510" i="2" s="1"/>
  <c r="J1510" i="2" s="1"/>
  <c r="H1511" i="2"/>
  <c r="I1511" i="2" s="1"/>
  <c r="J1511" i="2" s="1"/>
  <c r="H1512" i="2"/>
  <c r="I1512" i="2" s="1"/>
  <c r="J1512" i="2" s="1"/>
  <c r="H1513" i="2"/>
  <c r="I1513" i="2" s="1"/>
  <c r="J1513" i="2" s="1"/>
  <c r="H1514" i="2"/>
  <c r="I1514" i="2" s="1"/>
  <c r="J1514" i="2" s="1"/>
  <c r="H1515" i="2"/>
  <c r="I1515" i="2" s="1"/>
  <c r="J1515" i="2" s="1"/>
  <c r="H1516" i="2"/>
  <c r="I1516" i="2" s="1"/>
  <c r="J1516" i="2" s="1"/>
  <c r="H1517" i="2"/>
  <c r="I1517" i="2" s="1"/>
  <c r="J1517" i="2" s="1"/>
  <c r="H1518" i="2"/>
  <c r="I1518" i="2" s="1"/>
  <c r="J1518" i="2" s="1"/>
  <c r="H1519" i="2"/>
  <c r="I1519" i="2" s="1"/>
  <c r="J1519" i="2" s="1"/>
  <c r="H1520" i="2"/>
  <c r="I1520" i="2" s="1"/>
  <c r="J1520" i="2" s="1"/>
  <c r="H1521" i="2"/>
  <c r="I1521" i="2" s="1"/>
  <c r="J1521" i="2" s="1"/>
  <c r="H1522" i="2"/>
  <c r="I1522" i="2" s="1"/>
  <c r="J1522" i="2" s="1"/>
  <c r="H1523" i="2"/>
  <c r="I1523" i="2" s="1"/>
  <c r="J1523" i="2" s="1"/>
  <c r="H1524" i="2"/>
  <c r="I1524" i="2" s="1"/>
  <c r="J1524" i="2" s="1"/>
  <c r="H1525" i="2"/>
  <c r="I1525" i="2" s="1"/>
  <c r="J1525" i="2" s="1"/>
  <c r="H1526" i="2"/>
  <c r="I1526" i="2" s="1"/>
  <c r="J1526" i="2" s="1"/>
  <c r="H1527" i="2"/>
  <c r="I1527" i="2" s="1"/>
  <c r="J1527" i="2" s="1"/>
  <c r="D221" i="4"/>
  <c r="D3" i="6"/>
  <c r="D38" i="6"/>
  <c r="D56" i="6"/>
  <c r="D61" i="6"/>
  <c r="D78" i="6"/>
  <c r="D83" i="6"/>
  <c r="D84" i="6"/>
  <c r="D99" i="6"/>
  <c r="D117" i="6"/>
  <c r="D135" i="6"/>
  <c r="D149" i="6"/>
  <c r="D206" i="6"/>
  <c r="D224" i="6"/>
  <c r="D235" i="6"/>
  <c r="D236" i="6"/>
  <c r="D237" i="6"/>
  <c r="D239" i="6"/>
  <c r="D245" i="6"/>
  <c r="D12" i="4"/>
  <c r="D131" i="4"/>
  <c r="D72" i="4"/>
  <c r="D95" i="4"/>
  <c r="D15" i="4"/>
  <c r="D14" i="4"/>
  <c r="D13" i="4"/>
  <c r="D215" i="4"/>
  <c r="D246" i="4"/>
  <c r="D260" i="4"/>
  <c r="D263" i="4"/>
  <c r="D258" i="4"/>
  <c r="D265" i="4"/>
  <c r="D261" i="4"/>
  <c r="D267" i="4"/>
  <c r="D262" i="4"/>
  <c r="D266" i="4"/>
  <c r="D248" i="4"/>
  <c r="D259" i="4"/>
  <c r="D48" i="4"/>
  <c r="D42" i="4"/>
  <c r="D41" i="4"/>
  <c r="D38" i="4"/>
  <c r="D37" i="4"/>
  <c r="D34" i="4"/>
  <c r="D220" i="4"/>
  <c r="D219" i="4"/>
  <c r="D175" i="4"/>
  <c r="D36" i="4"/>
  <c r="D227" i="4"/>
  <c r="D231" i="4"/>
  <c r="D228" i="4"/>
  <c r="D225" i="4"/>
  <c r="D211" i="4"/>
  <c r="D173" i="4"/>
  <c r="D172" i="4"/>
  <c r="D171" i="4"/>
  <c r="D170" i="4"/>
  <c r="D169" i="4"/>
  <c r="D176" i="4"/>
  <c r="D177" i="4"/>
  <c r="D212" i="4"/>
  <c r="D218" i="4"/>
  <c r="D216" i="4"/>
  <c r="D217" i="4"/>
  <c r="D207" i="4"/>
  <c r="D235" i="4"/>
  <c r="D236" i="4"/>
  <c r="K30" i="4" a="1"/>
  <c r="K30" i="4" s="1"/>
  <c r="I30" i="4"/>
  <c r="K10" i="4" a="1"/>
  <c r="K10" i="4" s="1"/>
  <c r="I10" i="4"/>
  <c r="K9" i="4" a="1"/>
  <c r="K9" i="4" s="1"/>
  <c r="I9" i="4"/>
  <c r="K4" i="4" a="1"/>
  <c r="K4" i="4" s="1"/>
  <c r="I4" i="4"/>
  <c r="K3" i="4" a="1"/>
  <c r="K3" i="4" s="1"/>
  <c r="I3" i="4"/>
  <c r="H3" i="2"/>
  <c r="I3" i="2" s="1"/>
  <c r="J3" i="2" s="1"/>
  <c r="H14" i="2"/>
  <c r="I14" i="2" s="1"/>
  <c r="J14" i="2" s="1"/>
  <c r="H25" i="2"/>
  <c r="I25" i="2" s="1"/>
  <c r="J25" i="2" s="1"/>
  <c r="H36" i="2"/>
  <c r="I36" i="2" s="1"/>
  <c r="J36" i="2" s="1"/>
  <c r="H47" i="2"/>
  <c r="I47" i="2" s="1"/>
  <c r="J47" i="2" s="1"/>
  <c r="H58" i="2"/>
  <c r="I58" i="2" s="1"/>
  <c r="J58" i="2" s="1"/>
  <c r="H69" i="2"/>
  <c r="I69" i="2" s="1"/>
  <c r="J69" i="2" s="1"/>
  <c r="K6" i="4" a="1"/>
  <c r="K6" i="4" s="1"/>
  <c r="I6" i="4"/>
  <c r="D4" i="6"/>
  <c r="K22" i="4" a="1"/>
  <c r="K22" i="4" s="1"/>
  <c r="I22" i="4"/>
  <c r="K20" i="4" a="1"/>
  <c r="K20" i="4" s="1"/>
  <c r="I20" i="4"/>
  <c r="K5" i="4" a="1"/>
  <c r="K5" i="4" s="1"/>
  <c r="I5" i="4"/>
  <c r="D6" i="6"/>
  <c r="K28" i="4" a="1"/>
  <c r="K28" i="4" s="1"/>
  <c r="I28" i="4"/>
  <c r="D7" i="6"/>
  <c r="H13" i="2"/>
  <c r="I13" i="2" s="1"/>
  <c r="J13" i="2" s="1"/>
  <c r="H24" i="2"/>
  <c r="I24" i="2" s="1"/>
  <c r="J24" i="2" s="1"/>
  <c r="H35" i="2"/>
  <c r="I35" i="2" s="1"/>
  <c r="J35" i="2" s="1"/>
  <c r="H46" i="2"/>
  <c r="I46" i="2" s="1"/>
  <c r="J46" i="2" s="1"/>
  <c r="H57" i="2"/>
  <c r="I57" i="2" s="1"/>
  <c r="J57" i="2" s="1"/>
  <c r="H68" i="2"/>
  <c r="I68" i="2" s="1"/>
  <c r="J68" i="2" s="1"/>
  <c r="H2" i="2"/>
  <c r="I2" i="2" s="1"/>
  <c r="K27" i="4" a="1"/>
  <c r="K27" i="4" s="1"/>
  <c r="I27" i="4"/>
  <c r="D8" i="6"/>
  <c r="K11" i="4" a="1"/>
  <c r="K11" i="4" s="1"/>
  <c r="I11" i="4"/>
  <c r="D9" i="6"/>
  <c r="K29" i="4" a="1"/>
  <c r="K29" i="4" s="1"/>
  <c r="I29" i="4"/>
  <c r="D10" i="6"/>
  <c r="K21" i="4" a="1"/>
  <c r="K21" i="4" s="1"/>
  <c r="I21" i="4"/>
  <c r="D11" i="6"/>
  <c r="K145" i="4" a="1"/>
  <c r="K145" i="4" s="1"/>
  <c r="I145" i="4"/>
  <c r="K144" i="4" a="1"/>
  <c r="K144" i="4" s="1"/>
  <c r="I144" i="4"/>
  <c r="K143" i="4" a="1"/>
  <c r="K143" i="4" s="1"/>
  <c r="I143" i="4"/>
  <c r="K142" i="4" a="1"/>
  <c r="K142" i="4" s="1"/>
  <c r="I142" i="4"/>
  <c r="K141" i="4" a="1"/>
  <c r="K141" i="4" s="1"/>
  <c r="I141" i="4"/>
  <c r="K140" i="4" a="1"/>
  <c r="K140" i="4" s="1"/>
  <c r="I140" i="4"/>
  <c r="K139" i="4" a="1"/>
  <c r="K139" i="4" s="1"/>
  <c r="I139" i="4"/>
  <c r="K138" i="4" a="1"/>
  <c r="K138" i="4" s="1"/>
  <c r="I138" i="4"/>
  <c r="K137" i="4" a="1"/>
  <c r="K137" i="4" s="1"/>
  <c r="I137" i="4"/>
  <c r="D12" i="6"/>
  <c r="D13" i="6"/>
  <c r="K151" i="4" a="1"/>
  <c r="K151" i="4" s="1"/>
  <c r="I151" i="4"/>
  <c r="K150" i="4" a="1"/>
  <c r="K150" i="4" s="1"/>
  <c r="I150" i="4"/>
  <c r="K149" i="4" a="1"/>
  <c r="K149" i="4" s="1"/>
  <c r="I149" i="4"/>
  <c r="K148" i="4" a="1"/>
  <c r="K148" i="4" s="1"/>
  <c r="I148" i="4"/>
  <c r="K147" i="4" a="1"/>
  <c r="K147" i="4" s="1"/>
  <c r="I147" i="4"/>
  <c r="K146" i="4" a="1"/>
  <c r="K146" i="4" s="1"/>
  <c r="I146" i="4"/>
  <c r="K7" i="4" a="1"/>
  <c r="K7" i="4" s="1"/>
  <c r="I7" i="4"/>
  <c r="D14" i="6"/>
  <c r="K161" i="4" a="1"/>
  <c r="K161" i="4" s="1"/>
  <c r="I161" i="4"/>
  <c r="K164" i="4" a="1"/>
  <c r="K164" i="4" s="1"/>
  <c r="I164" i="4"/>
  <c r="K163" i="4" a="1"/>
  <c r="K163" i="4" s="1"/>
  <c r="I163" i="4"/>
  <c r="K160" i="4" a="1"/>
  <c r="K160" i="4" s="1"/>
  <c r="I160" i="4"/>
  <c r="K159" i="4" a="1"/>
  <c r="K159" i="4" s="1"/>
  <c r="I159" i="4"/>
  <c r="K158" i="4" a="1"/>
  <c r="K158" i="4" s="1"/>
  <c r="I158" i="4"/>
  <c r="D15" i="6"/>
  <c r="K191" i="4" a="1"/>
  <c r="K191" i="4" s="1"/>
  <c r="I191" i="4"/>
  <c r="K190" i="4" a="1"/>
  <c r="K190" i="4" s="1"/>
  <c r="I190" i="4"/>
  <c r="K189" i="4" a="1"/>
  <c r="K189" i="4" s="1"/>
  <c r="I189" i="4"/>
  <c r="K188" i="4" a="1"/>
  <c r="K188" i="4" s="1"/>
  <c r="I188" i="4"/>
  <c r="K187" i="4" a="1"/>
  <c r="K187" i="4" s="1"/>
  <c r="I187" i="4"/>
  <c r="K186" i="4" a="1"/>
  <c r="K186" i="4" s="1"/>
  <c r="I186" i="4"/>
  <c r="K185" i="4" a="1"/>
  <c r="K185" i="4" s="1"/>
  <c r="I185" i="4"/>
  <c r="D16" i="6"/>
  <c r="K124" i="4" a="1"/>
  <c r="K124" i="4" s="1"/>
  <c r="I124" i="4"/>
  <c r="D17" i="6"/>
  <c r="K156" i="4" a="1"/>
  <c r="K156" i="4" s="1"/>
  <c r="I156" i="4"/>
  <c r="K157" i="4" a="1"/>
  <c r="K157" i="4" s="1"/>
  <c r="I157" i="4"/>
  <c r="D18" i="6"/>
  <c r="K155" i="4" a="1"/>
  <c r="K155" i="4" s="1"/>
  <c r="I155" i="4"/>
  <c r="K154" i="4" a="1"/>
  <c r="K154" i="4" s="1"/>
  <c r="I154" i="4"/>
  <c r="K153" i="4" a="1"/>
  <c r="K153" i="4" s="1"/>
  <c r="I153" i="4"/>
  <c r="K152" i="4" a="1"/>
  <c r="K152" i="4" s="1"/>
  <c r="I152" i="4"/>
  <c r="D19" i="6"/>
  <c r="K199" i="4" a="1"/>
  <c r="K199" i="4" s="1"/>
  <c r="I199" i="4"/>
  <c r="K198" i="4" a="1"/>
  <c r="K198" i="4" s="1"/>
  <c r="I198" i="4"/>
  <c r="K197" i="4" a="1"/>
  <c r="K197" i="4" s="1"/>
  <c r="I197" i="4"/>
  <c r="K196" i="4" a="1"/>
  <c r="K196" i="4" s="1"/>
  <c r="I196" i="4"/>
  <c r="K195" i="4" a="1"/>
  <c r="K195" i="4" s="1"/>
  <c r="I195" i="4"/>
  <c r="K194" i="4" a="1"/>
  <c r="K194" i="4" s="1"/>
  <c r="I194" i="4"/>
  <c r="K193" i="4" a="1"/>
  <c r="K193" i="4" s="1"/>
  <c r="I193" i="4"/>
  <c r="K204" i="4" a="1"/>
  <c r="K204" i="4" s="1"/>
  <c r="I204" i="4"/>
  <c r="K203" i="4" a="1"/>
  <c r="K203" i="4" s="1"/>
  <c r="I203" i="4"/>
  <c r="K202" i="4" a="1"/>
  <c r="K202" i="4" s="1"/>
  <c r="I202" i="4"/>
  <c r="K201" i="4" a="1"/>
  <c r="K201" i="4" s="1"/>
  <c r="I201" i="4"/>
  <c r="K200" i="4" a="1"/>
  <c r="K200" i="4" s="1"/>
  <c r="I200" i="4"/>
  <c r="K192" i="4" a="1"/>
  <c r="K192" i="4" s="1"/>
  <c r="I192" i="4"/>
  <c r="D20" i="6"/>
  <c r="K46" i="4" a="1"/>
  <c r="K46" i="4" s="1"/>
  <c r="I46" i="4"/>
  <c r="K45" i="4" a="1"/>
  <c r="K45" i="4" s="1"/>
  <c r="I45" i="4"/>
  <c r="K99" i="4" a="1"/>
  <c r="K99" i="4" s="1"/>
  <c r="I99" i="4"/>
  <c r="D21" i="6"/>
  <c r="K47" i="4" a="1"/>
  <c r="K47" i="4" s="1"/>
  <c r="I47" i="4"/>
  <c r="D22" i="6"/>
  <c r="D23" i="6"/>
  <c r="D24" i="6"/>
  <c r="K87" i="4" a="1"/>
  <c r="K87" i="4" s="1"/>
  <c r="I87" i="4"/>
  <c r="D25" i="6"/>
  <c r="K33" i="4" a="1"/>
  <c r="K33" i="4" s="1"/>
  <c r="I33" i="4"/>
  <c r="D26" i="6"/>
  <c r="K122" i="4" a="1"/>
  <c r="K122" i="4" s="1"/>
  <c r="I122" i="4"/>
  <c r="K123" i="4" a="1"/>
  <c r="K123" i="4" s="1"/>
  <c r="I123" i="4"/>
  <c r="D27" i="6"/>
  <c r="K127" i="4" a="1"/>
  <c r="K127" i="4" s="1"/>
  <c r="I127" i="4"/>
  <c r="K126" i="4" a="1"/>
  <c r="K126" i="4" s="1"/>
  <c r="I126" i="4"/>
  <c r="K125" i="4" a="1"/>
  <c r="K125" i="4" s="1"/>
  <c r="I125" i="4"/>
  <c r="D28" i="6"/>
  <c r="K129" i="4" a="1"/>
  <c r="K129" i="4" s="1"/>
  <c r="I129" i="4"/>
  <c r="K128" i="4" a="1"/>
  <c r="K128" i="4" s="1"/>
  <c r="I128" i="4"/>
  <c r="D29" i="6"/>
  <c r="K130" i="4" a="1"/>
  <c r="K130" i="4" s="1"/>
  <c r="I130" i="4"/>
  <c r="K44" i="4" a="1"/>
  <c r="K44" i="4" s="1"/>
  <c r="I44" i="4"/>
  <c r="K43" i="4" a="1"/>
  <c r="K43" i="4" s="1"/>
  <c r="I43" i="4"/>
  <c r="D30" i="6"/>
  <c r="K133" i="4" a="1"/>
  <c r="K133" i="4" s="1"/>
  <c r="I133" i="4"/>
  <c r="K132" i="4" a="1"/>
  <c r="K132" i="4" s="1"/>
  <c r="I132" i="4"/>
  <c r="D31" i="6"/>
  <c r="K135" i="4" a="1"/>
  <c r="K135" i="4" s="1"/>
  <c r="I135" i="4"/>
  <c r="K134" i="4" a="1"/>
  <c r="K134" i="4" s="1"/>
  <c r="I134" i="4"/>
  <c r="D32" i="6"/>
  <c r="K136" i="4" a="1"/>
  <c r="K136" i="4" s="1"/>
  <c r="I136" i="4"/>
  <c r="D33" i="6"/>
  <c r="K113" i="4" a="1"/>
  <c r="K113" i="4" s="1"/>
  <c r="I113" i="4"/>
  <c r="K112" i="4" a="1"/>
  <c r="K112" i="4" s="1"/>
  <c r="I112" i="4"/>
  <c r="D34" i="6"/>
  <c r="K62" i="4" a="1"/>
  <c r="K62" i="4" s="1"/>
  <c r="I62" i="4"/>
  <c r="K61" i="4" a="1"/>
  <c r="K61" i="4" s="1"/>
  <c r="I61" i="4"/>
  <c r="K60" i="4" a="1"/>
  <c r="K60" i="4" s="1"/>
  <c r="I60" i="4"/>
  <c r="K59" i="4" a="1"/>
  <c r="K59" i="4" s="1"/>
  <c r="I59" i="4"/>
  <c r="K58" i="4" a="1"/>
  <c r="K58" i="4" s="1"/>
  <c r="I58" i="4"/>
  <c r="K56" i="4" a="1"/>
  <c r="K56" i="4" s="1"/>
  <c r="I56" i="4"/>
  <c r="K55" i="4" a="1"/>
  <c r="K55" i="4" s="1"/>
  <c r="I55" i="4"/>
  <c r="K53" i="4" a="1"/>
  <c r="K53" i="4" s="1"/>
  <c r="I53" i="4"/>
  <c r="D35" i="6"/>
  <c r="K54" i="4" a="1"/>
  <c r="K54" i="4" s="1"/>
  <c r="I54" i="4"/>
  <c r="D36" i="6"/>
  <c r="K52" i="4" a="1"/>
  <c r="K52" i="4" s="1"/>
  <c r="I52" i="4"/>
  <c r="D37" i="6"/>
  <c r="D39" i="6"/>
  <c r="K162" i="4" a="1"/>
  <c r="K162" i="4" s="1"/>
  <c r="I162" i="4"/>
  <c r="K51" i="4" a="1"/>
  <c r="K51" i="4" s="1"/>
  <c r="I51" i="4"/>
  <c r="D40" i="6"/>
  <c r="K50" i="4" a="1"/>
  <c r="K50" i="4" s="1"/>
  <c r="I50" i="4"/>
  <c r="K49" i="4" a="1"/>
  <c r="K49" i="4" s="1"/>
  <c r="I49" i="4"/>
  <c r="D41" i="6"/>
  <c r="H9" i="2"/>
  <c r="I9" i="2" s="1"/>
  <c r="J9" i="2" s="1"/>
  <c r="H20" i="2"/>
  <c r="I20" i="2" s="1"/>
  <c r="J20" i="2" s="1"/>
  <c r="H31" i="2"/>
  <c r="I31" i="2" s="1"/>
  <c r="J31" i="2" s="1"/>
  <c r="H42" i="2"/>
  <c r="I42" i="2" s="1"/>
  <c r="J42" i="2" s="1"/>
  <c r="H53" i="2"/>
  <c r="I53" i="2" s="1"/>
  <c r="J53" i="2" s="1"/>
  <c r="H64" i="2"/>
  <c r="I64" i="2" s="1"/>
  <c r="J64" i="2" s="1"/>
  <c r="K107" i="4" a="1"/>
  <c r="K107" i="4" s="1"/>
  <c r="I107" i="4"/>
  <c r="K106" i="4" a="1"/>
  <c r="K106" i="4" s="1"/>
  <c r="I106" i="4"/>
  <c r="K105" i="4" a="1"/>
  <c r="K105" i="4" s="1"/>
  <c r="I105" i="4"/>
  <c r="H6" i="2"/>
  <c r="I6" i="2" s="1"/>
  <c r="J6" i="2" s="1"/>
  <c r="H8" i="2"/>
  <c r="I8" i="2" s="1"/>
  <c r="J8" i="2" s="1"/>
  <c r="H17" i="2"/>
  <c r="I17" i="2" s="1"/>
  <c r="J17" i="2" s="1"/>
  <c r="H19" i="2"/>
  <c r="I19" i="2" s="1"/>
  <c r="J19" i="2" s="1"/>
  <c r="H28" i="2"/>
  <c r="I28" i="2" s="1"/>
  <c r="J28" i="2" s="1"/>
  <c r="H30" i="2"/>
  <c r="I30" i="2" s="1"/>
  <c r="J30" i="2" s="1"/>
  <c r="H39" i="2"/>
  <c r="I39" i="2" s="1"/>
  <c r="J39" i="2" s="1"/>
  <c r="H41" i="2"/>
  <c r="I41" i="2" s="1"/>
  <c r="J41" i="2" s="1"/>
  <c r="H50" i="2"/>
  <c r="I50" i="2" s="1"/>
  <c r="J50" i="2" s="1"/>
  <c r="H52" i="2"/>
  <c r="I52" i="2" s="1"/>
  <c r="J52" i="2" s="1"/>
  <c r="H61" i="2"/>
  <c r="I61" i="2" s="1"/>
  <c r="J61" i="2" s="1"/>
  <c r="H63" i="2"/>
  <c r="I63" i="2" s="1"/>
  <c r="J63" i="2" s="1"/>
  <c r="K104" i="4" a="1"/>
  <c r="K104" i="4" s="1"/>
  <c r="I104" i="4"/>
  <c r="D42" i="6"/>
  <c r="K116" i="4" a="1"/>
  <c r="K116" i="4" s="1"/>
  <c r="I116" i="4"/>
  <c r="K115" i="4" a="1"/>
  <c r="K115" i="4" s="1"/>
  <c r="I115" i="4"/>
  <c r="K114" i="4" a="1"/>
  <c r="K114" i="4" s="1"/>
  <c r="I114" i="4"/>
  <c r="D43" i="6"/>
  <c r="K74" i="4" a="1"/>
  <c r="K74" i="4" s="1"/>
  <c r="I74" i="4"/>
  <c r="D44" i="6"/>
  <c r="K120" i="4" a="1"/>
  <c r="K120" i="4" s="1"/>
  <c r="I120" i="4"/>
  <c r="K73" i="4" a="1"/>
  <c r="K73" i="4" s="1"/>
  <c r="I73" i="4"/>
  <c r="D45" i="6"/>
  <c r="D46" i="6"/>
  <c r="K78" i="4" a="1"/>
  <c r="K78" i="4" s="1"/>
  <c r="I78" i="4"/>
  <c r="D47" i="6"/>
  <c r="K111" i="4" a="1"/>
  <c r="K111" i="4" s="1"/>
  <c r="I111" i="4"/>
  <c r="K110" i="4" a="1"/>
  <c r="K110" i="4" s="1"/>
  <c r="I110" i="4"/>
  <c r="K109" i="4" a="1"/>
  <c r="K109" i="4" s="1"/>
  <c r="I109" i="4"/>
  <c r="K108" i="4" a="1"/>
  <c r="K108" i="4" s="1"/>
  <c r="I108" i="4"/>
  <c r="D48" i="6"/>
  <c r="D49" i="6"/>
  <c r="D50" i="6"/>
  <c r="K83" i="4" a="1"/>
  <c r="K83" i="4" s="1"/>
  <c r="I83" i="4"/>
  <c r="D51" i="6"/>
  <c r="K82" i="4" a="1"/>
  <c r="K82" i="4" s="1"/>
  <c r="I82" i="4"/>
  <c r="D52" i="6"/>
  <c r="K80" i="4" a="1"/>
  <c r="K80" i="4" s="1"/>
  <c r="I80" i="4"/>
  <c r="D53" i="6"/>
  <c r="K101" i="4" a="1"/>
  <c r="K101" i="4" s="1"/>
  <c r="I101" i="4"/>
  <c r="K100" i="4" a="1"/>
  <c r="K100" i="4" s="1"/>
  <c r="I100" i="4"/>
  <c r="D54" i="6"/>
  <c r="K103" i="4" a="1"/>
  <c r="K103" i="4" s="1"/>
  <c r="I103" i="4"/>
  <c r="K102" i="4" a="1"/>
  <c r="K102" i="4" s="1"/>
  <c r="I102" i="4"/>
  <c r="D55" i="6"/>
  <c r="K63" i="4" a="1"/>
  <c r="K63" i="4" s="1"/>
  <c r="I63" i="4"/>
  <c r="D57" i="6"/>
  <c r="K81" i="4" a="1"/>
  <c r="K81" i="4" s="1"/>
  <c r="I81" i="4"/>
  <c r="D58" i="6"/>
  <c r="K119" i="4" a="1"/>
  <c r="K119" i="4" s="1"/>
  <c r="I119" i="4"/>
  <c r="K70" i="4" a="1"/>
  <c r="K70" i="4" s="1"/>
  <c r="I70" i="4"/>
  <c r="D59" i="6"/>
  <c r="K77" i="4" a="1"/>
  <c r="K77" i="4" s="1"/>
  <c r="I77" i="4"/>
  <c r="D60" i="6"/>
  <c r="K121" i="4" a="1"/>
  <c r="K121" i="4" s="1"/>
  <c r="I121" i="4"/>
  <c r="D62" i="6"/>
  <c r="D63" i="6"/>
  <c r="D64" i="6"/>
  <c r="K65" i="4" a="1"/>
  <c r="K65" i="4" s="1"/>
  <c r="I65" i="4"/>
  <c r="D65" i="6"/>
  <c r="K67" i="4" a="1"/>
  <c r="K67" i="4" s="1"/>
  <c r="I67" i="4"/>
  <c r="D66" i="6"/>
  <c r="K79" i="4" a="1"/>
  <c r="K79" i="4" s="1"/>
  <c r="I79" i="4"/>
  <c r="D67" i="6"/>
  <c r="K117" i="4" a="1"/>
  <c r="K117" i="4" s="1"/>
  <c r="I117" i="4"/>
  <c r="D68" i="6"/>
  <c r="K64" i="4" a="1"/>
  <c r="K64" i="4" s="1"/>
  <c r="I64" i="4"/>
  <c r="D69" i="6"/>
  <c r="K76" i="4" a="1"/>
  <c r="K76" i="4" s="1"/>
  <c r="I76" i="4"/>
  <c r="D70" i="6"/>
  <c r="K66" i="4" a="1"/>
  <c r="K66" i="4" s="1"/>
  <c r="I66" i="4"/>
  <c r="D71" i="6"/>
  <c r="H12" i="2"/>
  <c r="I12" i="2" s="1"/>
  <c r="J12" i="2" s="1"/>
  <c r="H23" i="2"/>
  <c r="I23" i="2" s="1"/>
  <c r="J23" i="2" s="1"/>
  <c r="H34" i="2"/>
  <c r="I34" i="2" s="1"/>
  <c r="J34" i="2" s="1"/>
  <c r="H45" i="2"/>
  <c r="I45" i="2" s="1"/>
  <c r="J45" i="2" s="1"/>
  <c r="H56" i="2"/>
  <c r="I56" i="2" s="1"/>
  <c r="J56" i="2" s="1"/>
  <c r="H67" i="2"/>
  <c r="I67" i="2" s="1"/>
  <c r="J67" i="2" s="1"/>
  <c r="K68" i="4" a="1"/>
  <c r="K68" i="4" s="1"/>
  <c r="I68" i="4"/>
  <c r="D72" i="6"/>
  <c r="K69" i="4" a="1"/>
  <c r="K69" i="4" s="1"/>
  <c r="I69" i="4"/>
  <c r="D73" i="6"/>
  <c r="K118" i="4" a="1"/>
  <c r="K118" i="4" s="1"/>
  <c r="I118" i="4"/>
  <c r="K71" i="4" a="1"/>
  <c r="K71" i="4" s="1"/>
  <c r="I71" i="4"/>
  <c r="D74" i="6"/>
  <c r="K75" i="4" a="1"/>
  <c r="K75" i="4" s="1"/>
  <c r="I75" i="4"/>
  <c r="D75" i="6"/>
  <c r="D76" i="6"/>
  <c r="K94" i="4" a="1"/>
  <c r="K94" i="4" s="1"/>
  <c r="I94" i="4"/>
  <c r="K35" i="4" a="1"/>
  <c r="K35" i="4" s="1"/>
  <c r="I35" i="4"/>
  <c r="D77" i="6"/>
  <c r="K96" i="4" a="1"/>
  <c r="K96" i="4" s="1"/>
  <c r="I96" i="4"/>
  <c r="D79" i="6"/>
  <c r="K88" i="4" a="1"/>
  <c r="K88" i="4" s="1"/>
  <c r="I88" i="4"/>
  <c r="K92" i="4" a="1"/>
  <c r="K92" i="4" s="1"/>
  <c r="I92" i="4"/>
  <c r="K85" i="4" a="1"/>
  <c r="K85" i="4" s="1"/>
  <c r="I85" i="4"/>
  <c r="K86" i="4" a="1"/>
  <c r="K86" i="4" s="1"/>
  <c r="I86" i="4"/>
  <c r="D80" i="6"/>
  <c r="K93" i="4" a="1"/>
  <c r="K93" i="4" s="1"/>
  <c r="I93" i="4"/>
  <c r="K89" i="4" a="1"/>
  <c r="K89" i="4" s="1"/>
  <c r="I89" i="4"/>
  <c r="D81" i="6"/>
  <c r="K97" i="4" a="1"/>
  <c r="K97" i="4" s="1"/>
  <c r="I97" i="4"/>
  <c r="K91" i="4" a="1"/>
  <c r="K91" i="4" s="1"/>
  <c r="I91" i="4"/>
  <c r="D82" i="6"/>
  <c r="D85" i="6"/>
  <c r="K98" i="4" a="1"/>
  <c r="K98" i="4" s="1"/>
  <c r="I98" i="4"/>
  <c r="K90" i="4" a="1"/>
  <c r="K90" i="4" s="1"/>
  <c r="I90" i="4"/>
  <c r="D86" i="6"/>
  <c r="D87" i="6"/>
  <c r="D88" i="6"/>
  <c r="D89" i="6"/>
  <c r="D90" i="6"/>
  <c r="D91" i="6"/>
  <c r="D92" i="6"/>
  <c r="D93" i="6"/>
  <c r="D94" i="6"/>
  <c r="K25" i="4" a="1"/>
  <c r="K25" i="4" s="1"/>
  <c r="I25" i="4"/>
  <c r="D95" i="6"/>
  <c r="K19" i="4" a="1"/>
  <c r="K19" i="4" s="1"/>
  <c r="I19" i="4"/>
  <c r="K18" i="4" a="1"/>
  <c r="K18" i="4" s="1"/>
  <c r="I18" i="4"/>
  <c r="K17" i="4" a="1"/>
  <c r="K17" i="4" s="1"/>
  <c r="I17" i="4"/>
  <c r="K16" i="4" a="1"/>
  <c r="K16" i="4" s="1"/>
  <c r="I16" i="4"/>
  <c r="K8" i="4" a="1"/>
  <c r="K8" i="4" s="1"/>
  <c r="I8" i="4"/>
  <c r="D96" i="6"/>
  <c r="D97" i="6"/>
  <c r="D98" i="6"/>
  <c r="D100" i="6"/>
  <c r="K32" i="4" a="1"/>
  <c r="K32" i="4" s="1"/>
  <c r="I32" i="4"/>
  <c r="D101" i="6"/>
  <c r="D102" i="6"/>
  <c r="D104" i="6"/>
  <c r="K224" i="4" a="1"/>
  <c r="K224" i="4" s="1"/>
  <c r="I224" i="4"/>
  <c r="K208" i="4" a="1"/>
  <c r="K208" i="4" s="1"/>
  <c r="I208" i="4"/>
  <c r="K257" i="4" a="1"/>
  <c r="K257" i="4" s="1"/>
  <c r="I257" i="4"/>
  <c r="K256" i="4" a="1"/>
  <c r="K256" i="4" s="1"/>
  <c r="I256" i="4"/>
  <c r="K255" i="4" a="1"/>
  <c r="K255" i="4" s="1"/>
  <c r="I255" i="4"/>
  <c r="H10" i="2"/>
  <c r="I10" i="2" s="1"/>
  <c r="J10" i="2" s="1"/>
  <c r="H21" i="2"/>
  <c r="I21" i="2" s="1"/>
  <c r="J21" i="2" s="1"/>
  <c r="H32" i="2"/>
  <c r="I32" i="2" s="1"/>
  <c r="J32" i="2" s="1"/>
  <c r="H43" i="2"/>
  <c r="I43" i="2" s="1"/>
  <c r="J43" i="2" s="1"/>
  <c r="H54" i="2"/>
  <c r="I54" i="2" s="1"/>
  <c r="J54" i="2" s="1"/>
  <c r="H65" i="2"/>
  <c r="I65" i="2" s="1"/>
  <c r="J65" i="2" s="1"/>
  <c r="K254" i="4" a="1"/>
  <c r="K254" i="4" s="1"/>
  <c r="I254" i="4"/>
  <c r="K253" i="4" a="1"/>
  <c r="K253" i="4" s="1"/>
  <c r="I253" i="4"/>
  <c r="K252" i="4" a="1"/>
  <c r="K252" i="4" s="1"/>
  <c r="I252" i="4"/>
  <c r="K251" i="4" a="1"/>
  <c r="K251" i="4" s="1"/>
  <c r="I251" i="4"/>
  <c r="K250" i="4" a="1"/>
  <c r="K250" i="4" s="1"/>
  <c r="I250" i="4"/>
  <c r="K249" i="4" a="1"/>
  <c r="K249" i="4" s="1"/>
  <c r="I249" i="4"/>
  <c r="D105" i="6"/>
  <c r="D106" i="6"/>
  <c r="D107" i="6"/>
  <c r="D108" i="6"/>
  <c r="D109" i="6"/>
  <c r="D110" i="6"/>
  <c r="D111" i="6"/>
  <c r="D112" i="6"/>
  <c r="D113" i="6"/>
  <c r="D114" i="6"/>
  <c r="D115" i="6"/>
  <c r="K23" i="4" a="1"/>
  <c r="K23" i="4" s="1"/>
  <c r="I23" i="4"/>
  <c r="D116" i="6"/>
  <c r="D118" i="6"/>
  <c r="D119" i="6"/>
  <c r="D120" i="6"/>
  <c r="D121" i="6"/>
  <c r="D122" i="6"/>
  <c r="D123" i="6"/>
  <c r="D124" i="6"/>
  <c r="K239" i="4" a="1"/>
  <c r="K239" i="4" s="1"/>
  <c r="I239" i="4"/>
  <c r="D125" i="6"/>
  <c r="D126" i="6"/>
  <c r="K241" i="4" a="1"/>
  <c r="K241" i="4" s="1"/>
  <c r="I241" i="4"/>
  <c r="D127" i="6"/>
  <c r="K268" i="4" a="1"/>
  <c r="K268" i="4" s="1"/>
  <c r="I268" i="4"/>
  <c r="K240" i="4" a="1"/>
  <c r="K240" i="4" s="1"/>
  <c r="I240" i="4"/>
  <c r="D128" i="6"/>
  <c r="K245" i="4" a="1"/>
  <c r="K245" i="4" s="1"/>
  <c r="I245" i="4"/>
  <c r="D129" i="6"/>
  <c r="K244" i="4" a="1"/>
  <c r="K244" i="4" s="1"/>
  <c r="I244" i="4"/>
  <c r="D130" i="6"/>
  <c r="K264" i="4" a="1"/>
  <c r="K264" i="4" s="1"/>
  <c r="I264" i="4"/>
  <c r="K243" i="4" a="1"/>
  <c r="K243" i="4" s="1"/>
  <c r="I243" i="4"/>
  <c r="D131" i="6"/>
  <c r="K242" i="4" a="1"/>
  <c r="K242" i="4" s="1"/>
  <c r="I242" i="4"/>
  <c r="D132" i="6"/>
  <c r="K247" i="4" a="1"/>
  <c r="K247" i="4" s="1"/>
  <c r="I247" i="4"/>
  <c r="D133" i="6"/>
  <c r="K238" i="4" a="1"/>
  <c r="K238" i="4" s="1"/>
  <c r="I238" i="4"/>
  <c r="D134" i="6"/>
  <c r="D136" i="6"/>
  <c r="K178" i="4" a="1"/>
  <c r="K178" i="4" s="1"/>
  <c r="I178" i="4"/>
  <c r="D137" i="6"/>
  <c r="D138" i="6"/>
  <c r="D139" i="6"/>
  <c r="D140" i="6"/>
  <c r="K84" i="4" a="1"/>
  <c r="K84" i="4" s="1"/>
  <c r="I84" i="4"/>
  <c r="K40" i="4" a="1"/>
  <c r="K40" i="4" s="1"/>
  <c r="I40" i="4"/>
  <c r="D141" i="6"/>
  <c r="D142" i="6"/>
  <c r="D143" i="6"/>
  <c r="D144" i="6"/>
  <c r="K168" i="4" a="1"/>
  <c r="K168" i="4" s="1"/>
  <c r="I168" i="4"/>
  <c r="D145" i="6"/>
  <c r="D146" i="6"/>
  <c r="D147" i="6"/>
  <c r="D148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3" i="6"/>
  <c r="K270" i="4" a="1"/>
  <c r="K270" i="4" s="1"/>
  <c r="I270" i="4"/>
  <c r="K269" i="4" a="1"/>
  <c r="K269" i="4" s="1"/>
  <c r="I269" i="4"/>
  <c r="D164" i="6"/>
  <c r="D165" i="6"/>
  <c r="D166" i="6"/>
  <c r="D167" i="6"/>
  <c r="D168" i="6"/>
  <c r="D169" i="6"/>
  <c r="K39" i="4" a="1"/>
  <c r="K39" i="4" s="1"/>
  <c r="I39" i="4"/>
  <c r="D170" i="6"/>
  <c r="D171" i="6"/>
  <c r="D172" i="6"/>
  <c r="D173" i="6"/>
  <c r="D174" i="6"/>
  <c r="D175" i="6"/>
  <c r="K226" i="4" a="1"/>
  <c r="K226" i="4" s="1"/>
  <c r="I226" i="4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K26" i="4" a="1"/>
  <c r="K26" i="4" s="1"/>
  <c r="I26" i="4"/>
  <c r="D195" i="6"/>
  <c r="D196" i="6"/>
  <c r="D197" i="6"/>
  <c r="D198" i="6"/>
  <c r="D199" i="6"/>
  <c r="D200" i="6"/>
  <c r="D201" i="6"/>
  <c r="D202" i="6"/>
  <c r="D203" i="6"/>
  <c r="D204" i="6"/>
  <c r="D205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K234" i="4" a="1"/>
  <c r="K234" i="4" s="1"/>
  <c r="I234" i="4"/>
  <c r="K233" i="4" a="1"/>
  <c r="K233" i="4" s="1"/>
  <c r="I233" i="4"/>
  <c r="K232" i="4" a="1"/>
  <c r="K232" i="4" s="1"/>
  <c r="I232" i="4"/>
  <c r="D225" i="6"/>
  <c r="D226" i="6"/>
  <c r="K24" i="4" a="1"/>
  <c r="K24" i="4" s="1"/>
  <c r="I24" i="4"/>
  <c r="D227" i="6"/>
  <c r="D228" i="6"/>
  <c r="D229" i="6"/>
  <c r="D230" i="6"/>
  <c r="D231" i="6"/>
  <c r="D232" i="6"/>
  <c r="D233" i="6"/>
  <c r="D234" i="6"/>
  <c r="D238" i="6"/>
  <c r="D240" i="6"/>
  <c r="K214" i="4" a="1"/>
  <c r="K214" i="4" s="1"/>
  <c r="I214" i="4"/>
  <c r="K210" i="4" a="1"/>
  <c r="K210" i="4" s="1"/>
  <c r="I210" i="4"/>
  <c r="D241" i="6"/>
  <c r="D242" i="6"/>
  <c r="D243" i="6"/>
  <c r="K174" i="4" a="1"/>
  <c r="K174" i="4" s="1"/>
  <c r="I174" i="4"/>
  <c r="D244" i="6"/>
  <c r="D246" i="6"/>
  <c r="D247" i="6"/>
  <c r="K183" i="4" a="1"/>
  <c r="K183" i="4" s="1"/>
  <c r="I183" i="4"/>
  <c r="D248" i="6"/>
  <c r="K182" i="4" a="1"/>
  <c r="K182" i="4" s="1"/>
  <c r="I182" i="4"/>
  <c r="D249" i="6"/>
  <c r="K179" i="4" a="1"/>
  <c r="K179" i="4" s="1"/>
  <c r="I179" i="4"/>
  <c r="D250" i="6"/>
  <c r="K181" i="4" a="1"/>
  <c r="K181" i="4" s="1"/>
  <c r="I181" i="4"/>
  <c r="D251" i="6"/>
  <c r="K180" i="4" a="1"/>
  <c r="K180" i="4" s="1"/>
  <c r="I180" i="4"/>
  <c r="D252" i="6"/>
  <c r="K184" i="4" a="1"/>
  <c r="K184" i="4" s="1"/>
  <c r="I184" i="4"/>
  <c r="D253" i="6"/>
  <c r="K213" i="4" a="1"/>
  <c r="K213" i="4" s="1"/>
  <c r="I213" i="4"/>
  <c r="K209" i="4" a="1"/>
  <c r="K209" i="4" s="1"/>
  <c r="I209" i="4"/>
  <c r="D254" i="6"/>
  <c r="K206" i="4" a="1"/>
  <c r="K206" i="4" s="1"/>
  <c r="I206" i="4"/>
  <c r="K205" i="4" a="1"/>
  <c r="K205" i="4" s="1"/>
  <c r="I205" i="4"/>
  <c r="D255" i="6"/>
  <c r="D256" i="6"/>
  <c r="D257" i="6"/>
  <c r="D258" i="6"/>
  <c r="D259" i="6"/>
  <c r="K271" i="4" a="1"/>
  <c r="K271" i="4" s="1"/>
  <c r="I271" i="4"/>
  <c r="D260" i="6"/>
  <c r="K272" i="4" a="1"/>
  <c r="K272" i="4" s="1"/>
  <c r="I272" i="4"/>
  <c r="D261" i="6"/>
  <c r="K273" i="4" a="1"/>
  <c r="K273" i="4" s="1"/>
  <c r="I273" i="4"/>
  <c r="D262" i="6"/>
  <c r="K274" i="4" a="1"/>
  <c r="K274" i="4" s="1"/>
  <c r="I274" i="4"/>
  <c r="D263" i="6"/>
  <c r="K275" i="4" a="1"/>
  <c r="K275" i="4" s="1"/>
  <c r="I275" i="4"/>
  <c r="D264" i="6"/>
  <c r="K276" i="4" a="1"/>
  <c r="K276" i="4" s="1"/>
  <c r="I276" i="4"/>
  <c r="D265" i="6"/>
  <c r="D266" i="6"/>
  <c r="D267" i="6"/>
  <c r="K2" i="4" a="1"/>
  <c r="K2" i="4" s="1"/>
  <c r="I2" i="4"/>
  <c r="D5" i="6"/>
  <c r="C15" i="1"/>
  <c r="C16" i="1"/>
  <c r="C18" i="1"/>
  <c r="C20" i="1"/>
  <c r="C21" i="1"/>
  <c r="C22" i="1"/>
  <c r="C23" i="1"/>
  <c r="C24" i="1"/>
  <c r="C28" i="1"/>
  <c r="C29" i="1"/>
  <c r="F8" i="1"/>
  <c r="D5" i="1"/>
  <c r="M2" i="4"/>
  <c r="J2" i="2"/>
  <c r="B29" i="1"/>
  <c r="D29" i="1" s="1"/>
  <c r="H29" i="1" s="1"/>
  <c r="B28" i="1"/>
  <c r="D28" i="1" s="1"/>
  <c r="H28" i="1" s="1"/>
  <c r="B27" i="1"/>
  <c r="B26" i="1"/>
  <c r="B25" i="1"/>
  <c r="B24" i="1"/>
  <c r="D24" i="1" s="1"/>
  <c r="H24" i="1" s="1"/>
  <c r="B23" i="1"/>
  <c r="D23" i="1" s="1"/>
  <c r="H23" i="1" s="1"/>
  <c r="B22" i="1"/>
  <c r="D22" i="1" s="1"/>
  <c r="H22" i="1" s="1"/>
  <c r="B21" i="1"/>
  <c r="D21" i="1" s="1"/>
  <c r="H21" i="1" s="1"/>
  <c r="B20" i="1"/>
  <c r="D20" i="1" s="1"/>
  <c r="H20" i="1" s="1"/>
  <c r="B19" i="1"/>
  <c r="B18" i="1"/>
  <c r="D18" i="1" s="1"/>
  <c r="H18" i="1" s="1"/>
  <c r="B17" i="1"/>
  <c r="B16" i="1"/>
  <c r="D16" i="1" s="1"/>
  <c r="H16" i="1" s="1"/>
  <c r="B15" i="1"/>
  <c r="D15" i="1" s="1"/>
  <c r="H15" i="1" s="1"/>
  <c r="B14" i="1"/>
  <c r="B13" i="1"/>
  <c r="B12" i="1"/>
  <c r="H5" i="2" l="1"/>
  <c r="H7" i="2"/>
  <c r="I7" i="2" s="1"/>
  <c r="J7" i="2" s="1"/>
  <c r="H16" i="2"/>
  <c r="I16" i="2" s="1"/>
  <c r="J16" i="2" s="1"/>
  <c r="H18" i="2"/>
  <c r="I18" i="2" s="1"/>
  <c r="J18" i="2" s="1"/>
  <c r="H27" i="2"/>
  <c r="I27" i="2" s="1"/>
  <c r="J27" i="2" s="1"/>
  <c r="H29" i="2"/>
  <c r="I29" i="2" s="1"/>
  <c r="J29" i="2" s="1"/>
  <c r="H38" i="2"/>
  <c r="I38" i="2" s="1"/>
  <c r="J38" i="2" s="1"/>
  <c r="H40" i="2"/>
  <c r="I40" i="2" s="1"/>
  <c r="J40" i="2" s="1"/>
  <c r="H49" i="2"/>
  <c r="I49" i="2" s="1"/>
  <c r="J49" i="2" s="1"/>
  <c r="H51" i="2"/>
  <c r="I51" i="2" s="1"/>
  <c r="J51" i="2" s="1"/>
  <c r="H60" i="2"/>
  <c r="H62" i="2"/>
  <c r="I62" i="2" s="1"/>
  <c r="J62" i="2" s="1"/>
  <c r="K221" i="4" a="1"/>
  <c r="K221" i="4" s="1"/>
  <c r="I221" i="4"/>
  <c r="F221" i="4"/>
  <c r="G221" i="4" s="1"/>
  <c r="H221" i="4" s="1"/>
  <c r="K236" i="4" a="1"/>
  <c r="K236" i="4" s="1"/>
  <c r="I236" i="4"/>
  <c r="F236" i="4"/>
  <c r="G236" i="4" s="1"/>
  <c r="H236" i="4" s="1"/>
  <c r="K235" i="4" a="1"/>
  <c r="K235" i="4" s="1"/>
  <c r="I235" i="4"/>
  <c r="F235" i="4"/>
  <c r="G235" i="4" s="1"/>
  <c r="H235" i="4" s="1"/>
  <c r="K207" i="4" a="1"/>
  <c r="K207" i="4" s="1"/>
  <c r="I207" i="4"/>
  <c r="F207" i="4"/>
  <c r="G207" i="4" s="1"/>
  <c r="H207" i="4" s="1"/>
  <c r="K217" i="4" a="1"/>
  <c r="K217" i="4" s="1"/>
  <c r="I217" i="4"/>
  <c r="F217" i="4"/>
  <c r="G217" i="4" s="1"/>
  <c r="H217" i="4" s="1"/>
  <c r="K216" i="4" a="1"/>
  <c r="K216" i="4" s="1"/>
  <c r="I216" i="4"/>
  <c r="F216" i="4"/>
  <c r="G216" i="4" s="1"/>
  <c r="H216" i="4" s="1"/>
  <c r="K218" i="4" a="1"/>
  <c r="K218" i="4" s="1"/>
  <c r="I218" i="4"/>
  <c r="F218" i="4"/>
  <c r="G218" i="4" s="1"/>
  <c r="H218" i="4" s="1"/>
  <c r="K212" i="4" a="1"/>
  <c r="K212" i="4" s="1"/>
  <c r="I212" i="4"/>
  <c r="F212" i="4"/>
  <c r="G212" i="4" s="1"/>
  <c r="H212" i="4" s="1"/>
  <c r="K177" i="4" a="1"/>
  <c r="K177" i="4" s="1"/>
  <c r="I177" i="4"/>
  <c r="F177" i="4"/>
  <c r="G177" i="4" s="1"/>
  <c r="H177" i="4" s="1"/>
  <c r="K176" i="4" a="1"/>
  <c r="K176" i="4" s="1"/>
  <c r="I176" i="4"/>
  <c r="F176" i="4"/>
  <c r="G176" i="4" s="1"/>
  <c r="H176" i="4" s="1"/>
  <c r="K169" i="4" a="1"/>
  <c r="K169" i="4" s="1"/>
  <c r="I169" i="4"/>
  <c r="F169" i="4"/>
  <c r="G169" i="4" s="1"/>
  <c r="H169" i="4" s="1"/>
  <c r="K170" i="4" a="1"/>
  <c r="K170" i="4" s="1"/>
  <c r="I170" i="4"/>
  <c r="F170" i="4"/>
  <c r="G170" i="4" s="1"/>
  <c r="H170" i="4" s="1"/>
  <c r="K171" i="4" a="1"/>
  <c r="K171" i="4" s="1"/>
  <c r="I171" i="4"/>
  <c r="F171" i="4"/>
  <c r="G171" i="4" s="1"/>
  <c r="H171" i="4" s="1"/>
  <c r="K172" i="4" a="1"/>
  <c r="K172" i="4" s="1"/>
  <c r="I172" i="4"/>
  <c r="F172" i="4"/>
  <c r="G172" i="4" s="1"/>
  <c r="H172" i="4" s="1"/>
  <c r="K173" i="4" a="1"/>
  <c r="K173" i="4" s="1"/>
  <c r="I173" i="4"/>
  <c r="F173" i="4"/>
  <c r="G173" i="4" s="1"/>
  <c r="H173" i="4" s="1"/>
  <c r="K211" i="4" a="1"/>
  <c r="K211" i="4" s="1"/>
  <c r="I211" i="4"/>
  <c r="F211" i="4"/>
  <c r="G211" i="4" s="1"/>
  <c r="H211" i="4" s="1"/>
  <c r="K225" i="4" a="1"/>
  <c r="K225" i="4" s="1"/>
  <c r="I225" i="4"/>
  <c r="F225" i="4"/>
  <c r="G225" i="4" s="1"/>
  <c r="H225" i="4" s="1"/>
  <c r="K228" i="4" a="1"/>
  <c r="K228" i="4" s="1"/>
  <c r="I228" i="4"/>
  <c r="F228" i="4"/>
  <c r="G228" i="4" s="1"/>
  <c r="H228" i="4" s="1"/>
  <c r="K231" i="4" a="1"/>
  <c r="K231" i="4" s="1"/>
  <c r="I231" i="4"/>
  <c r="F231" i="4"/>
  <c r="G231" i="4" s="1"/>
  <c r="H231" i="4" s="1"/>
  <c r="K227" i="4" a="1"/>
  <c r="K227" i="4" s="1"/>
  <c r="I227" i="4"/>
  <c r="F227" i="4"/>
  <c r="G227" i="4" s="1"/>
  <c r="H227" i="4" s="1"/>
  <c r="K36" i="4" a="1"/>
  <c r="K36" i="4" s="1"/>
  <c r="I36" i="4"/>
  <c r="F36" i="4"/>
  <c r="G36" i="4" s="1"/>
  <c r="H36" i="4" s="1"/>
  <c r="K175" i="4" a="1"/>
  <c r="K175" i="4" s="1"/>
  <c r="I175" i="4"/>
  <c r="F175" i="4"/>
  <c r="G175" i="4" s="1"/>
  <c r="H175" i="4" s="1"/>
  <c r="K219" i="4" a="1"/>
  <c r="K219" i="4" s="1"/>
  <c r="I219" i="4"/>
  <c r="F219" i="4"/>
  <c r="G219" i="4" s="1"/>
  <c r="H219" i="4" s="1"/>
  <c r="K220" i="4" a="1"/>
  <c r="K220" i="4" s="1"/>
  <c r="I220" i="4"/>
  <c r="F220" i="4"/>
  <c r="G220" i="4" s="1"/>
  <c r="H220" i="4" s="1"/>
  <c r="K34" i="4" a="1"/>
  <c r="K34" i="4" s="1"/>
  <c r="I34" i="4"/>
  <c r="F34" i="4"/>
  <c r="G34" i="4" s="1"/>
  <c r="H34" i="4" s="1"/>
  <c r="K37" i="4" a="1"/>
  <c r="K37" i="4" s="1"/>
  <c r="I37" i="4"/>
  <c r="F37" i="4"/>
  <c r="G37" i="4" s="1"/>
  <c r="H37" i="4" s="1"/>
  <c r="K38" i="4" a="1"/>
  <c r="K38" i="4" s="1"/>
  <c r="I38" i="4"/>
  <c r="F38" i="4"/>
  <c r="G38" i="4" s="1"/>
  <c r="H38" i="4" s="1"/>
  <c r="K41" i="4" a="1"/>
  <c r="K41" i="4" s="1"/>
  <c r="I41" i="4"/>
  <c r="F41" i="4"/>
  <c r="G41" i="4" s="1"/>
  <c r="H41" i="4" s="1"/>
  <c r="K42" i="4" a="1"/>
  <c r="K42" i="4" s="1"/>
  <c r="I42" i="4"/>
  <c r="F42" i="4"/>
  <c r="G42" i="4" s="1"/>
  <c r="H42" i="4" s="1"/>
  <c r="K48" i="4" a="1"/>
  <c r="K48" i="4" s="1"/>
  <c r="I48" i="4"/>
  <c r="F48" i="4"/>
  <c r="G48" i="4" s="1"/>
  <c r="H48" i="4" s="1"/>
  <c r="K259" i="4" a="1"/>
  <c r="K259" i="4" s="1"/>
  <c r="I259" i="4"/>
  <c r="F259" i="4"/>
  <c r="G259" i="4" s="1"/>
  <c r="H259" i="4" s="1"/>
  <c r="K248" i="4" a="1"/>
  <c r="K248" i="4" s="1"/>
  <c r="I248" i="4"/>
  <c r="F248" i="4"/>
  <c r="G248" i="4" s="1"/>
  <c r="H248" i="4" s="1"/>
  <c r="K266" i="4" a="1"/>
  <c r="K266" i="4" s="1"/>
  <c r="I266" i="4"/>
  <c r="F266" i="4"/>
  <c r="G266" i="4" s="1"/>
  <c r="H266" i="4" s="1"/>
  <c r="K262" i="4" a="1"/>
  <c r="K262" i="4" s="1"/>
  <c r="I262" i="4"/>
  <c r="F262" i="4"/>
  <c r="G262" i="4" s="1"/>
  <c r="H262" i="4" s="1"/>
  <c r="K267" i="4" a="1"/>
  <c r="K267" i="4" s="1"/>
  <c r="I267" i="4"/>
  <c r="F267" i="4"/>
  <c r="G267" i="4" s="1"/>
  <c r="H267" i="4" s="1"/>
  <c r="K261" i="4" a="1"/>
  <c r="K261" i="4" s="1"/>
  <c r="I261" i="4"/>
  <c r="F261" i="4"/>
  <c r="G261" i="4" s="1"/>
  <c r="H261" i="4" s="1"/>
  <c r="K265" i="4" a="1"/>
  <c r="K265" i="4" s="1"/>
  <c r="I265" i="4"/>
  <c r="F265" i="4"/>
  <c r="G265" i="4" s="1"/>
  <c r="H265" i="4" s="1"/>
  <c r="K258" i="4" a="1"/>
  <c r="K258" i="4" s="1"/>
  <c r="I258" i="4"/>
  <c r="F258" i="4"/>
  <c r="G258" i="4" s="1"/>
  <c r="H258" i="4" s="1"/>
  <c r="K263" i="4" a="1"/>
  <c r="K263" i="4" s="1"/>
  <c r="I263" i="4"/>
  <c r="F263" i="4"/>
  <c r="G263" i="4" s="1"/>
  <c r="H263" i="4" s="1"/>
  <c r="K260" i="4" a="1"/>
  <c r="K260" i="4" s="1"/>
  <c r="I260" i="4"/>
  <c r="F260" i="4"/>
  <c r="G260" i="4" s="1"/>
  <c r="H260" i="4" s="1"/>
  <c r="K246" i="4" a="1"/>
  <c r="K246" i="4" s="1"/>
  <c r="I246" i="4"/>
  <c r="F246" i="4"/>
  <c r="G246" i="4" s="1"/>
  <c r="H246" i="4" s="1"/>
  <c r="K215" i="4" a="1"/>
  <c r="K215" i="4" s="1"/>
  <c r="I215" i="4"/>
  <c r="F215" i="4"/>
  <c r="G215" i="4" s="1"/>
  <c r="H215" i="4" s="1"/>
  <c r="K13" i="4" a="1"/>
  <c r="K13" i="4" s="1"/>
  <c r="I13" i="4"/>
  <c r="F13" i="4"/>
  <c r="G13" i="4" s="1"/>
  <c r="H13" i="4" s="1"/>
  <c r="K14" i="4" a="1"/>
  <c r="K14" i="4" s="1"/>
  <c r="I14" i="4"/>
  <c r="F14" i="4"/>
  <c r="G14" i="4" s="1"/>
  <c r="H14" i="4" s="1"/>
  <c r="K15" i="4" a="1"/>
  <c r="K15" i="4" s="1"/>
  <c r="I15" i="4"/>
  <c r="F15" i="4"/>
  <c r="G15" i="4" s="1"/>
  <c r="H15" i="4" s="1"/>
  <c r="K95" i="4" a="1"/>
  <c r="K95" i="4" s="1"/>
  <c r="I95" i="4"/>
  <c r="F95" i="4"/>
  <c r="G95" i="4" s="1"/>
  <c r="H95" i="4" s="1"/>
  <c r="H4" i="2"/>
  <c r="H11" i="2"/>
  <c r="I11" i="2" s="1"/>
  <c r="J11" i="2" s="1"/>
  <c r="H15" i="2"/>
  <c r="I15" i="2" s="1"/>
  <c r="J15" i="2" s="1"/>
  <c r="H22" i="2"/>
  <c r="I22" i="2" s="1"/>
  <c r="J22" i="2" s="1"/>
  <c r="H26" i="2"/>
  <c r="H33" i="2"/>
  <c r="H37" i="2"/>
  <c r="I37" i="2" s="1"/>
  <c r="J37" i="2" s="1"/>
  <c r="H44" i="2"/>
  <c r="I44" i="2" s="1"/>
  <c r="J44" i="2" s="1"/>
  <c r="H48" i="2"/>
  <c r="I48" i="2" s="1"/>
  <c r="J48" i="2" s="1"/>
  <c r="H55" i="2"/>
  <c r="I55" i="2" s="1"/>
  <c r="J55" i="2" s="1"/>
  <c r="H59" i="2"/>
  <c r="I59" i="2" s="1"/>
  <c r="J59" i="2" s="1"/>
  <c r="H66" i="2"/>
  <c r="I66" i="2" s="1"/>
  <c r="J66" i="2" s="1"/>
  <c r="K72" i="4" a="1"/>
  <c r="K72" i="4" s="1"/>
  <c r="I72" i="4"/>
  <c r="F72" i="4"/>
  <c r="G72" i="4" s="1"/>
  <c r="H72" i="4" s="1"/>
  <c r="K131" i="4" a="1"/>
  <c r="K131" i="4" s="1"/>
  <c r="I131" i="4"/>
  <c r="F131" i="4"/>
  <c r="G131" i="4" s="1"/>
  <c r="H131" i="4" s="1"/>
  <c r="K12" i="4" a="1"/>
  <c r="K12" i="4" s="1"/>
  <c r="I12" i="4"/>
  <c r="F12" i="4"/>
  <c r="G12" i="4" s="1"/>
  <c r="H12" i="4" s="1"/>
  <c r="T2" i="4" a="1"/>
  <c r="T2" i="4" s="1"/>
  <c r="I33" i="2" l="1"/>
  <c r="J33" i="2" s="1"/>
  <c r="I26" i="2"/>
  <c r="J26" i="2" s="1"/>
  <c r="I4" i="2"/>
  <c r="J4" i="2" s="1"/>
  <c r="I60" i="2"/>
  <c r="J60" i="2" s="1"/>
  <c r="I5" i="2"/>
  <c r="J5" i="2" s="1"/>
  <c r="C11" i="1"/>
  <c r="D11" i="1" s="1"/>
  <c r="H11" i="1" s="1"/>
  <c r="C13" i="1"/>
  <c r="D13" i="1" s="1"/>
  <c r="H13" i="1" s="1"/>
  <c r="C14" i="1"/>
  <c r="D14" i="1" s="1"/>
  <c r="H14" i="1" s="1"/>
  <c r="C19" i="1"/>
  <c r="D19" i="1" s="1"/>
  <c r="H19" i="1" s="1"/>
  <c r="C27" i="1"/>
  <c r="D27" i="1" s="1"/>
  <c r="H27" i="1" s="1"/>
  <c r="C26" i="1"/>
  <c r="D26" i="1" s="1"/>
  <c r="H26" i="1" s="1"/>
  <c r="C25" i="1"/>
  <c r="D25" i="1" s="1"/>
  <c r="H25" i="1" s="1"/>
  <c r="C12" i="1"/>
  <c r="D12" i="1" s="1"/>
  <c r="H12" i="1" s="1"/>
  <c r="B8" i="1"/>
  <c r="C17" i="1"/>
  <c r="D17" i="1" s="1"/>
  <c r="H17" i="1" s="1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E8" i="1" l="1"/>
  <c r="C8" i="1"/>
  <c r="G8" i="1" l="1"/>
  <c r="D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7F177C-AE36-4690-8421-49F3E2CEDC08}" keepAlive="1" name="Requête - tbl_BoissonJus" description="Connexion à la requête « tbl_BoissonJus » dans le classeur." type="5" refreshedVersion="0" background="1">
    <dbPr connection="Provider=Microsoft.Mashup.OleDb.1;Data Source=$Workbook$;Location=tbl_BoissonJus;Extended Properties=&quot;&quot;" command="SELECT * FROM [tbl_BoissonJus]"/>
  </connection>
  <connection id="2" xr16:uid="{1118E554-6EE1-455D-B6B1-29E0E2CC1A67}" keepAlive="1" name="Requête - tbl_PtDjSup" description="Connexion à la requête « tbl_PtDjSup » dans le classeur." type="5" refreshedVersion="0" background="1">
    <dbPr connection="Provider=Microsoft.Mashup.OleDb.1;Data Source=$Workbook$;Location=tbl_PtDjSup;Extended Properties=&quot;&quot;" command="SELECT * FROM [tbl_PtDjSup]"/>
  </connection>
  <connection id="3" xr16:uid="{9A535B41-210D-4F6C-9DDD-F4666E1BE186}" keepAlive="1" name="Requête - tbl_Recettes" description="Connexion à la requête « tbl_Recettes » dans le classeur." type="5" refreshedVersion="8" background="1" saveData="1">
    <dbPr connection="Provider=Microsoft.Mashup.OleDb.1;Data Source=$Workbook$;Location=tbl_Recettes;Extended Properties=&quot;&quot;" command="SELECT * FROM [tbl_Recettes]"/>
  </connection>
  <connection id="4" xr16:uid="{B45BCF52-2D65-4EFE-B010-75679FF647EA}" keepAlive="1" name="Requête - tbl_SnkIta" description="Connexion à la requête « tbl_SnkIta » dans le classeur." type="5" refreshedVersion="0" background="1">
    <dbPr connection="Provider=Microsoft.Mashup.OleDb.1;Data Source=$Workbook$;Location=tbl_SnkIta;Extended Properties=&quot;&quot;" command="SELECT * FROM [tbl_SnkIta]"/>
  </connection>
  <connection id="5" xr16:uid="{5FC70B1A-81A2-4FEF-B14F-137EF8F5DC8D}" keepAlive="1" name="Requête - tbl_TajPla" description="Connexion à la requête « tbl_TajPla » dans le classeur." type="5" refreshedVersion="0" background="1">
    <dbPr connection="Provider=Microsoft.Mashup.OleDb.1;Data Source=$Workbook$;Location=tbl_TajPla;Extended Properties=&quot;&quot;" command="SELECT * FROM [tbl_TajPla]"/>
  </connection>
  <connection id="6" xr16:uid="{F356DC1E-A597-425B-BC07-1B6D518DABE3}" keepAlive="1" name="Requête - tble_GaufCreDsrt" description="Connexion à la requête « tble_GaufCreDsrt » dans le classeur." type="5" refreshedVersion="0" background="1">
    <dbPr connection="Provider=Microsoft.Mashup.OleDb.1;Data Source=$Workbook$;Location=tble_GaufCreDsrt;Extended Properties=&quot;&quot;" command="SELECT * FROM [tble_GaufCreDsr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<sst xmlns="http://schemas.openxmlformats.org/spreadsheetml/2006/main" count="8690" uniqueCount="1301">
  <si>
    <t>Date début</t>
  </si>
  <si>
    <t>Date fin</t>
  </si>
  <si>
    <t>Total charges fixes mensuelles</t>
  </si>
  <si>
    <t>Total CA sur la période</t>
  </si>
  <si>
    <t>Charges fixes par portion</t>
  </si>
  <si>
    <t>Charges fixes de la période</t>
  </si>
  <si>
    <t>Nombre de jours analysés</t>
  </si>
  <si>
    <t>Total CA</t>
  </si>
  <si>
    <t>Coût matière total</t>
  </si>
  <si>
    <t>Marge brute  total</t>
  </si>
  <si>
    <t xml:space="preserve">Food cost % </t>
  </si>
  <si>
    <t>Marge nette après charges</t>
  </si>
  <si>
    <t>Famille</t>
  </si>
  <si>
    <t>CA Famille</t>
  </si>
  <si>
    <t>Coût matière Famille</t>
  </si>
  <si>
    <t>Marge brute famille</t>
  </si>
  <si>
    <t>Charges globales réparties</t>
  </si>
  <si>
    <t>Charges spécifiques</t>
  </si>
  <si>
    <t>Charges totales</t>
  </si>
  <si>
    <t>Marge nette</t>
  </si>
  <si>
    <t>Petits déjeuners</t>
  </si>
  <si>
    <t>Œufs &amp; Omelettes</t>
  </si>
  <si>
    <t>à la carte</t>
  </si>
  <si>
    <t>Suppléments</t>
  </si>
  <si>
    <t>Entrées &amp; Salades</t>
  </si>
  <si>
    <t>Poulet</t>
  </si>
  <si>
    <t>Boucherie</t>
  </si>
  <si>
    <t>Poissons &amp; Fruits de mer</t>
  </si>
  <si>
    <t>Tajines &amp; Coin marocain</t>
  </si>
  <si>
    <t>Pâtes</t>
  </si>
  <si>
    <t>Pizzas</t>
  </si>
  <si>
    <t>Snack</t>
  </si>
  <si>
    <t>Glaces &amp; Desserts</t>
  </si>
  <si>
    <t>Crêpes &amp; Gaufres</t>
  </si>
  <si>
    <t>Boissons chaudes</t>
  </si>
  <si>
    <t>Jus Frais</t>
  </si>
  <si>
    <t>Milkshakes</t>
  </si>
  <si>
    <t>Smoothies &amp; Coctails</t>
  </si>
  <si>
    <t>Boissons froides</t>
  </si>
  <si>
    <t>Date</t>
  </si>
  <si>
    <t>Mois</t>
  </si>
  <si>
    <t>Produit</t>
  </si>
  <si>
    <t>Cde_Prdt</t>
  </si>
  <si>
    <t>Qté Vendue</t>
  </si>
  <si>
    <t>Prix Menu</t>
  </si>
  <si>
    <t>CA ligne</t>
  </si>
  <si>
    <t>CMP_par_portion</t>
  </si>
  <si>
    <t>Coût matière ligne</t>
  </si>
  <si>
    <t>Marge ligne</t>
  </si>
  <si>
    <t>Jus orange</t>
  </si>
  <si>
    <t>Café Américain</t>
  </si>
  <si>
    <t>Milkshakes Snickers</t>
  </si>
  <si>
    <t>Tajine de maazi et jelbana 1/2Kg</t>
  </si>
  <si>
    <t>Cocktails Mojito strawberry</t>
  </si>
  <si>
    <t>Tajine de poulet beldi (citron confit) 1Kg</t>
  </si>
  <si>
    <t>Cocktails Virgin mojito</t>
  </si>
  <si>
    <t>Soft drinks Soda</t>
  </si>
  <si>
    <t>Marocain</t>
  </si>
  <si>
    <t>Foie de veau</t>
  </si>
  <si>
    <t>Eau minérale 50cl</t>
  </si>
  <si>
    <t>Eau minérale 33 cl</t>
  </si>
  <si>
    <t>Tacos Cordon bleu</t>
  </si>
  <si>
    <t>Linguini ragout viande</t>
  </si>
  <si>
    <t>Eau minérale 1,5L</t>
  </si>
  <si>
    <t>Nespresso Double</t>
  </si>
  <si>
    <t>Ca Journalier</t>
  </si>
  <si>
    <t>Soft drinks Oulmes</t>
  </si>
  <si>
    <t>CA Mansuel</t>
  </si>
  <si>
    <t>Tacos poulet</t>
  </si>
  <si>
    <t>Cocktails Pina colada</t>
  </si>
  <si>
    <t>Norvégien</t>
  </si>
  <si>
    <t>Casserole turque</t>
  </si>
  <si>
    <t>Saucisse poulet fromage</t>
  </si>
  <si>
    <t>Tajine souiri</t>
  </si>
  <si>
    <t>Tajine de poulet beldi (citron confit) 1/2Kg</t>
  </si>
  <si>
    <t>Tajine de begri aux légumes 1Kg</t>
  </si>
  <si>
    <t>Couscous viande (vendredi)</t>
  </si>
  <si>
    <t>Tajine de ghenmi aux légumes 1Kg</t>
  </si>
  <si>
    <t>Tajine de lapin 1Kg</t>
  </si>
  <si>
    <t>Traditionnel</t>
  </si>
  <si>
    <t>Omelette aux épinards</t>
  </si>
  <si>
    <t>Viennoiserie G</t>
  </si>
  <si>
    <t>Fromage Triangle</t>
  </si>
  <si>
    <t>Côtelette d'Agneau</t>
  </si>
  <si>
    <t>Chich kebab agneau</t>
  </si>
  <si>
    <t>ID_Charge</t>
  </si>
  <si>
    <t>Colonne1</t>
  </si>
  <si>
    <t>Libellé</t>
  </si>
  <si>
    <t>Famille affectée</t>
  </si>
  <si>
    <t>Montant_Mensuel</t>
  </si>
  <si>
    <t>Fréquence</t>
  </si>
  <si>
    <t>Type d’affectation</t>
  </si>
  <si>
    <t>CHA001</t>
  </si>
  <si>
    <t>Occupation</t>
  </si>
  <si>
    <t>Loyer local</t>
  </si>
  <si>
    <t>Globale</t>
  </si>
  <si>
    <t>Mensuelle</t>
  </si>
  <si>
    <t>CHA002</t>
  </si>
  <si>
    <t>Assurance local</t>
  </si>
  <si>
    <t>CHA003</t>
  </si>
  <si>
    <t>Salaires</t>
  </si>
  <si>
    <t>Assurance Salariés (AT+Transport)</t>
  </si>
  <si>
    <t>CHA004</t>
  </si>
  <si>
    <t>Salaires Petits déjeuners</t>
  </si>
  <si>
    <t>Spécifique</t>
  </si>
  <si>
    <t>CHA005</t>
  </si>
  <si>
    <t>Salaires Œufs &amp; Omelettes</t>
  </si>
  <si>
    <t>CHA006</t>
  </si>
  <si>
    <t>Salaires à la carte</t>
  </si>
  <si>
    <t>CHA007</t>
  </si>
  <si>
    <t>Salaires Sérveur</t>
  </si>
  <si>
    <t>CHA008</t>
  </si>
  <si>
    <t>Salaires Entrées &amp; Salades</t>
  </si>
  <si>
    <t>CHA009</t>
  </si>
  <si>
    <t>Salaires Poulet</t>
  </si>
  <si>
    <t>CHA011</t>
  </si>
  <si>
    <t>Salaires Boucherie</t>
  </si>
  <si>
    <t>CHA012</t>
  </si>
  <si>
    <t>Salaires Poissons &amp; Fruits de mer</t>
  </si>
  <si>
    <t>CHA013</t>
  </si>
  <si>
    <t>Salaires Tajines &amp; Coin marocain</t>
  </si>
  <si>
    <t>CHA014</t>
  </si>
  <si>
    <t>Salaires Pâtes</t>
  </si>
  <si>
    <t>CHA015</t>
  </si>
  <si>
    <t>Salaires Pizzas</t>
  </si>
  <si>
    <t>CHA016</t>
  </si>
  <si>
    <t>Salaires Snack</t>
  </si>
  <si>
    <t>CHA017</t>
  </si>
  <si>
    <t>Salaires Glaces &amp; Desserts</t>
  </si>
  <si>
    <t>CHA018</t>
  </si>
  <si>
    <t>Salaires Crêpes &amp; Gaufres</t>
  </si>
  <si>
    <t>CHA019</t>
  </si>
  <si>
    <t>Salaires Boissons chaudes</t>
  </si>
  <si>
    <t>CHA020</t>
  </si>
  <si>
    <t>Salaires Jus Frais</t>
  </si>
  <si>
    <t>CHA021</t>
  </si>
  <si>
    <t>Salaires Milkshakes</t>
  </si>
  <si>
    <t>CHA022</t>
  </si>
  <si>
    <t>Salaires Smoothies &amp; Coctails</t>
  </si>
  <si>
    <t>CHA023</t>
  </si>
  <si>
    <t>Salaires Boissons froides</t>
  </si>
  <si>
    <t>CHA024</t>
  </si>
  <si>
    <t>Charges patronales</t>
  </si>
  <si>
    <t>CHA025</t>
  </si>
  <si>
    <t>Avantages salariés (repas, remises)</t>
  </si>
  <si>
    <t>CHA026</t>
  </si>
  <si>
    <t>CHA027</t>
  </si>
  <si>
    <t>CHA028</t>
  </si>
  <si>
    <t>CHA029</t>
  </si>
  <si>
    <t>Energie</t>
  </si>
  <si>
    <t>Électricité</t>
  </si>
  <si>
    <t>CHA030</t>
  </si>
  <si>
    <t>Gaz / cuisson</t>
  </si>
  <si>
    <t>CHA031</t>
  </si>
  <si>
    <t>Eau &amp; Assainissement</t>
  </si>
  <si>
    <t>Eau</t>
  </si>
  <si>
    <t>CHA032</t>
  </si>
  <si>
    <t>Entretien</t>
  </si>
  <si>
    <t>Maintenance équipements</t>
  </si>
  <si>
    <t>CHA033</t>
  </si>
  <si>
    <t>Nettoyage &amp; produits entretien</t>
  </si>
  <si>
    <t>CHA034</t>
  </si>
  <si>
    <t>Fournitures</t>
  </si>
  <si>
    <t>Vaisselle jetable &amp; consommables</t>
  </si>
  <si>
    <t>CHA035</t>
  </si>
  <si>
    <t>Papeterie, menus, fournitures admin</t>
  </si>
  <si>
    <t>CHA036</t>
  </si>
  <si>
    <t>Marketing</t>
  </si>
  <si>
    <t>Publicité &amp; réseaux sociaux</t>
  </si>
  <si>
    <t>CHA037</t>
  </si>
  <si>
    <t>IT / Télécom</t>
  </si>
  <si>
    <t>Internet / Téléphone</t>
  </si>
  <si>
    <t>CHA038</t>
  </si>
  <si>
    <t>IT / Logiciels</t>
  </si>
  <si>
    <t>Abonnements (Caisse, Cloud)</t>
  </si>
  <si>
    <t>CHA039</t>
  </si>
  <si>
    <t>Finance</t>
  </si>
  <si>
    <t>Charges bancaires / commissions CB</t>
  </si>
  <si>
    <t>CHA040</t>
  </si>
  <si>
    <t>Fiscalité</t>
  </si>
  <si>
    <t>Taxes locales / redevances</t>
  </si>
  <si>
    <t>CHA041</t>
  </si>
  <si>
    <t>Sécurité</t>
  </si>
  <si>
    <t>Système alarme / vidéosurveillance</t>
  </si>
  <si>
    <t>CHA042</t>
  </si>
  <si>
    <t>Juridique &amp; Pro</t>
  </si>
  <si>
    <t>Honoraires comptable / avocat</t>
  </si>
  <si>
    <t>CHA043</t>
  </si>
  <si>
    <t>Divers / Réserve</t>
  </si>
  <si>
    <t>Provision imprévus / SAV</t>
  </si>
  <si>
    <t>total des charges globales</t>
  </si>
  <si>
    <t>Coût Moyen Portion</t>
  </si>
  <si>
    <t>Marge Brute</t>
  </si>
  <si>
    <t>% Contribution</t>
  </si>
  <si>
    <t>Scoring</t>
  </si>
  <si>
    <t>% de Chrg Fixe /Prdt</t>
  </si>
  <si>
    <t>Marge nette /Prdt</t>
  </si>
  <si>
    <t xml:space="preserve">Seuils Tolérés </t>
  </si>
  <si>
    <t xml:space="preserve"> Charges fixes par portion</t>
  </si>
  <si>
    <t>Cde_Ingrdt</t>
  </si>
  <si>
    <t>Ingrédient</t>
  </si>
  <si>
    <t>Quantité</t>
  </si>
  <si>
    <t>Unité</t>
  </si>
  <si>
    <t>PDJ001</t>
  </si>
  <si>
    <t>BOU004</t>
  </si>
  <si>
    <t>Toast Céréale</t>
  </si>
  <si>
    <t>Pièce</t>
  </si>
  <si>
    <t>FRU002</t>
  </si>
  <si>
    <t>Guacamole D’Avocat</t>
  </si>
  <si>
    <t>g</t>
  </si>
  <si>
    <t>PRL001</t>
  </si>
  <si>
    <t>Oeufs Entiers</t>
  </si>
  <si>
    <t>POI001</t>
  </si>
  <si>
    <t>Saumon Fumé</t>
  </si>
  <si>
    <t>PRL005</t>
  </si>
  <si>
    <t>Fromage Blanc</t>
  </si>
  <si>
    <t>PDJ002</t>
  </si>
  <si>
    <t>BOU001</t>
  </si>
  <si>
    <t>Pain Varie Pistolet</t>
  </si>
  <si>
    <t>SOS004</t>
  </si>
  <si>
    <t>Sauce Tomate</t>
  </si>
  <si>
    <t>ml</t>
  </si>
  <si>
    <t>LEG003</t>
  </si>
  <si>
    <t>Tomate Cerise</t>
  </si>
  <si>
    <t>PRL009</t>
  </si>
  <si>
    <t>Fromage Spécial</t>
  </si>
  <si>
    <t>VEA001</t>
  </si>
  <si>
    <t>Saucisse de Veau</t>
  </si>
  <si>
    <t>Américain</t>
  </si>
  <si>
    <t>PDJ003</t>
  </si>
  <si>
    <t>Amsterdam</t>
  </si>
  <si>
    <t>PDJ004</t>
  </si>
  <si>
    <t>PRL014</t>
  </si>
  <si>
    <t>Edam</t>
  </si>
  <si>
    <t>Dinde Fumée</t>
  </si>
  <si>
    <t>Espagnol</t>
  </si>
  <si>
    <t>PDJ005</t>
  </si>
  <si>
    <t>BOU003</t>
  </si>
  <si>
    <t>Pain Grillé</t>
  </si>
  <si>
    <t>LEG005</t>
  </si>
  <si>
    <t>Purée De Tomate</t>
  </si>
  <si>
    <t>CDM021</t>
  </si>
  <si>
    <t>Tapenade d'Olive</t>
  </si>
  <si>
    <t>PRL015</t>
  </si>
  <si>
    <t>Manchego</t>
  </si>
  <si>
    <t>SOS014</t>
  </si>
  <si>
    <t>Huile À L’Ail</t>
  </si>
  <si>
    <t>Berlin</t>
  </si>
  <si>
    <t>PDJ006</t>
  </si>
  <si>
    <t>BOU013</t>
  </si>
  <si>
    <t>Pain burger</t>
  </si>
  <si>
    <t>SOS012</t>
  </si>
  <si>
    <t>Sauce Fromagère</t>
  </si>
  <si>
    <t>LEG017</t>
  </si>
  <si>
    <t>Epinards</t>
  </si>
  <si>
    <t>FRU001</t>
  </si>
  <si>
    <t>Avocat</t>
  </si>
  <si>
    <t>Chamali</t>
  </si>
  <si>
    <t>PDJ007</t>
  </si>
  <si>
    <t>BOI013</t>
  </si>
  <si>
    <t>Tagine Bissara</t>
  </si>
  <si>
    <t>BOI014</t>
  </si>
  <si>
    <t>Thé Chamali</t>
  </si>
  <si>
    <t>PRL020</t>
  </si>
  <si>
    <t>Jben Arabi</t>
  </si>
  <si>
    <t>Continental</t>
  </si>
  <si>
    <t>PDJ008</t>
  </si>
  <si>
    <t>PRL006</t>
  </si>
  <si>
    <t>PDJ009</t>
  </si>
  <si>
    <t>Khlie</t>
  </si>
  <si>
    <t>PDJ010</t>
  </si>
  <si>
    <t>BOU008</t>
  </si>
  <si>
    <t>Rghifa</t>
  </si>
  <si>
    <t>BOU009</t>
  </si>
  <si>
    <t>Harcha</t>
  </si>
  <si>
    <t>BOU010</t>
  </si>
  <si>
    <t>Baghrire</t>
  </si>
  <si>
    <t>PRL012</t>
  </si>
  <si>
    <t>Beurre De Table</t>
  </si>
  <si>
    <t>PSU001</t>
  </si>
  <si>
    <t>Confiture</t>
  </si>
  <si>
    <t>PSU002</t>
  </si>
  <si>
    <t>Amlou Amande</t>
  </si>
  <si>
    <t>PSU018</t>
  </si>
  <si>
    <t>Miel</t>
  </si>
  <si>
    <t>Parisien</t>
  </si>
  <si>
    <t>PDJ011</t>
  </si>
  <si>
    <t>BOU006</t>
  </si>
  <si>
    <t>Pain Au Chocolat P</t>
  </si>
  <si>
    <t>BOU005</t>
  </si>
  <si>
    <t>Croissant</t>
  </si>
  <si>
    <t>Omelette aux crevettes</t>
  </si>
  <si>
    <t>OME001</t>
  </si>
  <si>
    <t>FDM001</t>
  </si>
  <si>
    <t>Crevettes</t>
  </si>
  <si>
    <t>PRL013</t>
  </si>
  <si>
    <t>Beurre Cuisine</t>
  </si>
  <si>
    <t>CDM020</t>
  </si>
  <si>
    <t>Huile D’Olive</t>
  </si>
  <si>
    <t>EPI005</t>
  </si>
  <si>
    <t>Sel, poivre</t>
  </si>
  <si>
    <t>Omelette au fromage et dinde fumée</t>
  </si>
  <si>
    <t>OME002</t>
  </si>
  <si>
    <t>PRL007</t>
  </si>
  <si>
    <t>Fromage Râpé</t>
  </si>
  <si>
    <t>Omelette maison</t>
  </si>
  <si>
    <t>OME003</t>
  </si>
  <si>
    <t>LEG002</t>
  </si>
  <si>
    <t>Tomate</t>
  </si>
  <si>
    <t>LEG007</t>
  </si>
  <si>
    <t>Oignon</t>
  </si>
  <si>
    <t>CDM004</t>
  </si>
  <si>
    <t>Champignons En Boites</t>
  </si>
  <si>
    <t>Omelette végétarienne</t>
  </si>
  <si>
    <t>OME004</t>
  </si>
  <si>
    <t>LEG012</t>
  </si>
  <si>
    <t>Poivrons Vert</t>
  </si>
  <si>
    <t>OME005</t>
  </si>
  <si>
    <t>Omelette au fromage</t>
  </si>
  <si>
    <t>OME006</t>
  </si>
  <si>
    <t>Omelette nature</t>
  </si>
  <si>
    <t>OME007</t>
  </si>
  <si>
    <t>Regraga à la carte</t>
  </si>
  <si>
    <t>OND001</t>
  </si>
  <si>
    <t>PRL021</t>
  </si>
  <si>
    <t>Fromage Rouge</t>
  </si>
  <si>
    <t>Baghrira avec amlou</t>
  </si>
  <si>
    <t>OND002</t>
  </si>
  <si>
    <t>CDM015</t>
  </si>
  <si>
    <t>Croques fromage et dinde fumée</t>
  </si>
  <si>
    <t>OND003</t>
  </si>
  <si>
    <t>Fromage rouge</t>
  </si>
  <si>
    <t>SUP001</t>
  </si>
  <si>
    <t>Amlou amande</t>
  </si>
  <si>
    <t>SUP002</t>
  </si>
  <si>
    <t>Charcuterie</t>
  </si>
  <si>
    <t>SUP003</t>
  </si>
  <si>
    <t>Charcuterie (Mix)</t>
  </si>
  <si>
    <t>Huile d’olive</t>
  </si>
  <si>
    <t>SUP004</t>
  </si>
  <si>
    <t>SUP005</t>
  </si>
  <si>
    <t>BOU007</t>
  </si>
  <si>
    <t>Pain Au Chocolat G</t>
  </si>
  <si>
    <t>Viennoiserie P</t>
  </si>
  <si>
    <t>SUP006</t>
  </si>
  <si>
    <t>SUP007</t>
  </si>
  <si>
    <t>Pain</t>
  </si>
  <si>
    <t>SUP008</t>
  </si>
  <si>
    <t>SUP010</t>
  </si>
  <si>
    <t>Salade Regraga</t>
  </si>
  <si>
    <t>ENT001</t>
  </si>
  <si>
    <t>FEC006</t>
  </si>
  <si>
    <t>Ebly</t>
  </si>
  <si>
    <t>FDM002</t>
  </si>
  <si>
    <t>Calamars</t>
  </si>
  <si>
    <t>FRU006</t>
  </si>
  <si>
    <t>Mangue</t>
  </si>
  <si>
    <t>FRU012</t>
  </si>
  <si>
    <t>Ananas</t>
  </si>
  <si>
    <t>LEG021</t>
  </si>
  <si>
    <t>Chou Rouge</t>
  </si>
  <si>
    <t>FDM005</t>
  </si>
  <si>
    <t>Vermicelle de Crevette</t>
  </si>
  <si>
    <t>LEG024</t>
  </si>
  <si>
    <t>Haricots Vert</t>
  </si>
  <si>
    <t>LEG011</t>
  </si>
  <si>
    <t>Salade Russe</t>
  </si>
  <si>
    <t>Salade pêcheur</t>
  </si>
  <si>
    <t>ENT002</t>
  </si>
  <si>
    <t>LEG009</t>
  </si>
  <si>
    <t>Laitue Frisée</t>
  </si>
  <si>
    <t>FDM003</t>
  </si>
  <si>
    <t>Crevettes Grise</t>
  </si>
  <si>
    <t>SOS016</t>
  </si>
  <si>
    <t>Sauce Salade</t>
  </si>
  <si>
    <t>Salade tartare de saumon</t>
  </si>
  <si>
    <t>ENT003</t>
  </si>
  <si>
    <t>POI002</t>
  </si>
  <si>
    <t>Saumon frais</t>
  </si>
  <si>
    <t>Salade avocat crevettes</t>
  </si>
  <si>
    <t>ENT004</t>
  </si>
  <si>
    <t>CDM018</t>
  </si>
  <si>
    <t>Quinoa</t>
  </si>
  <si>
    <t>Salade César</t>
  </si>
  <si>
    <t>ENT005</t>
  </si>
  <si>
    <t>LEG008</t>
  </si>
  <si>
    <t>Laitue Romaine</t>
  </si>
  <si>
    <t>BOU012</t>
  </si>
  <si>
    <t>Croûtons</t>
  </si>
  <si>
    <t>VOL001</t>
  </si>
  <si>
    <t>Blanc de poulet</t>
  </si>
  <si>
    <t>PRL016</t>
  </si>
  <si>
    <t>Parmesan</t>
  </si>
  <si>
    <t>SOS011</t>
  </si>
  <si>
    <t>Sauce César</t>
  </si>
  <si>
    <t>Salade niçoise</t>
  </si>
  <si>
    <t>ENT006</t>
  </si>
  <si>
    <t>LEG006</t>
  </si>
  <si>
    <t>Pomme de Terre</t>
  </si>
  <si>
    <t>POI010</t>
  </si>
  <si>
    <t>Thon</t>
  </si>
  <si>
    <t>LEG020</t>
  </si>
  <si>
    <t>Carotte</t>
  </si>
  <si>
    <t>FEC004</t>
  </si>
  <si>
    <t>Riz cuit</t>
  </si>
  <si>
    <t>PUL001</t>
  </si>
  <si>
    <t>VOL007</t>
  </si>
  <si>
    <t>Saucisse Poulet</t>
  </si>
  <si>
    <t>Saucisse poulet nature</t>
  </si>
  <si>
    <t>PUL002</t>
  </si>
  <si>
    <t>Cordon bleu</t>
  </si>
  <si>
    <t>PUL003</t>
  </si>
  <si>
    <t>VOL006</t>
  </si>
  <si>
    <t>Cordon Bleu Poulet</t>
  </si>
  <si>
    <t>Escalope au fromage</t>
  </si>
  <si>
    <t>PUL004</t>
  </si>
  <si>
    <t>VOL003</t>
  </si>
  <si>
    <t>Escalope Poulet</t>
  </si>
  <si>
    <t>Brochette chich kebab</t>
  </si>
  <si>
    <t>PUL005</t>
  </si>
  <si>
    <t>LEG013</t>
  </si>
  <si>
    <t>Poivrons Rouge</t>
  </si>
  <si>
    <t>LEG014</t>
  </si>
  <si>
    <t>Poivrons Jaune</t>
  </si>
  <si>
    <t>Filet de poulet</t>
  </si>
  <si>
    <t>PUL006</t>
  </si>
  <si>
    <t>VOL002</t>
  </si>
  <si>
    <t>Filet Poulet</t>
  </si>
  <si>
    <t>Poulet mariné</t>
  </si>
  <si>
    <t>PUL007</t>
  </si>
  <si>
    <t>Brochette de poulet</t>
  </si>
  <si>
    <t>PUL008</t>
  </si>
  <si>
    <t>VIA001</t>
  </si>
  <si>
    <t>AGN004</t>
  </si>
  <si>
    <t>Côtelettes D'Agneau</t>
  </si>
  <si>
    <t>Saucisse de foie d'Agneau</t>
  </si>
  <si>
    <t>VIA003</t>
  </si>
  <si>
    <t>Saucisse de foie Veau</t>
  </si>
  <si>
    <t>VIA002</t>
  </si>
  <si>
    <t>VEA005</t>
  </si>
  <si>
    <t>Saucisse de Foie de Veau</t>
  </si>
  <si>
    <t>Rumsteak de veau</t>
  </si>
  <si>
    <t>VIA004</t>
  </si>
  <si>
    <t>VEA007</t>
  </si>
  <si>
    <t>Rumsteak Veau</t>
  </si>
  <si>
    <t>Filet de veau</t>
  </si>
  <si>
    <t>VIA005</t>
  </si>
  <si>
    <t>VEA002</t>
  </si>
  <si>
    <t>Filet Veau</t>
  </si>
  <si>
    <t>Entrecôte de veau</t>
  </si>
  <si>
    <t>VIA006</t>
  </si>
  <si>
    <t>VEA008</t>
  </si>
  <si>
    <t>Entrecôte Veau</t>
  </si>
  <si>
    <t>Faux-filet de veau</t>
  </si>
  <si>
    <t>VIA007</t>
  </si>
  <si>
    <t>VEA009</t>
  </si>
  <si>
    <t>Faux-Filet Veau</t>
  </si>
  <si>
    <t>Foie d’agneau</t>
  </si>
  <si>
    <t>VIA008</t>
  </si>
  <si>
    <t>AGN006</t>
  </si>
  <si>
    <t>Foie D'Agneau</t>
  </si>
  <si>
    <t>VIA009</t>
  </si>
  <si>
    <t>VEA010</t>
  </si>
  <si>
    <t>Foie Veau</t>
  </si>
  <si>
    <t>Merguez (nature, piquant, normal)</t>
  </si>
  <si>
    <t>VIA010</t>
  </si>
  <si>
    <t>AGN011</t>
  </si>
  <si>
    <t>Merguez D'Agneau Nature</t>
  </si>
  <si>
    <t>AGN010</t>
  </si>
  <si>
    <t>Merguez D'Agneau Piquant</t>
  </si>
  <si>
    <t>Viande hachée Nature</t>
  </si>
  <si>
    <t>VIA012</t>
  </si>
  <si>
    <t>BOE001</t>
  </si>
  <si>
    <t>Viande Hachée Nature</t>
  </si>
  <si>
    <t>Viande hachée Préparée</t>
  </si>
  <si>
    <t>VIA011</t>
  </si>
  <si>
    <t>BOE002</t>
  </si>
  <si>
    <t>Viande Hachée Préparée</t>
  </si>
  <si>
    <t>BOE003</t>
  </si>
  <si>
    <t>Viande Hachée Graisse</t>
  </si>
  <si>
    <t>Escalope de veau</t>
  </si>
  <si>
    <t>VIA013</t>
  </si>
  <si>
    <t>VEA011</t>
  </si>
  <si>
    <t>Escalope Veau</t>
  </si>
  <si>
    <t>Tranche de veau</t>
  </si>
  <si>
    <t>VIA014</t>
  </si>
  <si>
    <t>VEA006</t>
  </si>
  <si>
    <t>Tranche de Veau</t>
  </si>
  <si>
    <t>VIA015</t>
  </si>
  <si>
    <t>AGN007</t>
  </si>
  <si>
    <t>Rate farcie</t>
  </si>
  <si>
    <t>VIA016</t>
  </si>
  <si>
    <t>BOE004</t>
  </si>
  <si>
    <t>Rate Farcie</t>
  </si>
  <si>
    <t>Friture de poisson au kg</t>
  </si>
  <si>
    <t>POI005</t>
  </si>
  <si>
    <t>Poissons variés (sardines, merlan, sole)</t>
  </si>
  <si>
    <t>LEG025</t>
  </si>
  <si>
    <t>Citron</t>
  </si>
  <si>
    <t>Friture de poisson (kg / pax)</t>
  </si>
  <si>
    <t>Paella Mixte</t>
  </si>
  <si>
    <t>POI003</t>
  </si>
  <si>
    <t>FEC005</t>
  </si>
  <si>
    <t>Riz rond spécial paella</t>
  </si>
  <si>
    <t>FDM004</t>
  </si>
  <si>
    <t>Moules</t>
  </si>
  <si>
    <t>CDM007</t>
  </si>
  <si>
    <t>Petits Pois</t>
  </si>
  <si>
    <t>CDM013</t>
  </si>
  <si>
    <t>Bouillon de poisson</t>
  </si>
  <si>
    <t>EPI002</t>
  </si>
  <si>
    <t>Safran</t>
  </si>
  <si>
    <t>POI006</t>
  </si>
  <si>
    <t>Poisson Du Jours</t>
  </si>
  <si>
    <t>EPI007</t>
  </si>
  <si>
    <t>Coriandre</t>
  </si>
  <si>
    <t>LEG029</t>
  </si>
  <si>
    <t>Persil Frais</t>
  </si>
  <si>
    <t>EPI001</t>
  </si>
  <si>
    <t>Pil pil (crevettes, calamars, moules)</t>
  </si>
  <si>
    <t>LEG027</t>
  </si>
  <si>
    <t>Ail</t>
  </si>
  <si>
    <t>Soupe de poisson</t>
  </si>
  <si>
    <t>POI007</t>
  </si>
  <si>
    <t>Filet De Poisson Blanc</t>
  </si>
  <si>
    <t>LEG026</t>
  </si>
  <si>
    <t>Célerie</t>
  </si>
  <si>
    <t>Grande Pastilla</t>
  </si>
  <si>
    <t>POI008</t>
  </si>
  <si>
    <t>Paella Royale</t>
  </si>
  <si>
    <t>POI004</t>
  </si>
  <si>
    <t>Grand poisson farci</t>
  </si>
  <si>
    <t>POI009</t>
  </si>
  <si>
    <t>Darne de saumon sauce hollandaise</t>
  </si>
  <si>
    <t>SOS017</t>
  </si>
  <si>
    <t>Sauce Hollandaise</t>
  </si>
  <si>
    <t>LEG028</t>
  </si>
  <si>
    <t>Echalote</t>
  </si>
  <si>
    <t>Trio de poisson à la plancha</t>
  </si>
  <si>
    <t>POI011</t>
  </si>
  <si>
    <t>SOS005</t>
  </si>
  <si>
    <t>Sauce à L'ail</t>
  </si>
  <si>
    <t>Filet de Saint-Pierre</t>
  </si>
  <si>
    <t>POI012</t>
  </si>
  <si>
    <t>Saint-Pierre</t>
  </si>
  <si>
    <t>PRL023</t>
  </si>
  <si>
    <t>Crème Fraîche</t>
  </si>
  <si>
    <t>Filet de poisson blanc au bordelais</t>
  </si>
  <si>
    <t>POI013</t>
  </si>
  <si>
    <t>SOS006</t>
  </si>
  <si>
    <t>Crème de Poireau</t>
  </si>
  <si>
    <t>Ossobuco de veau</t>
  </si>
  <si>
    <t>VIA017</t>
  </si>
  <si>
    <t>VEA003</t>
  </si>
  <si>
    <t>Jarret de Veau</t>
  </si>
  <si>
    <t>LEG001</t>
  </si>
  <si>
    <t>Garniture de Légumes</t>
  </si>
  <si>
    <t>Filet de bœuf grillé</t>
  </si>
  <si>
    <t>VIA018</t>
  </si>
  <si>
    <t>BOE010</t>
  </si>
  <si>
    <t>Filet Bœuf</t>
  </si>
  <si>
    <t>Souris d’agneau sauce fromage</t>
  </si>
  <si>
    <t>VIA019</t>
  </si>
  <si>
    <t>AGN005</t>
  </si>
  <si>
    <t>Souris D'Agneau</t>
  </si>
  <si>
    <t>Faux-filet grillé aux légumes</t>
  </si>
  <si>
    <t>VIA020</t>
  </si>
  <si>
    <t>BOE009</t>
  </si>
  <si>
    <t>Faux-Filet Bœuf</t>
  </si>
  <si>
    <t>Picatta de bœuf</t>
  </si>
  <si>
    <t>VIA021</t>
  </si>
  <si>
    <t>BOE008</t>
  </si>
  <si>
    <t>Emincé de Bœuf</t>
  </si>
  <si>
    <t>LEG018</t>
  </si>
  <si>
    <t>Champignons Frais</t>
  </si>
  <si>
    <t>Escalope de poulet façon bonne femme</t>
  </si>
  <si>
    <t>PUL010</t>
  </si>
  <si>
    <t>CDM005</t>
  </si>
  <si>
    <t>Câpres</t>
  </si>
  <si>
    <t>SOS019</t>
  </si>
  <si>
    <t>Sauce crème légère</t>
  </si>
  <si>
    <t>Suprême de poulet fromage &amp; épinard</t>
  </si>
  <si>
    <t>PUL011</t>
  </si>
  <si>
    <t>Émincé de poulet champignons</t>
  </si>
  <si>
    <t>PUL012</t>
  </si>
  <si>
    <t>Émincé de poulet moutarde à l’ancienne</t>
  </si>
  <si>
    <t>PUL013</t>
  </si>
  <si>
    <t>SOS013</t>
  </si>
  <si>
    <t>Moutarde À L’Ancienne</t>
  </si>
  <si>
    <t>Brochette de poulet à l’oriental</t>
  </si>
  <si>
    <t>PUL014</t>
  </si>
  <si>
    <t>TAJ001</t>
  </si>
  <si>
    <t>AGN001</t>
  </si>
  <si>
    <t>Viande de Maazi</t>
  </si>
  <si>
    <t>Tajine de maazi et jelbana 1Kg</t>
  </si>
  <si>
    <t>TAJ002</t>
  </si>
  <si>
    <t>Tajine de ghenmi aux légumes 1/2Kg</t>
  </si>
  <si>
    <t>TAJ003</t>
  </si>
  <si>
    <t>AGN002</t>
  </si>
  <si>
    <t>Vande d'Agneau (Tagine)</t>
  </si>
  <si>
    <t>LEG015</t>
  </si>
  <si>
    <t>Courgette</t>
  </si>
  <si>
    <t>TAJ004</t>
  </si>
  <si>
    <t>Tajine de poulet beldi (raisins/oignons ) 1/2Kg</t>
  </si>
  <si>
    <t>TAJ005</t>
  </si>
  <si>
    <t>VOL008</t>
  </si>
  <si>
    <t>Poulet Beldi (Tajine)</t>
  </si>
  <si>
    <t>CDM009</t>
  </si>
  <si>
    <t>Raisins Secs</t>
  </si>
  <si>
    <t>EPI003</t>
  </si>
  <si>
    <t>Cannelle</t>
  </si>
  <si>
    <t>Tajine de poulet beldi (raisins/oignons ) 1Kg</t>
  </si>
  <si>
    <t>TAJ006</t>
  </si>
  <si>
    <t>Tajine de begri aux légumes 1/2Kg</t>
  </si>
  <si>
    <t>TAJ009</t>
  </si>
  <si>
    <t>BOE005</t>
  </si>
  <si>
    <t>Viande BEGRI (Tajine)</t>
  </si>
  <si>
    <t>TAJ010</t>
  </si>
  <si>
    <t>Tanjia marrakchia 1/2Kg</t>
  </si>
  <si>
    <t>TAJ011</t>
  </si>
  <si>
    <t>Tanjia marrakchia 1Kg</t>
  </si>
  <si>
    <t>TAJ012</t>
  </si>
  <si>
    <t>TAJ007</t>
  </si>
  <si>
    <t>CDM006</t>
  </si>
  <si>
    <t>Citron Confit</t>
  </si>
  <si>
    <t>CDM011</t>
  </si>
  <si>
    <t>Olive Verte</t>
  </si>
  <si>
    <t>TAJ008</t>
  </si>
  <si>
    <t>Tajine de lapin 1/2Kg</t>
  </si>
  <si>
    <t>TAJ013</t>
  </si>
  <si>
    <t>VSP001</t>
  </si>
  <si>
    <t>Lapin</t>
  </si>
  <si>
    <t>TAJ014</t>
  </si>
  <si>
    <t>Tajine de poulet roumi 1/2Kg</t>
  </si>
  <si>
    <t>TAJ015</t>
  </si>
  <si>
    <t>VOL009</t>
  </si>
  <si>
    <t>Poulet Fermier (Tajine)</t>
  </si>
  <si>
    <t>Tajine de poulet roumi 1Kg</t>
  </si>
  <si>
    <t>TAJ016</t>
  </si>
  <si>
    <t>Tajine de veau au pruneau</t>
  </si>
  <si>
    <t>TAJ018</t>
  </si>
  <si>
    <t>VEA004</t>
  </si>
  <si>
    <t>Viande de Veau (Tajine)</t>
  </si>
  <si>
    <t>CDM019</t>
  </si>
  <si>
    <t>Pruneau sec</t>
  </si>
  <si>
    <t>EPI004</t>
  </si>
  <si>
    <t>Amandes</t>
  </si>
  <si>
    <t>Tajine de poulet roumi (citron confit)</t>
  </si>
  <si>
    <t>TAJ017</t>
  </si>
  <si>
    <t>Tajine de kebda Veau Charmoula</t>
  </si>
  <si>
    <t>TAJ019</t>
  </si>
  <si>
    <t>SOS007</t>
  </si>
  <si>
    <t>Charmoula</t>
  </si>
  <si>
    <t>Tajine de kebda d'Agneau Charmoula</t>
  </si>
  <si>
    <t>TAJ020</t>
  </si>
  <si>
    <t>Tajine de kefta sauce tomate</t>
  </si>
  <si>
    <t>TAJ021</t>
  </si>
  <si>
    <t>Tajine de cervelle sauce tomate</t>
  </si>
  <si>
    <t>TAJ022</t>
  </si>
  <si>
    <t>AGN009</t>
  </si>
  <si>
    <t>Cervelle D'Agneau</t>
  </si>
  <si>
    <t>TAJ024</t>
  </si>
  <si>
    <t>FEC007</t>
  </si>
  <si>
    <t>Semoule Couscous</t>
  </si>
  <si>
    <t>CDM008</t>
  </si>
  <si>
    <t>Pois Chiche</t>
  </si>
  <si>
    <t>Couscous poulet (vendredi)</t>
  </si>
  <si>
    <t>TAJ023</t>
  </si>
  <si>
    <t>Assortiment marocain</t>
  </si>
  <si>
    <t>ENT007</t>
  </si>
  <si>
    <t>PRP001</t>
  </si>
  <si>
    <t>Taktouka (poivron + tomate)</t>
  </si>
  <si>
    <t>PRP002</t>
  </si>
  <si>
    <t>Zaalouk (aubergine)</t>
  </si>
  <si>
    <t>PRP003</t>
  </si>
  <si>
    <t>Courgette à la charmoula</t>
  </si>
  <si>
    <t>PRP004</t>
  </si>
  <si>
    <t>Carotte à la charmoula</t>
  </si>
  <si>
    <t>PRP005</t>
  </si>
  <si>
    <t>Pomme de terre à la charmoula</t>
  </si>
  <si>
    <t>Salade traditionnelle</t>
  </si>
  <si>
    <t>ENT008</t>
  </si>
  <si>
    <t>Salade verte au thon</t>
  </si>
  <si>
    <t>ENT009</t>
  </si>
  <si>
    <t>LEG019</t>
  </si>
  <si>
    <t>Concombre</t>
  </si>
  <si>
    <t>Salade marocaine</t>
  </si>
  <si>
    <t>ENT010</t>
  </si>
  <si>
    <t>Frites</t>
  </si>
  <si>
    <t>SNK023</t>
  </si>
  <si>
    <t>Tomate oignon grillés</t>
  </si>
  <si>
    <t>VIA022</t>
  </si>
  <si>
    <t>Tafarnout</t>
  </si>
  <si>
    <t>TAJ025</t>
  </si>
  <si>
    <t>BOU016</t>
  </si>
  <si>
    <t>Tafernoute</t>
  </si>
  <si>
    <t>Crevette calamar à la chermoula</t>
  </si>
  <si>
    <t>POI014</t>
  </si>
  <si>
    <t>Pasticcio Viande hachée et charcuterie</t>
  </si>
  <si>
    <t>ENT011</t>
  </si>
  <si>
    <t>PST003</t>
  </si>
  <si>
    <t>Penne</t>
  </si>
  <si>
    <t>Pasticcio poulet et dinde fumée</t>
  </si>
  <si>
    <t>ENT012</t>
  </si>
  <si>
    <t>Briouates de fruits de mer</t>
  </si>
  <si>
    <t>POI015</t>
  </si>
  <si>
    <t>FEC001</t>
  </si>
  <si>
    <t>Feuille de Brick</t>
  </si>
  <si>
    <t>Briouates Poulet</t>
  </si>
  <si>
    <t>ENT013</t>
  </si>
  <si>
    <t>Nems de poulet</t>
  </si>
  <si>
    <t>ENT015</t>
  </si>
  <si>
    <t>FEC002</t>
  </si>
  <si>
    <t>Feuille de nems</t>
  </si>
  <si>
    <t>FEC003</t>
  </si>
  <si>
    <t>Vermicelle de Riz</t>
  </si>
  <si>
    <t>SOS015</t>
  </si>
  <si>
    <t>Sauce Soja</t>
  </si>
  <si>
    <t>Potage de légumes</t>
  </si>
  <si>
    <t>ENT016</t>
  </si>
  <si>
    <t>CDM014</t>
  </si>
  <si>
    <t>Bouillon de Volaille</t>
  </si>
  <si>
    <t>Briouates fromage</t>
  </si>
  <si>
    <t>ENT014</t>
  </si>
  <si>
    <t>Chawarma plat</t>
  </si>
  <si>
    <t>SNK012</t>
  </si>
  <si>
    <t>BOU017</t>
  </si>
  <si>
    <t>Pain Libanais</t>
  </si>
  <si>
    <t>VOL005</t>
  </si>
  <si>
    <t>Emincé Poulet</t>
  </si>
  <si>
    <t>LEG022</t>
  </si>
  <si>
    <t>Salade Verte</t>
  </si>
  <si>
    <t>SOS008</t>
  </si>
  <si>
    <t>Sauce Chawarma</t>
  </si>
  <si>
    <t>Chawarma sandwich</t>
  </si>
  <si>
    <t>SNK011</t>
  </si>
  <si>
    <t>Tagliatelle au saumon</t>
  </si>
  <si>
    <t>PAT001</t>
  </si>
  <si>
    <t>PST001</t>
  </si>
  <si>
    <t>Tagliatelle</t>
  </si>
  <si>
    <t>Tagliatelle aux fruits de mer</t>
  </si>
  <si>
    <t>PAT002</t>
  </si>
  <si>
    <t>LEG030</t>
  </si>
  <si>
    <t>Basilic</t>
  </si>
  <si>
    <t>Tagliatelle poulet champignons</t>
  </si>
  <si>
    <t>PAT003</t>
  </si>
  <si>
    <t>Spaghetti carbonara</t>
  </si>
  <si>
    <t>PAT004</t>
  </si>
  <si>
    <t>PST002</t>
  </si>
  <si>
    <t>Spaghetti</t>
  </si>
  <si>
    <t>Spaghetti bolognaise</t>
  </si>
  <si>
    <t>PAT005</t>
  </si>
  <si>
    <t>Penne Toscano</t>
  </si>
  <si>
    <t>PAT006</t>
  </si>
  <si>
    <t>Jambon De Dinde</t>
  </si>
  <si>
    <t>Trio du chef (lasagne, spaghetti, tagliatelle)</t>
  </si>
  <si>
    <t>PAT007</t>
  </si>
  <si>
    <t>PST005</t>
  </si>
  <si>
    <t>Lasagne</t>
  </si>
  <si>
    <t>Cannelloni fruits de mer</t>
  </si>
  <si>
    <t>PAT008</t>
  </si>
  <si>
    <t>PST004</t>
  </si>
  <si>
    <t>Cannelloni</t>
  </si>
  <si>
    <t>Cannelloni bolognaise</t>
  </si>
  <si>
    <t>PAT009</t>
  </si>
  <si>
    <t>Lasagne fruits de mer</t>
  </si>
  <si>
    <t>PAT010</t>
  </si>
  <si>
    <t>Lasagne bolognaise</t>
  </si>
  <si>
    <t>PAT011</t>
  </si>
  <si>
    <t>PAT012</t>
  </si>
  <si>
    <t>PST006</t>
  </si>
  <si>
    <t>Linguini</t>
  </si>
  <si>
    <t>BOE007</t>
  </si>
  <si>
    <t>Emincé de Viande</t>
  </si>
  <si>
    <t>Burger Cheese creamy</t>
  </si>
  <si>
    <t>SNK001</t>
  </si>
  <si>
    <t>CDM003</t>
  </si>
  <si>
    <t>Oignon Caramélisé</t>
  </si>
  <si>
    <t>CDM002</t>
  </si>
  <si>
    <t>Cornichon</t>
  </si>
  <si>
    <t>PRL026</t>
  </si>
  <si>
    <t>Cheddar</t>
  </si>
  <si>
    <t>Burger Double cheddar</t>
  </si>
  <si>
    <t>SNK002</t>
  </si>
  <si>
    <t>SOS018</t>
  </si>
  <si>
    <t>Sauce Burger</t>
  </si>
  <si>
    <t>Regraga burger</t>
  </si>
  <si>
    <t>SNK003</t>
  </si>
  <si>
    <t>Mushroom burger</t>
  </si>
  <si>
    <t>SNK004</t>
  </si>
  <si>
    <t>César burger</t>
  </si>
  <si>
    <t>SNK005</t>
  </si>
  <si>
    <t>Steak burger</t>
  </si>
  <si>
    <t>SNK006</t>
  </si>
  <si>
    <t xml:space="preserve">Panini mixte </t>
  </si>
  <si>
    <t>SNK007</t>
  </si>
  <si>
    <t>BOU018</t>
  </si>
  <si>
    <t>Pain Panini</t>
  </si>
  <si>
    <t>SOS009</t>
  </si>
  <si>
    <t>Sauce PANINI</t>
  </si>
  <si>
    <t>Panini viande hachée</t>
  </si>
  <si>
    <t>SNK008</t>
  </si>
  <si>
    <t>Panini  chicken</t>
  </si>
  <si>
    <t>SNK009</t>
  </si>
  <si>
    <t xml:space="preserve">Panini cordon bleu  </t>
  </si>
  <si>
    <t>SNK010</t>
  </si>
  <si>
    <t>Pizza Fruits de mer</t>
  </si>
  <si>
    <t>PIZ001</t>
  </si>
  <si>
    <t>BOU011</t>
  </si>
  <si>
    <t>Pizza Base</t>
  </si>
  <si>
    <t>LEG004</t>
  </si>
  <si>
    <t>Tomates Séchées</t>
  </si>
  <si>
    <t>CDM012</t>
  </si>
  <si>
    <t>Olive Noir</t>
  </si>
  <si>
    <t>Pizza 4 saisons</t>
  </si>
  <si>
    <t>PIZ002</t>
  </si>
  <si>
    <t>Pizza 4 fromages</t>
  </si>
  <si>
    <t>PIZ003</t>
  </si>
  <si>
    <t>PRL017</t>
  </si>
  <si>
    <t>Mozzarella</t>
  </si>
  <si>
    <t>PRL019</t>
  </si>
  <si>
    <t>Bleu</t>
  </si>
  <si>
    <t>PRL018</t>
  </si>
  <si>
    <t>Emmental</t>
  </si>
  <si>
    <t>Pizza Pepperoni</t>
  </si>
  <si>
    <t>PIZ004</t>
  </si>
  <si>
    <t>BOE006</t>
  </si>
  <si>
    <t>Pepperoni</t>
  </si>
  <si>
    <t>Pizza Poulet</t>
  </si>
  <si>
    <t>PIZ005</t>
  </si>
  <si>
    <t>PRL024</t>
  </si>
  <si>
    <t>Mascarpone</t>
  </si>
  <si>
    <t>Pizza Viande hachée</t>
  </si>
  <si>
    <t>PIZ006</t>
  </si>
  <si>
    <t>Pizza Thon</t>
  </si>
  <si>
    <t>PIZ007</t>
  </si>
  <si>
    <t>Pizza Végétarienne</t>
  </si>
  <si>
    <t>PIZ008</t>
  </si>
  <si>
    <t>LEG016</t>
  </si>
  <si>
    <t>Aubergine</t>
  </si>
  <si>
    <t>EPI008</t>
  </si>
  <si>
    <t>Origan</t>
  </si>
  <si>
    <t>Pizza Margarita</t>
  </si>
  <si>
    <t>PIZ009</t>
  </si>
  <si>
    <t>Burrito mixte</t>
  </si>
  <si>
    <t>SNK013</t>
  </si>
  <si>
    <t>BOU014</t>
  </si>
  <si>
    <t>Tortilla</t>
  </si>
  <si>
    <t>CDM010</t>
  </si>
  <si>
    <t>Haricot Rouge</t>
  </si>
  <si>
    <t>Burrito viande hachée</t>
  </si>
  <si>
    <t>SNK014</t>
  </si>
  <si>
    <t>Burrito Poulet</t>
  </si>
  <si>
    <t>SNK015</t>
  </si>
  <si>
    <t>Tacos mixte</t>
  </si>
  <si>
    <t>SNK018</t>
  </si>
  <si>
    <t>Tacos viande hachée</t>
  </si>
  <si>
    <t>SNK019</t>
  </si>
  <si>
    <t>SNK016</t>
  </si>
  <si>
    <t>SNK017</t>
  </si>
  <si>
    <t>Gaufre Regraga</t>
  </si>
  <si>
    <t>CRP001</t>
  </si>
  <si>
    <t>BOU015</t>
  </si>
  <si>
    <t>Gauffre</t>
  </si>
  <si>
    <t>PSU003</t>
  </si>
  <si>
    <t>Nutella</t>
  </si>
  <si>
    <t>PSU004</t>
  </si>
  <si>
    <t>Kit Kat</t>
  </si>
  <si>
    <t>GLA001</t>
  </si>
  <si>
    <t>Boules De Glace</t>
  </si>
  <si>
    <t>CDM001</t>
  </si>
  <si>
    <t>Chantilly</t>
  </si>
  <si>
    <t>Gaufre Sweet</t>
  </si>
  <si>
    <t>CRP002</t>
  </si>
  <si>
    <t>SOS001</t>
  </si>
  <si>
    <t>Sauce Caramel</t>
  </si>
  <si>
    <t>FRU004</t>
  </si>
  <si>
    <t>Banane</t>
  </si>
  <si>
    <t>Gaufre Tropicale</t>
  </si>
  <si>
    <t>CRP003</t>
  </si>
  <si>
    <t>FRU017</t>
  </si>
  <si>
    <t>Fruits Saison (selon arrivage)</t>
  </si>
  <si>
    <t>Gaufre Nutella banane</t>
  </si>
  <si>
    <t>CRP004</t>
  </si>
  <si>
    <t>Gaufre Nutella</t>
  </si>
  <si>
    <t>CRP005</t>
  </si>
  <si>
    <t>Gaufre Miel ou Amlou</t>
  </si>
  <si>
    <t>CRP006</t>
  </si>
  <si>
    <t>Gaufre sauce au choix</t>
  </si>
  <si>
    <t>CRP007</t>
  </si>
  <si>
    <t>SOS002</t>
  </si>
  <si>
    <t>Sauce Chocolat</t>
  </si>
  <si>
    <t>PSU017</t>
  </si>
  <si>
    <t>Sucre</t>
  </si>
  <si>
    <t>American cake</t>
  </si>
  <si>
    <t>DES011</t>
  </si>
  <si>
    <t>DES006</t>
  </si>
  <si>
    <t>American Cake</t>
  </si>
  <si>
    <t>Tarte Amande</t>
  </si>
  <si>
    <t>DES013</t>
  </si>
  <si>
    <t>DES007</t>
  </si>
  <si>
    <t>Tarte Noix</t>
  </si>
  <si>
    <t>DES012</t>
  </si>
  <si>
    <t>DES008</t>
  </si>
  <si>
    <t>Pâtisserie à la pièce</t>
  </si>
  <si>
    <t>DES014</t>
  </si>
  <si>
    <t>DES005</t>
  </si>
  <si>
    <t>Patisserie à la Pièce</t>
  </si>
  <si>
    <t>Cheesecake</t>
  </si>
  <si>
    <t>DES015</t>
  </si>
  <si>
    <t>DES004</t>
  </si>
  <si>
    <t>Besboussa</t>
  </si>
  <si>
    <t>DES016</t>
  </si>
  <si>
    <t>DES009</t>
  </si>
  <si>
    <t>Crêpe Regraga (Salé)</t>
  </si>
  <si>
    <t>CRP008</t>
  </si>
  <si>
    <t>BOU019</t>
  </si>
  <si>
    <t>Crêpe</t>
  </si>
  <si>
    <t>Garniture maison (from+charcu)</t>
  </si>
  <si>
    <t>Crêpe fruit de mer</t>
  </si>
  <si>
    <t>CRP016</t>
  </si>
  <si>
    <t>PRP006</t>
  </si>
  <si>
    <t>Sauce Béchamel</t>
  </si>
  <si>
    <t>Crêpe viande hachée</t>
  </si>
  <si>
    <t>CRP017</t>
  </si>
  <si>
    <t>Crêpe poulet champignon</t>
  </si>
  <si>
    <t>CRP018</t>
  </si>
  <si>
    <t>Crêpe fromage</t>
  </si>
  <si>
    <t>CRP019</t>
  </si>
  <si>
    <t>Crêpe dinde fumée</t>
  </si>
  <si>
    <t>CRP020</t>
  </si>
  <si>
    <t>Crêpe Regraga (Sucré)</t>
  </si>
  <si>
    <t>CRP009</t>
  </si>
  <si>
    <t>PSU005</t>
  </si>
  <si>
    <t>Oreo</t>
  </si>
  <si>
    <t>Crêpe Sweet</t>
  </si>
  <si>
    <t>CRP010</t>
  </si>
  <si>
    <t>Crêpe Tropicale</t>
  </si>
  <si>
    <t>CRP011</t>
  </si>
  <si>
    <t>Crêpe Nutella banane</t>
  </si>
  <si>
    <t>CRP012</t>
  </si>
  <si>
    <t>Crêpe Nutella</t>
  </si>
  <si>
    <t>CRP013</t>
  </si>
  <si>
    <t>Crêpe Miel ou Amlou</t>
  </si>
  <si>
    <t>CRP014</t>
  </si>
  <si>
    <t>Crêpe au choix</t>
  </si>
  <si>
    <t>CRP015</t>
  </si>
  <si>
    <t>Regraga glace 3 boules</t>
  </si>
  <si>
    <t>DES001</t>
  </si>
  <si>
    <t>FRU018</t>
  </si>
  <si>
    <t>Macédoine de Fruits</t>
  </si>
  <si>
    <t>Mama Africa glace</t>
  </si>
  <si>
    <t>DES002</t>
  </si>
  <si>
    <t>Dame Blanche</t>
  </si>
  <si>
    <t>DES003</t>
  </si>
  <si>
    <t>Banana Split</t>
  </si>
  <si>
    <t>Bambino</t>
  </si>
  <si>
    <t>Boule de glace</t>
  </si>
  <si>
    <t>Tiramisu caramel beurre salé</t>
  </si>
  <si>
    <t>CDM017</t>
  </si>
  <si>
    <t>Biscuit cuillère</t>
  </si>
  <si>
    <t>SOS003</t>
  </si>
  <si>
    <t>Caramel Beurre Salé</t>
  </si>
  <si>
    <t>Fondant au chocolat</t>
  </si>
  <si>
    <t>Fondant Chocolat</t>
  </si>
  <si>
    <t>Crème catalane</t>
  </si>
  <si>
    <t>Crème Catalane</t>
  </si>
  <si>
    <t>PRL002</t>
  </si>
  <si>
    <t>Oeufs Jaune</t>
  </si>
  <si>
    <t>Assiette de fruits frais</t>
  </si>
  <si>
    <t>DES010</t>
  </si>
  <si>
    <t>FRU016</t>
  </si>
  <si>
    <t>Fruits Frais (Assiette)</t>
  </si>
  <si>
    <t>Jus panaché</t>
  </si>
  <si>
    <t>JUS011</t>
  </si>
  <si>
    <t>FRU013</t>
  </si>
  <si>
    <t>Orange</t>
  </si>
  <si>
    <t>FRU010</t>
  </si>
  <si>
    <t>Pomme</t>
  </si>
  <si>
    <t>FRU007</t>
  </si>
  <si>
    <t>Fraise</t>
  </si>
  <si>
    <t>Jus framboise</t>
  </si>
  <si>
    <t>JUS008</t>
  </si>
  <si>
    <t>FRU008</t>
  </si>
  <si>
    <t>Framboise</t>
  </si>
  <si>
    <t>Jus mangue</t>
  </si>
  <si>
    <t>JUS004</t>
  </si>
  <si>
    <t>Jus ananas</t>
  </si>
  <si>
    <t>JUS010</t>
  </si>
  <si>
    <t>Jus avocat</t>
  </si>
  <si>
    <t>JUS009</t>
  </si>
  <si>
    <t>PRL010</t>
  </si>
  <si>
    <t>Lait</t>
  </si>
  <si>
    <t>Jus fraise</t>
  </si>
  <si>
    <t>JUS003</t>
  </si>
  <si>
    <t>Jus kiwi</t>
  </si>
  <si>
    <t>JUS005</t>
  </si>
  <si>
    <t>FRU011</t>
  </si>
  <si>
    <t>Kiwi</t>
  </si>
  <si>
    <t>Jus pêche</t>
  </si>
  <si>
    <t>JUS007</t>
  </si>
  <si>
    <t>FRU009</t>
  </si>
  <si>
    <t>Pêche</t>
  </si>
  <si>
    <t>Jus pomme</t>
  </si>
  <si>
    <t>JUS006</t>
  </si>
  <si>
    <t>Jus banane</t>
  </si>
  <si>
    <t>JUS002</t>
  </si>
  <si>
    <t>JUS001</t>
  </si>
  <si>
    <t>Milkshakes Oreo</t>
  </si>
  <si>
    <t>MKS001</t>
  </si>
  <si>
    <t>MKS002</t>
  </si>
  <si>
    <t>PSU007</t>
  </si>
  <si>
    <t>Snikers</t>
  </si>
  <si>
    <t>Milkshakes KitKat</t>
  </si>
  <si>
    <t>MKS003</t>
  </si>
  <si>
    <t>Milkshakes Kinder Bueno</t>
  </si>
  <si>
    <t>MKS004</t>
  </si>
  <si>
    <t>PSU006</t>
  </si>
  <si>
    <t>Kinder Bueno</t>
  </si>
  <si>
    <t>Milkshakes Fraise</t>
  </si>
  <si>
    <t>MKS005</t>
  </si>
  <si>
    <t>Milkshakes Noisette</t>
  </si>
  <si>
    <t>MKS006</t>
  </si>
  <si>
    <t>CDM016</t>
  </si>
  <si>
    <t>Noisettes</t>
  </si>
  <si>
    <t>Milkshakes Caramel</t>
  </si>
  <si>
    <t>MKS007</t>
  </si>
  <si>
    <t>Milkshakes Chocolat</t>
  </si>
  <si>
    <t>MKS008</t>
  </si>
  <si>
    <t>PSU008</t>
  </si>
  <si>
    <t>Chocolat Poudre</t>
  </si>
  <si>
    <t>Smoothies Chocolat</t>
  </si>
  <si>
    <t>SmCk001</t>
  </si>
  <si>
    <t>Smoothies Mangue</t>
  </si>
  <si>
    <t>SmCk002</t>
  </si>
  <si>
    <t>Smoothies Fruit de passion</t>
  </si>
  <si>
    <t>SmCk003</t>
  </si>
  <si>
    <t>FRU015</t>
  </si>
  <si>
    <t>Fruits de la Passion</t>
  </si>
  <si>
    <t>PRL003</t>
  </si>
  <si>
    <t>Yaourt</t>
  </si>
  <si>
    <t>Smoothies Banane</t>
  </si>
  <si>
    <t>SmCk004</t>
  </si>
  <si>
    <t>Smoothies Framboise</t>
  </si>
  <si>
    <t>SmCk005</t>
  </si>
  <si>
    <t>Nespresso Aromatisé</t>
  </si>
  <si>
    <t>BCH003</t>
  </si>
  <si>
    <t>BOI002</t>
  </si>
  <si>
    <t>Nespresso</t>
  </si>
  <si>
    <t>PSU016</t>
  </si>
  <si>
    <t>Sirop aromatisé</t>
  </si>
  <si>
    <t>BCH001</t>
  </si>
  <si>
    <t>BCH002</t>
  </si>
  <si>
    <t>Nespresso Au lait</t>
  </si>
  <si>
    <t>BCH004</t>
  </si>
  <si>
    <t>Café espresso</t>
  </si>
  <si>
    <t>BCH005</t>
  </si>
  <si>
    <t>BOI001</t>
  </si>
  <si>
    <t>Espresso</t>
  </si>
  <si>
    <t>Café espresso Aromatisé</t>
  </si>
  <si>
    <t>BCH006</t>
  </si>
  <si>
    <t>Café espresso au Lait Aromatisé</t>
  </si>
  <si>
    <t>BCH007</t>
  </si>
  <si>
    <t>Café Américain Aromatisé</t>
  </si>
  <si>
    <t>BCH010</t>
  </si>
  <si>
    <t>BCH009</t>
  </si>
  <si>
    <t>Café Regraga</t>
  </si>
  <si>
    <t>BCH011</t>
  </si>
  <si>
    <t>PRL011</t>
  </si>
  <si>
    <t>Lait concentré</t>
  </si>
  <si>
    <t>Cappuccino Italien</t>
  </si>
  <si>
    <t>BCH013</t>
  </si>
  <si>
    <t>Cappuccino Viennois</t>
  </si>
  <si>
    <t>BCH012</t>
  </si>
  <si>
    <t>PSU009</t>
  </si>
  <si>
    <t>Chocolat Fondu</t>
  </si>
  <si>
    <t>Cappuccino Italien Aromatisé</t>
  </si>
  <si>
    <t>BCH014</t>
  </si>
  <si>
    <t>Cappuccino Viennois Aromatisé</t>
  </si>
  <si>
    <t>BCH015</t>
  </si>
  <si>
    <t>Latte macchiato</t>
  </si>
  <si>
    <t>BCH016</t>
  </si>
  <si>
    <t>Café espresso au Lait</t>
  </si>
  <si>
    <t>BCH008</t>
  </si>
  <si>
    <t>Chocolat chaud Regraga</t>
  </si>
  <si>
    <t>BCH020</t>
  </si>
  <si>
    <t>PSU013</t>
  </si>
  <si>
    <t>Biscuit</t>
  </si>
  <si>
    <t>PSU015</t>
  </si>
  <si>
    <t>Marshmallow</t>
  </si>
  <si>
    <t>Chocolat chaud Nutty</t>
  </si>
  <si>
    <t>BCH021</t>
  </si>
  <si>
    <t>Chocolat Fondu mixte</t>
  </si>
  <si>
    <t>BCH024</t>
  </si>
  <si>
    <t>Chocolat chaud Viennois</t>
  </si>
  <si>
    <t>BCH022</t>
  </si>
  <si>
    <t>Chocolat chaud Classique</t>
  </si>
  <si>
    <t>BCH027</t>
  </si>
  <si>
    <t>Chocolat chaud Diablo</t>
  </si>
  <si>
    <t>BCH023</t>
  </si>
  <si>
    <t>Thés marocains Grand</t>
  </si>
  <si>
    <t>BCH028</t>
  </si>
  <si>
    <t>EPI010</t>
  </si>
  <si>
    <t>Thé Vert</t>
  </si>
  <si>
    <t>BOI003</t>
  </si>
  <si>
    <t>Menthe</t>
  </si>
  <si>
    <t>Thés marocains Moyen</t>
  </si>
  <si>
    <t>BCH029</t>
  </si>
  <si>
    <t>Thés marocains Lipton</t>
  </si>
  <si>
    <t>BCH032</t>
  </si>
  <si>
    <t>BOI005</t>
  </si>
  <si>
    <t>Lipton</t>
  </si>
  <si>
    <t>Thés marocains Verveine</t>
  </si>
  <si>
    <t>BCH031</t>
  </si>
  <si>
    <t>BOI004</t>
  </si>
  <si>
    <t>Verveine</t>
  </si>
  <si>
    <t>Thés marocains Petit</t>
  </si>
  <si>
    <t>BCH030</t>
  </si>
  <si>
    <t>BOI006</t>
  </si>
  <si>
    <t>Herbes Marocaines</t>
  </si>
  <si>
    <t>Cocktails Mama Africa</t>
  </si>
  <si>
    <t>SmCk006</t>
  </si>
  <si>
    <t>EPI006</t>
  </si>
  <si>
    <t>Gingembre</t>
  </si>
  <si>
    <t>Cocktails Exotique</t>
  </si>
  <si>
    <t>SmCk007</t>
  </si>
  <si>
    <t>FRU005</t>
  </si>
  <si>
    <t>goyave</t>
  </si>
  <si>
    <t>PRL025</t>
  </si>
  <si>
    <t>Lait de Coco</t>
  </si>
  <si>
    <t>Cocktails Fuji</t>
  </si>
  <si>
    <t>SmCk008</t>
  </si>
  <si>
    <t>Cocktails Fruit rouge</t>
  </si>
  <si>
    <t>SmCk009</t>
  </si>
  <si>
    <t>FRU003</t>
  </si>
  <si>
    <t>Cerise</t>
  </si>
  <si>
    <t>Cocktails Top énergie</t>
  </si>
  <si>
    <t>SmCk010</t>
  </si>
  <si>
    <t>SmCk011</t>
  </si>
  <si>
    <t>SmCk012</t>
  </si>
  <si>
    <t>BOI011</t>
  </si>
  <si>
    <t>Oulmes</t>
  </si>
  <si>
    <t>SmCk013</t>
  </si>
  <si>
    <t>Cocktails Citronnade maison</t>
  </si>
  <si>
    <t>SmCk014</t>
  </si>
  <si>
    <t>BFR001</t>
  </si>
  <si>
    <t>BOI007</t>
  </si>
  <si>
    <t>Soft Drinks</t>
  </si>
  <si>
    <t>BFR002</t>
  </si>
  <si>
    <t>BOI008</t>
  </si>
  <si>
    <t>Eau Minérale 1,5L</t>
  </si>
  <si>
    <t>BFR003</t>
  </si>
  <si>
    <t>BOI009</t>
  </si>
  <si>
    <t>Eau Minérale 50cl</t>
  </si>
  <si>
    <t>BFR004</t>
  </si>
  <si>
    <t>BOI010</t>
  </si>
  <si>
    <t>Eau Minérale 33cl</t>
  </si>
  <si>
    <t>BFR005</t>
  </si>
  <si>
    <t>Soft drinks boisson énergétique</t>
  </si>
  <si>
    <t>BFR006</t>
  </si>
  <si>
    <t>BOI012</t>
  </si>
  <si>
    <t>Boisson énergétique</t>
  </si>
  <si>
    <t>CMP Achat Unitaire</t>
  </si>
  <si>
    <t>Stock Départ</t>
  </si>
  <si>
    <t>Valeur stock initiale</t>
  </si>
  <si>
    <t>Achats Cumulées</t>
  </si>
  <si>
    <t xml:space="preserve"> Valeur Achat</t>
  </si>
  <si>
    <t>Stock cuisine</t>
  </si>
  <si>
    <t>Valeur Stock Global</t>
  </si>
  <si>
    <t>Quantité totale</t>
  </si>
  <si>
    <t>CMP effectif</t>
  </si>
  <si>
    <t xml:space="preserve"> Sortie cumulée</t>
  </si>
  <si>
    <t>Stock Courant</t>
  </si>
  <si>
    <t>Seuil critique</t>
  </si>
  <si>
    <t>Alerte</t>
  </si>
  <si>
    <t>Réf Achat / N° BL</t>
  </si>
  <si>
    <t>Fournisseur</t>
  </si>
  <si>
    <t>Nom Ingrédient</t>
  </si>
  <si>
    <t>Qté d'Achat</t>
  </si>
  <si>
    <t>Unité d'Achat</t>
  </si>
  <si>
    <t>Prix Achat Unitaire</t>
  </si>
  <si>
    <t>Valeur Ligne</t>
  </si>
  <si>
    <t>Kg</t>
  </si>
  <si>
    <t>L</t>
  </si>
  <si>
    <t>Eau Minérale 50Cl</t>
  </si>
  <si>
    <t>Eau Minérale 33Cl</t>
  </si>
  <si>
    <t xml:space="preserve">Code ingrédient </t>
  </si>
  <si>
    <t xml:space="preserve">Nom ingredient </t>
  </si>
  <si>
    <t>Qté Sortie</t>
  </si>
  <si>
    <t>Racine_Prdts</t>
  </si>
  <si>
    <t>Séries</t>
  </si>
  <si>
    <t>Racine_Ingrdts</t>
  </si>
  <si>
    <t>Coût Matière</t>
  </si>
  <si>
    <t>Catégorie</t>
  </si>
  <si>
    <t>Prix/Uni Base</t>
  </si>
  <si>
    <t>Prix Au kg ou L</t>
  </si>
  <si>
    <t>PU_effectif_g/ml</t>
  </si>
  <si>
    <t>Boulangerie</t>
  </si>
  <si>
    <t>Pain Berger</t>
  </si>
  <si>
    <t>Pain Burger</t>
  </si>
  <si>
    <t>Feuille De Brick</t>
  </si>
  <si>
    <t>Féculents</t>
  </si>
  <si>
    <t>Feuille De Nems</t>
  </si>
  <si>
    <t>Vermicelle De Riz</t>
  </si>
  <si>
    <t>Riz Cuit</t>
  </si>
  <si>
    <t>Riz Rond Spécial Paella</t>
  </si>
  <si>
    <t>Fromage</t>
  </si>
  <si>
    <t>Viande Spécial</t>
  </si>
  <si>
    <t>Blanc De Poulet</t>
  </si>
  <si>
    <t>Viande De Volaille</t>
  </si>
  <si>
    <t>Brochette Poulet</t>
  </si>
  <si>
    <t>Viande De Bœuf</t>
  </si>
  <si>
    <t>Viande Begri (Tajine)</t>
  </si>
  <si>
    <t>Emincé De Viande</t>
  </si>
  <si>
    <t>Emincé De Bœuf</t>
  </si>
  <si>
    <t>Viande De Maazi</t>
  </si>
  <si>
    <t>Viande D'Agneau</t>
  </si>
  <si>
    <t>Vande D'Agneau (Tagine)</t>
  </si>
  <si>
    <t>Saucisse De Foie Agneau</t>
  </si>
  <si>
    <t>Blanc de poulet grillé</t>
  </si>
  <si>
    <t>Chich Kebab Agneau</t>
  </si>
  <si>
    <t>Kebab D'Agneau</t>
  </si>
  <si>
    <t>Saucisse De Veau</t>
  </si>
  <si>
    <t>Viande De Veau</t>
  </si>
  <si>
    <t>Jarret De Veau</t>
  </si>
  <si>
    <t>Viande De Veau (Tajine)</t>
  </si>
  <si>
    <t>Saucisse De Foie De Veau</t>
  </si>
  <si>
    <t>Tranche De Veau</t>
  </si>
  <si>
    <t>Poissons</t>
  </si>
  <si>
    <t>Saumon Frais</t>
  </si>
  <si>
    <t>Darne De Saumon</t>
  </si>
  <si>
    <t>Poissons Variés (Sardines, Merlan, Sole)</t>
  </si>
  <si>
    <t>Poissons Friture</t>
  </si>
  <si>
    <t>Poisson Au Gros Sel</t>
  </si>
  <si>
    <t>Fruits De Mer</t>
  </si>
  <si>
    <t>Vermicelle De Crevette</t>
  </si>
  <si>
    <t>Garniture Maison (From+Charcu)</t>
  </si>
  <si>
    <t>Produits laitiers</t>
  </si>
  <si>
    <t>Oeufs Blanc</t>
  </si>
  <si>
    <t>Lait Concentré</t>
  </si>
  <si>
    <t>Fromage Gratiné</t>
  </si>
  <si>
    <t>Lait De Coco</t>
  </si>
  <si>
    <t>Fruits Frais</t>
  </si>
  <si>
    <t>Goyave</t>
  </si>
  <si>
    <t>Datte</t>
  </si>
  <si>
    <t>Fruits De La Passion</t>
  </si>
  <si>
    <t>Fruits Saison (Selon Arrivage)</t>
  </si>
  <si>
    <t>Macédoine De Fruits</t>
  </si>
  <si>
    <t>Garniture De Légumes</t>
  </si>
  <si>
    <t>Légumes</t>
  </si>
  <si>
    <t>Pomme De Terre</t>
  </si>
  <si>
    <t>Laitue Iceberg</t>
  </si>
  <si>
    <t>Chicken fingers</t>
  </si>
  <si>
    <t>Nuggets</t>
  </si>
  <si>
    <t>Happy Regraga menu enfant</t>
  </si>
  <si>
    <t>Taktouka (Poivron + Tomate)</t>
  </si>
  <si>
    <t>Préparations</t>
  </si>
  <si>
    <t>Zaalouk (Aubergine)</t>
  </si>
  <si>
    <t>Courgette À La Charmoula</t>
  </si>
  <si>
    <t>Carotte À La Charmoula</t>
  </si>
  <si>
    <t>Pomme De Terre À La Charmoula</t>
  </si>
  <si>
    <t>Condiments</t>
  </si>
  <si>
    <t>Bouillon De Poisson</t>
  </si>
  <si>
    <t>Bouillon De Volaille</t>
  </si>
  <si>
    <t>Fruits Secs</t>
  </si>
  <si>
    <t>Biscuit Cuillère</t>
  </si>
  <si>
    <t>Pruneau Sec</t>
  </si>
  <si>
    <t>Tapenade D'Olive</t>
  </si>
  <si>
    <t>Sauces</t>
  </si>
  <si>
    <t>Sauce À L'Ail</t>
  </si>
  <si>
    <t>Crème De Poireau</t>
  </si>
  <si>
    <t>Sauce Panini</t>
  </si>
  <si>
    <t>Vinaigrette Provençale</t>
  </si>
  <si>
    <t>Sauce Crème Légère</t>
  </si>
  <si>
    <t>Épices Marocaines</t>
  </si>
  <si>
    <t>Épicerie</t>
  </si>
  <si>
    <t>Sel, Poivre</t>
  </si>
  <si>
    <t xml:space="preserve"> Marroccino</t>
  </si>
  <si>
    <t>Mocaccino</t>
  </si>
  <si>
    <t>Duchesse</t>
  </si>
  <si>
    <t>Piments Fort</t>
  </si>
  <si>
    <t>Produits sucrés</t>
  </si>
  <si>
    <t>Chocolat Fondu Noire</t>
  </si>
  <si>
    <t>Chocolat Fondu Blanc</t>
  </si>
  <si>
    <t>Chocolat Sauce</t>
  </si>
  <si>
    <t>Chocolat Noir</t>
  </si>
  <si>
    <t>Thés marocains Infusions</t>
  </si>
  <si>
    <t>Chocolat Blanc</t>
  </si>
  <si>
    <t>Caramel</t>
  </si>
  <si>
    <t>Sirop Aromatisé</t>
  </si>
  <si>
    <t>Glaces</t>
  </si>
  <si>
    <t>Tiramisu</t>
  </si>
  <si>
    <t>Desserts</t>
  </si>
  <si>
    <t>Patisserie À La Pièce</t>
  </si>
  <si>
    <t>Boissons chaudes &amp; froides</t>
  </si>
  <si>
    <t>Boisson Énergétique</t>
  </si>
  <si>
    <t xml:space="preserve">% marge brute </t>
  </si>
  <si>
    <t>BCH017</t>
  </si>
  <si>
    <t>Charge Fixes par Portion</t>
  </si>
  <si>
    <t>Charge Globale</t>
  </si>
  <si>
    <t>Charge Spécifique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</si>
</sst>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\ [$MAD];[Red]\-#,##0.00\ [$MAD]"/>
    <numFmt numFmtId="165" formatCode="#,##0.00\ [$MAD]"/>
    <numFmt numFmtId="166" formatCode="0.0"/>
    <numFmt numFmtId="167" formatCode="#,##0\ [$MAD]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sz val="11"/>
      <color indexed="8"/>
      <name val="Century Gothic"/>
      <family val="2"/>
    </font>
    <font>
      <sz val="11"/>
      <color theme="1"/>
      <name val="Aptos Narrow"/>
      <family val="2"/>
      <scheme val="minor"/>
    </font>
    <font>
      <b/>
      <sz val="12"/>
      <color theme="0"/>
      <name val="Century Gothic"/>
      <family val="2"/>
    </font>
    <font>
      <b/>
      <sz val="11"/>
      <color theme="0"/>
      <name val="Century Gothic"/>
      <family val="2"/>
    </font>
    <font>
      <b/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entury Gothic"/>
      <family val="2"/>
    </font>
    <font>
      <sz val="12"/>
      <color indexed="8"/>
      <name val="Century Gothic"/>
      <family val="2"/>
    </font>
    <font>
      <sz val="12"/>
      <color theme="0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3" fillId="0" borderId="0"/>
    <xf numFmtId="9" fontId="3" fillId="0" borderId="0"/>
  </cellStyleXfs>
  <cellXfs count="149">
    <xf numFmtId="0" fontId="0" fillId="0" borderId="0" xfId="0"/>
    <xf numFmtId="0" fontId="1" fillId="0" borderId="0" xfId="0" applyFont="1" applyAlignment="1">
      <alignment horizontal="center"/>
    </xf>
    <xf numFmtId="43" fontId="1" fillId="0" borderId="0" xfId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3" borderId="4" xfId="0" applyFill="1" applyBorder="1"/>
    <xf numFmtId="43" fontId="0" fillId="0" borderId="0" xfId="1" applyFont="1"/>
    <xf numFmtId="0" fontId="6" fillId="2" borderId="7" xfId="0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3" fontId="6" fillId="2" borderId="0" xfId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6" fillId="2" borderId="0" xfId="1" applyNumberFormat="1" applyFont="1" applyFill="1" applyAlignment="1">
      <alignment horizontal="center" vertical="center"/>
    </xf>
    <xf numFmtId="164" fontId="0" fillId="0" borderId="0" xfId="1" applyNumberFormat="1" applyFont="1"/>
    <xf numFmtId="43" fontId="5" fillId="0" borderId="3" xfId="1" applyFont="1" applyBorder="1" applyAlignment="1">
      <alignment horizontal="center" vertical="center"/>
    </xf>
    <xf numFmtId="43" fontId="1" fillId="0" borderId="1" xfId="1" applyFont="1" applyBorder="1" applyAlignment="1">
      <alignment horizontal="center"/>
    </xf>
    <xf numFmtId="43" fontId="1" fillId="0" borderId="2" xfId="1" applyFon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43" fontId="0" fillId="0" borderId="1" xfId="1" applyFont="1" applyBorder="1"/>
    <xf numFmtId="43" fontId="0" fillId="0" borderId="2" xfId="1" applyFont="1" applyBorder="1"/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0" borderId="11" xfId="0" applyBorder="1"/>
    <xf numFmtId="0" fontId="0" fillId="0" borderId="8" xfId="0" applyBorder="1" applyAlignment="1" applyProtection="1">
      <alignment horizontal="center" vertical="center"/>
      <protection locked="0"/>
    </xf>
    <xf numFmtId="0" fontId="0" fillId="6" borderId="9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/>
    <xf numFmtId="0" fontId="6" fillId="4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43" fontId="11" fillId="7" borderId="1" xfId="1" applyFont="1" applyFill="1" applyBorder="1" applyAlignment="1">
      <alignment horizontal="center" vertical="center"/>
    </xf>
    <xf numFmtId="43" fontId="9" fillId="5" borderId="1" xfId="1" applyFont="1" applyFill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43" fontId="7" fillId="10" borderId="2" xfId="1" applyFont="1" applyFill="1" applyBorder="1" applyAlignment="1">
      <alignment horizontal="center"/>
    </xf>
    <xf numFmtId="43" fontId="8" fillId="2" borderId="2" xfId="1" applyFont="1" applyFill="1" applyBorder="1" applyAlignment="1">
      <alignment horizontal="center"/>
    </xf>
    <xf numFmtId="9" fontId="7" fillId="0" borderId="2" xfId="2" applyFont="1" applyBorder="1" applyAlignment="1">
      <alignment horizontal="center"/>
    </xf>
    <xf numFmtId="43" fontId="7" fillId="11" borderId="2" xfId="1" applyFont="1" applyFill="1" applyBorder="1" applyAlignment="1">
      <alignment horizontal="center"/>
    </xf>
    <xf numFmtId="43" fontId="7" fillId="0" borderId="5" xfId="1" applyFont="1" applyBorder="1" applyAlignment="1">
      <alignment horizontal="center"/>
    </xf>
    <xf numFmtId="43" fontId="0" fillId="0" borderId="0" xfId="0" applyNumberFormat="1"/>
    <xf numFmtId="0" fontId="0" fillId="0" borderId="3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43" fontId="0" fillId="0" borderId="3" xfId="1" applyFont="1" applyBorder="1" applyAlignment="1">
      <alignment horizontal="center" vertical="center"/>
    </xf>
    <xf numFmtId="43" fontId="0" fillId="0" borderId="0" xfId="1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right" vertical="center"/>
    </xf>
    <xf numFmtId="9" fontId="0" fillId="0" borderId="1" xfId="2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3" fontId="0" fillId="0" borderId="2" xfId="1" applyFont="1" applyBorder="1" applyAlignment="1">
      <alignment horizontal="right" vertical="center"/>
    </xf>
    <xf numFmtId="9" fontId="0" fillId="0" borderId="2" xfId="2" applyFon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11" fillId="7" borderId="14" xfId="1" applyFont="1" applyFill="1" applyBorder="1" applyAlignment="1">
      <alignment horizontal="center" vertical="center"/>
    </xf>
    <xf numFmtId="43" fontId="12" fillId="0" borderId="13" xfId="1" applyFont="1" applyBorder="1" applyAlignment="1">
      <alignment horizontal="center" vertical="center"/>
    </xf>
    <xf numFmtId="43" fontId="12" fillId="3" borderId="1" xfId="1" applyFont="1" applyFill="1" applyBorder="1" applyAlignment="1">
      <alignment horizontal="center" vertical="center"/>
    </xf>
    <xf numFmtId="43" fontId="12" fillId="3" borderId="13" xfId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6" fontId="1" fillId="0" borderId="1" xfId="1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0" fontId="0" fillId="0" borderId="1" xfId="0" applyBorder="1"/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0" fontId="9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43" fontId="0" fillId="0" borderId="1" xfId="2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3" fontId="0" fillId="0" borderId="2" xfId="0" applyNumberFormat="1" applyBorder="1" applyAlignment="1">
      <alignment horizontal="center" vertical="center"/>
    </xf>
    <xf numFmtId="43" fontId="7" fillId="0" borderId="0" xfId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0" fillId="12" borderId="3" xfId="0" applyFill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7" fontId="12" fillId="0" borderId="1" xfId="1" applyNumberFormat="1" applyFont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7" fontId="12" fillId="0" borderId="2" xfId="0" applyNumberFormat="1" applyFont="1" applyBorder="1" applyAlignment="1">
      <alignment horizontal="center" vertical="center"/>
    </xf>
    <xf numFmtId="43" fontId="7" fillId="0" borderId="1" xfId="1" applyFont="1" applyBorder="1" applyAlignment="1">
      <alignment horizontal="center" vertical="center"/>
    </xf>
    <xf numFmtId="43" fontId="12" fillId="3" borderId="0" xfId="1" applyNumberFormat="1" applyFont="1" applyFill="1" applyBorder="1" applyAlignment="1">
      <alignment horizontal="center" vertical="center"/>
    </xf>
    <xf numFmtId="43" fontId="11" fillId="7" borderId="14" xfId="1" applyNumberFormat="1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2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entury Gothic"/>
        <family val="2"/>
      </font>
      <fill>
        <patternFill>
          <fgColor indexed="64"/>
          <bgColor auto="1"/>
        </patternFill>
      </fill>
      <alignment horizontal="center"/>
    </dxf>
    <dxf>
      <border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</dxf>
    <dxf>
      <border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Century Gothic"/>
        <family val="2"/>
      </font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numFmt numFmtId="166" formatCode="0.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indexed="65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indexed="65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numFmt numFmtId="2" formatCode="0.0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numFmt numFmtId="35" formatCode="_-* #,##0.00_-;\-* #,##0.00_-;_-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numFmt numFmtId="35" formatCode="_-* #,##0.00_-;\-* #,##0.00_-;_-* &quot;-&quot;??_-;_-@_-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entury Gothic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alignment horizontal="center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#,##0.00\ [$MAD];[Red]\-#,##0.00\ [$MAD]"/>
    </dxf>
    <dxf>
      <numFmt numFmtId="164" formatCode="#,##0.00\ [$MAD];[Red]\-#,##0.00\ [$MAD]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#,##0.00\ [$MAD];[Red]\-#,##0.00\ [$MAD]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#,##0.00\ [$MAD];[Red]\-#,##0.00\ [$MAD]"/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.00\ [$MAD]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  <fill>
        <patternFill>
          <fgColor theme="6" tint="0.79998168889431442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auto="1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 vertical="center"/>
    </dxf>
    <dxf>
      <border>
        <bottom style="thin">
          <color indexed="64"/>
        </bottom>
      </border>
    </dxf>
    <dxf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center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numFmt numFmtId="30" formatCode="@"/>
      <fill>
        <patternFill>
          <fgColor indexed="64"/>
          <bgColor indexed="65"/>
        </patternFill>
      </fill>
      <alignment horizontal="center" vertical="bottom"/>
    </dxf>
    <dxf>
      <fill>
        <patternFill>
          <fgColor indexed="64"/>
          <bgColor indexed="65"/>
        </patternFill>
      </fill>
      <alignment horizontal="general" vertical="bottom"/>
    </dxf>
    <dxf>
      <numFmt numFmtId="19" formatCode="dd/mm/yyyy"/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theme="9" tint="-0.499984740745262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rgb="FFC00000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alignment horizontal="center" vertical="center"/>
      <border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alignment horizontal="center" vertical="center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/>
    </dxf>
    <dxf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7" formatCode="#,##0\ [$MAD]"/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7" formatCode="#,##0\ [$MAD]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7" formatCode="#,##0\ [$MAD]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7" formatCode="#,##0\ [$MAD]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sz val="12"/>
        <color theme="1"/>
        <name val="Aptos Narrow"/>
        <family val="2"/>
        <scheme val="minor"/>
      </font>
      <numFmt numFmtId="167" formatCode="#,##0\ [$MAD]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34373C39-5363-4255-8BBB-12CD4531F901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Produit" tableColumnId="1"/>
      <queryTableField id="2" name="Cde_Prdt" tableColumnId="2"/>
      <queryTableField id="3" name="Cde_Ingrdt" tableColumnId="3"/>
      <queryTableField id="4" name="Ingrédient" tableColumnId="4"/>
      <queryTableField id="5" name="Quantité" tableColumnId="5"/>
      <queryTableField id="6" name="Unité" tableColumnId="6"/>
      <queryTableField id="7" dataBound="0" tableColumnId="7"/>
    </queryTableFields>
  </queryTableRefresh>
</queryTable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Kpi" displayName="tbl_Kpi" ref="A7:G8" totalsRowShown="0" headerRowDxfId="223" headerRowBorderDxfId="222" tableBorderDxfId="221" totalsRowBorderDxfId="220">
  <autoFilter ref="A7:G8" xr:uid="{00000000-0009-0000-0100-000001000000}"/>
  <tableColumns count="7">
    <tableColumn id="1" xr3:uid="{00000000-0010-0000-0000-000001000000}" name="Total CA" dataDxfId="219">
      <calculatedColumnFormula>+$C$4</calculatedColumnFormula>
    </tableColumn>
    <tableColumn id="2" xr3:uid="{00000000-0010-0000-0000-000002000000}" name="Coût matière total" dataDxfId="218" dataCellStyle="Milliers">
      <calculatedColumnFormula>IFERROR(SUMIFS(tbl_Ventes[Coût matière ligne], tbl_Ventes[Date], "&gt;="&amp;$B$2, tbl_Ventes[Date], "&lt;="&amp;$C$2),"Vérifier")</calculatedColumnFormula>
    </tableColumn>
    <tableColumn id="3" xr3:uid="{00000000-0010-0000-0000-000003000000}" name="Marge brute  total" dataDxfId="217" dataCellStyle="Milliers">
      <calculatedColumnFormula>IFERROR($A$8- $B$8,"Vérifier")</calculatedColumnFormula>
    </tableColumn>
    <tableColumn id="4" xr3:uid="{00000000-0010-0000-0000-000004000000}" name="% marge brute " dataDxfId="216" dataCellStyle="Pourcentage">
      <calculatedColumnFormula>IFERROR(IF(tbl_Kpi[[#This Row],[Total CA]]=0, 0, tbl_Kpi[[#This Row],[Marge brute  total]] / tbl_Kpi[[#This Row],[Total CA]]),"Vérifier")</calculatedColumnFormula>
    </tableColumn>
    <tableColumn id="5" xr3:uid="{00000000-0010-0000-0000-000005000000}" name="Food cost % " dataDxfId="215" dataCellStyle="Pourcentage">
      <calculatedColumnFormula>IFERROR(IF(tbl_Kpi[[#This Row],[Total CA]]&gt;0, tbl_Kpi[[#This Row],[Coût matière total]]/tbl_Kpi[[#This Row],[Total CA]]),"Vérifier")</calculatedColumnFormula>
    </tableColumn>
    <tableColumn id="6" xr3:uid="{00000000-0010-0000-0000-000006000000}" name="Total charges fixes mensuelles" dataDxfId="214" dataCellStyle="Milliers">
      <calculatedColumnFormula>$B$4</calculatedColumnFormula>
    </tableColumn>
    <tableColumn id="7" xr3:uid="{00000000-0010-0000-0000-000007000000}" name="Marge nette après charges" dataDxfId="213" dataCellStyle="Milliers">
      <calculatedColumnFormula>IFERROR(tbl_Kpi[[#This Row],[Marge brute  total]] - tbl_Kpi[[#This Row],[Total charges fixes mensuelles]],"Vérifier")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Famille" displayName="tbl_Famille" ref="A10:H29" totalsRowShown="0" headerRowDxfId="212" dataDxfId="210" headerRowBorderDxfId="211" tableBorderDxfId="209" totalsRowBorderDxfId="208">
  <autoFilter ref="A10:H29" xr:uid="{00000000-0009-0000-0100-000002000000}"/>
  <tableColumns count="8">
    <tableColumn id="3" xr3:uid="{00000000-0010-0000-0100-000003000000}" name="Famille" dataDxfId="207"/>
    <tableColumn id="5" xr3:uid="{00000000-0010-0000-0100-000005000000}" name="CA Famille" dataDxfId="206">
      <calculatedColumnFormula>SUMIF(tbl_Ventes[Famille], tbl_Famille[[#This Row],[Famille]], tbl_Ventes[CA ligne])</calculatedColumnFormula>
    </tableColumn>
    <tableColumn id="6" xr3:uid="{00000000-0010-0000-0100-000006000000}" name="Coût matière Famille" dataDxfId="205" dataCellStyle="Milliers">
      <calculatedColumnFormula>IFERROR(SUMIF(tbl_Ventes[Famille], tbl_Famille[[#This Row],[Famille]], tbl_Ventes[Coût matière ligne]),"Vérifier")</calculatedColumnFormula>
    </tableColumn>
    <tableColumn id="7" xr3:uid="{00000000-0010-0000-0100-000007000000}" name="Marge brute famille" dataDxfId="204">
      <calculatedColumnFormula>IFERROR(tbl_Famille[[#This Row],[CA Famille]] - tbl_Famille[[#This Row],[Coût matière Famille]],"Vérifier")</calculatedColumnFormula>
    </tableColumn>
    <tableColumn id="10" xr3:uid="{00000000-0010-0000-0100-00000A000000}" name="Charges globales réparties" dataDxfId="203">
      <calculatedColumnFormula>SUMIF(tbl_Charges_Fixes[Type d’affectation],"Globale",tbl_Charges_Fixes[Montant_Mensuel])</calculatedColumnFormula>
    </tableColumn>
    <tableColumn id="11" xr3:uid="{00000000-0010-0000-0100-00000B000000}" name="Charges spécifiques" dataDxfId="202">
      <calculatedColumnFormula>IFERROR(SUMIFS(tbl_Charges_Fixes[Montant_Mensuel], tbl_Charges_Fixes[Type d’affectation], "Spécifique", tbl_Charges_Fixes[Famille affectée], tbl_Famille[[#This Row],[Famille]]),"Vérifier")</calculatedColumnFormula>
    </tableColumn>
    <tableColumn id="13" xr3:uid="{00000000-0010-0000-0100-00000D000000}" name="Charges totales" dataDxfId="201" dataCellStyle="Milliers">
      <calculatedColumnFormula>IFERROR(tbl_Famille[[#This Row],[Charges globales réparties]] + tbl_Famille[[#This Row],[Charges spécifiques]],"Vérifier")</calculatedColumnFormula>
    </tableColumn>
    <tableColumn id="14" xr3:uid="{00000000-0010-0000-0100-00000E000000}" name="Marge nette" dataDxfId="200">
      <calculatedColumnFormula>IFERROR(tbl_Famille[[#This Row],[Marge brute famille]] - tbl_Famille[[#This Row],[Charges totales]],"Vérifier")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argesfixespériode" displayName="Chargesfixespériode" ref="D4:D5" totalsRowShown="0" headerRowDxfId="199" dataDxfId="197" headerRowBorderDxfId="198" tableBorderDxfId="196" totalsRowBorderDxfId="195" headerRowCellStyle="Milliers" dataCellStyle="Milliers">
  <autoFilter ref="D4:D5" xr:uid="{00000000-0009-0000-0100-000003000000}"/>
  <tableColumns count="1">
    <tableColumn id="1" xr3:uid="{00000000-0010-0000-0200-000001000000}" name="Charges fixes de la période" dataDxfId="194" dataCellStyle="Milliers">
      <calculatedColumnFormula>B4 * C5 / 30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sFixesPar_Portion" displayName="ChargesFixesPar_Portion" ref="F3:G4" totalsRowShown="0" headerRowDxfId="193" dataDxfId="191" headerRowBorderDxfId="192" tableBorderDxfId="190" totalsRowBorderDxfId="189" headerRowCellStyle="Milliers" dataCellStyle="Milliers">
  <autoFilter ref="F3:G4" xr:uid="{00000000-0009-0000-0100-000004000000}"/>
  <tableColumns count="2">
    <tableColumn id="1" xr3:uid="{00000000-0010-0000-0300-000001000000}" name="Charges fixes par portion" dataDxfId="188" dataCellStyle="Milliers">
      <calculatedColumnFormula>IFERROR(SUMIFS(tbl_Ventes[Qté Vendue], tbl_Ventes[Date], "&gt;="&amp;$B$2, tbl_Ventes[Date], "&lt;="&amp;$C$2),0)</calculatedColumnFormula>
    </tableColumn>
    <tableColumn id="2" xr3:uid="{A593CC75-9BCF-4748-838C-16458522CE00}" name="Charge Fixes par Portion" dataDxfId="23" dataCellStyle="Milliers">
      <calculatedColumnFormula>IF(SUMIFS(tbl_Ventes[Qté Vendue], tbl_Ventes[Date], "&gt;="&amp;$B$2, tbl_Ventes[Date], "&lt;="&amp;$C$2)=0, 0, tbl_Charges_Fixes[[#Totals],[Montant_Mensuel]] / SUMIFS(tbl_Ventes[Qté Vendue], tbl_Ventes[Date], "&gt;="&amp;$B$2, tbl_Ventes[Date], "&lt;="&amp;$C$2))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Ventes" displayName="tbl_Ventes" ref="A1:K5000" totalsRowShown="0" headerRowDxfId="187" dataDxfId="186">
  <autoFilter ref="A1:K5000" xr:uid="{00000000-0009-0000-0100-000005000000}"/>
  <tableColumns count="11">
    <tableColumn id="1" xr3:uid="{00000000-0010-0000-0400-000001000000}" name="Date" dataDxfId="185"/>
    <tableColumn id="7" xr3:uid="{00000000-0010-0000-0400-000007000000}" name="Mois">
      <calculatedColumnFormula>IFERROR(TEXT(tbl_Ventes[[#This Row],[Date]],"mm-aaaa"),"")</calculatedColumnFormula>
    </tableColumn>
    <tableColumn id="2" xr3:uid="{00000000-0010-0000-0400-000002000000}" name="Produit" dataDxfId="184"/>
    <tableColumn id="3" xr3:uid="{00000000-0010-0000-0400-000003000000}" name="Cde_Prdt" dataDxfId="183">
      <calculatedColumnFormula>IFERROR(
   INDEX(tbl_ProduitsRef[Cde_Prdt],MATCH(tbl_Ventes[[#This Row],[Produit]],tbl_ProduitsRef[Produit],0)),
   ""
)</calculatedColumnFormula>
    </tableColumn>
    <tableColumn id="4" xr3:uid="{00000000-0010-0000-0400-000004000000}" name="Qté Vendue" dataDxfId="182" dataCellStyle="Milliers"/>
    <tableColumn id="5" xr3:uid="{00000000-0010-0000-0400-000005000000}" name="Prix Menu" dataDxfId="181" dataCellStyle="Milliers">
      <calculatedColumnFormula>IFERROR(
   INDEX(tbl_ProduitsRef[Prix Menu],MATCH(tbl_Ventes[[#This Row],[Produit]],tbl_ProduitsRef[Produit],0)),
   ""
)</calculatedColumnFormula>
    </tableColumn>
    <tableColumn id="6" xr3:uid="{00000000-0010-0000-0400-000006000000}" name="CA ligne" dataDxfId="180" dataCellStyle="Milliers">
      <calculatedColumnFormula>tbl_Ventes[[#This Row],[Qté Vendue]] * IFERROR(_xlfn.XLOOKUP(tbl_Ventes[[#This Row],[Cde_Prdt]], tbl_Produits[Cde_Prdt], tbl_Produits[Prix Menu]), 0)</calculatedColumnFormula>
    </tableColumn>
    <tableColumn id="10" xr3:uid="{00000000-0010-0000-0400-00000A000000}" name="CMP_par_portion" dataDxfId="179" dataCellStyle="Milliers">
      <calculatedColumnFormula>IFERROR(_xlfn.XLOOKUP(tbl_Ventes[[#This Row],[Cde_Prdt]], tbl_Produits[Cde_Prdt], tbl_Produits[Coût Moyen Portion]), 0)</calculatedColumnFormula>
    </tableColumn>
    <tableColumn id="11" xr3:uid="{00000000-0010-0000-0400-00000B000000}" name="Coût matière ligne" dataDxfId="178" dataCellStyle="Milliers">
      <calculatedColumnFormula>tbl_Ventes[[#This Row],[Qté Vendue]] * tbl_Ventes[[#This Row],[CMP_par_portion]]</calculatedColumnFormula>
    </tableColumn>
    <tableColumn id="12" xr3:uid="{00000000-0010-0000-0400-00000C000000}" name="Marge ligne" dataDxfId="177" dataCellStyle="Milliers">
      <calculatedColumnFormula>tbl_Ventes[[#This Row],[CA ligne]] - tbl_Ventes[[#This Row],[Coût matière ligne]]</calculatedColumnFormula>
    </tableColumn>
    <tableColumn id="8" xr3:uid="{00000000-0010-0000-0400-000008000000}" name="Famille" dataDxfId="176" dataCellStyle="Milliers">
      <calculatedColumnFormula>IFERROR(INDEX(tbl_ProduitsRef[Famille], MATCH(tbl_Ventes[[#This Row],[Cde_Prdt]], tbl_Produits[Cde_Prdt], 0)), 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Charges_Fixes" displayName="tbl_Charges_Fixes" ref="A1:G44" totalsRowCount="1" headerRowDxfId="175" dataDxfId="173" totalsRowDxfId="171" headerRowBorderDxfId="174" tableBorderDxfId="172" totalsRowBorderDxfId="170">
  <autoFilter ref="A1:G43" xr:uid="{00000000-0009-0000-0100-000006000000}"/>
  <tableColumns count="7">
    <tableColumn id="1" xr3:uid="{00000000-0010-0000-0500-000001000000}" name="ID_Charge" dataDxfId="169" totalsRowDxfId="22"/>
    <tableColumn id="2" xr3:uid="{00000000-0010-0000-0500-000002000000}" name="Colonne1" dataDxfId="168" totalsRowDxfId="21"/>
    <tableColumn id="3" xr3:uid="{00000000-0010-0000-0500-000003000000}" name="Libellé" dataDxfId="167" totalsRowDxfId="20"/>
    <tableColumn id="6" xr3:uid="{00000000-0010-0000-0500-000006000000}" name="Famille affectée" dataDxfId="166" totalsRowDxfId="19"/>
    <tableColumn id="4" xr3:uid="{00000000-0010-0000-0500-000004000000}" name="Montant_Mensuel" totalsRowFunction="sum" dataDxfId="165" totalsRowDxfId="18" dataCellStyle="Milliers"/>
    <tableColumn id="5" xr3:uid="{00000000-0010-0000-0500-000005000000}" name="Fréquence" dataDxfId="164" totalsRowDxfId="17"/>
    <tableColumn id="7" xr3:uid="{00000000-0010-0000-0500-000007000000}" name="Type d’affectation" dataDxfId="163" totalsRowDxfId="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612F09A-2512-48B5-A7F8-E277123F89DB}" name="tble_ChargesMsl" displayName="tble_ChargesMsl" ref="E47:G48" totalsRowShown="0" headerRowDxfId="11" dataDxfId="12">
  <autoFilter ref="E47:G48" xr:uid="{2612F09A-2512-48B5-A7F8-E277123F89DB}"/>
  <tableColumns count="3">
    <tableColumn id="1" xr3:uid="{7B65E196-05A8-4EC4-ACAF-89651BC8A61C}" name="Charge Globale" dataDxfId="15">
      <calculatedColumnFormula>SUMIFS(tbl_Charges_Fixes[Montant_Mensuel], tbl_Charges_Fixes[Type d’affectation], "Globale")</calculatedColumnFormula>
    </tableColumn>
    <tableColumn id="2" xr3:uid="{74AF0D97-B035-4ED4-8CD1-485150CE6E45}" name="Charge Spécifique" dataDxfId="14">
      <calculatedColumnFormula>SUMIFS(tbl_Charges_Fixes[Montant_Mensuel], tbl_Charges_Fixes[Type d’affectation], "Spécifique")</calculatedColumnFormula>
    </tableColumn>
    <tableColumn id="3" xr3:uid="{B7EA83B0-0C64-402E-9F7E-48ADF6B0E2CD}" name="total des charges globales" dataDxfId="13">
      <calculatedColumnFormula>SUM(E48:F48)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Produits" displayName="tbl_Produits" ref="A1:M276" totalsRowShown="0" headerRowDxfId="162" dataDxfId="160" headerRowBorderDxfId="161" tableBorderDxfId="159" totalsRowBorderDxfId="158">
  <autoFilter ref="A1:M276" xr:uid="{00000000-0009-0000-0100-000007000000}"/>
  <tableColumns count="13">
    <tableColumn id="1" xr3:uid="{00000000-0010-0000-0600-000001000000}" name="Cde_Prdt" dataDxfId="157">
      <calculatedColumnFormula>Référentiels!A2&amp;TEXT(Référentiels!B2,"000")</calculatedColumnFormula>
    </tableColumn>
    <tableColumn id="2" xr3:uid="{00000000-0010-0000-0600-000002000000}" name="Produit" dataDxfId="156">
      <calculatedColumnFormula>+tbl_ProduitsRef[[#This Row],[Produit]]</calculatedColumnFormula>
    </tableColumn>
    <tableColumn id="13" xr3:uid="{00000000-0010-0000-0600-00000D000000}" name="Famille" dataDxfId="155">
      <calculatedColumnFormula>IFERROR(INDEX(tbl_ProduitsRef[Famille], MATCH(tbl_Produits[[#This Row],[Cde_Prdt]], tbl_Produits[Cde_Prdt], 0)), "")</calculatedColumnFormula>
    </tableColumn>
    <tableColumn id="3" xr3:uid="{00000000-0010-0000-0600-000003000000}" name="Coût Moyen Portion" dataDxfId="154">
      <calculatedColumnFormula>SUMIF(tbl_Recettes[Cde_Prdt], tbl_Produits[[#This Row],[Cde_Prdt]], tbl_Recettes[Coût Moyen Portion])</calculatedColumnFormula>
    </tableColumn>
    <tableColumn id="4" xr3:uid="{00000000-0010-0000-0600-000004000000}" name="Prix Menu" dataDxfId="153" dataCellStyle="Milliers">
      <calculatedColumnFormula>IFERROR(
   INDEX(tbl_ProduitsRef[Prix Menu],MATCH(B2,tbl_ProduitsRef[Produit],0)),
   ""
)</calculatedColumnFormula>
    </tableColumn>
    <tableColumn id="5" xr3:uid="{00000000-0010-0000-0600-000005000000}" name="Marge Brute" dataDxfId="152" dataCellStyle="Milliers">
      <calculatedColumnFormula>tbl_Produits[[#This Row],[Prix Menu]] - tbl_Produits[[#This Row],[Coût Moyen Portion]]</calculatedColumnFormula>
    </tableColumn>
    <tableColumn id="6" xr3:uid="{00000000-0010-0000-0600-000006000000}" name="% Contribution" dataDxfId="151" dataCellStyle="Pourcentage">
      <calculatedColumnFormula>IF(tbl_Produits[[#This Row],[Prix Menu]]&gt;0, tbl_Produits[[#This Row],[Marge Brute]] / tbl_Produits[[#This Row],[Prix Menu]], 0)</calculatedColumnFormula>
    </tableColumn>
    <tableColumn id="7" xr3:uid="{00000000-0010-0000-0600-000007000000}" name="Scoring" dataDxfId="150" dataCellStyle="Milliers">
      <calculatedColumnFormula>IFERROR(
  AVERAGE(G2*10, F2/2),
0)</calculatedColumnFormula>
    </tableColumn>
    <tableColumn id="8" xr3:uid="{00000000-0010-0000-0600-000008000000}" name="Food cost % " dataDxfId="149">
      <calculatedColumnFormula>IF(tbl_Produits[[#This Row],[Prix Menu]]=0, 0, tbl_Produits[[#This Row],[Coût Moyen Portion]] / tbl_Produits[[#This Row],[Prix Menu]])</calculatedColumnFormula>
    </tableColumn>
    <tableColumn id="9" xr3:uid="{00000000-0010-0000-0600-000009000000}" name="% de Chrg Fixe /Prdt" dataDxfId="148">
      <calculatedColumnFormula array="1">IFERROR(IF(Total_portions=0, 0, Charges_fixes_totales_periode / Total_portions),"Vérifier")</calculatedColumnFormula>
    </tableColumn>
    <tableColumn id="10" xr3:uid="{00000000-0010-0000-0600-00000A000000}" name="Marge nette /Prdt" dataDxfId="147">
      <calculatedColumnFormula array="1">IFERROR(tbl_Produits[[#This Row],[Prix Menu]] - tbl_Produits[[#This Row],[Coût Moyen Portion]] - ChargesFixesPar_Portion[Charges fixes par portion],"Vérifier")</calculatedColumnFormula>
    </tableColumn>
    <tableColumn id="11" xr3:uid="{00000000-0010-0000-0600-00000B000000}" name="Seuils Tolérés " dataDxfId="146">
      <calculatedColumnFormula>IF(OR(tbl_Produits[[#This Row],[Food cost % ]]&gt;0.35,tbl_Produits[[#This Row],[% de Chrg Fixe /Prdt]]&gt;0.2),"À améliorer","OK")</calculatedColumnFormula>
    </tableColumn>
    <tableColumn id="12" xr3:uid="{00000000-0010-0000-0600-00000C000000}" name=" Charges fixes par portion" dataDxfId="145">
      <calculatedColumnFormula>IFERROR( (SUMIF(tbl_Charges_Fixes[Famille affectée],tbl_Produits[[#This Row],[Famille]],tbl_Charges_Fixes[Montant_Mensuel])) / (SUMIF(tbl_Ventes[Famille],tbl_Produits[[#This Row],[Famille]],tbl_Ventes[Qté Vendue])), 0)</calculatedColumnFormula>
    </tableColumn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299E2FD-255E-4B47-B048-E6597A6839A4}" name="tbl_Recettes" displayName="tbl_Recettes" ref="A1:G976" tableType="queryTable" totalsRowShown="0">
  <autoFilter ref="A1:G976" xr:uid="{C299E2FD-255E-4B47-B048-E6597A6839A4}"/>
  <tableColumns count="7">
    <tableColumn id="1" xr3:uid="{A41FC2FA-2A4B-4968-8899-FBB866BBA564}" uniqueName="1" name="Produit" queryTableFieldId="1" dataDxfId="144"/>
    <tableColumn id="2" xr3:uid="{A8DFAC02-B268-46C9-95EC-F7CA6F5C18AF}" uniqueName="2" name="Cde_Prdt" queryTableFieldId="2" dataDxfId="143"/>
    <tableColumn id="3" xr3:uid="{2DBA37CC-B01D-4762-A426-1D130C16AF34}" uniqueName="3" name="Cde_Ingrdt" queryTableFieldId="3" dataDxfId="142"/>
    <tableColumn id="4" xr3:uid="{966608B9-BF5C-4DE3-A117-8D067B43574F}" uniqueName="4" name="Ingrédient" queryTableFieldId="4" dataDxfId="141"/>
    <tableColumn id="5" xr3:uid="{C2132A74-5380-4102-A4D4-5ACC3D87EA8B}" uniqueName="5" name="Quantité" queryTableFieldId="5"/>
    <tableColumn id="6" xr3:uid="{61783F34-84AF-4BE4-A2C3-A1C68BC32BD4}" uniqueName="6" name="Unité" queryTableFieldId="6" dataDxfId="140"/>
    <tableColumn id="7" xr3:uid="{8D66E792-080D-4ABD-9853-D48835D470E1}" uniqueName="7" name="Coût Moyen Portion" queryTableFieldId="7" dataDxfId="139">
      <calculatedColumnFormula>IFERROR(tbl_Recettes[[#This Row],[Quantité]] * IFERROR(_xlfn.XLOOKUP(tbl_Recettes[[#This Row],[Cde_Ingrdt]], tbl_Stock[Cde_Ingrdt], tbl_Stock[CMP effectif]),0),0)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tock" displayName="tbl_Stock" ref="A1:P267" totalsRowShown="0" headerRowDxfId="138">
  <autoFilter ref="A1:P267" xr:uid="{00000000-0009-0000-0100-000009000000}"/>
  <tableColumns count="16">
    <tableColumn id="1" xr3:uid="{00000000-0010-0000-0800-000001000000}" name="Cde_Ingrdt">
      <calculatedColumnFormula>IFERROR(VLOOKUP(B2,Référentiels!$M$2:$N$267,2,FALSE),"Ingrédient non trouvé")</calculatedColumnFormula>
    </tableColumn>
    <tableColumn id="2" xr3:uid="{00000000-0010-0000-0800-000002000000}" name="Ingrédient"/>
    <tableColumn id="3" xr3:uid="{00000000-0010-0000-0800-000003000000}" name="Unité">
      <calculatedColumnFormula>INDEX(tbl_IngrédientsRef[Unité], MATCH(A2, tbl_IngrédientsRef[Cde_Ingrdt],0))</calculatedColumnFormula>
    </tableColumn>
    <tableColumn id="13" xr3:uid="{00000000-0010-0000-0800-00000D000000}" name="CMP Achat Unitaire">
      <calculatedColumnFormula>IFERROR(INDEX(tbl_IngrédientsRef[[#This Row],[PU_effectif_g/ml]], MATCH(tbl_Stock[[#This Row],[Cde_Ingrdt]], tbl_IngrédientsRef[[#This Row],[Cde_Ingrdt]], 0)), 0)</calculatedColumnFormula>
    </tableColumn>
    <tableColumn id="12" xr3:uid="{00000000-0010-0000-0800-00000C000000}" name="Stock Départ" dataDxfId="137" dataCellStyle="Milliers"/>
    <tableColumn id="4" xr3:uid="{00000000-0010-0000-0800-000004000000}" name="Valeur stock initiale">
      <calculatedColumnFormula>tbl_Stock[[#This Row],[Stock Départ]] * INDEX(tbl_IngrédientsRef[Prix/Uni Base], MATCH(tbl_Stock[[#This Row],[Cde_Ingrdt]], tbl_IngrédientsRef[Cde_Ingrdt], 0))</calculatedColumnFormula>
    </tableColumn>
    <tableColumn id="17" xr3:uid="{00000000-0010-0000-0800-000011000000}" name="Achats Cumulées">
      <calculatedColumnFormula>SUMIF(tbl_Achats[Cde_Ingrdt],tbl_Stock[[#This Row],[Cde_Ingrdt]],tbl_Achats[Qté d''Achat])</calculatedColumnFormula>
    </tableColumn>
    <tableColumn id="19" xr3:uid="{00000000-0010-0000-0800-000013000000}" name=" Valeur Achat" dataDxfId="136" dataCellStyle="Milliers">
      <calculatedColumnFormula array="1">SUMPRODUCT((tbl_Achats[Cde_Ingrdt]=tbl_Stock[[#This Row],[Cde_Ingrdt]]) * tbl_Achats[Qté d''Achat] * tbl_Achats[Prix Achat Unitaire])</calculatedColumnFormula>
    </tableColumn>
    <tableColumn id="5" xr3:uid="{00000000-0010-0000-0800-000005000000}" name="Stock cuisine"/>
    <tableColumn id="14" xr3:uid="{00000000-0010-0000-0800-00000E000000}" name="Valeur Stock Global" dataDxfId="135" dataCellStyle="Milliers">
      <calculatedColumnFormula>tbl_Stock[[#This Row],[Stock Courant]] * tbl_Stock[[#This Row],[CMP effectif]]</calculatedColumnFormula>
    </tableColumn>
    <tableColumn id="18" xr3:uid="{00000000-0010-0000-0800-000012000000}" name="Quantité totale" dataDxfId="134" dataCellStyle="Milliers">
      <calculatedColumnFormula>tbl_Stock[[#This Row],[Stock Départ]] + SUMIF(tbl_Achats[Cde_Ingrdt],tbl_Stock[[#This Row],[Cde_Ingrdt]],tbl_Achats[[#This Row],[Qté d''Achat]])</calculatedColumnFormula>
    </tableColumn>
    <tableColumn id="8" xr3:uid="{00000000-0010-0000-0800-000008000000}" name="CMP effectif" dataCellStyle="Milliers">
      <calculatedColumnFormula>IFERROR((tbl_Stock[[#This Row],[Valeur stock initiale]] + tbl_Stock[[#This Row],[ Valeur Achat]]) / tbl_Stock[[#This Row],[Quantité totale]], 0)</calculatedColumnFormula>
    </tableColumn>
    <tableColumn id="6" xr3:uid="{00000000-0010-0000-0800-000006000000}" name=" Sortie cumulée" dataCellStyle="Milliers">
      <calculatedColumnFormula>SUMIF(tbl_Sorties[[Code ingrédient ]], tbl_Stock[[#This Row],[Cde_Ingrdt]], tbl_Sorties[Qté Sortie])</calculatedColumnFormula>
    </tableColumn>
    <tableColumn id="10" xr3:uid="{00000000-0010-0000-0800-00000A000000}" name="Stock Courant">
      <calculatedColumnFormula>tbl_Stock[[#This Row],[Stock Départ]] + tbl_Stock[[#This Row],[Achats Cumulées]] - tbl_Stock[[#This Row],[ Sortie cumulée]]</calculatedColumnFormula>
    </tableColumn>
    <tableColumn id="7" xr3:uid="{00000000-0010-0000-0800-000007000000}" name="Seuil critique"/>
    <tableColumn id="11" xr3:uid="{00000000-0010-0000-0800-00000B000000}" name="Alerte">
      <calculatedColumnFormula>IF(tbl_Stock[[#This Row],[Stock Courant]] &lt; tbl_Stock[[#This Row],[Seuil critique]], "⚠️ Alerte", "OK")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Achats" displayName="tbl_Achats" ref="A1:I620" totalsRowShown="0" headerRowDxfId="133" dataDxfId="132">
  <autoFilter ref="A1:I620" xr:uid="{00000000-0009-0000-0100-00000A000000}"/>
  <tableColumns count="9">
    <tableColumn id="1" xr3:uid="{00000000-0010-0000-0900-000001000000}" name="Date" dataDxfId="131"/>
    <tableColumn id="2" xr3:uid="{00000000-0010-0000-0900-000002000000}" name="Réf Achat / N° BL" dataDxfId="130"/>
    <tableColumn id="3" xr3:uid="{00000000-0010-0000-0900-000003000000}" name="Fournisseur" dataDxfId="129"/>
    <tableColumn id="4" xr3:uid="{00000000-0010-0000-0900-000004000000}" name="Cde_Ingrdt" dataDxfId="128">
      <calculatedColumnFormula>IFERROR(VLOOKUP(E2,Référentiels!$M$2:$N$267,2,FALSE),"Ingrédient non trouvé")</calculatedColumnFormula>
    </tableColumn>
    <tableColumn id="5" xr3:uid="{00000000-0010-0000-0900-000005000000}" name="Nom Ingrédient" dataDxfId="127"/>
    <tableColumn id="6" xr3:uid="{00000000-0010-0000-0900-000006000000}" name="Qté d'Achat" dataDxfId="126"/>
    <tableColumn id="7" xr3:uid="{00000000-0010-0000-0900-000007000000}" name="Unité d'Achat" dataDxfId="125"/>
    <tableColumn id="9" xr3:uid="{00000000-0010-0000-0900-000009000000}" name="Prix Achat Unitaire" dataDxfId="124"/>
    <tableColumn id="15" xr3:uid="{00000000-0010-0000-0900-00000F000000}" name="Valeur Ligne" dataDxfId="123">
      <calculatedColumnFormula>IFERROR(tbl_Achats[[#This Row],[Qté d''Achat]] * tbl_Achats[[#This Row],[Prix Achat Unitaire]], 0)</calculatedColumnFormula>
    </tableColumn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Sorties" displayName="tbl_Sorties" ref="A1:D500" totalsRowShown="0" headerRowDxfId="122" dataDxfId="120" headerRowBorderDxfId="121" tableBorderDxfId="119" totalsRowBorderDxfId="118">
  <autoFilter ref="A1:D500" xr:uid="{00000000-0009-0000-0100-00000B000000}"/>
  <tableColumns count="4">
    <tableColumn id="1" xr3:uid="{00000000-0010-0000-0A00-000001000000}" name="Code ingrédient " dataDxfId="117">
      <calculatedColumnFormula>IFERROR(VLOOKUP(B2,Référentiels!$M$2:$N$267,2,FALSE),"Ingrédient non trouvé")</calculatedColumnFormula>
    </tableColumn>
    <tableColumn id="3" xr3:uid="{00000000-0010-0000-0A00-000003000000}" name="Nom ingredient " dataDxfId="116"/>
    <tableColumn id="2" xr3:uid="{00000000-0010-0000-0A00-000002000000}" name="Qté Sortie" dataDxfId="115"/>
    <tableColumn id="5" xr3:uid="{00000000-0010-0000-0A00-000005000000}" name="Unité" dataDxfId="114">
      <calculatedColumnFormula>INDEX(tbl_IngrédientsRef[Unité], MATCH(A2, tbl_IngrédientsRef[Cde_Ingrdt],0))</calculatedColumnFormula>
    </tableColumn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ProduitsRef" displayName="tbl_ProduitsRef" ref="G1:K276" totalsRowShown="0" headerRowDxfId="113" dataDxfId="111" headerRowBorderDxfId="112" tableBorderDxfId="110" totalsRowBorderDxfId="109">
  <autoFilter ref="G1:K276" xr:uid="{00000000-0009-0000-0100-00000C000000}"/>
  <tableColumns count="5">
    <tableColumn id="1" xr3:uid="{00000000-0010-0000-0B00-000001000000}" name="Cde_Prdt" dataDxfId="108">
      <calculatedColumnFormula>Référentiels!A2&amp;TEXT(Référentiels!B2,"000")</calculatedColumnFormula>
    </tableColumn>
    <tableColumn id="2" xr3:uid="{00000000-0010-0000-0B00-000002000000}" name="Produit" dataDxfId="107"/>
    <tableColumn id="3" xr3:uid="{00000000-0010-0000-0B00-000003000000}" name="Famille" dataDxfId="106"/>
    <tableColumn id="4" xr3:uid="{00000000-0010-0000-0B00-000004000000}" name="Prix Menu" dataDxfId="105" dataCellStyle="Milliers"/>
    <tableColumn id="5" xr3:uid="{00000000-0010-0000-0B00-000005000000}" name="Coût Matière" dataDxfId="104" dataCellStyle="Milliers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IngrédientsRef" displayName="tbl_IngrédientsRef" ref="M1:S267" totalsRowShown="0" headerRowDxfId="103" dataDxfId="101" headerRowBorderDxfId="102" tableBorderDxfId="100" totalsRowBorderDxfId="99">
  <autoFilter ref="M1:S267" xr:uid="{00000000-0009-0000-0100-00000D000000}"/>
  <tableColumns count="7">
    <tableColumn id="1" xr3:uid="{00000000-0010-0000-0C00-000001000000}" name="Ingrédient" dataDxfId="98"/>
    <tableColumn id="2" xr3:uid="{00000000-0010-0000-0C00-000002000000}" name="Cde_Ingrdt" dataDxfId="97">
      <calculatedColumnFormula>Référentiels!D2&amp;TEXT(Référentiels!E2,"000")</calculatedColumnFormula>
    </tableColumn>
    <tableColumn id="3" xr3:uid="{00000000-0010-0000-0C00-000003000000}" name="Catégorie" dataDxfId="96"/>
    <tableColumn id="4" xr3:uid="{00000000-0010-0000-0C00-000004000000}" name="Prix/Uni Base" dataDxfId="95" dataCellStyle="Milliers"/>
    <tableColumn id="5" xr3:uid="{00000000-0010-0000-0C00-000005000000}" name="Unité" dataDxfId="94"/>
    <tableColumn id="10" xr3:uid="{00000000-0010-0000-0C00-00000A000000}" name="Prix Au kg ou L" dataDxfId="93" dataCellStyle="Milliers">
      <calculatedColumnFormula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calculatedColumnFormula>
    </tableColumn>
    <tableColumn id="11" xr3:uid="{00000000-0010-0000-0C00-00000B000000}" name="PU_effectif_g/ml" dataDxfId="92" dataCellStyle="Milliers">
      <calculatedColumnFormula>IF(tbl_IngrédientsRef[[#This Row],[Unité]]="kg", tbl_IngrédientsRef[[#This Row],[Prix Au kg ou L]]/1000, IF(tbl_IngrédientsRef[[#This Row],[Unité]]="L", tbl_IngrédientsRef[[#This Row],[Prix Au kg ou L]]/1000, tbl_IngrédientsRef[[#This Row],[Prix/Uni Base]]))</calculatedColumnFormula>
    </tableColumn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acineProduits" displayName="tbl_RacineProduits" ref="A1:B276" totalsRowShown="0" headerRowDxfId="91" dataDxfId="89" headerRowBorderDxfId="90" tableBorderDxfId="88" totalsRowBorderDxfId="87">
  <autoFilter ref="A1:B276" xr:uid="{00000000-0009-0000-0100-00000E000000}"/>
  <tableColumns count="2">
    <tableColumn id="1" xr3:uid="{00000000-0010-0000-0D00-000001000000}" name="Racine_Prdts" dataDxfId="86">
      <calculatedColumnFormula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calculatedColumnFormula>
    </tableColumn>
    <tableColumn id="2" xr3:uid="{00000000-0010-0000-0D00-000002000000}" name="Séries" dataDxfId="85">
      <calculatedColumnFormula>COUNTIF(A$2:$A2,A2)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acineIngrédients" displayName="tbl_RacineIngrédients" ref="D1:E267" totalsRowShown="0" headerRowDxfId="84" headerRowBorderDxfId="83" tableBorderDxfId="82" totalsRowBorderDxfId="81">
  <autoFilter ref="D1:E267" xr:uid="{00000000-0009-0000-0100-00000F000000}"/>
  <tableColumns count="2">
    <tableColumn id="1" xr3:uid="{00000000-0010-0000-0E00-000001000000}" name="Racine_Ingrdts" dataDxfId="80">
      <calculatedColumnFormula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calculatedColumnFormula>
    </tableColumn>
    <tableColumn id="2" xr3:uid="{00000000-0010-0000-0E00-000002000000}" name="Séries" dataDxfId="79">
      <calculatedColumnFormula>COUNTIF($D$2:D2,D2)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PtDjSup" displayName="tbl_PtDjSup" ref="A1:F119" totalsRowShown="0" headerRowDxfId="78" dataDxfId="76" headerRowBorderDxfId="77" tableBorderDxfId="75" totalsRowBorderDxfId="74">
  <autoFilter ref="A1:F119" xr:uid="{00000000-0009-0000-0100-000010000000}"/>
  <tableColumns count="6">
    <tableColumn id="1" xr3:uid="{00000000-0010-0000-0F00-000001000000}" name="Produit" dataDxfId="73"/>
    <tableColumn id="2" xr3:uid="{00000000-0010-0000-0F00-000002000000}" name="Cde_Prdt" dataDxfId="72">
      <calculatedColumnFormula>IFERROR(INDEX(tbl_ProduitsRef[Cde_Prdt],MATCH(A2,tbl_ProduitsRef[Produit],0)),"⚠️ Produit non trouvé")</calculatedColumnFormula>
    </tableColumn>
    <tableColumn id="3" xr3:uid="{00000000-0010-0000-0F00-000003000000}" name="Cde_Ingrdt" dataDxfId="71">
      <calculatedColumnFormula>IFERROR(VLOOKUP(D2,Référentiels!$M$2:$N$267,2,FALSE),"Ingrédient non trouvé")</calculatedColumnFormula>
    </tableColumn>
    <tableColumn id="4" xr3:uid="{00000000-0010-0000-0F00-000004000000}" name="Ingrédient" dataDxfId="70"/>
    <tableColumn id="5" xr3:uid="{00000000-0010-0000-0F00-000005000000}" name="Quantité" dataDxfId="69"/>
    <tableColumn id="6" xr3:uid="{00000000-0010-0000-0F00-000006000000}" name="Unité" dataDxfId="68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TajPla" displayName="tbl_TajPla" ref="A1:F345" totalsRowShown="0" headerRowDxfId="67" dataDxfId="65" headerRowBorderDxfId="66" tableBorderDxfId="64" totalsRowBorderDxfId="63">
  <autoFilter ref="A1:F345" xr:uid="{00000000-0009-0000-0100-000011000000}"/>
  <tableColumns count="6">
    <tableColumn id="1" xr3:uid="{00000000-0010-0000-1000-000001000000}" name="Produit" dataDxfId="62"/>
    <tableColumn id="2" xr3:uid="{00000000-0010-0000-1000-000002000000}" name="Cde_Prdt" dataDxfId="61">
      <calculatedColumnFormula>IFERROR(INDEX(tbl_ProduitsRef[Cde_Prdt],MATCH(A2,tbl_ProduitsRef[Produit],0)),"⚠️ Produit non trouvé")</calculatedColumnFormula>
    </tableColumn>
    <tableColumn id="3" xr3:uid="{00000000-0010-0000-1000-000003000000}" name="Cde_Ingrdt" dataDxfId="60">
      <calculatedColumnFormula>IFERROR(VLOOKUP(D2,Référentiels!$M$2:$N$267,2,FALSE),"Ingrédient non trouvé")</calculatedColumnFormula>
    </tableColumn>
    <tableColumn id="4" xr3:uid="{00000000-0010-0000-1000-000004000000}" name="Ingrédient" dataDxfId="59"/>
    <tableColumn id="5" xr3:uid="{00000000-0010-0000-1000-000005000000}" name="Quantité" dataDxfId="58"/>
    <tableColumn id="6" xr3:uid="{00000000-0010-0000-1000-000006000000}" name="Unité" dataDxfId="57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SnkIta" displayName="tbl_SnkIta" ref="A1:F223" totalsRowShown="0" headerRowDxfId="56" dataDxfId="54" headerRowBorderDxfId="55" tableBorderDxfId="53" totalsRowBorderDxfId="52">
  <autoFilter ref="A1:F223" xr:uid="{00000000-0009-0000-0100-000012000000}"/>
  <tableColumns count="6">
    <tableColumn id="1" xr3:uid="{00000000-0010-0000-1100-000001000000}" name="Produit" dataDxfId="51"/>
    <tableColumn id="2" xr3:uid="{00000000-0010-0000-1100-000002000000}" name="Cde_Prdt" dataDxfId="50">
      <calculatedColumnFormula>IFERROR(INDEX(tbl_ProduitsRef[Cde_Prdt],MATCH(A2,tbl_ProduitsRef[Produit],0)),"⚠️ Produit non trouvé")</calculatedColumnFormula>
    </tableColumn>
    <tableColumn id="3" xr3:uid="{00000000-0010-0000-1100-000003000000}" name="Cde_Ingrdt" dataDxfId="49">
      <calculatedColumnFormula>IFERROR(VLOOKUP(D2,Référentiels!$M$2:$N$267,2,FALSE),"Ingrédient non trouvé")</calculatedColumnFormula>
    </tableColumn>
    <tableColumn id="4" xr3:uid="{00000000-0010-0000-1100-000004000000}" name="Ingrédient" dataDxfId="48"/>
    <tableColumn id="5" xr3:uid="{00000000-0010-0000-1100-000005000000}" name="Quantité" dataDxfId="47"/>
    <tableColumn id="6" xr3:uid="{00000000-0010-0000-1100-000006000000}" name="Unité" dataDxfId="46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e_GaufCreDsrt" displayName="tble_GaufCreDsrt" ref="A1:F108" totalsRowShown="0" headerRowDxfId="45" dataDxfId="43" headerRowBorderDxfId="44" tableBorderDxfId="42" totalsRowBorderDxfId="41">
  <autoFilter ref="A1:F108" xr:uid="{00000000-0009-0000-0100-000013000000}"/>
  <tableColumns count="6">
    <tableColumn id="1" xr3:uid="{00000000-0010-0000-1200-000001000000}" name="Produit" dataDxfId="40"/>
    <tableColumn id="2" xr3:uid="{00000000-0010-0000-1200-000002000000}" name="Cde_Prdt" dataDxfId="39">
      <calculatedColumnFormula>IFERROR(INDEX(tbl_ProduitsRef[Cde_Prdt],MATCH(A2,tbl_ProduitsRef[Produit],0)),"⚠️ Produit non trouvé")</calculatedColumnFormula>
    </tableColumn>
    <tableColumn id="3" xr3:uid="{00000000-0010-0000-1200-000003000000}" name="Cde_Ingrdt" dataDxfId="38">
      <calculatedColumnFormula>IFERROR(VLOOKUP(D2,Référentiels!$M$2:$N$267,2,FALSE),"Ingrédient non trouvé")</calculatedColumnFormula>
    </tableColumn>
    <tableColumn id="4" xr3:uid="{00000000-0010-0000-1200-000004000000}" name="Ingrédient" dataDxfId="37"/>
    <tableColumn id="5" xr3:uid="{00000000-0010-0000-1200-000005000000}" name="Quantité" dataDxfId="36"/>
    <tableColumn id="6" xr3:uid="{00000000-0010-0000-1200-000006000000}" name="Unité" dataDxfId="35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BoissonJus" displayName="tbl_BoissonJus" ref="A1:F185" totalsRowShown="0" headerRowDxfId="34" dataDxfId="32" headerRowBorderDxfId="33" tableBorderDxfId="31" totalsRowBorderDxfId="30">
  <autoFilter ref="A1:F185" xr:uid="{00000000-0009-0000-0100-000014000000}"/>
  <tableColumns count="6">
    <tableColumn id="1" xr3:uid="{00000000-0010-0000-1300-000001000000}" name="Produit" dataDxfId="29"/>
    <tableColumn id="2" xr3:uid="{00000000-0010-0000-1300-000002000000}" name="Cde_Prdt" dataDxfId="28">
      <calculatedColumnFormula>IFERROR(INDEX(tbl_ProduitsRef[Cde_Prdt],MATCH(A2,tbl_ProduitsRef[Produit],0)),"⚠️ Produit non trouvé")</calculatedColumnFormula>
    </tableColumn>
    <tableColumn id="3" xr3:uid="{00000000-0010-0000-1300-000003000000}" name="Cde_Ingrdt" dataDxfId="27">
      <calculatedColumnFormula>IFERROR(VLOOKUP(D2,Référentiels!$M$2:$N$267,2,FALSE),"Ingrédient non trouvé")</calculatedColumnFormula>
    </tableColumn>
    <tableColumn id="4" xr3:uid="{00000000-0010-0000-1300-000004000000}" name="Ingrédient" dataDxfId="26"/>
    <tableColumn id="5" xr3:uid="{00000000-0010-0000-1300-000005000000}" name="Quantité" dataDxfId="25"/>
    <tableColumn id="6" xr3:uid="{00000000-0010-0000-1300-000006000000}" name="Unité" dataDxfId="24">
      <calculatedColumnFormula>INDEX(tbl_IngrédientsRef[Unité], MATCH(C2, tbl_IngrédientsRef[Cde_Ingrdt],0))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H29"/>
  <sheetViews>
    <sheetView tabSelected="1" zoomScale="85" zoomScaleNormal="85" workbookViewId="0">
      <selection activeCell="E11" sqref="E11"/>
    </sheetView>
  </sheetViews>
  <sheetFormatPr baseColWidth="10" defaultColWidth="15.28515625" defaultRowHeight="15" x14ac:dyDescent="0.25"/>
  <cols>
    <col min="1" max="1" width="23" bestFit="1" customWidth="1"/>
    <col min="2" max="2" width="31.28515625" bestFit="1" customWidth="1"/>
    <col min="3" max="3" width="24.5703125" bestFit="1" customWidth="1"/>
    <col min="4" max="4" width="32.42578125" bestFit="1" customWidth="1"/>
    <col min="5" max="5" width="29.85546875" bestFit="1" customWidth="1"/>
    <col min="6" max="6" width="33.7109375" bestFit="1" customWidth="1"/>
    <col min="7" max="7" width="29.42578125" bestFit="1" customWidth="1"/>
    <col min="8" max="8" width="16.42578125" bestFit="1" customWidth="1"/>
  </cols>
  <sheetData>
    <row r="1" spans="1:8" ht="15.75" customHeight="1" x14ac:dyDescent="0.25">
      <c r="B1" s="39" t="s">
        <v>0</v>
      </c>
      <c r="C1" s="39" t="s">
        <v>1</v>
      </c>
    </row>
    <row r="2" spans="1:8" ht="15.75" customHeight="1" x14ac:dyDescent="0.25">
      <c r="B2" s="40">
        <v>45931</v>
      </c>
      <c r="C2" s="40">
        <v>45961</v>
      </c>
    </row>
    <row r="3" spans="1:8" x14ac:dyDescent="0.25">
      <c r="B3" s="41" t="s">
        <v>2</v>
      </c>
      <c r="C3" s="42" t="s">
        <v>3</v>
      </c>
      <c r="F3" s="74" t="s">
        <v>4</v>
      </c>
      <c r="G3" s="148" t="s">
        <v>1298</v>
      </c>
    </row>
    <row r="4" spans="1:8" ht="15.75" customHeight="1" x14ac:dyDescent="0.25">
      <c r="B4" s="43">
        <f>SUM(tbl_Charges_Fixes[Montant_Mensuel])</f>
        <v>929242</v>
      </c>
      <c r="C4" s="43">
        <f>IFERROR(SUMIFS(tbl_Ventes[CA ligne], tbl_Ventes[Date], "&gt;="&amp;$B$2, tbl_Ventes[Date], "&lt;="&amp;$C$2),"Vérifier")</f>
        <v>1242446</v>
      </c>
      <c r="D4" s="74" t="s">
        <v>5</v>
      </c>
      <c r="F4" s="77">
        <f>IFERROR(SUMIFS(tbl_Ventes[Qté Vendue], tbl_Ventes[Date], "&gt;="&amp;$B$2, tbl_Ventes[Date], "&lt;="&amp;$C$2),0)</f>
        <v>10787</v>
      </c>
      <c r="G4" s="147">
        <f>IF(SUMIFS(tbl_Ventes[Qté Vendue], tbl_Ventes[Date], "&gt;="&amp;$B$2, tbl_Ventes[Date], "&lt;="&amp;$C$2)=0, 0, tbl_Charges_Fixes[[#Totals],[Montant_Mensuel]] / SUMIFS(tbl_Ventes[Qté Vendue], tbl_Ventes[Date], "&gt;="&amp;$B$2, tbl_Ventes[Date], "&lt;="&amp;$C$2))</f>
        <v>86.14461852229536</v>
      </c>
    </row>
    <row r="5" spans="1:8" ht="15.75" customHeight="1" x14ac:dyDescent="0.25">
      <c r="B5" s="44" t="s">
        <v>6</v>
      </c>
      <c r="C5" s="45">
        <f>MAX(1, $C$2 - $B$2 + 1)</f>
        <v>31</v>
      </c>
      <c r="D5" s="75">
        <f>B4 * C5 / 30</f>
        <v>960216.73333333328</v>
      </c>
    </row>
    <row r="7" spans="1:8" x14ac:dyDescent="0.25">
      <c r="A7" s="46" t="s">
        <v>7</v>
      </c>
      <c r="B7" s="47" t="s">
        <v>8</v>
      </c>
      <c r="C7" s="48" t="s">
        <v>9</v>
      </c>
      <c r="D7" s="49" t="s">
        <v>1296</v>
      </c>
      <c r="E7" s="49" t="s">
        <v>10</v>
      </c>
      <c r="F7" s="50" t="s">
        <v>2</v>
      </c>
      <c r="G7" s="51" t="s">
        <v>11</v>
      </c>
    </row>
    <row r="8" spans="1:8" x14ac:dyDescent="0.25">
      <c r="A8" s="52">
        <f>+$C$4</f>
        <v>1242446</v>
      </c>
      <c r="B8" s="52">
        <f ca="1">IFERROR(SUMIFS(tbl_Ventes[Coût matière ligne], tbl_Ventes[Date], "&gt;="&amp;$B$2, tbl_Ventes[Date], "&lt;="&amp;$C$2),"Vérifier")</f>
        <v>1023679.6999999998</v>
      </c>
      <c r="C8" s="53">
        <f ca="1">IFERROR($A$8- $B$8,"Vérifier")</f>
        <v>218766.30000000016</v>
      </c>
      <c r="D8" s="54">
        <f ca="1">IFERROR(IF(tbl_Kpi[[#This Row],[Total CA]]=0, 0, tbl_Kpi[[#This Row],[Marge brute  total]] / tbl_Kpi[[#This Row],[Total CA]]),"Vérifier")</f>
        <v>0.17607710918623437</v>
      </c>
      <c r="E8" s="54">
        <f ca="1">IFERROR(IF(tbl_Kpi[[#This Row],[Total CA]]&gt;0, tbl_Kpi[[#This Row],[Coût matière total]]/tbl_Kpi[[#This Row],[Total CA]]),"Vérifier")</f>
        <v>0.82392289081376557</v>
      </c>
      <c r="F8" s="55">
        <f>$B$4</f>
        <v>929242</v>
      </c>
      <c r="G8" s="56">
        <f ca="1">IFERROR(tbl_Kpi[[#This Row],[Marge brute  total]] - tbl_Kpi[[#This Row],[Total charges fixes mensuelles]],"Vérifier")</f>
        <v>-710475.69999999984</v>
      </c>
    </row>
    <row r="10" spans="1:8" s="13" customFormat="1" x14ac:dyDescent="0.25">
      <c r="A10" s="140" t="s">
        <v>12</v>
      </c>
      <c r="B10" s="143" t="s">
        <v>13</v>
      </c>
      <c r="C10" s="143" t="s">
        <v>14</v>
      </c>
      <c r="D10" s="143" t="s">
        <v>15</v>
      </c>
      <c r="E10" s="139" t="s">
        <v>16</v>
      </c>
      <c r="F10" s="143" t="s">
        <v>17</v>
      </c>
      <c r="G10" s="143" t="s">
        <v>18</v>
      </c>
      <c r="H10" s="143" t="s">
        <v>19</v>
      </c>
    </row>
    <row r="11" spans="1:8" ht="15.75" customHeight="1" x14ac:dyDescent="0.25">
      <c r="A11" s="29" t="s">
        <v>20</v>
      </c>
      <c r="B11" s="141">
        <f>SUMIF(tbl_Ventes[Famille], tbl_Famille[[#This Row],[Famille]], tbl_Ventes[CA ligne])</f>
        <v>62640</v>
      </c>
      <c r="C11" s="142">
        <f ca="1">IFERROR(SUMIF(tbl_Ventes[Famille], tbl_Famille[[#This Row],[Famille]], tbl_Ventes[Coût matière ligne]),"Vérifier")</f>
        <v>28420</v>
      </c>
      <c r="D11" s="141">
        <f ca="1">IFERROR(tbl_Famille[[#This Row],[CA Famille]] - tbl_Famille[[#This Row],[Coût matière Famille]],"Vérifier")</f>
        <v>34220</v>
      </c>
      <c r="E11" s="141">
        <f>SUMIF(tbl_Charges_Fixes[Type d’affectation],"Globale",tbl_Charges_Fixes[Montant_Mensuel])</f>
        <v>498592</v>
      </c>
      <c r="F11" s="141">
        <f>IFERROR(SUMIFS(tbl_Charges_Fixes[Montant_Mensuel], tbl_Charges_Fixes[Type d’affectation], "Spécifique", tbl_Charges_Fixes[Famille affectée], tbl_Famille[[#This Row],[Famille]]),"Vérifier")</f>
        <v>24000</v>
      </c>
      <c r="G11" s="146">
        <f>IFERROR(tbl_Famille[[#This Row],[Charges globales réparties]] + tbl_Famille[[#This Row],[Charges spécifiques]],"Vérifier")</f>
        <v>522592</v>
      </c>
      <c r="H11" s="144">
        <f ca="1">IFERROR(tbl_Famille[[#This Row],[Marge brute famille]] - tbl_Famille[[#This Row],[Charges totales]],"Vérifier")</f>
        <v>-488372</v>
      </c>
    </row>
    <row r="12" spans="1:8" ht="15.75" customHeight="1" x14ac:dyDescent="0.25">
      <c r="A12" s="29" t="s">
        <v>21</v>
      </c>
      <c r="B12" s="141">
        <f>SUMIF(tbl_Ventes[Famille], tbl_Famille[[#This Row],[Famille]], tbl_Ventes[CA ligne])</f>
        <v>3546</v>
      </c>
      <c r="C12" s="142">
        <f ca="1">IFERROR(SUMIF(tbl_Ventes[Famille], tbl_Famille[[#This Row],[Famille]], tbl_Ventes[Coût matière ligne]),"Vérifier")</f>
        <v>1616.5100000000002</v>
      </c>
      <c r="D12" s="141">
        <f ca="1">IFERROR(tbl_Famille[[#This Row],[CA Famille]] - tbl_Famille[[#This Row],[Coût matière Famille]],"Vérifier")</f>
        <v>1929.4899999999998</v>
      </c>
      <c r="E12" s="141">
        <f>SUMIF(tbl_Charges_Fixes[Type d’affectation],"Globale",tbl_Charges_Fixes[Montant_Mensuel])</f>
        <v>498592</v>
      </c>
      <c r="F12" s="141">
        <f>IFERROR(SUMIFS(tbl_Charges_Fixes[Montant_Mensuel], tbl_Charges_Fixes[Type d’affectation], "Spécifique", tbl_Charges_Fixes[Famille affectée], tbl_Famille[[#This Row],[Famille]]),"Vérifier")</f>
        <v>24000</v>
      </c>
      <c r="G12" s="146">
        <f>IFERROR(tbl_Famille[[#This Row],[Charges globales réparties]] + tbl_Famille[[#This Row],[Charges spécifiques]],"Vérifier")</f>
        <v>522592</v>
      </c>
      <c r="H12" s="144">
        <f ca="1">IFERROR(tbl_Famille[[#This Row],[Marge brute famille]] - tbl_Famille[[#This Row],[Charges totales]],"Vérifier")</f>
        <v>-520662.51</v>
      </c>
    </row>
    <row r="13" spans="1:8" ht="15.75" customHeight="1" x14ac:dyDescent="0.25">
      <c r="A13" s="29" t="s">
        <v>22</v>
      </c>
      <c r="B13" s="141">
        <f>SUMIF(tbl_Ventes[Famille], tbl_Famille[[#This Row],[Famille]], tbl_Ventes[CA ligne])</f>
        <v>9100</v>
      </c>
      <c r="C13" s="142">
        <f ca="1">IFERROR(SUMIF(tbl_Ventes[Famille], tbl_Famille[[#This Row],[Famille]], tbl_Ventes[Coût matière ligne]),"Vérifier")</f>
        <v>12089.999999999998</v>
      </c>
      <c r="D13" s="141">
        <f ca="1">IFERROR(tbl_Famille[[#This Row],[CA Famille]] - tbl_Famille[[#This Row],[Coût matière Famille]],"Vérifier")</f>
        <v>-2989.9999999999982</v>
      </c>
      <c r="E13" s="141">
        <f>SUMIF(tbl_Charges_Fixes[Type d’affectation],"Globale",tbl_Charges_Fixes[Montant_Mensuel])</f>
        <v>498592</v>
      </c>
      <c r="F13" s="141">
        <f>IFERROR(SUMIFS(tbl_Charges_Fixes[Montant_Mensuel], tbl_Charges_Fixes[Type d’affectation], "Spécifique", tbl_Charges_Fixes[Famille affectée], tbl_Famille[[#This Row],[Famille]]),"Vérifier")</f>
        <v>24000</v>
      </c>
      <c r="G13" s="146">
        <f>IFERROR(tbl_Famille[[#This Row],[Charges globales réparties]] + tbl_Famille[[#This Row],[Charges spécifiques]],"Vérifier")</f>
        <v>522592</v>
      </c>
      <c r="H13" s="144">
        <f ca="1">IFERROR(tbl_Famille[[#This Row],[Marge brute famille]] - tbl_Famille[[#This Row],[Charges totales]],"Vérifier")</f>
        <v>-525582</v>
      </c>
    </row>
    <row r="14" spans="1:8" ht="15.75" customHeight="1" x14ac:dyDescent="0.25">
      <c r="A14" s="29" t="s">
        <v>23</v>
      </c>
      <c r="B14" s="141">
        <f>SUMIF(tbl_Ventes[Famille], tbl_Famille[[#This Row],[Famille]], tbl_Ventes[CA ligne])</f>
        <v>4158</v>
      </c>
      <c r="C14" s="142">
        <f ca="1">IFERROR(SUMIF(tbl_Ventes[Famille], tbl_Famille[[#This Row],[Famille]], tbl_Ventes[Coût matière ligne]),"Vérifier")</f>
        <v>10834</v>
      </c>
      <c r="D14" s="141">
        <f ca="1">IFERROR(tbl_Famille[[#This Row],[CA Famille]] - tbl_Famille[[#This Row],[Coût matière Famille]],"Vérifier")</f>
        <v>-6676</v>
      </c>
      <c r="E14" s="141">
        <f>SUMIF(tbl_Charges_Fixes[Type d’affectation],"Globale",tbl_Charges_Fixes[Montant_Mensuel])</f>
        <v>498592</v>
      </c>
      <c r="F14" s="141">
        <f>IFERROR(SUMIFS(tbl_Charges_Fixes[Montant_Mensuel], tbl_Charges_Fixes[Type d’affectation], "Spécifique", tbl_Charges_Fixes[Famille affectée], tbl_Famille[[#This Row],[Famille]]),"Vérifier")</f>
        <v>0</v>
      </c>
      <c r="G14" s="146">
        <f>IFERROR(tbl_Famille[[#This Row],[Charges globales réparties]] + tbl_Famille[[#This Row],[Charges spécifiques]],"Vérifier")</f>
        <v>498592</v>
      </c>
      <c r="H14" s="144">
        <f ca="1">IFERROR(tbl_Famille[[#This Row],[Marge brute famille]] - tbl_Famille[[#This Row],[Charges totales]],"Vérifier")</f>
        <v>-505268</v>
      </c>
    </row>
    <row r="15" spans="1:8" ht="15.75" customHeight="1" x14ac:dyDescent="0.25">
      <c r="A15" s="29" t="s">
        <v>24</v>
      </c>
      <c r="B15" s="141">
        <f>SUMIF(tbl_Ventes[Famille], tbl_Famille[[#This Row],[Famille]], tbl_Ventes[CA ligne])</f>
        <v>0</v>
      </c>
      <c r="C15" s="142">
        <f>IFERROR(SUMIF(tbl_Ventes[Famille], tbl_Famille[[#This Row],[Famille]], tbl_Ventes[Coût matière ligne]),"Vérifier")</f>
        <v>0</v>
      </c>
      <c r="D15" s="141">
        <f>IFERROR(tbl_Famille[[#This Row],[CA Famille]] - tbl_Famille[[#This Row],[Coût matière Famille]],"Vérifier")</f>
        <v>0</v>
      </c>
      <c r="E15" s="141">
        <f>SUMIF(tbl_Charges_Fixes[Type d’affectation],"Globale",tbl_Charges_Fixes[Montant_Mensuel])</f>
        <v>498592</v>
      </c>
      <c r="F15" s="141">
        <f>IFERROR(SUMIFS(tbl_Charges_Fixes[Montant_Mensuel], tbl_Charges_Fixes[Type d’affectation], "Spécifique", tbl_Charges_Fixes[Famille affectée], tbl_Famille[[#This Row],[Famille]]),"Vérifier")</f>
        <v>40000</v>
      </c>
      <c r="G15" s="146">
        <f>IFERROR(tbl_Famille[[#This Row],[Charges globales réparties]] + tbl_Famille[[#This Row],[Charges spécifiques]],"Vérifier")</f>
        <v>538592</v>
      </c>
      <c r="H15" s="144">
        <f>IFERROR(tbl_Famille[[#This Row],[Marge brute famille]] - tbl_Famille[[#This Row],[Charges totales]],"Vérifier")</f>
        <v>-538592</v>
      </c>
    </row>
    <row r="16" spans="1:8" ht="15.75" customHeight="1" x14ac:dyDescent="0.25">
      <c r="A16" s="29" t="s">
        <v>25</v>
      </c>
      <c r="B16" s="141">
        <f>SUMIF(tbl_Ventes[Famille], tbl_Famille[[#This Row],[Famille]], tbl_Ventes[CA ligne])</f>
        <v>0</v>
      </c>
      <c r="C16" s="142">
        <f>IFERROR(SUMIF(tbl_Ventes[Famille], tbl_Famille[[#This Row],[Famille]], tbl_Ventes[Coût matière ligne]),"Vérifier")</f>
        <v>0</v>
      </c>
      <c r="D16" s="141">
        <f>IFERROR(tbl_Famille[[#This Row],[CA Famille]] - tbl_Famille[[#This Row],[Coût matière Famille]],"Vérifier")</f>
        <v>0</v>
      </c>
      <c r="E16" s="141">
        <f>SUMIF(tbl_Charges_Fixes[Type d’affectation],"Globale",tbl_Charges_Fixes[Montant_Mensuel])</f>
        <v>498592</v>
      </c>
      <c r="F16" s="141">
        <f>IFERROR(SUMIFS(tbl_Charges_Fixes[Montant_Mensuel], tbl_Charges_Fixes[Type d’affectation], "Spécifique", tbl_Charges_Fixes[Famille affectée], tbl_Famille[[#This Row],[Famille]]),"Vérifier")</f>
        <v>24000</v>
      </c>
      <c r="G16" s="146">
        <f>IFERROR(tbl_Famille[[#This Row],[Charges globales réparties]] + tbl_Famille[[#This Row],[Charges spécifiques]],"Vérifier")</f>
        <v>522592</v>
      </c>
      <c r="H16" s="144">
        <f>IFERROR(tbl_Famille[[#This Row],[Marge brute famille]] - tbl_Famille[[#This Row],[Charges totales]],"Vérifier")</f>
        <v>-522592</v>
      </c>
    </row>
    <row r="17" spans="1:8" ht="15.75" customHeight="1" x14ac:dyDescent="0.25">
      <c r="A17" s="29" t="s">
        <v>26</v>
      </c>
      <c r="B17" s="141">
        <f>SUMIF(tbl_Ventes[Famille], tbl_Famille[[#This Row],[Famille]], tbl_Ventes[CA ligne])</f>
        <v>537660</v>
      </c>
      <c r="C17" s="142">
        <f ca="1">IFERROR(SUMIF(tbl_Ventes[Famille], tbl_Famille[[#This Row],[Famille]], tbl_Ventes[Coût matière ligne]),"Vérifier")</f>
        <v>743000</v>
      </c>
      <c r="D17" s="141">
        <f ca="1">IFERROR(tbl_Famille[[#This Row],[CA Famille]] - tbl_Famille[[#This Row],[Coût matière Famille]],"Vérifier")</f>
        <v>-205340</v>
      </c>
      <c r="E17" s="141">
        <f>SUMIF(tbl_Charges_Fixes[Type d’affectation],"Globale",tbl_Charges_Fixes[Montant_Mensuel])</f>
        <v>498592</v>
      </c>
      <c r="F17" s="141">
        <f>IFERROR(SUMIFS(tbl_Charges_Fixes[Montant_Mensuel], tbl_Charges_Fixes[Type d’affectation], "Spécifique", tbl_Charges_Fixes[Famille affectée], tbl_Famille[[#This Row],[Famille]]),"Vérifier")</f>
        <v>6540</v>
      </c>
      <c r="G17" s="146">
        <f>IFERROR(tbl_Famille[[#This Row],[Charges globales réparties]] + tbl_Famille[[#This Row],[Charges spécifiques]],"Vérifier")</f>
        <v>505132</v>
      </c>
      <c r="H17" s="144">
        <f ca="1">IFERROR(tbl_Famille[[#This Row],[Marge brute famille]] - tbl_Famille[[#This Row],[Charges totales]],"Vérifier")</f>
        <v>-710472</v>
      </c>
    </row>
    <row r="18" spans="1:8" ht="15.75" customHeight="1" x14ac:dyDescent="0.25">
      <c r="A18" s="29" t="s">
        <v>27</v>
      </c>
      <c r="B18" s="141">
        <f>SUMIF(tbl_Ventes[Famille], tbl_Famille[[#This Row],[Famille]], tbl_Ventes[CA ligne])</f>
        <v>0</v>
      </c>
      <c r="C18" s="142">
        <f>IFERROR(SUMIF(tbl_Ventes[Famille], tbl_Famille[[#This Row],[Famille]], tbl_Ventes[Coût matière ligne]),"Vérifier")</f>
        <v>0</v>
      </c>
      <c r="D18" s="141">
        <f>IFERROR(tbl_Famille[[#This Row],[CA Famille]] - tbl_Famille[[#This Row],[Coût matière Famille]],"Vérifier")</f>
        <v>0</v>
      </c>
      <c r="E18" s="141">
        <f>SUMIF(tbl_Charges_Fixes[Type d’affectation],"Globale",tbl_Charges_Fixes[Montant_Mensuel])</f>
        <v>498592</v>
      </c>
      <c r="F18" s="141">
        <f>IFERROR(SUMIFS(tbl_Charges_Fixes[Montant_Mensuel], tbl_Charges_Fixes[Type d’affectation], "Spécifique", tbl_Charges_Fixes[Famille affectée], tbl_Famille[[#This Row],[Famille]]),"Vérifier")</f>
        <v>6555</v>
      </c>
      <c r="G18" s="146">
        <f>IFERROR(tbl_Famille[[#This Row],[Charges globales réparties]] + tbl_Famille[[#This Row],[Charges spécifiques]],"Vérifier")</f>
        <v>505147</v>
      </c>
      <c r="H18" s="144">
        <f>IFERROR(tbl_Famille[[#This Row],[Marge brute famille]] - tbl_Famille[[#This Row],[Charges totales]],"Vérifier")</f>
        <v>-505147</v>
      </c>
    </row>
    <row r="19" spans="1:8" ht="15.75" customHeight="1" x14ac:dyDescent="0.25">
      <c r="A19" s="29" t="s">
        <v>28</v>
      </c>
      <c r="B19" s="141">
        <f>SUMIF(tbl_Ventes[Famille], tbl_Famille[[#This Row],[Famille]], tbl_Ventes[CA ligne])</f>
        <v>550200</v>
      </c>
      <c r="C19" s="142">
        <f ca="1">IFERROR(SUMIF(tbl_Ventes[Famille], tbl_Famille[[#This Row],[Famille]], tbl_Ventes[Coût matière ligne]),"Vérifier")</f>
        <v>191475.98000000004</v>
      </c>
      <c r="D19" s="141">
        <f ca="1">IFERROR(tbl_Famille[[#This Row],[CA Famille]] - tbl_Famille[[#This Row],[Coût matière Famille]],"Vérifier")</f>
        <v>358724.01999999996</v>
      </c>
      <c r="E19" s="141">
        <f>SUMIF(tbl_Charges_Fixes[Type d’affectation],"Globale",tbl_Charges_Fixes[Montant_Mensuel])</f>
        <v>498592</v>
      </c>
      <c r="F19" s="141">
        <f>IFERROR(SUMIFS(tbl_Charges_Fixes[Montant_Mensuel], tbl_Charges_Fixes[Type d’affectation], "Spécifique", tbl_Charges_Fixes[Famille affectée], tbl_Famille[[#This Row],[Famille]]),"Vérifier")</f>
        <v>65555</v>
      </c>
      <c r="G19" s="146">
        <f>IFERROR(tbl_Famille[[#This Row],[Charges globales réparties]] + tbl_Famille[[#This Row],[Charges spécifiques]],"Vérifier")</f>
        <v>564147</v>
      </c>
      <c r="H19" s="144">
        <f ca="1">IFERROR(tbl_Famille[[#This Row],[Marge brute famille]] - tbl_Famille[[#This Row],[Charges totales]],"Vérifier")</f>
        <v>-205422.98000000004</v>
      </c>
    </row>
    <row r="20" spans="1:8" ht="15.75" customHeight="1" x14ac:dyDescent="0.25">
      <c r="A20" s="29" t="s">
        <v>29</v>
      </c>
      <c r="B20" s="141">
        <f>SUMIF(tbl_Ventes[Famille], tbl_Famille[[#This Row],[Famille]], tbl_Ventes[CA ligne])</f>
        <v>0</v>
      </c>
      <c r="C20" s="142">
        <f>IFERROR(SUMIF(tbl_Ventes[Famille], tbl_Famille[[#This Row],[Famille]], tbl_Ventes[Coût matière ligne]),"Vérifier")</f>
        <v>0</v>
      </c>
      <c r="D20" s="141">
        <f>IFERROR(tbl_Famille[[#This Row],[CA Famille]] - tbl_Famille[[#This Row],[Coût matière Famille]],"Vérifier")</f>
        <v>0</v>
      </c>
      <c r="E20" s="141">
        <f>SUMIF(tbl_Charges_Fixes[Type d’affectation],"Globale",tbl_Charges_Fixes[Montant_Mensuel])</f>
        <v>498592</v>
      </c>
      <c r="F20" s="141">
        <f>IFERROR(SUMIFS(tbl_Charges_Fixes[Montant_Mensuel], tbl_Charges_Fixes[Type d’affectation], "Spécifique", tbl_Charges_Fixes[Famille affectée], tbl_Famille[[#This Row],[Famille]]),"Vérifier")</f>
        <v>21000</v>
      </c>
      <c r="G20" s="146">
        <f>IFERROR(tbl_Famille[[#This Row],[Charges globales réparties]] + tbl_Famille[[#This Row],[Charges spécifiques]],"Vérifier")</f>
        <v>519592</v>
      </c>
      <c r="H20" s="144">
        <f>IFERROR(tbl_Famille[[#This Row],[Marge brute famille]] - tbl_Famille[[#This Row],[Charges totales]],"Vérifier")</f>
        <v>-519592</v>
      </c>
    </row>
    <row r="21" spans="1:8" ht="15.75" customHeight="1" x14ac:dyDescent="0.25">
      <c r="A21" s="29" t="s">
        <v>30</v>
      </c>
      <c r="B21" s="141">
        <f>SUMIF(tbl_Ventes[Famille], tbl_Famille[[#This Row],[Famille]], tbl_Ventes[CA ligne])</f>
        <v>0</v>
      </c>
      <c r="C21" s="142">
        <f>IFERROR(SUMIF(tbl_Ventes[Famille], tbl_Famille[[#This Row],[Famille]], tbl_Ventes[Coût matière ligne]),"Vérifier")</f>
        <v>0</v>
      </c>
      <c r="D21" s="141">
        <f>IFERROR(tbl_Famille[[#This Row],[CA Famille]] - tbl_Famille[[#This Row],[Coût matière Famille]],"Vérifier")</f>
        <v>0</v>
      </c>
      <c r="E21" s="141">
        <f>SUMIF(tbl_Charges_Fixes[Type d’affectation],"Globale",tbl_Charges_Fixes[Montant_Mensuel])</f>
        <v>498592</v>
      </c>
      <c r="F21" s="141">
        <f>IFERROR(SUMIFS(tbl_Charges_Fixes[Montant_Mensuel], tbl_Charges_Fixes[Type d’affectation], "Spécifique", tbl_Charges_Fixes[Famille affectée], tbl_Famille[[#This Row],[Famille]]),"Vérifier")</f>
        <v>21000</v>
      </c>
      <c r="G21" s="146">
        <f>IFERROR(tbl_Famille[[#This Row],[Charges globales réparties]] + tbl_Famille[[#This Row],[Charges spécifiques]],"Vérifier")</f>
        <v>519592</v>
      </c>
      <c r="H21" s="144">
        <f>IFERROR(tbl_Famille[[#This Row],[Marge brute famille]] - tbl_Famille[[#This Row],[Charges totales]],"Vérifier")</f>
        <v>-519592</v>
      </c>
    </row>
    <row r="22" spans="1:8" ht="15.75" customHeight="1" x14ac:dyDescent="0.25">
      <c r="A22" s="29" t="s">
        <v>31</v>
      </c>
      <c r="B22" s="141">
        <f>SUMIF(tbl_Ventes[Famille], tbl_Famille[[#This Row],[Famille]], tbl_Ventes[CA ligne])</f>
        <v>0</v>
      </c>
      <c r="C22" s="142">
        <f>IFERROR(SUMIF(tbl_Ventes[Famille], tbl_Famille[[#This Row],[Famille]], tbl_Ventes[Coût matière ligne]),"Vérifier")</f>
        <v>0</v>
      </c>
      <c r="D22" s="141">
        <f>IFERROR(tbl_Famille[[#This Row],[CA Famille]] - tbl_Famille[[#This Row],[Coût matière Famille]],"Vérifier")</f>
        <v>0</v>
      </c>
      <c r="E22" s="141">
        <f>SUMIF(tbl_Charges_Fixes[Type d’affectation],"Globale",tbl_Charges_Fixes[Montant_Mensuel])</f>
        <v>498592</v>
      </c>
      <c r="F22" s="141">
        <f>IFERROR(SUMIFS(tbl_Charges_Fixes[Montant_Mensuel], tbl_Charges_Fixes[Type d’affectation], "Spécifique", tbl_Charges_Fixes[Famille affectée], tbl_Famille[[#This Row],[Famille]]),"Vérifier")</f>
        <v>20000</v>
      </c>
      <c r="G22" s="146">
        <f>IFERROR(tbl_Famille[[#This Row],[Charges globales réparties]] + tbl_Famille[[#This Row],[Charges spécifiques]],"Vérifier")</f>
        <v>518592</v>
      </c>
      <c r="H22" s="144">
        <f>IFERROR(tbl_Famille[[#This Row],[Marge brute famille]] - tbl_Famille[[#This Row],[Charges totales]],"Vérifier")</f>
        <v>-518592</v>
      </c>
    </row>
    <row r="23" spans="1:8" ht="15.75" customHeight="1" x14ac:dyDescent="0.25">
      <c r="A23" s="29" t="s">
        <v>32</v>
      </c>
      <c r="B23" s="141">
        <f>SUMIF(tbl_Ventes[Famille], tbl_Famille[[#This Row],[Famille]], tbl_Ventes[CA ligne])</f>
        <v>0</v>
      </c>
      <c r="C23" s="142">
        <f>IFERROR(SUMIF(tbl_Ventes[Famille], tbl_Famille[[#This Row],[Famille]], tbl_Ventes[Coût matière ligne]),"Vérifier")</f>
        <v>0</v>
      </c>
      <c r="D23" s="141">
        <f>IFERROR(tbl_Famille[[#This Row],[CA Famille]] - tbl_Famille[[#This Row],[Coût matière Famille]],"Vérifier")</f>
        <v>0</v>
      </c>
      <c r="E23" s="141">
        <f>SUMIF(tbl_Charges_Fixes[Type d’affectation],"Globale",tbl_Charges_Fixes[Montant_Mensuel])</f>
        <v>498592</v>
      </c>
      <c r="F23" s="141">
        <f>IFERROR(SUMIFS(tbl_Charges_Fixes[Montant_Mensuel], tbl_Charges_Fixes[Type d’affectation], "Spécifique", tbl_Charges_Fixes[Famille affectée], tbl_Famille[[#This Row],[Famille]]),"Vérifier")</f>
        <v>5000</v>
      </c>
      <c r="G23" s="146">
        <f>IFERROR(tbl_Famille[[#This Row],[Charges globales réparties]] + tbl_Famille[[#This Row],[Charges spécifiques]],"Vérifier")</f>
        <v>503592</v>
      </c>
      <c r="H23" s="144">
        <f>IFERROR(tbl_Famille[[#This Row],[Marge brute famille]] - tbl_Famille[[#This Row],[Charges totales]],"Vérifier")</f>
        <v>-503592</v>
      </c>
    </row>
    <row r="24" spans="1:8" ht="15.75" customHeight="1" x14ac:dyDescent="0.25">
      <c r="A24" s="29" t="s">
        <v>33</v>
      </c>
      <c r="B24" s="141">
        <f>SUMIF(tbl_Ventes[Famille], tbl_Famille[[#This Row],[Famille]], tbl_Ventes[CA ligne])</f>
        <v>0</v>
      </c>
      <c r="C24" s="142">
        <f>IFERROR(SUMIF(tbl_Ventes[Famille], tbl_Famille[[#This Row],[Famille]], tbl_Ventes[Coût matière ligne]),"Vérifier")</f>
        <v>0</v>
      </c>
      <c r="D24" s="141">
        <f>IFERROR(tbl_Famille[[#This Row],[CA Famille]] - tbl_Famille[[#This Row],[Coût matière Famille]],"Vérifier")</f>
        <v>0</v>
      </c>
      <c r="E24" s="141">
        <f>SUMIF(tbl_Charges_Fixes[Type d’affectation],"Globale",tbl_Charges_Fixes[Montant_Mensuel])</f>
        <v>498592</v>
      </c>
      <c r="F24" s="141">
        <f>IFERROR(SUMIFS(tbl_Charges_Fixes[Montant_Mensuel], tbl_Charges_Fixes[Type d’affectation], "Spécifique", tbl_Charges_Fixes[Famille affectée], tbl_Famille[[#This Row],[Famille]]),"Vérifier")</f>
        <v>15000</v>
      </c>
      <c r="G24" s="146">
        <f>IFERROR(tbl_Famille[[#This Row],[Charges globales réparties]] + tbl_Famille[[#This Row],[Charges spécifiques]],"Vérifier")</f>
        <v>513592</v>
      </c>
      <c r="H24" s="144">
        <f>IFERROR(tbl_Famille[[#This Row],[Marge brute famille]] - tbl_Famille[[#This Row],[Charges totales]],"Vérifier")</f>
        <v>-513592</v>
      </c>
    </row>
    <row r="25" spans="1:8" ht="15.75" customHeight="1" x14ac:dyDescent="0.25">
      <c r="A25" s="29" t="s">
        <v>34</v>
      </c>
      <c r="B25" s="141">
        <f>SUMIF(tbl_Ventes[Famille], tbl_Famille[[#This Row],[Famille]], tbl_Ventes[CA ligne])</f>
        <v>41337</v>
      </c>
      <c r="C25" s="142">
        <f ca="1">IFERROR(SUMIF(tbl_Ventes[Famille], tbl_Famille[[#This Row],[Famille]], tbl_Ventes[Coût matière ligne]),"Vérifier")</f>
        <v>29640.16</v>
      </c>
      <c r="D25" s="141">
        <f ca="1">IFERROR(tbl_Famille[[#This Row],[CA Famille]] - tbl_Famille[[#This Row],[Coût matière Famille]],"Vérifier")</f>
        <v>11696.84</v>
      </c>
      <c r="E25" s="141">
        <f>SUMIF(tbl_Charges_Fixes[Type d’affectation],"Globale",tbl_Charges_Fixes[Montant_Mensuel])</f>
        <v>498592</v>
      </c>
      <c r="F25" s="141">
        <f>IFERROR(SUMIFS(tbl_Charges_Fixes[Montant_Mensuel], tbl_Charges_Fixes[Type d’affectation], "Spécifique", tbl_Charges_Fixes[Famille affectée], tbl_Famille[[#This Row],[Famille]]),"Vérifier")</f>
        <v>35000</v>
      </c>
      <c r="G25" s="146">
        <f>IFERROR(tbl_Famille[[#This Row],[Charges globales réparties]] + tbl_Famille[[#This Row],[Charges spécifiques]],"Vérifier")</f>
        <v>533592</v>
      </c>
      <c r="H25" s="144">
        <f ca="1">IFERROR(tbl_Famille[[#This Row],[Marge brute famille]] - tbl_Famille[[#This Row],[Charges totales]],"Vérifier")</f>
        <v>-521895.16</v>
      </c>
    </row>
    <row r="26" spans="1:8" ht="15.75" customHeight="1" x14ac:dyDescent="0.25">
      <c r="A26" s="29" t="s">
        <v>35</v>
      </c>
      <c r="B26" s="141">
        <f>SUMIF(tbl_Ventes[Famille], tbl_Famille[[#This Row],[Famille]], tbl_Ventes[CA ligne])</f>
        <v>14155</v>
      </c>
      <c r="C26" s="142">
        <f ca="1">IFERROR(SUMIF(tbl_Ventes[Famille], tbl_Famille[[#This Row],[Famille]], tbl_Ventes[Coût matière ligne]),"Vérifier")</f>
        <v>4107.95</v>
      </c>
      <c r="D26" s="141">
        <f ca="1">IFERROR(tbl_Famille[[#This Row],[CA Famille]] - tbl_Famille[[#This Row],[Coût matière Famille]],"Vérifier")</f>
        <v>10047.049999999999</v>
      </c>
      <c r="E26" s="141">
        <f>SUMIF(tbl_Charges_Fixes[Type d’affectation],"Globale",tbl_Charges_Fixes[Montant_Mensuel])</f>
        <v>498592</v>
      </c>
      <c r="F26" s="141">
        <f>IFERROR(SUMIFS(tbl_Charges_Fixes[Montant_Mensuel], tbl_Charges_Fixes[Type d’affectation], "Spécifique", tbl_Charges_Fixes[Famille affectée], tbl_Famille[[#This Row],[Famille]]),"Vérifier")</f>
        <v>14000</v>
      </c>
      <c r="G26" s="146">
        <f>IFERROR(tbl_Famille[[#This Row],[Charges globales réparties]] + tbl_Famille[[#This Row],[Charges spécifiques]],"Vérifier")</f>
        <v>512592</v>
      </c>
      <c r="H26" s="144">
        <f ca="1">IFERROR(tbl_Famille[[#This Row],[Marge brute famille]] - tbl_Famille[[#This Row],[Charges totales]],"Vérifier")</f>
        <v>-502544.95</v>
      </c>
    </row>
    <row r="27" spans="1:8" ht="15.75" customHeight="1" x14ac:dyDescent="0.25">
      <c r="A27" s="29" t="s">
        <v>36</v>
      </c>
      <c r="B27" s="141">
        <f>SUMIF(tbl_Ventes[Famille], tbl_Famille[[#This Row],[Famille]], tbl_Ventes[CA ligne])</f>
        <v>27545</v>
      </c>
      <c r="C27" s="142">
        <f ca="1">IFERROR(SUMIF(tbl_Ventes[Famille], tbl_Famille[[#This Row],[Famille]], tbl_Ventes[Coût matière ligne]),"Vérifier")</f>
        <v>13615.1</v>
      </c>
      <c r="D27" s="141">
        <f ca="1">IFERROR(tbl_Famille[[#This Row],[CA Famille]] - tbl_Famille[[#This Row],[Coût matière Famille]],"Vérifier")</f>
        <v>13929.9</v>
      </c>
      <c r="E27" s="141">
        <f>SUMIF(tbl_Charges_Fixes[Type d’affectation],"Globale",tbl_Charges_Fixes[Montant_Mensuel])</f>
        <v>498592</v>
      </c>
      <c r="F27" s="141">
        <f>IFERROR(SUMIFS(tbl_Charges_Fixes[Montant_Mensuel], tbl_Charges_Fixes[Type d’affectation], "Spécifique", tbl_Charges_Fixes[Famille affectée], tbl_Famille[[#This Row],[Famille]]),"Vérifier")</f>
        <v>35000</v>
      </c>
      <c r="G27" s="146">
        <f>IFERROR(tbl_Famille[[#This Row],[Charges globales réparties]] + tbl_Famille[[#This Row],[Charges spécifiques]],"Vérifier")</f>
        <v>533592</v>
      </c>
      <c r="H27" s="144">
        <f ca="1">IFERROR(tbl_Famille[[#This Row],[Marge brute famille]] - tbl_Famille[[#This Row],[Charges totales]],"Vérifier")</f>
        <v>-519662.1</v>
      </c>
    </row>
    <row r="28" spans="1:8" ht="15.75" customHeight="1" x14ac:dyDescent="0.25">
      <c r="A28" s="29" t="s">
        <v>37</v>
      </c>
      <c r="B28" s="141">
        <f>SUMIF(tbl_Ventes[Famille], tbl_Famille[[#This Row],[Famille]], tbl_Ventes[CA ligne])</f>
        <v>0</v>
      </c>
      <c r="C28" s="142">
        <f>IFERROR(SUMIF(tbl_Ventes[Famille], tbl_Famille[[#This Row],[Famille]], tbl_Ventes[Coût matière ligne]),"Vérifier")</f>
        <v>0</v>
      </c>
      <c r="D28" s="141">
        <f>IFERROR(tbl_Famille[[#This Row],[CA Famille]] - tbl_Famille[[#This Row],[Coût matière Famille]],"Vérifier")</f>
        <v>0</v>
      </c>
      <c r="E28" s="141">
        <f>SUMIF(tbl_Charges_Fixes[Type d’affectation],"Globale",tbl_Charges_Fixes[Montant_Mensuel])</f>
        <v>498592</v>
      </c>
      <c r="F28" s="141">
        <f>IFERROR(SUMIFS(tbl_Charges_Fixes[Montant_Mensuel], tbl_Charges_Fixes[Type d’affectation], "Spécifique", tbl_Charges_Fixes[Famille affectée], tbl_Famille[[#This Row],[Famille]]),"Vérifier")</f>
        <v>10000</v>
      </c>
      <c r="G28" s="146">
        <f>IFERROR(tbl_Famille[[#This Row],[Charges globales réparties]] + tbl_Famille[[#This Row],[Charges spécifiques]],"Vérifier")</f>
        <v>508592</v>
      </c>
      <c r="H28" s="144">
        <f>IFERROR(tbl_Famille[[#This Row],[Marge brute famille]] - tbl_Famille[[#This Row],[Charges totales]],"Vérifier")</f>
        <v>-508592</v>
      </c>
    </row>
    <row r="29" spans="1:8" ht="15.75" customHeight="1" x14ac:dyDescent="0.25">
      <c r="A29" s="30" t="s">
        <v>38</v>
      </c>
      <c r="B29" s="145">
        <f>SUMIF(tbl_Ventes[Famille], tbl_Famille[[#This Row],[Famille]], tbl_Ventes[CA ligne])</f>
        <v>0</v>
      </c>
      <c r="C29" s="142">
        <f>IFERROR(SUMIF(tbl_Ventes[Famille], tbl_Famille[[#This Row],[Famille]], tbl_Ventes[Coût matière ligne]),"Vérifier")</f>
        <v>0</v>
      </c>
      <c r="D29" s="141">
        <f>IFERROR(tbl_Famille[[#This Row],[CA Famille]] - tbl_Famille[[#This Row],[Coût matière Famille]],"Vérifier")</f>
        <v>0</v>
      </c>
      <c r="E29" s="145">
        <f>SUMIF(tbl_Charges_Fixes[Type d’affectation],"Globale",tbl_Charges_Fixes[Montant_Mensuel])</f>
        <v>498592</v>
      </c>
      <c r="F29" s="141">
        <f>IFERROR(SUMIFS(tbl_Charges_Fixes[Montant_Mensuel], tbl_Charges_Fixes[Type d’affectation], "Spécifique", tbl_Charges_Fixes[Famille affectée], tbl_Famille[[#This Row],[Famille]]),"Vérifier")</f>
        <v>40000</v>
      </c>
      <c r="G29" s="146">
        <f>IFERROR(tbl_Famille[[#This Row],[Charges globales réparties]] + tbl_Famille[[#This Row],[Charges spécifiques]],"Vérifier")</f>
        <v>538592</v>
      </c>
      <c r="H29" s="144">
        <f>IFERROR(tbl_Famille[[#This Row],[Marge brute famille]] - tbl_Famille[[#This Row],[Charges totales]],"Vérifier")</f>
        <v>-538592</v>
      </c>
    </row>
  </sheetData>
  <conditionalFormatting sqref="A1:XFD6 A7:D7 F7:XFD7 A8:XFD1048576">
    <cfRule type="containsText" dxfId="10" priority="1" operator="containsText" text="Vérifier">
      <formula>NOT(ISERROR(SEARCH("Vérifier",A1)))</formula>
    </cfRule>
  </conditionalFormatting>
  <conditionalFormatting sqref="E8">
    <cfRule type="cellIs" dxfId="9" priority="5" operator="greaterThan">
      <formula>0.3</formula>
    </cfRule>
  </conditionalFormatting>
  <conditionalFormatting sqref="G7:G8">
    <cfRule type="cellIs" dxfId="8" priority="3" operator="lessThan">
      <formula>0</formula>
    </cfRule>
    <cfRule type="cellIs" dxfId="7" priority="4" operator="greaterThan">
      <formula>0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theme="4" tint="0.39997558519241921"/>
  </sheetPr>
  <dimension ref="A1:O5000"/>
  <sheetViews>
    <sheetView workbookViewId="0">
      <selection activeCell="B71" sqref="B71"/>
    </sheetView>
  </sheetViews>
  <sheetFormatPr baseColWidth="10" defaultColWidth="21.42578125" defaultRowHeight="15" x14ac:dyDescent="0.25"/>
  <cols>
    <col min="1" max="1" width="10.42578125" bestFit="1" customWidth="1"/>
    <col min="2" max="2" width="9.85546875" bestFit="1" customWidth="1"/>
    <col min="3" max="3" width="42.28515625" bestFit="1" customWidth="1"/>
    <col min="4" max="4" width="15.85546875" style="10" bestFit="1" customWidth="1"/>
    <col min="5" max="5" width="16.140625" bestFit="1" customWidth="1"/>
    <col min="6" max="6" width="18.5703125" bestFit="1" customWidth="1"/>
    <col min="7" max="7" width="13" bestFit="1" customWidth="1"/>
    <col min="8" max="8" width="21" bestFit="1" customWidth="1"/>
    <col min="9" max="9" width="22.42578125" bestFit="1" customWidth="1"/>
    <col min="10" max="10" width="15.85546875" bestFit="1" customWidth="1"/>
    <col min="11" max="11" width="24.28515625" bestFit="1" customWidth="1"/>
    <col min="15" max="15" width="12.5703125" bestFit="1" customWidth="1"/>
  </cols>
  <sheetData>
    <row r="1" spans="1:11" x14ac:dyDescent="0.25">
      <c r="A1" s="11" t="s">
        <v>39</v>
      </c>
      <c r="B1" s="11" t="s">
        <v>40</v>
      </c>
      <c r="C1" s="3" t="s">
        <v>41</v>
      </c>
      <c r="D1" s="3" t="s">
        <v>42</v>
      </c>
      <c r="E1" s="12" t="s">
        <v>43</v>
      </c>
      <c r="F1" s="9" t="s">
        <v>44</v>
      </c>
      <c r="G1" s="12" t="s">
        <v>45</v>
      </c>
      <c r="H1" s="11" t="s">
        <v>46</v>
      </c>
      <c r="I1" s="11" t="s">
        <v>47</v>
      </c>
      <c r="J1" s="11" t="s">
        <v>48</v>
      </c>
      <c r="K1" s="11" t="s">
        <v>12</v>
      </c>
    </row>
    <row r="2" spans="1:11" x14ac:dyDescent="0.25">
      <c r="A2" s="5">
        <v>45955</v>
      </c>
      <c r="B2" s="63" t="str">
        <f>IFERROR(TEXT(tbl_Ventes[[#This Row],[Date]],"mm-aaaa"),"")</f>
        <v>10-2025</v>
      </c>
      <c r="C2" t="s">
        <v>81</v>
      </c>
      <c r="D2" s="10" t="str">
        <f>IFERROR(
   INDEX(tbl_ProduitsRef[Cde_Prdt],MATCH(tbl_Ventes[[#This Row],[Produit]],tbl_ProduitsRef[Produit],0)),
   ""
)</f>
        <v>SUP005</v>
      </c>
      <c r="E2" s="7">
        <v>33</v>
      </c>
      <c r="F2" s="7">
        <f>IFERROR(
   INDEX(tbl_ProduitsRef[Prix Menu],MATCH(tbl_Ventes[[#This Row],[Produit]],tbl_ProduitsRef[Produit],0)),
   ""
)</f>
        <v>9</v>
      </c>
      <c r="G2" s="7">
        <f>tbl_Ventes[[#This Row],[Qté Vendue]] * IFERROR(_xlfn.XLOOKUP(tbl_Ventes[[#This Row],[Cde_Prdt]], tbl_Produits[Cde_Prdt], tbl_Produits[Prix Menu]), 0)</f>
        <v>297</v>
      </c>
      <c r="H2" s="7">
        <f ca="1">IFERROR(_xlfn.XLOOKUP(tbl_Ventes[[#This Row],[Cde_Prdt]], tbl_Produits[Cde_Prdt], tbl_Produits[Coût Moyen Portion]), 0)</f>
        <v>7</v>
      </c>
      <c r="I2" s="7">
        <f ca="1">tbl_Ventes[[#This Row],[Qté Vendue]] * tbl_Ventes[[#This Row],[CMP_par_portion]]</f>
        <v>231</v>
      </c>
      <c r="J2" s="7">
        <f ca="1">tbl_Ventes[[#This Row],[CA ligne]] - tbl_Ventes[[#This Row],[Coût matière ligne]]</f>
        <v>66</v>
      </c>
      <c r="K2" s="7" t="str">
        <f>IFERROR(INDEX(tbl_ProduitsRef[Famille], MATCH(tbl_Ventes[[#This Row],[Cde_Prdt]], tbl_Produits[Cde_Prdt], 0)), "")</f>
        <v>Suppléments</v>
      </c>
    </row>
    <row r="3" spans="1:11" x14ac:dyDescent="0.25">
      <c r="A3" s="5">
        <v>45956</v>
      </c>
      <c r="B3" s="63" t="str">
        <f>IFERROR(TEXT(tbl_Ventes[[#This Row],[Date]],"mm-aaaa"),"")</f>
        <v>10-2025</v>
      </c>
      <c r="C3" t="s">
        <v>235</v>
      </c>
      <c r="D3" s="10" t="str">
        <f>IFERROR(
   INDEX(tbl_ProduitsRef[Cde_Prdt],MATCH(tbl_Ventes[[#This Row],[Produit]],tbl_ProduitsRef[Produit],0)),
   ""
)</f>
        <v>PDJ005</v>
      </c>
      <c r="E3" s="7">
        <v>350</v>
      </c>
      <c r="F3" s="7">
        <f>IFERROR(
   INDEX(tbl_ProduitsRef[Prix Menu],MATCH(tbl_Ventes[[#This Row],[Produit]],tbl_ProduitsRef[Produit],0)),
   ""
)</f>
        <v>54</v>
      </c>
      <c r="G3" s="7">
        <f>tbl_Ventes[[#This Row],[Qté Vendue]] * IFERROR(_xlfn.XLOOKUP(tbl_Ventes[[#This Row],[Cde_Prdt]], tbl_Produits[Cde_Prdt], tbl_Produits[Prix Menu]), 0)</f>
        <v>18900</v>
      </c>
      <c r="H3" s="7">
        <f ca="1">IFERROR(_xlfn.XLOOKUP(tbl_Ventes[[#This Row],[Cde_Prdt]], tbl_Produits[Cde_Prdt], tbl_Produits[Coût Moyen Portion]), 0)</f>
        <v>24.5</v>
      </c>
      <c r="I3" s="7">
        <f ca="1">tbl_Ventes[[#This Row],[Qté Vendue]] * tbl_Ventes[[#This Row],[CMP_par_portion]]</f>
        <v>8575</v>
      </c>
      <c r="J3" s="7">
        <f ca="1">tbl_Ventes[[#This Row],[CA ligne]] - tbl_Ventes[[#This Row],[Coût matière ligne]]</f>
        <v>10325</v>
      </c>
      <c r="K3" s="7" t="str">
        <f>IFERROR(INDEX(tbl_ProduitsRef[Famille], MATCH(tbl_Ventes[[#This Row],[Cde_Prdt]], tbl_Produits[Cde_Prdt], 0)), "")</f>
        <v>Petits déjeuners</v>
      </c>
    </row>
    <row r="4" spans="1:11" x14ac:dyDescent="0.25">
      <c r="A4" s="5">
        <v>45957</v>
      </c>
      <c r="B4" s="63" t="str">
        <f>IFERROR(TEXT(tbl_Ventes[[#This Row],[Date]],"mm-aaaa"),"")</f>
        <v>10-2025</v>
      </c>
      <c r="C4" t="s">
        <v>464</v>
      </c>
      <c r="D4" s="10" t="str">
        <f>IFERROR(
   INDEX(tbl_ProduitsRef[Cde_Prdt],MATCH(tbl_Ventes[[#This Row],[Produit]],tbl_ProduitsRef[Produit],0)),
   ""
)</f>
        <v>VIA010</v>
      </c>
      <c r="E4" s="7">
        <v>400</v>
      </c>
      <c r="F4" s="7">
        <f>IFERROR(
   INDEX(tbl_ProduitsRef[Prix Menu],MATCH(tbl_Ventes[[#This Row],[Produit]],tbl_ProduitsRef[Produit],0)),
   ""
)</f>
        <v>180</v>
      </c>
      <c r="G4" s="7">
        <f>tbl_Ventes[[#This Row],[Qté Vendue]] * IFERROR(_xlfn.XLOOKUP(tbl_Ventes[[#This Row],[Cde_Prdt]], tbl_Produits[Cde_Prdt], tbl_Produits[Prix Menu]), 0)</f>
        <v>72000</v>
      </c>
      <c r="H4" s="7">
        <f ca="1">IFERROR(_xlfn.XLOOKUP(tbl_Ventes[[#This Row],[Cde_Prdt]], tbl_Produits[Cde_Prdt], tbl_Produits[Coût Moyen Portion]), 0)</f>
        <v>200</v>
      </c>
      <c r="I4" s="7">
        <f ca="1">tbl_Ventes[[#This Row],[Qté Vendue]] * tbl_Ventes[[#This Row],[CMP_par_portion]]</f>
        <v>80000</v>
      </c>
      <c r="J4" s="7">
        <f ca="1">tbl_Ventes[[#This Row],[CA ligne]] - tbl_Ventes[[#This Row],[Coût matière ligne]]</f>
        <v>-8000</v>
      </c>
      <c r="K4" s="7" t="str">
        <f>IFERROR(INDEX(tbl_ProduitsRef[Famille], MATCH(tbl_Ventes[[#This Row],[Cde_Prdt]], tbl_Produits[Cde_Prdt], 0)), "")</f>
        <v>Boucherie</v>
      </c>
    </row>
    <row r="5" spans="1:11" x14ac:dyDescent="0.25">
      <c r="A5" s="5">
        <v>45958</v>
      </c>
      <c r="B5" s="63" t="str">
        <f>IFERROR(TEXT(tbl_Ventes[[#This Row],[Date]],"mm-aaaa"),"")</f>
        <v>10-2025</v>
      </c>
      <c r="C5" t="s">
        <v>1277</v>
      </c>
      <c r="D5" s="10" t="str">
        <f>IFERROR(
   INDEX(tbl_ProduitsRef[Cde_Prdt],MATCH(tbl_Ventes[[#This Row],[Produit]],tbl_ProduitsRef[Produit],0)),
   ""
)</f>
        <v>BCH017</v>
      </c>
      <c r="E5" s="7">
        <v>51</v>
      </c>
      <c r="F5" s="7">
        <f>IFERROR(
   INDEX(tbl_ProduitsRef[Prix Menu],MATCH(tbl_Ventes[[#This Row],[Produit]],tbl_ProduitsRef[Produit],0)),
   ""
)</f>
        <v>27</v>
      </c>
      <c r="G5" s="7">
        <f>tbl_Ventes[[#This Row],[Qté Vendue]] * IFERROR(_xlfn.XLOOKUP(tbl_Ventes[[#This Row],[Cde_Prdt]], tbl_Produits[Cde_Prdt], tbl_Produits[Prix Menu]), 0)</f>
        <v>1377</v>
      </c>
      <c r="H5" s="7">
        <f ca="1">IFERROR(_xlfn.XLOOKUP(tbl_Ventes[[#This Row],[Cde_Prdt]], tbl_Produits[Cde_Prdt], tbl_Produits[Coût Moyen Portion]), 0)</f>
        <v>19.36</v>
      </c>
      <c r="I5" s="7">
        <f ca="1">tbl_Ventes[[#This Row],[Qté Vendue]] * tbl_Ventes[[#This Row],[CMP_par_portion]]</f>
        <v>987.36</v>
      </c>
      <c r="J5" s="7">
        <f ca="1">tbl_Ventes[[#This Row],[CA ligne]] - tbl_Ventes[[#This Row],[Coût matière ligne]]</f>
        <v>389.64</v>
      </c>
      <c r="K5" s="7" t="str">
        <f>IFERROR(INDEX(tbl_ProduitsRef[Famille], MATCH(tbl_Ventes[[#This Row],[Cde_Prdt]], tbl_Produits[Cde_Prdt], 0)), "")</f>
        <v>Boissons chaudes</v>
      </c>
    </row>
    <row r="6" spans="1:11" x14ac:dyDescent="0.25">
      <c r="A6" s="5">
        <v>45959</v>
      </c>
      <c r="B6" s="63" t="str">
        <f>IFERROR(TEXT(tbl_Ventes[[#This Row],[Date]],"mm-aaaa"),"")</f>
        <v>10-2025</v>
      </c>
      <c r="C6" t="s">
        <v>603</v>
      </c>
      <c r="D6" s="10" t="str">
        <f>IFERROR(
   INDEX(tbl_ProduitsRef[Cde_Prdt],MATCH(tbl_Ventes[[#This Row],[Produit]],tbl_ProduitsRef[Produit],0)),
   ""
)</f>
        <v>TAJ005</v>
      </c>
      <c r="E6" s="7">
        <v>500</v>
      </c>
      <c r="F6" s="7">
        <f>IFERROR(
   INDEX(tbl_ProduitsRef[Prix Menu],MATCH(tbl_Ventes[[#This Row],[Produit]],tbl_ProduitsRef[Produit],0)),
   ""
)</f>
        <v>105</v>
      </c>
      <c r="G6" s="7">
        <f>tbl_Ventes[[#This Row],[Qté Vendue]] * IFERROR(_xlfn.XLOOKUP(tbl_Ventes[[#This Row],[Cde_Prdt]], tbl_Produits[Cde_Prdt], tbl_Produits[Prix Menu]), 0)</f>
        <v>52500</v>
      </c>
      <c r="H6" s="7">
        <f ca="1">IFERROR(_xlfn.XLOOKUP(tbl_Ventes[[#This Row],[Cde_Prdt]], tbl_Produits[Cde_Prdt], tbl_Produits[Coût Moyen Portion]), 0)</f>
        <v>35.839999999999996</v>
      </c>
      <c r="I6" s="7">
        <f ca="1">tbl_Ventes[[#This Row],[Qté Vendue]] * tbl_Ventes[[#This Row],[CMP_par_portion]]</f>
        <v>17919.999999999996</v>
      </c>
      <c r="J6" s="7">
        <f ca="1">tbl_Ventes[[#This Row],[CA ligne]] - tbl_Ventes[[#This Row],[Coût matière ligne]]</f>
        <v>34580</v>
      </c>
      <c r="K6" s="7" t="str">
        <f>IFERROR(INDEX(tbl_ProduitsRef[Famille], MATCH(tbl_Ventes[[#This Row],[Cde_Prdt]], tbl_Produits[Cde_Prdt], 0)), "")</f>
        <v>Tajines &amp; Coin marocain</v>
      </c>
    </row>
    <row r="7" spans="1:11" x14ac:dyDescent="0.25">
      <c r="A7" s="5">
        <v>45960</v>
      </c>
      <c r="B7" s="63" t="str">
        <f>IFERROR(TEXT(tbl_Ventes[[#This Row],[Date]],"mm-aaaa"),"")</f>
        <v>10-2025</v>
      </c>
      <c r="C7" t="s">
        <v>1277</v>
      </c>
      <c r="D7" s="10" t="str">
        <f>IFERROR(
   INDEX(tbl_ProduitsRef[Cde_Prdt],MATCH(tbl_Ventes[[#This Row],[Produit]],tbl_ProduitsRef[Produit],0)),
   ""
)</f>
        <v>BCH017</v>
      </c>
      <c r="E7" s="7">
        <v>800</v>
      </c>
      <c r="F7" s="7">
        <f>IFERROR(
   INDEX(tbl_ProduitsRef[Prix Menu],MATCH(tbl_Ventes[[#This Row],[Produit]],tbl_ProduitsRef[Produit],0)),
   ""
)</f>
        <v>27</v>
      </c>
      <c r="G7" s="7">
        <f>tbl_Ventes[[#This Row],[Qté Vendue]] * IFERROR(_xlfn.XLOOKUP(tbl_Ventes[[#This Row],[Cde_Prdt]], tbl_Produits[Cde_Prdt], tbl_Produits[Prix Menu]), 0)</f>
        <v>21600</v>
      </c>
      <c r="H7" s="7">
        <f ca="1">IFERROR(_xlfn.XLOOKUP(tbl_Ventes[[#This Row],[Cde_Prdt]], tbl_Produits[Cde_Prdt], tbl_Produits[Coût Moyen Portion]), 0)</f>
        <v>19.36</v>
      </c>
      <c r="I7" s="7">
        <f ca="1">tbl_Ventes[[#This Row],[Qté Vendue]] * tbl_Ventes[[#This Row],[CMP_par_portion]]</f>
        <v>15488</v>
      </c>
      <c r="J7" s="7">
        <f ca="1">tbl_Ventes[[#This Row],[CA ligne]] - tbl_Ventes[[#This Row],[Coût matière ligne]]</f>
        <v>6112</v>
      </c>
      <c r="K7" s="7" t="str">
        <f>IFERROR(INDEX(tbl_ProduitsRef[Famille], MATCH(tbl_Ventes[[#This Row],[Cde_Prdt]], tbl_Produits[Cde_Prdt], 0)), "")</f>
        <v>Boissons chaudes</v>
      </c>
    </row>
    <row r="8" spans="1:11" x14ac:dyDescent="0.25">
      <c r="A8" s="5">
        <v>45961</v>
      </c>
      <c r="B8" s="63" t="str">
        <f>IFERROR(TEXT(tbl_Ventes[[#This Row],[Date]],"mm-aaaa"),"")</f>
        <v>10-2025</v>
      </c>
      <c r="C8" t="s">
        <v>603</v>
      </c>
      <c r="D8" s="10" t="str">
        <f>IFERROR(
   INDEX(tbl_ProduitsRef[Cde_Prdt],MATCH(tbl_Ventes[[#This Row],[Produit]],tbl_ProduitsRef[Produit],0)),
   ""
)</f>
        <v>TAJ005</v>
      </c>
      <c r="E8" s="7">
        <v>800</v>
      </c>
      <c r="F8" s="7">
        <f>IFERROR(
   INDEX(tbl_ProduitsRef[Prix Menu],MATCH(tbl_Ventes[[#This Row],[Produit]],tbl_ProduitsRef[Produit],0)),
   ""
)</f>
        <v>105</v>
      </c>
      <c r="G8" s="7">
        <f>tbl_Ventes[[#This Row],[Qté Vendue]] * IFERROR(_xlfn.XLOOKUP(tbl_Ventes[[#This Row],[Cde_Prdt]], tbl_Produits[Cde_Prdt], tbl_Produits[Prix Menu]), 0)</f>
        <v>84000</v>
      </c>
      <c r="H8" s="7">
        <f ca="1">IFERROR(_xlfn.XLOOKUP(tbl_Ventes[[#This Row],[Cde_Prdt]], tbl_Produits[Cde_Prdt], tbl_Produits[Coût Moyen Portion]), 0)</f>
        <v>35.839999999999996</v>
      </c>
      <c r="I8" s="7">
        <f ca="1">tbl_Ventes[[#This Row],[Qté Vendue]] * tbl_Ventes[[#This Row],[CMP_par_portion]]</f>
        <v>28671.999999999996</v>
      </c>
      <c r="J8" s="7">
        <f ca="1">tbl_Ventes[[#This Row],[CA ligne]] - tbl_Ventes[[#This Row],[Coût matière ligne]]</f>
        <v>55328</v>
      </c>
      <c r="K8" s="7" t="str">
        <f>IFERROR(INDEX(tbl_ProduitsRef[Famille], MATCH(tbl_Ventes[[#This Row],[Cde_Prdt]], tbl_Produits[Cde_Prdt], 0)), "")</f>
        <v>Tajines &amp; Coin marocain</v>
      </c>
    </row>
    <row r="9" spans="1:11" x14ac:dyDescent="0.25">
      <c r="A9" s="5">
        <v>45936</v>
      </c>
      <c r="B9" s="63" t="str">
        <f>IFERROR(TEXT(tbl_Ventes[[#This Row],[Date]],"mm-aaaa"),"")</f>
        <v>10-2025</v>
      </c>
      <c r="C9" t="s">
        <v>54</v>
      </c>
      <c r="D9" s="10" t="str">
        <f>IFERROR(
   INDEX(tbl_ProduitsRef[Cde_Prdt],MATCH(tbl_Ventes[[#This Row],[Produit]],tbl_ProduitsRef[Produit],0)),
   ""
)</f>
        <v>TAJ008</v>
      </c>
      <c r="E9" s="7">
        <v>900</v>
      </c>
      <c r="F9" s="7">
        <f>IFERROR(
   INDEX(tbl_ProduitsRef[Prix Menu],MATCH(tbl_Ventes[[#This Row],[Produit]],tbl_ProduitsRef[Produit],0)),
   ""
)</f>
        <v>210</v>
      </c>
      <c r="G9" s="7">
        <f>tbl_Ventes[[#This Row],[Qté Vendue]] * IFERROR(_xlfn.XLOOKUP(tbl_Ventes[[#This Row],[Cde_Prdt]], tbl_Produits[Cde_Prdt], tbl_Produits[Prix Menu]), 0)</f>
        <v>189000</v>
      </c>
      <c r="H9" s="7">
        <f ca="1">IFERROR(_xlfn.XLOOKUP(tbl_Ventes[[#This Row],[Cde_Prdt]], tbl_Produits[Cde_Prdt], tbl_Produits[Coût Moyen Portion]), 0)</f>
        <v>73.7</v>
      </c>
      <c r="I9" s="7">
        <f ca="1">tbl_Ventes[[#This Row],[Qté Vendue]] * tbl_Ventes[[#This Row],[CMP_par_portion]]</f>
        <v>66330</v>
      </c>
      <c r="J9" s="7">
        <f ca="1">tbl_Ventes[[#This Row],[CA ligne]] - tbl_Ventes[[#This Row],[Coût matière ligne]]</f>
        <v>122670</v>
      </c>
      <c r="K9" s="7" t="str">
        <f>IFERROR(INDEX(tbl_ProduitsRef[Famille], MATCH(tbl_Ventes[[#This Row],[Cde_Prdt]], tbl_Produits[Cde_Prdt], 0)), "")</f>
        <v>Tajines &amp; Coin marocain</v>
      </c>
    </row>
    <row r="10" spans="1:11" x14ac:dyDescent="0.25">
      <c r="A10" s="5">
        <v>45937</v>
      </c>
      <c r="B10" s="63" t="str">
        <f>IFERROR(TEXT(tbl_Ventes[[#This Row],[Date]],"mm-aaaa"),"")</f>
        <v>10-2025</v>
      </c>
      <c r="C10" t="s">
        <v>1021</v>
      </c>
      <c r="D10" s="10" t="str">
        <f>IFERROR(
   INDEX(tbl_ProduitsRef[Cde_Prdt],MATCH(tbl_Ventes[[#This Row],[Produit]],tbl_ProduitsRef[Produit],0)),
   ""
)</f>
        <v>MKS006</v>
      </c>
      <c r="E10" s="7">
        <v>80</v>
      </c>
      <c r="F10" s="7">
        <f>IFERROR(
   INDEX(tbl_ProduitsRef[Prix Menu],MATCH(tbl_Ventes[[#This Row],[Produit]],tbl_ProduitsRef[Produit],0)),
   ""
)</f>
        <v>35</v>
      </c>
      <c r="G10" s="7">
        <f>tbl_Ventes[[#This Row],[Qté Vendue]] * IFERROR(_xlfn.XLOOKUP(tbl_Ventes[[#This Row],[Cde_Prdt]], tbl_Produits[Cde_Prdt], tbl_Produits[Prix Menu]), 0)</f>
        <v>2800</v>
      </c>
      <c r="H10" s="7">
        <f ca="1">IFERROR(_xlfn.XLOOKUP(tbl_Ventes[[#This Row],[Cde_Prdt]], tbl_Produits[Cde_Prdt], tbl_Produits[Coût Moyen Portion]), 0)</f>
        <v>17.3</v>
      </c>
      <c r="I10" s="7">
        <f ca="1">tbl_Ventes[[#This Row],[Qté Vendue]] * tbl_Ventes[[#This Row],[CMP_par_portion]]</f>
        <v>1384</v>
      </c>
      <c r="J10" s="7">
        <f ca="1">tbl_Ventes[[#This Row],[CA ligne]] - tbl_Ventes[[#This Row],[Coût matière ligne]]</f>
        <v>1416</v>
      </c>
      <c r="K10" s="7" t="str">
        <f>IFERROR(INDEX(tbl_ProduitsRef[Famille], MATCH(tbl_Ventes[[#This Row],[Cde_Prdt]], tbl_Produits[Cde_Prdt], 0)), "")</f>
        <v>Milkshakes</v>
      </c>
    </row>
    <row r="11" spans="1:11" x14ac:dyDescent="0.25">
      <c r="A11" s="5">
        <v>45938</v>
      </c>
      <c r="B11" s="63" t="str">
        <f>IFERROR(TEXT(tbl_Ventes[[#This Row],[Date]],"mm-aaaa"),"")</f>
        <v>10-2025</v>
      </c>
      <c r="C11" t="s">
        <v>464</v>
      </c>
      <c r="D11" s="10" t="str">
        <f>IFERROR(
   INDEX(tbl_ProduitsRef[Cde_Prdt],MATCH(tbl_Ventes[[#This Row],[Produit]],tbl_ProduitsRef[Produit],0)),
   ""
)</f>
        <v>VIA010</v>
      </c>
      <c r="E11" s="7">
        <v>150</v>
      </c>
      <c r="F11" s="7">
        <f>IFERROR(
   INDEX(tbl_ProduitsRef[Prix Menu],MATCH(tbl_Ventes[[#This Row],[Produit]],tbl_ProduitsRef[Produit],0)),
   ""
)</f>
        <v>180</v>
      </c>
      <c r="G11" s="7">
        <f>tbl_Ventes[[#This Row],[Qté Vendue]] * IFERROR(_xlfn.XLOOKUP(tbl_Ventes[[#This Row],[Cde_Prdt]], tbl_Produits[Cde_Prdt], tbl_Produits[Prix Menu]), 0)</f>
        <v>27000</v>
      </c>
      <c r="H11" s="7">
        <f ca="1">IFERROR(_xlfn.XLOOKUP(tbl_Ventes[[#This Row],[Cde_Prdt]], tbl_Produits[Cde_Prdt], tbl_Produits[Coût Moyen Portion]), 0)</f>
        <v>200</v>
      </c>
      <c r="I11" s="7">
        <f ca="1">tbl_Ventes[[#This Row],[Qté Vendue]] * tbl_Ventes[[#This Row],[CMP_par_portion]]</f>
        <v>30000</v>
      </c>
      <c r="J11" s="7">
        <f ca="1">tbl_Ventes[[#This Row],[CA ligne]] - tbl_Ventes[[#This Row],[Coût matière ligne]]</f>
        <v>-3000</v>
      </c>
      <c r="K11" s="7" t="str">
        <f>IFERROR(INDEX(tbl_ProduitsRef[Famille], MATCH(tbl_Ventes[[#This Row],[Cde_Prdt]], tbl_Produits[Cde_Prdt], 0)), "")</f>
        <v>Boucherie</v>
      </c>
    </row>
    <row r="12" spans="1:11" x14ac:dyDescent="0.25">
      <c r="A12" s="5">
        <v>45939</v>
      </c>
      <c r="B12" s="63" t="str">
        <f>IFERROR(TEXT(tbl_Ventes[[#This Row],[Date]],"mm-aaaa"),"")</f>
        <v>10-2025</v>
      </c>
      <c r="C12" t="s">
        <v>449</v>
      </c>
      <c r="D12" s="10" t="str">
        <f>IFERROR(
   INDEX(tbl_ProduitsRef[Cde_Prdt],MATCH(tbl_Ventes[[#This Row],[Produit]],tbl_ProduitsRef[Produit],0)),
   ""
)</f>
        <v>VIA006</v>
      </c>
      <c r="E12" s="7">
        <v>50</v>
      </c>
      <c r="F12" s="7">
        <f>IFERROR(
   INDEX(tbl_ProduitsRef[Prix Menu],MATCH(tbl_Ventes[[#This Row],[Produit]],tbl_ProduitsRef[Produit],0)),
   ""
)</f>
        <v>190</v>
      </c>
      <c r="G12" s="7">
        <f>tbl_Ventes[[#This Row],[Qté Vendue]] * IFERROR(_xlfn.XLOOKUP(tbl_Ventes[[#This Row],[Cde_Prdt]], tbl_Produits[Cde_Prdt], tbl_Produits[Prix Menu]), 0)</f>
        <v>9500</v>
      </c>
      <c r="H12" s="7">
        <f ca="1">IFERROR(_xlfn.XLOOKUP(tbl_Ventes[[#This Row],[Cde_Prdt]], tbl_Produits[Cde_Prdt], tbl_Produits[Coût Moyen Portion]), 0)</f>
        <v>300</v>
      </c>
      <c r="I12" s="7">
        <f ca="1">tbl_Ventes[[#This Row],[Qté Vendue]] * tbl_Ventes[[#This Row],[CMP_par_portion]]</f>
        <v>15000</v>
      </c>
      <c r="J12" s="7">
        <f ca="1">tbl_Ventes[[#This Row],[CA ligne]] - tbl_Ventes[[#This Row],[Coût matière ligne]]</f>
        <v>-5500</v>
      </c>
      <c r="K12" s="7" t="str">
        <f>IFERROR(INDEX(tbl_ProduitsRef[Famille], MATCH(tbl_Ventes[[#This Row],[Cde_Prdt]], tbl_Produits[Cde_Prdt], 0)), "")</f>
        <v>Boucherie</v>
      </c>
    </row>
    <row r="13" spans="1:11" x14ac:dyDescent="0.25">
      <c r="A13" s="5">
        <v>45940</v>
      </c>
      <c r="B13" s="63" t="str">
        <f>IFERROR(TEXT(tbl_Ventes[[#This Row],[Date]],"mm-aaaa"),"")</f>
        <v>10-2025</v>
      </c>
      <c r="C13" t="s">
        <v>81</v>
      </c>
      <c r="D13" s="10" t="str">
        <f>IFERROR(
   INDEX(tbl_ProduitsRef[Cde_Prdt],MATCH(tbl_Ventes[[#This Row],[Produit]],tbl_ProduitsRef[Produit],0)),
   ""
)</f>
        <v>SUP005</v>
      </c>
      <c r="E13" s="7">
        <v>88</v>
      </c>
      <c r="F13" s="7">
        <f>IFERROR(
   INDEX(tbl_ProduitsRef[Prix Menu],MATCH(tbl_Ventes[[#This Row],[Produit]],tbl_ProduitsRef[Produit],0)),
   ""
)</f>
        <v>9</v>
      </c>
      <c r="G13" s="7">
        <f>tbl_Ventes[[#This Row],[Qté Vendue]] * IFERROR(_xlfn.XLOOKUP(tbl_Ventes[[#This Row],[Cde_Prdt]], tbl_Produits[Cde_Prdt], tbl_Produits[Prix Menu]), 0)</f>
        <v>792</v>
      </c>
      <c r="H13" s="7">
        <f ca="1">IFERROR(_xlfn.XLOOKUP(tbl_Ventes[[#This Row],[Cde_Prdt]], tbl_Produits[Cde_Prdt], tbl_Produits[Coût Moyen Portion]), 0)</f>
        <v>7</v>
      </c>
      <c r="I13" s="7">
        <f ca="1">tbl_Ventes[[#This Row],[Qté Vendue]] * tbl_Ventes[[#This Row],[CMP_par_portion]]</f>
        <v>616</v>
      </c>
      <c r="J13" s="7">
        <f ca="1">tbl_Ventes[[#This Row],[CA ligne]] - tbl_Ventes[[#This Row],[Coût matière ligne]]</f>
        <v>176</v>
      </c>
      <c r="K13" s="7" t="str">
        <f>IFERROR(INDEX(tbl_ProduitsRef[Famille], MATCH(tbl_Ventes[[#This Row],[Cde_Prdt]], tbl_Produits[Cde_Prdt], 0)), "")</f>
        <v>Suppléments</v>
      </c>
    </row>
    <row r="14" spans="1:11" x14ac:dyDescent="0.25">
      <c r="A14" s="5">
        <v>45941</v>
      </c>
      <c r="B14" s="63" t="str">
        <f>IFERROR(TEXT(tbl_Ventes[[#This Row],[Date]],"mm-aaaa"),"")</f>
        <v>10-2025</v>
      </c>
      <c r="C14" t="s">
        <v>235</v>
      </c>
      <c r="D14" s="10" t="str">
        <f>IFERROR(
   INDEX(tbl_ProduitsRef[Cde_Prdt],MATCH(tbl_Ventes[[#This Row],[Produit]],tbl_ProduitsRef[Produit],0)),
   ""
)</f>
        <v>PDJ005</v>
      </c>
      <c r="E14" s="7">
        <v>30</v>
      </c>
      <c r="F14" s="7">
        <f>IFERROR(
   INDEX(tbl_ProduitsRef[Prix Menu],MATCH(tbl_Ventes[[#This Row],[Produit]],tbl_ProduitsRef[Produit],0)),
   ""
)</f>
        <v>54</v>
      </c>
      <c r="G14" s="7">
        <f>tbl_Ventes[[#This Row],[Qté Vendue]] * IFERROR(_xlfn.XLOOKUP(tbl_Ventes[[#This Row],[Cde_Prdt]], tbl_Produits[Cde_Prdt], tbl_Produits[Prix Menu]), 0)</f>
        <v>1620</v>
      </c>
      <c r="H14" s="7">
        <f ca="1">IFERROR(_xlfn.XLOOKUP(tbl_Ventes[[#This Row],[Cde_Prdt]], tbl_Produits[Cde_Prdt], tbl_Produits[Coût Moyen Portion]), 0)</f>
        <v>24.5</v>
      </c>
      <c r="I14" s="7">
        <f ca="1">tbl_Ventes[[#This Row],[Qté Vendue]] * tbl_Ventes[[#This Row],[CMP_par_portion]]</f>
        <v>735</v>
      </c>
      <c r="J14" s="7">
        <f ca="1">tbl_Ventes[[#This Row],[CA ligne]] - tbl_Ventes[[#This Row],[Coût matière ligne]]</f>
        <v>885</v>
      </c>
      <c r="K14" s="7" t="str">
        <f>IFERROR(INDEX(tbl_ProduitsRef[Famille], MATCH(tbl_Ventes[[#This Row],[Cde_Prdt]], tbl_Produits[Cde_Prdt], 0)), "")</f>
        <v>Petits déjeuners</v>
      </c>
    </row>
    <row r="15" spans="1:11" x14ac:dyDescent="0.25">
      <c r="A15" s="5">
        <v>45942</v>
      </c>
      <c r="B15" s="63" t="str">
        <f>IFERROR(TEXT(tbl_Ventes[[#This Row],[Date]],"mm-aaaa"),"")</f>
        <v>10-2025</v>
      </c>
      <c r="C15" t="s">
        <v>464</v>
      </c>
      <c r="D15" s="10" t="str">
        <f>IFERROR(
   INDEX(tbl_ProduitsRef[Cde_Prdt],MATCH(tbl_Ventes[[#This Row],[Produit]],tbl_ProduitsRef[Produit],0)),
   ""
)</f>
        <v>VIA010</v>
      </c>
      <c r="E15" s="7">
        <v>15</v>
      </c>
      <c r="F15" s="7">
        <f>IFERROR(
   INDEX(tbl_ProduitsRef[Prix Menu],MATCH(tbl_Ventes[[#This Row],[Produit]],tbl_ProduitsRef[Produit],0)),
   ""
)</f>
        <v>180</v>
      </c>
      <c r="G15" s="7">
        <f>tbl_Ventes[[#This Row],[Qté Vendue]] * IFERROR(_xlfn.XLOOKUP(tbl_Ventes[[#This Row],[Cde_Prdt]], tbl_Produits[Cde_Prdt], tbl_Produits[Prix Menu]), 0)</f>
        <v>2700</v>
      </c>
      <c r="H15" s="7">
        <f ca="1">IFERROR(_xlfn.XLOOKUP(tbl_Ventes[[#This Row],[Cde_Prdt]], tbl_Produits[Cde_Prdt], tbl_Produits[Coût Moyen Portion]), 0)</f>
        <v>200</v>
      </c>
      <c r="I15" s="7">
        <f ca="1">tbl_Ventes[[#This Row],[Qté Vendue]] * tbl_Ventes[[#This Row],[CMP_par_portion]]</f>
        <v>3000</v>
      </c>
      <c r="J15" s="7">
        <f ca="1">tbl_Ventes[[#This Row],[CA ligne]] - tbl_Ventes[[#This Row],[Coût matière ligne]]</f>
        <v>-300</v>
      </c>
      <c r="K15" s="7" t="str">
        <f>IFERROR(INDEX(tbl_ProduitsRef[Famille], MATCH(tbl_Ventes[[#This Row],[Cde_Prdt]], tbl_Produits[Cde_Prdt], 0)), "")</f>
        <v>Boucherie</v>
      </c>
    </row>
    <row r="16" spans="1:11" x14ac:dyDescent="0.25">
      <c r="A16" s="5">
        <v>45943</v>
      </c>
      <c r="B16" s="63" t="str">
        <f>IFERROR(TEXT(tbl_Ventes[[#This Row],[Date]],"mm-aaaa"),"")</f>
        <v>10-2025</v>
      </c>
      <c r="C16" t="s">
        <v>1277</v>
      </c>
      <c r="D16" s="10" t="str">
        <f>IFERROR(
   INDEX(tbl_ProduitsRef[Cde_Prdt],MATCH(tbl_Ventes[[#This Row],[Produit]],tbl_ProduitsRef[Produit],0)),
   ""
)</f>
        <v>BCH017</v>
      </c>
      <c r="E16" s="7">
        <v>10</v>
      </c>
      <c r="F16" s="7">
        <f>IFERROR(
   INDEX(tbl_ProduitsRef[Prix Menu],MATCH(tbl_Ventes[[#This Row],[Produit]],tbl_ProduitsRef[Produit],0)),
   ""
)</f>
        <v>27</v>
      </c>
      <c r="G16" s="7">
        <f>tbl_Ventes[[#This Row],[Qté Vendue]] * IFERROR(_xlfn.XLOOKUP(tbl_Ventes[[#This Row],[Cde_Prdt]], tbl_Produits[Cde_Prdt], tbl_Produits[Prix Menu]), 0)</f>
        <v>270</v>
      </c>
      <c r="H16" s="7">
        <f ca="1">IFERROR(_xlfn.XLOOKUP(tbl_Ventes[[#This Row],[Cde_Prdt]], tbl_Produits[Cde_Prdt], tbl_Produits[Coût Moyen Portion]), 0)</f>
        <v>19.36</v>
      </c>
      <c r="I16" s="7">
        <f ca="1">tbl_Ventes[[#This Row],[Qté Vendue]] * tbl_Ventes[[#This Row],[CMP_par_portion]]</f>
        <v>193.6</v>
      </c>
      <c r="J16" s="7">
        <f ca="1">tbl_Ventes[[#This Row],[CA ligne]] - tbl_Ventes[[#This Row],[Coût matière ligne]]</f>
        <v>76.400000000000006</v>
      </c>
      <c r="K16" s="7" t="str">
        <f>IFERROR(INDEX(tbl_ProduitsRef[Famille], MATCH(tbl_Ventes[[#This Row],[Cde_Prdt]], tbl_Produits[Cde_Prdt], 0)), "")</f>
        <v>Boissons chaudes</v>
      </c>
    </row>
    <row r="17" spans="1:15" x14ac:dyDescent="0.25">
      <c r="A17" s="5">
        <v>45944</v>
      </c>
      <c r="B17" s="63" t="str">
        <f>IFERROR(TEXT(tbl_Ventes[[#This Row],[Date]],"mm-aaaa"),"")</f>
        <v>10-2025</v>
      </c>
      <c r="C17" t="s">
        <v>603</v>
      </c>
      <c r="D17" s="10" t="str">
        <f>IFERROR(
   INDEX(tbl_ProduitsRef[Cde_Prdt],MATCH(tbl_Ventes[[#This Row],[Produit]],tbl_ProduitsRef[Produit],0)),
   ""
)</f>
        <v>TAJ005</v>
      </c>
      <c r="E17" s="7">
        <v>20</v>
      </c>
      <c r="F17" s="7">
        <f>IFERROR(
   INDEX(tbl_ProduitsRef[Prix Menu],MATCH(tbl_Ventes[[#This Row],[Produit]],tbl_ProduitsRef[Produit],0)),
   ""
)</f>
        <v>105</v>
      </c>
      <c r="G17" s="7">
        <f>tbl_Ventes[[#This Row],[Qté Vendue]] * IFERROR(_xlfn.XLOOKUP(tbl_Ventes[[#This Row],[Cde_Prdt]], tbl_Produits[Cde_Prdt], tbl_Produits[Prix Menu]), 0)</f>
        <v>2100</v>
      </c>
      <c r="H17" s="7">
        <f ca="1">IFERROR(_xlfn.XLOOKUP(tbl_Ventes[[#This Row],[Cde_Prdt]], tbl_Produits[Cde_Prdt], tbl_Produits[Coût Moyen Portion]), 0)</f>
        <v>35.839999999999996</v>
      </c>
      <c r="I17" s="7">
        <f ca="1">tbl_Ventes[[#This Row],[Qté Vendue]] * tbl_Ventes[[#This Row],[CMP_par_portion]]</f>
        <v>716.8</v>
      </c>
      <c r="J17" s="7">
        <f ca="1">tbl_Ventes[[#This Row],[CA ligne]] - tbl_Ventes[[#This Row],[Coût matière ligne]]</f>
        <v>1383.2</v>
      </c>
      <c r="K17" s="7" t="str">
        <f>IFERROR(INDEX(tbl_ProduitsRef[Famille], MATCH(tbl_Ventes[[#This Row],[Cde_Prdt]], tbl_Produits[Cde_Prdt], 0)), "")</f>
        <v>Tajines &amp; Coin marocain</v>
      </c>
      <c r="O17" t="s">
        <v>65</v>
      </c>
    </row>
    <row r="18" spans="1:15" x14ac:dyDescent="0.25">
      <c r="A18" s="5">
        <v>45945</v>
      </c>
      <c r="B18" s="63" t="str">
        <f>IFERROR(TEXT(tbl_Ventes[[#This Row],[Date]],"mm-aaaa"),"")</f>
        <v>10-2025</v>
      </c>
      <c r="C18" t="s">
        <v>1277</v>
      </c>
      <c r="D18" s="10" t="str">
        <f>IFERROR(
   INDEX(tbl_ProduitsRef[Cde_Prdt],MATCH(tbl_Ventes[[#This Row],[Produit]],tbl_ProduitsRef[Produit],0)),
   ""
)</f>
        <v>BCH017</v>
      </c>
      <c r="E18" s="7">
        <v>33</v>
      </c>
      <c r="F18" s="7">
        <f>IFERROR(
   INDEX(tbl_ProduitsRef[Prix Menu],MATCH(tbl_Ventes[[#This Row],[Produit]],tbl_ProduitsRef[Produit],0)),
   ""
)</f>
        <v>27</v>
      </c>
      <c r="G18" s="7">
        <f>tbl_Ventes[[#This Row],[Qté Vendue]] * IFERROR(_xlfn.XLOOKUP(tbl_Ventes[[#This Row],[Cde_Prdt]], tbl_Produits[Cde_Prdt], tbl_Produits[Prix Menu]), 0)</f>
        <v>891</v>
      </c>
      <c r="H18" s="7">
        <f ca="1">IFERROR(_xlfn.XLOOKUP(tbl_Ventes[[#This Row],[Cde_Prdt]], tbl_Produits[Cde_Prdt], tbl_Produits[Coût Moyen Portion]), 0)</f>
        <v>19.36</v>
      </c>
      <c r="I18" s="7">
        <f ca="1">tbl_Ventes[[#This Row],[Qté Vendue]] * tbl_Ventes[[#This Row],[CMP_par_portion]]</f>
        <v>638.88</v>
      </c>
      <c r="J18" s="7">
        <f ca="1">tbl_Ventes[[#This Row],[CA ligne]] - tbl_Ventes[[#This Row],[Coût matière ligne]]</f>
        <v>252.12</v>
      </c>
      <c r="K18" s="7" t="str">
        <f>IFERROR(INDEX(tbl_ProduitsRef[Famille], MATCH(tbl_Ventes[[#This Row],[Cde_Prdt]], tbl_Produits[Cde_Prdt], 0)), "")</f>
        <v>Boissons chaudes</v>
      </c>
      <c r="O18" s="6">
        <f>SUMIFS(tbl_Ventes[CA ligne],tbl_Ventes[Date],A2)</f>
        <v>2922</v>
      </c>
    </row>
    <row r="19" spans="1:15" x14ac:dyDescent="0.25">
      <c r="A19" s="5">
        <v>45946</v>
      </c>
      <c r="B19" s="63" t="str">
        <f>IFERROR(TEXT(tbl_Ventes[[#This Row],[Date]],"mm-aaaa"),"")</f>
        <v>10-2025</v>
      </c>
      <c r="C19" t="s">
        <v>603</v>
      </c>
      <c r="D19" s="10" t="str">
        <f>IFERROR(
   INDEX(tbl_ProduitsRef[Cde_Prdt],MATCH(tbl_Ventes[[#This Row],[Produit]],tbl_ProduitsRef[Produit],0)),
   ""
)</f>
        <v>TAJ005</v>
      </c>
      <c r="E19" s="7">
        <v>25</v>
      </c>
      <c r="F19" s="7">
        <f>IFERROR(
   INDEX(tbl_ProduitsRef[Prix Menu],MATCH(tbl_Ventes[[#This Row],[Produit]],tbl_ProduitsRef[Produit],0)),
   ""
)</f>
        <v>105</v>
      </c>
      <c r="G19" s="7">
        <f>tbl_Ventes[[#This Row],[Qté Vendue]] * IFERROR(_xlfn.XLOOKUP(tbl_Ventes[[#This Row],[Cde_Prdt]], tbl_Produits[Cde_Prdt], tbl_Produits[Prix Menu]), 0)</f>
        <v>2625</v>
      </c>
      <c r="H19" s="7">
        <f ca="1">IFERROR(_xlfn.XLOOKUP(tbl_Ventes[[#This Row],[Cde_Prdt]], tbl_Produits[Cde_Prdt], tbl_Produits[Coût Moyen Portion]), 0)</f>
        <v>35.839999999999996</v>
      </c>
      <c r="I19" s="7">
        <f ca="1">tbl_Ventes[[#This Row],[Qté Vendue]] * tbl_Ventes[[#This Row],[CMP_par_portion]]</f>
        <v>895.99999999999989</v>
      </c>
      <c r="J19" s="7">
        <f ca="1">tbl_Ventes[[#This Row],[CA ligne]] - tbl_Ventes[[#This Row],[Coût matière ligne]]</f>
        <v>1729</v>
      </c>
      <c r="K19" s="7" t="str">
        <f>IFERROR(INDEX(tbl_ProduitsRef[Famille], MATCH(tbl_Ventes[[#This Row],[Cde_Prdt]], tbl_Produits[Cde_Prdt], 0)), "")</f>
        <v>Tajines &amp; Coin marocain</v>
      </c>
      <c r="O19" t="s">
        <v>67</v>
      </c>
    </row>
    <row r="20" spans="1:15" x14ac:dyDescent="0.25">
      <c r="A20" s="5">
        <v>45947</v>
      </c>
      <c r="B20" s="63" t="str">
        <f>IFERROR(TEXT(tbl_Ventes[[#This Row],[Date]],"mm-aaaa"),"")</f>
        <v>10-2025</v>
      </c>
      <c r="C20" t="s">
        <v>54</v>
      </c>
      <c r="D20" s="10" t="str">
        <f>IFERROR(
   INDEX(tbl_ProduitsRef[Cde_Prdt],MATCH(tbl_Ventes[[#This Row],[Produit]],tbl_ProduitsRef[Produit],0)),
   ""
)</f>
        <v>TAJ008</v>
      </c>
      <c r="E20" s="7">
        <v>150</v>
      </c>
      <c r="F20" s="7">
        <f>IFERROR(
   INDEX(tbl_ProduitsRef[Prix Menu],MATCH(tbl_Ventes[[#This Row],[Produit]],tbl_ProduitsRef[Produit],0)),
   ""
)</f>
        <v>210</v>
      </c>
      <c r="G20" s="7">
        <f>tbl_Ventes[[#This Row],[Qté Vendue]] * IFERROR(_xlfn.XLOOKUP(tbl_Ventes[[#This Row],[Cde_Prdt]], tbl_Produits[Cde_Prdt], tbl_Produits[Prix Menu]), 0)</f>
        <v>31500</v>
      </c>
      <c r="H20" s="7">
        <f ca="1">IFERROR(_xlfn.XLOOKUP(tbl_Ventes[[#This Row],[Cde_Prdt]], tbl_Produits[Cde_Prdt], tbl_Produits[Coût Moyen Portion]), 0)</f>
        <v>73.7</v>
      </c>
      <c r="I20" s="7">
        <f ca="1">tbl_Ventes[[#This Row],[Qté Vendue]] * tbl_Ventes[[#This Row],[CMP_par_portion]]</f>
        <v>11055</v>
      </c>
      <c r="J20" s="7">
        <f ca="1">tbl_Ventes[[#This Row],[CA ligne]] - tbl_Ventes[[#This Row],[Coût matière ligne]]</f>
        <v>20445</v>
      </c>
      <c r="K20" s="7" t="str">
        <f>IFERROR(INDEX(tbl_ProduitsRef[Famille], MATCH(tbl_Ventes[[#This Row],[Cde_Prdt]], tbl_Produits[Cde_Prdt], 0)), "")</f>
        <v>Tajines &amp; Coin marocain</v>
      </c>
      <c r="O20">
        <f>SUMIFS(tbl_Ventes[CA ligne],tbl_Ventes[Mois],"2025-12")</f>
        <v>0</v>
      </c>
    </row>
    <row r="21" spans="1:15" x14ac:dyDescent="0.25">
      <c r="A21" s="5">
        <v>45948</v>
      </c>
      <c r="B21" s="63" t="str">
        <f>IFERROR(TEXT(tbl_Ventes[[#This Row],[Date]],"mm-aaaa"),"")</f>
        <v>10-2025</v>
      </c>
      <c r="C21" t="s">
        <v>1021</v>
      </c>
      <c r="D21" s="10" t="str">
        <f>IFERROR(
   INDEX(tbl_ProduitsRef[Cde_Prdt],MATCH(tbl_Ventes[[#This Row],[Produit]],tbl_ProduitsRef[Produit],0)),
   ""
)</f>
        <v>MKS006</v>
      </c>
      <c r="E21" s="7">
        <v>30</v>
      </c>
      <c r="F21" s="7">
        <f>IFERROR(
   INDEX(tbl_ProduitsRef[Prix Menu],MATCH(tbl_Ventes[[#This Row],[Produit]],tbl_ProduitsRef[Produit],0)),
   ""
)</f>
        <v>35</v>
      </c>
      <c r="G21" s="7">
        <f>tbl_Ventes[[#This Row],[Qté Vendue]] * IFERROR(_xlfn.XLOOKUP(tbl_Ventes[[#This Row],[Cde_Prdt]], tbl_Produits[Cde_Prdt], tbl_Produits[Prix Menu]), 0)</f>
        <v>1050</v>
      </c>
      <c r="H21" s="7">
        <f ca="1">IFERROR(_xlfn.XLOOKUP(tbl_Ventes[[#This Row],[Cde_Prdt]], tbl_Produits[Cde_Prdt], tbl_Produits[Coût Moyen Portion]), 0)</f>
        <v>17.3</v>
      </c>
      <c r="I21" s="7">
        <f ca="1">tbl_Ventes[[#This Row],[Qté Vendue]] * tbl_Ventes[[#This Row],[CMP_par_portion]]</f>
        <v>519</v>
      </c>
      <c r="J21" s="7">
        <f ca="1">tbl_Ventes[[#This Row],[CA ligne]] - tbl_Ventes[[#This Row],[Coût matière ligne]]</f>
        <v>531</v>
      </c>
      <c r="K21" s="7" t="str">
        <f>IFERROR(INDEX(tbl_ProduitsRef[Famille], MATCH(tbl_Ventes[[#This Row],[Cde_Prdt]], tbl_Produits[Cde_Prdt], 0)), "")</f>
        <v>Milkshakes</v>
      </c>
    </row>
    <row r="22" spans="1:15" x14ac:dyDescent="0.25">
      <c r="A22" s="5">
        <v>45949</v>
      </c>
      <c r="B22" s="63" t="str">
        <f>IFERROR(TEXT(tbl_Ventes[[#This Row],[Date]],"mm-aaaa"),"")</f>
        <v>10-2025</v>
      </c>
      <c r="C22" t="s">
        <v>464</v>
      </c>
      <c r="D22" s="10" t="str">
        <f>IFERROR(
   INDEX(tbl_ProduitsRef[Cde_Prdt],MATCH(tbl_Ventes[[#This Row],[Produit]],tbl_ProduitsRef[Produit],0)),
   ""
)</f>
        <v>VIA010</v>
      </c>
      <c r="E22" s="7">
        <v>78</v>
      </c>
      <c r="F22" s="7">
        <f>IFERROR(
   INDEX(tbl_ProduitsRef[Prix Menu],MATCH(tbl_Ventes[[#This Row],[Produit]],tbl_ProduitsRef[Produit],0)),
   ""
)</f>
        <v>180</v>
      </c>
      <c r="G22" s="7">
        <f>tbl_Ventes[[#This Row],[Qté Vendue]] * IFERROR(_xlfn.XLOOKUP(tbl_Ventes[[#This Row],[Cde_Prdt]], tbl_Produits[Cde_Prdt], tbl_Produits[Prix Menu]), 0)</f>
        <v>14040</v>
      </c>
      <c r="H22" s="7">
        <f ca="1">IFERROR(_xlfn.XLOOKUP(tbl_Ventes[[#This Row],[Cde_Prdt]], tbl_Produits[Cde_Prdt], tbl_Produits[Coût Moyen Portion]), 0)</f>
        <v>200</v>
      </c>
      <c r="I22" s="7">
        <f ca="1">tbl_Ventes[[#This Row],[Qté Vendue]] * tbl_Ventes[[#This Row],[CMP_par_portion]]</f>
        <v>15600</v>
      </c>
      <c r="J22" s="7">
        <f ca="1">tbl_Ventes[[#This Row],[CA ligne]] - tbl_Ventes[[#This Row],[Coût matière ligne]]</f>
        <v>-1560</v>
      </c>
      <c r="K22" s="7" t="str">
        <f>IFERROR(INDEX(tbl_ProduitsRef[Famille], MATCH(tbl_Ventes[[#This Row],[Cde_Prdt]], tbl_Produits[Cde_Prdt], 0)), "")</f>
        <v>Boucherie</v>
      </c>
    </row>
    <row r="23" spans="1:15" x14ac:dyDescent="0.25">
      <c r="A23" s="5">
        <v>45950</v>
      </c>
      <c r="B23" s="63" t="str">
        <f>IFERROR(TEXT(tbl_Ventes[[#This Row],[Date]],"mm-aaaa"),"")</f>
        <v>10-2025</v>
      </c>
      <c r="C23" t="s">
        <v>291</v>
      </c>
      <c r="D23" s="10" t="str">
        <f>IFERROR(
   INDEX(tbl_ProduitsRef[Cde_Prdt],MATCH(tbl_Ventes[[#This Row],[Produit]],tbl_ProduitsRef[Produit],0)),
   ""
)</f>
        <v>OME001</v>
      </c>
      <c r="E23" s="7">
        <v>69</v>
      </c>
      <c r="F23" s="7">
        <f>IFERROR(
   INDEX(tbl_ProduitsRef[Prix Menu],MATCH(tbl_Ventes[[#This Row],[Produit]],tbl_ProduitsRef[Produit],0)),
   ""
)</f>
        <v>35</v>
      </c>
      <c r="G23" s="7">
        <f>tbl_Ventes[[#This Row],[Qté Vendue]] * IFERROR(_xlfn.XLOOKUP(tbl_Ventes[[#This Row],[Cde_Prdt]], tbl_Produits[Cde_Prdt], tbl_Produits[Prix Menu]), 0)</f>
        <v>2415</v>
      </c>
      <c r="H23" s="7">
        <f ca="1">IFERROR(_xlfn.XLOOKUP(tbl_Ventes[[#This Row],[Cde_Prdt]], tbl_Produits[Cde_Prdt], tbl_Produits[Coût Moyen Portion]), 0)</f>
        <v>9.09</v>
      </c>
      <c r="I23" s="7">
        <f ca="1">tbl_Ventes[[#This Row],[Qté Vendue]] * tbl_Ventes[[#This Row],[CMP_par_portion]]</f>
        <v>627.21</v>
      </c>
      <c r="J23" s="7">
        <f ca="1">tbl_Ventes[[#This Row],[CA ligne]] - tbl_Ventes[[#This Row],[Coût matière ligne]]</f>
        <v>1787.79</v>
      </c>
      <c r="K23" s="7" t="str">
        <f>IFERROR(INDEX(tbl_ProduitsRef[Famille], MATCH(tbl_Ventes[[#This Row],[Cde_Prdt]], tbl_Produits[Cde_Prdt], 0)), "")</f>
        <v>Œufs &amp; Omelettes</v>
      </c>
    </row>
    <row r="24" spans="1:15" x14ac:dyDescent="0.25">
      <c r="A24" s="5">
        <v>45951</v>
      </c>
      <c r="B24" s="63" t="str">
        <f>IFERROR(TEXT(tbl_Ventes[[#This Row],[Date]],"mm-aaaa"),"")</f>
        <v>10-2025</v>
      </c>
      <c r="C24" t="s">
        <v>305</v>
      </c>
      <c r="D24" s="10" t="str">
        <f>IFERROR(
   INDEX(tbl_ProduitsRef[Cde_Prdt],MATCH(tbl_Ventes[[#This Row],[Produit]],tbl_ProduitsRef[Produit],0)),
   ""
)</f>
        <v>OME003</v>
      </c>
      <c r="E24" s="7">
        <v>33</v>
      </c>
      <c r="F24" s="7">
        <f>IFERROR(
   INDEX(tbl_ProduitsRef[Prix Menu],MATCH(tbl_Ventes[[#This Row],[Produit]],tbl_ProduitsRef[Produit],0)),
   ""
)</f>
        <v>22</v>
      </c>
      <c r="G24" s="7">
        <f>tbl_Ventes[[#This Row],[Qté Vendue]] * IFERROR(_xlfn.XLOOKUP(tbl_Ventes[[#This Row],[Cde_Prdt]], tbl_Produits[Cde_Prdt], tbl_Produits[Prix Menu]), 0)</f>
        <v>726</v>
      </c>
      <c r="H24" s="7">
        <f ca="1">IFERROR(_xlfn.XLOOKUP(tbl_Ventes[[#This Row],[Cde_Prdt]], tbl_Produits[Cde_Prdt], tbl_Produits[Coût Moyen Portion]), 0)</f>
        <v>20.810000000000002</v>
      </c>
      <c r="I24" s="7">
        <f ca="1">tbl_Ventes[[#This Row],[Qté Vendue]] * tbl_Ventes[[#This Row],[CMP_par_portion]]</f>
        <v>686.73</v>
      </c>
      <c r="J24" s="7">
        <f ca="1">tbl_Ventes[[#This Row],[CA ligne]] - tbl_Ventes[[#This Row],[Coût matière ligne]]</f>
        <v>39.269999999999982</v>
      </c>
      <c r="K24" s="7" t="str">
        <f>IFERROR(INDEX(tbl_ProduitsRef[Famille], MATCH(tbl_Ventes[[#This Row],[Cde_Prdt]], tbl_Produits[Cde_Prdt], 0)), "")</f>
        <v>Œufs &amp; Omelettes</v>
      </c>
    </row>
    <row r="25" spans="1:15" x14ac:dyDescent="0.25">
      <c r="A25" s="5">
        <v>45952</v>
      </c>
      <c r="B25" s="63" t="str">
        <f>IFERROR(TEXT(tbl_Ventes[[#This Row],[Date]],"mm-aaaa"),"")</f>
        <v>10-2025</v>
      </c>
      <c r="C25" t="s">
        <v>313</v>
      </c>
      <c r="D25" s="10" t="str">
        <f>IFERROR(
   INDEX(tbl_ProduitsRef[Cde_Prdt],MATCH(tbl_Ventes[[#This Row],[Produit]],tbl_ProduitsRef[Produit],0)),
   ""
)</f>
        <v>OME004</v>
      </c>
      <c r="E25" s="7">
        <v>12</v>
      </c>
      <c r="F25" s="7">
        <f>IFERROR(
   INDEX(tbl_ProduitsRef[Prix Menu],MATCH(tbl_Ventes[[#This Row],[Produit]],tbl_ProduitsRef[Produit],0)),
   ""
)</f>
        <v>20</v>
      </c>
      <c r="G25" s="7">
        <f>tbl_Ventes[[#This Row],[Qté Vendue]] * IFERROR(_xlfn.XLOOKUP(tbl_Ventes[[#This Row],[Cde_Prdt]], tbl_Produits[Cde_Prdt], tbl_Produits[Prix Menu]), 0)</f>
        <v>240</v>
      </c>
      <c r="H25" s="7">
        <f ca="1">IFERROR(_xlfn.XLOOKUP(tbl_Ventes[[#This Row],[Cde_Prdt]], tbl_Produits[Cde_Prdt], tbl_Produits[Coût Moyen Portion]), 0)</f>
        <v>13.489999999999998</v>
      </c>
      <c r="I25" s="7">
        <f ca="1">tbl_Ventes[[#This Row],[Qté Vendue]] * tbl_Ventes[[#This Row],[CMP_par_portion]]</f>
        <v>161.88</v>
      </c>
      <c r="J25" s="7">
        <f ca="1">tbl_Ventes[[#This Row],[CA ligne]] - tbl_Ventes[[#This Row],[Coût matière ligne]]</f>
        <v>78.12</v>
      </c>
      <c r="K25" s="7" t="str">
        <f>IFERROR(INDEX(tbl_ProduitsRef[Famille], MATCH(tbl_Ventes[[#This Row],[Cde_Prdt]], tbl_Produits[Cde_Prdt], 0)), "")</f>
        <v>Œufs &amp; Omelettes</v>
      </c>
    </row>
    <row r="26" spans="1:15" x14ac:dyDescent="0.25">
      <c r="A26" s="5">
        <v>45953</v>
      </c>
      <c r="B26" s="63" t="str">
        <f>IFERROR(TEXT(tbl_Ventes[[#This Row],[Date]],"mm-aaaa"),"")</f>
        <v>10-2025</v>
      </c>
      <c r="C26" t="s">
        <v>318</v>
      </c>
      <c r="D26" s="10" t="str">
        <f>IFERROR(
   INDEX(tbl_ProduitsRef[Cde_Prdt],MATCH(tbl_Ventes[[#This Row],[Produit]],tbl_ProduitsRef[Produit],0)),
   ""
)</f>
        <v>OME006</v>
      </c>
      <c r="E26" s="7">
        <v>11</v>
      </c>
      <c r="F26" s="7">
        <f>IFERROR(
   INDEX(tbl_ProduitsRef[Prix Menu],MATCH(tbl_Ventes[[#This Row],[Produit]],tbl_ProduitsRef[Produit],0)),
   ""
)</f>
        <v>15</v>
      </c>
      <c r="G26" s="7">
        <f>tbl_Ventes[[#This Row],[Qté Vendue]] * IFERROR(_xlfn.XLOOKUP(tbl_Ventes[[#This Row],[Cde_Prdt]], tbl_Produits[Cde_Prdt], tbl_Produits[Prix Menu]), 0)</f>
        <v>165</v>
      </c>
      <c r="H26" s="7">
        <f ca="1">IFERROR(_xlfn.XLOOKUP(tbl_Ventes[[#This Row],[Cde_Prdt]], tbl_Produits[Cde_Prdt], tbl_Produits[Coût Moyen Portion]), 0)</f>
        <v>12.790000000000003</v>
      </c>
      <c r="I26" s="7">
        <f ca="1">tbl_Ventes[[#This Row],[Qté Vendue]] * tbl_Ventes[[#This Row],[CMP_par_portion]]</f>
        <v>140.69000000000003</v>
      </c>
      <c r="J26" s="7">
        <f ca="1">tbl_Ventes[[#This Row],[CA ligne]] - tbl_Ventes[[#This Row],[Coût matière ligne]]</f>
        <v>24.309999999999974</v>
      </c>
      <c r="K26" s="7" t="str">
        <f>IFERROR(INDEX(tbl_ProduitsRef[Famille], MATCH(tbl_Ventes[[#This Row],[Cde_Prdt]], tbl_Produits[Cde_Prdt], 0)), "")</f>
        <v>Œufs &amp; Omelettes</v>
      </c>
    </row>
    <row r="27" spans="1:15" x14ac:dyDescent="0.25">
      <c r="A27" s="5">
        <v>45954</v>
      </c>
      <c r="B27" s="63" t="str">
        <f>IFERROR(TEXT(tbl_Ventes[[#This Row],[Date]],"mm-aaaa"),"")</f>
        <v>10-2025</v>
      </c>
      <c r="C27" t="s">
        <v>1277</v>
      </c>
      <c r="D27" s="10" t="str">
        <f>IFERROR(
   INDEX(tbl_ProduitsRef[Cde_Prdt],MATCH(tbl_Ventes[[#This Row],[Produit]],tbl_ProduitsRef[Produit],0)),
   ""
)</f>
        <v>BCH017</v>
      </c>
      <c r="E27" s="7">
        <v>10</v>
      </c>
      <c r="F27" s="7">
        <f>IFERROR(
   INDEX(tbl_ProduitsRef[Prix Menu],MATCH(tbl_Ventes[[#This Row],[Produit]],tbl_ProduitsRef[Produit],0)),
   ""
)</f>
        <v>27</v>
      </c>
      <c r="G27" s="7">
        <f>tbl_Ventes[[#This Row],[Qté Vendue]] * IFERROR(_xlfn.XLOOKUP(tbl_Ventes[[#This Row],[Cde_Prdt]], tbl_Produits[Cde_Prdt], tbl_Produits[Prix Menu]), 0)</f>
        <v>270</v>
      </c>
      <c r="H27" s="7">
        <f ca="1">IFERROR(_xlfn.XLOOKUP(tbl_Ventes[[#This Row],[Cde_Prdt]], tbl_Produits[Cde_Prdt], tbl_Produits[Coût Moyen Portion]), 0)</f>
        <v>19.36</v>
      </c>
      <c r="I27" s="7">
        <f ca="1">tbl_Ventes[[#This Row],[Qté Vendue]] * tbl_Ventes[[#This Row],[CMP_par_portion]]</f>
        <v>193.6</v>
      </c>
      <c r="J27" s="7">
        <f ca="1">tbl_Ventes[[#This Row],[CA ligne]] - tbl_Ventes[[#This Row],[Coût matière ligne]]</f>
        <v>76.400000000000006</v>
      </c>
      <c r="K27" s="7" t="str">
        <f>IFERROR(INDEX(tbl_ProduitsRef[Famille], MATCH(tbl_Ventes[[#This Row],[Cde_Prdt]], tbl_Produits[Cde_Prdt], 0)), "")</f>
        <v>Boissons chaudes</v>
      </c>
    </row>
    <row r="28" spans="1:15" x14ac:dyDescent="0.25">
      <c r="A28" s="5">
        <v>45955</v>
      </c>
      <c r="B28" s="63" t="str">
        <f>IFERROR(TEXT(tbl_Ventes[[#This Row],[Date]],"mm-aaaa"),"")</f>
        <v>10-2025</v>
      </c>
      <c r="C28" t="s">
        <v>603</v>
      </c>
      <c r="D28" s="10" t="str">
        <f>IFERROR(
   INDEX(tbl_ProduitsRef[Cde_Prdt],MATCH(tbl_Ventes[[#This Row],[Produit]],tbl_ProduitsRef[Produit],0)),
   ""
)</f>
        <v>TAJ005</v>
      </c>
      <c r="E28" s="7">
        <v>25</v>
      </c>
      <c r="F28" s="7">
        <f>IFERROR(
   INDEX(tbl_ProduitsRef[Prix Menu],MATCH(tbl_Ventes[[#This Row],[Produit]],tbl_ProduitsRef[Produit],0)),
   ""
)</f>
        <v>105</v>
      </c>
      <c r="G28" s="7">
        <f>tbl_Ventes[[#This Row],[Qté Vendue]] * IFERROR(_xlfn.XLOOKUP(tbl_Ventes[[#This Row],[Cde_Prdt]], tbl_Produits[Cde_Prdt], tbl_Produits[Prix Menu]), 0)</f>
        <v>2625</v>
      </c>
      <c r="H28" s="7">
        <f ca="1">IFERROR(_xlfn.XLOOKUP(tbl_Ventes[[#This Row],[Cde_Prdt]], tbl_Produits[Cde_Prdt], tbl_Produits[Coût Moyen Portion]), 0)</f>
        <v>35.839999999999996</v>
      </c>
      <c r="I28" s="7">
        <f ca="1">tbl_Ventes[[#This Row],[Qté Vendue]] * tbl_Ventes[[#This Row],[CMP_par_portion]]</f>
        <v>895.99999999999989</v>
      </c>
      <c r="J28" s="7">
        <f ca="1">tbl_Ventes[[#This Row],[CA ligne]] - tbl_Ventes[[#This Row],[Coût matière ligne]]</f>
        <v>1729</v>
      </c>
      <c r="K28" s="7" t="str">
        <f>IFERROR(INDEX(tbl_ProduitsRef[Famille], MATCH(tbl_Ventes[[#This Row],[Cde_Prdt]], tbl_Produits[Cde_Prdt], 0)), "")</f>
        <v>Tajines &amp; Coin marocain</v>
      </c>
    </row>
    <row r="29" spans="1:15" x14ac:dyDescent="0.25">
      <c r="A29" s="5">
        <v>45956</v>
      </c>
      <c r="B29" s="63" t="str">
        <f>IFERROR(TEXT(tbl_Ventes[[#This Row],[Date]],"mm-aaaa"),"")</f>
        <v>10-2025</v>
      </c>
      <c r="C29" t="s">
        <v>1277</v>
      </c>
      <c r="D29" s="10" t="str">
        <f>IFERROR(
   INDEX(tbl_ProduitsRef[Cde_Prdt],MATCH(tbl_Ventes[[#This Row],[Produit]],tbl_ProduitsRef[Produit],0)),
   ""
)</f>
        <v>BCH017</v>
      </c>
      <c r="E29" s="7">
        <v>30</v>
      </c>
      <c r="F29" s="7">
        <f>IFERROR(
   INDEX(tbl_ProduitsRef[Prix Menu],MATCH(tbl_Ventes[[#This Row],[Produit]],tbl_ProduitsRef[Produit],0)),
   ""
)</f>
        <v>27</v>
      </c>
      <c r="G29" s="7">
        <f>tbl_Ventes[[#This Row],[Qté Vendue]] * IFERROR(_xlfn.XLOOKUP(tbl_Ventes[[#This Row],[Cde_Prdt]], tbl_Produits[Cde_Prdt], tbl_Produits[Prix Menu]), 0)</f>
        <v>810</v>
      </c>
      <c r="H29" s="7">
        <f ca="1">IFERROR(_xlfn.XLOOKUP(tbl_Ventes[[#This Row],[Cde_Prdt]], tbl_Produits[Cde_Prdt], tbl_Produits[Coût Moyen Portion]), 0)</f>
        <v>19.36</v>
      </c>
      <c r="I29" s="7">
        <f ca="1">tbl_Ventes[[#This Row],[Qté Vendue]] * tbl_Ventes[[#This Row],[CMP_par_portion]]</f>
        <v>580.79999999999995</v>
      </c>
      <c r="J29" s="7">
        <f ca="1">tbl_Ventes[[#This Row],[CA ligne]] - tbl_Ventes[[#This Row],[Coût matière ligne]]</f>
        <v>229.20000000000005</v>
      </c>
      <c r="K29" s="7" t="str">
        <f>IFERROR(INDEX(tbl_ProduitsRef[Famille], MATCH(tbl_Ventes[[#This Row],[Cde_Prdt]], tbl_Produits[Cde_Prdt], 0)), "")</f>
        <v>Boissons chaudes</v>
      </c>
    </row>
    <row r="30" spans="1:15" x14ac:dyDescent="0.25">
      <c r="A30" s="5">
        <v>45957</v>
      </c>
      <c r="B30" s="63" t="str">
        <f>IFERROR(TEXT(tbl_Ventes[[#This Row],[Date]],"mm-aaaa"),"")</f>
        <v>10-2025</v>
      </c>
      <c r="C30" t="s">
        <v>603</v>
      </c>
      <c r="D30" s="10" t="str">
        <f>IFERROR(
   INDEX(tbl_ProduitsRef[Cde_Prdt],MATCH(tbl_Ventes[[#This Row],[Produit]],tbl_ProduitsRef[Produit],0)),
   ""
)</f>
        <v>TAJ005</v>
      </c>
      <c r="E30" s="7">
        <v>50</v>
      </c>
      <c r="F30" s="7">
        <f>IFERROR(
   INDEX(tbl_ProduitsRef[Prix Menu],MATCH(tbl_Ventes[[#This Row],[Produit]],tbl_ProduitsRef[Produit],0)),
   ""
)</f>
        <v>105</v>
      </c>
      <c r="G30" s="7">
        <f>tbl_Ventes[[#This Row],[Qté Vendue]] * IFERROR(_xlfn.XLOOKUP(tbl_Ventes[[#This Row],[Cde_Prdt]], tbl_Produits[Cde_Prdt], tbl_Produits[Prix Menu]), 0)</f>
        <v>5250</v>
      </c>
      <c r="H30" s="7">
        <f ca="1">IFERROR(_xlfn.XLOOKUP(tbl_Ventes[[#This Row],[Cde_Prdt]], tbl_Produits[Cde_Prdt], tbl_Produits[Coût Moyen Portion]), 0)</f>
        <v>35.839999999999996</v>
      </c>
      <c r="I30" s="7">
        <f ca="1">tbl_Ventes[[#This Row],[Qté Vendue]] * tbl_Ventes[[#This Row],[CMP_par_portion]]</f>
        <v>1791.9999999999998</v>
      </c>
      <c r="J30" s="7">
        <f ca="1">tbl_Ventes[[#This Row],[CA ligne]] - tbl_Ventes[[#This Row],[Coût matière ligne]]</f>
        <v>3458</v>
      </c>
      <c r="K30" s="7" t="str">
        <f>IFERROR(INDEX(tbl_ProduitsRef[Famille], MATCH(tbl_Ventes[[#This Row],[Cde_Prdt]], tbl_Produits[Cde_Prdt], 0)), "")</f>
        <v>Tajines &amp; Coin marocain</v>
      </c>
    </row>
    <row r="31" spans="1:15" x14ac:dyDescent="0.25">
      <c r="A31" s="5">
        <v>45958</v>
      </c>
      <c r="B31" s="63" t="str">
        <f>IFERROR(TEXT(tbl_Ventes[[#This Row],[Date]],"mm-aaaa"),"")</f>
        <v>10-2025</v>
      </c>
      <c r="C31" t="s">
        <v>54</v>
      </c>
      <c r="D31" s="10" t="str">
        <f>IFERROR(
   INDEX(tbl_ProduitsRef[Cde_Prdt],MATCH(tbl_Ventes[[#This Row],[Produit]],tbl_ProduitsRef[Produit],0)),
   ""
)</f>
        <v>TAJ008</v>
      </c>
      <c r="E31" s="7">
        <v>17</v>
      </c>
      <c r="F31" s="7">
        <f>IFERROR(
   INDEX(tbl_ProduitsRef[Prix Menu],MATCH(tbl_Ventes[[#This Row],[Produit]],tbl_ProduitsRef[Produit],0)),
   ""
)</f>
        <v>210</v>
      </c>
      <c r="G31" s="7">
        <f>tbl_Ventes[[#This Row],[Qté Vendue]] * IFERROR(_xlfn.XLOOKUP(tbl_Ventes[[#This Row],[Cde_Prdt]], tbl_Produits[Cde_Prdt], tbl_Produits[Prix Menu]), 0)</f>
        <v>3570</v>
      </c>
      <c r="H31" s="7">
        <f ca="1">IFERROR(_xlfn.XLOOKUP(tbl_Ventes[[#This Row],[Cde_Prdt]], tbl_Produits[Cde_Prdt], tbl_Produits[Coût Moyen Portion]), 0)</f>
        <v>73.7</v>
      </c>
      <c r="I31" s="7">
        <f ca="1">tbl_Ventes[[#This Row],[Qté Vendue]] * tbl_Ventes[[#This Row],[CMP_par_portion]]</f>
        <v>1252.9000000000001</v>
      </c>
      <c r="J31" s="7">
        <f ca="1">tbl_Ventes[[#This Row],[CA ligne]] - tbl_Ventes[[#This Row],[Coût matière ligne]]</f>
        <v>2317.1</v>
      </c>
      <c r="K31" s="7" t="str">
        <f>IFERROR(INDEX(tbl_ProduitsRef[Famille], MATCH(tbl_Ventes[[#This Row],[Cde_Prdt]], tbl_Produits[Cde_Prdt], 0)), "")</f>
        <v>Tajines &amp; Coin marocain</v>
      </c>
    </row>
    <row r="32" spans="1:15" x14ac:dyDescent="0.25">
      <c r="A32" s="5">
        <v>45959</v>
      </c>
      <c r="B32" s="63" t="str">
        <f>IFERROR(TEXT(tbl_Ventes[[#This Row],[Date]],"mm-aaaa"),"")</f>
        <v>10-2025</v>
      </c>
      <c r="C32" t="s">
        <v>1021</v>
      </c>
      <c r="D32" s="10" t="str">
        <f>IFERROR(
   INDEX(tbl_ProduitsRef[Cde_Prdt],MATCH(tbl_Ventes[[#This Row],[Produit]],tbl_ProduitsRef[Produit],0)),
   ""
)</f>
        <v>MKS006</v>
      </c>
      <c r="E32" s="7">
        <v>90</v>
      </c>
      <c r="F32" s="7">
        <f>IFERROR(
   INDEX(tbl_ProduitsRef[Prix Menu],MATCH(tbl_Ventes[[#This Row],[Produit]],tbl_ProduitsRef[Produit],0)),
   ""
)</f>
        <v>35</v>
      </c>
      <c r="G32" s="7">
        <f>tbl_Ventes[[#This Row],[Qté Vendue]] * IFERROR(_xlfn.XLOOKUP(tbl_Ventes[[#This Row],[Cde_Prdt]], tbl_Produits[Cde_Prdt], tbl_Produits[Prix Menu]), 0)</f>
        <v>3150</v>
      </c>
      <c r="H32" s="7">
        <f ca="1">IFERROR(_xlfn.XLOOKUP(tbl_Ventes[[#This Row],[Cde_Prdt]], tbl_Produits[Cde_Prdt], tbl_Produits[Coût Moyen Portion]), 0)</f>
        <v>17.3</v>
      </c>
      <c r="I32" s="7">
        <f ca="1">tbl_Ventes[[#This Row],[Qté Vendue]] * tbl_Ventes[[#This Row],[CMP_par_portion]]</f>
        <v>1557</v>
      </c>
      <c r="J32" s="7">
        <f ca="1">tbl_Ventes[[#This Row],[CA ligne]] - tbl_Ventes[[#This Row],[Coût matière ligne]]</f>
        <v>1593</v>
      </c>
      <c r="K32" s="7" t="str">
        <f>IFERROR(INDEX(tbl_ProduitsRef[Famille], MATCH(tbl_Ventes[[#This Row],[Cde_Prdt]], tbl_Produits[Cde_Prdt], 0)), "")</f>
        <v>Milkshakes</v>
      </c>
    </row>
    <row r="33" spans="1:11" x14ac:dyDescent="0.25">
      <c r="A33" s="5">
        <v>45960</v>
      </c>
      <c r="B33" s="63" t="str">
        <f>IFERROR(TEXT(tbl_Ventes[[#This Row],[Date]],"mm-aaaa"),"")</f>
        <v>10-2025</v>
      </c>
      <c r="C33" t="s">
        <v>464</v>
      </c>
      <c r="D33" s="10" t="str">
        <f>IFERROR(
   INDEX(tbl_ProduitsRef[Cde_Prdt],MATCH(tbl_Ventes[[#This Row],[Produit]],tbl_ProduitsRef[Produit],0)),
   ""
)</f>
        <v>VIA010</v>
      </c>
      <c r="E33" s="7">
        <v>30</v>
      </c>
      <c r="F33" s="7">
        <f>IFERROR(
   INDEX(tbl_ProduitsRef[Prix Menu],MATCH(tbl_Ventes[[#This Row],[Produit]],tbl_ProduitsRef[Produit],0)),
   ""
)</f>
        <v>180</v>
      </c>
      <c r="G33" s="7">
        <f>tbl_Ventes[[#This Row],[Qté Vendue]] * IFERROR(_xlfn.XLOOKUP(tbl_Ventes[[#This Row],[Cde_Prdt]], tbl_Produits[Cde_Prdt], tbl_Produits[Prix Menu]), 0)</f>
        <v>5400</v>
      </c>
      <c r="H33" s="7">
        <f ca="1">IFERROR(_xlfn.XLOOKUP(tbl_Ventes[[#This Row],[Cde_Prdt]], tbl_Produits[Cde_Prdt], tbl_Produits[Coût Moyen Portion]), 0)</f>
        <v>200</v>
      </c>
      <c r="I33" s="7">
        <f ca="1">tbl_Ventes[[#This Row],[Qté Vendue]] * tbl_Ventes[[#This Row],[CMP_par_portion]]</f>
        <v>6000</v>
      </c>
      <c r="J33" s="7">
        <f ca="1">tbl_Ventes[[#This Row],[CA ligne]] - tbl_Ventes[[#This Row],[Coût matière ligne]]</f>
        <v>-600</v>
      </c>
      <c r="K33" s="7" t="str">
        <f>IFERROR(INDEX(tbl_ProduitsRef[Famille], MATCH(tbl_Ventes[[#This Row],[Cde_Prdt]], tbl_Produits[Cde_Prdt], 0)), "")</f>
        <v>Boucherie</v>
      </c>
    </row>
    <row r="34" spans="1:11" x14ac:dyDescent="0.25">
      <c r="A34" s="5">
        <v>45961</v>
      </c>
      <c r="B34" s="63" t="str">
        <f>IFERROR(TEXT(tbl_Ventes[[#This Row],[Date]],"mm-aaaa"),"")</f>
        <v>10-2025</v>
      </c>
      <c r="C34" t="s">
        <v>449</v>
      </c>
      <c r="D34" s="10" t="str">
        <f>IFERROR(
   INDEX(tbl_ProduitsRef[Cde_Prdt],MATCH(tbl_Ventes[[#This Row],[Produit]],tbl_ProduitsRef[Produit],0)),
   ""
)</f>
        <v>VIA006</v>
      </c>
      <c r="E34" s="7">
        <v>15</v>
      </c>
      <c r="F34" s="7">
        <f>IFERROR(
   INDEX(tbl_ProduitsRef[Prix Menu],MATCH(tbl_Ventes[[#This Row],[Produit]],tbl_ProduitsRef[Produit],0)),
   ""
)</f>
        <v>190</v>
      </c>
      <c r="G34" s="7">
        <f>tbl_Ventes[[#This Row],[Qté Vendue]] * IFERROR(_xlfn.XLOOKUP(tbl_Ventes[[#This Row],[Cde_Prdt]], tbl_Produits[Cde_Prdt], tbl_Produits[Prix Menu]), 0)</f>
        <v>2850</v>
      </c>
      <c r="H34" s="7">
        <f ca="1">IFERROR(_xlfn.XLOOKUP(tbl_Ventes[[#This Row],[Cde_Prdt]], tbl_Produits[Cde_Prdt], tbl_Produits[Coût Moyen Portion]), 0)</f>
        <v>300</v>
      </c>
      <c r="I34" s="7">
        <f ca="1">tbl_Ventes[[#This Row],[Qté Vendue]] * tbl_Ventes[[#This Row],[CMP_par_portion]]</f>
        <v>4500</v>
      </c>
      <c r="J34" s="7">
        <f ca="1">tbl_Ventes[[#This Row],[CA ligne]] - tbl_Ventes[[#This Row],[Coût matière ligne]]</f>
        <v>-1650</v>
      </c>
      <c r="K34" s="7" t="str">
        <f>IFERROR(INDEX(tbl_ProduitsRef[Famille], MATCH(tbl_Ventes[[#This Row],[Cde_Prdt]], tbl_Produits[Cde_Prdt], 0)), "")</f>
        <v>Boucherie</v>
      </c>
    </row>
    <row r="35" spans="1:11" x14ac:dyDescent="0.25">
      <c r="A35" s="5">
        <v>45938</v>
      </c>
      <c r="B35" s="63" t="str">
        <f>IFERROR(TEXT(tbl_Ventes[[#This Row],[Date]],"mm-aaaa"),"")</f>
        <v>10-2025</v>
      </c>
      <c r="C35" t="s">
        <v>81</v>
      </c>
      <c r="D35" s="10" t="str">
        <f>IFERROR(
   INDEX(tbl_ProduitsRef[Cde_Prdt],MATCH(tbl_Ventes[[#This Row],[Produit]],tbl_ProduitsRef[Produit],0)),
   ""
)</f>
        <v>SUP005</v>
      </c>
      <c r="E35" s="7">
        <v>50</v>
      </c>
      <c r="F35" s="7">
        <f>IFERROR(
   INDEX(tbl_ProduitsRef[Prix Menu],MATCH(tbl_Ventes[[#This Row],[Produit]],tbl_ProduitsRef[Produit],0)),
   ""
)</f>
        <v>9</v>
      </c>
      <c r="G35" s="7">
        <f>tbl_Ventes[[#This Row],[Qté Vendue]] * IFERROR(_xlfn.XLOOKUP(tbl_Ventes[[#This Row],[Cde_Prdt]], tbl_Produits[Cde_Prdt], tbl_Produits[Prix Menu]), 0)</f>
        <v>450</v>
      </c>
      <c r="H35" s="7">
        <f ca="1">IFERROR(_xlfn.XLOOKUP(tbl_Ventes[[#This Row],[Cde_Prdt]], tbl_Produits[Cde_Prdt], tbl_Produits[Coût Moyen Portion]), 0)</f>
        <v>7</v>
      </c>
      <c r="I35" s="7">
        <f ca="1">tbl_Ventes[[#This Row],[Qté Vendue]] * tbl_Ventes[[#This Row],[CMP_par_portion]]</f>
        <v>350</v>
      </c>
      <c r="J35" s="7">
        <f ca="1">tbl_Ventes[[#This Row],[CA ligne]] - tbl_Ventes[[#This Row],[Coût matière ligne]]</f>
        <v>100</v>
      </c>
      <c r="K35" s="7" t="str">
        <f>IFERROR(INDEX(tbl_ProduitsRef[Famille], MATCH(tbl_Ventes[[#This Row],[Cde_Prdt]], tbl_Produits[Cde_Prdt], 0)), "")</f>
        <v>Suppléments</v>
      </c>
    </row>
    <row r="36" spans="1:11" x14ac:dyDescent="0.25">
      <c r="A36" s="5">
        <v>45939</v>
      </c>
      <c r="B36" s="63" t="str">
        <f>IFERROR(TEXT(tbl_Ventes[[#This Row],[Date]],"mm-aaaa"),"")</f>
        <v>10-2025</v>
      </c>
      <c r="C36" t="s">
        <v>235</v>
      </c>
      <c r="D36" s="10" t="str">
        <f>IFERROR(
   INDEX(tbl_ProduitsRef[Cde_Prdt],MATCH(tbl_Ventes[[#This Row],[Produit]],tbl_ProduitsRef[Produit],0)),
   ""
)</f>
        <v>PDJ005</v>
      </c>
      <c r="E36" s="7">
        <v>17</v>
      </c>
      <c r="F36" s="7">
        <f>IFERROR(
   INDEX(tbl_ProduitsRef[Prix Menu],MATCH(tbl_Ventes[[#This Row],[Produit]],tbl_ProduitsRef[Produit],0)),
   ""
)</f>
        <v>54</v>
      </c>
      <c r="G36" s="7">
        <f>tbl_Ventes[[#This Row],[Qté Vendue]] * IFERROR(_xlfn.XLOOKUP(tbl_Ventes[[#This Row],[Cde_Prdt]], tbl_Produits[Cde_Prdt], tbl_Produits[Prix Menu]), 0)</f>
        <v>918</v>
      </c>
      <c r="H36" s="7">
        <f ca="1">IFERROR(_xlfn.XLOOKUP(tbl_Ventes[[#This Row],[Cde_Prdt]], tbl_Produits[Cde_Prdt], tbl_Produits[Coût Moyen Portion]), 0)</f>
        <v>24.5</v>
      </c>
      <c r="I36" s="7">
        <f ca="1">tbl_Ventes[[#This Row],[Qté Vendue]] * tbl_Ventes[[#This Row],[CMP_par_portion]]</f>
        <v>416.5</v>
      </c>
      <c r="J36" s="7">
        <f ca="1">tbl_Ventes[[#This Row],[CA ligne]] - tbl_Ventes[[#This Row],[Coût matière ligne]]</f>
        <v>501.5</v>
      </c>
      <c r="K36" s="7" t="str">
        <f>IFERROR(INDEX(tbl_ProduitsRef[Famille], MATCH(tbl_Ventes[[#This Row],[Cde_Prdt]], tbl_Produits[Cde_Prdt], 0)), "")</f>
        <v>Petits déjeuners</v>
      </c>
    </row>
    <row r="37" spans="1:11" x14ac:dyDescent="0.25">
      <c r="A37" s="5">
        <v>45939</v>
      </c>
      <c r="B37" s="63" t="str">
        <f>IFERROR(TEXT(tbl_Ventes[[#This Row],[Date]],"mm-aaaa"),"")</f>
        <v>10-2025</v>
      </c>
      <c r="C37" t="s">
        <v>464</v>
      </c>
      <c r="D37" s="10" t="str">
        <f>IFERROR(
   INDEX(tbl_ProduitsRef[Cde_Prdt],MATCH(tbl_Ventes[[#This Row],[Produit]],tbl_ProduitsRef[Produit],0)),
   ""
)</f>
        <v>VIA010</v>
      </c>
      <c r="E37" s="7">
        <v>30</v>
      </c>
      <c r="F37" s="7">
        <f>IFERROR(
   INDEX(tbl_ProduitsRef[Prix Menu],MATCH(tbl_Ventes[[#This Row],[Produit]],tbl_ProduitsRef[Produit],0)),
   ""
)</f>
        <v>180</v>
      </c>
      <c r="G37" s="7">
        <f>tbl_Ventes[[#This Row],[Qté Vendue]] * IFERROR(_xlfn.XLOOKUP(tbl_Ventes[[#This Row],[Cde_Prdt]], tbl_Produits[Cde_Prdt], tbl_Produits[Prix Menu]), 0)</f>
        <v>5400</v>
      </c>
      <c r="H37" s="7">
        <f ca="1">IFERROR(_xlfn.XLOOKUP(tbl_Ventes[[#This Row],[Cde_Prdt]], tbl_Produits[Cde_Prdt], tbl_Produits[Coût Moyen Portion]), 0)</f>
        <v>200</v>
      </c>
      <c r="I37" s="7">
        <f ca="1">tbl_Ventes[[#This Row],[Qté Vendue]] * tbl_Ventes[[#This Row],[CMP_par_portion]]</f>
        <v>6000</v>
      </c>
      <c r="J37" s="7">
        <f ca="1">tbl_Ventes[[#This Row],[CA ligne]] - tbl_Ventes[[#This Row],[Coût matière ligne]]</f>
        <v>-600</v>
      </c>
      <c r="K37" s="7" t="str">
        <f>IFERROR(INDEX(tbl_ProduitsRef[Famille], MATCH(tbl_Ventes[[#This Row],[Cde_Prdt]], tbl_Produits[Cde_Prdt], 0)), "")</f>
        <v>Boucherie</v>
      </c>
    </row>
    <row r="38" spans="1:11" x14ac:dyDescent="0.25">
      <c r="A38" s="5">
        <v>45937</v>
      </c>
      <c r="B38" s="63" t="str">
        <f>IFERROR(TEXT(tbl_Ventes[[#This Row],[Date]],"mm-aaaa"),"")</f>
        <v>10-2025</v>
      </c>
      <c r="C38" t="s">
        <v>1277</v>
      </c>
      <c r="D38" s="10" t="str">
        <f>IFERROR(
   INDEX(tbl_ProduitsRef[Cde_Prdt],MATCH(tbl_Ventes[[#This Row],[Produit]],tbl_ProduitsRef[Produit],0)),
   ""
)</f>
        <v>BCH017</v>
      </c>
      <c r="E38" s="7">
        <v>50</v>
      </c>
      <c r="F38" s="7">
        <f>IFERROR(
   INDEX(tbl_ProduitsRef[Prix Menu],MATCH(tbl_Ventes[[#This Row],[Produit]],tbl_ProduitsRef[Produit],0)),
   ""
)</f>
        <v>27</v>
      </c>
      <c r="G38" s="7">
        <f>tbl_Ventes[[#This Row],[Qté Vendue]] * IFERROR(_xlfn.XLOOKUP(tbl_Ventes[[#This Row],[Cde_Prdt]], tbl_Produits[Cde_Prdt], tbl_Produits[Prix Menu]), 0)</f>
        <v>1350</v>
      </c>
      <c r="H38" s="7">
        <f ca="1">IFERROR(_xlfn.XLOOKUP(tbl_Ventes[[#This Row],[Cde_Prdt]], tbl_Produits[Cde_Prdt], tbl_Produits[Coût Moyen Portion]), 0)</f>
        <v>19.36</v>
      </c>
      <c r="I38" s="7">
        <f ca="1">tbl_Ventes[[#This Row],[Qté Vendue]] * tbl_Ventes[[#This Row],[CMP_par_portion]]</f>
        <v>968</v>
      </c>
      <c r="J38" s="7">
        <f ca="1">tbl_Ventes[[#This Row],[CA ligne]] - tbl_Ventes[[#This Row],[Coût matière ligne]]</f>
        <v>382</v>
      </c>
      <c r="K38" s="7" t="str">
        <f>IFERROR(INDEX(tbl_ProduitsRef[Famille], MATCH(tbl_Ventes[[#This Row],[Cde_Prdt]], tbl_Produits[Cde_Prdt], 0)), "")</f>
        <v>Boissons chaudes</v>
      </c>
    </row>
    <row r="39" spans="1:11" x14ac:dyDescent="0.25">
      <c r="A39" s="5">
        <v>45945</v>
      </c>
      <c r="B39" s="63" t="str">
        <f>IFERROR(TEXT(tbl_Ventes[[#This Row],[Date]],"mm-aaaa"),"")</f>
        <v>10-2025</v>
      </c>
      <c r="C39" t="s">
        <v>603</v>
      </c>
      <c r="D39" s="10" t="str">
        <f>IFERROR(
   INDEX(tbl_ProduitsRef[Cde_Prdt],MATCH(tbl_Ventes[[#This Row],[Produit]],tbl_ProduitsRef[Produit],0)),
   ""
)</f>
        <v>TAJ005</v>
      </c>
      <c r="E39" s="7">
        <v>7</v>
      </c>
      <c r="F39" s="7">
        <f>IFERROR(
   INDEX(tbl_ProduitsRef[Prix Menu],MATCH(tbl_Ventes[[#This Row],[Produit]],tbl_ProduitsRef[Produit],0)),
   ""
)</f>
        <v>105</v>
      </c>
      <c r="G39" s="7">
        <f>tbl_Ventes[[#This Row],[Qté Vendue]] * IFERROR(_xlfn.XLOOKUP(tbl_Ventes[[#This Row],[Cde_Prdt]], tbl_Produits[Cde_Prdt], tbl_Produits[Prix Menu]), 0)</f>
        <v>735</v>
      </c>
      <c r="H39" s="7">
        <f ca="1">IFERROR(_xlfn.XLOOKUP(tbl_Ventes[[#This Row],[Cde_Prdt]], tbl_Produits[Cde_Prdt], tbl_Produits[Coût Moyen Portion]), 0)</f>
        <v>35.839999999999996</v>
      </c>
      <c r="I39" s="7">
        <f ca="1">tbl_Ventes[[#This Row],[Qté Vendue]] * tbl_Ventes[[#This Row],[CMP_par_portion]]</f>
        <v>250.87999999999997</v>
      </c>
      <c r="J39" s="7">
        <f ca="1">tbl_Ventes[[#This Row],[CA ligne]] - tbl_Ventes[[#This Row],[Coût matière ligne]]</f>
        <v>484.12</v>
      </c>
      <c r="K39" s="7" t="str">
        <f>IFERROR(INDEX(tbl_ProduitsRef[Famille], MATCH(tbl_Ventes[[#This Row],[Cde_Prdt]], tbl_Produits[Cde_Prdt], 0)), "")</f>
        <v>Tajines &amp; Coin marocain</v>
      </c>
    </row>
    <row r="40" spans="1:11" x14ac:dyDescent="0.25">
      <c r="A40" s="5">
        <v>45931</v>
      </c>
      <c r="B40" s="63" t="str">
        <f>IFERROR(TEXT(tbl_Ventes[[#This Row],[Date]],"mm-aaaa"),"")</f>
        <v>10-2025</v>
      </c>
      <c r="C40" t="s">
        <v>1277</v>
      </c>
      <c r="D40" s="10" t="str">
        <f>IFERROR(
   INDEX(tbl_ProduitsRef[Cde_Prdt],MATCH(tbl_Ventes[[#This Row],[Produit]],tbl_ProduitsRef[Produit],0)),
   ""
)</f>
        <v>BCH017</v>
      </c>
      <c r="E40" s="7">
        <v>15</v>
      </c>
      <c r="F40" s="7">
        <f>IFERROR(
   INDEX(tbl_ProduitsRef[Prix Menu],MATCH(tbl_Ventes[[#This Row],[Produit]],tbl_ProduitsRef[Produit],0)),
   ""
)</f>
        <v>27</v>
      </c>
      <c r="G40" s="7">
        <f>tbl_Ventes[[#This Row],[Qté Vendue]] * IFERROR(_xlfn.XLOOKUP(tbl_Ventes[[#This Row],[Cde_Prdt]], tbl_Produits[Cde_Prdt], tbl_Produits[Prix Menu]), 0)</f>
        <v>405</v>
      </c>
      <c r="H40" s="7">
        <f ca="1">IFERROR(_xlfn.XLOOKUP(tbl_Ventes[[#This Row],[Cde_Prdt]], tbl_Produits[Cde_Prdt], tbl_Produits[Coût Moyen Portion]), 0)</f>
        <v>19.36</v>
      </c>
      <c r="I40" s="7">
        <f ca="1">tbl_Ventes[[#This Row],[Qté Vendue]] * tbl_Ventes[[#This Row],[CMP_par_portion]]</f>
        <v>290.39999999999998</v>
      </c>
      <c r="J40" s="7">
        <f ca="1">tbl_Ventes[[#This Row],[CA ligne]] - tbl_Ventes[[#This Row],[Coût matière ligne]]</f>
        <v>114.60000000000002</v>
      </c>
      <c r="K40" s="7" t="str">
        <f>IFERROR(INDEX(tbl_ProduitsRef[Famille], MATCH(tbl_Ventes[[#This Row],[Cde_Prdt]], tbl_Produits[Cde_Prdt], 0)), "")</f>
        <v>Boissons chaudes</v>
      </c>
    </row>
    <row r="41" spans="1:11" x14ac:dyDescent="0.25">
      <c r="A41" s="5">
        <v>45932</v>
      </c>
      <c r="B41" s="63" t="str">
        <f>IFERROR(TEXT(tbl_Ventes[[#This Row],[Date]],"mm-aaaa"),"")</f>
        <v>10-2025</v>
      </c>
      <c r="C41" t="s">
        <v>603</v>
      </c>
      <c r="D41" s="10" t="str">
        <f>IFERROR(
   INDEX(tbl_ProduitsRef[Cde_Prdt],MATCH(tbl_Ventes[[#This Row],[Produit]],tbl_ProduitsRef[Produit],0)),
   ""
)</f>
        <v>TAJ005</v>
      </c>
      <c r="E41" s="7">
        <v>30</v>
      </c>
      <c r="F41" s="7">
        <f>IFERROR(
   INDEX(tbl_ProduitsRef[Prix Menu],MATCH(tbl_Ventes[[#This Row],[Produit]],tbl_ProduitsRef[Produit],0)),
   ""
)</f>
        <v>105</v>
      </c>
      <c r="G41" s="7">
        <f>tbl_Ventes[[#This Row],[Qté Vendue]] * IFERROR(_xlfn.XLOOKUP(tbl_Ventes[[#This Row],[Cde_Prdt]], tbl_Produits[Cde_Prdt], tbl_Produits[Prix Menu]), 0)</f>
        <v>3150</v>
      </c>
      <c r="H41" s="7">
        <f ca="1">IFERROR(_xlfn.XLOOKUP(tbl_Ventes[[#This Row],[Cde_Prdt]], tbl_Produits[Cde_Prdt], tbl_Produits[Coût Moyen Portion]), 0)</f>
        <v>35.839999999999996</v>
      </c>
      <c r="I41" s="7">
        <f ca="1">tbl_Ventes[[#This Row],[Qté Vendue]] * tbl_Ventes[[#This Row],[CMP_par_portion]]</f>
        <v>1075.1999999999998</v>
      </c>
      <c r="J41" s="7">
        <f ca="1">tbl_Ventes[[#This Row],[CA ligne]] - tbl_Ventes[[#This Row],[Coût matière ligne]]</f>
        <v>2074.8000000000002</v>
      </c>
      <c r="K41" s="7" t="str">
        <f>IFERROR(INDEX(tbl_ProduitsRef[Famille], MATCH(tbl_Ventes[[#This Row],[Cde_Prdt]], tbl_Produits[Cde_Prdt], 0)), "")</f>
        <v>Tajines &amp; Coin marocain</v>
      </c>
    </row>
    <row r="42" spans="1:11" x14ac:dyDescent="0.25">
      <c r="A42" s="5">
        <v>45933</v>
      </c>
      <c r="B42" s="63" t="str">
        <f>IFERROR(TEXT(tbl_Ventes[[#This Row],[Date]],"mm-aaaa"),"")</f>
        <v>10-2025</v>
      </c>
      <c r="C42" t="s">
        <v>54</v>
      </c>
      <c r="D42" s="10" t="str">
        <f>IFERROR(
   INDEX(tbl_ProduitsRef[Cde_Prdt],MATCH(tbl_Ventes[[#This Row],[Produit]],tbl_ProduitsRef[Produit],0)),
   ""
)</f>
        <v>TAJ008</v>
      </c>
      <c r="E42" s="7">
        <v>20</v>
      </c>
      <c r="F42" s="7">
        <f>IFERROR(
   INDEX(tbl_ProduitsRef[Prix Menu],MATCH(tbl_Ventes[[#This Row],[Produit]],tbl_ProduitsRef[Produit],0)),
   ""
)</f>
        <v>210</v>
      </c>
      <c r="G42" s="7">
        <f>tbl_Ventes[[#This Row],[Qté Vendue]] * IFERROR(_xlfn.XLOOKUP(tbl_Ventes[[#This Row],[Cde_Prdt]], tbl_Produits[Cde_Prdt], tbl_Produits[Prix Menu]), 0)</f>
        <v>4200</v>
      </c>
      <c r="H42" s="7">
        <f ca="1">IFERROR(_xlfn.XLOOKUP(tbl_Ventes[[#This Row],[Cde_Prdt]], tbl_Produits[Cde_Prdt], tbl_Produits[Coût Moyen Portion]), 0)</f>
        <v>73.7</v>
      </c>
      <c r="I42" s="7">
        <f ca="1">tbl_Ventes[[#This Row],[Qté Vendue]] * tbl_Ventes[[#This Row],[CMP_par_portion]]</f>
        <v>1474</v>
      </c>
      <c r="J42" s="7">
        <f ca="1">tbl_Ventes[[#This Row],[CA ligne]] - tbl_Ventes[[#This Row],[Coût matière ligne]]</f>
        <v>2726</v>
      </c>
      <c r="K42" s="7" t="str">
        <f>IFERROR(INDEX(tbl_ProduitsRef[Famille], MATCH(tbl_Ventes[[#This Row],[Cde_Prdt]], tbl_Produits[Cde_Prdt], 0)), "")</f>
        <v>Tajines &amp; Coin marocain</v>
      </c>
    </row>
    <row r="43" spans="1:11" x14ac:dyDescent="0.25">
      <c r="A43" s="5">
        <v>45934</v>
      </c>
      <c r="B43" s="63" t="str">
        <f>IFERROR(TEXT(tbl_Ventes[[#This Row],[Date]],"mm-aaaa"),"")</f>
        <v>10-2025</v>
      </c>
      <c r="C43" t="s">
        <v>1021</v>
      </c>
      <c r="D43" s="10" t="str">
        <f>IFERROR(
   INDEX(tbl_ProduitsRef[Cde_Prdt],MATCH(tbl_Ventes[[#This Row],[Produit]],tbl_ProduitsRef[Produit],0)),
   ""
)</f>
        <v>MKS006</v>
      </c>
      <c r="E43" s="7">
        <v>452</v>
      </c>
      <c r="F43" s="7">
        <f>IFERROR(
   INDEX(tbl_ProduitsRef[Prix Menu],MATCH(tbl_Ventes[[#This Row],[Produit]],tbl_ProduitsRef[Produit],0)),
   ""
)</f>
        <v>35</v>
      </c>
      <c r="G43" s="7">
        <f>tbl_Ventes[[#This Row],[Qté Vendue]] * IFERROR(_xlfn.XLOOKUP(tbl_Ventes[[#This Row],[Cde_Prdt]], tbl_Produits[Cde_Prdt], tbl_Produits[Prix Menu]), 0)</f>
        <v>15820</v>
      </c>
      <c r="H43" s="7">
        <f ca="1">IFERROR(_xlfn.XLOOKUP(tbl_Ventes[[#This Row],[Cde_Prdt]], tbl_Produits[Cde_Prdt], tbl_Produits[Coût Moyen Portion]), 0)</f>
        <v>17.3</v>
      </c>
      <c r="I43" s="7">
        <f ca="1">tbl_Ventes[[#This Row],[Qté Vendue]] * tbl_Ventes[[#This Row],[CMP_par_portion]]</f>
        <v>7819.6</v>
      </c>
      <c r="J43" s="7">
        <f ca="1">tbl_Ventes[[#This Row],[CA ligne]] - tbl_Ventes[[#This Row],[Coût matière ligne]]</f>
        <v>8000.4</v>
      </c>
      <c r="K43" s="7" t="str">
        <f>IFERROR(INDEX(tbl_ProduitsRef[Famille], MATCH(tbl_Ventes[[#This Row],[Cde_Prdt]], tbl_Produits[Cde_Prdt], 0)), "")</f>
        <v>Milkshakes</v>
      </c>
    </row>
    <row r="44" spans="1:11" x14ac:dyDescent="0.25">
      <c r="A44" s="5">
        <v>45935</v>
      </c>
      <c r="B44" s="63" t="str">
        <f>IFERROR(TEXT(tbl_Ventes[[#This Row],[Date]],"mm-aaaa"),"")</f>
        <v>10-2025</v>
      </c>
      <c r="C44" t="s">
        <v>464</v>
      </c>
      <c r="D44" s="10" t="str">
        <f>IFERROR(
   INDEX(tbl_ProduitsRef[Cde_Prdt],MATCH(tbl_Ventes[[#This Row],[Produit]],tbl_ProduitsRef[Produit],0)),
   ""
)</f>
        <v>VIA010</v>
      </c>
      <c r="E44" s="7">
        <v>66</v>
      </c>
      <c r="F44" s="7">
        <f>IFERROR(
   INDEX(tbl_ProduitsRef[Prix Menu],MATCH(tbl_Ventes[[#This Row],[Produit]],tbl_ProduitsRef[Produit],0)),
   ""
)</f>
        <v>180</v>
      </c>
      <c r="G44" s="7">
        <f>tbl_Ventes[[#This Row],[Qté Vendue]] * IFERROR(_xlfn.XLOOKUP(tbl_Ventes[[#This Row],[Cde_Prdt]], tbl_Produits[Cde_Prdt], tbl_Produits[Prix Menu]), 0)</f>
        <v>11880</v>
      </c>
      <c r="H44" s="7">
        <f ca="1">IFERROR(_xlfn.XLOOKUP(tbl_Ventes[[#This Row],[Cde_Prdt]], tbl_Produits[Cde_Prdt], tbl_Produits[Coût Moyen Portion]), 0)</f>
        <v>200</v>
      </c>
      <c r="I44" s="7">
        <f ca="1">tbl_Ventes[[#This Row],[Qté Vendue]] * tbl_Ventes[[#This Row],[CMP_par_portion]]</f>
        <v>13200</v>
      </c>
      <c r="J44" s="7">
        <f ca="1">tbl_Ventes[[#This Row],[CA ligne]] - tbl_Ventes[[#This Row],[Coût matière ligne]]</f>
        <v>-1320</v>
      </c>
      <c r="K44" s="7" t="str">
        <f>IFERROR(INDEX(tbl_ProduitsRef[Famille], MATCH(tbl_Ventes[[#This Row],[Cde_Prdt]], tbl_Produits[Cde_Prdt], 0)), "")</f>
        <v>Boucherie</v>
      </c>
    </row>
    <row r="45" spans="1:11" x14ac:dyDescent="0.25">
      <c r="A45" s="5">
        <v>45936</v>
      </c>
      <c r="B45" s="63" t="str">
        <f>IFERROR(TEXT(tbl_Ventes[[#This Row],[Date]],"mm-aaaa"),"")</f>
        <v>10-2025</v>
      </c>
      <c r="C45" t="s">
        <v>449</v>
      </c>
      <c r="D45" s="10" t="str">
        <f>IFERROR(
   INDEX(tbl_ProduitsRef[Cde_Prdt],MATCH(tbl_Ventes[[#This Row],[Produit]],tbl_ProduitsRef[Produit],0)),
   ""
)</f>
        <v>VIA006</v>
      </c>
      <c r="E45" s="7">
        <v>9</v>
      </c>
      <c r="F45" s="7">
        <f>IFERROR(
   INDEX(tbl_ProduitsRef[Prix Menu],MATCH(tbl_Ventes[[#This Row],[Produit]],tbl_ProduitsRef[Produit],0)),
   ""
)</f>
        <v>190</v>
      </c>
      <c r="G45" s="7">
        <f>tbl_Ventes[[#This Row],[Qté Vendue]] * IFERROR(_xlfn.XLOOKUP(tbl_Ventes[[#This Row],[Cde_Prdt]], tbl_Produits[Cde_Prdt], tbl_Produits[Prix Menu]), 0)</f>
        <v>1710</v>
      </c>
      <c r="H45" s="7">
        <f ca="1">IFERROR(_xlfn.XLOOKUP(tbl_Ventes[[#This Row],[Cde_Prdt]], tbl_Produits[Cde_Prdt], tbl_Produits[Coût Moyen Portion]), 0)</f>
        <v>300</v>
      </c>
      <c r="I45" s="7">
        <f ca="1">tbl_Ventes[[#This Row],[Qté Vendue]] * tbl_Ventes[[#This Row],[CMP_par_portion]]</f>
        <v>2700</v>
      </c>
      <c r="J45" s="7">
        <f ca="1">tbl_Ventes[[#This Row],[CA ligne]] - tbl_Ventes[[#This Row],[Coût matière ligne]]</f>
        <v>-990</v>
      </c>
      <c r="K45" s="7" t="str">
        <f>IFERROR(INDEX(tbl_ProduitsRef[Famille], MATCH(tbl_Ventes[[#This Row],[Cde_Prdt]], tbl_Produits[Cde_Prdt], 0)), "")</f>
        <v>Boucherie</v>
      </c>
    </row>
    <row r="46" spans="1:11" x14ac:dyDescent="0.25">
      <c r="A46" s="5">
        <v>45937</v>
      </c>
      <c r="B46" s="63" t="str">
        <f>IFERROR(TEXT(tbl_Ventes[[#This Row],[Date]],"mm-aaaa"),"")</f>
        <v>10-2025</v>
      </c>
      <c r="C46" t="s">
        <v>81</v>
      </c>
      <c r="D46" s="10" t="str">
        <f>IFERROR(
   INDEX(tbl_ProduitsRef[Cde_Prdt],MATCH(tbl_Ventes[[#This Row],[Produit]],tbl_ProduitsRef[Produit],0)),
   ""
)</f>
        <v>SUP005</v>
      </c>
      <c r="E46" s="7">
        <v>9</v>
      </c>
      <c r="F46" s="7">
        <f>IFERROR(
   INDEX(tbl_ProduitsRef[Prix Menu],MATCH(tbl_Ventes[[#This Row],[Produit]],tbl_ProduitsRef[Produit],0)),
   ""
)</f>
        <v>9</v>
      </c>
      <c r="G46" s="7">
        <f>tbl_Ventes[[#This Row],[Qté Vendue]] * IFERROR(_xlfn.XLOOKUP(tbl_Ventes[[#This Row],[Cde_Prdt]], tbl_Produits[Cde_Prdt], tbl_Produits[Prix Menu]), 0)</f>
        <v>81</v>
      </c>
      <c r="H46" s="7">
        <f ca="1">IFERROR(_xlfn.XLOOKUP(tbl_Ventes[[#This Row],[Cde_Prdt]], tbl_Produits[Cde_Prdt], tbl_Produits[Coût Moyen Portion]), 0)</f>
        <v>7</v>
      </c>
      <c r="I46" s="7">
        <f ca="1">tbl_Ventes[[#This Row],[Qté Vendue]] * tbl_Ventes[[#This Row],[CMP_par_portion]]</f>
        <v>63</v>
      </c>
      <c r="J46" s="7">
        <f ca="1">tbl_Ventes[[#This Row],[CA ligne]] - tbl_Ventes[[#This Row],[Coût matière ligne]]</f>
        <v>18</v>
      </c>
      <c r="K46" s="7" t="str">
        <f>IFERROR(INDEX(tbl_ProduitsRef[Famille], MATCH(tbl_Ventes[[#This Row],[Cde_Prdt]], tbl_Produits[Cde_Prdt], 0)), "")</f>
        <v>Suppléments</v>
      </c>
    </row>
    <row r="47" spans="1:11" x14ac:dyDescent="0.25">
      <c r="A47" s="5">
        <v>45938</v>
      </c>
      <c r="B47" s="63" t="str">
        <f>IFERROR(TEXT(tbl_Ventes[[#This Row],[Date]],"mm-aaaa"),"")</f>
        <v>10-2025</v>
      </c>
      <c r="C47" t="s">
        <v>235</v>
      </c>
      <c r="D47" s="10" t="str">
        <f>IFERROR(
   INDEX(tbl_ProduitsRef[Cde_Prdt],MATCH(tbl_Ventes[[#This Row],[Produit]],tbl_ProduitsRef[Produit],0)),
   ""
)</f>
        <v>PDJ005</v>
      </c>
      <c r="E47" s="7">
        <v>65</v>
      </c>
      <c r="F47" s="7">
        <f>IFERROR(
   INDEX(tbl_ProduitsRef[Prix Menu],MATCH(tbl_Ventes[[#This Row],[Produit]],tbl_ProduitsRef[Produit],0)),
   ""
)</f>
        <v>54</v>
      </c>
      <c r="G47" s="7">
        <f>tbl_Ventes[[#This Row],[Qté Vendue]] * IFERROR(_xlfn.XLOOKUP(tbl_Ventes[[#This Row],[Cde_Prdt]], tbl_Produits[Cde_Prdt], tbl_Produits[Prix Menu]), 0)</f>
        <v>3510</v>
      </c>
      <c r="H47" s="7">
        <f ca="1">IFERROR(_xlfn.XLOOKUP(tbl_Ventes[[#This Row],[Cde_Prdt]], tbl_Produits[Cde_Prdt], tbl_Produits[Coût Moyen Portion]), 0)</f>
        <v>24.5</v>
      </c>
      <c r="I47" s="7">
        <f ca="1">tbl_Ventes[[#This Row],[Qté Vendue]] * tbl_Ventes[[#This Row],[CMP_par_portion]]</f>
        <v>1592.5</v>
      </c>
      <c r="J47" s="7">
        <f ca="1">tbl_Ventes[[#This Row],[CA ligne]] - tbl_Ventes[[#This Row],[Coût matière ligne]]</f>
        <v>1917.5</v>
      </c>
      <c r="K47" s="7" t="str">
        <f>IFERROR(INDEX(tbl_ProduitsRef[Famille], MATCH(tbl_Ventes[[#This Row],[Cde_Prdt]], tbl_Produits[Cde_Prdt], 0)), "")</f>
        <v>Petits déjeuners</v>
      </c>
    </row>
    <row r="48" spans="1:11" x14ac:dyDescent="0.25">
      <c r="A48" s="5">
        <v>45939</v>
      </c>
      <c r="B48" s="63" t="str">
        <f>IFERROR(TEXT(tbl_Ventes[[#This Row],[Date]],"mm-aaaa"),"")</f>
        <v>10-2025</v>
      </c>
      <c r="C48" t="s">
        <v>464</v>
      </c>
      <c r="D48" s="10" t="str">
        <f>IFERROR(
   INDEX(tbl_ProduitsRef[Cde_Prdt],MATCH(tbl_Ventes[[#This Row],[Produit]],tbl_ProduitsRef[Produit],0)),
   ""
)</f>
        <v>VIA010</v>
      </c>
      <c r="E48" s="7">
        <v>32</v>
      </c>
      <c r="F48" s="7">
        <f>IFERROR(
   INDEX(tbl_ProduitsRef[Prix Menu],MATCH(tbl_Ventes[[#This Row],[Produit]],tbl_ProduitsRef[Produit],0)),
   ""
)</f>
        <v>180</v>
      </c>
      <c r="G48" s="7">
        <f>tbl_Ventes[[#This Row],[Qté Vendue]] * IFERROR(_xlfn.XLOOKUP(tbl_Ventes[[#This Row],[Cde_Prdt]], tbl_Produits[Cde_Prdt], tbl_Produits[Prix Menu]), 0)</f>
        <v>5760</v>
      </c>
      <c r="H48" s="7">
        <f ca="1">IFERROR(_xlfn.XLOOKUP(tbl_Ventes[[#This Row],[Cde_Prdt]], tbl_Produits[Cde_Prdt], tbl_Produits[Coût Moyen Portion]), 0)</f>
        <v>200</v>
      </c>
      <c r="I48" s="7">
        <f ca="1">tbl_Ventes[[#This Row],[Qté Vendue]] * tbl_Ventes[[#This Row],[CMP_par_portion]]</f>
        <v>6400</v>
      </c>
      <c r="J48" s="7">
        <f ca="1">tbl_Ventes[[#This Row],[CA ligne]] - tbl_Ventes[[#This Row],[Coût matière ligne]]</f>
        <v>-640</v>
      </c>
      <c r="K48" s="7" t="str">
        <f>IFERROR(INDEX(tbl_ProduitsRef[Famille], MATCH(tbl_Ventes[[#This Row],[Cde_Prdt]], tbl_Produits[Cde_Prdt], 0)), "")</f>
        <v>Boucherie</v>
      </c>
    </row>
    <row r="49" spans="1:11" x14ac:dyDescent="0.25">
      <c r="A49" s="5">
        <v>45940</v>
      </c>
      <c r="B49" s="63" t="str">
        <f>IFERROR(TEXT(tbl_Ventes[[#This Row],[Date]],"mm-aaaa"),"")</f>
        <v>10-2025</v>
      </c>
      <c r="C49" t="s">
        <v>1277</v>
      </c>
      <c r="D49" s="10" t="str">
        <f>IFERROR(
   INDEX(tbl_ProduitsRef[Cde_Prdt],MATCH(tbl_Ventes[[#This Row],[Produit]],tbl_ProduitsRef[Produit],0)),
   ""
)</f>
        <v>BCH017</v>
      </c>
      <c r="E49" s="7">
        <v>32</v>
      </c>
      <c r="F49" s="7">
        <f>IFERROR(
   INDEX(tbl_ProduitsRef[Prix Menu],MATCH(tbl_Ventes[[#This Row],[Produit]],tbl_ProduitsRef[Produit],0)),
   ""
)</f>
        <v>27</v>
      </c>
      <c r="G49" s="7">
        <f>tbl_Ventes[[#This Row],[Qté Vendue]] * IFERROR(_xlfn.XLOOKUP(tbl_Ventes[[#This Row],[Cde_Prdt]], tbl_Produits[Cde_Prdt], tbl_Produits[Prix Menu]), 0)</f>
        <v>864</v>
      </c>
      <c r="H49" s="7">
        <f ca="1">IFERROR(_xlfn.XLOOKUP(tbl_Ventes[[#This Row],[Cde_Prdt]], tbl_Produits[Cde_Prdt], tbl_Produits[Coût Moyen Portion]), 0)</f>
        <v>19.36</v>
      </c>
      <c r="I49" s="7">
        <f ca="1">tbl_Ventes[[#This Row],[Qté Vendue]] * tbl_Ventes[[#This Row],[CMP_par_portion]]</f>
        <v>619.52</v>
      </c>
      <c r="J49" s="7">
        <f ca="1">tbl_Ventes[[#This Row],[CA ligne]] - tbl_Ventes[[#This Row],[Coût matière ligne]]</f>
        <v>244.48000000000002</v>
      </c>
      <c r="K49" s="7" t="str">
        <f>IFERROR(INDEX(tbl_ProduitsRef[Famille], MATCH(tbl_Ventes[[#This Row],[Cde_Prdt]], tbl_Produits[Cde_Prdt], 0)), "")</f>
        <v>Boissons chaudes</v>
      </c>
    </row>
    <row r="50" spans="1:11" x14ac:dyDescent="0.25">
      <c r="A50" s="5">
        <v>45941</v>
      </c>
      <c r="B50" s="63" t="str">
        <f>IFERROR(TEXT(tbl_Ventes[[#This Row],[Date]],"mm-aaaa"),"")</f>
        <v>10-2025</v>
      </c>
      <c r="C50" t="s">
        <v>603</v>
      </c>
      <c r="D50" s="10" t="str">
        <f>IFERROR(
   INDEX(tbl_ProduitsRef[Cde_Prdt],MATCH(tbl_Ventes[[#This Row],[Produit]],tbl_ProduitsRef[Produit],0)),
   ""
)</f>
        <v>TAJ005</v>
      </c>
      <c r="E50" s="7">
        <v>65</v>
      </c>
      <c r="F50" s="7">
        <f>IFERROR(
   INDEX(tbl_ProduitsRef[Prix Menu],MATCH(tbl_Ventes[[#This Row],[Produit]],tbl_ProduitsRef[Produit],0)),
   ""
)</f>
        <v>105</v>
      </c>
      <c r="G50" s="7">
        <f>tbl_Ventes[[#This Row],[Qté Vendue]] * IFERROR(_xlfn.XLOOKUP(tbl_Ventes[[#This Row],[Cde_Prdt]], tbl_Produits[Cde_Prdt], tbl_Produits[Prix Menu]), 0)</f>
        <v>6825</v>
      </c>
      <c r="H50" s="7">
        <f ca="1">IFERROR(_xlfn.XLOOKUP(tbl_Ventes[[#This Row],[Cde_Prdt]], tbl_Produits[Cde_Prdt], tbl_Produits[Coût Moyen Portion]), 0)</f>
        <v>35.839999999999996</v>
      </c>
      <c r="I50" s="7">
        <f ca="1">tbl_Ventes[[#This Row],[Qté Vendue]] * tbl_Ventes[[#This Row],[CMP_par_portion]]</f>
        <v>2329.6</v>
      </c>
      <c r="J50" s="7">
        <f ca="1">tbl_Ventes[[#This Row],[CA ligne]] - tbl_Ventes[[#This Row],[Coût matière ligne]]</f>
        <v>4495.3999999999996</v>
      </c>
      <c r="K50" s="7" t="str">
        <f>IFERROR(INDEX(tbl_ProduitsRef[Famille], MATCH(tbl_Ventes[[#This Row],[Cde_Prdt]], tbl_Produits[Cde_Prdt], 0)), "")</f>
        <v>Tajines &amp; Coin marocain</v>
      </c>
    </row>
    <row r="51" spans="1:11" x14ac:dyDescent="0.25">
      <c r="A51" s="5">
        <v>45942</v>
      </c>
      <c r="B51" s="63" t="str">
        <f>IFERROR(TEXT(tbl_Ventes[[#This Row],[Date]],"mm-aaaa"),"")</f>
        <v>10-2025</v>
      </c>
      <c r="C51" t="s">
        <v>1277</v>
      </c>
      <c r="D51" s="10" t="str">
        <f>IFERROR(
   INDEX(tbl_ProduitsRef[Cde_Prdt],MATCH(tbl_Ventes[[#This Row],[Produit]],tbl_ProduitsRef[Produit],0)),
   ""
)</f>
        <v>BCH017</v>
      </c>
      <c r="E51" s="7">
        <v>500</v>
      </c>
      <c r="F51" s="7">
        <f>IFERROR(
   INDEX(tbl_ProduitsRef[Prix Menu],MATCH(tbl_Ventes[[#This Row],[Produit]],tbl_ProduitsRef[Produit],0)),
   ""
)</f>
        <v>27</v>
      </c>
      <c r="G51" s="7">
        <f>tbl_Ventes[[#This Row],[Qté Vendue]] * IFERROR(_xlfn.XLOOKUP(tbl_Ventes[[#This Row],[Cde_Prdt]], tbl_Produits[Cde_Prdt], tbl_Produits[Prix Menu]), 0)</f>
        <v>13500</v>
      </c>
      <c r="H51" s="7">
        <f ca="1">IFERROR(_xlfn.XLOOKUP(tbl_Ventes[[#This Row],[Cde_Prdt]], tbl_Produits[Cde_Prdt], tbl_Produits[Coût Moyen Portion]), 0)</f>
        <v>19.36</v>
      </c>
      <c r="I51" s="7">
        <f ca="1">tbl_Ventes[[#This Row],[Qté Vendue]] * tbl_Ventes[[#This Row],[CMP_par_portion]]</f>
        <v>9680</v>
      </c>
      <c r="J51" s="7">
        <f ca="1">tbl_Ventes[[#This Row],[CA ligne]] - tbl_Ventes[[#This Row],[Coût matière ligne]]</f>
        <v>3820</v>
      </c>
      <c r="K51" s="7" t="str">
        <f>IFERROR(INDEX(tbl_ProduitsRef[Famille], MATCH(tbl_Ventes[[#This Row],[Cde_Prdt]], tbl_Produits[Cde_Prdt], 0)), "")</f>
        <v>Boissons chaudes</v>
      </c>
    </row>
    <row r="52" spans="1:11" x14ac:dyDescent="0.25">
      <c r="A52" s="5">
        <v>45943</v>
      </c>
      <c r="B52" s="63" t="str">
        <f>IFERROR(TEXT(tbl_Ventes[[#This Row],[Date]],"mm-aaaa"),"")</f>
        <v>10-2025</v>
      </c>
      <c r="C52" t="s">
        <v>603</v>
      </c>
      <c r="D52" s="10" t="str">
        <f>IFERROR(
   INDEX(tbl_ProduitsRef[Cde_Prdt],MATCH(tbl_Ventes[[#This Row],[Produit]],tbl_ProduitsRef[Produit],0)),
   ""
)</f>
        <v>TAJ005</v>
      </c>
      <c r="E52" s="7">
        <v>47</v>
      </c>
      <c r="F52" s="7">
        <f>IFERROR(
   INDEX(tbl_ProduitsRef[Prix Menu],MATCH(tbl_Ventes[[#This Row],[Produit]],tbl_ProduitsRef[Produit],0)),
   ""
)</f>
        <v>105</v>
      </c>
      <c r="G52" s="7">
        <f>tbl_Ventes[[#This Row],[Qté Vendue]] * IFERROR(_xlfn.XLOOKUP(tbl_Ventes[[#This Row],[Cde_Prdt]], tbl_Produits[Cde_Prdt], tbl_Produits[Prix Menu]), 0)</f>
        <v>4935</v>
      </c>
      <c r="H52" s="7">
        <f ca="1">IFERROR(_xlfn.XLOOKUP(tbl_Ventes[[#This Row],[Cde_Prdt]], tbl_Produits[Cde_Prdt], tbl_Produits[Coût Moyen Portion]), 0)</f>
        <v>35.839999999999996</v>
      </c>
      <c r="I52" s="7">
        <f ca="1">tbl_Ventes[[#This Row],[Qté Vendue]] * tbl_Ventes[[#This Row],[CMP_par_portion]]</f>
        <v>1684.4799999999998</v>
      </c>
      <c r="J52" s="7">
        <f ca="1">tbl_Ventes[[#This Row],[CA ligne]] - tbl_Ventes[[#This Row],[Coût matière ligne]]</f>
        <v>3250.5200000000004</v>
      </c>
      <c r="K52" s="7" t="str">
        <f>IFERROR(INDEX(tbl_ProduitsRef[Famille], MATCH(tbl_Ventes[[#This Row],[Cde_Prdt]], tbl_Produits[Cde_Prdt], 0)), "")</f>
        <v>Tajines &amp; Coin marocain</v>
      </c>
    </row>
    <row r="53" spans="1:11" x14ac:dyDescent="0.25">
      <c r="A53" s="5">
        <v>45944</v>
      </c>
      <c r="B53" s="63" t="str">
        <f>IFERROR(TEXT(tbl_Ventes[[#This Row],[Date]],"mm-aaaa"),"")</f>
        <v>10-2025</v>
      </c>
      <c r="C53" t="s">
        <v>54</v>
      </c>
      <c r="D53" s="10" t="str">
        <f>IFERROR(
   INDEX(tbl_ProduitsRef[Cde_Prdt],MATCH(tbl_Ventes[[#This Row],[Produit]],tbl_ProduitsRef[Produit],0)),
   ""
)</f>
        <v>TAJ008</v>
      </c>
      <c r="E53" s="7">
        <v>63</v>
      </c>
      <c r="F53" s="7">
        <f>IFERROR(
   INDEX(tbl_ProduitsRef[Prix Menu],MATCH(tbl_Ventes[[#This Row],[Produit]],tbl_ProduitsRef[Produit],0)),
   ""
)</f>
        <v>210</v>
      </c>
      <c r="G53" s="7">
        <f>tbl_Ventes[[#This Row],[Qté Vendue]] * IFERROR(_xlfn.XLOOKUP(tbl_Ventes[[#This Row],[Cde_Prdt]], tbl_Produits[Cde_Prdt], tbl_Produits[Prix Menu]), 0)</f>
        <v>13230</v>
      </c>
      <c r="H53" s="7">
        <f ca="1">IFERROR(_xlfn.XLOOKUP(tbl_Ventes[[#This Row],[Cde_Prdt]], tbl_Produits[Cde_Prdt], tbl_Produits[Coût Moyen Portion]), 0)</f>
        <v>73.7</v>
      </c>
      <c r="I53" s="7">
        <f ca="1">tbl_Ventes[[#This Row],[Qté Vendue]] * tbl_Ventes[[#This Row],[CMP_par_portion]]</f>
        <v>4643.1000000000004</v>
      </c>
      <c r="J53" s="7">
        <f ca="1">tbl_Ventes[[#This Row],[CA ligne]] - tbl_Ventes[[#This Row],[Coût matière ligne]]</f>
        <v>8586.9</v>
      </c>
      <c r="K53" s="7" t="str">
        <f>IFERROR(INDEX(tbl_ProduitsRef[Famille], MATCH(tbl_Ventes[[#This Row],[Cde_Prdt]], tbl_Produits[Cde_Prdt], 0)), "")</f>
        <v>Tajines &amp; Coin marocain</v>
      </c>
    </row>
    <row r="54" spans="1:11" x14ac:dyDescent="0.25">
      <c r="A54" s="5">
        <v>45945</v>
      </c>
      <c r="B54" s="63" t="str">
        <f>IFERROR(TEXT(tbl_Ventes[[#This Row],[Date]],"mm-aaaa"),"")</f>
        <v>10-2025</v>
      </c>
      <c r="C54" t="s">
        <v>1021</v>
      </c>
      <c r="D54" s="10" t="str">
        <f>IFERROR(
   INDEX(tbl_ProduitsRef[Cde_Prdt],MATCH(tbl_Ventes[[#This Row],[Produit]],tbl_ProduitsRef[Produit],0)),
   ""
)</f>
        <v>MKS006</v>
      </c>
      <c r="E54" s="7">
        <v>66</v>
      </c>
      <c r="F54" s="7">
        <f>IFERROR(
   INDEX(tbl_ProduitsRef[Prix Menu],MATCH(tbl_Ventes[[#This Row],[Produit]],tbl_ProduitsRef[Produit],0)),
   ""
)</f>
        <v>35</v>
      </c>
      <c r="G54" s="7">
        <f>tbl_Ventes[[#This Row],[Qté Vendue]] * IFERROR(_xlfn.XLOOKUP(tbl_Ventes[[#This Row],[Cde_Prdt]], tbl_Produits[Cde_Prdt], tbl_Produits[Prix Menu]), 0)</f>
        <v>2310</v>
      </c>
      <c r="H54" s="7">
        <f ca="1">IFERROR(_xlfn.XLOOKUP(tbl_Ventes[[#This Row],[Cde_Prdt]], tbl_Produits[Cde_Prdt], tbl_Produits[Coût Moyen Portion]), 0)</f>
        <v>17.3</v>
      </c>
      <c r="I54" s="7">
        <f ca="1">tbl_Ventes[[#This Row],[Qté Vendue]] * tbl_Ventes[[#This Row],[CMP_par_portion]]</f>
        <v>1141.8</v>
      </c>
      <c r="J54" s="7">
        <f ca="1">tbl_Ventes[[#This Row],[CA ligne]] - tbl_Ventes[[#This Row],[Coût matière ligne]]</f>
        <v>1168.2</v>
      </c>
      <c r="K54" s="7" t="str">
        <f>IFERROR(INDEX(tbl_ProduitsRef[Famille], MATCH(tbl_Ventes[[#This Row],[Cde_Prdt]], tbl_Produits[Cde_Prdt], 0)), "")</f>
        <v>Milkshakes</v>
      </c>
    </row>
    <row r="55" spans="1:11" x14ac:dyDescent="0.25">
      <c r="A55" s="5">
        <v>45946</v>
      </c>
      <c r="B55" s="63" t="str">
        <f>IFERROR(TEXT(tbl_Ventes[[#This Row],[Date]],"mm-aaaa"),"")</f>
        <v>10-2025</v>
      </c>
      <c r="C55" t="s">
        <v>464</v>
      </c>
      <c r="D55" s="10" t="str">
        <f>IFERROR(
   INDEX(tbl_ProduitsRef[Cde_Prdt],MATCH(tbl_Ventes[[#This Row],[Produit]],tbl_ProduitsRef[Produit],0)),
   ""
)</f>
        <v>VIA010</v>
      </c>
      <c r="E55" s="7">
        <v>65</v>
      </c>
      <c r="F55" s="7">
        <f>IFERROR(
   INDEX(tbl_ProduitsRef[Prix Menu],MATCH(tbl_Ventes[[#This Row],[Produit]],tbl_ProduitsRef[Produit],0)),
   ""
)</f>
        <v>180</v>
      </c>
      <c r="G55" s="7">
        <f>tbl_Ventes[[#This Row],[Qté Vendue]] * IFERROR(_xlfn.XLOOKUP(tbl_Ventes[[#This Row],[Cde_Prdt]], tbl_Produits[Cde_Prdt], tbl_Produits[Prix Menu]), 0)</f>
        <v>11700</v>
      </c>
      <c r="H55" s="7">
        <f ca="1">IFERROR(_xlfn.XLOOKUP(tbl_Ventes[[#This Row],[Cde_Prdt]], tbl_Produits[Cde_Prdt], tbl_Produits[Coût Moyen Portion]), 0)</f>
        <v>200</v>
      </c>
      <c r="I55" s="7">
        <f ca="1">tbl_Ventes[[#This Row],[Qté Vendue]] * tbl_Ventes[[#This Row],[CMP_par_portion]]</f>
        <v>13000</v>
      </c>
      <c r="J55" s="7">
        <f ca="1">tbl_Ventes[[#This Row],[CA ligne]] - tbl_Ventes[[#This Row],[Coût matière ligne]]</f>
        <v>-1300</v>
      </c>
      <c r="K55" s="7" t="str">
        <f>IFERROR(INDEX(tbl_ProduitsRef[Famille], MATCH(tbl_Ventes[[#This Row],[Cde_Prdt]], tbl_Produits[Cde_Prdt], 0)), "")</f>
        <v>Boucherie</v>
      </c>
    </row>
    <row r="56" spans="1:11" x14ac:dyDescent="0.25">
      <c r="A56" s="5">
        <v>45947</v>
      </c>
      <c r="B56" s="63" t="str">
        <f>IFERROR(TEXT(tbl_Ventes[[#This Row],[Date]],"mm-aaaa"),"")</f>
        <v>10-2025</v>
      </c>
      <c r="C56" t="s">
        <v>449</v>
      </c>
      <c r="D56" s="10" t="str">
        <f>IFERROR(
   INDEX(tbl_ProduitsRef[Cde_Prdt],MATCH(tbl_Ventes[[#This Row],[Produit]],tbl_ProduitsRef[Produit],0)),
   ""
)</f>
        <v>VIA006</v>
      </c>
      <c r="E56" s="7">
        <v>996</v>
      </c>
      <c r="F56" s="7">
        <f>IFERROR(
   INDEX(tbl_ProduitsRef[Prix Menu],MATCH(tbl_Ventes[[#This Row],[Produit]],tbl_ProduitsRef[Produit],0)),
   ""
)</f>
        <v>190</v>
      </c>
      <c r="G56" s="7">
        <f>tbl_Ventes[[#This Row],[Qté Vendue]] * IFERROR(_xlfn.XLOOKUP(tbl_Ventes[[#This Row],[Cde_Prdt]], tbl_Produits[Cde_Prdt], tbl_Produits[Prix Menu]), 0)</f>
        <v>189240</v>
      </c>
      <c r="H56" s="7">
        <f ca="1">IFERROR(_xlfn.XLOOKUP(tbl_Ventes[[#This Row],[Cde_Prdt]], tbl_Produits[Cde_Prdt], tbl_Produits[Coût Moyen Portion]), 0)</f>
        <v>300</v>
      </c>
      <c r="I56" s="7">
        <f ca="1">tbl_Ventes[[#This Row],[Qté Vendue]] * tbl_Ventes[[#This Row],[CMP_par_portion]]</f>
        <v>298800</v>
      </c>
      <c r="J56" s="7">
        <f ca="1">tbl_Ventes[[#This Row],[CA ligne]] - tbl_Ventes[[#This Row],[Coût matière ligne]]</f>
        <v>-109560</v>
      </c>
      <c r="K56" s="7" t="str">
        <f>IFERROR(INDEX(tbl_ProduitsRef[Famille], MATCH(tbl_Ventes[[#This Row],[Cde_Prdt]], tbl_Produits[Cde_Prdt], 0)), "")</f>
        <v>Boucherie</v>
      </c>
    </row>
    <row r="57" spans="1:11" x14ac:dyDescent="0.25">
      <c r="A57" s="5">
        <v>45948</v>
      </c>
      <c r="B57" s="63" t="str">
        <f>IFERROR(TEXT(tbl_Ventes[[#This Row],[Date]],"mm-aaaa"),"")</f>
        <v>10-2025</v>
      </c>
      <c r="C57" t="s">
        <v>81</v>
      </c>
      <c r="D57" s="10" t="str">
        <f>IFERROR(
   INDEX(tbl_ProduitsRef[Cde_Prdt],MATCH(tbl_Ventes[[#This Row],[Produit]],tbl_ProduitsRef[Produit],0)),
   ""
)</f>
        <v>SUP005</v>
      </c>
      <c r="E57" s="7">
        <v>78</v>
      </c>
      <c r="F57" s="7">
        <f>IFERROR(
   INDEX(tbl_ProduitsRef[Prix Menu],MATCH(tbl_Ventes[[#This Row],[Produit]],tbl_ProduitsRef[Produit],0)),
   ""
)</f>
        <v>9</v>
      </c>
      <c r="G57" s="7">
        <f>tbl_Ventes[[#This Row],[Qté Vendue]] * IFERROR(_xlfn.XLOOKUP(tbl_Ventes[[#This Row],[Cde_Prdt]], tbl_Produits[Cde_Prdt], tbl_Produits[Prix Menu]), 0)</f>
        <v>702</v>
      </c>
      <c r="H57" s="7">
        <f ca="1">IFERROR(_xlfn.XLOOKUP(tbl_Ventes[[#This Row],[Cde_Prdt]], tbl_Produits[Cde_Prdt], tbl_Produits[Coût Moyen Portion]), 0)</f>
        <v>7</v>
      </c>
      <c r="I57" s="7">
        <f ca="1">tbl_Ventes[[#This Row],[Qté Vendue]] * tbl_Ventes[[#This Row],[CMP_par_portion]]</f>
        <v>546</v>
      </c>
      <c r="J57" s="7">
        <f ca="1">tbl_Ventes[[#This Row],[CA ligne]] - tbl_Ventes[[#This Row],[Coût matière ligne]]</f>
        <v>156</v>
      </c>
      <c r="K57" s="7" t="str">
        <f>IFERROR(INDEX(tbl_ProduitsRef[Famille], MATCH(tbl_Ventes[[#This Row],[Cde_Prdt]], tbl_Produits[Cde_Prdt], 0)), "")</f>
        <v>Suppléments</v>
      </c>
    </row>
    <row r="58" spans="1:11" x14ac:dyDescent="0.25">
      <c r="A58" s="5">
        <v>45949</v>
      </c>
      <c r="B58" s="63" t="str">
        <f>IFERROR(TEXT(tbl_Ventes[[#This Row],[Date]],"mm-aaaa"),"")</f>
        <v>10-2025</v>
      </c>
      <c r="C58" t="s">
        <v>235</v>
      </c>
      <c r="D58" s="10" t="str">
        <f>IFERROR(
   INDEX(tbl_ProduitsRef[Cde_Prdt],MATCH(tbl_Ventes[[#This Row],[Produit]],tbl_ProduitsRef[Produit],0)),
   ""
)</f>
        <v>PDJ005</v>
      </c>
      <c r="E58" s="7">
        <v>698</v>
      </c>
      <c r="F58" s="7">
        <f>IFERROR(
   INDEX(tbl_ProduitsRef[Prix Menu],MATCH(tbl_Ventes[[#This Row],[Produit]],tbl_ProduitsRef[Produit],0)),
   ""
)</f>
        <v>54</v>
      </c>
      <c r="G58" s="7">
        <f>tbl_Ventes[[#This Row],[Qté Vendue]] * IFERROR(_xlfn.XLOOKUP(tbl_Ventes[[#This Row],[Cde_Prdt]], tbl_Produits[Cde_Prdt], tbl_Produits[Prix Menu]), 0)</f>
        <v>37692</v>
      </c>
      <c r="H58" s="7">
        <f ca="1">IFERROR(_xlfn.XLOOKUP(tbl_Ventes[[#This Row],[Cde_Prdt]], tbl_Produits[Cde_Prdt], tbl_Produits[Coût Moyen Portion]), 0)</f>
        <v>24.5</v>
      </c>
      <c r="I58" s="7">
        <f ca="1">tbl_Ventes[[#This Row],[Qté Vendue]] * tbl_Ventes[[#This Row],[CMP_par_portion]]</f>
        <v>17101</v>
      </c>
      <c r="J58" s="7">
        <f ca="1">tbl_Ventes[[#This Row],[CA ligne]] - tbl_Ventes[[#This Row],[Coût matière ligne]]</f>
        <v>20591</v>
      </c>
      <c r="K58" s="7" t="str">
        <f>IFERROR(INDEX(tbl_ProduitsRef[Famille], MATCH(tbl_Ventes[[#This Row],[Cde_Prdt]], tbl_Produits[Cde_Prdt], 0)), "")</f>
        <v>Petits déjeuners</v>
      </c>
    </row>
    <row r="59" spans="1:11" x14ac:dyDescent="0.25">
      <c r="A59" s="5">
        <v>45950</v>
      </c>
      <c r="B59" s="63" t="str">
        <f>IFERROR(TEXT(tbl_Ventes[[#This Row],[Date]],"mm-aaaa"),"")</f>
        <v>10-2025</v>
      </c>
      <c r="C59" t="s">
        <v>464</v>
      </c>
      <c r="D59" s="10" t="str">
        <f>IFERROR(
   INDEX(tbl_ProduitsRef[Cde_Prdt],MATCH(tbl_Ventes[[#This Row],[Produit]],tbl_ProduitsRef[Produit],0)),
   ""
)</f>
        <v>VIA010</v>
      </c>
      <c r="E59" s="7">
        <v>336</v>
      </c>
      <c r="F59" s="7">
        <f>IFERROR(
   INDEX(tbl_ProduitsRef[Prix Menu],MATCH(tbl_Ventes[[#This Row],[Produit]],tbl_ProduitsRef[Produit],0)),
   ""
)</f>
        <v>180</v>
      </c>
      <c r="G59" s="7">
        <f>tbl_Ventes[[#This Row],[Qté Vendue]] * IFERROR(_xlfn.XLOOKUP(tbl_Ventes[[#This Row],[Cde_Prdt]], tbl_Produits[Cde_Prdt], tbl_Produits[Prix Menu]), 0)</f>
        <v>60480</v>
      </c>
      <c r="H59" s="7">
        <f ca="1">IFERROR(_xlfn.XLOOKUP(tbl_Ventes[[#This Row],[Cde_Prdt]], tbl_Produits[Cde_Prdt], tbl_Produits[Coût Moyen Portion]), 0)</f>
        <v>200</v>
      </c>
      <c r="I59" s="7">
        <f ca="1">tbl_Ventes[[#This Row],[Qté Vendue]] * tbl_Ventes[[#This Row],[CMP_par_portion]]</f>
        <v>67200</v>
      </c>
      <c r="J59" s="7">
        <f ca="1">tbl_Ventes[[#This Row],[CA ligne]] - tbl_Ventes[[#This Row],[Coût matière ligne]]</f>
        <v>-6720</v>
      </c>
      <c r="K59" s="7" t="str">
        <f>IFERROR(INDEX(tbl_ProduitsRef[Famille], MATCH(tbl_Ventes[[#This Row],[Cde_Prdt]], tbl_Produits[Cde_Prdt], 0)), "")</f>
        <v>Boucherie</v>
      </c>
    </row>
    <row r="60" spans="1:11" x14ac:dyDescent="0.25">
      <c r="A60" s="5">
        <v>46016</v>
      </c>
      <c r="B60" s="63" t="str">
        <f>IFERROR(TEXT(tbl_Ventes[[#This Row],[Date]],"mm-aaaa"),"")</f>
        <v>12-2025</v>
      </c>
      <c r="C60" t="s">
        <v>49</v>
      </c>
      <c r="D60" s="10" t="str">
        <f>IFERROR(
   INDEX(tbl_ProduitsRef[Cde_Prdt],MATCH(tbl_Ventes[[#This Row],[Produit]],tbl_ProduitsRef[Produit],0)),
   ""
)</f>
        <v>JUS001</v>
      </c>
      <c r="E60" s="7">
        <v>265</v>
      </c>
      <c r="F60" s="7">
        <f>IFERROR(
   INDEX(tbl_ProduitsRef[Prix Menu],MATCH(tbl_Ventes[[#This Row],[Produit]],tbl_ProduitsRef[Produit],0)),
   ""
)</f>
        <v>23</v>
      </c>
      <c r="G60" s="7">
        <f>tbl_Ventes[[#This Row],[Qté Vendue]] * IFERROR(_xlfn.XLOOKUP(tbl_Ventes[[#This Row],[Cde_Prdt]], tbl_Produits[Cde_Prdt], tbl_Produits[Prix Menu]), 0)</f>
        <v>6095</v>
      </c>
      <c r="H60" s="7">
        <f ca="1">IFERROR(_xlfn.XLOOKUP(tbl_Ventes[[#This Row],[Cde_Prdt]], tbl_Produits[Cde_Prdt], tbl_Produits[Coût Moyen Portion]), 0)</f>
        <v>8</v>
      </c>
      <c r="I60" s="7">
        <f ca="1">tbl_Ventes[[#This Row],[Qté Vendue]] * tbl_Ventes[[#This Row],[CMP_par_portion]]</f>
        <v>2120</v>
      </c>
      <c r="J60" s="7">
        <f ca="1">tbl_Ventes[[#This Row],[CA ligne]] - tbl_Ventes[[#This Row],[Coût matière ligne]]</f>
        <v>3975</v>
      </c>
      <c r="K60" s="7" t="str">
        <f>IFERROR(INDEX(tbl_ProduitsRef[Famille], MATCH(tbl_Ventes[[#This Row],[Cde_Prdt]], tbl_Produits[Cde_Prdt], 0)), "")</f>
        <v>Jus Frais</v>
      </c>
    </row>
    <row r="61" spans="1:11" x14ac:dyDescent="0.25">
      <c r="A61" s="5">
        <v>45942</v>
      </c>
      <c r="B61" s="63" t="str">
        <f>IFERROR(TEXT(tbl_Ventes[[#This Row],[Date]],"mm-aaaa"),"")</f>
        <v>10-2025</v>
      </c>
      <c r="C61" t="s">
        <v>985</v>
      </c>
      <c r="D61" s="10" t="str">
        <f>IFERROR(
   INDEX(tbl_ProduitsRef[Cde_Prdt],MATCH(tbl_Ventes[[#This Row],[Produit]],tbl_ProduitsRef[Produit],0)),
   ""
)</f>
        <v>JUS004</v>
      </c>
      <c r="E61" s="7">
        <v>265</v>
      </c>
      <c r="F61" s="7">
        <f>IFERROR(
   INDEX(tbl_ProduitsRef[Prix Menu],MATCH(tbl_Ventes[[#This Row],[Produit]],tbl_ProduitsRef[Produit],0)),
   ""
)</f>
        <v>29</v>
      </c>
      <c r="G61" s="7">
        <f>tbl_Ventes[[#This Row],[Qté Vendue]] * IFERROR(_xlfn.XLOOKUP(tbl_Ventes[[#This Row],[Cde_Prdt]], tbl_Produits[Cde_Prdt], tbl_Produits[Prix Menu]), 0)</f>
        <v>7685</v>
      </c>
      <c r="H61" s="7">
        <f ca="1">IFERROR(_xlfn.XLOOKUP(tbl_Ventes[[#This Row],[Cde_Prdt]], tbl_Produits[Cde_Prdt], tbl_Produits[Coût Moyen Portion]), 0)</f>
        <v>7.5</v>
      </c>
      <c r="I61" s="7">
        <f ca="1">tbl_Ventes[[#This Row],[Qté Vendue]] * tbl_Ventes[[#This Row],[CMP_par_portion]]</f>
        <v>1987.5</v>
      </c>
      <c r="J61" s="7">
        <f ca="1">tbl_Ventes[[#This Row],[CA ligne]] - tbl_Ventes[[#This Row],[Coût matière ligne]]</f>
        <v>5697.5</v>
      </c>
      <c r="K61" s="7" t="str">
        <f>IFERROR(INDEX(tbl_ProduitsRef[Famille], MATCH(tbl_Ventes[[#This Row],[Cde_Prdt]], tbl_Produits[Cde_Prdt], 0)), "")</f>
        <v>Jus Frais</v>
      </c>
    </row>
    <row r="62" spans="1:11" x14ac:dyDescent="0.25">
      <c r="A62" s="5">
        <v>45943</v>
      </c>
      <c r="B62" s="63" t="str">
        <f>IFERROR(TEXT(tbl_Ventes[[#This Row],[Date]],"mm-aaaa"),"")</f>
        <v>10-2025</v>
      </c>
      <c r="C62" t="s">
        <v>999</v>
      </c>
      <c r="D62" s="10" t="str">
        <f>IFERROR(
   INDEX(tbl_ProduitsRef[Cde_Prdt],MATCH(tbl_Ventes[[#This Row],[Produit]],tbl_ProduitsRef[Produit],0)),
   ""
)</f>
        <v>JUS007</v>
      </c>
      <c r="E62" s="7">
        <v>15</v>
      </c>
      <c r="F62" s="7">
        <f>IFERROR(
   INDEX(tbl_ProduitsRef[Prix Menu],MATCH(tbl_Ventes[[#This Row],[Produit]],tbl_ProduitsRef[Produit],0)),
   ""
)</f>
        <v>25</v>
      </c>
      <c r="G62" s="7">
        <f>tbl_Ventes[[#This Row],[Qté Vendue]] * IFERROR(_xlfn.XLOOKUP(tbl_Ventes[[#This Row],[Cde_Prdt]], tbl_Produits[Cde_Prdt], tbl_Produits[Prix Menu]), 0)</f>
        <v>375</v>
      </c>
      <c r="H62" s="7">
        <f ca="1">IFERROR(_xlfn.XLOOKUP(tbl_Ventes[[#This Row],[Cde_Prdt]], tbl_Produits[Cde_Prdt], tbl_Produits[Coût Moyen Portion]), 0)</f>
        <v>0.03</v>
      </c>
      <c r="I62" s="7">
        <f ca="1">tbl_Ventes[[#This Row],[Qté Vendue]] * tbl_Ventes[[#This Row],[CMP_par_portion]]</f>
        <v>0.44999999999999996</v>
      </c>
      <c r="J62" s="7">
        <f ca="1">tbl_Ventes[[#This Row],[CA ligne]] - tbl_Ventes[[#This Row],[Coût matière ligne]]</f>
        <v>374.55</v>
      </c>
      <c r="K62" s="7" t="str">
        <f>IFERROR(INDEX(tbl_ProduitsRef[Famille], MATCH(tbl_Ventes[[#This Row],[Cde_Prdt]], tbl_Produits[Cde_Prdt], 0)), "")</f>
        <v>Jus Frais</v>
      </c>
    </row>
    <row r="63" spans="1:11" x14ac:dyDescent="0.25">
      <c r="A63" s="5">
        <v>45944</v>
      </c>
      <c r="B63" s="63" t="str">
        <f>IFERROR(TEXT(tbl_Ventes[[#This Row],[Date]],"mm-aaaa"),"")</f>
        <v>10-2025</v>
      </c>
      <c r="C63" t="s">
        <v>603</v>
      </c>
      <c r="D63" s="10" t="str">
        <f>IFERROR(
   INDEX(tbl_ProduitsRef[Cde_Prdt],MATCH(tbl_Ventes[[#This Row],[Produit]],tbl_ProduitsRef[Produit],0)),
   ""
)</f>
        <v>TAJ005</v>
      </c>
      <c r="E63" s="7">
        <v>33</v>
      </c>
      <c r="F63" s="7">
        <f>IFERROR(
   INDEX(tbl_ProduitsRef[Prix Menu],MATCH(tbl_Ventes[[#This Row],[Produit]],tbl_ProduitsRef[Produit],0)),
   ""
)</f>
        <v>105</v>
      </c>
      <c r="G63" s="7">
        <f>tbl_Ventes[[#This Row],[Qté Vendue]] * IFERROR(_xlfn.XLOOKUP(tbl_Ventes[[#This Row],[Cde_Prdt]], tbl_Produits[Cde_Prdt], tbl_Produits[Prix Menu]), 0)</f>
        <v>3465</v>
      </c>
      <c r="H63" s="7">
        <f ca="1">IFERROR(_xlfn.XLOOKUP(tbl_Ventes[[#This Row],[Cde_Prdt]], tbl_Produits[Cde_Prdt], tbl_Produits[Coût Moyen Portion]), 0)</f>
        <v>35.839999999999996</v>
      </c>
      <c r="I63" s="7">
        <f ca="1">tbl_Ventes[[#This Row],[Qté Vendue]] * tbl_Ventes[[#This Row],[CMP_par_portion]]</f>
        <v>1182.7199999999998</v>
      </c>
      <c r="J63" s="7">
        <f ca="1">tbl_Ventes[[#This Row],[CA ligne]] - tbl_Ventes[[#This Row],[Coût matière ligne]]</f>
        <v>2282.2800000000002</v>
      </c>
      <c r="K63" s="7" t="str">
        <f>IFERROR(INDEX(tbl_ProduitsRef[Famille], MATCH(tbl_Ventes[[#This Row],[Cde_Prdt]], tbl_Produits[Cde_Prdt], 0)), "")</f>
        <v>Tajines &amp; Coin marocain</v>
      </c>
    </row>
    <row r="64" spans="1:11" x14ac:dyDescent="0.25">
      <c r="A64" s="5">
        <v>45945</v>
      </c>
      <c r="B64" s="63" t="str">
        <f>IFERROR(TEXT(tbl_Ventes[[#This Row],[Date]],"mm-aaaa"),"")</f>
        <v>10-2025</v>
      </c>
      <c r="C64" t="s">
        <v>54</v>
      </c>
      <c r="D64" s="10" t="str">
        <f>IFERROR(
   INDEX(tbl_ProduitsRef[Cde_Prdt],MATCH(tbl_Ventes[[#This Row],[Produit]],tbl_ProduitsRef[Produit],0)),
   ""
)</f>
        <v>TAJ008</v>
      </c>
      <c r="E64" s="7">
        <v>669</v>
      </c>
      <c r="F64" s="7">
        <f>IFERROR(
   INDEX(tbl_ProduitsRef[Prix Menu],MATCH(tbl_Ventes[[#This Row],[Produit]],tbl_ProduitsRef[Produit],0)),
   ""
)</f>
        <v>210</v>
      </c>
      <c r="G64" s="7">
        <f>tbl_Ventes[[#This Row],[Qté Vendue]] * IFERROR(_xlfn.XLOOKUP(tbl_Ventes[[#This Row],[Cde_Prdt]], tbl_Produits[Cde_Prdt], tbl_Produits[Prix Menu]), 0)</f>
        <v>140490</v>
      </c>
      <c r="H64" s="7">
        <f ca="1">IFERROR(_xlfn.XLOOKUP(tbl_Ventes[[#This Row],[Cde_Prdt]], tbl_Produits[Cde_Prdt], tbl_Produits[Coût Moyen Portion]), 0)</f>
        <v>73.7</v>
      </c>
      <c r="I64" s="7">
        <f ca="1">tbl_Ventes[[#This Row],[Qté Vendue]] * tbl_Ventes[[#This Row],[CMP_par_portion]]</f>
        <v>49305.3</v>
      </c>
      <c r="J64" s="7">
        <f ca="1">tbl_Ventes[[#This Row],[CA ligne]] - tbl_Ventes[[#This Row],[Coût matière ligne]]</f>
        <v>91184.7</v>
      </c>
      <c r="K64" s="7" t="str">
        <f>IFERROR(INDEX(tbl_ProduitsRef[Famille], MATCH(tbl_Ventes[[#This Row],[Cde_Prdt]], tbl_Produits[Cde_Prdt], 0)), "")</f>
        <v>Tajines &amp; Coin marocain</v>
      </c>
    </row>
    <row r="65" spans="1:11" x14ac:dyDescent="0.25">
      <c r="A65" s="5">
        <v>45946</v>
      </c>
      <c r="B65" s="63" t="str">
        <f>IFERROR(TEXT(tbl_Ventes[[#This Row],[Date]],"mm-aaaa"),"")</f>
        <v>10-2025</v>
      </c>
      <c r="C65" t="s">
        <v>1021</v>
      </c>
      <c r="D65" s="10" t="str">
        <f>IFERROR(
   INDEX(tbl_ProduitsRef[Cde_Prdt],MATCH(tbl_Ventes[[#This Row],[Produit]],tbl_ProduitsRef[Produit],0)),
   ""
)</f>
        <v>MKS006</v>
      </c>
      <c r="E65" s="7">
        <v>69</v>
      </c>
      <c r="F65" s="7">
        <f>IFERROR(
   INDEX(tbl_ProduitsRef[Prix Menu],MATCH(tbl_Ventes[[#This Row],[Produit]],tbl_ProduitsRef[Produit],0)),
   ""
)</f>
        <v>35</v>
      </c>
      <c r="G65" s="7">
        <f>tbl_Ventes[[#This Row],[Qté Vendue]] * IFERROR(_xlfn.XLOOKUP(tbl_Ventes[[#This Row],[Cde_Prdt]], tbl_Produits[Cde_Prdt], tbl_Produits[Prix Menu]), 0)</f>
        <v>2415</v>
      </c>
      <c r="H65" s="7">
        <f ca="1">IFERROR(_xlfn.XLOOKUP(tbl_Ventes[[#This Row],[Cde_Prdt]], tbl_Produits[Cde_Prdt], tbl_Produits[Coût Moyen Portion]), 0)</f>
        <v>17.3</v>
      </c>
      <c r="I65" s="7">
        <f ca="1">tbl_Ventes[[#This Row],[Qté Vendue]] * tbl_Ventes[[#This Row],[CMP_par_portion]]</f>
        <v>1193.7</v>
      </c>
      <c r="J65" s="7">
        <f ca="1">tbl_Ventes[[#This Row],[CA ligne]] - tbl_Ventes[[#This Row],[Coût matière ligne]]</f>
        <v>1221.3</v>
      </c>
      <c r="K65" s="7" t="str">
        <f>IFERROR(INDEX(tbl_ProduitsRef[Famille], MATCH(tbl_Ventes[[#This Row],[Cde_Prdt]], tbl_Produits[Cde_Prdt], 0)), "")</f>
        <v>Milkshakes</v>
      </c>
    </row>
    <row r="66" spans="1:11" x14ac:dyDescent="0.25">
      <c r="A66" s="5">
        <v>45947</v>
      </c>
      <c r="B66" s="63" t="str">
        <f>IFERROR(TEXT(tbl_Ventes[[#This Row],[Date]],"mm-aaaa"),"")</f>
        <v>10-2025</v>
      </c>
      <c r="C66" t="s">
        <v>464</v>
      </c>
      <c r="D66" s="10" t="str">
        <f>IFERROR(
   INDEX(tbl_ProduitsRef[Cde_Prdt],MATCH(tbl_Ventes[[#This Row],[Produit]],tbl_ProduitsRef[Produit],0)),
   ""
)</f>
        <v>VIA010</v>
      </c>
      <c r="E66" s="7">
        <v>56</v>
      </c>
      <c r="F66" s="7">
        <f>IFERROR(
   INDEX(tbl_ProduitsRef[Prix Menu],MATCH(tbl_Ventes[[#This Row],[Produit]],tbl_ProduitsRef[Produit],0)),
   ""
)</f>
        <v>180</v>
      </c>
      <c r="G66" s="7">
        <f>tbl_Ventes[[#This Row],[Qté Vendue]] * IFERROR(_xlfn.XLOOKUP(tbl_Ventes[[#This Row],[Cde_Prdt]], tbl_Produits[Cde_Prdt], tbl_Produits[Prix Menu]), 0)</f>
        <v>10080</v>
      </c>
      <c r="H66" s="7">
        <f ca="1">IFERROR(_xlfn.XLOOKUP(tbl_Ventes[[#This Row],[Cde_Prdt]], tbl_Produits[Cde_Prdt], tbl_Produits[Coût Moyen Portion]), 0)</f>
        <v>200</v>
      </c>
      <c r="I66" s="7">
        <f ca="1">tbl_Ventes[[#This Row],[Qté Vendue]] * tbl_Ventes[[#This Row],[CMP_par_portion]]</f>
        <v>11200</v>
      </c>
      <c r="J66" s="7">
        <f ca="1">tbl_Ventes[[#This Row],[CA ligne]] - tbl_Ventes[[#This Row],[Coût matière ligne]]</f>
        <v>-1120</v>
      </c>
      <c r="K66" s="7" t="str">
        <f>IFERROR(INDEX(tbl_ProduitsRef[Famille], MATCH(tbl_Ventes[[#This Row],[Cde_Prdt]], tbl_Produits[Cde_Prdt], 0)), "")</f>
        <v>Boucherie</v>
      </c>
    </row>
    <row r="67" spans="1:11" x14ac:dyDescent="0.25">
      <c r="A67" s="5">
        <v>45948</v>
      </c>
      <c r="B67" s="63" t="str">
        <f>IFERROR(TEXT(tbl_Ventes[[#This Row],[Date]],"mm-aaaa"),"")</f>
        <v>10-2025</v>
      </c>
      <c r="C67" t="s">
        <v>449</v>
      </c>
      <c r="D67" s="10" t="str">
        <f>IFERROR(
   INDEX(tbl_ProduitsRef[Cde_Prdt],MATCH(tbl_Ventes[[#This Row],[Produit]],tbl_ProduitsRef[Produit],0)),
   ""
)</f>
        <v>VIA006</v>
      </c>
      <c r="E67" s="7">
        <v>568</v>
      </c>
      <c r="F67" s="7">
        <f>IFERROR(
   INDEX(tbl_ProduitsRef[Prix Menu],MATCH(tbl_Ventes[[#This Row],[Produit]],tbl_ProduitsRef[Produit],0)),
   ""
)</f>
        <v>190</v>
      </c>
      <c r="G67" s="7">
        <f>tbl_Ventes[[#This Row],[Qté Vendue]] * IFERROR(_xlfn.XLOOKUP(tbl_Ventes[[#This Row],[Cde_Prdt]], tbl_Produits[Cde_Prdt], tbl_Produits[Prix Menu]), 0)</f>
        <v>107920</v>
      </c>
      <c r="H67" s="7">
        <f ca="1">IFERROR(_xlfn.XLOOKUP(tbl_Ventes[[#This Row],[Cde_Prdt]], tbl_Produits[Cde_Prdt], tbl_Produits[Coût Moyen Portion]), 0)</f>
        <v>300</v>
      </c>
      <c r="I67" s="7">
        <f ca="1">tbl_Ventes[[#This Row],[Qté Vendue]] * tbl_Ventes[[#This Row],[CMP_par_portion]]</f>
        <v>170400</v>
      </c>
      <c r="J67" s="7">
        <f ca="1">tbl_Ventes[[#This Row],[CA ligne]] - tbl_Ventes[[#This Row],[Coût matière ligne]]</f>
        <v>-62480</v>
      </c>
      <c r="K67" s="7" t="str">
        <f>IFERROR(INDEX(tbl_ProduitsRef[Famille], MATCH(tbl_Ventes[[#This Row],[Cde_Prdt]], tbl_Produits[Cde_Prdt], 0)), "")</f>
        <v>Boucherie</v>
      </c>
    </row>
    <row r="68" spans="1:11" x14ac:dyDescent="0.25">
      <c r="A68" s="5">
        <v>45949</v>
      </c>
      <c r="B68" s="63" t="str">
        <f>IFERROR(TEXT(tbl_Ventes[[#This Row],[Date]],"mm-aaaa"),"")</f>
        <v>10-2025</v>
      </c>
      <c r="C68" t="s">
        <v>81</v>
      </c>
      <c r="D68" s="10" t="str">
        <f>IFERROR(
   INDEX(tbl_ProduitsRef[Cde_Prdt],MATCH(tbl_Ventes[[#This Row],[Produit]],tbl_ProduitsRef[Produit],0)),
   ""
)</f>
        <v>SUP005</v>
      </c>
      <c r="E68" s="7">
        <v>4</v>
      </c>
      <c r="F68" s="7">
        <f>IFERROR(
   INDEX(tbl_ProduitsRef[Prix Menu],MATCH(tbl_Ventes[[#This Row],[Produit]],tbl_ProduitsRef[Produit],0)),
   ""
)</f>
        <v>9</v>
      </c>
      <c r="G68" s="7">
        <f>tbl_Ventes[[#This Row],[Qté Vendue]] * IFERROR(_xlfn.XLOOKUP(tbl_Ventes[[#This Row],[Cde_Prdt]], tbl_Produits[Cde_Prdt], tbl_Produits[Prix Menu]), 0)</f>
        <v>36</v>
      </c>
      <c r="H68" s="7">
        <f ca="1">IFERROR(_xlfn.XLOOKUP(tbl_Ventes[[#This Row],[Cde_Prdt]], tbl_Produits[Cde_Prdt], tbl_Produits[Coût Moyen Portion]), 0)</f>
        <v>7</v>
      </c>
      <c r="I68" s="7">
        <f ca="1">tbl_Ventes[[#This Row],[Qté Vendue]] * tbl_Ventes[[#This Row],[CMP_par_portion]]</f>
        <v>28</v>
      </c>
      <c r="J68" s="7">
        <f ca="1">tbl_Ventes[[#This Row],[CA ligne]] - tbl_Ventes[[#This Row],[Coût matière ligne]]</f>
        <v>8</v>
      </c>
      <c r="K68" s="7" t="str">
        <f>IFERROR(INDEX(tbl_ProduitsRef[Famille], MATCH(tbl_Ventes[[#This Row],[Cde_Prdt]], tbl_Produits[Cde_Prdt], 0)), "")</f>
        <v>Suppléments</v>
      </c>
    </row>
    <row r="69" spans="1:11" x14ac:dyDescent="0.25">
      <c r="A69" s="5">
        <v>45950</v>
      </c>
      <c r="B69" s="63" t="str">
        <f>IFERROR(TEXT(tbl_Ventes[[#This Row],[Date]],"mm-aaaa"),"")</f>
        <v>10-2025</v>
      </c>
      <c r="C69" t="s">
        <v>322</v>
      </c>
      <c r="D69" s="10" t="str">
        <f>IFERROR(
   INDEX(tbl_ProduitsRef[Cde_Prdt],MATCH(tbl_Ventes[[#This Row],[Produit]],tbl_ProduitsRef[Produit],0)),
   ""
)</f>
        <v>OND001</v>
      </c>
      <c r="E69" s="7">
        <v>325</v>
      </c>
      <c r="F69" s="7">
        <f>IFERROR(
   INDEX(tbl_ProduitsRef[Prix Menu],MATCH(tbl_Ventes[[#This Row],[Produit]],tbl_ProduitsRef[Produit],0)),
   ""
)</f>
        <v>28</v>
      </c>
      <c r="G69" s="7">
        <f>tbl_Ventes[[#This Row],[Qté Vendue]] * IFERROR(_xlfn.XLOOKUP(tbl_Ventes[[#This Row],[Cde_Prdt]], tbl_Produits[Cde_Prdt], tbl_Produits[Prix Menu]), 0)</f>
        <v>9100</v>
      </c>
      <c r="H69" s="7">
        <f ca="1">IFERROR(_xlfn.XLOOKUP(tbl_Ventes[[#This Row],[Cde_Prdt]], tbl_Produits[Cde_Prdt], tbl_Produits[Coût Moyen Portion]), 0)</f>
        <v>37.199999999999996</v>
      </c>
      <c r="I69" s="7">
        <f ca="1">tbl_Ventes[[#This Row],[Qté Vendue]] * tbl_Ventes[[#This Row],[CMP_par_portion]]</f>
        <v>12089.999999999998</v>
      </c>
      <c r="J69" s="7">
        <f ca="1">tbl_Ventes[[#This Row],[CA ligne]] - tbl_Ventes[[#This Row],[Coût matière ligne]]</f>
        <v>-2989.9999999999982</v>
      </c>
      <c r="K69" s="7" t="str">
        <f>IFERROR(INDEX(tbl_ProduitsRef[Famille], MATCH(tbl_Ventes[[#This Row],[Cde_Prdt]], tbl_Produits[Cde_Prdt], 0)), "")</f>
        <v>à la carte</v>
      </c>
    </row>
    <row r="70" spans="1:11" x14ac:dyDescent="0.25">
      <c r="A70" s="5">
        <v>46016</v>
      </c>
      <c r="B70" s="63" t="str">
        <f>IFERROR(TEXT(tbl_Ventes[[#This Row],[Date]],"mm-aaaa"),"")</f>
        <v>12-2025</v>
      </c>
      <c r="C70" t="s">
        <v>333</v>
      </c>
      <c r="D70" s="10" t="str">
        <f>IFERROR(
   INDEX(tbl_ProduitsRef[Cde_Prdt],MATCH(tbl_Ventes[[#This Row],[Produit]],tbl_ProduitsRef[Produit],0)),
   ""
)</f>
        <v>SUP002</v>
      </c>
      <c r="E70" s="7">
        <v>150</v>
      </c>
      <c r="F70" s="7">
        <f>IFERROR(
   INDEX(tbl_ProduitsRef[Prix Menu],MATCH(tbl_Ventes[[#This Row],[Produit]],tbl_ProduitsRef[Produit],0)),
   ""
)</f>
        <v>12</v>
      </c>
      <c r="G70" s="7">
        <f>tbl_Ventes[[#This Row],[Qté Vendue]] * IFERROR(_xlfn.XLOOKUP(tbl_Ventes[[#This Row],[Cde_Prdt]], tbl_Produits[Cde_Prdt], tbl_Produits[Prix Menu]), 0)</f>
        <v>1800</v>
      </c>
      <c r="H70" s="7">
        <f ca="1">IFERROR(_xlfn.XLOOKUP(tbl_Ventes[[#This Row],[Cde_Prdt]], tbl_Produits[Cde_Prdt], tbl_Produits[Coût Moyen Portion]), 0)</f>
        <v>60</v>
      </c>
      <c r="I70" s="7">
        <f ca="1">tbl_Ventes[[#This Row],[Qté Vendue]] * tbl_Ventes[[#This Row],[CMP_par_portion]]</f>
        <v>9000</v>
      </c>
      <c r="J70" s="7">
        <f ca="1">tbl_Ventes[[#This Row],[CA ligne]] - tbl_Ventes[[#This Row],[Coût matière ligne]]</f>
        <v>-7200</v>
      </c>
      <c r="K70" s="7" t="str">
        <f>IFERROR(INDEX(tbl_ProduitsRef[Famille], MATCH(tbl_Ventes[[#This Row],[Cde_Prdt]], tbl_Produits[Cde_Prdt], 0)), "")</f>
        <v>Suppléments</v>
      </c>
    </row>
    <row r="71" spans="1:11" x14ac:dyDescent="0.25">
      <c r="A71" s="5"/>
      <c r="B71" s="63" t="str">
        <f>IFERROR(TEXT(tbl_Ventes[[#This Row],[Date]],"mm-aaaa"),"")</f>
        <v>01-1900</v>
      </c>
      <c r="D71" s="10" t="str">
        <f>IFERROR(
   INDEX(tbl_ProduitsRef[Cde_Prdt],MATCH(tbl_Ventes[[#This Row],[Produit]],tbl_ProduitsRef[Produit],0)),
   ""
)</f>
        <v/>
      </c>
      <c r="E71" s="7">
        <v>0</v>
      </c>
      <c r="F71" s="7" t="str">
        <f>IFERROR(
   INDEX(tbl_ProduitsRef[Prix Menu],MATCH(tbl_Ventes[[#This Row],[Produit]],tbl_ProduitsRef[Produit],0)),
   ""
)</f>
        <v/>
      </c>
      <c r="G71" s="7">
        <f>tbl_Ventes[[#This Row],[Qté Vendue]] * IFERROR(_xlfn.XLOOKUP(tbl_Ventes[[#This Row],[Cde_Prdt]], tbl_Produits[Cde_Prdt], tbl_Produits[Prix Menu]), 0)</f>
        <v>0</v>
      </c>
      <c r="H71" s="7">
        <f>IFERROR(_xlfn.XLOOKUP(tbl_Ventes[[#This Row],[Cde_Prdt]], tbl_Produits[Cde_Prdt], tbl_Produits[Coût Moyen Portion]), 0)</f>
        <v>0</v>
      </c>
      <c r="I71" s="7">
        <f>tbl_Ventes[[#This Row],[Qté Vendue]] * tbl_Ventes[[#This Row],[CMP_par_portion]]</f>
        <v>0</v>
      </c>
      <c r="J71" s="7">
        <f>tbl_Ventes[[#This Row],[CA ligne]] - tbl_Ventes[[#This Row],[Coût matière ligne]]</f>
        <v>0</v>
      </c>
      <c r="K71" s="7" t="str">
        <f>IFERROR(INDEX(tbl_ProduitsRef[Famille], MATCH(tbl_Ventes[[#This Row],[Cde_Prdt]], tbl_Produits[Cde_Prdt], 0)), "")</f>
        <v/>
      </c>
    </row>
    <row r="72" spans="1:11" x14ac:dyDescent="0.25">
      <c r="A72" s="5"/>
      <c r="B72" s="63" t="str">
        <f>IFERROR(TEXT(tbl_Ventes[[#This Row],[Date]],"mm-aaaa"),"")</f>
        <v>01-1900</v>
      </c>
      <c r="D72" s="10" t="str">
        <f>IFERROR(
   INDEX(tbl_ProduitsRef[Cde_Prdt],MATCH(tbl_Ventes[[#This Row],[Produit]],tbl_ProduitsRef[Produit],0)),
   ""
)</f>
        <v/>
      </c>
      <c r="E72" s="7">
        <v>0</v>
      </c>
      <c r="F72" s="7" t="str">
        <f>IFERROR(
   INDEX(tbl_ProduitsRef[Prix Menu],MATCH(tbl_Ventes[[#This Row],[Produit]],tbl_ProduitsRef[Produit],0)),
   ""
)</f>
        <v/>
      </c>
      <c r="G72" s="7">
        <f>tbl_Ventes[[#This Row],[Qté Vendue]] * IFERROR(_xlfn.XLOOKUP(tbl_Ventes[[#This Row],[Cde_Prdt]], tbl_Produits[Cde_Prdt], tbl_Produits[Prix Menu]), 0)</f>
        <v>0</v>
      </c>
      <c r="H72" s="7">
        <f>IFERROR(_xlfn.XLOOKUP(tbl_Ventes[[#This Row],[Cde_Prdt]], tbl_Produits[Cde_Prdt], tbl_Produits[Coût Moyen Portion]), 0)</f>
        <v>0</v>
      </c>
      <c r="I72" s="7">
        <f>tbl_Ventes[[#This Row],[Qté Vendue]] * tbl_Ventes[[#This Row],[CMP_par_portion]]</f>
        <v>0</v>
      </c>
      <c r="J72" s="7">
        <f>tbl_Ventes[[#This Row],[CA ligne]] - tbl_Ventes[[#This Row],[Coût matière ligne]]</f>
        <v>0</v>
      </c>
      <c r="K72" s="7" t="str">
        <f>IFERROR(INDEX(tbl_ProduitsRef[Famille], MATCH(tbl_Ventes[[#This Row],[Cde_Prdt]], tbl_Produits[Cde_Prdt], 0)), "")</f>
        <v/>
      </c>
    </row>
    <row r="73" spans="1:11" x14ac:dyDescent="0.25">
      <c r="A73" s="5"/>
      <c r="B73" s="63" t="str">
        <f>IFERROR(TEXT(tbl_Ventes[[#This Row],[Date]],"mm-aaaa"),"")</f>
        <v>01-1900</v>
      </c>
      <c r="D73" s="10" t="str">
        <f>IFERROR(
   INDEX(tbl_ProduitsRef[Cde_Prdt],MATCH(tbl_Ventes[[#This Row],[Produit]],tbl_ProduitsRef[Produit],0)),
   ""
)</f>
        <v/>
      </c>
      <c r="E73" s="7">
        <v>0</v>
      </c>
      <c r="F73" s="7" t="str">
        <f>IFERROR(
   INDEX(tbl_ProduitsRef[Prix Menu],MATCH(tbl_Ventes[[#This Row],[Produit]],tbl_ProduitsRef[Produit],0)),
   ""
)</f>
        <v/>
      </c>
      <c r="G73" s="7">
        <f>tbl_Ventes[[#This Row],[Qté Vendue]] * IFERROR(_xlfn.XLOOKUP(tbl_Ventes[[#This Row],[Cde_Prdt]], tbl_Produits[Cde_Prdt], tbl_Produits[Prix Menu]), 0)</f>
        <v>0</v>
      </c>
      <c r="H73" s="7">
        <f>IFERROR(_xlfn.XLOOKUP(tbl_Ventes[[#This Row],[Cde_Prdt]], tbl_Produits[Cde_Prdt], tbl_Produits[Coût Moyen Portion]), 0)</f>
        <v>0</v>
      </c>
      <c r="I73" s="7">
        <f>tbl_Ventes[[#This Row],[Qté Vendue]] * tbl_Ventes[[#This Row],[CMP_par_portion]]</f>
        <v>0</v>
      </c>
      <c r="J73" s="7">
        <f>tbl_Ventes[[#This Row],[CA ligne]] - tbl_Ventes[[#This Row],[Coût matière ligne]]</f>
        <v>0</v>
      </c>
      <c r="K73" s="7" t="str">
        <f>IFERROR(INDEX(tbl_ProduitsRef[Famille], MATCH(tbl_Ventes[[#This Row],[Cde_Prdt]], tbl_Produits[Cde_Prdt], 0)), "")</f>
        <v/>
      </c>
    </row>
    <row r="74" spans="1:11" x14ac:dyDescent="0.25">
      <c r="A74" s="5"/>
      <c r="B74" s="63" t="str">
        <f>IFERROR(TEXT(tbl_Ventes[[#This Row],[Date]],"mm-aaaa"),"")</f>
        <v>01-1900</v>
      </c>
      <c r="D74" s="10" t="str">
        <f>IFERROR(
   INDEX(tbl_ProduitsRef[Cde_Prdt],MATCH(tbl_Ventes[[#This Row],[Produit]],tbl_ProduitsRef[Produit],0)),
   ""
)</f>
        <v/>
      </c>
      <c r="E74" s="7">
        <v>0</v>
      </c>
      <c r="F74" s="7" t="str">
        <f>IFERROR(
   INDEX(tbl_ProduitsRef[Prix Menu],MATCH(tbl_Ventes[[#This Row],[Produit]],tbl_ProduitsRef[Produit],0)),
   ""
)</f>
        <v/>
      </c>
      <c r="G74" s="7">
        <f>tbl_Ventes[[#This Row],[Qté Vendue]] * IFERROR(_xlfn.XLOOKUP(tbl_Ventes[[#This Row],[Cde_Prdt]], tbl_Produits[Cde_Prdt], tbl_Produits[Prix Menu]), 0)</f>
        <v>0</v>
      </c>
      <c r="H74" s="7">
        <f>IFERROR(_xlfn.XLOOKUP(tbl_Ventes[[#This Row],[Cde_Prdt]], tbl_Produits[Cde_Prdt], tbl_Produits[Coût Moyen Portion]), 0)</f>
        <v>0</v>
      </c>
      <c r="I74" s="7">
        <f>tbl_Ventes[[#This Row],[Qté Vendue]] * tbl_Ventes[[#This Row],[CMP_par_portion]]</f>
        <v>0</v>
      </c>
      <c r="J74" s="7">
        <f>tbl_Ventes[[#This Row],[CA ligne]] - tbl_Ventes[[#This Row],[Coût matière ligne]]</f>
        <v>0</v>
      </c>
      <c r="K74" s="7" t="str">
        <f>IFERROR(INDEX(tbl_ProduitsRef[Famille], MATCH(tbl_Ventes[[#This Row],[Cde_Prdt]], tbl_Produits[Cde_Prdt], 0)), "")</f>
        <v/>
      </c>
    </row>
    <row r="75" spans="1:11" x14ac:dyDescent="0.25">
      <c r="A75" s="5"/>
      <c r="B75" s="63" t="str">
        <f>IFERROR(TEXT(tbl_Ventes[[#This Row],[Date]],"mm-aaaa"),"")</f>
        <v>01-1900</v>
      </c>
      <c r="D75" s="10" t="str">
        <f>IFERROR(
   INDEX(tbl_ProduitsRef[Cde_Prdt],MATCH(tbl_Ventes[[#This Row],[Produit]],tbl_ProduitsRef[Produit],0)),
   ""
)</f>
        <v/>
      </c>
      <c r="E75" s="7">
        <v>0</v>
      </c>
      <c r="F75" s="7" t="str">
        <f>IFERROR(
   INDEX(tbl_ProduitsRef[Prix Menu],MATCH(tbl_Ventes[[#This Row],[Produit]],tbl_ProduitsRef[Produit],0)),
   ""
)</f>
        <v/>
      </c>
      <c r="G75" s="7">
        <f>tbl_Ventes[[#This Row],[Qté Vendue]] * IFERROR(_xlfn.XLOOKUP(tbl_Ventes[[#This Row],[Cde_Prdt]], tbl_Produits[Cde_Prdt], tbl_Produits[Prix Menu]), 0)</f>
        <v>0</v>
      </c>
      <c r="H75" s="7">
        <f>IFERROR(_xlfn.XLOOKUP(tbl_Ventes[[#This Row],[Cde_Prdt]], tbl_Produits[Cde_Prdt], tbl_Produits[Coût Moyen Portion]), 0)</f>
        <v>0</v>
      </c>
      <c r="I75" s="7">
        <f>tbl_Ventes[[#This Row],[Qté Vendue]] * tbl_Ventes[[#This Row],[CMP_par_portion]]</f>
        <v>0</v>
      </c>
      <c r="J75" s="7">
        <f>tbl_Ventes[[#This Row],[CA ligne]] - tbl_Ventes[[#This Row],[Coût matière ligne]]</f>
        <v>0</v>
      </c>
      <c r="K75" s="7" t="str">
        <f>IFERROR(INDEX(tbl_ProduitsRef[Famille], MATCH(tbl_Ventes[[#This Row],[Cde_Prdt]], tbl_Produits[Cde_Prdt], 0)), "")</f>
        <v/>
      </c>
    </row>
    <row r="76" spans="1:11" x14ac:dyDescent="0.25">
      <c r="A76" s="5"/>
      <c r="B76" s="63" t="str">
        <f>IFERROR(TEXT(tbl_Ventes[[#This Row],[Date]],"mm-aaaa"),"")</f>
        <v>01-1900</v>
      </c>
      <c r="D76" s="10" t="str">
        <f>IFERROR(
   INDEX(tbl_ProduitsRef[Cde_Prdt],MATCH(tbl_Ventes[[#This Row],[Produit]],tbl_ProduitsRef[Produit],0)),
   ""
)</f>
        <v/>
      </c>
      <c r="E76" s="7">
        <v>0</v>
      </c>
      <c r="F76" s="7" t="str">
        <f>IFERROR(
   INDEX(tbl_ProduitsRef[Prix Menu],MATCH(tbl_Ventes[[#This Row],[Produit]],tbl_ProduitsRef[Produit],0)),
   ""
)</f>
        <v/>
      </c>
      <c r="G76" s="7">
        <f>tbl_Ventes[[#This Row],[Qté Vendue]] * IFERROR(_xlfn.XLOOKUP(tbl_Ventes[[#This Row],[Cde_Prdt]], tbl_Produits[Cde_Prdt], tbl_Produits[Prix Menu]), 0)</f>
        <v>0</v>
      </c>
      <c r="H76" s="7">
        <f>IFERROR(_xlfn.XLOOKUP(tbl_Ventes[[#This Row],[Cde_Prdt]], tbl_Produits[Cde_Prdt], tbl_Produits[Coût Moyen Portion]), 0)</f>
        <v>0</v>
      </c>
      <c r="I76" s="7">
        <f>tbl_Ventes[[#This Row],[Qté Vendue]] * tbl_Ventes[[#This Row],[CMP_par_portion]]</f>
        <v>0</v>
      </c>
      <c r="J76" s="7">
        <f>tbl_Ventes[[#This Row],[CA ligne]] - tbl_Ventes[[#This Row],[Coût matière ligne]]</f>
        <v>0</v>
      </c>
      <c r="K76" s="7" t="str">
        <f>IFERROR(INDEX(tbl_ProduitsRef[Famille], MATCH(tbl_Ventes[[#This Row],[Cde_Prdt]], tbl_Produits[Cde_Prdt], 0)), "")</f>
        <v/>
      </c>
    </row>
    <row r="77" spans="1:11" x14ac:dyDescent="0.25">
      <c r="A77" s="5"/>
      <c r="B77" s="63" t="str">
        <f>IFERROR(TEXT(tbl_Ventes[[#This Row],[Date]],"mm-aaaa"),"")</f>
        <v>01-1900</v>
      </c>
      <c r="D77" s="10" t="str">
        <f>IFERROR(
   INDEX(tbl_ProduitsRef[Cde_Prdt],MATCH(tbl_Ventes[[#This Row],[Produit]],tbl_ProduitsRef[Produit],0)),
   ""
)</f>
        <v/>
      </c>
      <c r="E77" s="7">
        <v>0</v>
      </c>
      <c r="F77" s="7" t="str">
        <f>IFERROR(
   INDEX(tbl_ProduitsRef[Prix Menu],MATCH(tbl_Ventes[[#This Row],[Produit]],tbl_ProduitsRef[Produit],0)),
   ""
)</f>
        <v/>
      </c>
      <c r="G77" s="7">
        <f>tbl_Ventes[[#This Row],[Qté Vendue]] * IFERROR(_xlfn.XLOOKUP(tbl_Ventes[[#This Row],[Cde_Prdt]], tbl_Produits[Cde_Prdt], tbl_Produits[Prix Menu]), 0)</f>
        <v>0</v>
      </c>
      <c r="H77" s="7">
        <f>IFERROR(_xlfn.XLOOKUP(tbl_Ventes[[#This Row],[Cde_Prdt]], tbl_Produits[Cde_Prdt], tbl_Produits[Coût Moyen Portion]), 0)</f>
        <v>0</v>
      </c>
      <c r="I77" s="7">
        <f>tbl_Ventes[[#This Row],[Qté Vendue]] * tbl_Ventes[[#This Row],[CMP_par_portion]]</f>
        <v>0</v>
      </c>
      <c r="J77" s="7">
        <f>tbl_Ventes[[#This Row],[CA ligne]] - tbl_Ventes[[#This Row],[Coût matière ligne]]</f>
        <v>0</v>
      </c>
      <c r="K77" s="7" t="str">
        <f>IFERROR(INDEX(tbl_ProduitsRef[Famille], MATCH(tbl_Ventes[[#This Row],[Cde_Prdt]], tbl_Produits[Cde_Prdt], 0)), "")</f>
        <v/>
      </c>
    </row>
    <row r="78" spans="1:11" x14ac:dyDescent="0.25">
      <c r="A78" s="5"/>
      <c r="B78" s="63" t="str">
        <f>IFERROR(TEXT(tbl_Ventes[[#This Row],[Date]],"mm-aaaa"),"")</f>
        <v>01-1900</v>
      </c>
      <c r="D78" s="10" t="str">
        <f>IFERROR(
   INDEX(tbl_ProduitsRef[Cde_Prdt],MATCH(tbl_Ventes[[#This Row],[Produit]],tbl_ProduitsRef[Produit],0)),
   ""
)</f>
        <v/>
      </c>
      <c r="E78" s="7">
        <v>0</v>
      </c>
      <c r="F78" s="7" t="str">
        <f>IFERROR(
   INDEX(tbl_ProduitsRef[Prix Menu],MATCH(tbl_Ventes[[#This Row],[Produit]],tbl_ProduitsRef[Produit],0)),
   ""
)</f>
        <v/>
      </c>
      <c r="G78" s="7">
        <f>tbl_Ventes[[#This Row],[Qté Vendue]] * IFERROR(_xlfn.XLOOKUP(tbl_Ventes[[#This Row],[Cde_Prdt]], tbl_Produits[Cde_Prdt], tbl_Produits[Prix Menu]), 0)</f>
        <v>0</v>
      </c>
      <c r="H78" s="7">
        <f>IFERROR(_xlfn.XLOOKUP(tbl_Ventes[[#This Row],[Cde_Prdt]], tbl_Produits[Cde_Prdt], tbl_Produits[Coût Moyen Portion]), 0)</f>
        <v>0</v>
      </c>
      <c r="I78" s="7">
        <f>tbl_Ventes[[#This Row],[Qté Vendue]] * tbl_Ventes[[#This Row],[CMP_par_portion]]</f>
        <v>0</v>
      </c>
      <c r="J78" s="7">
        <f>tbl_Ventes[[#This Row],[CA ligne]] - tbl_Ventes[[#This Row],[Coût matière ligne]]</f>
        <v>0</v>
      </c>
      <c r="K78" s="7" t="str">
        <f>IFERROR(INDEX(tbl_ProduitsRef[Famille], MATCH(tbl_Ventes[[#This Row],[Cde_Prdt]], tbl_Produits[Cde_Prdt], 0)), "")</f>
        <v/>
      </c>
    </row>
    <row r="79" spans="1:11" x14ac:dyDescent="0.25">
      <c r="A79" s="5"/>
      <c r="B79" s="63" t="str">
        <f>IFERROR(TEXT(tbl_Ventes[[#This Row],[Date]],"mm-aaaa"),"")</f>
        <v>01-1900</v>
      </c>
      <c r="D79" s="10" t="str">
        <f>IFERROR(
   INDEX(tbl_ProduitsRef[Cde_Prdt],MATCH(tbl_Ventes[[#This Row],[Produit]],tbl_ProduitsRef[Produit],0)),
   ""
)</f>
        <v/>
      </c>
      <c r="E79" s="7">
        <v>0</v>
      </c>
      <c r="F79" s="7" t="str">
        <f>IFERROR(
   INDEX(tbl_ProduitsRef[Prix Menu],MATCH(tbl_Ventes[[#This Row],[Produit]],tbl_ProduitsRef[Produit],0)),
   ""
)</f>
        <v/>
      </c>
      <c r="G79" s="7">
        <f>tbl_Ventes[[#This Row],[Qté Vendue]] * IFERROR(_xlfn.XLOOKUP(tbl_Ventes[[#This Row],[Cde_Prdt]], tbl_Produits[Cde_Prdt], tbl_Produits[Prix Menu]), 0)</f>
        <v>0</v>
      </c>
      <c r="H79" s="7">
        <f>IFERROR(_xlfn.XLOOKUP(tbl_Ventes[[#This Row],[Cde_Prdt]], tbl_Produits[Cde_Prdt], tbl_Produits[Coût Moyen Portion]), 0)</f>
        <v>0</v>
      </c>
      <c r="I79" s="7">
        <f>tbl_Ventes[[#This Row],[Qté Vendue]] * tbl_Ventes[[#This Row],[CMP_par_portion]]</f>
        <v>0</v>
      </c>
      <c r="J79" s="7">
        <f>tbl_Ventes[[#This Row],[CA ligne]] - tbl_Ventes[[#This Row],[Coût matière ligne]]</f>
        <v>0</v>
      </c>
      <c r="K79" s="7" t="str">
        <f>IFERROR(INDEX(tbl_ProduitsRef[Famille], MATCH(tbl_Ventes[[#This Row],[Cde_Prdt]], tbl_Produits[Cde_Prdt], 0)), "")</f>
        <v/>
      </c>
    </row>
    <row r="80" spans="1:11" x14ac:dyDescent="0.25">
      <c r="A80" s="5"/>
      <c r="B80" s="63" t="str">
        <f>IFERROR(TEXT(tbl_Ventes[[#This Row],[Date]],"mm-aaaa"),"")</f>
        <v>01-1900</v>
      </c>
      <c r="D80" s="10" t="str">
        <f>IFERROR(
   INDEX(tbl_ProduitsRef[Cde_Prdt],MATCH(tbl_Ventes[[#This Row],[Produit]],tbl_ProduitsRef[Produit],0)),
   ""
)</f>
        <v/>
      </c>
      <c r="E80" s="7">
        <v>0</v>
      </c>
      <c r="F80" s="7" t="str">
        <f>IFERROR(
   INDEX(tbl_ProduitsRef[Prix Menu],MATCH(tbl_Ventes[[#This Row],[Produit]],tbl_ProduitsRef[Produit],0)),
   ""
)</f>
        <v/>
      </c>
      <c r="G80" s="7">
        <f>tbl_Ventes[[#This Row],[Qté Vendue]] * IFERROR(_xlfn.XLOOKUP(tbl_Ventes[[#This Row],[Cde_Prdt]], tbl_Produits[Cde_Prdt], tbl_Produits[Prix Menu]), 0)</f>
        <v>0</v>
      </c>
      <c r="H80" s="7">
        <f>IFERROR(_xlfn.XLOOKUP(tbl_Ventes[[#This Row],[Cde_Prdt]], tbl_Produits[Cde_Prdt], tbl_Produits[Coût Moyen Portion]), 0)</f>
        <v>0</v>
      </c>
      <c r="I80" s="7">
        <f>tbl_Ventes[[#This Row],[Qté Vendue]] * tbl_Ventes[[#This Row],[CMP_par_portion]]</f>
        <v>0</v>
      </c>
      <c r="J80" s="7">
        <f>tbl_Ventes[[#This Row],[CA ligne]] - tbl_Ventes[[#This Row],[Coût matière ligne]]</f>
        <v>0</v>
      </c>
      <c r="K80" s="7" t="str">
        <f>IFERROR(INDEX(tbl_ProduitsRef[Famille], MATCH(tbl_Ventes[[#This Row],[Cde_Prdt]], tbl_Produits[Cde_Prdt], 0)), "")</f>
        <v/>
      </c>
    </row>
    <row r="81" spans="1:11" x14ac:dyDescent="0.25">
      <c r="A81" s="5"/>
      <c r="B81" s="63" t="str">
        <f>IFERROR(TEXT(tbl_Ventes[[#This Row],[Date]],"mm-aaaa"),"")</f>
        <v>01-1900</v>
      </c>
      <c r="D81" s="10" t="str">
        <f>IFERROR(
   INDEX(tbl_ProduitsRef[Cde_Prdt],MATCH(tbl_Ventes[[#This Row],[Produit]],tbl_ProduitsRef[Produit],0)),
   ""
)</f>
        <v/>
      </c>
      <c r="E81" s="7">
        <v>0</v>
      </c>
      <c r="F81" s="7" t="str">
        <f>IFERROR(
   INDEX(tbl_ProduitsRef[Prix Menu],MATCH(tbl_Ventes[[#This Row],[Produit]],tbl_ProduitsRef[Produit],0)),
   ""
)</f>
        <v/>
      </c>
      <c r="G81" s="7">
        <f>tbl_Ventes[[#This Row],[Qté Vendue]] * IFERROR(_xlfn.XLOOKUP(tbl_Ventes[[#This Row],[Cde_Prdt]], tbl_Produits[Cde_Prdt], tbl_Produits[Prix Menu]), 0)</f>
        <v>0</v>
      </c>
      <c r="H81" s="7">
        <f>IFERROR(_xlfn.XLOOKUP(tbl_Ventes[[#This Row],[Cde_Prdt]], tbl_Produits[Cde_Prdt], tbl_Produits[Coût Moyen Portion]), 0)</f>
        <v>0</v>
      </c>
      <c r="I81" s="7">
        <f>tbl_Ventes[[#This Row],[Qté Vendue]] * tbl_Ventes[[#This Row],[CMP_par_portion]]</f>
        <v>0</v>
      </c>
      <c r="J81" s="7">
        <f>tbl_Ventes[[#This Row],[CA ligne]] - tbl_Ventes[[#This Row],[Coût matière ligne]]</f>
        <v>0</v>
      </c>
      <c r="K81" s="7" t="str">
        <f>IFERROR(INDEX(tbl_ProduitsRef[Famille], MATCH(tbl_Ventes[[#This Row],[Cde_Prdt]], tbl_Produits[Cde_Prdt], 0)), "")</f>
        <v/>
      </c>
    </row>
    <row r="82" spans="1:11" x14ac:dyDescent="0.25">
      <c r="A82" s="5"/>
      <c r="B82" s="63" t="str">
        <f>IFERROR(TEXT(tbl_Ventes[[#This Row],[Date]],"mm-aaaa"),"")</f>
        <v>01-1900</v>
      </c>
      <c r="D82" s="10" t="str">
        <f>IFERROR(
   INDEX(tbl_ProduitsRef[Cde_Prdt],MATCH(tbl_Ventes[[#This Row],[Produit]],tbl_ProduitsRef[Produit],0)),
   ""
)</f>
        <v/>
      </c>
      <c r="E82" s="7">
        <v>0</v>
      </c>
      <c r="F82" s="7" t="str">
        <f>IFERROR(
   INDEX(tbl_ProduitsRef[Prix Menu],MATCH(tbl_Ventes[[#This Row],[Produit]],tbl_ProduitsRef[Produit],0)),
   ""
)</f>
        <v/>
      </c>
      <c r="G82" s="7">
        <f>tbl_Ventes[[#This Row],[Qté Vendue]] * IFERROR(_xlfn.XLOOKUP(tbl_Ventes[[#This Row],[Cde_Prdt]], tbl_Produits[Cde_Prdt], tbl_Produits[Prix Menu]), 0)</f>
        <v>0</v>
      </c>
      <c r="H82" s="7">
        <f>IFERROR(_xlfn.XLOOKUP(tbl_Ventes[[#This Row],[Cde_Prdt]], tbl_Produits[Cde_Prdt], tbl_Produits[Coût Moyen Portion]), 0)</f>
        <v>0</v>
      </c>
      <c r="I82" s="7">
        <f>tbl_Ventes[[#This Row],[Qté Vendue]] * tbl_Ventes[[#This Row],[CMP_par_portion]]</f>
        <v>0</v>
      </c>
      <c r="J82" s="7">
        <f>tbl_Ventes[[#This Row],[CA ligne]] - tbl_Ventes[[#This Row],[Coût matière ligne]]</f>
        <v>0</v>
      </c>
      <c r="K82" s="7" t="str">
        <f>IFERROR(INDEX(tbl_ProduitsRef[Famille], MATCH(tbl_Ventes[[#This Row],[Cde_Prdt]], tbl_Produits[Cde_Prdt], 0)), "")</f>
        <v/>
      </c>
    </row>
    <row r="83" spans="1:11" x14ac:dyDescent="0.25">
      <c r="A83" s="5"/>
      <c r="B83" s="63" t="str">
        <f>IFERROR(TEXT(tbl_Ventes[[#This Row],[Date]],"mm-aaaa"),"")</f>
        <v>01-1900</v>
      </c>
      <c r="D83" s="10" t="str">
        <f>IFERROR(
   INDEX(tbl_ProduitsRef[Cde_Prdt],MATCH(tbl_Ventes[[#This Row],[Produit]],tbl_ProduitsRef[Produit],0)),
   ""
)</f>
        <v/>
      </c>
      <c r="E83" s="7">
        <v>0</v>
      </c>
      <c r="F83" s="7" t="str">
        <f>IFERROR(
   INDEX(tbl_ProduitsRef[Prix Menu],MATCH(tbl_Ventes[[#This Row],[Produit]],tbl_ProduitsRef[Produit],0)),
   ""
)</f>
        <v/>
      </c>
      <c r="G83" s="7">
        <f>tbl_Ventes[[#This Row],[Qté Vendue]] * IFERROR(_xlfn.XLOOKUP(tbl_Ventes[[#This Row],[Cde_Prdt]], tbl_Produits[Cde_Prdt], tbl_Produits[Prix Menu]), 0)</f>
        <v>0</v>
      </c>
      <c r="H83" s="7">
        <f>IFERROR(_xlfn.XLOOKUP(tbl_Ventes[[#This Row],[Cde_Prdt]], tbl_Produits[Cde_Prdt], tbl_Produits[Coût Moyen Portion]), 0)</f>
        <v>0</v>
      </c>
      <c r="I83" s="7">
        <f>tbl_Ventes[[#This Row],[Qté Vendue]] * tbl_Ventes[[#This Row],[CMP_par_portion]]</f>
        <v>0</v>
      </c>
      <c r="J83" s="7">
        <f>tbl_Ventes[[#This Row],[CA ligne]] - tbl_Ventes[[#This Row],[Coût matière ligne]]</f>
        <v>0</v>
      </c>
      <c r="K83" s="7" t="str">
        <f>IFERROR(INDEX(tbl_ProduitsRef[Famille], MATCH(tbl_Ventes[[#This Row],[Cde_Prdt]], tbl_Produits[Cde_Prdt], 0)), "")</f>
        <v/>
      </c>
    </row>
    <row r="84" spans="1:11" x14ac:dyDescent="0.25">
      <c r="A84" s="5"/>
      <c r="B84" s="63" t="str">
        <f>IFERROR(TEXT(tbl_Ventes[[#This Row],[Date]],"mm-aaaa"),"")</f>
        <v>01-1900</v>
      </c>
      <c r="D84" s="10" t="str">
        <f>IFERROR(
   INDEX(tbl_ProduitsRef[Cde_Prdt],MATCH(tbl_Ventes[[#This Row],[Produit]],tbl_ProduitsRef[Produit],0)),
   ""
)</f>
        <v/>
      </c>
      <c r="E84" s="7">
        <v>0</v>
      </c>
      <c r="F84" s="7" t="str">
        <f>IFERROR(
   INDEX(tbl_ProduitsRef[Prix Menu],MATCH(tbl_Ventes[[#This Row],[Produit]],tbl_ProduitsRef[Produit],0)),
   ""
)</f>
        <v/>
      </c>
      <c r="G84" s="7">
        <f>tbl_Ventes[[#This Row],[Qté Vendue]] * IFERROR(_xlfn.XLOOKUP(tbl_Ventes[[#This Row],[Cde_Prdt]], tbl_Produits[Cde_Prdt], tbl_Produits[Prix Menu]), 0)</f>
        <v>0</v>
      </c>
      <c r="H84" s="7">
        <f>IFERROR(_xlfn.XLOOKUP(tbl_Ventes[[#This Row],[Cde_Prdt]], tbl_Produits[Cde_Prdt], tbl_Produits[Coût Moyen Portion]), 0)</f>
        <v>0</v>
      </c>
      <c r="I84" s="7">
        <f>tbl_Ventes[[#This Row],[Qté Vendue]] * tbl_Ventes[[#This Row],[CMP_par_portion]]</f>
        <v>0</v>
      </c>
      <c r="J84" s="7">
        <f>tbl_Ventes[[#This Row],[CA ligne]] - tbl_Ventes[[#This Row],[Coût matière ligne]]</f>
        <v>0</v>
      </c>
      <c r="K84" s="7" t="str">
        <f>IFERROR(INDEX(tbl_ProduitsRef[Famille], MATCH(tbl_Ventes[[#This Row],[Cde_Prdt]], tbl_Produits[Cde_Prdt], 0)), "")</f>
        <v/>
      </c>
    </row>
    <row r="85" spans="1:11" x14ac:dyDescent="0.25">
      <c r="A85" s="5"/>
      <c r="B85" s="63" t="str">
        <f>IFERROR(TEXT(tbl_Ventes[[#This Row],[Date]],"mm-aaaa"),"")</f>
        <v>01-1900</v>
      </c>
      <c r="D85" s="10" t="str">
        <f>IFERROR(
   INDEX(tbl_ProduitsRef[Cde_Prdt],MATCH(tbl_Ventes[[#This Row],[Produit]],tbl_ProduitsRef[Produit],0)),
   ""
)</f>
        <v/>
      </c>
      <c r="E85" s="7">
        <v>0</v>
      </c>
      <c r="F85" s="7" t="str">
        <f>IFERROR(
   INDEX(tbl_ProduitsRef[Prix Menu],MATCH(tbl_Ventes[[#This Row],[Produit]],tbl_ProduitsRef[Produit],0)),
   ""
)</f>
        <v/>
      </c>
      <c r="G85" s="7">
        <f>tbl_Ventes[[#This Row],[Qté Vendue]] * IFERROR(_xlfn.XLOOKUP(tbl_Ventes[[#This Row],[Cde_Prdt]], tbl_Produits[Cde_Prdt], tbl_Produits[Prix Menu]), 0)</f>
        <v>0</v>
      </c>
      <c r="H85" s="7">
        <f>IFERROR(_xlfn.XLOOKUP(tbl_Ventes[[#This Row],[Cde_Prdt]], tbl_Produits[Cde_Prdt], tbl_Produits[Coût Moyen Portion]), 0)</f>
        <v>0</v>
      </c>
      <c r="I85" s="7">
        <f>tbl_Ventes[[#This Row],[Qté Vendue]] * tbl_Ventes[[#This Row],[CMP_par_portion]]</f>
        <v>0</v>
      </c>
      <c r="J85" s="7">
        <f>tbl_Ventes[[#This Row],[CA ligne]] - tbl_Ventes[[#This Row],[Coût matière ligne]]</f>
        <v>0</v>
      </c>
      <c r="K85" s="7" t="str">
        <f>IFERROR(INDEX(tbl_ProduitsRef[Famille], MATCH(tbl_Ventes[[#This Row],[Cde_Prdt]], tbl_Produits[Cde_Prdt], 0)), "")</f>
        <v/>
      </c>
    </row>
    <row r="86" spans="1:11" x14ac:dyDescent="0.25">
      <c r="A86" s="5"/>
      <c r="B86" s="63" t="str">
        <f>IFERROR(TEXT(tbl_Ventes[[#This Row],[Date]],"mm-aaaa"),"")</f>
        <v>01-1900</v>
      </c>
      <c r="D86" s="10" t="str">
        <f>IFERROR(
   INDEX(tbl_ProduitsRef[Cde_Prdt],MATCH(tbl_Ventes[[#This Row],[Produit]],tbl_ProduitsRef[Produit],0)),
   ""
)</f>
        <v/>
      </c>
      <c r="E86" s="7">
        <v>0</v>
      </c>
      <c r="F86" s="7" t="str">
        <f>IFERROR(
   INDEX(tbl_ProduitsRef[Prix Menu],MATCH(tbl_Ventes[[#This Row],[Produit]],tbl_ProduitsRef[Produit],0)),
   ""
)</f>
        <v/>
      </c>
      <c r="G86" s="7">
        <f>tbl_Ventes[[#This Row],[Qté Vendue]] * IFERROR(_xlfn.XLOOKUP(tbl_Ventes[[#This Row],[Cde_Prdt]], tbl_Produits[Cde_Prdt], tbl_Produits[Prix Menu]), 0)</f>
        <v>0</v>
      </c>
      <c r="H86" s="7">
        <f>IFERROR(_xlfn.XLOOKUP(tbl_Ventes[[#This Row],[Cde_Prdt]], tbl_Produits[Cde_Prdt], tbl_Produits[Coût Moyen Portion]), 0)</f>
        <v>0</v>
      </c>
      <c r="I86" s="7">
        <f>tbl_Ventes[[#This Row],[Qté Vendue]] * tbl_Ventes[[#This Row],[CMP_par_portion]]</f>
        <v>0</v>
      </c>
      <c r="J86" s="7">
        <f>tbl_Ventes[[#This Row],[CA ligne]] - tbl_Ventes[[#This Row],[Coût matière ligne]]</f>
        <v>0</v>
      </c>
      <c r="K86" s="7" t="str">
        <f>IFERROR(INDEX(tbl_ProduitsRef[Famille], MATCH(tbl_Ventes[[#This Row],[Cde_Prdt]], tbl_Produits[Cde_Prdt], 0)), "")</f>
        <v/>
      </c>
    </row>
    <row r="87" spans="1:11" x14ac:dyDescent="0.25">
      <c r="A87" s="5"/>
      <c r="B87" s="63" t="str">
        <f>IFERROR(TEXT(tbl_Ventes[[#This Row],[Date]],"mm-aaaa"),"")</f>
        <v>01-1900</v>
      </c>
      <c r="D87" s="10" t="str">
        <f>IFERROR(
   INDEX(tbl_ProduitsRef[Cde_Prdt],MATCH(tbl_Ventes[[#This Row],[Produit]],tbl_ProduitsRef[Produit],0)),
   ""
)</f>
        <v/>
      </c>
      <c r="E87" s="7">
        <v>0</v>
      </c>
      <c r="F87" s="7" t="str">
        <f>IFERROR(
   INDEX(tbl_ProduitsRef[Prix Menu],MATCH(tbl_Ventes[[#This Row],[Produit]],tbl_ProduitsRef[Produit],0)),
   ""
)</f>
        <v/>
      </c>
      <c r="G87" s="7">
        <f>tbl_Ventes[[#This Row],[Qté Vendue]] * IFERROR(_xlfn.XLOOKUP(tbl_Ventes[[#This Row],[Cde_Prdt]], tbl_Produits[Cde_Prdt], tbl_Produits[Prix Menu]), 0)</f>
        <v>0</v>
      </c>
      <c r="H87" s="7">
        <f>IFERROR(_xlfn.XLOOKUP(tbl_Ventes[[#This Row],[Cde_Prdt]], tbl_Produits[Cde_Prdt], tbl_Produits[Coût Moyen Portion]), 0)</f>
        <v>0</v>
      </c>
      <c r="I87" s="7">
        <f>tbl_Ventes[[#This Row],[Qté Vendue]] * tbl_Ventes[[#This Row],[CMP_par_portion]]</f>
        <v>0</v>
      </c>
      <c r="J87" s="7">
        <f>tbl_Ventes[[#This Row],[CA ligne]] - tbl_Ventes[[#This Row],[Coût matière ligne]]</f>
        <v>0</v>
      </c>
      <c r="K87" s="7" t="str">
        <f>IFERROR(INDEX(tbl_ProduitsRef[Famille], MATCH(tbl_Ventes[[#This Row],[Cde_Prdt]], tbl_Produits[Cde_Prdt], 0)), "")</f>
        <v/>
      </c>
    </row>
    <row r="88" spans="1:11" x14ac:dyDescent="0.25">
      <c r="A88" s="5"/>
      <c r="B88" s="63" t="str">
        <f>IFERROR(TEXT(tbl_Ventes[[#This Row],[Date]],"mm-aaaa"),"")</f>
        <v>01-1900</v>
      </c>
      <c r="D88" s="10" t="str">
        <f>IFERROR(
   INDEX(tbl_ProduitsRef[Cde_Prdt],MATCH(tbl_Ventes[[#This Row],[Produit]],tbl_ProduitsRef[Produit],0)),
   ""
)</f>
        <v/>
      </c>
      <c r="E88" s="7">
        <v>0</v>
      </c>
      <c r="F88" s="7" t="str">
        <f>IFERROR(
   INDEX(tbl_ProduitsRef[Prix Menu],MATCH(tbl_Ventes[[#This Row],[Produit]],tbl_ProduitsRef[Produit],0)),
   ""
)</f>
        <v/>
      </c>
      <c r="G88" s="7">
        <f>tbl_Ventes[[#This Row],[Qté Vendue]] * IFERROR(_xlfn.XLOOKUP(tbl_Ventes[[#This Row],[Cde_Prdt]], tbl_Produits[Cde_Prdt], tbl_Produits[Prix Menu]), 0)</f>
        <v>0</v>
      </c>
      <c r="H88" s="7">
        <f>IFERROR(_xlfn.XLOOKUP(tbl_Ventes[[#This Row],[Cde_Prdt]], tbl_Produits[Cde_Prdt], tbl_Produits[Coût Moyen Portion]), 0)</f>
        <v>0</v>
      </c>
      <c r="I88" s="7">
        <f>tbl_Ventes[[#This Row],[Qté Vendue]] * tbl_Ventes[[#This Row],[CMP_par_portion]]</f>
        <v>0</v>
      </c>
      <c r="J88" s="7">
        <f>tbl_Ventes[[#This Row],[CA ligne]] - tbl_Ventes[[#This Row],[Coût matière ligne]]</f>
        <v>0</v>
      </c>
      <c r="K88" s="7" t="str">
        <f>IFERROR(INDEX(tbl_ProduitsRef[Famille], MATCH(tbl_Ventes[[#This Row],[Cde_Prdt]], tbl_Produits[Cde_Prdt], 0)), "")</f>
        <v/>
      </c>
    </row>
    <row r="89" spans="1:11" x14ac:dyDescent="0.25">
      <c r="A89" s="5"/>
      <c r="B89" s="63" t="str">
        <f>IFERROR(TEXT(tbl_Ventes[[#This Row],[Date]],"mm-aaaa"),"")</f>
        <v>01-1900</v>
      </c>
      <c r="D89" s="10" t="str">
        <f>IFERROR(
   INDEX(tbl_ProduitsRef[Cde_Prdt],MATCH(tbl_Ventes[[#This Row],[Produit]],tbl_ProduitsRef[Produit],0)),
   ""
)</f>
        <v/>
      </c>
      <c r="E89" s="7">
        <v>0</v>
      </c>
      <c r="F89" s="7" t="str">
        <f>IFERROR(
   INDEX(tbl_ProduitsRef[Prix Menu],MATCH(tbl_Ventes[[#This Row],[Produit]],tbl_ProduitsRef[Produit],0)),
   ""
)</f>
        <v/>
      </c>
      <c r="G89" s="7">
        <f>tbl_Ventes[[#This Row],[Qté Vendue]] * IFERROR(_xlfn.XLOOKUP(tbl_Ventes[[#This Row],[Cde_Prdt]], tbl_Produits[Cde_Prdt], tbl_Produits[Prix Menu]), 0)</f>
        <v>0</v>
      </c>
      <c r="H89" s="7">
        <f>IFERROR(_xlfn.XLOOKUP(tbl_Ventes[[#This Row],[Cde_Prdt]], tbl_Produits[Cde_Prdt], tbl_Produits[Coût Moyen Portion]), 0)</f>
        <v>0</v>
      </c>
      <c r="I89" s="7">
        <f>tbl_Ventes[[#This Row],[Qté Vendue]] * tbl_Ventes[[#This Row],[CMP_par_portion]]</f>
        <v>0</v>
      </c>
      <c r="J89" s="7">
        <f>tbl_Ventes[[#This Row],[CA ligne]] - tbl_Ventes[[#This Row],[Coût matière ligne]]</f>
        <v>0</v>
      </c>
      <c r="K89" s="7" t="str">
        <f>IFERROR(INDEX(tbl_ProduitsRef[Famille], MATCH(tbl_Ventes[[#This Row],[Cde_Prdt]], tbl_Produits[Cde_Prdt], 0)), "")</f>
        <v/>
      </c>
    </row>
    <row r="90" spans="1:11" x14ac:dyDescent="0.25">
      <c r="A90" s="5"/>
      <c r="B90" s="63" t="str">
        <f>IFERROR(TEXT(tbl_Ventes[[#This Row],[Date]],"mm-aaaa"),"")</f>
        <v>01-1900</v>
      </c>
      <c r="D90" s="10" t="str">
        <f>IFERROR(
   INDEX(tbl_ProduitsRef[Cde_Prdt],MATCH(tbl_Ventes[[#This Row],[Produit]],tbl_ProduitsRef[Produit],0)),
   ""
)</f>
        <v/>
      </c>
      <c r="E90" s="7">
        <v>0</v>
      </c>
      <c r="F90" s="7" t="str">
        <f>IFERROR(
   INDEX(tbl_ProduitsRef[Prix Menu],MATCH(tbl_Ventes[[#This Row],[Produit]],tbl_ProduitsRef[Produit],0)),
   ""
)</f>
        <v/>
      </c>
      <c r="G90" s="7">
        <f>tbl_Ventes[[#This Row],[Qté Vendue]] * IFERROR(_xlfn.XLOOKUP(tbl_Ventes[[#This Row],[Cde_Prdt]], tbl_Produits[Cde_Prdt], tbl_Produits[Prix Menu]), 0)</f>
        <v>0</v>
      </c>
      <c r="H90" s="7">
        <f>IFERROR(_xlfn.XLOOKUP(tbl_Ventes[[#This Row],[Cde_Prdt]], tbl_Produits[Cde_Prdt], tbl_Produits[Coût Moyen Portion]), 0)</f>
        <v>0</v>
      </c>
      <c r="I90" s="7">
        <f>tbl_Ventes[[#This Row],[Qté Vendue]] * tbl_Ventes[[#This Row],[CMP_par_portion]]</f>
        <v>0</v>
      </c>
      <c r="J90" s="7">
        <f>tbl_Ventes[[#This Row],[CA ligne]] - tbl_Ventes[[#This Row],[Coût matière ligne]]</f>
        <v>0</v>
      </c>
      <c r="K90" s="7" t="str">
        <f>IFERROR(INDEX(tbl_ProduitsRef[Famille], MATCH(tbl_Ventes[[#This Row],[Cde_Prdt]], tbl_Produits[Cde_Prdt], 0)), "")</f>
        <v/>
      </c>
    </row>
    <row r="91" spans="1:11" x14ac:dyDescent="0.25">
      <c r="A91" s="5"/>
      <c r="B91" s="63" t="str">
        <f>IFERROR(TEXT(tbl_Ventes[[#This Row],[Date]],"mm-aaaa"),"")</f>
        <v>01-1900</v>
      </c>
      <c r="D91" s="10" t="str">
        <f>IFERROR(
   INDEX(tbl_ProduitsRef[Cde_Prdt],MATCH(tbl_Ventes[[#This Row],[Produit]],tbl_ProduitsRef[Produit],0)),
   ""
)</f>
        <v/>
      </c>
      <c r="E91" s="7">
        <v>0</v>
      </c>
      <c r="F91" s="7" t="str">
        <f>IFERROR(
   INDEX(tbl_ProduitsRef[Prix Menu],MATCH(tbl_Ventes[[#This Row],[Produit]],tbl_ProduitsRef[Produit],0)),
   ""
)</f>
        <v/>
      </c>
      <c r="G91" s="7">
        <f>tbl_Ventes[[#This Row],[Qté Vendue]] * IFERROR(_xlfn.XLOOKUP(tbl_Ventes[[#This Row],[Cde_Prdt]], tbl_Produits[Cde_Prdt], tbl_Produits[Prix Menu]), 0)</f>
        <v>0</v>
      </c>
      <c r="H91" s="7">
        <f>IFERROR(_xlfn.XLOOKUP(tbl_Ventes[[#This Row],[Cde_Prdt]], tbl_Produits[Cde_Prdt], tbl_Produits[Coût Moyen Portion]), 0)</f>
        <v>0</v>
      </c>
      <c r="I91" s="7">
        <f>tbl_Ventes[[#This Row],[Qté Vendue]] * tbl_Ventes[[#This Row],[CMP_par_portion]]</f>
        <v>0</v>
      </c>
      <c r="J91" s="7">
        <f>tbl_Ventes[[#This Row],[CA ligne]] - tbl_Ventes[[#This Row],[Coût matière ligne]]</f>
        <v>0</v>
      </c>
      <c r="K91" s="7" t="str">
        <f>IFERROR(INDEX(tbl_ProduitsRef[Famille], MATCH(tbl_Ventes[[#This Row],[Cde_Prdt]], tbl_Produits[Cde_Prdt], 0)), "")</f>
        <v/>
      </c>
    </row>
    <row r="92" spans="1:11" x14ac:dyDescent="0.25">
      <c r="A92" s="5"/>
      <c r="B92" s="63" t="str">
        <f>IFERROR(TEXT(tbl_Ventes[[#This Row],[Date]],"mm-aaaa"),"")</f>
        <v>01-1900</v>
      </c>
      <c r="D92" s="10" t="str">
        <f>IFERROR(
   INDEX(tbl_ProduitsRef[Cde_Prdt],MATCH(tbl_Ventes[[#This Row],[Produit]],tbl_ProduitsRef[Produit],0)),
   ""
)</f>
        <v/>
      </c>
      <c r="E92" s="7">
        <v>0</v>
      </c>
      <c r="F92" s="7" t="str">
        <f>IFERROR(
   INDEX(tbl_ProduitsRef[Prix Menu],MATCH(tbl_Ventes[[#This Row],[Produit]],tbl_ProduitsRef[Produit],0)),
   ""
)</f>
        <v/>
      </c>
      <c r="G92" s="7">
        <f>tbl_Ventes[[#This Row],[Qté Vendue]] * IFERROR(_xlfn.XLOOKUP(tbl_Ventes[[#This Row],[Cde_Prdt]], tbl_Produits[Cde_Prdt], tbl_Produits[Prix Menu]), 0)</f>
        <v>0</v>
      </c>
      <c r="H92" s="7">
        <f>IFERROR(_xlfn.XLOOKUP(tbl_Ventes[[#This Row],[Cde_Prdt]], tbl_Produits[Cde_Prdt], tbl_Produits[Coût Moyen Portion]), 0)</f>
        <v>0</v>
      </c>
      <c r="I92" s="7">
        <f>tbl_Ventes[[#This Row],[Qté Vendue]] * tbl_Ventes[[#This Row],[CMP_par_portion]]</f>
        <v>0</v>
      </c>
      <c r="J92" s="7">
        <f>tbl_Ventes[[#This Row],[CA ligne]] - tbl_Ventes[[#This Row],[Coût matière ligne]]</f>
        <v>0</v>
      </c>
      <c r="K92" s="7" t="str">
        <f>IFERROR(INDEX(tbl_ProduitsRef[Famille], MATCH(tbl_Ventes[[#This Row],[Cde_Prdt]], tbl_Produits[Cde_Prdt], 0)), "")</f>
        <v/>
      </c>
    </row>
    <row r="93" spans="1:11" x14ac:dyDescent="0.25">
      <c r="A93" s="5"/>
      <c r="B93" s="63" t="str">
        <f>IFERROR(TEXT(tbl_Ventes[[#This Row],[Date]],"mm-aaaa"),"")</f>
        <v>01-1900</v>
      </c>
      <c r="D93" s="10" t="str">
        <f>IFERROR(
   INDEX(tbl_ProduitsRef[Cde_Prdt],MATCH(tbl_Ventes[[#This Row],[Produit]],tbl_ProduitsRef[Produit],0)),
   ""
)</f>
        <v/>
      </c>
      <c r="E93" s="7">
        <v>0</v>
      </c>
      <c r="F93" s="7" t="str">
        <f>IFERROR(
   INDEX(tbl_ProduitsRef[Prix Menu],MATCH(tbl_Ventes[[#This Row],[Produit]],tbl_ProduitsRef[Produit],0)),
   ""
)</f>
        <v/>
      </c>
      <c r="G93" s="7">
        <f>tbl_Ventes[[#This Row],[Qté Vendue]] * IFERROR(_xlfn.XLOOKUP(tbl_Ventes[[#This Row],[Cde_Prdt]], tbl_Produits[Cde_Prdt], tbl_Produits[Prix Menu]), 0)</f>
        <v>0</v>
      </c>
      <c r="H93" s="7">
        <f>IFERROR(_xlfn.XLOOKUP(tbl_Ventes[[#This Row],[Cde_Prdt]], tbl_Produits[Cde_Prdt], tbl_Produits[Coût Moyen Portion]), 0)</f>
        <v>0</v>
      </c>
      <c r="I93" s="7">
        <f>tbl_Ventes[[#This Row],[Qté Vendue]] * tbl_Ventes[[#This Row],[CMP_par_portion]]</f>
        <v>0</v>
      </c>
      <c r="J93" s="7">
        <f>tbl_Ventes[[#This Row],[CA ligne]] - tbl_Ventes[[#This Row],[Coût matière ligne]]</f>
        <v>0</v>
      </c>
      <c r="K93" s="7" t="str">
        <f>IFERROR(INDEX(tbl_ProduitsRef[Famille], MATCH(tbl_Ventes[[#This Row],[Cde_Prdt]], tbl_Produits[Cde_Prdt], 0)), "")</f>
        <v/>
      </c>
    </row>
    <row r="94" spans="1:11" x14ac:dyDescent="0.25">
      <c r="A94" s="5"/>
      <c r="B94" s="63" t="str">
        <f>IFERROR(TEXT(tbl_Ventes[[#This Row],[Date]],"mm-aaaa"),"")</f>
        <v>01-1900</v>
      </c>
      <c r="D94" s="10" t="str">
        <f>IFERROR(
   INDEX(tbl_ProduitsRef[Cde_Prdt],MATCH(tbl_Ventes[[#This Row],[Produit]],tbl_ProduitsRef[Produit],0)),
   ""
)</f>
        <v/>
      </c>
      <c r="E94" s="7">
        <v>0</v>
      </c>
      <c r="F94" s="7" t="str">
        <f>IFERROR(
   INDEX(tbl_ProduitsRef[Prix Menu],MATCH(tbl_Ventes[[#This Row],[Produit]],tbl_ProduitsRef[Produit],0)),
   ""
)</f>
        <v/>
      </c>
      <c r="G94" s="7">
        <f>tbl_Ventes[[#This Row],[Qté Vendue]] * IFERROR(_xlfn.XLOOKUP(tbl_Ventes[[#This Row],[Cde_Prdt]], tbl_Produits[Cde_Prdt], tbl_Produits[Prix Menu]), 0)</f>
        <v>0</v>
      </c>
      <c r="H94" s="7">
        <f>IFERROR(_xlfn.XLOOKUP(tbl_Ventes[[#This Row],[Cde_Prdt]], tbl_Produits[Cde_Prdt], tbl_Produits[Coût Moyen Portion]), 0)</f>
        <v>0</v>
      </c>
      <c r="I94" s="7">
        <f>tbl_Ventes[[#This Row],[Qté Vendue]] * tbl_Ventes[[#This Row],[CMP_par_portion]]</f>
        <v>0</v>
      </c>
      <c r="J94" s="7">
        <f>tbl_Ventes[[#This Row],[CA ligne]] - tbl_Ventes[[#This Row],[Coût matière ligne]]</f>
        <v>0</v>
      </c>
      <c r="K94" s="7" t="str">
        <f>IFERROR(INDEX(tbl_ProduitsRef[Famille], MATCH(tbl_Ventes[[#This Row],[Cde_Prdt]], tbl_Produits[Cde_Prdt], 0)), "")</f>
        <v/>
      </c>
    </row>
    <row r="95" spans="1:11" x14ac:dyDescent="0.25">
      <c r="A95" s="5"/>
      <c r="B95" s="63" t="str">
        <f>IFERROR(TEXT(tbl_Ventes[[#This Row],[Date]],"mm-aaaa"),"")</f>
        <v>01-1900</v>
      </c>
      <c r="D95" s="10" t="str">
        <f>IFERROR(
   INDEX(tbl_ProduitsRef[Cde_Prdt],MATCH(tbl_Ventes[[#This Row],[Produit]],tbl_ProduitsRef[Produit],0)),
   ""
)</f>
        <v/>
      </c>
      <c r="E95" s="7">
        <v>0</v>
      </c>
      <c r="F95" s="7" t="str">
        <f>IFERROR(
   INDEX(tbl_ProduitsRef[Prix Menu],MATCH(tbl_Ventes[[#This Row],[Produit]],tbl_ProduitsRef[Produit],0)),
   ""
)</f>
        <v/>
      </c>
      <c r="G95" s="7">
        <f>tbl_Ventes[[#This Row],[Qté Vendue]] * IFERROR(_xlfn.XLOOKUP(tbl_Ventes[[#This Row],[Cde_Prdt]], tbl_Produits[Cde_Prdt], tbl_Produits[Prix Menu]), 0)</f>
        <v>0</v>
      </c>
      <c r="H95" s="7">
        <f>IFERROR(_xlfn.XLOOKUP(tbl_Ventes[[#This Row],[Cde_Prdt]], tbl_Produits[Cde_Prdt], tbl_Produits[Coût Moyen Portion]), 0)</f>
        <v>0</v>
      </c>
      <c r="I95" s="7">
        <f>tbl_Ventes[[#This Row],[Qté Vendue]] * tbl_Ventes[[#This Row],[CMP_par_portion]]</f>
        <v>0</v>
      </c>
      <c r="J95" s="7">
        <f>tbl_Ventes[[#This Row],[CA ligne]] - tbl_Ventes[[#This Row],[Coût matière ligne]]</f>
        <v>0</v>
      </c>
      <c r="K95" s="7" t="str">
        <f>IFERROR(INDEX(tbl_ProduitsRef[Famille], MATCH(tbl_Ventes[[#This Row],[Cde_Prdt]], tbl_Produits[Cde_Prdt], 0)), "")</f>
        <v/>
      </c>
    </row>
    <row r="96" spans="1:11" x14ac:dyDescent="0.25">
      <c r="A96" s="5"/>
      <c r="B96" s="63" t="str">
        <f>IFERROR(TEXT(tbl_Ventes[[#This Row],[Date]],"mm-aaaa"),"")</f>
        <v>01-1900</v>
      </c>
      <c r="D96" s="10" t="str">
        <f>IFERROR(
   INDEX(tbl_ProduitsRef[Cde_Prdt],MATCH(tbl_Ventes[[#This Row],[Produit]],tbl_ProduitsRef[Produit],0)),
   ""
)</f>
        <v/>
      </c>
      <c r="E96" s="7">
        <v>0</v>
      </c>
      <c r="F96" s="7" t="str">
        <f>IFERROR(
   INDEX(tbl_ProduitsRef[Prix Menu],MATCH(tbl_Ventes[[#This Row],[Produit]],tbl_ProduitsRef[Produit],0)),
   ""
)</f>
        <v/>
      </c>
      <c r="G96" s="7">
        <f>tbl_Ventes[[#This Row],[Qté Vendue]] * IFERROR(_xlfn.XLOOKUP(tbl_Ventes[[#This Row],[Cde_Prdt]], tbl_Produits[Cde_Prdt], tbl_Produits[Prix Menu]), 0)</f>
        <v>0</v>
      </c>
      <c r="H96" s="7">
        <f>IFERROR(_xlfn.XLOOKUP(tbl_Ventes[[#This Row],[Cde_Prdt]], tbl_Produits[Cde_Prdt], tbl_Produits[Coût Moyen Portion]), 0)</f>
        <v>0</v>
      </c>
      <c r="I96" s="7">
        <f>tbl_Ventes[[#This Row],[Qté Vendue]] * tbl_Ventes[[#This Row],[CMP_par_portion]]</f>
        <v>0</v>
      </c>
      <c r="J96" s="7">
        <f>tbl_Ventes[[#This Row],[CA ligne]] - tbl_Ventes[[#This Row],[Coût matière ligne]]</f>
        <v>0</v>
      </c>
      <c r="K96" s="7" t="str">
        <f>IFERROR(INDEX(tbl_ProduitsRef[Famille], MATCH(tbl_Ventes[[#This Row],[Cde_Prdt]], tbl_Produits[Cde_Prdt], 0)), "")</f>
        <v/>
      </c>
    </row>
    <row r="97" spans="1:11" x14ac:dyDescent="0.25">
      <c r="A97" s="5"/>
      <c r="B97" s="63" t="str">
        <f>IFERROR(TEXT(tbl_Ventes[[#This Row],[Date]],"mm-aaaa"),"")</f>
        <v>01-1900</v>
      </c>
      <c r="D97" s="10" t="str">
        <f>IFERROR(
   INDEX(tbl_ProduitsRef[Cde_Prdt],MATCH(tbl_Ventes[[#This Row],[Produit]],tbl_ProduitsRef[Produit],0)),
   ""
)</f>
        <v/>
      </c>
      <c r="E97" s="7">
        <v>0</v>
      </c>
      <c r="F97" s="7" t="str">
        <f>IFERROR(
   INDEX(tbl_ProduitsRef[Prix Menu],MATCH(tbl_Ventes[[#This Row],[Produit]],tbl_ProduitsRef[Produit],0)),
   ""
)</f>
        <v/>
      </c>
      <c r="G97" s="7">
        <f>tbl_Ventes[[#This Row],[Qté Vendue]] * IFERROR(_xlfn.XLOOKUP(tbl_Ventes[[#This Row],[Cde_Prdt]], tbl_Produits[Cde_Prdt], tbl_Produits[Prix Menu]), 0)</f>
        <v>0</v>
      </c>
      <c r="H97" s="7">
        <f>IFERROR(_xlfn.XLOOKUP(tbl_Ventes[[#This Row],[Cde_Prdt]], tbl_Produits[Cde_Prdt], tbl_Produits[Coût Moyen Portion]), 0)</f>
        <v>0</v>
      </c>
      <c r="I97" s="7">
        <f>tbl_Ventes[[#This Row],[Qté Vendue]] * tbl_Ventes[[#This Row],[CMP_par_portion]]</f>
        <v>0</v>
      </c>
      <c r="J97" s="7">
        <f>tbl_Ventes[[#This Row],[CA ligne]] - tbl_Ventes[[#This Row],[Coût matière ligne]]</f>
        <v>0</v>
      </c>
      <c r="K97" s="7" t="str">
        <f>IFERROR(INDEX(tbl_ProduitsRef[Famille], MATCH(tbl_Ventes[[#This Row],[Cde_Prdt]], tbl_Produits[Cde_Prdt], 0)), "")</f>
        <v/>
      </c>
    </row>
    <row r="98" spans="1:11" x14ac:dyDescent="0.25">
      <c r="A98" s="5"/>
      <c r="B98" s="63" t="str">
        <f>IFERROR(TEXT(tbl_Ventes[[#This Row],[Date]],"mm-aaaa"),"")</f>
        <v>01-1900</v>
      </c>
      <c r="D98" s="10" t="str">
        <f>IFERROR(
   INDEX(tbl_ProduitsRef[Cde_Prdt],MATCH(tbl_Ventes[[#This Row],[Produit]],tbl_ProduitsRef[Produit],0)),
   ""
)</f>
        <v/>
      </c>
      <c r="E98" s="7">
        <v>0</v>
      </c>
      <c r="F98" s="7" t="str">
        <f>IFERROR(
   INDEX(tbl_ProduitsRef[Prix Menu],MATCH(tbl_Ventes[[#This Row],[Produit]],tbl_ProduitsRef[Produit],0)),
   ""
)</f>
        <v/>
      </c>
      <c r="G98" s="7">
        <f>tbl_Ventes[[#This Row],[Qté Vendue]] * IFERROR(_xlfn.XLOOKUP(tbl_Ventes[[#This Row],[Cde_Prdt]], tbl_Produits[Cde_Prdt], tbl_Produits[Prix Menu]), 0)</f>
        <v>0</v>
      </c>
      <c r="H98" s="7">
        <f>IFERROR(_xlfn.XLOOKUP(tbl_Ventes[[#This Row],[Cde_Prdt]], tbl_Produits[Cde_Prdt], tbl_Produits[Coût Moyen Portion]), 0)</f>
        <v>0</v>
      </c>
      <c r="I98" s="7">
        <f>tbl_Ventes[[#This Row],[Qté Vendue]] * tbl_Ventes[[#This Row],[CMP_par_portion]]</f>
        <v>0</v>
      </c>
      <c r="J98" s="7">
        <f>tbl_Ventes[[#This Row],[CA ligne]] - tbl_Ventes[[#This Row],[Coût matière ligne]]</f>
        <v>0</v>
      </c>
      <c r="K98" s="7" t="str">
        <f>IFERROR(INDEX(tbl_ProduitsRef[Famille], MATCH(tbl_Ventes[[#This Row],[Cde_Prdt]], tbl_Produits[Cde_Prdt], 0)), "")</f>
        <v/>
      </c>
    </row>
    <row r="99" spans="1:11" x14ac:dyDescent="0.25">
      <c r="A99" s="5"/>
      <c r="B99" s="63" t="str">
        <f>IFERROR(TEXT(tbl_Ventes[[#This Row],[Date]],"mm-aaaa"),"")</f>
        <v>01-1900</v>
      </c>
      <c r="D99" s="10" t="str">
        <f>IFERROR(
   INDEX(tbl_ProduitsRef[Cde_Prdt],MATCH(tbl_Ventes[[#This Row],[Produit]],tbl_ProduitsRef[Produit],0)),
   ""
)</f>
        <v/>
      </c>
      <c r="E99" s="7">
        <v>0</v>
      </c>
      <c r="F99" s="7" t="str">
        <f>IFERROR(
   INDEX(tbl_ProduitsRef[Prix Menu],MATCH(tbl_Ventes[[#This Row],[Produit]],tbl_ProduitsRef[Produit],0)),
   ""
)</f>
        <v/>
      </c>
      <c r="G99" s="7">
        <f>tbl_Ventes[[#This Row],[Qté Vendue]] * IFERROR(_xlfn.XLOOKUP(tbl_Ventes[[#This Row],[Cde_Prdt]], tbl_Produits[Cde_Prdt], tbl_Produits[Prix Menu]), 0)</f>
        <v>0</v>
      </c>
      <c r="H99" s="7">
        <f>IFERROR(_xlfn.XLOOKUP(tbl_Ventes[[#This Row],[Cde_Prdt]], tbl_Produits[Cde_Prdt], tbl_Produits[Coût Moyen Portion]), 0)</f>
        <v>0</v>
      </c>
      <c r="I99" s="7">
        <f>tbl_Ventes[[#This Row],[Qté Vendue]] * tbl_Ventes[[#This Row],[CMP_par_portion]]</f>
        <v>0</v>
      </c>
      <c r="J99" s="7">
        <f>tbl_Ventes[[#This Row],[CA ligne]] - tbl_Ventes[[#This Row],[Coût matière ligne]]</f>
        <v>0</v>
      </c>
      <c r="K99" s="7" t="str">
        <f>IFERROR(INDEX(tbl_ProduitsRef[Famille], MATCH(tbl_Ventes[[#This Row],[Cde_Prdt]], tbl_Produits[Cde_Prdt], 0)), "")</f>
        <v/>
      </c>
    </row>
    <row r="100" spans="1:11" x14ac:dyDescent="0.25">
      <c r="A100" s="5"/>
      <c r="B100" s="63" t="str">
        <f>IFERROR(TEXT(tbl_Ventes[[#This Row],[Date]],"mm-aaaa"),"")</f>
        <v>01-1900</v>
      </c>
      <c r="D100" s="10" t="str">
        <f>IFERROR(
   INDEX(tbl_ProduitsRef[Cde_Prdt],MATCH(tbl_Ventes[[#This Row],[Produit]],tbl_ProduitsRef[Produit],0)),
   ""
)</f>
        <v/>
      </c>
      <c r="E100" s="7">
        <v>0</v>
      </c>
      <c r="F100" s="7" t="str">
        <f>IFERROR(
   INDEX(tbl_ProduitsRef[Prix Menu],MATCH(tbl_Ventes[[#This Row],[Produit]],tbl_ProduitsRef[Produit],0)),
   ""
)</f>
        <v/>
      </c>
      <c r="G100" s="7">
        <f>tbl_Ventes[[#This Row],[Qté Vendue]] * IFERROR(_xlfn.XLOOKUP(tbl_Ventes[[#This Row],[Cde_Prdt]], tbl_Produits[Cde_Prdt], tbl_Produits[Prix Menu]), 0)</f>
        <v>0</v>
      </c>
      <c r="H100" s="7">
        <f>IFERROR(_xlfn.XLOOKUP(tbl_Ventes[[#This Row],[Cde_Prdt]], tbl_Produits[Cde_Prdt], tbl_Produits[Coût Moyen Portion]), 0)</f>
        <v>0</v>
      </c>
      <c r="I100" s="7">
        <f>tbl_Ventes[[#This Row],[Qté Vendue]] * tbl_Ventes[[#This Row],[CMP_par_portion]]</f>
        <v>0</v>
      </c>
      <c r="J100" s="7">
        <f>tbl_Ventes[[#This Row],[CA ligne]] - tbl_Ventes[[#This Row],[Coût matière ligne]]</f>
        <v>0</v>
      </c>
      <c r="K100" s="7" t="str">
        <f>IFERROR(INDEX(tbl_ProduitsRef[Famille], MATCH(tbl_Ventes[[#This Row],[Cde_Prdt]], tbl_Produits[Cde_Prdt], 0)), "")</f>
        <v/>
      </c>
    </row>
    <row r="101" spans="1:11" x14ac:dyDescent="0.25">
      <c r="A101" s="5"/>
      <c r="B101" s="63" t="str">
        <f>IFERROR(TEXT(tbl_Ventes[[#This Row],[Date]],"mm-aaaa"),"")</f>
        <v>01-1900</v>
      </c>
      <c r="D101" s="10" t="str">
        <f>IFERROR(
   INDEX(tbl_ProduitsRef[Cde_Prdt],MATCH(tbl_Ventes[[#This Row],[Produit]],tbl_ProduitsRef[Produit],0)),
   ""
)</f>
        <v/>
      </c>
      <c r="E101" s="7">
        <v>0</v>
      </c>
      <c r="F101" s="7" t="str">
        <f>IFERROR(
   INDEX(tbl_ProduitsRef[Prix Menu],MATCH(tbl_Ventes[[#This Row],[Produit]],tbl_ProduitsRef[Produit],0)),
   ""
)</f>
        <v/>
      </c>
      <c r="G101" s="7">
        <f>tbl_Ventes[[#This Row],[Qté Vendue]] * IFERROR(_xlfn.XLOOKUP(tbl_Ventes[[#This Row],[Cde_Prdt]], tbl_Produits[Cde_Prdt], tbl_Produits[Prix Menu]), 0)</f>
        <v>0</v>
      </c>
      <c r="H101" s="7">
        <f>IFERROR(_xlfn.XLOOKUP(tbl_Ventes[[#This Row],[Cde_Prdt]], tbl_Produits[Cde_Prdt], tbl_Produits[Coût Moyen Portion]), 0)</f>
        <v>0</v>
      </c>
      <c r="I101" s="7">
        <f>tbl_Ventes[[#This Row],[Qté Vendue]] * tbl_Ventes[[#This Row],[CMP_par_portion]]</f>
        <v>0</v>
      </c>
      <c r="J101" s="7">
        <f>tbl_Ventes[[#This Row],[CA ligne]] - tbl_Ventes[[#This Row],[Coût matière ligne]]</f>
        <v>0</v>
      </c>
      <c r="K101" s="7" t="str">
        <f>IFERROR(INDEX(tbl_ProduitsRef[Famille], MATCH(tbl_Ventes[[#This Row],[Cde_Prdt]], tbl_Produits[Cde_Prdt], 0)), "")</f>
        <v/>
      </c>
    </row>
    <row r="102" spans="1:11" x14ac:dyDescent="0.25">
      <c r="A102" s="5"/>
      <c r="B102" s="63" t="str">
        <f>IFERROR(TEXT(tbl_Ventes[[#This Row],[Date]],"mm-aaaa"),"")</f>
        <v>01-1900</v>
      </c>
      <c r="D102" s="10" t="str">
        <f>IFERROR(
   INDEX(tbl_ProduitsRef[Cde_Prdt],MATCH(tbl_Ventes[[#This Row],[Produit]],tbl_ProduitsRef[Produit],0)),
   ""
)</f>
        <v/>
      </c>
      <c r="E102" s="7">
        <v>0</v>
      </c>
      <c r="F102" s="7" t="str">
        <f>IFERROR(
   INDEX(tbl_ProduitsRef[Prix Menu],MATCH(tbl_Ventes[[#This Row],[Produit]],tbl_ProduitsRef[Produit],0)),
   ""
)</f>
        <v/>
      </c>
      <c r="G102" s="7">
        <f>tbl_Ventes[[#This Row],[Qté Vendue]] * IFERROR(_xlfn.XLOOKUP(tbl_Ventes[[#This Row],[Cde_Prdt]], tbl_Produits[Cde_Prdt], tbl_Produits[Prix Menu]), 0)</f>
        <v>0</v>
      </c>
      <c r="H102" s="7">
        <f>IFERROR(_xlfn.XLOOKUP(tbl_Ventes[[#This Row],[Cde_Prdt]], tbl_Produits[Cde_Prdt], tbl_Produits[Coût Moyen Portion]), 0)</f>
        <v>0</v>
      </c>
      <c r="I102" s="7">
        <f>tbl_Ventes[[#This Row],[Qté Vendue]] * tbl_Ventes[[#This Row],[CMP_par_portion]]</f>
        <v>0</v>
      </c>
      <c r="J102" s="7">
        <f>tbl_Ventes[[#This Row],[CA ligne]] - tbl_Ventes[[#This Row],[Coût matière ligne]]</f>
        <v>0</v>
      </c>
      <c r="K102" s="7" t="str">
        <f>IFERROR(INDEX(tbl_ProduitsRef[Famille], MATCH(tbl_Ventes[[#This Row],[Cde_Prdt]], tbl_Produits[Cde_Prdt], 0)), "")</f>
        <v/>
      </c>
    </row>
    <row r="103" spans="1:11" x14ac:dyDescent="0.25">
      <c r="A103" s="5"/>
      <c r="B103" s="63" t="str">
        <f>IFERROR(TEXT(tbl_Ventes[[#This Row],[Date]],"mm-aaaa"),"")</f>
        <v>01-1900</v>
      </c>
      <c r="D103" s="10" t="str">
        <f>IFERROR(
   INDEX(tbl_ProduitsRef[Cde_Prdt],MATCH(tbl_Ventes[[#This Row],[Produit]],tbl_ProduitsRef[Produit],0)),
   ""
)</f>
        <v/>
      </c>
      <c r="E103" s="7">
        <v>0</v>
      </c>
      <c r="F103" s="7" t="str">
        <f>IFERROR(
   INDEX(tbl_ProduitsRef[Prix Menu],MATCH(tbl_Ventes[[#This Row],[Produit]],tbl_ProduitsRef[Produit],0)),
   ""
)</f>
        <v/>
      </c>
      <c r="G103" s="7">
        <f>tbl_Ventes[[#This Row],[Qté Vendue]] * IFERROR(_xlfn.XLOOKUP(tbl_Ventes[[#This Row],[Cde_Prdt]], tbl_Produits[Cde_Prdt], tbl_Produits[Prix Menu]), 0)</f>
        <v>0</v>
      </c>
      <c r="H103" s="7">
        <f>IFERROR(_xlfn.XLOOKUP(tbl_Ventes[[#This Row],[Cde_Prdt]], tbl_Produits[Cde_Prdt], tbl_Produits[Coût Moyen Portion]), 0)</f>
        <v>0</v>
      </c>
      <c r="I103" s="7">
        <f>tbl_Ventes[[#This Row],[Qté Vendue]] * tbl_Ventes[[#This Row],[CMP_par_portion]]</f>
        <v>0</v>
      </c>
      <c r="J103" s="7">
        <f>tbl_Ventes[[#This Row],[CA ligne]] - tbl_Ventes[[#This Row],[Coût matière ligne]]</f>
        <v>0</v>
      </c>
      <c r="K103" s="7" t="str">
        <f>IFERROR(INDEX(tbl_ProduitsRef[Famille], MATCH(tbl_Ventes[[#This Row],[Cde_Prdt]], tbl_Produits[Cde_Prdt], 0)), "")</f>
        <v/>
      </c>
    </row>
    <row r="104" spans="1:11" x14ac:dyDescent="0.25">
      <c r="A104" s="5"/>
      <c r="B104" s="63" t="str">
        <f>IFERROR(TEXT(tbl_Ventes[[#This Row],[Date]],"mm-aaaa"),"")</f>
        <v>01-1900</v>
      </c>
      <c r="D104" s="10" t="str">
        <f>IFERROR(
   INDEX(tbl_ProduitsRef[Cde_Prdt],MATCH(tbl_Ventes[[#This Row],[Produit]],tbl_ProduitsRef[Produit],0)),
   ""
)</f>
        <v/>
      </c>
      <c r="E104" s="7">
        <v>0</v>
      </c>
      <c r="F104" s="7" t="str">
        <f>IFERROR(
   INDEX(tbl_ProduitsRef[Prix Menu],MATCH(tbl_Ventes[[#This Row],[Produit]],tbl_ProduitsRef[Produit],0)),
   ""
)</f>
        <v/>
      </c>
      <c r="G104" s="7">
        <f>tbl_Ventes[[#This Row],[Qté Vendue]] * IFERROR(_xlfn.XLOOKUP(tbl_Ventes[[#This Row],[Cde_Prdt]], tbl_Produits[Cde_Prdt], tbl_Produits[Prix Menu]), 0)</f>
        <v>0</v>
      </c>
      <c r="H104" s="7">
        <f>IFERROR(_xlfn.XLOOKUP(tbl_Ventes[[#This Row],[Cde_Prdt]], tbl_Produits[Cde_Prdt], tbl_Produits[Coût Moyen Portion]), 0)</f>
        <v>0</v>
      </c>
      <c r="I104" s="7">
        <f>tbl_Ventes[[#This Row],[Qté Vendue]] * tbl_Ventes[[#This Row],[CMP_par_portion]]</f>
        <v>0</v>
      </c>
      <c r="J104" s="7">
        <f>tbl_Ventes[[#This Row],[CA ligne]] - tbl_Ventes[[#This Row],[Coût matière ligne]]</f>
        <v>0</v>
      </c>
      <c r="K104" s="7" t="str">
        <f>IFERROR(INDEX(tbl_ProduitsRef[Famille], MATCH(tbl_Ventes[[#This Row],[Cde_Prdt]], tbl_Produits[Cde_Prdt], 0)), "")</f>
        <v/>
      </c>
    </row>
    <row r="105" spans="1:11" x14ac:dyDescent="0.25">
      <c r="A105" s="5"/>
      <c r="B105" s="63" t="str">
        <f>IFERROR(TEXT(tbl_Ventes[[#This Row],[Date]],"mm-aaaa"),"")</f>
        <v>01-1900</v>
      </c>
      <c r="D105" s="10" t="str">
        <f>IFERROR(
   INDEX(tbl_ProduitsRef[Cde_Prdt],MATCH(tbl_Ventes[[#This Row],[Produit]],tbl_ProduitsRef[Produit],0)),
   ""
)</f>
        <v/>
      </c>
      <c r="E105" s="7">
        <v>0</v>
      </c>
      <c r="F105" s="7" t="str">
        <f>IFERROR(
   INDEX(tbl_ProduitsRef[Prix Menu],MATCH(tbl_Ventes[[#This Row],[Produit]],tbl_ProduitsRef[Produit],0)),
   ""
)</f>
        <v/>
      </c>
      <c r="G105" s="7">
        <f>tbl_Ventes[[#This Row],[Qté Vendue]] * IFERROR(_xlfn.XLOOKUP(tbl_Ventes[[#This Row],[Cde_Prdt]], tbl_Produits[Cde_Prdt], tbl_Produits[Prix Menu]), 0)</f>
        <v>0</v>
      </c>
      <c r="H105" s="7">
        <f>IFERROR(_xlfn.XLOOKUP(tbl_Ventes[[#This Row],[Cde_Prdt]], tbl_Produits[Cde_Prdt], tbl_Produits[Coût Moyen Portion]), 0)</f>
        <v>0</v>
      </c>
      <c r="I105" s="7">
        <f>tbl_Ventes[[#This Row],[Qté Vendue]] * tbl_Ventes[[#This Row],[CMP_par_portion]]</f>
        <v>0</v>
      </c>
      <c r="J105" s="7">
        <f>tbl_Ventes[[#This Row],[CA ligne]] - tbl_Ventes[[#This Row],[Coût matière ligne]]</f>
        <v>0</v>
      </c>
      <c r="K105" s="7" t="str">
        <f>IFERROR(INDEX(tbl_ProduitsRef[Famille], MATCH(tbl_Ventes[[#This Row],[Cde_Prdt]], tbl_Produits[Cde_Prdt], 0)), "")</f>
        <v/>
      </c>
    </row>
    <row r="106" spans="1:11" x14ac:dyDescent="0.25">
      <c r="A106" s="5"/>
      <c r="B106" s="63" t="str">
        <f>IFERROR(TEXT(tbl_Ventes[[#This Row],[Date]],"mm-aaaa"),"")</f>
        <v>01-1900</v>
      </c>
      <c r="D106" s="10" t="str">
        <f>IFERROR(
   INDEX(tbl_ProduitsRef[Cde_Prdt],MATCH(tbl_Ventes[[#This Row],[Produit]],tbl_ProduitsRef[Produit],0)),
   ""
)</f>
        <v/>
      </c>
      <c r="E106" s="7">
        <v>0</v>
      </c>
      <c r="F106" s="7" t="str">
        <f>IFERROR(
   INDEX(tbl_ProduitsRef[Prix Menu],MATCH(tbl_Ventes[[#This Row],[Produit]],tbl_ProduitsRef[Produit],0)),
   ""
)</f>
        <v/>
      </c>
      <c r="G106" s="7">
        <f>tbl_Ventes[[#This Row],[Qté Vendue]] * IFERROR(_xlfn.XLOOKUP(tbl_Ventes[[#This Row],[Cde_Prdt]], tbl_Produits[Cde_Prdt], tbl_Produits[Prix Menu]), 0)</f>
        <v>0</v>
      </c>
      <c r="H106" s="7">
        <f>IFERROR(_xlfn.XLOOKUP(tbl_Ventes[[#This Row],[Cde_Prdt]], tbl_Produits[Cde_Prdt], tbl_Produits[Coût Moyen Portion]), 0)</f>
        <v>0</v>
      </c>
      <c r="I106" s="7">
        <f>tbl_Ventes[[#This Row],[Qté Vendue]] * tbl_Ventes[[#This Row],[CMP_par_portion]]</f>
        <v>0</v>
      </c>
      <c r="J106" s="7">
        <f>tbl_Ventes[[#This Row],[CA ligne]] - tbl_Ventes[[#This Row],[Coût matière ligne]]</f>
        <v>0</v>
      </c>
      <c r="K106" s="7" t="str">
        <f>IFERROR(INDEX(tbl_ProduitsRef[Famille], MATCH(tbl_Ventes[[#This Row],[Cde_Prdt]], tbl_Produits[Cde_Prdt], 0)), "")</f>
        <v/>
      </c>
    </row>
    <row r="107" spans="1:11" x14ac:dyDescent="0.25">
      <c r="A107" s="5"/>
      <c r="B107" s="63" t="str">
        <f>IFERROR(TEXT(tbl_Ventes[[#This Row],[Date]],"mm-aaaa"),"")</f>
        <v>01-1900</v>
      </c>
      <c r="D107" s="10" t="str">
        <f>IFERROR(
   INDEX(tbl_ProduitsRef[Cde_Prdt],MATCH(tbl_Ventes[[#This Row],[Produit]],tbl_ProduitsRef[Produit],0)),
   ""
)</f>
        <v/>
      </c>
      <c r="E107" s="7">
        <v>0</v>
      </c>
      <c r="F107" s="7" t="str">
        <f>IFERROR(
   INDEX(tbl_ProduitsRef[Prix Menu],MATCH(tbl_Ventes[[#This Row],[Produit]],tbl_ProduitsRef[Produit],0)),
   ""
)</f>
        <v/>
      </c>
      <c r="G107" s="7">
        <f>tbl_Ventes[[#This Row],[Qté Vendue]] * IFERROR(_xlfn.XLOOKUP(tbl_Ventes[[#This Row],[Cde_Prdt]], tbl_Produits[Cde_Prdt], tbl_Produits[Prix Menu]), 0)</f>
        <v>0</v>
      </c>
      <c r="H107" s="7">
        <f>IFERROR(_xlfn.XLOOKUP(tbl_Ventes[[#This Row],[Cde_Prdt]], tbl_Produits[Cde_Prdt], tbl_Produits[Coût Moyen Portion]), 0)</f>
        <v>0</v>
      </c>
      <c r="I107" s="7">
        <f>tbl_Ventes[[#This Row],[Qté Vendue]] * tbl_Ventes[[#This Row],[CMP_par_portion]]</f>
        <v>0</v>
      </c>
      <c r="J107" s="7">
        <f>tbl_Ventes[[#This Row],[CA ligne]] - tbl_Ventes[[#This Row],[Coût matière ligne]]</f>
        <v>0</v>
      </c>
      <c r="K107" s="7" t="str">
        <f>IFERROR(INDEX(tbl_ProduitsRef[Famille], MATCH(tbl_Ventes[[#This Row],[Cde_Prdt]], tbl_Produits[Cde_Prdt], 0)), "")</f>
        <v/>
      </c>
    </row>
    <row r="108" spans="1:11" x14ac:dyDescent="0.25">
      <c r="A108" s="5"/>
      <c r="B108" s="63" t="str">
        <f>IFERROR(TEXT(tbl_Ventes[[#This Row],[Date]],"mm-aaaa"),"")</f>
        <v>01-1900</v>
      </c>
      <c r="D108" s="10" t="str">
        <f>IFERROR(
   INDEX(tbl_ProduitsRef[Cde_Prdt],MATCH(tbl_Ventes[[#This Row],[Produit]],tbl_ProduitsRef[Produit],0)),
   ""
)</f>
        <v/>
      </c>
      <c r="E108" s="7">
        <v>0</v>
      </c>
      <c r="F108" s="7" t="str">
        <f>IFERROR(
   INDEX(tbl_ProduitsRef[Prix Menu],MATCH(tbl_Ventes[[#This Row],[Produit]],tbl_ProduitsRef[Produit],0)),
   ""
)</f>
        <v/>
      </c>
      <c r="G108" s="7">
        <f>tbl_Ventes[[#This Row],[Qté Vendue]] * IFERROR(_xlfn.XLOOKUP(tbl_Ventes[[#This Row],[Cde_Prdt]], tbl_Produits[Cde_Prdt], tbl_Produits[Prix Menu]), 0)</f>
        <v>0</v>
      </c>
      <c r="H108" s="7">
        <f>IFERROR(_xlfn.XLOOKUP(tbl_Ventes[[#This Row],[Cde_Prdt]], tbl_Produits[Cde_Prdt], tbl_Produits[Coût Moyen Portion]), 0)</f>
        <v>0</v>
      </c>
      <c r="I108" s="7">
        <f>tbl_Ventes[[#This Row],[Qté Vendue]] * tbl_Ventes[[#This Row],[CMP_par_portion]]</f>
        <v>0</v>
      </c>
      <c r="J108" s="7">
        <f>tbl_Ventes[[#This Row],[CA ligne]] - tbl_Ventes[[#This Row],[Coût matière ligne]]</f>
        <v>0</v>
      </c>
      <c r="K108" s="7" t="str">
        <f>IFERROR(INDEX(tbl_ProduitsRef[Famille], MATCH(tbl_Ventes[[#This Row],[Cde_Prdt]], tbl_Produits[Cde_Prdt], 0)), "")</f>
        <v/>
      </c>
    </row>
    <row r="109" spans="1:11" x14ac:dyDescent="0.25">
      <c r="A109" s="5"/>
      <c r="B109" s="63" t="str">
        <f>IFERROR(TEXT(tbl_Ventes[[#This Row],[Date]],"mm-aaaa"),"")</f>
        <v>01-1900</v>
      </c>
      <c r="D109" s="10" t="str">
        <f>IFERROR(
   INDEX(tbl_ProduitsRef[Cde_Prdt],MATCH(tbl_Ventes[[#This Row],[Produit]],tbl_ProduitsRef[Produit],0)),
   ""
)</f>
        <v/>
      </c>
      <c r="E109" s="7">
        <v>0</v>
      </c>
      <c r="F109" s="7" t="str">
        <f>IFERROR(
   INDEX(tbl_ProduitsRef[Prix Menu],MATCH(tbl_Ventes[[#This Row],[Produit]],tbl_ProduitsRef[Produit],0)),
   ""
)</f>
        <v/>
      </c>
      <c r="G109" s="7">
        <f>tbl_Ventes[[#This Row],[Qté Vendue]] * IFERROR(_xlfn.XLOOKUP(tbl_Ventes[[#This Row],[Cde_Prdt]], tbl_Produits[Cde_Prdt], tbl_Produits[Prix Menu]), 0)</f>
        <v>0</v>
      </c>
      <c r="H109" s="7">
        <f>IFERROR(_xlfn.XLOOKUP(tbl_Ventes[[#This Row],[Cde_Prdt]], tbl_Produits[Cde_Prdt], tbl_Produits[Coût Moyen Portion]), 0)</f>
        <v>0</v>
      </c>
      <c r="I109" s="7">
        <f>tbl_Ventes[[#This Row],[Qté Vendue]] * tbl_Ventes[[#This Row],[CMP_par_portion]]</f>
        <v>0</v>
      </c>
      <c r="J109" s="7">
        <f>tbl_Ventes[[#This Row],[CA ligne]] - tbl_Ventes[[#This Row],[Coût matière ligne]]</f>
        <v>0</v>
      </c>
      <c r="K109" s="7" t="str">
        <f>IFERROR(INDEX(tbl_ProduitsRef[Famille], MATCH(tbl_Ventes[[#This Row],[Cde_Prdt]], tbl_Produits[Cde_Prdt], 0)), "")</f>
        <v/>
      </c>
    </row>
    <row r="110" spans="1:11" x14ac:dyDescent="0.25">
      <c r="A110" s="5"/>
      <c r="B110" s="63" t="str">
        <f>IFERROR(TEXT(tbl_Ventes[[#This Row],[Date]],"mm-aaaa"),"")</f>
        <v>01-1900</v>
      </c>
      <c r="D110" s="10" t="str">
        <f>IFERROR(
   INDEX(tbl_ProduitsRef[Cde_Prdt],MATCH(tbl_Ventes[[#This Row],[Produit]],tbl_ProduitsRef[Produit],0)),
   ""
)</f>
        <v/>
      </c>
      <c r="E110" s="7">
        <v>0</v>
      </c>
      <c r="F110" s="7" t="str">
        <f>IFERROR(
   INDEX(tbl_ProduitsRef[Prix Menu],MATCH(tbl_Ventes[[#This Row],[Produit]],tbl_ProduitsRef[Produit],0)),
   ""
)</f>
        <v/>
      </c>
      <c r="G110" s="7">
        <f>tbl_Ventes[[#This Row],[Qté Vendue]] * IFERROR(_xlfn.XLOOKUP(tbl_Ventes[[#This Row],[Cde_Prdt]], tbl_Produits[Cde_Prdt], tbl_Produits[Prix Menu]), 0)</f>
        <v>0</v>
      </c>
      <c r="H110" s="7">
        <f>IFERROR(_xlfn.XLOOKUP(tbl_Ventes[[#This Row],[Cde_Prdt]], tbl_Produits[Cde_Prdt], tbl_Produits[Coût Moyen Portion]), 0)</f>
        <v>0</v>
      </c>
      <c r="I110" s="7">
        <f>tbl_Ventes[[#This Row],[Qté Vendue]] * tbl_Ventes[[#This Row],[CMP_par_portion]]</f>
        <v>0</v>
      </c>
      <c r="J110" s="7">
        <f>tbl_Ventes[[#This Row],[CA ligne]] - tbl_Ventes[[#This Row],[Coût matière ligne]]</f>
        <v>0</v>
      </c>
      <c r="K110" s="7" t="str">
        <f>IFERROR(INDEX(tbl_ProduitsRef[Famille], MATCH(tbl_Ventes[[#This Row],[Cde_Prdt]], tbl_Produits[Cde_Prdt], 0)), "")</f>
        <v/>
      </c>
    </row>
    <row r="111" spans="1:11" x14ac:dyDescent="0.25">
      <c r="A111" s="5"/>
      <c r="B111" s="63" t="str">
        <f>IFERROR(TEXT(tbl_Ventes[[#This Row],[Date]],"mm-aaaa"),"")</f>
        <v>01-1900</v>
      </c>
      <c r="D111" s="10" t="str">
        <f>IFERROR(
   INDEX(tbl_ProduitsRef[Cde_Prdt],MATCH(tbl_Ventes[[#This Row],[Produit]],tbl_ProduitsRef[Produit],0)),
   ""
)</f>
        <v/>
      </c>
      <c r="E111" s="7">
        <v>0</v>
      </c>
      <c r="F111" s="7" t="str">
        <f>IFERROR(
   INDEX(tbl_ProduitsRef[Prix Menu],MATCH(tbl_Ventes[[#This Row],[Produit]],tbl_ProduitsRef[Produit],0)),
   ""
)</f>
        <v/>
      </c>
      <c r="G111" s="7">
        <f>tbl_Ventes[[#This Row],[Qté Vendue]] * IFERROR(_xlfn.XLOOKUP(tbl_Ventes[[#This Row],[Cde_Prdt]], tbl_Produits[Cde_Prdt], tbl_Produits[Prix Menu]), 0)</f>
        <v>0</v>
      </c>
      <c r="H111" s="7">
        <f>IFERROR(_xlfn.XLOOKUP(tbl_Ventes[[#This Row],[Cde_Prdt]], tbl_Produits[Cde_Prdt], tbl_Produits[Coût Moyen Portion]), 0)</f>
        <v>0</v>
      </c>
      <c r="I111" s="7">
        <f>tbl_Ventes[[#This Row],[Qté Vendue]] * tbl_Ventes[[#This Row],[CMP_par_portion]]</f>
        <v>0</v>
      </c>
      <c r="J111" s="7">
        <f>tbl_Ventes[[#This Row],[CA ligne]] - tbl_Ventes[[#This Row],[Coût matière ligne]]</f>
        <v>0</v>
      </c>
      <c r="K111" s="7" t="str">
        <f>IFERROR(INDEX(tbl_ProduitsRef[Famille], MATCH(tbl_Ventes[[#This Row],[Cde_Prdt]], tbl_Produits[Cde_Prdt], 0)), "")</f>
        <v/>
      </c>
    </row>
    <row r="112" spans="1:11" x14ac:dyDescent="0.25">
      <c r="A112" s="5"/>
      <c r="B112" s="63" t="str">
        <f>IFERROR(TEXT(tbl_Ventes[[#This Row],[Date]],"mm-aaaa"),"")</f>
        <v>01-1900</v>
      </c>
      <c r="D112" s="10" t="str">
        <f>IFERROR(
   INDEX(tbl_ProduitsRef[Cde_Prdt],MATCH(tbl_Ventes[[#This Row],[Produit]],tbl_ProduitsRef[Produit],0)),
   ""
)</f>
        <v/>
      </c>
      <c r="E112" s="7">
        <v>0</v>
      </c>
      <c r="F112" s="7" t="str">
        <f>IFERROR(
   INDEX(tbl_ProduitsRef[Prix Menu],MATCH(tbl_Ventes[[#This Row],[Produit]],tbl_ProduitsRef[Produit],0)),
   ""
)</f>
        <v/>
      </c>
      <c r="G112" s="7">
        <f>tbl_Ventes[[#This Row],[Qté Vendue]] * IFERROR(_xlfn.XLOOKUP(tbl_Ventes[[#This Row],[Cde_Prdt]], tbl_Produits[Cde_Prdt], tbl_Produits[Prix Menu]), 0)</f>
        <v>0</v>
      </c>
      <c r="H112" s="7">
        <f>IFERROR(_xlfn.XLOOKUP(tbl_Ventes[[#This Row],[Cde_Prdt]], tbl_Produits[Cde_Prdt], tbl_Produits[Coût Moyen Portion]), 0)</f>
        <v>0</v>
      </c>
      <c r="I112" s="7">
        <f>tbl_Ventes[[#This Row],[Qté Vendue]] * tbl_Ventes[[#This Row],[CMP_par_portion]]</f>
        <v>0</v>
      </c>
      <c r="J112" s="7">
        <f>tbl_Ventes[[#This Row],[CA ligne]] - tbl_Ventes[[#This Row],[Coût matière ligne]]</f>
        <v>0</v>
      </c>
      <c r="K112" s="7" t="str">
        <f>IFERROR(INDEX(tbl_ProduitsRef[Famille], MATCH(tbl_Ventes[[#This Row],[Cde_Prdt]], tbl_Produits[Cde_Prdt], 0)), "")</f>
        <v/>
      </c>
    </row>
    <row r="113" spans="1:11" x14ac:dyDescent="0.25">
      <c r="A113" s="5"/>
      <c r="B113" s="63" t="str">
        <f>IFERROR(TEXT(tbl_Ventes[[#This Row],[Date]],"mm-aaaa"),"")</f>
        <v>01-1900</v>
      </c>
      <c r="D113" s="10" t="str">
        <f>IFERROR(
   INDEX(tbl_ProduitsRef[Cde_Prdt],MATCH(tbl_Ventes[[#This Row],[Produit]],tbl_ProduitsRef[Produit],0)),
   ""
)</f>
        <v/>
      </c>
      <c r="E113" s="7">
        <v>0</v>
      </c>
      <c r="F113" s="7" t="str">
        <f>IFERROR(
   INDEX(tbl_ProduitsRef[Prix Menu],MATCH(tbl_Ventes[[#This Row],[Produit]],tbl_ProduitsRef[Produit],0)),
   ""
)</f>
        <v/>
      </c>
      <c r="G113" s="7">
        <f>tbl_Ventes[[#This Row],[Qté Vendue]] * IFERROR(_xlfn.XLOOKUP(tbl_Ventes[[#This Row],[Cde_Prdt]], tbl_Produits[Cde_Prdt], tbl_Produits[Prix Menu]), 0)</f>
        <v>0</v>
      </c>
      <c r="H113" s="7">
        <f>IFERROR(_xlfn.XLOOKUP(tbl_Ventes[[#This Row],[Cde_Prdt]], tbl_Produits[Cde_Prdt], tbl_Produits[Coût Moyen Portion]), 0)</f>
        <v>0</v>
      </c>
      <c r="I113" s="7">
        <f>tbl_Ventes[[#This Row],[Qté Vendue]] * tbl_Ventes[[#This Row],[CMP_par_portion]]</f>
        <v>0</v>
      </c>
      <c r="J113" s="7">
        <f>tbl_Ventes[[#This Row],[CA ligne]] - tbl_Ventes[[#This Row],[Coût matière ligne]]</f>
        <v>0</v>
      </c>
      <c r="K113" s="7" t="str">
        <f>IFERROR(INDEX(tbl_ProduitsRef[Famille], MATCH(tbl_Ventes[[#This Row],[Cde_Prdt]], tbl_Produits[Cde_Prdt], 0)), "")</f>
        <v/>
      </c>
    </row>
    <row r="114" spans="1:11" x14ac:dyDescent="0.25">
      <c r="A114" s="5"/>
      <c r="B114" s="63" t="str">
        <f>IFERROR(TEXT(tbl_Ventes[[#This Row],[Date]],"mm-aaaa"),"")</f>
        <v>01-1900</v>
      </c>
      <c r="D114" s="10" t="str">
        <f>IFERROR(
   INDEX(tbl_ProduitsRef[Cde_Prdt],MATCH(tbl_Ventes[[#This Row],[Produit]],tbl_ProduitsRef[Produit],0)),
   ""
)</f>
        <v/>
      </c>
      <c r="E114" s="7">
        <v>0</v>
      </c>
      <c r="F114" s="7" t="str">
        <f>IFERROR(
   INDEX(tbl_ProduitsRef[Prix Menu],MATCH(tbl_Ventes[[#This Row],[Produit]],tbl_ProduitsRef[Produit],0)),
   ""
)</f>
        <v/>
      </c>
      <c r="G114" s="7">
        <f>tbl_Ventes[[#This Row],[Qté Vendue]] * IFERROR(_xlfn.XLOOKUP(tbl_Ventes[[#This Row],[Cde_Prdt]], tbl_Produits[Cde_Prdt], tbl_Produits[Prix Menu]), 0)</f>
        <v>0</v>
      </c>
      <c r="H114" s="7">
        <f>IFERROR(_xlfn.XLOOKUP(tbl_Ventes[[#This Row],[Cde_Prdt]], tbl_Produits[Cde_Prdt], tbl_Produits[Coût Moyen Portion]), 0)</f>
        <v>0</v>
      </c>
      <c r="I114" s="7">
        <f>tbl_Ventes[[#This Row],[Qté Vendue]] * tbl_Ventes[[#This Row],[CMP_par_portion]]</f>
        <v>0</v>
      </c>
      <c r="J114" s="7">
        <f>tbl_Ventes[[#This Row],[CA ligne]] - tbl_Ventes[[#This Row],[Coût matière ligne]]</f>
        <v>0</v>
      </c>
      <c r="K114" s="7" t="str">
        <f>IFERROR(INDEX(tbl_ProduitsRef[Famille], MATCH(tbl_Ventes[[#This Row],[Cde_Prdt]], tbl_Produits[Cde_Prdt], 0)), "")</f>
        <v/>
      </c>
    </row>
    <row r="115" spans="1:11" x14ac:dyDescent="0.25">
      <c r="A115" s="5"/>
      <c r="B115" s="63" t="str">
        <f>IFERROR(TEXT(tbl_Ventes[[#This Row],[Date]],"mm-aaaa"),"")</f>
        <v>01-1900</v>
      </c>
      <c r="D115" s="10" t="str">
        <f>IFERROR(
   INDEX(tbl_ProduitsRef[Cde_Prdt],MATCH(tbl_Ventes[[#This Row],[Produit]],tbl_ProduitsRef[Produit],0)),
   ""
)</f>
        <v/>
      </c>
      <c r="E115" s="7">
        <v>0</v>
      </c>
      <c r="F115" s="7" t="str">
        <f>IFERROR(
   INDEX(tbl_ProduitsRef[Prix Menu],MATCH(tbl_Ventes[[#This Row],[Produit]],tbl_ProduitsRef[Produit],0)),
   ""
)</f>
        <v/>
      </c>
      <c r="G115" s="7">
        <f>tbl_Ventes[[#This Row],[Qté Vendue]] * IFERROR(_xlfn.XLOOKUP(tbl_Ventes[[#This Row],[Cde_Prdt]], tbl_Produits[Cde_Prdt], tbl_Produits[Prix Menu]), 0)</f>
        <v>0</v>
      </c>
      <c r="H115" s="7">
        <f>IFERROR(_xlfn.XLOOKUP(tbl_Ventes[[#This Row],[Cde_Prdt]], tbl_Produits[Cde_Prdt], tbl_Produits[Coût Moyen Portion]), 0)</f>
        <v>0</v>
      </c>
      <c r="I115" s="7">
        <f>tbl_Ventes[[#This Row],[Qté Vendue]] * tbl_Ventes[[#This Row],[CMP_par_portion]]</f>
        <v>0</v>
      </c>
      <c r="J115" s="7">
        <f>tbl_Ventes[[#This Row],[CA ligne]] - tbl_Ventes[[#This Row],[Coût matière ligne]]</f>
        <v>0</v>
      </c>
      <c r="K115" s="7" t="str">
        <f>IFERROR(INDEX(tbl_ProduitsRef[Famille], MATCH(tbl_Ventes[[#This Row],[Cde_Prdt]], tbl_Produits[Cde_Prdt], 0)), "")</f>
        <v/>
      </c>
    </row>
    <row r="116" spans="1:11" x14ac:dyDescent="0.25">
      <c r="A116" s="5"/>
      <c r="B116" s="63" t="str">
        <f>IFERROR(TEXT(tbl_Ventes[[#This Row],[Date]],"mm-aaaa"),"")</f>
        <v>01-1900</v>
      </c>
      <c r="D116" s="10" t="str">
        <f>IFERROR(
   INDEX(tbl_ProduitsRef[Cde_Prdt],MATCH(tbl_Ventes[[#This Row],[Produit]],tbl_ProduitsRef[Produit],0)),
   ""
)</f>
        <v/>
      </c>
      <c r="E116" s="7">
        <v>0</v>
      </c>
      <c r="F116" s="7" t="str">
        <f>IFERROR(
   INDEX(tbl_ProduitsRef[Prix Menu],MATCH(tbl_Ventes[[#This Row],[Produit]],tbl_ProduitsRef[Produit],0)),
   ""
)</f>
        <v/>
      </c>
      <c r="G116" s="7">
        <f>tbl_Ventes[[#This Row],[Qté Vendue]] * IFERROR(_xlfn.XLOOKUP(tbl_Ventes[[#This Row],[Cde_Prdt]], tbl_Produits[Cde_Prdt], tbl_Produits[Prix Menu]), 0)</f>
        <v>0</v>
      </c>
      <c r="H116" s="7">
        <f>IFERROR(_xlfn.XLOOKUP(tbl_Ventes[[#This Row],[Cde_Prdt]], tbl_Produits[Cde_Prdt], tbl_Produits[Coût Moyen Portion]), 0)</f>
        <v>0</v>
      </c>
      <c r="I116" s="7">
        <f>tbl_Ventes[[#This Row],[Qté Vendue]] * tbl_Ventes[[#This Row],[CMP_par_portion]]</f>
        <v>0</v>
      </c>
      <c r="J116" s="7">
        <f>tbl_Ventes[[#This Row],[CA ligne]] - tbl_Ventes[[#This Row],[Coût matière ligne]]</f>
        <v>0</v>
      </c>
      <c r="K116" s="7" t="str">
        <f>IFERROR(INDEX(tbl_ProduitsRef[Famille], MATCH(tbl_Ventes[[#This Row],[Cde_Prdt]], tbl_Produits[Cde_Prdt], 0)), "")</f>
        <v/>
      </c>
    </row>
    <row r="117" spans="1:11" x14ac:dyDescent="0.25">
      <c r="A117" s="5"/>
      <c r="B117" s="63" t="str">
        <f>IFERROR(TEXT(tbl_Ventes[[#This Row],[Date]],"mm-aaaa"),"")</f>
        <v>01-1900</v>
      </c>
      <c r="D117" s="10" t="str">
        <f>IFERROR(
   INDEX(tbl_ProduitsRef[Cde_Prdt],MATCH(tbl_Ventes[[#This Row],[Produit]],tbl_ProduitsRef[Produit],0)),
   ""
)</f>
        <v/>
      </c>
      <c r="E117" s="7">
        <v>0</v>
      </c>
      <c r="F117" s="7" t="str">
        <f>IFERROR(
   INDEX(tbl_ProduitsRef[Prix Menu],MATCH(tbl_Ventes[[#This Row],[Produit]],tbl_ProduitsRef[Produit],0)),
   ""
)</f>
        <v/>
      </c>
      <c r="G117" s="7">
        <f>tbl_Ventes[[#This Row],[Qté Vendue]] * IFERROR(_xlfn.XLOOKUP(tbl_Ventes[[#This Row],[Cde_Prdt]], tbl_Produits[Cde_Prdt], tbl_Produits[Prix Menu]), 0)</f>
        <v>0</v>
      </c>
      <c r="H117" s="7">
        <f>IFERROR(_xlfn.XLOOKUP(tbl_Ventes[[#This Row],[Cde_Prdt]], tbl_Produits[Cde_Prdt], tbl_Produits[Coût Moyen Portion]), 0)</f>
        <v>0</v>
      </c>
      <c r="I117" s="7">
        <f>tbl_Ventes[[#This Row],[Qté Vendue]] * tbl_Ventes[[#This Row],[CMP_par_portion]]</f>
        <v>0</v>
      </c>
      <c r="J117" s="7">
        <f>tbl_Ventes[[#This Row],[CA ligne]] - tbl_Ventes[[#This Row],[Coût matière ligne]]</f>
        <v>0</v>
      </c>
      <c r="K117" s="7" t="str">
        <f>IFERROR(INDEX(tbl_ProduitsRef[Famille], MATCH(tbl_Ventes[[#This Row],[Cde_Prdt]], tbl_Produits[Cde_Prdt], 0)), "")</f>
        <v/>
      </c>
    </row>
    <row r="118" spans="1:11" x14ac:dyDescent="0.25">
      <c r="A118" s="5"/>
      <c r="B118" s="63" t="str">
        <f>IFERROR(TEXT(tbl_Ventes[[#This Row],[Date]],"mm-aaaa"),"")</f>
        <v>01-1900</v>
      </c>
      <c r="D118" s="10" t="str">
        <f>IFERROR(
   INDEX(tbl_ProduitsRef[Cde_Prdt],MATCH(tbl_Ventes[[#This Row],[Produit]],tbl_ProduitsRef[Produit],0)),
   ""
)</f>
        <v/>
      </c>
      <c r="E118" s="7">
        <v>0</v>
      </c>
      <c r="F118" s="7" t="str">
        <f>IFERROR(
   INDEX(tbl_ProduitsRef[Prix Menu],MATCH(tbl_Ventes[[#This Row],[Produit]],tbl_ProduitsRef[Produit],0)),
   ""
)</f>
        <v/>
      </c>
      <c r="G118" s="7">
        <f>tbl_Ventes[[#This Row],[Qté Vendue]] * IFERROR(_xlfn.XLOOKUP(tbl_Ventes[[#This Row],[Cde_Prdt]], tbl_Produits[Cde_Prdt], tbl_Produits[Prix Menu]), 0)</f>
        <v>0</v>
      </c>
      <c r="H118" s="7">
        <f>IFERROR(_xlfn.XLOOKUP(tbl_Ventes[[#This Row],[Cde_Prdt]], tbl_Produits[Cde_Prdt], tbl_Produits[Coût Moyen Portion]), 0)</f>
        <v>0</v>
      </c>
      <c r="I118" s="7">
        <f>tbl_Ventes[[#This Row],[Qté Vendue]] * tbl_Ventes[[#This Row],[CMP_par_portion]]</f>
        <v>0</v>
      </c>
      <c r="J118" s="7">
        <f>tbl_Ventes[[#This Row],[CA ligne]] - tbl_Ventes[[#This Row],[Coût matière ligne]]</f>
        <v>0</v>
      </c>
      <c r="K118" s="7" t="str">
        <f>IFERROR(INDEX(tbl_ProduitsRef[Famille], MATCH(tbl_Ventes[[#This Row],[Cde_Prdt]], tbl_Produits[Cde_Prdt], 0)), "")</f>
        <v/>
      </c>
    </row>
    <row r="119" spans="1:11" x14ac:dyDescent="0.25">
      <c r="A119" s="5"/>
      <c r="B119" s="63" t="str">
        <f>IFERROR(TEXT(tbl_Ventes[[#This Row],[Date]],"mm-aaaa"),"")</f>
        <v>01-1900</v>
      </c>
      <c r="D119" s="10" t="str">
        <f>IFERROR(
   INDEX(tbl_ProduitsRef[Cde_Prdt],MATCH(tbl_Ventes[[#This Row],[Produit]],tbl_ProduitsRef[Produit],0)),
   ""
)</f>
        <v/>
      </c>
      <c r="E119" s="7">
        <v>0</v>
      </c>
      <c r="F119" s="7" t="str">
        <f>IFERROR(
   INDEX(tbl_ProduitsRef[Prix Menu],MATCH(tbl_Ventes[[#This Row],[Produit]],tbl_ProduitsRef[Produit],0)),
   ""
)</f>
        <v/>
      </c>
      <c r="G119" s="7">
        <f>tbl_Ventes[[#This Row],[Qté Vendue]] * IFERROR(_xlfn.XLOOKUP(tbl_Ventes[[#This Row],[Cde_Prdt]], tbl_Produits[Cde_Prdt], tbl_Produits[Prix Menu]), 0)</f>
        <v>0</v>
      </c>
      <c r="H119" s="7">
        <f>IFERROR(_xlfn.XLOOKUP(tbl_Ventes[[#This Row],[Cde_Prdt]], tbl_Produits[Cde_Prdt], tbl_Produits[Coût Moyen Portion]), 0)</f>
        <v>0</v>
      </c>
      <c r="I119" s="7">
        <f>tbl_Ventes[[#This Row],[Qté Vendue]] * tbl_Ventes[[#This Row],[CMP_par_portion]]</f>
        <v>0</v>
      </c>
      <c r="J119" s="7">
        <f>tbl_Ventes[[#This Row],[CA ligne]] - tbl_Ventes[[#This Row],[Coût matière ligne]]</f>
        <v>0</v>
      </c>
      <c r="K119" s="7" t="str">
        <f>IFERROR(INDEX(tbl_ProduitsRef[Famille], MATCH(tbl_Ventes[[#This Row],[Cde_Prdt]], tbl_Produits[Cde_Prdt], 0)), "")</f>
        <v/>
      </c>
    </row>
    <row r="120" spans="1:11" x14ac:dyDescent="0.25">
      <c r="A120" s="5"/>
      <c r="B120" s="63" t="str">
        <f>IFERROR(TEXT(tbl_Ventes[[#This Row],[Date]],"mm-aaaa"),"")</f>
        <v>01-1900</v>
      </c>
      <c r="D120" s="10" t="str">
        <f>IFERROR(
   INDEX(tbl_ProduitsRef[Cde_Prdt],MATCH(tbl_Ventes[[#This Row],[Produit]],tbl_ProduitsRef[Produit],0)),
   ""
)</f>
        <v/>
      </c>
      <c r="E120" s="7">
        <v>0</v>
      </c>
      <c r="F120" s="7" t="str">
        <f>IFERROR(
   INDEX(tbl_ProduitsRef[Prix Menu],MATCH(tbl_Ventes[[#This Row],[Produit]],tbl_ProduitsRef[Produit],0)),
   ""
)</f>
        <v/>
      </c>
      <c r="G120" s="7">
        <f>tbl_Ventes[[#This Row],[Qté Vendue]] * IFERROR(_xlfn.XLOOKUP(tbl_Ventes[[#This Row],[Cde_Prdt]], tbl_Produits[Cde_Prdt], tbl_Produits[Prix Menu]), 0)</f>
        <v>0</v>
      </c>
      <c r="H120" s="7">
        <f>IFERROR(_xlfn.XLOOKUP(tbl_Ventes[[#This Row],[Cde_Prdt]], tbl_Produits[Cde_Prdt], tbl_Produits[Coût Moyen Portion]), 0)</f>
        <v>0</v>
      </c>
      <c r="I120" s="7">
        <f>tbl_Ventes[[#This Row],[Qté Vendue]] * tbl_Ventes[[#This Row],[CMP_par_portion]]</f>
        <v>0</v>
      </c>
      <c r="J120" s="7">
        <f>tbl_Ventes[[#This Row],[CA ligne]] - tbl_Ventes[[#This Row],[Coût matière ligne]]</f>
        <v>0</v>
      </c>
      <c r="K120" s="7" t="str">
        <f>IFERROR(INDEX(tbl_ProduitsRef[Famille], MATCH(tbl_Ventes[[#This Row],[Cde_Prdt]], tbl_Produits[Cde_Prdt], 0)), "")</f>
        <v/>
      </c>
    </row>
    <row r="121" spans="1:11" x14ac:dyDescent="0.25">
      <c r="A121" s="5"/>
      <c r="B121" s="63" t="str">
        <f>IFERROR(TEXT(tbl_Ventes[[#This Row],[Date]],"mm-aaaa"),"")</f>
        <v>01-1900</v>
      </c>
      <c r="D121" s="10" t="str">
        <f>IFERROR(
   INDEX(tbl_ProduitsRef[Cde_Prdt],MATCH(tbl_Ventes[[#This Row],[Produit]],tbl_ProduitsRef[Produit],0)),
   ""
)</f>
        <v/>
      </c>
      <c r="E121" s="7">
        <v>0</v>
      </c>
      <c r="F121" s="7" t="str">
        <f>IFERROR(
   INDEX(tbl_ProduitsRef[Prix Menu],MATCH(tbl_Ventes[[#This Row],[Produit]],tbl_ProduitsRef[Produit],0)),
   ""
)</f>
        <v/>
      </c>
      <c r="G121" s="7">
        <f>tbl_Ventes[[#This Row],[Qté Vendue]] * IFERROR(_xlfn.XLOOKUP(tbl_Ventes[[#This Row],[Cde_Prdt]], tbl_Produits[Cde_Prdt], tbl_Produits[Prix Menu]), 0)</f>
        <v>0</v>
      </c>
      <c r="H121" s="7">
        <f>IFERROR(_xlfn.XLOOKUP(tbl_Ventes[[#This Row],[Cde_Prdt]], tbl_Produits[Cde_Prdt], tbl_Produits[Coût Moyen Portion]), 0)</f>
        <v>0</v>
      </c>
      <c r="I121" s="7">
        <f>tbl_Ventes[[#This Row],[Qté Vendue]] * tbl_Ventes[[#This Row],[CMP_par_portion]]</f>
        <v>0</v>
      </c>
      <c r="J121" s="7">
        <f>tbl_Ventes[[#This Row],[CA ligne]] - tbl_Ventes[[#This Row],[Coût matière ligne]]</f>
        <v>0</v>
      </c>
      <c r="K121" s="7" t="str">
        <f>IFERROR(INDEX(tbl_ProduitsRef[Famille], MATCH(tbl_Ventes[[#This Row],[Cde_Prdt]], tbl_Produits[Cde_Prdt], 0)), "")</f>
        <v/>
      </c>
    </row>
    <row r="122" spans="1:11" x14ac:dyDescent="0.25">
      <c r="A122" s="5"/>
      <c r="B122" s="63" t="str">
        <f>IFERROR(TEXT(tbl_Ventes[[#This Row],[Date]],"mm-aaaa"),"")</f>
        <v>01-1900</v>
      </c>
      <c r="D122" s="10" t="str">
        <f>IFERROR(
   INDEX(tbl_ProduitsRef[Cde_Prdt],MATCH(tbl_Ventes[[#This Row],[Produit]],tbl_ProduitsRef[Produit],0)),
   ""
)</f>
        <v/>
      </c>
      <c r="E122" s="7">
        <v>0</v>
      </c>
      <c r="F122" s="7" t="str">
        <f>IFERROR(
   INDEX(tbl_ProduitsRef[Prix Menu],MATCH(tbl_Ventes[[#This Row],[Produit]],tbl_ProduitsRef[Produit],0)),
   ""
)</f>
        <v/>
      </c>
      <c r="G122" s="7">
        <f>tbl_Ventes[[#This Row],[Qté Vendue]] * IFERROR(_xlfn.XLOOKUP(tbl_Ventes[[#This Row],[Cde_Prdt]], tbl_Produits[Cde_Prdt], tbl_Produits[Prix Menu]), 0)</f>
        <v>0</v>
      </c>
      <c r="H122" s="7">
        <f>IFERROR(_xlfn.XLOOKUP(tbl_Ventes[[#This Row],[Cde_Prdt]], tbl_Produits[Cde_Prdt], tbl_Produits[Coût Moyen Portion]), 0)</f>
        <v>0</v>
      </c>
      <c r="I122" s="7">
        <f>tbl_Ventes[[#This Row],[Qté Vendue]] * tbl_Ventes[[#This Row],[CMP_par_portion]]</f>
        <v>0</v>
      </c>
      <c r="J122" s="7">
        <f>tbl_Ventes[[#This Row],[CA ligne]] - tbl_Ventes[[#This Row],[Coût matière ligne]]</f>
        <v>0</v>
      </c>
      <c r="K122" s="7" t="str">
        <f>IFERROR(INDEX(tbl_ProduitsRef[Famille], MATCH(tbl_Ventes[[#This Row],[Cde_Prdt]], tbl_Produits[Cde_Prdt], 0)), "")</f>
        <v/>
      </c>
    </row>
    <row r="123" spans="1:11" x14ac:dyDescent="0.25">
      <c r="A123" s="5"/>
      <c r="B123" s="63" t="str">
        <f>IFERROR(TEXT(tbl_Ventes[[#This Row],[Date]],"mm-aaaa"),"")</f>
        <v>01-1900</v>
      </c>
      <c r="D123" s="10" t="str">
        <f>IFERROR(
   INDEX(tbl_ProduitsRef[Cde_Prdt],MATCH(tbl_Ventes[[#This Row],[Produit]],tbl_ProduitsRef[Produit],0)),
   ""
)</f>
        <v/>
      </c>
      <c r="E123" s="7">
        <v>0</v>
      </c>
      <c r="F123" s="7" t="str">
        <f>IFERROR(
   INDEX(tbl_ProduitsRef[Prix Menu],MATCH(tbl_Ventes[[#This Row],[Produit]],tbl_ProduitsRef[Produit],0)),
   ""
)</f>
        <v/>
      </c>
      <c r="G123" s="7">
        <f>tbl_Ventes[[#This Row],[Qté Vendue]] * IFERROR(_xlfn.XLOOKUP(tbl_Ventes[[#This Row],[Cde_Prdt]], tbl_Produits[Cde_Prdt], tbl_Produits[Prix Menu]), 0)</f>
        <v>0</v>
      </c>
      <c r="H123" s="7">
        <f>IFERROR(_xlfn.XLOOKUP(tbl_Ventes[[#This Row],[Cde_Prdt]], tbl_Produits[Cde_Prdt], tbl_Produits[Coût Moyen Portion]), 0)</f>
        <v>0</v>
      </c>
      <c r="I123" s="7">
        <f>tbl_Ventes[[#This Row],[Qté Vendue]] * tbl_Ventes[[#This Row],[CMP_par_portion]]</f>
        <v>0</v>
      </c>
      <c r="J123" s="7">
        <f>tbl_Ventes[[#This Row],[CA ligne]] - tbl_Ventes[[#This Row],[Coût matière ligne]]</f>
        <v>0</v>
      </c>
      <c r="K123" s="7" t="str">
        <f>IFERROR(INDEX(tbl_ProduitsRef[Famille], MATCH(tbl_Ventes[[#This Row],[Cde_Prdt]], tbl_Produits[Cde_Prdt], 0)), "")</f>
        <v/>
      </c>
    </row>
    <row r="124" spans="1:11" x14ac:dyDescent="0.25">
      <c r="A124" s="5"/>
      <c r="B124" s="63" t="str">
        <f>IFERROR(TEXT(tbl_Ventes[[#This Row],[Date]],"mm-aaaa"),"")</f>
        <v>01-1900</v>
      </c>
      <c r="D124" s="10" t="str">
        <f>IFERROR(
   INDEX(tbl_ProduitsRef[Cde_Prdt],MATCH(tbl_Ventes[[#This Row],[Produit]],tbl_ProduitsRef[Produit],0)),
   ""
)</f>
        <v/>
      </c>
      <c r="E124" s="7">
        <v>0</v>
      </c>
      <c r="F124" s="7" t="str">
        <f>IFERROR(
   INDEX(tbl_ProduitsRef[Prix Menu],MATCH(tbl_Ventes[[#This Row],[Produit]],tbl_ProduitsRef[Produit],0)),
   ""
)</f>
        <v/>
      </c>
      <c r="G124" s="7">
        <f>tbl_Ventes[[#This Row],[Qté Vendue]] * IFERROR(_xlfn.XLOOKUP(tbl_Ventes[[#This Row],[Cde_Prdt]], tbl_Produits[Cde_Prdt], tbl_Produits[Prix Menu]), 0)</f>
        <v>0</v>
      </c>
      <c r="H124" s="7">
        <f>IFERROR(_xlfn.XLOOKUP(tbl_Ventes[[#This Row],[Cde_Prdt]], tbl_Produits[Cde_Prdt], tbl_Produits[Coût Moyen Portion]), 0)</f>
        <v>0</v>
      </c>
      <c r="I124" s="7">
        <f>tbl_Ventes[[#This Row],[Qté Vendue]] * tbl_Ventes[[#This Row],[CMP_par_portion]]</f>
        <v>0</v>
      </c>
      <c r="J124" s="7">
        <f>tbl_Ventes[[#This Row],[CA ligne]] - tbl_Ventes[[#This Row],[Coût matière ligne]]</f>
        <v>0</v>
      </c>
      <c r="K124" s="7" t="str">
        <f>IFERROR(INDEX(tbl_ProduitsRef[Famille], MATCH(tbl_Ventes[[#This Row],[Cde_Prdt]], tbl_Produits[Cde_Prdt], 0)), "")</f>
        <v/>
      </c>
    </row>
    <row r="125" spans="1:11" x14ac:dyDescent="0.25">
      <c r="A125" s="5"/>
      <c r="B125" s="63" t="str">
        <f>IFERROR(TEXT(tbl_Ventes[[#This Row],[Date]],"mm-aaaa"),"")</f>
        <v>01-1900</v>
      </c>
      <c r="D125" s="10" t="str">
        <f>IFERROR(
   INDEX(tbl_ProduitsRef[Cde_Prdt],MATCH(tbl_Ventes[[#This Row],[Produit]],tbl_ProduitsRef[Produit],0)),
   ""
)</f>
        <v/>
      </c>
      <c r="E125" s="7">
        <v>0</v>
      </c>
      <c r="F125" s="7" t="str">
        <f>IFERROR(
   INDEX(tbl_ProduitsRef[Prix Menu],MATCH(tbl_Ventes[[#This Row],[Produit]],tbl_ProduitsRef[Produit],0)),
   ""
)</f>
        <v/>
      </c>
      <c r="G125" s="7">
        <f>tbl_Ventes[[#This Row],[Qté Vendue]] * IFERROR(_xlfn.XLOOKUP(tbl_Ventes[[#This Row],[Cde_Prdt]], tbl_Produits[Cde_Prdt], tbl_Produits[Prix Menu]), 0)</f>
        <v>0</v>
      </c>
      <c r="H125" s="7">
        <f>IFERROR(_xlfn.XLOOKUP(tbl_Ventes[[#This Row],[Cde_Prdt]], tbl_Produits[Cde_Prdt], tbl_Produits[Coût Moyen Portion]), 0)</f>
        <v>0</v>
      </c>
      <c r="I125" s="7">
        <f>tbl_Ventes[[#This Row],[Qté Vendue]] * tbl_Ventes[[#This Row],[CMP_par_portion]]</f>
        <v>0</v>
      </c>
      <c r="J125" s="7">
        <f>tbl_Ventes[[#This Row],[CA ligne]] - tbl_Ventes[[#This Row],[Coût matière ligne]]</f>
        <v>0</v>
      </c>
      <c r="K125" s="7" t="str">
        <f>IFERROR(INDEX(tbl_ProduitsRef[Famille], MATCH(tbl_Ventes[[#This Row],[Cde_Prdt]], tbl_Produits[Cde_Prdt], 0)), "")</f>
        <v/>
      </c>
    </row>
    <row r="126" spans="1:11" x14ac:dyDescent="0.25">
      <c r="A126" s="5"/>
      <c r="B126" s="63" t="str">
        <f>IFERROR(TEXT(tbl_Ventes[[#This Row],[Date]],"mm-aaaa"),"")</f>
        <v>01-1900</v>
      </c>
      <c r="D126" s="10" t="str">
        <f>IFERROR(
   INDEX(tbl_ProduitsRef[Cde_Prdt],MATCH(tbl_Ventes[[#This Row],[Produit]],tbl_ProduitsRef[Produit],0)),
   ""
)</f>
        <v/>
      </c>
      <c r="E126" s="7">
        <v>0</v>
      </c>
      <c r="F126" s="7" t="str">
        <f>IFERROR(
   INDEX(tbl_ProduitsRef[Prix Menu],MATCH(tbl_Ventes[[#This Row],[Produit]],tbl_ProduitsRef[Produit],0)),
   ""
)</f>
        <v/>
      </c>
      <c r="G126" s="7">
        <f>tbl_Ventes[[#This Row],[Qté Vendue]] * IFERROR(_xlfn.XLOOKUP(tbl_Ventes[[#This Row],[Cde_Prdt]], tbl_Produits[Cde_Prdt], tbl_Produits[Prix Menu]), 0)</f>
        <v>0</v>
      </c>
      <c r="H126" s="7">
        <f>IFERROR(_xlfn.XLOOKUP(tbl_Ventes[[#This Row],[Cde_Prdt]], tbl_Produits[Cde_Prdt], tbl_Produits[Coût Moyen Portion]), 0)</f>
        <v>0</v>
      </c>
      <c r="I126" s="7">
        <f>tbl_Ventes[[#This Row],[Qté Vendue]] * tbl_Ventes[[#This Row],[CMP_par_portion]]</f>
        <v>0</v>
      </c>
      <c r="J126" s="7">
        <f>tbl_Ventes[[#This Row],[CA ligne]] - tbl_Ventes[[#This Row],[Coût matière ligne]]</f>
        <v>0</v>
      </c>
      <c r="K126" s="7" t="str">
        <f>IFERROR(INDEX(tbl_ProduitsRef[Famille], MATCH(tbl_Ventes[[#This Row],[Cde_Prdt]], tbl_Produits[Cde_Prdt], 0)), "")</f>
        <v/>
      </c>
    </row>
    <row r="127" spans="1:11" x14ac:dyDescent="0.25">
      <c r="A127" s="5"/>
      <c r="B127" s="63" t="str">
        <f>IFERROR(TEXT(tbl_Ventes[[#This Row],[Date]],"mm-aaaa"),"")</f>
        <v>01-1900</v>
      </c>
      <c r="D127" s="10" t="str">
        <f>IFERROR(
   INDEX(tbl_ProduitsRef[Cde_Prdt],MATCH(tbl_Ventes[[#This Row],[Produit]],tbl_ProduitsRef[Produit],0)),
   ""
)</f>
        <v/>
      </c>
      <c r="E127" s="7">
        <v>0</v>
      </c>
      <c r="F127" s="7" t="str">
        <f>IFERROR(
   INDEX(tbl_ProduitsRef[Prix Menu],MATCH(tbl_Ventes[[#This Row],[Produit]],tbl_ProduitsRef[Produit],0)),
   ""
)</f>
        <v/>
      </c>
      <c r="G127" s="7">
        <f>tbl_Ventes[[#This Row],[Qté Vendue]] * IFERROR(_xlfn.XLOOKUP(tbl_Ventes[[#This Row],[Cde_Prdt]], tbl_Produits[Cde_Prdt], tbl_Produits[Prix Menu]), 0)</f>
        <v>0</v>
      </c>
      <c r="H127" s="7">
        <f>IFERROR(_xlfn.XLOOKUP(tbl_Ventes[[#This Row],[Cde_Prdt]], tbl_Produits[Cde_Prdt], tbl_Produits[Coût Moyen Portion]), 0)</f>
        <v>0</v>
      </c>
      <c r="I127" s="7">
        <f>tbl_Ventes[[#This Row],[Qté Vendue]] * tbl_Ventes[[#This Row],[CMP_par_portion]]</f>
        <v>0</v>
      </c>
      <c r="J127" s="7">
        <f>tbl_Ventes[[#This Row],[CA ligne]] - tbl_Ventes[[#This Row],[Coût matière ligne]]</f>
        <v>0</v>
      </c>
      <c r="K127" s="7" t="str">
        <f>IFERROR(INDEX(tbl_ProduitsRef[Famille], MATCH(tbl_Ventes[[#This Row],[Cde_Prdt]], tbl_Produits[Cde_Prdt], 0)), "")</f>
        <v/>
      </c>
    </row>
    <row r="128" spans="1:11" x14ac:dyDescent="0.25">
      <c r="A128" s="5"/>
      <c r="B128" s="63" t="str">
        <f>IFERROR(TEXT(tbl_Ventes[[#This Row],[Date]],"mm-aaaa"),"")</f>
        <v>01-1900</v>
      </c>
      <c r="D128" s="10" t="str">
        <f>IFERROR(
   INDEX(tbl_ProduitsRef[Cde_Prdt],MATCH(tbl_Ventes[[#This Row],[Produit]],tbl_ProduitsRef[Produit],0)),
   ""
)</f>
        <v/>
      </c>
      <c r="E128" s="7">
        <v>0</v>
      </c>
      <c r="F128" s="7" t="str">
        <f>IFERROR(
   INDEX(tbl_ProduitsRef[Prix Menu],MATCH(tbl_Ventes[[#This Row],[Produit]],tbl_ProduitsRef[Produit],0)),
   ""
)</f>
        <v/>
      </c>
      <c r="G128" s="7">
        <f>tbl_Ventes[[#This Row],[Qté Vendue]] * IFERROR(_xlfn.XLOOKUP(tbl_Ventes[[#This Row],[Cde_Prdt]], tbl_Produits[Cde_Prdt], tbl_Produits[Prix Menu]), 0)</f>
        <v>0</v>
      </c>
      <c r="H128" s="7">
        <f>IFERROR(_xlfn.XLOOKUP(tbl_Ventes[[#This Row],[Cde_Prdt]], tbl_Produits[Cde_Prdt], tbl_Produits[Coût Moyen Portion]), 0)</f>
        <v>0</v>
      </c>
      <c r="I128" s="7">
        <f>tbl_Ventes[[#This Row],[Qté Vendue]] * tbl_Ventes[[#This Row],[CMP_par_portion]]</f>
        <v>0</v>
      </c>
      <c r="J128" s="7">
        <f>tbl_Ventes[[#This Row],[CA ligne]] - tbl_Ventes[[#This Row],[Coût matière ligne]]</f>
        <v>0</v>
      </c>
      <c r="K128" s="7" t="str">
        <f>IFERROR(INDEX(tbl_ProduitsRef[Famille], MATCH(tbl_Ventes[[#This Row],[Cde_Prdt]], tbl_Produits[Cde_Prdt], 0)), "")</f>
        <v/>
      </c>
    </row>
    <row r="129" spans="1:11" x14ac:dyDescent="0.25">
      <c r="A129" s="5"/>
      <c r="B129" s="63" t="str">
        <f>IFERROR(TEXT(tbl_Ventes[[#This Row],[Date]],"mm-aaaa"),"")</f>
        <v>01-1900</v>
      </c>
      <c r="D129" s="10" t="str">
        <f>IFERROR(
   INDEX(tbl_ProduitsRef[Cde_Prdt],MATCH(tbl_Ventes[[#This Row],[Produit]],tbl_ProduitsRef[Produit],0)),
   ""
)</f>
        <v/>
      </c>
      <c r="E129" s="7">
        <v>0</v>
      </c>
      <c r="F129" s="7" t="str">
        <f>IFERROR(
   INDEX(tbl_ProduitsRef[Prix Menu],MATCH(tbl_Ventes[[#This Row],[Produit]],tbl_ProduitsRef[Produit],0)),
   ""
)</f>
        <v/>
      </c>
      <c r="G129" s="7">
        <f>tbl_Ventes[[#This Row],[Qté Vendue]] * IFERROR(_xlfn.XLOOKUP(tbl_Ventes[[#This Row],[Cde_Prdt]], tbl_Produits[Cde_Prdt], tbl_Produits[Prix Menu]), 0)</f>
        <v>0</v>
      </c>
      <c r="H129" s="7">
        <f>IFERROR(_xlfn.XLOOKUP(tbl_Ventes[[#This Row],[Cde_Prdt]], tbl_Produits[Cde_Prdt], tbl_Produits[Coût Moyen Portion]), 0)</f>
        <v>0</v>
      </c>
      <c r="I129" s="7">
        <f>tbl_Ventes[[#This Row],[Qté Vendue]] * tbl_Ventes[[#This Row],[CMP_par_portion]]</f>
        <v>0</v>
      </c>
      <c r="J129" s="7">
        <f>tbl_Ventes[[#This Row],[CA ligne]] - tbl_Ventes[[#This Row],[Coût matière ligne]]</f>
        <v>0</v>
      </c>
      <c r="K129" s="7" t="str">
        <f>IFERROR(INDEX(tbl_ProduitsRef[Famille], MATCH(tbl_Ventes[[#This Row],[Cde_Prdt]], tbl_Produits[Cde_Prdt], 0)), "")</f>
        <v/>
      </c>
    </row>
    <row r="130" spans="1:11" x14ac:dyDescent="0.25">
      <c r="A130" s="5"/>
      <c r="B130" s="63" t="str">
        <f>IFERROR(TEXT(tbl_Ventes[[#This Row],[Date]],"mm-aaaa"),"")</f>
        <v>01-1900</v>
      </c>
      <c r="D130" s="10" t="str">
        <f>IFERROR(
   INDEX(tbl_ProduitsRef[Cde_Prdt],MATCH(tbl_Ventes[[#This Row],[Produit]],tbl_ProduitsRef[Produit],0)),
   ""
)</f>
        <v/>
      </c>
      <c r="E130" s="7">
        <v>0</v>
      </c>
      <c r="F130" s="7" t="str">
        <f>IFERROR(
   INDEX(tbl_ProduitsRef[Prix Menu],MATCH(tbl_Ventes[[#This Row],[Produit]],tbl_ProduitsRef[Produit],0)),
   ""
)</f>
        <v/>
      </c>
      <c r="G130" s="7">
        <f>tbl_Ventes[[#This Row],[Qté Vendue]] * IFERROR(_xlfn.XLOOKUP(tbl_Ventes[[#This Row],[Cde_Prdt]], tbl_Produits[Cde_Prdt], tbl_Produits[Prix Menu]), 0)</f>
        <v>0</v>
      </c>
      <c r="H130" s="7">
        <f>IFERROR(_xlfn.XLOOKUP(tbl_Ventes[[#This Row],[Cde_Prdt]], tbl_Produits[Cde_Prdt], tbl_Produits[Coût Moyen Portion]), 0)</f>
        <v>0</v>
      </c>
      <c r="I130" s="7">
        <f>tbl_Ventes[[#This Row],[Qté Vendue]] * tbl_Ventes[[#This Row],[CMP_par_portion]]</f>
        <v>0</v>
      </c>
      <c r="J130" s="7">
        <f>tbl_Ventes[[#This Row],[CA ligne]] - tbl_Ventes[[#This Row],[Coût matière ligne]]</f>
        <v>0</v>
      </c>
      <c r="K130" s="7" t="str">
        <f>IFERROR(INDEX(tbl_ProduitsRef[Famille], MATCH(tbl_Ventes[[#This Row],[Cde_Prdt]], tbl_Produits[Cde_Prdt], 0)), "")</f>
        <v/>
      </c>
    </row>
    <row r="131" spans="1:11" x14ac:dyDescent="0.25">
      <c r="A131" s="5"/>
      <c r="B131" s="63" t="str">
        <f>IFERROR(TEXT(tbl_Ventes[[#This Row],[Date]],"mm-aaaa"),"")</f>
        <v>01-1900</v>
      </c>
      <c r="D131" s="10" t="str">
        <f>IFERROR(
   INDEX(tbl_ProduitsRef[Cde_Prdt],MATCH(tbl_Ventes[[#This Row],[Produit]],tbl_ProduitsRef[Produit],0)),
   ""
)</f>
        <v/>
      </c>
      <c r="E131" s="7">
        <v>0</v>
      </c>
      <c r="F131" s="7" t="str">
        <f>IFERROR(
   INDEX(tbl_ProduitsRef[Prix Menu],MATCH(tbl_Ventes[[#This Row],[Produit]],tbl_ProduitsRef[Produit],0)),
   ""
)</f>
        <v/>
      </c>
      <c r="G131" s="7">
        <f>tbl_Ventes[[#This Row],[Qté Vendue]] * IFERROR(_xlfn.XLOOKUP(tbl_Ventes[[#This Row],[Cde_Prdt]], tbl_Produits[Cde_Prdt], tbl_Produits[Prix Menu]), 0)</f>
        <v>0</v>
      </c>
      <c r="H131" s="7">
        <f>IFERROR(_xlfn.XLOOKUP(tbl_Ventes[[#This Row],[Cde_Prdt]], tbl_Produits[Cde_Prdt], tbl_Produits[Coût Moyen Portion]), 0)</f>
        <v>0</v>
      </c>
      <c r="I131" s="7">
        <f>tbl_Ventes[[#This Row],[Qté Vendue]] * tbl_Ventes[[#This Row],[CMP_par_portion]]</f>
        <v>0</v>
      </c>
      <c r="J131" s="7">
        <f>tbl_Ventes[[#This Row],[CA ligne]] - tbl_Ventes[[#This Row],[Coût matière ligne]]</f>
        <v>0</v>
      </c>
      <c r="K131" s="7" t="str">
        <f>IFERROR(INDEX(tbl_ProduitsRef[Famille], MATCH(tbl_Ventes[[#This Row],[Cde_Prdt]], tbl_Produits[Cde_Prdt], 0)), "")</f>
        <v/>
      </c>
    </row>
    <row r="132" spans="1:11" x14ac:dyDescent="0.25">
      <c r="A132" s="5"/>
      <c r="B132" s="63" t="str">
        <f>IFERROR(TEXT(tbl_Ventes[[#This Row],[Date]],"mm-aaaa"),"")</f>
        <v>01-1900</v>
      </c>
      <c r="D132" s="10" t="str">
        <f>IFERROR(
   INDEX(tbl_ProduitsRef[Cde_Prdt],MATCH(tbl_Ventes[[#This Row],[Produit]],tbl_ProduitsRef[Produit],0)),
   ""
)</f>
        <v/>
      </c>
      <c r="E132" s="7">
        <v>0</v>
      </c>
      <c r="F132" s="7" t="str">
        <f>IFERROR(
   INDEX(tbl_ProduitsRef[Prix Menu],MATCH(tbl_Ventes[[#This Row],[Produit]],tbl_ProduitsRef[Produit],0)),
   ""
)</f>
        <v/>
      </c>
      <c r="G132" s="7">
        <f>tbl_Ventes[[#This Row],[Qté Vendue]] * IFERROR(_xlfn.XLOOKUP(tbl_Ventes[[#This Row],[Cde_Prdt]], tbl_Produits[Cde_Prdt], tbl_Produits[Prix Menu]), 0)</f>
        <v>0</v>
      </c>
      <c r="H132" s="7">
        <f>IFERROR(_xlfn.XLOOKUP(tbl_Ventes[[#This Row],[Cde_Prdt]], tbl_Produits[Cde_Prdt], tbl_Produits[Coût Moyen Portion]), 0)</f>
        <v>0</v>
      </c>
      <c r="I132" s="7">
        <f>tbl_Ventes[[#This Row],[Qté Vendue]] * tbl_Ventes[[#This Row],[CMP_par_portion]]</f>
        <v>0</v>
      </c>
      <c r="J132" s="7">
        <f>tbl_Ventes[[#This Row],[CA ligne]] - tbl_Ventes[[#This Row],[Coût matière ligne]]</f>
        <v>0</v>
      </c>
      <c r="K132" s="7" t="str">
        <f>IFERROR(INDEX(tbl_ProduitsRef[Famille], MATCH(tbl_Ventes[[#This Row],[Cde_Prdt]], tbl_Produits[Cde_Prdt], 0)), "")</f>
        <v/>
      </c>
    </row>
    <row r="133" spans="1:11" x14ac:dyDescent="0.25">
      <c r="A133" s="5"/>
      <c r="B133" s="63" t="str">
        <f>IFERROR(TEXT(tbl_Ventes[[#This Row],[Date]],"mm-aaaa"),"")</f>
        <v>01-1900</v>
      </c>
      <c r="D133" s="10" t="str">
        <f>IFERROR(
   INDEX(tbl_ProduitsRef[Cde_Prdt],MATCH(tbl_Ventes[[#This Row],[Produit]],tbl_ProduitsRef[Produit],0)),
   ""
)</f>
        <v/>
      </c>
      <c r="E133" s="7">
        <v>0</v>
      </c>
      <c r="F133" s="7" t="str">
        <f>IFERROR(
   INDEX(tbl_ProduitsRef[Prix Menu],MATCH(tbl_Ventes[[#This Row],[Produit]],tbl_ProduitsRef[Produit],0)),
   ""
)</f>
        <v/>
      </c>
      <c r="G133" s="7">
        <f>tbl_Ventes[[#This Row],[Qté Vendue]] * IFERROR(_xlfn.XLOOKUP(tbl_Ventes[[#This Row],[Cde_Prdt]], tbl_Produits[Cde_Prdt], tbl_Produits[Prix Menu]), 0)</f>
        <v>0</v>
      </c>
      <c r="H133" s="7">
        <f>IFERROR(_xlfn.XLOOKUP(tbl_Ventes[[#This Row],[Cde_Prdt]], tbl_Produits[Cde_Prdt], tbl_Produits[Coût Moyen Portion]), 0)</f>
        <v>0</v>
      </c>
      <c r="I133" s="7">
        <f>tbl_Ventes[[#This Row],[Qté Vendue]] * tbl_Ventes[[#This Row],[CMP_par_portion]]</f>
        <v>0</v>
      </c>
      <c r="J133" s="7">
        <f>tbl_Ventes[[#This Row],[CA ligne]] - tbl_Ventes[[#This Row],[Coût matière ligne]]</f>
        <v>0</v>
      </c>
      <c r="K133" s="7" t="str">
        <f>IFERROR(INDEX(tbl_ProduitsRef[Famille], MATCH(tbl_Ventes[[#This Row],[Cde_Prdt]], tbl_Produits[Cde_Prdt], 0)), "")</f>
        <v/>
      </c>
    </row>
    <row r="134" spans="1:11" x14ac:dyDescent="0.25">
      <c r="A134" s="5"/>
      <c r="B134" s="63" t="str">
        <f>IFERROR(TEXT(tbl_Ventes[[#This Row],[Date]],"mm-aaaa"),"")</f>
        <v>01-1900</v>
      </c>
      <c r="D134" s="10" t="str">
        <f>IFERROR(
   INDEX(tbl_ProduitsRef[Cde_Prdt],MATCH(tbl_Ventes[[#This Row],[Produit]],tbl_ProduitsRef[Produit],0)),
   ""
)</f>
        <v/>
      </c>
      <c r="E134" s="7">
        <v>0</v>
      </c>
      <c r="F134" s="7" t="str">
        <f>IFERROR(
   INDEX(tbl_ProduitsRef[Prix Menu],MATCH(tbl_Ventes[[#This Row],[Produit]],tbl_ProduitsRef[Produit],0)),
   ""
)</f>
        <v/>
      </c>
      <c r="G134" s="7">
        <f>tbl_Ventes[[#This Row],[Qté Vendue]] * IFERROR(_xlfn.XLOOKUP(tbl_Ventes[[#This Row],[Cde_Prdt]], tbl_Produits[Cde_Prdt], tbl_Produits[Prix Menu]), 0)</f>
        <v>0</v>
      </c>
      <c r="H134" s="7">
        <f>IFERROR(_xlfn.XLOOKUP(tbl_Ventes[[#This Row],[Cde_Prdt]], tbl_Produits[Cde_Prdt], tbl_Produits[Coût Moyen Portion]), 0)</f>
        <v>0</v>
      </c>
      <c r="I134" s="7">
        <f>tbl_Ventes[[#This Row],[Qté Vendue]] * tbl_Ventes[[#This Row],[CMP_par_portion]]</f>
        <v>0</v>
      </c>
      <c r="J134" s="7">
        <f>tbl_Ventes[[#This Row],[CA ligne]] - tbl_Ventes[[#This Row],[Coût matière ligne]]</f>
        <v>0</v>
      </c>
      <c r="K134" s="7" t="str">
        <f>IFERROR(INDEX(tbl_ProduitsRef[Famille], MATCH(tbl_Ventes[[#This Row],[Cde_Prdt]], tbl_Produits[Cde_Prdt], 0)), "")</f>
        <v/>
      </c>
    </row>
    <row r="135" spans="1:11" x14ac:dyDescent="0.25">
      <c r="A135" s="5"/>
      <c r="B135" s="63" t="str">
        <f>IFERROR(TEXT(tbl_Ventes[[#This Row],[Date]],"mm-aaaa"),"")</f>
        <v>01-1900</v>
      </c>
      <c r="D135" s="10" t="str">
        <f>IFERROR(
   INDEX(tbl_ProduitsRef[Cde_Prdt],MATCH(tbl_Ventes[[#This Row],[Produit]],tbl_ProduitsRef[Produit],0)),
   ""
)</f>
        <v/>
      </c>
      <c r="E135" s="7">
        <v>0</v>
      </c>
      <c r="F135" s="7" t="str">
        <f>IFERROR(
   INDEX(tbl_ProduitsRef[Prix Menu],MATCH(tbl_Ventes[[#This Row],[Produit]],tbl_ProduitsRef[Produit],0)),
   ""
)</f>
        <v/>
      </c>
      <c r="G135" s="7">
        <f>tbl_Ventes[[#This Row],[Qté Vendue]] * IFERROR(_xlfn.XLOOKUP(tbl_Ventes[[#This Row],[Cde_Prdt]], tbl_Produits[Cde_Prdt], tbl_Produits[Prix Menu]), 0)</f>
        <v>0</v>
      </c>
      <c r="H135" s="7">
        <f>IFERROR(_xlfn.XLOOKUP(tbl_Ventes[[#This Row],[Cde_Prdt]], tbl_Produits[Cde_Prdt], tbl_Produits[Coût Moyen Portion]), 0)</f>
        <v>0</v>
      </c>
      <c r="I135" s="7">
        <f>tbl_Ventes[[#This Row],[Qté Vendue]] * tbl_Ventes[[#This Row],[CMP_par_portion]]</f>
        <v>0</v>
      </c>
      <c r="J135" s="7">
        <f>tbl_Ventes[[#This Row],[CA ligne]] - tbl_Ventes[[#This Row],[Coût matière ligne]]</f>
        <v>0</v>
      </c>
      <c r="K135" s="7" t="str">
        <f>IFERROR(INDEX(tbl_ProduitsRef[Famille], MATCH(tbl_Ventes[[#This Row],[Cde_Prdt]], tbl_Produits[Cde_Prdt], 0)), "")</f>
        <v/>
      </c>
    </row>
    <row r="136" spans="1:11" x14ac:dyDescent="0.25">
      <c r="A136" s="5"/>
      <c r="B136" s="63" t="str">
        <f>IFERROR(TEXT(tbl_Ventes[[#This Row],[Date]],"mm-aaaa"),"")</f>
        <v>01-1900</v>
      </c>
      <c r="D136" s="10" t="str">
        <f>IFERROR(
   INDEX(tbl_ProduitsRef[Cde_Prdt],MATCH(tbl_Ventes[[#This Row],[Produit]],tbl_ProduitsRef[Produit],0)),
   ""
)</f>
        <v/>
      </c>
      <c r="E136" s="7">
        <v>0</v>
      </c>
      <c r="F136" s="7" t="str">
        <f>IFERROR(
   INDEX(tbl_ProduitsRef[Prix Menu],MATCH(tbl_Ventes[[#This Row],[Produit]],tbl_ProduitsRef[Produit],0)),
   ""
)</f>
        <v/>
      </c>
      <c r="G136" s="7">
        <f>tbl_Ventes[[#This Row],[Qté Vendue]] * IFERROR(_xlfn.XLOOKUP(tbl_Ventes[[#This Row],[Cde_Prdt]], tbl_Produits[Cde_Prdt], tbl_Produits[Prix Menu]), 0)</f>
        <v>0</v>
      </c>
      <c r="H136" s="7">
        <f>IFERROR(_xlfn.XLOOKUP(tbl_Ventes[[#This Row],[Cde_Prdt]], tbl_Produits[Cde_Prdt], tbl_Produits[Coût Moyen Portion]), 0)</f>
        <v>0</v>
      </c>
      <c r="I136" s="7">
        <f>tbl_Ventes[[#This Row],[Qté Vendue]] * tbl_Ventes[[#This Row],[CMP_par_portion]]</f>
        <v>0</v>
      </c>
      <c r="J136" s="7">
        <f>tbl_Ventes[[#This Row],[CA ligne]] - tbl_Ventes[[#This Row],[Coût matière ligne]]</f>
        <v>0</v>
      </c>
      <c r="K136" s="7" t="str">
        <f>IFERROR(INDEX(tbl_ProduitsRef[Famille], MATCH(tbl_Ventes[[#This Row],[Cde_Prdt]], tbl_Produits[Cde_Prdt], 0)), "")</f>
        <v/>
      </c>
    </row>
    <row r="137" spans="1:11" x14ac:dyDescent="0.25">
      <c r="A137" s="5"/>
      <c r="B137" s="63" t="str">
        <f>IFERROR(TEXT(tbl_Ventes[[#This Row],[Date]],"mm-aaaa"),"")</f>
        <v>01-1900</v>
      </c>
      <c r="D137" s="10" t="str">
        <f>IFERROR(
   INDEX(tbl_ProduitsRef[Cde_Prdt],MATCH(tbl_Ventes[[#This Row],[Produit]],tbl_ProduitsRef[Produit],0)),
   ""
)</f>
        <v/>
      </c>
      <c r="E137" s="7">
        <v>0</v>
      </c>
      <c r="F137" s="7" t="str">
        <f>IFERROR(
   INDEX(tbl_ProduitsRef[Prix Menu],MATCH(tbl_Ventes[[#This Row],[Produit]],tbl_ProduitsRef[Produit],0)),
   ""
)</f>
        <v/>
      </c>
      <c r="G137" s="7">
        <f>tbl_Ventes[[#This Row],[Qté Vendue]] * IFERROR(_xlfn.XLOOKUP(tbl_Ventes[[#This Row],[Cde_Prdt]], tbl_Produits[Cde_Prdt], tbl_Produits[Prix Menu]), 0)</f>
        <v>0</v>
      </c>
      <c r="H137" s="7">
        <f>IFERROR(_xlfn.XLOOKUP(tbl_Ventes[[#This Row],[Cde_Prdt]], tbl_Produits[Cde_Prdt], tbl_Produits[Coût Moyen Portion]), 0)</f>
        <v>0</v>
      </c>
      <c r="I137" s="7">
        <f>tbl_Ventes[[#This Row],[Qté Vendue]] * tbl_Ventes[[#This Row],[CMP_par_portion]]</f>
        <v>0</v>
      </c>
      <c r="J137" s="7">
        <f>tbl_Ventes[[#This Row],[CA ligne]] - tbl_Ventes[[#This Row],[Coût matière ligne]]</f>
        <v>0</v>
      </c>
      <c r="K137" s="7" t="str">
        <f>IFERROR(INDEX(tbl_ProduitsRef[Famille], MATCH(tbl_Ventes[[#This Row],[Cde_Prdt]], tbl_Produits[Cde_Prdt], 0)), "")</f>
        <v/>
      </c>
    </row>
    <row r="138" spans="1:11" x14ac:dyDescent="0.25">
      <c r="A138" s="5"/>
      <c r="B138" s="63" t="str">
        <f>IFERROR(TEXT(tbl_Ventes[[#This Row],[Date]],"mm-aaaa"),"")</f>
        <v>01-1900</v>
      </c>
      <c r="D138" s="10" t="str">
        <f>IFERROR(
   INDEX(tbl_ProduitsRef[Cde_Prdt],MATCH(tbl_Ventes[[#This Row],[Produit]],tbl_ProduitsRef[Produit],0)),
   ""
)</f>
        <v/>
      </c>
      <c r="E138" s="7">
        <v>0</v>
      </c>
      <c r="F138" s="7" t="str">
        <f>IFERROR(
   INDEX(tbl_ProduitsRef[Prix Menu],MATCH(tbl_Ventes[[#This Row],[Produit]],tbl_ProduitsRef[Produit],0)),
   ""
)</f>
        <v/>
      </c>
      <c r="G138" s="7">
        <f>tbl_Ventes[[#This Row],[Qté Vendue]] * IFERROR(_xlfn.XLOOKUP(tbl_Ventes[[#This Row],[Cde_Prdt]], tbl_Produits[Cde_Prdt], tbl_Produits[Prix Menu]), 0)</f>
        <v>0</v>
      </c>
      <c r="H138" s="7">
        <f>IFERROR(_xlfn.XLOOKUP(tbl_Ventes[[#This Row],[Cde_Prdt]], tbl_Produits[Cde_Prdt], tbl_Produits[Coût Moyen Portion]), 0)</f>
        <v>0</v>
      </c>
      <c r="I138" s="7">
        <f>tbl_Ventes[[#This Row],[Qté Vendue]] * tbl_Ventes[[#This Row],[CMP_par_portion]]</f>
        <v>0</v>
      </c>
      <c r="J138" s="7">
        <f>tbl_Ventes[[#This Row],[CA ligne]] - tbl_Ventes[[#This Row],[Coût matière ligne]]</f>
        <v>0</v>
      </c>
      <c r="K138" s="7" t="str">
        <f>IFERROR(INDEX(tbl_ProduitsRef[Famille], MATCH(tbl_Ventes[[#This Row],[Cde_Prdt]], tbl_Produits[Cde_Prdt], 0)), "")</f>
        <v/>
      </c>
    </row>
    <row r="139" spans="1:11" x14ac:dyDescent="0.25">
      <c r="A139" s="5"/>
      <c r="B139" s="63" t="str">
        <f>IFERROR(TEXT(tbl_Ventes[[#This Row],[Date]],"mm-aaaa"),"")</f>
        <v>01-1900</v>
      </c>
      <c r="D139" s="10" t="str">
        <f>IFERROR(
   INDEX(tbl_ProduitsRef[Cde_Prdt],MATCH(tbl_Ventes[[#This Row],[Produit]],tbl_ProduitsRef[Produit],0)),
   ""
)</f>
        <v/>
      </c>
      <c r="E139" s="7">
        <v>0</v>
      </c>
      <c r="F139" s="7" t="str">
        <f>IFERROR(
   INDEX(tbl_ProduitsRef[Prix Menu],MATCH(tbl_Ventes[[#This Row],[Produit]],tbl_ProduitsRef[Produit],0)),
   ""
)</f>
        <v/>
      </c>
      <c r="G139" s="7">
        <f>tbl_Ventes[[#This Row],[Qté Vendue]] * IFERROR(_xlfn.XLOOKUP(tbl_Ventes[[#This Row],[Cde_Prdt]], tbl_Produits[Cde_Prdt], tbl_Produits[Prix Menu]), 0)</f>
        <v>0</v>
      </c>
      <c r="H139" s="7">
        <f>IFERROR(_xlfn.XLOOKUP(tbl_Ventes[[#This Row],[Cde_Prdt]], tbl_Produits[Cde_Prdt], tbl_Produits[Coût Moyen Portion]), 0)</f>
        <v>0</v>
      </c>
      <c r="I139" s="7">
        <f>tbl_Ventes[[#This Row],[Qté Vendue]] * tbl_Ventes[[#This Row],[CMP_par_portion]]</f>
        <v>0</v>
      </c>
      <c r="J139" s="7">
        <f>tbl_Ventes[[#This Row],[CA ligne]] - tbl_Ventes[[#This Row],[Coût matière ligne]]</f>
        <v>0</v>
      </c>
      <c r="K139" s="7" t="str">
        <f>IFERROR(INDEX(tbl_ProduitsRef[Famille], MATCH(tbl_Ventes[[#This Row],[Cde_Prdt]], tbl_Produits[Cde_Prdt], 0)), "")</f>
        <v/>
      </c>
    </row>
    <row r="140" spans="1:11" x14ac:dyDescent="0.25">
      <c r="A140" s="5"/>
      <c r="B140" s="63" t="str">
        <f>IFERROR(TEXT(tbl_Ventes[[#This Row],[Date]],"mm-aaaa"),"")</f>
        <v>01-1900</v>
      </c>
      <c r="D140" s="10" t="str">
        <f>IFERROR(
   INDEX(tbl_ProduitsRef[Cde_Prdt],MATCH(tbl_Ventes[[#This Row],[Produit]],tbl_ProduitsRef[Produit],0)),
   ""
)</f>
        <v/>
      </c>
      <c r="E140" s="7">
        <v>0</v>
      </c>
      <c r="F140" s="7" t="str">
        <f>IFERROR(
   INDEX(tbl_ProduitsRef[Prix Menu],MATCH(tbl_Ventes[[#This Row],[Produit]],tbl_ProduitsRef[Produit],0)),
   ""
)</f>
        <v/>
      </c>
      <c r="G140" s="7">
        <f>tbl_Ventes[[#This Row],[Qté Vendue]] * IFERROR(_xlfn.XLOOKUP(tbl_Ventes[[#This Row],[Cde_Prdt]], tbl_Produits[Cde_Prdt], tbl_Produits[Prix Menu]), 0)</f>
        <v>0</v>
      </c>
      <c r="H140" s="7">
        <f>IFERROR(_xlfn.XLOOKUP(tbl_Ventes[[#This Row],[Cde_Prdt]], tbl_Produits[Cde_Prdt], tbl_Produits[Coût Moyen Portion]), 0)</f>
        <v>0</v>
      </c>
      <c r="I140" s="7">
        <f>tbl_Ventes[[#This Row],[Qté Vendue]] * tbl_Ventes[[#This Row],[CMP_par_portion]]</f>
        <v>0</v>
      </c>
      <c r="J140" s="7">
        <f>tbl_Ventes[[#This Row],[CA ligne]] - tbl_Ventes[[#This Row],[Coût matière ligne]]</f>
        <v>0</v>
      </c>
      <c r="K140" s="7" t="str">
        <f>IFERROR(INDEX(tbl_ProduitsRef[Famille], MATCH(tbl_Ventes[[#This Row],[Cde_Prdt]], tbl_Produits[Cde_Prdt], 0)), "")</f>
        <v/>
      </c>
    </row>
    <row r="141" spans="1:11" x14ac:dyDescent="0.25">
      <c r="A141" s="5"/>
      <c r="B141" s="63" t="str">
        <f>IFERROR(TEXT(tbl_Ventes[[#This Row],[Date]],"mm-aaaa"),"")</f>
        <v>01-1900</v>
      </c>
      <c r="D141" s="10" t="str">
        <f>IFERROR(
   INDEX(tbl_ProduitsRef[Cde_Prdt],MATCH(tbl_Ventes[[#This Row],[Produit]],tbl_ProduitsRef[Produit],0)),
   ""
)</f>
        <v/>
      </c>
      <c r="E141" s="7">
        <v>0</v>
      </c>
      <c r="F141" s="7" t="str">
        <f>IFERROR(
   INDEX(tbl_ProduitsRef[Prix Menu],MATCH(tbl_Ventes[[#This Row],[Produit]],tbl_ProduitsRef[Produit],0)),
   ""
)</f>
        <v/>
      </c>
      <c r="G141" s="7">
        <f>tbl_Ventes[[#This Row],[Qté Vendue]] * IFERROR(_xlfn.XLOOKUP(tbl_Ventes[[#This Row],[Cde_Prdt]], tbl_Produits[Cde_Prdt], tbl_Produits[Prix Menu]), 0)</f>
        <v>0</v>
      </c>
      <c r="H141" s="7">
        <f>IFERROR(_xlfn.XLOOKUP(tbl_Ventes[[#This Row],[Cde_Prdt]], tbl_Produits[Cde_Prdt], tbl_Produits[Coût Moyen Portion]), 0)</f>
        <v>0</v>
      </c>
      <c r="I141" s="7">
        <f>tbl_Ventes[[#This Row],[Qté Vendue]] * tbl_Ventes[[#This Row],[CMP_par_portion]]</f>
        <v>0</v>
      </c>
      <c r="J141" s="7">
        <f>tbl_Ventes[[#This Row],[CA ligne]] - tbl_Ventes[[#This Row],[Coût matière ligne]]</f>
        <v>0</v>
      </c>
      <c r="K141" s="7" t="str">
        <f>IFERROR(INDEX(tbl_ProduitsRef[Famille], MATCH(tbl_Ventes[[#This Row],[Cde_Prdt]], tbl_Produits[Cde_Prdt], 0)), "")</f>
        <v/>
      </c>
    </row>
    <row r="142" spans="1:11" x14ac:dyDescent="0.25">
      <c r="A142" s="5"/>
      <c r="B142" s="63" t="str">
        <f>IFERROR(TEXT(tbl_Ventes[[#This Row],[Date]],"mm-aaaa"),"")</f>
        <v>01-1900</v>
      </c>
      <c r="D142" s="10" t="str">
        <f>IFERROR(
   INDEX(tbl_ProduitsRef[Cde_Prdt],MATCH(tbl_Ventes[[#This Row],[Produit]],tbl_ProduitsRef[Produit],0)),
   ""
)</f>
        <v/>
      </c>
      <c r="E142" s="7">
        <v>0</v>
      </c>
      <c r="F142" s="7" t="str">
        <f>IFERROR(
   INDEX(tbl_ProduitsRef[Prix Menu],MATCH(tbl_Ventes[[#This Row],[Produit]],tbl_ProduitsRef[Produit],0)),
   ""
)</f>
        <v/>
      </c>
      <c r="G142" s="7">
        <f>tbl_Ventes[[#This Row],[Qté Vendue]] * IFERROR(_xlfn.XLOOKUP(tbl_Ventes[[#This Row],[Cde_Prdt]], tbl_Produits[Cde_Prdt], tbl_Produits[Prix Menu]), 0)</f>
        <v>0</v>
      </c>
      <c r="H142" s="7">
        <f>IFERROR(_xlfn.XLOOKUP(tbl_Ventes[[#This Row],[Cde_Prdt]], tbl_Produits[Cde_Prdt], tbl_Produits[Coût Moyen Portion]), 0)</f>
        <v>0</v>
      </c>
      <c r="I142" s="7">
        <f>tbl_Ventes[[#This Row],[Qté Vendue]] * tbl_Ventes[[#This Row],[CMP_par_portion]]</f>
        <v>0</v>
      </c>
      <c r="J142" s="7">
        <f>tbl_Ventes[[#This Row],[CA ligne]] - tbl_Ventes[[#This Row],[Coût matière ligne]]</f>
        <v>0</v>
      </c>
      <c r="K142" s="7" t="str">
        <f>IFERROR(INDEX(tbl_ProduitsRef[Famille], MATCH(tbl_Ventes[[#This Row],[Cde_Prdt]], tbl_Produits[Cde_Prdt], 0)), "")</f>
        <v/>
      </c>
    </row>
    <row r="143" spans="1:11" x14ac:dyDescent="0.25">
      <c r="A143" s="5"/>
      <c r="B143" s="63" t="str">
        <f>IFERROR(TEXT(tbl_Ventes[[#This Row],[Date]],"mm-aaaa"),"")</f>
        <v>01-1900</v>
      </c>
      <c r="D143" s="10" t="str">
        <f>IFERROR(
   INDEX(tbl_ProduitsRef[Cde_Prdt],MATCH(tbl_Ventes[[#This Row],[Produit]],tbl_ProduitsRef[Produit],0)),
   ""
)</f>
        <v/>
      </c>
      <c r="E143" s="7">
        <v>0</v>
      </c>
      <c r="F143" s="7" t="str">
        <f>IFERROR(
   INDEX(tbl_ProduitsRef[Prix Menu],MATCH(tbl_Ventes[[#This Row],[Produit]],tbl_ProduitsRef[Produit],0)),
   ""
)</f>
        <v/>
      </c>
      <c r="G143" s="7">
        <f>tbl_Ventes[[#This Row],[Qté Vendue]] * IFERROR(_xlfn.XLOOKUP(tbl_Ventes[[#This Row],[Cde_Prdt]], tbl_Produits[Cde_Prdt], tbl_Produits[Prix Menu]), 0)</f>
        <v>0</v>
      </c>
      <c r="H143" s="7">
        <f>IFERROR(_xlfn.XLOOKUP(tbl_Ventes[[#This Row],[Cde_Prdt]], tbl_Produits[Cde_Prdt], tbl_Produits[Coût Moyen Portion]), 0)</f>
        <v>0</v>
      </c>
      <c r="I143" s="7">
        <f>tbl_Ventes[[#This Row],[Qté Vendue]] * tbl_Ventes[[#This Row],[CMP_par_portion]]</f>
        <v>0</v>
      </c>
      <c r="J143" s="7">
        <f>tbl_Ventes[[#This Row],[CA ligne]] - tbl_Ventes[[#This Row],[Coût matière ligne]]</f>
        <v>0</v>
      </c>
      <c r="K143" s="7" t="str">
        <f>IFERROR(INDEX(tbl_ProduitsRef[Famille], MATCH(tbl_Ventes[[#This Row],[Cde_Prdt]], tbl_Produits[Cde_Prdt], 0)), "")</f>
        <v/>
      </c>
    </row>
    <row r="144" spans="1:11" x14ac:dyDescent="0.25">
      <c r="A144" s="5"/>
      <c r="B144" s="63" t="str">
        <f>IFERROR(TEXT(tbl_Ventes[[#This Row],[Date]],"mm-aaaa"),"")</f>
        <v>01-1900</v>
      </c>
      <c r="D144" s="10" t="str">
        <f>IFERROR(
   INDEX(tbl_ProduitsRef[Cde_Prdt],MATCH(tbl_Ventes[[#This Row],[Produit]],tbl_ProduitsRef[Produit],0)),
   ""
)</f>
        <v/>
      </c>
      <c r="E144" s="7">
        <v>0</v>
      </c>
      <c r="F144" s="7" t="str">
        <f>IFERROR(
   INDEX(tbl_ProduitsRef[Prix Menu],MATCH(tbl_Ventes[[#This Row],[Produit]],tbl_ProduitsRef[Produit],0)),
   ""
)</f>
        <v/>
      </c>
      <c r="G144" s="7">
        <f>tbl_Ventes[[#This Row],[Qté Vendue]] * IFERROR(_xlfn.XLOOKUP(tbl_Ventes[[#This Row],[Cde_Prdt]], tbl_Produits[Cde_Prdt], tbl_Produits[Prix Menu]), 0)</f>
        <v>0</v>
      </c>
      <c r="H144" s="7">
        <f>IFERROR(_xlfn.XLOOKUP(tbl_Ventes[[#This Row],[Cde_Prdt]], tbl_Produits[Cde_Prdt], tbl_Produits[Coût Moyen Portion]), 0)</f>
        <v>0</v>
      </c>
      <c r="I144" s="7">
        <f>tbl_Ventes[[#This Row],[Qté Vendue]] * tbl_Ventes[[#This Row],[CMP_par_portion]]</f>
        <v>0</v>
      </c>
      <c r="J144" s="7">
        <f>tbl_Ventes[[#This Row],[CA ligne]] - tbl_Ventes[[#This Row],[Coût matière ligne]]</f>
        <v>0</v>
      </c>
      <c r="K144" s="7" t="str">
        <f>IFERROR(INDEX(tbl_ProduitsRef[Famille], MATCH(tbl_Ventes[[#This Row],[Cde_Prdt]], tbl_Produits[Cde_Prdt], 0)), "")</f>
        <v/>
      </c>
    </row>
    <row r="145" spans="1:11" x14ac:dyDescent="0.25">
      <c r="A145" s="5"/>
      <c r="B145" s="63" t="str">
        <f>IFERROR(TEXT(tbl_Ventes[[#This Row],[Date]],"mm-aaaa"),"")</f>
        <v>01-1900</v>
      </c>
      <c r="D145" s="10" t="str">
        <f>IFERROR(
   INDEX(tbl_ProduitsRef[Cde_Prdt],MATCH(tbl_Ventes[[#This Row],[Produit]],tbl_ProduitsRef[Produit],0)),
   ""
)</f>
        <v/>
      </c>
      <c r="E145" s="7">
        <v>0</v>
      </c>
      <c r="F145" s="7" t="str">
        <f>IFERROR(
   INDEX(tbl_ProduitsRef[Prix Menu],MATCH(tbl_Ventes[[#This Row],[Produit]],tbl_ProduitsRef[Produit],0)),
   ""
)</f>
        <v/>
      </c>
      <c r="G145" s="7">
        <f>tbl_Ventes[[#This Row],[Qté Vendue]] * IFERROR(_xlfn.XLOOKUP(tbl_Ventes[[#This Row],[Cde_Prdt]], tbl_Produits[Cde_Prdt], tbl_Produits[Prix Menu]), 0)</f>
        <v>0</v>
      </c>
      <c r="H145" s="7">
        <f>IFERROR(_xlfn.XLOOKUP(tbl_Ventes[[#This Row],[Cde_Prdt]], tbl_Produits[Cde_Prdt], tbl_Produits[Coût Moyen Portion]), 0)</f>
        <v>0</v>
      </c>
      <c r="I145" s="7">
        <f>tbl_Ventes[[#This Row],[Qté Vendue]] * tbl_Ventes[[#This Row],[CMP_par_portion]]</f>
        <v>0</v>
      </c>
      <c r="J145" s="7">
        <f>tbl_Ventes[[#This Row],[CA ligne]] - tbl_Ventes[[#This Row],[Coût matière ligne]]</f>
        <v>0</v>
      </c>
      <c r="K145" s="7" t="str">
        <f>IFERROR(INDEX(tbl_ProduitsRef[Famille], MATCH(tbl_Ventes[[#This Row],[Cde_Prdt]], tbl_Produits[Cde_Prdt], 0)), "")</f>
        <v/>
      </c>
    </row>
    <row r="146" spans="1:11" x14ac:dyDescent="0.25">
      <c r="A146" s="5"/>
      <c r="B146" s="63" t="str">
        <f>IFERROR(TEXT(tbl_Ventes[[#This Row],[Date]],"mm-aaaa"),"")</f>
        <v>01-1900</v>
      </c>
      <c r="D146" s="10" t="str">
        <f>IFERROR(
   INDEX(tbl_ProduitsRef[Cde_Prdt],MATCH(tbl_Ventes[[#This Row],[Produit]],tbl_ProduitsRef[Produit],0)),
   ""
)</f>
        <v/>
      </c>
      <c r="E146" s="7">
        <v>0</v>
      </c>
      <c r="F146" s="7" t="str">
        <f>IFERROR(
   INDEX(tbl_ProduitsRef[Prix Menu],MATCH(tbl_Ventes[[#This Row],[Produit]],tbl_ProduitsRef[Produit],0)),
   ""
)</f>
        <v/>
      </c>
      <c r="G146" s="7">
        <f>tbl_Ventes[[#This Row],[Qté Vendue]] * IFERROR(_xlfn.XLOOKUP(tbl_Ventes[[#This Row],[Cde_Prdt]], tbl_Produits[Cde_Prdt], tbl_Produits[Prix Menu]), 0)</f>
        <v>0</v>
      </c>
      <c r="H146" s="7">
        <f>IFERROR(_xlfn.XLOOKUP(tbl_Ventes[[#This Row],[Cde_Prdt]], tbl_Produits[Cde_Prdt], tbl_Produits[Coût Moyen Portion]), 0)</f>
        <v>0</v>
      </c>
      <c r="I146" s="7">
        <f>tbl_Ventes[[#This Row],[Qté Vendue]] * tbl_Ventes[[#This Row],[CMP_par_portion]]</f>
        <v>0</v>
      </c>
      <c r="J146" s="7">
        <f>tbl_Ventes[[#This Row],[CA ligne]] - tbl_Ventes[[#This Row],[Coût matière ligne]]</f>
        <v>0</v>
      </c>
      <c r="K146" s="7" t="str">
        <f>IFERROR(INDEX(tbl_ProduitsRef[Famille], MATCH(tbl_Ventes[[#This Row],[Cde_Prdt]], tbl_Produits[Cde_Prdt], 0)), "")</f>
        <v/>
      </c>
    </row>
    <row r="147" spans="1:11" x14ac:dyDescent="0.25">
      <c r="A147" s="5"/>
      <c r="B147" s="63" t="str">
        <f>IFERROR(TEXT(tbl_Ventes[[#This Row],[Date]],"mm-aaaa"),"")</f>
        <v>01-1900</v>
      </c>
      <c r="D147" s="10" t="str">
        <f>IFERROR(
   INDEX(tbl_ProduitsRef[Cde_Prdt],MATCH(tbl_Ventes[[#This Row],[Produit]],tbl_ProduitsRef[Produit],0)),
   ""
)</f>
        <v/>
      </c>
      <c r="E147" s="7">
        <v>0</v>
      </c>
      <c r="F147" s="7" t="str">
        <f>IFERROR(
   INDEX(tbl_ProduitsRef[Prix Menu],MATCH(tbl_Ventes[[#This Row],[Produit]],tbl_ProduitsRef[Produit],0)),
   ""
)</f>
        <v/>
      </c>
      <c r="G147" s="7">
        <f>tbl_Ventes[[#This Row],[Qté Vendue]] * IFERROR(_xlfn.XLOOKUP(tbl_Ventes[[#This Row],[Cde_Prdt]], tbl_Produits[Cde_Prdt], tbl_Produits[Prix Menu]), 0)</f>
        <v>0</v>
      </c>
      <c r="H147" s="7">
        <f>IFERROR(_xlfn.XLOOKUP(tbl_Ventes[[#This Row],[Cde_Prdt]], tbl_Produits[Cde_Prdt], tbl_Produits[Coût Moyen Portion]), 0)</f>
        <v>0</v>
      </c>
      <c r="I147" s="7">
        <f>tbl_Ventes[[#This Row],[Qté Vendue]] * tbl_Ventes[[#This Row],[CMP_par_portion]]</f>
        <v>0</v>
      </c>
      <c r="J147" s="7">
        <f>tbl_Ventes[[#This Row],[CA ligne]] - tbl_Ventes[[#This Row],[Coût matière ligne]]</f>
        <v>0</v>
      </c>
      <c r="K147" s="7" t="str">
        <f>IFERROR(INDEX(tbl_ProduitsRef[Famille], MATCH(tbl_Ventes[[#This Row],[Cde_Prdt]], tbl_Produits[Cde_Prdt], 0)), "")</f>
        <v/>
      </c>
    </row>
    <row r="148" spans="1:11" x14ac:dyDescent="0.25">
      <c r="A148" s="5"/>
      <c r="B148" s="63" t="str">
        <f>IFERROR(TEXT(tbl_Ventes[[#This Row],[Date]],"mm-aaaa"),"")</f>
        <v>01-1900</v>
      </c>
      <c r="D148" s="10" t="str">
        <f>IFERROR(
   INDEX(tbl_ProduitsRef[Cde_Prdt],MATCH(tbl_Ventes[[#This Row],[Produit]],tbl_ProduitsRef[Produit],0)),
   ""
)</f>
        <v/>
      </c>
      <c r="E148" s="7">
        <v>0</v>
      </c>
      <c r="F148" s="7" t="str">
        <f>IFERROR(
   INDEX(tbl_ProduitsRef[Prix Menu],MATCH(tbl_Ventes[[#This Row],[Produit]],tbl_ProduitsRef[Produit],0)),
   ""
)</f>
        <v/>
      </c>
      <c r="G148" s="7">
        <f>tbl_Ventes[[#This Row],[Qté Vendue]] * IFERROR(_xlfn.XLOOKUP(tbl_Ventes[[#This Row],[Cde_Prdt]], tbl_Produits[Cde_Prdt], tbl_Produits[Prix Menu]), 0)</f>
        <v>0</v>
      </c>
      <c r="H148" s="7">
        <f>IFERROR(_xlfn.XLOOKUP(tbl_Ventes[[#This Row],[Cde_Prdt]], tbl_Produits[Cde_Prdt], tbl_Produits[Coût Moyen Portion]), 0)</f>
        <v>0</v>
      </c>
      <c r="I148" s="7">
        <f>tbl_Ventes[[#This Row],[Qté Vendue]] * tbl_Ventes[[#This Row],[CMP_par_portion]]</f>
        <v>0</v>
      </c>
      <c r="J148" s="7">
        <f>tbl_Ventes[[#This Row],[CA ligne]] - tbl_Ventes[[#This Row],[Coût matière ligne]]</f>
        <v>0</v>
      </c>
      <c r="K148" s="7" t="str">
        <f>IFERROR(INDEX(tbl_ProduitsRef[Famille], MATCH(tbl_Ventes[[#This Row],[Cde_Prdt]], tbl_Produits[Cde_Prdt], 0)), "")</f>
        <v/>
      </c>
    </row>
    <row r="149" spans="1:11" x14ac:dyDescent="0.25">
      <c r="A149" s="5"/>
      <c r="B149" s="63" t="str">
        <f>IFERROR(TEXT(tbl_Ventes[[#This Row],[Date]],"mm-aaaa"),"")</f>
        <v>01-1900</v>
      </c>
      <c r="D149" s="10" t="str">
        <f>IFERROR(
   INDEX(tbl_ProduitsRef[Cde_Prdt],MATCH(tbl_Ventes[[#This Row],[Produit]],tbl_ProduitsRef[Produit],0)),
   ""
)</f>
        <v/>
      </c>
      <c r="E149" s="7">
        <v>0</v>
      </c>
      <c r="F149" s="7" t="str">
        <f>IFERROR(
   INDEX(tbl_ProduitsRef[Prix Menu],MATCH(tbl_Ventes[[#This Row],[Produit]],tbl_ProduitsRef[Produit],0)),
   ""
)</f>
        <v/>
      </c>
      <c r="G149" s="7">
        <f>tbl_Ventes[[#This Row],[Qté Vendue]] * IFERROR(_xlfn.XLOOKUP(tbl_Ventes[[#This Row],[Cde_Prdt]], tbl_Produits[Cde_Prdt], tbl_Produits[Prix Menu]), 0)</f>
        <v>0</v>
      </c>
      <c r="H149" s="7">
        <f>IFERROR(_xlfn.XLOOKUP(tbl_Ventes[[#This Row],[Cde_Prdt]], tbl_Produits[Cde_Prdt], tbl_Produits[Coût Moyen Portion]), 0)</f>
        <v>0</v>
      </c>
      <c r="I149" s="7">
        <f>tbl_Ventes[[#This Row],[Qté Vendue]] * tbl_Ventes[[#This Row],[CMP_par_portion]]</f>
        <v>0</v>
      </c>
      <c r="J149" s="7">
        <f>tbl_Ventes[[#This Row],[CA ligne]] - tbl_Ventes[[#This Row],[Coût matière ligne]]</f>
        <v>0</v>
      </c>
      <c r="K149" s="7" t="str">
        <f>IFERROR(INDEX(tbl_ProduitsRef[Famille], MATCH(tbl_Ventes[[#This Row],[Cde_Prdt]], tbl_Produits[Cde_Prdt], 0)), "")</f>
        <v/>
      </c>
    </row>
    <row r="150" spans="1:11" x14ac:dyDescent="0.25">
      <c r="A150" s="5"/>
      <c r="B150" s="63" t="str">
        <f>IFERROR(TEXT(tbl_Ventes[[#This Row],[Date]],"mm-aaaa"),"")</f>
        <v>01-1900</v>
      </c>
      <c r="D150" s="10" t="str">
        <f>IFERROR(
   INDEX(tbl_ProduitsRef[Cde_Prdt],MATCH(tbl_Ventes[[#This Row],[Produit]],tbl_ProduitsRef[Produit],0)),
   ""
)</f>
        <v/>
      </c>
      <c r="E150" s="7">
        <v>0</v>
      </c>
      <c r="F150" s="7" t="str">
        <f>IFERROR(
   INDEX(tbl_ProduitsRef[Prix Menu],MATCH(tbl_Ventes[[#This Row],[Produit]],tbl_ProduitsRef[Produit],0)),
   ""
)</f>
        <v/>
      </c>
      <c r="G150" s="7">
        <f>tbl_Ventes[[#This Row],[Qté Vendue]] * IFERROR(_xlfn.XLOOKUP(tbl_Ventes[[#This Row],[Cde_Prdt]], tbl_Produits[Cde_Prdt], tbl_Produits[Prix Menu]), 0)</f>
        <v>0</v>
      </c>
      <c r="H150" s="7">
        <f>IFERROR(_xlfn.XLOOKUP(tbl_Ventes[[#This Row],[Cde_Prdt]], tbl_Produits[Cde_Prdt], tbl_Produits[Coût Moyen Portion]), 0)</f>
        <v>0</v>
      </c>
      <c r="I150" s="7">
        <f>tbl_Ventes[[#This Row],[Qté Vendue]] * tbl_Ventes[[#This Row],[CMP_par_portion]]</f>
        <v>0</v>
      </c>
      <c r="J150" s="7">
        <f>tbl_Ventes[[#This Row],[CA ligne]] - tbl_Ventes[[#This Row],[Coût matière ligne]]</f>
        <v>0</v>
      </c>
      <c r="K150" s="7" t="str">
        <f>IFERROR(INDEX(tbl_ProduitsRef[Famille], MATCH(tbl_Ventes[[#This Row],[Cde_Prdt]], tbl_Produits[Cde_Prdt], 0)), "")</f>
        <v/>
      </c>
    </row>
    <row r="151" spans="1:11" x14ac:dyDescent="0.25">
      <c r="A151" s="5"/>
      <c r="B151" s="63" t="str">
        <f>IFERROR(TEXT(tbl_Ventes[[#This Row],[Date]],"mm-aaaa"),"")</f>
        <v>01-1900</v>
      </c>
      <c r="D151" s="10" t="str">
        <f>IFERROR(
   INDEX(tbl_ProduitsRef[Cde_Prdt],MATCH(tbl_Ventes[[#This Row],[Produit]],tbl_ProduitsRef[Produit],0)),
   ""
)</f>
        <v/>
      </c>
      <c r="E151" s="7">
        <v>0</v>
      </c>
      <c r="F151" s="7" t="str">
        <f>IFERROR(
   INDEX(tbl_ProduitsRef[Prix Menu],MATCH(tbl_Ventes[[#This Row],[Produit]],tbl_ProduitsRef[Produit],0)),
   ""
)</f>
        <v/>
      </c>
      <c r="G151" s="7">
        <f>tbl_Ventes[[#This Row],[Qté Vendue]] * IFERROR(_xlfn.XLOOKUP(tbl_Ventes[[#This Row],[Cde_Prdt]], tbl_Produits[Cde_Prdt], tbl_Produits[Prix Menu]), 0)</f>
        <v>0</v>
      </c>
      <c r="H151" s="7">
        <f>IFERROR(_xlfn.XLOOKUP(tbl_Ventes[[#This Row],[Cde_Prdt]], tbl_Produits[Cde_Prdt], tbl_Produits[Coût Moyen Portion]), 0)</f>
        <v>0</v>
      </c>
      <c r="I151" s="7">
        <f>tbl_Ventes[[#This Row],[Qté Vendue]] * tbl_Ventes[[#This Row],[CMP_par_portion]]</f>
        <v>0</v>
      </c>
      <c r="J151" s="7">
        <f>tbl_Ventes[[#This Row],[CA ligne]] - tbl_Ventes[[#This Row],[Coût matière ligne]]</f>
        <v>0</v>
      </c>
      <c r="K151" s="7" t="str">
        <f>IFERROR(INDEX(tbl_ProduitsRef[Famille], MATCH(tbl_Ventes[[#This Row],[Cde_Prdt]], tbl_Produits[Cde_Prdt], 0)), "")</f>
        <v/>
      </c>
    </row>
    <row r="152" spans="1:11" x14ac:dyDescent="0.25">
      <c r="A152" s="5"/>
      <c r="B152" s="63" t="str">
        <f>IFERROR(TEXT(tbl_Ventes[[#This Row],[Date]],"mm-aaaa"),"")</f>
        <v>01-1900</v>
      </c>
      <c r="D152" s="10" t="str">
        <f>IFERROR(
   INDEX(tbl_ProduitsRef[Cde_Prdt],MATCH(tbl_Ventes[[#This Row],[Produit]],tbl_ProduitsRef[Produit],0)),
   ""
)</f>
        <v/>
      </c>
      <c r="E152" s="7">
        <v>0</v>
      </c>
      <c r="F152" s="7" t="str">
        <f>IFERROR(
   INDEX(tbl_ProduitsRef[Prix Menu],MATCH(tbl_Ventes[[#This Row],[Produit]],tbl_ProduitsRef[Produit],0)),
   ""
)</f>
        <v/>
      </c>
      <c r="G152" s="7">
        <f>tbl_Ventes[[#This Row],[Qté Vendue]] * IFERROR(_xlfn.XLOOKUP(tbl_Ventes[[#This Row],[Cde_Prdt]], tbl_Produits[Cde_Prdt], tbl_Produits[Prix Menu]), 0)</f>
        <v>0</v>
      </c>
      <c r="H152" s="7">
        <f>IFERROR(_xlfn.XLOOKUP(tbl_Ventes[[#This Row],[Cde_Prdt]], tbl_Produits[Cde_Prdt], tbl_Produits[Coût Moyen Portion]), 0)</f>
        <v>0</v>
      </c>
      <c r="I152" s="7">
        <f>tbl_Ventes[[#This Row],[Qté Vendue]] * tbl_Ventes[[#This Row],[CMP_par_portion]]</f>
        <v>0</v>
      </c>
      <c r="J152" s="7">
        <f>tbl_Ventes[[#This Row],[CA ligne]] - tbl_Ventes[[#This Row],[Coût matière ligne]]</f>
        <v>0</v>
      </c>
      <c r="K152" s="7" t="str">
        <f>IFERROR(INDEX(tbl_ProduitsRef[Famille], MATCH(tbl_Ventes[[#This Row],[Cde_Prdt]], tbl_Produits[Cde_Prdt], 0)), "")</f>
        <v/>
      </c>
    </row>
    <row r="153" spans="1:11" x14ac:dyDescent="0.25">
      <c r="A153" s="5"/>
      <c r="B153" s="63" t="str">
        <f>IFERROR(TEXT(tbl_Ventes[[#This Row],[Date]],"mm-aaaa"),"")</f>
        <v>01-1900</v>
      </c>
      <c r="D153" s="10" t="str">
        <f>IFERROR(
   INDEX(tbl_ProduitsRef[Cde_Prdt],MATCH(tbl_Ventes[[#This Row],[Produit]],tbl_ProduitsRef[Produit],0)),
   ""
)</f>
        <v/>
      </c>
      <c r="E153" s="7">
        <v>0</v>
      </c>
      <c r="F153" s="7" t="str">
        <f>IFERROR(
   INDEX(tbl_ProduitsRef[Prix Menu],MATCH(tbl_Ventes[[#This Row],[Produit]],tbl_ProduitsRef[Produit],0)),
   ""
)</f>
        <v/>
      </c>
      <c r="G153" s="7">
        <f>tbl_Ventes[[#This Row],[Qté Vendue]] * IFERROR(_xlfn.XLOOKUP(tbl_Ventes[[#This Row],[Cde_Prdt]], tbl_Produits[Cde_Prdt], tbl_Produits[Prix Menu]), 0)</f>
        <v>0</v>
      </c>
      <c r="H153" s="7">
        <f>IFERROR(_xlfn.XLOOKUP(tbl_Ventes[[#This Row],[Cde_Prdt]], tbl_Produits[Cde_Prdt], tbl_Produits[Coût Moyen Portion]), 0)</f>
        <v>0</v>
      </c>
      <c r="I153" s="7">
        <f>tbl_Ventes[[#This Row],[Qté Vendue]] * tbl_Ventes[[#This Row],[CMP_par_portion]]</f>
        <v>0</v>
      </c>
      <c r="J153" s="7">
        <f>tbl_Ventes[[#This Row],[CA ligne]] - tbl_Ventes[[#This Row],[Coût matière ligne]]</f>
        <v>0</v>
      </c>
      <c r="K153" s="7" t="str">
        <f>IFERROR(INDEX(tbl_ProduitsRef[Famille], MATCH(tbl_Ventes[[#This Row],[Cde_Prdt]], tbl_Produits[Cde_Prdt], 0)), "")</f>
        <v/>
      </c>
    </row>
    <row r="154" spans="1:11" x14ac:dyDescent="0.25">
      <c r="A154" s="5"/>
      <c r="B154" s="63" t="str">
        <f>IFERROR(TEXT(tbl_Ventes[[#This Row],[Date]],"mm-aaaa"),"")</f>
        <v>01-1900</v>
      </c>
      <c r="D154" s="10" t="str">
        <f>IFERROR(
   INDEX(tbl_ProduitsRef[Cde_Prdt],MATCH(tbl_Ventes[[#This Row],[Produit]],tbl_ProduitsRef[Produit],0)),
   ""
)</f>
        <v/>
      </c>
      <c r="E154" s="7">
        <v>0</v>
      </c>
      <c r="F154" s="7" t="str">
        <f>IFERROR(
   INDEX(tbl_ProduitsRef[Prix Menu],MATCH(tbl_Ventes[[#This Row],[Produit]],tbl_ProduitsRef[Produit],0)),
   ""
)</f>
        <v/>
      </c>
      <c r="G154" s="7">
        <f>tbl_Ventes[[#This Row],[Qté Vendue]] * IFERROR(_xlfn.XLOOKUP(tbl_Ventes[[#This Row],[Cde_Prdt]], tbl_Produits[Cde_Prdt], tbl_Produits[Prix Menu]), 0)</f>
        <v>0</v>
      </c>
      <c r="H154" s="7">
        <f>IFERROR(_xlfn.XLOOKUP(tbl_Ventes[[#This Row],[Cde_Prdt]], tbl_Produits[Cde_Prdt], tbl_Produits[Coût Moyen Portion]), 0)</f>
        <v>0</v>
      </c>
      <c r="I154" s="7">
        <f>tbl_Ventes[[#This Row],[Qté Vendue]] * tbl_Ventes[[#This Row],[CMP_par_portion]]</f>
        <v>0</v>
      </c>
      <c r="J154" s="7">
        <f>tbl_Ventes[[#This Row],[CA ligne]] - tbl_Ventes[[#This Row],[Coût matière ligne]]</f>
        <v>0</v>
      </c>
      <c r="K154" s="7" t="str">
        <f>IFERROR(INDEX(tbl_ProduitsRef[Famille], MATCH(tbl_Ventes[[#This Row],[Cde_Prdt]], tbl_Produits[Cde_Prdt], 0)), "")</f>
        <v/>
      </c>
    </row>
    <row r="155" spans="1:11" x14ac:dyDescent="0.25">
      <c r="A155" s="5"/>
      <c r="B155" s="63" t="str">
        <f>IFERROR(TEXT(tbl_Ventes[[#This Row],[Date]],"mm-aaaa"),"")</f>
        <v>01-1900</v>
      </c>
      <c r="D155" s="10" t="str">
        <f>IFERROR(
   INDEX(tbl_ProduitsRef[Cde_Prdt],MATCH(tbl_Ventes[[#This Row],[Produit]],tbl_ProduitsRef[Produit],0)),
   ""
)</f>
        <v/>
      </c>
      <c r="E155" s="7">
        <v>0</v>
      </c>
      <c r="F155" s="7" t="str">
        <f>IFERROR(
   INDEX(tbl_ProduitsRef[Prix Menu],MATCH(tbl_Ventes[[#This Row],[Produit]],tbl_ProduitsRef[Produit],0)),
   ""
)</f>
        <v/>
      </c>
      <c r="G155" s="7">
        <f>tbl_Ventes[[#This Row],[Qté Vendue]] * IFERROR(_xlfn.XLOOKUP(tbl_Ventes[[#This Row],[Cde_Prdt]], tbl_Produits[Cde_Prdt], tbl_Produits[Prix Menu]), 0)</f>
        <v>0</v>
      </c>
      <c r="H155" s="7">
        <f>IFERROR(_xlfn.XLOOKUP(tbl_Ventes[[#This Row],[Cde_Prdt]], tbl_Produits[Cde_Prdt], tbl_Produits[Coût Moyen Portion]), 0)</f>
        <v>0</v>
      </c>
      <c r="I155" s="7">
        <f>tbl_Ventes[[#This Row],[Qté Vendue]] * tbl_Ventes[[#This Row],[CMP_par_portion]]</f>
        <v>0</v>
      </c>
      <c r="J155" s="7">
        <f>tbl_Ventes[[#This Row],[CA ligne]] - tbl_Ventes[[#This Row],[Coût matière ligne]]</f>
        <v>0</v>
      </c>
      <c r="K155" s="7" t="str">
        <f>IFERROR(INDEX(tbl_ProduitsRef[Famille], MATCH(tbl_Ventes[[#This Row],[Cde_Prdt]], tbl_Produits[Cde_Prdt], 0)), "")</f>
        <v/>
      </c>
    </row>
    <row r="156" spans="1:11" x14ac:dyDescent="0.25">
      <c r="A156" s="5"/>
      <c r="B156" s="63" t="str">
        <f>IFERROR(TEXT(tbl_Ventes[[#This Row],[Date]],"mm-aaaa"),"")</f>
        <v>01-1900</v>
      </c>
      <c r="D156" s="10" t="str">
        <f>IFERROR(
   INDEX(tbl_ProduitsRef[Cde_Prdt],MATCH(tbl_Ventes[[#This Row],[Produit]],tbl_ProduitsRef[Produit],0)),
   ""
)</f>
        <v/>
      </c>
      <c r="E156" s="7">
        <v>0</v>
      </c>
      <c r="F156" s="7" t="str">
        <f>IFERROR(
   INDEX(tbl_ProduitsRef[Prix Menu],MATCH(tbl_Ventes[[#This Row],[Produit]],tbl_ProduitsRef[Produit],0)),
   ""
)</f>
        <v/>
      </c>
      <c r="G156" s="7">
        <f>tbl_Ventes[[#This Row],[Qté Vendue]] * IFERROR(_xlfn.XLOOKUP(tbl_Ventes[[#This Row],[Cde_Prdt]], tbl_Produits[Cde_Prdt], tbl_Produits[Prix Menu]), 0)</f>
        <v>0</v>
      </c>
      <c r="H156" s="7">
        <f>IFERROR(_xlfn.XLOOKUP(tbl_Ventes[[#This Row],[Cde_Prdt]], tbl_Produits[Cde_Prdt], tbl_Produits[Coût Moyen Portion]), 0)</f>
        <v>0</v>
      </c>
      <c r="I156" s="7">
        <f>tbl_Ventes[[#This Row],[Qté Vendue]] * tbl_Ventes[[#This Row],[CMP_par_portion]]</f>
        <v>0</v>
      </c>
      <c r="J156" s="7">
        <f>tbl_Ventes[[#This Row],[CA ligne]] - tbl_Ventes[[#This Row],[Coût matière ligne]]</f>
        <v>0</v>
      </c>
      <c r="K156" s="7" t="str">
        <f>IFERROR(INDEX(tbl_ProduitsRef[Famille], MATCH(tbl_Ventes[[#This Row],[Cde_Prdt]], tbl_Produits[Cde_Prdt], 0)), "")</f>
        <v/>
      </c>
    </row>
    <row r="157" spans="1:11" x14ac:dyDescent="0.25">
      <c r="A157" s="5"/>
      <c r="B157" s="63" t="str">
        <f>IFERROR(TEXT(tbl_Ventes[[#This Row],[Date]],"mm-aaaa"),"")</f>
        <v>01-1900</v>
      </c>
      <c r="D157" s="10" t="str">
        <f>IFERROR(
   INDEX(tbl_ProduitsRef[Cde_Prdt],MATCH(tbl_Ventes[[#This Row],[Produit]],tbl_ProduitsRef[Produit],0)),
   ""
)</f>
        <v/>
      </c>
      <c r="E157" s="7">
        <v>0</v>
      </c>
      <c r="F157" s="7" t="str">
        <f>IFERROR(
   INDEX(tbl_ProduitsRef[Prix Menu],MATCH(tbl_Ventes[[#This Row],[Produit]],tbl_ProduitsRef[Produit],0)),
   ""
)</f>
        <v/>
      </c>
      <c r="G157" s="7">
        <f>tbl_Ventes[[#This Row],[Qté Vendue]] * IFERROR(_xlfn.XLOOKUP(tbl_Ventes[[#This Row],[Cde_Prdt]], tbl_Produits[Cde_Prdt], tbl_Produits[Prix Menu]), 0)</f>
        <v>0</v>
      </c>
      <c r="H157" s="7">
        <f>IFERROR(_xlfn.XLOOKUP(tbl_Ventes[[#This Row],[Cde_Prdt]], tbl_Produits[Cde_Prdt], tbl_Produits[Coût Moyen Portion]), 0)</f>
        <v>0</v>
      </c>
      <c r="I157" s="7">
        <f>tbl_Ventes[[#This Row],[Qté Vendue]] * tbl_Ventes[[#This Row],[CMP_par_portion]]</f>
        <v>0</v>
      </c>
      <c r="J157" s="7">
        <f>tbl_Ventes[[#This Row],[CA ligne]] - tbl_Ventes[[#This Row],[Coût matière ligne]]</f>
        <v>0</v>
      </c>
      <c r="K157" s="7" t="str">
        <f>IFERROR(INDEX(tbl_ProduitsRef[Famille], MATCH(tbl_Ventes[[#This Row],[Cde_Prdt]], tbl_Produits[Cde_Prdt], 0)), "")</f>
        <v/>
      </c>
    </row>
    <row r="158" spans="1:11" x14ac:dyDescent="0.25">
      <c r="A158" s="5"/>
      <c r="B158" s="63" t="str">
        <f>IFERROR(TEXT(tbl_Ventes[[#This Row],[Date]],"mm-aaaa"),"")</f>
        <v>01-1900</v>
      </c>
      <c r="D158" s="10" t="str">
        <f>IFERROR(
   INDEX(tbl_ProduitsRef[Cde_Prdt],MATCH(tbl_Ventes[[#This Row],[Produit]],tbl_ProduitsRef[Produit],0)),
   ""
)</f>
        <v/>
      </c>
      <c r="E158" s="7">
        <v>0</v>
      </c>
      <c r="F158" s="7" t="str">
        <f>IFERROR(
   INDEX(tbl_ProduitsRef[Prix Menu],MATCH(tbl_Ventes[[#This Row],[Produit]],tbl_ProduitsRef[Produit],0)),
   ""
)</f>
        <v/>
      </c>
      <c r="G158" s="7">
        <f>tbl_Ventes[[#This Row],[Qté Vendue]] * IFERROR(_xlfn.XLOOKUP(tbl_Ventes[[#This Row],[Cde_Prdt]], tbl_Produits[Cde_Prdt], tbl_Produits[Prix Menu]), 0)</f>
        <v>0</v>
      </c>
      <c r="H158" s="7">
        <f>IFERROR(_xlfn.XLOOKUP(tbl_Ventes[[#This Row],[Cde_Prdt]], tbl_Produits[Cde_Prdt], tbl_Produits[Coût Moyen Portion]), 0)</f>
        <v>0</v>
      </c>
      <c r="I158" s="7">
        <f>tbl_Ventes[[#This Row],[Qté Vendue]] * tbl_Ventes[[#This Row],[CMP_par_portion]]</f>
        <v>0</v>
      </c>
      <c r="J158" s="7">
        <f>tbl_Ventes[[#This Row],[CA ligne]] - tbl_Ventes[[#This Row],[Coût matière ligne]]</f>
        <v>0</v>
      </c>
      <c r="K158" s="7" t="str">
        <f>IFERROR(INDEX(tbl_ProduitsRef[Famille], MATCH(tbl_Ventes[[#This Row],[Cde_Prdt]], tbl_Produits[Cde_Prdt], 0)), "")</f>
        <v/>
      </c>
    </row>
    <row r="159" spans="1:11" x14ac:dyDescent="0.25">
      <c r="A159" s="5"/>
      <c r="B159" s="63" t="str">
        <f>IFERROR(TEXT(tbl_Ventes[[#This Row],[Date]],"mm-aaaa"),"")</f>
        <v>01-1900</v>
      </c>
      <c r="D159" s="10" t="str">
        <f>IFERROR(
   INDEX(tbl_ProduitsRef[Cde_Prdt],MATCH(tbl_Ventes[[#This Row],[Produit]],tbl_ProduitsRef[Produit],0)),
   ""
)</f>
        <v/>
      </c>
      <c r="E159" s="7">
        <v>0</v>
      </c>
      <c r="F159" s="7" t="str">
        <f>IFERROR(
   INDEX(tbl_ProduitsRef[Prix Menu],MATCH(tbl_Ventes[[#This Row],[Produit]],tbl_ProduitsRef[Produit],0)),
   ""
)</f>
        <v/>
      </c>
      <c r="G159" s="7">
        <f>tbl_Ventes[[#This Row],[Qté Vendue]] * IFERROR(_xlfn.XLOOKUP(tbl_Ventes[[#This Row],[Cde_Prdt]], tbl_Produits[Cde_Prdt], tbl_Produits[Prix Menu]), 0)</f>
        <v>0</v>
      </c>
      <c r="H159" s="7">
        <f>IFERROR(_xlfn.XLOOKUP(tbl_Ventes[[#This Row],[Cde_Prdt]], tbl_Produits[Cde_Prdt], tbl_Produits[Coût Moyen Portion]), 0)</f>
        <v>0</v>
      </c>
      <c r="I159" s="7">
        <f>tbl_Ventes[[#This Row],[Qté Vendue]] * tbl_Ventes[[#This Row],[CMP_par_portion]]</f>
        <v>0</v>
      </c>
      <c r="J159" s="7">
        <f>tbl_Ventes[[#This Row],[CA ligne]] - tbl_Ventes[[#This Row],[Coût matière ligne]]</f>
        <v>0</v>
      </c>
      <c r="K159" s="7" t="str">
        <f>IFERROR(INDEX(tbl_ProduitsRef[Famille], MATCH(tbl_Ventes[[#This Row],[Cde_Prdt]], tbl_Produits[Cde_Prdt], 0)), "")</f>
        <v/>
      </c>
    </row>
    <row r="160" spans="1:11" x14ac:dyDescent="0.25">
      <c r="A160" s="5"/>
      <c r="B160" s="63" t="str">
        <f>IFERROR(TEXT(tbl_Ventes[[#This Row],[Date]],"mm-aaaa"),"")</f>
        <v>01-1900</v>
      </c>
      <c r="D160" s="10" t="str">
        <f>IFERROR(
   INDEX(tbl_ProduitsRef[Cde_Prdt],MATCH(tbl_Ventes[[#This Row],[Produit]],tbl_ProduitsRef[Produit],0)),
   ""
)</f>
        <v/>
      </c>
      <c r="E160" s="7">
        <v>0</v>
      </c>
      <c r="F160" s="7" t="str">
        <f>IFERROR(
   INDEX(tbl_ProduitsRef[Prix Menu],MATCH(tbl_Ventes[[#This Row],[Produit]],tbl_ProduitsRef[Produit],0)),
   ""
)</f>
        <v/>
      </c>
      <c r="G160" s="7">
        <f>tbl_Ventes[[#This Row],[Qté Vendue]] * IFERROR(_xlfn.XLOOKUP(tbl_Ventes[[#This Row],[Cde_Prdt]], tbl_Produits[Cde_Prdt], tbl_Produits[Prix Menu]), 0)</f>
        <v>0</v>
      </c>
      <c r="H160" s="7">
        <f>IFERROR(_xlfn.XLOOKUP(tbl_Ventes[[#This Row],[Cde_Prdt]], tbl_Produits[Cde_Prdt], tbl_Produits[Coût Moyen Portion]), 0)</f>
        <v>0</v>
      </c>
      <c r="I160" s="7">
        <f>tbl_Ventes[[#This Row],[Qté Vendue]] * tbl_Ventes[[#This Row],[CMP_par_portion]]</f>
        <v>0</v>
      </c>
      <c r="J160" s="7">
        <f>tbl_Ventes[[#This Row],[CA ligne]] - tbl_Ventes[[#This Row],[Coût matière ligne]]</f>
        <v>0</v>
      </c>
      <c r="K160" s="7" t="str">
        <f>IFERROR(INDEX(tbl_ProduitsRef[Famille], MATCH(tbl_Ventes[[#This Row],[Cde_Prdt]], tbl_Produits[Cde_Prdt], 0)), "")</f>
        <v/>
      </c>
    </row>
    <row r="161" spans="1:11" x14ac:dyDescent="0.25">
      <c r="A161" s="5"/>
      <c r="B161" s="63" t="str">
        <f>IFERROR(TEXT(tbl_Ventes[[#This Row],[Date]],"mm-aaaa"),"")</f>
        <v>01-1900</v>
      </c>
      <c r="D161" s="10" t="str">
        <f>IFERROR(
   INDEX(tbl_ProduitsRef[Cde_Prdt],MATCH(tbl_Ventes[[#This Row],[Produit]],tbl_ProduitsRef[Produit],0)),
   ""
)</f>
        <v/>
      </c>
      <c r="E161" s="7">
        <v>0</v>
      </c>
      <c r="F161" s="7" t="str">
        <f>IFERROR(
   INDEX(tbl_ProduitsRef[Prix Menu],MATCH(tbl_Ventes[[#This Row],[Produit]],tbl_ProduitsRef[Produit],0)),
   ""
)</f>
        <v/>
      </c>
      <c r="G161" s="7">
        <f>tbl_Ventes[[#This Row],[Qté Vendue]] * IFERROR(_xlfn.XLOOKUP(tbl_Ventes[[#This Row],[Cde_Prdt]], tbl_Produits[Cde_Prdt], tbl_Produits[Prix Menu]), 0)</f>
        <v>0</v>
      </c>
      <c r="H161" s="7">
        <f>IFERROR(_xlfn.XLOOKUP(tbl_Ventes[[#This Row],[Cde_Prdt]], tbl_Produits[Cde_Prdt], tbl_Produits[Coût Moyen Portion]), 0)</f>
        <v>0</v>
      </c>
      <c r="I161" s="7">
        <f>tbl_Ventes[[#This Row],[Qté Vendue]] * tbl_Ventes[[#This Row],[CMP_par_portion]]</f>
        <v>0</v>
      </c>
      <c r="J161" s="7">
        <f>tbl_Ventes[[#This Row],[CA ligne]] - tbl_Ventes[[#This Row],[Coût matière ligne]]</f>
        <v>0</v>
      </c>
      <c r="K161" s="7" t="str">
        <f>IFERROR(INDEX(tbl_ProduitsRef[Famille], MATCH(tbl_Ventes[[#This Row],[Cde_Prdt]], tbl_Produits[Cde_Prdt], 0)), "")</f>
        <v/>
      </c>
    </row>
    <row r="162" spans="1:11" x14ac:dyDescent="0.25">
      <c r="A162" s="5"/>
      <c r="B162" s="63" t="str">
        <f>IFERROR(TEXT(tbl_Ventes[[#This Row],[Date]],"mm-aaaa"),"")</f>
        <v>01-1900</v>
      </c>
      <c r="D162" s="10" t="str">
        <f>IFERROR(
   INDEX(tbl_ProduitsRef[Cde_Prdt],MATCH(tbl_Ventes[[#This Row],[Produit]],tbl_ProduitsRef[Produit],0)),
   ""
)</f>
        <v/>
      </c>
      <c r="E162" s="7">
        <v>0</v>
      </c>
      <c r="F162" s="7" t="str">
        <f>IFERROR(
   INDEX(tbl_ProduitsRef[Prix Menu],MATCH(tbl_Ventes[[#This Row],[Produit]],tbl_ProduitsRef[Produit],0)),
   ""
)</f>
        <v/>
      </c>
      <c r="G162" s="7">
        <f>tbl_Ventes[[#This Row],[Qté Vendue]] * IFERROR(_xlfn.XLOOKUP(tbl_Ventes[[#This Row],[Cde_Prdt]], tbl_Produits[Cde_Prdt], tbl_Produits[Prix Menu]), 0)</f>
        <v>0</v>
      </c>
      <c r="H162" s="7">
        <f>IFERROR(_xlfn.XLOOKUP(tbl_Ventes[[#This Row],[Cde_Prdt]], tbl_Produits[Cde_Prdt], tbl_Produits[Coût Moyen Portion]), 0)</f>
        <v>0</v>
      </c>
      <c r="I162" s="7">
        <f>tbl_Ventes[[#This Row],[Qté Vendue]] * tbl_Ventes[[#This Row],[CMP_par_portion]]</f>
        <v>0</v>
      </c>
      <c r="J162" s="7">
        <f>tbl_Ventes[[#This Row],[CA ligne]] - tbl_Ventes[[#This Row],[Coût matière ligne]]</f>
        <v>0</v>
      </c>
      <c r="K162" s="7" t="str">
        <f>IFERROR(INDEX(tbl_ProduitsRef[Famille], MATCH(tbl_Ventes[[#This Row],[Cde_Prdt]], tbl_Produits[Cde_Prdt], 0)), "")</f>
        <v/>
      </c>
    </row>
    <row r="163" spans="1:11" x14ac:dyDescent="0.25">
      <c r="A163" s="5"/>
      <c r="B163" s="63" t="str">
        <f>IFERROR(TEXT(tbl_Ventes[[#This Row],[Date]],"mm-aaaa"),"")</f>
        <v>01-1900</v>
      </c>
      <c r="D163" s="10" t="str">
        <f>IFERROR(
   INDEX(tbl_ProduitsRef[Cde_Prdt],MATCH(tbl_Ventes[[#This Row],[Produit]],tbl_ProduitsRef[Produit],0)),
   ""
)</f>
        <v/>
      </c>
      <c r="E163" s="7">
        <v>0</v>
      </c>
      <c r="F163" s="7" t="str">
        <f>IFERROR(
   INDEX(tbl_ProduitsRef[Prix Menu],MATCH(tbl_Ventes[[#This Row],[Produit]],tbl_ProduitsRef[Produit],0)),
   ""
)</f>
        <v/>
      </c>
      <c r="G163" s="7">
        <f>tbl_Ventes[[#This Row],[Qté Vendue]] * IFERROR(_xlfn.XLOOKUP(tbl_Ventes[[#This Row],[Cde_Prdt]], tbl_Produits[Cde_Prdt], tbl_Produits[Prix Menu]), 0)</f>
        <v>0</v>
      </c>
      <c r="H163" s="7">
        <f>IFERROR(_xlfn.XLOOKUP(tbl_Ventes[[#This Row],[Cde_Prdt]], tbl_Produits[Cde_Prdt], tbl_Produits[Coût Moyen Portion]), 0)</f>
        <v>0</v>
      </c>
      <c r="I163" s="7">
        <f>tbl_Ventes[[#This Row],[Qté Vendue]] * tbl_Ventes[[#This Row],[CMP_par_portion]]</f>
        <v>0</v>
      </c>
      <c r="J163" s="7">
        <f>tbl_Ventes[[#This Row],[CA ligne]] - tbl_Ventes[[#This Row],[Coût matière ligne]]</f>
        <v>0</v>
      </c>
      <c r="K163" s="7" t="str">
        <f>IFERROR(INDEX(tbl_ProduitsRef[Famille], MATCH(tbl_Ventes[[#This Row],[Cde_Prdt]], tbl_Produits[Cde_Prdt], 0)), "")</f>
        <v/>
      </c>
    </row>
    <row r="164" spans="1:11" x14ac:dyDescent="0.25">
      <c r="A164" s="5"/>
      <c r="B164" s="63" t="str">
        <f>IFERROR(TEXT(tbl_Ventes[[#This Row],[Date]],"mm-aaaa"),"")</f>
        <v>01-1900</v>
      </c>
      <c r="D164" s="10" t="str">
        <f>IFERROR(
   INDEX(tbl_ProduitsRef[Cde_Prdt],MATCH(tbl_Ventes[[#This Row],[Produit]],tbl_ProduitsRef[Produit],0)),
   ""
)</f>
        <v/>
      </c>
      <c r="E164" s="7">
        <v>0</v>
      </c>
      <c r="F164" s="7" t="str">
        <f>IFERROR(
   INDEX(tbl_ProduitsRef[Prix Menu],MATCH(tbl_Ventes[[#This Row],[Produit]],tbl_ProduitsRef[Produit],0)),
   ""
)</f>
        <v/>
      </c>
      <c r="G164" s="7">
        <f>tbl_Ventes[[#This Row],[Qté Vendue]] * IFERROR(_xlfn.XLOOKUP(tbl_Ventes[[#This Row],[Cde_Prdt]], tbl_Produits[Cde_Prdt], tbl_Produits[Prix Menu]), 0)</f>
        <v>0</v>
      </c>
      <c r="H164" s="7">
        <f>IFERROR(_xlfn.XLOOKUP(tbl_Ventes[[#This Row],[Cde_Prdt]], tbl_Produits[Cde_Prdt], tbl_Produits[Coût Moyen Portion]), 0)</f>
        <v>0</v>
      </c>
      <c r="I164" s="7">
        <f>tbl_Ventes[[#This Row],[Qté Vendue]] * tbl_Ventes[[#This Row],[CMP_par_portion]]</f>
        <v>0</v>
      </c>
      <c r="J164" s="7">
        <f>tbl_Ventes[[#This Row],[CA ligne]] - tbl_Ventes[[#This Row],[Coût matière ligne]]</f>
        <v>0</v>
      </c>
      <c r="K164" s="7" t="str">
        <f>IFERROR(INDEX(tbl_ProduitsRef[Famille], MATCH(tbl_Ventes[[#This Row],[Cde_Prdt]], tbl_Produits[Cde_Prdt], 0)), "")</f>
        <v/>
      </c>
    </row>
    <row r="165" spans="1:11" x14ac:dyDescent="0.25">
      <c r="A165" s="5"/>
      <c r="B165" s="63" t="str">
        <f>IFERROR(TEXT(tbl_Ventes[[#This Row],[Date]],"mm-aaaa"),"")</f>
        <v>01-1900</v>
      </c>
      <c r="D165" s="10" t="str">
        <f>IFERROR(
   INDEX(tbl_ProduitsRef[Cde_Prdt],MATCH(tbl_Ventes[[#This Row],[Produit]],tbl_ProduitsRef[Produit],0)),
   ""
)</f>
        <v/>
      </c>
      <c r="E165" s="7">
        <v>0</v>
      </c>
      <c r="F165" s="7" t="str">
        <f>IFERROR(
   INDEX(tbl_ProduitsRef[Prix Menu],MATCH(tbl_Ventes[[#This Row],[Produit]],tbl_ProduitsRef[Produit],0)),
   ""
)</f>
        <v/>
      </c>
      <c r="G165" s="7">
        <f>tbl_Ventes[[#This Row],[Qté Vendue]] * IFERROR(_xlfn.XLOOKUP(tbl_Ventes[[#This Row],[Cde_Prdt]], tbl_Produits[Cde_Prdt], tbl_Produits[Prix Menu]), 0)</f>
        <v>0</v>
      </c>
      <c r="H165" s="7">
        <f>IFERROR(_xlfn.XLOOKUP(tbl_Ventes[[#This Row],[Cde_Prdt]], tbl_Produits[Cde_Prdt], tbl_Produits[Coût Moyen Portion]), 0)</f>
        <v>0</v>
      </c>
      <c r="I165" s="7">
        <f>tbl_Ventes[[#This Row],[Qté Vendue]] * tbl_Ventes[[#This Row],[CMP_par_portion]]</f>
        <v>0</v>
      </c>
      <c r="J165" s="7">
        <f>tbl_Ventes[[#This Row],[CA ligne]] - tbl_Ventes[[#This Row],[Coût matière ligne]]</f>
        <v>0</v>
      </c>
      <c r="K165" s="7" t="str">
        <f>IFERROR(INDEX(tbl_ProduitsRef[Famille], MATCH(tbl_Ventes[[#This Row],[Cde_Prdt]], tbl_Produits[Cde_Prdt], 0)), "")</f>
        <v/>
      </c>
    </row>
    <row r="166" spans="1:11" x14ac:dyDescent="0.25">
      <c r="A166" s="5"/>
      <c r="B166" s="63" t="str">
        <f>IFERROR(TEXT(tbl_Ventes[[#This Row],[Date]],"mm-aaaa"),"")</f>
        <v>01-1900</v>
      </c>
      <c r="D166" s="10" t="str">
        <f>IFERROR(
   INDEX(tbl_ProduitsRef[Cde_Prdt],MATCH(tbl_Ventes[[#This Row],[Produit]],tbl_ProduitsRef[Produit],0)),
   ""
)</f>
        <v/>
      </c>
      <c r="E166" s="7">
        <v>0</v>
      </c>
      <c r="F166" s="7" t="str">
        <f>IFERROR(
   INDEX(tbl_ProduitsRef[Prix Menu],MATCH(tbl_Ventes[[#This Row],[Produit]],tbl_ProduitsRef[Produit],0)),
   ""
)</f>
        <v/>
      </c>
      <c r="G166" s="7">
        <f>tbl_Ventes[[#This Row],[Qté Vendue]] * IFERROR(_xlfn.XLOOKUP(tbl_Ventes[[#This Row],[Cde_Prdt]], tbl_Produits[Cde_Prdt], tbl_Produits[Prix Menu]), 0)</f>
        <v>0</v>
      </c>
      <c r="H166" s="7">
        <f>IFERROR(_xlfn.XLOOKUP(tbl_Ventes[[#This Row],[Cde_Prdt]], tbl_Produits[Cde_Prdt], tbl_Produits[Coût Moyen Portion]), 0)</f>
        <v>0</v>
      </c>
      <c r="I166" s="7">
        <f>tbl_Ventes[[#This Row],[Qté Vendue]] * tbl_Ventes[[#This Row],[CMP_par_portion]]</f>
        <v>0</v>
      </c>
      <c r="J166" s="7">
        <f>tbl_Ventes[[#This Row],[CA ligne]] - tbl_Ventes[[#This Row],[Coût matière ligne]]</f>
        <v>0</v>
      </c>
      <c r="K166" s="7" t="str">
        <f>IFERROR(INDEX(tbl_ProduitsRef[Famille], MATCH(tbl_Ventes[[#This Row],[Cde_Prdt]], tbl_Produits[Cde_Prdt], 0)), "")</f>
        <v/>
      </c>
    </row>
    <row r="167" spans="1:11" x14ac:dyDescent="0.25">
      <c r="A167" s="5"/>
      <c r="B167" s="63" t="str">
        <f>IFERROR(TEXT(tbl_Ventes[[#This Row],[Date]],"mm-aaaa"),"")</f>
        <v>01-1900</v>
      </c>
      <c r="D167" s="10" t="str">
        <f>IFERROR(
   INDEX(tbl_ProduitsRef[Cde_Prdt],MATCH(tbl_Ventes[[#This Row],[Produit]],tbl_ProduitsRef[Produit],0)),
   ""
)</f>
        <v/>
      </c>
      <c r="E167" s="7">
        <v>0</v>
      </c>
      <c r="F167" s="7" t="str">
        <f>IFERROR(
   INDEX(tbl_ProduitsRef[Prix Menu],MATCH(tbl_Ventes[[#This Row],[Produit]],tbl_ProduitsRef[Produit],0)),
   ""
)</f>
        <v/>
      </c>
      <c r="G167" s="7">
        <f>tbl_Ventes[[#This Row],[Qté Vendue]] * IFERROR(_xlfn.XLOOKUP(tbl_Ventes[[#This Row],[Cde_Prdt]], tbl_Produits[Cde_Prdt], tbl_Produits[Prix Menu]), 0)</f>
        <v>0</v>
      </c>
      <c r="H167" s="7">
        <f>IFERROR(_xlfn.XLOOKUP(tbl_Ventes[[#This Row],[Cde_Prdt]], tbl_Produits[Cde_Prdt], tbl_Produits[Coût Moyen Portion]), 0)</f>
        <v>0</v>
      </c>
      <c r="I167" s="7">
        <f>tbl_Ventes[[#This Row],[Qté Vendue]] * tbl_Ventes[[#This Row],[CMP_par_portion]]</f>
        <v>0</v>
      </c>
      <c r="J167" s="7">
        <f>tbl_Ventes[[#This Row],[CA ligne]] - tbl_Ventes[[#This Row],[Coût matière ligne]]</f>
        <v>0</v>
      </c>
      <c r="K167" s="7" t="str">
        <f>IFERROR(INDEX(tbl_ProduitsRef[Famille], MATCH(tbl_Ventes[[#This Row],[Cde_Prdt]], tbl_Produits[Cde_Prdt], 0)), "")</f>
        <v/>
      </c>
    </row>
    <row r="168" spans="1:11" x14ac:dyDescent="0.25">
      <c r="A168" s="5"/>
      <c r="B168" s="63" t="str">
        <f>IFERROR(TEXT(tbl_Ventes[[#This Row],[Date]],"mm-aaaa"),"")</f>
        <v>01-1900</v>
      </c>
      <c r="D168" s="10" t="str">
        <f>IFERROR(
   INDEX(tbl_ProduitsRef[Cde_Prdt],MATCH(tbl_Ventes[[#This Row],[Produit]],tbl_ProduitsRef[Produit],0)),
   ""
)</f>
        <v/>
      </c>
      <c r="E168" s="7">
        <v>0</v>
      </c>
      <c r="F168" s="7" t="str">
        <f>IFERROR(
   INDEX(tbl_ProduitsRef[Prix Menu],MATCH(tbl_Ventes[[#This Row],[Produit]],tbl_ProduitsRef[Produit],0)),
   ""
)</f>
        <v/>
      </c>
      <c r="G168" s="7">
        <f>tbl_Ventes[[#This Row],[Qté Vendue]] * IFERROR(_xlfn.XLOOKUP(tbl_Ventes[[#This Row],[Cde_Prdt]], tbl_Produits[Cde_Prdt], tbl_Produits[Prix Menu]), 0)</f>
        <v>0</v>
      </c>
      <c r="H168" s="7">
        <f>IFERROR(_xlfn.XLOOKUP(tbl_Ventes[[#This Row],[Cde_Prdt]], tbl_Produits[Cde_Prdt], tbl_Produits[Coût Moyen Portion]), 0)</f>
        <v>0</v>
      </c>
      <c r="I168" s="7">
        <f>tbl_Ventes[[#This Row],[Qté Vendue]] * tbl_Ventes[[#This Row],[CMP_par_portion]]</f>
        <v>0</v>
      </c>
      <c r="J168" s="7">
        <f>tbl_Ventes[[#This Row],[CA ligne]] - tbl_Ventes[[#This Row],[Coût matière ligne]]</f>
        <v>0</v>
      </c>
      <c r="K168" s="7" t="str">
        <f>IFERROR(INDEX(tbl_ProduitsRef[Famille], MATCH(tbl_Ventes[[#This Row],[Cde_Prdt]], tbl_Produits[Cde_Prdt], 0)), "")</f>
        <v/>
      </c>
    </row>
    <row r="169" spans="1:11" x14ac:dyDescent="0.25">
      <c r="A169" s="5"/>
      <c r="B169" s="63" t="str">
        <f>IFERROR(TEXT(tbl_Ventes[[#This Row],[Date]],"mm-aaaa"),"")</f>
        <v>01-1900</v>
      </c>
      <c r="D169" s="10" t="str">
        <f>IFERROR(
   INDEX(tbl_ProduitsRef[Cde_Prdt],MATCH(tbl_Ventes[[#This Row],[Produit]],tbl_ProduitsRef[Produit],0)),
   ""
)</f>
        <v/>
      </c>
      <c r="E169" s="7">
        <v>0</v>
      </c>
      <c r="F169" s="7" t="str">
        <f>IFERROR(
   INDEX(tbl_ProduitsRef[Prix Menu],MATCH(tbl_Ventes[[#This Row],[Produit]],tbl_ProduitsRef[Produit],0)),
   ""
)</f>
        <v/>
      </c>
      <c r="G169" s="7">
        <f>tbl_Ventes[[#This Row],[Qté Vendue]] * IFERROR(_xlfn.XLOOKUP(tbl_Ventes[[#This Row],[Cde_Prdt]], tbl_Produits[Cde_Prdt], tbl_Produits[Prix Menu]), 0)</f>
        <v>0</v>
      </c>
      <c r="H169" s="7">
        <f>IFERROR(_xlfn.XLOOKUP(tbl_Ventes[[#This Row],[Cde_Prdt]], tbl_Produits[Cde_Prdt], tbl_Produits[Coût Moyen Portion]), 0)</f>
        <v>0</v>
      </c>
      <c r="I169" s="7">
        <f>tbl_Ventes[[#This Row],[Qté Vendue]] * tbl_Ventes[[#This Row],[CMP_par_portion]]</f>
        <v>0</v>
      </c>
      <c r="J169" s="7">
        <f>tbl_Ventes[[#This Row],[CA ligne]] - tbl_Ventes[[#This Row],[Coût matière ligne]]</f>
        <v>0</v>
      </c>
      <c r="K169" s="7" t="str">
        <f>IFERROR(INDEX(tbl_ProduitsRef[Famille], MATCH(tbl_Ventes[[#This Row],[Cde_Prdt]], tbl_Produits[Cde_Prdt], 0)), "")</f>
        <v/>
      </c>
    </row>
    <row r="170" spans="1:11" x14ac:dyDescent="0.25">
      <c r="A170" s="5"/>
      <c r="B170" s="63" t="str">
        <f>IFERROR(TEXT(tbl_Ventes[[#This Row],[Date]],"mm-aaaa"),"")</f>
        <v>01-1900</v>
      </c>
      <c r="D170" s="10" t="str">
        <f>IFERROR(
   INDEX(tbl_ProduitsRef[Cde_Prdt],MATCH(tbl_Ventes[[#This Row],[Produit]],tbl_ProduitsRef[Produit],0)),
   ""
)</f>
        <v/>
      </c>
      <c r="E170" s="7">
        <v>0</v>
      </c>
      <c r="F170" s="7" t="str">
        <f>IFERROR(
   INDEX(tbl_ProduitsRef[Prix Menu],MATCH(tbl_Ventes[[#This Row],[Produit]],tbl_ProduitsRef[Produit],0)),
   ""
)</f>
        <v/>
      </c>
      <c r="G170" s="7">
        <f>tbl_Ventes[[#This Row],[Qté Vendue]] * IFERROR(_xlfn.XLOOKUP(tbl_Ventes[[#This Row],[Cde_Prdt]], tbl_Produits[Cde_Prdt], tbl_Produits[Prix Menu]), 0)</f>
        <v>0</v>
      </c>
      <c r="H170" s="7">
        <f>IFERROR(_xlfn.XLOOKUP(tbl_Ventes[[#This Row],[Cde_Prdt]], tbl_Produits[Cde_Prdt], tbl_Produits[Coût Moyen Portion]), 0)</f>
        <v>0</v>
      </c>
      <c r="I170" s="7">
        <f>tbl_Ventes[[#This Row],[Qté Vendue]] * tbl_Ventes[[#This Row],[CMP_par_portion]]</f>
        <v>0</v>
      </c>
      <c r="J170" s="7">
        <f>tbl_Ventes[[#This Row],[CA ligne]] - tbl_Ventes[[#This Row],[Coût matière ligne]]</f>
        <v>0</v>
      </c>
      <c r="K170" s="7" t="str">
        <f>IFERROR(INDEX(tbl_ProduitsRef[Famille], MATCH(tbl_Ventes[[#This Row],[Cde_Prdt]], tbl_Produits[Cde_Prdt], 0)), "")</f>
        <v/>
      </c>
    </row>
    <row r="171" spans="1:11" x14ac:dyDescent="0.25">
      <c r="A171" s="5"/>
      <c r="B171" s="63" t="str">
        <f>IFERROR(TEXT(tbl_Ventes[[#This Row],[Date]],"mm-aaaa"),"")</f>
        <v>01-1900</v>
      </c>
      <c r="D171" s="10" t="str">
        <f>IFERROR(
   INDEX(tbl_ProduitsRef[Cde_Prdt],MATCH(tbl_Ventes[[#This Row],[Produit]],tbl_ProduitsRef[Produit],0)),
   ""
)</f>
        <v/>
      </c>
      <c r="E171" s="7">
        <v>0</v>
      </c>
      <c r="F171" s="7" t="str">
        <f>IFERROR(
   INDEX(tbl_ProduitsRef[Prix Menu],MATCH(tbl_Ventes[[#This Row],[Produit]],tbl_ProduitsRef[Produit],0)),
   ""
)</f>
        <v/>
      </c>
      <c r="G171" s="7">
        <f>tbl_Ventes[[#This Row],[Qté Vendue]] * IFERROR(_xlfn.XLOOKUP(tbl_Ventes[[#This Row],[Cde_Prdt]], tbl_Produits[Cde_Prdt], tbl_Produits[Prix Menu]), 0)</f>
        <v>0</v>
      </c>
      <c r="H171" s="7">
        <f>IFERROR(_xlfn.XLOOKUP(tbl_Ventes[[#This Row],[Cde_Prdt]], tbl_Produits[Cde_Prdt], tbl_Produits[Coût Moyen Portion]), 0)</f>
        <v>0</v>
      </c>
      <c r="I171" s="7">
        <f>tbl_Ventes[[#This Row],[Qté Vendue]] * tbl_Ventes[[#This Row],[CMP_par_portion]]</f>
        <v>0</v>
      </c>
      <c r="J171" s="7">
        <f>tbl_Ventes[[#This Row],[CA ligne]] - tbl_Ventes[[#This Row],[Coût matière ligne]]</f>
        <v>0</v>
      </c>
      <c r="K171" s="7" t="str">
        <f>IFERROR(INDEX(tbl_ProduitsRef[Famille], MATCH(tbl_Ventes[[#This Row],[Cde_Prdt]], tbl_Produits[Cde_Prdt], 0)), "")</f>
        <v/>
      </c>
    </row>
    <row r="172" spans="1:11" x14ac:dyDescent="0.25">
      <c r="A172" s="5"/>
      <c r="B172" s="63" t="str">
        <f>IFERROR(TEXT(tbl_Ventes[[#This Row],[Date]],"mm-aaaa"),"")</f>
        <v>01-1900</v>
      </c>
      <c r="D172" s="10" t="str">
        <f>IFERROR(
   INDEX(tbl_ProduitsRef[Cde_Prdt],MATCH(tbl_Ventes[[#This Row],[Produit]],tbl_ProduitsRef[Produit],0)),
   ""
)</f>
        <v/>
      </c>
      <c r="E172" s="7">
        <v>0</v>
      </c>
      <c r="F172" s="7" t="str">
        <f>IFERROR(
   INDEX(tbl_ProduitsRef[Prix Menu],MATCH(tbl_Ventes[[#This Row],[Produit]],tbl_ProduitsRef[Produit],0)),
   ""
)</f>
        <v/>
      </c>
      <c r="G172" s="7">
        <f>tbl_Ventes[[#This Row],[Qté Vendue]] * IFERROR(_xlfn.XLOOKUP(tbl_Ventes[[#This Row],[Cde_Prdt]], tbl_Produits[Cde_Prdt], tbl_Produits[Prix Menu]), 0)</f>
        <v>0</v>
      </c>
      <c r="H172" s="7">
        <f>IFERROR(_xlfn.XLOOKUP(tbl_Ventes[[#This Row],[Cde_Prdt]], tbl_Produits[Cde_Prdt], tbl_Produits[Coût Moyen Portion]), 0)</f>
        <v>0</v>
      </c>
      <c r="I172" s="7">
        <f>tbl_Ventes[[#This Row],[Qté Vendue]] * tbl_Ventes[[#This Row],[CMP_par_portion]]</f>
        <v>0</v>
      </c>
      <c r="J172" s="7">
        <f>tbl_Ventes[[#This Row],[CA ligne]] - tbl_Ventes[[#This Row],[Coût matière ligne]]</f>
        <v>0</v>
      </c>
      <c r="K172" s="7" t="str">
        <f>IFERROR(INDEX(tbl_ProduitsRef[Famille], MATCH(tbl_Ventes[[#This Row],[Cde_Prdt]], tbl_Produits[Cde_Prdt], 0)), "")</f>
        <v/>
      </c>
    </row>
    <row r="173" spans="1:11" x14ac:dyDescent="0.25">
      <c r="A173" s="5"/>
      <c r="B173" s="63" t="str">
        <f>IFERROR(TEXT(tbl_Ventes[[#This Row],[Date]],"mm-aaaa"),"")</f>
        <v>01-1900</v>
      </c>
      <c r="D173" s="10" t="str">
        <f>IFERROR(
   INDEX(tbl_ProduitsRef[Cde_Prdt],MATCH(tbl_Ventes[[#This Row],[Produit]],tbl_ProduitsRef[Produit],0)),
   ""
)</f>
        <v/>
      </c>
      <c r="E173" s="7">
        <v>0</v>
      </c>
      <c r="F173" s="7" t="str">
        <f>IFERROR(
   INDEX(tbl_ProduitsRef[Prix Menu],MATCH(tbl_Ventes[[#This Row],[Produit]],tbl_ProduitsRef[Produit],0)),
   ""
)</f>
        <v/>
      </c>
      <c r="G173" s="7">
        <f>tbl_Ventes[[#This Row],[Qté Vendue]] * IFERROR(_xlfn.XLOOKUP(tbl_Ventes[[#This Row],[Cde_Prdt]], tbl_Produits[Cde_Prdt], tbl_Produits[Prix Menu]), 0)</f>
        <v>0</v>
      </c>
      <c r="H173" s="7">
        <f>IFERROR(_xlfn.XLOOKUP(tbl_Ventes[[#This Row],[Cde_Prdt]], tbl_Produits[Cde_Prdt], tbl_Produits[Coût Moyen Portion]), 0)</f>
        <v>0</v>
      </c>
      <c r="I173" s="7">
        <f>tbl_Ventes[[#This Row],[Qté Vendue]] * tbl_Ventes[[#This Row],[CMP_par_portion]]</f>
        <v>0</v>
      </c>
      <c r="J173" s="7">
        <f>tbl_Ventes[[#This Row],[CA ligne]] - tbl_Ventes[[#This Row],[Coût matière ligne]]</f>
        <v>0</v>
      </c>
      <c r="K173" s="7" t="str">
        <f>IFERROR(INDEX(tbl_ProduitsRef[Famille], MATCH(tbl_Ventes[[#This Row],[Cde_Prdt]], tbl_Produits[Cde_Prdt], 0)), "")</f>
        <v/>
      </c>
    </row>
    <row r="174" spans="1:11" x14ac:dyDescent="0.25">
      <c r="A174" s="5"/>
      <c r="B174" s="63" t="str">
        <f>IFERROR(TEXT(tbl_Ventes[[#This Row],[Date]],"mm-aaaa"),"")</f>
        <v>01-1900</v>
      </c>
      <c r="D174" s="10" t="str">
        <f>IFERROR(
   INDEX(tbl_ProduitsRef[Cde_Prdt],MATCH(tbl_Ventes[[#This Row],[Produit]],tbl_ProduitsRef[Produit],0)),
   ""
)</f>
        <v/>
      </c>
      <c r="E174" s="7">
        <v>0</v>
      </c>
      <c r="F174" s="7" t="str">
        <f>IFERROR(
   INDEX(tbl_ProduitsRef[Prix Menu],MATCH(tbl_Ventes[[#This Row],[Produit]],tbl_ProduitsRef[Produit],0)),
   ""
)</f>
        <v/>
      </c>
      <c r="G174" s="7">
        <f>tbl_Ventes[[#This Row],[Qté Vendue]] * IFERROR(_xlfn.XLOOKUP(tbl_Ventes[[#This Row],[Cde_Prdt]], tbl_Produits[Cde_Prdt], tbl_Produits[Prix Menu]), 0)</f>
        <v>0</v>
      </c>
      <c r="H174" s="7">
        <f>IFERROR(_xlfn.XLOOKUP(tbl_Ventes[[#This Row],[Cde_Prdt]], tbl_Produits[Cde_Prdt], tbl_Produits[Coût Moyen Portion]), 0)</f>
        <v>0</v>
      </c>
      <c r="I174" s="7">
        <f>tbl_Ventes[[#This Row],[Qté Vendue]] * tbl_Ventes[[#This Row],[CMP_par_portion]]</f>
        <v>0</v>
      </c>
      <c r="J174" s="7">
        <f>tbl_Ventes[[#This Row],[CA ligne]] - tbl_Ventes[[#This Row],[Coût matière ligne]]</f>
        <v>0</v>
      </c>
      <c r="K174" s="7" t="str">
        <f>IFERROR(INDEX(tbl_ProduitsRef[Famille], MATCH(tbl_Ventes[[#This Row],[Cde_Prdt]], tbl_Produits[Cde_Prdt], 0)), "")</f>
        <v/>
      </c>
    </row>
    <row r="175" spans="1:11" x14ac:dyDescent="0.25">
      <c r="A175" s="5"/>
      <c r="B175" s="63" t="str">
        <f>IFERROR(TEXT(tbl_Ventes[[#This Row],[Date]],"mm-aaaa"),"")</f>
        <v>01-1900</v>
      </c>
      <c r="D175" s="10" t="str">
        <f>IFERROR(
   INDEX(tbl_ProduitsRef[Cde_Prdt],MATCH(tbl_Ventes[[#This Row],[Produit]],tbl_ProduitsRef[Produit],0)),
   ""
)</f>
        <v/>
      </c>
      <c r="E175" s="7">
        <v>0</v>
      </c>
      <c r="F175" s="7" t="str">
        <f>IFERROR(
   INDEX(tbl_ProduitsRef[Prix Menu],MATCH(tbl_Ventes[[#This Row],[Produit]],tbl_ProduitsRef[Produit],0)),
   ""
)</f>
        <v/>
      </c>
      <c r="G175" s="7">
        <f>tbl_Ventes[[#This Row],[Qté Vendue]] * IFERROR(_xlfn.XLOOKUP(tbl_Ventes[[#This Row],[Cde_Prdt]], tbl_Produits[Cde_Prdt], tbl_Produits[Prix Menu]), 0)</f>
        <v>0</v>
      </c>
      <c r="H175" s="7">
        <f>IFERROR(_xlfn.XLOOKUP(tbl_Ventes[[#This Row],[Cde_Prdt]], tbl_Produits[Cde_Prdt], tbl_Produits[Coût Moyen Portion]), 0)</f>
        <v>0</v>
      </c>
      <c r="I175" s="7">
        <f>tbl_Ventes[[#This Row],[Qté Vendue]] * tbl_Ventes[[#This Row],[CMP_par_portion]]</f>
        <v>0</v>
      </c>
      <c r="J175" s="7">
        <f>tbl_Ventes[[#This Row],[CA ligne]] - tbl_Ventes[[#This Row],[Coût matière ligne]]</f>
        <v>0</v>
      </c>
      <c r="K175" s="7" t="str">
        <f>IFERROR(INDEX(tbl_ProduitsRef[Famille], MATCH(tbl_Ventes[[#This Row],[Cde_Prdt]], tbl_Produits[Cde_Prdt], 0)), "")</f>
        <v/>
      </c>
    </row>
    <row r="176" spans="1:11" x14ac:dyDescent="0.25">
      <c r="A176" s="5"/>
      <c r="B176" s="63" t="str">
        <f>IFERROR(TEXT(tbl_Ventes[[#This Row],[Date]],"mm-aaaa"),"")</f>
        <v>01-1900</v>
      </c>
      <c r="D176" s="10" t="str">
        <f>IFERROR(
   INDEX(tbl_ProduitsRef[Cde_Prdt],MATCH(tbl_Ventes[[#This Row],[Produit]],tbl_ProduitsRef[Produit],0)),
   ""
)</f>
        <v/>
      </c>
      <c r="E176" s="7">
        <v>0</v>
      </c>
      <c r="F176" s="7" t="str">
        <f>IFERROR(
   INDEX(tbl_ProduitsRef[Prix Menu],MATCH(tbl_Ventes[[#This Row],[Produit]],tbl_ProduitsRef[Produit],0)),
   ""
)</f>
        <v/>
      </c>
      <c r="G176" s="7">
        <f>tbl_Ventes[[#This Row],[Qté Vendue]] * IFERROR(_xlfn.XLOOKUP(tbl_Ventes[[#This Row],[Cde_Prdt]], tbl_Produits[Cde_Prdt], tbl_Produits[Prix Menu]), 0)</f>
        <v>0</v>
      </c>
      <c r="H176" s="7">
        <f>IFERROR(_xlfn.XLOOKUP(tbl_Ventes[[#This Row],[Cde_Prdt]], tbl_Produits[Cde_Prdt], tbl_Produits[Coût Moyen Portion]), 0)</f>
        <v>0</v>
      </c>
      <c r="I176" s="7">
        <f>tbl_Ventes[[#This Row],[Qté Vendue]] * tbl_Ventes[[#This Row],[CMP_par_portion]]</f>
        <v>0</v>
      </c>
      <c r="J176" s="7">
        <f>tbl_Ventes[[#This Row],[CA ligne]] - tbl_Ventes[[#This Row],[Coût matière ligne]]</f>
        <v>0</v>
      </c>
      <c r="K176" s="7" t="str">
        <f>IFERROR(INDEX(tbl_ProduitsRef[Famille], MATCH(tbl_Ventes[[#This Row],[Cde_Prdt]], tbl_Produits[Cde_Prdt], 0)), "")</f>
        <v/>
      </c>
    </row>
    <row r="177" spans="1:11" x14ac:dyDescent="0.25">
      <c r="A177" s="5"/>
      <c r="B177" s="63" t="str">
        <f>IFERROR(TEXT(tbl_Ventes[[#This Row],[Date]],"mm-aaaa"),"")</f>
        <v>01-1900</v>
      </c>
      <c r="D177" s="10" t="str">
        <f>IFERROR(
   INDEX(tbl_ProduitsRef[Cde_Prdt],MATCH(tbl_Ventes[[#This Row],[Produit]],tbl_ProduitsRef[Produit],0)),
   ""
)</f>
        <v/>
      </c>
      <c r="E177" s="7">
        <v>0</v>
      </c>
      <c r="F177" s="7" t="str">
        <f>IFERROR(
   INDEX(tbl_ProduitsRef[Prix Menu],MATCH(tbl_Ventes[[#This Row],[Produit]],tbl_ProduitsRef[Produit],0)),
   ""
)</f>
        <v/>
      </c>
      <c r="G177" s="7">
        <f>tbl_Ventes[[#This Row],[Qté Vendue]] * IFERROR(_xlfn.XLOOKUP(tbl_Ventes[[#This Row],[Cde_Prdt]], tbl_Produits[Cde_Prdt], tbl_Produits[Prix Menu]), 0)</f>
        <v>0</v>
      </c>
      <c r="H177" s="7">
        <f>IFERROR(_xlfn.XLOOKUP(tbl_Ventes[[#This Row],[Cde_Prdt]], tbl_Produits[Cde_Prdt], tbl_Produits[Coût Moyen Portion]), 0)</f>
        <v>0</v>
      </c>
      <c r="I177" s="7">
        <f>tbl_Ventes[[#This Row],[Qté Vendue]] * tbl_Ventes[[#This Row],[CMP_par_portion]]</f>
        <v>0</v>
      </c>
      <c r="J177" s="7">
        <f>tbl_Ventes[[#This Row],[CA ligne]] - tbl_Ventes[[#This Row],[Coût matière ligne]]</f>
        <v>0</v>
      </c>
      <c r="K177" s="7" t="str">
        <f>IFERROR(INDEX(tbl_ProduitsRef[Famille], MATCH(tbl_Ventes[[#This Row],[Cde_Prdt]], tbl_Produits[Cde_Prdt], 0)), "")</f>
        <v/>
      </c>
    </row>
    <row r="178" spans="1:11" x14ac:dyDescent="0.25">
      <c r="A178" s="5"/>
      <c r="B178" s="63" t="str">
        <f>IFERROR(TEXT(tbl_Ventes[[#This Row],[Date]],"mm-aaaa"),"")</f>
        <v>01-1900</v>
      </c>
      <c r="D178" s="10" t="str">
        <f>IFERROR(
   INDEX(tbl_ProduitsRef[Cde_Prdt],MATCH(tbl_Ventes[[#This Row],[Produit]],tbl_ProduitsRef[Produit],0)),
   ""
)</f>
        <v/>
      </c>
      <c r="E178" s="7">
        <v>0</v>
      </c>
      <c r="F178" s="7" t="str">
        <f>IFERROR(
   INDEX(tbl_ProduitsRef[Prix Menu],MATCH(tbl_Ventes[[#This Row],[Produit]],tbl_ProduitsRef[Produit],0)),
   ""
)</f>
        <v/>
      </c>
      <c r="G178" s="7">
        <f>tbl_Ventes[[#This Row],[Qté Vendue]] * IFERROR(_xlfn.XLOOKUP(tbl_Ventes[[#This Row],[Cde_Prdt]], tbl_Produits[Cde_Prdt], tbl_Produits[Prix Menu]), 0)</f>
        <v>0</v>
      </c>
      <c r="H178" s="7">
        <f>IFERROR(_xlfn.XLOOKUP(tbl_Ventes[[#This Row],[Cde_Prdt]], tbl_Produits[Cde_Prdt], tbl_Produits[Coût Moyen Portion]), 0)</f>
        <v>0</v>
      </c>
      <c r="I178" s="7">
        <f>tbl_Ventes[[#This Row],[Qté Vendue]] * tbl_Ventes[[#This Row],[CMP_par_portion]]</f>
        <v>0</v>
      </c>
      <c r="J178" s="7">
        <f>tbl_Ventes[[#This Row],[CA ligne]] - tbl_Ventes[[#This Row],[Coût matière ligne]]</f>
        <v>0</v>
      </c>
      <c r="K178" s="7" t="str">
        <f>IFERROR(INDEX(tbl_ProduitsRef[Famille], MATCH(tbl_Ventes[[#This Row],[Cde_Prdt]], tbl_Produits[Cde_Prdt], 0)), "")</f>
        <v/>
      </c>
    </row>
    <row r="179" spans="1:11" x14ac:dyDescent="0.25">
      <c r="A179" s="5"/>
      <c r="B179" s="63" t="str">
        <f>IFERROR(TEXT(tbl_Ventes[[#This Row],[Date]],"mm-aaaa"),"")</f>
        <v>01-1900</v>
      </c>
      <c r="D179" s="10" t="str">
        <f>IFERROR(
   INDEX(tbl_ProduitsRef[Cde_Prdt],MATCH(tbl_Ventes[[#This Row],[Produit]],tbl_ProduitsRef[Produit],0)),
   ""
)</f>
        <v/>
      </c>
      <c r="E179" s="7">
        <v>0</v>
      </c>
      <c r="F179" s="7" t="str">
        <f>IFERROR(
   INDEX(tbl_ProduitsRef[Prix Menu],MATCH(tbl_Ventes[[#This Row],[Produit]],tbl_ProduitsRef[Produit],0)),
   ""
)</f>
        <v/>
      </c>
      <c r="G179" s="7">
        <f>tbl_Ventes[[#This Row],[Qté Vendue]] * IFERROR(_xlfn.XLOOKUP(tbl_Ventes[[#This Row],[Cde_Prdt]], tbl_Produits[Cde_Prdt], tbl_Produits[Prix Menu]), 0)</f>
        <v>0</v>
      </c>
      <c r="H179" s="7">
        <f>IFERROR(_xlfn.XLOOKUP(tbl_Ventes[[#This Row],[Cde_Prdt]], tbl_Produits[Cde_Prdt], tbl_Produits[Coût Moyen Portion]), 0)</f>
        <v>0</v>
      </c>
      <c r="I179" s="7">
        <f>tbl_Ventes[[#This Row],[Qté Vendue]] * tbl_Ventes[[#This Row],[CMP_par_portion]]</f>
        <v>0</v>
      </c>
      <c r="J179" s="7">
        <f>tbl_Ventes[[#This Row],[CA ligne]] - tbl_Ventes[[#This Row],[Coût matière ligne]]</f>
        <v>0</v>
      </c>
      <c r="K179" s="7" t="str">
        <f>IFERROR(INDEX(tbl_ProduitsRef[Famille], MATCH(tbl_Ventes[[#This Row],[Cde_Prdt]], tbl_Produits[Cde_Prdt], 0)), "")</f>
        <v/>
      </c>
    </row>
    <row r="180" spans="1:11" x14ac:dyDescent="0.25">
      <c r="A180" s="5"/>
      <c r="B180" s="63" t="str">
        <f>IFERROR(TEXT(tbl_Ventes[[#This Row],[Date]],"mm-aaaa"),"")</f>
        <v>01-1900</v>
      </c>
      <c r="D180" s="10" t="str">
        <f>IFERROR(
   INDEX(tbl_ProduitsRef[Cde_Prdt],MATCH(tbl_Ventes[[#This Row],[Produit]],tbl_ProduitsRef[Produit],0)),
   ""
)</f>
        <v/>
      </c>
      <c r="E180" s="7">
        <v>0</v>
      </c>
      <c r="F180" s="7" t="str">
        <f>IFERROR(
   INDEX(tbl_ProduitsRef[Prix Menu],MATCH(tbl_Ventes[[#This Row],[Produit]],tbl_ProduitsRef[Produit],0)),
   ""
)</f>
        <v/>
      </c>
      <c r="G180" s="7">
        <f>tbl_Ventes[[#This Row],[Qté Vendue]] * IFERROR(_xlfn.XLOOKUP(tbl_Ventes[[#This Row],[Cde_Prdt]], tbl_Produits[Cde_Prdt], tbl_Produits[Prix Menu]), 0)</f>
        <v>0</v>
      </c>
      <c r="H180" s="7">
        <f>IFERROR(_xlfn.XLOOKUP(tbl_Ventes[[#This Row],[Cde_Prdt]], tbl_Produits[Cde_Prdt], tbl_Produits[Coût Moyen Portion]), 0)</f>
        <v>0</v>
      </c>
      <c r="I180" s="7">
        <f>tbl_Ventes[[#This Row],[Qté Vendue]] * tbl_Ventes[[#This Row],[CMP_par_portion]]</f>
        <v>0</v>
      </c>
      <c r="J180" s="7">
        <f>tbl_Ventes[[#This Row],[CA ligne]] - tbl_Ventes[[#This Row],[Coût matière ligne]]</f>
        <v>0</v>
      </c>
      <c r="K180" s="7" t="str">
        <f>IFERROR(INDEX(tbl_ProduitsRef[Famille], MATCH(tbl_Ventes[[#This Row],[Cde_Prdt]], tbl_Produits[Cde_Prdt], 0)), "")</f>
        <v/>
      </c>
    </row>
    <row r="181" spans="1:11" x14ac:dyDescent="0.25">
      <c r="A181" s="5"/>
      <c r="B181" s="63" t="str">
        <f>IFERROR(TEXT(tbl_Ventes[[#This Row],[Date]],"mm-aaaa"),"")</f>
        <v>01-1900</v>
      </c>
      <c r="D181" s="10" t="str">
        <f>IFERROR(
   INDEX(tbl_ProduitsRef[Cde_Prdt],MATCH(tbl_Ventes[[#This Row],[Produit]],tbl_ProduitsRef[Produit],0)),
   ""
)</f>
        <v/>
      </c>
      <c r="E181" s="7">
        <v>0</v>
      </c>
      <c r="F181" s="7" t="str">
        <f>IFERROR(
   INDEX(tbl_ProduitsRef[Prix Menu],MATCH(tbl_Ventes[[#This Row],[Produit]],tbl_ProduitsRef[Produit],0)),
   ""
)</f>
        <v/>
      </c>
      <c r="G181" s="7">
        <f>tbl_Ventes[[#This Row],[Qté Vendue]] * IFERROR(_xlfn.XLOOKUP(tbl_Ventes[[#This Row],[Cde_Prdt]], tbl_Produits[Cde_Prdt], tbl_Produits[Prix Menu]), 0)</f>
        <v>0</v>
      </c>
      <c r="H181" s="7">
        <f>IFERROR(_xlfn.XLOOKUP(tbl_Ventes[[#This Row],[Cde_Prdt]], tbl_Produits[Cde_Prdt], tbl_Produits[Coût Moyen Portion]), 0)</f>
        <v>0</v>
      </c>
      <c r="I181" s="7">
        <f>tbl_Ventes[[#This Row],[Qté Vendue]] * tbl_Ventes[[#This Row],[CMP_par_portion]]</f>
        <v>0</v>
      </c>
      <c r="J181" s="7">
        <f>tbl_Ventes[[#This Row],[CA ligne]] - tbl_Ventes[[#This Row],[Coût matière ligne]]</f>
        <v>0</v>
      </c>
      <c r="K181" s="7" t="str">
        <f>IFERROR(INDEX(tbl_ProduitsRef[Famille], MATCH(tbl_Ventes[[#This Row],[Cde_Prdt]], tbl_Produits[Cde_Prdt], 0)), "")</f>
        <v/>
      </c>
    </row>
    <row r="182" spans="1:11" x14ac:dyDescent="0.25">
      <c r="A182" s="5"/>
      <c r="B182" s="63" t="str">
        <f>IFERROR(TEXT(tbl_Ventes[[#This Row],[Date]],"mm-aaaa"),"")</f>
        <v>01-1900</v>
      </c>
      <c r="D182" s="10" t="str">
        <f>IFERROR(
   INDEX(tbl_ProduitsRef[Cde_Prdt],MATCH(tbl_Ventes[[#This Row],[Produit]],tbl_ProduitsRef[Produit],0)),
   ""
)</f>
        <v/>
      </c>
      <c r="E182" s="7">
        <v>0</v>
      </c>
      <c r="F182" s="7" t="str">
        <f>IFERROR(
   INDEX(tbl_ProduitsRef[Prix Menu],MATCH(tbl_Ventes[[#This Row],[Produit]],tbl_ProduitsRef[Produit],0)),
   ""
)</f>
        <v/>
      </c>
      <c r="G182" s="7">
        <f>tbl_Ventes[[#This Row],[Qté Vendue]] * IFERROR(_xlfn.XLOOKUP(tbl_Ventes[[#This Row],[Cde_Prdt]], tbl_Produits[Cde_Prdt], tbl_Produits[Prix Menu]), 0)</f>
        <v>0</v>
      </c>
      <c r="H182" s="7">
        <f>IFERROR(_xlfn.XLOOKUP(tbl_Ventes[[#This Row],[Cde_Prdt]], tbl_Produits[Cde_Prdt], tbl_Produits[Coût Moyen Portion]), 0)</f>
        <v>0</v>
      </c>
      <c r="I182" s="7">
        <f>tbl_Ventes[[#This Row],[Qté Vendue]] * tbl_Ventes[[#This Row],[CMP_par_portion]]</f>
        <v>0</v>
      </c>
      <c r="J182" s="7">
        <f>tbl_Ventes[[#This Row],[CA ligne]] - tbl_Ventes[[#This Row],[Coût matière ligne]]</f>
        <v>0</v>
      </c>
      <c r="K182" s="7" t="str">
        <f>IFERROR(INDEX(tbl_ProduitsRef[Famille], MATCH(tbl_Ventes[[#This Row],[Cde_Prdt]], tbl_Produits[Cde_Prdt], 0)), "")</f>
        <v/>
      </c>
    </row>
    <row r="183" spans="1:11" x14ac:dyDescent="0.25">
      <c r="A183" s="5"/>
      <c r="B183" s="63" t="str">
        <f>IFERROR(TEXT(tbl_Ventes[[#This Row],[Date]],"mm-aaaa"),"")</f>
        <v>01-1900</v>
      </c>
      <c r="D183" s="10" t="str">
        <f>IFERROR(
   INDEX(tbl_ProduitsRef[Cde_Prdt],MATCH(tbl_Ventes[[#This Row],[Produit]],tbl_ProduitsRef[Produit],0)),
   ""
)</f>
        <v/>
      </c>
      <c r="E183" s="7">
        <v>0</v>
      </c>
      <c r="F183" s="7" t="str">
        <f>IFERROR(
   INDEX(tbl_ProduitsRef[Prix Menu],MATCH(tbl_Ventes[[#This Row],[Produit]],tbl_ProduitsRef[Produit],0)),
   ""
)</f>
        <v/>
      </c>
      <c r="G183" s="7">
        <f>tbl_Ventes[[#This Row],[Qté Vendue]] * IFERROR(_xlfn.XLOOKUP(tbl_Ventes[[#This Row],[Cde_Prdt]], tbl_Produits[Cde_Prdt], tbl_Produits[Prix Menu]), 0)</f>
        <v>0</v>
      </c>
      <c r="H183" s="7">
        <f>IFERROR(_xlfn.XLOOKUP(tbl_Ventes[[#This Row],[Cde_Prdt]], tbl_Produits[Cde_Prdt], tbl_Produits[Coût Moyen Portion]), 0)</f>
        <v>0</v>
      </c>
      <c r="I183" s="7">
        <f>tbl_Ventes[[#This Row],[Qté Vendue]] * tbl_Ventes[[#This Row],[CMP_par_portion]]</f>
        <v>0</v>
      </c>
      <c r="J183" s="7">
        <f>tbl_Ventes[[#This Row],[CA ligne]] - tbl_Ventes[[#This Row],[Coût matière ligne]]</f>
        <v>0</v>
      </c>
      <c r="K183" s="7" t="str">
        <f>IFERROR(INDEX(tbl_ProduitsRef[Famille], MATCH(tbl_Ventes[[#This Row],[Cde_Prdt]], tbl_Produits[Cde_Prdt], 0)), "")</f>
        <v/>
      </c>
    </row>
    <row r="184" spans="1:11" x14ac:dyDescent="0.25">
      <c r="A184" s="5"/>
      <c r="B184" s="63" t="str">
        <f>IFERROR(TEXT(tbl_Ventes[[#This Row],[Date]],"mm-aaaa"),"")</f>
        <v>01-1900</v>
      </c>
      <c r="D184" s="10" t="str">
        <f>IFERROR(
   INDEX(tbl_ProduitsRef[Cde_Prdt],MATCH(tbl_Ventes[[#This Row],[Produit]],tbl_ProduitsRef[Produit],0)),
   ""
)</f>
        <v/>
      </c>
      <c r="E184" s="7">
        <v>0</v>
      </c>
      <c r="F184" s="7" t="str">
        <f>IFERROR(
   INDEX(tbl_ProduitsRef[Prix Menu],MATCH(tbl_Ventes[[#This Row],[Produit]],tbl_ProduitsRef[Produit],0)),
   ""
)</f>
        <v/>
      </c>
      <c r="G184" s="7">
        <f>tbl_Ventes[[#This Row],[Qté Vendue]] * IFERROR(_xlfn.XLOOKUP(tbl_Ventes[[#This Row],[Cde_Prdt]], tbl_Produits[Cde_Prdt], tbl_Produits[Prix Menu]), 0)</f>
        <v>0</v>
      </c>
      <c r="H184" s="7">
        <f>IFERROR(_xlfn.XLOOKUP(tbl_Ventes[[#This Row],[Cde_Prdt]], tbl_Produits[Cde_Prdt], tbl_Produits[Coût Moyen Portion]), 0)</f>
        <v>0</v>
      </c>
      <c r="I184" s="7">
        <f>tbl_Ventes[[#This Row],[Qté Vendue]] * tbl_Ventes[[#This Row],[CMP_par_portion]]</f>
        <v>0</v>
      </c>
      <c r="J184" s="7">
        <f>tbl_Ventes[[#This Row],[CA ligne]] - tbl_Ventes[[#This Row],[Coût matière ligne]]</f>
        <v>0</v>
      </c>
      <c r="K184" s="7" t="str">
        <f>IFERROR(INDEX(tbl_ProduitsRef[Famille], MATCH(tbl_Ventes[[#This Row],[Cde_Prdt]], tbl_Produits[Cde_Prdt], 0)), "")</f>
        <v/>
      </c>
    </row>
    <row r="185" spans="1:11" x14ac:dyDescent="0.25">
      <c r="A185" s="5"/>
      <c r="B185" s="63" t="str">
        <f>IFERROR(TEXT(tbl_Ventes[[#This Row],[Date]],"mm-aaaa"),"")</f>
        <v>01-1900</v>
      </c>
      <c r="D185" s="10" t="str">
        <f>IFERROR(
   INDEX(tbl_ProduitsRef[Cde_Prdt],MATCH(tbl_Ventes[[#This Row],[Produit]],tbl_ProduitsRef[Produit],0)),
   ""
)</f>
        <v/>
      </c>
      <c r="E185" s="7">
        <v>0</v>
      </c>
      <c r="F185" s="7" t="str">
        <f>IFERROR(
   INDEX(tbl_ProduitsRef[Prix Menu],MATCH(tbl_Ventes[[#This Row],[Produit]],tbl_ProduitsRef[Produit],0)),
   ""
)</f>
        <v/>
      </c>
      <c r="G185" s="7">
        <f>tbl_Ventes[[#This Row],[Qté Vendue]] * IFERROR(_xlfn.XLOOKUP(tbl_Ventes[[#This Row],[Cde_Prdt]], tbl_Produits[Cde_Prdt], tbl_Produits[Prix Menu]), 0)</f>
        <v>0</v>
      </c>
      <c r="H185" s="7">
        <f>IFERROR(_xlfn.XLOOKUP(tbl_Ventes[[#This Row],[Cde_Prdt]], tbl_Produits[Cde_Prdt], tbl_Produits[Coût Moyen Portion]), 0)</f>
        <v>0</v>
      </c>
      <c r="I185" s="7">
        <f>tbl_Ventes[[#This Row],[Qté Vendue]] * tbl_Ventes[[#This Row],[CMP_par_portion]]</f>
        <v>0</v>
      </c>
      <c r="J185" s="7">
        <f>tbl_Ventes[[#This Row],[CA ligne]] - tbl_Ventes[[#This Row],[Coût matière ligne]]</f>
        <v>0</v>
      </c>
      <c r="K185" s="7" t="str">
        <f>IFERROR(INDEX(tbl_ProduitsRef[Famille], MATCH(tbl_Ventes[[#This Row],[Cde_Prdt]], tbl_Produits[Cde_Prdt], 0)), "")</f>
        <v/>
      </c>
    </row>
    <row r="186" spans="1:11" x14ac:dyDescent="0.25">
      <c r="A186" s="5"/>
      <c r="B186" s="63" t="str">
        <f>IFERROR(TEXT(tbl_Ventes[[#This Row],[Date]],"mm-aaaa"),"")</f>
        <v>01-1900</v>
      </c>
      <c r="D186" s="10" t="str">
        <f>IFERROR(
   INDEX(tbl_ProduitsRef[Cde_Prdt],MATCH(tbl_Ventes[[#This Row],[Produit]],tbl_ProduitsRef[Produit],0)),
   ""
)</f>
        <v/>
      </c>
      <c r="E186" s="7">
        <v>0</v>
      </c>
      <c r="F186" s="7" t="str">
        <f>IFERROR(
   INDEX(tbl_ProduitsRef[Prix Menu],MATCH(tbl_Ventes[[#This Row],[Produit]],tbl_ProduitsRef[Produit],0)),
   ""
)</f>
        <v/>
      </c>
      <c r="G186" s="7">
        <f>tbl_Ventes[[#This Row],[Qté Vendue]] * IFERROR(_xlfn.XLOOKUP(tbl_Ventes[[#This Row],[Cde_Prdt]], tbl_Produits[Cde_Prdt], tbl_Produits[Prix Menu]), 0)</f>
        <v>0</v>
      </c>
      <c r="H186" s="7">
        <f>IFERROR(_xlfn.XLOOKUP(tbl_Ventes[[#This Row],[Cde_Prdt]], tbl_Produits[Cde_Prdt], tbl_Produits[Coût Moyen Portion]), 0)</f>
        <v>0</v>
      </c>
      <c r="I186" s="7">
        <f>tbl_Ventes[[#This Row],[Qté Vendue]] * tbl_Ventes[[#This Row],[CMP_par_portion]]</f>
        <v>0</v>
      </c>
      <c r="J186" s="7">
        <f>tbl_Ventes[[#This Row],[CA ligne]] - tbl_Ventes[[#This Row],[Coût matière ligne]]</f>
        <v>0</v>
      </c>
      <c r="K186" s="7" t="str">
        <f>IFERROR(INDEX(tbl_ProduitsRef[Famille], MATCH(tbl_Ventes[[#This Row],[Cde_Prdt]], tbl_Produits[Cde_Prdt], 0)), "")</f>
        <v/>
      </c>
    </row>
    <row r="187" spans="1:11" x14ac:dyDescent="0.25">
      <c r="A187" s="5"/>
      <c r="B187" s="63" t="str">
        <f>IFERROR(TEXT(tbl_Ventes[[#This Row],[Date]],"mm-aaaa"),"")</f>
        <v>01-1900</v>
      </c>
      <c r="D187" s="10" t="str">
        <f>IFERROR(
   INDEX(tbl_ProduitsRef[Cde_Prdt],MATCH(tbl_Ventes[[#This Row],[Produit]],tbl_ProduitsRef[Produit],0)),
   ""
)</f>
        <v/>
      </c>
      <c r="E187" s="7">
        <v>0</v>
      </c>
      <c r="F187" s="7" t="str">
        <f>IFERROR(
   INDEX(tbl_ProduitsRef[Prix Menu],MATCH(tbl_Ventes[[#This Row],[Produit]],tbl_ProduitsRef[Produit],0)),
   ""
)</f>
        <v/>
      </c>
      <c r="G187" s="7">
        <f>tbl_Ventes[[#This Row],[Qté Vendue]] * IFERROR(_xlfn.XLOOKUP(tbl_Ventes[[#This Row],[Cde_Prdt]], tbl_Produits[Cde_Prdt], tbl_Produits[Prix Menu]), 0)</f>
        <v>0</v>
      </c>
      <c r="H187" s="7">
        <f>IFERROR(_xlfn.XLOOKUP(tbl_Ventes[[#This Row],[Cde_Prdt]], tbl_Produits[Cde_Prdt], tbl_Produits[Coût Moyen Portion]), 0)</f>
        <v>0</v>
      </c>
      <c r="I187" s="7">
        <f>tbl_Ventes[[#This Row],[Qté Vendue]] * tbl_Ventes[[#This Row],[CMP_par_portion]]</f>
        <v>0</v>
      </c>
      <c r="J187" s="7">
        <f>tbl_Ventes[[#This Row],[CA ligne]] - tbl_Ventes[[#This Row],[Coût matière ligne]]</f>
        <v>0</v>
      </c>
      <c r="K187" s="7" t="str">
        <f>IFERROR(INDEX(tbl_ProduitsRef[Famille], MATCH(tbl_Ventes[[#This Row],[Cde_Prdt]], tbl_Produits[Cde_Prdt], 0)), "")</f>
        <v/>
      </c>
    </row>
    <row r="188" spans="1:11" x14ac:dyDescent="0.25">
      <c r="A188" s="5"/>
      <c r="B188" s="63" t="str">
        <f>IFERROR(TEXT(tbl_Ventes[[#This Row],[Date]],"mm-aaaa"),"")</f>
        <v>01-1900</v>
      </c>
      <c r="D188" s="10" t="str">
        <f>IFERROR(
   INDEX(tbl_ProduitsRef[Cde_Prdt],MATCH(tbl_Ventes[[#This Row],[Produit]],tbl_ProduitsRef[Produit],0)),
   ""
)</f>
        <v/>
      </c>
      <c r="E188" s="7">
        <v>0</v>
      </c>
      <c r="F188" s="7" t="str">
        <f>IFERROR(
   INDEX(tbl_ProduitsRef[Prix Menu],MATCH(tbl_Ventes[[#This Row],[Produit]],tbl_ProduitsRef[Produit],0)),
   ""
)</f>
        <v/>
      </c>
      <c r="G188" s="7">
        <f>tbl_Ventes[[#This Row],[Qté Vendue]] * IFERROR(_xlfn.XLOOKUP(tbl_Ventes[[#This Row],[Cde_Prdt]], tbl_Produits[Cde_Prdt], tbl_Produits[Prix Menu]), 0)</f>
        <v>0</v>
      </c>
      <c r="H188" s="7">
        <f>IFERROR(_xlfn.XLOOKUP(tbl_Ventes[[#This Row],[Cde_Prdt]], tbl_Produits[Cde_Prdt], tbl_Produits[Coût Moyen Portion]), 0)</f>
        <v>0</v>
      </c>
      <c r="I188" s="7">
        <f>tbl_Ventes[[#This Row],[Qté Vendue]] * tbl_Ventes[[#This Row],[CMP_par_portion]]</f>
        <v>0</v>
      </c>
      <c r="J188" s="7">
        <f>tbl_Ventes[[#This Row],[CA ligne]] - tbl_Ventes[[#This Row],[Coût matière ligne]]</f>
        <v>0</v>
      </c>
      <c r="K188" s="7" t="str">
        <f>IFERROR(INDEX(tbl_ProduitsRef[Famille], MATCH(tbl_Ventes[[#This Row],[Cde_Prdt]], tbl_Produits[Cde_Prdt], 0)), "")</f>
        <v/>
      </c>
    </row>
    <row r="189" spans="1:11" x14ac:dyDescent="0.25">
      <c r="A189" s="5"/>
      <c r="B189" s="63" t="str">
        <f>IFERROR(TEXT(tbl_Ventes[[#This Row],[Date]],"mm-aaaa"),"")</f>
        <v>01-1900</v>
      </c>
      <c r="D189" s="10" t="str">
        <f>IFERROR(
   INDEX(tbl_ProduitsRef[Cde_Prdt],MATCH(tbl_Ventes[[#This Row],[Produit]],tbl_ProduitsRef[Produit],0)),
   ""
)</f>
        <v/>
      </c>
      <c r="E189" s="7">
        <v>0</v>
      </c>
      <c r="F189" s="7" t="str">
        <f>IFERROR(
   INDEX(tbl_ProduitsRef[Prix Menu],MATCH(tbl_Ventes[[#This Row],[Produit]],tbl_ProduitsRef[Produit],0)),
   ""
)</f>
        <v/>
      </c>
      <c r="G189" s="7">
        <f>tbl_Ventes[[#This Row],[Qté Vendue]] * IFERROR(_xlfn.XLOOKUP(tbl_Ventes[[#This Row],[Cde_Prdt]], tbl_Produits[Cde_Prdt], tbl_Produits[Prix Menu]), 0)</f>
        <v>0</v>
      </c>
      <c r="H189" s="7">
        <f>IFERROR(_xlfn.XLOOKUP(tbl_Ventes[[#This Row],[Cde_Prdt]], tbl_Produits[Cde_Prdt], tbl_Produits[Coût Moyen Portion]), 0)</f>
        <v>0</v>
      </c>
      <c r="I189" s="7">
        <f>tbl_Ventes[[#This Row],[Qté Vendue]] * tbl_Ventes[[#This Row],[CMP_par_portion]]</f>
        <v>0</v>
      </c>
      <c r="J189" s="7">
        <f>tbl_Ventes[[#This Row],[CA ligne]] - tbl_Ventes[[#This Row],[Coût matière ligne]]</f>
        <v>0</v>
      </c>
      <c r="K189" s="7" t="str">
        <f>IFERROR(INDEX(tbl_ProduitsRef[Famille], MATCH(tbl_Ventes[[#This Row],[Cde_Prdt]], tbl_Produits[Cde_Prdt], 0)), "")</f>
        <v/>
      </c>
    </row>
    <row r="190" spans="1:11" x14ac:dyDescent="0.25">
      <c r="A190" s="5"/>
      <c r="B190" s="63" t="str">
        <f>IFERROR(TEXT(tbl_Ventes[[#This Row],[Date]],"mm-aaaa"),"")</f>
        <v>01-1900</v>
      </c>
      <c r="D190" s="10" t="str">
        <f>IFERROR(
   INDEX(tbl_ProduitsRef[Cde_Prdt],MATCH(tbl_Ventes[[#This Row],[Produit]],tbl_ProduitsRef[Produit],0)),
   ""
)</f>
        <v/>
      </c>
      <c r="E190" s="7">
        <v>0</v>
      </c>
      <c r="F190" s="7" t="str">
        <f>IFERROR(
   INDEX(tbl_ProduitsRef[Prix Menu],MATCH(tbl_Ventes[[#This Row],[Produit]],tbl_ProduitsRef[Produit],0)),
   ""
)</f>
        <v/>
      </c>
      <c r="G190" s="7">
        <f>tbl_Ventes[[#This Row],[Qté Vendue]] * IFERROR(_xlfn.XLOOKUP(tbl_Ventes[[#This Row],[Cde_Prdt]], tbl_Produits[Cde_Prdt], tbl_Produits[Prix Menu]), 0)</f>
        <v>0</v>
      </c>
      <c r="H190" s="7">
        <f>IFERROR(_xlfn.XLOOKUP(tbl_Ventes[[#This Row],[Cde_Prdt]], tbl_Produits[Cde_Prdt], tbl_Produits[Coût Moyen Portion]), 0)</f>
        <v>0</v>
      </c>
      <c r="I190" s="7">
        <f>tbl_Ventes[[#This Row],[Qté Vendue]] * tbl_Ventes[[#This Row],[CMP_par_portion]]</f>
        <v>0</v>
      </c>
      <c r="J190" s="7">
        <f>tbl_Ventes[[#This Row],[CA ligne]] - tbl_Ventes[[#This Row],[Coût matière ligne]]</f>
        <v>0</v>
      </c>
      <c r="K190" s="7" t="str">
        <f>IFERROR(INDEX(tbl_ProduitsRef[Famille], MATCH(tbl_Ventes[[#This Row],[Cde_Prdt]], tbl_Produits[Cde_Prdt], 0)), "")</f>
        <v/>
      </c>
    </row>
    <row r="191" spans="1:11" x14ac:dyDescent="0.25">
      <c r="A191" s="5"/>
      <c r="B191" s="63" t="str">
        <f>IFERROR(TEXT(tbl_Ventes[[#This Row],[Date]],"mm-aaaa"),"")</f>
        <v>01-1900</v>
      </c>
      <c r="D191" s="10" t="str">
        <f>IFERROR(
   INDEX(tbl_ProduitsRef[Cde_Prdt],MATCH(tbl_Ventes[[#This Row],[Produit]],tbl_ProduitsRef[Produit],0)),
   ""
)</f>
        <v/>
      </c>
      <c r="E191" s="7">
        <v>0</v>
      </c>
      <c r="F191" s="7" t="str">
        <f>IFERROR(
   INDEX(tbl_ProduitsRef[Prix Menu],MATCH(tbl_Ventes[[#This Row],[Produit]],tbl_ProduitsRef[Produit],0)),
   ""
)</f>
        <v/>
      </c>
      <c r="G191" s="7">
        <f>tbl_Ventes[[#This Row],[Qté Vendue]] * IFERROR(_xlfn.XLOOKUP(tbl_Ventes[[#This Row],[Cde_Prdt]], tbl_Produits[Cde_Prdt], tbl_Produits[Prix Menu]), 0)</f>
        <v>0</v>
      </c>
      <c r="H191" s="7">
        <f>IFERROR(_xlfn.XLOOKUP(tbl_Ventes[[#This Row],[Cde_Prdt]], tbl_Produits[Cde_Prdt], tbl_Produits[Coût Moyen Portion]), 0)</f>
        <v>0</v>
      </c>
      <c r="I191" s="7">
        <f>tbl_Ventes[[#This Row],[Qté Vendue]] * tbl_Ventes[[#This Row],[CMP_par_portion]]</f>
        <v>0</v>
      </c>
      <c r="J191" s="7">
        <f>tbl_Ventes[[#This Row],[CA ligne]] - tbl_Ventes[[#This Row],[Coût matière ligne]]</f>
        <v>0</v>
      </c>
      <c r="K191" s="7" t="str">
        <f>IFERROR(INDEX(tbl_ProduitsRef[Famille], MATCH(tbl_Ventes[[#This Row],[Cde_Prdt]], tbl_Produits[Cde_Prdt], 0)), "")</f>
        <v/>
      </c>
    </row>
    <row r="192" spans="1:11" x14ac:dyDescent="0.25">
      <c r="A192" s="5"/>
      <c r="B192" s="63" t="str">
        <f>IFERROR(TEXT(tbl_Ventes[[#This Row],[Date]],"mm-aaaa"),"")</f>
        <v>01-1900</v>
      </c>
      <c r="D192" s="10" t="str">
        <f>IFERROR(
   INDEX(tbl_ProduitsRef[Cde_Prdt],MATCH(tbl_Ventes[[#This Row],[Produit]],tbl_ProduitsRef[Produit],0)),
   ""
)</f>
        <v/>
      </c>
      <c r="E192" s="7">
        <v>0</v>
      </c>
      <c r="F192" s="7" t="str">
        <f>IFERROR(
   INDEX(tbl_ProduitsRef[Prix Menu],MATCH(tbl_Ventes[[#This Row],[Produit]],tbl_ProduitsRef[Produit],0)),
   ""
)</f>
        <v/>
      </c>
      <c r="G192" s="7">
        <f>tbl_Ventes[[#This Row],[Qté Vendue]] * IFERROR(_xlfn.XLOOKUP(tbl_Ventes[[#This Row],[Cde_Prdt]], tbl_Produits[Cde_Prdt], tbl_Produits[Prix Menu]), 0)</f>
        <v>0</v>
      </c>
      <c r="H192" s="7">
        <f>IFERROR(_xlfn.XLOOKUP(tbl_Ventes[[#This Row],[Cde_Prdt]], tbl_Produits[Cde_Prdt], tbl_Produits[Coût Moyen Portion]), 0)</f>
        <v>0</v>
      </c>
      <c r="I192" s="7">
        <f>tbl_Ventes[[#This Row],[Qté Vendue]] * tbl_Ventes[[#This Row],[CMP_par_portion]]</f>
        <v>0</v>
      </c>
      <c r="J192" s="7">
        <f>tbl_Ventes[[#This Row],[CA ligne]] - tbl_Ventes[[#This Row],[Coût matière ligne]]</f>
        <v>0</v>
      </c>
      <c r="K192" s="7" t="str">
        <f>IFERROR(INDEX(tbl_ProduitsRef[Famille], MATCH(tbl_Ventes[[#This Row],[Cde_Prdt]], tbl_Produits[Cde_Prdt], 0)), "")</f>
        <v/>
      </c>
    </row>
    <row r="193" spans="1:11" x14ac:dyDescent="0.25">
      <c r="A193" s="5"/>
      <c r="B193" s="63" t="str">
        <f>IFERROR(TEXT(tbl_Ventes[[#This Row],[Date]],"mm-aaaa"),"")</f>
        <v>01-1900</v>
      </c>
      <c r="D193" s="10" t="str">
        <f>IFERROR(
   INDEX(tbl_ProduitsRef[Cde_Prdt],MATCH(tbl_Ventes[[#This Row],[Produit]],tbl_ProduitsRef[Produit],0)),
   ""
)</f>
        <v/>
      </c>
      <c r="E193" s="7">
        <v>0</v>
      </c>
      <c r="F193" s="7" t="str">
        <f>IFERROR(
   INDEX(tbl_ProduitsRef[Prix Menu],MATCH(tbl_Ventes[[#This Row],[Produit]],tbl_ProduitsRef[Produit],0)),
   ""
)</f>
        <v/>
      </c>
      <c r="G193" s="7">
        <f>tbl_Ventes[[#This Row],[Qté Vendue]] * IFERROR(_xlfn.XLOOKUP(tbl_Ventes[[#This Row],[Cde_Prdt]], tbl_Produits[Cde_Prdt], tbl_Produits[Prix Menu]), 0)</f>
        <v>0</v>
      </c>
      <c r="H193" s="7">
        <f>IFERROR(_xlfn.XLOOKUP(tbl_Ventes[[#This Row],[Cde_Prdt]], tbl_Produits[Cde_Prdt], tbl_Produits[Coût Moyen Portion]), 0)</f>
        <v>0</v>
      </c>
      <c r="I193" s="7">
        <f>tbl_Ventes[[#This Row],[Qté Vendue]] * tbl_Ventes[[#This Row],[CMP_par_portion]]</f>
        <v>0</v>
      </c>
      <c r="J193" s="7">
        <f>tbl_Ventes[[#This Row],[CA ligne]] - tbl_Ventes[[#This Row],[Coût matière ligne]]</f>
        <v>0</v>
      </c>
      <c r="K193" s="7" t="str">
        <f>IFERROR(INDEX(tbl_ProduitsRef[Famille], MATCH(tbl_Ventes[[#This Row],[Cde_Prdt]], tbl_Produits[Cde_Prdt], 0)), "")</f>
        <v/>
      </c>
    </row>
    <row r="194" spans="1:11" x14ac:dyDescent="0.25">
      <c r="A194" s="5"/>
      <c r="B194" s="63" t="str">
        <f>IFERROR(TEXT(tbl_Ventes[[#This Row],[Date]],"mm-aaaa"),"")</f>
        <v>01-1900</v>
      </c>
      <c r="D194" s="10" t="str">
        <f>IFERROR(
   INDEX(tbl_ProduitsRef[Cde_Prdt],MATCH(tbl_Ventes[[#This Row],[Produit]],tbl_ProduitsRef[Produit],0)),
   ""
)</f>
        <v/>
      </c>
      <c r="E194" s="7">
        <v>0</v>
      </c>
      <c r="F194" s="7" t="str">
        <f>IFERROR(
   INDEX(tbl_ProduitsRef[Prix Menu],MATCH(tbl_Ventes[[#This Row],[Produit]],tbl_ProduitsRef[Produit],0)),
   ""
)</f>
        <v/>
      </c>
      <c r="G194" s="7">
        <f>tbl_Ventes[[#This Row],[Qté Vendue]] * IFERROR(_xlfn.XLOOKUP(tbl_Ventes[[#This Row],[Cde_Prdt]], tbl_Produits[Cde_Prdt], tbl_Produits[Prix Menu]), 0)</f>
        <v>0</v>
      </c>
      <c r="H194" s="7">
        <f>IFERROR(_xlfn.XLOOKUP(tbl_Ventes[[#This Row],[Cde_Prdt]], tbl_Produits[Cde_Prdt], tbl_Produits[Coût Moyen Portion]), 0)</f>
        <v>0</v>
      </c>
      <c r="I194" s="7">
        <f>tbl_Ventes[[#This Row],[Qté Vendue]] * tbl_Ventes[[#This Row],[CMP_par_portion]]</f>
        <v>0</v>
      </c>
      <c r="J194" s="7">
        <f>tbl_Ventes[[#This Row],[CA ligne]] - tbl_Ventes[[#This Row],[Coût matière ligne]]</f>
        <v>0</v>
      </c>
      <c r="K194" s="7" t="str">
        <f>IFERROR(INDEX(tbl_ProduitsRef[Famille], MATCH(tbl_Ventes[[#This Row],[Cde_Prdt]], tbl_Produits[Cde_Prdt], 0)), "")</f>
        <v/>
      </c>
    </row>
    <row r="195" spans="1:11" x14ac:dyDescent="0.25">
      <c r="A195" s="5"/>
      <c r="B195" s="63" t="str">
        <f>IFERROR(TEXT(tbl_Ventes[[#This Row],[Date]],"mm-aaaa"),"")</f>
        <v>01-1900</v>
      </c>
      <c r="D195" s="10" t="str">
        <f>IFERROR(
   INDEX(tbl_ProduitsRef[Cde_Prdt],MATCH(tbl_Ventes[[#This Row],[Produit]],tbl_ProduitsRef[Produit],0)),
   ""
)</f>
        <v/>
      </c>
      <c r="E195" s="7">
        <v>0</v>
      </c>
      <c r="F195" s="7" t="str">
        <f>IFERROR(
   INDEX(tbl_ProduitsRef[Prix Menu],MATCH(tbl_Ventes[[#This Row],[Produit]],tbl_ProduitsRef[Produit],0)),
   ""
)</f>
        <v/>
      </c>
      <c r="G195" s="7">
        <f>tbl_Ventes[[#This Row],[Qté Vendue]] * IFERROR(_xlfn.XLOOKUP(tbl_Ventes[[#This Row],[Cde_Prdt]], tbl_Produits[Cde_Prdt], tbl_Produits[Prix Menu]), 0)</f>
        <v>0</v>
      </c>
      <c r="H195" s="7">
        <f>IFERROR(_xlfn.XLOOKUP(tbl_Ventes[[#This Row],[Cde_Prdt]], tbl_Produits[Cde_Prdt], tbl_Produits[Coût Moyen Portion]), 0)</f>
        <v>0</v>
      </c>
      <c r="I195" s="7">
        <f>tbl_Ventes[[#This Row],[Qté Vendue]] * tbl_Ventes[[#This Row],[CMP_par_portion]]</f>
        <v>0</v>
      </c>
      <c r="J195" s="7">
        <f>tbl_Ventes[[#This Row],[CA ligne]] - tbl_Ventes[[#This Row],[Coût matière ligne]]</f>
        <v>0</v>
      </c>
      <c r="K195" s="7" t="str">
        <f>IFERROR(INDEX(tbl_ProduitsRef[Famille], MATCH(tbl_Ventes[[#This Row],[Cde_Prdt]], tbl_Produits[Cde_Prdt], 0)), "")</f>
        <v/>
      </c>
    </row>
    <row r="196" spans="1:11" x14ac:dyDescent="0.25">
      <c r="A196" s="5"/>
      <c r="B196" s="63" t="str">
        <f>IFERROR(TEXT(tbl_Ventes[[#This Row],[Date]],"mm-aaaa"),"")</f>
        <v>01-1900</v>
      </c>
      <c r="D196" s="10" t="str">
        <f>IFERROR(
   INDEX(tbl_ProduitsRef[Cde_Prdt],MATCH(tbl_Ventes[[#This Row],[Produit]],tbl_ProduitsRef[Produit],0)),
   ""
)</f>
        <v/>
      </c>
      <c r="E196" s="7">
        <v>0</v>
      </c>
      <c r="F196" s="7" t="str">
        <f>IFERROR(
   INDEX(tbl_ProduitsRef[Prix Menu],MATCH(tbl_Ventes[[#This Row],[Produit]],tbl_ProduitsRef[Produit],0)),
   ""
)</f>
        <v/>
      </c>
      <c r="G196" s="7">
        <f>tbl_Ventes[[#This Row],[Qté Vendue]] * IFERROR(_xlfn.XLOOKUP(tbl_Ventes[[#This Row],[Cde_Prdt]], tbl_Produits[Cde_Prdt], tbl_Produits[Prix Menu]), 0)</f>
        <v>0</v>
      </c>
      <c r="H196" s="7">
        <f>IFERROR(_xlfn.XLOOKUP(tbl_Ventes[[#This Row],[Cde_Prdt]], tbl_Produits[Cde_Prdt], tbl_Produits[Coût Moyen Portion]), 0)</f>
        <v>0</v>
      </c>
      <c r="I196" s="7">
        <f>tbl_Ventes[[#This Row],[Qté Vendue]] * tbl_Ventes[[#This Row],[CMP_par_portion]]</f>
        <v>0</v>
      </c>
      <c r="J196" s="7">
        <f>tbl_Ventes[[#This Row],[CA ligne]] - tbl_Ventes[[#This Row],[Coût matière ligne]]</f>
        <v>0</v>
      </c>
      <c r="K196" s="7" t="str">
        <f>IFERROR(INDEX(tbl_ProduitsRef[Famille], MATCH(tbl_Ventes[[#This Row],[Cde_Prdt]], tbl_Produits[Cde_Prdt], 0)), "")</f>
        <v/>
      </c>
    </row>
    <row r="197" spans="1:11" x14ac:dyDescent="0.25">
      <c r="A197" s="5"/>
      <c r="B197" s="63" t="str">
        <f>IFERROR(TEXT(tbl_Ventes[[#This Row],[Date]],"mm-aaaa"),"")</f>
        <v>01-1900</v>
      </c>
      <c r="D197" s="10" t="str">
        <f>IFERROR(
   INDEX(tbl_ProduitsRef[Cde_Prdt],MATCH(tbl_Ventes[[#This Row],[Produit]],tbl_ProduitsRef[Produit],0)),
   ""
)</f>
        <v/>
      </c>
      <c r="E197" s="7">
        <v>0</v>
      </c>
      <c r="F197" s="7" t="str">
        <f>IFERROR(
   INDEX(tbl_ProduitsRef[Prix Menu],MATCH(tbl_Ventes[[#This Row],[Produit]],tbl_ProduitsRef[Produit],0)),
   ""
)</f>
        <v/>
      </c>
      <c r="G197" s="7">
        <f>tbl_Ventes[[#This Row],[Qté Vendue]] * IFERROR(_xlfn.XLOOKUP(tbl_Ventes[[#This Row],[Cde_Prdt]], tbl_Produits[Cde_Prdt], tbl_Produits[Prix Menu]), 0)</f>
        <v>0</v>
      </c>
      <c r="H197" s="7">
        <f>IFERROR(_xlfn.XLOOKUP(tbl_Ventes[[#This Row],[Cde_Prdt]], tbl_Produits[Cde_Prdt], tbl_Produits[Coût Moyen Portion]), 0)</f>
        <v>0</v>
      </c>
      <c r="I197" s="7">
        <f>tbl_Ventes[[#This Row],[Qté Vendue]] * tbl_Ventes[[#This Row],[CMP_par_portion]]</f>
        <v>0</v>
      </c>
      <c r="J197" s="7">
        <f>tbl_Ventes[[#This Row],[CA ligne]] - tbl_Ventes[[#This Row],[Coût matière ligne]]</f>
        <v>0</v>
      </c>
      <c r="K197" s="7" t="str">
        <f>IFERROR(INDEX(tbl_ProduitsRef[Famille], MATCH(tbl_Ventes[[#This Row],[Cde_Prdt]], tbl_Produits[Cde_Prdt], 0)), "")</f>
        <v/>
      </c>
    </row>
    <row r="198" spans="1:11" x14ac:dyDescent="0.25">
      <c r="A198" s="5"/>
      <c r="B198" s="63" t="str">
        <f>IFERROR(TEXT(tbl_Ventes[[#This Row],[Date]],"mm-aaaa"),"")</f>
        <v>01-1900</v>
      </c>
      <c r="D198" s="10" t="str">
        <f>IFERROR(
   INDEX(tbl_ProduitsRef[Cde_Prdt],MATCH(tbl_Ventes[[#This Row],[Produit]],tbl_ProduitsRef[Produit],0)),
   ""
)</f>
        <v/>
      </c>
      <c r="E198" s="7">
        <v>0</v>
      </c>
      <c r="F198" s="7" t="str">
        <f>IFERROR(
   INDEX(tbl_ProduitsRef[Prix Menu],MATCH(tbl_Ventes[[#This Row],[Produit]],tbl_ProduitsRef[Produit],0)),
   ""
)</f>
        <v/>
      </c>
      <c r="G198" s="7">
        <f>tbl_Ventes[[#This Row],[Qté Vendue]] * IFERROR(_xlfn.XLOOKUP(tbl_Ventes[[#This Row],[Cde_Prdt]], tbl_Produits[Cde_Prdt], tbl_Produits[Prix Menu]), 0)</f>
        <v>0</v>
      </c>
      <c r="H198" s="7">
        <f>IFERROR(_xlfn.XLOOKUP(tbl_Ventes[[#This Row],[Cde_Prdt]], tbl_Produits[Cde_Prdt], tbl_Produits[Coût Moyen Portion]), 0)</f>
        <v>0</v>
      </c>
      <c r="I198" s="7">
        <f>tbl_Ventes[[#This Row],[Qté Vendue]] * tbl_Ventes[[#This Row],[CMP_par_portion]]</f>
        <v>0</v>
      </c>
      <c r="J198" s="7">
        <f>tbl_Ventes[[#This Row],[CA ligne]] - tbl_Ventes[[#This Row],[Coût matière ligne]]</f>
        <v>0</v>
      </c>
      <c r="K198" s="7" t="str">
        <f>IFERROR(INDEX(tbl_ProduitsRef[Famille], MATCH(tbl_Ventes[[#This Row],[Cde_Prdt]], tbl_Produits[Cde_Prdt], 0)), "")</f>
        <v/>
      </c>
    </row>
    <row r="199" spans="1:11" x14ac:dyDescent="0.25">
      <c r="A199" s="5"/>
      <c r="B199" s="63" t="str">
        <f>IFERROR(TEXT(tbl_Ventes[[#This Row],[Date]],"mm-aaaa"),"")</f>
        <v>01-1900</v>
      </c>
      <c r="D199" s="10" t="str">
        <f>IFERROR(
   INDEX(tbl_ProduitsRef[Cde_Prdt],MATCH(tbl_Ventes[[#This Row],[Produit]],tbl_ProduitsRef[Produit],0)),
   ""
)</f>
        <v/>
      </c>
      <c r="E199" s="7">
        <v>0</v>
      </c>
      <c r="F199" s="7" t="str">
        <f>IFERROR(
   INDEX(tbl_ProduitsRef[Prix Menu],MATCH(tbl_Ventes[[#This Row],[Produit]],tbl_ProduitsRef[Produit],0)),
   ""
)</f>
        <v/>
      </c>
      <c r="G199" s="7">
        <f>tbl_Ventes[[#This Row],[Qté Vendue]] * IFERROR(_xlfn.XLOOKUP(tbl_Ventes[[#This Row],[Cde_Prdt]], tbl_Produits[Cde_Prdt], tbl_Produits[Prix Menu]), 0)</f>
        <v>0</v>
      </c>
      <c r="H199" s="7">
        <f>IFERROR(_xlfn.XLOOKUP(tbl_Ventes[[#This Row],[Cde_Prdt]], tbl_Produits[Cde_Prdt], tbl_Produits[Coût Moyen Portion]), 0)</f>
        <v>0</v>
      </c>
      <c r="I199" s="7">
        <f>tbl_Ventes[[#This Row],[Qté Vendue]] * tbl_Ventes[[#This Row],[CMP_par_portion]]</f>
        <v>0</v>
      </c>
      <c r="J199" s="7">
        <f>tbl_Ventes[[#This Row],[CA ligne]] - tbl_Ventes[[#This Row],[Coût matière ligne]]</f>
        <v>0</v>
      </c>
      <c r="K199" s="7" t="str">
        <f>IFERROR(INDEX(tbl_ProduitsRef[Famille], MATCH(tbl_Ventes[[#This Row],[Cde_Prdt]], tbl_Produits[Cde_Prdt], 0)), "")</f>
        <v/>
      </c>
    </row>
    <row r="200" spans="1:11" x14ac:dyDescent="0.25">
      <c r="A200" s="5"/>
      <c r="B200" s="63" t="str">
        <f>IFERROR(TEXT(tbl_Ventes[[#This Row],[Date]],"mm-aaaa"),"")</f>
        <v>01-1900</v>
      </c>
      <c r="D200" s="10" t="str">
        <f>IFERROR(
   INDEX(tbl_ProduitsRef[Cde_Prdt],MATCH(tbl_Ventes[[#This Row],[Produit]],tbl_ProduitsRef[Produit],0)),
   ""
)</f>
        <v/>
      </c>
      <c r="E200" s="7">
        <v>0</v>
      </c>
      <c r="F200" s="7" t="str">
        <f>IFERROR(
   INDEX(tbl_ProduitsRef[Prix Menu],MATCH(tbl_Ventes[[#This Row],[Produit]],tbl_ProduitsRef[Produit],0)),
   ""
)</f>
        <v/>
      </c>
      <c r="G200" s="7">
        <f>tbl_Ventes[[#This Row],[Qté Vendue]] * IFERROR(_xlfn.XLOOKUP(tbl_Ventes[[#This Row],[Cde_Prdt]], tbl_Produits[Cde_Prdt], tbl_Produits[Prix Menu]), 0)</f>
        <v>0</v>
      </c>
      <c r="H200" s="7">
        <f>IFERROR(_xlfn.XLOOKUP(tbl_Ventes[[#This Row],[Cde_Prdt]], tbl_Produits[Cde_Prdt], tbl_Produits[Coût Moyen Portion]), 0)</f>
        <v>0</v>
      </c>
      <c r="I200" s="7">
        <f>tbl_Ventes[[#This Row],[Qté Vendue]] * tbl_Ventes[[#This Row],[CMP_par_portion]]</f>
        <v>0</v>
      </c>
      <c r="J200" s="7">
        <f>tbl_Ventes[[#This Row],[CA ligne]] - tbl_Ventes[[#This Row],[Coût matière ligne]]</f>
        <v>0</v>
      </c>
      <c r="K200" s="7" t="str">
        <f>IFERROR(INDEX(tbl_ProduitsRef[Famille], MATCH(tbl_Ventes[[#This Row],[Cde_Prdt]], tbl_Produits[Cde_Prdt], 0)), "")</f>
        <v/>
      </c>
    </row>
    <row r="201" spans="1:11" x14ac:dyDescent="0.25">
      <c r="A201" s="5"/>
      <c r="B201" s="63" t="str">
        <f>IFERROR(TEXT(tbl_Ventes[[#This Row],[Date]],"mm-aaaa"),"")</f>
        <v>01-1900</v>
      </c>
      <c r="D201" s="10" t="str">
        <f>IFERROR(
   INDEX(tbl_ProduitsRef[Cde_Prdt],MATCH(tbl_Ventes[[#This Row],[Produit]],tbl_ProduitsRef[Produit],0)),
   ""
)</f>
        <v/>
      </c>
      <c r="E201" s="7">
        <v>0</v>
      </c>
      <c r="F201" s="7" t="str">
        <f>IFERROR(
   INDEX(tbl_ProduitsRef[Prix Menu],MATCH(tbl_Ventes[[#This Row],[Produit]],tbl_ProduitsRef[Produit],0)),
   ""
)</f>
        <v/>
      </c>
      <c r="G201" s="7">
        <f>tbl_Ventes[[#This Row],[Qté Vendue]] * IFERROR(_xlfn.XLOOKUP(tbl_Ventes[[#This Row],[Cde_Prdt]], tbl_Produits[Cde_Prdt], tbl_Produits[Prix Menu]), 0)</f>
        <v>0</v>
      </c>
      <c r="H201" s="7">
        <f>IFERROR(_xlfn.XLOOKUP(tbl_Ventes[[#This Row],[Cde_Prdt]], tbl_Produits[Cde_Prdt], tbl_Produits[Coût Moyen Portion]), 0)</f>
        <v>0</v>
      </c>
      <c r="I201" s="7">
        <f>tbl_Ventes[[#This Row],[Qté Vendue]] * tbl_Ventes[[#This Row],[CMP_par_portion]]</f>
        <v>0</v>
      </c>
      <c r="J201" s="7">
        <f>tbl_Ventes[[#This Row],[CA ligne]] - tbl_Ventes[[#This Row],[Coût matière ligne]]</f>
        <v>0</v>
      </c>
      <c r="K201" s="7" t="str">
        <f>IFERROR(INDEX(tbl_ProduitsRef[Famille], MATCH(tbl_Ventes[[#This Row],[Cde_Prdt]], tbl_Produits[Cde_Prdt], 0)), "")</f>
        <v/>
      </c>
    </row>
    <row r="202" spans="1:11" x14ac:dyDescent="0.25">
      <c r="A202" s="5"/>
      <c r="B202" s="63" t="str">
        <f>IFERROR(TEXT(tbl_Ventes[[#This Row],[Date]],"mm-aaaa"),"")</f>
        <v>01-1900</v>
      </c>
      <c r="D202" s="10" t="str">
        <f>IFERROR(
   INDEX(tbl_ProduitsRef[Cde_Prdt],MATCH(tbl_Ventes[[#This Row],[Produit]],tbl_ProduitsRef[Produit],0)),
   ""
)</f>
        <v/>
      </c>
      <c r="E202" s="7">
        <v>0</v>
      </c>
      <c r="F202" s="7" t="str">
        <f>IFERROR(
   INDEX(tbl_ProduitsRef[Prix Menu],MATCH(tbl_Ventes[[#This Row],[Produit]],tbl_ProduitsRef[Produit],0)),
   ""
)</f>
        <v/>
      </c>
      <c r="G202" s="7">
        <f>tbl_Ventes[[#This Row],[Qté Vendue]] * IFERROR(_xlfn.XLOOKUP(tbl_Ventes[[#This Row],[Cde_Prdt]], tbl_Produits[Cde_Prdt], tbl_Produits[Prix Menu]), 0)</f>
        <v>0</v>
      </c>
      <c r="H202" s="7">
        <f>IFERROR(_xlfn.XLOOKUP(tbl_Ventes[[#This Row],[Cde_Prdt]], tbl_Produits[Cde_Prdt], tbl_Produits[Coût Moyen Portion]), 0)</f>
        <v>0</v>
      </c>
      <c r="I202" s="7">
        <f>tbl_Ventes[[#This Row],[Qté Vendue]] * tbl_Ventes[[#This Row],[CMP_par_portion]]</f>
        <v>0</v>
      </c>
      <c r="J202" s="7">
        <f>tbl_Ventes[[#This Row],[CA ligne]] - tbl_Ventes[[#This Row],[Coût matière ligne]]</f>
        <v>0</v>
      </c>
      <c r="K202" s="7" t="str">
        <f>IFERROR(INDEX(tbl_ProduitsRef[Famille], MATCH(tbl_Ventes[[#This Row],[Cde_Prdt]], tbl_Produits[Cde_Prdt], 0)), "")</f>
        <v/>
      </c>
    </row>
    <row r="203" spans="1:11" x14ac:dyDescent="0.25">
      <c r="A203" s="5"/>
      <c r="B203" s="63" t="str">
        <f>IFERROR(TEXT(tbl_Ventes[[#This Row],[Date]],"mm-aaaa"),"")</f>
        <v>01-1900</v>
      </c>
      <c r="D203" s="10" t="str">
        <f>IFERROR(
   INDEX(tbl_ProduitsRef[Cde_Prdt],MATCH(tbl_Ventes[[#This Row],[Produit]],tbl_ProduitsRef[Produit],0)),
   ""
)</f>
        <v/>
      </c>
      <c r="E203" s="7">
        <v>0</v>
      </c>
      <c r="F203" s="7" t="str">
        <f>IFERROR(
   INDEX(tbl_ProduitsRef[Prix Menu],MATCH(tbl_Ventes[[#This Row],[Produit]],tbl_ProduitsRef[Produit],0)),
   ""
)</f>
        <v/>
      </c>
      <c r="G203" s="7">
        <f>tbl_Ventes[[#This Row],[Qté Vendue]] * IFERROR(_xlfn.XLOOKUP(tbl_Ventes[[#This Row],[Cde_Prdt]], tbl_Produits[Cde_Prdt], tbl_Produits[Prix Menu]), 0)</f>
        <v>0</v>
      </c>
      <c r="H203" s="7">
        <f>IFERROR(_xlfn.XLOOKUP(tbl_Ventes[[#This Row],[Cde_Prdt]], tbl_Produits[Cde_Prdt], tbl_Produits[Coût Moyen Portion]), 0)</f>
        <v>0</v>
      </c>
      <c r="I203" s="7">
        <f>tbl_Ventes[[#This Row],[Qté Vendue]] * tbl_Ventes[[#This Row],[CMP_par_portion]]</f>
        <v>0</v>
      </c>
      <c r="J203" s="7">
        <f>tbl_Ventes[[#This Row],[CA ligne]] - tbl_Ventes[[#This Row],[Coût matière ligne]]</f>
        <v>0</v>
      </c>
      <c r="K203" s="7" t="str">
        <f>IFERROR(INDEX(tbl_ProduitsRef[Famille], MATCH(tbl_Ventes[[#This Row],[Cde_Prdt]], tbl_Produits[Cde_Prdt], 0)), "")</f>
        <v/>
      </c>
    </row>
    <row r="204" spans="1:11" x14ac:dyDescent="0.25">
      <c r="A204" s="5"/>
      <c r="B204" s="63" t="str">
        <f>IFERROR(TEXT(tbl_Ventes[[#This Row],[Date]],"mm-aaaa"),"")</f>
        <v>01-1900</v>
      </c>
      <c r="D204" s="10" t="str">
        <f>IFERROR(
   INDEX(tbl_ProduitsRef[Cde_Prdt],MATCH(tbl_Ventes[[#This Row],[Produit]],tbl_ProduitsRef[Produit],0)),
   ""
)</f>
        <v/>
      </c>
      <c r="E204" s="7">
        <v>0</v>
      </c>
      <c r="F204" s="7" t="str">
        <f>IFERROR(
   INDEX(tbl_ProduitsRef[Prix Menu],MATCH(tbl_Ventes[[#This Row],[Produit]],tbl_ProduitsRef[Produit],0)),
   ""
)</f>
        <v/>
      </c>
      <c r="G204" s="7">
        <f>tbl_Ventes[[#This Row],[Qté Vendue]] * IFERROR(_xlfn.XLOOKUP(tbl_Ventes[[#This Row],[Cde_Prdt]], tbl_Produits[Cde_Prdt], tbl_Produits[Prix Menu]), 0)</f>
        <v>0</v>
      </c>
      <c r="H204" s="7">
        <f>IFERROR(_xlfn.XLOOKUP(tbl_Ventes[[#This Row],[Cde_Prdt]], tbl_Produits[Cde_Prdt], tbl_Produits[Coût Moyen Portion]), 0)</f>
        <v>0</v>
      </c>
      <c r="I204" s="7">
        <f>tbl_Ventes[[#This Row],[Qté Vendue]] * tbl_Ventes[[#This Row],[CMP_par_portion]]</f>
        <v>0</v>
      </c>
      <c r="J204" s="7">
        <f>tbl_Ventes[[#This Row],[CA ligne]] - tbl_Ventes[[#This Row],[Coût matière ligne]]</f>
        <v>0</v>
      </c>
      <c r="K204" s="7" t="str">
        <f>IFERROR(INDEX(tbl_ProduitsRef[Famille], MATCH(tbl_Ventes[[#This Row],[Cde_Prdt]], tbl_Produits[Cde_Prdt], 0)), "")</f>
        <v/>
      </c>
    </row>
    <row r="205" spans="1:11" x14ac:dyDescent="0.25">
      <c r="A205" s="5"/>
      <c r="B205" s="63" t="str">
        <f>IFERROR(TEXT(tbl_Ventes[[#This Row],[Date]],"mm-aaaa"),"")</f>
        <v>01-1900</v>
      </c>
      <c r="D205" s="10" t="str">
        <f>IFERROR(
   INDEX(tbl_ProduitsRef[Cde_Prdt],MATCH(tbl_Ventes[[#This Row],[Produit]],tbl_ProduitsRef[Produit],0)),
   ""
)</f>
        <v/>
      </c>
      <c r="E205" s="7">
        <v>0</v>
      </c>
      <c r="F205" s="7" t="str">
        <f>IFERROR(
   INDEX(tbl_ProduitsRef[Prix Menu],MATCH(tbl_Ventes[[#This Row],[Produit]],tbl_ProduitsRef[Produit],0)),
   ""
)</f>
        <v/>
      </c>
      <c r="G205" s="7">
        <f>tbl_Ventes[[#This Row],[Qté Vendue]] * IFERROR(_xlfn.XLOOKUP(tbl_Ventes[[#This Row],[Cde_Prdt]], tbl_Produits[Cde_Prdt], tbl_Produits[Prix Menu]), 0)</f>
        <v>0</v>
      </c>
      <c r="H205" s="7">
        <f>IFERROR(_xlfn.XLOOKUP(tbl_Ventes[[#This Row],[Cde_Prdt]], tbl_Produits[Cde_Prdt], tbl_Produits[Coût Moyen Portion]), 0)</f>
        <v>0</v>
      </c>
      <c r="I205" s="7">
        <f>tbl_Ventes[[#This Row],[Qté Vendue]] * tbl_Ventes[[#This Row],[CMP_par_portion]]</f>
        <v>0</v>
      </c>
      <c r="J205" s="7">
        <f>tbl_Ventes[[#This Row],[CA ligne]] - tbl_Ventes[[#This Row],[Coût matière ligne]]</f>
        <v>0</v>
      </c>
      <c r="K205" s="7" t="str">
        <f>IFERROR(INDEX(tbl_ProduitsRef[Famille], MATCH(tbl_Ventes[[#This Row],[Cde_Prdt]], tbl_Produits[Cde_Prdt], 0)), "")</f>
        <v/>
      </c>
    </row>
    <row r="206" spans="1:11" x14ac:dyDescent="0.25">
      <c r="A206" s="5"/>
      <c r="B206" s="63" t="str">
        <f>IFERROR(TEXT(tbl_Ventes[[#This Row],[Date]],"mm-aaaa"),"")</f>
        <v>01-1900</v>
      </c>
      <c r="D206" s="10" t="str">
        <f>IFERROR(
   INDEX(tbl_ProduitsRef[Cde_Prdt],MATCH(tbl_Ventes[[#This Row],[Produit]],tbl_ProduitsRef[Produit],0)),
   ""
)</f>
        <v/>
      </c>
      <c r="E206" s="7">
        <v>0</v>
      </c>
      <c r="F206" s="7" t="str">
        <f>IFERROR(
   INDEX(tbl_ProduitsRef[Prix Menu],MATCH(tbl_Ventes[[#This Row],[Produit]],tbl_ProduitsRef[Produit],0)),
   ""
)</f>
        <v/>
      </c>
      <c r="G206" s="7">
        <f>tbl_Ventes[[#This Row],[Qté Vendue]] * IFERROR(_xlfn.XLOOKUP(tbl_Ventes[[#This Row],[Cde_Prdt]], tbl_Produits[Cde_Prdt], tbl_Produits[Prix Menu]), 0)</f>
        <v>0</v>
      </c>
      <c r="H206" s="7">
        <f>IFERROR(_xlfn.XLOOKUP(tbl_Ventes[[#This Row],[Cde_Prdt]], tbl_Produits[Cde_Prdt], tbl_Produits[Coût Moyen Portion]), 0)</f>
        <v>0</v>
      </c>
      <c r="I206" s="7">
        <f>tbl_Ventes[[#This Row],[Qté Vendue]] * tbl_Ventes[[#This Row],[CMP_par_portion]]</f>
        <v>0</v>
      </c>
      <c r="J206" s="7">
        <f>tbl_Ventes[[#This Row],[CA ligne]] - tbl_Ventes[[#This Row],[Coût matière ligne]]</f>
        <v>0</v>
      </c>
      <c r="K206" s="7" t="str">
        <f>IFERROR(INDEX(tbl_ProduitsRef[Famille], MATCH(tbl_Ventes[[#This Row],[Cde_Prdt]], tbl_Produits[Cde_Prdt], 0)), "")</f>
        <v/>
      </c>
    </row>
    <row r="207" spans="1:11" x14ac:dyDescent="0.25">
      <c r="A207" s="5"/>
      <c r="B207" s="63" t="str">
        <f>IFERROR(TEXT(tbl_Ventes[[#This Row],[Date]],"mm-aaaa"),"")</f>
        <v>01-1900</v>
      </c>
      <c r="D207" s="10" t="str">
        <f>IFERROR(
   INDEX(tbl_ProduitsRef[Cde_Prdt],MATCH(tbl_Ventes[[#This Row],[Produit]],tbl_ProduitsRef[Produit],0)),
   ""
)</f>
        <v/>
      </c>
      <c r="E207" s="7">
        <v>0</v>
      </c>
      <c r="F207" s="7" t="str">
        <f>IFERROR(
   INDEX(tbl_ProduitsRef[Prix Menu],MATCH(tbl_Ventes[[#This Row],[Produit]],tbl_ProduitsRef[Produit],0)),
   ""
)</f>
        <v/>
      </c>
      <c r="G207" s="7">
        <f>tbl_Ventes[[#This Row],[Qté Vendue]] * IFERROR(_xlfn.XLOOKUP(tbl_Ventes[[#This Row],[Cde_Prdt]], tbl_Produits[Cde_Prdt], tbl_Produits[Prix Menu]), 0)</f>
        <v>0</v>
      </c>
      <c r="H207" s="7">
        <f>IFERROR(_xlfn.XLOOKUP(tbl_Ventes[[#This Row],[Cde_Prdt]], tbl_Produits[Cde_Prdt], tbl_Produits[Coût Moyen Portion]), 0)</f>
        <v>0</v>
      </c>
      <c r="I207" s="7">
        <f>tbl_Ventes[[#This Row],[Qté Vendue]] * tbl_Ventes[[#This Row],[CMP_par_portion]]</f>
        <v>0</v>
      </c>
      <c r="J207" s="7">
        <f>tbl_Ventes[[#This Row],[CA ligne]] - tbl_Ventes[[#This Row],[Coût matière ligne]]</f>
        <v>0</v>
      </c>
      <c r="K207" s="7" t="str">
        <f>IFERROR(INDEX(tbl_ProduitsRef[Famille], MATCH(tbl_Ventes[[#This Row],[Cde_Prdt]], tbl_Produits[Cde_Prdt], 0)), "")</f>
        <v/>
      </c>
    </row>
    <row r="208" spans="1:11" x14ac:dyDescent="0.25">
      <c r="A208" s="5"/>
      <c r="B208" s="63" t="str">
        <f>IFERROR(TEXT(tbl_Ventes[[#This Row],[Date]],"mm-aaaa"),"")</f>
        <v>01-1900</v>
      </c>
      <c r="D208" s="10" t="str">
        <f>IFERROR(
   INDEX(tbl_ProduitsRef[Cde_Prdt],MATCH(tbl_Ventes[[#This Row],[Produit]],tbl_ProduitsRef[Produit],0)),
   ""
)</f>
        <v/>
      </c>
      <c r="E208" s="7">
        <v>0</v>
      </c>
      <c r="F208" s="7" t="str">
        <f>IFERROR(
   INDEX(tbl_ProduitsRef[Prix Menu],MATCH(tbl_Ventes[[#This Row],[Produit]],tbl_ProduitsRef[Produit],0)),
   ""
)</f>
        <v/>
      </c>
      <c r="G208" s="7">
        <f>tbl_Ventes[[#This Row],[Qté Vendue]] * IFERROR(_xlfn.XLOOKUP(tbl_Ventes[[#This Row],[Cde_Prdt]], tbl_Produits[Cde_Prdt], tbl_Produits[Prix Menu]), 0)</f>
        <v>0</v>
      </c>
      <c r="H208" s="7">
        <f>IFERROR(_xlfn.XLOOKUP(tbl_Ventes[[#This Row],[Cde_Prdt]], tbl_Produits[Cde_Prdt], tbl_Produits[Coût Moyen Portion]), 0)</f>
        <v>0</v>
      </c>
      <c r="I208" s="7">
        <f>tbl_Ventes[[#This Row],[Qté Vendue]] * tbl_Ventes[[#This Row],[CMP_par_portion]]</f>
        <v>0</v>
      </c>
      <c r="J208" s="7">
        <f>tbl_Ventes[[#This Row],[CA ligne]] - tbl_Ventes[[#This Row],[Coût matière ligne]]</f>
        <v>0</v>
      </c>
      <c r="K208" s="7" t="str">
        <f>IFERROR(INDEX(tbl_ProduitsRef[Famille], MATCH(tbl_Ventes[[#This Row],[Cde_Prdt]], tbl_Produits[Cde_Prdt], 0)), "")</f>
        <v/>
      </c>
    </row>
    <row r="209" spans="1:11" x14ac:dyDescent="0.25">
      <c r="A209" s="5"/>
      <c r="B209" s="63" t="str">
        <f>IFERROR(TEXT(tbl_Ventes[[#This Row],[Date]],"mm-aaaa"),"")</f>
        <v>01-1900</v>
      </c>
      <c r="D209" s="10" t="str">
        <f>IFERROR(
   INDEX(tbl_ProduitsRef[Cde_Prdt],MATCH(tbl_Ventes[[#This Row],[Produit]],tbl_ProduitsRef[Produit],0)),
   ""
)</f>
        <v/>
      </c>
      <c r="E209" s="7">
        <v>0</v>
      </c>
      <c r="F209" s="7" t="str">
        <f>IFERROR(
   INDEX(tbl_ProduitsRef[Prix Menu],MATCH(tbl_Ventes[[#This Row],[Produit]],tbl_ProduitsRef[Produit],0)),
   ""
)</f>
        <v/>
      </c>
      <c r="G209" s="7">
        <f>tbl_Ventes[[#This Row],[Qté Vendue]] * IFERROR(_xlfn.XLOOKUP(tbl_Ventes[[#This Row],[Cde_Prdt]], tbl_Produits[Cde_Prdt], tbl_Produits[Prix Menu]), 0)</f>
        <v>0</v>
      </c>
      <c r="H209" s="7">
        <f>IFERROR(_xlfn.XLOOKUP(tbl_Ventes[[#This Row],[Cde_Prdt]], tbl_Produits[Cde_Prdt], tbl_Produits[Coût Moyen Portion]), 0)</f>
        <v>0</v>
      </c>
      <c r="I209" s="7">
        <f>tbl_Ventes[[#This Row],[Qté Vendue]] * tbl_Ventes[[#This Row],[CMP_par_portion]]</f>
        <v>0</v>
      </c>
      <c r="J209" s="7">
        <f>tbl_Ventes[[#This Row],[CA ligne]] - tbl_Ventes[[#This Row],[Coût matière ligne]]</f>
        <v>0</v>
      </c>
      <c r="K209" s="7" t="str">
        <f>IFERROR(INDEX(tbl_ProduitsRef[Famille], MATCH(tbl_Ventes[[#This Row],[Cde_Prdt]], tbl_Produits[Cde_Prdt], 0)), "")</f>
        <v/>
      </c>
    </row>
    <row r="210" spans="1:11" x14ac:dyDescent="0.25">
      <c r="A210" s="5"/>
      <c r="B210" s="63" t="str">
        <f>IFERROR(TEXT(tbl_Ventes[[#This Row],[Date]],"mm-aaaa"),"")</f>
        <v>01-1900</v>
      </c>
      <c r="D210" s="10" t="str">
        <f>IFERROR(
   INDEX(tbl_ProduitsRef[Cde_Prdt],MATCH(tbl_Ventes[[#This Row],[Produit]],tbl_ProduitsRef[Produit],0)),
   ""
)</f>
        <v/>
      </c>
      <c r="E210" s="7">
        <v>0</v>
      </c>
      <c r="F210" s="7" t="str">
        <f>IFERROR(
   INDEX(tbl_ProduitsRef[Prix Menu],MATCH(tbl_Ventes[[#This Row],[Produit]],tbl_ProduitsRef[Produit],0)),
   ""
)</f>
        <v/>
      </c>
      <c r="G210" s="7">
        <f>tbl_Ventes[[#This Row],[Qté Vendue]] * IFERROR(_xlfn.XLOOKUP(tbl_Ventes[[#This Row],[Cde_Prdt]], tbl_Produits[Cde_Prdt], tbl_Produits[Prix Menu]), 0)</f>
        <v>0</v>
      </c>
      <c r="H210" s="7">
        <f>IFERROR(_xlfn.XLOOKUP(tbl_Ventes[[#This Row],[Cde_Prdt]], tbl_Produits[Cde_Prdt], tbl_Produits[Coût Moyen Portion]), 0)</f>
        <v>0</v>
      </c>
      <c r="I210" s="7">
        <f>tbl_Ventes[[#This Row],[Qté Vendue]] * tbl_Ventes[[#This Row],[CMP_par_portion]]</f>
        <v>0</v>
      </c>
      <c r="J210" s="7">
        <f>tbl_Ventes[[#This Row],[CA ligne]] - tbl_Ventes[[#This Row],[Coût matière ligne]]</f>
        <v>0</v>
      </c>
      <c r="K210" s="7" t="str">
        <f>IFERROR(INDEX(tbl_ProduitsRef[Famille], MATCH(tbl_Ventes[[#This Row],[Cde_Prdt]], tbl_Produits[Cde_Prdt], 0)), "")</f>
        <v/>
      </c>
    </row>
    <row r="211" spans="1:11" x14ac:dyDescent="0.25">
      <c r="A211" s="5"/>
      <c r="B211" s="63" t="str">
        <f>IFERROR(TEXT(tbl_Ventes[[#This Row],[Date]],"mm-aaaa"),"")</f>
        <v>01-1900</v>
      </c>
      <c r="D211" s="10" t="str">
        <f>IFERROR(
   INDEX(tbl_ProduitsRef[Cde_Prdt],MATCH(tbl_Ventes[[#This Row],[Produit]],tbl_ProduitsRef[Produit],0)),
   ""
)</f>
        <v/>
      </c>
      <c r="E211" s="7">
        <v>0</v>
      </c>
      <c r="F211" s="7" t="str">
        <f>IFERROR(
   INDEX(tbl_ProduitsRef[Prix Menu],MATCH(tbl_Ventes[[#This Row],[Produit]],tbl_ProduitsRef[Produit],0)),
   ""
)</f>
        <v/>
      </c>
      <c r="G211" s="7">
        <f>tbl_Ventes[[#This Row],[Qté Vendue]] * IFERROR(_xlfn.XLOOKUP(tbl_Ventes[[#This Row],[Cde_Prdt]], tbl_Produits[Cde_Prdt], tbl_Produits[Prix Menu]), 0)</f>
        <v>0</v>
      </c>
      <c r="H211" s="7">
        <f>IFERROR(_xlfn.XLOOKUP(tbl_Ventes[[#This Row],[Cde_Prdt]], tbl_Produits[Cde_Prdt], tbl_Produits[Coût Moyen Portion]), 0)</f>
        <v>0</v>
      </c>
      <c r="I211" s="7">
        <f>tbl_Ventes[[#This Row],[Qté Vendue]] * tbl_Ventes[[#This Row],[CMP_par_portion]]</f>
        <v>0</v>
      </c>
      <c r="J211" s="7">
        <f>tbl_Ventes[[#This Row],[CA ligne]] - tbl_Ventes[[#This Row],[Coût matière ligne]]</f>
        <v>0</v>
      </c>
      <c r="K211" s="7" t="str">
        <f>IFERROR(INDEX(tbl_ProduitsRef[Famille], MATCH(tbl_Ventes[[#This Row],[Cde_Prdt]], tbl_Produits[Cde_Prdt], 0)), "")</f>
        <v/>
      </c>
    </row>
    <row r="212" spans="1:11" x14ac:dyDescent="0.25">
      <c r="A212" s="5"/>
      <c r="B212" s="63" t="str">
        <f>IFERROR(TEXT(tbl_Ventes[[#This Row],[Date]],"mm-aaaa"),"")</f>
        <v>01-1900</v>
      </c>
      <c r="D212" s="10" t="str">
        <f>IFERROR(
   INDEX(tbl_ProduitsRef[Cde_Prdt],MATCH(tbl_Ventes[[#This Row],[Produit]],tbl_ProduitsRef[Produit],0)),
   ""
)</f>
        <v/>
      </c>
      <c r="E212" s="7">
        <v>0</v>
      </c>
      <c r="F212" s="7" t="str">
        <f>IFERROR(
   INDEX(tbl_ProduitsRef[Prix Menu],MATCH(tbl_Ventes[[#This Row],[Produit]],tbl_ProduitsRef[Produit],0)),
   ""
)</f>
        <v/>
      </c>
      <c r="G212" s="7">
        <f>tbl_Ventes[[#This Row],[Qté Vendue]] * IFERROR(_xlfn.XLOOKUP(tbl_Ventes[[#This Row],[Cde_Prdt]], tbl_Produits[Cde_Prdt], tbl_Produits[Prix Menu]), 0)</f>
        <v>0</v>
      </c>
      <c r="H212" s="7">
        <f>IFERROR(_xlfn.XLOOKUP(tbl_Ventes[[#This Row],[Cde_Prdt]], tbl_Produits[Cde_Prdt], tbl_Produits[Coût Moyen Portion]), 0)</f>
        <v>0</v>
      </c>
      <c r="I212" s="7">
        <f>tbl_Ventes[[#This Row],[Qté Vendue]] * tbl_Ventes[[#This Row],[CMP_par_portion]]</f>
        <v>0</v>
      </c>
      <c r="J212" s="7">
        <f>tbl_Ventes[[#This Row],[CA ligne]] - tbl_Ventes[[#This Row],[Coût matière ligne]]</f>
        <v>0</v>
      </c>
      <c r="K212" s="7" t="str">
        <f>IFERROR(INDEX(tbl_ProduitsRef[Famille], MATCH(tbl_Ventes[[#This Row],[Cde_Prdt]], tbl_Produits[Cde_Prdt], 0)), "")</f>
        <v/>
      </c>
    </row>
    <row r="213" spans="1:11" x14ac:dyDescent="0.25">
      <c r="A213" s="5"/>
      <c r="B213" s="63" t="str">
        <f>IFERROR(TEXT(tbl_Ventes[[#This Row],[Date]],"mm-aaaa"),"")</f>
        <v>01-1900</v>
      </c>
      <c r="D213" s="10" t="str">
        <f>IFERROR(
   INDEX(tbl_ProduitsRef[Cde_Prdt],MATCH(tbl_Ventes[[#This Row],[Produit]],tbl_ProduitsRef[Produit],0)),
   ""
)</f>
        <v/>
      </c>
      <c r="E213" s="7">
        <v>0</v>
      </c>
      <c r="F213" s="7" t="str">
        <f>IFERROR(
   INDEX(tbl_ProduitsRef[Prix Menu],MATCH(tbl_Ventes[[#This Row],[Produit]],tbl_ProduitsRef[Produit],0)),
   ""
)</f>
        <v/>
      </c>
      <c r="G213" s="7">
        <f>tbl_Ventes[[#This Row],[Qté Vendue]] * IFERROR(_xlfn.XLOOKUP(tbl_Ventes[[#This Row],[Cde_Prdt]], tbl_Produits[Cde_Prdt], tbl_Produits[Prix Menu]), 0)</f>
        <v>0</v>
      </c>
      <c r="H213" s="7">
        <f>IFERROR(_xlfn.XLOOKUP(tbl_Ventes[[#This Row],[Cde_Prdt]], tbl_Produits[Cde_Prdt], tbl_Produits[Coût Moyen Portion]), 0)</f>
        <v>0</v>
      </c>
      <c r="I213" s="7">
        <f>tbl_Ventes[[#This Row],[Qté Vendue]] * tbl_Ventes[[#This Row],[CMP_par_portion]]</f>
        <v>0</v>
      </c>
      <c r="J213" s="7">
        <f>tbl_Ventes[[#This Row],[CA ligne]] - tbl_Ventes[[#This Row],[Coût matière ligne]]</f>
        <v>0</v>
      </c>
      <c r="K213" s="7" t="str">
        <f>IFERROR(INDEX(tbl_ProduitsRef[Famille], MATCH(tbl_Ventes[[#This Row],[Cde_Prdt]], tbl_Produits[Cde_Prdt], 0)), "")</f>
        <v/>
      </c>
    </row>
    <row r="214" spans="1:11" x14ac:dyDescent="0.25">
      <c r="A214" s="5"/>
      <c r="B214" s="63" t="str">
        <f>IFERROR(TEXT(tbl_Ventes[[#This Row],[Date]],"mm-aaaa"),"")</f>
        <v>01-1900</v>
      </c>
      <c r="D214" s="10" t="str">
        <f>IFERROR(
   INDEX(tbl_ProduitsRef[Cde_Prdt],MATCH(tbl_Ventes[[#This Row],[Produit]],tbl_ProduitsRef[Produit],0)),
   ""
)</f>
        <v/>
      </c>
      <c r="E214" s="7">
        <v>0</v>
      </c>
      <c r="F214" s="7" t="str">
        <f>IFERROR(
   INDEX(tbl_ProduitsRef[Prix Menu],MATCH(tbl_Ventes[[#This Row],[Produit]],tbl_ProduitsRef[Produit],0)),
   ""
)</f>
        <v/>
      </c>
      <c r="G214" s="7">
        <f>tbl_Ventes[[#This Row],[Qté Vendue]] * IFERROR(_xlfn.XLOOKUP(tbl_Ventes[[#This Row],[Cde_Prdt]], tbl_Produits[Cde_Prdt], tbl_Produits[Prix Menu]), 0)</f>
        <v>0</v>
      </c>
      <c r="H214" s="7">
        <f>IFERROR(_xlfn.XLOOKUP(tbl_Ventes[[#This Row],[Cde_Prdt]], tbl_Produits[Cde_Prdt], tbl_Produits[Coût Moyen Portion]), 0)</f>
        <v>0</v>
      </c>
      <c r="I214" s="7">
        <f>tbl_Ventes[[#This Row],[Qté Vendue]] * tbl_Ventes[[#This Row],[CMP_par_portion]]</f>
        <v>0</v>
      </c>
      <c r="J214" s="7">
        <f>tbl_Ventes[[#This Row],[CA ligne]] - tbl_Ventes[[#This Row],[Coût matière ligne]]</f>
        <v>0</v>
      </c>
      <c r="K214" s="7" t="str">
        <f>IFERROR(INDEX(tbl_ProduitsRef[Famille], MATCH(tbl_Ventes[[#This Row],[Cde_Prdt]], tbl_Produits[Cde_Prdt], 0)), "")</f>
        <v/>
      </c>
    </row>
    <row r="215" spans="1:11" x14ac:dyDescent="0.25">
      <c r="A215" s="5"/>
      <c r="B215" s="63" t="str">
        <f>IFERROR(TEXT(tbl_Ventes[[#This Row],[Date]],"mm-aaaa"),"")</f>
        <v>01-1900</v>
      </c>
      <c r="D215" s="10" t="str">
        <f>IFERROR(
   INDEX(tbl_ProduitsRef[Cde_Prdt],MATCH(tbl_Ventes[[#This Row],[Produit]],tbl_ProduitsRef[Produit],0)),
   ""
)</f>
        <v/>
      </c>
      <c r="E215" s="7">
        <v>0</v>
      </c>
      <c r="F215" s="7" t="str">
        <f>IFERROR(
   INDEX(tbl_ProduitsRef[Prix Menu],MATCH(tbl_Ventes[[#This Row],[Produit]],tbl_ProduitsRef[Produit],0)),
   ""
)</f>
        <v/>
      </c>
      <c r="G215" s="7">
        <f>tbl_Ventes[[#This Row],[Qté Vendue]] * IFERROR(_xlfn.XLOOKUP(tbl_Ventes[[#This Row],[Cde_Prdt]], tbl_Produits[Cde_Prdt], tbl_Produits[Prix Menu]), 0)</f>
        <v>0</v>
      </c>
      <c r="H215" s="7">
        <f>IFERROR(_xlfn.XLOOKUP(tbl_Ventes[[#This Row],[Cde_Prdt]], tbl_Produits[Cde_Prdt], tbl_Produits[Coût Moyen Portion]), 0)</f>
        <v>0</v>
      </c>
      <c r="I215" s="7">
        <f>tbl_Ventes[[#This Row],[Qté Vendue]] * tbl_Ventes[[#This Row],[CMP_par_portion]]</f>
        <v>0</v>
      </c>
      <c r="J215" s="7">
        <f>tbl_Ventes[[#This Row],[CA ligne]] - tbl_Ventes[[#This Row],[Coût matière ligne]]</f>
        <v>0</v>
      </c>
      <c r="K215" s="7" t="str">
        <f>IFERROR(INDEX(tbl_ProduitsRef[Famille], MATCH(tbl_Ventes[[#This Row],[Cde_Prdt]], tbl_Produits[Cde_Prdt], 0)), "")</f>
        <v/>
      </c>
    </row>
    <row r="216" spans="1:11" x14ac:dyDescent="0.25">
      <c r="A216" s="5"/>
      <c r="B216" s="63" t="str">
        <f>IFERROR(TEXT(tbl_Ventes[[#This Row],[Date]],"mm-aaaa"),"")</f>
        <v>01-1900</v>
      </c>
      <c r="D216" s="10" t="str">
        <f>IFERROR(
   INDEX(tbl_ProduitsRef[Cde_Prdt],MATCH(tbl_Ventes[[#This Row],[Produit]],tbl_ProduitsRef[Produit],0)),
   ""
)</f>
        <v/>
      </c>
      <c r="E216" s="7">
        <v>0</v>
      </c>
      <c r="F216" s="7" t="str">
        <f>IFERROR(
   INDEX(tbl_ProduitsRef[Prix Menu],MATCH(tbl_Ventes[[#This Row],[Produit]],tbl_ProduitsRef[Produit],0)),
   ""
)</f>
        <v/>
      </c>
      <c r="G216" s="7">
        <f>tbl_Ventes[[#This Row],[Qté Vendue]] * IFERROR(_xlfn.XLOOKUP(tbl_Ventes[[#This Row],[Cde_Prdt]], tbl_Produits[Cde_Prdt], tbl_Produits[Prix Menu]), 0)</f>
        <v>0</v>
      </c>
      <c r="H216" s="7">
        <f>IFERROR(_xlfn.XLOOKUP(tbl_Ventes[[#This Row],[Cde_Prdt]], tbl_Produits[Cde_Prdt], tbl_Produits[Coût Moyen Portion]), 0)</f>
        <v>0</v>
      </c>
      <c r="I216" s="7">
        <f>tbl_Ventes[[#This Row],[Qté Vendue]] * tbl_Ventes[[#This Row],[CMP_par_portion]]</f>
        <v>0</v>
      </c>
      <c r="J216" s="7">
        <f>tbl_Ventes[[#This Row],[CA ligne]] - tbl_Ventes[[#This Row],[Coût matière ligne]]</f>
        <v>0</v>
      </c>
      <c r="K216" s="7" t="str">
        <f>IFERROR(INDEX(tbl_ProduitsRef[Famille], MATCH(tbl_Ventes[[#This Row],[Cde_Prdt]], tbl_Produits[Cde_Prdt], 0)), "")</f>
        <v/>
      </c>
    </row>
    <row r="217" spans="1:11" x14ac:dyDescent="0.25">
      <c r="A217" s="5"/>
      <c r="B217" s="63" t="str">
        <f>IFERROR(TEXT(tbl_Ventes[[#This Row],[Date]],"mm-aaaa"),"")</f>
        <v>01-1900</v>
      </c>
      <c r="D217" s="10" t="str">
        <f>IFERROR(
   INDEX(tbl_ProduitsRef[Cde_Prdt],MATCH(tbl_Ventes[[#This Row],[Produit]],tbl_ProduitsRef[Produit],0)),
   ""
)</f>
        <v/>
      </c>
      <c r="E217" s="7">
        <v>0</v>
      </c>
      <c r="F217" s="7" t="str">
        <f>IFERROR(
   INDEX(tbl_ProduitsRef[Prix Menu],MATCH(tbl_Ventes[[#This Row],[Produit]],tbl_ProduitsRef[Produit],0)),
   ""
)</f>
        <v/>
      </c>
      <c r="G217" s="7">
        <f>tbl_Ventes[[#This Row],[Qté Vendue]] * IFERROR(_xlfn.XLOOKUP(tbl_Ventes[[#This Row],[Cde_Prdt]], tbl_Produits[Cde_Prdt], tbl_Produits[Prix Menu]), 0)</f>
        <v>0</v>
      </c>
      <c r="H217" s="7">
        <f>IFERROR(_xlfn.XLOOKUP(tbl_Ventes[[#This Row],[Cde_Prdt]], tbl_Produits[Cde_Prdt], tbl_Produits[Coût Moyen Portion]), 0)</f>
        <v>0</v>
      </c>
      <c r="I217" s="7">
        <f>tbl_Ventes[[#This Row],[Qté Vendue]] * tbl_Ventes[[#This Row],[CMP_par_portion]]</f>
        <v>0</v>
      </c>
      <c r="J217" s="7">
        <f>tbl_Ventes[[#This Row],[CA ligne]] - tbl_Ventes[[#This Row],[Coût matière ligne]]</f>
        <v>0</v>
      </c>
      <c r="K217" s="7" t="str">
        <f>IFERROR(INDEX(tbl_ProduitsRef[Famille], MATCH(tbl_Ventes[[#This Row],[Cde_Prdt]], tbl_Produits[Cde_Prdt], 0)), "")</f>
        <v/>
      </c>
    </row>
    <row r="218" spans="1:11" x14ac:dyDescent="0.25">
      <c r="A218" s="5"/>
      <c r="B218" s="63" t="str">
        <f>IFERROR(TEXT(tbl_Ventes[[#This Row],[Date]],"mm-aaaa"),"")</f>
        <v>01-1900</v>
      </c>
      <c r="D218" s="10" t="str">
        <f>IFERROR(
   INDEX(tbl_ProduitsRef[Cde_Prdt],MATCH(tbl_Ventes[[#This Row],[Produit]],tbl_ProduitsRef[Produit],0)),
   ""
)</f>
        <v/>
      </c>
      <c r="E218" s="7">
        <v>0</v>
      </c>
      <c r="F218" s="7" t="str">
        <f>IFERROR(
   INDEX(tbl_ProduitsRef[Prix Menu],MATCH(tbl_Ventes[[#This Row],[Produit]],tbl_ProduitsRef[Produit],0)),
   ""
)</f>
        <v/>
      </c>
      <c r="G218" s="7">
        <f>tbl_Ventes[[#This Row],[Qté Vendue]] * IFERROR(_xlfn.XLOOKUP(tbl_Ventes[[#This Row],[Cde_Prdt]], tbl_Produits[Cde_Prdt], tbl_Produits[Prix Menu]), 0)</f>
        <v>0</v>
      </c>
      <c r="H218" s="7">
        <f>IFERROR(_xlfn.XLOOKUP(tbl_Ventes[[#This Row],[Cde_Prdt]], tbl_Produits[Cde_Prdt], tbl_Produits[Coût Moyen Portion]), 0)</f>
        <v>0</v>
      </c>
      <c r="I218" s="7">
        <f>tbl_Ventes[[#This Row],[Qté Vendue]] * tbl_Ventes[[#This Row],[CMP_par_portion]]</f>
        <v>0</v>
      </c>
      <c r="J218" s="7">
        <f>tbl_Ventes[[#This Row],[CA ligne]] - tbl_Ventes[[#This Row],[Coût matière ligne]]</f>
        <v>0</v>
      </c>
      <c r="K218" s="7" t="str">
        <f>IFERROR(INDEX(tbl_ProduitsRef[Famille], MATCH(tbl_Ventes[[#This Row],[Cde_Prdt]], tbl_Produits[Cde_Prdt], 0)), "")</f>
        <v/>
      </c>
    </row>
    <row r="219" spans="1:11" x14ac:dyDescent="0.25">
      <c r="A219" s="5"/>
      <c r="B219" s="63" t="str">
        <f>IFERROR(TEXT(tbl_Ventes[[#This Row],[Date]],"mm-aaaa"),"")</f>
        <v>01-1900</v>
      </c>
      <c r="D219" s="10" t="str">
        <f>IFERROR(
   INDEX(tbl_ProduitsRef[Cde_Prdt],MATCH(tbl_Ventes[[#This Row],[Produit]],tbl_ProduitsRef[Produit],0)),
   ""
)</f>
        <v/>
      </c>
      <c r="E219" s="7">
        <v>0</v>
      </c>
      <c r="F219" s="7" t="str">
        <f>IFERROR(
   INDEX(tbl_ProduitsRef[Prix Menu],MATCH(tbl_Ventes[[#This Row],[Produit]],tbl_ProduitsRef[Produit],0)),
   ""
)</f>
        <v/>
      </c>
      <c r="G219" s="7">
        <f>tbl_Ventes[[#This Row],[Qté Vendue]] * IFERROR(_xlfn.XLOOKUP(tbl_Ventes[[#This Row],[Cde_Prdt]], tbl_Produits[Cde_Prdt], tbl_Produits[Prix Menu]), 0)</f>
        <v>0</v>
      </c>
      <c r="H219" s="7">
        <f>IFERROR(_xlfn.XLOOKUP(tbl_Ventes[[#This Row],[Cde_Prdt]], tbl_Produits[Cde_Prdt], tbl_Produits[Coût Moyen Portion]), 0)</f>
        <v>0</v>
      </c>
      <c r="I219" s="7">
        <f>tbl_Ventes[[#This Row],[Qté Vendue]] * tbl_Ventes[[#This Row],[CMP_par_portion]]</f>
        <v>0</v>
      </c>
      <c r="J219" s="7">
        <f>tbl_Ventes[[#This Row],[CA ligne]] - tbl_Ventes[[#This Row],[Coût matière ligne]]</f>
        <v>0</v>
      </c>
      <c r="K219" s="7" t="str">
        <f>IFERROR(INDEX(tbl_ProduitsRef[Famille], MATCH(tbl_Ventes[[#This Row],[Cde_Prdt]], tbl_Produits[Cde_Prdt], 0)), "")</f>
        <v/>
      </c>
    </row>
    <row r="220" spans="1:11" x14ac:dyDescent="0.25">
      <c r="A220" s="5"/>
      <c r="B220" s="63" t="str">
        <f>IFERROR(TEXT(tbl_Ventes[[#This Row],[Date]],"mm-aaaa"),"")</f>
        <v>01-1900</v>
      </c>
      <c r="D220" s="10" t="str">
        <f>IFERROR(
   INDEX(tbl_ProduitsRef[Cde_Prdt],MATCH(tbl_Ventes[[#This Row],[Produit]],tbl_ProduitsRef[Produit],0)),
   ""
)</f>
        <v/>
      </c>
      <c r="E220" s="7">
        <v>0</v>
      </c>
      <c r="F220" s="7" t="str">
        <f>IFERROR(
   INDEX(tbl_ProduitsRef[Prix Menu],MATCH(tbl_Ventes[[#This Row],[Produit]],tbl_ProduitsRef[Produit],0)),
   ""
)</f>
        <v/>
      </c>
      <c r="G220" s="7">
        <f>tbl_Ventes[[#This Row],[Qté Vendue]] * IFERROR(_xlfn.XLOOKUP(tbl_Ventes[[#This Row],[Cde_Prdt]], tbl_Produits[Cde_Prdt], tbl_Produits[Prix Menu]), 0)</f>
        <v>0</v>
      </c>
      <c r="H220" s="7">
        <f>IFERROR(_xlfn.XLOOKUP(tbl_Ventes[[#This Row],[Cde_Prdt]], tbl_Produits[Cde_Prdt], tbl_Produits[Coût Moyen Portion]), 0)</f>
        <v>0</v>
      </c>
      <c r="I220" s="7">
        <f>tbl_Ventes[[#This Row],[Qté Vendue]] * tbl_Ventes[[#This Row],[CMP_par_portion]]</f>
        <v>0</v>
      </c>
      <c r="J220" s="7">
        <f>tbl_Ventes[[#This Row],[CA ligne]] - tbl_Ventes[[#This Row],[Coût matière ligne]]</f>
        <v>0</v>
      </c>
      <c r="K220" s="7" t="str">
        <f>IFERROR(INDEX(tbl_ProduitsRef[Famille], MATCH(tbl_Ventes[[#This Row],[Cde_Prdt]], tbl_Produits[Cde_Prdt], 0)), "")</f>
        <v/>
      </c>
    </row>
    <row r="221" spans="1:11" x14ac:dyDescent="0.25">
      <c r="A221" s="5"/>
      <c r="B221" s="63" t="str">
        <f>IFERROR(TEXT(tbl_Ventes[[#This Row],[Date]],"mm-aaaa"),"")</f>
        <v>01-1900</v>
      </c>
      <c r="D221" s="10" t="str">
        <f>IFERROR(
   INDEX(tbl_ProduitsRef[Cde_Prdt],MATCH(tbl_Ventes[[#This Row],[Produit]],tbl_ProduitsRef[Produit],0)),
   ""
)</f>
        <v/>
      </c>
      <c r="E221" s="7">
        <v>0</v>
      </c>
      <c r="F221" s="7" t="str">
        <f>IFERROR(
   INDEX(tbl_ProduitsRef[Prix Menu],MATCH(tbl_Ventes[[#This Row],[Produit]],tbl_ProduitsRef[Produit],0)),
   ""
)</f>
        <v/>
      </c>
      <c r="G221" s="7">
        <f>tbl_Ventes[[#This Row],[Qté Vendue]] * IFERROR(_xlfn.XLOOKUP(tbl_Ventes[[#This Row],[Cde_Prdt]], tbl_Produits[Cde_Prdt], tbl_Produits[Prix Menu]), 0)</f>
        <v>0</v>
      </c>
      <c r="H221" s="7">
        <f>IFERROR(_xlfn.XLOOKUP(tbl_Ventes[[#This Row],[Cde_Prdt]], tbl_Produits[Cde_Prdt], tbl_Produits[Coût Moyen Portion]), 0)</f>
        <v>0</v>
      </c>
      <c r="I221" s="7">
        <f>tbl_Ventes[[#This Row],[Qté Vendue]] * tbl_Ventes[[#This Row],[CMP_par_portion]]</f>
        <v>0</v>
      </c>
      <c r="J221" s="7">
        <f>tbl_Ventes[[#This Row],[CA ligne]] - tbl_Ventes[[#This Row],[Coût matière ligne]]</f>
        <v>0</v>
      </c>
      <c r="K221" s="7" t="str">
        <f>IFERROR(INDEX(tbl_ProduitsRef[Famille], MATCH(tbl_Ventes[[#This Row],[Cde_Prdt]], tbl_Produits[Cde_Prdt], 0)), "")</f>
        <v/>
      </c>
    </row>
    <row r="222" spans="1:11" x14ac:dyDescent="0.25">
      <c r="A222" s="5"/>
      <c r="B222" s="63" t="str">
        <f>IFERROR(TEXT(tbl_Ventes[[#This Row],[Date]],"mm-aaaa"),"")</f>
        <v>01-1900</v>
      </c>
      <c r="D222" s="10" t="str">
        <f>IFERROR(
   INDEX(tbl_ProduitsRef[Cde_Prdt],MATCH(tbl_Ventes[[#This Row],[Produit]],tbl_ProduitsRef[Produit],0)),
   ""
)</f>
        <v/>
      </c>
      <c r="E222" s="7">
        <v>0</v>
      </c>
      <c r="F222" s="7" t="str">
        <f>IFERROR(
   INDEX(tbl_ProduitsRef[Prix Menu],MATCH(tbl_Ventes[[#This Row],[Produit]],tbl_ProduitsRef[Produit],0)),
   ""
)</f>
        <v/>
      </c>
      <c r="G222" s="7">
        <f>tbl_Ventes[[#This Row],[Qté Vendue]] * IFERROR(_xlfn.XLOOKUP(tbl_Ventes[[#This Row],[Cde_Prdt]], tbl_Produits[Cde_Prdt], tbl_Produits[Prix Menu]), 0)</f>
        <v>0</v>
      </c>
      <c r="H222" s="7">
        <f>IFERROR(_xlfn.XLOOKUP(tbl_Ventes[[#This Row],[Cde_Prdt]], tbl_Produits[Cde_Prdt], tbl_Produits[Coût Moyen Portion]), 0)</f>
        <v>0</v>
      </c>
      <c r="I222" s="7">
        <f>tbl_Ventes[[#This Row],[Qté Vendue]] * tbl_Ventes[[#This Row],[CMP_par_portion]]</f>
        <v>0</v>
      </c>
      <c r="J222" s="7">
        <f>tbl_Ventes[[#This Row],[CA ligne]] - tbl_Ventes[[#This Row],[Coût matière ligne]]</f>
        <v>0</v>
      </c>
      <c r="K222" s="7" t="str">
        <f>IFERROR(INDEX(tbl_ProduitsRef[Famille], MATCH(tbl_Ventes[[#This Row],[Cde_Prdt]], tbl_Produits[Cde_Prdt], 0)), "")</f>
        <v/>
      </c>
    </row>
    <row r="223" spans="1:11" x14ac:dyDescent="0.25">
      <c r="A223" s="5"/>
      <c r="B223" s="63" t="str">
        <f>IFERROR(TEXT(tbl_Ventes[[#This Row],[Date]],"mm-aaaa"),"")</f>
        <v>01-1900</v>
      </c>
      <c r="D223" s="10" t="str">
        <f>IFERROR(
   INDEX(tbl_ProduitsRef[Cde_Prdt],MATCH(tbl_Ventes[[#This Row],[Produit]],tbl_ProduitsRef[Produit],0)),
   ""
)</f>
        <v/>
      </c>
      <c r="E223" s="7">
        <v>0</v>
      </c>
      <c r="F223" s="7" t="str">
        <f>IFERROR(
   INDEX(tbl_ProduitsRef[Prix Menu],MATCH(tbl_Ventes[[#This Row],[Produit]],tbl_ProduitsRef[Produit],0)),
   ""
)</f>
        <v/>
      </c>
      <c r="G223" s="7">
        <f>tbl_Ventes[[#This Row],[Qté Vendue]] * IFERROR(_xlfn.XLOOKUP(tbl_Ventes[[#This Row],[Cde_Prdt]], tbl_Produits[Cde_Prdt], tbl_Produits[Prix Menu]), 0)</f>
        <v>0</v>
      </c>
      <c r="H223" s="7">
        <f>IFERROR(_xlfn.XLOOKUP(tbl_Ventes[[#This Row],[Cde_Prdt]], tbl_Produits[Cde_Prdt], tbl_Produits[Coût Moyen Portion]), 0)</f>
        <v>0</v>
      </c>
      <c r="I223" s="7">
        <f>tbl_Ventes[[#This Row],[Qté Vendue]] * tbl_Ventes[[#This Row],[CMP_par_portion]]</f>
        <v>0</v>
      </c>
      <c r="J223" s="7">
        <f>tbl_Ventes[[#This Row],[CA ligne]] - tbl_Ventes[[#This Row],[Coût matière ligne]]</f>
        <v>0</v>
      </c>
      <c r="K223" s="7" t="str">
        <f>IFERROR(INDEX(tbl_ProduitsRef[Famille], MATCH(tbl_Ventes[[#This Row],[Cde_Prdt]], tbl_Produits[Cde_Prdt], 0)), "")</f>
        <v/>
      </c>
    </row>
    <row r="224" spans="1:11" x14ac:dyDescent="0.25">
      <c r="A224" s="5"/>
      <c r="B224" s="63" t="str">
        <f>IFERROR(TEXT(tbl_Ventes[[#This Row],[Date]],"mm-aaaa"),"")</f>
        <v>01-1900</v>
      </c>
      <c r="D224" s="10" t="str">
        <f>IFERROR(
   INDEX(tbl_ProduitsRef[Cde_Prdt],MATCH(tbl_Ventes[[#This Row],[Produit]],tbl_ProduitsRef[Produit],0)),
   ""
)</f>
        <v/>
      </c>
      <c r="E224" s="7">
        <v>0</v>
      </c>
      <c r="F224" s="7" t="str">
        <f>IFERROR(
   INDEX(tbl_ProduitsRef[Prix Menu],MATCH(tbl_Ventes[[#This Row],[Produit]],tbl_ProduitsRef[Produit],0)),
   ""
)</f>
        <v/>
      </c>
      <c r="G224" s="7">
        <f>tbl_Ventes[[#This Row],[Qté Vendue]] * IFERROR(_xlfn.XLOOKUP(tbl_Ventes[[#This Row],[Cde_Prdt]], tbl_Produits[Cde_Prdt], tbl_Produits[Prix Menu]), 0)</f>
        <v>0</v>
      </c>
      <c r="H224" s="7">
        <f>IFERROR(_xlfn.XLOOKUP(tbl_Ventes[[#This Row],[Cde_Prdt]], tbl_Produits[Cde_Prdt], tbl_Produits[Coût Moyen Portion]), 0)</f>
        <v>0</v>
      </c>
      <c r="I224" s="7">
        <f>tbl_Ventes[[#This Row],[Qté Vendue]] * tbl_Ventes[[#This Row],[CMP_par_portion]]</f>
        <v>0</v>
      </c>
      <c r="J224" s="7">
        <f>tbl_Ventes[[#This Row],[CA ligne]] - tbl_Ventes[[#This Row],[Coût matière ligne]]</f>
        <v>0</v>
      </c>
      <c r="K224" s="7" t="str">
        <f>IFERROR(INDEX(tbl_ProduitsRef[Famille], MATCH(tbl_Ventes[[#This Row],[Cde_Prdt]], tbl_Produits[Cde_Prdt], 0)), "")</f>
        <v/>
      </c>
    </row>
    <row r="225" spans="1:11" x14ac:dyDescent="0.25">
      <c r="A225" s="5"/>
      <c r="B225" s="63" t="str">
        <f>IFERROR(TEXT(tbl_Ventes[[#This Row],[Date]],"mm-aaaa"),"")</f>
        <v>01-1900</v>
      </c>
      <c r="D225" s="10" t="str">
        <f>IFERROR(
   INDEX(tbl_ProduitsRef[Cde_Prdt],MATCH(tbl_Ventes[[#This Row],[Produit]],tbl_ProduitsRef[Produit],0)),
   ""
)</f>
        <v/>
      </c>
      <c r="E225" s="7">
        <v>0</v>
      </c>
      <c r="F225" s="7" t="str">
        <f>IFERROR(
   INDEX(tbl_ProduitsRef[Prix Menu],MATCH(tbl_Ventes[[#This Row],[Produit]],tbl_ProduitsRef[Produit],0)),
   ""
)</f>
        <v/>
      </c>
      <c r="G225" s="7">
        <f>tbl_Ventes[[#This Row],[Qté Vendue]] * IFERROR(_xlfn.XLOOKUP(tbl_Ventes[[#This Row],[Cde_Prdt]], tbl_Produits[Cde_Prdt], tbl_Produits[Prix Menu]), 0)</f>
        <v>0</v>
      </c>
      <c r="H225" s="7">
        <f>IFERROR(_xlfn.XLOOKUP(tbl_Ventes[[#This Row],[Cde_Prdt]], tbl_Produits[Cde_Prdt], tbl_Produits[Coût Moyen Portion]), 0)</f>
        <v>0</v>
      </c>
      <c r="I225" s="7">
        <f>tbl_Ventes[[#This Row],[Qté Vendue]] * tbl_Ventes[[#This Row],[CMP_par_portion]]</f>
        <v>0</v>
      </c>
      <c r="J225" s="7">
        <f>tbl_Ventes[[#This Row],[CA ligne]] - tbl_Ventes[[#This Row],[Coût matière ligne]]</f>
        <v>0</v>
      </c>
      <c r="K225" s="7" t="str">
        <f>IFERROR(INDEX(tbl_ProduitsRef[Famille], MATCH(tbl_Ventes[[#This Row],[Cde_Prdt]], tbl_Produits[Cde_Prdt], 0)), "")</f>
        <v/>
      </c>
    </row>
    <row r="226" spans="1:11" x14ac:dyDescent="0.25">
      <c r="A226" s="5"/>
      <c r="B226" s="63" t="str">
        <f>IFERROR(TEXT(tbl_Ventes[[#This Row],[Date]],"mm-aaaa"),"")</f>
        <v>01-1900</v>
      </c>
      <c r="D226" s="10" t="str">
        <f>IFERROR(
   INDEX(tbl_ProduitsRef[Cde_Prdt],MATCH(tbl_Ventes[[#This Row],[Produit]],tbl_ProduitsRef[Produit],0)),
   ""
)</f>
        <v/>
      </c>
      <c r="E226" s="7">
        <v>0</v>
      </c>
      <c r="F226" s="7" t="str">
        <f>IFERROR(
   INDEX(tbl_ProduitsRef[Prix Menu],MATCH(tbl_Ventes[[#This Row],[Produit]],tbl_ProduitsRef[Produit],0)),
   ""
)</f>
        <v/>
      </c>
      <c r="G226" s="7">
        <f>tbl_Ventes[[#This Row],[Qté Vendue]] * IFERROR(_xlfn.XLOOKUP(tbl_Ventes[[#This Row],[Cde_Prdt]], tbl_Produits[Cde_Prdt], tbl_Produits[Prix Menu]), 0)</f>
        <v>0</v>
      </c>
      <c r="H226" s="7">
        <f>IFERROR(_xlfn.XLOOKUP(tbl_Ventes[[#This Row],[Cde_Prdt]], tbl_Produits[Cde_Prdt], tbl_Produits[Coût Moyen Portion]), 0)</f>
        <v>0</v>
      </c>
      <c r="I226" s="7">
        <f>tbl_Ventes[[#This Row],[Qté Vendue]] * tbl_Ventes[[#This Row],[CMP_par_portion]]</f>
        <v>0</v>
      </c>
      <c r="J226" s="7">
        <f>tbl_Ventes[[#This Row],[CA ligne]] - tbl_Ventes[[#This Row],[Coût matière ligne]]</f>
        <v>0</v>
      </c>
      <c r="K226" s="7" t="str">
        <f>IFERROR(INDEX(tbl_ProduitsRef[Famille], MATCH(tbl_Ventes[[#This Row],[Cde_Prdt]], tbl_Produits[Cde_Prdt], 0)), "")</f>
        <v/>
      </c>
    </row>
    <row r="227" spans="1:11" x14ac:dyDescent="0.25">
      <c r="A227" s="5"/>
      <c r="B227" s="63" t="str">
        <f>IFERROR(TEXT(tbl_Ventes[[#This Row],[Date]],"mm-aaaa"),"")</f>
        <v>01-1900</v>
      </c>
      <c r="D227" s="10" t="str">
        <f>IFERROR(
   INDEX(tbl_ProduitsRef[Cde_Prdt],MATCH(tbl_Ventes[[#This Row],[Produit]],tbl_ProduitsRef[Produit],0)),
   ""
)</f>
        <v/>
      </c>
      <c r="E227" s="7">
        <v>0</v>
      </c>
      <c r="F227" s="7" t="str">
        <f>IFERROR(
   INDEX(tbl_ProduitsRef[Prix Menu],MATCH(tbl_Ventes[[#This Row],[Produit]],tbl_ProduitsRef[Produit],0)),
   ""
)</f>
        <v/>
      </c>
      <c r="G227" s="7">
        <f>tbl_Ventes[[#This Row],[Qté Vendue]] * IFERROR(_xlfn.XLOOKUP(tbl_Ventes[[#This Row],[Cde_Prdt]], tbl_Produits[Cde_Prdt], tbl_Produits[Prix Menu]), 0)</f>
        <v>0</v>
      </c>
      <c r="H227" s="7">
        <f>IFERROR(_xlfn.XLOOKUP(tbl_Ventes[[#This Row],[Cde_Prdt]], tbl_Produits[Cde_Prdt], tbl_Produits[Coût Moyen Portion]), 0)</f>
        <v>0</v>
      </c>
      <c r="I227" s="7">
        <f>tbl_Ventes[[#This Row],[Qté Vendue]] * tbl_Ventes[[#This Row],[CMP_par_portion]]</f>
        <v>0</v>
      </c>
      <c r="J227" s="7">
        <f>tbl_Ventes[[#This Row],[CA ligne]] - tbl_Ventes[[#This Row],[Coût matière ligne]]</f>
        <v>0</v>
      </c>
      <c r="K227" s="7" t="str">
        <f>IFERROR(INDEX(tbl_ProduitsRef[Famille], MATCH(tbl_Ventes[[#This Row],[Cde_Prdt]], tbl_Produits[Cde_Prdt], 0)), "")</f>
        <v/>
      </c>
    </row>
    <row r="228" spans="1:11" x14ac:dyDescent="0.25">
      <c r="A228" s="5"/>
      <c r="B228" s="63" t="str">
        <f>IFERROR(TEXT(tbl_Ventes[[#This Row],[Date]],"mm-aaaa"),"")</f>
        <v>01-1900</v>
      </c>
      <c r="D228" s="10" t="str">
        <f>IFERROR(
   INDEX(tbl_ProduitsRef[Cde_Prdt],MATCH(tbl_Ventes[[#This Row],[Produit]],tbl_ProduitsRef[Produit],0)),
   ""
)</f>
        <v/>
      </c>
      <c r="E228" s="7">
        <v>0</v>
      </c>
      <c r="F228" s="7" t="str">
        <f>IFERROR(
   INDEX(tbl_ProduitsRef[Prix Menu],MATCH(tbl_Ventes[[#This Row],[Produit]],tbl_ProduitsRef[Produit],0)),
   ""
)</f>
        <v/>
      </c>
      <c r="G228" s="7">
        <f>tbl_Ventes[[#This Row],[Qté Vendue]] * IFERROR(_xlfn.XLOOKUP(tbl_Ventes[[#This Row],[Cde_Prdt]], tbl_Produits[Cde_Prdt], tbl_Produits[Prix Menu]), 0)</f>
        <v>0</v>
      </c>
      <c r="H228" s="7">
        <f>IFERROR(_xlfn.XLOOKUP(tbl_Ventes[[#This Row],[Cde_Prdt]], tbl_Produits[Cde_Prdt], tbl_Produits[Coût Moyen Portion]), 0)</f>
        <v>0</v>
      </c>
      <c r="I228" s="7">
        <f>tbl_Ventes[[#This Row],[Qté Vendue]] * tbl_Ventes[[#This Row],[CMP_par_portion]]</f>
        <v>0</v>
      </c>
      <c r="J228" s="7">
        <f>tbl_Ventes[[#This Row],[CA ligne]] - tbl_Ventes[[#This Row],[Coût matière ligne]]</f>
        <v>0</v>
      </c>
      <c r="K228" s="7" t="str">
        <f>IFERROR(INDEX(tbl_ProduitsRef[Famille], MATCH(tbl_Ventes[[#This Row],[Cde_Prdt]], tbl_Produits[Cde_Prdt], 0)), "")</f>
        <v/>
      </c>
    </row>
    <row r="229" spans="1:11" x14ac:dyDescent="0.25">
      <c r="A229" s="5"/>
      <c r="B229" s="63" t="str">
        <f>IFERROR(TEXT(tbl_Ventes[[#This Row],[Date]],"mm-aaaa"),"")</f>
        <v>01-1900</v>
      </c>
      <c r="D229" s="10" t="str">
        <f>IFERROR(
   INDEX(tbl_ProduitsRef[Cde_Prdt],MATCH(tbl_Ventes[[#This Row],[Produit]],tbl_ProduitsRef[Produit],0)),
   ""
)</f>
        <v/>
      </c>
      <c r="E229" s="7">
        <v>0</v>
      </c>
      <c r="F229" s="7" t="str">
        <f>IFERROR(
   INDEX(tbl_ProduitsRef[Prix Menu],MATCH(tbl_Ventes[[#This Row],[Produit]],tbl_ProduitsRef[Produit],0)),
   ""
)</f>
        <v/>
      </c>
      <c r="G229" s="7">
        <f>tbl_Ventes[[#This Row],[Qté Vendue]] * IFERROR(_xlfn.XLOOKUP(tbl_Ventes[[#This Row],[Cde_Prdt]], tbl_Produits[Cde_Prdt], tbl_Produits[Prix Menu]), 0)</f>
        <v>0</v>
      </c>
      <c r="H229" s="7">
        <f>IFERROR(_xlfn.XLOOKUP(tbl_Ventes[[#This Row],[Cde_Prdt]], tbl_Produits[Cde_Prdt], tbl_Produits[Coût Moyen Portion]), 0)</f>
        <v>0</v>
      </c>
      <c r="I229" s="7">
        <f>tbl_Ventes[[#This Row],[Qté Vendue]] * tbl_Ventes[[#This Row],[CMP_par_portion]]</f>
        <v>0</v>
      </c>
      <c r="J229" s="7">
        <f>tbl_Ventes[[#This Row],[CA ligne]] - tbl_Ventes[[#This Row],[Coût matière ligne]]</f>
        <v>0</v>
      </c>
      <c r="K229" s="7" t="str">
        <f>IFERROR(INDEX(tbl_ProduitsRef[Famille], MATCH(tbl_Ventes[[#This Row],[Cde_Prdt]], tbl_Produits[Cde_Prdt], 0)), "")</f>
        <v/>
      </c>
    </row>
    <row r="230" spans="1:11" x14ac:dyDescent="0.25">
      <c r="A230" s="5"/>
      <c r="B230" s="63" t="str">
        <f>IFERROR(TEXT(tbl_Ventes[[#This Row],[Date]],"mm-aaaa"),"")</f>
        <v>01-1900</v>
      </c>
      <c r="D230" s="10" t="str">
        <f>IFERROR(
   INDEX(tbl_ProduitsRef[Cde_Prdt],MATCH(tbl_Ventes[[#This Row],[Produit]],tbl_ProduitsRef[Produit],0)),
   ""
)</f>
        <v/>
      </c>
      <c r="E230" s="7">
        <v>0</v>
      </c>
      <c r="F230" s="7" t="str">
        <f>IFERROR(
   INDEX(tbl_ProduitsRef[Prix Menu],MATCH(tbl_Ventes[[#This Row],[Produit]],tbl_ProduitsRef[Produit],0)),
   ""
)</f>
        <v/>
      </c>
      <c r="G230" s="7">
        <f>tbl_Ventes[[#This Row],[Qté Vendue]] * IFERROR(_xlfn.XLOOKUP(tbl_Ventes[[#This Row],[Cde_Prdt]], tbl_Produits[Cde_Prdt], tbl_Produits[Prix Menu]), 0)</f>
        <v>0</v>
      </c>
      <c r="H230" s="7">
        <f>IFERROR(_xlfn.XLOOKUP(tbl_Ventes[[#This Row],[Cde_Prdt]], tbl_Produits[Cde_Prdt], tbl_Produits[Coût Moyen Portion]), 0)</f>
        <v>0</v>
      </c>
      <c r="I230" s="7">
        <f>tbl_Ventes[[#This Row],[Qté Vendue]] * tbl_Ventes[[#This Row],[CMP_par_portion]]</f>
        <v>0</v>
      </c>
      <c r="J230" s="7">
        <f>tbl_Ventes[[#This Row],[CA ligne]] - tbl_Ventes[[#This Row],[Coût matière ligne]]</f>
        <v>0</v>
      </c>
      <c r="K230" s="7" t="str">
        <f>IFERROR(INDEX(tbl_ProduitsRef[Famille], MATCH(tbl_Ventes[[#This Row],[Cde_Prdt]], tbl_Produits[Cde_Prdt], 0)), "")</f>
        <v/>
      </c>
    </row>
    <row r="231" spans="1:11" x14ac:dyDescent="0.25">
      <c r="A231" s="5"/>
      <c r="B231" s="63" t="str">
        <f>IFERROR(TEXT(tbl_Ventes[[#This Row],[Date]],"mm-aaaa"),"")</f>
        <v>01-1900</v>
      </c>
      <c r="D231" s="10" t="str">
        <f>IFERROR(
   INDEX(tbl_ProduitsRef[Cde_Prdt],MATCH(tbl_Ventes[[#This Row],[Produit]],tbl_ProduitsRef[Produit],0)),
   ""
)</f>
        <v/>
      </c>
      <c r="E231" s="7">
        <v>0</v>
      </c>
      <c r="F231" s="7" t="str">
        <f>IFERROR(
   INDEX(tbl_ProduitsRef[Prix Menu],MATCH(tbl_Ventes[[#This Row],[Produit]],tbl_ProduitsRef[Produit],0)),
   ""
)</f>
        <v/>
      </c>
      <c r="G231" s="7">
        <f>tbl_Ventes[[#This Row],[Qté Vendue]] * IFERROR(_xlfn.XLOOKUP(tbl_Ventes[[#This Row],[Cde_Prdt]], tbl_Produits[Cde_Prdt], tbl_Produits[Prix Menu]), 0)</f>
        <v>0</v>
      </c>
      <c r="H231" s="7">
        <f>IFERROR(_xlfn.XLOOKUP(tbl_Ventes[[#This Row],[Cde_Prdt]], tbl_Produits[Cde_Prdt], tbl_Produits[Coût Moyen Portion]), 0)</f>
        <v>0</v>
      </c>
      <c r="I231" s="7">
        <f>tbl_Ventes[[#This Row],[Qté Vendue]] * tbl_Ventes[[#This Row],[CMP_par_portion]]</f>
        <v>0</v>
      </c>
      <c r="J231" s="7">
        <f>tbl_Ventes[[#This Row],[CA ligne]] - tbl_Ventes[[#This Row],[Coût matière ligne]]</f>
        <v>0</v>
      </c>
      <c r="K231" s="7" t="str">
        <f>IFERROR(INDEX(tbl_ProduitsRef[Famille], MATCH(tbl_Ventes[[#This Row],[Cde_Prdt]], tbl_Produits[Cde_Prdt], 0)), "")</f>
        <v/>
      </c>
    </row>
    <row r="232" spans="1:11" x14ac:dyDescent="0.25">
      <c r="A232" s="5"/>
      <c r="B232" s="63" t="str">
        <f>IFERROR(TEXT(tbl_Ventes[[#This Row],[Date]],"mm-aaaa"),"")</f>
        <v>01-1900</v>
      </c>
      <c r="D232" s="10" t="str">
        <f>IFERROR(
   INDEX(tbl_ProduitsRef[Cde_Prdt],MATCH(tbl_Ventes[[#This Row],[Produit]],tbl_ProduitsRef[Produit],0)),
   ""
)</f>
        <v/>
      </c>
      <c r="E232" s="7">
        <v>0</v>
      </c>
      <c r="F232" s="7" t="str">
        <f>IFERROR(
   INDEX(tbl_ProduitsRef[Prix Menu],MATCH(tbl_Ventes[[#This Row],[Produit]],tbl_ProduitsRef[Produit],0)),
   ""
)</f>
        <v/>
      </c>
      <c r="G232" s="7">
        <f>tbl_Ventes[[#This Row],[Qté Vendue]] * IFERROR(_xlfn.XLOOKUP(tbl_Ventes[[#This Row],[Cde_Prdt]], tbl_Produits[Cde_Prdt], tbl_Produits[Prix Menu]), 0)</f>
        <v>0</v>
      </c>
      <c r="H232" s="7">
        <f>IFERROR(_xlfn.XLOOKUP(tbl_Ventes[[#This Row],[Cde_Prdt]], tbl_Produits[Cde_Prdt], tbl_Produits[Coût Moyen Portion]), 0)</f>
        <v>0</v>
      </c>
      <c r="I232" s="7">
        <f>tbl_Ventes[[#This Row],[Qté Vendue]] * tbl_Ventes[[#This Row],[CMP_par_portion]]</f>
        <v>0</v>
      </c>
      <c r="J232" s="7">
        <f>tbl_Ventes[[#This Row],[CA ligne]] - tbl_Ventes[[#This Row],[Coût matière ligne]]</f>
        <v>0</v>
      </c>
      <c r="K232" s="7" t="str">
        <f>IFERROR(INDEX(tbl_ProduitsRef[Famille], MATCH(tbl_Ventes[[#This Row],[Cde_Prdt]], tbl_Produits[Cde_Prdt], 0)), "")</f>
        <v/>
      </c>
    </row>
    <row r="233" spans="1:11" x14ac:dyDescent="0.25">
      <c r="A233" s="5"/>
      <c r="B233" s="63" t="str">
        <f>IFERROR(TEXT(tbl_Ventes[[#This Row],[Date]],"mm-aaaa"),"")</f>
        <v>01-1900</v>
      </c>
      <c r="D233" s="10" t="str">
        <f>IFERROR(
   INDEX(tbl_ProduitsRef[Cde_Prdt],MATCH(tbl_Ventes[[#This Row],[Produit]],tbl_ProduitsRef[Produit],0)),
   ""
)</f>
        <v/>
      </c>
      <c r="E233" s="7">
        <v>0</v>
      </c>
      <c r="F233" s="7" t="str">
        <f>IFERROR(
   INDEX(tbl_ProduitsRef[Prix Menu],MATCH(tbl_Ventes[[#This Row],[Produit]],tbl_ProduitsRef[Produit],0)),
   ""
)</f>
        <v/>
      </c>
      <c r="G233" s="7">
        <f>tbl_Ventes[[#This Row],[Qté Vendue]] * IFERROR(_xlfn.XLOOKUP(tbl_Ventes[[#This Row],[Cde_Prdt]], tbl_Produits[Cde_Prdt], tbl_Produits[Prix Menu]), 0)</f>
        <v>0</v>
      </c>
      <c r="H233" s="7">
        <f>IFERROR(_xlfn.XLOOKUP(tbl_Ventes[[#This Row],[Cde_Prdt]], tbl_Produits[Cde_Prdt], tbl_Produits[Coût Moyen Portion]), 0)</f>
        <v>0</v>
      </c>
      <c r="I233" s="7">
        <f>tbl_Ventes[[#This Row],[Qté Vendue]] * tbl_Ventes[[#This Row],[CMP_par_portion]]</f>
        <v>0</v>
      </c>
      <c r="J233" s="7">
        <f>tbl_Ventes[[#This Row],[CA ligne]] - tbl_Ventes[[#This Row],[Coût matière ligne]]</f>
        <v>0</v>
      </c>
      <c r="K233" s="7" t="str">
        <f>IFERROR(INDEX(tbl_ProduitsRef[Famille], MATCH(tbl_Ventes[[#This Row],[Cde_Prdt]], tbl_Produits[Cde_Prdt], 0)), "")</f>
        <v/>
      </c>
    </row>
    <row r="234" spans="1:11" x14ac:dyDescent="0.25">
      <c r="A234" s="5"/>
      <c r="B234" s="63" t="str">
        <f>IFERROR(TEXT(tbl_Ventes[[#This Row],[Date]],"mm-aaaa"),"")</f>
        <v>01-1900</v>
      </c>
      <c r="D234" s="10" t="str">
        <f>IFERROR(
   INDEX(tbl_ProduitsRef[Cde_Prdt],MATCH(tbl_Ventes[[#This Row],[Produit]],tbl_ProduitsRef[Produit],0)),
   ""
)</f>
        <v/>
      </c>
      <c r="E234" s="7">
        <v>0</v>
      </c>
      <c r="F234" s="7" t="str">
        <f>IFERROR(
   INDEX(tbl_ProduitsRef[Prix Menu],MATCH(tbl_Ventes[[#This Row],[Produit]],tbl_ProduitsRef[Produit],0)),
   ""
)</f>
        <v/>
      </c>
      <c r="G234" s="7">
        <f>tbl_Ventes[[#This Row],[Qté Vendue]] * IFERROR(_xlfn.XLOOKUP(tbl_Ventes[[#This Row],[Cde_Prdt]], tbl_Produits[Cde_Prdt], tbl_Produits[Prix Menu]), 0)</f>
        <v>0</v>
      </c>
      <c r="H234" s="7">
        <f>IFERROR(_xlfn.XLOOKUP(tbl_Ventes[[#This Row],[Cde_Prdt]], tbl_Produits[Cde_Prdt], tbl_Produits[Coût Moyen Portion]), 0)</f>
        <v>0</v>
      </c>
      <c r="I234" s="7">
        <f>tbl_Ventes[[#This Row],[Qté Vendue]] * tbl_Ventes[[#This Row],[CMP_par_portion]]</f>
        <v>0</v>
      </c>
      <c r="J234" s="7">
        <f>tbl_Ventes[[#This Row],[CA ligne]] - tbl_Ventes[[#This Row],[Coût matière ligne]]</f>
        <v>0</v>
      </c>
      <c r="K234" s="7" t="str">
        <f>IFERROR(INDEX(tbl_ProduitsRef[Famille], MATCH(tbl_Ventes[[#This Row],[Cde_Prdt]], tbl_Produits[Cde_Prdt], 0)), "")</f>
        <v/>
      </c>
    </row>
    <row r="235" spans="1:11" x14ac:dyDescent="0.25">
      <c r="A235" s="5"/>
      <c r="B235" s="63" t="str">
        <f>IFERROR(TEXT(tbl_Ventes[[#This Row],[Date]],"mm-aaaa"),"")</f>
        <v>01-1900</v>
      </c>
      <c r="D235" s="10" t="str">
        <f>IFERROR(
   INDEX(tbl_ProduitsRef[Cde_Prdt],MATCH(tbl_Ventes[[#This Row],[Produit]],tbl_ProduitsRef[Produit],0)),
   ""
)</f>
        <v/>
      </c>
      <c r="E235" s="7">
        <v>0</v>
      </c>
      <c r="F235" s="7" t="str">
        <f>IFERROR(
   INDEX(tbl_ProduitsRef[Prix Menu],MATCH(tbl_Ventes[[#This Row],[Produit]],tbl_ProduitsRef[Produit],0)),
   ""
)</f>
        <v/>
      </c>
      <c r="G235" s="7">
        <f>tbl_Ventes[[#This Row],[Qté Vendue]] * IFERROR(_xlfn.XLOOKUP(tbl_Ventes[[#This Row],[Cde_Prdt]], tbl_Produits[Cde_Prdt], tbl_Produits[Prix Menu]), 0)</f>
        <v>0</v>
      </c>
      <c r="H235" s="7">
        <f>IFERROR(_xlfn.XLOOKUP(tbl_Ventes[[#This Row],[Cde_Prdt]], tbl_Produits[Cde_Prdt], tbl_Produits[Coût Moyen Portion]), 0)</f>
        <v>0</v>
      </c>
      <c r="I235" s="7">
        <f>tbl_Ventes[[#This Row],[Qté Vendue]] * tbl_Ventes[[#This Row],[CMP_par_portion]]</f>
        <v>0</v>
      </c>
      <c r="J235" s="7">
        <f>tbl_Ventes[[#This Row],[CA ligne]] - tbl_Ventes[[#This Row],[Coût matière ligne]]</f>
        <v>0</v>
      </c>
      <c r="K235" s="7" t="str">
        <f>IFERROR(INDEX(tbl_ProduitsRef[Famille], MATCH(tbl_Ventes[[#This Row],[Cde_Prdt]], tbl_Produits[Cde_Prdt], 0)), "")</f>
        <v/>
      </c>
    </row>
    <row r="236" spans="1:11" x14ac:dyDescent="0.25">
      <c r="A236" s="5"/>
      <c r="B236" s="63" t="str">
        <f>IFERROR(TEXT(tbl_Ventes[[#This Row],[Date]],"mm-aaaa"),"")</f>
        <v>01-1900</v>
      </c>
      <c r="D236" s="10" t="str">
        <f>IFERROR(
   INDEX(tbl_ProduitsRef[Cde_Prdt],MATCH(tbl_Ventes[[#This Row],[Produit]],tbl_ProduitsRef[Produit],0)),
   ""
)</f>
        <v/>
      </c>
      <c r="E236" s="7">
        <v>0</v>
      </c>
      <c r="F236" s="7" t="str">
        <f>IFERROR(
   INDEX(tbl_ProduitsRef[Prix Menu],MATCH(tbl_Ventes[[#This Row],[Produit]],tbl_ProduitsRef[Produit],0)),
   ""
)</f>
        <v/>
      </c>
      <c r="G236" s="7">
        <f>tbl_Ventes[[#This Row],[Qté Vendue]] * IFERROR(_xlfn.XLOOKUP(tbl_Ventes[[#This Row],[Cde_Prdt]], tbl_Produits[Cde_Prdt], tbl_Produits[Prix Menu]), 0)</f>
        <v>0</v>
      </c>
      <c r="H236" s="7">
        <f>IFERROR(_xlfn.XLOOKUP(tbl_Ventes[[#This Row],[Cde_Prdt]], tbl_Produits[Cde_Prdt], tbl_Produits[Coût Moyen Portion]), 0)</f>
        <v>0</v>
      </c>
      <c r="I236" s="7">
        <f>tbl_Ventes[[#This Row],[Qté Vendue]] * tbl_Ventes[[#This Row],[CMP_par_portion]]</f>
        <v>0</v>
      </c>
      <c r="J236" s="7">
        <f>tbl_Ventes[[#This Row],[CA ligne]] - tbl_Ventes[[#This Row],[Coût matière ligne]]</f>
        <v>0</v>
      </c>
      <c r="K236" s="7" t="str">
        <f>IFERROR(INDEX(tbl_ProduitsRef[Famille], MATCH(tbl_Ventes[[#This Row],[Cde_Prdt]], tbl_Produits[Cde_Prdt], 0)), "")</f>
        <v/>
      </c>
    </row>
    <row r="237" spans="1:11" x14ac:dyDescent="0.25">
      <c r="A237" s="5"/>
      <c r="B237" s="63" t="str">
        <f>IFERROR(TEXT(tbl_Ventes[[#This Row],[Date]],"mm-aaaa"),"")</f>
        <v>01-1900</v>
      </c>
      <c r="D237" s="10" t="str">
        <f>IFERROR(
   INDEX(tbl_ProduitsRef[Cde_Prdt],MATCH(tbl_Ventes[[#This Row],[Produit]],tbl_ProduitsRef[Produit],0)),
   ""
)</f>
        <v/>
      </c>
      <c r="E237" s="7">
        <v>0</v>
      </c>
      <c r="F237" s="7" t="str">
        <f>IFERROR(
   INDEX(tbl_ProduitsRef[Prix Menu],MATCH(tbl_Ventes[[#This Row],[Produit]],tbl_ProduitsRef[Produit],0)),
   ""
)</f>
        <v/>
      </c>
      <c r="G237" s="7">
        <f>tbl_Ventes[[#This Row],[Qté Vendue]] * IFERROR(_xlfn.XLOOKUP(tbl_Ventes[[#This Row],[Cde_Prdt]], tbl_Produits[Cde_Prdt], tbl_Produits[Prix Menu]), 0)</f>
        <v>0</v>
      </c>
      <c r="H237" s="7">
        <f>IFERROR(_xlfn.XLOOKUP(tbl_Ventes[[#This Row],[Cde_Prdt]], tbl_Produits[Cde_Prdt], tbl_Produits[Coût Moyen Portion]), 0)</f>
        <v>0</v>
      </c>
      <c r="I237" s="7">
        <f>tbl_Ventes[[#This Row],[Qté Vendue]] * tbl_Ventes[[#This Row],[CMP_par_portion]]</f>
        <v>0</v>
      </c>
      <c r="J237" s="7">
        <f>tbl_Ventes[[#This Row],[CA ligne]] - tbl_Ventes[[#This Row],[Coût matière ligne]]</f>
        <v>0</v>
      </c>
      <c r="K237" s="7" t="str">
        <f>IFERROR(INDEX(tbl_ProduitsRef[Famille], MATCH(tbl_Ventes[[#This Row],[Cde_Prdt]], tbl_Produits[Cde_Prdt], 0)), "")</f>
        <v/>
      </c>
    </row>
    <row r="238" spans="1:11" x14ac:dyDescent="0.25">
      <c r="A238" s="5"/>
      <c r="B238" s="63" t="str">
        <f>IFERROR(TEXT(tbl_Ventes[[#This Row],[Date]],"mm-aaaa"),"")</f>
        <v>01-1900</v>
      </c>
      <c r="D238" s="10" t="str">
        <f>IFERROR(
   INDEX(tbl_ProduitsRef[Cde_Prdt],MATCH(tbl_Ventes[[#This Row],[Produit]],tbl_ProduitsRef[Produit],0)),
   ""
)</f>
        <v/>
      </c>
      <c r="E238" s="7">
        <v>0</v>
      </c>
      <c r="F238" s="7" t="str">
        <f>IFERROR(
   INDEX(tbl_ProduitsRef[Prix Menu],MATCH(tbl_Ventes[[#This Row],[Produit]],tbl_ProduitsRef[Produit],0)),
   ""
)</f>
        <v/>
      </c>
      <c r="G238" s="7">
        <f>tbl_Ventes[[#This Row],[Qté Vendue]] * IFERROR(_xlfn.XLOOKUP(tbl_Ventes[[#This Row],[Cde_Prdt]], tbl_Produits[Cde_Prdt], tbl_Produits[Prix Menu]), 0)</f>
        <v>0</v>
      </c>
      <c r="H238" s="7">
        <f>IFERROR(_xlfn.XLOOKUP(tbl_Ventes[[#This Row],[Cde_Prdt]], tbl_Produits[Cde_Prdt], tbl_Produits[Coût Moyen Portion]), 0)</f>
        <v>0</v>
      </c>
      <c r="I238" s="7">
        <f>tbl_Ventes[[#This Row],[Qté Vendue]] * tbl_Ventes[[#This Row],[CMP_par_portion]]</f>
        <v>0</v>
      </c>
      <c r="J238" s="7">
        <f>tbl_Ventes[[#This Row],[CA ligne]] - tbl_Ventes[[#This Row],[Coût matière ligne]]</f>
        <v>0</v>
      </c>
      <c r="K238" s="7" t="str">
        <f>IFERROR(INDEX(tbl_ProduitsRef[Famille], MATCH(tbl_Ventes[[#This Row],[Cde_Prdt]], tbl_Produits[Cde_Prdt], 0)), "")</f>
        <v/>
      </c>
    </row>
    <row r="239" spans="1:11" x14ac:dyDescent="0.25">
      <c r="A239" s="5"/>
      <c r="B239" s="63" t="str">
        <f>IFERROR(TEXT(tbl_Ventes[[#This Row],[Date]],"mm-aaaa"),"")</f>
        <v>01-1900</v>
      </c>
      <c r="D239" s="10" t="str">
        <f>IFERROR(
   INDEX(tbl_ProduitsRef[Cde_Prdt],MATCH(tbl_Ventes[[#This Row],[Produit]],tbl_ProduitsRef[Produit],0)),
   ""
)</f>
        <v/>
      </c>
      <c r="E239" s="7">
        <v>0</v>
      </c>
      <c r="F239" s="7" t="str">
        <f>IFERROR(
   INDEX(tbl_ProduitsRef[Prix Menu],MATCH(tbl_Ventes[[#This Row],[Produit]],tbl_ProduitsRef[Produit],0)),
   ""
)</f>
        <v/>
      </c>
      <c r="G239" s="7">
        <f>tbl_Ventes[[#This Row],[Qté Vendue]] * IFERROR(_xlfn.XLOOKUP(tbl_Ventes[[#This Row],[Cde_Prdt]], tbl_Produits[Cde_Prdt], tbl_Produits[Prix Menu]), 0)</f>
        <v>0</v>
      </c>
      <c r="H239" s="7">
        <f>IFERROR(_xlfn.XLOOKUP(tbl_Ventes[[#This Row],[Cde_Prdt]], tbl_Produits[Cde_Prdt], tbl_Produits[Coût Moyen Portion]), 0)</f>
        <v>0</v>
      </c>
      <c r="I239" s="7">
        <f>tbl_Ventes[[#This Row],[Qté Vendue]] * tbl_Ventes[[#This Row],[CMP_par_portion]]</f>
        <v>0</v>
      </c>
      <c r="J239" s="7">
        <f>tbl_Ventes[[#This Row],[CA ligne]] - tbl_Ventes[[#This Row],[Coût matière ligne]]</f>
        <v>0</v>
      </c>
      <c r="K239" s="7" t="str">
        <f>IFERROR(INDEX(tbl_ProduitsRef[Famille], MATCH(tbl_Ventes[[#This Row],[Cde_Prdt]], tbl_Produits[Cde_Prdt], 0)), "")</f>
        <v/>
      </c>
    </row>
    <row r="240" spans="1:11" x14ac:dyDescent="0.25">
      <c r="A240" s="5"/>
      <c r="B240" s="63" t="str">
        <f>IFERROR(TEXT(tbl_Ventes[[#This Row],[Date]],"mm-aaaa"),"")</f>
        <v>01-1900</v>
      </c>
      <c r="D240" s="10" t="str">
        <f>IFERROR(
   INDEX(tbl_ProduitsRef[Cde_Prdt],MATCH(tbl_Ventes[[#This Row],[Produit]],tbl_ProduitsRef[Produit],0)),
   ""
)</f>
        <v/>
      </c>
      <c r="E240" s="7">
        <v>0</v>
      </c>
      <c r="F240" s="7" t="str">
        <f>IFERROR(
   INDEX(tbl_ProduitsRef[Prix Menu],MATCH(tbl_Ventes[[#This Row],[Produit]],tbl_ProduitsRef[Produit],0)),
   ""
)</f>
        <v/>
      </c>
      <c r="G240" s="7">
        <f>tbl_Ventes[[#This Row],[Qté Vendue]] * IFERROR(_xlfn.XLOOKUP(tbl_Ventes[[#This Row],[Cde_Prdt]], tbl_Produits[Cde_Prdt], tbl_Produits[Prix Menu]), 0)</f>
        <v>0</v>
      </c>
      <c r="H240" s="7">
        <f>IFERROR(_xlfn.XLOOKUP(tbl_Ventes[[#This Row],[Cde_Prdt]], tbl_Produits[Cde_Prdt], tbl_Produits[Coût Moyen Portion]), 0)</f>
        <v>0</v>
      </c>
      <c r="I240" s="7">
        <f>tbl_Ventes[[#This Row],[Qté Vendue]] * tbl_Ventes[[#This Row],[CMP_par_portion]]</f>
        <v>0</v>
      </c>
      <c r="J240" s="7">
        <f>tbl_Ventes[[#This Row],[CA ligne]] - tbl_Ventes[[#This Row],[Coût matière ligne]]</f>
        <v>0</v>
      </c>
      <c r="K240" s="7" t="str">
        <f>IFERROR(INDEX(tbl_ProduitsRef[Famille], MATCH(tbl_Ventes[[#This Row],[Cde_Prdt]], tbl_Produits[Cde_Prdt], 0)), "")</f>
        <v/>
      </c>
    </row>
    <row r="241" spans="1:11" x14ac:dyDescent="0.25">
      <c r="A241" s="5"/>
      <c r="B241" s="63" t="str">
        <f>IFERROR(TEXT(tbl_Ventes[[#This Row],[Date]],"mm-aaaa"),"")</f>
        <v>01-1900</v>
      </c>
      <c r="D241" s="10" t="str">
        <f>IFERROR(
   INDEX(tbl_ProduitsRef[Cde_Prdt],MATCH(tbl_Ventes[[#This Row],[Produit]],tbl_ProduitsRef[Produit],0)),
   ""
)</f>
        <v/>
      </c>
      <c r="E241" s="7">
        <v>0</v>
      </c>
      <c r="F241" s="7" t="str">
        <f>IFERROR(
   INDEX(tbl_ProduitsRef[Prix Menu],MATCH(tbl_Ventes[[#This Row],[Produit]],tbl_ProduitsRef[Produit],0)),
   ""
)</f>
        <v/>
      </c>
      <c r="G241" s="7">
        <f>tbl_Ventes[[#This Row],[Qté Vendue]] * IFERROR(_xlfn.XLOOKUP(tbl_Ventes[[#This Row],[Cde_Prdt]], tbl_Produits[Cde_Prdt], tbl_Produits[Prix Menu]), 0)</f>
        <v>0</v>
      </c>
      <c r="H241" s="7">
        <f>IFERROR(_xlfn.XLOOKUP(tbl_Ventes[[#This Row],[Cde_Prdt]], tbl_Produits[Cde_Prdt], tbl_Produits[Coût Moyen Portion]), 0)</f>
        <v>0</v>
      </c>
      <c r="I241" s="7">
        <f>tbl_Ventes[[#This Row],[Qté Vendue]] * tbl_Ventes[[#This Row],[CMP_par_portion]]</f>
        <v>0</v>
      </c>
      <c r="J241" s="7">
        <f>tbl_Ventes[[#This Row],[CA ligne]] - tbl_Ventes[[#This Row],[Coût matière ligne]]</f>
        <v>0</v>
      </c>
      <c r="K241" s="7" t="str">
        <f>IFERROR(INDEX(tbl_ProduitsRef[Famille], MATCH(tbl_Ventes[[#This Row],[Cde_Prdt]], tbl_Produits[Cde_Prdt], 0)), "")</f>
        <v/>
      </c>
    </row>
    <row r="242" spans="1:11" x14ac:dyDescent="0.25">
      <c r="A242" s="5"/>
      <c r="B242" s="63" t="str">
        <f>IFERROR(TEXT(tbl_Ventes[[#This Row],[Date]],"mm-aaaa"),"")</f>
        <v>01-1900</v>
      </c>
      <c r="D242" s="10" t="str">
        <f>IFERROR(
   INDEX(tbl_ProduitsRef[Cde_Prdt],MATCH(tbl_Ventes[[#This Row],[Produit]],tbl_ProduitsRef[Produit],0)),
   ""
)</f>
        <v/>
      </c>
      <c r="E242" s="7">
        <v>0</v>
      </c>
      <c r="F242" s="7" t="str">
        <f>IFERROR(
   INDEX(tbl_ProduitsRef[Prix Menu],MATCH(tbl_Ventes[[#This Row],[Produit]],tbl_ProduitsRef[Produit],0)),
   ""
)</f>
        <v/>
      </c>
      <c r="G242" s="7">
        <f>tbl_Ventes[[#This Row],[Qté Vendue]] * IFERROR(_xlfn.XLOOKUP(tbl_Ventes[[#This Row],[Cde_Prdt]], tbl_Produits[Cde_Prdt], tbl_Produits[Prix Menu]), 0)</f>
        <v>0</v>
      </c>
      <c r="H242" s="7">
        <f>IFERROR(_xlfn.XLOOKUP(tbl_Ventes[[#This Row],[Cde_Prdt]], tbl_Produits[Cde_Prdt], tbl_Produits[Coût Moyen Portion]), 0)</f>
        <v>0</v>
      </c>
      <c r="I242" s="7">
        <f>tbl_Ventes[[#This Row],[Qté Vendue]] * tbl_Ventes[[#This Row],[CMP_par_portion]]</f>
        <v>0</v>
      </c>
      <c r="J242" s="7">
        <f>tbl_Ventes[[#This Row],[CA ligne]] - tbl_Ventes[[#This Row],[Coût matière ligne]]</f>
        <v>0</v>
      </c>
      <c r="K242" s="7" t="str">
        <f>IFERROR(INDEX(tbl_ProduitsRef[Famille], MATCH(tbl_Ventes[[#This Row],[Cde_Prdt]], tbl_Produits[Cde_Prdt], 0)), "")</f>
        <v/>
      </c>
    </row>
    <row r="243" spans="1:11" x14ac:dyDescent="0.25">
      <c r="A243" s="5"/>
      <c r="B243" s="63" t="str">
        <f>IFERROR(TEXT(tbl_Ventes[[#This Row],[Date]],"mm-aaaa"),"")</f>
        <v>01-1900</v>
      </c>
      <c r="D243" s="10" t="str">
        <f>IFERROR(
   INDEX(tbl_ProduitsRef[Cde_Prdt],MATCH(tbl_Ventes[[#This Row],[Produit]],tbl_ProduitsRef[Produit],0)),
   ""
)</f>
        <v/>
      </c>
      <c r="E243" s="7">
        <v>0</v>
      </c>
      <c r="F243" s="7" t="str">
        <f>IFERROR(
   INDEX(tbl_ProduitsRef[Prix Menu],MATCH(tbl_Ventes[[#This Row],[Produit]],tbl_ProduitsRef[Produit],0)),
   ""
)</f>
        <v/>
      </c>
      <c r="G243" s="7">
        <f>tbl_Ventes[[#This Row],[Qté Vendue]] * IFERROR(_xlfn.XLOOKUP(tbl_Ventes[[#This Row],[Cde_Prdt]], tbl_Produits[Cde_Prdt], tbl_Produits[Prix Menu]), 0)</f>
        <v>0</v>
      </c>
      <c r="H243" s="7">
        <f>IFERROR(_xlfn.XLOOKUP(tbl_Ventes[[#This Row],[Cde_Prdt]], tbl_Produits[Cde_Prdt], tbl_Produits[Coût Moyen Portion]), 0)</f>
        <v>0</v>
      </c>
      <c r="I243" s="7">
        <f>tbl_Ventes[[#This Row],[Qté Vendue]] * tbl_Ventes[[#This Row],[CMP_par_portion]]</f>
        <v>0</v>
      </c>
      <c r="J243" s="7">
        <f>tbl_Ventes[[#This Row],[CA ligne]] - tbl_Ventes[[#This Row],[Coût matière ligne]]</f>
        <v>0</v>
      </c>
      <c r="K243" s="7" t="str">
        <f>IFERROR(INDEX(tbl_ProduitsRef[Famille], MATCH(tbl_Ventes[[#This Row],[Cde_Prdt]], tbl_Produits[Cde_Prdt], 0)), "")</f>
        <v/>
      </c>
    </row>
    <row r="244" spans="1:11" x14ac:dyDescent="0.25">
      <c r="A244" s="5"/>
      <c r="B244" s="63" t="str">
        <f>IFERROR(TEXT(tbl_Ventes[[#This Row],[Date]],"mm-aaaa"),"")</f>
        <v>01-1900</v>
      </c>
      <c r="D244" s="10" t="str">
        <f>IFERROR(
   INDEX(tbl_ProduitsRef[Cde_Prdt],MATCH(tbl_Ventes[[#This Row],[Produit]],tbl_ProduitsRef[Produit],0)),
   ""
)</f>
        <v/>
      </c>
      <c r="E244" s="7">
        <v>0</v>
      </c>
      <c r="F244" s="7" t="str">
        <f>IFERROR(
   INDEX(tbl_ProduitsRef[Prix Menu],MATCH(tbl_Ventes[[#This Row],[Produit]],tbl_ProduitsRef[Produit],0)),
   ""
)</f>
        <v/>
      </c>
      <c r="G244" s="7">
        <f>tbl_Ventes[[#This Row],[Qté Vendue]] * IFERROR(_xlfn.XLOOKUP(tbl_Ventes[[#This Row],[Cde_Prdt]], tbl_Produits[Cde_Prdt], tbl_Produits[Prix Menu]), 0)</f>
        <v>0</v>
      </c>
      <c r="H244" s="7">
        <f>IFERROR(_xlfn.XLOOKUP(tbl_Ventes[[#This Row],[Cde_Prdt]], tbl_Produits[Cde_Prdt], tbl_Produits[Coût Moyen Portion]), 0)</f>
        <v>0</v>
      </c>
      <c r="I244" s="7">
        <f>tbl_Ventes[[#This Row],[Qté Vendue]] * tbl_Ventes[[#This Row],[CMP_par_portion]]</f>
        <v>0</v>
      </c>
      <c r="J244" s="7">
        <f>tbl_Ventes[[#This Row],[CA ligne]] - tbl_Ventes[[#This Row],[Coût matière ligne]]</f>
        <v>0</v>
      </c>
      <c r="K244" s="7" t="str">
        <f>IFERROR(INDEX(tbl_ProduitsRef[Famille], MATCH(tbl_Ventes[[#This Row],[Cde_Prdt]], tbl_Produits[Cde_Prdt], 0)), "")</f>
        <v/>
      </c>
    </row>
    <row r="245" spans="1:11" x14ac:dyDescent="0.25">
      <c r="A245" s="5"/>
      <c r="B245" s="63" t="str">
        <f>IFERROR(TEXT(tbl_Ventes[[#This Row],[Date]],"mm-aaaa"),"")</f>
        <v>01-1900</v>
      </c>
      <c r="D245" s="10" t="str">
        <f>IFERROR(
   INDEX(tbl_ProduitsRef[Cde_Prdt],MATCH(tbl_Ventes[[#This Row],[Produit]],tbl_ProduitsRef[Produit],0)),
   ""
)</f>
        <v/>
      </c>
      <c r="E245" s="7">
        <v>0</v>
      </c>
      <c r="F245" s="7" t="str">
        <f>IFERROR(
   INDEX(tbl_ProduitsRef[Prix Menu],MATCH(tbl_Ventes[[#This Row],[Produit]],tbl_ProduitsRef[Produit],0)),
   ""
)</f>
        <v/>
      </c>
      <c r="G245" s="7">
        <f>tbl_Ventes[[#This Row],[Qté Vendue]] * IFERROR(_xlfn.XLOOKUP(tbl_Ventes[[#This Row],[Cde_Prdt]], tbl_Produits[Cde_Prdt], tbl_Produits[Prix Menu]), 0)</f>
        <v>0</v>
      </c>
      <c r="H245" s="7">
        <f>IFERROR(_xlfn.XLOOKUP(tbl_Ventes[[#This Row],[Cde_Prdt]], tbl_Produits[Cde_Prdt], tbl_Produits[Coût Moyen Portion]), 0)</f>
        <v>0</v>
      </c>
      <c r="I245" s="7">
        <f>tbl_Ventes[[#This Row],[Qté Vendue]] * tbl_Ventes[[#This Row],[CMP_par_portion]]</f>
        <v>0</v>
      </c>
      <c r="J245" s="7">
        <f>tbl_Ventes[[#This Row],[CA ligne]] - tbl_Ventes[[#This Row],[Coût matière ligne]]</f>
        <v>0</v>
      </c>
      <c r="K245" s="7" t="str">
        <f>IFERROR(INDEX(tbl_ProduitsRef[Famille], MATCH(tbl_Ventes[[#This Row],[Cde_Prdt]], tbl_Produits[Cde_Prdt], 0)), "")</f>
        <v/>
      </c>
    </row>
    <row r="246" spans="1:11" x14ac:dyDescent="0.25">
      <c r="A246" s="5"/>
      <c r="B246" s="63" t="str">
        <f>IFERROR(TEXT(tbl_Ventes[[#This Row],[Date]],"mm-aaaa"),"")</f>
        <v>01-1900</v>
      </c>
      <c r="D246" s="10" t="str">
        <f>IFERROR(
   INDEX(tbl_ProduitsRef[Cde_Prdt],MATCH(tbl_Ventes[[#This Row],[Produit]],tbl_ProduitsRef[Produit],0)),
   ""
)</f>
        <v/>
      </c>
      <c r="E246" s="7">
        <v>0</v>
      </c>
      <c r="F246" s="7" t="str">
        <f>IFERROR(
   INDEX(tbl_ProduitsRef[Prix Menu],MATCH(tbl_Ventes[[#This Row],[Produit]],tbl_ProduitsRef[Produit],0)),
   ""
)</f>
        <v/>
      </c>
      <c r="G246" s="7">
        <f>tbl_Ventes[[#This Row],[Qté Vendue]] * IFERROR(_xlfn.XLOOKUP(tbl_Ventes[[#This Row],[Cde_Prdt]], tbl_Produits[Cde_Prdt], tbl_Produits[Prix Menu]), 0)</f>
        <v>0</v>
      </c>
      <c r="H246" s="7">
        <f>IFERROR(_xlfn.XLOOKUP(tbl_Ventes[[#This Row],[Cde_Prdt]], tbl_Produits[Cde_Prdt], tbl_Produits[Coût Moyen Portion]), 0)</f>
        <v>0</v>
      </c>
      <c r="I246" s="7">
        <f>tbl_Ventes[[#This Row],[Qté Vendue]] * tbl_Ventes[[#This Row],[CMP_par_portion]]</f>
        <v>0</v>
      </c>
      <c r="J246" s="7">
        <f>tbl_Ventes[[#This Row],[CA ligne]] - tbl_Ventes[[#This Row],[Coût matière ligne]]</f>
        <v>0</v>
      </c>
      <c r="K246" s="7" t="str">
        <f>IFERROR(INDEX(tbl_ProduitsRef[Famille], MATCH(tbl_Ventes[[#This Row],[Cde_Prdt]], tbl_Produits[Cde_Prdt], 0)), "")</f>
        <v/>
      </c>
    </row>
    <row r="247" spans="1:11" x14ac:dyDescent="0.25">
      <c r="A247" s="5"/>
      <c r="B247" s="63" t="str">
        <f>IFERROR(TEXT(tbl_Ventes[[#This Row],[Date]],"mm-aaaa"),"")</f>
        <v>01-1900</v>
      </c>
      <c r="D247" s="10" t="str">
        <f>IFERROR(
   INDEX(tbl_ProduitsRef[Cde_Prdt],MATCH(tbl_Ventes[[#This Row],[Produit]],tbl_ProduitsRef[Produit],0)),
   ""
)</f>
        <v/>
      </c>
      <c r="E247" s="7">
        <v>0</v>
      </c>
      <c r="F247" s="7" t="str">
        <f>IFERROR(
   INDEX(tbl_ProduitsRef[Prix Menu],MATCH(tbl_Ventes[[#This Row],[Produit]],tbl_ProduitsRef[Produit],0)),
   ""
)</f>
        <v/>
      </c>
      <c r="G247" s="7">
        <f>tbl_Ventes[[#This Row],[Qté Vendue]] * IFERROR(_xlfn.XLOOKUP(tbl_Ventes[[#This Row],[Cde_Prdt]], tbl_Produits[Cde_Prdt], tbl_Produits[Prix Menu]), 0)</f>
        <v>0</v>
      </c>
      <c r="H247" s="7">
        <f>IFERROR(_xlfn.XLOOKUP(tbl_Ventes[[#This Row],[Cde_Prdt]], tbl_Produits[Cde_Prdt], tbl_Produits[Coût Moyen Portion]), 0)</f>
        <v>0</v>
      </c>
      <c r="I247" s="7">
        <f>tbl_Ventes[[#This Row],[Qté Vendue]] * tbl_Ventes[[#This Row],[CMP_par_portion]]</f>
        <v>0</v>
      </c>
      <c r="J247" s="7">
        <f>tbl_Ventes[[#This Row],[CA ligne]] - tbl_Ventes[[#This Row],[Coût matière ligne]]</f>
        <v>0</v>
      </c>
      <c r="K247" s="7" t="str">
        <f>IFERROR(INDEX(tbl_ProduitsRef[Famille], MATCH(tbl_Ventes[[#This Row],[Cde_Prdt]], tbl_Produits[Cde_Prdt], 0)), "")</f>
        <v/>
      </c>
    </row>
    <row r="248" spans="1:11" x14ac:dyDescent="0.25">
      <c r="A248" s="5"/>
      <c r="B248" s="63" t="str">
        <f>IFERROR(TEXT(tbl_Ventes[[#This Row],[Date]],"mm-aaaa"),"")</f>
        <v>01-1900</v>
      </c>
      <c r="D248" s="10" t="str">
        <f>IFERROR(
   INDEX(tbl_ProduitsRef[Cde_Prdt],MATCH(tbl_Ventes[[#This Row],[Produit]],tbl_ProduitsRef[Produit],0)),
   ""
)</f>
        <v/>
      </c>
      <c r="E248" s="7">
        <v>0</v>
      </c>
      <c r="F248" s="7" t="str">
        <f>IFERROR(
   INDEX(tbl_ProduitsRef[Prix Menu],MATCH(tbl_Ventes[[#This Row],[Produit]],tbl_ProduitsRef[Produit],0)),
   ""
)</f>
        <v/>
      </c>
      <c r="G248" s="7">
        <f>tbl_Ventes[[#This Row],[Qté Vendue]] * IFERROR(_xlfn.XLOOKUP(tbl_Ventes[[#This Row],[Cde_Prdt]], tbl_Produits[Cde_Prdt], tbl_Produits[Prix Menu]), 0)</f>
        <v>0</v>
      </c>
      <c r="H248" s="7">
        <f>IFERROR(_xlfn.XLOOKUP(tbl_Ventes[[#This Row],[Cde_Prdt]], tbl_Produits[Cde_Prdt], tbl_Produits[Coût Moyen Portion]), 0)</f>
        <v>0</v>
      </c>
      <c r="I248" s="7">
        <f>tbl_Ventes[[#This Row],[Qté Vendue]] * tbl_Ventes[[#This Row],[CMP_par_portion]]</f>
        <v>0</v>
      </c>
      <c r="J248" s="7">
        <f>tbl_Ventes[[#This Row],[CA ligne]] - tbl_Ventes[[#This Row],[Coût matière ligne]]</f>
        <v>0</v>
      </c>
      <c r="K248" s="7" t="str">
        <f>IFERROR(INDEX(tbl_ProduitsRef[Famille], MATCH(tbl_Ventes[[#This Row],[Cde_Prdt]], tbl_Produits[Cde_Prdt], 0)), "")</f>
        <v/>
      </c>
    </row>
    <row r="249" spans="1:11" x14ac:dyDescent="0.25">
      <c r="A249" s="5"/>
      <c r="B249" s="63" t="str">
        <f>IFERROR(TEXT(tbl_Ventes[[#This Row],[Date]],"mm-aaaa"),"")</f>
        <v>01-1900</v>
      </c>
      <c r="D249" s="10" t="str">
        <f>IFERROR(
   INDEX(tbl_ProduitsRef[Cde_Prdt],MATCH(tbl_Ventes[[#This Row],[Produit]],tbl_ProduitsRef[Produit],0)),
   ""
)</f>
        <v/>
      </c>
      <c r="E249" s="7">
        <v>0</v>
      </c>
      <c r="F249" s="7" t="str">
        <f>IFERROR(
   INDEX(tbl_ProduitsRef[Prix Menu],MATCH(tbl_Ventes[[#This Row],[Produit]],tbl_ProduitsRef[Produit],0)),
   ""
)</f>
        <v/>
      </c>
      <c r="G249" s="7">
        <f>tbl_Ventes[[#This Row],[Qté Vendue]] * IFERROR(_xlfn.XLOOKUP(tbl_Ventes[[#This Row],[Cde_Prdt]], tbl_Produits[Cde_Prdt], tbl_Produits[Prix Menu]), 0)</f>
        <v>0</v>
      </c>
      <c r="H249" s="7">
        <f>IFERROR(_xlfn.XLOOKUP(tbl_Ventes[[#This Row],[Cde_Prdt]], tbl_Produits[Cde_Prdt], tbl_Produits[Coût Moyen Portion]), 0)</f>
        <v>0</v>
      </c>
      <c r="I249" s="7">
        <f>tbl_Ventes[[#This Row],[Qté Vendue]] * tbl_Ventes[[#This Row],[CMP_par_portion]]</f>
        <v>0</v>
      </c>
      <c r="J249" s="7">
        <f>tbl_Ventes[[#This Row],[CA ligne]] - tbl_Ventes[[#This Row],[Coût matière ligne]]</f>
        <v>0</v>
      </c>
      <c r="K249" s="7" t="str">
        <f>IFERROR(INDEX(tbl_ProduitsRef[Famille], MATCH(tbl_Ventes[[#This Row],[Cde_Prdt]], tbl_Produits[Cde_Prdt], 0)), "")</f>
        <v/>
      </c>
    </row>
    <row r="250" spans="1:11" x14ac:dyDescent="0.25">
      <c r="A250" s="5"/>
      <c r="B250" s="63" t="str">
        <f>IFERROR(TEXT(tbl_Ventes[[#This Row],[Date]],"mm-aaaa"),"")</f>
        <v>01-1900</v>
      </c>
      <c r="D250" s="10" t="str">
        <f>IFERROR(
   INDEX(tbl_ProduitsRef[Cde_Prdt],MATCH(tbl_Ventes[[#This Row],[Produit]],tbl_ProduitsRef[Produit],0)),
   ""
)</f>
        <v/>
      </c>
      <c r="E250" s="7">
        <v>0</v>
      </c>
      <c r="F250" s="7" t="str">
        <f>IFERROR(
   INDEX(tbl_ProduitsRef[Prix Menu],MATCH(tbl_Ventes[[#This Row],[Produit]],tbl_ProduitsRef[Produit],0)),
   ""
)</f>
        <v/>
      </c>
      <c r="G250" s="7">
        <f>tbl_Ventes[[#This Row],[Qté Vendue]] * IFERROR(_xlfn.XLOOKUP(tbl_Ventes[[#This Row],[Cde_Prdt]], tbl_Produits[Cde_Prdt], tbl_Produits[Prix Menu]), 0)</f>
        <v>0</v>
      </c>
      <c r="H250" s="7">
        <f>IFERROR(_xlfn.XLOOKUP(tbl_Ventes[[#This Row],[Cde_Prdt]], tbl_Produits[Cde_Prdt], tbl_Produits[Coût Moyen Portion]), 0)</f>
        <v>0</v>
      </c>
      <c r="I250" s="7">
        <f>tbl_Ventes[[#This Row],[Qté Vendue]] * tbl_Ventes[[#This Row],[CMP_par_portion]]</f>
        <v>0</v>
      </c>
      <c r="J250" s="7">
        <f>tbl_Ventes[[#This Row],[CA ligne]] - tbl_Ventes[[#This Row],[Coût matière ligne]]</f>
        <v>0</v>
      </c>
      <c r="K250" s="7" t="str">
        <f>IFERROR(INDEX(tbl_ProduitsRef[Famille], MATCH(tbl_Ventes[[#This Row],[Cde_Prdt]], tbl_Produits[Cde_Prdt], 0)), "")</f>
        <v/>
      </c>
    </row>
    <row r="251" spans="1:11" x14ac:dyDescent="0.25">
      <c r="A251" s="5"/>
      <c r="B251" s="63" t="str">
        <f>IFERROR(TEXT(tbl_Ventes[[#This Row],[Date]],"mm-aaaa"),"")</f>
        <v>01-1900</v>
      </c>
      <c r="D251" s="10" t="str">
        <f>IFERROR(
   INDEX(tbl_ProduitsRef[Cde_Prdt],MATCH(tbl_Ventes[[#This Row],[Produit]],tbl_ProduitsRef[Produit],0)),
   ""
)</f>
        <v/>
      </c>
      <c r="E251" s="7">
        <v>0</v>
      </c>
      <c r="F251" s="7" t="str">
        <f>IFERROR(
   INDEX(tbl_ProduitsRef[Prix Menu],MATCH(tbl_Ventes[[#This Row],[Produit]],tbl_ProduitsRef[Produit],0)),
   ""
)</f>
        <v/>
      </c>
      <c r="G251" s="7">
        <f>tbl_Ventes[[#This Row],[Qté Vendue]] * IFERROR(_xlfn.XLOOKUP(tbl_Ventes[[#This Row],[Cde_Prdt]], tbl_Produits[Cde_Prdt], tbl_Produits[Prix Menu]), 0)</f>
        <v>0</v>
      </c>
      <c r="H251" s="7">
        <f>IFERROR(_xlfn.XLOOKUP(tbl_Ventes[[#This Row],[Cde_Prdt]], tbl_Produits[Cde_Prdt], tbl_Produits[Coût Moyen Portion]), 0)</f>
        <v>0</v>
      </c>
      <c r="I251" s="7">
        <f>tbl_Ventes[[#This Row],[Qté Vendue]] * tbl_Ventes[[#This Row],[CMP_par_portion]]</f>
        <v>0</v>
      </c>
      <c r="J251" s="7">
        <f>tbl_Ventes[[#This Row],[CA ligne]] - tbl_Ventes[[#This Row],[Coût matière ligne]]</f>
        <v>0</v>
      </c>
      <c r="K251" s="7" t="str">
        <f>IFERROR(INDEX(tbl_ProduitsRef[Famille], MATCH(tbl_Ventes[[#This Row],[Cde_Prdt]], tbl_Produits[Cde_Prdt], 0)), "")</f>
        <v/>
      </c>
    </row>
    <row r="252" spans="1:11" x14ac:dyDescent="0.25">
      <c r="A252" s="5"/>
      <c r="B252" s="63" t="str">
        <f>IFERROR(TEXT(tbl_Ventes[[#This Row],[Date]],"mm-aaaa"),"")</f>
        <v>01-1900</v>
      </c>
      <c r="D252" s="10" t="str">
        <f>IFERROR(
   INDEX(tbl_ProduitsRef[Cde_Prdt],MATCH(tbl_Ventes[[#This Row],[Produit]],tbl_ProduitsRef[Produit],0)),
   ""
)</f>
        <v/>
      </c>
      <c r="E252" s="7">
        <v>0</v>
      </c>
      <c r="F252" s="7" t="str">
        <f>IFERROR(
   INDEX(tbl_ProduitsRef[Prix Menu],MATCH(tbl_Ventes[[#This Row],[Produit]],tbl_ProduitsRef[Produit],0)),
   ""
)</f>
        <v/>
      </c>
      <c r="G252" s="7">
        <f>tbl_Ventes[[#This Row],[Qté Vendue]] * IFERROR(_xlfn.XLOOKUP(tbl_Ventes[[#This Row],[Cde_Prdt]], tbl_Produits[Cde_Prdt], tbl_Produits[Prix Menu]), 0)</f>
        <v>0</v>
      </c>
      <c r="H252" s="7">
        <f>IFERROR(_xlfn.XLOOKUP(tbl_Ventes[[#This Row],[Cde_Prdt]], tbl_Produits[Cde_Prdt], tbl_Produits[Coût Moyen Portion]), 0)</f>
        <v>0</v>
      </c>
      <c r="I252" s="7">
        <f>tbl_Ventes[[#This Row],[Qté Vendue]] * tbl_Ventes[[#This Row],[CMP_par_portion]]</f>
        <v>0</v>
      </c>
      <c r="J252" s="7">
        <f>tbl_Ventes[[#This Row],[CA ligne]] - tbl_Ventes[[#This Row],[Coût matière ligne]]</f>
        <v>0</v>
      </c>
      <c r="K252" s="7" t="str">
        <f>IFERROR(INDEX(tbl_ProduitsRef[Famille], MATCH(tbl_Ventes[[#This Row],[Cde_Prdt]], tbl_Produits[Cde_Prdt], 0)), "")</f>
        <v/>
      </c>
    </row>
    <row r="253" spans="1:11" x14ac:dyDescent="0.25">
      <c r="A253" s="5"/>
      <c r="B253" s="63" t="str">
        <f>IFERROR(TEXT(tbl_Ventes[[#This Row],[Date]],"mm-aaaa"),"")</f>
        <v>01-1900</v>
      </c>
      <c r="D253" s="10" t="str">
        <f>IFERROR(
   INDEX(tbl_ProduitsRef[Cde_Prdt],MATCH(tbl_Ventes[[#This Row],[Produit]],tbl_ProduitsRef[Produit],0)),
   ""
)</f>
        <v/>
      </c>
      <c r="E253" s="7">
        <v>0</v>
      </c>
      <c r="F253" s="7" t="str">
        <f>IFERROR(
   INDEX(tbl_ProduitsRef[Prix Menu],MATCH(tbl_Ventes[[#This Row],[Produit]],tbl_ProduitsRef[Produit],0)),
   ""
)</f>
        <v/>
      </c>
      <c r="G253" s="7">
        <f>tbl_Ventes[[#This Row],[Qté Vendue]] * IFERROR(_xlfn.XLOOKUP(tbl_Ventes[[#This Row],[Cde_Prdt]], tbl_Produits[Cde_Prdt], tbl_Produits[Prix Menu]), 0)</f>
        <v>0</v>
      </c>
      <c r="H253" s="7">
        <f>IFERROR(_xlfn.XLOOKUP(tbl_Ventes[[#This Row],[Cde_Prdt]], tbl_Produits[Cde_Prdt], tbl_Produits[Coût Moyen Portion]), 0)</f>
        <v>0</v>
      </c>
      <c r="I253" s="7">
        <f>tbl_Ventes[[#This Row],[Qté Vendue]] * tbl_Ventes[[#This Row],[CMP_par_portion]]</f>
        <v>0</v>
      </c>
      <c r="J253" s="7">
        <f>tbl_Ventes[[#This Row],[CA ligne]] - tbl_Ventes[[#This Row],[Coût matière ligne]]</f>
        <v>0</v>
      </c>
      <c r="K253" s="7" t="str">
        <f>IFERROR(INDEX(tbl_ProduitsRef[Famille], MATCH(tbl_Ventes[[#This Row],[Cde_Prdt]], tbl_Produits[Cde_Prdt], 0)), "")</f>
        <v/>
      </c>
    </row>
    <row r="254" spans="1:11" x14ac:dyDescent="0.25">
      <c r="A254" s="5"/>
      <c r="B254" s="63" t="str">
        <f>IFERROR(TEXT(tbl_Ventes[[#This Row],[Date]],"mm-aaaa"),"")</f>
        <v>01-1900</v>
      </c>
      <c r="D254" s="10" t="str">
        <f>IFERROR(
   INDEX(tbl_ProduitsRef[Cde_Prdt],MATCH(tbl_Ventes[[#This Row],[Produit]],tbl_ProduitsRef[Produit],0)),
   ""
)</f>
        <v/>
      </c>
      <c r="E254" s="7">
        <v>0</v>
      </c>
      <c r="F254" s="7" t="str">
        <f>IFERROR(
   INDEX(tbl_ProduitsRef[Prix Menu],MATCH(tbl_Ventes[[#This Row],[Produit]],tbl_ProduitsRef[Produit],0)),
   ""
)</f>
        <v/>
      </c>
      <c r="G254" s="7">
        <f>tbl_Ventes[[#This Row],[Qté Vendue]] * IFERROR(_xlfn.XLOOKUP(tbl_Ventes[[#This Row],[Cde_Prdt]], tbl_Produits[Cde_Prdt], tbl_Produits[Prix Menu]), 0)</f>
        <v>0</v>
      </c>
      <c r="H254" s="7">
        <f>IFERROR(_xlfn.XLOOKUP(tbl_Ventes[[#This Row],[Cde_Prdt]], tbl_Produits[Cde_Prdt], tbl_Produits[Coût Moyen Portion]), 0)</f>
        <v>0</v>
      </c>
      <c r="I254" s="7">
        <f>tbl_Ventes[[#This Row],[Qté Vendue]] * tbl_Ventes[[#This Row],[CMP_par_portion]]</f>
        <v>0</v>
      </c>
      <c r="J254" s="7">
        <f>tbl_Ventes[[#This Row],[CA ligne]] - tbl_Ventes[[#This Row],[Coût matière ligne]]</f>
        <v>0</v>
      </c>
      <c r="K254" s="7" t="str">
        <f>IFERROR(INDEX(tbl_ProduitsRef[Famille], MATCH(tbl_Ventes[[#This Row],[Cde_Prdt]], tbl_Produits[Cde_Prdt], 0)), "")</f>
        <v/>
      </c>
    </row>
    <row r="255" spans="1:11" x14ac:dyDescent="0.25">
      <c r="A255" s="5"/>
      <c r="B255" s="63" t="str">
        <f>IFERROR(TEXT(tbl_Ventes[[#This Row],[Date]],"mm-aaaa"),"")</f>
        <v>01-1900</v>
      </c>
      <c r="D255" s="10" t="str">
        <f>IFERROR(
   INDEX(tbl_ProduitsRef[Cde_Prdt],MATCH(tbl_Ventes[[#This Row],[Produit]],tbl_ProduitsRef[Produit],0)),
   ""
)</f>
        <v/>
      </c>
      <c r="E255" s="7">
        <v>0</v>
      </c>
      <c r="F255" s="7" t="str">
        <f>IFERROR(
   INDEX(tbl_ProduitsRef[Prix Menu],MATCH(tbl_Ventes[[#This Row],[Produit]],tbl_ProduitsRef[Produit],0)),
   ""
)</f>
        <v/>
      </c>
      <c r="G255" s="7">
        <f>tbl_Ventes[[#This Row],[Qté Vendue]] * IFERROR(_xlfn.XLOOKUP(tbl_Ventes[[#This Row],[Cde_Prdt]], tbl_Produits[Cde_Prdt], tbl_Produits[Prix Menu]), 0)</f>
        <v>0</v>
      </c>
      <c r="H255" s="7">
        <f>IFERROR(_xlfn.XLOOKUP(tbl_Ventes[[#This Row],[Cde_Prdt]], tbl_Produits[Cde_Prdt], tbl_Produits[Coût Moyen Portion]), 0)</f>
        <v>0</v>
      </c>
      <c r="I255" s="7">
        <f>tbl_Ventes[[#This Row],[Qté Vendue]] * tbl_Ventes[[#This Row],[CMP_par_portion]]</f>
        <v>0</v>
      </c>
      <c r="J255" s="7">
        <f>tbl_Ventes[[#This Row],[CA ligne]] - tbl_Ventes[[#This Row],[Coût matière ligne]]</f>
        <v>0</v>
      </c>
      <c r="K255" s="7" t="str">
        <f>IFERROR(INDEX(tbl_ProduitsRef[Famille], MATCH(tbl_Ventes[[#This Row],[Cde_Prdt]], tbl_Produits[Cde_Prdt], 0)), "")</f>
        <v/>
      </c>
    </row>
    <row r="256" spans="1:11" x14ac:dyDescent="0.25">
      <c r="A256" s="5"/>
      <c r="B256" s="63" t="str">
        <f>IFERROR(TEXT(tbl_Ventes[[#This Row],[Date]],"mm-aaaa"),"")</f>
        <v>01-1900</v>
      </c>
      <c r="D256" s="10" t="str">
        <f>IFERROR(
   INDEX(tbl_ProduitsRef[Cde_Prdt],MATCH(tbl_Ventes[[#This Row],[Produit]],tbl_ProduitsRef[Produit],0)),
   ""
)</f>
        <v/>
      </c>
      <c r="E256" s="7">
        <v>0</v>
      </c>
      <c r="F256" s="7" t="str">
        <f>IFERROR(
   INDEX(tbl_ProduitsRef[Prix Menu],MATCH(tbl_Ventes[[#This Row],[Produit]],tbl_ProduitsRef[Produit],0)),
   ""
)</f>
        <v/>
      </c>
      <c r="G256" s="7">
        <f>tbl_Ventes[[#This Row],[Qté Vendue]] * IFERROR(_xlfn.XLOOKUP(tbl_Ventes[[#This Row],[Cde_Prdt]], tbl_Produits[Cde_Prdt], tbl_Produits[Prix Menu]), 0)</f>
        <v>0</v>
      </c>
      <c r="H256" s="7">
        <f>IFERROR(_xlfn.XLOOKUP(tbl_Ventes[[#This Row],[Cde_Prdt]], tbl_Produits[Cde_Prdt], tbl_Produits[Coût Moyen Portion]), 0)</f>
        <v>0</v>
      </c>
      <c r="I256" s="7">
        <f>tbl_Ventes[[#This Row],[Qté Vendue]] * tbl_Ventes[[#This Row],[CMP_par_portion]]</f>
        <v>0</v>
      </c>
      <c r="J256" s="7">
        <f>tbl_Ventes[[#This Row],[CA ligne]] - tbl_Ventes[[#This Row],[Coût matière ligne]]</f>
        <v>0</v>
      </c>
      <c r="K256" s="7" t="str">
        <f>IFERROR(INDEX(tbl_ProduitsRef[Famille], MATCH(tbl_Ventes[[#This Row],[Cde_Prdt]], tbl_Produits[Cde_Prdt], 0)), "")</f>
        <v/>
      </c>
    </row>
    <row r="257" spans="1:11" x14ac:dyDescent="0.25">
      <c r="A257" s="5"/>
      <c r="B257" s="63" t="str">
        <f>IFERROR(TEXT(tbl_Ventes[[#This Row],[Date]],"mm-aaaa"),"")</f>
        <v>01-1900</v>
      </c>
      <c r="D257" s="10" t="str">
        <f>IFERROR(
   INDEX(tbl_ProduitsRef[Cde_Prdt],MATCH(tbl_Ventes[[#This Row],[Produit]],tbl_ProduitsRef[Produit],0)),
   ""
)</f>
        <v/>
      </c>
      <c r="E257" s="7">
        <v>0</v>
      </c>
      <c r="F257" s="7" t="str">
        <f>IFERROR(
   INDEX(tbl_ProduitsRef[Prix Menu],MATCH(tbl_Ventes[[#This Row],[Produit]],tbl_ProduitsRef[Produit],0)),
   ""
)</f>
        <v/>
      </c>
      <c r="G257" s="7">
        <f>tbl_Ventes[[#This Row],[Qté Vendue]] * IFERROR(_xlfn.XLOOKUP(tbl_Ventes[[#This Row],[Cde_Prdt]], tbl_Produits[Cde_Prdt], tbl_Produits[Prix Menu]), 0)</f>
        <v>0</v>
      </c>
      <c r="H257" s="7">
        <f>IFERROR(_xlfn.XLOOKUP(tbl_Ventes[[#This Row],[Cde_Prdt]], tbl_Produits[Cde_Prdt], tbl_Produits[Coût Moyen Portion]), 0)</f>
        <v>0</v>
      </c>
      <c r="I257" s="7">
        <f>tbl_Ventes[[#This Row],[Qté Vendue]] * tbl_Ventes[[#This Row],[CMP_par_portion]]</f>
        <v>0</v>
      </c>
      <c r="J257" s="7">
        <f>tbl_Ventes[[#This Row],[CA ligne]] - tbl_Ventes[[#This Row],[Coût matière ligne]]</f>
        <v>0</v>
      </c>
      <c r="K257" s="7" t="str">
        <f>IFERROR(INDEX(tbl_ProduitsRef[Famille], MATCH(tbl_Ventes[[#This Row],[Cde_Prdt]], tbl_Produits[Cde_Prdt], 0)), "")</f>
        <v/>
      </c>
    </row>
    <row r="258" spans="1:11" x14ac:dyDescent="0.25">
      <c r="A258" s="5"/>
      <c r="B258" s="63" t="str">
        <f>IFERROR(TEXT(tbl_Ventes[[#This Row],[Date]],"mm-aaaa"),"")</f>
        <v>01-1900</v>
      </c>
      <c r="D258" s="10" t="str">
        <f>IFERROR(
   INDEX(tbl_ProduitsRef[Cde_Prdt],MATCH(tbl_Ventes[[#This Row],[Produit]],tbl_ProduitsRef[Produit],0)),
   ""
)</f>
        <v/>
      </c>
      <c r="E258" s="7">
        <v>0</v>
      </c>
      <c r="F258" s="7" t="str">
        <f>IFERROR(
   INDEX(tbl_ProduitsRef[Prix Menu],MATCH(tbl_Ventes[[#This Row],[Produit]],tbl_ProduitsRef[Produit],0)),
   ""
)</f>
        <v/>
      </c>
      <c r="G258" s="7">
        <f>tbl_Ventes[[#This Row],[Qté Vendue]] * IFERROR(_xlfn.XLOOKUP(tbl_Ventes[[#This Row],[Cde_Prdt]], tbl_Produits[Cde_Prdt], tbl_Produits[Prix Menu]), 0)</f>
        <v>0</v>
      </c>
      <c r="H258" s="7">
        <f>IFERROR(_xlfn.XLOOKUP(tbl_Ventes[[#This Row],[Cde_Prdt]], tbl_Produits[Cde_Prdt], tbl_Produits[Coût Moyen Portion]), 0)</f>
        <v>0</v>
      </c>
      <c r="I258" s="7">
        <f>tbl_Ventes[[#This Row],[Qté Vendue]] * tbl_Ventes[[#This Row],[CMP_par_portion]]</f>
        <v>0</v>
      </c>
      <c r="J258" s="7">
        <f>tbl_Ventes[[#This Row],[CA ligne]] - tbl_Ventes[[#This Row],[Coût matière ligne]]</f>
        <v>0</v>
      </c>
      <c r="K258" s="7" t="str">
        <f>IFERROR(INDEX(tbl_ProduitsRef[Famille], MATCH(tbl_Ventes[[#This Row],[Cde_Prdt]], tbl_Produits[Cde_Prdt], 0)), "")</f>
        <v/>
      </c>
    </row>
    <row r="259" spans="1:11" x14ac:dyDescent="0.25">
      <c r="A259" s="5"/>
      <c r="B259" s="63" t="str">
        <f>IFERROR(TEXT(tbl_Ventes[[#This Row],[Date]],"mm-aaaa"),"")</f>
        <v>01-1900</v>
      </c>
      <c r="D259" s="10" t="str">
        <f>IFERROR(
   INDEX(tbl_ProduitsRef[Cde_Prdt],MATCH(tbl_Ventes[[#This Row],[Produit]],tbl_ProduitsRef[Produit],0)),
   ""
)</f>
        <v/>
      </c>
      <c r="E259" s="7">
        <v>0</v>
      </c>
      <c r="F259" s="7" t="str">
        <f>IFERROR(
   INDEX(tbl_ProduitsRef[Prix Menu],MATCH(tbl_Ventes[[#This Row],[Produit]],tbl_ProduitsRef[Produit],0)),
   ""
)</f>
        <v/>
      </c>
      <c r="G259" s="7">
        <f>tbl_Ventes[[#This Row],[Qté Vendue]] * IFERROR(_xlfn.XLOOKUP(tbl_Ventes[[#This Row],[Cde_Prdt]], tbl_Produits[Cde_Prdt], tbl_Produits[Prix Menu]), 0)</f>
        <v>0</v>
      </c>
      <c r="H259" s="7">
        <f>IFERROR(_xlfn.XLOOKUP(tbl_Ventes[[#This Row],[Cde_Prdt]], tbl_Produits[Cde_Prdt], tbl_Produits[Coût Moyen Portion]), 0)</f>
        <v>0</v>
      </c>
      <c r="I259" s="7">
        <f>tbl_Ventes[[#This Row],[Qté Vendue]] * tbl_Ventes[[#This Row],[CMP_par_portion]]</f>
        <v>0</v>
      </c>
      <c r="J259" s="7">
        <f>tbl_Ventes[[#This Row],[CA ligne]] - tbl_Ventes[[#This Row],[Coût matière ligne]]</f>
        <v>0</v>
      </c>
      <c r="K259" s="7" t="str">
        <f>IFERROR(INDEX(tbl_ProduitsRef[Famille], MATCH(tbl_Ventes[[#This Row],[Cde_Prdt]], tbl_Produits[Cde_Prdt], 0)), "")</f>
        <v/>
      </c>
    </row>
    <row r="260" spans="1:11" x14ac:dyDescent="0.25">
      <c r="A260" s="5"/>
      <c r="B260" s="63" t="str">
        <f>IFERROR(TEXT(tbl_Ventes[[#This Row],[Date]],"mm-aaaa"),"")</f>
        <v>01-1900</v>
      </c>
      <c r="D260" s="10" t="str">
        <f>IFERROR(
   INDEX(tbl_ProduitsRef[Cde_Prdt],MATCH(tbl_Ventes[[#This Row],[Produit]],tbl_ProduitsRef[Produit],0)),
   ""
)</f>
        <v/>
      </c>
      <c r="E260" s="7">
        <v>0</v>
      </c>
      <c r="F260" s="7" t="str">
        <f>IFERROR(
   INDEX(tbl_ProduitsRef[Prix Menu],MATCH(tbl_Ventes[[#This Row],[Produit]],tbl_ProduitsRef[Produit],0)),
   ""
)</f>
        <v/>
      </c>
      <c r="G260" s="7">
        <f>tbl_Ventes[[#This Row],[Qté Vendue]] * IFERROR(_xlfn.XLOOKUP(tbl_Ventes[[#This Row],[Cde_Prdt]], tbl_Produits[Cde_Prdt], tbl_Produits[Prix Menu]), 0)</f>
        <v>0</v>
      </c>
      <c r="H260" s="7">
        <f>IFERROR(_xlfn.XLOOKUP(tbl_Ventes[[#This Row],[Cde_Prdt]], tbl_Produits[Cde_Prdt], tbl_Produits[Coût Moyen Portion]), 0)</f>
        <v>0</v>
      </c>
      <c r="I260" s="7">
        <f>tbl_Ventes[[#This Row],[Qté Vendue]] * tbl_Ventes[[#This Row],[CMP_par_portion]]</f>
        <v>0</v>
      </c>
      <c r="J260" s="7">
        <f>tbl_Ventes[[#This Row],[CA ligne]] - tbl_Ventes[[#This Row],[Coût matière ligne]]</f>
        <v>0</v>
      </c>
      <c r="K260" s="7" t="str">
        <f>IFERROR(INDEX(tbl_ProduitsRef[Famille], MATCH(tbl_Ventes[[#This Row],[Cde_Prdt]], tbl_Produits[Cde_Prdt], 0)), "")</f>
        <v/>
      </c>
    </row>
    <row r="261" spans="1:11" x14ac:dyDescent="0.25">
      <c r="A261" s="5"/>
      <c r="B261" s="63" t="str">
        <f>IFERROR(TEXT(tbl_Ventes[[#This Row],[Date]],"mm-aaaa"),"")</f>
        <v>01-1900</v>
      </c>
      <c r="D261" s="10" t="str">
        <f>IFERROR(
   INDEX(tbl_ProduitsRef[Cde_Prdt],MATCH(tbl_Ventes[[#This Row],[Produit]],tbl_ProduitsRef[Produit],0)),
   ""
)</f>
        <v/>
      </c>
      <c r="E261" s="7">
        <v>0</v>
      </c>
      <c r="F261" s="7" t="str">
        <f>IFERROR(
   INDEX(tbl_ProduitsRef[Prix Menu],MATCH(tbl_Ventes[[#This Row],[Produit]],tbl_ProduitsRef[Produit],0)),
   ""
)</f>
        <v/>
      </c>
      <c r="G261" s="7">
        <f>tbl_Ventes[[#This Row],[Qté Vendue]] * IFERROR(_xlfn.XLOOKUP(tbl_Ventes[[#This Row],[Cde_Prdt]], tbl_Produits[Cde_Prdt], tbl_Produits[Prix Menu]), 0)</f>
        <v>0</v>
      </c>
      <c r="H261" s="7">
        <f>IFERROR(_xlfn.XLOOKUP(tbl_Ventes[[#This Row],[Cde_Prdt]], tbl_Produits[Cde_Prdt], tbl_Produits[Coût Moyen Portion]), 0)</f>
        <v>0</v>
      </c>
      <c r="I261" s="7">
        <f>tbl_Ventes[[#This Row],[Qté Vendue]] * tbl_Ventes[[#This Row],[CMP_par_portion]]</f>
        <v>0</v>
      </c>
      <c r="J261" s="7">
        <f>tbl_Ventes[[#This Row],[CA ligne]] - tbl_Ventes[[#This Row],[Coût matière ligne]]</f>
        <v>0</v>
      </c>
      <c r="K261" s="7" t="str">
        <f>IFERROR(INDEX(tbl_ProduitsRef[Famille], MATCH(tbl_Ventes[[#This Row],[Cde_Prdt]], tbl_Produits[Cde_Prdt], 0)), "")</f>
        <v/>
      </c>
    </row>
    <row r="262" spans="1:11" x14ac:dyDescent="0.25">
      <c r="A262" s="5"/>
      <c r="B262" s="63" t="str">
        <f>IFERROR(TEXT(tbl_Ventes[[#This Row],[Date]],"mm-aaaa"),"")</f>
        <v>01-1900</v>
      </c>
      <c r="D262" s="10" t="str">
        <f>IFERROR(
   INDEX(tbl_ProduitsRef[Cde_Prdt],MATCH(tbl_Ventes[[#This Row],[Produit]],tbl_ProduitsRef[Produit],0)),
   ""
)</f>
        <v/>
      </c>
      <c r="E262" s="7">
        <v>0</v>
      </c>
      <c r="F262" s="7" t="str">
        <f>IFERROR(
   INDEX(tbl_ProduitsRef[Prix Menu],MATCH(tbl_Ventes[[#This Row],[Produit]],tbl_ProduitsRef[Produit],0)),
   ""
)</f>
        <v/>
      </c>
      <c r="G262" s="7">
        <f>tbl_Ventes[[#This Row],[Qté Vendue]] * IFERROR(_xlfn.XLOOKUP(tbl_Ventes[[#This Row],[Cde_Prdt]], tbl_Produits[Cde_Prdt], tbl_Produits[Prix Menu]), 0)</f>
        <v>0</v>
      </c>
      <c r="H262" s="7">
        <f>IFERROR(_xlfn.XLOOKUP(tbl_Ventes[[#This Row],[Cde_Prdt]], tbl_Produits[Cde_Prdt], tbl_Produits[Coût Moyen Portion]), 0)</f>
        <v>0</v>
      </c>
      <c r="I262" s="7">
        <f>tbl_Ventes[[#This Row],[Qté Vendue]] * tbl_Ventes[[#This Row],[CMP_par_portion]]</f>
        <v>0</v>
      </c>
      <c r="J262" s="7">
        <f>tbl_Ventes[[#This Row],[CA ligne]] - tbl_Ventes[[#This Row],[Coût matière ligne]]</f>
        <v>0</v>
      </c>
      <c r="K262" s="7" t="str">
        <f>IFERROR(INDEX(tbl_ProduitsRef[Famille], MATCH(tbl_Ventes[[#This Row],[Cde_Prdt]], tbl_Produits[Cde_Prdt], 0)), "")</f>
        <v/>
      </c>
    </row>
    <row r="263" spans="1:11" x14ac:dyDescent="0.25">
      <c r="A263" s="5"/>
      <c r="B263" s="63" t="str">
        <f>IFERROR(TEXT(tbl_Ventes[[#This Row],[Date]],"mm-aaaa"),"")</f>
        <v>01-1900</v>
      </c>
      <c r="D263" s="10" t="str">
        <f>IFERROR(
   INDEX(tbl_ProduitsRef[Cde_Prdt],MATCH(tbl_Ventes[[#This Row],[Produit]],tbl_ProduitsRef[Produit],0)),
   ""
)</f>
        <v/>
      </c>
      <c r="E263" s="7">
        <v>0</v>
      </c>
      <c r="F263" s="7" t="str">
        <f>IFERROR(
   INDEX(tbl_ProduitsRef[Prix Menu],MATCH(tbl_Ventes[[#This Row],[Produit]],tbl_ProduitsRef[Produit],0)),
   ""
)</f>
        <v/>
      </c>
      <c r="G263" s="7">
        <f>tbl_Ventes[[#This Row],[Qté Vendue]] * IFERROR(_xlfn.XLOOKUP(tbl_Ventes[[#This Row],[Cde_Prdt]], tbl_Produits[Cde_Prdt], tbl_Produits[Prix Menu]), 0)</f>
        <v>0</v>
      </c>
      <c r="H263" s="7">
        <f>IFERROR(_xlfn.XLOOKUP(tbl_Ventes[[#This Row],[Cde_Prdt]], tbl_Produits[Cde_Prdt], tbl_Produits[Coût Moyen Portion]), 0)</f>
        <v>0</v>
      </c>
      <c r="I263" s="7">
        <f>tbl_Ventes[[#This Row],[Qté Vendue]] * tbl_Ventes[[#This Row],[CMP_par_portion]]</f>
        <v>0</v>
      </c>
      <c r="J263" s="7">
        <f>tbl_Ventes[[#This Row],[CA ligne]] - tbl_Ventes[[#This Row],[Coût matière ligne]]</f>
        <v>0</v>
      </c>
      <c r="K263" s="7" t="str">
        <f>IFERROR(INDEX(tbl_ProduitsRef[Famille], MATCH(tbl_Ventes[[#This Row],[Cde_Prdt]], tbl_Produits[Cde_Prdt], 0)), "")</f>
        <v/>
      </c>
    </row>
    <row r="264" spans="1:11" x14ac:dyDescent="0.25">
      <c r="A264" s="5"/>
      <c r="B264" s="63" t="str">
        <f>IFERROR(TEXT(tbl_Ventes[[#This Row],[Date]],"mm-aaaa"),"")</f>
        <v>01-1900</v>
      </c>
      <c r="D264" s="10" t="str">
        <f>IFERROR(
   INDEX(tbl_ProduitsRef[Cde_Prdt],MATCH(tbl_Ventes[[#This Row],[Produit]],tbl_ProduitsRef[Produit],0)),
   ""
)</f>
        <v/>
      </c>
      <c r="E264" s="7">
        <v>0</v>
      </c>
      <c r="F264" s="7" t="str">
        <f>IFERROR(
   INDEX(tbl_ProduitsRef[Prix Menu],MATCH(tbl_Ventes[[#This Row],[Produit]],tbl_ProduitsRef[Produit],0)),
   ""
)</f>
        <v/>
      </c>
      <c r="G264" s="7">
        <f>tbl_Ventes[[#This Row],[Qté Vendue]] * IFERROR(_xlfn.XLOOKUP(tbl_Ventes[[#This Row],[Cde_Prdt]], tbl_Produits[Cde_Prdt], tbl_Produits[Prix Menu]), 0)</f>
        <v>0</v>
      </c>
      <c r="H264" s="7">
        <f>IFERROR(_xlfn.XLOOKUP(tbl_Ventes[[#This Row],[Cde_Prdt]], tbl_Produits[Cde_Prdt], tbl_Produits[Coût Moyen Portion]), 0)</f>
        <v>0</v>
      </c>
      <c r="I264" s="7">
        <f>tbl_Ventes[[#This Row],[Qté Vendue]] * tbl_Ventes[[#This Row],[CMP_par_portion]]</f>
        <v>0</v>
      </c>
      <c r="J264" s="7">
        <f>tbl_Ventes[[#This Row],[CA ligne]] - tbl_Ventes[[#This Row],[Coût matière ligne]]</f>
        <v>0</v>
      </c>
      <c r="K264" s="7" t="str">
        <f>IFERROR(INDEX(tbl_ProduitsRef[Famille], MATCH(tbl_Ventes[[#This Row],[Cde_Prdt]], tbl_Produits[Cde_Prdt], 0)), "")</f>
        <v/>
      </c>
    </row>
    <row r="265" spans="1:11" x14ac:dyDescent="0.25">
      <c r="A265" s="5"/>
      <c r="B265" s="63" t="str">
        <f>IFERROR(TEXT(tbl_Ventes[[#This Row],[Date]],"mm-aaaa"),"")</f>
        <v>01-1900</v>
      </c>
      <c r="D265" s="10" t="str">
        <f>IFERROR(
   INDEX(tbl_ProduitsRef[Cde_Prdt],MATCH(tbl_Ventes[[#This Row],[Produit]],tbl_ProduitsRef[Produit],0)),
   ""
)</f>
        <v/>
      </c>
      <c r="E265" s="7">
        <v>0</v>
      </c>
      <c r="F265" s="7" t="str">
        <f>IFERROR(
   INDEX(tbl_ProduitsRef[Prix Menu],MATCH(tbl_Ventes[[#This Row],[Produit]],tbl_ProduitsRef[Produit],0)),
   ""
)</f>
        <v/>
      </c>
      <c r="G265" s="7">
        <f>tbl_Ventes[[#This Row],[Qté Vendue]] * IFERROR(_xlfn.XLOOKUP(tbl_Ventes[[#This Row],[Cde_Prdt]], tbl_Produits[Cde_Prdt], tbl_Produits[Prix Menu]), 0)</f>
        <v>0</v>
      </c>
      <c r="H265" s="7">
        <f>IFERROR(_xlfn.XLOOKUP(tbl_Ventes[[#This Row],[Cde_Prdt]], tbl_Produits[Cde_Prdt], tbl_Produits[Coût Moyen Portion]), 0)</f>
        <v>0</v>
      </c>
      <c r="I265" s="7">
        <f>tbl_Ventes[[#This Row],[Qté Vendue]] * tbl_Ventes[[#This Row],[CMP_par_portion]]</f>
        <v>0</v>
      </c>
      <c r="J265" s="7">
        <f>tbl_Ventes[[#This Row],[CA ligne]] - tbl_Ventes[[#This Row],[Coût matière ligne]]</f>
        <v>0</v>
      </c>
      <c r="K265" s="7" t="str">
        <f>IFERROR(INDEX(tbl_ProduitsRef[Famille], MATCH(tbl_Ventes[[#This Row],[Cde_Prdt]], tbl_Produits[Cde_Prdt], 0)), "")</f>
        <v/>
      </c>
    </row>
    <row r="266" spans="1:11" x14ac:dyDescent="0.25">
      <c r="A266" s="5"/>
      <c r="B266" s="63" t="str">
        <f>IFERROR(TEXT(tbl_Ventes[[#This Row],[Date]],"mm-aaaa"),"")</f>
        <v>01-1900</v>
      </c>
      <c r="D266" s="10" t="str">
        <f>IFERROR(
   INDEX(tbl_ProduitsRef[Cde_Prdt],MATCH(tbl_Ventes[[#This Row],[Produit]],tbl_ProduitsRef[Produit],0)),
   ""
)</f>
        <v/>
      </c>
      <c r="E266" s="7">
        <v>0</v>
      </c>
      <c r="F266" s="7" t="str">
        <f>IFERROR(
   INDEX(tbl_ProduitsRef[Prix Menu],MATCH(tbl_Ventes[[#This Row],[Produit]],tbl_ProduitsRef[Produit],0)),
   ""
)</f>
        <v/>
      </c>
      <c r="G266" s="7">
        <f>tbl_Ventes[[#This Row],[Qté Vendue]] * IFERROR(_xlfn.XLOOKUP(tbl_Ventes[[#This Row],[Cde_Prdt]], tbl_Produits[Cde_Prdt], tbl_Produits[Prix Menu]), 0)</f>
        <v>0</v>
      </c>
      <c r="H266" s="7">
        <f>IFERROR(_xlfn.XLOOKUP(tbl_Ventes[[#This Row],[Cde_Prdt]], tbl_Produits[Cde_Prdt], tbl_Produits[Coût Moyen Portion]), 0)</f>
        <v>0</v>
      </c>
      <c r="I266" s="7">
        <f>tbl_Ventes[[#This Row],[Qté Vendue]] * tbl_Ventes[[#This Row],[CMP_par_portion]]</f>
        <v>0</v>
      </c>
      <c r="J266" s="7">
        <f>tbl_Ventes[[#This Row],[CA ligne]] - tbl_Ventes[[#This Row],[Coût matière ligne]]</f>
        <v>0</v>
      </c>
      <c r="K266" s="7" t="str">
        <f>IFERROR(INDEX(tbl_ProduitsRef[Famille], MATCH(tbl_Ventes[[#This Row],[Cde_Prdt]], tbl_Produits[Cde_Prdt], 0)), "")</f>
        <v/>
      </c>
    </row>
    <row r="267" spans="1:11" x14ac:dyDescent="0.25">
      <c r="A267" s="5"/>
      <c r="B267" s="63" t="str">
        <f>IFERROR(TEXT(tbl_Ventes[[#This Row],[Date]],"mm-aaaa"),"")</f>
        <v>01-1900</v>
      </c>
      <c r="D267" s="10" t="str">
        <f>IFERROR(
   INDEX(tbl_ProduitsRef[Cde_Prdt],MATCH(tbl_Ventes[[#This Row],[Produit]],tbl_ProduitsRef[Produit],0)),
   ""
)</f>
        <v/>
      </c>
      <c r="E267" s="7">
        <v>0</v>
      </c>
      <c r="F267" s="7" t="str">
        <f>IFERROR(
   INDEX(tbl_ProduitsRef[Prix Menu],MATCH(tbl_Ventes[[#This Row],[Produit]],tbl_ProduitsRef[Produit],0)),
   ""
)</f>
        <v/>
      </c>
      <c r="G267" s="7">
        <f>tbl_Ventes[[#This Row],[Qté Vendue]] * IFERROR(_xlfn.XLOOKUP(tbl_Ventes[[#This Row],[Cde_Prdt]], tbl_Produits[Cde_Prdt], tbl_Produits[Prix Menu]), 0)</f>
        <v>0</v>
      </c>
      <c r="H267" s="7">
        <f>IFERROR(_xlfn.XLOOKUP(tbl_Ventes[[#This Row],[Cde_Prdt]], tbl_Produits[Cde_Prdt], tbl_Produits[Coût Moyen Portion]), 0)</f>
        <v>0</v>
      </c>
      <c r="I267" s="7">
        <f>tbl_Ventes[[#This Row],[Qté Vendue]] * tbl_Ventes[[#This Row],[CMP_par_portion]]</f>
        <v>0</v>
      </c>
      <c r="J267" s="7">
        <f>tbl_Ventes[[#This Row],[CA ligne]] - tbl_Ventes[[#This Row],[Coût matière ligne]]</f>
        <v>0</v>
      </c>
      <c r="K267" s="7" t="str">
        <f>IFERROR(INDEX(tbl_ProduitsRef[Famille], MATCH(tbl_Ventes[[#This Row],[Cde_Prdt]], tbl_Produits[Cde_Prdt], 0)), "")</f>
        <v/>
      </c>
    </row>
    <row r="268" spans="1:11" x14ac:dyDescent="0.25">
      <c r="A268" s="5"/>
      <c r="B268" s="63" t="str">
        <f>IFERROR(TEXT(tbl_Ventes[[#This Row],[Date]],"mm-aaaa"),"")</f>
        <v>01-1900</v>
      </c>
      <c r="D268" s="10" t="str">
        <f>IFERROR(
   INDEX(tbl_ProduitsRef[Cde_Prdt],MATCH(tbl_Ventes[[#This Row],[Produit]],tbl_ProduitsRef[Produit],0)),
   ""
)</f>
        <v/>
      </c>
      <c r="E268" s="7">
        <v>0</v>
      </c>
      <c r="F268" s="7" t="str">
        <f>IFERROR(
   INDEX(tbl_ProduitsRef[Prix Menu],MATCH(tbl_Ventes[[#This Row],[Produit]],tbl_ProduitsRef[Produit],0)),
   ""
)</f>
        <v/>
      </c>
      <c r="G268" s="7">
        <f>tbl_Ventes[[#This Row],[Qté Vendue]] * IFERROR(_xlfn.XLOOKUP(tbl_Ventes[[#This Row],[Cde_Prdt]], tbl_Produits[Cde_Prdt], tbl_Produits[Prix Menu]), 0)</f>
        <v>0</v>
      </c>
      <c r="H268" s="7">
        <f>IFERROR(_xlfn.XLOOKUP(tbl_Ventes[[#This Row],[Cde_Prdt]], tbl_Produits[Cde_Prdt], tbl_Produits[Coût Moyen Portion]), 0)</f>
        <v>0</v>
      </c>
      <c r="I268" s="7">
        <f>tbl_Ventes[[#This Row],[Qté Vendue]] * tbl_Ventes[[#This Row],[CMP_par_portion]]</f>
        <v>0</v>
      </c>
      <c r="J268" s="7">
        <f>tbl_Ventes[[#This Row],[CA ligne]] - tbl_Ventes[[#This Row],[Coût matière ligne]]</f>
        <v>0</v>
      </c>
      <c r="K268" s="7" t="str">
        <f>IFERROR(INDEX(tbl_ProduitsRef[Famille], MATCH(tbl_Ventes[[#This Row],[Cde_Prdt]], tbl_Produits[Cde_Prdt], 0)), "")</f>
        <v/>
      </c>
    </row>
    <row r="269" spans="1:11" x14ac:dyDescent="0.25">
      <c r="A269" s="5"/>
      <c r="B269" s="63" t="str">
        <f>IFERROR(TEXT(tbl_Ventes[[#This Row],[Date]],"mm-aaaa"),"")</f>
        <v>01-1900</v>
      </c>
      <c r="D269" s="10" t="str">
        <f>IFERROR(
   INDEX(tbl_ProduitsRef[Cde_Prdt],MATCH(tbl_Ventes[[#This Row],[Produit]],tbl_ProduitsRef[Produit],0)),
   ""
)</f>
        <v/>
      </c>
      <c r="E269" s="7">
        <v>0</v>
      </c>
      <c r="F269" s="7" t="str">
        <f>IFERROR(
   INDEX(tbl_ProduitsRef[Prix Menu],MATCH(tbl_Ventes[[#This Row],[Produit]],tbl_ProduitsRef[Produit],0)),
   ""
)</f>
        <v/>
      </c>
      <c r="G269" s="7">
        <f>tbl_Ventes[[#This Row],[Qté Vendue]] * IFERROR(_xlfn.XLOOKUP(tbl_Ventes[[#This Row],[Cde_Prdt]], tbl_Produits[Cde_Prdt], tbl_Produits[Prix Menu]), 0)</f>
        <v>0</v>
      </c>
      <c r="H269" s="7">
        <f>IFERROR(_xlfn.XLOOKUP(tbl_Ventes[[#This Row],[Cde_Prdt]], tbl_Produits[Cde_Prdt], tbl_Produits[Coût Moyen Portion]), 0)</f>
        <v>0</v>
      </c>
      <c r="I269" s="7">
        <f>tbl_Ventes[[#This Row],[Qté Vendue]] * tbl_Ventes[[#This Row],[CMP_par_portion]]</f>
        <v>0</v>
      </c>
      <c r="J269" s="7">
        <f>tbl_Ventes[[#This Row],[CA ligne]] - tbl_Ventes[[#This Row],[Coût matière ligne]]</f>
        <v>0</v>
      </c>
      <c r="K269" s="7" t="str">
        <f>IFERROR(INDEX(tbl_ProduitsRef[Famille], MATCH(tbl_Ventes[[#This Row],[Cde_Prdt]], tbl_Produits[Cde_Prdt], 0)), "")</f>
        <v/>
      </c>
    </row>
    <row r="270" spans="1:11" x14ac:dyDescent="0.25">
      <c r="A270" s="5"/>
      <c r="B270" s="63" t="str">
        <f>IFERROR(TEXT(tbl_Ventes[[#This Row],[Date]],"mm-aaaa"),"")</f>
        <v>01-1900</v>
      </c>
      <c r="D270" s="10" t="str">
        <f>IFERROR(
   INDEX(tbl_ProduitsRef[Cde_Prdt],MATCH(tbl_Ventes[[#This Row],[Produit]],tbl_ProduitsRef[Produit],0)),
   ""
)</f>
        <v/>
      </c>
      <c r="E270" s="7">
        <v>0</v>
      </c>
      <c r="F270" s="7" t="str">
        <f>IFERROR(
   INDEX(tbl_ProduitsRef[Prix Menu],MATCH(tbl_Ventes[[#This Row],[Produit]],tbl_ProduitsRef[Produit],0)),
   ""
)</f>
        <v/>
      </c>
      <c r="G270" s="7">
        <f>tbl_Ventes[[#This Row],[Qté Vendue]] * IFERROR(_xlfn.XLOOKUP(tbl_Ventes[[#This Row],[Cde_Prdt]], tbl_Produits[Cde_Prdt], tbl_Produits[Prix Menu]), 0)</f>
        <v>0</v>
      </c>
      <c r="H270" s="7">
        <f>IFERROR(_xlfn.XLOOKUP(tbl_Ventes[[#This Row],[Cde_Prdt]], tbl_Produits[Cde_Prdt], tbl_Produits[Coût Moyen Portion]), 0)</f>
        <v>0</v>
      </c>
      <c r="I270" s="7">
        <f>tbl_Ventes[[#This Row],[Qté Vendue]] * tbl_Ventes[[#This Row],[CMP_par_portion]]</f>
        <v>0</v>
      </c>
      <c r="J270" s="7">
        <f>tbl_Ventes[[#This Row],[CA ligne]] - tbl_Ventes[[#This Row],[Coût matière ligne]]</f>
        <v>0</v>
      </c>
      <c r="K270" s="7" t="str">
        <f>IFERROR(INDEX(tbl_ProduitsRef[Famille], MATCH(tbl_Ventes[[#This Row],[Cde_Prdt]], tbl_Produits[Cde_Prdt], 0)), "")</f>
        <v/>
      </c>
    </row>
    <row r="271" spans="1:11" x14ac:dyDescent="0.25">
      <c r="A271" s="5"/>
      <c r="B271" s="63" t="str">
        <f>IFERROR(TEXT(tbl_Ventes[[#This Row],[Date]],"mm-aaaa"),"")</f>
        <v>01-1900</v>
      </c>
      <c r="D271" s="10" t="str">
        <f>IFERROR(
   INDEX(tbl_ProduitsRef[Cde_Prdt],MATCH(tbl_Ventes[[#This Row],[Produit]],tbl_ProduitsRef[Produit],0)),
   ""
)</f>
        <v/>
      </c>
      <c r="E271" s="7">
        <v>0</v>
      </c>
      <c r="F271" s="7" t="str">
        <f>IFERROR(
   INDEX(tbl_ProduitsRef[Prix Menu],MATCH(tbl_Ventes[[#This Row],[Produit]],tbl_ProduitsRef[Produit],0)),
   ""
)</f>
        <v/>
      </c>
      <c r="G271" s="7">
        <f>tbl_Ventes[[#This Row],[Qté Vendue]] * IFERROR(_xlfn.XLOOKUP(tbl_Ventes[[#This Row],[Cde_Prdt]], tbl_Produits[Cde_Prdt], tbl_Produits[Prix Menu]), 0)</f>
        <v>0</v>
      </c>
      <c r="H271" s="7">
        <f>IFERROR(_xlfn.XLOOKUP(tbl_Ventes[[#This Row],[Cde_Prdt]], tbl_Produits[Cde_Prdt], tbl_Produits[Coût Moyen Portion]), 0)</f>
        <v>0</v>
      </c>
      <c r="I271" s="7">
        <f>tbl_Ventes[[#This Row],[Qté Vendue]] * tbl_Ventes[[#This Row],[CMP_par_portion]]</f>
        <v>0</v>
      </c>
      <c r="J271" s="7">
        <f>tbl_Ventes[[#This Row],[CA ligne]] - tbl_Ventes[[#This Row],[Coût matière ligne]]</f>
        <v>0</v>
      </c>
      <c r="K271" s="7" t="str">
        <f>IFERROR(INDEX(tbl_ProduitsRef[Famille], MATCH(tbl_Ventes[[#This Row],[Cde_Prdt]], tbl_Produits[Cde_Prdt], 0)), "")</f>
        <v/>
      </c>
    </row>
    <row r="272" spans="1:11" x14ac:dyDescent="0.25">
      <c r="A272" s="5"/>
      <c r="B272" s="63" t="str">
        <f>IFERROR(TEXT(tbl_Ventes[[#This Row],[Date]],"mm-aaaa"),"")</f>
        <v>01-1900</v>
      </c>
      <c r="D272" s="10" t="str">
        <f>IFERROR(
   INDEX(tbl_ProduitsRef[Cde_Prdt],MATCH(tbl_Ventes[[#This Row],[Produit]],tbl_ProduitsRef[Produit],0)),
   ""
)</f>
        <v/>
      </c>
      <c r="E272" s="7">
        <v>0</v>
      </c>
      <c r="F272" s="7" t="str">
        <f>IFERROR(
   INDEX(tbl_ProduitsRef[Prix Menu],MATCH(tbl_Ventes[[#This Row],[Produit]],tbl_ProduitsRef[Produit],0)),
   ""
)</f>
        <v/>
      </c>
      <c r="G272" s="7">
        <f>tbl_Ventes[[#This Row],[Qté Vendue]] * IFERROR(_xlfn.XLOOKUP(tbl_Ventes[[#This Row],[Cde_Prdt]], tbl_Produits[Cde_Prdt], tbl_Produits[Prix Menu]), 0)</f>
        <v>0</v>
      </c>
      <c r="H272" s="7">
        <f>IFERROR(_xlfn.XLOOKUP(tbl_Ventes[[#This Row],[Cde_Prdt]], tbl_Produits[Cde_Prdt], tbl_Produits[Coût Moyen Portion]), 0)</f>
        <v>0</v>
      </c>
      <c r="I272" s="7">
        <f>tbl_Ventes[[#This Row],[Qté Vendue]] * tbl_Ventes[[#This Row],[CMP_par_portion]]</f>
        <v>0</v>
      </c>
      <c r="J272" s="7">
        <f>tbl_Ventes[[#This Row],[CA ligne]] - tbl_Ventes[[#This Row],[Coût matière ligne]]</f>
        <v>0</v>
      </c>
      <c r="K272" s="7" t="str">
        <f>IFERROR(INDEX(tbl_ProduitsRef[Famille], MATCH(tbl_Ventes[[#This Row],[Cde_Prdt]], tbl_Produits[Cde_Prdt], 0)), "")</f>
        <v/>
      </c>
    </row>
    <row r="273" spans="1:11" x14ac:dyDescent="0.25">
      <c r="A273" s="5"/>
      <c r="B273" s="63" t="str">
        <f>IFERROR(TEXT(tbl_Ventes[[#This Row],[Date]],"mm-aaaa"),"")</f>
        <v>01-1900</v>
      </c>
      <c r="D273" s="10" t="str">
        <f>IFERROR(
   INDEX(tbl_ProduitsRef[Cde_Prdt],MATCH(tbl_Ventes[[#This Row],[Produit]],tbl_ProduitsRef[Produit],0)),
   ""
)</f>
        <v/>
      </c>
      <c r="E273" s="7">
        <v>0</v>
      </c>
      <c r="F273" s="7" t="str">
        <f>IFERROR(
   INDEX(tbl_ProduitsRef[Prix Menu],MATCH(tbl_Ventes[[#This Row],[Produit]],tbl_ProduitsRef[Produit],0)),
   ""
)</f>
        <v/>
      </c>
      <c r="G273" s="7">
        <f>tbl_Ventes[[#This Row],[Qté Vendue]] * IFERROR(_xlfn.XLOOKUP(tbl_Ventes[[#This Row],[Cde_Prdt]], tbl_Produits[Cde_Prdt], tbl_Produits[Prix Menu]), 0)</f>
        <v>0</v>
      </c>
      <c r="H273" s="7">
        <f>IFERROR(_xlfn.XLOOKUP(tbl_Ventes[[#This Row],[Cde_Prdt]], tbl_Produits[Cde_Prdt], tbl_Produits[Coût Moyen Portion]), 0)</f>
        <v>0</v>
      </c>
      <c r="I273" s="7">
        <f>tbl_Ventes[[#This Row],[Qté Vendue]] * tbl_Ventes[[#This Row],[CMP_par_portion]]</f>
        <v>0</v>
      </c>
      <c r="J273" s="7">
        <f>tbl_Ventes[[#This Row],[CA ligne]] - tbl_Ventes[[#This Row],[Coût matière ligne]]</f>
        <v>0</v>
      </c>
      <c r="K273" s="7" t="str">
        <f>IFERROR(INDEX(tbl_ProduitsRef[Famille], MATCH(tbl_Ventes[[#This Row],[Cde_Prdt]], tbl_Produits[Cde_Prdt], 0)), "")</f>
        <v/>
      </c>
    </row>
    <row r="274" spans="1:11" x14ac:dyDescent="0.25">
      <c r="A274" s="5"/>
      <c r="B274" s="63" t="str">
        <f>IFERROR(TEXT(tbl_Ventes[[#This Row],[Date]],"mm-aaaa"),"")</f>
        <v>01-1900</v>
      </c>
      <c r="D274" s="10" t="str">
        <f>IFERROR(
   INDEX(tbl_ProduitsRef[Cde_Prdt],MATCH(tbl_Ventes[[#This Row],[Produit]],tbl_ProduitsRef[Produit],0)),
   ""
)</f>
        <v/>
      </c>
      <c r="E274" s="7">
        <v>0</v>
      </c>
      <c r="F274" s="7" t="str">
        <f>IFERROR(
   INDEX(tbl_ProduitsRef[Prix Menu],MATCH(tbl_Ventes[[#This Row],[Produit]],tbl_ProduitsRef[Produit],0)),
   ""
)</f>
        <v/>
      </c>
      <c r="G274" s="7">
        <f>tbl_Ventes[[#This Row],[Qté Vendue]] * IFERROR(_xlfn.XLOOKUP(tbl_Ventes[[#This Row],[Cde_Prdt]], tbl_Produits[Cde_Prdt], tbl_Produits[Prix Menu]), 0)</f>
        <v>0</v>
      </c>
      <c r="H274" s="7">
        <f>IFERROR(_xlfn.XLOOKUP(tbl_Ventes[[#This Row],[Cde_Prdt]], tbl_Produits[Cde_Prdt], tbl_Produits[Coût Moyen Portion]), 0)</f>
        <v>0</v>
      </c>
      <c r="I274" s="7">
        <f>tbl_Ventes[[#This Row],[Qté Vendue]] * tbl_Ventes[[#This Row],[CMP_par_portion]]</f>
        <v>0</v>
      </c>
      <c r="J274" s="7">
        <f>tbl_Ventes[[#This Row],[CA ligne]] - tbl_Ventes[[#This Row],[Coût matière ligne]]</f>
        <v>0</v>
      </c>
      <c r="K274" s="7" t="str">
        <f>IFERROR(INDEX(tbl_ProduitsRef[Famille], MATCH(tbl_Ventes[[#This Row],[Cde_Prdt]], tbl_Produits[Cde_Prdt], 0)), "")</f>
        <v/>
      </c>
    </row>
    <row r="275" spans="1:11" x14ac:dyDescent="0.25">
      <c r="A275" s="5"/>
      <c r="B275" s="63" t="str">
        <f>IFERROR(TEXT(tbl_Ventes[[#This Row],[Date]],"mm-aaaa"),"")</f>
        <v>01-1900</v>
      </c>
      <c r="D275" s="10" t="str">
        <f>IFERROR(
   INDEX(tbl_ProduitsRef[Cde_Prdt],MATCH(tbl_Ventes[[#This Row],[Produit]],tbl_ProduitsRef[Produit],0)),
   ""
)</f>
        <v/>
      </c>
      <c r="E275" s="7">
        <v>0</v>
      </c>
      <c r="F275" s="7" t="str">
        <f>IFERROR(
   INDEX(tbl_ProduitsRef[Prix Menu],MATCH(tbl_Ventes[[#This Row],[Produit]],tbl_ProduitsRef[Produit],0)),
   ""
)</f>
        <v/>
      </c>
      <c r="G275" s="7">
        <f>tbl_Ventes[[#This Row],[Qté Vendue]] * IFERROR(_xlfn.XLOOKUP(tbl_Ventes[[#This Row],[Cde_Prdt]], tbl_Produits[Cde_Prdt], tbl_Produits[Prix Menu]), 0)</f>
        <v>0</v>
      </c>
      <c r="H275" s="7">
        <f>IFERROR(_xlfn.XLOOKUP(tbl_Ventes[[#This Row],[Cde_Prdt]], tbl_Produits[Cde_Prdt], tbl_Produits[Coût Moyen Portion]), 0)</f>
        <v>0</v>
      </c>
      <c r="I275" s="7">
        <f>tbl_Ventes[[#This Row],[Qté Vendue]] * tbl_Ventes[[#This Row],[CMP_par_portion]]</f>
        <v>0</v>
      </c>
      <c r="J275" s="7">
        <f>tbl_Ventes[[#This Row],[CA ligne]] - tbl_Ventes[[#This Row],[Coût matière ligne]]</f>
        <v>0</v>
      </c>
      <c r="K275" s="7" t="str">
        <f>IFERROR(INDEX(tbl_ProduitsRef[Famille], MATCH(tbl_Ventes[[#This Row],[Cde_Prdt]], tbl_Produits[Cde_Prdt], 0)), "")</f>
        <v/>
      </c>
    </row>
    <row r="276" spans="1:11" x14ac:dyDescent="0.25">
      <c r="A276" s="5"/>
      <c r="B276" s="63" t="str">
        <f>IFERROR(TEXT(tbl_Ventes[[#This Row],[Date]],"mm-aaaa"),"")</f>
        <v>01-1900</v>
      </c>
      <c r="D276" s="10" t="str">
        <f>IFERROR(
   INDEX(tbl_ProduitsRef[Cde_Prdt],MATCH(tbl_Ventes[[#This Row],[Produit]],tbl_ProduitsRef[Produit],0)),
   ""
)</f>
        <v/>
      </c>
      <c r="E276" s="7">
        <v>0</v>
      </c>
      <c r="F276" s="7" t="str">
        <f>IFERROR(
   INDEX(tbl_ProduitsRef[Prix Menu],MATCH(tbl_Ventes[[#This Row],[Produit]],tbl_ProduitsRef[Produit],0)),
   ""
)</f>
        <v/>
      </c>
      <c r="G276" s="7">
        <f>tbl_Ventes[[#This Row],[Qté Vendue]] * IFERROR(_xlfn.XLOOKUP(tbl_Ventes[[#This Row],[Cde_Prdt]], tbl_Produits[Cde_Prdt], tbl_Produits[Prix Menu]), 0)</f>
        <v>0</v>
      </c>
      <c r="H276" s="7">
        <f>IFERROR(_xlfn.XLOOKUP(tbl_Ventes[[#This Row],[Cde_Prdt]], tbl_Produits[Cde_Prdt], tbl_Produits[Coût Moyen Portion]), 0)</f>
        <v>0</v>
      </c>
      <c r="I276" s="7">
        <f>tbl_Ventes[[#This Row],[Qté Vendue]] * tbl_Ventes[[#This Row],[CMP_par_portion]]</f>
        <v>0</v>
      </c>
      <c r="J276" s="7">
        <f>tbl_Ventes[[#This Row],[CA ligne]] - tbl_Ventes[[#This Row],[Coût matière ligne]]</f>
        <v>0</v>
      </c>
      <c r="K276" s="7" t="str">
        <f>IFERROR(INDEX(tbl_ProduitsRef[Famille], MATCH(tbl_Ventes[[#This Row],[Cde_Prdt]], tbl_Produits[Cde_Prdt], 0)), "")</f>
        <v/>
      </c>
    </row>
    <row r="277" spans="1:11" x14ac:dyDescent="0.25">
      <c r="A277" s="5"/>
      <c r="B277" s="63" t="str">
        <f>IFERROR(TEXT(tbl_Ventes[[#This Row],[Date]],"mm-aaaa"),"")</f>
        <v>01-1900</v>
      </c>
      <c r="D277" s="10" t="str">
        <f>IFERROR(
   INDEX(tbl_ProduitsRef[Cde_Prdt],MATCH(tbl_Ventes[[#This Row],[Produit]],tbl_ProduitsRef[Produit],0)),
   ""
)</f>
        <v/>
      </c>
      <c r="E277" s="7">
        <v>0</v>
      </c>
      <c r="F277" s="7" t="str">
        <f>IFERROR(
   INDEX(tbl_ProduitsRef[Prix Menu],MATCH(tbl_Ventes[[#This Row],[Produit]],tbl_ProduitsRef[Produit],0)),
   ""
)</f>
        <v/>
      </c>
      <c r="G277" s="7">
        <f>tbl_Ventes[[#This Row],[Qté Vendue]] * IFERROR(_xlfn.XLOOKUP(tbl_Ventes[[#This Row],[Cde_Prdt]], tbl_Produits[Cde_Prdt], tbl_Produits[Prix Menu]), 0)</f>
        <v>0</v>
      </c>
      <c r="H277" s="7">
        <f>IFERROR(_xlfn.XLOOKUP(tbl_Ventes[[#This Row],[Cde_Prdt]], tbl_Produits[Cde_Prdt], tbl_Produits[Coût Moyen Portion]), 0)</f>
        <v>0</v>
      </c>
      <c r="I277" s="7">
        <f>tbl_Ventes[[#This Row],[Qté Vendue]] * tbl_Ventes[[#This Row],[CMP_par_portion]]</f>
        <v>0</v>
      </c>
      <c r="J277" s="7">
        <f>tbl_Ventes[[#This Row],[CA ligne]] - tbl_Ventes[[#This Row],[Coût matière ligne]]</f>
        <v>0</v>
      </c>
      <c r="K277" s="7" t="str">
        <f>IFERROR(INDEX(tbl_ProduitsRef[Famille], MATCH(tbl_Ventes[[#This Row],[Cde_Prdt]], tbl_Produits[Cde_Prdt], 0)), "")</f>
        <v/>
      </c>
    </row>
    <row r="278" spans="1:11" x14ac:dyDescent="0.25">
      <c r="A278" s="5"/>
      <c r="B278" s="63" t="str">
        <f>IFERROR(TEXT(tbl_Ventes[[#This Row],[Date]],"mm-aaaa"),"")</f>
        <v>01-1900</v>
      </c>
      <c r="D278" s="10" t="str">
        <f>IFERROR(
   INDEX(tbl_ProduitsRef[Cde_Prdt],MATCH(tbl_Ventes[[#This Row],[Produit]],tbl_ProduitsRef[Produit],0)),
   ""
)</f>
        <v/>
      </c>
      <c r="E278" s="7">
        <v>0</v>
      </c>
      <c r="F278" s="7" t="str">
        <f>IFERROR(
   INDEX(tbl_ProduitsRef[Prix Menu],MATCH(tbl_Ventes[[#This Row],[Produit]],tbl_ProduitsRef[Produit],0)),
   ""
)</f>
        <v/>
      </c>
      <c r="G278" s="7">
        <f>tbl_Ventes[[#This Row],[Qté Vendue]] * IFERROR(_xlfn.XLOOKUP(tbl_Ventes[[#This Row],[Cde_Prdt]], tbl_Produits[Cde_Prdt], tbl_Produits[Prix Menu]), 0)</f>
        <v>0</v>
      </c>
      <c r="H278" s="7">
        <f>IFERROR(_xlfn.XLOOKUP(tbl_Ventes[[#This Row],[Cde_Prdt]], tbl_Produits[Cde_Prdt], tbl_Produits[Coût Moyen Portion]), 0)</f>
        <v>0</v>
      </c>
      <c r="I278" s="7">
        <f>tbl_Ventes[[#This Row],[Qté Vendue]] * tbl_Ventes[[#This Row],[CMP_par_portion]]</f>
        <v>0</v>
      </c>
      <c r="J278" s="7">
        <f>tbl_Ventes[[#This Row],[CA ligne]] - tbl_Ventes[[#This Row],[Coût matière ligne]]</f>
        <v>0</v>
      </c>
      <c r="K278" s="7" t="str">
        <f>IFERROR(INDEX(tbl_ProduitsRef[Famille], MATCH(tbl_Ventes[[#This Row],[Cde_Prdt]], tbl_Produits[Cde_Prdt], 0)), "")</f>
        <v/>
      </c>
    </row>
    <row r="279" spans="1:11" x14ac:dyDescent="0.25">
      <c r="A279" s="5"/>
      <c r="B279" s="63" t="str">
        <f>IFERROR(TEXT(tbl_Ventes[[#This Row],[Date]],"mm-aaaa"),"")</f>
        <v>01-1900</v>
      </c>
      <c r="D279" s="10" t="str">
        <f>IFERROR(
   INDEX(tbl_ProduitsRef[Cde_Prdt],MATCH(tbl_Ventes[[#This Row],[Produit]],tbl_ProduitsRef[Produit],0)),
   ""
)</f>
        <v/>
      </c>
      <c r="E279" s="7">
        <v>0</v>
      </c>
      <c r="F279" s="7" t="str">
        <f>IFERROR(
   INDEX(tbl_ProduitsRef[Prix Menu],MATCH(tbl_Ventes[[#This Row],[Produit]],tbl_ProduitsRef[Produit],0)),
   ""
)</f>
        <v/>
      </c>
      <c r="G279" s="7">
        <f>tbl_Ventes[[#This Row],[Qté Vendue]] * IFERROR(_xlfn.XLOOKUP(tbl_Ventes[[#This Row],[Cde_Prdt]], tbl_Produits[Cde_Prdt], tbl_Produits[Prix Menu]), 0)</f>
        <v>0</v>
      </c>
      <c r="H279" s="7">
        <f>IFERROR(_xlfn.XLOOKUP(tbl_Ventes[[#This Row],[Cde_Prdt]], tbl_Produits[Cde_Prdt], tbl_Produits[Coût Moyen Portion]), 0)</f>
        <v>0</v>
      </c>
      <c r="I279" s="7">
        <f>tbl_Ventes[[#This Row],[Qté Vendue]] * tbl_Ventes[[#This Row],[CMP_par_portion]]</f>
        <v>0</v>
      </c>
      <c r="J279" s="7">
        <f>tbl_Ventes[[#This Row],[CA ligne]] - tbl_Ventes[[#This Row],[Coût matière ligne]]</f>
        <v>0</v>
      </c>
      <c r="K279" s="7" t="str">
        <f>IFERROR(INDEX(tbl_ProduitsRef[Famille], MATCH(tbl_Ventes[[#This Row],[Cde_Prdt]], tbl_Produits[Cde_Prdt], 0)), "")</f>
        <v/>
      </c>
    </row>
    <row r="280" spans="1:11" x14ac:dyDescent="0.25">
      <c r="A280" s="5"/>
      <c r="B280" s="63" t="str">
        <f>IFERROR(TEXT(tbl_Ventes[[#This Row],[Date]],"mm-aaaa"),"")</f>
        <v>01-1900</v>
      </c>
      <c r="D280" s="10" t="str">
        <f>IFERROR(
   INDEX(tbl_ProduitsRef[Cde_Prdt],MATCH(tbl_Ventes[[#This Row],[Produit]],tbl_ProduitsRef[Produit],0)),
   ""
)</f>
        <v/>
      </c>
      <c r="E280" s="7">
        <v>0</v>
      </c>
      <c r="F280" s="7" t="str">
        <f>IFERROR(
   INDEX(tbl_ProduitsRef[Prix Menu],MATCH(tbl_Ventes[[#This Row],[Produit]],tbl_ProduitsRef[Produit],0)),
   ""
)</f>
        <v/>
      </c>
      <c r="G280" s="7">
        <f>tbl_Ventes[[#This Row],[Qté Vendue]] * IFERROR(_xlfn.XLOOKUP(tbl_Ventes[[#This Row],[Cde_Prdt]], tbl_Produits[Cde_Prdt], tbl_Produits[Prix Menu]), 0)</f>
        <v>0</v>
      </c>
      <c r="H280" s="7">
        <f>IFERROR(_xlfn.XLOOKUP(tbl_Ventes[[#This Row],[Cde_Prdt]], tbl_Produits[Cde_Prdt], tbl_Produits[Coût Moyen Portion]), 0)</f>
        <v>0</v>
      </c>
      <c r="I280" s="7">
        <f>tbl_Ventes[[#This Row],[Qté Vendue]] * tbl_Ventes[[#This Row],[CMP_par_portion]]</f>
        <v>0</v>
      </c>
      <c r="J280" s="7">
        <f>tbl_Ventes[[#This Row],[CA ligne]] - tbl_Ventes[[#This Row],[Coût matière ligne]]</f>
        <v>0</v>
      </c>
      <c r="K280" s="7" t="str">
        <f>IFERROR(INDEX(tbl_ProduitsRef[Famille], MATCH(tbl_Ventes[[#This Row],[Cde_Prdt]], tbl_Produits[Cde_Prdt], 0)), "")</f>
        <v/>
      </c>
    </row>
    <row r="281" spans="1:11" x14ac:dyDescent="0.25">
      <c r="A281" s="5"/>
      <c r="B281" s="63" t="str">
        <f>IFERROR(TEXT(tbl_Ventes[[#This Row],[Date]],"mm-aaaa"),"")</f>
        <v>01-1900</v>
      </c>
      <c r="D281" s="10" t="str">
        <f>IFERROR(
   INDEX(tbl_ProduitsRef[Cde_Prdt],MATCH(tbl_Ventes[[#This Row],[Produit]],tbl_ProduitsRef[Produit],0)),
   ""
)</f>
        <v/>
      </c>
      <c r="E281" s="7">
        <v>0</v>
      </c>
      <c r="F281" s="7" t="str">
        <f>IFERROR(
   INDEX(tbl_ProduitsRef[Prix Menu],MATCH(tbl_Ventes[[#This Row],[Produit]],tbl_ProduitsRef[Produit],0)),
   ""
)</f>
        <v/>
      </c>
      <c r="G281" s="7">
        <f>tbl_Ventes[[#This Row],[Qté Vendue]] * IFERROR(_xlfn.XLOOKUP(tbl_Ventes[[#This Row],[Cde_Prdt]], tbl_Produits[Cde_Prdt], tbl_Produits[Prix Menu]), 0)</f>
        <v>0</v>
      </c>
      <c r="H281" s="7">
        <f>IFERROR(_xlfn.XLOOKUP(tbl_Ventes[[#This Row],[Cde_Prdt]], tbl_Produits[Cde_Prdt], tbl_Produits[Coût Moyen Portion]), 0)</f>
        <v>0</v>
      </c>
      <c r="I281" s="7">
        <f>tbl_Ventes[[#This Row],[Qté Vendue]] * tbl_Ventes[[#This Row],[CMP_par_portion]]</f>
        <v>0</v>
      </c>
      <c r="J281" s="7">
        <f>tbl_Ventes[[#This Row],[CA ligne]] - tbl_Ventes[[#This Row],[Coût matière ligne]]</f>
        <v>0</v>
      </c>
      <c r="K281" s="7" t="str">
        <f>IFERROR(INDEX(tbl_ProduitsRef[Famille], MATCH(tbl_Ventes[[#This Row],[Cde_Prdt]], tbl_Produits[Cde_Prdt], 0)), "")</f>
        <v/>
      </c>
    </row>
    <row r="282" spans="1:11" x14ac:dyDescent="0.25">
      <c r="A282" s="5"/>
      <c r="B282" s="63" t="str">
        <f>IFERROR(TEXT(tbl_Ventes[[#This Row],[Date]],"mm-aaaa"),"")</f>
        <v>01-1900</v>
      </c>
      <c r="D282" s="10" t="str">
        <f>IFERROR(
   INDEX(tbl_ProduitsRef[Cde_Prdt],MATCH(tbl_Ventes[[#This Row],[Produit]],tbl_ProduitsRef[Produit],0)),
   ""
)</f>
        <v/>
      </c>
      <c r="E282" s="7">
        <v>0</v>
      </c>
      <c r="F282" s="7" t="str">
        <f>IFERROR(
   INDEX(tbl_ProduitsRef[Prix Menu],MATCH(tbl_Ventes[[#This Row],[Produit]],tbl_ProduitsRef[Produit],0)),
   ""
)</f>
        <v/>
      </c>
      <c r="G282" s="7">
        <f>tbl_Ventes[[#This Row],[Qté Vendue]] * IFERROR(_xlfn.XLOOKUP(tbl_Ventes[[#This Row],[Cde_Prdt]], tbl_Produits[Cde_Prdt], tbl_Produits[Prix Menu]), 0)</f>
        <v>0</v>
      </c>
      <c r="H282" s="7">
        <f>IFERROR(_xlfn.XLOOKUP(tbl_Ventes[[#This Row],[Cde_Prdt]], tbl_Produits[Cde_Prdt], tbl_Produits[Coût Moyen Portion]), 0)</f>
        <v>0</v>
      </c>
      <c r="I282" s="7">
        <f>tbl_Ventes[[#This Row],[Qté Vendue]] * tbl_Ventes[[#This Row],[CMP_par_portion]]</f>
        <v>0</v>
      </c>
      <c r="J282" s="7">
        <f>tbl_Ventes[[#This Row],[CA ligne]] - tbl_Ventes[[#This Row],[Coût matière ligne]]</f>
        <v>0</v>
      </c>
      <c r="K282" s="7" t="str">
        <f>IFERROR(INDEX(tbl_ProduitsRef[Famille], MATCH(tbl_Ventes[[#This Row],[Cde_Prdt]], tbl_Produits[Cde_Prdt], 0)), "")</f>
        <v/>
      </c>
    </row>
    <row r="283" spans="1:11" x14ac:dyDescent="0.25">
      <c r="A283" s="5"/>
      <c r="B283" s="63" t="str">
        <f>IFERROR(TEXT(tbl_Ventes[[#This Row],[Date]],"mm-aaaa"),"")</f>
        <v>01-1900</v>
      </c>
      <c r="D283" s="10" t="str">
        <f>IFERROR(
   INDEX(tbl_ProduitsRef[Cde_Prdt],MATCH(tbl_Ventes[[#This Row],[Produit]],tbl_ProduitsRef[Produit],0)),
   ""
)</f>
        <v/>
      </c>
      <c r="E283" s="7">
        <v>0</v>
      </c>
      <c r="F283" s="7" t="str">
        <f>IFERROR(
   INDEX(tbl_ProduitsRef[Prix Menu],MATCH(tbl_Ventes[[#This Row],[Produit]],tbl_ProduitsRef[Produit],0)),
   ""
)</f>
        <v/>
      </c>
      <c r="G283" s="7">
        <f>tbl_Ventes[[#This Row],[Qté Vendue]] * IFERROR(_xlfn.XLOOKUP(tbl_Ventes[[#This Row],[Cde_Prdt]], tbl_Produits[Cde_Prdt], tbl_Produits[Prix Menu]), 0)</f>
        <v>0</v>
      </c>
      <c r="H283" s="7">
        <f>IFERROR(_xlfn.XLOOKUP(tbl_Ventes[[#This Row],[Cde_Prdt]], tbl_Produits[Cde_Prdt], tbl_Produits[Coût Moyen Portion]), 0)</f>
        <v>0</v>
      </c>
      <c r="I283" s="7">
        <f>tbl_Ventes[[#This Row],[Qté Vendue]] * tbl_Ventes[[#This Row],[CMP_par_portion]]</f>
        <v>0</v>
      </c>
      <c r="J283" s="7">
        <f>tbl_Ventes[[#This Row],[CA ligne]] - tbl_Ventes[[#This Row],[Coût matière ligne]]</f>
        <v>0</v>
      </c>
      <c r="K283" s="7" t="str">
        <f>IFERROR(INDEX(tbl_ProduitsRef[Famille], MATCH(tbl_Ventes[[#This Row],[Cde_Prdt]], tbl_Produits[Cde_Prdt], 0)), "")</f>
        <v/>
      </c>
    </row>
    <row r="284" spans="1:11" x14ac:dyDescent="0.25">
      <c r="A284" s="5"/>
      <c r="B284" s="63" t="str">
        <f>IFERROR(TEXT(tbl_Ventes[[#This Row],[Date]],"mm-aaaa"),"")</f>
        <v>01-1900</v>
      </c>
      <c r="D284" s="10" t="str">
        <f>IFERROR(
   INDEX(tbl_ProduitsRef[Cde_Prdt],MATCH(tbl_Ventes[[#This Row],[Produit]],tbl_ProduitsRef[Produit],0)),
   ""
)</f>
        <v/>
      </c>
      <c r="E284" s="7">
        <v>0</v>
      </c>
      <c r="F284" s="7" t="str">
        <f>IFERROR(
   INDEX(tbl_ProduitsRef[Prix Menu],MATCH(tbl_Ventes[[#This Row],[Produit]],tbl_ProduitsRef[Produit],0)),
   ""
)</f>
        <v/>
      </c>
      <c r="G284" s="7">
        <f>tbl_Ventes[[#This Row],[Qté Vendue]] * IFERROR(_xlfn.XLOOKUP(tbl_Ventes[[#This Row],[Cde_Prdt]], tbl_Produits[Cde_Prdt], tbl_Produits[Prix Menu]), 0)</f>
        <v>0</v>
      </c>
      <c r="H284" s="7">
        <f>IFERROR(_xlfn.XLOOKUP(tbl_Ventes[[#This Row],[Cde_Prdt]], tbl_Produits[Cde_Prdt], tbl_Produits[Coût Moyen Portion]), 0)</f>
        <v>0</v>
      </c>
      <c r="I284" s="7">
        <f>tbl_Ventes[[#This Row],[Qté Vendue]] * tbl_Ventes[[#This Row],[CMP_par_portion]]</f>
        <v>0</v>
      </c>
      <c r="J284" s="7">
        <f>tbl_Ventes[[#This Row],[CA ligne]] - tbl_Ventes[[#This Row],[Coût matière ligne]]</f>
        <v>0</v>
      </c>
      <c r="K284" s="7" t="str">
        <f>IFERROR(INDEX(tbl_ProduitsRef[Famille], MATCH(tbl_Ventes[[#This Row],[Cde_Prdt]], tbl_Produits[Cde_Prdt], 0)), "")</f>
        <v/>
      </c>
    </row>
    <row r="285" spans="1:11" x14ac:dyDescent="0.25">
      <c r="A285" s="5"/>
      <c r="B285" s="63" t="str">
        <f>IFERROR(TEXT(tbl_Ventes[[#This Row],[Date]],"mm-aaaa"),"")</f>
        <v>01-1900</v>
      </c>
      <c r="D285" s="10" t="str">
        <f>IFERROR(
   INDEX(tbl_ProduitsRef[Cde_Prdt],MATCH(tbl_Ventes[[#This Row],[Produit]],tbl_ProduitsRef[Produit],0)),
   ""
)</f>
        <v/>
      </c>
      <c r="E285" s="7">
        <v>0</v>
      </c>
      <c r="F285" s="7" t="str">
        <f>IFERROR(
   INDEX(tbl_ProduitsRef[Prix Menu],MATCH(tbl_Ventes[[#This Row],[Produit]],tbl_ProduitsRef[Produit],0)),
   ""
)</f>
        <v/>
      </c>
      <c r="G285" s="7">
        <f>tbl_Ventes[[#This Row],[Qté Vendue]] * IFERROR(_xlfn.XLOOKUP(tbl_Ventes[[#This Row],[Cde_Prdt]], tbl_Produits[Cde_Prdt], tbl_Produits[Prix Menu]), 0)</f>
        <v>0</v>
      </c>
      <c r="H285" s="7">
        <f>IFERROR(_xlfn.XLOOKUP(tbl_Ventes[[#This Row],[Cde_Prdt]], tbl_Produits[Cde_Prdt], tbl_Produits[Coût Moyen Portion]), 0)</f>
        <v>0</v>
      </c>
      <c r="I285" s="7">
        <f>tbl_Ventes[[#This Row],[Qté Vendue]] * tbl_Ventes[[#This Row],[CMP_par_portion]]</f>
        <v>0</v>
      </c>
      <c r="J285" s="7">
        <f>tbl_Ventes[[#This Row],[CA ligne]] - tbl_Ventes[[#This Row],[Coût matière ligne]]</f>
        <v>0</v>
      </c>
      <c r="K285" s="7" t="str">
        <f>IFERROR(INDEX(tbl_ProduitsRef[Famille], MATCH(tbl_Ventes[[#This Row],[Cde_Prdt]], tbl_Produits[Cde_Prdt], 0)), "")</f>
        <v/>
      </c>
    </row>
    <row r="286" spans="1:11" x14ac:dyDescent="0.25">
      <c r="A286" s="5"/>
      <c r="B286" s="63" t="str">
        <f>IFERROR(TEXT(tbl_Ventes[[#This Row],[Date]],"mm-aaaa"),"")</f>
        <v>01-1900</v>
      </c>
      <c r="D286" s="10" t="str">
        <f>IFERROR(
   INDEX(tbl_ProduitsRef[Cde_Prdt],MATCH(tbl_Ventes[[#This Row],[Produit]],tbl_ProduitsRef[Produit],0)),
   ""
)</f>
        <v/>
      </c>
      <c r="E286" s="7">
        <v>0</v>
      </c>
      <c r="F286" s="7" t="str">
        <f>IFERROR(
   INDEX(tbl_ProduitsRef[Prix Menu],MATCH(tbl_Ventes[[#This Row],[Produit]],tbl_ProduitsRef[Produit],0)),
   ""
)</f>
        <v/>
      </c>
      <c r="G286" s="7">
        <f>tbl_Ventes[[#This Row],[Qté Vendue]] * IFERROR(_xlfn.XLOOKUP(tbl_Ventes[[#This Row],[Cde_Prdt]], tbl_Produits[Cde_Prdt], tbl_Produits[Prix Menu]), 0)</f>
        <v>0</v>
      </c>
      <c r="H286" s="7">
        <f>IFERROR(_xlfn.XLOOKUP(tbl_Ventes[[#This Row],[Cde_Prdt]], tbl_Produits[Cde_Prdt], tbl_Produits[Coût Moyen Portion]), 0)</f>
        <v>0</v>
      </c>
      <c r="I286" s="7">
        <f>tbl_Ventes[[#This Row],[Qté Vendue]] * tbl_Ventes[[#This Row],[CMP_par_portion]]</f>
        <v>0</v>
      </c>
      <c r="J286" s="7">
        <f>tbl_Ventes[[#This Row],[CA ligne]] - tbl_Ventes[[#This Row],[Coût matière ligne]]</f>
        <v>0</v>
      </c>
      <c r="K286" s="7" t="str">
        <f>IFERROR(INDEX(tbl_ProduitsRef[Famille], MATCH(tbl_Ventes[[#This Row],[Cde_Prdt]], tbl_Produits[Cde_Prdt], 0)), "")</f>
        <v/>
      </c>
    </row>
    <row r="287" spans="1:11" x14ac:dyDescent="0.25">
      <c r="A287" s="5"/>
      <c r="B287" s="63" t="str">
        <f>IFERROR(TEXT(tbl_Ventes[[#This Row],[Date]],"mm-aaaa"),"")</f>
        <v>01-1900</v>
      </c>
      <c r="D287" s="10" t="str">
        <f>IFERROR(
   INDEX(tbl_ProduitsRef[Cde_Prdt],MATCH(tbl_Ventes[[#This Row],[Produit]],tbl_ProduitsRef[Produit],0)),
   ""
)</f>
        <v/>
      </c>
      <c r="E287" s="7">
        <v>0</v>
      </c>
      <c r="F287" s="7" t="str">
        <f>IFERROR(
   INDEX(tbl_ProduitsRef[Prix Menu],MATCH(tbl_Ventes[[#This Row],[Produit]],tbl_ProduitsRef[Produit],0)),
   ""
)</f>
        <v/>
      </c>
      <c r="G287" s="7">
        <f>tbl_Ventes[[#This Row],[Qté Vendue]] * IFERROR(_xlfn.XLOOKUP(tbl_Ventes[[#This Row],[Cde_Prdt]], tbl_Produits[Cde_Prdt], tbl_Produits[Prix Menu]), 0)</f>
        <v>0</v>
      </c>
      <c r="H287" s="7">
        <f>IFERROR(_xlfn.XLOOKUP(tbl_Ventes[[#This Row],[Cde_Prdt]], tbl_Produits[Cde_Prdt], tbl_Produits[Coût Moyen Portion]), 0)</f>
        <v>0</v>
      </c>
      <c r="I287" s="7">
        <f>tbl_Ventes[[#This Row],[Qté Vendue]] * tbl_Ventes[[#This Row],[CMP_par_portion]]</f>
        <v>0</v>
      </c>
      <c r="J287" s="7">
        <f>tbl_Ventes[[#This Row],[CA ligne]] - tbl_Ventes[[#This Row],[Coût matière ligne]]</f>
        <v>0</v>
      </c>
      <c r="K287" s="7" t="str">
        <f>IFERROR(INDEX(tbl_ProduitsRef[Famille], MATCH(tbl_Ventes[[#This Row],[Cde_Prdt]], tbl_Produits[Cde_Prdt], 0)), "")</f>
        <v/>
      </c>
    </row>
    <row r="288" spans="1:11" x14ac:dyDescent="0.25">
      <c r="A288" s="5"/>
      <c r="B288" s="63" t="str">
        <f>IFERROR(TEXT(tbl_Ventes[[#This Row],[Date]],"mm-aaaa"),"")</f>
        <v>01-1900</v>
      </c>
      <c r="D288" s="10" t="str">
        <f>IFERROR(
   INDEX(tbl_ProduitsRef[Cde_Prdt],MATCH(tbl_Ventes[[#This Row],[Produit]],tbl_ProduitsRef[Produit],0)),
   ""
)</f>
        <v/>
      </c>
      <c r="E288" s="7">
        <v>0</v>
      </c>
      <c r="F288" s="7" t="str">
        <f>IFERROR(
   INDEX(tbl_ProduitsRef[Prix Menu],MATCH(tbl_Ventes[[#This Row],[Produit]],tbl_ProduitsRef[Produit],0)),
   ""
)</f>
        <v/>
      </c>
      <c r="G288" s="7">
        <f>tbl_Ventes[[#This Row],[Qté Vendue]] * IFERROR(_xlfn.XLOOKUP(tbl_Ventes[[#This Row],[Cde_Prdt]], tbl_Produits[Cde_Prdt], tbl_Produits[Prix Menu]), 0)</f>
        <v>0</v>
      </c>
      <c r="H288" s="7">
        <f>IFERROR(_xlfn.XLOOKUP(tbl_Ventes[[#This Row],[Cde_Prdt]], tbl_Produits[Cde_Prdt], tbl_Produits[Coût Moyen Portion]), 0)</f>
        <v>0</v>
      </c>
      <c r="I288" s="7">
        <f>tbl_Ventes[[#This Row],[Qté Vendue]] * tbl_Ventes[[#This Row],[CMP_par_portion]]</f>
        <v>0</v>
      </c>
      <c r="J288" s="7">
        <f>tbl_Ventes[[#This Row],[CA ligne]] - tbl_Ventes[[#This Row],[Coût matière ligne]]</f>
        <v>0</v>
      </c>
      <c r="K288" s="7" t="str">
        <f>IFERROR(INDEX(tbl_ProduitsRef[Famille], MATCH(tbl_Ventes[[#This Row],[Cde_Prdt]], tbl_Produits[Cde_Prdt], 0)), "")</f>
        <v/>
      </c>
    </row>
    <row r="289" spans="1:11" x14ac:dyDescent="0.25">
      <c r="A289" s="5"/>
      <c r="B289" s="63" t="str">
        <f>IFERROR(TEXT(tbl_Ventes[[#This Row],[Date]],"mm-aaaa"),"")</f>
        <v>01-1900</v>
      </c>
      <c r="D289" s="10" t="str">
        <f>IFERROR(
   INDEX(tbl_ProduitsRef[Cde_Prdt],MATCH(tbl_Ventes[[#This Row],[Produit]],tbl_ProduitsRef[Produit],0)),
   ""
)</f>
        <v/>
      </c>
      <c r="E289" s="7">
        <v>0</v>
      </c>
      <c r="F289" s="7" t="str">
        <f>IFERROR(
   INDEX(tbl_ProduitsRef[Prix Menu],MATCH(tbl_Ventes[[#This Row],[Produit]],tbl_ProduitsRef[Produit],0)),
   ""
)</f>
        <v/>
      </c>
      <c r="G289" s="7">
        <f>tbl_Ventes[[#This Row],[Qté Vendue]] * IFERROR(_xlfn.XLOOKUP(tbl_Ventes[[#This Row],[Cde_Prdt]], tbl_Produits[Cde_Prdt], tbl_Produits[Prix Menu]), 0)</f>
        <v>0</v>
      </c>
      <c r="H289" s="7">
        <f>IFERROR(_xlfn.XLOOKUP(tbl_Ventes[[#This Row],[Cde_Prdt]], tbl_Produits[Cde_Prdt], tbl_Produits[Coût Moyen Portion]), 0)</f>
        <v>0</v>
      </c>
      <c r="I289" s="7">
        <f>tbl_Ventes[[#This Row],[Qté Vendue]] * tbl_Ventes[[#This Row],[CMP_par_portion]]</f>
        <v>0</v>
      </c>
      <c r="J289" s="7">
        <f>tbl_Ventes[[#This Row],[CA ligne]] - tbl_Ventes[[#This Row],[Coût matière ligne]]</f>
        <v>0</v>
      </c>
      <c r="K289" s="7" t="str">
        <f>IFERROR(INDEX(tbl_ProduitsRef[Famille], MATCH(tbl_Ventes[[#This Row],[Cde_Prdt]], tbl_Produits[Cde_Prdt], 0)), "")</f>
        <v/>
      </c>
    </row>
    <row r="290" spans="1:11" x14ac:dyDescent="0.25">
      <c r="A290" s="5"/>
      <c r="B290" s="63" t="str">
        <f>IFERROR(TEXT(tbl_Ventes[[#This Row],[Date]],"mm-aaaa"),"")</f>
        <v>01-1900</v>
      </c>
      <c r="D290" s="10" t="str">
        <f>IFERROR(
   INDEX(tbl_ProduitsRef[Cde_Prdt],MATCH(tbl_Ventes[[#This Row],[Produit]],tbl_ProduitsRef[Produit],0)),
   ""
)</f>
        <v/>
      </c>
      <c r="E290" s="7">
        <v>0</v>
      </c>
      <c r="F290" s="7" t="str">
        <f>IFERROR(
   INDEX(tbl_ProduitsRef[Prix Menu],MATCH(tbl_Ventes[[#This Row],[Produit]],tbl_ProduitsRef[Produit],0)),
   ""
)</f>
        <v/>
      </c>
      <c r="G290" s="7">
        <f>tbl_Ventes[[#This Row],[Qté Vendue]] * IFERROR(_xlfn.XLOOKUP(tbl_Ventes[[#This Row],[Cde_Prdt]], tbl_Produits[Cde_Prdt], tbl_Produits[Prix Menu]), 0)</f>
        <v>0</v>
      </c>
      <c r="H290" s="7">
        <f>IFERROR(_xlfn.XLOOKUP(tbl_Ventes[[#This Row],[Cde_Prdt]], tbl_Produits[Cde_Prdt], tbl_Produits[Coût Moyen Portion]), 0)</f>
        <v>0</v>
      </c>
      <c r="I290" s="7">
        <f>tbl_Ventes[[#This Row],[Qté Vendue]] * tbl_Ventes[[#This Row],[CMP_par_portion]]</f>
        <v>0</v>
      </c>
      <c r="J290" s="7">
        <f>tbl_Ventes[[#This Row],[CA ligne]] - tbl_Ventes[[#This Row],[Coût matière ligne]]</f>
        <v>0</v>
      </c>
      <c r="K290" s="7" t="str">
        <f>IFERROR(INDEX(tbl_ProduitsRef[Famille], MATCH(tbl_Ventes[[#This Row],[Cde_Prdt]], tbl_Produits[Cde_Prdt], 0)), "")</f>
        <v/>
      </c>
    </row>
    <row r="291" spans="1:11" x14ac:dyDescent="0.25">
      <c r="A291" s="5"/>
      <c r="B291" s="63" t="str">
        <f>IFERROR(TEXT(tbl_Ventes[[#This Row],[Date]],"mm-aaaa"),"")</f>
        <v>01-1900</v>
      </c>
      <c r="D291" s="10" t="str">
        <f>IFERROR(
   INDEX(tbl_ProduitsRef[Cde_Prdt],MATCH(tbl_Ventes[[#This Row],[Produit]],tbl_ProduitsRef[Produit],0)),
   ""
)</f>
        <v/>
      </c>
      <c r="E291" s="7">
        <v>0</v>
      </c>
      <c r="F291" s="7" t="str">
        <f>IFERROR(
   INDEX(tbl_ProduitsRef[Prix Menu],MATCH(tbl_Ventes[[#This Row],[Produit]],tbl_ProduitsRef[Produit],0)),
   ""
)</f>
        <v/>
      </c>
      <c r="G291" s="7">
        <f>tbl_Ventes[[#This Row],[Qté Vendue]] * IFERROR(_xlfn.XLOOKUP(tbl_Ventes[[#This Row],[Cde_Prdt]], tbl_Produits[Cde_Prdt], tbl_Produits[Prix Menu]), 0)</f>
        <v>0</v>
      </c>
      <c r="H291" s="7">
        <f>IFERROR(_xlfn.XLOOKUP(tbl_Ventes[[#This Row],[Cde_Prdt]], tbl_Produits[Cde_Prdt], tbl_Produits[Coût Moyen Portion]), 0)</f>
        <v>0</v>
      </c>
      <c r="I291" s="7">
        <f>tbl_Ventes[[#This Row],[Qté Vendue]] * tbl_Ventes[[#This Row],[CMP_par_portion]]</f>
        <v>0</v>
      </c>
      <c r="J291" s="7">
        <f>tbl_Ventes[[#This Row],[CA ligne]] - tbl_Ventes[[#This Row],[Coût matière ligne]]</f>
        <v>0</v>
      </c>
      <c r="K291" s="7" t="str">
        <f>IFERROR(INDEX(tbl_ProduitsRef[Famille], MATCH(tbl_Ventes[[#This Row],[Cde_Prdt]], tbl_Produits[Cde_Prdt], 0)), "")</f>
        <v/>
      </c>
    </row>
    <row r="292" spans="1:11" x14ac:dyDescent="0.25">
      <c r="A292" s="5"/>
      <c r="B292" s="63" t="str">
        <f>IFERROR(TEXT(tbl_Ventes[[#This Row],[Date]],"mm-aaaa"),"")</f>
        <v>01-1900</v>
      </c>
      <c r="D292" s="10" t="str">
        <f>IFERROR(
   INDEX(tbl_ProduitsRef[Cde_Prdt],MATCH(tbl_Ventes[[#This Row],[Produit]],tbl_ProduitsRef[Produit],0)),
   ""
)</f>
        <v/>
      </c>
      <c r="E292" s="7">
        <v>0</v>
      </c>
      <c r="F292" s="7" t="str">
        <f>IFERROR(
   INDEX(tbl_ProduitsRef[Prix Menu],MATCH(tbl_Ventes[[#This Row],[Produit]],tbl_ProduitsRef[Produit],0)),
   ""
)</f>
        <v/>
      </c>
      <c r="G292" s="7">
        <f>tbl_Ventes[[#This Row],[Qté Vendue]] * IFERROR(_xlfn.XLOOKUP(tbl_Ventes[[#This Row],[Cde_Prdt]], tbl_Produits[Cde_Prdt], tbl_Produits[Prix Menu]), 0)</f>
        <v>0</v>
      </c>
      <c r="H292" s="7">
        <f>IFERROR(_xlfn.XLOOKUP(tbl_Ventes[[#This Row],[Cde_Prdt]], tbl_Produits[Cde_Prdt], tbl_Produits[Coût Moyen Portion]), 0)</f>
        <v>0</v>
      </c>
      <c r="I292" s="7">
        <f>tbl_Ventes[[#This Row],[Qté Vendue]] * tbl_Ventes[[#This Row],[CMP_par_portion]]</f>
        <v>0</v>
      </c>
      <c r="J292" s="7">
        <f>tbl_Ventes[[#This Row],[CA ligne]] - tbl_Ventes[[#This Row],[Coût matière ligne]]</f>
        <v>0</v>
      </c>
      <c r="K292" s="7" t="str">
        <f>IFERROR(INDEX(tbl_ProduitsRef[Famille], MATCH(tbl_Ventes[[#This Row],[Cde_Prdt]], tbl_Produits[Cde_Prdt], 0)), "")</f>
        <v/>
      </c>
    </row>
    <row r="293" spans="1:11" x14ac:dyDescent="0.25">
      <c r="A293" s="5"/>
      <c r="B293" s="63" t="str">
        <f>IFERROR(TEXT(tbl_Ventes[[#This Row],[Date]],"mm-aaaa"),"")</f>
        <v>01-1900</v>
      </c>
      <c r="D293" s="10" t="str">
        <f>IFERROR(
   INDEX(tbl_ProduitsRef[Cde_Prdt],MATCH(tbl_Ventes[[#This Row],[Produit]],tbl_ProduitsRef[Produit],0)),
   ""
)</f>
        <v/>
      </c>
      <c r="E293" s="7">
        <v>0</v>
      </c>
      <c r="F293" s="7" t="str">
        <f>IFERROR(
   INDEX(tbl_ProduitsRef[Prix Menu],MATCH(tbl_Ventes[[#This Row],[Produit]],tbl_ProduitsRef[Produit],0)),
   ""
)</f>
        <v/>
      </c>
      <c r="G293" s="7">
        <f>tbl_Ventes[[#This Row],[Qté Vendue]] * IFERROR(_xlfn.XLOOKUP(tbl_Ventes[[#This Row],[Cde_Prdt]], tbl_Produits[Cde_Prdt], tbl_Produits[Prix Menu]), 0)</f>
        <v>0</v>
      </c>
      <c r="H293" s="7">
        <f>IFERROR(_xlfn.XLOOKUP(tbl_Ventes[[#This Row],[Cde_Prdt]], tbl_Produits[Cde_Prdt], tbl_Produits[Coût Moyen Portion]), 0)</f>
        <v>0</v>
      </c>
      <c r="I293" s="7">
        <f>tbl_Ventes[[#This Row],[Qté Vendue]] * tbl_Ventes[[#This Row],[CMP_par_portion]]</f>
        <v>0</v>
      </c>
      <c r="J293" s="7">
        <f>tbl_Ventes[[#This Row],[CA ligne]] - tbl_Ventes[[#This Row],[Coût matière ligne]]</f>
        <v>0</v>
      </c>
      <c r="K293" s="7" t="str">
        <f>IFERROR(INDEX(tbl_ProduitsRef[Famille], MATCH(tbl_Ventes[[#This Row],[Cde_Prdt]], tbl_Produits[Cde_Prdt], 0)), "")</f>
        <v/>
      </c>
    </row>
    <row r="294" spans="1:11" x14ac:dyDescent="0.25">
      <c r="A294" s="5"/>
      <c r="B294" s="63" t="str">
        <f>IFERROR(TEXT(tbl_Ventes[[#This Row],[Date]],"mm-aaaa"),"")</f>
        <v>01-1900</v>
      </c>
      <c r="D294" s="10" t="str">
        <f>IFERROR(
   INDEX(tbl_ProduitsRef[Cde_Prdt],MATCH(tbl_Ventes[[#This Row],[Produit]],tbl_ProduitsRef[Produit],0)),
   ""
)</f>
        <v/>
      </c>
      <c r="E294" s="7">
        <v>0</v>
      </c>
      <c r="F294" s="7" t="str">
        <f>IFERROR(
   INDEX(tbl_ProduitsRef[Prix Menu],MATCH(tbl_Ventes[[#This Row],[Produit]],tbl_ProduitsRef[Produit],0)),
   ""
)</f>
        <v/>
      </c>
      <c r="G294" s="7">
        <f>tbl_Ventes[[#This Row],[Qté Vendue]] * IFERROR(_xlfn.XLOOKUP(tbl_Ventes[[#This Row],[Cde_Prdt]], tbl_Produits[Cde_Prdt], tbl_Produits[Prix Menu]), 0)</f>
        <v>0</v>
      </c>
      <c r="H294" s="7">
        <f>IFERROR(_xlfn.XLOOKUP(tbl_Ventes[[#This Row],[Cde_Prdt]], tbl_Produits[Cde_Prdt], tbl_Produits[Coût Moyen Portion]), 0)</f>
        <v>0</v>
      </c>
      <c r="I294" s="7">
        <f>tbl_Ventes[[#This Row],[Qté Vendue]] * tbl_Ventes[[#This Row],[CMP_par_portion]]</f>
        <v>0</v>
      </c>
      <c r="J294" s="7">
        <f>tbl_Ventes[[#This Row],[CA ligne]] - tbl_Ventes[[#This Row],[Coût matière ligne]]</f>
        <v>0</v>
      </c>
      <c r="K294" s="7" t="str">
        <f>IFERROR(INDEX(tbl_ProduitsRef[Famille], MATCH(tbl_Ventes[[#This Row],[Cde_Prdt]], tbl_Produits[Cde_Prdt], 0)), "")</f>
        <v/>
      </c>
    </row>
    <row r="295" spans="1:11" x14ac:dyDescent="0.25">
      <c r="A295" s="5"/>
      <c r="B295" s="63" t="str">
        <f>IFERROR(TEXT(tbl_Ventes[[#This Row],[Date]],"mm-aaaa"),"")</f>
        <v>01-1900</v>
      </c>
      <c r="D295" s="10" t="str">
        <f>IFERROR(
   INDEX(tbl_ProduitsRef[Cde_Prdt],MATCH(tbl_Ventes[[#This Row],[Produit]],tbl_ProduitsRef[Produit],0)),
   ""
)</f>
        <v/>
      </c>
      <c r="E295" s="7">
        <v>0</v>
      </c>
      <c r="F295" s="7" t="str">
        <f>IFERROR(
   INDEX(tbl_ProduitsRef[Prix Menu],MATCH(tbl_Ventes[[#This Row],[Produit]],tbl_ProduitsRef[Produit],0)),
   ""
)</f>
        <v/>
      </c>
      <c r="G295" s="7">
        <f>tbl_Ventes[[#This Row],[Qté Vendue]] * IFERROR(_xlfn.XLOOKUP(tbl_Ventes[[#This Row],[Cde_Prdt]], tbl_Produits[Cde_Prdt], tbl_Produits[Prix Menu]), 0)</f>
        <v>0</v>
      </c>
      <c r="H295" s="7">
        <f>IFERROR(_xlfn.XLOOKUP(tbl_Ventes[[#This Row],[Cde_Prdt]], tbl_Produits[Cde_Prdt], tbl_Produits[Coût Moyen Portion]), 0)</f>
        <v>0</v>
      </c>
      <c r="I295" s="7">
        <f>tbl_Ventes[[#This Row],[Qté Vendue]] * tbl_Ventes[[#This Row],[CMP_par_portion]]</f>
        <v>0</v>
      </c>
      <c r="J295" s="7">
        <f>tbl_Ventes[[#This Row],[CA ligne]] - tbl_Ventes[[#This Row],[Coût matière ligne]]</f>
        <v>0</v>
      </c>
      <c r="K295" s="7" t="str">
        <f>IFERROR(INDEX(tbl_ProduitsRef[Famille], MATCH(tbl_Ventes[[#This Row],[Cde_Prdt]], tbl_Produits[Cde_Prdt], 0)), "")</f>
        <v/>
      </c>
    </row>
    <row r="296" spans="1:11" x14ac:dyDescent="0.25">
      <c r="A296" s="5"/>
      <c r="B296" s="63" t="str">
        <f>IFERROR(TEXT(tbl_Ventes[[#This Row],[Date]],"mm-aaaa"),"")</f>
        <v>01-1900</v>
      </c>
      <c r="D296" s="10" t="str">
        <f>IFERROR(
   INDEX(tbl_ProduitsRef[Cde_Prdt],MATCH(tbl_Ventes[[#This Row],[Produit]],tbl_ProduitsRef[Produit],0)),
   ""
)</f>
        <v/>
      </c>
      <c r="E296" s="7">
        <v>0</v>
      </c>
      <c r="F296" s="7" t="str">
        <f>IFERROR(
   INDEX(tbl_ProduitsRef[Prix Menu],MATCH(tbl_Ventes[[#This Row],[Produit]],tbl_ProduitsRef[Produit],0)),
   ""
)</f>
        <v/>
      </c>
      <c r="G296" s="7">
        <f>tbl_Ventes[[#This Row],[Qté Vendue]] * IFERROR(_xlfn.XLOOKUP(tbl_Ventes[[#This Row],[Cde_Prdt]], tbl_Produits[Cde_Prdt], tbl_Produits[Prix Menu]), 0)</f>
        <v>0</v>
      </c>
      <c r="H296" s="7">
        <f>IFERROR(_xlfn.XLOOKUP(tbl_Ventes[[#This Row],[Cde_Prdt]], tbl_Produits[Cde_Prdt], tbl_Produits[Coût Moyen Portion]), 0)</f>
        <v>0</v>
      </c>
      <c r="I296" s="7">
        <f>tbl_Ventes[[#This Row],[Qté Vendue]] * tbl_Ventes[[#This Row],[CMP_par_portion]]</f>
        <v>0</v>
      </c>
      <c r="J296" s="7">
        <f>tbl_Ventes[[#This Row],[CA ligne]] - tbl_Ventes[[#This Row],[Coût matière ligne]]</f>
        <v>0</v>
      </c>
      <c r="K296" s="7" t="str">
        <f>IFERROR(INDEX(tbl_ProduitsRef[Famille], MATCH(tbl_Ventes[[#This Row],[Cde_Prdt]], tbl_Produits[Cde_Prdt], 0)), "")</f>
        <v/>
      </c>
    </row>
    <row r="297" spans="1:11" x14ac:dyDescent="0.25">
      <c r="A297" s="5"/>
      <c r="B297" s="63" t="str">
        <f>IFERROR(TEXT(tbl_Ventes[[#This Row],[Date]],"mm-aaaa"),"")</f>
        <v>01-1900</v>
      </c>
      <c r="D297" s="10" t="str">
        <f>IFERROR(
   INDEX(tbl_ProduitsRef[Cde_Prdt],MATCH(tbl_Ventes[[#This Row],[Produit]],tbl_ProduitsRef[Produit],0)),
   ""
)</f>
        <v/>
      </c>
      <c r="E297" s="7">
        <v>0</v>
      </c>
      <c r="F297" s="7" t="str">
        <f>IFERROR(
   INDEX(tbl_ProduitsRef[Prix Menu],MATCH(tbl_Ventes[[#This Row],[Produit]],tbl_ProduitsRef[Produit],0)),
   ""
)</f>
        <v/>
      </c>
      <c r="G297" s="7">
        <f>tbl_Ventes[[#This Row],[Qté Vendue]] * IFERROR(_xlfn.XLOOKUP(tbl_Ventes[[#This Row],[Cde_Prdt]], tbl_Produits[Cde_Prdt], tbl_Produits[Prix Menu]), 0)</f>
        <v>0</v>
      </c>
      <c r="H297" s="7">
        <f>IFERROR(_xlfn.XLOOKUP(tbl_Ventes[[#This Row],[Cde_Prdt]], tbl_Produits[Cde_Prdt], tbl_Produits[Coût Moyen Portion]), 0)</f>
        <v>0</v>
      </c>
      <c r="I297" s="7">
        <f>tbl_Ventes[[#This Row],[Qté Vendue]] * tbl_Ventes[[#This Row],[CMP_par_portion]]</f>
        <v>0</v>
      </c>
      <c r="J297" s="7">
        <f>tbl_Ventes[[#This Row],[CA ligne]] - tbl_Ventes[[#This Row],[Coût matière ligne]]</f>
        <v>0</v>
      </c>
      <c r="K297" s="7" t="str">
        <f>IFERROR(INDEX(tbl_ProduitsRef[Famille], MATCH(tbl_Ventes[[#This Row],[Cde_Prdt]], tbl_Produits[Cde_Prdt], 0)), "")</f>
        <v/>
      </c>
    </row>
    <row r="298" spans="1:11" x14ac:dyDescent="0.25">
      <c r="A298" s="5"/>
      <c r="B298" s="63" t="str">
        <f>IFERROR(TEXT(tbl_Ventes[[#This Row],[Date]],"mm-aaaa"),"")</f>
        <v>01-1900</v>
      </c>
      <c r="D298" s="10" t="str">
        <f>IFERROR(
   INDEX(tbl_ProduitsRef[Cde_Prdt],MATCH(tbl_Ventes[[#This Row],[Produit]],tbl_ProduitsRef[Produit],0)),
   ""
)</f>
        <v/>
      </c>
      <c r="E298" s="7">
        <v>0</v>
      </c>
      <c r="F298" s="7" t="str">
        <f>IFERROR(
   INDEX(tbl_ProduitsRef[Prix Menu],MATCH(tbl_Ventes[[#This Row],[Produit]],tbl_ProduitsRef[Produit],0)),
   ""
)</f>
        <v/>
      </c>
      <c r="G298" s="7">
        <f>tbl_Ventes[[#This Row],[Qté Vendue]] * IFERROR(_xlfn.XLOOKUP(tbl_Ventes[[#This Row],[Cde_Prdt]], tbl_Produits[Cde_Prdt], tbl_Produits[Prix Menu]), 0)</f>
        <v>0</v>
      </c>
      <c r="H298" s="7">
        <f>IFERROR(_xlfn.XLOOKUP(tbl_Ventes[[#This Row],[Cde_Prdt]], tbl_Produits[Cde_Prdt], tbl_Produits[Coût Moyen Portion]), 0)</f>
        <v>0</v>
      </c>
      <c r="I298" s="7">
        <f>tbl_Ventes[[#This Row],[Qté Vendue]] * tbl_Ventes[[#This Row],[CMP_par_portion]]</f>
        <v>0</v>
      </c>
      <c r="J298" s="7">
        <f>tbl_Ventes[[#This Row],[CA ligne]] - tbl_Ventes[[#This Row],[Coût matière ligne]]</f>
        <v>0</v>
      </c>
      <c r="K298" s="7" t="str">
        <f>IFERROR(INDEX(tbl_ProduitsRef[Famille], MATCH(tbl_Ventes[[#This Row],[Cde_Prdt]], tbl_Produits[Cde_Prdt], 0)), "")</f>
        <v/>
      </c>
    </row>
    <row r="299" spans="1:11" x14ac:dyDescent="0.25">
      <c r="A299" s="5"/>
      <c r="B299" s="63" t="str">
        <f>IFERROR(TEXT(tbl_Ventes[[#This Row],[Date]],"mm-aaaa"),"")</f>
        <v>01-1900</v>
      </c>
      <c r="D299" s="10" t="str">
        <f>IFERROR(
   INDEX(tbl_ProduitsRef[Cde_Prdt],MATCH(tbl_Ventes[[#This Row],[Produit]],tbl_ProduitsRef[Produit],0)),
   ""
)</f>
        <v/>
      </c>
      <c r="E299" s="7">
        <v>0</v>
      </c>
      <c r="F299" s="7" t="str">
        <f>IFERROR(
   INDEX(tbl_ProduitsRef[Prix Menu],MATCH(tbl_Ventes[[#This Row],[Produit]],tbl_ProduitsRef[Produit],0)),
   ""
)</f>
        <v/>
      </c>
      <c r="G299" s="7">
        <f>tbl_Ventes[[#This Row],[Qté Vendue]] * IFERROR(_xlfn.XLOOKUP(tbl_Ventes[[#This Row],[Cde_Prdt]], tbl_Produits[Cde_Prdt], tbl_Produits[Prix Menu]), 0)</f>
        <v>0</v>
      </c>
      <c r="H299" s="7">
        <f>IFERROR(_xlfn.XLOOKUP(tbl_Ventes[[#This Row],[Cde_Prdt]], tbl_Produits[Cde_Prdt], tbl_Produits[Coût Moyen Portion]), 0)</f>
        <v>0</v>
      </c>
      <c r="I299" s="7">
        <f>tbl_Ventes[[#This Row],[Qté Vendue]] * tbl_Ventes[[#This Row],[CMP_par_portion]]</f>
        <v>0</v>
      </c>
      <c r="J299" s="7">
        <f>tbl_Ventes[[#This Row],[CA ligne]] - tbl_Ventes[[#This Row],[Coût matière ligne]]</f>
        <v>0</v>
      </c>
      <c r="K299" s="7" t="str">
        <f>IFERROR(INDEX(tbl_ProduitsRef[Famille], MATCH(tbl_Ventes[[#This Row],[Cde_Prdt]], tbl_Produits[Cde_Prdt], 0)), "")</f>
        <v/>
      </c>
    </row>
    <row r="300" spans="1:11" x14ac:dyDescent="0.25">
      <c r="A300" s="5"/>
      <c r="B300" s="63" t="str">
        <f>IFERROR(TEXT(tbl_Ventes[[#This Row],[Date]],"mm-aaaa"),"")</f>
        <v>01-1900</v>
      </c>
      <c r="D300" s="10" t="str">
        <f>IFERROR(
   INDEX(tbl_ProduitsRef[Cde_Prdt],MATCH(tbl_Ventes[[#This Row],[Produit]],tbl_ProduitsRef[Produit],0)),
   ""
)</f>
        <v/>
      </c>
      <c r="E300" s="7">
        <v>0</v>
      </c>
      <c r="F300" s="7" t="str">
        <f>IFERROR(
   INDEX(tbl_ProduitsRef[Prix Menu],MATCH(tbl_Ventes[[#This Row],[Produit]],tbl_ProduitsRef[Produit],0)),
   ""
)</f>
        <v/>
      </c>
      <c r="G300" s="7">
        <f>tbl_Ventes[[#This Row],[Qté Vendue]] * IFERROR(_xlfn.XLOOKUP(tbl_Ventes[[#This Row],[Cde_Prdt]], tbl_Produits[Cde_Prdt], tbl_Produits[Prix Menu]), 0)</f>
        <v>0</v>
      </c>
      <c r="H300" s="7">
        <f>IFERROR(_xlfn.XLOOKUP(tbl_Ventes[[#This Row],[Cde_Prdt]], tbl_Produits[Cde_Prdt], tbl_Produits[Coût Moyen Portion]), 0)</f>
        <v>0</v>
      </c>
      <c r="I300" s="7">
        <f>tbl_Ventes[[#This Row],[Qté Vendue]] * tbl_Ventes[[#This Row],[CMP_par_portion]]</f>
        <v>0</v>
      </c>
      <c r="J300" s="7">
        <f>tbl_Ventes[[#This Row],[CA ligne]] - tbl_Ventes[[#This Row],[Coût matière ligne]]</f>
        <v>0</v>
      </c>
      <c r="K300" s="7" t="str">
        <f>IFERROR(INDEX(tbl_ProduitsRef[Famille], MATCH(tbl_Ventes[[#This Row],[Cde_Prdt]], tbl_Produits[Cde_Prdt], 0)), "")</f>
        <v/>
      </c>
    </row>
    <row r="301" spans="1:11" x14ac:dyDescent="0.25">
      <c r="A301" s="5"/>
      <c r="B301" s="63" t="str">
        <f>IFERROR(TEXT(tbl_Ventes[[#This Row],[Date]],"mm-aaaa"),"")</f>
        <v>01-1900</v>
      </c>
      <c r="D301" s="10" t="str">
        <f>IFERROR(
   INDEX(tbl_ProduitsRef[Cde_Prdt],MATCH(tbl_Ventes[[#This Row],[Produit]],tbl_ProduitsRef[Produit],0)),
   ""
)</f>
        <v/>
      </c>
      <c r="E301" s="7">
        <v>0</v>
      </c>
      <c r="F301" s="7" t="str">
        <f>IFERROR(
   INDEX(tbl_ProduitsRef[Prix Menu],MATCH(tbl_Ventes[[#This Row],[Produit]],tbl_ProduitsRef[Produit],0)),
   ""
)</f>
        <v/>
      </c>
      <c r="G301" s="7">
        <f>tbl_Ventes[[#This Row],[Qté Vendue]] * IFERROR(_xlfn.XLOOKUP(tbl_Ventes[[#This Row],[Cde_Prdt]], tbl_Produits[Cde_Prdt], tbl_Produits[Prix Menu]), 0)</f>
        <v>0</v>
      </c>
      <c r="H301" s="7">
        <f>IFERROR(_xlfn.XLOOKUP(tbl_Ventes[[#This Row],[Cde_Prdt]], tbl_Produits[Cde_Prdt], tbl_Produits[Coût Moyen Portion]), 0)</f>
        <v>0</v>
      </c>
      <c r="I301" s="7">
        <f>tbl_Ventes[[#This Row],[Qté Vendue]] * tbl_Ventes[[#This Row],[CMP_par_portion]]</f>
        <v>0</v>
      </c>
      <c r="J301" s="7">
        <f>tbl_Ventes[[#This Row],[CA ligne]] - tbl_Ventes[[#This Row],[Coût matière ligne]]</f>
        <v>0</v>
      </c>
      <c r="K301" s="7" t="str">
        <f>IFERROR(INDEX(tbl_ProduitsRef[Famille], MATCH(tbl_Ventes[[#This Row],[Cde_Prdt]], tbl_Produits[Cde_Prdt], 0)), "")</f>
        <v/>
      </c>
    </row>
    <row r="302" spans="1:11" x14ac:dyDescent="0.25">
      <c r="A302" s="5"/>
      <c r="B302" s="63" t="str">
        <f>IFERROR(TEXT(tbl_Ventes[[#This Row],[Date]],"mm-aaaa"),"")</f>
        <v>01-1900</v>
      </c>
      <c r="D302" s="10" t="str">
        <f>IFERROR(
   INDEX(tbl_ProduitsRef[Cde_Prdt],MATCH(tbl_Ventes[[#This Row],[Produit]],tbl_ProduitsRef[Produit],0)),
   ""
)</f>
        <v/>
      </c>
      <c r="E302" s="7">
        <v>0</v>
      </c>
      <c r="F302" s="7" t="str">
        <f>IFERROR(
   INDEX(tbl_ProduitsRef[Prix Menu],MATCH(tbl_Ventes[[#This Row],[Produit]],tbl_ProduitsRef[Produit],0)),
   ""
)</f>
        <v/>
      </c>
      <c r="G302" s="7">
        <f>tbl_Ventes[[#This Row],[Qté Vendue]] * IFERROR(_xlfn.XLOOKUP(tbl_Ventes[[#This Row],[Cde_Prdt]], tbl_Produits[Cde_Prdt], tbl_Produits[Prix Menu]), 0)</f>
        <v>0</v>
      </c>
      <c r="H302" s="7">
        <f>IFERROR(_xlfn.XLOOKUP(tbl_Ventes[[#This Row],[Cde_Prdt]], tbl_Produits[Cde_Prdt], tbl_Produits[Coût Moyen Portion]), 0)</f>
        <v>0</v>
      </c>
      <c r="I302" s="7">
        <f>tbl_Ventes[[#This Row],[Qté Vendue]] * tbl_Ventes[[#This Row],[CMP_par_portion]]</f>
        <v>0</v>
      </c>
      <c r="J302" s="7">
        <f>tbl_Ventes[[#This Row],[CA ligne]] - tbl_Ventes[[#This Row],[Coût matière ligne]]</f>
        <v>0</v>
      </c>
      <c r="K302" s="7" t="str">
        <f>IFERROR(INDEX(tbl_ProduitsRef[Famille], MATCH(tbl_Ventes[[#This Row],[Cde_Prdt]], tbl_Produits[Cde_Prdt], 0)), "")</f>
        <v/>
      </c>
    </row>
    <row r="303" spans="1:11" x14ac:dyDescent="0.25">
      <c r="A303" s="5"/>
      <c r="B303" s="63" t="str">
        <f>IFERROR(TEXT(tbl_Ventes[[#This Row],[Date]],"mm-aaaa"),"")</f>
        <v>01-1900</v>
      </c>
      <c r="D303" s="10" t="str">
        <f>IFERROR(
   INDEX(tbl_ProduitsRef[Cde_Prdt],MATCH(tbl_Ventes[[#This Row],[Produit]],tbl_ProduitsRef[Produit],0)),
   ""
)</f>
        <v/>
      </c>
      <c r="E303" s="7">
        <v>0</v>
      </c>
      <c r="F303" s="7" t="str">
        <f>IFERROR(
   INDEX(tbl_ProduitsRef[Prix Menu],MATCH(tbl_Ventes[[#This Row],[Produit]],tbl_ProduitsRef[Produit],0)),
   ""
)</f>
        <v/>
      </c>
      <c r="G303" s="7">
        <f>tbl_Ventes[[#This Row],[Qté Vendue]] * IFERROR(_xlfn.XLOOKUP(tbl_Ventes[[#This Row],[Cde_Prdt]], tbl_Produits[Cde_Prdt], tbl_Produits[Prix Menu]), 0)</f>
        <v>0</v>
      </c>
      <c r="H303" s="7">
        <f>IFERROR(_xlfn.XLOOKUP(tbl_Ventes[[#This Row],[Cde_Prdt]], tbl_Produits[Cde_Prdt], tbl_Produits[Coût Moyen Portion]), 0)</f>
        <v>0</v>
      </c>
      <c r="I303" s="7">
        <f>tbl_Ventes[[#This Row],[Qté Vendue]] * tbl_Ventes[[#This Row],[CMP_par_portion]]</f>
        <v>0</v>
      </c>
      <c r="J303" s="7">
        <f>tbl_Ventes[[#This Row],[CA ligne]] - tbl_Ventes[[#This Row],[Coût matière ligne]]</f>
        <v>0</v>
      </c>
      <c r="K303" s="7" t="str">
        <f>IFERROR(INDEX(tbl_ProduitsRef[Famille], MATCH(tbl_Ventes[[#This Row],[Cde_Prdt]], tbl_Produits[Cde_Prdt], 0)), "")</f>
        <v/>
      </c>
    </row>
    <row r="304" spans="1:11" x14ac:dyDescent="0.25">
      <c r="A304" s="5"/>
      <c r="B304" s="63" t="str">
        <f>IFERROR(TEXT(tbl_Ventes[[#This Row],[Date]],"mm-aaaa"),"")</f>
        <v>01-1900</v>
      </c>
      <c r="D304" s="10" t="str">
        <f>IFERROR(
   INDEX(tbl_ProduitsRef[Cde_Prdt],MATCH(tbl_Ventes[[#This Row],[Produit]],tbl_ProduitsRef[Produit],0)),
   ""
)</f>
        <v/>
      </c>
      <c r="E304" s="7">
        <v>0</v>
      </c>
      <c r="F304" s="7" t="str">
        <f>IFERROR(
   INDEX(tbl_ProduitsRef[Prix Menu],MATCH(tbl_Ventes[[#This Row],[Produit]],tbl_ProduitsRef[Produit],0)),
   ""
)</f>
        <v/>
      </c>
      <c r="G304" s="7">
        <f>tbl_Ventes[[#This Row],[Qté Vendue]] * IFERROR(_xlfn.XLOOKUP(tbl_Ventes[[#This Row],[Cde_Prdt]], tbl_Produits[Cde_Prdt], tbl_Produits[Prix Menu]), 0)</f>
        <v>0</v>
      </c>
      <c r="H304" s="7">
        <f>IFERROR(_xlfn.XLOOKUP(tbl_Ventes[[#This Row],[Cde_Prdt]], tbl_Produits[Cde_Prdt], tbl_Produits[Coût Moyen Portion]), 0)</f>
        <v>0</v>
      </c>
      <c r="I304" s="7">
        <f>tbl_Ventes[[#This Row],[Qté Vendue]] * tbl_Ventes[[#This Row],[CMP_par_portion]]</f>
        <v>0</v>
      </c>
      <c r="J304" s="7">
        <f>tbl_Ventes[[#This Row],[CA ligne]] - tbl_Ventes[[#This Row],[Coût matière ligne]]</f>
        <v>0</v>
      </c>
      <c r="K304" s="7" t="str">
        <f>IFERROR(INDEX(tbl_ProduitsRef[Famille], MATCH(tbl_Ventes[[#This Row],[Cde_Prdt]], tbl_Produits[Cde_Prdt], 0)), "")</f>
        <v/>
      </c>
    </row>
    <row r="305" spans="1:11" x14ac:dyDescent="0.25">
      <c r="A305" s="5"/>
      <c r="B305" s="63" t="str">
        <f>IFERROR(TEXT(tbl_Ventes[[#This Row],[Date]],"mm-aaaa"),"")</f>
        <v>01-1900</v>
      </c>
      <c r="D305" s="10" t="str">
        <f>IFERROR(
   INDEX(tbl_ProduitsRef[Cde_Prdt],MATCH(tbl_Ventes[[#This Row],[Produit]],tbl_ProduitsRef[Produit],0)),
   ""
)</f>
        <v/>
      </c>
      <c r="E305" s="7">
        <v>0</v>
      </c>
      <c r="F305" s="7" t="str">
        <f>IFERROR(
   INDEX(tbl_ProduitsRef[Prix Menu],MATCH(tbl_Ventes[[#This Row],[Produit]],tbl_ProduitsRef[Produit],0)),
   ""
)</f>
        <v/>
      </c>
      <c r="G305" s="7">
        <f>tbl_Ventes[[#This Row],[Qté Vendue]] * IFERROR(_xlfn.XLOOKUP(tbl_Ventes[[#This Row],[Cde_Prdt]], tbl_Produits[Cde_Prdt], tbl_Produits[Prix Menu]), 0)</f>
        <v>0</v>
      </c>
      <c r="H305" s="7">
        <f>IFERROR(_xlfn.XLOOKUP(tbl_Ventes[[#This Row],[Cde_Prdt]], tbl_Produits[Cde_Prdt], tbl_Produits[Coût Moyen Portion]), 0)</f>
        <v>0</v>
      </c>
      <c r="I305" s="7">
        <f>tbl_Ventes[[#This Row],[Qté Vendue]] * tbl_Ventes[[#This Row],[CMP_par_portion]]</f>
        <v>0</v>
      </c>
      <c r="J305" s="7">
        <f>tbl_Ventes[[#This Row],[CA ligne]] - tbl_Ventes[[#This Row],[Coût matière ligne]]</f>
        <v>0</v>
      </c>
      <c r="K305" s="7" t="str">
        <f>IFERROR(INDEX(tbl_ProduitsRef[Famille], MATCH(tbl_Ventes[[#This Row],[Cde_Prdt]], tbl_Produits[Cde_Prdt], 0)), "")</f>
        <v/>
      </c>
    </row>
    <row r="306" spans="1:11" x14ac:dyDescent="0.25">
      <c r="A306" s="5"/>
      <c r="B306" s="63" t="str">
        <f>IFERROR(TEXT(tbl_Ventes[[#This Row],[Date]],"mm-aaaa"),"")</f>
        <v>01-1900</v>
      </c>
      <c r="D306" s="10" t="str">
        <f>IFERROR(
   INDEX(tbl_ProduitsRef[Cde_Prdt],MATCH(tbl_Ventes[[#This Row],[Produit]],tbl_ProduitsRef[Produit],0)),
   ""
)</f>
        <v/>
      </c>
      <c r="E306" s="7">
        <v>0</v>
      </c>
      <c r="F306" s="7" t="str">
        <f>IFERROR(
   INDEX(tbl_ProduitsRef[Prix Menu],MATCH(tbl_Ventes[[#This Row],[Produit]],tbl_ProduitsRef[Produit],0)),
   ""
)</f>
        <v/>
      </c>
      <c r="G306" s="7">
        <f>tbl_Ventes[[#This Row],[Qté Vendue]] * IFERROR(_xlfn.XLOOKUP(tbl_Ventes[[#This Row],[Cde_Prdt]], tbl_Produits[Cde_Prdt], tbl_Produits[Prix Menu]), 0)</f>
        <v>0</v>
      </c>
      <c r="H306" s="7">
        <f>IFERROR(_xlfn.XLOOKUP(tbl_Ventes[[#This Row],[Cde_Prdt]], tbl_Produits[Cde_Prdt], tbl_Produits[Coût Moyen Portion]), 0)</f>
        <v>0</v>
      </c>
      <c r="I306" s="7">
        <f>tbl_Ventes[[#This Row],[Qté Vendue]] * tbl_Ventes[[#This Row],[CMP_par_portion]]</f>
        <v>0</v>
      </c>
      <c r="J306" s="7">
        <f>tbl_Ventes[[#This Row],[CA ligne]] - tbl_Ventes[[#This Row],[Coût matière ligne]]</f>
        <v>0</v>
      </c>
      <c r="K306" s="7" t="str">
        <f>IFERROR(INDEX(tbl_ProduitsRef[Famille], MATCH(tbl_Ventes[[#This Row],[Cde_Prdt]], tbl_Produits[Cde_Prdt], 0)), "")</f>
        <v/>
      </c>
    </row>
    <row r="307" spans="1:11" x14ac:dyDescent="0.25">
      <c r="A307" s="5"/>
      <c r="B307" s="63" t="str">
        <f>IFERROR(TEXT(tbl_Ventes[[#This Row],[Date]],"mm-aaaa"),"")</f>
        <v>01-1900</v>
      </c>
      <c r="D307" s="10" t="str">
        <f>IFERROR(
   INDEX(tbl_ProduitsRef[Cde_Prdt],MATCH(tbl_Ventes[[#This Row],[Produit]],tbl_ProduitsRef[Produit],0)),
   ""
)</f>
        <v/>
      </c>
      <c r="E307" s="7">
        <v>0</v>
      </c>
      <c r="F307" s="7" t="str">
        <f>IFERROR(
   INDEX(tbl_ProduitsRef[Prix Menu],MATCH(tbl_Ventes[[#This Row],[Produit]],tbl_ProduitsRef[Produit],0)),
   ""
)</f>
        <v/>
      </c>
      <c r="G307" s="7">
        <f>tbl_Ventes[[#This Row],[Qté Vendue]] * IFERROR(_xlfn.XLOOKUP(tbl_Ventes[[#This Row],[Cde_Prdt]], tbl_Produits[Cde_Prdt], tbl_Produits[Prix Menu]), 0)</f>
        <v>0</v>
      </c>
      <c r="H307" s="7">
        <f>IFERROR(_xlfn.XLOOKUP(tbl_Ventes[[#This Row],[Cde_Prdt]], tbl_Produits[Cde_Prdt], tbl_Produits[Coût Moyen Portion]), 0)</f>
        <v>0</v>
      </c>
      <c r="I307" s="7">
        <f>tbl_Ventes[[#This Row],[Qté Vendue]] * tbl_Ventes[[#This Row],[CMP_par_portion]]</f>
        <v>0</v>
      </c>
      <c r="J307" s="7">
        <f>tbl_Ventes[[#This Row],[CA ligne]] - tbl_Ventes[[#This Row],[Coût matière ligne]]</f>
        <v>0</v>
      </c>
      <c r="K307" s="7" t="str">
        <f>IFERROR(INDEX(tbl_ProduitsRef[Famille], MATCH(tbl_Ventes[[#This Row],[Cde_Prdt]], tbl_Produits[Cde_Prdt], 0)), "")</f>
        <v/>
      </c>
    </row>
    <row r="308" spans="1:11" x14ac:dyDescent="0.25">
      <c r="A308" s="5"/>
      <c r="B308" s="63" t="str">
        <f>IFERROR(TEXT(tbl_Ventes[[#This Row],[Date]],"mm-aaaa"),"")</f>
        <v>01-1900</v>
      </c>
      <c r="D308" s="10" t="str">
        <f>IFERROR(
   INDEX(tbl_ProduitsRef[Cde_Prdt],MATCH(tbl_Ventes[[#This Row],[Produit]],tbl_ProduitsRef[Produit],0)),
   ""
)</f>
        <v/>
      </c>
      <c r="E308" s="7">
        <v>0</v>
      </c>
      <c r="F308" s="7" t="str">
        <f>IFERROR(
   INDEX(tbl_ProduitsRef[Prix Menu],MATCH(tbl_Ventes[[#This Row],[Produit]],tbl_ProduitsRef[Produit],0)),
   ""
)</f>
        <v/>
      </c>
      <c r="G308" s="7">
        <f>tbl_Ventes[[#This Row],[Qté Vendue]] * IFERROR(_xlfn.XLOOKUP(tbl_Ventes[[#This Row],[Cde_Prdt]], tbl_Produits[Cde_Prdt], tbl_Produits[Prix Menu]), 0)</f>
        <v>0</v>
      </c>
      <c r="H308" s="7">
        <f>IFERROR(_xlfn.XLOOKUP(tbl_Ventes[[#This Row],[Cde_Prdt]], tbl_Produits[Cde_Prdt], tbl_Produits[Coût Moyen Portion]), 0)</f>
        <v>0</v>
      </c>
      <c r="I308" s="7">
        <f>tbl_Ventes[[#This Row],[Qté Vendue]] * tbl_Ventes[[#This Row],[CMP_par_portion]]</f>
        <v>0</v>
      </c>
      <c r="J308" s="7">
        <f>tbl_Ventes[[#This Row],[CA ligne]] - tbl_Ventes[[#This Row],[Coût matière ligne]]</f>
        <v>0</v>
      </c>
      <c r="K308" s="7" t="str">
        <f>IFERROR(INDEX(tbl_ProduitsRef[Famille], MATCH(tbl_Ventes[[#This Row],[Cde_Prdt]], tbl_Produits[Cde_Prdt], 0)), "")</f>
        <v/>
      </c>
    </row>
    <row r="309" spans="1:11" x14ac:dyDescent="0.25">
      <c r="A309" s="5"/>
      <c r="B309" s="63" t="str">
        <f>IFERROR(TEXT(tbl_Ventes[[#This Row],[Date]],"mm-aaaa"),"")</f>
        <v>01-1900</v>
      </c>
      <c r="D309" s="10" t="str">
        <f>IFERROR(
   INDEX(tbl_ProduitsRef[Cde_Prdt],MATCH(tbl_Ventes[[#This Row],[Produit]],tbl_ProduitsRef[Produit],0)),
   ""
)</f>
        <v/>
      </c>
      <c r="E309" s="7">
        <v>0</v>
      </c>
      <c r="F309" s="7" t="str">
        <f>IFERROR(
   INDEX(tbl_ProduitsRef[Prix Menu],MATCH(tbl_Ventes[[#This Row],[Produit]],tbl_ProduitsRef[Produit],0)),
   ""
)</f>
        <v/>
      </c>
      <c r="G309" s="7">
        <f>tbl_Ventes[[#This Row],[Qté Vendue]] * IFERROR(_xlfn.XLOOKUP(tbl_Ventes[[#This Row],[Cde_Prdt]], tbl_Produits[Cde_Prdt], tbl_Produits[Prix Menu]), 0)</f>
        <v>0</v>
      </c>
      <c r="H309" s="7">
        <f>IFERROR(_xlfn.XLOOKUP(tbl_Ventes[[#This Row],[Cde_Prdt]], tbl_Produits[Cde_Prdt], tbl_Produits[Coût Moyen Portion]), 0)</f>
        <v>0</v>
      </c>
      <c r="I309" s="7">
        <f>tbl_Ventes[[#This Row],[Qté Vendue]] * tbl_Ventes[[#This Row],[CMP_par_portion]]</f>
        <v>0</v>
      </c>
      <c r="J309" s="7">
        <f>tbl_Ventes[[#This Row],[CA ligne]] - tbl_Ventes[[#This Row],[Coût matière ligne]]</f>
        <v>0</v>
      </c>
      <c r="K309" s="7" t="str">
        <f>IFERROR(INDEX(tbl_ProduitsRef[Famille], MATCH(tbl_Ventes[[#This Row],[Cde_Prdt]], tbl_Produits[Cde_Prdt], 0)), "")</f>
        <v/>
      </c>
    </row>
    <row r="310" spans="1:11" x14ac:dyDescent="0.25">
      <c r="A310" s="5"/>
      <c r="B310" s="63" t="str">
        <f>IFERROR(TEXT(tbl_Ventes[[#This Row],[Date]],"mm-aaaa"),"")</f>
        <v>01-1900</v>
      </c>
      <c r="D310" s="10" t="str">
        <f>IFERROR(
   INDEX(tbl_ProduitsRef[Cde_Prdt],MATCH(tbl_Ventes[[#This Row],[Produit]],tbl_ProduitsRef[Produit],0)),
   ""
)</f>
        <v/>
      </c>
      <c r="E310" s="7">
        <v>0</v>
      </c>
      <c r="F310" s="7" t="str">
        <f>IFERROR(
   INDEX(tbl_ProduitsRef[Prix Menu],MATCH(tbl_Ventes[[#This Row],[Produit]],tbl_ProduitsRef[Produit],0)),
   ""
)</f>
        <v/>
      </c>
      <c r="G310" s="7">
        <f>tbl_Ventes[[#This Row],[Qté Vendue]] * IFERROR(_xlfn.XLOOKUP(tbl_Ventes[[#This Row],[Cde_Prdt]], tbl_Produits[Cde_Prdt], tbl_Produits[Prix Menu]), 0)</f>
        <v>0</v>
      </c>
      <c r="H310" s="7">
        <f>IFERROR(_xlfn.XLOOKUP(tbl_Ventes[[#This Row],[Cde_Prdt]], tbl_Produits[Cde_Prdt], tbl_Produits[Coût Moyen Portion]), 0)</f>
        <v>0</v>
      </c>
      <c r="I310" s="7">
        <f>tbl_Ventes[[#This Row],[Qté Vendue]] * tbl_Ventes[[#This Row],[CMP_par_portion]]</f>
        <v>0</v>
      </c>
      <c r="J310" s="7">
        <f>tbl_Ventes[[#This Row],[CA ligne]] - tbl_Ventes[[#This Row],[Coût matière ligne]]</f>
        <v>0</v>
      </c>
      <c r="K310" s="7" t="str">
        <f>IFERROR(INDEX(tbl_ProduitsRef[Famille], MATCH(tbl_Ventes[[#This Row],[Cde_Prdt]], tbl_Produits[Cde_Prdt], 0)), "")</f>
        <v/>
      </c>
    </row>
    <row r="311" spans="1:11" x14ac:dyDescent="0.25">
      <c r="A311" s="5"/>
      <c r="B311" s="63" t="str">
        <f>IFERROR(TEXT(tbl_Ventes[[#This Row],[Date]],"mm-aaaa"),"")</f>
        <v>01-1900</v>
      </c>
      <c r="D311" s="10" t="str">
        <f>IFERROR(
   INDEX(tbl_ProduitsRef[Cde_Prdt],MATCH(tbl_Ventes[[#This Row],[Produit]],tbl_ProduitsRef[Produit],0)),
   ""
)</f>
        <v/>
      </c>
      <c r="E311" s="7">
        <v>0</v>
      </c>
      <c r="F311" s="7" t="str">
        <f>IFERROR(
   INDEX(tbl_ProduitsRef[Prix Menu],MATCH(tbl_Ventes[[#This Row],[Produit]],tbl_ProduitsRef[Produit],0)),
   ""
)</f>
        <v/>
      </c>
      <c r="G311" s="7">
        <f>tbl_Ventes[[#This Row],[Qté Vendue]] * IFERROR(_xlfn.XLOOKUP(tbl_Ventes[[#This Row],[Cde_Prdt]], tbl_Produits[Cde_Prdt], tbl_Produits[Prix Menu]), 0)</f>
        <v>0</v>
      </c>
      <c r="H311" s="7">
        <f>IFERROR(_xlfn.XLOOKUP(tbl_Ventes[[#This Row],[Cde_Prdt]], tbl_Produits[Cde_Prdt], tbl_Produits[Coût Moyen Portion]), 0)</f>
        <v>0</v>
      </c>
      <c r="I311" s="7">
        <f>tbl_Ventes[[#This Row],[Qté Vendue]] * tbl_Ventes[[#This Row],[CMP_par_portion]]</f>
        <v>0</v>
      </c>
      <c r="J311" s="7">
        <f>tbl_Ventes[[#This Row],[CA ligne]] - tbl_Ventes[[#This Row],[Coût matière ligne]]</f>
        <v>0</v>
      </c>
      <c r="K311" s="7" t="str">
        <f>IFERROR(INDEX(tbl_ProduitsRef[Famille], MATCH(tbl_Ventes[[#This Row],[Cde_Prdt]], tbl_Produits[Cde_Prdt], 0)), "")</f>
        <v/>
      </c>
    </row>
    <row r="312" spans="1:11" x14ac:dyDescent="0.25">
      <c r="A312" s="5"/>
      <c r="B312" s="63" t="str">
        <f>IFERROR(TEXT(tbl_Ventes[[#This Row],[Date]],"mm-aaaa"),"")</f>
        <v>01-1900</v>
      </c>
      <c r="D312" s="10" t="str">
        <f>IFERROR(
   INDEX(tbl_ProduitsRef[Cde_Prdt],MATCH(tbl_Ventes[[#This Row],[Produit]],tbl_ProduitsRef[Produit],0)),
   ""
)</f>
        <v/>
      </c>
      <c r="E312" s="7">
        <v>0</v>
      </c>
      <c r="F312" s="7" t="str">
        <f>IFERROR(
   INDEX(tbl_ProduitsRef[Prix Menu],MATCH(tbl_Ventes[[#This Row],[Produit]],tbl_ProduitsRef[Produit],0)),
   ""
)</f>
        <v/>
      </c>
      <c r="G312" s="7">
        <f>tbl_Ventes[[#This Row],[Qté Vendue]] * IFERROR(_xlfn.XLOOKUP(tbl_Ventes[[#This Row],[Cde_Prdt]], tbl_Produits[Cde_Prdt], tbl_Produits[Prix Menu]), 0)</f>
        <v>0</v>
      </c>
      <c r="H312" s="7">
        <f>IFERROR(_xlfn.XLOOKUP(tbl_Ventes[[#This Row],[Cde_Prdt]], tbl_Produits[Cde_Prdt], tbl_Produits[Coût Moyen Portion]), 0)</f>
        <v>0</v>
      </c>
      <c r="I312" s="7">
        <f>tbl_Ventes[[#This Row],[Qté Vendue]] * tbl_Ventes[[#This Row],[CMP_par_portion]]</f>
        <v>0</v>
      </c>
      <c r="J312" s="7">
        <f>tbl_Ventes[[#This Row],[CA ligne]] - tbl_Ventes[[#This Row],[Coût matière ligne]]</f>
        <v>0</v>
      </c>
      <c r="K312" s="7" t="str">
        <f>IFERROR(INDEX(tbl_ProduitsRef[Famille], MATCH(tbl_Ventes[[#This Row],[Cde_Prdt]], tbl_Produits[Cde_Prdt], 0)), "")</f>
        <v/>
      </c>
    </row>
    <row r="313" spans="1:11" x14ac:dyDescent="0.25">
      <c r="A313" s="5"/>
      <c r="B313" s="63" t="str">
        <f>IFERROR(TEXT(tbl_Ventes[[#This Row],[Date]],"mm-aaaa"),"")</f>
        <v>01-1900</v>
      </c>
      <c r="D313" s="10" t="str">
        <f>IFERROR(
   INDEX(tbl_ProduitsRef[Cde_Prdt],MATCH(tbl_Ventes[[#This Row],[Produit]],tbl_ProduitsRef[Produit],0)),
   ""
)</f>
        <v/>
      </c>
      <c r="E313" s="7">
        <v>0</v>
      </c>
      <c r="F313" s="7" t="str">
        <f>IFERROR(
   INDEX(tbl_ProduitsRef[Prix Menu],MATCH(tbl_Ventes[[#This Row],[Produit]],tbl_ProduitsRef[Produit],0)),
   ""
)</f>
        <v/>
      </c>
      <c r="G313" s="7">
        <f>tbl_Ventes[[#This Row],[Qté Vendue]] * IFERROR(_xlfn.XLOOKUP(tbl_Ventes[[#This Row],[Cde_Prdt]], tbl_Produits[Cde_Prdt], tbl_Produits[Prix Menu]), 0)</f>
        <v>0</v>
      </c>
      <c r="H313" s="7">
        <f>IFERROR(_xlfn.XLOOKUP(tbl_Ventes[[#This Row],[Cde_Prdt]], tbl_Produits[Cde_Prdt], tbl_Produits[Coût Moyen Portion]), 0)</f>
        <v>0</v>
      </c>
      <c r="I313" s="7">
        <f>tbl_Ventes[[#This Row],[Qté Vendue]] * tbl_Ventes[[#This Row],[CMP_par_portion]]</f>
        <v>0</v>
      </c>
      <c r="J313" s="7">
        <f>tbl_Ventes[[#This Row],[CA ligne]] - tbl_Ventes[[#This Row],[Coût matière ligne]]</f>
        <v>0</v>
      </c>
      <c r="K313" s="7" t="str">
        <f>IFERROR(INDEX(tbl_ProduitsRef[Famille], MATCH(tbl_Ventes[[#This Row],[Cde_Prdt]], tbl_Produits[Cde_Prdt], 0)), "")</f>
        <v/>
      </c>
    </row>
    <row r="314" spans="1:11" x14ac:dyDescent="0.25">
      <c r="A314" s="5"/>
      <c r="B314" s="63" t="str">
        <f>IFERROR(TEXT(tbl_Ventes[[#This Row],[Date]],"mm-aaaa"),"")</f>
        <v>01-1900</v>
      </c>
      <c r="D314" s="10" t="str">
        <f>IFERROR(
   INDEX(tbl_ProduitsRef[Cde_Prdt],MATCH(tbl_Ventes[[#This Row],[Produit]],tbl_ProduitsRef[Produit],0)),
   ""
)</f>
        <v/>
      </c>
      <c r="E314" s="7">
        <v>0</v>
      </c>
      <c r="F314" s="7" t="str">
        <f>IFERROR(
   INDEX(tbl_ProduitsRef[Prix Menu],MATCH(tbl_Ventes[[#This Row],[Produit]],tbl_ProduitsRef[Produit],0)),
   ""
)</f>
        <v/>
      </c>
      <c r="G314" s="7">
        <f>tbl_Ventes[[#This Row],[Qté Vendue]] * IFERROR(_xlfn.XLOOKUP(tbl_Ventes[[#This Row],[Cde_Prdt]], tbl_Produits[Cde_Prdt], tbl_Produits[Prix Menu]), 0)</f>
        <v>0</v>
      </c>
      <c r="H314" s="7">
        <f>IFERROR(_xlfn.XLOOKUP(tbl_Ventes[[#This Row],[Cde_Prdt]], tbl_Produits[Cde_Prdt], tbl_Produits[Coût Moyen Portion]), 0)</f>
        <v>0</v>
      </c>
      <c r="I314" s="7">
        <f>tbl_Ventes[[#This Row],[Qté Vendue]] * tbl_Ventes[[#This Row],[CMP_par_portion]]</f>
        <v>0</v>
      </c>
      <c r="J314" s="7">
        <f>tbl_Ventes[[#This Row],[CA ligne]] - tbl_Ventes[[#This Row],[Coût matière ligne]]</f>
        <v>0</v>
      </c>
      <c r="K314" s="7" t="str">
        <f>IFERROR(INDEX(tbl_ProduitsRef[Famille], MATCH(tbl_Ventes[[#This Row],[Cde_Prdt]], tbl_Produits[Cde_Prdt], 0)), "")</f>
        <v/>
      </c>
    </row>
    <row r="315" spans="1:11" x14ac:dyDescent="0.25">
      <c r="A315" s="5"/>
      <c r="B315" s="63" t="str">
        <f>IFERROR(TEXT(tbl_Ventes[[#This Row],[Date]],"mm-aaaa"),"")</f>
        <v>01-1900</v>
      </c>
      <c r="D315" s="10" t="str">
        <f>IFERROR(
   INDEX(tbl_ProduitsRef[Cde_Prdt],MATCH(tbl_Ventes[[#This Row],[Produit]],tbl_ProduitsRef[Produit],0)),
   ""
)</f>
        <v/>
      </c>
      <c r="E315" s="7">
        <v>0</v>
      </c>
      <c r="F315" s="7" t="str">
        <f>IFERROR(
   INDEX(tbl_ProduitsRef[Prix Menu],MATCH(tbl_Ventes[[#This Row],[Produit]],tbl_ProduitsRef[Produit],0)),
   ""
)</f>
        <v/>
      </c>
      <c r="G315" s="7">
        <f>tbl_Ventes[[#This Row],[Qté Vendue]] * IFERROR(_xlfn.XLOOKUP(tbl_Ventes[[#This Row],[Cde_Prdt]], tbl_Produits[Cde_Prdt], tbl_Produits[Prix Menu]), 0)</f>
        <v>0</v>
      </c>
      <c r="H315" s="7">
        <f>IFERROR(_xlfn.XLOOKUP(tbl_Ventes[[#This Row],[Cde_Prdt]], tbl_Produits[Cde_Prdt], tbl_Produits[Coût Moyen Portion]), 0)</f>
        <v>0</v>
      </c>
      <c r="I315" s="7">
        <f>tbl_Ventes[[#This Row],[Qté Vendue]] * tbl_Ventes[[#This Row],[CMP_par_portion]]</f>
        <v>0</v>
      </c>
      <c r="J315" s="7">
        <f>tbl_Ventes[[#This Row],[CA ligne]] - tbl_Ventes[[#This Row],[Coût matière ligne]]</f>
        <v>0</v>
      </c>
      <c r="K315" s="7" t="str">
        <f>IFERROR(INDEX(tbl_ProduitsRef[Famille], MATCH(tbl_Ventes[[#This Row],[Cde_Prdt]], tbl_Produits[Cde_Prdt], 0)), "")</f>
        <v/>
      </c>
    </row>
    <row r="316" spans="1:11" x14ac:dyDescent="0.25">
      <c r="A316" s="5"/>
      <c r="B316" s="63" t="str">
        <f>IFERROR(TEXT(tbl_Ventes[[#This Row],[Date]],"mm-aaaa"),"")</f>
        <v>01-1900</v>
      </c>
      <c r="D316" s="10" t="str">
        <f>IFERROR(
   INDEX(tbl_ProduitsRef[Cde_Prdt],MATCH(tbl_Ventes[[#This Row],[Produit]],tbl_ProduitsRef[Produit],0)),
   ""
)</f>
        <v/>
      </c>
      <c r="E316" s="7">
        <v>0</v>
      </c>
      <c r="F316" s="7" t="str">
        <f>IFERROR(
   INDEX(tbl_ProduitsRef[Prix Menu],MATCH(tbl_Ventes[[#This Row],[Produit]],tbl_ProduitsRef[Produit],0)),
   ""
)</f>
        <v/>
      </c>
      <c r="G316" s="7">
        <f>tbl_Ventes[[#This Row],[Qté Vendue]] * IFERROR(_xlfn.XLOOKUP(tbl_Ventes[[#This Row],[Cde_Prdt]], tbl_Produits[Cde_Prdt], tbl_Produits[Prix Menu]), 0)</f>
        <v>0</v>
      </c>
      <c r="H316" s="7">
        <f>IFERROR(_xlfn.XLOOKUP(tbl_Ventes[[#This Row],[Cde_Prdt]], tbl_Produits[Cde_Prdt], tbl_Produits[Coût Moyen Portion]), 0)</f>
        <v>0</v>
      </c>
      <c r="I316" s="7">
        <f>tbl_Ventes[[#This Row],[Qté Vendue]] * tbl_Ventes[[#This Row],[CMP_par_portion]]</f>
        <v>0</v>
      </c>
      <c r="J316" s="7">
        <f>tbl_Ventes[[#This Row],[CA ligne]] - tbl_Ventes[[#This Row],[Coût matière ligne]]</f>
        <v>0</v>
      </c>
      <c r="K316" s="7" t="str">
        <f>IFERROR(INDEX(tbl_ProduitsRef[Famille], MATCH(tbl_Ventes[[#This Row],[Cde_Prdt]], tbl_Produits[Cde_Prdt], 0)), "")</f>
        <v/>
      </c>
    </row>
    <row r="317" spans="1:11" x14ac:dyDescent="0.25">
      <c r="A317" s="5"/>
      <c r="B317" s="63" t="str">
        <f>IFERROR(TEXT(tbl_Ventes[[#This Row],[Date]],"mm-aaaa"),"")</f>
        <v>01-1900</v>
      </c>
      <c r="D317" s="10" t="str">
        <f>IFERROR(
   INDEX(tbl_ProduitsRef[Cde_Prdt],MATCH(tbl_Ventes[[#This Row],[Produit]],tbl_ProduitsRef[Produit],0)),
   ""
)</f>
        <v/>
      </c>
      <c r="E317" s="7">
        <v>0</v>
      </c>
      <c r="F317" s="7" t="str">
        <f>IFERROR(
   INDEX(tbl_ProduitsRef[Prix Menu],MATCH(tbl_Ventes[[#This Row],[Produit]],tbl_ProduitsRef[Produit],0)),
   ""
)</f>
        <v/>
      </c>
      <c r="G317" s="7">
        <f>tbl_Ventes[[#This Row],[Qté Vendue]] * IFERROR(_xlfn.XLOOKUP(tbl_Ventes[[#This Row],[Cde_Prdt]], tbl_Produits[Cde_Prdt], tbl_Produits[Prix Menu]), 0)</f>
        <v>0</v>
      </c>
      <c r="H317" s="7">
        <f>IFERROR(_xlfn.XLOOKUP(tbl_Ventes[[#This Row],[Cde_Prdt]], tbl_Produits[Cde_Prdt], tbl_Produits[Coût Moyen Portion]), 0)</f>
        <v>0</v>
      </c>
      <c r="I317" s="7">
        <f>tbl_Ventes[[#This Row],[Qté Vendue]] * tbl_Ventes[[#This Row],[CMP_par_portion]]</f>
        <v>0</v>
      </c>
      <c r="J317" s="7">
        <f>tbl_Ventes[[#This Row],[CA ligne]] - tbl_Ventes[[#This Row],[Coût matière ligne]]</f>
        <v>0</v>
      </c>
      <c r="K317" s="7" t="str">
        <f>IFERROR(INDEX(tbl_ProduitsRef[Famille], MATCH(tbl_Ventes[[#This Row],[Cde_Prdt]], tbl_Produits[Cde_Prdt], 0)), "")</f>
        <v/>
      </c>
    </row>
    <row r="318" spans="1:11" x14ac:dyDescent="0.25">
      <c r="A318" s="5"/>
      <c r="B318" s="63" t="str">
        <f>IFERROR(TEXT(tbl_Ventes[[#This Row],[Date]],"mm-aaaa"),"")</f>
        <v>01-1900</v>
      </c>
      <c r="D318" s="10" t="str">
        <f>IFERROR(
   INDEX(tbl_ProduitsRef[Cde_Prdt],MATCH(tbl_Ventes[[#This Row],[Produit]],tbl_ProduitsRef[Produit],0)),
   ""
)</f>
        <v/>
      </c>
      <c r="E318" s="7">
        <v>0</v>
      </c>
      <c r="F318" s="7" t="str">
        <f>IFERROR(
   INDEX(tbl_ProduitsRef[Prix Menu],MATCH(tbl_Ventes[[#This Row],[Produit]],tbl_ProduitsRef[Produit],0)),
   ""
)</f>
        <v/>
      </c>
      <c r="G318" s="7">
        <f>tbl_Ventes[[#This Row],[Qté Vendue]] * IFERROR(_xlfn.XLOOKUP(tbl_Ventes[[#This Row],[Cde_Prdt]], tbl_Produits[Cde_Prdt], tbl_Produits[Prix Menu]), 0)</f>
        <v>0</v>
      </c>
      <c r="H318" s="7">
        <f>IFERROR(_xlfn.XLOOKUP(tbl_Ventes[[#This Row],[Cde_Prdt]], tbl_Produits[Cde_Prdt], tbl_Produits[Coût Moyen Portion]), 0)</f>
        <v>0</v>
      </c>
      <c r="I318" s="7">
        <f>tbl_Ventes[[#This Row],[Qté Vendue]] * tbl_Ventes[[#This Row],[CMP_par_portion]]</f>
        <v>0</v>
      </c>
      <c r="J318" s="7">
        <f>tbl_Ventes[[#This Row],[CA ligne]] - tbl_Ventes[[#This Row],[Coût matière ligne]]</f>
        <v>0</v>
      </c>
      <c r="K318" s="7" t="str">
        <f>IFERROR(INDEX(tbl_ProduitsRef[Famille], MATCH(tbl_Ventes[[#This Row],[Cde_Prdt]], tbl_Produits[Cde_Prdt], 0)), "")</f>
        <v/>
      </c>
    </row>
    <row r="319" spans="1:11" x14ac:dyDescent="0.25">
      <c r="A319" s="5"/>
      <c r="B319" s="63" t="str">
        <f>IFERROR(TEXT(tbl_Ventes[[#This Row],[Date]],"mm-aaaa"),"")</f>
        <v>01-1900</v>
      </c>
      <c r="D319" s="10" t="str">
        <f>IFERROR(
   INDEX(tbl_ProduitsRef[Cde_Prdt],MATCH(tbl_Ventes[[#This Row],[Produit]],tbl_ProduitsRef[Produit],0)),
   ""
)</f>
        <v/>
      </c>
      <c r="E319" s="7">
        <v>0</v>
      </c>
      <c r="F319" s="7" t="str">
        <f>IFERROR(
   INDEX(tbl_ProduitsRef[Prix Menu],MATCH(tbl_Ventes[[#This Row],[Produit]],tbl_ProduitsRef[Produit],0)),
   ""
)</f>
        <v/>
      </c>
      <c r="G319" s="7">
        <f>tbl_Ventes[[#This Row],[Qté Vendue]] * IFERROR(_xlfn.XLOOKUP(tbl_Ventes[[#This Row],[Cde_Prdt]], tbl_Produits[Cde_Prdt], tbl_Produits[Prix Menu]), 0)</f>
        <v>0</v>
      </c>
      <c r="H319" s="7">
        <f>IFERROR(_xlfn.XLOOKUP(tbl_Ventes[[#This Row],[Cde_Prdt]], tbl_Produits[Cde_Prdt], tbl_Produits[Coût Moyen Portion]), 0)</f>
        <v>0</v>
      </c>
      <c r="I319" s="7">
        <f>tbl_Ventes[[#This Row],[Qté Vendue]] * tbl_Ventes[[#This Row],[CMP_par_portion]]</f>
        <v>0</v>
      </c>
      <c r="J319" s="7">
        <f>tbl_Ventes[[#This Row],[CA ligne]] - tbl_Ventes[[#This Row],[Coût matière ligne]]</f>
        <v>0</v>
      </c>
      <c r="K319" s="7" t="str">
        <f>IFERROR(INDEX(tbl_ProduitsRef[Famille], MATCH(tbl_Ventes[[#This Row],[Cde_Prdt]], tbl_Produits[Cde_Prdt], 0)), "")</f>
        <v/>
      </c>
    </row>
    <row r="320" spans="1:11" x14ac:dyDescent="0.25">
      <c r="A320" s="5"/>
      <c r="B320" s="63" t="str">
        <f>IFERROR(TEXT(tbl_Ventes[[#This Row],[Date]],"mm-aaaa"),"")</f>
        <v>01-1900</v>
      </c>
      <c r="D320" s="10" t="str">
        <f>IFERROR(
   INDEX(tbl_ProduitsRef[Cde_Prdt],MATCH(tbl_Ventes[[#This Row],[Produit]],tbl_ProduitsRef[Produit],0)),
   ""
)</f>
        <v/>
      </c>
      <c r="E320" s="7">
        <v>0</v>
      </c>
      <c r="F320" s="7" t="str">
        <f>IFERROR(
   INDEX(tbl_ProduitsRef[Prix Menu],MATCH(tbl_Ventes[[#This Row],[Produit]],tbl_ProduitsRef[Produit],0)),
   ""
)</f>
        <v/>
      </c>
      <c r="G320" s="7">
        <f>tbl_Ventes[[#This Row],[Qté Vendue]] * IFERROR(_xlfn.XLOOKUP(tbl_Ventes[[#This Row],[Cde_Prdt]], tbl_Produits[Cde_Prdt], tbl_Produits[Prix Menu]), 0)</f>
        <v>0</v>
      </c>
      <c r="H320" s="7">
        <f>IFERROR(_xlfn.XLOOKUP(tbl_Ventes[[#This Row],[Cde_Prdt]], tbl_Produits[Cde_Prdt], tbl_Produits[Coût Moyen Portion]), 0)</f>
        <v>0</v>
      </c>
      <c r="I320" s="7">
        <f>tbl_Ventes[[#This Row],[Qté Vendue]] * tbl_Ventes[[#This Row],[CMP_par_portion]]</f>
        <v>0</v>
      </c>
      <c r="J320" s="7">
        <f>tbl_Ventes[[#This Row],[CA ligne]] - tbl_Ventes[[#This Row],[Coût matière ligne]]</f>
        <v>0</v>
      </c>
      <c r="K320" s="7" t="str">
        <f>IFERROR(INDEX(tbl_ProduitsRef[Famille], MATCH(tbl_Ventes[[#This Row],[Cde_Prdt]], tbl_Produits[Cde_Prdt], 0)), "")</f>
        <v/>
      </c>
    </row>
    <row r="321" spans="1:11" x14ac:dyDescent="0.25">
      <c r="A321" s="5"/>
      <c r="B321" s="63" t="str">
        <f>IFERROR(TEXT(tbl_Ventes[[#This Row],[Date]],"mm-aaaa"),"")</f>
        <v>01-1900</v>
      </c>
      <c r="D321" s="10" t="str">
        <f>IFERROR(
   INDEX(tbl_ProduitsRef[Cde_Prdt],MATCH(tbl_Ventes[[#This Row],[Produit]],tbl_ProduitsRef[Produit],0)),
   ""
)</f>
        <v/>
      </c>
      <c r="E321" s="7">
        <v>0</v>
      </c>
      <c r="F321" s="7" t="str">
        <f>IFERROR(
   INDEX(tbl_ProduitsRef[Prix Menu],MATCH(tbl_Ventes[[#This Row],[Produit]],tbl_ProduitsRef[Produit],0)),
   ""
)</f>
        <v/>
      </c>
      <c r="G321" s="7">
        <f>tbl_Ventes[[#This Row],[Qté Vendue]] * IFERROR(_xlfn.XLOOKUP(tbl_Ventes[[#This Row],[Cde_Prdt]], tbl_Produits[Cde_Prdt], tbl_Produits[Prix Menu]), 0)</f>
        <v>0</v>
      </c>
      <c r="H321" s="7">
        <f>IFERROR(_xlfn.XLOOKUP(tbl_Ventes[[#This Row],[Cde_Prdt]], tbl_Produits[Cde_Prdt], tbl_Produits[Coût Moyen Portion]), 0)</f>
        <v>0</v>
      </c>
      <c r="I321" s="7">
        <f>tbl_Ventes[[#This Row],[Qté Vendue]] * tbl_Ventes[[#This Row],[CMP_par_portion]]</f>
        <v>0</v>
      </c>
      <c r="J321" s="7">
        <f>tbl_Ventes[[#This Row],[CA ligne]] - tbl_Ventes[[#This Row],[Coût matière ligne]]</f>
        <v>0</v>
      </c>
      <c r="K321" s="7" t="str">
        <f>IFERROR(INDEX(tbl_ProduitsRef[Famille], MATCH(tbl_Ventes[[#This Row],[Cde_Prdt]], tbl_Produits[Cde_Prdt], 0)), "")</f>
        <v/>
      </c>
    </row>
    <row r="322" spans="1:11" x14ac:dyDescent="0.25">
      <c r="A322" s="5"/>
      <c r="B322" s="63" t="str">
        <f>IFERROR(TEXT(tbl_Ventes[[#This Row],[Date]],"mm-aaaa"),"")</f>
        <v>01-1900</v>
      </c>
      <c r="D322" s="10" t="str">
        <f>IFERROR(
   INDEX(tbl_ProduitsRef[Cde_Prdt],MATCH(tbl_Ventes[[#This Row],[Produit]],tbl_ProduitsRef[Produit],0)),
   ""
)</f>
        <v/>
      </c>
      <c r="E322" s="7">
        <v>0</v>
      </c>
      <c r="F322" s="7" t="str">
        <f>IFERROR(
   INDEX(tbl_ProduitsRef[Prix Menu],MATCH(tbl_Ventes[[#This Row],[Produit]],tbl_ProduitsRef[Produit],0)),
   ""
)</f>
        <v/>
      </c>
      <c r="G322" s="7">
        <f>tbl_Ventes[[#This Row],[Qté Vendue]] * IFERROR(_xlfn.XLOOKUP(tbl_Ventes[[#This Row],[Cde_Prdt]], tbl_Produits[Cde_Prdt], tbl_Produits[Prix Menu]), 0)</f>
        <v>0</v>
      </c>
      <c r="H322" s="7">
        <f>IFERROR(_xlfn.XLOOKUP(tbl_Ventes[[#This Row],[Cde_Prdt]], tbl_Produits[Cde_Prdt], tbl_Produits[Coût Moyen Portion]), 0)</f>
        <v>0</v>
      </c>
      <c r="I322" s="7">
        <f>tbl_Ventes[[#This Row],[Qté Vendue]] * tbl_Ventes[[#This Row],[CMP_par_portion]]</f>
        <v>0</v>
      </c>
      <c r="J322" s="7">
        <f>tbl_Ventes[[#This Row],[CA ligne]] - tbl_Ventes[[#This Row],[Coût matière ligne]]</f>
        <v>0</v>
      </c>
      <c r="K322" s="7" t="str">
        <f>IFERROR(INDEX(tbl_ProduitsRef[Famille], MATCH(tbl_Ventes[[#This Row],[Cde_Prdt]], tbl_Produits[Cde_Prdt], 0)), "")</f>
        <v/>
      </c>
    </row>
    <row r="323" spans="1:11" x14ac:dyDescent="0.25">
      <c r="A323" s="5"/>
      <c r="B323" s="63" t="str">
        <f>IFERROR(TEXT(tbl_Ventes[[#This Row],[Date]],"mm-aaaa"),"")</f>
        <v>01-1900</v>
      </c>
      <c r="D323" s="10" t="str">
        <f>IFERROR(
   INDEX(tbl_ProduitsRef[Cde_Prdt],MATCH(tbl_Ventes[[#This Row],[Produit]],tbl_ProduitsRef[Produit],0)),
   ""
)</f>
        <v/>
      </c>
      <c r="E323" s="7">
        <v>0</v>
      </c>
      <c r="F323" s="7" t="str">
        <f>IFERROR(
   INDEX(tbl_ProduitsRef[Prix Menu],MATCH(tbl_Ventes[[#This Row],[Produit]],tbl_ProduitsRef[Produit],0)),
   ""
)</f>
        <v/>
      </c>
      <c r="G323" s="7">
        <f>tbl_Ventes[[#This Row],[Qté Vendue]] * IFERROR(_xlfn.XLOOKUP(tbl_Ventes[[#This Row],[Cde_Prdt]], tbl_Produits[Cde_Prdt], tbl_Produits[Prix Menu]), 0)</f>
        <v>0</v>
      </c>
      <c r="H323" s="7">
        <f>IFERROR(_xlfn.XLOOKUP(tbl_Ventes[[#This Row],[Cde_Prdt]], tbl_Produits[Cde_Prdt], tbl_Produits[Coût Moyen Portion]), 0)</f>
        <v>0</v>
      </c>
      <c r="I323" s="7">
        <f>tbl_Ventes[[#This Row],[Qté Vendue]] * tbl_Ventes[[#This Row],[CMP_par_portion]]</f>
        <v>0</v>
      </c>
      <c r="J323" s="7">
        <f>tbl_Ventes[[#This Row],[CA ligne]] - tbl_Ventes[[#This Row],[Coût matière ligne]]</f>
        <v>0</v>
      </c>
      <c r="K323" s="7" t="str">
        <f>IFERROR(INDEX(tbl_ProduitsRef[Famille], MATCH(tbl_Ventes[[#This Row],[Cde_Prdt]], tbl_Produits[Cde_Prdt], 0)), "")</f>
        <v/>
      </c>
    </row>
    <row r="324" spans="1:11" x14ac:dyDescent="0.25">
      <c r="A324" s="5"/>
      <c r="B324" s="63" t="str">
        <f>IFERROR(TEXT(tbl_Ventes[[#This Row],[Date]],"mm-aaaa"),"")</f>
        <v>01-1900</v>
      </c>
      <c r="D324" s="10" t="str">
        <f>IFERROR(
   INDEX(tbl_ProduitsRef[Cde_Prdt],MATCH(tbl_Ventes[[#This Row],[Produit]],tbl_ProduitsRef[Produit],0)),
   ""
)</f>
        <v/>
      </c>
      <c r="E324" s="7">
        <v>0</v>
      </c>
      <c r="F324" s="7" t="str">
        <f>IFERROR(
   INDEX(tbl_ProduitsRef[Prix Menu],MATCH(tbl_Ventes[[#This Row],[Produit]],tbl_ProduitsRef[Produit],0)),
   ""
)</f>
        <v/>
      </c>
      <c r="G324" s="7">
        <f>tbl_Ventes[[#This Row],[Qté Vendue]] * IFERROR(_xlfn.XLOOKUP(tbl_Ventes[[#This Row],[Cde_Prdt]], tbl_Produits[Cde_Prdt], tbl_Produits[Prix Menu]), 0)</f>
        <v>0</v>
      </c>
      <c r="H324" s="7">
        <f>IFERROR(_xlfn.XLOOKUP(tbl_Ventes[[#This Row],[Cde_Prdt]], tbl_Produits[Cde_Prdt], tbl_Produits[Coût Moyen Portion]), 0)</f>
        <v>0</v>
      </c>
      <c r="I324" s="7">
        <f>tbl_Ventes[[#This Row],[Qté Vendue]] * tbl_Ventes[[#This Row],[CMP_par_portion]]</f>
        <v>0</v>
      </c>
      <c r="J324" s="7">
        <f>tbl_Ventes[[#This Row],[CA ligne]] - tbl_Ventes[[#This Row],[Coût matière ligne]]</f>
        <v>0</v>
      </c>
      <c r="K324" s="7" t="str">
        <f>IFERROR(INDEX(tbl_ProduitsRef[Famille], MATCH(tbl_Ventes[[#This Row],[Cde_Prdt]], tbl_Produits[Cde_Prdt], 0)), "")</f>
        <v/>
      </c>
    </row>
    <row r="325" spans="1:11" x14ac:dyDescent="0.25">
      <c r="A325" s="5"/>
      <c r="B325" s="63" t="str">
        <f>IFERROR(TEXT(tbl_Ventes[[#This Row],[Date]],"mm-aaaa"),"")</f>
        <v>01-1900</v>
      </c>
      <c r="D325" s="10" t="str">
        <f>IFERROR(
   INDEX(tbl_ProduitsRef[Cde_Prdt],MATCH(tbl_Ventes[[#This Row],[Produit]],tbl_ProduitsRef[Produit],0)),
   ""
)</f>
        <v/>
      </c>
      <c r="E325" s="7">
        <v>0</v>
      </c>
      <c r="F325" s="7" t="str">
        <f>IFERROR(
   INDEX(tbl_ProduitsRef[Prix Menu],MATCH(tbl_Ventes[[#This Row],[Produit]],tbl_ProduitsRef[Produit],0)),
   ""
)</f>
        <v/>
      </c>
      <c r="G325" s="7">
        <f>tbl_Ventes[[#This Row],[Qté Vendue]] * IFERROR(_xlfn.XLOOKUP(tbl_Ventes[[#This Row],[Cde_Prdt]], tbl_Produits[Cde_Prdt], tbl_Produits[Prix Menu]), 0)</f>
        <v>0</v>
      </c>
      <c r="H325" s="7">
        <f>IFERROR(_xlfn.XLOOKUP(tbl_Ventes[[#This Row],[Cde_Prdt]], tbl_Produits[Cde_Prdt], tbl_Produits[Coût Moyen Portion]), 0)</f>
        <v>0</v>
      </c>
      <c r="I325" s="7">
        <f>tbl_Ventes[[#This Row],[Qté Vendue]] * tbl_Ventes[[#This Row],[CMP_par_portion]]</f>
        <v>0</v>
      </c>
      <c r="J325" s="7">
        <f>tbl_Ventes[[#This Row],[CA ligne]] - tbl_Ventes[[#This Row],[Coût matière ligne]]</f>
        <v>0</v>
      </c>
      <c r="K325" s="7" t="str">
        <f>IFERROR(INDEX(tbl_ProduitsRef[Famille], MATCH(tbl_Ventes[[#This Row],[Cde_Prdt]], tbl_Produits[Cde_Prdt], 0)), "")</f>
        <v/>
      </c>
    </row>
    <row r="326" spans="1:11" x14ac:dyDescent="0.25">
      <c r="A326" s="5"/>
      <c r="B326" s="63" t="str">
        <f>IFERROR(TEXT(tbl_Ventes[[#This Row],[Date]],"mm-aaaa"),"")</f>
        <v>01-1900</v>
      </c>
      <c r="D326" s="10" t="str">
        <f>IFERROR(
   INDEX(tbl_ProduitsRef[Cde_Prdt],MATCH(tbl_Ventes[[#This Row],[Produit]],tbl_ProduitsRef[Produit],0)),
   ""
)</f>
        <v/>
      </c>
      <c r="E326" s="7">
        <v>0</v>
      </c>
      <c r="F326" s="7" t="str">
        <f>IFERROR(
   INDEX(tbl_ProduitsRef[Prix Menu],MATCH(tbl_Ventes[[#This Row],[Produit]],tbl_ProduitsRef[Produit],0)),
   ""
)</f>
        <v/>
      </c>
      <c r="G326" s="7">
        <f>tbl_Ventes[[#This Row],[Qté Vendue]] * IFERROR(_xlfn.XLOOKUP(tbl_Ventes[[#This Row],[Cde_Prdt]], tbl_Produits[Cde_Prdt], tbl_Produits[Prix Menu]), 0)</f>
        <v>0</v>
      </c>
      <c r="H326" s="7">
        <f>IFERROR(_xlfn.XLOOKUP(tbl_Ventes[[#This Row],[Cde_Prdt]], tbl_Produits[Cde_Prdt], tbl_Produits[Coût Moyen Portion]), 0)</f>
        <v>0</v>
      </c>
      <c r="I326" s="7">
        <f>tbl_Ventes[[#This Row],[Qté Vendue]] * tbl_Ventes[[#This Row],[CMP_par_portion]]</f>
        <v>0</v>
      </c>
      <c r="J326" s="7">
        <f>tbl_Ventes[[#This Row],[CA ligne]] - tbl_Ventes[[#This Row],[Coût matière ligne]]</f>
        <v>0</v>
      </c>
      <c r="K326" s="7" t="str">
        <f>IFERROR(INDEX(tbl_ProduitsRef[Famille], MATCH(tbl_Ventes[[#This Row],[Cde_Prdt]], tbl_Produits[Cde_Prdt], 0)), "")</f>
        <v/>
      </c>
    </row>
    <row r="327" spans="1:11" x14ac:dyDescent="0.25">
      <c r="A327" s="5"/>
      <c r="B327" s="63" t="str">
        <f>IFERROR(TEXT(tbl_Ventes[[#This Row],[Date]],"mm-aaaa"),"")</f>
        <v>01-1900</v>
      </c>
      <c r="D327" s="10" t="str">
        <f>IFERROR(
   INDEX(tbl_ProduitsRef[Cde_Prdt],MATCH(tbl_Ventes[[#This Row],[Produit]],tbl_ProduitsRef[Produit],0)),
   ""
)</f>
        <v/>
      </c>
      <c r="E327" s="7">
        <v>0</v>
      </c>
      <c r="F327" s="7" t="str">
        <f>IFERROR(
   INDEX(tbl_ProduitsRef[Prix Menu],MATCH(tbl_Ventes[[#This Row],[Produit]],tbl_ProduitsRef[Produit],0)),
   ""
)</f>
        <v/>
      </c>
      <c r="G327" s="7">
        <f>tbl_Ventes[[#This Row],[Qté Vendue]] * IFERROR(_xlfn.XLOOKUP(tbl_Ventes[[#This Row],[Cde_Prdt]], tbl_Produits[Cde_Prdt], tbl_Produits[Prix Menu]), 0)</f>
        <v>0</v>
      </c>
      <c r="H327" s="7">
        <f>IFERROR(_xlfn.XLOOKUP(tbl_Ventes[[#This Row],[Cde_Prdt]], tbl_Produits[Cde_Prdt], tbl_Produits[Coût Moyen Portion]), 0)</f>
        <v>0</v>
      </c>
      <c r="I327" s="7">
        <f>tbl_Ventes[[#This Row],[Qté Vendue]] * tbl_Ventes[[#This Row],[CMP_par_portion]]</f>
        <v>0</v>
      </c>
      <c r="J327" s="7">
        <f>tbl_Ventes[[#This Row],[CA ligne]] - tbl_Ventes[[#This Row],[Coût matière ligne]]</f>
        <v>0</v>
      </c>
      <c r="K327" s="7" t="str">
        <f>IFERROR(INDEX(tbl_ProduitsRef[Famille], MATCH(tbl_Ventes[[#This Row],[Cde_Prdt]], tbl_Produits[Cde_Prdt], 0)), "")</f>
        <v/>
      </c>
    </row>
    <row r="328" spans="1:11" x14ac:dyDescent="0.25">
      <c r="A328" s="5"/>
      <c r="B328" s="63" t="str">
        <f>IFERROR(TEXT(tbl_Ventes[[#This Row],[Date]],"mm-aaaa"),"")</f>
        <v>01-1900</v>
      </c>
      <c r="D328" s="10" t="str">
        <f>IFERROR(
   INDEX(tbl_ProduitsRef[Cde_Prdt],MATCH(tbl_Ventes[[#This Row],[Produit]],tbl_ProduitsRef[Produit],0)),
   ""
)</f>
        <v/>
      </c>
      <c r="E328" s="7">
        <v>0</v>
      </c>
      <c r="F328" s="7" t="str">
        <f>IFERROR(
   INDEX(tbl_ProduitsRef[Prix Menu],MATCH(tbl_Ventes[[#This Row],[Produit]],tbl_ProduitsRef[Produit],0)),
   ""
)</f>
        <v/>
      </c>
      <c r="G328" s="7">
        <f>tbl_Ventes[[#This Row],[Qté Vendue]] * IFERROR(_xlfn.XLOOKUP(tbl_Ventes[[#This Row],[Cde_Prdt]], tbl_Produits[Cde_Prdt], tbl_Produits[Prix Menu]), 0)</f>
        <v>0</v>
      </c>
      <c r="H328" s="7">
        <f>IFERROR(_xlfn.XLOOKUP(tbl_Ventes[[#This Row],[Cde_Prdt]], tbl_Produits[Cde_Prdt], tbl_Produits[Coût Moyen Portion]), 0)</f>
        <v>0</v>
      </c>
      <c r="I328" s="7">
        <f>tbl_Ventes[[#This Row],[Qté Vendue]] * tbl_Ventes[[#This Row],[CMP_par_portion]]</f>
        <v>0</v>
      </c>
      <c r="J328" s="7">
        <f>tbl_Ventes[[#This Row],[CA ligne]] - tbl_Ventes[[#This Row],[Coût matière ligne]]</f>
        <v>0</v>
      </c>
      <c r="K328" s="7" t="str">
        <f>IFERROR(INDEX(tbl_ProduitsRef[Famille], MATCH(tbl_Ventes[[#This Row],[Cde_Prdt]], tbl_Produits[Cde_Prdt], 0)), "")</f>
        <v/>
      </c>
    </row>
    <row r="329" spans="1:11" x14ac:dyDescent="0.25">
      <c r="A329" s="5"/>
      <c r="B329" s="63" t="str">
        <f>IFERROR(TEXT(tbl_Ventes[[#This Row],[Date]],"mm-aaaa"),"")</f>
        <v>01-1900</v>
      </c>
      <c r="D329" s="10" t="str">
        <f>IFERROR(
   INDEX(tbl_ProduitsRef[Cde_Prdt],MATCH(tbl_Ventes[[#This Row],[Produit]],tbl_ProduitsRef[Produit],0)),
   ""
)</f>
        <v/>
      </c>
      <c r="E329" s="7">
        <v>0</v>
      </c>
      <c r="F329" s="7" t="str">
        <f>IFERROR(
   INDEX(tbl_ProduitsRef[Prix Menu],MATCH(tbl_Ventes[[#This Row],[Produit]],tbl_ProduitsRef[Produit],0)),
   ""
)</f>
        <v/>
      </c>
      <c r="G329" s="7">
        <f>tbl_Ventes[[#This Row],[Qté Vendue]] * IFERROR(_xlfn.XLOOKUP(tbl_Ventes[[#This Row],[Cde_Prdt]], tbl_Produits[Cde_Prdt], tbl_Produits[Prix Menu]), 0)</f>
        <v>0</v>
      </c>
      <c r="H329" s="7">
        <f>IFERROR(_xlfn.XLOOKUP(tbl_Ventes[[#This Row],[Cde_Prdt]], tbl_Produits[Cde_Prdt], tbl_Produits[Coût Moyen Portion]), 0)</f>
        <v>0</v>
      </c>
      <c r="I329" s="7">
        <f>tbl_Ventes[[#This Row],[Qté Vendue]] * tbl_Ventes[[#This Row],[CMP_par_portion]]</f>
        <v>0</v>
      </c>
      <c r="J329" s="7">
        <f>tbl_Ventes[[#This Row],[CA ligne]] - tbl_Ventes[[#This Row],[Coût matière ligne]]</f>
        <v>0</v>
      </c>
      <c r="K329" s="7" t="str">
        <f>IFERROR(INDEX(tbl_ProduitsRef[Famille], MATCH(tbl_Ventes[[#This Row],[Cde_Prdt]], tbl_Produits[Cde_Prdt], 0)), "")</f>
        <v/>
      </c>
    </row>
    <row r="330" spans="1:11" x14ac:dyDescent="0.25">
      <c r="A330" s="5"/>
      <c r="B330" s="63" t="str">
        <f>IFERROR(TEXT(tbl_Ventes[[#This Row],[Date]],"mm-aaaa"),"")</f>
        <v>01-1900</v>
      </c>
      <c r="D330" s="10" t="str">
        <f>IFERROR(
   INDEX(tbl_ProduitsRef[Cde_Prdt],MATCH(tbl_Ventes[[#This Row],[Produit]],tbl_ProduitsRef[Produit],0)),
   ""
)</f>
        <v/>
      </c>
      <c r="E330" s="7">
        <v>0</v>
      </c>
      <c r="F330" s="7" t="str">
        <f>IFERROR(
   INDEX(tbl_ProduitsRef[Prix Menu],MATCH(tbl_Ventes[[#This Row],[Produit]],tbl_ProduitsRef[Produit],0)),
   ""
)</f>
        <v/>
      </c>
      <c r="G330" s="7">
        <f>tbl_Ventes[[#This Row],[Qté Vendue]] * IFERROR(_xlfn.XLOOKUP(tbl_Ventes[[#This Row],[Cde_Prdt]], tbl_Produits[Cde_Prdt], tbl_Produits[Prix Menu]), 0)</f>
        <v>0</v>
      </c>
      <c r="H330" s="7">
        <f>IFERROR(_xlfn.XLOOKUP(tbl_Ventes[[#This Row],[Cde_Prdt]], tbl_Produits[Cde_Prdt], tbl_Produits[Coût Moyen Portion]), 0)</f>
        <v>0</v>
      </c>
      <c r="I330" s="7">
        <f>tbl_Ventes[[#This Row],[Qté Vendue]] * tbl_Ventes[[#This Row],[CMP_par_portion]]</f>
        <v>0</v>
      </c>
      <c r="J330" s="7">
        <f>tbl_Ventes[[#This Row],[CA ligne]] - tbl_Ventes[[#This Row],[Coût matière ligne]]</f>
        <v>0</v>
      </c>
      <c r="K330" s="7" t="str">
        <f>IFERROR(INDEX(tbl_ProduitsRef[Famille], MATCH(tbl_Ventes[[#This Row],[Cde_Prdt]], tbl_Produits[Cde_Prdt], 0)), "")</f>
        <v/>
      </c>
    </row>
    <row r="331" spans="1:11" x14ac:dyDescent="0.25">
      <c r="A331" s="5"/>
      <c r="B331" s="63" t="str">
        <f>IFERROR(TEXT(tbl_Ventes[[#This Row],[Date]],"mm-aaaa"),"")</f>
        <v>01-1900</v>
      </c>
      <c r="D331" s="10" t="str">
        <f>IFERROR(
   INDEX(tbl_ProduitsRef[Cde_Prdt],MATCH(tbl_Ventes[[#This Row],[Produit]],tbl_ProduitsRef[Produit],0)),
   ""
)</f>
        <v/>
      </c>
      <c r="E331" s="7">
        <v>0</v>
      </c>
      <c r="F331" s="7" t="str">
        <f>IFERROR(
   INDEX(tbl_ProduitsRef[Prix Menu],MATCH(tbl_Ventes[[#This Row],[Produit]],tbl_ProduitsRef[Produit],0)),
   ""
)</f>
        <v/>
      </c>
      <c r="G331" s="7">
        <f>tbl_Ventes[[#This Row],[Qté Vendue]] * IFERROR(_xlfn.XLOOKUP(tbl_Ventes[[#This Row],[Cde_Prdt]], tbl_Produits[Cde_Prdt], tbl_Produits[Prix Menu]), 0)</f>
        <v>0</v>
      </c>
      <c r="H331" s="7">
        <f>IFERROR(_xlfn.XLOOKUP(tbl_Ventes[[#This Row],[Cde_Prdt]], tbl_Produits[Cde_Prdt], tbl_Produits[Coût Moyen Portion]), 0)</f>
        <v>0</v>
      </c>
      <c r="I331" s="7">
        <f>tbl_Ventes[[#This Row],[Qté Vendue]] * tbl_Ventes[[#This Row],[CMP_par_portion]]</f>
        <v>0</v>
      </c>
      <c r="J331" s="7">
        <f>tbl_Ventes[[#This Row],[CA ligne]] - tbl_Ventes[[#This Row],[Coût matière ligne]]</f>
        <v>0</v>
      </c>
      <c r="K331" s="7" t="str">
        <f>IFERROR(INDEX(tbl_ProduitsRef[Famille], MATCH(tbl_Ventes[[#This Row],[Cde_Prdt]], tbl_Produits[Cde_Prdt], 0)), "")</f>
        <v/>
      </c>
    </row>
    <row r="332" spans="1:11" x14ac:dyDescent="0.25">
      <c r="A332" s="5"/>
      <c r="B332" s="63" t="str">
        <f>IFERROR(TEXT(tbl_Ventes[[#This Row],[Date]],"mm-aaaa"),"")</f>
        <v>01-1900</v>
      </c>
      <c r="D332" s="10" t="str">
        <f>IFERROR(
   INDEX(tbl_ProduitsRef[Cde_Prdt],MATCH(tbl_Ventes[[#This Row],[Produit]],tbl_ProduitsRef[Produit],0)),
   ""
)</f>
        <v/>
      </c>
      <c r="E332" s="7">
        <v>0</v>
      </c>
      <c r="F332" s="7" t="str">
        <f>IFERROR(
   INDEX(tbl_ProduitsRef[Prix Menu],MATCH(tbl_Ventes[[#This Row],[Produit]],tbl_ProduitsRef[Produit],0)),
   ""
)</f>
        <v/>
      </c>
      <c r="G332" s="7">
        <f>tbl_Ventes[[#This Row],[Qté Vendue]] * IFERROR(_xlfn.XLOOKUP(tbl_Ventes[[#This Row],[Cde_Prdt]], tbl_Produits[Cde_Prdt], tbl_Produits[Prix Menu]), 0)</f>
        <v>0</v>
      </c>
      <c r="H332" s="7">
        <f>IFERROR(_xlfn.XLOOKUP(tbl_Ventes[[#This Row],[Cde_Prdt]], tbl_Produits[Cde_Prdt], tbl_Produits[Coût Moyen Portion]), 0)</f>
        <v>0</v>
      </c>
      <c r="I332" s="7">
        <f>tbl_Ventes[[#This Row],[Qté Vendue]] * tbl_Ventes[[#This Row],[CMP_par_portion]]</f>
        <v>0</v>
      </c>
      <c r="J332" s="7">
        <f>tbl_Ventes[[#This Row],[CA ligne]] - tbl_Ventes[[#This Row],[Coût matière ligne]]</f>
        <v>0</v>
      </c>
      <c r="K332" s="7" t="str">
        <f>IFERROR(INDEX(tbl_ProduitsRef[Famille], MATCH(tbl_Ventes[[#This Row],[Cde_Prdt]], tbl_Produits[Cde_Prdt], 0)), "")</f>
        <v/>
      </c>
    </row>
    <row r="333" spans="1:11" x14ac:dyDescent="0.25">
      <c r="A333" s="5"/>
      <c r="B333" s="63" t="str">
        <f>IFERROR(TEXT(tbl_Ventes[[#This Row],[Date]],"mm-aaaa"),"")</f>
        <v>01-1900</v>
      </c>
      <c r="D333" s="10" t="str">
        <f>IFERROR(
   INDEX(tbl_ProduitsRef[Cde_Prdt],MATCH(tbl_Ventes[[#This Row],[Produit]],tbl_ProduitsRef[Produit],0)),
   ""
)</f>
        <v/>
      </c>
      <c r="E333" s="7">
        <v>0</v>
      </c>
      <c r="F333" s="7" t="str">
        <f>IFERROR(
   INDEX(tbl_ProduitsRef[Prix Menu],MATCH(tbl_Ventes[[#This Row],[Produit]],tbl_ProduitsRef[Produit],0)),
   ""
)</f>
        <v/>
      </c>
      <c r="G333" s="7">
        <f>tbl_Ventes[[#This Row],[Qté Vendue]] * IFERROR(_xlfn.XLOOKUP(tbl_Ventes[[#This Row],[Cde_Prdt]], tbl_Produits[Cde_Prdt], tbl_Produits[Prix Menu]), 0)</f>
        <v>0</v>
      </c>
      <c r="H333" s="7">
        <f>IFERROR(_xlfn.XLOOKUP(tbl_Ventes[[#This Row],[Cde_Prdt]], tbl_Produits[Cde_Prdt], tbl_Produits[Coût Moyen Portion]), 0)</f>
        <v>0</v>
      </c>
      <c r="I333" s="7">
        <f>tbl_Ventes[[#This Row],[Qté Vendue]] * tbl_Ventes[[#This Row],[CMP_par_portion]]</f>
        <v>0</v>
      </c>
      <c r="J333" s="7">
        <f>tbl_Ventes[[#This Row],[CA ligne]] - tbl_Ventes[[#This Row],[Coût matière ligne]]</f>
        <v>0</v>
      </c>
      <c r="K333" s="7" t="str">
        <f>IFERROR(INDEX(tbl_ProduitsRef[Famille], MATCH(tbl_Ventes[[#This Row],[Cde_Prdt]], tbl_Produits[Cde_Prdt], 0)), "")</f>
        <v/>
      </c>
    </row>
    <row r="334" spans="1:11" x14ac:dyDescent="0.25">
      <c r="A334" s="5"/>
      <c r="B334" s="63" t="str">
        <f>IFERROR(TEXT(tbl_Ventes[[#This Row],[Date]],"mm-aaaa"),"")</f>
        <v>01-1900</v>
      </c>
      <c r="D334" s="10" t="str">
        <f>IFERROR(
   INDEX(tbl_ProduitsRef[Cde_Prdt],MATCH(tbl_Ventes[[#This Row],[Produit]],tbl_ProduitsRef[Produit],0)),
   ""
)</f>
        <v/>
      </c>
      <c r="E334" s="7">
        <v>0</v>
      </c>
      <c r="F334" s="7" t="str">
        <f>IFERROR(
   INDEX(tbl_ProduitsRef[Prix Menu],MATCH(tbl_Ventes[[#This Row],[Produit]],tbl_ProduitsRef[Produit],0)),
   ""
)</f>
        <v/>
      </c>
      <c r="G334" s="7">
        <f>tbl_Ventes[[#This Row],[Qté Vendue]] * IFERROR(_xlfn.XLOOKUP(tbl_Ventes[[#This Row],[Cde_Prdt]], tbl_Produits[Cde_Prdt], tbl_Produits[Prix Menu]), 0)</f>
        <v>0</v>
      </c>
      <c r="H334" s="7">
        <f>IFERROR(_xlfn.XLOOKUP(tbl_Ventes[[#This Row],[Cde_Prdt]], tbl_Produits[Cde_Prdt], tbl_Produits[Coût Moyen Portion]), 0)</f>
        <v>0</v>
      </c>
      <c r="I334" s="7">
        <f>tbl_Ventes[[#This Row],[Qté Vendue]] * tbl_Ventes[[#This Row],[CMP_par_portion]]</f>
        <v>0</v>
      </c>
      <c r="J334" s="7">
        <f>tbl_Ventes[[#This Row],[CA ligne]] - tbl_Ventes[[#This Row],[Coût matière ligne]]</f>
        <v>0</v>
      </c>
      <c r="K334" s="7" t="str">
        <f>IFERROR(INDEX(tbl_ProduitsRef[Famille], MATCH(tbl_Ventes[[#This Row],[Cde_Prdt]], tbl_Produits[Cde_Prdt], 0)), "")</f>
        <v/>
      </c>
    </row>
    <row r="335" spans="1:11" x14ac:dyDescent="0.25">
      <c r="A335" s="5"/>
      <c r="B335" s="63" t="str">
        <f>IFERROR(TEXT(tbl_Ventes[[#This Row],[Date]],"mm-aaaa"),"")</f>
        <v>01-1900</v>
      </c>
      <c r="D335" s="10" t="str">
        <f>IFERROR(
   INDEX(tbl_ProduitsRef[Cde_Prdt],MATCH(tbl_Ventes[[#This Row],[Produit]],tbl_ProduitsRef[Produit],0)),
   ""
)</f>
        <v/>
      </c>
      <c r="E335" s="7">
        <v>0</v>
      </c>
      <c r="F335" s="7" t="str">
        <f>IFERROR(
   INDEX(tbl_ProduitsRef[Prix Menu],MATCH(tbl_Ventes[[#This Row],[Produit]],tbl_ProduitsRef[Produit],0)),
   ""
)</f>
        <v/>
      </c>
      <c r="G335" s="7">
        <f>tbl_Ventes[[#This Row],[Qté Vendue]] * IFERROR(_xlfn.XLOOKUP(tbl_Ventes[[#This Row],[Cde_Prdt]], tbl_Produits[Cde_Prdt], tbl_Produits[Prix Menu]), 0)</f>
        <v>0</v>
      </c>
      <c r="H335" s="7">
        <f>IFERROR(_xlfn.XLOOKUP(tbl_Ventes[[#This Row],[Cde_Prdt]], tbl_Produits[Cde_Prdt], tbl_Produits[Coût Moyen Portion]), 0)</f>
        <v>0</v>
      </c>
      <c r="I335" s="7">
        <f>tbl_Ventes[[#This Row],[Qté Vendue]] * tbl_Ventes[[#This Row],[CMP_par_portion]]</f>
        <v>0</v>
      </c>
      <c r="J335" s="7">
        <f>tbl_Ventes[[#This Row],[CA ligne]] - tbl_Ventes[[#This Row],[Coût matière ligne]]</f>
        <v>0</v>
      </c>
      <c r="K335" s="7" t="str">
        <f>IFERROR(INDEX(tbl_ProduitsRef[Famille], MATCH(tbl_Ventes[[#This Row],[Cde_Prdt]], tbl_Produits[Cde_Prdt], 0)), "")</f>
        <v/>
      </c>
    </row>
    <row r="336" spans="1:11" x14ac:dyDescent="0.25">
      <c r="A336" s="5"/>
      <c r="B336" s="63" t="str">
        <f>IFERROR(TEXT(tbl_Ventes[[#This Row],[Date]],"mm-aaaa"),"")</f>
        <v>01-1900</v>
      </c>
      <c r="D336" s="10" t="str">
        <f>IFERROR(
   INDEX(tbl_ProduitsRef[Cde_Prdt],MATCH(tbl_Ventes[[#This Row],[Produit]],tbl_ProduitsRef[Produit],0)),
   ""
)</f>
        <v/>
      </c>
      <c r="E336" s="7">
        <v>0</v>
      </c>
      <c r="F336" s="7" t="str">
        <f>IFERROR(
   INDEX(tbl_ProduitsRef[Prix Menu],MATCH(tbl_Ventes[[#This Row],[Produit]],tbl_ProduitsRef[Produit],0)),
   ""
)</f>
        <v/>
      </c>
      <c r="G336" s="7">
        <f>tbl_Ventes[[#This Row],[Qté Vendue]] * IFERROR(_xlfn.XLOOKUP(tbl_Ventes[[#This Row],[Cde_Prdt]], tbl_Produits[Cde_Prdt], tbl_Produits[Prix Menu]), 0)</f>
        <v>0</v>
      </c>
      <c r="H336" s="7">
        <f>IFERROR(_xlfn.XLOOKUP(tbl_Ventes[[#This Row],[Cde_Prdt]], tbl_Produits[Cde_Prdt], tbl_Produits[Coût Moyen Portion]), 0)</f>
        <v>0</v>
      </c>
      <c r="I336" s="7">
        <f>tbl_Ventes[[#This Row],[Qté Vendue]] * tbl_Ventes[[#This Row],[CMP_par_portion]]</f>
        <v>0</v>
      </c>
      <c r="J336" s="7">
        <f>tbl_Ventes[[#This Row],[CA ligne]] - tbl_Ventes[[#This Row],[Coût matière ligne]]</f>
        <v>0</v>
      </c>
      <c r="K336" s="7" t="str">
        <f>IFERROR(INDEX(tbl_ProduitsRef[Famille], MATCH(tbl_Ventes[[#This Row],[Cde_Prdt]], tbl_Produits[Cde_Prdt], 0)), "")</f>
        <v/>
      </c>
    </row>
    <row r="337" spans="1:11" x14ac:dyDescent="0.25">
      <c r="A337" s="5"/>
      <c r="B337" s="63" t="str">
        <f>IFERROR(TEXT(tbl_Ventes[[#This Row],[Date]],"mm-aaaa"),"")</f>
        <v>01-1900</v>
      </c>
      <c r="D337" s="10" t="str">
        <f>IFERROR(
   INDEX(tbl_ProduitsRef[Cde_Prdt],MATCH(tbl_Ventes[[#This Row],[Produit]],tbl_ProduitsRef[Produit],0)),
   ""
)</f>
        <v/>
      </c>
      <c r="E337" s="7">
        <v>0</v>
      </c>
      <c r="F337" s="7" t="str">
        <f>IFERROR(
   INDEX(tbl_ProduitsRef[Prix Menu],MATCH(tbl_Ventes[[#This Row],[Produit]],tbl_ProduitsRef[Produit],0)),
   ""
)</f>
        <v/>
      </c>
      <c r="G337" s="7">
        <f>tbl_Ventes[[#This Row],[Qté Vendue]] * IFERROR(_xlfn.XLOOKUP(tbl_Ventes[[#This Row],[Cde_Prdt]], tbl_Produits[Cde_Prdt], tbl_Produits[Prix Menu]), 0)</f>
        <v>0</v>
      </c>
      <c r="H337" s="7">
        <f>IFERROR(_xlfn.XLOOKUP(tbl_Ventes[[#This Row],[Cde_Prdt]], tbl_Produits[Cde_Prdt], tbl_Produits[Coût Moyen Portion]), 0)</f>
        <v>0</v>
      </c>
      <c r="I337" s="7">
        <f>tbl_Ventes[[#This Row],[Qté Vendue]] * tbl_Ventes[[#This Row],[CMP_par_portion]]</f>
        <v>0</v>
      </c>
      <c r="J337" s="7">
        <f>tbl_Ventes[[#This Row],[CA ligne]] - tbl_Ventes[[#This Row],[Coût matière ligne]]</f>
        <v>0</v>
      </c>
      <c r="K337" s="7" t="str">
        <f>IFERROR(INDEX(tbl_ProduitsRef[Famille], MATCH(tbl_Ventes[[#This Row],[Cde_Prdt]], tbl_Produits[Cde_Prdt], 0)), "")</f>
        <v/>
      </c>
    </row>
    <row r="338" spans="1:11" x14ac:dyDescent="0.25">
      <c r="A338" s="5"/>
      <c r="B338" s="63" t="str">
        <f>IFERROR(TEXT(tbl_Ventes[[#This Row],[Date]],"mm-aaaa"),"")</f>
        <v>01-1900</v>
      </c>
      <c r="D338" s="10" t="str">
        <f>IFERROR(
   INDEX(tbl_ProduitsRef[Cde_Prdt],MATCH(tbl_Ventes[[#This Row],[Produit]],tbl_ProduitsRef[Produit],0)),
   ""
)</f>
        <v/>
      </c>
      <c r="E338" s="7">
        <v>0</v>
      </c>
      <c r="F338" s="7" t="str">
        <f>IFERROR(
   INDEX(tbl_ProduitsRef[Prix Menu],MATCH(tbl_Ventes[[#This Row],[Produit]],tbl_ProduitsRef[Produit],0)),
   ""
)</f>
        <v/>
      </c>
      <c r="G338" s="7">
        <f>tbl_Ventes[[#This Row],[Qté Vendue]] * IFERROR(_xlfn.XLOOKUP(tbl_Ventes[[#This Row],[Cde_Prdt]], tbl_Produits[Cde_Prdt], tbl_Produits[Prix Menu]), 0)</f>
        <v>0</v>
      </c>
      <c r="H338" s="7">
        <f>IFERROR(_xlfn.XLOOKUP(tbl_Ventes[[#This Row],[Cde_Prdt]], tbl_Produits[Cde_Prdt], tbl_Produits[Coût Moyen Portion]), 0)</f>
        <v>0</v>
      </c>
      <c r="I338" s="7">
        <f>tbl_Ventes[[#This Row],[Qté Vendue]] * tbl_Ventes[[#This Row],[CMP_par_portion]]</f>
        <v>0</v>
      </c>
      <c r="J338" s="7">
        <f>tbl_Ventes[[#This Row],[CA ligne]] - tbl_Ventes[[#This Row],[Coût matière ligne]]</f>
        <v>0</v>
      </c>
      <c r="K338" s="7" t="str">
        <f>IFERROR(INDEX(tbl_ProduitsRef[Famille], MATCH(tbl_Ventes[[#This Row],[Cde_Prdt]], tbl_Produits[Cde_Prdt], 0)), "")</f>
        <v/>
      </c>
    </row>
    <row r="339" spans="1:11" x14ac:dyDescent="0.25">
      <c r="A339" s="5"/>
      <c r="B339" s="63" t="str">
        <f>IFERROR(TEXT(tbl_Ventes[[#This Row],[Date]],"mm-aaaa"),"")</f>
        <v>01-1900</v>
      </c>
      <c r="D339" s="10" t="str">
        <f>IFERROR(
   INDEX(tbl_ProduitsRef[Cde_Prdt],MATCH(tbl_Ventes[[#This Row],[Produit]],tbl_ProduitsRef[Produit],0)),
   ""
)</f>
        <v/>
      </c>
      <c r="E339" s="7">
        <v>0</v>
      </c>
      <c r="F339" s="7" t="str">
        <f>IFERROR(
   INDEX(tbl_ProduitsRef[Prix Menu],MATCH(tbl_Ventes[[#This Row],[Produit]],tbl_ProduitsRef[Produit],0)),
   ""
)</f>
        <v/>
      </c>
      <c r="G339" s="7">
        <f>tbl_Ventes[[#This Row],[Qté Vendue]] * IFERROR(_xlfn.XLOOKUP(tbl_Ventes[[#This Row],[Cde_Prdt]], tbl_Produits[Cde_Prdt], tbl_Produits[Prix Menu]), 0)</f>
        <v>0</v>
      </c>
      <c r="H339" s="7">
        <f>IFERROR(_xlfn.XLOOKUP(tbl_Ventes[[#This Row],[Cde_Prdt]], tbl_Produits[Cde_Prdt], tbl_Produits[Coût Moyen Portion]), 0)</f>
        <v>0</v>
      </c>
      <c r="I339" s="7">
        <f>tbl_Ventes[[#This Row],[Qté Vendue]] * tbl_Ventes[[#This Row],[CMP_par_portion]]</f>
        <v>0</v>
      </c>
      <c r="J339" s="7">
        <f>tbl_Ventes[[#This Row],[CA ligne]] - tbl_Ventes[[#This Row],[Coût matière ligne]]</f>
        <v>0</v>
      </c>
      <c r="K339" s="7" t="str">
        <f>IFERROR(INDEX(tbl_ProduitsRef[Famille], MATCH(tbl_Ventes[[#This Row],[Cde_Prdt]], tbl_Produits[Cde_Prdt], 0)), "")</f>
        <v/>
      </c>
    </row>
    <row r="340" spans="1:11" x14ac:dyDescent="0.25">
      <c r="A340" s="5"/>
      <c r="B340" s="63" t="str">
        <f>IFERROR(TEXT(tbl_Ventes[[#This Row],[Date]],"mm-aaaa"),"")</f>
        <v>01-1900</v>
      </c>
      <c r="D340" s="10" t="str">
        <f>IFERROR(
   INDEX(tbl_ProduitsRef[Cde_Prdt],MATCH(tbl_Ventes[[#This Row],[Produit]],tbl_ProduitsRef[Produit],0)),
   ""
)</f>
        <v/>
      </c>
      <c r="E340" s="7">
        <v>0</v>
      </c>
      <c r="F340" s="7" t="str">
        <f>IFERROR(
   INDEX(tbl_ProduitsRef[Prix Menu],MATCH(tbl_Ventes[[#This Row],[Produit]],tbl_ProduitsRef[Produit],0)),
   ""
)</f>
        <v/>
      </c>
      <c r="G340" s="7">
        <f>tbl_Ventes[[#This Row],[Qté Vendue]] * IFERROR(_xlfn.XLOOKUP(tbl_Ventes[[#This Row],[Cde_Prdt]], tbl_Produits[Cde_Prdt], tbl_Produits[Prix Menu]), 0)</f>
        <v>0</v>
      </c>
      <c r="H340" s="7">
        <f>IFERROR(_xlfn.XLOOKUP(tbl_Ventes[[#This Row],[Cde_Prdt]], tbl_Produits[Cde_Prdt], tbl_Produits[Coût Moyen Portion]), 0)</f>
        <v>0</v>
      </c>
      <c r="I340" s="7">
        <f>tbl_Ventes[[#This Row],[Qté Vendue]] * tbl_Ventes[[#This Row],[CMP_par_portion]]</f>
        <v>0</v>
      </c>
      <c r="J340" s="7">
        <f>tbl_Ventes[[#This Row],[CA ligne]] - tbl_Ventes[[#This Row],[Coût matière ligne]]</f>
        <v>0</v>
      </c>
      <c r="K340" s="7" t="str">
        <f>IFERROR(INDEX(tbl_ProduitsRef[Famille], MATCH(tbl_Ventes[[#This Row],[Cde_Prdt]], tbl_Produits[Cde_Prdt], 0)), "")</f>
        <v/>
      </c>
    </row>
    <row r="341" spans="1:11" x14ac:dyDescent="0.25">
      <c r="A341" s="5"/>
      <c r="B341" s="63" t="str">
        <f>IFERROR(TEXT(tbl_Ventes[[#This Row],[Date]],"mm-aaaa"),"")</f>
        <v>01-1900</v>
      </c>
      <c r="D341" s="10" t="str">
        <f>IFERROR(
   INDEX(tbl_ProduitsRef[Cde_Prdt],MATCH(tbl_Ventes[[#This Row],[Produit]],tbl_ProduitsRef[Produit],0)),
   ""
)</f>
        <v/>
      </c>
      <c r="E341" s="7">
        <v>0</v>
      </c>
      <c r="F341" s="7" t="str">
        <f>IFERROR(
   INDEX(tbl_ProduitsRef[Prix Menu],MATCH(tbl_Ventes[[#This Row],[Produit]],tbl_ProduitsRef[Produit],0)),
   ""
)</f>
        <v/>
      </c>
      <c r="G341" s="7">
        <f>tbl_Ventes[[#This Row],[Qté Vendue]] * IFERROR(_xlfn.XLOOKUP(tbl_Ventes[[#This Row],[Cde_Prdt]], tbl_Produits[Cde_Prdt], tbl_Produits[Prix Menu]), 0)</f>
        <v>0</v>
      </c>
      <c r="H341" s="7">
        <f>IFERROR(_xlfn.XLOOKUP(tbl_Ventes[[#This Row],[Cde_Prdt]], tbl_Produits[Cde_Prdt], tbl_Produits[Coût Moyen Portion]), 0)</f>
        <v>0</v>
      </c>
      <c r="I341" s="7">
        <f>tbl_Ventes[[#This Row],[Qté Vendue]] * tbl_Ventes[[#This Row],[CMP_par_portion]]</f>
        <v>0</v>
      </c>
      <c r="J341" s="7">
        <f>tbl_Ventes[[#This Row],[CA ligne]] - tbl_Ventes[[#This Row],[Coût matière ligne]]</f>
        <v>0</v>
      </c>
      <c r="K341" s="7" t="str">
        <f>IFERROR(INDEX(tbl_ProduitsRef[Famille], MATCH(tbl_Ventes[[#This Row],[Cde_Prdt]], tbl_Produits[Cde_Prdt], 0)), "")</f>
        <v/>
      </c>
    </row>
    <row r="342" spans="1:11" x14ac:dyDescent="0.25">
      <c r="A342" s="5"/>
      <c r="B342" s="63" t="str">
        <f>IFERROR(TEXT(tbl_Ventes[[#This Row],[Date]],"mm-aaaa"),"")</f>
        <v>01-1900</v>
      </c>
      <c r="D342" s="10" t="str">
        <f>IFERROR(
   INDEX(tbl_ProduitsRef[Cde_Prdt],MATCH(tbl_Ventes[[#This Row],[Produit]],tbl_ProduitsRef[Produit],0)),
   ""
)</f>
        <v/>
      </c>
      <c r="E342" s="7">
        <v>0</v>
      </c>
      <c r="F342" s="7" t="str">
        <f>IFERROR(
   INDEX(tbl_ProduitsRef[Prix Menu],MATCH(tbl_Ventes[[#This Row],[Produit]],tbl_ProduitsRef[Produit],0)),
   ""
)</f>
        <v/>
      </c>
      <c r="G342" s="7">
        <f>tbl_Ventes[[#This Row],[Qté Vendue]] * IFERROR(_xlfn.XLOOKUP(tbl_Ventes[[#This Row],[Cde_Prdt]], tbl_Produits[Cde_Prdt], tbl_Produits[Prix Menu]), 0)</f>
        <v>0</v>
      </c>
      <c r="H342" s="7">
        <f>IFERROR(_xlfn.XLOOKUP(tbl_Ventes[[#This Row],[Cde_Prdt]], tbl_Produits[Cde_Prdt], tbl_Produits[Coût Moyen Portion]), 0)</f>
        <v>0</v>
      </c>
      <c r="I342" s="7">
        <f>tbl_Ventes[[#This Row],[Qté Vendue]] * tbl_Ventes[[#This Row],[CMP_par_portion]]</f>
        <v>0</v>
      </c>
      <c r="J342" s="7">
        <f>tbl_Ventes[[#This Row],[CA ligne]] - tbl_Ventes[[#This Row],[Coût matière ligne]]</f>
        <v>0</v>
      </c>
      <c r="K342" s="7" t="str">
        <f>IFERROR(INDEX(tbl_ProduitsRef[Famille], MATCH(tbl_Ventes[[#This Row],[Cde_Prdt]], tbl_Produits[Cde_Prdt], 0)), "")</f>
        <v/>
      </c>
    </row>
    <row r="343" spans="1:11" x14ac:dyDescent="0.25">
      <c r="A343" s="5"/>
      <c r="B343" s="63" t="str">
        <f>IFERROR(TEXT(tbl_Ventes[[#This Row],[Date]],"mm-aaaa"),"")</f>
        <v>01-1900</v>
      </c>
      <c r="D343" s="10" t="str">
        <f>IFERROR(
   INDEX(tbl_ProduitsRef[Cde_Prdt],MATCH(tbl_Ventes[[#This Row],[Produit]],tbl_ProduitsRef[Produit],0)),
   ""
)</f>
        <v/>
      </c>
      <c r="E343" s="7">
        <v>0</v>
      </c>
      <c r="F343" s="7" t="str">
        <f>IFERROR(
   INDEX(tbl_ProduitsRef[Prix Menu],MATCH(tbl_Ventes[[#This Row],[Produit]],tbl_ProduitsRef[Produit],0)),
   ""
)</f>
        <v/>
      </c>
      <c r="G343" s="7">
        <f>tbl_Ventes[[#This Row],[Qté Vendue]] * IFERROR(_xlfn.XLOOKUP(tbl_Ventes[[#This Row],[Cde_Prdt]], tbl_Produits[Cde_Prdt], tbl_Produits[Prix Menu]), 0)</f>
        <v>0</v>
      </c>
      <c r="H343" s="7">
        <f>IFERROR(_xlfn.XLOOKUP(tbl_Ventes[[#This Row],[Cde_Prdt]], tbl_Produits[Cde_Prdt], tbl_Produits[Coût Moyen Portion]), 0)</f>
        <v>0</v>
      </c>
      <c r="I343" s="7">
        <f>tbl_Ventes[[#This Row],[Qté Vendue]] * tbl_Ventes[[#This Row],[CMP_par_portion]]</f>
        <v>0</v>
      </c>
      <c r="J343" s="7">
        <f>tbl_Ventes[[#This Row],[CA ligne]] - tbl_Ventes[[#This Row],[Coût matière ligne]]</f>
        <v>0</v>
      </c>
      <c r="K343" s="7" t="str">
        <f>IFERROR(INDEX(tbl_ProduitsRef[Famille], MATCH(tbl_Ventes[[#This Row],[Cde_Prdt]], tbl_Produits[Cde_Prdt], 0)), "")</f>
        <v/>
      </c>
    </row>
    <row r="344" spans="1:11" x14ac:dyDescent="0.25">
      <c r="A344" s="5"/>
      <c r="B344" s="63" t="str">
        <f>IFERROR(TEXT(tbl_Ventes[[#This Row],[Date]],"mm-aaaa"),"")</f>
        <v>01-1900</v>
      </c>
      <c r="D344" s="10" t="str">
        <f>IFERROR(
   INDEX(tbl_ProduitsRef[Cde_Prdt],MATCH(tbl_Ventes[[#This Row],[Produit]],tbl_ProduitsRef[Produit],0)),
   ""
)</f>
        <v/>
      </c>
      <c r="E344" s="7">
        <v>0</v>
      </c>
      <c r="F344" s="7" t="str">
        <f>IFERROR(
   INDEX(tbl_ProduitsRef[Prix Menu],MATCH(tbl_Ventes[[#This Row],[Produit]],tbl_ProduitsRef[Produit],0)),
   ""
)</f>
        <v/>
      </c>
      <c r="G344" s="7">
        <f>tbl_Ventes[[#This Row],[Qté Vendue]] * IFERROR(_xlfn.XLOOKUP(tbl_Ventes[[#This Row],[Cde_Prdt]], tbl_Produits[Cde_Prdt], tbl_Produits[Prix Menu]), 0)</f>
        <v>0</v>
      </c>
      <c r="H344" s="7">
        <f>IFERROR(_xlfn.XLOOKUP(tbl_Ventes[[#This Row],[Cde_Prdt]], tbl_Produits[Cde_Prdt], tbl_Produits[Coût Moyen Portion]), 0)</f>
        <v>0</v>
      </c>
      <c r="I344" s="7">
        <f>tbl_Ventes[[#This Row],[Qté Vendue]] * tbl_Ventes[[#This Row],[CMP_par_portion]]</f>
        <v>0</v>
      </c>
      <c r="J344" s="7">
        <f>tbl_Ventes[[#This Row],[CA ligne]] - tbl_Ventes[[#This Row],[Coût matière ligne]]</f>
        <v>0</v>
      </c>
      <c r="K344" s="7" t="str">
        <f>IFERROR(INDEX(tbl_ProduitsRef[Famille], MATCH(tbl_Ventes[[#This Row],[Cde_Prdt]], tbl_Produits[Cde_Prdt], 0)), "")</f>
        <v/>
      </c>
    </row>
    <row r="345" spans="1:11" x14ac:dyDescent="0.25">
      <c r="A345" s="5"/>
      <c r="B345" s="63" t="str">
        <f>IFERROR(TEXT(tbl_Ventes[[#This Row],[Date]],"mm-aaaa"),"")</f>
        <v>01-1900</v>
      </c>
      <c r="D345" s="10" t="str">
        <f>IFERROR(
   INDEX(tbl_ProduitsRef[Cde_Prdt],MATCH(tbl_Ventes[[#This Row],[Produit]],tbl_ProduitsRef[Produit],0)),
   ""
)</f>
        <v/>
      </c>
      <c r="E345" s="7">
        <v>0</v>
      </c>
      <c r="F345" s="7" t="str">
        <f>IFERROR(
   INDEX(tbl_ProduitsRef[Prix Menu],MATCH(tbl_Ventes[[#This Row],[Produit]],tbl_ProduitsRef[Produit],0)),
   ""
)</f>
        <v/>
      </c>
      <c r="G345" s="7">
        <f>tbl_Ventes[[#This Row],[Qté Vendue]] * IFERROR(_xlfn.XLOOKUP(tbl_Ventes[[#This Row],[Cde_Prdt]], tbl_Produits[Cde_Prdt], tbl_Produits[Prix Menu]), 0)</f>
        <v>0</v>
      </c>
      <c r="H345" s="7">
        <f>IFERROR(_xlfn.XLOOKUP(tbl_Ventes[[#This Row],[Cde_Prdt]], tbl_Produits[Cde_Prdt], tbl_Produits[Coût Moyen Portion]), 0)</f>
        <v>0</v>
      </c>
      <c r="I345" s="7">
        <f>tbl_Ventes[[#This Row],[Qté Vendue]] * tbl_Ventes[[#This Row],[CMP_par_portion]]</f>
        <v>0</v>
      </c>
      <c r="J345" s="7">
        <f>tbl_Ventes[[#This Row],[CA ligne]] - tbl_Ventes[[#This Row],[Coût matière ligne]]</f>
        <v>0</v>
      </c>
      <c r="K345" s="7" t="str">
        <f>IFERROR(INDEX(tbl_ProduitsRef[Famille], MATCH(tbl_Ventes[[#This Row],[Cde_Prdt]], tbl_Produits[Cde_Prdt], 0)), "")</f>
        <v/>
      </c>
    </row>
    <row r="346" spans="1:11" x14ac:dyDescent="0.25">
      <c r="A346" s="5"/>
      <c r="B346" s="63" t="str">
        <f>IFERROR(TEXT(tbl_Ventes[[#This Row],[Date]],"mm-aaaa"),"")</f>
        <v>01-1900</v>
      </c>
      <c r="D346" s="10" t="str">
        <f>IFERROR(
   INDEX(tbl_ProduitsRef[Cde_Prdt],MATCH(tbl_Ventes[[#This Row],[Produit]],tbl_ProduitsRef[Produit],0)),
   ""
)</f>
        <v/>
      </c>
      <c r="E346" s="7">
        <v>0</v>
      </c>
      <c r="F346" s="7" t="str">
        <f>IFERROR(
   INDEX(tbl_ProduitsRef[Prix Menu],MATCH(tbl_Ventes[[#This Row],[Produit]],tbl_ProduitsRef[Produit],0)),
   ""
)</f>
        <v/>
      </c>
      <c r="G346" s="7">
        <f>tbl_Ventes[[#This Row],[Qté Vendue]] * IFERROR(_xlfn.XLOOKUP(tbl_Ventes[[#This Row],[Cde_Prdt]], tbl_Produits[Cde_Prdt], tbl_Produits[Prix Menu]), 0)</f>
        <v>0</v>
      </c>
      <c r="H346" s="7">
        <f>IFERROR(_xlfn.XLOOKUP(tbl_Ventes[[#This Row],[Cde_Prdt]], tbl_Produits[Cde_Prdt], tbl_Produits[Coût Moyen Portion]), 0)</f>
        <v>0</v>
      </c>
      <c r="I346" s="7">
        <f>tbl_Ventes[[#This Row],[Qté Vendue]] * tbl_Ventes[[#This Row],[CMP_par_portion]]</f>
        <v>0</v>
      </c>
      <c r="J346" s="7">
        <f>tbl_Ventes[[#This Row],[CA ligne]] - tbl_Ventes[[#This Row],[Coût matière ligne]]</f>
        <v>0</v>
      </c>
      <c r="K346" s="7" t="str">
        <f>IFERROR(INDEX(tbl_ProduitsRef[Famille], MATCH(tbl_Ventes[[#This Row],[Cde_Prdt]], tbl_Produits[Cde_Prdt], 0)), "")</f>
        <v/>
      </c>
    </row>
    <row r="347" spans="1:11" x14ac:dyDescent="0.25">
      <c r="A347" s="5"/>
      <c r="B347" s="63" t="str">
        <f>IFERROR(TEXT(tbl_Ventes[[#This Row],[Date]],"mm-aaaa"),"")</f>
        <v>01-1900</v>
      </c>
      <c r="D347" s="10" t="str">
        <f>IFERROR(
   INDEX(tbl_ProduitsRef[Cde_Prdt],MATCH(tbl_Ventes[[#This Row],[Produit]],tbl_ProduitsRef[Produit],0)),
   ""
)</f>
        <v/>
      </c>
      <c r="E347" s="7">
        <v>0</v>
      </c>
      <c r="F347" s="7" t="str">
        <f>IFERROR(
   INDEX(tbl_ProduitsRef[Prix Menu],MATCH(tbl_Ventes[[#This Row],[Produit]],tbl_ProduitsRef[Produit],0)),
   ""
)</f>
        <v/>
      </c>
      <c r="G347" s="7">
        <f>tbl_Ventes[[#This Row],[Qté Vendue]] * IFERROR(_xlfn.XLOOKUP(tbl_Ventes[[#This Row],[Cde_Prdt]], tbl_Produits[Cde_Prdt], tbl_Produits[Prix Menu]), 0)</f>
        <v>0</v>
      </c>
      <c r="H347" s="7">
        <f>IFERROR(_xlfn.XLOOKUP(tbl_Ventes[[#This Row],[Cde_Prdt]], tbl_Produits[Cde_Prdt], tbl_Produits[Coût Moyen Portion]), 0)</f>
        <v>0</v>
      </c>
      <c r="I347" s="7">
        <f>tbl_Ventes[[#This Row],[Qté Vendue]] * tbl_Ventes[[#This Row],[CMP_par_portion]]</f>
        <v>0</v>
      </c>
      <c r="J347" s="7">
        <f>tbl_Ventes[[#This Row],[CA ligne]] - tbl_Ventes[[#This Row],[Coût matière ligne]]</f>
        <v>0</v>
      </c>
      <c r="K347" s="7" t="str">
        <f>IFERROR(INDEX(tbl_ProduitsRef[Famille], MATCH(tbl_Ventes[[#This Row],[Cde_Prdt]], tbl_Produits[Cde_Prdt], 0)), "")</f>
        <v/>
      </c>
    </row>
    <row r="348" spans="1:11" x14ac:dyDescent="0.25">
      <c r="A348" s="5"/>
      <c r="B348" s="63" t="str">
        <f>IFERROR(TEXT(tbl_Ventes[[#This Row],[Date]],"mm-aaaa"),"")</f>
        <v>01-1900</v>
      </c>
      <c r="D348" s="10" t="str">
        <f>IFERROR(
   INDEX(tbl_ProduitsRef[Cde_Prdt],MATCH(tbl_Ventes[[#This Row],[Produit]],tbl_ProduitsRef[Produit],0)),
   ""
)</f>
        <v/>
      </c>
      <c r="E348" s="7">
        <v>0</v>
      </c>
      <c r="F348" s="7" t="str">
        <f>IFERROR(
   INDEX(tbl_ProduitsRef[Prix Menu],MATCH(tbl_Ventes[[#This Row],[Produit]],tbl_ProduitsRef[Produit],0)),
   ""
)</f>
        <v/>
      </c>
      <c r="G348" s="7">
        <f>tbl_Ventes[[#This Row],[Qté Vendue]] * IFERROR(_xlfn.XLOOKUP(tbl_Ventes[[#This Row],[Cde_Prdt]], tbl_Produits[Cde_Prdt], tbl_Produits[Prix Menu]), 0)</f>
        <v>0</v>
      </c>
      <c r="H348" s="7">
        <f>IFERROR(_xlfn.XLOOKUP(tbl_Ventes[[#This Row],[Cde_Prdt]], tbl_Produits[Cde_Prdt], tbl_Produits[Coût Moyen Portion]), 0)</f>
        <v>0</v>
      </c>
      <c r="I348" s="7">
        <f>tbl_Ventes[[#This Row],[Qté Vendue]] * tbl_Ventes[[#This Row],[CMP_par_portion]]</f>
        <v>0</v>
      </c>
      <c r="J348" s="7">
        <f>tbl_Ventes[[#This Row],[CA ligne]] - tbl_Ventes[[#This Row],[Coût matière ligne]]</f>
        <v>0</v>
      </c>
      <c r="K348" s="7" t="str">
        <f>IFERROR(INDEX(tbl_ProduitsRef[Famille], MATCH(tbl_Ventes[[#This Row],[Cde_Prdt]], tbl_Produits[Cde_Prdt], 0)), "")</f>
        <v/>
      </c>
    </row>
    <row r="349" spans="1:11" x14ac:dyDescent="0.25">
      <c r="A349" s="5"/>
      <c r="B349" s="63" t="str">
        <f>IFERROR(TEXT(tbl_Ventes[[#This Row],[Date]],"mm-aaaa"),"")</f>
        <v>01-1900</v>
      </c>
      <c r="D349" s="10" t="str">
        <f>IFERROR(
   INDEX(tbl_ProduitsRef[Cde_Prdt],MATCH(tbl_Ventes[[#This Row],[Produit]],tbl_ProduitsRef[Produit],0)),
   ""
)</f>
        <v/>
      </c>
      <c r="E349" s="7">
        <v>0</v>
      </c>
      <c r="F349" s="7" t="str">
        <f>IFERROR(
   INDEX(tbl_ProduitsRef[Prix Menu],MATCH(tbl_Ventes[[#This Row],[Produit]],tbl_ProduitsRef[Produit],0)),
   ""
)</f>
        <v/>
      </c>
      <c r="G349" s="7">
        <f>tbl_Ventes[[#This Row],[Qté Vendue]] * IFERROR(_xlfn.XLOOKUP(tbl_Ventes[[#This Row],[Cde_Prdt]], tbl_Produits[Cde_Prdt], tbl_Produits[Prix Menu]), 0)</f>
        <v>0</v>
      </c>
      <c r="H349" s="7">
        <f>IFERROR(_xlfn.XLOOKUP(tbl_Ventes[[#This Row],[Cde_Prdt]], tbl_Produits[Cde_Prdt], tbl_Produits[Coût Moyen Portion]), 0)</f>
        <v>0</v>
      </c>
      <c r="I349" s="7">
        <f>tbl_Ventes[[#This Row],[Qté Vendue]] * tbl_Ventes[[#This Row],[CMP_par_portion]]</f>
        <v>0</v>
      </c>
      <c r="J349" s="7">
        <f>tbl_Ventes[[#This Row],[CA ligne]] - tbl_Ventes[[#This Row],[Coût matière ligne]]</f>
        <v>0</v>
      </c>
      <c r="K349" s="7" t="str">
        <f>IFERROR(INDEX(tbl_ProduitsRef[Famille], MATCH(tbl_Ventes[[#This Row],[Cde_Prdt]], tbl_Produits[Cde_Prdt], 0)), "")</f>
        <v/>
      </c>
    </row>
    <row r="350" spans="1:11" x14ac:dyDescent="0.25">
      <c r="A350" s="5"/>
      <c r="B350" s="63" t="str">
        <f>IFERROR(TEXT(tbl_Ventes[[#This Row],[Date]],"mm-aaaa"),"")</f>
        <v>01-1900</v>
      </c>
      <c r="D350" s="10" t="str">
        <f>IFERROR(
   INDEX(tbl_ProduitsRef[Cde_Prdt],MATCH(tbl_Ventes[[#This Row],[Produit]],tbl_ProduitsRef[Produit],0)),
   ""
)</f>
        <v/>
      </c>
      <c r="E350" s="7">
        <v>0</v>
      </c>
      <c r="F350" s="7" t="str">
        <f>IFERROR(
   INDEX(tbl_ProduitsRef[Prix Menu],MATCH(tbl_Ventes[[#This Row],[Produit]],tbl_ProduitsRef[Produit],0)),
   ""
)</f>
        <v/>
      </c>
      <c r="G350" s="7">
        <f>tbl_Ventes[[#This Row],[Qté Vendue]] * IFERROR(_xlfn.XLOOKUP(tbl_Ventes[[#This Row],[Cde_Prdt]], tbl_Produits[Cde_Prdt], tbl_Produits[Prix Menu]), 0)</f>
        <v>0</v>
      </c>
      <c r="H350" s="7">
        <f>IFERROR(_xlfn.XLOOKUP(tbl_Ventes[[#This Row],[Cde_Prdt]], tbl_Produits[Cde_Prdt], tbl_Produits[Coût Moyen Portion]), 0)</f>
        <v>0</v>
      </c>
      <c r="I350" s="7">
        <f>tbl_Ventes[[#This Row],[Qté Vendue]] * tbl_Ventes[[#This Row],[CMP_par_portion]]</f>
        <v>0</v>
      </c>
      <c r="J350" s="7">
        <f>tbl_Ventes[[#This Row],[CA ligne]] - tbl_Ventes[[#This Row],[Coût matière ligne]]</f>
        <v>0</v>
      </c>
      <c r="K350" s="7" t="str">
        <f>IFERROR(INDEX(tbl_ProduitsRef[Famille], MATCH(tbl_Ventes[[#This Row],[Cde_Prdt]], tbl_Produits[Cde_Prdt], 0)), "")</f>
        <v/>
      </c>
    </row>
    <row r="351" spans="1:11" x14ac:dyDescent="0.25">
      <c r="A351" s="5"/>
      <c r="B351" s="63" t="str">
        <f>IFERROR(TEXT(tbl_Ventes[[#This Row],[Date]],"mm-aaaa"),"")</f>
        <v>01-1900</v>
      </c>
      <c r="D351" s="10" t="str">
        <f>IFERROR(
   INDEX(tbl_ProduitsRef[Cde_Prdt],MATCH(tbl_Ventes[[#This Row],[Produit]],tbl_ProduitsRef[Produit],0)),
   ""
)</f>
        <v/>
      </c>
      <c r="E351" s="7">
        <v>0</v>
      </c>
      <c r="F351" s="7" t="str">
        <f>IFERROR(
   INDEX(tbl_ProduitsRef[Prix Menu],MATCH(tbl_Ventes[[#This Row],[Produit]],tbl_ProduitsRef[Produit],0)),
   ""
)</f>
        <v/>
      </c>
      <c r="G351" s="7">
        <f>tbl_Ventes[[#This Row],[Qté Vendue]] * IFERROR(_xlfn.XLOOKUP(tbl_Ventes[[#This Row],[Cde_Prdt]], tbl_Produits[Cde_Prdt], tbl_Produits[Prix Menu]), 0)</f>
        <v>0</v>
      </c>
      <c r="H351" s="7">
        <f>IFERROR(_xlfn.XLOOKUP(tbl_Ventes[[#This Row],[Cde_Prdt]], tbl_Produits[Cde_Prdt], tbl_Produits[Coût Moyen Portion]), 0)</f>
        <v>0</v>
      </c>
      <c r="I351" s="7">
        <f>tbl_Ventes[[#This Row],[Qté Vendue]] * tbl_Ventes[[#This Row],[CMP_par_portion]]</f>
        <v>0</v>
      </c>
      <c r="J351" s="7">
        <f>tbl_Ventes[[#This Row],[CA ligne]] - tbl_Ventes[[#This Row],[Coût matière ligne]]</f>
        <v>0</v>
      </c>
      <c r="K351" s="7" t="str">
        <f>IFERROR(INDEX(tbl_ProduitsRef[Famille], MATCH(tbl_Ventes[[#This Row],[Cde_Prdt]], tbl_Produits[Cde_Prdt], 0)), "")</f>
        <v/>
      </c>
    </row>
    <row r="352" spans="1:11" x14ac:dyDescent="0.25">
      <c r="A352" s="5"/>
      <c r="B352" s="63" t="str">
        <f>IFERROR(TEXT(tbl_Ventes[[#This Row],[Date]],"mm-aaaa"),"")</f>
        <v>01-1900</v>
      </c>
      <c r="D352" s="10" t="str">
        <f>IFERROR(
   INDEX(tbl_ProduitsRef[Cde_Prdt],MATCH(tbl_Ventes[[#This Row],[Produit]],tbl_ProduitsRef[Produit],0)),
   ""
)</f>
        <v/>
      </c>
      <c r="E352" s="7">
        <v>0</v>
      </c>
      <c r="F352" s="7" t="str">
        <f>IFERROR(
   INDEX(tbl_ProduitsRef[Prix Menu],MATCH(tbl_Ventes[[#This Row],[Produit]],tbl_ProduitsRef[Produit],0)),
   ""
)</f>
        <v/>
      </c>
      <c r="G352" s="7">
        <f>tbl_Ventes[[#This Row],[Qté Vendue]] * IFERROR(_xlfn.XLOOKUP(tbl_Ventes[[#This Row],[Cde_Prdt]], tbl_Produits[Cde_Prdt], tbl_Produits[Prix Menu]), 0)</f>
        <v>0</v>
      </c>
      <c r="H352" s="7">
        <f>IFERROR(_xlfn.XLOOKUP(tbl_Ventes[[#This Row],[Cde_Prdt]], tbl_Produits[Cde_Prdt], tbl_Produits[Coût Moyen Portion]), 0)</f>
        <v>0</v>
      </c>
      <c r="I352" s="7">
        <f>tbl_Ventes[[#This Row],[Qté Vendue]] * tbl_Ventes[[#This Row],[CMP_par_portion]]</f>
        <v>0</v>
      </c>
      <c r="J352" s="7">
        <f>tbl_Ventes[[#This Row],[CA ligne]] - tbl_Ventes[[#This Row],[Coût matière ligne]]</f>
        <v>0</v>
      </c>
      <c r="K352" s="7" t="str">
        <f>IFERROR(INDEX(tbl_ProduitsRef[Famille], MATCH(tbl_Ventes[[#This Row],[Cde_Prdt]], tbl_Produits[Cde_Prdt], 0)), "")</f>
        <v/>
      </c>
    </row>
    <row r="353" spans="1:11" x14ac:dyDescent="0.25">
      <c r="A353" s="5"/>
      <c r="B353" s="63" t="str">
        <f>IFERROR(TEXT(tbl_Ventes[[#This Row],[Date]],"mm-aaaa"),"")</f>
        <v>01-1900</v>
      </c>
      <c r="D353" s="10" t="str">
        <f>IFERROR(
   INDEX(tbl_ProduitsRef[Cde_Prdt],MATCH(tbl_Ventes[[#This Row],[Produit]],tbl_ProduitsRef[Produit],0)),
   ""
)</f>
        <v/>
      </c>
      <c r="E353" s="7">
        <v>0</v>
      </c>
      <c r="F353" s="7" t="str">
        <f>IFERROR(
   INDEX(tbl_ProduitsRef[Prix Menu],MATCH(tbl_Ventes[[#This Row],[Produit]],tbl_ProduitsRef[Produit],0)),
   ""
)</f>
        <v/>
      </c>
      <c r="G353" s="7">
        <f>tbl_Ventes[[#This Row],[Qté Vendue]] * IFERROR(_xlfn.XLOOKUP(tbl_Ventes[[#This Row],[Cde_Prdt]], tbl_Produits[Cde_Prdt], tbl_Produits[Prix Menu]), 0)</f>
        <v>0</v>
      </c>
      <c r="H353" s="7">
        <f>IFERROR(_xlfn.XLOOKUP(tbl_Ventes[[#This Row],[Cde_Prdt]], tbl_Produits[Cde_Prdt], tbl_Produits[Coût Moyen Portion]), 0)</f>
        <v>0</v>
      </c>
      <c r="I353" s="7">
        <f>tbl_Ventes[[#This Row],[Qté Vendue]] * tbl_Ventes[[#This Row],[CMP_par_portion]]</f>
        <v>0</v>
      </c>
      <c r="J353" s="7">
        <f>tbl_Ventes[[#This Row],[CA ligne]] - tbl_Ventes[[#This Row],[Coût matière ligne]]</f>
        <v>0</v>
      </c>
      <c r="K353" s="7" t="str">
        <f>IFERROR(INDEX(tbl_ProduitsRef[Famille], MATCH(tbl_Ventes[[#This Row],[Cde_Prdt]], tbl_Produits[Cde_Prdt], 0)), "")</f>
        <v/>
      </c>
    </row>
    <row r="354" spans="1:11" x14ac:dyDescent="0.25">
      <c r="A354" s="5"/>
      <c r="B354" s="63" t="str">
        <f>IFERROR(TEXT(tbl_Ventes[[#This Row],[Date]],"mm-aaaa"),"")</f>
        <v>01-1900</v>
      </c>
      <c r="D354" s="10" t="str">
        <f>IFERROR(
   INDEX(tbl_ProduitsRef[Cde_Prdt],MATCH(tbl_Ventes[[#This Row],[Produit]],tbl_ProduitsRef[Produit],0)),
   ""
)</f>
        <v/>
      </c>
      <c r="E354" s="7">
        <v>0</v>
      </c>
      <c r="F354" s="7" t="str">
        <f>IFERROR(
   INDEX(tbl_ProduitsRef[Prix Menu],MATCH(tbl_Ventes[[#This Row],[Produit]],tbl_ProduitsRef[Produit],0)),
   ""
)</f>
        <v/>
      </c>
      <c r="G354" s="7">
        <f>tbl_Ventes[[#This Row],[Qté Vendue]] * IFERROR(_xlfn.XLOOKUP(tbl_Ventes[[#This Row],[Cde_Prdt]], tbl_Produits[Cde_Prdt], tbl_Produits[Prix Menu]), 0)</f>
        <v>0</v>
      </c>
      <c r="H354" s="7">
        <f>IFERROR(_xlfn.XLOOKUP(tbl_Ventes[[#This Row],[Cde_Prdt]], tbl_Produits[Cde_Prdt], tbl_Produits[Coût Moyen Portion]), 0)</f>
        <v>0</v>
      </c>
      <c r="I354" s="7">
        <f>tbl_Ventes[[#This Row],[Qté Vendue]] * tbl_Ventes[[#This Row],[CMP_par_portion]]</f>
        <v>0</v>
      </c>
      <c r="J354" s="7">
        <f>tbl_Ventes[[#This Row],[CA ligne]] - tbl_Ventes[[#This Row],[Coût matière ligne]]</f>
        <v>0</v>
      </c>
      <c r="K354" s="7" t="str">
        <f>IFERROR(INDEX(tbl_ProduitsRef[Famille], MATCH(tbl_Ventes[[#This Row],[Cde_Prdt]], tbl_Produits[Cde_Prdt], 0)), "")</f>
        <v/>
      </c>
    </row>
    <row r="355" spans="1:11" x14ac:dyDescent="0.25">
      <c r="A355" s="5"/>
      <c r="B355" s="63" t="str">
        <f>IFERROR(TEXT(tbl_Ventes[[#This Row],[Date]],"mm-aaaa"),"")</f>
        <v>01-1900</v>
      </c>
      <c r="D355" s="10" t="str">
        <f>IFERROR(
   INDEX(tbl_ProduitsRef[Cde_Prdt],MATCH(tbl_Ventes[[#This Row],[Produit]],tbl_ProduitsRef[Produit],0)),
   ""
)</f>
        <v/>
      </c>
      <c r="E355" s="7">
        <v>0</v>
      </c>
      <c r="F355" s="7" t="str">
        <f>IFERROR(
   INDEX(tbl_ProduitsRef[Prix Menu],MATCH(tbl_Ventes[[#This Row],[Produit]],tbl_ProduitsRef[Produit],0)),
   ""
)</f>
        <v/>
      </c>
      <c r="G355" s="7">
        <f>tbl_Ventes[[#This Row],[Qté Vendue]] * IFERROR(_xlfn.XLOOKUP(tbl_Ventes[[#This Row],[Cde_Prdt]], tbl_Produits[Cde_Prdt], tbl_Produits[Prix Menu]), 0)</f>
        <v>0</v>
      </c>
      <c r="H355" s="7">
        <f>IFERROR(_xlfn.XLOOKUP(tbl_Ventes[[#This Row],[Cde_Prdt]], tbl_Produits[Cde_Prdt], tbl_Produits[Coût Moyen Portion]), 0)</f>
        <v>0</v>
      </c>
      <c r="I355" s="7">
        <f>tbl_Ventes[[#This Row],[Qté Vendue]] * tbl_Ventes[[#This Row],[CMP_par_portion]]</f>
        <v>0</v>
      </c>
      <c r="J355" s="7">
        <f>tbl_Ventes[[#This Row],[CA ligne]] - tbl_Ventes[[#This Row],[Coût matière ligne]]</f>
        <v>0</v>
      </c>
      <c r="K355" s="7" t="str">
        <f>IFERROR(INDEX(tbl_ProduitsRef[Famille], MATCH(tbl_Ventes[[#This Row],[Cde_Prdt]], tbl_Produits[Cde_Prdt], 0)), "")</f>
        <v/>
      </c>
    </row>
    <row r="356" spans="1:11" x14ac:dyDescent="0.25">
      <c r="A356" s="5"/>
      <c r="B356" s="63" t="str">
        <f>IFERROR(TEXT(tbl_Ventes[[#This Row],[Date]],"mm-aaaa"),"")</f>
        <v>01-1900</v>
      </c>
      <c r="D356" s="10" t="str">
        <f>IFERROR(
   INDEX(tbl_ProduitsRef[Cde_Prdt],MATCH(tbl_Ventes[[#This Row],[Produit]],tbl_ProduitsRef[Produit],0)),
   ""
)</f>
        <v/>
      </c>
      <c r="E356" s="7">
        <v>0</v>
      </c>
      <c r="F356" s="7" t="str">
        <f>IFERROR(
   INDEX(tbl_ProduitsRef[Prix Menu],MATCH(tbl_Ventes[[#This Row],[Produit]],tbl_ProduitsRef[Produit],0)),
   ""
)</f>
        <v/>
      </c>
      <c r="G356" s="7">
        <f>tbl_Ventes[[#This Row],[Qté Vendue]] * IFERROR(_xlfn.XLOOKUP(tbl_Ventes[[#This Row],[Cde_Prdt]], tbl_Produits[Cde_Prdt], tbl_Produits[Prix Menu]), 0)</f>
        <v>0</v>
      </c>
      <c r="H356" s="7">
        <f>IFERROR(_xlfn.XLOOKUP(tbl_Ventes[[#This Row],[Cde_Prdt]], tbl_Produits[Cde_Prdt], tbl_Produits[Coût Moyen Portion]), 0)</f>
        <v>0</v>
      </c>
      <c r="I356" s="7">
        <f>tbl_Ventes[[#This Row],[Qté Vendue]] * tbl_Ventes[[#This Row],[CMP_par_portion]]</f>
        <v>0</v>
      </c>
      <c r="J356" s="7">
        <f>tbl_Ventes[[#This Row],[CA ligne]] - tbl_Ventes[[#This Row],[Coût matière ligne]]</f>
        <v>0</v>
      </c>
      <c r="K356" s="7" t="str">
        <f>IFERROR(INDEX(tbl_ProduitsRef[Famille], MATCH(tbl_Ventes[[#This Row],[Cde_Prdt]], tbl_Produits[Cde_Prdt], 0)), "")</f>
        <v/>
      </c>
    </row>
    <row r="357" spans="1:11" x14ac:dyDescent="0.25">
      <c r="A357" s="5"/>
      <c r="B357" s="63" t="str">
        <f>IFERROR(TEXT(tbl_Ventes[[#This Row],[Date]],"mm-aaaa"),"")</f>
        <v>01-1900</v>
      </c>
      <c r="D357" s="10" t="str">
        <f>IFERROR(
   INDEX(tbl_ProduitsRef[Cde_Prdt],MATCH(tbl_Ventes[[#This Row],[Produit]],tbl_ProduitsRef[Produit],0)),
   ""
)</f>
        <v/>
      </c>
      <c r="E357" s="7">
        <v>0</v>
      </c>
      <c r="F357" s="7" t="str">
        <f>IFERROR(
   INDEX(tbl_ProduitsRef[Prix Menu],MATCH(tbl_Ventes[[#This Row],[Produit]],tbl_ProduitsRef[Produit],0)),
   ""
)</f>
        <v/>
      </c>
      <c r="G357" s="7">
        <f>tbl_Ventes[[#This Row],[Qté Vendue]] * IFERROR(_xlfn.XLOOKUP(tbl_Ventes[[#This Row],[Cde_Prdt]], tbl_Produits[Cde_Prdt], tbl_Produits[Prix Menu]), 0)</f>
        <v>0</v>
      </c>
      <c r="H357" s="7">
        <f>IFERROR(_xlfn.XLOOKUP(tbl_Ventes[[#This Row],[Cde_Prdt]], tbl_Produits[Cde_Prdt], tbl_Produits[Coût Moyen Portion]), 0)</f>
        <v>0</v>
      </c>
      <c r="I357" s="7">
        <f>tbl_Ventes[[#This Row],[Qté Vendue]] * tbl_Ventes[[#This Row],[CMP_par_portion]]</f>
        <v>0</v>
      </c>
      <c r="J357" s="7">
        <f>tbl_Ventes[[#This Row],[CA ligne]] - tbl_Ventes[[#This Row],[Coût matière ligne]]</f>
        <v>0</v>
      </c>
      <c r="K357" s="7" t="str">
        <f>IFERROR(INDEX(tbl_ProduitsRef[Famille], MATCH(tbl_Ventes[[#This Row],[Cde_Prdt]], tbl_Produits[Cde_Prdt], 0)), "")</f>
        <v/>
      </c>
    </row>
    <row r="358" spans="1:11" x14ac:dyDescent="0.25">
      <c r="A358" s="5"/>
      <c r="B358" s="63" t="str">
        <f>IFERROR(TEXT(tbl_Ventes[[#This Row],[Date]],"mm-aaaa"),"")</f>
        <v>01-1900</v>
      </c>
      <c r="D358" s="10" t="str">
        <f>IFERROR(
   INDEX(tbl_ProduitsRef[Cde_Prdt],MATCH(tbl_Ventes[[#This Row],[Produit]],tbl_ProduitsRef[Produit],0)),
   ""
)</f>
        <v/>
      </c>
      <c r="E358" s="7">
        <v>0</v>
      </c>
      <c r="F358" s="7" t="str">
        <f>IFERROR(
   INDEX(tbl_ProduitsRef[Prix Menu],MATCH(tbl_Ventes[[#This Row],[Produit]],tbl_ProduitsRef[Produit],0)),
   ""
)</f>
        <v/>
      </c>
      <c r="G358" s="7">
        <f>tbl_Ventes[[#This Row],[Qté Vendue]] * IFERROR(_xlfn.XLOOKUP(tbl_Ventes[[#This Row],[Cde_Prdt]], tbl_Produits[Cde_Prdt], tbl_Produits[Prix Menu]), 0)</f>
        <v>0</v>
      </c>
      <c r="H358" s="7">
        <f>IFERROR(_xlfn.XLOOKUP(tbl_Ventes[[#This Row],[Cde_Prdt]], tbl_Produits[Cde_Prdt], tbl_Produits[Coût Moyen Portion]), 0)</f>
        <v>0</v>
      </c>
      <c r="I358" s="7">
        <f>tbl_Ventes[[#This Row],[Qté Vendue]] * tbl_Ventes[[#This Row],[CMP_par_portion]]</f>
        <v>0</v>
      </c>
      <c r="J358" s="7">
        <f>tbl_Ventes[[#This Row],[CA ligne]] - tbl_Ventes[[#This Row],[Coût matière ligne]]</f>
        <v>0</v>
      </c>
      <c r="K358" s="7" t="str">
        <f>IFERROR(INDEX(tbl_ProduitsRef[Famille], MATCH(tbl_Ventes[[#This Row],[Cde_Prdt]], tbl_Produits[Cde_Prdt], 0)), "")</f>
        <v/>
      </c>
    </row>
    <row r="359" spans="1:11" x14ac:dyDescent="0.25">
      <c r="A359" s="5"/>
      <c r="B359" s="63" t="str">
        <f>IFERROR(TEXT(tbl_Ventes[[#This Row],[Date]],"mm-aaaa"),"")</f>
        <v>01-1900</v>
      </c>
      <c r="D359" s="10" t="str">
        <f>IFERROR(
   INDEX(tbl_ProduitsRef[Cde_Prdt],MATCH(tbl_Ventes[[#This Row],[Produit]],tbl_ProduitsRef[Produit],0)),
   ""
)</f>
        <v/>
      </c>
      <c r="E359" s="7">
        <v>0</v>
      </c>
      <c r="F359" s="7" t="str">
        <f>IFERROR(
   INDEX(tbl_ProduitsRef[Prix Menu],MATCH(tbl_Ventes[[#This Row],[Produit]],tbl_ProduitsRef[Produit],0)),
   ""
)</f>
        <v/>
      </c>
      <c r="G359" s="7">
        <f>tbl_Ventes[[#This Row],[Qté Vendue]] * IFERROR(_xlfn.XLOOKUP(tbl_Ventes[[#This Row],[Cde_Prdt]], tbl_Produits[Cde_Prdt], tbl_Produits[Prix Menu]), 0)</f>
        <v>0</v>
      </c>
      <c r="H359" s="7">
        <f>IFERROR(_xlfn.XLOOKUP(tbl_Ventes[[#This Row],[Cde_Prdt]], tbl_Produits[Cde_Prdt], tbl_Produits[Coût Moyen Portion]), 0)</f>
        <v>0</v>
      </c>
      <c r="I359" s="7">
        <f>tbl_Ventes[[#This Row],[Qté Vendue]] * tbl_Ventes[[#This Row],[CMP_par_portion]]</f>
        <v>0</v>
      </c>
      <c r="J359" s="7">
        <f>tbl_Ventes[[#This Row],[CA ligne]] - tbl_Ventes[[#This Row],[Coût matière ligne]]</f>
        <v>0</v>
      </c>
      <c r="K359" s="7" t="str">
        <f>IFERROR(INDEX(tbl_ProduitsRef[Famille], MATCH(tbl_Ventes[[#This Row],[Cde_Prdt]], tbl_Produits[Cde_Prdt], 0)), "")</f>
        <v/>
      </c>
    </row>
    <row r="360" spans="1:11" x14ac:dyDescent="0.25">
      <c r="A360" s="5"/>
      <c r="B360" s="63" t="str">
        <f>IFERROR(TEXT(tbl_Ventes[[#This Row],[Date]],"mm-aaaa"),"")</f>
        <v>01-1900</v>
      </c>
      <c r="D360" s="10" t="str">
        <f>IFERROR(
   INDEX(tbl_ProduitsRef[Cde_Prdt],MATCH(tbl_Ventes[[#This Row],[Produit]],tbl_ProduitsRef[Produit],0)),
   ""
)</f>
        <v/>
      </c>
      <c r="E360" s="7">
        <v>0</v>
      </c>
      <c r="F360" s="7" t="str">
        <f>IFERROR(
   INDEX(tbl_ProduitsRef[Prix Menu],MATCH(tbl_Ventes[[#This Row],[Produit]],tbl_ProduitsRef[Produit],0)),
   ""
)</f>
        <v/>
      </c>
      <c r="G360" s="7">
        <f>tbl_Ventes[[#This Row],[Qté Vendue]] * IFERROR(_xlfn.XLOOKUP(tbl_Ventes[[#This Row],[Cde_Prdt]], tbl_Produits[Cde_Prdt], tbl_Produits[Prix Menu]), 0)</f>
        <v>0</v>
      </c>
      <c r="H360" s="7">
        <f>IFERROR(_xlfn.XLOOKUP(tbl_Ventes[[#This Row],[Cde_Prdt]], tbl_Produits[Cde_Prdt], tbl_Produits[Coût Moyen Portion]), 0)</f>
        <v>0</v>
      </c>
      <c r="I360" s="7">
        <f>tbl_Ventes[[#This Row],[Qté Vendue]] * tbl_Ventes[[#This Row],[CMP_par_portion]]</f>
        <v>0</v>
      </c>
      <c r="J360" s="7">
        <f>tbl_Ventes[[#This Row],[CA ligne]] - tbl_Ventes[[#This Row],[Coût matière ligne]]</f>
        <v>0</v>
      </c>
      <c r="K360" s="7" t="str">
        <f>IFERROR(INDEX(tbl_ProduitsRef[Famille], MATCH(tbl_Ventes[[#This Row],[Cde_Prdt]], tbl_Produits[Cde_Prdt], 0)), "")</f>
        <v/>
      </c>
    </row>
    <row r="361" spans="1:11" x14ac:dyDescent="0.25">
      <c r="A361" s="5"/>
      <c r="B361" s="63" t="str">
        <f>IFERROR(TEXT(tbl_Ventes[[#This Row],[Date]],"mm-aaaa"),"")</f>
        <v>01-1900</v>
      </c>
      <c r="D361" s="10" t="str">
        <f>IFERROR(
   INDEX(tbl_ProduitsRef[Cde_Prdt],MATCH(tbl_Ventes[[#This Row],[Produit]],tbl_ProduitsRef[Produit],0)),
   ""
)</f>
        <v/>
      </c>
      <c r="E361" s="7">
        <v>0</v>
      </c>
      <c r="F361" s="7" t="str">
        <f>IFERROR(
   INDEX(tbl_ProduitsRef[Prix Menu],MATCH(tbl_Ventes[[#This Row],[Produit]],tbl_ProduitsRef[Produit],0)),
   ""
)</f>
        <v/>
      </c>
      <c r="G361" s="7">
        <f>tbl_Ventes[[#This Row],[Qté Vendue]] * IFERROR(_xlfn.XLOOKUP(tbl_Ventes[[#This Row],[Cde_Prdt]], tbl_Produits[Cde_Prdt], tbl_Produits[Prix Menu]), 0)</f>
        <v>0</v>
      </c>
      <c r="H361" s="7">
        <f>IFERROR(_xlfn.XLOOKUP(tbl_Ventes[[#This Row],[Cde_Prdt]], tbl_Produits[Cde_Prdt], tbl_Produits[Coût Moyen Portion]), 0)</f>
        <v>0</v>
      </c>
      <c r="I361" s="7">
        <f>tbl_Ventes[[#This Row],[Qté Vendue]] * tbl_Ventes[[#This Row],[CMP_par_portion]]</f>
        <v>0</v>
      </c>
      <c r="J361" s="7">
        <f>tbl_Ventes[[#This Row],[CA ligne]] - tbl_Ventes[[#This Row],[Coût matière ligne]]</f>
        <v>0</v>
      </c>
      <c r="K361" s="7" t="str">
        <f>IFERROR(INDEX(tbl_ProduitsRef[Famille], MATCH(tbl_Ventes[[#This Row],[Cde_Prdt]], tbl_Produits[Cde_Prdt], 0)), "")</f>
        <v/>
      </c>
    </row>
    <row r="362" spans="1:11" x14ac:dyDescent="0.25">
      <c r="A362" s="5"/>
      <c r="B362" s="63" t="str">
        <f>IFERROR(TEXT(tbl_Ventes[[#This Row],[Date]],"mm-aaaa"),"")</f>
        <v>01-1900</v>
      </c>
      <c r="D362" s="10" t="str">
        <f>IFERROR(
   INDEX(tbl_ProduitsRef[Cde_Prdt],MATCH(tbl_Ventes[[#This Row],[Produit]],tbl_ProduitsRef[Produit],0)),
   ""
)</f>
        <v/>
      </c>
      <c r="E362" s="7">
        <v>0</v>
      </c>
      <c r="F362" s="7" t="str">
        <f>IFERROR(
   INDEX(tbl_ProduitsRef[Prix Menu],MATCH(tbl_Ventes[[#This Row],[Produit]],tbl_ProduitsRef[Produit],0)),
   ""
)</f>
        <v/>
      </c>
      <c r="G362" s="7">
        <f>tbl_Ventes[[#This Row],[Qté Vendue]] * IFERROR(_xlfn.XLOOKUP(tbl_Ventes[[#This Row],[Cde_Prdt]], tbl_Produits[Cde_Prdt], tbl_Produits[Prix Menu]), 0)</f>
        <v>0</v>
      </c>
      <c r="H362" s="7">
        <f>IFERROR(_xlfn.XLOOKUP(tbl_Ventes[[#This Row],[Cde_Prdt]], tbl_Produits[Cde_Prdt], tbl_Produits[Coût Moyen Portion]), 0)</f>
        <v>0</v>
      </c>
      <c r="I362" s="7">
        <f>tbl_Ventes[[#This Row],[Qté Vendue]] * tbl_Ventes[[#This Row],[CMP_par_portion]]</f>
        <v>0</v>
      </c>
      <c r="J362" s="7">
        <f>tbl_Ventes[[#This Row],[CA ligne]] - tbl_Ventes[[#This Row],[Coût matière ligne]]</f>
        <v>0</v>
      </c>
      <c r="K362" s="7" t="str">
        <f>IFERROR(INDEX(tbl_ProduitsRef[Famille], MATCH(tbl_Ventes[[#This Row],[Cde_Prdt]], tbl_Produits[Cde_Prdt], 0)), "")</f>
        <v/>
      </c>
    </row>
    <row r="363" spans="1:11" x14ac:dyDescent="0.25">
      <c r="A363" s="5"/>
      <c r="B363" s="63" t="str">
        <f>IFERROR(TEXT(tbl_Ventes[[#This Row],[Date]],"mm-aaaa"),"")</f>
        <v>01-1900</v>
      </c>
      <c r="D363" s="10" t="str">
        <f>IFERROR(
   INDEX(tbl_ProduitsRef[Cde_Prdt],MATCH(tbl_Ventes[[#This Row],[Produit]],tbl_ProduitsRef[Produit],0)),
   ""
)</f>
        <v/>
      </c>
      <c r="E363" s="7">
        <v>0</v>
      </c>
      <c r="F363" s="7" t="str">
        <f>IFERROR(
   INDEX(tbl_ProduitsRef[Prix Menu],MATCH(tbl_Ventes[[#This Row],[Produit]],tbl_ProduitsRef[Produit],0)),
   ""
)</f>
        <v/>
      </c>
      <c r="G363" s="7">
        <f>tbl_Ventes[[#This Row],[Qté Vendue]] * IFERROR(_xlfn.XLOOKUP(tbl_Ventes[[#This Row],[Cde_Prdt]], tbl_Produits[Cde_Prdt], tbl_Produits[Prix Menu]), 0)</f>
        <v>0</v>
      </c>
      <c r="H363" s="7">
        <f>IFERROR(_xlfn.XLOOKUP(tbl_Ventes[[#This Row],[Cde_Prdt]], tbl_Produits[Cde_Prdt], tbl_Produits[Coût Moyen Portion]), 0)</f>
        <v>0</v>
      </c>
      <c r="I363" s="7">
        <f>tbl_Ventes[[#This Row],[Qté Vendue]] * tbl_Ventes[[#This Row],[CMP_par_portion]]</f>
        <v>0</v>
      </c>
      <c r="J363" s="7">
        <f>tbl_Ventes[[#This Row],[CA ligne]] - tbl_Ventes[[#This Row],[Coût matière ligne]]</f>
        <v>0</v>
      </c>
      <c r="K363" s="7" t="str">
        <f>IFERROR(INDEX(tbl_ProduitsRef[Famille], MATCH(tbl_Ventes[[#This Row],[Cde_Prdt]], tbl_Produits[Cde_Prdt], 0)), "")</f>
        <v/>
      </c>
    </row>
    <row r="364" spans="1:11" x14ac:dyDescent="0.25">
      <c r="A364" s="5"/>
      <c r="B364" s="63" t="str">
        <f>IFERROR(TEXT(tbl_Ventes[[#This Row],[Date]],"mm-aaaa"),"")</f>
        <v>01-1900</v>
      </c>
      <c r="D364" s="10" t="str">
        <f>IFERROR(
   INDEX(tbl_ProduitsRef[Cde_Prdt],MATCH(tbl_Ventes[[#This Row],[Produit]],tbl_ProduitsRef[Produit],0)),
   ""
)</f>
        <v/>
      </c>
      <c r="E364" s="7">
        <v>0</v>
      </c>
      <c r="F364" s="7" t="str">
        <f>IFERROR(
   INDEX(tbl_ProduitsRef[Prix Menu],MATCH(tbl_Ventes[[#This Row],[Produit]],tbl_ProduitsRef[Produit],0)),
   ""
)</f>
        <v/>
      </c>
      <c r="G364" s="7">
        <f>tbl_Ventes[[#This Row],[Qté Vendue]] * IFERROR(_xlfn.XLOOKUP(tbl_Ventes[[#This Row],[Cde_Prdt]], tbl_Produits[Cde_Prdt], tbl_Produits[Prix Menu]), 0)</f>
        <v>0</v>
      </c>
      <c r="H364" s="7">
        <f>IFERROR(_xlfn.XLOOKUP(tbl_Ventes[[#This Row],[Cde_Prdt]], tbl_Produits[Cde_Prdt], tbl_Produits[Coût Moyen Portion]), 0)</f>
        <v>0</v>
      </c>
      <c r="I364" s="7">
        <f>tbl_Ventes[[#This Row],[Qté Vendue]] * tbl_Ventes[[#This Row],[CMP_par_portion]]</f>
        <v>0</v>
      </c>
      <c r="J364" s="7">
        <f>tbl_Ventes[[#This Row],[CA ligne]] - tbl_Ventes[[#This Row],[Coût matière ligne]]</f>
        <v>0</v>
      </c>
      <c r="K364" s="7" t="str">
        <f>IFERROR(INDEX(tbl_ProduitsRef[Famille], MATCH(tbl_Ventes[[#This Row],[Cde_Prdt]], tbl_Produits[Cde_Prdt], 0)), "")</f>
        <v/>
      </c>
    </row>
    <row r="365" spans="1:11" x14ac:dyDescent="0.25">
      <c r="A365" s="5"/>
      <c r="B365" s="63" t="str">
        <f>IFERROR(TEXT(tbl_Ventes[[#This Row],[Date]],"mm-aaaa"),"")</f>
        <v>01-1900</v>
      </c>
      <c r="D365" s="10" t="str">
        <f>IFERROR(
   INDEX(tbl_ProduitsRef[Cde_Prdt],MATCH(tbl_Ventes[[#This Row],[Produit]],tbl_ProduitsRef[Produit],0)),
   ""
)</f>
        <v/>
      </c>
      <c r="E365" s="7">
        <v>0</v>
      </c>
      <c r="F365" s="7" t="str">
        <f>IFERROR(
   INDEX(tbl_ProduitsRef[Prix Menu],MATCH(tbl_Ventes[[#This Row],[Produit]],tbl_ProduitsRef[Produit],0)),
   ""
)</f>
        <v/>
      </c>
      <c r="G365" s="7">
        <f>tbl_Ventes[[#This Row],[Qté Vendue]] * IFERROR(_xlfn.XLOOKUP(tbl_Ventes[[#This Row],[Cde_Prdt]], tbl_Produits[Cde_Prdt], tbl_Produits[Prix Menu]), 0)</f>
        <v>0</v>
      </c>
      <c r="H365" s="7">
        <f>IFERROR(_xlfn.XLOOKUP(tbl_Ventes[[#This Row],[Cde_Prdt]], tbl_Produits[Cde_Prdt], tbl_Produits[Coût Moyen Portion]), 0)</f>
        <v>0</v>
      </c>
      <c r="I365" s="7">
        <f>tbl_Ventes[[#This Row],[Qté Vendue]] * tbl_Ventes[[#This Row],[CMP_par_portion]]</f>
        <v>0</v>
      </c>
      <c r="J365" s="7">
        <f>tbl_Ventes[[#This Row],[CA ligne]] - tbl_Ventes[[#This Row],[Coût matière ligne]]</f>
        <v>0</v>
      </c>
      <c r="K365" s="7" t="str">
        <f>IFERROR(INDEX(tbl_ProduitsRef[Famille], MATCH(tbl_Ventes[[#This Row],[Cde_Prdt]], tbl_Produits[Cde_Prdt], 0)), "")</f>
        <v/>
      </c>
    </row>
    <row r="366" spans="1:11" x14ac:dyDescent="0.25">
      <c r="A366" s="5"/>
      <c r="B366" s="63" t="str">
        <f>IFERROR(TEXT(tbl_Ventes[[#This Row],[Date]],"mm-aaaa"),"")</f>
        <v>01-1900</v>
      </c>
      <c r="D366" s="10" t="str">
        <f>IFERROR(
   INDEX(tbl_ProduitsRef[Cde_Prdt],MATCH(tbl_Ventes[[#This Row],[Produit]],tbl_ProduitsRef[Produit],0)),
   ""
)</f>
        <v/>
      </c>
      <c r="E366" s="7">
        <v>0</v>
      </c>
      <c r="F366" s="7" t="str">
        <f>IFERROR(
   INDEX(tbl_ProduitsRef[Prix Menu],MATCH(tbl_Ventes[[#This Row],[Produit]],tbl_ProduitsRef[Produit],0)),
   ""
)</f>
        <v/>
      </c>
      <c r="G366" s="7">
        <f>tbl_Ventes[[#This Row],[Qté Vendue]] * IFERROR(_xlfn.XLOOKUP(tbl_Ventes[[#This Row],[Cde_Prdt]], tbl_Produits[Cde_Prdt], tbl_Produits[Prix Menu]), 0)</f>
        <v>0</v>
      </c>
      <c r="H366" s="7">
        <f>IFERROR(_xlfn.XLOOKUP(tbl_Ventes[[#This Row],[Cde_Prdt]], tbl_Produits[Cde_Prdt], tbl_Produits[Coût Moyen Portion]), 0)</f>
        <v>0</v>
      </c>
      <c r="I366" s="7">
        <f>tbl_Ventes[[#This Row],[Qté Vendue]] * tbl_Ventes[[#This Row],[CMP_par_portion]]</f>
        <v>0</v>
      </c>
      <c r="J366" s="7">
        <f>tbl_Ventes[[#This Row],[CA ligne]] - tbl_Ventes[[#This Row],[Coût matière ligne]]</f>
        <v>0</v>
      </c>
      <c r="K366" s="7" t="str">
        <f>IFERROR(INDEX(tbl_ProduitsRef[Famille], MATCH(tbl_Ventes[[#This Row],[Cde_Prdt]], tbl_Produits[Cde_Prdt], 0)), "")</f>
        <v/>
      </c>
    </row>
    <row r="367" spans="1:11" x14ac:dyDescent="0.25">
      <c r="A367" s="5"/>
      <c r="B367" s="63" t="str">
        <f>IFERROR(TEXT(tbl_Ventes[[#This Row],[Date]],"mm-aaaa"),"")</f>
        <v>01-1900</v>
      </c>
      <c r="D367" s="10" t="str">
        <f>IFERROR(
   INDEX(tbl_ProduitsRef[Cde_Prdt],MATCH(tbl_Ventes[[#This Row],[Produit]],tbl_ProduitsRef[Produit],0)),
   ""
)</f>
        <v/>
      </c>
      <c r="E367" s="7">
        <v>0</v>
      </c>
      <c r="F367" s="7" t="str">
        <f>IFERROR(
   INDEX(tbl_ProduitsRef[Prix Menu],MATCH(tbl_Ventes[[#This Row],[Produit]],tbl_ProduitsRef[Produit],0)),
   ""
)</f>
        <v/>
      </c>
      <c r="G367" s="7">
        <f>tbl_Ventes[[#This Row],[Qté Vendue]] * IFERROR(_xlfn.XLOOKUP(tbl_Ventes[[#This Row],[Cde_Prdt]], tbl_Produits[Cde_Prdt], tbl_Produits[Prix Menu]), 0)</f>
        <v>0</v>
      </c>
      <c r="H367" s="7">
        <f>IFERROR(_xlfn.XLOOKUP(tbl_Ventes[[#This Row],[Cde_Prdt]], tbl_Produits[Cde_Prdt], tbl_Produits[Coût Moyen Portion]), 0)</f>
        <v>0</v>
      </c>
      <c r="I367" s="7">
        <f>tbl_Ventes[[#This Row],[Qté Vendue]] * tbl_Ventes[[#This Row],[CMP_par_portion]]</f>
        <v>0</v>
      </c>
      <c r="J367" s="7">
        <f>tbl_Ventes[[#This Row],[CA ligne]] - tbl_Ventes[[#This Row],[Coût matière ligne]]</f>
        <v>0</v>
      </c>
      <c r="K367" s="7" t="str">
        <f>IFERROR(INDEX(tbl_ProduitsRef[Famille], MATCH(tbl_Ventes[[#This Row],[Cde_Prdt]], tbl_Produits[Cde_Prdt], 0)), "")</f>
        <v/>
      </c>
    </row>
    <row r="368" spans="1:11" x14ac:dyDescent="0.25">
      <c r="A368" s="5"/>
      <c r="B368" s="63" t="str">
        <f>IFERROR(TEXT(tbl_Ventes[[#This Row],[Date]],"mm-aaaa"),"")</f>
        <v>01-1900</v>
      </c>
      <c r="D368" s="10" t="str">
        <f>IFERROR(
   INDEX(tbl_ProduitsRef[Cde_Prdt],MATCH(tbl_Ventes[[#This Row],[Produit]],tbl_ProduitsRef[Produit],0)),
   ""
)</f>
        <v/>
      </c>
      <c r="E368" s="7">
        <v>0</v>
      </c>
      <c r="F368" s="7" t="str">
        <f>IFERROR(
   INDEX(tbl_ProduitsRef[Prix Menu],MATCH(tbl_Ventes[[#This Row],[Produit]],tbl_ProduitsRef[Produit],0)),
   ""
)</f>
        <v/>
      </c>
      <c r="G368" s="7">
        <f>tbl_Ventes[[#This Row],[Qté Vendue]] * IFERROR(_xlfn.XLOOKUP(tbl_Ventes[[#This Row],[Cde_Prdt]], tbl_Produits[Cde_Prdt], tbl_Produits[Prix Menu]), 0)</f>
        <v>0</v>
      </c>
      <c r="H368" s="7">
        <f>IFERROR(_xlfn.XLOOKUP(tbl_Ventes[[#This Row],[Cde_Prdt]], tbl_Produits[Cde_Prdt], tbl_Produits[Coût Moyen Portion]), 0)</f>
        <v>0</v>
      </c>
      <c r="I368" s="7">
        <f>tbl_Ventes[[#This Row],[Qté Vendue]] * tbl_Ventes[[#This Row],[CMP_par_portion]]</f>
        <v>0</v>
      </c>
      <c r="J368" s="7">
        <f>tbl_Ventes[[#This Row],[CA ligne]] - tbl_Ventes[[#This Row],[Coût matière ligne]]</f>
        <v>0</v>
      </c>
      <c r="K368" s="7" t="str">
        <f>IFERROR(INDEX(tbl_ProduitsRef[Famille], MATCH(tbl_Ventes[[#This Row],[Cde_Prdt]], tbl_Produits[Cde_Prdt], 0)), "")</f>
        <v/>
      </c>
    </row>
    <row r="369" spans="1:11" x14ac:dyDescent="0.25">
      <c r="A369" s="5"/>
      <c r="B369" s="63" t="str">
        <f>IFERROR(TEXT(tbl_Ventes[[#This Row],[Date]],"mm-aaaa"),"")</f>
        <v>01-1900</v>
      </c>
      <c r="D369" s="10" t="str">
        <f>IFERROR(
   INDEX(tbl_ProduitsRef[Cde_Prdt],MATCH(tbl_Ventes[[#This Row],[Produit]],tbl_ProduitsRef[Produit],0)),
   ""
)</f>
        <v/>
      </c>
      <c r="E369" s="7">
        <v>0</v>
      </c>
      <c r="F369" s="7" t="str">
        <f>IFERROR(
   INDEX(tbl_ProduitsRef[Prix Menu],MATCH(tbl_Ventes[[#This Row],[Produit]],tbl_ProduitsRef[Produit],0)),
   ""
)</f>
        <v/>
      </c>
      <c r="G369" s="7">
        <f>tbl_Ventes[[#This Row],[Qté Vendue]] * IFERROR(_xlfn.XLOOKUP(tbl_Ventes[[#This Row],[Cde_Prdt]], tbl_Produits[Cde_Prdt], tbl_Produits[Prix Menu]), 0)</f>
        <v>0</v>
      </c>
      <c r="H369" s="7">
        <f>IFERROR(_xlfn.XLOOKUP(tbl_Ventes[[#This Row],[Cde_Prdt]], tbl_Produits[Cde_Prdt], tbl_Produits[Coût Moyen Portion]), 0)</f>
        <v>0</v>
      </c>
      <c r="I369" s="7">
        <f>tbl_Ventes[[#This Row],[Qté Vendue]] * tbl_Ventes[[#This Row],[CMP_par_portion]]</f>
        <v>0</v>
      </c>
      <c r="J369" s="7">
        <f>tbl_Ventes[[#This Row],[CA ligne]] - tbl_Ventes[[#This Row],[Coût matière ligne]]</f>
        <v>0</v>
      </c>
      <c r="K369" s="7" t="str">
        <f>IFERROR(INDEX(tbl_ProduitsRef[Famille], MATCH(tbl_Ventes[[#This Row],[Cde_Prdt]], tbl_Produits[Cde_Prdt], 0)), "")</f>
        <v/>
      </c>
    </row>
    <row r="370" spans="1:11" x14ac:dyDescent="0.25">
      <c r="A370" s="5"/>
      <c r="B370" s="63" t="str">
        <f>IFERROR(TEXT(tbl_Ventes[[#This Row],[Date]],"mm-aaaa"),"")</f>
        <v>01-1900</v>
      </c>
      <c r="D370" s="10" t="str">
        <f>IFERROR(
   INDEX(tbl_ProduitsRef[Cde_Prdt],MATCH(tbl_Ventes[[#This Row],[Produit]],tbl_ProduitsRef[Produit],0)),
   ""
)</f>
        <v/>
      </c>
      <c r="E370" s="7">
        <v>0</v>
      </c>
      <c r="F370" s="7" t="str">
        <f>IFERROR(
   INDEX(tbl_ProduitsRef[Prix Menu],MATCH(tbl_Ventes[[#This Row],[Produit]],tbl_ProduitsRef[Produit],0)),
   ""
)</f>
        <v/>
      </c>
      <c r="G370" s="7">
        <f>tbl_Ventes[[#This Row],[Qté Vendue]] * IFERROR(_xlfn.XLOOKUP(tbl_Ventes[[#This Row],[Cde_Prdt]], tbl_Produits[Cde_Prdt], tbl_Produits[Prix Menu]), 0)</f>
        <v>0</v>
      </c>
      <c r="H370" s="7">
        <f>IFERROR(_xlfn.XLOOKUP(tbl_Ventes[[#This Row],[Cde_Prdt]], tbl_Produits[Cde_Prdt], tbl_Produits[Coût Moyen Portion]), 0)</f>
        <v>0</v>
      </c>
      <c r="I370" s="7">
        <f>tbl_Ventes[[#This Row],[Qté Vendue]] * tbl_Ventes[[#This Row],[CMP_par_portion]]</f>
        <v>0</v>
      </c>
      <c r="J370" s="7">
        <f>tbl_Ventes[[#This Row],[CA ligne]] - tbl_Ventes[[#This Row],[Coût matière ligne]]</f>
        <v>0</v>
      </c>
      <c r="K370" s="7" t="str">
        <f>IFERROR(INDEX(tbl_ProduitsRef[Famille], MATCH(tbl_Ventes[[#This Row],[Cde_Prdt]], tbl_Produits[Cde_Prdt], 0)), "")</f>
        <v/>
      </c>
    </row>
    <row r="371" spans="1:11" x14ac:dyDescent="0.25">
      <c r="A371" s="5"/>
      <c r="B371" s="63" t="str">
        <f>IFERROR(TEXT(tbl_Ventes[[#This Row],[Date]],"mm-aaaa"),"")</f>
        <v>01-1900</v>
      </c>
      <c r="D371" s="10" t="str">
        <f>IFERROR(
   INDEX(tbl_ProduitsRef[Cde_Prdt],MATCH(tbl_Ventes[[#This Row],[Produit]],tbl_ProduitsRef[Produit],0)),
   ""
)</f>
        <v/>
      </c>
      <c r="E371" s="7">
        <v>0</v>
      </c>
      <c r="F371" s="7" t="str">
        <f>IFERROR(
   INDEX(tbl_ProduitsRef[Prix Menu],MATCH(tbl_Ventes[[#This Row],[Produit]],tbl_ProduitsRef[Produit],0)),
   ""
)</f>
        <v/>
      </c>
      <c r="G371" s="7">
        <f>tbl_Ventes[[#This Row],[Qté Vendue]] * IFERROR(_xlfn.XLOOKUP(tbl_Ventes[[#This Row],[Cde_Prdt]], tbl_Produits[Cde_Prdt], tbl_Produits[Prix Menu]), 0)</f>
        <v>0</v>
      </c>
      <c r="H371" s="7">
        <f>IFERROR(_xlfn.XLOOKUP(tbl_Ventes[[#This Row],[Cde_Prdt]], tbl_Produits[Cde_Prdt], tbl_Produits[Coût Moyen Portion]), 0)</f>
        <v>0</v>
      </c>
      <c r="I371" s="7">
        <f>tbl_Ventes[[#This Row],[Qté Vendue]] * tbl_Ventes[[#This Row],[CMP_par_portion]]</f>
        <v>0</v>
      </c>
      <c r="J371" s="7">
        <f>tbl_Ventes[[#This Row],[CA ligne]] - tbl_Ventes[[#This Row],[Coût matière ligne]]</f>
        <v>0</v>
      </c>
      <c r="K371" s="7" t="str">
        <f>IFERROR(INDEX(tbl_ProduitsRef[Famille], MATCH(tbl_Ventes[[#This Row],[Cde_Prdt]], tbl_Produits[Cde_Prdt], 0)), "")</f>
        <v/>
      </c>
    </row>
    <row r="372" spans="1:11" x14ac:dyDescent="0.25">
      <c r="A372" s="5"/>
      <c r="B372" s="63" t="str">
        <f>IFERROR(TEXT(tbl_Ventes[[#This Row],[Date]],"mm-aaaa"),"")</f>
        <v>01-1900</v>
      </c>
      <c r="D372" s="10" t="str">
        <f>IFERROR(
   INDEX(tbl_ProduitsRef[Cde_Prdt],MATCH(tbl_Ventes[[#This Row],[Produit]],tbl_ProduitsRef[Produit],0)),
   ""
)</f>
        <v/>
      </c>
      <c r="E372" s="7">
        <v>0</v>
      </c>
      <c r="F372" s="7" t="str">
        <f>IFERROR(
   INDEX(tbl_ProduitsRef[Prix Menu],MATCH(tbl_Ventes[[#This Row],[Produit]],tbl_ProduitsRef[Produit],0)),
   ""
)</f>
        <v/>
      </c>
      <c r="G372" s="7">
        <f>tbl_Ventes[[#This Row],[Qté Vendue]] * IFERROR(_xlfn.XLOOKUP(tbl_Ventes[[#This Row],[Cde_Prdt]], tbl_Produits[Cde_Prdt], tbl_Produits[Prix Menu]), 0)</f>
        <v>0</v>
      </c>
      <c r="H372" s="7">
        <f>IFERROR(_xlfn.XLOOKUP(tbl_Ventes[[#This Row],[Cde_Prdt]], tbl_Produits[Cde_Prdt], tbl_Produits[Coût Moyen Portion]), 0)</f>
        <v>0</v>
      </c>
      <c r="I372" s="7">
        <f>tbl_Ventes[[#This Row],[Qté Vendue]] * tbl_Ventes[[#This Row],[CMP_par_portion]]</f>
        <v>0</v>
      </c>
      <c r="J372" s="7">
        <f>tbl_Ventes[[#This Row],[CA ligne]] - tbl_Ventes[[#This Row],[Coût matière ligne]]</f>
        <v>0</v>
      </c>
      <c r="K372" s="7" t="str">
        <f>IFERROR(INDEX(tbl_ProduitsRef[Famille], MATCH(tbl_Ventes[[#This Row],[Cde_Prdt]], tbl_Produits[Cde_Prdt], 0)), "")</f>
        <v/>
      </c>
    </row>
    <row r="373" spans="1:11" x14ac:dyDescent="0.25">
      <c r="A373" s="5"/>
      <c r="B373" s="63" t="str">
        <f>IFERROR(TEXT(tbl_Ventes[[#This Row],[Date]],"mm-aaaa"),"")</f>
        <v>01-1900</v>
      </c>
      <c r="D373" s="10" t="str">
        <f>IFERROR(
   INDEX(tbl_ProduitsRef[Cde_Prdt],MATCH(tbl_Ventes[[#This Row],[Produit]],tbl_ProduitsRef[Produit],0)),
   ""
)</f>
        <v/>
      </c>
      <c r="E373" s="7">
        <v>0</v>
      </c>
      <c r="F373" s="7" t="str">
        <f>IFERROR(
   INDEX(tbl_ProduitsRef[Prix Menu],MATCH(tbl_Ventes[[#This Row],[Produit]],tbl_ProduitsRef[Produit],0)),
   ""
)</f>
        <v/>
      </c>
      <c r="G373" s="7">
        <f>tbl_Ventes[[#This Row],[Qté Vendue]] * IFERROR(_xlfn.XLOOKUP(tbl_Ventes[[#This Row],[Cde_Prdt]], tbl_Produits[Cde_Prdt], tbl_Produits[Prix Menu]), 0)</f>
        <v>0</v>
      </c>
      <c r="H373" s="7">
        <f>IFERROR(_xlfn.XLOOKUP(tbl_Ventes[[#This Row],[Cde_Prdt]], tbl_Produits[Cde_Prdt], tbl_Produits[Coût Moyen Portion]), 0)</f>
        <v>0</v>
      </c>
      <c r="I373" s="7">
        <f>tbl_Ventes[[#This Row],[Qté Vendue]] * tbl_Ventes[[#This Row],[CMP_par_portion]]</f>
        <v>0</v>
      </c>
      <c r="J373" s="7">
        <f>tbl_Ventes[[#This Row],[CA ligne]] - tbl_Ventes[[#This Row],[Coût matière ligne]]</f>
        <v>0</v>
      </c>
      <c r="K373" s="7" t="str">
        <f>IFERROR(INDEX(tbl_ProduitsRef[Famille], MATCH(tbl_Ventes[[#This Row],[Cde_Prdt]], tbl_Produits[Cde_Prdt], 0)), "")</f>
        <v/>
      </c>
    </row>
    <row r="374" spans="1:11" x14ac:dyDescent="0.25">
      <c r="A374" s="5"/>
      <c r="B374" s="63" t="str">
        <f>IFERROR(TEXT(tbl_Ventes[[#This Row],[Date]],"mm-aaaa"),"")</f>
        <v>01-1900</v>
      </c>
      <c r="D374" s="10" t="str">
        <f>IFERROR(
   INDEX(tbl_ProduitsRef[Cde_Prdt],MATCH(tbl_Ventes[[#This Row],[Produit]],tbl_ProduitsRef[Produit],0)),
   ""
)</f>
        <v/>
      </c>
      <c r="E374" s="7">
        <v>0</v>
      </c>
      <c r="F374" s="7" t="str">
        <f>IFERROR(
   INDEX(tbl_ProduitsRef[Prix Menu],MATCH(tbl_Ventes[[#This Row],[Produit]],tbl_ProduitsRef[Produit],0)),
   ""
)</f>
        <v/>
      </c>
      <c r="G374" s="7">
        <f>tbl_Ventes[[#This Row],[Qté Vendue]] * IFERROR(_xlfn.XLOOKUP(tbl_Ventes[[#This Row],[Cde_Prdt]], tbl_Produits[Cde_Prdt], tbl_Produits[Prix Menu]), 0)</f>
        <v>0</v>
      </c>
      <c r="H374" s="7">
        <f>IFERROR(_xlfn.XLOOKUP(tbl_Ventes[[#This Row],[Cde_Prdt]], tbl_Produits[Cde_Prdt], tbl_Produits[Coût Moyen Portion]), 0)</f>
        <v>0</v>
      </c>
      <c r="I374" s="7">
        <f>tbl_Ventes[[#This Row],[Qté Vendue]] * tbl_Ventes[[#This Row],[CMP_par_portion]]</f>
        <v>0</v>
      </c>
      <c r="J374" s="7">
        <f>tbl_Ventes[[#This Row],[CA ligne]] - tbl_Ventes[[#This Row],[Coût matière ligne]]</f>
        <v>0</v>
      </c>
      <c r="K374" s="7" t="str">
        <f>IFERROR(INDEX(tbl_ProduitsRef[Famille], MATCH(tbl_Ventes[[#This Row],[Cde_Prdt]], tbl_Produits[Cde_Prdt], 0)), "")</f>
        <v/>
      </c>
    </row>
    <row r="375" spans="1:11" x14ac:dyDescent="0.25">
      <c r="A375" s="5"/>
      <c r="B375" s="63" t="str">
        <f>IFERROR(TEXT(tbl_Ventes[[#This Row],[Date]],"mm-aaaa"),"")</f>
        <v>01-1900</v>
      </c>
      <c r="D375" s="10" t="str">
        <f>IFERROR(
   INDEX(tbl_ProduitsRef[Cde_Prdt],MATCH(tbl_Ventes[[#This Row],[Produit]],tbl_ProduitsRef[Produit],0)),
   ""
)</f>
        <v/>
      </c>
      <c r="E375" s="7">
        <v>0</v>
      </c>
      <c r="F375" s="7" t="str">
        <f>IFERROR(
   INDEX(tbl_ProduitsRef[Prix Menu],MATCH(tbl_Ventes[[#This Row],[Produit]],tbl_ProduitsRef[Produit],0)),
   ""
)</f>
        <v/>
      </c>
      <c r="G375" s="7">
        <f>tbl_Ventes[[#This Row],[Qté Vendue]] * IFERROR(_xlfn.XLOOKUP(tbl_Ventes[[#This Row],[Cde_Prdt]], tbl_Produits[Cde_Prdt], tbl_Produits[Prix Menu]), 0)</f>
        <v>0</v>
      </c>
      <c r="H375" s="7">
        <f>IFERROR(_xlfn.XLOOKUP(tbl_Ventes[[#This Row],[Cde_Prdt]], tbl_Produits[Cde_Prdt], tbl_Produits[Coût Moyen Portion]), 0)</f>
        <v>0</v>
      </c>
      <c r="I375" s="7">
        <f>tbl_Ventes[[#This Row],[Qté Vendue]] * tbl_Ventes[[#This Row],[CMP_par_portion]]</f>
        <v>0</v>
      </c>
      <c r="J375" s="7">
        <f>tbl_Ventes[[#This Row],[CA ligne]] - tbl_Ventes[[#This Row],[Coût matière ligne]]</f>
        <v>0</v>
      </c>
      <c r="K375" s="7" t="str">
        <f>IFERROR(INDEX(tbl_ProduitsRef[Famille], MATCH(tbl_Ventes[[#This Row],[Cde_Prdt]], tbl_Produits[Cde_Prdt], 0)), "")</f>
        <v/>
      </c>
    </row>
    <row r="376" spans="1:11" x14ac:dyDescent="0.25">
      <c r="A376" s="5"/>
      <c r="B376" s="63" t="str">
        <f>IFERROR(TEXT(tbl_Ventes[[#This Row],[Date]],"mm-aaaa"),"")</f>
        <v>01-1900</v>
      </c>
      <c r="D376" s="10" t="str">
        <f>IFERROR(
   INDEX(tbl_ProduitsRef[Cde_Prdt],MATCH(tbl_Ventes[[#This Row],[Produit]],tbl_ProduitsRef[Produit],0)),
   ""
)</f>
        <v/>
      </c>
      <c r="E376" s="7">
        <v>0</v>
      </c>
      <c r="F376" s="7" t="str">
        <f>IFERROR(
   INDEX(tbl_ProduitsRef[Prix Menu],MATCH(tbl_Ventes[[#This Row],[Produit]],tbl_ProduitsRef[Produit],0)),
   ""
)</f>
        <v/>
      </c>
      <c r="G376" s="7">
        <f>tbl_Ventes[[#This Row],[Qté Vendue]] * IFERROR(_xlfn.XLOOKUP(tbl_Ventes[[#This Row],[Cde_Prdt]], tbl_Produits[Cde_Prdt], tbl_Produits[Prix Menu]), 0)</f>
        <v>0</v>
      </c>
      <c r="H376" s="7">
        <f>IFERROR(_xlfn.XLOOKUP(tbl_Ventes[[#This Row],[Cde_Prdt]], tbl_Produits[Cde_Prdt], tbl_Produits[Coût Moyen Portion]), 0)</f>
        <v>0</v>
      </c>
      <c r="I376" s="7">
        <f>tbl_Ventes[[#This Row],[Qté Vendue]] * tbl_Ventes[[#This Row],[CMP_par_portion]]</f>
        <v>0</v>
      </c>
      <c r="J376" s="7">
        <f>tbl_Ventes[[#This Row],[CA ligne]] - tbl_Ventes[[#This Row],[Coût matière ligne]]</f>
        <v>0</v>
      </c>
      <c r="K376" s="7" t="str">
        <f>IFERROR(INDEX(tbl_ProduitsRef[Famille], MATCH(tbl_Ventes[[#This Row],[Cde_Prdt]], tbl_Produits[Cde_Prdt], 0)), "")</f>
        <v/>
      </c>
    </row>
    <row r="377" spans="1:11" x14ac:dyDescent="0.25">
      <c r="A377" s="5"/>
      <c r="B377" s="63" t="str">
        <f>IFERROR(TEXT(tbl_Ventes[[#This Row],[Date]],"mm-aaaa"),"")</f>
        <v>01-1900</v>
      </c>
      <c r="D377" s="10" t="str">
        <f>IFERROR(
   INDEX(tbl_ProduitsRef[Cde_Prdt],MATCH(tbl_Ventes[[#This Row],[Produit]],tbl_ProduitsRef[Produit],0)),
   ""
)</f>
        <v/>
      </c>
      <c r="E377" s="7">
        <v>0</v>
      </c>
      <c r="F377" s="7" t="str">
        <f>IFERROR(
   INDEX(tbl_ProduitsRef[Prix Menu],MATCH(tbl_Ventes[[#This Row],[Produit]],tbl_ProduitsRef[Produit],0)),
   ""
)</f>
        <v/>
      </c>
      <c r="G377" s="7">
        <f>tbl_Ventes[[#This Row],[Qté Vendue]] * IFERROR(_xlfn.XLOOKUP(tbl_Ventes[[#This Row],[Cde_Prdt]], tbl_Produits[Cde_Prdt], tbl_Produits[Prix Menu]), 0)</f>
        <v>0</v>
      </c>
      <c r="H377" s="7">
        <f>IFERROR(_xlfn.XLOOKUP(tbl_Ventes[[#This Row],[Cde_Prdt]], tbl_Produits[Cde_Prdt], tbl_Produits[Coût Moyen Portion]), 0)</f>
        <v>0</v>
      </c>
      <c r="I377" s="7">
        <f>tbl_Ventes[[#This Row],[Qté Vendue]] * tbl_Ventes[[#This Row],[CMP_par_portion]]</f>
        <v>0</v>
      </c>
      <c r="J377" s="7">
        <f>tbl_Ventes[[#This Row],[CA ligne]] - tbl_Ventes[[#This Row],[Coût matière ligne]]</f>
        <v>0</v>
      </c>
      <c r="K377" s="7" t="str">
        <f>IFERROR(INDEX(tbl_ProduitsRef[Famille], MATCH(tbl_Ventes[[#This Row],[Cde_Prdt]], tbl_Produits[Cde_Prdt], 0)), "")</f>
        <v/>
      </c>
    </row>
    <row r="378" spans="1:11" x14ac:dyDescent="0.25">
      <c r="A378" s="5"/>
      <c r="B378" s="63" t="str">
        <f>IFERROR(TEXT(tbl_Ventes[[#This Row],[Date]],"mm-aaaa"),"")</f>
        <v>01-1900</v>
      </c>
      <c r="D378" s="10" t="str">
        <f>IFERROR(
   INDEX(tbl_ProduitsRef[Cde_Prdt],MATCH(tbl_Ventes[[#This Row],[Produit]],tbl_ProduitsRef[Produit],0)),
   ""
)</f>
        <v/>
      </c>
      <c r="E378" s="7">
        <v>0</v>
      </c>
      <c r="F378" s="7" t="str">
        <f>IFERROR(
   INDEX(tbl_ProduitsRef[Prix Menu],MATCH(tbl_Ventes[[#This Row],[Produit]],tbl_ProduitsRef[Produit],0)),
   ""
)</f>
        <v/>
      </c>
      <c r="G378" s="7">
        <f>tbl_Ventes[[#This Row],[Qté Vendue]] * IFERROR(_xlfn.XLOOKUP(tbl_Ventes[[#This Row],[Cde_Prdt]], tbl_Produits[Cde_Prdt], tbl_Produits[Prix Menu]), 0)</f>
        <v>0</v>
      </c>
      <c r="H378" s="7">
        <f>IFERROR(_xlfn.XLOOKUP(tbl_Ventes[[#This Row],[Cde_Prdt]], tbl_Produits[Cde_Prdt], tbl_Produits[Coût Moyen Portion]), 0)</f>
        <v>0</v>
      </c>
      <c r="I378" s="7">
        <f>tbl_Ventes[[#This Row],[Qté Vendue]] * tbl_Ventes[[#This Row],[CMP_par_portion]]</f>
        <v>0</v>
      </c>
      <c r="J378" s="7">
        <f>tbl_Ventes[[#This Row],[CA ligne]] - tbl_Ventes[[#This Row],[Coût matière ligne]]</f>
        <v>0</v>
      </c>
      <c r="K378" s="7" t="str">
        <f>IFERROR(INDEX(tbl_ProduitsRef[Famille], MATCH(tbl_Ventes[[#This Row],[Cde_Prdt]], tbl_Produits[Cde_Prdt], 0)), "")</f>
        <v/>
      </c>
    </row>
    <row r="379" spans="1:11" x14ac:dyDescent="0.25">
      <c r="A379" s="5"/>
      <c r="B379" s="63" t="str">
        <f>IFERROR(TEXT(tbl_Ventes[[#This Row],[Date]],"mm-aaaa"),"")</f>
        <v>01-1900</v>
      </c>
      <c r="D379" s="10" t="str">
        <f>IFERROR(
   INDEX(tbl_ProduitsRef[Cde_Prdt],MATCH(tbl_Ventes[[#This Row],[Produit]],tbl_ProduitsRef[Produit],0)),
   ""
)</f>
        <v/>
      </c>
      <c r="E379" s="7">
        <v>0</v>
      </c>
      <c r="F379" s="7" t="str">
        <f>IFERROR(
   INDEX(tbl_ProduitsRef[Prix Menu],MATCH(tbl_Ventes[[#This Row],[Produit]],tbl_ProduitsRef[Produit],0)),
   ""
)</f>
        <v/>
      </c>
      <c r="G379" s="7">
        <f>tbl_Ventes[[#This Row],[Qté Vendue]] * IFERROR(_xlfn.XLOOKUP(tbl_Ventes[[#This Row],[Cde_Prdt]], tbl_Produits[Cde_Prdt], tbl_Produits[Prix Menu]), 0)</f>
        <v>0</v>
      </c>
      <c r="H379" s="7">
        <f>IFERROR(_xlfn.XLOOKUP(tbl_Ventes[[#This Row],[Cde_Prdt]], tbl_Produits[Cde_Prdt], tbl_Produits[Coût Moyen Portion]), 0)</f>
        <v>0</v>
      </c>
      <c r="I379" s="7">
        <f>tbl_Ventes[[#This Row],[Qté Vendue]] * tbl_Ventes[[#This Row],[CMP_par_portion]]</f>
        <v>0</v>
      </c>
      <c r="J379" s="7">
        <f>tbl_Ventes[[#This Row],[CA ligne]] - tbl_Ventes[[#This Row],[Coût matière ligne]]</f>
        <v>0</v>
      </c>
      <c r="K379" s="7" t="str">
        <f>IFERROR(INDEX(tbl_ProduitsRef[Famille], MATCH(tbl_Ventes[[#This Row],[Cde_Prdt]], tbl_Produits[Cde_Prdt], 0)), "")</f>
        <v/>
      </c>
    </row>
    <row r="380" spans="1:11" x14ac:dyDescent="0.25">
      <c r="A380" s="5"/>
      <c r="B380" s="63" t="str">
        <f>IFERROR(TEXT(tbl_Ventes[[#This Row],[Date]],"mm-aaaa"),"")</f>
        <v>01-1900</v>
      </c>
      <c r="D380" s="10" t="str">
        <f>IFERROR(
   INDEX(tbl_ProduitsRef[Cde_Prdt],MATCH(tbl_Ventes[[#This Row],[Produit]],tbl_ProduitsRef[Produit],0)),
   ""
)</f>
        <v/>
      </c>
      <c r="E380" s="7">
        <v>0</v>
      </c>
      <c r="F380" s="7" t="str">
        <f>IFERROR(
   INDEX(tbl_ProduitsRef[Prix Menu],MATCH(tbl_Ventes[[#This Row],[Produit]],tbl_ProduitsRef[Produit],0)),
   ""
)</f>
        <v/>
      </c>
      <c r="G380" s="7">
        <f>tbl_Ventes[[#This Row],[Qté Vendue]] * IFERROR(_xlfn.XLOOKUP(tbl_Ventes[[#This Row],[Cde_Prdt]], tbl_Produits[Cde_Prdt], tbl_Produits[Prix Menu]), 0)</f>
        <v>0</v>
      </c>
      <c r="H380" s="7">
        <f>IFERROR(_xlfn.XLOOKUP(tbl_Ventes[[#This Row],[Cde_Prdt]], tbl_Produits[Cde_Prdt], tbl_Produits[Coût Moyen Portion]), 0)</f>
        <v>0</v>
      </c>
      <c r="I380" s="7">
        <f>tbl_Ventes[[#This Row],[Qté Vendue]] * tbl_Ventes[[#This Row],[CMP_par_portion]]</f>
        <v>0</v>
      </c>
      <c r="J380" s="7">
        <f>tbl_Ventes[[#This Row],[CA ligne]] - tbl_Ventes[[#This Row],[Coût matière ligne]]</f>
        <v>0</v>
      </c>
      <c r="K380" s="7" t="str">
        <f>IFERROR(INDEX(tbl_ProduitsRef[Famille], MATCH(tbl_Ventes[[#This Row],[Cde_Prdt]], tbl_Produits[Cde_Prdt], 0)), "")</f>
        <v/>
      </c>
    </row>
    <row r="381" spans="1:11" x14ac:dyDescent="0.25">
      <c r="A381" s="5"/>
      <c r="B381" s="63" t="str">
        <f>IFERROR(TEXT(tbl_Ventes[[#This Row],[Date]],"mm-aaaa"),"")</f>
        <v>01-1900</v>
      </c>
      <c r="D381" s="10" t="str">
        <f>IFERROR(
   INDEX(tbl_ProduitsRef[Cde_Prdt],MATCH(tbl_Ventes[[#This Row],[Produit]],tbl_ProduitsRef[Produit],0)),
   ""
)</f>
        <v/>
      </c>
      <c r="E381" s="7">
        <v>0</v>
      </c>
      <c r="F381" s="7" t="str">
        <f>IFERROR(
   INDEX(tbl_ProduitsRef[Prix Menu],MATCH(tbl_Ventes[[#This Row],[Produit]],tbl_ProduitsRef[Produit],0)),
   ""
)</f>
        <v/>
      </c>
      <c r="G381" s="7">
        <f>tbl_Ventes[[#This Row],[Qté Vendue]] * IFERROR(_xlfn.XLOOKUP(tbl_Ventes[[#This Row],[Cde_Prdt]], tbl_Produits[Cde_Prdt], tbl_Produits[Prix Menu]), 0)</f>
        <v>0</v>
      </c>
      <c r="H381" s="7">
        <f>IFERROR(_xlfn.XLOOKUP(tbl_Ventes[[#This Row],[Cde_Prdt]], tbl_Produits[Cde_Prdt], tbl_Produits[Coût Moyen Portion]), 0)</f>
        <v>0</v>
      </c>
      <c r="I381" s="7">
        <f>tbl_Ventes[[#This Row],[Qté Vendue]] * tbl_Ventes[[#This Row],[CMP_par_portion]]</f>
        <v>0</v>
      </c>
      <c r="J381" s="7">
        <f>tbl_Ventes[[#This Row],[CA ligne]] - tbl_Ventes[[#This Row],[Coût matière ligne]]</f>
        <v>0</v>
      </c>
      <c r="K381" s="7" t="str">
        <f>IFERROR(INDEX(tbl_ProduitsRef[Famille], MATCH(tbl_Ventes[[#This Row],[Cde_Prdt]], tbl_Produits[Cde_Prdt], 0)), "")</f>
        <v/>
      </c>
    </row>
    <row r="382" spans="1:11" x14ac:dyDescent="0.25">
      <c r="A382" s="5"/>
      <c r="B382" s="63" t="str">
        <f>IFERROR(TEXT(tbl_Ventes[[#This Row],[Date]],"mm-aaaa"),"")</f>
        <v>01-1900</v>
      </c>
      <c r="D382" s="10" t="str">
        <f>IFERROR(
   INDEX(tbl_ProduitsRef[Cde_Prdt],MATCH(tbl_Ventes[[#This Row],[Produit]],tbl_ProduitsRef[Produit],0)),
   ""
)</f>
        <v/>
      </c>
      <c r="E382" s="7">
        <v>0</v>
      </c>
      <c r="F382" s="7" t="str">
        <f>IFERROR(
   INDEX(tbl_ProduitsRef[Prix Menu],MATCH(tbl_Ventes[[#This Row],[Produit]],tbl_ProduitsRef[Produit],0)),
   ""
)</f>
        <v/>
      </c>
      <c r="G382" s="7">
        <f>tbl_Ventes[[#This Row],[Qté Vendue]] * IFERROR(_xlfn.XLOOKUP(tbl_Ventes[[#This Row],[Cde_Prdt]], tbl_Produits[Cde_Prdt], tbl_Produits[Prix Menu]), 0)</f>
        <v>0</v>
      </c>
      <c r="H382" s="7">
        <f>IFERROR(_xlfn.XLOOKUP(tbl_Ventes[[#This Row],[Cde_Prdt]], tbl_Produits[Cde_Prdt], tbl_Produits[Coût Moyen Portion]), 0)</f>
        <v>0</v>
      </c>
      <c r="I382" s="7">
        <f>tbl_Ventes[[#This Row],[Qté Vendue]] * tbl_Ventes[[#This Row],[CMP_par_portion]]</f>
        <v>0</v>
      </c>
      <c r="J382" s="7">
        <f>tbl_Ventes[[#This Row],[CA ligne]] - tbl_Ventes[[#This Row],[Coût matière ligne]]</f>
        <v>0</v>
      </c>
      <c r="K382" s="7" t="str">
        <f>IFERROR(INDEX(tbl_ProduitsRef[Famille], MATCH(tbl_Ventes[[#This Row],[Cde_Prdt]], tbl_Produits[Cde_Prdt], 0)), "")</f>
        <v/>
      </c>
    </row>
    <row r="383" spans="1:11" x14ac:dyDescent="0.25">
      <c r="A383" s="5"/>
      <c r="B383" s="63" t="str">
        <f>IFERROR(TEXT(tbl_Ventes[[#This Row],[Date]],"mm-aaaa"),"")</f>
        <v>01-1900</v>
      </c>
      <c r="D383" s="10" t="str">
        <f>IFERROR(
   INDEX(tbl_ProduitsRef[Cde_Prdt],MATCH(tbl_Ventes[[#This Row],[Produit]],tbl_ProduitsRef[Produit],0)),
   ""
)</f>
        <v/>
      </c>
      <c r="E383" s="7">
        <v>0</v>
      </c>
      <c r="F383" s="7" t="str">
        <f>IFERROR(
   INDEX(tbl_ProduitsRef[Prix Menu],MATCH(tbl_Ventes[[#This Row],[Produit]],tbl_ProduitsRef[Produit],0)),
   ""
)</f>
        <v/>
      </c>
      <c r="G383" s="7">
        <f>tbl_Ventes[[#This Row],[Qté Vendue]] * IFERROR(_xlfn.XLOOKUP(tbl_Ventes[[#This Row],[Cde_Prdt]], tbl_Produits[Cde_Prdt], tbl_Produits[Prix Menu]), 0)</f>
        <v>0</v>
      </c>
      <c r="H383" s="7">
        <f>IFERROR(_xlfn.XLOOKUP(tbl_Ventes[[#This Row],[Cde_Prdt]], tbl_Produits[Cde_Prdt], tbl_Produits[Coût Moyen Portion]), 0)</f>
        <v>0</v>
      </c>
      <c r="I383" s="7">
        <f>tbl_Ventes[[#This Row],[Qté Vendue]] * tbl_Ventes[[#This Row],[CMP_par_portion]]</f>
        <v>0</v>
      </c>
      <c r="J383" s="7">
        <f>tbl_Ventes[[#This Row],[CA ligne]] - tbl_Ventes[[#This Row],[Coût matière ligne]]</f>
        <v>0</v>
      </c>
      <c r="K383" s="7" t="str">
        <f>IFERROR(INDEX(tbl_ProduitsRef[Famille], MATCH(tbl_Ventes[[#This Row],[Cde_Prdt]], tbl_Produits[Cde_Prdt], 0)), "")</f>
        <v/>
      </c>
    </row>
    <row r="384" spans="1:11" x14ac:dyDescent="0.25">
      <c r="A384" s="5"/>
      <c r="B384" s="63" t="str">
        <f>IFERROR(TEXT(tbl_Ventes[[#This Row],[Date]],"mm-aaaa"),"")</f>
        <v>01-1900</v>
      </c>
      <c r="D384" s="10" t="str">
        <f>IFERROR(
   INDEX(tbl_ProduitsRef[Cde_Prdt],MATCH(tbl_Ventes[[#This Row],[Produit]],tbl_ProduitsRef[Produit],0)),
   ""
)</f>
        <v/>
      </c>
      <c r="E384" s="7">
        <v>0</v>
      </c>
      <c r="F384" s="7" t="str">
        <f>IFERROR(
   INDEX(tbl_ProduitsRef[Prix Menu],MATCH(tbl_Ventes[[#This Row],[Produit]],tbl_ProduitsRef[Produit],0)),
   ""
)</f>
        <v/>
      </c>
      <c r="G384" s="7">
        <f>tbl_Ventes[[#This Row],[Qté Vendue]] * IFERROR(_xlfn.XLOOKUP(tbl_Ventes[[#This Row],[Cde_Prdt]], tbl_Produits[Cde_Prdt], tbl_Produits[Prix Menu]), 0)</f>
        <v>0</v>
      </c>
      <c r="H384" s="7">
        <f>IFERROR(_xlfn.XLOOKUP(tbl_Ventes[[#This Row],[Cde_Prdt]], tbl_Produits[Cde_Prdt], tbl_Produits[Coût Moyen Portion]), 0)</f>
        <v>0</v>
      </c>
      <c r="I384" s="7">
        <f>tbl_Ventes[[#This Row],[Qté Vendue]] * tbl_Ventes[[#This Row],[CMP_par_portion]]</f>
        <v>0</v>
      </c>
      <c r="J384" s="7">
        <f>tbl_Ventes[[#This Row],[CA ligne]] - tbl_Ventes[[#This Row],[Coût matière ligne]]</f>
        <v>0</v>
      </c>
      <c r="K384" s="7" t="str">
        <f>IFERROR(INDEX(tbl_ProduitsRef[Famille], MATCH(tbl_Ventes[[#This Row],[Cde_Prdt]], tbl_Produits[Cde_Prdt], 0)), "")</f>
        <v/>
      </c>
    </row>
    <row r="385" spans="1:11" x14ac:dyDescent="0.25">
      <c r="A385" s="5"/>
      <c r="B385" s="63" t="str">
        <f>IFERROR(TEXT(tbl_Ventes[[#This Row],[Date]],"mm-aaaa"),"")</f>
        <v>01-1900</v>
      </c>
      <c r="D385" s="10" t="str">
        <f>IFERROR(
   INDEX(tbl_ProduitsRef[Cde_Prdt],MATCH(tbl_Ventes[[#This Row],[Produit]],tbl_ProduitsRef[Produit],0)),
   ""
)</f>
        <v/>
      </c>
      <c r="E385" s="7">
        <v>0</v>
      </c>
      <c r="F385" s="7" t="str">
        <f>IFERROR(
   INDEX(tbl_ProduitsRef[Prix Menu],MATCH(tbl_Ventes[[#This Row],[Produit]],tbl_ProduitsRef[Produit],0)),
   ""
)</f>
        <v/>
      </c>
      <c r="G385" s="7">
        <f>tbl_Ventes[[#This Row],[Qté Vendue]] * IFERROR(_xlfn.XLOOKUP(tbl_Ventes[[#This Row],[Cde_Prdt]], tbl_Produits[Cde_Prdt], tbl_Produits[Prix Menu]), 0)</f>
        <v>0</v>
      </c>
      <c r="H385" s="7">
        <f>IFERROR(_xlfn.XLOOKUP(tbl_Ventes[[#This Row],[Cde_Prdt]], tbl_Produits[Cde_Prdt], tbl_Produits[Coût Moyen Portion]), 0)</f>
        <v>0</v>
      </c>
      <c r="I385" s="7">
        <f>tbl_Ventes[[#This Row],[Qté Vendue]] * tbl_Ventes[[#This Row],[CMP_par_portion]]</f>
        <v>0</v>
      </c>
      <c r="J385" s="7">
        <f>tbl_Ventes[[#This Row],[CA ligne]] - tbl_Ventes[[#This Row],[Coût matière ligne]]</f>
        <v>0</v>
      </c>
      <c r="K385" s="7" t="str">
        <f>IFERROR(INDEX(tbl_ProduitsRef[Famille], MATCH(tbl_Ventes[[#This Row],[Cde_Prdt]], tbl_Produits[Cde_Prdt], 0)), "")</f>
        <v/>
      </c>
    </row>
    <row r="386" spans="1:11" x14ac:dyDescent="0.25">
      <c r="A386" s="5"/>
      <c r="B386" s="63" t="str">
        <f>IFERROR(TEXT(tbl_Ventes[[#This Row],[Date]],"mm-aaaa"),"")</f>
        <v>01-1900</v>
      </c>
      <c r="D386" s="10" t="str">
        <f>IFERROR(
   INDEX(tbl_ProduitsRef[Cde_Prdt],MATCH(tbl_Ventes[[#This Row],[Produit]],tbl_ProduitsRef[Produit],0)),
   ""
)</f>
        <v/>
      </c>
      <c r="E386" s="7">
        <v>0</v>
      </c>
      <c r="F386" s="7" t="str">
        <f>IFERROR(
   INDEX(tbl_ProduitsRef[Prix Menu],MATCH(tbl_Ventes[[#This Row],[Produit]],tbl_ProduitsRef[Produit],0)),
   ""
)</f>
        <v/>
      </c>
      <c r="G386" s="7">
        <f>tbl_Ventes[[#This Row],[Qté Vendue]] * IFERROR(_xlfn.XLOOKUP(tbl_Ventes[[#This Row],[Cde_Prdt]], tbl_Produits[Cde_Prdt], tbl_Produits[Prix Menu]), 0)</f>
        <v>0</v>
      </c>
      <c r="H386" s="7">
        <f>IFERROR(_xlfn.XLOOKUP(tbl_Ventes[[#This Row],[Cde_Prdt]], tbl_Produits[Cde_Prdt], tbl_Produits[Coût Moyen Portion]), 0)</f>
        <v>0</v>
      </c>
      <c r="I386" s="7">
        <f>tbl_Ventes[[#This Row],[Qté Vendue]] * tbl_Ventes[[#This Row],[CMP_par_portion]]</f>
        <v>0</v>
      </c>
      <c r="J386" s="7">
        <f>tbl_Ventes[[#This Row],[CA ligne]] - tbl_Ventes[[#This Row],[Coût matière ligne]]</f>
        <v>0</v>
      </c>
      <c r="K386" s="7" t="str">
        <f>IFERROR(INDEX(tbl_ProduitsRef[Famille], MATCH(tbl_Ventes[[#This Row],[Cde_Prdt]], tbl_Produits[Cde_Prdt], 0)), "")</f>
        <v/>
      </c>
    </row>
    <row r="387" spans="1:11" x14ac:dyDescent="0.25">
      <c r="A387" s="5"/>
      <c r="B387" s="63" t="str">
        <f>IFERROR(TEXT(tbl_Ventes[[#This Row],[Date]],"mm-aaaa"),"")</f>
        <v>01-1900</v>
      </c>
      <c r="D387" s="10" t="str">
        <f>IFERROR(
   INDEX(tbl_ProduitsRef[Cde_Prdt],MATCH(tbl_Ventes[[#This Row],[Produit]],tbl_ProduitsRef[Produit],0)),
   ""
)</f>
        <v/>
      </c>
      <c r="E387" s="7">
        <v>0</v>
      </c>
      <c r="F387" s="7" t="str">
        <f>IFERROR(
   INDEX(tbl_ProduitsRef[Prix Menu],MATCH(tbl_Ventes[[#This Row],[Produit]],tbl_ProduitsRef[Produit],0)),
   ""
)</f>
        <v/>
      </c>
      <c r="G387" s="7">
        <f>tbl_Ventes[[#This Row],[Qté Vendue]] * IFERROR(_xlfn.XLOOKUP(tbl_Ventes[[#This Row],[Cde_Prdt]], tbl_Produits[Cde_Prdt], tbl_Produits[Prix Menu]), 0)</f>
        <v>0</v>
      </c>
      <c r="H387" s="7">
        <f>IFERROR(_xlfn.XLOOKUP(tbl_Ventes[[#This Row],[Cde_Prdt]], tbl_Produits[Cde_Prdt], tbl_Produits[Coût Moyen Portion]), 0)</f>
        <v>0</v>
      </c>
      <c r="I387" s="7">
        <f>tbl_Ventes[[#This Row],[Qté Vendue]] * tbl_Ventes[[#This Row],[CMP_par_portion]]</f>
        <v>0</v>
      </c>
      <c r="J387" s="7">
        <f>tbl_Ventes[[#This Row],[CA ligne]] - tbl_Ventes[[#This Row],[Coût matière ligne]]</f>
        <v>0</v>
      </c>
      <c r="K387" s="7" t="str">
        <f>IFERROR(INDEX(tbl_ProduitsRef[Famille], MATCH(tbl_Ventes[[#This Row],[Cde_Prdt]], tbl_Produits[Cde_Prdt], 0)), "")</f>
        <v/>
      </c>
    </row>
    <row r="388" spans="1:11" x14ac:dyDescent="0.25">
      <c r="A388" s="5"/>
      <c r="B388" s="63" t="str">
        <f>IFERROR(TEXT(tbl_Ventes[[#This Row],[Date]],"mm-aaaa"),"")</f>
        <v>01-1900</v>
      </c>
      <c r="D388" s="10" t="str">
        <f>IFERROR(
   INDEX(tbl_ProduitsRef[Cde_Prdt],MATCH(tbl_Ventes[[#This Row],[Produit]],tbl_ProduitsRef[Produit],0)),
   ""
)</f>
        <v/>
      </c>
      <c r="E388" s="7">
        <v>0</v>
      </c>
      <c r="F388" s="7" t="str">
        <f>IFERROR(
   INDEX(tbl_ProduitsRef[Prix Menu],MATCH(tbl_Ventes[[#This Row],[Produit]],tbl_ProduitsRef[Produit],0)),
   ""
)</f>
        <v/>
      </c>
      <c r="G388" s="7">
        <f>tbl_Ventes[[#This Row],[Qté Vendue]] * IFERROR(_xlfn.XLOOKUP(tbl_Ventes[[#This Row],[Cde_Prdt]], tbl_Produits[Cde_Prdt], tbl_Produits[Prix Menu]), 0)</f>
        <v>0</v>
      </c>
      <c r="H388" s="7">
        <f>IFERROR(_xlfn.XLOOKUP(tbl_Ventes[[#This Row],[Cde_Prdt]], tbl_Produits[Cde_Prdt], tbl_Produits[Coût Moyen Portion]), 0)</f>
        <v>0</v>
      </c>
      <c r="I388" s="7">
        <f>tbl_Ventes[[#This Row],[Qté Vendue]] * tbl_Ventes[[#This Row],[CMP_par_portion]]</f>
        <v>0</v>
      </c>
      <c r="J388" s="7">
        <f>tbl_Ventes[[#This Row],[CA ligne]] - tbl_Ventes[[#This Row],[Coût matière ligne]]</f>
        <v>0</v>
      </c>
      <c r="K388" s="7" t="str">
        <f>IFERROR(INDEX(tbl_ProduitsRef[Famille], MATCH(tbl_Ventes[[#This Row],[Cde_Prdt]], tbl_Produits[Cde_Prdt], 0)), "")</f>
        <v/>
      </c>
    </row>
    <row r="389" spans="1:11" x14ac:dyDescent="0.25">
      <c r="A389" s="5"/>
      <c r="B389" s="63" t="str">
        <f>IFERROR(TEXT(tbl_Ventes[[#This Row],[Date]],"mm-aaaa"),"")</f>
        <v>01-1900</v>
      </c>
      <c r="D389" s="10" t="str">
        <f>IFERROR(
   INDEX(tbl_ProduitsRef[Cde_Prdt],MATCH(tbl_Ventes[[#This Row],[Produit]],tbl_ProduitsRef[Produit],0)),
   ""
)</f>
        <v/>
      </c>
      <c r="E389" s="7">
        <v>0</v>
      </c>
      <c r="F389" s="7" t="str">
        <f>IFERROR(
   INDEX(tbl_ProduitsRef[Prix Menu],MATCH(tbl_Ventes[[#This Row],[Produit]],tbl_ProduitsRef[Produit],0)),
   ""
)</f>
        <v/>
      </c>
      <c r="G389" s="7">
        <f>tbl_Ventes[[#This Row],[Qté Vendue]] * IFERROR(_xlfn.XLOOKUP(tbl_Ventes[[#This Row],[Cde_Prdt]], tbl_Produits[Cde_Prdt], tbl_Produits[Prix Menu]), 0)</f>
        <v>0</v>
      </c>
      <c r="H389" s="7">
        <f>IFERROR(_xlfn.XLOOKUP(tbl_Ventes[[#This Row],[Cde_Prdt]], tbl_Produits[Cde_Prdt], tbl_Produits[Coût Moyen Portion]), 0)</f>
        <v>0</v>
      </c>
      <c r="I389" s="7">
        <f>tbl_Ventes[[#This Row],[Qté Vendue]] * tbl_Ventes[[#This Row],[CMP_par_portion]]</f>
        <v>0</v>
      </c>
      <c r="J389" s="7">
        <f>tbl_Ventes[[#This Row],[CA ligne]] - tbl_Ventes[[#This Row],[Coût matière ligne]]</f>
        <v>0</v>
      </c>
      <c r="K389" s="7" t="str">
        <f>IFERROR(INDEX(tbl_ProduitsRef[Famille], MATCH(tbl_Ventes[[#This Row],[Cde_Prdt]], tbl_Produits[Cde_Prdt], 0)), "")</f>
        <v/>
      </c>
    </row>
    <row r="390" spans="1:11" x14ac:dyDescent="0.25">
      <c r="A390" s="5"/>
      <c r="B390" s="63" t="str">
        <f>IFERROR(TEXT(tbl_Ventes[[#This Row],[Date]],"mm-aaaa"),"")</f>
        <v>01-1900</v>
      </c>
      <c r="D390" s="10" t="str">
        <f>IFERROR(
   INDEX(tbl_ProduitsRef[Cde_Prdt],MATCH(tbl_Ventes[[#This Row],[Produit]],tbl_ProduitsRef[Produit],0)),
   ""
)</f>
        <v/>
      </c>
      <c r="E390" s="7">
        <v>0</v>
      </c>
      <c r="F390" s="7" t="str">
        <f>IFERROR(
   INDEX(tbl_ProduitsRef[Prix Menu],MATCH(tbl_Ventes[[#This Row],[Produit]],tbl_ProduitsRef[Produit],0)),
   ""
)</f>
        <v/>
      </c>
      <c r="G390" s="7">
        <f>tbl_Ventes[[#This Row],[Qté Vendue]] * IFERROR(_xlfn.XLOOKUP(tbl_Ventes[[#This Row],[Cde_Prdt]], tbl_Produits[Cde_Prdt], tbl_Produits[Prix Menu]), 0)</f>
        <v>0</v>
      </c>
      <c r="H390" s="7">
        <f>IFERROR(_xlfn.XLOOKUP(tbl_Ventes[[#This Row],[Cde_Prdt]], tbl_Produits[Cde_Prdt], tbl_Produits[Coût Moyen Portion]), 0)</f>
        <v>0</v>
      </c>
      <c r="I390" s="7">
        <f>tbl_Ventes[[#This Row],[Qté Vendue]] * tbl_Ventes[[#This Row],[CMP_par_portion]]</f>
        <v>0</v>
      </c>
      <c r="J390" s="7">
        <f>tbl_Ventes[[#This Row],[CA ligne]] - tbl_Ventes[[#This Row],[Coût matière ligne]]</f>
        <v>0</v>
      </c>
      <c r="K390" s="7" t="str">
        <f>IFERROR(INDEX(tbl_ProduitsRef[Famille], MATCH(tbl_Ventes[[#This Row],[Cde_Prdt]], tbl_Produits[Cde_Prdt], 0)), "")</f>
        <v/>
      </c>
    </row>
    <row r="391" spans="1:11" x14ac:dyDescent="0.25">
      <c r="A391" s="5"/>
      <c r="B391" s="63" t="str">
        <f>IFERROR(TEXT(tbl_Ventes[[#This Row],[Date]],"mm-aaaa"),"")</f>
        <v>01-1900</v>
      </c>
      <c r="D391" s="10" t="str">
        <f>IFERROR(
   INDEX(tbl_ProduitsRef[Cde_Prdt],MATCH(tbl_Ventes[[#This Row],[Produit]],tbl_ProduitsRef[Produit],0)),
   ""
)</f>
        <v/>
      </c>
      <c r="E391" s="7">
        <v>0</v>
      </c>
      <c r="F391" s="7" t="str">
        <f>IFERROR(
   INDEX(tbl_ProduitsRef[Prix Menu],MATCH(tbl_Ventes[[#This Row],[Produit]],tbl_ProduitsRef[Produit],0)),
   ""
)</f>
        <v/>
      </c>
      <c r="G391" s="7">
        <f>tbl_Ventes[[#This Row],[Qté Vendue]] * IFERROR(_xlfn.XLOOKUP(tbl_Ventes[[#This Row],[Cde_Prdt]], tbl_Produits[Cde_Prdt], tbl_Produits[Prix Menu]), 0)</f>
        <v>0</v>
      </c>
      <c r="H391" s="7">
        <f>IFERROR(_xlfn.XLOOKUP(tbl_Ventes[[#This Row],[Cde_Prdt]], tbl_Produits[Cde_Prdt], tbl_Produits[Coût Moyen Portion]), 0)</f>
        <v>0</v>
      </c>
      <c r="I391" s="7">
        <f>tbl_Ventes[[#This Row],[Qté Vendue]] * tbl_Ventes[[#This Row],[CMP_par_portion]]</f>
        <v>0</v>
      </c>
      <c r="J391" s="7">
        <f>tbl_Ventes[[#This Row],[CA ligne]] - tbl_Ventes[[#This Row],[Coût matière ligne]]</f>
        <v>0</v>
      </c>
      <c r="K391" s="7" t="str">
        <f>IFERROR(INDEX(tbl_ProduitsRef[Famille], MATCH(tbl_Ventes[[#This Row],[Cde_Prdt]], tbl_Produits[Cde_Prdt], 0)), "")</f>
        <v/>
      </c>
    </row>
    <row r="392" spans="1:11" x14ac:dyDescent="0.25">
      <c r="A392" s="5"/>
      <c r="B392" s="63" t="str">
        <f>IFERROR(TEXT(tbl_Ventes[[#This Row],[Date]],"mm-aaaa"),"")</f>
        <v>01-1900</v>
      </c>
      <c r="D392" s="10" t="str">
        <f>IFERROR(
   INDEX(tbl_ProduitsRef[Cde_Prdt],MATCH(tbl_Ventes[[#This Row],[Produit]],tbl_ProduitsRef[Produit],0)),
   ""
)</f>
        <v/>
      </c>
      <c r="E392" s="7">
        <v>0</v>
      </c>
      <c r="F392" s="7" t="str">
        <f>IFERROR(
   INDEX(tbl_ProduitsRef[Prix Menu],MATCH(tbl_Ventes[[#This Row],[Produit]],tbl_ProduitsRef[Produit],0)),
   ""
)</f>
        <v/>
      </c>
      <c r="G392" s="7">
        <f>tbl_Ventes[[#This Row],[Qté Vendue]] * IFERROR(_xlfn.XLOOKUP(tbl_Ventes[[#This Row],[Cde_Prdt]], tbl_Produits[Cde_Prdt], tbl_Produits[Prix Menu]), 0)</f>
        <v>0</v>
      </c>
      <c r="H392" s="7">
        <f>IFERROR(_xlfn.XLOOKUP(tbl_Ventes[[#This Row],[Cde_Prdt]], tbl_Produits[Cde_Prdt], tbl_Produits[Coût Moyen Portion]), 0)</f>
        <v>0</v>
      </c>
      <c r="I392" s="7">
        <f>tbl_Ventes[[#This Row],[Qté Vendue]] * tbl_Ventes[[#This Row],[CMP_par_portion]]</f>
        <v>0</v>
      </c>
      <c r="J392" s="7">
        <f>tbl_Ventes[[#This Row],[CA ligne]] - tbl_Ventes[[#This Row],[Coût matière ligne]]</f>
        <v>0</v>
      </c>
      <c r="K392" s="7" t="str">
        <f>IFERROR(INDEX(tbl_ProduitsRef[Famille], MATCH(tbl_Ventes[[#This Row],[Cde_Prdt]], tbl_Produits[Cde_Prdt], 0)), "")</f>
        <v/>
      </c>
    </row>
    <row r="393" spans="1:11" x14ac:dyDescent="0.25">
      <c r="A393" s="5"/>
      <c r="B393" s="63" t="str">
        <f>IFERROR(TEXT(tbl_Ventes[[#This Row],[Date]],"mm-aaaa"),"")</f>
        <v>01-1900</v>
      </c>
      <c r="D393" s="10" t="str">
        <f>IFERROR(
   INDEX(tbl_ProduitsRef[Cde_Prdt],MATCH(tbl_Ventes[[#This Row],[Produit]],tbl_ProduitsRef[Produit],0)),
   ""
)</f>
        <v/>
      </c>
      <c r="E393" s="7">
        <v>0</v>
      </c>
      <c r="F393" s="7" t="str">
        <f>IFERROR(
   INDEX(tbl_ProduitsRef[Prix Menu],MATCH(tbl_Ventes[[#This Row],[Produit]],tbl_ProduitsRef[Produit],0)),
   ""
)</f>
        <v/>
      </c>
      <c r="G393" s="7">
        <f>tbl_Ventes[[#This Row],[Qté Vendue]] * IFERROR(_xlfn.XLOOKUP(tbl_Ventes[[#This Row],[Cde_Prdt]], tbl_Produits[Cde_Prdt], tbl_Produits[Prix Menu]), 0)</f>
        <v>0</v>
      </c>
      <c r="H393" s="7">
        <f>IFERROR(_xlfn.XLOOKUP(tbl_Ventes[[#This Row],[Cde_Prdt]], tbl_Produits[Cde_Prdt], tbl_Produits[Coût Moyen Portion]), 0)</f>
        <v>0</v>
      </c>
      <c r="I393" s="7">
        <f>tbl_Ventes[[#This Row],[Qté Vendue]] * tbl_Ventes[[#This Row],[CMP_par_portion]]</f>
        <v>0</v>
      </c>
      <c r="J393" s="7">
        <f>tbl_Ventes[[#This Row],[CA ligne]] - tbl_Ventes[[#This Row],[Coût matière ligne]]</f>
        <v>0</v>
      </c>
      <c r="K393" s="7" t="str">
        <f>IFERROR(INDEX(tbl_ProduitsRef[Famille], MATCH(tbl_Ventes[[#This Row],[Cde_Prdt]], tbl_Produits[Cde_Prdt], 0)), "")</f>
        <v/>
      </c>
    </row>
    <row r="394" spans="1:11" x14ac:dyDescent="0.25">
      <c r="A394" s="5"/>
      <c r="B394" s="63" t="str">
        <f>IFERROR(TEXT(tbl_Ventes[[#This Row],[Date]],"mm-aaaa"),"")</f>
        <v>01-1900</v>
      </c>
      <c r="D394" s="10" t="str">
        <f>IFERROR(
   INDEX(tbl_ProduitsRef[Cde_Prdt],MATCH(tbl_Ventes[[#This Row],[Produit]],tbl_ProduitsRef[Produit],0)),
   ""
)</f>
        <v/>
      </c>
      <c r="E394" s="7">
        <v>0</v>
      </c>
      <c r="F394" s="7" t="str">
        <f>IFERROR(
   INDEX(tbl_ProduitsRef[Prix Menu],MATCH(tbl_Ventes[[#This Row],[Produit]],tbl_ProduitsRef[Produit],0)),
   ""
)</f>
        <v/>
      </c>
      <c r="G394" s="7">
        <f>tbl_Ventes[[#This Row],[Qté Vendue]] * IFERROR(_xlfn.XLOOKUP(tbl_Ventes[[#This Row],[Cde_Prdt]], tbl_Produits[Cde_Prdt], tbl_Produits[Prix Menu]), 0)</f>
        <v>0</v>
      </c>
      <c r="H394" s="7">
        <f>IFERROR(_xlfn.XLOOKUP(tbl_Ventes[[#This Row],[Cde_Prdt]], tbl_Produits[Cde_Prdt], tbl_Produits[Coût Moyen Portion]), 0)</f>
        <v>0</v>
      </c>
      <c r="I394" s="7">
        <f>tbl_Ventes[[#This Row],[Qté Vendue]] * tbl_Ventes[[#This Row],[CMP_par_portion]]</f>
        <v>0</v>
      </c>
      <c r="J394" s="7">
        <f>tbl_Ventes[[#This Row],[CA ligne]] - tbl_Ventes[[#This Row],[Coût matière ligne]]</f>
        <v>0</v>
      </c>
      <c r="K394" s="7" t="str">
        <f>IFERROR(INDEX(tbl_ProduitsRef[Famille], MATCH(tbl_Ventes[[#This Row],[Cde_Prdt]], tbl_Produits[Cde_Prdt], 0)), "")</f>
        <v/>
      </c>
    </row>
    <row r="395" spans="1:11" x14ac:dyDescent="0.25">
      <c r="A395" s="5"/>
      <c r="B395" s="63" t="str">
        <f>IFERROR(TEXT(tbl_Ventes[[#This Row],[Date]],"mm-aaaa"),"")</f>
        <v>01-1900</v>
      </c>
      <c r="D395" s="10" t="str">
        <f>IFERROR(
   INDEX(tbl_ProduitsRef[Cde_Prdt],MATCH(tbl_Ventes[[#This Row],[Produit]],tbl_ProduitsRef[Produit],0)),
   ""
)</f>
        <v/>
      </c>
      <c r="E395" s="7">
        <v>0</v>
      </c>
      <c r="F395" s="7" t="str">
        <f>IFERROR(
   INDEX(tbl_ProduitsRef[Prix Menu],MATCH(tbl_Ventes[[#This Row],[Produit]],tbl_ProduitsRef[Produit],0)),
   ""
)</f>
        <v/>
      </c>
      <c r="G395" s="7">
        <f>tbl_Ventes[[#This Row],[Qté Vendue]] * IFERROR(_xlfn.XLOOKUP(tbl_Ventes[[#This Row],[Cde_Prdt]], tbl_Produits[Cde_Prdt], tbl_Produits[Prix Menu]), 0)</f>
        <v>0</v>
      </c>
      <c r="H395" s="7">
        <f>IFERROR(_xlfn.XLOOKUP(tbl_Ventes[[#This Row],[Cde_Prdt]], tbl_Produits[Cde_Prdt], tbl_Produits[Coût Moyen Portion]), 0)</f>
        <v>0</v>
      </c>
      <c r="I395" s="7">
        <f>tbl_Ventes[[#This Row],[Qté Vendue]] * tbl_Ventes[[#This Row],[CMP_par_portion]]</f>
        <v>0</v>
      </c>
      <c r="J395" s="7">
        <f>tbl_Ventes[[#This Row],[CA ligne]] - tbl_Ventes[[#This Row],[Coût matière ligne]]</f>
        <v>0</v>
      </c>
      <c r="K395" s="7" t="str">
        <f>IFERROR(INDEX(tbl_ProduitsRef[Famille], MATCH(tbl_Ventes[[#This Row],[Cde_Prdt]], tbl_Produits[Cde_Prdt], 0)), "")</f>
        <v/>
      </c>
    </row>
    <row r="396" spans="1:11" x14ac:dyDescent="0.25">
      <c r="A396" s="5"/>
      <c r="B396" s="63" t="str">
        <f>IFERROR(TEXT(tbl_Ventes[[#This Row],[Date]],"mm-aaaa"),"")</f>
        <v>01-1900</v>
      </c>
      <c r="D396" s="10" t="str">
        <f>IFERROR(
   INDEX(tbl_ProduitsRef[Cde_Prdt],MATCH(tbl_Ventes[[#This Row],[Produit]],tbl_ProduitsRef[Produit],0)),
   ""
)</f>
        <v/>
      </c>
      <c r="E396" s="7">
        <v>0</v>
      </c>
      <c r="F396" s="7" t="str">
        <f>IFERROR(
   INDEX(tbl_ProduitsRef[Prix Menu],MATCH(tbl_Ventes[[#This Row],[Produit]],tbl_ProduitsRef[Produit],0)),
   ""
)</f>
        <v/>
      </c>
      <c r="G396" s="7">
        <f>tbl_Ventes[[#This Row],[Qté Vendue]] * IFERROR(_xlfn.XLOOKUP(tbl_Ventes[[#This Row],[Cde_Prdt]], tbl_Produits[Cde_Prdt], tbl_Produits[Prix Menu]), 0)</f>
        <v>0</v>
      </c>
      <c r="H396" s="7">
        <f>IFERROR(_xlfn.XLOOKUP(tbl_Ventes[[#This Row],[Cde_Prdt]], tbl_Produits[Cde_Prdt], tbl_Produits[Coût Moyen Portion]), 0)</f>
        <v>0</v>
      </c>
      <c r="I396" s="7">
        <f>tbl_Ventes[[#This Row],[Qté Vendue]] * tbl_Ventes[[#This Row],[CMP_par_portion]]</f>
        <v>0</v>
      </c>
      <c r="J396" s="7">
        <f>tbl_Ventes[[#This Row],[CA ligne]] - tbl_Ventes[[#This Row],[Coût matière ligne]]</f>
        <v>0</v>
      </c>
      <c r="K396" s="7" t="str">
        <f>IFERROR(INDEX(tbl_ProduitsRef[Famille], MATCH(tbl_Ventes[[#This Row],[Cde_Prdt]], tbl_Produits[Cde_Prdt], 0)), "")</f>
        <v/>
      </c>
    </row>
    <row r="397" spans="1:11" x14ac:dyDescent="0.25">
      <c r="A397" s="5"/>
      <c r="B397" s="63" t="str">
        <f>IFERROR(TEXT(tbl_Ventes[[#This Row],[Date]],"mm-aaaa"),"")</f>
        <v>01-1900</v>
      </c>
      <c r="D397" s="10" t="str">
        <f>IFERROR(
   INDEX(tbl_ProduitsRef[Cde_Prdt],MATCH(tbl_Ventes[[#This Row],[Produit]],tbl_ProduitsRef[Produit],0)),
   ""
)</f>
        <v/>
      </c>
      <c r="E397" s="7">
        <v>0</v>
      </c>
      <c r="F397" s="7" t="str">
        <f>IFERROR(
   INDEX(tbl_ProduitsRef[Prix Menu],MATCH(tbl_Ventes[[#This Row],[Produit]],tbl_ProduitsRef[Produit],0)),
   ""
)</f>
        <v/>
      </c>
      <c r="G397" s="7">
        <f>tbl_Ventes[[#This Row],[Qté Vendue]] * IFERROR(_xlfn.XLOOKUP(tbl_Ventes[[#This Row],[Cde_Prdt]], tbl_Produits[Cde_Prdt], tbl_Produits[Prix Menu]), 0)</f>
        <v>0</v>
      </c>
      <c r="H397" s="7">
        <f>IFERROR(_xlfn.XLOOKUP(tbl_Ventes[[#This Row],[Cde_Prdt]], tbl_Produits[Cde_Prdt], tbl_Produits[Coût Moyen Portion]), 0)</f>
        <v>0</v>
      </c>
      <c r="I397" s="7">
        <f>tbl_Ventes[[#This Row],[Qté Vendue]] * tbl_Ventes[[#This Row],[CMP_par_portion]]</f>
        <v>0</v>
      </c>
      <c r="J397" s="7">
        <f>tbl_Ventes[[#This Row],[CA ligne]] - tbl_Ventes[[#This Row],[Coût matière ligne]]</f>
        <v>0</v>
      </c>
      <c r="K397" s="7" t="str">
        <f>IFERROR(INDEX(tbl_ProduitsRef[Famille], MATCH(tbl_Ventes[[#This Row],[Cde_Prdt]], tbl_Produits[Cde_Prdt], 0)), "")</f>
        <v/>
      </c>
    </row>
    <row r="398" spans="1:11" x14ac:dyDescent="0.25">
      <c r="A398" s="5"/>
      <c r="B398" s="63" t="str">
        <f>IFERROR(TEXT(tbl_Ventes[[#This Row],[Date]],"mm-aaaa"),"")</f>
        <v>01-1900</v>
      </c>
      <c r="D398" s="10" t="str">
        <f>IFERROR(
   INDEX(tbl_ProduitsRef[Cde_Prdt],MATCH(tbl_Ventes[[#This Row],[Produit]],tbl_ProduitsRef[Produit],0)),
   ""
)</f>
        <v/>
      </c>
      <c r="E398" s="7">
        <v>0</v>
      </c>
      <c r="F398" s="7" t="str">
        <f>IFERROR(
   INDEX(tbl_ProduitsRef[Prix Menu],MATCH(tbl_Ventes[[#This Row],[Produit]],tbl_ProduitsRef[Produit],0)),
   ""
)</f>
        <v/>
      </c>
      <c r="G398" s="7">
        <f>tbl_Ventes[[#This Row],[Qté Vendue]] * IFERROR(_xlfn.XLOOKUP(tbl_Ventes[[#This Row],[Cde_Prdt]], tbl_Produits[Cde_Prdt], tbl_Produits[Prix Menu]), 0)</f>
        <v>0</v>
      </c>
      <c r="H398" s="7">
        <f>IFERROR(_xlfn.XLOOKUP(tbl_Ventes[[#This Row],[Cde_Prdt]], tbl_Produits[Cde_Prdt], tbl_Produits[Coût Moyen Portion]), 0)</f>
        <v>0</v>
      </c>
      <c r="I398" s="7">
        <f>tbl_Ventes[[#This Row],[Qté Vendue]] * tbl_Ventes[[#This Row],[CMP_par_portion]]</f>
        <v>0</v>
      </c>
      <c r="J398" s="7">
        <f>tbl_Ventes[[#This Row],[CA ligne]] - tbl_Ventes[[#This Row],[Coût matière ligne]]</f>
        <v>0</v>
      </c>
      <c r="K398" s="7" t="str">
        <f>IFERROR(INDEX(tbl_ProduitsRef[Famille], MATCH(tbl_Ventes[[#This Row],[Cde_Prdt]], tbl_Produits[Cde_Prdt], 0)), "")</f>
        <v/>
      </c>
    </row>
    <row r="399" spans="1:11" x14ac:dyDescent="0.25">
      <c r="A399" s="5"/>
      <c r="B399" s="63" t="str">
        <f>IFERROR(TEXT(tbl_Ventes[[#This Row],[Date]],"mm-aaaa"),"")</f>
        <v>01-1900</v>
      </c>
      <c r="D399" s="10" t="str">
        <f>IFERROR(
   INDEX(tbl_ProduitsRef[Cde_Prdt],MATCH(tbl_Ventes[[#This Row],[Produit]],tbl_ProduitsRef[Produit],0)),
   ""
)</f>
        <v/>
      </c>
      <c r="E399" s="7">
        <v>0</v>
      </c>
      <c r="F399" s="7" t="str">
        <f>IFERROR(
   INDEX(tbl_ProduitsRef[Prix Menu],MATCH(tbl_Ventes[[#This Row],[Produit]],tbl_ProduitsRef[Produit],0)),
   ""
)</f>
        <v/>
      </c>
      <c r="G399" s="7">
        <f>tbl_Ventes[[#This Row],[Qté Vendue]] * IFERROR(_xlfn.XLOOKUP(tbl_Ventes[[#This Row],[Cde_Prdt]], tbl_Produits[Cde_Prdt], tbl_Produits[Prix Menu]), 0)</f>
        <v>0</v>
      </c>
      <c r="H399" s="7">
        <f>IFERROR(_xlfn.XLOOKUP(tbl_Ventes[[#This Row],[Cde_Prdt]], tbl_Produits[Cde_Prdt], tbl_Produits[Coût Moyen Portion]), 0)</f>
        <v>0</v>
      </c>
      <c r="I399" s="7">
        <f>tbl_Ventes[[#This Row],[Qté Vendue]] * tbl_Ventes[[#This Row],[CMP_par_portion]]</f>
        <v>0</v>
      </c>
      <c r="J399" s="7">
        <f>tbl_Ventes[[#This Row],[CA ligne]] - tbl_Ventes[[#This Row],[Coût matière ligne]]</f>
        <v>0</v>
      </c>
      <c r="K399" s="7" t="str">
        <f>IFERROR(INDEX(tbl_ProduitsRef[Famille], MATCH(tbl_Ventes[[#This Row],[Cde_Prdt]], tbl_Produits[Cde_Prdt], 0)), "")</f>
        <v/>
      </c>
    </row>
    <row r="400" spans="1:11" x14ac:dyDescent="0.25">
      <c r="A400" s="5"/>
      <c r="B400" s="63" t="str">
        <f>IFERROR(TEXT(tbl_Ventes[[#This Row],[Date]],"mm-aaaa"),"")</f>
        <v>01-1900</v>
      </c>
      <c r="D400" s="10" t="str">
        <f>IFERROR(
   INDEX(tbl_ProduitsRef[Cde_Prdt],MATCH(tbl_Ventes[[#This Row],[Produit]],tbl_ProduitsRef[Produit],0)),
   ""
)</f>
        <v/>
      </c>
      <c r="E400" s="7">
        <v>0</v>
      </c>
      <c r="F400" s="7" t="str">
        <f>IFERROR(
   INDEX(tbl_ProduitsRef[Prix Menu],MATCH(tbl_Ventes[[#This Row],[Produit]],tbl_ProduitsRef[Produit],0)),
   ""
)</f>
        <v/>
      </c>
      <c r="G400" s="7">
        <f>tbl_Ventes[[#This Row],[Qté Vendue]] * IFERROR(_xlfn.XLOOKUP(tbl_Ventes[[#This Row],[Cde_Prdt]], tbl_Produits[Cde_Prdt], tbl_Produits[Prix Menu]), 0)</f>
        <v>0</v>
      </c>
      <c r="H400" s="7">
        <f>IFERROR(_xlfn.XLOOKUP(tbl_Ventes[[#This Row],[Cde_Prdt]], tbl_Produits[Cde_Prdt], tbl_Produits[Coût Moyen Portion]), 0)</f>
        <v>0</v>
      </c>
      <c r="I400" s="7">
        <f>tbl_Ventes[[#This Row],[Qté Vendue]] * tbl_Ventes[[#This Row],[CMP_par_portion]]</f>
        <v>0</v>
      </c>
      <c r="J400" s="7">
        <f>tbl_Ventes[[#This Row],[CA ligne]] - tbl_Ventes[[#This Row],[Coût matière ligne]]</f>
        <v>0</v>
      </c>
      <c r="K400" s="7" t="str">
        <f>IFERROR(INDEX(tbl_ProduitsRef[Famille], MATCH(tbl_Ventes[[#This Row],[Cde_Prdt]], tbl_Produits[Cde_Prdt], 0)), "")</f>
        <v/>
      </c>
    </row>
    <row r="401" spans="1:11" x14ac:dyDescent="0.25">
      <c r="A401" s="5"/>
      <c r="B401" s="63" t="str">
        <f>IFERROR(TEXT(tbl_Ventes[[#This Row],[Date]],"mm-aaaa"),"")</f>
        <v>01-1900</v>
      </c>
      <c r="D401" s="10" t="str">
        <f>IFERROR(
   INDEX(tbl_ProduitsRef[Cde_Prdt],MATCH(tbl_Ventes[[#This Row],[Produit]],tbl_ProduitsRef[Produit],0)),
   ""
)</f>
        <v/>
      </c>
      <c r="E401" s="7">
        <v>0</v>
      </c>
      <c r="F401" s="7" t="str">
        <f>IFERROR(
   INDEX(tbl_ProduitsRef[Prix Menu],MATCH(tbl_Ventes[[#This Row],[Produit]],tbl_ProduitsRef[Produit],0)),
   ""
)</f>
        <v/>
      </c>
      <c r="G401" s="7">
        <f>tbl_Ventes[[#This Row],[Qté Vendue]] * IFERROR(_xlfn.XLOOKUP(tbl_Ventes[[#This Row],[Cde_Prdt]], tbl_Produits[Cde_Prdt], tbl_Produits[Prix Menu]), 0)</f>
        <v>0</v>
      </c>
      <c r="H401" s="7">
        <f>IFERROR(_xlfn.XLOOKUP(tbl_Ventes[[#This Row],[Cde_Prdt]], tbl_Produits[Cde_Prdt], tbl_Produits[Coût Moyen Portion]), 0)</f>
        <v>0</v>
      </c>
      <c r="I401" s="7">
        <f>tbl_Ventes[[#This Row],[Qté Vendue]] * tbl_Ventes[[#This Row],[CMP_par_portion]]</f>
        <v>0</v>
      </c>
      <c r="J401" s="7">
        <f>tbl_Ventes[[#This Row],[CA ligne]] - tbl_Ventes[[#This Row],[Coût matière ligne]]</f>
        <v>0</v>
      </c>
      <c r="K401" s="7" t="str">
        <f>IFERROR(INDEX(tbl_ProduitsRef[Famille], MATCH(tbl_Ventes[[#This Row],[Cde_Prdt]], tbl_Produits[Cde_Prdt], 0)), "")</f>
        <v/>
      </c>
    </row>
    <row r="402" spans="1:11" x14ac:dyDescent="0.25">
      <c r="A402" s="5"/>
      <c r="B402" s="63" t="str">
        <f>IFERROR(TEXT(tbl_Ventes[[#This Row],[Date]],"mm-aaaa"),"")</f>
        <v>01-1900</v>
      </c>
      <c r="D402" s="10" t="str">
        <f>IFERROR(
   INDEX(tbl_ProduitsRef[Cde_Prdt],MATCH(tbl_Ventes[[#This Row],[Produit]],tbl_ProduitsRef[Produit],0)),
   ""
)</f>
        <v/>
      </c>
      <c r="E402" s="7">
        <v>0</v>
      </c>
      <c r="F402" s="7" t="str">
        <f>IFERROR(
   INDEX(tbl_ProduitsRef[Prix Menu],MATCH(tbl_Ventes[[#This Row],[Produit]],tbl_ProduitsRef[Produit],0)),
   ""
)</f>
        <v/>
      </c>
      <c r="G402" s="7">
        <f>tbl_Ventes[[#This Row],[Qté Vendue]] * IFERROR(_xlfn.XLOOKUP(tbl_Ventes[[#This Row],[Cde_Prdt]], tbl_Produits[Cde_Prdt], tbl_Produits[Prix Menu]), 0)</f>
        <v>0</v>
      </c>
      <c r="H402" s="7">
        <f>IFERROR(_xlfn.XLOOKUP(tbl_Ventes[[#This Row],[Cde_Prdt]], tbl_Produits[Cde_Prdt], tbl_Produits[Coût Moyen Portion]), 0)</f>
        <v>0</v>
      </c>
      <c r="I402" s="7">
        <f>tbl_Ventes[[#This Row],[Qté Vendue]] * tbl_Ventes[[#This Row],[CMP_par_portion]]</f>
        <v>0</v>
      </c>
      <c r="J402" s="7">
        <f>tbl_Ventes[[#This Row],[CA ligne]] - tbl_Ventes[[#This Row],[Coût matière ligne]]</f>
        <v>0</v>
      </c>
      <c r="K402" s="7" t="str">
        <f>IFERROR(INDEX(tbl_ProduitsRef[Famille], MATCH(tbl_Ventes[[#This Row],[Cde_Prdt]], tbl_Produits[Cde_Prdt], 0)), "")</f>
        <v/>
      </c>
    </row>
    <row r="403" spans="1:11" x14ac:dyDescent="0.25">
      <c r="A403" s="5"/>
      <c r="B403" s="63" t="str">
        <f>IFERROR(TEXT(tbl_Ventes[[#This Row],[Date]],"mm-aaaa"),"")</f>
        <v>01-1900</v>
      </c>
      <c r="D403" s="10" t="str">
        <f>IFERROR(
   INDEX(tbl_ProduitsRef[Cde_Prdt],MATCH(tbl_Ventes[[#This Row],[Produit]],tbl_ProduitsRef[Produit],0)),
   ""
)</f>
        <v/>
      </c>
      <c r="E403" s="7">
        <v>0</v>
      </c>
      <c r="F403" s="7" t="str">
        <f>IFERROR(
   INDEX(tbl_ProduitsRef[Prix Menu],MATCH(tbl_Ventes[[#This Row],[Produit]],tbl_ProduitsRef[Produit],0)),
   ""
)</f>
        <v/>
      </c>
      <c r="G403" s="7">
        <f>tbl_Ventes[[#This Row],[Qté Vendue]] * IFERROR(_xlfn.XLOOKUP(tbl_Ventes[[#This Row],[Cde_Prdt]], tbl_Produits[Cde_Prdt], tbl_Produits[Prix Menu]), 0)</f>
        <v>0</v>
      </c>
      <c r="H403" s="7">
        <f>IFERROR(_xlfn.XLOOKUP(tbl_Ventes[[#This Row],[Cde_Prdt]], tbl_Produits[Cde_Prdt], tbl_Produits[Coût Moyen Portion]), 0)</f>
        <v>0</v>
      </c>
      <c r="I403" s="7">
        <f>tbl_Ventes[[#This Row],[Qté Vendue]] * tbl_Ventes[[#This Row],[CMP_par_portion]]</f>
        <v>0</v>
      </c>
      <c r="J403" s="7">
        <f>tbl_Ventes[[#This Row],[CA ligne]] - tbl_Ventes[[#This Row],[Coût matière ligne]]</f>
        <v>0</v>
      </c>
      <c r="K403" s="7" t="str">
        <f>IFERROR(INDEX(tbl_ProduitsRef[Famille], MATCH(tbl_Ventes[[#This Row],[Cde_Prdt]], tbl_Produits[Cde_Prdt], 0)), "")</f>
        <v/>
      </c>
    </row>
    <row r="404" spans="1:11" x14ac:dyDescent="0.25">
      <c r="A404" s="5"/>
      <c r="B404" s="63" t="str">
        <f>IFERROR(TEXT(tbl_Ventes[[#This Row],[Date]],"mm-aaaa"),"")</f>
        <v>01-1900</v>
      </c>
      <c r="D404" s="10" t="str">
        <f>IFERROR(
   INDEX(tbl_ProduitsRef[Cde_Prdt],MATCH(tbl_Ventes[[#This Row],[Produit]],tbl_ProduitsRef[Produit],0)),
   ""
)</f>
        <v/>
      </c>
      <c r="E404" s="7">
        <v>0</v>
      </c>
      <c r="F404" s="7" t="str">
        <f>IFERROR(
   INDEX(tbl_ProduitsRef[Prix Menu],MATCH(tbl_Ventes[[#This Row],[Produit]],tbl_ProduitsRef[Produit],0)),
   ""
)</f>
        <v/>
      </c>
      <c r="G404" s="7">
        <f>tbl_Ventes[[#This Row],[Qté Vendue]] * IFERROR(_xlfn.XLOOKUP(tbl_Ventes[[#This Row],[Cde_Prdt]], tbl_Produits[Cde_Prdt], tbl_Produits[Prix Menu]), 0)</f>
        <v>0</v>
      </c>
      <c r="H404" s="7">
        <f>IFERROR(_xlfn.XLOOKUP(tbl_Ventes[[#This Row],[Cde_Prdt]], tbl_Produits[Cde_Prdt], tbl_Produits[Coût Moyen Portion]), 0)</f>
        <v>0</v>
      </c>
      <c r="I404" s="7">
        <f>tbl_Ventes[[#This Row],[Qté Vendue]] * tbl_Ventes[[#This Row],[CMP_par_portion]]</f>
        <v>0</v>
      </c>
      <c r="J404" s="7">
        <f>tbl_Ventes[[#This Row],[CA ligne]] - tbl_Ventes[[#This Row],[Coût matière ligne]]</f>
        <v>0</v>
      </c>
      <c r="K404" s="7" t="str">
        <f>IFERROR(INDEX(tbl_ProduitsRef[Famille], MATCH(tbl_Ventes[[#This Row],[Cde_Prdt]], tbl_Produits[Cde_Prdt], 0)), "")</f>
        <v/>
      </c>
    </row>
    <row r="405" spans="1:11" x14ac:dyDescent="0.25">
      <c r="A405" s="5"/>
      <c r="B405" s="63" t="str">
        <f>IFERROR(TEXT(tbl_Ventes[[#This Row],[Date]],"mm-aaaa"),"")</f>
        <v>01-1900</v>
      </c>
      <c r="D405" s="10" t="str">
        <f>IFERROR(
   INDEX(tbl_ProduitsRef[Cde_Prdt],MATCH(tbl_Ventes[[#This Row],[Produit]],tbl_ProduitsRef[Produit],0)),
   ""
)</f>
        <v/>
      </c>
      <c r="E405" s="7">
        <v>0</v>
      </c>
      <c r="F405" s="7" t="str">
        <f>IFERROR(
   INDEX(tbl_ProduitsRef[Prix Menu],MATCH(tbl_Ventes[[#This Row],[Produit]],tbl_ProduitsRef[Produit],0)),
   ""
)</f>
        <v/>
      </c>
      <c r="G405" s="7">
        <f>tbl_Ventes[[#This Row],[Qté Vendue]] * IFERROR(_xlfn.XLOOKUP(tbl_Ventes[[#This Row],[Cde_Prdt]], tbl_Produits[Cde_Prdt], tbl_Produits[Prix Menu]), 0)</f>
        <v>0</v>
      </c>
      <c r="H405" s="7">
        <f>IFERROR(_xlfn.XLOOKUP(tbl_Ventes[[#This Row],[Cde_Prdt]], tbl_Produits[Cde_Prdt], tbl_Produits[Coût Moyen Portion]), 0)</f>
        <v>0</v>
      </c>
      <c r="I405" s="7">
        <f>tbl_Ventes[[#This Row],[Qté Vendue]] * tbl_Ventes[[#This Row],[CMP_par_portion]]</f>
        <v>0</v>
      </c>
      <c r="J405" s="7">
        <f>tbl_Ventes[[#This Row],[CA ligne]] - tbl_Ventes[[#This Row],[Coût matière ligne]]</f>
        <v>0</v>
      </c>
      <c r="K405" s="7" t="str">
        <f>IFERROR(INDEX(tbl_ProduitsRef[Famille], MATCH(tbl_Ventes[[#This Row],[Cde_Prdt]], tbl_Produits[Cde_Prdt], 0)), "")</f>
        <v/>
      </c>
    </row>
    <row r="406" spans="1:11" x14ac:dyDescent="0.25">
      <c r="A406" s="5"/>
      <c r="B406" s="63" t="str">
        <f>IFERROR(TEXT(tbl_Ventes[[#This Row],[Date]],"mm-aaaa"),"")</f>
        <v>01-1900</v>
      </c>
      <c r="D406" s="10" t="str">
        <f>IFERROR(
   INDEX(tbl_ProduitsRef[Cde_Prdt],MATCH(tbl_Ventes[[#This Row],[Produit]],tbl_ProduitsRef[Produit],0)),
   ""
)</f>
        <v/>
      </c>
      <c r="E406" s="7">
        <v>0</v>
      </c>
      <c r="F406" s="7" t="str">
        <f>IFERROR(
   INDEX(tbl_ProduitsRef[Prix Menu],MATCH(tbl_Ventes[[#This Row],[Produit]],tbl_ProduitsRef[Produit],0)),
   ""
)</f>
        <v/>
      </c>
      <c r="G406" s="7">
        <f>tbl_Ventes[[#This Row],[Qté Vendue]] * IFERROR(_xlfn.XLOOKUP(tbl_Ventes[[#This Row],[Cde_Prdt]], tbl_Produits[Cde_Prdt], tbl_Produits[Prix Menu]), 0)</f>
        <v>0</v>
      </c>
      <c r="H406" s="7">
        <f>IFERROR(_xlfn.XLOOKUP(tbl_Ventes[[#This Row],[Cde_Prdt]], tbl_Produits[Cde_Prdt], tbl_Produits[Coût Moyen Portion]), 0)</f>
        <v>0</v>
      </c>
      <c r="I406" s="7">
        <f>tbl_Ventes[[#This Row],[Qté Vendue]] * tbl_Ventes[[#This Row],[CMP_par_portion]]</f>
        <v>0</v>
      </c>
      <c r="J406" s="7">
        <f>tbl_Ventes[[#This Row],[CA ligne]] - tbl_Ventes[[#This Row],[Coût matière ligne]]</f>
        <v>0</v>
      </c>
      <c r="K406" s="7" t="str">
        <f>IFERROR(INDEX(tbl_ProduitsRef[Famille], MATCH(tbl_Ventes[[#This Row],[Cde_Prdt]], tbl_Produits[Cde_Prdt], 0)), "")</f>
        <v/>
      </c>
    </row>
    <row r="407" spans="1:11" x14ac:dyDescent="0.25">
      <c r="A407" s="5"/>
      <c r="B407" s="63" t="str">
        <f>IFERROR(TEXT(tbl_Ventes[[#This Row],[Date]],"mm-aaaa"),"")</f>
        <v>01-1900</v>
      </c>
      <c r="D407" s="10" t="str">
        <f>IFERROR(
   INDEX(tbl_ProduitsRef[Cde_Prdt],MATCH(tbl_Ventes[[#This Row],[Produit]],tbl_ProduitsRef[Produit],0)),
   ""
)</f>
        <v/>
      </c>
      <c r="E407" s="7">
        <v>0</v>
      </c>
      <c r="F407" s="7" t="str">
        <f>IFERROR(
   INDEX(tbl_ProduitsRef[Prix Menu],MATCH(tbl_Ventes[[#This Row],[Produit]],tbl_ProduitsRef[Produit],0)),
   ""
)</f>
        <v/>
      </c>
      <c r="G407" s="7">
        <f>tbl_Ventes[[#This Row],[Qté Vendue]] * IFERROR(_xlfn.XLOOKUP(tbl_Ventes[[#This Row],[Cde_Prdt]], tbl_Produits[Cde_Prdt], tbl_Produits[Prix Menu]), 0)</f>
        <v>0</v>
      </c>
      <c r="H407" s="7">
        <f>IFERROR(_xlfn.XLOOKUP(tbl_Ventes[[#This Row],[Cde_Prdt]], tbl_Produits[Cde_Prdt], tbl_Produits[Coût Moyen Portion]), 0)</f>
        <v>0</v>
      </c>
      <c r="I407" s="7">
        <f>tbl_Ventes[[#This Row],[Qté Vendue]] * tbl_Ventes[[#This Row],[CMP_par_portion]]</f>
        <v>0</v>
      </c>
      <c r="J407" s="7">
        <f>tbl_Ventes[[#This Row],[CA ligne]] - tbl_Ventes[[#This Row],[Coût matière ligne]]</f>
        <v>0</v>
      </c>
      <c r="K407" s="7" t="str">
        <f>IFERROR(INDEX(tbl_ProduitsRef[Famille], MATCH(tbl_Ventes[[#This Row],[Cde_Prdt]], tbl_Produits[Cde_Prdt], 0)), "")</f>
        <v/>
      </c>
    </row>
    <row r="408" spans="1:11" x14ac:dyDescent="0.25">
      <c r="A408" s="5"/>
      <c r="B408" s="63" t="str">
        <f>IFERROR(TEXT(tbl_Ventes[[#This Row],[Date]],"mm-aaaa"),"")</f>
        <v>01-1900</v>
      </c>
      <c r="D408" s="10" t="str">
        <f>IFERROR(
   INDEX(tbl_ProduitsRef[Cde_Prdt],MATCH(tbl_Ventes[[#This Row],[Produit]],tbl_ProduitsRef[Produit],0)),
   ""
)</f>
        <v/>
      </c>
      <c r="E408" s="7">
        <v>0</v>
      </c>
      <c r="F408" s="7" t="str">
        <f>IFERROR(
   INDEX(tbl_ProduitsRef[Prix Menu],MATCH(tbl_Ventes[[#This Row],[Produit]],tbl_ProduitsRef[Produit],0)),
   ""
)</f>
        <v/>
      </c>
      <c r="G408" s="7">
        <f>tbl_Ventes[[#This Row],[Qté Vendue]] * IFERROR(_xlfn.XLOOKUP(tbl_Ventes[[#This Row],[Cde_Prdt]], tbl_Produits[Cde_Prdt], tbl_Produits[Prix Menu]), 0)</f>
        <v>0</v>
      </c>
      <c r="H408" s="7">
        <f>IFERROR(_xlfn.XLOOKUP(tbl_Ventes[[#This Row],[Cde_Prdt]], tbl_Produits[Cde_Prdt], tbl_Produits[Coût Moyen Portion]), 0)</f>
        <v>0</v>
      </c>
      <c r="I408" s="7">
        <f>tbl_Ventes[[#This Row],[Qté Vendue]] * tbl_Ventes[[#This Row],[CMP_par_portion]]</f>
        <v>0</v>
      </c>
      <c r="J408" s="7">
        <f>tbl_Ventes[[#This Row],[CA ligne]] - tbl_Ventes[[#This Row],[Coût matière ligne]]</f>
        <v>0</v>
      </c>
      <c r="K408" s="7" t="str">
        <f>IFERROR(INDEX(tbl_ProduitsRef[Famille], MATCH(tbl_Ventes[[#This Row],[Cde_Prdt]], tbl_Produits[Cde_Prdt], 0)), "")</f>
        <v/>
      </c>
    </row>
    <row r="409" spans="1:11" x14ac:dyDescent="0.25">
      <c r="A409" s="5"/>
      <c r="B409" s="63" t="str">
        <f>IFERROR(TEXT(tbl_Ventes[[#This Row],[Date]],"mm-aaaa"),"")</f>
        <v>01-1900</v>
      </c>
      <c r="D409" s="10" t="str">
        <f>IFERROR(
   INDEX(tbl_ProduitsRef[Cde_Prdt],MATCH(tbl_Ventes[[#This Row],[Produit]],tbl_ProduitsRef[Produit],0)),
   ""
)</f>
        <v/>
      </c>
      <c r="E409" s="7">
        <v>0</v>
      </c>
      <c r="F409" s="7" t="str">
        <f>IFERROR(
   INDEX(tbl_ProduitsRef[Prix Menu],MATCH(tbl_Ventes[[#This Row],[Produit]],tbl_ProduitsRef[Produit],0)),
   ""
)</f>
        <v/>
      </c>
      <c r="G409" s="7">
        <f>tbl_Ventes[[#This Row],[Qté Vendue]] * IFERROR(_xlfn.XLOOKUP(tbl_Ventes[[#This Row],[Cde_Prdt]], tbl_Produits[Cde_Prdt], tbl_Produits[Prix Menu]), 0)</f>
        <v>0</v>
      </c>
      <c r="H409" s="7">
        <f>IFERROR(_xlfn.XLOOKUP(tbl_Ventes[[#This Row],[Cde_Prdt]], tbl_Produits[Cde_Prdt], tbl_Produits[Coût Moyen Portion]), 0)</f>
        <v>0</v>
      </c>
      <c r="I409" s="7">
        <f>tbl_Ventes[[#This Row],[Qté Vendue]] * tbl_Ventes[[#This Row],[CMP_par_portion]]</f>
        <v>0</v>
      </c>
      <c r="J409" s="7">
        <f>tbl_Ventes[[#This Row],[CA ligne]] - tbl_Ventes[[#This Row],[Coût matière ligne]]</f>
        <v>0</v>
      </c>
      <c r="K409" s="7" t="str">
        <f>IFERROR(INDEX(tbl_ProduitsRef[Famille], MATCH(tbl_Ventes[[#This Row],[Cde_Prdt]], tbl_Produits[Cde_Prdt], 0)), "")</f>
        <v/>
      </c>
    </row>
    <row r="410" spans="1:11" x14ac:dyDescent="0.25">
      <c r="A410" s="5"/>
      <c r="B410" s="63" t="str">
        <f>IFERROR(TEXT(tbl_Ventes[[#This Row],[Date]],"mm-aaaa"),"")</f>
        <v>01-1900</v>
      </c>
      <c r="D410" s="10" t="str">
        <f>IFERROR(
   INDEX(tbl_ProduitsRef[Cde_Prdt],MATCH(tbl_Ventes[[#This Row],[Produit]],tbl_ProduitsRef[Produit],0)),
   ""
)</f>
        <v/>
      </c>
      <c r="E410" s="7">
        <v>0</v>
      </c>
      <c r="F410" s="7" t="str">
        <f>IFERROR(
   INDEX(tbl_ProduitsRef[Prix Menu],MATCH(tbl_Ventes[[#This Row],[Produit]],tbl_ProduitsRef[Produit],0)),
   ""
)</f>
        <v/>
      </c>
      <c r="G410" s="7">
        <f>tbl_Ventes[[#This Row],[Qté Vendue]] * IFERROR(_xlfn.XLOOKUP(tbl_Ventes[[#This Row],[Cde_Prdt]], tbl_Produits[Cde_Prdt], tbl_Produits[Prix Menu]), 0)</f>
        <v>0</v>
      </c>
      <c r="H410" s="7">
        <f>IFERROR(_xlfn.XLOOKUP(tbl_Ventes[[#This Row],[Cde_Prdt]], tbl_Produits[Cde_Prdt], tbl_Produits[Coût Moyen Portion]), 0)</f>
        <v>0</v>
      </c>
      <c r="I410" s="7">
        <f>tbl_Ventes[[#This Row],[Qté Vendue]] * tbl_Ventes[[#This Row],[CMP_par_portion]]</f>
        <v>0</v>
      </c>
      <c r="J410" s="7">
        <f>tbl_Ventes[[#This Row],[CA ligne]] - tbl_Ventes[[#This Row],[Coût matière ligne]]</f>
        <v>0</v>
      </c>
      <c r="K410" s="7" t="str">
        <f>IFERROR(INDEX(tbl_ProduitsRef[Famille], MATCH(tbl_Ventes[[#This Row],[Cde_Prdt]], tbl_Produits[Cde_Prdt], 0)), "")</f>
        <v/>
      </c>
    </row>
    <row r="411" spans="1:11" x14ac:dyDescent="0.25">
      <c r="A411" s="5"/>
      <c r="B411" s="63" t="str">
        <f>IFERROR(TEXT(tbl_Ventes[[#This Row],[Date]],"mm-aaaa"),"")</f>
        <v>01-1900</v>
      </c>
      <c r="D411" s="10" t="str">
        <f>IFERROR(
   INDEX(tbl_ProduitsRef[Cde_Prdt],MATCH(tbl_Ventes[[#This Row],[Produit]],tbl_ProduitsRef[Produit],0)),
   ""
)</f>
        <v/>
      </c>
      <c r="E411" s="7">
        <v>0</v>
      </c>
      <c r="F411" s="7" t="str">
        <f>IFERROR(
   INDEX(tbl_ProduitsRef[Prix Menu],MATCH(tbl_Ventes[[#This Row],[Produit]],tbl_ProduitsRef[Produit],0)),
   ""
)</f>
        <v/>
      </c>
      <c r="G411" s="7">
        <f>tbl_Ventes[[#This Row],[Qté Vendue]] * IFERROR(_xlfn.XLOOKUP(tbl_Ventes[[#This Row],[Cde_Prdt]], tbl_Produits[Cde_Prdt], tbl_Produits[Prix Menu]), 0)</f>
        <v>0</v>
      </c>
      <c r="H411" s="7">
        <f>IFERROR(_xlfn.XLOOKUP(tbl_Ventes[[#This Row],[Cde_Prdt]], tbl_Produits[Cde_Prdt], tbl_Produits[Coût Moyen Portion]), 0)</f>
        <v>0</v>
      </c>
      <c r="I411" s="7">
        <f>tbl_Ventes[[#This Row],[Qté Vendue]] * tbl_Ventes[[#This Row],[CMP_par_portion]]</f>
        <v>0</v>
      </c>
      <c r="J411" s="7">
        <f>tbl_Ventes[[#This Row],[CA ligne]] - tbl_Ventes[[#This Row],[Coût matière ligne]]</f>
        <v>0</v>
      </c>
      <c r="K411" s="7" t="str">
        <f>IFERROR(INDEX(tbl_ProduitsRef[Famille], MATCH(tbl_Ventes[[#This Row],[Cde_Prdt]], tbl_Produits[Cde_Prdt], 0)), "")</f>
        <v/>
      </c>
    </row>
    <row r="412" spans="1:11" x14ac:dyDescent="0.25">
      <c r="A412" s="5"/>
      <c r="B412" s="63" t="str">
        <f>IFERROR(TEXT(tbl_Ventes[[#This Row],[Date]],"mm-aaaa"),"")</f>
        <v>01-1900</v>
      </c>
      <c r="D412" s="10" t="str">
        <f>IFERROR(
   INDEX(tbl_ProduitsRef[Cde_Prdt],MATCH(tbl_Ventes[[#This Row],[Produit]],tbl_ProduitsRef[Produit],0)),
   ""
)</f>
        <v/>
      </c>
      <c r="E412" s="7">
        <v>0</v>
      </c>
      <c r="F412" s="7" t="str">
        <f>IFERROR(
   INDEX(tbl_ProduitsRef[Prix Menu],MATCH(tbl_Ventes[[#This Row],[Produit]],tbl_ProduitsRef[Produit],0)),
   ""
)</f>
        <v/>
      </c>
      <c r="G412" s="7">
        <f>tbl_Ventes[[#This Row],[Qté Vendue]] * IFERROR(_xlfn.XLOOKUP(tbl_Ventes[[#This Row],[Cde_Prdt]], tbl_Produits[Cde_Prdt], tbl_Produits[Prix Menu]), 0)</f>
        <v>0</v>
      </c>
      <c r="H412" s="7">
        <f>IFERROR(_xlfn.XLOOKUP(tbl_Ventes[[#This Row],[Cde_Prdt]], tbl_Produits[Cde_Prdt], tbl_Produits[Coût Moyen Portion]), 0)</f>
        <v>0</v>
      </c>
      <c r="I412" s="7">
        <f>tbl_Ventes[[#This Row],[Qté Vendue]] * tbl_Ventes[[#This Row],[CMP_par_portion]]</f>
        <v>0</v>
      </c>
      <c r="J412" s="7">
        <f>tbl_Ventes[[#This Row],[CA ligne]] - tbl_Ventes[[#This Row],[Coût matière ligne]]</f>
        <v>0</v>
      </c>
      <c r="K412" s="7" t="str">
        <f>IFERROR(INDEX(tbl_ProduitsRef[Famille], MATCH(tbl_Ventes[[#This Row],[Cde_Prdt]], tbl_Produits[Cde_Prdt], 0)), "")</f>
        <v/>
      </c>
    </row>
    <row r="413" spans="1:11" x14ac:dyDescent="0.25">
      <c r="A413" s="5"/>
      <c r="B413" s="63" t="str">
        <f>IFERROR(TEXT(tbl_Ventes[[#This Row],[Date]],"mm-aaaa"),"")</f>
        <v>01-1900</v>
      </c>
      <c r="D413" s="10" t="str">
        <f>IFERROR(
   INDEX(tbl_ProduitsRef[Cde_Prdt],MATCH(tbl_Ventes[[#This Row],[Produit]],tbl_ProduitsRef[Produit],0)),
   ""
)</f>
        <v/>
      </c>
      <c r="E413" s="7">
        <v>0</v>
      </c>
      <c r="F413" s="7" t="str">
        <f>IFERROR(
   INDEX(tbl_ProduitsRef[Prix Menu],MATCH(tbl_Ventes[[#This Row],[Produit]],tbl_ProduitsRef[Produit],0)),
   ""
)</f>
        <v/>
      </c>
      <c r="G413" s="7">
        <f>tbl_Ventes[[#This Row],[Qté Vendue]] * IFERROR(_xlfn.XLOOKUP(tbl_Ventes[[#This Row],[Cde_Prdt]], tbl_Produits[Cde_Prdt], tbl_Produits[Prix Menu]), 0)</f>
        <v>0</v>
      </c>
      <c r="H413" s="7">
        <f>IFERROR(_xlfn.XLOOKUP(tbl_Ventes[[#This Row],[Cde_Prdt]], tbl_Produits[Cde_Prdt], tbl_Produits[Coût Moyen Portion]), 0)</f>
        <v>0</v>
      </c>
      <c r="I413" s="7">
        <f>tbl_Ventes[[#This Row],[Qté Vendue]] * tbl_Ventes[[#This Row],[CMP_par_portion]]</f>
        <v>0</v>
      </c>
      <c r="J413" s="7">
        <f>tbl_Ventes[[#This Row],[CA ligne]] - tbl_Ventes[[#This Row],[Coût matière ligne]]</f>
        <v>0</v>
      </c>
      <c r="K413" s="7" t="str">
        <f>IFERROR(INDEX(tbl_ProduitsRef[Famille], MATCH(tbl_Ventes[[#This Row],[Cde_Prdt]], tbl_Produits[Cde_Prdt], 0)), "")</f>
        <v/>
      </c>
    </row>
    <row r="414" spans="1:11" x14ac:dyDescent="0.25">
      <c r="A414" s="5"/>
      <c r="B414" s="63" t="str">
        <f>IFERROR(TEXT(tbl_Ventes[[#This Row],[Date]],"mm-aaaa"),"")</f>
        <v>01-1900</v>
      </c>
      <c r="D414" s="10" t="str">
        <f>IFERROR(
   INDEX(tbl_ProduitsRef[Cde_Prdt],MATCH(tbl_Ventes[[#This Row],[Produit]],tbl_ProduitsRef[Produit],0)),
   ""
)</f>
        <v/>
      </c>
      <c r="E414" s="7">
        <v>0</v>
      </c>
      <c r="F414" s="7" t="str">
        <f>IFERROR(
   INDEX(tbl_ProduitsRef[Prix Menu],MATCH(tbl_Ventes[[#This Row],[Produit]],tbl_ProduitsRef[Produit],0)),
   ""
)</f>
        <v/>
      </c>
      <c r="G414" s="7">
        <f>tbl_Ventes[[#This Row],[Qté Vendue]] * IFERROR(_xlfn.XLOOKUP(tbl_Ventes[[#This Row],[Cde_Prdt]], tbl_Produits[Cde_Prdt], tbl_Produits[Prix Menu]), 0)</f>
        <v>0</v>
      </c>
      <c r="H414" s="7">
        <f>IFERROR(_xlfn.XLOOKUP(tbl_Ventes[[#This Row],[Cde_Prdt]], tbl_Produits[Cde_Prdt], tbl_Produits[Coût Moyen Portion]), 0)</f>
        <v>0</v>
      </c>
      <c r="I414" s="7">
        <f>tbl_Ventes[[#This Row],[Qté Vendue]] * tbl_Ventes[[#This Row],[CMP_par_portion]]</f>
        <v>0</v>
      </c>
      <c r="J414" s="7">
        <f>tbl_Ventes[[#This Row],[CA ligne]] - tbl_Ventes[[#This Row],[Coût matière ligne]]</f>
        <v>0</v>
      </c>
      <c r="K414" s="7" t="str">
        <f>IFERROR(INDEX(tbl_ProduitsRef[Famille], MATCH(tbl_Ventes[[#This Row],[Cde_Prdt]], tbl_Produits[Cde_Prdt], 0)), "")</f>
        <v/>
      </c>
    </row>
    <row r="415" spans="1:11" x14ac:dyDescent="0.25">
      <c r="A415" s="5"/>
      <c r="B415" s="63" t="str">
        <f>IFERROR(TEXT(tbl_Ventes[[#This Row],[Date]],"mm-aaaa"),"")</f>
        <v>01-1900</v>
      </c>
      <c r="D415" s="10" t="str">
        <f>IFERROR(
   INDEX(tbl_ProduitsRef[Cde_Prdt],MATCH(tbl_Ventes[[#This Row],[Produit]],tbl_ProduitsRef[Produit],0)),
   ""
)</f>
        <v/>
      </c>
      <c r="E415" s="7">
        <v>0</v>
      </c>
      <c r="F415" s="7" t="str">
        <f>IFERROR(
   INDEX(tbl_ProduitsRef[Prix Menu],MATCH(tbl_Ventes[[#This Row],[Produit]],tbl_ProduitsRef[Produit],0)),
   ""
)</f>
        <v/>
      </c>
      <c r="G415" s="7">
        <f>tbl_Ventes[[#This Row],[Qté Vendue]] * IFERROR(_xlfn.XLOOKUP(tbl_Ventes[[#This Row],[Cde_Prdt]], tbl_Produits[Cde_Prdt], tbl_Produits[Prix Menu]), 0)</f>
        <v>0</v>
      </c>
      <c r="H415" s="7">
        <f>IFERROR(_xlfn.XLOOKUP(tbl_Ventes[[#This Row],[Cde_Prdt]], tbl_Produits[Cde_Prdt], tbl_Produits[Coût Moyen Portion]), 0)</f>
        <v>0</v>
      </c>
      <c r="I415" s="7">
        <f>tbl_Ventes[[#This Row],[Qté Vendue]] * tbl_Ventes[[#This Row],[CMP_par_portion]]</f>
        <v>0</v>
      </c>
      <c r="J415" s="7">
        <f>tbl_Ventes[[#This Row],[CA ligne]] - tbl_Ventes[[#This Row],[Coût matière ligne]]</f>
        <v>0</v>
      </c>
      <c r="K415" s="7" t="str">
        <f>IFERROR(INDEX(tbl_ProduitsRef[Famille], MATCH(tbl_Ventes[[#This Row],[Cde_Prdt]], tbl_Produits[Cde_Prdt], 0)), "")</f>
        <v/>
      </c>
    </row>
    <row r="416" spans="1:11" x14ac:dyDescent="0.25">
      <c r="A416" s="5"/>
      <c r="B416" s="63" t="str">
        <f>IFERROR(TEXT(tbl_Ventes[[#This Row],[Date]],"mm-aaaa"),"")</f>
        <v>01-1900</v>
      </c>
      <c r="D416" s="10" t="str">
        <f>IFERROR(
   INDEX(tbl_ProduitsRef[Cde_Prdt],MATCH(tbl_Ventes[[#This Row],[Produit]],tbl_ProduitsRef[Produit],0)),
   ""
)</f>
        <v/>
      </c>
      <c r="E416" s="7">
        <v>0</v>
      </c>
      <c r="F416" s="7" t="str">
        <f>IFERROR(
   INDEX(tbl_ProduitsRef[Prix Menu],MATCH(tbl_Ventes[[#This Row],[Produit]],tbl_ProduitsRef[Produit],0)),
   ""
)</f>
        <v/>
      </c>
      <c r="G416" s="7">
        <f>tbl_Ventes[[#This Row],[Qté Vendue]] * IFERROR(_xlfn.XLOOKUP(tbl_Ventes[[#This Row],[Cde_Prdt]], tbl_Produits[Cde_Prdt], tbl_Produits[Prix Menu]), 0)</f>
        <v>0</v>
      </c>
      <c r="H416" s="7">
        <f>IFERROR(_xlfn.XLOOKUP(tbl_Ventes[[#This Row],[Cde_Prdt]], tbl_Produits[Cde_Prdt], tbl_Produits[Coût Moyen Portion]), 0)</f>
        <v>0</v>
      </c>
      <c r="I416" s="7">
        <f>tbl_Ventes[[#This Row],[Qté Vendue]] * tbl_Ventes[[#This Row],[CMP_par_portion]]</f>
        <v>0</v>
      </c>
      <c r="J416" s="7">
        <f>tbl_Ventes[[#This Row],[CA ligne]] - tbl_Ventes[[#This Row],[Coût matière ligne]]</f>
        <v>0</v>
      </c>
      <c r="K416" s="7" t="str">
        <f>IFERROR(INDEX(tbl_ProduitsRef[Famille], MATCH(tbl_Ventes[[#This Row],[Cde_Prdt]], tbl_Produits[Cde_Prdt], 0)), "")</f>
        <v/>
      </c>
    </row>
    <row r="417" spans="1:11" x14ac:dyDescent="0.25">
      <c r="A417" s="5"/>
      <c r="B417" s="63" t="str">
        <f>IFERROR(TEXT(tbl_Ventes[[#This Row],[Date]],"mm-aaaa"),"")</f>
        <v>01-1900</v>
      </c>
      <c r="D417" s="10" t="str">
        <f>IFERROR(
   INDEX(tbl_ProduitsRef[Cde_Prdt],MATCH(tbl_Ventes[[#This Row],[Produit]],tbl_ProduitsRef[Produit],0)),
   ""
)</f>
        <v/>
      </c>
      <c r="E417" s="7">
        <v>0</v>
      </c>
      <c r="F417" s="7" t="str">
        <f>IFERROR(
   INDEX(tbl_ProduitsRef[Prix Menu],MATCH(tbl_Ventes[[#This Row],[Produit]],tbl_ProduitsRef[Produit],0)),
   ""
)</f>
        <v/>
      </c>
      <c r="G417" s="7">
        <f>tbl_Ventes[[#This Row],[Qté Vendue]] * IFERROR(_xlfn.XLOOKUP(tbl_Ventes[[#This Row],[Cde_Prdt]], tbl_Produits[Cde_Prdt], tbl_Produits[Prix Menu]), 0)</f>
        <v>0</v>
      </c>
      <c r="H417" s="7">
        <f>IFERROR(_xlfn.XLOOKUP(tbl_Ventes[[#This Row],[Cde_Prdt]], tbl_Produits[Cde_Prdt], tbl_Produits[Coût Moyen Portion]), 0)</f>
        <v>0</v>
      </c>
      <c r="I417" s="7">
        <f>tbl_Ventes[[#This Row],[Qté Vendue]] * tbl_Ventes[[#This Row],[CMP_par_portion]]</f>
        <v>0</v>
      </c>
      <c r="J417" s="7">
        <f>tbl_Ventes[[#This Row],[CA ligne]] - tbl_Ventes[[#This Row],[Coût matière ligne]]</f>
        <v>0</v>
      </c>
      <c r="K417" s="7" t="str">
        <f>IFERROR(INDEX(tbl_ProduitsRef[Famille], MATCH(tbl_Ventes[[#This Row],[Cde_Prdt]], tbl_Produits[Cde_Prdt], 0)), "")</f>
        <v/>
      </c>
    </row>
    <row r="418" spans="1:11" x14ac:dyDescent="0.25">
      <c r="A418" s="5"/>
      <c r="B418" s="63" t="str">
        <f>IFERROR(TEXT(tbl_Ventes[[#This Row],[Date]],"mm-aaaa"),"")</f>
        <v>01-1900</v>
      </c>
      <c r="D418" s="10" t="str">
        <f>IFERROR(
   INDEX(tbl_ProduitsRef[Cde_Prdt],MATCH(tbl_Ventes[[#This Row],[Produit]],tbl_ProduitsRef[Produit],0)),
   ""
)</f>
        <v/>
      </c>
      <c r="E418" s="7">
        <v>0</v>
      </c>
      <c r="F418" s="7" t="str">
        <f>IFERROR(
   INDEX(tbl_ProduitsRef[Prix Menu],MATCH(tbl_Ventes[[#This Row],[Produit]],tbl_ProduitsRef[Produit],0)),
   ""
)</f>
        <v/>
      </c>
      <c r="G418" s="7">
        <f>tbl_Ventes[[#This Row],[Qté Vendue]] * IFERROR(_xlfn.XLOOKUP(tbl_Ventes[[#This Row],[Cde_Prdt]], tbl_Produits[Cde_Prdt], tbl_Produits[Prix Menu]), 0)</f>
        <v>0</v>
      </c>
      <c r="H418" s="7">
        <f>IFERROR(_xlfn.XLOOKUP(tbl_Ventes[[#This Row],[Cde_Prdt]], tbl_Produits[Cde_Prdt], tbl_Produits[Coût Moyen Portion]), 0)</f>
        <v>0</v>
      </c>
      <c r="I418" s="7">
        <f>tbl_Ventes[[#This Row],[Qté Vendue]] * tbl_Ventes[[#This Row],[CMP_par_portion]]</f>
        <v>0</v>
      </c>
      <c r="J418" s="7">
        <f>tbl_Ventes[[#This Row],[CA ligne]] - tbl_Ventes[[#This Row],[Coût matière ligne]]</f>
        <v>0</v>
      </c>
      <c r="K418" s="7" t="str">
        <f>IFERROR(INDEX(tbl_ProduitsRef[Famille], MATCH(tbl_Ventes[[#This Row],[Cde_Prdt]], tbl_Produits[Cde_Prdt], 0)), "")</f>
        <v/>
      </c>
    </row>
    <row r="419" spans="1:11" x14ac:dyDescent="0.25">
      <c r="A419" s="5"/>
      <c r="B419" s="63" t="str">
        <f>IFERROR(TEXT(tbl_Ventes[[#This Row],[Date]],"mm-aaaa"),"")</f>
        <v>01-1900</v>
      </c>
      <c r="D419" s="10" t="str">
        <f>IFERROR(
   INDEX(tbl_ProduitsRef[Cde_Prdt],MATCH(tbl_Ventes[[#This Row],[Produit]],tbl_ProduitsRef[Produit],0)),
   ""
)</f>
        <v/>
      </c>
      <c r="E419" s="7">
        <v>0</v>
      </c>
      <c r="F419" s="7" t="str">
        <f>IFERROR(
   INDEX(tbl_ProduitsRef[Prix Menu],MATCH(tbl_Ventes[[#This Row],[Produit]],tbl_ProduitsRef[Produit],0)),
   ""
)</f>
        <v/>
      </c>
      <c r="G419" s="7">
        <f>tbl_Ventes[[#This Row],[Qté Vendue]] * IFERROR(_xlfn.XLOOKUP(tbl_Ventes[[#This Row],[Cde_Prdt]], tbl_Produits[Cde_Prdt], tbl_Produits[Prix Menu]), 0)</f>
        <v>0</v>
      </c>
      <c r="H419" s="7">
        <f>IFERROR(_xlfn.XLOOKUP(tbl_Ventes[[#This Row],[Cde_Prdt]], tbl_Produits[Cde_Prdt], tbl_Produits[Coût Moyen Portion]), 0)</f>
        <v>0</v>
      </c>
      <c r="I419" s="7">
        <f>tbl_Ventes[[#This Row],[Qté Vendue]] * tbl_Ventes[[#This Row],[CMP_par_portion]]</f>
        <v>0</v>
      </c>
      <c r="J419" s="7">
        <f>tbl_Ventes[[#This Row],[CA ligne]] - tbl_Ventes[[#This Row],[Coût matière ligne]]</f>
        <v>0</v>
      </c>
      <c r="K419" s="7" t="str">
        <f>IFERROR(INDEX(tbl_ProduitsRef[Famille], MATCH(tbl_Ventes[[#This Row],[Cde_Prdt]], tbl_Produits[Cde_Prdt], 0)), "")</f>
        <v/>
      </c>
    </row>
    <row r="420" spans="1:11" x14ac:dyDescent="0.25">
      <c r="A420" s="5"/>
      <c r="B420" s="63" t="str">
        <f>IFERROR(TEXT(tbl_Ventes[[#This Row],[Date]],"mm-aaaa"),"")</f>
        <v>01-1900</v>
      </c>
      <c r="D420" s="10" t="str">
        <f>IFERROR(
   INDEX(tbl_ProduitsRef[Cde_Prdt],MATCH(tbl_Ventes[[#This Row],[Produit]],tbl_ProduitsRef[Produit],0)),
   ""
)</f>
        <v/>
      </c>
      <c r="E420" s="7">
        <v>0</v>
      </c>
      <c r="F420" s="7" t="str">
        <f>IFERROR(
   INDEX(tbl_ProduitsRef[Prix Menu],MATCH(tbl_Ventes[[#This Row],[Produit]],tbl_ProduitsRef[Produit],0)),
   ""
)</f>
        <v/>
      </c>
      <c r="G420" s="7">
        <f>tbl_Ventes[[#This Row],[Qté Vendue]] * IFERROR(_xlfn.XLOOKUP(tbl_Ventes[[#This Row],[Cde_Prdt]], tbl_Produits[Cde_Prdt], tbl_Produits[Prix Menu]), 0)</f>
        <v>0</v>
      </c>
      <c r="H420" s="7">
        <f>IFERROR(_xlfn.XLOOKUP(tbl_Ventes[[#This Row],[Cde_Prdt]], tbl_Produits[Cde_Prdt], tbl_Produits[Coût Moyen Portion]), 0)</f>
        <v>0</v>
      </c>
      <c r="I420" s="7">
        <f>tbl_Ventes[[#This Row],[Qté Vendue]] * tbl_Ventes[[#This Row],[CMP_par_portion]]</f>
        <v>0</v>
      </c>
      <c r="J420" s="7">
        <f>tbl_Ventes[[#This Row],[CA ligne]] - tbl_Ventes[[#This Row],[Coût matière ligne]]</f>
        <v>0</v>
      </c>
      <c r="K420" s="7" t="str">
        <f>IFERROR(INDEX(tbl_ProduitsRef[Famille], MATCH(tbl_Ventes[[#This Row],[Cde_Prdt]], tbl_Produits[Cde_Prdt], 0)), "")</f>
        <v/>
      </c>
    </row>
    <row r="421" spans="1:11" x14ac:dyDescent="0.25">
      <c r="A421" s="5"/>
      <c r="B421" s="63" t="str">
        <f>IFERROR(TEXT(tbl_Ventes[[#This Row],[Date]],"mm-aaaa"),"")</f>
        <v>01-1900</v>
      </c>
      <c r="D421" s="10" t="str">
        <f>IFERROR(
   INDEX(tbl_ProduitsRef[Cde_Prdt],MATCH(tbl_Ventes[[#This Row],[Produit]],tbl_ProduitsRef[Produit],0)),
   ""
)</f>
        <v/>
      </c>
      <c r="E421" s="7">
        <v>0</v>
      </c>
      <c r="F421" s="7" t="str">
        <f>IFERROR(
   INDEX(tbl_ProduitsRef[Prix Menu],MATCH(tbl_Ventes[[#This Row],[Produit]],tbl_ProduitsRef[Produit],0)),
   ""
)</f>
        <v/>
      </c>
      <c r="G421" s="7">
        <f>tbl_Ventes[[#This Row],[Qté Vendue]] * IFERROR(_xlfn.XLOOKUP(tbl_Ventes[[#This Row],[Cde_Prdt]], tbl_Produits[Cde_Prdt], tbl_Produits[Prix Menu]), 0)</f>
        <v>0</v>
      </c>
      <c r="H421" s="7">
        <f>IFERROR(_xlfn.XLOOKUP(tbl_Ventes[[#This Row],[Cde_Prdt]], tbl_Produits[Cde_Prdt], tbl_Produits[Coût Moyen Portion]), 0)</f>
        <v>0</v>
      </c>
      <c r="I421" s="7">
        <f>tbl_Ventes[[#This Row],[Qté Vendue]] * tbl_Ventes[[#This Row],[CMP_par_portion]]</f>
        <v>0</v>
      </c>
      <c r="J421" s="7">
        <f>tbl_Ventes[[#This Row],[CA ligne]] - tbl_Ventes[[#This Row],[Coût matière ligne]]</f>
        <v>0</v>
      </c>
      <c r="K421" s="7" t="str">
        <f>IFERROR(INDEX(tbl_ProduitsRef[Famille], MATCH(tbl_Ventes[[#This Row],[Cde_Prdt]], tbl_Produits[Cde_Prdt], 0)), "")</f>
        <v/>
      </c>
    </row>
    <row r="422" spans="1:11" x14ac:dyDescent="0.25">
      <c r="A422" s="5"/>
      <c r="B422" s="63" t="str">
        <f>IFERROR(TEXT(tbl_Ventes[[#This Row],[Date]],"mm-aaaa"),"")</f>
        <v>01-1900</v>
      </c>
      <c r="D422" s="10" t="str">
        <f>IFERROR(
   INDEX(tbl_ProduitsRef[Cde_Prdt],MATCH(tbl_Ventes[[#This Row],[Produit]],tbl_ProduitsRef[Produit],0)),
   ""
)</f>
        <v/>
      </c>
      <c r="E422" s="7">
        <v>0</v>
      </c>
      <c r="F422" s="7" t="str">
        <f>IFERROR(
   INDEX(tbl_ProduitsRef[Prix Menu],MATCH(tbl_Ventes[[#This Row],[Produit]],tbl_ProduitsRef[Produit],0)),
   ""
)</f>
        <v/>
      </c>
      <c r="G422" s="7">
        <f>tbl_Ventes[[#This Row],[Qté Vendue]] * IFERROR(_xlfn.XLOOKUP(tbl_Ventes[[#This Row],[Cde_Prdt]], tbl_Produits[Cde_Prdt], tbl_Produits[Prix Menu]), 0)</f>
        <v>0</v>
      </c>
      <c r="H422" s="7">
        <f>IFERROR(_xlfn.XLOOKUP(tbl_Ventes[[#This Row],[Cde_Prdt]], tbl_Produits[Cde_Prdt], tbl_Produits[Coût Moyen Portion]), 0)</f>
        <v>0</v>
      </c>
      <c r="I422" s="7">
        <f>tbl_Ventes[[#This Row],[Qté Vendue]] * tbl_Ventes[[#This Row],[CMP_par_portion]]</f>
        <v>0</v>
      </c>
      <c r="J422" s="7">
        <f>tbl_Ventes[[#This Row],[CA ligne]] - tbl_Ventes[[#This Row],[Coût matière ligne]]</f>
        <v>0</v>
      </c>
      <c r="K422" s="7" t="str">
        <f>IFERROR(INDEX(tbl_ProduitsRef[Famille], MATCH(tbl_Ventes[[#This Row],[Cde_Prdt]], tbl_Produits[Cde_Prdt], 0)), "")</f>
        <v/>
      </c>
    </row>
    <row r="423" spans="1:11" x14ac:dyDescent="0.25">
      <c r="A423" s="5"/>
      <c r="B423" s="63" t="str">
        <f>IFERROR(TEXT(tbl_Ventes[[#This Row],[Date]],"mm-aaaa"),"")</f>
        <v>01-1900</v>
      </c>
      <c r="D423" s="10" t="str">
        <f>IFERROR(
   INDEX(tbl_ProduitsRef[Cde_Prdt],MATCH(tbl_Ventes[[#This Row],[Produit]],tbl_ProduitsRef[Produit],0)),
   ""
)</f>
        <v/>
      </c>
      <c r="E423" s="7">
        <v>0</v>
      </c>
      <c r="F423" s="7" t="str">
        <f>IFERROR(
   INDEX(tbl_ProduitsRef[Prix Menu],MATCH(tbl_Ventes[[#This Row],[Produit]],tbl_ProduitsRef[Produit],0)),
   ""
)</f>
        <v/>
      </c>
      <c r="G423" s="7">
        <f>tbl_Ventes[[#This Row],[Qté Vendue]] * IFERROR(_xlfn.XLOOKUP(tbl_Ventes[[#This Row],[Cde_Prdt]], tbl_Produits[Cde_Prdt], tbl_Produits[Prix Menu]), 0)</f>
        <v>0</v>
      </c>
      <c r="H423" s="7">
        <f>IFERROR(_xlfn.XLOOKUP(tbl_Ventes[[#This Row],[Cde_Prdt]], tbl_Produits[Cde_Prdt], tbl_Produits[Coût Moyen Portion]), 0)</f>
        <v>0</v>
      </c>
      <c r="I423" s="7">
        <f>tbl_Ventes[[#This Row],[Qté Vendue]] * tbl_Ventes[[#This Row],[CMP_par_portion]]</f>
        <v>0</v>
      </c>
      <c r="J423" s="7">
        <f>tbl_Ventes[[#This Row],[CA ligne]] - tbl_Ventes[[#This Row],[Coût matière ligne]]</f>
        <v>0</v>
      </c>
      <c r="K423" s="7" t="str">
        <f>IFERROR(INDEX(tbl_ProduitsRef[Famille], MATCH(tbl_Ventes[[#This Row],[Cde_Prdt]], tbl_Produits[Cde_Prdt], 0)), "")</f>
        <v/>
      </c>
    </row>
    <row r="424" spans="1:11" x14ac:dyDescent="0.25">
      <c r="A424" s="5"/>
      <c r="B424" s="63" t="str">
        <f>IFERROR(TEXT(tbl_Ventes[[#This Row],[Date]],"mm-aaaa"),"")</f>
        <v>01-1900</v>
      </c>
      <c r="D424" s="10" t="str">
        <f>IFERROR(
   INDEX(tbl_ProduitsRef[Cde_Prdt],MATCH(tbl_Ventes[[#This Row],[Produit]],tbl_ProduitsRef[Produit],0)),
   ""
)</f>
        <v/>
      </c>
      <c r="E424" s="7">
        <v>0</v>
      </c>
      <c r="F424" s="7" t="str">
        <f>IFERROR(
   INDEX(tbl_ProduitsRef[Prix Menu],MATCH(tbl_Ventes[[#This Row],[Produit]],tbl_ProduitsRef[Produit],0)),
   ""
)</f>
        <v/>
      </c>
      <c r="G424" s="7">
        <f>tbl_Ventes[[#This Row],[Qté Vendue]] * IFERROR(_xlfn.XLOOKUP(tbl_Ventes[[#This Row],[Cde_Prdt]], tbl_Produits[Cde_Prdt], tbl_Produits[Prix Menu]), 0)</f>
        <v>0</v>
      </c>
      <c r="H424" s="7">
        <f>IFERROR(_xlfn.XLOOKUP(tbl_Ventes[[#This Row],[Cde_Prdt]], tbl_Produits[Cde_Prdt], tbl_Produits[Coût Moyen Portion]), 0)</f>
        <v>0</v>
      </c>
      <c r="I424" s="7">
        <f>tbl_Ventes[[#This Row],[Qté Vendue]] * tbl_Ventes[[#This Row],[CMP_par_portion]]</f>
        <v>0</v>
      </c>
      <c r="J424" s="7">
        <f>tbl_Ventes[[#This Row],[CA ligne]] - tbl_Ventes[[#This Row],[Coût matière ligne]]</f>
        <v>0</v>
      </c>
      <c r="K424" s="7" t="str">
        <f>IFERROR(INDEX(tbl_ProduitsRef[Famille], MATCH(tbl_Ventes[[#This Row],[Cde_Prdt]], tbl_Produits[Cde_Prdt], 0)), "")</f>
        <v/>
      </c>
    </row>
    <row r="425" spans="1:11" x14ac:dyDescent="0.25">
      <c r="A425" s="5"/>
      <c r="B425" s="63" t="str">
        <f>IFERROR(TEXT(tbl_Ventes[[#This Row],[Date]],"mm-aaaa"),"")</f>
        <v>01-1900</v>
      </c>
      <c r="D425" s="10" t="str">
        <f>IFERROR(
   INDEX(tbl_ProduitsRef[Cde_Prdt],MATCH(tbl_Ventes[[#This Row],[Produit]],tbl_ProduitsRef[Produit],0)),
   ""
)</f>
        <v/>
      </c>
      <c r="E425" s="7">
        <v>0</v>
      </c>
      <c r="F425" s="7" t="str">
        <f>IFERROR(
   INDEX(tbl_ProduitsRef[Prix Menu],MATCH(tbl_Ventes[[#This Row],[Produit]],tbl_ProduitsRef[Produit],0)),
   ""
)</f>
        <v/>
      </c>
      <c r="G425" s="7">
        <f>tbl_Ventes[[#This Row],[Qté Vendue]] * IFERROR(_xlfn.XLOOKUP(tbl_Ventes[[#This Row],[Cde_Prdt]], tbl_Produits[Cde_Prdt], tbl_Produits[Prix Menu]), 0)</f>
        <v>0</v>
      </c>
      <c r="H425" s="7">
        <f>IFERROR(_xlfn.XLOOKUP(tbl_Ventes[[#This Row],[Cde_Prdt]], tbl_Produits[Cde_Prdt], tbl_Produits[Coût Moyen Portion]), 0)</f>
        <v>0</v>
      </c>
      <c r="I425" s="7">
        <f>tbl_Ventes[[#This Row],[Qté Vendue]] * tbl_Ventes[[#This Row],[CMP_par_portion]]</f>
        <v>0</v>
      </c>
      <c r="J425" s="7">
        <f>tbl_Ventes[[#This Row],[CA ligne]] - tbl_Ventes[[#This Row],[Coût matière ligne]]</f>
        <v>0</v>
      </c>
      <c r="K425" s="7" t="str">
        <f>IFERROR(INDEX(tbl_ProduitsRef[Famille], MATCH(tbl_Ventes[[#This Row],[Cde_Prdt]], tbl_Produits[Cde_Prdt], 0)), "")</f>
        <v/>
      </c>
    </row>
    <row r="426" spans="1:11" x14ac:dyDescent="0.25">
      <c r="A426" s="5"/>
      <c r="B426" s="63" t="str">
        <f>IFERROR(TEXT(tbl_Ventes[[#This Row],[Date]],"mm-aaaa"),"")</f>
        <v>01-1900</v>
      </c>
      <c r="D426" s="10" t="str">
        <f>IFERROR(
   INDEX(tbl_ProduitsRef[Cde_Prdt],MATCH(tbl_Ventes[[#This Row],[Produit]],tbl_ProduitsRef[Produit],0)),
   ""
)</f>
        <v/>
      </c>
      <c r="E426" s="7">
        <v>0</v>
      </c>
      <c r="F426" s="7" t="str">
        <f>IFERROR(
   INDEX(tbl_ProduitsRef[Prix Menu],MATCH(tbl_Ventes[[#This Row],[Produit]],tbl_ProduitsRef[Produit],0)),
   ""
)</f>
        <v/>
      </c>
      <c r="G426" s="7">
        <f>tbl_Ventes[[#This Row],[Qté Vendue]] * IFERROR(_xlfn.XLOOKUP(tbl_Ventes[[#This Row],[Cde_Prdt]], tbl_Produits[Cde_Prdt], tbl_Produits[Prix Menu]), 0)</f>
        <v>0</v>
      </c>
      <c r="H426" s="7">
        <f>IFERROR(_xlfn.XLOOKUP(tbl_Ventes[[#This Row],[Cde_Prdt]], tbl_Produits[Cde_Prdt], tbl_Produits[Coût Moyen Portion]), 0)</f>
        <v>0</v>
      </c>
      <c r="I426" s="7">
        <f>tbl_Ventes[[#This Row],[Qté Vendue]] * tbl_Ventes[[#This Row],[CMP_par_portion]]</f>
        <v>0</v>
      </c>
      <c r="J426" s="7">
        <f>tbl_Ventes[[#This Row],[CA ligne]] - tbl_Ventes[[#This Row],[Coût matière ligne]]</f>
        <v>0</v>
      </c>
      <c r="K426" s="7" t="str">
        <f>IFERROR(INDEX(tbl_ProduitsRef[Famille], MATCH(tbl_Ventes[[#This Row],[Cde_Prdt]], tbl_Produits[Cde_Prdt], 0)), "")</f>
        <v/>
      </c>
    </row>
    <row r="427" spans="1:11" x14ac:dyDescent="0.25">
      <c r="A427" s="5"/>
      <c r="B427" s="63" t="str">
        <f>IFERROR(TEXT(tbl_Ventes[[#This Row],[Date]],"mm-aaaa"),"")</f>
        <v>01-1900</v>
      </c>
      <c r="D427" s="10" t="str">
        <f>IFERROR(
   INDEX(tbl_ProduitsRef[Cde_Prdt],MATCH(tbl_Ventes[[#This Row],[Produit]],tbl_ProduitsRef[Produit],0)),
   ""
)</f>
        <v/>
      </c>
      <c r="E427" s="7">
        <v>0</v>
      </c>
      <c r="F427" s="7" t="str">
        <f>IFERROR(
   INDEX(tbl_ProduitsRef[Prix Menu],MATCH(tbl_Ventes[[#This Row],[Produit]],tbl_ProduitsRef[Produit],0)),
   ""
)</f>
        <v/>
      </c>
      <c r="G427" s="7">
        <f>tbl_Ventes[[#This Row],[Qté Vendue]] * IFERROR(_xlfn.XLOOKUP(tbl_Ventes[[#This Row],[Cde_Prdt]], tbl_Produits[Cde_Prdt], tbl_Produits[Prix Menu]), 0)</f>
        <v>0</v>
      </c>
      <c r="H427" s="7">
        <f>IFERROR(_xlfn.XLOOKUP(tbl_Ventes[[#This Row],[Cde_Prdt]], tbl_Produits[Cde_Prdt], tbl_Produits[Coût Moyen Portion]), 0)</f>
        <v>0</v>
      </c>
      <c r="I427" s="7">
        <f>tbl_Ventes[[#This Row],[Qté Vendue]] * tbl_Ventes[[#This Row],[CMP_par_portion]]</f>
        <v>0</v>
      </c>
      <c r="J427" s="7">
        <f>tbl_Ventes[[#This Row],[CA ligne]] - tbl_Ventes[[#This Row],[Coût matière ligne]]</f>
        <v>0</v>
      </c>
      <c r="K427" s="7" t="str">
        <f>IFERROR(INDEX(tbl_ProduitsRef[Famille], MATCH(tbl_Ventes[[#This Row],[Cde_Prdt]], tbl_Produits[Cde_Prdt], 0)), "")</f>
        <v/>
      </c>
    </row>
    <row r="428" spans="1:11" x14ac:dyDescent="0.25">
      <c r="A428" s="5"/>
      <c r="B428" s="63" t="str">
        <f>IFERROR(TEXT(tbl_Ventes[[#This Row],[Date]],"mm-aaaa"),"")</f>
        <v>01-1900</v>
      </c>
      <c r="D428" s="10" t="str">
        <f>IFERROR(
   INDEX(tbl_ProduitsRef[Cde_Prdt],MATCH(tbl_Ventes[[#This Row],[Produit]],tbl_ProduitsRef[Produit],0)),
   ""
)</f>
        <v/>
      </c>
      <c r="E428" s="7">
        <v>0</v>
      </c>
      <c r="F428" s="7" t="str">
        <f>IFERROR(
   INDEX(tbl_ProduitsRef[Prix Menu],MATCH(tbl_Ventes[[#This Row],[Produit]],tbl_ProduitsRef[Produit],0)),
   ""
)</f>
        <v/>
      </c>
      <c r="G428" s="7">
        <f>tbl_Ventes[[#This Row],[Qté Vendue]] * IFERROR(_xlfn.XLOOKUP(tbl_Ventes[[#This Row],[Cde_Prdt]], tbl_Produits[Cde_Prdt], tbl_Produits[Prix Menu]), 0)</f>
        <v>0</v>
      </c>
      <c r="H428" s="7">
        <f>IFERROR(_xlfn.XLOOKUP(tbl_Ventes[[#This Row],[Cde_Prdt]], tbl_Produits[Cde_Prdt], tbl_Produits[Coût Moyen Portion]), 0)</f>
        <v>0</v>
      </c>
      <c r="I428" s="7">
        <f>tbl_Ventes[[#This Row],[Qté Vendue]] * tbl_Ventes[[#This Row],[CMP_par_portion]]</f>
        <v>0</v>
      </c>
      <c r="J428" s="7">
        <f>tbl_Ventes[[#This Row],[CA ligne]] - tbl_Ventes[[#This Row],[Coût matière ligne]]</f>
        <v>0</v>
      </c>
      <c r="K428" s="7" t="str">
        <f>IFERROR(INDEX(tbl_ProduitsRef[Famille], MATCH(tbl_Ventes[[#This Row],[Cde_Prdt]], tbl_Produits[Cde_Prdt], 0)), "")</f>
        <v/>
      </c>
    </row>
    <row r="429" spans="1:11" x14ac:dyDescent="0.25">
      <c r="A429" s="5"/>
      <c r="B429" s="63" t="str">
        <f>IFERROR(TEXT(tbl_Ventes[[#This Row],[Date]],"mm-aaaa"),"")</f>
        <v>01-1900</v>
      </c>
      <c r="D429" s="10" t="str">
        <f>IFERROR(
   INDEX(tbl_ProduitsRef[Cde_Prdt],MATCH(tbl_Ventes[[#This Row],[Produit]],tbl_ProduitsRef[Produit],0)),
   ""
)</f>
        <v/>
      </c>
      <c r="E429" s="7">
        <v>0</v>
      </c>
      <c r="F429" s="7" t="str">
        <f>IFERROR(
   INDEX(tbl_ProduitsRef[Prix Menu],MATCH(tbl_Ventes[[#This Row],[Produit]],tbl_ProduitsRef[Produit],0)),
   ""
)</f>
        <v/>
      </c>
      <c r="G429" s="7">
        <f>tbl_Ventes[[#This Row],[Qté Vendue]] * IFERROR(_xlfn.XLOOKUP(tbl_Ventes[[#This Row],[Cde_Prdt]], tbl_Produits[Cde_Prdt], tbl_Produits[Prix Menu]), 0)</f>
        <v>0</v>
      </c>
      <c r="H429" s="7">
        <f>IFERROR(_xlfn.XLOOKUP(tbl_Ventes[[#This Row],[Cde_Prdt]], tbl_Produits[Cde_Prdt], tbl_Produits[Coût Moyen Portion]), 0)</f>
        <v>0</v>
      </c>
      <c r="I429" s="7">
        <f>tbl_Ventes[[#This Row],[Qté Vendue]] * tbl_Ventes[[#This Row],[CMP_par_portion]]</f>
        <v>0</v>
      </c>
      <c r="J429" s="7">
        <f>tbl_Ventes[[#This Row],[CA ligne]] - tbl_Ventes[[#This Row],[Coût matière ligne]]</f>
        <v>0</v>
      </c>
      <c r="K429" s="7" t="str">
        <f>IFERROR(INDEX(tbl_ProduitsRef[Famille], MATCH(tbl_Ventes[[#This Row],[Cde_Prdt]], tbl_Produits[Cde_Prdt], 0)), "")</f>
        <v/>
      </c>
    </row>
    <row r="430" spans="1:11" x14ac:dyDescent="0.25">
      <c r="A430" s="5"/>
      <c r="B430" s="63" t="str">
        <f>IFERROR(TEXT(tbl_Ventes[[#This Row],[Date]],"mm-aaaa"),"")</f>
        <v>01-1900</v>
      </c>
      <c r="D430" s="10" t="str">
        <f>IFERROR(
   INDEX(tbl_ProduitsRef[Cde_Prdt],MATCH(tbl_Ventes[[#This Row],[Produit]],tbl_ProduitsRef[Produit],0)),
   ""
)</f>
        <v/>
      </c>
      <c r="E430" s="7">
        <v>0</v>
      </c>
      <c r="F430" s="7" t="str">
        <f>IFERROR(
   INDEX(tbl_ProduitsRef[Prix Menu],MATCH(tbl_Ventes[[#This Row],[Produit]],tbl_ProduitsRef[Produit],0)),
   ""
)</f>
        <v/>
      </c>
      <c r="G430" s="7">
        <f>tbl_Ventes[[#This Row],[Qté Vendue]] * IFERROR(_xlfn.XLOOKUP(tbl_Ventes[[#This Row],[Cde_Prdt]], tbl_Produits[Cde_Prdt], tbl_Produits[Prix Menu]), 0)</f>
        <v>0</v>
      </c>
      <c r="H430" s="7">
        <f>IFERROR(_xlfn.XLOOKUP(tbl_Ventes[[#This Row],[Cde_Prdt]], tbl_Produits[Cde_Prdt], tbl_Produits[Coût Moyen Portion]), 0)</f>
        <v>0</v>
      </c>
      <c r="I430" s="7">
        <f>tbl_Ventes[[#This Row],[Qté Vendue]] * tbl_Ventes[[#This Row],[CMP_par_portion]]</f>
        <v>0</v>
      </c>
      <c r="J430" s="7">
        <f>tbl_Ventes[[#This Row],[CA ligne]] - tbl_Ventes[[#This Row],[Coût matière ligne]]</f>
        <v>0</v>
      </c>
      <c r="K430" s="7" t="str">
        <f>IFERROR(INDEX(tbl_ProduitsRef[Famille], MATCH(tbl_Ventes[[#This Row],[Cde_Prdt]], tbl_Produits[Cde_Prdt], 0)), "")</f>
        <v/>
      </c>
    </row>
    <row r="431" spans="1:11" x14ac:dyDescent="0.25">
      <c r="A431" s="5"/>
      <c r="B431" s="63" t="str">
        <f>IFERROR(TEXT(tbl_Ventes[[#This Row],[Date]],"mm-aaaa"),"")</f>
        <v>01-1900</v>
      </c>
      <c r="D431" s="10" t="str">
        <f>IFERROR(
   INDEX(tbl_ProduitsRef[Cde_Prdt],MATCH(tbl_Ventes[[#This Row],[Produit]],tbl_ProduitsRef[Produit],0)),
   ""
)</f>
        <v/>
      </c>
      <c r="E431" s="7">
        <v>0</v>
      </c>
      <c r="F431" s="7" t="str">
        <f>IFERROR(
   INDEX(tbl_ProduitsRef[Prix Menu],MATCH(tbl_Ventes[[#This Row],[Produit]],tbl_ProduitsRef[Produit],0)),
   ""
)</f>
        <v/>
      </c>
      <c r="G431" s="7">
        <f>tbl_Ventes[[#This Row],[Qté Vendue]] * IFERROR(_xlfn.XLOOKUP(tbl_Ventes[[#This Row],[Cde_Prdt]], tbl_Produits[Cde_Prdt], tbl_Produits[Prix Menu]), 0)</f>
        <v>0</v>
      </c>
      <c r="H431" s="7">
        <f>IFERROR(_xlfn.XLOOKUP(tbl_Ventes[[#This Row],[Cde_Prdt]], tbl_Produits[Cde_Prdt], tbl_Produits[Coût Moyen Portion]), 0)</f>
        <v>0</v>
      </c>
      <c r="I431" s="7">
        <f>tbl_Ventes[[#This Row],[Qté Vendue]] * tbl_Ventes[[#This Row],[CMP_par_portion]]</f>
        <v>0</v>
      </c>
      <c r="J431" s="7">
        <f>tbl_Ventes[[#This Row],[CA ligne]] - tbl_Ventes[[#This Row],[Coût matière ligne]]</f>
        <v>0</v>
      </c>
      <c r="K431" s="7" t="str">
        <f>IFERROR(INDEX(tbl_ProduitsRef[Famille], MATCH(tbl_Ventes[[#This Row],[Cde_Prdt]], tbl_Produits[Cde_Prdt], 0)), "")</f>
        <v/>
      </c>
    </row>
    <row r="432" spans="1:11" x14ac:dyDescent="0.25">
      <c r="A432" s="5"/>
      <c r="B432" s="63" t="str">
        <f>IFERROR(TEXT(tbl_Ventes[[#This Row],[Date]],"mm-aaaa"),"")</f>
        <v>01-1900</v>
      </c>
      <c r="D432" s="10" t="str">
        <f>IFERROR(
   INDEX(tbl_ProduitsRef[Cde_Prdt],MATCH(tbl_Ventes[[#This Row],[Produit]],tbl_ProduitsRef[Produit],0)),
   ""
)</f>
        <v/>
      </c>
      <c r="E432" s="7">
        <v>0</v>
      </c>
      <c r="F432" s="7" t="str">
        <f>IFERROR(
   INDEX(tbl_ProduitsRef[Prix Menu],MATCH(tbl_Ventes[[#This Row],[Produit]],tbl_ProduitsRef[Produit],0)),
   ""
)</f>
        <v/>
      </c>
      <c r="G432" s="7">
        <f>tbl_Ventes[[#This Row],[Qté Vendue]] * IFERROR(_xlfn.XLOOKUP(tbl_Ventes[[#This Row],[Cde_Prdt]], tbl_Produits[Cde_Prdt], tbl_Produits[Prix Menu]), 0)</f>
        <v>0</v>
      </c>
      <c r="H432" s="7">
        <f>IFERROR(_xlfn.XLOOKUP(tbl_Ventes[[#This Row],[Cde_Prdt]], tbl_Produits[Cde_Prdt], tbl_Produits[Coût Moyen Portion]), 0)</f>
        <v>0</v>
      </c>
      <c r="I432" s="7">
        <f>tbl_Ventes[[#This Row],[Qté Vendue]] * tbl_Ventes[[#This Row],[CMP_par_portion]]</f>
        <v>0</v>
      </c>
      <c r="J432" s="7">
        <f>tbl_Ventes[[#This Row],[CA ligne]] - tbl_Ventes[[#This Row],[Coût matière ligne]]</f>
        <v>0</v>
      </c>
      <c r="K432" s="7" t="str">
        <f>IFERROR(INDEX(tbl_ProduitsRef[Famille], MATCH(tbl_Ventes[[#This Row],[Cde_Prdt]], tbl_Produits[Cde_Prdt], 0)), "")</f>
        <v/>
      </c>
    </row>
    <row r="433" spans="1:11" x14ac:dyDescent="0.25">
      <c r="A433" s="5"/>
      <c r="B433" s="63" t="str">
        <f>IFERROR(TEXT(tbl_Ventes[[#This Row],[Date]],"mm-aaaa"),"")</f>
        <v>01-1900</v>
      </c>
      <c r="D433" s="10" t="str">
        <f>IFERROR(
   INDEX(tbl_ProduitsRef[Cde_Prdt],MATCH(tbl_Ventes[[#This Row],[Produit]],tbl_ProduitsRef[Produit],0)),
   ""
)</f>
        <v/>
      </c>
      <c r="E433" s="7">
        <v>0</v>
      </c>
      <c r="F433" s="7" t="str">
        <f>IFERROR(
   INDEX(tbl_ProduitsRef[Prix Menu],MATCH(tbl_Ventes[[#This Row],[Produit]],tbl_ProduitsRef[Produit],0)),
   ""
)</f>
        <v/>
      </c>
      <c r="G433" s="7">
        <f>tbl_Ventes[[#This Row],[Qté Vendue]] * IFERROR(_xlfn.XLOOKUP(tbl_Ventes[[#This Row],[Cde_Prdt]], tbl_Produits[Cde_Prdt], tbl_Produits[Prix Menu]), 0)</f>
        <v>0</v>
      </c>
      <c r="H433" s="7">
        <f>IFERROR(_xlfn.XLOOKUP(tbl_Ventes[[#This Row],[Cde_Prdt]], tbl_Produits[Cde_Prdt], tbl_Produits[Coût Moyen Portion]), 0)</f>
        <v>0</v>
      </c>
      <c r="I433" s="7">
        <f>tbl_Ventes[[#This Row],[Qté Vendue]] * tbl_Ventes[[#This Row],[CMP_par_portion]]</f>
        <v>0</v>
      </c>
      <c r="J433" s="7">
        <f>tbl_Ventes[[#This Row],[CA ligne]] - tbl_Ventes[[#This Row],[Coût matière ligne]]</f>
        <v>0</v>
      </c>
      <c r="K433" s="7" t="str">
        <f>IFERROR(INDEX(tbl_ProduitsRef[Famille], MATCH(tbl_Ventes[[#This Row],[Cde_Prdt]], tbl_Produits[Cde_Prdt], 0)), "")</f>
        <v/>
      </c>
    </row>
    <row r="434" spans="1:11" x14ac:dyDescent="0.25">
      <c r="A434" s="5"/>
      <c r="B434" s="63" t="str">
        <f>IFERROR(TEXT(tbl_Ventes[[#This Row],[Date]],"mm-aaaa"),"")</f>
        <v>01-1900</v>
      </c>
      <c r="D434" s="10" t="str">
        <f>IFERROR(
   INDEX(tbl_ProduitsRef[Cde_Prdt],MATCH(tbl_Ventes[[#This Row],[Produit]],tbl_ProduitsRef[Produit],0)),
   ""
)</f>
        <v/>
      </c>
      <c r="E434" s="7">
        <v>0</v>
      </c>
      <c r="F434" s="7" t="str">
        <f>IFERROR(
   INDEX(tbl_ProduitsRef[Prix Menu],MATCH(tbl_Ventes[[#This Row],[Produit]],tbl_ProduitsRef[Produit],0)),
   ""
)</f>
        <v/>
      </c>
      <c r="G434" s="7">
        <f>tbl_Ventes[[#This Row],[Qté Vendue]] * IFERROR(_xlfn.XLOOKUP(tbl_Ventes[[#This Row],[Cde_Prdt]], tbl_Produits[Cde_Prdt], tbl_Produits[Prix Menu]), 0)</f>
        <v>0</v>
      </c>
      <c r="H434" s="7">
        <f>IFERROR(_xlfn.XLOOKUP(tbl_Ventes[[#This Row],[Cde_Prdt]], tbl_Produits[Cde_Prdt], tbl_Produits[Coût Moyen Portion]), 0)</f>
        <v>0</v>
      </c>
      <c r="I434" s="7">
        <f>tbl_Ventes[[#This Row],[Qté Vendue]] * tbl_Ventes[[#This Row],[CMP_par_portion]]</f>
        <v>0</v>
      </c>
      <c r="J434" s="7">
        <f>tbl_Ventes[[#This Row],[CA ligne]] - tbl_Ventes[[#This Row],[Coût matière ligne]]</f>
        <v>0</v>
      </c>
      <c r="K434" s="7" t="str">
        <f>IFERROR(INDEX(tbl_ProduitsRef[Famille], MATCH(tbl_Ventes[[#This Row],[Cde_Prdt]], tbl_Produits[Cde_Prdt], 0)), "")</f>
        <v/>
      </c>
    </row>
    <row r="435" spans="1:11" x14ac:dyDescent="0.25">
      <c r="A435" s="5"/>
      <c r="B435" s="63" t="str">
        <f>IFERROR(TEXT(tbl_Ventes[[#This Row],[Date]],"mm-aaaa"),"")</f>
        <v>01-1900</v>
      </c>
      <c r="D435" s="10" t="str">
        <f>IFERROR(
   INDEX(tbl_ProduitsRef[Cde_Prdt],MATCH(tbl_Ventes[[#This Row],[Produit]],tbl_ProduitsRef[Produit],0)),
   ""
)</f>
        <v/>
      </c>
      <c r="E435" s="7">
        <v>0</v>
      </c>
      <c r="F435" s="7" t="str">
        <f>IFERROR(
   INDEX(tbl_ProduitsRef[Prix Menu],MATCH(tbl_Ventes[[#This Row],[Produit]],tbl_ProduitsRef[Produit],0)),
   ""
)</f>
        <v/>
      </c>
      <c r="G435" s="7">
        <f>tbl_Ventes[[#This Row],[Qté Vendue]] * IFERROR(_xlfn.XLOOKUP(tbl_Ventes[[#This Row],[Cde_Prdt]], tbl_Produits[Cde_Prdt], tbl_Produits[Prix Menu]), 0)</f>
        <v>0</v>
      </c>
      <c r="H435" s="7">
        <f>IFERROR(_xlfn.XLOOKUP(tbl_Ventes[[#This Row],[Cde_Prdt]], tbl_Produits[Cde_Prdt], tbl_Produits[Coût Moyen Portion]), 0)</f>
        <v>0</v>
      </c>
      <c r="I435" s="7">
        <f>tbl_Ventes[[#This Row],[Qté Vendue]] * tbl_Ventes[[#This Row],[CMP_par_portion]]</f>
        <v>0</v>
      </c>
      <c r="J435" s="7">
        <f>tbl_Ventes[[#This Row],[CA ligne]] - tbl_Ventes[[#This Row],[Coût matière ligne]]</f>
        <v>0</v>
      </c>
      <c r="K435" s="7" t="str">
        <f>IFERROR(INDEX(tbl_ProduitsRef[Famille], MATCH(tbl_Ventes[[#This Row],[Cde_Prdt]], tbl_Produits[Cde_Prdt], 0)), "")</f>
        <v/>
      </c>
    </row>
    <row r="436" spans="1:11" x14ac:dyDescent="0.25">
      <c r="A436" s="5"/>
      <c r="B436" s="63" t="str">
        <f>IFERROR(TEXT(tbl_Ventes[[#This Row],[Date]],"mm-aaaa"),"")</f>
        <v>01-1900</v>
      </c>
      <c r="D436" s="10" t="str">
        <f>IFERROR(
   INDEX(tbl_ProduitsRef[Cde_Prdt],MATCH(tbl_Ventes[[#This Row],[Produit]],tbl_ProduitsRef[Produit],0)),
   ""
)</f>
        <v/>
      </c>
      <c r="E436" s="7">
        <v>0</v>
      </c>
      <c r="F436" s="7" t="str">
        <f>IFERROR(
   INDEX(tbl_ProduitsRef[Prix Menu],MATCH(tbl_Ventes[[#This Row],[Produit]],tbl_ProduitsRef[Produit],0)),
   ""
)</f>
        <v/>
      </c>
      <c r="G436" s="7">
        <f>tbl_Ventes[[#This Row],[Qté Vendue]] * IFERROR(_xlfn.XLOOKUP(tbl_Ventes[[#This Row],[Cde_Prdt]], tbl_Produits[Cde_Prdt], tbl_Produits[Prix Menu]), 0)</f>
        <v>0</v>
      </c>
      <c r="H436" s="7">
        <f>IFERROR(_xlfn.XLOOKUP(tbl_Ventes[[#This Row],[Cde_Prdt]], tbl_Produits[Cde_Prdt], tbl_Produits[Coût Moyen Portion]), 0)</f>
        <v>0</v>
      </c>
      <c r="I436" s="7">
        <f>tbl_Ventes[[#This Row],[Qté Vendue]] * tbl_Ventes[[#This Row],[CMP_par_portion]]</f>
        <v>0</v>
      </c>
      <c r="J436" s="7">
        <f>tbl_Ventes[[#This Row],[CA ligne]] - tbl_Ventes[[#This Row],[Coût matière ligne]]</f>
        <v>0</v>
      </c>
      <c r="K436" s="7" t="str">
        <f>IFERROR(INDEX(tbl_ProduitsRef[Famille], MATCH(tbl_Ventes[[#This Row],[Cde_Prdt]], tbl_Produits[Cde_Prdt], 0)), "")</f>
        <v/>
      </c>
    </row>
    <row r="437" spans="1:11" x14ac:dyDescent="0.25">
      <c r="A437" s="5"/>
      <c r="B437" s="63" t="str">
        <f>IFERROR(TEXT(tbl_Ventes[[#This Row],[Date]],"mm-aaaa"),"")</f>
        <v>01-1900</v>
      </c>
      <c r="D437" s="10" t="str">
        <f>IFERROR(
   INDEX(tbl_ProduitsRef[Cde_Prdt],MATCH(tbl_Ventes[[#This Row],[Produit]],tbl_ProduitsRef[Produit],0)),
   ""
)</f>
        <v/>
      </c>
      <c r="E437" s="7">
        <v>0</v>
      </c>
      <c r="F437" s="7" t="str">
        <f>IFERROR(
   INDEX(tbl_ProduitsRef[Prix Menu],MATCH(tbl_Ventes[[#This Row],[Produit]],tbl_ProduitsRef[Produit],0)),
   ""
)</f>
        <v/>
      </c>
      <c r="G437" s="7">
        <f>tbl_Ventes[[#This Row],[Qté Vendue]] * IFERROR(_xlfn.XLOOKUP(tbl_Ventes[[#This Row],[Cde_Prdt]], tbl_Produits[Cde_Prdt], tbl_Produits[Prix Menu]), 0)</f>
        <v>0</v>
      </c>
      <c r="H437" s="7">
        <f>IFERROR(_xlfn.XLOOKUP(tbl_Ventes[[#This Row],[Cde_Prdt]], tbl_Produits[Cde_Prdt], tbl_Produits[Coût Moyen Portion]), 0)</f>
        <v>0</v>
      </c>
      <c r="I437" s="7">
        <f>tbl_Ventes[[#This Row],[Qté Vendue]] * tbl_Ventes[[#This Row],[CMP_par_portion]]</f>
        <v>0</v>
      </c>
      <c r="J437" s="7">
        <f>tbl_Ventes[[#This Row],[CA ligne]] - tbl_Ventes[[#This Row],[Coût matière ligne]]</f>
        <v>0</v>
      </c>
      <c r="K437" s="7" t="str">
        <f>IFERROR(INDEX(tbl_ProduitsRef[Famille], MATCH(tbl_Ventes[[#This Row],[Cde_Prdt]], tbl_Produits[Cde_Prdt], 0)), "")</f>
        <v/>
      </c>
    </row>
    <row r="438" spans="1:11" x14ac:dyDescent="0.25">
      <c r="A438" s="5"/>
      <c r="B438" s="63" t="str">
        <f>IFERROR(TEXT(tbl_Ventes[[#This Row],[Date]],"mm-aaaa"),"")</f>
        <v>01-1900</v>
      </c>
      <c r="D438" s="10" t="str">
        <f>IFERROR(
   INDEX(tbl_ProduitsRef[Cde_Prdt],MATCH(tbl_Ventes[[#This Row],[Produit]],tbl_ProduitsRef[Produit],0)),
   ""
)</f>
        <v/>
      </c>
      <c r="E438" s="7">
        <v>0</v>
      </c>
      <c r="F438" s="7" t="str">
        <f>IFERROR(
   INDEX(tbl_ProduitsRef[Prix Menu],MATCH(tbl_Ventes[[#This Row],[Produit]],tbl_ProduitsRef[Produit],0)),
   ""
)</f>
        <v/>
      </c>
      <c r="G438" s="7">
        <f>tbl_Ventes[[#This Row],[Qté Vendue]] * IFERROR(_xlfn.XLOOKUP(tbl_Ventes[[#This Row],[Cde_Prdt]], tbl_Produits[Cde_Prdt], tbl_Produits[Prix Menu]), 0)</f>
        <v>0</v>
      </c>
      <c r="H438" s="7">
        <f>IFERROR(_xlfn.XLOOKUP(tbl_Ventes[[#This Row],[Cde_Prdt]], tbl_Produits[Cde_Prdt], tbl_Produits[Coût Moyen Portion]), 0)</f>
        <v>0</v>
      </c>
      <c r="I438" s="7">
        <f>tbl_Ventes[[#This Row],[Qté Vendue]] * tbl_Ventes[[#This Row],[CMP_par_portion]]</f>
        <v>0</v>
      </c>
      <c r="J438" s="7">
        <f>tbl_Ventes[[#This Row],[CA ligne]] - tbl_Ventes[[#This Row],[Coût matière ligne]]</f>
        <v>0</v>
      </c>
      <c r="K438" s="7" t="str">
        <f>IFERROR(INDEX(tbl_ProduitsRef[Famille], MATCH(tbl_Ventes[[#This Row],[Cde_Prdt]], tbl_Produits[Cde_Prdt], 0)), "")</f>
        <v/>
      </c>
    </row>
    <row r="439" spans="1:11" x14ac:dyDescent="0.25">
      <c r="A439" s="5"/>
      <c r="B439" s="63" t="str">
        <f>IFERROR(TEXT(tbl_Ventes[[#This Row],[Date]],"mm-aaaa"),"")</f>
        <v>01-1900</v>
      </c>
      <c r="D439" s="10" t="str">
        <f>IFERROR(
   INDEX(tbl_ProduitsRef[Cde_Prdt],MATCH(tbl_Ventes[[#This Row],[Produit]],tbl_ProduitsRef[Produit],0)),
   ""
)</f>
        <v/>
      </c>
      <c r="E439" s="7">
        <v>0</v>
      </c>
      <c r="F439" s="7" t="str">
        <f>IFERROR(
   INDEX(tbl_ProduitsRef[Prix Menu],MATCH(tbl_Ventes[[#This Row],[Produit]],tbl_ProduitsRef[Produit],0)),
   ""
)</f>
        <v/>
      </c>
      <c r="G439" s="7">
        <f>tbl_Ventes[[#This Row],[Qté Vendue]] * IFERROR(_xlfn.XLOOKUP(tbl_Ventes[[#This Row],[Cde_Prdt]], tbl_Produits[Cde_Prdt], tbl_Produits[Prix Menu]), 0)</f>
        <v>0</v>
      </c>
      <c r="H439" s="7">
        <f>IFERROR(_xlfn.XLOOKUP(tbl_Ventes[[#This Row],[Cde_Prdt]], tbl_Produits[Cde_Prdt], tbl_Produits[Coût Moyen Portion]), 0)</f>
        <v>0</v>
      </c>
      <c r="I439" s="7">
        <f>tbl_Ventes[[#This Row],[Qté Vendue]] * tbl_Ventes[[#This Row],[CMP_par_portion]]</f>
        <v>0</v>
      </c>
      <c r="J439" s="7">
        <f>tbl_Ventes[[#This Row],[CA ligne]] - tbl_Ventes[[#This Row],[Coût matière ligne]]</f>
        <v>0</v>
      </c>
      <c r="K439" s="7" t="str">
        <f>IFERROR(INDEX(tbl_ProduitsRef[Famille], MATCH(tbl_Ventes[[#This Row],[Cde_Prdt]], tbl_Produits[Cde_Prdt], 0)), "")</f>
        <v/>
      </c>
    </row>
    <row r="440" spans="1:11" x14ac:dyDescent="0.25">
      <c r="A440" s="5"/>
      <c r="B440" s="63" t="str">
        <f>IFERROR(TEXT(tbl_Ventes[[#This Row],[Date]],"mm-aaaa"),"")</f>
        <v>01-1900</v>
      </c>
      <c r="D440" s="10" t="str">
        <f>IFERROR(
   INDEX(tbl_ProduitsRef[Cde_Prdt],MATCH(tbl_Ventes[[#This Row],[Produit]],tbl_ProduitsRef[Produit],0)),
   ""
)</f>
        <v/>
      </c>
      <c r="E440" s="7">
        <v>0</v>
      </c>
      <c r="F440" s="7" t="str">
        <f>IFERROR(
   INDEX(tbl_ProduitsRef[Prix Menu],MATCH(tbl_Ventes[[#This Row],[Produit]],tbl_ProduitsRef[Produit],0)),
   ""
)</f>
        <v/>
      </c>
      <c r="G440" s="7">
        <f>tbl_Ventes[[#This Row],[Qté Vendue]] * IFERROR(_xlfn.XLOOKUP(tbl_Ventes[[#This Row],[Cde_Prdt]], tbl_Produits[Cde_Prdt], tbl_Produits[Prix Menu]), 0)</f>
        <v>0</v>
      </c>
      <c r="H440" s="7">
        <f>IFERROR(_xlfn.XLOOKUP(tbl_Ventes[[#This Row],[Cde_Prdt]], tbl_Produits[Cde_Prdt], tbl_Produits[Coût Moyen Portion]), 0)</f>
        <v>0</v>
      </c>
      <c r="I440" s="7">
        <f>tbl_Ventes[[#This Row],[Qté Vendue]] * tbl_Ventes[[#This Row],[CMP_par_portion]]</f>
        <v>0</v>
      </c>
      <c r="J440" s="7">
        <f>tbl_Ventes[[#This Row],[CA ligne]] - tbl_Ventes[[#This Row],[Coût matière ligne]]</f>
        <v>0</v>
      </c>
      <c r="K440" s="7" t="str">
        <f>IFERROR(INDEX(tbl_ProduitsRef[Famille], MATCH(tbl_Ventes[[#This Row],[Cde_Prdt]], tbl_Produits[Cde_Prdt], 0)), "")</f>
        <v/>
      </c>
    </row>
    <row r="441" spans="1:11" x14ac:dyDescent="0.25">
      <c r="A441" s="5"/>
      <c r="B441" s="63" t="str">
        <f>IFERROR(TEXT(tbl_Ventes[[#This Row],[Date]],"mm-aaaa"),"")</f>
        <v>01-1900</v>
      </c>
      <c r="D441" s="10" t="str">
        <f>IFERROR(
   INDEX(tbl_ProduitsRef[Cde_Prdt],MATCH(tbl_Ventes[[#This Row],[Produit]],tbl_ProduitsRef[Produit],0)),
   ""
)</f>
        <v/>
      </c>
      <c r="E441" s="7">
        <v>0</v>
      </c>
      <c r="F441" s="7" t="str">
        <f>IFERROR(
   INDEX(tbl_ProduitsRef[Prix Menu],MATCH(tbl_Ventes[[#This Row],[Produit]],tbl_ProduitsRef[Produit],0)),
   ""
)</f>
        <v/>
      </c>
      <c r="G441" s="7">
        <f>tbl_Ventes[[#This Row],[Qté Vendue]] * IFERROR(_xlfn.XLOOKUP(tbl_Ventes[[#This Row],[Cde_Prdt]], tbl_Produits[Cde_Prdt], tbl_Produits[Prix Menu]), 0)</f>
        <v>0</v>
      </c>
      <c r="H441" s="7">
        <f>IFERROR(_xlfn.XLOOKUP(tbl_Ventes[[#This Row],[Cde_Prdt]], tbl_Produits[Cde_Prdt], tbl_Produits[Coût Moyen Portion]), 0)</f>
        <v>0</v>
      </c>
      <c r="I441" s="7">
        <f>tbl_Ventes[[#This Row],[Qté Vendue]] * tbl_Ventes[[#This Row],[CMP_par_portion]]</f>
        <v>0</v>
      </c>
      <c r="J441" s="7">
        <f>tbl_Ventes[[#This Row],[CA ligne]] - tbl_Ventes[[#This Row],[Coût matière ligne]]</f>
        <v>0</v>
      </c>
      <c r="K441" s="7" t="str">
        <f>IFERROR(INDEX(tbl_ProduitsRef[Famille], MATCH(tbl_Ventes[[#This Row],[Cde_Prdt]], tbl_Produits[Cde_Prdt], 0)), "")</f>
        <v/>
      </c>
    </row>
    <row r="442" spans="1:11" x14ac:dyDescent="0.25">
      <c r="A442" s="5"/>
      <c r="B442" s="63" t="str">
        <f>IFERROR(TEXT(tbl_Ventes[[#This Row],[Date]],"mm-aaaa"),"")</f>
        <v>01-1900</v>
      </c>
      <c r="D442" s="10" t="str">
        <f>IFERROR(
   INDEX(tbl_ProduitsRef[Cde_Prdt],MATCH(tbl_Ventes[[#This Row],[Produit]],tbl_ProduitsRef[Produit],0)),
   ""
)</f>
        <v/>
      </c>
      <c r="E442" s="7">
        <v>0</v>
      </c>
      <c r="F442" s="7" t="str">
        <f>IFERROR(
   INDEX(tbl_ProduitsRef[Prix Menu],MATCH(tbl_Ventes[[#This Row],[Produit]],tbl_ProduitsRef[Produit],0)),
   ""
)</f>
        <v/>
      </c>
      <c r="G442" s="7">
        <f>tbl_Ventes[[#This Row],[Qté Vendue]] * IFERROR(_xlfn.XLOOKUP(tbl_Ventes[[#This Row],[Cde_Prdt]], tbl_Produits[Cde_Prdt], tbl_Produits[Prix Menu]), 0)</f>
        <v>0</v>
      </c>
      <c r="H442" s="7">
        <f>IFERROR(_xlfn.XLOOKUP(tbl_Ventes[[#This Row],[Cde_Prdt]], tbl_Produits[Cde_Prdt], tbl_Produits[Coût Moyen Portion]), 0)</f>
        <v>0</v>
      </c>
      <c r="I442" s="7">
        <f>tbl_Ventes[[#This Row],[Qté Vendue]] * tbl_Ventes[[#This Row],[CMP_par_portion]]</f>
        <v>0</v>
      </c>
      <c r="J442" s="7">
        <f>tbl_Ventes[[#This Row],[CA ligne]] - tbl_Ventes[[#This Row],[Coût matière ligne]]</f>
        <v>0</v>
      </c>
      <c r="K442" s="7" t="str">
        <f>IFERROR(INDEX(tbl_ProduitsRef[Famille], MATCH(tbl_Ventes[[#This Row],[Cde_Prdt]], tbl_Produits[Cde_Prdt], 0)), "")</f>
        <v/>
      </c>
    </row>
    <row r="443" spans="1:11" x14ac:dyDescent="0.25">
      <c r="A443" s="5"/>
      <c r="B443" s="63" t="str">
        <f>IFERROR(TEXT(tbl_Ventes[[#This Row],[Date]],"mm-aaaa"),"")</f>
        <v>01-1900</v>
      </c>
      <c r="D443" s="10" t="str">
        <f>IFERROR(
   INDEX(tbl_ProduitsRef[Cde_Prdt],MATCH(tbl_Ventes[[#This Row],[Produit]],tbl_ProduitsRef[Produit],0)),
   ""
)</f>
        <v/>
      </c>
      <c r="E443" s="7">
        <v>0</v>
      </c>
      <c r="F443" s="7" t="str">
        <f>IFERROR(
   INDEX(tbl_ProduitsRef[Prix Menu],MATCH(tbl_Ventes[[#This Row],[Produit]],tbl_ProduitsRef[Produit],0)),
   ""
)</f>
        <v/>
      </c>
      <c r="G443" s="7">
        <f>tbl_Ventes[[#This Row],[Qté Vendue]] * IFERROR(_xlfn.XLOOKUP(tbl_Ventes[[#This Row],[Cde_Prdt]], tbl_Produits[Cde_Prdt], tbl_Produits[Prix Menu]), 0)</f>
        <v>0</v>
      </c>
      <c r="H443" s="7">
        <f>IFERROR(_xlfn.XLOOKUP(tbl_Ventes[[#This Row],[Cde_Prdt]], tbl_Produits[Cde_Prdt], tbl_Produits[Coût Moyen Portion]), 0)</f>
        <v>0</v>
      </c>
      <c r="I443" s="7">
        <f>tbl_Ventes[[#This Row],[Qté Vendue]] * tbl_Ventes[[#This Row],[CMP_par_portion]]</f>
        <v>0</v>
      </c>
      <c r="J443" s="7">
        <f>tbl_Ventes[[#This Row],[CA ligne]] - tbl_Ventes[[#This Row],[Coût matière ligne]]</f>
        <v>0</v>
      </c>
      <c r="K443" s="7" t="str">
        <f>IFERROR(INDEX(tbl_ProduitsRef[Famille], MATCH(tbl_Ventes[[#This Row],[Cde_Prdt]], tbl_Produits[Cde_Prdt], 0)), "")</f>
        <v/>
      </c>
    </row>
    <row r="444" spans="1:11" x14ac:dyDescent="0.25">
      <c r="A444" s="5"/>
      <c r="B444" s="63" t="str">
        <f>IFERROR(TEXT(tbl_Ventes[[#This Row],[Date]],"mm-aaaa"),"")</f>
        <v>01-1900</v>
      </c>
      <c r="D444" s="10" t="str">
        <f>IFERROR(
   INDEX(tbl_ProduitsRef[Cde_Prdt],MATCH(tbl_Ventes[[#This Row],[Produit]],tbl_ProduitsRef[Produit],0)),
   ""
)</f>
        <v/>
      </c>
      <c r="E444" s="7">
        <v>0</v>
      </c>
      <c r="F444" s="7" t="str">
        <f>IFERROR(
   INDEX(tbl_ProduitsRef[Prix Menu],MATCH(tbl_Ventes[[#This Row],[Produit]],tbl_ProduitsRef[Produit],0)),
   ""
)</f>
        <v/>
      </c>
      <c r="G444" s="7">
        <f>tbl_Ventes[[#This Row],[Qté Vendue]] * IFERROR(_xlfn.XLOOKUP(tbl_Ventes[[#This Row],[Cde_Prdt]], tbl_Produits[Cde_Prdt], tbl_Produits[Prix Menu]), 0)</f>
        <v>0</v>
      </c>
      <c r="H444" s="7">
        <f>IFERROR(_xlfn.XLOOKUP(tbl_Ventes[[#This Row],[Cde_Prdt]], tbl_Produits[Cde_Prdt], tbl_Produits[Coût Moyen Portion]), 0)</f>
        <v>0</v>
      </c>
      <c r="I444" s="7">
        <f>tbl_Ventes[[#This Row],[Qté Vendue]] * tbl_Ventes[[#This Row],[CMP_par_portion]]</f>
        <v>0</v>
      </c>
      <c r="J444" s="7">
        <f>tbl_Ventes[[#This Row],[CA ligne]] - tbl_Ventes[[#This Row],[Coût matière ligne]]</f>
        <v>0</v>
      </c>
      <c r="K444" s="7" t="str">
        <f>IFERROR(INDEX(tbl_ProduitsRef[Famille], MATCH(tbl_Ventes[[#This Row],[Cde_Prdt]], tbl_Produits[Cde_Prdt], 0)), "")</f>
        <v/>
      </c>
    </row>
    <row r="445" spans="1:11" x14ac:dyDescent="0.25">
      <c r="A445" s="5"/>
      <c r="B445" s="63" t="str">
        <f>IFERROR(TEXT(tbl_Ventes[[#This Row],[Date]],"mm-aaaa"),"")</f>
        <v>01-1900</v>
      </c>
      <c r="D445" s="10" t="str">
        <f>IFERROR(
   INDEX(tbl_ProduitsRef[Cde_Prdt],MATCH(tbl_Ventes[[#This Row],[Produit]],tbl_ProduitsRef[Produit],0)),
   ""
)</f>
        <v/>
      </c>
      <c r="E445" s="7">
        <v>0</v>
      </c>
      <c r="F445" s="7" t="str">
        <f>IFERROR(
   INDEX(tbl_ProduitsRef[Prix Menu],MATCH(tbl_Ventes[[#This Row],[Produit]],tbl_ProduitsRef[Produit],0)),
   ""
)</f>
        <v/>
      </c>
      <c r="G445" s="7">
        <f>tbl_Ventes[[#This Row],[Qté Vendue]] * IFERROR(_xlfn.XLOOKUP(tbl_Ventes[[#This Row],[Cde_Prdt]], tbl_Produits[Cde_Prdt], tbl_Produits[Prix Menu]), 0)</f>
        <v>0</v>
      </c>
      <c r="H445" s="7">
        <f>IFERROR(_xlfn.XLOOKUP(tbl_Ventes[[#This Row],[Cde_Prdt]], tbl_Produits[Cde_Prdt], tbl_Produits[Coût Moyen Portion]), 0)</f>
        <v>0</v>
      </c>
      <c r="I445" s="7">
        <f>tbl_Ventes[[#This Row],[Qté Vendue]] * tbl_Ventes[[#This Row],[CMP_par_portion]]</f>
        <v>0</v>
      </c>
      <c r="J445" s="7">
        <f>tbl_Ventes[[#This Row],[CA ligne]] - tbl_Ventes[[#This Row],[Coût matière ligne]]</f>
        <v>0</v>
      </c>
      <c r="K445" s="7" t="str">
        <f>IFERROR(INDEX(tbl_ProduitsRef[Famille], MATCH(tbl_Ventes[[#This Row],[Cde_Prdt]], tbl_Produits[Cde_Prdt], 0)), "")</f>
        <v/>
      </c>
    </row>
    <row r="446" spans="1:11" x14ac:dyDescent="0.25">
      <c r="A446" s="5"/>
      <c r="B446" s="63" t="str">
        <f>IFERROR(TEXT(tbl_Ventes[[#This Row],[Date]],"mm-aaaa"),"")</f>
        <v>01-1900</v>
      </c>
      <c r="D446" s="10" t="str">
        <f>IFERROR(
   INDEX(tbl_ProduitsRef[Cde_Prdt],MATCH(tbl_Ventes[[#This Row],[Produit]],tbl_ProduitsRef[Produit],0)),
   ""
)</f>
        <v/>
      </c>
      <c r="E446" s="7">
        <v>0</v>
      </c>
      <c r="F446" s="7" t="str">
        <f>IFERROR(
   INDEX(tbl_ProduitsRef[Prix Menu],MATCH(tbl_Ventes[[#This Row],[Produit]],tbl_ProduitsRef[Produit],0)),
   ""
)</f>
        <v/>
      </c>
      <c r="G446" s="7">
        <f>tbl_Ventes[[#This Row],[Qté Vendue]] * IFERROR(_xlfn.XLOOKUP(tbl_Ventes[[#This Row],[Cde_Prdt]], tbl_Produits[Cde_Prdt], tbl_Produits[Prix Menu]), 0)</f>
        <v>0</v>
      </c>
      <c r="H446" s="7">
        <f>IFERROR(_xlfn.XLOOKUP(tbl_Ventes[[#This Row],[Cde_Prdt]], tbl_Produits[Cde_Prdt], tbl_Produits[Coût Moyen Portion]), 0)</f>
        <v>0</v>
      </c>
      <c r="I446" s="7">
        <f>tbl_Ventes[[#This Row],[Qté Vendue]] * tbl_Ventes[[#This Row],[CMP_par_portion]]</f>
        <v>0</v>
      </c>
      <c r="J446" s="7">
        <f>tbl_Ventes[[#This Row],[CA ligne]] - tbl_Ventes[[#This Row],[Coût matière ligne]]</f>
        <v>0</v>
      </c>
      <c r="K446" s="7" t="str">
        <f>IFERROR(INDEX(tbl_ProduitsRef[Famille], MATCH(tbl_Ventes[[#This Row],[Cde_Prdt]], tbl_Produits[Cde_Prdt], 0)), "")</f>
        <v/>
      </c>
    </row>
    <row r="447" spans="1:11" x14ac:dyDescent="0.25">
      <c r="A447" s="5"/>
      <c r="B447" s="63" t="str">
        <f>IFERROR(TEXT(tbl_Ventes[[#This Row],[Date]],"mm-aaaa"),"")</f>
        <v>01-1900</v>
      </c>
      <c r="D447" s="10" t="str">
        <f>IFERROR(
   INDEX(tbl_ProduitsRef[Cde_Prdt],MATCH(tbl_Ventes[[#This Row],[Produit]],tbl_ProduitsRef[Produit],0)),
   ""
)</f>
        <v/>
      </c>
      <c r="E447" s="7">
        <v>0</v>
      </c>
      <c r="F447" s="7" t="str">
        <f>IFERROR(
   INDEX(tbl_ProduitsRef[Prix Menu],MATCH(tbl_Ventes[[#This Row],[Produit]],tbl_ProduitsRef[Produit],0)),
   ""
)</f>
        <v/>
      </c>
      <c r="G447" s="7">
        <f>tbl_Ventes[[#This Row],[Qté Vendue]] * IFERROR(_xlfn.XLOOKUP(tbl_Ventes[[#This Row],[Cde_Prdt]], tbl_Produits[Cde_Prdt], tbl_Produits[Prix Menu]), 0)</f>
        <v>0</v>
      </c>
      <c r="H447" s="7">
        <f>IFERROR(_xlfn.XLOOKUP(tbl_Ventes[[#This Row],[Cde_Prdt]], tbl_Produits[Cde_Prdt], tbl_Produits[Coût Moyen Portion]), 0)</f>
        <v>0</v>
      </c>
      <c r="I447" s="7">
        <f>tbl_Ventes[[#This Row],[Qté Vendue]] * tbl_Ventes[[#This Row],[CMP_par_portion]]</f>
        <v>0</v>
      </c>
      <c r="J447" s="7">
        <f>tbl_Ventes[[#This Row],[CA ligne]] - tbl_Ventes[[#This Row],[Coût matière ligne]]</f>
        <v>0</v>
      </c>
      <c r="K447" s="7" t="str">
        <f>IFERROR(INDEX(tbl_ProduitsRef[Famille], MATCH(tbl_Ventes[[#This Row],[Cde_Prdt]], tbl_Produits[Cde_Prdt], 0)), "")</f>
        <v/>
      </c>
    </row>
    <row r="448" spans="1:11" x14ac:dyDescent="0.25">
      <c r="A448" s="5"/>
      <c r="B448" s="63" t="str">
        <f>IFERROR(TEXT(tbl_Ventes[[#This Row],[Date]],"mm-aaaa"),"")</f>
        <v>01-1900</v>
      </c>
      <c r="D448" s="10" t="str">
        <f>IFERROR(
   INDEX(tbl_ProduitsRef[Cde_Prdt],MATCH(tbl_Ventes[[#This Row],[Produit]],tbl_ProduitsRef[Produit],0)),
   ""
)</f>
        <v/>
      </c>
      <c r="E448" s="7">
        <v>0</v>
      </c>
      <c r="F448" s="7" t="str">
        <f>IFERROR(
   INDEX(tbl_ProduitsRef[Prix Menu],MATCH(tbl_Ventes[[#This Row],[Produit]],tbl_ProduitsRef[Produit],0)),
   ""
)</f>
        <v/>
      </c>
      <c r="G448" s="7">
        <f>tbl_Ventes[[#This Row],[Qté Vendue]] * IFERROR(_xlfn.XLOOKUP(tbl_Ventes[[#This Row],[Cde_Prdt]], tbl_Produits[Cde_Prdt], tbl_Produits[Prix Menu]), 0)</f>
        <v>0</v>
      </c>
      <c r="H448" s="7">
        <f>IFERROR(_xlfn.XLOOKUP(tbl_Ventes[[#This Row],[Cde_Prdt]], tbl_Produits[Cde_Prdt], tbl_Produits[Coût Moyen Portion]), 0)</f>
        <v>0</v>
      </c>
      <c r="I448" s="7">
        <f>tbl_Ventes[[#This Row],[Qté Vendue]] * tbl_Ventes[[#This Row],[CMP_par_portion]]</f>
        <v>0</v>
      </c>
      <c r="J448" s="7">
        <f>tbl_Ventes[[#This Row],[CA ligne]] - tbl_Ventes[[#This Row],[Coût matière ligne]]</f>
        <v>0</v>
      </c>
      <c r="K448" s="7" t="str">
        <f>IFERROR(INDEX(tbl_ProduitsRef[Famille], MATCH(tbl_Ventes[[#This Row],[Cde_Prdt]], tbl_Produits[Cde_Prdt], 0)), "")</f>
        <v/>
      </c>
    </row>
    <row r="449" spans="1:11" x14ac:dyDescent="0.25">
      <c r="A449" s="5"/>
      <c r="B449" s="63" t="str">
        <f>IFERROR(TEXT(tbl_Ventes[[#This Row],[Date]],"mm-aaaa"),"")</f>
        <v>01-1900</v>
      </c>
      <c r="D449" s="10" t="str">
        <f>IFERROR(
   INDEX(tbl_ProduitsRef[Cde_Prdt],MATCH(tbl_Ventes[[#This Row],[Produit]],tbl_ProduitsRef[Produit],0)),
   ""
)</f>
        <v/>
      </c>
      <c r="E449" s="7">
        <v>0</v>
      </c>
      <c r="F449" s="7" t="str">
        <f>IFERROR(
   INDEX(tbl_ProduitsRef[Prix Menu],MATCH(tbl_Ventes[[#This Row],[Produit]],tbl_ProduitsRef[Produit],0)),
   ""
)</f>
        <v/>
      </c>
      <c r="G449" s="7">
        <f>tbl_Ventes[[#This Row],[Qté Vendue]] * IFERROR(_xlfn.XLOOKUP(tbl_Ventes[[#This Row],[Cde_Prdt]], tbl_Produits[Cde_Prdt], tbl_Produits[Prix Menu]), 0)</f>
        <v>0</v>
      </c>
      <c r="H449" s="7">
        <f>IFERROR(_xlfn.XLOOKUP(tbl_Ventes[[#This Row],[Cde_Prdt]], tbl_Produits[Cde_Prdt], tbl_Produits[Coût Moyen Portion]), 0)</f>
        <v>0</v>
      </c>
      <c r="I449" s="7">
        <f>tbl_Ventes[[#This Row],[Qté Vendue]] * tbl_Ventes[[#This Row],[CMP_par_portion]]</f>
        <v>0</v>
      </c>
      <c r="J449" s="7">
        <f>tbl_Ventes[[#This Row],[CA ligne]] - tbl_Ventes[[#This Row],[Coût matière ligne]]</f>
        <v>0</v>
      </c>
      <c r="K449" s="7" t="str">
        <f>IFERROR(INDEX(tbl_ProduitsRef[Famille], MATCH(tbl_Ventes[[#This Row],[Cde_Prdt]], tbl_Produits[Cde_Prdt], 0)), "")</f>
        <v/>
      </c>
    </row>
    <row r="450" spans="1:11" x14ac:dyDescent="0.25">
      <c r="A450" s="5"/>
      <c r="B450" s="63" t="str">
        <f>IFERROR(TEXT(tbl_Ventes[[#This Row],[Date]],"mm-aaaa"),"")</f>
        <v>01-1900</v>
      </c>
      <c r="D450" s="10" t="str">
        <f>IFERROR(
   INDEX(tbl_ProduitsRef[Cde_Prdt],MATCH(tbl_Ventes[[#This Row],[Produit]],tbl_ProduitsRef[Produit],0)),
   ""
)</f>
        <v/>
      </c>
      <c r="E450" s="7">
        <v>0</v>
      </c>
      <c r="F450" s="7" t="str">
        <f>IFERROR(
   INDEX(tbl_ProduitsRef[Prix Menu],MATCH(tbl_Ventes[[#This Row],[Produit]],tbl_ProduitsRef[Produit],0)),
   ""
)</f>
        <v/>
      </c>
      <c r="G450" s="7">
        <f>tbl_Ventes[[#This Row],[Qté Vendue]] * IFERROR(_xlfn.XLOOKUP(tbl_Ventes[[#This Row],[Cde_Prdt]], tbl_Produits[Cde_Prdt], tbl_Produits[Prix Menu]), 0)</f>
        <v>0</v>
      </c>
      <c r="H450" s="7">
        <f>IFERROR(_xlfn.XLOOKUP(tbl_Ventes[[#This Row],[Cde_Prdt]], tbl_Produits[Cde_Prdt], tbl_Produits[Coût Moyen Portion]), 0)</f>
        <v>0</v>
      </c>
      <c r="I450" s="7">
        <f>tbl_Ventes[[#This Row],[Qté Vendue]] * tbl_Ventes[[#This Row],[CMP_par_portion]]</f>
        <v>0</v>
      </c>
      <c r="J450" s="7">
        <f>tbl_Ventes[[#This Row],[CA ligne]] - tbl_Ventes[[#This Row],[Coût matière ligne]]</f>
        <v>0</v>
      </c>
      <c r="K450" s="7" t="str">
        <f>IFERROR(INDEX(tbl_ProduitsRef[Famille], MATCH(tbl_Ventes[[#This Row],[Cde_Prdt]], tbl_Produits[Cde_Prdt], 0)), "")</f>
        <v/>
      </c>
    </row>
    <row r="451" spans="1:11" x14ac:dyDescent="0.25">
      <c r="A451" s="5"/>
      <c r="B451" s="63" t="str">
        <f>IFERROR(TEXT(tbl_Ventes[[#This Row],[Date]],"mm-aaaa"),"")</f>
        <v>01-1900</v>
      </c>
      <c r="D451" s="10" t="str">
        <f>IFERROR(
   INDEX(tbl_ProduitsRef[Cde_Prdt],MATCH(tbl_Ventes[[#This Row],[Produit]],tbl_ProduitsRef[Produit],0)),
   ""
)</f>
        <v/>
      </c>
      <c r="E451" s="7">
        <v>0</v>
      </c>
      <c r="F451" s="7" t="str">
        <f>IFERROR(
   INDEX(tbl_ProduitsRef[Prix Menu],MATCH(tbl_Ventes[[#This Row],[Produit]],tbl_ProduitsRef[Produit],0)),
   ""
)</f>
        <v/>
      </c>
      <c r="G451" s="7">
        <f>tbl_Ventes[[#This Row],[Qté Vendue]] * IFERROR(_xlfn.XLOOKUP(tbl_Ventes[[#This Row],[Cde_Prdt]], tbl_Produits[Cde_Prdt], tbl_Produits[Prix Menu]), 0)</f>
        <v>0</v>
      </c>
      <c r="H451" s="7">
        <f>IFERROR(_xlfn.XLOOKUP(tbl_Ventes[[#This Row],[Cde_Prdt]], tbl_Produits[Cde_Prdt], tbl_Produits[Coût Moyen Portion]), 0)</f>
        <v>0</v>
      </c>
      <c r="I451" s="7">
        <f>tbl_Ventes[[#This Row],[Qté Vendue]] * tbl_Ventes[[#This Row],[CMP_par_portion]]</f>
        <v>0</v>
      </c>
      <c r="J451" s="7">
        <f>tbl_Ventes[[#This Row],[CA ligne]] - tbl_Ventes[[#This Row],[Coût matière ligne]]</f>
        <v>0</v>
      </c>
      <c r="K451" s="7" t="str">
        <f>IFERROR(INDEX(tbl_ProduitsRef[Famille], MATCH(tbl_Ventes[[#This Row],[Cde_Prdt]], tbl_Produits[Cde_Prdt], 0)), "")</f>
        <v/>
      </c>
    </row>
    <row r="452" spans="1:11" x14ac:dyDescent="0.25">
      <c r="A452" s="5"/>
      <c r="B452" s="63" t="str">
        <f>IFERROR(TEXT(tbl_Ventes[[#This Row],[Date]],"mm-aaaa"),"")</f>
        <v>01-1900</v>
      </c>
      <c r="D452" s="10" t="str">
        <f>IFERROR(
   INDEX(tbl_ProduitsRef[Cde_Prdt],MATCH(tbl_Ventes[[#This Row],[Produit]],tbl_ProduitsRef[Produit],0)),
   ""
)</f>
        <v/>
      </c>
      <c r="E452" s="7">
        <v>0</v>
      </c>
      <c r="F452" s="7" t="str">
        <f>IFERROR(
   INDEX(tbl_ProduitsRef[Prix Menu],MATCH(tbl_Ventes[[#This Row],[Produit]],tbl_ProduitsRef[Produit],0)),
   ""
)</f>
        <v/>
      </c>
      <c r="G452" s="7">
        <f>tbl_Ventes[[#This Row],[Qté Vendue]] * IFERROR(_xlfn.XLOOKUP(tbl_Ventes[[#This Row],[Cde_Prdt]], tbl_Produits[Cde_Prdt], tbl_Produits[Prix Menu]), 0)</f>
        <v>0</v>
      </c>
      <c r="H452" s="7">
        <f>IFERROR(_xlfn.XLOOKUP(tbl_Ventes[[#This Row],[Cde_Prdt]], tbl_Produits[Cde_Prdt], tbl_Produits[Coût Moyen Portion]), 0)</f>
        <v>0</v>
      </c>
      <c r="I452" s="7">
        <f>tbl_Ventes[[#This Row],[Qté Vendue]] * tbl_Ventes[[#This Row],[CMP_par_portion]]</f>
        <v>0</v>
      </c>
      <c r="J452" s="7">
        <f>tbl_Ventes[[#This Row],[CA ligne]] - tbl_Ventes[[#This Row],[Coût matière ligne]]</f>
        <v>0</v>
      </c>
      <c r="K452" s="7" t="str">
        <f>IFERROR(INDEX(tbl_ProduitsRef[Famille], MATCH(tbl_Ventes[[#This Row],[Cde_Prdt]], tbl_Produits[Cde_Prdt], 0)), "")</f>
        <v/>
      </c>
    </row>
    <row r="453" spans="1:11" x14ac:dyDescent="0.25">
      <c r="A453" s="5"/>
      <c r="B453" s="63" t="str">
        <f>IFERROR(TEXT(tbl_Ventes[[#This Row],[Date]],"mm-aaaa"),"")</f>
        <v>01-1900</v>
      </c>
      <c r="D453" s="10" t="str">
        <f>IFERROR(
   INDEX(tbl_ProduitsRef[Cde_Prdt],MATCH(tbl_Ventes[[#This Row],[Produit]],tbl_ProduitsRef[Produit],0)),
   ""
)</f>
        <v/>
      </c>
      <c r="E453" s="7">
        <v>0</v>
      </c>
      <c r="F453" s="7" t="str">
        <f>IFERROR(
   INDEX(tbl_ProduitsRef[Prix Menu],MATCH(tbl_Ventes[[#This Row],[Produit]],tbl_ProduitsRef[Produit],0)),
   ""
)</f>
        <v/>
      </c>
      <c r="G453" s="7">
        <f>tbl_Ventes[[#This Row],[Qté Vendue]] * IFERROR(_xlfn.XLOOKUP(tbl_Ventes[[#This Row],[Cde_Prdt]], tbl_Produits[Cde_Prdt], tbl_Produits[Prix Menu]), 0)</f>
        <v>0</v>
      </c>
      <c r="H453" s="7">
        <f>IFERROR(_xlfn.XLOOKUP(tbl_Ventes[[#This Row],[Cde_Prdt]], tbl_Produits[Cde_Prdt], tbl_Produits[Coût Moyen Portion]), 0)</f>
        <v>0</v>
      </c>
      <c r="I453" s="7">
        <f>tbl_Ventes[[#This Row],[Qté Vendue]] * tbl_Ventes[[#This Row],[CMP_par_portion]]</f>
        <v>0</v>
      </c>
      <c r="J453" s="7">
        <f>tbl_Ventes[[#This Row],[CA ligne]] - tbl_Ventes[[#This Row],[Coût matière ligne]]</f>
        <v>0</v>
      </c>
      <c r="K453" s="7" t="str">
        <f>IFERROR(INDEX(tbl_ProduitsRef[Famille], MATCH(tbl_Ventes[[#This Row],[Cde_Prdt]], tbl_Produits[Cde_Prdt], 0)), "")</f>
        <v/>
      </c>
    </row>
    <row r="454" spans="1:11" x14ac:dyDescent="0.25">
      <c r="A454" s="5"/>
      <c r="B454" s="63" t="str">
        <f>IFERROR(TEXT(tbl_Ventes[[#This Row],[Date]],"mm-aaaa"),"")</f>
        <v>01-1900</v>
      </c>
      <c r="D454" s="10" t="str">
        <f>IFERROR(
   INDEX(tbl_ProduitsRef[Cde_Prdt],MATCH(tbl_Ventes[[#This Row],[Produit]],tbl_ProduitsRef[Produit],0)),
   ""
)</f>
        <v/>
      </c>
      <c r="E454" s="7">
        <v>0</v>
      </c>
      <c r="F454" s="7" t="str">
        <f>IFERROR(
   INDEX(tbl_ProduitsRef[Prix Menu],MATCH(tbl_Ventes[[#This Row],[Produit]],tbl_ProduitsRef[Produit],0)),
   ""
)</f>
        <v/>
      </c>
      <c r="G454" s="7">
        <f>tbl_Ventes[[#This Row],[Qté Vendue]] * IFERROR(_xlfn.XLOOKUP(tbl_Ventes[[#This Row],[Cde_Prdt]], tbl_Produits[Cde_Prdt], tbl_Produits[Prix Menu]), 0)</f>
        <v>0</v>
      </c>
      <c r="H454" s="7">
        <f>IFERROR(_xlfn.XLOOKUP(tbl_Ventes[[#This Row],[Cde_Prdt]], tbl_Produits[Cde_Prdt], tbl_Produits[Coût Moyen Portion]), 0)</f>
        <v>0</v>
      </c>
      <c r="I454" s="7">
        <f>tbl_Ventes[[#This Row],[Qté Vendue]] * tbl_Ventes[[#This Row],[CMP_par_portion]]</f>
        <v>0</v>
      </c>
      <c r="J454" s="7">
        <f>tbl_Ventes[[#This Row],[CA ligne]] - tbl_Ventes[[#This Row],[Coût matière ligne]]</f>
        <v>0</v>
      </c>
      <c r="K454" s="7" t="str">
        <f>IFERROR(INDEX(tbl_ProduitsRef[Famille], MATCH(tbl_Ventes[[#This Row],[Cde_Prdt]], tbl_Produits[Cde_Prdt], 0)), "")</f>
        <v/>
      </c>
    </row>
    <row r="455" spans="1:11" x14ac:dyDescent="0.25">
      <c r="A455" s="5"/>
      <c r="B455" s="63" t="str">
        <f>IFERROR(TEXT(tbl_Ventes[[#This Row],[Date]],"mm-aaaa"),"")</f>
        <v>01-1900</v>
      </c>
      <c r="D455" s="10" t="str">
        <f>IFERROR(
   INDEX(tbl_ProduitsRef[Cde_Prdt],MATCH(tbl_Ventes[[#This Row],[Produit]],tbl_ProduitsRef[Produit],0)),
   ""
)</f>
        <v/>
      </c>
      <c r="E455" s="7">
        <v>0</v>
      </c>
      <c r="F455" s="7" t="str">
        <f>IFERROR(
   INDEX(tbl_ProduitsRef[Prix Menu],MATCH(tbl_Ventes[[#This Row],[Produit]],tbl_ProduitsRef[Produit],0)),
   ""
)</f>
        <v/>
      </c>
      <c r="G455" s="7">
        <f>tbl_Ventes[[#This Row],[Qté Vendue]] * IFERROR(_xlfn.XLOOKUP(tbl_Ventes[[#This Row],[Cde_Prdt]], tbl_Produits[Cde_Prdt], tbl_Produits[Prix Menu]), 0)</f>
        <v>0</v>
      </c>
      <c r="H455" s="7">
        <f>IFERROR(_xlfn.XLOOKUP(tbl_Ventes[[#This Row],[Cde_Prdt]], tbl_Produits[Cde_Prdt], tbl_Produits[Coût Moyen Portion]), 0)</f>
        <v>0</v>
      </c>
      <c r="I455" s="7">
        <f>tbl_Ventes[[#This Row],[Qté Vendue]] * tbl_Ventes[[#This Row],[CMP_par_portion]]</f>
        <v>0</v>
      </c>
      <c r="J455" s="7">
        <f>tbl_Ventes[[#This Row],[CA ligne]] - tbl_Ventes[[#This Row],[Coût matière ligne]]</f>
        <v>0</v>
      </c>
      <c r="K455" s="7" t="str">
        <f>IFERROR(INDEX(tbl_ProduitsRef[Famille], MATCH(tbl_Ventes[[#This Row],[Cde_Prdt]], tbl_Produits[Cde_Prdt], 0)), "")</f>
        <v/>
      </c>
    </row>
    <row r="456" spans="1:11" x14ac:dyDescent="0.25">
      <c r="A456" s="5"/>
      <c r="B456" s="63" t="str">
        <f>IFERROR(TEXT(tbl_Ventes[[#This Row],[Date]],"mm-aaaa"),"")</f>
        <v>01-1900</v>
      </c>
      <c r="D456" s="10" t="str">
        <f>IFERROR(
   INDEX(tbl_ProduitsRef[Cde_Prdt],MATCH(tbl_Ventes[[#This Row],[Produit]],tbl_ProduitsRef[Produit],0)),
   ""
)</f>
        <v/>
      </c>
      <c r="E456" s="7">
        <v>0</v>
      </c>
      <c r="F456" s="7" t="str">
        <f>IFERROR(
   INDEX(tbl_ProduitsRef[Prix Menu],MATCH(tbl_Ventes[[#This Row],[Produit]],tbl_ProduitsRef[Produit],0)),
   ""
)</f>
        <v/>
      </c>
      <c r="G456" s="7">
        <f>tbl_Ventes[[#This Row],[Qté Vendue]] * IFERROR(_xlfn.XLOOKUP(tbl_Ventes[[#This Row],[Cde_Prdt]], tbl_Produits[Cde_Prdt], tbl_Produits[Prix Menu]), 0)</f>
        <v>0</v>
      </c>
      <c r="H456" s="7">
        <f>IFERROR(_xlfn.XLOOKUP(tbl_Ventes[[#This Row],[Cde_Prdt]], tbl_Produits[Cde_Prdt], tbl_Produits[Coût Moyen Portion]), 0)</f>
        <v>0</v>
      </c>
      <c r="I456" s="7">
        <f>tbl_Ventes[[#This Row],[Qté Vendue]] * tbl_Ventes[[#This Row],[CMP_par_portion]]</f>
        <v>0</v>
      </c>
      <c r="J456" s="7">
        <f>tbl_Ventes[[#This Row],[CA ligne]] - tbl_Ventes[[#This Row],[Coût matière ligne]]</f>
        <v>0</v>
      </c>
      <c r="K456" s="7" t="str">
        <f>IFERROR(INDEX(tbl_ProduitsRef[Famille], MATCH(tbl_Ventes[[#This Row],[Cde_Prdt]], tbl_Produits[Cde_Prdt], 0)), "")</f>
        <v/>
      </c>
    </row>
    <row r="457" spans="1:11" x14ac:dyDescent="0.25">
      <c r="A457" s="5"/>
      <c r="B457" s="63" t="str">
        <f>IFERROR(TEXT(tbl_Ventes[[#This Row],[Date]],"mm-aaaa"),"")</f>
        <v>01-1900</v>
      </c>
      <c r="D457" s="10" t="str">
        <f>IFERROR(
   INDEX(tbl_ProduitsRef[Cde_Prdt],MATCH(tbl_Ventes[[#This Row],[Produit]],tbl_ProduitsRef[Produit],0)),
   ""
)</f>
        <v/>
      </c>
      <c r="E457" s="7">
        <v>0</v>
      </c>
      <c r="F457" s="7" t="str">
        <f>IFERROR(
   INDEX(tbl_ProduitsRef[Prix Menu],MATCH(tbl_Ventes[[#This Row],[Produit]],tbl_ProduitsRef[Produit],0)),
   ""
)</f>
        <v/>
      </c>
      <c r="G457" s="7">
        <f>tbl_Ventes[[#This Row],[Qté Vendue]] * IFERROR(_xlfn.XLOOKUP(tbl_Ventes[[#This Row],[Cde_Prdt]], tbl_Produits[Cde_Prdt], tbl_Produits[Prix Menu]), 0)</f>
        <v>0</v>
      </c>
      <c r="H457" s="7">
        <f>IFERROR(_xlfn.XLOOKUP(tbl_Ventes[[#This Row],[Cde_Prdt]], tbl_Produits[Cde_Prdt], tbl_Produits[Coût Moyen Portion]), 0)</f>
        <v>0</v>
      </c>
      <c r="I457" s="7">
        <f>tbl_Ventes[[#This Row],[Qté Vendue]] * tbl_Ventes[[#This Row],[CMP_par_portion]]</f>
        <v>0</v>
      </c>
      <c r="J457" s="7">
        <f>tbl_Ventes[[#This Row],[CA ligne]] - tbl_Ventes[[#This Row],[Coût matière ligne]]</f>
        <v>0</v>
      </c>
      <c r="K457" s="7" t="str">
        <f>IFERROR(INDEX(tbl_ProduitsRef[Famille], MATCH(tbl_Ventes[[#This Row],[Cde_Prdt]], tbl_Produits[Cde_Prdt], 0)), "")</f>
        <v/>
      </c>
    </row>
    <row r="458" spans="1:11" x14ac:dyDescent="0.25">
      <c r="A458" s="5"/>
      <c r="B458" s="63" t="str">
        <f>IFERROR(TEXT(tbl_Ventes[[#This Row],[Date]],"mm-aaaa"),"")</f>
        <v>01-1900</v>
      </c>
      <c r="D458" s="10" t="str">
        <f>IFERROR(
   INDEX(tbl_ProduitsRef[Cde_Prdt],MATCH(tbl_Ventes[[#This Row],[Produit]],tbl_ProduitsRef[Produit],0)),
   ""
)</f>
        <v/>
      </c>
      <c r="E458" s="7">
        <v>0</v>
      </c>
      <c r="F458" s="7" t="str">
        <f>IFERROR(
   INDEX(tbl_ProduitsRef[Prix Menu],MATCH(tbl_Ventes[[#This Row],[Produit]],tbl_ProduitsRef[Produit],0)),
   ""
)</f>
        <v/>
      </c>
      <c r="G458" s="7">
        <f>tbl_Ventes[[#This Row],[Qté Vendue]] * IFERROR(_xlfn.XLOOKUP(tbl_Ventes[[#This Row],[Cde_Prdt]], tbl_Produits[Cde_Prdt], tbl_Produits[Prix Menu]), 0)</f>
        <v>0</v>
      </c>
      <c r="H458" s="7">
        <f>IFERROR(_xlfn.XLOOKUP(tbl_Ventes[[#This Row],[Cde_Prdt]], tbl_Produits[Cde_Prdt], tbl_Produits[Coût Moyen Portion]), 0)</f>
        <v>0</v>
      </c>
      <c r="I458" s="7">
        <f>tbl_Ventes[[#This Row],[Qté Vendue]] * tbl_Ventes[[#This Row],[CMP_par_portion]]</f>
        <v>0</v>
      </c>
      <c r="J458" s="7">
        <f>tbl_Ventes[[#This Row],[CA ligne]] - tbl_Ventes[[#This Row],[Coût matière ligne]]</f>
        <v>0</v>
      </c>
      <c r="K458" s="7" t="str">
        <f>IFERROR(INDEX(tbl_ProduitsRef[Famille], MATCH(tbl_Ventes[[#This Row],[Cde_Prdt]], tbl_Produits[Cde_Prdt], 0)), "")</f>
        <v/>
      </c>
    </row>
    <row r="459" spans="1:11" x14ac:dyDescent="0.25">
      <c r="A459" s="5"/>
      <c r="B459" s="63" t="str">
        <f>IFERROR(TEXT(tbl_Ventes[[#This Row],[Date]],"mm-aaaa"),"")</f>
        <v>01-1900</v>
      </c>
      <c r="D459" s="10" t="str">
        <f>IFERROR(
   INDEX(tbl_ProduitsRef[Cde_Prdt],MATCH(tbl_Ventes[[#This Row],[Produit]],tbl_ProduitsRef[Produit],0)),
   ""
)</f>
        <v/>
      </c>
      <c r="E459" s="7">
        <v>0</v>
      </c>
      <c r="F459" s="7" t="str">
        <f>IFERROR(
   INDEX(tbl_ProduitsRef[Prix Menu],MATCH(tbl_Ventes[[#This Row],[Produit]],tbl_ProduitsRef[Produit],0)),
   ""
)</f>
        <v/>
      </c>
      <c r="G459" s="7">
        <f>tbl_Ventes[[#This Row],[Qté Vendue]] * IFERROR(_xlfn.XLOOKUP(tbl_Ventes[[#This Row],[Cde_Prdt]], tbl_Produits[Cde_Prdt], tbl_Produits[Prix Menu]), 0)</f>
        <v>0</v>
      </c>
      <c r="H459" s="7">
        <f>IFERROR(_xlfn.XLOOKUP(tbl_Ventes[[#This Row],[Cde_Prdt]], tbl_Produits[Cde_Prdt], tbl_Produits[Coût Moyen Portion]), 0)</f>
        <v>0</v>
      </c>
      <c r="I459" s="7">
        <f>tbl_Ventes[[#This Row],[Qté Vendue]] * tbl_Ventes[[#This Row],[CMP_par_portion]]</f>
        <v>0</v>
      </c>
      <c r="J459" s="7">
        <f>tbl_Ventes[[#This Row],[CA ligne]] - tbl_Ventes[[#This Row],[Coût matière ligne]]</f>
        <v>0</v>
      </c>
      <c r="K459" s="7" t="str">
        <f>IFERROR(INDEX(tbl_ProduitsRef[Famille], MATCH(tbl_Ventes[[#This Row],[Cde_Prdt]], tbl_Produits[Cde_Prdt], 0)), "")</f>
        <v/>
      </c>
    </row>
    <row r="460" spans="1:11" x14ac:dyDescent="0.25">
      <c r="A460" s="5"/>
      <c r="B460" s="63" t="str">
        <f>IFERROR(TEXT(tbl_Ventes[[#This Row],[Date]],"mm-aaaa"),"")</f>
        <v>01-1900</v>
      </c>
      <c r="D460" s="10" t="str">
        <f>IFERROR(
   INDEX(tbl_ProduitsRef[Cde_Prdt],MATCH(tbl_Ventes[[#This Row],[Produit]],tbl_ProduitsRef[Produit],0)),
   ""
)</f>
        <v/>
      </c>
      <c r="E460" s="7">
        <v>0</v>
      </c>
      <c r="F460" s="7" t="str">
        <f>IFERROR(
   INDEX(tbl_ProduitsRef[Prix Menu],MATCH(tbl_Ventes[[#This Row],[Produit]],tbl_ProduitsRef[Produit],0)),
   ""
)</f>
        <v/>
      </c>
      <c r="G460" s="7">
        <f>tbl_Ventes[[#This Row],[Qté Vendue]] * IFERROR(_xlfn.XLOOKUP(tbl_Ventes[[#This Row],[Cde_Prdt]], tbl_Produits[Cde_Prdt], tbl_Produits[Prix Menu]), 0)</f>
        <v>0</v>
      </c>
      <c r="H460" s="7">
        <f>IFERROR(_xlfn.XLOOKUP(tbl_Ventes[[#This Row],[Cde_Prdt]], tbl_Produits[Cde_Prdt], tbl_Produits[Coût Moyen Portion]), 0)</f>
        <v>0</v>
      </c>
      <c r="I460" s="7">
        <f>tbl_Ventes[[#This Row],[Qté Vendue]] * tbl_Ventes[[#This Row],[CMP_par_portion]]</f>
        <v>0</v>
      </c>
      <c r="J460" s="7">
        <f>tbl_Ventes[[#This Row],[CA ligne]] - tbl_Ventes[[#This Row],[Coût matière ligne]]</f>
        <v>0</v>
      </c>
      <c r="K460" s="7" t="str">
        <f>IFERROR(INDEX(tbl_ProduitsRef[Famille], MATCH(tbl_Ventes[[#This Row],[Cde_Prdt]], tbl_Produits[Cde_Prdt], 0)), "")</f>
        <v/>
      </c>
    </row>
    <row r="461" spans="1:11" x14ac:dyDescent="0.25">
      <c r="A461" s="5"/>
      <c r="B461" s="63" t="str">
        <f>IFERROR(TEXT(tbl_Ventes[[#This Row],[Date]],"mm-aaaa"),"")</f>
        <v>01-1900</v>
      </c>
      <c r="D461" s="10" t="str">
        <f>IFERROR(
   INDEX(tbl_ProduitsRef[Cde_Prdt],MATCH(tbl_Ventes[[#This Row],[Produit]],tbl_ProduitsRef[Produit],0)),
   ""
)</f>
        <v/>
      </c>
      <c r="E461" s="7">
        <v>0</v>
      </c>
      <c r="F461" s="7" t="str">
        <f>IFERROR(
   INDEX(tbl_ProduitsRef[Prix Menu],MATCH(tbl_Ventes[[#This Row],[Produit]],tbl_ProduitsRef[Produit],0)),
   ""
)</f>
        <v/>
      </c>
      <c r="G461" s="7">
        <f>tbl_Ventes[[#This Row],[Qté Vendue]] * IFERROR(_xlfn.XLOOKUP(tbl_Ventes[[#This Row],[Cde_Prdt]], tbl_Produits[Cde_Prdt], tbl_Produits[Prix Menu]), 0)</f>
        <v>0</v>
      </c>
      <c r="H461" s="7">
        <f>IFERROR(_xlfn.XLOOKUP(tbl_Ventes[[#This Row],[Cde_Prdt]], tbl_Produits[Cde_Prdt], tbl_Produits[Coût Moyen Portion]), 0)</f>
        <v>0</v>
      </c>
      <c r="I461" s="7">
        <f>tbl_Ventes[[#This Row],[Qté Vendue]] * tbl_Ventes[[#This Row],[CMP_par_portion]]</f>
        <v>0</v>
      </c>
      <c r="J461" s="7">
        <f>tbl_Ventes[[#This Row],[CA ligne]] - tbl_Ventes[[#This Row],[Coût matière ligne]]</f>
        <v>0</v>
      </c>
      <c r="K461" s="7" t="str">
        <f>IFERROR(INDEX(tbl_ProduitsRef[Famille], MATCH(tbl_Ventes[[#This Row],[Cde_Prdt]], tbl_Produits[Cde_Prdt], 0)), "")</f>
        <v/>
      </c>
    </row>
    <row r="462" spans="1:11" x14ac:dyDescent="0.25">
      <c r="A462" s="5"/>
      <c r="B462" s="63" t="str">
        <f>IFERROR(TEXT(tbl_Ventes[[#This Row],[Date]],"mm-aaaa"),"")</f>
        <v>01-1900</v>
      </c>
      <c r="D462" s="10" t="str">
        <f>IFERROR(
   INDEX(tbl_ProduitsRef[Cde_Prdt],MATCH(tbl_Ventes[[#This Row],[Produit]],tbl_ProduitsRef[Produit],0)),
   ""
)</f>
        <v/>
      </c>
      <c r="E462" s="7">
        <v>0</v>
      </c>
      <c r="F462" s="7" t="str">
        <f>IFERROR(
   INDEX(tbl_ProduitsRef[Prix Menu],MATCH(tbl_Ventes[[#This Row],[Produit]],tbl_ProduitsRef[Produit],0)),
   ""
)</f>
        <v/>
      </c>
      <c r="G462" s="7">
        <f>tbl_Ventes[[#This Row],[Qté Vendue]] * IFERROR(_xlfn.XLOOKUP(tbl_Ventes[[#This Row],[Cde_Prdt]], tbl_Produits[Cde_Prdt], tbl_Produits[Prix Menu]), 0)</f>
        <v>0</v>
      </c>
      <c r="H462" s="7">
        <f>IFERROR(_xlfn.XLOOKUP(tbl_Ventes[[#This Row],[Cde_Prdt]], tbl_Produits[Cde_Prdt], tbl_Produits[Coût Moyen Portion]), 0)</f>
        <v>0</v>
      </c>
      <c r="I462" s="7">
        <f>tbl_Ventes[[#This Row],[Qté Vendue]] * tbl_Ventes[[#This Row],[CMP_par_portion]]</f>
        <v>0</v>
      </c>
      <c r="J462" s="7">
        <f>tbl_Ventes[[#This Row],[CA ligne]] - tbl_Ventes[[#This Row],[Coût matière ligne]]</f>
        <v>0</v>
      </c>
      <c r="K462" s="7" t="str">
        <f>IFERROR(INDEX(tbl_ProduitsRef[Famille], MATCH(tbl_Ventes[[#This Row],[Cde_Prdt]], tbl_Produits[Cde_Prdt], 0)), "")</f>
        <v/>
      </c>
    </row>
    <row r="463" spans="1:11" x14ac:dyDescent="0.25">
      <c r="A463" s="5"/>
      <c r="B463" s="63" t="str">
        <f>IFERROR(TEXT(tbl_Ventes[[#This Row],[Date]],"mm-aaaa"),"")</f>
        <v>01-1900</v>
      </c>
      <c r="D463" s="10" t="str">
        <f>IFERROR(
   INDEX(tbl_ProduitsRef[Cde_Prdt],MATCH(tbl_Ventes[[#This Row],[Produit]],tbl_ProduitsRef[Produit],0)),
   ""
)</f>
        <v/>
      </c>
      <c r="E463" s="7">
        <v>0</v>
      </c>
      <c r="F463" s="7" t="str">
        <f>IFERROR(
   INDEX(tbl_ProduitsRef[Prix Menu],MATCH(tbl_Ventes[[#This Row],[Produit]],tbl_ProduitsRef[Produit],0)),
   ""
)</f>
        <v/>
      </c>
      <c r="G463" s="7">
        <f>tbl_Ventes[[#This Row],[Qté Vendue]] * IFERROR(_xlfn.XLOOKUP(tbl_Ventes[[#This Row],[Cde_Prdt]], tbl_Produits[Cde_Prdt], tbl_Produits[Prix Menu]), 0)</f>
        <v>0</v>
      </c>
      <c r="H463" s="7">
        <f>IFERROR(_xlfn.XLOOKUP(tbl_Ventes[[#This Row],[Cde_Prdt]], tbl_Produits[Cde_Prdt], tbl_Produits[Coût Moyen Portion]), 0)</f>
        <v>0</v>
      </c>
      <c r="I463" s="7">
        <f>tbl_Ventes[[#This Row],[Qté Vendue]] * tbl_Ventes[[#This Row],[CMP_par_portion]]</f>
        <v>0</v>
      </c>
      <c r="J463" s="7">
        <f>tbl_Ventes[[#This Row],[CA ligne]] - tbl_Ventes[[#This Row],[Coût matière ligne]]</f>
        <v>0</v>
      </c>
      <c r="K463" s="7" t="str">
        <f>IFERROR(INDEX(tbl_ProduitsRef[Famille], MATCH(tbl_Ventes[[#This Row],[Cde_Prdt]], tbl_Produits[Cde_Prdt], 0)), "")</f>
        <v/>
      </c>
    </row>
    <row r="464" spans="1:11" x14ac:dyDescent="0.25">
      <c r="A464" s="5"/>
      <c r="B464" s="63" t="str">
        <f>IFERROR(TEXT(tbl_Ventes[[#This Row],[Date]],"mm-aaaa"),"")</f>
        <v>01-1900</v>
      </c>
      <c r="D464" s="10" t="str">
        <f>IFERROR(
   INDEX(tbl_ProduitsRef[Cde_Prdt],MATCH(tbl_Ventes[[#This Row],[Produit]],tbl_ProduitsRef[Produit],0)),
   ""
)</f>
        <v/>
      </c>
      <c r="E464" s="7">
        <v>0</v>
      </c>
      <c r="F464" s="7" t="str">
        <f>IFERROR(
   INDEX(tbl_ProduitsRef[Prix Menu],MATCH(tbl_Ventes[[#This Row],[Produit]],tbl_ProduitsRef[Produit],0)),
   ""
)</f>
        <v/>
      </c>
      <c r="G464" s="7">
        <f>tbl_Ventes[[#This Row],[Qté Vendue]] * IFERROR(_xlfn.XLOOKUP(tbl_Ventes[[#This Row],[Cde_Prdt]], tbl_Produits[Cde_Prdt], tbl_Produits[Prix Menu]), 0)</f>
        <v>0</v>
      </c>
      <c r="H464" s="7">
        <f>IFERROR(_xlfn.XLOOKUP(tbl_Ventes[[#This Row],[Cde_Prdt]], tbl_Produits[Cde_Prdt], tbl_Produits[Coût Moyen Portion]), 0)</f>
        <v>0</v>
      </c>
      <c r="I464" s="7">
        <f>tbl_Ventes[[#This Row],[Qté Vendue]] * tbl_Ventes[[#This Row],[CMP_par_portion]]</f>
        <v>0</v>
      </c>
      <c r="J464" s="7">
        <f>tbl_Ventes[[#This Row],[CA ligne]] - tbl_Ventes[[#This Row],[Coût matière ligne]]</f>
        <v>0</v>
      </c>
      <c r="K464" s="7" t="str">
        <f>IFERROR(INDEX(tbl_ProduitsRef[Famille], MATCH(tbl_Ventes[[#This Row],[Cde_Prdt]], tbl_Produits[Cde_Prdt], 0)), "")</f>
        <v/>
      </c>
    </row>
    <row r="465" spans="1:11" x14ac:dyDescent="0.25">
      <c r="A465" s="5"/>
      <c r="B465" s="63" t="str">
        <f>IFERROR(TEXT(tbl_Ventes[[#This Row],[Date]],"mm-aaaa"),"")</f>
        <v>01-1900</v>
      </c>
      <c r="D465" s="10" t="str">
        <f>IFERROR(
   INDEX(tbl_ProduitsRef[Cde_Prdt],MATCH(tbl_Ventes[[#This Row],[Produit]],tbl_ProduitsRef[Produit],0)),
   ""
)</f>
        <v/>
      </c>
      <c r="E465" s="7">
        <v>0</v>
      </c>
      <c r="F465" s="7" t="str">
        <f>IFERROR(
   INDEX(tbl_ProduitsRef[Prix Menu],MATCH(tbl_Ventes[[#This Row],[Produit]],tbl_ProduitsRef[Produit],0)),
   ""
)</f>
        <v/>
      </c>
      <c r="G465" s="7">
        <f>tbl_Ventes[[#This Row],[Qté Vendue]] * IFERROR(_xlfn.XLOOKUP(tbl_Ventes[[#This Row],[Cde_Prdt]], tbl_Produits[Cde_Prdt], tbl_Produits[Prix Menu]), 0)</f>
        <v>0</v>
      </c>
      <c r="H465" s="7">
        <f>IFERROR(_xlfn.XLOOKUP(tbl_Ventes[[#This Row],[Cde_Prdt]], tbl_Produits[Cde_Prdt], tbl_Produits[Coût Moyen Portion]), 0)</f>
        <v>0</v>
      </c>
      <c r="I465" s="7">
        <f>tbl_Ventes[[#This Row],[Qté Vendue]] * tbl_Ventes[[#This Row],[CMP_par_portion]]</f>
        <v>0</v>
      </c>
      <c r="J465" s="7">
        <f>tbl_Ventes[[#This Row],[CA ligne]] - tbl_Ventes[[#This Row],[Coût matière ligne]]</f>
        <v>0</v>
      </c>
      <c r="K465" s="7" t="str">
        <f>IFERROR(INDEX(tbl_ProduitsRef[Famille], MATCH(tbl_Ventes[[#This Row],[Cde_Prdt]], tbl_Produits[Cde_Prdt], 0)), "")</f>
        <v/>
      </c>
    </row>
    <row r="466" spans="1:11" x14ac:dyDescent="0.25">
      <c r="A466" s="5"/>
      <c r="B466" s="63" t="str">
        <f>IFERROR(TEXT(tbl_Ventes[[#This Row],[Date]],"mm-aaaa"),"")</f>
        <v>01-1900</v>
      </c>
      <c r="D466" s="10" t="str">
        <f>IFERROR(
   INDEX(tbl_ProduitsRef[Cde_Prdt],MATCH(tbl_Ventes[[#This Row],[Produit]],tbl_ProduitsRef[Produit],0)),
   ""
)</f>
        <v/>
      </c>
      <c r="E466" s="7">
        <v>0</v>
      </c>
      <c r="F466" s="7" t="str">
        <f>IFERROR(
   INDEX(tbl_ProduitsRef[Prix Menu],MATCH(tbl_Ventes[[#This Row],[Produit]],tbl_ProduitsRef[Produit],0)),
   ""
)</f>
        <v/>
      </c>
      <c r="G466" s="7">
        <f>tbl_Ventes[[#This Row],[Qté Vendue]] * IFERROR(_xlfn.XLOOKUP(tbl_Ventes[[#This Row],[Cde_Prdt]], tbl_Produits[Cde_Prdt], tbl_Produits[Prix Menu]), 0)</f>
        <v>0</v>
      </c>
      <c r="H466" s="7">
        <f>IFERROR(_xlfn.XLOOKUP(tbl_Ventes[[#This Row],[Cde_Prdt]], tbl_Produits[Cde_Prdt], tbl_Produits[Coût Moyen Portion]), 0)</f>
        <v>0</v>
      </c>
      <c r="I466" s="7">
        <f>tbl_Ventes[[#This Row],[Qté Vendue]] * tbl_Ventes[[#This Row],[CMP_par_portion]]</f>
        <v>0</v>
      </c>
      <c r="J466" s="7">
        <f>tbl_Ventes[[#This Row],[CA ligne]] - tbl_Ventes[[#This Row],[Coût matière ligne]]</f>
        <v>0</v>
      </c>
      <c r="K466" s="7" t="str">
        <f>IFERROR(INDEX(tbl_ProduitsRef[Famille], MATCH(tbl_Ventes[[#This Row],[Cde_Prdt]], tbl_Produits[Cde_Prdt], 0)), "")</f>
        <v/>
      </c>
    </row>
    <row r="467" spans="1:11" x14ac:dyDescent="0.25">
      <c r="A467" s="5"/>
      <c r="B467" s="63" t="str">
        <f>IFERROR(TEXT(tbl_Ventes[[#This Row],[Date]],"mm-aaaa"),"")</f>
        <v>01-1900</v>
      </c>
      <c r="D467" s="10" t="str">
        <f>IFERROR(
   INDEX(tbl_ProduitsRef[Cde_Prdt],MATCH(tbl_Ventes[[#This Row],[Produit]],tbl_ProduitsRef[Produit],0)),
   ""
)</f>
        <v/>
      </c>
      <c r="E467" s="7">
        <v>0</v>
      </c>
      <c r="F467" s="7" t="str">
        <f>IFERROR(
   INDEX(tbl_ProduitsRef[Prix Menu],MATCH(tbl_Ventes[[#This Row],[Produit]],tbl_ProduitsRef[Produit],0)),
   ""
)</f>
        <v/>
      </c>
      <c r="G467" s="7">
        <f>tbl_Ventes[[#This Row],[Qté Vendue]] * IFERROR(_xlfn.XLOOKUP(tbl_Ventes[[#This Row],[Cde_Prdt]], tbl_Produits[Cde_Prdt], tbl_Produits[Prix Menu]), 0)</f>
        <v>0</v>
      </c>
      <c r="H467" s="7">
        <f>IFERROR(_xlfn.XLOOKUP(tbl_Ventes[[#This Row],[Cde_Prdt]], tbl_Produits[Cde_Prdt], tbl_Produits[Coût Moyen Portion]), 0)</f>
        <v>0</v>
      </c>
      <c r="I467" s="7">
        <f>tbl_Ventes[[#This Row],[Qté Vendue]] * tbl_Ventes[[#This Row],[CMP_par_portion]]</f>
        <v>0</v>
      </c>
      <c r="J467" s="7">
        <f>tbl_Ventes[[#This Row],[CA ligne]] - tbl_Ventes[[#This Row],[Coût matière ligne]]</f>
        <v>0</v>
      </c>
      <c r="K467" s="7" t="str">
        <f>IFERROR(INDEX(tbl_ProduitsRef[Famille], MATCH(tbl_Ventes[[#This Row],[Cde_Prdt]], tbl_Produits[Cde_Prdt], 0)), "")</f>
        <v/>
      </c>
    </row>
    <row r="468" spans="1:11" x14ac:dyDescent="0.25">
      <c r="A468" s="5"/>
      <c r="B468" s="63" t="str">
        <f>IFERROR(TEXT(tbl_Ventes[[#This Row],[Date]],"mm-aaaa"),"")</f>
        <v>01-1900</v>
      </c>
      <c r="D468" s="10" t="str">
        <f>IFERROR(
   INDEX(tbl_ProduitsRef[Cde_Prdt],MATCH(tbl_Ventes[[#This Row],[Produit]],tbl_ProduitsRef[Produit],0)),
   ""
)</f>
        <v/>
      </c>
      <c r="E468" s="7">
        <v>0</v>
      </c>
      <c r="F468" s="7" t="str">
        <f>IFERROR(
   INDEX(tbl_ProduitsRef[Prix Menu],MATCH(tbl_Ventes[[#This Row],[Produit]],tbl_ProduitsRef[Produit],0)),
   ""
)</f>
        <v/>
      </c>
      <c r="G468" s="7">
        <f>tbl_Ventes[[#This Row],[Qté Vendue]] * IFERROR(_xlfn.XLOOKUP(tbl_Ventes[[#This Row],[Cde_Prdt]], tbl_Produits[Cde_Prdt], tbl_Produits[Prix Menu]), 0)</f>
        <v>0</v>
      </c>
      <c r="H468" s="7">
        <f>IFERROR(_xlfn.XLOOKUP(tbl_Ventes[[#This Row],[Cde_Prdt]], tbl_Produits[Cde_Prdt], tbl_Produits[Coût Moyen Portion]), 0)</f>
        <v>0</v>
      </c>
      <c r="I468" s="7">
        <f>tbl_Ventes[[#This Row],[Qté Vendue]] * tbl_Ventes[[#This Row],[CMP_par_portion]]</f>
        <v>0</v>
      </c>
      <c r="J468" s="7">
        <f>tbl_Ventes[[#This Row],[CA ligne]] - tbl_Ventes[[#This Row],[Coût matière ligne]]</f>
        <v>0</v>
      </c>
      <c r="K468" s="7" t="str">
        <f>IFERROR(INDEX(tbl_ProduitsRef[Famille], MATCH(tbl_Ventes[[#This Row],[Cde_Prdt]], tbl_Produits[Cde_Prdt], 0)), "")</f>
        <v/>
      </c>
    </row>
    <row r="469" spans="1:11" x14ac:dyDescent="0.25">
      <c r="A469" s="5"/>
      <c r="B469" s="63" t="str">
        <f>IFERROR(TEXT(tbl_Ventes[[#This Row],[Date]],"mm-aaaa"),"")</f>
        <v>01-1900</v>
      </c>
      <c r="D469" s="10" t="str">
        <f>IFERROR(
   INDEX(tbl_ProduitsRef[Cde_Prdt],MATCH(tbl_Ventes[[#This Row],[Produit]],tbl_ProduitsRef[Produit],0)),
   ""
)</f>
        <v/>
      </c>
      <c r="E469" s="7">
        <v>0</v>
      </c>
      <c r="F469" s="7" t="str">
        <f>IFERROR(
   INDEX(tbl_ProduitsRef[Prix Menu],MATCH(tbl_Ventes[[#This Row],[Produit]],tbl_ProduitsRef[Produit],0)),
   ""
)</f>
        <v/>
      </c>
      <c r="G469" s="7">
        <f>tbl_Ventes[[#This Row],[Qté Vendue]] * IFERROR(_xlfn.XLOOKUP(tbl_Ventes[[#This Row],[Cde_Prdt]], tbl_Produits[Cde_Prdt], tbl_Produits[Prix Menu]), 0)</f>
        <v>0</v>
      </c>
      <c r="H469" s="7">
        <f>IFERROR(_xlfn.XLOOKUP(tbl_Ventes[[#This Row],[Cde_Prdt]], tbl_Produits[Cde_Prdt], tbl_Produits[Coût Moyen Portion]), 0)</f>
        <v>0</v>
      </c>
      <c r="I469" s="7">
        <f>tbl_Ventes[[#This Row],[Qté Vendue]] * tbl_Ventes[[#This Row],[CMP_par_portion]]</f>
        <v>0</v>
      </c>
      <c r="J469" s="7">
        <f>tbl_Ventes[[#This Row],[CA ligne]] - tbl_Ventes[[#This Row],[Coût matière ligne]]</f>
        <v>0</v>
      </c>
      <c r="K469" s="7" t="str">
        <f>IFERROR(INDEX(tbl_ProduitsRef[Famille], MATCH(tbl_Ventes[[#This Row],[Cde_Prdt]], tbl_Produits[Cde_Prdt], 0)), "")</f>
        <v/>
      </c>
    </row>
    <row r="470" spans="1:11" x14ac:dyDescent="0.25">
      <c r="A470" s="5"/>
      <c r="B470" s="63" t="str">
        <f>IFERROR(TEXT(tbl_Ventes[[#This Row],[Date]],"mm-aaaa"),"")</f>
        <v>01-1900</v>
      </c>
      <c r="D470" s="10" t="str">
        <f>IFERROR(
   INDEX(tbl_ProduitsRef[Cde_Prdt],MATCH(tbl_Ventes[[#This Row],[Produit]],tbl_ProduitsRef[Produit],0)),
   ""
)</f>
        <v/>
      </c>
      <c r="E470" s="7">
        <v>0</v>
      </c>
      <c r="F470" s="7" t="str">
        <f>IFERROR(
   INDEX(tbl_ProduitsRef[Prix Menu],MATCH(tbl_Ventes[[#This Row],[Produit]],tbl_ProduitsRef[Produit],0)),
   ""
)</f>
        <v/>
      </c>
      <c r="G470" s="7">
        <f>tbl_Ventes[[#This Row],[Qté Vendue]] * IFERROR(_xlfn.XLOOKUP(tbl_Ventes[[#This Row],[Cde_Prdt]], tbl_Produits[Cde_Prdt], tbl_Produits[Prix Menu]), 0)</f>
        <v>0</v>
      </c>
      <c r="H470" s="7">
        <f>IFERROR(_xlfn.XLOOKUP(tbl_Ventes[[#This Row],[Cde_Prdt]], tbl_Produits[Cde_Prdt], tbl_Produits[Coût Moyen Portion]), 0)</f>
        <v>0</v>
      </c>
      <c r="I470" s="7">
        <f>tbl_Ventes[[#This Row],[Qté Vendue]] * tbl_Ventes[[#This Row],[CMP_par_portion]]</f>
        <v>0</v>
      </c>
      <c r="J470" s="7">
        <f>tbl_Ventes[[#This Row],[CA ligne]] - tbl_Ventes[[#This Row],[Coût matière ligne]]</f>
        <v>0</v>
      </c>
      <c r="K470" s="7" t="str">
        <f>IFERROR(INDEX(tbl_ProduitsRef[Famille], MATCH(tbl_Ventes[[#This Row],[Cde_Prdt]], tbl_Produits[Cde_Prdt], 0)), "")</f>
        <v/>
      </c>
    </row>
    <row r="471" spans="1:11" x14ac:dyDescent="0.25">
      <c r="A471" s="5"/>
      <c r="B471" s="63" t="str">
        <f>IFERROR(TEXT(tbl_Ventes[[#This Row],[Date]],"mm-aaaa"),"")</f>
        <v>01-1900</v>
      </c>
      <c r="D471" s="10" t="str">
        <f>IFERROR(
   INDEX(tbl_ProduitsRef[Cde_Prdt],MATCH(tbl_Ventes[[#This Row],[Produit]],tbl_ProduitsRef[Produit],0)),
   ""
)</f>
        <v/>
      </c>
      <c r="E471" s="7">
        <v>0</v>
      </c>
      <c r="F471" s="7" t="str">
        <f>IFERROR(
   INDEX(tbl_ProduitsRef[Prix Menu],MATCH(tbl_Ventes[[#This Row],[Produit]],tbl_ProduitsRef[Produit],0)),
   ""
)</f>
        <v/>
      </c>
      <c r="G471" s="7">
        <f>tbl_Ventes[[#This Row],[Qté Vendue]] * IFERROR(_xlfn.XLOOKUP(tbl_Ventes[[#This Row],[Cde_Prdt]], tbl_Produits[Cde_Prdt], tbl_Produits[Prix Menu]), 0)</f>
        <v>0</v>
      </c>
      <c r="H471" s="7">
        <f>IFERROR(_xlfn.XLOOKUP(tbl_Ventes[[#This Row],[Cde_Prdt]], tbl_Produits[Cde_Prdt], tbl_Produits[Coût Moyen Portion]), 0)</f>
        <v>0</v>
      </c>
      <c r="I471" s="7">
        <f>tbl_Ventes[[#This Row],[Qté Vendue]] * tbl_Ventes[[#This Row],[CMP_par_portion]]</f>
        <v>0</v>
      </c>
      <c r="J471" s="7">
        <f>tbl_Ventes[[#This Row],[CA ligne]] - tbl_Ventes[[#This Row],[Coût matière ligne]]</f>
        <v>0</v>
      </c>
      <c r="K471" s="7" t="str">
        <f>IFERROR(INDEX(tbl_ProduitsRef[Famille], MATCH(tbl_Ventes[[#This Row],[Cde_Prdt]], tbl_Produits[Cde_Prdt], 0)), "")</f>
        <v/>
      </c>
    </row>
    <row r="472" spans="1:11" x14ac:dyDescent="0.25">
      <c r="A472" s="5"/>
      <c r="B472" s="63" t="str">
        <f>IFERROR(TEXT(tbl_Ventes[[#This Row],[Date]],"mm-aaaa"),"")</f>
        <v>01-1900</v>
      </c>
      <c r="D472" s="10" t="str">
        <f>IFERROR(
   INDEX(tbl_ProduitsRef[Cde_Prdt],MATCH(tbl_Ventes[[#This Row],[Produit]],tbl_ProduitsRef[Produit],0)),
   ""
)</f>
        <v/>
      </c>
      <c r="E472" s="7">
        <v>0</v>
      </c>
      <c r="F472" s="7" t="str">
        <f>IFERROR(
   INDEX(tbl_ProduitsRef[Prix Menu],MATCH(tbl_Ventes[[#This Row],[Produit]],tbl_ProduitsRef[Produit],0)),
   ""
)</f>
        <v/>
      </c>
      <c r="G472" s="7">
        <f>tbl_Ventes[[#This Row],[Qté Vendue]] * IFERROR(_xlfn.XLOOKUP(tbl_Ventes[[#This Row],[Cde_Prdt]], tbl_Produits[Cde_Prdt], tbl_Produits[Prix Menu]), 0)</f>
        <v>0</v>
      </c>
      <c r="H472" s="7">
        <f>IFERROR(_xlfn.XLOOKUP(tbl_Ventes[[#This Row],[Cde_Prdt]], tbl_Produits[Cde_Prdt], tbl_Produits[Coût Moyen Portion]), 0)</f>
        <v>0</v>
      </c>
      <c r="I472" s="7">
        <f>tbl_Ventes[[#This Row],[Qté Vendue]] * tbl_Ventes[[#This Row],[CMP_par_portion]]</f>
        <v>0</v>
      </c>
      <c r="J472" s="7">
        <f>tbl_Ventes[[#This Row],[CA ligne]] - tbl_Ventes[[#This Row],[Coût matière ligne]]</f>
        <v>0</v>
      </c>
      <c r="K472" s="7" t="str">
        <f>IFERROR(INDEX(tbl_ProduitsRef[Famille], MATCH(tbl_Ventes[[#This Row],[Cde_Prdt]], tbl_Produits[Cde_Prdt], 0)), "")</f>
        <v/>
      </c>
    </row>
    <row r="473" spans="1:11" x14ac:dyDescent="0.25">
      <c r="A473" s="5"/>
      <c r="B473" s="63" t="str">
        <f>IFERROR(TEXT(tbl_Ventes[[#This Row],[Date]],"mm-aaaa"),"")</f>
        <v>01-1900</v>
      </c>
      <c r="D473" s="10" t="str">
        <f>IFERROR(
   INDEX(tbl_ProduitsRef[Cde_Prdt],MATCH(tbl_Ventes[[#This Row],[Produit]],tbl_ProduitsRef[Produit],0)),
   ""
)</f>
        <v/>
      </c>
      <c r="E473" s="7">
        <v>0</v>
      </c>
      <c r="F473" s="7" t="str">
        <f>IFERROR(
   INDEX(tbl_ProduitsRef[Prix Menu],MATCH(tbl_Ventes[[#This Row],[Produit]],tbl_ProduitsRef[Produit],0)),
   ""
)</f>
        <v/>
      </c>
      <c r="G473" s="7">
        <f>tbl_Ventes[[#This Row],[Qté Vendue]] * IFERROR(_xlfn.XLOOKUP(tbl_Ventes[[#This Row],[Cde_Prdt]], tbl_Produits[Cde_Prdt], tbl_Produits[Prix Menu]), 0)</f>
        <v>0</v>
      </c>
      <c r="H473" s="7">
        <f>IFERROR(_xlfn.XLOOKUP(tbl_Ventes[[#This Row],[Cde_Prdt]], tbl_Produits[Cde_Prdt], tbl_Produits[Coût Moyen Portion]), 0)</f>
        <v>0</v>
      </c>
      <c r="I473" s="7">
        <f>tbl_Ventes[[#This Row],[Qté Vendue]] * tbl_Ventes[[#This Row],[CMP_par_portion]]</f>
        <v>0</v>
      </c>
      <c r="J473" s="7">
        <f>tbl_Ventes[[#This Row],[CA ligne]] - tbl_Ventes[[#This Row],[Coût matière ligne]]</f>
        <v>0</v>
      </c>
      <c r="K473" s="7" t="str">
        <f>IFERROR(INDEX(tbl_ProduitsRef[Famille], MATCH(tbl_Ventes[[#This Row],[Cde_Prdt]], tbl_Produits[Cde_Prdt], 0)), "")</f>
        <v/>
      </c>
    </row>
    <row r="474" spans="1:11" x14ac:dyDescent="0.25">
      <c r="A474" s="5"/>
      <c r="B474" s="63" t="str">
        <f>IFERROR(TEXT(tbl_Ventes[[#This Row],[Date]],"mm-aaaa"),"")</f>
        <v>01-1900</v>
      </c>
      <c r="D474" s="10" t="str">
        <f>IFERROR(
   INDEX(tbl_ProduitsRef[Cde_Prdt],MATCH(tbl_Ventes[[#This Row],[Produit]],tbl_ProduitsRef[Produit],0)),
   ""
)</f>
        <v/>
      </c>
      <c r="E474" s="7">
        <v>0</v>
      </c>
      <c r="F474" s="7" t="str">
        <f>IFERROR(
   INDEX(tbl_ProduitsRef[Prix Menu],MATCH(tbl_Ventes[[#This Row],[Produit]],tbl_ProduitsRef[Produit],0)),
   ""
)</f>
        <v/>
      </c>
      <c r="G474" s="7">
        <f>tbl_Ventes[[#This Row],[Qté Vendue]] * IFERROR(_xlfn.XLOOKUP(tbl_Ventes[[#This Row],[Cde_Prdt]], tbl_Produits[Cde_Prdt], tbl_Produits[Prix Menu]), 0)</f>
        <v>0</v>
      </c>
      <c r="H474" s="7">
        <f>IFERROR(_xlfn.XLOOKUP(tbl_Ventes[[#This Row],[Cde_Prdt]], tbl_Produits[Cde_Prdt], tbl_Produits[Coût Moyen Portion]), 0)</f>
        <v>0</v>
      </c>
      <c r="I474" s="7">
        <f>tbl_Ventes[[#This Row],[Qté Vendue]] * tbl_Ventes[[#This Row],[CMP_par_portion]]</f>
        <v>0</v>
      </c>
      <c r="J474" s="7">
        <f>tbl_Ventes[[#This Row],[CA ligne]] - tbl_Ventes[[#This Row],[Coût matière ligne]]</f>
        <v>0</v>
      </c>
      <c r="K474" s="7" t="str">
        <f>IFERROR(INDEX(tbl_ProduitsRef[Famille], MATCH(tbl_Ventes[[#This Row],[Cde_Prdt]], tbl_Produits[Cde_Prdt], 0)), "")</f>
        <v/>
      </c>
    </row>
    <row r="475" spans="1:11" x14ac:dyDescent="0.25">
      <c r="A475" s="5"/>
      <c r="B475" s="63" t="str">
        <f>IFERROR(TEXT(tbl_Ventes[[#This Row],[Date]],"mm-aaaa"),"")</f>
        <v>01-1900</v>
      </c>
      <c r="D475" s="10" t="str">
        <f>IFERROR(
   INDEX(tbl_ProduitsRef[Cde_Prdt],MATCH(tbl_Ventes[[#This Row],[Produit]],tbl_ProduitsRef[Produit],0)),
   ""
)</f>
        <v/>
      </c>
      <c r="E475" s="7">
        <v>0</v>
      </c>
      <c r="F475" s="7" t="str">
        <f>IFERROR(
   INDEX(tbl_ProduitsRef[Prix Menu],MATCH(tbl_Ventes[[#This Row],[Produit]],tbl_ProduitsRef[Produit],0)),
   ""
)</f>
        <v/>
      </c>
      <c r="G475" s="7">
        <f>tbl_Ventes[[#This Row],[Qté Vendue]] * IFERROR(_xlfn.XLOOKUP(tbl_Ventes[[#This Row],[Cde_Prdt]], tbl_Produits[Cde_Prdt], tbl_Produits[Prix Menu]), 0)</f>
        <v>0</v>
      </c>
      <c r="H475" s="7">
        <f>IFERROR(_xlfn.XLOOKUP(tbl_Ventes[[#This Row],[Cde_Prdt]], tbl_Produits[Cde_Prdt], tbl_Produits[Coût Moyen Portion]), 0)</f>
        <v>0</v>
      </c>
      <c r="I475" s="7">
        <f>tbl_Ventes[[#This Row],[Qté Vendue]] * tbl_Ventes[[#This Row],[CMP_par_portion]]</f>
        <v>0</v>
      </c>
      <c r="J475" s="7">
        <f>tbl_Ventes[[#This Row],[CA ligne]] - tbl_Ventes[[#This Row],[Coût matière ligne]]</f>
        <v>0</v>
      </c>
      <c r="K475" s="7" t="str">
        <f>IFERROR(INDEX(tbl_ProduitsRef[Famille], MATCH(tbl_Ventes[[#This Row],[Cde_Prdt]], tbl_Produits[Cde_Prdt], 0)), "")</f>
        <v/>
      </c>
    </row>
    <row r="476" spans="1:11" x14ac:dyDescent="0.25">
      <c r="A476" s="5"/>
      <c r="B476" s="63" t="str">
        <f>IFERROR(TEXT(tbl_Ventes[[#This Row],[Date]],"mm-aaaa"),"")</f>
        <v>01-1900</v>
      </c>
      <c r="D476" s="10" t="str">
        <f>IFERROR(
   INDEX(tbl_ProduitsRef[Cde_Prdt],MATCH(tbl_Ventes[[#This Row],[Produit]],tbl_ProduitsRef[Produit],0)),
   ""
)</f>
        <v/>
      </c>
      <c r="E476" s="7">
        <v>0</v>
      </c>
      <c r="F476" s="7" t="str">
        <f>IFERROR(
   INDEX(tbl_ProduitsRef[Prix Menu],MATCH(tbl_Ventes[[#This Row],[Produit]],tbl_ProduitsRef[Produit],0)),
   ""
)</f>
        <v/>
      </c>
      <c r="G476" s="7">
        <f>tbl_Ventes[[#This Row],[Qté Vendue]] * IFERROR(_xlfn.XLOOKUP(tbl_Ventes[[#This Row],[Cde_Prdt]], tbl_Produits[Cde_Prdt], tbl_Produits[Prix Menu]), 0)</f>
        <v>0</v>
      </c>
      <c r="H476" s="7">
        <f>IFERROR(_xlfn.XLOOKUP(tbl_Ventes[[#This Row],[Cde_Prdt]], tbl_Produits[Cde_Prdt], tbl_Produits[Coût Moyen Portion]), 0)</f>
        <v>0</v>
      </c>
      <c r="I476" s="7">
        <f>tbl_Ventes[[#This Row],[Qté Vendue]] * tbl_Ventes[[#This Row],[CMP_par_portion]]</f>
        <v>0</v>
      </c>
      <c r="J476" s="7">
        <f>tbl_Ventes[[#This Row],[CA ligne]] - tbl_Ventes[[#This Row],[Coût matière ligne]]</f>
        <v>0</v>
      </c>
      <c r="K476" s="7" t="str">
        <f>IFERROR(INDEX(tbl_ProduitsRef[Famille], MATCH(tbl_Ventes[[#This Row],[Cde_Prdt]], tbl_Produits[Cde_Prdt], 0)), "")</f>
        <v/>
      </c>
    </row>
    <row r="477" spans="1:11" x14ac:dyDescent="0.25">
      <c r="A477" s="5"/>
      <c r="B477" s="63" t="str">
        <f>IFERROR(TEXT(tbl_Ventes[[#This Row],[Date]],"mm-aaaa"),"")</f>
        <v>01-1900</v>
      </c>
      <c r="D477" s="10" t="str">
        <f>IFERROR(
   INDEX(tbl_ProduitsRef[Cde_Prdt],MATCH(tbl_Ventes[[#This Row],[Produit]],tbl_ProduitsRef[Produit],0)),
   ""
)</f>
        <v/>
      </c>
      <c r="E477" s="7">
        <v>0</v>
      </c>
      <c r="F477" s="7" t="str">
        <f>IFERROR(
   INDEX(tbl_ProduitsRef[Prix Menu],MATCH(tbl_Ventes[[#This Row],[Produit]],tbl_ProduitsRef[Produit],0)),
   ""
)</f>
        <v/>
      </c>
      <c r="G477" s="7">
        <f>tbl_Ventes[[#This Row],[Qté Vendue]] * IFERROR(_xlfn.XLOOKUP(tbl_Ventes[[#This Row],[Cde_Prdt]], tbl_Produits[Cde_Prdt], tbl_Produits[Prix Menu]), 0)</f>
        <v>0</v>
      </c>
      <c r="H477" s="7">
        <f>IFERROR(_xlfn.XLOOKUP(tbl_Ventes[[#This Row],[Cde_Prdt]], tbl_Produits[Cde_Prdt], tbl_Produits[Coût Moyen Portion]), 0)</f>
        <v>0</v>
      </c>
      <c r="I477" s="7">
        <f>tbl_Ventes[[#This Row],[Qté Vendue]] * tbl_Ventes[[#This Row],[CMP_par_portion]]</f>
        <v>0</v>
      </c>
      <c r="J477" s="7">
        <f>tbl_Ventes[[#This Row],[CA ligne]] - tbl_Ventes[[#This Row],[Coût matière ligne]]</f>
        <v>0</v>
      </c>
      <c r="K477" s="7" t="str">
        <f>IFERROR(INDEX(tbl_ProduitsRef[Famille], MATCH(tbl_Ventes[[#This Row],[Cde_Prdt]], tbl_Produits[Cde_Prdt], 0)), "")</f>
        <v/>
      </c>
    </row>
    <row r="478" spans="1:11" x14ac:dyDescent="0.25">
      <c r="A478" s="5"/>
      <c r="B478" s="63" t="str">
        <f>IFERROR(TEXT(tbl_Ventes[[#This Row],[Date]],"mm-aaaa"),"")</f>
        <v>01-1900</v>
      </c>
      <c r="D478" s="10" t="str">
        <f>IFERROR(
   INDEX(tbl_ProduitsRef[Cde_Prdt],MATCH(tbl_Ventes[[#This Row],[Produit]],tbl_ProduitsRef[Produit],0)),
   ""
)</f>
        <v/>
      </c>
      <c r="E478" s="7">
        <v>0</v>
      </c>
      <c r="F478" s="7" t="str">
        <f>IFERROR(
   INDEX(tbl_ProduitsRef[Prix Menu],MATCH(tbl_Ventes[[#This Row],[Produit]],tbl_ProduitsRef[Produit],0)),
   ""
)</f>
        <v/>
      </c>
      <c r="G478" s="7">
        <f>tbl_Ventes[[#This Row],[Qté Vendue]] * IFERROR(_xlfn.XLOOKUP(tbl_Ventes[[#This Row],[Cde_Prdt]], tbl_Produits[Cde_Prdt], tbl_Produits[Prix Menu]), 0)</f>
        <v>0</v>
      </c>
      <c r="H478" s="7">
        <f>IFERROR(_xlfn.XLOOKUP(tbl_Ventes[[#This Row],[Cde_Prdt]], tbl_Produits[Cde_Prdt], tbl_Produits[Coût Moyen Portion]), 0)</f>
        <v>0</v>
      </c>
      <c r="I478" s="7">
        <f>tbl_Ventes[[#This Row],[Qté Vendue]] * tbl_Ventes[[#This Row],[CMP_par_portion]]</f>
        <v>0</v>
      </c>
      <c r="J478" s="7">
        <f>tbl_Ventes[[#This Row],[CA ligne]] - tbl_Ventes[[#This Row],[Coût matière ligne]]</f>
        <v>0</v>
      </c>
      <c r="K478" s="7" t="str">
        <f>IFERROR(INDEX(tbl_ProduitsRef[Famille], MATCH(tbl_Ventes[[#This Row],[Cde_Prdt]], tbl_Produits[Cde_Prdt], 0)), "")</f>
        <v/>
      </c>
    </row>
    <row r="479" spans="1:11" x14ac:dyDescent="0.25">
      <c r="A479" s="5"/>
      <c r="B479" s="63" t="str">
        <f>IFERROR(TEXT(tbl_Ventes[[#This Row],[Date]],"mm-aaaa"),"")</f>
        <v>01-1900</v>
      </c>
      <c r="D479" s="10" t="str">
        <f>IFERROR(
   INDEX(tbl_ProduitsRef[Cde_Prdt],MATCH(tbl_Ventes[[#This Row],[Produit]],tbl_ProduitsRef[Produit],0)),
   ""
)</f>
        <v/>
      </c>
      <c r="E479" s="7">
        <v>0</v>
      </c>
      <c r="F479" s="7" t="str">
        <f>IFERROR(
   INDEX(tbl_ProduitsRef[Prix Menu],MATCH(tbl_Ventes[[#This Row],[Produit]],tbl_ProduitsRef[Produit],0)),
   ""
)</f>
        <v/>
      </c>
      <c r="G479" s="7">
        <f>tbl_Ventes[[#This Row],[Qté Vendue]] * IFERROR(_xlfn.XLOOKUP(tbl_Ventes[[#This Row],[Cde_Prdt]], tbl_Produits[Cde_Prdt], tbl_Produits[Prix Menu]), 0)</f>
        <v>0</v>
      </c>
      <c r="H479" s="7">
        <f>IFERROR(_xlfn.XLOOKUP(tbl_Ventes[[#This Row],[Cde_Prdt]], tbl_Produits[Cde_Prdt], tbl_Produits[Coût Moyen Portion]), 0)</f>
        <v>0</v>
      </c>
      <c r="I479" s="7">
        <f>tbl_Ventes[[#This Row],[Qté Vendue]] * tbl_Ventes[[#This Row],[CMP_par_portion]]</f>
        <v>0</v>
      </c>
      <c r="J479" s="7">
        <f>tbl_Ventes[[#This Row],[CA ligne]] - tbl_Ventes[[#This Row],[Coût matière ligne]]</f>
        <v>0</v>
      </c>
      <c r="K479" s="7" t="str">
        <f>IFERROR(INDEX(tbl_ProduitsRef[Famille], MATCH(tbl_Ventes[[#This Row],[Cde_Prdt]], tbl_Produits[Cde_Prdt], 0)), "")</f>
        <v/>
      </c>
    </row>
    <row r="480" spans="1:11" x14ac:dyDescent="0.25">
      <c r="A480" s="5"/>
      <c r="B480" s="63" t="str">
        <f>IFERROR(TEXT(tbl_Ventes[[#This Row],[Date]],"mm-aaaa"),"")</f>
        <v>01-1900</v>
      </c>
      <c r="D480" s="10" t="str">
        <f>IFERROR(
   INDEX(tbl_ProduitsRef[Cde_Prdt],MATCH(tbl_Ventes[[#This Row],[Produit]],tbl_ProduitsRef[Produit],0)),
   ""
)</f>
        <v/>
      </c>
      <c r="E480" s="7">
        <v>0</v>
      </c>
      <c r="F480" s="7" t="str">
        <f>IFERROR(
   INDEX(tbl_ProduitsRef[Prix Menu],MATCH(tbl_Ventes[[#This Row],[Produit]],tbl_ProduitsRef[Produit],0)),
   ""
)</f>
        <v/>
      </c>
      <c r="G480" s="7">
        <f>tbl_Ventes[[#This Row],[Qté Vendue]] * IFERROR(_xlfn.XLOOKUP(tbl_Ventes[[#This Row],[Cde_Prdt]], tbl_Produits[Cde_Prdt], tbl_Produits[Prix Menu]), 0)</f>
        <v>0</v>
      </c>
      <c r="H480" s="7">
        <f>IFERROR(_xlfn.XLOOKUP(tbl_Ventes[[#This Row],[Cde_Prdt]], tbl_Produits[Cde_Prdt], tbl_Produits[Coût Moyen Portion]), 0)</f>
        <v>0</v>
      </c>
      <c r="I480" s="7">
        <f>tbl_Ventes[[#This Row],[Qté Vendue]] * tbl_Ventes[[#This Row],[CMP_par_portion]]</f>
        <v>0</v>
      </c>
      <c r="J480" s="7">
        <f>tbl_Ventes[[#This Row],[CA ligne]] - tbl_Ventes[[#This Row],[Coût matière ligne]]</f>
        <v>0</v>
      </c>
      <c r="K480" s="7" t="str">
        <f>IFERROR(INDEX(tbl_ProduitsRef[Famille], MATCH(tbl_Ventes[[#This Row],[Cde_Prdt]], tbl_Produits[Cde_Prdt], 0)), "")</f>
        <v/>
      </c>
    </row>
    <row r="481" spans="1:11" x14ac:dyDescent="0.25">
      <c r="A481" s="5"/>
      <c r="B481" s="63" t="str">
        <f>IFERROR(TEXT(tbl_Ventes[[#This Row],[Date]],"mm-aaaa"),"")</f>
        <v>01-1900</v>
      </c>
      <c r="D481" s="10" t="str">
        <f>IFERROR(
   INDEX(tbl_ProduitsRef[Cde_Prdt],MATCH(tbl_Ventes[[#This Row],[Produit]],tbl_ProduitsRef[Produit],0)),
   ""
)</f>
        <v/>
      </c>
      <c r="E481" s="7">
        <v>0</v>
      </c>
      <c r="F481" s="7" t="str">
        <f>IFERROR(
   INDEX(tbl_ProduitsRef[Prix Menu],MATCH(tbl_Ventes[[#This Row],[Produit]],tbl_ProduitsRef[Produit],0)),
   ""
)</f>
        <v/>
      </c>
      <c r="G481" s="7">
        <f>tbl_Ventes[[#This Row],[Qté Vendue]] * IFERROR(_xlfn.XLOOKUP(tbl_Ventes[[#This Row],[Cde_Prdt]], tbl_Produits[Cde_Prdt], tbl_Produits[Prix Menu]), 0)</f>
        <v>0</v>
      </c>
      <c r="H481" s="7">
        <f>IFERROR(_xlfn.XLOOKUP(tbl_Ventes[[#This Row],[Cde_Prdt]], tbl_Produits[Cde_Prdt], tbl_Produits[Coût Moyen Portion]), 0)</f>
        <v>0</v>
      </c>
      <c r="I481" s="7">
        <f>tbl_Ventes[[#This Row],[Qté Vendue]] * tbl_Ventes[[#This Row],[CMP_par_portion]]</f>
        <v>0</v>
      </c>
      <c r="J481" s="7">
        <f>tbl_Ventes[[#This Row],[CA ligne]] - tbl_Ventes[[#This Row],[Coût matière ligne]]</f>
        <v>0</v>
      </c>
      <c r="K481" s="7" t="str">
        <f>IFERROR(INDEX(tbl_ProduitsRef[Famille], MATCH(tbl_Ventes[[#This Row],[Cde_Prdt]], tbl_Produits[Cde_Prdt], 0)), "")</f>
        <v/>
      </c>
    </row>
    <row r="482" spans="1:11" x14ac:dyDescent="0.25">
      <c r="A482" s="5"/>
      <c r="B482" s="63" t="str">
        <f>IFERROR(TEXT(tbl_Ventes[[#This Row],[Date]],"mm-aaaa"),"")</f>
        <v>01-1900</v>
      </c>
      <c r="D482" s="10" t="str">
        <f>IFERROR(
   INDEX(tbl_ProduitsRef[Cde_Prdt],MATCH(tbl_Ventes[[#This Row],[Produit]],tbl_ProduitsRef[Produit],0)),
   ""
)</f>
        <v/>
      </c>
      <c r="E482" s="7">
        <v>0</v>
      </c>
      <c r="F482" s="7" t="str">
        <f>IFERROR(
   INDEX(tbl_ProduitsRef[Prix Menu],MATCH(tbl_Ventes[[#This Row],[Produit]],tbl_ProduitsRef[Produit],0)),
   ""
)</f>
        <v/>
      </c>
      <c r="G482" s="7">
        <f>tbl_Ventes[[#This Row],[Qté Vendue]] * IFERROR(_xlfn.XLOOKUP(tbl_Ventes[[#This Row],[Cde_Prdt]], tbl_Produits[Cde_Prdt], tbl_Produits[Prix Menu]), 0)</f>
        <v>0</v>
      </c>
      <c r="H482" s="7">
        <f>IFERROR(_xlfn.XLOOKUP(tbl_Ventes[[#This Row],[Cde_Prdt]], tbl_Produits[Cde_Prdt], tbl_Produits[Coût Moyen Portion]), 0)</f>
        <v>0</v>
      </c>
      <c r="I482" s="7">
        <f>tbl_Ventes[[#This Row],[Qté Vendue]] * tbl_Ventes[[#This Row],[CMP_par_portion]]</f>
        <v>0</v>
      </c>
      <c r="J482" s="7">
        <f>tbl_Ventes[[#This Row],[CA ligne]] - tbl_Ventes[[#This Row],[Coût matière ligne]]</f>
        <v>0</v>
      </c>
      <c r="K482" s="7" t="str">
        <f>IFERROR(INDEX(tbl_ProduitsRef[Famille], MATCH(tbl_Ventes[[#This Row],[Cde_Prdt]], tbl_Produits[Cde_Prdt], 0)), "")</f>
        <v/>
      </c>
    </row>
    <row r="483" spans="1:11" x14ac:dyDescent="0.25">
      <c r="A483" s="5"/>
      <c r="B483" s="63" t="str">
        <f>IFERROR(TEXT(tbl_Ventes[[#This Row],[Date]],"mm-aaaa"),"")</f>
        <v>01-1900</v>
      </c>
      <c r="D483" s="10" t="str">
        <f>IFERROR(
   INDEX(tbl_ProduitsRef[Cde_Prdt],MATCH(tbl_Ventes[[#This Row],[Produit]],tbl_ProduitsRef[Produit],0)),
   ""
)</f>
        <v/>
      </c>
      <c r="E483" s="7">
        <v>0</v>
      </c>
      <c r="F483" s="7" t="str">
        <f>IFERROR(
   INDEX(tbl_ProduitsRef[Prix Menu],MATCH(tbl_Ventes[[#This Row],[Produit]],tbl_ProduitsRef[Produit],0)),
   ""
)</f>
        <v/>
      </c>
      <c r="G483" s="7">
        <f>tbl_Ventes[[#This Row],[Qté Vendue]] * IFERROR(_xlfn.XLOOKUP(tbl_Ventes[[#This Row],[Cde_Prdt]], tbl_Produits[Cde_Prdt], tbl_Produits[Prix Menu]), 0)</f>
        <v>0</v>
      </c>
      <c r="H483" s="7">
        <f>IFERROR(_xlfn.XLOOKUP(tbl_Ventes[[#This Row],[Cde_Prdt]], tbl_Produits[Cde_Prdt], tbl_Produits[Coût Moyen Portion]), 0)</f>
        <v>0</v>
      </c>
      <c r="I483" s="7">
        <f>tbl_Ventes[[#This Row],[Qté Vendue]] * tbl_Ventes[[#This Row],[CMP_par_portion]]</f>
        <v>0</v>
      </c>
      <c r="J483" s="7">
        <f>tbl_Ventes[[#This Row],[CA ligne]] - tbl_Ventes[[#This Row],[Coût matière ligne]]</f>
        <v>0</v>
      </c>
      <c r="K483" s="7" t="str">
        <f>IFERROR(INDEX(tbl_ProduitsRef[Famille], MATCH(tbl_Ventes[[#This Row],[Cde_Prdt]], tbl_Produits[Cde_Prdt], 0)), "")</f>
        <v/>
      </c>
    </row>
    <row r="484" spans="1:11" x14ac:dyDescent="0.25">
      <c r="A484" s="5"/>
      <c r="B484" s="63" t="str">
        <f>IFERROR(TEXT(tbl_Ventes[[#This Row],[Date]],"mm-aaaa"),"")</f>
        <v>01-1900</v>
      </c>
      <c r="D484" s="10" t="str">
        <f>IFERROR(
   INDEX(tbl_ProduitsRef[Cde_Prdt],MATCH(tbl_Ventes[[#This Row],[Produit]],tbl_ProduitsRef[Produit],0)),
   ""
)</f>
        <v/>
      </c>
      <c r="E484" s="7">
        <v>0</v>
      </c>
      <c r="F484" s="7" t="str">
        <f>IFERROR(
   INDEX(tbl_ProduitsRef[Prix Menu],MATCH(tbl_Ventes[[#This Row],[Produit]],tbl_ProduitsRef[Produit],0)),
   ""
)</f>
        <v/>
      </c>
      <c r="G484" s="7">
        <f>tbl_Ventes[[#This Row],[Qté Vendue]] * IFERROR(_xlfn.XLOOKUP(tbl_Ventes[[#This Row],[Cde_Prdt]], tbl_Produits[Cde_Prdt], tbl_Produits[Prix Menu]), 0)</f>
        <v>0</v>
      </c>
      <c r="H484" s="7">
        <f>IFERROR(_xlfn.XLOOKUP(tbl_Ventes[[#This Row],[Cde_Prdt]], tbl_Produits[Cde_Prdt], tbl_Produits[Coût Moyen Portion]), 0)</f>
        <v>0</v>
      </c>
      <c r="I484" s="7">
        <f>tbl_Ventes[[#This Row],[Qté Vendue]] * tbl_Ventes[[#This Row],[CMP_par_portion]]</f>
        <v>0</v>
      </c>
      <c r="J484" s="7">
        <f>tbl_Ventes[[#This Row],[CA ligne]] - tbl_Ventes[[#This Row],[Coût matière ligne]]</f>
        <v>0</v>
      </c>
      <c r="K484" s="7" t="str">
        <f>IFERROR(INDEX(tbl_ProduitsRef[Famille], MATCH(tbl_Ventes[[#This Row],[Cde_Prdt]], tbl_Produits[Cde_Prdt], 0)), "")</f>
        <v/>
      </c>
    </row>
    <row r="485" spans="1:11" x14ac:dyDescent="0.25">
      <c r="A485" s="5"/>
      <c r="B485" s="63" t="str">
        <f>IFERROR(TEXT(tbl_Ventes[[#This Row],[Date]],"mm-aaaa"),"")</f>
        <v>01-1900</v>
      </c>
      <c r="D485" s="10" t="str">
        <f>IFERROR(
   INDEX(tbl_ProduitsRef[Cde_Prdt],MATCH(tbl_Ventes[[#This Row],[Produit]],tbl_ProduitsRef[Produit],0)),
   ""
)</f>
        <v/>
      </c>
      <c r="E485" s="7">
        <v>0</v>
      </c>
      <c r="F485" s="7" t="str">
        <f>IFERROR(
   INDEX(tbl_ProduitsRef[Prix Menu],MATCH(tbl_Ventes[[#This Row],[Produit]],tbl_ProduitsRef[Produit],0)),
   ""
)</f>
        <v/>
      </c>
      <c r="G485" s="7">
        <f>tbl_Ventes[[#This Row],[Qté Vendue]] * IFERROR(_xlfn.XLOOKUP(tbl_Ventes[[#This Row],[Cde_Prdt]], tbl_Produits[Cde_Prdt], tbl_Produits[Prix Menu]), 0)</f>
        <v>0</v>
      </c>
      <c r="H485" s="7">
        <f>IFERROR(_xlfn.XLOOKUP(tbl_Ventes[[#This Row],[Cde_Prdt]], tbl_Produits[Cde_Prdt], tbl_Produits[Coût Moyen Portion]), 0)</f>
        <v>0</v>
      </c>
      <c r="I485" s="7">
        <f>tbl_Ventes[[#This Row],[Qté Vendue]] * tbl_Ventes[[#This Row],[CMP_par_portion]]</f>
        <v>0</v>
      </c>
      <c r="J485" s="7">
        <f>tbl_Ventes[[#This Row],[CA ligne]] - tbl_Ventes[[#This Row],[Coût matière ligne]]</f>
        <v>0</v>
      </c>
      <c r="K485" s="7" t="str">
        <f>IFERROR(INDEX(tbl_ProduitsRef[Famille], MATCH(tbl_Ventes[[#This Row],[Cde_Prdt]], tbl_Produits[Cde_Prdt], 0)), "")</f>
        <v/>
      </c>
    </row>
    <row r="486" spans="1:11" x14ac:dyDescent="0.25">
      <c r="A486" s="5"/>
      <c r="B486" s="63" t="str">
        <f>IFERROR(TEXT(tbl_Ventes[[#This Row],[Date]],"mm-aaaa"),"")</f>
        <v>01-1900</v>
      </c>
      <c r="D486" s="10" t="str">
        <f>IFERROR(
   INDEX(tbl_ProduitsRef[Cde_Prdt],MATCH(tbl_Ventes[[#This Row],[Produit]],tbl_ProduitsRef[Produit],0)),
   ""
)</f>
        <v/>
      </c>
      <c r="E486" s="7">
        <v>0</v>
      </c>
      <c r="F486" s="7" t="str">
        <f>IFERROR(
   INDEX(tbl_ProduitsRef[Prix Menu],MATCH(tbl_Ventes[[#This Row],[Produit]],tbl_ProduitsRef[Produit],0)),
   ""
)</f>
        <v/>
      </c>
      <c r="G486" s="7">
        <f>tbl_Ventes[[#This Row],[Qté Vendue]] * IFERROR(_xlfn.XLOOKUP(tbl_Ventes[[#This Row],[Cde_Prdt]], tbl_Produits[Cde_Prdt], tbl_Produits[Prix Menu]), 0)</f>
        <v>0</v>
      </c>
      <c r="H486" s="7">
        <f>IFERROR(_xlfn.XLOOKUP(tbl_Ventes[[#This Row],[Cde_Prdt]], tbl_Produits[Cde_Prdt], tbl_Produits[Coût Moyen Portion]), 0)</f>
        <v>0</v>
      </c>
      <c r="I486" s="7">
        <f>tbl_Ventes[[#This Row],[Qté Vendue]] * tbl_Ventes[[#This Row],[CMP_par_portion]]</f>
        <v>0</v>
      </c>
      <c r="J486" s="7">
        <f>tbl_Ventes[[#This Row],[CA ligne]] - tbl_Ventes[[#This Row],[Coût matière ligne]]</f>
        <v>0</v>
      </c>
      <c r="K486" s="7" t="str">
        <f>IFERROR(INDEX(tbl_ProduitsRef[Famille], MATCH(tbl_Ventes[[#This Row],[Cde_Prdt]], tbl_Produits[Cde_Prdt], 0)), "")</f>
        <v/>
      </c>
    </row>
    <row r="487" spans="1:11" x14ac:dyDescent="0.25">
      <c r="A487" s="5"/>
      <c r="B487" s="63" t="str">
        <f>IFERROR(TEXT(tbl_Ventes[[#This Row],[Date]],"mm-aaaa"),"")</f>
        <v>01-1900</v>
      </c>
      <c r="D487" s="10" t="str">
        <f>IFERROR(
   INDEX(tbl_ProduitsRef[Cde_Prdt],MATCH(tbl_Ventes[[#This Row],[Produit]],tbl_ProduitsRef[Produit],0)),
   ""
)</f>
        <v/>
      </c>
      <c r="E487" s="7">
        <v>0</v>
      </c>
      <c r="F487" s="7" t="str">
        <f>IFERROR(
   INDEX(tbl_ProduitsRef[Prix Menu],MATCH(tbl_Ventes[[#This Row],[Produit]],tbl_ProduitsRef[Produit],0)),
   ""
)</f>
        <v/>
      </c>
      <c r="G487" s="7">
        <f>tbl_Ventes[[#This Row],[Qté Vendue]] * IFERROR(_xlfn.XLOOKUP(tbl_Ventes[[#This Row],[Cde_Prdt]], tbl_Produits[Cde_Prdt], tbl_Produits[Prix Menu]), 0)</f>
        <v>0</v>
      </c>
      <c r="H487" s="7">
        <f>IFERROR(_xlfn.XLOOKUP(tbl_Ventes[[#This Row],[Cde_Prdt]], tbl_Produits[Cde_Prdt], tbl_Produits[Coût Moyen Portion]), 0)</f>
        <v>0</v>
      </c>
      <c r="I487" s="7">
        <f>tbl_Ventes[[#This Row],[Qté Vendue]] * tbl_Ventes[[#This Row],[CMP_par_portion]]</f>
        <v>0</v>
      </c>
      <c r="J487" s="7">
        <f>tbl_Ventes[[#This Row],[CA ligne]] - tbl_Ventes[[#This Row],[Coût matière ligne]]</f>
        <v>0</v>
      </c>
      <c r="K487" s="7" t="str">
        <f>IFERROR(INDEX(tbl_ProduitsRef[Famille], MATCH(tbl_Ventes[[#This Row],[Cde_Prdt]], tbl_Produits[Cde_Prdt], 0)), "")</f>
        <v/>
      </c>
    </row>
    <row r="488" spans="1:11" x14ac:dyDescent="0.25">
      <c r="A488" s="5"/>
      <c r="B488" s="63" t="str">
        <f>IFERROR(TEXT(tbl_Ventes[[#This Row],[Date]],"mm-aaaa"),"")</f>
        <v>01-1900</v>
      </c>
      <c r="D488" s="10" t="str">
        <f>IFERROR(
   INDEX(tbl_ProduitsRef[Cde_Prdt],MATCH(tbl_Ventes[[#This Row],[Produit]],tbl_ProduitsRef[Produit],0)),
   ""
)</f>
        <v/>
      </c>
      <c r="E488" s="7">
        <v>0</v>
      </c>
      <c r="F488" s="7" t="str">
        <f>IFERROR(
   INDEX(tbl_ProduitsRef[Prix Menu],MATCH(tbl_Ventes[[#This Row],[Produit]],tbl_ProduitsRef[Produit],0)),
   ""
)</f>
        <v/>
      </c>
      <c r="G488" s="7">
        <f>tbl_Ventes[[#This Row],[Qté Vendue]] * IFERROR(_xlfn.XLOOKUP(tbl_Ventes[[#This Row],[Cde_Prdt]], tbl_Produits[Cde_Prdt], tbl_Produits[Prix Menu]), 0)</f>
        <v>0</v>
      </c>
      <c r="H488" s="7">
        <f>IFERROR(_xlfn.XLOOKUP(tbl_Ventes[[#This Row],[Cde_Prdt]], tbl_Produits[Cde_Prdt], tbl_Produits[Coût Moyen Portion]), 0)</f>
        <v>0</v>
      </c>
      <c r="I488" s="7">
        <f>tbl_Ventes[[#This Row],[Qté Vendue]] * tbl_Ventes[[#This Row],[CMP_par_portion]]</f>
        <v>0</v>
      </c>
      <c r="J488" s="7">
        <f>tbl_Ventes[[#This Row],[CA ligne]] - tbl_Ventes[[#This Row],[Coût matière ligne]]</f>
        <v>0</v>
      </c>
      <c r="K488" s="7" t="str">
        <f>IFERROR(INDEX(tbl_ProduitsRef[Famille], MATCH(tbl_Ventes[[#This Row],[Cde_Prdt]], tbl_Produits[Cde_Prdt], 0)), "")</f>
        <v/>
      </c>
    </row>
    <row r="489" spans="1:11" x14ac:dyDescent="0.25">
      <c r="A489" s="5"/>
      <c r="B489" s="63" t="str">
        <f>IFERROR(TEXT(tbl_Ventes[[#This Row],[Date]],"mm-aaaa"),"")</f>
        <v>01-1900</v>
      </c>
      <c r="D489" s="10" t="str">
        <f>IFERROR(
   INDEX(tbl_ProduitsRef[Cde_Prdt],MATCH(tbl_Ventes[[#This Row],[Produit]],tbl_ProduitsRef[Produit],0)),
   ""
)</f>
        <v/>
      </c>
      <c r="E489" s="7">
        <v>0</v>
      </c>
      <c r="F489" s="7" t="str">
        <f>IFERROR(
   INDEX(tbl_ProduitsRef[Prix Menu],MATCH(tbl_Ventes[[#This Row],[Produit]],tbl_ProduitsRef[Produit],0)),
   ""
)</f>
        <v/>
      </c>
      <c r="G489" s="7">
        <f>tbl_Ventes[[#This Row],[Qté Vendue]] * IFERROR(_xlfn.XLOOKUP(tbl_Ventes[[#This Row],[Cde_Prdt]], tbl_Produits[Cde_Prdt], tbl_Produits[Prix Menu]), 0)</f>
        <v>0</v>
      </c>
      <c r="H489" s="7">
        <f>IFERROR(_xlfn.XLOOKUP(tbl_Ventes[[#This Row],[Cde_Prdt]], tbl_Produits[Cde_Prdt], tbl_Produits[Coût Moyen Portion]), 0)</f>
        <v>0</v>
      </c>
      <c r="I489" s="7">
        <f>tbl_Ventes[[#This Row],[Qté Vendue]] * tbl_Ventes[[#This Row],[CMP_par_portion]]</f>
        <v>0</v>
      </c>
      <c r="J489" s="7">
        <f>tbl_Ventes[[#This Row],[CA ligne]] - tbl_Ventes[[#This Row],[Coût matière ligne]]</f>
        <v>0</v>
      </c>
      <c r="K489" s="7" t="str">
        <f>IFERROR(INDEX(tbl_ProduitsRef[Famille], MATCH(tbl_Ventes[[#This Row],[Cde_Prdt]], tbl_Produits[Cde_Prdt], 0)), "")</f>
        <v/>
      </c>
    </row>
    <row r="490" spans="1:11" x14ac:dyDescent="0.25">
      <c r="A490" s="5"/>
      <c r="B490" s="63" t="str">
        <f>IFERROR(TEXT(tbl_Ventes[[#This Row],[Date]],"mm-aaaa"),"")</f>
        <v>01-1900</v>
      </c>
      <c r="D490" s="10" t="str">
        <f>IFERROR(
   INDEX(tbl_ProduitsRef[Cde_Prdt],MATCH(tbl_Ventes[[#This Row],[Produit]],tbl_ProduitsRef[Produit],0)),
   ""
)</f>
        <v/>
      </c>
      <c r="E490" s="7">
        <v>0</v>
      </c>
      <c r="F490" s="7" t="str">
        <f>IFERROR(
   INDEX(tbl_ProduitsRef[Prix Menu],MATCH(tbl_Ventes[[#This Row],[Produit]],tbl_ProduitsRef[Produit],0)),
   ""
)</f>
        <v/>
      </c>
      <c r="G490" s="7">
        <f>tbl_Ventes[[#This Row],[Qté Vendue]] * IFERROR(_xlfn.XLOOKUP(tbl_Ventes[[#This Row],[Cde_Prdt]], tbl_Produits[Cde_Prdt], tbl_Produits[Prix Menu]), 0)</f>
        <v>0</v>
      </c>
      <c r="H490" s="7">
        <f>IFERROR(_xlfn.XLOOKUP(tbl_Ventes[[#This Row],[Cde_Prdt]], tbl_Produits[Cde_Prdt], tbl_Produits[Coût Moyen Portion]), 0)</f>
        <v>0</v>
      </c>
      <c r="I490" s="7">
        <f>tbl_Ventes[[#This Row],[Qté Vendue]] * tbl_Ventes[[#This Row],[CMP_par_portion]]</f>
        <v>0</v>
      </c>
      <c r="J490" s="7">
        <f>tbl_Ventes[[#This Row],[CA ligne]] - tbl_Ventes[[#This Row],[Coût matière ligne]]</f>
        <v>0</v>
      </c>
      <c r="K490" s="7" t="str">
        <f>IFERROR(INDEX(tbl_ProduitsRef[Famille], MATCH(tbl_Ventes[[#This Row],[Cde_Prdt]], tbl_Produits[Cde_Prdt], 0)), "")</f>
        <v/>
      </c>
    </row>
    <row r="491" spans="1:11" x14ac:dyDescent="0.25">
      <c r="A491" s="5"/>
      <c r="B491" s="63" t="str">
        <f>IFERROR(TEXT(tbl_Ventes[[#This Row],[Date]],"mm-aaaa"),"")</f>
        <v>01-1900</v>
      </c>
      <c r="D491" s="10" t="str">
        <f>IFERROR(
   INDEX(tbl_ProduitsRef[Cde_Prdt],MATCH(tbl_Ventes[[#This Row],[Produit]],tbl_ProduitsRef[Produit],0)),
   ""
)</f>
        <v/>
      </c>
      <c r="E491" s="7">
        <v>0</v>
      </c>
      <c r="F491" s="7" t="str">
        <f>IFERROR(
   INDEX(tbl_ProduitsRef[Prix Menu],MATCH(tbl_Ventes[[#This Row],[Produit]],tbl_ProduitsRef[Produit],0)),
   ""
)</f>
        <v/>
      </c>
      <c r="G491" s="7">
        <f>tbl_Ventes[[#This Row],[Qté Vendue]] * IFERROR(_xlfn.XLOOKUP(tbl_Ventes[[#This Row],[Cde_Prdt]], tbl_Produits[Cde_Prdt], tbl_Produits[Prix Menu]), 0)</f>
        <v>0</v>
      </c>
      <c r="H491" s="7">
        <f>IFERROR(_xlfn.XLOOKUP(tbl_Ventes[[#This Row],[Cde_Prdt]], tbl_Produits[Cde_Prdt], tbl_Produits[Coût Moyen Portion]), 0)</f>
        <v>0</v>
      </c>
      <c r="I491" s="7">
        <f>tbl_Ventes[[#This Row],[Qté Vendue]] * tbl_Ventes[[#This Row],[CMP_par_portion]]</f>
        <v>0</v>
      </c>
      <c r="J491" s="7">
        <f>tbl_Ventes[[#This Row],[CA ligne]] - tbl_Ventes[[#This Row],[Coût matière ligne]]</f>
        <v>0</v>
      </c>
      <c r="K491" s="7" t="str">
        <f>IFERROR(INDEX(tbl_ProduitsRef[Famille], MATCH(tbl_Ventes[[#This Row],[Cde_Prdt]], tbl_Produits[Cde_Prdt], 0)), "")</f>
        <v/>
      </c>
    </row>
    <row r="492" spans="1:11" x14ac:dyDescent="0.25">
      <c r="A492" s="5"/>
      <c r="B492" s="63" t="str">
        <f>IFERROR(TEXT(tbl_Ventes[[#This Row],[Date]],"mm-aaaa"),"")</f>
        <v>01-1900</v>
      </c>
      <c r="D492" s="10" t="str">
        <f>IFERROR(
   INDEX(tbl_ProduitsRef[Cde_Prdt],MATCH(tbl_Ventes[[#This Row],[Produit]],tbl_ProduitsRef[Produit],0)),
   ""
)</f>
        <v/>
      </c>
      <c r="E492" s="7">
        <v>0</v>
      </c>
      <c r="F492" s="7" t="str">
        <f>IFERROR(
   INDEX(tbl_ProduitsRef[Prix Menu],MATCH(tbl_Ventes[[#This Row],[Produit]],tbl_ProduitsRef[Produit],0)),
   ""
)</f>
        <v/>
      </c>
      <c r="G492" s="7">
        <f>tbl_Ventes[[#This Row],[Qté Vendue]] * IFERROR(_xlfn.XLOOKUP(tbl_Ventes[[#This Row],[Cde_Prdt]], tbl_Produits[Cde_Prdt], tbl_Produits[Prix Menu]), 0)</f>
        <v>0</v>
      </c>
      <c r="H492" s="7">
        <f>IFERROR(_xlfn.XLOOKUP(tbl_Ventes[[#This Row],[Cde_Prdt]], tbl_Produits[Cde_Prdt], tbl_Produits[Coût Moyen Portion]), 0)</f>
        <v>0</v>
      </c>
      <c r="I492" s="7">
        <f>tbl_Ventes[[#This Row],[Qté Vendue]] * tbl_Ventes[[#This Row],[CMP_par_portion]]</f>
        <v>0</v>
      </c>
      <c r="J492" s="7">
        <f>tbl_Ventes[[#This Row],[CA ligne]] - tbl_Ventes[[#This Row],[Coût matière ligne]]</f>
        <v>0</v>
      </c>
      <c r="K492" s="7" t="str">
        <f>IFERROR(INDEX(tbl_ProduitsRef[Famille], MATCH(tbl_Ventes[[#This Row],[Cde_Prdt]], tbl_Produits[Cde_Prdt], 0)), "")</f>
        <v/>
      </c>
    </row>
    <row r="493" spans="1:11" x14ac:dyDescent="0.25">
      <c r="A493" s="5"/>
      <c r="B493" s="63" t="str">
        <f>IFERROR(TEXT(tbl_Ventes[[#This Row],[Date]],"mm-aaaa"),"")</f>
        <v>01-1900</v>
      </c>
      <c r="D493" s="10" t="str">
        <f>IFERROR(
   INDEX(tbl_ProduitsRef[Cde_Prdt],MATCH(tbl_Ventes[[#This Row],[Produit]],tbl_ProduitsRef[Produit],0)),
   ""
)</f>
        <v/>
      </c>
      <c r="E493" s="7">
        <v>0</v>
      </c>
      <c r="F493" s="7" t="str">
        <f>IFERROR(
   INDEX(tbl_ProduitsRef[Prix Menu],MATCH(tbl_Ventes[[#This Row],[Produit]],tbl_ProduitsRef[Produit],0)),
   ""
)</f>
        <v/>
      </c>
      <c r="G493" s="7">
        <f>tbl_Ventes[[#This Row],[Qté Vendue]] * IFERROR(_xlfn.XLOOKUP(tbl_Ventes[[#This Row],[Cde_Prdt]], tbl_Produits[Cde_Prdt], tbl_Produits[Prix Menu]), 0)</f>
        <v>0</v>
      </c>
      <c r="H493" s="7">
        <f>IFERROR(_xlfn.XLOOKUP(tbl_Ventes[[#This Row],[Cde_Prdt]], tbl_Produits[Cde_Prdt], tbl_Produits[Coût Moyen Portion]), 0)</f>
        <v>0</v>
      </c>
      <c r="I493" s="7">
        <f>tbl_Ventes[[#This Row],[Qté Vendue]] * tbl_Ventes[[#This Row],[CMP_par_portion]]</f>
        <v>0</v>
      </c>
      <c r="J493" s="7">
        <f>tbl_Ventes[[#This Row],[CA ligne]] - tbl_Ventes[[#This Row],[Coût matière ligne]]</f>
        <v>0</v>
      </c>
      <c r="K493" s="7" t="str">
        <f>IFERROR(INDEX(tbl_ProduitsRef[Famille], MATCH(tbl_Ventes[[#This Row],[Cde_Prdt]], tbl_Produits[Cde_Prdt], 0)), "")</f>
        <v/>
      </c>
    </row>
    <row r="494" spans="1:11" x14ac:dyDescent="0.25">
      <c r="A494" s="5"/>
      <c r="B494" s="63" t="str">
        <f>IFERROR(TEXT(tbl_Ventes[[#This Row],[Date]],"mm-aaaa"),"")</f>
        <v>01-1900</v>
      </c>
      <c r="D494" s="10" t="str">
        <f>IFERROR(
   INDEX(tbl_ProduitsRef[Cde_Prdt],MATCH(tbl_Ventes[[#This Row],[Produit]],tbl_ProduitsRef[Produit],0)),
   ""
)</f>
        <v/>
      </c>
      <c r="E494" s="7">
        <v>0</v>
      </c>
      <c r="F494" s="7" t="str">
        <f>IFERROR(
   INDEX(tbl_ProduitsRef[Prix Menu],MATCH(tbl_Ventes[[#This Row],[Produit]],tbl_ProduitsRef[Produit],0)),
   ""
)</f>
        <v/>
      </c>
      <c r="G494" s="7">
        <f>tbl_Ventes[[#This Row],[Qté Vendue]] * IFERROR(_xlfn.XLOOKUP(tbl_Ventes[[#This Row],[Cde_Prdt]], tbl_Produits[Cde_Prdt], tbl_Produits[Prix Menu]), 0)</f>
        <v>0</v>
      </c>
      <c r="H494" s="7">
        <f>IFERROR(_xlfn.XLOOKUP(tbl_Ventes[[#This Row],[Cde_Prdt]], tbl_Produits[Cde_Prdt], tbl_Produits[Coût Moyen Portion]), 0)</f>
        <v>0</v>
      </c>
      <c r="I494" s="7">
        <f>tbl_Ventes[[#This Row],[Qté Vendue]] * tbl_Ventes[[#This Row],[CMP_par_portion]]</f>
        <v>0</v>
      </c>
      <c r="J494" s="7">
        <f>tbl_Ventes[[#This Row],[CA ligne]] - tbl_Ventes[[#This Row],[Coût matière ligne]]</f>
        <v>0</v>
      </c>
      <c r="K494" s="7" t="str">
        <f>IFERROR(INDEX(tbl_ProduitsRef[Famille], MATCH(tbl_Ventes[[#This Row],[Cde_Prdt]], tbl_Produits[Cde_Prdt], 0)), "")</f>
        <v/>
      </c>
    </row>
    <row r="495" spans="1:11" x14ac:dyDescent="0.25">
      <c r="A495" s="5"/>
      <c r="B495" s="63" t="str">
        <f>IFERROR(TEXT(tbl_Ventes[[#This Row],[Date]],"mm-aaaa"),"")</f>
        <v>01-1900</v>
      </c>
      <c r="D495" s="10" t="str">
        <f>IFERROR(
   INDEX(tbl_ProduitsRef[Cde_Prdt],MATCH(tbl_Ventes[[#This Row],[Produit]],tbl_ProduitsRef[Produit],0)),
   ""
)</f>
        <v/>
      </c>
      <c r="E495" s="7">
        <v>0</v>
      </c>
      <c r="F495" s="7" t="str">
        <f>IFERROR(
   INDEX(tbl_ProduitsRef[Prix Menu],MATCH(tbl_Ventes[[#This Row],[Produit]],tbl_ProduitsRef[Produit],0)),
   ""
)</f>
        <v/>
      </c>
      <c r="G495" s="7">
        <f>tbl_Ventes[[#This Row],[Qté Vendue]] * IFERROR(_xlfn.XLOOKUP(tbl_Ventes[[#This Row],[Cde_Prdt]], tbl_Produits[Cde_Prdt], tbl_Produits[Prix Menu]), 0)</f>
        <v>0</v>
      </c>
      <c r="H495" s="7">
        <f>IFERROR(_xlfn.XLOOKUP(tbl_Ventes[[#This Row],[Cde_Prdt]], tbl_Produits[Cde_Prdt], tbl_Produits[Coût Moyen Portion]), 0)</f>
        <v>0</v>
      </c>
      <c r="I495" s="7">
        <f>tbl_Ventes[[#This Row],[Qté Vendue]] * tbl_Ventes[[#This Row],[CMP_par_portion]]</f>
        <v>0</v>
      </c>
      <c r="J495" s="7">
        <f>tbl_Ventes[[#This Row],[CA ligne]] - tbl_Ventes[[#This Row],[Coût matière ligne]]</f>
        <v>0</v>
      </c>
      <c r="K495" s="7" t="str">
        <f>IFERROR(INDEX(tbl_ProduitsRef[Famille], MATCH(tbl_Ventes[[#This Row],[Cde_Prdt]], tbl_Produits[Cde_Prdt], 0)), "")</f>
        <v/>
      </c>
    </row>
    <row r="496" spans="1:11" x14ac:dyDescent="0.25">
      <c r="A496" s="5"/>
      <c r="B496" s="63" t="str">
        <f>IFERROR(TEXT(tbl_Ventes[[#This Row],[Date]],"mm-aaaa"),"")</f>
        <v>01-1900</v>
      </c>
      <c r="D496" s="10" t="str">
        <f>IFERROR(
   INDEX(tbl_ProduitsRef[Cde_Prdt],MATCH(tbl_Ventes[[#This Row],[Produit]],tbl_ProduitsRef[Produit],0)),
   ""
)</f>
        <v/>
      </c>
      <c r="E496" s="7">
        <v>0</v>
      </c>
      <c r="F496" s="7" t="str">
        <f>IFERROR(
   INDEX(tbl_ProduitsRef[Prix Menu],MATCH(tbl_Ventes[[#This Row],[Produit]],tbl_ProduitsRef[Produit],0)),
   ""
)</f>
        <v/>
      </c>
      <c r="G496" s="7">
        <f>tbl_Ventes[[#This Row],[Qté Vendue]] * IFERROR(_xlfn.XLOOKUP(tbl_Ventes[[#This Row],[Cde_Prdt]], tbl_Produits[Cde_Prdt], tbl_Produits[Prix Menu]), 0)</f>
        <v>0</v>
      </c>
      <c r="H496" s="7">
        <f>IFERROR(_xlfn.XLOOKUP(tbl_Ventes[[#This Row],[Cde_Prdt]], tbl_Produits[Cde_Prdt], tbl_Produits[Coût Moyen Portion]), 0)</f>
        <v>0</v>
      </c>
      <c r="I496" s="7">
        <f>tbl_Ventes[[#This Row],[Qté Vendue]] * tbl_Ventes[[#This Row],[CMP_par_portion]]</f>
        <v>0</v>
      </c>
      <c r="J496" s="7">
        <f>tbl_Ventes[[#This Row],[CA ligne]] - tbl_Ventes[[#This Row],[Coût matière ligne]]</f>
        <v>0</v>
      </c>
      <c r="K496" s="7" t="str">
        <f>IFERROR(INDEX(tbl_ProduitsRef[Famille], MATCH(tbl_Ventes[[#This Row],[Cde_Prdt]], tbl_Produits[Cde_Prdt], 0)), "")</f>
        <v/>
      </c>
    </row>
    <row r="497" spans="1:11" x14ac:dyDescent="0.25">
      <c r="A497" s="5"/>
      <c r="B497" s="63" t="str">
        <f>IFERROR(TEXT(tbl_Ventes[[#This Row],[Date]],"mm-aaaa"),"")</f>
        <v>01-1900</v>
      </c>
      <c r="D497" s="10" t="str">
        <f>IFERROR(
   INDEX(tbl_ProduitsRef[Cde_Prdt],MATCH(tbl_Ventes[[#This Row],[Produit]],tbl_ProduitsRef[Produit],0)),
   ""
)</f>
        <v/>
      </c>
      <c r="E497" s="7">
        <v>0</v>
      </c>
      <c r="F497" s="7" t="str">
        <f>IFERROR(
   INDEX(tbl_ProduitsRef[Prix Menu],MATCH(tbl_Ventes[[#This Row],[Produit]],tbl_ProduitsRef[Produit],0)),
   ""
)</f>
        <v/>
      </c>
      <c r="G497" s="7">
        <f>tbl_Ventes[[#This Row],[Qté Vendue]] * IFERROR(_xlfn.XLOOKUP(tbl_Ventes[[#This Row],[Cde_Prdt]], tbl_Produits[Cde_Prdt], tbl_Produits[Prix Menu]), 0)</f>
        <v>0</v>
      </c>
      <c r="H497" s="7">
        <f>IFERROR(_xlfn.XLOOKUP(tbl_Ventes[[#This Row],[Cde_Prdt]], tbl_Produits[Cde_Prdt], tbl_Produits[Coût Moyen Portion]), 0)</f>
        <v>0</v>
      </c>
      <c r="I497" s="7">
        <f>tbl_Ventes[[#This Row],[Qté Vendue]] * tbl_Ventes[[#This Row],[CMP_par_portion]]</f>
        <v>0</v>
      </c>
      <c r="J497" s="7">
        <f>tbl_Ventes[[#This Row],[CA ligne]] - tbl_Ventes[[#This Row],[Coût matière ligne]]</f>
        <v>0</v>
      </c>
      <c r="K497" s="7" t="str">
        <f>IFERROR(INDEX(tbl_ProduitsRef[Famille], MATCH(tbl_Ventes[[#This Row],[Cde_Prdt]], tbl_Produits[Cde_Prdt], 0)), "")</f>
        <v/>
      </c>
    </row>
    <row r="498" spans="1:11" x14ac:dyDescent="0.25">
      <c r="A498" s="5"/>
      <c r="B498" s="63" t="str">
        <f>IFERROR(TEXT(tbl_Ventes[[#This Row],[Date]],"mm-aaaa"),"")</f>
        <v>01-1900</v>
      </c>
      <c r="D498" s="10" t="str">
        <f>IFERROR(
   INDEX(tbl_ProduitsRef[Cde_Prdt],MATCH(tbl_Ventes[[#This Row],[Produit]],tbl_ProduitsRef[Produit],0)),
   ""
)</f>
        <v/>
      </c>
      <c r="E498" s="7">
        <v>0</v>
      </c>
      <c r="F498" s="7" t="str">
        <f>IFERROR(
   INDEX(tbl_ProduitsRef[Prix Menu],MATCH(tbl_Ventes[[#This Row],[Produit]],tbl_ProduitsRef[Produit],0)),
   ""
)</f>
        <v/>
      </c>
      <c r="G498" s="7">
        <f>tbl_Ventes[[#This Row],[Qté Vendue]] * IFERROR(_xlfn.XLOOKUP(tbl_Ventes[[#This Row],[Cde_Prdt]], tbl_Produits[Cde_Prdt], tbl_Produits[Prix Menu]), 0)</f>
        <v>0</v>
      </c>
      <c r="H498" s="7">
        <f>IFERROR(_xlfn.XLOOKUP(tbl_Ventes[[#This Row],[Cde_Prdt]], tbl_Produits[Cde_Prdt], tbl_Produits[Coût Moyen Portion]), 0)</f>
        <v>0</v>
      </c>
      <c r="I498" s="7">
        <f>tbl_Ventes[[#This Row],[Qté Vendue]] * tbl_Ventes[[#This Row],[CMP_par_portion]]</f>
        <v>0</v>
      </c>
      <c r="J498" s="7">
        <f>tbl_Ventes[[#This Row],[CA ligne]] - tbl_Ventes[[#This Row],[Coût matière ligne]]</f>
        <v>0</v>
      </c>
      <c r="K498" s="7" t="str">
        <f>IFERROR(INDEX(tbl_ProduitsRef[Famille], MATCH(tbl_Ventes[[#This Row],[Cde_Prdt]], tbl_Produits[Cde_Prdt], 0)), "")</f>
        <v/>
      </c>
    </row>
    <row r="499" spans="1:11" x14ac:dyDescent="0.25">
      <c r="A499" s="5"/>
      <c r="B499" s="63" t="str">
        <f>IFERROR(TEXT(tbl_Ventes[[#This Row],[Date]],"mm-aaaa"),"")</f>
        <v>01-1900</v>
      </c>
      <c r="D499" s="10" t="str">
        <f>IFERROR(
   INDEX(tbl_ProduitsRef[Cde_Prdt],MATCH(tbl_Ventes[[#This Row],[Produit]],tbl_ProduitsRef[Produit],0)),
   ""
)</f>
        <v/>
      </c>
      <c r="E499" s="7">
        <v>0</v>
      </c>
      <c r="F499" s="7" t="str">
        <f>IFERROR(
   INDEX(tbl_ProduitsRef[Prix Menu],MATCH(tbl_Ventes[[#This Row],[Produit]],tbl_ProduitsRef[Produit],0)),
   ""
)</f>
        <v/>
      </c>
      <c r="G499" s="7">
        <f>tbl_Ventes[[#This Row],[Qté Vendue]] * IFERROR(_xlfn.XLOOKUP(tbl_Ventes[[#This Row],[Cde_Prdt]], tbl_Produits[Cde_Prdt], tbl_Produits[Prix Menu]), 0)</f>
        <v>0</v>
      </c>
      <c r="H499" s="7">
        <f>IFERROR(_xlfn.XLOOKUP(tbl_Ventes[[#This Row],[Cde_Prdt]], tbl_Produits[Cde_Prdt], tbl_Produits[Coût Moyen Portion]), 0)</f>
        <v>0</v>
      </c>
      <c r="I499" s="7">
        <f>tbl_Ventes[[#This Row],[Qté Vendue]] * tbl_Ventes[[#This Row],[CMP_par_portion]]</f>
        <v>0</v>
      </c>
      <c r="J499" s="7">
        <f>tbl_Ventes[[#This Row],[CA ligne]] - tbl_Ventes[[#This Row],[Coût matière ligne]]</f>
        <v>0</v>
      </c>
      <c r="K499" s="7" t="str">
        <f>IFERROR(INDEX(tbl_ProduitsRef[Famille], MATCH(tbl_Ventes[[#This Row],[Cde_Prdt]], tbl_Produits[Cde_Prdt], 0)), "")</f>
        <v/>
      </c>
    </row>
    <row r="500" spans="1:11" x14ac:dyDescent="0.25">
      <c r="A500" s="5"/>
      <c r="B500" s="63" t="str">
        <f>IFERROR(TEXT(tbl_Ventes[[#This Row],[Date]],"mm-aaaa"),"")</f>
        <v>01-1900</v>
      </c>
      <c r="D500" s="10" t="str">
        <f>IFERROR(
   INDEX(tbl_ProduitsRef[Cde_Prdt],MATCH(tbl_Ventes[[#This Row],[Produit]],tbl_ProduitsRef[Produit],0)),
   ""
)</f>
        <v/>
      </c>
      <c r="E500" s="7">
        <v>0</v>
      </c>
      <c r="F500" s="7" t="str">
        <f>IFERROR(
   INDEX(tbl_ProduitsRef[Prix Menu],MATCH(tbl_Ventes[[#This Row],[Produit]],tbl_ProduitsRef[Produit],0)),
   ""
)</f>
        <v/>
      </c>
      <c r="G500" s="7">
        <f>tbl_Ventes[[#This Row],[Qté Vendue]] * IFERROR(_xlfn.XLOOKUP(tbl_Ventes[[#This Row],[Cde_Prdt]], tbl_Produits[Cde_Prdt], tbl_Produits[Prix Menu]), 0)</f>
        <v>0</v>
      </c>
      <c r="H500" s="7">
        <f>IFERROR(_xlfn.XLOOKUP(tbl_Ventes[[#This Row],[Cde_Prdt]], tbl_Produits[Cde_Prdt], tbl_Produits[Coût Moyen Portion]), 0)</f>
        <v>0</v>
      </c>
      <c r="I500" s="7">
        <f>tbl_Ventes[[#This Row],[Qté Vendue]] * tbl_Ventes[[#This Row],[CMP_par_portion]]</f>
        <v>0</v>
      </c>
      <c r="J500" s="7">
        <f>tbl_Ventes[[#This Row],[CA ligne]] - tbl_Ventes[[#This Row],[Coût matière ligne]]</f>
        <v>0</v>
      </c>
      <c r="K500" s="7" t="str">
        <f>IFERROR(INDEX(tbl_ProduitsRef[Famille], MATCH(tbl_Ventes[[#This Row],[Cde_Prdt]], tbl_Produits[Cde_Prdt], 0)), "")</f>
        <v/>
      </c>
    </row>
    <row r="501" spans="1:11" x14ac:dyDescent="0.25">
      <c r="A501" s="5"/>
      <c r="B501" s="63" t="str">
        <f>IFERROR(TEXT(tbl_Ventes[[#This Row],[Date]],"mm-aaaa"),"")</f>
        <v>01-1900</v>
      </c>
      <c r="D501" s="10" t="str">
        <f>IFERROR(
   INDEX(tbl_ProduitsRef[Cde_Prdt],MATCH(tbl_Ventes[[#This Row],[Produit]],tbl_ProduitsRef[Produit],0)),
   ""
)</f>
        <v/>
      </c>
      <c r="E501" s="7">
        <v>0</v>
      </c>
      <c r="F501" s="7" t="str">
        <f>IFERROR(
   INDEX(tbl_ProduitsRef[Prix Menu],MATCH(tbl_Ventes[[#This Row],[Produit]],tbl_ProduitsRef[Produit],0)),
   ""
)</f>
        <v/>
      </c>
      <c r="G501" s="7">
        <f>tbl_Ventes[[#This Row],[Qté Vendue]] * IFERROR(_xlfn.XLOOKUP(tbl_Ventes[[#This Row],[Cde_Prdt]], tbl_Produits[Cde_Prdt], tbl_Produits[Prix Menu]), 0)</f>
        <v>0</v>
      </c>
      <c r="H501" s="7">
        <f>IFERROR(_xlfn.XLOOKUP(tbl_Ventes[[#This Row],[Cde_Prdt]], tbl_Produits[Cde_Prdt], tbl_Produits[Coût Moyen Portion]), 0)</f>
        <v>0</v>
      </c>
      <c r="I501" s="7">
        <f>tbl_Ventes[[#This Row],[Qté Vendue]] * tbl_Ventes[[#This Row],[CMP_par_portion]]</f>
        <v>0</v>
      </c>
      <c r="J501" s="7">
        <f>tbl_Ventes[[#This Row],[CA ligne]] - tbl_Ventes[[#This Row],[Coût matière ligne]]</f>
        <v>0</v>
      </c>
      <c r="K501" s="7" t="str">
        <f>IFERROR(INDEX(tbl_ProduitsRef[Famille], MATCH(tbl_Ventes[[#This Row],[Cde_Prdt]], tbl_Produits[Cde_Prdt], 0)), "")</f>
        <v/>
      </c>
    </row>
    <row r="502" spans="1:11" x14ac:dyDescent="0.25">
      <c r="A502" s="5"/>
      <c r="B502" s="63" t="str">
        <f>IFERROR(TEXT(tbl_Ventes[[#This Row],[Date]],"mm-aaaa"),"")</f>
        <v>01-1900</v>
      </c>
      <c r="D502" s="10" t="str">
        <f>IFERROR(
   INDEX(tbl_ProduitsRef[Cde_Prdt],MATCH(tbl_Ventes[[#This Row],[Produit]],tbl_ProduitsRef[Produit],0)),
   ""
)</f>
        <v/>
      </c>
      <c r="E502" s="7">
        <v>0</v>
      </c>
      <c r="F502" s="7" t="str">
        <f>IFERROR(
   INDEX(tbl_ProduitsRef[Prix Menu],MATCH(tbl_Ventes[[#This Row],[Produit]],tbl_ProduitsRef[Produit],0)),
   ""
)</f>
        <v/>
      </c>
      <c r="G502" s="7">
        <f>tbl_Ventes[[#This Row],[Qté Vendue]] * IFERROR(_xlfn.XLOOKUP(tbl_Ventes[[#This Row],[Cde_Prdt]], tbl_Produits[Cde_Prdt], tbl_Produits[Prix Menu]), 0)</f>
        <v>0</v>
      </c>
      <c r="H502" s="7">
        <f>IFERROR(_xlfn.XLOOKUP(tbl_Ventes[[#This Row],[Cde_Prdt]], tbl_Produits[Cde_Prdt], tbl_Produits[Coût Moyen Portion]), 0)</f>
        <v>0</v>
      </c>
      <c r="I502" s="7">
        <f>tbl_Ventes[[#This Row],[Qté Vendue]] * tbl_Ventes[[#This Row],[CMP_par_portion]]</f>
        <v>0</v>
      </c>
      <c r="J502" s="7">
        <f>tbl_Ventes[[#This Row],[CA ligne]] - tbl_Ventes[[#This Row],[Coût matière ligne]]</f>
        <v>0</v>
      </c>
      <c r="K502" s="7" t="str">
        <f>IFERROR(INDEX(tbl_ProduitsRef[Famille], MATCH(tbl_Ventes[[#This Row],[Cde_Prdt]], tbl_Produits[Cde_Prdt], 0)), "")</f>
        <v/>
      </c>
    </row>
    <row r="503" spans="1:11" x14ac:dyDescent="0.25">
      <c r="A503" s="5"/>
      <c r="B503" s="63" t="str">
        <f>IFERROR(TEXT(tbl_Ventes[[#This Row],[Date]],"mm-aaaa"),"")</f>
        <v>01-1900</v>
      </c>
      <c r="D503" s="10" t="str">
        <f>IFERROR(
   INDEX(tbl_ProduitsRef[Cde_Prdt],MATCH(tbl_Ventes[[#This Row],[Produit]],tbl_ProduitsRef[Produit],0)),
   ""
)</f>
        <v/>
      </c>
      <c r="E503" s="7">
        <v>0</v>
      </c>
      <c r="F503" s="7" t="str">
        <f>IFERROR(
   INDEX(tbl_ProduitsRef[Prix Menu],MATCH(tbl_Ventes[[#This Row],[Produit]],tbl_ProduitsRef[Produit],0)),
   ""
)</f>
        <v/>
      </c>
      <c r="G503" s="7">
        <f>tbl_Ventes[[#This Row],[Qté Vendue]] * IFERROR(_xlfn.XLOOKUP(tbl_Ventes[[#This Row],[Cde_Prdt]], tbl_Produits[Cde_Prdt], tbl_Produits[Prix Menu]), 0)</f>
        <v>0</v>
      </c>
      <c r="H503" s="7">
        <f>IFERROR(_xlfn.XLOOKUP(tbl_Ventes[[#This Row],[Cde_Prdt]], tbl_Produits[Cde_Prdt], tbl_Produits[Coût Moyen Portion]), 0)</f>
        <v>0</v>
      </c>
      <c r="I503" s="7">
        <f>tbl_Ventes[[#This Row],[Qté Vendue]] * tbl_Ventes[[#This Row],[CMP_par_portion]]</f>
        <v>0</v>
      </c>
      <c r="J503" s="7">
        <f>tbl_Ventes[[#This Row],[CA ligne]] - tbl_Ventes[[#This Row],[Coût matière ligne]]</f>
        <v>0</v>
      </c>
      <c r="K503" s="7" t="str">
        <f>IFERROR(INDEX(tbl_ProduitsRef[Famille], MATCH(tbl_Ventes[[#This Row],[Cde_Prdt]], tbl_Produits[Cde_Prdt], 0)), "")</f>
        <v/>
      </c>
    </row>
    <row r="504" spans="1:11" x14ac:dyDescent="0.25">
      <c r="A504" s="5"/>
      <c r="B504" s="63" t="str">
        <f>IFERROR(TEXT(tbl_Ventes[[#This Row],[Date]],"mm-aaaa"),"")</f>
        <v>01-1900</v>
      </c>
      <c r="D504" s="10" t="str">
        <f>IFERROR(
   INDEX(tbl_ProduitsRef[Cde_Prdt],MATCH(tbl_Ventes[[#This Row],[Produit]],tbl_ProduitsRef[Produit],0)),
   ""
)</f>
        <v/>
      </c>
      <c r="E504" s="7">
        <v>0</v>
      </c>
      <c r="F504" s="7" t="str">
        <f>IFERROR(
   INDEX(tbl_ProduitsRef[Prix Menu],MATCH(tbl_Ventes[[#This Row],[Produit]],tbl_ProduitsRef[Produit],0)),
   ""
)</f>
        <v/>
      </c>
      <c r="G504" s="7">
        <f>tbl_Ventes[[#This Row],[Qté Vendue]] * IFERROR(_xlfn.XLOOKUP(tbl_Ventes[[#This Row],[Cde_Prdt]], tbl_Produits[Cde_Prdt], tbl_Produits[Prix Menu]), 0)</f>
        <v>0</v>
      </c>
      <c r="H504" s="7">
        <f>IFERROR(_xlfn.XLOOKUP(tbl_Ventes[[#This Row],[Cde_Prdt]], tbl_Produits[Cde_Prdt], tbl_Produits[Coût Moyen Portion]), 0)</f>
        <v>0</v>
      </c>
      <c r="I504" s="7">
        <f>tbl_Ventes[[#This Row],[Qté Vendue]] * tbl_Ventes[[#This Row],[CMP_par_portion]]</f>
        <v>0</v>
      </c>
      <c r="J504" s="7">
        <f>tbl_Ventes[[#This Row],[CA ligne]] - tbl_Ventes[[#This Row],[Coût matière ligne]]</f>
        <v>0</v>
      </c>
      <c r="K504" s="7" t="str">
        <f>IFERROR(INDEX(tbl_ProduitsRef[Famille], MATCH(tbl_Ventes[[#This Row],[Cde_Prdt]], tbl_Produits[Cde_Prdt], 0)), "")</f>
        <v/>
      </c>
    </row>
    <row r="505" spans="1:11" x14ac:dyDescent="0.25">
      <c r="A505" s="5"/>
      <c r="B505" s="63" t="str">
        <f>IFERROR(TEXT(tbl_Ventes[[#This Row],[Date]],"mm-aaaa"),"")</f>
        <v>01-1900</v>
      </c>
      <c r="D505" s="10" t="str">
        <f>IFERROR(
   INDEX(tbl_ProduitsRef[Cde_Prdt],MATCH(tbl_Ventes[[#This Row],[Produit]],tbl_ProduitsRef[Produit],0)),
   ""
)</f>
        <v/>
      </c>
      <c r="E505" s="7">
        <v>0</v>
      </c>
      <c r="F505" s="7" t="str">
        <f>IFERROR(
   INDEX(tbl_ProduitsRef[Prix Menu],MATCH(tbl_Ventes[[#This Row],[Produit]],tbl_ProduitsRef[Produit],0)),
   ""
)</f>
        <v/>
      </c>
      <c r="G505" s="7">
        <f>tbl_Ventes[[#This Row],[Qté Vendue]] * IFERROR(_xlfn.XLOOKUP(tbl_Ventes[[#This Row],[Cde_Prdt]], tbl_Produits[Cde_Prdt], tbl_Produits[Prix Menu]), 0)</f>
        <v>0</v>
      </c>
      <c r="H505" s="7">
        <f>IFERROR(_xlfn.XLOOKUP(tbl_Ventes[[#This Row],[Cde_Prdt]], tbl_Produits[Cde_Prdt], tbl_Produits[Coût Moyen Portion]), 0)</f>
        <v>0</v>
      </c>
      <c r="I505" s="7">
        <f>tbl_Ventes[[#This Row],[Qté Vendue]] * tbl_Ventes[[#This Row],[CMP_par_portion]]</f>
        <v>0</v>
      </c>
      <c r="J505" s="7">
        <f>tbl_Ventes[[#This Row],[CA ligne]] - tbl_Ventes[[#This Row],[Coût matière ligne]]</f>
        <v>0</v>
      </c>
      <c r="K505" s="7" t="str">
        <f>IFERROR(INDEX(tbl_ProduitsRef[Famille], MATCH(tbl_Ventes[[#This Row],[Cde_Prdt]], tbl_Produits[Cde_Prdt], 0)), "")</f>
        <v/>
      </c>
    </row>
    <row r="506" spans="1:11" x14ac:dyDescent="0.25">
      <c r="A506" s="5"/>
      <c r="B506" s="63" t="str">
        <f>IFERROR(TEXT(tbl_Ventes[[#This Row],[Date]],"mm-aaaa"),"")</f>
        <v>01-1900</v>
      </c>
      <c r="D506" s="10" t="str">
        <f>IFERROR(
   INDEX(tbl_ProduitsRef[Cde_Prdt],MATCH(tbl_Ventes[[#This Row],[Produit]],tbl_ProduitsRef[Produit],0)),
   ""
)</f>
        <v/>
      </c>
      <c r="E506" s="7">
        <v>0</v>
      </c>
      <c r="F506" s="7" t="str">
        <f>IFERROR(
   INDEX(tbl_ProduitsRef[Prix Menu],MATCH(tbl_Ventes[[#This Row],[Produit]],tbl_ProduitsRef[Produit],0)),
   ""
)</f>
        <v/>
      </c>
      <c r="G506" s="7">
        <f>tbl_Ventes[[#This Row],[Qté Vendue]] * IFERROR(_xlfn.XLOOKUP(tbl_Ventes[[#This Row],[Cde_Prdt]], tbl_Produits[Cde_Prdt], tbl_Produits[Prix Menu]), 0)</f>
        <v>0</v>
      </c>
      <c r="H506" s="7">
        <f>IFERROR(_xlfn.XLOOKUP(tbl_Ventes[[#This Row],[Cde_Prdt]], tbl_Produits[Cde_Prdt], tbl_Produits[Coût Moyen Portion]), 0)</f>
        <v>0</v>
      </c>
      <c r="I506" s="7">
        <f>tbl_Ventes[[#This Row],[Qté Vendue]] * tbl_Ventes[[#This Row],[CMP_par_portion]]</f>
        <v>0</v>
      </c>
      <c r="J506" s="7">
        <f>tbl_Ventes[[#This Row],[CA ligne]] - tbl_Ventes[[#This Row],[Coût matière ligne]]</f>
        <v>0</v>
      </c>
      <c r="K506" s="7" t="str">
        <f>IFERROR(INDEX(tbl_ProduitsRef[Famille], MATCH(tbl_Ventes[[#This Row],[Cde_Prdt]], tbl_Produits[Cde_Prdt], 0)), "")</f>
        <v/>
      </c>
    </row>
    <row r="507" spans="1:11" x14ac:dyDescent="0.25">
      <c r="A507" s="5"/>
      <c r="B507" s="63" t="str">
        <f>IFERROR(TEXT(tbl_Ventes[[#This Row],[Date]],"mm-aaaa"),"")</f>
        <v>01-1900</v>
      </c>
      <c r="D507" s="10" t="str">
        <f>IFERROR(
   INDEX(tbl_ProduitsRef[Cde_Prdt],MATCH(tbl_Ventes[[#This Row],[Produit]],tbl_ProduitsRef[Produit],0)),
   ""
)</f>
        <v/>
      </c>
      <c r="E507" s="7">
        <v>0</v>
      </c>
      <c r="F507" s="7" t="str">
        <f>IFERROR(
   INDEX(tbl_ProduitsRef[Prix Menu],MATCH(tbl_Ventes[[#This Row],[Produit]],tbl_ProduitsRef[Produit],0)),
   ""
)</f>
        <v/>
      </c>
      <c r="G507" s="7">
        <f>tbl_Ventes[[#This Row],[Qté Vendue]] * IFERROR(_xlfn.XLOOKUP(tbl_Ventes[[#This Row],[Cde_Prdt]], tbl_Produits[Cde_Prdt], tbl_Produits[Prix Menu]), 0)</f>
        <v>0</v>
      </c>
      <c r="H507" s="7">
        <f>IFERROR(_xlfn.XLOOKUP(tbl_Ventes[[#This Row],[Cde_Prdt]], tbl_Produits[Cde_Prdt], tbl_Produits[Coût Moyen Portion]), 0)</f>
        <v>0</v>
      </c>
      <c r="I507" s="7">
        <f>tbl_Ventes[[#This Row],[Qté Vendue]] * tbl_Ventes[[#This Row],[CMP_par_portion]]</f>
        <v>0</v>
      </c>
      <c r="J507" s="7">
        <f>tbl_Ventes[[#This Row],[CA ligne]] - tbl_Ventes[[#This Row],[Coût matière ligne]]</f>
        <v>0</v>
      </c>
      <c r="K507" s="7" t="str">
        <f>IFERROR(INDEX(tbl_ProduitsRef[Famille], MATCH(tbl_Ventes[[#This Row],[Cde_Prdt]], tbl_Produits[Cde_Prdt], 0)), "")</f>
        <v/>
      </c>
    </row>
    <row r="508" spans="1:11" x14ac:dyDescent="0.25">
      <c r="A508" s="5"/>
      <c r="B508" s="63" t="str">
        <f>IFERROR(TEXT(tbl_Ventes[[#This Row],[Date]],"mm-aaaa"),"")</f>
        <v>01-1900</v>
      </c>
      <c r="D508" s="10" t="str">
        <f>IFERROR(
   INDEX(tbl_ProduitsRef[Cde_Prdt],MATCH(tbl_Ventes[[#This Row],[Produit]],tbl_ProduitsRef[Produit],0)),
   ""
)</f>
        <v/>
      </c>
      <c r="E508" s="7">
        <v>0</v>
      </c>
      <c r="F508" s="7" t="str">
        <f>IFERROR(
   INDEX(tbl_ProduitsRef[Prix Menu],MATCH(tbl_Ventes[[#This Row],[Produit]],tbl_ProduitsRef[Produit],0)),
   ""
)</f>
        <v/>
      </c>
      <c r="G508" s="7">
        <f>tbl_Ventes[[#This Row],[Qté Vendue]] * IFERROR(_xlfn.XLOOKUP(tbl_Ventes[[#This Row],[Cde_Prdt]], tbl_Produits[Cde_Prdt], tbl_Produits[Prix Menu]), 0)</f>
        <v>0</v>
      </c>
      <c r="H508" s="7">
        <f>IFERROR(_xlfn.XLOOKUP(tbl_Ventes[[#This Row],[Cde_Prdt]], tbl_Produits[Cde_Prdt], tbl_Produits[Coût Moyen Portion]), 0)</f>
        <v>0</v>
      </c>
      <c r="I508" s="7">
        <f>tbl_Ventes[[#This Row],[Qté Vendue]] * tbl_Ventes[[#This Row],[CMP_par_portion]]</f>
        <v>0</v>
      </c>
      <c r="J508" s="7">
        <f>tbl_Ventes[[#This Row],[CA ligne]] - tbl_Ventes[[#This Row],[Coût matière ligne]]</f>
        <v>0</v>
      </c>
      <c r="K508" s="7" t="str">
        <f>IFERROR(INDEX(tbl_ProduitsRef[Famille], MATCH(tbl_Ventes[[#This Row],[Cde_Prdt]], tbl_Produits[Cde_Prdt], 0)), "")</f>
        <v/>
      </c>
    </row>
    <row r="509" spans="1:11" x14ac:dyDescent="0.25">
      <c r="A509" s="5"/>
      <c r="B509" s="63" t="str">
        <f>IFERROR(TEXT(tbl_Ventes[[#This Row],[Date]],"mm-aaaa"),"")</f>
        <v>01-1900</v>
      </c>
      <c r="D509" s="10" t="str">
        <f>IFERROR(
   INDEX(tbl_ProduitsRef[Cde_Prdt],MATCH(tbl_Ventes[[#This Row],[Produit]],tbl_ProduitsRef[Produit],0)),
   ""
)</f>
        <v/>
      </c>
      <c r="E509" s="7">
        <v>0</v>
      </c>
      <c r="F509" s="7" t="str">
        <f>IFERROR(
   INDEX(tbl_ProduitsRef[Prix Menu],MATCH(tbl_Ventes[[#This Row],[Produit]],tbl_ProduitsRef[Produit],0)),
   ""
)</f>
        <v/>
      </c>
      <c r="G509" s="7">
        <f>tbl_Ventes[[#This Row],[Qté Vendue]] * IFERROR(_xlfn.XLOOKUP(tbl_Ventes[[#This Row],[Cde_Prdt]], tbl_Produits[Cde_Prdt], tbl_Produits[Prix Menu]), 0)</f>
        <v>0</v>
      </c>
      <c r="H509" s="7">
        <f>IFERROR(_xlfn.XLOOKUP(tbl_Ventes[[#This Row],[Cde_Prdt]], tbl_Produits[Cde_Prdt], tbl_Produits[Coût Moyen Portion]), 0)</f>
        <v>0</v>
      </c>
      <c r="I509" s="7">
        <f>tbl_Ventes[[#This Row],[Qté Vendue]] * tbl_Ventes[[#This Row],[CMP_par_portion]]</f>
        <v>0</v>
      </c>
      <c r="J509" s="7">
        <f>tbl_Ventes[[#This Row],[CA ligne]] - tbl_Ventes[[#This Row],[Coût matière ligne]]</f>
        <v>0</v>
      </c>
      <c r="K509" s="7" t="str">
        <f>IFERROR(INDEX(tbl_ProduitsRef[Famille], MATCH(tbl_Ventes[[#This Row],[Cde_Prdt]], tbl_Produits[Cde_Prdt], 0)), "")</f>
        <v/>
      </c>
    </row>
    <row r="510" spans="1:11" x14ac:dyDescent="0.25">
      <c r="A510" s="5"/>
      <c r="B510" s="63" t="str">
        <f>IFERROR(TEXT(tbl_Ventes[[#This Row],[Date]],"mm-aaaa"),"")</f>
        <v>01-1900</v>
      </c>
      <c r="D510" s="10" t="str">
        <f>IFERROR(
   INDEX(tbl_ProduitsRef[Cde_Prdt],MATCH(tbl_Ventes[[#This Row],[Produit]],tbl_ProduitsRef[Produit],0)),
   ""
)</f>
        <v/>
      </c>
      <c r="E510" s="7">
        <v>0</v>
      </c>
      <c r="F510" s="7" t="str">
        <f>IFERROR(
   INDEX(tbl_ProduitsRef[Prix Menu],MATCH(tbl_Ventes[[#This Row],[Produit]],tbl_ProduitsRef[Produit],0)),
   ""
)</f>
        <v/>
      </c>
      <c r="G510" s="7">
        <f>tbl_Ventes[[#This Row],[Qté Vendue]] * IFERROR(_xlfn.XLOOKUP(tbl_Ventes[[#This Row],[Cde_Prdt]], tbl_Produits[Cde_Prdt], tbl_Produits[Prix Menu]), 0)</f>
        <v>0</v>
      </c>
      <c r="H510" s="7">
        <f>IFERROR(_xlfn.XLOOKUP(tbl_Ventes[[#This Row],[Cde_Prdt]], tbl_Produits[Cde_Prdt], tbl_Produits[Coût Moyen Portion]), 0)</f>
        <v>0</v>
      </c>
      <c r="I510" s="7">
        <f>tbl_Ventes[[#This Row],[Qté Vendue]] * tbl_Ventes[[#This Row],[CMP_par_portion]]</f>
        <v>0</v>
      </c>
      <c r="J510" s="7">
        <f>tbl_Ventes[[#This Row],[CA ligne]] - tbl_Ventes[[#This Row],[Coût matière ligne]]</f>
        <v>0</v>
      </c>
      <c r="K510" s="7" t="str">
        <f>IFERROR(INDEX(tbl_ProduitsRef[Famille], MATCH(tbl_Ventes[[#This Row],[Cde_Prdt]], tbl_Produits[Cde_Prdt], 0)), "")</f>
        <v/>
      </c>
    </row>
    <row r="511" spans="1:11" x14ac:dyDescent="0.25">
      <c r="A511" s="5"/>
      <c r="B511" s="63" t="str">
        <f>IFERROR(TEXT(tbl_Ventes[[#This Row],[Date]],"mm-aaaa"),"")</f>
        <v>01-1900</v>
      </c>
      <c r="D511" s="10" t="str">
        <f>IFERROR(
   INDEX(tbl_ProduitsRef[Cde_Prdt],MATCH(tbl_Ventes[[#This Row],[Produit]],tbl_ProduitsRef[Produit],0)),
   ""
)</f>
        <v/>
      </c>
      <c r="E511" s="7">
        <v>0</v>
      </c>
      <c r="F511" s="7" t="str">
        <f>IFERROR(
   INDEX(tbl_ProduitsRef[Prix Menu],MATCH(tbl_Ventes[[#This Row],[Produit]],tbl_ProduitsRef[Produit],0)),
   ""
)</f>
        <v/>
      </c>
      <c r="G511" s="7">
        <f>tbl_Ventes[[#This Row],[Qté Vendue]] * IFERROR(_xlfn.XLOOKUP(tbl_Ventes[[#This Row],[Cde_Prdt]], tbl_Produits[Cde_Prdt], tbl_Produits[Prix Menu]), 0)</f>
        <v>0</v>
      </c>
      <c r="H511" s="7">
        <f>IFERROR(_xlfn.XLOOKUP(tbl_Ventes[[#This Row],[Cde_Prdt]], tbl_Produits[Cde_Prdt], tbl_Produits[Coût Moyen Portion]), 0)</f>
        <v>0</v>
      </c>
      <c r="I511" s="7">
        <f>tbl_Ventes[[#This Row],[Qté Vendue]] * tbl_Ventes[[#This Row],[CMP_par_portion]]</f>
        <v>0</v>
      </c>
      <c r="J511" s="7">
        <f>tbl_Ventes[[#This Row],[CA ligne]] - tbl_Ventes[[#This Row],[Coût matière ligne]]</f>
        <v>0</v>
      </c>
      <c r="K511" s="7" t="str">
        <f>IFERROR(INDEX(tbl_ProduitsRef[Famille], MATCH(tbl_Ventes[[#This Row],[Cde_Prdt]], tbl_Produits[Cde_Prdt], 0)), "")</f>
        <v/>
      </c>
    </row>
    <row r="512" spans="1:11" x14ac:dyDescent="0.25">
      <c r="A512" s="5"/>
      <c r="B512" s="63" t="str">
        <f>IFERROR(TEXT(tbl_Ventes[[#This Row],[Date]],"mm-aaaa"),"")</f>
        <v>01-1900</v>
      </c>
      <c r="D512" s="10" t="str">
        <f>IFERROR(
   INDEX(tbl_ProduitsRef[Cde_Prdt],MATCH(tbl_Ventes[[#This Row],[Produit]],tbl_ProduitsRef[Produit],0)),
   ""
)</f>
        <v/>
      </c>
      <c r="E512" s="7">
        <v>0</v>
      </c>
      <c r="F512" s="7" t="str">
        <f>IFERROR(
   INDEX(tbl_ProduitsRef[Prix Menu],MATCH(tbl_Ventes[[#This Row],[Produit]],tbl_ProduitsRef[Produit],0)),
   ""
)</f>
        <v/>
      </c>
      <c r="G512" s="7">
        <f>tbl_Ventes[[#This Row],[Qté Vendue]] * IFERROR(_xlfn.XLOOKUP(tbl_Ventes[[#This Row],[Cde_Prdt]], tbl_Produits[Cde_Prdt], tbl_Produits[Prix Menu]), 0)</f>
        <v>0</v>
      </c>
      <c r="H512" s="7">
        <f>IFERROR(_xlfn.XLOOKUP(tbl_Ventes[[#This Row],[Cde_Prdt]], tbl_Produits[Cde_Prdt], tbl_Produits[Coût Moyen Portion]), 0)</f>
        <v>0</v>
      </c>
      <c r="I512" s="7">
        <f>tbl_Ventes[[#This Row],[Qté Vendue]] * tbl_Ventes[[#This Row],[CMP_par_portion]]</f>
        <v>0</v>
      </c>
      <c r="J512" s="7">
        <f>tbl_Ventes[[#This Row],[CA ligne]] - tbl_Ventes[[#This Row],[Coût matière ligne]]</f>
        <v>0</v>
      </c>
      <c r="K512" s="7" t="str">
        <f>IFERROR(INDEX(tbl_ProduitsRef[Famille], MATCH(tbl_Ventes[[#This Row],[Cde_Prdt]], tbl_Produits[Cde_Prdt], 0)), "")</f>
        <v/>
      </c>
    </row>
    <row r="513" spans="1:11" x14ac:dyDescent="0.25">
      <c r="A513" s="5"/>
      <c r="B513" s="63" t="str">
        <f>IFERROR(TEXT(tbl_Ventes[[#This Row],[Date]],"mm-aaaa"),"")</f>
        <v>01-1900</v>
      </c>
      <c r="D513" s="10" t="str">
        <f>IFERROR(
   INDEX(tbl_ProduitsRef[Cde_Prdt],MATCH(tbl_Ventes[[#This Row],[Produit]],tbl_ProduitsRef[Produit],0)),
   ""
)</f>
        <v/>
      </c>
      <c r="E513" s="7">
        <v>0</v>
      </c>
      <c r="F513" s="7" t="str">
        <f>IFERROR(
   INDEX(tbl_ProduitsRef[Prix Menu],MATCH(tbl_Ventes[[#This Row],[Produit]],tbl_ProduitsRef[Produit],0)),
   ""
)</f>
        <v/>
      </c>
      <c r="G513" s="7">
        <f>tbl_Ventes[[#This Row],[Qté Vendue]] * IFERROR(_xlfn.XLOOKUP(tbl_Ventes[[#This Row],[Cde_Prdt]], tbl_Produits[Cde_Prdt], tbl_Produits[Prix Menu]), 0)</f>
        <v>0</v>
      </c>
      <c r="H513" s="7">
        <f>IFERROR(_xlfn.XLOOKUP(tbl_Ventes[[#This Row],[Cde_Prdt]], tbl_Produits[Cde_Prdt], tbl_Produits[Coût Moyen Portion]), 0)</f>
        <v>0</v>
      </c>
      <c r="I513" s="7">
        <f>tbl_Ventes[[#This Row],[Qté Vendue]] * tbl_Ventes[[#This Row],[CMP_par_portion]]</f>
        <v>0</v>
      </c>
      <c r="J513" s="7">
        <f>tbl_Ventes[[#This Row],[CA ligne]] - tbl_Ventes[[#This Row],[Coût matière ligne]]</f>
        <v>0</v>
      </c>
      <c r="K513" s="7" t="str">
        <f>IFERROR(INDEX(tbl_ProduitsRef[Famille], MATCH(tbl_Ventes[[#This Row],[Cde_Prdt]], tbl_Produits[Cde_Prdt], 0)), "")</f>
        <v/>
      </c>
    </row>
    <row r="514" spans="1:11" x14ac:dyDescent="0.25">
      <c r="A514" s="5"/>
      <c r="B514" s="63" t="str">
        <f>IFERROR(TEXT(tbl_Ventes[[#This Row],[Date]],"mm-aaaa"),"")</f>
        <v>01-1900</v>
      </c>
      <c r="D514" s="10" t="str">
        <f>IFERROR(
   INDEX(tbl_ProduitsRef[Cde_Prdt],MATCH(tbl_Ventes[[#This Row],[Produit]],tbl_ProduitsRef[Produit],0)),
   ""
)</f>
        <v/>
      </c>
      <c r="E514" s="7">
        <v>0</v>
      </c>
      <c r="F514" s="7" t="str">
        <f>IFERROR(
   INDEX(tbl_ProduitsRef[Prix Menu],MATCH(tbl_Ventes[[#This Row],[Produit]],tbl_ProduitsRef[Produit],0)),
   ""
)</f>
        <v/>
      </c>
      <c r="G514" s="7">
        <f>tbl_Ventes[[#This Row],[Qté Vendue]] * IFERROR(_xlfn.XLOOKUP(tbl_Ventes[[#This Row],[Cde_Prdt]], tbl_Produits[Cde_Prdt], tbl_Produits[Prix Menu]), 0)</f>
        <v>0</v>
      </c>
      <c r="H514" s="7">
        <f>IFERROR(_xlfn.XLOOKUP(tbl_Ventes[[#This Row],[Cde_Prdt]], tbl_Produits[Cde_Prdt], tbl_Produits[Coût Moyen Portion]), 0)</f>
        <v>0</v>
      </c>
      <c r="I514" s="7">
        <f>tbl_Ventes[[#This Row],[Qté Vendue]] * tbl_Ventes[[#This Row],[CMP_par_portion]]</f>
        <v>0</v>
      </c>
      <c r="J514" s="7">
        <f>tbl_Ventes[[#This Row],[CA ligne]] - tbl_Ventes[[#This Row],[Coût matière ligne]]</f>
        <v>0</v>
      </c>
      <c r="K514" s="7" t="str">
        <f>IFERROR(INDEX(tbl_ProduitsRef[Famille], MATCH(tbl_Ventes[[#This Row],[Cde_Prdt]], tbl_Produits[Cde_Prdt], 0)), "")</f>
        <v/>
      </c>
    </row>
    <row r="515" spans="1:11" x14ac:dyDescent="0.25">
      <c r="A515" s="5"/>
      <c r="B515" s="63" t="str">
        <f>IFERROR(TEXT(tbl_Ventes[[#This Row],[Date]],"mm-aaaa"),"")</f>
        <v>01-1900</v>
      </c>
      <c r="D515" s="10" t="str">
        <f>IFERROR(
   INDEX(tbl_ProduitsRef[Cde_Prdt],MATCH(tbl_Ventes[[#This Row],[Produit]],tbl_ProduitsRef[Produit],0)),
   ""
)</f>
        <v/>
      </c>
      <c r="E515" s="7">
        <v>0</v>
      </c>
      <c r="F515" s="7" t="str">
        <f>IFERROR(
   INDEX(tbl_ProduitsRef[Prix Menu],MATCH(tbl_Ventes[[#This Row],[Produit]],tbl_ProduitsRef[Produit],0)),
   ""
)</f>
        <v/>
      </c>
      <c r="G515" s="7">
        <f>tbl_Ventes[[#This Row],[Qté Vendue]] * IFERROR(_xlfn.XLOOKUP(tbl_Ventes[[#This Row],[Cde_Prdt]], tbl_Produits[Cde_Prdt], tbl_Produits[Prix Menu]), 0)</f>
        <v>0</v>
      </c>
      <c r="H515" s="7">
        <f>IFERROR(_xlfn.XLOOKUP(tbl_Ventes[[#This Row],[Cde_Prdt]], tbl_Produits[Cde_Prdt], tbl_Produits[Coût Moyen Portion]), 0)</f>
        <v>0</v>
      </c>
      <c r="I515" s="7">
        <f>tbl_Ventes[[#This Row],[Qté Vendue]] * tbl_Ventes[[#This Row],[CMP_par_portion]]</f>
        <v>0</v>
      </c>
      <c r="J515" s="7">
        <f>tbl_Ventes[[#This Row],[CA ligne]] - tbl_Ventes[[#This Row],[Coût matière ligne]]</f>
        <v>0</v>
      </c>
      <c r="K515" s="7" t="str">
        <f>IFERROR(INDEX(tbl_ProduitsRef[Famille], MATCH(tbl_Ventes[[#This Row],[Cde_Prdt]], tbl_Produits[Cde_Prdt], 0)), "")</f>
        <v/>
      </c>
    </row>
    <row r="516" spans="1:11" x14ac:dyDescent="0.25">
      <c r="A516" s="5"/>
      <c r="B516" s="63" t="str">
        <f>IFERROR(TEXT(tbl_Ventes[[#This Row],[Date]],"mm-aaaa"),"")</f>
        <v>01-1900</v>
      </c>
      <c r="D516" s="10" t="str">
        <f>IFERROR(
   INDEX(tbl_ProduitsRef[Cde_Prdt],MATCH(tbl_Ventes[[#This Row],[Produit]],tbl_ProduitsRef[Produit],0)),
   ""
)</f>
        <v/>
      </c>
      <c r="E516" s="7">
        <v>0</v>
      </c>
      <c r="F516" s="7" t="str">
        <f>IFERROR(
   INDEX(tbl_ProduitsRef[Prix Menu],MATCH(tbl_Ventes[[#This Row],[Produit]],tbl_ProduitsRef[Produit],0)),
   ""
)</f>
        <v/>
      </c>
      <c r="G516" s="7">
        <f>tbl_Ventes[[#This Row],[Qté Vendue]] * IFERROR(_xlfn.XLOOKUP(tbl_Ventes[[#This Row],[Cde_Prdt]], tbl_Produits[Cde_Prdt], tbl_Produits[Prix Menu]), 0)</f>
        <v>0</v>
      </c>
      <c r="H516" s="7">
        <f>IFERROR(_xlfn.XLOOKUP(tbl_Ventes[[#This Row],[Cde_Prdt]], tbl_Produits[Cde_Prdt], tbl_Produits[Coût Moyen Portion]), 0)</f>
        <v>0</v>
      </c>
      <c r="I516" s="7">
        <f>tbl_Ventes[[#This Row],[Qté Vendue]] * tbl_Ventes[[#This Row],[CMP_par_portion]]</f>
        <v>0</v>
      </c>
      <c r="J516" s="7">
        <f>tbl_Ventes[[#This Row],[CA ligne]] - tbl_Ventes[[#This Row],[Coût matière ligne]]</f>
        <v>0</v>
      </c>
      <c r="K516" s="7" t="str">
        <f>IFERROR(INDEX(tbl_ProduitsRef[Famille], MATCH(tbl_Ventes[[#This Row],[Cde_Prdt]], tbl_Produits[Cde_Prdt], 0)), "")</f>
        <v/>
      </c>
    </row>
    <row r="517" spans="1:11" x14ac:dyDescent="0.25">
      <c r="A517" s="5"/>
      <c r="B517" s="63" t="str">
        <f>IFERROR(TEXT(tbl_Ventes[[#This Row],[Date]],"mm-aaaa"),"")</f>
        <v>01-1900</v>
      </c>
      <c r="D517" s="10" t="str">
        <f>IFERROR(
   INDEX(tbl_ProduitsRef[Cde_Prdt],MATCH(tbl_Ventes[[#This Row],[Produit]],tbl_ProduitsRef[Produit],0)),
   ""
)</f>
        <v/>
      </c>
      <c r="E517" s="7">
        <v>0</v>
      </c>
      <c r="F517" s="7" t="str">
        <f>IFERROR(
   INDEX(tbl_ProduitsRef[Prix Menu],MATCH(tbl_Ventes[[#This Row],[Produit]],tbl_ProduitsRef[Produit],0)),
   ""
)</f>
        <v/>
      </c>
      <c r="G517" s="7">
        <f>tbl_Ventes[[#This Row],[Qté Vendue]] * IFERROR(_xlfn.XLOOKUP(tbl_Ventes[[#This Row],[Cde_Prdt]], tbl_Produits[Cde_Prdt], tbl_Produits[Prix Menu]), 0)</f>
        <v>0</v>
      </c>
      <c r="H517" s="7">
        <f>IFERROR(_xlfn.XLOOKUP(tbl_Ventes[[#This Row],[Cde_Prdt]], tbl_Produits[Cde_Prdt], tbl_Produits[Coût Moyen Portion]), 0)</f>
        <v>0</v>
      </c>
      <c r="I517" s="7">
        <f>tbl_Ventes[[#This Row],[Qté Vendue]] * tbl_Ventes[[#This Row],[CMP_par_portion]]</f>
        <v>0</v>
      </c>
      <c r="J517" s="7">
        <f>tbl_Ventes[[#This Row],[CA ligne]] - tbl_Ventes[[#This Row],[Coût matière ligne]]</f>
        <v>0</v>
      </c>
      <c r="K517" s="7" t="str">
        <f>IFERROR(INDEX(tbl_ProduitsRef[Famille], MATCH(tbl_Ventes[[#This Row],[Cde_Prdt]], tbl_Produits[Cde_Prdt], 0)), "")</f>
        <v/>
      </c>
    </row>
    <row r="518" spans="1:11" x14ac:dyDescent="0.25">
      <c r="A518" s="5"/>
      <c r="B518" s="63" t="str">
        <f>IFERROR(TEXT(tbl_Ventes[[#This Row],[Date]],"mm-aaaa"),"")</f>
        <v>01-1900</v>
      </c>
      <c r="D518" s="10" t="str">
        <f>IFERROR(
   INDEX(tbl_ProduitsRef[Cde_Prdt],MATCH(tbl_Ventes[[#This Row],[Produit]],tbl_ProduitsRef[Produit],0)),
   ""
)</f>
        <v/>
      </c>
      <c r="E518" s="7">
        <v>0</v>
      </c>
      <c r="F518" s="7" t="str">
        <f>IFERROR(
   INDEX(tbl_ProduitsRef[Prix Menu],MATCH(tbl_Ventes[[#This Row],[Produit]],tbl_ProduitsRef[Produit],0)),
   ""
)</f>
        <v/>
      </c>
      <c r="G518" s="7">
        <f>tbl_Ventes[[#This Row],[Qté Vendue]] * IFERROR(_xlfn.XLOOKUP(tbl_Ventes[[#This Row],[Cde_Prdt]], tbl_Produits[Cde_Prdt], tbl_Produits[Prix Menu]), 0)</f>
        <v>0</v>
      </c>
      <c r="H518" s="7">
        <f>IFERROR(_xlfn.XLOOKUP(tbl_Ventes[[#This Row],[Cde_Prdt]], tbl_Produits[Cde_Prdt], tbl_Produits[Coût Moyen Portion]), 0)</f>
        <v>0</v>
      </c>
      <c r="I518" s="7">
        <f>tbl_Ventes[[#This Row],[Qté Vendue]] * tbl_Ventes[[#This Row],[CMP_par_portion]]</f>
        <v>0</v>
      </c>
      <c r="J518" s="7">
        <f>tbl_Ventes[[#This Row],[CA ligne]] - tbl_Ventes[[#This Row],[Coût matière ligne]]</f>
        <v>0</v>
      </c>
      <c r="K518" s="7" t="str">
        <f>IFERROR(INDEX(tbl_ProduitsRef[Famille], MATCH(tbl_Ventes[[#This Row],[Cde_Prdt]], tbl_Produits[Cde_Prdt], 0)), "")</f>
        <v/>
      </c>
    </row>
    <row r="519" spans="1:11" x14ac:dyDescent="0.25">
      <c r="A519" s="5"/>
      <c r="B519" s="63" t="str">
        <f>IFERROR(TEXT(tbl_Ventes[[#This Row],[Date]],"mm-aaaa"),"")</f>
        <v>01-1900</v>
      </c>
      <c r="D519" s="10" t="str">
        <f>IFERROR(
   INDEX(tbl_ProduitsRef[Cde_Prdt],MATCH(tbl_Ventes[[#This Row],[Produit]],tbl_ProduitsRef[Produit],0)),
   ""
)</f>
        <v/>
      </c>
      <c r="E519" s="7">
        <v>0</v>
      </c>
      <c r="F519" s="7" t="str">
        <f>IFERROR(
   INDEX(tbl_ProduitsRef[Prix Menu],MATCH(tbl_Ventes[[#This Row],[Produit]],tbl_ProduitsRef[Produit],0)),
   ""
)</f>
        <v/>
      </c>
      <c r="G519" s="7">
        <f>tbl_Ventes[[#This Row],[Qté Vendue]] * IFERROR(_xlfn.XLOOKUP(tbl_Ventes[[#This Row],[Cde_Prdt]], tbl_Produits[Cde_Prdt], tbl_Produits[Prix Menu]), 0)</f>
        <v>0</v>
      </c>
      <c r="H519" s="7">
        <f>IFERROR(_xlfn.XLOOKUP(tbl_Ventes[[#This Row],[Cde_Prdt]], tbl_Produits[Cde_Prdt], tbl_Produits[Coût Moyen Portion]), 0)</f>
        <v>0</v>
      </c>
      <c r="I519" s="7">
        <f>tbl_Ventes[[#This Row],[Qté Vendue]] * tbl_Ventes[[#This Row],[CMP_par_portion]]</f>
        <v>0</v>
      </c>
      <c r="J519" s="7">
        <f>tbl_Ventes[[#This Row],[CA ligne]] - tbl_Ventes[[#This Row],[Coût matière ligne]]</f>
        <v>0</v>
      </c>
      <c r="K519" s="7" t="str">
        <f>IFERROR(INDEX(tbl_ProduitsRef[Famille], MATCH(tbl_Ventes[[#This Row],[Cde_Prdt]], tbl_Produits[Cde_Prdt], 0)), "")</f>
        <v/>
      </c>
    </row>
    <row r="520" spans="1:11" x14ac:dyDescent="0.25">
      <c r="A520" s="5"/>
      <c r="B520" s="63" t="str">
        <f>IFERROR(TEXT(tbl_Ventes[[#This Row],[Date]],"mm-aaaa"),"")</f>
        <v>01-1900</v>
      </c>
      <c r="D520" s="10" t="str">
        <f>IFERROR(
   INDEX(tbl_ProduitsRef[Cde_Prdt],MATCH(tbl_Ventes[[#This Row],[Produit]],tbl_ProduitsRef[Produit],0)),
   ""
)</f>
        <v/>
      </c>
      <c r="E520" s="7">
        <v>0</v>
      </c>
      <c r="F520" s="7" t="str">
        <f>IFERROR(
   INDEX(tbl_ProduitsRef[Prix Menu],MATCH(tbl_Ventes[[#This Row],[Produit]],tbl_ProduitsRef[Produit],0)),
   ""
)</f>
        <v/>
      </c>
      <c r="G520" s="7">
        <f>tbl_Ventes[[#This Row],[Qté Vendue]] * IFERROR(_xlfn.XLOOKUP(tbl_Ventes[[#This Row],[Cde_Prdt]], tbl_Produits[Cde_Prdt], tbl_Produits[Prix Menu]), 0)</f>
        <v>0</v>
      </c>
      <c r="H520" s="7">
        <f>IFERROR(_xlfn.XLOOKUP(tbl_Ventes[[#This Row],[Cde_Prdt]], tbl_Produits[Cde_Prdt], tbl_Produits[Coût Moyen Portion]), 0)</f>
        <v>0</v>
      </c>
      <c r="I520" s="7">
        <f>tbl_Ventes[[#This Row],[Qté Vendue]] * tbl_Ventes[[#This Row],[CMP_par_portion]]</f>
        <v>0</v>
      </c>
      <c r="J520" s="7">
        <f>tbl_Ventes[[#This Row],[CA ligne]] - tbl_Ventes[[#This Row],[Coût matière ligne]]</f>
        <v>0</v>
      </c>
      <c r="K520" s="7" t="str">
        <f>IFERROR(INDEX(tbl_ProduitsRef[Famille], MATCH(tbl_Ventes[[#This Row],[Cde_Prdt]], tbl_Produits[Cde_Prdt], 0)), "")</f>
        <v/>
      </c>
    </row>
    <row r="521" spans="1:11" x14ac:dyDescent="0.25">
      <c r="A521" s="5"/>
      <c r="B521" s="63" t="str">
        <f>IFERROR(TEXT(tbl_Ventes[[#This Row],[Date]],"mm-aaaa"),"")</f>
        <v>01-1900</v>
      </c>
      <c r="D521" s="10" t="str">
        <f>IFERROR(
   INDEX(tbl_ProduitsRef[Cde_Prdt],MATCH(tbl_Ventes[[#This Row],[Produit]],tbl_ProduitsRef[Produit],0)),
   ""
)</f>
        <v/>
      </c>
      <c r="E521" s="7">
        <v>0</v>
      </c>
      <c r="F521" s="7" t="str">
        <f>IFERROR(
   INDEX(tbl_ProduitsRef[Prix Menu],MATCH(tbl_Ventes[[#This Row],[Produit]],tbl_ProduitsRef[Produit],0)),
   ""
)</f>
        <v/>
      </c>
      <c r="G521" s="7">
        <f>tbl_Ventes[[#This Row],[Qté Vendue]] * IFERROR(_xlfn.XLOOKUP(tbl_Ventes[[#This Row],[Cde_Prdt]], tbl_Produits[Cde_Prdt], tbl_Produits[Prix Menu]), 0)</f>
        <v>0</v>
      </c>
      <c r="H521" s="7">
        <f>IFERROR(_xlfn.XLOOKUP(tbl_Ventes[[#This Row],[Cde_Prdt]], tbl_Produits[Cde_Prdt], tbl_Produits[Coût Moyen Portion]), 0)</f>
        <v>0</v>
      </c>
      <c r="I521" s="7">
        <f>tbl_Ventes[[#This Row],[Qté Vendue]] * tbl_Ventes[[#This Row],[CMP_par_portion]]</f>
        <v>0</v>
      </c>
      <c r="J521" s="7">
        <f>tbl_Ventes[[#This Row],[CA ligne]] - tbl_Ventes[[#This Row],[Coût matière ligne]]</f>
        <v>0</v>
      </c>
      <c r="K521" s="7" t="str">
        <f>IFERROR(INDEX(tbl_ProduitsRef[Famille], MATCH(tbl_Ventes[[#This Row],[Cde_Prdt]], tbl_Produits[Cde_Prdt], 0)), "")</f>
        <v/>
      </c>
    </row>
    <row r="522" spans="1:11" x14ac:dyDescent="0.25">
      <c r="A522" s="5"/>
      <c r="B522" s="63" t="str">
        <f>IFERROR(TEXT(tbl_Ventes[[#This Row],[Date]],"mm-aaaa"),"")</f>
        <v>01-1900</v>
      </c>
      <c r="D522" s="10" t="str">
        <f>IFERROR(
   INDEX(tbl_ProduitsRef[Cde_Prdt],MATCH(tbl_Ventes[[#This Row],[Produit]],tbl_ProduitsRef[Produit],0)),
   ""
)</f>
        <v/>
      </c>
      <c r="E522" s="7">
        <v>0</v>
      </c>
      <c r="F522" s="7" t="str">
        <f>IFERROR(
   INDEX(tbl_ProduitsRef[Prix Menu],MATCH(tbl_Ventes[[#This Row],[Produit]],tbl_ProduitsRef[Produit],0)),
   ""
)</f>
        <v/>
      </c>
      <c r="G522" s="7">
        <f>tbl_Ventes[[#This Row],[Qté Vendue]] * IFERROR(_xlfn.XLOOKUP(tbl_Ventes[[#This Row],[Cde_Prdt]], tbl_Produits[Cde_Prdt], tbl_Produits[Prix Menu]), 0)</f>
        <v>0</v>
      </c>
      <c r="H522" s="7">
        <f>IFERROR(_xlfn.XLOOKUP(tbl_Ventes[[#This Row],[Cde_Prdt]], tbl_Produits[Cde_Prdt], tbl_Produits[Coût Moyen Portion]), 0)</f>
        <v>0</v>
      </c>
      <c r="I522" s="7">
        <f>tbl_Ventes[[#This Row],[Qté Vendue]] * tbl_Ventes[[#This Row],[CMP_par_portion]]</f>
        <v>0</v>
      </c>
      <c r="J522" s="7">
        <f>tbl_Ventes[[#This Row],[CA ligne]] - tbl_Ventes[[#This Row],[Coût matière ligne]]</f>
        <v>0</v>
      </c>
      <c r="K522" s="7" t="str">
        <f>IFERROR(INDEX(tbl_ProduitsRef[Famille], MATCH(tbl_Ventes[[#This Row],[Cde_Prdt]], tbl_Produits[Cde_Prdt], 0)), "")</f>
        <v/>
      </c>
    </row>
    <row r="523" spans="1:11" x14ac:dyDescent="0.25">
      <c r="A523" s="5"/>
      <c r="B523" s="63" t="str">
        <f>IFERROR(TEXT(tbl_Ventes[[#This Row],[Date]],"mm-aaaa"),"")</f>
        <v>01-1900</v>
      </c>
      <c r="D523" s="10" t="str">
        <f>IFERROR(
   INDEX(tbl_ProduitsRef[Cde_Prdt],MATCH(tbl_Ventes[[#This Row],[Produit]],tbl_ProduitsRef[Produit],0)),
   ""
)</f>
        <v/>
      </c>
      <c r="E523" s="7">
        <v>0</v>
      </c>
      <c r="F523" s="7" t="str">
        <f>IFERROR(
   INDEX(tbl_ProduitsRef[Prix Menu],MATCH(tbl_Ventes[[#This Row],[Produit]],tbl_ProduitsRef[Produit],0)),
   ""
)</f>
        <v/>
      </c>
      <c r="G523" s="7">
        <f>tbl_Ventes[[#This Row],[Qté Vendue]] * IFERROR(_xlfn.XLOOKUP(tbl_Ventes[[#This Row],[Cde_Prdt]], tbl_Produits[Cde_Prdt], tbl_Produits[Prix Menu]), 0)</f>
        <v>0</v>
      </c>
      <c r="H523" s="7">
        <f>IFERROR(_xlfn.XLOOKUP(tbl_Ventes[[#This Row],[Cde_Prdt]], tbl_Produits[Cde_Prdt], tbl_Produits[Coût Moyen Portion]), 0)</f>
        <v>0</v>
      </c>
      <c r="I523" s="7">
        <f>tbl_Ventes[[#This Row],[Qté Vendue]] * tbl_Ventes[[#This Row],[CMP_par_portion]]</f>
        <v>0</v>
      </c>
      <c r="J523" s="7">
        <f>tbl_Ventes[[#This Row],[CA ligne]] - tbl_Ventes[[#This Row],[Coût matière ligne]]</f>
        <v>0</v>
      </c>
      <c r="K523" s="7" t="str">
        <f>IFERROR(INDEX(tbl_ProduitsRef[Famille], MATCH(tbl_Ventes[[#This Row],[Cde_Prdt]], tbl_Produits[Cde_Prdt], 0)), "")</f>
        <v/>
      </c>
    </row>
    <row r="524" spans="1:11" x14ac:dyDescent="0.25">
      <c r="A524" s="5"/>
      <c r="B524" s="63" t="str">
        <f>IFERROR(TEXT(tbl_Ventes[[#This Row],[Date]],"mm-aaaa"),"")</f>
        <v>01-1900</v>
      </c>
      <c r="D524" s="10" t="str">
        <f>IFERROR(
   INDEX(tbl_ProduitsRef[Cde_Prdt],MATCH(tbl_Ventes[[#This Row],[Produit]],tbl_ProduitsRef[Produit],0)),
   ""
)</f>
        <v/>
      </c>
      <c r="E524" s="7">
        <v>0</v>
      </c>
      <c r="F524" s="7" t="str">
        <f>IFERROR(
   INDEX(tbl_ProduitsRef[Prix Menu],MATCH(tbl_Ventes[[#This Row],[Produit]],tbl_ProduitsRef[Produit],0)),
   ""
)</f>
        <v/>
      </c>
      <c r="G524" s="7">
        <f>tbl_Ventes[[#This Row],[Qté Vendue]] * IFERROR(_xlfn.XLOOKUP(tbl_Ventes[[#This Row],[Cde_Prdt]], tbl_Produits[Cde_Prdt], tbl_Produits[Prix Menu]), 0)</f>
        <v>0</v>
      </c>
      <c r="H524" s="7">
        <f>IFERROR(_xlfn.XLOOKUP(tbl_Ventes[[#This Row],[Cde_Prdt]], tbl_Produits[Cde_Prdt], tbl_Produits[Coût Moyen Portion]), 0)</f>
        <v>0</v>
      </c>
      <c r="I524" s="7">
        <f>tbl_Ventes[[#This Row],[Qté Vendue]] * tbl_Ventes[[#This Row],[CMP_par_portion]]</f>
        <v>0</v>
      </c>
      <c r="J524" s="7">
        <f>tbl_Ventes[[#This Row],[CA ligne]] - tbl_Ventes[[#This Row],[Coût matière ligne]]</f>
        <v>0</v>
      </c>
      <c r="K524" s="7" t="str">
        <f>IFERROR(INDEX(tbl_ProduitsRef[Famille], MATCH(tbl_Ventes[[#This Row],[Cde_Prdt]], tbl_Produits[Cde_Prdt], 0)), "")</f>
        <v/>
      </c>
    </row>
    <row r="525" spans="1:11" x14ac:dyDescent="0.25">
      <c r="A525" s="5"/>
      <c r="B525" s="63" t="str">
        <f>IFERROR(TEXT(tbl_Ventes[[#This Row],[Date]],"mm-aaaa"),"")</f>
        <v>01-1900</v>
      </c>
      <c r="D525" s="10" t="str">
        <f>IFERROR(
   INDEX(tbl_ProduitsRef[Cde_Prdt],MATCH(tbl_Ventes[[#This Row],[Produit]],tbl_ProduitsRef[Produit],0)),
   ""
)</f>
        <v/>
      </c>
      <c r="E525" s="7">
        <v>0</v>
      </c>
      <c r="F525" s="7" t="str">
        <f>IFERROR(
   INDEX(tbl_ProduitsRef[Prix Menu],MATCH(tbl_Ventes[[#This Row],[Produit]],tbl_ProduitsRef[Produit],0)),
   ""
)</f>
        <v/>
      </c>
      <c r="G525" s="7">
        <f>tbl_Ventes[[#This Row],[Qté Vendue]] * IFERROR(_xlfn.XLOOKUP(tbl_Ventes[[#This Row],[Cde_Prdt]], tbl_Produits[Cde_Prdt], tbl_Produits[Prix Menu]), 0)</f>
        <v>0</v>
      </c>
      <c r="H525" s="7">
        <f>IFERROR(_xlfn.XLOOKUP(tbl_Ventes[[#This Row],[Cde_Prdt]], tbl_Produits[Cde_Prdt], tbl_Produits[Coût Moyen Portion]), 0)</f>
        <v>0</v>
      </c>
      <c r="I525" s="7">
        <f>tbl_Ventes[[#This Row],[Qté Vendue]] * tbl_Ventes[[#This Row],[CMP_par_portion]]</f>
        <v>0</v>
      </c>
      <c r="J525" s="7">
        <f>tbl_Ventes[[#This Row],[CA ligne]] - tbl_Ventes[[#This Row],[Coût matière ligne]]</f>
        <v>0</v>
      </c>
      <c r="K525" s="7" t="str">
        <f>IFERROR(INDEX(tbl_ProduitsRef[Famille], MATCH(tbl_Ventes[[#This Row],[Cde_Prdt]], tbl_Produits[Cde_Prdt], 0)), "")</f>
        <v/>
      </c>
    </row>
    <row r="526" spans="1:11" x14ac:dyDescent="0.25">
      <c r="A526" s="5"/>
      <c r="B526" s="63" t="str">
        <f>IFERROR(TEXT(tbl_Ventes[[#This Row],[Date]],"mm-aaaa"),"")</f>
        <v>01-1900</v>
      </c>
      <c r="D526" s="10" t="str">
        <f>IFERROR(
   INDEX(tbl_ProduitsRef[Cde_Prdt],MATCH(tbl_Ventes[[#This Row],[Produit]],tbl_ProduitsRef[Produit],0)),
   ""
)</f>
        <v/>
      </c>
      <c r="E526" s="7">
        <v>0</v>
      </c>
      <c r="F526" s="7" t="str">
        <f>IFERROR(
   INDEX(tbl_ProduitsRef[Prix Menu],MATCH(tbl_Ventes[[#This Row],[Produit]],tbl_ProduitsRef[Produit],0)),
   ""
)</f>
        <v/>
      </c>
      <c r="G526" s="7">
        <f>tbl_Ventes[[#This Row],[Qté Vendue]] * IFERROR(_xlfn.XLOOKUP(tbl_Ventes[[#This Row],[Cde_Prdt]], tbl_Produits[Cde_Prdt], tbl_Produits[Prix Menu]), 0)</f>
        <v>0</v>
      </c>
      <c r="H526" s="7">
        <f>IFERROR(_xlfn.XLOOKUP(tbl_Ventes[[#This Row],[Cde_Prdt]], tbl_Produits[Cde_Prdt], tbl_Produits[Coût Moyen Portion]), 0)</f>
        <v>0</v>
      </c>
      <c r="I526" s="7">
        <f>tbl_Ventes[[#This Row],[Qté Vendue]] * tbl_Ventes[[#This Row],[CMP_par_portion]]</f>
        <v>0</v>
      </c>
      <c r="J526" s="7">
        <f>tbl_Ventes[[#This Row],[CA ligne]] - tbl_Ventes[[#This Row],[Coût matière ligne]]</f>
        <v>0</v>
      </c>
      <c r="K526" s="7" t="str">
        <f>IFERROR(INDEX(tbl_ProduitsRef[Famille], MATCH(tbl_Ventes[[#This Row],[Cde_Prdt]], tbl_Produits[Cde_Prdt], 0)), "")</f>
        <v/>
      </c>
    </row>
    <row r="527" spans="1:11" x14ac:dyDescent="0.25">
      <c r="A527" s="5"/>
      <c r="B527" s="63" t="str">
        <f>IFERROR(TEXT(tbl_Ventes[[#This Row],[Date]],"mm-aaaa"),"")</f>
        <v>01-1900</v>
      </c>
      <c r="D527" s="10" t="str">
        <f>IFERROR(
   INDEX(tbl_ProduitsRef[Cde_Prdt],MATCH(tbl_Ventes[[#This Row],[Produit]],tbl_ProduitsRef[Produit],0)),
   ""
)</f>
        <v/>
      </c>
      <c r="E527" s="7">
        <v>0</v>
      </c>
      <c r="F527" s="7" t="str">
        <f>IFERROR(
   INDEX(tbl_ProduitsRef[Prix Menu],MATCH(tbl_Ventes[[#This Row],[Produit]],tbl_ProduitsRef[Produit],0)),
   ""
)</f>
        <v/>
      </c>
      <c r="G527" s="7">
        <f>tbl_Ventes[[#This Row],[Qté Vendue]] * IFERROR(_xlfn.XLOOKUP(tbl_Ventes[[#This Row],[Cde_Prdt]], tbl_Produits[Cde_Prdt], tbl_Produits[Prix Menu]), 0)</f>
        <v>0</v>
      </c>
      <c r="H527" s="7">
        <f>IFERROR(_xlfn.XLOOKUP(tbl_Ventes[[#This Row],[Cde_Prdt]], tbl_Produits[Cde_Prdt], tbl_Produits[Coût Moyen Portion]), 0)</f>
        <v>0</v>
      </c>
      <c r="I527" s="7">
        <f>tbl_Ventes[[#This Row],[Qté Vendue]] * tbl_Ventes[[#This Row],[CMP_par_portion]]</f>
        <v>0</v>
      </c>
      <c r="J527" s="7">
        <f>tbl_Ventes[[#This Row],[CA ligne]] - tbl_Ventes[[#This Row],[Coût matière ligne]]</f>
        <v>0</v>
      </c>
      <c r="K527" s="7" t="str">
        <f>IFERROR(INDEX(tbl_ProduitsRef[Famille], MATCH(tbl_Ventes[[#This Row],[Cde_Prdt]], tbl_Produits[Cde_Prdt], 0)), "")</f>
        <v/>
      </c>
    </row>
    <row r="528" spans="1:11" x14ac:dyDescent="0.25">
      <c r="A528" s="5"/>
      <c r="B528" s="63" t="str">
        <f>IFERROR(TEXT(tbl_Ventes[[#This Row],[Date]],"mm-aaaa"),"")</f>
        <v>01-1900</v>
      </c>
      <c r="D528" s="10" t="str">
        <f>IFERROR(
   INDEX(tbl_ProduitsRef[Cde_Prdt],MATCH(tbl_Ventes[[#This Row],[Produit]],tbl_ProduitsRef[Produit],0)),
   ""
)</f>
        <v/>
      </c>
      <c r="E528" s="7">
        <v>0</v>
      </c>
      <c r="F528" s="7" t="str">
        <f>IFERROR(
   INDEX(tbl_ProduitsRef[Prix Menu],MATCH(tbl_Ventes[[#This Row],[Produit]],tbl_ProduitsRef[Produit],0)),
   ""
)</f>
        <v/>
      </c>
      <c r="G528" s="7">
        <f>tbl_Ventes[[#This Row],[Qté Vendue]] * IFERROR(_xlfn.XLOOKUP(tbl_Ventes[[#This Row],[Cde_Prdt]], tbl_Produits[Cde_Prdt], tbl_Produits[Prix Menu]), 0)</f>
        <v>0</v>
      </c>
      <c r="H528" s="7">
        <f>IFERROR(_xlfn.XLOOKUP(tbl_Ventes[[#This Row],[Cde_Prdt]], tbl_Produits[Cde_Prdt], tbl_Produits[Coût Moyen Portion]), 0)</f>
        <v>0</v>
      </c>
      <c r="I528" s="7">
        <f>tbl_Ventes[[#This Row],[Qté Vendue]] * tbl_Ventes[[#This Row],[CMP_par_portion]]</f>
        <v>0</v>
      </c>
      <c r="J528" s="7">
        <f>tbl_Ventes[[#This Row],[CA ligne]] - tbl_Ventes[[#This Row],[Coût matière ligne]]</f>
        <v>0</v>
      </c>
      <c r="K528" s="7" t="str">
        <f>IFERROR(INDEX(tbl_ProduitsRef[Famille], MATCH(tbl_Ventes[[#This Row],[Cde_Prdt]], tbl_Produits[Cde_Prdt], 0)), "")</f>
        <v/>
      </c>
    </row>
    <row r="529" spans="1:11" x14ac:dyDescent="0.25">
      <c r="A529" s="5"/>
      <c r="B529" s="63" t="str">
        <f>IFERROR(TEXT(tbl_Ventes[[#This Row],[Date]],"mm-aaaa"),"")</f>
        <v>01-1900</v>
      </c>
      <c r="D529" s="10" t="str">
        <f>IFERROR(
   INDEX(tbl_ProduitsRef[Cde_Prdt],MATCH(tbl_Ventes[[#This Row],[Produit]],tbl_ProduitsRef[Produit],0)),
   ""
)</f>
        <v/>
      </c>
      <c r="E529" s="7">
        <v>0</v>
      </c>
      <c r="F529" s="7" t="str">
        <f>IFERROR(
   INDEX(tbl_ProduitsRef[Prix Menu],MATCH(tbl_Ventes[[#This Row],[Produit]],tbl_ProduitsRef[Produit],0)),
   ""
)</f>
        <v/>
      </c>
      <c r="G529" s="7">
        <f>tbl_Ventes[[#This Row],[Qté Vendue]] * IFERROR(_xlfn.XLOOKUP(tbl_Ventes[[#This Row],[Cde_Prdt]], tbl_Produits[Cde_Prdt], tbl_Produits[Prix Menu]), 0)</f>
        <v>0</v>
      </c>
      <c r="H529" s="7">
        <f>IFERROR(_xlfn.XLOOKUP(tbl_Ventes[[#This Row],[Cde_Prdt]], tbl_Produits[Cde_Prdt], tbl_Produits[Coût Moyen Portion]), 0)</f>
        <v>0</v>
      </c>
      <c r="I529" s="7">
        <f>tbl_Ventes[[#This Row],[Qté Vendue]] * tbl_Ventes[[#This Row],[CMP_par_portion]]</f>
        <v>0</v>
      </c>
      <c r="J529" s="7">
        <f>tbl_Ventes[[#This Row],[CA ligne]] - tbl_Ventes[[#This Row],[Coût matière ligne]]</f>
        <v>0</v>
      </c>
      <c r="K529" s="7" t="str">
        <f>IFERROR(INDEX(tbl_ProduitsRef[Famille], MATCH(tbl_Ventes[[#This Row],[Cde_Prdt]], tbl_Produits[Cde_Prdt], 0)), "")</f>
        <v/>
      </c>
    </row>
    <row r="530" spans="1:11" x14ac:dyDescent="0.25">
      <c r="A530" s="5"/>
      <c r="B530" s="63" t="str">
        <f>IFERROR(TEXT(tbl_Ventes[[#This Row],[Date]],"mm-aaaa"),"")</f>
        <v>01-1900</v>
      </c>
      <c r="D530" s="10" t="str">
        <f>IFERROR(
   INDEX(tbl_ProduitsRef[Cde_Prdt],MATCH(tbl_Ventes[[#This Row],[Produit]],tbl_ProduitsRef[Produit],0)),
   ""
)</f>
        <v/>
      </c>
      <c r="E530" s="7">
        <v>0</v>
      </c>
      <c r="F530" s="7" t="str">
        <f>IFERROR(
   INDEX(tbl_ProduitsRef[Prix Menu],MATCH(tbl_Ventes[[#This Row],[Produit]],tbl_ProduitsRef[Produit],0)),
   ""
)</f>
        <v/>
      </c>
      <c r="G530" s="7">
        <f>tbl_Ventes[[#This Row],[Qté Vendue]] * IFERROR(_xlfn.XLOOKUP(tbl_Ventes[[#This Row],[Cde_Prdt]], tbl_Produits[Cde_Prdt], tbl_Produits[Prix Menu]), 0)</f>
        <v>0</v>
      </c>
      <c r="H530" s="7">
        <f>IFERROR(_xlfn.XLOOKUP(tbl_Ventes[[#This Row],[Cde_Prdt]], tbl_Produits[Cde_Prdt], tbl_Produits[Coût Moyen Portion]), 0)</f>
        <v>0</v>
      </c>
      <c r="I530" s="7">
        <f>tbl_Ventes[[#This Row],[Qté Vendue]] * tbl_Ventes[[#This Row],[CMP_par_portion]]</f>
        <v>0</v>
      </c>
      <c r="J530" s="7">
        <f>tbl_Ventes[[#This Row],[CA ligne]] - tbl_Ventes[[#This Row],[Coût matière ligne]]</f>
        <v>0</v>
      </c>
      <c r="K530" s="7" t="str">
        <f>IFERROR(INDEX(tbl_ProduitsRef[Famille], MATCH(tbl_Ventes[[#This Row],[Cde_Prdt]], tbl_Produits[Cde_Prdt], 0)), "")</f>
        <v/>
      </c>
    </row>
    <row r="531" spans="1:11" x14ac:dyDescent="0.25">
      <c r="A531" s="5"/>
      <c r="B531" s="63" t="str">
        <f>IFERROR(TEXT(tbl_Ventes[[#This Row],[Date]],"mm-aaaa"),"")</f>
        <v>01-1900</v>
      </c>
      <c r="D531" s="10" t="str">
        <f>IFERROR(
   INDEX(tbl_ProduitsRef[Cde_Prdt],MATCH(tbl_Ventes[[#This Row],[Produit]],tbl_ProduitsRef[Produit],0)),
   ""
)</f>
        <v/>
      </c>
      <c r="E531" s="7">
        <v>0</v>
      </c>
      <c r="F531" s="7" t="str">
        <f>IFERROR(
   INDEX(tbl_ProduitsRef[Prix Menu],MATCH(tbl_Ventes[[#This Row],[Produit]],tbl_ProduitsRef[Produit],0)),
   ""
)</f>
        <v/>
      </c>
      <c r="G531" s="7">
        <f>tbl_Ventes[[#This Row],[Qté Vendue]] * IFERROR(_xlfn.XLOOKUP(tbl_Ventes[[#This Row],[Cde_Prdt]], tbl_Produits[Cde_Prdt], tbl_Produits[Prix Menu]), 0)</f>
        <v>0</v>
      </c>
      <c r="H531" s="7">
        <f>IFERROR(_xlfn.XLOOKUP(tbl_Ventes[[#This Row],[Cde_Prdt]], tbl_Produits[Cde_Prdt], tbl_Produits[Coût Moyen Portion]), 0)</f>
        <v>0</v>
      </c>
      <c r="I531" s="7">
        <f>tbl_Ventes[[#This Row],[Qté Vendue]] * tbl_Ventes[[#This Row],[CMP_par_portion]]</f>
        <v>0</v>
      </c>
      <c r="J531" s="7">
        <f>tbl_Ventes[[#This Row],[CA ligne]] - tbl_Ventes[[#This Row],[Coût matière ligne]]</f>
        <v>0</v>
      </c>
      <c r="K531" s="7" t="str">
        <f>IFERROR(INDEX(tbl_ProduitsRef[Famille], MATCH(tbl_Ventes[[#This Row],[Cde_Prdt]], tbl_Produits[Cde_Prdt], 0)), "")</f>
        <v/>
      </c>
    </row>
    <row r="532" spans="1:11" x14ac:dyDescent="0.25">
      <c r="A532" s="5"/>
      <c r="B532" s="63" t="str">
        <f>IFERROR(TEXT(tbl_Ventes[[#This Row],[Date]],"mm-aaaa"),"")</f>
        <v>01-1900</v>
      </c>
      <c r="D532" s="10" t="str">
        <f>IFERROR(
   INDEX(tbl_ProduitsRef[Cde_Prdt],MATCH(tbl_Ventes[[#This Row],[Produit]],tbl_ProduitsRef[Produit],0)),
   ""
)</f>
        <v/>
      </c>
      <c r="E532" s="7">
        <v>0</v>
      </c>
      <c r="F532" s="7" t="str">
        <f>IFERROR(
   INDEX(tbl_ProduitsRef[Prix Menu],MATCH(tbl_Ventes[[#This Row],[Produit]],tbl_ProduitsRef[Produit],0)),
   ""
)</f>
        <v/>
      </c>
      <c r="G532" s="7">
        <f>tbl_Ventes[[#This Row],[Qté Vendue]] * IFERROR(_xlfn.XLOOKUP(tbl_Ventes[[#This Row],[Cde_Prdt]], tbl_Produits[Cde_Prdt], tbl_Produits[Prix Menu]), 0)</f>
        <v>0</v>
      </c>
      <c r="H532" s="7">
        <f>IFERROR(_xlfn.XLOOKUP(tbl_Ventes[[#This Row],[Cde_Prdt]], tbl_Produits[Cde_Prdt], tbl_Produits[Coût Moyen Portion]), 0)</f>
        <v>0</v>
      </c>
      <c r="I532" s="7">
        <f>tbl_Ventes[[#This Row],[Qté Vendue]] * tbl_Ventes[[#This Row],[CMP_par_portion]]</f>
        <v>0</v>
      </c>
      <c r="J532" s="7">
        <f>tbl_Ventes[[#This Row],[CA ligne]] - tbl_Ventes[[#This Row],[Coût matière ligne]]</f>
        <v>0</v>
      </c>
      <c r="K532" s="7" t="str">
        <f>IFERROR(INDEX(tbl_ProduitsRef[Famille], MATCH(tbl_Ventes[[#This Row],[Cde_Prdt]], tbl_Produits[Cde_Prdt], 0)), "")</f>
        <v/>
      </c>
    </row>
    <row r="533" spans="1:11" x14ac:dyDescent="0.25">
      <c r="A533" s="5"/>
      <c r="B533" s="63" t="str">
        <f>IFERROR(TEXT(tbl_Ventes[[#This Row],[Date]],"mm-aaaa"),"")</f>
        <v>01-1900</v>
      </c>
      <c r="D533" s="10" t="str">
        <f>IFERROR(
   INDEX(tbl_ProduitsRef[Cde_Prdt],MATCH(tbl_Ventes[[#This Row],[Produit]],tbl_ProduitsRef[Produit],0)),
   ""
)</f>
        <v/>
      </c>
      <c r="E533" s="7">
        <v>0</v>
      </c>
      <c r="F533" s="7" t="str">
        <f>IFERROR(
   INDEX(tbl_ProduitsRef[Prix Menu],MATCH(tbl_Ventes[[#This Row],[Produit]],tbl_ProduitsRef[Produit],0)),
   ""
)</f>
        <v/>
      </c>
      <c r="G533" s="7">
        <f>tbl_Ventes[[#This Row],[Qté Vendue]] * IFERROR(_xlfn.XLOOKUP(tbl_Ventes[[#This Row],[Cde_Prdt]], tbl_Produits[Cde_Prdt], tbl_Produits[Prix Menu]), 0)</f>
        <v>0</v>
      </c>
      <c r="H533" s="7">
        <f>IFERROR(_xlfn.XLOOKUP(tbl_Ventes[[#This Row],[Cde_Prdt]], tbl_Produits[Cde_Prdt], tbl_Produits[Coût Moyen Portion]), 0)</f>
        <v>0</v>
      </c>
      <c r="I533" s="7">
        <f>tbl_Ventes[[#This Row],[Qté Vendue]] * tbl_Ventes[[#This Row],[CMP_par_portion]]</f>
        <v>0</v>
      </c>
      <c r="J533" s="7">
        <f>tbl_Ventes[[#This Row],[CA ligne]] - tbl_Ventes[[#This Row],[Coût matière ligne]]</f>
        <v>0</v>
      </c>
      <c r="K533" s="7" t="str">
        <f>IFERROR(INDEX(tbl_ProduitsRef[Famille], MATCH(tbl_Ventes[[#This Row],[Cde_Prdt]], tbl_Produits[Cde_Prdt], 0)), "")</f>
        <v/>
      </c>
    </row>
    <row r="534" spans="1:11" x14ac:dyDescent="0.25">
      <c r="A534" s="5"/>
      <c r="B534" s="63" t="str">
        <f>IFERROR(TEXT(tbl_Ventes[[#This Row],[Date]],"mm-aaaa"),"")</f>
        <v>01-1900</v>
      </c>
      <c r="D534" s="10" t="str">
        <f>IFERROR(
   INDEX(tbl_ProduitsRef[Cde_Prdt],MATCH(tbl_Ventes[[#This Row],[Produit]],tbl_ProduitsRef[Produit],0)),
   ""
)</f>
        <v/>
      </c>
      <c r="E534" s="7">
        <v>0</v>
      </c>
      <c r="F534" s="7" t="str">
        <f>IFERROR(
   INDEX(tbl_ProduitsRef[Prix Menu],MATCH(tbl_Ventes[[#This Row],[Produit]],tbl_ProduitsRef[Produit],0)),
   ""
)</f>
        <v/>
      </c>
      <c r="G534" s="7">
        <f>tbl_Ventes[[#This Row],[Qté Vendue]] * IFERROR(_xlfn.XLOOKUP(tbl_Ventes[[#This Row],[Cde_Prdt]], tbl_Produits[Cde_Prdt], tbl_Produits[Prix Menu]), 0)</f>
        <v>0</v>
      </c>
      <c r="H534" s="7">
        <f>IFERROR(_xlfn.XLOOKUP(tbl_Ventes[[#This Row],[Cde_Prdt]], tbl_Produits[Cde_Prdt], tbl_Produits[Coût Moyen Portion]), 0)</f>
        <v>0</v>
      </c>
      <c r="I534" s="7">
        <f>tbl_Ventes[[#This Row],[Qté Vendue]] * tbl_Ventes[[#This Row],[CMP_par_portion]]</f>
        <v>0</v>
      </c>
      <c r="J534" s="7">
        <f>tbl_Ventes[[#This Row],[CA ligne]] - tbl_Ventes[[#This Row],[Coût matière ligne]]</f>
        <v>0</v>
      </c>
      <c r="K534" s="7" t="str">
        <f>IFERROR(INDEX(tbl_ProduitsRef[Famille], MATCH(tbl_Ventes[[#This Row],[Cde_Prdt]], tbl_Produits[Cde_Prdt], 0)), "")</f>
        <v/>
      </c>
    </row>
    <row r="535" spans="1:11" x14ac:dyDescent="0.25">
      <c r="A535" s="5"/>
      <c r="B535" s="63" t="str">
        <f>IFERROR(TEXT(tbl_Ventes[[#This Row],[Date]],"mm-aaaa"),"")</f>
        <v>01-1900</v>
      </c>
      <c r="D535" s="10" t="str">
        <f>IFERROR(
   INDEX(tbl_ProduitsRef[Cde_Prdt],MATCH(tbl_Ventes[[#This Row],[Produit]],tbl_ProduitsRef[Produit],0)),
   ""
)</f>
        <v/>
      </c>
      <c r="E535" s="7">
        <v>0</v>
      </c>
      <c r="F535" s="7" t="str">
        <f>IFERROR(
   INDEX(tbl_ProduitsRef[Prix Menu],MATCH(tbl_Ventes[[#This Row],[Produit]],tbl_ProduitsRef[Produit],0)),
   ""
)</f>
        <v/>
      </c>
      <c r="G535" s="7">
        <f>tbl_Ventes[[#This Row],[Qté Vendue]] * IFERROR(_xlfn.XLOOKUP(tbl_Ventes[[#This Row],[Cde_Prdt]], tbl_Produits[Cde_Prdt], tbl_Produits[Prix Menu]), 0)</f>
        <v>0</v>
      </c>
      <c r="H535" s="7">
        <f>IFERROR(_xlfn.XLOOKUP(tbl_Ventes[[#This Row],[Cde_Prdt]], tbl_Produits[Cde_Prdt], tbl_Produits[Coût Moyen Portion]), 0)</f>
        <v>0</v>
      </c>
      <c r="I535" s="7">
        <f>tbl_Ventes[[#This Row],[Qté Vendue]] * tbl_Ventes[[#This Row],[CMP_par_portion]]</f>
        <v>0</v>
      </c>
      <c r="J535" s="7">
        <f>tbl_Ventes[[#This Row],[CA ligne]] - tbl_Ventes[[#This Row],[Coût matière ligne]]</f>
        <v>0</v>
      </c>
      <c r="K535" s="7" t="str">
        <f>IFERROR(INDEX(tbl_ProduitsRef[Famille], MATCH(tbl_Ventes[[#This Row],[Cde_Prdt]], tbl_Produits[Cde_Prdt], 0)), "")</f>
        <v/>
      </c>
    </row>
    <row r="536" spans="1:11" x14ac:dyDescent="0.25">
      <c r="A536" s="5"/>
      <c r="B536" s="63" t="str">
        <f>IFERROR(TEXT(tbl_Ventes[[#This Row],[Date]],"mm-aaaa"),"")</f>
        <v>01-1900</v>
      </c>
      <c r="D536" s="10" t="str">
        <f>IFERROR(
   INDEX(tbl_ProduitsRef[Cde_Prdt],MATCH(tbl_Ventes[[#This Row],[Produit]],tbl_ProduitsRef[Produit],0)),
   ""
)</f>
        <v/>
      </c>
      <c r="E536" s="7">
        <v>0</v>
      </c>
      <c r="F536" s="7" t="str">
        <f>IFERROR(
   INDEX(tbl_ProduitsRef[Prix Menu],MATCH(tbl_Ventes[[#This Row],[Produit]],tbl_ProduitsRef[Produit],0)),
   ""
)</f>
        <v/>
      </c>
      <c r="G536" s="7">
        <f>tbl_Ventes[[#This Row],[Qté Vendue]] * IFERROR(_xlfn.XLOOKUP(tbl_Ventes[[#This Row],[Cde_Prdt]], tbl_Produits[Cde_Prdt], tbl_Produits[Prix Menu]), 0)</f>
        <v>0</v>
      </c>
      <c r="H536" s="7">
        <f>IFERROR(_xlfn.XLOOKUP(tbl_Ventes[[#This Row],[Cde_Prdt]], tbl_Produits[Cde_Prdt], tbl_Produits[Coût Moyen Portion]), 0)</f>
        <v>0</v>
      </c>
      <c r="I536" s="7">
        <f>tbl_Ventes[[#This Row],[Qté Vendue]] * tbl_Ventes[[#This Row],[CMP_par_portion]]</f>
        <v>0</v>
      </c>
      <c r="J536" s="7">
        <f>tbl_Ventes[[#This Row],[CA ligne]] - tbl_Ventes[[#This Row],[Coût matière ligne]]</f>
        <v>0</v>
      </c>
      <c r="K536" s="7" t="str">
        <f>IFERROR(INDEX(tbl_ProduitsRef[Famille], MATCH(tbl_Ventes[[#This Row],[Cde_Prdt]], tbl_Produits[Cde_Prdt], 0)), "")</f>
        <v/>
      </c>
    </row>
    <row r="537" spans="1:11" x14ac:dyDescent="0.25">
      <c r="A537" s="5"/>
      <c r="B537" s="63" t="str">
        <f>IFERROR(TEXT(tbl_Ventes[[#This Row],[Date]],"mm-aaaa"),"")</f>
        <v>01-1900</v>
      </c>
      <c r="D537" s="10" t="str">
        <f>IFERROR(
   INDEX(tbl_ProduitsRef[Cde_Prdt],MATCH(tbl_Ventes[[#This Row],[Produit]],tbl_ProduitsRef[Produit],0)),
   ""
)</f>
        <v/>
      </c>
      <c r="E537" s="7">
        <v>0</v>
      </c>
      <c r="F537" s="7" t="str">
        <f>IFERROR(
   INDEX(tbl_ProduitsRef[Prix Menu],MATCH(tbl_Ventes[[#This Row],[Produit]],tbl_ProduitsRef[Produit],0)),
   ""
)</f>
        <v/>
      </c>
      <c r="G537" s="7">
        <f>tbl_Ventes[[#This Row],[Qté Vendue]] * IFERROR(_xlfn.XLOOKUP(tbl_Ventes[[#This Row],[Cde_Prdt]], tbl_Produits[Cde_Prdt], tbl_Produits[Prix Menu]), 0)</f>
        <v>0</v>
      </c>
      <c r="H537" s="7">
        <f>IFERROR(_xlfn.XLOOKUP(tbl_Ventes[[#This Row],[Cde_Prdt]], tbl_Produits[Cde_Prdt], tbl_Produits[Coût Moyen Portion]), 0)</f>
        <v>0</v>
      </c>
      <c r="I537" s="7">
        <f>tbl_Ventes[[#This Row],[Qté Vendue]] * tbl_Ventes[[#This Row],[CMP_par_portion]]</f>
        <v>0</v>
      </c>
      <c r="J537" s="7">
        <f>tbl_Ventes[[#This Row],[CA ligne]] - tbl_Ventes[[#This Row],[Coût matière ligne]]</f>
        <v>0</v>
      </c>
      <c r="K537" s="7" t="str">
        <f>IFERROR(INDEX(tbl_ProduitsRef[Famille], MATCH(tbl_Ventes[[#This Row],[Cde_Prdt]], tbl_Produits[Cde_Prdt], 0)), "")</f>
        <v/>
      </c>
    </row>
    <row r="538" spans="1:11" x14ac:dyDescent="0.25">
      <c r="A538" s="5"/>
      <c r="B538" s="63" t="str">
        <f>IFERROR(TEXT(tbl_Ventes[[#This Row],[Date]],"mm-aaaa"),"")</f>
        <v>01-1900</v>
      </c>
      <c r="D538" s="10" t="str">
        <f>IFERROR(
   INDEX(tbl_ProduitsRef[Cde_Prdt],MATCH(tbl_Ventes[[#This Row],[Produit]],tbl_ProduitsRef[Produit],0)),
   ""
)</f>
        <v/>
      </c>
      <c r="E538" s="7">
        <v>0</v>
      </c>
      <c r="F538" s="7" t="str">
        <f>IFERROR(
   INDEX(tbl_ProduitsRef[Prix Menu],MATCH(tbl_Ventes[[#This Row],[Produit]],tbl_ProduitsRef[Produit],0)),
   ""
)</f>
        <v/>
      </c>
      <c r="G538" s="7">
        <f>tbl_Ventes[[#This Row],[Qté Vendue]] * IFERROR(_xlfn.XLOOKUP(tbl_Ventes[[#This Row],[Cde_Prdt]], tbl_Produits[Cde_Prdt], tbl_Produits[Prix Menu]), 0)</f>
        <v>0</v>
      </c>
      <c r="H538" s="7">
        <f>IFERROR(_xlfn.XLOOKUP(tbl_Ventes[[#This Row],[Cde_Prdt]], tbl_Produits[Cde_Prdt], tbl_Produits[Coût Moyen Portion]), 0)</f>
        <v>0</v>
      </c>
      <c r="I538" s="7">
        <f>tbl_Ventes[[#This Row],[Qté Vendue]] * tbl_Ventes[[#This Row],[CMP_par_portion]]</f>
        <v>0</v>
      </c>
      <c r="J538" s="7">
        <f>tbl_Ventes[[#This Row],[CA ligne]] - tbl_Ventes[[#This Row],[Coût matière ligne]]</f>
        <v>0</v>
      </c>
      <c r="K538" s="7" t="str">
        <f>IFERROR(INDEX(tbl_ProduitsRef[Famille], MATCH(tbl_Ventes[[#This Row],[Cde_Prdt]], tbl_Produits[Cde_Prdt], 0)), "")</f>
        <v/>
      </c>
    </row>
    <row r="539" spans="1:11" x14ac:dyDescent="0.25">
      <c r="A539" s="5"/>
      <c r="B539" s="63" t="str">
        <f>IFERROR(TEXT(tbl_Ventes[[#This Row],[Date]],"mm-aaaa"),"")</f>
        <v>01-1900</v>
      </c>
      <c r="D539" s="10" t="str">
        <f>IFERROR(
   INDEX(tbl_ProduitsRef[Cde_Prdt],MATCH(tbl_Ventes[[#This Row],[Produit]],tbl_ProduitsRef[Produit],0)),
   ""
)</f>
        <v/>
      </c>
      <c r="E539" s="7">
        <v>0</v>
      </c>
      <c r="F539" s="7" t="str">
        <f>IFERROR(
   INDEX(tbl_ProduitsRef[Prix Menu],MATCH(tbl_Ventes[[#This Row],[Produit]],tbl_ProduitsRef[Produit],0)),
   ""
)</f>
        <v/>
      </c>
      <c r="G539" s="7">
        <f>tbl_Ventes[[#This Row],[Qté Vendue]] * IFERROR(_xlfn.XLOOKUP(tbl_Ventes[[#This Row],[Cde_Prdt]], tbl_Produits[Cde_Prdt], tbl_Produits[Prix Menu]), 0)</f>
        <v>0</v>
      </c>
      <c r="H539" s="7">
        <f>IFERROR(_xlfn.XLOOKUP(tbl_Ventes[[#This Row],[Cde_Prdt]], tbl_Produits[Cde_Prdt], tbl_Produits[Coût Moyen Portion]), 0)</f>
        <v>0</v>
      </c>
      <c r="I539" s="7">
        <f>tbl_Ventes[[#This Row],[Qté Vendue]] * tbl_Ventes[[#This Row],[CMP_par_portion]]</f>
        <v>0</v>
      </c>
      <c r="J539" s="7">
        <f>tbl_Ventes[[#This Row],[CA ligne]] - tbl_Ventes[[#This Row],[Coût matière ligne]]</f>
        <v>0</v>
      </c>
      <c r="K539" s="7" t="str">
        <f>IFERROR(INDEX(tbl_ProduitsRef[Famille], MATCH(tbl_Ventes[[#This Row],[Cde_Prdt]], tbl_Produits[Cde_Prdt], 0)), "")</f>
        <v/>
      </c>
    </row>
    <row r="540" spans="1:11" x14ac:dyDescent="0.25">
      <c r="A540" s="5"/>
      <c r="B540" s="63" t="str">
        <f>IFERROR(TEXT(tbl_Ventes[[#This Row],[Date]],"mm-aaaa"),"")</f>
        <v>01-1900</v>
      </c>
      <c r="D540" s="10" t="str">
        <f>IFERROR(
   INDEX(tbl_ProduitsRef[Cde_Prdt],MATCH(tbl_Ventes[[#This Row],[Produit]],tbl_ProduitsRef[Produit],0)),
   ""
)</f>
        <v/>
      </c>
      <c r="E540" s="7">
        <v>0</v>
      </c>
      <c r="F540" s="7" t="str">
        <f>IFERROR(
   INDEX(tbl_ProduitsRef[Prix Menu],MATCH(tbl_Ventes[[#This Row],[Produit]],tbl_ProduitsRef[Produit],0)),
   ""
)</f>
        <v/>
      </c>
      <c r="G540" s="7">
        <f>tbl_Ventes[[#This Row],[Qté Vendue]] * IFERROR(_xlfn.XLOOKUP(tbl_Ventes[[#This Row],[Cde_Prdt]], tbl_Produits[Cde_Prdt], tbl_Produits[Prix Menu]), 0)</f>
        <v>0</v>
      </c>
      <c r="H540" s="7">
        <f>IFERROR(_xlfn.XLOOKUP(tbl_Ventes[[#This Row],[Cde_Prdt]], tbl_Produits[Cde_Prdt], tbl_Produits[Coût Moyen Portion]), 0)</f>
        <v>0</v>
      </c>
      <c r="I540" s="7">
        <f>tbl_Ventes[[#This Row],[Qté Vendue]] * tbl_Ventes[[#This Row],[CMP_par_portion]]</f>
        <v>0</v>
      </c>
      <c r="J540" s="7">
        <f>tbl_Ventes[[#This Row],[CA ligne]] - tbl_Ventes[[#This Row],[Coût matière ligne]]</f>
        <v>0</v>
      </c>
      <c r="K540" s="7" t="str">
        <f>IFERROR(INDEX(tbl_ProduitsRef[Famille], MATCH(tbl_Ventes[[#This Row],[Cde_Prdt]], tbl_Produits[Cde_Prdt], 0)), "")</f>
        <v/>
      </c>
    </row>
    <row r="541" spans="1:11" x14ac:dyDescent="0.25">
      <c r="A541" s="5"/>
      <c r="B541" s="63" t="str">
        <f>IFERROR(TEXT(tbl_Ventes[[#This Row],[Date]],"mm-aaaa"),"")</f>
        <v>01-1900</v>
      </c>
      <c r="D541" s="10" t="str">
        <f>IFERROR(
   INDEX(tbl_ProduitsRef[Cde_Prdt],MATCH(tbl_Ventes[[#This Row],[Produit]],tbl_ProduitsRef[Produit],0)),
   ""
)</f>
        <v/>
      </c>
      <c r="E541" s="7">
        <v>0</v>
      </c>
      <c r="F541" s="7" t="str">
        <f>IFERROR(
   INDEX(tbl_ProduitsRef[Prix Menu],MATCH(tbl_Ventes[[#This Row],[Produit]],tbl_ProduitsRef[Produit],0)),
   ""
)</f>
        <v/>
      </c>
      <c r="G541" s="7">
        <f>tbl_Ventes[[#This Row],[Qté Vendue]] * IFERROR(_xlfn.XLOOKUP(tbl_Ventes[[#This Row],[Cde_Prdt]], tbl_Produits[Cde_Prdt], tbl_Produits[Prix Menu]), 0)</f>
        <v>0</v>
      </c>
      <c r="H541" s="7">
        <f>IFERROR(_xlfn.XLOOKUP(tbl_Ventes[[#This Row],[Cde_Prdt]], tbl_Produits[Cde_Prdt], tbl_Produits[Coût Moyen Portion]), 0)</f>
        <v>0</v>
      </c>
      <c r="I541" s="7">
        <f>tbl_Ventes[[#This Row],[Qté Vendue]] * tbl_Ventes[[#This Row],[CMP_par_portion]]</f>
        <v>0</v>
      </c>
      <c r="J541" s="7">
        <f>tbl_Ventes[[#This Row],[CA ligne]] - tbl_Ventes[[#This Row],[Coût matière ligne]]</f>
        <v>0</v>
      </c>
      <c r="K541" s="7" t="str">
        <f>IFERROR(INDEX(tbl_ProduitsRef[Famille], MATCH(tbl_Ventes[[#This Row],[Cde_Prdt]], tbl_Produits[Cde_Prdt], 0)), "")</f>
        <v/>
      </c>
    </row>
    <row r="542" spans="1:11" x14ac:dyDescent="0.25">
      <c r="A542" s="5"/>
      <c r="B542" s="63" t="str">
        <f>IFERROR(TEXT(tbl_Ventes[[#This Row],[Date]],"mm-aaaa"),"")</f>
        <v>01-1900</v>
      </c>
      <c r="D542" s="10" t="str">
        <f>IFERROR(
   INDEX(tbl_ProduitsRef[Cde_Prdt],MATCH(tbl_Ventes[[#This Row],[Produit]],tbl_ProduitsRef[Produit],0)),
   ""
)</f>
        <v/>
      </c>
      <c r="E542" s="7">
        <v>0</v>
      </c>
      <c r="F542" s="7" t="str">
        <f>IFERROR(
   INDEX(tbl_ProduitsRef[Prix Menu],MATCH(tbl_Ventes[[#This Row],[Produit]],tbl_ProduitsRef[Produit],0)),
   ""
)</f>
        <v/>
      </c>
      <c r="G542" s="7">
        <f>tbl_Ventes[[#This Row],[Qté Vendue]] * IFERROR(_xlfn.XLOOKUP(tbl_Ventes[[#This Row],[Cde_Prdt]], tbl_Produits[Cde_Prdt], tbl_Produits[Prix Menu]), 0)</f>
        <v>0</v>
      </c>
      <c r="H542" s="7">
        <f>IFERROR(_xlfn.XLOOKUP(tbl_Ventes[[#This Row],[Cde_Prdt]], tbl_Produits[Cde_Prdt], tbl_Produits[Coût Moyen Portion]), 0)</f>
        <v>0</v>
      </c>
      <c r="I542" s="7">
        <f>tbl_Ventes[[#This Row],[Qté Vendue]] * tbl_Ventes[[#This Row],[CMP_par_portion]]</f>
        <v>0</v>
      </c>
      <c r="J542" s="7">
        <f>tbl_Ventes[[#This Row],[CA ligne]] - tbl_Ventes[[#This Row],[Coût matière ligne]]</f>
        <v>0</v>
      </c>
      <c r="K542" s="7" t="str">
        <f>IFERROR(INDEX(tbl_ProduitsRef[Famille], MATCH(tbl_Ventes[[#This Row],[Cde_Prdt]], tbl_Produits[Cde_Prdt], 0)), "")</f>
        <v/>
      </c>
    </row>
    <row r="543" spans="1:11" x14ac:dyDescent="0.25">
      <c r="A543" s="5"/>
      <c r="B543" s="63" t="str">
        <f>IFERROR(TEXT(tbl_Ventes[[#This Row],[Date]],"mm-aaaa"),"")</f>
        <v>01-1900</v>
      </c>
      <c r="D543" s="10" t="str">
        <f>IFERROR(
   INDEX(tbl_ProduitsRef[Cde_Prdt],MATCH(tbl_Ventes[[#This Row],[Produit]],tbl_ProduitsRef[Produit],0)),
   ""
)</f>
        <v/>
      </c>
      <c r="E543" s="7">
        <v>0</v>
      </c>
      <c r="F543" s="7" t="str">
        <f>IFERROR(
   INDEX(tbl_ProduitsRef[Prix Menu],MATCH(tbl_Ventes[[#This Row],[Produit]],tbl_ProduitsRef[Produit],0)),
   ""
)</f>
        <v/>
      </c>
      <c r="G543" s="7">
        <f>tbl_Ventes[[#This Row],[Qté Vendue]] * IFERROR(_xlfn.XLOOKUP(tbl_Ventes[[#This Row],[Cde_Prdt]], tbl_Produits[Cde_Prdt], tbl_Produits[Prix Menu]), 0)</f>
        <v>0</v>
      </c>
      <c r="H543" s="7">
        <f>IFERROR(_xlfn.XLOOKUP(tbl_Ventes[[#This Row],[Cde_Prdt]], tbl_Produits[Cde_Prdt], tbl_Produits[Coût Moyen Portion]), 0)</f>
        <v>0</v>
      </c>
      <c r="I543" s="7">
        <f>tbl_Ventes[[#This Row],[Qté Vendue]] * tbl_Ventes[[#This Row],[CMP_par_portion]]</f>
        <v>0</v>
      </c>
      <c r="J543" s="7">
        <f>tbl_Ventes[[#This Row],[CA ligne]] - tbl_Ventes[[#This Row],[Coût matière ligne]]</f>
        <v>0</v>
      </c>
      <c r="K543" s="7" t="str">
        <f>IFERROR(INDEX(tbl_ProduitsRef[Famille], MATCH(tbl_Ventes[[#This Row],[Cde_Prdt]], tbl_Produits[Cde_Prdt], 0)), "")</f>
        <v/>
      </c>
    </row>
    <row r="544" spans="1:11" x14ac:dyDescent="0.25">
      <c r="A544" s="5"/>
      <c r="B544" s="63" t="str">
        <f>IFERROR(TEXT(tbl_Ventes[[#This Row],[Date]],"mm-aaaa"),"")</f>
        <v>01-1900</v>
      </c>
      <c r="D544" s="10" t="str">
        <f>IFERROR(
   INDEX(tbl_ProduitsRef[Cde_Prdt],MATCH(tbl_Ventes[[#This Row],[Produit]],tbl_ProduitsRef[Produit],0)),
   ""
)</f>
        <v/>
      </c>
      <c r="E544" s="7">
        <v>0</v>
      </c>
      <c r="F544" s="7" t="str">
        <f>IFERROR(
   INDEX(tbl_ProduitsRef[Prix Menu],MATCH(tbl_Ventes[[#This Row],[Produit]],tbl_ProduitsRef[Produit],0)),
   ""
)</f>
        <v/>
      </c>
      <c r="G544" s="7">
        <f>tbl_Ventes[[#This Row],[Qté Vendue]] * IFERROR(_xlfn.XLOOKUP(tbl_Ventes[[#This Row],[Cde_Prdt]], tbl_Produits[Cde_Prdt], tbl_Produits[Prix Menu]), 0)</f>
        <v>0</v>
      </c>
      <c r="H544" s="7">
        <f>IFERROR(_xlfn.XLOOKUP(tbl_Ventes[[#This Row],[Cde_Prdt]], tbl_Produits[Cde_Prdt], tbl_Produits[Coût Moyen Portion]), 0)</f>
        <v>0</v>
      </c>
      <c r="I544" s="7">
        <f>tbl_Ventes[[#This Row],[Qté Vendue]] * tbl_Ventes[[#This Row],[CMP_par_portion]]</f>
        <v>0</v>
      </c>
      <c r="J544" s="7">
        <f>tbl_Ventes[[#This Row],[CA ligne]] - tbl_Ventes[[#This Row],[Coût matière ligne]]</f>
        <v>0</v>
      </c>
      <c r="K544" s="7" t="str">
        <f>IFERROR(INDEX(tbl_ProduitsRef[Famille], MATCH(tbl_Ventes[[#This Row],[Cde_Prdt]], tbl_Produits[Cde_Prdt], 0)), "")</f>
        <v/>
      </c>
    </row>
    <row r="545" spans="1:11" x14ac:dyDescent="0.25">
      <c r="A545" s="5"/>
      <c r="B545" s="63" t="str">
        <f>IFERROR(TEXT(tbl_Ventes[[#This Row],[Date]],"mm-aaaa"),"")</f>
        <v>01-1900</v>
      </c>
      <c r="D545" s="10" t="str">
        <f>IFERROR(
   INDEX(tbl_ProduitsRef[Cde_Prdt],MATCH(tbl_Ventes[[#This Row],[Produit]],tbl_ProduitsRef[Produit],0)),
   ""
)</f>
        <v/>
      </c>
      <c r="E545" s="7">
        <v>0</v>
      </c>
      <c r="F545" s="7" t="str">
        <f>IFERROR(
   INDEX(tbl_ProduitsRef[Prix Menu],MATCH(tbl_Ventes[[#This Row],[Produit]],tbl_ProduitsRef[Produit],0)),
   ""
)</f>
        <v/>
      </c>
      <c r="G545" s="7">
        <f>tbl_Ventes[[#This Row],[Qté Vendue]] * IFERROR(_xlfn.XLOOKUP(tbl_Ventes[[#This Row],[Cde_Prdt]], tbl_Produits[Cde_Prdt], tbl_Produits[Prix Menu]), 0)</f>
        <v>0</v>
      </c>
      <c r="H545" s="7">
        <f>IFERROR(_xlfn.XLOOKUP(tbl_Ventes[[#This Row],[Cde_Prdt]], tbl_Produits[Cde_Prdt], tbl_Produits[Coût Moyen Portion]), 0)</f>
        <v>0</v>
      </c>
      <c r="I545" s="7">
        <f>tbl_Ventes[[#This Row],[Qté Vendue]] * tbl_Ventes[[#This Row],[CMP_par_portion]]</f>
        <v>0</v>
      </c>
      <c r="J545" s="7">
        <f>tbl_Ventes[[#This Row],[CA ligne]] - tbl_Ventes[[#This Row],[Coût matière ligne]]</f>
        <v>0</v>
      </c>
      <c r="K545" s="7" t="str">
        <f>IFERROR(INDEX(tbl_ProduitsRef[Famille], MATCH(tbl_Ventes[[#This Row],[Cde_Prdt]], tbl_Produits[Cde_Prdt], 0)), "")</f>
        <v/>
      </c>
    </row>
    <row r="546" spans="1:11" x14ac:dyDescent="0.25">
      <c r="A546" s="5"/>
      <c r="B546" s="63" t="str">
        <f>IFERROR(TEXT(tbl_Ventes[[#This Row],[Date]],"mm-aaaa"),"")</f>
        <v>01-1900</v>
      </c>
      <c r="D546" s="10" t="str">
        <f>IFERROR(
   INDEX(tbl_ProduitsRef[Cde_Prdt],MATCH(tbl_Ventes[[#This Row],[Produit]],tbl_ProduitsRef[Produit],0)),
   ""
)</f>
        <v/>
      </c>
      <c r="E546" s="7">
        <v>0</v>
      </c>
      <c r="F546" s="7" t="str">
        <f>IFERROR(
   INDEX(tbl_ProduitsRef[Prix Menu],MATCH(tbl_Ventes[[#This Row],[Produit]],tbl_ProduitsRef[Produit],0)),
   ""
)</f>
        <v/>
      </c>
      <c r="G546" s="7">
        <f>tbl_Ventes[[#This Row],[Qté Vendue]] * IFERROR(_xlfn.XLOOKUP(tbl_Ventes[[#This Row],[Cde_Prdt]], tbl_Produits[Cde_Prdt], tbl_Produits[Prix Menu]), 0)</f>
        <v>0</v>
      </c>
      <c r="H546" s="7">
        <f>IFERROR(_xlfn.XLOOKUP(tbl_Ventes[[#This Row],[Cde_Prdt]], tbl_Produits[Cde_Prdt], tbl_Produits[Coût Moyen Portion]), 0)</f>
        <v>0</v>
      </c>
      <c r="I546" s="7">
        <f>tbl_Ventes[[#This Row],[Qté Vendue]] * tbl_Ventes[[#This Row],[CMP_par_portion]]</f>
        <v>0</v>
      </c>
      <c r="J546" s="7">
        <f>tbl_Ventes[[#This Row],[CA ligne]] - tbl_Ventes[[#This Row],[Coût matière ligne]]</f>
        <v>0</v>
      </c>
      <c r="K546" s="7" t="str">
        <f>IFERROR(INDEX(tbl_ProduitsRef[Famille], MATCH(tbl_Ventes[[#This Row],[Cde_Prdt]], tbl_Produits[Cde_Prdt], 0)), "")</f>
        <v/>
      </c>
    </row>
    <row r="547" spans="1:11" x14ac:dyDescent="0.25">
      <c r="A547" s="5"/>
      <c r="B547" s="63" t="str">
        <f>IFERROR(TEXT(tbl_Ventes[[#This Row],[Date]],"mm-aaaa"),"")</f>
        <v>01-1900</v>
      </c>
      <c r="D547" s="10" t="str">
        <f>IFERROR(
   INDEX(tbl_ProduitsRef[Cde_Prdt],MATCH(tbl_Ventes[[#This Row],[Produit]],tbl_ProduitsRef[Produit],0)),
   ""
)</f>
        <v/>
      </c>
      <c r="E547" s="7">
        <v>0</v>
      </c>
      <c r="F547" s="7" t="str">
        <f>IFERROR(
   INDEX(tbl_ProduitsRef[Prix Menu],MATCH(tbl_Ventes[[#This Row],[Produit]],tbl_ProduitsRef[Produit],0)),
   ""
)</f>
        <v/>
      </c>
      <c r="G547" s="7">
        <f>tbl_Ventes[[#This Row],[Qté Vendue]] * IFERROR(_xlfn.XLOOKUP(tbl_Ventes[[#This Row],[Cde_Prdt]], tbl_Produits[Cde_Prdt], tbl_Produits[Prix Menu]), 0)</f>
        <v>0</v>
      </c>
      <c r="H547" s="7">
        <f>IFERROR(_xlfn.XLOOKUP(tbl_Ventes[[#This Row],[Cde_Prdt]], tbl_Produits[Cde_Prdt], tbl_Produits[Coût Moyen Portion]), 0)</f>
        <v>0</v>
      </c>
      <c r="I547" s="7">
        <f>tbl_Ventes[[#This Row],[Qté Vendue]] * tbl_Ventes[[#This Row],[CMP_par_portion]]</f>
        <v>0</v>
      </c>
      <c r="J547" s="7">
        <f>tbl_Ventes[[#This Row],[CA ligne]] - tbl_Ventes[[#This Row],[Coût matière ligne]]</f>
        <v>0</v>
      </c>
      <c r="K547" s="7" t="str">
        <f>IFERROR(INDEX(tbl_ProduitsRef[Famille], MATCH(tbl_Ventes[[#This Row],[Cde_Prdt]], tbl_Produits[Cde_Prdt], 0)), "")</f>
        <v/>
      </c>
    </row>
    <row r="548" spans="1:11" x14ac:dyDescent="0.25">
      <c r="A548" s="5"/>
      <c r="B548" s="63" t="str">
        <f>IFERROR(TEXT(tbl_Ventes[[#This Row],[Date]],"mm-aaaa"),"")</f>
        <v>01-1900</v>
      </c>
      <c r="D548" s="10" t="str">
        <f>IFERROR(
   INDEX(tbl_ProduitsRef[Cde_Prdt],MATCH(tbl_Ventes[[#This Row],[Produit]],tbl_ProduitsRef[Produit],0)),
   ""
)</f>
        <v/>
      </c>
      <c r="E548" s="7">
        <v>0</v>
      </c>
      <c r="F548" s="7" t="str">
        <f>IFERROR(
   INDEX(tbl_ProduitsRef[Prix Menu],MATCH(tbl_Ventes[[#This Row],[Produit]],tbl_ProduitsRef[Produit],0)),
   ""
)</f>
        <v/>
      </c>
      <c r="G548" s="7">
        <f>tbl_Ventes[[#This Row],[Qté Vendue]] * IFERROR(_xlfn.XLOOKUP(tbl_Ventes[[#This Row],[Cde_Prdt]], tbl_Produits[Cde_Prdt], tbl_Produits[Prix Menu]), 0)</f>
        <v>0</v>
      </c>
      <c r="H548" s="7">
        <f>IFERROR(_xlfn.XLOOKUP(tbl_Ventes[[#This Row],[Cde_Prdt]], tbl_Produits[Cde_Prdt], tbl_Produits[Coût Moyen Portion]), 0)</f>
        <v>0</v>
      </c>
      <c r="I548" s="7">
        <f>tbl_Ventes[[#This Row],[Qté Vendue]] * tbl_Ventes[[#This Row],[CMP_par_portion]]</f>
        <v>0</v>
      </c>
      <c r="J548" s="7">
        <f>tbl_Ventes[[#This Row],[CA ligne]] - tbl_Ventes[[#This Row],[Coût matière ligne]]</f>
        <v>0</v>
      </c>
      <c r="K548" s="7" t="str">
        <f>IFERROR(INDEX(tbl_ProduitsRef[Famille], MATCH(tbl_Ventes[[#This Row],[Cde_Prdt]], tbl_Produits[Cde_Prdt], 0)), "")</f>
        <v/>
      </c>
    </row>
    <row r="549" spans="1:11" x14ac:dyDescent="0.25">
      <c r="A549" s="5"/>
      <c r="B549" s="63" t="str">
        <f>IFERROR(TEXT(tbl_Ventes[[#This Row],[Date]],"mm-aaaa"),"")</f>
        <v>01-1900</v>
      </c>
      <c r="D549" s="10" t="str">
        <f>IFERROR(
   INDEX(tbl_ProduitsRef[Cde_Prdt],MATCH(tbl_Ventes[[#This Row],[Produit]],tbl_ProduitsRef[Produit],0)),
   ""
)</f>
        <v/>
      </c>
      <c r="E549" s="7">
        <v>0</v>
      </c>
      <c r="F549" s="7" t="str">
        <f>IFERROR(
   INDEX(tbl_ProduitsRef[Prix Menu],MATCH(tbl_Ventes[[#This Row],[Produit]],tbl_ProduitsRef[Produit],0)),
   ""
)</f>
        <v/>
      </c>
      <c r="G549" s="7">
        <f>tbl_Ventes[[#This Row],[Qté Vendue]] * IFERROR(_xlfn.XLOOKUP(tbl_Ventes[[#This Row],[Cde_Prdt]], tbl_Produits[Cde_Prdt], tbl_Produits[Prix Menu]), 0)</f>
        <v>0</v>
      </c>
      <c r="H549" s="7">
        <f>IFERROR(_xlfn.XLOOKUP(tbl_Ventes[[#This Row],[Cde_Prdt]], tbl_Produits[Cde_Prdt], tbl_Produits[Coût Moyen Portion]), 0)</f>
        <v>0</v>
      </c>
      <c r="I549" s="7">
        <f>tbl_Ventes[[#This Row],[Qté Vendue]] * tbl_Ventes[[#This Row],[CMP_par_portion]]</f>
        <v>0</v>
      </c>
      <c r="J549" s="7">
        <f>tbl_Ventes[[#This Row],[CA ligne]] - tbl_Ventes[[#This Row],[Coût matière ligne]]</f>
        <v>0</v>
      </c>
      <c r="K549" s="7" t="str">
        <f>IFERROR(INDEX(tbl_ProduitsRef[Famille], MATCH(tbl_Ventes[[#This Row],[Cde_Prdt]], tbl_Produits[Cde_Prdt], 0)), "")</f>
        <v/>
      </c>
    </row>
    <row r="550" spans="1:11" x14ac:dyDescent="0.25">
      <c r="A550" s="5"/>
      <c r="B550" s="63" t="str">
        <f>IFERROR(TEXT(tbl_Ventes[[#This Row],[Date]],"mm-aaaa"),"")</f>
        <v>01-1900</v>
      </c>
      <c r="D550" s="10" t="str">
        <f>IFERROR(
   INDEX(tbl_ProduitsRef[Cde_Prdt],MATCH(tbl_Ventes[[#This Row],[Produit]],tbl_ProduitsRef[Produit],0)),
   ""
)</f>
        <v/>
      </c>
      <c r="E550" s="7">
        <v>0</v>
      </c>
      <c r="F550" s="7" t="str">
        <f>IFERROR(
   INDEX(tbl_ProduitsRef[Prix Menu],MATCH(tbl_Ventes[[#This Row],[Produit]],tbl_ProduitsRef[Produit],0)),
   ""
)</f>
        <v/>
      </c>
      <c r="G550" s="7">
        <f>tbl_Ventes[[#This Row],[Qté Vendue]] * IFERROR(_xlfn.XLOOKUP(tbl_Ventes[[#This Row],[Cde_Prdt]], tbl_Produits[Cde_Prdt], tbl_Produits[Prix Menu]), 0)</f>
        <v>0</v>
      </c>
      <c r="H550" s="7">
        <f>IFERROR(_xlfn.XLOOKUP(tbl_Ventes[[#This Row],[Cde_Prdt]], tbl_Produits[Cde_Prdt], tbl_Produits[Coût Moyen Portion]), 0)</f>
        <v>0</v>
      </c>
      <c r="I550" s="7">
        <f>tbl_Ventes[[#This Row],[Qté Vendue]] * tbl_Ventes[[#This Row],[CMP_par_portion]]</f>
        <v>0</v>
      </c>
      <c r="J550" s="7">
        <f>tbl_Ventes[[#This Row],[CA ligne]] - tbl_Ventes[[#This Row],[Coût matière ligne]]</f>
        <v>0</v>
      </c>
      <c r="K550" s="7" t="str">
        <f>IFERROR(INDEX(tbl_ProduitsRef[Famille], MATCH(tbl_Ventes[[#This Row],[Cde_Prdt]], tbl_Produits[Cde_Prdt], 0)), "")</f>
        <v/>
      </c>
    </row>
    <row r="551" spans="1:11" x14ac:dyDescent="0.25">
      <c r="A551" s="5"/>
      <c r="B551" s="63" t="str">
        <f>IFERROR(TEXT(tbl_Ventes[[#This Row],[Date]],"mm-aaaa"),"")</f>
        <v>01-1900</v>
      </c>
      <c r="D551" s="10" t="str">
        <f>IFERROR(
   INDEX(tbl_ProduitsRef[Cde_Prdt],MATCH(tbl_Ventes[[#This Row],[Produit]],tbl_ProduitsRef[Produit],0)),
   ""
)</f>
        <v/>
      </c>
      <c r="E551" s="7">
        <v>0</v>
      </c>
      <c r="F551" s="7" t="str">
        <f>IFERROR(
   INDEX(tbl_ProduitsRef[Prix Menu],MATCH(tbl_Ventes[[#This Row],[Produit]],tbl_ProduitsRef[Produit],0)),
   ""
)</f>
        <v/>
      </c>
      <c r="G551" s="7">
        <f>tbl_Ventes[[#This Row],[Qté Vendue]] * IFERROR(_xlfn.XLOOKUP(tbl_Ventes[[#This Row],[Cde_Prdt]], tbl_Produits[Cde_Prdt], tbl_Produits[Prix Menu]), 0)</f>
        <v>0</v>
      </c>
      <c r="H551" s="7">
        <f>IFERROR(_xlfn.XLOOKUP(tbl_Ventes[[#This Row],[Cde_Prdt]], tbl_Produits[Cde_Prdt], tbl_Produits[Coût Moyen Portion]), 0)</f>
        <v>0</v>
      </c>
      <c r="I551" s="7">
        <f>tbl_Ventes[[#This Row],[Qté Vendue]] * tbl_Ventes[[#This Row],[CMP_par_portion]]</f>
        <v>0</v>
      </c>
      <c r="J551" s="7">
        <f>tbl_Ventes[[#This Row],[CA ligne]] - tbl_Ventes[[#This Row],[Coût matière ligne]]</f>
        <v>0</v>
      </c>
      <c r="K551" s="7" t="str">
        <f>IFERROR(INDEX(tbl_ProduitsRef[Famille], MATCH(tbl_Ventes[[#This Row],[Cde_Prdt]], tbl_Produits[Cde_Prdt], 0)), "")</f>
        <v/>
      </c>
    </row>
    <row r="552" spans="1:11" x14ac:dyDescent="0.25">
      <c r="A552" s="5"/>
      <c r="B552" s="63" t="str">
        <f>IFERROR(TEXT(tbl_Ventes[[#This Row],[Date]],"mm-aaaa"),"")</f>
        <v>01-1900</v>
      </c>
      <c r="D552" s="10" t="str">
        <f>IFERROR(
   INDEX(tbl_ProduitsRef[Cde_Prdt],MATCH(tbl_Ventes[[#This Row],[Produit]],tbl_ProduitsRef[Produit],0)),
   ""
)</f>
        <v/>
      </c>
      <c r="E552" s="7">
        <v>0</v>
      </c>
      <c r="F552" s="7" t="str">
        <f>IFERROR(
   INDEX(tbl_ProduitsRef[Prix Menu],MATCH(tbl_Ventes[[#This Row],[Produit]],tbl_ProduitsRef[Produit],0)),
   ""
)</f>
        <v/>
      </c>
      <c r="G552" s="7">
        <f>tbl_Ventes[[#This Row],[Qté Vendue]] * IFERROR(_xlfn.XLOOKUP(tbl_Ventes[[#This Row],[Cde_Prdt]], tbl_Produits[Cde_Prdt], tbl_Produits[Prix Menu]), 0)</f>
        <v>0</v>
      </c>
      <c r="H552" s="7">
        <f>IFERROR(_xlfn.XLOOKUP(tbl_Ventes[[#This Row],[Cde_Prdt]], tbl_Produits[Cde_Prdt], tbl_Produits[Coût Moyen Portion]), 0)</f>
        <v>0</v>
      </c>
      <c r="I552" s="7">
        <f>tbl_Ventes[[#This Row],[Qté Vendue]] * tbl_Ventes[[#This Row],[CMP_par_portion]]</f>
        <v>0</v>
      </c>
      <c r="J552" s="7">
        <f>tbl_Ventes[[#This Row],[CA ligne]] - tbl_Ventes[[#This Row],[Coût matière ligne]]</f>
        <v>0</v>
      </c>
      <c r="K552" s="7" t="str">
        <f>IFERROR(INDEX(tbl_ProduitsRef[Famille], MATCH(tbl_Ventes[[#This Row],[Cde_Prdt]], tbl_Produits[Cde_Prdt], 0)), "")</f>
        <v/>
      </c>
    </row>
    <row r="553" spans="1:11" x14ac:dyDescent="0.25">
      <c r="A553" s="5"/>
      <c r="B553" s="63" t="str">
        <f>IFERROR(TEXT(tbl_Ventes[[#This Row],[Date]],"mm-aaaa"),"")</f>
        <v>01-1900</v>
      </c>
      <c r="D553" s="10" t="str">
        <f>IFERROR(
   INDEX(tbl_ProduitsRef[Cde_Prdt],MATCH(tbl_Ventes[[#This Row],[Produit]],tbl_ProduitsRef[Produit],0)),
   ""
)</f>
        <v/>
      </c>
      <c r="E553" s="7">
        <v>0</v>
      </c>
      <c r="F553" s="7" t="str">
        <f>IFERROR(
   INDEX(tbl_ProduitsRef[Prix Menu],MATCH(tbl_Ventes[[#This Row],[Produit]],tbl_ProduitsRef[Produit],0)),
   ""
)</f>
        <v/>
      </c>
      <c r="G553" s="7">
        <f>tbl_Ventes[[#This Row],[Qté Vendue]] * IFERROR(_xlfn.XLOOKUP(tbl_Ventes[[#This Row],[Cde_Prdt]], tbl_Produits[Cde_Prdt], tbl_Produits[Prix Menu]), 0)</f>
        <v>0</v>
      </c>
      <c r="H553" s="7">
        <f>IFERROR(_xlfn.XLOOKUP(tbl_Ventes[[#This Row],[Cde_Prdt]], tbl_Produits[Cde_Prdt], tbl_Produits[Coût Moyen Portion]), 0)</f>
        <v>0</v>
      </c>
      <c r="I553" s="7">
        <f>tbl_Ventes[[#This Row],[Qté Vendue]] * tbl_Ventes[[#This Row],[CMP_par_portion]]</f>
        <v>0</v>
      </c>
      <c r="J553" s="7">
        <f>tbl_Ventes[[#This Row],[CA ligne]] - tbl_Ventes[[#This Row],[Coût matière ligne]]</f>
        <v>0</v>
      </c>
      <c r="K553" s="7" t="str">
        <f>IFERROR(INDEX(tbl_ProduitsRef[Famille], MATCH(tbl_Ventes[[#This Row],[Cde_Prdt]], tbl_Produits[Cde_Prdt], 0)), "")</f>
        <v/>
      </c>
    </row>
    <row r="554" spans="1:11" x14ac:dyDescent="0.25">
      <c r="A554" s="5"/>
      <c r="B554" s="63" t="str">
        <f>IFERROR(TEXT(tbl_Ventes[[#This Row],[Date]],"mm-aaaa"),"")</f>
        <v>01-1900</v>
      </c>
      <c r="D554" s="10" t="str">
        <f>IFERROR(
   INDEX(tbl_ProduitsRef[Cde_Prdt],MATCH(tbl_Ventes[[#This Row],[Produit]],tbl_ProduitsRef[Produit],0)),
   ""
)</f>
        <v/>
      </c>
      <c r="E554" s="7">
        <v>0</v>
      </c>
      <c r="F554" s="7" t="str">
        <f>IFERROR(
   INDEX(tbl_ProduitsRef[Prix Menu],MATCH(tbl_Ventes[[#This Row],[Produit]],tbl_ProduitsRef[Produit],0)),
   ""
)</f>
        <v/>
      </c>
      <c r="G554" s="7">
        <f>tbl_Ventes[[#This Row],[Qté Vendue]] * IFERROR(_xlfn.XLOOKUP(tbl_Ventes[[#This Row],[Cde_Prdt]], tbl_Produits[Cde_Prdt], tbl_Produits[Prix Menu]), 0)</f>
        <v>0</v>
      </c>
      <c r="H554" s="7">
        <f>IFERROR(_xlfn.XLOOKUP(tbl_Ventes[[#This Row],[Cde_Prdt]], tbl_Produits[Cde_Prdt], tbl_Produits[Coût Moyen Portion]), 0)</f>
        <v>0</v>
      </c>
      <c r="I554" s="7">
        <f>tbl_Ventes[[#This Row],[Qté Vendue]] * tbl_Ventes[[#This Row],[CMP_par_portion]]</f>
        <v>0</v>
      </c>
      <c r="J554" s="7">
        <f>tbl_Ventes[[#This Row],[CA ligne]] - tbl_Ventes[[#This Row],[Coût matière ligne]]</f>
        <v>0</v>
      </c>
      <c r="K554" s="7" t="str">
        <f>IFERROR(INDEX(tbl_ProduitsRef[Famille], MATCH(tbl_Ventes[[#This Row],[Cde_Prdt]], tbl_Produits[Cde_Prdt], 0)), "")</f>
        <v/>
      </c>
    </row>
    <row r="555" spans="1:11" x14ac:dyDescent="0.25">
      <c r="A555" s="5"/>
      <c r="B555" s="63" t="str">
        <f>IFERROR(TEXT(tbl_Ventes[[#This Row],[Date]],"mm-aaaa"),"")</f>
        <v>01-1900</v>
      </c>
      <c r="D555" s="10" t="str">
        <f>IFERROR(
   INDEX(tbl_ProduitsRef[Cde_Prdt],MATCH(tbl_Ventes[[#This Row],[Produit]],tbl_ProduitsRef[Produit],0)),
   ""
)</f>
        <v/>
      </c>
      <c r="E555" s="7">
        <v>0</v>
      </c>
      <c r="F555" s="7" t="str">
        <f>IFERROR(
   INDEX(tbl_ProduitsRef[Prix Menu],MATCH(tbl_Ventes[[#This Row],[Produit]],tbl_ProduitsRef[Produit],0)),
   ""
)</f>
        <v/>
      </c>
      <c r="G555" s="7">
        <f>tbl_Ventes[[#This Row],[Qté Vendue]] * IFERROR(_xlfn.XLOOKUP(tbl_Ventes[[#This Row],[Cde_Prdt]], tbl_Produits[Cde_Prdt], tbl_Produits[Prix Menu]), 0)</f>
        <v>0</v>
      </c>
      <c r="H555" s="7">
        <f>IFERROR(_xlfn.XLOOKUP(tbl_Ventes[[#This Row],[Cde_Prdt]], tbl_Produits[Cde_Prdt], tbl_Produits[Coût Moyen Portion]), 0)</f>
        <v>0</v>
      </c>
      <c r="I555" s="7">
        <f>tbl_Ventes[[#This Row],[Qté Vendue]] * tbl_Ventes[[#This Row],[CMP_par_portion]]</f>
        <v>0</v>
      </c>
      <c r="J555" s="7">
        <f>tbl_Ventes[[#This Row],[CA ligne]] - tbl_Ventes[[#This Row],[Coût matière ligne]]</f>
        <v>0</v>
      </c>
      <c r="K555" s="7" t="str">
        <f>IFERROR(INDEX(tbl_ProduitsRef[Famille], MATCH(tbl_Ventes[[#This Row],[Cde_Prdt]], tbl_Produits[Cde_Prdt], 0)), "")</f>
        <v/>
      </c>
    </row>
    <row r="556" spans="1:11" x14ac:dyDescent="0.25">
      <c r="A556" s="5"/>
      <c r="B556" s="63" t="str">
        <f>IFERROR(TEXT(tbl_Ventes[[#This Row],[Date]],"mm-aaaa"),"")</f>
        <v>01-1900</v>
      </c>
      <c r="D556" s="10" t="str">
        <f>IFERROR(
   INDEX(tbl_ProduitsRef[Cde_Prdt],MATCH(tbl_Ventes[[#This Row],[Produit]],tbl_ProduitsRef[Produit],0)),
   ""
)</f>
        <v/>
      </c>
      <c r="E556" s="7">
        <v>0</v>
      </c>
      <c r="F556" s="7" t="str">
        <f>IFERROR(
   INDEX(tbl_ProduitsRef[Prix Menu],MATCH(tbl_Ventes[[#This Row],[Produit]],tbl_ProduitsRef[Produit],0)),
   ""
)</f>
        <v/>
      </c>
      <c r="G556" s="7">
        <f>tbl_Ventes[[#This Row],[Qté Vendue]] * IFERROR(_xlfn.XLOOKUP(tbl_Ventes[[#This Row],[Cde_Prdt]], tbl_Produits[Cde_Prdt], tbl_Produits[Prix Menu]), 0)</f>
        <v>0</v>
      </c>
      <c r="H556" s="7">
        <f>IFERROR(_xlfn.XLOOKUP(tbl_Ventes[[#This Row],[Cde_Prdt]], tbl_Produits[Cde_Prdt], tbl_Produits[Coût Moyen Portion]), 0)</f>
        <v>0</v>
      </c>
      <c r="I556" s="7">
        <f>tbl_Ventes[[#This Row],[Qté Vendue]] * tbl_Ventes[[#This Row],[CMP_par_portion]]</f>
        <v>0</v>
      </c>
      <c r="J556" s="7">
        <f>tbl_Ventes[[#This Row],[CA ligne]] - tbl_Ventes[[#This Row],[Coût matière ligne]]</f>
        <v>0</v>
      </c>
      <c r="K556" s="7" t="str">
        <f>IFERROR(INDEX(tbl_ProduitsRef[Famille], MATCH(tbl_Ventes[[#This Row],[Cde_Prdt]], tbl_Produits[Cde_Prdt], 0)), "")</f>
        <v/>
      </c>
    </row>
    <row r="557" spans="1:11" x14ac:dyDescent="0.25">
      <c r="A557" s="5"/>
      <c r="B557" s="63" t="str">
        <f>IFERROR(TEXT(tbl_Ventes[[#This Row],[Date]],"mm-aaaa"),"")</f>
        <v>01-1900</v>
      </c>
      <c r="D557" s="10" t="str">
        <f>IFERROR(
   INDEX(tbl_ProduitsRef[Cde_Prdt],MATCH(tbl_Ventes[[#This Row],[Produit]],tbl_ProduitsRef[Produit],0)),
   ""
)</f>
        <v/>
      </c>
      <c r="E557" s="7">
        <v>0</v>
      </c>
      <c r="F557" s="7" t="str">
        <f>IFERROR(
   INDEX(tbl_ProduitsRef[Prix Menu],MATCH(tbl_Ventes[[#This Row],[Produit]],tbl_ProduitsRef[Produit],0)),
   ""
)</f>
        <v/>
      </c>
      <c r="G557" s="7">
        <f>tbl_Ventes[[#This Row],[Qté Vendue]] * IFERROR(_xlfn.XLOOKUP(tbl_Ventes[[#This Row],[Cde_Prdt]], tbl_Produits[Cde_Prdt], tbl_Produits[Prix Menu]), 0)</f>
        <v>0</v>
      </c>
      <c r="H557" s="7">
        <f>IFERROR(_xlfn.XLOOKUP(tbl_Ventes[[#This Row],[Cde_Prdt]], tbl_Produits[Cde_Prdt], tbl_Produits[Coût Moyen Portion]), 0)</f>
        <v>0</v>
      </c>
      <c r="I557" s="7">
        <f>tbl_Ventes[[#This Row],[Qté Vendue]] * tbl_Ventes[[#This Row],[CMP_par_portion]]</f>
        <v>0</v>
      </c>
      <c r="J557" s="7">
        <f>tbl_Ventes[[#This Row],[CA ligne]] - tbl_Ventes[[#This Row],[Coût matière ligne]]</f>
        <v>0</v>
      </c>
      <c r="K557" s="7" t="str">
        <f>IFERROR(INDEX(tbl_ProduitsRef[Famille], MATCH(tbl_Ventes[[#This Row],[Cde_Prdt]], tbl_Produits[Cde_Prdt], 0)), "")</f>
        <v/>
      </c>
    </row>
    <row r="558" spans="1:11" x14ac:dyDescent="0.25">
      <c r="A558" s="5"/>
      <c r="B558" s="63" t="str">
        <f>IFERROR(TEXT(tbl_Ventes[[#This Row],[Date]],"mm-aaaa"),"")</f>
        <v>01-1900</v>
      </c>
      <c r="D558" s="10" t="str">
        <f>IFERROR(
   INDEX(tbl_ProduitsRef[Cde_Prdt],MATCH(tbl_Ventes[[#This Row],[Produit]],tbl_ProduitsRef[Produit],0)),
   ""
)</f>
        <v/>
      </c>
      <c r="E558" s="7">
        <v>0</v>
      </c>
      <c r="F558" s="7" t="str">
        <f>IFERROR(
   INDEX(tbl_ProduitsRef[Prix Menu],MATCH(tbl_Ventes[[#This Row],[Produit]],tbl_ProduitsRef[Produit],0)),
   ""
)</f>
        <v/>
      </c>
      <c r="G558" s="7">
        <f>tbl_Ventes[[#This Row],[Qté Vendue]] * IFERROR(_xlfn.XLOOKUP(tbl_Ventes[[#This Row],[Cde_Prdt]], tbl_Produits[Cde_Prdt], tbl_Produits[Prix Menu]), 0)</f>
        <v>0</v>
      </c>
      <c r="H558" s="7">
        <f>IFERROR(_xlfn.XLOOKUP(tbl_Ventes[[#This Row],[Cde_Prdt]], tbl_Produits[Cde_Prdt], tbl_Produits[Coût Moyen Portion]), 0)</f>
        <v>0</v>
      </c>
      <c r="I558" s="7">
        <f>tbl_Ventes[[#This Row],[Qté Vendue]] * tbl_Ventes[[#This Row],[CMP_par_portion]]</f>
        <v>0</v>
      </c>
      <c r="J558" s="7">
        <f>tbl_Ventes[[#This Row],[CA ligne]] - tbl_Ventes[[#This Row],[Coût matière ligne]]</f>
        <v>0</v>
      </c>
      <c r="K558" s="7" t="str">
        <f>IFERROR(INDEX(tbl_ProduitsRef[Famille], MATCH(tbl_Ventes[[#This Row],[Cde_Prdt]], tbl_Produits[Cde_Prdt], 0)), "")</f>
        <v/>
      </c>
    </row>
    <row r="559" spans="1:11" x14ac:dyDescent="0.25">
      <c r="A559" s="5"/>
      <c r="B559" s="63" t="str">
        <f>IFERROR(TEXT(tbl_Ventes[[#This Row],[Date]],"mm-aaaa"),"")</f>
        <v>01-1900</v>
      </c>
      <c r="D559" s="10" t="str">
        <f>IFERROR(
   INDEX(tbl_ProduitsRef[Cde_Prdt],MATCH(tbl_Ventes[[#This Row],[Produit]],tbl_ProduitsRef[Produit],0)),
   ""
)</f>
        <v/>
      </c>
      <c r="E559" s="7">
        <v>0</v>
      </c>
      <c r="F559" s="7" t="str">
        <f>IFERROR(
   INDEX(tbl_ProduitsRef[Prix Menu],MATCH(tbl_Ventes[[#This Row],[Produit]],tbl_ProduitsRef[Produit],0)),
   ""
)</f>
        <v/>
      </c>
      <c r="G559" s="7">
        <f>tbl_Ventes[[#This Row],[Qté Vendue]] * IFERROR(_xlfn.XLOOKUP(tbl_Ventes[[#This Row],[Cde_Prdt]], tbl_Produits[Cde_Prdt], tbl_Produits[Prix Menu]), 0)</f>
        <v>0</v>
      </c>
      <c r="H559" s="7">
        <f>IFERROR(_xlfn.XLOOKUP(tbl_Ventes[[#This Row],[Cde_Prdt]], tbl_Produits[Cde_Prdt], tbl_Produits[Coût Moyen Portion]), 0)</f>
        <v>0</v>
      </c>
      <c r="I559" s="7">
        <f>tbl_Ventes[[#This Row],[Qté Vendue]] * tbl_Ventes[[#This Row],[CMP_par_portion]]</f>
        <v>0</v>
      </c>
      <c r="J559" s="7">
        <f>tbl_Ventes[[#This Row],[CA ligne]] - tbl_Ventes[[#This Row],[Coût matière ligne]]</f>
        <v>0</v>
      </c>
      <c r="K559" s="7" t="str">
        <f>IFERROR(INDEX(tbl_ProduitsRef[Famille], MATCH(tbl_Ventes[[#This Row],[Cde_Prdt]], tbl_Produits[Cde_Prdt], 0)), "")</f>
        <v/>
      </c>
    </row>
    <row r="560" spans="1:11" x14ac:dyDescent="0.25">
      <c r="A560" s="5"/>
      <c r="B560" s="63" t="str">
        <f>IFERROR(TEXT(tbl_Ventes[[#This Row],[Date]],"mm-aaaa"),"")</f>
        <v>01-1900</v>
      </c>
      <c r="D560" s="10" t="str">
        <f>IFERROR(
   INDEX(tbl_ProduitsRef[Cde_Prdt],MATCH(tbl_Ventes[[#This Row],[Produit]],tbl_ProduitsRef[Produit],0)),
   ""
)</f>
        <v/>
      </c>
      <c r="E560" s="7">
        <v>0</v>
      </c>
      <c r="F560" s="7" t="str">
        <f>IFERROR(
   INDEX(tbl_ProduitsRef[Prix Menu],MATCH(tbl_Ventes[[#This Row],[Produit]],tbl_ProduitsRef[Produit],0)),
   ""
)</f>
        <v/>
      </c>
      <c r="G560" s="7">
        <f>tbl_Ventes[[#This Row],[Qté Vendue]] * IFERROR(_xlfn.XLOOKUP(tbl_Ventes[[#This Row],[Cde_Prdt]], tbl_Produits[Cde_Prdt], tbl_Produits[Prix Menu]), 0)</f>
        <v>0</v>
      </c>
      <c r="H560" s="7">
        <f>IFERROR(_xlfn.XLOOKUP(tbl_Ventes[[#This Row],[Cde_Prdt]], tbl_Produits[Cde_Prdt], tbl_Produits[Coût Moyen Portion]), 0)</f>
        <v>0</v>
      </c>
      <c r="I560" s="7">
        <f>tbl_Ventes[[#This Row],[Qté Vendue]] * tbl_Ventes[[#This Row],[CMP_par_portion]]</f>
        <v>0</v>
      </c>
      <c r="J560" s="7">
        <f>tbl_Ventes[[#This Row],[CA ligne]] - tbl_Ventes[[#This Row],[Coût matière ligne]]</f>
        <v>0</v>
      </c>
      <c r="K560" s="7" t="str">
        <f>IFERROR(INDEX(tbl_ProduitsRef[Famille], MATCH(tbl_Ventes[[#This Row],[Cde_Prdt]], tbl_Produits[Cde_Prdt], 0)), "")</f>
        <v/>
      </c>
    </row>
    <row r="561" spans="1:11" x14ac:dyDescent="0.25">
      <c r="A561" s="5"/>
      <c r="B561" s="63" t="str">
        <f>IFERROR(TEXT(tbl_Ventes[[#This Row],[Date]],"mm-aaaa"),"")</f>
        <v>01-1900</v>
      </c>
      <c r="D561" s="10" t="str">
        <f>IFERROR(
   INDEX(tbl_ProduitsRef[Cde_Prdt],MATCH(tbl_Ventes[[#This Row],[Produit]],tbl_ProduitsRef[Produit],0)),
   ""
)</f>
        <v/>
      </c>
      <c r="E561" s="7">
        <v>0</v>
      </c>
      <c r="F561" s="7" t="str">
        <f>IFERROR(
   INDEX(tbl_ProduitsRef[Prix Menu],MATCH(tbl_Ventes[[#This Row],[Produit]],tbl_ProduitsRef[Produit],0)),
   ""
)</f>
        <v/>
      </c>
      <c r="G561" s="7">
        <f>tbl_Ventes[[#This Row],[Qté Vendue]] * IFERROR(_xlfn.XLOOKUP(tbl_Ventes[[#This Row],[Cde_Prdt]], tbl_Produits[Cde_Prdt], tbl_Produits[Prix Menu]), 0)</f>
        <v>0</v>
      </c>
      <c r="H561" s="7">
        <f>IFERROR(_xlfn.XLOOKUP(tbl_Ventes[[#This Row],[Cde_Prdt]], tbl_Produits[Cde_Prdt], tbl_Produits[Coût Moyen Portion]), 0)</f>
        <v>0</v>
      </c>
      <c r="I561" s="7">
        <f>tbl_Ventes[[#This Row],[Qté Vendue]] * tbl_Ventes[[#This Row],[CMP_par_portion]]</f>
        <v>0</v>
      </c>
      <c r="J561" s="7">
        <f>tbl_Ventes[[#This Row],[CA ligne]] - tbl_Ventes[[#This Row],[Coût matière ligne]]</f>
        <v>0</v>
      </c>
      <c r="K561" s="7" t="str">
        <f>IFERROR(INDEX(tbl_ProduitsRef[Famille], MATCH(tbl_Ventes[[#This Row],[Cde_Prdt]], tbl_Produits[Cde_Prdt], 0)), "")</f>
        <v/>
      </c>
    </row>
    <row r="562" spans="1:11" x14ac:dyDescent="0.25">
      <c r="A562" s="5"/>
      <c r="B562" s="63" t="str">
        <f>IFERROR(TEXT(tbl_Ventes[[#This Row],[Date]],"mm-aaaa"),"")</f>
        <v>01-1900</v>
      </c>
      <c r="D562" s="10" t="str">
        <f>IFERROR(
   INDEX(tbl_ProduitsRef[Cde_Prdt],MATCH(tbl_Ventes[[#This Row],[Produit]],tbl_ProduitsRef[Produit],0)),
   ""
)</f>
        <v/>
      </c>
      <c r="E562" s="7">
        <v>0</v>
      </c>
      <c r="F562" s="7" t="str">
        <f>IFERROR(
   INDEX(tbl_ProduitsRef[Prix Menu],MATCH(tbl_Ventes[[#This Row],[Produit]],tbl_ProduitsRef[Produit],0)),
   ""
)</f>
        <v/>
      </c>
      <c r="G562" s="7">
        <f>tbl_Ventes[[#This Row],[Qté Vendue]] * IFERROR(_xlfn.XLOOKUP(tbl_Ventes[[#This Row],[Cde_Prdt]], tbl_Produits[Cde_Prdt], tbl_Produits[Prix Menu]), 0)</f>
        <v>0</v>
      </c>
      <c r="H562" s="7">
        <f>IFERROR(_xlfn.XLOOKUP(tbl_Ventes[[#This Row],[Cde_Prdt]], tbl_Produits[Cde_Prdt], tbl_Produits[Coût Moyen Portion]), 0)</f>
        <v>0</v>
      </c>
      <c r="I562" s="7">
        <f>tbl_Ventes[[#This Row],[Qté Vendue]] * tbl_Ventes[[#This Row],[CMP_par_portion]]</f>
        <v>0</v>
      </c>
      <c r="J562" s="7">
        <f>tbl_Ventes[[#This Row],[CA ligne]] - tbl_Ventes[[#This Row],[Coût matière ligne]]</f>
        <v>0</v>
      </c>
      <c r="K562" s="7" t="str">
        <f>IFERROR(INDEX(tbl_ProduitsRef[Famille], MATCH(tbl_Ventes[[#This Row],[Cde_Prdt]], tbl_Produits[Cde_Prdt], 0)), "")</f>
        <v/>
      </c>
    </row>
    <row r="563" spans="1:11" x14ac:dyDescent="0.25">
      <c r="A563" s="5"/>
      <c r="B563" s="63" t="str">
        <f>IFERROR(TEXT(tbl_Ventes[[#This Row],[Date]],"mm-aaaa"),"")</f>
        <v>01-1900</v>
      </c>
      <c r="D563" s="10" t="str">
        <f>IFERROR(
   INDEX(tbl_ProduitsRef[Cde_Prdt],MATCH(tbl_Ventes[[#This Row],[Produit]],tbl_ProduitsRef[Produit],0)),
   ""
)</f>
        <v/>
      </c>
      <c r="E563" s="7">
        <v>0</v>
      </c>
      <c r="F563" s="7" t="str">
        <f>IFERROR(
   INDEX(tbl_ProduitsRef[Prix Menu],MATCH(tbl_Ventes[[#This Row],[Produit]],tbl_ProduitsRef[Produit],0)),
   ""
)</f>
        <v/>
      </c>
      <c r="G563" s="7">
        <f>tbl_Ventes[[#This Row],[Qté Vendue]] * IFERROR(_xlfn.XLOOKUP(tbl_Ventes[[#This Row],[Cde_Prdt]], tbl_Produits[Cde_Prdt], tbl_Produits[Prix Menu]), 0)</f>
        <v>0</v>
      </c>
      <c r="H563" s="7">
        <f>IFERROR(_xlfn.XLOOKUP(tbl_Ventes[[#This Row],[Cde_Prdt]], tbl_Produits[Cde_Prdt], tbl_Produits[Coût Moyen Portion]), 0)</f>
        <v>0</v>
      </c>
      <c r="I563" s="7">
        <f>tbl_Ventes[[#This Row],[Qté Vendue]] * tbl_Ventes[[#This Row],[CMP_par_portion]]</f>
        <v>0</v>
      </c>
      <c r="J563" s="7">
        <f>tbl_Ventes[[#This Row],[CA ligne]] - tbl_Ventes[[#This Row],[Coût matière ligne]]</f>
        <v>0</v>
      </c>
      <c r="K563" s="7" t="str">
        <f>IFERROR(INDEX(tbl_ProduitsRef[Famille], MATCH(tbl_Ventes[[#This Row],[Cde_Prdt]], tbl_Produits[Cde_Prdt], 0)), "")</f>
        <v/>
      </c>
    </row>
    <row r="564" spans="1:11" x14ac:dyDescent="0.25">
      <c r="A564" s="5"/>
      <c r="B564" s="63" t="str">
        <f>IFERROR(TEXT(tbl_Ventes[[#This Row],[Date]],"mm-aaaa"),"")</f>
        <v>01-1900</v>
      </c>
      <c r="D564" s="10" t="str">
        <f>IFERROR(
   INDEX(tbl_ProduitsRef[Cde_Prdt],MATCH(tbl_Ventes[[#This Row],[Produit]],tbl_ProduitsRef[Produit],0)),
   ""
)</f>
        <v/>
      </c>
      <c r="E564" s="7">
        <v>0</v>
      </c>
      <c r="F564" s="7" t="str">
        <f>IFERROR(
   INDEX(tbl_ProduitsRef[Prix Menu],MATCH(tbl_Ventes[[#This Row],[Produit]],tbl_ProduitsRef[Produit],0)),
   ""
)</f>
        <v/>
      </c>
      <c r="G564" s="7">
        <f>tbl_Ventes[[#This Row],[Qté Vendue]] * IFERROR(_xlfn.XLOOKUP(tbl_Ventes[[#This Row],[Cde_Prdt]], tbl_Produits[Cde_Prdt], tbl_Produits[Prix Menu]), 0)</f>
        <v>0</v>
      </c>
      <c r="H564" s="7">
        <f>IFERROR(_xlfn.XLOOKUP(tbl_Ventes[[#This Row],[Cde_Prdt]], tbl_Produits[Cde_Prdt], tbl_Produits[Coût Moyen Portion]), 0)</f>
        <v>0</v>
      </c>
      <c r="I564" s="7">
        <f>tbl_Ventes[[#This Row],[Qté Vendue]] * tbl_Ventes[[#This Row],[CMP_par_portion]]</f>
        <v>0</v>
      </c>
      <c r="J564" s="7">
        <f>tbl_Ventes[[#This Row],[CA ligne]] - tbl_Ventes[[#This Row],[Coût matière ligne]]</f>
        <v>0</v>
      </c>
      <c r="K564" s="7" t="str">
        <f>IFERROR(INDEX(tbl_ProduitsRef[Famille], MATCH(tbl_Ventes[[#This Row],[Cde_Prdt]], tbl_Produits[Cde_Prdt], 0)), "")</f>
        <v/>
      </c>
    </row>
    <row r="565" spans="1:11" x14ac:dyDescent="0.25">
      <c r="A565" s="5"/>
      <c r="B565" s="63" t="str">
        <f>IFERROR(TEXT(tbl_Ventes[[#This Row],[Date]],"mm-aaaa"),"")</f>
        <v>01-1900</v>
      </c>
      <c r="D565" s="10" t="str">
        <f>IFERROR(
   INDEX(tbl_ProduitsRef[Cde_Prdt],MATCH(tbl_Ventes[[#This Row],[Produit]],tbl_ProduitsRef[Produit],0)),
   ""
)</f>
        <v/>
      </c>
      <c r="E565" s="7">
        <v>0</v>
      </c>
      <c r="F565" s="7" t="str">
        <f>IFERROR(
   INDEX(tbl_ProduitsRef[Prix Menu],MATCH(tbl_Ventes[[#This Row],[Produit]],tbl_ProduitsRef[Produit],0)),
   ""
)</f>
        <v/>
      </c>
      <c r="G565" s="7">
        <f>tbl_Ventes[[#This Row],[Qté Vendue]] * IFERROR(_xlfn.XLOOKUP(tbl_Ventes[[#This Row],[Cde_Prdt]], tbl_Produits[Cde_Prdt], tbl_Produits[Prix Menu]), 0)</f>
        <v>0</v>
      </c>
      <c r="H565" s="7">
        <f>IFERROR(_xlfn.XLOOKUP(tbl_Ventes[[#This Row],[Cde_Prdt]], tbl_Produits[Cde_Prdt], tbl_Produits[Coût Moyen Portion]), 0)</f>
        <v>0</v>
      </c>
      <c r="I565" s="7">
        <f>tbl_Ventes[[#This Row],[Qté Vendue]] * tbl_Ventes[[#This Row],[CMP_par_portion]]</f>
        <v>0</v>
      </c>
      <c r="J565" s="7">
        <f>tbl_Ventes[[#This Row],[CA ligne]] - tbl_Ventes[[#This Row],[Coût matière ligne]]</f>
        <v>0</v>
      </c>
      <c r="K565" s="7" t="str">
        <f>IFERROR(INDEX(tbl_ProduitsRef[Famille], MATCH(tbl_Ventes[[#This Row],[Cde_Prdt]], tbl_Produits[Cde_Prdt], 0)), "")</f>
        <v/>
      </c>
    </row>
    <row r="566" spans="1:11" x14ac:dyDescent="0.25">
      <c r="A566" s="5"/>
      <c r="B566" s="63" t="str">
        <f>IFERROR(TEXT(tbl_Ventes[[#This Row],[Date]],"mm-aaaa"),"")</f>
        <v>01-1900</v>
      </c>
      <c r="D566" s="10" t="str">
        <f>IFERROR(
   INDEX(tbl_ProduitsRef[Cde_Prdt],MATCH(tbl_Ventes[[#This Row],[Produit]],tbl_ProduitsRef[Produit],0)),
   ""
)</f>
        <v/>
      </c>
      <c r="E566" s="7">
        <v>0</v>
      </c>
      <c r="F566" s="7" t="str">
        <f>IFERROR(
   INDEX(tbl_ProduitsRef[Prix Menu],MATCH(tbl_Ventes[[#This Row],[Produit]],tbl_ProduitsRef[Produit],0)),
   ""
)</f>
        <v/>
      </c>
      <c r="G566" s="7">
        <f>tbl_Ventes[[#This Row],[Qté Vendue]] * IFERROR(_xlfn.XLOOKUP(tbl_Ventes[[#This Row],[Cde_Prdt]], tbl_Produits[Cde_Prdt], tbl_Produits[Prix Menu]), 0)</f>
        <v>0</v>
      </c>
      <c r="H566" s="7">
        <f>IFERROR(_xlfn.XLOOKUP(tbl_Ventes[[#This Row],[Cde_Prdt]], tbl_Produits[Cde_Prdt], tbl_Produits[Coût Moyen Portion]), 0)</f>
        <v>0</v>
      </c>
      <c r="I566" s="7">
        <f>tbl_Ventes[[#This Row],[Qté Vendue]] * tbl_Ventes[[#This Row],[CMP_par_portion]]</f>
        <v>0</v>
      </c>
      <c r="J566" s="7">
        <f>tbl_Ventes[[#This Row],[CA ligne]] - tbl_Ventes[[#This Row],[Coût matière ligne]]</f>
        <v>0</v>
      </c>
      <c r="K566" s="7" t="str">
        <f>IFERROR(INDEX(tbl_ProduitsRef[Famille], MATCH(tbl_Ventes[[#This Row],[Cde_Prdt]], tbl_Produits[Cde_Prdt], 0)), "")</f>
        <v/>
      </c>
    </row>
    <row r="567" spans="1:11" x14ac:dyDescent="0.25">
      <c r="A567" s="5"/>
      <c r="B567" s="63" t="str">
        <f>IFERROR(TEXT(tbl_Ventes[[#This Row],[Date]],"mm-aaaa"),"")</f>
        <v>01-1900</v>
      </c>
      <c r="D567" s="10" t="str">
        <f>IFERROR(
   INDEX(tbl_ProduitsRef[Cde_Prdt],MATCH(tbl_Ventes[[#This Row],[Produit]],tbl_ProduitsRef[Produit],0)),
   ""
)</f>
        <v/>
      </c>
      <c r="E567" s="7">
        <v>0</v>
      </c>
      <c r="F567" s="7" t="str">
        <f>IFERROR(
   INDEX(tbl_ProduitsRef[Prix Menu],MATCH(tbl_Ventes[[#This Row],[Produit]],tbl_ProduitsRef[Produit],0)),
   ""
)</f>
        <v/>
      </c>
      <c r="G567" s="7">
        <f>tbl_Ventes[[#This Row],[Qté Vendue]] * IFERROR(_xlfn.XLOOKUP(tbl_Ventes[[#This Row],[Cde_Prdt]], tbl_Produits[Cde_Prdt], tbl_Produits[Prix Menu]), 0)</f>
        <v>0</v>
      </c>
      <c r="H567" s="7">
        <f>IFERROR(_xlfn.XLOOKUP(tbl_Ventes[[#This Row],[Cde_Prdt]], tbl_Produits[Cde_Prdt], tbl_Produits[Coût Moyen Portion]), 0)</f>
        <v>0</v>
      </c>
      <c r="I567" s="7">
        <f>tbl_Ventes[[#This Row],[Qté Vendue]] * tbl_Ventes[[#This Row],[CMP_par_portion]]</f>
        <v>0</v>
      </c>
      <c r="J567" s="7">
        <f>tbl_Ventes[[#This Row],[CA ligne]] - tbl_Ventes[[#This Row],[Coût matière ligne]]</f>
        <v>0</v>
      </c>
      <c r="K567" s="7" t="str">
        <f>IFERROR(INDEX(tbl_ProduitsRef[Famille], MATCH(tbl_Ventes[[#This Row],[Cde_Prdt]], tbl_Produits[Cde_Prdt], 0)), "")</f>
        <v/>
      </c>
    </row>
    <row r="568" spans="1:11" x14ac:dyDescent="0.25">
      <c r="A568" s="5"/>
      <c r="B568" s="63" t="str">
        <f>IFERROR(TEXT(tbl_Ventes[[#This Row],[Date]],"mm-aaaa"),"")</f>
        <v>01-1900</v>
      </c>
      <c r="D568" s="10" t="str">
        <f>IFERROR(
   INDEX(tbl_ProduitsRef[Cde_Prdt],MATCH(tbl_Ventes[[#This Row],[Produit]],tbl_ProduitsRef[Produit],0)),
   ""
)</f>
        <v/>
      </c>
      <c r="E568" s="7">
        <v>0</v>
      </c>
      <c r="F568" s="7" t="str">
        <f>IFERROR(
   INDEX(tbl_ProduitsRef[Prix Menu],MATCH(tbl_Ventes[[#This Row],[Produit]],tbl_ProduitsRef[Produit],0)),
   ""
)</f>
        <v/>
      </c>
      <c r="G568" s="7">
        <f>tbl_Ventes[[#This Row],[Qté Vendue]] * IFERROR(_xlfn.XLOOKUP(tbl_Ventes[[#This Row],[Cde_Prdt]], tbl_Produits[Cde_Prdt], tbl_Produits[Prix Menu]), 0)</f>
        <v>0</v>
      </c>
      <c r="H568" s="7">
        <f>IFERROR(_xlfn.XLOOKUP(tbl_Ventes[[#This Row],[Cde_Prdt]], tbl_Produits[Cde_Prdt], tbl_Produits[Coût Moyen Portion]), 0)</f>
        <v>0</v>
      </c>
      <c r="I568" s="7">
        <f>tbl_Ventes[[#This Row],[Qté Vendue]] * tbl_Ventes[[#This Row],[CMP_par_portion]]</f>
        <v>0</v>
      </c>
      <c r="J568" s="7">
        <f>tbl_Ventes[[#This Row],[CA ligne]] - tbl_Ventes[[#This Row],[Coût matière ligne]]</f>
        <v>0</v>
      </c>
      <c r="K568" s="7" t="str">
        <f>IFERROR(INDEX(tbl_ProduitsRef[Famille], MATCH(tbl_Ventes[[#This Row],[Cde_Prdt]], tbl_Produits[Cde_Prdt], 0)), "")</f>
        <v/>
      </c>
    </row>
    <row r="569" spans="1:11" x14ac:dyDescent="0.25">
      <c r="A569" s="5"/>
      <c r="B569" s="63" t="str">
        <f>IFERROR(TEXT(tbl_Ventes[[#This Row],[Date]],"mm-aaaa"),"")</f>
        <v>01-1900</v>
      </c>
      <c r="D569" s="10" t="str">
        <f>IFERROR(
   INDEX(tbl_ProduitsRef[Cde_Prdt],MATCH(tbl_Ventes[[#This Row],[Produit]],tbl_ProduitsRef[Produit],0)),
   ""
)</f>
        <v/>
      </c>
      <c r="E569" s="7">
        <v>0</v>
      </c>
      <c r="F569" s="7" t="str">
        <f>IFERROR(
   INDEX(tbl_ProduitsRef[Prix Menu],MATCH(tbl_Ventes[[#This Row],[Produit]],tbl_ProduitsRef[Produit],0)),
   ""
)</f>
        <v/>
      </c>
      <c r="G569" s="7">
        <f>tbl_Ventes[[#This Row],[Qté Vendue]] * IFERROR(_xlfn.XLOOKUP(tbl_Ventes[[#This Row],[Cde_Prdt]], tbl_Produits[Cde_Prdt], tbl_Produits[Prix Menu]), 0)</f>
        <v>0</v>
      </c>
      <c r="H569" s="7">
        <f>IFERROR(_xlfn.XLOOKUP(tbl_Ventes[[#This Row],[Cde_Prdt]], tbl_Produits[Cde_Prdt], tbl_Produits[Coût Moyen Portion]), 0)</f>
        <v>0</v>
      </c>
      <c r="I569" s="7">
        <f>tbl_Ventes[[#This Row],[Qté Vendue]] * tbl_Ventes[[#This Row],[CMP_par_portion]]</f>
        <v>0</v>
      </c>
      <c r="J569" s="7">
        <f>tbl_Ventes[[#This Row],[CA ligne]] - tbl_Ventes[[#This Row],[Coût matière ligne]]</f>
        <v>0</v>
      </c>
      <c r="K569" s="7" t="str">
        <f>IFERROR(INDEX(tbl_ProduitsRef[Famille], MATCH(tbl_Ventes[[#This Row],[Cde_Prdt]], tbl_Produits[Cde_Prdt], 0)), "")</f>
        <v/>
      </c>
    </row>
    <row r="570" spans="1:11" x14ac:dyDescent="0.25">
      <c r="A570" s="5"/>
      <c r="B570" s="63" t="str">
        <f>IFERROR(TEXT(tbl_Ventes[[#This Row],[Date]],"mm-aaaa"),"")</f>
        <v>01-1900</v>
      </c>
      <c r="D570" s="10" t="str">
        <f>IFERROR(
   INDEX(tbl_ProduitsRef[Cde_Prdt],MATCH(tbl_Ventes[[#This Row],[Produit]],tbl_ProduitsRef[Produit],0)),
   ""
)</f>
        <v/>
      </c>
      <c r="E570" s="7">
        <v>0</v>
      </c>
      <c r="F570" s="7" t="str">
        <f>IFERROR(
   INDEX(tbl_ProduitsRef[Prix Menu],MATCH(tbl_Ventes[[#This Row],[Produit]],tbl_ProduitsRef[Produit],0)),
   ""
)</f>
        <v/>
      </c>
      <c r="G570" s="7">
        <f>tbl_Ventes[[#This Row],[Qté Vendue]] * IFERROR(_xlfn.XLOOKUP(tbl_Ventes[[#This Row],[Cde_Prdt]], tbl_Produits[Cde_Prdt], tbl_Produits[Prix Menu]), 0)</f>
        <v>0</v>
      </c>
      <c r="H570" s="7">
        <f>IFERROR(_xlfn.XLOOKUP(tbl_Ventes[[#This Row],[Cde_Prdt]], tbl_Produits[Cde_Prdt], tbl_Produits[Coût Moyen Portion]), 0)</f>
        <v>0</v>
      </c>
      <c r="I570" s="7">
        <f>tbl_Ventes[[#This Row],[Qté Vendue]] * tbl_Ventes[[#This Row],[CMP_par_portion]]</f>
        <v>0</v>
      </c>
      <c r="J570" s="7">
        <f>tbl_Ventes[[#This Row],[CA ligne]] - tbl_Ventes[[#This Row],[Coût matière ligne]]</f>
        <v>0</v>
      </c>
      <c r="K570" s="7" t="str">
        <f>IFERROR(INDEX(tbl_ProduitsRef[Famille], MATCH(tbl_Ventes[[#This Row],[Cde_Prdt]], tbl_Produits[Cde_Prdt], 0)), "")</f>
        <v/>
      </c>
    </row>
    <row r="571" spans="1:11" x14ac:dyDescent="0.25">
      <c r="A571" s="5"/>
      <c r="B571" s="63" t="str">
        <f>IFERROR(TEXT(tbl_Ventes[[#This Row],[Date]],"mm-aaaa"),"")</f>
        <v>01-1900</v>
      </c>
      <c r="D571" s="10" t="str">
        <f>IFERROR(
   INDEX(tbl_ProduitsRef[Cde_Prdt],MATCH(tbl_Ventes[[#This Row],[Produit]],tbl_ProduitsRef[Produit],0)),
   ""
)</f>
        <v/>
      </c>
      <c r="E571" s="7">
        <v>0</v>
      </c>
      <c r="F571" s="7" t="str">
        <f>IFERROR(
   INDEX(tbl_ProduitsRef[Prix Menu],MATCH(tbl_Ventes[[#This Row],[Produit]],tbl_ProduitsRef[Produit],0)),
   ""
)</f>
        <v/>
      </c>
      <c r="G571" s="7">
        <f>tbl_Ventes[[#This Row],[Qté Vendue]] * IFERROR(_xlfn.XLOOKUP(tbl_Ventes[[#This Row],[Cde_Prdt]], tbl_Produits[Cde_Prdt], tbl_Produits[Prix Menu]), 0)</f>
        <v>0</v>
      </c>
      <c r="H571" s="7">
        <f>IFERROR(_xlfn.XLOOKUP(tbl_Ventes[[#This Row],[Cde_Prdt]], tbl_Produits[Cde_Prdt], tbl_Produits[Coût Moyen Portion]), 0)</f>
        <v>0</v>
      </c>
      <c r="I571" s="7">
        <f>tbl_Ventes[[#This Row],[Qté Vendue]] * tbl_Ventes[[#This Row],[CMP_par_portion]]</f>
        <v>0</v>
      </c>
      <c r="J571" s="7">
        <f>tbl_Ventes[[#This Row],[CA ligne]] - tbl_Ventes[[#This Row],[Coût matière ligne]]</f>
        <v>0</v>
      </c>
      <c r="K571" s="7" t="str">
        <f>IFERROR(INDEX(tbl_ProduitsRef[Famille], MATCH(tbl_Ventes[[#This Row],[Cde_Prdt]], tbl_Produits[Cde_Prdt], 0)), "")</f>
        <v/>
      </c>
    </row>
    <row r="572" spans="1:11" x14ac:dyDescent="0.25">
      <c r="A572" s="5"/>
      <c r="B572" s="63" t="str">
        <f>IFERROR(TEXT(tbl_Ventes[[#This Row],[Date]],"mm-aaaa"),"")</f>
        <v>01-1900</v>
      </c>
      <c r="D572" s="10" t="str">
        <f>IFERROR(
   INDEX(tbl_ProduitsRef[Cde_Prdt],MATCH(tbl_Ventes[[#This Row],[Produit]],tbl_ProduitsRef[Produit],0)),
   ""
)</f>
        <v/>
      </c>
      <c r="E572" s="7">
        <v>0</v>
      </c>
      <c r="F572" s="7" t="str">
        <f>IFERROR(
   INDEX(tbl_ProduitsRef[Prix Menu],MATCH(tbl_Ventes[[#This Row],[Produit]],tbl_ProduitsRef[Produit],0)),
   ""
)</f>
        <v/>
      </c>
      <c r="G572" s="7">
        <f>tbl_Ventes[[#This Row],[Qté Vendue]] * IFERROR(_xlfn.XLOOKUP(tbl_Ventes[[#This Row],[Cde_Prdt]], tbl_Produits[Cde_Prdt], tbl_Produits[Prix Menu]), 0)</f>
        <v>0</v>
      </c>
      <c r="H572" s="7">
        <f>IFERROR(_xlfn.XLOOKUP(tbl_Ventes[[#This Row],[Cde_Prdt]], tbl_Produits[Cde_Prdt], tbl_Produits[Coût Moyen Portion]), 0)</f>
        <v>0</v>
      </c>
      <c r="I572" s="7">
        <f>tbl_Ventes[[#This Row],[Qté Vendue]] * tbl_Ventes[[#This Row],[CMP_par_portion]]</f>
        <v>0</v>
      </c>
      <c r="J572" s="7">
        <f>tbl_Ventes[[#This Row],[CA ligne]] - tbl_Ventes[[#This Row],[Coût matière ligne]]</f>
        <v>0</v>
      </c>
      <c r="K572" s="7" t="str">
        <f>IFERROR(INDEX(tbl_ProduitsRef[Famille], MATCH(tbl_Ventes[[#This Row],[Cde_Prdt]], tbl_Produits[Cde_Prdt], 0)), "")</f>
        <v/>
      </c>
    </row>
    <row r="573" spans="1:11" x14ac:dyDescent="0.25">
      <c r="A573" s="5"/>
      <c r="B573" s="63" t="str">
        <f>IFERROR(TEXT(tbl_Ventes[[#This Row],[Date]],"mm-aaaa"),"")</f>
        <v>01-1900</v>
      </c>
      <c r="D573" s="10" t="str">
        <f>IFERROR(
   INDEX(tbl_ProduitsRef[Cde_Prdt],MATCH(tbl_Ventes[[#This Row],[Produit]],tbl_ProduitsRef[Produit],0)),
   ""
)</f>
        <v/>
      </c>
      <c r="E573" s="7">
        <v>0</v>
      </c>
      <c r="F573" s="7" t="str">
        <f>IFERROR(
   INDEX(tbl_ProduitsRef[Prix Menu],MATCH(tbl_Ventes[[#This Row],[Produit]],tbl_ProduitsRef[Produit],0)),
   ""
)</f>
        <v/>
      </c>
      <c r="G573" s="7">
        <f>tbl_Ventes[[#This Row],[Qté Vendue]] * IFERROR(_xlfn.XLOOKUP(tbl_Ventes[[#This Row],[Cde_Prdt]], tbl_Produits[Cde_Prdt], tbl_Produits[Prix Menu]), 0)</f>
        <v>0</v>
      </c>
      <c r="H573" s="7">
        <f>IFERROR(_xlfn.XLOOKUP(tbl_Ventes[[#This Row],[Cde_Prdt]], tbl_Produits[Cde_Prdt], tbl_Produits[Coût Moyen Portion]), 0)</f>
        <v>0</v>
      </c>
      <c r="I573" s="7">
        <f>tbl_Ventes[[#This Row],[Qté Vendue]] * tbl_Ventes[[#This Row],[CMP_par_portion]]</f>
        <v>0</v>
      </c>
      <c r="J573" s="7">
        <f>tbl_Ventes[[#This Row],[CA ligne]] - tbl_Ventes[[#This Row],[Coût matière ligne]]</f>
        <v>0</v>
      </c>
      <c r="K573" s="7" t="str">
        <f>IFERROR(INDEX(tbl_ProduitsRef[Famille], MATCH(tbl_Ventes[[#This Row],[Cde_Prdt]], tbl_Produits[Cde_Prdt], 0)), "")</f>
        <v/>
      </c>
    </row>
    <row r="574" spans="1:11" x14ac:dyDescent="0.25">
      <c r="A574" s="5"/>
      <c r="B574" s="63" t="str">
        <f>IFERROR(TEXT(tbl_Ventes[[#This Row],[Date]],"mm-aaaa"),"")</f>
        <v>01-1900</v>
      </c>
      <c r="D574" s="10" t="str">
        <f>IFERROR(
   INDEX(tbl_ProduitsRef[Cde_Prdt],MATCH(tbl_Ventes[[#This Row],[Produit]],tbl_ProduitsRef[Produit],0)),
   ""
)</f>
        <v/>
      </c>
      <c r="E574" s="7">
        <v>0</v>
      </c>
      <c r="F574" s="7" t="str">
        <f>IFERROR(
   INDEX(tbl_ProduitsRef[Prix Menu],MATCH(tbl_Ventes[[#This Row],[Produit]],tbl_ProduitsRef[Produit],0)),
   ""
)</f>
        <v/>
      </c>
      <c r="G574" s="7">
        <f>tbl_Ventes[[#This Row],[Qté Vendue]] * IFERROR(_xlfn.XLOOKUP(tbl_Ventes[[#This Row],[Cde_Prdt]], tbl_Produits[Cde_Prdt], tbl_Produits[Prix Menu]), 0)</f>
        <v>0</v>
      </c>
      <c r="H574" s="7">
        <f>IFERROR(_xlfn.XLOOKUP(tbl_Ventes[[#This Row],[Cde_Prdt]], tbl_Produits[Cde_Prdt], tbl_Produits[Coût Moyen Portion]), 0)</f>
        <v>0</v>
      </c>
      <c r="I574" s="7">
        <f>tbl_Ventes[[#This Row],[Qté Vendue]] * tbl_Ventes[[#This Row],[CMP_par_portion]]</f>
        <v>0</v>
      </c>
      <c r="J574" s="7">
        <f>tbl_Ventes[[#This Row],[CA ligne]] - tbl_Ventes[[#This Row],[Coût matière ligne]]</f>
        <v>0</v>
      </c>
      <c r="K574" s="7" t="str">
        <f>IFERROR(INDEX(tbl_ProduitsRef[Famille], MATCH(tbl_Ventes[[#This Row],[Cde_Prdt]], tbl_Produits[Cde_Prdt], 0)), "")</f>
        <v/>
      </c>
    </row>
    <row r="575" spans="1:11" x14ac:dyDescent="0.25">
      <c r="A575" s="5"/>
      <c r="B575" s="63" t="str">
        <f>IFERROR(TEXT(tbl_Ventes[[#This Row],[Date]],"mm-aaaa"),"")</f>
        <v>01-1900</v>
      </c>
      <c r="D575" s="10" t="str">
        <f>IFERROR(
   INDEX(tbl_ProduitsRef[Cde_Prdt],MATCH(tbl_Ventes[[#This Row],[Produit]],tbl_ProduitsRef[Produit],0)),
   ""
)</f>
        <v/>
      </c>
      <c r="E575" s="7">
        <v>0</v>
      </c>
      <c r="F575" s="7" t="str">
        <f>IFERROR(
   INDEX(tbl_ProduitsRef[Prix Menu],MATCH(tbl_Ventes[[#This Row],[Produit]],tbl_ProduitsRef[Produit],0)),
   ""
)</f>
        <v/>
      </c>
      <c r="G575" s="7">
        <f>tbl_Ventes[[#This Row],[Qté Vendue]] * IFERROR(_xlfn.XLOOKUP(tbl_Ventes[[#This Row],[Cde_Prdt]], tbl_Produits[Cde_Prdt], tbl_Produits[Prix Menu]), 0)</f>
        <v>0</v>
      </c>
      <c r="H575" s="7">
        <f>IFERROR(_xlfn.XLOOKUP(tbl_Ventes[[#This Row],[Cde_Prdt]], tbl_Produits[Cde_Prdt], tbl_Produits[Coût Moyen Portion]), 0)</f>
        <v>0</v>
      </c>
      <c r="I575" s="7">
        <f>tbl_Ventes[[#This Row],[Qté Vendue]] * tbl_Ventes[[#This Row],[CMP_par_portion]]</f>
        <v>0</v>
      </c>
      <c r="J575" s="7">
        <f>tbl_Ventes[[#This Row],[CA ligne]] - tbl_Ventes[[#This Row],[Coût matière ligne]]</f>
        <v>0</v>
      </c>
      <c r="K575" s="7" t="str">
        <f>IFERROR(INDEX(tbl_ProduitsRef[Famille], MATCH(tbl_Ventes[[#This Row],[Cde_Prdt]], tbl_Produits[Cde_Prdt], 0)), "")</f>
        <v/>
      </c>
    </row>
    <row r="576" spans="1:11" x14ac:dyDescent="0.25">
      <c r="A576" s="5"/>
      <c r="B576" s="63" t="str">
        <f>IFERROR(TEXT(tbl_Ventes[[#This Row],[Date]],"mm-aaaa"),"")</f>
        <v>01-1900</v>
      </c>
      <c r="D576" s="10" t="str">
        <f>IFERROR(
   INDEX(tbl_ProduitsRef[Cde_Prdt],MATCH(tbl_Ventes[[#This Row],[Produit]],tbl_ProduitsRef[Produit],0)),
   ""
)</f>
        <v/>
      </c>
      <c r="E576" s="7">
        <v>0</v>
      </c>
      <c r="F576" s="7" t="str">
        <f>IFERROR(
   INDEX(tbl_ProduitsRef[Prix Menu],MATCH(tbl_Ventes[[#This Row],[Produit]],tbl_ProduitsRef[Produit],0)),
   ""
)</f>
        <v/>
      </c>
      <c r="G576" s="7">
        <f>tbl_Ventes[[#This Row],[Qté Vendue]] * IFERROR(_xlfn.XLOOKUP(tbl_Ventes[[#This Row],[Cde_Prdt]], tbl_Produits[Cde_Prdt], tbl_Produits[Prix Menu]), 0)</f>
        <v>0</v>
      </c>
      <c r="H576" s="7">
        <f>IFERROR(_xlfn.XLOOKUP(tbl_Ventes[[#This Row],[Cde_Prdt]], tbl_Produits[Cde_Prdt], tbl_Produits[Coût Moyen Portion]), 0)</f>
        <v>0</v>
      </c>
      <c r="I576" s="7">
        <f>tbl_Ventes[[#This Row],[Qté Vendue]] * tbl_Ventes[[#This Row],[CMP_par_portion]]</f>
        <v>0</v>
      </c>
      <c r="J576" s="7">
        <f>tbl_Ventes[[#This Row],[CA ligne]] - tbl_Ventes[[#This Row],[Coût matière ligne]]</f>
        <v>0</v>
      </c>
      <c r="K576" s="7" t="str">
        <f>IFERROR(INDEX(tbl_ProduitsRef[Famille], MATCH(tbl_Ventes[[#This Row],[Cde_Prdt]], tbl_Produits[Cde_Prdt], 0)), "")</f>
        <v/>
      </c>
    </row>
    <row r="577" spans="1:11" x14ac:dyDescent="0.25">
      <c r="A577" s="5"/>
      <c r="B577" s="63" t="str">
        <f>IFERROR(TEXT(tbl_Ventes[[#This Row],[Date]],"mm-aaaa"),"")</f>
        <v>01-1900</v>
      </c>
      <c r="D577" s="10" t="str">
        <f>IFERROR(
   INDEX(tbl_ProduitsRef[Cde_Prdt],MATCH(tbl_Ventes[[#This Row],[Produit]],tbl_ProduitsRef[Produit],0)),
   ""
)</f>
        <v/>
      </c>
      <c r="E577" s="7">
        <v>0</v>
      </c>
      <c r="F577" s="7" t="str">
        <f>IFERROR(
   INDEX(tbl_ProduitsRef[Prix Menu],MATCH(tbl_Ventes[[#This Row],[Produit]],tbl_ProduitsRef[Produit],0)),
   ""
)</f>
        <v/>
      </c>
      <c r="G577" s="7">
        <f>tbl_Ventes[[#This Row],[Qté Vendue]] * IFERROR(_xlfn.XLOOKUP(tbl_Ventes[[#This Row],[Cde_Prdt]], tbl_Produits[Cde_Prdt], tbl_Produits[Prix Menu]), 0)</f>
        <v>0</v>
      </c>
      <c r="H577" s="7">
        <f>IFERROR(_xlfn.XLOOKUP(tbl_Ventes[[#This Row],[Cde_Prdt]], tbl_Produits[Cde_Prdt], tbl_Produits[Coût Moyen Portion]), 0)</f>
        <v>0</v>
      </c>
      <c r="I577" s="7">
        <f>tbl_Ventes[[#This Row],[Qté Vendue]] * tbl_Ventes[[#This Row],[CMP_par_portion]]</f>
        <v>0</v>
      </c>
      <c r="J577" s="7">
        <f>tbl_Ventes[[#This Row],[CA ligne]] - tbl_Ventes[[#This Row],[Coût matière ligne]]</f>
        <v>0</v>
      </c>
      <c r="K577" s="7" t="str">
        <f>IFERROR(INDEX(tbl_ProduitsRef[Famille], MATCH(tbl_Ventes[[#This Row],[Cde_Prdt]], tbl_Produits[Cde_Prdt], 0)), "")</f>
        <v/>
      </c>
    </row>
    <row r="578" spans="1:11" x14ac:dyDescent="0.25">
      <c r="A578" s="5"/>
      <c r="B578" s="63" t="str">
        <f>IFERROR(TEXT(tbl_Ventes[[#This Row],[Date]],"mm-aaaa"),"")</f>
        <v>01-1900</v>
      </c>
      <c r="D578" s="10" t="str">
        <f>IFERROR(
   INDEX(tbl_ProduitsRef[Cde_Prdt],MATCH(tbl_Ventes[[#This Row],[Produit]],tbl_ProduitsRef[Produit],0)),
   ""
)</f>
        <v/>
      </c>
      <c r="E578" s="7">
        <v>0</v>
      </c>
      <c r="F578" s="7" t="str">
        <f>IFERROR(
   INDEX(tbl_ProduitsRef[Prix Menu],MATCH(tbl_Ventes[[#This Row],[Produit]],tbl_ProduitsRef[Produit],0)),
   ""
)</f>
        <v/>
      </c>
      <c r="G578" s="7">
        <f>tbl_Ventes[[#This Row],[Qté Vendue]] * IFERROR(_xlfn.XLOOKUP(tbl_Ventes[[#This Row],[Cde_Prdt]], tbl_Produits[Cde_Prdt], tbl_Produits[Prix Menu]), 0)</f>
        <v>0</v>
      </c>
      <c r="H578" s="7">
        <f>IFERROR(_xlfn.XLOOKUP(tbl_Ventes[[#This Row],[Cde_Prdt]], tbl_Produits[Cde_Prdt], tbl_Produits[Coût Moyen Portion]), 0)</f>
        <v>0</v>
      </c>
      <c r="I578" s="7">
        <f>tbl_Ventes[[#This Row],[Qté Vendue]] * tbl_Ventes[[#This Row],[CMP_par_portion]]</f>
        <v>0</v>
      </c>
      <c r="J578" s="7">
        <f>tbl_Ventes[[#This Row],[CA ligne]] - tbl_Ventes[[#This Row],[Coût matière ligne]]</f>
        <v>0</v>
      </c>
      <c r="K578" s="7" t="str">
        <f>IFERROR(INDEX(tbl_ProduitsRef[Famille], MATCH(tbl_Ventes[[#This Row],[Cde_Prdt]], tbl_Produits[Cde_Prdt], 0)), "")</f>
        <v/>
      </c>
    </row>
    <row r="579" spans="1:11" x14ac:dyDescent="0.25">
      <c r="A579" s="5"/>
      <c r="B579" s="63" t="str">
        <f>IFERROR(TEXT(tbl_Ventes[[#This Row],[Date]],"mm-aaaa"),"")</f>
        <v>01-1900</v>
      </c>
      <c r="D579" s="10" t="str">
        <f>IFERROR(
   INDEX(tbl_ProduitsRef[Cde_Prdt],MATCH(tbl_Ventes[[#This Row],[Produit]],tbl_ProduitsRef[Produit],0)),
   ""
)</f>
        <v/>
      </c>
      <c r="E579" s="7">
        <v>0</v>
      </c>
      <c r="F579" s="7" t="str">
        <f>IFERROR(
   INDEX(tbl_ProduitsRef[Prix Menu],MATCH(tbl_Ventes[[#This Row],[Produit]],tbl_ProduitsRef[Produit],0)),
   ""
)</f>
        <v/>
      </c>
      <c r="G579" s="7">
        <f>tbl_Ventes[[#This Row],[Qté Vendue]] * IFERROR(_xlfn.XLOOKUP(tbl_Ventes[[#This Row],[Cde_Prdt]], tbl_Produits[Cde_Prdt], tbl_Produits[Prix Menu]), 0)</f>
        <v>0</v>
      </c>
      <c r="H579" s="7">
        <f>IFERROR(_xlfn.XLOOKUP(tbl_Ventes[[#This Row],[Cde_Prdt]], tbl_Produits[Cde_Prdt], tbl_Produits[Coût Moyen Portion]), 0)</f>
        <v>0</v>
      </c>
      <c r="I579" s="7">
        <f>tbl_Ventes[[#This Row],[Qté Vendue]] * tbl_Ventes[[#This Row],[CMP_par_portion]]</f>
        <v>0</v>
      </c>
      <c r="J579" s="7">
        <f>tbl_Ventes[[#This Row],[CA ligne]] - tbl_Ventes[[#This Row],[Coût matière ligne]]</f>
        <v>0</v>
      </c>
      <c r="K579" s="7" t="str">
        <f>IFERROR(INDEX(tbl_ProduitsRef[Famille], MATCH(tbl_Ventes[[#This Row],[Cde_Prdt]], tbl_Produits[Cde_Prdt], 0)), "")</f>
        <v/>
      </c>
    </row>
    <row r="580" spans="1:11" x14ac:dyDescent="0.25">
      <c r="A580" s="5"/>
      <c r="B580" s="63" t="str">
        <f>IFERROR(TEXT(tbl_Ventes[[#This Row],[Date]],"mm-aaaa"),"")</f>
        <v>01-1900</v>
      </c>
      <c r="D580" s="10" t="str">
        <f>IFERROR(
   INDEX(tbl_ProduitsRef[Cde_Prdt],MATCH(tbl_Ventes[[#This Row],[Produit]],tbl_ProduitsRef[Produit],0)),
   ""
)</f>
        <v/>
      </c>
      <c r="E580" s="7">
        <v>0</v>
      </c>
      <c r="F580" s="7" t="str">
        <f>IFERROR(
   INDEX(tbl_ProduitsRef[Prix Menu],MATCH(tbl_Ventes[[#This Row],[Produit]],tbl_ProduitsRef[Produit],0)),
   ""
)</f>
        <v/>
      </c>
      <c r="G580" s="7">
        <f>tbl_Ventes[[#This Row],[Qté Vendue]] * IFERROR(_xlfn.XLOOKUP(tbl_Ventes[[#This Row],[Cde_Prdt]], tbl_Produits[Cde_Prdt], tbl_Produits[Prix Menu]), 0)</f>
        <v>0</v>
      </c>
      <c r="H580" s="7">
        <f>IFERROR(_xlfn.XLOOKUP(tbl_Ventes[[#This Row],[Cde_Prdt]], tbl_Produits[Cde_Prdt], tbl_Produits[Coût Moyen Portion]), 0)</f>
        <v>0</v>
      </c>
      <c r="I580" s="7">
        <f>tbl_Ventes[[#This Row],[Qté Vendue]] * tbl_Ventes[[#This Row],[CMP_par_portion]]</f>
        <v>0</v>
      </c>
      <c r="J580" s="7">
        <f>tbl_Ventes[[#This Row],[CA ligne]] - tbl_Ventes[[#This Row],[Coût matière ligne]]</f>
        <v>0</v>
      </c>
      <c r="K580" s="7" t="str">
        <f>IFERROR(INDEX(tbl_ProduitsRef[Famille], MATCH(tbl_Ventes[[#This Row],[Cde_Prdt]], tbl_Produits[Cde_Prdt], 0)), "")</f>
        <v/>
      </c>
    </row>
    <row r="581" spans="1:11" x14ac:dyDescent="0.25">
      <c r="A581" s="5"/>
      <c r="B581" s="63" t="str">
        <f>IFERROR(TEXT(tbl_Ventes[[#This Row],[Date]],"mm-aaaa"),"")</f>
        <v>01-1900</v>
      </c>
      <c r="D581" s="10" t="str">
        <f>IFERROR(
   INDEX(tbl_ProduitsRef[Cde_Prdt],MATCH(tbl_Ventes[[#This Row],[Produit]],tbl_ProduitsRef[Produit],0)),
   ""
)</f>
        <v/>
      </c>
      <c r="E581" s="7">
        <v>0</v>
      </c>
      <c r="F581" s="7" t="str">
        <f>IFERROR(
   INDEX(tbl_ProduitsRef[Prix Menu],MATCH(tbl_Ventes[[#This Row],[Produit]],tbl_ProduitsRef[Produit],0)),
   ""
)</f>
        <v/>
      </c>
      <c r="G581" s="7">
        <f>tbl_Ventes[[#This Row],[Qté Vendue]] * IFERROR(_xlfn.XLOOKUP(tbl_Ventes[[#This Row],[Cde_Prdt]], tbl_Produits[Cde_Prdt], tbl_Produits[Prix Menu]), 0)</f>
        <v>0</v>
      </c>
      <c r="H581" s="7">
        <f>IFERROR(_xlfn.XLOOKUP(tbl_Ventes[[#This Row],[Cde_Prdt]], tbl_Produits[Cde_Prdt], tbl_Produits[Coût Moyen Portion]), 0)</f>
        <v>0</v>
      </c>
      <c r="I581" s="7">
        <f>tbl_Ventes[[#This Row],[Qté Vendue]] * tbl_Ventes[[#This Row],[CMP_par_portion]]</f>
        <v>0</v>
      </c>
      <c r="J581" s="7">
        <f>tbl_Ventes[[#This Row],[CA ligne]] - tbl_Ventes[[#This Row],[Coût matière ligne]]</f>
        <v>0</v>
      </c>
      <c r="K581" s="7" t="str">
        <f>IFERROR(INDEX(tbl_ProduitsRef[Famille], MATCH(tbl_Ventes[[#This Row],[Cde_Prdt]], tbl_Produits[Cde_Prdt], 0)), "")</f>
        <v/>
      </c>
    </row>
    <row r="582" spans="1:11" x14ac:dyDescent="0.25">
      <c r="A582" s="5"/>
      <c r="B582" s="63" t="str">
        <f>IFERROR(TEXT(tbl_Ventes[[#This Row],[Date]],"mm-aaaa"),"")</f>
        <v>01-1900</v>
      </c>
      <c r="D582" s="10" t="str">
        <f>IFERROR(
   INDEX(tbl_ProduitsRef[Cde_Prdt],MATCH(tbl_Ventes[[#This Row],[Produit]],tbl_ProduitsRef[Produit],0)),
   ""
)</f>
        <v/>
      </c>
      <c r="E582" s="7">
        <v>0</v>
      </c>
      <c r="F582" s="7" t="str">
        <f>IFERROR(
   INDEX(tbl_ProduitsRef[Prix Menu],MATCH(tbl_Ventes[[#This Row],[Produit]],tbl_ProduitsRef[Produit],0)),
   ""
)</f>
        <v/>
      </c>
      <c r="G582" s="7">
        <f>tbl_Ventes[[#This Row],[Qté Vendue]] * IFERROR(_xlfn.XLOOKUP(tbl_Ventes[[#This Row],[Cde_Prdt]], tbl_Produits[Cde_Prdt], tbl_Produits[Prix Menu]), 0)</f>
        <v>0</v>
      </c>
      <c r="H582" s="7">
        <f>IFERROR(_xlfn.XLOOKUP(tbl_Ventes[[#This Row],[Cde_Prdt]], tbl_Produits[Cde_Prdt], tbl_Produits[Coût Moyen Portion]), 0)</f>
        <v>0</v>
      </c>
      <c r="I582" s="7">
        <f>tbl_Ventes[[#This Row],[Qté Vendue]] * tbl_Ventes[[#This Row],[CMP_par_portion]]</f>
        <v>0</v>
      </c>
      <c r="J582" s="7">
        <f>tbl_Ventes[[#This Row],[CA ligne]] - tbl_Ventes[[#This Row],[Coût matière ligne]]</f>
        <v>0</v>
      </c>
      <c r="K582" s="7" t="str">
        <f>IFERROR(INDEX(tbl_ProduitsRef[Famille], MATCH(tbl_Ventes[[#This Row],[Cde_Prdt]], tbl_Produits[Cde_Prdt], 0)), "")</f>
        <v/>
      </c>
    </row>
    <row r="583" spans="1:11" x14ac:dyDescent="0.25">
      <c r="A583" s="5"/>
      <c r="B583" s="63" t="str">
        <f>IFERROR(TEXT(tbl_Ventes[[#This Row],[Date]],"mm-aaaa"),"")</f>
        <v>01-1900</v>
      </c>
      <c r="D583" s="10" t="str">
        <f>IFERROR(
   INDEX(tbl_ProduitsRef[Cde_Prdt],MATCH(tbl_Ventes[[#This Row],[Produit]],tbl_ProduitsRef[Produit],0)),
   ""
)</f>
        <v/>
      </c>
      <c r="E583" s="7">
        <v>0</v>
      </c>
      <c r="F583" s="7" t="str">
        <f>IFERROR(
   INDEX(tbl_ProduitsRef[Prix Menu],MATCH(tbl_Ventes[[#This Row],[Produit]],tbl_ProduitsRef[Produit],0)),
   ""
)</f>
        <v/>
      </c>
      <c r="G583" s="7">
        <f>tbl_Ventes[[#This Row],[Qté Vendue]] * IFERROR(_xlfn.XLOOKUP(tbl_Ventes[[#This Row],[Cde_Prdt]], tbl_Produits[Cde_Prdt], tbl_Produits[Prix Menu]), 0)</f>
        <v>0</v>
      </c>
      <c r="H583" s="7">
        <f>IFERROR(_xlfn.XLOOKUP(tbl_Ventes[[#This Row],[Cde_Prdt]], tbl_Produits[Cde_Prdt], tbl_Produits[Coût Moyen Portion]), 0)</f>
        <v>0</v>
      </c>
      <c r="I583" s="7">
        <f>tbl_Ventes[[#This Row],[Qté Vendue]] * tbl_Ventes[[#This Row],[CMP_par_portion]]</f>
        <v>0</v>
      </c>
      <c r="J583" s="7">
        <f>tbl_Ventes[[#This Row],[CA ligne]] - tbl_Ventes[[#This Row],[Coût matière ligne]]</f>
        <v>0</v>
      </c>
      <c r="K583" s="7" t="str">
        <f>IFERROR(INDEX(tbl_ProduitsRef[Famille], MATCH(tbl_Ventes[[#This Row],[Cde_Prdt]], tbl_Produits[Cde_Prdt], 0)), "")</f>
        <v/>
      </c>
    </row>
    <row r="584" spans="1:11" x14ac:dyDescent="0.25">
      <c r="A584" s="5"/>
      <c r="B584" s="63" t="str">
        <f>IFERROR(TEXT(tbl_Ventes[[#This Row],[Date]],"mm-aaaa"),"")</f>
        <v>01-1900</v>
      </c>
      <c r="D584" s="10" t="str">
        <f>IFERROR(
   INDEX(tbl_ProduitsRef[Cde_Prdt],MATCH(tbl_Ventes[[#This Row],[Produit]],tbl_ProduitsRef[Produit],0)),
   ""
)</f>
        <v/>
      </c>
      <c r="E584" s="7">
        <v>0</v>
      </c>
      <c r="F584" s="7" t="str">
        <f>IFERROR(
   INDEX(tbl_ProduitsRef[Prix Menu],MATCH(tbl_Ventes[[#This Row],[Produit]],tbl_ProduitsRef[Produit],0)),
   ""
)</f>
        <v/>
      </c>
      <c r="G584" s="7">
        <f>tbl_Ventes[[#This Row],[Qté Vendue]] * IFERROR(_xlfn.XLOOKUP(tbl_Ventes[[#This Row],[Cde_Prdt]], tbl_Produits[Cde_Prdt], tbl_Produits[Prix Menu]), 0)</f>
        <v>0</v>
      </c>
      <c r="H584" s="7">
        <f>IFERROR(_xlfn.XLOOKUP(tbl_Ventes[[#This Row],[Cde_Prdt]], tbl_Produits[Cde_Prdt], tbl_Produits[Coût Moyen Portion]), 0)</f>
        <v>0</v>
      </c>
      <c r="I584" s="7">
        <f>tbl_Ventes[[#This Row],[Qté Vendue]] * tbl_Ventes[[#This Row],[CMP_par_portion]]</f>
        <v>0</v>
      </c>
      <c r="J584" s="7">
        <f>tbl_Ventes[[#This Row],[CA ligne]] - tbl_Ventes[[#This Row],[Coût matière ligne]]</f>
        <v>0</v>
      </c>
      <c r="K584" s="7" t="str">
        <f>IFERROR(INDEX(tbl_ProduitsRef[Famille], MATCH(tbl_Ventes[[#This Row],[Cde_Prdt]], tbl_Produits[Cde_Prdt], 0)), "")</f>
        <v/>
      </c>
    </row>
    <row r="585" spans="1:11" x14ac:dyDescent="0.25">
      <c r="A585" s="5"/>
      <c r="B585" s="63" t="str">
        <f>IFERROR(TEXT(tbl_Ventes[[#This Row],[Date]],"mm-aaaa"),"")</f>
        <v>01-1900</v>
      </c>
      <c r="D585" s="10" t="str">
        <f>IFERROR(
   INDEX(tbl_ProduitsRef[Cde_Prdt],MATCH(tbl_Ventes[[#This Row],[Produit]],tbl_ProduitsRef[Produit],0)),
   ""
)</f>
        <v/>
      </c>
      <c r="E585" s="7">
        <v>0</v>
      </c>
      <c r="F585" s="7" t="str">
        <f>IFERROR(
   INDEX(tbl_ProduitsRef[Prix Menu],MATCH(tbl_Ventes[[#This Row],[Produit]],tbl_ProduitsRef[Produit],0)),
   ""
)</f>
        <v/>
      </c>
      <c r="G585" s="7">
        <f>tbl_Ventes[[#This Row],[Qté Vendue]] * IFERROR(_xlfn.XLOOKUP(tbl_Ventes[[#This Row],[Cde_Prdt]], tbl_Produits[Cde_Prdt], tbl_Produits[Prix Menu]), 0)</f>
        <v>0</v>
      </c>
      <c r="H585" s="7">
        <f>IFERROR(_xlfn.XLOOKUP(tbl_Ventes[[#This Row],[Cde_Prdt]], tbl_Produits[Cde_Prdt], tbl_Produits[Coût Moyen Portion]), 0)</f>
        <v>0</v>
      </c>
      <c r="I585" s="7">
        <f>tbl_Ventes[[#This Row],[Qté Vendue]] * tbl_Ventes[[#This Row],[CMP_par_portion]]</f>
        <v>0</v>
      </c>
      <c r="J585" s="7">
        <f>tbl_Ventes[[#This Row],[CA ligne]] - tbl_Ventes[[#This Row],[Coût matière ligne]]</f>
        <v>0</v>
      </c>
      <c r="K585" s="7" t="str">
        <f>IFERROR(INDEX(tbl_ProduitsRef[Famille], MATCH(tbl_Ventes[[#This Row],[Cde_Prdt]], tbl_Produits[Cde_Prdt], 0)), "")</f>
        <v/>
      </c>
    </row>
    <row r="586" spans="1:11" x14ac:dyDescent="0.25">
      <c r="A586" s="5"/>
      <c r="B586" s="63" t="str">
        <f>IFERROR(TEXT(tbl_Ventes[[#This Row],[Date]],"mm-aaaa"),"")</f>
        <v>01-1900</v>
      </c>
      <c r="D586" s="10" t="str">
        <f>IFERROR(
   INDEX(tbl_ProduitsRef[Cde_Prdt],MATCH(tbl_Ventes[[#This Row],[Produit]],tbl_ProduitsRef[Produit],0)),
   ""
)</f>
        <v/>
      </c>
      <c r="E586" s="7">
        <v>0</v>
      </c>
      <c r="F586" s="7" t="str">
        <f>IFERROR(
   INDEX(tbl_ProduitsRef[Prix Menu],MATCH(tbl_Ventes[[#This Row],[Produit]],tbl_ProduitsRef[Produit],0)),
   ""
)</f>
        <v/>
      </c>
      <c r="G586" s="7">
        <f>tbl_Ventes[[#This Row],[Qté Vendue]] * IFERROR(_xlfn.XLOOKUP(tbl_Ventes[[#This Row],[Cde_Prdt]], tbl_Produits[Cde_Prdt], tbl_Produits[Prix Menu]), 0)</f>
        <v>0</v>
      </c>
      <c r="H586" s="7">
        <f>IFERROR(_xlfn.XLOOKUP(tbl_Ventes[[#This Row],[Cde_Prdt]], tbl_Produits[Cde_Prdt], tbl_Produits[Coût Moyen Portion]), 0)</f>
        <v>0</v>
      </c>
      <c r="I586" s="7">
        <f>tbl_Ventes[[#This Row],[Qté Vendue]] * tbl_Ventes[[#This Row],[CMP_par_portion]]</f>
        <v>0</v>
      </c>
      <c r="J586" s="7">
        <f>tbl_Ventes[[#This Row],[CA ligne]] - tbl_Ventes[[#This Row],[Coût matière ligne]]</f>
        <v>0</v>
      </c>
      <c r="K586" s="7" t="str">
        <f>IFERROR(INDEX(tbl_ProduitsRef[Famille], MATCH(tbl_Ventes[[#This Row],[Cde_Prdt]], tbl_Produits[Cde_Prdt], 0)), "")</f>
        <v/>
      </c>
    </row>
    <row r="587" spans="1:11" x14ac:dyDescent="0.25">
      <c r="A587" s="5"/>
      <c r="B587" s="63" t="str">
        <f>IFERROR(TEXT(tbl_Ventes[[#This Row],[Date]],"mm-aaaa"),"")</f>
        <v>01-1900</v>
      </c>
      <c r="D587" s="10" t="str">
        <f>IFERROR(
   INDEX(tbl_ProduitsRef[Cde_Prdt],MATCH(tbl_Ventes[[#This Row],[Produit]],tbl_ProduitsRef[Produit],0)),
   ""
)</f>
        <v/>
      </c>
      <c r="E587" s="7">
        <v>0</v>
      </c>
      <c r="F587" s="7" t="str">
        <f>IFERROR(
   INDEX(tbl_ProduitsRef[Prix Menu],MATCH(tbl_Ventes[[#This Row],[Produit]],tbl_ProduitsRef[Produit],0)),
   ""
)</f>
        <v/>
      </c>
      <c r="G587" s="7">
        <f>tbl_Ventes[[#This Row],[Qté Vendue]] * IFERROR(_xlfn.XLOOKUP(tbl_Ventes[[#This Row],[Cde_Prdt]], tbl_Produits[Cde_Prdt], tbl_Produits[Prix Menu]), 0)</f>
        <v>0</v>
      </c>
      <c r="H587" s="7">
        <f>IFERROR(_xlfn.XLOOKUP(tbl_Ventes[[#This Row],[Cde_Prdt]], tbl_Produits[Cde_Prdt], tbl_Produits[Coût Moyen Portion]), 0)</f>
        <v>0</v>
      </c>
      <c r="I587" s="7">
        <f>tbl_Ventes[[#This Row],[Qté Vendue]] * tbl_Ventes[[#This Row],[CMP_par_portion]]</f>
        <v>0</v>
      </c>
      <c r="J587" s="7">
        <f>tbl_Ventes[[#This Row],[CA ligne]] - tbl_Ventes[[#This Row],[Coût matière ligne]]</f>
        <v>0</v>
      </c>
      <c r="K587" s="7" t="str">
        <f>IFERROR(INDEX(tbl_ProduitsRef[Famille], MATCH(tbl_Ventes[[#This Row],[Cde_Prdt]], tbl_Produits[Cde_Prdt], 0)), "")</f>
        <v/>
      </c>
    </row>
    <row r="588" spans="1:11" x14ac:dyDescent="0.25">
      <c r="A588" s="5"/>
      <c r="B588" s="63" t="str">
        <f>IFERROR(TEXT(tbl_Ventes[[#This Row],[Date]],"mm-aaaa"),"")</f>
        <v>01-1900</v>
      </c>
      <c r="D588" s="10" t="str">
        <f>IFERROR(
   INDEX(tbl_ProduitsRef[Cde_Prdt],MATCH(tbl_Ventes[[#This Row],[Produit]],tbl_ProduitsRef[Produit],0)),
   ""
)</f>
        <v/>
      </c>
      <c r="E588" s="7">
        <v>0</v>
      </c>
      <c r="F588" s="7" t="str">
        <f>IFERROR(
   INDEX(tbl_ProduitsRef[Prix Menu],MATCH(tbl_Ventes[[#This Row],[Produit]],tbl_ProduitsRef[Produit],0)),
   ""
)</f>
        <v/>
      </c>
      <c r="G588" s="7">
        <f>tbl_Ventes[[#This Row],[Qté Vendue]] * IFERROR(_xlfn.XLOOKUP(tbl_Ventes[[#This Row],[Cde_Prdt]], tbl_Produits[Cde_Prdt], tbl_Produits[Prix Menu]), 0)</f>
        <v>0</v>
      </c>
      <c r="H588" s="7">
        <f>IFERROR(_xlfn.XLOOKUP(tbl_Ventes[[#This Row],[Cde_Prdt]], tbl_Produits[Cde_Prdt], tbl_Produits[Coût Moyen Portion]), 0)</f>
        <v>0</v>
      </c>
      <c r="I588" s="7">
        <f>tbl_Ventes[[#This Row],[Qté Vendue]] * tbl_Ventes[[#This Row],[CMP_par_portion]]</f>
        <v>0</v>
      </c>
      <c r="J588" s="7">
        <f>tbl_Ventes[[#This Row],[CA ligne]] - tbl_Ventes[[#This Row],[Coût matière ligne]]</f>
        <v>0</v>
      </c>
      <c r="K588" s="7" t="str">
        <f>IFERROR(INDEX(tbl_ProduitsRef[Famille], MATCH(tbl_Ventes[[#This Row],[Cde_Prdt]], tbl_Produits[Cde_Prdt], 0)), "")</f>
        <v/>
      </c>
    </row>
    <row r="589" spans="1:11" x14ac:dyDescent="0.25">
      <c r="A589" s="5"/>
      <c r="B589" s="63" t="str">
        <f>IFERROR(TEXT(tbl_Ventes[[#This Row],[Date]],"mm-aaaa"),"")</f>
        <v>01-1900</v>
      </c>
      <c r="D589" s="10" t="str">
        <f>IFERROR(
   INDEX(tbl_ProduitsRef[Cde_Prdt],MATCH(tbl_Ventes[[#This Row],[Produit]],tbl_ProduitsRef[Produit],0)),
   ""
)</f>
        <v/>
      </c>
      <c r="E589" s="7">
        <v>0</v>
      </c>
      <c r="F589" s="7" t="str">
        <f>IFERROR(
   INDEX(tbl_ProduitsRef[Prix Menu],MATCH(tbl_Ventes[[#This Row],[Produit]],tbl_ProduitsRef[Produit],0)),
   ""
)</f>
        <v/>
      </c>
      <c r="G589" s="7">
        <f>tbl_Ventes[[#This Row],[Qté Vendue]] * IFERROR(_xlfn.XLOOKUP(tbl_Ventes[[#This Row],[Cde_Prdt]], tbl_Produits[Cde_Prdt], tbl_Produits[Prix Menu]), 0)</f>
        <v>0</v>
      </c>
      <c r="H589" s="7">
        <f>IFERROR(_xlfn.XLOOKUP(tbl_Ventes[[#This Row],[Cde_Prdt]], tbl_Produits[Cde_Prdt], tbl_Produits[Coût Moyen Portion]), 0)</f>
        <v>0</v>
      </c>
      <c r="I589" s="7">
        <f>tbl_Ventes[[#This Row],[Qté Vendue]] * tbl_Ventes[[#This Row],[CMP_par_portion]]</f>
        <v>0</v>
      </c>
      <c r="J589" s="7">
        <f>tbl_Ventes[[#This Row],[CA ligne]] - tbl_Ventes[[#This Row],[Coût matière ligne]]</f>
        <v>0</v>
      </c>
      <c r="K589" s="7" t="str">
        <f>IFERROR(INDEX(tbl_ProduitsRef[Famille], MATCH(tbl_Ventes[[#This Row],[Cde_Prdt]], tbl_Produits[Cde_Prdt], 0)), "")</f>
        <v/>
      </c>
    </row>
    <row r="590" spans="1:11" x14ac:dyDescent="0.25">
      <c r="A590" s="5"/>
      <c r="B590" s="63" t="str">
        <f>IFERROR(TEXT(tbl_Ventes[[#This Row],[Date]],"mm-aaaa"),"")</f>
        <v>01-1900</v>
      </c>
      <c r="D590" s="10" t="str">
        <f>IFERROR(
   INDEX(tbl_ProduitsRef[Cde_Prdt],MATCH(tbl_Ventes[[#This Row],[Produit]],tbl_ProduitsRef[Produit],0)),
   ""
)</f>
        <v/>
      </c>
      <c r="E590" s="7">
        <v>0</v>
      </c>
      <c r="F590" s="7" t="str">
        <f>IFERROR(
   INDEX(tbl_ProduitsRef[Prix Menu],MATCH(tbl_Ventes[[#This Row],[Produit]],tbl_ProduitsRef[Produit],0)),
   ""
)</f>
        <v/>
      </c>
      <c r="G590" s="7">
        <f>tbl_Ventes[[#This Row],[Qté Vendue]] * IFERROR(_xlfn.XLOOKUP(tbl_Ventes[[#This Row],[Cde_Prdt]], tbl_Produits[Cde_Prdt], tbl_Produits[Prix Menu]), 0)</f>
        <v>0</v>
      </c>
      <c r="H590" s="7">
        <f>IFERROR(_xlfn.XLOOKUP(tbl_Ventes[[#This Row],[Cde_Prdt]], tbl_Produits[Cde_Prdt], tbl_Produits[Coût Moyen Portion]), 0)</f>
        <v>0</v>
      </c>
      <c r="I590" s="7">
        <f>tbl_Ventes[[#This Row],[Qté Vendue]] * tbl_Ventes[[#This Row],[CMP_par_portion]]</f>
        <v>0</v>
      </c>
      <c r="J590" s="7">
        <f>tbl_Ventes[[#This Row],[CA ligne]] - tbl_Ventes[[#This Row],[Coût matière ligne]]</f>
        <v>0</v>
      </c>
      <c r="K590" s="7" t="str">
        <f>IFERROR(INDEX(tbl_ProduitsRef[Famille], MATCH(tbl_Ventes[[#This Row],[Cde_Prdt]], tbl_Produits[Cde_Prdt], 0)), "")</f>
        <v/>
      </c>
    </row>
    <row r="591" spans="1:11" x14ac:dyDescent="0.25">
      <c r="A591" s="5"/>
      <c r="B591" s="63" t="str">
        <f>IFERROR(TEXT(tbl_Ventes[[#This Row],[Date]],"mm-aaaa"),"")</f>
        <v>01-1900</v>
      </c>
      <c r="D591" s="10" t="str">
        <f>IFERROR(
   INDEX(tbl_ProduitsRef[Cde_Prdt],MATCH(tbl_Ventes[[#This Row],[Produit]],tbl_ProduitsRef[Produit],0)),
   ""
)</f>
        <v/>
      </c>
      <c r="E591" s="7">
        <v>0</v>
      </c>
      <c r="F591" s="7" t="str">
        <f>IFERROR(
   INDEX(tbl_ProduitsRef[Prix Menu],MATCH(tbl_Ventes[[#This Row],[Produit]],tbl_ProduitsRef[Produit],0)),
   ""
)</f>
        <v/>
      </c>
      <c r="G591" s="7">
        <f>tbl_Ventes[[#This Row],[Qté Vendue]] * IFERROR(_xlfn.XLOOKUP(tbl_Ventes[[#This Row],[Cde_Prdt]], tbl_Produits[Cde_Prdt], tbl_Produits[Prix Menu]), 0)</f>
        <v>0</v>
      </c>
      <c r="H591" s="7">
        <f>IFERROR(_xlfn.XLOOKUP(tbl_Ventes[[#This Row],[Cde_Prdt]], tbl_Produits[Cde_Prdt], tbl_Produits[Coût Moyen Portion]), 0)</f>
        <v>0</v>
      </c>
      <c r="I591" s="7">
        <f>tbl_Ventes[[#This Row],[Qté Vendue]] * tbl_Ventes[[#This Row],[CMP_par_portion]]</f>
        <v>0</v>
      </c>
      <c r="J591" s="7">
        <f>tbl_Ventes[[#This Row],[CA ligne]] - tbl_Ventes[[#This Row],[Coût matière ligne]]</f>
        <v>0</v>
      </c>
      <c r="K591" s="7" t="str">
        <f>IFERROR(INDEX(tbl_ProduitsRef[Famille], MATCH(tbl_Ventes[[#This Row],[Cde_Prdt]], tbl_Produits[Cde_Prdt], 0)), "")</f>
        <v/>
      </c>
    </row>
    <row r="592" spans="1:11" x14ac:dyDescent="0.25">
      <c r="A592" s="5"/>
      <c r="B592" s="63" t="str">
        <f>IFERROR(TEXT(tbl_Ventes[[#This Row],[Date]],"mm-aaaa"),"")</f>
        <v>01-1900</v>
      </c>
      <c r="D592" s="10" t="str">
        <f>IFERROR(
   INDEX(tbl_ProduitsRef[Cde_Prdt],MATCH(tbl_Ventes[[#This Row],[Produit]],tbl_ProduitsRef[Produit],0)),
   ""
)</f>
        <v/>
      </c>
      <c r="E592" s="7">
        <v>0</v>
      </c>
      <c r="F592" s="7" t="str">
        <f>IFERROR(
   INDEX(tbl_ProduitsRef[Prix Menu],MATCH(tbl_Ventes[[#This Row],[Produit]],tbl_ProduitsRef[Produit],0)),
   ""
)</f>
        <v/>
      </c>
      <c r="G592" s="7">
        <f>tbl_Ventes[[#This Row],[Qté Vendue]] * IFERROR(_xlfn.XLOOKUP(tbl_Ventes[[#This Row],[Cde_Prdt]], tbl_Produits[Cde_Prdt], tbl_Produits[Prix Menu]), 0)</f>
        <v>0</v>
      </c>
      <c r="H592" s="7">
        <f>IFERROR(_xlfn.XLOOKUP(tbl_Ventes[[#This Row],[Cde_Prdt]], tbl_Produits[Cde_Prdt], tbl_Produits[Coût Moyen Portion]), 0)</f>
        <v>0</v>
      </c>
      <c r="I592" s="7">
        <f>tbl_Ventes[[#This Row],[Qté Vendue]] * tbl_Ventes[[#This Row],[CMP_par_portion]]</f>
        <v>0</v>
      </c>
      <c r="J592" s="7">
        <f>tbl_Ventes[[#This Row],[CA ligne]] - tbl_Ventes[[#This Row],[Coût matière ligne]]</f>
        <v>0</v>
      </c>
      <c r="K592" s="7" t="str">
        <f>IFERROR(INDEX(tbl_ProduitsRef[Famille], MATCH(tbl_Ventes[[#This Row],[Cde_Prdt]], tbl_Produits[Cde_Prdt], 0)), "")</f>
        <v/>
      </c>
    </row>
    <row r="593" spans="1:11" x14ac:dyDescent="0.25">
      <c r="A593" s="5"/>
      <c r="B593" s="63" t="str">
        <f>IFERROR(TEXT(tbl_Ventes[[#This Row],[Date]],"mm-aaaa"),"")</f>
        <v>01-1900</v>
      </c>
      <c r="D593" s="10" t="str">
        <f>IFERROR(
   INDEX(tbl_ProduitsRef[Cde_Prdt],MATCH(tbl_Ventes[[#This Row],[Produit]],tbl_ProduitsRef[Produit],0)),
   ""
)</f>
        <v/>
      </c>
      <c r="E593" s="7">
        <v>0</v>
      </c>
      <c r="F593" s="7" t="str">
        <f>IFERROR(
   INDEX(tbl_ProduitsRef[Prix Menu],MATCH(tbl_Ventes[[#This Row],[Produit]],tbl_ProduitsRef[Produit],0)),
   ""
)</f>
        <v/>
      </c>
      <c r="G593" s="7">
        <f>tbl_Ventes[[#This Row],[Qté Vendue]] * IFERROR(_xlfn.XLOOKUP(tbl_Ventes[[#This Row],[Cde_Prdt]], tbl_Produits[Cde_Prdt], tbl_Produits[Prix Menu]), 0)</f>
        <v>0</v>
      </c>
      <c r="H593" s="7">
        <f>IFERROR(_xlfn.XLOOKUP(tbl_Ventes[[#This Row],[Cde_Prdt]], tbl_Produits[Cde_Prdt], tbl_Produits[Coût Moyen Portion]), 0)</f>
        <v>0</v>
      </c>
      <c r="I593" s="7">
        <f>tbl_Ventes[[#This Row],[Qté Vendue]] * tbl_Ventes[[#This Row],[CMP_par_portion]]</f>
        <v>0</v>
      </c>
      <c r="J593" s="7">
        <f>tbl_Ventes[[#This Row],[CA ligne]] - tbl_Ventes[[#This Row],[Coût matière ligne]]</f>
        <v>0</v>
      </c>
      <c r="K593" s="7" t="str">
        <f>IFERROR(INDEX(tbl_ProduitsRef[Famille], MATCH(tbl_Ventes[[#This Row],[Cde_Prdt]], tbl_Produits[Cde_Prdt], 0)), "")</f>
        <v/>
      </c>
    </row>
    <row r="594" spans="1:11" x14ac:dyDescent="0.25">
      <c r="A594" s="5"/>
      <c r="B594" s="63" t="str">
        <f>IFERROR(TEXT(tbl_Ventes[[#This Row],[Date]],"mm-aaaa"),"")</f>
        <v>01-1900</v>
      </c>
      <c r="D594" s="10" t="str">
        <f>IFERROR(
   INDEX(tbl_ProduitsRef[Cde_Prdt],MATCH(tbl_Ventes[[#This Row],[Produit]],tbl_ProduitsRef[Produit],0)),
   ""
)</f>
        <v/>
      </c>
      <c r="E594" s="7">
        <v>0</v>
      </c>
      <c r="F594" s="7" t="str">
        <f>IFERROR(
   INDEX(tbl_ProduitsRef[Prix Menu],MATCH(tbl_Ventes[[#This Row],[Produit]],tbl_ProduitsRef[Produit],0)),
   ""
)</f>
        <v/>
      </c>
      <c r="G594" s="7">
        <f>tbl_Ventes[[#This Row],[Qté Vendue]] * IFERROR(_xlfn.XLOOKUP(tbl_Ventes[[#This Row],[Cde_Prdt]], tbl_Produits[Cde_Prdt], tbl_Produits[Prix Menu]), 0)</f>
        <v>0</v>
      </c>
      <c r="H594" s="7">
        <f>IFERROR(_xlfn.XLOOKUP(tbl_Ventes[[#This Row],[Cde_Prdt]], tbl_Produits[Cde_Prdt], tbl_Produits[Coût Moyen Portion]), 0)</f>
        <v>0</v>
      </c>
      <c r="I594" s="7">
        <f>tbl_Ventes[[#This Row],[Qté Vendue]] * tbl_Ventes[[#This Row],[CMP_par_portion]]</f>
        <v>0</v>
      </c>
      <c r="J594" s="7">
        <f>tbl_Ventes[[#This Row],[CA ligne]] - tbl_Ventes[[#This Row],[Coût matière ligne]]</f>
        <v>0</v>
      </c>
      <c r="K594" s="7" t="str">
        <f>IFERROR(INDEX(tbl_ProduitsRef[Famille], MATCH(tbl_Ventes[[#This Row],[Cde_Prdt]], tbl_Produits[Cde_Prdt], 0)), "")</f>
        <v/>
      </c>
    </row>
    <row r="595" spans="1:11" x14ac:dyDescent="0.25">
      <c r="A595" s="5"/>
      <c r="B595" s="63" t="str">
        <f>IFERROR(TEXT(tbl_Ventes[[#This Row],[Date]],"mm-aaaa"),"")</f>
        <v>01-1900</v>
      </c>
      <c r="D595" s="10" t="str">
        <f>IFERROR(
   INDEX(tbl_ProduitsRef[Cde_Prdt],MATCH(tbl_Ventes[[#This Row],[Produit]],tbl_ProduitsRef[Produit],0)),
   ""
)</f>
        <v/>
      </c>
      <c r="E595" s="7">
        <v>0</v>
      </c>
      <c r="F595" s="7" t="str">
        <f>IFERROR(
   INDEX(tbl_ProduitsRef[Prix Menu],MATCH(tbl_Ventes[[#This Row],[Produit]],tbl_ProduitsRef[Produit],0)),
   ""
)</f>
        <v/>
      </c>
      <c r="G595" s="7">
        <f>tbl_Ventes[[#This Row],[Qté Vendue]] * IFERROR(_xlfn.XLOOKUP(tbl_Ventes[[#This Row],[Cde_Prdt]], tbl_Produits[Cde_Prdt], tbl_Produits[Prix Menu]), 0)</f>
        <v>0</v>
      </c>
      <c r="H595" s="7">
        <f>IFERROR(_xlfn.XLOOKUP(tbl_Ventes[[#This Row],[Cde_Prdt]], tbl_Produits[Cde_Prdt], tbl_Produits[Coût Moyen Portion]), 0)</f>
        <v>0</v>
      </c>
      <c r="I595" s="7">
        <f>tbl_Ventes[[#This Row],[Qté Vendue]] * tbl_Ventes[[#This Row],[CMP_par_portion]]</f>
        <v>0</v>
      </c>
      <c r="J595" s="7">
        <f>tbl_Ventes[[#This Row],[CA ligne]] - tbl_Ventes[[#This Row],[Coût matière ligne]]</f>
        <v>0</v>
      </c>
      <c r="K595" s="7" t="str">
        <f>IFERROR(INDEX(tbl_ProduitsRef[Famille], MATCH(tbl_Ventes[[#This Row],[Cde_Prdt]], tbl_Produits[Cde_Prdt], 0)), "")</f>
        <v/>
      </c>
    </row>
    <row r="596" spans="1:11" x14ac:dyDescent="0.25">
      <c r="A596" s="5"/>
      <c r="B596" s="63" t="str">
        <f>IFERROR(TEXT(tbl_Ventes[[#This Row],[Date]],"mm-aaaa"),"")</f>
        <v>01-1900</v>
      </c>
      <c r="D596" s="10" t="str">
        <f>IFERROR(
   INDEX(tbl_ProduitsRef[Cde_Prdt],MATCH(tbl_Ventes[[#This Row],[Produit]],tbl_ProduitsRef[Produit],0)),
   ""
)</f>
        <v/>
      </c>
      <c r="E596" s="7">
        <v>0</v>
      </c>
      <c r="F596" s="7" t="str">
        <f>IFERROR(
   INDEX(tbl_ProduitsRef[Prix Menu],MATCH(tbl_Ventes[[#This Row],[Produit]],tbl_ProduitsRef[Produit],0)),
   ""
)</f>
        <v/>
      </c>
      <c r="G596" s="7">
        <f>tbl_Ventes[[#This Row],[Qté Vendue]] * IFERROR(_xlfn.XLOOKUP(tbl_Ventes[[#This Row],[Cde_Prdt]], tbl_Produits[Cde_Prdt], tbl_Produits[Prix Menu]), 0)</f>
        <v>0</v>
      </c>
      <c r="H596" s="7">
        <f>IFERROR(_xlfn.XLOOKUP(tbl_Ventes[[#This Row],[Cde_Prdt]], tbl_Produits[Cde_Prdt], tbl_Produits[Coût Moyen Portion]), 0)</f>
        <v>0</v>
      </c>
      <c r="I596" s="7">
        <f>tbl_Ventes[[#This Row],[Qté Vendue]] * tbl_Ventes[[#This Row],[CMP_par_portion]]</f>
        <v>0</v>
      </c>
      <c r="J596" s="7">
        <f>tbl_Ventes[[#This Row],[CA ligne]] - tbl_Ventes[[#This Row],[Coût matière ligne]]</f>
        <v>0</v>
      </c>
      <c r="K596" s="7" t="str">
        <f>IFERROR(INDEX(tbl_ProduitsRef[Famille], MATCH(tbl_Ventes[[#This Row],[Cde_Prdt]], tbl_Produits[Cde_Prdt], 0)), "")</f>
        <v/>
      </c>
    </row>
    <row r="597" spans="1:11" x14ac:dyDescent="0.25">
      <c r="A597" s="5"/>
      <c r="B597" s="63" t="str">
        <f>IFERROR(TEXT(tbl_Ventes[[#This Row],[Date]],"mm-aaaa"),"")</f>
        <v>01-1900</v>
      </c>
      <c r="D597" s="10" t="str">
        <f>IFERROR(
   INDEX(tbl_ProduitsRef[Cde_Prdt],MATCH(tbl_Ventes[[#This Row],[Produit]],tbl_ProduitsRef[Produit],0)),
   ""
)</f>
        <v/>
      </c>
      <c r="E597" s="7">
        <v>0</v>
      </c>
      <c r="F597" s="7" t="str">
        <f>IFERROR(
   INDEX(tbl_ProduitsRef[Prix Menu],MATCH(tbl_Ventes[[#This Row],[Produit]],tbl_ProduitsRef[Produit],0)),
   ""
)</f>
        <v/>
      </c>
      <c r="G597" s="7">
        <f>tbl_Ventes[[#This Row],[Qté Vendue]] * IFERROR(_xlfn.XLOOKUP(tbl_Ventes[[#This Row],[Cde_Prdt]], tbl_Produits[Cde_Prdt], tbl_Produits[Prix Menu]), 0)</f>
        <v>0</v>
      </c>
      <c r="H597" s="7">
        <f>IFERROR(_xlfn.XLOOKUP(tbl_Ventes[[#This Row],[Cde_Prdt]], tbl_Produits[Cde_Prdt], tbl_Produits[Coût Moyen Portion]), 0)</f>
        <v>0</v>
      </c>
      <c r="I597" s="7">
        <f>tbl_Ventes[[#This Row],[Qté Vendue]] * tbl_Ventes[[#This Row],[CMP_par_portion]]</f>
        <v>0</v>
      </c>
      <c r="J597" s="7">
        <f>tbl_Ventes[[#This Row],[CA ligne]] - tbl_Ventes[[#This Row],[Coût matière ligne]]</f>
        <v>0</v>
      </c>
      <c r="K597" s="7" t="str">
        <f>IFERROR(INDEX(tbl_ProduitsRef[Famille], MATCH(tbl_Ventes[[#This Row],[Cde_Prdt]], tbl_Produits[Cde_Prdt], 0)), "")</f>
        <v/>
      </c>
    </row>
    <row r="598" spans="1:11" x14ac:dyDescent="0.25">
      <c r="A598" s="5"/>
      <c r="B598" s="63" t="str">
        <f>IFERROR(TEXT(tbl_Ventes[[#This Row],[Date]],"mm-aaaa"),"")</f>
        <v>01-1900</v>
      </c>
      <c r="D598" s="10" t="str">
        <f>IFERROR(
   INDEX(tbl_ProduitsRef[Cde_Prdt],MATCH(tbl_Ventes[[#This Row],[Produit]],tbl_ProduitsRef[Produit],0)),
   ""
)</f>
        <v/>
      </c>
      <c r="E598" s="7">
        <v>0</v>
      </c>
      <c r="F598" s="7" t="str">
        <f>IFERROR(
   INDEX(tbl_ProduitsRef[Prix Menu],MATCH(tbl_Ventes[[#This Row],[Produit]],tbl_ProduitsRef[Produit],0)),
   ""
)</f>
        <v/>
      </c>
      <c r="G598" s="7">
        <f>tbl_Ventes[[#This Row],[Qté Vendue]] * IFERROR(_xlfn.XLOOKUP(tbl_Ventes[[#This Row],[Cde_Prdt]], tbl_Produits[Cde_Prdt], tbl_Produits[Prix Menu]), 0)</f>
        <v>0</v>
      </c>
      <c r="H598" s="7">
        <f>IFERROR(_xlfn.XLOOKUP(tbl_Ventes[[#This Row],[Cde_Prdt]], tbl_Produits[Cde_Prdt], tbl_Produits[Coût Moyen Portion]), 0)</f>
        <v>0</v>
      </c>
      <c r="I598" s="7">
        <f>tbl_Ventes[[#This Row],[Qté Vendue]] * tbl_Ventes[[#This Row],[CMP_par_portion]]</f>
        <v>0</v>
      </c>
      <c r="J598" s="7">
        <f>tbl_Ventes[[#This Row],[CA ligne]] - tbl_Ventes[[#This Row],[Coût matière ligne]]</f>
        <v>0</v>
      </c>
      <c r="K598" s="7" t="str">
        <f>IFERROR(INDEX(tbl_ProduitsRef[Famille], MATCH(tbl_Ventes[[#This Row],[Cde_Prdt]], tbl_Produits[Cde_Prdt], 0)), "")</f>
        <v/>
      </c>
    </row>
    <row r="599" spans="1:11" x14ac:dyDescent="0.25">
      <c r="A599" s="5"/>
      <c r="B599" s="63" t="str">
        <f>IFERROR(TEXT(tbl_Ventes[[#This Row],[Date]],"mm-aaaa"),"")</f>
        <v>01-1900</v>
      </c>
      <c r="D599" s="10" t="str">
        <f>IFERROR(
   INDEX(tbl_ProduitsRef[Cde_Prdt],MATCH(tbl_Ventes[[#This Row],[Produit]],tbl_ProduitsRef[Produit],0)),
   ""
)</f>
        <v/>
      </c>
      <c r="E599" s="7">
        <v>0</v>
      </c>
      <c r="F599" s="7" t="str">
        <f>IFERROR(
   INDEX(tbl_ProduitsRef[Prix Menu],MATCH(tbl_Ventes[[#This Row],[Produit]],tbl_ProduitsRef[Produit],0)),
   ""
)</f>
        <v/>
      </c>
      <c r="G599" s="7">
        <f>tbl_Ventes[[#This Row],[Qté Vendue]] * IFERROR(_xlfn.XLOOKUP(tbl_Ventes[[#This Row],[Cde_Prdt]], tbl_Produits[Cde_Prdt], tbl_Produits[Prix Menu]), 0)</f>
        <v>0</v>
      </c>
      <c r="H599" s="7">
        <f>IFERROR(_xlfn.XLOOKUP(tbl_Ventes[[#This Row],[Cde_Prdt]], tbl_Produits[Cde_Prdt], tbl_Produits[Coût Moyen Portion]), 0)</f>
        <v>0</v>
      </c>
      <c r="I599" s="7">
        <f>tbl_Ventes[[#This Row],[Qté Vendue]] * tbl_Ventes[[#This Row],[CMP_par_portion]]</f>
        <v>0</v>
      </c>
      <c r="J599" s="7">
        <f>tbl_Ventes[[#This Row],[CA ligne]] - tbl_Ventes[[#This Row],[Coût matière ligne]]</f>
        <v>0</v>
      </c>
      <c r="K599" s="7" t="str">
        <f>IFERROR(INDEX(tbl_ProduitsRef[Famille], MATCH(tbl_Ventes[[#This Row],[Cde_Prdt]], tbl_Produits[Cde_Prdt], 0)), "")</f>
        <v/>
      </c>
    </row>
    <row r="600" spans="1:11" x14ac:dyDescent="0.25">
      <c r="A600" s="5"/>
      <c r="B600" s="63" t="str">
        <f>IFERROR(TEXT(tbl_Ventes[[#This Row],[Date]],"mm-aaaa"),"")</f>
        <v>01-1900</v>
      </c>
      <c r="D600" s="10" t="str">
        <f>IFERROR(
   INDEX(tbl_ProduitsRef[Cde_Prdt],MATCH(tbl_Ventes[[#This Row],[Produit]],tbl_ProduitsRef[Produit],0)),
   ""
)</f>
        <v/>
      </c>
      <c r="E600" s="7">
        <v>0</v>
      </c>
      <c r="F600" s="7" t="str">
        <f>IFERROR(
   INDEX(tbl_ProduitsRef[Prix Menu],MATCH(tbl_Ventes[[#This Row],[Produit]],tbl_ProduitsRef[Produit],0)),
   ""
)</f>
        <v/>
      </c>
      <c r="G600" s="7">
        <f>tbl_Ventes[[#This Row],[Qté Vendue]] * IFERROR(_xlfn.XLOOKUP(tbl_Ventes[[#This Row],[Cde_Prdt]], tbl_Produits[Cde_Prdt], tbl_Produits[Prix Menu]), 0)</f>
        <v>0</v>
      </c>
      <c r="H600" s="7">
        <f>IFERROR(_xlfn.XLOOKUP(tbl_Ventes[[#This Row],[Cde_Prdt]], tbl_Produits[Cde_Prdt], tbl_Produits[Coût Moyen Portion]), 0)</f>
        <v>0</v>
      </c>
      <c r="I600" s="7">
        <f>tbl_Ventes[[#This Row],[Qté Vendue]] * tbl_Ventes[[#This Row],[CMP_par_portion]]</f>
        <v>0</v>
      </c>
      <c r="J600" s="7">
        <f>tbl_Ventes[[#This Row],[CA ligne]] - tbl_Ventes[[#This Row],[Coût matière ligne]]</f>
        <v>0</v>
      </c>
      <c r="K600" s="7" t="str">
        <f>IFERROR(INDEX(tbl_ProduitsRef[Famille], MATCH(tbl_Ventes[[#This Row],[Cde_Prdt]], tbl_Produits[Cde_Prdt], 0)), "")</f>
        <v/>
      </c>
    </row>
    <row r="601" spans="1:11" x14ac:dyDescent="0.25">
      <c r="A601" s="5"/>
      <c r="B601" s="63" t="str">
        <f>IFERROR(TEXT(tbl_Ventes[[#This Row],[Date]],"mm-aaaa"),"")</f>
        <v>01-1900</v>
      </c>
      <c r="D601" s="10" t="str">
        <f>IFERROR(
   INDEX(tbl_ProduitsRef[Cde_Prdt],MATCH(tbl_Ventes[[#This Row],[Produit]],tbl_ProduitsRef[Produit],0)),
   ""
)</f>
        <v/>
      </c>
      <c r="E601" s="7">
        <v>0</v>
      </c>
      <c r="F601" s="7" t="str">
        <f>IFERROR(
   INDEX(tbl_ProduitsRef[Prix Menu],MATCH(tbl_Ventes[[#This Row],[Produit]],tbl_ProduitsRef[Produit],0)),
   ""
)</f>
        <v/>
      </c>
      <c r="G601" s="7">
        <f>tbl_Ventes[[#This Row],[Qté Vendue]] * IFERROR(_xlfn.XLOOKUP(tbl_Ventes[[#This Row],[Cde_Prdt]], tbl_Produits[Cde_Prdt], tbl_Produits[Prix Menu]), 0)</f>
        <v>0</v>
      </c>
      <c r="H601" s="7">
        <f>IFERROR(_xlfn.XLOOKUP(tbl_Ventes[[#This Row],[Cde_Prdt]], tbl_Produits[Cde_Prdt], tbl_Produits[Coût Moyen Portion]), 0)</f>
        <v>0</v>
      </c>
      <c r="I601" s="7">
        <f>tbl_Ventes[[#This Row],[Qté Vendue]] * tbl_Ventes[[#This Row],[CMP_par_portion]]</f>
        <v>0</v>
      </c>
      <c r="J601" s="7">
        <f>tbl_Ventes[[#This Row],[CA ligne]] - tbl_Ventes[[#This Row],[Coût matière ligne]]</f>
        <v>0</v>
      </c>
      <c r="K601" s="7" t="str">
        <f>IFERROR(INDEX(tbl_ProduitsRef[Famille], MATCH(tbl_Ventes[[#This Row],[Cde_Prdt]], tbl_Produits[Cde_Prdt], 0)), "")</f>
        <v/>
      </c>
    </row>
    <row r="602" spans="1:11" x14ac:dyDescent="0.25">
      <c r="A602" s="5"/>
      <c r="B602" s="63" t="str">
        <f>IFERROR(TEXT(tbl_Ventes[[#This Row],[Date]],"mm-aaaa"),"")</f>
        <v>01-1900</v>
      </c>
      <c r="D602" s="10" t="str">
        <f>IFERROR(
   INDEX(tbl_ProduitsRef[Cde_Prdt],MATCH(tbl_Ventes[[#This Row],[Produit]],tbl_ProduitsRef[Produit],0)),
   ""
)</f>
        <v/>
      </c>
      <c r="E602" s="7">
        <v>0</v>
      </c>
      <c r="F602" s="7" t="str">
        <f>IFERROR(
   INDEX(tbl_ProduitsRef[Prix Menu],MATCH(tbl_Ventes[[#This Row],[Produit]],tbl_ProduitsRef[Produit],0)),
   ""
)</f>
        <v/>
      </c>
      <c r="G602" s="7">
        <f>tbl_Ventes[[#This Row],[Qté Vendue]] * IFERROR(_xlfn.XLOOKUP(tbl_Ventes[[#This Row],[Cde_Prdt]], tbl_Produits[Cde_Prdt], tbl_Produits[Prix Menu]), 0)</f>
        <v>0</v>
      </c>
      <c r="H602" s="7">
        <f>IFERROR(_xlfn.XLOOKUP(tbl_Ventes[[#This Row],[Cde_Prdt]], tbl_Produits[Cde_Prdt], tbl_Produits[Coût Moyen Portion]), 0)</f>
        <v>0</v>
      </c>
      <c r="I602" s="7">
        <f>tbl_Ventes[[#This Row],[Qté Vendue]] * tbl_Ventes[[#This Row],[CMP_par_portion]]</f>
        <v>0</v>
      </c>
      <c r="J602" s="7">
        <f>tbl_Ventes[[#This Row],[CA ligne]] - tbl_Ventes[[#This Row],[Coût matière ligne]]</f>
        <v>0</v>
      </c>
      <c r="K602" s="7" t="str">
        <f>IFERROR(INDEX(tbl_ProduitsRef[Famille], MATCH(tbl_Ventes[[#This Row],[Cde_Prdt]], tbl_Produits[Cde_Prdt], 0)), "")</f>
        <v/>
      </c>
    </row>
    <row r="603" spans="1:11" x14ac:dyDescent="0.25">
      <c r="A603" s="5"/>
      <c r="B603" s="63" t="str">
        <f>IFERROR(TEXT(tbl_Ventes[[#This Row],[Date]],"mm-aaaa"),"")</f>
        <v>01-1900</v>
      </c>
      <c r="D603" s="10" t="str">
        <f>IFERROR(
   INDEX(tbl_ProduitsRef[Cde_Prdt],MATCH(tbl_Ventes[[#This Row],[Produit]],tbl_ProduitsRef[Produit],0)),
   ""
)</f>
        <v/>
      </c>
      <c r="E603" s="7">
        <v>0</v>
      </c>
      <c r="F603" s="7" t="str">
        <f>IFERROR(
   INDEX(tbl_ProduitsRef[Prix Menu],MATCH(tbl_Ventes[[#This Row],[Produit]],tbl_ProduitsRef[Produit],0)),
   ""
)</f>
        <v/>
      </c>
      <c r="G603" s="7">
        <f>tbl_Ventes[[#This Row],[Qté Vendue]] * IFERROR(_xlfn.XLOOKUP(tbl_Ventes[[#This Row],[Cde_Prdt]], tbl_Produits[Cde_Prdt], tbl_Produits[Prix Menu]), 0)</f>
        <v>0</v>
      </c>
      <c r="H603" s="7">
        <f>IFERROR(_xlfn.XLOOKUP(tbl_Ventes[[#This Row],[Cde_Prdt]], tbl_Produits[Cde_Prdt], tbl_Produits[Coût Moyen Portion]), 0)</f>
        <v>0</v>
      </c>
      <c r="I603" s="7">
        <f>tbl_Ventes[[#This Row],[Qté Vendue]] * tbl_Ventes[[#This Row],[CMP_par_portion]]</f>
        <v>0</v>
      </c>
      <c r="J603" s="7">
        <f>tbl_Ventes[[#This Row],[CA ligne]] - tbl_Ventes[[#This Row],[Coût matière ligne]]</f>
        <v>0</v>
      </c>
      <c r="K603" s="7" t="str">
        <f>IFERROR(INDEX(tbl_ProduitsRef[Famille], MATCH(tbl_Ventes[[#This Row],[Cde_Prdt]], tbl_Produits[Cde_Prdt], 0)), "")</f>
        <v/>
      </c>
    </row>
    <row r="604" spans="1:11" x14ac:dyDescent="0.25">
      <c r="A604" s="5"/>
      <c r="B604" s="63" t="str">
        <f>IFERROR(TEXT(tbl_Ventes[[#This Row],[Date]],"mm-aaaa"),"")</f>
        <v>01-1900</v>
      </c>
      <c r="D604" s="10" t="str">
        <f>IFERROR(
   INDEX(tbl_ProduitsRef[Cde_Prdt],MATCH(tbl_Ventes[[#This Row],[Produit]],tbl_ProduitsRef[Produit],0)),
   ""
)</f>
        <v/>
      </c>
      <c r="E604" s="7">
        <v>0</v>
      </c>
      <c r="F604" s="7" t="str">
        <f>IFERROR(
   INDEX(tbl_ProduitsRef[Prix Menu],MATCH(tbl_Ventes[[#This Row],[Produit]],tbl_ProduitsRef[Produit],0)),
   ""
)</f>
        <v/>
      </c>
      <c r="G604" s="7">
        <f>tbl_Ventes[[#This Row],[Qté Vendue]] * IFERROR(_xlfn.XLOOKUP(tbl_Ventes[[#This Row],[Cde_Prdt]], tbl_Produits[Cde_Prdt], tbl_Produits[Prix Menu]), 0)</f>
        <v>0</v>
      </c>
      <c r="H604" s="7">
        <f>IFERROR(_xlfn.XLOOKUP(tbl_Ventes[[#This Row],[Cde_Prdt]], tbl_Produits[Cde_Prdt], tbl_Produits[Coût Moyen Portion]), 0)</f>
        <v>0</v>
      </c>
      <c r="I604" s="7">
        <f>tbl_Ventes[[#This Row],[Qté Vendue]] * tbl_Ventes[[#This Row],[CMP_par_portion]]</f>
        <v>0</v>
      </c>
      <c r="J604" s="7">
        <f>tbl_Ventes[[#This Row],[CA ligne]] - tbl_Ventes[[#This Row],[Coût matière ligne]]</f>
        <v>0</v>
      </c>
      <c r="K604" s="7" t="str">
        <f>IFERROR(INDEX(tbl_ProduitsRef[Famille], MATCH(tbl_Ventes[[#This Row],[Cde_Prdt]], tbl_Produits[Cde_Prdt], 0)), "")</f>
        <v/>
      </c>
    </row>
    <row r="605" spans="1:11" x14ac:dyDescent="0.25">
      <c r="A605" s="5"/>
      <c r="B605" s="63" t="str">
        <f>IFERROR(TEXT(tbl_Ventes[[#This Row],[Date]],"mm-aaaa"),"")</f>
        <v>01-1900</v>
      </c>
      <c r="D605" s="10" t="str">
        <f>IFERROR(
   INDEX(tbl_ProduitsRef[Cde_Prdt],MATCH(tbl_Ventes[[#This Row],[Produit]],tbl_ProduitsRef[Produit],0)),
   ""
)</f>
        <v/>
      </c>
      <c r="E605" s="7">
        <v>0</v>
      </c>
      <c r="F605" s="7" t="str">
        <f>IFERROR(
   INDEX(tbl_ProduitsRef[Prix Menu],MATCH(tbl_Ventes[[#This Row],[Produit]],tbl_ProduitsRef[Produit],0)),
   ""
)</f>
        <v/>
      </c>
      <c r="G605" s="7">
        <f>tbl_Ventes[[#This Row],[Qté Vendue]] * IFERROR(_xlfn.XLOOKUP(tbl_Ventes[[#This Row],[Cde_Prdt]], tbl_Produits[Cde_Prdt], tbl_Produits[Prix Menu]), 0)</f>
        <v>0</v>
      </c>
      <c r="H605" s="7">
        <f>IFERROR(_xlfn.XLOOKUP(tbl_Ventes[[#This Row],[Cde_Prdt]], tbl_Produits[Cde_Prdt], tbl_Produits[Coût Moyen Portion]), 0)</f>
        <v>0</v>
      </c>
      <c r="I605" s="7">
        <f>tbl_Ventes[[#This Row],[Qté Vendue]] * tbl_Ventes[[#This Row],[CMP_par_portion]]</f>
        <v>0</v>
      </c>
      <c r="J605" s="7">
        <f>tbl_Ventes[[#This Row],[CA ligne]] - tbl_Ventes[[#This Row],[Coût matière ligne]]</f>
        <v>0</v>
      </c>
      <c r="K605" s="7" t="str">
        <f>IFERROR(INDEX(tbl_ProduitsRef[Famille], MATCH(tbl_Ventes[[#This Row],[Cde_Prdt]], tbl_Produits[Cde_Prdt], 0)), "")</f>
        <v/>
      </c>
    </row>
    <row r="606" spans="1:11" x14ac:dyDescent="0.25">
      <c r="A606" s="5"/>
      <c r="B606" s="63" t="str">
        <f>IFERROR(TEXT(tbl_Ventes[[#This Row],[Date]],"mm-aaaa"),"")</f>
        <v>01-1900</v>
      </c>
      <c r="D606" s="10" t="str">
        <f>IFERROR(
   INDEX(tbl_ProduitsRef[Cde_Prdt],MATCH(tbl_Ventes[[#This Row],[Produit]],tbl_ProduitsRef[Produit],0)),
   ""
)</f>
        <v/>
      </c>
      <c r="E606" s="7">
        <v>0</v>
      </c>
      <c r="F606" s="7" t="str">
        <f>IFERROR(
   INDEX(tbl_ProduitsRef[Prix Menu],MATCH(tbl_Ventes[[#This Row],[Produit]],tbl_ProduitsRef[Produit],0)),
   ""
)</f>
        <v/>
      </c>
      <c r="G606" s="7">
        <f>tbl_Ventes[[#This Row],[Qté Vendue]] * IFERROR(_xlfn.XLOOKUP(tbl_Ventes[[#This Row],[Cde_Prdt]], tbl_Produits[Cde_Prdt], tbl_Produits[Prix Menu]), 0)</f>
        <v>0</v>
      </c>
      <c r="H606" s="7">
        <f>IFERROR(_xlfn.XLOOKUP(tbl_Ventes[[#This Row],[Cde_Prdt]], tbl_Produits[Cde_Prdt], tbl_Produits[Coût Moyen Portion]), 0)</f>
        <v>0</v>
      </c>
      <c r="I606" s="7">
        <f>tbl_Ventes[[#This Row],[Qté Vendue]] * tbl_Ventes[[#This Row],[CMP_par_portion]]</f>
        <v>0</v>
      </c>
      <c r="J606" s="7">
        <f>tbl_Ventes[[#This Row],[CA ligne]] - tbl_Ventes[[#This Row],[Coût matière ligne]]</f>
        <v>0</v>
      </c>
      <c r="K606" s="7" t="str">
        <f>IFERROR(INDEX(tbl_ProduitsRef[Famille], MATCH(tbl_Ventes[[#This Row],[Cde_Prdt]], tbl_Produits[Cde_Prdt], 0)), "")</f>
        <v/>
      </c>
    </row>
    <row r="607" spans="1:11" x14ac:dyDescent="0.25">
      <c r="A607" s="5"/>
      <c r="B607" s="63" t="str">
        <f>IFERROR(TEXT(tbl_Ventes[[#This Row],[Date]],"mm-aaaa"),"")</f>
        <v>01-1900</v>
      </c>
      <c r="D607" s="10" t="str">
        <f>IFERROR(
   INDEX(tbl_ProduitsRef[Cde_Prdt],MATCH(tbl_Ventes[[#This Row],[Produit]],tbl_ProduitsRef[Produit],0)),
   ""
)</f>
        <v/>
      </c>
      <c r="E607" s="7">
        <v>0</v>
      </c>
      <c r="F607" s="7" t="str">
        <f>IFERROR(
   INDEX(tbl_ProduitsRef[Prix Menu],MATCH(tbl_Ventes[[#This Row],[Produit]],tbl_ProduitsRef[Produit],0)),
   ""
)</f>
        <v/>
      </c>
      <c r="G607" s="7">
        <f>tbl_Ventes[[#This Row],[Qté Vendue]] * IFERROR(_xlfn.XLOOKUP(tbl_Ventes[[#This Row],[Cde_Prdt]], tbl_Produits[Cde_Prdt], tbl_Produits[Prix Menu]), 0)</f>
        <v>0</v>
      </c>
      <c r="H607" s="7">
        <f>IFERROR(_xlfn.XLOOKUP(tbl_Ventes[[#This Row],[Cde_Prdt]], tbl_Produits[Cde_Prdt], tbl_Produits[Coût Moyen Portion]), 0)</f>
        <v>0</v>
      </c>
      <c r="I607" s="7">
        <f>tbl_Ventes[[#This Row],[Qté Vendue]] * tbl_Ventes[[#This Row],[CMP_par_portion]]</f>
        <v>0</v>
      </c>
      <c r="J607" s="7">
        <f>tbl_Ventes[[#This Row],[CA ligne]] - tbl_Ventes[[#This Row],[Coût matière ligne]]</f>
        <v>0</v>
      </c>
      <c r="K607" s="7" t="str">
        <f>IFERROR(INDEX(tbl_ProduitsRef[Famille], MATCH(tbl_Ventes[[#This Row],[Cde_Prdt]], tbl_Produits[Cde_Prdt], 0)), "")</f>
        <v/>
      </c>
    </row>
    <row r="608" spans="1:11" x14ac:dyDescent="0.25">
      <c r="A608" s="5"/>
      <c r="B608" s="63" t="str">
        <f>IFERROR(TEXT(tbl_Ventes[[#This Row],[Date]],"mm-aaaa"),"")</f>
        <v>01-1900</v>
      </c>
      <c r="D608" s="10" t="str">
        <f>IFERROR(
   INDEX(tbl_ProduitsRef[Cde_Prdt],MATCH(tbl_Ventes[[#This Row],[Produit]],tbl_ProduitsRef[Produit],0)),
   ""
)</f>
        <v/>
      </c>
      <c r="E608" s="7">
        <v>0</v>
      </c>
      <c r="F608" s="7" t="str">
        <f>IFERROR(
   INDEX(tbl_ProduitsRef[Prix Menu],MATCH(tbl_Ventes[[#This Row],[Produit]],tbl_ProduitsRef[Produit],0)),
   ""
)</f>
        <v/>
      </c>
      <c r="G608" s="7">
        <f>tbl_Ventes[[#This Row],[Qté Vendue]] * IFERROR(_xlfn.XLOOKUP(tbl_Ventes[[#This Row],[Cde_Prdt]], tbl_Produits[Cde_Prdt], tbl_Produits[Prix Menu]), 0)</f>
        <v>0</v>
      </c>
      <c r="H608" s="7">
        <f>IFERROR(_xlfn.XLOOKUP(tbl_Ventes[[#This Row],[Cde_Prdt]], tbl_Produits[Cde_Prdt], tbl_Produits[Coût Moyen Portion]), 0)</f>
        <v>0</v>
      </c>
      <c r="I608" s="7">
        <f>tbl_Ventes[[#This Row],[Qté Vendue]] * tbl_Ventes[[#This Row],[CMP_par_portion]]</f>
        <v>0</v>
      </c>
      <c r="J608" s="7">
        <f>tbl_Ventes[[#This Row],[CA ligne]] - tbl_Ventes[[#This Row],[Coût matière ligne]]</f>
        <v>0</v>
      </c>
      <c r="K608" s="7" t="str">
        <f>IFERROR(INDEX(tbl_ProduitsRef[Famille], MATCH(tbl_Ventes[[#This Row],[Cde_Prdt]], tbl_Produits[Cde_Prdt], 0)), "")</f>
        <v/>
      </c>
    </row>
    <row r="609" spans="1:11" x14ac:dyDescent="0.25">
      <c r="A609" s="5"/>
      <c r="B609" s="63" t="str">
        <f>IFERROR(TEXT(tbl_Ventes[[#This Row],[Date]],"mm-aaaa"),"")</f>
        <v>01-1900</v>
      </c>
      <c r="D609" s="10" t="str">
        <f>IFERROR(
   INDEX(tbl_ProduitsRef[Cde_Prdt],MATCH(tbl_Ventes[[#This Row],[Produit]],tbl_ProduitsRef[Produit],0)),
   ""
)</f>
        <v/>
      </c>
      <c r="E609" s="7">
        <v>0</v>
      </c>
      <c r="F609" s="7" t="str">
        <f>IFERROR(
   INDEX(tbl_ProduitsRef[Prix Menu],MATCH(tbl_Ventes[[#This Row],[Produit]],tbl_ProduitsRef[Produit],0)),
   ""
)</f>
        <v/>
      </c>
      <c r="G609" s="7">
        <f>tbl_Ventes[[#This Row],[Qté Vendue]] * IFERROR(_xlfn.XLOOKUP(tbl_Ventes[[#This Row],[Cde_Prdt]], tbl_Produits[Cde_Prdt], tbl_Produits[Prix Menu]), 0)</f>
        <v>0</v>
      </c>
      <c r="H609" s="7">
        <f>IFERROR(_xlfn.XLOOKUP(tbl_Ventes[[#This Row],[Cde_Prdt]], tbl_Produits[Cde_Prdt], tbl_Produits[Coût Moyen Portion]), 0)</f>
        <v>0</v>
      </c>
      <c r="I609" s="7">
        <f>tbl_Ventes[[#This Row],[Qté Vendue]] * tbl_Ventes[[#This Row],[CMP_par_portion]]</f>
        <v>0</v>
      </c>
      <c r="J609" s="7">
        <f>tbl_Ventes[[#This Row],[CA ligne]] - tbl_Ventes[[#This Row],[Coût matière ligne]]</f>
        <v>0</v>
      </c>
      <c r="K609" s="7" t="str">
        <f>IFERROR(INDEX(tbl_ProduitsRef[Famille], MATCH(tbl_Ventes[[#This Row],[Cde_Prdt]], tbl_Produits[Cde_Prdt], 0)), "")</f>
        <v/>
      </c>
    </row>
    <row r="610" spans="1:11" x14ac:dyDescent="0.25">
      <c r="A610" s="5"/>
      <c r="B610" s="63" t="str">
        <f>IFERROR(TEXT(tbl_Ventes[[#This Row],[Date]],"mm-aaaa"),"")</f>
        <v>01-1900</v>
      </c>
      <c r="D610" s="10" t="str">
        <f>IFERROR(
   INDEX(tbl_ProduitsRef[Cde_Prdt],MATCH(tbl_Ventes[[#This Row],[Produit]],tbl_ProduitsRef[Produit],0)),
   ""
)</f>
        <v/>
      </c>
      <c r="E610" s="7">
        <v>0</v>
      </c>
      <c r="F610" s="7" t="str">
        <f>IFERROR(
   INDEX(tbl_ProduitsRef[Prix Menu],MATCH(tbl_Ventes[[#This Row],[Produit]],tbl_ProduitsRef[Produit],0)),
   ""
)</f>
        <v/>
      </c>
      <c r="G610" s="7">
        <f>tbl_Ventes[[#This Row],[Qté Vendue]] * IFERROR(_xlfn.XLOOKUP(tbl_Ventes[[#This Row],[Cde_Prdt]], tbl_Produits[Cde_Prdt], tbl_Produits[Prix Menu]), 0)</f>
        <v>0</v>
      </c>
      <c r="H610" s="7">
        <f>IFERROR(_xlfn.XLOOKUP(tbl_Ventes[[#This Row],[Cde_Prdt]], tbl_Produits[Cde_Prdt], tbl_Produits[Coût Moyen Portion]), 0)</f>
        <v>0</v>
      </c>
      <c r="I610" s="7">
        <f>tbl_Ventes[[#This Row],[Qté Vendue]] * tbl_Ventes[[#This Row],[CMP_par_portion]]</f>
        <v>0</v>
      </c>
      <c r="J610" s="7">
        <f>tbl_Ventes[[#This Row],[CA ligne]] - tbl_Ventes[[#This Row],[Coût matière ligne]]</f>
        <v>0</v>
      </c>
      <c r="K610" s="7" t="str">
        <f>IFERROR(INDEX(tbl_ProduitsRef[Famille], MATCH(tbl_Ventes[[#This Row],[Cde_Prdt]], tbl_Produits[Cde_Prdt], 0)), "")</f>
        <v/>
      </c>
    </row>
    <row r="611" spans="1:11" x14ac:dyDescent="0.25">
      <c r="A611" s="5"/>
      <c r="B611" s="63" t="str">
        <f>IFERROR(TEXT(tbl_Ventes[[#This Row],[Date]],"mm-aaaa"),"")</f>
        <v>01-1900</v>
      </c>
      <c r="D611" s="10" t="str">
        <f>IFERROR(
   INDEX(tbl_ProduitsRef[Cde_Prdt],MATCH(tbl_Ventes[[#This Row],[Produit]],tbl_ProduitsRef[Produit],0)),
   ""
)</f>
        <v/>
      </c>
      <c r="E611" s="7">
        <v>0</v>
      </c>
      <c r="F611" s="7" t="str">
        <f>IFERROR(
   INDEX(tbl_ProduitsRef[Prix Menu],MATCH(tbl_Ventes[[#This Row],[Produit]],tbl_ProduitsRef[Produit],0)),
   ""
)</f>
        <v/>
      </c>
      <c r="G611" s="7">
        <f>tbl_Ventes[[#This Row],[Qté Vendue]] * IFERROR(_xlfn.XLOOKUP(tbl_Ventes[[#This Row],[Cde_Prdt]], tbl_Produits[Cde_Prdt], tbl_Produits[Prix Menu]), 0)</f>
        <v>0</v>
      </c>
      <c r="H611" s="7">
        <f>IFERROR(_xlfn.XLOOKUP(tbl_Ventes[[#This Row],[Cde_Prdt]], tbl_Produits[Cde_Prdt], tbl_Produits[Coût Moyen Portion]), 0)</f>
        <v>0</v>
      </c>
      <c r="I611" s="7">
        <f>tbl_Ventes[[#This Row],[Qté Vendue]] * tbl_Ventes[[#This Row],[CMP_par_portion]]</f>
        <v>0</v>
      </c>
      <c r="J611" s="7">
        <f>tbl_Ventes[[#This Row],[CA ligne]] - tbl_Ventes[[#This Row],[Coût matière ligne]]</f>
        <v>0</v>
      </c>
      <c r="K611" s="7" t="str">
        <f>IFERROR(INDEX(tbl_ProduitsRef[Famille], MATCH(tbl_Ventes[[#This Row],[Cde_Prdt]], tbl_Produits[Cde_Prdt], 0)), "")</f>
        <v/>
      </c>
    </row>
    <row r="612" spans="1:11" x14ac:dyDescent="0.25">
      <c r="A612" s="5"/>
      <c r="B612" s="63" t="str">
        <f>IFERROR(TEXT(tbl_Ventes[[#This Row],[Date]],"mm-aaaa"),"")</f>
        <v>01-1900</v>
      </c>
      <c r="D612" s="10" t="str">
        <f>IFERROR(
   INDEX(tbl_ProduitsRef[Cde_Prdt],MATCH(tbl_Ventes[[#This Row],[Produit]],tbl_ProduitsRef[Produit],0)),
   ""
)</f>
        <v/>
      </c>
      <c r="E612" s="7">
        <v>0</v>
      </c>
      <c r="F612" s="7" t="str">
        <f>IFERROR(
   INDEX(tbl_ProduitsRef[Prix Menu],MATCH(tbl_Ventes[[#This Row],[Produit]],tbl_ProduitsRef[Produit],0)),
   ""
)</f>
        <v/>
      </c>
      <c r="G612" s="7">
        <f>tbl_Ventes[[#This Row],[Qté Vendue]] * IFERROR(_xlfn.XLOOKUP(tbl_Ventes[[#This Row],[Cde_Prdt]], tbl_Produits[Cde_Prdt], tbl_Produits[Prix Menu]), 0)</f>
        <v>0</v>
      </c>
      <c r="H612" s="7">
        <f>IFERROR(_xlfn.XLOOKUP(tbl_Ventes[[#This Row],[Cde_Prdt]], tbl_Produits[Cde_Prdt], tbl_Produits[Coût Moyen Portion]), 0)</f>
        <v>0</v>
      </c>
      <c r="I612" s="7">
        <f>tbl_Ventes[[#This Row],[Qté Vendue]] * tbl_Ventes[[#This Row],[CMP_par_portion]]</f>
        <v>0</v>
      </c>
      <c r="J612" s="7">
        <f>tbl_Ventes[[#This Row],[CA ligne]] - tbl_Ventes[[#This Row],[Coût matière ligne]]</f>
        <v>0</v>
      </c>
      <c r="K612" s="7" t="str">
        <f>IFERROR(INDEX(tbl_ProduitsRef[Famille], MATCH(tbl_Ventes[[#This Row],[Cde_Prdt]], tbl_Produits[Cde_Prdt], 0)), "")</f>
        <v/>
      </c>
    </row>
    <row r="613" spans="1:11" x14ac:dyDescent="0.25">
      <c r="A613" s="5"/>
      <c r="B613" s="63" t="str">
        <f>IFERROR(TEXT(tbl_Ventes[[#This Row],[Date]],"mm-aaaa"),"")</f>
        <v>01-1900</v>
      </c>
      <c r="D613" s="10" t="str">
        <f>IFERROR(
   INDEX(tbl_ProduitsRef[Cde_Prdt],MATCH(tbl_Ventes[[#This Row],[Produit]],tbl_ProduitsRef[Produit],0)),
   ""
)</f>
        <v/>
      </c>
      <c r="E613" s="7">
        <v>0</v>
      </c>
      <c r="F613" s="7" t="str">
        <f>IFERROR(
   INDEX(tbl_ProduitsRef[Prix Menu],MATCH(tbl_Ventes[[#This Row],[Produit]],tbl_ProduitsRef[Produit],0)),
   ""
)</f>
        <v/>
      </c>
      <c r="G613" s="7">
        <f>tbl_Ventes[[#This Row],[Qté Vendue]] * IFERROR(_xlfn.XLOOKUP(tbl_Ventes[[#This Row],[Cde_Prdt]], tbl_Produits[Cde_Prdt], tbl_Produits[Prix Menu]), 0)</f>
        <v>0</v>
      </c>
      <c r="H613" s="7">
        <f>IFERROR(_xlfn.XLOOKUP(tbl_Ventes[[#This Row],[Cde_Prdt]], tbl_Produits[Cde_Prdt], tbl_Produits[Coût Moyen Portion]), 0)</f>
        <v>0</v>
      </c>
      <c r="I613" s="7">
        <f>tbl_Ventes[[#This Row],[Qté Vendue]] * tbl_Ventes[[#This Row],[CMP_par_portion]]</f>
        <v>0</v>
      </c>
      <c r="J613" s="7">
        <f>tbl_Ventes[[#This Row],[CA ligne]] - tbl_Ventes[[#This Row],[Coût matière ligne]]</f>
        <v>0</v>
      </c>
      <c r="K613" s="7" t="str">
        <f>IFERROR(INDEX(tbl_ProduitsRef[Famille], MATCH(tbl_Ventes[[#This Row],[Cde_Prdt]], tbl_Produits[Cde_Prdt], 0)), "")</f>
        <v/>
      </c>
    </row>
    <row r="614" spans="1:11" x14ac:dyDescent="0.25">
      <c r="A614" s="5"/>
      <c r="B614" s="63" t="str">
        <f>IFERROR(TEXT(tbl_Ventes[[#This Row],[Date]],"mm-aaaa"),"")</f>
        <v>01-1900</v>
      </c>
      <c r="D614" s="10" t="str">
        <f>IFERROR(
   INDEX(tbl_ProduitsRef[Cde_Prdt],MATCH(tbl_Ventes[[#This Row],[Produit]],tbl_ProduitsRef[Produit],0)),
   ""
)</f>
        <v/>
      </c>
      <c r="E614" s="7">
        <v>0</v>
      </c>
      <c r="F614" s="7" t="str">
        <f>IFERROR(
   INDEX(tbl_ProduitsRef[Prix Menu],MATCH(tbl_Ventes[[#This Row],[Produit]],tbl_ProduitsRef[Produit],0)),
   ""
)</f>
        <v/>
      </c>
      <c r="G614" s="7">
        <f>tbl_Ventes[[#This Row],[Qté Vendue]] * IFERROR(_xlfn.XLOOKUP(tbl_Ventes[[#This Row],[Cde_Prdt]], tbl_Produits[Cde_Prdt], tbl_Produits[Prix Menu]), 0)</f>
        <v>0</v>
      </c>
      <c r="H614" s="7">
        <f>IFERROR(_xlfn.XLOOKUP(tbl_Ventes[[#This Row],[Cde_Prdt]], tbl_Produits[Cde_Prdt], tbl_Produits[Coût Moyen Portion]), 0)</f>
        <v>0</v>
      </c>
      <c r="I614" s="7">
        <f>tbl_Ventes[[#This Row],[Qté Vendue]] * tbl_Ventes[[#This Row],[CMP_par_portion]]</f>
        <v>0</v>
      </c>
      <c r="J614" s="7">
        <f>tbl_Ventes[[#This Row],[CA ligne]] - tbl_Ventes[[#This Row],[Coût matière ligne]]</f>
        <v>0</v>
      </c>
      <c r="K614" s="7" t="str">
        <f>IFERROR(INDEX(tbl_ProduitsRef[Famille], MATCH(tbl_Ventes[[#This Row],[Cde_Prdt]], tbl_Produits[Cde_Prdt], 0)), "")</f>
        <v/>
      </c>
    </row>
    <row r="615" spans="1:11" x14ac:dyDescent="0.25">
      <c r="A615" s="5"/>
      <c r="B615" s="63" t="str">
        <f>IFERROR(TEXT(tbl_Ventes[[#This Row],[Date]],"mm-aaaa"),"")</f>
        <v>01-1900</v>
      </c>
      <c r="D615" s="10" t="str">
        <f>IFERROR(
   INDEX(tbl_ProduitsRef[Cde_Prdt],MATCH(tbl_Ventes[[#This Row],[Produit]],tbl_ProduitsRef[Produit],0)),
   ""
)</f>
        <v/>
      </c>
      <c r="E615" s="7">
        <v>0</v>
      </c>
      <c r="F615" s="7" t="str">
        <f>IFERROR(
   INDEX(tbl_ProduitsRef[Prix Menu],MATCH(tbl_Ventes[[#This Row],[Produit]],tbl_ProduitsRef[Produit],0)),
   ""
)</f>
        <v/>
      </c>
      <c r="G615" s="7">
        <f>tbl_Ventes[[#This Row],[Qté Vendue]] * IFERROR(_xlfn.XLOOKUP(tbl_Ventes[[#This Row],[Cde_Prdt]], tbl_Produits[Cde_Prdt], tbl_Produits[Prix Menu]), 0)</f>
        <v>0</v>
      </c>
      <c r="H615" s="7">
        <f>IFERROR(_xlfn.XLOOKUP(tbl_Ventes[[#This Row],[Cde_Prdt]], tbl_Produits[Cde_Prdt], tbl_Produits[Coût Moyen Portion]), 0)</f>
        <v>0</v>
      </c>
      <c r="I615" s="7">
        <f>tbl_Ventes[[#This Row],[Qté Vendue]] * tbl_Ventes[[#This Row],[CMP_par_portion]]</f>
        <v>0</v>
      </c>
      <c r="J615" s="7">
        <f>tbl_Ventes[[#This Row],[CA ligne]] - tbl_Ventes[[#This Row],[Coût matière ligne]]</f>
        <v>0</v>
      </c>
      <c r="K615" s="7" t="str">
        <f>IFERROR(INDEX(tbl_ProduitsRef[Famille], MATCH(tbl_Ventes[[#This Row],[Cde_Prdt]], tbl_Produits[Cde_Prdt], 0)), "")</f>
        <v/>
      </c>
    </row>
    <row r="616" spans="1:11" x14ac:dyDescent="0.25">
      <c r="A616" s="5"/>
      <c r="B616" s="63" t="str">
        <f>IFERROR(TEXT(tbl_Ventes[[#This Row],[Date]],"mm-aaaa"),"")</f>
        <v>01-1900</v>
      </c>
      <c r="D616" s="10" t="str">
        <f>IFERROR(
   INDEX(tbl_ProduitsRef[Cde_Prdt],MATCH(tbl_Ventes[[#This Row],[Produit]],tbl_ProduitsRef[Produit],0)),
   ""
)</f>
        <v/>
      </c>
      <c r="E616" s="7">
        <v>0</v>
      </c>
      <c r="F616" s="7" t="str">
        <f>IFERROR(
   INDEX(tbl_ProduitsRef[Prix Menu],MATCH(tbl_Ventes[[#This Row],[Produit]],tbl_ProduitsRef[Produit],0)),
   ""
)</f>
        <v/>
      </c>
      <c r="G616" s="7">
        <f>tbl_Ventes[[#This Row],[Qté Vendue]] * IFERROR(_xlfn.XLOOKUP(tbl_Ventes[[#This Row],[Cde_Prdt]], tbl_Produits[Cde_Prdt], tbl_Produits[Prix Menu]), 0)</f>
        <v>0</v>
      </c>
      <c r="H616" s="7">
        <f>IFERROR(_xlfn.XLOOKUP(tbl_Ventes[[#This Row],[Cde_Prdt]], tbl_Produits[Cde_Prdt], tbl_Produits[Coût Moyen Portion]), 0)</f>
        <v>0</v>
      </c>
      <c r="I616" s="7">
        <f>tbl_Ventes[[#This Row],[Qté Vendue]] * tbl_Ventes[[#This Row],[CMP_par_portion]]</f>
        <v>0</v>
      </c>
      <c r="J616" s="7">
        <f>tbl_Ventes[[#This Row],[CA ligne]] - tbl_Ventes[[#This Row],[Coût matière ligne]]</f>
        <v>0</v>
      </c>
      <c r="K616" s="7" t="str">
        <f>IFERROR(INDEX(tbl_ProduitsRef[Famille], MATCH(tbl_Ventes[[#This Row],[Cde_Prdt]], tbl_Produits[Cde_Prdt], 0)), "")</f>
        <v/>
      </c>
    </row>
    <row r="617" spans="1:11" x14ac:dyDescent="0.25">
      <c r="A617" s="5"/>
      <c r="B617" s="63" t="str">
        <f>IFERROR(TEXT(tbl_Ventes[[#This Row],[Date]],"mm-aaaa"),"")</f>
        <v>01-1900</v>
      </c>
      <c r="D617" s="10" t="str">
        <f>IFERROR(
   INDEX(tbl_ProduitsRef[Cde_Prdt],MATCH(tbl_Ventes[[#This Row],[Produit]],tbl_ProduitsRef[Produit],0)),
   ""
)</f>
        <v/>
      </c>
      <c r="E617" s="7">
        <v>0</v>
      </c>
      <c r="F617" s="7" t="str">
        <f>IFERROR(
   INDEX(tbl_ProduitsRef[Prix Menu],MATCH(tbl_Ventes[[#This Row],[Produit]],tbl_ProduitsRef[Produit],0)),
   ""
)</f>
        <v/>
      </c>
      <c r="G617" s="7">
        <f>tbl_Ventes[[#This Row],[Qté Vendue]] * IFERROR(_xlfn.XLOOKUP(tbl_Ventes[[#This Row],[Cde_Prdt]], tbl_Produits[Cde_Prdt], tbl_Produits[Prix Menu]), 0)</f>
        <v>0</v>
      </c>
      <c r="H617" s="7">
        <f>IFERROR(_xlfn.XLOOKUP(tbl_Ventes[[#This Row],[Cde_Prdt]], tbl_Produits[Cde_Prdt], tbl_Produits[Coût Moyen Portion]), 0)</f>
        <v>0</v>
      </c>
      <c r="I617" s="7">
        <f>tbl_Ventes[[#This Row],[Qté Vendue]] * tbl_Ventes[[#This Row],[CMP_par_portion]]</f>
        <v>0</v>
      </c>
      <c r="J617" s="7">
        <f>tbl_Ventes[[#This Row],[CA ligne]] - tbl_Ventes[[#This Row],[Coût matière ligne]]</f>
        <v>0</v>
      </c>
      <c r="K617" s="7" t="str">
        <f>IFERROR(INDEX(tbl_ProduitsRef[Famille], MATCH(tbl_Ventes[[#This Row],[Cde_Prdt]], tbl_Produits[Cde_Prdt], 0)), "")</f>
        <v/>
      </c>
    </row>
    <row r="618" spans="1:11" x14ac:dyDescent="0.25">
      <c r="A618" s="5"/>
      <c r="B618" s="63" t="str">
        <f>IFERROR(TEXT(tbl_Ventes[[#This Row],[Date]],"mm-aaaa"),"")</f>
        <v>01-1900</v>
      </c>
      <c r="D618" s="10" t="str">
        <f>IFERROR(
   INDEX(tbl_ProduitsRef[Cde_Prdt],MATCH(tbl_Ventes[[#This Row],[Produit]],tbl_ProduitsRef[Produit],0)),
   ""
)</f>
        <v/>
      </c>
      <c r="E618" s="7">
        <v>0</v>
      </c>
      <c r="F618" s="7" t="str">
        <f>IFERROR(
   INDEX(tbl_ProduitsRef[Prix Menu],MATCH(tbl_Ventes[[#This Row],[Produit]],tbl_ProduitsRef[Produit],0)),
   ""
)</f>
        <v/>
      </c>
      <c r="G618" s="7">
        <f>tbl_Ventes[[#This Row],[Qté Vendue]] * IFERROR(_xlfn.XLOOKUP(tbl_Ventes[[#This Row],[Cde_Prdt]], tbl_Produits[Cde_Prdt], tbl_Produits[Prix Menu]), 0)</f>
        <v>0</v>
      </c>
      <c r="H618" s="7">
        <f>IFERROR(_xlfn.XLOOKUP(tbl_Ventes[[#This Row],[Cde_Prdt]], tbl_Produits[Cde_Prdt], tbl_Produits[Coût Moyen Portion]), 0)</f>
        <v>0</v>
      </c>
      <c r="I618" s="7">
        <f>tbl_Ventes[[#This Row],[Qté Vendue]] * tbl_Ventes[[#This Row],[CMP_par_portion]]</f>
        <v>0</v>
      </c>
      <c r="J618" s="7">
        <f>tbl_Ventes[[#This Row],[CA ligne]] - tbl_Ventes[[#This Row],[Coût matière ligne]]</f>
        <v>0</v>
      </c>
      <c r="K618" s="7" t="str">
        <f>IFERROR(INDEX(tbl_ProduitsRef[Famille], MATCH(tbl_Ventes[[#This Row],[Cde_Prdt]], tbl_Produits[Cde_Prdt], 0)), "")</f>
        <v/>
      </c>
    </row>
    <row r="619" spans="1:11" x14ac:dyDescent="0.25">
      <c r="A619" s="5"/>
      <c r="B619" s="63" t="str">
        <f>IFERROR(TEXT(tbl_Ventes[[#This Row],[Date]],"mm-aaaa"),"")</f>
        <v>01-1900</v>
      </c>
      <c r="D619" s="10" t="str">
        <f>IFERROR(
   INDEX(tbl_ProduitsRef[Cde_Prdt],MATCH(tbl_Ventes[[#This Row],[Produit]],tbl_ProduitsRef[Produit],0)),
   ""
)</f>
        <v/>
      </c>
      <c r="E619" s="7">
        <v>0</v>
      </c>
      <c r="F619" s="7" t="str">
        <f>IFERROR(
   INDEX(tbl_ProduitsRef[Prix Menu],MATCH(tbl_Ventes[[#This Row],[Produit]],tbl_ProduitsRef[Produit],0)),
   ""
)</f>
        <v/>
      </c>
      <c r="G619" s="7">
        <f>tbl_Ventes[[#This Row],[Qté Vendue]] * IFERROR(_xlfn.XLOOKUP(tbl_Ventes[[#This Row],[Cde_Prdt]], tbl_Produits[Cde_Prdt], tbl_Produits[Prix Menu]), 0)</f>
        <v>0</v>
      </c>
      <c r="H619" s="7">
        <f>IFERROR(_xlfn.XLOOKUP(tbl_Ventes[[#This Row],[Cde_Prdt]], tbl_Produits[Cde_Prdt], tbl_Produits[Coût Moyen Portion]), 0)</f>
        <v>0</v>
      </c>
      <c r="I619" s="7">
        <f>tbl_Ventes[[#This Row],[Qté Vendue]] * tbl_Ventes[[#This Row],[CMP_par_portion]]</f>
        <v>0</v>
      </c>
      <c r="J619" s="7">
        <f>tbl_Ventes[[#This Row],[CA ligne]] - tbl_Ventes[[#This Row],[Coût matière ligne]]</f>
        <v>0</v>
      </c>
      <c r="K619" s="7" t="str">
        <f>IFERROR(INDEX(tbl_ProduitsRef[Famille], MATCH(tbl_Ventes[[#This Row],[Cde_Prdt]], tbl_Produits[Cde_Prdt], 0)), "")</f>
        <v/>
      </c>
    </row>
    <row r="620" spans="1:11" x14ac:dyDescent="0.25">
      <c r="A620" s="5"/>
      <c r="B620" s="63" t="str">
        <f>IFERROR(TEXT(tbl_Ventes[[#This Row],[Date]],"mm-aaaa"),"")</f>
        <v>01-1900</v>
      </c>
      <c r="D620" s="10" t="str">
        <f>IFERROR(
   INDEX(tbl_ProduitsRef[Cde_Prdt],MATCH(tbl_Ventes[[#This Row],[Produit]],tbl_ProduitsRef[Produit],0)),
   ""
)</f>
        <v/>
      </c>
      <c r="E620" s="7">
        <v>0</v>
      </c>
      <c r="F620" s="7" t="str">
        <f>IFERROR(
   INDEX(tbl_ProduitsRef[Prix Menu],MATCH(tbl_Ventes[[#This Row],[Produit]],tbl_ProduitsRef[Produit],0)),
   ""
)</f>
        <v/>
      </c>
      <c r="G620" s="7">
        <f>tbl_Ventes[[#This Row],[Qté Vendue]] * IFERROR(_xlfn.XLOOKUP(tbl_Ventes[[#This Row],[Cde_Prdt]], tbl_Produits[Cde_Prdt], tbl_Produits[Prix Menu]), 0)</f>
        <v>0</v>
      </c>
      <c r="H620" s="7">
        <f>IFERROR(_xlfn.XLOOKUP(tbl_Ventes[[#This Row],[Cde_Prdt]], tbl_Produits[Cde_Prdt], tbl_Produits[Coût Moyen Portion]), 0)</f>
        <v>0</v>
      </c>
      <c r="I620" s="7">
        <f>tbl_Ventes[[#This Row],[Qté Vendue]] * tbl_Ventes[[#This Row],[CMP_par_portion]]</f>
        <v>0</v>
      </c>
      <c r="J620" s="7">
        <f>tbl_Ventes[[#This Row],[CA ligne]] - tbl_Ventes[[#This Row],[Coût matière ligne]]</f>
        <v>0</v>
      </c>
      <c r="K620" s="7" t="str">
        <f>IFERROR(INDEX(tbl_ProduitsRef[Famille], MATCH(tbl_Ventes[[#This Row],[Cde_Prdt]], tbl_Produits[Cde_Prdt], 0)), "")</f>
        <v/>
      </c>
    </row>
    <row r="621" spans="1:11" x14ac:dyDescent="0.25">
      <c r="A621" s="5"/>
      <c r="B621" s="63" t="str">
        <f>IFERROR(TEXT(tbl_Ventes[[#This Row],[Date]],"mm-aaaa"),"")</f>
        <v>01-1900</v>
      </c>
      <c r="D621" s="10" t="str">
        <f>IFERROR(
   INDEX(tbl_ProduitsRef[Cde_Prdt],MATCH(tbl_Ventes[[#This Row],[Produit]],tbl_ProduitsRef[Produit],0)),
   ""
)</f>
        <v/>
      </c>
      <c r="E621" s="7">
        <v>0</v>
      </c>
      <c r="F621" s="7" t="str">
        <f>IFERROR(
   INDEX(tbl_ProduitsRef[Prix Menu],MATCH(tbl_Ventes[[#This Row],[Produit]],tbl_ProduitsRef[Produit],0)),
   ""
)</f>
        <v/>
      </c>
      <c r="G621" s="7">
        <f>tbl_Ventes[[#This Row],[Qté Vendue]] * IFERROR(_xlfn.XLOOKUP(tbl_Ventes[[#This Row],[Cde_Prdt]], tbl_Produits[Cde_Prdt], tbl_Produits[Prix Menu]), 0)</f>
        <v>0</v>
      </c>
      <c r="H621" s="7">
        <f>IFERROR(_xlfn.XLOOKUP(tbl_Ventes[[#This Row],[Cde_Prdt]], tbl_Produits[Cde_Prdt], tbl_Produits[Coût Moyen Portion]), 0)</f>
        <v>0</v>
      </c>
      <c r="I621" s="7">
        <f>tbl_Ventes[[#This Row],[Qté Vendue]] * tbl_Ventes[[#This Row],[CMP_par_portion]]</f>
        <v>0</v>
      </c>
      <c r="J621" s="7">
        <f>tbl_Ventes[[#This Row],[CA ligne]] - tbl_Ventes[[#This Row],[Coût matière ligne]]</f>
        <v>0</v>
      </c>
      <c r="K621" s="7" t="str">
        <f>IFERROR(INDEX(tbl_ProduitsRef[Famille], MATCH(tbl_Ventes[[#This Row],[Cde_Prdt]], tbl_Produits[Cde_Prdt], 0)), "")</f>
        <v/>
      </c>
    </row>
    <row r="622" spans="1:11" x14ac:dyDescent="0.25">
      <c r="A622" s="5"/>
      <c r="B622" s="63" t="str">
        <f>IFERROR(TEXT(tbl_Ventes[[#This Row],[Date]],"mm-aaaa"),"")</f>
        <v>01-1900</v>
      </c>
      <c r="D622" s="10" t="str">
        <f>IFERROR(
   INDEX(tbl_ProduitsRef[Cde_Prdt],MATCH(tbl_Ventes[[#This Row],[Produit]],tbl_ProduitsRef[Produit],0)),
   ""
)</f>
        <v/>
      </c>
      <c r="E622" s="7">
        <v>0</v>
      </c>
      <c r="F622" s="7" t="str">
        <f>IFERROR(
   INDEX(tbl_ProduitsRef[Prix Menu],MATCH(tbl_Ventes[[#This Row],[Produit]],tbl_ProduitsRef[Produit],0)),
   ""
)</f>
        <v/>
      </c>
      <c r="G622" s="7">
        <f>tbl_Ventes[[#This Row],[Qté Vendue]] * IFERROR(_xlfn.XLOOKUP(tbl_Ventes[[#This Row],[Cde_Prdt]], tbl_Produits[Cde_Prdt], tbl_Produits[Prix Menu]), 0)</f>
        <v>0</v>
      </c>
      <c r="H622" s="7">
        <f>IFERROR(_xlfn.XLOOKUP(tbl_Ventes[[#This Row],[Cde_Prdt]], tbl_Produits[Cde_Prdt], tbl_Produits[Coût Moyen Portion]), 0)</f>
        <v>0</v>
      </c>
      <c r="I622" s="7">
        <f>tbl_Ventes[[#This Row],[Qté Vendue]] * tbl_Ventes[[#This Row],[CMP_par_portion]]</f>
        <v>0</v>
      </c>
      <c r="J622" s="7">
        <f>tbl_Ventes[[#This Row],[CA ligne]] - tbl_Ventes[[#This Row],[Coût matière ligne]]</f>
        <v>0</v>
      </c>
      <c r="K622" s="7" t="str">
        <f>IFERROR(INDEX(tbl_ProduitsRef[Famille], MATCH(tbl_Ventes[[#This Row],[Cde_Prdt]], tbl_Produits[Cde_Prdt], 0)), "")</f>
        <v/>
      </c>
    </row>
    <row r="623" spans="1:11" x14ac:dyDescent="0.25">
      <c r="A623" s="5"/>
      <c r="B623" s="63" t="str">
        <f>IFERROR(TEXT(tbl_Ventes[[#This Row],[Date]],"mm-aaaa"),"")</f>
        <v>01-1900</v>
      </c>
      <c r="D623" s="10" t="str">
        <f>IFERROR(
   INDEX(tbl_ProduitsRef[Cde_Prdt],MATCH(tbl_Ventes[[#This Row],[Produit]],tbl_ProduitsRef[Produit],0)),
   ""
)</f>
        <v/>
      </c>
      <c r="E623" s="7">
        <v>0</v>
      </c>
      <c r="F623" s="7" t="str">
        <f>IFERROR(
   INDEX(tbl_ProduitsRef[Prix Menu],MATCH(tbl_Ventes[[#This Row],[Produit]],tbl_ProduitsRef[Produit],0)),
   ""
)</f>
        <v/>
      </c>
      <c r="G623" s="7">
        <f>tbl_Ventes[[#This Row],[Qté Vendue]] * IFERROR(_xlfn.XLOOKUP(tbl_Ventes[[#This Row],[Cde_Prdt]], tbl_Produits[Cde_Prdt], tbl_Produits[Prix Menu]), 0)</f>
        <v>0</v>
      </c>
      <c r="H623" s="7">
        <f>IFERROR(_xlfn.XLOOKUP(tbl_Ventes[[#This Row],[Cde_Prdt]], tbl_Produits[Cde_Prdt], tbl_Produits[Coût Moyen Portion]), 0)</f>
        <v>0</v>
      </c>
      <c r="I623" s="7">
        <f>tbl_Ventes[[#This Row],[Qté Vendue]] * tbl_Ventes[[#This Row],[CMP_par_portion]]</f>
        <v>0</v>
      </c>
      <c r="J623" s="7">
        <f>tbl_Ventes[[#This Row],[CA ligne]] - tbl_Ventes[[#This Row],[Coût matière ligne]]</f>
        <v>0</v>
      </c>
      <c r="K623" s="7" t="str">
        <f>IFERROR(INDEX(tbl_ProduitsRef[Famille], MATCH(tbl_Ventes[[#This Row],[Cde_Prdt]], tbl_Produits[Cde_Prdt], 0)), "")</f>
        <v/>
      </c>
    </row>
    <row r="624" spans="1:11" x14ac:dyDescent="0.25">
      <c r="A624" s="5"/>
      <c r="B624" s="63" t="str">
        <f>IFERROR(TEXT(tbl_Ventes[[#This Row],[Date]],"mm-aaaa"),"")</f>
        <v>01-1900</v>
      </c>
      <c r="D624" s="10" t="str">
        <f>IFERROR(
   INDEX(tbl_ProduitsRef[Cde_Prdt],MATCH(tbl_Ventes[[#This Row],[Produit]],tbl_ProduitsRef[Produit],0)),
   ""
)</f>
        <v/>
      </c>
      <c r="E624" s="7">
        <v>0</v>
      </c>
      <c r="F624" s="7" t="str">
        <f>IFERROR(
   INDEX(tbl_ProduitsRef[Prix Menu],MATCH(tbl_Ventes[[#This Row],[Produit]],tbl_ProduitsRef[Produit],0)),
   ""
)</f>
        <v/>
      </c>
      <c r="G624" s="7">
        <f>tbl_Ventes[[#This Row],[Qté Vendue]] * IFERROR(_xlfn.XLOOKUP(tbl_Ventes[[#This Row],[Cde_Prdt]], tbl_Produits[Cde_Prdt], tbl_Produits[Prix Menu]), 0)</f>
        <v>0</v>
      </c>
      <c r="H624" s="7">
        <f>IFERROR(_xlfn.XLOOKUP(tbl_Ventes[[#This Row],[Cde_Prdt]], tbl_Produits[Cde_Prdt], tbl_Produits[Coût Moyen Portion]), 0)</f>
        <v>0</v>
      </c>
      <c r="I624" s="7">
        <f>tbl_Ventes[[#This Row],[Qté Vendue]] * tbl_Ventes[[#This Row],[CMP_par_portion]]</f>
        <v>0</v>
      </c>
      <c r="J624" s="7">
        <f>tbl_Ventes[[#This Row],[CA ligne]] - tbl_Ventes[[#This Row],[Coût matière ligne]]</f>
        <v>0</v>
      </c>
      <c r="K624" s="7" t="str">
        <f>IFERROR(INDEX(tbl_ProduitsRef[Famille], MATCH(tbl_Ventes[[#This Row],[Cde_Prdt]], tbl_Produits[Cde_Prdt], 0)), "")</f>
        <v/>
      </c>
    </row>
    <row r="625" spans="1:11" x14ac:dyDescent="0.25">
      <c r="A625" s="5"/>
      <c r="B625" s="63" t="str">
        <f>IFERROR(TEXT(tbl_Ventes[[#This Row],[Date]],"mm-aaaa"),"")</f>
        <v>01-1900</v>
      </c>
      <c r="D625" s="10" t="str">
        <f>IFERROR(
   INDEX(tbl_ProduitsRef[Cde_Prdt],MATCH(tbl_Ventes[[#This Row],[Produit]],tbl_ProduitsRef[Produit],0)),
   ""
)</f>
        <v/>
      </c>
      <c r="E625" s="7">
        <v>0</v>
      </c>
      <c r="F625" s="7" t="str">
        <f>IFERROR(
   INDEX(tbl_ProduitsRef[Prix Menu],MATCH(tbl_Ventes[[#This Row],[Produit]],tbl_ProduitsRef[Produit],0)),
   ""
)</f>
        <v/>
      </c>
      <c r="G625" s="7">
        <f>tbl_Ventes[[#This Row],[Qté Vendue]] * IFERROR(_xlfn.XLOOKUP(tbl_Ventes[[#This Row],[Cde_Prdt]], tbl_Produits[Cde_Prdt], tbl_Produits[Prix Menu]), 0)</f>
        <v>0</v>
      </c>
      <c r="H625" s="7">
        <f>IFERROR(_xlfn.XLOOKUP(tbl_Ventes[[#This Row],[Cde_Prdt]], tbl_Produits[Cde_Prdt], tbl_Produits[Coût Moyen Portion]), 0)</f>
        <v>0</v>
      </c>
      <c r="I625" s="7">
        <f>tbl_Ventes[[#This Row],[Qté Vendue]] * tbl_Ventes[[#This Row],[CMP_par_portion]]</f>
        <v>0</v>
      </c>
      <c r="J625" s="7">
        <f>tbl_Ventes[[#This Row],[CA ligne]] - tbl_Ventes[[#This Row],[Coût matière ligne]]</f>
        <v>0</v>
      </c>
      <c r="K625" s="7" t="str">
        <f>IFERROR(INDEX(tbl_ProduitsRef[Famille], MATCH(tbl_Ventes[[#This Row],[Cde_Prdt]], tbl_Produits[Cde_Prdt], 0)), "")</f>
        <v/>
      </c>
    </row>
    <row r="626" spans="1:11" x14ac:dyDescent="0.25">
      <c r="A626" s="5"/>
      <c r="B626" s="63" t="str">
        <f>IFERROR(TEXT(tbl_Ventes[[#This Row],[Date]],"mm-aaaa"),"")</f>
        <v>01-1900</v>
      </c>
      <c r="D626" s="10" t="str">
        <f>IFERROR(
   INDEX(tbl_ProduitsRef[Cde_Prdt],MATCH(tbl_Ventes[[#This Row],[Produit]],tbl_ProduitsRef[Produit],0)),
   ""
)</f>
        <v/>
      </c>
      <c r="E626" s="7">
        <v>0</v>
      </c>
      <c r="F626" s="7" t="str">
        <f>IFERROR(
   INDEX(tbl_ProduitsRef[Prix Menu],MATCH(tbl_Ventes[[#This Row],[Produit]],tbl_ProduitsRef[Produit],0)),
   ""
)</f>
        <v/>
      </c>
      <c r="G626" s="7">
        <f>tbl_Ventes[[#This Row],[Qté Vendue]] * IFERROR(_xlfn.XLOOKUP(tbl_Ventes[[#This Row],[Cde_Prdt]], tbl_Produits[Cde_Prdt], tbl_Produits[Prix Menu]), 0)</f>
        <v>0</v>
      </c>
      <c r="H626" s="7">
        <f>IFERROR(_xlfn.XLOOKUP(tbl_Ventes[[#This Row],[Cde_Prdt]], tbl_Produits[Cde_Prdt], tbl_Produits[Coût Moyen Portion]), 0)</f>
        <v>0</v>
      </c>
      <c r="I626" s="7">
        <f>tbl_Ventes[[#This Row],[Qté Vendue]] * tbl_Ventes[[#This Row],[CMP_par_portion]]</f>
        <v>0</v>
      </c>
      <c r="J626" s="7">
        <f>tbl_Ventes[[#This Row],[CA ligne]] - tbl_Ventes[[#This Row],[Coût matière ligne]]</f>
        <v>0</v>
      </c>
      <c r="K626" s="7" t="str">
        <f>IFERROR(INDEX(tbl_ProduitsRef[Famille], MATCH(tbl_Ventes[[#This Row],[Cde_Prdt]], tbl_Produits[Cde_Prdt], 0)), "")</f>
        <v/>
      </c>
    </row>
    <row r="627" spans="1:11" x14ac:dyDescent="0.25">
      <c r="A627" s="5"/>
      <c r="B627" s="63" t="str">
        <f>IFERROR(TEXT(tbl_Ventes[[#This Row],[Date]],"mm-aaaa"),"")</f>
        <v>01-1900</v>
      </c>
      <c r="D627" s="10" t="str">
        <f>IFERROR(
   INDEX(tbl_ProduitsRef[Cde_Prdt],MATCH(tbl_Ventes[[#This Row],[Produit]],tbl_ProduitsRef[Produit],0)),
   ""
)</f>
        <v/>
      </c>
      <c r="E627" s="7">
        <v>0</v>
      </c>
      <c r="F627" s="7" t="str">
        <f>IFERROR(
   INDEX(tbl_ProduitsRef[Prix Menu],MATCH(tbl_Ventes[[#This Row],[Produit]],tbl_ProduitsRef[Produit],0)),
   ""
)</f>
        <v/>
      </c>
      <c r="G627" s="7">
        <f>tbl_Ventes[[#This Row],[Qté Vendue]] * IFERROR(_xlfn.XLOOKUP(tbl_Ventes[[#This Row],[Cde_Prdt]], tbl_Produits[Cde_Prdt], tbl_Produits[Prix Menu]), 0)</f>
        <v>0</v>
      </c>
      <c r="H627" s="7">
        <f>IFERROR(_xlfn.XLOOKUP(tbl_Ventes[[#This Row],[Cde_Prdt]], tbl_Produits[Cde_Prdt], tbl_Produits[Coût Moyen Portion]), 0)</f>
        <v>0</v>
      </c>
      <c r="I627" s="7">
        <f>tbl_Ventes[[#This Row],[Qté Vendue]] * tbl_Ventes[[#This Row],[CMP_par_portion]]</f>
        <v>0</v>
      </c>
      <c r="J627" s="7">
        <f>tbl_Ventes[[#This Row],[CA ligne]] - tbl_Ventes[[#This Row],[Coût matière ligne]]</f>
        <v>0</v>
      </c>
      <c r="K627" s="7" t="str">
        <f>IFERROR(INDEX(tbl_ProduitsRef[Famille], MATCH(tbl_Ventes[[#This Row],[Cde_Prdt]], tbl_Produits[Cde_Prdt], 0)), "")</f>
        <v/>
      </c>
    </row>
    <row r="628" spans="1:11" x14ac:dyDescent="0.25">
      <c r="A628" s="5"/>
      <c r="B628" s="63" t="str">
        <f>IFERROR(TEXT(tbl_Ventes[[#This Row],[Date]],"mm-aaaa"),"")</f>
        <v>01-1900</v>
      </c>
      <c r="D628" s="10" t="str">
        <f>IFERROR(
   INDEX(tbl_ProduitsRef[Cde_Prdt],MATCH(tbl_Ventes[[#This Row],[Produit]],tbl_ProduitsRef[Produit],0)),
   ""
)</f>
        <v/>
      </c>
      <c r="E628" s="7">
        <v>0</v>
      </c>
      <c r="F628" s="7" t="str">
        <f>IFERROR(
   INDEX(tbl_ProduitsRef[Prix Menu],MATCH(tbl_Ventes[[#This Row],[Produit]],tbl_ProduitsRef[Produit],0)),
   ""
)</f>
        <v/>
      </c>
      <c r="G628" s="7">
        <f>tbl_Ventes[[#This Row],[Qté Vendue]] * IFERROR(_xlfn.XLOOKUP(tbl_Ventes[[#This Row],[Cde_Prdt]], tbl_Produits[Cde_Prdt], tbl_Produits[Prix Menu]), 0)</f>
        <v>0</v>
      </c>
      <c r="H628" s="7">
        <f>IFERROR(_xlfn.XLOOKUP(tbl_Ventes[[#This Row],[Cde_Prdt]], tbl_Produits[Cde_Prdt], tbl_Produits[Coût Moyen Portion]), 0)</f>
        <v>0</v>
      </c>
      <c r="I628" s="7">
        <f>tbl_Ventes[[#This Row],[Qté Vendue]] * tbl_Ventes[[#This Row],[CMP_par_portion]]</f>
        <v>0</v>
      </c>
      <c r="J628" s="7">
        <f>tbl_Ventes[[#This Row],[CA ligne]] - tbl_Ventes[[#This Row],[Coût matière ligne]]</f>
        <v>0</v>
      </c>
      <c r="K628" s="7" t="str">
        <f>IFERROR(INDEX(tbl_ProduitsRef[Famille], MATCH(tbl_Ventes[[#This Row],[Cde_Prdt]], tbl_Produits[Cde_Prdt], 0)), "")</f>
        <v/>
      </c>
    </row>
    <row r="629" spans="1:11" x14ac:dyDescent="0.25">
      <c r="A629" s="5"/>
      <c r="B629" s="63" t="str">
        <f>IFERROR(TEXT(tbl_Ventes[[#This Row],[Date]],"mm-aaaa"),"")</f>
        <v>01-1900</v>
      </c>
      <c r="D629" s="10" t="str">
        <f>IFERROR(
   INDEX(tbl_ProduitsRef[Cde_Prdt],MATCH(tbl_Ventes[[#This Row],[Produit]],tbl_ProduitsRef[Produit],0)),
   ""
)</f>
        <v/>
      </c>
      <c r="E629" s="7">
        <v>0</v>
      </c>
      <c r="F629" s="7" t="str">
        <f>IFERROR(
   INDEX(tbl_ProduitsRef[Prix Menu],MATCH(tbl_Ventes[[#This Row],[Produit]],tbl_ProduitsRef[Produit],0)),
   ""
)</f>
        <v/>
      </c>
      <c r="G629" s="7">
        <f>tbl_Ventes[[#This Row],[Qté Vendue]] * IFERROR(_xlfn.XLOOKUP(tbl_Ventes[[#This Row],[Cde_Prdt]], tbl_Produits[Cde_Prdt], tbl_Produits[Prix Menu]), 0)</f>
        <v>0</v>
      </c>
      <c r="H629" s="7">
        <f>IFERROR(_xlfn.XLOOKUP(tbl_Ventes[[#This Row],[Cde_Prdt]], tbl_Produits[Cde_Prdt], tbl_Produits[Coût Moyen Portion]), 0)</f>
        <v>0</v>
      </c>
      <c r="I629" s="7">
        <f>tbl_Ventes[[#This Row],[Qté Vendue]] * tbl_Ventes[[#This Row],[CMP_par_portion]]</f>
        <v>0</v>
      </c>
      <c r="J629" s="7">
        <f>tbl_Ventes[[#This Row],[CA ligne]] - tbl_Ventes[[#This Row],[Coût matière ligne]]</f>
        <v>0</v>
      </c>
      <c r="K629" s="7" t="str">
        <f>IFERROR(INDEX(tbl_ProduitsRef[Famille], MATCH(tbl_Ventes[[#This Row],[Cde_Prdt]], tbl_Produits[Cde_Prdt], 0)), "")</f>
        <v/>
      </c>
    </row>
    <row r="630" spans="1:11" x14ac:dyDescent="0.25">
      <c r="A630" s="5"/>
      <c r="B630" s="63" t="str">
        <f>IFERROR(TEXT(tbl_Ventes[[#This Row],[Date]],"mm-aaaa"),"")</f>
        <v>01-1900</v>
      </c>
      <c r="D630" s="10" t="str">
        <f>IFERROR(
   INDEX(tbl_ProduitsRef[Cde_Prdt],MATCH(tbl_Ventes[[#This Row],[Produit]],tbl_ProduitsRef[Produit],0)),
   ""
)</f>
        <v/>
      </c>
      <c r="E630" s="7">
        <v>0</v>
      </c>
      <c r="F630" s="7" t="str">
        <f>IFERROR(
   INDEX(tbl_ProduitsRef[Prix Menu],MATCH(tbl_Ventes[[#This Row],[Produit]],tbl_ProduitsRef[Produit],0)),
   ""
)</f>
        <v/>
      </c>
      <c r="G630" s="7">
        <f>tbl_Ventes[[#This Row],[Qté Vendue]] * IFERROR(_xlfn.XLOOKUP(tbl_Ventes[[#This Row],[Cde_Prdt]], tbl_Produits[Cde_Prdt], tbl_Produits[Prix Menu]), 0)</f>
        <v>0</v>
      </c>
      <c r="H630" s="7">
        <f>IFERROR(_xlfn.XLOOKUP(tbl_Ventes[[#This Row],[Cde_Prdt]], tbl_Produits[Cde_Prdt], tbl_Produits[Coût Moyen Portion]), 0)</f>
        <v>0</v>
      </c>
      <c r="I630" s="7">
        <f>tbl_Ventes[[#This Row],[Qté Vendue]] * tbl_Ventes[[#This Row],[CMP_par_portion]]</f>
        <v>0</v>
      </c>
      <c r="J630" s="7">
        <f>tbl_Ventes[[#This Row],[CA ligne]] - tbl_Ventes[[#This Row],[Coût matière ligne]]</f>
        <v>0</v>
      </c>
      <c r="K630" s="7" t="str">
        <f>IFERROR(INDEX(tbl_ProduitsRef[Famille], MATCH(tbl_Ventes[[#This Row],[Cde_Prdt]], tbl_Produits[Cde_Prdt], 0)), "")</f>
        <v/>
      </c>
    </row>
    <row r="631" spans="1:11" x14ac:dyDescent="0.25">
      <c r="A631" s="5"/>
      <c r="B631" s="63" t="str">
        <f>IFERROR(TEXT(tbl_Ventes[[#This Row],[Date]],"mm-aaaa"),"")</f>
        <v>01-1900</v>
      </c>
      <c r="D631" s="10" t="str">
        <f>IFERROR(
   INDEX(tbl_ProduitsRef[Cde_Prdt],MATCH(tbl_Ventes[[#This Row],[Produit]],tbl_ProduitsRef[Produit],0)),
   ""
)</f>
        <v/>
      </c>
      <c r="E631" s="7">
        <v>0</v>
      </c>
      <c r="F631" s="7" t="str">
        <f>IFERROR(
   INDEX(tbl_ProduitsRef[Prix Menu],MATCH(tbl_Ventes[[#This Row],[Produit]],tbl_ProduitsRef[Produit],0)),
   ""
)</f>
        <v/>
      </c>
      <c r="G631" s="7">
        <f>tbl_Ventes[[#This Row],[Qté Vendue]] * IFERROR(_xlfn.XLOOKUP(tbl_Ventes[[#This Row],[Cde_Prdt]], tbl_Produits[Cde_Prdt], tbl_Produits[Prix Menu]), 0)</f>
        <v>0</v>
      </c>
      <c r="H631" s="7">
        <f>IFERROR(_xlfn.XLOOKUP(tbl_Ventes[[#This Row],[Cde_Prdt]], tbl_Produits[Cde_Prdt], tbl_Produits[Coût Moyen Portion]), 0)</f>
        <v>0</v>
      </c>
      <c r="I631" s="7">
        <f>tbl_Ventes[[#This Row],[Qté Vendue]] * tbl_Ventes[[#This Row],[CMP_par_portion]]</f>
        <v>0</v>
      </c>
      <c r="J631" s="7">
        <f>tbl_Ventes[[#This Row],[CA ligne]] - tbl_Ventes[[#This Row],[Coût matière ligne]]</f>
        <v>0</v>
      </c>
      <c r="K631" s="7" t="str">
        <f>IFERROR(INDEX(tbl_ProduitsRef[Famille], MATCH(tbl_Ventes[[#This Row],[Cde_Prdt]], tbl_Produits[Cde_Prdt], 0)), "")</f>
        <v/>
      </c>
    </row>
    <row r="632" spans="1:11" x14ac:dyDescent="0.25">
      <c r="A632" s="5"/>
      <c r="B632" s="63" t="str">
        <f>IFERROR(TEXT(tbl_Ventes[[#This Row],[Date]],"mm-aaaa"),"")</f>
        <v>01-1900</v>
      </c>
      <c r="D632" s="10" t="str">
        <f>IFERROR(
   INDEX(tbl_ProduitsRef[Cde_Prdt],MATCH(tbl_Ventes[[#This Row],[Produit]],tbl_ProduitsRef[Produit],0)),
   ""
)</f>
        <v/>
      </c>
      <c r="E632" s="7">
        <v>0</v>
      </c>
      <c r="F632" s="7" t="str">
        <f>IFERROR(
   INDEX(tbl_ProduitsRef[Prix Menu],MATCH(tbl_Ventes[[#This Row],[Produit]],tbl_ProduitsRef[Produit],0)),
   ""
)</f>
        <v/>
      </c>
      <c r="G632" s="7">
        <f>tbl_Ventes[[#This Row],[Qté Vendue]] * IFERROR(_xlfn.XLOOKUP(tbl_Ventes[[#This Row],[Cde_Prdt]], tbl_Produits[Cde_Prdt], tbl_Produits[Prix Menu]), 0)</f>
        <v>0</v>
      </c>
      <c r="H632" s="7">
        <f>IFERROR(_xlfn.XLOOKUP(tbl_Ventes[[#This Row],[Cde_Prdt]], tbl_Produits[Cde_Prdt], tbl_Produits[Coût Moyen Portion]), 0)</f>
        <v>0</v>
      </c>
      <c r="I632" s="7">
        <f>tbl_Ventes[[#This Row],[Qté Vendue]] * tbl_Ventes[[#This Row],[CMP_par_portion]]</f>
        <v>0</v>
      </c>
      <c r="J632" s="7">
        <f>tbl_Ventes[[#This Row],[CA ligne]] - tbl_Ventes[[#This Row],[Coût matière ligne]]</f>
        <v>0</v>
      </c>
      <c r="K632" s="7" t="str">
        <f>IFERROR(INDEX(tbl_ProduitsRef[Famille], MATCH(tbl_Ventes[[#This Row],[Cde_Prdt]], tbl_Produits[Cde_Prdt], 0)), "")</f>
        <v/>
      </c>
    </row>
    <row r="633" spans="1:11" x14ac:dyDescent="0.25">
      <c r="A633" s="5"/>
      <c r="B633" s="63" t="str">
        <f>IFERROR(TEXT(tbl_Ventes[[#This Row],[Date]],"mm-aaaa"),"")</f>
        <v>01-1900</v>
      </c>
      <c r="D633" s="10" t="str">
        <f>IFERROR(
   INDEX(tbl_ProduitsRef[Cde_Prdt],MATCH(tbl_Ventes[[#This Row],[Produit]],tbl_ProduitsRef[Produit],0)),
   ""
)</f>
        <v/>
      </c>
      <c r="E633" s="7">
        <v>0</v>
      </c>
      <c r="F633" s="7" t="str">
        <f>IFERROR(
   INDEX(tbl_ProduitsRef[Prix Menu],MATCH(tbl_Ventes[[#This Row],[Produit]],tbl_ProduitsRef[Produit],0)),
   ""
)</f>
        <v/>
      </c>
      <c r="G633" s="7">
        <f>tbl_Ventes[[#This Row],[Qté Vendue]] * IFERROR(_xlfn.XLOOKUP(tbl_Ventes[[#This Row],[Cde_Prdt]], tbl_Produits[Cde_Prdt], tbl_Produits[Prix Menu]), 0)</f>
        <v>0</v>
      </c>
      <c r="H633" s="7">
        <f>IFERROR(_xlfn.XLOOKUP(tbl_Ventes[[#This Row],[Cde_Prdt]], tbl_Produits[Cde_Prdt], tbl_Produits[Coût Moyen Portion]), 0)</f>
        <v>0</v>
      </c>
      <c r="I633" s="7">
        <f>tbl_Ventes[[#This Row],[Qté Vendue]] * tbl_Ventes[[#This Row],[CMP_par_portion]]</f>
        <v>0</v>
      </c>
      <c r="J633" s="7">
        <f>tbl_Ventes[[#This Row],[CA ligne]] - tbl_Ventes[[#This Row],[Coût matière ligne]]</f>
        <v>0</v>
      </c>
      <c r="K633" s="7" t="str">
        <f>IFERROR(INDEX(tbl_ProduitsRef[Famille], MATCH(tbl_Ventes[[#This Row],[Cde_Prdt]], tbl_Produits[Cde_Prdt], 0)), "")</f>
        <v/>
      </c>
    </row>
    <row r="634" spans="1:11" x14ac:dyDescent="0.25">
      <c r="A634" s="5"/>
      <c r="B634" s="63" t="str">
        <f>IFERROR(TEXT(tbl_Ventes[[#This Row],[Date]],"mm-aaaa"),"")</f>
        <v>01-1900</v>
      </c>
      <c r="D634" s="10" t="str">
        <f>IFERROR(
   INDEX(tbl_ProduitsRef[Cde_Prdt],MATCH(tbl_Ventes[[#This Row],[Produit]],tbl_ProduitsRef[Produit],0)),
   ""
)</f>
        <v/>
      </c>
      <c r="E634" s="7">
        <v>0</v>
      </c>
      <c r="F634" s="7" t="str">
        <f>IFERROR(
   INDEX(tbl_ProduitsRef[Prix Menu],MATCH(tbl_Ventes[[#This Row],[Produit]],tbl_ProduitsRef[Produit],0)),
   ""
)</f>
        <v/>
      </c>
      <c r="G634" s="7">
        <f>tbl_Ventes[[#This Row],[Qté Vendue]] * IFERROR(_xlfn.XLOOKUP(tbl_Ventes[[#This Row],[Cde_Prdt]], tbl_Produits[Cde_Prdt], tbl_Produits[Prix Menu]), 0)</f>
        <v>0</v>
      </c>
      <c r="H634" s="7">
        <f>IFERROR(_xlfn.XLOOKUP(tbl_Ventes[[#This Row],[Cde_Prdt]], tbl_Produits[Cde_Prdt], tbl_Produits[Coût Moyen Portion]), 0)</f>
        <v>0</v>
      </c>
      <c r="I634" s="7">
        <f>tbl_Ventes[[#This Row],[Qté Vendue]] * tbl_Ventes[[#This Row],[CMP_par_portion]]</f>
        <v>0</v>
      </c>
      <c r="J634" s="7">
        <f>tbl_Ventes[[#This Row],[CA ligne]] - tbl_Ventes[[#This Row],[Coût matière ligne]]</f>
        <v>0</v>
      </c>
      <c r="K634" s="7" t="str">
        <f>IFERROR(INDEX(tbl_ProduitsRef[Famille], MATCH(tbl_Ventes[[#This Row],[Cde_Prdt]], tbl_Produits[Cde_Prdt], 0)), "")</f>
        <v/>
      </c>
    </row>
    <row r="635" spans="1:11" x14ac:dyDescent="0.25">
      <c r="A635" s="5"/>
      <c r="B635" s="63" t="str">
        <f>IFERROR(TEXT(tbl_Ventes[[#This Row],[Date]],"mm-aaaa"),"")</f>
        <v>01-1900</v>
      </c>
      <c r="D635" s="10" t="str">
        <f>IFERROR(
   INDEX(tbl_ProduitsRef[Cde_Prdt],MATCH(tbl_Ventes[[#This Row],[Produit]],tbl_ProduitsRef[Produit],0)),
   ""
)</f>
        <v/>
      </c>
      <c r="E635" s="7">
        <v>0</v>
      </c>
      <c r="F635" s="7" t="str">
        <f>IFERROR(
   INDEX(tbl_ProduitsRef[Prix Menu],MATCH(tbl_Ventes[[#This Row],[Produit]],tbl_ProduitsRef[Produit],0)),
   ""
)</f>
        <v/>
      </c>
      <c r="G635" s="7">
        <f>tbl_Ventes[[#This Row],[Qté Vendue]] * IFERROR(_xlfn.XLOOKUP(tbl_Ventes[[#This Row],[Cde_Prdt]], tbl_Produits[Cde_Prdt], tbl_Produits[Prix Menu]), 0)</f>
        <v>0</v>
      </c>
      <c r="H635" s="7">
        <f>IFERROR(_xlfn.XLOOKUP(tbl_Ventes[[#This Row],[Cde_Prdt]], tbl_Produits[Cde_Prdt], tbl_Produits[Coût Moyen Portion]), 0)</f>
        <v>0</v>
      </c>
      <c r="I635" s="7">
        <f>tbl_Ventes[[#This Row],[Qté Vendue]] * tbl_Ventes[[#This Row],[CMP_par_portion]]</f>
        <v>0</v>
      </c>
      <c r="J635" s="7">
        <f>tbl_Ventes[[#This Row],[CA ligne]] - tbl_Ventes[[#This Row],[Coût matière ligne]]</f>
        <v>0</v>
      </c>
      <c r="K635" s="7" t="str">
        <f>IFERROR(INDEX(tbl_ProduitsRef[Famille], MATCH(tbl_Ventes[[#This Row],[Cde_Prdt]], tbl_Produits[Cde_Prdt], 0)), "")</f>
        <v/>
      </c>
    </row>
    <row r="636" spans="1:11" x14ac:dyDescent="0.25">
      <c r="A636" s="5"/>
      <c r="B636" s="63" t="str">
        <f>IFERROR(TEXT(tbl_Ventes[[#This Row],[Date]],"mm-aaaa"),"")</f>
        <v>01-1900</v>
      </c>
      <c r="D636" s="10" t="str">
        <f>IFERROR(
   INDEX(tbl_ProduitsRef[Cde_Prdt],MATCH(tbl_Ventes[[#This Row],[Produit]],tbl_ProduitsRef[Produit],0)),
   ""
)</f>
        <v/>
      </c>
      <c r="E636" s="7">
        <v>0</v>
      </c>
      <c r="F636" s="7" t="str">
        <f>IFERROR(
   INDEX(tbl_ProduitsRef[Prix Menu],MATCH(tbl_Ventes[[#This Row],[Produit]],tbl_ProduitsRef[Produit],0)),
   ""
)</f>
        <v/>
      </c>
      <c r="G636" s="7">
        <f>tbl_Ventes[[#This Row],[Qté Vendue]] * IFERROR(_xlfn.XLOOKUP(tbl_Ventes[[#This Row],[Cde_Prdt]], tbl_Produits[Cde_Prdt], tbl_Produits[Prix Menu]), 0)</f>
        <v>0</v>
      </c>
      <c r="H636" s="7">
        <f>IFERROR(_xlfn.XLOOKUP(tbl_Ventes[[#This Row],[Cde_Prdt]], tbl_Produits[Cde_Prdt], tbl_Produits[Coût Moyen Portion]), 0)</f>
        <v>0</v>
      </c>
      <c r="I636" s="7">
        <f>tbl_Ventes[[#This Row],[Qté Vendue]] * tbl_Ventes[[#This Row],[CMP_par_portion]]</f>
        <v>0</v>
      </c>
      <c r="J636" s="7">
        <f>tbl_Ventes[[#This Row],[CA ligne]] - tbl_Ventes[[#This Row],[Coût matière ligne]]</f>
        <v>0</v>
      </c>
      <c r="K636" s="7" t="str">
        <f>IFERROR(INDEX(tbl_ProduitsRef[Famille], MATCH(tbl_Ventes[[#This Row],[Cde_Prdt]], tbl_Produits[Cde_Prdt], 0)), "")</f>
        <v/>
      </c>
    </row>
    <row r="637" spans="1:11" x14ac:dyDescent="0.25">
      <c r="A637" s="5"/>
      <c r="B637" s="63" t="str">
        <f>IFERROR(TEXT(tbl_Ventes[[#This Row],[Date]],"mm-aaaa"),"")</f>
        <v>01-1900</v>
      </c>
      <c r="D637" s="10" t="str">
        <f>IFERROR(
   INDEX(tbl_ProduitsRef[Cde_Prdt],MATCH(tbl_Ventes[[#This Row],[Produit]],tbl_ProduitsRef[Produit],0)),
   ""
)</f>
        <v/>
      </c>
      <c r="E637" s="7">
        <v>0</v>
      </c>
      <c r="F637" s="7" t="str">
        <f>IFERROR(
   INDEX(tbl_ProduitsRef[Prix Menu],MATCH(tbl_Ventes[[#This Row],[Produit]],tbl_ProduitsRef[Produit],0)),
   ""
)</f>
        <v/>
      </c>
      <c r="G637" s="7">
        <f>tbl_Ventes[[#This Row],[Qté Vendue]] * IFERROR(_xlfn.XLOOKUP(tbl_Ventes[[#This Row],[Cde_Prdt]], tbl_Produits[Cde_Prdt], tbl_Produits[Prix Menu]), 0)</f>
        <v>0</v>
      </c>
      <c r="H637" s="7">
        <f>IFERROR(_xlfn.XLOOKUP(tbl_Ventes[[#This Row],[Cde_Prdt]], tbl_Produits[Cde_Prdt], tbl_Produits[Coût Moyen Portion]), 0)</f>
        <v>0</v>
      </c>
      <c r="I637" s="7">
        <f>tbl_Ventes[[#This Row],[Qté Vendue]] * tbl_Ventes[[#This Row],[CMP_par_portion]]</f>
        <v>0</v>
      </c>
      <c r="J637" s="7">
        <f>tbl_Ventes[[#This Row],[CA ligne]] - tbl_Ventes[[#This Row],[Coût matière ligne]]</f>
        <v>0</v>
      </c>
      <c r="K637" s="7" t="str">
        <f>IFERROR(INDEX(tbl_ProduitsRef[Famille], MATCH(tbl_Ventes[[#This Row],[Cde_Prdt]], tbl_Produits[Cde_Prdt], 0)), "")</f>
        <v/>
      </c>
    </row>
    <row r="638" spans="1:11" x14ac:dyDescent="0.25">
      <c r="A638" s="5"/>
      <c r="B638" s="63" t="str">
        <f>IFERROR(TEXT(tbl_Ventes[[#This Row],[Date]],"mm-aaaa"),"")</f>
        <v>01-1900</v>
      </c>
      <c r="D638" s="10" t="str">
        <f>IFERROR(
   INDEX(tbl_ProduitsRef[Cde_Prdt],MATCH(tbl_Ventes[[#This Row],[Produit]],tbl_ProduitsRef[Produit],0)),
   ""
)</f>
        <v/>
      </c>
      <c r="E638" s="7">
        <v>0</v>
      </c>
      <c r="F638" s="7" t="str">
        <f>IFERROR(
   INDEX(tbl_ProduitsRef[Prix Menu],MATCH(tbl_Ventes[[#This Row],[Produit]],tbl_ProduitsRef[Produit],0)),
   ""
)</f>
        <v/>
      </c>
      <c r="G638" s="7">
        <f>tbl_Ventes[[#This Row],[Qté Vendue]] * IFERROR(_xlfn.XLOOKUP(tbl_Ventes[[#This Row],[Cde_Prdt]], tbl_Produits[Cde_Prdt], tbl_Produits[Prix Menu]), 0)</f>
        <v>0</v>
      </c>
      <c r="H638" s="7">
        <f>IFERROR(_xlfn.XLOOKUP(tbl_Ventes[[#This Row],[Cde_Prdt]], tbl_Produits[Cde_Prdt], tbl_Produits[Coût Moyen Portion]), 0)</f>
        <v>0</v>
      </c>
      <c r="I638" s="7">
        <f>tbl_Ventes[[#This Row],[Qté Vendue]] * tbl_Ventes[[#This Row],[CMP_par_portion]]</f>
        <v>0</v>
      </c>
      <c r="J638" s="7">
        <f>tbl_Ventes[[#This Row],[CA ligne]] - tbl_Ventes[[#This Row],[Coût matière ligne]]</f>
        <v>0</v>
      </c>
      <c r="K638" s="7" t="str">
        <f>IFERROR(INDEX(tbl_ProduitsRef[Famille], MATCH(tbl_Ventes[[#This Row],[Cde_Prdt]], tbl_Produits[Cde_Prdt], 0)), "")</f>
        <v/>
      </c>
    </row>
    <row r="639" spans="1:11" x14ac:dyDescent="0.25">
      <c r="A639" s="5"/>
      <c r="B639" s="63" t="str">
        <f>IFERROR(TEXT(tbl_Ventes[[#This Row],[Date]],"mm-aaaa"),"")</f>
        <v>01-1900</v>
      </c>
      <c r="D639" s="10" t="str">
        <f>IFERROR(
   INDEX(tbl_ProduitsRef[Cde_Prdt],MATCH(tbl_Ventes[[#This Row],[Produit]],tbl_ProduitsRef[Produit],0)),
   ""
)</f>
        <v/>
      </c>
      <c r="E639" s="7">
        <v>0</v>
      </c>
      <c r="F639" s="7" t="str">
        <f>IFERROR(
   INDEX(tbl_ProduitsRef[Prix Menu],MATCH(tbl_Ventes[[#This Row],[Produit]],tbl_ProduitsRef[Produit],0)),
   ""
)</f>
        <v/>
      </c>
      <c r="G639" s="7">
        <f>tbl_Ventes[[#This Row],[Qté Vendue]] * IFERROR(_xlfn.XLOOKUP(tbl_Ventes[[#This Row],[Cde_Prdt]], tbl_Produits[Cde_Prdt], tbl_Produits[Prix Menu]), 0)</f>
        <v>0</v>
      </c>
      <c r="H639" s="7">
        <f>IFERROR(_xlfn.XLOOKUP(tbl_Ventes[[#This Row],[Cde_Prdt]], tbl_Produits[Cde_Prdt], tbl_Produits[Coût Moyen Portion]), 0)</f>
        <v>0</v>
      </c>
      <c r="I639" s="7">
        <f>tbl_Ventes[[#This Row],[Qté Vendue]] * tbl_Ventes[[#This Row],[CMP_par_portion]]</f>
        <v>0</v>
      </c>
      <c r="J639" s="7">
        <f>tbl_Ventes[[#This Row],[CA ligne]] - tbl_Ventes[[#This Row],[Coût matière ligne]]</f>
        <v>0</v>
      </c>
      <c r="K639" s="7" t="str">
        <f>IFERROR(INDEX(tbl_ProduitsRef[Famille], MATCH(tbl_Ventes[[#This Row],[Cde_Prdt]], tbl_Produits[Cde_Prdt], 0)), "")</f>
        <v/>
      </c>
    </row>
    <row r="640" spans="1:11" x14ac:dyDescent="0.25">
      <c r="A640" s="5"/>
      <c r="B640" s="63" t="str">
        <f>IFERROR(TEXT(tbl_Ventes[[#This Row],[Date]],"mm-aaaa"),"")</f>
        <v>01-1900</v>
      </c>
      <c r="D640" s="10" t="str">
        <f>IFERROR(
   INDEX(tbl_ProduitsRef[Cde_Prdt],MATCH(tbl_Ventes[[#This Row],[Produit]],tbl_ProduitsRef[Produit],0)),
   ""
)</f>
        <v/>
      </c>
      <c r="E640" s="7">
        <v>0</v>
      </c>
      <c r="F640" s="7" t="str">
        <f>IFERROR(
   INDEX(tbl_ProduitsRef[Prix Menu],MATCH(tbl_Ventes[[#This Row],[Produit]],tbl_ProduitsRef[Produit],0)),
   ""
)</f>
        <v/>
      </c>
      <c r="G640" s="7">
        <f>tbl_Ventes[[#This Row],[Qté Vendue]] * IFERROR(_xlfn.XLOOKUP(tbl_Ventes[[#This Row],[Cde_Prdt]], tbl_Produits[Cde_Prdt], tbl_Produits[Prix Menu]), 0)</f>
        <v>0</v>
      </c>
      <c r="H640" s="7">
        <f>IFERROR(_xlfn.XLOOKUP(tbl_Ventes[[#This Row],[Cde_Prdt]], tbl_Produits[Cde_Prdt], tbl_Produits[Coût Moyen Portion]), 0)</f>
        <v>0</v>
      </c>
      <c r="I640" s="7">
        <f>tbl_Ventes[[#This Row],[Qté Vendue]] * tbl_Ventes[[#This Row],[CMP_par_portion]]</f>
        <v>0</v>
      </c>
      <c r="J640" s="7">
        <f>tbl_Ventes[[#This Row],[CA ligne]] - tbl_Ventes[[#This Row],[Coût matière ligne]]</f>
        <v>0</v>
      </c>
      <c r="K640" s="7" t="str">
        <f>IFERROR(INDEX(tbl_ProduitsRef[Famille], MATCH(tbl_Ventes[[#This Row],[Cde_Prdt]], tbl_Produits[Cde_Prdt], 0)), "")</f>
        <v/>
      </c>
    </row>
    <row r="641" spans="1:11" x14ac:dyDescent="0.25">
      <c r="A641" s="5"/>
      <c r="B641" s="63" t="str">
        <f>IFERROR(TEXT(tbl_Ventes[[#This Row],[Date]],"mm-aaaa"),"")</f>
        <v>01-1900</v>
      </c>
      <c r="D641" s="10" t="str">
        <f>IFERROR(
   INDEX(tbl_ProduitsRef[Cde_Prdt],MATCH(tbl_Ventes[[#This Row],[Produit]],tbl_ProduitsRef[Produit],0)),
   ""
)</f>
        <v/>
      </c>
      <c r="E641" s="7">
        <v>0</v>
      </c>
      <c r="F641" s="7" t="str">
        <f>IFERROR(
   INDEX(tbl_ProduitsRef[Prix Menu],MATCH(tbl_Ventes[[#This Row],[Produit]],tbl_ProduitsRef[Produit],0)),
   ""
)</f>
        <v/>
      </c>
      <c r="G641" s="7">
        <f>tbl_Ventes[[#This Row],[Qté Vendue]] * IFERROR(_xlfn.XLOOKUP(tbl_Ventes[[#This Row],[Cde_Prdt]], tbl_Produits[Cde_Prdt], tbl_Produits[Prix Menu]), 0)</f>
        <v>0</v>
      </c>
      <c r="H641" s="7">
        <f>IFERROR(_xlfn.XLOOKUP(tbl_Ventes[[#This Row],[Cde_Prdt]], tbl_Produits[Cde_Prdt], tbl_Produits[Coût Moyen Portion]), 0)</f>
        <v>0</v>
      </c>
      <c r="I641" s="7">
        <f>tbl_Ventes[[#This Row],[Qté Vendue]] * tbl_Ventes[[#This Row],[CMP_par_portion]]</f>
        <v>0</v>
      </c>
      <c r="J641" s="7">
        <f>tbl_Ventes[[#This Row],[CA ligne]] - tbl_Ventes[[#This Row],[Coût matière ligne]]</f>
        <v>0</v>
      </c>
      <c r="K641" s="7" t="str">
        <f>IFERROR(INDEX(tbl_ProduitsRef[Famille], MATCH(tbl_Ventes[[#This Row],[Cde_Prdt]], tbl_Produits[Cde_Prdt], 0)), "")</f>
        <v/>
      </c>
    </row>
    <row r="642" spans="1:11" x14ac:dyDescent="0.25">
      <c r="A642" s="5"/>
      <c r="B642" s="63" t="str">
        <f>IFERROR(TEXT(tbl_Ventes[[#This Row],[Date]],"mm-aaaa"),"")</f>
        <v>01-1900</v>
      </c>
      <c r="D642" s="10" t="str">
        <f>IFERROR(
   INDEX(tbl_ProduitsRef[Cde_Prdt],MATCH(tbl_Ventes[[#This Row],[Produit]],tbl_ProduitsRef[Produit],0)),
   ""
)</f>
        <v/>
      </c>
      <c r="E642" s="7">
        <v>0</v>
      </c>
      <c r="F642" s="7" t="str">
        <f>IFERROR(
   INDEX(tbl_ProduitsRef[Prix Menu],MATCH(tbl_Ventes[[#This Row],[Produit]],tbl_ProduitsRef[Produit],0)),
   ""
)</f>
        <v/>
      </c>
      <c r="G642" s="7">
        <f>tbl_Ventes[[#This Row],[Qté Vendue]] * IFERROR(_xlfn.XLOOKUP(tbl_Ventes[[#This Row],[Cde_Prdt]], tbl_Produits[Cde_Prdt], tbl_Produits[Prix Menu]), 0)</f>
        <v>0</v>
      </c>
      <c r="H642" s="7">
        <f>IFERROR(_xlfn.XLOOKUP(tbl_Ventes[[#This Row],[Cde_Prdt]], tbl_Produits[Cde_Prdt], tbl_Produits[Coût Moyen Portion]), 0)</f>
        <v>0</v>
      </c>
      <c r="I642" s="7">
        <f>tbl_Ventes[[#This Row],[Qté Vendue]] * tbl_Ventes[[#This Row],[CMP_par_portion]]</f>
        <v>0</v>
      </c>
      <c r="J642" s="7">
        <f>tbl_Ventes[[#This Row],[CA ligne]] - tbl_Ventes[[#This Row],[Coût matière ligne]]</f>
        <v>0</v>
      </c>
      <c r="K642" s="7" t="str">
        <f>IFERROR(INDEX(tbl_ProduitsRef[Famille], MATCH(tbl_Ventes[[#This Row],[Cde_Prdt]], tbl_Produits[Cde_Prdt], 0)), "")</f>
        <v/>
      </c>
    </row>
    <row r="643" spans="1:11" x14ac:dyDescent="0.25">
      <c r="A643" s="5"/>
      <c r="B643" s="63" t="str">
        <f>IFERROR(TEXT(tbl_Ventes[[#This Row],[Date]],"mm-aaaa"),"")</f>
        <v>01-1900</v>
      </c>
      <c r="D643" s="10" t="str">
        <f>IFERROR(
   INDEX(tbl_ProduitsRef[Cde_Prdt],MATCH(tbl_Ventes[[#This Row],[Produit]],tbl_ProduitsRef[Produit],0)),
   ""
)</f>
        <v/>
      </c>
      <c r="E643" s="7">
        <v>0</v>
      </c>
      <c r="F643" s="7" t="str">
        <f>IFERROR(
   INDEX(tbl_ProduitsRef[Prix Menu],MATCH(tbl_Ventes[[#This Row],[Produit]],tbl_ProduitsRef[Produit],0)),
   ""
)</f>
        <v/>
      </c>
      <c r="G643" s="7">
        <f>tbl_Ventes[[#This Row],[Qté Vendue]] * IFERROR(_xlfn.XLOOKUP(tbl_Ventes[[#This Row],[Cde_Prdt]], tbl_Produits[Cde_Prdt], tbl_Produits[Prix Menu]), 0)</f>
        <v>0</v>
      </c>
      <c r="H643" s="7">
        <f>IFERROR(_xlfn.XLOOKUP(tbl_Ventes[[#This Row],[Cde_Prdt]], tbl_Produits[Cde_Prdt], tbl_Produits[Coût Moyen Portion]), 0)</f>
        <v>0</v>
      </c>
      <c r="I643" s="7">
        <f>tbl_Ventes[[#This Row],[Qté Vendue]] * tbl_Ventes[[#This Row],[CMP_par_portion]]</f>
        <v>0</v>
      </c>
      <c r="J643" s="7">
        <f>tbl_Ventes[[#This Row],[CA ligne]] - tbl_Ventes[[#This Row],[Coût matière ligne]]</f>
        <v>0</v>
      </c>
      <c r="K643" s="7" t="str">
        <f>IFERROR(INDEX(tbl_ProduitsRef[Famille], MATCH(tbl_Ventes[[#This Row],[Cde_Prdt]], tbl_Produits[Cde_Prdt], 0)), "")</f>
        <v/>
      </c>
    </row>
    <row r="644" spans="1:11" x14ac:dyDescent="0.25">
      <c r="A644" s="5"/>
      <c r="B644" s="63" t="str">
        <f>IFERROR(TEXT(tbl_Ventes[[#This Row],[Date]],"mm-aaaa"),"")</f>
        <v>01-1900</v>
      </c>
      <c r="D644" s="10" t="str">
        <f>IFERROR(
   INDEX(tbl_ProduitsRef[Cde_Prdt],MATCH(tbl_Ventes[[#This Row],[Produit]],tbl_ProduitsRef[Produit],0)),
   ""
)</f>
        <v/>
      </c>
      <c r="E644" s="7">
        <v>0</v>
      </c>
      <c r="F644" s="7" t="str">
        <f>IFERROR(
   INDEX(tbl_ProduitsRef[Prix Menu],MATCH(tbl_Ventes[[#This Row],[Produit]],tbl_ProduitsRef[Produit],0)),
   ""
)</f>
        <v/>
      </c>
      <c r="G644" s="7">
        <f>tbl_Ventes[[#This Row],[Qté Vendue]] * IFERROR(_xlfn.XLOOKUP(tbl_Ventes[[#This Row],[Cde_Prdt]], tbl_Produits[Cde_Prdt], tbl_Produits[Prix Menu]), 0)</f>
        <v>0</v>
      </c>
      <c r="H644" s="7">
        <f>IFERROR(_xlfn.XLOOKUP(tbl_Ventes[[#This Row],[Cde_Prdt]], tbl_Produits[Cde_Prdt], tbl_Produits[Coût Moyen Portion]), 0)</f>
        <v>0</v>
      </c>
      <c r="I644" s="7">
        <f>tbl_Ventes[[#This Row],[Qté Vendue]] * tbl_Ventes[[#This Row],[CMP_par_portion]]</f>
        <v>0</v>
      </c>
      <c r="J644" s="7">
        <f>tbl_Ventes[[#This Row],[CA ligne]] - tbl_Ventes[[#This Row],[Coût matière ligne]]</f>
        <v>0</v>
      </c>
      <c r="K644" s="7" t="str">
        <f>IFERROR(INDEX(tbl_ProduitsRef[Famille], MATCH(tbl_Ventes[[#This Row],[Cde_Prdt]], tbl_Produits[Cde_Prdt], 0)), "")</f>
        <v/>
      </c>
    </row>
    <row r="645" spans="1:11" x14ac:dyDescent="0.25">
      <c r="A645" s="5"/>
      <c r="B645" s="63" t="str">
        <f>IFERROR(TEXT(tbl_Ventes[[#This Row],[Date]],"mm-aaaa"),"")</f>
        <v>01-1900</v>
      </c>
      <c r="D645" s="10" t="str">
        <f>IFERROR(
   INDEX(tbl_ProduitsRef[Cde_Prdt],MATCH(tbl_Ventes[[#This Row],[Produit]],tbl_ProduitsRef[Produit],0)),
   ""
)</f>
        <v/>
      </c>
      <c r="E645" s="7">
        <v>0</v>
      </c>
      <c r="F645" s="7" t="str">
        <f>IFERROR(
   INDEX(tbl_ProduitsRef[Prix Menu],MATCH(tbl_Ventes[[#This Row],[Produit]],tbl_ProduitsRef[Produit],0)),
   ""
)</f>
        <v/>
      </c>
      <c r="G645" s="7">
        <f>tbl_Ventes[[#This Row],[Qté Vendue]] * IFERROR(_xlfn.XLOOKUP(tbl_Ventes[[#This Row],[Cde_Prdt]], tbl_Produits[Cde_Prdt], tbl_Produits[Prix Menu]), 0)</f>
        <v>0</v>
      </c>
      <c r="H645" s="7">
        <f>IFERROR(_xlfn.XLOOKUP(tbl_Ventes[[#This Row],[Cde_Prdt]], tbl_Produits[Cde_Prdt], tbl_Produits[Coût Moyen Portion]), 0)</f>
        <v>0</v>
      </c>
      <c r="I645" s="7">
        <f>tbl_Ventes[[#This Row],[Qté Vendue]] * tbl_Ventes[[#This Row],[CMP_par_portion]]</f>
        <v>0</v>
      </c>
      <c r="J645" s="7">
        <f>tbl_Ventes[[#This Row],[CA ligne]] - tbl_Ventes[[#This Row],[Coût matière ligne]]</f>
        <v>0</v>
      </c>
      <c r="K645" s="7" t="str">
        <f>IFERROR(INDEX(tbl_ProduitsRef[Famille], MATCH(tbl_Ventes[[#This Row],[Cde_Prdt]], tbl_Produits[Cde_Prdt], 0)), "")</f>
        <v/>
      </c>
    </row>
    <row r="646" spans="1:11" x14ac:dyDescent="0.25">
      <c r="A646" s="5"/>
      <c r="B646" s="63" t="str">
        <f>IFERROR(TEXT(tbl_Ventes[[#This Row],[Date]],"mm-aaaa"),"")</f>
        <v>01-1900</v>
      </c>
      <c r="D646" s="10" t="str">
        <f>IFERROR(
   INDEX(tbl_ProduitsRef[Cde_Prdt],MATCH(tbl_Ventes[[#This Row],[Produit]],tbl_ProduitsRef[Produit],0)),
   ""
)</f>
        <v/>
      </c>
      <c r="E646" s="7">
        <v>0</v>
      </c>
      <c r="F646" s="7" t="str">
        <f>IFERROR(
   INDEX(tbl_ProduitsRef[Prix Menu],MATCH(tbl_Ventes[[#This Row],[Produit]],tbl_ProduitsRef[Produit],0)),
   ""
)</f>
        <v/>
      </c>
      <c r="G646" s="7">
        <f>tbl_Ventes[[#This Row],[Qté Vendue]] * IFERROR(_xlfn.XLOOKUP(tbl_Ventes[[#This Row],[Cde_Prdt]], tbl_Produits[Cde_Prdt], tbl_Produits[Prix Menu]), 0)</f>
        <v>0</v>
      </c>
      <c r="H646" s="7">
        <f>IFERROR(_xlfn.XLOOKUP(tbl_Ventes[[#This Row],[Cde_Prdt]], tbl_Produits[Cde_Prdt], tbl_Produits[Coût Moyen Portion]), 0)</f>
        <v>0</v>
      </c>
      <c r="I646" s="7">
        <f>tbl_Ventes[[#This Row],[Qté Vendue]] * tbl_Ventes[[#This Row],[CMP_par_portion]]</f>
        <v>0</v>
      </c>
      <c r="J646" s="7">
        <f>tbl_Ventes[[#This Row],[CA ligne]] - tbl_Ventes[[#This Row],[Coût matière ligne]]</f>
        <v>0</v>
      </c>
      <c r="K646" s="7" t="str">
        <f>IFERROR(INDEX(tbl_ProduitsRef[Famille], MATCH(tbl_Ventes[[#This Row],[Cde_Prdt]], tbl_Produits[Cde_Prdt], 0)), "")</f>
        <v/>
      </c>
    </row>
    <row r="647" spans="1:11" x14ac:dyDescent="0.25">
      <c r="A647" s="5"/>
      <c r="B647" s="63" t="str">
        <f>IFERROR(TEXT(tbl_Ventes[[#This Row],[Date]],"mm-aaaa"),"")</f>
        <v>01-1900</v>
      </c>
      <c r="D647" s="10" t="str">
        <f>IFERROR(
   INDEX(tbl_ProduitsRef[Cde_Prdt],MATCH(tbl_Ventes[[#This Row],[Produit]],tbl_ProduitsRef[Produit],0)),
   ""
)</f>
        <v/>
      </c>
      <c r="E647" s="7">
        <v>0</v>
      </c>
      <c r="F647" s="7" t="str">
        <f>IFERROR(
   INDEX(tbl_ProduitsRef[Prix Menu],MATCH(tbl_Ventes[[#This Row],[Produit]],tbl_ProduitsRef[Produit],0)),
   ""
)</f>
        <v/>
      </c>
      <c r="G647" s="7">
        <f>tbl_Ventes[[#This Row],[Qté Vendue]] * IFERROR(_xlfn.XLOOKUP(tbl_Ventes[[#This Row],[Cde_Prdt]], tbl_Produits[Cde_Prdt], tbl_Produits[Prix Menu]), 0)</f>
        <v>0</v>
      </c>
      <c r="H647" s="7">
        <f>IFERROR(_xlfn.XLOOKUP(tbl_Ventes[[#This Row],[Cde_Prdt]], tbl_Produits[Cde_Prdt], tbl_Produits[Coût Moyen Portion]), 0)</f>
        <v>0</v>
      </c>
      <c r="I647" s="7">
        <f>tbl_Ventes[[#This Row],[Qté Vendue]] * tbl_Ventes[[#This Row],[CMP_par_portion]]</f>
        <v>0</v>
      </c>
      <c r="J647" s="7">
        <f>tbl_Ventes[[#This Row],[CA ligne]] - tbl_Ventes[[#This Row],[Coût matière ligne]]</f>
        <v>0</v>
      </c>
      <c r="K647" s="7" t="str">
        <f>IFERROR(INDEX(tbl_ProduitsRef[Famille], MATCH(tbl_Ventes[[#This Row],[Cde_Prdt]], tbl_Produits[Cde_Prdt], 0)), "")</f>
        <v/>
      </c>
    </row>
    <row r="648" spans="1:11" x14ac:dyDescent="0.25">
      <c r="A648" s="5"/>
      <c r="B648" s="63" t="str">
        <f>IFERROR(TEXT(tbl_Ventes[[#This Row],[Date]],"mm-aaaa"),"")</f>
        <v>01-1900</v>
      </c>
      <c r="D648" s="10" t="str">
        <f>IFERROR(
   INDEX(tbl_ProduitsRef[Cde_Prdt],MATCH(tbl_Ventes[[#This Row],[Produit]],tbl_ProduitsRef[Produit],0)),
   ""
)</f>
        <v/>
      </c>
      <c r="E648" s="7">
        <v>0</v>
      </c>
      <c r="F648" s="7" t="str">
        <f>IFERROR(
   INDEX(tbl_ProduitsRef[Prix Menu],MATCH(tbl_Ventes[[#This Row],[Produit]],tbl_ProduitsRef[Produit],0)),
   ""
)</f>
        <v/>
      </c>
      <c r="G648" s="7">
        <f>tbl_Ventes[[#This Row],[Qté Vendue]] * IFERROR(_xlfn.XLOOKUP(tbl_Ventes[[#This Row],[Cde_Prdt]], tbl_Produits[Cde_Prdt], tbl_Produits[Prix Menu]), 0)</f>
        <v>0</v>
      </c>
      <c r="H648" s="7">
        <f>IFERROR(_xlfn.XLOOKUP(tbl_Ventes[[#This Row],[Cde_Prdt]], tbl_Produits[Cde_Prdt], tbl_Produits[Coût Moyen Portion]), 0)</f>
        <v>0</v>
      </c>
      <c r="I648" s="7">
        <f>tbl_Ventes[[#This Row],[Qté Vendue]] * tbl_Ventes[[#This Row],[CMP_par_portion]]</f>
        <v>0</v>
      </c>
      <c r="J648" s="7">
        <f>tbl_Ventes[[#This Row],[CA ligne]] - tbl_Ventes[[#This Row],[Coût matière ligne]]</f>
        <v>0</v>
      </c>
      <c r="K648" s="7" t="str">
        <f>IFERROR(INDEX(tbl_ProduitsRef[Famille], MATCH(tbl_Ventes[[#This Row],[Cde_Prdt]], tbl_Produits[Cde_Prdt], 0)), "")</f>
        <v/>
      </c>
    </row>
    <row r="649" spans="1:11" x14ac:dyDescent="0.25">
      <c r="A649" s="5"/>
      <c r="B649" s="63" t="str">
        <f>IFERROR(TEXT(tbl_Ventes[[#This Row],[Date]],"mm-aaaa"),"")</f>
        <v>01-1900</v>
      </c>
      <c r="D649" s="10" t="str">
        <f>IFERROR(
   INDEX(tbl_ProduitsRef[Cde_Prdt],MATCH(tbl_Ventes[[#This Row],[Produit]],tbl_ProduitsRef[Produit],0)),
   ""
)</f>
        <v/>
      </c>
      <c r="E649" s="7">
        <v>0</v>
      </c>
      <c r="F649" s="7" t="str">
        <f>IFERROR(
   INDEX(tbl_ProduitsRef[Prix Menu],MATCH(tbl_Ventes[[#This Row],[Produit]],tbl_ProduitsRef[Produit],0)),
   ""
)</f>
        <v/>
      </c>
      <c r="G649" s="7">
        <f>tbl_Ventes[[#This Row],[Qté Vendue]] * IFERROR(_xlfn.XLOOKUP(tbl_Ventes[[#This Row],[Cde_Prdt]], tbl_Produits[Cde_Prdt], tbl_Produits[Prix Menu]), 0)</f>
        <v>0</v>
      </c>
      <c r="H649" s="7">
        <f>IFERROR(_xlfn.XLOOKUP(tbl_Ventes[[#This Row],[Cde_Prdt]], tbl_Produits[Cde_Prdt], tbl_Produits[Coût Moyen Portion]), 0)</f>
        <v>0</v>
      </c>
      <c r="I649" s="7">
        <f>tbl_Ventes[[#This Row],[Qté Vendue]] * tbl_Ventes[[#This Row],[CMP_par_portion]]</f>
        <v>0</v>
      </c>
      <c r="J649" s="7">
        <f>tbl_Ventes[[#This Row],[CA ligne]] - tbl_Ventes[[#This Row],[Coût matière ligne]]</f>
        <v>0</v>
      </c>
      <c r="K649" s="7" t="str">
        <f>IFERROR(INDEX(tbl_ProduitsRef[Famille], MATCH(tbl_Ventes[[#This Row],[Cde_Prdt]], tbl_Produits[Cde_Prdt], 0)), "")</f>
        <v/>
      </c>
    </row>
    <row r="650" spans="1:11" x14ac:dyDescent="0.25">
      <c r="A650" s="5"/>
      <c r="B650" s="63" t="str">
        <f>IFERROR(TEXT(tbl_Ventes[[#This Row],[Date]],"mm-aaaa"),"")</f>
        <v>01-1900</v>
      </c>
      <c r="D650" s="10" t="str">
        <f>IFERROR(
   INDEX(tbl_ProduitsRef[Cde_Prdt],MATCH(tbl_Ventes[[#This Row],[Produit]],tbl_ProduitsRef[Produit],0)),
   ""
)</f>
        <v/>
      </c>
      <c r="E650" s="7">
        <v>0</v>
      </c>
      <c r="F650" s="7" t="str">
        <f>IFERROR(
   INDEX(tbl_ProduitsRef[Prix Menu],MATCH(tbl_Ventes[[#This Row],[Produit]],tbl_ProduitsRef[Produit],0)),
   ""
)</f>
        <v/>
      </c>
      <c r="G650" s="7">
        <f>tbl_Ventes[[#This Row],[Qté Vendue]] * IFERROR(_xlfn.XLOOKUP(tbl_Ventes[[#This Row],[Cde_Prdt]], tbl_Produits[Cde_Prdt], tbl_Produits[Prix Menu]), 0)</f>
        <v>0</v>
      </c>
      <c r="H650" s="7">
        <f>IFERROR(_xlfn.XLOOKUP(tbl_Ventes[[#This Row],[Cde_Prdt]], tbl_Produits[Cde_Prdt], tbl_Produits[Coût Moyen Portion]), 0)</f>
        <v>0</v>
      </c>
      <c r="I650" s="7">
        <f>tbl_Ventes[[#This Row],[Qté Vendue]] * tbl_Ventes[[#This Row],[CMP_par_portion]]</f>
        <v>0</v>
      </c>
      <c r="J650" s="7">
        <f>tbl_Ventes[[#This Row],[CA ligne]] - tbl_Ventes[[#This Row],[Coût matière ligne]]</f>
        <v>0</v>
      </c>
      <c r="K650" s="7" t="str">
        <f>IFERROR(INDEX(tbl_ProduitsRef[Famille], MATCH(tbl_Ventes[[#This Row],[Cde_Prdt]], tbl_Produits[Cde_Prdt], 0)), "")</f>
        <v/>
      </c>
    </row>
    <row r="651" spans="1:11" x14ac:dyDescent="0.25">
      <c r="A651" s="5"/>
      <c r="B651" s="63" t="str">
        <f>IFERROR(TEXT(tbl_Ventes[[#This Row],[Date]],"mm-aaaa"),"")</f>
        <v>01-1900</v>
      </c>
      <c r="D651" s="10" t="str">
        <f>IFERROR(
   INDEX(tbl_ProduitsRef[Cde_Prdt],MATCH(tbl_Ventes[[#This Row],[Produit]],tbl_ProduitsRef[Produit],0)),
   ""
)</f>
        <v/>
      </c>
      <c r="E651" s="7">
        <v>0</v>
      </c>
      <c r="F651" s="7" t="str">
        <f>IFERROR(
   INDEX(tbl_ProduitsRef[Prix Menu],MATCH(tbl_Ventes[[#This Row],[Produit]],tbl_ProduitsRef[Produit],0)),
   ""
)</f>
        <v/>
      </c>
      <c r="G651" s="7">
        <f>tbl_Ventes[[#This Row],[Qté Vendue]] * IFERROR(_xlfn.XLOOKUP(tbl_Ventes[[#This Row],[Cde_Prdt]], tbl_Produits[Cde_Prdt], tbl_Produits[Prix Menu]), 0)</f>
        <v>0</v>
      </c>
      <c r="H651" s="7">
        <f>IFERROR(_xlfn.XLOOKUP(tbl_Ventes[[#This Row],[Cde_Prdt]], tbl_Produits[Cde_Prdt], tbl_Produits[Coût Moyen Portion]), 0)</f>
        <v>0</v>
      </c>
      <c r="I651" s="7">
        <f>tbl_Ventes[[#This Row],[Qté Vendue]] * tbl_Ventes[[#This Row],[CMP_par_portion]]</f>
        <v>0</v>
      </c>
      <c r="J651" s="7">
        <f>tbl_Ventes[[#This Row],[CA ligne]] - tbl_Ventes[[#This Row],[Coût matière ligne]]</f>
        <v>0</v>
      </c>
      <c r="K651" s="7" t="str">
        <f>IFERROR(INDEX(tbl_ProduitsRef[Famille], MATCH(tbl_Ventes[[#This Row],[Cde_Prdt]], tbl_Produits[Cde_Prdt], 0)), "")</f>
        <v/>
      </c>
    </row>
    <row r="652" spans="1:11" x14ac:dyDescent="0.25">
      <c r="A652" s="5"/>
      <c r="B652" s="63" t="str">
        <f>IFERROR(TEXT(tbl_Ventes[[#This Row],[Date]],"mm-aaaa"),"")</f>
        <v>01-1900</v>
      </c>
      <c r="D652" s="10" t="str">
        <f>IFERROR(
   INDEX(tbl_ProduitsRef[Cde_Prdt],MATCH(tbl_Ventes[[#This Row],[Produit]],tbl_ProduitsRef[Produit],0)),
   ""
)</f>
        <v/>
      </c>
      <c r="E652" s="7">
        <v>0</v>
      </c>
      <c r="F652" s="7" t="str">
        <f>IFERROR(
   INDEX(tbl_ProduitsRef[Prix Menu],MATCH(tbl_Ventes[[#This Row],[Produit]],tbl_ProduitsRef[Produit],0)),
   ""
)</f>
        <v/>
      </c>
      <c r="G652" s="7">
        <f>tbl_Ventes[[#This Row],[Qté Vendue]] * IFERROR(_xlfn.XLOOKUP(tbl_Ventes[[#This Row],[Cde_Prdt]], tbl_Produits[Cde_Prdt], tbl_Produits[Prix Menu]), 0)</f>
        <v>0</v>
      </c>
      <c r="H652" s="7">
        <f>IFERROR(_xlfn.XLOOKUP(tbl_Ventes[[#This Row],[Cde_Prdt]], tbl_Produits[Cde_Prdt], tbl_Produits[Coût Moyen Portion]), 0)</f>
        <v>0</v>
      </c>
      <c r="I652" s="7">
        <f>tbl_Ventes[[#This Row],[Qté Vendue]] * tbl_Ventes[[#This Row],[CMP_par_portion]]</f>
        <v>0</v>
      </c>
      <c r="J652" s="7">
        <f>tbl_Ventes[[#This Row],[CA ligne]] - tbl_Ventes[[#This Row],[Coût matière ligne]]</f>
        <v>0</v>
      </c>
      <c r="K652" s="7" t="str">
        <f>IFERROR(INDEX(tbl_ProduitsRef[Famille], MATCH(tbl_Ventes[[#This Row],[Cde_Prdt]], tbl_Produits[Cde_Prdt], 0)), "")</f>
        <v/>
      </c>
    </row>
    <row r="653" spans="1:11" x14ac:dyDescent="0.25">
      <c r="A653" s="5"/>
      <c r="B653" s="63" t="str">
        <f>IFERROR(TEXT(tbl_Ventes[[#This Row],[Date]],"mm-aaaa"),"")</f>
        <v>01-1900</v>
      </c>
      <c r="D653" s="10" t="str">
        <f>IFERROR(
   INDEX(tbl_ProduitsRef[Cde_Prdt],MATCH(tbl_Ventes[[#This Row],[Produit]],tbl_ProduitsRef[Produit],0)),
   ""
)</f>
        <v/>
      </c>
      <c r="E653" s="7">
        <v>0</v>
      </c>
      <c r="F653" s="7" t="str">
        <f>IFERROR(
   INDEX(tbl_ProduitsRef[Prix Menu],MATCH(tbl_Ventes[[#This Row],[Produit]],tbl_ProduitsRef[Produit],0)),
   ""
)</f>
        <v/>
      </c>
      <c r="G653" s="7">
        <f>tbl_Ventes[[#This Row],[Qté Vendue]] * IFERROR(_xlfn.XLOOKUP(tbl_Ventes[[#This Row],[Cde_Prdt]], tbl_Produits[Cde_Prdt], tbl_Produits[Prix Menu]), 0)</f>
        <v>0</v>
      </c>
      <c r="H653" s="7">
        <f>IFERROR(_xlfn.XLOOKUP(tbl_Ventes[[#This Row],[Cde_Prdt]], tbl_Produits[Cde_Prdt], tbl_Produits[Coût Moyen Portion]), 0)</f>
        <v>0</v>
      </c>
      <c r="I653" s="7">
        <f>tbl_Ventes[[#This Row],[Qté Vendue]] * tbl_Ventes[[#This Row],[CMP_par_portion]]</f>
        <v>0</v>
      </c>
      <c r="J653" s="7">
        <f>tbl_Ventes[[#This Row],[CA ligne]] - tbl_Ventes[[#This Row],[Coût matière ligne]]</f>
        <v>0</v>
      </c>
      <c r="K653" s="7" t="str">
        <f>IFERROR(INDEX(tbl_ProduitsRef[Famille], MATCH(tbl_Ventes[[#This Row],[Cde_Prdt]], tbl_Produits[Cde_Prdt], 0)), "")</f>
        <v/>
      </c>
    </row>
    <row r="654" spans="1:11" x14ac:dyDescent="0.25">
      <c r="A654" s="5"/>
      <c r="B654" s="63" t="str">
        <f>IFERROR(TEXT(tbl_Ventes[[#This Row],[Date]],"mm-aaaa"),"")</f>
        <v>01-1900</v>
      </c>
      <c r="D654" s="10" t="str">
        <f>IFERROR(
   INDEX(tbl_ProduitsRef[Cde_Prdt],MATCH(tbl_Ventes[[#This Row],[Produit]],tbl_ProduitsRef[Produit],0)),
   ""
)</f>
        <v/>
      </c>
      <c r="E654" s="7">
        <v>0</v>
      </c>
      <c r="F654" s="7" t="str">
        <f>IFERROR(
   INDEX(tbl_ProduitsRef[Prix Menu],MATCH(tbl_Ventes[[#This Row],[Produit]],tbl_ProduitsRef[Produit],0)),
   ""
)</f>
        <v/>
      </c>
      <c r="G654" s="7">
        <f>tbl_Ventes[[#This Row],[Qté Vendue]] * IFERROR(_xlfn.XLOOKUP(tbl_Ventes[[#This Row],[Cde_Prdt]], tbl_Produits[Cde_Prdt], tbl_Produits[Prix Menu]), 0)</f>
        <v>0</v>
      </c>
      <c r="H654" s="7">
        <f>IFERROR(_xlfn.XLOOKUP(tbl_Ventes[[#This Row],[Cde_Prdt]], tbl_Produits[Cde_Prdt], tbl_Produits[Coût Moyen Portion]), 0)</f>
        <v>0</v>
      </c>
      <c r="I654" s="7">
        <f>tbl_Ventes[[#This Row],[Qté Vendue]] * tbl_Ventes[[#This Row],[CMP_par_portion]]</f>
        <v>0</v>
      </c>
      <c r="J654" s="7">
        <f>tbl_Ventes[[#This Row],[CA ligne]] - tbl_Ventes[[#This Row],[Coût matière ligne]]</f>
        <v>0</v>
      </c>
      <c r="K654" s="7" t="str">
        <f>IFERROR(INDEX(tbl_ProduitsRef[Famille], MATCH(tbl_Ventes[[#This Row],[Cde_Prdt]], tbl_Produits[Cde_Prdt], 0)), "")</f>
        <v/>
      </c>
    </row>
    <row r="655" spans="1:11" x14ac:dyDescent="0.25">
      <c r="A655" s="5"/>
      <c r="B655" s="63" t="str">
        <f>IFERROR(TEXT(tbl_Ventes[[#This Row],[Date]],"mm-aaaa"),"")</f>
        <v>01-1900</v>
      </c>
      <c r="D655" s="10" t="str">
        <f>IFERROR(
   INDEX(tbl_ProduitsRef[Cde_Prdt],MATCH(tbl_Ventes[[#This Row],[Produit]],tbl_ProduitsRef[Produit],0)),
   ""
)</f>
        <v/>
      </c>
      <c r="E655" s="7">
        <v>0</v>
      </c>
      <c r="F655" s="7" t="str">
        <f>IFERROR(
   INDEX(tbl_ProduitsRef[Prix Menu],MATCH(tbl_Ventes[[#This Row],[Produit]],tbl_ProduitsRef[Produit],0)),
   ""
)</f>
        <v/>
      </c>
      <c r="G655" s="7">
        <f>tbl_Ventes[[#This Row],[Qté Vendue]] * IFERROR(_xlfn.XLOOKUP(tbl_Ventes[[#This Row],[Cde_Prdt]], tbl_Produits[Cde_Prdt], tbl_Produits[Prix Menu]), 0)</f>
        <v>0</v>
      </c>
      <c r="H655" s="7">
        <f>IFERROR(_xlfn.XLOOKUP(tbl_Ventes[[#This Row],[Cde_Prdt]], tbl_Produits[Cde_Prdt], tbl_Produits[Coût Moyen Portion]), 0)</f>
        <v>0</v>
      </c>
      <c r="I655" s="7">
        <f>tbl_Ventes[[#This Row],[Qté Vendue]] * tbl_Ventes[[#This Row],[CMP_par_portion]]</f>
        <v>0</v>
      </c>
      <c r="J655" s="7">
        <f>tbl_Ventes[[#This Row],[CA ligne]] - tbl_Ventes[[#This Row],[Coût matière ligne]]</f>
        <v>0</v>
      </c>
      <c r="K655" s="7" t="str">
        <f>IFERROR(INDEX(tbl_ProduitsRef[Famille], MATCH(tbl_Ventes[[#This Row],[Cde_Prdt]], tbl_Produits[Cde_Prdt], 0)), "")</f>
        <v/>
      </c>
    </row>
    <row r="656" spans="1:11" x14ac:dyDescent="0.25">
      <c r="A656" s="5"/>
      <c r="B656" s="63" t="str">
        <f>IFERROR(TEXT(tbl_Ventes[[#This Row],[Date]],"mm-aaaa"),"")</f>
        <v>01-1900</v>
      </c>
      <c r="D656" s="10" t="str">
        <f>IFERROR(
   INDEX(tbl_ProduitsRef[Cde_Prdt],MATCH(tbl_Ventes[[#This Row],[Produit]],tbl_ProduitsRef[Produit],0)),
   ""
)</f>
        <v/>
      </c>
      <c r="E656" s="7">
        <v>0</v>
      </c>
      <c r="F656" s="7" t="str">
        <f>IFERROR(
   INDEX(tbl_ProduitsRef[Prix Menu],MATCH(tbl_Ventes[[#This Row],[Produit]],tbl_ProduitsRef[Produit],0)),
   ""
)</f>
        <v/>
      </c>
      <c r="G656" s="7">
        <f>tbl_Ventes[[#This Row],[Qté Vendue]] * IFERROR(_xlfn.XLOOKUP(tbl_Ventes[[#This Row],[Cde_Prdt]], tbl_Produits[Cde_Prdt], tbl_Produits[Prix Menu]), 0)</f>
        <v>0</v>
      </c>
      <c r="H656" s="7">
        <f>IFERROR(_xlfn.XLOOKUP(tbl_Ventes[[#This Row],[Cde_Prdt]], tbl_Produits[Cde_Prdt], tbl_Produits[Coût Moyen Portion]), 0)</f>
        <v>0</v>
      </c>
      <c r="I656" s="7">
        <f>tbl_Ventes[[#This Row],[Qté Vendue]] * tbl_Ventes[[#This Row],[CMP_par_portion]]</f>
        <v>0</v>
      </c>
      <c r="J656" s="7">
        <f>tbl_Ventes[[#This Row],[CA ligne]] - tbl_Ventes[[#This Row],[Coût matière ligne]]</f>
        <v>0</v>
      </c>
      <c r="K656" s="7" t="str">
        <f>IFERROR(INDEX(tbl_ProduitsRef[Famille], MATCH(tbl_Ventes[[#This Row],[Cde_Prdt]], tbl_Produits[Cde_Prdt], 0)), "")</f>
        <v/>
      </c>
    </row>
    <row r="657" spans="1:11" x14ac:dyDescent="0.25">
      <c r="A657" s="5"/>
      <c r="B657" s="63" t="str">
        <f>IFERROR(TEXT(tbl_Ventes[[#This Row],[Date]],"mm-aaaa"),"")</f>
        <v>01-1900</v>
      </c>
      <c r="D657" s="10" t="str">
        <f>IFERROR(
   INDEX(tbl_ProduitsRef[Cde_Prdt],MATCH(tbl_Ventes[[#This Row],[Produit]],tbl_ProduitsRef[Produit],0)),
   ""
)</f>
        <v/>
      </c>
      <c r="E657" s="7">
        <v>0</v>
      </c>
      <c r="F657" s="7" t="str">
        <f>IFERROR(
   INDEX(tbl_ProduitsRef[Prix Menu],MATCH(tbl_Ventes[[#This Row],[Produit]],tbl_ProduitsRef[Produit],0)),
   ""
)</f>
        <v/>
      </c>
      <c r="G657" s="7">
        <f>tbl_Ventes[[#This Row],[Qté Vendue]] * IFERROR(_xlfn.XLOOKUP(tbl_Ventes[[#This Row],[Cde_Prdt]], tbl_Produits[Cde_Prdt], tbl_Produits[Prix Menu]), 0)</f>
        <v>0</v>
      </c>
      <c r="H657" s="7">
        <f>IFERROR(_xlfn.XLOOKUP(tbl_Ventes[[#This Row],[Cde_Prdt]], tbl_Produits[Cde_Prdt], tbl_Produits[Coût Moyen Portion]), 0)</f>
        <v>0</v>
      </c>
      <c r="I657" s="7">
        <f>tbl_Ventes[[#This Row],[Qté Vendue]] * tbl_Ventes[[#This Row],[CMP_par_portion]]</f>
        <v>0</v>
      </c>
      <c r="J657" s="7">
        <f>tbl_Ventes[[#This Row],[CA ligne]] - tbl_Ventes[[#This Row],[Coût matière ligne]]</f>
        <v>0</v>
      </c>
      <c r="K657" s="7" t="str">
        <f>IFERROR(INDEX(tbl_ProduitsRef[Famille], MATCH(tbl_Ventes[[#This Row],[Cde_Prdt]], tbl_Produits[Cde_Prdt], 0)), "")</f>
        <v/>
      </c>
    </row>
    <row r="658" spans="1:11" x14ac:dyDescent="0.25">
      <c r="A658" s="5"/>
      <c r="B658" s="63" t="str">
        <f>IFERROR(TEXT(tbl_Ventes[[#This Row],[Date]],"mm-aaaa"),"")</f>
        <v>01-1900</v>
      </c>
      <c r="D658" s="10" t="str">
        <f>IFERROR(
   INDEX(tbl_ProduitsRef[Cde_Prdt],MATCH(tbl_Ventes[[#This Row],[Produit]],tbl_ProduitsRef[Produit],0)),
   ""
)</f>
        <v/>
      </c>
      <c r="E658" s="7">
        <v>0</v>
      </c>
      <c r="F658" s="7" t="str">
        <f>IFERROR(
   INDEX(tbl_ProduitsRef[Prix Menu],MATCH(tbl_Ventes[[#This Row],[Produit]],tbl_ProduitsRef[Produit],0)),
   ""
)</f>
        <v/>
      </c>
      <c r="G658" s="7">
        <f>tbl_Ventes[[#This Row],[Qté Vendue]] * IFERROR(_xlfn.XLOOKUP(tbl_Ventes[[#This Row],[Cde_Prdt]], tbl_Produits[Cde_Prdt], tbl_Produits[Prix Menu]), 0)</f>
        <v>0</v>
      </c>
      <c r="H658" s="7">
        <f>IFERROR(_xlfn.XLOOKUP(tbl_Ventes[[#This Row],[Cde_Prdt]], tbl_Produits[Cde_Prdt], tbl_Produits[Coût Moyen Portion]), 0)</f>
        <v>0</v>
      </c>
      <c r="I658" s="7">
        <f>tbl_Ventes[[#This Row],[Qté Vendue]] * tbl_Ventes[[#This Row],[CMP_par_portion]]</f>
        <v>0</v>
      </c>
      <c r="J658" s="7">
        <f>tbl_Ventes[[#This Row],[CA ligne]] - tbl_Ventes[[#This Row],[Coût matière ligne]]</f>
        <v>0</v>
      </c>
      <c r="K658" s="7" t="str">
        <f>IFERROR(INDEX(tbl_ProduitsRef[Famille], MATCH(tbl_Ventes[[#This Row],[Cde_Prdt]], tbl_Produits[Cde_Prdt], 0)), "")</f>
        <v/>
      </c>
    </row>
    <row r="659" spans="1:11" x14ac:dyDescent="0.25">
      <c r="A659" s="5"/>
      <c r="B659" s="63" t="str">
        <f>IFERROR(TEXT(tbl_Ventes[[#This Row],[Date]],"mm-aaaa"),"")</f>
        <v>01-1900</v>
      </c>
      <c r="D659" s="10" t="str">
        <f>IFERROR(
   INDEX(tbl_ProduitsRef[Cde_Prdt],MATCH(tbl_Ventes[[#This Row],[Produit]],tbl_ProduitsRef[Produit],0)),
   ""
)</f>
        <v/>
      </c>
      <c r="E659" s="7">
        <v>0</v>
      </c>
      <c r="F659" s="7" t="str">
        <f>IFERROR(
   INDEX(tbl_ProduitsRef[Prix Menu],MATCH(tbl_Ventes[[#This Row],[Produit]],tbl_ProduitsRef[Produit],0)),
   ""
)</f>
        <v/>
      </c>
      <c r="G659" s="7">
        <f>tbl_Ventes[[#This Row],[Qté Vendue]] * IFERROR(_xlfn.XLOOKUP(tbl_Ventes[[#This Row],[Cde_Prdt]], tbl_Produits[Cde_Prdt], tbl_Produits[Prix Menu]), 0)</f>
        <v>0</v>
      </c>
      <c r="H659" s="7">
        <f>IFERROR(_xlfn.XLOOKUP(tbl_Ventes[[#This Row],[Cde_Prdt]], tbl_Produits[Cde_Prdt], tbl_Produits[Coût Moyen Portion]), 0)</f>
        <v>0</v>
      </c>
      <c r="I659" s="7">
        <f>tbl_Ventes[[#This Row],[Qté Vendue]] * tbl_Ventes[[#This Row],[CMP_par_portion]]</f>
        <v>0</v>
      </c>
      <c r="J659" s="7">
        <f>tbl_Ventes[[#This Row],[CA ligne]] - tbl_Ventes[[#This Row],[Coût matière ligne]]</f>
        <v>0</v>
      </c>
      <c r="K659" s="7" t="str">
        <f>IFERROR(INDEX(tbl_ProduitsRef[Famille], MATCH(tbl_Ventes[[#This Row],[Cde_Prdt]], tbl_Produits[Cde_Prdt], 0)), "")</f>
        <v/>
      </c>
    </row>
    <row r="660" spans="1:11" x14ac:dyDescent="0.25">
      <c r="A660" s="5"/>
      <c r="B660" s="63" t="str">
        <f>IFERROR(TEXT(tbl_Ventes[[#This Row],[Date]],"mm-aaaa"),"")</f>
        <v>01-1900</v>
      </c>
      <c r="D660" s="10" t="str">
        <f>IFERROR(
   INDEX(tbl_ProduitsRef[Cde_Prdt],MATCH(tbl_Ventes[[#This Row],[Produit]],tbl_ProduitsRef[Produit],0)),
   ""
)</f>
        <v/>
      </c>
      <c r="E660" s="7">
        <v>0</v>
      </c>
      <c r="F660" s="7" t="str">
        <f>IFERROR(
   INDEX(tbl_ProduitsRef[Prix Menu],MATCH(tbl_Ventes[[#This Row],[Produit]],tbl_ProduitsRef[Produit],0)),
   ""
)</f>
        <v/>
      </c>
      <c r="G660" s="7">
        <f>tbl_Ventes[[#This Row],[Qté Vendue]] * IFERROR(_xlfn.XLOOKUP(tbl_Ventes[[#This Row],[Cde_Prdt]], tbl_Produits[Cde_Prdt], tbl_Produits[Prix Menu]), 0)</f>
        <v>0</v>
      </c>
      <c r="H660" s="7">
        <f>IFERROR(_xlfn.XLOOKUP(tbl_Ventes[[#This Row],[Cde_Prdt]], tbl_Produits[Cde_Prdt], tbl_Produits[Coût Moyen Portion]), 0)</f>
        <v>0</v>
      </c>
      <c r="I660" s="7">
        <f>tbl_Ventes[[#This Row],[Qté Vendue]] * tbl_Ventes[[#This Row],[CMP_par_portion]]</f>
        <v>0</v>
      </c>
      <c r="J660" s="7">
        <f>tbl_Ventes[[#This Row],[CA ligne]] - tbl_Ventes[[#This Row],[Coût matière ligne]]</f>
        <v>0</v>
      </c>
      <c r="K660" s="7" t="str">
        <f>IFERROR(INDEX(tbl_ProduitsRef[Famille], MATCH(tbl_Ventes[[#This Row],[Cde_Prdt]], tbl_Produits[Cde_Prdt], 0)), "")</f>
        <v/>
      </c>
    </row>
    <row r="661" spans="1:11" x14ac:dyDescent="0.25">
      <c r="A661" s="5"/>
      <c r="B661" s="63" t="str">
        <f>IFERROR(TEXT(tbl_Ventes[[#This Row],[Date]],"mm-aaaa"),"")</f>
        <v>01-1900</v>
      </c>
      <c r="D661" s="10" t="str">
        <f>IFERROR(
   INDEX(tbl_ProduitsRef[Cde_Prdt],MATCH(tbl_Ventes[[#This Row],[Produit]],tbl_ProduitsRef[Produit],0)),
   ""
)</f>
        <v/>
      </c>
      <c r="E661" s="7">
        <v>0</v>
      </c>
      <c r="F661" s="7" t="str">
        <f>IFERROR(
   INDEX(tbl_ProduitsRef[Prix Menu],MATCH(tbl_Ventes[[#This Row],[Produit]],tbl_ProduitsRef[Produit],0)),
   ""
)</f>
        <v/>
      </c>
      <c r="G661" s="7">
        <f>tbl_Ventes[[#This Row],[Qté Vendue]] * IFERROR(_xlfn.XLOOKUP(tbl_Ventes[[#This Row],[Cde_Prdt]], tbl_Produits[Cde_Prdt], tbl_Produits[Prix Menu]), 0)</f>
        <v>0</v>
      </c>
      <c r="H661" s="7">
        <f>IFERROR(_xlfn.XLOOKUP(tbl_Ventes[[#This Row],[Cde_Prdt]], tbl_Produits[Cde_Prdt], tbl_Produits[Coût Moyen Portion]), 0)</f>
        <v>0</v>
      </c>
      <c r="I661" s="7">
        <f>tbl_Ventes[[#This Row],[Qté Vendue]] * tbl_Ventes[[#This Row],[CMP_par_portion]]</f>
        <v>0</v>
      </c>
      <c r="J661" s="7">
        <f>tbl_Ventes[[#This Row],[CA ligne]] - tbl_Ventes[[#This Row],[Coût matière ligne]]</f>
        <v>0</v>
      </c>
      <c r="K661" s="7" t="str">
        <f>IFERROR(INDEX(tbl_ProduitsRef[Famille], MATCH(tbl_Ventes[[#This Row],[Cde_Prdt]], tbl_Produits[Cde_Prdt], 0)), "")</f>
        <v/>
      </c>
    </row>
    <row r="662" spans="1:11" x14ac:dyDescent="0.25">
      <c r="A662" s="5"/>
      <c r="B662" s="63" t="str">
        <f>IFERROR(TEXT(tbl_Ventes[[#This Row],[Date]],"mm-aaaa"),"")</f>
        <v>01-1900</v>
      </c>
      <c r="D662" s="10" t="str">
        <f>IFERROR(
   INDEX(tbl_ProduitsRef[Cde_Prdt],MATCH(tbl_Ventes[[#This Row],[Produit]],tbl_ProduitsRef[Produit],0)),
   ""
)</f>
        <v/>
      </c>
      <c r="E662" s="7">
        <v>0</v>
      </c>
      <c r="F662" s="7" t="str">
        <f>IFERROR(
   INDEX(tbl_ProduitsRef[Prix Menu],MATCH(tbl_Ventes[[#This Row],[Produit]],tbl_ProduitsRef[Produit],0)),
   ""
)</f>
        <v/>
      </c>
      <c r="G662" s="7">
        <f>tbl_Ventes[[#This Row],[Qté Vendue]] * IFERROR(_xlfn.XLOOKUP(tbl_Ventes[[#This Row],[Cde_Prdt]], tbl_Produits[Cde_Prdt], tbl_Produits[Prix Menu]), 0)</f>
        <v>0</v>
      </c>
      <c r="H662" s="7">
        <f>IFERROR(_xlfn.XLOOKUP(tbl_Ventes[[#This Row],[Cde_Prdt]], tbl_Produits[Cde_Prdt], tbl_Produits[Coût Moyen Portion]), 0)</f>
        <v>0</v>
      </c>
      <c r="I662" s="7">
        <f>tbl_Ventes[[#This Row],[Qté Vendue]] * tbl_Ventes[[#This Row],[CMP_par_portion]]</f>
        <v>0</v>
      </c>
      <c r="J662" s="7">
        <f>tbl_Ventes[[#This Row],[CA ligne]] - tbl_Ventes[[#This Row],[Coût matière ligne]]</f>
        <v>0</v>
      </c>
      <c r="K662" s="7" t="str">
        <f>IFERROR(INDEX(tbl_ProduitsRef[Famille], MATCH(tbl_Ventes[[#This Row],[Cde_Prdt]], tbl_Produits[Cde_Prdt], 0)), "")</f>
        <v/>
      </c>
    </row>
    <row r="663" spans="1:11" x14ac:dyDescent="0.25">
      <c r="A663" s="5"/>
      <c r="B663" s="63" t="str">
        <f>IFERROR(TEXT(tbl_Ventes[[#This Row],[Date]],"mm-aaaa"),"")</f>
        <v>01-1900</v>
      </c>
      <c r="D663" s="10" t="str">
        <f>IFERROR(
   INDEX(tbl_ProduitsRef[Cde_Prdt],MATCH(tbl_Ventes[[#This Row],[Produit]],tbl_ProduitsRef[Produit],0)),
   ""
)</f>
        <v/>
      </c>
      <c r="E663" s="7">
        <v>0</v>
      </c>
      <c r="F663" s="7" t="str">
        <f>IFERROR(
   INDEX(tbl_ProduitsRef[Prix Menu],MATCH(tbl_Ventes[[#This Row],[Produit]],tbl_ProduitsRef[Produit],0)),
   ""
)</f>
        <v/>
      </c>
      <c r="G663" s="7">
        <f>tbl_Ventes[[#This Row],[Qté Vendue]] * IFERROR(_xlfn.XLOOKUP(tbl_Ventes[[#This Row],[Cde_Prdt]], tbl_Produits[Cde_Prdt], tbl_Produits[Prix Menu]), 0)</f>
        <v>0</v>
      </c>
      <c r="H663" s="7">
        <f>IFERROR(_xlfn.XLOOKUP(tbl_Ventes[[#This Row],[Cde_Prdt]], tbl_Produits[Cde_Prdt], tbl_Produits[Coût Moyen Portion]), 0)</f>
        <v>0</v>
      </c>
      <c r="I663" s="7">
        <f>tbl_Ventes[[#This Row],[Qté Vendue]] * tbl_Ventes[[#This Row],[CMP_par_portion]]</f>
        <v>0</v>
      </c>
      <c r="J663" s="7">
        <f>tbl_Ventes[[#This Row],[CA ligne]] - tbl_Ventes[[#This Row],[Coût matière ligne]]</f>
        <v>0</v>
      </c>
      <c r="K663" s="7" t="str">
        <f>IFERROR(INDEX(tbl_ProduitsRef[Famille], MATCH(tbl_Ventes[[#This Row],[Cde_Prdt]], tbl_Produits[Cde_Prdt], 0)), "")</f>
        <v/>
      </c>
    </row>
    <row r="664" spans="1:11" x14ac:dyDescent="0.25">
      <c r="A664" s="5"/>
      <c r="B664" s="63" t="str">
        <f>IFERROR(TEXT(tbl_Ventes[[#This Row],[Date]],"mm-aaaa"),"")</f>
        <v>01-1900</v>
      </c>
      <c r="D664" s="10" t="str">
        <f>IFERROR(
   INDEX(tbl_ProduitsRef[Cde_Prdt],MATCH(tbl_Ventes[[#This Row],[Produit]],tbl_ProduitsRef[Produit],0)),
   ""
)</f>
        <v/>
      </c>
      <c r="E664" s="7">
        <v>0</v>
      </c>
      <c r="F664" s="7" t="str">
        <f>IFERROR(
   INDEX(tbl_ProduitsRef[Prix Menu],MATCH(tbl_Ventes[[#This Row],[Produit]],tbl_ProduitsRef[Produit],0)),
   ""
)</f>
        <v/>
      </c>
      <c r="G664" s="7">
        <f>tbl_Ventes[[#This Row],[Qté Vendue]] * IFERROR(_xlfn.XLOOKUP(tbl_Ventes[[#This Row],[Cde_Prdt]], tbl_Produits[Cde_Prdt], tbl_Produits[Prix Menu]), 0)</f>
        <v>0</v>
      </c>
      <c r="H664" s="7">
        <f>IFERROR(_xlfn.XLOOKUP(tbl_Ventes[[#This Row],[Cde_Prdt]], tbl_Produits[Cde_Prdt], tbl_Produits[Coût Moyen Portion]), 0)</f>
        <v>0</v>
      </c>
      <c r="I664" s="7">
        <f>tbl_Ventes[[#This Row],[Qté Vendue]] * tbl_Ventes[[#This Row],[CMP_par_portion]]</f>
        <v>0</v>
      </c>
      <c r="J664" s="7">
        <f>tbl_Ventes[[#This Row],[CA ligne]] - tbl_Ventes[[#This Row],[Coût matière ligne]]</f>
        <v>0</v>
      </c>
      <c r="K664" s="7" t="str">
        <f>IFERROR(INDEX(tbl_ProduitsRef[Famille], MATCH(tbl_Ventes[[#This Row],[Cde_Prdt]], tbl_Produits[Cde_Prdt], 0)), "")</f>
        <v/>
      </c>
    </row>
    <row r="665" spans="1:11" x14ac:dyDescent="0.25">
      <c r="A665" s="5"/>
      <c r="B665" s="63" t="str">
        <f>IFERROR(TEXT(tbl_Ventes[[#This Row],[Date]],"mm-aaaa"),"")</f>
        <v>01-1900</v>
      </c>
      <c r="D665" s="10" t="str">
        <f>IFERROR(
   INDEX(tbl_ProduitsRef[Cde_Prdt],MATCH(tbl_Ventes[[#This Row],[Produit]],tbl_ProduitsRef[Produit],0)),
   ""
)</f>
        <v/>
      </c>
      <c r="E665" s="7">
        <v>0</v>
      </c>
      <c r="F665" s="7" t="str">
        <f>IFERROR(
   INDEX(tbl_ProduitsRef[Prix Menu],MATCH(tbl_Ventes[[#This Row],[Produit]],tbl_ProduitsRef[Produit],0)),
   ""
)</f>
        <v/>
      </c>
      <c r="G665" s="7">
        <f>tbl_Ventes[[#This Row],[Qté Vendue]] * IFERROR(_xlfn.XLOOKUP(tbl_Ventes[[#This Row],[Cde_Prdt]], tbl_Produits[Cde_Prdt], tbl_Produits[Prix Menu]), 0)</f>
        <v>0</v>
      </c>
      <c r="H665" s="7">
        <f>IFERROR(_xlfn.XLOOKUP(tbl_Ventes[[#This Row],[Cde_Prdt]], tbl_Produits[Cde_Prdt], tbl_Produits[Coût Moyen Portion]), 0)</f>
        <v>0</v>
      </c>
      <c r="I665" s="7">
        <f>tbl_Ventes[[#This Row],[Qté Vendue]] * tbl_Ventes[[#This Row],[CMP_par_portion]]</f>
        <v>0</v>
      </c>
      <c r="J665" s="7">
        <f>tbl_Ventes[[#This Row],[CA ligne]] - tbl_Ventes[[#This Row],[Coût matière ligne]]</f>
        <v>0</v>
      </c>
      <c r="K665" s="7" t="str">
        <f>IFERROR(INDEX(tbl_ProduitsRef[Famille], MATCH(tbl_Ventes[[#This Row],[Cde_Prdt]], tbl_Produits[Cde_Prdt], 0)), "")</f>
        <v/>
      </c>
    </row>
    <row r="666" spans="1:11" x14ac:dyDescent="0.25">
      <c r="A666" s="5"/>
      <c r="B666" s="63" t="str">
        <f>IFERROR(TEXT(tbl_Ventes[[#This Row],[Date]],"mm-aaaa"),"")</f>
        <v>01-1900</v>
      </c>
      <c r="D666" s="10" t="str">
        <f>IFERROR(
   INDEX(tbl_ProduitsRef[Cde_Prdt],MATCH(tbl_Ventes[[#This Row],[Produit]],tbl_ProduitsRef[Produit],0)),
   ""
)</f>
        <v/>
      </c>
      <c r="E666" s="7">
        <v>0</v>
      </c>
      <c r="F666" s="7" t="str">
        <f>IFERROR(
   INDEX(tbl_ProduitsRef[Prix Menu],MATCH(tbl_Ventes[[#This Row],[Produit]],tbl_ProduitsRef[Produit],0)),
   ""
)</f>
        <v/>
      </c>
      <c r="G666" s="7">
        <f>tbl_Ventes[[#This Row],[Qté Vendue]] * IFERROR(_xlfn.XLOOKUP(tbl_Ventes[[#This Row],[Cde_Prdt]], tbl_Produits[Cde_Prdt], tbl_Produits[Prix Menu]), 0)</f>
        <v>0</v>
      </c>
      <c r="H666" s="7">
        <f>IFERROR(_xlfn.XLOOKUP(tbl_Ventes[[#This Row],[Cde_Prdt]], tbl_Produits[Cde_Prdt], tbl_Produits[Coût Moyen Portion]), 0)</f>
        <v>0</v>
      </c>
      <c r="I666" s="7">
        <f>tbl_Ventes[[#This Row],[Qté Vendue]] * tbl_Ventes[[#This Row],[CMP_par_portion]]</f>
        <v>0</v>
      </c>
      <c r="J666" s="7">
        <f>tbl_Ventes[[#This Row],[CA ligne]] - tbl_Ventes[[#This Row],[Coût matière ligne]]</f>
        <v>0</v>
      </c>
      <c r="K666" s="7" t="str">
        <f>IFERROR(INDEX(tbl_ProduitsRef[Famille], MATCH(tbl_Ventes[[#This Row],[Cde_Prdt]], tbl_Produits[Cde_Prdt], 0)), "")</f>
        <v/>
      </c>
    </row>
    <row r="667" spans="1:11" x14ac:dyDescent="0.25">
      <c r="A667" s="5"/>
      <c r="B667" s="63" t="str">
        <f>IFERROR(TEXT(tbl_Ventes[[#This Row],[Date]],"mm-aaaa"),"")</f>
        <v>01-1900</v>
      </c>
      <c r="D667" s="10" t="str">
        <f>IFERROR(
   INDEX(tbl_ProduitsRef[Cde_Prdt],MATCH(tbl_Ventes[[#This Row],[Produit]],tbl_ProduitsRef[Produit],0)),
   ""
)</f>
        <v/>
      </c>
      <c r="E667" s="7">
        <v>0</v>
      </c>
      <c r="F667" s="7" t="str">
        <f>IFERROR(
   INDEX(tbl_ProduitsRef[Prix Menu],MATCH(tbl_Ventes[[#This Row],[Produit]],tbl_ProduitsRef[Produit],0)),
   ""
)</f>
        <v/>
      </c>
      <c r="G667" s="7">
        <f>tbl_Ventes[[#This Row],[Qté Vendue]] * IFERROR(_xlfn.XLOOKUP(tbl_Ventes[[#This Row],[Cde_Prdt]], tbl_Produits[Cde_Prdt], tbl_Produits[Prix Menu]), 0)</f>
        <v>0</v>
      </c>
      <c r="H667" s="7">
        <f>IFERROR(_xlfn.XLOOKUP(tbl_Ventes[[#This Row],[Cde_Prdt]], tbl_Produits[Cde_Prdt], tbl_Produits[Coût Moyen Portion]), 0)</f>
        <v>0</v>
      </c>
      <c r="I667" s="7">
        <f>tbl_Ventes[[#This Row],[Qté Vendue]] * tbl_Ventes[[#This Row],[CMP_par_portion]]</f>
        <v>0</v>
      </c>
      <c r="J667" s="7">
        <f>tbl_Ventes[[#This Row],[CA ligne]] - tbl_Ventes[[#This Row],[Coût matière ligne]]</f>
        <v>0</v>
      </c>
      <c r="K667" s="7" t="str">
        <f>IFERROR(INDEX(tbl_ProduitsRef[Famille], MATCH(tbl_Ventes[[#This Row],[Cde_Prdt]], tbl_Produits[Cde_Prdt], 0)), "")</f>
        <v/>
      </c>
    </row>
    <row r="668" spans="1:11" x14ac:dyDescent="0.25">
      <c r="A668" s="5"/>
      <c r="B668" s="63" t="str">
        <f>IFERROR(TEXT(tbl_Ventes[[#This Row],[Date]],"mm-aaaa"),"")</f>
        <v>01-1900</v>
      </c>
      <c r="D668" s="10" t="str">
        <f>IFERROR(
   INDEX(tbl_ProduitsRef[Cde_Prdt],MATCH(tbl_Ventes[[#This Row],[Produit]],tbl_ProduitsRef[Produit],0)),
   ""
)</f>
        <v/>
      </c>
      <c r="E668" s="7">
        <v>0</v>
      </c>
      <c r="F668" s="7" t="str">
        <f>IFERROR(
   INDEX(tbl_ProduitsRef[Prix Menu],MATCH(tbl_Ventes[[#This Row],[Produit]],tbl_ProduitsRef[Produit],0)),
   ""
)</f>
        <v/>
      </c>
      <c r="G668" s="7">
        <f>tbl_Ventes[[#This Row],[Qté Vendue]] * IFERROR(_xlfn.XLOOKUP(tbl_Ventes[[#This Row],[Cde_Prdt]], tbl_Produits[Cde_Prdt], tbl_Produits[Prix Menu]), 0)</f>
        <v>0</v>
      </c>
      <c r="H668" s="7">
        <f>IFERROR(_xlfn.XLOOKUP(tbl_Ventes[[#This Row],[Cde_Prdt]], tbl_Produits[Cde_Prdt], tbl_Produits[Coût Moyen Portion]), 0)</f>
        <v>0</v>
      </c>
      <c r="I668" s="7">
        <f>tbl_Ventes[[#This Row],[Qté Vendue]] * tbl_Ventes[[#This Row],[CMP_par_portion]]</f>
        <v>0</v>
      </c>
      <c r="J668" s="7">
        <f>tbl_Ventes[[#This Row],[CA ligne]] - tbl_Ventes[[#This Row],[Coût matière ligne]]</f>
        <v>0</v>
      </c>
      <c r="K668" s="7" t="str">
        <f>IFERROR(INDEX(tbl_ProduitsRef[Famille], MATCH(tbl_Ventes[[#This Row],[Cde_Prdt]], tbl_Produits[Cde_Prdt], 0)), "")</f>
        <v/>
      </c>
    </row>
    <row r="669" spans="1:11" x14ac:dyDescent="0.25">
      <c r="A669" s="5"/>
      <c r="B669" s="63" t="str">
        <f>IFERROR(TEXT(tbl_Ventes[[#This Row],[Date]],"mm-aaaa"),"")</f>
        <v>01-1900</v>
      </c>
      <c r="D669" s="10" t="str">
        <f>IFERROR(
   INDEX(tbl_ProduitsRef[Cde_Prdt],MATCH(tbl_Ventes[[#This Row],[Produit]],tbl_ProduitsRef[Produit],0)),
   ""
)</f>
        <v/>
      </c>
      <c r="E669" s="7">
        <v>0</v>
      </c>
      <c r="F669" s="7" t="str">
        <f>IFERROR(
   INDEX(tbl_ProduitsRef[Prix Menu],MATCH(tbl_Ventes[[#This Row],[Produit]],tbl_ProduitsRef[Produit],0)),
   ""
)</f>
        <v/>
      </c>
      <c r="G669" s="7">
        <f>tbl_Ventes[[#This Row],[Qté Vendue]] * IFERROR(_xlfn.XLOOKUP(tbl_Ventes[[#This Row],[Cde_Prdt]], tbl_Produits[Cde_Prdt], tbl_Produits[Prix Menu]), 0)</f>
        <v>0</v>
      </c>
      <c r="H669" s="7">
        <f>IFERROR(_xlfn.XLOOKUP(tbl_Ventes[[#This Row],[Cde_Prdt]], tbl_Produits[Cde_Prdt], tbl_Produits[Coût Moyen Portion]), 0)</f>
        <v>0</v>
      </c>
      <c r="I669" s="7">
        <f>tbl_Ventes[[#This Row],[Qté Vendue]] * tbl_Ventes[[#This Row],[CMP_par_portion]]</f>
        <v>0</v>
      </c>
      <c r="J669" s="7">
        <f>tbl_Ventes[[#This Row],[CA ligne]] - tbl_Ventes[[#This Row],[Coût matière ligne]]</f>
        <v>0</v>
      </c>
      <c r="K669" s="7" t="str">
        <f>IFERROR(INDEX(tbl_ProduitsRef[Famille], MATCH(tbl_Ventes[[#This Row],[Cde_Prdt]], tbl_Produits[Cde_Prdt], 0)), "")</f>
        <v/>
      </c>
    </row>
    <row r="670" spans="1:11" x14ac:dyDescent="0.25">
      <c r="A670" s="5"/>
      <c r="B670" s="63" t="str">
        <f>IFERROR(TEXT(tbl_Ventes[[#This Row],[Date]],"mm-aaaa"),"")</f>
        <v>01-1900</v>
      </c>
      <c r="D670" s="10" t="str">
        <f>IFERROR(
   INDEX(tbl_ProduitsRef[Cde_Prdt],MATCH(tbl_Ventes[[#This Row],[Produit]],tbl_ProduitsRef[Produit],0)),
   ""
)</f>
        <v/>
      </c>
      <c r="E670" s="7">
        <v>0</v>
      </c>
      <c r="F670" s="7" t="str">
        <f>IFERROR(
   INDEX(tbl_ProduitsRef[Prix Menu],MATCH(tbl_Ventes[[#This Row],[Produit]],tbl_ProduitsRef[Produit],0)),
   ""
)</f>
        <v/>
      </c>
      <c r="G670" s="7">
        <f>tbl_Ventes[[#This Row],[Qté Vendue]] * IFERROR(_xlfn.XLOOKUP(tbl_Ventes[[#This Row],[Cde_Prdt]], tbl_Produits[Cde_Prdt], tbl_Produits[Prix Menu]), 0)</f>
        <v>0</v>
      </c>
      <c r="H670" s="7">
        <f>IFERROR(_xlfn.XLOOKUP(tbl_Ventes[[#This Row],[Cde_Prdt]], tbl_Produits[Cde_Prdt], tbl_Produits[Coût Moyen Portion]), 0)</f>
        <v>0</v>
      </c>
      <c r="I670" s="7">
        <f>tbl_Ventes[[#This Row],[Qté Vendue]] * tbl_Ventes[[#This Row],[CMP_par_portion]]</f>
        <v>0</v>
      </c>
      <c r="J670" s="7">
        <f>tbl_Ventes[[#This Row],[CA ligne]] - tbl_Ventes[[#This Row],[Coût matière ligne]]</f>
        <v>0</v>
      </c>
      <c r="K670" s="7" t="str">
        <f>IFERROR(INDEX(tbl_ProduitsRef[Famille], MATCH(tbl_Ventes[[#This Row],[Cde_Prdt]], tbl_Produits[Cde_Prdt], 0)), "")</f>
        <v/>
      </c>
    </row>
    <row r="671" spans="1:11" x14ac:dyDescent="0.25">
      <c r="A671" s="5"/>
      <c r="B671" s="63" t="str">
        <f>IFERROR(TEXT(tbl_Ventes[[#This Row],[Date]],"mm-aaaa"),"")</f>
        <v>01-1900</v>
      </c>
      <c r="D671" s="10" t="str">
        <f>IFERROR(
   INDEX(tbl_ProduitsRef[Cde_Prdt],MATCH(tbl_Ventes[[#This Row],[Produit]],tbl_ProduitsRef[Produit],0)),
   ""
)</f>
        <v/>
      </c>
      <c r="E671" s="7">
        <v>0</v>
      </c>
      <c r="F671" s="7" t="str">
        <f>IFERROR(
   INDEX(tbl_ProduitsRef[Prix Menu],MATCH(tbl_Ventes[[#This Row],[Produit]],tbl_ProduitsRef[Produit],0)),
   ""
)</f>
        <v/>
      </c>
      <c r="G671" s="7">
        <f>tbl_Ventes[[#This Row],[Qté Vendue]] * IFERROR(_xlfn.XLOOKUP(tbl_Ventes[[#This Row],[Cde_Prdt]], tbl_Produits[Cde_Prdt], tbl_Produits[Prix Menu]), 0)</f>
        <v>0</v>
      </c>
      <c r="H671" s="7">
        <f>IFERROR(_xlfn.XLOOKUP(tbl_Ventes[[#This Row],[Cde_Prdt]], tbl_Produits[Cde_Prdt], tbl_Produits[Coût Moyen Portion]), 0)</f>
        <v>0</v>
      </c>
      <c r="I671" s="7">
        <f>tbl_Ventes[[#This Row],[Qté Vendue]] * tbl_Ventes[[#This Row],[CMP_par_portion]]</f>
        <v>0</v>
      </c>
      <c r="J671" s="7">
        <f>tbl_Ventes[[#This Row],[CA ligne]] - tbl_Ventes[[#This Row],[Coût matière ligne]]</f>
        <v>0</v>
      </c>
      <c r="K671" s="7" t="str">
        <f>IFERROR(INDEX(tbl_ProduitsRef[Famille], MATCH(tbl_Ventes[[#This Row],[Cde_Prdt]], tbl_Produits[Cde_Prdt], 0)), "")</f>
        <v/>
      </c>
    </row>
    <row r="672" spans="1:11" x14ac:dyDescent="0.25">
      <c r="A672" s="5"/>
      <c r="B672" s="63" t="str">
        <f>IFERROR(TEXT(tbl_Ventes[[#This Row],[Date]],"mm-aaaa"),"")</f>
        <v>01-1900</v>
      </c>
      <c r="D672" s="10" t="str">
        <f>IFERROR(
   INDEX(tbl_ProduitsRef[Cde_Prdt],MATCH(tbl_Ventes[[#This Row],[Produit]],tbl_ProduitsRef[Produit],0)),
   ""
)</f>
        <v/>
      </c>
      <c r="E672" s="7">
        <v>0</v>
      </c>
      <c r="F672" s="7" t="str">
        <f>IFERROR(
   INDEX(tbl_ProduitsRef[Prix Menu],MATCH(tbl_Ventes[[#This Row],[Produit]],tbl_ProduitsRef[Produit],0)),
   ""
)</f>
        <v/>
      </c>
      <c r="G672" s="7">
        <f>tbl_Ventes[[#This Row],[Qté Vendue]] * IFERROR(_xlfn.XLOOKUP(tbl_Ventes[[#This Row],[Cde_Prdt]], tbl_Produits[Cde_Prdt], tbl_Produits[Prix Menu]), 0)</f>
        <v>0</v>
      </c>
      <c r="H672" s="7">
        <f>IFERROR(_xlfn.XLOOKUP(tbl_Ventes[[#This Row],[Cde_Prdt]], tbl_Produits[Cde_Prdt], tbl_Produits[Coût Moyen Portion]), 0)</f>
        <v>0</v>
      </c>
      <c r="I672" s="7">
        <f>tbl_Ventes[[#This Row],[Qté Vendue]] * tbl_Ventes[[#This Row],[CMP_par_portion]]</f>
        <v>0</v>
      </c>
      <c r="J672" s="7">
        <f>tbl_Ventes[[#This Row],[CA ligne]] - tbl_Ventes[[#This Row],[Coût matière ligne]]</f>
        <v>0</v>
      </c>
      <c r="K672" s="7" t="str">
        <f>IFERROR(INDEX(tbl_ProduitsRef[Famille], MATCH(tbl_Ventes[[#This Row],[Cde_Prdt]], tbl_Produits[Cde_Prdt], 0)), "")</f>
        <v/>
      </c>
    </row>
    <row r="673" spans="1:11" x14ac:dyDescent="0.25">
      <c r="A673" s="5"/>
      <c r="B673" s="63" t="str">
        <f>IFERROR(TEXT(tbl_Ventes[[#This Row],[Date]],"mm-aaaa"),"")</f>
        <v>01-1900</v>
      </c>
      <c r="D673" s="10" t="str">
        <f>IFERROR(
   INDEX(tbl_ProduitsRef[Cde_Prdt],MATCH(tbl_Ventes[[#This Row],[Produit]],tbl_ProduitsRef[Produit],0)),
   ""
)</f>
        <v/>
      </c>
      <c r="E673" s="7">
        <v>0</v>
      </c>
      <c r="F673" s="7" t="str">
        <f>IFERROR(
   INDEX(tbl_ProduitsRef[Prix Menu],MATCH(tbl_Ventes[[#This Row],[Produit]],tbl_ProduitsRef[Produit],0)),
   ""
)</f>
        <v/>
      </c>
      <c r="G673" s="7">
        <f>tbl_Ventes[[#This Row],[Qté Vendue]] * IFERROR(_xlfn.XLOOKUP(tbl_Ventes[[#This Row],[Cde_Prdt]], tbl_Produits[Cde_Prdt], tbl_Produits[Prix Menu]), 0)</f>
        <v>0</v>
      </c>
      <c r="H673" s="7">
        <f>IFERROR(_xlfn.XLOOKUP(tbl_Ventes[[#This Row],[Cde_Prdt]], tbl_Produits[Cde_Prdt], tbl_Produits[Coût Moyen Portion]), 0)</f>
        <v>0</v>
      </c>
      <c r="I673" s="7">
        <f>tbl_Ventes[[#This Row],[Qté Vendue]] * tbl_Ventes[[#This Row],[CMP_par_portion]]</f>
        <v>0</v>
      </c>
      <c r="J673" s="7">
        <f>tbl_Ventes[[#This Row],[CA ligne]] - tbl_Ventes[[#This Row],[Coût matière ligne]]</f>
        <v>0</v>
      </c>
      <c r="K673" s="7" t="str">
        <f>IFERROR(INDEX(tbl_ProduitsRef[Famille], MATCH(tbl_Ventes[[#This Row],[Cde_Prdt]], tbl_Produits[Cde_Prdt], 0)), "")</f>
        <v/>
      </c>
    </row>
    <row r="674" spans="1:11" x14ac:dyDescent="0.25">
      <c r="A674" s="5"/>
      <c r="B674" s="63" t="str">
        <f>IFERROR(TEXT(tbl_Ventes[[#This Row],[Date]],"mm-aaaa"),"")</f>
        <v>01-1900</v>
      </c>
      <c r="D674" s="10" t="str">
        <f>IFERROR(
   INDEX(tbl_ProduitsRef[Cde_Prdt],MATCH(tbl_Ventes[[#This Row],[Produit]],tbl_ProduitsRef[Produit],0)),
   ""
)</f>
        <v/>
      </c>
      <c r="E674" s="7">
        <v>0</v>
      </c>
      <c r="F674" s="7" t="str">
        <f>IFERROR(
   INDEX(tbl_ProduitsRef[Prix Menu],MATCH(tbl_Ventes[[#This Row],[Produit]],tbl_ProduitsRef[Produit],0)),
   ""
)</f>
        <v/>
      </c>
      <c r="G674" s="7">
        <f>tbl_Ventes[[#This Row],[Qté Vendue]] * IFERROR(_xlfn.XLOOKUP(tbl_Ventes[[#This Row],[Cde_Prdt]], tbl_Produits[Cde_Prdt], tbl_Produits[Prix Menu]), 0)</f>
        <v>0</v>
      </c>
      <c r="H674" s="7">
        <f>IFERROR(_xlfn.XLOOKUP(tbl_Ventes[[#This Row],[Cde_Prdt]], tbl_Produits[Cde_Prdt], tbl_Produits[Coût Moyen Portion]), 0)</f>
        <v>0</v>
      </c>
      <c r="I674" s="7">
        <f>tbl_Ventes[[#This Row],[Qté Vendue]] * tbl_Ventes[[#This Row],[CMP_par_portion]]</f>
        <v>0</v>
      </c>
      <c r="J674" s="7">
        <f>tbl_Ventes[[#This Row],[CA ligne]] - tbl_Ventes[[#This Row],[Coût matière ligne]]</f>
        <v>0</v>
      </c>
      <c r="K674" s="7" t="str">
        <f>IFERROR(INDEX(tbl_ProduitsRef[Famille], MATCH(tbl_Ventes[[#This Row],[Cde_Prdt]], tbl_Produits[Cde_Prdt], 0)), "")</f>
        <v/>
      </c>
    </row>
    <row r="675" spans="1:11" x14ac:dyDescent="0.25">
      <c r="A675" s="5"/>
      <c r="B675" s="63" t="str">
        <f>IFERROR(TEXT(tbl_Ventes[[#This Row],[Date]],"mm-aaaa"),"")</f>
        <v>01-1900</v>
      </c>
      <c r="D675" s="10" t="str">
        <f>IFERROR(
   INDEX(tbl_ProduitsRef[Cde_Prdt],MATCH(tbl_Ventes[[#This Row],[Produit]],tbl_ProduitsRef[Produit],0)),
   ""
)</f>
        <v/>
      </c>
      <c r="E675" s="7">
        <v>0</v>
      </c>
      <c r="F675" s="7" t="str">
        <f>IFERROR(
   INDEX(tbl_ProduitsRef[Prix Menu],MATCH(tbl_Ventes[[#This Row],[Produit]],tbl_ProduitsRef[Produit],0)),
   ""
)</f>
        <v/>
      </c>
      <c r="G675" s="7">
        <f>tbl_Ventes[[#This Row],[Qté Vendue]] * IFERROR(_xlfn.XLOOKUP(tbl_Ventes[[#This Row],[Cde_Prdt]], tbl_Produits[Cde_Prdt], tbl_Produits[Prix Menu]), 0)</f>
        <v>0</v>
      </c>
      <c r="H675" s="7">
        <f>IFERROR(_xlfn.XLOOKUP(tbl_Ventes[[#This Row],[Cde_Prdt]], tbl_Produits[Cde_Prdt], tbl_Produits[Coût Moyen Portion]), 0)</f>
        <v>0</v>
      </c>
      <c r="I675" s="7">
        <f>tbl_Ventes[[#This Row],[Qté Vendue]] * tbl_Ventes[[#This Row],[CMP_par_portion]]</f>
        <v>0</v>
      </c>
      <c r="J675" s="7">
        <f>tbl_Ventes[[#This Row],[CA ligne]] - tbl_Ventes[[#This Row],[Coût matière ligne]]</f>
        <v>0</v>
      </c>
      <c r="K675" s="7" t="str">
        <f>IFERROR(INDEX(tbl_ProduitsRef[Famille], MATCH(tbl_Ventes[[#This Row],[Cde_Prdt]], tbl_Produits[Cde_Prdt], 0)), "")</f>
        <v/>
      </c>
    </row>
    <row r="676" spans="1:11" x14ac:dyDescent="0.25">
      <c r="A676" s="5"/>
      <c r="B676" s="63" t="str">
        <f>IFERROR(TEXT(tbl_Ventes[[#This Row],[Date]],"mm-aaaa"),"")</f>
        <v>01-1900</v>
      </c>
      <c r="D676" s="10" t="str">
        <f>IFERROR(
   INDEX(tbl_ProduitsRef[Cde_Prdt],MATCH(tbl_Ventes[[#This Row],[Produit]],tbl_ProduitsRef[Produit],0)),
   ""
)</f>
        <v/>
      </c>
      <c r="E676" s="7">
        <v>0</v>
      </c>
      <c r="F676" s="7" t="str">
        <f>IFERROR(
   INDEX(tbl_ProduitsRef[Prix Menu],MATCH(tbl_Ventes[[#This Row],[Produit]],tbl_ProduitsRef[Produit],0)),
   ""
)</f>
        <v/>
      </c>
      <c r="G676" s="7">
        <f>tbl_Ventes[[#This Row],[Qté Vendue]] * IFERROR(_xlfn.XLOOKUP(tbl_Ventes[[#This Row],[Cde_Prdt]], tbl_Produits[Cde_Prdt], tbl_Produits[Prix Menu]), 0)</f>
        <v>0</v>
      </c>
      <c r="H676" s="7">
        <f>IFERROR(_xlfn.XLOOKUP(tbl_Ventes[[#This Row],[Cde_Prdt]], tbl_Produits[Cde_Prdt], tbl_Produits[Coût Moyen Portion]), 0)</f>
        <v>0</v>
      </c>
      <c r="I676" s="7">
        <f>tbl_Ventes[[#This Row],[Qté Vendue]] * tbl_Ventes[[#This Row],[CMP_par_portion]]</f>
        <v>0</v>
      </c>
      <c r="J676" s="7">
        <f>tbl_Ventes[[#This Row],[CA ligne]] - tbl_Ventes[[#This Row],[Coût matière ligne]]</f>
        <v>0</v>
      </c>
      <c r="K676" s="7" t="str">
        <f>IFERROR(INDEX(tbl_ProduitsRef[Famille], MATCH(tbl_Ventes[[#This Row],[Cde_Prdt]], tbl_Produits[Cde_Prdt], 0)), "")</f>
        <v/>
      </c>
    </row>
    <row r="677" spans="1:11" x14ac:dyDescent="0.25">
      <c r="A677" s="5"/>
      <c r="B677" s="63" t="str">
        <f>IFERROR(TEXT(tbl_Ventes[[#This Row],[Date]],"mm-aaaa"),"")</f>
        <v>01-1900</v>
      </c>
      <c r="D677" s="10" t="str">
        <f>IFERROR(
   INDEX(tbl_ProduitsRef[Cde_Prdt],MATCH(tbl_Ventes[[#This Row],[Produit]],tbl_ProduitsRef[Produit],0)),
   ""
)</f>
        <v/>
      </c>
      <c r="E677" s="7">
        <v>0</v>
      </c>
      <c r="F677" s="7" t="str">
        <f>IFERROR(
   INDEX(tbl_ProduitsRef[Prix Menu],MATCH(tbl_Ventes[[#This Row],[Produit]],tbl_ProduitsRef[Produit],0)),
   ""
)</f>
        <v/>
      </c>
      <c r="G677" s="7">
        <f>tbl_Ventes[[#This Row],[Qté Vendue]] * IFERROR(_xlfn.XLOOKUP(tbl_Ventes[[#This Row],[Cde_Prdt]], tbl_Produits[Cde_Prdt], tbl_Produits[Prix Menu]), 0)</f>
        <v>0</v>
      </c>
      <c r="H677" s="7">
        <f>IFERROR(_xlfn.XLOOKUP(tbl_Ventes[[#This Row],[Cde_Prdt]], tbl_Produits[Cde_Prdt], tbl_Produits[Coût Moyen Portion]), 0)</f>
        <v>0</v>
      </c>
      <c r="I677" s="7">
        <f>tbl_Ventes[[#This Row],[Qté Vendue]] * tbl_Ventes[[#This Row],[CMP_par_portion]]</f>
        <v>0</v>
      </c>
      <c r="J677" s="7">
        <f>tbl_Ventes[[#This Row],[CA ligne]] - tbl_Ventes[[#This Row],[Coût matière ligne]]</f>
        <v>0</v>
      </c>
      <c r="K677" s="7" t="str">
        <f>IFERROR(INDEX(tbl_ProduitsRef[Famille], MATCH(tbl_Ventes[[#This Row],[Cde_Prdt]], tbl_Produits[Cde_Prdt], 0)), "")</f>
        <v/>
      </c>
    </row>
    <row r="678" spans="1:11" x14ac:dyDescent="0.25">
      <c r="A678" s="5"/>
      <c r="B678" s="63" t="str">
        <f>IFERROR(TEXT(tbl_Ventes[[#This Row],[Date]],"mm-aaaa"),"")</f>
        <v>01-1900</v>
      </c>
      <c r="D678" s="10" t="str">
        <f>IFERROR(
   INDEX(tbl_ProduitsRef[Cde_Prdt],MATCH(tbl_Ventes[[#This Row],[Produit]],tbl_ProduitsRef[Produit],0)),
   ""
)</f>
        <v/>
      </c>
      <c r="E678" s="7">
        <v>0</v>
      </c>
      <c r="F678" s="7" t="str">
        <f>IFERROR(
   INDEX(tbl_ProduitsRef[Prix Menu],MATCH(tbl_Ventes[[#This Row],[Produit]],tbl_ProduitsRef[Produit],0)),
   ""
)</f>
        <v/>
      </c>
      <c r="G678" s="7">
        <f>tbl_Ventes[[#This Row],[Qté Vendue]] * IFERROR(_xlfn.XLOOKUP(tbl_Ventes[[#This Row],[Cde_Prdt]], tbl_Produits[Cde_Prdt], tbl_Produits[Prix Menu]), 0)</f>
        <v>0</v>
      </c>
      <c r="H678" s="7">
        <f>IFERROR(_xlfn.XLOOKUP(tbl_Ventes[[#This Row],[Cde_Prdt]], tbl_Produits[Cde_Prdt], tbl_Produits[Coût Moyen Portion]), 0)</f>
        <v>0</v>
      </c>
      <c r="I678" s="7">
        <f>tbl_Ventes[[#This Row],[Qté Vendue]] * tbl_Ventes[[#This Row],[CMP_par_portion]]</f>
        <v>0</v>
      </c>
      <c r="J678" s="7">
        <f>tbl_Ventes[[#This Row],[CA ligne]] - tbl_Ventes[[#This Row],[Coût matière ligne]]</f>
        <v>0</v>
      </c>
      <c r="K678" s="7" t="str">
        <f>IFERROR(INDEX(tbl_ProduitsRef[Famille], MATCH(tbl_Ventes[[#This Row],[Cde_Prdt]], tbl_Produits[Cde_Prdt], 0)), "")</f>
        <v/>
      </c>
    </row>
    <row r="679" spans="1:11" x14ac:dyDescent="0.25">
      <c r="A679" s="5"/>
      <c r="B679" s="63" t="str">
        <f>IFERROR(TEXT(tbl_Ventes[[#This Row],[Date]],"mm-aaaa"),"")</f>
        <v>01-1900</v>
      </c>
      <c r="D679" s="10" t="str">
        <f>IFERROR(
   INDEX(tbl_ProduitsRef[Cde_Prdt],MATCH(tbl_Ventes[[#This Row],[Produit]],tbl_ProduitsRef[Produit],0)),
   ""
)</f>
        <v/>
      </c>
      <c r="E679" s="7">
        <v>0</v>
      </c>
      <c r="F679" s="7" t="str">
        <f>IFERROR(
   INDEX(tbl_ProduitsRef[Prix Menu],MATCH(tbl_Ventes[[#This Row],[Produit]],tbl_ProduitsRef[Produit],0)),
   ""
)</f>
        <v/>
      </c>
      <c r="G679" s="7">
        <f>tbl_Ventes[[#This Row],[Qté Vendue]] * IFERROR(_xlfn.XLOOKUP(tbl_Ventes[[#This Row],[Cde_Prdt]], tbl_Produits[Cde_Prdt], tbl_Produits[Prix Menu]), 0)</f>
        <v>0</v>
      </c>
      <c r="H679" s="7">
        <f>IFERROR(_xlfn.XLOOKUP(tbl_Ventes[[#This Row],[Cde_Prdt]], tbl_Produits[Cde_Prdt], tbl_Produits[Coût Moyen Portion]), 0)</f>
        <v>0</v>
      </c>
      <c r="I679" s="7">
        <f>tbl_Ventes[[#This Row],[Qté Vendue]] * tbl_Ventes[[#This Row],[CMP_par_portion]]</f>
        <v>0</v>
      </c>
      <c r="J679" s="7">
        <f>tbl_Ventes[[#This Row],[CA ligne]] - tbl_Ventes[[#This Row],[Coût matière ligne]]</f>
        <v>0</v>
      </c>
      <c r="K679" s="7" t="str">
        <f>IFERROR(INDEX(tbl_ProduitsRef[Famille], MATCH(tbl_Ventes[[#This Row],[Cde_Prdt]], tbl_Produits[Cde_Prdt], 0)), "")</f>
        <v/>
      </c>
    </row>
    <row r="680" spans="1:11" x14ac:dyDescent="0.25">
      <c r="A680" s="5"/>
      <c r="B680" s="63" t="str">
        <f>IFERROR(TEXT(tbl_Ventes[[#This Row],[Date]],"mm-aaaa"),"")</f>
        <v>01-1900</v>
      </c>
      <c r="D680" s="10" t="str">
        <f>IFERROR(
   INDEX(tbl_ProduitsRef[Cde_Prdt],MATCH(tbl_Ventes[[#This Row],[Produit]],tbl_ProduitsRef[Produit],0)),
   ""
)</f>
        <v/>
      </c>
      <c r="E680" s="7">
        <v>0</v>
      </c>
      <c r="F680" s="7" t="str">
        <f>IFERROR(
   INDEX(tbl_ProduitsRef[Prix Menu],MATCH(tbl_Ventes[[#This Row],[Produit]],tbl_ProduitsRef[Produit],0)),
   ""
)</f>
        <v/>
      </c>
      <c r="G680" s="7">
        <f>tbl_Ventes[[#This Row],[Qté Vendue]] * IFERROR(_xlfn.XLOOKUP(tbl_Ventes[[#This Row],[Cde_Prdt]], tbl_Produits[Cde_Prdt], tbl_Produits[Prix Menu]), 0)</f>
        <v>0</v>
      </c>
      <c r="H680" s="7">
        <f>IFERROR(_xlfn.XLOOKUP(tbl_Ventes[[#This Row],[Cde_Prdt]], tbl_Produits[Cde_Prdt], tbl_Produits[Coût Moyen Portion]), 0)</f>
        <v>0</v>
      </c>
      <c r="I680" s="7">
        <f>tbl_Ventes[[#This Row],[Qté Vendue]] * tbl_Ventes[[#This Row],[CMP_par_portion]]</f>
        <v>0</v>
      </c>
      <c r="J680" s="7">
        <f>tbl_Ventes[[#This Row],[CA ligne]] - tbl_Ventes[[#This Row],[Coût matière ligne]]</f>
        <v>0</v>
      </c>
      <c r="K680" s="7" t="str">
        <f>IFERROR(INDEX(tbl_ProduitsRef[Famille], MATCH(tbl_Ventes[[#This Row],[Cde_Prdt]], tbl_Produits[Cde_Prdt], 0)), "")</f>
        <v/>
      </c>
    </row>
    <row r="681" spans="1:11" x14ac:dyDescent="0.25">
      <c r="A681" s="5"/>
      <c r="B681" s="63" t="str">
        <f>IFERROR(TEXT(tbl_Ventes[[#This Row],[Date]],"mm-aaaa"),"")</f>
        <v>01-1900</v>
      </c>
      <c r="D681" s="10" t="str">
        <f>IFERROR(
   INDEX(tbl_ProduitsRef[Cde_Prdt],MATCH(tbl_Ventes[[#This Row],[Produit]],tbl_ProduitsRef[Produit],0)),
   ""
)</f>
        <v/>
      </c>
      <c r="E681" s="7">
        <v>0</v>
      </c>
      <c r="F681" s="7" t="str">
        <f>IFERROR(
   INDEX(tbl_ProduitsRef[Prix Menu],MATCH(tbl_Ventes[[#This Row],[Produit]],tbl_ProduitsRef[Produit],0)),
   ""
)</f>
        <v/>
      </c>
      <c r="G681" s="7">
        <f>tbl_Ventes[[#This Row],[Qté Vendue]] * IFERROR(_xlfn.XLOOKUP(tbl_Ventes[[#This Row],[Cde_Prdt]], tbl_Produits[Cde_Prdt], tbl_Produits[Prix Menu]), 0)</f>
        <v>0</v>
      </c>
      <c r="H681" s="7">
        <f>IFERROR(_xlfn.XLOOKUP(tbl_Ventes[[#This Row],[Cde_Prdt]], tbl_Produits[Cde_Prdt], tbl_Produits[Coût Moyen Portion]), 0)</f>
        <v>0</v>
      </c>
      <c r="I681" s="7">
        <f>tbl_Ventes[[#This Row],[Qté Vendue]] * tbl_Ventes[[#This Row],[CMP_par_portion]]</f>
        <v>0</v>
      </c>
      <c r="J681" s="7">
        <f>tbl_Ventes[[#This Row],[CA ligne]] - tbl_Ventes[[#This Row],[Coût matière ligne]]</f>
        <v>0</v>
      </c>
      <c r="K681" s="7" t="str">
        <f>IFERROR(INDEX(tbl_ProduitsRef[Famille], MATCH(tbl_Ventes[[#This Row],[Cde_Prdt]], tbl_Produits[Cde_Prdt], 0)), "")</f>
        <v/>
      </c>
    </row>
    <row r="682" spans="1:11" x14ac:dyDescent="0.25">
      <c r="A682" s="5"/>
      <c r="B682" s="63" t="str">
        <f>IFERROR(TEXT(tbl_Ventes[[#This Row],[Date]],"mm-aaaa"),"")</f>
        <v>01-1900</v>
      </c>
      <c r="D682" s="10" t="str">
        <f>IFERROR(
   INDEX(tbl_ProduitsRef[Cde_Prdt],MATCH(tbl_Ventes[[#This Row],[Produit]],tbl_ProduitsRef[Produit],0)),
   ""
)</f>
        <v/>
      </c>
      <c r="E682" s="7">
        <v>0</v>
      </c>
      <c r="F682" s="7" t="str">
        <f>IFERROR(
   INDEX(tbl_ProduitsRef[Prix Menu],MATCH(tbl_Ventes[[#This Row],[Produit]],tbl_ProduitsRef[Produit],0)),
   ""
)</f>
        <v/>
      </c>
      <c r="G682" s="7">
        <f>tbl_Ventes[[#This Row],[Qté Vendue]] * IFERROR(_xlfn.XLOOKUP(tbl_Ventes[[#This Row],[Cde_Prdt]], tbl_Produits[Cde_Prdt], tbl_Produits[Prix Menu]), 0)</f>
        <v>0</v>
      </c>
      <c r="H682" s="7">
        <f>IFERROR(_xlfn.XLOOKUP(tbl_Ventes[[#This Row],[Cde_Prdt]], tbl_Produits[Cde_Prdt], tbl_Produits[Coût Moyen Portion]), 0)</f>
        <v>0</v>
      </c>
      <c r="I682" s="7">
        <f>tbl_Ventes[[#This Row],[Qté Vendue]] * tbl_Ventes[[#This Row],[CMP_par_portion]]</f>
        <v>0</v>
      </c>
      <c r="J682" s="7">
        <f>tbl_Ventes[[#This Row],[CA ligne]] - tbl_Ventes[[#This Row],[Coût matière ligne]]</f>
        <v>0</v>
      </c>
      <c r="K682" s="7" t="str">
        <f>IFERROR(INDEX(tbl_ProduitsRef[Famille], MATCH(tbl_Ventes[[#This Row],[Cde_Prdt]], tbl_Produits[Cde_Prdt], 0)), "")</f>
        <v/>
      </c>
    </row>
    <row r="683" spans="1:11" x14ac:dyDescent="0.25">
      <c r="A683" s="5"/>
      <c r="B683" s="63" t="str">
        <f>IFERROR(TEXT(tbl_Ventes[[#This Row],[Date]],"mm-aaaa"),"")</f>
        <v>01-1900</v>
      </c>
      <c r="D683" s="10" t="str">
        <f>IFERROR(
   INDEX(tbl_ProduitsRef[Cde_Prdt],MATCH(tbl_Ventes[[#This Row],[Produit]],tbl_ProduitsRef[Produit],0)),
   ""
)</f>
        <v/>
      </c>
      <c r="E683" s="7">
        <v>0</v>
      </c>
      <c r="F683" s="7" t="str">
        <f>IFERROR(
   INDEX(tbl_ProduitsRef[Prix Menu],MATCH(tbl_Ventes[[#This Row],[Produit]],tbl_ProduitsRef[Produit],0)),
   ""
)</f>
        <v/>
      </c>
      <c r="G683" s="7">
        <f>tbl_Ventes[[#This Row],[Qté Vendue]] * IFERROR(_xlfn.XLOOKUP(tbl_Ventes[[#This Row],[Cde_Prdt]], tbl_Produits[Cde_Prdt], tbl_Produits[Prix Menu]), 0)</f>
        <v>0</v>
      </c>
      <c r="H683" s="7">
        <f>IFERROR(_xlfn.XLOOKUP(tbl_Ventes[[#This Row],[Cde_Prdt]], tbl_Produits[Cde_Prdt], tbl_Produits[Coût Moyen Portion]), 0)</f>
        <v>0</v>
      </c>
      <c r="I683" s="7">
        <f>tbl_Ventes[[#This Row],[Qté Vendue]] * tbl_Ventes[[#This Row],[CMP_par_portion]]</f>
        <v>0</v>
      </c>
      <c r="J683" s="7">
        <f>tbl_Ventes[[#This Row],[CA ligne]] - tbl_Ventes[[#This Row],[Coût matière ligne]]</f>
        <v>0</v>
      </c>
      <c r="K683" s="7" t="str">
        <f>IFERROR(INDEX(tbl_ProduitsRef[Famille], MATCH(tbl_Ventes[[#This Row],[Cde_Prdt]], tbl_Produits[Cde_Prdt], 0)), "")</f>
        <v/>
      </c>
    </row>
    <row r="684" spans="1:11" x14ac:dyDescent="0.25">
      <c r="A684" s="5"/>
      <c r="B684" s="63" t="str">
        <f>IFERROR(TEXT(tbl_Ventes[[#This Row],[Date]],"mm-aaaa"),"")</f>
        <v>01-1900</v>
      </c>
      <c r="D684" s="10" t="str">
        <f>IFERROR(
   INDEX(tbl_ProduitsRef[Cde_Prdt],MATCH(tbl_Ventes[[#This Row],[Produit]],tbl_ProduitsRef[Produit],0)),
   ""
)</f>
        <v/>
      </c>
      <c r="E684" s="7">
        <v>0</v>
      </c>
      <c r="F684" s="7" t="str">
        <f>IFERROR(
   INDEX(tbl_ProduitsRef[Prix Menu],MATCH(tbl_Ventes[[#This Row],[Produit]],tbl_ProduitsRef[Produit],0)),
   ""
)</f>
        <v/>
      </c>
      <c r="G684" s="7">
        <f>tbl_Ventes[[#This Row],[Qté Vendue]] * IFERROR(_xlfn.XLOOKUP(tbl_Ventes[[#This Row],[Cde_Prdt]], tbl_Produits[Cde_Prdt], tbl_Produits[Prix Menu]), 0)</f>
        <v>0</v>
      </c>
      <c r="H684" s="7">
        <f>IFERROR(_xlfn.XLOOKUP(tbl_Ventes[[#This Row],[Cde_Prdt]], tbl_Produits[Cde_Prdt], tbl_Produits[Coût Moyen Portion]), 0)</f>
        <v>0</v>
      </c>
      <c r="I684" s="7">
        <f>tbl_Ventes[[#This Row],[Qté Vendue]] * tbl_Ventes[[#This Row],[CMP_par_portion]]</f>
        <v>0</v>
      </c>
      <c r="J684" s="7">
        <f>tbl_Ventes[[#This Row],[CA ligne]] - tbl_Ventes[[#This Row],[Coût matière ligne]]</f>
        <v>0</v>
      </c>
      <c r="K684" s="7" t="str">
        <f>IFERROR(INDEX(tbl_ProduitsRef[Famille], MATCH(tbl_Ventes[[#This Row],[Cde_Prdt]], tbl_Produits[Cde_Prdt], 0)), "")</f>
        <v/>
      </c>
    </row>
    <row r="685" spans="1:11" x14ac:dyDescent="0.25">
      <c r="A685" s="5"/>
      <c r="B685" s="63" t="str">
        <f>IFERROR(TEXT(tbl_Ventes[[#This Row],[Date]],"mm-aaaa"),"")</f>
        <v>01-1900</v>
      </c>
      <c r="D685" s="10" t="str">
        <f>IFERROR(
   INDEX(tbl_ProduitsRef[Cde_Prdt],MATCH(tbl_Ventes[[#This Row],[Produit]],tbl_ProduitsRef[Produit],0)),
   ""
)</f>
        <v/>
      </c>
      <c r="E685" s="7">
        <v>0</v>
      </c>
      <c r="F685" s="7" t="str">
        <f>IFERROR(
   INDEX(tbl_ProduitsRef[Prix Menu],MATCH(tbl_Ventes[[#This Row],[Produit]],tbl_ProduitsRef[Produit],0)),
   ""
)</f>
        <v/>
      </c>
      <c r="G685" s="7">
        <f>tbl_Ventes[[#This Row],[Qté Vendue]] * IFERROR(_xlfn.XLOOKUP(tbl_Ventes[[#This Row],[Cde_Prdt]], tbl_Produits[Cde_Prdt], tbl_Produits[Prix Menu]), 0)</f>
        <v>0</v>
      </c>
      <c r="H685" s="7">
        <f>IFERROR(_xlfn.XLOOKUP(tbl_Ventes[[#This Row],[Cde_Prdt]], tbl_Produits[Cde_Prdt], tbl_Produits[Coût Moyen Portion]), 0)</f>
        <v>0</v>
      </c>
      <c r="I685" s="7">
        <f>tbl_Ventes[[#This Row],[Qté Vendue]] * tbl_Ventes[[#This Row],[CMP_par_portion]]</f>
        <v>0</v>
      </c>
      <c r="J685" s="7">
        <f>tbl_Ventes[[#This Row],[CA ligne]] - tbl_Ventes[[#This Row],[Coût matière ligne]]</f>
        <v>0</v>
      </c>
      <c r="K685" s="7" t="str">
        <f>IFERROR(INDEX(tbl_ProduitsRef[Famille], MATCH(tbl_Ventes[[#This Row],[Cde_Prdt]], tbl_Produits[Cde_Prdt], 0)), "")</f>
        <v/>
      </c>
    </row>
    <row r="686" spans="1:11" x14ac:dyDescent="0.25">
      <c r="A686" s="5"/>
      <c r="B686" s="63" t="str">
        <f>IFERROR(TEXT(tbl_Ventes[[#This Row],[Date]],"mm-aaaa"),"")</f>
        <v>01-1900</v>
      </c>
      <c r="D686" s="10" t="str">
        <f>IFERROR(
   INDEX(tbl_ProduitsRef[Cde_Prdt],MATCH(tbl_Ventes[[#This Row],[Produit]],tbl_ProduitsRef[Produit],0)),
   ""
)</f>
        <v/>
      </c>
      <c r="E686" s="7">
        <v>0</v>
      </c>
      <c r="F686" s="7" t="str">
        <f>IFERROR(
   INDEX(tbl_ProduitsRef[Prix Menu],MATCH(tbl_Ventes[[#This Row],[Produit]],tbl_ProduitsRef[Produit],0)),
   ""
)</f>
        <v/>
      </c>
      <c r="G686" s="7">
        <f>tbl_Ventes[[#This Row],[Qté Vendue]] * IFERROR(_xlfn.XLOOKUP(tbl_Ventes[[#This Row],[Cde_Prdt]], tbl_Produits[Cde_Prdt], tbl_Produits[Prix Menu]), 0)</f>
        <v>0</v>
      </c>
      <c r="H686" s="7">
        <f>IFERROR(_xlfn.XLOOKUP(tbl_Ventes[[#This Row],[Cde_Prdt]], tbl_Produits[Cde_Prdt], tbl_Produits[Coût Moyen Portion]), 0)</f>
        <v>0</v>
      </c>
      <c r="I686" s="7">
        <f>tbl_Ventes[[#This Row],[Qté Vendue]] * tbl_Ventes[[#This Row],[CMP_par_portion]]</f>
        <v>0</v>
      </c>
      <c r="J686" s="7">
        <f>tbl_Ventes[[#This Row],[CA ligne]] - tbl_Ventes[[#This Row],[Coût matière ligne]]</f>
        <v>0</v>
      </c>
      <c r="K686" s="7" t="str">
        <f>IFERROR(INDEX(tbl_ProduitsRef[Famille], MATCH(tbl_Ventes[[#This Row],[Cde_Prdt]], tbl_Produits[Cde_Prdt], 0)), "")</f>
        <v/>
      </c>
    </row>
    <row r="687" spans="1:11" x14ac:dyDescent="0.25">
      <c r="A687" s="5"/>
      <c r="B687" s="63" t="str">
        <f>IFERROR(TEXT(tbl_Ventes[[#This Row],[Date]],"mm-aaaa"),"")</f>
        <v>01-1900</v>
      </c>
      <c r="D687" s="10" t="str">
        <f>IFERROR(
   INDEX(tbl_ProduitsRef[Cde_Prdt],MATCH(tbl_Ventes[[#This Row],[Produit]],tbl_ProduitsRef[Produit],0)),
   ""
)</f>
        <v/>
      </c>
      <c r="E687" s="7">
        <v>0</v>
      </c>
      <c r="F687" s="7" t="str">
        <f>IFERROR(
   INDEX(tbl_ProduitsRef[Prix Menu],MATCH(tbl_Ventes[[#This Row],[Produit]],tbl_ProduitsRef[Produit],0)),
   ""
)</f>
        <v/>
      </c>
      <c r="G687" s="7">
        <f>tbl_Ventes[[#This Row],[Qté Vendue]] * IFERROR(_xlfn.XLOOKUP(tbl_Ventes[[#This Row],[Cde_Prdt]], tbl_Produits[Cde_Prdt], tbl_Produits[Prix Menu]), 0)</f>
        <v>0</v>
      </c>
      <c r="H687" s="7">
        <f>IFERROR(_xlfn.XLOOKUP(tbl_Ventes[[#This Row],[Cde_Prdt]], tbl_Produits[Cde_Prdt], tbl_Produits[Coût Moyen Portion]), 0)</f>
        <v>0</v>
      </c>
      <c r="I687" s="7">
        <f>tbl_Ventes[[#This Row],[Qté Vendue]] * tbl_Ventes[[#This Row],[CMP_par_portion]]</f>
        <v>0</v>
      </c>
      <c r="J687" s="7">
        <f>tbl_Ventes[[#This Row],[CA ligne]] - tbl_Ventes[[#This Row],[Coût matière ligne]]</f>
        <v>0</v>
      </c>
      <c r="K687" s="7" t="str">
        <f>IFERROR(INDEX(tbl_ProduitsRef[Famille], MATCH(tbl_Ventes[[#This Row],[Cde_Prdt]], tbl_Produits[Cde_Prdt], 0)), "")</f>
        <v/>
      </c>
    </row>
    <row r="688" spans="1:11" x14ac:dyDescent="0.25">
      <c r="A688" s="5"/>
      <c r="B688" s="63" t="str">
        <f>IFERROR(TEXT(tbl_Ventes[[#This Row],[Date]],"mm-aaaa"),"")</f>
        <v>01-1900</v>
      </c>
      <c r="D688" s="10" t="str">
        <f>IFERROR(
   INDEX(tbl_ProduitsRef[Cde_Prdt],MATCH(tbl_Ventes[[#This Row],[Produit]],tbl_ProduitsRef[Produit],0)),
   ""
)</f>
        <v/>
      </c>
      <c r="E688" s="7">
        <v>0</v>
      </c>
      <c r="F688" s="7" t="str">
        <f>IFERROR(
   INDEX(tbl_ProduitsRef[Prix Menu],MATCH(tbl_Ventes[[#This Row],[Produit]],tbl_ProduitsRef[Produit],0)),
   ""
)</f>
        <v/>
      </c>
      <c r="G688" s="7">
        <f>tbl_Ventes[[#This Row],[Qté Vendue]] * IFERROR(_xlfn.XLOOKUP(tbl_Ventes[[#This Row],[Cde_Prdt]], tbl_Produits[Cde_Prdt], tbl_Produits[Prix Menu]), 0)</f>
        <v>0</v>
      </c>
      <c r="H688" s="7">
        <f>IFERROR(_xlfn.XLOOKUP(tbl_Ventes[[#This Row],[Cde_Prdt]], tbl_Produits[Cde_Prdt], tbl_Produits[Coût Moyen Portion]), 0)</f>
        <v>0</v>
      </c>
      <c r="I688" s="7">
        <f>tbl_Ventes[[#This Row],[Qté Vendue]] * tbl_Ventes[[#This Row],[CMP_par_portion]]</f>
        <v>0</v>
      </c>
      <c r="J688" s="7">
        <f>tbl_Ventes[[#This Row],[CA ligne]] - tbl_Ventes[[#This Row],[Coût matière ligne]]</f>
        <v>0</v>
      </c>
      <c r="K688" s="7" t="str">
        <f>IFERROR(INDEX(tbl_ProduitsRef[Famille], MATCH(tbl_Ventes[[#This Row],[Cde_Prdt]], tbl_Produits[Cde_Prdt], 0)), "")</f>
        <v/>
      </c>
    </row>
    <row r="689" spans="1:11" x14ac:dyDescent="0.25">
      <c r="A689" s="5"/>
      <c r="B689" s="63" t="str">
        <f>IFERROR(TEXT(tbl_Ventes[[#This Row],[Date]],"mm-aaaa"),"")</f>
        <v>01-1900</v>
      </c>
      <c r="D689" s="10" t="str">
        <f>IFERROR(
   INDEX(tbl_ProduitsRef[Cde_Prdt],MATCH(tbl_Ventes[[#This Row],[Produit]],tbl_ProduitsRef[Produit],0)),
   ""
)</f>
        <v/>
      </c>
      <c r="E689" s="7">
        <v>0</v>
      </c>
      <c r="F689" s="7" t="str">
        <f>IFERROR(
   INDEX(tbl_ProduitsRef[Prix Menu],MATCH(tbl_Ventes[[#This Row],[Produit]],tbl_ProduitsRef[Produit],0)),
   ""
)</f>
        <v/>
      </c>
      <c r="G689" s="7">
        <f>tbl_Ventes[[#This Row],[Qté Vendue]] * IFERROR(_xlfn.XLOOKUP(tbl_Ventes[[#This Row],[Cde_Prdt]], tbl_Produits[Cde_Prdt], tbl_Produits[Prix Menu]), 0)</f>
        <v>0</v>
      </c>
      <c r="H689" s="7">
        <f>IFERROR(_xlfn.XLOOKUP(tbl_Ventes[[#This Row],[Cde_Prdt]], tbl_Produits[Cde_Prdt], tbl_Produits[Coût Moyen Portion]), 0)</f>
        <v>0</v>
      </c>
      <c r="I689" s="7">
        <f>tbl_Ventes[[#This Row],[Qté Vendue]] * tbl_Ventes[[#This Row],[CMP_par_portion]]</f>
        <v>0</v>
      </c>
      <c r="J689" s="7">
        <f>tbl_Ventes[[#This Row],[CA ligne]] - tbl_Ventes[[#This Row],[Coût matière ligne]]</f>
        <v>0</v>
      </c>
      <c r="K689" s="7" t="str">
        <f>IFERROR(INDEX(tbl_ProduitsRef[Famille], MATCH(tbl_Ventes[[#This Row],[Cde_Prdt]], tbl_Produits[Cde_Prdt], 0)), "")</f>
        <v/>
      </c>
    </row>
    <row r="690" spans="1:11" x14ac:dyDescent="0.25">
      <c r="A690" s="5"/>
      <c r="B690" s="63" t="str">
        <f>IFERROR(TEXT(tbl_Ventes[[#This Row],[Date]],"mm-aaaa"),"")</f>
        <v>01-1900</v>
      </c>
      <c r="D690" s="10" t="str">
        <f>IFERROR(
   INDEX(tbl_ProduitsRef[Cde_Prdt],MATCH(tbl_Ventes[[#This Row],[Produit]],tbl_ProduitsRef[Produit],0)),
   ""
)</f>
        <v/>
      </c>
      <c r="E690" s="7">
        <v>0</v>
      </c>
      <c r="F690" s="7" t="str">
        <f>IFERROR(
   INDEX(tbl_ProduitsRef[Prix Menu],MATCH(tbl_Ventes[[#This Row],[Produit]],tbl_ProduitsRef[Produit],0)),
   ""
)</f>
        <v/>
      </c>
      <c r="G690" s="7">
        <f>tbl_Ventes[[#This Row],[Qté Vendue]] * IFERROR(_xlfn.XLOOKUP(tbl_Ventes[[#This Row],[Cde_Prdt]], tbl_Produits[Cde_Prdt], tbl_Produits[Prix Menu]), 0)</f>
        <v>0</v>
      </c>
      <c r="H690" s="7">
        <f>IFERROR(_xlfn.XLOOKUP(tbl_Ventes[[#This Row],[Cde_Prdt]], tbl_Produits[Cde_Prdt], tbl_Produits[Coût Moyen Portion]), 0)</f>
        <v>0</v>
      </c>
      <c r="I690" s="7">
        <f>tbl_Ventes[[#This Row],[Qté Vendue]] * tbl_Ventes[[#This Row],[CMP_par_portion]]</f>
        <v>0</v>
      </c>
      <c r="J690" s="7">
        <f>tbl_Ventes[[#This Row],[CA ligne]] - tbl_Ventes[[#This Row],[Coût matière ligne]]</f>
        <v>0</v>
      </c>
      <c r="K690" s="7" t="str">
        <f>IFERROR(INDEX(tbl_ProduitsRef[Famille], MATCH(tbl_Ventes[[#This Row],[Cde_Prdt]], tbl_Produits[Cde_Prdt], 0)), "")</f>
        <v/>
      </c>
    </row>
    <row r="691" spans="1:11" x14ac:dyDescent="0.25">
      <c r="A691" s="5"/>
      <c r="B691" s="63" t="str">
        <f>IFERROR(TEXT(tbl_Ventes[[#This Row],[Date]],"mm-aaaa"),"")</f>
        <v>01-1900</v>
      </c>
      <c r="D691" s="10" t="str">
        <f>IFERROR(
   INDEX(tbl_ProduitsRef[Cde_Prdt],MATCH(tbl_Ventes[[#This Row],[Produit]],tbl_ProduitsRef[Produit],0)),
   ""
)</f>
        <v/>
      </c>
      <c r="E691" s="7">
        <v>0</v>
      </c>
      <c r="F691" s="7" t="str">
        <f>IFERROR(
   INDEX(tbl_ProduitsRef[Prix Menu],MATCH(tbl_Ventes[[#This Row],[Produit]],tbl_ProduitsRef[Produit],0)),
   ""
)</f>
        <v/>
      </c>
      <c r="G691" s="7">
        <f>tbl_Ventes[[#This Row],[Qté Vendue]] * IFERROR(_xlfn.XLOOKUP(tbl_Ventes[[#This Row],[Cde_Prdt]], tbl_Produits[Cde_Prdt], tbl_Produits[Prix Menu]), 0)</f>
        <v>0</v>
      </c>
      <c r="H691" s="7">
        <f>IFERROR(_xlfn.XLOOKUP(tbl_Ventes[[#This Row],[Cde_Prdt]], tbl_Produits[Cde_Prdt], tbl_Produits[Coût Moyen Portion]), 0)</f>
        <v>0</v>
      </c>
      <c r="I691" s="7">
        <f>tbl_Ventes[[#This Row],[Qté Vendue]] * tbl_Ventes[[#This Row],[CMP_par_portion]]</f>
        <v>0</v>
      </c>
      <c r="J691" s="7">
        <f>tbl_Ventes[[#This Row],[CA ligne]] - tbl_Ventes[[#This Row],[Coût matière ligne]]</f>
        <v>0</v>
      </c>
      <c r="K691" s="7" t="str">
        <f>IFERROR(INDEX(tbl_ProduitsRef[Famille], MATCH(tbl_Ventes[[#This Row],[Cde_Prdt]], tbl_Produits[Cde_Prdt], 0)), "")</f>
        <v/>
      </c>
    </row>
    <row r="692" spans="1:11" x14ac:dyDescent="0.25">
      <c r="A692" s="5"/>
      <c r="B692" s="63" t="str">
        <f>IFERROR(TEXT(tbl_Ventes[[#This Row],[Date]],"mm-aaaa"),"")</f>
        <v>01-1900</v>
      </c>
      <c r="D692" s="10" t="str">
        <f>IFERROR(
   INDEX(tbl_ProduitsRef[Cde_Prdt],MATCH(tbl_Ventes[[#This Row],[Produit]],tbl_ProduitsRef[Produit],0)),
   ""
)</f>
        <v/>
      </c>
      <c r="E692" s="7">
        <v>0</v>
      </c>
      <c r="F692" s="7" t="str">
        <f>IFERROR(
   INDEX(tbl_ProduitsRef[Prix Menu],MATCH(tbl_Ventes[[#This Row],[Produit]],tbl_ProduitsRef[Produit],0)),
   ""
)</f>
        <v/>
      </c>
      <c r="G692" s="7">
        <f>tbl_Ventes[[#This Row],[Qté Vendue]] * IFERROR(_xlfn.XLOOKUP(tbl_Ventes[[#This Row],[Cde_Prdt]], tbl_Produits[Cde_Prdt], tbl_Produits[Prix Menu]), 0)</f>
        <v>0</v>
      </c>
      <c r="H692" s="7">
        <f>IFERROR(_xlfn.XLOOKUP(tbl_Ventes[[#This Row],[Cde_Prdt]], tbl_Produits[Cde_Prdt], tbl_Produits[Coût Moyen Portion]), 0)</f>
        <v>0</v>
      </c>
      <c r="I692" s="7">
        <f>tbl_Ventes[[#This Row],[Qté Vendue]] * tbl_Ventes[[#This Row],[CMP_par_portion]]</f>
        <v>0</v>
      </c>
      <c r="J692" s="7">
        <f>tbl_Ventes[[#This Row],[CA ligne]] - tbl_Ventes[[#This Row],[Coût matière ligne]]</f>
        <v>0</v>
      </c>
      <c r="K692" s="7" t="str">
        <f>IFERROR(INDEX(tbl_ProduitsRef[Famille], MATCH(tbl_Ventes[[#This Row],[Cde_Prdt]], tbl_Produits[Cde_Prdt], 0)), "")</f>
        <v/>
      </c>
    </row>
    <row r="693" spans="1:11" x14ac:dyDescent="0.25">
      <c r="A693" s="5"/>
      <c r="B693" s="63" t="str">
        <f>IFERROR(TEXT(tbl_Ventes[[#This Row],[Date]],"mm-aaaa"),"")</f>
        <v>01-1900</v>
      </c>
      <c r="D693" s="10" t="str">
        <f>IFERROR(
   INDEX(tbl_ProduitsRef[Cde_Prdt],MATCH(tbl_Ventes[[#This Row],[Produit]],tbl_ProduitsRef[Produit],0)),
   ""
)</f>
        <v/>
      </c>
      <c r="E693" s="7">
        <v>0</v>
      </c>
      <c r="F693" s="7" t="str">
        <f>IFERROR(
   INDEX(tbl_ProduitsRef[Prix Menu],MATCH(tbl_Ventes[[#This Row],[Produit]],tbl_ProduitsRef[Produit],0)),
   ""
)</f>
        <v/>
      </c>
      <c r="G693" s="7">
        <f>tbl_Ventes[[#This Row],[Qté Vendue]] * IFERROR(_xlfn.XLOOKUP(tbl_Ventes[[#This Row],[Cde_Prdt]], tbl_Produits[Cde_Prdt], tbl_Produits[Prix Menu]), 0)</f>
        <v>0</v>
      </c>
      <c r="H693" s="7">
        <f>IFERROR(_xlfn.XLOOKUP(tbl_Ventes[[#This Row],[Cde_Prdt]], tbl_Produits[Cde_Prdt], tbl_Produits[Coût Moyen Portion]), 0)</f>
        <v>0</v>
      </c>
      <c r="I693" s="7">
        <f>tbl_Ventes[[#This Row],[Qté Vendue]] * tbl_Ventes[[#This Row],[CMP_par_portion]]</f>
        <v>0</v>
      </c>
      <c r="J693" s="7">
        <f>tbl_Ventes[[#This Row],[CA ligne]] - tbl_Ventes[[#This Row],[Coût matière ligne]]</f>
        <v>0</v>
      </c>
      <c r="K693" s="7" t="str">
        <f>IFERROR(INDEX(tbl_ProduitsRef[Famille], MATCH(tbl_Ventes[[#This Row],[Cde_Prdt]], tbl_Produits[Cde_Prdt], 0)), "")</f>
        <v/>
      </c>
    </row>
    <row r="694" spans="1:11" x14ac:dyDescent="0.25">
      <c r="A694" s="5"/>
      <c r="B694" s="63" t="str">
        <f>IFERROR(TEXT(tbl_Ventes[[#This Row],[Date]],"mm-aaaa"),"")</f>
        <v>01-1900</v>
      </c>
      <c r="D694" s="10" t="str">
        <f>IFERROR(
   INDEX(tbl_ProduitsRef[Cde_Prdt],MATCH(tbl_Ventes[[#This Row],[Produit]],tbl_ProduitsRef[Produit],0)),
   ""
)</f>
        <v/>
      </c>
      <c r="E694" s="7">
        <v>0</v>
      </c>
      <c r="F694" s="7" t="str">
        <f>IFERROR(
   INDEX(tbl_ProduitsRef[Prix Menu],MATCH(tbl_Ventes[[#This Row],[Produit]],tbl_ProduitsRef[Produit],0)),
   ""
)</f>
        <v/>
      </c>
      <c r="G694" s="7">
        <f>tbl_Ventes[[#This Row],[Qté Vendue]] * IFERROR(_xlfn.XLOOKUP(tbl_Ventes[[#This Row],[Cde_Prdt]], tbl_Produits[Cde_Prdt], tbl_Produits[Prix Menu]), 0)</f>
        <v>0</v>
      </c>
      <c r="H694" s="7">
        <f>IFERROR(_xlfn.XLOOKUP(tbl_Ventes[[#This Row],[Cde_Prdt]], tbl_Produits[Cde_Prdt], tbl_Produits[Coût Moyen Portion]), 0)</f>
        <v>0</v>
      </c>
      <c r="I694" s="7">
        <f>tbl_Ventes[[#This Row],[Qté Vendue]] * tbl_Ventes[[#This Row],[CMP_par_portion]]</f>
        <v>0</v>
      </c>
      <c r="J694" s="7">
        <f>tbl_Ventes[[#This Row],[CA ligne]] - tbl_Ventes[[#This Row],[Coût matière ligne]]</f>
        <v>0</v>
      </c>
      <c r="K694" s="7" t="str">
        <f>IFERROR(INDEX(tbl_ProduitsRef[Famille], MATCH(tbl_Ventes[[#This Row],[Cde_Prdt]], tbl_Produits[Cde_Prdt], 0)), "")</f>
        <v/>
      </c>
    </row>
    <row r="695" spans="1:11" x14ac:dyDescent="0.25">
      <c r="A695" s="5"/>
      <c r="B695" s="63" t="str">
        <f>IFERROR(TEXT(tbl_Ventes[[#This Row],[Date]],"mm-aaaa"),"")</f>
        <v>01-1900</v>
      </c>
      <c r="D695" s="10" t="str">
        <f>IFERROR(
   INDEX(tbl_ProduitsRef[Cde_Prdt],MATCH(tbl_Ventes[[#This Row],[Produit]],tbl_ProduitsRef[Produit],0)),
   ""
)</f>
        <v/>
      </c>
      <c r="E695" s="7">
        <v>0</v>
      </c>
      <c r="F695" s="7" t="str">
        <f>IFERROR(
   INDEX(tbl_ProduitsRef[Prix Menu],MATCH(tbl_Ventes[[#This Row],[Produit]],tbl_ProduitsRef[Produit],0)),
   ""
)</f>
        <v/>
      </c>
      <c r="G695" s="7">
        <f>tbl_Ventes[[#This Row],[Qté Vendue]] * IFERROR(_xlfn.XLOOKUP(tbl_Ventes[[#This Row],[Cde_Prdt]], tbl_Produits[Cde_Prdt], tbl_Produits[Prix Menu]), 0)</f>
        <v>0</v>
      </c>
      <c r="H695" s="7">
        <f>IFERROR(_xlfn.XLOOKUP(tbl_Ventes[[#This Row],[Cde_Prdt]], tbl_Produits[Cde_Prdt], tbl_Produits[Coût Moyen Portion]), 0)</f>
        <v>0</v>
      </c>
      <c r="I695" s="7">
        <f>tbl_Ventes[[#This Row],[Qté Vendue]] * tbl_Ventes[[#This Row],[CMP_par_portion]]</f>
        <v>0</v>
      </c>
      <c r="J695" s="7">
        <f>tbl_Ventes[[#This Row],[CA ligne]] - tbl_Ventes[[#This Row],[Coût matière ligne]]</f>
        <v>0</v>
      </c>
      <c r="K695" s="7" t="str">
        <f>IFERROR(INDEX(tbl_ProduitsRef[Famille], MATCH(tbl_Ventes[[#This Row],[Cde_Prdt]], tbl_Produits[Cde_Prdt], 0)), "")</f>
        <v/>
      </c>
    </row>
    <row r="696" spans="1:11" x14ac:dyDescent="0.25">
      <c r="A696" s="5"/>
      <c r="B696" s="63" t="str">
        <f>IFERROR(TEXT(tbl_Ventes[[#This Row],[Date]],"mm-aaaa"),"")</f>
        <v>01-1900</v>
      </c>
      <c r="D696" s="10" t="str">
        <f>IFERROR(
   INDEX(tbl_ProduitsRef[Cde_Prdt],MATCH(tbl_Ventes[[#This Row],[Produit]],tbl_ProduitsRef[Produit],0)),
   ""
)</f>
        <v/>
      </c>
      <c r="E696" s="7">
        <v>0</v>
      </c>
      <c r="F696" s="7" t="str">
        <f>IFERROR(
   INDEX(tbl_ProduitsRef[Prix Menu],MATCH(tbl_Ventes[[#This Row],[Produit]],tbl_ProduitsRef[Produit],0)),
   ""
)</f>
        <v/>
      </c>
      <c r="G696" s="7">
        <f>tbl_Ventes[[#This Row],[Qté Vendue]] * IFERROR(_xlfn.XLOOKUP(tbl_Ventes[[#This Row],[Cde_Prdt]], tbl_Produits[Cde_Prdt], tbl_Produits[Prix Menu]), 0)</f>
        <v>0</v>
      </c>
      <c r="H696" s="7">
        <f>IFERROR(_xlfn.XLOOKUP(tbl_Ventes[[#This Row],[Cde_Prdt]], tbl_Produits[Cde_Prdt], tbl_Produits[Coût Moyen Portion]), 0)</f>
        <v>0</v>
      </c>
      <c r="I696" s="7">
        <f>tbl_Ventes[[#This Row],[Qté Vendue]] * tbl_Ventes[[#This Row],[CMP_par_portion]]</f>
        <v>0</v>
      </c>
      <c r="J696" s="7">
        <f>tbl_Ventes[[#This Row],[CA ligne]] - tbl_Ventes[[#This Row],[Coût matière ligne]]</f>
        <v>0</v>
      </c>
      <c r="K696" s="7" t="str">
        <f>IFERROR(INDEX(tbl_ProduitsRef[Famille], MATCH(tbl_Ventes[[#This Row],[Cde_Prdt]], tbl_Produits[Cde_Prdt], 0)), "")</f>
        <v/>
      </c>
    </row>
    <row r="697" spans="1:11" x14ac:dyDescent="0.25">
      <c r="A697" s="5"/>
      <c r="B697" s="63" t="str">
        <f>IFERROR(TEXT(tbl_Ventes[[#This Row],[Date]],"mm-aaaa"),"")</f>
        <v>01-1900</v>
      </c>
      <c r="D697" s="10" t="str">
        <f>IFERROR(
   INDEX(tbl_ProduitsRef[Cde_Prdt],MATCH(tbl_Ventes[[#This Row],[Produit]],tbl_ProduitsRef[Produit],0)),
   ""
)</f>
        <v/>
      </c>
      <c r="E697" s="7">
        <v>0</v>
      </c>
      <c r="F697" s="7" t="str">
        <f>IFERROR(
   INDEX(tbl_ProduitsRef[Prix Menu],MATCH(tbl_Ventes[[#This Row],[Produit]],tbl_ProduitsRef[Produit],0)),
   ""
)</f>
        <v/>
      </c>
      <c r="G697" s="7">
        <f>tbl_Ventes[[#This Row],[Qté Vendue]] * IFERROR(_xlfn.XLOOKUP(tbl_Ventes[[#This Row],[Cde_Prdt]], tbl_Produits[Cde_Prdt], tbl_Produits[Prix Menu]), 0)</f>
        <v>0</v>
      </c>
      <c r="H697" s="7">
        <f>IFERROR(_xlfn.XLOOKUP(tbl_Ventes[[#This Row],[Cde_Prdt]], tbl_Produits[Cde_Prdt], tbl_Produits[Coût Moyen Portion]), 0)</f>
        <v>0</v>
      </c>
      <c r="I697" s="7">
        <f>tbl_Ventes[[#This Row],[Qté Vendue]] * tbl_Ventes[[#This Row],[CMP_par_portion]]</f>
        <v>0</v>
      </c>
      <c r="J697" s="7">
        <f>tbl_Ventes[[#This Row],[CA ligne]] - tbl_Ventes[[#This Row],[Coût matière ligne]]</f>
        <v>0</v>
      </c>
      <c r="K697" s="7" t="str">
        <f>IFERROR(INDEX(tbl_ProduitsRef[Famille], MATCH(tbl_Ventes[[#This Row],[Cde_Prdt]], tbl_Produits[Cde_Prdt], 0)), "")</f>
        <v/>
      </c>
    </row>
    <row r="698" spans="1:11" x14ac:dyDescent="0.25">
      <c r="A698" s="5"/>
      <c r="B698" s="63" t="str">
        <f>IFERROR(TEXT(tbl_Ventes[[#This Row],[Date]],"mm-aaaa"),"")</f>
        <v>01-1900</v>
      </c>
      <c r="D698" s="10" t="str">
        <f>IFERROR(
   INDEX(tbl_ProduitsRef[Cde_Prdt],MATCH(tbl_Ventes[[#This Row],[Produit]],tbl_ProduitsRef[Produit],0)),
   ""
)</f>
        <v/>
      </c>
      <c r="E698" s="7">
        <v>0</v>
      </c>
      <c r="F698" s="7" t="str">
        <f>IFERROR(
   INDEX(tbl_ProduitsRef[Prix Menu],MATCH(tbl_Ventes[[#This Row],[Produit]],tbl_ProduitsRef[Produit],0)),
   ""
)</f>
        <v/>
      </c>
      <c r="G698" s="7">
        <f>tbl_Ventes[[#This Row],[Qté Vendue]] * IFERROR(_xlfn.XLOOKUP(tbl_Ventes[[#This Row],[Cde_Prdt]], tbl_Produits[Cde_Prdt], tbl_Produits[Prix Menu]), 0)</f>
        <v>0</v>
      </c>
      <c r="H698" s="7">
        <f>IFERROR(_xlfn.XLOOKUP(tbl_Ventes[[#This Row],[Cde_Prdt]], tbl_Produits[Cde_Prdt], tbl_Produits[Coût Moyen Portion]), 0)</f>
        <v>0</v>
      </c>
      <c r="I698" s="7">
        <f>tbl_Ventes[[#This Row],[Qté Vendue]] * tbl_Ventes[[#This Row],[CMP_par_portion]]</f>
        <v>0</v>
      </c>
      <c r="J698" s="7">
        <f>tbl_Ventes[[#This Row],[CA ligne]] - tbl_Ventes[[#This Row],[Coût matière ligne]]</f>
        <v>0</v>
      </c>
      <c r="K698" s="7" t="str">
        <f>IFERROR(INDEX(tbl_ProduitsRef[Famille], MATCH(tbl_Ventes[[#This Row],[Cde_Prdt]], tbl_Produits[Cde_Prdt], 0)), "")</f>
        <v/>
      </c>
    </row>
    <row r="699" spans="1:11" x14ac:dyDescent="0.25">
      <c r="A699" s="5"/>
      <c r="B699" s="63" t="str">
        <f>IFERROR(TEXT(tbl_Ventes[[#This Row],[Date]],"mm-aaaa"),"")</f>
        <v>01-1900</v>
      </c>
      <c r="D699" s="10" t="str">
        <f>IFERROR(
   INDEX(tbl_ProduitsRef[Cde_Prdt],MATCH(tbl_Ventes[[#This Row],[Produit]],tbl_ProduitsRef[Produit],0)),
   ""
)</f>
        <v/>
      </c>
      <c r="E699" s="7">
        <v>0</v>
      </c>
      <c r="F699" s="7" t="str">
        <f>IFERROR(
   INDEX(tbl_ProduitsRef[Prix Menu],MATCH(tbl_Ventes[[#This Row],[Produit]],tbl_ProduitsRef[Produit],0)),
   ""
)</f>
        <v/>
      </c>
      <c r="G699" s="7">
        <f>tbl_Ventes[[#This Row],[Qté Vendue]] * IFERROR(_xlfn.XLOOKUP(tbl_Ventes[[#This Row],[Cde_Prdt]], tbl_Produits[Cde_Prdt], tbl_Produits[Prix Menu]), 0)</f>
        <v>0</v>
      </c>
      <c r="H699" s="7">
        <f>IFERROR(_xlfn.XLOOKUP(tbl_Ventes[[#This Row],[Cde_Prdt]], tbl_Produits[Cde_Prdt], tbl_Produits[Coût Moyen Portion]), 0)</f>
        <v>0</v>
      </c>
      <c r="I699" s="7">
        <f>tbl_Ventes[[#This Row],[Qté Vendue]] * tbl_Ventes[[#This Row],[CMP_par_portion]]</f>
        <v>0</v>
      </c>
      <c r="J699" s="7">
        <f>tbl_Ventes[[#This Row],[CA ligne]] - tbl_Ventes[[#This Row],[Coût matière ligne]]</f>
        <v>0</v>
      </c>
      <c r="K699" s="7" t="str">
        <f>IFERROR(INDEX(tbl_ProduitsRef[Famille], MATCH(tbl_Ventes[[#This Row],[Cde_Prdt]], tbl_Produits[Cde_Prdt], 0)), "")</f>
        <v/>
      </c>
    </row>
    <row r="700" spans="1:11" x14ac:dyDescent="0.25">
      <c r="A700" s="5"/>
      <c r="B700" s="63" t="str">
        <f>IFERROR(TEXT(tbl_Ventes[[#This Row],[Date]],"mm-aaaa"),"")</f>
        <v>01-1900</v>
      </c>
      <c r="D700" s="10" t="str">
        <f>IFERROR(
   INDEX(tbl_ProduitsRef[Cde_Prdt],MATCH(tbl_Ventes[[#This Row],[Produit]],tbl_ProduitsRef[Produit],0)),
   ""
)</f>
        <v/>
      </c>
      <c r="E700" s="7">
        <v>0</v>
      </c>
      <c r="F700" s="7" t="str">
        <f>IFERROR(
   INDEX(tbl_ProduitsRef[Prix Menu],MATCH(tbl_Ventes[[#This Row],[Produit]],tbl_ProduitsRef[Produit],0)),
   ""
)</f>
        <v/>
      </c>
      <c r="G700" s="7">
        <f>tbl_Ventes[[#This Row],[Qté Vendue]] * IFERROR(_xlfn.XLOOKUP(tbl_Ventes[[#This Row],[Cde_Prdt]], tbl_Produits[Cde_Prdt], tbl_Produits[Prix Menu]), 0)</f>
        <v>0</v>
      </c>
      <c r="H700" s="7">
        <f>IFERROR(_xlfn.XLOOKUP(tbl_Ventes[[#This Row],[Cde_Prdt]], tbl_Produits[Cde_Prdt], tbl_Produits[Coût Moyen Portion]), 0)</f>
        <v>0</v>
      </c>
      <c r="I700" s="7">
        <f>tbl_Ventes[[#This Row],[Qté Vendue]] * tbl_Ventes[[#This Row],[CMP_par_portion]]</f>
        <v>0</v>
      </c>
      <c r="J700" s="7">
        <f>tbl_Ventes[[#This Row],[CA ligne]] - tbl_Ventes[[#This Row],[Coût matière ligne]]</f>
        <v>0</v>
      </c>
      <c r="K700" s="7" t="str">
        <f>IFERROR(INDEX(tbl_ProduitsRef[Famille], MATCH(tbl_Ventes[[#This Row],[Cde_Prdt]], tbl_Produits[Cde_Prdt], 0)), "")</f>
        <v/>
      </c>
    </row>
    <row r="701" spans="1:11" x14ac:dyDescent="0.25">
      <c r="A701" s="5"/>
      <c r="B701" s="63" t="str">
        <f>IFERROR(TEXT(tbl_Ventes[[#This Row],[Date]],"mm-aaaa"),"")</f>
        <v>01-1900</v>
      </c>
      <c r="D701" s="10" t="str">
        <f>IFERROR(
   INDEX(tbl_ProduitsRef[Cde_Prdt],MATCH(tbl_Ventes[[#This Row],[Produit]],tbl_ProduitsRef[Produit],0)),
   ""
)</f>
        <v/>
      </c>
      <c r="E701" s="7">
        <v>0</v>
      </c>
      <c r="F701" s="7" t="str">
        <f>IFERROR(
   INDEX(tbl_ProduitsRef[Prix Menu],MATCH(tbl_Ventes[[#This Row],[Produit]],tbl_ProduitsRef[Produit],0)),
   ""
)</f>
        <v/>
      </c>
      <c r="G701" s="7">
        <f>tbl_Ventes[[#This Row],[Qté Vendue]] * IFERROR(_xlfn.XLOOKUP(tbl_Ventes[[#This Row],[Cde_Prdt]], tbl_Produits[Cde_Prdt], tbl_Produits[Prix Menu]), 0)</f>
        <v>0</v>
      </c>
      <c r="H701" s="7">
        <f>IFERROR(_xlfn.XLOOKUP(tbl_Ventes[[#This Row],[Cde_Prdt]], tbl_Produits[Cde_Prdt], tbl_Produits[Coût Moyen Portion]), 0)</f>
        <v>0</v>
      </c>
      <c r="I701" s="7">
        <f>tbl_Ventes[[#This Row],[Qté Vendue]] * tbl_Ventes[[#This Row],[CMP_par_portion]]</f>
        <v>0</v>
      </c>
      <c r="J701" s="7">
        <f>tbl_Ventes[[#This Row],[CA ligne]] - tbl_Ventes[[#This Row],[Coût matière ligne]]</f>
        <v>0</v>
      </c>
      <c r="K701" s="7" t="str">
        <f>IFERROR(INDEX(tbl_ProduitsRef[Famille], MATCH(tbl_Ventes[[#This Row],[Cde_Prdt]], tbl_Produits[Cde_Prdt], 0)), "")</f>
        <v/>
      </c>
    </row>
    <row r="702" spans="1:11" x14ac:dyDescent="0.25">
      <c r="A702" s="5"/>
      <c r="B702" s="63" t="str">
        <f>IFERROR(TEXT(tbl_Ventes[[#This Row],[Date]],"mm-aaaa"),"")</f>
        <v>01-1900</v>
      </c>
      <c r="D702" s="10" t="str">
        <f>IFERROR(
   INDEX(tbl_ProduitsRef[Cde_Prdt],MATCH(tbl_Ventes[[#This Row],[Produit]],tbl_ProduitsRef[Produit],0)),
   ""
)</f>
        <v/>
      </c>
      <c r="E702" s="7">
        <v>0</v>
      </c>
      <c r="F702" s="7" t="str">
        <f>IFERROR(
   INDEX(tbl_ProduitsRef[Prix Menu],MATCH(tbl_Ventes[[#This Row],[Produit]],tbl_ProduitsRef[Produit],0)),
   ""
)</f>
        <v/>
      </c>
      <c r="G702" s="7">
        <f>tbl_Ventes[[#This Row],[Qté Vendue]] * IFERROR(_xlfn.XLOOKUP(tbl_Ventes[[#This Row],[Cde_Prdt]], tbl_Produits[Cde_Prdt], tbl_Produits[Prix Menu]), 0)</f>
        <v>0</v>
      </c>
      <c r="H702" s="7">
        <f>IFERROR(_xlfn.XLOOKUP(tbl_Ventes[[#This Row],[Cde_Prdt]], tbl_Produits[Cde_Prdt], tbl_Produits[Coût Moyen Portion]), 0)</f>
        <v>0</v>
      </c>
      <c r="I702" s="7">
        <f>tbl_Ventes[[#This Row],[Qté Vendue]] * tbl_Ventes[[#This Row],[CMP_par_portion]]</f>
        <v>0</v>
      </c>
      <c r="J702" s="7">
        <f>tbl_Ventes[[#This Row],[CA ligne]] - tbl_Ventes[[#This Row],[Coût matière ligne]]</f>
        <v>0</v>
      </c>
      <c r="K702" s="7" t="str">
        <f>IFERROR(INDEX(tbl_ProduitsRef[Famille], MATCH(tbl_Ventes[[#This Row],[Cde_Prdt]], tbl_Produits[Cde_Prdt], 0)), "")</f>
        <v/>
      </c>
    </row>
    <row r="703" spans="1:11" x14ac:dyDescent="0.25">
      <c r="A703" s="5"/>
      <c r="B703" s="63" t="str">
        <f>IFERROR(TEXT(tbl_Ventes[[#This Row],[Date]],"mm-aaaa"),"")</f>
        <v>01-1900</v>
      </c>
      <c r="D703" s="10" t="str">
        <f>IFERROR(
   INDEX(tbl_ProduitsRef[Cde_Prdt],MATCH(tbl_Ventes[[#This Row],[Produit]],tbl_ProduitsRef[Produit],0)),
   ""
)</f>
        <v/>
      </c>
      <c r="E703" s="7">
        <v>0</v>
      </c>
      <c r="F703" s="7" t="str">
        <f>IFERROR(
   INDEX(tbl_ProduitsRef[Prix Menu],MATCH(tbl_Ventes[[#This Row],[Produit]],tbl_ProduitsRef[Produit],0)),
   ""
)</f>
        <v/>
      </c>
      <c r="G703" s="7">
        <f>tbl_Ventes[[#This Row],[Qté Vendue]] * IFERROR(_xlfn.XLOOKUP(tbl_Ventes[[#This Row],[Cde_Prdt]], tbl_Produits[Cde_Prdt], tbl_Produits[Prix Menu]), 0)</f>
        <v>0</v>
      </c>
      <c r="H703" s="7">
        <f>IFERROR(_xlfn.XLOOKUP(tbl_Ventes[[#This Row],[Cde_Prdt]], tbl_Produits[Cde_Prdt], tbl_Produits[Coût Moyen Portion]), 0)</f>
        <v>0</v>
      </c>
      <c r="I703" s="7">
        <f>tbl_Ventes[[#This Row],[Qté Vendue]] * tbl_Ventes[[#This Row],[CMP_par_portion]]</f>
        <v>0</v>
      </c>
      <c r="J703" s="7">
        <f>tbl_Ventes[[#This Row],[CA ligne]] - tbl_Ventes[[#This Row],[Coût matière ligne]]</f>
        <v>0</v>
      </c>
      <c r="K703" s="7" t="str">
        <f>IFERROR(INDEX(tbl_ProduitsRef[Famille], MATCH(tbl_Ventes[[#This Row],[Cde_Prdt]], tbl_Produits[Cde_Prdt], 0)), "")</f>
        <v/>
      </c>
    </row>
    <row r="704" spans="1:11" x14ac:dyDescent="0.25">
      <c r="A704" s="5"/>
      <c r="B704" s="63" t="str">
        <f>IFERROR(TEXT(tbl_Ventes[[#This Row],[Date]],"mm-aaaa"),"")</f>
        <v>01-1900</v>
      </c>
      <c r="D704" s="10" t="str">
        <f>IFERROR(
   INDEX(tbl_ProduitsRef[Cde_Prdt],MATCH(tbl_Ventes[[#This Row],[Produit]],tbl_ProduitsRef[Produit],0)),
   ""
)</f>
        <v/>
      </c>
      <c r="E704" s="7">
        <v>0</v>
      </c>
      <c r="F704" s="7" t="str">
        <f>IFERROR(
   INDEX(tbl_ProduitsRef[Prix Menu],MATCH(tbl_Ventes[[#This Row],[Produit]],tbl_ProduitsRef[Produit],0)),
   ""
)</f>
        <v/>
      </c>
      <c r="G704" s="7">
        <f>tbl_Ventes[[#This Row],[Qté Vendue]] * IFERROR(_xlfn.XLOOKUP(tbl_Ventes[[#This Row],[Cde_Prdt]], tbl_Produits[Cde_Prdt], tbl_Produits[Prix Menu]), 0)</f>
        <v>0</v>
      </c>
      <c r="H704" s="7">
        <f>IFERROR(_xlfn.XLOOKUP(tbl_Ventes[[#This Row],[Cde_Prdt]], tbl_Produits[Cde_Prdt], tbl_Produits[Coût Moyen Portion]), 0)</f>
        <v>0</v>
      </c>
      <c r="I704" s="7">
        <f>tbl_Ventes[[#This Row],[Qté Vendue]] * tbl_Ventes[[#This Row],[CMP_par_portion]]</f>
        <v>0</v>
      </c>
      <c r="J704" s="7">
        <f>tbl_Ventes[[#This Row],[CA ligne]] - tbl_Ventes[[#This Row],[Coût matière ligne]]</f>
        <v>0</v>
      </c>
      <c r="K704" s="7" t="str">
        <f>IFERROR(INDEX(tbl_ProduitsRef[Famille], MATCH(tbl_Ventes[[#This Row],[Cde_Prdt]], tbl_Produits[Cde_Prdt], 0)), "")</f>
        <v/>
      </c>
    </row>
    <row r="705" spans="1:11" x14ac:dyDescent="0.25">
      <c r="A705" s="5"/>
      <c r="B705" s="63" t="str">
        <f>IFERROR(TEXT(tbl_Ventes[[#This Row],[Date]],"mm-aaaa"),"")</f>
        <v>01-1900</v>
      </c>
      <c r="D705" s="10" t="str">
        <f>IFERROR(
   INDEX(tbl_ProduitsRef[Cde_Prdt],MATCH(tbl_Ventes[[#This Row],[Produit]],tbl_ProduitsRef[Produit],0)),
   ""
)</f>
        <v/>
      </c>
      <c r="E705" s="7">
        <v>0</v>
      </c>
      <c r="F705" s="7" t="str">
        <f>IFERROR(
   INDEX(tbl_ProduitsRef[Prix Menu],MATCH(tbl_Ventes[[#This Row],[Produit]],tbl_ProduitsRef[Produit],0)),
   ""
)</f>
        <v/>
      </c>
      <c r="G705" s="7">
        <f>tbl_Ventes[[#This Row],[Qté Vendue]] * IFERROR(_xlfn.XLOOKUP(tbl_Ventes[[#This Row],[Cde_Prdt]], tbl_Produits[Cde_Prdt], tbl_Produits[Prix Menu]), 0)</f>
        <v>0</v>
      </c>
      <c r="H705" s="7">
        <f>IFERROR(_xlfn.XLOOKUP(tbl_Ventes[[#This Row],[Cde_Prdt]], tbl_Produits[Cde_Prdt], tbl_Produits[Coût Moyen Portion]), 0)</f>
        <v>0</v>
      </c>
      <c r="I705" s="7">
        <f>tbl_Ventes[[#This Row],[Qté Vendue]] * tbl_Ventes[[#This Row],[CMP_par_portion]]</f>
        <v>0</v>
      </c>
      <c r="J705" s="7">
        <f>tbl_Ventes[[#This Row],[CA ligne]] - tbl_Ventes[[#This Row],[Coût matière ligne]]</f>
        <v>0</v>
      </c>
      <c r="K705" s="7" t="str">
        <f>IFERROR(INDEX(tbl_ProduitsRef[Famille], MATCH(tbl_Ventes[[#This Row],[Cde_Prdt]], tbl_Produits[Cde_Prdt], 0)), "")</f>
        <v/>
      </c>
    </row>
    <row r="706" spans="1:11" x14ac:dyDescent="0.25">
      <c r="A706" s="5"/>
      <c r="B706" s="63" t="str">
        <f>IFERROR(TEXT(tbl_Ventes[[#This Row],[Date]],"mm-aaaa"),"")</f>
        <v>01-1900</v>
      </c>
      <c r="D706" s="10" t="str">
        <f>IFERROR(
   INDEX(tbl_ProduitsRef[Cde_Prdt],MATCH(tbl_Ventes[[#This Row],[Produit]],tbl_ProduitsRef[Produit],0)),
   ""
)</f>
        <v/>
      </c>
      <c r="E706" s="7">
        <v>0</v>
      </c>
      <c r="F706" s="7" t="str">
        <f>IFERROR(
   INDEX(tbl_ProduitsRef[Prix Menu],MATCH(tbl_Ventes[[#This Row],[Produit]],tbl_ProduitsRef[Produit],0)),
   ""
)</f>
        <v/>
      </c>
      <c r="G706" s="7">
        <f>tbl_Ventes[[#This Row],[Qté Vendue]] * IFERROR(_xlfn.XLOOKUP(tbl_Ventes[[#This Row],[Cde_Prdt]], tbl_Produits[Cde_Prdt], tbl_Produits[Prix Menu]), 0)</f>
        <v>0</v>
      </c>
      <c r="H706" s="7">
        <f>IFERROR(_xlfn.XLOOKUP(tbl_Ventes[[#This Row],[Cde_Prdt]], tbl_Produits[Cde_Prdt], tbl_Produits[Coût Moyen Portion]), 0)</f>
        <v>0</v>
      </c>
      <c r="I706" s="7">
        <f>tbl_Ventes[[#This Row],[Qté Vendue]] * tbl_Ventes[[#This Row],[CMP_par_portion]]</f>
        <v>0</v>
      </c>
      <c r="J706" s="7">
        <f>tbl_Ventes[[#This Row],[CA ligne]] - tbl_Ventes[[#This Row],[Coût matière ligne]]</f>
        <v>0</v>
      </c>
      <c r="K706" s="7" t="str">
        <f>IFERROR(INDEX(tbl_ProduitsRef[Famille], MATCH(tbl_Ventes[[#This Row],[Cde_Prdt]], tbl_Produits[Cde_Prdt], 0)), "")</f>
        <v/>
      </c>
    </row>
    <row r="707" spans="1:11" x14ac:dyDescent="0.25">
      <c r="A707" s="5"/>
      <c r="B707" s="63" t="str">
        <f>IFERROR(TEXT(tbl_Ventes[[#This Row],[Date]],"mm-aaaa"),"")</f>
        <v>01-1900</v>
      </c>
      <c r="D707" s="10" t="str">
        <f>IFERROR(
   INDEX(tbl_ProduitsRef[Cde_Prdt],MATCH(tbl_Ventes[[#This Row],[Produit]],tbl_ProduitsRef[Produit],0)),
   ""
)</f>
        <v/>
      </c>
      <c r="E707" s="7">
        <v>0</v>
      </c>
      <c r="F707" s="7" t="str">
        <f>IFERROR(
   INDEX(tbl_ProduitsRef[Prix Menu],MATCH(tbl_Ventes[[#This Row],[Produit]],tbl_ProduitsRef[Produit],0)),
   ""
)</f>
        <v/>
      </c>
      <c r="G707" s="7">
        <f>tbl_Ventes[[#This Row],[Qté Vendue]] * IFERROR(_xlfn.XLOOKUP(tbl_Ventes[[#This Row],[Cde_Prdt]], tbl_Produits[Cde_Prdt], tbl_Produits[Prix Menu]), 0)</f>
        <v>0</v>
      </c>
      <c r="H707" s="7">
        <f>IFERROR(_xlfn.XLOOKUP(tbl_Ventes[[#This Row],[Cde_Prdt]], tbl_Produits[Cde_Prdt], tbl_Produits[Coût Moyen Portion]), 0)</f>
        <v>0</v>
      </c>
      <c r="I707" s="7">
        <f>tbl_Ventes[[#This Row],[Qté Vendue]] * tbl_Ventes[[#This Row],[CMP_par_portion]]</f>
        <v>0</v>
      </c>
      <c r="J707" s="7">
        <f>tbl_Ventes[[#This Row],[CA ligne]] - tbl_Ventes[[#This Row],[Coût matière ligne]]</f>
        <v>0</v>
      </c>
      <c r="K707" s="7" t="str">
        <f>IFERROR(INDEX(tbl_ProduitsRef[Famille], MATCH(tbl_Ventes[[#This Row],[Cde_Prdt]], tbl_Produits[Cde_Prdt], 0)), "")</f>
        <v/>
      </c>
    </row>
    <row r="708" spans="1:11" x14ac:dyDescent="0.25">
      <c r="A708" s="5"/>
      <c r="B708" s="63" t="str">
        <f>IFERROR(TEXT(tbl_Ventes[[#This Row],[Date]],"mm-aaaa"),"")</f>
        <v>01-1900</v>
      </c>
      <c r="D708" s="10" t="str">
        <f>IFERROR(
   INDEX(tbl_ProduitsRef[Cde_Prdt],MATCH(tbl_Ventes[[#This Row],[Produit]],tbl_ProduitsRef[Produit],0)),
   ""
)</f>
        <v/>
      </c>
      <c r="E708" s="7">
        <v>0</v>
      </c>
      <c r="F708" s="7" t="str">
        <f>IFERROR(
   INDEX(tbl_ProduitsRef[Prix Menu],MATCH(tbl_Ventes[[#This Row],[Produit]],tbl_ProduitsRef[Produit],0)),
   ""
)</f>
        <v/>
      </c>
      <c r="G708" s="7">
        <f>tbl_Ventes[[#This Row],[Qté Vendue]] * IFERROR(_xlfn.XLOOKUP(tbl_Ventes[[#This Row],[Cde_Prdt]], tbl_Produits[Cde_Prdt], tbl_Produits[Prix Menu]), 0)</f>
        <v>0</v>
      </c>
      <c r="H708" s="7">
        <f>IFERROR(_xlfn.XLOOKUP(tbl_Ventes[[#This Row],[Cde_Prdt]], tbl_Produits[Cde_Prdt], tbl_Produits[Coût Moyen Portion]), 0)</f>
        <v>0</v>
      </c>
      <c r="I708" s="7">
        <f>tbl_Ventes[[#This Row],[Qté Vendue]] * tbl_Ventes[[#This Row],[CMP_par_portion]]</f>
        <v>0</v>
      </c>
      <c r="J708" s="7">
        <f>tbl_Ventes[[#This Row],[CA ligne]] - tbl_Ventes[[#This Row],[Coût matière ligne]]</f>
        <v>0</v>
      </c>
      <c r="K708" s="7" t="str">
        <f>IFERROR(INDEX(tbl_ProduitsRef[Famille], MATCH(tbl_Ventes[[#This Row],[Cde_Prdt]], tbl_Produits[Cde_Prdt], 0)), "")</f>
        <v/>
      </c>
    </row>
    <row r="709" spans="1:11" x14ac:dyDescent="0.25">
      <c r="A709" s="5"/>
      <c r="B709" s="63" t="str">
        <f>IFERROR(TEXT(tbl_Ventes[[#This Row],[Date]],"mm-aaaa"),"")</f>
        <v>01-1900</v>
      </c>
      <c r="D709" s="10" t="str">
        <f>IFERROR(
   INDEX(tbl_ProduitsRef[Cde_Prdt],MATCH(tbl_Ventes[[#This Row],[Produit]],tbl_ProduitsRef[Produit],0)),
   ""
)</f>
        <v/>
      </c>
      <c r="E709" s="7">
        <v>0</v>
      </c>
      <c r="F709" s="7" t="str">
        <f>IFERROR(
   INDEX(tbl_ProduitsRef[Prix Menu],MATCH(tbl_Ventes[[#This Row],[Produit]],tbl_ProduitsRef[Produit],0)),
   ""
)</f>
        <v/>
      </c>
      <c r="G709" s="7">
        <f>tbl_Ventes[[#This Row],[Qté Vendue]] * IFERROR(_xlfn.XLOOKUP(tbl_Ventes[[#This Row],[Cde_Prdt]], tbl_Produits[Cde_Prdt], tbl_Produits[Prix Menu]), 0)</f>
        <v>0</v>
      </c>
      <c r="H709" s="7">
        <f>IFERROR(_xlfn.XLOOKUP(tbl_Ventes[[#This Row],[Cde_Prdt]], tbl_Produits[Cde_Prdt], tbl_Produits[Coût Moyen Portion]), 0)</f>
        <v>0</v>
      </c>
      <c r="I709" s="7">
        <f>tbl_Ventes[[#This Row],[Qté Vendue]] * tbl_Ventes[[#This Row],[CMP_par_portion]]</f>
        <v>0</v>
      </c>
      <c r="J709" s="7">
        <f>tbl_Ventes[[#This Row],[CA ligne]] - tbl_Ventes[[#This Row],[Coût matière ligne]]</f>
        <v>0</v>
      </c>
      <c r="K709" s="7" t="str">
        <f>IFERROR(INDEX(tbl_ProduitsRef[Famille], MATCH(tbl_Ventes[[#This Row],[Cde_Prdt]], tbl_Produits[Cde_Prdt], 0)), "")</f>
        <v/>
      </c>
    </row>
    <row r="710" spans="1:11" x14ac:dyDescent="0.25">
      <c r="A710" s="5"/>
      <c r="B710" s="63" t="str">
        <f>IFERROR(TEXT(tbl_Ventes[[#This Row],[Date]],"mm-aaaa"),"")</f>
        <v>01-1900</v>
      </c>
      <c r="D710" s="10" t="str">
        <f>IFERROR(
   INDEX(tbl_ProduitsRef[Cde_Prdt],MATCH(tbl_Ventes[[#This Row],[Produit]],tbl_ProduitsRef[Produit],0)),
   ""
)</f>
        <v/>
      </c>
      <c r="E710" s="7">
        <v>0</v>
      </c>
      <c r="F710" s="7" t="str">
        <f>IFERROR(
   INDEX(tbl_ProduitsRef[Prix Menu],MATCH(tbl_Ventes[[#This Row],[Produit]],tbl_ProduitsRef[Produit],0)),
   ""
)</f>
        <v/>
      </c>
      <c r="G710" s="7">
        <f>tbl_Ventes[[#This Row],[Qté Vendue]] * IFERROR(_xlfn.XLOOKUP(tbl_Ventes[[#This Row],[Cde_Prdt]], tbl_Produits[Cde_Prdt], tbl_Produits[Prix Menu]), 0)</f>
        <v>0</v>
      </c>
      <c r="H710" s="7">
        <f>IFERROR(_xlfn.XLOOKUP(tbl_Ventes[[#This Row],[Cde_Prdt]], tbl_Produits[Cde_Prdt], tbl_Produits[Coût Moyen Portion]), 0)</f>
        <v>0</v>
      </c>
      <c r="I710" s="7">
        <f>tbl_Ventes[[#This Row],[Qté Vendue]] * tbl_Ventes[[#This Row],[CMP_par_portion]]</f>
        <v>0</v>
      </c>
      <c r="J710" s="7">
        <f>tbl_Ventes[[#This Row],[CA ligne]] - tbl_Ventes[[#This Row],[Coût matière ligne]]</f>
        <v>0</v>
      </c>
      <c r="K710" s="7" t="str">
        <f>IFERROR(INDEX(tbl_ProduitsRef[Famille], MATCH(tbl_Ventes[[#This Row],[Cde_Prdt]], tbl_Produits[Cde_Prdt], 0)), "")</f>
        <v/>
      </c>
    </row>
    <row r="711" spans="1:11" x14ac:dyDescent="0.25">
      <c r="A711" s="5"/>
      <c r="B711" s="63" t="str">
        <f>IFERROR(TEXT(tbl_Ventes[[#This Row],[Date]],"mm-aaaa"),"")</f>
        <v>01-1900</v>
      </c>
      <c r="D711" s="10" t="str">
        <f>IFERROR(
   INDEX(tbl_ProduitsRef[Cde_Prdt],MATCH(tbl_Ventes[[#This Row],[Produit]],tbl_ProduitsRef[Produit],0)),
   ""
)</f>
        <v/>
      </c>
      <c r="E711" s="7">
        <v>0</v>
      </c>
      <c r="F711" s="7" t="str">
        <f>IFERROR(
   INDEX(tbl_ProduitsRef[Prix Menu],MATCH(tbl_Ventes[[#This Row],[Produit]],tbl_ProduitsRef[Produit],0)),
   ""
)</f>
        <v/>
      </c>
      <c r="G711" s="7">
        <f>tbl_Ventes[[#This Row],[Qté Vendue]] * IFERROR(_xlfn.XLOOKUP(tbl_Ventes[[#This Row],[Cde_Prdt]], tbl_Produits[Cde_Prdt], tbl_Produits[Prix Menu]), 0)</f>
        <v>0</v>
      </c>
      <c r="H711" s="7">
        <f>IFERROR(_xlfn.XLOOKUP(tbl_Ventes[[#This Row],[Cde_Prdt]], tbl_Produits[Cde_Prdt], tbl_Produits[Coût Moyen Portion]), 0)</f>
        <v>0</v>
      </c>
      <c r="I711" s="7">
        <f>tbl_Ventes[[#This Row],[Qté Vendue]] * tbl_Ventes[[#This Row],[CMP_par_portion]]</f>
        <v>0</v>
      </c>
      <c r="J711" s="7">
        <f>tbl_Ventes[[#This Row],[CA ligne]] - tbl_Ventes[[#This Row],[Coût matière ligne]]</f>
        <v>0</v>
      </c>
      <c r="K711" s="7" t="str">
        <f>IFERROR(INDEX(tbl_ProduitsRef[Famille], MATCH(tbl_Ventes[[#This Row],[Cde_Prdt]], tbl_Produits[Cde_Prdt], 0)), "")</f>
        <v/>
      </c>
    </row>
    <row r="712" spans="1:11" x14ac:dyDescent="0.25">
      <c r="A712" s="5"/>
      <c r="B712" s="63" t="str">
        <f>IFERROR(TEXT(tbl_Ventes[[#This Row],[Date]],"mm-aaaa"),"")</f>
        <v>01-1900</v>
      </c>
      <c r="D712" s="10" t="str">
        <f>IFERROR(
   INDEX(tbl_ProduitsRef[Cde_Prdt],MATCH(tbl_Ventes[[#This Row],[Produit]],tbl_ProduitsRef[Produit],0)),
   ""
)</f>
        <v/>
      </c>
      <c r="E712" s="7">
        <v>0</v>
      </c>
      <c r="F712" s="7" t="str">
        <f>IFERROR(
   INDEX(tbl_ProduitsRef[Prix Menu],MATCH(tbl_Ventes[[#This Row],[Produit]],tbl_ProduitsRef[Produit],0)),
   ""
)</f>
        <v/>
      </c>
      <c r="G712" s="7">
        <f>tbl_Ventes[[#This Row],[Qté Vendue]] * IFERROR(_xlfn.XLOOKUP(tbl_Ventes[[#This Row],[Cde_Prdt]], tbl_Produits[Cde_Prdt], tbl_Produits[Prix Menu]), 0)</f>
        <v>0</v>
      </c>
      <c r="H712" s="7">
        <f>IFERROR(_xlfn.XLOOKUP(tbl_Ventes[[#This Row],[Cde_Prdt]], tbl_Produits[Cde_Prdt], tbl_Produits[Coût Moyen Portion]), 0)</f>
        <v>0</v>
      </c>
      <c r="I712" s="7">
        <f>tbl_Ventes[[#This Row],[Qté Vendue]] * tbl_Ventes[[#This Row],[CMP_par_portion]]</f>
        <v>0</v>
      </c>
      <c r="J712" s="7">
        <f>tbl_Ventes[[#This Row],[CA ligne]] - tbl_Ventes[[#This Row],[Coût matière ligne]]</f>
        <v>0</v>
      </c>
      <c r="K712" s="7" t="str">
        <f>IFERROR(INDEX(tbl_ProduitsRef[Famille], MATCH(tbl_Ventes[[#This Row],[Cde_Prdt]], tbl_Produits[Cde_Prdt], 0)), "")</f>
        <v/>
      </c>
    </row>
    <row r="713" spans="1:11" x14ac:dyDescent="0.25">
      <c r="A713" s="5"/>
      <c r="B713" s="63" t="str">
        <f>IFERROR(TEXT(tbl_Ventes[[#This Row],[Date]],"mm-aaaa"),"")</f>
        <v>01-1900</v>
      </c>
      <c r="D713" s="10" t="str">
        <f>IFERROR(
   INDEX(tbl_ProduitsRef[Cde_Prdt],MATCH(tbl_Ventes[[#This Row],[Produit]],tbl_ProduitsRef[Produit],0)),
   ""
)</f>
        <v/>
      </c>
      <c r="E713" s="7">
        <v>0</v>
      </c>
      <c r="F713" s="7" t="str">
        <f>IFERROR(
   INDEX(tbl_ProduitsRef[Prix Menu],MATCH(tbl_Ventes[[#This Row],[Produit]],tbl_ProduitsRef[Produit],0)),
   ""
)</f>
        <v/>
      </c>
      <c r="G713" s="7">
        <f>tbl_Ventes[[#This Row],[Qté Vendue]] * IFERROR(_xlfn.XLOOKUP(tbl_Ventes[[#This Row],[Cde_Prdt]], tbl_Produits[Cde_Prdt], tbl_Produits[Prix Menu]), 0)</f>
        <v>0</v>
      </c>
      <c r="H713" s="7">
        <f>IFERROR(_xlfn.XLOOKUP(tbl_Ventes[[#This Row],[Cde_Prdt]], tbl_Produits[Cde_Prdt], tbl_Produits[Coût Moyen Portion]), 0)</f>
        <v>0</v>
      </c>
      <c r="I713" s="7">
        <f>tbl_Ventes[[#This Row],[Qté Vendue]] * tbl_Ventes[[#This Row],[CMP_par_portion]]</f>
        <v>0</v>
      </c>
      <c r="J713" s="7">
        <f>tbl_Ventes[[#This Row],[CA ligne]] - tbl_Ventes[[#This Row],[Coût matière ligne]]</f>
        <v>0</v>
      </c>
      <c r="K713" s="7" t="str">
        <f>IFERROR(INDEX(tbl_ProduitsRef[Famille], MATCH(tbl_Ventes[[#This Row],[Cde_Prdt]], tbl_Produits[Cde_Prdt], 0)), "")</f>
        <v/>
      </c>
    </row>
    <row r="714" spans="1:11" x14ac:dyDescent="0.25">
      <c r="A714" s="5"/>
      <c r="B714" s="63" t="str">
        <f>IFERROR(TEXT(tbl_Ventes[[#This Row],[Date]],"mm-aaaa"),"")</f>
        <v>01-1900</v>
      </c>
      <c r="D714" s="10" t="str">
        <f>IFERROR(
   INDEX(tbl_ProduitsRef[Cde_Prdt],MATCH(tbl_Ventes[[#This Row],[Produit]],tbl_ProduitsRef[Produit],0)),
   ""
)</f>
        <v/>
      </c>
      <c r="E714" s="7">
        <v>0</v>
      </c>
      <c r="F714" s="7" t="str">
        <f>IFERROR(
   INDEX(tbl_ProduitsRef[Prix Menu],MATCH(tbl_Ventes[[#This Row],[Produit]],tbl_ProduitsRef[Produit],0)),
   ""
)</f>
        <v/>
      </c>
      <c r="G714" s="7">
        <f>tbl_Ventes[[#This Row],[Qté Vendue]] * IFERROR(_xlfn.XLOOKUP(tbl_Ventes[[#This Row],[Cde_Prdt]], tbl_Produits[Cde_Prdt], tbl_Produits[Prix Menu]), 0)</f>
        <v>0</v>
      </c>
      <c r="H714" s="7">
        <f>IFERROR(_xlfn.XLOOKUP(tbl_Ventes[[#This Row],[Cde_Prdt]], tbl_Produits[Cde_Prdt], tbl_Produits[Coût Moyen Portion]), 0)</f>
        <v>0</v>
      </c>
      <c r="I714" s="7">
        <f>tbl_Ventes[[#This Row],[Qté Vendue]] * tbl_Ventes[[#This Row],[CMP_par_portion]]</f>
        <v>0</v>
      </c>
      <c r="J714" s="7">
        <f>tbl_Ventes[[#This Row],[CA ligne]] - tbl_Ventes[[#This Row],[Coût matière ligne]]</f>
        <v>0</v>
      </c>
      <c r="K714" s="7" t="str">
        <f>IFERROR(INDEX(tbl_ProduitsRef[Famille], MATCH(tbl_Ventes[[#This Row],[Cde_Prdt]], tbl_Produits[Cde_Prdt], 0)), "")</f>
        <v/>
      </c>
    </row>
    <row r="715" spans="1:11" x14ac:dyDescent="0.25">
      <c r="A715" s="5"/>
      <c r="B715" s="63" t="str">
        <f>IFERROR(TEXT(tbl_Ventes[[#This Row],[Date]],"mm-aaaa"),"")</f>
        <v>01-1900</v>
      </c>
      <c r="D715" s="10" t="str">
        <f>IFERROR(
   INDEX(tbl_ProduitsRef[Cde_Prdt],MATCH(tbl_Ventes[[#This Row],[Produit]],tbl_ProduitsRef[Produit],0)),
   ""
)</f>
        <v/>
      </c>
      <c r="E715" s="7">
        <v>0</v>
      </c>
      <c r="F715" s="7" t="str">
        <f>IFERROR(
   INDEX(tbl_ProduitsRef[Prix Menu],MATCH(tbl_Ventes[[#This Row],[Produit]],tbl_ProduitsRef[Produit],0)),
   ""
)</f>
        <v/>
      </c>
      <c r="G715" s="7">
        <f>tbl_Ventes[[#This Row],[Qté Vendue]] * IFERROR(_xlfn.XLOOKUP(tbl_Ventes[[#This Row],[Cde_Prdt]], tbl_Produits[Cde_Prdt], tbl_Produits[Prix Menu]), 0)</f>
        <v>0</v>
      </c>
      <c r="H715" s="7">
        <f>IFERROR(_xlfn.XLOOKUP(tbl_Ventes[[#This Row],[Cde_Prdt]], tbl_Produits[Cde_Prdt], tbl_Produits[Coût Moyen Portion]), 0)</f>
        <v>0</v>
      </c>
      <c r="I715" s="7">
        <f>tbl_Ventes[[#This Row],[Qté Vendue]] * tbl_Ventes[[#This Row],[CMP_par_portion]]</f>
        <v>0</v>
      </c>
      <c r="J715" s="7">
        <f>tbl_Ventes[[#This Row],[CA ligne]] - tbl_Ventes[[#This Row],[Coût matière ligne]]</f>
        <v>0</v>
      </c>
      <c r="K715" s="7" t="str">
        <f>IFERROR(INDEX(tbl_ProduitsRef[Famille], MATCH(tbl_Ventes[[#This Row],[Cde_Prdt]], tbl_Produits[Cde_Prdt], 0)), "")</f>
        <v/>
      </c>
    </row>
    <row r="716" spans="1:11" x14ac:dyDescent="0.25">
      <c r="A716" s="5"/>
      <c r="B716" s="63" t="str">
        <f>IFERROR(TEXT(tbl_Ventes[[#This Row],[Date]],"mm-aaaa"),"")</f>
        <v>01-1900</v>
      </c>
      <c r="D716" s="10" t="str">
        <f>IFERROR(
   INDEX(tbl_ProduitsRef[Cde_Prdt],MATCH(tbl_Ventes[[#This Row],[Produit]],tbl_ProduitsRef[Produit],0)),
   ""
)</f>
        <v/>
      </c>
      <c r="E716" s="7">
        <v>0</v>
      </c>
      <c r="F716" s="7" t="str">
        <f>IFERROR(
   INDEX(tbl_ProduitsRef[Prix Menu],MATCH(tbl_Ventes[[#This Row],[Produit]],tbl_ProduitsRef[Produit],0)),
   ""
)</f>
        <v/>
      </c>
      <c r="G716" s="7">
        <f>tbl_Ventes[[#This Row],[Qté Vendue]] * IFERROR(_xlfn.XLOOKUP(tbl_Ventes[[#This Row],[Cde_Prdt]], tbl_Produits[Cde_Prdt], tbl_Produits[Prix Menu]), 0)</f>
        <v>0</v>
      </c>
      <c r="H716" s="7">
        <f>IFERROR(_xlfn.XLOOKUP(tbl_Ventes[[#This Row],[Cde_Prdt]], tbl_Produits[Cde_Prdt], tbl_Produits[Coût Moyen Portion]), 0)</f>
        <v>0</v>
      </c>
      <c r="I716" s="7">
        <f>tbl_Ventes[[#This Row],[Qté Vendue]] * tbl_Ventes[[#This Row],[CMP_par_portion]]</f>
        <v>0</v>
      </c>
      <c r="J716" s="7">
        <f>tbl_Ventes[[#This Row],[CA ligne]] - tbl_Ventes[[#This Row],[Coût matière ligne]]</f>
        <v>0</v>
      </c>
      <c r="K716" s="7" t="str">
        <f>IFERROR(INDEX(tbl_ProduitsRef[Famille], MATCH(tbl_Ventes[[#This Row],[Cde_Prdt]], tbl_Produits[Cde_Prdt], 0)), "")</f>
        <v/>
      </c>
    </row>
    <row r="717" spans="1:11" x14ac:dyDescent="0.25">
      <c r="A717" s="5"/>
      <c r="B717" s="63" t="str">
        <f>IFERROR(TEXT(tbl_Ventes[[#This Row],[Date]],"mm-aaaa"),"")</f>
        <v>01-1900</v>
      </c>
      <c r="D717" s="10" t="str">
        <f>IFERROR(
   INDEX(tbl_ProduitsRef[Cde_Prdt],MATCH(tbl_Ventes[[#This Row],[Produit]],tbl_ProduitsRef[Produit],0)),
   ""
)</f>
        <v/>
      </c>
      <c r="E717" s="7">
        <v>0</v>
      </c>
      <c r="F717" s="7" t="str">
        <f>IFERROR(
   INDEX(tbl_ProduitsRef[Prix Menu],MATCH(tbl_Ventes[[#This Row],[Produit]],tbl_ProduitsRef[Produit],0)),
   ""
)</f>
        <v/>
      </c>
      <c r="G717" s="7">
        <f>tbl_Ventes[[#This Row],[Qté Vendue]] * IFERROR(_xlfn.XLOOKUP(tbl_Ventes[[#This Row],[Cde_Prdt]], tbl_Produits[Cde_Prdt], tbl_Produits[Prix Menu]), 0)</f>
        <v>0</v>
      </c>
      <c r="H717" s="7">
        <f>IFERROR(_xlfn.XLOOKUP(tbl_Ventes[[#This Row],[Cde_Prdt]], tbl_Produits[Cde_Prdt], tbl_Produits[Coût Moyen Portion]), 0)</f>
        <v>0</v>
      </c>
      <c r="I717" s="7">
        <f>tbl_Ventes[[#This Row],[Qté Vendue]] * tbl_Ventes[[#This Row],[CMP_par_portion]]</f>
        <v>0</v>
      </c>
      <c r="J717" s="7">
        <f>tbl_Ventes[[#This Row],[CA ligne]] - tbl_Ventes[[#This Row],[Coût matière ligne]]</f>
        <v>0</v>
      </c>
      <c r="K717" s="7" t="str">
        <f>IFERROR(INDEX(tbl_ProduitsRef[Famille], MATCH(tbl_Ventes[[#This Row],[Cde_Prdt]], tbl_Produits[Cde_Prdt], 0)), "")</f>
        <v/>
      </c>
    </row>
    <row r="718" spans="1:11" x14ac:dyDescent="0.25">
      <c r="A718" s="5"/>
      <c r="B718" s="63" t="str">
        <f>IFERROR(TEXT(tbl_Ventes[[#This Row],[Date]],"mm-aaaa"),"")</f>
        <v>01-1900</v>
      </c>
      <c r="D718" s="10" t="str">
        <f>IFERROR(
   INDEX(tbl_ProduitsRef[Cde_Prdt],MATCH(tbl_Ventes[[#This Row],[Produit]],tbl_ProduitsRef[Produit],0)),
   ""
)</f>
        <v/>
      </c>
      <c r="E718" s="7">
        <v>0</v>
      </c>
      <c r="F718" s="7" t="str">
        <f>IFERROR(
   INDEX(tbl_ProduitsRef[Prix Menu],MATCH(tbl_Ventes[[#This Row],[Produit]],tbl_ProduitsRef[Produit],0)),
   ""
)</f>
        <v/>
      </c>
      <c r="G718" s="7">
        <f>tbl_Ventes[[#This Row],[Qté Vendue]] * IFERROR(_xlfn.XLOOKUP(tbl_Ventes[[#This Row],[Cde_Prdt]], tbl_Produits[Cde_Prdt], tbl_Produits[Prix Menu]), 0)</f>
        <v>0</v>
      </c>
      <c r="H718" s="7">
        <f>IFERROR(_xlfn.XLOOKUP(tbl_Ventes[[#This Row],[Cde_Prdt]], tbl_Produits[Cde_Prdt], tbl_Produits[Coût Moyen Portion]), 0)</f>
        <v>0</v>
      </c>
      <c r="I718" s="7">
        <f>tbl_Ventes[[#This Row],[Qté Vendue]] * tbl_Ventes[[#This Row],[CMP_par_portion]]</f>
        <v>0</v>
      </c>
      <c r="J718" s="7">
        <f>tbl_Ventes[[#This Row],[CA ligne]] - tbl_Ventes[[#This Row],[Coût matière ligne]]</f>
        <v>0</v>
      </c>
      <c r="K718" s="7" t="str">
        <f>IFERROR(INDEX(tbl_ProduitsRef[Famille], MATCH(tbl_Ventes[[#This Row],[Cde_Prdt]], tbl_Produits[Cde_Prdt], 0)), "")</f>
        <v/>
      </c>
    </row>
    <row r="719" spans="1:11" x14ac:dyDescent="0.25">
      <c r="A719" s="5"/>
      <c r="B719" s="63" t="str">
        <f>IFERROR(TEXT(tbl_Ventes[[#This Row],[Date]],"mm-aaaa"),"")</f>
        <v>01-1900</v>
      </c>
      <c r="D719" s="10" t="str">
        <f>IFERROR(
   INDEX(tbl_ProduitsRef[Cde_Prdt],MATCH(tbl_Ventes[[#This Row],[Produit]],tbl_ProduitsRef[Produit],0)),
   ""
)</f>
        <v/>
      </c>
      <c r="E719" s="7">
        <v>0</v>
      </c>
      <c r="F719" s="7" t="str">
        <f>IFERROR(
   INDEX(tbl_ProduitsRef[Prix Menu],MATCH(tbl_Ventes[[#This Row],[Produit]],tbl_ProduitsRef[Produit],0)),
   ""
)</f>
        <v/>
      </c>
      <c r="G719" s="7">
        <f>tbl_Ventes[[#This Row],[Qté Vendue]] * IFERROR(_xlfn.XLOOKUP(tbl_Ventes[[#This Row],[Cde_Prdt]], tbl_Produits[Cde_Prdt], tbl_Produits[Prix Menu]), 0)</f>
        <v>0</v>
      </c>
      <c r="H719" s="7">
        <f>IFERROR(_xlfn.XLOOKUP(tbl_Ventes[[#This Row],[Cde_Prdt]], tbl_Produits[Cde_Prdt], tbl_Produits[Coût Moyen Portion]), 0)</f>
        <v>0</v>
      </c>
      <c r="I719" s="7">
        <f>tbl_Ventes[[#This Row],[Qté Vendue]] * tbl_Ventes[[#This Row],[CMP_par_portion]]</f>
        <v>0</v>
      </c>
      <c r="J719" s="7">
        <f>tbl_Ventes[[#This Row],[CA ligne]] - tbl_Ventes[[#This Row],[Coût matière ligne]]</f>
        <v>0</v>
      </c>
      <c r="K719" s="7" t="str">
        <f>IFERROR(INDEX(tbl_ProduitsRef[Famille], MATCH(tbl_Ventes[[#This Row],[Cde_Prdt]], tbl_Produits[Cde_Prdt], 0)), "")</f>
        <v/>
      </c>
    </row>
    <row r="720" spans="1:11" x14ac:dyDescent="0.25">
      <c r="A720" s="5"/>
      <c r="B720" s="63" t="str">
        <f>IFERROR(TEXT(tbl_Ventes[[#This Row],[Date]],"mm-aaaa"),"")</f>
        <v>01-1900</v>
      </c>
      <c r="D720" s="10" t="str">
        <f>IFERROR(
   INDEX(tbl_ProduitsRef[Cde_Prdt],MATCH(tbl_Ventes[[#This Row],[Produit]],tbl_ProduitsRef[Produit],0)),
   ""
)</f>
        <v/>
      </c>
      <c r="E720" s="7">
        <v>0</v>
      </c>
      <c r="F720" s="7" t="str">
        <f>IFERROR(
   INDEX(tbl_ProduitsRef[Prix Menu],MATCH(tbl_Ventes[[#This Row],[Produit]],tbl_ProduitsRef[Produit],0)),
   ""
)</f>
        <v/>
      </c>
      <c r="G720" s="7">
        <f>tbl_Ventes[[#This Row],[Qté Vendue]] * IFERROR(_xlfn.XLOOKUP(tbl_Ventes[[#This Row],[Cde_Prdt]], tbl_Produits[Cde_Prdt], tbl_Produits[Prix Menu]), 0)</f>
        <v>0</v>
      </c>
      <c r="H720" s="7">
        <f>IFERROR(_xlfn.XLOOKUP(tbl_Ventes[[#This Row],[Cde_Prdt]], tbl_Produits[Cde_Prdt], tbl_Produits[Coût Moyen Portion]), 0)</f>
        <v>0</v>
      </c>
      <c r="I720" s="7">
        <f>tbl_Ventes[[#This Row],[Qté Vendue]] * tbl_Ventes[[#This Row],[CMP_par_portion]]</f>
        <v>0</v>
      </c>
      <c r="J720" s="7">
        <f>tbl_Ventes[[#This Row],[CA ligne]] - tbl_Ventes[[#This Row],[Coût matière ligne]]</f>
        <v>0</v>
      </c>
      <c r="K720" s="7" t="str">
        <f>IFERROR(INDEX(tbl_ProduitsRef[Famille], MATCH(tbl_Ventes[[#This Row],[Cde_Prdt]], tbl_Produits[Cde_Prdt], 0)), "")</f>
        <v/>
      </c>
    </row>
    <row r="721" spans="1:11" x14ac:dyDescent="0.25">
      <c r="A721" s="5"/>
      <c r="B721" s="63" t="str">
        <f>IFERROR(TEXT(tbl_Ventes[[#This Row],[Date]],"mm-aaaa"),"")</f>
        <v>01-1900</v>
      </c>
      <c r="D721" s="10" t="str">
        <f>IFERROR(
   INDEX(tbl_ProduitsRef[Cde_Prdt],MATCH(tbl_Ventes[[#This Row],[Produit]],tbl_ProduitsRef[Produit],0)),
   ""
)</f>
        <v/>
      </c>
      <c r="E721" s="7">
        <v>0</v>
      </c>
      <c r="F721" s="7" t="str">
        <f>IFERROR(
   INDEX(tbl_ProduitsRef[Prix Menu],MATCH(tbl_Ventes[[#This Row],[Produit]],tbl_ProduitsRef[Produit],0)),
   ""
)</f>
        <v/>
      </c>
      <c r="G721" s="7">
        <f>tbl_Ventes[[#This Row],[Qté Vendue]] * IFERROR(_xlfn.XLOOKUP(tbl_Ventes[[#This Row],[Cde_Prdt]], tbl_Produits[Cde_Prdt], tbl_Produits[Prix Menu]), 0)</f>
        <v>0</v>
      </c>
      <c r="H721" s="7">
        <f>IFERROR(_xlfn.XLOOKUP(tbl_Ventes[[#This Row],[Cde_Prdt]], tbl_Produits[Cde_Prdt], tbl_Produits[Coût Moyen Portion]), 0)</f>
        <v>0</v>
      </c>
      <c r="I721" s="7">
        <f>tbl_Ventes[[#This Row],[Qté Vendue]] * tbl_Ventes[[#This Row],[CMP_par_portion]]</f>
        <v>0</v>
      </c>
      <c r="J721" s="7">
        <f>tbl_Ventes[[#This Row],[CA ligne]] - tbl_Ventes[[#This Row],[Coût matière ligne]]</f>
        <v>0</v>
      </c>
      <c r="K721" s="7" t="str">
        <f>IFERROR(INDEX(tbl_ProduitsRef[Famille], MATCH(tbl_Ventes[[#This Row],[Cde_Prdt]], tbl_Produits[Cde_Prdt], 0)), "")</f>
        <v/>
      </c>
    </row>
    <row r="722" spans="1:11" x14ac:dyDescent="0.25">
      <c r="A722" s="5"/>
      <c r="B722" s="63" t="str">
        <f>IFERROR(TEXT(tbl_Ventes[[#This Row],[Date]],"mm-aaaa"),"")</f>
        <v>01-1900</v>
      </c>
      <c r="D722" s="10" t="str">
        <f>IFERROR(
   INDEX(tbl_ProduitsRef[Cde_Prdt],MATCH(tbl_Ventes[[#This Row],[Produit]],tbl_ProduitsRef[Produit],0)),
   ""
)</f>
        <v/>
      </c>
      <c r="E722" s="7">
        <v>0</v>
      </c>
      <c r="F722" s="7" t="str">
        <f>IFERROR(
   INDEX(tbl_ProduitsRef[Prix Menu],MATCH(tbl_Ventes[[#This Row],[Produit]],tbl_ProduitsRef[Produit],0)),
   ""
)</f>
        <v/>
      </c>
      <c r="G722" s="7">
        <f>tbl_Ventes[[#This Row],[Qté Vendue]] * IFERROR(_xlfn.XLOOKUP(tbl_Ventes[[#This Row],[Cde_Prdt]], tbl_Produits[Cde_Prdt], tbl_Produits[Prix Menu]), 0)</f>
        <v>0</v>
      </c>
      <c r="H722" s="7">
        <f>IFERROR(_xlfn.XLOOKUP(tbl_Ventes[[#This Row],[Cde_Prdt]], tbl_Produits[Cde_Prdt], tbl_Produits[Coût Moyen Portion]), 0)</f>
        <v>0</v>
      </c>
      <c r="I722" s="7">
        <f>tbl_Ventes[[#This Row],[Qté Vendue]] * tbl_Ventes[[#This Row],[CMP_par_portion]]</f>
        <v>0</v>
      </c>
      <c r="J722" s="7">
        <f>tbl_Ventes[[#This Row],[CA ligne]] - tbl_Ventes[[#This Row],[Coût matière ligne]]</f>
        <v>0</v>
      </c>
      <c r="K722" s="7" t="str">
        <f>IFERROR(INDEX(tbl_ProduitsRef[Famille], MATCH(tbl_Ventes[[#This Row],[Cde_Prdt]], tbl_Produits[Cde_Prdt], 0)), "")</f>
        <v/>
      </c>
    </row>
    <row r="723" spans="1:11" x14ac:dyDescent="0.25">
      <c r="A723" s="5"/>
      <c r="B723" s="63" t="str">
        <f>IFERROR(TEXT(tbl_Ventes[[#This Row],[Date]],"mm-aaaa"),"")</f>
        <v>01-1900</v>
      </c>
      <c r="D723" s="10" t="str">
        <f>IFERROR(
   INDEX(tbl_ProduitsRef[Cde_Prdt],MATCH(tbl_Ventes[[#This Row],[Produit]],tbl_ProduitsRef[Produit],0)),
   ""
)</f>
        <v/>
      </c>
      <c r="E723" s="7">
        <v>0</v>
      </c>
      <c r="F723" s="7" t="str">
        <f>IFERROR(
   INDEX(tbl_ProduitsRef[Prix Menu],MATCH(tbl_Ventes[[#This Row],[Produit]],tbl_ProduitsRef[Produit],0)),
   ""
)</f>
        <v/>
      </c>
      <c r="G723" s="7">
        <f>tbl_Ventes[[#This Row],[Qté Vendue]] * IFERROR(_xlfn.XLOOKUP(tbl_Ventes[[#This Row],[Cde_Prdt]], tbl_Produits[Cde_Prdt], tbl_Produits[Prix Menu]), 0)</f>
        <v>0</v>
      </c>
      <c r="H723" s="7">
        <f>IFERROR(_xlfn.XLOOKUP(tbl_Ventes[[#This Row],[Cde_Prdt]], tbl_Produits[Cde_Prdt], tbl_Produits[Coût Moyen Portion]), 0)</f>
        <v>0</v>
      </c>
      <c r="I723" s="7">
        <f>tbl_Ventes[[#This Row],[Qté Vendue]] * tbl_Ventes[[#This Row],[CMP_par_portion]]</f>
        <v>0</v>
      </c>
      <c r="J723" s="7">
        <f>tbl_Ventes[[#This Row],[CA ligne]] - tbl_Ventes[[#This Row],[Coût matière ligne]]</f>
        <v>0</v>
      </c>
      <c r="K723" s="7" t="str">
        <f>IFERROR(INDEX(tbl_ProduitsRef[Famille], MATCH(tbl_Ventes[[#This Row],[Cde_Prdt]], tbl_Produits[Cde_Prdt], 0)), "")</f>
        <v/>
      </c>
    </row>
    <row r="724" spans="1:11" x14ac:dyDescent="0.25">
      <c r="A724" s="5"/>
      <c r="B724" s="63" t="str">
        <f>IFERROR(TEXT(tbl_Ventes[[#This Row],[Date]],"mm-aaaa"),"")</f>
        <v>01-1900</v>
      </c>
      <c r="D724" s="10" t="str">
        <f>IFERROR(
   INDEX(tbl_ProduitsRef[Cde_Prdt],MATCH(tbl_Ventes[[#This Row],[Produit]],tbl_ProduitsRef[Produit],0)),
   ""
)</f>
        <v/>
      </c>
      <c r="E724" s="7">
        <v>0</v>
      </c>
      <c r="F724" s="7" t="str">
        <f>IFERROR(
   INDEX(tbl_ProduitsRef[Prix Menu],MATCH(tbl_Ventes[[#This Row],[Produit]],tbl_ProduitsRef[Produit],0)),
   ""
)</f>
        <v/>
      </c>
      <c r="G724" s="7">
        <f>tbl_Ventes[[#This Row],[Qté Vendue]] * IFERROR(_xlfn.XLOOKUP(tbl_Ventes[[#This Row],[Cde_Prdt]], tbl_Produits[Cde_Prdt], tbl_Produits[Prix Menu]), 0)</f>
        <v>0</v>
      </c>
      <c r="H724" s="7">
        <f>IFERROR(_xlfn.XLOOKUP(tbl_Ventes[[#This Row],[Cde_Prdt]], tbl_Produits[Cde_Prdt], tbl_Produits[Coût Moyen Portion]), 0)</f>
        <v>0</v>
      </c>
      <c r="I724" s="7">
        <f>tbl_Ventes[[#This Row],[Qté Vendue]] * tbl_Ventes[[#This Row],[CMP_par_portion]]</f>
        <v>0</v>
      </c>
      <c r="J724" s="7">
        <f>tbl_Ventes[[#This Row],[CA ligne]] - tbl_Ventes[[#This Row],[Coût matière ligne]]</f>
        <v>0</v>
      </c>
      <c r="K724" s="7" t="str">
        <f>IFERROR(INDEX(tbl_ProduitsRef[Famille], MATCH(tbl_Ventes[[#This Row],[Cde_Prdt]], tbl_Produits[Cde_Prdt], 0)), "")</f>
        <v/>
      </c>
    </row>
    <row r="725" spans="1:11" x14ac:dyDescent="0.25">
      <c r="A725" s="5"/>
      <c r="B725" s="63" t="str">
        <f>IFERROR(TEXT(tbl_Ventes[[#This Row],[Date]],"mm-aaaa"),"")</f>
        <v>01-1900</v>
      </c>
      <c r="D725" s="10" t="str">
        <f>IFERROR(
   INDEX(tbl_ProduitsRef[Cde_Prdt],MATCH(tbl_Ventes[[#This Row],[Produit]],tbl_ProduitsRef[Produit],0)),
   ""
)</f>
        <v/>
      </c>
      <c r="E725" s="7">
        <v>0</v>
      </c>
      <c r="F725" s="7" t="str">
        <f>IFERROR(
   INDEX(tbl_ProduitsRef[Prix Menu],MATCH(tbl_Ventes[[#This Row],[Produit]],tbl_ProduitsRef[Produit],0)),
   ""
)</f>
        <v/>
      </c>
      <c r="G725" s="7">
        <f>tbl_Ventes[[#This Row],[Qté Vendue]] * IFERROR(_xlfn.XLOOKUP(tbl_Ventes[[#This Row],[Cde_Prdt]], tbl_Produits[Cde_Prdt], tbl_Produits[Prix Menu]), 0)</f>
        <v>0</v>
      </c>
      <c r="H725" s="7">
        <f>IFERROR(_xlfn.XLOOKUP(tbl_Ventes[[#This Row],[Cde_Prdt]], tbl_Produits[Cde_Prdt], tbl_Produits[Coût Moyen Portion]), 0)</f>
        <v>0</v>
      </c>
      <c r="I725" s="7">
        <f>tbl_Ventes[[#This Row],[Qté Vendue]] * tbl_Ventes[[#This Row],[CMP_par_portion]]</f>
        <v>0</v>
      </c>
      <c r="J725" s="7">
        <f>tbl_Ventes[[#This Row],[CA ligne]] - tbl_Ventes[[#This Row],[Coût matière ligne]]</f>
        <v>0</v>
      </c>
      <c r="K725" s="7" t="str">
        <f>IFERROR(INDEX(tbl_ProduitsRef[Famille], MATCH(tbl_Ventes[[#This Row],[Cde_Prdt]], tbl_Produits[Cde_Prdt], 0)), "")</f>
        <v/>
      </c>
    </row>
    <row r="726" spans="1:11" x14ac:dyDescent="0.25">
      <c r="A726" s="5"/>
      <c r="B726" s="63" t="str">
        <f>IFERROR(TEXT(tbl_Ventes[[#This Row],[Date]],"mm-aaaa"),"")</f>
        <v>01-1900</v>
      </c>
      <c r="D726" s="10" t="str">
        <f>IFERROR(
   INDEX(tbl_ProduitsRef[Cde_Prdt],MATCH(tbl_Ventes[[#This Row],[Produit]],tbl_ProduitsRef[Produit],0)),
   ""
)</f>
        <v/>
      </c>
      <c r="E726" s="7">
        <v>0</v>
      </c>
      <c r="F726" s="7" t="str">
        <f>IFERROR(
   INDEX(tbl_ProduitsRef[Prix Menu],MATCH(tbl_Ventes[[#This Row],[Produit]],tbl_ProduitsRef[Produit],0)),
   ""
)</f>
        <v/>
      </c>
      <c r="G726" s="7">
        <f>tbl_Ventes[[#This Row],[Qté Vendue]] * IFERROR(_xlfn.XLOOKUP(tbl_Ventes[[#This Row],[Cde_Prdt]], tbl_Produits[Cde_Prdt], tbl_Produits[Prix Menu]), 0)</f>
        <v>0</v>
      </c>
      <c r="H726" s="7">
        <f>IFERROR(_xlfn.XLOOKUP(tbl_Ventes[[#This Row],[Cde_Prdt]], tbl_Produits[Cde_Prdt], tbl_Produits[Coût Moyen Portion]), 0)</f>
        <v>0</v>
      </c>
      <c r="I726" s="7">
        <f>tbl_Ventes[[#This Row],[Qté Vendue]] * tbl_Ventes[[#This Row],[CMP_par_portion]]</f>
        <v>0</v>
      </c>
      <c r="J726" s="7">
        <f>tbl_Ventes[[#This Row],[CA ligne]] - tbl_Ventes[[#This Row],[Coût matière ligne]]</f>
        <v>0</v>
      </c>
      <c r="K726" s="7" t="str">
        <f>IFERROR(INDEX(tbl_ProduitsRef[Famille], MATCH(tbl_Ventes[[#This Row],[Cde_Prdt]], tbl_Produits[Cde_Prdt], 0)), "")</f>
        <v/>
      </c>
    </row>
    <row r="727" spans="1:11" x14ac:dyDescent="0.25">
      <c r="A727" s="5"/>
      <c r="B727" s="63" t="str">
        <f>IFERROR(TEXT(tbl_Ventes[[#This Row],[Date]],"mm-aaaa"),"")</f>
        <v>01-1900</v>
      </c>
      <c r="D727" s="10" t="str">
        <f>IFERROR(
   INDEX(tbl_ProduitsRef[Cde_Prdt],MATCH(tbl_Ventes[[#This Row],[Produit]],tbl_ProduitsRef[Produit],0)),
   ""
)</f>
        <v/>
      </c>
      <c r="E727" s="7">
        <v>0</v>
      </c>
      <c r="F727" s="7" t="str">
        <f>IFERROR(
   INDEX(tbl_ProduitsRef[Prix Menu],MATCH(tbl_Ventes[[#This Row],[Produit]],tbl_ProduitsRef[Produit],0)),
   ""
)</f>
        <v/>
      </c>
      <c r="G727" s="7">
        <f>tbl_Ventes[[#This Row],[Qté Vendue]] * IFERROR(_xlfn.XLOOKUP(tbl_Ventes[[#This Row],[Cde_Prdt]], tbl_Produits[Cde_Prdt], tbl_Produits[Prix Menu]), 0)</f>
        <v>0</v>
      </c>
      <c r="H727" s="7">
        <f>IFERROR(_xlfn.XLOOKUP(tbl_Ventes[[#This Row],[Cde_Prdt]], tbl_Produits[Cde_Prdt], tbl_Produits[Coût Moyen Portion]), 0)</f>
        <v>0</v>
      </c>
      <c r="I727" s="7">
        <f>tbl_Ventes[[#This Row],[Qté Vendue]] * tbl_Ventes[[#This Row],[CMP_par_portion]]</f>
        <v>0</v>
      </c>
      <c r="J727" s="7">
        <f>tbl_Ventes[[#This Row],[CA ligne]] - tbl_Ventes[[#This Row],[Coût matière ligne]]</f>
        <v>0</v>
      </c>
      <c r="K727" s="7" t="str">
        <f>IFERROR(INDEX(tbl_ProduitsRef[Famille], MATCH(tbl_Ventes[[#This Row],[Cde_Prdt]], tbl_Produits[Cde_Prdt], 0)), "")</f>
        <v/>
      </c>
    </row>
    <row r="728" spans="1:11" x14ac:dyDescent="0.25">
      <c r="A728" s="5"/>
      <c r="B728" s="63" t="str">
        <f>IFERROR(TEXT(tbl_Ventes[[#This Row],[Date]],"mm-aaaa"),"")</f>
        <v>01-1900</v>
      </c>
      <c r="D728" s="10" t="str">
        <f>IFERROR(
   INDEX(tbl_ProduitsRef[Cde_Prdt],MATCH(tbl_Ventes[[#This Row],[Produit]],tbl_ProduitsRef[Produit],0)),
   ""
)</f>
        <v/>
      </c>
      <c r="E728" s="7">
        <v>0</v>
      </c>
      <c r="F728" s="7" t="str">
        <f>IFERROR(
   INDEX(tbl_ProduitsRef[Prix Menu],MATCH(tbl_Ventes[[#This Row],[Produit]],tbl_ProduitsRef[Produit],0)),
   ""
)</f>
        <v/>
      </c>
      <c r="G728" s="7">
        <f>tbl_Ventes[[#This Row],[Qté Vendue]] * IFERROR(_xlfn.XLOOKUP(tbl_Ventes[[#This Row],[Cde_Prdt]], tbl_Produits[Cde_Prdt], tbl_Produits[Prix Menu]), 0)</f>
        <v>0</v>
      </c>
      <c r="H728" s="7">
        <f>IFERROR(_xlfn.XLOOKUP(tbl_Ventes[[#This Row],[Cde_Prdt]], tbl_Produits[Cde_Prdt], tbl_Produits[Coût Moyen Portion]), 0)</f>
        <v>0</v>
      </c>
      <c r="I728" s="7">
        <f>tbl_Ventes[[#This Row],[Qté Vendue]] * tbl_Ventes[[#This Row],[CMP_par_portion]]</f>
        <v>0</v>
      </c>
      <c r="J728" s="7">
        <f>tbl_Ventes[[#This Row],[CA ligne]] - tbl_Ventes[[#This Row],[Coût matière ligne]]</f>
        <v>0</v>
      </c>
      <c r="K728" s="7" t="str">
        <f>IFERROR(INDEX(tbl_ProduitsRef[Famille], MATCH(tbl_Ventes[[#This Row],[Cde_Prdt]], tbl_Produits[Cde_Prdt], 0)), "")</f>
        <v/>
      </c>
    </row>
    <row r="729" spans="1:11" x14ac:dyDescent="0.25">
      <c r="A729" s="5"/>
      <c r="B729" s="63" t="str">
        <f>IFERROR(TEXT(tbl_Ventes[[#This Row],[Date]],"mm-aaaa"),"")</f>
        <v>01-1900</v>
      </c>
      <c r="D729" s="10" t="str">
        <f>IFERROR(
   INDEX(tbl_ProduitsRef[Cde_Prdt],MATCH(tbl_Ventes[[#This Row],[Produit]],tbl_ProduitsRef[Produit],0)),
   ""
)</f>
        <v/>
      </c>
      <c r="E729" s="7">
        <v>0</v>
      </c>
      <c r="F729" s="7" t="str">
        <f>IFERROR(
   INDEX(tbl_ProduitsRef[Prix Menu],MATCH(tbl_Ventes[[#This Row],[Produit]],tbl_ProduitsRef[Produit],0)),
   ""
)</f>
        <v/>
      </c>
      <c r="G729" s="7">
        <f>tbl_Ventes[[#This Row],[Qté Vendue]] * IFERROR(_xlfn.XLOOKUP(tbl_Ventes[[#This Row],[Cde_Prdt]], tbl_Produits[Cde_Prdt], tbl_Produits[Prix Menu]), 0)</f>
        <v>0</v>
      </c>
      <c r="H729" s="7">
        <f>IFERROR(_xlfn.XLOOKUP(tbl_Ventes[[#This Row],[Cde_Prdt]], tbl_Produits[Cde_Prdt], tbl_Produits[Coût Moyen Portion]), 0)</f>
        <v>0</v>
      </c>
      <c r="I729" s="7">
        <f>tbl_Ventes[[#This Row],[Qté Vendue]] * tbl_Ventes[[#This Row],[CMP_par_portion]]</f>
        <v>0</v>
      </c>
      <c r="J729" s="7">
        <f>tbl_Ventes[[#This Row],[CA ligne]] - tbl_Ventes[[#This Row],[Coût matière ligne]]</f>
        <v>0</v>
      </c>
      <c r="K729" s="7" t="str">
        <f>IFERROR(INDEX(tbl_ProduitsRef[Famille], MATCH(tbl_Ventes[[#This Row],[Cde_Prdt]], tbl_Produits[Cde_Prdt], 0)), "")</f>
        <v/>
      </c>
    </row>
    <row r="730" spans="1:11" x14ac:dyDescent="0.25">
      <c r="A730" s="5"/>
      <c r="B730" s="63" t="str">
        <f>IFERROR(TEXT(tbl_Ventes[[#This Row],[Date]],"mm-aaaa"),"")</f>
        <v>01-1900</v>
      </c>
      <c r="D730" s="10" t="str">
        <f>IFERROR(
   INDEX(tbl_ProduitsRef[Cde_Prdt],MATCH(tbl_Ventes[[#This Row],[Produit]],tbl_ProduitsRef[Produit],0)),
   ""
)</f>
        <v/>
      </c>
      <c r="E730" s="7">
        <v>0</v>
      </c>
      <c r="F730" s="7" t="str">
        <f>IFERROR(
   INDEX(tbl_ProduitsRef[Prix Menu],MATCH(tbl_Ventes[[#This Row],[Produit]],tbl_ProduitsRef[Produit],0)),
   ""
)</f>
        <v/>
      </c>
      <c r="G730" s="7">
        <f>tbl_Ventes[[#This Row],[Qté Vendue]] * IFERROR(_xlfn.XLOOKUP(tbl_Ventes[[#This Row],[Cde_Prdt]], tbl_Produits[Cde_Prdt], tbl_Produits[Prix Menu]), 0)</f>
        <v>0</v>
      </c>
      <c r="H730" s="7">
        <f>IFERROR(_xlfn.XLOOKUP(tbl_Ventes[[#This Row],[Cde_Prdt]], tbl_Produits[Cde_Prdt], tbl_Produits[Coût Moyen Portion]), 0)</f>
        <v>0</v>
      </c>
      <c r="I730" s="7">
        <f>tbl_Ventes[[#This Row],[Qté Vendue]] * tbl_Ventes[[#This Row],[CMP_par_portion]]</f>
        <v>0</v>
      </c>
      <c r="J730" s="7">
        <f>tbl_Ventes[[#This Row],[CA ligne]] - tbl_Ventes[[#This Row],[Coût matière ligne]]</f>
        <v>0</v>
      </c>
      <c r="K730" s="7" t="str">
        <f>IFERROR(INDEX(tbl_ProduitsRef[Famille], MATCH(tbl_Ventes[[#This Row],[Cde_Prdt]], tbl_Produits[Cde_Prdt], 0)), "")</f>
        <v/>
      </c>
    </row>
    <row r="731" spans="1:11" x14ac:dyDescent="0.25">
      <c r="A731" s="5"/>
      <c r="B731" s="63" t="str">
        <f>IFERROR(TEXT(tbl_Ventes[[#This Row],[Date]],"mm-aaaa"),"")</f>
        <v>01-1900</v>
      </c>
      <c r="D731" s="10" t="str">
        <f>IFERROR(
   INDEX(tbl_ProduitsRef[Cde_Prdt],MATCH(tbl_Ventes[[#This Row],[Produit]],tbl_ProduitsRef[Produit],0)),
   ""
)</f>
        <v/>
      </c>
      <c r="E731" s="7">
        <v>0</v>
      </c>
      <c r="F731" s="7" t="str">
        <f>IFERROR(
   INDEX(tbl_ProduitsRef[Prix Menu],MATCH(tbl_Ventes[[#This Row],[Produit]],tbl_ProduitsRef[Produit],0)),
   ""
)</f>
        <v/>
      </c>
      <c r="G731" s="7">
        <f>tbl_Ventes[[#This Row],[Qté Vendue]] * IFERROR(_xlfn.XLOOKUP(tbl_Ventes[[#This Row],[Cde_Prdt]], tbl_Produits[Cde_Prdt], tbl_Produits[Prix Menu]), 0)</f>
        <v>0</v>
      </c>
      <c r="H731" s="7">
        <f>IFERROR(_xlfn.XLOOKUP(tbl_Ventes[[#This Row],[Cde_Prdt]], tbl_Produits[Cde_Prdt], tbl_Produits[Coût Moyen Portion]), 0)</f>
        <v>0</v>
      </c>
      <c r="I731" s="7">
        <f>tbl_Ventes[[#This Row],[Qté Vendue]] * tbl_Ventes[[#This Row],[CMP_par_portion]]</f>
        <v>0</v>
      </c>
      <c r="J731" s="7">
        <f>tbl_Ventes[[#This Row],[CA ligne]] - tbl_Ventes[[#This Row],[Coût matière ligne]]</f>
        <v>0</v>
      </c>
      <c r="K731" s="7" t="str">
        <f>IFERROR(INDEX(tbl_ProduitsRef[Famille], MATCH(tbl_Ventes[[#This Row],[Cde_Prdt]], tbl_Produits[Cde_Prdt], 0)), "")</f>
        <v/>
      </c>
    </row>
    <row r="732" spans="1:11" x14ac:dyDescent="0.25">
      <c r="A732" s="5"/>
      <c r="B732" s="63" t="str">
        <f>IFERROR(TEXT(tbl_Ventes[[#This Row],[Date]],"mm-aaaa"),"")</f>
        <v>01-1900</v>
      </c>
      <c r="D732" s="10" t="str">
        <f>IFERROR(
   INDEX(tbl_ProduitsRef[Cde_Prdt],MATCH(tbl_Ventes[[#This Row],[Produit]],tbl_ProduitsRef[Produit],0)),
   ""
)</f>
        <v/>
      </c>
      <c r="E732" s="7">
        <v>0</v>
      </c>
      <c r="F732" s="7" t="str">
        <f>IFERROR(
   INDEX(tbl_ProduitsRef[Prix Menu],MATCH(tbl_Ventes[[#This Row],[Produit]],tbl_ProduitsRef[Produit],0)),
   ""
)</f>
        <v/>
      </c>
      <c r="G732" s="7">
        <f>tbl_Ventes[[#This Row],[Qté Vendue]] * IFERROR(_xlfn.XLOOKUP(tbl_Ventes[[#This Row],[Cde_Prdt]], tbl_Produits[Cde_Prdt], tbl_Produits[Prix Menu]), 0)</f>
        <v>0</v>
      </c>
      <c r="H732" s="7">
        <f>IFERROR(_xlfn.XLOOKUP(tbl_Ventes[[#This Row],[Cde_Prdt]], tbl_Produits[Cde_Prdt], tbl_Produits[Coût Moyen Portion]), 0)</f>
        <v>0</v>
      </c>
      <c r="I732" s="7">
        <f>tbl_Ventes[[#This Row],[Qté Vendue]] * tbl_Ventes[[#This Row],[CMP_par_portion]]</f>
        <v>0</v>
      </c>
      <c r="J732" s="7">
        <f>tbl_Ventes[[#This Row],[CA ligne]] - tbl_Ventes[[#This Row],[Coût matière ligne]]</f>
        <v>0</v>
      </c>
      <c r="K732" s="7" t="str">
        <f>IFERROR(INDEX(tbl_ProduitsRef[Famille], MATCH(tbl_Ventes[[#This Row],[Cde_Prdt]], tbl_Produits[Cde_Prdt], 0)), "")</f>
        <v/>
      </c>
    </row>
    <row r="733" spans="1:11" x14ac:dyDescent="0.25">
      <c r="A733" s="5"/>
      <c r="B733" s="63" t="str">
        <f>IFERROR(TEXT(tbl_Ventes[[#This Row],[Date]],"mm-aaaa"),"")</f>
        <v>01-1900</v>
      </c>
      <c r="D733" s="10" t="str">
        <f>IFERROR(
   INDEX(tbl_ProduitsRef[Cde_Prdt],MATCH(tbl_Ventes[[#This Row],[Produit]],tbl_ProduitsRef[Produit],0)),
   ""
)</f>
        <v/>
      </c>
      <c r="E733" s="7">
        <v>0</v>
      </c>
      <c r="F733" s="7" t="str">
        <f>IFERROR(
   INDEX(tbl_ProduitsRef[Prix Menu],MATCH(tbl_Ventes[[#This Row],[Produit]],tbl_ProduitsRef[Produit],0)),
   ""
)</f>
        <v/>
      </c>
      <c r="G733" s="7">
        <f>tbl_Ventes[[#This Row],[Qté Vendue]] * IFERROR(_xlfn.XLOOKUP(tbl_Ventes[[#This Row],[Cde_Prdt]], tbl_Produits[Cde_Prdt], tbl_Produits[Prix Menu]), 0)</f>
        <v>0</v>
      </c>
      <c r="H733" s="7">
        <f>IFERROR(_xlfn.XLOOKUP(tbl_Ventes[[#This Row],[Cde_Prdt]], tbl_Produits[Cde_Prdt], tbl_Produits[Coût Moyen Portion]), 0)</f>
        <v>0</v>
      </c>
      <c r="I733" s="7">
        <f>tbl_Ventes[[#This Row],[Qté Vendue]] * tbl_Ventes[[#This Row],[CMP_par_portion]]</f>
        <v>0</v>
      </c>
      <c r="J733" s="7">
        <f>tbl_Ventes[[#This Row],[CA ligne]] - tbl_Ventes[[#This Row],[Coût matière ligne]]</f>
        <v>0</v>
      </c>
      <c r="K733" s="7" t="str">
        <f>IFERROR(INDEX(tbl_ProduitsRef[Famille], MATCH(tbl_Ventes[[#This Row],[Cde_Prdt]], tbl_Produits[Cde_Prdt], 0)), "")</f>
        <v/>
      </c>
    </row>
    <row r="734" spans="1:11" x14ac:dyDescent="0.25">
      <c r="A734" s="5"/>
      <c r="B734" s="63" t="str">
        <f>IFERROR(TEXT(tbl_Ventes[[#This Row],[Date]],"mm-aaaa"),"")</f>
        <v>01-1900</v>
      </c>
      <c r="D734" s="10" t="str">
        <f>IFERROR(
   INDEX(tbl_ProduitsRef[Cde_Prdt],MATCH(tbl_Ventes[[#This Row],[Produit]],tbl_ProduitsRef[Produit],0)),
   ""
)</f>
        <v/>
      </c>
      <c r="E734" s="7">
        <v>0</v>
      </c>
      <c r="F734" s="7" t="str">
        <f>IFERROR(
   INDEX(tbl_ProduitsRef[Prix Menu],MATCH(tbl_Ventes[[#This Row],[Produit]],tbl_ProduitsRef[Produit],0)),
   ""
)</f>
        <v/>
      </c>
      <c r="G734" s="7">
        <f>tbl_Ventes[[#This Row],[Qté Vendue]] * IFERROR(_xlfn.XLOOKUP(tbl_Ventes[[#This Row],[Cde_Prdt]], tbl_Produits[Cde_Prdt], tbl_Produits[Prix Menu]), 0)</f>
        <v>0</v>
      </c>
      <c r="H734" s="7">
        <f>IFERROR(_xlfn.XLOOKUP(tbl_Ventes[[#This Row],[Cde_Prdt]], tbl_Produits[Cde_Prdt], tbl_Produits[Coût Moyen Portion]), 0)</f>
        <v>0</v>
      </c>
      <c r="I734" s="7">
        <f>tbl_Ventes[[#This Row],[Qté Vendue]] * tbl_Ventes[[#This Row],[CMP_par_portion]]</f>
        <v>0</v>
      </c>
      <c r="J734" s="7">
        <f>tbl_Ventes[[#This Row],[CA ligne]] - tbl_Ventes[[#This Row],[Coût matière ligne]]</f>
        <v>0</v>
      </c>
      <c r="K734" s="7" t="str">
        <f>IFERROR(INDEX(tbl_ProduitsRef[Famille], MATCH(tbl_Ventes[[#This Row],[Cde_Prdt]], tbl_Produits[Cde_Prdt], 0)), "")</f>
        <v/>
      </c>
    </row>
    <row r="735" spans="1:11" x14ac:dyDescent="0.25">
      <c r="A735" s="5"/>
      <c r="B735" s="63" t="str">
        <f>IFERROR(TEXT(tbl_Ventes[[#This Row],[Date]],"mm-aaaa"),"")</f>
        <v>01-1900</v>
      </c>
      <c r="D735" s="10" t="str">
        <f>IFERROR(
   INDEX(tbl_ProduitsRef[Cde_Prdt],MATCH(tbl_Ventes[[#This Row],[Produit]],tbl_ProduitsRef[Produit],0)),
   ""
)</f>
        <v/>
      </c>
      <c r="E735" s="7">
        <v>0</v>
      </c>
      <c r="F735" s="7" t="str">
        <f>IFERROR(
   INDEX(tbl_ProduitsRef[Prix Menu],MATCH(tbl_Ventes[[#This Row],[Produit]],tbl_ProduitsRef[Produit],0)),
   ""
)</f>
        <v/>
      </c>
      <c r="G735" s="7">
        <f>tbl_Ventes[[#This Row],[Qté Vendue]] * IFERROR(_xlfn.XLOOKUP(tbl_Ventes[[#This Row],[Cde_Prdt]], tbl_Produits[Cde_Prdt], tbl_Produits[Prix Menu]), 0)</f>
        <v>0</v>
      </c>
      <c r="H735" s="7">
        <f>IFERROR(_xlfn.XLOOKUP(tbl_Ventes[[#This Row],[Cde_Prdt]], tbl_Produits[Cde_Prdt], tbl_Produits[Coût Moyen Portion]), 0)</f>
        <v>0</v>
      </c>
      <c r="I735" s="7">
        <f>tbl_Ventes[[#This Row],[Qté Vendue]] * tbl_Ventes[[#This Row],[CMP_par_portion]]</f>
        <v>0</v>
      </c>
      <c r="J735" s="7">
        <f>tbl_Ventes[[#This Row],[CA ligne]] - tbl_Ventes[[#This Row],[Coût matière ligne]]</f>
        <v>0</v>
      </c>
      <c r="K735" s="7" t="str">
        <f>IFERROR(INDEX(tbl_ProduitsRef[Famille], MATCH(tbl_Ventes[[#This Row],[Cde_Prdt]], tbl_Produits[Cde_Prdt], 0)), "")</f>
        <v/>
      </c>
    </row>
    <row r="736" spans="1:11" x14ac:dyDescent="0.25">
      <c r="A736" s="5"/>
      <c r="B736" s="63" t="str">
        <f>IFERROR(TEXT(tbl_Ventes[[#This Row],[Date]],"mm-aaaa"),"")</f>
        <v>01-1900</v>
      </c>
      <c r="D736" s="10" t="str">
        <f>IFERROR(
   INDEX(tbl_ProduitsRef[Cde_Prdt],MATCH(tbl_Ventes[[#This Row],[Produit]],tbl_ProduitsRef[Produit],0)),
   ""
)</f>
        <v/>
      </c>
      <c r="E736" s="7">
        <v>0</v>
      </c>
      <c r="F736" s="7" t="str">
        <f>IFERROR(
   INDEX(tbl_ProduitsRef[Prix Menu],MATCH(tbl_Ventes[[#This Row],[Produit]],tbl_ProduitsRef[Produit],0)),
   ""
)</f>
        <v/>
      </c>
      <c r="G736" s="7">
        <f>tbl_Ventes[[#This Row],[Qté Vendue]] * IFERROR(_xlfn.XLOOKUP(tbl_Ventes[[#This Row],[Cde_Prdt]], tbl_Produits[Cde_Prdt], tbl_Produits[Prix Menu]), 0)</f>
        <v>0</v>
      </c>
      <c r="H736" s="7">
        <f>IFERROR(_xlfn.XLOOKUP(tbl_Ventes[[#This Row],[Cde_Prdt]], tbl_Produits[Cde_Prdt], tbl_Produits[Coût Moyen Portion]), 0)</f>
        <v>0</v>
      </c>
      <c r="I736" s="7">
        <f>tbl_Ventes[[#This Row],[Qté Vendue]] * tbl_Ventes[[#This Row],[CMP_par_portion]]</f>
        <v>0</v>
      </c>
      <c r="J736" s="7">
        <f>tbl_Ventes[[#This Row],[CA ligne]] - tbl_Ventes[[#This Row],[Coût matière ligne]]</f>
        <v>0</v>
      </c>
      <c r="K736" s="7" t="str">
        <f>IFERROR(INDEX(tbl_ProduitsRef[Famille], MATCH(tbl_Ventes[[#This Row],[Cde_Prdt]], tbl_Produits[Cde_Prdt], 0)), "")</f>
        <v/>
      </c>
    </row>
    <row r="737" spans="1:11" x14ac:dyDescent="0.25">
      <c r="A737" s="5"/>
      <c r="B737" s="63" t="str">
        <f>IFERROR(TEXT(tbl_Ventes[[#This Row],[Date]],"mm-aaaa"),"")</f>
        <v>01-1900</v>
      </c>
      <c r="D737" s="10" t="str">
        <f>IFERROR(
   INDEX(tbl_ProduitsRef[Cde_Prdt],MATCH(tbl_Ventes[[#This Row],[Produit]],tbl_ProduitsRef[Produit],0)),
   ""
)</f>
        <v/>
      </c>
      <c r="E737" s="7">
        <v>0</v>
      </c>
      <c r="F737" s="7" t="str">
        <f>IFERROR(
   INDEX(tbl_ProduitsRef[Prix Menu],MATCH(tbl_Ventes[[#This Row],[Produit]],tbl_ProduitsRef[Produit],0)),
   ""
)</f>
        <v/>
      </c>
      <c r="G737" s="7">
        <f>tbl_Ventes[[#This Row],[Qté Vendue]] * IFERROR(_xlfn.XLOOKUP(tbl_Ventes[[#This Row],[Cde_Prdt]], tbl_Produits[Cde_Prdt], tbl_Produits[Prix Menu]), 0)</f>
        <v>0</v>
      </c>
      <c r="H737" s="7">
        <f>IFERROR(_xlfn.XLOOKUP(tbl_Ventes[[#This Row],[Cde_Prdt]], tbl_Produits[Cde_Prdt], tbl_Produits[Coût Moyen Portion]), 0)</f>
        <v>0</v>
      </c>
      <c r="I737" s="7">
        <f>tbl_Ventes[[#This Row],[Qté Vendue]] * tbl_Ventes[[#This Row],[CMP_par_portion]]</f>
        <v>0</v>
      </c>
      <c r="J737" s="7">
        <f>tbl_Ventes[[#This Row],[CA ligne]] - tbl_Ventes[[#This Row],[Coût matière ligne]]</f>
        <v>0</v>
      </c>
      <c r="K737" s="7" t="str">
        <f>IFERROR(INDEX(tbl_ProduitsRef[Famille], MATCH(tbl_Ventes[[#This Row],[Cde_Prdt]], tbl_Produits[Cde_Prdt], 0)), "")</f>
        <v/>
      </c>
    </row>
    <row r="738" spans="1:11" x14ac:dyDescent="0.25">
      <c r="A738" s="5"/>
      <c r="B738" s="63" t="str">
        <f>IFERROR(TEXT(tbl_Ventes[[#This Row],[Date]],"mm-aaaa"),"")</f>
        <v>01-1900</v>
      </c>
      <c r="D738" s="10" t="str">
        <f>IFERROR(
   INDEX(tbl_ProduitsRef[Cde_Prdt],MATCH(tbl_Ventes[[#This Row],[Produit]],tbl_ProduitsRef[Produit],0)),
   ""
)</f>
        <v/>
      </c>
      <c r="E738" s="7">
        <v>0</v>
      </c>
      <c r="F738" s="7" t="str">
        <f>IFERROR(
   INDEX(tbl_ProduitsRef[Prix Menu],MATCH(tbl_Ventes[[#This Row],[Produit]],tbl_ProduitsRef[Produit],0)),
   ""
)</f>
        <v/>
      </c>
      <c r="G738" s="7">
        <f>tbl_Ventes[[#This Row],[Qté Vendue]] * IFERROR(_xlfn.XLOOKUP(tbl_Ventes[[#This Row],[Cde_Prdt]], tbl_Produits[Cde_Prdt], tbl_Produits[Prix Menu]), 0)</f>
        <v>0</v>
      </c>
      <c r="H738" s="7">
        <f>IFERROR(_xlfn.XLOOKUP(tbl_Ventes[[#This Row],[Cde_Prdt]], tbl_Produits[Cde_Prdt], tbl_Produits[Coût Moyen Portion]), 0)</f>
        <v>0</v>
      </c>
      <c r="I738" s="7">
        <f>tbl_Ventes[[#This Row],[Qté Vendue]] * tbl_Ventes[[#This Row],[CMP_par_portion]]</f>
        <v>0</v>
      </c>
      <c r="J738" s="7">
        <f>tbl_Ventes[[#This Row],[CA ligne]] - tbl_Ventes[[#This Row],[Coût matière ligne]]</f>
        <v>0</v>
      </c>
      <c r="K738" s="7" t="str">
        <f>IFERROR(INDEX(tbl_ProduitsRef[Famille], MATCH(tbl_Ventes[[#This Row],[Cde_Prdt]], tbl_Produits[Cde_Prdt], 0)), "")</f>
        <v/>
      </c>
    </row>
    <row r="739" spans="1:11" x14ac:dyDescent="0.25">
      <c r="A739" s="5"/>
      <c r="B739" s="63" t="str">
        <f>IFERROR(TEXT(tbl_Ventes[[#This Row],[Date]],"mm-aaaa"),"")</f>
        <v>01-1900</v>
      </c>
      <c r="D739" s="10" t="str">
        <f>IFERROR(
   INDEX(tbl_ProduitsRef[Cde_Prdt],MATCH(tbl_Ventes[[#This Row],[Produit]],tbl_ProduitsRef[Produit],0)),
   ""
)</f>
        <v/>
      </c>
      <c r="E739" s="7">
        <v>0</v>
      </c>
      <c r="F739" s="7" t="str">
        <f>IFERROR(
   INDEX(tbl_ProduitsRef[Prix Menu],MATCH(tbl_Ventes[[#This Row],[Produit]],tbl_ProduitsRef[Produit],0)),
   ""
)</f>
        <v/>
      </c>
      <c r="G739" s="7">
        <f>tbl_Ventes[[#This Row],[Qté Vendue]] * IFERROR(_xlfn.XLOOKUP(tbl_Ventes[[#This Row],[Cde_Prdt]], tbl_Produits[Cde_Prdt], tbl_Produits[Prix Menu]), 0)</f>
        <v>0</v>
      </c>
      <c r="H739" s="7">
        <f>IFERROR(_xlfn.XLOOKUP(tbl_Ventes[[#This Row],[Cde_Prdt]], tbl_Produits[Cde_Prdt], tbl_Produits[Coût Moyen Portion]), 0)</f>
        <v>0</v>
      </c>
      <c r="I739" s="7">
        <f>tbl_Ventes[[#This Row],[Qté Vendue]] * tbl_Ventes[[#This Row],[CMP_par_portion]]</f>
        <v>0</v>
      </c>
      <c r="J739" s="7">
        <f>tbl_Ventes[[#This Row],[CA ligne]] - tbl_Ventes[[#This Row],[Coût matière ligne]]</f>
        <v>0</v>
      </c>
      <c r="K739" s="7" t="str">
        <f>IFERROR(INDEX(tbl_ProduitsRef[Famille], MATCH(tbl_Ventes[[#This Row],[Cde_Prdt]], tbl_Produits[Cde_Prdt], 0)), "")</f>
        <v/>
      </c>
    </row>
    <row r="740" spans="1:11" x14ac:dyDescent="0.25">
      <c r="A740" s="5"/>
      <c r="B740" s="63" t="str">
        <f>IFERROR(TEXT(tbl_Ventes[[#This Row],[Date]],"mm-aaaa"),"")</f>
        <v>01-1900</v>
      </c>
      <c r="D740" s="10" t="str">
        <f>IFERROR(
   INDEX(tbl_ProduitsRef[Cde_Prdt],MATCH(tbl_Ventes[[#This Row],[Produit]],tbl_ProduitsRef[Produit],0)),
   ""
)</f>
        <v/>
      </c>
      <c r="E740" s="7">
        <v>0</v>
      </c>
      <c r="F740" s="7" t="str">
        <f>IFERROR(
   INDEX(tbl_ProduitsRef[Prix Menu],MATCH(tbl_Ventes[[#This Row],[Produit]],tbl_ProduitsRef[Produit],0)),
   ""
)</f>
        <v/>
      </c>
      <c r="G740" s="7">
        <f>tbl_Ventes[[#This Row],[Qté Vendue]] * IFERROR(_xlfn.XLOOKUP(tbl_Ventes[[#This Row],[Cde_Prdt]], tbl_Produits[Cde_Prdt], tbl_Produits[Prix Menu]), 0)</f>
        <v>0</v>
      </c>
      <c r="H740" s="7">
        <f>IFERROR(_xlfn.XLOOKUP(tbl_Ventes[[#This Row],[Cde_Prdt]], tbl_Produits[Cde_Prdt], tbl_Produits[Coût Moyen Portion]), 0)</f>
        <v>0</v>
      </c>
      <c r="I740" s="7">
        <f>tbl_Ventes[[#This Row],[Qté Vendue]] * tbl_Ventes[[#This Row],[CMP_par_portion]]</f>
        <v>0</v>
      </c>
      <c r="J740" s="7">
        <f>tbl_Ventes[[#This Row],[CA ligne]] - tbl_Ventes[[#This Row],[Coût matière ligne]]</f>
        <v>0</v>
      </c>
      <c r="K740" s="7" t="str">
        <f>IFERROR(INDEX(tbl_ProduitsRef[Famille], MATCH(tbl_Ventes[[#This Row],[Cde_Prdt]], tbl_Produits[Cde_Prdt], 0)), "")</f>
        <v/>
      </c>
    </row>
    <row r="741" spans="1:11" x14ac:dyDescent="0.25">
      <c r="A741" s="5"/>
      <c r="B741" s="63" t="str">
        <f>IFERROR(TEXT(tbl_Ventes[[#This Row],[Date]],"mm-aaaa"),"")</f>
        <v>01-1900</v>
      </c>
      <c r="D741" s="10" t="str">
        <f>IFERROR(
   INDEX(tbl_ProduitsRef[Cde_Prdt],MATCH(tbl_Ventes[[#This Row],[Produit]],tbl_ProduitsRef[Produit],0)),
   ""
)</f>
        <v/>
      </c>
      <c r="E741" s="7">
        <v>0</v>
      </c>
      <c r="F741" s="7" t="str">
        <f>IFERROR(
   INDEX(tbl_ProduitsRef[Prix Menu],MATCH(tbl_Ventes[[#This Row],[Produit]],tbl_ProduitsRef[Produit],0)),
   ""
)</f>
        <v/>
      </c>
      <c r="G741" s="7">
        <f>tbl_Ventes[[#This Row],[Qté Vendue]] * IFERROR(_xlfn.XLOOKUP(tbl_Ventes[[#This Row],[Cde_Prdt]], tbl_Produits[Cde_Prdt], tbl_Produits[Prix Menu]), 0)</f>
        <v>0</v>
      </c>
      <c r="H741" s="7">
        <f>IFERROR(_xlfn.XLOOKUP(tbl_Ventes[[#This Row],[Cde_Prdt]], tbl_Produits[Cde_Prdt], tbl_Produits[Coût Moyen Portion]), 0)</f>
        <v>0</v>
      </c>
      <c r="I741" s="7">
        <f>tbl_Ventes[[#This Row],[Qté Vendue]] * tbl_Ventes[[#This Row],[CMP_par_portion]]</f>
        <v>0</v>
      </c>
      <c r="J741" s="7">
        <f>tbl_Ventes[[#This Row],[CA ligne]] - tbl_Ventes[[#This Row],[Coût matière ligne]]</f>
        <v>0</v>
      </c>
      <c r="K741" s="7" t="str">
        <f>IFERROR(INDEX(tbl_ProduitsRef[Famille], MATCH(tbl_Ventes[[#This Row],[Cde_Prdt]], tbl_Produits[Cde_Prdt], 0)), "")</f>
        <v/>
      </c>
    </row>
    <row r="742" spans="1:11" x14ac:dyDescent="0.25">
      <c r="A742" s="5"/>
      <c r="B742" s="63" t="str">
        <f>IFERROR(TEXT(tbl_Ventes[[#This Row],[Date]],"mm-aaaa"),"")</f>
        <v>01-1900</v>
      </c>
      <c r="D742" s="10" t="str">
        <f>IFERROR(
   INDEX(tbl_ProduitsRef[Cde_Prdt],MATCH(tbl_Ventes[[#This Row],[Produit]],tbl_ProduitsRef[Produit],0)),
   ""
)</f>
        <v/>
      </c>
      <c r="E742" s="7">
        <v>0</v>
      </c>
      <c r="F742" s="7" t="str">
        <f>IFERROR(
   INDEX(tbl_ProduitsRef[Prix Menu],MATCH(tbl_Ventes[[#This Row],[Produit]],tbl_ProduitsRef[Produit],0)),
   ""
)</f>
        <v/>
      </c>
      <c r="G742" s="7">
        <f>tbl_Ventes[[#This Row],[Qté Vendue]] * IFERROR(_xlfn.XLOOKUP(tbl_Ventes[[#This Row],[Cde_Prdt]], tbl_Produits[Cde_Prdt], tbl_Produits[Prix Menu]), 0)</f>
        <v>0</v>
      </c>
      <c r="H742" s="7">
        <f>IFERROR(_xlfn.XLOOKUP(tbl_Ventes[[#This Row],[Cde_Prdt]], tbl_Produits[Cde_Prdt], tbl_Produits[Coût Moyen Portion]), 0)</f>
        <v>0</v>
      </c>
      <c r="I742" s="7">
        <f>tbl_Ventes[[#This Row],[Qté Vendue]] * tbl_Ventes[[#This Row],[CMP_par_portion]]</f>
        <v>0</v>
      </c>
      <c r="J742" s="7">
        <f>tbl_Ventes[[#This Row],[CA ligne]] - tbl_Ventes[[#This Row],[Coût matière ligne]]</f>
        <v>0</v>
      </c>
      <c r="K742" s="7" t="str">
        <f>IFERROR(INDEX(tbl_ProduitsRef[Famille], MATCH(tbl_Ventes[[#This Row],[Cde_Prdt]], tbl_Produits[Cde_Prdt], 0)), "")</f>
        <v/>
      </c>
    </row>
    <row r="743" spans="1:11" x14ac:dyDescent="0.25">
      <c r="A743" s="5"/>
      <c r="B743" s="63" t="str">
        <f>IFERROR(TEXT(tbl_Ventes[[#This Row],[Date]],"mm-aaaa"),"")</f>
        <v>01-1900</v>
      </c>
      <c r="D743" s="10" t="str">
        <f>IFERROR(
   INDEX(tbl_ProduitsRef[Cde_Prdt],MATCH(tbl_Ventes[[#This Row],[Produit]],tbl_ProduitsRef[Produit],0)),
   ""
)</f>
        <v/>
      </c>
      <c r="E743" s="7">
        <v>0</v>
      </c>
      <c r="F743" s="7" t="str">
        <f>IFERROR(
   INDEX(tbl_ProduitsRef[Prix Menu],MATCH(tbl_Ventes[[#This Row],[Produit]],tbl_ProduitsRef[Produit],0)),
   ""
)</f>
        <v/>
      </c>
      <c r="G743" s="7">
        <f>tbl_Ventes[[#This Row],[Qté Vendue]] * IFERROR(_xlfn.XLOOKUP(tbl_Ventes[[#This Row],[Cde_Prdt]], tbl_Produits[Cde_Prdt], tbl_Produits[Prix Menu]), 0)</f>
        <v>0</v>
      </c>
      <c r="H743" s="7">
        <f>IFERROR(_xlfn.XLOOKUP(tbl_Ventes[[#This Row],[Cde_Prdt]], tbl_Produits[Cde_Prdt], tbl_Produits[Coût Moyen Portion]), 0)</f>
        <v>0</v>
      </c>
      <c r="I743" s="7">
        <f>tbl_Ventes[[#This Row],[Qté Vendue]] * tbl_Ventes[[#This Row],[CMP_par_portion]]</f>
        <v>0</v>
      </c>
      <c r="J743" s="7">
        <f>tbl_Ventes[[#This Row],[CA ligne]] - tbl_Ventes[[#This Row],[Coût matière ligne]]</f>
        <v>0</v>
      </c>
      <c r="K743" s="7" t="str">
        <f>IFERROR(INDEX(tbl_ProduitsRef[Famille], MATCH(tbl_Ventes[[#This Row],[Cde_Prdt]], tbl_Produits[Cde_Prdt], 0)), "")</f>
        <v/>
      </c>
    </row>
    <row r="744" spans="1:11" x14ac:dyDescent="0.25">
      <c r="A744" s="5"/>
      <c r="B744" s="63" t="str">
        <f>IFERROR(TEXT(tbl_Ventes[[#This Row],[Date]],"mm-aaaa"),"")</f>
        <v>01-1900</v>
      </c>
      <c r="D744" s="10" t="str">
        <f>IFERROR(
   INDEX(tbl_ProduitsRef[Cde_Prdt],MATCH(tbl_Ventes[[#This Row],[Produit]],tbl_ProduitsRef[Produit],0)),
   ""
)</f>
        <v/>
      </c>
      <c r="E744" s="7">
        <v>0</v>
      </c>
      <c r="F744" s="7" t="str">
        <f>IFERROR(
   INDEX(tbl_ProduitsRef[Prix Menu],MATCH(tbl_Ventes[[#This Row],[Produit]],tbl_ProduitsRef[Produit],0)),
   ""
)</f>
        <v/>
      </c>
      <c r="G744" s="7">
        <f>tbl_Ventes[[#This Row],[Qté Vendue]] * IFERROR(_xlfn.XLOOKUP(tbl_Ventes[[#This Row],[Cde_Prdt]], tbl_Produits[Cde_Prdt], tbl_Produits[Prix Menu]), 0)</f>
        <v>0</v>
      </c>
      <c r="H744" s="7">
        <f>IFERROR(_xlfn.XLOOKUP(tbl_Ventes[[#This Row],[Cde_Prdt]], tbl_Produits[Cde_Prdt], tbl_Produits[Coût Moyen Portion]), 0)</f>
        <v>0</v>
      </c>
      <c r="I744" s="7">
        <f>tbl_Ventes[[#This Row],[Qté Vendue]] * tbl_Ventes[[#This Row],[CMP_par_portion]]</f>
        <v>0</v>
      </c>
      <c r="J744" s="7">
        <f>tbl_Ventes[[#This Row],[CA ligne]] - tbl_Ventes[[#This Row],[Coût matière ligne]]</f>
        <v>0</v>
      </c>
      <c r="K744" s="7" t="str">
        <f>IFERROR(INDEX(tbl_ProduitsRef[Famille], MATCH(tbl_Ventes[[#This Row],[Cde_Prdt]], tbl_Produits[Cde_Prdt], 0)), "")</f>
        <v/>
      </c>
    </row>
    <row r="745" spans="1:11" x14ac:dyDescent="0.25">
      <c r="A745" s="5"/>
      <c r="B745" s="63" t="str">
        <f>IFERROR(TEXT(tbl_Ventes[[#This Row],[Date]],"mm-aaaa"),"")</f>
        <v>01-1900</v>
      </c>
      <c r="D745" s="10" t="str">
        <f>IFERROR(
   INDEX(tbl_ProduitsRef[Cde_Prdt],MATCH(tbl_Ventes[[#This Row],[Produit]],tbl_ProduitsRef[Produit],0)),
   ""
)</f>
        <v/>
      </c>
      <c r="E745" s="7">
        <v>0</v>
      </c>
      <c r="F745" s="7" t="str">
        <f>IFERROR(
   INDEX(tbl_ProduitsRef[Prix Menu],MATCH(tbl_Ventes[[#This Row],[Produit]],tbl_ProduitsRef[Produit],0)),
   ""
)</f>
        <v/>
      </c>
      <c r="G745" s="7">
        <f>tbl_Ventes[[#This Row],[Qté Vendue]] * IFERROR(_xlfn.XLOOKUP(tbl_Ventes[[#This Row],[Cde_Prdt]], tbl_Produits[Cde_Prdt], tbl_Produits[Prix Menu]), 0)</f>
        <v>0</v>
      </c>
      <c r="H745" s="7">
        <f>IFERROR(_xlfn.XLOOKUP(tbl_Ventes[[#This Row],[Cde_Prdt]], tbl_Produits[Cde_Prdt], tbl_Produits[Coût Moyen Portion]), 0)</f>
        <v>0</v>
      </c>
      <c r="I745" s="7">
        <f>tbl_Ventes[[#This Row],[Qté Vendue]] * tbl_Ventes[[#This Row],[CMP_par_portion]]</f>
        <v>0</v>
      </c>
      <c r="J745" s="7">
        <f>tbl_Ventes[[#This Row],[CA ligne]] - tbl_Ventes[[#This Row],[Coût matière ligne]]</f>
        <v>0</v>
      </c>
      <c r="K745" s="7" t="str">
        <f>IFERROR(INDEX(tbl_ProduitsRef[Famille], MATCH(tbl_Ventes[[#This Row],[Cde_Prdt]], tbl_Produits[Cde_Prdt], 0)), "")</f>
        <v/>
      </c>
    </row>
    <row r="746" spans="1:11" x14ac:dyDescent="0.25">
      <c r="A746" s="5"/>
      <c r="B746" s="63" t="str">
        <f>IFERROR(TEXT(tbl_Ventes[[#This Row],[Date]],"mm-aaaa"),"")</f>
        <v>01-1900</v>
      </c>
      <c r="D746" s="10" t="str">
        <f>IFERROR(
   INDEX(tbl_ProduitsRef[Cde_Prdt],MATCH(tbl_Ventes[[#This Row],[Produit]],tbl_ProduitsRef[Produit],0)),
   ""
)</f>
        <v/>
      </c>
      <c r="E746" s="7">
        <v>0</v>
      </c>
      <c r="F746" s="7" t="str">
        <f>IFERROR(
   INDEX(tbl_ProduitsRef[Prix Menu],MATCH(tbl_Ventes[[#This Row],[Produit]],tbl_ProduitsRef[Produit],0)),
   ""
)</f>
        <v/>
      </c>
      <c r="G746" s="7">
        <f>tbl_Ventes[[#This Row],[Qté Vendue]] * IFERROR(_xlfn.XLOOKUP(tbl_Ventes[[#This Row],[Cde_Prdt]], tbl_Produits[Cde_Prdt], tbl_Produits[Prix Menu]), 0)</f>
        <v>0</v>
      </c>
      <c r="H746" s="7">
        <f>IFERROR(_xlfn.XLOOKUP(tbl_Ventes[[#This Row],[Cde_Prdt]], tbl_Produits[Cde_Prdt], tbl_Produits[Coût Moyen Portion]), 0)</f>
        <v>0</v>
      </c>
      <c r="I746" s="7">
        <f>tbl_Ventes[[#This Row],[Qté Vendue]] * tbl_Ventes[[#This Row],[CMP_par_portion]]</f>
        <v>0</v>
      </c>
      <c r="J746" s="7">
        <f>tbl_Ventes[[#This Row],[CA ligne]] - tbl_Ventes[[#This Row],[Coût matière ligne]]</f>
        <v>0</v>
      </c>
      <c r="K746" s="7" t="str">
        <f>IFERROR(INDEX(tbl_ProduitsRef[Famille], MATCH(tbl_Ventes[[#This Row],[Cde_Prdt]], tbl_Produits[Cde_Prdt], 0)), "")</f>
        <v/>
      </c>
    </row>
    <row r="747" spans="1:11" x14ac:dyDescent="0.25">
      <c r="A747" s="5"/>
      <c r="B747" s="63" t="str">
        <f>IFERROR(TEXT(tbl_Ventes[[#This Row],[Date]],"mm-aaaa"),"")</f>
        <v>01-1900</v>
      </c>
      <c r="D747" s="10" t="str">
        <f>IFERROR(
   INDEX(tbl_ProduitsRef[Cde_Prdt],MATCH(tbl_Ventes[[#This Row],[Produit]],tbl_ProduitsRef[Produit],0)),
   ""
)</f>
        <v/>
      </c>
      <c r="E747" s="7">
        <v>0</v>
      </c>
      <c r="F747" s="7" t="str">
        <f>IFERROR(
   INDEX(tbl_ProduitsRef[Prix Menu],MATCH(tbl_Ventes[[#This Row],[Produit]],tbl_ProduitsRef[Produit],0)),
   ""
)</f>
        <v/>
      </c>
      <c r="G747" s="7">
        <f>tbl_Ventes[[#This Row],[Qté Vendue]] * IFERROR(_xlfn.XLOOKUP(tbl_Ventes[[#This Row],[Cde_Prdt]], tbl_Produits[Cde_Prdt], tbl_Produits[Prix Menu]), 0)</f>
        <v>0</v>
      </c>
      <c r="H747" s="7">
        <f>IFERROR(_xlfn.XLOOKUP(tbl_Ventes[[#This Row],[Cde_Prdt]], tbl_Produits[Cde_Prdt], tbl_Produits[Coût Moyen Portion]), 0)</f>
        <v>0</v>
      </c>
      <c r="I747" s="7">
        <f>tbl_Ventes[[#This Row],[Qté Vendue]] * tbl_Ventes[[#This Row],[CMP_par_portion]]</f>
        <v>0</v>
      </c>
      <c r="J747" s="7">
        <f>tbl_Ventes[[#This Row],[CA ligne]] - tbl_Ventes[[#This Row],[Coût matière ligne]]</f>
        <v>0</v>
      </c>
      <c r="K747" s="7" t="str">
        <f>IFERROR(INDEX(tbl_ProduitsRef[Famille], MATCH(tbl_Ventes[[#This Row],[Cde_Prdt]], tbl_Produits[Cde_Prdt], 0)), "")</f>
        <v/>
      </c>
    </row>
    <row r="748" spans="1:11" x14ac:dyDescent="0.25">
      <c r="A748" s="5"/>
      <c r="B748" s="63" t="str">
        <f>IFERROR(TEXT(tbl_Ventes[[#This Row],[Date]],"mm-aaaa"),"")</f>
        <v>01-1900</v>
      </c>
      <c r="D748" s="10" t="str">
        <f>IFERROR(
   INDEX(tbl_ProduitsRef[Cde_Prdt],MATCH(tbl_Ventes[[#This Row],[Produit]],tbl_ProduitsRef[Produit],0)),
   ""
)</f>
        <v/>
      </c>
      <c r="E748" s="7">
        <v>0</v>
      </c>
      <c r="F748" s="7" t="str">
        <f>IFERROR(
   INDEX(tbl_ProduitsRef[Prix Menu],MATCH(tbl_Ventes[[#This Row],[Produit]],tbl_ProduitsRef[Produit],0)),
   ""
)</f>
        <v/>
      </c>
      <c r="G748" s="7">
        <f>tbl_Ventes[[#This Row],[Qté Vendue]] * IFERROR(_xlfn.XLOOKUP(tbl_Ventes[[#This Row],[Cde_Prdt]], tbl_Produits[Cde_Prdt], tbl_Produits[Prix Menu]), 0)</f>
        <v>0</v>
      </c>
      <c r="H748" s="7">
        <f>IFERROR(_xlfn.XLOOKUP(tbl_Ventes[[#This Row],[Cde_Prdt]], tbl_Produits[Cde_Prdt], tbl_Produits[Coût Moyen Portion]), 0)</f>
        <v>0</v>
      </c>
      <c r="I748" s="7">
        <f>tbl_Ventes[[#This Row],[Qté Vendue]] * tbl_Ventes[[#This Row],[CMP_par_portion]]</f>
        <v>0</v>
      </c>
      <c r="J748" s="7">
        <f>tbl_Ventes[[#This Row],[CA ligne]] - tbl_Ventes[[#This Row],[Coût matière ligne]]</f>
        <v>0</v>
      </c>
      <c r="K748" s="7" t="str">
        <f>IFERROR(INDEX(tbl_ProduitsRef[Famille], MATCH(tbl_Ventes[[#This Row],[Cde_Prdt]], tbl_Produits[Cde_Prdt], 0)), "")</f>
        <v/>
      </c>
    </row>
    <row r="749" spans="1:11" x14ac:dyDescent="0.25">
      <c r="A749" s="5"/>
      <c r="B749" s="63" t="str">
        <f>IFERROR(TEXT(tbl_Ventes[[#This Row],[Date]],"mm-aaaa"),"")</f>
        <v>01-1900</v>
      </c>
      <c r="D749" s="10" t="str">
        <f>IFERROR(
   INDEX(tbl_ProduitsRef[Cde_Prdt],MATCH(tbl_Ventes[[#This Row],[Produit]],tbl_ProduitsRef[Produit],0)),
   ""
)</f>
        <v/>
      </c>
      <c r="E749" s="7">
        <v>0</v>
      </c>
      <c r="F749" s="7" t="str">
        <f>IFERROR(
   INDEX(tbl_ProduitsRef[Prix Menu],MATCH(tbl_Ventes[[#This Row],[Produit]],tbl_ProduitsRef[Produit],0)),
   ""
)</f>
        <v/>
      </c>
      <c r="G749" s="7">
        <f>tbl_Ventes[[#This Row],[Qté Vendue]] * IFERROR(_xlfn.XLOOKUP(tbl_Ventes[[#This Row],[Cde_Prdt]], tbl_Produits[Cde_Prdt], tbl_Produits[Prix Menu]), 0)</f>
        <v>0</v>
      </c>
      <c r="H749" s="7">
        <f>IFERROR(_xlfn.XLOOKUP(tbl_Ventes[[#This Row],[Cde_Prdt]], tbl_Produits[Cde_Prdt], tbl_Produits[Coût Moyen Portion]), 0)</f>
        <v>0</v>
      </c>
      <c r="I749" s="7">
        <f>tbl_Ventes[[#This Row],[Qté Vendue]] * tbl_Ventes[[#This Row],[CMP_par_portion]]</f>
        <v>0</v>
      </c>
      <c r="J749" s="7">
        <f>tbl_Ventes[[#This Row],[CA ligne]] - tbl_Ventes[[#This Row],[Coût matière ligne]]</f>
        <v>0</v>
      </c>
      <c r="K749" s="7" t="str">
        <f>IFERROR(INDEX(tbl_ProduitsRef[Famille], MATCH(tbl_Ventes[[#This Row],[Cde_Prdt]], tbl_Produits[Cde_Prdt], 0)), "")</f>
        <v/>
      </c>
    </row>
    <row r="750" spans="1:11" x14ac:dyDescent="0.25">
      <c r="A750" s="5"/>
      <c r="B750" s="63" t="str">
        <f>IFERROR(TEXT(tbl_Ventes[[#This Row],[Date]],"mm-aaaa"),"")</f>
        <v>01-1900</v>
      </c>
      <c r="D750" s="10" t="str">
        <f>IFERROR(
   INDEX(tbl_ProduitsRef[Cde_Prdt],MATCH(tbl_Ventes[[#This Row],[Produit]],tbl_ProduitsRef[Produit],0)),
   ""
)</f>
        <v/>
      </c>
      <c r="E750" s="7">
        <v>0</v>
      </c>
      <c r="F750" s="7" t="str">
        <f>IFERROR(
   INDEX(tbl_ProduitsRef[Prix Menu],MATCH(tbl_Ventes[[#This Row],[Produit]],tbl_ProduitsRef[Produit],0)),
   ""
)</f>
        <v/>
      </c>
      <c r="G750" s="7">
        <f>tbl_Ventes[[#This Row],[Qté Vendue]] * IFERROR(_xlfn.XLOOKUP(tbl_Ventes[[#This Row],[Cde_Prdt]], tbl_Produits[Cde_Prdt], tbl_Produits[Prix Menu]), 0)</f>
        <v>0</v>
      </c>
      <c r="H750" s="7">
        <f>IFERROR(_xlfn.XLOOKUP(tbl_Ventes[[#This Row],[Cde_Prdt]], tbl_Produits[Cde_Prdt], tbl_Produits[Coût Moyen Portion]), 0)</f>
        <v>0</v>
      </c>
      <c r="I750" s="7">
        <f>tbl_Ventes[[#This Row],[Qté Vendue]] * tbl_Ventes[[#This Row],[CMP_par_portion]]</f>
        <v>0</v>
      </c>
      <c r="J750" s="7">
        <f>tbl_Ventes[[#This Row],[CA ligne]] - tbl_Ventes[[#This Row],[Coût matière ligne]]</f>
        <v>0</v>
      </c>
      <c r="K750" s="7" t="str">
        <f>IFERROR(INDEX(tbl_ProduitsRef[Famille], MATCH(tbl_Ventes[[#This Row],[Cde_Prdt]], tbl_Produits[Cde_Prdt], 0)), "")</f>
        <v/>
      </c>
    </row>
    <row r="751" spans="1:11" x14ac:dyDescent="0.25">
      <c r="A751" s="5"/>
      <c r="B751" s="63" t="str">
        <f>IFERROR(TEXT(tbl_Ventes[[#This Row],[Date]],"mm-aaaa"),"")</f>
        <v>01-1900</v>
      </c>
      <c r="D751" s="10" t="str">
        <f>IFERROR(
   INDEX(tbl_ProduitsRef[Cde_Prdt],MATCH(tbl_Ventes[[#This Row],[Produit]],tbl_ProduitsRef[Produit],0)),
   ""
)</f>
        <v/>
      </c>
      <c r="E751" s="7">
        <v>0</v>
      </c>
      <c r="F751" s="7" t="str">
        <f>IFERROR(
   INDEX(tbl_ProduitsRef[Prix Menu],MATCH(tbl_Ventes[[#This Row],[Produit]],tbl_ProduitsRef[Produit],0)),
   ""
)</f>
        <v/>
      </c>
      <c r="G751" s="7">
        <f>tbl_Ventes[[#This Row],[Qté Vendue]] * IFERROR(_xlfn.XLOOKUP(tbl_Ventes[[#This Row],[Cde_Prdt]], tbl_Produits[Cde_Prdt], tbl_Produits[Prix Menu]), 0)</f>
        <v>0</v>
      </c>
      <c r="H751" s="7">
        <f>IFERROR(_xlfn.XLOOKUP(tbl_Ventes[[#This Row],[Cde_Prdt]], tbl_Produits[Cde_Prdt], tbl_Produits[Coût Moyen Portion]), 0)</f>
        <v>0</v>
      </c>
      <c r="I751" s="7">
        <f>tbl_Ventes[[#This Row],[Qté Vendue]] * tbl_Ventes[[#This Row],[CMP_par_portion]]</f>
        <v>0</v>
      </c>
      <c r="J751" s="7">
        <f>tbl_Ventes[[#This Row],[CA ligne]] - tbl_Ventes[[#This Row],[Coût matière ligne]]</f>
        <v>0</v>
      </c>
      <c r="K751" s="7" t="str">
        <f>IFERROR(INDEX(tbl_ProduitsRef[Famille], MATCH(tbl_Ventes[[#This Row],[Cde_Prdt]], tbl_Produits[Cde_Prdt], 0)), "")</f>
        <v/>
      </c>
    </row>
    <row r="752" spans="1:11" x14ac:dyDescent="0.25">
      <c r="A752" s="5"/>
      <c r="B752" s="63" t="str">
        <f>IFERROR(TEXT(tbl_Ventes[[#This Row],[Date]],"mm-aaaa"),"")</f>
        <v>01-1900</v>
      </c>
      <c r="D752" s="10" t="str">
        <f>IFERROR(
   INDEX(tbl_ProduitsRef[Cde_Prdt],MATCH(tbl_Ventes[[#This Row],[Produit]],tbl_ProduitsRef[Produit],0)),
   ""
)</f>
        <v/>
      </c>
      <c r="E752" s="7">
        <v>0</v>
      </c>
      <c r="F752" s="7" t="str">
        <f>IFERROR(
   INDEX(tbl_ProduitsRef[Prix Menu],MATCH(tbl_Ventes[[#This Row],[Produit]],tbl_ProduitsRef[Produit],0)),
   ""
)</f>
        <v/>
      </c>
      <c r="G752" s="7">
        <f>tbl_Ventes[[#This Row],[Qté Vendue]] * IFERROR(_xlfn.XLOOKUP(tbl_Ventes[[#This Row],[Cde_Prdt]], tbl_Produits[Cde_Prdt], tbl_Produits[Prix Menu]), 0)</f>
        <v>0</v>
      </c>
      <c r="H752" s="7">
        <f>IFERROR(_xlfn.XLOOKUP(tbl_Ventes[[#This Row],[Cde_Prdt]], tbl_Produits[Cde_Prdt], tbl_Produits[Coût Moyen Portion]), 0)</f>
        <v>0</v>
      </c>
      <c r="I752" s="7">
        <f>tbl_Ventes[[#This Row],[Qté Vendue]] * tbl_Ventes[[#This Row],[CMP_par_portion]]</f>
        <v>0</v>
      </c>
      <c r="J752" s="7">
        <f>tbl_Ventes[[#This Row],[CA ligne]] - tbl_Ventes[[#This Row],[Coût matière ligne]]</f>
        <v>0</v>
      </c>
      <c r="K752" s="7" t="str">
        <f>IFERROR(INDEX(tbl_ProduitsRef[Famille], MATCH(tbl_Ventes[[#This Row],[Cde_Prdt]], tbl_Produits[Cde_Prdt], 0)), "")</f>
        <v/>
      </c>
    </row>
    <row r="753" spans="1:11" x14ac:dyDescent="0.25">
      <c r="A753" s="5"/>
      <c r="B753" s="63" t="str">
        <f>IFERROR(TEXT(tbl_Ventes[[#This Row],[Date]],"mm-aaaa"),"")</f>
        <v>01-1900</v>
      </c>
      <c r="D753" s="10" t="str">
        <f>IFERROR(
   INDEX(tbl_ProduitsRef[Cde_Prdt],MATCH(tbl_Ventes[[#This Row],[Produit]],tbl_ProduitsRef[Produit],0)),
   ""
)</f>
        <v/>
      </c>
      <c r="E753" s="7">
        <v>0</v>
      </c>
      <c r="F753" s="7" t="str">
        <f>IFERROR(
   INDEX(tbl_ProduitsRef[Prix Menu],MATCH(tbl_Ventes[[#This Row],[Produit]],tbl_ProduitsRef[Produit],0)),
   ""
)</f>
        <v/>
      </c>
      <c r="G753" s="7">
        <f>tbl_Ventes[[#This Row],[Qté Vendue]] * IFERROR(_xlfn.XLOOKUP(tbl_Ventes[[#This Row],[Cde_Prdt]], tbl_Produits[Cde_Prdt], tbl_Produits[Prix Menu]), 0)</f>
        <v>0</v>
      </c>
      <c r="H753" s="7">
        <f>IFERROR(_xlfn.XLOOKUP(tbl_Ventes[[#This Row],[Cde_Prdt]], tbl_Produits[Cde_Prdt], tbl_Produits[Coût Moyen Portion]), 0)</f>
        <v>0</v>
      </c>
      <c r="I753" s="7">
        <f>tbl_Ventes[[#This Row],[Qté Vendue]] * tbl_Ventes[[#This Row],[CMP_par_portion]]</f>
        <v>0</v>
      </c>
      <c r="J753" s="7">
        <f>tbl_Ventes[[#This Row],[CA ligne]] - tbl_Ventes[[#This Row],[Coût matière ligne]]</f>
        <v>0</v>
      </c>
      <c r="K753" s="7" t="str">
        <f>IFERROR(INDEX(tbl_ProduitsRef[Famille], MATCH(tbl_Ventes[[#This Row],[Cde_Prdt]], tbl_Produits[Cde_Prdt], 0)), "")</f>
        <v/>
      </c>
    </row>
    <row r="754" spans="1:11" x14ac:dyDescent="0.25">
      <c r="A754" s="5"/>
      <c r="B754" s="63" t="str">
        <f>IFERROR(TEXT(tbl_Ventes[[#This Row],[Date]],"mm-aaaa"),"")</f>
        <v>01-1900</v>
      </c>
      <c r="D754" s="10" t="str">
        <f>IFERROR(
   INDEX(tbl_ProduitsRef[Cde_Prdt],MATCH(tbl_Ventes[[#This Row],[Produit]],tbl_ProduitsRef[Produit],0)),
   ""
)</f>
        <v/>
      </c>
      <c r="E754" s="7">
        <v>0</v>
      </c>
      <c r="F754" s="7" t="str">
        <f>IFERROR(
   INDEX(tbl_ProduitsRef[Prix Menu],MATCH(tbl_Ventes[[#This Row],[Produit]],tbl_ProduitsRef[Produit],0)),
   ""
)</f>
        <v/>
      </c>
      <c r="G754" s="7">
        <f>tbl_Ventes[[#This Row],[Qté Vendue]] * IFERROR(_xlfn.XLOOKUP(tbl_Ventes[[#This Row],[Cde_Prdt]], tbl_Produits[Cde_Prdt], tbl_Produits[Prix Menu]), 0)</f>
        <v>0</v>
      </c>
      <c r="H754" s="7">
        <f>IFERROR(_xlfn.XLOOKUP(tbl_Ventes[[#This Row],[Cde_Prdt]], tbl_Produits[Cde_Prdt], tbl_Produits[Coût Moyen Portion]), 0)</f>
        <v>0</v>
      </c>
      <c r="I754" s="7">
        <f>tbl_Ventes[[#This Row],[Qté Vendue]] * tbl_Ventes[[#This Row],[CMP_par_portion]]</f>
        <v>0</v>
      </c>
      <c r="J754" s="7">
        <f>tbl_Ventes[[#This Row],[CA ligne]] - tbl_Ventes[[#This Row],[Coût matière ligne]]</f>
        <v>0</v>
      </c>
      <c r="K754" s="7" t="str">
        <f>IFERROR(INDEX(tbl_ProduitsRef[Famille], MATCH(tbl_Ventes[[#This Row],[Cde_Prdt]], tbl_Produits[Cde_Prdt], 0)), "")</f>
        <v/>
      </c>
    </row>
    <row r="755" spans="1:11" x14ac:dyDescent="0.25">
      <c r="A755" s="5"/>
      <c r="B755" s="63" t="str">
        <f>IFERROR(TEXT(tbl_Ventes[[#This Row],[Date]],"mm-aaaa"),"")</f>
        <v>01-1900</v>
      </c>
      <c r="D755" s="10" t="str">
        <f>IFERROR(
   INDEX(tbl_ProduitsRef[Cde_Prdt],MATCH(tbl_Ventes[[#This Row],[Produit]],tbl_ProduitsRef[Produit],0)),
   ""
)</f>
        <v/>
      </c>
      <c r="E755" s="7">
        <v>0</v>
      </c>
      <c r="F755" s="7" t="str">
        <f>IFERROR(
   INDEX(tbl_ProduitsRef[Prix Menu],MATCH(tbl_Ventes[[#This Row],[Produit]],tbl_ProduitsRef[Produit],0)),
   ""
)</f>
        <v/>
      </c>
      <c r="G755" s="7">
        <f>tbl_Ventes[[#This Row],[Qté Vendue]] * IFERROR(_xlfn.XLOOKUP(tbl_Ventes[[#This Row],[Cde_Prdt]], tbl_Produits[Cde_Prdt], tbl_Produits[Prix Menu]), 0)</f>
        <v>0</v>
      </c>
      <c r="H755" s="7">
        <f>IFERROR(_xlfn.XLOOKUP(tbl_Ventes[[#This Row],[Cde_Prdt]], tbl_Produits[Cde_Prdt], tbl_Produits[Coût Moyen Portion]), 0)</f>
        <v>0</v>
      </c>
      <c r="I755" s="7">
        <f>tbl_Ventes[[#This Row],[Qté Vendue]] * tbl_Ventes[[#This Row],[CMP_par_portion]]</f>
        <v>0</v>
      </c>
      <c r="J755" s="7">
        <f>tbl_Ventes[[#This Row],[CA ligne]] - tbl_Ventes[[#This Row],[Coût matière ligne]]</f>
        <v>0</v>
      </c>
      <c r="K755" s="7" t="str">
        <f>IFERROR(INDEX(tbl_ProduitsRef[Famille], MATCH(tbl_Ventes[[#This Row],[Cde_Prdt]], tbl_Produits[Cde_Prdt], 0)), "")</f>
        <v/>
      </c>
    </row>
    <row r="756" spans="1:11" x14ac:dyDescent="0.25">
      <c r="A756" s="5"/>
      <c r="B756" s="63" t="str">
        <f>IFERROR(TEXT(tbl_Ventes[[#This Row],[Date]],"mm-aaaa"),"")</f>
        <v>01-1900</v>
      </c>
      <c r="D756" s="10" t="str">
        <f>IFERROR(
   INDEX(tbl_ProduitsRef[Cde_Prdt],MATCH(tbl_Ventes[[#This Row],[Produit]],tbl_ProduitsRef[Produit],0)),
   ""
)</f>
        <v/>
      </c>
      <c r="E756" s="7">
        <v>0</v>
      </c>
      <c r="F756" s="7" t="str">
        <f>IFERROR(
   INDEX(tbl_ProduitsRef[Prix Menu],MATCH(tbl_Ventes[[#This Row],[Produit]],tbl_ProduitsRef[Produit],0)),
   ""
)</f>
        <v/>
      </c>
      <c r="G756" s="7">
        <f>tbl_Ventes[[#This Row],[Qté Vendue]] * IFERROR(_xlfn.XLOOKUP(tbl_Ventes[[#This Row],[Cde_Prdt]], tbl_Produits[Cde_Prdt], tbl_Produits[Prix Menu]), 0)</f>
        <v>0</v>
      </c>
      <c r="H756" s="7">
        <f>IFERROR(_xlfn.XLOOKUP(tbl_Ventes[[#This Row],[Cde_Prdt]], tbl_Produits[Cde_Prdt], tbl_Produits[Coût Moyen Portion]), 0)</f>
        <v>0</v>
      </c>
      <c r="I756" s="7">
        <f>tbl_Ventes[[#This Row],[Qté Vendue]] * tbl_Ventes[[#This Row],[CMP_par_portion]]</f>
        <v>0</v>
      </c>
      <c r="J756" s="7">
        <f>tbl_Ventes[[#This Row],[CA ligne]] - tbl_Ventes[[#This Row],[Coût matière ligne]]</f>
        <v>0</v>
      </c>
      <c r="K756" s="7" t="str">
        <f>IFERROR(INDEX(tbl_ProduitsRef[Famille], MATCH(tbl_Ventes[[#This Row],[Cde_Prdt]], tbl_Produits[Cde_Prdt], 0)), "")</f>
        <v/>
      </c>
    </row>
    <row r="757" spans="1:11" x14ac:dyDescent="0.25">
      <c r="A757" s="5"/>
      <c r="B757" s="63" t="str">
        <f>IFERROR(TEXT(tbl_Ventes[[#This Row],[Date]],"mm-aaaa"),"")</f>
        <v>01-1900</v>
      </c>
      <c r="D757" s="10" t="str">
        <f>IFERROR(
   INDEX(tbl_ProduitsRef[Cde_Prdt],MATCH(tbl_Ventes[[#This Row],[Produit]],tbl_ProduitsRef[Produit],0)),
   ""
)</f>
        <v/>
      </c>
      <c r="E757" s="7">
        <v>0</v>
      </c>
      <c r="F757" s="7" t="str">
        <f>IFERROR(
   INDEX(tbl_ProduitsRef[Prix Menu],MATCH(tbl_Ventes[[#This Row],[Produit]],tbl_ProduitsRef[Produit],0)),
   ""
)</f>
        <v/>
      </c>
      <c r="G757" s="7">
        <f>tbl_Ventes[[#This Row],[Qté Vendue]] * IFERROR(_xlfn.XLOOKUP(tbl_Ventes[[#This Row],[Cde_Prdt]], tbl_Produits[Cde_Prdt], tbl_Produits[Prix Menu]), 0)</f>
        <v>0</v>
      </c>
      <c r="H757" s="7">
        <f>IFERROR(_xlfn.XLOOKUP(tbl_Ventes[[#This Row],[Cde_Prdt]], tbl_Produits[Cde_Prdt], tbl_Produits[Coût Moyen Portion]), 0)</f>
        <v>0</v>
      </c>
      <c r="I757" s="7">
        <f>tbl_Ventes[[#This Row],[Qté Vendue]] * tbl_Ventes[[#This Row],[CMP_par_portion]]</f>
        <v>0</v>
      </c>
      <c r="J757" s="7">
        <f>tbl_Ventes[[#This Row],[CA ligne]] - tbl_Ventes[[#This Row],[Coût matière ligne]]</f>
        <v>0</v>
      </c>
      <c r="K757" s="7" t="str">
        <f>IFERROR(INDEX(tbl_ProduitsRef[Famille], MATCH(tbl_Ventes[[#This Row],[Cde_Prdt]], tbl_Produits[Cde_Prdt], 0)), "")</f>
        <v/>
      </c>
    </row>
    <row r="758" spans="1:11" x14ac:dyDescent="0.25">
      <c r="A758" s="5"/>
      <c r="B758" s="63" t="str">
        <f>IFERROR(TEXT(tbl_Ventes[[#This Row],[Date]],"mm-aaaa"),"")</f>
        <v>01-1900</v>
      </c>
      <c r="D758" s="10" t="str">
        <f>IFERROR(
   INDEX(tbl_ProduitsRef[Cde_Prdt],MATCH(tbl_Ventes[[#This Row],[Produit]],tbl_ProduitsRef[Produit],0)),
   ""
)</f>
        <v/>
      </c>
      <c r="E758" s="7">
        <v>0</v>
      </c>
      <c r="F758" s="7" t="str">
        <f>IFERROR(
   INDEX(tbl_ProduitsRef[Prix Menu],MATCH(tbl_Ventes[[#This Row],[Produit]],tbl_ProduitsRef[Produit],0)),
   ""
)</f>
        <v/>
      </c>
      <c r="G758" s="7">
        <f>tbl_Ventes[[#This Row],[Qté Vendue]] * IFERROR(_xlfn.XLOOKUP(tbl_Ventes[[#This Row],[Cde_Prdt]], tbl_Produits[Cde_Prdt], tbl_Produits[Prix Menu]), 0)</f>
        <v>0</v>
      </c>
      <c r="H758" s="7">
        <f>IFERROR(_xlfn.XLOOKUP(tbl_Ventes[[#This Row],[Cde_Prdt]], tbl_Produits[Cde_Prdt], tbl_Produits[Coût Moyen Portion]), 0)</f>
        <v>0</v>
      </c>
      <c r="I758" s="7">
        <f>tbl_Ventes[[#This Row],[Qté Vendue]] * tbl_Ventes[[#This Row],[CMP_par_portion]]</f>
        <v>0</v>
      </c>
      <c r="J758" s="7">
        <f>tbl_Ventes[[#This Row],[CA ligne]] - tbl_Ventes[[#This Row],[Coût matière ligne]]</f>
        <v>0</v>
      </c>
      <c r="K758" s="7" t="str">
        <f>IFERROR(INDEX(tbl_ProduitsRef[Famille], MATCH(tbl_Ventes[[#This Row],[Cde_Prdt]], tbl_Produits[Cde_Prdt], 0)), "")</f>
        <v/>
      </c>
    </row>
    <row r="759" spans="1:11" x14ac:dyDescent="0.25">
      <c r="A759" s="5"/>
      <c r="B759" s="63" t="str">
        <f>IFERROR(TEXT(tbl_Ventes[[#This Row],[Date]],"mm-aaaa"),"")</f>
        <v>01-1900</v>
      </c>
      <c r="D759" s="10" t="str">
        <f>IFERROR(
   INDEX(tbl_ProduitsRef[Cde_Prdt],MATCH(tbl_Ventes[[#This Row],[Produit]],tbl_ProduitsRef[Produit],0)),
   ""
)</f>
        <v/>
      </c>
      <c r="E759" s="7">
        <v>0</v>
      </c>
      <c r="F759" s="7" t="str">
        <f>IFERROR(
   INDEX(tbl_ProduitsRef[Prix Menu],MATCH(tbl_Ventes[[#This Row],[Produit]],tbl_ProduitsRef[Produit],0)),
   ""
)</f>
        <v/>
      </c>
      <c r="G759" s="7">
        <f>tbl_Ventes[[#This Row],[Qté Vendue]] * IFERROR(_xlfn.XLOOKUP(tbl_Ventes[[#This Row],[Cde_Prdt]], tbl_Produits[Cde_Prdt], tbl_Produits[Prix Menu]), 0)</f>
        <v>0</v>
      </c>
      <c r="H759" s="7">
        <f>IFERROR(_xlfn.XLOOKUP(tbl_Ventes[[#This Row],[Cde_Prdt]], tbl_Produits[Cde_Prdt], tbl_Produits[Coût Moyen Portion]), 0)</f>
        <v>0</v>
      </c>
      <c r="I759" s="7">
        <f>tbl_Ventes[[#This Row],[Qté Vendue]] * tbl_Ventes[[#This Row],[CMP_par_portion]]</f>
        <v>0</v>
      </c>
      <c r="J759" s="7">
        <f>tbl_Ventes[[#This Row],[CA ligne]] - tbl_Ventes[[#This Row],[Coût matière ligne]]</f>
        <v>0</v>
      </c>
      <c r="K759" s="7" t="str">
        <f>IFERROR(INDEX(tbl_ProduitsRef[Famille], MATCH(tbl_Ventes[[#This Row],[Cde_Prdt]], tbl_Produits[Cde_Prdt], 0)), "")</f>
        <v/>
      </c>
    </row>
    <row r="760" spans="1:11" x14ac:dyDescent="0.25">
      <c r="A760" s="5"/>
      <c r="B760" s="63" t="str">
        <f>IFERROR(TEXT(tbl_Ventes[[#This Row],[Date]],"mm-aaaa"),"")</f>
        <v>01-1900</v>
      </c>
      <c r="D760" s="10" t="str">
        <f>IFERROR(
   INDEX(tbl_ProduitsRef[Cde_Prdt],MATCH(tbl_Ventes[[#This Row],[Produit]],tbl_ProduitsRef[Produit],0)),
   ""
)</f>
        <v/>
      </c>
      <c r="E760" s="7">
        <v>0</v>
      </c>
      <c r="F760" s="7" t="str">
        <f>IFERROR(
   INDEX(tbl_ProduitsRef[Prix Menu],MATCH(tbl_Ventes[[#This Row],[Produit]],tbl_ProduitsRef[Produit],0)),
   ""
)</f>
        <v/>
      </c>
      <c r="G760" s="7">
        <f>tbl_Ventes[[#This Row],[Qté Vendue]] * IFERROR(_xlfn.XLOOKUP(tbl_Ventes[[#This Row],[Cde_Prdt]], tbl_Produits[Cde_Prdt], tbl_Produits[Prix Menu]), 0)</f>
        <v>0</v>
      </c>
      <c r="H760" s="7">
        <f>IFERROR(_xlfn.XLOOKUP(tbl_Ventes[[#This Row],[Cde_Prdt]], tbl_Produits[Cde_Prdt], tbl_Produits[Coût Moyen Portion]), 0)</f>
        <v>0</v>
      </c>
      <c r="I760" s="7">
        <f>tbl_Ventes[[#This Row],[Qté Vendue]] * tbl_Ventes[[#This Row],[CMP_par_portion]]</f>
        <v>0</v>
      </c>
      <c r="J760" s="7">
        <f>tbl_Ventes[[#This Row],[CA ligne]] - tbl_Ventes[[#This Row],[Coût matière ligne]]</f>
        <v>0</v>
      </c>
      <c r="K760" s="7" t="str">
        <f>IFERROR(INDEX(tbl_ProduitsRef[Famille], MATCH(tbl_Ventes[[#This Row],[Cde_Prdt]], tbl_Produits[Cde_Prdt], 0)), "")</f>
        <v/>
      </c>
    </row>
    <row r="761" spans="1:11" x14ac:dyDescent="0.25">
      <c r="A761" s="5"/>
      <c r="B761" s="63" t="str">
        <f>IFERROR(TEXT(tbl_Ventes[[#This Row],[Date]],"mm-aaaa"),"")</f>
        <v>01-1900</v>
      </c>
      <c r="D761" s="10" t="str">
        <f>IFERROR(
   INDEX(tbl_ProduitsRef[Cde_Prdt],MATCH(tbl_Ventes[[#This Row],[Produit]],tbl_ProduitsRef[Produit],0)),
   ""
)</f>
        <v/>
      </c>
      <c r="E761" s="7">
        <v>0</v>
      </c>
      <c r="F761" s="7" t="str">
        <f>IFERROR(
   INDEX(tbl_ProduitsRef[Prix Menu],MATCH(tbl_Ventes[[#This Row],[Produit]],tbl_ProduitsRef[Produit],0)),
   ""
)</f>
        <v/>
      </c>
      <c r="G761" s="7">
        <f>tbl_Ventes[[#This Row],[Qté Vendue]] * IFERROR(_xlfn.XLOOKUP(tbl_Ventes[[#This Row],[Cde_Prdt]], tbl_Produits[Cde_Prdt], tbl_Produits[Prix Menu]), 0)</f>
        <v>0</v>
      </c>
      <c r="H761" s="7">
        <f>IFERROR(_xlfn.XLOOKUP(tbl_Ventes[[#This Row],[Cde_Prdt]], tbl_Produits[Cde_Prdt], tbl_Produits[Coût Moyen Portion]), 0)</f>
        <v>0</v>
      </c>
      <c r="I761" s="7">
        <f>tbl_Ventes[[#This Row],[Qté Vendue]] * tbl_Ventes[[#This Row],[CMP_par_portion]]</f>
        <v>0</v>
      </c>
      <c r="J761" s="7">
        <f>tbl_Ventes[[#This Row],[CA ligne]] - tbl_Ventes[[#This Row],[Coût matière ligne]]</f>
        <v>0</v>
      </c>
      <c r="K761" s="7" t="str">
        <f>IFERROR(INDEX(tbl_ProduitsRef[Famille], MATCH(tbl_Ventes[[#This Row],[Cde_Prdt]], tbl_Produits[Cde_Prdt], 0)), "")</f>
        <v/>
      </c>
    </row>
    <row r="762" spans="1:11" x14ac:dyDescent="0.25">
      <c r="A762" s="5"/>
      <c r="B762" s="63" t="str">
        <f>IFERROR(TEXT(tbl_Ventes[[#This Row],[Date]],"mm-aaaa"),"")</f>
        <v>01-1900</v>
      </c>
      <c r="D762" s="10" t="str">
        <f>IFERROR(
   INDEX(tbl_ProduitsRef[Cde_Prdt],MATCH(tbl_Ventes[[#This Row],[Produit]],tbl_ProduitsRef[Produit],0)),
   ""
)</f>
        <v/>
      </c>
      <c r="E762" s="7">
        <v>0</v>
      </c>
      <c r="F762" s="7" t="str">
        <f>IFERROR(
   INDEX(tbl_ProduitsRef[Prix Menu],MATCH(tbl_Ventes[[#This Row],[Produit]],tbl_ProduitsRef[Produit],0)),
   ""
)</f>
        <v/>
      </c>
      <c r="G762" s="7">
        <f>tbl_Ventes[[#This Row],[Qté Vendue]] * IFERROR(_xlfn.XLOOKUP(tbl_Ventes[[#This Row],[Cde_Prdt]], tbl_Produits[Cde_Prdt], tbl_Produits[Prix Menu]), 0)</f>
        <v>0</v>
      </c>
      <c r="H762" s="7">
        <f>IFERROR(_xlfn.XLOOKUP(tbl_Ventes[[#This Row],[Cde_Prdt]], tbl_Produits[Cde_Prdt], tbl_Produits[Coût Moyen Portion]), 0)</f>
        <v>0</v>
      </c>
      <c r="I762" s="7">
        <f>tbl_Ventes[[#This Row],[Qté Vendue]] * tbl_Ventes[[#This Row],[CMP_par_portion]]</f>
        <v>0</v>
      </c>
      <c r="J762" s="7">
        <f>tbl_Ventes[[#This Row],[CA ligne]] - tbl_Ventes[[#This Row],[Coût matière ligne]]</f>
        <v>0</v>
      </c>
      <c r="K762" s="7" t="str">
        <f>IFERROR(INDEX(tbl_ProduitsRef[Famille], MATCH(tbl_Ventes[[#This Row],[Cde_Prdt]], tbl_Produits[Cde_Prdt], 0)), "")</f>
        <v/>
      </c>
    </row>
    <row r="763" spans="1:11" x14ac:dyDescent="0.25">
      <c r="A763" s="5"/>
      <c r="B763" s="63" t="str">
        <f>IFERROR(TEXT(tbl_Ventes[[#This Row],[Date]],"mm-aaaa"),"")</f>
        <v>01-1900</v>
      </c>
      <c r="D763" s="10" t="str">
        <f>IFERROR(
   INDEX(tbl_ProduitsRef[Cde_Prdt],MATCH(tbl_Ventes[[#This Row],[Produit]],tbl_ProduitsRef[Produit],0)),
   ""
)</f>
        <v/>
      </c>
      <c r="E763" s="7">
        <v>0</v>
      </c>
      <c r="F763" s="7" t="str">
        <f>IFERROR(
   INDEX(tbl_ProduitsRef[Prix Menu],MATCH(tbl_Ventes[[#This Row],[Produit]],tbl_ProduitsRef[Produit],0)),
   ""
)</f>
        <v/>
      </c>
      <c r="G763" s="7">
        <f>tbl_Ventes[[#This Row],[Qté Vendue]] * IFERROR(_xlfn.XLOOKUP(tbl_Ventes[[#This Row],[Cde_Prdt]], tbl_Produits[Cde_Prdt], tbl_Produits[Prix Menu]), 0)</f>
        <v>0</v>
      </c>
      <c r="H763" s="7">
        <f>IFERROR(_xlfn.XLOOKUP(tbl_Ventes[[#This Row],[Cde_Prdt]], tbl_Produits[Cde_Prdt], tbl_Produits[Coût Moyen Portion]), 0)</f>
        <v>0</v>
      </c>
      <c r="I763" s="7">
        <f>tbl_Ventes[[#This Row],[Qté Vendue]] * tbl_Ventes[[#This Row],[CMP_par_portion]]</f>
        <v>0</v>
      </c>
      <c r="J763" s="7">
        <f>tbl_Ventes[[#This Row],[CA ligne]] - tbl_Ventes[[#This Row],[Coût matière ligne]]</f>
        <v>0</v>
      </c>
      <c r="K763" s="7" t="str">
        <f>IFERROR(INDEX(tbl_ProduitsRef[Famille], MATCH(tbl_Ventes[[#This Row],[Cde_Prdt]], tbl_Produits[Cde_Prdt], 0)), "")</f>
        <v/>
      </c>
    </row>
    <row r="764" spans="1:11" x14ac:dyDescent="0.25">
      <c r="A764" s="5"/>
      <c r="B764" s="63" t="str">
        <f>IFERROR(TEXT(tbl_Ventes[[#This Row],[Date]],"mm-aaaa"),"")</f>
        <v>01-1900</v>
      </c>
      <c r="D764" s="10" t="str">
        <f>IFERROR(
   INDEX(tbl_ProduitsRef[Cde_Prdt],MATCH(tbl_Ventes[[#This Row],[Produit]],tbl_ProduitsRef[Produit],0)),
   ""
)</f>
        <v/>
      </c>
      <c r="E764" s="7">
        <v>0</v>
      </c>
      <c r="F764" s="7" t="str">
        <f>IFERROR(
   INDEX(tbl_ProduitsRef[Prix Menu],MATCH(tbl_Ventes[[#This Row],[Produit]],tbl_ProduitsRef[Produit],0)),
   ""
)</f>
        <v/>
      </c>
      <c r="G764" s="7">
        <f>tbl_Ventes[[#This Row],[Qté Vendue]] * IFERROR(_xlfn.XLOOKUP(tbl_Ventes[[#This Row],[Cde_Prdt]], tbl_Produits[Cde_Prdt], tbl_Produits[Prix Menu]), 0)</f>
        <v>0</v>
      </c>
      <c r="H764" s="7">
        <f>IFERROR(_xlfn.XLOOKUP(tbl_Ventes[[#This Row],[Cde_Prdt]], tbl_Produits[Cde_Prdt], tbl_Produits[Coût Moyen Portion]), 0)</f>
        <v>0</v>
      </c>
      <c r="I764" s="7">
        <f>tbl_Ventes[[#This Row],[Qté Vendue]] * tbl_Ventes[[#This Row],[CMP_par_portion]]</f>
        <v>0</v>
      </c>
      <c r="J764" s="7">
        <f>tbl_Ventes[[#This Row],[CA ligne]] - tbl_Ventes[[#This Row],[Coût matière ligne]]</f>
        <v>0</v>
      </c>
      <c r="K764" s="7" t="str">
        <f>IFERROR(INDEX(tbl_ProduitsRef[Famille], MATCH(tbl_Ventes[[#This Row],[Cde_Prdt]], tbl_Produits[Cde_Prdt], 0)), "")</f>
        <v/>
      </c>
    </row>
    <row r="765" spans="1:11" x14ac:dyDescent="0.25">
      <c r="A765" s="5"/>
      <c r="B765" s="63" t="str">
        <f>IFERROR(TEXT(tbl_Ventes[[#This Row],[Date]],"mm-aaaa"),"")</f>
        <v>01-1900</v>
      </c>
      <c r="D765" s="10" t="str">
        <f>IFERROR(
   INDEX(tbl_ProduitsRef[Cde_Prdt],MATCH(tbl_Ventes[[#This Row],[Produit]],tbl_ProduitsRef[Produit],0)),
   ""
)</f>
        <v/>
      </c>
      <c r="E765" s="7">
        <v>0</v>
      </c>
      <c r="F765" s="7" t="str">
        <f>IFERROR(
   INDEX(tbl_ProduitsRef[Prix Menu],MATCH(tbl_Ventes[[#This Row],[Produit]],tbl_ProduitsRef[Produit],0)),
   ""
)</f>
        <v/>
      </c>
      <c r="G765" s="7">
        <f>tbl_Ventes[[#This Row],[Qté Vendue]] * IFERROR(_xlfn.XLOOKUP(tbl_Ventes[[#This Row],[Cde_Prdt]], tbl_Produits[Cde_Prdt], tbl_Produits[Prix Menu]), 0)</f>
        <v>0</v>
      </c>
      <c r="H765" s="7">
        <f>IFERROR(_xlfn.XLOOKUP(tbl_Ventes[[#This Row],[Cde_Prdt]], tbl_Produits[Cde_Prdt], tbl_Produits[Coût Moyen Portion]), 0)</f>
        <v>0</v>
      </c>
      <c r="I765" s="7">
        <f>tbl_Ventes[[#This Row],[Qté Vendue]] * tbl_Ventes[[#This Row],[CMP_par_portion]]</f>
        <v>0</v>
      </c>
      <c r="J765" s="7">
        <f>tbl_Ventes[[#This Row],[CA ligne]] - tbl_Ventes[[#This Row],[Coût matière ligne]]</f>
        <v>0</v>
      </c>
      <c r="K765" s="7" t="str">
        <f>IFERROR(INDEX(tbl_ProduitsRef[Famille], MATCH(tbl_Ventes[[#This Row],[Cde_Prdt]], tbl_Produits[Cde_Prdt], 0)), "")</f>
        <v/>
      </c>
    </row>
    <row r="766" spans="1:11" x14ac:dyDescent="0.25">
      <c r="A766" s="5"/>
      <c r="B766" s="63" t="str">
        <f>IFERROR(TEXT(tbl_Ventes[[#This Row],[Date]],"mm-aaaa"),"")</f>
        <v>01-1900</v>
      </c>
      <c r="D766" s="10" t="str">
        <f>IFERROR(
   INDEX(tbl_ProduitsRef[Cde_Prdt],MATCH(tbl_Ventes[[#This Row],[Produit]],tbl_ProduitsRef[Produit],0)),
   ""
)</f>
        <v/>
      </c>
      <c r="E766" s="7">
        <v>0</v>
      </c>
      <c r="F766" s="7" t="str">
        <f>IFERROR(
   INDEX(tbl_ProduitsRef[Prix Menu],MATCH(tbl_Ventes[[#This Row],[Produit]],tbl_ProduitsRef[Produit],0)),
   ""
)</f>
        <v/>
      </c>
      <c r="G766" s="7">
        <f>tbl_Ventes[[#This Row],[Qté Vendue]] * IFERROR(_xlfn.XLOOKUP(tbl_Ventes[[#This Row],[Cde_Prdt]], tbl_Produits[Cde_Prdt], tbl_Produits[Prix Menu]), 0)</f>
        <v>0</v>
      </c>
      <c r="H766" s="7">
        <f>IFERROR(_xlfn.XLOOKUP(tbl_Ventes[[#This Row],[Cde_Prdt]], tbl_Produits[Cde_Prdt], tbl_Produits[Coût Moyen Portion]), 0)</f>
        <v>0</v>
      </c>
      <c r="I766" s="7">
        <f>tbl_Ventes[[#This Row],[Qté Vendue]] * tbl_Ventes[[#This Row],[CMP_par_portion]]</f>
        <v>0</v>
      </c>
      <c r="J766" s="7">
        <f>tbl_Ventes[[#This Row],[CA ligne]] - tbl_Ventes[[#This Row],[Coût matière ligne]]</f>
        <v>0</v>
      </c>
      <c r="K766" s="7" t="str">
        <f>IFERROR(INDEX(tbl_ProduitsRef[Famille], MATCH(tbl_Ventes[[#This Row],[Cde_Prdt]], tbl_Produits[Cde_Prdt], 0)), "")</f>
        <v/>
      </c>
    </row>
    <row r="767" spans="1:11" x14ac:dyDescent="0.25">
      <c r="A767" s="5"/>
      <c r="B767" s="63" t="str">
        <f>IFERROR(TEXT(tbl_Ventes[[#This Row],[Date]],"mm-aaaa"),"")</f>
        <v>01-1900</v>
      </c>
      <c r="D767" s="10" t="str">
        <f>IFERROR(
   INDEX(tbl_ProduitsRef[Cde_Prdt],MATCH(tbl_Ventes[[#This Row],[Produit]],tbl_ProduitsRef[Produit],0)),
   ""
)</f>
        <v/>
      </c>
      <c r="E767" s="7">
        <v>0</v>
      </c>
      <c r="F767" s="7" t="str">
        <f>IFERROR(
   INDEX(tbl_ProduitsRef[Prix Menu],MATCH(tbl_Ventes[[#This Row],[Produit]],tbl_ProduitsRef[Produit],0)),
   ""
)</f>
        <v/>
      </c>
      <c r="G767" s="7">
        <f>tbl_Ventes[[#This Row],[Qté Vendue]] * IFERROR(_xlfn.XLOOKUP(tbl_Ventes[[#This Row],[Cde_Prdt]], tbl_Produits[Cde_Prdt], tbl_Produits[Prix Menu]), 0)</f>
        <v>0</v>
      </c>
      <c r="H767" s="7">
        <f>IFERROR(_xlfn.XLOOKUP(tbl_Ventes[[#This Row],[Cde_Prdt]], tbl_Produits[Cde_Prdt], tbl_Produits[Coût Moyen Portion]), 0)</f>
        <v>0</v>
      </c>
      <c r="I767" s="7">
        <f>tbl_Ventes[[#This Row],[Qté Vendue]] * tbl_Ventes[[#This Row],[CMP_par_portion]]</f>
        <v>0</v>
      </c>
      <c r="J767" s="7">
        <f>tbl_Ventes[[#This Row],[CA ligne]] - tbl_Ventes[[#This Row],[Coût matière ligne]]</f>
        <v>0</v>
      </c>
      <c r="K767" s="7" t="str">
        <f>IFERROR(INDEX(tbl_ProduitsRef[Famille], MATCH(tbl_Ventes[[#This Row],[Cde_Prdt]], tbl_Produits[Cde_Prdt], 0)), "")</f>
        <v/>
      </c>
    </row>
    <row r="768" spans="1:11" x14ac:dyDescent="0.25">
      <c r="A768" s="5"/>
      <c r="B768" s="63" t="str">
        <f>IFERROR(TEXT(tbl_Ventes[[#This Row],[Date]],"mm-aaaa"),"")</f>
        <v>01-1900</v>
      </c>
      <c r="D768" s="10" t="str">
        <f>IFERROR(
   INDEX(tbl_ProduitsRef[Cde_Prdt],MATCH(tbl_Ventes[[#This Row],[Produit]],tbl_ProduitsRef[Produit],0)),
   ""
)</f>
        <v/>
      </c>
      <c r="E768" s="7">
        <v>0</v>
      </c>
      <c r="F768" s="7" t="str">
        <f>IFERROR(
   INDEX(tbl_ProduitsRef[Prix Menu],MATCH(tbl_Ventes[[#This Row],[Produit]],tbl_ProduitsRef[Produit],0)),
   ""
)</f>
        <v/>
      </c>
      <c r="G768" s="7">
        <f>tbl_Ventes[[#This Row],[Qté Vendue]] * IFERROR(_xlfn.XLOOKUP(tbl_Ventes[[#This Row],[Cde_Prdt]], tbl_Produits[Cde_Prdt], tbl_Produits[Prix Menu]), 0)</f>
        <v>0</v>
      </c>
      <c r="H768" s="7">
        <f>IFERROR(_xlfn.XLOOKUP(tbl_Ventes[[#This Row],[Cde_Prdt]], tbl_Produits[Cde_Prdt], tbl_Produits[Coût Moyen Portion]), 0)</f>
        <v>0</v>
      </c>
      <c r="I768" s="7">
        <f>tbl_Ventes[[#This Row],[Qté Vendue]] * tbl_Ventes[[#This Row],[CMP_par_portion]]</f>
        <v>0</v>
      </c>
      <c r="J768" s="7">
        <f>tbl_Ventes[[#This Row],[CA ligne]] - tbl_Ventes[[#This Row],[Coût matière ligne]]</f>
        <v>0</v>
      </c>
      <c r="K768" s="7" t="str">
        <f>IFERROR(INDEX(tbl_ProduitsRef[Famille], MATCH(tbl_Ventes[[#This Row],[Cde_Prdt]], tbl_Produits[Cde_Prdt], 0)), "")</f>
        <v/>
      </c>
    </row>
    <row r="769" spans="1:11" x14ac:dyDescent="0.25">
      <c r="A769" s="5"/>
      <c r="B769" s="63" t="str">
        <f>IFERROR(TEXT(tbl_Ventes[[#This Row],[Date]],"mm-aaaa"),"")</f>
        <v>01-1900</v>
      </c>
      <c r="D769" s="10" t="str">
        <f>IFERROR(
   INDEX(tbl_ProduitsRef[Cde_Prdt],MATCH(tbl_Ventes[[#This Row],[Produit]],tbl_ProduitsRef[Produit],0)),
   ""
)</f>
        <v/>
      </c>
      <c r="E769" s="7">
        <v>0</v>
      </c>
      <c r="F769" s="7" t="str">
        <f>IFERROR(
   INDEX(tbl_ProduitsRef[Prix Menu],MATCH(tbl_Ventes[[#This Row],[Produit]],tbl_ProduitsRef[Produit],0)),
   ""
)</f>
        <v/>
      </c>
      <c r="G769" s="7">
        <f>tbl_Ventes[[#This Row],[Qté Vendue]] * IFERROR(_xlfn.XLOOKUP(tbl_Ventes[[#This Row],[Cde_Prdt]], tbl_Produits[Cde_Prdt], tbl_Produits[Prix Menu]), 0)</f>
        <v>0</v>
      </c>
      <c r="H769" s="7">
        <f>IFERROR(_xlfn.XLOOKUP(tbl_Ventes[[#This Row],[Cde_Prdt]], tbl_Produits[Cde_Prdt], tbl_Produits[Coût Moyen Portion]), 0)</f>
        <v>0</v>
      </c>
      <c r="I769" s="7">
        <f>tbl_Ventes[[#This Row],[Qté Vendue]] * tbl_Ventes[[#This Row],[CMP_par_portion]]</f>
        <v>0</v>
      </c>
      <c r="J769" s="7">
        <f>tbl_Ventes[[#This Row],[CA ligne]] - tbl_Ventes[[#This Row],[Coût matière ligne]]</f>
        <v>0</v>
      </c>
      <c r="K769" s="7" t="str">
        <f>IFERROR(INDEX(tbl_ProduitsRef[Famille], MATCH(tbl_Ventes[[#This Row],[Cde_Prdt]], tbl_Produits[Cde_Prdt], 0)), "")</f>
        <v/>
      </c>
    </row>
    <row r="770" spans="1:11" x14ac:dyDescent="0.25">
      <c r="A770" s="5"/>
      <c r="B770" s="63" t="str">
        <f>IFERROR(TEXT(tbl_Ventes[[#This Row],[Date]],"mm-aaaa"),"")</f>
        <v>01-1900</v>
      </c>
      <c r="D770" s="10" t="str">
        <f>IFERROR(
   INDEX(tbl_ProduitsRef[Cde_Prdt],MATCH(tbl_Ventes[[#This Row],[Produit]],tbl_ProduitsRef[Produit],0)),
   ""
)</f>
        <v/>
      </c>
      <c r="E770" s="7">
        <v>0</v>
      </c>
      <c r="F770" s="7" t="str">
        <f>IFERROR(
   INDEX(tbl_ProduitsRef[Prix Menu],MATCH(tbl_Ventes[[#This Row],[Produit]],tbl_ProduitsRef[Produit],0)),
   ""
)</f>
        <v/>
      </c>
      <c r="G770" s="7">
        <f>tbl_Ventes[[#This Row],[Qté Vendue]] * IFERROR(_xlfn.XLOOKUP(tbl_Ventes[[#This Row],[Cde_Prdt]], tbl_Produits[Cde_Prdt], tbl_Produits[Prix Menu]), 0)</f>
        <v>0</v>
      </c>
      <c r="H770" s="7">
        <f>IFERROR(_xlfn.XLOOKUP(tbl_Ventes[[#This Row],[Cde_Prdt]], tbl_Produits[Cde_Prdt], tbl_Produits[Coût Moyen Portion]), 0)</f>
        <v>0</v>
      </c>
      <c r="I770" s="7">
        <f>tbl_Ventes[[#This Row],[Qté Vendue]] * tbl_Ventes[[#This Row],[CMP_par_portion]]</f>
        <v>0</v>
      </c>
      <c r="J770" s="7">
        <f>tbl_Ventes[[#This Row],[CA ligne]] - tbl_Ventes[[#This Row],[Coût matière ligne]]</f>
        <v>0</v>
      </c>
      <c r="K770" s="7" t="str">
        <f>IFERROR(INDEX(tbl_ProduitsRef[Famille], MATCH(tbl_Ventes[[#This Row],[Cde_Prdt]], tbl_Produits[Cde_Prdt], 0)), "")</f>
        <v/>
      </c>
    </row>
    <row r="771" spans="1:11" x14ac:dyDescent="0.25">
      <c r="A771" s="5"/>
      <c r="B771" s="63" t="str">
        <f>IFERROR(TEXT(tbl_Ventes[[#This Row],[Date]],"mm-aaaa"),"")</f>
        <v>01-1900</v>
      </c>
      <c r="D771" s="10" t="str">
        <f>IFERROR(
   INDEX(tbl_ProduitsRef[Cde_Prdt],MATCH(tbl_Ventes[[#This Row],[Produit]],tbl_ProduitsRef[Produit],0)),
   ""
)</f>
        <v/>
      </c>
      <c r="E771" s="7">
        <v>0</v>
      </c>
      <c r="F771" s="7" t="str">
        <f>IFERROR(
   INDEX(tbl_ProduitsRef[Prix Menu],MATCH(tbl_Ventes[[#This Row],[Produit]],tbl_ProduitsRef[Produit],0)),
   ""
)</f>
        <v/>
      </c>
      <c r="G771" s="7">
        <f>tbl_Ventes[[#This Row],[Qté Vendue]] * IFERROR(_xlfn.XLOOKUP(tbl_Ventes[[#This Row],[Cde_Prdt]], tbl_Produits[Cde_Prdt], tbl_Produits[Prix Menu]), 0)</f>
        <v>0</v>
      </c>
      <c r="H771" s="7">
        <f>IFERROR(_xlfn.XLOOKUP(tbl_Ventes[[#This Row],[Cde_Prdt]], tbl_Produits[Cde_Prdt], tbl_Produits[Coût Moyen Portion]), 0)</f>
        <v>0</v>
      </c>
      <c r="I771" s="7">
        <f>tbl_Ventes[[#This Row],[Qté Vendue]] * tbl_Ventes[[#This Row],[CMP_par_portion]]</f>
        <v>0</v>
      </c>
      <c r="J771" s="7">
        <f>tbl_Ventes[[#This Row],[CA ligne]] - tbl_Ventes[[#This Row],[Coût matière ligne]]</f>
        <v>0</v>
      </c>
      <c r="K771" s="7" t="str">
        <f>IFERROR(INDEX(tbl_ProduitsRef[Famille], MATCH(tbl_Ventes[[#This Row],[Cde_Prdt]], tbl_Produits[Cde_Prdt], 0)), "")</f>
        <v/>
      </c>
    </row>
    <row r="772" spans="1:11" x14ac:dyDescent="0.25">
      <c r="A772" s="5"/>
      <c r="B772" s="63" t="str">
        <f>IFERROR(TEXT(tbl_Ventes[[#This Row],[Date]],"mm-aaaa"),"")</f>
        <v>01-1900</v>
      </c>
      <c r="D772" s="10" t="str">
        <f>IFERROR(
   INDEX(tbl_ProduitsRef[Cde_Prdt],MATCH(tbl_Ventes[[#This Row],[Produit]],tbl_ProduitsRef[Produit],0)),
   ""
)</f>
        <v/>
      </c>
      <c r="E772" s="7">
        <v>0</v>
      </c>
      <c r="F772" s="7" t="str">
        <f>IFERROR(
   INDEX(tbl_ProduitsRef[Prix Menu],MATCH(tbl_Ventes[[#This Row],[Produit]],tbl_ProduitsRef[Produit],0)),
   ""
)</f>
        <v/>
      </c>
      <c r="G772" s="7">
        <f>tbl_Ventes[[#This Row],[Qté Vendue]] * IFERROR(_xlfn.XLOOKUP(tbl_Ventes[[#This Row],[Cde_Prdt]], tbl_Produits[Cde_Prdt], tbl_Produits[Prix Menu]), 0)</f>
        <v>0</v>
      </c>
      <c r="H772" s="7">
        <f>IFERROR(_xlfn.XLOOKUP(tbl_Ventes[[#This Row],[Cde_Prdt]], tbl_Produits[Cde_Prdt], tbl_Produits[Coût Moyen Portion]), 0)</f>
        <v>0</v>
      </c>
      <c r="I772" s="7">
        <f>tbl_Ventes[[#This Row],[Qté Vendue]] * tbl_Ventes[[#This Row],[CMP_par_portion]]</f>
        <v>0</v>
      </c>
      <c r="J772" s="7">
        <f>tbl_Ventes[[#This Row],[CA ligne]] - tbl_Ventes[[#This Row],[Coût matière ligne]]</f>
        <v>0</v>
      </c>
      <c r="K772" s="7" t="str">
        <f>IFERROR(INDEX(tbl_ProduitsRef[Famille], MATCH(tbl_Ventes[[#This Row],[Cde_Prdt]], tbl_Produits[Cde_Prdt], 0)), "")</f>
        <v/>
      </c>
    </row>
    <row r="773" spans="1:11" x14ac:dyDescent="0.25">
      <c r="A773" s="5"/>
      <c r="B773" s="63" t="str">
        <f>IFERROR(TEXT(tbl_Ventes[[#This Row],[Date]],"mm-aaaa"),"")</f>
        <v>01-1900</v>
      </c>
      <c r="D773" s="10" t="str">
        <f>IFERROR(
   INDEX(tbl_ProduitsRef[Cde_Prdt],MATCH(tbl_Ventes[[#This Row],[Produit]],tbl_ProduitsRef[Produit],0)),
   ""
)</f>
        <v/>
      </c>
      <c r="E773" s="7">
        <v>0</v>
      </c>
      <c r="F773" s="7" t="str">
        <f>IFERROR(
   INDEX(tbl_ProduitsRef[Prix Menu],MATCH(tbl_Ventes[[#This Row],[Produit]],tbl_ProduitsRef[Produit],0)),
   ""
)</f>
        <v/>
      </c>
      <c r="G773" s="7">
        <f>tbl_Ventes[[#This Row],[Qté Vendue]] * IFERROR(_xlfn.XLOOKUP(tbl_Ventes[[#This Row],[Cde_Prdt]], tbl_Produits[Cde_Prdt], tbl_Produits[Prix Menu]), 0)</f>
        <v>0</v>
      </c>
      <c r="H773" s="7">
        <f>IFERROR(_xlfn.XLOOKUP(tbl_Ventes[[#This Row],[Cde_Prdt]], tbl_Produits[Cde_Prdt], tbl_Produits[Coût Moyen Portion]), 0)</f>
        <v>0</v>
      </c>
      <c r="I773" s="7">
        <f>tbl_Ventes[[#This Row],[Qté Vendue]] * tbl_Ventes[[#This Row],[CMP_par_portion]]</f>
        <v>0</v>
      </c>
      <c r="J773" s="7">
        <f>tbl_Ventes[[#This Row],[CA ligne]] - tbl_Ventes[[#This Row],[Coût matière ligne]]</f>
        <v>0</v>
      </c>
      <c r="K773" s="7" t="str">
        <f>IFERROR(INDEX(tbl_ProduitsRef[Famille], MATCH(tbl_Ventes[[#This Row],[Cde_Prdt]], tbl_Produits[Cde_Prdt], 0)), "")</f>
        <v/>
      </c>
    </row>
    <row r="774" spans="1:11" x14ac:dyDescent="0.25">
      <c r="A774" s="5"/>
      <c r="B774" s="63" t="str">
        <f>IFERROR(TEXT(tbl_Ventes[[#This Row],[Date]],"mm-aaaa"),"")</f>
        <v>01-1900</v>
      </c>
      <c r="D774" s="10" t="str">
        <f>IFERROR(
   INDEX(tbl_ProduitsRef[Cde_Prdt],MATCH(tbl_Ventes[[#This Row],[Produit]],tbl_ProduitsRef[Produit],0)),
   ""
)</f>
        <v/>
      </c>
      <c r="E774" s="7">
        <v>0</v>
      </c>
      <c r="F774" s="7" t="str">
        <f>IFERROR(
   INDEX(tbl_ProduitsRef[Prix Menu],MATCH(tbl_Ventes[[#This Row],[Produit]],tbl_ProduitsRef[Produit],0)),
   ""
)</f>
        <v/>
      </c>
      <c r="G774" s="7">
        <f>tbl_Ventes[[#This Row],[Qté Vendue]] * IFERROR(_xlfn.XLOOKUP(tbl_Ventes[[#This Row],[Cde_Prdt]], tbl_Produits[Cde_Prdt], tbl_Produits[Prix Menu]), 0)</f>
        <v>0</v>
      </c>
      <c r="H774" s="7">
        <f>IFERROR(_xlfn.XLOOKUP(tbl_Ventes[[#This Row],[Cde_Prdt]], tbl_Produits[Cde_Prdt], tbl_Produits[Coût Moyen Portion]), 0)</f>
        <v>0</v>
      </c>
      <c r="I774" s="7">
        <f>tbl_Ventes[[#This Row],[Qté Vendue]] * tbl_Ventes[[#This Row],[CMP_par_portion]]</f>
        <v>0</v>
      </c>
      <c r="J774" s="7">
        <f>tbl_Ventes[[#This Row],[CA ligne]] - tbl_Ventes[[#This Row],[Coût matière ligne]]</f>
        <v>0</v>
      </c>
      <c r="K774" s="7" t="str">
        <f>IFERROR(INDEX(tbl_ProduitsRef[Famille], MATCH(tbl_Ventes[[#This Row],[Cde_Prdt]], tbl_Produits[Cde_Prdt], 0)), "")</f>
        <v/>
      </c>
    </row>
    <row r="775" spans="1:11" x14ac:dyDescent="0.25">
      <c r="A775" s="5"/>
      <c r="B775" s="63" t="str">
        <f>IFERROR(TEXT(tbl_Ventes[[#This Row],[Date]],"mm-aaaa"),"")</f>
        <v>01-1900</v>
      </c>
      <c r="D775" s="10" t="str">
        <f>IFERROR(
   INDEX(tbl_ProduitsRef[Cde_Prdt],MATCH(tbl_Ventes[[#This Row],[Produit]],tbl_ProduitsRef[Produit],0)),
   ""
)</f>
        <v/>
      </c>
      <c r="E775" s="7">
        <v>0</v>
      </c>
      <c r="F775" s="7" t="str">
        <f>IFERROR(
   INDEX(tbl_ProduitsRef[Prix Menu],MATCH(tbl_Ventes[[#This Row],[Produit]],tbl_ProduitsRef[Produit],0)),
   ""
)</f>
        <v/>
      </c>
      <c r="G775" s="7">
        <f>tbl_Ventes[[#This Row],[Qté Vendue]] * IFERROR(_xlfn.XLOOKUP(tbl_Ventes[[#This Row],[Cde_Prdt]], tbl_Produits[Cde_Prdt], tbl_Produits[Prix Menu]), 0)</f>
        <v>0</v>
      </c>
      <c r="H775" s="7">
        <f>IFERROR(_xlfn.XLOOKUP(tbl_Ventes[[#This Row],[Cde_Prdt]], tbl_Produits[Cde_Prdt], tbl_Produits[Coût Moyen Portion]), 0)</f>
        <v>0</v>
      </c>
      <c r="I775" s="7">
        <f>tbl_Ventes[[#This Row],[Qté Vendue]] * tbl_Ventes[[#This Row],[CMP_par_portion]]</f>
        <v>0</v>
      </c>
      <c r="J775" s="7">
        <f>tbl_Ventes[[#This Row],[CA ligne]] - tbl_Ventes[[#This Row],[Coût matière ligne]]</f>
        <v>0</v>
      </c>
      <c r="K775" s="7" t="str">
        <f>IFERROR(INDEX(tbl_ProduitsRef[Famille], MATCH(tbl_Ventes[[#This Row],[Cde_Prdt]], tbl_Produits[Cde_Prdt], 0)), "")</f>
        <v/>
      </c>
    </row>
    <row r="776" spans="1:11" x14ac:dyDescent="0.25">
      <c r="A776" s="5"/>
      <c r="B776" s="63" t="str">
        <f>IFERROR(TEXT(tbl_Ventes[[#This Row],[Date]],"mm-aaaa"),"")</f>
        <v>01-1900</v>
      </c>
      <c r="D776" s="10" t="str">
        <f>IFERROR(
   INDEX(tbl_ProduitsRef[Cde_Prdt],MATCH(tbl_Ventes[[#This Row],[Produit]],tbl_ProduitsRef[Produit],0)),
   ""
)</f>
        <v/>
      </c>
      <c r="E776" s="7">
        <v>0</v>
      </c>
      <c r="F776" s="7" t="str">
        <f>IFERROR(
   INDEX(tbl_ProduitsRef[Prix Menu],MATCH(tbl_Ventes[[#This Row],[Produit]],tbl_ProduitsRef[Produit],0)),
   ""
)</f>
        <v/>
      </c>
      <c r="G776" s="7">
        <f>tbl_Ventes[[#This Row],[Qté Vendue]] * IFERROR(_xlfn.XLOOKUP(tbl_Ventes[[#This Row],[Cde_Prdt]], tbl_Produits[Cde_Prdt], tbl_Produits[Prix Menu]), 0)</f>
        <v>0</v>
      </c>
      <c r="H776" s="7">
        <f>IFERROR(_xlfn.XLOOKUP(tbl_Ventes[[#This Row],[Cde_Prdt]], tbl_Produits[Cde_Prdt], tbl_Produits[Coût Moyen Portion]), 0)</f>
        <v>0</v>
      </c>
      <c r="I776" s="7">
        <f>tbl_Ventes[[#This Row],[Qté Vendue]] * tbl_Ventes[[#This Row],[CMP_par_portion]]</f>
        <v>0</v>
      </c>
      <c r="J776" s="7">
        <f>tbl_Ventes[[#This Row],[CA ligne]] - tbl_Ventes[[#This Row],[Coût matière ligne]]</f>
        <v>0</v>
      </c>
      <c r="K776" s="7" t="str">
        <f>IFERROR(INDEX(tbl_ProduitsRef[Famille], MATCH(tbl_Ventes[[#This Row],[Cde_Prdt]], tbl_Produits[Cde_Prdt], 0)), "")</f>
        <v/>
      </c>
    </row>
    <row r="777" spans="1:11" x14ac:dyDescent="0.25">
      <c r="A777" s="5"/>
      <c r="B777" s="63" t="str">
        <f>IFERROR(TEXT(tbl_Ventes[[#This Row],[Date]],"mm-aaaa"),"")</f>
        <v>01-1900</v>
      </c>
      <c r="D777" s="10" t="str">
        <f>IFERROR(
   INDEX(tbl_ProduitsRef[Cde_Prdt],MATCH(tbl_Ventes[[#This Row],[Produit]],tbl_ProduitsRef[Produit],0)),
   ""
)</f>
        <v/>
      </c>
      <c r="E777" s="7">
        <v>0</v>
      </c>
      <c r="F777" s="7" t="str">
        <f>IFERROR(
   INDEX(tbl_ProduitsRef[Prix Menu],MATCH(tbl_Ventes[[#This Row],[Produit]],tbl_ProduitsRef[Produit],0)),
   ""
)</f>
        <v/>
      </c>
      <c r="G777" s="7">
        <f>tbl_Ventes[[#This Row],[Qté Vendue]] * IFERROR(_xlfn.XLOOKUP(tbl_Ventes[[#This Row],[Cde_Prdt]], tbl_Produits[Cde_Prdt], tbl_Produits[Prix Menu]), 0)</f>
        <v>0</v>
      </c>
      <c r="H777" s="7">
        <f>IFERROR(_xlfn.XLOOKUP(tbl_Ventes[[#This Row],[Cde_Prdt]], tbl_Produits[Cde_Prdt], tbl_Produits[Coût Moyen Portion]), 0)</f>
        <v>0</v>
      </c>
      <c r="I777" s="7">
        <f>tbl_Ventes[[#This Row],[Qté Vendue]] * tbl_Ventes[[#This Row],[CMP_par_portion]]</f>
        <v>0</v>
      </c>
      <c r="J777" s="7">
        <f>tbl_Ventes[[#This Row],[CA ligne]] - tbl_Ventes[[#This Row],[Coût matière ligne]]</f>
        <v>0</v>
      </c>
      <c r="K777" s="7" t="str">
        <f>IFERROR(INDEX(tbl_ProduitsRef[Famille], MATCH(tbl_Ventes[[#This Row],[Cde_Prdt]], tbl_Produits[Cde_Prdt], 0)), "")</f>
        <v/>
      </c>
    </row>
    <row r="778" spans="1:11" x14ac:dyDescent="0.25">
      <c r="A778" s="5"/>
      <c r="B778" s="63" t="str">
        <f>IFERROR(TEXT(tbl_Ventes[[#This Row],[Date]],"mm-aaaa"),"")</f>
        <v>01-1900</v>
      </c>
      <c r="D778" s="10" t="str">
        <f>IFERROR(
   INDEX(tbl_ProduitsRef[Cde_Prdt],MATCH(tbl_Ventes[[#This Row],[Produit]],tbl_ProduitsRef[Produit],0)),
   ""
)</f>
        <v/>
      </c>
      <c r="E778" s="7">
        <v>0</v>
      </c>
      <c r="F778" s="7" t="str">
        <f>IFERROR(
   INDEX(tbl_ProduitsRef[Prix Menu],MATCH(tbl_Ventes[[#This Row],[Produit]],tbl_ProduitsRef[Produit],0)),
   ""
)</f>
        <v/>
      </c>
      <c r="G778" s="7">
        <f>tbl_Ventes[[#This Row],[Qté Vendue]] * IFERROR(_xlfn.XLOOKUP(tbl_Ventes[[#This Row],[Cde_Prdt]], tbl_Produits[Cde_Prdt], tbl_Produits[Prix Menu]), 0)</f>
        <v>0</v>
      </c>
      <c r="H778" s="7">
        <f>IFERROR(_xlfn.XLOOKUP(tbl_Ventes[[#This Row],[Cde_Prdt]], tbl_Produits[Cde_Prdt], tbl_Produits[Coût Moyen Portion]), 0)</f>
        <v>0</v>
      </c>
      <c r="I778" s="7">
        <f>tbl_Ventes[[#This Row],[Qté Vendue]] * tbl_Ventes[[#This Row],[CMP_par_portion]]</f>
        <v>0</v>
      </c>
      <c r="J778" s="7">
        <f>tbl_Ventes[[#This Row],[CA ligne]] - tbl_Ventes[[#This Row],[Coût matière ligne]]</f>
        <v>0</v>
      </c>
      <c r="K778" s="7" t="str">
        <f>IFERROR(INDEX(tbl_ProduitsRef[Famille], MATCH(tbl_Ventes[[#This Row],[Cde_Prdt]], tbl_Produits[Cde_Prdt], 0)), "")</f>
        <v/>
      </c>
    </row>
    <row r="779" spans="1:11" x14ac:dyDescent="0.25">
      <c r="A779" s="5"/>
      <c r="B779" s="63" t="str">
        <f>IFERROR(TEXT(tbl_Ventes[[#This Row],[Date]],"mm-aaaa"),"")</f>
        <v>01-1900</v>
      </c>
      <c r="D779" s="10" t="str">
        <f>IFERROR(
   INDEX(tbl_ProduitsRef[Cde_Prdt],MATCH(tbl_Ventes[[#This Row],[Produit]],tbl_ProduitsRef[Produit],0)),
   ""
)</f>
        <v/>
      </c>
      <c r="E779" s="7">
        <v>0</v>
      </c>
      <c r="F779" s="7" t="str">
        <f>IFERROR(
   INDEX(tbl_ProduitsRef[Prix Menu],MATCH(tbl_Ventes[[#This Row],[Produit]],tbl_ProduitsRef[Produit],0)),
   ""
)</f>
        <v/>
      </c>
      <c r="G779" s="7">
        <f>tbl_Ventes[[#This Row],[Qté Vendue]] * IFERROR(_xlfn.XLOOKUP(tbl_Ventes[[#This Row],[Cde_Prdt]], tbl_Produits[Cde_Prdt], tbl_Produits[Prix Menu]), 0)</f>
        <v>0</v>
      </c>
      <c r="H779" s="7">
        <f>IFERROR(_xlfn.XLOOKUP(tbl_Ventes[[#This Row],[Cde_Prdt]], tbl_Produits[Cde_Prdt], tbl_Produits[Coût Moyen Portion]), 0)</f>
        <v>0</v>
      </c>
      <c r="I779" s="7">
        <f>tbl_Ventes[[#This Row],[Qté Vendue]] * tbl_Ventes[[#This Row],[CMP_par_portion]]</f>
        <v>0</v>
      </c>
      <c r="J779" s="7">
        <f>tbl_Ventes[[#This Row],[CA ligne]] - tbl_Ventes[[#This Row],[Coût matière ligne]]</f>
        <v>0</v>
      </c>
      <c r="K779" s="7" t="str">
        <f>IFERROR(INDEX(tbl_ProduitsRef[Famille], MATCH(tbl_Ventes[[#This Row],[Cde_Prdt]], tbl_Produits[Cde_Prdt], 0)), "")</f>
        <v/>
      </c>
    </row>
    <row r="780" spans="1:11" x14ac:dyDescent="0.25">
      <c r="A780" s="5"/>
      <c r="B780" s="63" t="str">
        <f>IFERROR(TEXT(tbl_Ventes[[#This Row],[Date]],"mm-aaaa"),"")</f>
        <v>01-1900</v>
      </c>
      <c r="D780" s="10" t="str">
        <f>IFERROR(
   INDEX(tbl_ProduitsRef[Cde_Prdt],MATCH(tbl_Ventes[[#This Row],[Produit]],tbl_ProduitsRef[Produit],0)),
   ""
)</f>
        <v/>
      </c>
      <c r="E780" s="7">
        <v>0</v>
      </c>
      <c r="F780" s="7" t="str">
        <f>IFERROR(
   INDEX(tbl_ProduitsRef[Prix Menu],MATCH(tbl_Ventes[[#This Row],[Produit]],tbl_ProduitsRef[Produit],0)),
   ""
)</f>
        <v/>
      </c>
      <c r="G780" s="7">
        <f>tbl_Ventes[[#This Row],[Qté Vendue]] * IFERROR(_xlfn.XLOOKUP(tbl_Ventes[[#This Row],[Cde_Prdt]], tbl_Produits[Cde_Prdt], tbl_Produits[Prix Menu]), 0)</f>
        <v>0</v>
      </c>
      <c r="H780" s="7">
        <f>IFERROR(_xlfn.XLOOKUP(tbl_Ventes[[#This Row],[Cde_Prdt]], tbl_Produits[Cde_Prdt], tbl_Produits[Coût Moyen Portion]), 0)</f>
        <v>0</v>
      </c>
      <c r="I780" s="7">
        <f>tbl_Ventes[[#This Row],[Qté Vendue]] * tbl_Ventes[[#This Row],[CMP_par_portion]]</f>
        <v>0</v>
      </c>
      <c r="J780" s="7">
        <f>tbl_Ventes[[#This Row],[CA ligne]] - tbl_Ventes[[#This Row],[Coût matière ligne]]</f>
        <v>0</v>
      </c>
      <c r="K780" s="7" t="str">
        <f>IFERROR(INDEX(tbl_ProduitsRef[Famille], MATCH(tbl_Ventes[[#This Row],[Cde_Prdt]], tbl_Produits[Cde_Prdt], 0)), "")</f>
        <v/>
      </c>
    </row>
    <row r="781" spans="1:11" x14ac:dyDescent="0.25">
      <c r="A781" s="5"/>
      <c r="B781" s="63" t="str">
        <f>IFERROR(TEXT(tbl_Ventes[[#This Row],[Date]],"mm-aaaa"),"")</f>
        <v>01-1900</v>
      </c>
      <c r="D781" s="10" t="str">
        <f>IFERROR(
   INDEX(tbl_ProduitsRef[Cde_Prdt],MATCH(tbl_Ventes[[#This Row],[Produit]],tbl_ProduitsRef[Produit],0)),
   ""
)</f>
        <v/>
      </c>
      <c r="E781" s="7">
        <v>0</v>
      </c>
      <c r="F781" s="7" t="str">
        <f>IFERROR(
   INDEX(tbl_ProduitsRef[Prix Menu],MATCH(tbl_Ventes[[#This Row],[Produit]],tbl_ProduitsRef[Produit],0)),
   ""
)</f>
        <v/>
      </c>
      <c r="G781" s="7">
        <f>tbl_Ventes[[#This Row],[Qté Vendue]] * IFERROR(_xlfn.XLOOKUP(tbl_Ventes[[#This Row],[Cde_Prdt]], tbl_Produits[Cde_Prdt], tbl_Produits[Prix Menu]), 0)</f>
        <v>0</v>
      </c>
      <c r="H781" s="7">
        <f>IFERROR(_xlfn.XLOOKUP(tbl_Ventes[[#This Row],[Cde_Prdt]], tbl_Produits[Cde_Prdt], tbl_Produits[Coût Moyen Portion]), 0)</f>
        <v>0</v>
      </c>
      <c r="I781" s="7">
        <f>tbl_Ventes[[#This Row],[Qté Vendue]] * tbl_Ventes[[#This Row],[CMP_par_portion]]</f>
        <v>0</v>
      </c>
      <c r="J781" s="7">
        <f>tbl_Ventes[[#This Row],[CA ligne]] - tbl_Ventes[[#This Row],[Coût matière ligne]]</f>
        <v>0</v>
      </c>
      <c r="K781" s="7" t="str">
        <f>IFERROR(INDEX(tbl_ProduitsRef[Famille], MATCH(tbl_Ventes[[#This Row],[Cde_Prdt]], tbl_Produits[Cde_Prdt], 0)), "")</f>
        <v/>
      </c>
    </row>
    <row r="782" spans="1:11" x14ac:dyDescent="0.25">
      <c r="A782" s="5"/>
      <c r="B782" s="63" t="str">
        <f>IFERROR(TEXT(tbl_Ventes[[#This Row],[Date]],"mm-aaaa"),"")</f>
        <v>01-1900</v>
      </c>
      <c r="D782" s="10" t="str">
        <f>IFERROR(
   INDEX(tbl_ProduitsRef[Cde_Prdt],MATCH(tbl_Ventes[[#This Row],[Produit]],tbl_ProduitsRef[Produit],0)),
   ""
)</f>
        <v/>
      </c>
      <c r="E782" s="7">
        <v>0</v>
      </c>
      <c r="F782" s="7" t="str">
        <f>IFERROR(
   INDEX(tbl_ProduitsRef[Prix Menu],MATCH(tbl_Ventes[[#This Row],[Produit]],tbl_ProduitsRef[Produit],0)),
   ""
)</f>
        <v/>
      </c>
      <c r="G782" s="7">
        <f>tbl_Ventes[[#This Row],[Qté Vendue]] * IFERROR(_xlfn.XLOOKUP(tbl_Ventes[[#This Row],[Cde_Prdt]], tbl_Produits[Cde_Prdt], tbl_Produits[Prix Menu]), 0)</f>
        <v>0</v>
      </c>
      <c r="H782" s="7">
        <f>IFERROR(_xlfn.XLOOKUP(tbl_Ventes[[#This Row],[Cde_Prdt]], tbl_Produits[Cde_Prdt], tbl_Produits[Coût Moyen Portion]), 0)</f>
        <v>0</v>
      </c>
      <c r="I782" s="7">
        <f>tbl_Ventes[[#This Row],[Qté Vendue]] * tbl_Ventes[[#This Row],[CMP_par_portion]]</f>
        <v>0</v>
      </c>
      <c r="J782" s="7">
        <f>tbl_Ventes[[#This Row],[CA ligne]] - tbl_Ventes[[#This Row],[Coût matière ligne]]</f>
        <v>0</v>
      </c>
      <c r="K782" s="7" t="str">
        <f>IFERROR(INDEX(tbl_ProduitsRef[Famille], MATCH(tbl_Ventes[[#This Row],[Cde_Prdt]], tbl_Produits[Cde_Prdt], 0)), "")</f>
        <v/>
      </c>
    </row>
    <row r="783" spans="1:11" x14ac:dyDescent="0.25">
      <c r="A783" s="5"/>
      <c r="B783" s="63" t="str">
        <f>IFERROR(TEXT(tbl_Ventes[[#This Row],[Date]],"mm-aaaa"),"")</f>
        <v>01-1900</v>
      </c>
      <c r="D783" s="10" t="str">
        <f>IFERROR(
   INDEX(tbl_ProduitsRef[Cde_Prdt],MATCH(tbl_Ventes[[#This Row],[Produit]],tbl_ProduitsRef[Produit],0)),
   ""
)</f>
        <v/>
      </c>
      <c r="E783" s="7">
        <v>0</v>
      </c>
      <c r="F783" s="7" t="str">
        <f>IFERROR(
   INDEX(tbl_ProduitsRef[Prix Menu],MATCH(tbl_Ventes[[#This Row],[Produit]],tbl_ProduitsRef[Produit],0)),
   ""
)</f>
        <v/>
      </c>
      <c r="G783" s="7">
        <f>tbl_Ventes[[#This Row],[Qté Vendue]] * IFERROR(_xlfn.XLOOKUP(tbl_Ventes[[#This Row],[Cde_Prdt]], tbl_Produits[Cde_Prdt], tbl_Produits[Prix Menu]), 0)</f>
        <v>0</v>
      </c>
      <c r="H783" s="7">
        <f>IFERROR(_xlfn.XLOOKUP(tbl_Ventes[[#This Row],[Cde_Prdt]], tbl_Produits[Cde_Prdt], tbl_Produits[Coût Moyen Portion]), 0)</f>
        <v>0</v>
      </c>
      <c r="I783" s="7">
        <f>tbl_Ventes[[#This Row],[Qté Vendue]] * tbl_Ventes[[#This Row],[CMP_par_portion]]</f>
        <v>0</v>
      </c>
      <c r="J783" s="7">
        <f>tbl_Ventes[[#This Row],[CA ligne]] - tbl_Ventes[[#This Row],[Coût matière ligne]]</f>
        <v>0</v>
      </c>
      <c r="K783" s="7" t="str">
        <f>IFERROR(INDEX(tbl_ProduitsRef[Famille], MATCH(tbl_Ventes[[#This Row],[Cde_Prdt]], tbl_Produits[Cde_Prdt], 0)), "")</f>
        <v/>
      </c>
    </row>
    <row r="784" spans="1:11" x14ac:dyDescent="0.25">
      <c r="A784" s="5"/>
      <c r="B784" s="63" t="str">
        <f>IFERROR(TEXT(tbl_Ventes[[#This Row],[Date]],"mm-aaaa"),"")</f>
        <v>01-1900</v>
      </c>
      <c r="D784" s="10" t="str">
        <f>IFERROR(
   INDEX(tbl_ProduitsRef[Cde_Prdt],MATCH(tbl_Ventes[[#This Row],[Produit]],tbl_ProduitsRef[Produit],0)),
   ""
)</f>
        <v/>
      </c>
      <c r="E784" s="7">
        <v>0</v>
      </c>
      <c r="F784" s="7" t="str">
        <f>IFERROR(
   INDEX(tbl_ProduitsRef[Prix Menu],MATCH(tbl_Ventes[[#This Row],[Produit]],tbl_ProduitsRef[Produit],0)),
   ""
)</f>
        <v/>
      </c>
      <c r="G784" s="7">
        <f>tbl_Ventes[[#This Row],[Qté Vendue]] * IFERROR(_xlfn.XLOOKUP(tbl_Ventes[[#This Row],[Cde_Prdt]], tbl_Produits[Cde_Prdt], tbl_Produits[Prix Menu]), 0)</f>
        <v>0</v>
      </c>
      <c r="H784" s="7">
        <f>IFERROR(_xlfn.XLOOKUP(tbl_Ventes[[#This Row],[Cde_Prdt]], tbl_Produits[Cde_Prdt], tbl_Produits[Coût Moyen Portion]), 0)</f>
        <v>0</v>
      </c>
      <c r="I784" s="7">
        <f>tbl_Ventes[[#This Row],[Qté Vendue]] * tbl_Ventes[[#This Row],[CMP_par_portion]]</f>
        <v>0</v>
      </c>
      <c r="J784" s="7">
        <f>tbl_Ventes[[#This Row],[CA ligne]] - tbl_Ventes[[#This Row],[Coût matière ligne]]</f>
        <v>0</v>
      </c>
      <c r="K784" s="7" t="str">
        <f>IFERROR(INDEX(tbl_ProduitsRef[Famille], MATCH(tbl_Ventes[[#This Row],[Cde_Prdt]], tbl_Produits[Cde_Prdt], 0)), "")</f>
        <v/>
      </c>
    </row>
    <row r="785" spans="1:11" x14ac:dyDescent="0.25">
      <c r="A785" s="5"/>
      <c r="B785" s="63" t="str">
        <f>IFERROR(TEXT(tbl_Ventes[[#This Row],[Date]],"mm-aaaa"),"")</f>
        <v>01-1900</v>
      </c>
      <c r="D785" s="10" t="str">
        <f>IFERROR(
   INDEX(tbl_ProduitsRef[Cde_Prdt],MATCH(tbl_Ventes[[#This Row],[Produit]],tbl_ProduitsRef[Produit],0)),
   ""
)</f>
        <v/>
      </c>
      <c r="E785" s="7">
        <v>0</v>
      </c>
      <c r="F785" s="7" t="str">
        <f>IFERROR(
   INDEX(tbl_ProduitsRef[Prix Menu],MATCH(tbl_Ventes[[#This Row],[Produit]],tbl_ProduitsRef[Produit],0)),
   ""
)</f>
        <v/>
      </c>
      <c r="G785" s="7">
        <f>tbl_Ventes[[#This Row],[Qté Vendue]] * IFERROR(_xlfn.XLOOKUP(tbl_Ventes[[#This Row],[Cde_Prdt]], tbl_Produits[Cde_Prdt], tbl_Produits[Prix Menu]), 0)</f>
        <v>0</v>
      </c>
      <c r="H785" s="7">
        <f>IFERROR(_xlfn.XLOOKUP(tbl_Ventes[[#This Row],[Cde_Prdt]], tbl_Produits[Cde_Prdt], tbl_Produits[Coût Moyen Portion]), 0)</f>
        <v>0</v>
      </c>
      <c r="I785" s="7">
        <f>tbl_Ventes[[#This Row],[Qté Vendue]] * tbl_Ventes[[#This Row],[CMP_par_portion]]</f>
        <v>0</v>
      </c>
      <c r="J785" s="7">
        <f>tbl_Ventes[[#This Row],[CA ligne]] - tbl_Ventes[[#This Row],[Coût matière ligne]]</f>
        <v>0</v>
      </c>
      <c r="K785" s="7" t="str">
        <f>IFERROR(INDEX(tbl_ProduitsRef[Famille], MATCH(tbl_Ventes[[#This Row],[Cde_Prdt]], tbl_Produits[Cde_Prdt], 0)), "")</f>
        <v/>
      </c>
    </row>
    <row r="786" spans="1:11" x14ac:dyDescent="0.25">
      <c r="A786" s="5"/>
      <c r="B786" s="63" t="str">
        <f>IFERROR(TEXT(tbl_Ventes[[#This Row],[Date]],"mm-aaaa"),"")</f>
        <v>01-1900</v>
      </c>
      <c r="D786" s="10" t="str">
        <f>IFERROR(
   INDEX(tbl_ProduitsRef[Cde_Prdt],MATCH(tbl_Ventes[[#This Row],[Produit]],tbl_ProduitsRef[Produit],0)),
   ""
)</f>
        <v/>
      </c>
      <c r="E786" s="7">
        <v>0</v>
      </c>
      <c r="F786" s="7" t="str">
        <f>IFERROR(
   INDEX(tbl_ProduitsRef[Prix Menu],MATCH(tbl_Ventes[[#This Row],[Produit]],tbl_ProduitsRef[Produit],0)),
   ""
)</f>
        <v/>
      </c>
      <c r="G786" s="7">
        <f>tbl_Ventes[[#This Row],[Qté Vendue]] * IFERROR(_xlfn.XLOOKUP(tbl_Ventes[[#This Row],[Cde_Prdt]], tbl_Produits[Cde_Prdt], tbl_Produits[Prix Menu]), 0)</f>
        <v>0</v>
      </c>
      <c r="H786" s="7">
        <f>IFERROR(_xlfn.XLOOKUP(tbl_Ventes[[#This Row],[Cde_Prdt]], tbl_Produits[Cde_Prdt], tbl_Produits[Coût Moyen Portion]), 0)</f>
        <v>0</v>
      </c>
      <c r="I786" s="7">
        <f>tbl_Ventes[[#This Row],[Qté Vendue]] * tbl_Ventes[[#This Row],[CMP_par_portion]]</f>
        <v>0</v>
      </c>
      <c r="J786" s="7">
        <f>tbl_Ventes[[#This Row],[CA ligne]] - tbl_Ventes[[#This Row],[Coût matière ligne]]</f>
        <v>0</v>
      </c>
      <c r="K786" s="7" t="str">
        <f>IFERROR(INDEX(tbl_ProduitsRef[Famille], MATCH(tbl_Ventes[[#This Row],[Cde_Prdt]], tbl_Produits[Cde_Prdt], 0)), "")</f>
        <v/>
      </c>
    </row>
    <row r="787" spans="1:11" x14ac:dyDescent="0.25">
      <c r="A787" s="5"/>
      <c r="B787" s="63" t="str">
        <f>IFERROR(TEXT(tbl_Ventes[[#This Row],[Date]],"mm-aaaa"),"")</f>
        <v>01-1900</v>
      </c>
      <c r="D787" s="10" t="str">
        <f>IFERROR(
   INDEX(tbl_ProduitsRef[Cde_Prdt],MATCH(tbl_Ventes[[#This Row],[Produit]],tbl_ProduitsRef[Produit],0)),
   ""
)</f>
        <v/>
      </c>
      <c r="E787" s="7">
        <v>0</v>
      </c>
      <c r="F787" s="7" t="str">
        <f>IFERROR(
   INDEX(tbl_ProduitsRef[Prix Menu],MATCH(tbl_Ventes[[#This Row],[Produit]],tbl_ProduitsRef[Produit],0)),
   ""
)</f>
        <v/>
      </c>
      <c r="G787" s="7">
        <f>tbl_Ventes[[#This Row],[Qté Vendue]] * IFERROR(_xlfn.XLOOKUP(tbl_Ventes[[#This Row],[Cde_Prdt]], tbl_Produits[Cde_Prdt], tbl_Produits[Prix Menu]), 0)</f>
        <v>0</v>
      </c>
      <c r="H787" s="7">
        <f>IFERROR(_xlfn.XLOOKUP(tbl_Ventes[[#This Row],[Cde_Prdt]], tbl_Produits[Cde_Prdt], tbl_Produits[Coût Moyen Portion]), 0)</f>
        <v>0</v>
      </c>
      <c r="I787" s="7">
        <f>tbl_Ventes[[#This Row],[Qté Vendue]] * tbl_Ventes[[#This Row],[CMP_par_portion]]</f>
        <v>0</v>
      </c>
      <c r="J787" s="7">
        <f>tbl_Ventes[[#This Row],[CA ligne]] - tbl_Ventes[[#This Row],[Coût matière ligne]]</f>
        <v>0</v>
      </c>
      <c r="K787" s="7" t="str">
        <f>IFERROR(INDEX(tbl_ProduitsRef[Famille], MATCH(tbl_Ventes[[#This Row],[Cde_Prdt]], tbl_Produits[Cde_Prdt], 0)), "")</f>
        <v/>
      </c>
    </row>
    <row r="788" spans="1:11" x14ac:dyDescent="0.25">
      <c r="A788" s="5"/>
      <c r="B788" s="63" t="str">
        <f>IFERROR(TEXT(tbl_Ventes[[#This Row],[Date]],"mm-aaaa"),"")</f>
        <v>01-1900</v>
      </c>
      <c r="D788" s="10" t="str">
        <f>IFERROR(
   INDEX(tbl_ProduitsRef[Cde_Prdt],MATCH(tbl_Ventes[[#This Row],[Produit]],tbl_ProduitsRef[Produit],0)),
   ""
)</f>
        <v/>
      </c>
      <c r="E788" s="7">
        <v>0</v>
      </c>
      <c r="F788" s="7" t="str">
        <f>IFERROR(
   INDEX(tbl_ProduitsRef[Prix Menu],MATCH(tbl_Ventes[[#This Row],[Produit]],tbl_ProduitsRef[Produit],0)),
   ""
)</f>
        <v/>
      </c>
      <c r="G788" s="7">
        <f>tbl_Ventes[[#This Row],[Qté Vendue]] * IFERROR(_xlfn.XLOOKUP(tbl_Ventes[[#This Row],[Cde_Prdt]], tbl_Produits[Cde_Prdt], tbl_Produits[Prix Menu]), 0)</f>
        <v>0</v>
      </c>
      <c r="H788" s="7">
        <f>IFERROR(_xlfn.XLOOKUP(tbl_Ventes[[#This Row],[Cde_Prdt]], tbl_Produits[Cde_Prdt], tbl_Produits[Coût Moyen Portion]), 0)</f>
        <v>0</v>
      </c>
      <c r="I788" s="7">
        <f>tbl_Ventes[[#This Row],[Qté Vendue]] * tbl_Ventes[[#This Row],[CMP_par_portion]]</f>
        <v>0</v>
      </c>
      <c r="J788" s="7">
        <f>tbl_Ventes[[#This Row],[CA ligne]] - tbl_Ventes[[#This Row],[Coût matière ligne]]</f>
        <v>0</v>
      </c>
      <c r="K788" s="7" t="str">
        <f>IFERROR(INDEX(tbl_ProduitsRef[Famille], MATCH(tbl_Ventes[[#This Row],[Cde_Prdt]], tbl_Produits[Cde_Prdt], 0)), "")</f>
        <v/>
      </c>
    </row>
    <row r="789" spans="1:11" x14ac:dyDescent="0.25">
      <c r="A789" s="5"/>
      <c r="B789" s="63" t="str">
        <f>IFERROR(TEXT(tbl_Ventes[[#This Row],[Date]],"mm-aaaa"),"")</f>
        <v>01-1900</v>
      </c>
      <c r="D789" s="10" t="str">
        <f>IFERROR(
   INDEX(tbl_ProduitsRef[Cde_Prdt],MATCH(tbl_Ventes[[#This Row],[Produit]],tbl_ProduitsRef[Produit],0)),
   ""
)</f>
        <v/>
      </c>
      <c r="E789" s="7">
        <v>0</v>
      </c>
      <c r="F789" s="7" t="str">
        <f>IFERROR(
   INDEX(tbl_ProduitsRef[Prix Menu],MATCH(tbl_Ventes[[#This Row],[Produit]],tbl_ProduitsRef[Produit],0)),
   ""
)</f>
        <v/>
      </c>
      <c r="G789" s="7">
        <f>tbl_Ventes[[#This Row],[Qté Vendue]] * IFERROR(_xlfn.XLOOKUP(tbl_Ventes[[#This Row],[Cde_Prdt]], tbl_Produits[Cde_Prdt], tbl_Produits[Prix Menu]), 0)</f>
        <v>0</v>
      </c>
      <c r="H789" s="7">
        <f>IFERROR(_xlfn.XLOOKUP(tbl_Ventes[[#This Row],[Cde_Prdt]], tbl_Produits[Cde_Prdt], tbl_Produits[Coût Moyen Portion]), 0)</f>
        <v>0</v>
      </c>
      <c r="I789" s="7">
        <f>tbl_Ventes[[#This Row],[Qté Vendue]] * tbl_Ventes[[#This Row],[CMP_par_portion]]</f>
        <v>0</v>
      </c>
      <c r="J789" s="7">
        <f>tbl_Ventes[[#This Row],[CA ligne]] - tbl_Ventes[[#This Row],[Coût matière ligne]]</f>
        <v>0</v>
      </c>
      <c r="K789" s="7" t="str">
        <f>IFERROR(INDEX(tbl_ProduitsRef[Famille], MATCH(tbl_Ventes[[#This Row],[Cde_Prdt]], tbl_Produits[Cde_Prdt], 0)), "")</f>
        <v/>
      </c>
    </row>
    <row r="790" spans="1:11" x14ac:dyDescent="0.25">
      <c r="A790" s="5"/>
      <c r="B790" s="63" t="str">
        <f>IFERROR(TEXT(tbl_Ventes[[#This Row],[Date]],"mm-aaaa"),"")</f>
        <v>01-1900</v>
      </c>
      <c r="D790" s="10" t="str">
        <f>IFERROR(
   INDEX(tbl_ProduitsRef[Cde_Prdt],MATCH(tbl_Ventes[[#This Row],[Produit]],tbl_ProduitsRef[Produit],0)),
   ""
)</f>
        <v/>
      </c>
      <c r="E790" s="7">
        <v>0</v>
      </c>
      <c r="F790" s="7" t="str">
        <f>IFERROR(
   INDEX(tbl_ProduitsRef[Prix Menu],MATCH(tbl_Ventes[[#This Row],[Produit]],tbl_ProduitsRef[Produit],0)),
   ""
)</f>
        <v/>
      </c>
      <c r="G790" s="7">
        <f>tbl_Ventes[[#This Row],[Qté Vendue]] * IFERROR(_xlfn.XLOOKUP(tbl_Ventes[[#This Row],[Cde_Prdt]], tbl_Produits[Cde_Prdt], tbl_Produits[Prix Menu]), 0)</f>
        <v>0</v>
      </c>
      <c r="H790" s="7">
        <f>IFERROR(_xlfn.XLOOKUP(tbl_Ventes[[#This Row],[Cde_Prdt]], tbl_Produits[Cde_Prdt], tbl_Produits[Coût Moyen Portion]), 0)</f>
        <v>0</v>
      </c>
      <c r="I790" s="7">
        <f>tbl_Ventes[[#This Row],[Qté Vendue]] * tbl_Ventes[[#This Row],[CMP_par_portion]]</f>
        <v>0</v>
      </c>
      <c r="J790" s="7">
        <f>tbl_Ventes[[#This Row],[CA ligne]] - tbl_Ventes[[#This Row],[Coût matière ligne]]</f>
        <v>0</v>
      </c>
      <c r="K790" s="7" t="str">
        <f>IFERROR(INDEX(tbl_ProduitsRef[Famille], MATCH(tbl_Ventes[[#This Row],[Cde_Prdt]], tbl_Produits[Cde_Prdt], 0)), "")</f>
        <v/>
      </c>
    </row>
    <row r="791" spans="1:11" x14ac:dyDescent="0.25">
      <c r="A791" s="5"/>
      <c r="B791" s="63" t="str">
        <f>IFERROR(TEXT(tbl_Ventes[[#This Row],[Date]],"mm-aaaa"),"")</f>
        <v>01-1900</v>
      </c>
      <c r="D791" s="10" t="str">
        <f>IFERROR(
   INDEX(tbl_ProduitsRef[Cde_Prdt],MATCH(tbl_Ventes[[#This Row],[Produit]],tbl_ProduitsRef[Produit],0)),
   ""
)</f>
        <v/>
      </c>
      <c r="E791" s="7">
        <v>0</v>
      </c>
      <c r="F791" s="7" t="str">
        <f>IFERROR(
   INDEX(tbl_ProduitsRef[Prix Menu],MATCH(tbl_Ventes[[#This Row],[Produit]],tbl_ProduitsRef[Produit],0)),
   ""
)</f>
        <v/>
      </c>
      <c r="G791" s="7">
        <f>tbl_Ventes[[#This Row],[Qté Vendue]] * IFERROR(_xlfn.XLOOKUP(tbl_Ventes[[#This Row],[Cde_Prdt]], tbl_Produits[Cde_Prdt], tbl_Produits[Prix Menu]), 0)</f>
        <v>0</v>
      </c>
      <c r="H791" s="7">
        <f>IFERROR(_xlfn.XLOOKUP(tbl_Ventes[[#This Row],[Cde_Prdt]], tbl_Produits[Cde_Prdt], tbl_Produits[Coût Moyen Portion]), 0)</f>
        <v>0</v>
      </c>
      <c r="I791" s="7">
        <f>tbl_Ventes[[#This Row],[Qté Vendue]] * tbl_Ventes[[#This Row],[CMP_par_portion]]</f>
        <v>0</v>
      </c>
      <c r="J791" s="7">
        <f>tbl_Ventes[[#This Row],[CA ligne]] - tbl_Ventes[[#This Row],[Coût matière ligne]]</f>
        <v>0</v>
      </c>
      <c r="K791" s="7" t="str">
        <f>IFERROR(INDEX(tbl_ProduitsRef[Famille], MATCH(tbl_Ventes[[#This Row],[Cde_Prdt]], tbl_Produits[Cde_Prdt], 0)), "")</f>
        <v/>
      </c>
    </row>
    <row r="792" spans="1:11" x14ac:dyDescent="0.25">
      <c r="A792" s="5"/>
      <c r="B792" s="63" t="str">
        <f>IFERROR(TEXT(tbl_Ventes[[#This Row],[Date]],"mm-aaaa"),"")</f>
        <v>01-1900</v>
      </c>
      <c r="D792" s="10" t="str">
        <f>IFERROR(
   INDEX(tbl_ProduitsRef[Cde_Prdt],MATCH(tbl_Ventes[[#This Row],[Produit]],tbl_ProduitsRef[Produit],0)),
   ""
)</f>
        <v/>
      </c>
      <c r="E792" s="7">
        <v>0</v>
      </c>
      <c r="F792" s="7" t="str">
        <f>IFERROR(
   INDEX(tbl_ProduitsRef[Prix Menu],MATCH(tbl_Ventes[[#This Row],[Produit]],tbl_ProduitsRef[Produit],0)),
   ""
)</f>
        <v/>
      </c>
      <c r="G792" s="7">
        <f>tbl_Ventes[[#This Row],[Qté Vendue]] * IFERROR(_xlfn.XLOOKUP(tbl_Ventes[[#This Row],[Cde_Prdt]], tbl_Produits[Cde_Prdt], tbl_Produits[Prix Menu]), 0)</f>
        <v>0</v>
      </c>
      <c r="H792" s="7">
        <f>IFERROR(_xlfn.XLOOKUP(tbl_Ventes[[#This Row],[Cde_Prdt]], tbl_Produits[Cde_Prdt], tbl_Produits[Coût Moyen Portion]), 0)</f>
        <v>0</v>
      </c>
      <c r="I792" s="7">
        <f>tbl_Ventes[[#This Row],[Qté Vendue]] * tbl_Ventes[[#This Row],[CMP_par_portion]]</f>
        <v>0</v>
      </c>
      <c r="J792" s="7">
        <f>tbl_Ventes[[#This Row],[CA ligne]] - tbl_Ventes[[#This Row],[Coût matière ligne]]</f>
        <v>0</v>
      </c>
      <c r="K792" s="7" t="str">
        <f>IFERROR(INDEX(tbl_ProduitsRef[Famille], MATCH(tbl_Ventes[[#This Row],[Cde_Prdt]], tbl_Produits[Cde_Prdt], 0)), "")</f>
        <v/>
      </c>
    </row>
    <row r="793" spans="1:11" x14ac:dyDescent="0.25">
      <c r="A793" s="5"/>
      <c r="B793" s="63" t="str">
        <f>IFERROR(TEXT(tbl_Ventes[[#This Row],[Date]],"mm-aaaa"),"")</f>
        <v>01-1900</v>
      </c>
      <c r="D793" s="10" t="str">
        <f>IFERROR(
   INDEX(tbl_ProduitsRef[Cde_Prdt],MATCH(tbl_Ventes[[#This Row],[Produit]],tbl_ProduitsRef[Produit],0)),
   ""
)</f>
        <v/>
      </c>
      <c r="E793" s="7">
        <v>0</v>
      </c>
      <c r="F793" s="7" t="str">
        <f>IFERROR(
   INDEX(tbl_ProduitsRef[Prix Menu],MATCH(tbl_Ventes[[#This Row],[Produit]],tbl_ProduitsRef[Produit],0)),
   ""
)</f>
        <v/>
      </c>
      <c r="G793" s="7">
        <f>tbl_Ventes[[#This Row],[Qté Vendue]] * IFERROR(_xlfn.XLOOKUP(tbl_Ventes[[#This Row],[Cde_Prdt]], tbl_Produits[Cde_Prdt], tbl_Produits[Prix Menu]), 0)</f>
        <v>0</v>
      </c>
      <c r="H793" s="7">
        <f>IFERROR(_xlfn.XLOOKUP(tbl_Ventes[[#This Row],[Cde_Prdt]], tbl_Produits[Cde_Prdt], tbl_Produits[Coût Moyen Portion]), 0)</f>
        <v>0</v>
      </c>
      <c r="I793" s="7">
        <f>tbl_Ventes[[#This Row],[Qté Vendue]] * tbl_Ventes[[#This Row],[CMP_par_portion]]</f>
        <v>0</v>
      </c>
      <c r="J793" s="7">
        <f>tbl_Ventes[[#This Row],[CA ligne]] - tbl_Ventes[[#This Row],[Coût matière ligne]]</f>
        <v>0</v>
      </c>
      <c r="K793" s="7" t="str">
        <f>IFERROR(INDEX(tbl_ProduitsRef[Famille], MATCH(tbl_Ventes[[#This Row],[Cde_Prdt]], tbl_Produits[Cde_Prdt], 0)), "")</f>
        <v/>
      </c>
    </row>
    <row r="794" spans="1:11" x14ac:dyDescent="0.25">
      <c r="A794" s="5"/>
      <c r="B794" s="63" t="str">
        <f>IFERROR(TEXT(tbl_Ventes[[#This Row],[Date]],"mm-aaaa"),"")</f>
        <v>01-1900</v>
      </c>
      <c r="D794" s="10" t="str">
        <f>IFERROR(
   INDEX(tbl_ProduitsRef[Cde_Prdt],MATCH(tbl_Ventes[[#This Row],[Produit]],tbl_ProduitsRef[Produit],0)),
   ""
)</f>
        <v/>
      </c>
      <c r="E794" s="7">
        <v>0</v>
      </c>
      <c r="F794" s="7" t="str">
        <f>IFERROR(
   INDEX(tbl_ProduitsRef[Prix Menu],MATCH(tbl_Ventes[[#This Row],[Produit]],tbl_ProduitsRef[Produit],0)),
   ""
)</f>
        <v/>
      </c>
      <c r="G794" s="7">
        <f>tbl_Ventes[[#This Row],[Qté Vendue]] * IFERROR(_xlfn.XLOOKUP(tbl_Ventes[[#This Row],[Cde_Prdt]], tbl_Produits[Cde_Prdt], tbl_Produits[Prix Menu]), 0)</f>
        <v>0</v>
      </c>
      <c r="H794" s="7">
        <f>IFERROR(_xlfn.XLOOKUP(tbl_Ventes[[#This Row],[Cde_Prdt]], tbl_Produits[Cde_Prdt], tbl_Produits[Coût Moyen Portion]), 0)</f>
        <v>0</v>
      </c>
      <c r="I794" s="7">
        <f>tbl_Ventes[[#This Row],[Qté Vendue]] * tbl_Ventes[[#This Row],[CMP_par_portion]]</f>
        <v>0</v>
      </c>
      <c r="J794" s="7">
        <f>tbl_Ventes[[#This Row],[CA ligne]] - tbl_Ventes[[#This Row],[Coût matière ligne]]</f>
        <v>0</v>
      </c>
      <c r="K794" s="7" t="str">
        <f>IFERROR(INDEX(tbl_ProduitsRef[Famille], MATCH(tbl_Ventes[[#This Row],[Cde_Prdt]], tbl_Produits[Cde_Prdt], 0)), "")</f>
        <v/>
      </c>
    </row>
    <row r="795" spans="1:11" x14ac:dyDescent="0.25">
      <c r="A795" s="5"/>
      <c r="B795" s="63" t="str">
        <f>IFERROR(TEXT(tbl_Ventes[[#This Row],[Date]],"mm-aaaa"),"")</f>
        <v>01-1900</v>
      </c>
      <c r="D795" s="10" t="str">
        <f>IFERROR(
   INDEX(tbl_ProduitsRef[Cde_Prdt],MATCH(tbl_Ventes[[#This Row],[Produit]],tbl_ProduitsRef[Produit],0)),
   ""
)</f>
        <v/>
      </c>
      <c r="E795" s="7">
        <v>0</v>
      </c>
      <c r="F795" s="7" t="str">
        <f>IFERROR(
   INDEX(tbl_ProduitsRef[Prix Menu],MATCH(tbl_Ventes[[#This Row],[Produit]],tbl_ProduitsRef[Produit],0)),
   ""
)</f>
        <v/>
      </c>
      <c r="G795" s="7">
        <f>tbl_Ventes[[#This Row],[Qté Vendue]] * IFERROR(_xlfn.XLOOKUP(tbl_Ventes[[#This Row],[Cde_Prdt]], tbl_Produits[Cde_Prdt], tbl_Produits[Prix Menu]), 0)</f>
        <v>0</v>
      </c>
      <c r="H795" s="7">
        <f>IFERROR(_xlfn.XLOOKUP(tbl_Ventes[[#This Row],[Cde_Prdt]], tbl_Produits[Cde_Prdt], tbl_Produits[Coût Moyen Portion]), 0)</f>
        <v>0</v>
      </c>
      <c r="I795" s="7">
        <f>tbl_Ventes[[#This Row],[Qté Vendue]] * tbl_Ventes[[#This Row],[CMP_par_portion]]</f>
        <v>0</v>
      </c>
      <c r="J795" s="7">
        <f>tbl_Ventes[[#This Row],[CA ligne]] - tbl_Ventes[[#This Row],[Coût matière ligne]]</f>
        <v>0</v>
      </c>
      <c r="K795" s="7" t="str">
        <f>IFERROR(INDEX(tbl_ProduitsRef[Famille], MATCH(tbl_Ventes[[#This Row],[Cde_Prdt]], tbl_Produits[Cde_Prdt], 0)), "")</f>
        <v/>
      </c>
    </row>
    <row r="796" spans="1:11" x14ac:dyDescent="0.25">
      <c r="A796" s="5"/>
      <c r="B796" s="63" t="str">
        <f>IFERROR(TEXT(tbl_Ventes[[#This Row],[Date]],"mm-aaaa"),"")</f>
        <v>01-1900</v>
      </c>
      <c r="D796" s="10" t="str">
        <f>IFERROR(
   INDEX(tbl_ProduitsRef[Cde_Prdt],MATCH(tbl_Ventes[[#This Row],[Produit]],tbl_ProduitsRef[Produit],0)),
   ""
)</f>
        <v/>
      </c>
      <c r="E796" s="7">
        <v>0</v>
      </c>
      <c r="F796" s="7" t="str">
        <f>IFERROR(
   INDEX(tbl_ProduitsRef[Prix Menu],MATCH(tbl_Ventes[[#This Row],[Produit]],tbl_ProduitsRef[Produit],0)),
   ""
)</f>
        <v/>
      </c>
      <c r="G796" s="7">
        <f>tbl_Ventes[[#This Row],[Qté Vendue]] * IFERROR(_xlfn.XLOOKUP(tbl_Ventes[[#This Row],[Cde_Prdt]], tbl_Produits[Cde_Prdt], tbl_Produits[Prix Menu]), 0)</f>
        <v>0</v>
      </c>
      <c r="H796" s="7">
        <f>IFERROR(_xlfn.XLOOKUP(tbl_Ventes[[#This Row],[Cde_Prdt]], tbl_Produits[Cde_Prdt], tbl_Produits[Coût Moyen Portion]), 0)</f>
        <v>0</v>
      </c>
      <c r="I796" s="7">
        <f>tbl_Ventes[[#This Row],[Qté Vendue]] * tbl_Ventes[[#This Row],[CMP_par_portion]]</f>
        <v>0</v>
      </c>
      <c r="J796" s="7">
        <f>tbl_Ventes[[#This Row],[CA ligne]] - tbl_Ventes[[#This Row],[Coût matière ligne]]</f>
        <v>0</v>
      </c>
      <c r="K796" s="7" t="str">
        <f>IFERROR(INDEX(tbl_ProduitsRef[Famille], MATCH(tbl_Ventes[[#This Row],[Cde_Prdt]], tbl_Produits[Cde_Prdt], 0)), "")</f>
        <v/>
      </c>
    </row>
    <row r="797" spans="1:11" x14ac:dyDescent="0.25">
      <c r="A797" s="5"/>
      <c r="B797" s="63" t="str">
        <f>IFERROR(TEXT(tbl_Ventes[[#This Row],[Date]],"mm-aaaa"),"")</f>
        <v>01-1900</v>
      </c>
      <c r="D797" s="10" t="str">
        <f>IFERROR(
   INDEX(tbl_ProduitsRef[Cde_Prdt],MATCH(tbl_Ventes[[#This Row],[Produit]],tbl_ProduitsRef[Produit],0)),
   ""
)</f>
        <v/>
      </c>
      <c r="E797" s="7">
        <v>0</v>
      </c>
      <c r="F797" s="7" t="str">
        <f>IFERROR(
   INDEX(tbl_ProduitsRef[Prix Menu],MATCH(tbl_Ventes[[#This Row],[Produit]],tbl_ProduitsRef[Produit],0)),
   ""
)</f>
        <v/>
      </c>
      <c r="G797" s="7">
        <f>tbl_Ventes[[#This Row],[Qté Vendue]] * IFERROR(_xlfn.XLOOKUP(tbl_Ventes[[#This Row],[Cde_Prdt]], tbl_Produits[Cde_Prdt], tbl_Produits[Prix Menu]), 0)</f>
        <v>0</v>
      </c>
      <c r="H797" s="7">
        <f>IFERROR(_xlfn.XLOOKUP(tbl_Ventes[[#This Row],[Cde_Prdt]], tbl_Produits[Cde_Prdt], tbl_Produits[Coût Moyen Portion]), 0)</f>
        <v>0</v>
      </c>
      <c r="I797" s="7">
        <f>tbl_Ventes[[#This Row],[Qté Vendue]] * tbl_Ventes[[#This Row],[CMP_par_portion]]</f>
        <v>0</v>
      </c>
      <c r="J797" s="7">
        <f>tbl_Ventes[[#This Row],[CA ligne]] - tbl_Ventes[[#This Row],[Coût matière ligne]]</f>
        <v>0</v>
      </c>
      <c r="K797" s="7" t="str">
        <f>IFERROR(INDEX(tbl_ProduitsRef[Famille], MATCH(tbl_Ventes[[#This Row],[Cde_Prdt]], tbl_Produits[Cde_Prdt], 0)), "")</f>
        <v/>
      </c>
    </row>
    <row r="798" spans="1:11" x14ac:dyDescent="0.25">
      <c r="A798" s="5"/>
      <c r="B798" s="63" t="str">
        <f>IFERROR(TEXT(tbl_Ventes[[#This Row],[Date]],"mm-aaaa"),"")</f>
        <v>01-1900</v>
      </c>
      <c r="D798" s="10" t="str">
        <f>IFERROR(
   INDEX(tbl_ProduitsRef[Cde_Prdt],MATCH(tbl_Ventes[[#This Row],[Produit]],tbl_ProduitsRef[Produit],0)),
   ""
)</f>
        <v/>
      </c>
      <c r="E798" s="7">
        <v>0</v>
      </c>
      <c r="F798" s="7" t="str">
        <f>IFERROR(
   INDEX(tbl_ProduitsRef[Prix Menu],MATCH(tbl_Ventes[[#This Row],[Produit]],tbl_ProduitsRef[Produit],0)),
   ""
)</f>
        <v/>
      </c>
      <c r="G798" s="7">
        <f>tbl_Ventes[[#This Row],[Qté Vendue]] * IFERROR(_xlfn.XLOOKUP(tbl_Ventes[[#This Row],[Cde_Prdt]], tbl_Produits[Cde_Prdt], tbl_Produits[Prix Menu]), 0)</f>
        <v>0</v>
      </c>
      <c r="H798" s="7">
        <f>IFERROR(_xlfn.XLOOKUP(tbl_Ventes[[#This Row],[Cde_Prdt]], tbl_Produits[Cde_Prdt], tbl_Produits[Coût Moyen Portion]), 0)</f>
        <v>0</v>
      </c>
      <c r="I798" s="7">
        <f>tbl_Ventes[[#This Row],[Qté Vendue]] * tbl_Ventes[[#This Row],[CMP_par_portion]]</f>
        <v>0</v>
      </c>
      <c r="J798" s="7">
        <f>tbl_Ventes[[#This Row],[CA ligne]] - tbl_Ventes[[#This Row],[Coût matière ligne]]</f>
        <v>0</v>
      </c>
      <c r="K798" s="7" t="str">
        <f>IFERROR(INDEX(tbl_ProduitsRef[Famille], MATCH(tbl_Ventes[[#This Row],[Cde_Prdt]], tbl_Produits[Cde_Prdt], 0)), "")</f>
        <v/>
      </c>
    </row>
    <row r="799" spans="1:11" x14ac:dyDescent="0.25">
      <c r="A799" s="5"/>
      <c r="B799" s="63" t="str">
        <f>IFERROR(TEXT(tbl_Ventes[[#This Row],[Date]],"mm-aaaa"),"")</f>
        <v>01-1900</v>
      </c>
      <c r="D799" s="10" t="str">
        <f>IFERROR(
   INDEX(tbl_ProduitsRef[Cde_Prdt],MATCH(tbl_Ventes[[#This Row],[Produit]],tbl_ProduitsRef[Produit],0)),
   ""
)</f>
        <v/>
      </c>
      <c r="E799" s="7">
        <v>0</v>
      </c>
      <c r="F799" s="7" t="str">
        <f>IFERROR(
   INDEX(tbl_ProduitsRef[Prix Menu],MATCH(tbl_Ventes[[#This Row],[Produit]],tbl_ProduitsRef[Produit],0)),
   ""
)</f>
        <v/>
      </c>
      <c r="G799" s="7">
        <f>tbl_Ventes[[#This Row],[Qté Vendue]] * IFERROR(_xlfn.XLOOKUP(tbl_Ventes[[#This Row],[Cde_Prdt]], tbl_Produits[Cde_Prdt], tbl_Produits[Prix Menu]), 0)</f>
        <v>0</v>
      </c>
      <c r="H799" s="7">
        <f>IFERROR(_xlfn.XLOOKUP(tbl_Ventes[[#This Row],[Cde_Prdt]], tbl_Produits[Cde_Prdt], tbl_Produits[Coût Moyen Portion]), 0)</f>
        <v>0</v>
      </c>
      <c r="I799" s="7">
        <f>tbl_Ventes[[#This Row],[Qté Vendue]] * tbl_Ventes[[#This Row],[CMP_par_portion]]</f>
        <v>0</v>
      </c>
      <c r="J799" s="7">
        <f>tbl_Ventes[[#This Row],[CA ligne]] - tbl_Ventes[[#This Row],[Coût matière ligne]]</f>
        <v>0</v>
      </c>
      <c r="K799" s="7" t="str">
        <f>IFERROR(INDEX(tbl_ProduitsRef[Famille], MATCH(tbl_Ventes[[#This Row],[Cde_Prdt]], tbl_Produits[Cde_Prdt], 0)), "")</f>
        <v/>
      </c>
    </row>
    <row r="800" spans="1:11" x14ac:dyDescent="0.25">
      <c r="A800" s="5"/>
      <c r="B800" s="63" t="str">
        <f>IFERROR(TEXT(tbl_Ventes[[#This Row],[Date]],"mm-aaaa"),"")</f>
        <v>01-1900</v>
      </c>
      <c r="D800" s="10" t="str">
        <f>IFERROR(
   INDEX(tbl_ProduitsRef[Cde_Prdt],MATCH(tbl_Ventes[[#This Row],[Produit]],tbl_ProduitsRef[Produit],0)),
   ""
)</f>
        <v/>
      </c>
      <c r="E800" s="7">
        <v>0</v>
      </c>
      <c r="F800" s="7" t="str">
        <f>IFERROR(
   INDEX(tbl_ProduitsRef[Prix Menu],MATCH(tbl_Ventes[[#This Row],[Produit]],tbl_ProduitsRef[Produit],0)),
   ""
)</f>
        <v/>
      </c>
      <c r="G800" s="7">
        <f>tbl_Ventes[[#This Row],[Qté Vendue]] * IFERROR(_xlfn.XLOOKUP(tbl_Ventes[[#This Row],[Cde_Prdt]], tbl_Produits[Cde_Prdt], tbl_Produits[Prix Menu]), 0)</f>
        <v>0</v>
      </c>
      <c r="H800" s="7">
        <f>IFERROR(_xlfn.XLOOKUP(tbl_Ventes[[#This Row],[Cde_Prdt]], tbl_Produits[Cde_Prdt], tbl_Produits[Coût Moyen Portion]), 0)</f>
        <v>0</v>
      </c>
      <c r="I800" s="7">
        <f>tbl_Ventes[[#This Row],[Qté Vendue]] * tbl_Ventes[[#This Row],[CMP_par_portion]]</f>
        <v>0</v>
      </c>
      <c r="J800" s="7">
        <f>tbl_Ventes[[#This Row],[CA ligne]] - tbl_Ventes[[#This Row],[Coût matière ligne]]</f>
        <v>0</v>
      </c>
      <c r="K800" s="7" t="str">
        <f>IFERROR(INDEX(tbl_ProduitsRef[Famille], MATCH(tbl_Ventes[[#This Row],[Cde_Prdt]], tbl_Produits[Cde_Prdt], 0)), "")</f>
        <v/>
      </c>
    </row>
    <row r="801" spans="1:11" x14ac:dyDescent="0.25">
      <c r="A801" s="5"/>
      <c r="B801" s="63" t="str">
        <f>IFERROR(TEXT(tbl_Ventes[[#This Row],[Date]],"mm-aaaa"),"")</f>
        <v>01-1900</v>
      </c>
      <c r="D801" s="10" t="str">
        <f>IFERROR(
   INDEX(tbl_ProduitsRef[Cde_Prdt],MATCH(tbl_Ventes[[#This Row],[Produit]],tbl_ProduitsRef[Produit],0)),
   ""
)</f>
        <v/>
      </c>
      <c r="E801" s="7">
        <v>0</v>
      </c>
      <c r="F801" s="7" t="str">
        <f>IFERROR(
   INDEX(tbl_ProduitsRef[Prix Menu],MATCH(tbl_Ventes[[#This Row],[Produit]],tbl_ProduitsRef[Produit],0)),
   ""
)</f>
        <v/>
      </c>
      <c r="G801" s="7">
        <f>tbl_Ventes[[#This Row],[Qté Vendue]] * IFERROR(_xlfn.XLOOKUP(tbl_Ventes[[#This Row],[Cde_Prdt]], tbl_Produits[Cde_Prdt], tbl_Produits[Prix Menu]), 0)</f>
        <v>0</v>
      </c>
      <c r="H801" s="7">
        <f>IFERROR(_xlfn.XLOOKUP(tbl_Ventes[[#This Row],[Cde_Prdt]], tbl_Produits[Cde_Prdt], tbl_Produits[Coût Moyen Portion]), 0)</f>
        <v>0</v>
      </c>
      <c r="I801" s="7">
        <f>tbl_Ventes[[#This Row],[Qté Vendue]] * tbl_Ventes[[#This Row],[CMP_par_portion]]</f>
        <v>0</v>
      </c>
      <c r="J801" s="7">
        <f>tbl_Ventes[[#This Row],[CA ligne]] - tbl_Ventes[[#This Row],[Coût matière ligne]]</f>
        <v>0</v>
      </c>
      <c r="K801" s="7" t="str">
        <f>IFERROR(INDEX(tbl_ProduitsRef[Famille], MATCH(tbl_Ventes[[#This Row],[Cde_Prdt]], tbl_Produits[Cde_Prdt], 0)), "")</f>
        <v/>
      </c>
    </row>
    <row r="802" spans="1:11" x14ac:dyDescent="0.25">
      <c r="A802" s="5"/>
      <c r="B802" s="63" t="str">
        <f>IFERROR(TEXT(tbl_Ventes[[#This Row],[Date]],"mm-aaaa"),"")</f>
        <v>01-1900</v>
      </c>
      <c r="D802" s="10" t="str">
        <f>IFERROR(
   INDEX(tbl_ProduitsRef[Cde_Prdt],MATCH(tbl_Ventes[[#This Row],[Produit]],tbl_ProduitsRef[Produit],0)),
   ""
)</f>
        <v/>
      </c>
      <c r="E802" s="7">
        <v>0</v>
      </c>
      <c r="F802" s="7" t="str">
        <f>IFERROR(
   INDEX(tbl_ProduitsRef[Prix Menu],MATCH(tbl_Ventes[[#This Row],[Produit]],tbl_ProduitsRef[Produit],0)),
   ""
)</f>
        <v/>
      </c>
      <c r="G802" s="7">
        <f>tbl_Ventes[[#This Row],[Qté Vendue]] * IFERROR(_xlfn.XLOOKUP(tbl_Ventes[[#This Row],[Cde_Prdt]], tbl_Produits[Cde_Prdt], tbl_Produits[Prix Menu]), 0)</f>
        <v>0</v>
      </c>
      <c r="H802" s="7">
        <f>IFERROR(_xlfn.XLOOKUP(tbl_Ventes[[#This Row],[Cde_Prdt]], tbl_Produits[Cde_Prdt], tbl_Produits[Coût Moyen Portion]), 0)</f>
        <v>0</v>
      </c>
      <c r="I802" s="7">
        <f>tbl_Ventes[[#This Row],[Qté Vendue]] * tbl_Ventes[[#This Row],[CMP_par_portion]]</f>
        <v>0</v>
      </c>
      <c r="J802" s="7">
        <f>tbl_Ventes[[#This Row],[CA ligne]] - tbl_Ventes[[#This Row],[Coût matière ligne]]</f>
        <v>0</v>
      </c>
      <c r="K802" s="7" t="str">
        <f>IFERROR(INDEX(tbl_ProduitsRef[Famille], MATCH(tbl_Ventes[[#This Row],[Cde_Prdt]], tbl_Produits[Cde_Prdt], 0)), "")</f>
        <v/>
      </c>
    </row>
    <row r="803" spans="1:11" x14ac:dyDescent="0.25">
      <c r="A803" s="5"/>
      <c r="B803" s="63" t="str">
        <f>IFERROR(TEXT(tbl_Ventes[[#This Row],[Date]],"mm-aaaa"),"")</f>
        <v>01-1900</v>
      </c>
      <c r="D803" s="10" t="str">
        <f>IFERROR(
   INDEX(tbl_ProduitsRef[Cde_Prdt],MATCH(tbl_Ventes[[#This Row],[Produit]],tbl_ProduitsRef[Produit],0)),
   ""
)</f>
        <v/>
      </c>
      <c r="E803" s="7">
        <v>0</v>
      </c>
      <c r="F803" s="7" t="str">
        <f>IFERROR(
   INDEX(tbl_ProduitsRef[Prix Menu],MATCH(tbl_Ventes[[#This Row],[Produit]],tbl_ProduitsRef[Produit],0)),
   ""
)</f>
        <v/>
      </c>
      <c r="G803" s="7">
        <f>tbl_Ventes[[#This Row],[Qté Vendue]] * IFERROR(_xlfn.XLOOKUP(tbl_Ventes[[#This Row],[Cde_Prdt]], tbl_Produits[Cde_Prdt], tbl_Produits[Prix Menu]), 0)</f>
        <v>0</v>
      </c>
      <c r="H803" s="7">
        <f>IFERROR(_xlfn.XLOOKUP(tbl_Ventes[[#This Row],[Cde_Prdt]], tbl_Produits[Cde_Prdt], tbl_Produits[Coût Moyen Portion]), 0)</f>
        <v>0</v>
      </c>
      <c r="I803" s="7">
        <f>tbl_Ventes[[#This Row],[Qté Vendue]] * tbl_Ventes[[#This Row],[CMP_par_portion]]</f>
        <v>0</v>
      </c>
      <c r="J803" s="7">
        <f>tbl_Ventes[[#This Row],[CA ligne]] - tbl_Ventes[[#This Row],[Coût matière ligne]]</f>
        <v>0</v>
      </c>
      <c r="K803" s="7" t="str">
        <f>IFERROR(INDEX(tbl_ProduitsRef[Famille], MATCH(tbl_Ventes[[#This Row],[Cde_Prdt]], tbl_Produits[Cde_Prdt], 0)), "")</f>
        <v/>
      </c>
    </row>
    <row r="804" spans="1:11" x14ac:dyDescent="0.25">
      <c r="A804" s="5"/>
      <c r="B804" s="63" t="str">
        <f>IFERROR(TEXT(tbl_Ventes[[#This Row],[Date]],"mm-aaaa"),"")</f>
        <v>01-1900</v>
      </c>
      <c r="D804" s="10" t="str">
        <f>IFERROR(
   INDEX(tbl_ProduitsRef[Cde_Prdt],MATCH(tbl_Ventes[[#This Row],[Produit]],tbl_ProduitsRef[Produit],0)),
   ""
)</f>
        <v/>
      </c>
      <c r="E804" s="7">
        <v>0</v>
      </c>
      <c r="F804" s="7" t="str">
        <f>IFERROR(
   INDEX(tbl_ProduitsRef[Prix Menu],MATCH(tbl_Ventes[[#This Row],[Produit]],tbl_ProduitsRef[Produit],0)),
   ""
)</f>
        <v/>
      </c>
      <c r="G804" s="7">
        <f>tbl_Ventes[[#This Row],[Qté Vendue]] * IFERROR(_xlfn.XLOOKUP(tbl_Ventes[[#This Row],[Cde_Prdt]], tbl_Produits[Cde_Prdt], tbl_Produits[Prix Menu]), 0)</f>
        <v>0</v>
      </c>
      <c r="H804" s="7">
        <f>IFERROR(_xlfn.XLOOKUP(tbl_Ventes[[#This Row],[Cde_Prdt]], tbl_Produits[Cde_Prdt], tbl_Produits[Coût Moyen Portion]), 0)</f>
        <v>0</v>
      </c>
      <c r="I804" s="7">
        <f>tbl_Ventes[[#This Row],[Qté Vendue]] * tbl_Ventes[[#This Row],[CMP_par_portion]]</f>
        <v>0</v>
      </c>
      <c r="J804" s="7">
        <f>tbl_Ventes[[#This Row],[CA ligne]] - tbl_Ventes[[#This Row],[Coût matière ligne]]</f>
        <v>0</v>
      </c>
      <c r="K804" s="7" t="str">
        <f>IFERROR(INDEX(tbl_ProduitsRef[Famille], MATCH(tbl_Ventes[[#This Row],[Cde_Prdt]], tbl_Produits[Cde_Prdt], 0)), "")</f>
        <v/>
      </c>
    </row>
    <row r="805" spans="1:11" x14ac:dyDescent="0.25">
      <c r="A805" s="5"/>
      <c r="B805" s="63" t="str">
        <f>IFERROR(TEXT(tbl_Ventes[[#This Row],[Date]],"mm-aaaa"),"")</f>
        <v>01-1900</v>
      </c>
      <c r="D805" s="10" t="str">
        <f>IFERROR(
   INDEX(tbl_ProduitsRef[Cde_Prdt],MATCH(tbl_Ventes[[#This Row],[Produit]],tbl_ProduitsRef[Produit],0)),
   ""
)</f>
        <v/>
      </c>
      <c r="E805" s="7">
        <v>0</v>
      </c>
      <c r="F805" s="7" t="str">
        <f>IFERROR(
   INDEX(tbl_ProduitsRef[Prix Menu],MATCH(tbl_Ventes[[#This Row],[Produit]],tbl_ProduitsRef[Produit],0)),
   ""
)</f>
        <v/>
      </c>
      <c r="G805" s="7">
        <f>tbl_Ventes[[#This Row],[Qté Vendue]] * IFERROR(_xlfn.XLOOKUP(tbl_Ventes[[#This Row],[Cde_Prdt]], tbl_Produits[Cde_Prdt], tbl_Produits[Prix Menu]), 0)</f>
        <v>0</v>
      </c>
      <c r="H805" s="7">
        <f>IFERROR(_xlfn.XLOOKUP(tbl_Ventes[[#This Row],[Cde_Prdt]], tbl_Produits[Cde_Prdt], tbl_Produits[Coût Moyen Portion]), 0)</f>
        <v>0</v>
      </c>
      <c r="I805" s="7">
        <f>tbl_Ventes[[#This Row],[Qté Vendue]] * tbl_Ventes[[#This Row],[CMP_par_portion]]</f>
        <v>0</v>
      </c>
      <c r="J805" s="7">
        <f>tbl_Ventes[[#This Row],[CA ligne]] - tbl_Ventes[[#This Row],[Coût matière ligne]]</f>
        <v>0</v>
      </c>
      <c r="K805" s="7" t="str">
        <f>IFERROR(INDEX(tbl_ProduitsRef[Famille], MATCH(tbl_Ventes[[#This Row],[Cde_Prdt]], tbl_Produits[Cde_Prdt], 0)), "")</f>
        <v/>
      </c>
    </row>
    <row r="806" spans="1:11" x14ac:dyDescent="0.25">
      <c r="A806" s="5"/>
      <c r="B806" s="63" t="str">
        <f>IFERROR(TEXT(tbl_Ventes[[#This Row],[Date]],"mm-aaaa"),"")</f>
        <v>01-1900</v>
      </c>
      <c r="D806" s="10" t="str">
        <f>IFERROR(
   INDEX(tbl_ProduitsRef[Cde_Prdt],MATCH(tbl_Ventes[[#This Row],[Produit]],tbl_ProduitsRef[Produit],0)),
   ""
)</f>
        <v/>
      </c>
      <c r="E806" s="7">
        <v>0</v>
      </c>
      <c r="F806" s="7" t="str">
        <f>IFERROR(
   INDEX(tbl_ProduitsRef[Prix Menu],MATCH(tbl_Ventes[[#This Row],[Produit]],tbl_ProduitsRef[Produit],0)),
   ""
)</f>
        <v/>
      </c>
      <c r="G806" s="7">
        <f>tbl_Ventes[[#This Row],[Qté Vendue]] * IFERROR(_xlfn.XLOOKUP(tbl_Ventes[[#This Row],[Cde_Prdt]], tbl_Produits[Cde_Prdt], tbl_Produits[Prix Menu]), 0)</f>
        <v>0</v>
      </c>
      <c r="H806" s="7">
        <f>IFERROR(_xlfn.XLOOKUP(tbl_Ventes[[#This Row],[Cde_Prdt]], tbl_Produits[Cde_Prdt], tbl_Produits[Coût Moyen Portion]), 0)</f>
        <v>0</v>
      </c>
      <c r="I806" s="7">
        <f>tbl_Ventes[[#This Row],[Qté Vendue]] * tbl_Ventes[[#This Row],[CMP_par_portion]]</f>
        <v>0</v>
      </c>
      <c r="J806" s="7">
        <f>tbl_Ventes[[#This Row],[CA ligne]] - tbl_Ventes[[#This Row],[Coût matière ligne]]</f>
        <v>0</v>
      </c>
      <c r="K806" s="7" t="str">
        <f>IFERROR(INDEX(tbl_ProduitsRef[Famille], MATCH(tbl_Ventes[[#This Row],[Cde_Prdt]], tbl_Produits[Cde_Prdt], 0)), "")</f>
        <v/>
      </c>
    </row>
    <row r="807" spans="1:11" x14ac:dyDescent="0.25">
      <c r="A807" s="5"/>
      <c r="B807" s="63" t="str">
        <f>IFERROR(TEXT(tbl_Ventes[[#This Row],[Date]],"mm-aaaa"),"")</f>
        <v>01-1900</v>
      </c>
      <c r="D807" s="10" t="str">
        <f>IFERROR(
   INDEX(tbl_ProduitsRef[Cde_Prdt],MATCH(tbl_Ventes[[#This Row],[Produit]],tbl_ProduitsRef[Produit],0)),
   ""
)</f>
        <v/>
      </c>
      <c r="E807" s="7">
        <v>0</v>
      </c>
      <c r="F807" s="7" t="str">
        <f>IFERROR(
   INDEX(tbl_ProduitsRef[Prix Menu],MATCH(tbl_Ventes[[#This Row],[Produit]],tbl_ProduitsRef[Produit],0)),
   ""
)</f>
        <v/>
      </c>
      <c r="G807" s="7">
        <f>tbl_Ventes[[#This Row],[Qté Vendue]] * IFERROR(_xlfn.XLOOKUP(tbl_Ventes[[#This Row],[Cde_Prdt]], tbl_Produits[Cde_Prdt], tbl_Produits[Prix Menu]), 0)</f>
        <v>0</v>
      </c>
      <c r="H807" s="7">
        <f>IFERROR(_xlfn.XLOOKUP(tbl_Ventes[[#This Row],[Cde_Prdt]], tbl_Produits[Cde_Prdt], tbl_Produits[Coût Moyen Portion]), 0)</f>
        <v>0</v>
      </c>
      <c r="I807" s="7">
        <f>tbl_Ventes[[#This Row],[Qté Vendue]] * tbl_Ventes[[#This Row],[CMP_par_portion]]</f>
        <v>0</v>
      </c>
      <c r="J807" s="7">
        <f>tbl_Ventes[[#This Row],[CA ligne]] - tbl_Ventes[[#This Row],[Coût matière ligne]]</f>
        <v>0</v>
      </c>
      <c r="K807" s="7" t="str">
        <f>IFERROR(INDEX(tbl_ProduitsRef[Famille], MATCH(tbl_Ventes[[#This Row],[Cde_Prdt]], tbl_Produits[Cde_Prdt], 0)), "")</f>
        <v/>
      </c>
    </row>
    <row r="808" spans="1:11" x14ac:dyDescent="0.25">
      <c r="A808" s="5"/>
      <c r="B808" s="63" t="str">
        <f>IFERROR(TEXT(tbl_Ventes[[#This Row],[Date]],"mm-aaaa"),"")</f>
        <v>01-1900</v>
      </c>
      <c r="D808" s="10" t="str">
        <f>IFERROR(
   INDEX(tbl_ProduitsRef[Cde_Prdt],MATCH(tbl_Ventes[[#This Row],[Produit]],tbl_ProduitsRef[Produit],0)),
   ""
)</f>
        <v/>
      </c>
      <c r="E808" s="7">
        <v>0</v>
      </c>
      <c r="F808" s="7" t="str">
        <f>IFERROR(
   INDEX(tbl_ProduitsRef[Prix Menu],MATCH(tbl_Ventes[[#This Row],[Produit]],tbl_ProduitsRef[Produit],0)),
   ""
)</f>
        <v/>
      </c>
      <c r="G808" s="7">
        <f>tbl_Ventes[[#This Row],[Qté Vendue]] * IFERROR(_xlfn.XLOOKUP(tbl_Ventes[[#This Row],[Cde_Prdt]], tbl_Produits[Cde_Prdt], tbl_Produits[Prix Menu]), 0)</f>
        <v>0</v>
      </c>
      <c r="H808" s="7">
        <f>IFERROR(_xlfn.XLOOKUP(tbl_Ventes[[#This Row],[Cde_Prdt]], tbl_Produits[Cde_Prdt], tbl_Produits[Coût Moyen Portion]), 0)</f>
        <v>0</v>
      </c>
      <c r="I808" s="7">
        <f>tbl_Ventes[[#This Row],[Qté Vendue]] * tbl_Ventes[[#This Row],[CMP_par_portion]]</f>
        <v>0</v>
      </c>
      <c r="J808" s="7">
        <f>tbl_Ventes[[#This Row],[CA ligne]] - tbl_Ventes[[#This Row],[Coût matière ligne]]</f>
        <v>0</v>
      </c>
      <c r="K808" s="7" t="str">
        <f>IFERROR(INDEX(tbl_ProduitsRef[Famille], MATCH(tbl_Ventes[[#This Row],[Cde_Prdt]], tbl_Produits[Cde_Prdt], 0)), "")</f>
        <v/>
      </c>
    </row>
    <row r="809" spans="1:11" x14ac:dyDescent="0.25">
      <c r="A809" s="5"/>
      <c r="B809" s="63" t="str">
        <f>IFERROR(TEXT(tbl_Ventes[[#This Row],[Date]],"mm-aaaa"),"")</f>
        <v>01-1900</v>
      </c>
      <c r="D809" s="10" t="str">
        <f>IFERROR(
   INDEX(tbl_ProduitsRef[Cde_Prdt],MATCH(tbl_Ventes[[#This Row],[Produit]],tbl_ProduitsRef[Produit],0)),
   ""
)</f>
        <v/>
      </c>
      <c r="E809" s="7">
        <v>0</v>
      </c>
      <c r="F809" s="7" t="str">
        <f>IFERROR(
   INDEX(tbl_ProduitsRef[Prix Menu],MATCH(tbl_Ventes[[#This Row],[Produit]],tbl_ProduitsRef[Produit],0)),
   ""
)</f>
        <v/>
      </c>
      <c r="G809" s="7">
        <f>tbl_Ventes[[#This Row],[Qté Vendue]] * IFERROR(_xlfn.XLOOKUP(tbl_Ventes[[#This Row],[Cde_Prdt]], tbl_Produits[Cde_Prdt], tbl_Produits[Prix Menu]), 0)</f>
        <v>0</v>
      </c>
      <c r="H809" s="7">
        <f>IFERROR(_xlfn.XLOOKUP(tbl_Ventes[[#This Row],[Cde_Prdt]], tbl_Produits[Cde_Prdt], tbl_Produits[Coût Moyen Portion]), 0)</f>
        <v>0</v>
      </c>
      <c r="I809" s="7">
        <f>tbl_Ventes[[#This Row],[Qté Vendue]] * tbl_Ventes[[#This Row],[CMP_par_portion]]</f>
        <v>0</v>
      </c>
      <c r="J809" s="7">
        <f>tbl_Ventes[[#This Row],[CA ligne]] - tbl_Ventes[[#This Row],[Coût matière ligne]]</f>
        <v>0</v>
      </c>
      <c r="K809" s="7" t="str">
        <f>IFERROR(INDEX(tbl_ProduitsRef[Famille], MATCH(tbl_Ventes[[#This Row],[Cde_Prdt]], tbl_Produits[Cde_Prdt], 0)), "")</f>
        <v/>
      </c>
    </row>
    <row r="810" spans="1:11" x14ac:dyDescent="0.25">
      <c r="A810" s="5"/>
      <c r="B810" s="63" t="str">
        <f>IFERROR(TEXT(tbl_Ventes[[#This Row],[Date]],"mm-aaaa"),"")</f>
        <v>01-1900</v>
      </c>
      <c r="D810" s="10" t="str">
        <f>IFERROR(
   INDEX(tbl_ProduitsRef[Cde_Prdt],MATCH(tbl_Ventes[[#This Row],[Produit]],tbl_ProduitsRef[Produit],0)),
   ""
)</f>
        <v/>
      </c>
      <c r="E810" s="7">
        <v>0</v>
      </c>
      <c r="F810" s="7" t="str">
        <f>IFERROR(
   INDEX(tbl_ProduitsRef[Prix Menu],MATCH(tbl_Ventes[[#This Row],[Produit]],tbl_ProduitsRef[Produit],0)),
   ""
)</f>
        <v/>
      </c>
      <c r="G810" s="7">
        <f>tbl_Ventes[[#This Row],[Qté Vendue]] * IFERROR(_xlfn.XLOOKUP(tbl_Ventes[[#This Row],[Cde_Prdt]], tbl_Produits[Cde_Prdt], tbl_Produits[Prix Menu]), 0)</f>
        <v>0</v>
      </c>
      <c r="H810" s="7">
        <f>IFERROR(_xlfn.XLOOKUP(tbl_Ventes[[#This Row],[Cde_Prdt]], tbl_Produits[Cde_Prdt], tbl_Produits[Coût Moyen Portion]), 0)</f>
        <v>0</v>
      </c>
      <c r="I810" s="7">
        <f>tbl_Ventes[[#This Row],[Qté Vendue]] * tbl_Ventes[[#This Row],[CMP_par_portion]]</f>
        <v>0</v>
      </c>
      <c r="J810" s="7">
        <f>tbl_Ventes[[#This Row],[CA ligne]] - tbl_Ventes[[#This Row],[Coût matière ligne]]</f>
        <v>0</v>
      </c>
      <c r="K810" s="7" t="str">
        <f>IFERROR(INDEX(tbl_ProduitsRef[Famille], MATCH(tbl_Ventes[[#This Row],[Cde_Prdt]], tbl_Produits[Cde_Prdt], 0)), "")</f>
        <v/>
      </c>
    </row>
    <row r="811" spans="1:11" x14ac:dyDescent="0.25">
      <c r="A811" s="5"/>
      <c r="B811" s="63" t="str">
        <f>IFERROR(TEXT(tbl_Ventes[[#This Row],[Date]],"mm-aaaa"),"")</f>
        <v>01-1900</v>
      </c>
      <c r="D811" s="10" t="str">
        <f>IFERROR(
   INDEX(tbl_ProduitsRef[Cde_Prdt],MATCH(tbl_Ventes[[#This Row],[Produit]],tbl_ProduitsRef[Produit],0)),
   ""
)</f>
        <v/>
      </c>
      <c r="E811" s="7">
        <v>0</v>
      </c>
      <c r="F811" s="7" t="str">
        <f>IFERROR(
   INDEX(tbl_ProduitsRef[Prix Menu],MATCH(tbl_Ventes[[#This Row],[Produit]],tbl_ProduitsRef[Produit],0)),
   ""
)</f>
        <v/>
      </c>
      <c r="G811" s="7">
        <f>tbl_Ventes[[#This Row],[Qté Vendue]] * IFERROR(_xlfn.XLOOKUP(tbl_Ventes[[#This Row],[Cde_Prdt]], tbl_Produits[Cde_Prdt], tbl_Produits[Prix Menu]), 0)</f>
        <v>0</v>
      </c>
      <c r="H811" s="7">
        <f>IFERROR(_xlfn.XLOOKUP(tbl_Ventes[[#This Row],[Cde_Prdt]], tbl_Produits[Cde_Prdt], tbl_Produits[Coût Moyen Portion]), 0)</f>
        <v>0</v>
      </c>
      <c r="I811" s="7">
        <f>tbl_Ventes[[#This Row],[Qté Vendue]] * tbl_Ventes[[#This Row],[CMP_par_portion]]</f>
        <v>0</v>
      </c>
      <c r="J811" s="7">
        <f>tbl_Ventes[[#This Row],[CA ligne]] - tbl_Ventes[[#This Row],[Coût matière ligne]]</f>
        <v>0</v>
      </c>
      <c r="K811" s="7" t="str">
        <f>IFERROR(INDEX(tbl_ProduitsRef[Famille], MATCH(tbl_Ventes[[#This Row],[Cde_Prdt]], tbl_Produits[Cde_Prdt], 0)), "")</f>
        <v/>
      </c>
    </row>
    <row r="812" spans="1:11" x14ac:dyDescent="0.25">
      <c r="A812" s="5"/>
      <c r="B812" s="63" t="str">
        <f>IFERROR(TEXT(tbl_Ventes[[#This Row],[Date]],"mm-aaaa"),"")</f>
        <v>01-1900</v>
      </c>
      <c r="D812" s="10" t="str">
        <f>IFERROR(
   INDEX(tbl_ProduitsRef[Cde_Prdt],MATCH(tbl_Ventes[[#This Row],[Produit]],tbl_ProduitsRef[Produit],0)),
   ""
)</f>
        <v/>
      </c>
      <c r="E812" s="7">
        <v>0</v>
      </c>
      <c r="F812" s="7" t="str">
        <f>IFERROR(
   INDEX(tbl_ProduitsRef[Prix Menu],MATCH(tbl_Ventes[[#This Row],[Produit]],tbl_ProduitsRef[Produit],0)),
   ""
)</f>
        <v/>
      </c>
      <c r="G812" s="7">
        <f>tbl_Ventes[[#This Row],[Qté Vendue]] * IFERROR(_xlfn.XLOOKUP(tbl_Ventes[[#This Row],[Cde_Prdt]], tbl_Produits[Cde_Prdt], tbl_Produits[Prix Menu]), 0)</f>
        <v>0</v>
      </c>
      <c r="H812" s="7">
        <f>IFERROR(_xlfn.XLOOKUP(tbl_Ventes[[#This Row],[Cde_Prdt]], tbl_Produits[Cde_Prdt], tbl_Produits[Coût Moyen Portion]), 0)</f>
        <v>0</v>
      </c>
      <c r="I812" s="7">
        <f>tbl_Ventes[[#This Row],[Qté Vendue]] * tbl_Ventes[[#This Row],[CMP_par_portion]]</f>
        <v>0</v>
      </c>
      <c r="J812" s="7">
        <f>tbl_Ventes[[#This Row],[CA ligne]] - tbl_Ventes[[#This Row],[Coût matière ligne]]</f>
        <v>0</v>
      </c>
      <c r="K812" s="7" t="str">
        <f>IFERROR(INDEX(tbl_ProduitsRef[Famille], MATCH(tbl_Ventes[[#This Row],[Cde_Prdt]], tbl_Produits[Cde_Prdt], 0)), "")</f>
        <v/>
      </c>
    </row>
    <row r="813" spans="1:11" x14ac:dyDescent="0.25">
      <c r="A813" s="5"/>
      <c r="B813" s="63" t="str">
        <f>IFERROR(TEXT(tbl_Ventes[[#This Row],[Date]],"mm-aaaa"),"")</f>
        <v>01-1900</v>
      </c>
      <c r="D813" s="10" t="str">
        <f>IFERROR(
   INDEX(tbl_ProduitsRef[Cde_Prdt],MATCH(tbl_Ventes[[#This Row],[Produit]],tbl_ProduitsRef[Produit],0)),
   ""
)</f>
        <v/>
      </c>
      <c r="E813" s="7">
        <v>0</v>
      </c>
      <c r="F813" s="7" t="str">
        <f>IFERROR(
   INDEX(tbl_ProduitsRef[Prix Menu],MATCH(tbl_Ventes[[#This Row],[Produit]],tbl_ProduitsRef[Produit],0)),
   ""
)</f>
        <v/>
      </c>
      <c r="G813" s="7">
        <f>tbl_Ventes[[#This Row],[Qté Vendue]] * IFERROR(_xlfn.XLOOKUP(tbl_Ventes[[#This Row],[Cde_Prdt]], tbl_Produits[Cde_Prdt], tbl_Produits[Prix Menu]), 0)</f>
        <v>0</v>
      </c>
      <c r="H813" s="7">
        <f>IFERROR(_xlfn.XLOOKUP(tbl_Ventes[[#This Row],[Cde_Prdt]], tbl_Produits[Cde_Prdt], tbl_Produits[Coût Moyen Portion]), 0)</f>
        <v>0</v>
      </c>
      <c r="I813" s="7">
        <f>tbl_Ventes[[#This Row],[Qté Vendue]] * tbl_Ventes[[#This Row],[CMP_par_portion]]</f>
        <v>0</v>
      </c>
      <c r="J813" s="7">
        <f>tbl_Ventes[[#This Row],[CA ligne]] - tbl_Ventes[[#This Row],[Coût matière ligne]]</f>
        <v>0</v>
      </c>
      <c r="K813" s="7" t="str">
        <f>IFERROR(INDEX(tbl_ProduitsRef[Famille], MATCH(tbl_Ventes[[#This Row],[Cde_Prdt]], tbl_Produits[Cde_Prdt], 0)), "")</f>
        <v/>
      </c>
    </row>
    <row r="814" spans="1:11" x14ac:dyDescent="0.25">
      <c r="A814" s="5"/>
      <c r="B814" s="63" t="str">
        <f>IFERROR(TEXT(tbl_Ventes[[#This Row],[Date]],"mm-aaaa"),"")</f>
        <v>01-1900</v>
      </c>
      <c r="D814" s="10" t="str">
        <f>IFERROR(
   INDEX(tbl_ProduitsRef[Cde_Prdt],MATCH(tbl_Ventes[[#This Row],[Produit]],tbl_ProduitsRef[Produit],0)),
   ""
)</f>
        <v/>
      </c>
      <c r="E814" s="7">
        <v>0</v>
      </c>
      <c r="F814" s="7" t="str">
        <f>IFERROR(
   INDEX(tbl_ProduitsRef[Prix Menu],MATCH(tbl_Ventes[[#This Row],[Produit]],tbl_ProduitsRef[Produit],0)),
   ""
)</f>
        <v/>
      </c>
      <c r="G814" s="7">
        <f>tbl_Ventes[[#This Row],[Qté Vendue]] * IFERROR(_xlfn.XLOOKUP(tbl_Ventes[[#This Row],[Cde_Prdt]], tbl_Produits[Cde_Prdt], tbl_Produits[Prix Menu]), 0)</f>
        <v>0</v>
      </c>
      <c r="H814" s="7">
        <f>IFERROR(_xlfn.XLOOKUP(tbl_Ventes[[#This Row],[Cde_Prdt]], tbl_Produits[Cde_Prdt], tbl_Produits[Coût Moyen Portion]), 0)</f>
        <v>0</v>
      </c>
      <c r="I814" s="7">
        <f>tbl_Ventes[[#This Row],[Qté Vendue]] * tbl_Ventes[[#This Row],[CMP_par_portion]]</f>
        <v>0</v>
      </c>
      <c r="J814" s="7">
        <f>tbl_Ventes[[#This Row],[CA ligne]] - tbl_Ventes[[#This Row],[Coût matière ligne]]</f>
        <v>0</v>
      </c>
      <c r="K814" s="7" t="str">
        <f>IFERROR(INDEX(tbl_ProduitsRef[Famille], MATCH(tbl_Ventes[[#This Row],[Cde_Prdt]], tbl_Produits[Cde_Prdt], 0)), "")</f>
        <v/>
      </c>
    </row>
    <row r="815" spans="1:11" x14ac:dyDescent="0.25">
      <c r="A815" s="5"/>
      <c r="B815" s="63" t="str">
        <f>IFERROR(TEXT(tbl_Ventes[[#This Row],[Date]],"mm-aaaa"),"")</f>
        <v>01-1900</v>
      </c>
      <c r="D815" s="10" t="str">
        <f>IFERROR(
   INDEX(tbl_ProduitsRef[Cde_Prdt],MATCH(tbl_Ventes[[#This Row],[Produit]],tbl_ProduitsRef[Produit],0)),
   ""
)</f>
        <v/>
      </c>
      <c r="E815" s="7">
        <v>0</v>
      </c>
      <c r="F815" s="7" t="str">
        <f>IFERROR(
   INDEX(tbl_ProduitsRef[Prix Menu],MATCH(tbl_Ventes[[#This Row],[Produit]],tbl_ProduitsRef[Produit],0)),
   ""
)</f>
        <v/>
      </c>
      <c r="G815" s="7">
        <f>tbl_Ventes[[#This Row],[Qté Vendue]] * IFERROR(_xlfn.XLOOKUP(tbl_Ventes[[#This Row],[Cde_Prdt]], tbl_Produits[Cde_Prdt], tbl_Produits[Prix Menu]), 0)</f>
        <v>0</v>
      </c>
      <c r="H815" s="7">
        <f>IFERROR(_xlfn.XLOOKUP(tbl_Ventes[[#This Row],[Cde_Prdt]], tbl_Produits[Cde_Prdt], tbl_Produits[Coût Moyen Portion]), 0)</f>
        <v>0</v>
      </c>
      <c r="I815" s="7">
        <f>tbl_Ventes[[#This Row],[Qté Vendue]] * tbl_Ventes[[#This Row],[CMP_par_portion]]</f>
        <v>0</v>
      </c>
      <c r="J815" s="7">
        <f>tbl_Ventes[[#This Row],[CA ligne]] - tbl_Ventes[[#This Row],[Coût matière ligne]]</f>
        <v>0</v>
      </c>
      <c r="K815" s="7" t="str">
        <f>IFERROR(INDEX(tbl_ProduitsRef[Famille], MATCH(tbl_Ventes[[#This Row],[Cde_Prdt]], tbl_Produits[Cde_Prdt], 0)), "")</f>
        <v/>
      </c>
    </row>
    <row r="816" spans="1:11" x14ac:dyDescent="0.25">
      <c r="A816" s="5"/>
      <c r="B816" s="63" t="str">
        <f>IFERROR(TEXT(tbl_Ventes[[#This Row],[Date]],"mm-aaaa"),"")</f>
        <v>01-1900</v>
      </c>
      <c r="D816" s="10" t="str">
        <f>IFERROR(
   INDEX(tbl_ProduitsRef[Cde_Prdt],MATCH(tbl_Ventes[[#This Row],[Produit]],tbl_ProduitsRef[Produit],0)),
   ""
)</f>
        <v/>
      </c>
      <c r="E816" s="7">
        <v>0</v>
      </c>
      <c r="F816" s="7" t="str">
        <f>IFERROR(
   INDEX(tbl_ProduitsRef[Prix Menu],MATCH(tbl_Ventes[[#This Row],[Produit]],tbl_ProduitsRef[Produit],0)),
   ""
)</f>
        <v/>
      </c>
      <c r="G816" s="7">
        <f>tbl_Ventes[[#This Row],[Qté Vendue]] * IFERROR(_xlfn.XLOOKUP(tbl_Ventes[[#This Row],[Cde_Prdt]], tbl_Produits[Cde_Prdt], tbl_Produits[Prix Menu]), 0)</f>
        <v>0</v>
      </c>
      <c r="H816" s="7">
        <f>IFERROR(_xlfn.XLOOKUP(tbl_Ventes[[#This Row],[Cde_Prdt]], tbl_Produits[Cde_Prdt], tbl_Produits[Coût Moyen Portion]), 0)</f>
        <v>0</v>
      </c>
      <c r="I816" s="7">
        <f>tbl_Ventes[[#This Row],[Qté Vendue]] * tbl_Ventes[[#This Row],[CMP_par_portion]]</f>
        <v>0</v>
      </c>
      <c r="J816" s="7">
        <f>tbl_Ventes[[#This Row],[CA ligne]] - tbl_Ventes[[#This Row],[Coût matière ligne]]</f>
        <v>0</v>
      </c>
      <c r="K816" s="7" t="str">
        <f>IFERROR(INDEX(tbl_ProduitsRef[Famille], MATCH(tbl_Ventes[[#This Row],[Cde_Prdt]], tbl_Produits[Cde_Prdt], 0)), "")</f>
        <v/>
      </c>
    </row>
    <row r="817" spans="1:11" x14ac:dyDescent="0.25">
      <c r="A817" s="5"/>
      <c r="B817" s="63" t="str">
        <f>IFERROR(TEXT(tbl_Ventes[[#This Row],[Date]],"mm-aaaa"),"")</f>
        <v>01-1900</v>
      </c>
      <c r="D817" s="10" t="str">
        <f>IFERROR(
   INDEX(tbl_ProduitsRef[Cde_Prdt],MATCH(tbl_Ventes[[#This Row],[Produit]],tbl_ProduitsRef[Produit],0)),
   ""
)</f>
        <v/>
      </c>
      <c r="E817" s="7">
        <v>0</v>
      </c>
      <c r="F817" s="7" t="str">
        <f>IFERROR(
   INDEX(tbl_ProduitsRef[Prix Menu],MATCH(tbl_Ventes[[#This Row],[Produit]],tbl_ProduitsRef[Produit],0)),
   ""
)</f>
        <v/>
      </c>
      <c r="G817" s="7">
        <f>tbl_Ventes[[#This Row],[Qté Vendue]] * IFERROR(_xlfn.XLOOKUP(tbl_Ventes[[#This Row],[Cde_Prdt]], tbl_Produits[Cde_Prdt], tbl_Produits[Prix Menu]), 0)</f>
        <v>0</v>
      </c>
      <c r="H817" s="7">
        <f>IFERROR(_xlfn.XLOOKUP(tbl_Ventes[[#This Row],[Cde_Prdt]], tbl_Produits[Cde_Prdt], tbl_Produits[Coût Moyen Portion]), 0)</f>
        <v>0</v>
      </c>
      <c r="I817" s="7">
        <f>tbl_Ventes[[#This Row],[Qté Vendue]] * tbl_Ventes[[#This Row],[CMP_par_portion]]</f>
        <v>0</v>
      </c>
      <c r="J817" s="7">
        <f>tbl_Ventes[[#This Row],[CA ligne]] - tbl_Ventes[[#This Row],[Coût matière ligne]]</f>
        <v>0</v>
      </c>
      <c r="K817" s="7" t="str">
        <f>IFERROR(INDEX(tbl_ProduitsRef[Famille], MATCH(tbl_Ventes[[#This Row],[Cde_Prdt]], tbl_Produits[Cde_Prdt], 0)), "")</f>
        <v/>
      </c>
    </row>
    <row r="818" spans="1:11" x14ac:dyDescent="0.25">
      <c r="A818" s="5"/>
      <c r="B818" s="63" t="str">
        <f>IFERROR(TEXT(tbl_Ventes[[#This Row],[Date]],"mm-aaaa"),"")</f>
        <v>01-1900</v>
      </c>
      <c r="D818" s="10" t="str">
        <f>IFERROR(
   INDEX(tbl_ProduitsRef[Cde_Prdt],MATCH(tbl_Ventes[[#This Row],[Produit]],tbl_ProduitsRef[Produit],0)),
   ""
)</f>
        <v/>
      </c>
      <c r="E818" s="7">
        <v>0</v>
      </c>
      <c r="F818" s="7" t="str">
        <f>IFERROR(
   INDEX(tbl_ProduitsRef[Prix Menu],MATCH(tbl_Ventes[[#This Row],[Produit]],tbl_ProduitsRef[Produit],0)),
   ""
)</f>
        <v/>
      </c>
      <c r="G818" s="7">
        <f>tbl_Ventes[[#This Row],[Qté Vendue]] * IFERROR(_xlfn.XLOOKUP(tbl_Ventes[[#This Row],[Cde_Prdt]], tbl_Produits[Cde_Prdt], tbl_Produits[Prix Menu]), 0)</f>
        <v>0</v>
      </c>
      <c r="H818" s="7">
        <f>IFERROR(_xlfn.XLOOKUP(tbl_Ventes[[#This Row],[Cde_Prdt]], tbl_Produits[Cde_Prdt], tbl_Produits[Coût Moyen Portion]), 0)</f>
        <v>0</v>
      </c>
      <c r="I818" s="7">
        <f>tbl_Ventes[[#This Row],[Qté Vendue]] * tbl_Ventes[[#This Row],[CMP_par_portion]]</f>
        <v>0</v>
      </c>
      <c r="J818" s="7">
        <f>tbl_Ventes[[#This Row],[CA ligne]] - tbl_Ventes[[#This Row],[Coût matière ligne]]</f>
        <v>0</v>
      </c>
      <c r="K818" s="7" t="str">
        <f>IFERROR(INDEX(tbl_ProduitsRef[Famille], MATCH(tbl_Ventes[[#This Row],[Cde_Prdt]], tbl_Produits[Cde_Prdt], 0)), "")</f>
        <v/>
      </c>
    </row>
    <row r="819" spans="1:11" x14ac:dyDescent="0.25">
      <c r="A819" s="5"/>
      <c r="B819" s="63" t="str">
        <f>IFERROR(TEXT(tbl_Ventes[[#This Row],[Date]],"mm-aaaa"),"")</f>
        <v>01-1900</v>
      </c>
      <c r="D819" s="10" t="str">
        <f>IFERROR(
   INDEX(tbl_ProduitsRef[Cde_Prdt],MATCH(tbl_Ventes[[#This Row],[Produit]],tbl_ProduitsRef[Produit],0)),
   ""
)</f>
        <v/>
      </c>
      <c r="E819" s="7">
        <v>0</v>
      </c>
      <c r="F819" s="7" t="str">
        <f>IFERROR(
   INDEX(tbl_ProduitsRef[Prix Menu],MATCH(tbl_Ventes[[#This Row],[Produit]],tbl_ProduitsRef[Produit],0)),
   ""
)</f>
        <v/>
      </c>
      <c r="G819" s="7">
        <f>tbl_Ventes[[#This Row],[Qté Vendue]] * IFERROR(_xlfn.XLOOKUP(tbl_Ventes[[#This Row],[Cde_Prdt]], tbl_Produits[Cde_Prdt], tbl_Produits[Prix Menu]), 0)</f>
        <v>0</v>
      </c>
      <c r="H819" s="7">
        <f>IFERROR(_xlfn.XLOOKUP(tbl_Ventes[[#This Row],[Cde_Prdt]], tbl_Produits[Cde_Prdt], tbl_Produits[Coût Moyen Portion]), 0)</f>
        <v>0</v>
      </c>
      <c r="I819" s="7">
        <f>tbl_Ventes[[#This Row],[Qté Vendue]] * tbl_Ventes[[#This Row],[CMP_par_portion]]</f>
        <v>0</v>
      </c>
      <c r="J819" s="7">
        <f>tbl_Ventes[[#This Row],[CA ligne]] - tbl_Ventes[[#This Row],[Coût matière ligne]]</f>
        <v>0</v>
      </c>
      <c r="K819" s="7" t="str">
        <f>IFERROR(INDEX(tbl_ProduitsRef[Famille], MATCH(tbl_Ventes[[#This Row],[Cde_Prdt]], tbl_Produits[Cde_Prdt], 0)), "")</f>
        <v/>
      </c>
    </row>
    <row r="820" spans="1:11" x14ac:dyDescent="0.25">
      <c r="A820" s="5"/>
      <c r="B820" s="63" t="str">
        <f>IFERROR(TEXT(tbl_Ventes[[#This Row],[Date]],"mm-aaaa"),"")</f>
        <v>01-1900</v>
      </c>
      <c r="D820" s="10" t="str">
        <f>IFERROR(
   INDEX(tbl_ProduitsRef[Cde_Prdt],MATCH(tbl_Ventes[[#This Row],[Produit]],tbl_ProduitsRef[Produit],0)),
   ""
)</f>
        <v/>
      </c>
      <c r="E820" s="7">
        <v>0</v>
      </c>
      <c r="F820" s="7" t="str">
        <f>IFERROR(
   INDEX(tbl_ProduitsRef[Prix Menu],MATCH(tbl_Ventes[[#This Row],[Produit]],tbl_ProduitsRef[Produit],0)),
   ""
)</f>
        <v/>
      </c>
      <c r="G820" s="7">
        <f>tbl_Ventes[[#This Row],[Qté Vendue]] * IFERROR(_xlfn.XLOOKUP(tbl_Ventes[[#This Row],[Cde_Prdt]], tbl_Produits[Cde_Prdt], tbl_Produits[Prix Menu]), 0)</f>
        <v>0</v>
      </c>
      <c r="H820" s="7">
        <f>IFERROR(_xlfn.XLOOKUP(tbl_Ventes[[#This Row],[Cde_Prdt]], tbl_Produits[Cde_Prdt], tbl_Produits[Coût Moyen Portion]), 0)</f>
        <v>0</v>
      </c>
      <c r="I820" s="7">
        <f>tbl_Ventes[[#This Row],[Qté Vendue]] * tbl_Ventes[[#This Row],[CMP_par_portion]]</f>
        <v>0</v>
      </c>
      <c r="J820" s="7">
        <f>tbl_Ventes[[#This Row],[CA ligne]] - tbl_Ventes[[#This Row],[Coût matière ligne]]</f>
        <v>0</v>
      </c>
      <c r="K820" s="7" t="str">
        <f>IFERROR(INDEX(tbl_ProduitsRef[Famille], MATCH(tbl_Ventes[[#This Row],[Cde_Prdt]], tbl_Produits[Cde_Prdt], 0)), "")</f>
        <v/>
      </c>
    </row>
    <row r="821" spans="1:11" x14ac:dyDescent="0.25">
      <c r="A821" s="5"/>
      <c r="B821" s="63" t="str">
        <f>IFERROR(TEXT(tbl_Ventes[[#This Row],[Date]],"mm-aaaa"),"")</f>
        <v>01-1900</v>
      </c>
      <c r="D821" s="10" t="str">
        <f>IFERROR(
   INDEX(tbl_ProduitsRef[Cde_Prdt],MATCH(tbl_Ventes[[#This Row],[Produit]],tbl_ProduitsRef[Produit],0)),
   ""
)</f>
        <v/>
      </c>
      <c r="E821" s="7">
        <v>0</v>
      </c>
      <c r="F821" s="7" t="str">
        <f>IFERROR(
   INDEX(tbl_ProduitsRef[Prix Menu],MATCH(tbl_Ventes[[#This Row],[Produit]],tbl_ProduitsRef[Produit],0)),
   ""
)</f>
        <v/>
      </c>
      <c r="G821" s="7">
        <f>tbl_Ventes[[#This Row],[Qté Vendue]] * IFERROR(_xlfn.XLOOKUP(tbl_Ventes[[#This Row],[Cde_Prdt]], tbl_Produits[Cde_Prdt], tbl_Produits[Prix Menu]), 0)</f>
        <v>0</v>
      </c>
      <c r="H821" s="7">
        <f>IFERROR(_xlfn.XLOOKUP(tbl_Ventes[[#This Row],[Cde_Prdt]], tbl_Produits[Cde_Prdt], tbl_Produits[Coût Moyen Portion]), 0)</f>
        <v>0</v>
      </c>
      <c r="I821" s="7">
        <f>tbl_Ventes[[#This Row],[Qté Vendue]] * tbl_Ventes[[#This Row],[CMP_par_portion]]</f>
        <v>0</v>
      </c>
      <c r="J821" s="7">
        <f>tbl_Ventes[[#This Row],[CA ligne]] - tbl_Ventes[[#This Row],[Coût matière ligne]]</f>
        <v>0</v>
      </c>
      <c r="K821" s="7" t="str">
        <f>IFERROR(INDEX(tbl_ProduitsRef[Famille], MATCH(tbl_Ventes[[#This Row],[Cde_Prdt]], tbl_Produits[Cde_Prdt], 0)), "")</f>
        <v/>
      </c>
    </row>
    <row r="822" spans="1:11" x14ac:dyDescent="0.25">
      <c r="A822" s="5"/>
      <c r="B822" s="63" t="str">
        <f>IFERROR(TEXT(tbl_Ventes[[#This Row],[Date]],"mm-aaaa"),"")</f>
        <v>01-1900</v>
      </c>
      <c r="D822" s="10" t="str">
        <f>IFERROR(
   INDEX(tbl_ProduitsRef[Cde_Prdt],MATCH(tbl_Ventes[[#This Row],[Produit]],tbl_ProduitsRef[Produit],0)),
   ""
)</f>
        <v/>
      </c>
      <c r="E822" s="7">
        <v>0</v>
      </c>
      <c r="F822" s="7" t="str">
        <f>IFERROR(
   INDEX(tbl_ProduitsRef[Prix Menu],MATCH(tbl_Ventes[[#This Row],[Produit]],tbl_ProduitsRef[Produit],0)),
   ""
)</f>
        <v/>
      </c>
      <c r="G822" s="7">
        <f>tbl_Ventes[[#This Row],[Qté Vendue]] * IFERROR(_xlfn.XLOOKUP(tbl_Ventes[[#This Row],[Cde_Prdt]], tbl_Produits[Cde_Prdt], tbl_Produits[Prix Menu]), 0)</f>
        <v>0</v>
      </c>
      <c r="H822" s="7">
        <f>IFERROR(_xlfn.XLOOKUP(tbl_Ventes[[#This Row],[Cde_Prdt]], tbl_Produits[Cde_Prdt], tbl_Produits[Coût Moyen Portion]), 0)</f>
        <v>0</v>
      </c>
      <c r="I822" s="7">
        <f>tbl_Ventes[[#This Row],[Qté Vendue]] * tbl_Ventes[[#This Row],[CMP_par_portion]]</f>
        <v>0</v>
      </c>
      <c r="J822" s="7">
        <f>tbl_Ventes[[#This Row],[CA ligne]] - tbl_Ventes[[#This Row],[Coût matière ligne]]</f>
        <v>0</v>
      </c>
      <c r="K822" s="7" t="str">
        <f>IFERROR(INDEX(tbl_ProduitsRef[Famille], MATCH(tbl_Ventes[[#This Row],[Cde_Prdt]], tbl_Produits[Cde_Prdt], 0)), "")</f>
        <v/>
      </c>
    </row>
    <row r="823" spans="1:11" x14ac:dyDescent="0.25">
      <c r="A823" s="5"/>
      <c r="B823" s="63" t="str">
        <f>IFERROR(TEXT(tbl_Ventes[[#This Row],[Date]],"mm-aaaa"),"")</f>
        <v>01-1900</v>
      </c>
      <c r="D823" s="10" t="str">
        <f>IFERROR(
   INDEX(tbl_ProduitsRef[Cde_Prdt],MATCH(tbl_Ventes[[#This Row],[Produit]],tbl_ProduitsRef[Produit],0)),
   ""
)</f>
        <v/>
      </c>
      <c r="E823" s="7">
        <v>0</v>
      </c>
      <c r="F823" s="7" t="str">
        <f>IFERROR(
   INDEX(tbl_ProduitsRef[Prix Menu],MATCH(tbl_Ventes[[#This Row],[Produit]],tbl_ProduitsRef[Produit],0)),
   ""
)</f>
        <v/>
      </c>
      <c r="G823" s="7">
        <f>tbl_Ventes[[#This Row],[Qté Vendue]] * IFERROR(_xlfn.XLOOKUP(tbl_Ventes[[#This Row],[Cde_Prdt]], tbl_Produits[Cde_Prdt], tbl_Produits[Prix Menu]), 0)</f>
        <v>0</v>
      </c>
      <c r="H823" s="7">
        <f>IFERROR(_xlfn.XLOOKUP(tbl_Ventes[[#This Row],[Cde_Prdt]], tbl_Produits[Cde_Prdt], tbl_Produits[Coût Moyen Portion]), 0)</f>
        <v>0</v>
      </c>
      <c r="I823" s="7">
        <f>tbl_Ventes[[#This Row],[Qté Vendue]] * tbl_Ventes[[#This Row],[CMP_par_portion]]</f>
        <v>0</v>
      </c>
      <c r="J823" s="7">
        <f>tbl_Ventes[[#This Row],[CA ligne]] - tbl_Ventes[[#This Row],[Coût matière ligne]]</f>
        <v>0</v>
      </c>
      <c r="K823" s="7" t="str">
        <f>IFERROR(INDEX(tbl_ProduitsRef[Famille], MATCH(tbl_Ventes[[#This Row],[Cde_Prdt]], tbl_Produits[Cde_Prdt], 0)), "")</f>
        <v/>
      </c>
    </row>
    <row r="824" spans="1:11" x14ac:dyDescent="0.25">
      <c r="A824" s="5"/>
      <c r="B824" s="63" t="str">
        <f>IFERROR(TEXT(tbl_Ventes[[#This Row],[Date]],"mm-aaaa"),"")</f>
        <v>01-1900</v>
      </c>
      <c r="D824" s="10" t="str">
        <f>IFERROR(
   INDEX(tbl_ProduitsRef[Cde_Prdt],MATCH(tbl_Ventes[[#This Row],[Produit]],tbl_ProduitsRef[Produit],0)),
   ""
)</f>
        <v/>
      </c>
      <c r="E824" s="7">
        <v>0</v>
      </c>
      <c r="F824" s="7" t="str">
        <f>IFERROR(
   INDEX(tbl_ProduitsRef[Prix Menu],MATCH(tbl_Ventes[[#This Row],[Produit]],tbl_ProduitsRef[Produit],0)),
   ""
)</f>
        <v/>
      </c>
      <c r="G824" s="7">
        <f>tbl_Ventes[[#This Row],[Qté Vendue]] * IFERROR(_xlfn.XLOOKUP(tbl_Ventes[[#This Row],[Cde_Prdt]], tbl_Produits[Cde_Prdt], tbl_Produits[Prix Menu]), 0)</f>
        <v>0</v>
      </c>
      <c r="H824" s="7">
        <f>IFERROR(_xlfn.XLOOKUP(tbl_Ventes[[#This Row],[Cde_Prdt]], tbl_Produits[Cde_Prdt], tbl_Produits[Coût Moyen Portion]), 0)</f>
        <v>0</v>
      </c>
      <c r="I824" s="7">
        <f>tbl_Ventes[[#This Row],[Qté Vendue]] * tbl_Ventes[[#This Row],[CMP_par_portion]]</f>
        <v>0</v>
      </c>
      <c r="J824" s="7">
        <f>tbl_Ventes[[#This Row],[CA ligne]] - tbl_Ventes[[#This Row],[Coût matière ligne]]</f>
        <v>0</v>
      </c>
      <c r="K824" s="7" t="str">
        <f>IFERROR(INDEX(tbl_ProduitsRef[Famille], MATCH(tbl_Ventes[[#This Row],[Cde_Prdt]], tbl_Produits[Cde_Prdt], 0)), "")</f>
        <v/>
      </c>
    </row>
    <row r="825" spans="1:11" x14ac:dyDescent="0.25">
      <c r="A825" s="5"/>
      <c r="B825" s="63" t="str">
        <f>IFERROR(TEXT(tbl_Ventes[[#This Row],[Date]],"mm-aaaa"),"")</f>
        <v>01-1900</v>
      </c>
      <c r="D825" s="10" t="str">
        <f>IFERROR(
   INDEX(tbl_ProduitsRef[Cde_Prdt],MATCH(tbl_Ventes[[#This Row],[Produit]],tbl_ProduitsRef[Produit],0)),
   ""
)</f>
        <v/>
      </c>
      <c r="E825" s="7">
        <v>0</v>
      </c>
      <c r="F825" s="7" t="str">
        <f>IFERROR(
   INDEX(tbl_ProduitsRef[Prix Menu],MATCH(tbl_Ventes[[#This Row],[Produit]],tbl_ProduitsRef[Produit],0)),
   ""
)</f>
        <v/>
      </c>
      <c r="G825" s="7">
        <f>tbl_Ventes[[#This Row],[Qté Vendue]] * IFERROR(_xlfn.XLOOKUP(tbl_Ventes[[#This Row],[Cde_Prdt]], tbl_Produits[Cde_Prdt], tbl_Produits[Prix Menu]), 0)</f>
        <v>0</v>
      </c>
      <c r="H825" s="7">
        <f>IFERROR(_xlfn.XLOOKUP(tbl_Ventes[[#This Row],[Cde_Prdt]], tbl_Produits[Cde_Prdt], tbl_Produits[Coût Moyen Portion]), 0)</f>
        <v>0</v>
      </c>
      <c r="I825" s="7">
        <f>tbl_Ventes[[#This Row],[Qté Vendue]] * tbl_Ventes[[#This Row],[CMP_par_portion]]</f>
        <v>0</v>
      </c>
      <c r="J825" s="7">
        <f>tbl_Ventes[[#This Row],[CA ligne]] - tbl_Ventes[[#This Row],[Coût matière ligne]]</f>
        <v>0</v>
      </c>
      <c r="K825" s="7" t="str">
        <f>IFERROR(INDEX(tbl_ProduitsRef[Famille], MATCH(tbl_Ventes[[#This Row],[Cde_Prdt]], tbl_Produits[Cde_Prdt], 0)), "")</f>
        <v/>
      </c>
    </row>
    <row r="826" spans="1:11" x14ac:dyDescent="0.25">
      <c r="A826" s="5"/>
      <c r="B826" s="63" t="str">
        <f>IFERROR(TEXT(tbl_Ventes[[#This Row],[Date]],"mm-aaaa"),"")</f>
        <v>01-1900</v>
      </c>
      <c r="D826" s="10" t="str">
        <f>IFERROR(
   INDEX(tbl_ProduitsRef[Cde_Prdt],MATCH(tbl_Ventes[[#This Row],[Produit]],tbl_ProduitsRef[Produit],0)),
   ""
)</f>
        <v/>
      </c>
      <c r="E826" s="7">
        <v>0</v>
      </c>
      <c r="F826" s="7" t="str">
        <f>IFERROR(
   INDEX(tbl_ProduitsRef[Prix Menu],MATCH(tbl_Ventes[[#This Row],[Produit]],tbl_ProduitsRef[Produit],0)),
   ""
)</f>
        <v/>
      </c>
      <c r="G826" s="7">
        <f>tbl_Ventes[[#This Row],[Qté Vendue]] * IFERROR(_xlfn.XLOOKUP(tbl_Ventes[[#This Row],[Cde_Prdt]], tbl_Produits[Cde_Prdt], tbl_Produits[Prix Menu]), 0)</f>
        <v>0</v>
      </c>
      <c r="H826" s="7">
        <f>IFERROR(_xlfn.XLOOKUP(tbl_Ventes[[#This Row],[Cde_Prdt]], tbl_Produits[Cde_Prdt], tbl_Produits[Coût Moyen Portion]), 0)</f>
        <v>0</v>
      </c>
      <c r="I826" s="7">
        <f>tbl_Ventes[[#This Row],[Qté Vendue]] * tbl_Ventes[[#This Row],[CMP_par_portion]]</f>
        <v>0</v>
      </c>
      <c r="J826" s="7">
        <f>tbl_Ventes[[#This Row],[CA ligne]] - tbl_Ventes[[#This Row],[Coût matière ligne]]</f>
        <v>0</v>
      </c>
      <c r="K826" s="7" t="str">
        <f>IFERROR(INDEX(tbl_ProduitsRef[Famille], MATCH(tbl_Ventes[[#This Row],[Cde_Prdt]], tbl_Produits[Cde_Prdt], 0)), "")</f>
        <v/>
      </c>
    </row>
    <row r="827" spans="1:11" x14ac:dyDescent="0.25">
      <c r="A827" s="5"/>
      <c r="B827" s="63" t="str">
        <f>IFERROR(TEXT(tbl_Ventes[[#This Row],[Date]],"mm-aaaa"),"")</f>
        <v>01-1900</v>
      </c>
      <c r="D827" s="10" t="str">
        <f>IFERROR(
   INDEX(tbl_ProduitsRef[Cde_Prdt],MATCH(tbl_Ventes[[#This Row],[Produit]],tbl_ProduitsRef[Produit],0)),
   ""
)</f>
        <v/>
      </c>
      <c r="E827" s="7">
        <v>0</v>
      </c>
      <c r="F827" s="7" t="str">
        <f>IFERROR(
   INDEX(tbl_ProduitsRef[Prix Menu],MATCH(tbl_Ventes[[#This Row],[Produit]],tbl_ProduitsRef[Produit],0)),
   ""
)</f>
        <v/>
      </c>
      <c r="G827" s="7">
        <f>tbl_Ventes[[#This Row],[Qté Vendue]] * IFERROR(_xlfn.XLOOKUP(tbl_Ventes[[#This Row],[Cde_Prdt]], tbl_Produits[Cde_Prdt], tbl_Produits[Prix Menu]), 0)</f>
        <v>0</v>
      </c>
      <c r="H827" s="7">
        <f>IFERROR(_xlfn.XLOOKUP(tbl_Ventes[[#This Row],[Cde_Prdt]], tbl_Produits[Cde_Prdt], tbl_Produits[Coût Moyen Portion]), 0)</f>
        <v>0</v>
      </c>
      <c r="I827" s="7">
        <f>tbl_Ventes[[#This Row],[Qté Vendue]] * tbl_Ventes[[#This Row],[CMP_par_portion]]</f>
        <v>0</v>
      </c>
      <c r="J827" s="7">
        <f>tbl_Ventes[[#This Row],[CA ligne]] - tbl_Ventes[[#This Row],[Coût matière ligne]]</f>
        <v>0</v>
      </c>
      <c r="K827" s="7" t="str">
        <f>IFERROR(INDEX(tbl_ProduitsRef[Famille], MATCH(tbl_Ventes[[#This Row],[Cde_Prdt]], tbl_Produits[Cde_Prdt], 0)), "")</f>
        <v/>
      </c>
    </row>
    <row r="828" spans="1:11" x14ac:dyDescent="0.25">
      <c r="A828" s="5"/>
      <c r="B828" s="63" t="str">
        <f>IFERROR(TEXT(tbl_Ventes[[#This Row],[Date]],"mm-aaaa"),"")</f>
        <v>01-1900</v>
      </c>
      <c r="D828" s="10" t="str">
        <f>IFERROR(
   INDEX(tbl_ProduitsRef[Cde_Prdt],MATCH(tbl_Ventes[[#This Row],[Produit]],tbl_ProduitsRef[Produit],0)),
   ""
)</f>
        <v/>
      </c>
      <c r="E828" s="7">
        <v>0</v>
      </c>
      <c r="F828" s="7" t="str">
        <f>IFERROR(
   INDEX(tbl_ProduitsRef[Prix Menu],MATCH(tbl_Ventes[[#This Row],[Produit]],tbl_ProduitsRef[Produit],0)),
   ""
)</f>
        <v/>
      </c>
      <c r="G828" s="7">
        <f>tbl_Ventes[[#This Row],[Qté Vendue]] * IFERROR(_xlfn.XLOOKUP(tbl_Ventes[[#This Row],[Cde_Prdt]], tbl_Produits[Cde_Prdt], tbl_Produits[Prix Menu]), 0)</f>
        <v>0</v>
      </c>
      <c r="H828" s="7">
        <f>IFERROR(_xlfn.XLOOKUP(tbl_Ventes[[#This Row],[Cde_Prdt]], tbl_Produits[Cde_Prdt], tbl_Produits[Coût Moyen Portion]), 0)</f>
        <v>0</v>
      </c>
      <c r="I828" s="7">
        <f>tbl_Ventes[[#This Row],[Qté Vendue]] * tbl_Ventes[[#This Row],[CMP_par_portion]]</f>
        <v>0</v>
      </c>
      <c r="J828" s="7">
        <f>tbl_Ventes[[#This Row],[CA ligne]] - tbl_Ventes[[#This Row],[Coût matière ligne]]</f>
        <v>0</v>
      </c>
      <c r="K828" s="7" t="str">
        <f>IFERROR(INDEX(tbl_ProduitsRef[Famille], MATCH(tbl_Ventes[[#This Row],[Cde_Prdt]], tbl_Produits[Cde_Prdt], 0)), "")</f>
        <v/>
      </c>
    </row>
    <row r="829" spans="1:11" x14ac:dyDescent="0.25">
      <c r="A829" s="5"/>
      <c r="B829" s="63" t="str">
        <f>IFERROR(TEXT(tbl_Ventes[[#This Row],[Date]],"mm-aaaa"),"")</f>
        <v>01-1900</v>
      </c>
      <c r="D829" s="10" t="str">
        <f>IFERROR(
   INDEX(tbl_ProduitsRef[Cde_Prdt],MATCH(tbl_Ventes[[#This Row],[Produit]],tbl_ProduitsRef[Produit],0)),
   ""
)</f>
        <v/>
      </c>
      <c r="E829" s="7">
        <v>0</v>
      </c>
      <c r="F829" s="7" t="str">
        <f>IFERROR(
   INDEX(tbl_ProduitsRef[Prix Menu],MATCH(tbl_Ventes[[#This Row],[Produit]],tbl_ProduitsRef[Produit],0)),
   ""
)</f>
        <v/>
      </c>
      <c r="G829" s="7">
        <f>tbl_Ventes[[#This Row],[Qté Vendue]] * IFERROR(_xlfn.XLOOKUP(tbl_Ventes[[#This Row],[Cde_Prdt]], tbl_Produits[Cde_Prdt], tbl_Produits[Prix Menu]), 0)</f>
        <v>0</v>
      </c>
      <c r="H829" s="7">
        <f>IFERROR(_xlfn.XLOOKUP(tbl_Ventes[[#This Row],[Cde_Prdt]], tbl_Produits[Cde_Prdt], tbl_Produits[Coût Moyen Portion]), 0)</f>
        <v>0</v>
      </c>
      <c r="I829" s="7">
        <f>tbl_Ventes[[#This Row],[Qté Vendue]] * tbl_Ventes[[#This Row],[CMP_par_portion]]</f>
        <v>0</v>
      </c>
      <c r="J829" s="7">
        <f>tbl_Ventes[[#This Row],[CA ligne]] - tbl_Ventes[[#This Row],[Coût matière ligne]]</f>
        <v>0</v>
      </c>
      <c r="K829" s="7" t="str">
        <f>IFERROR(INDEX(tbl_ProduitsRef[Famille], MATCH(tbl_Ventes[[#This Row],[Cde_Prdt]], tbl_Produits[Cde_Prdt], 0)), "")</f>
        <v/>
      </c>
    </row>
    <row r="830" spans="1:11" x14ac:dyDescent="0.25">
      <c r="A830" s="5"/>
      <c r="B830" s="63" t="str">
        <f>IFERROR(TEXT(tbl_Ventes[[#This Row],[Date]],"mm-aaaa"),"")</f>
        <v>01-1900</v>
      </c>
      <c r="D830" s="10" t="str">
        <f>IFERROR(
   INDEX(tbl_ProduitsRef[Cde_Prdt],MATCH(tbl_Ventes[[#This Row],[Produit]],tbl_ProduitsRef[Produit],0)),
   ""
)</f>
        <v/>
      </c>
      <c r="E830" s="7">
        <v>0</v>
      </c>
      <c r="F830" s="7" t="str">
        <f>IFERROR(
   INDEX(tbl_ProduitsRef[Prix Menu],MATCH(tbl_Ventes[[#This Row],[Produit]],tbl_ProduitsRef[Produit],0)),
   ""
)</f>
        <v/>
      </c>
      <c r="G830" s="7">
        <f>tbl_Ventes[[#This Row],[Qté Vendue]] * IFERROR(_xlfn.XLOOKUP(tbl_Ventes[[#This Row],[Cde_Prdt]], tbl_Produits[Cde_Prdt], tbl_Produits[Prix Menu]), 0)</f>
        <v>0</v>
      </c>
      <c r="H830" s="7">
        <f>IFERROR(_xlfn.XLOOKUP(tbl_Ventes[[#This Row],[Cde_Prdt]], tbl_Produits[Cde_Prdt], tbl_Produits[Coût Moyen Portion]), 0)</f>
        <v>0</v>
      </c>
      <c r="I830" s="7">
        <f>tbl_Ventes[[#This Row],[Qté Vendue]] * tbl_Ventes[[#This Row],[CMP_par_portion]]</f>
        <v>0</v>
      </c>
      <c r="J830" s="7">
        <f>tbl_Ventes[[#This Row],[CA ligne]] - tbl_Ventes[[#This Row],[Coût matière ligne]]</f>
        <v>0</v>
      </c>
      <c r="K830" s="7" t="str">
        <f>IFERROR(INDEX(tbl_ProduitsRef[Famille], MATCH(tbl_Ventes[[#This Row],[Cde_Prdt]], tbl_Produits[Cde_Prdt], 0)), "")</f>
        <v/>
      </c>
    </row>
    <row r="831" spans="1:11" x14ac:dyDescent="0.25">
      <c r="A831" s="5"/>
      <c r="B831" s="63" t="str">
        <f>IFERROR(TEXT(tbl_Ventes[[#This Row],[Date]],"mm-aaaa"),"")</f>
        <v>01-1900</v>
      </c>
      <c r="D831" s="10" t="str">
        <f>IFERROR(
   INDEX(tbl_ProduitsRef[Cde_Prdt],MATCH(tbl_Ventes[[#This Row],[Produit]],tbl_ProduitsRef[Produit],0)),
   ""
)</f>
        <v/>
      </c>
      <c r="E831" s="7">
        <v>0</v>
      </c>
      <c r="F831" s="7" t="str">
        <f>IFERROR(
   INDEX(tbl_ProduitsRef[Prix Menu],MATCH(tbl_Ventes[[#This Row],[Produit]],tbl_ProduitsRef[Produit],0)),
   ""
)</f>
        <v/>
      </c>
      <c r="G831" s="7">
        <f>tbl_Ventes[[#This Row],[Qté Vendue]] * IFERROR(_xlfn.XLOOKUP(tbl_Ventes[[#This Row],[Cde_Prdt]], tbl_Produits[Cde_Prdt], tbl_Produits[Prix Menu]), 0)</f>
        <v>0</v>
      </c>
      <c r="H831" s="7">
        <f>IFERROR(_xlfn.XLOOKUP(tbl_Ventes[[#This Row],[Cde_Prdt]], tbl_Produits[Cde_Prdt], tbl_Produits[Coût Moyen Portion]), 0)</f>
        <v>0</v>
      </c>
      <c r="I831" s="7">
        <f>tbl_Ventes[[#This Row],[Qté Vendue]] * tbl_Ventes[[#This Row],[CMP_par_portion]]</f>
        <v>0</v>
      </c>
      <c r="J831" s="7">
        <f>tbl_Ventes[[#This Row],[CA ligne]] - tbl_Ventes[[#This Row],[Coût matière ligne]]</f>
        <v>0</v>
      </c>
      <c r="K831" s="7" t="str">
        <f>IFERROR(INDEX(tbl_ProduitsRef[Famille], MATCH(tbl_Ventes[[#This Row],[Cde_Prdt]], tbl_Produits[Cde_Prdt], 0)), "")</f>
        <v/>
      </c>
    </row>
    <row r="832" spans="1:11" x14ac:dyDescent="0.25">
      <c r="A832" s="5"/>
      <c r="B832" s="63" t="str">
        <f>IFERROR(TEXT(tbl_Ventes[[#This Row],[Date]],"mm-aaaa"),"")</f>
        <v>01-1900</v>
      </c>
      <c r="D832" s="10" t="str">
        <f>IFERROR(
   INDEX(tbl_ProduitsRef[Cde_Prdt],MATCH(tbl_Ventes[[#This Row],[Produit]],tbl_ProduitsRef[Produit],0)),
   ""
)</f>
        <v/>
      </c>
      <c r="E832" s="7">
        <v>0</v>
      </c>
      <c r="F832" s="7" t="str">
        <f>IFERROR(
   INDEX(tbl_ProduitsRef[Prix Menu],MATCH(tbl_Ventes[[#This Row],[Produit]],tbl_ProduitsRef[Produit],0)),
   ""
)</f>
        <v/>
      </c>
      <c r="G832" s="7">
        <f>tbl_Ventes[[#This Row],[Qté Vendue]] * IFERROR(_xlfn.XLOOKUP(tbl_Ventes[[#This Row],[Cde_Prdt]], tbl_Produits[Cde_Prdt], tbl_Produits[Prix Menu]), 0)</f>
        <v>0</v>
      </c>
      <c r="H832" s="7">
        <f>IFERROR(_xlfn.XLOOKUP(tbl_Ventes[[#This Row],[Cde_Prdt]], tbl_Produits[Cde_Prdt], tbl_Produits[Coût Moyen Portion]), 0)</f>
        <v>0</v>
      </c>
      <c r="I832" s="7">
        <f>tbl_Ventes[[#This Row],[Qté Vendue]] * tbl_Ventes[[#This Row],[CMP_par_portion]]</f>
        <v>0</v>
      </c>
      <c r="J832" s="7">
        <f>tbl_Ventes[[#This Row],[CA ligne]] - tbl_Ventes[[#This Row],[Coût matière ligne]]</f>
        <v>0</v>
      </c>
      <c r="K832" s="7" t="str">
        <f>IFERROR(INDEX(tbl_ProduitsRef[Famille], MATCH(tbl_Ventes[[#This Row],[Cde_Prdt]], tbl_Produits[Cde_Prdt], 0)), "")</f>
        <v/>
      </c>
    </row>
    <row r="833" spans="1:11" x14ac:dyDescent="0.25">
      <c r="A833" s="5"/>
      <c r="B833" s="63" t="str">
        <f>IFERROR(TEXT(tbl_Ventes[[#This Row],[Date]],"mm-aaaa"),"")</f>
        <v>01-1900</v>
      </c>
      <c r="D833" s="10" t="str">
        <f>IFERROR(
   INDEX(tbl_ProduitsRef[Cde_Prdt],MATCH(tbl_Ventes[[#This Row],[Produit]],tbl_ProduitsRef[Produit],0)),
   ""
)</f>
        <v/>
      </c>
      <c r="E833" s="7">
        <v>0</v>
      </c>
      <c r="F833" s="7" t="str">
        <f>IFERROR(
   INDEX(tbl_ProduitsRef[Prix Menu],MATCH(tbl_Ventes[[#This Row],[Produit]],tbl_ProduitsRef[Produit],0)),
   ""
)</f>
        <v/>
      </c>
      <c r="G833" s="7">
        <f>tbl_Ventes[[#This Row],[Qté Vendue]] * IFERROR(_xlfn.XLOOKUP(tbl_Ventes[[#This Row],[Cde_Prdt]], tbl_Produits[Cde_Prdt], tbl_Produits[Prix Menu]), 0)</f>
        <v>0</v>
      </c>
      <c r="H833" s="7">
        <f>IFERROR(_xlfn.XLOOKUP(tbl_Ventes[[#This Row],[Cde_Prdt]], tbl_Produits[Cde_Prdt], tbl_Produits[Coût Moyen Portion]), 0)</f>
        <v>0</v>
      </c>
      <c r="I833" s="7">
        <f>tbl_Ventes[[#This Row],[Qté Vendue]] * tbl_Ventes[[#This Row],[CMP_par_portion]]</f>
        <v>0</v>
      </c>
      <c r="J833" s="7">
        <f>tbl_Ventes[[#This Row],[CA ligne]] - tbl_Ventes[[#This Row],[Coût matière ligne]]</f>
        <v>0</v>
      </c>
      <c r="K833" s="7" t="str">
        <f>IFERROR(INDEX(tbl_ProduitsRef[Famille], MATCH(tbl_Ventes[[#This Row],[Cde_Prdt]], tbl_Produits[Cde_Prdt], 0)), "")</f>
        <v/>
      </c>
    </row>
    <row r="834" spans="1:11" x14ac:dyDescent="0.25">
      <c r="A834" s="5"/>
      <c r="B834" s="63" t="str">
        <f>IFERROR(TEXT(tbl_Ventes[[#This Row],[Date]],"mm-aaaa"),"")</f>
        <v>01-1900</v>
      </c>
      <c r="D834" s="10" t="str">
        <f>IFERROR(
   INDEX(tbl_ProduitsRef[Cde_Prdt],MATCH(tbl_Ventes[[#This Row],[Produit]],tbl_ProduitsRef[Produit],0)),
   ""
)</f>
        <v/>
      </c>
      <c r="E834" s="7">
        <v>0</v>
      </c>
      <c r="F834" s="7" t="str">
        <f>IFERROR(
   INDEX(tbl_ProduitsRef[Prix Menu],MATCH(tbl_Ventes[[#This Row],[Produit]],tbl_ProduitsRef[Produit],0)),
   ""
)</f>
        <v/>
      </c>
      <c r="G834" s="7">
        <f>tbl_Ventes[[#This Row],[Qté Vendue]] * IFERROR(_xlfn.XLOOKUP(tbl_Ventes[[#This Row],[Cde_Prdt]], tbl_Produits[Cde_Prdt], tbl_Produits[Prix Menu]), 0)</f>
        <v>0</v>
      </c>
      <c r="H834" s="7">
        <f>IFERROR(_xlfn.XLOOKUP(tbl_Ventes[[#This Row],[Cde_Prdt]], tbl_Produits[Cde_Prdt], tbl_Produits[Coût Moyen Portion]), 0)</f>
        <v>0</v>
      </c>
      <c r="I834" s="7">
        <f>tbl_Ventes[[#This Row],[Qté Vendue]] * tbl_Ventes[[#This Row],[CMP_par_portion]]</f>
        <v>0</v>
      </c>
      <c r="J834" s="7">
        <f>tbl_Ventes[[#This Row],[CA ligne]] - tbl_Ventes[[#This Row],[Coût matière ligne]]</f>
        <v>0</v>
      </c>
      <c r="K834" s="7" t="str">
        <f>IFERROR(INDEX(tbl_ProduitsRef[Famille], MATCH(tbl_Ventes[[#This Row],[Cde_Prdt]], tbl_Produits[Cde_Prdt], 0)), "")</f>
        <v/>
      </c>
    </row>
    <row r="835" spans="1:11" x14ac:dyDescent="0.25">
      <c r="A835" s="5"/>
      <c r="B835" s="63" t="str">
        <f>IFERROR(TEXT(tbl_Ventes[[#This Row],[Date]],"mm-aaaa"),"")</f>
        <v>01-1900</v>
      </c>
      <c r="D835" s="10" t="str">
        <f>IFERROR(
   INDEX(tbl_ProduitsRef[Cde_Prdt],MATCH(tbl_Ventes[[#This Row],[Produit]],tbl_ProduitsRef[Produit],0)),
   ""
)</f>
        <v/>
      </c>
      <c r="E835" s="7">
        <v>0</v>
      </c>
      <c r="F835" s="7" t="str">
        <f>IFERROR(
   INDEX(tbl_ProduitsRef[Prix Menu],MATCH(tbl_Ventes[[#This Row],[Produit]],tbl_ProduitsRef[Produit],0)),
   ""
)</f>
        <v/>
      </c>
      <c r="G835" s="7">
        <f>tbl_Ventes[[#This Row],[Qté Vendue]] * IFERROR(_xlfn.XLOOKUP(tbl_Ventes[[#This Row],[Cde_Prdt]], tbl_Produits[Cde_Prdt], tbl_Produits[Prix Menu]), 0)</f>
        <v>0</v>
      </c>
      <c r="H835" s="7">
        <f>IFERROR(_xlfn.XLOOKUP(tbl_Ventes[[#This Row],[Cde_Prdt]], tbl_Produits[Cde_Prdt], tbl_Produits[Coût Moyen Portion]), 0)</f>
        <v>0</v>
      </c>
      <c r="I835" s="7">
        <f>tbl_Ventes[[#This Row],[Qté Vendue]] * tbl_Ventes[[#This Row],[CMP_par_portion]]</f>
        <v>0</v>
      </c>
      <c r="J835" s="7">
        <f>tbl_Ventes[[#This Row],[CA ligne]] - tbl_Ventes[[#This Row],[Coût matière ligne]]</f>
        <v>0</v>
      </c>
      <c r="K835" s="7" t="str">
        <f>IFERROR(INDEX(tbl_ProduitsRef[Famille], MATCH(tbl_Ventes[[#This Row],[Cde_Prdt]], tbl_Produits[Cde_Prdt], 0)), "")</f>
        <v/>
      </c>
    </row>
    <row r="836" spans="1:11" x14ac:dyDescent="0.25">
      <c r="A836" s="5"/>
      <c r="B836" s="63" t="str">
        <f>IFERROR(TEXT(tbl_Ventes[[#This Row],[Date]],"mm-aaaa"),"")</f>
        <v>01-1900</v>
      </c>
      <c r="D836" s="10" t="str">
        <f>IFERROR(
   INDEX(tbl_ProduitsRef[Cde_Prdt],MATCH(tbl_Ventes[[#This Row],[Produit]],tbl_ProduitsRef[Produit],0)),
   ""
)</f>
        <v/>
      </c>
      <c r="E836" s="7">
        <v>0</v>
      </c>
      <c r="F836" s="7" t="str">
        <f>IFERROR(
   INDEX(tbl_ProduitsRef[Prix Menu],MATCH(tbl_Ventes[[#This Row],[Produit]],tbl_ProduitsRef[Produit],0)),
   ""
)</f>
        <v/>
      </c>
      <c r="G836" s="7">
        <f>tbl_Ventes[[#This Row],[Qté Vendue]] * IFERROR(_xlfn.XLOOKUP(tbl_Ventes[[#This Row],[Cde_Prdt]], tbl_Produits[Cde_Prdt], tbl_Produits[Prix Menu]), 0)</f>
        <v>0</v>
      </c>
      <c r="H836" s="7">
        <f>IFERROR(_xlfn.XLOOKUP(tbl_Ventes[[#This Row],[Cde_Prdt]], tbl_Produits[Cde_Prdt], tbl_Produits[Coût Moyen Portion]), 0)</f>
        <v>0</v>
      </c>
      <c r="I836" s="7">
        <f>tbl_Ventes[[#This Row],[Qté Vendue]] * tbl_Ventes[[#This Row],[CMP_par_portion]]</f>
        <v>0</v>
      </c>
      <c r="J836" s="7">
        <f>tbl_Ventes[[#This Row],[CA ligne]] - tbl_Ventes[[#This Row],[Coût matière ligne]]</f>
        <v>0</v>
      </c>
      <c r="K836" s="7" t="str">
        <f>IFERROR(INDEX(tbl_ProduitsRef[Famille], MATCH(tbl_Ventes[[#This Row],[Cde_Prdt]], tbl_Produits[Cde_Prdt], 0)), "")</f>
        <v/>
      </c>
    </row>
    <row r="837" spans="1:11" x14ac:dyDescent="0.25">
      <c r="A837" s="5"/>
      <c r="B837" s="63" t="str">
        <f>IFERROR(TEXT(tbl_Ventes[[#This Row],[Date]],"mm-aaaa"),"")</f>
        <v>01-1900</v>
      </c>
      <c r="D837" s="10" t="str">
        <f>IFERROR(
   INDEX(tbl_ProduitsRef[Cde_Prdt],MATCH(tbl_Ventes[[#This Row],[Produit]],tbl_ProduitsRef[Produit],0)),
   ""
)</f>
        <v/>
      </c>
      <c r="E837" s="7">
        <v>0</v>
      </c>
      <c r="F837" s="7" t="str">
        <f>IFERROR(
   INDEX(tbl_ProduitsRef[Prix Menu],MATCH(tbl_Ventes[[#This Row],[Produit]],tbl_ProduitsRef[Produit],0)),
   ""
)</f>
        <v/>
      </c>
      <c r="G837" s="7">
        <f>tbl_Ventes[[#This Row],[Qté Vendue]] * IFERROR(_xlfn.XLOOKUP(tbl_Ventes[[#This Row],[Cde_Prdt]], tbl_Produits[Cde_Prdt], tbl_Produits[Prix Menu]), 0)</f>
        <v>0</v>
      </c>
      <c r="H837" s="7">
        <f>IFERROR(_xlfn.XLOOKUP(tbl_Ventes[[#This Row],[Cde_Prdt]], tbl_Produits[Cde_Prdt], tbl_Produits[Coût Moyen Portion]), 0)</f>
        <v>0</v>
      </c>
      <c r="I837" s="7">
        <f>tbl_Ventes[[#This Row],[Qté Vendue]] * tbl_Ventes[[#This Row],[CMP_par_portion]]</f>
        <v>0</v>
      </c>
      <c r="J837" s="7">
        <f>tbl_Ventes[[#This Row],[CA ligne]] - tbl_Ventes[[#This Row],[Coût matière ligne]]</f>
        <v>0</v>
      </c>
      <c r="K837" s="7" t="str">
        <f>IFERROR(INDEX(tbl_ProduitsRef[Famille], MATCH(tbl_Ventes[[#This Row],[Cde_Prdt]], tbl_Produits[Cde_Prdt], 0)), "")</f>
        <v/>
      </c>
    </row>
    <row r="838" spans="1:11" x14ac:dyDescent="0.25">
      <c r="A838" s="5"/>
      <c r="B838" s="63" t="str">
        <f>IFERROR(TEXT(tbl_Ventes[[#This Row],[Date]],"mm-aaaa"),"")</f>
        <v>01-1900</v>
      </c>
      <c r="D838" s="10" t="str">
        <f>IFERROR(
   INDEX(tbl_ProduitsRef[Cde_Prdt],MATCH(tbl_Ventes[[#This Row],[Produit]],tbl_ProduitsRef[Produit],0)),
   ""
)</f>
        <v/>
      </c>
      <c r="E838" s="7">
        <v>0</v>
      </c>
      <c r="F838" s="7" t="str">
        <f>IFERROR(
   INDEX(tbl_ProduitsRef[Prix Menu],MATCH(tbl_Ventes[[#This Row],[Produit]],tbl_ProduitsRef[Produit],0)),
   ""
)</f>
        <v/>
      </c>
      <c r="G838" s="7">
        <f>tbl_Ventes[[#This Row],[Qté Vendue]] * IFERROR(_xlfn.XLOOKUP(tbl_Ventes[[#This Row],[Cde_Prdt]], tbl_Produits[Cde_Prdt], tbl_Produits[Prix Menu]), 0)</f>
        <v>0</v>
      </c>
      <c r="H838" s="7">
        <f>IFERROR(_xlfn.XLOOKUP(tbl_Ventes[[#This Row],[Cde_Prdt]], tbl_Produits[Cde_Prdt], tbl_Produits[Coût Moyen Portion]), 0)</f>
        <v>0</v>
      </c>
      <c r="I838" s="7">
        <f>tbl_Ventes[[#This Row],[Qté Vendue]] * tbl_Ventes[[#This Row],[CMP_par_portion]]</f>
        <v>0</v>
      </c>
      <c r="J838" s="7">
        <f>tbl_Ventes[[#This Row],[CA ligne]] - tbl_Ventes[[#This Row],[Coût matière ligne]]</f>
        <v>0</v>
      </c>
      <c r="K838" s="7" t="str">
        <f>IFERROR(INDEX(tbl_ProduitsRef[Famille], MATCH(tbl_Ventes[[#This Row],[Cde_Prdt]], tbl_Produits[Cde_Prdt], 0)), "")</f>
        <v/>
      </c>
    </row>
    <row r="839" spans="1:11" x14ac:dyDescent="0.25">
      <c r="A839" s="5"/>
      <c r="B839" s="63" t="str">
        <f>IFERROR(TEXT(tbl_Ventes[[#This Row],[Date]],"mm-aaaa"),"")</f>
        <v>01-1900</v>
      </c>
      <c r="D839" s="10" t="str">
        <f>IFERROR(
   INDEX(tbl_ProduitsRef[Cde_Prdt],MATCH(tbl_Ventes[[#This Row],[Produit]],tbl_ProduitsRef[Produit],0)),
   ""
)</f>
        <v/>
      </c>
      <c r="E839" s="7">
        <v>0</v>
      </c>
      <c r="F839" s="7" t="str">
        <f>IFERROR(
   INDEX(tbl_ProduitsRef[Prix Menu],MATCH(tbl_Ventes[[#This Row],[Produit]],tbl_ProduitsRef[Produit],0)),
   ""
)</f>
        <v/>
      </c>
      <c r="G839" s="7">
        <f>tbl_Ventes[[#This Row],[Qté Vendue]] * IFERROR(_xlfn.XLOOKUP(tbl_Ventes[[#This Row],[Cde_Prdt]], tbl_Produits[Cde_Prdt], tbl_Produits[Prix Menu]), 0)</f>
        <v>0</v>
      </c>
      <c r="H839" s="7">
        <f>IFERROR(_xlfn.XLOOKUP(tbl_Ventes[[#This Row],[Cde_Prdt]], tbl_Produits[Cde_Prdt], tbl_Produits[Coût Moyen Portion]), 0)</f>
        <v>0</v>
      </c>
      <c r="I839" s="7">
        <f>tbl_Ventes[[#This Row],[Qté Vendue]] * tbl_Ventes[[#This Row],[CMP_par_portion]]</f>
        <v>0</v>
      </c>
      <c r="J839" s="7">
        <f>tbl_Ventes[[#This Row],[CA ligne]] - tbl_Ventes[[#This Row],[Coût matière ligne]]</f>
        <v>0</v>
      </c>
      <c r="K839" s="7" t="str">
        <f>IFERROR(INDEX(tbl_ProduitsRef[Famille], MATCH(tbl_Ventes[[#This Row],[Cde_Prdt]], tbl_Produits[Cde_Prdt], 0)), "")</f>
        <v/>
      </c>
    </row>
    <row r="840" spans="1:11" x14ac:dyDescent="0.25">
      <c r="A840" s="5"/>
      <c r="B840" s="63" t="str">
        <f>IFERROR(TEXT(tbl_Ventes[[#This Row],[Date]],"mm-aaaa"),"")</f>
        <v>01-1900</v>
      </c>
      <c r="D840" s="10" t="str">
        <f>IFERROR(
   INDEX(tbl_ProduitsRef[Cde_Prdt],MATCH(tbl_Ventes[[#This Row],[Produit]],tbl_ProduitsRef[Produit],0)),
   ""
)</f>
        <v/>
      </c>
      <c r="E840" s="7">
        <v>0</v>
      </c>
      <c r="F840" s="7" t="str">
        <f>IFERROR(
   INDEX(tbl_ProduitsRef[Prix Menu],MATCH(tbl_Ventes[[#This Row],[Produit]],tbl_ProduitsRef[Produit],0)),
   ""
)</f>
        <v/>
      </c>
      <c r="G840" s="7">
        <f>tbl_Ventes[[#This Row],[Qté Vendue]] * IFERROR(_xlfn.XLOOKUP(tbl_Ventes[[#This Row],[Cde_Prdt]], tbl_Produits[Cde_Prdt], tbl_Produits[Prix Menu]), 0)</f>
        <v>0</v>
      </c>
      <c r="H840" s="7">
        <f>IFERROR(_xlfn.XLOOKUP(tbl_Ventes[[#This Row],[Cde_Prdt]], tbl_Produits[Cde_Prdt], tbl_Produits[Coût Moyen Portion]), 0)</f>
        <v>0</v>
      </c>
      <c r="I840" s="7">
        <f>tbl_Ventes[[#This Row],[Qté Vendue]] * tbl_Ventes[[#This Row],[CMP_par_portion]]</f>
        <v>0</v>
      </c>
      <c r="J840" s="7">
        <f>tbl_Ventes[[#This Row],[CA ligne]] - tbl_Ventes[[#This Row],[Coût matière ligne]]</f>
        <v>0</v>
      </c>
      <c r="K840" s="7" t="str">
        <f>IFERROR(INDEX(tbl_ProduitsRef[Famille], MATCH(tbl_Ventes[[#This Row],[Cde_Prdt]], tbl_Produits[Cde_Prdt], 0)), "")</f>
        <v/>
      </c>
    </row>
    <row r="841" spans="1:11" x14ac:dyDescent="0.25">
      <c r="A841" s="5"/>
      <c r="B841" s="63" t="str">
        <f>IFERROR(TEXT(tbl_Ventes[[#This Row],[Date]],"mm-aaaa"),"")</f>
        <v>01-1900</v>
      </c>
      <c r="D841" s="10" t="str">
        <f>IFERROR(
   INDEX(tbl_ProduitsRef[Cde_Prdt],MATCH(tbl_Ventes[[#This Row],[Produit]],tbl_ProduitsRef[Produit],0)),
   ""
)</f>
        <v/>
      </c>
      <c r="E841" s="7">
        <v>0</v>
      </c>
      <c r="F841" s="7" t="str">
        <f>IFERROR(
   INDEX(tbl_ProduitsRef[Prix Menu],MATCH(tbl_Ventes[[#This Row],[Produit]],tbl_ProduitsRef[Produit],0)),
   ""
)</f>
        <v/>
      </c>
      <c r="G841" s="7">
        <f>tbl_Ventes[[#This Row],[Qté Vendue]] * IFERROR(_xlfn.XLOOKUP(tbl_Ventes[[#This Row],[Cde_Prdt]], tbl_Produits[Cde_Prdt], tbl_Produits[Prix Menu]), 0)</f>
        <v>0</v>
      </c>
      <c r="H841" s="7">
        <f>IFERROR(_xlfn.XLOOKUP(tbl_Ventes[[#This Row],[Cde_Prdt]], tbl_Produits[Cde_Prdt], tbl_Produits[Coût Moyen Portion]), 0)</f>
        <v>0</v>
      </c>
      <c r="I841" s="7">
        <f>tbl_Ventes[[#This Row],[Qté Vendue]] * tbl_Ventes[[#This Row],[CMP_par_portion]]</f>
        <v>0</v>
      </c>
      <c r="J841" s="7">
        <f>tbl_Ventes[[#This Row],[CA ligne]] - tbl_Ventes[[#This Row],[Coût matière ligne]]</f>
        <v>0</v>
      </c>
      <c r="K841" s="7" t="str">
        <f>IFERROR(INDEX(tbl_ProduitsRef[Famille], MATCH(tbl_Ventes[[#This Row],[Cde_Prdt]], tbl_Produits[Cde_Prdt], 0)), "")</f>
        <v/>
      </c>
    </row>
    <row r="842" spans="1:11" x14ac:dyDescent="0.25">
      <c r="A842" s="5"/>
      <c r="B842" s="63" t="str">
        <f>IFERROR(TEXT(tbl_Ventes[[#This Row],[Date]],"mm-aaaa"),"")</f>
        <v>01-1900</v>
      </c>
      <c r="D842" s="10" t="str">
        <f>IFERROR(
   INDEX(tbl_ProduitsRef[Cde_Prdt],MATCH(tbl_Ventes[[#This Row],[Produit]],tbl_ProduitsRef[Produit],0)),
   ""
)</f>
        <v/>
      </c>
      <c r="E842" s="7">
        <v>0</v>
      </c>
      <c r="F842" s="7" t="str">
        <f>IFERROR(
   INDEX(tbl_ProduitsRef[Prix Menu],MATCH(tbl_Ventes[[#This Row],[Produit]],tbl_ProduitsRef[Produit],0)),
   ""
)</f>
        <v/>
      </c>
      <c r="G842" s="7">
        <f>tbl_Ventes[[#This Row],[Qté Vendue]] * IFERROR(_xlfn.XLOOKUP(tbl_Ventes[[#This Row],[Cde_Prdt]], tbl_Produits[Cde_Prdt], tbl_Produits[Prix Menu]), 0)</f>
        <v>0</v>
      </c>
      <c r="H842" s="7">
        <f>IFERROR(_xlfn.XLOOKUP(tbl_Ventes[[#This Row],[Cde_Prdt]], tbl_Produits[Cde_Prdt], tbl_Produits[Coût Moyen Portion]), 0)</f>
        <v>0</v>
      </c>
      <c r="I842" s="7">
        <f>tbl_Ventes[[#This Row],[Qté Vendue]] * tbl_Ventes[[#This Row],[CMP_par_portion]]</f>
        <v>0</v>
      </c>
      <c r="J842" s="7">
        <f>tbl_Ventes[[#This Row],[CA ligne]] - tbl_Ventes[[#This Row],[Coût matière ligne]]</f>
        <v>0</v>
      </c>
      <c r="K842" s="7" t="str">
        <f>IFERROR(INDEX(tbl_ProduitsRef[Famille], MATCH(tbl_Ventes[[#This Row],[Cde_Prdt]], tbl_Produits[Cde_Prdt], 0)), "")</f>
        <v/>
      </c>
    </row>
    <row r="843" spans="1:11" x14ac:dyDescent="0.25">
      <c r="A843" s="5"/>
      <c r="B843" s="63" t="str">
        <f>IFERROR(TEXT(tbl_Ventes[[#This Row],[Date]],"mm-aaaa"),"")</f>
        <v>01-1900</v>
      </c>
      <c r="D843" s="10" t="str">
        <f>IFERROR(
   INDEX(tbl_ProduitsRef[Cde_Prdt],MATCH(tbl_Ventes[[#This Row],[Produit]],tbl_ProduitsRef[Produit],0)),
   ""
)</f>
        <v/>
      </c>
      <c r="E843" s="7">
        <v>0</v>
      </c>
      <c r="F843" s="7" t="str">
        <f>IFERROR(
   INDEX(tbl_ProduitsRef[Prix Menu],MATCH(tbl_Ventes[[#This Row],[Produit]],tbl_ProduitsRef[Produit],0)),
   ""
)</f>
        <v/>
      </c>
      <c r="G843" s="7">
        <f>tbl_Ventes[[#This Row],[Qté Vendue]] * IFERROR(_xlfn.XLOOKUP(tbl_Ventes[[#This Row],[Cde_Prdt]], tbl_Produits[Cde_Prdt], tbl_Produits[Prix Menu]), 0)</f>
        <v>0</v>
      </c>
      <c r="H843" s="7">
        <f>IFERROR(_xlfn.XLOOKUP(tbl_Ventes[[#This Row],[Cde_Prdt]], tbl_Produits[Cde_Prdt], tbl_Produits[Coût Moyen Portion]), 0)</f>
        <v>0</v>
      </c>
      <c r="I843" s="7">
        <f>tbl_Ventes[[#This Row],[Qté Vendue]] * tbl_Ventes[[#This Row],[CMP_par_portion]]</f>
        <v>0</v>
      </c>
      <c r="J843" s="7">
        <f>tbl_Ventes[[#This Row],[CA ligne]] - tbl_Ventes[[#This Row],[Coût matière ligne]]</f>
        <v>0</v>
      </c>
      <c r="K843" s="7" t="str">
        <f>IFERROR(INDEX(tbl_ProduitsRef[Famille], MATCH(tbl_Ventes[[#This Row],[Cde_Prdt]], tbl_Produits[Cde_Prdt], 0)), "")</f>
        <v/>
      </c>
    </row>
    <row r="844" spans="1:11" x14ac:dyDescent="0.25">
      <c r="A844" s="5"/>
      <c r="B844" s="63" t="str">
        <f>IFERROR(TEXT(tbl_Ventes[[#This Row],[Date]],"mm-aaaa"),"")</f>
        <v>01-1900</v>
      </c>
      <c r="D844" s="10" t="str">
        <f>IFERROR(
   INDEX(tbl_ProduitsRef[Cde_Prdt],MATCH(tbl_Ventes[[#This Row],[Produit]],tbl_ProduitsRef[Produit],0)),
   ""
)</f>
        <v/>
      </c>
      <c r="E844" s="7">
        <v>0</v>
      </c>
      <c r="F844" s="7" t="str">
        <f>IFERROR(
   INDEX(tbl_ProduitsRef[Prix Menu],MATCH(tbl_Ventes[[#This Row],[Produit]],tbl_ProduitsRef[Produit],0)),
   ""
)</f>
        <v/>
      </c>
      <c r="G844" s="7">
        <f>tbl_Ventes[[#This Row],[Qté Vendue]] * IFERROR(_xlfn.XLOOKUP(tbl_Ventes[[#This Row],[Cde_Prdt]], tbl_Produits[Cde_Prdt], tbl_Produits[Prix Menu]), 0)</f>
        <v>0</v>
      </c>
      <c r="H844" s="7">
        <f>IFERROR(_xlfn.XLOOKUP(tbl_Ventes[[#This Row],[Cde_Prdt]], tbl_Produits[Cde_Prdt], tbl_Produits[Coût Moyen Portion]), 0)</f>
        <v>0</v>
      </c>
      <c r="I844" s="7">
        <f>tbl_Ventes[[#This Row],[Qté Vendue]] * tbl_Ventes[[#This Row],[CMP_par_portion]]</f>
        <v>0</v>
      </c>
      <c r="J844" s="7">
        <f>tbl_Ventes[[#This Row],[CA ligne]] - tbl_Ventes[[#This Row],[Coût matière ligne]]</f>
        <v>0</v>
      </c>
      <c r="K844" s="7" t="str">
        <f>IFERROR(INDEX(tbl_ProduitsRef[Famille], MATCH(tbl_Ventes[[#This Row],[Cde_Prdt]], tbl_Produits[Cde_Prdt], 0)), "")</f>
        <v/>
      </c>
    </row>
    <row r="845" spans="1:11" x14ac:dyDescent="0.25">
      <c r="A845" s="5"/>
      <c r="B845" s="63" t="str">
        <f>IFERROR(TEXT(tbl_Ventes[[#This Row],[Date]],"mm-aaaa"),"")</f>
        <v>01-1900</v>
      </c>
      <c r="D845" s="10" t="str">
        <f>IFERROR(
   INDEX(tbl_ProduitsRef[Cde_Prdt],MATCH(tbl_Ventes[[#This Row],[Produit]],tbl_ProduitsRef[Produit],0)),
   ""
)</f>
        <v/>
      </c>
      <c r="E845" s="7">
        <v>0</v>
      </c>
      <c r="F845" s="7" t="str">
        <f>IFERROR(
   INDEX(tbl_ProduitsRef[Prix Menu],MATCH(tbl_Ventes[[#This Row],[Produit]],tbl_ProduitsRef[Produit],0)),
   ""
)</f>
        <v/>
      </c>
      <c r="G845" s="7">
        <f>tbl_Ventes[[#This Row],[Qté Vendue]] * IFERROR(_xlfn.XLOOKUP(tbl_Ventes[[#This Row],[Cde_Prdt]], tbl_Produits[Cde_Prdt], tbl_Produits[Prix Menu]), 0)</f>
        <v>0</v>
      </c>
      <c r="H845" s="7">
        <f>IFERROR(_xlfn.XLOOKUP(tbl_Ventes[[#This Row],[Cde_Prdt]], tbl_Produits[Cde_Prdt], tbl_Produits[Coût Moyen Portion]), 0)</f>
        <v>0</v>
      </c>
      <c r="I845" s="7">
        <f>tbl_Ventes[[#This Row],[Qté Vendue]] * tbl_Ventes[[#This Row],[CMP_par_portion]]</f>
        <v>0</v>
      </c>
      <c r="J845" s="7">
        <f>tbl_Ventes[[#This Row],[CA ligne]] - tbl_Ventes[[#This Row],[Coût matière ligne]]</f>
        <v>0</v>
      </c>
      <c r="K845" s="7" t="str">
        <f>IFERROR(INDEX(tbl_ProduitsRef[Famille], MATCH(tbl_Ventes[[#This Row],[Cde_Prdt]], tbl_Produits[Cde_Prdt], 0)), "")</f>
        <v/>
      </c>
    </row>
    <row r="846" spans="1:11" x14ac:dyDescent="0.25">
      <c r="A846" s="5"/>
      <c r="B846" s="63" t="str">
        <f>IFERROR(TEXT(tbl_Ventes[[#This Row],[Date]],"mm-aaaa"),"")</f>
        <v>01-1900</v>
      </c>
      <c r="D846" s="10" t="str">
        <f>IFERROR(
   INDEX(tbl_ProduitsRef[Cde_Prdt],MATCH(tbl_Ventes[[#This Row],[Produit]],tbl_ProduitsRef[Produit],0)),
   ""
)</f>
        <v/>
      </c>
      <c r="E846" s="7">
        <v>0</v>
      </c>
      <c r="F846" s="7" t="str">
        <f>IFERROR(
   INDEX(tbl_ProduitsRef[Prix Menu],MATCH(tbl_Ventes[[#This Row],[Produit]],tbl_ProduitsRef[Produit],0)),
   ""
)</f>
        <v/>
      </c>
      <c r="G846" s="7">
        <f>tbl_Ventes[[#This Row],[Qté Vendue]] * IFERROR(_xlfn.XLOOKUP(tbl_Ventes[[#This Row],[Cde_Prdt]], tbl_Produits[Cde_Prdt], tbl_Produits[Prix Menu]), 0)</f>
        <v>0</v>
      </c>
      <c r="H846" s="7">
        <f>IFERROR(_xlfn.XLOOKUP(tbl_Ventes[[#This Row],[Cde_Prdt]], tbl_Produits[Cde_Prdt], tbl_Produits[Coût Moyen Portion]), 0)</f>
        <v>0</v>
      </c>
      <c r="I846" s="7">
        <f>tbl_Ventes[[#This Row],[Qté Vendue]] * tbl_Ventes[[#This Row],[CMP_par_portion]]</f>
        <v>0</v>
      </c>
      <c r="J846" s="7">
        <f>tbl_Ventes[[#This Row],[CA ligne]] - tbl_Ventes[[#This Row],[Coût matière ligne]]</f>
        <v>0</v>
      </c>
      <c r="K846" s="7" t="str">
        <f>IFERROR(INDEX(tbl_ProduitsRef[Famille], MATCH(tbl_Ventes[[#This Row],[Cde_Prdt]], tbl_Produits[Cde_Prdt], 0)), "")</f>
        <v/>
      </c>
    </row>
    <row r="847" spans="1:11" x14ac:dyDescent="0.25">
      <c r="A847" s="5"/>
      <c r="B847" s="63" t="str">
        <f>IFERROR(TEXT(tbl_Ventes[[#This Row],[Date]],"mm-aaaa"),"")</f>
        <v>01-1900</v>
      </c>
      <c r="D847" s="10" t="str">
        <f>IFERROR(
   INDEX(tbl_ProduitsRef[Cde_Prdt],MATCH(tbl_Ventes[[#This Row],[Produit]],tbl_ProduitsRef[Produit],0)),
   ""
)</f>
        <v/>
      </c>
      <c r="E847" s="7">
        <v>0</v>
      </c>
      <c r="F847" s="7" t="str">
        <f>IFERROR(
   INDEX(tbl_ProduitsRef[Prix Menu],MATCH(tbl_Ventes[[#This Row],[Produit]],tbl_ProduitsRef[Produit],0)),
   ""
)</f>
        <v/>
      </c>
      <c r="G847" s="7">
        <f>tbl_Ventes[[#This Row],[Qté Vendue]] * IFERROR(_xlfn.XLOOKUP(tbl_Ventes[[#This Row],[Cde_Prdt]], tbl_Produits[Cde_Prdt], tbl_Produits[Prix Menu]), 0)</f>
        <v>0</v>
      </c>
      <c r="H847" s="7">
        <f>IFERROR(_xlfn.XLOOKUP(tbl_Ventes[[#This Row],[Cde_Prdt]], tbl_Produits[Cde_Prdt], tbl_Produits[Coût Moyen Portion]), 0)</f>
        <v>0</v>
      </c>
      <c r="I847" s="7">
        <f>tbl_Ventes[[#This Row],[Qté Vendue]] * tbl_Ventes[[#This Row],[CMP_par_portion]]</f>
        <v>0</v>
      </c>
      <c r="J847" s="7">
        <f>tbl_Ventes[[#This Row],[CA ligne]] - tbl_Ventes[[#This Row],[Coût matière ligne]]</f>
        <v>0</v>
      </c>
      <c r="K847" s="7" t="str">
        <f>IFERROR(INDEX(tbl_ProduitsRef[Famille], MATCH(tbl_Ventes[[#This Row],[Cde_Prdt]], tbl_Produits[Cde_Prdt], 0)), "")</f>
        <v/>
      </c>
    </row>
    <row r="848" spans="1:11" x14ac:dyDescent="0.25">
      <c r="A848" s="5"/>
      <c r="B848" s="63" t="str">
        <f>IFERROR(TEXT(tbl_Ventes[[#This Row],[Date]],"mm-aaaa"),"")</f>
        <v>01-1900</v>
      </c>
      <c r="D848" s="10" t="str">
        <f>IFERROR(
   INDEX(tbl_ProduitsRef[Cde_Prdt],MATCH(tbl_Ventes[[#This Row],[Produit]],tbl_ProduitsRef[Produit],0)),
   ""
)</f>
        <v/>
      </c>
      <c r="E848" s="7">
        <v>0</v>
      </c>
      <c r="F848" s="7" t="str">
        <f>IFERROR(
   INDEX(tbl_ProduitsRef[Prix Menu],MATCH(tbl_Ventes[[#This Row],[Produit]],tbl_ProduitsRef[Produit],0)),
   ""
)</f>
        <v/>
      </c>
      <c r="G848" s="7">
        <f>tbl_Ventes[[#This Row],[Qté Vendue]] * IFERROR(_xlfn.XLOOKUP(tbl_Ventes[[#This Row],[Cde_Prdt]], tbl_Produits[Cde_Prdt], tbl_Produits[Prix Menu]), 0)</f>
        <v>0</v>
      </c>
      <c r="H848" s="7">
        <f>IFERROR(_xlfn.XLOOKUP(tbl_Ventes[[#This Row],[Cde_Prdt]], tbl_Produits[Cde_Prdt], tbl_Produits[Coût Moyen Portion]), 0)</f>
        <v>0</v>
      </c>
      <c r="I848" s="7">
        <f>tbl_Ventes[[#This Row],[Qté Vendue]] * tbl_Ventes[[#This Row],[CMP_par_portion]]</f>
        <v>0</v>
      </c>
      <c r="J848" s="7">
        <f>tbl_Ventes[[#This Row],[CA ligne]] - tbl_Ventes[[#This Row],[Coût matière ligne]]</f>
        <v>0</v>
      </c>
      <c r="K848" s="7" t="str">
        <f>IFERROR(INDEX(tbl_ProduitsRef[Famille], MATCH(tbl_Ventes[[#This Row],[Cde_Prdt]], tbl_Produits[Cde_Prdt], 0)), "")</f>
        <v/>
      </c>
    </row>
    <row r="849" spans="1:11" x14ac:dyDescent="0.25">
      <c r="A849" s="5"/>
      <c r="B849" s="63" t="str">
        <f>IFERROR(TEXT(tbl_Ventes[[#This Row],[Date]],"mm-aaaa"),"")</f>
        <v>01-1900</v>
      </c>
      <c r="D849" s="10" t="str">
        <f>IFERROR(
   INDEX(tbl_ProduitsRef[Cde_Prdt],MATCH(tbl_Ventes[[#This Row],[Produit]],tbl_ProduitsRef[Produit],0)),
   ""
)</f>
        <v/>
      </c>
      <c r="E849" s="7">
        <v>0</v>
      </c>
      <c r="F849" s="7" t="str">
        <f>IFERROR(
   INDEX(tbl_ProduitsRef[Prix Menu],MATCH(tbl_Ventes[[#This Row],[Produit]],tbl_ProduitsRef[Produit],0)),
   ""
)</f>
        <v/>
      </c>
      <c r="G849" s="7">
        <f>tbl_Ventes[[#This Row],[Qté Vendue]] * IFERROR(_xlfn.XLOOKUP(tbl_Ventes[[#This Row],[Cde_Prdt]], tbl_Produits[Cde_Prdt], tbl_Produits[Prix Menu]), 0)</f>
        <v>0</v>
      </c>
      <c r="H849" s="7">
        <f>IFERROR(_xlfn.XLOOKUP(tbl_Ventes[[#This Row],[Cde_Prdt]], tbl_Produits[Cde_Prdt], tbl_Produits[Coût Moyen Portion]), 0)</f>
        <v>0</v>
      </c>
      <c r="I849" s="7">
        <f>tbl_Ventes[[#This Row],[Qté Vendue]] * tbl_Ventes[[#This Row],[CMP_par_portion]]</f>
        <v>0</v>
      </c>
      <c r="J849" s="7">
        <f>tbl_Ventes[[#This Row],[CA ligne]] - tbl_Ventes[[#This Row],[Coût matière ligne]]</f>
        <v>0</v>
      </c>
      <c r="K849" s="7" t="str">
        <f>IFERROR(INDEX(tbl_ProduitsRef[Famille], MATCH(tbl_Ventes[[#This Row],[Cde_Prdt]], tbl_Produits[Cde_Prdt], 0)), "")</f>
        <v/>
      </c>
    </row>
    <row r="850" spans="1:11" x14ac:dyDescent="0.25">
      <c r="A850" s="5"/>
      <c r="B850" s="63" t="str">
        <f>IFERROR(TEXT(tbl_Ventes[[#This Row],[Date]],"mm-aaaa"),"")</f>
        <v>01-1900</v>
      </c>
      <c r="D850" s="10" t="str">
        <f>IFERROR(
   INDEX(tbl_ProduitsRef[Cde_Prdt],MATCH(tbl_Ventes[[#This Row],[Produit]],tbl_ProduitsRef[Produit],0)),
   ""
)</f>
        <v/>
      </c>
      <c r="E850" s="7">
        <v>0</v>
      </c>
      <c r="F850" s="7" t="str">
        <f>IFERROR(
   INDEX(tbl_ProduitsRef[Prix Menu],MATCH(tbl_Ventes[[#This Row],[Produit]],tbl_ProduitsRef[Produit],0)),
   ""
)</f>
        <v/>
      </c>
      <c r="G850" s="7">
        <f>tbl_Ventes[[#This Row],[Qté Vendue]] * IFERROR(_xlfn.XLOOKUP(tbl_Ventes[[#This Row],[Cde_Prdt]], tbl_Produits[Cde_Prdt], tbl_Produits[Prix Menu]), 0)</f>
        <v>0</v>
      </c>
      <c r="H850" s="7">
        <f>IFERROR(_xlfn.XLOOKUP(tbl_Ventes[[#This Row],[Cde_Prdt]], tbl_Produits[Cde_Prdt], tbl_Produits[Coût Moyen Portion]), 0)</f>
        <v>0</v>
      </c>
      <c r="I850" s="7">
        <f>tbl_Ventes[[#This Row],[Qté Vendue]] * tbl_Ventes[[#This Row],[CMP_par_portion]]</f>
        <v>0</v>
      </c>
      <c r="J850" s="7">
        <f>tbl_Ventes[[#This Row],[CA ligne]] - tbl_Ventes[[#This Row],[Coût matière ligne]]</f>
        <v>0</v>
      </c>
      <c r="K850" s="7" t="str">
        <f>IFERROR(INDEX(tbl_ProduitsRef[Famille], MATCH(tbl_Ventes[[#This Row],[Cde_Prdt]], tbl_Produits[Cde_Prdt], 0)), "")</f>
        <v/>
      </c>
    </row>
    <row r="851" spans="1:11" x14ac:dyDescent="0.25">
      <c r="A851" s="5"/>
      <c r="B851" s="63" t="str">
        <f>IFERROR(TEXT(tbl_Ventes[[#This Row],[Date]],"mm-aaaa"),"")</f>
        <v>01-1900</v>
      </c>
      <c r="D851" s="10" t="str">
        <f>IFERROR(
   INDEX(tbl_ProduitsRef[Cde_Prdt],MATCH(tbl_Ventes[[#This Row],[Produit]],tbl_ProduitsRef[Produit],0)),
   ""
)</f>
        <v/>
      </c>
      <c r="E851" s="7">
        <v>0</v>
      </c>
      <c r="F851" s="7" t="str">
        <f>IFERROR(
   INDEX(tbl_ProduitsRef[Prix Menu],MATCH(tbl_Ventes[[#This Row],[Produit]],tbl_ProduitsRef[Produit],0)),
   ""
)</f>
        <v/>
      </c>
      <c r="G851" s="7">
        <f>tbl_Ventes[[#This Row],[Qté Vendue]] * IFERROR(_xlfn.XLOOKUP(tbl_Ventes[[#This Row],[Cde_Prdt]], tbl_Produits[Cde_Prdt], tbl_Produits[Prix Menu]), 0)</f>
        <v>0</v>
      </c>
      <c r="H851" s="7">
        <f>IFERROR(_xlfn.XLOOKUP(tbl_Ventes[[#This Row],[Cde_Prdt]], tbl_Produits[Cde_Prdt], tbl_Produits[Coût Moyen Portion]), 0)</f>
        <v>0</v>
      </c>
      <c r="I851" s="7">
        <f>tbl_Ventes[[#This Row],[Qté Vendue]] * tbl_Ventes[[#This Row],[CMP_par_portion]]</f>
        <v>0</v>
      </c>
      <c r="J851" s="7">
        <f>tbl_Ventes[[#This Row],[CA ligne]] - tbl_Ventes[[#This Row],[Coût matière ligne]]</f>
        <v>0</v>
      </c>
      <c r="K851" s="7" t="str">
        <f>IFERROR(INDEX(tbl_ProduitsRef[Famille], MATCH(tbl_Ventes[[#This Row],[Cde_Prdt]], tbl_Produits[Cde_Prdt], 0)), "")</f>
        <v/>
      </c>
    </row>
    <row r="852" spans="1:11" x14ac:dyDescent="0.25">
      <c r="A852" s="5"/>
      <c r="B852" s="63" t="str">
        <f>IFERROR(TEXT(tbl_Ventes[[#This Row],[Date]],"mm-aaaa"),"")</f>
        <v>01-1900</v>
      </c>
      <c r="D852" s="10" t="str">
        <f>IFERROR(
   INDEX(tbl_ProduitsRef[Cde_Prdt],MATCH(tbl_Ventes[[#This Row],[Produit]],tbl_ProduitsRef[Produit],0)),
   ""
)</f>
        <v/>
      </c>
      <c r="E852" s="7">
        <v>0</v>
      </c>
      <c r="F852" s="7" t="str">
        <f>IFERROR(
   INDEX(tbl_ProduitsRef[Prix Menu],MATCH(tbl_Ventes[[#This Row],[Produit]],tbl_ProduitsRef[Produit],0)),
   ""
)</f>
        <v/>
      </c>
      <c r="G852" s="7">
        <f>tbl_Ventes[[#This Row],[Qté Vendue]] * IFERROR(_xlfn.XLOOKUP(tbl_Ventes[[#This Row],[Cde_Prdt]], tbl_Produits[Cde_Prdt], tbl_Produits[Prix Menu]), 0)</f>
        <v>0</v>
      </c>
      <c r="H852" s="7">
        <f>IFERROR(_xlfn.XLOOKUP(tbl_Ventes[[#This Row],[Cde_Prdt]], tbl_Produits[Cde_Prdt], tbl_Produits[Coût Moyen Portion]), 0)</f>
        <v>0</v>
      </c>
      <c r="I852" s="7">
        <f>tbl_Ventes[[#This Row],[Qté Vendue]] * tbl_Ventes[[#This Row],[CMP_par_portion]]</f>
        <v>0</v>
      </c>
      <c r="J852" s="7">
        <f>tbl_Ventes[[#This Row],[CA ligne]] - tbl_Ventes[[#This Row],[Coût matière ligne]]</f>
        <v>0</v>
      </c>
      <c r="K852" s="7" t="str">
        <f>IFERROR(INDEX(tbl_ProduitsRef[Famille], MATCH(tbl_Ventes[[#This Row],[Cde_Prdt]], tbl_Produits[Cde_Prdt], 0)), "")</f>
        <v/>
      </c>
    </row>
    <row r="853" spans="1:11" x14ac:dyDescent="0.25">
      <c r="A853" s="5"/>
      <c r="B853" s="63" t="str">
        <f>IFERROR(TEXT(tbl_Ventes[[#This Row],[Date]],"mm-aaaa"),"")</f>
        <v>01-1900</v>
      </c>
      <c r="D853" s="10" t="str">
        <f>IFERROR(
   INDEX(tbl_ProduitsRef[Cde_Prdt],MATCH(tbl_Ventes[[#This Row],[Produit]],tbl_ProduitsRef[Produit],0)),
   ""
)</f>
        <v/>
      </c>
      <c r="E853" s="7">
        <v>0</v>
      </c>
      <c r="F853" s="7" t="str">
        <f>IFERROR(
   INDEX(tbl_ProduitsRef[Prix Menu],MATCH(tbl_Ventes[[#This Row],[Produit]],tbl_ProduitsRef[Produit],0)),
   ""
)</f>
        <v/>
      </c>
      <c r="G853" s="7">
        <f>tbl_Ventes[[#This Row],[Qté Vendue]] * IFERROR(_xlfn.XLOOKUP(tbl_Ventes[[#This Row],[Cde_Prdt]], tbl_Produits[Cde_Prdt], tbl_Produits[Prix Menu]), 0)</f>
        <v>0</v>
      </c>
      <c r="H853" s="7">
        <f>IFERROR(_xlfn.XLOOKUP(tbl_Ventes[[#This Row],[Cde_Prdt]], tbl_Produits[Cde_Prdt], tbl_Produits[Coût Moyen Portion]), 0)</f>
        <v>0</v>
      </c>
      <c r="I853" s="7">
        <f>tbl_Ventes[[#This Row],[Qté Vendue]] * tbl_Ventes[[#This Row],[CMP_par_portion]]</f>
        <v>0</v>
      </c>
      <c r="J853" s="7">
        <f>tbl_Ventes[[#This Row],[CA ligne]] - tbl_Ventes[[#This Row],[Coût matière ligne]]</f>
        <v>0</v>
      </c>
      <c r="K853" s="7" t="str">
        <f>IFERROR(INDEX(tbl_ProduitsRef[Famille], MATCH(tbl_Ventes[[#This Row],[Cde_Prdt]], tbl_Produits[Cde_Prdt], 0)), "")</f>
        <v/>
      </c>
    </row>
    <row r="854" spans="1:11" x14ac:dyDescent="0.25">
      <c r="A854" s="5"/>
      <c r="B854" s="63" t="str">
        <f>IFERROR(TEXT(tbl_Ventes[[#This Row],[Date]],"mm-aaaa"),"")</f>
        <v>01-1900</v>
      </c>
      <c r="D854" s="10" t="str">
        <f>IFERROR(
   INDEX(tbl_ProduitsRef[Cde_Prdt],MATCH(tbl_Ventes[[#This Row],[Produit]],tbl_ProduitsRef[Produit],0)),
   ""
)</f>
        <v/>
      </c>
      <c r="E854" s="7">
        <v>0</v>
      </c>
      <c r="F854" s="7" t="str">
        <f>IFERROR(
   INDEX(tbl_ProduitsRef[Prix Menu],MATCH(tbl_Ventes[[#This Row],[Produit]],tbl_ProduitsRef[Produit],0)),
   ""
)</f>
        <v/>
      </c>
      <c r="G854" s="7">
        <f>tbl_Ventes[[#This Row],[Qté Vendue]] * IFERROR(_xlfn.XLOOKUP(tbl_Ventes[[#This Row],[Cde_Prdt]], tbl_Produits[Cde_Prdt], tbl_Produits[Prix Menu]), 0)</f>
        <v>0</v>
      </c>
      <c r="H854" s="7">
        <f>IFERROR(_xlfn.XLOOKUP(tbl_Ventes[[#This Row],[Cde_Prdt]], tbl_Produits[Cde_Prdt], tbl_Produits[Coût Moyen Portion]), 0)</f>
        <v>0</v>
      </c>
      <c r="I854" s="7">
        <f>tbl_Ventes[[#This Row],[Qté Vendue]] * tbl_Ventes[[#This Row],[CMP_par_portion]]</f>
        <v>0</v>
      </c>
      <c r="J854" s="7">
        <f>tbl_Ventes[[#This Row],[CA ligne]] - tbl_Ventes[[#This Row],[Coût matière ligne]]</f>
        <v>0</v>
      </c>
      <c r="K854" s="7" t="str">
        <f>IFERROR(INDEX(tbl_ProduitsRef[Famille], MATCH(tbl_Ventes[[#This Row],[Cde_Prdt]], tbl_Produits[Cde_Prdt], 0)), "")</f>
        <v/>
      </c>
    </row>
    <row r="855" spans="1:11" x14ac:dyDescent="0.25">
      <c r="A855" s="5"/>
      <c r="B855" s="63" t="str">
        <f>IFERROR(TEXT(tbl_Ventes[[#This Row],[Date]],"mm-aaaa"),"")</f>
        <v>01-1900</v>
      </c>
      <c r="D855" s="10" t="str">
        <f>IFERROR(
   INDEX(tbl_ProduitsRef[Cde_Prdt],MATCH(tbl_Ventes[[#This Row],[Produit]],tbl_ProduitsRef[Produit],0)),
   ""
)</f>
        <v/>
      </c>
      <c r="E855" s="7">
        <v>0</v>
      </c>
      <c r="F855" s="7" t="str">
        <f>IFERROR(
   INDEX(tbl_ProduitsRef[Prix Menu],MATCH(tbl_Ventes[[#This Row],[Produit]],tbl_ProduitsRef[Produit],0)),
   ""
)</f>
        <v/>
      </c>
      <c r="G855" s="7">
        <f>tbl_Ventes[[#This Row],[Qté Vendue]] * IFERROR(_xlfn.XLOOKUP(tbl_Ventes[[#This Row],[Cde_Prdt]], tbl_Produits[Cde_Prdt], tbl_Produits[Prix Menu]), 0)</f>
        <v>0</v>
      </c>
      <c r="H855" s="7">
        <f>IFERROR(_xlfn.XLOOKUP(tbl_Ventes[[#This Row],[Cde_Prdt]], tbl_Produits[Cde_Prdt], tbl_Produits[Coût Moyen Portion]), 0)</f>
        <v>0</v>
      </c>
      <c r="I855" s="7">
        <f>tbl_Ventes[[#This Row],[Qté Vendue]] * tbl_Ventes[[#This Row],[CMP_par_portion]]</f>
        <v>0</v>
      </c>
      <c r="J855" s="7">
        <f>tbl_Ventes[[#This Row],[CA ligne]] - tbl_Ventes[[#This Row],[Coût matière ligne]]</f>
        <v>0</v>
      </c>
      <c r="K855" s="7" t="str">
        <f>IFERROR(INDEX(tbl_ProduitsRef[Famille], MATCH(tbl_Ventes[[#This Row],[Cde_Prdt]], tbl_Produits[Cde_Prdt], 0)), "")</f>
        <v/>
      </c>
    </row>
    <row r="856" spans="1:11" x14ac:dyDescent="0.25">
      <c r="A856" s="5"/>
      <c r="B856" s="63" t="str">
        <f>IFERROR(TEXT(tbl_Ventes[[#This Row],[Date]],"mm-aaaa"),"")</f>
        <v>01-1900</v>
      </c>
      <c r="D856" s="10" t="str">
        <f>IFERROR(
   INDEX(tbl_ProduitsRef[Cde_Prdt],MATCH(tbl_Ventes[[#This Row],[Produit]],tbl_ProduitsRef[Produit],0)),
   ""
)</f>
        <v/>
      </c>
      <c r="E856" s="7">
        <v>0</v>
      </c>
      <c r="F856" s="7" t="str">
        <f>IFERROR(
   INDEX(tbl_ProduitsRef[Prix Menu],MATCH(tbl_Ventes[[#This Row],[Produit]],tbl_ProduitsRef[Produit],0)),
   ""
)</f>
        <v/>
      </c>
      <c r="G856" s="7">
        <f>tbl_Ventes[[#This Row],[Qté Vendue]] * IFERROR(_xlfn.XLOOKUP(tbl_Ventes[[#This Row],[Cde_Prdt]], tbl_Produits[Cde_Prdt], tbl_Produits[Prix Menu]), 0)</f>
        <v>0</v>
      </c>
      <c r="H856" s="7">
        <f>IFERROR(_xlfn.XLOOKUP(tbl_Ventes[[#This Row],[Cde_Prdt]], tbl_Produits[Cde_Prdt], tbl_Produits[Coût Moyen Portion]), 0)</f>
        <v>0</v>
      </c>
      <c r="I856" s="7">
        <f>tbl_Ventes[[#This Row],[Qté Vendue]] * tbl_Ventes[[#This Row],[CMP_par_portion]]</f>
        <v>0</v>
      </c>
      <c r="J856" s="7">
        <f>tbl_Ventes[[#This Row],[CA ligne]] - tbl_Ventes[[#This Row],[Coût matière ligne]]</f>
        <v>0</v>
      </c>
      <c r="K856" s="7" t="str">
        <f>IFERROR(INDEX(tbl_ProduitsRef[Famille], MATCH(tbl_Ventes[[#This Row],[Cde_Prdt]], tbl_Produits[Cde_Prdt], 0)), "")</f>
        <v/>
      </c>
    </row>
    <row r="857" spans="1:11" x14ac:dyDescent="0.25">
      <c r="A857" s="5"/>
      <c r="B857" s="63" t="str">
        <f>IFERROR(TEXT(tbl_Ventes[[#This Row],[Date]],"mm-aaaa"),"")</f>
        <v>01-1900</v>
      </c>
      <c r="D857" s="10" t="str">
        <f>IFERROR(
   INDEX(tbl_ProduitsRef[Cde_Prdt],MATCH(tbl_Ventes[[#This Row],[Produit]],tbl_ProduitsRef[Produit],0)),
   ""
)</f>
        <v/>
      </c>
      <c r="E857" s="7">
        <v>0</v>
      </c>
      <c r="F857" s="7" t="str">
        <f>IFERROR(
   INDEX(tbl_ProduitsRef[Prix Menu],MATCH(tbl_Ventes[[#This Row],[Produit]],tbl_ProduitsRef[Produit],0)),
   ""
)</f>
        <v/>
      </c>
      <c r="G857" s="7">
        <f>tbl_Ventes[[#This Row],[Qté Vendue]] * IFERROR(_xlfn.XLOOKUP(tbl_Ventes[[#This Row],[Cde_Prdt]], tbl_Produits[Cde_Prdt], tbl_Produits[Prix Menu]), 0)</f>
        <v>0</v>
      </c>
      <c r="H857" s="7">
        <f>IFERROR(_xlfn.XLOOKUP(tbl_Ventes[[#This Row],[Cde_Prdt]], tbl_Produits[Cde_Prdt], tbl_Produits[Coût Moyen Portion]), 0)</f>
        <v>0</v>
      </c>
      <c r="I857" s="7">
        <f>tbl_Ventes[[#This Row],[Qté Vendue]] * tbl_Ventes[[#This Row],[CMP_par_portion]]</f>
        <v>0</v>
      </c>
      <c r="J857" s="7">
        <f>tbl_Ventes[[#This Row],[CA ligne]] - tbl_Ventes[[#This Row],[Coût matière ligne]]</f>
        <v>0</v>
      </c>
      <c r="K857" s="7" t="str">
        <f>IFERROR(INDEX(tbl_ProduitsRef[Famille], MATCH(tbl_Ventes[[#This Row],[Cde_Prdt]], tbl_Produits[Cde_Prdt], 0)), "")</f>
        <v/>
      </c>
    </row>
    <row r="858" spans="1:11" x14ac:dyDescent="0.25">
      <c r="A858" s="5"/>
      <c r="B858" s="63" t="str">
        <f>IFERROR(TEXT(tbl_Ventes[[#This Row],[Date]],"mm-aaaa"),"")</f>
        <v>01-1900</v>
      </c>
      <c r="D858" s="10" t="str">
        <f>IFERROR(
   INDEX(tbl_ProduitsRef[Cde_Prdt],MATCH(tbl_Ventes[[#This Row],[Produit]],tbl_ProduitsRef[Produit],0)),
   ""
)</f>
        <v/>
      </c>
      <c r="E858" s="7">
        <v>0</v>
      </c>
      <c r="F858" s="7" t="str">
        <f>IFERROR(
   INDEX(tbl_ProduitsRef[Prix Menu],MATCH(tbl_Ventes[[#This Row],[Produit]],tbl_ProduitsRef[Produit],0)),
   ""
)</f>
        <v/>
      </c>
      <c r="G858" s="7">
        <f>tbl_Ventes[[#This Row],[Qté Vendue]] * IFERROR(_xlfn.XLOOKUP(tbl_Ventes[[#This Row],[Cde_Prdt]], tbl_Produits[Cde_Prdt], tbl_Produits[Prix Menu]), 0)</f>
        <v>0</v>
      </c>
      <c r="H858" s="7">
        <f>IFERROR(_xlfn.XLOOKUP(tbl_Ventes[[#This Row],[Cde_Prdt]], tbl_Produits[Cde_Prdt], tbl_Produits[Coût Moyen Portion]), 0)</f>
        <v>0</v>
      </c>
      <c r="I858" s="7">
        <f>tbl_Ventes[[#This Row],[Qté Vendue]] * tbl_Ventes[[#This Row],[CMP_par_portion]]</f>
        <v>0</v>
      </c>
      <c r="J858" s="7">
        <f>tbl_Ventes[[#This Row],[CA ligne]] - tbl_Ventes[[#This Row],[Coût matière ligne]]</f>
        <v>0</v>
      </c>
      <c r="K858" s="7" t="str">
        <f>IFERROR(INDEX(tbl_ProduitsRef[Famille], MATCH(tbl_Ventes[[#This Row],[Cde_Prdt]], tbl_Produits[Cde_Prdt], 0)), "")</f>
        <v/>
      </c>
    </row>
    <row r="859" spans="1:11" x14ac:dyDescent="0.25">
      <c r="A859" s="5"/>
      <c r="B859" s="63" t="str">
        <f>IFERROR(TEXT(tbl_Ventes[[#This Row],[Date]],"mm-aaaa"),"")</f>
        <v>01-1900</v>
      </c>
      <c r="D859" s="10" t="str">
        <f>IFERROR(
   INDEX(tbl_ProduitsRef[Cde_Prdt],MATCH(tbl_Ventes[[#This Row],[Produit]],tbl_ProduitsRef[Produit],0)),
   ""
)</f>
        <v/>
      </c>
      <c r="E859" s="7">
        <v>0</v>
      </c>
      <c r="F859" s="7" t="str">
        <f>IFERROR(
   INDEX(tbl_ProduitsRef[Prix Menu],MATCH(tbl_Ventes[[#This Row],[Produit]],tbl_ProduitsRef[Produit],0)),
   ""
)</f>
        <v/>
      </c>
      <c r="G859" s="7">
        <f>tbl_Ventes[[#This Row],[Qté Vendue]] * IFERROR(_xlfn.XLOOKUP(tbl_Ventes[[#This Row],[Cde_Prdt]], tbl_Produits[Cde_Prdt], tbl_Produits[Prix Menu]), 0)</f>
        <v>0</v>
      </c>
      <c r="H859" s="7">
        <f>IFERROR(_xlfn.XLOOKUP(tbl_Ventes[[#This Row],[Cde_Prdt]], tbl_Produits[Cde_Prdt], tbl_Produits[Coût Moyen Portion]), 0)</f>
        <v>0</v>
      </c>
      <c r="I859" s="7">
        <f>tbl_Ventes[[#This Row],[Qté Vendue]] * tbl_Ventes[[#This Row],[CMP_par_portion]]</f>
        <v>0</v>
      </c>
      <c r="J859" s="7">
        <f>tbl_Ventes[[#This Row],[CA ligne]] - tbl_Ventes[[#This Row],[Coût matière ligne]]</f>
        <v>0</v>
      </c>
      <c r="K859" s="7" t="str">
        <f>IFERROR(INDEX(tbl_ProduitsRef[Famille], MATCH(tbl_Ventes[[#This Row],[Cde_Prdt]], tbl_Produits[Cde_Prdt], 0)), "")</f>
        <v/>
      </c>
    </row>
    <row r="860" spans="1:11" x14ac:dyDescent="0.25">
      <c r="A860" s="5"/>
      <c r="B860" s="63" t="str">
        <f>IFERROR(TEXT(tbl_Ventes[[#This Row],[Date]],"mm-aaaa"),"")</f>
        <v>01-1900</v>
      </c>
      <c r="D860" s="10" t="str">
        <f>IFERROR(
   INDEX(tbl_ProduitsRef[Cde_Prdt],MATCH(tbl_Ventes[[#This Row],[Produit]],tbl_ProduitsRef[Produit],0)),
   ""
)</f>
        <v/>
      </c>
      <c r="E860" s="7">
        <v>0</v>
      </c>
      <c r="F860" s="7" t="str">
        <f>IFERROR(
   INDEX(tbl_ProduitsRef[Prix Menu],MATCH(tbl_Ventes[[#This Row],[Produit]],tbl_ProduitsRef[Produit],0)),
   ""
)</f>
        <v/>
      </c>
      <c r="G860" s="7">
        <f>tbl_Ventes[[#This Row],[Qté Vendue]] * IFERROR(_xlfn.XLOOKUP(tbl_Ventes[[#This Row],[Cde_Prdt]], tbl_Produits[Cde_Prdt], tbl_Produits[Prix Menu]), 0)</f>
        <v>0</v>
      </c>
      <c r="H860" s="7">
        <f>IFERROR(_xlfn.XLOOKUP(tbl_Ventes[[#This Row],[Cde_Prdt]], tbl_Produits[Cde_Prdt], tbl_Produits[Coût Moyen Portion]), 0)</f>
        <v>0</v>
      </c>
      <c r="I860" s="7">
        <f>tbl_Ventes[[#This Row],[Qté Vendue]] * tbl_Ventes[[#This Row],[CMP_par_portion]]</f>
        <v>0</v>
      </c>
      <c r="J860" s="7">
        <f>tbl_Ventes[[#This Row],[CA ligne]] - tbl_Ventes[[#This Row],[Coût matière ligne]]</f>
        <v>0</v>
      </c>
      <c r="K860" s="7" t="str">
        <f>IFERROR(INDEX(tbl_ProduitsRef[Famille], MATCH(tbl_Ventes[[#This Row],[Cde_Prdt]], tbl_Produits[Cde_Prdt], 0)), "")</f>
        <v/>
      </c>
    </row>
    <row r="861" spans="1:11" x14ac:dyDescent="0.25">
      <c r="A861" s="5"/>
      <c r="B861" s="63" t="str">
        <f>IFERROR(TEXT(tbl_Ventes[[#This Row],[Date]],"mm-aaaa"),"")</f>
        <v>01-1900</v>
      </c>
      <c r="D861" s="10" t="str">
        <f>IFERROR(
   INDEX(tbl_ProduitsRef[Cde_Prdt],MATCH(tbl_Ventes[[#This Row],[Produit]],tbl_ProduitsRef[Produit],0)),
   ""
)</f>
        <v/>
      </c>
      <c r="E861" s="7">
        <v>0</v>
      </c>
      <c r="F861" s="7" t="str">
        <f>IFERROR(
   INDEX(tbl_ProduitsRef[Prix Menu],MATCH(tbl_Ventes[[#This Row],[Produit]],tbl_ProduitsRef[Produit],0)),
   ""
)</f>
        <v/>
      </c>
      <c r="G861" s="7">
        <f>tbl_Ventes[[#This Row],[Qté Vendue]] * IFERROR(_xlfn.XLOOKUP(tbl_Ventes[[#This Row],[Cde_Prdt]], tbl_Produits[Cde_Prdt], tbl_Produits[Prix Menu]), 0)</f>
        <v>0</v>
      </c>
      <c r="H861" s="7">
        <f>IFERROR(_xlfn.XLOOKUP(tbl_Ventes[[#This Row],[Cde_Prdt]], tbl_Produits[Cde_Prdt], tbl_Produits[Coût Moyen Portion]), 0)</f>
        <v>0</v>
      </c>
      <c r="I861" s="7">
        <f>tbl_Ventes[[#This Row],[Qté Vendue]] * tbl_Ventes[[#This Row],[CMP_par_portion]]</f>
        <v>0</v>
      </c>
      <c r="J861" s="7">
        <f>tbl_Ventes[[#This Row],[CA ligne]] - tbl_Ventes[[#This Row],[Coût matière ligne]]</f>
        <v>0</v>
      </c>
      <c r="K861" s="7" t="str">
        <f>IFERROR(INDEX(tbl_ProduitsRef[Famille], MATCH(tbl_Ventes[[#This Row],[Cde_Prdt]], tbl_Produits[Cde_Prdt], 0)), "")</f>
        <v/>
      </c>
    </row>
    <row r="862" spans="1:11" x14ac:dyDescent="0.25">
      <c r="A862" s="5"/>
      <c r="B862" s="63" t="str">
        <f>IFERROR(TEXT(tbl_Ventes[[#This Row],[Date]],"mm-aaaa"),"")</f>
        <v>01-1900</v>
      </c>
      <c r="D862" s="10" t="str">
        <f>IFERROR(
   INDEX(tbl_ProduitsRef[Cde_Prdt],MATCH(tbl_Ventes[[#This Row],[Produit]],tbl_ProduitsRef[Produit],0)),
   ""
)</f>
        <v/>
      </c>
      <c r="E862" s="7">
        <v>0</v>
      </c>
      <c r="F862" s="7" t="str">
        <f>IFERROR(
   INDEX(tbl_ProduitsRef[Prix Menu],MATCH(tbl_Ventes[[#This Row],[Produit]],tbl_ProduitsRef[Produit],0)),
   ""
)</f>
        <v/>
      </c>
      <c r="G862" s="7">
        <f>tbl_Ventes[[#This Row],[Qté Vendue]] * IFERROR(_xlfn.XLOOKUP(tbl_Ventes[[#This Row],[Cde_Prdt]], tbl_Produits[Cde_Prdt], tbl_Produits[Prix Menu]), 0)</f>
        <v>0</v>
      </c>
      <c r="H862" s="7">
        <f>IFERROR(_xlfn.XLOOKUP(tbl_Ventes[[#This Row],[Cde_Prdt]], tbl_Produits[Cde_Prdt], tbl_Produits[Coût Moyen Portion]), 0)</f>
        <v>0</v>
      </c>
      <c r="I862" s="7">
        <f>tbl_Ventes[[#This Row],[Qté Vendue]] * tbl_Ventes[[#This Row],[CMP_par_portion]]</f>
        <v>0</v>
      </c>
      <c r="J862" s="7">
        <f>tbl_Ventes[[#This Row],[CA ligne]] - tbl_Ventes[[#This Row],[Coût matière ligne]]</f>
        <v>0</v>
      </c>
      <c r="K862" s="7" t="str">
        <f>IFERROR(INDEX(tbl_ProduitsRef[Famille], MATCH(tbl_Ventes[[#This Row],[Cde_Prdt]], tbl_Produits[Cde_Prdt], 0)), "")</f>
        <v/>
      </c>
    </row>
    <row r="863" spans="1:11" x14ac:dyDescent="0.25">
      <c r="A863" s="5"/>
      <c r="B863" s="63" t="str">
        <f>IFERROR(TEXT(tbl_Ventes[[#This Row],[Date]],"mm-aaaa"),"")</f>
        <v>01-1900</v>
      </c>
      <c r="D863" s="10" t="str">
        <f>IFERROR(
   INDEX(tbl_ProduitsRef[Cde_Prdt],MATCH(tbl_Ventes[[#This Row],[Produit]],tbl_ProduitsRef[Produit],0)),
   ""
)</f>
        <v/>
      </c>
      <c r="E863" s="7">
        <v>0</v>
      </c>
      <c r="F863" s="7" t="str">
        <f>IFERROR(
   INDEX(tbl_ProduitsRef[Prix Menu],MATCH(tbl_Ventes[[#This Row],[Produit]],tbl_ProduitsRef[Produit],0)),
   ""
)</f>
        <v/>
      </c>
      <c r="G863" s="7">
        <f>tbl_Ventes[[#This Row],[Qté Vendue]] * IFERROR(_xlfn.XLOOKUP(tbl_Ventes[[#This Row],[Cde_Prdt]], tbl_Produits[Cde_Prdt], tbl_Produits[Prix Menu]), 0)</f>
        <v>0</v>
      </c>
      <c r="H863" s="7">
        <f>IFERROR(_xlfn.XLOOKUP(tbl_Ventes[[#This Row],[Cde_Prdt]], tbl_Produits[Cde_Prdt], tbl_Produits[Coût Moyen Portion]), 0)</f>
        <v>0</v>
      </c>
      <c r="I863" s="7">
        <f>tbl_Ventes[[#This Row],[Qté Vendue]] * tbl_Ventes[[#This Row],[CMP_par_portion]]</f>
        <v>0</v>
      </c>
      <c r="J863" s="7">
        <f>tbl_Ventes[[#This Row],[CA ligne]] - tbl_Ventes[[#This Row],[Coût matière ligne]]</f>
        <v>0</v>
      </c>
      <c r="K863" s="7" t="str">
        <f>IFERROR(INDEX(tbl_ProduitsRef[Famille], MATCH(tbl_Ventes[[#This Row],[Cde_Prdt]], tbl_Produits[Cde_Prdt], 0)), "")</f>
        <v/>
      </c>
    </row>
    <row r="864" spans="1:11" x14ac:dyDescent="0.25">
      <c r="A864" s="5"/>
      <c r="B864" s="63" t="str">
        <f>IFERROR(TEXT(tbl_Ventes[[#This Row],[Date]],"mm-aaaa"),"")</f>
        <v>01-1900</v>
      </c>
      <c r="D864" s="10" t="str">
        <f>IFERROR(
   INDEX(tbl_ProduitsRef[Cde_Prdt],MATCH(tbl_Ventes[[#This Row],[Produit]],tbl_ProduitsRef[Produit],0)),
   ""
)</f>
        <v/>
      </c>
      <c r="E864" s="7">
        <v>0</v>
      </c>
      <c r="F864" s="7" t="str">
        <f>IFERROR(
   INDEX(tbl_ProduitsRef[Prix Menu],MATCH(tbl_Ventes[[#This Row],[Produit]],tbl_ProduitsRef[Produit],0)),
   ""
)</f>
        <v/>
      </c>
      <c r="G864" s="7">
        <f>tbl_Ventes[[#This Row],[Qté Vendue]] * IFERROR(_xlfn.XLOOKUP(tbl_Ventes[[#This Row],[Cde_Prdt]], tbl_Produits[Cde_Prdt], tbl_Produits[Prix Menu]), 0)</f>
        <v>0</v>
      </c>
      <c r="H864" s="7">
        <f>IFERROR(_xlfn.XLOOKUP(tbl_Ventes[[#This Row],[Cde_Prdt]], tbl_Produits[Cde_Prdt], tbl_Produits[Coût Moyen Portion]), 0)</f>
        <v>0</v>
      </c>
      <c r="I864" s="7">
        <f>tbl_Ventes[[#This Row],[Qté Vendue]] * tbl_Ventes[[#This Row],[CMP_par_portion]]</f>
        <v>0</v>
      </c>
      <c r="J864" s="7">
        <f>tbl_Ventes[[#This Row],[CA ligne]] - tbl_Ventes[[#This Row],[Coût matière ligne]]</f>
        <v>0</v>
      </c>
      <c r="K864" s="7" t="str">
        <f>IFERROR(INDEX(tbl_ProduitsRef[Famille], MATCH(tbl_Ventes[[#This Row],[Cde_Prdt]], tbl_Produits[Cde_Prdt], 0)), "")</f>
        <v/>
      </c>
    </row>
    <row r="865" spans="1:11" x14ac:dyDescent="0.25">
      <c r="A865" s="5"/>
      <c r="B865" s="63" t="str">
        <f>IFERROR(TEXT(tbl_Ventes[[#This Row],[Date]],"mm-aaaa"),"")</f>
        <v>01-1900</v>
      </c>
      <c r="D865" s="10" t="str">
        <f>IFERROR(
   INDEX(tbl_ProduitsRef[Cde_Prdt],MATCH(tbl_Ventes[[#This Row],[Produit]],tbl_ProduitsRef[Produit],0)),
   ""
)</f>
        <v/>
      </c>
      <c r="E865" s="7">
        <v>0</v>
      </c>
      <c r="F865" s="7" t="str">
        <f>IFERROR(
   INDEX(tbl_ProduitsRef[Prix Menu],MATCH(tbl_Ventes[[#This Row],[Produit]],tbl_ProduitsRef[Produit],0)),
   ""
)</f>
        <v/>
      </c>
      <c r="G865" s="7">
        <f>tbl_Ventes[[#This Row],[Qté Vendue]] * IFERROR(_xlfn.XLOOKUP(tbl_Ventes[[#This Row],[Cde_Prdt]], tbl_Produits[Cde_Prdt], tbl_Produits[Prix Menu]), 0)</f>
        <v>0</v>
      </c>
      <c r="H865" s="7">
        <f>IFERROR(_xlfn.XLOOKUP(tbl_Ventes[[#This Row],[Cde_Prdt]], tbl_Produits[Cde_Prdt], tbl_Produits[Coût Moyen Portion]), 0)</f>
        <v>0</v>
      </c>
      <c r="I865" s="7">
        <f>tbl_Ventes[[#This Row],[Qté Vendue]] * tbl_Ventes[[#This Row],[CMP_par_portion]]</f>
        <v>0</v>
      </c>
      <c r="J865" s="7">
        <f>tbl_Ventes[[#This Row],[CA ligne]] - tbl_Ventes[[#This Row],[Coût matière ligne]]</f>
        <v>0</v>
      </c>
      <c r="K865" s="7" t="str">
        <f>IFERROR(INDEX(tbl_ProduitsRef[Famille], MATCH(tbl_Ventes[[#This Row],[Cde_Prdt]], tbl_Produits[Cde_Prdt], 0)), "")</f>
        <v/>
      </c>
    </row>
    <row r="866" spans="1:11" x14ac:dyDescent="0.25">
      <c r="A866" s="5"/>
      <c r="B866" s="63" t="str">
        <f>IFERROR(TEXT(tbl_Ventes[[#This Row],[Date]],"mm-aaaa"),"")</f>
        <v>01-1900</v>
      </c>
      <c r="D866" s="10" t="str">
        <f>IFERROR(
   INDEX(tbl_ProduitsRef[Cde_Prdt],MATCH(tbl_Ventes[[#This Row],[Produit]],tbl_ProduitsRef[Produit],0)),
   ""
)</f>
        <v/>
      </c>
      <c r="E866" s="7">
        <v>0</v>
      </c>
      <c r="F866" s="7" t="str">
        <f>IFERROR(
   INDEX(tbl_ProduitsRef[Prix Menu],MATCH(tbl_Ventes[[#This Row],[Produit]],tbl_ProduitsRef[Produit],0)),
   ""
)</f>
        <v/>
      </c>
      <c r="G866" s="7">
        <f>tbl_Ventes[[#This Row],[Qté Vendue]] * IFERROR(_xlfn.XLOOKUP(tbl_Ventes[[#This Row],[Cde_Prdt]], tbl_Produits[Cde_Prdt], tbl_Produits[Prix Menu]), 0)</f>
        <v>0</v>
      </c>
      <c r="H866" s="7">
        <f>IFERROR(_xlfn.XLOOKUP(tbl_Ventes[[#This Row],[Cde_Prdt]], tbl_Produits[Cde_Prdt], tbl_Produits[Coût Moyen Portion]), 0)</f>
        <v>0</v>
      </c>
      <c r="I866" s="7">
        <f>tbl_Ventes[[#This Row],[Qté Vendue]] * tbl_Ventes[[#This Row],[CMP_par_portion]]</f>
        <v>0</v>
      </c>
      <c r="J866" s="7">
        <f>tbl_Ventes[[#This Row],[CA ligne]] - tbl_Ventes[[#This Row],[Coût matière ligne]]</f>
        <v>0</v>
      </c>
      <c r="K866" s="7" t="str">
        <f>IFERROR(INDEX(tbl_ProduitsRef[Famille], MATCH(tbl_Ventes[[#This Row],[Cde_Prdt]], tbl_Produits[Cde_Prdt], 0)), "")</f>
        <v/>
      </c>
    </row>
    <row r="867" spans="1:11" x14ac:dyDescent="0.25">
      <c r="A867" s="5"/>
      <c r="B867" s="63" t="str">
        <f>IFERROR(TEXT(tbl_Ventes[[#This Row],[Date]],"mm-aaaa"),"")</f>
        <v>01-1900</v>
      </c>
      <c r="D867" s="10" t="str">
        <f>IFERROR(
   INDEX(tbl_ProduitsRef[Cde_Prdt],MATCH(tbl_Ventes[[#This Row],[Produit]],tbl_ProduitsRef[Produit],0)),
   ""
)</f>
        <v/>
      </c>
      <c r="E867" s="7">
        <v>0</v>
      </c>
      <c r="F867" s="7" t="str">
        <f>IFERROR(
   INDEX(tbl_ProduitsRef[Prix Menu],MATCH(tbl_Ventes[[#This Row],[Produit]],tbl_ProduitsRef[Produit],0)),
   ""
)</f>
        <v/>
      </c>
      <c r="G867" s="7">
        <f>tbl_Ventes[[#This Row],[Qté Vendue]] * IFERROR(_xlfn.XLOOKUP(tbl_Ventes[[#This Row],[Cde_Prdt]], tbl_Produits[Cde_Prdt], tbl_Produits[Prix Menu]), 0)</f>
        <v>0</v>
      </c>
      <c r="H867" s="7">
        <f>IFERROR(_xlfn.XLOOKUP(tbl_Ventes[[#This Row],[Cde_Prdt]], tbl_Produits[Cde_Prdt], tbl_Produits[Coût Moyen Portion]), 0)</f>
        <v>0</v>
      </c>
      <c r="I867" s="7">
        <f>tbl_Ventes[[#This Row],[Qté Vendue]] * tbl_Ventes[[#This Row],[CMP_par_portion]]</f>
        <v>0</v>
      </c>
      <c r="J867" s="7">
        <f>tbl_Ventes[[#This Row],[CA ligne]] - tbl_Ventes[[#This Row],[Coût matière ligne]]</f>
        <v>0</v>
      </c>
      <c r="K867" s="7" t="str">
        <f>IFERROR(INDEX(tbl_ProduitsRef[Famille], MATCH(tbl_Ventes[[#This Row],[Cde_Prdt]], tbl_Produits[Cde_Prdt], 0)), "")</f>
        <v/>
      </c>
    </row>
    <row r="868" spans="1:11" x14ac:dyDescent="0.25">
      <c r="A868" s="5"/>
      <c r="B868" s="63" t="str">
        <f>IFERROR(TEXT(tbl_Ventes[[#This Row],[Date]],"mm-aaaa"),"")</f>
        <v>01-1900</v>
      </c>
      <c r="D868" s="10" t="str">
        <f>IFERROR(
   INDEX(tbl_ProduitsRef[Cde_Prdt],MATCH(tbl_Ventes[[#This Row],[Produit]],tbl_ProduitsRef[Produit],0)),
   ""
)</f>
        <v/>
      </c>
      <c r="E868" s="7">
        <v>0</v>
      </c>
      <c r="F868" s="7" t="str">
        <f>IFERROR(
   INDEX(tbl_ProduitsRef[Prix Menu],MATCH(tbl_Ventes[[#This Row],[Produit]],tbl_ProduitsRef[Produit],0)),
   ""
)</f>
        <v/>
      </c>
      <c r="G868" s="7">
        <f>tbl_Ventes[[#This Row],[Qté Vendue]] * IFERROR(_xlfn.XLOOKUP(tbl_Ventes[[#This Row],[Cde_Prdt]], tbl_Produits[Cde_Prdt], tbl_Produits[Prix Menu]), 0)</f>
        <v>0</v>
      </c>
      <c r="H868" s="7">
        <f>IFERROR(_xlfn.XLOOKUP(tbl_Ventes[[#This Row],[Cde_Prdt]], tbl_Produits[Cde_Prdt], tbl_Produits[Coût Moyen Portion]), 0)</f>
        <v>0</v>
      </c>
      <c r="I868" s="7">
        <f>tbl_Ventes[[#This Row],[Qté Vendue]] * tbl_Ventes[[#This Row],[CMP_par_portion]]</f>
        <v>0</v>
      </c>
      <c r="J868" s="7">
        <f>tbl_Ventes[[#This Row],[CA ligne]] - tbl_Ventes[[#This Row],[Coût matière ligne]]</f>
        <v>0</v>
      </c>
      <c r="K868" s="7" t="str">
        <f>IFERROR(INDEX(tbl_ProduitsRef[Famille], MATCH(tbl_Ventes[[#This Row],[Cde_Prdt]], tbl_Produits[Cde_Prdt], 0)), "")</f>
        <v/>
      </c>
    </row>
    <row r="869" spans="1:11" x14ac:dyDescent="0.25">
      <c r="A869" s="5"/>
      <c r="B869" s="63" t="str">
        <f>IFERROR(TEXT(tbl_Ventes[[#This Row],[Date]],"mm-aaaa"),"")</f>
        <v>01-1900</v>
      </c>
      <c r="D869" s="10" t="str">
        <f>IFERROR(
   INDEX(tbl_ProduitsRef[Cde_Prdt],MATCH(tbl_Ventes[[#This Row],[Produit]],tbl_ProduitsRef[Produit],0)),
   ""
)</f>
        <v/>
      </c>
      <c r="E869" s="7">
        <v>0</v>
      </c>
      <c r="F869" s="7" t="str">
        <f>IFERROR(
   INDEX(tbl_ProduitsRef[Prix Menu],MATCH(tbl_Ventes[[#This Row],[Produit]],tbl_ProduitsRef[Produit],0)),
   ""
)</f>
        <v/>
      </c>
      <c r="G869" s="7">
        <f>tbl_Ventes[[#This Row],[Qté Vendue]] * IFERROR(_xlfn.XLOOKUP(tbl_Ventes[[#This Row],[Cde_Prdt]], tbl_Produits[Cde_Prdt], tbl_Produits[Prix Menu]), 0)</f>
        <v>0</v>
      </c>
      <c r="H869" s="7">
        <f>IFERROR(_xlfn.XLOOKUP(tbl_Ventes[[#This Row],[Cde_Prdt]], tbl_Produits[Cde_Prdt], tbl_Produits[Coût Moyen Portion]), 0)</f>
        <v>0</v>
      </c>
      <c r="I869" s="7">
        <f>tbl_Ventes[[#This Row],[Qté Vendue]] * tbl_Ventes[[#This Row],[CMP_par_portion]]</f>
        <v>0</v>
      </c>
      <c r="J869" s="7">
        <f>tbl_Ventes[[#This Row],[CA ligne]] - tbl_Ventes[[#This Row],[Coût matière ligne]]</f>
        <v>0</v>
      </c>
      <c r="K869" s="7" t="str">
        <f>IFERROR(INDEX(tbl_ProduitsRef[Famille], MATCH(tbl_Ventes[[#This Row],[Cde_Prdt]], tbl_Produits[Cde_Prdt], 0)), "")</f>
        <v/>
      </c>
    </row>
    <row r="870" spans="1:11" x14ac:dyDescent="0.25">
      <c r="A870" s="5"/>
      <c r="B870" s="63" t="str">
        <f>IFERROR(TEXT(tbl_Ventes[[#This Row],[Date]],"mm-aaaa"),"")</f>
        <v>01-1900</v>
      </c>
      <c r="D870" s="10" t="str">
        <f>IFERROR(
   INDEX(tbl_ProduitsRef[Cde_Prdt],MATCH(tbl_Ventes[[#This Row],[Produit]],tbl_ProduitsRef[Produit],0)),
   ""
)</f>
        <v/>
      </c>
      <c r="E870" s="7">
        <v>0</v>
      </c>
      <c r="F870" s="7" t="str">
        <f>IFERROR(
   INDEX(tbl_ProduitsRef[Prix Menu],MATCH(tbl_Ventes[[#This Row],[Produit]],tbl_ProduitsRef[Produit],0)),
   ""
)</f>
        <v/>
      </c>
      <c r="G870" s="7">
        <f>tbl_Ventes[[#This Row],[Qté Vendue]] * IFERROR(_xlfn.XLOOKUP(tbl_Ventes[[#This Row],[Cde_Prdt]], tbl_Produits[Cde_Prdt], tbl_Produits[Prix Menu]), 0)</f>
        <v>0</v>
      </c>
      <c r="H870" s="7">
        <f>IFERROR(_xlfn.XLOOKUP(tbl_Ventes[[#This Row],[Cde_Prdt]], tbl_Produits[Cde_Prdt], tbl_Produits[Coût Moyen Portion]), 0)</f>
        <v>0</v>
      </c>
      <c r="I870" s="7">
        <f>tbl_Ventes[[#This Row],[Qté Vendue]] * tbl_Ventes[[#This Row],[CMP_par_portion]]</f>
        <v>0</v>
      </c>
      <c r="J870" s="7">
        <f>tbl_Ventes[[#This Row],[CA ligne]] - tbl_Ventes[[#This Row],[Coût matière ligne]]</f>
        <v>0</v>
      </c>
      <c r="K870" s="7" t="str">
        <f>IFERROR(INDEX(tbl_ProduitsRef[Famille], MATCH(tbl_Ventes[[#This Row],[Cde_Prdt]], tbl_Produits[Cde_Prdt], 0)), "")</f>
        <v/>
      </c>
    </row>
    <row r="871" spans="1:11" x14ac:dyDescent="0.25">
      <c r="A871" s="5"/>
      <c r="B871" s="63" t="str">
        <f>IFERROR(TEXT(tbl_Ventes[[#This Row],[Date]],"mm-aaaa"),"")</f>
        <v>01-1900</v>
      </c>
      <c r="D871" s="10" t="str">
        <f>IFERROR(
   INDEX(tbl_ProduitsRef[Cde_Prdt],MATCH(tbl_Ventes[[#This Row],[Produit]],tbl_ProduitsRef[Produit],0)),
   ""
)</f>
        <v/>
      </c>
      <c r="E871" s="7">
        <v>0</v>
      </c>
      <c r="F871" s="7" t="str">
        <f>IFERROR(
   INDEX(tbl_ProduitsRef[Prix Menu],MATCH(tbl_Ventes[[#This Row],[Produit]],tbl_ProduitsRef[Produit],0)),
   ""
)</f>
        <v/>
      </c>
      <c r="G871" s="7">
        <f>tbl_Ventes[[#This Row],[Qté Vendue]] * IFERROR(_xlfn.XLOOKUP(tbl_Ventes[[#This Row],[Cde_Prdt]], tbl_Produits[Cde_Prdt], tbl_Produits[Prix Menu]), 0)</f>
        <v>0</v>
      </c>
      <c r="H871" s="7">
        <f>IFERROR(_xlfn.XLOOKUP(tbl_Ventes[[#This Row],[Cde_Prdt]], tbl_Produits[Cde_Prdt], tbl_Produits[Coût Moyen Portion]), 0)</f>
        <v>0</v>
      </c>
      <c r="I871" s="7">
        <f>tbl_Ventes[[#This Row],[Qté Vendue]] * tbl_Ventes[[#This Row],[CMP_par_portion]]</f>
        <v>0</v>
      </c>
      <c r="J871" s="7">
        <f>tbl_Ventes[[#This Row],[CA ligne]] - tbl_Ventes[[#This Row],[Coût matière ligne]]</f>
        <v>0</v>
      </c>
      <c r="K871" s="7" t="str">
        <f>IFERROR(INDEX(tbl_ProduitsRef[Famille], MATCH(tbl_Ventes[[#This Row],[Cde_Prdt]], tbl_Produits[Cde_Prdt], 0)), "")</f>
        <v/>
      </c>
    </row>
    <row r="872" spans="1:11" x14ac:dyDescent="0.25">
      <c r="A872" s="5"/>
      <c r="B872" s="63" t="str">
        <f>IFERROR(TEXT(tbl_Ventes[[#This Row],[Date]],"mm-aaaa"),"")</f>
        <v>01-1900</v>
      </c>
      <c r="D872" s="10" t="str">
        <f>IFERROR(
   INDEX(tbl_ProduitsRef[Cde_Prdt],MATCH(tbl_Ventes[[#This Row],[Produit]],tbl_ProduitsRef[Produit],0)),
   ""
)</f>
        <v/>
      </c>
      <c r="E872" s="7">
        <v>0</v>
      </c>
      <c r="F872" s="7" t="str">
        <f>IFERROR(
   INDEX(tbl_ProduitsRef[Prix Menu],MATCH(tbl_Ventes[[#This Row],[Produit]],tbl_ProduitsRef[Produit],0)),
   ""
)</f>
        <v/>
      </c>
      <c r="G872" s="7">
        <f>tbl_Ventes[[#This Row],[Qté Vendue]] * IFERROR(_xlfn.XLOOKUP(tbl_Ventes[[#This Row],[Cde_Prdt]], tbl_Produits[Cde_Prdt], tbl_Produits[Prix Menu]), 0)</f>
        <v>0</v>
      </c>
      <c r="H872" s="7">
        <f>IFERROR(_xlfn.XLOOKUP(tbl_Ventes[[#This Row],[Cde_Prdt]], tbl_Produits[Cde_Prdt], tbl_Produits[Coût Moyen Portion]), 0)</f>
        <v>0</v>
      </c>
      <c r="I872" s="7">
        <f>tbl_Ventes[[#This Row],[Qté Vendue]] * tbl_Ventes[[#This Row],[CMP_par_portion]]</f>
        <v>0</v>
      </c>
      <c r="J872" s="7">
        <f>tbl_Ventes[[#This Row],[CA ligne]] - tbl_Ventes[[#This Row],[Coût matière ligne]]</f>
        <v>0</v>
      </c>
      <c r="K872" s="7" t="str">
        <f>IFERROR(INDEX(tbl_ProduitsRef[Famille], MATCH(tbl_Ventes[[#This Row],[Cde_Prdt]], tbl_Produits[Cde_Prdt], 0)), "")</f>
        <v/>
      </c>
    </row>
    <row r="873" spans="1:11" x14ac:dyDescent="0.25">
      <c r="A873" s="5"/>
      <c r="B873" s="63" t="str">
        <f>IFERROR(TEXT(tbl_Ventes[[#This Row],[Date]],"mm-aaaa"),"")</f>
        <v>01-1900</v>
      </c>
      <c r="D873" s="10" t="str">
        <f>IFERROR(
   INDEX(tbl_ProduitsRef[Cde_Prdt],MATCH(tbl_Ventes[[#This Row],[Produit]],tbl_ProduitsRef[Produit],0)),
   ""
)</f>
        <v/>
      </c>
      <c r="E873" s="7">
        <v>0</v>
      </c>
      <c r="F873" s="7" t="str">
        <f>IFERROR(
   INDEX(tbl_ProduitsRef[Prix Menu],MATCH(tbl_Ventes[[#This Row],[Produit]],tbl_ProduitsRef[Produit],0)),
   ""
)</f>
        <v/>
      </c>
      <c r="G873" s="7">
        <f>tbl_Ventes[[#This Row],[Qté Vendue]] * IFERROR(_xlfn.XLOOKUP(tbl_Ventes[[#This Row],[Cde_Prdt]], tbl_Produits[Cde_Prdt], tbl_Produits[Prix Menu]), 0)</f>
        <v>0</v>
      </c>
      <c r="H873" s="7">
        <f>IFERROR(_xlfn.XLOOKUP(tbl_Ventes[[#This Row],[Cde_Prdt]], tbl_Produits[Cde_Prdt], tbl_Produits[Coût Moyen Portion]), 0)</f>
        <v>0</v>
      </c>
      <c r="I873" s="7">
        <f>tbl_Ventes[[#This Row],[Qté Vendue]] * tbl_Ventes[[#This Row],[CMP_par_portion]]</f>
        <v>0</v>
      </c>
      <c r="J873" s="7">
        <f>tbl_Ventes[[#This Row],[CA ligne]] - tbl_Ventes[[#This Row],[Coût matière ligne]]</f>
        <v>0</v>
      </c>
      <c r="K873" s="7" t="str">
        <f>IFERROR(INDEX(tbl_ProduitsRef[Famille], MATCH(tbl_Ventes[[#This Row],[Cde_Prdt]], tbl_Produits[Cde_Prdt], 0)), "")</f>
        <v/>
      </c>
    </row>
    <row r="874" spans="1:11" x14ac:dyDescent="0.25">
      <c r="A874" s="5"/>
      <c r="B874" s="63" t="str">
        <f>IFERROR(TEXT(tbl_Ventes[[#This Row],[Date]],"mm-aaaa"),"")</f>
        <v>01-1900</v>
      </c>
      <c r="D874" s="10" t="str">
        <f>IFERROR(
   INDEX(tbl_ProduitsRef[Cde_Prdt],MATCH(tbl_Ventes[[#This Row],[Produit]],tbl_ProduitsRef[Produit],0)),
   ""
)</f>
        <v/>
      </c>
      <c r="E874" s="7">
        <v>0</v>
      </c>
      <c r="F874" s="7" t="str">
        <f>IFERROR(
   INDEX(tbl_ProduitsRef[Prix Menu],MATCH(tbl_Ventes[[#This Row],[Produit]],tbl_ProduitsRef[Produit],0)),
   ""
)</f>
        <v/>
      </c>
      <c r="G874" s="7">
        <f>tbl_Ventes[[#This Row],[Qté Vendue]] * IFERROR(_xlfn.XLOOKUP(tbl_Ventes[[#This Row],[Cde_Prdt]], tbl_Produits[Cde_Prdt], tbl_Produits[Prix Menu]), 0)</f>
        <v>0</v>
      </c>
      <c r="H874" s="7">
        <f>IFERROR(_xlfn.XLOOKUP(tbl_Ventes[[#This Row],[Cde_Prdt]], tbl_Produits[Cde_Prdt], tbl_Produits[Coût Moyen Portion]), 0)</f>
        <v>0</v>
      </c>
      <c r="I874" s="7">
        <f>tbl_Ventes[[#This Row],[Qté Vendue]] * tbl_Ventes[[#This Row],[CMP_par_portion]]</f>
        <v>0</v>
      </c>
      <c r="J874" s="7">
        <f>tbl_Ventes[[#This Row],[CA ligne]] - tbl_Ventes[[#This Row],[Coût matière ligne]]</f>
        <v>0</v>
      </c>
      <c r="K874" s="7" t="str">
        <f>IFERROR(INDEX(tbl_ProduitsRef[Famille], MATCH(tbl_Ventes[[#This Row],[Cde_Prdt]], tbl_Produits[Cde_Prdt], 0)), "")</f>
        <v/>
      </c>
    </row>
    <row r="875" spans="1:11" x14ac:dyDescent="0.25">
      <c r="A875" s="5"/>
      <c r="B875" s="63" t="str">
        <f>IFERROR(TEXT(tbl_Ventes[[#This Row],[Date]],"mm-aaaa"),"")</f>
        <v>01-1900</v>
      </c>
      <c r="D875" s="10" t="str">
        <f>IFERROR(
   INDEX(tbl_ProduitsRef[Cde_Prdt],MATCH(tbl_Ventes[[#This Row],[Produit]],tbl_ProduitsRef[Produit],0)),
   ""
)</f>
        <v/>
      </c>
      <c r="E875" s="7">
        <v>0</v>
      </c>
      <c r="F875" s="7" t="str">
        <f>IFERROR(
   INDEX(tbl_ProduitsRef[Prix Menu],MATCH(tbl_Ventes[[#This Row],[Produit]],tbl_ProduitsRef[Produit],0)),
   ""
)</f>
        <v/>
      </c>
      <c r="G875" s="7">
        <f>tbl_Ventes[[#This Row],[Qté Vendue]] * IFERROR(_xlfn.XLOOKUP(tbl_Ventes[[#This Row],[Cde_Prdt]], tbl_Produits[Cde_Prdt], tbl_Produits[Prix Menu]), 0)</f>
        <v>0</v>
      </c>
      <c r="H875" s="7">
        <f>IFERROR(_xlfn.XLOOKUP(tbl_Ventes[[#This Row],[Cde_Prdt]], tbl_Produits[Cde_Prdt], tbl_Produits[Coût Moyen Portion]), 0)</f>
        <v>0</v>
      </c>
      <c r="I875" s="7">
        <f>tbl_Ventes[[#This Row],[Qté Vendue]] * tbl_Ventes[[#This Row],[CMP_par_portion]]</f>
        <v>0</v>
      </c>
      <c r="J875" s="7">
        <f>tbl_Ventes[[#This Row],[CA ligne]] - tbl_Ventes[[#This Row],[Coût matière ligne]]</f>
        <v>0</v>
      </c>
      <c r="K875" s="7" t="str">
        <f>IFERROR(INDEX(tbl_ProduitsRef[Famille], MATCH(tbl_Ventes[[#This Row],[Cde_Prdt]], tbl_Produits[Cde_Prdt], 0)), "")</f>
        <v/>
      </c>
    </row>
    <row r="876" spans="1:11" x14ac:dyDescent="0.25">
      <c r="A876" s="5"/>
      <c r="B876" s="63" t="str">
        <f>IFERROR(TEXT(tbl_Ventes[[#This Row],[Date]],"mm-aaaa"),"")</f>
        <v>01-1900</v>
      </c>
      <c r="D876" s="10" t="str">
        <f>IFERROR(
   INDEX(tbl_ProduitsRef[Cde_Prdt],MATCH(tbl_Ventes[[#This Row],[Produit]],tbl_ProduitsRef[Produit],0)),
   ""
)</f>
        <v/>
      </c>
      <c r="E876" s="7">
        <v>0</v>
      </c>
      <c r="F876" s="7" t="str">
        <f>IFERROR(
   INDEX(tbl_ProduitsRef[Prix Menu],MATCH(tbl_Ventes[[#This Row],[Produit]],tbl_ProduitsRef[Produit],0)),
   ""
)</f>
        <v/>
      </c>
      <c r="G876" s="7">
        <f>tbl_Ventes[[#This Row],[Qté Vendue]] * IFERROR(_xlfn.XLOOKUP(tbl_Ventes[[#This Row],[Cde_Prdt]], tbl_Produits[Cde_Prdt], tbl_Produits[Prix Menu]), 0)</f>
        <v>0</v>
      </c>
      <c r="H876" s="7">
        <f>IFERROR(_xlfn.XLOOKUP(tbl_Ventes[[#This Row],[Cde_Prdt]], tbl_Produits[Cde_Prdt], tbl_Produits[Coût Moyen Portion]), 0)</f>
        <v>0</v>
      </c>
      <c r="I876" s="7">
        <f>tbl_Ventes[[#This Row],[Qté Vendue]] * tbl_Ventes[[#This Row],[CMP_par_portion]]</f>
        <v>0</v>
      </c>
      <c r="J876" s="7">
        <f>tbl_Ventes[[#This Row],[CA ligne]] - tbl_Ventes[[#This Row],[Coût matière ligne]]</f>
        <v>0</v>
      </c>
      <c r="K876" s="7" t="str">
        <f>IFERROR(INDEX(tbl_ProduitsRef[Famille], MATCH(tbl_Ventes[[#This Row],[Cde_Prdt]], tbl_Produits[Cde_Prdt], 0)), "")</f>
        <v/>
      </c>
    </row>
    <row r="877" spans="1:11" x14ac:dyDescent="0.25">
      <c r="A877" s="5"/>
      <c r="B877" s="63" t="str">
        <f>IFERROR(TEXT(tbl_Ventes[[#This Row],[Date]],"mm-aaaa"),"")</f>
        <v>01-1900</v>
      </c>
      <c r="D877" s="10" t="str">
        <f>IFERROR(
   INDEX(tbl_ProduitsRef[Cde_Prdt],MATCH(tbl_Ventes[[#This Row],[Produit]],tbl_ProduitsRef[Produit],0)),
   ""
)</f>
        <v/>
      </c>
      <c r="E877" s="7">
        <v>0</v>
      </c>
      <c r="F877" s="7" t="str">
        <f>IFERROR(
   INDEX(tbl_ProduitsRef[Prix Menu],MATCH(tbl_Ventes[[#This Row],[Produit]],tbl_ProduitsRef[Produit],0)),
   ""
)</f>
        <v/>
      </c>
      <c r="G877" s="7">
        <f>tbl_Ventes[[#This Row],[Qté Vendue]] * IFERROR(_xlfn.XLOOKUP(tbl_Ventes[[#This Row],[Cde_Prdt]], tbl_Produits[Cde_Prdt], tbl_Produits[Prix Menu]), 0)</f>
        <v>0</v>
      </c>
      <c r="H877" s="7">
        <f>IFERROR(_xlfn.XLOOKUP(tbl_Ventes[[#This Row],[Cde_Prdt]], tbl_Produits[Cde_Prdt], tbl_Produits[Coût Moyen Portion]), 0)</f>
        <v>0</v>
      </c>
      <c r="I877" s="7">
        <f>tbl_Ventes[[#This Row],[Qté Vendue]] * tbl_Ventes[[#This Row],[CMP_par_portion]]</f>
        <v>0</v>
      </c>
      <c r="J877" s="7">
        <f>tbl_Ventes[[#This Row],[CA ligne]] - tbl_Ventes[[#This Row],[Coût matière ligne]]</f>
        <v>0</v>
      </c>
      <c r="K877" s="7" t="str">
        <f>IFERROR(INDEX(tbl_ProduitsRef[Famille], MATCH(tbl_Ventes[[#This Row],[Cde_Prdt]], tbl_Produits[Cde_Prdt], 0)), "")</f>
        <v/>
      </c>
    </row>
    <row r="878" spans="1:11" x14ac:dyDescent="0.25">
      <c r="A878" s="5"/>
      <c r="B878" s="63" t="str">
        <f>IFERROR(TEXT(tbl_Ventes[[#This Row],[Date]],"mm-aaaa"),"")</f>
        <v>01-1900</v>
      </c>
      <c r="D878" s="10" t="str">
        <f>IFERROR(
   INDEX(tbl_ProduitsRef[Cde_Prdt],MATCH(tbl_Ventes[[#This Row],[Produit]],tbl_ProduitsRef[Produit],0)),
   ""
)</f>
        <v/>
      </c>
      <c r="E878" s="7">
        <v>0</v>
      </c>
      <c r="F878" s="7" t="str">
        <f>IFERROR(
   INDEX(tbl_ProduitsRef[Prix Menu],MATCH(tbl_Ventes[[#This Row],[Produit]],tbl_ProduitsRef[Produit],0)),
   ""
)</f>
        <v/>
      </c>
      <c r="G878" s="7">
        <f>tbl_Ventes[[#This Row],[Qté Vendue]] * IFERROR(_xlfn.XLOOKUP(tbl_Ventes[[#This Row],[Cde_Prdt]], tbl_Produits[Cde_Prdt], tbl_Produits[Prix Menu]), 0)</f>
        <v>0</v>
      </c>
      <c r="H878" s="7">
        <f>IFERROR(_xlfn.XLOOKUP(tbl_Ventes[[#This Row],[Cde_Prdt]], tbl_Produits[Cde_Prdt], tbl_Produits[Coût Moyen Portion]), 0)</f>
        <v>0</v>
      </c>
      <c r="I878" s="7">
        <f>tbl_Ventes[[#This Row],[Qté Vendue]] * tbl_Ventes[[#This Row],[CMP_par_portion]]</f>
        <v>0</v>
      </c>
      <c r="J878" s="7">
        <f>tbl_Ventes[[#This Row],[CA ligne]] - tbl_Ventes[[#This Row],[Coût matière ligne]]</f>
        <v>0</v>
      </c>
      <c r="K878" s="7" t="str">
        <f>IFERROR(INDEX(tbl_ProduitsRef[Famille], MATCH(tbl_Ventes[[#This Row],[Cde_Prdt]], tbl_Produits[Cde_Prdt], 0)), "")</f>
        <v/>
      </c>
    </row>
    <row r="879" spans="1:11" x14ac:dyDescent="0.25">
      <c r="A879" s="5"/>
      <c r="B879" s="63" t="str">
        <f>IFERROR(TEXT(tbl_Ventes[[#This Row],[Date]],"mm-aaaa"),"")</f>
        <v>01-1900</v>
      </c>
      <c r="D879" s="10" t="str">
        <f>IFERROR(
   INDEX(tbl_ProduitsRef[Cde_Prdt],MATCH(tbl_Ventes[[#This Row],[Produit]],tbl_ProduitsRef[Produit],0)),
   ""
)</f>
        <v/>
      </c>
      <c r="E879" s="7">
        <v>0</v>
      </c>
      <c r="F879" s="7" t="str">
        <f>IFERROR(
   INDEX(tbl_ProduitsRef[Prix Menu],MATCH(tbl_Ventes[[#This Row],[Produit]],tbl_ProduitsRef[Produit],0)),
   ""
)</f>
        <v/>
      </c>
      <c r="G879" s="7">
        <f>tbl_Ventes[[#This Row],[Qté Vendue]] * IFERROR(_xlfn.XLOOKUP(tbl_Ventes[[#This Row],[Cde_Prdt]], tbl_Produits[Cde_Prdt], tbl_Produits[Prix Menu]), 0)</f>
        <v>0</v>
      </c>
      <c r="H879" s="7">
        <f>IFERROR(_xlfn.XLOOKUP(tbl_Ventes[[#This Row],[Cde_Prdt]], tbl_Produits[Cde_Prdt], tbl_Produits[Coût Moyen Portion]), 0)</f>
        <v>0</v>
      </c>
      <c r="I879" s="7">
        <f>tbl_Ventes[[#This Row],[Qté Vendue]] * tbl_Ventes[[#This Row],[CMP_par_portion]]</f>
        <v>0</v>
      </c>
      <c r="J879" s="7">
        <f>tbl_Ventes[[#This Row],[CA ligne]] - tbl_Ventes[[#This Row],[Coût matière ligne]]</f>
        <v>0</v>
      </c>
      <c r="K879" s="7" t="str">
        <f>IFERROR(INDEX(tbl_ProduitsRef[Famille], MATCH(tbl_Ventes[[#This Row],[Cde_Prdt]], tbl_Produits[Cde_Prdt], 0)), "")</f>
        <v/>
      </c>
    </row>
    <row r="880" spans="1:11" x14ac:dyDescent="0.25">
      <c r="A880" s="5"/>
      <c r="B880" s="63" t="str">
        <f>IFERROR(TEXT(tbl_Ventes[[#This Row],[Date]],"mm-aaaa"),"")</f>
        <v>01-1900</v>
      </c>
      <c r="D880" s="10" t="str">
        <f>IFERROR(
   INDEX(tbl_ProduitsRef[Cde_Prdt],MATCH(tbl_Ventes[[#This Row],[Produit]],tbl_ProduitsRef[Produit],0)),
   ""
)</f>
        <v/>
      </c>
      <c r="E880" s="7">
        <v>0</v>
      </c>
      <c r="F880" s="7" t="str">
        <f>IFERROR(
   INDEX(tbl_ProduitsRef[Prix Menu],MATCH(tbl_Ventes[[#This Row],[Produit]],tbl_ProduitsRef[Produit],0)),
   ""
)</f>
        <v/>
      </c>
      <c r="G880" s="7">
        <f>tbl_Ventes[[#This Row],[Qté Vendue]] * IFERROR(_xlfn.XLOOKUP(tbl_Ventes[[#This Row],[Cde_Prdt]], tbl_Produits[Cde_Prdt], tbl_Produits[Prix Menu]), 0)</f>
        <v>0</v>
      </c>
      <c r="H880" s="7">
        <f>IFERROR(_xlfn.XLOOKUP(tbl_Ventes[[#This Row],[Cde_Prdt]], tbl_Produits[Cde_Prdt], tbl_Produits[Coût Moyen Portion]), 0)</f>
        <v>0</v>
      </c>
      <c r="I880" s="7">
        <f>tbl_Ventes[[#This Row],[Qté Vendue]] * tbl_Ventes[[#This Row],[CMP_par_portion]]</f>
        <v>0</v>
      </c>
      <c r="J880" s="7">
        <f>tbl_Ventes[[#This Row],[CA ligne]] - tbl_Ventes[[#This Row],[Coût matière ligne]]</f>
        <v>0</v>
      </c>
      <c r="K880" s="7" t="str">
        <f>IFERROR(INDEX(tbl_ProduitsRef[Famille], MATCH(tbl_Ventes[[#This Row],[Cde_Prdt]], tbl_Produits[Cde_Prdt], 0)), "")</f>
        <v/>
      </c>
    </row>
    <row r="881" spans="1:11" x14ac:dyDescent="0.25">
      <c r="A881" s="5"/>
      <c r="B881" s="63" t="str">
        <f>IFERROR(TEXT(tbl_Ventes[[#This Row],[Date]],"mm-aaaa"),"")</f>
        <v>01-1900</v>
      </c>
      <c r="D881" s="10" t="str">
        <f>IFERROR(
   INDEX(tbl_ProduitsRef[Cde_Prdt],MATCH(tbl_Ventes[[#This Row],[Produit]],tbl_ProduitsRef[Produit],0)),
   ""
)</f>
        <v/>
      </c>
      <c r="E881" s="7">
        <v>0</v>
      </c>
      <c r="F881" s="7" t="str">
        <f>IFERROR(
   INDEX(tbl_ProduitsRef[Prix Menu],MATCH(tbl_Ventes[[#This Row],[Produit]],tbl_ProduitsRef[Produit],0)),
   ""
)</f>
        <v/>
      </c>
      <c r="G881" s="7">
        <f>tbl_Ventes[[#This Row],[Qté Vendue]] * IFERROR(_xlfn.XLOOKUP(tbl_Ventes[[#This Row],[Cde_Prdt]], tbl_Produits[Cde_Prdt], tbl_Produits[Prix Menu]), 0)</f>
        <v>0</v>
      </c>
      <c r="H881" s="7">
        <f>IFERROR(_xlfn.XLOOKUP(tbl_Ventes[[#This Row],[Cde_Prdt]], tbl_Produits[Cde_Prdt], tbl_Produits[Coût Moyen Portion]), 0)</f>
        <v>0</v>
      </c>
      <c r="I881" s="7">
        <f>tbl_Ventes[[#This Row],[Qté Vendue]] * tbl_Ventes[[#This Row],[CMP_par_portion]]</f>
        <v>0</v>
      </c>
      <c r="J881" s="7">
        <f>tbl_Ventes[[#This Row],[CA ligne]] - tbl_Ventes[[#This Row],[Coût matière ligne]]</f>
        <v>0</v>
      </c>
      <c r="K881" s="7" t="str">
        <f>IFERROR(INDEX(tbl_ProduitsRef[Famille], MATCH(tbl_Ventes[[#This Row],[Cde_Prdt]], tbl_Produits[Cde_Prdt], 0)), "")</f>
        <v/>
      </c>
    </row>
    <row r="882" spans="1:11" x14ac:dyDescent="0.25">
      <c r="A882" s="5"/>
      <c r="B882" s="63" t="str">
        <f>IFERROR(TEXT(tbl_Ventes[[#This Row],[Date]],"mm-aaaa"),"")</f>
        <v>01-1900</v>
      </c>
      <c r="D882" s="10" t="str">
        <f>IFERROR(
   INDEX(tbl_ProduitsRef[Cde_Prdt],MATCH(tbl_Ventes[[#This Row],[Produit]],tbl_ProduitsRef[Produit],0)),
   ""
)</f>
        <v/>
      </c>
      <c r="E882" s="7">
        <v>0</v>
      </c>
      <c r="F882" s="7" t="str">
        <f>IFERROR(
   INDEX(tbl_ProduitsRef[Prix Menu],MATCH(tbl_Ventes[[#This Row],[Produit]],tbl_ProduitsRef[Produit],0)),
   ""
)</f>
        <v/>
      </c>
      <c r="G882" s="7">
        <f>tbl_Ventes[[#This Row],[Qté Vendue]] * IFERROR(_xlfn.XLOOKUP(tbl_Ventes[[#This Row],[Cde_Prdt]], tbl_Produits[Cde_Prdt], tbl_Produits[Prix Menu]), 0)</f>
        <v>0</v>
      </c>
      <c r="H882" s="7">
        <f>IFERROR(_xlfn.XLOOKUP(tbl_Ventes[[#This Row],[Cde_Prdt]], tbl_Produits[Cde_Prdt], tbl_Produits[Coût Moyen Portion]), 0)</f>
        <v>0</v>
      </c>
      <c r="I882" s="7">
        <f>tbl_Ventes[[#This Row],[Qté Vendue]] * tbl_Ventes[[#This Row],[CMP_par_portion]]</f>
        <v>0</v>
      </c>
      <c r="J882" s="7">
        <f>tbl_Ventes[[#This Row],[CA ligne]] - tbl_Ventes[[#This Row],[Coût matière ligne]]</f>
        <v>0</v>
      </c>
      <c r="K882" s="7" t="str">
        <f>IFERROR(INDEX(tbl_ProduitsRef[Famille], MATCH(tbl_Ventes[[#This Row],[Cde_Prdt]], tbl_Produits[Cde_Prdt], 0)), "")</f>
        <v/>
      </c>
    </row>
    <row r="883" spans="1:11" x14ac:dyDescent="0.25">
      <c r="A883" s="5"/>
      <c r="B883" s="63" t="str">
        <f>IFERROR(TEXT(tbl_Ventes[[#This Row],[Date]],"mm-aaaa"),"")</f>
        <v>01-1900</v>
      </c>
      <c r="D883" s="10" t="str">
        <f>IFERROR(
   INDEX(tbl_ProduitsRef[Cde_Prdt],MATCH(tbl_Ventes[[#This Row],[Produit]],tbl_ProduitsRef[Produit],0)),
   ""
)</f>
        <v/>
      </c>
      <c r="E883" s="7">
        <v>0</v>
      </c>
      <c r="F883" s="7" t="str">
        <f>IFERROR(
   INDEX(tbl_ProduitsRef[Prix Menu],MATCH(tbl_Ventes[[#This Row],[Produit]],tbl_ProduitsRef[Produit],0)),
   ""
)</f>
        <v/>
      </c>
      <c r="G883" s="7">
        <f>tbl_Ventes[[#This Row],[Qté Vendue]] * IFERROR(_xlfn.XLOOKUP(tbl_Ventes[[#This Row],[Cde_Prdt]], tbl_Produits[Cde_Prdt], tbl_Produits[Prix Menu]), 0)</f>
        <v>0</v>
      </c>
      <c r="H883" s="7">
        <f>IFERROR(_xlfn.XLOOKUP(tbl_Ventes[[#This Row],[Cde_Prdt]], tbl_Produits[Cde_Prdt], tbl_Produits[Coût Moyen Portion]), 0)</f>
        <v>0</v>
      </c>
      <c r="I883" s="7">
        <f>tbl_Ventes[[#This Row],[Qté Vendue]] * tbl_Ventes[[#This Row],[CMP_par_portion]]</f>
        <v>0</v>
      </c>
      <c r="J883" s="7">
        <f>tbl_Ventes[[#This Row],[CA ligne]] - tbl_Ventes[[#This Row],[Coût matière ligne]]</f>
        <v>0</v>
      </c>
      <c r="K883" s="7" t="str">
        <f>IFERROR(INDEX(tbl_ProduitsRef[Famille], MATCH(tbl_Ventes[[#This Row],[Cde_Prdt]], tbl_Produits[Cde_Prdt], 0)), "")</f>
        <v/>
      </c>
    </row>
    <row r="884" spans="1:11" x14ac:dyDescent="0.25">
      <c r="A884" s="5"/>
      <c r="B884" s="63" t="str">
        <f>IFERROR(TEXT(tbl_Ventes[[#This Row],[Date]],"mm-aaaa"),"")</f>
        <v>01-1900</v>
      </c>
      <c r="D884" s="10" t="str">
        <f>IFERROR(
   INDEX(tbl_ProduitsRef[Cde_Prdt],MATCH(tbl_Ventes[[#This Row],[Produit]],tbl_ProduitsRef[Produit],0)),
   ""
)</f>
        <v/>
      </c>
      <c r="E884" s="7">
        <v>0</v>
      </c>
      <c r="F884" s="7" t="str">
        <f>IFERROR(
   INDEX(tbl_ProduitsRef[Prix Menu],MATCH(tbl_Ventes[[#This Row],[Produit]],tbl_ProduitsRef[Produit],0)),
   ""
)</f>
        <v/>
      </c>
      <c r="G884" s="7">
        <f>tbl_Ventes[[#This Row],[Qté Vendue]] * IFERROR(_xlfn.XLOOKUP(tbl_Ventes[[#This Row],[Cde_Prdt]], tbl_Produits[Cde_Prdt], tbl_Produits[Prix Menu]), 0)</f>
        <v>0</v>
      </c>
      <c r="H884" s="7">
        <f>IFERROR(_xlfn.XLOOKUP(tbl_Ventes[[#This Row],[Cde_Prdt]], tbl_Produits[Cde_Prdt], tbl_Produits[Coût Moyen Portion]), 0)</f>
        <v>0</v>
      </c>
      <c r="I884" s="7">
        <f>tbl_Ventes[[#This Row],[Qté Vendue]] * tbl_Ventes[[#This Row],[CMP_par_portion]]</f>
        <v>0</v>
      </c>
      <c r="J884" s="7">
        <f>tbl_Ventes[[#This Row],[CA ligne]] - tbl_Ventes[[#This Row],[Coût matière ligne]]</f>
        <v>0</v>
      </c>
      <c r="K884" s="7" t="str">
        <f>IFERROR(INDEX(tbl_ProduitsRef[Famille], MATCH(tbl_Ventes[[#This Row],[Cde_Prdt]], tbl_Produits[Cde_Prdt], 0)), "")</f>
        <v/>
      </c>
    </row>
    <row r="885" spans="1:11" x14ac:dyDescent="0.25">
      <c r="A885" s="5"/>
      <c r="B885" s="63" t="str">
        <f>IFERROR(TEXT(tbl_Ventes[[#This Row],[Date]],"mm-aaaa"),"")</f>
        <v>01-1900</v>
      </c>
      <c r="D885" s="10" t="str">
        <f>IFERROR(
   INDEX(tbl_ProduitsRef[Cde_Prdt],MATCH(tbl_Ventes[[#This Row],[Produit]],tbl_ProduitsRef[Produit],0)),
   ""
)</f>
        <v/>
      </c>
      <c r="E885" s="7">
        <v>0</v>
      </c>
      <c r="F885" s="7" t="str">
        <f>IFERROR(
   INDEX(tbl_ProduitsRef[Prix Menu],MATCH(tbl_Ventes[[#This Row],[Produit]],tbl_ProduitsRef[Produit],0)),
   ""
)</f>
        <v/>
      </c>
      <c r="G885" s="7">
        <f>tbl_Ventes[[#This Row],[Qté Vendue]] * IFERROR(_xlfn.XLOOKUP(tbl_Ventes[[#This Row],[Cde_Prdt]], tbl_Produits[Cde_Prdt], tbl_Produits[Prix Menu]), 0)</f>
        <v>0</v>
      </c>
      <c r="H885" s="7">
        <f>IFERROR(_xlfn.XLOOKUP(tbl_Ventes[[#This Row],[Cde_Prdt]], tbl_Produits[Cde_Prdt], tbl_Produits[Coût Moyen Portion]), 0)</f>
        <v>0</v>
      </c>
      <c r="I885" s="7">
        <f>tbl_Ventes[[#This Row],[Qté Vendue]] * tbl_Ventes[[#This Row],[CMP_par_portion]]</f>
        <v>0</v>
      </c>
      <c r="J885" s="7">
        <f>tbl_Ventes[[#This Row],[CA ligne]] - tbl_Ventes[[#This Row],[Coût matière ligne]]</f>
        <v>0</v>
      </c>
      <c r="K885" s="7" t="str">
        <f>IFERROR(INDEX(tbl_ProduitsRef[Famille], MATCH(tbl_Ventes[[#This Row],[Cde_Prdt]], tbl_Produits[Cde_Prdt], 0)), "")</f>
        <v/>
      </c>
    </row>
    <row r="886" spans="1:11" x14ac:dyDescent="0.25">
      <c r="A886" s="5"/>
      <c r="B886" s="63" t="str">
        <f>IFERROR(TEXT(tbl_Ventes[[#This Row],[Date]],"mm-aaaa"),"")</f>
        <v>01-1900</v>
      </c>
      <c r="D886" s="10" t="str">
        <f>IFERROR(
   INDEX(tbl_ProduitsRef[Cde_Prdt],MATCH(tbl_Ventes[[#This Row],[Produit]],tbl_ProduitsRef[Produit],0)),
   ""
)</f>
        <v/>
      </c>
      <c r="E886" s="7">
        <v>0</v>
      </c>
      <c r="F886" s="7" t="str">
        <f>IFERROR(
   INDEX(tbl_ProduitsRef[Prix Menu],MATCH(tbl_Ventes[[#This Row],[Produit]],tbl_ProduitsRef[Produit],0)),
   ""
)</f>
        <v/>
      </c>
      <c r="G886" s="7">
        <f>tbl_Ventes[[#This Row],[Qté Vendue]] * IFERROR(_xlfn.XLOOKUP(tbl_Ventes[[#This Row],[Cde_Prdt]], tbl_Produits[Cde_Prdt], tbl_Produits[Prix Menu]), 0)</f>
        <v>0</v>
      </c>
      <c r="H886" s="7">
        <f>IFERROR(_xlfn.XLOOKUP(tbl_Ventes[[#This Row],[Cde_Prdt]], tbl_Produits[Cde_Prdt], tbl_Produits[Coût Moyen Portion]), 0)</f>
        <v>0</v>
      </c>
      <c r="I886" s="7">
        <f>tbl_Ventes[[#This Row],[Qté Vendue]] * tbl_Ventes[[#This Row],[CMP_par_portion]]</f>
        <v>0</v>
      </c>
      <c r="J886" s="7">
        <f>tbl_Ventes[[#This Row],[CA ligne]] - tbl_Ventes[[#This Row],[Coût matière ligne]]</f>
        <v>0</v>
      </c>
      <c r="K886" s="7" t="str">
        <f>IFERROR(INDEX(tbl_ProduitsRef[Famille], MATCH(tbl_Ventes[[#This Row],[Cde_Prdt]], tbl_Produits[Cde_Prdt], 0)), "")</f>
        <v/>
      </c>
    </row>
    <row r="887" spans="1:11" x14ac:dyDescent="0.25">
      <c r="A887" s="5"/>
      <c r="B887" s="63" t="str">
        <f>IFERROR(TEXT(tbl_Ventes[[#This Row],[Date]],"mm-aaaa"),"")</f>
        <v>01-1900</v>
      </c>
      <c r="D887" s="10" t="str">
        <f>IFERROR(
   INDEX(tbl_ProduitsRef[Cde_Prdt],MATCH(tbl_Ventes[[#This Row],[Produit]],tbl_ProduitsRef[Produit],0)),
   ""
)</f>
        <v/>
      </c>
      <c r="E887" s="7">
        <v>0</v>
      </c>
      <c r="F887" s="7" t="str">
        <f>IFERROR(
   INDEX(tbl_ProduitsRef[Prix Menu],MATCH(tbl_Ventes[[#This Row],[Produit]],tbl_ProduitsRef[Produit],0)),
   ""
)</f>
        <v/>
      </c>
      <c r="G887" s="7">
        <f>tbl_Ventes[[#This Row],[Qté Vendue]] * IFERROR(_xlfn.XLOOKUP(tbl_Ventes[[#This Row],[Cde_Prdt]], tbl_Produits[Cde_Prdt], tbl_Produits[Prix Menu]), 0)</f>
        <v>0</v>
      </c>
      <c r="H887" s="7">
        <f>IFERROR(_xlfn.XLOOKUP(tbl_Ventes[[#This Row],[Cde_Prdt]], tbl_Produits[Cde_Prdt], tbl_Produits[Coût Moyen Portion]), 0)</f>
        <v>0</v>
      </c>
      <c r="I887" s="7">
        <f>tbl_Ventes[[#This Row],[Qté Vendue]] * tbl_Ventes[[#This Row],[CMP_par_portion]]</f>
        <v>0</v>
      </c>
      <c r="J887" s="7">
        <f>tbl_Ventes[[#This Row],[CA ligne]] - tbl_Ventes[[#This Row],[Coût matière ligne]]</f>
        <v>0</v>
      </c>
      <c r="K887" s="7" t="str">
        <f>IFERROR(INDEX(tbl_ProduitsRef[Famille], MATCH(tbl_Ventes[[#This Row],[Cde_Prdt]], tbl_Produits[Cde_Prdt], 0)), "")</f>
        <v/>
      </c>
    </row>
    <row r="888" spans="1:11" x14ac:dyDescent="0.25">
      <c r="A888" s="5"/>
      <c r="B888" s="63" t="str">
        <f>IFERROR(TEXT(tbl_Ventes[[#This Row],[Date]],"mm-aaaa"),"")</f>
        <v>01-1900</v>
      </c>
      <c r="D888" s="10" t="str">
        <f>IFERROR(
   INDEX(tbl_ProduitsRef[Cde_Prdt],MATCH(tbl_Ventes[[#This Row],[Produit]],tbl_ProduitsRef[Produit],0)),
   ""
)</f>
        <v/>
      </c>
      <c r="E888" s="7">
        <v>0</v>
      </c>
      <c r="F888" s="7" t="str">
        <f>IFERROR(
   INDEX(tbl_ProduitsRef[Prix Menu],MATCH(tbl_Ventes[[#This Row],[Produit]],tbl_ProduitsRef[Produit],0)),
   ""
)</f>
        <v/>
      </c>
      <c r="G888" s="7">
        <f>tbl_Ventes[[#This Row],[Qté Vendue]] * IFERROR(_xlfn.XLOOKUP(tbl_Ventes[[#This Row],[Cde_Prdt]], tbl_Produits[Cde_Prdt], tbl_Produits[Prix Menu]), 0)</f>
        <v>0</v>
      </c>
      <c r="H888" s="7">
        <f>IFERROR(_xlfn.XLOOKUP(tbl_Ventes[[#This Row],[Cde_Prdt]], tbl_Produits[Cde_Prdt], tbl_Produits[Coût Moyen Portion]), 0)</f>
        <v>0</v>
      </c>
      <c r="I888" s="7">
        <f>tbl_Ventes[[#This Row],[Qté Vendue]] * tbl_Ventes[[#This Row],[CMP_par_portion]]</f>
        <v>0</v>
      </c>
      <c r="J888" s="7">
        <f>tbl_Ventes[[#This Row],[CA ligne]] - tbl_Ventes[[#This Row],[Coût matière ligne]]</f>
        <v>0</v>
      </c>
      <c r="K888" s="7" t="str">
        <f>IFERROR(INDEX(tbl_ProduitsRef[Famille], MATCH(tbl_Ventes[[#This Row],[Cde_Prdt]], tbl_Produits[Cde_Prdt], 0)), "")</f>
        <v/>
      </c>
    </row>
    <row r="889" spans="1:11" x14ac:dyDescent="0.25">
      <c r="A889" s="5"/>
      <c r="B889" s="63" t="str">
        <f>IFERROR(TEXT(tbl_Ventes[[#This Row],[Date]],"mm-aaaa"),"")</f>
        <v>01-1900</v>
      </c>
      <c r="D889" s="10" t="str">
        <f>IFERROR(
   INDEX(tbl_ProduitsRef[Cde_Prdt],MATCH(tbl_Ventes[[#This Row],[Produit]],tbl_ProduitsRef[Produit],0)),
   ""
)</f>
        <v/>
      </c>
      <c r="E889" s="7">
        <v>0</v>
      </c>
      <c r="F889" s="7" t="str">
        <f>IFERROR(
   INDEX(tbl_ProduitsRef[Prix Menu],MATCH(tbl_Ventes[[#This Row],[Produit]],tbl_ProduitsRef[Produit],0)),
   ""
)</f>
        <v/>
      </c>
      <c r="G889" s="7">
        <f>tbl_Ventes[[#This Row],[Qté Vendue]] * IFERROR(_xlfn.XLOOKUP(tbl_Ventes[[#This Row],[Cde_Prdt]], tbl_Produits[Cde_Prdt], tbl_Produits[Prix Menu]), 0)</f>
        <v>0</v>
      </c>
      <c r="H889" s="7">
        <f>IFERROR(_xlfn.XLOOKUP(tbl_Ventes[[#This Row],[Cde_Prdt]], tbl_Produits[Cde_Prdt], tbl_Produits[Coût Moyen Portion]), 0)</f>
        <v>0</v>
      </c>
      <c r="I889" s="7">
        <f>tbl_Ventes[[#This Row],[Qté Vendue]] * tbl_Ventes[[#This Row],[CMP_par_portion]]</f>
        <v>0</v>
      </c>
      <c r="J889" s="7">
        <f>tbl_Ventes[[#This Row],[CA ligne]] - tbl_Ventes[[#This Row],[Coût matière ligne]]</f>
        <v>0</v>
      </c>
      <c r="K889" s="7" t="str">
        <f>IFERROR(INDEX(tbl_ProduitsRef[Famille], MATCH(tbl_Ventes[[#This Row],[Cde_Prdt]], tbl_Produits[Cde_Prdt], 0)), "")</f>
        <v/>
      </c>
    </row>
    <row r="890" spans="1:11" x14ac:dyDescent="0.25">
      <c r="A890" s="5"/>
      <c r="B890" s="63" t="str">
        <f>IFERROR(TEXT(tbl_Ventes[[#This Row],[Date]],"mm-aaaa"),"")</f>
        <v>01-1900</v>
      </c>
      <c r="D890" s="10" t="str">
        <f>IFERROR(
   INDEX(tbl_ProduitsRef[Cde_Prdt],MATCH(tbl_Ventes[[#This Row],[Produit]],tbl_ProduitsRef[Produit],0)),
   ""
)</f>
        <v/>
      </c>
      <c r="E890" s="7">
        <v>0</v>
      </c>
      <c r="F890" s="7" t="str">
        <f>IFERROR(
   INDEX(tbl_ProduitsRef[Prix Menu],MATCH(tbl_Ventes[[#This Row],[Produit]],tbl_ProduitsRef[Produit],0)),
   ""
)</f>
        <v/>
      </c>
      <c r="G890" s="7">
        <f>tbl_Ventes[[#This Row],[Qté Vendue]] * IFERROR(_xlfn.XLOOKUP(tbl_Ventes[[#This Row],[Cde_Prdt]], tbl_Produits[Cde_Prdt], tbl_Produits[Prix Menu]), 0)</f>
        <v>0</v>
      </c>
      <c r="H890" s="7">
        <f>IFERROR(_xlfn.XLOOKUP(tbl_Ventes[[#This Row],[Cde_Prdt]], tbl_Produits[Cde_Prdt], tbl_Produits[Coût Moyen Portion]), 0)</f>
        <v>0</v>
      </c>
      <c r="I890" s="7">
        <f>tbl_Ventes[[#This Row],[Qté Vendue]] * tbl_Ventes[[#This Row],[CMP_par_portion]]</f>
        <v>0</v>
      </c>
      <c r="J890" s="7">
        <f>tbl_Ventes[[#This Row],[CA ligne]] - tbl_Ventes[[#This Row],[Coût matière ligne]]</f>
        <v>0</v>
      </c>
      <c r="K890" s="7" t="str">
        <f>IFERROR(INDEX(tbl_ProduitsRef[Famille], MATCH(tbl_Ventes[[#This Row],[Cde_Prdt]], tbl_Produits[Cde_Prdt], 0)), "")</f>
        <v/>
      </c>
    </row>
    <row r="891" spans="1:11" x14ac:dyDescent="0.25">
      <c r="A891" s="5"/>
      <c r="B891" s="63" t="str">
        <f>IFERROR(TEXT(tbl_Ventes[[#This Row],[Date]],"mm-aaaa"),"")</f>
        <v>01-1900</v>
      </c>
      <c r="D891" s="10" t="str">
        <f>IFERROR(
   INDEX(tbl_ProduitsRef[Cde_Prdt],MATCH(tbl_Ventes[[#This Row],[Produit]],tbl_ProduitsRef[Produit],0)),
   ""
)</f>
        <v/>
      </c>
      <c r="E891" s="7">
        <v>0</v>
      </c>
      <c r="F891" s="7" t="str">
        <f>IFERROR(
   INDEX(tbl_ProduitsRef[Prix Menu],MATCH(tbl_Ventes[[#This Row],[Produit]],tbl_ProduitsRef[Produit],0)),
   ""
)</f>
        <v/>
      </c>
      <c r="G891" s="7">
        <f>tbl_Ventes[[#This Row],[Qté Vendue]] * IFERROR(_xlfn.XLOOKUP(tbl_Ventes[[#This Row],[Cde_Prdt]], tbl_Produits[Cde_Prdt], tbl_Produits[Prix Menu]), 0)</f>
        <v>0</v>
      </c>
      <c r="H891" s="7">
        <f>IFERROR(_xlfn.XLOOKUP(tbl_Ventes[[#This Row],[Cde_Prdt]], tbl_Produits[Cde_Prdt], tbl_Produits[Coût Moyen Portion]), 0)</f>
        <v>0</v>
      </c>
      <c r="I891" s="7">
        <f>tbl_Ventes[[#This Row],[Qté Vendue]] * tbl_Ventes[[#This Row],[CMP_par_portion]]</f>
        <v>0</v>
      </c>
      <c r="J891" s="7">
        <f>tbl_Ventes[[#This Row],[CA ligne]] - tbl_Ventes[[#This Row],[Coût matière ligne]]</f>
        <v>0</v>
      </c>
      <c r="K891" s="7" t="str">
        <f>IFERROR(INDEX(tbl_ProduitsRef[Famille], MATCH(tbl_Ventes[[#This Row],[Cde_Prdt]], tbl_Produits[Cde_Prdt], 0)), "")</f>
        <v/>
      </c>
    </row>
    <row r="892" spans="1:11" x14ac:dyDescent="0.25">
      <c r="A892" s="5"/>
      <c r="B892" s="63" t="str">
        <f>IFERROR(TEXT(tbl_Ventes[[#This Row],[Date]],"mm-aaaa"),"")</f>
        <v>01-1900</v>
      </c>
      <c r="D892" s="10" t="str">
        <f>IFERROR(
   INDEX(tbl_ProduitsRef[Cde_Prdt],MATCH(tbl_Ventes[[#This Row],[Produit]],tbl_ProduitsRef[Produit],0)),
   ""
)</f>
        <v/>
      </c>
      <c r="E892" s="7">
        <v>0</v>
      </c>
      <c r="F892" s="7" t="str">
        <f>IFERROR(
   INDEX(tbl_ProduitsRef[Prix Menu],MATCH(tbl_Ventes[[#This Row],[Produit]],tbl_ProduitsRef[Produit],0)),
   ""
)</f>
        <v/>
      </c>
      <c r="G892" s="7">
        <f>tbl_Ventes[[#This Row],[Qté Vendue]] * IFERROR(_xlfn.XLOOKUP(tbl_Ventes[[#This Row],[Cde_Prdt]], tbl_Produits[Cde_Prdt], tbl_Produits[Prix Menu]), 0)</f>
        <v>0</v>
      </c>
      <c r="H892" s="7">
        <f>IFERROR(_xlfn.XLOOKUP(tbl_Ventes[[#This Row],[Cde_Prdt]], tbl_Produits[Cde_Prdt], tbl_Produits[Coût Moyen Portion]), 0)</f>
        <v>0</v>
      </c>
      <c r="I892" s="7">
        <f>tbl_Ventes[[#This Row],[Qté Vendue]] * tbl_Ventes[[#This Row],[CMP_par_portion]]</f>
        <v>0</v>
      </c>
      <c r="J892" s="7">
        <f>tbl_Ventes[[#This Row],[CA ligne]] - tbl_Ventes[[#This Row],[Coût matière ligne]]</f>
        <v>0</v>
      </c>
      <c r="K892" s="7" t="str">
        <f>IFERROR(INDEX(tbl_ProduitsRef[Famille], MATCH(tbl_Ventes[[#This Row],[Cde_Prdt]], tbl_Produits[Cde_Prdt], 0)), "")</f>
        <v/>
      </c>
    </row>
    <row r="893" spans="1:11" x14ac:dyDescent="0.25">
      <c r="A893" s="5"/>
      <c r="B893" s="63" t="str">
        <f>IFERROR(TEXT(tbl_Ventes[[#This Row],[Date]],"mm-aaaa"),"")</f>
        <v>01-1900</v>
      </c>
      <c r="D893" s="10" t="str">
        <f>IFERROR(
   INDEX(tbl_ProduitsRef[Cde_Prdt],MATCH(tbl_Ventes[[#This Row],[Produit]],tbl_ProduitsRef[Produit],0)),
   ""
)</f>
        <v/>
      </c>
      <c r="E893" s="7">
        <v>0</v>
      </c>
      <c r="F893" s="7" t="str">
        <f>IFERROR(
   INDEX(tbl_ProduitsRef[Prix Menu],MATCH(tbl_Ventes[[#This Row],[Produit]],tbl_ProduitsRef[Produit],0)),
   ""
)</f>
        <v/>
      </c>
      <c r="G893" s="7">
        <f>tbl_Ventes[[#This Row],[Qté Vendue]] * IFERROR(_xlfn.XLOOKUP(tbl_Ventes[[#This Row],[Cde_Prdt]], tbl_Produits[Cde_Prdt], tbl_Produits[Prix Menu]), 0)</f>
        <v>0</v>
      </c>
      <c r="H893" s="7">
        <f>IFERROR(_xlfn.XLOOKUP(tbl_Ventes[[#This Row],[Cde_Prdt]], tbl_Produits[Cde_Prdt], tbl_Produits[Coût Moyen Portion]), 0)</f>
        <v>0</v>
      </c>
      <c r="I893" s="7">
        <f>tbl_Ventes[[#This Row],[Qté Vendue]] * tbl_Ventes[[#This Row],[CMP_par_portion]]</f>
        <v>0</v>
      </c>
      <c r="J893" s="7">
        <f>tbl_Ventes[[#This Row],[CA ligne]] - tbl_Ventes[[#This Row],[Coût matière ligne]]</f>
        <v>0</v>
      </c>
      <c r="K893" s="7" t="str">
        <f>IFERROR(INDEX(tbl_ProduitsRef[Famille], MATCH(tbl_Ventes[[#This Row],[Cde_Prdt]], tbl_Produits[Cde_Prdt], 0)), "")</f>
        <v/>
      </c>
    </row>
    <row r="894" spans="1:11" x14ac:dyDescent="0.25">
      <c r="A894" s="5"/>
      <c r="B894" s="63" t="str">
        <f>IFERROR(TEXT(tbl_Ventes[[#This Row],[Date]],"mm-aaaa"),"")</f>
        <v>01-1900</v>
      </c>
      <c r="D894" s="10" t="str">
        <f>IFERROR(
   INDEX(tbl_ProduitsRef[Cde_Prdt],MATCH(tbl_Ventes[[#This Row],[Produit]],tbl_ProduitsRef[Produit],0)),
   ""
)</f>
        <v/>
      </c>
      <c r="E894" s="7">
        <v>0</v>
      </c>
      <c r="F894" s="7" t="str">
        <f>IFERROR(
   INDEX(tbl_ProduitsRef[Prix Menu],MATCH(tbl_Ventes[[#This Row],[Produit]],tbl_ProduitsRef[Produit],0)),
   ""
)</f>
        <v/>
      </c>
      <c r="G894" s="7">
        <f>tbl_Ventes[[#This Row],[Qté Vendue]] * IFERROR(_xlfn.XLOOKUP(tbl_Ventes[[#This Row],[Cde_Prdt]], tbl_Produits[Cde_Prdt], tbl_Produits[Prix Menu]), 0)</f>
        <v>0</v>
      </c>
      <c r="H894" s="7">
        <f>IFERROR(_xlfn.XLOOKUP(tbl_Ventes[[#This Row],[Cde_Prdt]], tbl_Produits[Cde_Prdt], tbl_Produits[Coût Moyen Portion]), 0)</f>
        <v>0</v>
      </c>
      <c r="I894" s="7">
        <f>tbl_Ventes[[#This Row],[Qté Vendue]] * tbl_Ventes[[#This Row],[CMP_par_portion]]</f>
        <v>0</v>
      </c>
      <c r="J894" s="7">
        <f>tbl_Ventes[[#This Row],[CA ligne]] - tbl_Ventes[[#This Row],[Coût matière ligne]]</f>
        <v>0</v>
      </c>
      <c r="K894" s="7" t="str">
        <f>IFERROR(INDEX(tbl_ProduitsRef[Famille], MATCH(tbl_Ventes[[#This Row],[Cde_Prdt]], tbl_Produits[Cde_Prdt], 0)), "")</f>
        <v/>
      </c>
    </row>
    <row r="895" spans="1:11" x14ac:dyDescent="0.25">
      <c r="A895" s="5"/>
      <c r="B895" s="63" t="str">
        <f>IFERROR(TEXT(tbl_Ventes[[#This Row],[Date]],"mm-aaaa"),"")</f>
        <v>01-1900</v>
      </c>
      <c r="D895" s="10" t="str">
        <f>IFERROR(
   INDEX(tbl_ProduitsRef[Cde_Prdt],MATCH(tbl_Ventes[[#This Row],[Produit]],tbl_ProduitsRef[Produit],0)),
   ""
)</f>
        <v/>
      </c>
      <c r="E895" s="7">
        <v>0</v>
      </c>
      <c r="F895" s="7" t="str">
        <f>IFERROR(
   INDEX(tbl_ProduitsRef[Prix Menu],MATCH(tbl_Ventes[[#This Row],[Produit]],tbl_ProduitsRef[Produit],0)),
   ""
)</f>
        <v/>
      </c>
      <c r="G895" s="7">
        <f>tbl_Ventes[[#This Row],[Qté Vendue]] * IFERROR(_xlfn.XLOOKUP(tbl_Ventes[[#This Row],[Cde_Prdt]], tbl_Produits[Cde_Prdt], tbl_Produits[Prix Menu]), 0)</f>
        <v>0</v>
      </c>
      <c r="H895" s="7">
        <f>IFERROR(_xlfn.XLOOKUP(tbl_Ventes[[#This Row],[Cde_Prdt]], tbl_Produits[Cde_Prdt], tbl_Produits[Coût Moyen Portion]), 0)</f>
        <v>0</v>
      </c>
      <c r="I895" s="7">
        <f>tbl_Ventes[[#This Row],[Qté Vendue]] * tbl_Ventes[[#This Row],[CMP_par_portion]]</f>
        <v>0</v>
      </c>
      <c r="J895" s="7">
        <f>tbl_Ventes[[#This Row],[CA ligne]] - tbl_Ventes[[#This Row],[Coût matière ligne]]</f>
        <v>0</v>
      </c>
      <c r="K895" s="7" t="str">
        <f>IFERROR(INDEX(tbl_ProduitsRef[Famille], MATCH(tbl_Ventes[[#This Row],[Cde_Prdt]], tbl_Produits[Cde_Prdt], 0)), "")</f>
        <v/>
      </c>
    </row>
    <row r="896" spans="1:11" x14ac:dyDescent="0.25">
      <c r="A896" s="5"/>
      <c r="B896" s="63" t="str">
        <f>IFERROR(TEXT(tbl_Ventes[[#This Row],[Date]],"mm-aaaa"),"")</f>
        <v>01-1900</v>
      </c>
      <c r="D896" s="10" t="str">
        <f>IFERROR(
   INDEX(tbl_ProduitsRef[Cde_Prdt],MATCH(tbl_Ventes[[#This Row],[Produit]],tbl_ProduitsRef[Produit],0)),
   ""
)</f>
        <v/>
      </c>
      <c r="E896" s="7">
        <v>0</v>
      </c>
      <c r="F896" s="7" t="str">
        <f>IFERROR(
   INDEX(tbl_ProduitsRef[Prix Menu],MATCH(tbl_Ventes[[#This Row],[Produit]],tbl_ProduitsRef[Produit],0)),
   ""
)</f>
        <v/>
      </c>
      <c r="G896" s="7">
        <f>tbl_Ventes[[#This Row],[Qté Vendue]] * IFERROR(_xlfn.XLOOKUP(tbl_Ventes[[#This Row],[Cde_Prdt]], tbl_Produits[Cde_Prdt], tbl_Produits[Prix Menu]), 0)</f>
        <v>0</v>
      </c>
      <c r="H896" s="7">
        <f>IFERROR(_xlfn.XLOOKUP(tbl_Ventes[[#This Row],[Cde_Prdt]], tbl_Produits[Cde_Prdt], tbl_Produits[Coût Moyen Portion]), 0)</f>
        <v>0</v>
      </c>
      <c r="I896" s="7">
        <f>tbl_Ventes[[#This Row],[Qté Vendue]] * tbl_Ventes[[#This Row],[CMP_par_portion]]</f>
        <v>0</v>
      </c>
      <c r="J896" s="7">
        <f>tbl_Ventes[[#This Row],[CA ligne]] - tbl_Ventes[[#This Row],[Coût matière ligne]]</f>
        <v>0</v>
      </c>
      <c r="K896" s="7" t="str">
        <f>IFERROR(INDEX(tbl_ProduitsRef[Famille], MATCH(tbl_Ventes[[#This Row],[Cde_Prdt]], tbl_Produits[Cde_Prdt], 0)), "")</f>
        <v/>
      </c>
    </row>
    <row r="897" spans="1:11" x14ac:dyDescent="0.25">
      <c r="A897" s="5"/>
      <c r="B897" s="63" t="str">
        <f>IFERROR(TEXT(tbl_Ventes[[#This Row],[Date]],"mm-aaaa"),"")</f>
        <v>01-1900</v>
      </c>
      <c r="D897" s="10" t="str">
        <f>IFERROR(
   INDEX(tbl_ProduitsRef[Cde_Prdt],MATCH(tbl_Ventes[[#This Row],[Produit]],tbl_ProduitsRef[Produit],0)),
   ""
)</f>
        <v/>
      </c>
      <c r="E897" s="7">
        <v>0</v>
      </c>
      <c r="F897" s="7" t="str">
        <f>IFERROR(
   INDEX(tbl_ProduitsRef[Prix Menu],MATCH(tbl_Ventes[[#This Row],[Produit]],tbl_ProduitsRef[Produit],0)),
   ""
)</f>
        <v/>
      </c>
      <c r="G897" s="7">
        <f>tbl_Ventes[[#This Row],[Qté Vendue]] * IFERROR(_xlfn.XLOOKUP(tbl_Ventes[[#This Row],[Cde_Prdt]], tbl_Produits[Cde_Prdt], tbl_Produits[Prix Menu]), 0)</f>
        <v>0</v>
      </c>
      <c r="H897" s="7">
        <f>IFERROR(_xlfn.XLOOKUP(tbl_Ventes[[#This Row],[Cde_Prdt]], tbl_Produits[Cde_Prdt], tbl_Produits[Coût Moyen Portion]), 0)</f>
        <v>0</v>
      </c>
      <c r="I897" s="7">
        <f>tbl_Ventes[[#This Row],[Qté Vendue]] * tbl_Ventes[[#This Row],[CMP_par_portion]]</f>
        <v>0</v>
      </c>
      <c r="J897" s="7">
        <f>tbl_Ventes[[#This Row],[CA ligne]] - tbl_Ventes[[#This Row],[Coût matière ligne]]</f>
        <v>0</v>
      </c>
      <c r="K897" s="7" t="str">
        <f>IFERROR(INDEX(tbl_ProduitsRef[Famille], MATCH(tbl_Ventes[[#This Row],[Cde_Prdt]], tbl_Produits[Cde_Prdt], 0)), "")</f>
        <v/>
      </c>
    </row>
    <row r="898" spans="1:11" x14ac:dyDescent="0.25">
      <c r="A898" s="5"/>
      <c r="B898" s="63" t="str">
        <f>IFERROR(TEXT(tbl_Ventes[[#This Row],[Date]],"mm-aaaa"),"")</f>
        <v>01-1900</v>
      </c>
      <c r="D898" s="10" t="str">
        <f>IFERROR(
   INDEX(tbl_ProduitsRef[Cde_Prdt],MATCH(tbl_Ventes[[#This Row],[Produit]],tbl_ProduitsRef[Produit],0)),
   ""
)</f>
        <v/>
      </c>
      <c r="E898" s="7">
        <v>0</v>
      </c>
      <c r="F898" s="7" t="str">
        <f>IFERROR(
   INDEX(tbl_ProduitsRef[Prix Menu],MATCH(tbl_Ventes[[#This Row],[Produit]],tbl_ProduitsRef[Produit],0)),
   ""
)</f>
        <v/>
      </c>
      <c r="G898" s="7">
        <f>tbl_Ventes[[#This Row],[Qté Vendue]] * IFERROR(_xlfn.XLOOKUP(tbl_Ventes[[#This Row],[Cde_Prdt]], tbl_Produits[Cde_Prdt], tbl_Produits[Prix Menu]), 0)</f>
        <v>0</v>
      </c>
      <c r="H898" s="7">
        <f>IFERROR(_xlfn.XLOOKUP(tbl_Ventes[[#This Row],[Cde_Prdt]], tbl_Produits[Cde_Prdt], tbl_Produits[Coût Moyen Portion]), 0)</f>
        <v>0</v>
      </c>
      <c r="I898" s="7">
        <f>tbl_Ventes[[#This Row],[Qté Vendue]] * tbl_Ventes[[#This Row],[CMP_par_portion]]</f>
        <v>0</v>
      </c>
      <c r="J898" s="7">
        <f>tbl_Ventes[[#This Row],[CA ligne]] - tbl_Ventes[[#This Row],[Coût matière ligne]]</f>
        <v>0</v>
      </c>
      <c r="K898" s="7" t="str">
        <f>IFERROR(INDEX(tbl_ProduitsRef[Famille], MATCH(tbl_Ventes[[#This Row],[Cde_Prdt]], tbl_Produits[Cde_Prdt], 0)), "")</f>
        <v/>
      </c>
    </row>
    <row r="899" spans="1:11" x14ac:dyDescent="0.25">
      <c r="A899" s="5"/>
      <c r="B899" s="63" t="str">
        <f>IFERROR(TEXT(tbl_Ventes[[#This Row],[Date]],"mm-aaaa"),"")</f>
        <v>01-1900</v>
      </c>
      <c r="D899" s="10" t="str">
        <f>IFERROR(
   INDEX(tbl_ProduitsRef[Cde_Prdt],MATCH(tbl_Ventes[[#This Row],[Produit]],tbl_ProduitsRef[Produit],0)),
   ""
)</f>
        <v/>
      </c>
      <c r="E899" s="7">
        <v>0</v>
      </c>
      <c r="F899" s="7" t="str">
        <f>IFERROR(
   INDEX(tbl_ProduitsRef[Prix Menu],MATCH(tbl_Ventes[[#This Row],[Produit]],tbl_ProduitsRef[Produit],0)),
   ""
)</f>
        <v/>
      </c>
      <c r="G899" s="7">
        <f>tbl_Ventes[[#This Row],[Qté Vendue]] * IFERROR(_xlfn.XLOOKUP(tbl_Ventes[[#This Row],[Cde_Prdt]], tbl_Produits[Cde_Prdt], tbl_Produits[Prix Menu]), 0)</f>
        <v>0</v>
      </c>
      <c r="H899" s="7">
        <f>IFERROR(_xlfn.XLOOKUP(tbl_Ventes[[#This Row],[Cde_Prdt]], tbl_Produits[Cde_Prdt], tbl_Produits[Coût Moyen Portion]), 0)</f>
        <v>0</v>
      </c>
      <c r="I899" s="7">
        <f>tbl_Ventes[[#This Row],[Qté Vendue]] * tbl_Ventes[[#This Row],[CMP_par_portion]]</f>
        <v>0</v>
      </c>
      <c r="J899" s="7">
        <f>tbl_Ventes[[#This Row],[CA ligne]] - tbl_Ventes[[#This Row],[Coût matière ligne]]</f>
        <v>0</v>
      </c>
      <c r="K899" s="7" t="str">
        <f>IFERROR(INDEX(tbl_ProduitsRef[Famille], MATCH(tbl_Ventes[[#This Row],[Cde_Prdt]], tbl_Produits[Cde_Prdt], 0)), "")</f>
        <v/>
      </c>
    </row>
    <row r="900" spans="1:11" x14ac:dyDescent="0.25">
      <c r="A900" s="5"/>
      <c r="B900" s="63" t="str">
        <f>IFERROR(TEXT(tbl_Ventes[[#This Row],[Date]],"mm-aaaa"),"")</f>
        <v>01-1900</v>
      </c>
      <c r="D900" s="10" t="str">
        <f>IFERROR(
   INDEX(tbl_ProduitsRef[Cde_Prdt],MATCH(tbl_Ventes[[#This Row],[Produit]],tbl_ProduitsRef[Produit],0)),
   ""
)</f>
        <v/>
      </c>
      <c r="E900" s="7">
        <v>0</v>
      </c>
      <c r="F900" s="7" t="str">
        <f>IFERROR(
   INDEX(tbl_ProduitsRef[Prix Menu],MATCH(tbl_Ventes[[#This Row],[Produit]],tbl_ProduitsRef[Produit],0)),
   ""
)</f>
        <v/>
      </c>
      <c r="G900" s="7">
        <f>tbl_Ventes[[#This Row],[Qté Vendue]] * IFERROR(_xlfn.XLOOKUP(tbl_Ventes[[#This Row],[Cde_Prdt]], tbl_Produits[Cde_Prdt], tbl_Produits[Prix Menu]), 0)</f>
        <v>0</v>
      </c>
      <c r="H900" s="7">
        <f>IFERROR(_xlfn.XLOOKUP(tbl_Ventes[[#This Row],[Cde_Prdt]], tbl_Produits[Cde_Prdt], tbl_Produits[Coût Moyen Portion]), 0)</f>
        <v>0</v>
      </c>
      <c r="I900" s="7">
        <f>tbl_Ventes[[#This Row],[Qté Vendue]] * tbl_Ventes[[#This Row],[CMP_par_portion]]</f>
        <v>0</v>
      </c>
      <c r="J900" s="7">
        <f>tbl_Ventes[[#This Row],[CA ligne]] - tbl_Ventes[[#This Row],[Coût matière ligne]]</f>
        <v>0</v>
      </c>
      <c r="K900" s="7" t="str">
        <f>IFERROR(INDEX(tbl_ProduitsRef[Famille], MATCH(tbl_Ventes[[#This Row],[Cde_Prdt]], tbl_Produits[Cde_Prdt], 0)), "")</f>
        <v/>
      </c>
    </row>
    <row r="901" spans="1:11" x14ac:dyDescent="0.25">
      <c r="A901" s="5"/>
      <c r="B901" s="63" t="str">
        <f>IFERROR(TEXT(tbl_Ventes[[#This Row],[Date]],"mm-aaaa"),"")</f>
        <v>01-1900</v>
      </c>
      <c r="D901" s="10" t="str">
        <f>IFERROR(
   INDEX(tbl_ProduitsRef[Cde_Prdt],MATCH(tbl_Ventes[[#This Row],[Produit]],tbl_ProduitsRef[Produit],0)),
   ""
)</f>
        <v/>
      </c>
      <c r="E901" s="7">
        <v>0</v>
      </c>
      <c r="F901" s="7" t="str">
        <f>IFERROR(
   INDEX(tbl_ProduitsRef[Prix Menu],MATCH(tbl_Ventes[[#This Row],[Produit]],tbl_ProduitsRef[Produit],0)),
   ""
)</f>
        <v/>
      </c>
      <c r="G901" s="7">
        <f>tbl_Ventes[[#This Row],[Qté Vendue]] * IFERROR(_xlfn.XLOOKUP(tbl_Ventes[[#This Row],[Cde_Prdt]], tbl_Produits[Cde_Prdt], tbl_Produits[Prix Menu]), 0)</f>
        <v>0</v>
      </c>
      <c r="H901" s="7">
        <f>IFERROR(_xlfn.XLOOKUP(tbl_Ventes[[#This Row],[Cde_Prdt]], tbl_Produits[Cde_Prdt], tbl_Produits[Coût Moyen Portion]), 0)</f>
        <v>0</v>
      </c>
      <c r="I901" s="7">
        <f>tbl_Ventes[[#This Row],[Qté Vendue]] * tbl_Ventes[[#This Row],[CMP_par_portion]]</f>
        <v>0</v>
      </c>
      <c r="J901" s="7">
        <f>tbl_Ventes[[#This Row],[CA ligne]] - tbl_Ventes[[#This Row],[Coût matière ligne]]</f>
        <v>0</v>
      </c>
      <c r="K901" s="7" t="str">
        <f>IFERROR(INDEX(tbl_ProduitsRef[Famille], MATCH(tbl_Ventes[[#This Row],[Cde_Prdt]], tbl_Produits[Cde_Prdt], 0)), "")</f>
        <v/>
      </c>
    </row>
    <row r="902" spans="1:11" x14ac:dyDescent="0.25">
      <c r="A902" s="5"/>
      <c r="B902" s="63" t="str">
        <f>IFERROR(TEXT(tbl_Ventes[[#This Row],[Date]],"mm-aaaa"),"")</f>
        <v>01-1900</v>
      </c>
      <c r="D902" s="10" t="str">
        <f>IFERROR(
   INDEX(tbl_ProduitsRef[Cde_Prdt],MATCH(tbl_Ventes[[#This Row],[Produit]],tbl_ProduitsRef[Produit],0)),
   ""
)</f>
        <v/>
      </c>
      <c r="E902" s="7">
        <v>0</v>
      </c>
      <c r="F902" s="7" t="str">
        <f>IFERROR(
   INDEX(tbl_ProduitsRef[Prix Menu],MATCH(tbl_Ventes[[#This Row],[Produit]],tbl_ProduitsRef[Produit],0)),
   ""
)</f>
        <v/>
      </c>
      <c r="G902" s="7">
        <f>tbl_Ventes[[#This Row],[Qté Vendue]] * IFERROR(_xlfn.XLOOKUP(tbl_Ventes[[#This Row],[Cde_Prdt]], tbl_Produits[Cde_Prdt], tbl_Produits[Prix Menu]), 0)</f>
        <v>0</v>
      </c>
      <c r="H902" s="7">
        <f>IFERROR(_xlfn.XLOOKUP(tbl_Ventes[[#This Row],[Cde_Prdt]], tbl_Produits[Cde_Prdt], tbl_Produits[Coût Moyen Portion]), 0)</f>
        <v>0</v>
      </c>
      <c r="I902" s="7">
        <f>tbl_Ventes[[#This Row],[Qté Vendue]] * tbl_Ventes[[#This Row],[CMP_par_portion]]</f>
        <v>0</v>
      </c>
      <c r="J902" s="7">
        <f>tbl_Ventes[[#This Row],[CA ligne]] - tbl_Ventes[[#This Row],[Coût matière ligne]]</f>
        <v>0</v>
      </c>
      <c r="K902" s="7" t="str">
        <f>IFERROR(INDEX(tbl_ProduitsRef[Famille], MATCH(tbl_Ventes[[#This Row],[Cde_Prdt]], tbl_Produits[Cde_Prdt], 0)), "")</f>
        <v/>
      </c>
    </row>
    <row r="903" spans="1:11" x14ac:dyDescent="0.25">
      <c r="A903" s="5"/>
      <c r="B903" s="63" t="str">
        <f>IFERROR(TEXT(tbl_Ventes[[#This Row],[Date]],"mm-aaaa"),"")</f>
        <v>01-1900</v>
      </c>
      <c r="D903" s="10" t="str">
        <f>IFERROR(
   INDEX(tbl_ProduitsRef[Cde_Prdt],MATCH(tbl_Ventes[[#This Row],[Produit]],tbl_ProduitsRef[Produit],0)),
   ""
)</f>
        <v/>
      </c>
      <c r="E903" s="7">
        <v>0</v>
      </c>
      <c r="F903" s="7" t="str">
        <f>IFERROR(
   INDEX(tbl_ProduitsRef[Prix Menu],MATCH(tbl_Ventes[[#This Row],[Produit]],tbl_ProduitsRef[Produit],0)),
   ""
)</f>
        <v/>
      </c>
      <c r="G903" s="7">
        <f>tbl_Ventes[[#This Row],[Qté Vendue]] * IFERROR(_xlfn.XLOOKUP(tbl_Ventes[[#This Row],[Cde_Prdt]], tbl_Produits[Cde_Prdt], tbl_Produits[Prix Menu]), 0)</f>
        <v>0</v>
      </c>
      <c r="H903" s="7">
        <f>IFERROR(_xlfn.XLOOKUP(tbl_Ventes[[#This Row],[Cde_Prdt]], tbl_Produits[Cde_Prdt], tbl_Produits[Coût Moyen Portion]), 0)</f>
        <v>0</v>
      </c>
      <c r="I903" s="7">
        <f>tbl_Ventes[[#This Row],[Qté Vendue]] * tbl_Ventes[[#This Row],[CMP_par_portion]]</f>
        <v>0</v>
      </c>
      <c r="J903" s="7">
        <f>tbl_Ventes[[#This Row],[CA ligne]] - tbl_Ventes[[#This Row],[Coût matière ligne]]</f>
        <v>0</v>
      </c>
      <c r="K903" s="7" t="str">
        <f>IFERROR(INDEX(tbl_ProduitsRef[Famille], MATCH(tbl_Ventes[[#This Row],[Cde_Prdt]], tbl_Produits[Cde_Prdt], 0)), "")</f>
        <v/>
      </c>
    </row>
    <row r="904" spans="1:11" x14ac:dyDescent="0.25">
      <c r="A904" s="5"/>
      <c r="B904" s="63" t="str">
        <f>IFERROR(TEXT(tbl_Ventes[[#This Row],[Date]],"mm-aaaa"),"")</f>
        <v>01-1900</v>
      </c>
      <c r="D904" s="10" t="str">
        <f>IFERROR(
   INDEX(tbl_ProduitsRef[Cde_Prdt],MATCH(tbl_Ventes[[#This Row],[Produit]],tbl_ProduitsRef[Produit],0)),
   ""
)</f>
        <v/>
      </c>
      <c r="E904" s="7">
        <v>0</v>
      </c>
      <c r="F904" s="7" t="str">
        <f>IFERROR(
   INDEX(tbl_ProduitsRef[Prix Menu],MATCH(tbl_Ventes[[#This Row],[Produit]],tbl_ProduitsRef[Produit],0)),
   ""
)</f>
        <v/>
      </c>
      <c r="G904" s="7">
        <f>tbl_Ventes[[#This Row],[Qté Vendue]] * IFERROR(_xlfn.XLOOKUP(tbl_Ventes[[#This Row],[Cde_Prdt]], tbl_Produits[Cde_Prdt], tbl_Produits[Prix Menu]), 0)</f>
        <v>0</v>
      </c>
      <c r="H904" s="7">
        <f>IFERROR(_xlfn.XLOOKUP(tbl_Ventes[[#This Row],[Cde_Prdt]], tbl_Produits[Cde_Prdt], tbl_Produits[Coût Moyen Portion]), 0)</f>
        <v>0</v>
      </c>
      <c r="I904" s="7">
        <f>tbl_Ventes[[#This Row],[Qté Vendue]] * tbl_Ventes[[#This Row],[CMP_par_portion]]</f>
        <v>0</v>
      </c>
      <c r="J904" s="7">
        <f>tbl_Ventes[[#This Row],[CA ligne]] - tbl_Ventes[[#This Row],[Coût matière ligne]]</f>
        <v>0</v>
      </c>
      <c r="K904" s="7" t="str">
        <f>IFERROR(INDEX(tbl_ProduitsRef[Famille], MATCH(tbl_Ventes[[#This Row],[Cde_Prdt]], tbl_Produits[Cde_Prdt], 0)), "")</f>
        <v/>
      </c>
    </row>
    <row r="905" spans="1:11" x14ac:dyDescent="0.25">
      <c r="A905" s="5"/>
      <c r="B905" s="63" t="str">
        <f>IFERROR(TEXT(tbl_Ventes[[#This Row],[Date]],"mm-aaaa"),"")</f>
        <v>01-1900</v>
      </c>
      <c r="D905" s="10" t="str">
        <f>IFERROR(
   INDEX(tbl_ProduitsRef[Cde_Prdt],MATCH(tbl_Ventes[[#This Row],[Produit]],tbl_ProduitsRef[Produit],0)),
   ""
)</f>
        <v/>
      </c>
      <c r="E905" s="7">
        <v>0</v>
      </c>
      <c r="F905" s="7" t="str">
        <f>IFERROR(
   INDEX(tbl_ProduitsRef[Prix Menu],MATCH(tbl_Ventes[[#This Row],[Produit]],tbl_ProduitsRef[Produit],0)),
   ""
)</f>
        <v/>
      </c>
      <c r="G905" s="7">
        <f>tbl_Ventes[[#This Row],[Qté Vendue]] * IFERROR(_xlfn.XLOOKUP(tbl_Ventes[[#This Row],[Cde_Prdt]], tbl_Produits[Cde_Prdt], tbl_Produits[Prix Menu]), 0)</f>
        <v>0</v>
      </c>
      <c r="H905" s="7">
        <f>IFERROR(_xlfn.XLOOKUP(tbl_Ventes[[#This Row],[Cde_Prdt]], tbl_Produits[Cde_Prdt], tbl_Produits[Coût Moyen Portion]), 0)</f>
        <v>0</v>
      </c>
      <c r="I905" s="7">
        <f>tbl_Ventes[[#This Row],[Qté Vendue]] * tbl_Ventes[[#This Row],[CMP_par_portion]]</f>
        <v>0</v>
      </c>
      <c r="J905" s="7">
        <f>tbl_Ventes[[#This Row],[CA ligne]] - tbl_Ventes[[#This Row],[Coût matière ligne]]</f>
        <v>0</v>
      </c>
      <c r="K905" s="7" t="str">
        <f>IFERROR(INDEX(tbl_ProduitsRef[Famille], MATCH(tbl_Ventes[[#This Row],[Cde_Prdt]], tbl_Produits[Cde_Prdt], 0)), "")</f>
        <v/>
      </c>
    </row>
    <row r="906" spans="1:11" x14ac:dyDescent="0.25">
      <c r="A906" s="5"/>
      <c r="B906" s="63" t="str">
        <f>IFERROR(TEXT(tbl_Ventes[[#This Row],[Date]],"mm-aaaa"),"")</f>
        <v>01-1900</v>
      </c>
      <c r="D906" s="10" t="str">
        <f>IFERROR(
   INDEX(tbl_ProduitsRef[Cde_Prdt],MATCH(tbl_Ventes[[#This Row],[Produit]],tbl_ProduitsRef[Produit],0)),
   ""
)</f>
        <v/>
      </c>
      <c r="E906" s="7">
        <v>0</v>
      </c>
      <c r="F906" s="7" t="str">
        <f>IFERROR(
   INDEX(tbl_ProduitsRef[Prix Menu],MATCH(tbl_Ventes[[#This Row],[Produit]],tbl_ProduitsRef[Produit],0)),
   ""
)</f>
        <v/>
      </c>
      <c r="G906" s="7">
        <f>tbl_Ventes[[#This Row],[Qté Vendue]] * IFERROR(_xlfn.XLOOKUP(tbl_Ventes[[#This Row],[Cde_Prdt]], tbl_Produits[Cde_Prdt], tbl_Produits[Prix Menu]), 0)</f>
        <v>0</v>
      </c>
      <c r="H906" s="7">
        <f>IFERROR(_xlfn.XLOOKUP(tbl_Ventes[[#This Row],[Cde_Prdt]], tbl_Produits[Cde_Prdt], tbl_Produits[Coût Moyen Portion]), 0)</f>
        <v>0</v>
      </c>
      <c r="I906" s="7">
        <f>tbl_Ventes[[#This Row],[Qté Vendue]] * tbl_Ventes[[#This Row],[CMP_par_portion]]</f>
        <v>0</v>
      </c>
      <c r="J906" s="7">
        <f>tbl_Ventes[[#This Row],[CA ligne]] - tbl_Ventes[[#This Row],[Coût matière ligne]]</f>
        <v>0</v>
      </c>
      <c r="K906" s="7" t="str">
        <f>IFERROR(INDEX(tbl_ProduitsRef[Famille], MATCH(tbl_Ventes[[#This Row],[Cde_Prdt]], tbl_Produits[Cde_Prdt], 0)), "")</f>
        <v/>
      </c>
    </row>
    <row r="907" spans="1:11" x14ac:dyDescent="0.25">
      <c r="A907" s="5"/>
      <c r="B907" s="63" t="str">
        <f>IFERROR(TEXT(tbl_Ventes[[#This Row],[Date]],"mm-aaaa"),"")</f>
        <v>01-1900</v>
      </c>
      <c r="D907" s="10" t="str">
        <f>IFERROR(
   INDEX(tbl_ProduitsRef[Cde_Prdt],MATCH(tbl_Ventes[[#This Row],[Produit]],tbl_ProduitsRef[Produit],0)),
   ""
)</f>
        <v/>
      </c>
      <c r="E907" s="7">
        <v>0</v>
      </c>
      <c r="F907" s="7" t="str">
        <f>IFERROR(
   INDEX(tbl_ProduitsRef[Prix Menu],MATCH(tbl_Ventes[[#This Row],[Produit]],tbl_ProduitsRef[Produit],0)),
   ""
)</f>
        <v/>
      </c>
      <c r="G907" s="7">
        <f>tbl_Ventes[[#This Row],[Qté Vendue]] * IFERROR(_xlfn.XLOOKUP(tbl_Ventes[[#This Row],[Cde_Prdt]], tbl_Produits[Cde_Prdt], tbl_Produits[Prix Menu]), 0)</f>
        <v>0</v>
      </c>
      <c r="H907" s="7">
        <f>IFERROR(_xlfn.XLOOKUP(tbl_Ventes[[#This Row],[Cde_Prdt]], tbl_Produits[Cde_Prdt], tbl_Produits[Coût Moyen Portion]), 0)</f>
        <v>0</v>
      </c>
      <c r="I907" s="7">
        <f>tbl_Ventes[[#This Row],[Qté Vendue]] * tbl_Ventes[[#This Row],[CMP_par_portion]]</f>
        <v>0</v>
      </c>
      <c r="J907" s="7">
        <f>tbl_Ventes[[#This Row],[CA ligne]] - tbl_Ventes[[#This Row],[Coût matière ligne]]</f>
        <v>0</v>
      </c>
      <c r="K907" s="7" t="str">
        <f>IFERROR(INDEX(tbl_ProduitsRef[Famille], MATCH(tbl_Ventes[[#This Row],[Cde_Prdt]], tbl_Produits[Cde_Prdt], 0)), "")</f>
        <v/>
      </c>
    </row>
    <row r="908" spans="1:11" x14ac:dyDescent="0.25">
      <c r="A908" s="5"/>
      <c r="B908" s="63" t="str">
        <f>IFERROR(TEXT(tbl_Ventes[[#This Row],[Date]],"mm-aaaa"),"")</f>
        <v>01-1900</v>
      </c>
      <c r="D908" s="10" t="str">
        <f>IFERROR(
   INDEX(tbl_ProduitsRef[Cde_Prdt],MATCH(tbl_Ventes[[#This Row],[Produit]],tbl_ProduitsRef[Produit],0)),
   ""
)</f>
        <v/>
      </c>
      <c r="E908" s="7">
        <v>0</v>
      </c>
      <c r="F908" s="7" t="str">
        <f>IFERROR(
   INDEX(tbl_ProduitsRef[Prix Menu],MATCH(tbl_Ventes[[#This Row],[Produit]],tbl_ProduitsRef[Produit],0)),
   ""
)</f>
        <v/>
      </c>
      <c r="G908" s="7">
        <f>tbl_Ventes[[#This Row],[Qté Vendue]] * IFERROR(_xlfn.XLOOKUP(tbl_Ventes[[#This Row],[Cde_Prdt]], tbl_Produits[Cde_Prdt], tbl_Produits[Prix Menu]), 0)</f>
        <v>0</v>
      </c>
      <c r="H908" s="7">
        <f>IFERROR(_xlfn.XLOOKUP(tbl_Ventes[[#This Row],[Cde_Prdt]], tbl_Produits[Cde_Prdt], tbl_Produits[Coût Moyen Portion]), 0)</f>
        <v>0</v>
      </c>
      <c r="I908" s="7">
        <f>tbl_Ventes[[#This Row],[Qté Vendue]] * tbl_Ventes[[#This Row],[CMP_par_portion]]</f>
        <v>0</v>
      </c>
      <c r="J908" s="7">
        <f>tbl_Ventes[[#This Row],[CA ligne]] - tbl_Ventes[[#This Row],[Coût matière ligne]]</f>
        <v>0</v>
      </c>
      <c r="K908" s="7" t="str">
        <f>IFERROR(INDEX(tbl_ProduitsRef[Famille], MATCH(tbl_Ventes[[#This Row],[Cde_Prdt]], tbl_Produits[Cde_Prdt], 0)), "")</f>
        <v/>
      </c>
    </row>
    <row r="909" spans="1:11" x14ac:dyDescent="0.25">
      <c r="A909" s="5"/>
      <c r="B909" s="63" t="str">
        <f>IFERROR(TEXT(tbl_Ventes[[#This Row],[Date]],"mm-aaaa"),"")</f>
        <v>01-1900</v>
      </c>
      <c r="D909" s="10" t="str">
        <f>IFERROR(
   INDEX(tbl_ProduitsRef[Cde_Prdt],MATCH(tbl_Ventes[[#This Row],[Produit]],tbl_ProduitsRef[Produit],0)),
   ""
)</f>
        <v/>
      </c>
      <c r="E909" s="7">
        <v>0</v>
      </c>
      <c r="F909" s="7" t="str">
        <f>IFERROR(
   INDEX(tbl_ProduitsRef[Prix Menu],MATCH(tbl_Ventes[[#This Row],[Produit]],tbl_ProduitsRef[Produit],0)),
   ""
)</f>
        <v/>
      </c>
      <c r="G909" s="7">
        <f>tbl_Ventes[[#This Row],[Qté Vendue]] * IFERROR(_xlfn.XLOOKUP(tbl_Ventes[[#This Row],[Cde_Prdt]], tbl_Produits[Cde_Prdt], tbl_Produits[Prix Menu]), 0)</f>
        <v>0</v>
      </c>
      <c r="H909" s="7">
        <f>IFERROR(_xlfn.XLOOKUP(tbl_Ventes[[#This Row],[Cde_Prdt]], tbl_Produits[Cde_Prdt], tbl_Produits[Coût Moyen Portion]), 0)</f>
        <v>0</v>
      </c>
      <c r="I909" s="7">
        <f>tbl_Ventes[[#This Row],[Qté Vendue]] * tbl_Ventes[[#This Row],[CMP_par_portion]]</f>
        <v>0</v>
      </c>
      <c r="J909" s="7">
        <f>tbl_Ventes[[#This Row],[CA ligne]] - tbl_Ventes[[#This Row],[Coût matière ligne]]</f>
        <v>0</v>
      </c>
      <c r="K909" s="7" t="str">
        <f>IFERROR(INDEX(tbl_ProduitsRef[Famille], MATCH(tbl_Ventes[[#This Row],[Cde_Prdt]], tbl_Produits[Cde_Prdt], 0)), "")</f>
        <v/>
      </c>
    </row>
    <row r="910" spans="1:11" x14ac:dyDescent="0.25">
      <c r="A910" s="5"/>
      <c r="B910" s="63" t="str">
        <f>IFERROR(TEXT(tbl_Ventes[[#This Row],[Date]],"mm-aaaa"),"")</f>
        <v>01-1900</v>
      </c>
      <c r="D910" s="10" t="str">
        <f>IFERROR(
   INDEX(tbl_ProduitsRef[Cde_Prdt],MATCH(tbl_Ventes[[#This Row],[Produit]],tbl_ProduitsRef[Produit],0)),
   ""
)</f>
        <v/>
      </c>
      <c r="E910" s="7">
        <v>0</v>
      </c>
      <c r="F910" s="7" t="str">
        <f>IFERROR(
   INDEX(tbl_ProduitsRef[Prix Menu],MATCH(tbl_Ventes[[#This Row],[Produit]],tbl_ProduitsRef[Produit],0)),
   ""
)</f>
        <v/>
      </c>
      <c r="G910" s="7">
        <f>tbl_Ventes[[#This Row],[Qté Vendue]] * IFERROR(_xlfn.XLOOKUP(tbl_Ventes[[#This Row],[Cde_Prdt]], tbl_Produits[Cde_Prdt], tbl_Produits[Prix Menu]), 0)</f>
        <v>0</v>
      </c>
      <c r="H910" s="7">
        <f>IFERROR(_xlfn.XLOOKUP(tbl_Ventes[[#This Row],[Cde_Prdt]], tbl_Produits[Cde_Prdt], tbl_Produits[Coût Moyen Portion]), 0)</f>
        <v>0</v>
      </c>
      <c r="I910" s="7">
        <f>tbl_Ventes[[#This Row],[Qté Vendue]] * tbl_Ventes[[#This Row],[CMP_par_portion]]</f>
        <v>0</v>
      </c>
      <c r="J910" s="7">
        <f>tbl_Ventes[[#This Row],[CA ligne]] - tbl_Ventes[[#This Row],[Coût matière ligne]]</f>
        <v>0</v>
      </c>
      <c r="K910" s="7" t="str">
        <f>IFERROR(INDEX(tbl_ProduitsRef[Famille], MATCH(tbl_Ventes[[#This Row],[Cde_Prdt]], tbl_Produits[Cde_Prdt], 0)), "")</f>
        <v/>
      </c>
    </row>
    <row r="911" spans="1:11" x14ac:dyDescent="0.25">
      <c r="A911" s="5"/>
      <c r="B911" s="63" t="str">
        <f>IFERROR(TEXT(tbl_Ventes[[#This Row],[Date]],"mm-aaaa"),"")</f>
        <v>01-1900</v>
      </c>
      <c r="D911" s="10" t="str">
        <f>IFERROR(
   INDEX(tbl_ProduitsRef[Cde_Prdt],MATCH(tbl_Ventes[[#This Row],[Produit]],tbl_ProduitsRef[Produit],0)),
   ""
)</f>
        <v/>
      </c>
      <c r="E911" s="7">
        <v>0</v>
      </c>
      <c r="F911" s="7" t="str">
        <f>IFERROR(
   INDEX(tbl_ProduitsRef[Prix Menu],MATCH(tbl_Ventes[[#This Row],[Produit]],tbl_ProduitsRef[Produit],0)),
   ""
)</f>
        <v/>
      </c>
      <c r="G911" s="7">
        <f>tbl_Ventes[[#This Row],[Qté Vendue]] * IFERROR(_xlfn.XLOOKUP(tbl_Ventes[[#This Row],[Cde_Prdt]], tbl_Produits[Cde_Prdt], tbl_Produits[Prix Menu]), 0)</f>
        <v>0</v>
      </c>
      <c r="H911" s="7">
        <f>IFERROR(_xlfn.XLOOKUP(tbl_Ventes[[#This Row],[Cde_Prdt]], tbl_Produits[Cde_Prdt], tbl_Produits[Coût Moyen Portion]), 0)</f>
        <v>0</v>
      </c>
      <c r="I911" s="7">
        <f>tbl_Ventes[[#This Row],[Qté Vendue]] * tbl_Ventes[[#This Row],[CMP_par_portion]]</f>
        <v>0</v>
      </c>
      <c r="J911" s="7">
        <f>tbl_Ventes[[#This Row],[CA ligne]] - tbl_Ventes[[#This Row],[Coût matière ligne]]</f>
        <v>0</v>
      </c>
      <c r="K911" s="7" t="str">
        <f>IFERROR(INDEX(tbl_ProduitsRef[Famille], MATCH(tbl_Ventes[[#This Row],[Cde_Prdt]], tbl_Produits[Cde_Prdt], 0)), "")</f>
        <v/>
      </c>
    </row>
    <row r="912" spans="1:11" x14ac:dyDescent="0.25">
      <c r="A912" s="5"/>
      <c r="B912" s="63" t="str">
        <f>IFERROR(TEXT(tbl_Ventes[[#This Row],[Date]],"mm-aaaa"),"")</f>
        <v>01-1900</v>
      </c>
      <c r="D912" s="10" t="str">
        <f>IFERROR(
   INDEX(tbl_ProduitsRef[Cde_Prdt],MATCH(tbl_Ventes[[#This Row],[Produit]],tbl_ProduitsRef[Produit],0)),
   ""
)</f>
        <v/>
      </c>
      <c r="E912" s="7">
        <v>0</v>
      </c>
      <c r="F912" s="7" t="str">
        <f>IFERROR(
   INDEX(tbl_ProduitsRef[Prix Menu],MATCH(tbl_Ventes[[#This Row],[Produit]],tbl_ProduitsRef[Produit],0)),
   ""
)</f>
        <v/>
      </c>
      <c r="G912" s="7">
        <f>tbl_Ventes[[#This Row],[Qté Vendue]] * IFERROR(_xlfn.XLOOKUP(tbl_Ventes[[#This Row],[Cde_Prdt]], tbl_Produits[Cde_Prdt], tbl_Produits[Prix Menu]), 0)</f>
        <v>0</v>
      </c>
      <c r="H912" s="7">
        <f>IFERROR(_xlfn.XLOOKUP(tbl_Ventes[[#This Row],[Cde_Prdt]], tbl_Produits[Cde_Prdt], tbl_Produits[Coût Moyen Portion]), 0)</f>
        <v>0</v>
      </c>
      <c r="I912" s="7">
        <f>tbl_Ventes[[#This Row],[Qté Vendue]] * tbl_Ventes[[#This Row],[CMP_par_portion]]</f>
        <v>0</v>
      </c>
      <c r="J912" s="7">
        <f>tbl_Ventes[[#This Row],[CA ligne]] - tbl_Ventes[[#This Row],[Coût matière ligne]]</f>
        <v>0</v>
      </c>
      <c r="K912" s="7" t="str">
        <f>IFERROR(INDEX(tbl_ProduitsRef[Famille], MATCH(tbl_Ventes[[#This Row],[Cde_Prdt]], tbl_Produits[Cde_Prdt], 0)), "")</f>
        <v/>
      </c>
    </row>
    <row r="913" spans="1:11" x14ac:dyDescent="0.25">
      <c r="A913" s="5"/>
      <c r="B913" s="63" t="str">
        <f>IFERROR(TEXT(tbl_Ventes[[#This Row],[Date]],"mm-aaaa"),"")</f>
        <v>01-1900</v>
      </c>
      <c r="D913" s="10" t="str">
        <f>IFERROR(
   INDEX(tbl_ProduitsRef[Cde_Prdt],MATCH(tbl_Ventes[[#This Row],[Produit]],tbl_ProduitsRef[Produit],0)),
   ""
)</f>
        <v/>
      </c>
      <c r="E913" s="7">
        <v>0</v>
      </c>
      <c r="F913" s="7" t="str">
        <f>IFERROR(
   INDEX(tbl_ProduitsRef[Prix Menu],MATCH(tbl_Ventes[[#This Row],[Produit]],tbl_ProduitsRef[Produit],0)),
   ""
)</f>
        <v/>
      </c>
      <c r="G913" s="7">
        <f>tbl_Ventes[[#This Row],[Qté Vendue]] * IFERROR(_xlfn.XLOOKUP(tbl_Ventes[[#This Row],[Cde_Prdt]], tbl_Produits[Cde_Prdt], tbl_Produits[Prix Menu]), 0)</f>
        <v>0</v>
      </c>
      <c r="H913" s="7">
        <f>IFERROR(_xlfn.XLOOKUP(tbl_Ventes[[#This Row],[Cde_Prdt]], tbl_Produits[Cde_Prdt], tbl_Produits[Coût Moyen Portion]), 0)</f>
        <v>0</v>
      </c>
      <c r="I913" s="7">
        <f>tbl_Ventes[[#This Row],[Qté Vendue]] * tbl_Ventes[[#This Row],[CMP_par_portion]]</f>
        <v>0</v>
      </c>
      <c r="J913" s="7">
        <f>tbl_Ventes[[#This Row],[CA ligne]] - tbl_Ventes[[#This Row],[Coût matière ligne]]</f>
        <v>0</v>
      </c>
      <c r="K913" s="7" t="str">
        <f>IFERROR(INDEX(tbl_ProduitsRef[Famille], MATCH(tbl_Ventes[[#This Row],[Cde_Prdt]], tbl_Produits[Cde_Prdt], 0)), "")</f>
        <v/>
      </c>
    </row>
    <row r="914" spans="1:11" x14ac:dyDescent="0.25">
      <c r="A914" s="5"/>
      <c r="B914" s="63" t="str">
        <f>IFERROR(TEXT(tbl_Ventes[[#This Row],[Date]],"mm-aaaa"),"")</f>
        <v>01-1900</v>
      </c>
      <c r="D914" s="10" t="str">
        <f>IFERROR(
   INDEX(tbl_ProduitsRef[Cde_Prdt],MATCH(tbl_Ventes[[#This Row],[Produit]],tbl_ProduitsRef[Produit],0)),
   ""
)</f>
        <v/>
      </c>
      <c r="E914" s="7">
        <v>0</v>
      </c>
      <c r="F914" s="7" t="str">
        <f>IFERROR(
   INDEX(tbl_ProduitsRef[Prix Menu],MATCH(tbl_Ventes[[#This Row],[Produit]],tbl_ProduitsRef[Produit],0)),
   ""
)</f>
        <v/>
      </c>
      <c r="G914" s="7">
        <f>tbl_Ventes[[#This Row],[Qté Vendue]] * IFERROR(_xlfn.XLOOKUP(tbl_Ventes[[#This Row],[Cde_Prdt]], tbl_Produits[Cde_Prdt], tbl_Produits[Prix Menu]), 0)</f>
        <v>0</v>
      </c>
      <c r="H914" s="7">
        <f>IFERROR(_xlfn.XLOOKUP(tbl_Ventes[[#This Row],[Cde_Prdt]], tbl_Produits[Cde_Prdt], tbl_Produits[Coût Moyen Portion]), 0)</f>
        <v>0</v>
      </c>
      <c r="I914" s="7">
        <f>tbl_Ventes[[#This Row],[Qté Vendue]] * tbl_Ventes[[#This Row],[CMP_par_portion]]</f>
        <v>0</v>
      </c>
      <c r="J914" s="7">
        <f>tbl_Ventes[[#This Row],[CA ligne]] - tbl_Ventes[[#This Row],[Coût matière ligne]]</f>
        <v>0</v>
      </c>
      <c r="K914" s="7" t="str">
        <f>IFERROR(INDEX(tbl_ProduitsRef[Famille], MATCH(tbl_Ventes[[#This Row],[Cde_Prdt]], tbl_Produits[Cde_Prdt], 0)), "")</f>
        <v/>
      </c>
    </row>
    <row r="915" spans="1:11" x14ac:dyDescent="0.25">
      <c r="A915" s="5"/>
      <c r="B915" s="63" t="str">
        <f>IFERROR(TEXT(tbl_Ventes[[#This Row],[Date]],"mm-aaaa"),"")</f>
        <v>01-1900</v>
      </c>
      <c r="D915" s="10" t="str">
        <f>IFERROR(
   INDEX(tbl_ProduitsRef[Cde_Prdt],MATCH(tbl_Ventes[[#This Row],[Produit]],tbl_ProduitsRef[Produit],0)),
   ""
)</f>
        <v/>
      </c>
      <c r="E915" s="7">
        <v>0</v>
      </c>
      <c r="F915" s="7" t="str">
        <f>IFERROR(
   INDEX(tbl_ProduitsRef[Prix Menu],MATCH(tbl_Ventes[[#This Row],[Produit]],tbl_ProduitsRef[Produit],0)),
   ""
)</f>
        <v/>
      </c>
      <c r="G915" s="7">
        <f>tbl_Ventes[[#This Row],[Qté Vendue]] * IFERROR(_xlfn.XLOOKUP(tbl_Ventes[[#This Row],[Cde_Prdt]], tbl_Produits[Cde_Prdt], tbl_Produits[Prix Menu]), 0)</f>
        <v>0</v>
      </c>
      <c r="H915" s="7">
        <f>IFERROR(_xlfn.XLOOKUP(tbl_Ventes[[#This Row],[Cde_Prdt]], tbl_Produits[Cde_Prdt], tbl_Produits[Coût Moyen Portion]), 0)</f>
        <v>0</v>
      </c>
      <c r="I915" s="7">
        <f>tbl_Ventes[[#This Row],[Qté Vendue]] * tbl_Ventes[[#This Row],[CMP_par_portion]]</f>
        <v>0</v>
      </c>
      <c r="J915" s="7">
        <f>tbl_Ventes[[#This Row],[CA ligne]] - tbl_Ventes[[#This Row],[Coût matière ligne]]</f>
        <v>0</v>
      </c>
      <c r="K915" s="7" t="str">
        <f>IFERROR(INDEX(tbl_ProduitsRef[Famille], MATCH(tbl_Ventes[[#This Row],[Cde_Prdt]], tbl_Produits[Cde_Prdt], 0)), "")</f>
        <v/>
      </c>
    </row>
    <row r="916" spans="1:11" x14ac:dyDescent="0.25">
      <c r="A916" s="5"/>
      <c r="B916" s="63" t="str">
        <f>IFERROR(TEXT(tbl_Ventes[[#This Row],[Date]],"mm-aaaa"),"")</f>
        <v>01-1900</v>
      </c>
      <c r="D916" s="10" t="str">
        <f>IFERROR(
   INDEX(tbl_ProduitsRef[Cde_Prdt],MATCH(tbl_Ventes[[#This Row],[Produit]],tbl_ProduitsRef[Produit],0)),
   ""
)</f>
        <v/>
      </c>
      <c r="E916" s="7">
        <v>0</v>
      </c>
      <c r="F916" s="7" t="str">
        <f>IFERROR(
   INDEX(tbl_ProduitsRef[Prix Menu],MATCH(tbl_Ventes[[#This Row],[Produit]],tbl_ProduitsRef[Produit],0)),
   ""
)</f>
        <v/>
      </c>
      <c r="G916" s="7">
        <f>tbl_Ventes[[#This Row],[Qté Vendue]] * IFERROR(_xlfn.XLOOKUP(tbl_Ventes[[#This Row],[Cde_Prdt]], tbl_Produits[Cde_Prdt], tbl_Produits[Prix Menu]), 0)</f>
        <v>0</v>
      </c>
      <c r="H916" s="7">
        <f>IFERROR(_xlfn.XLOOKUP(tbl_Ventes[[#This Row],[Cde_Prdt]], tbl_Produits[Cde_Prdt], tbl_Produits[Coût Moyen Portion]), 0)</f>
        <v>0</v>
      </c>
      <c r="I916" s="7">
        <f>tbl_Ventes[[#This Row],[Qté Vendue]] * tbl_Ventes[[#This Row],[CMP_par_portion]]</f>
        <v>0</v>
      </c>
      <c r="J916" s="7">
        <f>tbl_Ventes[[#This Row],[CA ligne]] - tbl_Ventes[[#This Row],[Coût matière ligne]]</f>
        <v>0</v>
      </c>
      <c r="K916" s="7" t="str">
        <f>IFERROR(INDEX(tbl_ProduitsRef[Famille], MATCH(tbl_Ventes[[#This Row],[Cde_Prdt]], tbl_Produits[Cde_Prdt], 0)), "")</f>
        <v/>
      </c>
    </row>
    <row r="917" spans="1:11" x14ac:dyDescent="0.25">
      <c r="A917" s="5"/>
      <c r="B917" s="63" t="str">
        <f>IFERROR(TEXT(tbl_Ventes[[#This Row],[Date]],"mm-aaaa"),"")</f>
        <v>01-1900</v>
      </c>
      <c r="D917" s="10" t="str">
        <f>IFERROR(
   INDEX(tbl_ProduitsRef[Cde_Prdt],MATCH(tbl_Ventes[[#This Row],[Produit]],tbl_ProduitsRef[Produit],0)),
   ""
)</f>
        <v/>
      </c>
      <c r="E917" s="7">
        <v>0</v>
      </c>
      <c r="F917" s="7" t="str">
        <f>IFERROR(
   INDEX(tbl_ProduitsRef[Prix Menu],MATCH(tbl_Ventes[[#This Row],[Produit]],tbl_ProduitsRef[Produit],0)),
   ""
)</f>
        <v/>
      </c>
      <c r="G917" s="7">
        <f>tbl_Ventes[[#This Row],[Qté Vendue]] * IFERROR(_xlfn.XLOOKUP(tbl_Ventes[[#This Row],[Cde_Prdt]], tbl_Produits[Cde_Prdt], tbl_Produits[Prix Menu]), 0)</f>
        <v>0</v>
      </c>
      <c r="H917" s="7">
        <f>IFERROR(_xlfn.XLOOKUP(tbl_Ventes[[#This Row],[Cde_Prdt]], tbl_Produits[Cde_Prdt], tbl_Produits[Coût Moyen Portion]), 0)</f>
        <v>0</v>
      </c>
      <c r="I917" s="7">
        <f>tbl_Ventes[[#This Row],[Qté Vendue]] * tbl_Ventes[[#This Row],[CMP_par_portion]]</f>
        <v>0</v>
      </c>
      <c r="J917" s="7">
        <f>tbl_Ventes[[#This Row],[CA ligne]] - tbl_Ventes[[#This Row],[Coût matière ligne]]</f>
        <v>0</v>
      </c>
      <c r="K917" s="7" t="str">
        <f>IFERROR(INDEX(tbl_ProduitsRef[Famille], MATCH(tbl_Ventes[[#This Row],[Cde_Prdt]], tbl_Produits[Cde_Prdt], 0)), "")</f>
        <v/>
      </c>
    </row>
    <row r="918" spans="1:11" x14ac:dyDescent="0.25">
      <c r="A918" s="5"/>
      <c r="B918" s="63" t="str">
        <f>IFERROR(TEXT(tbl_Ventes[[#This Row],[Date]],"mm-aaaa"),"")</f>
        <v>01-1900</v>
      </c>
      <c r="D918" s="10" t="str">
        <f>IFERROR(
   INDEX(tbl_ProduitsRef[Cde_Prdt],MATCH(tbl_Ventes[[#This Row],[Produit]],tbl_ProduitsRef[Produit],0)),
   ""
)</f>
        <v/>
      </c>
      <c r="E918" s="7">
        <v>0</v>
      </c>
      <c r="F918" s="7" t="str">
        <f>IFERROR(
   INDEX(tbl_ProduitsRef[Prix Menu],MATCH(tbl_Ventes[[#This Row],[Produit]],tbl_ProduitsRef[Produit],0)),
   ""
)</f>
        <v/>
      </c>
      <c r="G918" s="7">
        <f>tbl_Ventes[[#This Row],[Qté Vendue]] * IFERROR(_xlfn.XLOOKUP(tbl_Ventes[[#This Row],[Cde_Prdt]], tbl_Produits[Cde_Prdt], tbl_Produits[Prix Menu]), 0)</f>
        <v>0</v>
      </c>
      <c r="H918" s="7">
        <f>IFERROR(_xlfn.XLOOKUP(tbl_Ventes[[#This Row],[Cde_Prdt]], tbl_Produits[Cde_Prdt], tbl_Produits[Coût Moyen Portion]), 0)</f>
        <v>0</v>
      </c>
      <c r="I918" s="7">
        <f>tbl_Ventes[[#This Row],[Qté Vendue]] * tbl_Ventes[[#This Row],[CMP_par_portion]]</f>
        <v>0</v>
      </c>
      <c r="J918" s="7">
        <f>tbl_Ventes[[#This Row],[CA ligne]] - tbl_Ventes[[#This Row],[Coût matière ligne]]</f>
        <v>0</v>
      </c>
      <c r="K918" s="7" t="str">
        <f>IFERROR(INDEX(tbl_ProduitsRef[Famille], MATCH(tbl_Ventes[[#This Row],[Cde_Prdt]], tbl_Produits[Cde_Prdt], 0)), "")</f>
        <v/>
      </c>
    </row>
    <row r="919" spans="1:11" x14ac:dyDescent="0.25">
      <c r="A919" s="5"/>
      <c r="B919" s="63" t="str">
        <f>IFERROR(TEXT(tbl_Ventes[[#This Row],[Date]],"mm-aaaa"),"")</f>
        <v>01-1900</v>
      </c>
      <c r="D919" s="10" t="str">
        <f>IFERROR(
   INDEX(tbl_ProduitsRef[Cde_Prdt],MATCH(tbl_Ventes[[#This Row],[Produit]],tbl_ProduitsRef[Produit],0)),
   ""
)</f>
        <v/>
      </c>
      <c r="E919" s="7">
        <v>0</v>
      </c>
      <c r="F919" s="7" t="str">
        <f>IFERROR(
   INDEX(tbl_ProduitsRef[Prix Menu],MATCH(tbl_Ventes[[#This Row],[Produit]],tbl_ProduitsRef[Produit],0)),
   ""
)</f>
        <v/>
      </c>
      <c r="G919" s="7">
        <f>tbl_Ventes[[#This Row],[Qté Vendue]] * IFERROR(_xlfn.XLOOKUP(tbl_Ventes[[#This Row],[Cde_Prdt]], tbl_Produits[Cde_Prdt], tbl_Produits[Prix Menu]), 0)</f>
        <v>0</v>
      </c>
      <c r="H919" s="7">
        <f>IFERROR(_xlfn.XLOOKUP(tbl_Ventes[[#This Row],[Cde_Prdt]], tbl_Produits[Cde_Prdt], tbl_Produits[Coût Moyen Portion]), 0)</f>
        <v>0</v>
      </c>
      <c r="I919" s="7">
        <f>tbl_Ventes[[#This Row],[Qté Vendue]] * tbl_Ventes[[#This Row],[CMP_par_portion]]</f>
        <v>0</v>
      </c>
      <c r="J919" s="7">
        <f>tbl_Ventes[[#This Row],[CA ligne]] - tbl_Ventes[[#This Row],[Coût matière ligne]]</f>
        <v>0</v>
      </c>
      <c r="K919" s="7" t="str">
        <f>IFERROR(INDEX(tbl_ProduitsRef[Famille], MATCH(tbl_Ventes[[#This Row],[Cde_Prdt]], tbl_Produits[Cde_Prdt], 0)), "")</f>
        <v/>
      </c>
    </row>
    <row r="920" spans="1:11" x14ac:dyDescent="0.25">
      <c r="A920" s="5"/>
      <c r="B920" s="63" t="str">
        <f>IFERROR(TEXT(tbl_Ventes[[#This Row],[Date]],"mm-aaaa"),"")</f>
        <v>01-1900</v>
      </c>
      <c r="D920" s="10" t="str">
        <f>IFERROR(
   INDEX(tbl_ProduitsRef[Cde_Prdt],MATCH(tbl_Ventes[[#This Row],[Produit]],tbl_ProduitsRef[Produit],0)),
   ""
)</f>
        <v/>
      </c>
      <c r="E920" s="7">
        <v>0</v>
      </c>
      <c r="F920" s="7" t="str">
        <f>IFERROR(
   INDEX(tbl_ProduitsRef[Prix Menu],MATCH(tbl_Ventes[[#This Row],[Produit]],tbl_ProduitsRef[Produit],0)),
   ""
)</f>
        <v/>
      </c>
      <c r="G920" s="7">
        <f>tbl_Ventes[[#This Row],[Qté Vendue]] * IFERROR(_xlfn.XLOOKUP(tbl_Ventes[[#This Row],[Cde_Prdt]], tbl_Produits[Cde_Prdt], tbl_Produits[Prix Menu]), 0)</f>
        <v>0</v>
      </c>
      <c r="H920" s="7">
        <f>IFERROR(_xlfn.XLOOKUP(tbl_Ventes[[#This Row],[Cde_Prdt]], tbl_Produits[Cde_Prdt], tbl_Produits[Coût Moyen Portion]), 0)</f>
        <v>0</v>
      </c>
      <c r="I920" s="7">
        <f>tbl_Ventes[[#This Row],[Qté Vendue]] * tbl_Ventes[[#This Row],[CMP_par_portion]]</f>
        <v>0</v>
      </c>
      <c r="J920" s="7">
        <f>tbl_Ventes[[#This Row],[CA ligne]] - tbl_Ventes[[#This Row],[Coût matière ligne]]</f>
        <v>0</v>
      </c>
      <c r="K920" s="7" t="str">
        <f>IFERROR(INDEX(tbl_ProduitsRef[Famille], MATCH(tbl_Ventes[[#This Row],[Cde_Prdt]], tbl_Produits[Cde_Prdt], 0)), "")</f>
        <v/>
      </c>
    </row>
    <row r="921" spans="1:11" x14ac:dyDescent="0.25">
      <c r="A921" s="5"/>
      <c r="B921" s="63" t="str">
        <f>IFERROR(TEXT(tbl_Ventes[[#This Row],[Date]],"mm-aaaa"),"")</f>
        <v>01-1900</v>
      </c>
      <c r="D921" s="10" t="str">
        <f>IFERROR(
   INDEX(tbl_ProduitsRef[Cde_Prdt],MATCH(tbl_Ventes[[#This Row],[Produit]],tbl_ProduitsRef[Produit],0)),
   ""
)</f>
        <v/>
      </c>
      <c r="E921" s="7">
        <v>0</v>
      </c>
      <c r="F921" s="7" t="str">
        <f>IFERROR(
   INDEX(tbl_ProduitsRef[Prix Menu],MATCH(tbl_Ventes[[#This Row],[Produit]],tbl_ProduitsRef[Produit],0)),
   ""
)</f>
        <v/>
      </c>
      <c r="G921" s="7">
        <f>tbl_Ventes[[#This Row],[Qté Vendue]] * IFERROR(_xlfn.XLOOKUP(tbl_Ventes[[#This Row],[Cde_Prdt]], tbl_Produits[Cde_Prdt], tbl_Produits[Prix Menu]), 0)</f>
        <v>0</v>
      </c>
      <c r="H921" s="7">
        <f>IFERROR(_xlfn.XLOOKUP(tbl_Ventes[[#This Row],[Cde_Prdt]], tbl_Produits[Cde_Prdt], tbl_Produits[Coût Moyen Portion]), 0)</f>
        <v>0</v>
      </c>
      <c r="I921" s="7">
        <f>tbl_Ventes[[#This Row],[Qté Vendue]] * tbl_Ventes[[#This Row],[CMP_par_portion]]</f>
        <v>0</v>
      </c>
      <c r="J921" s="7">
        <f>tbl_Ventes[[#This Row],[CA ligne]] - tbl_Ventes[[#This Row],[Coût matière ligne]]</f>
        <v>0</v>
      </c>
      <c r="K921" s="7" t="str">
        <f>IFERROR(INDEX(tbl_ProduitsRef[Famille], MATCH(tbl_Ventes[[#This Row],[Cde_Prdt]], tbl_Produits[Cde_Prdt], 0)), "")</f>
        <v/>
      </c>
    </row>
    <row r="922" spans="1:11" x14ac:dyDescent="0.25">
      <c r="A922" s="5"/>
      <c r="B922" s="63" t="str">
        <f>IFERROR(TEXT(tbl_Ventes[[#This Row],[Date]],"mm-aaaa"),"")</f>
        <v>01-1900</v>
      </c>
      <c r="D922" s="10" t="str">
        <f>IFERROR(
   INDEX(tbl_ProduitsRef[Cde_Prdt],MATCH(tbl_Ventes[[#This Row],[Produit]],tbl_ProduitsRef[Produit],0)),
   ""
)</f>
        <v/>
      </c>
      <c r="E922" s="7">
        <v>0</v>
      </c>
      <c r="F922" s="7" t="str">
        <f>IFERROR(
   INDEX(tbl_ProduitsRef[Prix Menu],MATCH(tbl_Ventes[[#This Row],[Produit]],tbl_ProduitsRef[Produit],0)),
   ""
)</f>
        <v/>
      </c>
      <c r="G922" s="7">
        <f>tbl_Ventes[[#This Row],[Qté Vendue]] * IFERROR(_xlfn.XLOOKUP(tbl_Ventes[[#This Row],[Cde_Prdt]], tbl_Produits[Cde_Prdt], tbl_Produits[Prix Menu]), 0)</f>
        <v>0</v>
      </c>
      <c r="H922" s="7">
        <f>IFERROR(_xlfn.XLOOKUP(tbl_Ventes[[#This Row],[Cde_Prdt]], tbl_Produits[Cde_Prdt], tbl_Produits[Coût Moyen Portion]), 0)</f>
        <v>0</v>
      </c>
      <c r="I922" s="7">
        <f>tbl_Ventes[[#This Row],[Qté Vendue]] * tbl_Ventes[[#This Row],[CMP_par_portion]]</f>
        <v>0</v>
      </c>
      <c r="J922" s="7">
        <f>tbl_Ventes[[#This Row],[CA ligne]] - tbl_Ventes[[#This Row],[Coût matière ligne]]</f>
        <v>0</v>
      </c>
      <c r="K922" s="7" t="str">
        <f>IFERROR(INDEX(tbl_ProduitsRef[Famille], MATCH(tbl_Ventes[[#This Row],[Cde_Prdt]], tbl_Produits[Cde_Prdt], 0)), "")</f>
        <v/>
      </c>
    </row>
    <row r="923" spans="1:11" x14ac:dyDescent="0.25">
      <c r="A923" s="5"/>
      <c r="B923" s="63" t="str">
        <f>IFERROR(TEXT(tbl_Ventes[[#This Row],[Date]],"mm-aaaa"),"")</f>
        <v>01-1900</v>
      </c>
      <c r="D923" s="10" t="str">
        <f>IFERROR(
   INDEX(tbl_ProduitsRef[Cde_Prdt],MATCH(tbl_Ventes[[#This Row],[Produit]],tbl_ProduitsRef[Produit],0)),
   ""
)</f>
        <v/>
      </c>
      <c r="E923" s="7">
        <v>0</v>
      </c>
      <c r="F923" s="7" t="str">
        <f>IFERROR(
   INDEX(tbl_ProduitsRef[Prix Menu],MATCH(tbl_Ventes[[#This Row],[Produit]],tbl_ProduitsRef[Produit],0)),
   ""
)</f>
        <v/>
      </c>
      <c r="G923" s="7">
        <f>tbl_Ventes[[#This Row],[Qté Vendue]] * IFERROR(_xlfn.XLOOKUP(tbl_Ventes[[#This Row],[Cde_Prdt]], tbl_Produits[Cde_Prdt], tbl_Produits[Prix Menu]), 0)</f>
        <v>0</v>
      </c>
      <c r="H923" s="7">
        <f>IFERROR(_xlfn.XLOOKUP(tbl_Ventes[[#This Row],[Cde_Prdt]], tbl_Produits[Cde_Prdt], tbl_Produits[Coût Moyen Portion]), 0)</f>
        <v>0</v>
      </c>
      <c r="I923" s="7">
        <f>tbl_Ventes[[#This Row],[Qté Vendue]] * tbl_Ventes[[#This Row],[CMP_par_portion]]</f>
        <v>0</v>
      </c>
      <c r="J923" s="7">
        <f>tbl_Ventes[[#This Row],[CA ligne]] - tbl_Ventes[[#This Row],[Coût matière ligne]]</f>
        <v>0</v>
      </c>
      <c r="K923" s="7" t="str">
        <f>IFERROR(INDEX(tbl_ProduitsRef[Famille], MATCH(tbl_Ventes[[#This Row],[Cde_Prdt]], tbl_Produits[Cde_Prdt], 0)), "")</f>
        <v/>
      </c>
    </row>
    <row r="924" spans="1:11" x14ac:dyDescent="0.25">
      <c r="A924" s="5"/>
      <c r="B924" s="63" t="str">
        <f>IFERROR(TEXT(tbl_Ventes[[#This Row],[Date]],"mm-aaaa"),"")</f>
        <v>01-1900</v>
      </c>
      <c r="D924" s="10" t="str">
        <f>IFERROR(
   INDEX(tbl_ProduitsRef[Cde_Prdt],MATCH(tbl_Ventes[[#This Row],[Produit]],tbl_ProduitsRef[Produit],0)),
   ""
)</f>
        <v/>
      </c>
      <c r="E924" s="7">
        <v>0</v>
      </c>
      <c r="F924" s="7" t="str">
        <f>IFERROR(
   INDEX(tbl_ProduitsRef[Prix Menu],MATCH(tbl_Ventes[[#This Row],[Produit]],tbl_ProduitsRef[Produit],0)),
   ""
)</f>
        <v/>
      </c>
      <c r="G924" s="7">
        <f>tbl_Ventes[[#This Row],[Qté Vendue]] * IFERROR(_xlfn.XLOOKUP(tbl_Ventes[[#This Row],[Cde_Prdt]], tbl_Produits[Cde_Prdt], tbl_Produits[Prix Menu]), 0)</f>
        <v>0</v>
      </c>
      <c r="H924" s="7">
        <f>IFERROR(_xlfn.XLOOKUP(tbl_Ventes[[#This Row],[Cde_Prdt]], tbl_Produits[Cde_Prdt], tbl_Produits[Coût Moyen Portion]), 0)</f>
        <v>0</v>
      </c>
      <c r="I924" s="7">
        <f>tbl_Ventes[[#This Row],[Qté Vendue]] * tbl_Ventes[[#This Row],[CMP_par_portion]]</f>
        <v>0</v>
      </c>
      <c r="J924" s="7">
        <f>tbl_Ventes[[#This Row],[CA ligne]] - tbl_Ventes[[#This Row],[Coût matière ligne]]</f>
        <v>0</v>
      </c>
      <c r="K924" s="7" t="str">
        <f>IFERROR(INDEX(tbl_ProduitsRef[Famille], MATCH(tbl_Ventes[[#This Row],[Cde_Prdt]], tbl_Produits[Cde_Prdt], 0)), "")</f>
        <v/>
      </c>
    </row>
    <row r="925" spans="1:11" x14ac:dyDescent="0.25">
      <c r="A925" s="5"/>
      <c r="B925" s="63" t="str">
        <f>IFERROR(TEXT(tbl_Ventes[[#This Row],[Date]],"mm-aaaa"),"")</f>
        <v>01-1900</v>
      </c>
      <c r="D925" s="10" t="str">
        <f>IFERROR(
   INDEX(tbl_ProduitsRef[Cde_Prdt],MATCH(tbl_Ventes[[#This Row],[Produit]],tbl_ProduitsRef[Produit],0)),
   ""
)</f>
        <v/>
      </c>
      <c r="E925" s="7">
        <v>0</v>
      </c>
      <c r="F925" s="7" t="str">
        <f>IFERROR(
   INDEX(tbl_ProduitsRef[Prix Menu],MATCH(tbl_Ventes[[#This Row],[Produit]],tbl_ProduitsRef[Produit],0)),
   ""
)</f>
        <v/>
      </c>
      <c r="G925" s="7">
        <f>tbl_Ventes[[#This Row],[Qté Vendue]] * IFERROR(_xlfn.XLOOKUP(tbl_Ventes[[#This Row],[Cde_Prdt]], tbl_Produits[Cde_Prdt], tbl_Produits[Prix Menu]), 0)</f>
        <v>0</v>
      </c>
      <c r="H925" s="7">
        <f>IFERROR(_xlfn.XLOOKUP(tbl_Ventes[[#This Row],[Cde_Prdt]], tbl_Produits[Cde_Prdt], tbl_Produits[Coût Moyen Portion]), 0)</f>
        <v>0</v>
      </c>
      <c r="I925" s="7">
        <f>tbl_Ventes[[#This Row],[Qté Vendue]] * tbl_Ventes[[#This Row],[CMP_par_portion]]</f>
        <v>0</v>
      </c>
      <c r="J925" s="7">
        <f>tbl_Ventes[[#This Row],[CA ligne]] - tbl_Ventes[[#This Row],[Coût matière ligne]]</f>
        <v>0</v>
      </c>
      <c r="K925" s="7" t="str">
        <f>IFERROR(INDEX(tbl_ProduitsRef[Famille], MATCH(tbl_Ventes[[#This Row],[Cde_Prdt]], tbl_Produits[Cde_Prdt], 0)), "")</f>
        <v/>
      </c>
    </row>
    <row r="926" spans="1:11" x14ac:dyDescent="0.25">
      <c r="A926" s="5"/>
      <c r="B926" s="63" t="str">
        <f>IFERROR(TEXT(tbl_Ventes[[#This Row],[Date]],"mm-aaaa"),"")</f>
        <v>01-1900</v>
      </c>
      <c r="D926" s="10" t="str">
        <f>IFERROR(
   INDEX(tbl_ProduitsRef[Cde_Prdt],MATCH(tbl_Ventes[[#This Row],[Produit]],tbl_ProduitsRef[Produit],0)),
   ""
)</f>
        <v/>
      </c>
      <c r="E926" s="7">
        <v>0</v>
      </c>
      <c r="F926" s="7" t="str">
        <f>IFERROR(
   INDEX(tbl_ProduitsRef[Prix Menu],MATCH(tbl_Ventes[[#This Row],[Produit]],tbl_ProduitsRef[Produit],0)),
   ""
)</f>
        <v/>
      </c>
      <c r="G926" s="7">
        <f>tbl_Ventes[[#This Row],[Qté Vendue]] * IFERROR(_xlfn.XLOOKUP(tbl_Ventes[[#This Row],[Cde_Prdt]], tbl_Produits[Cde_Prdt], tbl_Produits[Prix Menu]), 0)</f>
        <v>0</v>
      </c>
      <c r="H926" s="7">
        <f>IFERROR(_xlfn.XLOOKUP(tbl_Ventes[[#This Row],[Cde_Prdt]], tbl_Produits[Cde_Prdt], tbl_Produits[Coût Moyen Portion]), 0)</f>
        <v>0</v>
      </c>
      <c r="I926" s="7">
        <f>tbl_Ventes[[#This Row],[Qté Vendue]] * tbl_Ventes[[#This Row],[CMP_par_portion]]</f>
        <v>0</v>
      </c>
      <c r="J926" s="7">
        <f>tbl_Ventes[[#This Row],[CA ligne]] - tbl_Ventes[[#This Row],[Coût matière ligne]]</f>
        <v>0</v>
      </c>
      <c r="K926" s="7" t="str">
        <f>IFERROR(INDEX(tbl_ProduitsRef[Famille], MATCH(tbl_Ventes[[#This Row],[Cde_Prdt]], tbl_Produits[Cde_Prdt], 0)), "")</f>
        <v/>
      </c>
    </row>
    <row r="927" spans="1:11" x14ac:dyDescent="0.25">
      <c r="A927" s="5"/>
      <c r="B927" s="63" t="str">
        <f>IFERROR(TEXT(tbl_Ventes[[#This Row],[Date]],"mm-aaaa"),"")</f>
        <v>01-1900</v>
      </c>
      <c r="D927" s="10" t="str">
        <f>IFERROR(
   INDEX(tbl_ProduitsRef[Cde_Prdt],MATCH(tbl_Ventes[[#This Row],[Produit]],tbl_ProduitsRef[Produit],0)),
   ""
)</f>
        <v/>
      </c>
      <c r="E927" s="7">
        <v>0</v>
      </c>
      <c r="F927" s="7" t="str">
        <f>IFERROR(
   INDEX(tbl_ProduitsRef[Prix Menu],MATCH(tbl_Ventes[[#This Row],[Produit]],tbl_ProduitsRef[Produit],0)),
   ""
)</f>
        <v/>
      </c>
      <c r="G927" s="7">
        <f>tbl_Ventes[[#This Row],[Qté Vendue]] * IFERROR(_xlfn.XLOOKUP(tbl_Ventes[[#This Row],[Cde_Prdt]], tbl_Produits[Cde_Prdt], tbl_Produits[Prix Menu]), 0)</f>
        <v>0</v>
      </c>
      <c r="H927" s="7">
        <f>IFERROR(_xlfn.XLOOKUP(tbl_Ventes[[#This Row],[Cde_Prdt]], tbl_Produits[Cde_Prdt], tbl_Produits[Coût Moyen Portion]), 0)</f>
        <v>0</v>
      </c>
      <c r="I927" s="7">
        <f>tbl_Ventes[[#This Row],[Qté Vendue]] * tbl_Ventes[[#This Row],[CMP_par_portion]]</f>
        <v>0</v>
      </c>
      <c r="J927" s="7">
        <f>tbl_Ventes[[#This Row],[CA ligne]] - tbl_Ventes[[#This Row],[Coût matière ligne]]</f>
        <v>0</v>
      </c>
      <c r="K927" s="7" t="str">
        <f>IFERROR(INDEX(tbl_ProduitsRef[Famille], MATCH(tbl_Ventes[[#This Row],[Cde_Prdt]], tbl_Produits[Cde_Prdt], 0)), "")</f>
        <v/>
      </c>
    </row>
    <row r="928" spans="1:11" x14ac:dyDescent="0.25">
      <c r="A928" s="5"/>
      <c r="B928" s="63" t="str">
        <f>IFERROR(TEXT(tbl_Ventes[[#This Row],[Date]],"mm-aaaa"),"")</f>
        <v>01-1900</v>
      </c>
      <c r="D928" s="10" t="str">
        <f>IFERROR(
   INDEX(tbl_ProduitsRef[Cde_Prdt],MATCH(tbl_Ventes[[#This Row],[Produit]],tbl_ProduitsRef[Produit],0)),
   ""
)</f>
        <v/>
      </c>
      <c r="E928" s="7">
        <v>0</v>
      </c>
      <c r="F928" s="7" t="str">
        <f>IFERROR(
   INDEX(tbl_ProduitsRef[Prix Menu],MATCH(tbl_Ventes[[#This Row],[Produit]],tbl_ProduitsRef[Produit],0)),
   ""
)</f>
        <v/>
      </c>
      <c r="G928" s="7">
        <f>tbl_Ventes[[#This Row],[Qté Vendue]] * IFERROR(_xlfn.XLOOKUP(tbl_Ventes[[#This Row],[Cde_Prdt]], tbl_Produits[Cde_Prdt], tbl_Produits[Prix Menu]), 0)</f>
        <v>0</v>
      </c>
      <c r="H928" s="7">
        <f>IFERROR(_xlfn.XLOOKUP(tbl_Ventes[[#This Row],[Cde_Prdt]], tbl_Produits[Cde_Prdt], tbl_Produits[Coût Moyen Portion]), 0)</f>
        <v>0</v>
      </c>
      <c r="I928" s="7">
        <f>tbl_Ventes[[#This Row],[Qté Vendue]] * tbl_Ventes[[#This Row],[CMP_par_portion]]</f>
        <v>0</v>
      </c>
      <c r="J928" s="7">
        <f>tbl_Ventes[[#This Row],[CA ligne]] - tbl_Ventes[[#This Row],[Coût matière ligne]]</f>
        <v>0</v>
      </c>
      <c r="K928" s="7" t="str">
        <f>IFERROR(INDEX(tbl_ProduitsRef[Famille], MATCH(tbl_Ventes[[#This Row],[Cde_Prdt]], tbl_Produits[Cde_Prdt], 0)), "")</f>
        <v/>
      </c>
    </row>
    <row r="929" spans="1:11" x14ac:dyDescent="0.25">
      <c r="A929" s="5"/>
      <c r="B929" s="63" t="str">
        <f>IFERROR(TEXT(tbl_Ventes[[#This Row],[Date]],"mm-aaaa"),"")</f>
        <v>01-1900</v>
      </c>
      <c r="D929" s="10" t="str">
        <f>IFERROR(
   INDEX(tbl_ProduitsRef[Cde_Prdt],MATCH(tbl_Ventes[[#This Row],[Produit]],tbl_ProduitsRef[Produit],0)),
   ""
)</f>
        <v/>
      </c>
      <c r="E929" s="7">
        <v>0</v>
      </c>
      <c r="F929" s="7" t="str">
        <f>IFERROR(
   INDEX(tbl_ProduitsRef[Prix Menu],MATCH(tbl_Ventes[[#This Row],[Produit]],tbl_ProduitsRef[Produit],0)),
   ""
)</f>
        <v/>
      </c>
      <c r="G929" s="7">
        <f>tbl_Ventes[[#This Row],[Qté Vendue]] * IFERROR(_xlfn.XLOOKUP(tbl_Ventes[[#This Row],[Cde_Prdt]], tbl_Produits[Cde_Prdt], tbl_Produits[Prix Menu]), 0)</f>
        <v>0</v>
      </c>
      <c r="H929" s="7">
        <f>IFERROR(_xlfn.XLOOKUP(tbl_Ventes[[#This Row],[Cde_Prdt]], tbl_Produits[Cde_Prdt], tbl_Produits[Coût Moyen Portion]), 0)</f>
        <v>0</v>
      </c>
      <c r="I929" s="7">
        <f>tbl_Ventes[[#This Row],[Qté Vendue]] * tbl_Ventes[[#This Row],[CMP_par_portion]]</f>
        <v>0</v>
      </c>
      <c r="J929" s="7">
        <f>tbl_Ventes[[#This Row],[CA ligne]] - tbl_Ventes[[#This Row],[Coût matière ligne]]</f>
        <v>0</v>
      </c>
      <c r="K929" s="7" t="str">
        <f>IFERROR(INDEX(tbl_ProduitsRef[Famille], MATCH(tbl_Ventes[[#This Row],[Cde_Prdt]], tbl_Produits[Cde_Prdt], 0)), "")</f>
        <v/>
      </c>
    </row>
    <row r="930" spans="1:11" x14ac:dyDescent="0.25">
      <c r="A930" s="5"/>
      <c r="B930" s="63" t="str">
        <f>IFERROR(TEXT(tbl_Ventes[[#This Row],[Date]],"mm-aaaa"),"")</f>
        <v>01-1900</v>
      </c>
      <c r="D930" s="10" t="str">
        <f>IFERROR(
   INDEX(tbl_ProduitsRef[Cde_Prdt],MATCH(tbl_Ventes[[#This Row],[Produit]],tbl_ProduitsRef[Produit],0)),
   ""
)</f>
        <v/>
      </c>
      <c r="E930" s="7">
        <v>0</v>
      </c>
      <c r="F930" s="7" t="str">
        <f>IFERROR(
   INDEX(tbl_ProduitsRef[Prix Menu],MATCH(tbl_Ventes[[#This Row],[Produit]],tbl_ProduitsRef[Produit],0)),
   ""
)</f>
        <v/>
      </c>
      <c r="G930" s="7">
        <f>tbl_Ventes[[#This Row],[Qté Vendue]] * IFERROR(_xlfn.XLOOKUP(tbl_Ventes[[#This Row],[Cde_Prdt]], tbl_Produits[Cde_Prdt], tbl_Produits[Prix Menu]), 0)</f>
        <v>0</v>
      </c>
      <c r="H930" s="7">
        <f>IFERROR(_xlfn.XLOOKUP(tbl_Ventes[[#This Row],[Cde_Prdt]], tbl_Produits[Cde_Prdt], tbl_Produits[Coût Moyen Portion]), 0)</f>
        <v>0</v>
      </c>
      <c r="I930" s="7">
        <f>tbl_Ventes[[#This Row],[Qté Vendue]] * tbl_Ventes[[#This Row],[CMP_par_portion]]</f>
        <v>0</v>
      </c>
      <c r="J930" s="7">
        <f>tbl_Ventes[[#This Row],[CA ligne]] - tbl_Ventes[[#This Row],[Coût matière ligne]]</f>
        <v>0</v>
      </c>
      <c r="K930" s="7" t="str">
        <f>IFERROR(INDEX(tbl_ProduitsRef[Famille], MATCH(tbl_Ventes[[#This Row],[Cde_Prdt]], tbl_Produits[Cde_Prdt], 0)), "")</f>
        <v/>
      </c>
    </row>
    <row r="931" spans="1:11" x14ac:dyDescent="0.25">
      <c r="A931" s="5"/>
      <c r="B931" s="63" t="str">
        <f>IFERROR(TEXT(tbl_Ventes[[#This Row],[Date]],"mm-aaaa"),"")</f>
        <v>01-1900</v>
      </c>
      <c r="D931" s="10" t="str">
        <f>IFERROR(
   INDEX(tbl_ProduitsRef[Cde_Prdt],MATCH(tbl_Ventes[[#This Row],[Produit]],tbl_ProduitsRef[Produit],0)),
   ""
)</f>
        <v/>
      </c>
      <c r="E931" s="7">
        <v>0</v>
      </c>
      <c r="F931" s="7" t="str">
        <f>IFERROR(
   INDEX(tbl_ProduitsRef[Prix Menu],MATCH(tbl_Ventes[[#This Row],[Produit]],tbl_ProduitsRef[Produit],0)),
   ""
)</f>
        <v/>
      </c>
      <c r="G931" s="7">
        <f>tbl_Ventes[[#This Row],[Qté Vendue]] * IFERROR(_xlfn.XLOOKUP(tbl_Ventes[[#This Row],[Cde_Prdt]], tbl_Produits[Cde_Prdt], tbl_Produits[Prix Menu]), 0)</f>
        <v>0</v>
      </c>
      <c r="H931" s="7">
        <f>IFERROR(_xlfn.XLOOKUP(tbl_Ventes[[#This Row],[Cde_Prdt]], tbl_Produits[Cde_Prdt], tbl_Produits[Coût Moyen Portion]), 0)</f>
        <v>0</v>
      </c>
      <c r="I931" s="7">
        <f>tbl_Ventes[[#This Row],[Qté Vendue]] * tbl_Ventes[[#This Row],[CMP_par_portion]]</f>
        <v>0</v>
      </c>
      <c r="J931" s="7">
        <f>tbl_Ventes[[#This Row],[CA ligne]] - tbl_Ventes[[#This Row],[Coût matière ligne]]</f>
        <v>0</v>
      </c>
      <c r="K931" s="7" t="str">
        <f>IFERROR(INDEX(tbl_ProduitsRef[Famille], MATCH(tbl_Ventes[[#This Row],[Cde_Prdt]], tbl_Produits[Cde_Prdt], 0)), "")</f>
        <v/>
      </c>
    </row>
    <row r="932" spans="1:11" x14ac:dyDescent="0.25">
      <c r="A932" s="5"/>
      <c r="B932" s="63" t="str">
        <f>IFERROR(TEXT(tbl_Ventes[[#This Row],[Date]],"mm-aaaa"),"")</f>
        <v>01-1900</v>
      </c>
      <c r="D932" s="10" t="str">
        <f>IFERROR(
   INDEX(tbl_ProduitsRef[Cde_Prdt],MATCH(tbl_Ventes[[#This Row],[Produit]],tbl_ProduitsRef[Produit],0)),
   ""
)</f>
        <v/>
      </c>
      <c r="E932" s="7">
        <v>0</v>
      </c>
      <c r="F932" s="7" t="str">
        <f>IFERROR(
   INDEX(tbl_ProduitsRef[Prix Menu],MATCH(tbl_Ventes[[#This Row],[Produit]],tbl_ProduitsRef[Produit],0)),
   ""
)</f>
        <v/>
      </c>
      <c r="G932" s="7">
        <f>tbl_Ventes[[#This Row],[Qté Vendue]] * IFERROR(_xlfn.XLOOKUP(tbl_Ventes[[#This Row],[Cde_Prdt]], tbl_Produits[Cde_Prdt], tbl_Produits[Prix Menu]), 0)</f>
        <v>0</v>
      </c>
      <c r="H932" s="7">
        <f>IFERROR(_xlfn.XLOOKUP(tbl_Ventes[[#This Row],[Cde_Prdt]], tbl_Produits[Cde_Prdt], tbl_Produits[Coût Moyen Portion]), 0)</f>
        <v>0</v>
      </c>
      <c r="I932" s="7">
        <f>tbl_Ventes[[#This Row],[Qté Vendue]] * tbl_Ventes[[#This Row],[CMP_par_portion]]</f>
        <v>0</v>
      </c>
      <c r="J932" s="7">
        <f>tbl_Ventes[[#This Row],[CA ligne]] - tbl_Ventes[[#This Row],[Coût matière ligne]]</f>
        <v>0</v>
      </c>
      <c r="K932" s="7" t="str">
        <f>IFERROR(INDEX(tbl_ProduitsRef[Famille], MATCH(tbl_Ventes[[#This Row],[Cde_Prdt]], tbl_Produits[Cde_Prdt], 0)), "")</f>
        <v/>
      </c>
    </row>
    <row r="933" spans="1:11" x14ac:dyDescent="0.25">
      <c r="A933" s="5"/>
      <c r="B933" s="63" t="str">
        <f>IFERROR(TEXT(tbl_Ventes[[#This Row],[Date]],"mm-aaaa"),"")</f>
        <v>01-1900</v>
      </c>
      <c r="D933" s="10" t="str">
        <f>IFERROR(
   INDEX(tbl_ProduitsRef[Cde_Prdt],MATCH(tbl_Ventes[[#This Row],[Produit]],tbl_ProduitsRef[Produit],0)),
   ""
)</f>
        <v/>
      </c>
      <c r="E933" s="7">
        <v>0</v>
      </c>
      <c r="F933" s="7" t="str">
        <f>IFERROR(
   INDEX(tbl_ProduitsRef[Prix Menu],MATCH(tbl_Ventes[[#This Row],[Produit]],tbl_ProduitsRef[Produit],0)),
   ""
)</f>
        <v/>
      </c>
      <c r="G933" s="7">
        <f>tbl_Ventes[[#This Row],[Qté Vendue]] * IFERROR(_xlfn.XLOOKUP(tbl_Ventes[[#This Row],[Cde_Prdt]], tbl_Produits[Cde_Prdt], tbl_Produits[Prix Menu]), 0)</f>
        <v>0</v>
      </c>
      <c r="H933" s="7">
        <f>IFERROR(_xlfn.XLOOKUP(tbl_Ventes[[#This Row],[Cde_Prdt]], tbl_Produits[Cde_Prdt], tbl_Produits[Coût Moyen Portion]), 0)</f>
        <v>0</v>
      </c>
      <c r="I933" s="7">
        <f>tbl_Ventes[[#This Row],[Qté Vendue]] * tbl_Ventes[[#This Row],[CMP_par_portion]]</f>
        <v>0</v>
      </c>
      <c r="J933" s="7">
        <f>tbl_Ventes[[#This Row],[CA ligne]] - tbl_Ventes[[#This Row],[Coût matière ligne]]</f>
        <v>0</v>
      </c>
      <c r="K933" s="7" t="str">
        <f>IFERROR(INDEX(tbl_ProduitsRef[Famille], MATCH(tbl_Ventes[[#This Row],[Cde_Prdt]], tbl_Produits[Cde_Prdt], 0)), "")</f>
        <v/>
      </c>
    </row>
    <row r="934" spans="1:11" x14ac:dyDescent="0.25">
      <c r="A934" s="5"/>
      <c r="B934" s="63" t="str">
        <f>IFERROR(TEXT(tbl_Ventes[[#This Row],[Date]],"mm-aaaa"),"")</f>
        <v>01-1900</v>
      </c>
      <c r="D934" s="10" t="str">
        <f>IFERROR(
   INDEX(tbl_ProduitsRef[Cde_Prdt],MATCH(tbl_Ventes[[#This Row],[Produit]],tbl_ProduitsRef[Produit],0)),
   ""
)</f>
        <v/>
      </c>
      <c r="E934" s="7">
        <v>0</v>
      </c>
      <c r="F934" s="7" t="str">
        <f>IFERROR(
   INDEX(tbl_ProduitsRef[Prix Menu],MATCH(tbl_Ventes[[#This Row],[Produit]],tbl_ProduitsRef[Produit],0)),
   ""
)</f>
        <v/>
      </c>
      <c r="G934" s="7">
        <f>tbl_Ventes[[#This Row],[Qté Vendue]] * IFERROR(_xlfn.XLOOKUP(tbl_Ventes[[#This Row],[Cde_Prdt]], tbl_Produits[Cde_Prdt], tbl_Produits[Prix Menu]), 0)</f>
        <v>0</v>
      </c>
      <c r="H934" s="7">
        <f>IFERROR(_xlfn.XLOOKUP(tbl_Ventes[[#This Row],[Cde_Prdt]], tbl_Produits[Cde_Prdt], tbl_Produits[Coût Moyen Portion]), 0)</f>
        <v>0</v>
      </c>
      <c r="I934" s="7">
        <f>tbl_Ventes[[#This Row],[Qté Vendue]] * tbl_Ventes[[#This Row],[CMP_par_portion]]</f>
        <v>0</v>
      </c>
      <c r="J934" s="7">
        <f>tbl_Ventes[[#This Row],[CA ligne]] - tbl_Ventes[[#This Row],[Coût matière ligne]]</f>
        <v>0</v>
      </c>
      <c r="K934" s="7" t="str">
        <f>IFERROR(INDEX(tbl_ProduitsRef[Famille], MATCH(tbl_Ventes[[#This Row],[Cde_Prdt]], tbl_Produits[Cde_Prdt], 0)), "")</f>
        <v/>
      </c>
    </row>
    <row r="935" spans="1:11" x14ac:dyDescent="0.25">
      <c r="A935" s="5"/>
      <c r="B935" s="63" t="str">
        <f>IFERROR(TEXT(tbl_Ventes[[#This Row],[Date]],"mm-aaaa"),"")</f>
        <v>01-1900</v>
      </c>
      <c r="D935" s="10" t="str">
        <f>IFERROR(
   INDEX(tbl_ProduitsRef[Cde_Prdt],MATCH(tbl_Ventes[[#This Row],[Produit]],tbl_ProduitsRef[Produit],0)),
   ""
)</f>
        <v/>
      </c>
      <c r="E935" s="7">
        <v>0</v>
      </c>
      <c r="F935" s="7" t="str">
        <f>IFERROR(
   INDEX(tbl_ProduitsRef[Prix Menu],MATCH(tbl_Ventes[[#This Row],[Produit]],tbl_ProduitsRef[Produit],0)),
   ""
)</f>
        <v/>
      </c>
      <c r="G935" s="7">
        <f>tbl_Ventes[[#This Row],[Qté Vendue]] * IFERROR(_xlfn.XLOOKUP(tbl_Ventes[[#This Row],[Cde_Prdt]], tbl_Produits[Cde_Prdt], tbl_Produits[Prix Menu]), 0)</f>
        <v>0</v>
      </c>
      <c r="H935" s="7">
        <f>IFERROR(_xlfn.XLOOKUP(tbl_Ventes[[#This Row],[Cde_Prdt]], tbl_Produits[Cde_Prdt], tbl_Produits[Coût Moyen Portion]), 0)</f>
        <v>0</v>
      </c>
      <c r="I935" s="7">
        <f>tbl_Ventes[[#This Row],[Qté Vendue]] * tbl_Ventes[[#This Row],[CMP_par_portion]]</f>
        <v>0</v>
      </c>
      <c r="J935" s="7">
        <f>tbl_Ventes[[#This Row],[CA ligne]] - tbl_Ventes[[#This Row],[Coût matière ligne]]</f>
        <v>0</v>
      </c>
      <c r="K935" s="7" t="str">
        <f>IFERROR(INDEX(tbl_ProduitsRef[Famille], MATCH(tbl_Ventes[[#This Row],[Cde_Prdt]], tbl_Produits[Cde_Prdt], 0)), "")</f>
        <v/>
      </c>
    </row>
    <row r="936" spans="1:11" x14ac:dyDescent="0.25">
      <c r="A936" s="5"/>
      <c r="B936" s="63" t="str">
        <f>IFERROR(TEXT(tbl_Ventes[[#This Row],[Date]],"mm-aaaa"),"")</f>
        <v>01-1900</v>
      </c>
      <c r="D936" s="10" t="str">
        <f>IFERROR(
   INDEX(tbl_ProduitsRef[Cde_Prdt],MATCH(tbl_Ventes[[#This Row],[Produit]],tbl_ProduitsRef[Produit],0)),
   ""
)</f>
        <v/>
      </c>
      <c r="E936" s="7">
        <v>0</v>
      </c>
      <c r="F936" s="7" t="str">
        <f>IFERROR(
   INDEX(tbl_ProduitsRef[Prix Menu],MATCH(tbl_Ventes[[#This Row],[Produit]],tbl_ProduitsRef[Produit],0)),
   ""
)</f>
        <v/>
      </c>
      <c r="G936" s="7">
        <f>tbl_Ventes[[#This Row],[Qté Vendue]] * IFERROR(_xlfn.XLOOKUP(tbl_Ventes[[#This Row],[Cde_Prdt]], tbl_Produits[Cde_Prdt], tbl_Produits[Prix Menu]), 0)</f>
        <v>0</v>
      </c>
      <c r="H936" s="7">
        <f>IFERROR(_xlfn.XLOOKUP(tbl_Ventes[[#This Row],[Cde_Prdt]], tbl_Produits[Cde_Prdt], tbl_Produits[Coût Moyen Portion]), 0)</f>
        <v>0</v>
      </c>
      <c r="I936" s="7">
        <f>tbl_Ventes[[#This Row],[Qté Vendue]] * tbl_Ventes[[#This Row],[CMP_par_portion]]</f>
        <v>0</v>
      </c>
      <c r="J936" s="7">
        <f>tbl_Ventes[[#This Row],[CA ligne]] - tbl_Ventes[[#This Row],[Coût matière ligne]]</f>
        <v>0</v>
      </c>
      <c r="K936" s="7" t="str">
        <f>IFERROR(INDEX(tbl_ProduitsRef[Famille], MATCH(tbl_Ventes[[#This Row],[Cde_Prdt]], tbl_Produits[Cde_Prdt], 0)), "")</f>
        <v/>
      </c>
    </row>
    <row r="937" spans="1:11" x14ac:dyDescent="0.25">
      <c r="A937" s="5"/>
      <c r="B937" s="63" t="str">
        <f>IFERROR(TEXT(tbl_Ventes[[#This Row],[Date]],"mm-aaaa"),"")</f>
        <v>01-1900</v>
      </c>
      <c r="D937" s="10" t="str">
        <f>IFERROR(
   INDEX(tbl_ProduitsRef[Cde_Prdt],MATCH(tbl_Ventes[[#This Row],[Produit]],tbl_ProduitsRef[Produit],0)),
   ""
)</f>
        <v/>
      </c>
      <c r="E937" s="7">
        <v>0</v>
      </c>
      <c r="F937" s="7" t="str">
        <f>IFERROR(
   INDEX(tbl_ProduitsRef[Prix Menu],MATCH(tbl_Ventes[[#This Row],[Produit]],tbl_ProduitsRef[Produit],0)),
   ""
)</f>
        <v/>
      </c>
      <c r="G937" s="7">
        <f>tbl_Ventes[[#This Row],[Qté Vendue]] * IFERROR(_xlfn.XLOOKUP(tbl_Ventes[[#This Row],[Cde_Prdt]], tbl_Produits[Cde_Prdt], tbl_Produits[Prix Menu]), 0)</f>
        <v>0</v>
      </c>
      <c r="H937" s="7">
        <f>IFERROR(_xlfn.XLOOKUP(tbl_Ventes[[#This Row],[Cde_Prdt]], tbl_Produits[Cde_Prdt], tbl_Produits[Coût Moyen Portion]), 0)</f>
        <v>0</v>
      </c>
      <c r="I937" s="7">
        <f>tbl_Ventes[[#This Row],[Qté Vendue]] * tbl_Ventes[[#This Row],[CMP_par_portion]]</f>
        <v>0</v>
      </c>
      <c r="J937" s="7">
        <f>tbl_Ventes[[#This Row],[CA ligne]] - tbl_Ventes[[#This Row],[Coût matière ligne]]</f>
        <v>0</v>
      </c>
      <c r="K937" s="7" t="str">
        <f>IFERROR(INDEX(tbl_ProduitsRef[Famille], MATCH(tbl_Ventes[[#This Row],[Cde_Prdt]], tbl_Produits[Cde_Prdt], 0)), "")</f>
        <v/>
      </c>
    </row>
    <row r="938" spans="1:11" x14ac:dyDescent="0.25">
      <c r="A938" s="5"/>
      <c r="B938" s="63" t="str">
        <f>IFERROR(TEXT(tbl_Ventes[[#This Row],[Date]],"mm-aaaa"),"")</f>
        <v>01-1900</v>
      </c>
      <c r="D938" s="10" t="str">
        <f>IFERROR(
   INDEX(tbl_ProduitsRef[Cde_Prdt],MATCH(tbl_Ventes[[#This Row],[Produit]],tbl_ProduitsRef[Produit],0)),
   ""
)</f>
        <v/>
      </c>
      <c r="E938" s="7">
        <v>0</v>
      </c>
      <c r="F938" s="7" t="str">
        <f>IFERROR(
   INDEX(tbl_ProduitsRef[Prix Menu],MATCH(tbl_Ventes[[#This Row],[Produit]],tbl_ProduitsRef[Produit],0)),
   ""
)</f>
        <v/>
      </c>
      <c r="G938" s="7">
        <f>tbl_Ventes[[#This Row],[Qté Vendue]] * IFERROR(_xlfn.XLOOKUP(tbl_Ventes[[#This Row],[Cde_Prdt]], tbl_Produits[Cde_Prdt], tbl_Produits[Prix Menu]), 0)</f>
        <v>0</v>
      </c>
      <c r="H938" s="7">
        <f>IFERROR(_xlfn.XLOOKUP(tbl_Ventes[[#This Row],[Cde_Prdt]], tbl_Produits[Cde_Prdt], tbl_Produits[Coût Moyen Portion]), 0)</f>
        <v>0</v>
      </c>
      <c r="I938" s="7">
        <f>tbl_Ventes[[#This Row],[Qté Vendue]] * tbl_Ventes[[#This Row],[CMP_par_portion]]</f>
        <v>0</v>
      </c>
      <c r="J938" s="7">
        <f>tbl_Ventes[[#This Row],[CA ligne]] - tbl_Ventes[[#This Row],[Coût matière ligne]]</f>
        <v>0</v>
      </c>
      <c r="K938" s="7" t="str">
        <f>IFERROR(INDEX(tbl_ProduitsRef[Famille], MATCH(tbl_Ventes[[#This Row],[Cde_Prdt]], tbl_Produits[Cde_Prdt], 0)), "")</f>
        <v/>
      </c>
    </row>
    <row r="939" spans="1:11" x14ac:dyDescent="0.25">
      <c r="A939" s="5"/>
      <c r="B939" s="63" t="str">
        <f>IFERROR(TEXT(tbl_Ventes[[#This Row],[Date]],"mm-aaaa"),"")</f>
        <v>01-1900</v>
      </c>
      <c r="D939" s="10" t="str">
        <f>IFERROR(
   INDEX(tbl_ProduitsRef[Cde_Prdt],MATCH(tbl_Ventes[[#This Row],[Produit]],tbl_ProduitsRef[Produit],0)),
   ""
)</f>
        <v/>
      </c>
      <c r="E939" s="7">
        <v>0</v>
      </c>
      <c r="F939" s="7" t="str">
        <f>IFERROR(
   INDEX(tbl_ProduitsRef[Prix Menu],MATCH(tbl_Ventes[[#This Row],[Produit]],tbl_ProduitsRef[Produit],0)),
   ""
)</f>
        <v/>
      </c>
      <c r="G939" s="7">
        <f>tbl_Ventes[[#This Row],[Qté Vendue]] * IFERROR(_xlfn.XLOOKUP(tbl_Ventes[[#This Row],[Cde_Prdt]], tbl_Produits[Cde_Prdt], tbl_Produits[Prix Menu]), 0)</f>
        <v>0</v>
      </c>
      <c r="H939" s="7">
        <f>IFERROR(_xlfn.XLOOKUP(tbl_Ventes[[#This Row],[Cde_Prdt]], tbl_Produits[Cde_Prdt], tbl_Produits[Coût Moyen Portion]), 0)</f>
        <v>0</v>
      </c>
      <c r="I939" s="7">
        <f>tbl_Ventes[[#This Row],[Qté Vendue]] * tbl_Ventes[[#This Row],[CMP_par_portion]]</f>
        <v>0</v>
      </c>
      <c r="J939" s="7">
        <f>tbl_Ventes[[#This Row],[CA ligne]] - tbl_Ventes[[#This Row],[Coût matière ligne]]</f>
        <v>0</v>
      </c>
      <c r="K939" s="7" t="str">
        <f>IFERROR(INDEX(tbl_ProduitsRef[Famille], MATCH(tbl_Ventes[[#This Row],[Cde_Prdt]], tbl_Produits[Cde_Prdt], 0)), "")</f>
        <v/>
      </c>
    </row>
    <row r="940" spans="1:11" x14ac:dyDescent="0.25">
      <c r="A940" s="5"/>
      <c r="B940" s="63" t="str">
        <f>IFERROR(TEXT(tbl_Ventes[[#This Row],[Date]],"mm-aaaa"),"")</f>
        <v>01-1900</v>
      </c>
      <c r="D940" s="10" t="str">
        <f>IFERROR(
   INDEX(tbl_ProduitsRef[Cde_Prdt],MATCH(tbl_Ventes[[#This Row],[Produit]],tbl_ProduitsRef[Produit],0)),
   ""
)</f>
        <v/>
      </c>
      <c r="E940" s="7">
        <v>0</v>
      </c>
      <c r="F940" s="7" t="str">
        <f>IFERROR(
   INDEX(tbl_ProduitsRef[Prix Menu],MATCH(tbl_Ventes[[#This Row],[Produit]],tbl_ProduitsRef[Produit],0)),
   ""
)</f>
        <v/>
      </c>
      <c r="G940" s="7">
        <f>tbl_Ventes[[#This Row],[Qté Vendue]] * IFERROR(_xlfn.XLOOKUP(tbl_Ventes[[#This Row],[Cde_Prdt]], tbl_Produits[Cde_Prdt], tbl_Produits[Prix Menu]), 0)</f>
        <v>0</v>
      </c>
      <c r="H940" s="7">
        <f>IFERROR(_xlfn.XLOOKUP(tbl_Ventes[[#This Row],[Cde_Prdt]], tbl_Produits[Cde_Prdt], tbl_Produits[Coût Moyen Portion]), 0)</f>
        <v>0</v>
      </c>
      <c r="I940" s="7">
        <f>tbl_Ventes[[#This Row],[Qté Vendue]] * tbl_Ventes[[#This Row],[CMP_par_portion]]</f>
        <v>0</v>
      </c>
      <c r="J940" s="7">
        <f>tbl_Ventes[[#This Row],[CA ligne]] - tbl_Ventes[[#This Row],[Coût matière ligne]]</f>
        <v>0</v>
      </c>
      <c r="K940" s="7" t="str">
        <f>IFERROR(INDEX(tbl_ProduitsRef[Famille], MATCH(tbl_Ventes[[#This Row],[Cde_Prdt]], tbl_Produits[Cde_Prdt], 0)), "")</f>
        <v/>
      </c>
    </row>
    <row r="941" spans="1:11" x14ac:dyDescent="0.25">
      <c r="A941" s="5"/>
      <c r="B941" s="63" t="str">
        <f>IFERROR(TEXT(tbl_Ventes[[#This Row],[Date]],"mm-aaaa"),"")</f>
        <v>01-1900</v>
      </c>
      <c r="D941" s="10" t="str">
        <f>IFERROR(
   INDEX(tbl_ProduitsRef[Cde_Prdt],MATCH(tbl_Ventes[[#This Row],[Produit]],tbl_ProduitsRef[Produit],0)),
   ""
)</f>
        <v/>
      </c>
      <c r="E941" s="7">
        <v>0</v>
      </c>
      <c r="F941" s="7" t="str">
        <f>IFERROR(
   INDEX(tbl_ProduitsRef[Prix Menu],MATCH(tbl_Ventes[[#This Row],[Produit]],tbl_ProduitsRef[Produit],0)),
   ""
)</f>
        <v/>
      </c>
      <c r="G941" s="7">
        <f>tbl_Ventes[[#This Row],[Qté Vendue]] * IFERROR(_xlfn.XLOOKUP(tbl_Ventes[[#This Row],[Cde_Prdt]], tbl_Produits[Cde_Prdt], tbl_Produits[Prix Menu]), 0)</f>
        <v>0</v>
      </c>
      <c r="H941" s="7">
        <f>IFERROR(_xlfn.XLOOKUP(tbl_Ventes[[#This Row],[Cde_Prdt]], tbl_Produits[Cde_Prdt], tbl_Produits[Coût Moyen Portion]), 0)</f>
        <v>0</v>
      </c>
      <c r="I941" s="7">
        <f>tbl_Ventes[[#This Row],[Qté Vendue]] * tbl_Ventes[[#This Row],[CMP_par_portion]]</f>
        <v>0</v>
      </c>
      <c r="J941" s="7">
        <f>tbl_Ventes[[#This Row],[CA ligne]] - tbl_Ventes[[#This Row],[Coût matière ligne]]</f>
        <v>0</v>
      </c>
      <c r="K941" s="7" t="str">
        <f>IFERROR(INDEX(tbl_ProduitsRef[Famille], MATCH(tbl_Ventes[[#This Row],[Cde_Prdt]], tbl_Produits[Cde_Prdt], 0)), "")</f>
        <v/>
      </c>
    </row>
    <row r="942" spans="1:11" x14ac:dyDescent="0.25">
      <c r="A942" s="5"/>
      <c r="B942" s="63" t="str">
        <f>IFERROR(TEXT(tbl_Ventes[[#This Row],[Date]],"mm-aaaa"),"")</f>
        <v>01-1900</v>
      </c>
      <c r="D942" s="10" t="str">
        <f>IFERROR(
   INDEX(tbl_ProduitsRef[Cde_Prdt],MATCH(tbl_Ventes[[#This Row],[Produit]],tbl_ProduitsRef[Produit],0)),
   ""
)</f>
        <v/>
      </c>
      <c r="E942" s="7">
        <v>0</v>
      </c>
      <c r="F942" s="7" t="str">
        <f>IFERROR(
   INDEX(tbl_ProduitsRef[Prix Menu],MATCH(tbl_Ventes[[#This Row],[Produit]],tbl_ProduitsRef[Produit],0)),
   ""
)</f>
        <v/>
      </c>
      <c r="G942" s="7">
        <f>tbl_Ventes[[#This Row],[Qté Vendue]] * IFERROR(_xlfn.XLOOKUP(tbl_Ventes[[#This Row],[Cde_Prdt]], tbl_Produits[Cde_Prdt], tbl_Produits[Prix Menu]), 0)</f>
        <v>0</v>
      </c>
      <c r="H942" s="7">
        <f>IFERROR(_xlfn.XLOOKUP(tbl_Ventes[[#This Row],[Cde_Prdt]], tbl_Produits[Cde_Prdt], tbl_Produits[Coût Moyen Portion]), 0)</f>
        <v>0</v>
      </c>
      <c r="I942" s="7">
        <f>tbl_Ventes[[#This Row],[Qté Vendue]] * tbl_Ventes[[#This Row],[CMP_par_portion]]</f>
        <v>0</v>
      </c>
      <c r="J942" s="7">
        <f>tbl_Ventes[[#This Row],[CA ligne]] - tbl_Ventes[[#This Row],[Coût matière ligne]]</f>
        <v>0</v>
      </c>
      <c r="K942" s="7" t="str">
        <f>IFERROR(INDEX(tbl_ProduitsRef[Famille], MATCH(tbl_Ventes[[#This Row],[Cde_Prdt]], tbl_Produits[Cde_Prdt], 0)), "")</f>
        <v/>
      </c>
    </row>
    <row r="943" spans="1:11" x14ac:dyDescent="0.25">
      <c r="A943" s="5"/>
      <c r="B943" s="63" t="str">
        <f>IFERROR(TEXT(tbl_Ventes[[#This Row],[Date]],"mm-aaaa"),"")</f>
        <v>01-1900</v>
      </c>
      <c r="D943" s="10" t="str">
        <f>IFERROR(
   INDEX(tbl_ProduitsRef[Cde_Prdt],MATCH(tbl_Ventes[[#This Row],[Produit]],tbl_ProduitsRef[Produit],0)),
   ""
)</f>
        <v/>
      </c>
      <c r="E943" s="7">
        <v>0</v>
      </c>
      <c r="F943" s="7" t="str">
        <f>IFERROR(
   INDEX(tbl_ProduitsRef[Prix Menu],MATCH(tbl_Ventes[[#This Row],[Produit]],tbl_ProduitsRef[Produit],0)),
   ""
)</f>
        <v/>
      </c>
      <c r="G943" s="7">
        <f>tbl_Ventes[[#This Row],[Qté Vendue]] * IFERROR(_xlfn.XLOOKUP(tbl_Ventes[[#This Row],[Cde_Prdt]], tbl_Produits[Cde_Prdt], tbl_Produits[Prix Menu]), 0)</f>
        <v>0</v>
      </c>
      <c r="H943" s="7">
        <f>IFERROR(_xlfn.XLOOKUP(tbl_Ventes[[#This Row],[Cde_Prdt]], tbl_Produits[Cde_Prdt], tbl_Produits[Coût Moyen Portion]), 0)</f>
        <v>0</v>
      </c>
      <c r="I943" s="7">
        <f>tbl_Ventes[[#This Row],[Qté Vendue]] * tbl_Ventes[[#This Row],[CMP_par_portion]]</f>
        <v>0</v>
      </c>
      <c r="J943" s="7">
        <f>tbl_Ventes[[#This Row],[CA ligne]] - tbl_Ventes[[#This Row],[Coût matière ligne]]</f>
        <v>0</v>
      </c>
      <c r="K943" s="7" t="str">
        <f>IFERROR(INDEX(tbl_ProduitsRef[Famille], MATCH(tbl_Ventes[[#This Row],[Cde_Prdt]], tbl_Produits[Cde_Prdt], 0)), "")</f>
        <v/>
      </c>
    </row>
    <row r="944" spans="1:11" x14ac:dyDescent="0.25">
      <c r="A944" s="5"/>
      <c r="B944" s="63" t="str">
        <f>IFERROR(TEXT(tbl_Ventes[[#This Row],[Date]],"mm-aaaa"),"")</f>
        <v>01-1900</v>
      </c>
      <c r="D944" s="10" t="str">
        <f>IFERROR(
   INDEX(tbl_ProduitsRef[Cde_Prdt],MATCH(tbl_Ventes[[#This Row],[Produit]],tbl_ProduitsRef[Produit],0)),
   ""
)</f>
        <v/>
      </c>
      <c r="E944" s="7">
        <v>0</v>
      </c>
      <c r="F944" s="7" t="str">
        <f>IFERROR(
   INDEX(tbl_ProduitsRef[Prix Menu],MATCH(tbl_Ventes[[#This Row],[Produit]],tbl_ProduitsRef[Produit],0)),
   ""
)</f>
        <v/>
      </c>
      <c r="G944" s="7">
        <f>tbl_Ventes[[#This Row],[Qté Vendue]] * IFERROR(_xlfn.XLOOKUP(tbl_Ventes[[#This Row],[Cde_Prdt]], tbl_Produits[Cde_Prdt], tbl_Produits[Prix Menu]), 0)</f>
        <v>0</v>
      </c>
      <c r="H944" s="7">
        <f>IFERROR(_xlfn.XLOOKUP(tbl_Ventes[[#This Row],[Cde_Prdt]], tbl_Produits[Cde_Prdt], tbl_Produits[Coût Moyen Portion]), 0)</f>
        <v>0</v>
      </c>
      <c r="I944" s="7">
        <f>tbl_Ventes[[#This Row],[Qté Vendue]] * tbl_Ventes[[#This Row],[CMP_par_portion]]</f>
        <v>0</v>
      </c>
      <c r="J944" s="7">
        <f>tbl_Ventes[[#This Row],[CA ligne]] - tbl_Ventes[[#This Row],[Coût matière ligne]]</f>
        <v>0</v>
      </c>
      <c r="K944" s="7" t="str">
        <f>IFERROR(INDEX(tbl_ProduitsRef[Famille], MATCH(tbl_Ventes[[#This Row],[Cde_Prdt]], tbl_Produits[Cde_Prdt], 0)), "")</f>
        <v/>
      </c>
    </row>
    <row r="945" spans="1:11" x14ac:dyDescent="0.25">
      <c r="A945" s="5"/>
      <c r="B945" s="63" t="str">
        <f>IFERROR(TEXT(tbl_Ventes[[#This Row],[Date]],"mm-aaaa"),"")</f>
        <v>01-1900</v>
      </c>
      <c r="D945" s="10" t="str">
        <f>IFERROR(
   INDEX(tbl_ProduitsRef[Cde_Prdt],MATCH(tbl_Ventes[[#This Row],[Produit]],tbl_ProduitsRef[Produit],0)),
   ""
)</f>
        <v/>
      </c>
      <c r="E945" s="7">
        <v>0</v>
      </c>
      <c r="F945" s="7" t="str">
        <f>IFERROR(
   INDEX(tbl_ProduitsRef[Prix Menu],MATCH(tbl_Ventes[[#This Row],[Produit]],tbl_ProduitsRef[Produit],0)),
   ""
)</f>
        <v/>
      </c>
      <c r="G945" s="7">
        <f>tbl_Ventes[[#This Row],[Qté Vendue]] * IFERROR(_xlfn.XLOOKUP(tbl_Ventes[[#This Row],[Cde_Prdt]], tbl_Produits[Cde_Prdt], tbl_Produits[Prix Menu]), 0)</f>
        <v>0</v>
      </c>
      <c r="H945" s="7">
        <f>IFERROR(_xlfn.XLOOKUP(tbl_Ventes[[#This Row],[Cde_Prdt]], tbl_Produits[Cde_Prdt], tbl_Produits[Coût Moyen Portion]), 0)</f>
        <v>0</v>
      </c>
      <c r="I945" s="7">
        <f>tbl_Ventes[[#This Row],[Qté Vendue]] * tbl_Ventes[[#This Row],[CMP_par_portion]]</f>
        <v>0</v>
      </c>
      <c r="J945" s="7">
        <f>tbl_Ventes[[#This Row],[CA ligne]] - tbl_Ventes[[#This Row],[Coût matière ligne]]</f>
        <v>0</v>
      </c>
      <c r="K945" s="7" t="str">
        <f>IFERROR(INDEX(tbl_ProduitsRef[Famille], MATCH(tbl_Ventes[[#This Row],[Cde_Prdt]], tbl_Produits[Cde_Prdt], 0)), "")</f>
        <v/>
      </c>
    </row>
    <row r="946" spans="1:11" x14ac:dyDescent="0.25">
      <c r="A946" s="5"/>
      <c r="B946" s="63" t="str">
        <f>IFERROR(TEXT(tbl_Ventes[[#This Row],[Date]],"mm-aaaa"),"")</f>
        <v>01-1900</v>
      </c>
      <c r="D946" s="10" t="str">
        <f>IFERROR(
   INDEX(tbl_ProduitsRef[Cde_Prdt],MATCH(tbl_Ventes[[#This Row],[Produit]],tbl_ProduitsRef[Produit],0)),
   ""
)</f>
        <v/>
      </c>
      <c r="E946" s="7">
        <v>0</v>
      </c>
      <c r="F946" s="7" t="str">
        <f>IFERROR(
   INDEX(tbl_ProduitsRef[Prix Menu],MATCH(tbl_Ventes[[#This Row],[Produit]],tbl_ProduitsRef[Produit],0)),
   ""
)</f>
        <v/>
      </c>
      <c r="G946" s="7">
        <f>tbl_Ventes[[#This Row],[Qté Vendue]] * IFERROR(_xlfn.XLOOKUP(tbl_Ventes[[#This Row],[Cde_Prdt]], tbl_Produits[Cde_Prdt], tbl_Produits[Prix Menu]), 0)</f>
        <v>0</v>
      </c>
      <c r="H946" s="7">
        <f>IFERROR(_xlfn.XLOOKUP(tbl_Ventes[[#This Row],[Cde_Prdt]], tbl_Produits[Cde_Prdt], tbl_Produits[Coût Moyen Portion]), 0)</f>
        <v>0</v>
      </c>
      <c r="I946" s="7">
        <f>tbl_Ventes[[#This Row],[Qté Vendue]] * tbl_Ventes[[#This Row],[CMP_par_portion]]</f>
        <v>0</v>
      </c>
      <c r="J946" s="7">
        <f>tbl_Ventes[[#This Row],[CA ligne]] - tbl_Ventes[[#This Row],[Coût matière ligne]]</f>
        <v>0</v>
      </c>
      <c r="K946" s="7" t="str">
        <f>IFERROR(INDEX(tbl_ProduitsRef[Famille], MATCH(tbl_Ventes[[#This Row],[Cde_Prdt]], tbl_Produits[Cde_Prdt], 0)), "")</f>
        <v/>
      </c>
    </row>
    <row r="947" spans="1:11" x14ac:dyDescent="0.25">
      <c r="A947" s="5"/>
      <c r="B947" s="63" t="str">
        <f>IFERROR(TEXT(tbl_Ventes[[#This Row],[Date]],"mm-aaaa"),"")</f>
        <v>01-1900</v>
      </c>
      <c r="D947" s="10" t="str">
        <f>IFERROR(
   INDEX(tbl_ProduitsRef[Cde_Prdt],MATCH(tbl_Ventes[[#This Row],[Produit]],tbl_ProduitsRef[Produit],0)),
   ""
)</f>
        <v/>
      </c>
      <c r="E947" s="7">
        <v>0</v>
      </c>
      <c r="F947" s="7" t="str">
        <f>IFERROR(
   INDEX(tbl_ProduitsRef[Prix Menu],MATCH(tbl_Ventes[[#This Row],[Produit]],tbl_ProduitsRef[Produit],0)),
   ""
)</f>
        <v/>
      </c>
      <c r="G947" s="7">
        <f>tbl_Ventes[[#This Row],[Qté Vendue]] * IFERROR(_xlfn.XLOOKUP(tbl_Ventes[[#This Row],[Cde_Prdt]], tbl_Produits[Cde_Prdt], tbl_Produits[Prix Menu]), 0)</f>
        <v>0</v>
      </c>
      <c r="H947" s="7">
        <f>IFERROR(_xlfn.XLOOKUP(tbl_Ventes[[#This Row],[Cde_Prdt]], tbl_Produits[Cde_Prdt], tbl_Produits[Coût Moyen Portion]), 0)</f>
        <v>0</v>
      </c>
      <c r="I947" s="7">
        <f>tbl_Ventes[[#This Row],[Qté Vendue]] * tbl_Ventes[[#This Row],[CMP_par_portion]]</f>
        <v>0</v>
      </c>
      <c r="J947" s="7">
        <f>tbl_Ventes[[#This Row],[CA ligne]] - tbl_Ventes[[#This Row],[Coût matière ligne]]</f>
        <v>0</v>
      </c>
      <c r="K947" s="7" t="str">
        <f>IFERROR(INDEX(tbl_ProduitsRef[Famille], MATCH(tbl_Ventes[[#This Row],[Cde_Prdt]], tbl_Produits[Cde_Prdt], 0)), "")</f>
        <v/>
      </c>
    </row>
    <row r="948" spans="1:11" x14ac:dyDescent="0.25">
      <c r="A948" s="5"/>
      <c r="B948" s="63" t="str">
        <f>IFERROR(TEXT(tbl_Ventes[[#This Row],[Date]],"mm-aaaa"),"")</f>
        <v>01-1900</v>
      </c>
      <c r="D948" s="10" t="str">
        <f>IFERROR(
   INDEX(tbl_ProduitsRef[Cde_Prdt],MATCH(tbl_Ventes[[#This Row],[Produit]],tbl_ProduitsRef[Produit],0)),
   ""
)</f>
        <v/>
      </c>
      <c r="E948" s="7">
        <v>0</v>
      </c>
      <c r="F948" s="7" t="str">
        <f>IFERROR(
   INDEX(tbl_ProduitsRef[Prix Menu],MATCH(tbl_Ventes[[#This Row],[Produit]],tbl_ProduitsRef[Produit],0)),
   ""
)</f>
        <v/>
      </c>
      <c r="G948" s="7">
        <f>tbl_Ventes[[#This Row],[Qté Vendue]] * IFERROR(_xlfn.XLOOKUP(tbl_Ventes[[#This Row],[Cde_Prdt]], tbl_Produits[Cde_Prdt], tbl_Produits[Prix Menu]), 0)</f>
        <v>0</v>
      </c>
      <c r="H948" s="7">
        <f>IFERROR(_xlfn.XLOOKUP(tbl_Ventes[[#This Row],[Cde_Prdt]], tbl_Produits[Cde_Prdt], tbl_Produits[Coût Moyen Portion]), 0)</f>
        <v>0</v>
      </c>
      <c r="I948" s="7">
        <f>tbl_Ventes[[#This Row],[Qté Vendue]] * tbl_Ventes[[#This Row],[CMP_par_portion]]</f>
        <v>0</v>
      </c>
      <c r="J948" s="7">
        <f>tbl_Ventes[[#This Row],[CA ligne]] - tbl_Ventes[[#This Row],[Coût matière ligne]]</f>
        <v>0</v>
      </c>
      <c r="K948" s="7" t="str">
        <f>IFERROR(INDEX(tbl_ProduitsRef[Famille], MATCH(tbl_Ventes[[#This Row],[Cde_Prdt]], tbl_Produits[Cde_Prdt], 0)), "")</f>
        <v/>
      </c>
    </row>
    <row r="949" spans="1:11" x14ac:dyDescent="0.25">
      <c r="A949" s="5"/>
      <c r="B949" s="63" t="str">
        <f>IFERROR(TEXT(tbl_Ventes[[#This Row],[Date]],"mm-aaaa"),"")</f>
        <v>01-1900</v>
      </c>
      <c r="D949" s="10" t="str">
        <f>IFERROR(
   INDEX(tbl_ProduitsRef[Cde_Prdt],MATCH(tbl_Ventes[[#This Row],[Produit]],tbl_ProduitsRef[Produit],0)),
   ""
)</f>
        <v/>
      </c>
      <c r="E949" s="7">
        <v>0</v>
      </c>
      <c r="F949" s="7" t="str">
        <f>IFERROR(
   INDEX(tbl_ProduitsRef[Prix Menu],MATCH(tbl_Ventes[[#This Row],[Produit]],tbl_ProduitsRef[Produit],0)),
   ""
)</f>
        <v/>
      </c>
      <c r="G949" s="7">
        <f>tbl_Ventes[[#This Row],[Qté Vendue]] * IFERROR(_xlfn.XLOOKUP(tbl_Ventes[[#This Row],[Cde_Prdt]], tbl_Produits[Cde_Prdt], tbl_Produits[Prix Menu]), 0)</f>
        <v>0</v>
      </c>
      <c r="H949" s="7">
        <f>IFERROR(_xlfn.XLOOKUP(tbl_Ventes[[#This Row],[Cde_Prdt]], tbl_Produits[Cde_Prdt], tbl_Produits[Coût Moyen Portion]), 0)</f>
        <v>0</v>
      </c>
      <c r="I949" s="7">
        <f>tbl_Ventes[[#This Row],[Qté Vendue]] * tbl_Ventes[[#This Row],[CMP_par_portion]]</f>
        <v>0</v>
      </c>
      <c r="J949" s="7">
        <f>tbl_Ventes[[#This Row],[CA ligne]] - tbl_Ventes[[#This Row],[Coût matière ligne]]</f>
        <v>0</v>
      </c>
      <c r="K949" s="7" t="str">
        <f>IFERROR(INDEX(tbl_ProduitsRef[Famille], MATCH(tbl_Ventes[[#This Row],[Cde_Prdt]], tbl_Produits[Cde_Prdt], 0)), "")</f>
        <v/>
      </c>
    </row>
    <row r="950" spans="1:11" x14ac:dyDescent="0.25">
      <c r="A950" s="5"/>
      <c r="B950" s="63" t="str">
        <f>IFERROR(TEXT(tbl_Ventes[[#This Row],[Date]],"mm-aaaa"),"")</f>
        <v>01-1900</v>
      </c>
      <c r="D950" s="10" t="str">
        <f>IFERROR(
   INDEX(tbl_ProduitsRef[Cde_Prdt],MATCH(tbl_Ventes[[#This Row],[Produit]],tbl_ProduitsRef[Produit],0)),
   ""
)</f>
        <v/>
      </c>
      <c r="E950" s="7">
        <v>0</v>
      </c>
      <c r="F950" s="7" t="str">
        <f>IFERROR(
   INDEX(tbl_ProduitsRef[Prix Menu],MATCH(tbl_Ventes[[#This Row],[Produit]],tbl_ProduitsRef[Produit],0)),
   ""
)</f>
        <v/>
      </c>
      <c r="G950" s="7">
        <f>tbl_Ventes[[#This Row],[Qté Vendue]] * IFERROR(_xlfn.XLOOKUP(tbl_Ventes[[#This Row],[Cde_Prdt]], tbl_Produits[Cde_Prdt], tbl_Produits[Prix Menu]), 0)</f>
        <v>0</v>
      </c>
      <c r="H950" s="7">
        <f>IFERROR(_xlfn.XLOOKUP(tbl_Ventes[[#This Row],[Cde_Prdt]], tbl_Produits[Cde_Prdt], tbl_Produits[Coût Moyen Portion]), 0)</f>
        <v>0</v>
      </c>
      <c r="I950" s="7">
        <f>tbl_Ventes[[#This Row],[Qté Vendue]] * tbl_Ventes[[#This Row],[CMP_par_portion]]</f>
        <v>0</v>
      </c>
      <c r="J950" s="7">
        <f>tbl_Ventes[[#This Row],[CA ligne]] - tbl_Ventes[[#This Row],[Coût matière ligne]]</f>
        <v>0</v>
      </c>
      <c r="K950" s="7" t="str">
        <f>IFERROR(INDEX(tbl_ProduitsRef[Famille], MATCH(tbl_Ventes[[#This Row],[Cde_Prdt]], tbl_Produits[Cde_Prdt], 0)), "")</f>
        <v/>
      </c>
    </row>
    <row r="951" spans="1:11" x14ac:dyDescent="0.25">
      <c r="A951" s="5"/>
      <c r="B951" s="63" t="str">
        <f>IFERROR(TEXT(tbl_Ventes[[#This Row],[Date]],"mm-aaaa"),"")</f>
        <v>01-1900</v>
      </c>
      <c r="D951" s="10" t="str">
        <f>IFERROR(
   INDEX(tbl_ProduitsRef[Cde_Prdt],MATCH(tbl_Ventes[[#This Row],[Produit]],tbl_ProduitsRef[Produit],0)),
   ""
)</f>
        <v/>
      </c>
      <c r="E951" s="7">
        <v>0</v>
      </c>
      <c r="F951" s="7" t="str">
        <f>IFERROR(
   INDEX(tbl_ProduitsRef[Prix Menu],MATCH(tbl_Ventes[[#This Row],[Produit]],tbl_ProduitsRef[Produit],0)),
   ""
)</f>
        <v/>
      </c>
      <c r="G951" s="7">
        <f>tbl_Ventes[[#This Row],[Qté Vendue]] * IFERROR(_xlfn.XLOOKUP(tbl_Ventes[[#This Row],[Cde_Prdt]], tbl_Produits[Cde_Prdt], tbl_Produits[Prix Menu]), 0)</f>
        <v>0</v>
      </c>
      <c r="H951" s="7">
        <f>IFERROR(_xlfn.XLOOKUP(tbl_Ventes[[#This Row],[Cde_Prdt]], tbl_Produits[Cde_Prdt], tbl_Produits[Coût Moyen Portion]), 0)</f>
        <v>0</v>
      </c>
      <c r="I951" s="7">
        <f>tbl_Ventes[[#This Row],[Qté Vendue]] * tbl_Ventes[[#This Row],[CMP_par_portion]]</f>
        <v>0</v>
      </c>
      <c r="J951" s="7">
        <f>tbl_Ventes[[#This Row],[CA ligne]] - tbl_Ventes[[#This Row],[Coût matière ligne]]</f>
        <v>0</v>
      </c>
      <c r="K951" s="7" t="str">
        <f>IFERROR(INDEX(tbl_ProduitsRef[Famille], MATCH(tbl_Ventes[[#This Row],[Cde_Prdt]], tbl_Produits[Cde_Prdt], 0)), "")</f>
        <v/>
      </c>
    </row>
    <row r="952" spans="1:11" x14ac:dyDescent="0.25">
      <c r="A952" s="5"/>
      <c r="B952" s="63" t="str">
        <f>IFERROR(TEXT(tbl_Ventes[[#This Row],[Date]],"mm-aaaa"),"")</f>
        <v>01-1900</v>
      </c>
      <c r="D952" s="10" t="str">
        <f>IFERROR(
   INDEX(tbl_ProduitsRef[Cde_Prdt],MATCH(tbl_Ventes[[#This Row],[Produit]],tbl_ProduitsRef[Produit],0)),
   ""
)</f>
        <v/>
      </c>
      <c r="E952" s="7">
        <v>0</v>
      </c>
      <c r="F952" s="7" t="str">
        <f>IFERROR(
   INDEX(tbl_ProduitsRef[Prix Menu],MATCH(tbl_Ventes[[#This Row],[Produit]],tbl_ProduitsRef[Produit],0)),
   ""
)</f>
        <v/>
      </c>
      <c r="G952" s="7">
        <f>tbl_Ventes[[#This Row],[Qté Vendue]] * IFERROR(_xlfn.XLOOKUP(tbl_Ventes[[#This Row],[Cde_Prdt]], tbl_Produits[Cde_Prdt], tbl_Produits[Prix Menu]), 0)</f>
        <v>0</v>
      </c>
      <c r="H952" s="7">
        <f>IFERROR(_xlfn.XLOOKUP(tbl_Ventes[[#This Row],[Cde_Prdt]], tbl_Produits[Cde_Prdt], tbl_Produits[Coût Moyen Portion]), 0)</f>
        <v>0</v>
      </c>
      <c r="I952" s="7">
        <f>tbl_Ventes[[#This Row],[Qté Vendue]] * tbl_Ventes[[#This Row],[CMP_par_portion]]</f>
        <v>0</v>
      </c>
      <c r="J952" s="7">
        <f>tbl_Ventes[[#This Row],[CA ligne]] - tbl_Ventes[[#This Row],[Coût matière ligne]]</f>
        <v>0</v>
      </c>
      <c r="K952" s="7" t="str">
        <f>IFERROR(INDEX(tbl_ProduitsRef[Famille], MATCH(tbl_Ventes[[#This Row],[Cde_Prdt]], tbl_Produits[Cde_Prdt], 0)), "")</f>
        <v/>
      </c>
    </row>
    <row r="953" spans="1:11" x14ac:dyDescent="0.25">
      <c r="A953" s="5"/>
      <c r="B953" s="63" t="str">
        <f>IFERROR(TEXT(tbl_Ventes[[#This Row],[Date]],"mm-aaaa"),"")</f>
        <v>01-1900</v>
      </c>
      <c r="D953" s="10" t="str">
        <f>IFERROR(
   INDEX(tbl_ProduitsRef[Cde_Prdt],MATCH(tbl_Ventes[[#This Row],[Produit]],tbl_ProduitsRef[Produit],0)),
   ""
)</f>
        <v/>
      </c>
      <c r="E953" s="7">
        <v>0</v>
      </c>
      <c r="F953" s="7" t="str">
        <f>IFERROR(
   INDEX(tbl_ProduitsRef[Prix Menu],MATCH(tbl_Ventes[[#This Row],[Produit]],tbl_ProduitsRef[Produit],0)),
   ""
)</f>
        <v/>
      </c>
      <c r="G953" s="7">
        <f>tbl_Ventes[[#This Row],[Qté Vendue]] * IFERROR(_xlfn.XLOOKUP(tbl_Ventes[[#This Row],[Cde_Prdt]], tbl_Produits[Cde_Prdt], tbl_Produits[Prix Menu]), 0)</f>
        <v>0</v>
      </c>
      <c r="H953" s="7">
        <f>IFERROR(_xlfn.XLOOKUP(tbl_Ventes[[#This Row],[Cde_Prdt]], tbl_Produits[Cde_Prdt], tbl_Produits[Coût Moyen Portion]), 0)</f>
        <v>0</v>
      </c>
      <c r="I953" s="7">
        <f>tbl_Ventes[[#This Row],[Qté Vendue]] * tbl_Ventes[[#This Row],[CMP_par_portion]]</f>
        <v>0</v>
      </c>
      <c r="J953" s="7">
        <f>tbl_Ventes[[#This Row],[CA ligne]] - tbl_Ventes[[#This Row],[Coût matière ligne]]</f>
        <v>0</v>
      </c>
      <c r="K953" s="7" t="str">
        <f>IFERROR(INDEX(tbl_ProduitsRef[Famille], MATCH(tbl_Ventes[[#This Row],[Cde_Prdt]], tbl_Produits[Cde_Prdt], 0)), "")</f>
        <v/>
      </c>
    </row>
    <row r="954" spans="1:11" x14ac:dyDescent="0.25">
      <c r="A954" s="5"/>
      <c r="B954" s="63" t="str">
        <f>IFERROR(TEXT(tbl_Ventes[[#This Row],[Date]],"mm-aaaa"),"")</f>
        <v>01-1900</v>
      </c>
      <c r="D954" s="10" t="str">
        <f>IFERROR(
   INDEX(tbl_ProduitsRef[Cde_Prdt],MATCH(tbl_Ventes[[#This Row],[Produit]],tbl_ProduitsRef[Produit],0)),
   ""
)</f>
        <v/>
      </c>
      <c r="E954" s="7">
        <v>0</v>
      </c>
      <c r="F954" s="7" t="str">
        <f>IFERROR(
   INDEX(tbl_ProduitsRef[Prix Menu],MATCH(tbl_Ventes[[#This Row],[Produit]],tbl_ProduitsRef[Produit],0)),
   ""
)</f>
        <v/>
      </c>
      <c r="G954" s="7">
        <f>tbl_Ventes[[#This Row],[Qté Vendue]] * IFERROR(_xlfn.XLOOKUP(tbl_Ventes[[#This Row],[Cde_Prdt]], tbl_Produits[Cde_Prdt], tbl_Produits[Prix Menu]), 0)</f>
        <v>0</v>
      </c>
      <c r="H954" s="7">
        <f>IFERROR(_xlfn.XLOOKUP(tbl_Ventes[[#This Row],[Cde_Prdt]], tbl_Produits[Cde_Prdt], tbl_Produits[Coût Moyen Portion]), 0)</f>
        <v>0</v>
      </c>
      <c r="I954" s="7">
        <f>tbl_Ventes[[#This Row],[Qté Vendue]] * tbl_Ventes[[#This Row],[CMP_par_portion]]</f>
        <v>0</v>
      </c>
      <c r="J954" s="7">
        <f>tbl_Ventes[[#This Row],[CA ligne]] - tbl_Ventes[[#This Row],[Coût matière ligne]]</f>
        <v>0</v>
      </c>
      <c r="K954" s="7" t="str">
        <f>IFERROR(INDEX(tbl_ProduitsRef[Famille], MATCH(tbl_Ventes[[#This Row],[Cde_Prdt]], tbl_Produits[Cde_Prdt], 0)), "")</f>
        <v/>
      </c>
    </row>
    <row r="955" spans="1:11" x14ac:dyDescent="0.25">
      <c r="A955" s="5"/>
      <c r="B955" s="63" t="str">
        <f>IFERROR(TEXT(tbl_Ventes[[#This Row],[Date]],"mm-aaaa"),"")</f>
        <v>01-1900</v>
      </c>
      <c r="D955" s="10" t="str">
        <f>IFERROR(
   INDEX(tbl_ProduitsRef[Cde_Prdt],MATCH(tbl_Ventes[[#This Row],[Produit]],tbl_ProduitsRef[Produit],0)),
   ""
)</f>
        <v/>
      </c>
      <c r="E955" s="7">
        <v>0</v>
      </c>
      <c r="F955" s="7" t="str">
        <f>IFERROR(
   INDEX(tbl_ProduitsRef[Prix Menu],MATCH(tbl_Ventes[[#This Row],[Produit]],tbl_ProduitsRef[Produit],0)),
   ""
)</f>
        <v/>
      </c>
      <c r="G955" s="7">
        <f>tbl_Ventes[[#This Row],[Qté Vendue]] * IFERROR(_xlfn.XLOOKUP(tbl_Ventes[[#This Row],[Cde_Prdt]], tbl_Produits[Cde_Prdt], tbl_Produits[Prix Menu]), 0)</f>
        <v>0</v>
      </c>
      <c r="H955" s="7">
        <f>IFERROR(_xlfn.XLOOKUP(tbl_Ventes[[#This Row],[Cde_Prdt]], tbl_Produits[Cde_Prdt], tbl_Produits[Coût Moyen Portion]), 0)</f>
        <v>0</v>
      </c>
      <c r="I955" s="7">
        <f>tbl_Ventes[[#This Row],[Qté Vendue]] * tbl_Ventes[[#This Row],[CMP_par_portion]]</f>
        <v>0</v>
      </c>
      <c r="J955" s="7">
        <f>tbl_Ventes[[#This Row],[CA ligne]] - tbl_Ventes[[#This Row],[Coût matière ligne]]</f>
        <v>0</v>
      </c>
      <c r="K955" s="7" t="str">
        <f>IFERROR(INDEX(tbl_ProduitsRef[Famille], MATCH(tbl_Ventes[[#This Row],[Cde_Prdt]], tbl_Produits[Cde_Prdt], 0)), "")</f>
        <v/>
      </c>
    </row>
    <row r="956" spans="1:11" x14ac:dyDescent="0.25">
      <c r="A956" s="5"/>
      <c r="B956" s="63" t="str">
        <f>IFERROR(TEXT(tbl_Ventes[[#This Row],[Date]],"mm-aaaa"),"")</f>
        <v>01-1900</v>
      </c>
      <c r="D956" s="10" t="str">
        <f>IFERROR(
   INDEX(tbl_ProduitsRef[Cde_Prdt],MATCH(tbl_Ventes[[#This Row],[Produit]],tbl_ProduitsRef[Produit],0)),
   ""
)</f>
        <v/>
      </c>
      <c r="E956" s="7">
        <v>0</v>
      </c>
      <c r="F956" s="7" t="str">
        <f>IFERROR(
   INDEX(tbl_ProduitsRef[Prix Menu],MATCH(tbl_Ventes[[#This Row],[Produit]],tbl_ProduitsRef[Produit],0)),
   ""
)</f>
        <v/>
      </c>
      <c r="G956" s="7">
        <f>tbl_Ventes[[#This Row],[Qté Vendue]] * IFERROR(_xlfn.XLOOKUP(tbl_Ventes[[#This Row],[Cde_Prdt]], tbl_Produits[Cde_Prdt], tbl_Produits[Prix Menu]), 0)</f>
        <v>0</v>
      </c>
      <c r="H956" s="7">
        <f>IFERROR(_xlfn.XLOOKUP(tbl_Ventes[[#This Row],[Cde_Prdt]], tbl_Produits[Cde_Prdt], tbl_Produits[Coût Moyen Portion]), 0)</f>
        <v>0</v>
      </c>
      <c r="I956" s="7">
        <f>tbl_Ventes[[#This Row],[Qté Vendue]] * tbl_Ventes[[#This Row],[CMP_par_portion]]</f>
        <v>0</v>
      </c>
      <c r="J956" s="7">
        <f>tbl_Ventes[[#This Row],[CA ligne]] - tbl_Ventes[[#This Row],[Coût matière ligne]]</f>
        <v>0</v>
      </c>
      <c r="K956" s="7" t="str">
        <f>IFERROR(INDEX(tbl_ProduitsRef[Famille], MATCH(tbl_Ventes[[#This Row],[Cde_Prdt]], tbl_Produits[Cde_Prdt], 0)), "")</f>
        <v/>
      </c>
    </row>
    <row r="957" spans="1:11" x14ac:dyDescent="0.25">
      <c r="A957" s="5"/>
      <c r="B957" s="63" t="str">
        <f>IFERROR(TEXT(tbl_Ventes[[#This Row],[Date]],"mm-aaaa"),"")</f>
        <v>01-1900</v>
      </c>
      <c r="D957" s="10" t="str">
        <f>IFERROR(
   INDEX(tbl_ProduitsRef[Cde_Prdt],MATCH(tbl_Ventes[[#This Row],[Produit]],tbl_ProduitsRef[Produit],0)),
   ""
)</f>
        <v/>
      </c>
      <c r="E957" s="7">
        <v>0</v>
      </c>
      <c r="F957" s="7" t="str">
        <f>IFERROR(
   INDEX(tbl_ProduitsRef[Prix Menu],MATCH(tbl_Ventes[[#This Row],[Produit]],tbl_ProduitsRef[Produit],0)),
   ""
)</f>
        <v/>
      </c>
      <c r="G957" s="7">
        <f>tbl_Ventes[[#This Row],[Qté Vendue]] * IFERROR(_xlfn.XLOOKUP(tbl_Ventes[[#This Row],[Cde_Prdt]], tbl_Produits[Cde_Prdt], tbl_Produits[Prix Menu]), 0)</f>
        <v>0</v>
      </c>
      <c r="H957" s="7">
        <f>IFERROR(_xlfn.XLOOKUP(tbl_Ventes[[#This Row],[Cde_Prdt]], tbl_Produits[Cde_Prdt], tbl_Produits[Coût Moyen Portion]), 0)</f>
        <v>0</v>
      </c>
      <c r="I957" s="7">
        <f>tbl_Ventes[[#This Row],[Qté Vendue]] * tbl_Ventes[[#This Row],[CMP_par_portion]]</f>
        <v>0</v>
      </c>
      <c r="J957" s="7">
        <f>tbl_Ventes[[#This Row],[CA ligne]] - tbl_Ventes[[#This Row],[Coût matière ligne]]</f>
        <v>0</v>
      </c>
      <c r="K957" s="7" t="str">
        <f>IFERROR(INDEX(tbl_ProduitsRef[Famille], MATCH(tbl_Ventes[[#This Row],[Cde_Prdt]], tbl_Produits[Cde_Prdt], 0)), "")</f>
        <v/>
      </c>
    </row>
    <row r="958" spans="1:11" x14ac:dyDescent="0.25">
      <c r="A958" s="5"/>
      <c r="B958" s="63" t="str">
        <f>IFERROR(TEXT(tbl_Ventes[[#This Row],[Date]],"mm-aaaa"),"")</f>
        <v>01-1900</v>
      </c>
      <c r="D958" s="10" t="str">
        <f>IFERROR(
   INDEX(tbl_ProduitsRef[Cde_Prdt],MATCH(tbl_Ventes[[#This Row],[Produit]],tbl_ProduitsRef[Produit],0)),
   ""
)</f>
        <v/>
      </c>
      <c r="E958" s="7">
        <v>0</v>
      </c>
      <c r="F958" s="7" t="str">
        <f>IFERROR(
   INDEX(tbl_ProduitsRef[Prix Menu],MATCH(tbl_Ventes[[#This Row],[Produit]],tbl_ProduitsRef[Produit],0)),
   ""
)</f>
        <v/>
      </c>
      <c r="G958" s="7">
        <f>tbl_Ventes[[#This Row],[Qté Vendue]] * IFERROR(_xlfn.XLOOKUP(tbl_Ventes[[#This Row],[Cde_Prdt]], tbl_Produits[Cde_Prdt], tbl_Produits[Prix Menu]), 0)</f>
        <v>0</v>
      </c>
      <c r="H958" s="7">
        <f>IFERROR(_xlfn.XLOOKUP(tbl_Ventes[[#This Row],[Cde_Prdt]], tbl_Produits[Cde_Prdt], tbl_Produits[Coût Moyen Portion]), 0)</f>
        <v>0</v>
      </c>
      <c r="I958" s="7">
        <f>tbl_Ventes[[#This Row],[Qté Vendue]] * tbl_Ventes[[#This Row],[CMP_par_portion]]</f>
        <v>0</v>
      </c>
      <c r="J958" s="7">
        <f>tbl_Ventes[[#This Row],[CA ligne]] - tbl_Ventes[[#This Row],[Coût matière ligne]]</f>
        <v>0</v>
      </c>
      <c r="K958" s="7" t="str">
        <f>IFERROR(INDEX(tbl_ProduitsRef[Famille], MATCH(tbl_Ventes[[#This Row],[Cde_Prdt]], tbl_Produits[Cde_Prdt], 0)), "")</f>
        <v/>
      </c>
    </row>
    <row r="959" spans="1:11" x14ac:dyDescent="0.25">
      <c r="A959" s="5"/>
      <c r="B959" s="63" t="str">
        <f>IFERROR(TEXT(tbl_Ventes[[#This Row],[Date]],"mm-aaaa"),"")</f>
        <v>01-1900</v>
      </c>
      <c r="D959" s="10" t="str">
        <f>IFERROR(
   INDEX(tbl_ProduitsRef[Cde_Prdt],MATCH(tbl_Ventes[[#This Row],[Produit]],tbl_ProduitsRef[Produit],0)),
   ""
)</f>
        <v/>
      </c>
      <c r="E959" s="7">
        <v>0</v>
      </c>
      <c r="F959" s="7" t="str">
        <f>IFERROR(
   INDEX(tbl_ProduitsRef[Prix Menu],MATCH(tbl_Ventes[[#This Row],[Produit]],tbl_ProduitsRef[Produit],0)),
   ""
)</f>
        <v/>
      </c>
      <c r="G959" s="7">
        <f>tbl_Ventes[[#This Row],[Qté Vendue]] * IFERROR(_xlfn.XLOOKUP(tbl_Ventes[[#This Row],[Cde_Prdt]], tbl_Produits[Cde_Prdt], tbl_Produits[Prix Menu]), 0)</f>
        <v>0</v>
      </c>
      <c r="H959" s="7">
        <f>IFERROR(_xlfn.XLOOKUP(tbl_Ventes[[#This Row],[Cde_Prdt]], tbl_Produits[Cde_Prdt], tbl_Produits[Coût Moyen Portion]), 0)</f>
        <v>0</v>
      </c>
      <c r="I959" s="7">
        <f>tbl_Ventes[[#This Row],[Qté Vendue]] * tbl_Ventes[[#This Row],[CMP_par_portion]]</f>
        <v>0</v>
      </c>
      <c r="J959" s="7">
        <f>tbl_Ventes[[#This Row],[CA ligne]] - tbl_Ventes[[#This Row],[Coût matière ligne]]</f>
        <v>0</v>
      </c>
      <c r="K959" s="7" t="str">
        <f>IFERROR(INDEX(tbl_ProduitsRef[Famille], MATCH(tbl_Ventes[[#This Row],[Cde_Prdt]], tbl_Produits[Cde_Prdt], 0)), "")</f>
        <v/>
      </c>
    </row>
    <row r="960" spans="1:11" x14ac:dyDescent="0.25">
      <c r="A960" s="5"/>
      <c r="B960" s="63" t="str">
        <f>IFERROR(TEXT(tbl_Ventes[[#This Row],[Date]],"mm-aaaa"),"")</f>
        <v>01-1900</v>
      </c>
      <c r="D960" s="10" t="str">
        <f>IFERROR(
   INDEX(tbl_ProduitsRef[Cde_Prdt],MATCH(tbl_Ventes[[#This Row],[Produit]],tbl_ProduitsRef[Produit],0)),
   ""
)</f>
        <v/>
      </c>
      <c r="E960" s="7">
        <v>0</v>
      </c>
      <c r="F960" s="7" t="str">
        <f>IFERROR(
   INDEX(tbl_ProduitsRef[Prix Menu],MATCH(tbl_Ventes[[#This Row],[Produit]],tbl_ProduitsRef[Produit],0)),
   ""
)</f>
        <v/>
      </c>
      <c r="G960" s="7">
        <f>tbl_Ventes[[#This Row],[Qté Vendue]] * IFERROR(_xlfn.XLOOKUP(tbl_Ventes[[#This Row],[Cde_Prdt]], tbl_Produits[Cde_Prdt], tbl_Produits[Prix Menu]), 0)</f>
        <v>0</v>
      </c>
      <c r="H960" s="7">
        <f>IFERROR(_xlfn.XLOOKUP(tbl_Ventes[[#This Row],[Cde_Prdt]], tbl_Produits[Cde_Prdt], tbl_Produits[Coût Moyen Portion]), 0)</f>
        <v>0</v>
      </c>
      <c r="I960" s="7">
        <f>tbl_Ventes[[#This Row],[Qté Vendue]] * tbl_Ventes[[#This Row],[CMP_par_portion]]</f>
        <v>0</v>
      </c>
      <c r="J960" s="7">
        <f>tbl_Ventes[[#This Row],[CA ligne]] - tbl_Ventes[[#This Row],[Coût matière ligne]]</f>
        <v>0</v>
      </c>
      <c r="K960" s="7" t="str">
        <f>IFERROR(INDEX(tbl_ProduitsRef[Famille], MATCH(tbl_Ventes[[#This Row],[Cde_Prdt]], tbl_Produits[Cde_Prdt], 0)), "")</f>
        <v/>
      </c>
    </row>
    <row r="961" spans="1:11" x14ac:dyDescent="0.25">
      <c r="A961" s="5"/>
      <c r="B961" s="63" t="str">
        <f>IFERROR(TEXT(tbl_Ventes[[#This Row],[Date]],"mm-aaaa"),"")</f>
        <v>01-1900</v>
      </c>
      <c r="D961" s="10" t="str">
        <f>IFERROR(
   INDEX(tbl_ProduitsRef[Cde_Prdt],MATCH(tbl_Ventes[[#This Row],[Produit]],tbl_ProduitsRef[Produit],0)),
   ""
)</f>
        <v/>
      </c>
      <c r="E961" s="7">
        <v>0</v>
      </c>
      <c r="F961" s="7" t="str">
        <f>IFERROR(
   INDEX(tbl_ProduitsRef[Prix Menu],MATCH(tbl_Ventes[[#This Row],[Produit]],tbl_ProduitsRef[Produit],0)),
   ""
)</f>
        <v/>
      </c>
      <c r="G961" s="7">
        <f>tbl_Ventes[[#This Row],[Qté Vendue]] * IFERROR(_xlfn.XLOOKUP(tbl_Ventes[[#This Row],[Cde_Prdt]], tbl_Produits[Cde_Prdt], tbl_Produits[Prix Menu]), 0)</f>
        <v>0</v>
      </c>
      <c r="H961" s="7">
        <f>IFERROR(_xlfn.XLOOKUP(tbl_Ventes[[#This Row],[Cde_Prdt]], tbl_Produits[Cde_Prdt], tbl_Produits[Coût Moyen Portion]), 0)</f>
        <v>0</v>
      </c>
      <c r="I961" s="7">
        <f>tbl_Ventes[[#This Row],[Qté Vendue]] * tbl_Ventes[[#This Row],[CMP_par_portion]]</f>
        <v>0</v>
      </c>
      <c r="J961" s="7">
        <f>tbl_Ventes[[#This Row],[CA ligne]] - tbl_Ventes[[#This Row],[Coût matière ligne]]</f>
        <v>0</v>
      </c>
      <c r="K961" s="7" t="str">
        <f>IFERROR(INDEX(tbl_ProduitsRef[Famille], MATCH(tbl_Ventes[[#This Row],[Cde_Prdt]], tbl_Produits[Cde_Prdt], 0)), "")</f>
        <v/>
      </c>
    </row>
    <row r="962" spans="1:11" x14ac:dyDescent="0.25">
      <c r="A962" s="5"/>
      <c r="B962" s="63" t="str">
        <f>IFERROR(TEXT(tbl_Ventes[[#This Row],[Date]],"mm-aaaa"),"")</f>
        <v>01-1900</v>
      </c>
      <c r="D962" s="10" t="str">
        <f>IFERROR(
   INDEX(tbl_ProduitsRef[Cde_Prdt],MATCH(tbl_Ventes[[#This Row],[Produit]],tbl_ProduitsRef[Produit],0)),
   ""
)</f>
        <v/>
      </c>
      <c r="E962" s="7">
        <v>0</v>
      </c>
      <c r="F962" s="7" t="str">
        <f>IFERROR(
   INDEX(tbl_ProduitsRef[Prix Menu],MATCH(tbl_Ventes[[#This Row],[Produit]],tbl_ProduitsRef[Produit],0)),
   ""
)</f>
        <v/>
      </c>
      <c r="G962" s="7">
        <f>tbl_Ventes[[#This Row],[Qté Vendue]] * IFERROR(_xlfn.XLOOKUP(tbl_Ventes[[#This Row],[Cde_Prdt]], tbl_Produits[Cde_Prdt], tbl_Produits[Prix Menu]), 0)</f>
        <v>0</v>
      </c>
      <c r="H962" s="7">
        <f>IFERROR(_xlfn.XLOOKUP(tbl_Ventes[[#This Row],[Cde_Prdt]], tbl_Produits[Cde_Prdt], tbl_Produits[Coût Moyen Portion]), 0)</f>
        <v>0</v>
      </c>
      <c r="I962" s="7">
        <f>tbl_Ventes[[#This Row],[Qté Vendue]] * tbl_Ventes[[#This Row],[CMP_par_portion]]</f>
        <v>0</v>
      </c>
      <c r="J962" s="7">
        <f>tbl_Ventes[[#This Row],[CA ligne]] - tbl_Ventes[[#This Row],[Coût matière ligne]]</f>
        <v>0</v>
      </c>
      <c r="K962" s="7" t="str">
        <f>IFERROR(INDEX(tbl_ProduitsRef[Famille], MATCH(tbl_Ventes[[#This Row],[Cde_Prdt]], tbl_Produits[Cde_Prdt], 0)), "")</f>
        <v/>
      </c>
    </row>
    <row r="963" spans="1:11" x14ac:dyDescent="0.25">
      <c r="A963" s="5"/>
      <c r="B963" s="63" t="str">
        <f>IFERROR(TEXT(tbl_Ventes[[#This Row],[Date]],"mm-aaaa"),"")</f>
        <v>01-1900</v>
      </c>
      <c r="D963" s="10" t="str">
        <f>IFERROR(
   INDEX(tbl_ProduitsRef[Cde_Prdt],MATCH(tbl_Ventes[[#This Row],[Produit]],tbl_ProduitsRef[Produit],0)),
   ""
)</f>
        <v/>
      </c>
      <c r="E963" s="7">
        <v>0</v>
      </c>
      <c r="F963" s="7" t="str">
        <f>IFERROR(
   INDEX(tbl_ProduitsRef[Prix Menu],MATCH(tbl_Ventes[[#This Row],[Produit]],tbl_ProduitsRef[Produit],0)),
   ""
)</f>
        <v/>
      </c>
      <c r="G963" s="7">
        <f>tbl_Ventes[[#This Row],[Qté Vendue]] * IFERROR(_xlfn.XLOOKUP(tbl_Ventes[[#This Row],[Cde_Prdt]], tbl_Produits[Cde_Prdt], tbl_Produits[Prix Menu]), 0)</f>
        <v>0</v>
      </c>
      <c r="H963" s="7">
        <f>IFERROR(_xlfn.XLOOKUP(tbl_Ventes[[#This Row],[Cde_Prdt]], tbl_Produits[Cde_Prdt], tbl_Produits[Coût Moyen Portion]), 0)</f>
        <v>0</v>
      </c>
      <c r="I963" s="7">
        <f>tbl_Ventes[[#This Row],[Qté Vendue]] * tbl_Ventes[[#This Row],[CMP_par_portion]]</f>
        <v>0</v>
      </c>
      <c r="J963" s="7">
        <f>tbl_Ventes[[#This Row],[CA ligne]] - tbl_Ventes[[#This Row],[Coût matière ligne]]</f>
        <v>0</v>
      </c>
      <c r="K963" s="7" t="str">
        <f>IFERROR(INDEX(tbl_ProduitsRef[Famille], MATCH(tbl_Ventes[[#This Row],[Cde_Prdt]], tbl_Produits[Cde_Prdt], 0)), "")</f>
        <v/>
      </c>
    </row>
    <row r="964" spans="1:11" x14ac:dyDescent="0.25">
      <c r="A964" s="5"/>
      <c r="B964" s="63" t="str">
        <f>IFERROR(TEXT(tbl_Ventes[[#This Row],[Date]],"mm-aaaa"),"")</f>
        <v>01-1900</v>
      </c>
      <c r="D964" s="10" t="str">
        <f>IFERROR(
   INDEX(tbl_ProduitsRef[Cde_Prdt],MATCH(tbl_Ventes[[#This Row],[Produit]],tbl_ProduitsRef[Produit],0)),
   ""
)</f>
        <v/>
      </c>
      <c r="E964" s="7">
        <v>0</v>
      </c>
      <c r="F964" s="7" t="str">
        <f>IFERROR(
   INDEX(tbl_ProduitsRef[Prix Menu],MATCH(tbl_Ventes[[#This Row],[Produit]],tbl_ProduitsRef[Produit],0)),
   ""
)</f>
        <v/>
      </c>
      <c r="G964" s="7">
        <f>tbl_Ventes[[#This Row],[Qté Vendue]] * IFERROR(_xlfn.XLOOKUP(tbl_Ventes[[#This Row],[Cde_Prdt]], tbl_Produits[Cde_Prdt], tbl_Produits[Prix Menu]), 0)</f>
        <v>0</v>
      </c>
      <c r="H964" s="7">
        <f>IFERROR(_xlfn.XLOOKUP(tbl_Ventes[[#This Row],[Cde_Prdt]], tbl_Produits[Cde_Prdt], tbl_Produits[Coût Moyen Portion]), 0)</f>
        <v>0</v>
      </c>
      <c r="I964" s="7">
        <f>tbl_Ventes[[#This Row],[Qté Vendue]] * tbl_Ventes[[#This Row],[CMP_par_portion]]</f>
        <v>0</v>
      </c>
      <c r="J964" s="7">
        <f>tbl_Ventes[[#This Row],[CA ligne]] - tbl_Ventes[[#This Row],[Coût matière ligne]]</f>
        <v>0</v>
      </c>
      <c r="K964" s="7" t="str">
        <f>IFERROR(INDEX(tbl_ProduitsRef[Famille], MATCH(tbl_Ventes[[#This Row],[Cde_Prdt]], tbl_Produits[Cde_Prdt], 0)), "")</f>
        <v/>
      </c>
    </row>
    <row r="965" spans="1:11" x14ac:dyDescent="0.25">
      <c r="A965" s="5"/>
      <c r="B965" s="63" t="str">
        <f>IFERROR(TEXT(tbl_Ventes[[#This Row],[Date]],"mm-aaaa"),"")</f>
        <v>01-1900</v>
      </c>
      <c r="D965" s="10" t="str">
        <f>IFERROR(
   INDEX(tbl_ProduitsRef[Cde_Prdt],MATCH(tbl_Ventes[[#This Row],[Produit]],tbl_ProduitsRef[Produit],0)),
   ""
)</f>
        <v/>
      </c>
      <c r="E965" s="7">
        <v>0</v>
      </c>
      <c r="F965" s="7" t="str">
        <f>IFERROR(
   INDEX(tbl_ProduitsRef[Prix Menu],MATCH(tbl_Ventes[[#This Row],[Produit]],tbl_ProduitsRef[Produit],0)),
   ""
)</f>
        <v/>
      </c>
      <c r="G965" s="7">
        <f>tbl_Ventes[[#This Row],[Qté Vendue]] * IFERROR(_xlfn.XLOOKUP(tbl_Ventes[[#This Row],[Cde_Prdt]], tbl_Produits[Cde_Prdt], tbl_Produits[Prix Menu]), 0)</f>
        <v>0</v>
      </c>
      <c r="H965" s="7">
        <f>IFERROR(_xlfn.XLOOKUP(tbl_Ventes[[#This Row],[Cde_Prdt]], tbl_Produits[Cde_Prdt], tbl_Produits[Coût Moyen Portion]), 0)</f>
        <v>0</v>
      </c>
      <c r="I965" s="7">
        <f>tbl_Ventes[[#This Row],[Qté Vendue]] * tbl_Ventes[[#This Row],[CMP_par_portion]]</f>
        <v>0</v>
      </c>
      <c r="J965" s="7">
        <f>tbl_Ventes[[#This Row],[CA ligne]] - tbl_Ventes[[#This Row],[Coût matière ligne]]</f>
        <v>0</v>
      </c>
      <c r="K965" s="7" t="str">
        <f>IFERROR(INDEX(tbl_ProduitsRef[Famille], MATCH(tbl_Ventes[[#This Row],[Cde_Prdt]], tbl_Produits[Cde_Prdt], 0)), "")</f>
        <v/>
      </c>
    </row>
    <row r="966" spans="1:11" x14ac:dyDescent="0.25">
      <c r="A966" s="5"/>
      <c r="B966" s="63" t="str">
        <f>IFERROR(TEXT(tbl_Ventes[[#This Row],[Date]],"mm-aaaa"),"")</f>
        <v>01-1900</v>
      </c>
      <c r="D966" s="10" t="str">
        <f>IFERROR(
   INDEX(tbl_ProduitsRef[Cde_Prdt],MATCH(tbl_Ventes[[#This Row],[Produit]],tbl_ProduitsRef[Produit],0)),
   ""
)</f>
        <v/>
      </c>
      <c r="E966" s="7">
        <v>0</v>
      </c>
      <c r="F966" s="7" t="str">
        <f>IFERROR(
   INDEX(tbl_ProduitsRef[Prix Menu],MATCH(tbl_Ventes[[#This Row],[Produit]],tbl_ProduitsRef[Produit],0)),
   ""
)</f>
        <v/>
      </c>
      <c r="G966" s="7">
        <f>tbl_Ventes[[#This Row],[Qté Vendue]] * IFERROR(_xlfn.XLOOKUP(tbl_Ventes[[#This Row],[Cde_Prdt]], tbl_Produits[Cde_Prdt], tbl_Produits[Prix Menu]), 0)</f>
        <v>0</v>
      </c>
      <c r="H966" s="7">
        <f>IFERROR(_xlfn.XLOOKUP(tbl_Ventes[[#This Row],[Cde_Prdt]], tbl_Produits[Cde_Prdt], tbl_Produits[Coût Moyen Portion]), 0)</f>
        <v>0</v>
      </c>
      <c r="I966" s="7">
        <f>tbl_Ventes[[#This Row],[Qté Vendue]] * tbl_Ventes[[#This Row],[CMP_par_portion]]</f>
        <v>0</v>
      </c>
      <c r="J966" s="7">
        <f>tbl_Ventes[[#This Row],[CA ligne]] - tbl_Ventes[[#This Row],[Coût matière ligne]]</f>
        <v>0</v>
      </c>
      <c r="K966" s="7" t="str">
        <f>IFERROR(INDEX(tbl_ProduitsRef[Famille], MATCH(tbl_Ventes[[#This Row],[Cde_Prdt]], tbl_Produits[Cde_Prdt], 0)), "")</f>
        <v/>
      </c>
    </row>
    <row r="967" spans="1:11" x14ac:dyDescent="0.25">
      <c r="A967" s="5"/>
      <c r="B967" s="63" t="str">
        <f>IFERROR(TEXT(tbl_Ventes[[#This Row],[Date]],"mm-aaaa"),"")</f>
        <v>01-1900</v>
      </c>
      <c r="D967" s="10" t="str">
        <f>IFERROR(
   INDEX(tbl_ProduitsRef[Cde_Prdt],MATCH(tbl_Ventes[[#This Row],[Produit]],tbl_ProduitsRef[Produit],0)),
   ""
)</f>
        <v/>
      </c>
      <c r="E967" s="7">
        <v>0</v>
      </c>
      <c r="F967" s="7" t="str">
        <f>IFERROR(
   INDEX(tbl_ProduitsRef[Prix Menu],MATCH(tbl_Ventes[[#This Row],[Produit]],tbl_ProduitsRef[Produit],0)),
   ""
)</f>
        <v/>
      </c>
      <c r="G967" s="7">
        <f>tbl_Ventes[[#This Row],[Qté Vendue]] * IFERROR(_xlfn.XLOOKUP(tbl_Ventes[[#This Row],[Cde_Prdt]], tbl_Produits[Cde_Prdt], tbl_Produits[Prix Menu]), 0)</f>
        <v>0</v>
      </c>
      <c r="H967" s="7">
        <f>IFERROR(_xlfn.XLOOKUP(tbl_Ventes[[#This Row],[Cde_Prdt]], tbl_Produits[Cde_Prdt], tbl_Produits[Coût Moyen Portion]), 0)</f>
        <v>0</v>
      </c>
      <c r="I967" s="7">
        <f>tbl_Ventes[[#This Row],[Qté Vendue]] * tbl_Ventes[[#This Row],[CMP_par_portion]]</f>
        <v>0</v>
      </c>
      <c r="J967" s="7">
        <f>tbl_Ventes[[#This Row],[CA ligne]] - tbl_Ventes[[#This Row],[Coût matière ligne]]</f>
        <v>0</v>
      </c>
      <c r="K967" s="7" t="str">
        <f>IFERROR(INDEX(tbl_ProduitsRef[Famille], MATCH(tbl_Ventes[[#This Row],[Cde_Prdt]], tbl_Produits[Cde_Prdt], 0)), "")</f>
        <v/>
      </c>
    </row>
    <row r="968" spans="1:11" x14ac:dyDescent="0.25">
      <c r="A968" s="5"/>
      <c r="B968" s="63" t="str">
        <f>IFERROR(TEXT(tbl_Ventes[[#This Row],[Date]],"mm-aaaa"),"")</f>
        <v>01-1900</v>
      </c>
      <c r="D968" s="10" t="str">
        <f>IFERROR(
   INDEX(tbl_ProduitsRef[Cde_Prdt],MATCH(tbl_Ventes[[#This Row],[Produit]],tbl_ProduitsRef[Produit],0)),
   ""
)</f>
        <v/>
      </c>
      <c r="E968" s="7">
        <v>0</v>
      </c>
      <c r="F968" s="7" t="str">
        <f>IFERROR(
   INDEX(tbl_ProduitsRef[Prix Menu],MATCH(tbl_Ventes[[#This Row],[Produit]],tbl_ProduitsRef[Produit],0)),
   ""
)</f>
        <v/>
      </c>
      <c r="G968" s="7">
        <f>tbl_Ventes[[#This Row],[Qté Vendue]] * IFERROR(_xlfn.XLOOKUP(tbl_Ventes[[#This Row],[Cde_Prdt]], tbl_Produits[Cde_Prdt], tbl_Produits[Prix Menu]), 0)</f>
        <v>0</v>
      </c>
      <c r="H968" s="7">
        <f>IFERROR(_xlfn.XLOOKUP(tbl_Ventes[[#This Row],[Cde_Prdt]], tbl_Produits[Cde_Prdt], tbl_Produits[Coût Moyen Portion]), 0)</f>
        <v>0</v>
      </c>
      <c r="I968" s="7">
        <f>tbl_Ventes[[#This Row],[Qté Vendue]] * tbl_Ventes[[#This Row],[CMP_par_portion]]</f>
        <v>0</v>
      </c>
      <c r="J968" s="7">
        <f>tbl_Ventes[[#This Row],[CA ligne]] - tbl_Ventes[[#This Row],[Coût matière ligne]]</f>
        <v>0</v>
      </c>
      <c r="K968" s="7" t="str">
        <f>IFERROR(INDEX(tbl_ProduitsRef[Famille], MATCH(tbl_Ventes[[#This Row],[Cde_Prdt]], tbl_Produits[Cde_Prdt], 0)), "")</f>
        <v/>
      </c>
    </row>
    <row r="969" spans="1:11" x14ac:dyDescent="0.25">
      <c r="A969" s="5"/>
      <c r="B969" s="63" t="str">
        <f>IFERROR(TEXT(tbl_Ventes[[#This Row],[Date]],"mm-aaaa"),"")</f>
        <v>01-1900</v>
      </c>
      <c r="D969" s="10" t="str">
        <f>IFERROR(
   INDEX(tbl_ProduitsRef[Cde_Prdt],MATCH(tbl_Ventes[[#This Row],[Produit]],tbl_ProduitsRef[Produit],0)),
   ""
)</f>
        <v/>
      </c>
      <c r="E969" s="7">
        <v>0</v>
      </c>
      <c r="F969" s="7" t="str">
        <f>IFERROR(
   INDEX(tbl_ProduitsRef[Prix Menu],MATCH(tbl_Ventes[[#This Row],[Produit]],tbl_ProduitsRef[Produit],0)),
   ""
)</f>
        <v/>
      </c>
      <c r="G969" s="7">
        <f>tbl_Ventes[[#This Row],[Qté Vendue]] * IFERROR(_xlfn.XLOOKUP(tbl_Ventes[[#This Row],[Cde_Prdt]], tbl_Produits[Cde_Prdt], tbl_Produits[Prix Menu]), 0)</f>
        <v>0</v>
      </c>
      <c r="H969" s="7">
        <f>IFERROR(_xlfn.XLOOKUP(tbl_Ventes[[#This Row],[Cde_Prdt]], tbl_Produits[Cde_Prdt], tbl_Produits[Coût Moyen Portion]), 0)</f>
        <v>0</v>
      </c>
      <c r="I969" s="7">
        <f>tbl_Ventes[[#This Row],[Qté Vendue]] * tbl_Ventes[[#This Row],[CMP_par_portion]]</f>
        <v>0</v>
      </c>
      <c r="J969" s="7">
        <f>tbl_Ventes[[#This Row],[CA ligne]] - tbl_Ventes[[#This Row],[Coût matière ligne]]</f>
        <v>0</v>
      </c>
      <c r="K969" s="7" t="str">
        <f>IFERROR(INDEX(tbl_ProduitsRef[Famille], MATCH(tbl_Ventes[[#This Row],[Cde_Prdt]], tbl_Produits[Cde_Prdt], 0)), "")</f>
        <v/>
      </c>
    </row>
    <row r="970" spans="1:11" x14ac:dyDescent="0.25">
      <c r="A970" s="5"/>
      <c r="B970" s="63" t="str">
        <f>IFERROR(TEXT(tbl_Ventes[[#This Row],[Date]],"mm-aaaa"),"")</f>
        <v>01-1900</v>
      </c>
      <c r="D970" s="10" t="str">
        <f>IFERROR(
   INDEX(tbl_ProduitsRef[Cde_Prdt],MATCH(tbl_Ventes[[#This Row],[Produit]],tbl_ProduitsRef[Produit],0)),
   ""
)</f>
        <v/>
      </c>
      <c r="E970" s="7">
        <v>0</v>
      </c>
      <c r="F970" s="7" t="str">
        <f>IFERROR(
   INDEX(tbl_ProduitsRef[Prix Menu],MATCH(tbl_Ventes[[#This Row],[Produit]],tbl_ProduitsRef[Produit],0)),
   ""
)</f>
        <v/>
      </c>
      <c r="G970" s="7">
        <f>tbl_Ventes[[#This Row],[Qté Vendue]] * IFERROR(_xlfn.XLOOKUP(tbl_Ventes[[#This Row],[Cde_Prdt]], tbl_Produits[Cde_Prdt], tbl_Produits[Prix Menu]), 0)</f>
        <v>0</v>
      </c>
      <c r="H970" s="7">
        <f>IFERROR(_xlfn.XLOOKUP(tbl_Ventes[[#This Row],[Cde_Prdt]], tbl_Produits[Cde_Prdt], tbl_Produits[Coût Moyen Portion]), 0)</f>
        <v>0</v>
      </c>
      <c r="I970" s="7">
        <f>tbl_Ventes[[#This Row],[Qté Vendue]] * tbl_Ventes[[#This Row],[CMP_par_portion]]</f>
        <v>0</v>
      </c>
      <c r="J970" s="7">
        <f>tbl_Ventes[[#This Row],[CA ligne]] - tbl_Ventes[[#This Row],[Coût matière ligne]]</f>
        <v>0</v>
      </c>
      <c r="K970" s="7" t="str">
        <f>IFERROR(INDEX(tbl_ProduitsRef[Famille], MATCH(tbl_Ventes[[#This Row],[Cde_Prdt]], tbl_Produits[Cde_Prdt], 0)), "")</f>
        <v/>
      </c>
    </row>
    <row r="971" spans="1:11" x14ac:dyDescent="0.25">
      <c r="A971" s="5"/>
      <c r="B971" s="63" t="str">
        <f>IFERROR(TEXT(tbl_Ventes[[#This Row],[Date]],"mm-aaaa"),"")</f>
        <v>01-1900</v>
      </c>
      <c r="D971" s="10" t="str">
        <f>IFERROR(
   INDEX(tbl_ProduitsRef[Cde_Prdt],MATCH(tbl_Ventes[[#This Row],[Produit]],tbl_ProduitsRef[Produit],0)),
   ""
)</f>
        <v/>
      </c>
      <c r="E971" s="7">
        <v>0</v>
      </c>
      <c r="F971" s="7" t="str">
        <f>IFERROR(
   INDEX(tbl_ProduitsRef[Prix Menu],MATCH(tbl_Ventes[[#This Row],[Produit]],tbl_ProduitsRef[Produit],0)),
   ""
)</f>
        <v/>
      </c>
      <c r="G971" s="7">
        <f>tbl_Ventes[[#This Row],[Qté Vendue]] * IFERROR(_xlfn.XLOOKUP(tbl_Ventes[[#This Row],[Cde_Prdt]], tbl_Produits[Cde_Prdt], tbl_Produits[Prix Menu]), 0)</f>
        <v>0</v>
      </c>
      <c r="H971" s="7">
        <f>IFERROR(_xlfn.XLOOKUP(tbl_Ventes[[#This Row],[Cde_Prdt]], tbl_Produits[Cde_Prdt], tbl_Produits[Coût Moyen Portion]), 0)</f>
        <v>0</v>
      </c>
      <c r="I971" s="7">
        <f>tbl_Ventes[[#This Row],[Qté Vendue]] * tbl_Ventes[[#This Row],[CMP_par_portion]]</f>
        <v>0</v>
      </c>
      <c r="J971" s="7">
        <f>tbl_Ventes[[#This Row],[CA ligne]] - tbl_Ventes[[#This Row],[Coût matière ligne]]</f>
        <v>0</v>
      </c>
      <c r="K971" s="7" t="str">
        <f>IFERROR(INDEX(tbl_ProduitsRef[Famille], MATCH(tbl_Ventes[[#This Row],[Cde_Prdt]], tbl_Produits[Cde_Prdt], 0)), "")</f>
        <v/>
      </c>
    </row>
    <row r="972" spans="1:11" x14ac:dyDescent="0.25">
      <c r="A972" s="5"/>
      <c r="B972" s="63" t="str">
        <f>IFERROR(TEXT(tbl_Ventes[[#This Row],[Date]],"mm-aaaa"),"")</f>
        <v>01-1900</v>
      </c>
      <c r="D972" s="10" t="str">
        <f>IFERROR(
   INDEX(tbl_ProduitsRef[Cde_Prdt],MATCH(tbl_Ventes[[#This Row],[Produit]],tbl_ProduitsRef[Produit],0)),
   ""
)</f>
        <v/>
      </c>
      <c r="E972" s="7">
        <v>0</v>
      </c>
      <c r="F972" s="7" t="str">
        <f>IFERROR(
   INDEX(tbl_ProduitsRef[Prix Menu],MATCH(tbl_Ventes[[#This Row],[Produit]],tbl_ProduitsRef[Produit],0)),
   ""
)</f>
        <v/>
      </c>
      <c r="G972" s="7">
        <f>tbl_Ventes[[#This Row],[Qté Vendue]] * IFERROR(_xlfn.XLOOKUP(tbl_Ventes[[#This Row],[Cde_Prdt]], tbl_Produits[Cde_Prdt], tbl_Produits[Prix Menu]), 0)</f>
        <v>0</v>
      </c>
      <c r="H972" s="7">
        <f>IFERROR(_xlfn.XLOOKUP(tbl_Ventes[[#This Row],[Cde_Prdt]], tbl_Produits[Cde_Prdt], tbl_Produits[Coût Moyen Portion]), 0)</f>
        <v>0</v>
      </c>
      <c r="I972" s="7">
        <f>tbl_Ventes[[#This Row],[Qté Vendue]] * tbl_Ventes[[#This Row],[CMP_par_portion]]</f>
        <v>0</v>
      </c>
      <c r="J972" s="7">
        <f>tbl_Ventes[[#This Row],[CA ligne]] - tbl_Ventes[[#This Row],[Coût matière ligne]]</f>
        <v>0</v>
      </c>
      <c r="K972" s="7" t="str">
        <f>IFERROR(INDEX(tbl_ProduitsRef[Famille], MATCH(tbl_Ventes[[#This Row],[Cde_Prdt]], tbl_Produits[Cde_Prdt], 0)), "")</f>
        <v/>
      </c>
    </row>
    <row r="973" spans="1:11" x14ac:dyDescent="0.25">
      <c r="A973" s="5"/>
      <c r="B973" s="63" t="str">
        <f>IFERROR(TEXT(tbl_Ventes[[#This Row],[Date]],"mm-aaaa"),"")</f>
        <v>01-1900</v>
      </c>
      <c r="D973" s="10" t="str">
        <f>IFERROR(
   INDEX(tbl_ProduitsRef[Cde_Prdt],MATCH(tbl_Ventes[[#This Row],[Produit]],tbl_ProduitsRef[Produit],0)),
   ""
)</f>
        <v/>
      </c>
      <c r="E973" s="7">
        <v>0</v>
      </c>
      <c r="F973" s="7" t="str">
        <f>IFERROR(
   INDEX(tbl_ProduitsRef[Prix Menu],MATCH(tbl_Ventes[[#This Row],[Produit]],tbl_ProduitsRef[Produit],0)),
   ""
)</f>
        <v/>
      </c>
      <c r="G973" s="7">
        <f>tbl_Ventes[[#This Row],[Qté Vendue]] * IFERROR(_xlfn.XLOOKUP(tbl_Ventes[[#This Row],[Cde_Prdt]], tbl_Produits[Cde_Prdt], tbl_Produits[Prix Menu]), 0)</f>
        <v>0</v>
      </c>
      <c r="H973" s="7">
        <f>IFERROR(_xlfn.XLOOKUP(tbl_Ventes[[#This Row],[Cde_Prdt]], tbl_Produits[Cde_Prdt], tbl_Produits[Coût Moyen Portion]), 0)</f>
        <v>0</v>
      </c>
      <c r="I973" s="7">
        <f>tbl_Ventes[[#This Row],[Qté Vendue]] * tbl_Ventes[[#This Row],[CMP_par_portion]]</f>
        <v>0</v>
      </c>
      <c r="J973" s="7">
        <f>tbl_Ventes[[#This Row],[CA ligne]] - tbl_Ventes[[#This Row],[Coût matière ligne]]</f>
        <v>0</v>
      </c>
      <c r="K973" s="7" t="str">
        <f>IFERROR(INDEX(tbl_ProduitsRef[Famille], MATCH(tbl_Ventes[[#This Row],[Cde_Prdt]], tbl_Produits[Cde_Prdt], 0)), "")</f>
        <v/>
      </c>
    </row>
    <row r="974" spans="1:11" x14ac:dyDescent="0.25">
      <c r="A974" s="5"/>
      <c r="B974" s="63" t="str">
        <f>IFERROR(TEXT(tbl_Ventes[[#This Row],[Date]],"mm-aaaa"),"")</f>
        <v>01-1900</v>
      </c>
      <c r="D974" s="10" t="str">
        <f>IFERROR(
   INDEX(tbl_ProduitsRef[Cde_Prdt],MATCH(tbl_Ventes[[#This Row],[Produit]],tbl_ProduitsRef[Produit],0)),
   ""
)</f>
        <v/>
      </c>
      <c r="E974" s="7">
        <v>0</v>
      </c>
      <c r="F974" s="7" t="str">
        <f>IFERROR(
   INDEX(tbl_ProduitsRef[Prix Menu],MATCH(tbl_Ventes[[#This Row],[Produit]],tbl_ProduitsRef[Produit],0)),
   ""
)</f>
        <v/>
      </c>
      <c r="G974" s="7">
        <f>tbl_Ventes[[#This Row],[Qté Vendue]] * IFERROR(_xlfn.XLOOKUP(tbl_Ventes[[#This Row],[Cde_Prdt]], tbl_Produits[Cde_Prdt], tbl_Produits[Prix Menu]), 0)</f>
        <v>0</v>
      </c>
      <c r="H974" s="7">
        <f>IFERROR(_xlfn.XLOOKUP(tbl_Ventes[[#This Row],[Cde_Prdt]], tbl_Produits[Cde_Prdt], tbl_Produits[Coût Moyen Portion]), 0)</f>
        <v>0</v>
      </c>
      <c r="I974" s="7">
        <f>tbl_Ventes[[#This Row],[Qté Vendue]] * tbl_Ventes[[#This Row],[CMP_par_portion]]</f>
        <v>0</v>
      </c>
      <c r="J974" s="7">
        <f>tbl_Ventes[[#This Row],[CA ligne]] - tbl_Ventes[[#This Row],[Coût matière ligne]]</f>
        <v>0</v>
      </c>
      <c r="K974" s="7" t="str">
        <f>IFERROR(INDEX(tbl_ProduitsRef[Famille], MATCH(tbl_Ventes[[#This Row],[Cde_Prdt]], tbl_Produits[Cde_Prdt], 0)), "")</f>
        <v/>
      </c>
    </row>
    <row r="975" spans="1:11" x14ac:dyDescent="0.25">
      <c r="A975" s="5"/>
      <c r="B975" s="63" t="str">
        <f>IFERROR(TEXT(tbl_Ventes[[#This Row],[Date]],"mm-aaaa"),"")</f>
        <v>01-1900</v>
      </c>
      <c r="D975" s="10" t="str">
        <f>IFERROR(
   INDEX(tbl_ProduitsRef[Cde_Prdt],MATCH(tbl_Ventes[[#This Row],[Produit]],tbl_ProduitsRef[Produit],0)),
   ""
)</f>
        <v/>
      </c>
      <c r="E975" s="7">
        <v>0</v>
      </c>
      <c r="F975" s="7" t="str">
        <f>IFERROR(
   INDEX(tbl_ProduitsRef[Prix Menu],MATCH(tbl_Ventes[[#This Row],[Produit]],tbl_ProduitsRef[Produit],0)),
   ""
)</f>
        <v/>
      </c>
      <c r="G975" s="7">
        <f>tbl_Ventes[[#This Row],[Qté Vendue]] * IFERROR(_xlfn.XLOOKUP(tbl_Ventes[[#This Row],[Cde_Prdt]], tbl_Produits[Cde_Prdt], tbl_Produits[Prix Menu]), 0)</f>
        <v>0</v>
      </c>
      <c r="H975" s="7">
        <f>IFERROR(_xlfn.XLOOKUP(tbl_Ventes[[#This Row],[Cde_Prdt]], tbl_Produits[Cde_Prdt], tbl_Produits[Coût Moyen Portion]), 0)</f>
        <v>0</v>
      </c>
      <c r="I975" s="7">
        <f>tbl_Ventes[[#This Row],[Qté Vendue]] * tbl_Ventes[[#This Row],[CMP_par_portion]]</f>
        <v>0</v>
      </c>
      <c r="J975" s="7">
        <f>tbl_Ventes[[#This Row],[CA ligne]] - tbl_Ventes[[#This Row],[Coût matière ligne]]</f>
        <v>0</v>
      </c>
      <c r="K975" s="7" t="str">
        <f>IFERROR(INDEX(tbl_ProduitsRef[Famille], MATCH(tbl_Ventes[[#This Row],[Cde_Prdt]], tbl_Produits[Cde_Prdt], 0)), "")</f>
        <v/>
      </c>
    </row>
    <row r="976" spans="1:11" x14ac:dyDescent="0.25">
      <c r="A976" s="5"/>
      <c r="B976" s="63" t="str">
        <f>IFERROR(TEXT(tbl_Ventes[[#This Row],[Date]],"mm-aaaa"),"")</f>
        <v>01-1900</v>
      </c>
      <c r="D976" s="10" t="str">
        <f>IFERROR(
   INDEX(tbl_ProduitsRef[Cde_Prdt],MATCH(tbl_Ventes[[#This Row],[Produit]],tbl_ProduitsRef[Produit],0)),
   ""
)</f>
        <v/>
      </c>
      <c r="E976" s="7">
        <v>0</v>
      </c>
      <c r="F976" s="7" t="str">
        <f>IFERROR(
   INDEX(tbl_ProduitsRef[Prix Menu],MATCH(tbl_Ventes[[#This Row],[Produit]],tbl_ProduitsRef[Produit],0)),
   ""
)</f>
        <v/>
      </c>
      <c r="G976" s="7">
        <f>tbl_Ventes[[#This Row],[Qté Vendue]] * IFERROR(_xlfn.XLOOKUP(tbl_Ventes[[#This Row],[Cde_Prdt]], tbl_Produits[Cde_Prdt], tbl_Produits[Prix Menu]), 0)</f>
        <v>0</v>
      </c>
      <c r="H976" s="7">
        <f>IFERROR(_xlfn.XLOOKUP(tbl_Ventes[[#This Row],[Cde_Prdt]], tbl_Produits[Cde_Prdt], tbl_Produits[Coût Moyen Portion]), 0)</f>
        <v>0</v>
      </c>
      <c r="I976" s="7">
        <f>tbl_Ventes[[#This Row],[Qté Vendue]] * tbl_Ventes[[#This Row],[CMP_par_portion]]</f>
        <v>0</v>
      </c>
      <c r="J976" s="7">
        <f>tbl_Ventes[[#This Row],[CA ligne]] - tbl_Ventes[[#This Row],[Coût matière ligne]]</f>
        <v>0</v>
      </c>
      <c r="K976" s="7" t="str">
        <f>IFERROR(INDEX(tbl_ProduitsRef[Famille], MATCH(tbl_Ventes[[#This Row],[Cde_Prdt]], tbl_Produits[Cde_Prdt], 0)), "")</f>
        <v/>
      </c>
    </row>
    <row r="977" spans="1:11" x14ac:dyDescent="0.25">
      <c r="A977" s="5"/>
      <c r="B977" s="63" t="str">
        <f>IFERROR(TEXT(tbl_Ventes[[#This Row],[Date]],"mm-aaaa"),"")</f>
        <v>01-1900</v>
      </c>
      <c r="D977" s="10" t="str">
        <f>IFERROR(
   INDEX(tbl_ProduitsRef[Cde_Prdt],MATCH(tbl_Ventes[[#This Row],[Produit]],tbl_ProduitsRef[Produit],0)),
   ""
)</f>
        <v/>
      </c>
      <c r="E977" s="7">
        <v>0</v>
      </c>
      <c r="F977" s="7" t="str">
        <f>IFERROR(
   INDEX(tbl_ProduitsRef[Prix Menu],MATCH(tbl_Ventes[[#This Row],[Produit]],tbl_ProduitsRef[Produit],0)),
   ""
)</f>
        <v/>
      </c>
      <c r="G977" s="7">
        <f>tbl_Ventes[[#This Row],[Qté Vendue]] * IFERROR(_xlfn.XLOOKUP(tbl_Ventes[[#This Row],[Cde_Prdt]], tbl_Produits[Cde_Prdt], tbl_Produits[Prix Menu]), 0)</f>
        <v>0</v>
      </c>
      <c r="H977" s="7">
        <f>IFERROR(_xlfn.XLOOKUP(tbl_Ventes[[#This Row],[Cde_Prdt]], tbl_Produits[Cde_Prdt], tbl_Produits[Coût Moyen Portion]), 0)</f>
        <v>0</v>
      </c>
      <c r="I977" s="7">
        <f>tbl_Ventes[[#This Row],[Qté Vendue]] * tbl_Ventes[[#This Row],[CMP_par_portion]]</f>
        <v>0</v>
      </c>
      <c r="J977" s="7">
        <f>tbl_Ventes[[#This Row],[CA ligne]] - tbl_Ventes[[#This Row],[Coût matière ligne]]</f>
        <v>0</v>
      </c>
      <c r="K977" s="7" t="str">
        <f>IFERROR(INDEX(tbl_ProduitsRef[Famille], MATCH(tbl_Ventes[[#This Row],[Cde_Prdt]], tbl_Produits[Cde_Prdt], 0)), "")</f>
        <v/>
      </c>
    </row>
    <row r="978" spans="1:11" x14ac:dyDescent="0.25">
      <c r="A978" s="5"/>
      <c r="B978" s="63" t="str">
        <f>IFERROR(TEXT(tbl_Ventes[[#This Row],[Date]],"mm-aaaa"),"")</f>
        <v>01-1900</v>
      </c>
      <c r="D978" s="10" t="str">
        <f>IFERROR(
   INDEX(tbl_ProduitsRef[Cde_Prdt],MATCH(tbl_Ventes[[#This Row],[Produit]],tbl_ProduitsRef[Produit],0)),
   ""
)</f>
        <v/>
      </c>
      <c r="E978" s="7">
        <v>0</v>
      </c>
      <c r="F978" s="7" t="str">
        <f>IFERROR(
   INDEX(tbl_ProduitsRef[Prix Menu],MATCH(tbl_Ventes[[#This Row],[Produit]],tbl_ProduitsRef[Produit],0)),
   ""
)</f>
        <v/>
      </c>
      <c r="G978" s="7">
        <f>tbl_Ventes[[#This Row],[Qté Vendue]] * IFERROR(_xlfn.XLOOKUP(tbl_Ventes[[#This Row],[Cde_Prdt]], tbl_Produits[Cde_Prdt], tbl_Produits[Prix Menu]), 0)</f>
        <v>0</v>
      </c>
      <c r="H978" s="7">
        <f>IFERROR(_xlfn.XLOOKUP(tbl_Ventes[[#This Row],[Cde_Prdt]], tbl_Produits[Cde_Prdt], tbl_Produits[Coût Moyen Portion]), 0)</f>
        <v>0</v>
      </c>
      <c r="I978" s="7">
        <f>tbl_Ventes[[#This Row],[Qté Vendue]] * tbl_Ventes[[#This Row],[CMP_par_portion]]</f>
        <v>0</v>
      </c>
      <c r="J978" s="7">
        <f>tbl_Ventes[[#This Row],[CA ligne]] - tbl_Ventes[[#This Row],[Coût matière ligne]]</f>
        <v>0</v>
      </c>
      <c r="K978" s="7" t="str">
        <f>IFERROR(INDEX(tbl_ProduitsRef[Famille], MATCH(tbl_Ventes[[#This Row],[Cde_Prdt]], tbl_Produits[Cde_Prdt], 0)), "")</f>
        <v/>
      </c>
    </row>
    <row r="979" spans="1:11" x14ac:dyDescent="0.25">
      <c r="A979" s="5"/>
      <c r="B979" s="63" t="str">
        <f>IFERROR(TEXT(tbl_Ventes[[#This Row],[Date]],"mm-aaaa"),"")</f>
        <v>01-1900</v>
      </c>
      <c r="D979" s="10" t="str">
        <f>IFERROR(
   INDEX(tbl_ProduitsRef[Cde_Prdt],MATCH(tbl_Ventes[[#This Row],[Produit]],tbl_ProduitsRef[Produit],0)),
   ""
)</f>
        <v/>
      </c>
      <c r="E979" s="7">
        <v>0</v>
      </c>
      <c r="F979" s="7" t="str">
        <f>IFERROR(
   INDEX(tbl_ProduitsRef[Prix Menu],MATCH(tbl_Ventes[[#This Row],[Produit]],tbl_ProduitsRef[Produit],0)),
   ""
)</f>
        <v/>
      </c>
      <c r="G979" s="7">
        <f>tbl_Ventes[[#This Row],[Qté Vendue]] * IFERROR(_xlfn.XLOOKUP(tbl_Ventes[[#This Row],[Cde_Prdt]], tbl_Produits[Cde_Prdt], tbl_Produits[Prix Menu]), 0)</f>
        <v>0</v>
      </c>
      <c r="H979" s="7">
        <f>IFERROR(_xlfn.XLOOKUP(tbl_Ventes[[#This Row],[Cde_Prdt]], tbl_Produits[Cde_Prdt], tbl_Produits[Coût Moyen Portion]), 0)</f>
        <v>0</v>
      </c>
      <c r="I979" s="7">
        <f>tbl_Ventes[[#This Row],[Qté Vendue]] * tbl_Ventes[[#This Row],[CMP_par_portion]]</f>
        <v>0</v>
      </c>
      <c r="J979" s="7">
        <f>tbl_Ventes[[#This Row],[CA ligne]] - tbl_Ventes[[#This Row],[Coût matière ligne]]</f>
        <v>0</v>
      </c>
      <c r="K979" s="7" t="str">
        <f>IFERROR(INDEX(tbl_ProduitsRef[Famille], MATCH(tbl_Ventes[[#This Row],[Cde_Prdt]], tbl_Produits[Cde_Prdt], 0)), "")</f>
        <v/>
      </c>
    </row>
    <row r="980" spans="1:11" x14ac:dyDescent="0.25">
      <c r="A980" s="5"/>
      <c r="B980" s="63" t="str">
        <f>IFERROR(TEXT(tbl_Ventes[[#This Row],[Date]],"mm-aaaa"),"")</f>
        <v>01-1900</v>
      </c>
      <c r="D980" s="10" t="str">
        <f>IFERROR(
   INDEX(tbl_ProduitsRef[Cde_Prdt],MATCH(tbl_Ventes[[#This Row],[Produit]],tbl_ProduitsRef[Produit],0)),
   ""
)</f>
        <v/>
      </c>
      <c r="E980" s="7">
        <v>0</v>
      </c>
      <c r="F980" s="7" t="str">
        <f>IFERROR(
   INDEX(tbl_ProduitsRef[Prix Menu],MATCH(tbl_Ventes[[#This Row],[Produit]],tbl_ProduitsRef[Produit],0)),
   ""
)</f>
        <v/>
      </c>
      <c r="G980" s="7">
        <f>tbl_Ventes[[#This Row],[Qté Vendue]] * IFERROR(_xlfn.XLOOKUP(tbl_Ventes[[#This Row],[Cde_Prdt]], tbl_Produits[Cde_Prdt], tbl_Produits[Prix Menu]), 0)</f>
        <v>0</v>
      </c>
      <c r="H980" s="7">
        <f>IFERROR(_xlfn.XLOOKUP(tbl_Ventes[[#This Row],[Cde_Prdt]], tbl_Produits[Cde_Prdt], tbl_Produits[Coût Moyen Portion]), 0)</f>
        <v>0</v>
      </c>
      <c r="I980" s="7">
        <f>tbl_Ventes[[#This Row],[Qté Vendue]] * tbl_Ventes[[#This Row],[CMP_par_portion]]</f>
        <v>0</v>
      </c>
      <c r="J980" s="7">
        <f>tbl_Ventes[[#This Row],[CA ligne]] - tbl_Ventes[[#This Row],[Coût matière ligne]]</f>
        <v>0</v>
      </c>
      <c r="K980" s="7" t="str">
        <f>IFERROR(INDEX(tbl_ProduitsRef[Famille], MATCH(tbl_Ventes[[#This Row],[Cde_Prdt]], tbl_Produits[Cde_Prdt], 0)), "")</f>
        <v/>
      </c>
    </row>
    <row r="981" spans="1:11" x14ac:dyDescent="0.25">
      <c r="A981" s="5"/>
      <c r="B981" s="63" t="str">
        <f>IFERROR(TEXT(tbl_Ventes[[#This Row],[Date]],"mm-aaaa"),"")</f>
        <v>01-1900</v>
      </c>
      <c r="D981" s="10" t="str">
        <f>IFERROR(
   INDEX(tbl_ProduitsRef[Cde_Prdt],MATCH(tbl_Ventes[[#This Row],[Produit]],tbl_ProduitsRef[Produit],0)),
   ""
)</f>
        <v/>
      </c>
      <c r="E981" s="7">
        <v>0</v>
      </c>
      <c r="F981" s="7" t="str">
        <f>IFERROR(
   INDEX(tbl_ProduitsRef[Prix Menu],MATCH(tbl_Ventes[[#This Row],[Produit]],tbl_ProduitsRef[Produit],0)),
   ""
)</f>
        <v/>
      </c>
      <c r="G981" s="7">
        <f>tbl_Ventes[[#This Row],[Qté Vendue]] * IFERROR(_xlfn.XLOOKUP(tbl_Ventes[[#This Row],[Cde_Prdt]], tbl_Produits[Cde_Prdt], tbl_Produits[Prix Menu]), 0)</f>
        <v>0</v>
      </c>
      <c r="H981" s="7">
        <f>IFERROR(_xlfn.XLOOKUP(tbl_Ventes[[#This Row],[Cde_Prdt]], tbl_Produits[Cde_Prdt], tbl_Produits[Coût Moyen Portion]), 0)</f>
        <v>0</v>
      </c>
      <c r="I981" s="7">
        <f>tbl_Ventes[[#This Row],[Qté Vendue]] * tbl_Ventes[[#This Row],[CMP_par_portion]]</f>
        <v>0</v>
      </c>
      <c r="J981" s="7">
        <f>tbl_Ventes[[#This Row],[CA ligne]] - tbl_Ventes[[#This Row],[Coût matière ligne]]</f>
        <v>0</v>
      </c>
      <c r="K981" s="7" t="str">
        <f>IFERROR(INDEX(tbl_ProduitsRef[Famille], MATCH(tbl_Ventes[[#This Row],[Cde_Prdt]], tbl_Produits[Cde_Prdt], 0)), "")</f>
        <v/>
      </c>
    </row>
    <row r="982" spans="1:11" x14ac:dyDescent="0.25">
      <c r="A982" s="5"/>
      <c r="B982" s="63" t="str">
        <f>IFERROR(TEXT(tbl_Ventes[[#This Row],[Date]],"mm-aaaa"),"")</f>
        <v>01-1900</v>
      </c>
      <c r="D982" s="10" t="str">
        <f>IFERROR(
   INDEX(tbl_ProduitsRef[Cde_Prdt],MATCH(tbl_Ventes[[#This Row],[Produit]],tbl_ProduitsRef[Produit],0)),
   ""
)</f>
        <v/>
      </c>
      <c r="E982" s="7">
        <v>0</v>
      </c>
      <c r="F982" s="7" t="str">
        <f>IFERROR(
   INDEX(tbl_ProduitsRef[Prix Menu],MATCH(tbl_Ventes[[#This Row],[Produit]],tbl_ProduitsRef[Produit],0)),
   ""
)</f>
        <v/>
      </c>
      <c r="G982" s="7">
        <f>tbl_Ventes[[#This Row],[Qté Vendue]] * IFERROR(_xlfn.XLOOKUP(tbl_Ventes[[#This Row],[Cde_Prdt]], tbl_Produits[Cde_Prdt], tbl_Produits[Prix Menu]), 0)</f>
        <v>0</v>
      </c>
      <c r="H982" s="7">
        <f>IFERROR(_xlfn.XLOOKUP(tbl_Ventes[[#This Row],[Cde_Prdt]], tbl_Produits[Cde_Prdt], tbl_Produits[Coût Moyen Portion]), 0)</f>
        <v>0</v>
      </c>
      <c r="I982" s="7">
        <f>tbl_Ventes[[#This Row],[Qté Vendue]] * tbl_Ventes[[#This Row],[CMP_par_portion]]</f>
        <v>0</v>
      </c>
      <c r="J982" s="7">
        <f>tbl_Ventes[[#This Row],[CA ligne]] - tbl_Ventes[[#This Row],[Coût matière ligne]]</f>
        <v>0</v>
      </c>
      <c r="K982" s="7" t="str">
        <f>IFERROR(INDEX(tbl_ProduitsRef[Famille], MATCH(tbl_Ventes[[#This Row],[Cde_Prdt]], tbl_Produits[Cde_Prdt], 0)), "")</f>
        <v/>
      </c>
    </row>
    <row r="983" spans="1:11" x14ac:dyDescent="0.25">
      <c r="A983" s="5"/>
      <c r="B983" s="63" t="str">
        <f>IFERROR(TEXT(tbl_Ventes[[#This Row],[Date]],"mm-aaaa"),"")</f>
        <v>01-1900</v>
      </c>
      <c r="D983" s="10" t="str">
        <f>IFERROR(
   INDEX(tbl_ProduitsRef[Cde_Prdt],MATCH(tbl_Ventes[[#This Row],[Produit]],tbl_ProduitsRef[Produit],0)),
   ""
)</f>
        <v/>
      </c>
      <c r="E983" s="7">
        <v>0</v>
      </c>
      <c r="F983" s="7" t="str">
        <f>IFERROR(
   INDEX(tbl_ProduitsRef[Prix Menu],MATCH(tbl_Ventes[[#This Row],[Produit]],tbl_ProduitsRef[Produit],0)),
   ""
)</f>
        <v/>
      </c>
      <c r="G983" s="7">
        <f>tbl_Ventes[[#This Row],[Qté Vendue]] * IFERROR(_xlfn.XLOOKUP(tbl_Ventes[[#This Row],[Cde_Prdt]], tbl_Produits[Cde_Prdt], tbl_Produits[Prix Menu]), 0)</f>
        <v>0</v>
      </c>
      <c r="H983" s="7">
        <f>IFERROR(_xlfn.XLOOKUP(tbl_Ventes[[#This Row],[Cde_Prdt]], tbl_Produits[Cde_Prdt], tbl_Produits[Coût Moyen Portion]), 0)</f>
        <v>0</v>
      </c>
      <c r="I983" s="7">
        <f>tbl_Ventes[[#This Row],[Qté Vendue]] * tbl_Ventes[[#This Row],[CMP_par_portion]]</f>
        <v>0</v>
      </c>
      <c r="J983" s="7">
        <f>tbl_Ventes[[#This Row],[CA ligne]] - tbl_Ventes[[#This Row],[Coût matière ligne]]</f>
        <v>0</v>
      </c>
      <c r="K983" s="7" t="str">
        <f>IFERROR(INDEX(tbl_ProduitsRef[Famille], MATCH(tbl_Ventes[[#This Row],[Cde_Prdt]], tbl_Produits[Cde_Prdt], 0)), "")</f>
        <v/>
      </c>
    </row>
    <row r="984" spans="1:11" x14ac:dyDescent="0.25">
      <c r="A984" s="5"/>
      <c r="B984" s="63" t="str">
        <f>IFERROR(TEXT(tbl_Ventes[[#This Row],[Date]],"mm-aaaa"),"")</f>
        <v>01-1900</v>
      </c>
      <c r="D984" s="10" t="str">
        <f>IFERROR(
   INDEX(tbl_ProduitsRef[Cde_Prdt],MATCH(tbl_Ventes[[#This Row],[Produit]],tbl_ProduitsRef[Produit],0)),
   ""
)</f>
        <v/>
      </c>
      <c r="E984" s="7">
        <v>0</v>
      </c>
      <c r="F984" s="7" t="str">
        <f>IFERROR(
   INDEX(tbl_ProduitsRef[Prix Menu],MATCH(tbl_Ventes[[#This Row],[Produit]],tbl_ProduitsRef[Produit],0)),
   ""
)</f>
        <v/>
      </c>
      <c r="G984" s="7">
        <f>tbl_Ventes[[#This Row],[Qté Vendue]] * IFERROR(_xlfn.XLOOKUP(tbl_Ventes[[#This Row],[Cde_Prdt]], tbl_Produits[Cde_Prdt], tbl_Produits[Prix Menu]), 0)</f>
        <v>0</v>
      </c>
      <c r="H984" s="7">
        <f>IFERROR(_xlfn.XLOOKUP(tbl_Ventes[[#This Row],[Cde_Prdt]], tbl_Produits[Cde_Prdt], tbl_Produits[Coût Moyen Portion]), 0)</f>
        <v>0</v>
      </c>
      <c r="I984" s="7">
        <f>tbl_Ventes[[#This Row],[Qté Vendue]] * tbl_Ventes[[#This Row],[CMP_par_portion]]</f>
        <v>0</v>
      </c>
      <c r="J984" s="7">
        <f>tbl_Ventes[[#This Row],[CA ligne]] - tbl_Ventes[[#This Row],[Coût matière ligne]]</f>
        <v>0</v>
      </c>
      <c r="K984" s="7" t="str">
        <f>IFERROR(INDEX(tbl_ProduitsRef[Famille], MATCH(tbl_Ventes[[#This Row],[Cde_Prdt]], tbl_Produits[Cde_Prdt], 0)), "")</f>
        <v/>
      </c>
    </row>
    <row r="985" spans="1:11" x14ac:dyDescent="0.25">
      <c r="A985" s="5"/>
      <c r="B985" s="63" t="str">
        <f>IFERROR(TEXT(tbl_Ventes[[#This Row],[Date]],"mm-aaaa"),"")</f>
        <v>01-1900</v>
      </c>
      <c r="D985" s="10" t="str">
        <f>IFERROR(
   INDEX(tbl_ProduitsRef[Cde_Prdt],MATCH(tbl_Ventes[[#This Row],[Produit]],tbl_ProduitsRef[Produit],0)),
   ""
)</f>
        <v/>
      </c>
      <c r="E985" s="7">
        <v>0</v>
      </c>
      <c r="F985" s="7" t="str">
        <f>IFERROR(
   INDEX(tbl_ProduitsRef[Prix Menu],MATCH(tbl_Ventes[[#This Row],[Produit]],tbl_ProduitsRef[Produit],0)),
   ""
)</f>
        <v/>
      </c>
      <c r="G985" s="7">
        <f>tbl_Ventes[[#This Row],[Qté Vendue]] * IFERROR(_xlfn.XLOOKUP(tbl_Ventes[[#This Row],[Cde_Prdt]], tbl_Produits[Cde_Prdt], tbl_Produits[Prix Menu]), 0)</f>
        <v>0</v>
      </c>
      <c r="H985" s="7">
        <f>IFERROR(_xlfn.XLOOKUP(tbl_Ventes[[#This Row],[Cde_Prdt]], tbl_Produits[Cde_Prdt], tbl_Produits[Coût Moyen Portion]), 0)</f>
        <v>0</v>
      </c>
      <c r="I985" s="7">
        <f>tbl_Ventes[[#This Row],[Qté Vendue]] * tbl_Ventes[[#This Row],[CMP_par_portion]]</f>
        <v>0</v>
      </c>
      <c r="J985" s="7">
        <f>tbl_Ventes[[#This Row],[CA ligne]] - tbl_Ventes[[#This Row],[Coût matière ligne]]</f>
        <v>0</v>
      </c>
      <c r="K985" s="7" t="str">
        <f>IFERROR(INDEX(tbl_ProduitsRef[Famille], MATCH(tbl_Ventes[[#This Row],[Cde_Prdt]], tbl_Produits[Cde_Prdt], 0)), "")</f>
        <v/>
      </c>
    </row>
    <row r="986" spans="1:11" x14ac:dyDescent="0.25">
      <c r="A986" s="5"/>
      <c r="B986" s="63" t="str">
        <f>IFERROR(TEXT(tbl_Ventes[[#This Row],[Date]],"mm-aaaa"),"")</f>
        <v>01-1900</v>
      </c>
      <c r="D986" s="10" t="str">
        <f>IFERROR(
   INDEX(tbl_ProduitsRef[Cde_Prdt],MATCH(tbl_Ventes[[#This Row],[Produit]],tbl_ProduitsRef[Produit],0)),
   ""
)</f>
        <v/>
      </c>
      <c r="E986" s="7">
        <v>0</v>
      </c>
      <c r="F986" s="7" t="str">
        <f>IFERROR(
   INDEX(tbl_ProduitsRef[Prix Menu],MATCH(tbl_Ventes[[#This Row],[Produit]],tbl_ProduitsRef[Produit],0)),
   ""
)</f>
        <v/>
      </c>
      <c r="G986" s="7">
        <f>tbl_Ventes[[#This Row],[Qté Vendue]] * IFERROR(_xlfn.XLOOKUP(tbl_Ventes[[#This Row],[Cde_Prdt]], tbl_Produits[Cde_Prdt], tbl_Produits[Prix Menu]), 0)</f>
        <v>0</v>
      </c>
      <c r="H986" s="7">
        <f>IFERROR(_xlfn.XLOOKUP(tbl_Ventes[[#This Row],[Cde_Prdt]], tbl_Produits[Cde_Prdt], tbl_Produits[Coût Moyen Portion]), 0)</f>
        <v>0</v>
      </c>
      <c r="I986" s="7">
        <f>tbl_Ventes[[#This Row],[Qté Vendue]] * tbl_Ventes[[#This Row],[CMP_par_portion]]</f>
        <v>0</v>
      </c>
      <c r="J986" s="7">
        <f>tbl_Ventes[[#This Row],[CA ligne]] - tbl_Ventes[[#This Row],[Coût matière ligne]]</f>
        <v>0</v>
      </c>
      <c r="K986" s="7" t="str">
        <f>IFERROR(INDEX(tbl_ProduitsRef[Famille], MATCH(tbl_Ventes[[#This Row],[Cde_Prdt]], tbl_Produits[Cde_Prdt], 0)), "")</f>
        <v/>
      </c>
    </row>
    <row r="987" spans="1:11" x14ac:dyDescent="0.25">
      <c r="A987" s="5"/>
      <c r="B987" s="63" t="str">
        <f>IFERROR(TEXT(tbl_Ventes[[#This Row],[Date]],"mm-aaaa"),"")</f>
        <v>01-1900</v>
      </c>
      <c r="D987" s="10" t="str">
        <f>IFERROR(
   INDEX(tbl_ProduitsRef[Cde_Prdt],MATCH(tbl_Ventes[[#This Row],[Produit]],tbl_ProduitsRef[Produit],0)),
   ""
)</f>
        <v/>
      </c>
      <c r="E987" s="7">
        <v>0</v>
      </c>
      <c r="F987" s="7" t="str">
        <f>IFERROR(
   INDEX(tbl_ProduitsRef[Prix Menu],MATCH(tbl_Ventes[[#This Row],[Produit]],tbl_ProduitsRef[Produit],0)),
   ""
)</f>
        <v/>
      </c>
      <c r="G987" s="7">
        <f>tbl_Ventes[[#This Row],[Qté Vendue]] * IFERROR(_xlfn.XLOOKUP(tbl_Ventes[[#This Row],[Cde_Prdt]], tbl_Produits[Cde_Prdt], tbl_Produits[Prix Menu]), 0)</f>
        <v>0</v>
      </c>
      <c r="H987" s="7">
        <f>IFERROR(_xlfn.XLOOKUP(tbl_Ventes[[#This Row],[Cde_Prdt]], tbl_Produits[Cde_Prdt], tbl_Produits[Coût Moyen Portion]), 0)</f>
        <v>0</v>
      </c>
      <c r="I987" s="7">
        <f>tbl_Ventes[[#This Row],[Qté Vendue]] * tbl_Ventes[[#This Row],[CMP_par_portion]]</f>
        <v>0</v>
      </c>
      <c r="J987" s="7">
        <f>tbl_Ventes[[#This Row],[CA ligne]] - tbl_Ventes[[#This Row],[Coût matière ligne]]</f>
        <v>0</v>
      </c>
      <c r="K987" s="7" t="str">
        <f>IFERROR(INDEX(tbl_ProduitsRef[Famille], MATCH(tbl_Ventes[[#This Row],[Cde_Prdt]], tbl_Produits[Cde_Prdt], 0)), "")</f>
        <v/>
      </c>
    </row>
    <row r="988" spans="1:11" x14ac:dyDescent="0.25">
      <c r="A988" s="5"/>
      <c r="B988" s="63" t="str">
        <f>IFERROR(TEXT(tbl_Ventes[[#This Row],[Date]],"mm-aaaa"),"")</f>
        <v>01-1900</v>
      </c>
      <c r="D988" s="10" t="str">
        <f>IFERROR(
   INDEX(tbl_ProduitsRef[Cde_Prdt],MATCH(tbl_Ventes[[#This Row],[Produit]],tbl_ProduitsRef[Produit],0)),
   ""
)</f>
        <v/>
      </c>
      <c r="E988" s="7">
        <v>0</v>
      </c>
      <c r="F988" s="7" t="str">
        <f>IFERROR(
   INDEX(tbl_ProduitsRef[Prix Menu],MATCH(tbl_Ventes[[#This Row],[Produit]],tbl_ProduitsRef[Produit],0)),
   ""
)</f>
        <v/>
      </c>
      <c r="G988" s="7">
        <f>tbl_Ventes[[#This Row],[Qté Vendue]] * IFERROR(_xlfn.XLOOKUP(tbl_Ventes[[#This Row],[Cde_Prdt]], tbl_Produits[Cde_Prdt], tbl_Produits[Prix Menu]), 0)</f>
        <v>0</v>
      </c>
      <c r="H988" s="7">
        <f>IFERROR(_xlfn.XLOOKUP(tbl_Ventes[[#This Row],[Cde_Prdt]], tbl_Produits[Cde_Prdt], tbl_Produits[Coût Moyen Portion]), 0)</f>
        <v>0</v>
      </c>
      <c r="I988" s="7">
        <f>tbl_Ventes[[#This Row],[Qté Vendue]] * tbl_Ventes[[#This Row],[CMP_par_portion]]</f>
        <v>0</v>
      </c>
      <c r="J988" s="7">
        <f>tbl_Ventes[[#This Row],[CA ligne]] - tbl_Ventes[[#This Row],[Coût matière ligne]]</f>
        <v>0</v>
      </c>
      <c r="K988" s="7" t="str">
        <f>IFERROR(INDEX(tbl_ProduitsRef[Famille], MATCH(tbl_Ventes[[#This Row],[Cde_Prdt]], tbl_Produits[Cde_Prdt], 0)), "")</f>
        <v/>
      </c>
    </row>
    <row r="989" spans="1:11" x14ac:dyDescent="0.25">
      <c r="A989" s="5"/>
      <c r="B989" s="63" t="str">
        <f>IFERROR(TEXT(tbl_Ventes[[#This Row],[Date]],"mm-aaaa"),"")</f>
        <v>01-1900</v>
      </c>
      <c r="D989" s="10" t="str">
        <f>IFERROR(
   INDEX(tbl_ProduitsRef[Cde_Prdt],MATCH(tbl_Ventes[[#This Row],[Produit]],tbl_ProduitsRef[Produit],0)),
   ""
)</f>
        <v/>
      </c>
      <c r="E989" s="7">
        <v>0</v>
      </c>
      <c r="F989" s="7" t="str">
        <f>IFERROR(
   INDEX(tbl_ProduitsRef[Prix Menu],MATCH(tbl_Ventes[[#This Row],[Produit]],tbl_ProduitsRef[Produit],0)),
   ""
)</f>
        <v/>
      </c>
      <c r="G989" s="7">
        <f>tbl_Ventes[[#This Row],[Qté Vendue]] * IFERROR(_xlfn.XLOOKUP(tbl_Ventes[[#This Row],[Cde_Prdt]], tbl_Produits[Cde_Prdt], tbl_Produits[Prix Menu]), 0)</f>
        <v>0</v>
      </c>
      <c r="H989" s="7">
        <f>IFERROR(_xlfn.XLOOKUP(tbl_Ventes[[#This Row],[Cde_Prdt]], tbl_Produits[Cde_Prdt], tbl_Produits[Coût Moyen Portion]), 0)</f>
        <v>0</v>
      </c>
      <c r="I989" s="7">
        <f>tbl_Ventes[[#This Row],[Qté Vendue]] * tbl_Ventes[[#This Row],[CMP_par_portion]]</f>
        <v>0</v>
      </c>
      <c r="J989" s="7">
        <f>tbl_Ventes[[#This Row],[CA ligne]] - tbl_Ventes[[#This Row],[Coût matière ligne]]</f>
        <v>0</v>
      </c>
      <c r="K989" s="7" t="str">
        <f>IFERROR(INDEX(tbl_ProduitsRef[Famille], MATCH(tbl_Ventes[[#This Row],[Cde_Prdt]], tbl_Produits[Cde_Prdt], 0)), "")</f>
        <v/>
      </c>
    </row>
    <row r="990" spans="1:11" x14ac:dyDescent="0.25">
      <c r="A990" s="5"/>
      <c r="B990" s="63" t="str">
        <f>IFERROR(TEXT(tbl_Ventes[[#This Row],[Date]],"mm-aaaa"),"")</f>
        <v>01-1900</v>
      </c>
      <c r="D990" s="10" t="str">
        <f>IFERROR(
   INDEX(tbl_ProduitsRef[Cde_Prdt],MATCH(tbl_Ventes[[#This Row],[Produit]],tbl_ProduitsRef[Produit],0)),
   ""
)</f>
        <v/>
      </c>
      <c r="E990" s="7">
        <v>0</v>
      </c>
      <c r="F990" s="7" t="str">
        <f>IFERROR(
   INDEX(tbl_ProduitsRef[Prix Menu],MATCH(tbl_Ventes[[#This Row],[Produit]],tbl_ProduitsRef[Produit],0)),
   ""
)</f>
        <v/>
      </c>
      <c r="G990" s="7">
        <f>tbl_Ventes[[#This Row],[Qté Vendue]] * IFERROR(_xlfn.XLOOKUP(tbl_Ventes[[#This Row],[Cde_Prdt]], tbl_Produits[Cde_Prdt], tbl_Produits[Prix Menu]), 0)</f>
        <v>0</v>
      </c>
      <c r="H990" s="7">
        <f>IFERROR(_xlfn.XLOOKUP(tbl_Ventes[[#This Row],[Cde_Prdt]], tbl_Produits[Cde_Prdt], tbl_Produits[Coût Moyen Portion]), 0)</f>
        <v>0</v>
      </c>
      <c r="I990" s="7">
        <f>tbl_Ventes[[#This Row],[Qté Vendue]] * tbl_Ventes[[#This Row],[CMP_par_portion]]</f>
        <v>0</v>
      </c>
      <c r="J990" s="7">
        <f>tbl_Ventes[[#This Row],[CA ligne]] - tbl_Ventes[[#This Row],[Coût matière ligne]]</f>
        <v>0</v>
      </c>
      <c r="K990" s="7" t="str">
        <f>IFERROR(INDEX(tbl_ProduitsRef[Famille], MATCH(tbl_Ventes[[#This Row],[Cde_Prdt]], tbl_Produits[Cde_Prdt], 0)), "")</f>
        <v/>
      </c>
    </row>
    <row r="991" spans="1:11" x14ac:dyDescent="0.25">
      <c r="A991" s="5"/>
      <c r="B991" s="63" t="str">
        <f>IFERROR(TEXT(tbl_Ventes[[#This Row],[Date]],"mm-aaaa"),"")</f>
        <v>01-1900</v>
      </c>
      <c r="D991" s="10" t="str">
        <f>IFERROR(
   INDEX(tbl_ProduitsRef[Cde_Prdt],MATCH(tbl_Ventes[[#This Row],[Produit]],tbl_ProduitsRef[Produit],0)),
   ""
)</f>
        <v/>
      </c>
      <c r="E991" s="7">
        <v>0</v>
      </c>
      <c r="F991" s="7" t="str">
        <f>IFERROR(
   INDEX(tbl_ProduitsRef[Prix Menu],MATCH(tbl_Ventes[[#This Row],[Produit]],tbl_ProduitsRef[Produit],0)),
   ""
)</f>
        <v/>
      </c>
      <c r="G991" s="7">
        <f>tbl_Ventes[[#This Row],[Qté Vendue]] * IFERROR(_xlfn.XLOOKUP(tbl_Ventes[[#This Row],[Cde_Prdt]], tbl_Produits[Cde_Prdt], tbl_Produits[Prix Menu]), 0)</f>
        <v>0</v>
      </c>
      <c r="H991" s="7">
        <f>IFERROR(_xlfn.XLOOKUP(tbl_Ventes[[#This Row],[Cde_Prdt]], tbl_Produits[Cde_Prdt], tbl_Produits[Coût Moyen Portion]), 0)</f>
        <v>0</v>
      </c>
      <c r="I991" s="7">
        <f>tbl_Ventes[[#This Row],[Qté Vendue]] * tbl_Ventes[[#This Row],[CMP_par_portion]]</f>
        <v>0</v>
      </c>
      <c r="J991" s="7">
        <f>tbl_Ventes[[#This Row],[CA ligne]] - tbl_Ventes[[#This Row],[Coût matière ligne]]</f>
        <v>0</v>
      </c>
      <c r="K991" s="7" t="str">
        <f>IFERROR(INDEX(tbl_ProduitsRef[Famille], MATCH(tbl_Ventes[[#This Row],[Cde_Prdt]], tbl_Produits[Cde_Prdt], 0)), "")</f>
        <v/>
      </c>
    </row>
    <row r="992" spans="1:11" x14ac:dyDescent="0.25">
      <c r="A992" s="5"/>
      <c r="B992" s="63" t="str">
        <f>IFERROR(TEXT(tbl_Ventes[[#This Row],[Date]],"mm-aaaa"),"")</f>
        <v>01-1900</v>
      </c>
      <c r="D992" s="10" t="str">
        <f>IFERROR(
   INDEX(tbl_ProduitsRef[Cde_Prdt],MATCH(tbl_Ventes[[#This Row],[Produit]],tbl_ProduitsRef[Produit],0)),
   ""
)</f>
        <v/>
      </c>
      <c r="E992" s="7">
        <v>0</v>
      </c>
      <c r="F992" s="7" t="str">
        <f>IFERROR(
   INDEX(tbl_ProduitsRef[Prix Menu],MATCH(tbl_Ventes[[#This Row],[Produit]],tbl_ProduitsRef[Produit],0)),
   ""
)</f>
        <v/>
      </c>
      <c r="G992" s="7">
        <f>tbl_Ventes[[#This Row],[Qté Vendue]] * IFERROR(_xlfn.XLOOKUP(tbl_Ventes[[#This Row],[Cde_Prdt]], tbl_Produits[Cde_Prdt], tbl_Produits[Prix Menu]), 0)</f>
        <v>0</v>
      </c>
      <c r="H992" s="7">
        <f>IFERROR(_xlfn.XLOOKUP(tbl_Ventes[[#This Row],[Cde_Prdt]], tbl_Produits[Cde_Prdt], tbl_Produits[Coût Moyen Portion]), 0)</f>
        <v>0</v>
      </c>
      <c r="I992" s="7">
        <f>tbl_Ventes[[#This Row],[Qté Vendue]] * tbl_Ventes[[#This Row],[CMP_par_portion]]</f>
        <v>0</v>
      </c>
      <c r="J992" s="7">
        <f>tbl_Ventes[[#This Row],[CA ligne]] - tbl_Ventes[[#This Row],[Coût matière ligne]]</f>
        <v>0</v>
      </c>
      <c r="K992" s="7" t="str">
        <f>IFERROR(INDEX(tbl_ProduitsRef[Famille], MATCH(tbl_Ventes[[#This Row],[Cde_Prdt]], tbl_Produits[Cde_Prdt], 0)), "")</f>
        <v/>
      </c>
    </row>
    <row r="993" spans="1:11" x14ac:dyDescent="0.25">
      <c r="A993" s="5"/>
      <c r="B993" s="63" t="str">
        <f>IFERROR(TEXT(tbl_Ventes[[#This Row],[Date]],"mm-aaaa"),"")</f>
        <v>01-1900</v>
      </c>
      <c r="D993" s="10" t="str">
        <f>IFERROR(
   INDEX(tbl_ProduitsRef[Cde_Prdt],MATCH(tbl_Ventes[[#This Row],[Produit]],tbl_ProduitsRef[Produit],0)),
   ""
)</f>
        <v/>
      </c>
      <c r="E993" s="7">
        <v>0</v>
      </c>
      <c r="F993" s="7" t="str">
        <f>IFERROR(
   INDEX(tbl_ProduitsRef[Prix Menu],MATCH(tbl_Ventes[[#This Row],[Produit]],tbl_ProduitsRef[Produit],0)),
   ""
)</f>
        <v/>
      </c>
      <c r="G993" s="7">
        <f>tbl_Ventes[[#This Row],[Qté Vendue]] * IFERROR(_xlfn.XLOOKUP(tbl_Ventes[[#This Row],[Cde_Prdt]], tbl_Produits[Cde_Prdt], tbl_Produits[Prix Menu]), 0)</f>
        <v>0</v>
      </c>
      <c r="H993" s="7">
        <f>IFERROR(_xlfn.XLOOKUP(tbl_Ventes[[#This Row],[Cde_Prdt]], tbl_Produits[Cde_Prdt], tbl_Produits[Coût Moyen Portion]), 0)</f>
        <v>0</v>
      </c>
      <c r="I993" s="7">
        <f>tbl_Ventes[[#This Row],[Qté Vendue]] * tbl_Ventes[[#This Row],[CMP_par_portion]]</f>
        <v>0</v>
      </c>
      <c r="J993" s="7">
        <f>tbl_Ventes[[#This Row],[CA ligne]] - tbl_Ventes[[#This Row],[Coût matière ligne]]</f>
        <v>0</v>
      </c>
      <c r="K993" s="7" t="str">
        <f>IFERROR(INDEX(tbl_ProduitsRef[Famille], MATCH(tbl_Ventes[[#This Row],[Cde_Prdt]], tbl_Produits[Cde_Prdt], 0)), "")</f>
        <v/>
      </c>
    </row>
    <row r="994" spans="1:11" x14ac:dyDescent="0.25">
      <c r="A994" s="5"/>
      <c r="B994" s="63" t="str">
        <f>IFERROR(TEXT(tbl_Ventes[[#This Row],[Date]],"mm-aaaa"),"")</f>
        <v>01-1900</v>
      </c>
      <c r="D994" s="10" t="str">
        <f>IFERROR(
   INDEX(tbl_ProduitsRef[Cde_Prdt],MATCH(tbl_Ventes[[#This Row],[Produit]],tbl_ProduitsRef[Produit],0)),
   ""
)</f>
        <v/>
      </c>
      <c r="E994" s="7">
        <v>0</v>
      </c>
      <c r="F994" s="7" t="str">
        <f>IFERROR(
   INDEX(tbl_ProduitsRef[Prix Menu],MATCH(tbl_Ventes[[#This Row],[Produit]],tbl_ProduitsRef[Produit],0)),
   ""
)</f>
        <v/>
      </c>
      <c r="G994" s="7">
        <f>tbl_Ventes[[#This Row],[Qté Vendue]] * IFERROR(_xlfn.XLOOKUP(tbl_Ventes[[#This Row],[Cde_Prdt]], tbl_Produits[Cde_Prdt], tbl_Produits[Prix Menu]), 0)</f>
        <v>0</v>
      </c>
      <c r="H994" s="7">
        <f>IFERROR(_xlfn.XLOOKUP(tbl_Ventes[[#This Row],[Cde_Prdt]], tbl_Produits[Cde_Prdt], tbl_Produits[Coût Moyen Portion]), 0)</f>
        <v>0</v>
      </c>
      <c r="I994" s="7">
        <f>tbl_Ventes[[#This Row],[Qté Vendue]] * tbl_Ventes[[#This Row],[CMP_par_portion]]</f>
        <v>0</v>
      </c>
      <c r="J994" s="7">
        <f>tbl_Ventes[[#This Row],[CA ligne]] - tbl_Ventes[[#This Row],[Coût matière ligne]]</f>
        <v>0</v>
      </c>
      <c r="K994" s="7" t="str">
        <f>IFERROR(INDEX(tbl_ProduitsRef[Famille], MATCH(tbl_Ventes[[#This Row],[Cde_Prdt]], tbl_Produits[Cde_Prdt], 0)), "")</f>
        <v/>
      </c>
    </row>
    <row r="995" spans="1:11" x14ac:dyDescent="0.25">
      <c r="A995" s="5"/>
      <c r="B995" s="63" t="str">
        <f>IFERROR(TEXT(tbl_Ventes[[#This Row],[Date]],"mm-aaaa"),"")</f>
        <v>01-1900</v>
      </c>
      <c r="D995" s="10" t="str">
        <f>IFERROR(
   INDEX(tbl_ProduitsRef[Cde_Prdt],MATCH(tbl_Ventes[[#This Row],[Produit]],tbl_ProduitsRef[Produit],0)),
   ""
)</f>
        <v/>
      </c>
      <c r="E995" s="7">
        <v>0</v>
      </c>
      <c r="F995" s="7" t="str">
        <f>IFERROR(
   INDEX(tbl_ProduitsRef[Prix Menu],MATCH(tbl_Ventes[[#This Row],[Produit]],tbl_ProduitsRef[Produit],0)),
   ""
)</f>
        <v/>
      </c>
      <c r="G995" s="7">
        <f>tbl_Ventes[[#This Row],[Qté Vendue]] * IFERROR(_xlfn.XLOOKUP(tbl_Ventes[[#This Row],[Cde_Prdt]], tbl_Produits[Cde_Prdt], tbl_Produits[Prix Menu]), 0)</f>
        <v>0</v>
      </c>
      <c r="H995" s="7">
        <f>IFERROR(_xlfn.XLOOKUP(tbl_Ventes[[#This Row],[Cde_Prdt]], tbl_Produits[Cde_Prdt], tbl_Produits[Coût Moyen Portion]), 0)</f>
        <v>0</v>
      </c>
      <c r="I995" s="7">
        <f>tbl_Ventes[[#This Row],[Qté Vendue]] * tbl_Ventes[[#This Row],[CMP_par_portion]]</f>
        <v>0</v>
      </c>
      <c r="J995" s="7">
        <f>tbl_Ventes[[#This Row],[CA ligne]] - tbl_Ventes[[#This Row],[Coût matière ligne]]</f>
        <v>0</v>
      </c>
      <c r="K995" s="7" t="str">
        <f>IFERROR(INDEX(tbl_ProduitsRef[Famille], MATCH(tbl_Ventes[[#This Row],[Cde_Prdt]], tbl_Produits[Cde_Prdt], 0)), "")</f>
        <v/>
      </c>
    </row>
    <row r="996" spans="1:11" x14ac:dyDescent="0.25">
      <c r="A996" s="5"/>
      <c r="B996" s="63" t="str">
        <f>IFERROR(TEXT(tbl_Ventes[[#This Row],[Date]],"mm-aaaa"),"")</f>
        <v>01-1900</v>
      </c>
      <c r="D996" s="10" t="str">
        <f>IFERROR(
   INDEX(tbl_ProduitsRef[Cde_Prdt],MATCH(tbl_Ventes[[#This Row],[Produit]],tbl_ProduitsRef[Produit],0)),
   ""
)</f>
        <v/>
      </c>
      <c r="E996" s="7">
        <v>0</v>
      </c>
      <c r="F996" s="7" t="str">
        <f>IFERROR(
   INDEX(tbl_ProduitsRef[Prix Menu],MATCH(tbl_Ventes[[#This Row],[Produit]],tbl_ProduitsRef[Produit],0)),
   ""
)</f>
        <v/>
      </c>
      <c r="G996" s="7">
        <f>tbl_Ventes[[#This Row],[Qté Vendue]] * IFERROR(_xlfn.XLOOKUP(tbl_Ventes[[#This Row],[Cde_Prdt]], tbl_Produits[Cde_Prdt], tbl_Produits[Prix Menu]), 0)</f>
        <v>0</v>
      </c>
      <c r="H996" s="7">
        <f>IFERROR(_xlfn.XLOOKUP(tbl_Ventes[[#This Row],[Cde_Prdt]], tbl_Produits[Cde_Prdt], tbl_Produits[Coût Moyen Portion]), 0)</f>
        <v>0</v>
      </c>
      <c r="I996" s="7">
        <f>tbl_Ventes[[#This Row],[Qté Vendue]] * tbl_Ventes[[#This Row],[CMP_par_portion]]</f>
        <v>0</v>
      </c>
      <c r="J996" s="7">
        <f>tbl_Ventes[[#This Row],[CA ligne]] - tbl_Ventes[[#This Row],[Coût matière ligne]]</f>
        <v>0</v>
      </c>
      <c r="K996" s="7" t="str">
        <f>IFERROR(INDEX(tbl_ProduitsRef[Famille], MATCH(tbl_Ventes[[#This Row],[Cde_Prdt]], tbl_Produits[Cde_Prdt], 0)), "")</f>
        <v/>
      </c>
    </row>
    <row r="997" spans="1:11" x14ac:dyDescent="0.25">
      <c r="A997" s="5"/>
      <c r="B997" s="63" t="str">
        <f>IFERROR(TEXT(tbl_Ventes[[#This Row],[Date]],"mm-aaaa"),"")</f>
        <v>01-1900</v>
      </c>
      <c r="D997" s="10" t="str">
        <f>IFERROR(
   INDEX(tbl_ProduitsRef[Cde_Prdt],MATCH(tbl_Ventes[[#This Row],[Produit]],tbl_ProduitsRef[Produit],0)),
   ""
)</f>
        <v/>
      </c>
      <c r="E997" s="7">
        <v>0</v>
      </c>
      <c r="F997" s="7" t="str">
        <f>IFERROR(
   INDEX(tbl_ProduitsRef[Prix Menu],MATCH(tbl_Ventes[[#This Row],[Produit]],tbl_ProduitsRef[Produit],0)),
   ""
)</f>
        <v/>
      </c>
      <c r="G997" s="7">
        <f>tbl_Ventes[[#This Row],[Qté Vendue]] * IFERROR(_xlfn.XLOOKUP(tbl_Ventes[[#This Row],[Cde_Prdt]], tbl_Produits[Cde_Prdt], tbl_Produits[Prix Menu]), 0)</f>
        <v>0</v>
      </c>
      <c r="H997" s="7">
        <f>IFERROR(_xlfn.XLOOKUP(tbl_Ventes[[#This Row],[Cde_Prdt]], tbl_Produits[Cde_Prdt], tbl_Produits[Coût Moyen Portion]), 0)</f>
        <v>0</v>
      </c>
      <c r="I997" s="7">
        <f>tbl_Ventes[[#This Row],[Qté Vendue]] * tbl_Ventes[[#This Row],[CMP_par_portion]]</f>
        <v>0</v>
      </c>
      <c r="J997" s="7">
        <f>tbl_Ventes[[#This Row],[CA ligne]] - tbl_Ventes[[#This Row],[Coût matière ligne]]</f>
        <v>0</v>
      </c>
      <c r="K997" s="7" t="str">
        <f>IFERROR(INDEX(tbl_ProduitsRef[Famille], MATCH(tbl_Ventes[[#This Row],[Cde_Prdt]], tbl_Produits[Cde_Prdt], 0)), "")</f>
        <v/>
      </c>
    </row>
    <row r="998" spans="1:11" x14ac:dyDescent="0.25">
      <c r="A998" s="5"/>
      <c r="B998" s="63" t="str">
        <f>IFERROR(TEXT(tbl_Ventes[[#This Row],[Date]],"mm-aaaa"),"")</f>
        <v>01-1900</v>
      </c>
      <c r="D998" s="10" t="str">
        <f>IFERROR(
   INDEX(tbl_ProduitsRef[Cde_Prdt],MATCH(tbl_Ventes[[#This Row],[Produit]],tbl_ProduitsRef[Produit],0)),
   ""
)</f>
        <v/>
      </c>
      <c r="E998" s="7">
        <v>0</v>
      </c>
      <c r="F998" s="7" t="str">
        <f>IFERROR(
   INDEX(tbl_ProduitsRef[Prix Menu],MATCH(tbl_Ventes[[#This Row],[Produit]],tbl_ProduitsRef[Produit],0)),
   ""
)</f>
        <v/>
      </c>
      <c r="G998" s="7">
        <f>tbl_Ventes[[#This Row],[Qté Vendue]] * IFERROR(_xlfn.XLOOKUP(tbl_Ventes[[#This Row],[Cde_Prdt]], tbl_Produits[Cde_Prdt], tbl_Produits[Prix Menu]), 0)</f>
        <v>0</v>
      </c>
      <c r="H998" s="7">
        <f>IFERROR(_xlfn.XLOOKUP(tbl_Ventes[[#This Row],[Cde_Prdt]], tbl_Produits[Cde_Prdt], tbl_Produits[Coût Moyen Portion]), 0)</f>
        <v>0</v>
      </c>
      <c r="I998" s="7">
        <f>tbl_Ventes[[#This Row],[Qté Vendue]] * tbl_Ventes[[#This Row],[CMP_par_portion]]</f>
        <v>0</v>
      </c>
      <c r="J998" s="7">
        <f>tbl_Ventes[[#This Row],[CA ligne]] - tbl_Ventes[[#This Row],[Coût matière ligne]]</f>
        <v>0</v>
      </c>
      <c r="K998" s="7" t="str">
        <f>IFERROR(INDEX(tbl_ProduitsRef[Famille], MATCH(tbl_Ventes[[#This Row],[Cde_Prdt]], tbl_Produits[Cde_Prdt], 0)), "")</f>
        <v/>
      </c>
    </row>
    <row r="999" spans="1:11" x14ac:dyDescent="0.25">
      <c r="A999" s="5"/>
      <c r="B999" s="63" t="str">
        <f>IFERROR(TEXT(tbl_Ventes[[#This Row],[Date]],"mm-aaaa"),"")</f>
        <v>01-1900</v>
      </c>
      <c r="D999" s="10" t="str">
        <f>IFERROR(
   INDEX(tbl_ProduitsRef[Cde_Prdt],MATCH(tbl_Ventes[[#This Row],[Produit]],tbl_ProduitsRef[Produit],0)),
   ""
)</f>
        <v/>
      </c>
      <c r="E999" s="7">
        <v>0</v>
      </c>
      <c r="F999" s="7" t="str">
        <f>IFERROR(
   INDEX(tbl_ProduitsRef[Prix Menu],MATCH(tbl_Ventes[[#This Row],[Produit]],tbl_ProduitsRef[Produit],0)),
   ""
)</f>
        <v/>
      </c>
      <c r="G999" s="7">
        <f>tbl_Ventes[[#This Row],[Qté Vendue]] * IFERROR(_xlfn.XLOOKUP(tbl_Ventes[[#This Row],[Cde_Prdt]], tbl_Produits[Cde_Prdt], tbl_Produits[Prix Menu]), 0)</f>
        <v>0</v>
      </c>
      <c r="H999" s="7">
        <f>IFERROR(_xlfn.XLOOKUP(tbl_Ventes[[#This Row],[Cde_Prdt]], tbl_Produits[Cde_Prdt], tbl_Produits[Coût Moyen Portion]), 0)</f>
        <v>0</v>
      </c>
      <c r="I999" s="7">
        <f>tbl_Ventes[[#This Row],[Qté Vendue]] * tbl_Ventes[[#This Row],[CMP_par_portion]]</f>
        <v>0</v>
      </c>
      <c r="J999" s="7">
        <f>tbl_Ventes[[#This Row],[CA ligne]] - tbl_Ventes[[#This Row],[Coût matière ligne]]</f>
        <v>0</v>
      </c>
      <c r="K999" s="7" t="str">
        <f>IFERROR(INDEX(tbl_ProduitsRef[Famille], MATCH(tbl_Ventes[[#This Row],[Cde_Prdt]], tbl_Produits[Cde_Prdt], 0)), "")</f>
        <v/>
      </c>
    </row>
    <row r="1000" spans="1:11" x14ac:dyDescent="0.25">
      <c r="A1000" s="5"/>
      <c r="B1000" s="63" t="str">
        <f>IFERROR(TEXT(tbl_Ventes[[#This Row],[Date]],"mm-aaaa"),"")</f>
        <v>01-1900</v>
      </c>
      <c r="D1000" s="10" t="str">
        <f>IFERROR(
   INDEX(tbl_ProduitsRef[Cde_Prdt],MATCH(tbl_Ventes[[#This Row],[Produit]],tbl_ProduitsRef[Produit],0)),
   ""
)</f>
        <v/>
      </c>
      <c r="E1000" s="7">
        <v>0</v>
      </c>
      <c r="F1000" s="7" t="str">
        <f>IFERROR(
   INDEX(tbl_ProduitsRef[Prix Menu],MATCH(tbl_Ventes[[#This Row],[Produit]],tbl_ProduitsRef[Produit],0)),
   ""
)</f>
        <v/>
      </c>
      <c r="G1000" s="7">
        <f>tbl_Ventes[[#This Row],[Qté Vendue]] * IFERROR(_xlfn.XLOOKUP(tbl_Ventes[[#This Row],[Cde_Prdt]], tbl_Produits[Cde_Prdt], tbl_Produits[Prix Menu]), 0)</f>
        <v>0</v>
      </c>
      <c r="H1000" s="7">
        <f>IFERROR(_xlfn.XLOOKUP(tbl_Ventes[[#This Row],[Cde_Prdt]], tbl_Produits[Cde_Prdt], tbl_Produits[Coût Moyen Portion]), 0)</f>
        <v>0</v>
      </c>
      <c r="I1000" s="7">
        <f>tbl_Ventes[[#This Row],[Qté Vendue]] * tbl_Ventes[[#This Row],[CMP_par_portion]]</f>
        <v>0</v>
      </c>
      <c r="J1000" s="7">
        <f>tbl_Ventes[[#This Row],[CA ligne]] - tbl_Ventes[[#This Row],[Coût matière ligne]]</f>
        <v>0</v>
      </c>
      <c r="K1000" s="7" t="str">
        <f>IFERROR(INDEX(tbl_ProduitsRef[Famille], MATCH(tbl_Ventes[[#This Row],[Cde_Prdt]], tbl_Produits[Cde_Prdt], 0)), "")</f>
        <v/>
      </c>
    </row>
    <row r="1001" spans="1:11" x14ac:dyDescent="0.25">
      <c r="A1001" s="5"/>
      <c r="B1001" s="63" t="str">
        <f>IFERROR(TEXT(tbl_Ventes[[#This Row],[Date]],"mm-aaaa"),"")</f>
        <v>01-1900</v>
      </c>
      <c r="D1001" s="10" t="str">
        <f>IFERROR(
   INDEX(tbl_ProduitsRef[Cde_Prdt],MATCH(tbl_Ventes[[#This Row],[Produit]],tbl_ProduitsRef[Produit],0)),
   ""
)</f>
        <v/>
      </c>
      <c r="E1001" s="7">
        <v>0</v>
      </c>
      <c r="F1001" s="7" t="str">
        <f>IFERROR(
   INDEX(tbl_ProduitsRef[Prix Menu],MATCH(tbl_Ventes[[#This Row],[Produit]],tbl_ProduitsRef[Produit],0)),
   ""
)</f>
        <v/>
      </c>
      <c r="G1001" s="7">
        <f>tbl_Ventes[[#This Row],[Qté Vendue]] * IFERROR(_xlfn.XLOOKUP(tbl_Ventes[[#This Row],[Cde_Prdt]], tbl_Produits[Cde_Prdt], tbl_Produits[Prix Menu]), 0)</f>
        <v>0</v>
      </c>
      <c r="H1001" s="7">
        <f>IFERROR(_xlfn.XLOOKUP(tbl_Ventes[[#This Row],[Cde_Prdt]], tbl_Produits[Cde_Prdt], tbl_Produits[Coût Moyen Portion]), 0)</f>
        <v>0</v>
      </c>
      <c r="I1001" s="7">
        <f>tbl_Ventes[[#This Row],[Qté Vendue]] * tbl_Ventes[[#This Row],[CMP_par_portion]]</f>
        <v>0</v>
      </c>
      <c r="J1001" s="7">
        <f>tbl_Ventes[[#This Row],[CA ligne]] - tbl_Ventes[[#This Row],[Coût matière ligne]]</f>
        <v>0</v>
      </c>
      <c r="K1001" s="7" t="str">
        <f>IFERROR(INDEX(tbl_ProduitsRef[Famille], MATCH(tbl_Ventes[[#This Row],[Cde_Prdt]], tbl_Produits[Cde_Prdt], 0)), "")</f>
        <v/>
      </c>
    </row>
    <row r="1002" spans="1:11" x14ac:dyDescent="0.25">
      <c r="A1002" s="5"/>
      <c r="B1002" s="63" t="str">
        <f>IFERROR(TEXT(tbl_Ventes[[#This Row],[Date]],"mm-aaaa"),"")</f>
        <v>01-1900</v>
      </c>
      <c r="D1002" s="10" t="str">
        <f>IFERROR(
   INDEX(tbl_ProduitsRef[Cde_Prdt],MATCH(tbl_Ventes[[#This Row],[Produit]],tbl_ProduitsRef[Produit],0)),
   ""
)</f>
        <v/>
      </c>
      <c r="E1002" s="7">
        <v>0</v>
      </c>
      <c r="F1002" s="7" t="str">
        <f>IFERROR(
   INDEX(tbl_ProduitsRef[Prix Menu],MATCH(tbl_Ventes[[#This Row],[Produit]],tbl_ProduitsRef[Produit],0)),
   ""
)</f>
        <v/>
      </c>
      <c r="G1002" s="7">
        <f>tbl_Ventes[[#This Row],[Qté Vendue]] * IFERROR(_xlfn.XLOOKUP(tbl_Ventes[[#This Row],[Cde_Prdt]], tbl_Produits[Cde_Prdt], tbl_Produits[Prix Menu]), 0)</f>
        <v>0</v>
      </c>
      <c r="H1002" s="7">
        <f>IFERROR(_xlfn.XLOOKUP(tbl_Ventes[[#This Row],[Cde_Prdt]], tbl_Produits[Cde_Prdt], tbl_Produits[Coût Moyen Portion]), 0)</f>
        <v>0</v>
      </c>
      <c r="I1002" s="7">
        <f>tbl_Ventes[[#This Row],[Qté Vendue]] * tbl_Ventes[[#This Row],[CMP_par_portion]]</f>
        <v>0</v>
      </c>
      <c r="J1002" s="7">
        <f>tbl_Ventes[[#This Row],[CA ligne]] - tbl_Ventes[[#This Row],[Coût matière ligne]]</f>
        <v>0</v>
      </c>
      <c r="K1002" s="7" t="str">
        <f>IFERROR(INDEX(tbl_ProduitsRef[Famille], MATCH(tbl_Ventes[[#This Row],[Cde_Prdt]], tbl_Produits[Cde_Prdt], 0)), "")</f>
        <v/>
      </c>
    </row>
    <row r="1003" spans="1:11" x14ac:dyDescent="0.25">
      <c r="A1003" s="5"/>
      <c r="B1003" s="63" t="str">
        <f>IFERROR(TEXT(tbl_Ventes[[#This Row],[Date]],"mm-aaaa"),"")</f>
        <v>01-1900</v>
      </c>
      <c r="D1003" s="10" t="str">
        <f>IFERROR(
   INDEX(tbl_ProduitsRef[Cde_Prdt],MATCH(tbl_Ventes[[#This Row],[Produit]],tbl_ProduitsRef[Produit],0)),
   ""
)</f>
        <v/>
      </c>
      <c r="E1003" s="7">
        <v>0</v>
      </c>
      <c r="F1003" s="7" t="str">
        <f>IFERROR(
   INDEX(tbl_ProduitsRef[Prix Menu],MATCH(tbl_Ventes[[#This Row],[Produit]],tbl_ProduitsRef[Produit],0)),
   ""
)</f>
        <v/>
      </c>
      <c r="G1003" s="7">
        <f>tbl_Ventes[[#This Row],[Qté Vendue]] * IFERROR(_xlfn.XLOOKUP(tbl_Ventes[[#This Row],[Cde_Prdt]], tbl_Produits[Cde_Prdt], tbl_Produits[Prix Menu]), 0)</f>
        <v>0</v>
      </c>
      <c r="H1003" s="7">
        <f>IFERROR(_xlfn.XLOOKUP(tbl_Ventes[[#This Row],[Cde_Prdt]], tbl_Produits[Cde_Prdt], tbl_Produits[Coût Moyen Portion]), 0)</f>
        <v>0</v>
      </c>
      <c r="I1003" s="7">
        <f>tbl_Ventes[[#This Row],[Qté Vendue]] * tbl_Ventes[[#This Row],[CMP_par_portion]]</f>
        <v>0</v>
      </c>
      <c r="J1003" s="7">
        <f>tbl_Ventes[[#This Row],[CA ligne]] - tbl_Ventes[[#This Row],[Coût matière ligne]]</f>
        <v>0</v>
      </c>
      <c r="K1003" s="7" t="str">
        <f>IFERROR(INDEX(tbl_ProduitsRef[Famille], MATCH(tbl_Ventes[[#This Row],[Cde_Prdt]], tbl_Produits[Cde_Prdt], 0)), "")</f>
        <v/>
      </c>
    </row>
    <row r="1004" spans="1:11" x14ac:dyDescent="0.25">
      <c r="A1004" s="5"/>
      <c r="B1004" s="63" t="str">
        <f>IFERROR(TEXT(tbl_Ventes[[#This Row],[Date]],"mm-aaaa"),"")</f>
        <v>01-1900</v>
      </c>
      <c r="D1004" s="10" t="str">
        <f>IFERROR(
   INDEX(tbl_ProduitsRef[Cde_Prdt],MATCH(tbl_Ventes[[#This Row],[Produit]],tbl_ProduitsRef[Produit],0)),
   ""
)</f>
        <v/>
      </c>
      <c r="E1004" s="7">
        <v>0</v>
      </c>
      <c r="F1004" s="7" t="str">
        <f>IFERROR(
   INDEX(tbl_ProduitsRef[Prix Menu],MATCH(tbl_Ventes[[#This Row],[Produit]],tbl_ProduitsRef[Produit],0)),
   ""
)</f>
        <v/>
      </c>
      <c r="G1004" s="7">
        <f>tbl_Ventes[[#This Row],[Qté Vendue]] * IFERROR(_xlfn.XLOOKUP(tbl_Ventes[[#This Row],[Cde_Prdt]], tbl_Produits[Cde_Prdt], tbl_Produits[Prix Menu]), 0)</f>
        <v>0</v>
      </c>
      <c r="H1004" s="7">
        <f>IFERROR(_xlfn.XLOOKUP(tbl_Ventes[[#This Row],[Cde_Prdt]], tbl_Produits[Cde_Prdt], tbl_Produits[Coût Moyen Portion]), 0)</f>
        <v>0</v>
      </c>
      <c r="I1004" s="7">
        <f>tbl_Ventes[[#This Row],[Qté Vendue]] * tbl_Ventes[[#This Row],[CMP_par_portion]]</f>
        <v>0</v>
      </c>
      <c r="J1004" s="7">
        <f>tbl_Ventes[[#This Row],[CA ligne]] - tbl_Ventes[[#This Row],[Coût matière ligne]]</f>
        <v>0</v>
      </c>
      <c r="K1004" s="7" t="str">
        <f>IFERROR(INDEX(tbl_ProduitsRef[Famille], MATCH(tbl_Ventes[[#This Row],[Cde_Prdt]], tbl_Produits[Cde_Prdt], 0)), "")</f>
        <v/>
      </c>
    </row>
    <row r="1005" spans="1:11" x14ac:dyDescent="0.25">
      <c r="A1005" s="5"/>
      <c r="B1005" s="63" t="str">
        <f>IFERROR(TEXT(tbl_Ventes[[#This Row],[Date]],"mm-aaaa"),"")</f>
        <v>01-1900</v>
      </c>
      <c r="D1005" s="10" t="str">
        <f>IFERROR(
   INDEX(tbl_ProduitsRef[Cde_Prdt],MATCH(tbl_Ventes[[#This Row],[Produit]],tbl_ProduitsRef[Produit],0)),
   ""
)</f>
        <v/>
      </c>
      <c r="E1005" s="7">
        <v>0</v>
      </c>
      <c r="F1005" s="7" t="str">
        <f>IFERROR(
   INDEX(tbl_ProduitsRef[Prix Menu],MATCH(tbl_Ventes[[#This Row],[Produit]],tbl_ProduitsRef[Produit],0)),
   ""
)</f>
        <v/>
      </c>
      <c r="G1005" s="7">
        <f>tbl_Ventes[[#This Row],[Qté Vendue]] * IFERROR(_xlfn.XLOOKUP(tbl_Ventes[[#This Row],[Cde_Prdt]], tbl_Produits[Cde_Prdt], tbl_Produits[Prix Menu]), 0)</f>
        <v>0</v>
      </c>
      <c r="H1005" s="7">
        <f>IFERROR(_xlfn.XLOOKUP(tbl_Ventes[[#This Row],[Cde_Prdt]], tbl_Produits[Cde_Prdt], tbl_Produits[Coût Moyen Portion]), 0)</f>
        <v>0</v>
      </c>
      <c r="I1005" s="7">
        <f>tbl_Ventes[[#This Row],[Qté Vendue]] * tbl_Ventes[[#This Row],[CMP_par_portion]]</f>
        <v>0</v>
      </c>
      <c r="J1005" s="7">
        <f>tbl_Ventes[[#This Row],[CA ligne]] - tbl_Ventes[[#This Row],[Coût matière ligne]]</f>
        <v>0</v>
      </c>
      <c r="K1005" s="7" t="str">
        <f>IFERROR(INDEX(tbl_ProduitsRef[Famille], MATCH(tbl_Ventes[[#This Row],[Cde_Prdt]], tbl_Produits[Cde_Prdt], 0)), "")</f>
        <v/>
      </c>
    </row>
    <row r="1006" spans="1:11" x14ac:dyDescent="0.25">
      <c r="A1006" s="5"/>
      <c r="B1006" s="63" t="str">
        <f>IFERROR(TEXT(tbl_Ventes[[#This Row],[Date]],"mm-aaaa"),"")</f>
        <v>01-1900</v>
      </c>
      <c r="D1006" s="10" t="str">
        <f>IFERROR(
   INDEX(tbl_ProduitsRef[Cde_Prdt],MATCH(tbl_Ventes[[#This Row],[Produit]],tbl_ProduitsRef[Produit],0)),
   ""
)</f>
        <v/>
      </c>
      <c r="E1006" s="7">
        <v>0</v>
      </c>
      <c r="F1006" s="7" t="str">
        <f>IFERROR(
   INDEX(tbl_ProduitsRef[Prix Menu],MATCH(tbl_Ventes[[#This Row],[Produit]],tbl_ProduitsRef[Produit],0)),
   ""
)</f>
        <v/>
      </c>
      <c r="G1006" s="7">
        <f>tbl_Ventes[[#This Row],[Qté Vendue]] * IFERROR(_xlfn.XLOOKUP(tbl_Ventes[[#This Row],[Cde_Prdt]], tbl_Produits[Cde_Prdt], tbl_Produits[Prix Menu]), 0)</f>
        <v>0</v>
      </c>
      <c r="H1006" s="7">
        <f>IFERROR(_xlfn.XLOOKUP(tbl_Ventes[[#This Row],[Cde_Prdt]], tbl_Produits[Cde_Prdt], tbl_Produits[Coût Moyen Portion]), 0)</f>
        <v>0</v>
      </c>
      <c r="I1006" s="7">
        <f>tbl_Ventes[[#This Row],[Qté Vendue]] * tbl_Ventes[[#This Row],[CMP_par_portion]]</f>
        <v>0</v>
      </c>
      <c r="J1006" s="7">
        <f>tbl_Ventes[[#This Row],[CA ligne]] - tbl_Ventes[[#This Row],[Coût matière ligne]]</f>
        <v>0</v>
      </c>
      <c r="K1006" s="7" t="str">
        <f>IFERROR(INDEX(tbl_ProduitsRef[Famille], MATCH(tbl_Ventes[[#This Row],[Cde_Prdt]], tbl_Produits[Cde_Prdt], 0)), "")</f>
        <v/>
      </c>
    </row>
    <row r="1007" spans="1:11" x14ac:dyDescent="0.25">
      <c r="A1007" s="5"/>
      <c r="B1007" s="63" t="str">
        <f>IFERROR(TEXT(tbl_Ventes[[#This Row],[Date]],"mm-aaaa"),"")</f>
        <v>01-1900</v>
      </c>
      <c r="D1007" s="10" t="str">
        <f>IFERROR(
   INDEX(tbl_ProduitsRef[Cde_Prdt],MATCH(tbl_Ventes[[#This Row],[Produit]],tbl_ProduitsRef[Produit],0)),
   ""
)</f>
        <v/>
      </c>
      <c r="E1007" s="7">
        <v>0</v>
      </c>
      <c r="F1007" s="7" t="str">
        <f>IFERROR(
   INDEX(tbl_ProduitsRef[Prix Menu],MATCH(tbl_Ventes[[#This Row],[Produit]],tbl_ProduitsRef[Produit],0)),
   ""
)</f>
        <v/>
      </c>
      <c r="G1007" s="7">
        <f>tbl_Ventes[[#This Row],[Qté Vendue]] * IFERROR(_xlfn.XLOOKUP(tbl_Ventes[[#This Row],[Cde_Prdt]], tbl_Produits[Cde_Prdt], tbl_Produits[Prix Menu]), 0)</f>
        <v>0</v>
      </c>
      <c r="H1007" s="7">
        <f>IFERROR(_xlfn.XLOOKUP(tbl_Ventes[[#This Row],[Cde_Prdt]], tbl_Produits[Cde_Prdt], tbl_Produits[Coût Moyen Portion]), 0)</f>
        <v>0</v>
      </c>
      <c r="I1007" s="7">
        <f>tbl_Ventes[[#This Row],[Qté Vendue]] * tbl_Ventes[[#This Row],[CMP_par_portion]]</f>
        <v>0</v>
      </c>
      <c r="J1007" s="7">
        <f>tbl_Ventes[[#This Row],[CA ligne]] - tbl_Ventes[[#This Row],[Coût matière ligne]]</f>
        <v>0</v>
      </c>
      <c r="K1007" s="7" t="str">
        <f>IFERROR(INDEX(tbl_ProduitsRef[Famille], MATCH(tbl_Ventes[[#This Row],[Cde_Prdt]], tbl_Produits[Cde_Prdt], 0)), "")</f>
        <v/>
      </c>
    </row>
    <row r="1008" spans="1:11" x14ac:dyDescent="0.25">
      <c r="A1008" s="5"/>
      <c r="B1008" s="63" t="str">
        <f>IFERROR(TEXT(tbl_Ventes[[#This Row],[Date]],"mm-aaaa"),"")</f>
        <v>01-1900</v>
      </c>
      <c r="D1008" s="10" t="str">
        <f>IFERROR(
   INDEX(tbl_ProduitsRef[Cde_Prdt],MATCH(tbl_Ventes[[#This Row],[Produit]],tbl_ProduitsRef[Produit],0)),
   ""
)</f>
        <v/>
      </c>
      <c r="E1008" s="7">
        <v>0</v>
      </c>
      <c r="F1008" s="7" t="str">
        <f>IFERROR(
   INDEX(tbl_ProduitsRef[Prix Menu],MATCH(tbl_Ventes[[#This Row],[Produit]],tbl_ProduitsRef[Produit],0)),
   ""
)</f>
        <v/>
      </c>
      <c r="G1008" s="7">
        <f>tbl_Ventes[[#This Row],[Qté Vendue]] * IFERROR(_xlfn.XLOOKUP(tbl_Ventes[[#This Row],[Cde_Prdt]], tbl_Produits[Cde_Prdt], tbl_Produits[Prix Menu]), 0)</f>
        <v>0</v>
      </c>
      <c r="H1008" s="7">
        <f>IFERROR(_xlfn.XLOOKUP(tbl_Ventes[[#This Row],[Cde_Prdt]], tbl_Produits[Cde_Prdt], tbl_Produits[Coût Moyen Portion]), 0)</f>
        <v>0</v>
      </c>
      <c r="I1008" s="7">
        <f>tbl_Ventes[[#This Row],[Qté Vendue]] * tbl_Ventes[[#This Row],[CMP_par_portion]]</f>
        <v>0</v>
      </c>
      <c r="J1008" s="7">
        <f>tbl_Ventes[[#This Row],[CA ligne]] - tbl_Ventes[[#This Row],[Coût matière ligne]]</f>
        <v>0</v>
      </c>
      <c r="K1008" s="7" t="str">
        <f>IFERROR(INDEX(tbl_ProduitsRef[Famille], MATCH(tbl_Ventes[[#This Row],[Cde_Prdt]], tbl_Produits[Cde_Prdt], 0)), "")</f>
        <v/>
      </c>
    </row>
    <row r="1009" spans="1:11" x14ac:dyDescent="0.25">
      <c r="A1009" s="5"/>
      <c r="B1009" s="63" t="str">
        <f>IFERROR(TEXT(tbl_Ventes[[#This Row],[Date]],"mm-aaaa"),"")</f>
        <v>01-1900</v>
      </c>
      <c r="D1009" s="10" t="str">
        <f>IFERROR(
   INDEX(tbl_ProduitsRef[Cde_Prdt],MATCH(tbl_Ventes[[#This Row],[Produit]],tbl_ProduitsRef[Produit],0)),
   ""
)</f>
        <v/>
      </c>
      <c r="E1009" s="7">
        <v>0</v>
      </c>
      <c r="F1009" s="7" t="str">
        <f>IFERROR(
   INDEX(tbl_ProduitsRef[Prix Menu],MATCH(tbl_Ventes[[#This Row],[Produit]],tbl_ProduitsRef[Produit],0)),
   ""
)</f>
        <v/>
      </c>
      <c r="G1009" s="7">
        <f>tbl_Ventes[[#This Row],[Qté Vendue]] * IFERROR(_xlfn.XLOOKUP(tbl_Ventes[[#This Row],[Cde_Prdt]], tbl_Produits[Cde_Prdt], tbl_Produits[Prix Menu]), 0)</f>
        <v>0</v>
      </c>
      <c r="H1009" s="7">
        <f>IFERROR(_xlfn.XLOOKUP(tbl_Ventes[[#This Row],[Cde_Prdt]], tbl_Produits[Cde_Prdt], tbl_Produits[Coût Moyen Portion]), 0)</f>
        <v>0</v>
      </c>
      <c r="I1009" s="7">
        <f>tbl_Ventes[[#This Row],[Qté Vendue]] * tbl_Ventes[[#This Row],[CMP_par_portion]]</f>
        <v>0</v>
      </c>
      <c r="J1009" s="7">
        <f>tbl_Ventes[[#This Row],[CA ligne]] - tbl_Ventes[[#This Row],[Coût matière ligne]]</f>
        <v>0</v>
      </c>
      <c r="K1009" s="7" t="str">
        <f>IFERROR(INDEX(tbl_ProduitsRef[Famille], MATCH(tbl_Ventes[[#This Row],[Cde_Prdt]], tbl_Produits[Cde_Prdt], 0)), "")</f>
        <v/>
      </c>
    </row>
    <row r="1010" spans="1:11" x14ac:dyDescent="0.25">
      <c r="A1010" s="5"/>
      <c r="B1010" s="63" t="str">
        <f>IFERROR(TEXT(tbl_Ventes[[#This Row],[Date]],"mm-aaaa"),"")</f>
        <v>01-1900</v>
      </c>
      <c r="D1010" s="10" t="str">
        <f>IFERROR(
   INDEX(tbl_ProduitsRef[Cde_Prdt],MATCH(tbl_Ventes[[#This Row],[Produit]],tbl_ProduitsRef[Produit],0)),
   ""
)</f>
        <v/>
      </c>
      <c r="E1010" s="7">
        <v>0</v>
      </c>
      <c r="F1010" s="7" t="str">
        <f>IFERROR(
   INDEX(tbl_ProduitsRef[Prix Menu],MATCH(tbl_Ventes[[#This Row],[Produit]],tbl_ProduitsRef[Produit],0)),
   ""
)</f>
        <v/>
      </c>
      <c r="G1010" s="7">
        <f>tbl_Ventes[[#This Row],[Qté Vendue]] * IFERROR(_xlfn.XLOOKUP(tbl_Ventes[[#This Row],[Cde_Prdt]], tbl_Produits[Cde_Prdt], tbl_Produits[Prix Menu]), 0)</f>
        <v>0</v>
      </c>
      <c r="H1010" s="7">
        <f>IFERROR(_xlfn.XLOOKUP(tbl_Ventes[[#This Row],[Cde_Prdt]], tbl_Produits[Cde_Prdt], tbl_Produits[Coût Moyen Portion]), 0)</f>
        <v>0</v>
      </c>
      <c r="I1010" s="7">
        <f>tbl_Ventes[[#This Row],[Qté Vendue]] * tbl_Ventes[[#This Row],[CMP_par_portion]]</f>
        <v>0</v>
      </c>
      <c r="J1010" s="7">
        <f>tbl_Ventes[[#This Row],[CA ligne]] - tbl_Ventes[[#This Row],[Coût matière ligne]]</f>
        <v>0</v>
      </c>
      <c r="K1010" s="7" t="str">
        <f>IFERROR(INDEX(tbl_ProduitsRef[Famille], MATCH(tbl_Ventes[[#This Row],[Cde_Prdt]], tbl_Produits[Cde_Prdt], 0)), "")</f>
        <v/>
      </c>
    </row>
    <row r="1011" spans="1:11" x14ac:dyDescent="0.25">
      <c r="A1011" s="5"/>
      <c r="B1011" s="63" t="str">
        <f>IFERROR(TEXT(tbl_Ventes[[#This Row],[Date]],"mm-aaaa"),"")</f>
        <v>01-1900</v>
      </c>
      <c r="D1011" s="10" t="str">
        <f>IFERROR(
   INDEX(tbl_ProduitsRef[Cde_Prdt],MATCH(tbl_Ventes[[#This Row],[Produit]],tbl_ProduitsRef[Produit],0)),
   ""
)</f>
        <v/>
      </c>
      <c r="E1011" s="7">
        <v>0</v>
      </c>
      <c r="F1011" s="7" t="str">
        <f>IFERROR(
   INDEX(tbl_ProduitsRef[Prix Menu],MATCH(tbl_Ventes[[#This Row],[Produit]],tbl_ProduitsRef[Produit],0)),
   ""
)</f>
        <v/>
      </c>
      <c r="G1011" s="7">
        <f>tbl_Ventes[[#This Row],[Qté Vendue]] * IFERROR(_xlfn.XLOOKUP(tbl_Ventes[[#This Row],[Cde_Prdt]], tbl_Produits[Cde_Prdt], tbl_Produits[Prix Menu]), 0)</f>
        <v>0</v>
      </c>
      <c r="H1011" s="7">
        <f>IFERROR(_xlfn.XLOOKUP(tbl_Ventes[[#This Row],[Cde_Prdt]], tbl_Produits[Cde_Prdt], tbl_Produits[Coût Moyen Portion]), 0)</f>
        <v>0</v>
      </c>
      <c r="I1011" s="7">
        <f>tbl_Ventes[[#This Row],[Qté Vendue]] * tbl_Ventes[[#This Row],[CMP_par_portion]]</f>
        <v>0</v>
      </c>
      <c r="J1011" s="7">
        <f>tbl_Ventes[[#This Row],[CA ligne]] - tbl_Ventes[[#This Row],[Coût matière ligne]]</f>
        <v>0</v>
      </c>
      <c r="K1011" s="7" t="str">
        <f>IFERROR(INDEX(tbl_ProduitsRef[Famille], MATCH(tbl_Ventes[[#This Row],[Cde_Prdt]], tbl_Produits[Cde_Prdt], 0)), "")</f>
        <v/>
      </c>
    </row>
    <row r="1012" spans="1:11" x14ac:dyDescent="0.25">
      <c r="A1012" s="5"/>
      <c r="B1012" s="63" t="str">
        <f>IFERROR(TEXT(tbl_Ventes[[#This Row],[Date]],"mm-aaaa"),"")</f>
        <v>01-1900</v>
      </c>
      <c r="D1012" s="10" t="str">
        <f>IFERROR(
   INDEX(tbl_ProduitsRef[Cde_Prdt],MATCH(tbl_Ventes[[#This Row],[Produit]],tbl_ProduitsRef[Produit],0)),
   ""
)</f>
        <v/>
      </c>
      <c r="E1012" s="7">
        <v>0</v>
      </c>
      <c r="F1012" s="7" t="str">
        <f>IFERROR(
   INDEX(tbl_ProduitsRef[Prix Menu],MATCH(tbl_Ventes[[#This Row],[Produit]],tbl_ProduitsRef[Produit],0)),
   ""
)</f>
        <v/>
      </c>
      <c r="G1012" s="7">
        <f>tbl_Ventes[[#This Row],[Qté Vendue]] * IFERROR(_xlfn.XLOOKUP(tbl_Ventes[[#This Row],[Cde_Prdt]], tbl_Produits[Cde_Prdt], tbl_Produits[Prix Menu]), 0)</f>
        <v>0</v>
      </c>
      <c r="H1012" s="7">
        <f>IFERROR(_xlfn.XLOOKUP(tbl_Ventes[[#This Row],[Cde_Prdt]], tbl_Produits[Cde_Prdt], tbl_Produits[Coût Moyen Portion]), 0)</f>
        <v>0</v>
      </c>
      <c r="I1012" s="7">
        <f>tbl_Ventes[[#This Row],[Qté Vendue]] * tbl_Ventes[[#This Row],[CMP_par_portion]]</f>
        <v>0</v>
      </c>
      <c r="J1012" s="7">
        <f>tbl_Ventes[[#This Row],[CA ligne]] - tbl_Ventes[[#This Row],[Coût matière ligne]]</f>
        <v>0</v>
      </c>
      <c r="K1012" s="7" t="str">
        <f>IFERROR(INDEX(tbl_ProduitsRef[Famille], MATCH(tbl_Ventes[[#This Row],[Cde_Prdt]], tbl_Produits[Cde_Prdt], 0)), "")</f>
        <v/>
      </c>
    </row>
    <row r="1013" spans="1:11" x14ac:dyDescent="0.25">
      <c r="A1013" s="5"/>
      <c r="B1013" s="63" t="str">
        <f>IFERROR(TEXT(tbl_Ventes[[#This Row],[Date]],"mm-aaaa"),"")</f>
        <v>01-1900</v>
      </c>
      <c r="D1013" s="10" t="str">
        <f>IFERROR(
   INDEX(tbl_ProduitsRef[Cde_Prdt],MATCH(tbl_Ventes[[#This Row],[Produit]],tbl_ProduitsRef[Produit],0)),
   ""
)</f>
        <v/>
      </c>
      <c r="E1013" s="7">
        <v>0</v>
      </c>
      <c r="F1013" s="7" t="str">
        <f>IFERROR(
   INDEX(tbl_ProduitsRef[Prix Menu],MATCH(tbl_Ventes[[#This Row],[Produit]],tbl_ProduitsRef[Produit],0)),
   ""
)</f>
        <v/>
      </c>
      <c r="G1013" s="7">
        <f>tbl_Ventes[[#This Row],[Qté Vendue]] * IFERROR(_xlfn.XLOOKUP(tbl_Ventes[[#This Row],[Cde_Prdt]], tbl_Produits[Cde_Prdt], tbl_Produits[Prix Menu]), 0)</f>
        <v>0</v>
      </c>
      <c r="H1013" s="7">
        <f>IFERROR(_xlfn.XLOOKUP(tbl_Ventes[[#This Row],[Cde_Prdt]], tbl_Produits[Cde_Prdt], tbl_Produits[Coût Moyen Portion]), 0)</f>
        <v>0</v>
      </c>
      <c r="I1013" s="7">
        <f>tbl_Ventes[[#This Row],[Qté Vendue]] * tbl_Ventes[[#This Row],[CMP_par_portion]]</f>
        <v>0</v>
      </c>
      <c r="J1013" s="7">
        <f>tbl_Ventes[[#This Row],[CA ligne]] - tbl_Ventes[[#This Row],[Coût matière ligne]]</f>
        <v>0</v>
      </c>
      <c r="K1013" s="7" t="str">
        <f>IFERROR(INDEX(tbl_ProduitsRef[Famille], MATCH(tbl_Ventes[[#This Row],[Cde_Prdt]], tbl_Produits[Cde_Prdt], 0)), "")</f>
        <v/>
      </c>
    </row>
    <row r="1014" spans="1:11" x14ac:dyDescent="0.25">
      <c r="A1014" s="5"/>
      <c r="B1014" s="63" t="str">
        <f>IFERROR(TEXT(tbl_Ventes[[#This Row],[Date]],"mm-aaaa"),"")</f>
        <v>01-1900</v>
      </c>
      <c r="D1014" s="10" t="str">
        <f>IFERROR(
   INDEX(tbl_ProduitsRef[Cde_Prdt],MATCH(tbl_Ventes[[#This Row],[Produit]],tbl_ProduitsRef[Produit],0)),
   ""
)</f>
        <v/>
      </c>
      <c r="E1014" s="7">
        <v>0</v>
      </c>
      <c r="F1014" s="7" t="str">
        <f>IFERROR(
   INDEX(tbl_ProduitsRef[Prix Menu],MATCH(tbl_Ventes[[#This Row],[Produit]],tbl_ProduitsRef[Produit],0)),
   ""
)</f>
        <v/>
      </c>
      <c r="G1014" s="7">
        <f>tbl_Ventes[[#This Row],[Qté Vendue]] * IFERROR(_xlfn.XLOOKUP(tbl_Ventes[[#This Row],[Cde_Prdt]], tbl_Produits[Cde_Prdt], tbl_Produits[Prix Menu]), 0)</f>
        <v>0</v>
      </c>
      <c r="H1014" s="7">
        <f>IFERROR(_xlfn.XLOOKUP(tbl_Ventes[[#This Row],[Cde_Prdt]], tbl_Produits[Cde_Prdt], tbl_Produits[Coût Moyen Portion]), 0)</f>
        <v>0</v>
      </c>
      <c r="I1014" s="7">
        <f>tbl_Ventes[[#This Row],[Qté Vendue]] * tbl_Ventes[[#This Row],[CMP_par_portion]]</f>
        <v>0</v>
      </c>
      <c r="J1014" s="7">
        <f>tbl_Ventes[[#This Row],[CA ligne]] - tbl_Ventes[[#This Row],[Coût matière ligne]]</f>
        <v>0</v>
      </c>
      <c r="K1014" s="7" t="str">
        <f>IFERROR(INDEX(tbl_ProduitsRef[Famille], MATCH(tbl_Ventes[[#This Row],[Cde_Prdt]], tbl_Produits[Cde_Prdt], 0)), "")</f>
        <v/>
      </c>
    </row>
    <row r="1015" spans="1:11" x14ac:dyDescent="0.25">
      <c r="A1015" s="5"/>
      <c r="B1015" s="63" t="str">
        <f>IFERROR(TEXT(tbl_Ventes[[#This Row],[Date]],"mm-aaaa"),"")</f>
        <v>01-1900</v>
      </c>
      <c r="D1015" s="10" t="str">
        <f>IFERROR(
   INDEX(tbl_ProduitsRef[Cde_Prdt],MATCH(tbl_Ventes[[#This Row],[Produit]],tbl_ProduitsRef[Produit],0)),
   ""
)</f>
        <v/>
      </c>
      <c r="E1015" s="7">
        <v>0</v>
      </c>
      <c r="F1015" s="7" t="str">
        <f>IFERROR(
   INDEX(tbl_ProduitsRef[Prix Menu],MATCH(tbl_Ventes[[#This Row],[Produit]],tbl_ProduitsRef[Produit],0)),
   ""
)</f>
        <v/>
      </c>
      <c r="G1015" s="7">
        <f>tbl_Ventes[[#This Row],[Qté Vendue]] * IFERROR(_xlfn.XLOOKUP(tbl_Ventes[[#This Row],[Cde_Prdt]], tbl_Produits[Cde_Prdt], tbl_Produits[Prix Menu]), 0)</f>
        <v>0</v>
      </c>
      <c r="H1015" s="7">
        <f>IFERROR(_xlfn.XLOOKUP(tbl_Ventes[[#This Row],[Cde_Prdt]], tbl_Produits[Cde_Prdt], tbl_Produits[Coût Moyen Portion]), 0)</f>
        <v>0</v>
      </c>
      <c r="I1015" s="7">
        <f>tbl_Ventes[[#This Row],[Qté Vendue]] * tbl_Ventes[[#This Row],[CMP_par_portion]]</f>
        <v>0</v>
      </c>
      <c r="J1015" s="7">
        <f>tbl_Ventes[[#This Row],[CA ligne]] - tbl_Ventes[[#This Row],[Coût matière ligne]]</f>
        <v>0</v>
      </c>
      <c r="K1015" s="7" t="str">
        <f>IFERROR(INDEX(tbl_ProduitsRef[Famille], MATCH(tbl_Ventes[[#This Row],[Cde_Prdt]], tbl_Produits[Cde_Prdt], 0)), "")</f>
        <v/>
      </c>
    </row>
    <row r="1016" spans="1:11" x14ac:dyDescent="0.25">
      <c r="A1016" s="5"/>
      <c r="B1016" s="63" t="str">
        <f>IFERROR(TEXT(tbl_Ventes[[#This Row],[Date]],"mm-aaaa"),"")</f>
        <v>01-1900</v>
      </c>
      <c r="D1016" s="10" t="str">
        <f>IFERROR(
   INDEX(tbl_ProduitsRef[Cde_Prdt],MATCH(tbl_Ventes[[#This Row],[Produit]],tbl_ProduitsRef[Produit],0)),
   ""
)</f>
        <v/>
      </c>
      <c r="E1016" s="7">
        <v>0</v>
      </c>
      <c r="F1016" s="7" t="str">
        <f>IFERROR(
   INDEX(tbl_ProduitsRef[Prix Menu],MATCH(tbl_Ventes[[#This Row],[Produit]],tbl_ProduitsRef[Produit],0)),
   ""
)</f>
        <v/>
      </c>
      <c r="G1016" s="7">
        <f>tbl_Ventes[[#This Row],[Qté Vendue]] * IFERROR(_xlfn.XLOOKUP(tbl_Ventes[[#This Row],[Cde_Prdt]], tbl_Produits[Cde_Prdt], tbl_Produits[Prix Menu]), 0)</f>
        <v>0</v>
      </c>
      <c r="H1016" s="7">
        <f>IFERROR(_xlfn.XLOOKUP(tbl_Ventes[[#This Row],[Cde_Prdt]], tbl_Produits[Cde_Prdt], tbl_Produits[Coût Moyen Portion]), 0)</f>
        <v>0</v>
      </c>
      <c r="I1016" s="7">
        <f>tbl_Ventes[[#This Row],[Qté Vendue]] * tbl_Ventes[[#This Row],[CMP_par_portion]]</f>
        <v>0</v>
      </c>
      <c r="J1016" s="7">
        <f>tbl_Ventes[[#This Row],[CA ligne]] - tbl_Ventes[[#This Row],[Coût matière ligne]]</f>
        <v>0</v>
      </c>
      <c r="K1016" s="7" t="str">
        <f>IFERROR(INDEX(tbl_ProduitsRef[Famille], MATCH(tbl_Ventes[[#This Row],[Cde_Prdt]], tbl_Produits[Cde_Prdt], 0)), "")</f>
        <v/>
      </c>
    </row>
    <row r="1017" spans="1:11" x14ac:dyDescent="0.25">
      <c r="A1017" s="5"/>
      <c r="B1017" s="63" t="str">
        <f>IFERROR(TEXT(tbl_Ventes[[#This Row],[Date]],"mm-aaaa"),"")</f>
        <v>01-1900</v>
      </c>
      <c r="D1017" s="10" t="str">
        <f>IFERROR(
   INDEX(tbl_ProduitsRef[Cde_Prdt],MATCH(tbl_Ventes[[#This Row],[Produit]],tbl_ProduitsRef[Produit],0)),
   ""
)</f>
        <v/>
      </c>
      <c r="E1017" s="7">
        <v>0</v>
      </c>
      <c r="F1017" s="7" t="str">
        <f>IFERROR(
   INDEX(tbl_ProduitsRef[Prix Menu],MATCH(tbl_Ventes[[#This Row],[Produit]],tbl_ProduitsRef[Produit],0)),
   ""
)</f>
        <v/>
      </c>
      <c r="G1017" s="7">
        <f>tbl_Ventes[[#This Row],[Qté Vendue]] * IFERROR(_xlfn.XLOOKUP(tbl_Ventes[[#This Row],[Cde_Prdt]], tbl_Produits[Cde_Prdt], tbl_Produits[Prix Menu]), 0)</f>
        <v>0</v>
      </c>
      <c r="H1017" s="7">
        <f>IFERROR(_xlfn.XLOOKUP(tbl_Ventes[[#This Row],[Cde_Prdt]], tbl_Produits[Cde_Prdt], tbl_Produits[Coût Moyen Portion]), 0)</f>
        <v>0</v>
      </c>
      <c r="I1017" s="7">
        <f>tbl_Ventes[[#This Row],[Qté Vendue]] * tbl_Ventes[[#This Row],[CMP_par_portion]]</f>
        <v>0</v>
      </c>
      <c r="J1017" s="7">
        <f>tbl_Ventes[[#This Row],[CA ligne]] - tbl_Ventes[[#This Row],[Coût matière ligne]]</f>
        <v>0</v>
      </c>
      <c r="K1017" s="7" t="str">
        <f>IFERROR(INDEX(tbl_ProduitsRef[Famille], MATCH(tbl_Ventes[[#This Row],[Cde_Prdt]], tbl_Produits[Cde_Prdt], 0)), "")</f>
        <v/>
      </c>
    </row>
    <row r="1018" spans="1:11" x14ac:dyDescent="0.25">
      <c r="A1018" s="5"/>
      <c r="B1018" s="63" t="str">
        <f>IFERROR(TEXT(tbl_Ventes[[#This Row],[Date]],"mm-aaaa"),"")</f>
        <v>01-1900</v>
      </c>
      <c r="D1018" s="10" t="str">
        <f>IFERROR(
   INDEX(tbl_ProduitsRef[Cde_Prdt],MATCH(tbl_Ventes[[#This Row],[Produit]],tbl_ProduitsRef[Produit],0)),
   ""
)</f>
        <v/>
      </c>
      <c r="E1018" s="7">
        <v>0</v>
      </c>
      <c r="F1018" s="7" t="str">
        <f>IFERROR(
   INDEX(tbl_ProduitsRef[Prix Menu],MATCH(tbl_Ventes[[#This Row],[Produit]],tbl_ProduitsRef[Produit],0)),
   ""
)</f>
        <v/>
      </c>
      <c r="G1018" s="7">
        <f>tbl_Ventes[[#This Row],[Qté Vendue]] * IFERROR(_xlfn.XLOOKUP(tbl_Ventes[[#This Row],[Cde_Prdt]], tbl_Produits[Cde_Prdt], tbl_Produits[Prix Menu]), 0)</f>
        <v>0</v>
      </c>
      <c r="H1018" s="7">
        <f>IFERROR(_xlfn.XLOOKUP(tbl_Ventes[[#This Row],[Cde_Prdt]], tbl_Produits[Cde_Prdt], tbl_Produits[Coût Moyen Portion]), 0)</f>
        <v>0</v>
      </c>
      <c r="I1018" s="7">
        <f>tbl_Ventes[[#This Row],[Qté Vendue]] * tbl_Ventes[[#This Row],[CMP_par_portion]]</f>
        <v>0</v>
      </c>
      <c r="J1018" s="7">
        <f>tbl_Ventes[[#This Row],[CA ligne]] - tbl_Ventes[[#This Row],[Coût matière ligne]]</f>
        <v>0</v>
      </c>
      <c r="K1018" s="7" t="str">
        <f>IFERROR(INDEX(tbl_ProduitsRef[Famille], MATCH(tbl_Ventes[[#This Row],[Cde_Prdt]], tbl_Produits[Cde_Prdt], 0)), "")</f>
        <v/>
      </c>
    </row>
    <row r="1019" spans="1:11" x14ac:dyDescent="0.25">
      <c r="A1019" s="5"/>
      <c r="B1019" s="63" t="str">
        <f>IFERROR(TEXT(tbl_Ventes[[#This Row],[Date]],"mm-aaaa"),"")</f>
        <v>01-1900</v>
      </c>
      <c r="D1019" s="10" t="str">
        <f>IFERROR(
   INDEX(tbl_ProduitsRef[Cde_Prdt],MATCH(tbl_Ventes[[#This Row],[Produit]],tbl_ProduitsRef[Produit],0)),
   ""
)</f>
        <v/>
      </c>
      <c r="E1019" s="7">
        <v>0</v>
      </c>
      <c r="F1019" s="7" t="str">
        <f>IFERROR(
   INDEX(tbl_ProduitsRef[Prix Menu],MATCH(tbl_Ventes[[#This Row],[Produit]],tbl_ProduitsRef[Produit],0)),
   ""
)</f>
        <v/>
      </c>
      <c r="G1019" s="7">
        <f>tbl_Ventes[[#This Row],[Qté Vendue]] * IFERROR(_xlfn.XLOOKUP(tbl_Ventes[[#This Row],[Cde_Prdt]], tbl_Produits[Cde_Prdt], tbl_Produits[Prix Menu]), 0)</f>
        <v>0</v>
      </c>
      <c r="H1019" s="7">
        <f>IFERROR(_xlfn.XLOOKUP(tbl_Ventes[[#This Row],[Cde_Prdt]], tbl_Produits[Cde_Prdt], tbl_Produits[Coût Moyen Portion]), 0)</f>
        <v>0</v>
      </c>
      <c r="I1019" s="7">
        <f>tbl_Ventes[[#This Row],[Qté Vendue]] * tbl_Ventes[[#This Row],[CMP_par_portion]]</f>
        <v>0</v>
      </c>
      <c r="J1019" s="7">
        <f>tbl_Ventes[[#This Row],[CA ligne]] - tbl_Ventes[[#This Row],[Coût matière ligne]]</f>
        <v>0</v>
      </c>
      <c r="K1019" s="7" t="str">
        <f>IFERROR(INDEX(tbl_ProduitsRef[Famille], MATCH(tbl_Ventes[[#This Row],[Cde_Prdt]], tbl_Produits[Cde_Prdt], 0)), "")</f>
        <v/>
      </c>
    </row>
    <row r="1020" spans="1:11" x14ac:dyDescent="0.25">
      <c r="A1020" s="5"/>
      <c r="B1020" s="63" t="str">
        <f>IFERROR(TEXT(tbl_Ventes[[#This Row],[Date]],"mm-aaaa"),"")</f>
        <v>01-1900</v>
      </c>
      <c r="D1020" s="10" t="str">
        <f>IFERROR(
   INDEX(tbl_ProduitsRef[Cde_Prdt],MATCH(tbl_Ventes[[#This Row],[Produit]],tbl_ProduitsRef[Produit],0)),
   ""
)</f>
        <v/>
      </c>
      <c r="E1020" s="7">
        <v>0</v>
      </c>
      <c r="F1020" s="7" t="str">
        <f>IFERROR(
   INDEX(tbl_ProduitsRef[Prix Menu],MATCH(tbl_Ventes[[#This Row],[Produit]],tbl_ProduitsRef[Produit],0)),
   ""
)</f>
        <v/>
      </c>
      <c r="G1020" s="7">
        <f>tbl_Ventes[[#This Row],[Qté Vendue]] * IFERROR(_xlfn.XLOOKUP(tbl_Ventes[[#This Row],[Cde_Prdt]], tbl_Produits[Cde_Prdt], tbl_Produits[Prix Menu]), 0)</f>
        <v>0</v>
      </c>
      <c r="H1020" s="7">
        <f>IFERROR(_xlfn.XLOOKUP(tbl_Ventes[[#This Row],[Cde_Prdt]], tbl_Produits[Cde_Prdt], tbl_Produits[Coût Moyen Portion]), 0)</f>
        <v>0</v>
      </c>
      <c r="I1020" s="7">
        <f>tbl_Ventes[[#This Row],[Qté Vendue]] * tbl_Ventes[[#This Row],[CMP_par_portion]]</f>
        <v>0</v>
      </c>
      <c r="J1020" s="7">
        <f>tbl_Ventes[[#This Row],[CA ligne]] - tbl_Ventes[[#This Row],[Coût matière ligne]]</f>
        <v>0</v>
      </c>
      <c r="K1020" s="7" t="str">
        <f>IFERROR(INDEX(tbl_ProduitsRef[Famille], MATCH(tbl_Ventes[[#This Row],[Cde_Prdt]], tbl_Produits[Cde_Prdt], 0)), "")</f>
        <v/>
      </c>
    </row>
    <row r="1021" spans="1:11" x14ac:dyDescent="0.25">
      <c r="A1021" s="5"/>
      <c r="B1021" s="63" t="str">
        <f>IFERROR(TEXT(tbl_Ventes[[#This Row],[Date]],"mm-aaaa"),"")</f>
        <v>01-1900</v>
      </c>
      <c r="D1021" s="10" t="str">
        <f>IFERROR(
   INDEX(tbl_ProduitsRef[Cde_Prdt],MATCH(tbl_Ventes[[#This Row],[Produit]],tbl_ProduitsRef[Produit],0)),
   ""
)</f>
        <v/>
      </c>
      <c r="E1021" s="7">
        <v>0</v>
      </c>
      <c r="F1021" s="7" t="str">
        <f>IFERROR(
   INDEX(tbl_ProduitsRef[Prix Menu],MATCH(tbl_Ventes[[#This Row],[Produit]],tbl_ProduitsRef[Produit],0)),
   ""
)</f>
        <v/>
      </c>
      <c r="G1021" s="7">
        <f>tbl_Ventes[[#This Row],[Qté Vendue]] * IFERROR(_xlfn.XLOOKUP(tbl_Ventes[[#This Row],[Cde_Prdt]], tbl_Produits[Cde_Prdt], tbl_Produits[Prix Menu]), 0)</f>
        <v>0</v>
      </c>
      <c r="H1021" s="7">
        <f>IFERROR(_xlfn.XLOOKUP(tbl_Ventes[[#This Row],[Cde_Prdt]], tbl_Produits[Cde_Prdt], tbl_Produits[Coût Moyen Portion]), 0)</f>
        <v>0</v>
      </c>
      <c r="I1021" s="7">
        <f>tbl_Ventes[[#This Row],[Qté Vendue]] * tbl_Ventes[[#This Row],[CMP_par_portion]]</f>
        <v>0</v>
      </c>
      <c r="J1021" s="7">
        <f>tbl_Ventes[[#This Row],[CA ligne]] - tbl_Ventes[[#This Row],[Coût matière ligne]]</f>
        <v>0</v>
      </c>
      <c r="K1021" s="7" t="str">
        <f>IFERROR(INDEX(tbl_ProduitsRef[Famille], MATCH(tbl_Ventes[[#This Row],[Cde_Prdt]], tbl_Produits[Cde_Prdt], 0)), "")</f>
        <v/>
      </c>
    </row>
    <row r="1022" spans="1:11" x14ac:dyDescent="0.25">
      <c r="A1022" s="5"/>
      <c r="B1022" s="63" t="str">
        <f>IFERROR(TEXT(tbl_Ventes[[#This Row],[Date]],"mm-aaaa"),"")</f>
        <v>01-1900</v>
      </c>
      <c r="D1022" s="10" t="str">
        <f>IFERROR(
   INDEX(tbl_ProduitsRef[Cde_Prdt],MATCH(tbl_Ventes[[#This Row],[Produit]],tbl_ProduitsRef[Produit],0)),
   ""
)</f>
        <v/>
      </c>
      <c r="E1022" s="7">
        <v>0</v>
      </c>
      <c r="F1022" s="7" t="str">
        <f>IFERROR(
   INDEX(tbl_ProduitsRef[Prix Menu],MATCH(tbl_Ventes[[#This Row],[Produit]],tbl_ProduitsRef[Produit],0)),
   ""
)</f>
        <v/>
      </c>
      <c r="G1022" s="7">
        <f>tbl_Ventes[[#This Row],[Qté Vendue]] * IFERROR(_xlfn.XLOOKUP(tbl_Ventes[[#This Row],[Cde_Prdt]], tbl_Produits[Cde_Prdt], tbl_Produits[Prix Menu]), 0)</f>
        <v>0</v>
      </c>
      <c r="H1022" s="7">
        <f>IFERROR(_xlfn.XLOOKUP(tbl_Ventes[[#This Row],[Cde_Prdt]], tbl_Produits[Cde_Prdt], tbl_Produits[Coût Moyen Portion]), 0)</f>
        <v>0</v>
      </c>
      <c r="I1022" s="7">
        <f>tbl_Ventes[[#This Row],[Qté Vendue]] * tbl_Ventes[[#This Row],[CMP_par_portion]]</f>
        <v>0</v>
      </c>
      <c r="J1022" s="7">
        <f>tbl_Ventes[[#This Row],[CA ligne]] - tbl_Ventes[[#This Row],[Coût matière ligne]]</f>
        <v>0</v>
      </c>
      <c r="K1022" s="7" t="str">
        <f>IFERROR(INDEX(tbl_ProduitsRef[Famille], MATCH(tbl_Ventes[[#This Row],[Cde_Prdt]], tbl_Produits[Cde_Prdt], 0)), "")</f>
        <v/>
      </c>
    </row>
    <row r="1023" spans="1:11" x14ac:dyDescent="0.25">
      <c r="A1023" s="5"/>
      <c r="B1023" s="63" t="str">
        <f>IFERROR(TEXT(tbl_Ventes[[#This Row],[Date]],"mm-aaaa"),"")</f>
        <v>01-1900</v>
      </c>
      <c r="D1023" s="10" t="str">
        <f>IFERROR(
   INDEX(tbl_ProduitsRef[Cde_Prdt],MATCH(tbl_Ventes[[#This Row],[Produit]],tbl_ProduitsRef[Produit],0)),
   ""
)</f>
        <v/>
      </c>
      <c r="E1023" s="7">
        <v>0</v>
      </c>
      <c r="F1023" s="7" t="str">
        <f>IFERROR(
   INDEX(tbl_ProduitsRef[Prix Menu],MATCH(tbl_Ventes[[#This Row],[Produit]],tbl_ProduitsRef[Produit],0)),
   ""
)</f>
        <v/>
      </c>
      <c r="G1023" s="7">
        <f>tbl_Ventes[[#This Row],[Qté Vendue]] * IFERROR(_xlfn.XLOOKUP(tbl_Ventes[[#This Row],[Cde_Prdt]], tbl_Produits[Cde_Prdt], tbl_Produits[Prix Menu]), 0)</f>
        <v>0</v>
      </c>
      <c r="H1023" s="7">
        <f>IFERROR(_xlfn.XLOOKUP(tbl_Ventes[[#This Row],[Cde_Prdt]], tbl_Produits[Cde_Prdt], tbl_Produits[Coût Moyen Portion]), 0)</f>
        <v>0</v>
      </c>
      <c r="I1023" s="7">
        <f>tbl_Ventes[[#This Row],[Qté Vendue]] * tbl_Ventes[[#This Row],[CMP_par_portion]]</f>
        <v>0</v>
      </c>
      <c r="J1023" s="7">
        <f>tbl_Ventes[[#This Row],[CA ligne]] - tbl_Ventes[[#This Row],[Coût matière ligne]]</f>
        <v>0</v>
      </c>
      <c r="K1023" s="7" t="str">
        <f>IFERROR(INDEX(tbl_ProduitsRef[Famille], MATCH(tbl_Ventes[[#This Row],[Cde_Prdt]], tbl_Produits[Cde_Prdt], 0)), "")</f>
        <v/>
      </c>
    </row>
    <row r="1024" spans="1:11" x14ac:dyDescent="0.25">
      <c r="A1024" s="5"/>
      <c r="B1024" s="63" t="str">
        <f>IFERROR(TEXT(tbl_Ventes[[#This Row],[Date]],"mm-aaaa"),"")</f>
        <v>01-1900</v>
      </c>
      <c r="D1024" s="10" t="str">
        <f>IFERROR(
   INDEX(tbl_ProduitsRef[Cde_Prdt],MATCH(tbl_Ventes[[#This Row],[Produit]],tbl_ProduitsRef[Produit],0)),
   ""
)</f>
        <v/>
      </c>
      <c r="E1024" s="7">
        <v>0</v>
      </c>
      <c r="F1024" s="7" t="str">
        <f>IFERROR(
   INDEX(tbl_ProduitsRef[Prix Menu],MATCH(tbl_Ventes[[#This Row],[Produit]],tbl_ProduitsRef[Produit],0)),
   ""
)</f>
        <v/>
      </c>
      <c r="G1024" s="7">
        <f>tbl_Ventes[[#This Row],[Qté Vendue]] * IFERROR(_xlfn.XLOOKUP(tbl_Ventes[[#This Row],[Cde_Prdt]], tbl_Produits[Cde_Prdt], tbl_Produits[Prix Menu]), 0)</f>
        <v>0</v>
      </c>
      <c r="H1024" s="7">
        <f>IFERROR(_xlfn.XLOOKUP(tbl_Ventes[[#This Row],[Cde_Prdt]], tbl_Produits[Cde_Prdt], tbl_Produits[Coût Moyen Portion]), 0)</f>
        <v>0</v>
      </c>
      <c r="I1024" s="7">
        <f>tbl_Ventes[[#This Row],[Qté Vendue]] * tbl_Ventes[[#This Row],[CMP_par_portion]]</f>
        <v>0</v>
      </c>
      <c r="J1024" s="7">
        <f>tbl_Ventes[[#This Row],[CA ligne]] - tbl_Ventes[[#This Row],[Coût matière ligne]]</f>
        <v>0</v>
      </c>
      <c r="K1024" s="7" t="str">
        <f>IFERROR(INDEX(tbl_ProduitsRef[Famille], MATCH(tbl_Ventes[[#This Row],[Cde_Prdt]], tbl_Produits[Cde_Prdt], 0)), "")</f>
        <v/>
      </c>
    </row>
    <row r="1025" spans="1:11" x14ac:dyDescent="0.25">
      <c r="A1025" s="5"/>
      <c r="B1025" s="63" t="str">
        <f>IFERROR(TEXT(tbl_Ventes[[#This Row],[Date]],"mm-aaaa"),"")</f>
        <v>01-1900</v>
      </c>
      <c r="D1025" s="10" t="str">
        <f>IFERROR(
   INDEX(tbl_ProduitsRef[Cde_Prdt],MATCH(tbl_Ventes[[#This Row],[Produit]],tbl_ProduitsRef[Produit],0)),
   ""
)</f>
        <v/>
      </c>
      <c r="E1025" s="7">
        <v>0</v>
      </c>
      <c r="F1025" s="7" t="str">
        <f>IFERROR(
   INDEX(tbl_ProduitsRef[Prix Menu],MATCH(tbl_Ventes[[#This Row],[Produit]],tbl_ProduitsRef[Produit],0)),
   ""
)</f>
        <v/>
      </c>
      <c r="G1025" s="7">
        <f>tbl_Ventes[[#This Row],[Qté Vendue]] * IFERROR(_xlfn.XLOOKUP(tbl_Ventes[[#This Row],[Cde_Prdt]], tbl_Produits[Cde_Prdt], tbl_Produits[Prix Menu]), 0)</f>
        <v>0</v>
      </c>
      <c r="H1025" s="7">
        <f>IFERROR(_xlfn.XLOOKUP(tbl_Ventes[[#This Row],[Cde_Prdt]], tbl_Produits[Cde_Prdt], tbl_Produits[Coût Moyen Portion]), 0)</f>
        <v>0</v>
      </c>
      <c r="I1025" s="7">
        <f>tbl_Ventes[[#This Row],[Qté Vendue]] * tbl_Ventes[[#This Row],[CMP_par_portion]]</f>
        <v>0</v>
      </c>
      <c r="J1025" s="7">
        <f>tbl_Ventes[[#This Row],[CA ligne]] - tbl_Ventes[[#This Row],[Coût matière ligne]]</f>
        <v>0</v>
      </c>
      <c r="K1025" s="7" t="str">
        <f>IFERROR(INDEX(tbl_ProduitsRef[Famille], MATCH(tbl_Ventes[[#This Row],[Cde_Prdt]], tbl_Produits[Cde_Prdt], 0)), "")</f>
        <v/>
      </c>
    </row>
    <row r="1026" spans="1:11" x14ac:dyDescent="0.25">
      <c r="A1026" s="5"/>
      <c r="B1026" s="63" t="str">
        <f>IFERROR(TEXT(tbl_Ventes[[#This Row],[Date]],"mm-aaaa"),"")</f>
        <v>01-1900</v>
      </c>
      <c r="D1026" s="10" t="str">
        <f>IFERROR(
   INDEX(tbl_ProduitsRef[Cde_Prdt],MATCH(tbl_Ventes[[#This Row],[Produit]],tbl_ProduitsRef[Produit],0)),
   ""
)</f>
        <v/>
      </c>
      <c r="E1026" s="7">
        <v>0</v>
      </c>
      <c r="F1026" s="7" t="str">
        <f>IFERROR(
   INDEX(tbl_ProduitsRef[Prix Menu],MATCH(tbl_Ventes[[#This Row],[Produit]],tbl_ProduitsRef[Produit],0)),
   ""
)</f>
        <v/>
      </c>
      <c r="G1026" s="7">
        <f>tbl_Ventes[[#This Row],[Qté Vendue]] * IFERROR(_xlfn.XLOOKUP(tbl_Ventes[[#This Row],[Cde_Prdt]], tbl_Produits[Cde_Prdt], tbl_Produits[Prix Menu]), 0)</f>
        <v>0</v>
      </c>
      <c r="H1026" s="7">
        <f>IFERROR(_xlfn.XLOOKUP(tbl_Ventes[[#This Row],[Cde_Prdt]], tbl_Produits[Cde_Prdt], tbl_Produits[Coût Moyen Portion]), 0)</f>
        <v>0</v>
      </c>
      <c r="I1026" s="7">
        <f>tbl_Ventes[[#This Row],[Qté Vendue]] * tbl_Ventes[[#This Row],[CMP_par_portion]]</f>
        <v>0</v>
      </c>
      <c r="J1026" s="7">
        <f>tbl_Ventes[[#This Row],[CA ligne]] - tbl_Ventes[[#This Row],[Coût matière ligne]]</f>
        <v>0</v>
      </c>
      <c r="K1026" s="7" t="str">
        <f>IFERROR(INDEX(tbl_ProduitsRef[Famille], MATCH(tbl_Ventes[[#This Row],[Cde_Prdt]], tbl_Produits[Cde_Prdt], 0)), "")</f>
        <v/>
      </c>
    </row>
    <row r="1027" spans="1:11" x14ac:dyDescent="0.25">
      <c r="A1027" s="5"/>
      <c r="B1027" s="63" t="str">
        <f>IFERROR(TEXT(tbl_Ventes[[#This Row],[Date]],"mm-aaaa"),"")</f>
        <v>01-1900</v>
      </c>
      <c r="D1027" s="10" t="str">
        <f>IFERROR(
   INDEX(tbl_ProduitsRef[Cde_Prdt],MATCH(tbl_Ventes[[#This Row],[Produit]],tbl_ProduitsRef[Produit],0)),
   ""
)</f>
        <v/>
      </c>
      <c r="E1027" s="7">
        <v>0</v>
      </c>
      <c r="F1027" s="7" t="str">
        <f>IFERROR(
   INDEX(tbl_ProduitsRef[Prix Menu],MATCH(tbl_Ventes[[#This Row],[Produit]],tbl_ProduitsRef[Produit],0)),
   ""
)</f>
        <v/>
      </c>
      <c r="G1027" s="7">
        <f>tbl_Ventes[[#This Row],[Qté Vendue]] * IFERROR(_xlfn.XLOOKUP(tbl_Ventes[[#This Row],[Cde_Prdt]], tbl_Produits[Cde_Prdt], tbl_Produits[Prix Menu]), 0)</f>
        <v>0</v>
      </c>
      <c r="H1027" s="7">
        <f>IFERROR(_xlfn.XLOOKUP(tbl_Ventes[[#This Row],[Cde_Prdt]], tbl_Produits[Cde_Prdt], tbl_Produits[Coût Moyen Portion]), 0)</f>
        <v>0</v>
      </c>
      <c r="I1027" s="7">
        <f>tbl_Ventes[[#This Row],[Qté Vendue]] * tbl_Ventes[[#This Row],[CMP_par_portion]]</f>
        <v>0</v>
      </c>
      <c r="J1027" s="7">
        <f>tbl_Ventes[[#This Row],[CA ligne]] - tbl_Ventes[[#This Row],[Coût matière ligne]]</f>
        <v>0</v>
      </c>
      <c r="K1027" s="7" t="str">
        <f>IFERROR(INDEX(tbl_ProduitsRef[Famille], MATCH(tbl_Ventes[[#This Row],[Cde_Prdt]], tbl_Produits[Cde_Prdt], 0)), "")</f>
        <v/>
      </c>
    </row>
    <row r="1028" spans="1:11" x14ac:dyDescent="0.25">
      <c r="A1028" s="5"/>
      <c r="B1028" s="63" t="str">
        <f>IFERROR(TEXT(tbl_Ventes[[#This Row],[Date]],"mm-aaaa"),"")</f>
        <v>01-1900</v>
      </c>
      <c r="D1028" s="10" t="str">
        <f>IFERROR(
   INDEX(tbl_ProduitsRef[Cde_Prdt],MATCH(tbl_Ventes[[#This Row],[Produit]],tbl_ProduitsRef[Produit],0)),
   ""
)</f>
        <v/>
      </c>
      <c r="E1028" s="7">
        <v>0</v>
      </c>
      <c r="F1028" s="7" t="str">
        <f>IFERROR(
   INDEX(tbl_ProduitsRef[Prix Menu],MATCH(tbl_Ventes[[#This Row],[Produit]],tbl_ProduitsRef[Produit],0)),
   ""
)</f>
        <v/>
      </c>
      <c r="G1028" s="7">
        <f>tbl_Ventes[[#This Row],[Qté Vendue]] * IFERROR(_xlfn.XLOOKUP(tbl_Ventes[[#This Row],[Cde_Prdt]], tbl_Produits[Cde_Prdt], tbl_Produits[Prix Menu]), 0)</f>
        <v>0</v>
      </c>
      <c r="H1028" s="7">
        <f>IFERROR(_xlfn.XLOOKUP(tbl_Ventes[[#This Row],[Cde_Prdt]], tbl_Produits[Cde_Prdt], tbl_Produits[Coût Moyen Portion]), 0)</f>
        <v>0</v>
      </c>
      <c r="I1028" s="7">
        <f>tbl_Ventes[[#This Row],[Qté Vendue]] * tbl_Ventes[[#This Row],[CMP_par_portion]]</f>
        <v>0</v>
      </c>
      <c r="J1028" s="7">
        <f>tbl_Ventes[[#This Row],[CA ligne]] - tbl_Ventes[[#This Row],[Coût matière ligne]]</f>
        <v>0</v>
      </c>
      <c r="K1028" s="7" t="str">
        <f>IFERROR(INDEX(tbl_ProduitsRef[Famille], MATCH(tbl_Ventes[[#This Row],[Cde_Prdt]], tbl_Produits[Cde_Prdt], 0)), "")</f>
        <v/>
      </c>
    </row>
    <row r="1029" spans="1:11" x14ac:dyDescent="0.25">
      <c r="A1029" s="5"/>
      <c r="B1029" s="63" t="str">
        <f>IFERROR(TEXT(tbl_Ventes[[#This Row],[Date]],"mm-aaaa"),"")</f>
        <v>01-1900</v>
      </c>
      <c r="D1029" s="10" t="str">
        <f>IFERROR(
   INDEX(tbl_ProduitsRef[Cde_Prdt],MATCH(tbl_Ventes[[#This Row],[Produit]],tbl_ProduitsRef[Produit],0)),
   ""
)</f>
        <v/>
      </c>
      <c r="E1029" s="7">
        <v>0</v>
      </c>
      <c r="F1029" s="7" t="str">
        <f>IFERROR(
   INDEX(tbl_ProduitsRef[Prix Menu],MATCH(tbl_Ventes[[#This Row],[Produit]],tbl_ProduitsRef[Produit],0)),
   ""
)</f>
        <v/>
      </c>
      <c r="G1029" s="7">
        <f>tbl_Ventes[[#This Row],[Qté Vendue]] * IFERROR(_xlfn.XLOOKUP(tbl_Ventes[[#This Row],[Cde_Prdt]], tbl_Produits[Cde_Prdt], tbl_Produits[Prix Menu]), 0)</f>
        <v>0</v>
      </c>
      <c r="H1029" s="7">
        <f>IFERROR(_xlfn.XLOOKUP(tbl_Ventes[[#This Row],[Cde_Prdt]], tbl_Produits[Cde_Prdt], tbl_Produits[Coût Moyen Portion]), 0)</f>
        <v>0</v>
      </c>
      <c r="I1029" s="7">
        <f>tbl_Ventes[[#This Row],[Qté Vendue]] * tbl_Ventes[[#This Row],[CMP_par_portion]]</f>
        <v>0</v>
      </c>
      <c r="J1029" s="7">
        <f>tbl_Ventes[[#This Row],[CA ligne]] - tbl_Ventes[[#This Row],[Coût matière ligne]]</f>
        <v>0</v>
      </c>
      <c r="K1029" s="7" t="str">
        <f>IFERROR(INDEX(tbl_ProduitsRef[Famille], MATCH(tbl_Ventes[[#This Row],[Cde_Prdt]], tbl_Produits[Cde_Prdt], 0)), "")</f>
        <v/>
      </c>
    </row>
    <row r="1030" spans="1:11" x14ac:dyDescent="0.25">
      <c r="A1030" s="5"/>
      <c r="B1030" s="63" t="str">
        <f>IFERROR(TEXT(tbl_Ventes[[#This Row],[Date]],"mm-aaaa"),"")</f>
        <v>01-1900</v>
      </c>
      <c r="D1030" s="10" t="str">
        <f>IFERROR(
   INDEX(tbl_ProduitsRef[Cde_Prdt],MATCH(tbl_Ventes[[#This Row],[Produit]],tbl_ProduitsRef[Produit],0)),
   ""
)</f>
        <v/>
      </c>
      <c r="E1030" s="7">
        <v>0</v>
      </c>
      <c r="F1030" s="7" t="str">
        <f>IFERROR(
   INDEX(tbl_ProduitsRef[Prix Menu],MATCH(tbl_Ventes[[#This Row],[Produit]],tbl_ProduitsRef[Produit],0)),
   ""
)</f>
        <v/>
      </c>
      <c r="G1030" s="7">
        <f>tbl_Ventes[[#This Row],[Qté Vendue]] * IFERROR(_xlfn.XLOOKUP(tbl_Ventes[[#This Row],[Cde_Prdt]], tbl_Produits[Cde_Prdt], tbl_Produits[Prix Menu]), 0)</f>
        <v>0</v>
      </c>
      <c r="H1030" s="7">
        <f>IFERROR(_xlfn.XLOOKUP(tbl_Ventes[[#This Row],[Cde_Prdt]], tbl_Produits[Cde_Prdt], tbl_Produits[Coût Moyen Portion]), 0)</f>
        <v>0</v>
      </c>
      <c r="I1030" s="7">
        <f>tbl_Ventes[[#This Row],[Qté Vendue]] * tbl_Ventes[[#This Row],[CMP_par_portion]]</f>
        <v>0</v>
      </c>
      <c r="J1030" s="7">
        <f>tbl_Ventes[[#This Row],[CA ligne]] - tbl_Ventes[[#This Row],[Coût matière ligne]]</f>
        <v>0</v>
      </c>
      <c r="K1030" s="7" t="str">
        <f>IFERROR(INDEX(tbl_ProduitsRef[Famille], MATCH(tbl_Ventes[[#This Row],[Cde_Prdt]], tbl_Produits[Cde_Prdt], 0)), "")</f>
        <v/>
      </c>
    </row>
    <row r="1031" spans="1:11" x14ac:dyDescent="0.25">
      <c r="A1031" s="5"/>
      <c r="B1031" s="63" t="str">
        <f>IFERROR(TEXT(tbl_Ventes[[#This Row],[Date]],"mm-aaaa"),"")</f>
        <v>01-1900</v>
      </c>
      <c r="D1031" s="10" t="str">
        <f>IFERROR(
   INDEX(tbl_ProduitsRef[Cde_Prdt],MATCH(tbl_Ventes[[#This Row],[Produit]],tbl_ProduitsRef[Produit],0)),
   ""
)</f>
        <v/>
      </c>
      <c r="E1031" s="7">
        <v>0</v>
      </c>
      <c r="F1031" s="7" t="str">
        <f>IFERROR(
   INDEX(tbl_ProduitsRef[Prix Menu],MATCH(tbl_Ventes[[#This Row],[Produit]],tbl_ProduitsRef[Produit],0)),
   ""
)</f>
        <v/>
      </c>
      <c r="G1031" s="7">
        <f>tbl_Ventes[[#This Row],[Qté Vendue]] * IFERROR(_xlfn.XLOOKUP(tbl_Ventes[[#This Row],[Cde_Prdt]], tbl_Produits[Cde_Prdt], tbl_Produits[Prix Menu]), 0)</f>
        <v>0</v>
      </c>
      <c r="H1031" s="7">
        <f>IFERROR(_xlfn.XLOOKUP(tbl_Ventes[[#This Row],[Cde_Prdt]], tbl_Produits[Cde_Prdt], tbl_Produits[Coût Moyen Portion]), 0)</f>
        <v>0</v>
      </c>
      <c r="I1031" s="7">
        <f>tbl_Ventes[[#This Row],[Qté Vendue]] * tbl_Ventes[[#This Row],[CMP_par_portion]]</f>
        <v>0</v>
      </c>
      <c r="J1031" s="7">
        <f>tbl_Ventes[[#This Row],[CA ligne]] - tbl_Ventes[[#This Row],[Coût matière ligne]]</f>
        <v>0</v>
      </c>
      <c r="K1031" s="7" t="str">
        <f>IFERROR(INDEX(tbl_ProduitsRef[Famille], MATCH(tbl_Ventes[[#This Row],[Cde_Prdt]], tbl_Produits[Cde_Prdt], 0)), "")</f>
        <v/>
      </c>
    </row>
    <row r="1032" spans="1:11" x14ac:dyDescent="0.25">
      <c r="A1032" s="5"/>
      <c r="B1032" s="63" t="str">
        <f>IFERROR(TEXT(tbl_Ventes[[#This Row],[Date]],"mm-aaaa"),"")</f>
        <v>01-1900</v>
      </c>
      <c r="D1032" s="10" t="str">
        <f>IFERROR(
   INDEX(tbl_ProduitsRef[Cde_Prdt],MATCH(tbl_Ventes[[#This Row],[Produit]],tbl_ProduitsRef[Produit],0)),
   ""
)</f>
        <v/>
      </c>
      <c r="E1032" s="7">
        <v>0</v>
      </c>
      <c r="F1032" s="7" t="str">
        <f>IFERROR(
   INDEX(tbl_ProduitsRef[Prix Menu],MATCH(tbl_Ventes[[#This Row],[Produit]],tbl_ProduitsRef[Produit],0)),
   ""
)</f>
        <v/>
      </c>
      <c r="G1032" s="7">
        <f>tbl_Ventes[[#This Row],[Qté Vendue]] * IFERROR(_xlfn.XLOOKUP(tbl_Ventes[[#This Row],[Cde_Prdt]], tbl_Produits[Cde_Prdt], tbl_Produits[Prix Menu]), 0)</f>
        <v>0</v>
      </c>
      <c r="H1032" s="7">
        <f>IFERROR(_xlfn.XLOOKUP(tbl_Ventes[[#This Row],[Cde_Prdt]], tbl_Produits[Cde_Prdt], tbl_Produits[Coût Moyen Portion]), 0)</f>
        <v>0</v>
      </c>
      <c r="I1032" s="7">
        <f>tbl_Ventes[[#This Row],[Qté Vendue]] * tbl_Ventes[[#This Row],[CMP_par_portion]]</f>
        <v>0</v>
      </c>
      <c r="J1032" s="7">
        <f>tbl_Ventes[[#This Row],[CA ligne]] - tbl_Ventes[[#This Row],[Coût matière ligne]]</f>
        <v>0</v>
      </c>
      <c r="K1032" s="7" t="str">
        <f>IFERROR(INDEX(tbl_ProduitsRef[Famille], MATCH(tbl_Ventes[[#This Row],[Cde_Prdt]], tbl_Produits[Cde_Prdt], 0)), "")</f>
        <v/>
      </c>
    </row>
    <row r="1033" spans="1:11" x14ac:dyDescent="0.25">
      <c r="A1033" s="5"/>
      <c r="B1033" s="63" t="str">
        <f>IFERROR(TEXT(tbl_Ventes[[#This Row],[Date]],"mm-aaaa"),"")</f>
        <v>01-1900</v>
      </c>
      <c r="D1033" s="10" t="str">
        <f>IFERROR(
   INDEX(tbl_ProduitsRef[Cde_Prdt],MATCH(tbl_Ventes[[#This Row],[Produit]],tbl_ProduitsRef[Produit],0)),
   ""
)</f>
        <v/>
      </c>
      <c r="E1033" s="7">
        <v>0</v>
      </c>
      <c r="F1033" s="7" t="str">
        <f>IFERROR(
   INDEX(tbl_ProduitsRef[Prix Menu],MATCH(tbl_Ventes[[#This Row],[Produit]],tbl_ProduitsRef[Produit],0)),
   ""
)</f>
        <v/>
      </c>
      <c r="G1033" s="7">
        <f>tbl_Ventes[[#This Row],[Qté Vendue]] * IFERROR(_xlfn.XLOOKUP(tbl_Ventes[[#This Row],[Cde_Prdt]], tbl_Produits[Cde_Prdt], tbl_Produits[Prix Menu]), 0)</f>
        <v>0</v>
      </c>
      <c r="H1033" s="7">
        <f>IFERROR(_xlfn.XLOOKUP(tbl_Ventes[[#This Row],[Cde_Prdt]], tbl_Produits[Cde_Prdt], tbl_Produits[Coût Moyen Portion]), 0)</f>
        <v>0</v>
      </c>
      <c r="I1033" s="7">
        <f>tbl_Ventes[[#This Row],[Qté Vendue]] * tbl_Ventes[[#This Row],[CMP_par_portion]]</f>
        <v>0</v>
      </c>
      <c r="J1033" s="7">
        <f>tbl_Ventes[[#This Row],[CA ligne]] - tbl_Ventes[[#This Row],[Coût matière ligne]]</f>
        <v>0</v>
      </c>
      <c r="K1033" s="7" t="str">
        <f>IFERROR(INDEX(tbl_ProduitsRef[Famille], MATCH(tbl_Ventes[[#This Row],[Cde_Prdt]], tbl_Produits[Cde_Prdt], 0)), "")</f>
        <v/>
      </c>
    </row>
    <row r="1034" spans="1:11" x14ac:dyDescent="0.25">
      <c r="A1034" s="5"/>
      <c r="B1034" s="63" t="str">
        <f>IFERROR(TEXT(tbl_Ventes[[#This Row],[Date]],"mm-aaaa"),"")</f>
        <v>01-1900</v>
      </c>
      <c r="D1034" s="10" t="str">
        <f>IFERROR(
   INDEX(tbl_ProduitsRef[Cde_Prdt],MATCH(tbl_Ventes[[#This Row],[Produit]],tbl_ProduitsRef[Produit],0)),
   ""
)</f>
        <v/>
      </c>
      <c r="E1034" s="7">
        <v>0</v>
      </c>
      <c r="F1034" s="7" t="str">
        <f>IFERROR(
   INDEX(tbl_ProduitsRef[Prix Menu],MATCH(tbl_Ventes[[#This Row],[Produit]],tbl_ProduitsRef[Produit],0)),
   ""
)</f>
        <v/>
      </c>
      <c r="G1034" s="7">
        <f>tbl_Ventes[[#This Row],[Qté Vendue]] * IFERROR(_xlfn.XLOOKUP(tbl_Ventes[[#This Row],[Cde_Prdt]], tbl_Produits[Cde_Prdt], tbl_Produits[Prix Menu]), 0)</f>
        <v>0</v>
      </c>
      <c r="H1034" s="7">
        <f>IFERROR(_xlfn.XLOOKUP(tbl_Ventes[[#This Row],[Cde_Prdt]], tbl_Produits[Cde_Prdt], tbl_Produits[Coût Moyen Portion]), 0)</f>
        <v>0</v>
      </c>
      <c r="I1034" s="7">
        <f>tbl_Ventes[[#This Row],[Qté Vendue]] * tbl_Ventes[[#This Row],[CMP_par_portion]]</f>
        <v>0</v>
      </c>
      <c r="J1034" s="7">
        <f>tbl_Ventes[[#This Row],[CA ligne]] - tbl_Ventes[[#This Row],[Coût matière ligne]]</f>
        <v>0</v>
      </c>
      <c r="K1034" s="7" t="str">
        <f>IFERROR(INDEX(tbl_ProduitsRef[Famille], MATCH(tbl_Ventes[[#This Row],[Cde_Prdt]], tbl_Produits[Cde_Prdt], 0)), "")</f>
        <v/>
      </c>
    </row>
    <row r="1035" spans="1:11" x14ac:dyDescent="0.25">
      <c r="A1035" s="5"/>
      <c r="B1035" s="63" t="str">
        <f>IFERROR(TEXT(tbl_Ventes[[#This Row],[Date]],"mm-aaaa"),"")</f>
        <v>01-1900</v>
      </c>
      <c r="D1035" s="10" t="str">
        <f>IFERROR(
   INDEX(tbl_ProduitsRef[Cde_Prdt],MATCH(tbl_Ventes[[#This Row],[Produit]],tbl_ProduitsRef[Produit],0)),
   ""
)</f>
        <v/>
      </c>
      <c r="E1035" s="7">
        <v>0</v>
      </c>
      <c r="F1035" s="7" t="str">
        <f>IFERROR(
   INDEX(tbl_ProduitsRef[Prix Menu],MATCH(tbl_Ventes[[#This Row],[Produit]],tbl_ProduitsRef[Produit],0)),
   ""
)</f>
        <v/>
      </c>
      <c r="G1035" s="7">
        <f>tbl_Ventes[[#This Row],[Qté Vendue]] * IFERROR(_xlfn.XLOOKUP(tbl_Ventes[[#This Row],[Cde_Prdt]], tbl_Produits[Cde_Prdt], tbl_Produits[Prix Menu]), 0)</f>
        <v>0</v>
      </c>
      <c r="H1035" s="7">
        <f>IFERROR(_xlfn.XLOOKUP(tbl_Ventes[[#This Row],[Cde_Prdt]], tbl_Produits[Cde_Prdt], tbl_Produits[Coût Moyen Portion]), 0)</f>
        <v>0</v>
      </c>
      <c r="I1035" s="7">
        <f>tbl_Ventes[[#This Row],[Qté Vendue]] * tbl_Ventes[[#This Row],[CMP_par_portion]]</f>
        <v>0</v>
      </c>
      <c r="J1035" s="7">
        <f>tbl_Ventes[[#This Row],[CA ligne]] - tbl_Ventes[[#This Row],[Coût matière ligne]]</f>
        <v>0</v>
      </c>
      <c r="K1035" s="7" t="str">
        <f>IFERROR(INDEX(tbl_ProduitsRef[Famille], MATCH(tbl_Ventes[[#This Row],[Cde_Prdt]], tbl_Produits[Cde_Prdt], 0)), "")</f>
        <v/>
      </c>
    </row>
    <row r="1036" spans="1:11" x14ac:dyDescent="0.25">
      <c r="A1036" s="5"/>
      <c r="B1036" s="63" t="str">
        <f>IFERROR(TEXT(tbl_Ventes[[#This Row],[Date]],"mm-aaaa"),"")</f>
        <v>01-1900</v>
      </c>
      <c r="D1036" s="10" t="str">
        <f>IFERROR(
   INDEX(tbl_ProduitsRef[Cde_Prdt],MATCH(tbl_Ventes[[#This Row],[Produit]],tbl_ProduitsRef[Produit],0)),
   ""
)</f>
        <v/>
      </c>
      <c r="E1036" s="7">
        <v>0</v>
      </c>
      <c r="F1036" s="7" t="str">
        <f>IFERROR(
   INDEX(tbl_ProduitsRef[Prix Menu],MATCH(tbl_Ventes[[#This Row],[Produit]],tbl_ProduitsRef[Produit],0)),
   ""
)</f>
        <v/>
      </c>
      <c r="G1036" s="7">
        <f>tbl_Ventes[[#This Row],[Qté Vendue]] * IFERROR(_xlfn.XLOOKUP(tbl_Ventes[[#This Row],[Cde_Prdt]], tbl_Produits[Cde_Prdt], tbl_Produits[Prix Menu]), 0)</f>
        <v>0</v>
      </c>
      <c r="H1036" s="7">
        <f>IFERROR(_xlfn.XLOOKUP(tbl_Ventes[[#This Row],[Cde_Prdt]], tbl_Produits[Cde_Prdt], tbl_Produits[Coût Moyen Portion]), 0)</f>
        <v>0</v>
      </c>
      <c r="I1036" s="7">
        <f>tbl_Ventes[[#This Row],[Qté Vendue]] * tbl_Ventes[[#This Row],[CMP_par_portion]]</f>
        <v>0</v>
      </c>
      <c r="J1036" s="7">
        <f>tbl_Ventes[[#This Row],[CA ligne]] - tbl_Ventes[[#This Row],[Coût matière ligne]]</f>
        <v>0</v>
      </c>
      <c r="K1036" s="7" t="str">
        <f>IFERROR(INDEX(tbl_ProduitsRef[Famille], MATCH(tbl_Ventes[[#This Row],[Cde_Prdt]], tbl_Produits[Cde_Prdt], 0)), "")</f>
        <v/>
      </c>
    </row>
    <row r="1037" spans="1:11" x14ac:dyDescent="0.25">
      <c r="A1037" s="5"/>
      <c r="B1037" s="63" t="str">
        <f>IFERROR(TEXT(tbl_Ventes[[#This Row],[Date]],"mm-aaaa"),"")</f>
        <v>01-1900</v>
      </c>
      <c r="D1037" s="10" t="str">
        <f>IFERROR(
   INDEX(tbl_ProduitsRef[Cde_Prdt],MATCH(tbl_Ventes[[#This Row],[Produit]],tbl_ProduitsRef[Produit],0)),
   ""
)</f>
        <v/>
      </c>
      <c r="E1037" s="7">
        <v>0</v>
      </c>
      <c r="F1037" s="7" t="str">
        <f>IFERROR(
   INDEX(tbl_ProduitsRef[Prix Menu],MATCH(tbl_Ventes[[#This Row],[Produit]],tbl_ProduitsRef[Produit],0)),
   ""
)</f>
        <v/>
      </c>
      <c r="G1037" s="7">
        <f>tbl_Ventes[[#This Row],[Qté Vendue]] * IFERROR(_xlfn.XLOOKUP(tbl_Ventes[[#This Row],[Cde_Prdt]], tbl_Produits[Cde_Prdt], tbl_Produits[Prix Menu]), 0)</f>
        <v>0</v>
      </c>
      <c r="H1037" s="7">
        <f>IFERROR(_xlfn.XLOOKUP(tbl_Ventes[[#This Row],[Cde_Prdt]], tbl_Produits[Cde_Prdt], tbl_Produits[Coût Moyen Portion]), 0)</f>
        <v>0</v>
      </c>
      <c r="I1037" s="7">
        <f>tbl_Ventes[[#This Row],[Qté Vendue]] * tbl_Ventes[[#This Row],[CMP_par_portion]]</f>
        <v>0</v>
      </c>
      <c r="J1037" s="7">
        <f>tbl_Ventes[[#This Row],[CA ligne]] - tbl_Ventes[[#This Row],[Coût matière ligne]]</f>
        <v>0</v>
      </c>
      <c r="K1037" s="7" t="str">
        <f>IFERROR(INDEX(tbl_ProduitsRef[Famille], MATCH(tbl_Ventes[[#This Row],[Cde_Prdt]], tbl_Produits[Cde_Prdt], 0)), "")</f>
        <v/>
      </c>
    </row>
    <row r="1038" spans="1:11" x14ac:dyDescent="0.25">
      <c r="A1038" s="5"/>
      <c r="B1038" s="63" t="str">
        <f>IFERROR(TEXT(tbl_Ventes[[#This Row],[Date]],"mm-aaaa"),"")</f>
        <v>01-1900</v>
      </c>
      <c r="D1038" s="10" t="str">
        <f>IFERROR(
   INDEX(tbl_ProduitsRef[Cde_Prdt],MATCH(tbl_Ventes[[#This Row],[Produit]],tbl_ProduitsRef[Produit],0)),
   ""
)</f>
        <v/>
      </c>
      <c r="E1038" s="7">
        <v>0</v>
      </c>
      <c r="F1038" s="7" t="str">
        <f>IFERROR(
   INDEX(tbl_ProduitsRef[Prix Menu],MATCH(tbl_Ventes[[#This Row],[Produit]],tbl_ProduitsRef[Produit],0)),
   ""
)</f>
        <v/>
      </c>
      <c r="G1038" s="7">
        <f>tbl_Ventes[[#This Row],[Qté Vendue]] * IFERROR(_xlfn.XLOOKUP(tbl_Ventes[[#This Row],[Cde_Prdt]], tbl_Produits[Cde_Prdt], tbl_Produits[Prix Menu]), 0)</f>
        <v>0</v>
      </c>
      <c r="H1038" s="7">
        <f>IFERROR(_xlfn.XLOOKUP(tbl_Ventes[[#This Row],[Cde_Prdt]], tbl_Produits[Cde_Prdt], tbl_Produits[Coût Moyen Portion]), 0)</f>
        <v>0</v>
      </c>
      <c r="I1038" s="7">
        <f>tbl_Ventes[[#This Row],[Qté Vendue]] * tbl_Ventes[[#This Row],[CMP_par_portion]]</f>
        <v>0</v>
      </c>
      <c r="J1038" s="7">
        <f>tbl_Ventes[[#This Row],[CA ligne]] - tbl_Ventes[[#This Row],[Coût matière ligne]]</f>
        <v>0</v>
      </c>
      <c r="K1038" s="7" t="str">
        <f>IFERROR(INDEX(tbl_ProduitsRef[Famille], MATCH(tbl_Ventes[[#This Row],[Cde_Prdt]], tbl_Produits[Cde_Prdt], 0)), "")</f>
        <v/>
      </c>
    </row>
    <row r="1039" spans="1:11" x14ac:dyDescent="0.25">
      <c r="A1039" s="5"/>
      <c r="B1039" s="63" t="str">
        <f>IFERROR(TEXT(tbl_Ventes[[#This Row],[Date]],"mm-aaaa"),"")</f>
        <v>01-1900</v>
      </c>
      <c r="D1039" s="10" t="str">
        <f>IFERROR(
   INDEX(tbl_ProduitsRef[Cde_Prdt],MATCH(tbl_Ventes[[#This Row],[Produit]],tbl_ProduitsRef[Produit],0)),
   ""
)</f>
        <v/>
      </c>
      <c r="E1039" s="7">
        <v>0</v>
      </c>
      <c r="F1039" s="7" t="str">
        <f>IFERROR(
   INDEX(tbl_ProduitsRef[Prix Menu],MATCH(tbl_Ventes[[#This Row],[Produit]],tbl_ProduitsRef[Produit],0)),
   ""
)</f>
        <v/>
      </c>
      <c r="G1039" s="7">
        <f>tbl_Ventes[[#This Row],[Qté Vendue]] * IFERROR(_xlfn.XLOOKUP(tbl_Ventes[[#This Row],[Cde_Prdt]], tbl_Produits[Cde_Prdt], tbl_Produits[Prix Menu]), 0)</f>
        <v>0</v>
      </c>
      <c r="H1039" s="7">
        <f>IFERROR(_xlfn.XLOOKUP(tbl_Ventes[[#This Row],[Cde_Prdt]], tbl_Produits[Cde_Prdt], tbl_Produits[Coût Moyen Portion]), 0)</f>
        <v>0</v>
      </c>
      <c r="I1039" s="7">
        <f>tbl_Ventes[[#This Row],[Qté Vendue]] * tbl_Ventes[[#This Row],[CMP_par_portion]]</f>
        <v>0</v>
      </c>
      <c r="J1039" s="7">
        <f>tbl_Ventes[[#This Row],[CA ligne]] - tbl_Ventes[[#This Row],[Coût matière ligne]]</f>
        <v>0</v>
      </c>
      <c r="K1039" s="7" t="str">
        <f>IFERROR(INDEX(tbl_ProduitsRef[Famille], MATCH(tbl_Ventes[[#This Row],[Cde_Prdt]], tbl_Produits[Cde_Prdt], 0)), "")</f>
        <v/>
      </c>
    </row>
    <row r="1040" spans="1:11" x14ac:dyDescent="0.25">
      <c r="A1040" s="5"/>
      <c r="B1040" s="63" t="str">
        <f>IFERROR(TEXT(tbl_Ventes[[#This Row],[Date]],"mm-aaaa"),"")</f>
        <v>01-1900</v>
      </c>
      <c r="D1040" s="10" t="str">
        <f>IFERROR(
   INDEX(tbl_ProduitsRef[Cde_Prdt],MATCH(tbl_Ventes[[#This Row],[Produit]],tbl_ProduitsRef[Produit],0)),
   ""
)</f>
        <v/>
      </c>
      <c r="E1040" s="7">
        <v>0</v>
      </c>
      <c r="F1040" s="7" t="str">
        <f>IFERROR(
   INDEX(tbl_ProduitsRef[Prix Menu],MATCH(tbl_Ventes[[#This Row],[Produit]],tbl_ProduitsRef[Produit],0)),
   ""
)</f>
        <v/>
      </c>
      <c r="G1040" s="7">
        <f>tbl_Ventes[[#This Row],[Qté Vendue]] * IFERROR(_xlfn.XLOOKUP(tbl_Ventes[[#This Row],[Cde_Prdt]], tbl_Produits[Cde_Prdt], tbl_Produits[Prix Menu]), 0)</f>
        <v>0</v>
      </c>
      <c r="H1040" s="7">
        <f>IFERROR(_xlfn.XLOOKUP(tbl_Ventes[[#This Row],[Cde_Prdt]], tbl_Produits[Cde_Prdt], tbl_Produits[Coût Moyen Portion]), 0)</f>
        <v>0</v>
      </c>
      <c r="I1040" s="7">
        <f>tbl_Ventes[[#This Row],[Qté Vendue]] * tbl_Ventes[[#This Row],[CMP_par_portion]]</f>
        <v>0</v>
      </c>
      <c r="J1040" s="7">
        <f>tbl_Ventes[[#This Row],[CA ligne]] - tbl_Ventes[[#This Row],[Coût matière ligne]]</f>
        <v>0</v>
      </c>
      <c r="K1040" s="7" t="str">
        <f>IFERROR(INDEX(tbl_ProduitsRef[Famille], MATCH(tbl_Ventes[[#This Row],[Cde_Prdt]], tbl_Produits[Cde_Prdt], 0)), "")</f>
        <v/>
      </c>
    </row>
    <row r="1041" spans="1:11" x14ac:dyDescent="0.25">
      <c r="A1041" s="5"/>
      <c r="B1041" s="63" t="str">
        <f>IFERROR(TEXT(tbl_Ventes[[#This Row],[Date]],"mm-aaaa"),"")</f>
        <v>01-1900</v>
      </c>
      <c r="D1041" s="10" t="str">
        <f>IFERROR(
   INDEX(tbl_ProduitsRef[Cde_Prdt],MATCH(tbl_Ventes[[#This Row],[Produit]],tbl_ProduitsRef[Produit],0)),
   ""
)</f>
        <v/>
      </c>
      <c r="E1041" s="7">
        <v>0</v>
      </c>
      <c r="F1041" s="7" t="str">
        <f>IFERROR(
   INDEX(tbl_ProduitsRef[Prix Menu],MATCH(tbl_Ventes[[#This Row],[Produit]],tbl_ProduitsRef[Produit],0)),
   ""
)</f>
        <v/>
      </c>
      <c r="G1041" s="7">
        <f>tbl_Ventes[[#This Row],[Qté Vendue]] * IFERROR(_xlfn.XLOOKUP(tbl_Ventes[[#This Row],[Cde_Prdt]], tbl_Produits[Cde_Prdt], tbl_Produits[Prix Menu]), 0)</f>
        <v>0</v>
      </c>
      <c r="H1041" s="7">
        <f>IFERROR(_xlfn.XLOOKUP(tbl_Ventes[[#This Row],[Cde_Prdt]], tbl_Produits[Cde_Prdt], tbl_Produits[Coût Moyen Portion]), 0)</f>
        <v>0</v>
      </c>
      <c r="I1041" s="7">
        <f>tbl_Ventes[[#This Row],[Qté Vendue]] * tbl_Ventes[[#This Row],[CMP_par_portion]]</f>
        <v>0</v>
      </c>
      <c r="J1041" s="7">
        <f>tbl_Ventes[[#This Row],[CA ligne]] - tbl_Ventes[[#This Row],[Coût matière ligne]]</f>
        <v>0</v>
      </c>
      <c r="K1041" s="7" t="str">
        <f>IFERROR(INDEX(tbl_ProduitsRef[Famille], MATCH(tbl_Ventes[[#This Row],[Cde_Prdt]], tbl_Produits[Cde_Prdt], 0)), "")</f>
        <v/>
      </c>
    </row>
    <row r="1042" spans="1:11" x14ac:dyDescent="0.25">
      <c r="A1042" s="5"/>
      <c r="B1042" s="63" t="str">
        <f>IFERROR(TEXT(tbl_Ventes[[#This Row],[Date]],"mm-aaaa"),"")</f>
        <v>01-1900</v>
      </c>
      <c r="D1042" s="10" t="str">
        <f>IFERROR(
   INDEX(tbl_ProduitsRef[Cde_Prdt],MATCH(tbl_Ventes[[#This Row],[Produit]],tbl_ProduitsRef[Produit],0)),
   ""
)</f>
        <v/>
      </c>
      <c r="E1042" s="7">
        <v>0</v>
      </c>
      <c r="F1042" s="7" t="str">
        <f>IFERROR(
   INDEX(tbl_ProduitsRef[Prix Menu],MATCH(tbl_Ventes[[#This Row],[Produit]],tbl_ProduitsRef[Produit],0)),
   ""
)</f>
        <v/>
      </c>
      <c r="G1042" s="7">
        <f>tbl_Ventes[[#This Row],[Qté Vendue]] * IFERROR(_xlfn.XLOOKUP(tbl_Ventes[[#This Row],[Cde_Prdt]], tbl_Produits[Cde_Prdt], tbl_Produits[Prix Menu]), 0)</f>
        <v>0</v>
      </c>
      <c r="H1042" s="7">
        <f>IFERROR(_xlfn.XLOOKUP(tbl_Ventes[[#This Row],[Cde_Prdt]], tbl_Produits[Cde_Prdt], tbl_Produits[Coût Moyen Portion]), 0)</f>
        <v>0</v>
      </c>
      <c r="I1042" s="7">
        <f>tbl_Ventes[[#This Row],[Qté Vendue]] * tbl_Ventes[[#This Row],[CMP_par_portion]]</f>
        <v>0</v>
      </c>
      <c r="J1042" s="7">
        <f>tbl_Ventes[[#This Row],[CA ligne]] - tbl_Ventes[[#This Row],[Coût matière ligne]]</f>
        <v>0</v>
      </c>
      <c r="K1042" s="7" t="str">
        <f>IFERROR(INDEX(tbl_ProduitsRef[Famille], MATCH(tbl_Ventes[[#This Row],[Cde_Prdt]], tbl_Produits[Cde_Prdt], 0)), "")</f>
        <v/>
      </c>
    </row>
    <row r="1043" spans="1:11" x14ac:dyDescent="0.25">
      <c r="A1043" s="5"/>
      <c r="B1043" s="63" t="str">
        <f>IFERROR(TEXT(tbl_Ventes[[#This Row],[Date]],"mm-aaaa"),"")</f>
        <v>01-1900</v>
      </c>
      <c r="D1043" s="10" t="str">
        <f>IFERROR(
   INDEX(tbl_ProduitsRef[Cde_Prdt],MATCH(tbl_Ventes[[#This Row],[Produit]],tbl_ProduitsRef[Produit],0)),
   ""
)</f>
        <v/>
      </c>
      <c r="E1043" s="7">
        <v>0</v>
      </c>
      <c r="F1043" s="7" t="str">
        <f>IFERROR(
   INDEX(tbl_ProduitsRef[Prix Menu],MATCH(tbl_Ventes[[#This Row],[Produit]],tbl_ProduitsRef[Produit],0)),
   ""
)</f>
        <v/>
      </c>
      <c r="G1043" s="7">
        <f>tbl_Ventes[[#This Row],[Qté Vendue]] * IFERROR(_xlfn.XLOOKUP(tbl_Ventes[[#This Row],[Cde_Prdt]], tbl_Produits[Cde_Prdt], tbl_Produits[Prix Menu]), 0)</f>
        <v>0</v>
      </c>
      <c r="H1043" s="7">
        <f>IFERROR(_xlfn.XLOOKUP(tbl_Ventes[[#This Row],[Cde_Prdt]], tbl_Produits[Cde_Prdt], tbl_Produits[Coût Moyen Portion]), 0)</f>
        <v>0</v>
      </c>
      <c r="I1043" s="7">
        <f>tbl_Ventes[[#This Row],[Qté Vendue]] * tbl_Ventes[[#This Row],[CMP_par_portion]]</f>
        <v>0</v>
      </c>
      <c r="J1043" s="7">
        <f>tbl_Ventes[[#This Row],[CA ligne]] - tbl_Ventes[[#This Row],[Coût matière ligne]]</f>
        <v>0</v>
      </c>
      <c r="K1043" s="7" t="str">
        <f>IFERROR(INDEX(tbl_ProduitsRef[Famille], MATCH(tbl_Ventes[[#This Row],[Cde_Prdt]], tbl_Produits[Cde_Prdt], 0)), "")</f>
        <v/>
      </c>
    </row>
    <row r="1044" spans="1:11" x14ac:dyDescent="0.25">
      <c r="A1044" s="5"/>
      <c r="B1044" s="63" t="str">
        <f>IFERROR(TEXT(tbl_Ventes[[#This Row],[Date]],"mm-aaaa"),"")</f>
        <v>01-1900</v>
      </c>
      <c r="D1044" s="10" t="str">
        <f>IFERROR(
   INDEX(tbl_ProduitsRef[Cde_Prdt],MATCH(tbl_Ventes[[#This Row],[Produit]],tbl_ProduitsRef[Produit],0)),
   ""
)</f>
        <v/>
      </c>
      <c r="E1044" s="7">
        <v>0</v>
      </c>
      <c r="F1044" s="7" t="str">
        <f>IFERROR(
   INDEX(tbl_ProduitsRef[Prix Menu],MATCH(tbl_Ventes[[#This Row],[Produit]],tbl_ProduitsRef[Produit],0)),
   ""
)</f>
        <v/>
      </c>
      <c r="G1044" s="7">
        <f>tbl_Ventes[[#This Row],[Qté Vendue]] * IFERROR(_xlfn.XLOOKUP(tbl_Ventes[[#This Row],[Cde_Prdt]], tbl_Produits[Cde_Prdt], tbl_Produits[Prix Menu]), 0)</f>
        <v>0</v>
      </c>
      <c r="H1044" s="7">
        <f>IFERROR(_xlfn.XLOOKUP(tbl_Ventes[[#This Row],[Cde_Prdt]], tbl_Produits[Cde_Prdt], tbl_Produits[Coût Moyen Portion]), 0)</f>
        <v>0</v>
      </c>
      <c r="I1044" s="7">
        <f>tbl_Ventes[[#This Row],[Qté Vendue]] * tbl_Ventes[[#This Row],[CMP_par_portion]]</f>
        <v>0</v>
      </c>
      <c r="J1044" s="7">
        <f>tbl_Ventes[[#This Row],[CA ligne]] - tbl_Ventes[[#This Row],[Coût matière ligne]]</f>
        <v>0</v>
      </c>
      <c r="K1044" s="7" t="str">
        <f>IFERROR(INDEX(tbl_ProduitsRef[Famille], MATCH(tbl_Ventes[[#This Row],[Cde_Prdt]], tbl_Produits[Cde_Prdt], 0)), "")</f>
        <v/>
      </c>
    </row>
    <row r="1045" spans="1:11" x14ac:dyDescent="0.25">
      <c r="A1045" s="5"/>
      <c r="B1045" s="63" t="str">
        <f>IFERROR(TEXT(tbl_Ventes[[#This Row],[Date]],"mm-aaaa"),"")</f>
        <v>01-1900</v>
      </c>
      <c r="D1045" s="10" t="str">
        <f>IFERROR(
   INDEX(tbl_ProduitsRef[Cde_Prdt],MATCH(tbl_Ventes[[#This Row],[Produit]],tbl_ProduitsRef[Produit],0)),
   ""
)</f>
        <v/>
      </c>
      <c r="E1045" s="7">
        <v>0</v>
      </c>
      <c r="F1045" s="7" t="str">
        <f>IFERROR(
   INDEX(tbl_ProduitsRef[Prix Menu],MATCH(tbl_Ventes[[#This Row],[Produit]],tbl_ProduitsRef[Produit],0)),
   ""
)</f>
        <v/>
      </c>
      <c r="G1045" s="7">
        <f>tbl_Ventes[[#This Row],[Qté Vendue]] * IFERROR(_xlfn.XLOOKUP(tbl_Ventes[[#This Row],[Cde_Prdt]], tbl_Produits[Cde_Prdt], tbl_Produits[Prix Menu]), 0)</f>
        <v>0</v>
      </c>
      <c r="H1045" s="7">
        <f>IFERROR(_xlfn.XLOOKUP(tbl_Ventes[[#This Row],[Cde_Prdt]], tbl_Produits[Cde_Prdt], tbl_Produits[Coût Moyen Portion]), 0)</f>
        <v>0</v>
      </c>
      <c r="I1045" s="7">
        <f>tbl_Ventes[[#This Row],[Qté Vendue]] * tbl_Ventes[[#This Row],[CMP_par_portion]]</f>
        <v>0</v>
      </c>
      <c r="J1045" s="7">
        <f>tbl_Ventes[[#This Row],[CA ligne]] - tbl_Ventes[[#This Row],[Coût matière ligne]]</f>
        <v>0</v>
      </c>
      <c r="K1045" s="7" t="str">
        <f>IFERROR(INDEX(tbl_ProduitsRef[Famille], MATCH(tbl_Ventes[[#This Row],[Cde_Prdt]], tbl_Produits[Cde_Prdt], 0)), "")</f>
        <v/>
      </c>
    </row>
    <row r="1046" spans="1:11" x14ac:dyDescent="0.25">
      <c r="A1046" s="5"/>
      <c r="B1046" s="63" t="str">
        <f>IFERROR(TEXT(tbl_Ventes[[#This Row],[Date]],"mm-aaaa"),"")</f>
        <v>01-1900</v>
      </c>
      <c r="D1046" s="10" t="str">
        <f>IFERROR(
   INDEX(tbl_ProduitsRef[Cde_Prdt],MATCH(tbl_Ventes[[#This Row],[Produit]],tbl_ProduitsRef[Produit],0)),
   ""
)</f>
        <v/>
      </c>
      <c r="E1046" s="7">
        <v>0</v>
      </c>
      <c r="F1046" s="7" t="str">
        <f>IFERROR(
   INDEX(tbl_ProduitsRef[Prix Menu],MATCH(tbl_Ventes[[#This Row],[Produit]],tbl_ProduitsRef[Produit],0)),
   ""
)</f>
        <v/>
      </c>
      <c r="G1046" s="7">
        <f>tbl_Ventes[[#This Row],[Qté Vendue]] * IFERROR(_xlfn.XLOOKUP(tbl_Ventes[[#This Row],[Cde_Prdt]], tbl_Produits[Cde_Prdt], tbl_Produits[Prix Menu]), 0)</f>
        <v>0</v>
      </c>
      <c r="H1046" s="7">
        <f>IFERROR(_xlfn.XLOOKUP(tbl_Ventes[[#This Row],[Cde_Prdt]], tbl_Produits[Cde_Prdt], tbl_Produits[Coût Moyen Portion]), 0)</f>
        <v>0</v>
      </c>
      <c r="I1046" s="7">
        <f>tbl_Ventes[[#This Row],[Qté Vendue]] * tbl_Ventes[[#This Row],[CMP_par_portion]]</f>
        <v>0</v>
      </c>
      <c r="J1046" s="7">
        <f>tbl_Ventes[[#This Row],[CA ligne]] - tbl_Ventes[[#This Row],[Coût matière ligne]]</f>
        <v>0</v>
      </c>
      <c r="K1046" s="7" t="str">
        <f>IFERROR(INDEX(tbl_ProduitsRef[Famille], MATCH(tbl_Ventes[[#This Row],[Cde_Prdt]], tbl_Produits[Cde_Prdt], 0)), "")</f>
        <v/>
      </c>
    </row>
    <row r="1047" spans="1:11" x14ac:dyDescent="0.25">
      <c r="A1047" s="5"/>
      <c r="B1047" s="63" t="str">
        <f>IFERROR(TEXT(tbl_Ventes[[#This Row],[Date]],"mm-aaaa"),"")</f>
        <v>01-1900</v>
      </c>
      <c r="D1047" s="10" t="str">
        <f>IFERROR(
   INDEX(tbl_ProduitsRef[Cde_Prdt],MATCH(tbl_Ventes[[#This Row],[Produit]],tbl_ProduitsRef[Produit],0)),
   ""
)</f>
        <v/>
      </c>
      <c r="E1047" s="7">
        <v>0</v>
      </c>
      <c r="F1047" s="7" t="str">
        <f>IFERROR(
   INDEX(tbl_ProduitsRef[Prix Menu],MATCH(tbl_Ventes[[#This Row],[Produit]],tbl_ProduitsRef[Produit],0)),
   ""
)</f>
        <v/>
      </c>
      <c r="G1047" s="7">
        <f>tbl_Ventes[[#This Row],[Qté Vendue]] * IFERROR(_xlfn.XLOOKUP(tbl_Ventes[[#This Row],[Cde_Prdt]], tbl_Produits[Cde_Prdt], tbl_Produits[Prix Menu]), 0)</f>
        <v>0</v>
      </c>
      <c r="H1047" s="7">
        <f>IFERROR(_xlfn.XLOOKUP(tbl_Ventes[[#This Row],[Cde_Prdt]], tbl_Produits[Cde_Prdt], tbl_Produits[Coût Moyen Portion]), 0)</f>
        <v>0</v>
      </c>
      <c r="I1047" s="7">
        <f>tbl_Ventes[[#This Row],[Qté Vendue]] * tbl_Ventes[[#This Row],[CMP_par_portion]]</f>
        <v>0</v>
      </c>
      <c r="J1047" s="7">
        <f>tbl_Ventes[[#This Row],[CA ligne]] - tbl_Ventes[[#This Row],[Coût matière ligne]]</f>
        <v>0</v>
      </c>
      <c r="K1047" s="7" t="str">
        <f>IFERROR(INDEX(tbl_ProduitsRef[Famille], MATCH(tbl_Ventes[[#This Row],[Cde_Prdt]], tbl_Produits[Cde_Prdt], 0)), "")</f>
        <v/>
      </c>
    </row>
    <row r="1048" spans="1:11" x14ac:dyDescent="0.25">
      <c r="A1048" s="5"/>
      <c r="B1048" s="63" t="str">
        <f>IFERROR(TEXT(tbl_Ventes[[#This Row],[Date]],"mm-aaaa"),"")</f>
        <v>01-1900</v>
      </c>
      <c r="D1048" s="10" t="str">
        <f>IFERROR(
   INDEX(tbl_ProduitsRef[Cde_Prdt],MATCH(tbl_Ventes[[#This Row],[Produit]],tbl_ProduitsRef[Produit],0)),
   ""
)</f>
        <v/>
      </c>
      <c r="E1048" s="7">
        <v>0</v>
      </c>
      <c r="F1048" s="7" t="str">
        <f>IFERROR(
   INDEX(tbl_ProduitsRef[Prix Menu],MATCH(tbl_Ventes[[#This Row],[Produit]],tbl_ProduitsRef[Produit],0)),
   ""
)</f>
        <v/>
      </c>
      <c r="G1048" s="7">
        <f>tbl_Ventes[[#This Row],[Qté Vendue]] * IFERROR(_xlfn.XLOOKUP(tbl_Ventes[[#This Row],[Cde_Prdt]], tbl_Produits[Cde_Prdt], tbl_Produits[Prix Menu]), 0)</f>
        <v>0</v>
      </c>
      <c r="H1048" s="7">
        <f>IFERROR(_xlfn.XLOOKUP(tbl_Ventes[[#This Row],[Cde_Prdt]], tbl_Produits[Cde_Prdt], tbl_Produits[Coût Moyen Portion]), 0)</f>
        <v>0</v>
      </c>
      <c r="I1048" s="7">
        <f>tbl_Ventes[[#This Row],[Qté Vendue]] * tbl_Ventes[[#This Row],[CMP_par_portion]]</f>
        <v>0</v>
      </c>
      <c r="J1048" s="7">
        <f>tbl_Ventes[[#This Row],[CA ligne]] - tbl_Ventes[[#This Row],[Coût matière ligne]]</f>
        <v>0</v>
      </c>
      <c r="K1048" s="7" t="str">
        <f>IFERROR(INDEX(tbl_ProduitsRef[Famille], MATCH(tbl_Ventes[[#This Row],[Cde_Prdt]], tbl_Produits[Cde_Prdt], 0)), "")</f>
        <v/>
      </c>
    </row>
    <row r="1049" spans="1:11" x14ac:dyDescent="0.25">
      <c r="A1049" s="5"/>
      <c r="B1049" s="63" t="str">
        <f>IFERROR(TEXT(tbl_Ventes[[#This Row],[Date]],"mm-aaaa"),"")</f>
        <v>01-1900</v>
      </c>
      <c r="D1049" s="10" t="str">
        <f>IFERROR(
   INDEX(tbl_ProduitsRef[Cde_Prdt],MATCH(tbl_Ventes[[#This Row],[Produit]],tbl_ProduitsRef[Produit],0)),
   ""
)</f>
        <v/>
      </c>
      <c r="E1049" s="7">
        <v>0</v>
      </c>
      <c r="F1049" s="7" t="str">
        <f>IFERROR(
   INDEX(tbl_ProduitsRef[Prix Menu],MATCH(tbl_Ventes[[#This Row],[Produit]],tbl_ProduitsRef[Produit],0)),
   ""
)</f>
        <v/>
      </c>
      <c r="G1049" s="7">
        <f>tbl_Ventes[[#This Row],[Qté Vendue]] * IFERROR(_xlfn.XLOOKUP(tbl_Ventes[[#This Row],[Cde_Prdt]], tbl_Produits[Cde_Prdt], tbl_Produits[Prix Menu]), 0)</f>
        <v>0</v>
      </c>
      <c r="H1049" s="7">
        <f>IFERROR(_xlfn.XLOOKUP(tbl_Ventes[[#This Row],[Cde_Prdt]], tbl_Produits[Cde_Prdt], tbl_Produits[Coût Moyen Portion]), 0)</f>
        <v>0</v>
      </c>
      <c r="I1049" s="7">
        <f>tbl_Ventes[[#This Row],[Qté Vendue]] * tbl_Ventes[[#This Row],[CMP_par_portion]]</f>
        <v>0</v>
      </c>
      <c r="J1049" s="7">
        <f>tbl_Ventes[[#This Row],[CA ligne]] - tbl_Ventes[[#This Row],[Coût matière ligne]]</f>
        <v>0</v>
      </c>
      <c r="K1049" s="7" t="str">
        <f>IFERROR(INDEX(tbl_ProduitsRef[Famille], MATCH(tbl_Ventes[[#This Row],[Cde_Prdt]], tbl_Produits[Cde_Prdt], 0)), "")</f>
        <v/>
      </c>
    </row>
    <row r="1050" spans="1:11" x14ac:dyDescent="0.25">
      <c r="A1050" s="5"/>
      <c r="B1050" s="63" t="str">
        <f>IFERROR(TEXT(tbl_Ventes[[#This Row],[Date]],"mm-aaaa"),"")</f>
        <v>01-1900</v>
      </c>
      <c r="D1050" s="10" t="str">
        <f>IFERROR(
   INDEX(tbl_ProduitsRef[Cde_Prdt],MATCH(tbl_Ventes[[#This Row],[Produit]],tbl_ProduitsRef[Produit],0)),
   ""
)</f>
        <v/>
      </c>
      <c r="E1050" s="7">
        <v>0</v>
      </c>
      <c r="F1050" s="7" t="str">
        <f>IFERROR(
   INDEX(tbl_ProduitsRef[Prix Menu],MATCH(tbl_Ventes[[#This Row],[Produit]],tbl_ProduitsRef[Produit],0)),
   ""
)</f>
        <v/>
      </c>
      <c r="G1050" s="7">
        <f>tbl_Ventes[[#This Row],[Qté Vendue]] * IFERROR(_xlfn.XLOOKUP(tbl_Ventes[[#This Row],[Cde_Prdt]], tbl_Produits[Cde_Prdt], tbl_Produits[Prix Menu]), 0)</f>
        <v>0</v>
      </c>
      <c r="H1050" s="7">
        <f>IFERROR(_xlfn.XLOOKUP(tbl_Ventes[[#This Row],[Cde_Prdt]], tbl_Produits[Cde_Prdt], tbl_Produits[Coût Moyen Portion]), 0)</f>
        <v>0</v>
      </c>
      <c r="I1050" s="7">
        <f>tbl_Ventes[[#This Row],[Qté Vendue]] * tbl_Ventes[[#This Row],[CMP_par_portion]]</f>
        <v>0</v>
      </c>
      <c r="J1050" s="7">
        <f>tbl_Ventes[[#This Row],[CA ligne]] - tbl_Ventes[[#This Row],[Coût matière ligne]]</f>
        <v>0</v>
      </c>
      <c r="K1050" s="7" t="str">
        <f>IFERROR(INDEX(tbl_ProduitsRef[Famille], MATCH(tbl_Ventes[[#This Row],[Cde_Prdt]], tbl_Produits[Cde_Prdt], 0)), "")</f>
        <v/>
      </c>
    </row>
    <row r="1051" spans="1:11" x14ac:dyDescent="0.25">
      <c r="A1051" s="5"/>
      <c r="B1051" s="63" t="str">
        <f>IFERROR(TEXT(tbl_Ventes[[#This Row],[Date]],"mm-aaaa"),"")</f>
        <v>01-1900</v>
      </c>
      <c r="D1051" s="10" t="str">
        <f>IFERROR(
   INDEX(tbl_ProduitsRef[Cde_Prdt],MATCH(tbl_Ventes[[#This Row],[Produit]],tbl_ProduitsRef[Produit],0)),
   ""
)</f>
        <v/>
      </c>
      <c r="E1051" s="7">
        <v>0</v>
      </c>
      <c r="F1051" s="7" t="str">
        <f>IFERROR(
   INDEX(tbl_ProduitsRef[Prix Menu],MATCH(tbl_Ventes[[#This Row],[Produit]],tbl_ProduitsRef[Produit],0)),
   ""
)</f>
        <v/>
      </c>
      <c r="G1051" s="7">
        <f>tbl_Ventes[[#This Row],[Qté Vendue]] * IFERROR(_xlfn.XLOOKUP(tbl_Ventes[[#This Row],[Cde_Prdt]], tbl_Produits[Cde_Prdt], tbl_Produits[Prix Menu]), 0)</f>
        <v>0</v>
      </c>
      <c r="H1051" s="7">
        <f>IFERROR(_xlfn.XLOOKUP(tbl_Ventes[[#This Row],[Cde_Prdt]], tbl_Produits[Cde_Prdt], tbl_Produits[Coût Moyen Portion]), 0)</f>
        <v>0</v>
      </c>
      <c r="I1051" s="7">
        <f>tbl_Ventes[[#This Row],[Qté Vendue]] * tbl_Ventes[[#This Row],[CMP_par_portion]]</f>
        <v>0</v>
      </c>
      <c r="J1051" s="7">
        <f>tbl_Ventes[[#This Row],[CA ligne]] - tbl_Ventes[[#This Row],[Coût matière ligne]]</f>
        <v>0</v>
      </c>
      <c r="K1051" s="7" t="str">
        <f>IFERROR(INDEX(tbl_ProduitsRef[Famille], MATCH(tbl_Ventes[[#This Row],[Cde_Prdt]], tbl_Produits[Cde_Prdt], 0)), "")</f>
        <v/>
      </c>
    </row>
    <row r="1052" spans="1:11" x14ac:dyDescent="0.25">
      <c r="A1052" s="5"/>
      <c r="B1052" s="63" t="str">
        <f>IFERROR(TEXT(tbl_Ventes[[#This Row],[Date]],"mm-aaaa"),"")</f>
        <v>01-1900</v>
      </c>
      <c r="D1052" s="10" t="str">
        <f>IFERROR(
   INDEX(tbl_ProduitsRef[Cde_Prdt],MATCH(tbl_Ventes[[#This Row],[Produit]],tbl_ProduitsRef[Produit],0)),
   ""
)</f>
        <v/>
      </c>
      <c r="E1052" s="7">
        <v>0</v>
      </c>
      <c r="F1052" s="7" t="str">
        <f>IFERROR(
   INDEX(tbl_ProduitsRef[Prix Menu],MATCH(tbl_Ventes[[#This Row],[Produit]],tbl_ProduitsRef[Produit],0)),
   ""
)</f>
        <v/>
      </c>
      <c r="G1052" s="7">
        <f>tbl_Ventes[[#This Row],[Qté Vendue]] * IFERROR(_xlfn.XLOOKUP(tbl_Ventes[[#This Row],[Cde_Prdt]], tbl_Produits[Cde_Prdt], tbl_Produits[Prix Menu]), 0)</f>
        <v>0</v>
      </c>
      <c r="H1052" s="7">
        <f>IFERROR(_xlfn.XLOOKUP(tbl_Ventes[[#This Row],[Cde_Prdt]], tbl_Produits[Cde_Prdt], tbl_Produits[Coût Moyen Portion]), 0)</f>
        <v>0</v>
      </c>
      <c r="I1052" s="7">
        <f>tbl_Ventes[[#This Row],[Qté Vendue]] * tbl_Ventes[[#This Row],[CMP_par_portion]]</f>
        <v>0</v>
      </c>
      <c r="J1052" s="7">
        <f>tbl_Ventes[[#This Row],[CA ligne]] - tbl_Ventes[[#This Row],[Coût matière ligne]]</f>
        <v>0</v>
      </c>
      <c r="K1052" s="7" t="str">
        <f>IFERROR(INDEX(tbl_ProduitsRef[Famille], MATCH(tbl_Ventes[[#This Row],[Cde_Prdt]], tbl_Produits[Cde_Prdt], 0)), "")</f>
        <v/>
      </c>
    </row>
    <row r="1053" spans="1:11" x14ac:dyDescent="0.25">
      <c r="A1053" s="5"/>
      <c r="B1053" s="63" t="str">
        <f>IFERROR(TEXT(tbl_Ventes[[#This Row],[Date]],"mm-aaaa"),"")</f>
        <v>01-1900</v>
      </c>
      <c r="D1053" s="10" t="str">
        <f>IFERROR(
   INDEX(tbl_ProduitsRef[Cde_Prdt],MATCH(tbl_Ventes[[#This Row],[Produit]],tbl_ProduitsRef[Produit],0)),
   ""
)</f>
        <v/>
      </c>
      <c r="E1053" s="7">
        <v>0</v>
      </c>
      <c r="F1053" s="7" t="str">
        <f>IFERROR(
   INDEX(tbl_ProduitsRef[Prix Menu],MATCH(tbl_Ventes[[#This Row],[Produit]],tbl_ProduitsRef[Produit],0)),
   ""
)</f>
        <v/>
      </c>
      <c r="G1053" s="7">
        <f>tbl_Ventes[[#This Row],[Qté Vendue]] * IFERROR(_xlfn.XLOOKUP(tbl_Ventes[[#This Row],[Cde_Prdt]], tbl_Produits[Cde_Prdt], tbl_Produits[Prix Menu]), 0)</f>
        <v>0</v>
      </c>
      <c r="H1053" s="7">
        <f>IFERROR(_xlfn.XLOOKUP(tbl_Ventes[[#This Row],[Cde_Prdt]], tbl_Produits[Cde_Prdt], tbl_Produits[Coût Moyen Portion]), 0)</f>
        <v>0</v>
      </c>
      <c r="I1053" s="7">
        <f>tbl_Ventes[[#This Row],[Qté Vendue]] * tbl_Ventes[[#This Row],[CMP_par_portion]]</f>
        <v>0</v>
      </c>
      <c r="J1053" s="7">
        <f>tbl_Ventes[[#This Row],[CA ligne]] - tbl_Ventes[[#This Row],[Coût matière ligne]]</f>
        <v>0</v>
      </c>
      <c r="K1053" s="7" t="str">
        <f>IFERROR(INDEX(tbl_ProduitsRef[Famille], MATCH(tbl_Ventes[[#This Row],[Cde_Prdt]], tbl_Produits[Cde_Prdt], 0)), "")</f>
        <v/>
      </c>
    </row>
    <row r="1054" spans="1:11" x14ac:dyDescent="0.25">
      <c r="A1054" s="5"/>
      <c r="B1054" s="63" t="str">
        <f>IFERROR(TEXT(tbl_Ventes[[#This Row],[Date]],"mm-aaaa"),"")</f>
        <v>01-1900</v>
      </c>
      <c r="D1054" s="10" t="str">
        <f>IFERROR(
   INDEX(tbl_ProduitsRef[Cde_Prdt],MATCH(tbl_Ventes[[#This Row],[Produit]],tbl_ProduitsRef[Produit],0)),
   ""
)</f>
        <v/>
      </c>
      <c r="E1054" s="7">
        <v>0</v>
      </c>
      <c r="F1054" s="7" t="str">
        <f>IFERROR(
   INDEX(tbl_ProduitsRef[Prix Menu],MATCH(tbl_Ventes[[#This Row],[Produit]],tbl_ProduitsRef[Produit],0)),
   ""
)</f>
        <v/>
      </c>
      <c r="G1054" s="7">
        <f>tbl_Ventes[[#This Row],[Qté Vendue]] * IFERROR(_xlfn.XLOOKUP(tbl_Ventes[[#This Row],[Cde_Prdt]], tbl_Produits[Cde_Prdt], tbl_Produits[Prix Menu]), 0)</f>
        <v>0</v>
      </c>
      <c r="H1054" s="7">
        <f>IFERROR(_xlfn.XLOOKUP(tbl_Ventes[[#This Row],[Cde_Prdt]], tbl_Produits[Cde_Prdt], tbl_Produits[Coût Moyen Portion]), 0)</f>
        <v>0</v>
      </c>
      <c r="I1054" s="7">
        <f>tbl_Ventes[[#This Row],[Qté Vendue]] * tbl_Ventes[[#This Row],[CMP_par_portion]]</f>
        <v>0</v>
      </c>
      <c r="J1054" s="7">
        <f>tbl_Ventes[[#This Row],[CA ligne]] - tbl_Ventes[[#This Row],[Coût matière ligne]]</f>
        <v>0</v>
      </c>
      <c r="K1054" s="7" t="str">
        <f>IFERROR(INDEX(tbl_ProduitsRef[Famille], MATCH(tbl_Ventes[[#This Row],[Cde_Prdt]], tbl_Produits[Cde_Prdt], 0)), "")</f>
        <v/>
      </c>
    </row>
    <row r="1055" spans="1:11" x14ac:dyDescent="0.25">
      <c r="A1055" s="5"/>
      <c r="B1055" s="63" t="str">
        <f>IFERROR(TEXT(tbl_Ventes[[#This Row],[Date]],"mm-aaaa"),"")</f>
        <v>01-1900</v>
      </c>
      <c r="D1055" s="10" t="str">
        <f>IFERROR(
   INDEX(tbl_ProduitsRef[Cde_Prdt],MATCH(tbl_Ventes[[#This Row],[Produit]],tbl_ProduitsRef[Produit],0)),
   ""
)</f>
        <v/>
      </c>
      <c r="E1055" s="7">
        <v>0</v>
      </c>
      <c r="F1055" s="7" t="str">
        <f>IFERROR(
   INDEX(tbl_ProduitsRef[Prix Menu],MATCH(tbl_Ventes[[#This Row],[Produit]],tbl_ProduitsRef[Produit],0)),
   ""
)</f>
        <v/>
      </c>
      <c r="G1055" s="7">
        <f>tbl_Ventes[[#This Row],[Qté Vendue]] * IFERROR(_xlfn.XLOOKUP(tbl_Ventes[[#This Row],[Cde_Prdt]], tbl_Produits[Cde_Prdt], tbl_Produits[Prix Menu]), 0)</f>
        <v>0</v>
      </c>
      <c r="H1055" s="7">
        <f>IFERROR(_xlfn.XLOOKUP(tbl_Ventes[[#This Row],[Cde_Prdt]], tbl_Produits[Cde_Prdt], tbl_Produits[Coût Moyen Portion]), 0)</f>
        <v>0</v>
      </c>
      <c r="I1055" s="7">
        <f>tbl_Ventes[[#This Row],[Qté Vendue]] * tbl_Ventes[[#This Row],[CMP_par_portion]]</f>
        <v>0</v>
      </c>
      <c r="J1055" s="7">
        <f>tbl_Ventes[[#This Row],[CA ligne]] - tbl_Ventes[[#This Row],[Coût matière ligne]]</f>
        <v>0</v>
      </c>
      <c r="K1055" s="7" t="str">
        <f>IFERROR(INDEX(tbl_ProduitsRef[Famille], MATCH(tbl_Ventes[[#This Row],[Cde_Prdt]], tbl_Produits[Cde_Prdt], 0)), "")</f>
        <v/>
      </c>
    </row>
    <row r="1056" spans="1:11" x14ac:dyDescent="0.25">
      <c r="A1056" s="5"/>
      <c r="B1056" s="63" t="str">
        <f>IFERROR(TEXT(tbl_Ventes[[#This Row],[Date]],"mm-aaaa"),"")</f>
        <v>01-1900</v>
      </c>
      <c r="D1056" s="10" t="str">
        <f>IFERROR(
   INDEX(tbl_ProduitsRef[Cde_Prdt],MATCH(tbl_Ventes[[#This Row],[Produit]],tbl_ProduitsRef[Produit],0)),
   ""
)</f>
        <v/>
      </c>
      <c r="E1056" s="7">
        <v>0</v>
      </c>
      <c r="F1056" s="7" t="str">
        <f>IFERROR(
   INDEX(tbl_ProduitsRef[Prix Menu],MATCH(tbl_Ventes[[#This Row],[Produit]],tbl_ProduitsRef[Produit],0)),
   ""
)</f>
        <v/>
      </c>
      <c r="G1056" s="7">
        <f>tbl_Ventes[[#This Row],[Qté Vendue]] * IFERROR(_xlfn.XLOOKUP(tbl_Ventes[[#This Row],[Cde_Prdt]], tbl_Produits[Cde_Prdt], tbl_Produits[Prix Menu]), 0)</f>
        <v>0</v>
      </c>
      <c r="H1056" s="7">
        <f>IFERROR(_xlfn.XLOOKUP(tbl_Ventes[[#This Row],[Cde_Prdt]], tbl_Produits[Cde_Prdt], tbl_Produits[Coût Moyen Portion]), 0)</f>
        <v>0</v>
      </c>
      <c r="I1056" s="7">
        <f>tbl_Ventes[[#This Row],[Qté Vendue]] * tbl_Ventes[[#This Row],[CMP_par_portion]]</f>
        <v>0</v>
      </c>
      <c r="J1056" s="7">
        <f>tbl_Ventes[[#This Row],[CA ligne]] - tbl_Ventes[[#This Row],[Coût matière ligne]]</f>
        <v>0</v>
      </c>
      <c r="K1056" s="7" t="str">
        <f>IFERROR(INDEX(tbl_ProduitsRef[Famille], MATCH(tbl_Ventes[[#This Row],[Cde_Prdt]], tbl_Produits[Cde_Prdt], 0)), "")</f>
        <v/>
      </c>
    </row>
    <row r="1057" spans="1:11" x14ac:dyDescent="0.25">
      <c r="A1057" s="5"/>
      <c r="B1057" s="63" t="str">
        <f>IFERROR(TEXT(tbl_Ventes[[#This Row],[Date]],"mm-aaaa"),"")</f>
        <v>01-1900</v>
      </c>
      <c r="D1057" s="10" t="str">
        <f>IFERROR(
   INDEX(tbl_ProduitsRef[Cde_Prdt],MATCH(tbl_Ventes[[#This Row],[Produit]],tbl_ProduitsRef[Produit],0)),
   ""
)</f>
        <v/>
      </c>
      <c r="E1057" s="7">
        <v>0</v>
      </c>
      <c r="F1057" s="7" t="str">
        <f>IFERROR(
   INDEX(tbl_ProduitsRef[Prix Menu],MATCH(tbl_Ventes[[#This Row],[Produit]],tbl_ProduitsRef[Produit],0)),
   ""
)</f>
        <v/>
      </c>
      <c r="G1057" s="7">
        <f>tbl_Ventes[[#This Row],[Qté Vendue]] * IFERROR(_xlfn.XLOOKUP(tbl_Ventes[[#This Row],[Cde_Prdt]], tbl_Produits[Cde_Prdt], tbl_Produits[Prix Menu]), 0)</f>
        <v>0</v>
      </c>
      <c r="H1057" s="7">
        <f>IFERROR(_xlfn.XLOOKUP(tbl_Ventes[[#This Row],[Cde_Prdt]], tbl_Produits[Cde_Prdt], tbl_Produits[Coût Moyen Portion]), 0)</f>
        <v>0</v>
      </c>
      <c r="I1057" s="7">
        <f>tbl_Ventes[[#This Row],[Qté Vendue]] * tbl_Ventes[[#This Row],[CMP_par_portion]]</f>
        <v>0</v>
      </c>
      <c r="J1057" s="7">
        <f>tbl_Ventes[[#This Row],[CA ligne]] - tbl_Ventes[[#This Row],[Coût matière ligne]]</f>
        <v>0</v>
      </c>
      <c r="K1057" s="7" t="str">
        <f>IFERROR(INDEX(tbl_ProduitsRef[Famille], MATCH(tbl_Ventes[[#This Row],[Cde_Prdt]], tbl_Produits[Cde_Prdt], 0)), "")</f>
        <v/>
      </c>
    </row>
    <row r="1058" spans="1:11" x14ac:dyDescent="0.25">
      <c r="A1058" s="5"/>
      <c r="B1058" s="63" t="str">
        <f>IFERROR(TEXT(tbl_Ventes[[#This Row],[Date]],"mm-aaaa"),"")</f>
        <v>01-1900</v>
      </c>
      <c r="D1058" s="10" t="str">
        <f>IFERROR(
   INDEX(tbl_ProduitsRef[Cde_Prdt],MATCH(tbl_Ventes[[#This Row],[Produit]],tbl_ProduitsRef[Produit],0)),
   ""
)</f>
        <v/>
      </c>
      <c r="E1058" s="7">
        <v>0</v>
      </c>
      <c r="F1058" s="7" t="str">
        <f>IFERROR(
   INDEX(tbl_ProduitsRef[Prix Menu],MATCH(tbl_Ventes[[#This Row],[Produit]],tbl_ProduitsRef[Produit],0)),
   ""
)</f>
        <v/>
      </c>
      <c r="G1058" s="7">
        <f>tbl_Ventes[[#This Row],[Qté Vendue]] * IFERROR(_xlfn.XLOOKUP(tbl_Ventes[[#This Row],[Cde_Prdt]], tbl_Produits[Cde_Prdt], tbl_Produits[Prix Menu]), 0)</f>
        <v>0</v>
      </c>
      <c r="H1058" s="7">
        <f>IFERROR(_xlfn.XLOOKUP(tbl_Ventes[[#This Row],[Cde_Prdt]], tbl_Produits[Cde_Prdt], tbl_Produits[Coût Moyen Portion]), 0)</f>
        <v>0</v>
      </c>
      <c r="I1058" s="7">
        <f>tbl_Ventes[[#This Row],[Qté Vendue]] * tbl_Ventes[[#This Row],[CMP_par_portion]]</f>
        <v>0</v>
      </c>
      <c r="J1058" s="7">
        <f>tbl_Ventes[[#This Row],[CA ligne]] - tbl_Ventes[[#This Row],[Coût matière ligne]]</f>
        <v>0</v>
      </c>
      <c r="K1058" s="7" t="str">
        <f>IFERROR(INDEX(tbl_ProduitsRef[Famille], MATCH(tbl_Ventes[[#This Row],[Cde_Prdt]], tbl_Produits[Cde_Prdt], 0)), "")</f>
        <v/>
      </c>
    </row>
    <row r="1059" spans="1:11" x14ac:dyDescent="0.25">
      <c r="A1059" s="5"/>
      <c r="B1059" s="63" t="str">
        <f>IFERROR(TEXT(tbl_Ventes[[#This Row],[Date]],"mm-aaaa"),"")</f>
        <v>01-1900</v>
      </c>
      <c r="D1059" s="10" t="str">
        <f>IFERROR(
   INDEX(tbl_ProduitsRef[Cde_Prdt],MATCH(tbl_Ventes[[#This Row],[Produit]],tbl_ProduitsRef[Produit],0)),
   ""
)</f>
        <v/>
      </c>
      <c r="E1059" s="7">
        <v>0</v>
      </c>
      <c r="F1059" s="7" t="str">
        <f>IFERROR(
   INDEX(tbl_ProduitsRef[Prix Menu],MATCH(tbl_Ventes[[#This Row],[Produit]],tbl_ProduitsRef[Produit],0)),
   ""
)</f>
        <v/>
      </c>
      <c r="G1059" s="7">
        <f>tbl_Ventes[[#This Row],[Qté Vendue]] * IFERROR(_xlfn.XLOOKUP(tbl_Ventes[[#This Row],[Cde_Prdt]], tbl_Produits[Cde_Prdt], tbl_Produits[Prix Menu]), 0)</f>
        <v>0</v>
      </c>
      <c r="H1059" s="7">
        <f>IFERROR(_xlfn.XLOOKUP(tbl_Ventes[[#This Row],[Cde_Prdt]], tbl_Produits[Cde_Prdt], tbl_Produits[Coût Moyen Portion]), 0)</f>
        <v>0</v>
      </c>
      <c r="I1059" s="7">
        <f>tbl_Ventes[[#This Row],[Qté Vendue]] * tbl_Ventes[[#This Row],[CMP_par_portion]]</f>
        <v>0</v>
      </c>
      <c r="J1059" s="7">
        <f>tbl_Ventes[[#This Row],[CA ligne]] - tbl_Ventes[[#This Row],[Coût matière ligne]]</f>
        <v>0</v>
      </c>
      <c r="K1059" s="7" t="str">
        <f>IFERROR(INDEX(tbl_ProduitsRef[Famille], MATCH(tbl_Ventes[[#This Row],[Cde_Prdt]], tbl_Produits[Cde_Prdt], 0)), "")</f>
        <v/>
      </c>
    </row>
    <row r="1060" spans="1:11" x14ac:dyDescent="0.25">
      <c r="A1060" s="5"/>
      <c r="B1060" s="63" t="str">
        <f>IFERROR(TEXT(tbl_Ventes[[#This Row],[Date]],"mm-aaaa"),"")</f>
        <v>01-1900</v>
      </c>
      <c r="D1060" s="10" t="str">
        <f>IFERROR(
   INDEX(tbl_ProduitsRef[Cde_Prdt],MATCH(tbl_Ventes[[#This Row],[Produit]],tbl_ProduitsRef[Produit],0)),
   ""
)</f>
        <v/>
      </c>
      <c r="E1060" s="7">
        <v>0</v>
      </c>
      <c r="F1060" s="7" t="str">
        <f>IFERROR(
   INDEX(tbl_ProduitsRef[Prix Menu],MATCH(tbl_Ventes[[#This Row],[Produit]],tbl_ProduitsRef[Produit],0)),
   ""
)</f>
        <v/>
      </c>
      <c r="G1060" s="7">
        <f>tbl_Ventes[[#This Row],[Qté Vendue]] * IFERROR(_xlfn.XLOOKUP(tbl_Ventes[[#This Row],[Cde_Prdt]], tbl_Produits[Cde_Prdt], tbl_Produits[Prix Menu]), 0)</f>
        <v>0</v>
      </c>
      <c r="H1060" s="7">
        <f>IFERROR(_xlfn.XLOOKUP(tbl_Ventes[[#This Row],[Cde_Prdt]], tbl_Produits[Cde_Prdt], tbl_Produits[Coût Moyen Portion]), 0)</f>
        <v>0</v>
      </c>
      <c r="I1060" s="7">
        <f>tbl_Ventes[[#This Row],[Qté Vendue]] * tbl_Ventes[[#This Row],[CMP_par_portion]]</f>
        <v>0</v>
      </c>
      <c r="J1060" s="7">
        <f>tbl_Ventes[[#This Row],[CA ligne]] - tbl_Ventes[[#This Row],[Coût matière ligne]]</f>
        <v>0</v>
      </c>
      <c r="K1060" s="7" t="str">
        <f>IFERROR(INDEX(tbl_ProduitsRef[Famille], MATCH(tbl_Ventes[[#This Row],[Cde_Prdt]], tbl_Produits[Cde_Prdt], 0)), "")</f>
        <v/>
      </c>
    </row>
    <row r="1061" spans="1:11" x14ac:dyDescent="0.25">
      <c r="A1061" s="5"/>
      <c r="B1061" s="63" t="str">
        <f>IFERROR(TEXT(tbl_Ventes[[#This Row],[Date]],"mm-aaaa"),"")</f>
        <v>01-1900</v>
      </c>
      <c r="D1061" s="10" t="str">
        <f>IFERROR(
   INDEX(tbl_ProduitsRef[Cde_Prdt],MATCH(tbl_Ventes[[#This Row],[Produit]],tbl_ProduitsRef[Produit],0)),
   ""
)</f>
        <v/>
      </c>
      <c r="E1061" s="7">
        <v>0</v>
      </c>
      <c r="F1061" s="7" t="str">
        <f>IFERROR(
   INDEX(tbl_ProduitsRef[Prix Menu],MATCH(tbl_Ventes[[#This Row],[Produit]],tbl_ProduitsRef[Produit],0)),
   ""
)</f>
        <v/>
      </c>
      <c r="G1061" s="7">
        <f>tbl_Ventes[[#This Row],[Qté Vendue]] * IFERROR(_xlfn.XLOOKUP(tbl_Ventes[[#This Row],[Cde_Prdt]], tbl_Produits[Cde_Prdt], tbl_Produits[Prix Menu]), 0)</f>
        <v>0</v>
      </c>
      <c r="H1061" s="7">
        <f>IFERROR(_xlfn.XLOOKUP(tbl_Ventes[[#This Row],[Cde_Prdt]], tbl_Produits[Cde_Prdt], tbl_Produits[Coût Moyen Portion]), 0)</f>
        <v>0</v>
      </c>
      <c r="I1061" s="7">
        <f>tbl_Ventes[[#This Row],[Qté Vendue]] * tbl_Ventes[[#This Row],[CMP_par_portion]]</f>
        <v>0</v>
      </c>
      <c r="J1061" s="7">
        <f>tbl_Ventes[[#This Row],[CA ligne]] - tbl_Ventes[[#This Row],[Coût matière ligne]]</f>
        <v>0</v>
      </c>
      <c r="K1061" s="7" t="str">
        <f>IFERROR(INDEX(tbl_ProduitsRef[Famille], MATCH(tbl_Ventes[[#This Row],[Cde_Prdt]], tbl_Produits[Cde_Prdt], 0)), "")</f>
        <v/>
      </c>
    </row>
    <row r="1062" spans="1:11" x14ac:dyDescent="0.25">
      <c r="A1062" s="5"/>
      <c r="B1062" s="63" t="str">
        <f>IFERROR(TEXT(tbl_Ventes[[#This Row],[Date]],"mm-aaaa"),"")</f>
        <v>01-1900</v>
      </c>
      <c r="D1062" s="10" t="str">
        <f>IFERROR(
   INDEX(tbl_ProduitsRef[Cde_Prdt],MATCH(tbl_Ventes[[#This Row],[Produit]],tbl_ProduitsRef[Produit],0)),
   ""
)</f>
        <v/>
      </c>
      <c r="E1062" s="7">
        <v>0</v>
      </c>
      <c r="F1062" s="7" t="str">
        <f>IFERROR(
   INDEX(tbl_ProduitsRef[Prix Menu],MATCH(tbl_Ventes[[#This Row],[Produit]],tbl_ProduitsRef[Produit],0)),
   ""
)</f>
        <v/>
      </c>
      <c r="G1062" s="7">
        <f>tbl_Ventes[[#This Row],[Qté Vendue]] * IFERROR(_xlfn.XLOOKUP(tbl_Ventes[[#This Row],[Cde_Prdt]], tbl_Produits[Cde_Prdt], tbl_Produits[Prix Menu]), 0)</f>
        <v>0</v>
      </c>
      <c r="H1062" s="7">
        <f>IFERROR(_xlfn.XLOOKUP(tbl_Ventes[[#This Row],[Cde_Prdt]], tbl_Produits[Cde_Prdt], tbl_Produits[Coût Moyen Portion]), 0)</f>
        <v>0</v>
      </c>
      <c r="I1062" s="7">
        <f>tbl_Ventes[[#This Row],[Qté Vendue]] * tbl_Ventes[[#This Row],[CMP_par_portion]]</f>
        <v>0</v>
      </c>
      <c r="J1062" s="7">
        <f>tbl_Ventes[[#This Row],[CA ligne]] - tbl_Ventes[[#This Row],[Coût matière ligne]]</f>
        <v>0</v>
      </c>
      <c r="K1062" s="7" t="str">
        <f>IFERROR(INDEX(tbl_ProduitsRef[Famille], MATCH(tbl_Ventes[[#This Row],[Cde_Prdt]], tbl_Produits[Cde_Prdt], 0)), "")</f>
        <v/>
      </c>
    </row>
    <row r="1063" spans="1:11" x14ac:dyDescent="0.25">
      <c r="A1063" s="5"/>
      <c r="B1063" s="63" t="str">
        <f>IFERROR(TEXT(tbl_Ventes[[#This Row],[Date]],"mm-aaaa"),"")</f>
        <v>01-1900</v>
      </c>
      <c r="D1063" s="10" t="str">
        <f>IFERROR(
   INDEX(tbl_ProduitsRef[Cde_Prdt],MATCH(tbl_Ventes[[#This Row],[Produit]],tbl_ProduitsRef[Produit],0)),
   ""
)</f>
        <v/>
      </c>
      <c r="E1063" s="7">
        <v>0</v>
      </c>
      <c r="F1063" s="7" t="str">
        <f>IFERROR(
   INDEX(tbl_ProduitsRef[Prix Menu],MATCH(tbl_Ventes[[#This Row],[Produit]],tbl_ProduitsRef[Produit],0)),
   ""
)</f>
        <v/>
      </c>
      <c r="G1063" s="7">
        <f>tbl_Ventes[[#This Row],[Qté Vendue]] * IFERROR(_xlfn.XLOOKUP(tbl_Ventes[[#This Row],[Cde_Prdt]], tbl_Produits[Cde_Prdt], tbl_Produits[Prix Menu]), 0)</f>
        <v>0</v>
      </c>
      <c r="H1063" s="7">
        <f>IFERROR(_xlfn.XLOOKUP(tbl_Ventes[[#This Row],[Cde_Prdt]], tbl_Produits[Cde_Prdt], tbl_Produits[Coût Moyen Portion]), 0)</f>
        <v>0</v>
      </c>
      <c r="I1063" s="7">
        <f>tbl_Ventes[[#This Row],[Qté Vendue]] * tbl_Ventes[[#This Row],[CMP_par_portion]]</f>
        <v>0</v>
      </c>
      <c r="J1063" s="7">
        <f>tbl_Ventes[[#This Row],[CA ligne]] - tbl_Ventes[[#This Row],[Coût matière ligne]]</f>
        <v>0</v>
      </c>
      <c r="K1063" s="7" t="str">
        <f>IFERROR(INDEX(tbl_ProduitsRef[Famille], MATCH(tbl_Ventes[[#This Row],[Cde_Prdt]], tbl_Produits[Cde_Prdt], 0)), "")</f>
        <v/>
      </c>
    </row>
    <row r="1064" spans="1:11" x14ac:dyDescent="0.25">
      <c r="A1064" s="5"/>
      <c r="B1064" s="63" t="str">
        <f>IFERROR(TEXT(tbl_Ventes[[#This Row],[Date]],"mm-aaaa"),"")</f>
        <v>01-1900</v>
      </c>
      <c r="D1064" s="10" t="str">
        <f>IFERROR(
   INDEX(tbl_ProduitsRef[Cde_Prdt],MATCH(tbl_Ventes[[#This Row],[Produit]],tbl_ProduitsRef[Produit],0)),
   ""
)</f>
        <v/>
      </c>
      <c r="E1064" s="7">
        <v>0</v>
      </c>
      <c r="F1064" s="7" t="str">
        <f>IFERROR(
   INDEX(tbl_ProduitsRef[Prix Menu],MATCH(tbl_Ventes[[#This Row],[Produit]],tbl_ProduitsRef[Produit],0)),
   ""
)</f>
        <v/>
      </c>
      <c r="G1064" s="7">
        <f>tbl_Ventes[[#This Row],[Qté Vendue]] * IFERROR(_xlfn.XLOOKUP(tbl_Ventes[[#This Row],[Cde_Prdt]], tbl_Produits[Cde_Prdt], tbl_Produits[Prix Menu]), 0)</f>
        <v>0</v>
      </c>
      <c r="H1064" s="7">
        <f>IFERROR(_xlfn.XLOOKUP(tbl_Ventes[[#This Row],[Cde_Prdt]], tbl_Produits[Cde_Prdt], tbl_Produits[Coût Moyen Portion]), 0)</f>
        <v>0</v>
      </c>
      <c r="I1064" s="7">
        <f>tbl_Ventes[[#This Row],[Qté Vendue]] * tbl_Ventes[[#This Row],[CMP_par_portion]]</f>
        <v>0</v>
      </c>
      <c r="J1064" s="7">
        <f>tbl_Ventes[[#This Row],[CA ligne]] - tbl_Ventes[[#This Row],[Coût matière ligne]]</f>
        <v>0</v>
      </c>
      <c r="K1064" s="7" t="str">
        <f>IFERROR(INDEX(tbl_ProduitsRef[Famille], MATCH(tbl_Ventes[[#This Row],[Cde_Prdt]], tbl_Produits[Cde_Prdt], 0)), "")</f>
        <v/>
      </c>
    </row>
    <row r="1065" spans="1:11" x14ac:dyDescent="0.25">
      <c r="A1065" s="5"/>
      <c r="B1065" s="63" t="str">
        <f>IFERROR(TEXT(tbl_Ventes[[#This Row],[Date]],"mm-aaaa"),"")</f>
        <v>01-1900</v>
      </c>
      <c r="D1065" s="10" t="str">
        <f>IFERROR(
   INDEX(tbl_ProduitsRef[Cde_Prdt],MATCH(tbl_Ventes[[#This Row],[Produit]],tbl_ProduitsRef[Produit],0)),
   ""
)</f>
        <v/>
      </c>
      <c r="E1065" s="7">
        <v>0</v>
      </c>
      <c r="F1065" s="7" t="str">
        <f>IFERROR(
   INDEX(tbl_ProduitsRef[Prix Menu],MATCH(tbl_Ventes[[#This Row],[Produit]],tbl_ProduitsRef[Produit],0)),
   ""
)</f>
        <v/>
      </c>
      <c r="G1065" s="7">
        <f>tbl_Ventes[[#This Row],[Qté Vendue]] * IFERROR(_xlfn.XLOOKUP(tbl_Ventes[[#This Row],[Cde_Prdt]], tbl_Produits[Cde_Prdt], tbl_Produits[Prix Menu]), 0)</f>
        <v>0</v>
      </c>
      <c r="H1065" s="7">
        <f>IFERROR(_xlfn.XLOOKUP(tbl_Ventes[[#This Row],[Cde_Prdt]], tbl_Produits[Cde_Prdt], tbl_Produits[Coût Moyen Portion]), 0)</f>
        <v>0</v>
      </c>
      <c r="I1065" s="7">
        <f>tbl_Ventes[[#This Row],[Qté Vendue]] * tbl_Ventes[[#This Row],[CMP_par_portion]]</f>
        <v>0</v>
      </c>
      <c r="J1065" s="7">
        <f>tbl_Ventes[[#This Row],[CA ligne]] - tbl_Ventes[[#This Row],[Coût matière ligne]]</f>
        <v>0</v>
      </c>
      <c r="K1065" s="7" t="str">
        <f>IFERROR(INDEX(tbl_ProduitsRef[Famille], MATCH(tbl_Ventes[[#This Row],[Cde_Prdt]], tbl_Produits[Cde_Prdt], 0)), "")</f>
        <v/>
      </c>
    </row>
    <row r="1066" spans="1:11" x14ac:dyDescent="0.25">
      <c r="A1066" s="5"/>
      <c r="B1066" s="63" t="str">
        <f>IFERROR(TEXT(tbl_Ventes[[#This Row],[Date]],"mm-aaaa"),"")</f>
        <v>01-1900</v>
      </c>
      <c r="D1066" s="10" t="str">
        <f>IFERROR(
   INDEX(tbl_ProduitsRef[Cde_Prdt],MATCH(tbl_Ventes[[#This Row],[Produit]],tbl_ProduitsRef[Produit],0)),
   ""
)</f>
        <v/>
      </c>
      <c r="E1066" s="7">
        <v>0</v>
      </c>
      <c r="F1066" s="7" t="str">
        <f>IFERROR(
   INDEX(tbl_ProduitsRef[Prix Menu],MATCH(tbl_Ventes[[#This Row],[Produit]],tbl_ProduitsRef[Produit],0)),
   ""
)</f>
        <v/>
      </c>
      <c r="G1066" s="7">
        <f>tbl_Ventes[[#This Row],[Qté Vendue]] * IFERROR(_xlfn.XLOOKUP(tbl_Ventes[[#This Row],[Cde_Prdt]], tbl_Produits[Cde_Prdt], tbl_Produits[Prix Menu]), 0)</f>
        <v>0</v>
      </c>
      <c r="H1066" s="7">
        <f>IFERROR(_xlfn.XLOOKUP(tbl_Ventes[[#This Row],[Cde_Prdt]], tbl_Produits[Cde_Prdt], tbl_Produits[Coût Moyen Portion]), 0)</f>
        <v>0</v>
      </c>
      <c r="I1066" s="7">
        <f>tbl_Ventes[[#This Row],[Qté Vendue]] * tbl_Ventes[[#This Row],[CMP_par_portion]]</f>
        <v>0</v>
      </c>
      <c r="J1066" s="7">
        <f>tbl_Ventes[[#This Row],[CA ligne]] - tbl_Ventes[[#This Row],[Coût matière ligne]]</f>
        <v>0</v>
      </c>
      <c r="K1066" s="7" t="str">
        <f>IFERROR(INDEX(tbl_ProduitsRef[Famille], MATCH(tbl_Ventes[[#This Row],[Cde_Prdt]], tbl_Produits[Cde_Prdt], 0)), "")</f>
        <v/>
      </c>
    </row>
    <row r="1067" spans="1:11" x14ac:dyDescent="0.25">
      <c r="A1067" s="5"/>
      <c r="B1067" s="63" t="str">
        <f>IFERROR(TEXT(tbl_Ventes[[#This Row],[Date]],"mm-aaaa"),"")</f>
        <v>01-1900</v>
      </c>
      <c r="D1067" s="10" t="str">
        <f>IFERROR(
   INDEX(tbl_ProduitsRef[Cde_Prdt],MATCH(tbl_Ventes[[#This Row],[Produit]],tbl_ProduitsRef[Produit],0)),
   ""
)</f>
        <v/>
      </c>
      <c r="E1067" s="7">
        <v>0</v>
      </c>
      <c r="F1067" s="7" t="str">
        <f>IFERROR(
   INDEX(tbl_ProduitsRef[Prix Menu],MATCH(tbl_Ventes[[#This Row],[Produit]],tbl_ProduitsRef[Produit],0)),
   ""
)</f>
        <v/>
      </c>
      <c r="G1067" s="7">
        <f>tbl_Ventes[[#This Row],[Qté Vendue]] * IFERROR(_xlfn.XLOOKUP(tbl_Ventes[[#This Row],[Cde_Prdt]], tbl_Produits[Cde_Prdt], tbl_Produits[Prix Menu]), 0)</f>
        <v>0</v>
      </c>
      <c r="H1067" s="7">
        <f>IFERROR(_xlfn.XLOOKUP(tbl_Ventes[[#This Row],[Cde_Prdt]], tbl_Produits[Cde_Prdt], tbl_Produits[Coût Moyen Portion]), 0)</f>
        <v>0</v>
      </c>
      <c r="I1067" s="7">
        <f>tbl_Ventes[[#This Row],[Qté Vendue]] * tbl_Ventes[[#This Row],[CMP_par_portion]]</f>
        <v>0</v>
      </c>
      <c r="J1067" s="7">
        <f>tbl_Ventes[[#This Row],[CA ligne]] - tbl_Ventes[[#This Row],[Coût matière ligne]]</f>
        <v>0</v>
      </c>
      <c r="K1067" s="7" t="str">
        <f>IFERROR(INDEX(tbl_ProduitsRef[Famille], MATCH(tbl_Ventes[[#This Row],[Cde_Prdt]], tbl_Produits[Cde_Prdt], 0)), "")</f>
        <v/>
      </c>
    </row>
    <row r="1068" spans="1:11" x14ac:dyDescent="0.25">
      <c r="A1068" s="5"/>
      <c r="B1068" s="63" t="str">
        <f>IFERROR(TEXT(tbl_Ventes[[#This Row],[Date]],"mm-aaaa"),"")</f>
        <v>01-1900</v>
      </c>
      <c r="D1068" s="10" t="str">
        <f>IFERROR(
   INDEX(tbl_ProduitsRef[Cde_Prdt],MATCH(tbl_Ventes[[#This Row],[Produit]],tbl_ProduitsRef[Produit],0)),
   ""
)</f>
        <v/>
      </c>
      <c r="E1068" s="7">
        <v>0</v>
      </c>
      <c r="F1068" s="7" t="str">
        <f>IFERROR(
   INDEX(tbl_ProduitsRef[Prix Menu],MATCH(tbl_Ventes[[#This Row],[Produit]],tbl_ProduitsRef[Produit],0)),
   ""
)</f>
        <v/>
      </c>
      <c r="G1068" s="7">
        <f>tbl_Ventes[[#This Row],[Qté Vendue]] * IFERROR(_xlfn.XLOOKUP(tbl_Ventes[[#This Row],[Cde_Prdt]], tbl_Produits[Cde_Prdt], tbl_Produits[Prix Menu]), 0)</f>
        <v>0</v>
      </c>
      <c r="H1068" s="7">
        <f>IFERROR(_xlfn.XLOOKUP(tbl_Ventes[[#This Row],[Cde_Prdt]], tbl_Produits[Cde_Prdt], tbl_Produits[Coût Moyen Portion]), 0)</f>
        <v>0</v>
      </c>
      <c r="I1068" s="7">
        <f>tbl_Ventes[[#This Row],[Qté Vendue]] * tbl_Ventes[[#This Row],[CMP_par_portion]]</f>
        <v>0</v>
      </c>
      <c r="J1068" s="7">
        <f>tbl_Ventes[[#This Row],[CA ligne]] - tbl_Ventes[[#This Row],[Coût matière ligne]]</f>
        <v>0</v>
      </c>
      <c r="K1068" s="7" t="str">
        <f>IFERROR(INDEX(tbl_ProduitsRef[Famille], MATCH(tbl_Ventes[[#This Row],[Cde_Prdt]], tbl_Produits[Cde_Prdt], 0)), "")</f>
        <v/>
      </c>
    </row>
    <row r="1069" spans="1:11" x14ac:dyDescent="0.25">
      <c r="A1069" s="5"/>
      <c r="B1069" s="63" t="str">
        <f>IFERROR(TEXT(tbl_Ventes[[#This Row],[Date]],"mm-aaaa"),"")</f>
        <v>01-1900</v>
      </c>
      <c r="D1069" s="10" t="str">
        <f>IFERROR(
   INDEX(tbl_ProduitsRef[Cde_Prdt],MATCH(tbl_Ventes[[#This Row],[Produit]],tbl_ProduitsRef[Produit],0)),
   ""
)</f>
        <v/>
      </c>
      <c r="E1069" s="7">
        <v>0</v>
      </c>
      <c r="F1069" s="7" t="str">
        <f>IFERROR(
   INDEX(tbl_ProduitsRef[Prix Menu],MATCH(tbl_Ventes[[#This Row],[Produit]],tbl_ProduitsRef[Produit],0)),
   ""
)</f>
        <v/>
      </c>
      <c r="G1069" s="7">
        <f>tbl_Ventes[[#This Row],[Qté Vendue]] * IFERROR(_xlfn.XLOOKUP(tbl_Ventes[[#This Row],[Cde_Prdt]], tbl_Produits[Cde_Prdt], tbl_Produits[Prix Menu]), 0)</f>
        <v>0</v>
      </c>
      <c r="H1069" s="7">
        <f>IFERROR(_xlfn.XLOOKUP(tbl_Ventes[[#This Row],[Cde_Prdt]], tbl_Produits[Cde_Prdt], tbl_Produits[Coût Moyen Portion]), 0)</f>
        <v>0</v>
      </c>
      <c r="I1069" s="7">
        <f>tbl_Ventes[[#This Row],[Qté Vendue]] * tbl_Ventes[[#This Row],[CMP_par_portion]]</f>
        <v>0</v>
      </c>
      <c r="J1069" s="7">
        <f>tbl_Ventes[[#This Row],[CA ligne]] - tbl_Ventes[[#This Row],[Coût matière ligne]]</f>
        <v>0</v>
      </c>
      <c r="K1069" s="7" t="str">
        <f>IFERROR(INDEX(tbl_ProduitsRef[Famille], MATCH(tbl_Ventes[[#This Row],[Cde_Prdt]], tbl_Produits[Cde_Prdt], 0)), "")</f>
        <v/>
      </c>
    </row>
    <row r="1070" spans="1:11" x14ac:dyDescent="0.25">
      <c r="A1070" s="5"/>
      <c r="B1070" s="63" t="str">
        <f>IFERROR(TEXT(tbl_Ventes[[#This Row],[Date]],"mm-aaaa"),"")</f>
        <v>01-1900</v>
      </c>
      <c r="D1070" s="10" t="str">
        <f>IFERROR(
   INDEX(tbl_ProduitsRef[Cde_Prdt],MATCH(tbl_Ventes[[#This Row],[Produit]],tbl_ProduitsRef[Produit],0)),
   ""
)</f>
        <v/>
      </c>
      <c r="E1070" s="7">
        <v>0</v>
      </c>
      <c r="F1070" s="7" t="str">
        <f>IFERROR(
   INDEX(tbl_ProduitsRef[Prix Menu],MATCH(tbl_Ventes[[#This Row],[Produit]],tbl_ProduitsRef[Produit],0)),
   ""
)</f>
        <v/>
      </c>
      <c r="G1070" s="7">
        <f>tbl_Ventes[[#This Row],[Qté Vendue]] * IFERROR(_xlfn.XLOOKUP(tbl_Ventes[[#This Row],[Cde_Prdt]], tbl_Produits[Cde_Prdt], tbl_Produits[Prix Menu]), 0)</f>
        <v>0</v>
      </c>
      <c r="H1070" s="7">
        <f>IFERROR(_xlfn.XLOOKUP(tbl_Ventes[[#This Row],[Cde_Prdt]], tbl_Produits[Cde_Prdt], tbl_Produits[Coût Moyen Portion]), 0)</f>
        <v>0</v>
      </c>
      <c r="I1070" s="7">
        <f>tbl_Ventes[[#This Row],[Qté Vendue]] * tbl_Ventes[[#This Row],[CMP_par_portion]]</f>
        <v>0</v>
      </c>
      <c r="J1070" s="7">
        <f>tbl_Ventes[[#This Row],[CA ligne]] - tbl_Ventes[[#This Row],[Coût matière ligne]]</f>
        <v>0</v>
      </c>
      <c r="K1070" s="7" t="str">
        <f>IFERROR(INDEX(tbl_ProduitsRef[Famille], MATCH(tbl_Ventes[[#This Row],[Cde_Prdt]], tbl_Produits[Cde_Prdt], 0)), "")</f>
        <v/>
      </c>
    </row>
    <row r="1071" spans="1:11" x14ac:dyDescent="0.25">
      <c r="A1071" s="5"/>
      <c r="B1071" s="63" t="str">
        <f>IFERROR(TEXT(tbl_Ventes[[#This Row],[Date]],"mm-aaaa"),"")</f>
        <v>01-1900</v>
      </c>
      <c r="D1071" s="10" t="str">
        <f>IFERROR(
   INDEX(tbl_ProduitsRef[Cde_Prdt],MATCH(tbl_Ventes[[#This Row],[Produit]],tbl_ProduitsRef[Produit],0)),
   ""
)</f>
        <v/>
      </c>
      <c r="E1071" s="7">
        <v>0</v>
      </c>
      <c r="F1071" s="7" t="str">
        <f>IFERROR(
   INDEX(tbl_ProduitsRef[Prix Menu],MATCH(tbl_Ventes[[#This Row],[Produit]],tbl_ProduitsRef[Produit],0)),
   ""
)</f>
        <v/>
      </c>
      <c r="G1071" s="7">
        <f>tbl_Ventes[[#This Row],[Qté Vendue]] * IFERROR(_xlfn.XLOOKUP(tbl_Ventes[[#This Row],[Cde_Prdt]], tbl_Produits[Cde_Prdt], tbl_Produits[Prix Menu]), 0)</f>
        <v>0</v>
      </c>
      <c r="H1071" s="7">
        <f>IFERROR(_xlfn.XLOOKUP(tbl_Ventes[[#This Row],[Cde_Prdt]], tbl_Produits[Cde_Prdt], tbl_Produits[Coût Moyen Portion]), 0)</f>
        <v>0</v>
      </c>
      <c r="I1071" s="7">
        <f>tbl_Ventes[[#This Row],[Qté Vendue]] * tbl_Ventes[[#This Row],[CMP_par_portion]]</f>
        <v>0</v>
      </c>
      <c r="J1071" s="7">
        <f>tbl_Ventes[[#This Row],[CA ligne]] - tbl_Ventes[[#This Row],[Coût matière ligne]]</f>
        <v>0</v>
      </c>
      <c r="K1071" s="7" t="str">
        <f>IFERROR(INDEX(tbl_ProduitsRef[Famille], MATCH(tbl_Ventes[[#This Row],[Cde_Prdt]], tbl_Produits[Cde_Prdt], 0)), "")</f>
        <v/>
      </c>
    </row>
    <row r="1072" spans="1:11" x14ac:dyDescent="0.25">
      <c r="A1072" s="5"/>
      <c r="B1072" s="63" t="str">
        <f>IFERROR(TEXT(tbl_Ventes[[#This Row],[Date]],"mm-aaaa"),"")</f>
        <v>01-1900</v>
      </c>
      <c r="D1072" s="10" t="str">
        <f>IFERROR(
   INDEX(tbl_ProduitsRef[Cde_Prdt],MATCH(tbl_Ventes[[#This Row],[Produit]],tbl_ProduitsRef[Produit],0)),
   ""
)</f>
        <v/>
      </c>
      <c r="E1072" s="7">
        <v>0</v>
      </c>
      <c r="F1072" s="7" t="str">
        <f>IFERROR(
   INDEX(tbl_ProduitsRef[Prix Menu],MATCH(tbl_Ventes[[#This Row],[Produit]],tbl_ProduitsRef[Produit],0)),
   ""
)</f>
        <v/>
      </c>
      <c r="G1072" s="7">
        <f>tbl_Ventes[[#This Row],[Qté Vendue]] * IFERROR(_xlfn.XLOOKUP(tbl_Ventes[[#This Row],[Cde_Prdt]], tbl_Produits[Cde_Prdt], tbl_Produits[Prix Menu]), 0)</f>
        <v>0</v>
      </c>
      <c r="H1072" s="7">
        <f>IFERROR(_xlfn.XLOOKUP(tbl_Ventes[[#This Row],[Cde_Prdt]], tbl_Produits[Cde_Prdt], tbl_Produits[Coût Moyen Portion]), 0)</f>
        <v>0</v>
      </c>
      <c r="I1072" s="7">
        <f>tbl_Ventes[[#This Row],[Qté Vendue]] * tbl_Ventes[[#This Row],[CMP_par_portion]]</f>
        <v>0</v>
      </c>
      <c r="J1072" s="7">
        <f>tbl_Ventes[[#This Row],[CA ligne]] - tbl_Ventes[[#This Row],[Coût matière ligne]]</f>
        <v>0</v>
      </c>
      <c r="K1072" s="7" t="str">
        <f>IFERROR(INDEX(tbl_ProduitsRef[Famille], MATCH(tbl_Ventes[[#This Row],[Cde_Prdt]], tbl_Produits[Cde_Prdt], 0)), "")</f>
        <v/>
      </c>
    </row>
    <row r="1073" spans="1:11" x14ac:dyDescent="0.25">
      <c r="A1073" s="5"/>
      <c r="B1073" s="63" t="str">
        <f>IFERROR(TEXT(tbl_Ventes[[#This Row],[Date]],"mm-aaaa"),"")</f>
        <v>01-1900</v>
      </c>
      <c r="D1073" s="10" t="str">
        <f>IFERROR(
   INDEX(tbl_ProduitsRef[Cde_Prdt],MATCH(tbl_Ventes[[#This Row],[Produit]],tbl_ProduitsRef[Produit],0)),
   ""
)</f>
        <v/>
      </c>
      <c r="E1073" s="7">
        <v>0</v>
      </c>
      <c r="F1073" s="7" t="str">
        <f>IFERROR(
   INDEX(tbl_ProduitsRef[Prix Menu],MATCH(tbl_Ventes[[#This Row],[Produit]],tbl_ProduitsRef[Produit],0)),
   ""
)</f>
        <v/>
      </c>
      <c r="G1073" s="7">
        <f>tbl_Ventes[[#This Row],[Qté Vendue]] * IFERROR(_xlfn.XLOOKUP(tbl_Ventes[[#This Row],[Cde_Prdt]], tbl_Produits[Cde_Prdt], tbl_Produits[Prix Menu]), 0)</f>
        <v>0</v>
      </c>
      <c r="H1073" s="7">
        <f>IFERROR(_xlfn.XLOOKUP(tbl_Ventes[[#This Row],[Cde_Prdt]], tbl_Produits[Cde_Prdt], tbl_Produits[Coût Moyen Portion]), 0)</f>
        <v>0</v>
      </c>
      <c r="I1073" s="7">
        <f>tbl_Ventes[[#This Row],[Qté Vendue]] * tbl_Ventes[[#This Row],[CMP_par_portion]]</f>
        <v>0</v>
      </c>
      <c r="J1073" s="7">
        <f>tbl_Ventes[[#This Row],[CA ligne]] - tbl_Ventes[[#This Row],[Coût matière ligne]]</f>
        <v>0</v>
      </c>
      <c r="K1073" s="7" t="str">
        <f>IFERROR(INDEX(tbl_ProduitsRef[Famille], MATCH(tbl_Ventes[[#This Row],[Cde_Prdt]], tbl_Produits[Cde_Prdt], 0)), "")</f>
        <v/>
      </c>
    </row>
    <row r="1074" spans="1:11" x14ac:dyDescent="0.25">
      <c r="A1074" s="5"/>
      <c r="B1074" s="63" t="str">
        <f>IFERROR(TEXT(tbl_Ventes[[#This Row],[Date]],"mm-aaaa"),"")</f>
        <v>01-1900</v>
      </c>
      <c r="D1074" s="10" t="str">
        <f>IFERROR(
   INDEX(tbl_ProduitsRef[Cde_Prdt],MATCH(tbl_Ventes[[#This Row],[Produit]],tbl_ProduitsRef[Produit],0)),
   ""
)</f>
        <v/>
      </c>
      <c r="E1074" s="7">
        <v>0</v>
      </c>
      <c r="F1074" s="7" t="str">
        <f>IFERROR(
   INDEX(tbl_ProduitsRef[Prix Menu],MATCH(tbl_Ventes[[#This Row],[Produit]],tbl_ProduitsRef[Produit],0)),
   ""
)</f>
        <v/>
      </c>
      <c r="G1074" s="7">
        <f>tbl_Ventes[[#This Row],[Qté Vendue]] * IFERROR(_xlfn.XLOOKUP(tbl_Ventes[[#This Row],[Cde_Prdt]], tbl_Produits[Cde_Prdt], tbl_Produits[Prix Menu]), 0)</f>
        <v>0</v>
      </c>
      <c r="H1074" s="7">
        <f>IFERROR(_xlfn.XLOOKUP(tbl_Ventes[[#This Row],[Cde_Prdt]], tbl_Produits[Cde_Prdt], tbl_Produits[Coût Moyen Portion]), 0)</f>
        <v>0</v>
      </c>
      <c r="I1074" s="7">
        <f>tbl_Ventes[[#This Row],[Qté Vendue]] * tbl_Ventes[[#This Row],[CMP_par_portion]]</f>
        <v>0</v>
      </c>
      <c r="J1074" s="7">
        <f>tbl_Ventes[[#This Row],[CA ligne]] - tbl_Ventes[[#This Row],[Coût matière ligne]]</f>
        <v>0</v>
      </c>
      <c r="K1074" s="7" t="str">
        <f>IFERROR(INDEX(tbl_ProduitsRef[Famille], MATCH(tbl_Ventes[[#This Row],[Cde_Prdt]], tbl_Produits[Cde_Prdt], 0)), "")</f>
        <v/>
      </c>
    </row>
    <row r="1075" spans="1:11" x14ac:dyDescent="0.25">
      <c r="A1075" s="5"/>
      <c r="B1075" s="63" t="str">
        <f>IFERROR(TEXT(tbl_Ventes[[#This Row],[Date]],"mm-aaaa"),"")</f>
        <v>01-1900</v>
      </c>
      <c r="D1075" s="10" t="str">
        <f>IFERROR(
   INDEX(tbl_ProduitsRef[Cde_Prdt],MATCH(tbl_Ventes[[#This Row],[Produit]],tbl_ProduitsRef[Produit],0)),
   ""
)</f>
        <v/>
      </c>
      <c r="E1075" s="7">
        <v>0</v>
      </c>
      <c r="F1075" s="7" t="str">
        <f>IFERROR(
   INDEX(tbl_ProduitsRef[Prix Menu],MATCH(tbl_Ventes[[#This Row],[Produit]],tbl_ProduitsRef[Produit],0)),
   ""
)</f>
        <v/>
      </c>
      <c r="G1075" s="7">
        <f>tbl_Ventes[[#This Row],[Qté Vendue]] * IFERROR(_xlfn.XLOOKUP(tbl_Ventes[[#This Row],[Cde_Prdt]], tbl_Produits[Cde_Prdt], tbl_Produits[Prix Menu]), 0)</f>
        <v>0</v>
      </c>
      <c r="H1075" s="7">
        <f>IFERROR(_xlfn.XLOOKUP(tbl_Ventes[[#This Row],[Cde_Prdt]], tbl_Produits[Cde_Prdt], tbl_Produits[Coût Moyen Portion]), 0)</f>
        <v>0</v>
      </c>
      <c r="I1075" s="7">
        <f>tbl_Ventes[[#This Row],[Qté Vendue]] * tbl_Ventes[[#This Row],[CMP_par_portion]]</f>
        <v>0</v>
      </c>
      <c r="J1075" s="7">
        <f>tbl_Ventes[[#This Row],[CA ligne]] - tbl_Ventes[[#This Row],[Coût matière ligne]]</f>
        <v>0</v>
      </c>
      <c r="K1075" s="7" t="str">
        <f>IFERROR(INDEX(tbl_ProduitsRef[Famille], MATCH(tbl_Ventes[[#This Row],[Cde_Prdt]], tbl_Produits[Cde_Prdt], 0)), "")</f>
        <v/>
      </c>
    </row>
    <row r="1076" spans="1:11" x14ac:dyDescent="0.25">
      <c r="A1076" s="5"/>
      <c r="B1076" s="63" t="str">
        <f>IFERROR(TEXT(tbl_Ventes[[#This Row],[Date]],"mm-aaaa"),"")</f>
        <v>01-1900</v>
      </c>
      <c r="D1076" s="10" t="str">
        <f>IFERROR(
   INDEX(tbl_ProduitsRef[Cde_Prdt],MATCH(tbl_Ventes[[#This Row],[Produit]],tbl_ProduitsRef[Produit],0)),
   ""
)</f>
        <v/>
      </c>
      <c r="E1076" s="7">
        <v>0</v>
      </c>
      <c r="F1076" s="7" t="str">
        <f>IFERROR(
   INDEX(tbl_ProduitsRef[Prix Menu],MATCH(tbl_Ventes[[#This Row],[Produit]],tbl_ProduitsRef[Produit],0)),
   ""
)</f>
        <v/>
      </c>
      <c r="G1076" s="7">
        <f>tbl_Ventes[[#This Row],[Qté Vendue]] * IFERROR(_xlfn.XLOOKUP(tbl_Ventes[[#This Row],[Cde_Prdt]], tbl_Produits[Cde_Prdt], tbl_Produits[Prix Menu]), 0)</f>
        <v>0</v>
      </c>
      <c r="H1076" s="7">
        <f>IFERROR(_xlfn.XLOOKUP(tbl_Ventes[[#This Row],[Cde_Prdt]], tbl_Produits[Cde_Prdt], tbl_Produits[Coût Moyen Portion]), 0)</f>
        <v>0</v>
      </c>
      <c r="I1076" s="7">
        <f>tbl_Ventes[[#This Row],[Qté Vendue]] * tbl_Ventes[[#This Row],[CMP_par_portion]]</f>
        <v>0</v>
      </c>
      <c r="J1076" s="7">
        <f>tbl_Ventes[[#This Row],[CA ligne]] - tbl_Ventes[[#This Row],[Coût matière ligne]]</f>
        <v>0</v>
      </c>
      <c r="K1076" s="7" t="str">
        <f>IFERROR(INDEX(tbl_ProduitsRef[Famille], MATCH(tbl_Ventes[[#This Row],[Cde_Prdt]], tbl_Produits[Cde_Prdt], 0)), "")</f>
        <v/>
      </c>
    </row>
    <row r="1077" spans="1:11" x14ac:dyDescent="0.25">
      <c r="A1077" s="5"/>
      <c r="B1077" s="63" t="str">
        <f>IFERROR(TEXT(tbl_Ventes[[#This Row],[Date]],"mm-aaaa"),"")</f>
        <v>01-1900</v>
      </c>
      <c r="D1077" s="10" t="str">
        <f>IFERROR(
   INDEX(tbl_ProduitsRef[Cde_Prdt],MATCH(tbl_Ventes[[#This Row],[Produit]],tbl_ProduitsRef[Produit],0)),
   ""
)</f>
        <v/>
      </c>
      <c r="E1077" s="7">
        <v>0</v>
      </c>
      <c r="F1077" s="7" t="str">
        <f>IFERROR(
   INDEX(tbl_ProduitsRef[Prix Menu],MATCH(tbl_Ventes[[#This Row],[Produit]],tbl_ProduitsRef[Produit],0)),
   ""
)</f>
        <v/>
      </c>
      <c r="G1077" s="7">
        <f>tbl_Ventes[[#This Row],[Qté Vendue]] * IFERROR(_xlfn.XLOOKUP(tbl_Ventes[[#This Row],[Cde_Prdt]], tbl_Produits[Cde_Prdt], tbl_Produits[Prix Menu]), 0)</f>
        <v>0</v>
      </c>
      <c r="H1077" s="7">
        <f>IFERROR(_xlfn.XLOOKUP(tbl_Ventes[[#This Row],[Cde_Prdt]], tbl_Produits[Cde_Prdt], tbl_Produits[Coût Moyen Portion]), 0)</f>
        <v>0</v>
      </c>
      <c r="I1077" s="7">
        <f>tbl_Ventes[[#This Row],[Qté Vendue]] * tbl_Ventes[[#This Row],[CMP_par_portion]]</f>
        <v>0</v>
      </c>
      <c r="J1077" s="7">
        <f>tbl_Ventes[[#This Row],[CA ligne]] - tbl_Ventes[[#This Row],[Coût matière ligne]]</f>
        <v>0</v>
      </c>
      <c r="K1077" s="7" t="str">
        <f>IFERROR(INDEX(tbl_ProduitsRef[Famille], MATCH(tbl_Ventes[[#This Row],[Cde_Prdt]], tbl_Produits[Cde_Prdt], 0)), "")</f>
        <v/>
      </c>
    </row>
    <row r="1078" spans="1:11" x14ac:dyDescent="0.25">
      <c r="A1078" s="5"/>
      <c r="B1078" s="63" t="str">
        <f>IFERROR(TEXT(tbl_Ventes[[#This Row],[Date]],"mm-aaaa"),"")</f>
        <v>01-1900</v>
      </c>
      <c r="D1078" s="10" t="str">
        <f>IFERROR(
   INDEX(tbl_ProduitsRef[Cde_Prdt],MATCH(tbl_Ventes[[#This Row],[Produit]],tbl_ProduitsRef[Produit],0)),
   ""
)</f>
        <v/>
      </c>
      <c r="E1078" s="7">
        <v>0</v>
      </c>
      <c r="F1078" s="7" t="str">
        <f>IFERROR(
   INDEX(tbl_ProduitsRef[Prix Menu],MATCH(tbl_Ventes[[#This Row],[Produit]],tbl_ProduitsRef[Produit],0)),
   ""
)</f>
        <v/>
      </c>
      <c r="G1078" s="7">
        <f>tbl_Ventes[[#This Row],[Qté Vendue]] * IFERROR(_xlfn.XLOOKUP(tbl_Ventes[[#This Row],[Cde_Prdt]], tbl_Produits[Cde_Prdt], tbl_Produits[Prix Menu]), 0)</f>
        <v>0</v>
      </c>
      <c r="H1078" s="7">
        <f>IFERROR(_xlfn.XLOOKUP(tbl_Ventes[[#This Row],[Cde_Prdt]], tbl_Produits[Cde_Prdt], tbl_Produits[Coût Moyen Portion]), 0)</f>
        <v>0</v>
      </c>
      <c r="I1078" s="7">
        <f>tbl_Ventes[[#This Row],[Qté Vendue]] * tbl_Ventes[[#This Row],[CMP_par_portion]]</f>
        <v>0</v>
      </c>
      <c r="J1078" s="7">
        <f>tbl_Ventes[[#This Row],[CA ligne]] - tbl_Ventes[[#This Row],[Coût matière ligne]]</f>
        <v>0</v>
      </c>
      <c r="K1078" s="7" t="str">
        <f>IFERROR(INDEX(tbl_ProduitsRef[Famille], MATCH(tbl_Ventes[[#This Row],[Cde_Prdt]], tbl_Produits[Cde_Prdt], 0)), "")</f>
        <v/>
      </c>
    </row>
    <row r="1079" spans="1:11" x14ac:dyDescent="0.25">
      <c r="A1079" s="5"/>
      <c r="B1079" s="63" t="str">
        <f>IFERROR(TEXT(tbl_Ventes[[#This Row],[Date]],"mm-aaaa"),"")</f>
        <v>01-1900</v>
      </c>
      <c r="D1079" s="10" t="str">
        <f>IFERROR(
   INDEX(tbl_ProduitsRef[Cde_Prdt],MATCH(tbl_Ventes[[#This Row],[Produit]],tbl_ProduitsRef[Produit],0)),
   ""
)</f>
        <v/>
      </c>
      <c r="E1079" s="7">
        <v>0</v>
      </c>
      <c r="F1079" s="7" t="str">
        <f>IFERROR(
   INDEX(tbl_ProduitsRef[Prix Menu],MATCH(tbl_Ventes[[#This Row],[Produit]],tbl_ProduitsRef[Produit],0)),
   ""
)</f>
        <v/>
      </c>
      <c r="G1079" s="7">
        <f>tbl_Ventes[[#This Row],[Qté Vendue]] * IFERROR(_xlfn.XLOOKUP(tbl_Ventes[[#This Row],[Cde_Prdt]], tbl_Produits[Cde_Prdt], tbl_Produits[Prix Menu]), 0)</f>
        <v>0</v>
      </c>
      <c r="H1079" s="7">
        <f>IFERROR(_xlfn.XLOOKUP(tbl_Ventes[[#This Row],[Cde_Prdt]], tbl_Produits[Cde_Prdt], tbl_Produits[Coût Moyen Portion]), 0)</f>
        <v>0</v>
      </c>
      <c r="I1079" s="7">
        <f>tbl_Ventes[[#This Row],[Qté Vendue]] * tbl_Ventes[[#This Row],[CMP_par_portion]]</f>
        <v>0</v>
      </c>
      <c r="J1079" s="7">
        <f>tbl_Ventes[[#This Row],[CA ligne]] - tbl_Ventes[[#This Row],[Coût matière ligne]]</f>
        <v>0</v>
      </c>
      <c r="K1079" s="7" t="str">
        <f>IFERROR(INDEX(tbl_ProduitsRef[Famille], MATCH(tbl_Ventes[[#This Row],[Cde_Prdt]], tbl_Produits[Cde_Prdt], 0)), "")</f>
        <v/>
      </c>
    </row>
    <row r="1080" spans="1:11" x14ac:dyDescent="0.25">
      <c r="A1080" s="5"/>
      <c r="B1080" s="63" t="str">
        <f>IFERROR(TEXT(tbl_Ventes[[#This Row],[Date]],"mm-aaaa"),"")</f>
        <v>01-1900</v>
      </c>
      <c r="D1080" s="10" t="str">
        <f>IFERROR(
   INDEX(tbl_ProduitsRef[Cde_Prdt],MATCH(tbl_Ventes[[#This Row],[Produit]],tbl_ProduitsRef[Produit],0)),
   ""
)</f>
        <v/>
      </c>
      <c r="E1080" s="7">
        <v>0</v>
      </c>
      <c r="F1080" s="7" t="str">
        <f>IFERROR(
   INDEX(tbl_ProduitsRef[Prix Menu],MATCH(tbl_Ventes[[#This Row],[Produit]],tbl_ProduitsRef[Produit],0)),
   ""
)</f>
        <v/>
      </c>
      <c r="G1080" s="7">
        <f>tbl_Ventes[[#This Row],[Qté Vendue]] * IFERROR(_xlfn.XLOOKUP(tbl_Ventes[[#This Row],[Cde_Prdt]], tbl_Produits[Cde_Prdt], tbl_Produits[Prix Menu]), 0)</f>
        <v>0</v>
      </c>
      <c r="H1080" s="7">
        <f>IFERROR(_xlfn.XLOOKUP(tbl_Ventes[[#This Row],[Cde_Prdt]], tbl_Produits[Cde_Prdt], tbl_Produits[Coût Moyen Portion]), 0)</f>
        <v>0</v>
      </c>
      <c r="I1080" s="7">
        <f>tbl_Ventes[[#This Row],[Qté Vendue]] * tbl_Ventes[[#This Row],[CMP_par_portion]]</f>
        <v>0</v>
      </c>
      <c r="J1080" s="7">
        <f>tbl_Ventes[[#This Row],[CA ligne]] - tbl_Ventes[[#This Row],[Coût matière ligne]]</f>
        <v>0</v>
      </c>
      <c r="K1080" s="7" t="str">
        <f>IFERROR(INDEX(tbl_ProduitsRef[Famille], MATCH(tbl_Ventes[[#This Row],[Cde_Prdt]], tbl_Produits[Cde_Prdt], 0)), "")</f>
        <v/>
      </c>
    </row>
    <row r="1081" spans="1:11" x14ac:dyDescent="0.25">
      <c r="A1081" s="5"/>
      <c r="B1081" s="63" t="str">
        <f>IFERROR(TEXT(tbl_Ventes[[#This Row],[Date]],"mm-aaaa"),"")</f>
        <v>01-1900</v>
      </c>
      <c r="D1081" s="10" t="str">
        <f>IFERROR(
   INDEX(tbl_ProduitsRef[Cde_Prdt],MATCH(tbl_Ventes[[#This Row],[Produit]],tbl_ProduitsRef[Produit],0)),
   ""
)</f>
        <v/>
      </c>
      <c r="E1081" s="7">
        <v>0</v>
      </c>
      <c r="F1081" s="7" t="str">
        <f>IFERROR(
   INDEX(tbl_ProduitsRef[Prix Menu],MATCH(tbl_Ventes[[#This Row],[Produit]],tbl_ProduitsRef[Produit],0)),
   ""
)</f>
        <v/>
      </c>
      <c r="G1081" s="7">
        <f>tbl_Ventes[[#This Row],[Qté Vendue]] * IFERROR(_xlfn.XLOOKUP(tbl_Ventes[[#This Row],[Cde_Prdt]], tbl_Produits[Cde_Prdt], tbl_Produits[Prix Menu]), 0)</f>
        <v>0</v>
      </c>
      <c r="H1081" s="7">
        <f>IFERROR(_xlfn.XLOOKUP(tbl_Ventes[[#This Row],[Cde_Prdt]], tbl_Produits[Cde_Prdt], tbl_Produits[Coût Moyen Portion]), 0)</f>
        <v>0</v>
      </c>
      <c r="I1081" s="7">
        <f>tbl_Ventes[[#This Row],[Qté Vendue]] * tbl_Ventes[[#This Row],[CMP_par_portion]]</f>
        <v>0</v>
      </c>
      <c r="J1081" s="7">
        <f>tbl_Ventes[[#This Row],[CA ligne]] - tbl_Ventes[[#This Row],[Coût matière ligne]]</f>
        <v>0</v>
      </c>
      <c r="K1081" s="7" t="str">
        <f>IFERROR(INDEX(tbl_ProduitsRef[Famille], MATCH(tbl_Ventes[[#This Row],[Cde_Prdt]], tbl_Produits[Cde_Prdt], 0)), "")</f>
        <v/>
      </c>
    </row>
    <row r="1082" spans="1:11" x14ac:dyDescent="0.25">
      <c r="A1082" s="5"/>
      <c r="B1082" s="63" t="str">
        <f>IFERROR(TEXT(tbl_Ventes[[#This Row],[Date]],"mm-aaaa"),"")</f>
        <v>01-1900</v>
      </c>
      <c r="D1082" s="10" t="str">
        <f>IFERROR(
   INDEX(tbl_ProduitsRef[Cde_Prdt],MATCH(tbl_Ventes[[#This Row],[Produit]],tbl_ProduitsRef[Produit],0)),
   ""
)</f>
        <v/>
      </c>
      <c r="E1082" s="7">
        <v>0</v>
      </c>
      <c r="F1082" s="7" t="str">
        <f>IFERROR(
   INDEX(tbl_ProduitsRef[Prix Menu],MATCH(tbl_Ventes[[#This Row],[Produit]],tbl_ProduitsRef[Produit],0)),
   ""
)</f>
        <v/>
      </c>
      <c r="G1082" s="7">
        <f>tbl_Ventes[[#This Row],[Qté Vendue]] * IFERROR(_xlfn.XLOOKUP(tbl_Ventes[[#This Row],[Cde_Prdt]], tbl_Produits[Cde_Prdt], tbl_Produits[Prix Menu]), 0)</f>
        <v>0</v>
      </c>
      <c r="H1082" s="7">
        <f>IFERROR(_xlfn.XLOOKUP(tbl_Ventes[[#This Row],[Cde_Prdt]], tbl_Produits[Cde_Prdt], tbl_Produits[Coût Moyen Portion]), 0)</f>
        <v>0</v>
      </c>
      <c r="I1082" s="7">
        <f>tbl_Ventes[[#This Row],[Qté Vendue]] * tbl_Ventes[[#This Row],[CMP_par_portion]]</f>
        <v>0</v>
      </c>
      <c r="J1082" s="7">
        <f>tbl_Ventes[[#This Row],[CA ligne]] - tbl_Ventes[[#This Row],[Coût matière ligne]]</f>
        <v>0</v>
      </c>
      <c r="K1082" s="7" t="str">
        <f>IFERROR(INDEX(tbl_ProduitsRef[Famille], MATCH(tbl_Ventes[[#This Row],[Cde_Prdt]], tbl_Produits[Cde_Prdt], 0)), "")</f>
        <v/>
      </c>
    </row>
    <row r="1083" spans="1:11" x14ac:dyDescent="0.25">
      <c r="A1083" s="5"/>
      <c r="B1083" s="63" t="str">
        <f>IFERROR(TEXT(tbl_Ventes[[#This Row],[Date]],"mm-aaaa"),"")</f>
        <v>01-1900</v>
      </c>
      <c r="D1083" s="10" t="str">
        <f>IFERROR(
   INDEX(tbl_ProduitsRef[Cde_Prdt],MATCH(tbl_Ventes[[#This Row],[Produit]],tbl_ProduitsRef[Produit],0)),
   ""
)</f>
        <v/>
      </c>
      <c r="E1083" s="7">
        <v>0</v>
      </c>
      <c r="F1083" s="7" t="str">
        <f>IFERROR(
   INDEX(tbl_ProduitsRef[Prix Menu],MATCH(tbl_Ventes[[#This Row],[Produit]],tbl_ProduitsRef[Produit],0)),
   ""
)</f>
        <v/>
      </c>
      <c r="G1083" s="7">
        <f>tbl_Ventes[[#This Row],[Qté Vendue]] * IFERROR(_xlfn.XLOOKUP(tbl_Ventes[[#This Row],[Cde_Prdt]], tbl_Produits[Cde_Prdt], tbl_Produits[Prix Menu]), 0)</f>
        <v>0</v>
      </c>
      <c r="H1083" s="7">
        <f>IFERROR(_xlfn.XLOOKUP(tbl_Ventes[[#This Row],[Cde_Prdt]], tbl_Produits[Cde_Prdt], tbl_Produits[Coût Moyen Portion]), 0)</f>
        <v>0</v>
      </c>
      <c r="I1083" s="7">
        <f>tbl_Ventes[[#This Row],[Qté Vendue]] * tbl_Ventes[[#This Row],[CMP_par_portion]]</f>
        <v>0</v>
      </c>
      <c r="J1083" s="7">
        <f>tbl_Ventes[[#This Row],[CA ligne]] - tbl_Ventes[[#This Row],[Coût matière ligne]]</f>
        <v>0</v>
      </c>
      <c r="K1083" s="7" t="str">
        <f>IFERROR(INDEX(tbl_ProduitsRef[Famille], MATCH(tbl_Ventes[[#This Row],[Cde_Prdt]], tbl_Produits[Cde_Prdt], 0)), "")</f>
        <v/>
      </c>
    </row>
    <row r="1084" spans="1:11" x14ac:dyDescent="0.25">
      <c r="A1084" s="5"/>
      <c r="B1084" s="63" t="str">
        <f>IFERROR(TEXT(tbl_Ventes[[#This Row],[Date]],"mm-aaaa"),"")</f>
        <v>01-1900</v>
      </c>
      <c r="D1084" s="10" t="str">
        <f>IFERROR(
   INDEX(tbl_ProduitsRef[Cde_Prdt],MATCH(tbl_Ventes[[#This Row],[Produit]],tbl_ProduitsRef[Produit],0)),
   ""
)</f>
        <v/>
      </c>
      <c r="E1084" s="7">
        <v>0</v>
      </c>
      <c r="F1084" s="7" t="str">
        <f>IFERROR(
   INDEX(tbl_ProduitsRef[Prix Menu],MATCH(tbl_Ventes[[#This Row],[Produit]],tbl_ProduitsRef[Produit],0)),
   ""
)</f>
        <v/>
      </c>
      <c r="G1084" s="7">
        <f>tbl_Ventes[[#This Row],[Qté Vendue]] * IFERROR(_xlfn.XLOOKUP(tbl_Ventes[[#This Row],[Cde_Prdt]], tbl_Produits[Cde_Prdt], tbl_Produits[Prix Menu]), 0)</f>
        <v>0</v>
      </c>
      <c r="H1084" s="7">
        <f>IFERROR(_xlfn.XLOOKUP(tbl_Ventes[[#This Row],[Cde_Prdt]], tbl_Produits[Cde_Prdt], tbl_Produits[Coût Moyen Portion]), 0)</f>
        <v>0</v>
      </c>
      <c r="I1084" s="7">
        <f>tbl_Ventes[[#This Row],[Qté Vendue]] * tbl_Ventes[[#This Row],[CMP_par_portion]]</f>
        <v>0</v>
      </c>
      <c r="J1084" s="7">
        <f>tbl_Ventes[[#This Row],[CA ligne]] - tbl_Ventes[[#This Row],[Coût matière ligne]]</f>
        <v>0</v>
      </c>
      <c r="K1084" s="7" t="str">
        <f>IFERROR(INDEX(tbl_ProduitsRef[Famille], MATCH(tbl_Ventes[[#This Row],[Cde_Prdt]], tbl_Produits[Cde_Prdt], 0)), "")</f>
        <v/>
      </c>
    </row>
    <row r="1085" spans="1:11" x14ac:dyDescent="0.25">
      <c r="A1085" s="5"/>
      <c r="B1085" s="63" t="str">
        <f>IFERROR(TEXT(tbl_Ventes[[#This Row],[Date]],"mm-aaaa"),"")</f>
        <v>01-1900</v>
      </c>
      <c r="D1085" s="10" t="str">
        <f>IFERROR(
   INDEX(tbl_ProduitsRef[Cde_Prdt],MATCH(tbl_Ventes[[#This Row],[Produit]],tbl_ProduitsRef[Produit],0)),
   ""
)</f>
        <v/>
      </c>
      <c r="E1085" s="7">
        <v>0</v>
      </c>
      <c r="F1085" s="7" t="str">
        <f>IFERROR(
   INDEX(tbl_ProduitsRef[Prix Menu],MATCH(tbl_Ventes[[#This Row],[Produit]],tbl_ProduitsRef[Produit],0)),
   ""
)</f>
        <v/>
      </c>
      <c r="G1085" s="7">
        <f>tbl_Ventes[[#This Row],[Qté Vendue]] * IFERROR(_xlfn.XLOOKUP(tbl_Ventes[[#This Row],[Cde_Prdt]], tbl_Produits[Cde_Prdt], tbl_Produits[Prix Menu]), 0)</f>
        <v>0</v>
      </c>
      <c r="H1085" s="7">
        <f>IFERROR(_xlfn.XLOOKUP(tbl_Ventes[[#This Row],[Cde_Prdt]], tbl_Produits[Cde_Prdt], tbl_Produits[Coût Moyen Portion]), 0)</f>
        <v>0</v>
      </c>
      <c r="I1085" s="7">
        <f>tbl_Ventes[[#This Row],[Qté Vendue]] * tbl_Ventes[[#This Row],[CMP_par_portion]]</f>
        <v>0</v>
      </c>
      <c r="J1085" s="7">
        <f>tbl_Ventes[[#This Row],[CA ligne]] - tbl_Ventes[[#This Row],[Coût matière ligne]]</f>
        <v>0</v>
      </c>
      <c r="K1085" s="7" t="str">
        <f>IFERROR(INDEX(tbl_ProduitsRef[Famille], MATCH(tbl_Ventes[[#This Row],[Cde_Prdt]], tbl_Produits[Cde_Prdt], 0)), "")</f>
        <v/>
      </c>
    </row>
    <row r="1086" spans="1:11" x14ac:dyDescent="0.25">
      <c r="A1086" s="5"/>
      <c r="B1086" s="63" t="str">
        <f>IFERROR(TEXT(tbl_Ventes[[#This Row],[Date]],"mm-aaaa"),"")</f>
        <v>01-1900</v>
      </c>
      <c r="D1086" s="10" t="str">
        <f>IFERROR(
   INDEX(tbl_ProduitsRef[Cde_Prdt],MATCH(tbl_Ventes[[#This Row],[Produit]],tbl_ProduitsRef[Produit],0)),
   ""
)</f>
        <v/>
      </c>
      <c r="E1086" s="7">
        <v>0</v>
      </c>
      <c r="F1086" s="7" t="str">
        <f>IFERROR(
   INDEX(tbl_ProduitsRef[Prix Menu],MATCH(tbl_Ventes[[#This Row],[Produit]],tbl_ProduitsRef[Produit],0)),
   ""
)</f>
        <v/>
      </c>
      <c r="G1086" s="7">
        <f>tbl_Ventes[[#This Row],[Qté Vendue]] * IFERROR(_xlfn.XLOOKUP(tbl_Ventes[[#This Row],[Cde_Prdt]], tbl_Produits[Cde_Prdt], tbl_Produits[Prix Menu]), 0)</f>
        <v>0</v>
      </c>
      <c r="H1086" s="7">
        <f>IFERROR(_xlfn.XLOOKUP(tbl_Ventes[[#This Row],[Cde_Prdt]], tbl_Produits[Cde_Prdt], tbl_Produits[Coût Moyen Portion]), 0)</f>
        <v>0</v>
      </c>
      <c r="I1086" s="7">
        <f>tbl_Ventes[[#This Row],[Qté Vendue]] * tbl_Ventes[[#This Row],[CMP_par_portion]]</f>
        <v>0</v>
      </c>
      <c r="J1086" s="7">
        <f>tbl_Ventes[[#This Row],[CA ligne]] - tbl_Ventes[[#This Row],[Coût matière ligne]]</f>
        <v>0</v>
      </c>
      <c r="K1086" s="7" t="str">
        <f>IFERROR(INDEX(tbl_ProduitsRef[Famille], MATCH(tbl_Ventes[[#This Row],[Cde_Prdt]], tbl_Produits[Cde_Prdt], 0)), "")</f>
        <v/>
      </c>
    </row>
    <row r="1087" spans="1:11" x14ac:dyDescent="0.25">
      <c r="A1087" s="5"/>
      <c r="B1087" s="63" t="str">
        <f>IFERROR(TEXT(tbl_Ventes[[#This Row],[Date]],"mm-aaaa"),"")</f>
        <v>01-1900</v>
      </c>
      <c r="D1087" s="10" t="str">
        <f>IFERROR(
   INDEX(tbl_ProduitsRef[Cde_Prdt],MATCH(tbl_Ventes[[#This Row],[Produit]],tbl_ProduitsRef[Produit],0)),
   ""
)</f>
        <v/>
      </c>
      <c r="E1087" s="7">
        <v>0</v>
      </c>
      <c r="F1087" s="7" t="str">
        <f>IFERROR(
   INDEX(tbl_ProduitsRef[Prix Menu],MATCH(tbl_Ventes[[#This Row],[Produit]],tbl_ProduitsRef[Produit],0)),
   ""
)</f>
        <v/>
      </c>
      <c r="G1087" s="7">
        <f>tbl_Ventes[[#This Row],[Qté Vendue]] * IFERROR(_xlfn.XLOOKUP(tbl_Ventes[[#This Row],[Cde_Prdt]], tbl_Produits[Cde_Prdt], tbl_Produits[Prix Menu]), 0)</f>
        <v>0</v>
      </c>
      <c r="H1087" s="7">
        <f>IFERROR(_xlfn.XLOOKUP(tbl_Ventes[[#This Row],[Cde_Prdt]], tbl_Produits[Cde_Prdt], tbl_Produits[Coût Moyen Portion]), 0)</f>
        <v>0</v>
      </c>
      <c r="I1087" s="7">
        <f>tbl_Ventes[[#This Row],[Qté Vendue]] * tbl_Ventes[[#This Row],[CMP_par_portion]]</f>
        <v>0</v>
      </c>
      <c r="J1087" s="7">
        <f>tbl_Ventes[[#This Row],[CA ligne]] - tbl_Ventes[[#This Row],[Coût matière ligne]]</f>
        <v>0</v>
      </c>
      <c r="K1087" s="7" t="str">
        <f>IFERROR(INDEX(tbl_ProduitsRef[Famille], MATCH(tbl_Ventes[[#This Row],[Cde_Prdt]], tbl_Produits[Cde_Prdt], 0)), "")</f>
        <v/>
      </c>
    </row>
    <row r="1088" spans="1:11" x14ac:dyDescent="0.25">
      <c r="A1088" s="5"/>
      <c r="B1088" s="63" t="str">
        <f>IFERROR(TEXT(tbl_Ventes[[#This Row],[Date]],"mm-aaaa"),"")</f>
        <v>01-1900</v>
      </c>
      <c r="D1088" s="10" t="str">
        <f>IFERROR(
   INDEX(tbl_ProduitsRef[Cde_Prdt],MATCH(tbl_Ventes[[#This Row],[Produit]],tbl_ProduitsRef[Produit],0)),
   ""
)</f>
        <v/>
      </c>
      <c r="E1088" s="7">
        <v>0</v>
      </c>
      <c r="F1088" s="7" t="str">
        <f>IFERROR(
   INDEX(tbl_ProduitsRef[Prix Menu],MATCH(tbl_Ventes[[#This Row],[Produit]],tbl_ProduitsRef[Produit],0)),
   ""
)</f>
        <v/>
      </c>
      <c r="G1088" s="7">
        <f>tbl_Ventes[[#This Row],[Qté Vendue]] * IFERROR(_xlfn.XLOOKUP(tbl_Ventes[[#This Row],[Cde_Prdt]], tbl_Produits[Cde_Prdt], tbl_Produits[Prix Menu]), 0)</f>
        <v>0</v>
      </c>
      <c r="H1088" s="7">
        <f>IFERROR(_xlfn.XLOOKUP(tbl_Ventes[[#This Row],[Cde_Prdt]], tbl_Produits[Cde_Prdt], tbl_Produits[Coût Moyen Portion]), 0)</f>
        <v>0</v>
      </c>
      <c r="I1088" s="7">
        <f>tbl_Ventes[[#This Row],[Qté Vendue]] * tbl_Ventes[[#This Row],[CMP_par_portion]]</f>
        <v>0</v>
      </c>
      <c r="J1088" s="7">
        <f>tbl_Ventes[[#This Row],[CA ligne]] - tbl_Ventes[[#This Row],[Coût matière ligne]]</f>
        <v>0</v>
      </c>
      <c r="K1088" s="7" t="str">
        <f>IFERROR(INDEX(tbl_ProduitsRef[Famille], MATCH(tbl_Ventes[[#This Row],[Cde_Prdt]], tbl_Produits[Cde_Prdt], 0)), "")</f>
        <v/>
      </c>
    </row>
    <row r="1089" spans="1:11" x14ac:dyDescent="0.25">
      <c r="A1089" s="5"/>
      <c r="B1089" s="63" t="str">
        <f>IFERROR(TEXT(tbl_Ventes[[#This Row],[Date]],"mm-aaaa"),"")</f>
        <v>01-1900</v>
      </c>
      <c r="D1089" s="10" t="str">
        <f>IFERROR(
   INDEX(tbl_ProduitsRef[Cde_Prdt],MATCH(tbl_Ventes[[#This Row],[Produit]],tbl_ProduitsRef[Produit],0)),
   ""
)</f>
        <v/>
      </c>
      <c r="E1089" s="7">
        <v>0</v>
      </c>
      <c r="F1089" s="7" t="str">
        <f>IFERROR(
   INDEX(tbl_ProduitsRef[Prix Menu],MATCH(tbl_Ventes[[#This Row],[Produit]],tbl_ProduitsRef[Produit],0)),
   ""
)</f>
        <v/>
      </c>
      <c r="G1089" s="7">
        <f>tbl_Ventes[[#This Row],[Qté Vendue]] * IFERROR(_xlfn.XLOOKUP(tbl_Ventes[[#This Row],[Cde_Prdt]], tbl_Produits[Cde_Prdt], tbl_Produits[Prix Menu]), 0)</f>
        <v>0</v>
      </c>
      <c r="H1089" s="7">
        <f>IFERROR(_xlfn.XLOOKUP(tbl_Ventes[[#This Row],[Cde_Prdt]], tbl_Produits[Cde_Prdt], tbl_Produits[Coût Moyen Portion]), 0)</f>
        <v>0</v>
      </c>
      <c r="I1089" s="7">
        <f>tbl_Ventes[[#This Row],[Qté Vendue]] * tbl_Ventes[[#This Row],[CMP_par_portion]]</f>
        <v>0</v>
      </c>
      <c r="J1089" s="7">
        <f>tbl_Ventes[[#This Row],[CA ligne]] - tbl_Ventes[[#This Row],[Coût matière ligne]]</f>
        <v>0</v>
      </c>
      <c r="K1089" s="7" t="str">
        <f>IFERROR(INDEX(tbl_ProduitsRef[Famille], MATCH(tbl_Ventes[[#This Row],[Cde_Prdt]], tbl_Produits[Cde_Prdt], 0)), "")</f>
        <v/>
      </c>
    </row>
    <row r="1090" spans="1:11" x14ac:dyDescent="0.25">
      <c r="A1090" s="5"/>
      <c r="B1090" s="63" t="str">
        <f>IFERROR(TEXT(tbl_Ventes[[#This Row],[Date]],"mm-aaaa"),"")</f>
        <v>01-1900</v>
      </c>
      <c r="D1090" s="10" t="str">
        <f>IFERROR(
   INDEX(tbl_ProduitsRef[Cde_Prdt],MATCH(tbl_Ventes[[#This Row],[Produit]],tbl_ProduitsRef[Produit],0)),
   ""
)</f>
        <v/>
      </c>
      <c r="E1090" s="7">
        <v>0</v>
      </c>
      <c r="F1090" s="7" t="str">
        <f>IFERROR(
   INDEX(tbl_ProduitsRef[Prix Menu],MATCH(tbl_Ventes[[#This Row],[Produit]],tbl_ProduitsRef[Produit],0)),
   ""
)</f>
        <v/>
      </c>
      <c r="G1090" s="7">
        <f>tbl_Ventes[[#This Row],[Qté Vendue]] * IFERROR(_xlfn.XLOOKUP(tbl_Ventes[[#This Row],[Cde_Prdt]], tbl_Produits[Cde_Prdt], tbl_Produits[Prix Menu]), 0)</f>
        <v>0</v>
      </c>
      <c r="H1090" s="7">
        <f>IFERROR(_xlfn.XLOOKUP(tbl_Ventes[[#This Row],[Cde_Prdt]], tbl_Produits[Cde_Prdt], tbl_Produits[Coût Moyen Portion]), 0)</f>
        <v>0</v>
      </c>
      <c r="I1090" s="7">
        <f>tbl_Ventes[[#This Row],[Qté Vendue]] * tbl_Ventes[[#This Row],[CMP_par_portion]]</f>
        <v>0</v>
      </c>
      <c r="J1090" s="7">
        <f>tbl_Ventes[[#This Row],[CA ligne]] - tbl_Ventes[[#This Row],[Coût matière ligne]]</f>
        <v>0</v>
      </c>
      <c r="K1090" s="7" t="str">
        <f>IFERROR(INDEX(tbl_ProduitsRef[Famille], MATCH(tbl_Ventes[[#This Row],[Cde_Prdt]], tbl_Produits[Cde_Prdt], 0)), "")</f>
        <v/>
      </c>
    </row>
    <row r="1091" spans="1:11" x14ac:dyDescent="0.25">
      <c r="A1091" s="5"/>
      <c r="B1091" s="63" t="str">
        <f>IFERROR(TEXT(tbl_Ventes[[#This Row],[Date]],"mm-aaaa"),"")</f>
        <v>01-1900</v>
      </c>
      <c r="D1091" s="10" t="str">
        <f>IFERROR(
   INDEX(tbl_ProduitsRef[Cde_Prdt],MATCH(tbl_Ventes[[#This Row],[Produit]],tbl_ProduitsRef[Produit],0)),
   ""
)</f>
        <v/>
      </c>
      <c r="E1091" s="7">
        <v>0</v>
      </c>
      <c r="F1091" s="7" t="str">
        <f>IFERROR(
   INDEX(tbl_ProduitsRef[Prix Menu],MATCH(tbl_Ventes[[#This Row],[Produit]],tbl_ProduitsRef[Produit],0)),
   ""
)</f>
        <v/>
      </c>
      <c r="G1091" s="7">
        <f>tbl_Ventes[[#This Row],[Qté Vendue]] * IFERROR(_xlfn.XLOOKUP(tbl_Ventes[[#This Row],[Cde_Prdt]], tbl_Produits[Cde_Prdt], tbl_Produits[Prix Menu]), 0)</f>
        <v>0</v>
      </c>
      <c r="H1091" s="7">
        <f>IFERROR(_xlfn.XLOOKUP(tbl_Ventes[[#This Row],[Cde_Prdt]], tbl_Produits[Cde_Prdt], tbl_Produits[Coût Moyen Portion]), 0)</f>
        <v>0</v>
      </c>
      <c r="I1091" s="7">
        <f>tbl_Ventes[[#This Row],[Qté Vendue]] * tbl_Ventes[[#This Row],[CMP_par_portion]]</f>
        <v>0</v>
      </c>
      <c r="J1091" s="7">
        <f>tbl_Ventes[[#This Row],[CA ligne]] - tbl_Ventes[[#This Row],[Coût matière ligne]]</f>
        <v>0</v>
      </c>
      <c r="K1091" s="7" t="str">
        <f>IFERROR(INDEX(tbl_ProduitsRef[Famille], MATCH(tbl_Ventes[[#This Row],[Cde_Prdt]], tbl_Produits[Cde_Prdt], 0)), "")</f>
        <v/>
      </c>
    </row>
    <row r="1092" spans="1:11" x14ac:dyDescent="0.25">
      <c r="A1092" s="5"/>
      <c r="B1092" s="63" t="str">
        <f>IFERROR(TEXT(tbl_Ventes[[#This Row],[Date]],"mm-aaaa"),"")</f>
        <v>01-1900</v>
      </c>
      <c r="D1092" s="10" t="str">
        <f>IFERROR(
   INDEX(tbl_ProduitsRef[Cde_Prdt],MATCH(tbl_Ventes[[#This Row],[Produit]],tbl_ProduitsRef[Produit],0)),
   ""
)</f>
        <v/>
      </c>
      <c r="E1092" s="7">
        <v>0</v>
      </c>
      <c r="F1092" s="7" t="str">
        <f>IFERROR(
   INDEX(tbl_ProduitsRef[Prix Menu],MATCH(tbl_Ventes[[#This Row],[Produit]],tbl_ProduitsRef[Produit],0)),
   ""
)</f>
        <v/>
      </c>
      <c r="G1092" s="7">
        <f>tbl_Ventes[[#This Row],[Qté Vendue]] * IFERROR(_xlfn.XLOOKUP(tbl_Ventes[[#This Row],[Cde_Prdt]], tbl_Produits[Cde_Prdt], tbl_Produits[Prix Menu]), 0)</f>
        <v>0</v>
      </c>
      <c r="H1092" s="7">
        <f>IFERROR(_xlfn.XLOOKUP(tbl_Ventes[[#This Row],[Cde_Prdt]], tbl_Produits[Cde_Prdt], tbl_Produits[Coût Moyen Portion]), 0)</f>
        <v>0</v>
      </c>
      <c r="I1092" s="7">
        <f>tbl_Ventes[[#This Row],[Qté Vendue]] * tbl_Ventes[[#This Row],[CMP_par_portion]]</f>
        <v>0</v>
      </c>
      <c r="J1092" s="7">
        <f>tbl_Ventes[[#This Row],[CA ligne]] - tbl_Ventes[[#This Row],[Coût matière ligne]]</f>
        <v>0</v>
      </c>
      <c r="K1092" s="7" t="str">
        <f>IFERROR(INDEX(tbl_ProduitsRef[Famille], MATCH(tbl_Ventes[[#This Row],[Cde_Prdt]], tbl_Produits[Cde_Prdt], 0)), "")</f>
        <v/>
      </c>
    </row>
    <row r="1093" spans="1:11" x14ac:dyDescent="0.25">
      <c r="A1093" s="5"/>
      <c r="B1093" s="63" t="str">
        <f>IFERROR(TEXT(tbl_Ventes[[#This Row],[Date]],"mm-aaaa"),"")</f>
        <v>01-1900</v>
      </c>
      <c r="D1093" s="10" t="str">
        <f>IFERROR(
   INDEX(tbl_ProduitsRef[Cde_Prdt],MATCH(tbl_Ventes[[#This Row],[Produit]],tbl_ProduitsRef[Produit],0)),
   ""
)</f>
        <v/>
      </c>
      <c r="E1093" s="7">
        <v>0</v>
      </c>
      <c r="F1093" s="7" t="str">
        <f>IFERROR(
   INDEX(tbl_ProduitsRef[Prix Menu],MATCH(tbl_Ventes[[#This Row],[Produit]],tbl_ProduitsRef[Produit],0)),
   ""
)</f>
        <v/>
      </c>
      <c r="G1093" s="7">
        <f>tbl_Ventes[[#This Row],[Qté Vendue]] * IFERROR(_xlfn.XLOOKUP(tbl_Ventes[[#This Row],[Cde_Prdt]], tbl_Produits[Cde_Prdt], tbl_Produits[Prix Menu]), 0)</f>
        <v>0</v>
      </c>
      <c r="H1093" s="7">
        <f>IFERROR(_xlfn.XLOOKUP(tbl_Ventes[[#This Row],[Cde_Prdt]], tbl_Produits[Cde_Prdt], tbl_Produits[Coût Moyen Portion]), 0)</f>
        <v>0</v>
      </c>
      <c r="I1093" s="7">
        <f>tbl_Ventes[[#This Row],[Qté Vendue]] * tbl_Ventes[[#This Row],[CMP_par_portion]]</f>
        <v>0</v>
      </c>
      <c r="J1093" s="7">
        <f>tbl_Ventes[[#This Row],[CA ligne]] - tbl_Ventes[[#This Row],[Coût matière ligne]]</f>
        <v>0</v>
      </c>
      <c r="K1093" s="7" t="str">
        <f>IFERROR(INDEX(tbl_ProduitsRef[Famille], MATCH(tbl_Ventes[[#This Row],[Cde_Prdt]], tbl_Produits[Cde_Prdt], 0)), "")</f>
        <v/>
      </c>
    </row>
    <row r="1094" spans="1:11" x14ac:dyDescent="0.25">
      <c r="A1094" s="5"/>
      <c r="B1094" s="63" t="str">
        <f>IFERROR(TEXT(tbl_Ventes[[#This Row],[Date]],"mm-aaaa"),"")</f>
        <v>01-1900</v>
      </c>
      <c r="D1094" s="10" t="str">
        <f>IFERROR(
   INDEX(tbl_ProduitsRef[Cde_Prdt],MATCH(tbl_Ventes[[#This Row],[Produit]],tbl_ProduitsRef[Produit],0)),
   ""
)</f>
        <v/>
      </c>
      <c r="E1094" s="7">
        <v>0</v>
      </c>
      <c r="F1094" s="7" t="str">
        <f>IFERROR(
   INDEX(tbl_ProduitsRef[Prix Menu],MATCH(tbl_Ventes[[#This Row],[Produit]],tbl_ProduitsRef[Produit],0)),
   ""
)</f>
        <v/>
      </c>
      <c r="G1094" s="7">
        <f>tbl_Ventes[[#This Row],[Qté Vendue]] * IFERROR(_xlfn.XLOOKUP(tbl_Ventes[[#This Row],[Cde_Prdt]], tbl_Produits[Cde_Prdt], tbl_Produits[Prix Menu]), 0)</f>
        <v>0</v>
      </c>
      <c r="H1094" s="7">
        <f>IFERROR(_xlfn.XLOOKUP(tbl_Ventes[[#This Row],[Cde_Prdt]], tbl_Produits[Cde_Prdt], tbl_Produits[Coût Moyen Portion]), 0)</f>
        <v>0</v>
      </c>
      <c r="I1094" s="7">
        <f>tbl_Ventes[[#This Row],[Qté Vendue]] * tbl_Ventes[[#This Row],[CMP_par_portion]]</f>
        <v>0</v>
      </c>
      <c r="J1094" s="7">
        <f>tbl_Ventes[[#This Row],[CA ligne]] - tbl_Ventes[[#This Row],[Coût matière ligne]]</f>
        <v>0</v>
      </c>
      <c r="K1094" s="7" t="str">
        <f>IFERROR(INDEX(tbl_ProduitsRef[Famille], MATCH(tbl_Ventes[[#This Row],[Cde_Prdt]], tbl_Produits[Cde_Prdt], 0)), "")</f>
        <v/>
      </c>
    </row>
    <row r="1095" spans="1:11" x14ac:dyDescent="0.25">
      <c r="A1095" s="5"/>
      <c r="B1095" s="63" t="str">
        <f>IFERROR(TEXT(tbl_Ventes[[#This Row],[Date]],"mm-aaaa"),"")</f>
        <v>01-1900</v>
      </c>
      <c r="D1095" s="10" t="str">
        <f>IFERROR(
   INDEX(tbl_ProduitsRef[Cde_Prdt],MATCH(tbl_Ventes[[#This Row],[Produit]],tbl_ProduitsRef[Produit],0)),
   ""
)</f>
        <v/>
      </c>
      <c r="E1095" s="7">
        <v>0</v>
      </c>
      <c r="F1095" s="7" t="str">
        <f>IFERROR(
   INDEX(tbl_ProduitsRef[Prix Menu],MATCH(tbl_Ventes[[#This Row],[Produit]],tbl_ProduitsRef[Produit],0)),
   ""
)</f>
        <v/>
      </c>
      <c r="G1095" s="7">
        <f>tbl_Ventes[[#This Row],[Qté Vendue]] * IFERROR(_xlfn.XLOOKUP(tbl_Ventes[[#This Row],[Cde_Prdt]], tbl_Produits[Cde_Prdt], tbl_Produits[Prix Menu]), 0)</f>
        <v>0</v>
      </c>
      <c r="H1095" s="7">
        <f>IFERROR(_xlfn.XLOOKUP(tbl_Ventes[[#This Row],[Cde_Prdt]], tbl_Produits[Cde_Prdt], tbl_Produits[Coût Moyen Portion]), 0)</f>
        <v>0</v>
      </c>
      <c r="I1095" s="7">
        <f>tbl_Ventes[[#This Row],[Qté Vendue]] * tbl_Ventes[[#This Row],[CMP_par_portion]]</f>
        <v>0</v>
      </c>
      <c r="J1095" s="7">
        <f>tbl_Ventes[[#This Row],[CA ligne]] - tbl_Ventes[[#This Row],[Coût matière ligne]]</f>
        <v>0</v>
      </c>
      <c r="K1095" s="7" t="str">
        <f>IFERROR(INDEX(tbl_ProduitsRef[Famille], MATCH(tbl_Ventes[[#This Row],[Cde_Prdt]], tbl_Produits[Cde_Prdt], 0)), "")</f>
        <v/>
      </c>
    </row>
    <row r="1096" spans="1:11" x14ac:dyDescent="0.25">
      <c r="A1096" s="5"/>
      <c r="B1096" s="63" t="str">
        <f>IFERROR(TEXT(tbl_Ventes[[#This Row],[Date]],"mm-aaaa"),"")</f>
        <v>01-1900</v>
      </c>
      <c r="D1096" s="10" t="str">
        <f>IFERROR(
   INDEX(tbl_ProduitsRef[Cde_Prdt],MATCH(tbl_Ventes[[#This Row],[Produit]],tbl_ProduitsRef[Produit],0)),
   ""
)</f>
        <v/>
      </c>
      <c r="E1096" s="7">
        <v>0</v>
      </c>
      <c r="F1096" s="7" t="str">
        <f>IFERROR(
   INDEX(tbl_ProduitsRef[Prix Menu],MATCH(tbl_Ventes[[#This Row],[Produit]],tbl_ProduitsRef[Produit],0)),
   ""
)</f>
        <v/>
      </c>
      <c r="G1096" s="7">
        <f>tbl_Ventes[[#This Row],[Qté Vendue]] * IFERROR(_xlfn.XLOOKUP(tbl_Ventes[[#This Row],[Cde_Prdt]], tbl_Produits[Cde_Prdt], tbl_Produits[Prix Menu]), 0)</f>
        <v>0</v>
      </c>
      <c r="H1096" s="7">
        <f>IFERROR(_xlfn.XLOOKUP(tbl_Ventes[[#This Row],[Cde_Prdt]], tbl_Produits[Cde_Prdt], tbl_Produits[Coût Moyen Portion]), 0)</f>
        <v>0</v>
      </c>
      <c r="I1096" s="7">
        <f>tbl_Ventes[[#This Row],[Qté Vendue]] * tbl_Ventes[[#This Row],[CMP_par_portion]]</f>
        <v>0</v>
      </c>
      <c r="J1096" s="7">
        <f>tbl_Ventes[[#This Row],[CA ligne]] - tbl_Ventes[[#This Row],[Coût matière ligne]]</f>
        <v>0</v>
      </c>
      <c r="K1096" s="7" t="str">
        <f>IFERROR(INDEX(tbl_ProduitsRef[Famille], MATCH(tbl_Ventes[[#This Row],[Cde_Prdt]], tbl_Produits[Cde_Prdt], 0)), "")</f>
        <v/>
      </c>
    </row>
    <row r="1097" spans="1:11" x14ac:dyDescent="0.25">
      <c r="A1097" s="5"/>
      <c r="B1097" s="63" t="str">
        <f>IFERROR(TEXT(tbl_Ventes[[#This Row],[Date]],"mm-aaaa"),"")</f>
        <v>01-1900</v>
      </c>
      <c r="D1097" s="10" t="str">
        <f>IFERROR(
   INDEX(tbl_ProduitsRef[Cde_Prdt],MATCH(tbl_Ventes[[#This Row],[Produit]],tbl_ProduitsRef[Produit],0)),
   ""
)</f>
        <v/>
      </c>
      <c r="E1097" s="7">
        <v>0</v>
      </c>
      <c r="F1097" s="7" t="str">
        <f>IFERROR(
   INDEX(tbl_ProduitsRef[Prix Menu],MATCH(tbl_Ventes[[#This Row],[Produit]],tbl_ProduitsRef[Produit],0)),
   ""
)</f>
        <v/>
      </c>
      <c r="G1097" s="7">
        <f>tbl_Ventes[[#This Row],[Qté Vendue]] * IFERROR(_xlfn.XLOOKUP(tbl_Ventes[[#This Row],[Cde_Prdt]], tbl_Produits[Cde_Prdt], tbl_Produits[Prix Menu]), 0)</f>
        <v>0</v>
      </c>
      <c r="H1097" s="7">
        <f>IFERROR(_xlfn.XLOOKUP(tbl_Ventes[[#This Row],[Cde_Prdt]], tbl_Produits[Cde_Prdt], tbl_Produits[Coût Moyen Portion]), 0)</f>
        <v>0</v>
      </c>
      <c r="I1097" s="7">
        <f>tbl_Ventes[[#This Row],[Qté Vendue]] * tbl_Ventes[[#This Row],[CMP_par_portion]]</f>
        <v>0</v>
      </c>
      <c r="J1097" s="7">
        <f>tbl_Ventes[[#This Row],[CA ligne]] - tbl_Ventes[[#This Row],[Coût matière ligne]]</f>
        <v>0</v>
      </c>
      <c r="K1097" s="7" t="str">
        <f>IFERROR(INDEX(tbl_ProduitsRef[Famille], MATCH(tbl_Ventes[[#This Row],[Cde_Prdt]], tbl_Produits[Cde_Prdt], 0)), "")</f>
        <v/>
      </c>
    </row>
    <row r="1098" spans="1:11" x14ac:dyDescent="0.25">
      <c r="A1098" s="5"/>
      <c r="B1098" s="63" t="str">
        <f>IFERROR(TEXT(tbl_Ventes[[#This Row],[Date]],"mm-aaaa"),"")</f>
        <v>01-1900</v>
      </c>
      <c r="D1098" s="10" t="str">
        <f>IFERROR(
   INDEX(tbl_ProduitsRef[Cde_Prdt],MATCH(tbl_Ventes[[#This Row],[Produit]],tbl_ProduitsRef[Produit],0)),
   ""
)</f>
        <v/>
      </c>
      <c r="E1098" s="7">
        <v>0</v>
      </c>
      <c r="F1098" s="7" t="str">
        <f>IFERROR(
   INDEX(tbl_ProduitsRef[Prix Menu],MATCH(tbl_Ventes[[#This Row],[Produit]],tbl_ProduitsRef[Produit],0)),
   ""
)</f>
        <v/>
      </c>
      <c r="G1098" s="7">
        <f>tbl_Ventes[[#This Row],[Qté Vendue]] * IFERROR(_xlfn.XLOOKUP(tbl_Ventes[[#This Row],[Cde_Prdt]], tbl_Produits[Cde_Prdt], tbl_Produits[Prix Menu]), 0)</f>
        <v>0</v>
      </c>
      <c r="H1098" s="7">
        <f>IFERROR(_xlfn.XLOOKUP(tbl_Ventes[[#This Row],[Cde_Prdt]], tbl_Produits[Cde_Prdt], tbl_Produits[Coût Moyen Portion]), 0)</f>
        <v>0</v>
      </c>
      <c r="I1098" s="7">
        <f>tbl_Ventes[[#This Row],[Qté Vendue]] * tbl_Ventes[[#This Row],[CMP_par_portion]]</f>
        <v>0</v>
      </c>
      <c r="J1098" s="7">
        <f>tbl_Ventes[[#This Row],[CA ligne]] - tbl_Ventes[[#This Row],[Coût matière ligne]]</f>
        <v>0</v>
      </c>
      <c r="K1098" s="7" t="str">
        <f>IFERROR(INDEX(tbl_ProduitsRef[Famille], MATCH(tbl_Ventes[[#This Row],[Cde_Prdt]], tbl_Produits[Cde_Prdt], 0)), "")</f>
        <v/>
      </c>
    </row>
    <row r="1099" spans="1:11" x14ac:dyDescent="0.25">
      <c r="A1099" s="5"/>
      <c r="B1099" s="63" t="str">
        <f>IFERROR(TEXT(tbl_Ventes[[#This Row],[Date]],"mm-aaaa"),"")</f>
        <v>01-1900</v>
      </c>
      <c r="D1099" s="10" t="str">
        <f>IFERROR(
   INDEX(tbl_ProduitsRef[Cde_Prdt],MATCH(tbl_Ventes[[#This Row],[Produit]],tbl_ProduitsRef[Produit],0)),
   ""
)</f>
        <v/>
      </c>
      <c r="E1099" s="7">
        <v>0</v>
      </c>
      <c r="F1099" s="7" t="str">
        <f>IFERROR(
   INDEX(tbl_ProduitsRef[Prix Menu],MATCH(tbl_Ventes[[#This Row],[Produit]],tbl_ProduitsRef[Produit],0)),
   ""
)</f>
        <v/>
      </c>
      <c r="G1099" s="7">
        <f>tbl_Ventes[[#This Row],[Qté Vendue]] * IFERROR(_xlfn.XLOOKUP(tbl_Ventes[[#This Row],[Cde_Prdt]], tbl_Produits[Cde_Prdt], tbl_Produits[Prix Menu]), 0)</f>
        <v>0</v>
      </c>
      <c r="H1099" s="7">
        <f>IFERROR(_xlfn.XLOOKUP(tbl_Ventes[[#This Row],[Cde_Prdt]], tbl_Produits[Cde_Prdt], tbl_Produits[Coût Moyen Portion]), 0)</f>
        <v>0</v>
      </c>
      <c r="I1099" s="7">
        <f>tbl_Ventes[[#This Row],[Qté Vendue]] * tbl_Ventes[[#This Row],[CMP_par_portion]]</f>
        <v>0</v>
      </c>
      <c r="J1099" s="7">
        <f>tbl_Ventes[[#This Row],[CA ligne]] - tbl_Ventes[[#This Row],[Coût matière ligne]]</f>
        <v>0</v>
      </c>
      <c r="K1099" s="7" t="str">
        <f>IFERROR(INDEX(tbl_ProduitsRef[Famille], MATCH(tbl_Ventes[[#This Row],[Cde_Prdt]], tbl_Produits[Cde_Prdt], 0)), "")</f>
        <v/>
      </c>
    </row>
    <row r="1100" spans="1:11" x14ac:dyDescent="0.25">
      <c r="A1100" s="5"/>
      <c r="B1100" s="63" t="str">
        <f>IFERROR(TEXT(tbl_Ventes[[#This Row],[Date]],"mm-aaaa"),"")</f>
        <v>01-1900</v>
      </c>
      <c r="D1100" s="10" t="str">
        <f>IFERROR(
   INDEX(tbl_ProduitsRef[Cde_Prdt],MATCH(tbl_Ventes[[#This Row],[Produit]],tbl_ProduitsRef[Produit],0)),
   ""
)</f>
        <v/>
      </c>
      <c r="E1100" s="7">
        <v>0</v>
      </c>
      <c r="F1100" s="7" t="str">
        <f>IFERROR(
   INDEX(tbl_ProduitsRef[Prix Menu],MATCH(tbl_Ventes[[#This Row],[Produit]],tbl_ProduitsRef[Produit],0)),
   ""
)</f>
        <v/>
      </c>
      <c r="G1100" s="7">
        <f>tbl_Ventes[[#This Row],[Qté Vendue]] * IFERROR(_xlfn.XLOOKUP(tbl_Ventes[[#This Row],[Cde_Prdt]], tbl_Produits[Cde_Prdt], tbl_Produits[Prix Menu]), 0)</f>
        <v>0</v>
      </c>
      <c r="H1100" s="7">
        <f>IFERROR(_xlfn.XLOOKUP(tbl_Ventes[[#This Row],[Cde_Prdt]], tbl_Produits[Cde_Prdt], tbl_Produits[Coût Moyen Portion]), 0)</f>
        <v>0</v>
      </c>
      <c r="I1100" s="7">
        <f>tbl_Ventes[[#This Row],[Qté Vendue]] * tbl_Ventes[[#This Row],[CMP_par_portion]]</f>
        <v>0</v>
      </c>
      <c r="J1100" s="7">
        <f>tbl_Ventes[[#This Row],[CA ligne]] - tbl_Ventes[[#This Row],[Coût matière ligne]]</f>
        <v>0</v>
      </c>
      <c r="K1100" s="7" t="str">
        <f>IFERROR(INDEX(tbl_ProduitsRef[Famille], MATCH(tbl_Ventes[[#This Row],[Cde_Prdt]], tbl_Produits[Cde_Prdt], 0)), "")</f>
        <v/>
      </c>
    </row>
    <row r="1101" spans="1:11" x14ac:dyDescent="0.25">
      <c r="A1101" s="5"/>
      <c r="B1101" s="63" t="str">
        <f>IFERROR(TEXT(tbl_Ventes[[#This Row],[Date]],"mm-aaaa"),"")</f>
        <v>01-1900</v>
      </c>
      <c r="D1101" s="10" t="str">
        <f>IFERROR(
   INDEX(tbl_ProduitsRef[Cde_Prdt],MATCH(tbl_Ventes[[#This Row],[Produit]],tbl_ProduitsRef[Produit],0)),
   ""
)</f>
        <v/>
      </c>
      <c r="E1101" s="7">
        <v>0</v>
      </c>
      <c r="F1101" s="7" t="str">
        <f>IFERROR(
   INDEX(tbl_ProduitsRef[Prix Menu],MATCH(tbl_Ventes[[#This Row],[Produit]],tbl_ProduitsRef[Produit],0)),
   ""
)</f>
        <v/>
      </c>
      <c r="G1101" s="7">
        <f>tbl_Ventes[[#This Row],[Qté Vendue]] * IFERROR(_xlfn.XLOOKUP(tbl_Ventes[[#This Row],[Cde_Prdt]], tbl_Produits[Cde_Prdt], tbl_Produits[Prix Menu]), 0)</f>
        <v>0</v>
      </c>
      <c r="H1101" s="7">
        <f>IFERROR(_xlfn.XLOOKUP(tbl_Ventes[[#This Row],[Cde_Prdt]], tbl_Produits[Cde_Prdt], tbl_Produits[Coût Moyen Portion]), 0)</f>
        <v>0</v>
      </c>
      <c r="I1101" s="7">
        <f>tbl_Ventes[[#This Row],[Qté Vendue]] * tbl_Ventes[[#This Row],[CMP_par_portion]]</f>
        <v>0</v>
      </c>
      <c r="J1101" s="7">
        <f>tbl_Ventes[[#This Row],[CA ligne]] - tbl_Ventes[[#This Row],[Coût matière ligne]]</f>
        <v>0</v>
      </c>
      <c r="K1101" s="7" t="str">
        <f>IFERROR(INDEX(tbl_ProduitsRef[Famille], MATCH(tbl_Ventes[[#This Row],[Cde_Prdt]], tbl_Produits[Cde_Prdt], 0)), "")</f>
        <v/>
      </c>
    </row>
    <row r="1102" spans="1:11" x14ac:dyDescent="0.25">
      <c r="A1102" s="5"/>
      <c r="B1102" s="63" t="str">
        <f>IFERROR(TEXT(tbl_Ventes[[#This Row],[Date]],"mm-aaaa"),"")</f>
        <v>01-1900</v>
      </c>
      <c r="D1102" s="10" t="str">
        <f>IFERROR(
   INDEX(tbl_ProduitsRef[Cde_Prdt],MATCH(tbl_Ventes[[#This Row],[Produit]],tbl_ProduitsRef[Produit],0)),
   ""
)</f>
        <v/>
      </c>
      <c r="E1102" s="7">
        <v>0</v>
      </c>
      <c r="F1102" s="7" t="str">
        <f>IFERROR(
   INDEX(tbl_ProduitsRef[Prix Menu],MATCH(tbl_Ventes[[#This Row],[Produit]],tbl_ProduitsRef[Produit],0)),
   ""
)</f>
        <v/>
      </c>
      <c r="G1102" s="7">
        <f>tbl_Ventes[[#This Row],[Qté Vendue]] * IFERROR(_xlfn.XLOOKUP(tbl_Ventes[[#This Row],[Cde_Prdt]], tbl_Produits[Cde_Prdt], tbl_Produits[Prix Menu]), 0)</f>
        <v>0</v>
      </c>
      <c r="H1102" s="7">
        <f>IFERROR(_xlfn.XLOOKUP(tbl_Ventes[[#This Row],[Cde_Prdt]], tbl_Produits[Cde_Prdt], tbl_Produits[Coût Moyen Portion]), 0)</f>
        <v>0</v>
      </c>
      <c r="I1102" s="7">
        <f>tbl_Ventes[[#This Row],[Qté Vendue]] * tbl_Ventes[[#This Row],[CMP_par_portion]]</f>
        <v>0</v>
      </c>
      <c r="J1102" s="7">
        <f>tbl_Ventes[[#This Row],[CA ligne]] - tbl_Ventes[[#This Row],[Coût matière ligne]]</f>
        <v>0</v>
      </c>
      <c r="K1102" s="7" t="str">
        <f>IFERROR(INDEX(tbl_ProduitsRef[Famille], MATCH(tbl_Ventes[[#This Row],[Cde_Prdt]], tbl_Produits[Cde_Prdt], 0)), "")</f>
        <v/>
      </c>
    </row>
    <row r="1103" spans="1:11" x14ac:dyDescent="0.25">
      <c r="A1103" s="5"/>
      <c r="B1103" s="63" t="str">
        <f>IFERROR(TEXT(tbl_Ventes[[#This Row],[Date]],"mm-aaaa"),"")</f>
        <v>01-1900</v>
      </c>
      <c r="D1103" s="10" t="str">
        <f>IFERROR(
   INDEX(tbl_ProduitsRef[Cde_Prdt],MATCH(tbl_Ventes[[#This Row],[Produit]],tbl_ProduitsRef[Produit],0)),
   ""
)</f>
        <v/>
      </c>
      <c r="E1103" s="7">
        <v>0</v>
      </c>
      <c r="F1103" s="7" t="str">
        <f>IFERROR(
   INDEX(tbl_ProduitsRef[Prix Menu],MATCH(tbl_Ventes[[#This Row],[Produit]],tbl_ProduitsRef[Produit],0)),
   ""
)</f>
        <v/>
      </c>
      <c r="G1103" s="7">
        <f>tbl_Ventes[[#This Row],[Qté Vendue]] * IFERROR(_xlfn.XLOOKUP(tbl_Ventes[[#This Row],[Cde_Prdt]], tbl_Produits[Cde_Prdt], tbl_Produits[Prix Menu]), 0)</f>
        <v>0</v>
      </c>
      <c r="H1103" s="7">
        <f>IFERROR(_xlfn.XLOOKUP(tbl_Ventes[[#This Row],[Cde_Prdt]], tbl_Produits[Cde_Prdt], tbl_Produits[Coût Moyen Portion]), 0)</f>
        <v>0</v>
      </c>
      <c r="I1103" s="7">
        <f>tbl_Ventes[[#This Row],[Qté Vendue]] * tbl_Ventes[[#This Row],[CMP_par_portion]]</f>
        <v>0</v>
      </c>
      <c r="J1103" s="7">
        <f>tbl_Ventes[[#This Row],[CA ligne]] - tbl_Ventes[[#This Row],[Coût matière ligne]]</f>
        <v>0</v>
      </c>
      <c r="K1103" s="7" t="str">
        <f>IFERROR(INDEX(tbl_ProduitsRef[Famille], MATCH(tbl_Ventes[[#This Row],[Cde_Prdt]], tbl_Produits[Cde_Prdt], 0)), "")</f>
        <v/>
      </c>
    </row>
    <row r="1104" spans="1:11" x14ac:dyDescent="0.25">
      <c r="A1104" s="5"/>
      <c r="B1104" s="63" t="str">
        <f>IFERROR(TEXT(tbl_Ventes[[#This Row],[Date]],"mm-aaaa"),"")</f>
        <v>01-1900</v>
      </c>
      <c r="D1104" s="10" t="str">
        <f>IFERROR(
   INDEX(tbl_ProduitsRef[Cde_Prdt],MATCH(tbl_Ventes[[#This Row],[Produit]],tbl_ProduitsRef[Produit],0)),
   ""
)</f>
        <v/>
      </c>
      <c r="E1104" s="7">
        <v>0</v>
      </c>
      <c r="F1104" s="7" t="str">
        <f>IFERROR(
   INDEX(tbl_ProduitsRef[Prix Menu],MATCH(tbl_Ventes[[#This Row],[Produit]],tbl_ProduitsRef[Produit],0)),
   ""
)</f>
        <v/>
      </c>
      <c r="G1104" s="7">
        <f>tbl_Ventes[[#This Row],[Qté Vendue]] * IFERROR(_xlfn.XLOOKUP(tbl_Ventes[[#This Row],[Cde_Prdt]], tbl_Produits[Cde_Prdt], tbl_Produits[Prix Menu]), 0)</f>
        <v>0</v>
      </c>
      <c r="H1104" s="7">
        <f>IFERROR(_xlfn.XLOOKUP(tbl_Ventes[[#This Row],[Cde_Prdt]], tbl_Produits[Cde_Prdt], tbl_Produits[Coût Moyen Portion]), 0)</f>
        <v>0</v>
      </c>
      <c r="I1104" s="7">
        <f>tbl_Ventes[[#This Row],[Qté Vendue]] * tbl_Ventes[[#This Row],[CMP_par_portion]]</f>
        <v>0</v>
      </c>
      <c r="J1104" s="7">
        <f>tbl_Ventes[[#This Row],[CA ligne]] - tbl_Ventes[[#This Row],[Coût matière ligne]]</f>
        <v>0</v>
      </c>
      <c r="K1104" s="7" t="str">
        <f>IFERROR(INDEX(tbl_ProduitsRef[Famille], MATCH(tbl_Ventes[[#This Row],[Cde_Prdt]], tbl_Produits[Cde_Prdt], 0)), "")</f>
        <v/>
      </c>
    </row>
    <row r="1105" spans="1:11" x14ac:dyDescent="0.25">
      <c r="A1105" s="5"/>
      <c r="B1105" s="63" t="str">
        <f>IFERROR(TEXT(tbl_Ventes[[#This Row],[Date]],"mm-aaaa"),"")</f>
        <v>01-1900</v>
      </c>
      <c r="D1105" s="10" t="str">
        <f>IFERROR(
   INDEX(tbl_ProduitsRef[Cde_Prdt],MATCH(tbl_Ventes[[#This Row],[Produit]],tbl_ProduitsRef[Produit],0)),
   ""
)</f>
        <v/>
      </c>
      <c r="E1105" s="7">
        <v>0</v>
      </c>
      <c r="F1105" s="7" t="str">
        <f>IFERROR(
   INDEX(tbl_ProduitsRef[Prix Menu],MATCH(tbl_Ventes[[#This Row],[Produit]],tbl_ProduitsRef[Produit],0)),
   ""
)</f>
        <v/>
      </c>
      <c r="G1105" s="7">
        <f>tbl_Ventes[[#This Row],[Qté Vendue]] * IFERROR(_xlfn.XLOOKUP(tbl_Ventes[[#This Row],[Cde_Prdt]], tbl_Produits[Cde_Prdt], tbl_Produits[Prix Menu]), 0)</f>
        <v>0</v>
      </c>
      <c r="H1105" s="7">
        <f>IFERROR(_xlfn.XLOOKUP(tbl_Ventes[[#This Row],[Cde_Prdt]], tbl_Produits[Cde_Prdt], tbl_Produits[Coût Moyen Portion]), 0)</f>
        <v>0</v>
      </c>
      <c r="I1105" s="7">
        <f>tbl_Ventes[[#This Row],[Qté Vendue]] * tbl_Ventes[[#This Row],[CMP_par_portion]]</f>
        <v>0</v>
      </c>
      <c r="J1105" s="7">
        <f>tbl_Ventes[[#This Row],[CA ligne]] - tbl_Ventes[[#This Row],[Coût matière ligne]]</f>
        <v>0</v>
      </c>
      <c r="K1105" s="7" t="str">
        <f>IFERROR(INDEX(tbl_ProduitsRef[Famille], MATCH(tbl_Ventes[[#This Row],[Cde_Prdt]], tbl_Produits[Cde_Prdt], 0)), "")</f>
        <v/>
      </c>
    </row>
    <row r="1106" spans="1:11" x14ac:dyDescent="0.25">
      <c r="A1106" s="5"/>
      <c r="B1106" s="63" t="str">
        <f>IFERROR(TEXT(tbl_Ventes[[#This Row],[Date]],"mm-aaaa"),"")</f>
        <v>01-1900</v>
      </c>
      <c r="D1106" s="10" t="str">
        <f>IFERROR(
   INDEX(tbl_ProduitsRef[Cde_Prdt],MATCH(tbl_Ventes[[#This Row],[Produit]],tbl_ProduitsRef[Produit],0)),
   ""
)</f>
        <v/>
      </c>
      <c r="E1106" s="7">
        <v>0</v>
      </c>
      <c r="F1106" s="7" t="str">
        <f>IFERROR(
   INDEX(tbl_ProduitsRef[Prix Menu],MATCH(tbl_Ventes[[#This Row],[Produit]],tbl_ProduitsRef[Produit],0)),
   ""
)</f>
        <v/>
      </c>
      <c r="G1106" s="7">
        <f>tbl_Ventes[[#This Row],[Qté Vendue]] * IFERROR(_xlfn.XLOOKUP(tbl_Ventes[[#This Row],[Cde_Prdt]], tbl_Produits[Cde_Prdt], tbl_Produits[Prix Menu]), 0)</f>
        <v>0</v>
      </c>
      <c r="H1106" s="7">
        <f>IFERROR(_xlfn.XLOOKUP(tbl_Ventes[[#This Row],[Cde_Prdt]], tbl_Produits[Cde_Prdt], tbl_Produits[Coût Moyen Portion]), 0)</f>
        <v>0</v>
      </c>
      <c r="I1106" s="7">
        <f>tbl_Ventes[[#This Row],[Qté Vendue]] * tbl_Ventes[[#This Row],[CMP_par_portion]]</f>
        <v>0</v>
      </c>
      <c r="J1106" s="7">
        <f>tbl_Ventes[[#This Row],[CA ligne]] - tbl_Ventes[[#This Row],[Coût matière ligne]]</f>
        <v>0</v>
      </c>
      <c r="K1106" s="7" t="str">
        <f>IFERROR(INDEX(tbl_ProduitsRef[Famille], MATCH(tbl_Ventes[[#This Row],[Cde_Prdt]], tbl_Produits[Cde_Prdt], 0)), "")</f>
        <v/>
      </c>
    </row>
    <row r="1107" spans="1:11" x14ac:dyDescent="0.25">
      <c r="A1107" s="5"/>
      <c r="B1107" s="63" t="str">
        <f>IFERROR(TEXT(tbl_Ventes[[#This Row],[Date]],"mm-aaaa"),"")</f>
        <v>01-1900</v>
      </c>
      <c r="D1107" s="10" t="str">
        <f>IFERROR(
   INDEX(tbl_ProduitsRef[Cde_Prdt],MATCH(tbl_Ventes[[#This Row],[Produit]],tbl_ProduitsRef[Produit],0)),
   ""
)</f>
        <v/>
      </c>
      <c r="E1107" s="7">
        <v>0</v>
      </c>
      <c r="F1107" s="7" t="str">
        <f>IFERROR(
   INDEX(tbl_ProduitsRef[Prix Menu],MATCH(tbl_Ventes[[#This Row],[Produit]],tbl_ProduitsRef[Produit],0)),
   ""
)</f>
        <v/>
      </c>
      <c r="G1107" s="7">
        <f>tbl_Ventes[[#This Row],[Qté Vendue]] * IFERROR(_xlfn.XLOOKUP(tbl_Ventes[[#This Row],[Cde_Prdt]], tbl_Produits[Cde_Prdt], tbl_Produits[Prix Menu]), 0)</f>
        <v>0</v>
      </c>
      <c r="H1107" s="7">
        <f>IFERROR(_xlfn.XLOOKUP(tbl_Ventes[[#This Row],[Cde_Prdt]], tbl_Produits[Cde_Prdt], tbl_Produits[Coût Moyen Portion]), 0)</f>
        <v>0</v>
      </c>
      <c r="I1107" s="7">
        <f>tbl_Ventes[[#This Row],[Qté Vendue]] * tbl_Ventes[[#This Row],[CMP_par_portion]]</f>
        <v>0</v>
      </c>
      <c r="J1107" s="7">
        <f>tbl_Ventes[[#This Row],[CA ligne]] - tbl_Ventes[[#This Row],[Coût matière ligne]]</f>
        <v>0</v>
      </c>
      <c r="K1107" s="7" t="str">
        <f>IFERROR(INDEX(tbl_ProduitsRef[Famille], MATCH(tbl_Ventes[[#This Row],[Cde_Prdt]], tbl_Produits[Cde_Prdt], 0)), "")</f>
        <v/>
      </c>
    </row>
    <row r="1108" spans="1:11" x14ac:dyDescent="0.25">
      <c r="A1108" s="5"/>
      <c r="B1108" s="63" t="str">
        <f>IFERROR(TEXT(tbl_Ventes[[#This Row],[Date]],"mm-aaaa"),"")</f>
        <v>01-1900</v>
      </c>
      <c r="D1108" s="10" t="str">
        <f>IFERROR(
   INDEX(tbl_ProduitsRef[Cde_Prdt],MATCH(tbl_Ventes[[#This Row],[Produit]],tbl_ProduitsRef[Produit],0)),
   ""
)</f>
        <v/>
      </c>
      <c r="E1108" s="7">
        <v>0</v>
      </c>
      <c r="F1108" s="7" t="str">
        <f>IFERROR(
   INDEX(tbl_ProduitsRef[Prix Menu],MATCH(tbl_Ventes[[#This Row],[Produit]],tbl_ProduitsRef[Produit],0)),
   ""
)</f>
        <v/>
      </c>
      <c r="G1108" s="7">
        <f>tbl_Ventes[[#This Row],[Qté Vendue]] * IFERROR(_xlfn.XLOOKUP(tbl_Ventes[[#This Row],[Cde_Prdt]], tbl_Produits[Cde_Prdt], tbl_Produits[Prix Menu]), 0)</f>
        <v>0</v>
      </c>
      <c r="H1108" s="7">
        <f>IFERROR(_xlfn.XLOOKUP(tbl_Ventes[[#This Row],[Cde_Prdt]], tbl_Produits[Cde_Prdt], tbl_Produits[Coût Moyen Portion]), 0)</f>
        <v>0</v>
      </c>
      <c r="I1108" s="7">
        <f>tbl_Ventes[[#This Row],[Qté Vendue]] * tbl_Ventes[[#This Row],[CMP_par_portion]]</f>
        <v>0</v>
      </c>
      <c r="J1108" s="7">
        <f>tbl_Ventes[[#This Row],[CA ligne]] - tbl_Ventes[[#This Row],[Coût matière ligne]]</f>
        <v>0</v>
      </c>
      <c r="K1108" s="7" t="str">
        <f>IFERROR(INDEX(tbl_ProduitsRef[Famille], MATCH(tbl_Ventes[[#This Row],[Cde_Prdt]], tbl_Produits[Cde_Prdt], 0)), "")</f>
        <v/>
      </c>
    </row>
    <row r="1109" spans="1:11" x14ac:dyDescent="0.25">
      <c r="A1109" s="5"/>
      <c r="B1109" s="63" t="str">
        <f>IFERROR(TEXT(tbl_Ventes[[#This Row],[Date]],"mm-aaaa"),"")</f>
        <v>01-1900</v>
      </c>
      <c r="D1109" s="10" t="str">
        <f>IFERROR(
   INDEX(tbl_ProduitsRef[Cde_Prdt],MATCH(tbl_Ventes[[#This Row],[Produit]],tbl_ProduitsRef[Produit],0)),
   ""
)</f>
        <v/>
      </c>
      <c r="E1109" s="7">
        <v>0</v>
      </c>
      <c r="F1109" s="7" t="str">
        <f>IFERROR(
   INDEX(tbl_ProduitsRef[Prix Menu],MATCH(tbl_Ventes[[#This Row],[Produit]],tbl_ProduitsRef[Produit],0)),
   ""
)</f>
        <v/>
      </c>
      <c r="G1109" s="7">
        <f>tbl_Ventes[[#This Row],[Qté Vendue]] * IFERROR(_xlfn.XLOOKUP(tbl_Ventes[[#This Row],[Cde_Prdt]], tbl_Produits[Cde_Prdt], tbl_Produits[Prix Menu]), 0)</f>
        <v>0</v>
      </c>
      <c r="H1109" s="7">
        <f>IFERROR(_xlfn.XLOOKUP(tbl_Ventes[[#This Row],[Cde_Prdt]], tbl_Produits[Cde_Prdt], tbl_Produits[Coût Moyen Portion]), 0)</f>
        <v>0</v>
      </c>
      <c r="I1109" s="7">
        <f>tbl_Ventes[[#This Row],[Qté Vendue]] * tbl_Ventes[[#This Row],[CMP_par_portion]]</f>
        <v>0</v>
      </c>
      <c r="J1109" s="7">
        <f>tbl_Ventes[[#This Row],[CA ligne]] - tbl_Ventes[[#This Row],[Coût matière ligne]]</f>
        <v>0</v>
      </c>
      <c r="K1109" s="7" t="str">
        <f>IFERROR(INDEX(tbl_ProduitsRef[Famille], MATCH(tbl_Ventes[[#This Row],[Cde_Prdt]], tbl_Produits[Cde_Prdt], 0)), "")</f>
        <v/>
      </c>
    </row>
    <row r="1110" spans="1:11" x14ac:dyDescent="0.25">
      <c r="A1110" s="5"/>
      <c r="B1110" s="63" t="str">
        <f>IFERROR(TEXT(tbl_Ventes[[#This Row],[Date]],"mm-aaaa"),"")</f>
        <v>01-1900</v>
      </c>
      <c r="D1110" s="10" t="str">
        <f>IFERROR(
   INDEX(tbl_ProduitsRef[Cde_Prdt],MATCH(tbl_Ventes[[#This Row],[Produit]],tbl_ProduitsRef[Produit],0)),
   ""
)</f>
        <v/>
      </c>
      <c r="E1110" s="7">
        <v>0</v>
      </c>
      <c r="F1110" s="7" t="str">
        <f>IFERROR(
   INDEX(tbl_ProduitsRef[Prix Menu],MATCH(tbl_Ventes[[#This Row],[Produit]],tbl_ProduitsRef[Produit],0)),
   ""
)</f>
        <v/>
      </c>
      <c r="G1110" s="7">
        <f>tbl_Ventes[[#This Row],[Qté Vendue]] * IFERROR(_xlfn.XLOOKUP(tbl_Ventes[[#This Row],[Cde_Prdt]], tbl_Produits[Cde_Prdt], tbl_Produits[Prix Menu]), 0)</f>
        <v>0</v>
      </c>
      <c r="H1110" s="7">
        <f>IFERROR(_xlfn.XLOOKUP(tbl_Ventes[[#This Row],[Cde_Prdt]], tbl_Produits[Cde_Prdt], tbl_Produits[Coût Moyen Portion]), 0)</f>
        <v>0</v>
      </c>
      <c r="I1110" s="7">
        <f>tbl_Ventes[[#This Row],[Qté Vendue]] * tbl_Ventes[[#This Row],[CMP_par_portion]]</f>
        <v>0</v>
      </c>
      <c r="J1110" s="7">
        <f>tbl_Ventes[[#This Row],[CA ligne]] - tbl_Ventes[[#This Row],[Coût matière ligne]]</f>
        <v>0</v>
      </c>
      <c r="K1110" s="7" t="str">
        <f>IFERROR(INDEX(tbl_ProduitsRef[Famille], MATCH(tbl_Ventes[[#This Row],[Cde_Prdt]], tbl_Produits[Cde_Prdt], 0)), "")</f>
        <v/>
      </c>
    </row>
    <row r="1111" spans="1:11" x14ac:dyDescent="0.25">
      <c r="A1111" s="5"/>
      <c r="B1111" s="63" t="str">
        <f>IFERROR(TEXT(tbl_Ventes[[#This Row],[Date]],"mm-aaaa"),"")</f>
        <v>01-1900</v>
      </c>
      <c r="D1111" s="10" t="str">
        <f>IFERROR(
   INDEX(tbl_ProduitsRef[Cde_Prdt],MATCH(tbl_Ventes[[#This Row],[Produit]],tbl_ProduitsRef[Produit],0)),
   ""
)</f>
        <v/>
      </c>
      <c r="E1111" s="7">
        <v>0</v>
      </c>
      <c r="F1111" s="7" t="str">
        <f>IFERROR(
   INDEX(tbl_ProduitsRef[Prix Menu],MATCH(tbl_Ventes[[#This Row],[Produit]],tbl_ProduitsRef[Produit],0)),
   ""
)</f>
        <v/>
      </c>
      <c r="G1111" s="7">
        <f>tbl_Ventes[[#This Row],[Qté Vendue]] * IFERROR(_xlfn.XLOOKUP(tbl_Ventes[[#This Row],[Cde_Prdt]], tbl_Produits[Cde_Prdt], tbl_Produits[Prix Menu]), 0)</f>
        <v>0</v>
      </c>
      <c r="H1111" s="7">
        <f>IFERROR(_xlfn.XLOOKUP(tbl_Ventes[[#This Row],[Cde_Prdt]], tbl_Produits[Cde_Prdt], tbl_Produits[Coût Moyen Portion]), 0)</f>
        <v>0</v>
      </c>
      <c r="I1111" s="7">
        <f>tbl_Ventes[[#This Row],[Qté Vendue]] * tbl_Ventes[[#This Row],[CMP_par_portion]]</f>
        <v>0</v>
      </c>
      <c r="J1111" s="7">
        <f>tbl_Ventes[[#This Row],[CA ligne]] - tbl_Ventes[[#This Row],[Coût matière ligne]]</f>
        <v>0</v>
      </c>
      <c r="K1111" s="7" t="str">
        <f>IFERROR(INDEX(tbl_ProduitsRef[Famille], MATCH(tbl_Ventes[[#This Row],[Cde_Prdt]], tbl_Produits[Cde_Prdt], 0)), "")</f>
        <v/>
      </c>
    </row>
    <row r="1112" spans="1:11" x14ac:dyDescent="0.25">
      <c r="A1112" s="5"/>
      <c r="B1112" s="63" t="str">
        <f>IFERROR(TEXT(tbl_Ventes[[#This Row],[Date]],"mm-aaaa"),"")</f>
        <v>01-1900</v>
      </c>
      <c r="D1112" s="10" t="str">
        <f>IFERROR(
   INDEX(tbl_ProduitsRef[Cde_Prdt],MATCH(tbl_Ventes[[#This Row],[Produit]],tbl_ProduitsRef[Produit],0)),
   ""
)</f>
        <v/>
      </c>
      <c r="E1112" s="7">
        <v>0</v>
      </c>
      <c r="F1112" s="7" t="str">
        <f>IFERROR(
   INDEX(tbl_ProduitsRef[Prix Menu],MATCH(tbl_Ventes[[#This Row],[Produit]],tbl_ProduitsRef[Produit],0)),
   ""
)</f>
        <v/>
      </c>
      <c r="G1112" s="7">
        <f>tbl_Ventes[[#This Row],[Qté Vendue]] * IFERROR(_xlfn.XLOOKUP(tbl_Ventes[[#This Row],[Cde_Prdt]], tbl_Produits[Cde_Prdt], tbl_Produits[Prix Menu]), 0)</f>
        <v>0</v>
      </c>
      <c r="H1112" s="7">
        <f>IFERROR(_xlfn.XLOOKUP(tbl_Ventes[[#This Row],[Cde_Prdt]], tbl_Produits[Cde_Prdt], tbl_Produits[Coût Moyen Portion]), 0)</f>
        <v>0</v>
      </c>
      <c r="I1112" s="7">
        <f>tbl_Ventes[[#This Row],[Qté Vendue]] * tbl_Ventes[[#This Row],[CMP_par_portion]]</f>
        <v>0</v>
      </c>
      <c r="J1112" s="7">
        <f>tbl_Ventes[[#This Row],[CA ligne]] - tbl_Ventes[[#This Row],[Coût matière ligne]]</f>
        <v>0</v>
      </c>
      <c r="K1112" s="7" t="str">
        <f>IFERROR(INDEX(tbl_ProduitsRef[Famille], MATCH(tbl_Ventes[[#This Row],[Cde_Prdt]], tbl_Produits[Cde_Prdt], 0)), "")</f>
        <v/>
      </c>
    </row>
    <row r="1113" spans="1:11" x14ac:dyDescent="0.25">
      <c r="A1113" s="5"/>
      <c r="B1113" s="63" t="str">
        <f>IFERROR(TEXT(tbl_Ventes[[#This Row],[Date]],"mm-aaaa"),"")</f>
        <v>01-1900</v>
      </c>
      <c r="D1113" s="10" t="str">
        <f>IFERROR(
   INDEX(tbl_ProduitsRef[Cde_Prdt],MATCH(tbl_Ventes[[#This Row],[Produit]],tbl_ProduitsRef[Produit],0)),
   ""
)</f>
        <v/>
      </c>
      <c r="E1113" s="7">
        <v>0</v>
      </c>
      <c r="F1113" s="7" t="str">
        <f>IFERROR(
   INDEX(tbl_ProduitsRef[Prix Menu],MATCH(tbl_Ventes[[#This Row],[Produit]],tbl_ProduitsRef[Produit],0)),
   ""
)</f>
        <v/>
      </c>
      <c r="G1113" s="7">
        <f>tbl_Ventes[[#This Row],[Qté Vendue]] * IFERROR(_xlfn.XLOOKUP(tbl_Ventes[[#This Row],[Cde_Prdt]], tbl_Produits[Cde_Prdt], tbl_Produits[Prix Menu]), 0)</f>
        <v>0</v>
      </c>
      <c r="H1113" s="7">
        <f>IFERROR(_xlfn.XLOOKUP(tbl_Ventes[[#This Row],[Cde_Prdt]], tbl_Produits[Cde_Prdt], tbl_Produits[Coût Moyen Portion]), 0)</f>
        <v>0</v>
      </c>
      <c r="I1113" s="7">
        <f>tbl_Ventes[[#This Row],[Qté Vendue]] * tbl_Ventes[[#This Row],[CMP_par_portion]]</f>
        <v>0</v>
      </c>
      <c r="J1113" s="7">
        <f>tbl_Ventes[[#This Row],[CA ligne]] - tbl_Ventes[[#This Row],[Coût matière ligne]]</f>
        <v>0</v>
      </c>
      <c r="K1113" s="7" t="str">
        <f>IFERROR(INDEX(tbl_ProduitsRef[Famille], MATCH(tbl_Ventes[[#This Row],[Cde_Prdt]], tbl_Produits[Cde_Prdt], 0)), "")</f>
        <v/>
      </c>
    </row>
    <row r="1114" spans="1:11" x14ac:dyDescent="0.25">
      <c r="A1114" s="5"/>
      <c r="B1114" s="63" t="str">
        <f>IFERROR(TEXT(tbl_Ventes[[#This Row],[Date]],"mm-aaaa"),"")</f>
        <v>01-1900</v>
      </c>
      <c r="D1114" s="10" t="str">
        <f>IFERROR(
   INDEX(tbl_ProduitsRef[Cde_Prdt],MATCH(tbl_Ventes[[#This Row],[Produit]],tbl_ProduitsRef[Produit],0)),
   ""
)</f>
        <v/>
      </c>
      <c r="E1114" s="7">
        <v>0</v>
      </c>
      <c r="F1114" s="7" t="str">
        <f>IFERROR(
   INDEX(tbl_ProduitsRef[Prix Menu],MATCH(tbl_Ventes[[#This Row],[Produit]],tbl_ProduitsRef[Produit],0)),
   ""
)</f>
        <v/>
      </c>
      <c r="G1114" s="7">
        <f>tbl_Ventes[[#This Row],[Qté Vendue]] * IFERROR(_xlfn.XLOOKUP(tbl_Ventes[[#This Row],[Cde_Prdt]], tbl_Produits[Cde_Prdt], tbl_Produits[Prix Menu]), 0)</f>
        <v>0</v>
      </c>
      <c r="H1114" s="7">
        <f>IFERROR(_xlfn.XLOOKUP(tbl_Ventes[[#This Row],[Cde_Prdt]], tbl_Produits[Cde_Prdt], tbl_Produits[Coût Moyen Portion]), 0)</f>
        <v>0</v>
      </c>
      <c r="I1114" s="7">
        <f>tbl_Ventes[[#This Row],[Qté Vendue]] * tbl_Ventes[[#This Row],[CMP_par_portion]]</f>
        <v>0</v>
      </c>
      <c r="J1114" s="7">
        <f>tbl_Ventes[[#This Row],[CA ligne]] - tbl_Ventes[[#This Row],[Coût matière ligne]]</f>
        <v>0</v>
      </c>
      <c r="K1114" s="7" t="str">
        <f>IFERROR(INDEX(tbl_ProduitsRef[Famille], MATCH(tbl_Ventes[[#This Row],[Cde_Prdt]], tbl_Produits[Cde_Prdt], 0)), "")</f>
        <v/>
      </c>
    </row>
    <row r="1115" spans="1:11" x14ac:dyDescent="0.25">
      <c r="A1115" s="5"/>
      <c r="B1115" s="63" t="str">
        <f>IFERROR(TEXT(tbl_Ventes[[#This Row],[Date]],"mm-aaaa"),"")</f>
        <v>01-1900</v>
      </c>
      <c r="D1115" s="10" t="str">
        <f>IFERROR(
   INDEX(tbl_ProduitsRef[Cde_Prdt],MATCH(tbl_Ventes[[#This Row],[Produit]],tbl_ProduitsRef[Produit],0)),
   ""
)</f>
        <v/>
      </c>
      <c r="E1115" s="7">
        <v>0</v>
      </c>
      <c r="F1115" s="7" t="str">
        <f>IFERROR(
   INDEX(tbl_ProduitsRef[Prix Menu],MATCH(tbl_Ventes[[#This Row],[Produit]],tbl_ProduitsRef[Produit],0)),
   ""
)</f>
        <v/>
      </c>
      <c r="G1115" s="7">
        <f>tbl_Ventes[[#This Row],[Qté Vendue]] * IFERROR(_xlfn.XLOOKUP(tbl_Ventes[[#This Row],[Cde_Prdt]], tbl_Produits[Cde_Prdt], tbl_Produits[Prix Menu]), 0)</f>
        <v>0</v>
      </c>
      <c r="H1115" s="7">
        <f>IFERROR(_xlfn.XLOOKUP(tbl_Ventes[[#This Row],[Cde_Prdt]], tbl_Produits[Cde_Prdt], tbl_Produits[Coût Moyen Portion]), 0)</f>
        <v>0</v>
      </c>
      <c r="I1115" s="7">
        <f>tbl_Ventes[[#This Row],[Qté Vendue]] * tbl_Ventes[[#This Row],[CMP_par_portion]]</f>
        <v>0</v>
      </c>
      <c r="J1115" s="7">
        <f>tbl_Ventes[[#This Row],[CA ligne]] - tbl_Ventes[[#This Row],[Coût matière ligne]]</f>
        <v>0</v>
      </c>
      <c r="K1115" s="7" t="str">
        <f>IFERROR(INDEX(tbl_ProduitsRef[Famille], MATCH(tbl_Ventes[[#This Row],[Cde_Prdt]], tbl_Produits[Cde_Prdt], 0)), "")</f>
        <v/>
      </c>
    </row>
    <row r="1116" spans="1:11" x14ac:dyDescent="0.25">
      <c r="A1116" s="5"/>
      <c r="B1116" s="63" t="str">
        <f>IFERROR(TEXT(tbl_Ventes[[#This Row],[Date]],"mm-aaaa"),"")</f>
        <v>01-1900</v>
      </c>
      <c r="D1116" s="10" t="str">
        <f>IFERROR(
   INDEX(tbl_ProduitsRef[Cde_Prdt],MATCH(tbl_Ventes[[#This Row],[Produit]],tbl_ProduitsRef[Produit],0)),
   ""
)</f>
        <v/>
      </c>
      <c r="E1116" s="7">
        <v>0</v>
      </c>
      <c r="F1116" s="7" t="str">
        <f>IFERROR(
   INDEX(tbl_ProduitsRef[Prix Menu],MATCH(tbl_Ventes[[#This Row],[Produit]],tbl_ProduitsRef[Produit],0)),
   ""
)</f>
        <v/>
      </c>
      <c r="G1116" s="7">
        <f>tbl_Ventes[[#This Row],[Qté Vendue]] * IFERROR(_xlfn.XLOOKUP(tbl_Ventes[[#This Row],[Cde_Prdt]], tbl_Produits[Cde_Prdt], tbl_Produits[Prix Menu]), 0)</f>
        <v>0</v>
      </c>
      <c r="H1116" s="7">
        <f>IFERROR(_xlfn.XLOOKUP(tbl_Ventes[[#This Row],[Cde_Prdt]], tbl_Produits[Cde_Prdt], tbl_Produits[Coût Moyen Portion]), 0)</f>
        <v>0</v>
      </c>
      <c r="I1116" s="7">
        <f>tbl_Ventes[[#This Row],[Qté Vendue]] * tbl_Ventes[[#This Row],[CMP_par_portion]]</f>
        <v>0</v>
      </c>
      <c r="J1116" s="7">
        <f>tbl_Ventes[[#This Row],[CA ligne]] - tbl_Ventes[[#This Row],[Coût matière ligne]]</f>
        <v>0</v>
      </c>
      <c r="K1116" s="7" t="str">
        <f>IFERROR(INDEX(tbl_ProduitsRef[Famille], MATCH(tbl_Ventes[[#This Row],[Cde_Prdt]], tbl_Produits[Cde_Prdt], 0)), "")</f>
        <v/>
      </c>
    </row>
    <row r="1117" spans="1:11" x14ac:dyDescent="0.25">
      <c r="A1117" s="5"/>
      <c r="B1117" s="63" t="str">
        <f>IFERROR(TEXT(tbl_Ventes[[#This Row],[Date]],"mm-aaaa"),"")</f>
        <v>01-1900</v>
      </c>
      <c r="D1117" s="10" t="str">
        <f>IFERROR(
   INDEX(tbl_ProduitsRef[Cde_Prdt],MATCH(tbl_Ventes[[#This Row],[Produit]],tbl_ProduitsRef[Produit],0)),
   ""
)</f>
        <v/>
      </c>
      <c r="E1117" s="7">
        <v>0</v>
      </c>
      <c r="F1117" s="7" t="str">
        <f>IFERROR(
   INDEX(tbl_ProduitsRef[Prix Menu],MATCH(tbl_Ventes[[#This Row],[Produit]],tbl_ProduitsRef[Produit],0)),
   ""
)</f>
        <v/>
      </c>
      <c r="G1117" s="7">
        <f>tbl_Ventes[[#This Row],[Qté Vendue]] * IFERROR(_xlfn.XLOOKUP(tbl_Ventes[[#This Row],[Cde_Prdt]], tbl_Produits[Cde_Prdt], tbl_Produits[Prix Menu]), 0)</f>
        <v>0</v>
      </c>
      <c r="H1117" s="7">
        <f>IFERROR(_xlfn.XLOOKUP(tbl_Ventes[[#This Row],[Cde_Prdt]], tbl_Produits[Cde_Prdt], tbl_Produits[Coût Moyen Portion]), 0)</f>
        <v>0</v>
      </c>
      <c r="I1117" s="7">
        <f>tbl_Ventes[[#This Row],[Qté Vendue]] * tbl_Ventes[[#This Row],[CMP_par_portion]]</f>
        <v>0</v>
      </c>
      <c r="J1117" s="7">
        <f>tbl_Ventes[[#This Row],[CA ligne]] - tbl_Ventes[[#This Row],[Coût matière ligne]]</f>
        <v>0</v>
      </c>
      <c r="K1117" s="7" t="str">
        <f>IFERROR(INDEX(tbl_ProduitsRef[Famille], MATCH(tbl_Ventes[[#This Row],[Cde_Prdt]], tbl_Produits[Cde_Prdt], 0)), "")</f>
        <v/>
      </c>
    </row>
    <row r="1118" spans="1:11" x14ac:dyDescent="0.25">
      <c r="A1118" s="5"/>
      <c r="B1118" s="63" t="str">
        <f>IFERROR(TEXT(tbl_Ventes[[#This Row],[Date]],"mm-aaaa"),"")</f>
        <v>01-1900</v>
      </c>
      <c r="D1118" s="10" t="str">
        <f>IFERROR(
   INDEX(tbl_ProduitsRef[Cde_Prdt],MATCH(tbl_Ventes[[#This Row],[Produit]],tbl_ProduitsRef[Produit],0)),
   ""
)</f>
        <v/>
      </c>
      <c r="E1118" s="7">
        <v>0</v>
      </c>
      <c r="F1118" s="7" t="str">
        <f>IFERROR(
   INDEX(tbl_ProduitsRef[Prix Menu],MATCH(tbl_Ventes[[#This Row],[Produit]],tbl_ProduitsRef[Produit],0)),
   ""
)</f>
        <v/>
      </c>
      <c r="G1118" s="7">
        <f>tbl_Ventes[[#This Row],[Qté Vendue]] * IFERROR(_xlfn.XLOOKUP(tbl_Ventes[[#This Row],[Cde_Prdt]], tbl_Produits[Cde_Prdt], tbl_Produits[Prix Menu]), 0)</f>
        <v>0</v>
      </c>
      <c r="H1118" s="7">
        <f>IFERROR(_xlfn.XLOOKUP(tbl_Ventes[[#This Row],[Cde_Prdt]], tbl_Produits[Cde_Prdt], tbl_Produits[Coût Moyen Portion]), 0)</f>
        <v>0</v>
      </c>
      <c r="I1118" s="7">
        <f>tbl_Ventes[[#This Row],[Qté Vendue]] * tbl_Ventes[[#This Row],[CMP_par_portion]]</f>
        <v>0</v>
      </c>
      <c r="J1118" s="7">
        <f>tbl_Ventes[[#This Row],[CA ligne]] - tbl_Ventes[[#This Row],[Coût matière ligne]]</f>
        <v>0</v>
      </c>
      <c r="K1118" s="7" t="str">
        <f>IFERROR(INDEX(tbl_ProduitsRef[Famille], MATCH(tbl_Ventes[[#This Row],[Cde_Prdt]], tbl_Produits[Cde_Prdt], 0)), "")</f>
        <v/>
      </c>
    </row>
    <row r="1119" spans="1:11" x14ac:dyDescent="0.25">
      <c r="A1119" s="5"/>
      <c r="B1119" s="63" t="str">
        <f>IFERROR(TEXT(tbl_Ventes[[#This Row],[Date]],"mm-aaaa"),"")</f>
        <v>01-1900</v>
      </c>
      <c r="D1119" s="10" t="str">
        <f>IFERROR(
   INDEX(tbl_ProduitsRef[Cde_Prdt],MATCH(tbl_Ventes[[#This Row],[Produit]],tbl_ProduitsRef[Produit],0)),
   ""
)</f>
        <v/>
      </c>
      <c r="E1119" s="7">
        <v>0</v>
      </c>
      <c r="F1119" s="7" t="str">
        <f>IFERROR(
   INDEX(tbl_ProduitsRef[Prix Menu],MATCH(tbl_Ventes[[#This Row],[Produit]],tbl_ProduitsRef[Produit],0)),
   ""
)</f>
        <v/>
      </c>
      <c r="G1119" s="7">
        <f>tbl_Ventes[[#This Row],[Qté Vendue]] * IFERROR(_xlfn.XLOOKUP(tbl_Ventes[[#This Row],[Cde_Prdt]], tbl_Produits[Cde_Prdt], tbl_Produits[Prix Menu]), 0)</f>
        <v>0</v>
      </c>
      <c r="H1119" s="7">
        <f>IFERROR(_xlfn.XLOOKUP(tbl_Ventes[[#This Row],[Cde_Prdt]], tbl_Produits[Cde_Prdt], tbl_Produits[Coût Moyen Portion]), 0)</f>
        <v>0</v>
      </c>
      <c r="I1119" s="7">
        <f>tbl_Ventes[[#This Row],[Qté Vendue]] * tbl_Ventes[[#This Row],[CMP_par_portion]]</f>
        <v>0</v>
      </c>
      <c r="J1119" s="7">
        <f>tbl_Ventes[[#This Row],[CA ligne]] - tbl_Ventes[[#This Row],[Coût matière ligne]]</f>
        <v>0</v>
      </c>
      <c r="K1119" s="7" t="str">
        <f>IFERROR(INDEX(tbl_ProduitsRef[Famille], MATCH(tbl_Ventes[[#This Row],[Cde_Prdt]], tbl_Produits[Cde_Prdt], 0)), "")</f>
        <v/>
      </c>
    </row>
    <row r="1120" spans="1:11" x14ac:dyDescent="0.25">
      <c r="A1120" s="5"/>
      <c r="B1120" s="63" t="str">
        <f>IFERROR(TEXT(tbl_Ventes[[#This Row],[Date]],"mm-aaaa"),"")</f>
        <v>01-1900</v>
      </c>
      <c r="D1120" s="10" t="str">
        <f>IFERROR(
   INDEX(tbl_ProduitsRef[Cde_Prdt],MATCH(tbl_Ventes[[#This Row],[Produit]],tbl_ProduitsRef[Produit],0)),
   ""
)</f>
        <v/>
      </c>
      <c r="E1120" s="7">
        <v>0</v>
      </c>
      <c r="F1120" s="7" t="str">
        <f>IFERROR(
   INDEX(tbl_ProduitsRef[Prix Menu],MATCH(tbl_Ventes[[#This Row],[Produit]],tbl_ProduitsRef[Produit],0)),
   ""
)</f>
        <v/>
      </c>
      <c r="G1120" s="7">
        <f>tbl_Ventes[[#This Row],[Qté Vendue]] * IFERROR(_xlfn.XLOOKUP(tbl_Ventes[[#This Row],[Cde_Prdt]], tbl_Produits[Cde_Prdt], tbl_Produits[Prix Menu]), 0)</f>
        <v>0</v>
      </c>
      <c r="H1120" s="7">
        <f>IFERROR(_xlfn.XLOOKUP(tbl_Ventes[[#This Row],[Cde_Prdt]], tbl_Produits[Cde_Prdt], tbl_Produits[Coût Moyen Portion]), 0)</f>
        <v>0</v>
      </c>
      <c r="I1120" s="7">
        <f>tbl_Ventes[[#This Row],[Qté Vendue]] * tbl_Ventes[[#This Row],[CMP_par_portion]]</f>
        <v>0</v>
      </c>
      <c r="J1120" s="7">
        <f>tbl_Ventes[[#This Row],[CA ligne]] - tbl_Ventes[[#This Row],[Coût matière ligne]]</f>
        <v>0</v>
      </c>
      <c r="K1120" s="7" t="str">
        <f>IFERROR(INDEX(tbl_ProduitsRef[Famille], MATCH(tbl_Ventes[[#This Row],[Cde_Prdt]], tbl_Produits[Cde_Prdt], 0)), "")</f>
        <v/>
      </c>
    </row>
    <row r="1121" spans="1:11" x14ac:dyDescent="0.25">
      <c r="A1121" s="5"/>
      <c r="B1121" s="63" t="str">
        <f>IFERROR(TEXT(tbl_Ventes[[#This Row],[Date]],"mm-aaaa"),"")</f>
        <v>01-1900</v>
      </c>
      <c r="D1121" s="10" t="str">
        <f>IFERROR(
   INDEX(tbl_ProduitsRef[Cde_Prdt],MATCH(tbl_Ventes[[#This Row],[Produit]],tbl_ProduitsRef[Produit],0)),
   ""
)</f>
        <v/>
      </c>
      <c r="E1121" s="7">
        <v>0</v>
      </c>
      <c r="F1121" s="7" t="str">
        <f>IFERROR(
   INDEX(tbl_ProduitsRef[Prix Menu],MATCH(tbl_Ventes[[#This Row],[Produit]],tbl_ProduitsRef[Produit],0)),
   ""
)</f>
        <v/>
      </c>
      <c r="G1121" s="7">
        <f>tbl_Ventes[[#This Row],[Qté Vendue]] * IFERROR(_xlfn.XLOOKUP(tbl_Ventes[[#This Row],[Cde_Prdt]], tbl_Produits[Cde_Prdt], tbl_Produits[Prix Menu]), 0)</f>
        <v>0</v>
      </c>
      <c r="H1121" s="7">
        <f>IFERROR(_xlfn.XLOOKUP(tbl_Ventes[[#This Row],[Cde_Prdt]], tbl_Produits[Cde_Prdt], tbl_Produits[Coût Moyen Portion]), 0)</f>
        <v>0</v>
      </c>
      <c r="I1121" s="7">
        <f>tbl_Ventes[[#This Row],[Qté Vendue]] * tbl_Ventes[[#This Row],[CMP_par_portion]]</f>
        <v>0</v>
      </c>
      <c r="J1121" s="7">
        <f>tbl_Ventes[[#This Row],[CA ligne]] - tbl_Ventes[[#This Row],[Coût matière ligne]]</f>
        <v>0</v>
      </c>
      <c r="K1121" s="7" t="str">
        <f>IFERROR(INDEX(tbl_ProduitsRef[Famille], MATCH(tbl_Ventes[[#This Row],[Cde_Prdt]], tbl_Produits[Cde_Prdt], 0)), "")</f>
        <v/>
      </c>
    </row>
    <row r="1122" spans="1:11" x14ac:dyDescent="0.25">
      <c r="A1122" s="5"/>
      <c r="B1122" s="63" t="str">
        <f>IFERROR(TEXT(tbl_Ventes[[#This Row],[Date]],"mm-aaaa"),"")</f>
        <v>01-1900</v>
      </c>
      <c r="D1122" s="10" t="str">
        <f>IFERROR(
   INDEX(tbl_ProduitsRef[Cde_Prdt],MATCH(tbl_Ventes[[#This Row],[Produit]],tbl_ProduitsRef[Produit],0)),
   ""
)</f>
        <v/>
      </c>
      <c r="E1122" s="7">
        <v>0</v>
      </c>
      <c r="F1122" s="7" t="str">
        <f>IFERROR(
   INDEX(tbl_ProduitsRef[Prix Menu],MATCH(tbl_Ventes[[#This Row],[Produit]],tbl_ProduitsRef[Produit],0)),
   ""
)</f>
        <v/>
      </c>
      <c r="G1122" s="7">
        <f>tbl_Ventes[[#This Row],[Qté Vendue]] * IFERROR(_xlfn.XLOOKUP(tbl_Ventes[[#This Row],[Cde_Prdt]], tbl_Produits[Cde_Prdt], tbl_Produits[Prix Menu]), 0)</f>
        <v>0</v>
      </c>
      <c r="H1122" s="7">
        <f>IFERROR(_xlfn.XLOOKUP(tbl_Ventes[[#This Row],[Cde_Prdt]], tbl_Produits[Cde_Prdt], tbl_Produits[Coût Moyen Portion]), 0)</f>
        <v>0</v>
      </c>
      <c r="I1122" s="7">
        <f>tbl_Ventes[[#This Row],[Qté Vendue]] * tbl_Ventes[[#This Row],[CMP_par_portion]]</f>
        <v>0</v>
      </c>
      <c r="J1122" s="7">
        <f>tbl_Ventes[[#This Row],[CA ligne]] - tbl_Ventes[[#This Row],[Coût matière ligne]]</f>
        <v>0</v>
      </c>
      <c r="K1122" s="7" t="str">
        <f>IFERROR(INDEX(tbl_ProduitsRef[Famille], MATCH(tbl_Ventes[[#This Row],[Cde_Prdt]], tbl_Produits[Cde_Prdt], 0)), "")</f>
        <v/>
      </c>
    </row>
    <row r="1123" spans="1:11" x14ac:dyDescent="0.25">
      <c r="A1123" s="5"/>
      <c r="B1123" s="63" t="str">
        <f>IFERROR(TEXT(tbl_Ventes[[#This Row],[Date]],"mm-aaaa"),"")</f>
        <v>01-1900</v>
      </c>
      <c r="D1123" s="10" t="str">
        <f>IFERROR(
   INDEX(tbl_ProduitsRef[Cde_Prdt],MATCH(tbl_Ventes[[#This Row],[Produit]],tbl_ProduitsRef[Produit],0)),
   ""
)</f>
        <v/>
      </c>
      <c r="E1123" s="7">
        <v>0</v>
      </c>
      <c r="F1123" s="7" t="str">
        <f>IFERROR(
   INDEX(tbl_ProduitsRef[Prix Menu],MATCH(tbl_Ventes[[#This Row],[Produit]],tbl_ProduitsRef[Produit],0)),
   ""
)</f>
        <v/>
      </c>
      <c r="G1123" s="7">
        <f>tbl_Ventes[[#This Row],[Qté Vendue]] * IFERROR(_xlfn.XLOOKUP(tbl_Ventes[[#This Row],[Cde_Prdt]], tbl_Produits[Cde_Prdt], tbl_Produits[Prix Menu]), 0)</f>
        <v>0</v>
      </c>
      <c r="H1123" s="7">
        <f>IFERROR(_xlfn.XLOOKUP(tbl_Ventes[[#This Row],[Cde_Prdt]], tbl_Produits[Cde_Prdt], tbl_Produits[Coût Moyen Portion]), 0)</f>
        <v>0</v>
      </c>
      <c r="I1123" s="7">
        <f>tbl_Ventes[[#This Row],[Qté Vendue]] * tbl_Ventes[[#This Row],[CMP_par_portion]]</f>
        <v>0</v>
      </c>
      <c r="J1123" s="7">
        <f>tbl_Ventes[[#This Row],[CA ligne]] - tbl_Ventes[[#This Row],[Coût matière ligne]]</f>
        <v>0</v>
      </c>
      <c r="K1123" s="7" t="str">
        <f>IFERROR(INDEX(tbl_ProduitsRef[Famille], MATCH(tbl_Ventes[[#This Row],[Cde_Prdt]], tbl_Produits[Cde_Prdt], 0)), "")</f>
        <v/>
      </c>
    </row>
    <row r="1124" spans="1:11" x14ac:dyDescent="0.25">
      <c r="A1124" s="5"/>
      <c r="B1124" s="63" t="str">
        <f>IFERROR(TEXT(tbl_Ventes[[#This Row],[Date]],"mm-aaaa"),"")</f>
        <v>01-1900</v>
      </c>
      <c r="D1124" s="10" t="str">
        <f>IFERROR(
   INDEX(tbl_ProduitsRef[Cde_Prdt],MATCH(tbl_Ventes[[#This Row],[Produit]],tbl_ProduitsRef[Produit],0)),
   ""
)</f>
        <v/>
      </c>
      <c r="E1124" s="7">
        <v>0</v>
      </c>
      <c r="F1124" s="7" t="str">
        <f>IFERROR(
   INDEX(tbl_ProduitsRef[Prix Menu],MATCH(tbl_Ventes[[#This Row],[Produit]],tbl_ProduitsRef[Produit],0)),
   ""
)</f>
        <v/>
      </c>
      <c r="G1124" s="7">
        <f>tbl_Ventes[[#This Row],[Qté Vendue]] * IFERROR(_xlfn.XLOOKUP(tbl_Ventes[[#This Row],[Cde_Prdt]], tbl_Produits[Cde_Prdt], tbl_Produits[Prix Menu]), 0)</f>
        <v>0</v>
      </c>
      <c r="H1124" s="7">
        <f>IFERROR(_xlfn.XLOOKUP(tbl_Ventes[[#This Row],[Cde_Prdt]], tbl_Produits[Cde_Prdt], tbl_Produits[Coût Moyen Portion]), 0)</f>
        <v>0</v>
      </c>
      <c r="I1124" s="7">
        <f>tbl_Ventes[[#This Row],[Qté Vendue]] * tbl_Ventes[[#This Row],[CMP_par_portion]]</f>
        <v>0</v>
      </c>
      <c r="J1124" s="7">
        <f>tbl_Ventes[[#This Row],[CA ligne]] - tbl_Ventes[[#This Row],[Coût matière ligne]]</f>
        <v>0</v>
      </c>
      <c r="K1124" s="7" t="str">
        <f>IFERROR(INDEX(tbl_ProduitsRef[Famille], MATCH(tbl_Ventes[[#This Row],[Cde_Prdt]], tbl_Produits[Cde_Prdt], 0)), "")</f>
        <v/>
      </c>
    </row>
    <row r="1125" spans="1:11" x14ac:dyDescent="0.25">
      <c r="A1125" s="5"/>
      <c r="B1125" s="63" t="str">
        <f>IFERROR(TEXT(tbl_Ventes[[#This Row],[Date]],"mm-aaaa"),"")</f>
        <v>01-1900</v>
      </c>
      <c r="D1125" s="10" t="str">
        <f>IFERROR(
   INDEX(tbl_ProduitsRef[Cde_Prdt],MATCH(tbl_Ventes[[#This Row],[Produit]],tbl_ProduitsRef[Produit],0)),
   ""
)</f>
        <v/>
      </c>
      <c r="E1125" s="7">
        <v>0</v>
      </c>
      <c r="F1125" s="7" t="str">
        <f>IFERROR(
   INDEX(tbl_ProduitsRef[Prix Menu],MATCH(tbl_Ventes[[#This Row],[Produit]],tbl_ProduitsRef[Produit],0)),
   ""
)</f>
        <v/>
      </c>
      <c r="G1125" s="7">
        <f>tbl_Ventes[[#This Row],[Qté Vendue]] * IFERROR(_xlfn.XLOOKUP(tbl_Ventes[[#This Row],[Cde_Prdt]], tbl_Produits[Cde_Prdt], tbl_Produits[Prix Menu]), 0)</f>
        <v>0</v>
      </c>
      <c r="H1125" s="7">
        <f>IFERROR(_xlfn.XLOOKUP(tbl_Ventes[[#This Row],[Cde_Prdt]], tbl_Produits[Cde_Prdt], tbl_Produits[Coût Moyen Portion]), 0)</f>
        <v>0</v>
      </c>
      <c r="I1125" s="7">
        <f>tbl_Ventes[[#This Row],[Qté Vendue]] * tbl_Ventes[[#This Row],[CMP_par_portion]]</f>
        <v>0</v>
      </c>
      <c r="J1125" s="7">
        <f>tbl_Ventes[[#This Row],[CA ligne]] - tbl_Ventes[[#This Row],[Coût matière ligne]]</f>
        <v>0</v>
      </c>
      <c r="K1125" s="7" t="str">
        <f>IFERROR(INDEX(tbl_ProduitsRef[Famille], MATCH(tbl_Ventes[[#This Row],[Cde_Prdt]], tbl_Produits[Cde_Prdt], 0)), "")</f>
        <v/>
      </c>
    </row>
    <row r="1126" spans="1:11" x14ac:dyDescent="0.25">
      <c r="A1126" s="5"/>
      <c r="B1126" s="63" t="str">
        <f>IFERROR(TEXT(tbl_Ventes[[#This Row],[Date]],"mm-aaaa"),"")</f>
        <v>01-1900</v>
      </c>
      <c r="D1126" s="10" t="str">
        <f>IFERROR(
   INDEX(tbl_ProduitsRef[Cde_Prdt],MATCH(tbl_Ventes[[#This Row],[Produit]],tbl_ProduitsRef[Produit],0)),
   ""
)</f>
        <v/>
      </c>
      <c r="E1126" s="7">
        <v>0</v>
      </c>
      <c r="F1126" s="7" t="str">
        <f>IFERROR(
   INDEX(tbl_ProduitsRef[Prix Menu],MATCH(tbl_Ventes[[#This Row],[Produit]],tbl_ProduitsRef[Produit],0)),
   ""
)</f>
        <v/>
      </c>
      <c r="G1126" s="7">
        <f>tbl_Ventes[[#This Row],[Qté Vendue]] * IFERROR(_xlfn.XLOOKUP(tbl_Ventes[[#This Row],[Cde_Prdt]], tbl_Produits[Cde_Prdt], tbl_Produits[Prix Menu]), 0)</f>
        <v>0</v>
      </c>
      <c r="H1126" s="7">
        <f>IFERROR(_xlfn.XLOOKUP(tbl_Ventes[[#This Row],[Cde_Prdt]], tbl_Produits[Cde_Prdt], tbl_Produits[Coût Moyen Portion]), 0)</f>
        <v>0</v>
      </c>
      <c r="I1126" s="7">
        <f>tbl_Ventes[[#This Row],[Qté Vendue]] * tbl_Ventes[[#This Row],[CMP_par_portion]]</f>
        <v>0</v>
      </c>
      <c r="J1126" s="7">
        <f>tbl_Ventes[[#This Row],[CA ligne]] - tbl_Ventes[[#This Row],[Coût matière ligne]]</f>
        <v>0</v>
      </c>
      <c r="K1126" s="7" t="str">
        <f>IFERROR(INDEX(tbl_ProduitsRef[Famille], MATCH(tbl_Ventes[[#This Row],[Cde_Prdt]], tbl_Produits[Cde_Prdt], 0)), "")</f>
        <v/>
      </c>
    </row>
    <row r="1127" spans="1:11" x14ac:dyDescent="0.25">
      <c r="A1127" s="5"/>
      <c r="B1127" s="63" t="str">
        <f>IFERROR(TEXT(tbl_Ventes[[#This Row],[Date]],"mm-aaaa"),"")</f>
        <v>01-1900</v>
      </c>
      <c r="D1127" s="10" t="str">
        <f>IFERROR(
   INDEX(tbl_ProduitsRef[Cde_Prdt],MATCH(tbl_Ventes[[#This Row],[Produit]],tbl_ProduitsRef[Produit],0)),
   ""
)</f>
        <v/>
      </c>
      <c r="E1127" s="7">
        <v>0</v>
      </c>
      <c r="F1127" s="7" t="str">
        <f>IFERROR(
   INDEX(tbl_ProduitsRef[Prix Menu],MATCH(tbl_Ventes[[#This Row],[Produit]],tbl_ProduitsRef[Produit],0)),
   ""
)</f>
        <v/>
      </c>
      <c r="G1127" s="7">
        <f>tbl_Ventes[[#This Row],[Qté Vendue]] * IFERROR(_xlfn.XLOOKUP(tbl_Ventes[[#This Row],[Cde_Prdt]], tbl_Produits[Cde_Prdt], tbl_Produits[Prix Menu]), 0)</f>
        <v>0</v>
      </c>
      <c r="H1127" s="7">
        <f>IFERROR(_xlfn.XLOOKUP(tbl_Ventes[[#This Row],[Cde_Prdt]], tbl_Produits[Cde_Prdt], tbl_Produits[Coût Moyen Portion]), 0)</f>
        <v>0</v>
      </c>
      <c r="I1127" s="7">
        <f>tbl_Ventes[[#This Row],[Qté Vendue]] * tbl_Ventes[[#This Row],[CMP_par_portion]]</f>
        <v>0</v>
      </c>
      <c r="J1127" s="7">
        <f>tbl_Ventes[[#This Row],[CA ligne]] - tbl_Ventes[[#This Row],[Coût matière ligne]]</f>
        <v>0</v>
      </c>
      <c r="K1127" s="7" t="str">
        <f>IFERROR(INDEX(tbl_ProduitsRef[Famille], MATCH(tbl_Ventes[[#This Row],[Cde_Prdt]], tbl_Produits[Cde_Prdt], 0)), "")</f>
        <v/>
      </c>
    </row>
    <row r="1128" spans="1:11" x14ac:dyDescent="0.25">
      <c r="A1128" s="5"/>
      <c r="B1128" s="63" t="str">
        <f>IFERROR(TEXT(tbl_Ventes[[#This Row],[Date]],"mm-aaaa"),"")</f>
        <v>01-1900</v>
      </c>
      <c r="D1128" s="10" t="str">
        <f>IFERROR(
   INDEX(tbl_ProduitsRef[Cde_Prdt],MATCH(tbl_Ventes[[#This Row],[Produit]],tbl_ProduitsRef[Produit],0)),
   ""
)</f>
        <v/>
      </c>
      <c r="E1128" s="7">
        <v>0</v>
      </c>
      <c r="F1128" s="7" t="str">
        <f>IFERROR(
   INDEX(tbl_ProduitsRef[Prix Menu],MATCH(tbl_Ventes[[#This Row],[Produit]],tbl_ProduitsRef[Produit],0)),
   ""
)</f>
        <v/>
      </c>
      <c r="G1128" s="7">
        <f>tbl_Ventes[[#This Row],[Qté Vendue]] * IFERROR(_xlfn.XLOOKUP(tbl_Ventes[[#This Row],[Cde_Prdt]], tbl_Produits[Cde_Prdt], tbl_Produits[Prix Menu]), 0)</f>
        <v>0</v>
      </c>
      <c r="H1128" s="7">
        <f>IFERROR(_xlfn.XLOOKUP(tbl_Ventes[[#This Row],[Cde_Prdt]], tbl_Produits[Cde_Prdt], tbl_Produits[Coût Moyen Portion]), 0)</f>
        <v>0</v>
      </c>
      <c r="I1128" s="7">
        <f>tbl_Ventes[[#This Row],[Qté Vendue]] * tbl_Ventes[[#This Row],[CMP_par_portion]]</f>
        <v>0</v>
      </c>
      <c r="J1128" s="7">
        <f>tbl_Ventes[[#This Row],[CA ligne]] - tbl_Ventes[[#This Row],[Coût matière ligne]]</f>
        <v>0</v>
      </c>
      <c r="K1128" s="7" t="str">
        <f>IFERROR(INDEX(tbl_ProduitsRef[Famille], MATCH(tbl_Ventes[[#This Row],[Cde_Prdt]], tbl_Produits[Cde_Prdt], 0)), "")</f>
        <v/>
      </c>
    </row>
    <row r="1129" spans="1:11" x14ac:dyDescent="0.25">
      <c r="A1129" s="5"/>
      <c r="B1129" s="63" t="str">
        <f>IFERROR(TEXT(tbl_Ventes[[#This Row],[Date]],"mm-aaaa"),"")</f>
        <v>01-1900</v>
      </c>
      <c r="D1129" s="10" t="str">
        <f>IFERROR(
   INDEX(tbl_ProduitsRef[Cde_Prdt],MATCH(tbl_Ventes[[#This Row],[Produit]],tbl_ProduitsRef[Produit],0)),
   ""
)</f>
        <v/>
      </c>
      <c r="E1129" s="7">
        <v>0</v>
      </c>
      <c r="F1129" s="7" t="str">
        <f>IFERROR(
   INDEX(tbl_ProduitsRef[Prix Menu],MATCH(tbl_Ventes[[#This Row],[Produit]],tbl_ProduitsRef[Produit],0)),
   ""
)</f>
        <v/>
      </c>
      <c r="G1129" s="7">
        <f>tbl_Ventes[[#This Row],[Qté Vendue]] * IFERROR(_xlfn.XLOOKUP(tbl_Ventes[[#This Row],[Cde_Prdt]], tbl_Produits[Cde_Prdt], tbl_Produits[Prix Menu]), 0)</f>
        <v>0</v>
      </c>
      <c r="H1129" s="7">
        <f>IFERROR(_xlfn.XLOOKUP(tbl_Ventes[[#This Row],[Cde_Prdt]], tbl_Produits[Cde_Prdt], tbl_Produits[Coût Moyen Portion]), 0)</f>
        <v>0</v>
      </c>
      <c r="I1129" s="7">
        <f>tbl_Ventes[[#This Row],[Qté Vendue]] * tbl_Ventes[[#This Row],[CMP_par_portion]]</f>
        <v>0</v>
      </c>
      <c r="J1129" s="7">
        <f>tbl_Ventes[[#This Row],[CA ligne]] - tbl_Ventes[[#This Row],[Coût matière ligne]]</f>
        <v>0</v>
      </c>
      <c r="K1129" s="7" t="str">
        <f>IFERROR(INDEX(tbl_ProduitsRef[Famille], MATCH(tbl_Ventes[[#This Row],[Cde_Prdt]], tbl_Produits[Cde_Prdt], 0)), "")</f>
        <v/>
      </c>
    </row>
    <row r="1130" spans="1:11" x14ac:dyDescent="0.25">
      <c r="A1130" s="5"/>
      <c r="B1130" s="63" t="str">
        <f>IFERROR(TEXT(tbl_Ventes[[#This Row],[Date]],"mm-aaaa"),"")</f>
        <v>01-1900</v>
      </c>
      <c r="D1130" s="10" t="str">
        <f>IFERROR(
   INDEX(tbl_ProduitsRef[Cde_Prdt],MATCH(tbl_Ventes[[#This Row],[Produit]],tbl_ProduitsRef[Produit],0)),
   ""
)</f>
        <v/>
      </c>
      <c r="E1130" s="7">
        <v>0</v>
      </c>
      <c r="F1130" s="7" t="str">
        <f>IFERROR(
   INDEX(tbl_ProduitsRef[Prix Menu],MATCH(tbl_Ventes[[#This Row],[Produit]],tbl_ProduitsRef[Produit],0)),
   ""
)</f>
        <v/>
      </c>
      <c r="G1130" s="7">
        <f>tbl_Ventes[[#This Row],[Qté Vendue]] * IFERROR(_xlfn.XLOOKUP(tbl_Ventes[[#This Row],[Cde_Prdt]], tbl_Produits[Cde_Prdt], tbl_Produits[Prix Menu]), 0)</f>
        <v>0</v>
      </c>
      <c r="H1130" s="7">
        <f>IFERROR(_xlfn.XLOOKUP(tbl_Ventes[[#This Row],[Cde_Prdt]], tbl_Produits[Cde_Prdt], tbl_Produits[Coût Moyen Portion]), 0)</f>
        <v>0</v>
      </c>
      <c r="I1130" s="7">
        <f>tbl_Ventes[[#This Row],[Qté Vendue]] * tbl_Ventes[[#This Row],[CMP_par_portion]]</f>
        <v>0</v>
      </c>
      <c r="J1130" s="7">
        <f>tbl_Ventes[[#This Row],[CA ligne]] - tbl_Ventes[[#This Row],[Coût matière ligne]]</f>
        <v>0</v>
      </c>
      <c r="K1130" s="7" t="str">
        <f>IFERROR(INDEX(tbl_ProduitsRef[Famille], MATCH(tbl_Ventes[[#This Row],[Cde_Prdt]], tbl_Produits[Cde_Prdt], 0)), "")</f>
        <v/>
      </c>
    </row>
    <row r="1131" spans="1:11" x14ac:dyDescent="0.25">
      <c r="A1131" s="5"/>
      <c r="B1131" s="63" t="str">
        <f>IFERROR(TEXT(tbl_Ventes[[#This Row],[Date]],"mm-aaaa"),"")</f>
        <v>01-1900</v>
      </c>
      <c r="D1131" s="10" t="str">
        <f>IFERROR(
   INDEX(tbl_ProduitsRef[Cde_Prdt],MATCH(tbl_Ventes[[#This Row],[Produit]],tbl_ProduitsRef[Produit],0)),
   ""
)</f>
        <v/>
      </c>
      <c r="E1131" s="7">
        <v>0</v>
      </c>
      <c r="F1131" s="7" t="str">
        <f>IFERROR(
   INDEX(tbl_ProduitsRef[Prix Menu],MATCH(tbl_Ventes[[#This Row],[Produit]],tbl_ProduitsRef[Produit],0)),
   ""
)</f>
        <v/>
      </c>
      <c r="G1131" s="7">
        <f>tbl_Ventes[[#This Row],[Qté Vendue]] * IFERROR(_xlfn.XLOOKUP(tbl_Ventes[[#This Row],[Cde_Prdt]], tbl_Produits[Cde_Prdt], tbl_Produits[Prix Menu]), 0)</f>
        <v>0</v>
      </c>
      <c r="H1131" s="7">
        <f>IFERROR(_xlfn.XLOOKUP(tbl_Ventes[[#This Row],[Cde_Prdt]], tbl_Produits[Cde_Prdt], tbl_Produits[Coût Moyen Portion]), 0)</f>
        <v>0</v>
      </c>
      <c r="I1131" s="7">
        <f>tbl_Ventes[[#This Row],[Qté Vendue]] * tbl_Ventes[[#This Row],[CMP_par_portion]]</f>
        <v>0</v>
      </c>
      <c r="J1131" s="7">
        <f>tbl_Ventes[[#This Row],[CA ligne]] - tbl_Ventes[[#This Row],[Coût matière ligne]]</f>
        <v>0</v>
      </c>
      <c r="K1131" s="7" t="str">
        <f>IFERROR(INDEX(tbl_ProduitsRef[Famille], MATCH(tbl_Ventes[[#This Row],[Cde_Prdt]], tbl_Produits[Cde_Prdt], 0)), "")</f>
        <v/>
      </c>
    </row>
    <row r="1132" spans="1:11" x14ac:dyDescent="0.25">
      <c r="A1132" s="5"/>
      <c r="B1132" s="63" t="str">
        <f>IFERROR(TEXT(tbl_Ventes[[#This Row],[Date]],"mm-aaaa"),"")</f>
        <v>01-1900</v>
      </c>
      <c r="D1132" s="10" t="str">
        <f>IFERROR(
   INDEX(tbl_ProduitsRef[Cde_Prdt],MATCH(tbl_Ventes[[#This Row],[Produit]],tbl_ProduitsRef[Produit],0)),
   ""
)</f>
        <v/>
      </c>
      <c r="E1132" s="7">
        <v>0</v>
      </c>
      <c r="F1132" s="7" t="str">
        <f>IFERROR(
   INDEX(tbl_ProduitsRef[Prix Menu],MATCH(tbl_Ventes[[#This Row],[Produit]],tbl_ProduitsRef[Produit],0)),
   ""
)</f>
        <v/>
      </c>
      <c r="G1132" s="7">
        <f>tbl_Ventes[[#This Row],[Qté Vendue]] * IFERROR(_xlfn.XLOOKUP(tbl_Ventes[[#This Row],[Cde_Prdt]], tbl_Produits[Cde_Prdt], tbl_Produits[Prix Menu]), 0)</f>
        <v>0</v>
      </c>
      <c r="H1132" s="7">
        <f>IFERROR(_xlfn.XLOOKUP(tbl_Ventes[[#This Row],[Cde_Prdt]], tbl_Produits[Cde_Prdt], tbl_Produits[Coût Moyen Portion]), 0)</f>
        <v>0</v>
      </c>
      <c r="I1132" s="7">
        <f>tbl_Ventes[[#This Row],[Qté Vendue]] * tbl_Ventes[[#This Row],[CMP_par_portion]]</f>
        <v>0</v>
      </c>
      <c r="J1132" s="7">
        <f>tbl_Ventes[[#This Row],[CA ligne]] - tbl_Ventes[[#This Row],[Coût matière ligne]]</f>
        <v>0</v>
      </c>
      <c r="K1132" s="7" t="str">
        <f>IFERROR(INDEX(tbl_ProduitsRef[Famille], MATCH(tbl_Ventes[[#This Row],[Cde_Prdt]], tbl_Produits[Cde_Prdt], 0)), "")</f>
        <v/>
      </c>
    </row>
    <row r="1133" spans="1:11" x14ac:dyDescent="0.25">
      <c r="A1133" s="5"/>
      <c r="B1133" s="63" t="str">
        <f>IFERROR(TEXT(tbl_Ventes[[#This Row],[Date]],"mm-aaaa"),"")</f>
        <v>01-1900</v>
      </c>
      <c r="D1133" s="10" t="str">
        <f>IFERROR(
   INDEX(tbl_ProduitsRef[Cde_Prdt],MATCH(tbl_Ventes[[#This Row],[Produit]],tbl_ProduitsRef[Produit],0)),
   ""
)</f>
        <v/>
      </c>
      <c r="E1133" s="7">
        <v>0</v>
      </c>
      <c r="F1133" s="7" t="str">
        <f>IFERROR(
   INDEX(tbl_ProduitsRef[Prix Menu],MATCH(tbl_Ventes[[#This Row],[Produit]],tbl_ProduitsRef[Produit],0)),
   ""
)</f>
        <v/>
      </c>
      <c r="G1133" s="7">
        <f>tbl_Ventes[[#This Row],[Qté Vendue]] * IFERROR(_xlfn.XLOOKUP(tbl_Ventes[[#This Row],[Cde_Prdt]], tbl_Produits[Cde_Prdt], tbl_Produits[Prix Menu]), 0)</f>
        <v>0</v>
      </c>
      <c r="H1133" s="7">
        <f>IFERROR(_xlfn.XLOOKUP(tbl_Ventes[[#This Row],[Cde_Prdt]], tbl_Produits[Cde_Prdt], tbl_Produits[Coût Moyen Portion]), 0)</f>
        <v>0</v>
      </c>
      <c r="I1133" s="7">
        <f>tbl_Ventes[[#This Row],[Qté Vendue]] * tbl_Ventes[[#This Row],[CMP_par_portion]]</f>
        <v>0</v>
      </c>
      <c r="J1133" s="7">
        <f>tbl_Ventes[[#This Row],[CA ligne]] - tbl_Ventes[[#This Row],[Coût matière ligne]]</f>
        <v>0</v>
      </c>
      <c r="K1133" s="7" t="str">
        <f>IFERROR(INDEX(tbl_ProduitsRef[Famille], MATCH(tbl_Ventes[[#This Row],[Cde_Prdt]], tbl_Produits[Cde_Prdt], 0)), "")</f>
        <v/>
      </c>
    </row>
    <row r="1134" spans="1:11" x14ac:dyDescent="0.25">
      <c r="A1134" s="5"/>
      <c r="B1134" s="63" t="str">
        <f>IFERROR(TEXT(tbl_Ventes[[#This Row],[Date]],"mm-aaaa"),"")</f>
        <v>01-1900</v>
      </c>
      <c r="D1134" s="10" t="str">
        <f>IFERROR(
   INDEX(tbl_ProduitsRef[Cde_Prdt],MATCH(tbl_Ventes[[#This Row],[Produit]],tbl_ProduitsRef[Produit],0)),
   ""
)</f>
        <v/>
      </c>
      <c r="E1134" s="7">
        <v>0</v>
      </c>
      <c r="F1134" s="7" t="str">
        <f>IFERROR(
   INDEX(tbl_ProduitsRef[Prix Menu],MATCH(tbl_Ventes[[#This Row],[Produit]],tbl_ProduitsRef[Produit],0)),
   ""
)</f>
        <v/>
      </c>
      <c r="G1134" s="7">
        <f>tbl_Ventes[[#This Row],[Qté Vendue]] * IFERROR(_xlfn.XLOOKUP(tbl_Ventes[[#This Row],[Cde_Prdt]], tbl_Produits[Cde_Prdt], tbl_Produits[Prix Menu]), 0)</f>
        <v>0</v>
      </c>
      <c r="H1134" s="7">
        <f>IFERROR(_xlfn.XLOOKUP(tbl_Ventes[[#This Row],[Cde_Prdt]], tbl_Produits[Cde_Prdt], tbl_Produits[Coût Moyen Portion]), 0)</f>
        <v>0</v>
      </c>
      <c r="I1134" s="7">
        <f>tbl_Ventes[[#This Row],[Qté Vendue]] * tbl_Ventes[[#This Row],[CMP_par_portion]]</f>
        <v>0</v>
      </c>
      <c r="J1134" s="7">
        <f>tbl_Ventes[[#This Row],[CA ligne]] - tbl_Ventes[[#This Row],[Coût matière ligne]]</f>
        <v>0</v>
      </c>
      <c r="K1134" s="7" t="str">
        <f>IFERROR(INDEX(tbl_ProduitsRef[Famille], MATCH(tbl_Ventes[[#This Row],[Cde_Prdt]], tbl_Produits[Cde_Prdt], 0)), "")</f>
        <v/>
      </c>
    </row>
    <row r="1135" spans="1:11" x14ac:dyDescent="0.25">
      <c r="A1135" s="5"/>
      <c r="B1135" s="63" t="str">
        <f>IFERROR(TEXT(tbl_Ventes[[#This Row],[Date]],"mm-aaaa"),"")</f>
        <v>01-1900</v>
      </c>
      <c r="D1135" s="10" t="str">
        <f>IFERROR(
   INDEX(tbl_ProduitsRef[Cde_Prdt],MATCH(tbl_Ventes[[#This Row],[Produit]],tbl_ProduitsRef[Produit],0)),
   ""
)</f>
        <v/>
      </c>
      <c r="E1135" s="7">
        <v>0</v>
      </c>
      <c r="F1135" s="7" t="str">
        <f>IFERROR(
   INDEX(tbl_ProduitsRef[Prix Menu],MATCH(tbl_Ventes[[#This Row],[Produit]],tbl_ProduitsRef[Produit],0)),
   ""
)</f>
        <v/>
      </c>
      <c r="G1135" s="7">
        <f>tbl_Ventes[[#This Row],[Qté Vendue]] * IFERROR(_xlfn.XLOOKUP(tbl_Ventes[[#This Row],[Cde_Prdt]], tbl_Produits[Cde_Prdt], tbl_Produits[Prix Menu]), 0)</f>
        <v>0</v>
      </c>
      <c r="H1135" s="7">
        <f>IFERROR(_xlfn.XLOOKUP(tbl_Ventes[[#This Row],[Cde_Prdt]], tbl_Produits[Cde_Prdt], tbl_Produits[Coût Moyen Portion]), 0)</f>
        <v>0</v>
      </c>
      <c r="I1135" s="7">
        <f>tbl_Ventes[[#This Row],[Qté Vendue]] * tbl_Ventes[[#This Row],[CMP_par_portion]]</f>
        <v>0</v>
      </c>
      <c r="J1135" s="7">
        <f>tbl_Ventes[[#This Row],[CA ligne]] - tbl_Ventes[[#This Row],[Coût matière ligne]]</f>
        <v>0</v>
      </c>
      <c r="K1135" s="7" t="str">
        <f>IFERROR(INDEX(tbl_ProduitsRef[Famille], MATCH(tbl_Ventes[[#This Row],[Cde_Prdt]], tbl_Produits[Cde_Prdt], 0)), "")</f>
        <v/>
      </c>
    </row>
    <row r="1136" spans="1:11" x14ac:dyDescent="0.25">
      <c r="A1136" s="5"/>
      <c r="B1136" s="63" t="str">
        <f>IFERROR(TEXT(tbl_Ventes[[#This Row],[Date]],"mm-aaaa"),"")</f>
        <v>01-1900</v>
      </c>
      <c r="D1136" s="10" t="str">
        <f>IFERROR(
   INDEX(tbl_ProduitsRef[Cde_Prdt],MATCH(tbl_Ventes[[#This Row],[Produit]],tbl_ProduitsRef[Produit],0)),
   ""
)</f>
        <v/>
      </c>
      <c r="E1136" s="7">
        <v>0</v>
      </c>
      <c r="F1136" s="7" t="str">
        <f>IFERROR(
   INDEX(tbl_ProduitsRef[Prix Menu],MATCH(tbl_Ventes[[#This Row],[Produit]],tbl_ProduitsRef[Produit],0)),
   ""
)</f>
        <v/>
      </c>
      <c r="G1136" s="7">
        <f>tbl_Ventes[[#This Row],[Qté Vendue]] * IFERROR(_xlfn.XLOOKUP(tbl_Ventes[[#This Row],[Cde_Prdt]], tbl_Produits[Cde_Prdt], tbl_Produits[Prix Menu]), 0)</f>
        <v>0</v>
      </c>
      <c r="H1136" s="7">
        <f>IFERROR(_xlfn.XLOOKUP(tbl_Ventes[[#This Row],[Cde_Prdt]], tbl_Produits[Cde_Prdt], tbl_Produits[Coût Moyen Portion]), 0)</f>
        <v>0</v>
      </c>
      <c r="I1136" s="7">
        <f>tbl_Ventes[[#This Row],[Qté Vendue]] * tbl_Ventes[[#This Row],[CMP_par_portion]]</f>
        <v>0</v>
      </c>
      <c r="J1136" s="7">
        <f>tbl_Ventes[[#This Row],[CA ligne]] - tbl_Ventes[[#This Row],[Coût matière ligne]]</f>
        <v>0</v>
      </c>
      <c r="K1136" s="7" t="str">
        <f>IFERROR(INDEX(tbl_ProduitsRef[Famille], MATCH(tbl_Ventes[[#This Row],[Cde_Prdt]], tbl_Produits[Cde_Prdt], 0)), "")</f>
        <v/>
      </c>
    </row>
    <row r="1137" spans="1:11" x14ac:dyDescent="0.25">
      <c r="A1137" s="5"/>
      <c r="B1137" s="63" t="str">
        <f>IFERROR(TEXT(tbl_Ventes[[#This Row],[Date]],"mm-aaaa"),"")</f>
        <v>01-1900</v>
      </c>
      <c r="D1137" s="10" t="str">
        <f>IFERROR(
   INDEX(tbl_ProduitsRef[Cde_Prdt],MATCH(tbl_Ventes[[#This Row],[Produit]],tbl_ProduitsRef[Produit],0)),
   ""
)</f>
        <v/>
      </c>
      <c r="E1137" s="7">
        <v>0</v>
      </c>
      <c r="F1137" s="7" t="str">
        <f>IFERROR(
   INDEX(tbl_ProduitsRef[Prix Menu],MATCH(tbl_Ventes[[#This Row],[Produit]],tbl_ProduitsRef[Produit],0)),
   ""
)</f>
        <v/>
      </c>
      <c r="G1137" s="7">
        <f>tbl_Ventes[[#This Row],[Qté Vendue]] * IFERROR(_xlfn.XLOOKUP(tbl_Ventes[[#This Row],[Cde_Prdt]], tbl_Produits[Cde_Prdt], tbl_Produits[Prix Menu]), 0)</f>
        <v>0</v>
      </c>
      <c r="H1137" s="7">
        <f>IFERROR(_xlfn.XLOOKUP(tbl_Ventes[[#This Row],[Cde_Prdt]], tbl_Produits[Cde_Prdt], tbl_Produits[Coût Moyen Portion]), 0)</f>
        <v>0</v>
      </c>
      <c r="I1137" s="7">
        <f>tbl_Ventes[[#This Row],[Qté Vendue]] * tbl_Ventes[[#This Row],[CMP_par_portion]]</f>
        <v>0</v>
      </c>
      <c r="J1137" s="7">
        <f>tbl_Ventes[[#This Row],[CA ligne]] - tbl_Ventes[[#This Row],[Coût matière ligne]]</f>
        <v>0</v>
      </c>
      <c r="K1137" s="7" t="str">
        <f>IFERROR(INDEX(tbl_ProduitsRef[Famille], MATCH(tbl_Ventes[[#This Row],[Cde_Prdt]], tbl_Produits[Cde_Prdt], 0)), "")</f>
        <v/>
      </c>
    </row>
    <row r="1138" spans="1:11" x14ac:dyDescent="0.25">
      <c r="A1138" s="5"/>
      <c r="B1138" s="63" t="str">
        <f>IFERROR(TEXT(tbl_Ventes[[#This Row],[Date]],"mm-aaaa"),"")</f>
        <v>01-1900</v>
      </c>
      <c r="D1138" s="10" t="str">
        <f>IFERROR(
   INDEX(tbl_ProduitsRef[Cde_Prdt],MATCH(tbl_Ventes[[#This Row],[Produit]],tbl_ProduitsRef[Produit],0)),
   ""
)</f>
        <v/>
      </c>
      <c r="E1138" s="7">
        <v>0</v>
      </c>
      <c r="F1138" s="7" t="str">
        <f>IFERROR(
   INDEX(tbl_ProduitsRef[Prix Menu],MATCH(tbl_Ventes[[#This Row],[Produit]],tbl_ProduitsRef[Produit],0)),
   ""
)</f>
        <v/>
      </c>
      <c r="G1138" s="7">
        <f>tbl_Ventes[[#This Row],[Qté Vendue]] * IFERROR(_xlfn.XLOOKUP(tbl_Ventes[[#This Row],[Cde_Prdt]], tbl_Produits[Cde_Prdt], tbl_Produits[Prix Menu]), 0)</f>
        <v>0</v>
      </c>
      <c r="H1138" s="7">
        <f>IFERROR(_xlfn.XLOOKUP(tbl_Ventes[[#This Row],[Cde_Prdt]], tbl_Produits[Cde_Prdt], tbl_Produits[Coût Moyen Portion]), 0)</f>
        <v>0</v>
      </c>
      <c r="I1138" s="7">
        <f>tbl_Ventes[[#This Row],[Qté Vendue]] * tbl_Ventes[[#This Row],[CMP_par_portion]]</f>
        <v>0</v>
      </c>
      <c r="J1138" s="7">
        <f>tbl_Ventes[[#This Row],[CA ligne]] - tbl_Ventes[[#This Row],[Coût matière ligne]]</f>
        <v>0</v>
      </c>
      <c r="K1138" s="7" t="str">
        <f>IFERROR(INDEX(tbl_ProduitsRef[Famille], MATCH(tbl_Ventes[[#This Row],[Cde_Prdt]], tbl_Produits[Cde_Prdt], 0)), "")</f>
        <v/>
      </c>
    </row>
    <row r="1139" spans="1:11" x14ac:dyDescent="0.25">
      <c r="A1139" s="5"/>
      <c r="B1139" s="63" t="str">
        <f>IFERROR(TEXT(tbl_Ventes[[#This Row],[Date]],"mm-aaaa"),"")</f>
        <v>01-1900</v>
      </c>
      <c r="D1139" s="10" t="str">
        <f>IFERROR(
   INDEX(tbl_ProduitsRef[Cde_Prdt],MATCH(tbl_Ventes[[#This Row],[Produit]],tbl_ProduitsRef[Produit],0)),
   ""
)</f>
        <v/>
      </c>
      <c r="E1139" s="7">
        <v>0</v>
      </c>
      <c r="F1139" s="7" t="str">
        <f>IFERROR(
   INDEX(tbl_ProduitsRef[Prix Menu],MATCH(tbl_Ventes[[#This Row],[Produit]],tbl_ProduitsRef[Produit],0)),
   ""
)</f>
        <v/>
      </c>
      <c r="G1139" s="7">
        <f>tbl_Ventes[[#This Row],[Qté Vendue]] * IFERROR(_xlfn.XLOOKUP(tbl_Ventes[[#This Row],[Cde_Prdt]], tbl_Produits[Cde_Prdt], tbl_Produits[Prix Menu]), 0)</f>
        <v>0</v>
      </c>
      <c r="H1139" s="7">
        <f>IFERROR(_xlfn.XLOOKUP(tbl_Ventes[[#This Row],[Cde_Prdt]], tbl_Produits[Cde_Prdt], tbl_Produits[Coût Moyen Portion]), 0)</f>
        <v>0</v>
      </c>
      <c r="I1139" s="7">
        <f>tbl_Ventes[[#This Row],[Qté Vendue]] * tbl_Ventes[[#This Row],[CMP_par_portion]]</f>
        <v>0</v>
      </c>
      <c r="J1139" s="7">
        <f>tbl_Ventes[[#This Row],[CA ligne]] - tbl_Ventes[[#This Row],[Coût matière ligne]]</f>
        <v>0</v>
      </c>
      <c r="K1139" s="7" t="str">
        <f>IFERROR(INDEX(tbl_ProduitsRef[Famille], MATCH(tbl_Ventes[[#This Row],[Cde_Prdt]], tbl_Produits[Cde_Prdt], 0)), "")</f>
        <v/>
      </c>
    </row>
    <row r="1140" spans="1:11" x14ac:dyDescent="0.25">
      <c r="A1140" s="5"/>
      <c r="B1140" s="63" t="str">
        <f>IFERROR(TEXT(tbl_Ventes[[#This Row],[Date]],"mm-aaaa"),"")</f>
        <v>01-1900</v>
      </c>
      <c r="D1140" s="10" t="str">
        <f>IFERROR(
   INDEX(tbl_ProduitsRef[Cde_Prdt],MATCH(tbl_Ventes[[#This Row],[Produit]],tbl_ProduitsRef[Produit],0)),
   ""
)</f>
        <v/>
      </c>
      <c r="E1140" s="7">
        <v>0</v>
      </c>
      <c r="F1140" s="7" t="str">
        <f>IFERROR(
   INDEX(tbl_ProduitsRef[Prix Menu],MATCH(tbl_Ventes[[#This Row],[Produit]],tbl_ProduitsRef[Produit],0)),
   ""
)</f>
        <v/>
      </c>
      <c r="G1140" s="7">
        <f>tbl_Ventes[[#This Row],[Qté Vendue]] * IFERROR(_xlfn.XLOOKUP(tbl_Ventes[[#This Row],[Cde_Prdt]], tbl_Produits[Cde_Prdt], tbl_Produits[Prix Menu]), 0)</f>
        <v>0</v>
      </c>
      <c r="H1140" s="7">
        <f>IFERROR(_xlfn.XLOOKUP(tbl_Ventes[[#This Row],[Cde_Prdt]], tbl_Produits[Cde_Prdt], tbl_Produits[Coût Moyen Portion]), 0)</f>
        <v>0</v>
      </c>
      <c r="I1140" s="7">
        <f>tbl_Ventes[[#This Row],[Qté Vendue]] * tbl_Ventes[[#This Row],[CMP_par_portion]]</f>
        <v>0</v>
      </c>
      <c r="J1140" s="7">
        <f>tbl_Ventes[[#This Row],[CA ligne]] - tbl_Ventes[[#This Row],[Coût matière ligne]]</f>
        <v>0</v>
      </c>
      <c r="K1140" s="7" t="str">
        <f>IFERROR(INDEX(tbl_ProduitsRef[Famille], MATCH(tbl_Ventes[[#This Row],[Cde_Prdt]], tbl_Produits[Cde_Prdt], 0)), "")</f>
        <v/>
      </c>
    </row>
    <row r="1141" spans="1:11" x14ac:dyDescent="0.25">
      <c r="A1141" s="5"/>
      <c r="B1141" s="63" t="str">
        <f>IFERROR(TEXT(tbl_Ventes[[#This Row],[Date]],"mm-aaaa"),"")</f>
        <v>01-1900</v>
      </c>
      <c r="D1141" s="10" t="str">
        <f>IFERROR(
   INDEX(tbl_ProduitsRef[Cde_Prdt],MATCH(tbl_Ventes[[#This Row],[Produit]],tbl_ProduitsRef[Produit],0)),
   ""
)</f>
        <v/>
      </c>
      <c r="E1141" s="7">
        <v>0</v>
      </c>
      <c r="F1141" s="7" t="str">
        <f>IFERROR(
   INDEX(tbl_ProduitsRef[Prix Menu],MATCH(tbl_Ventes[[#This Row],[Produit]],tbl_ProduitsRef[Produit],0)),
   ""
)</f>
        <v/>
      </c>
      <c r="G1141" s="7">
        <f>tbl_Ventes[[#This Row],[Qté Vendue]] * IFERROR(_xlfn.XLOOKUP(tbl_Ventes[[#This Row],[Cde_Prdt]], tbl_Produits[Cde_Prdt], tbl_Produits[Prix Menu]), 0)</f>
        <v>0</v>
      </c>
      <c r="H1141" s="7">
        <f>IFERROR(_xlfn.XLOOKUP(tbl_Ventes[[#This Row],[Cde_Prdt]], tbl_Produits[Cde_Prdt], tbl_Produits[Coût Moyen Portion]), 0)</f>
        <v>0</v>
      </c>
      <c r="I1141" s="7">
        <f>tbl_Ventes[[#This Row],[Qté Vendue]] * tbl_Ventes[[#This Row],[CMP_par_portion]]</f>
        <v>0</v>
      </c>
      <c r="J1141" s="7">
        <f>tbl_Ventes[[#This Row],[CA ligne]] - tbl_Ventes[[#This Row],[Coût matière ligne]]</f>
        <v>0</v>
      </c>
      <c r="K1141" s="7" t="str">
        <f>IFERROR(INDEX(tbl_ProduitsRef[Famille], MATCH(tbl_Ventes[[#This Row],[Cde_Prdt]], tbl_Produits[Cde_Prdt], 0)), "")</f>
        <v/>
      </c>
    </row>
    <row r="1142" spans="1:11" x14ac:dyDescent="0.25">
      <c r="A1142" s="5"/>
      <c r="B1142" s="63" t="str">
        <f>IFERROR(TEXT(tbl_Ventes[[#This Row],[Date]],"mm-aaaa"),"")</f>
        <v>01-1900</v>
      </c>
      <c r="D1142" s="10" t="str">
        <f>IFERROR(
   INDEX(tbl_ProduitsRef[Cde_Prdt],MATCH(tbl_Ventes[[#This Row],[Produit]],tbl_ProduitsRef[Produit],0)),
   ""
)</f>
        <v/>
      </c>
      <c r="E1142" s="7">
        <v>0</v>
      </c>
      <c r="F1142" s="7" t="str">
        <f>IFERROR(
   INDEX(tbl_ProduitsRef[Prix Menu],MATCH(tbl_Ventes[[#This Row],[Produit]],tbl_ProduitsRef[Produit],0)),
   ""
)</f>
        <v/>
      </c>
      <c r="G1142" s="7">
        <f>tbl_Ventes[[#This Row],[Qté Vendue]] * IFERROR(_xlfn.XLOOKUP(tbl_Ventes[[#This Row],[Cde_Prdt]], tbl_Produits[Cde_Prdt], tbl_Produits[Prix Menu]), 0)</f>
        <v>0</v>
      </c>
      <c r="H1142" s="7">
        <f>IFERROR(_xlfn.XLOOKUP(tbl_Ventes[[#This Row],[Cde_Prdt]], tbl_Produits[Cde_Prdt], tbl_Produits[Coût Moyen Portion]), 0)</f>
        <v>0</v>
      </c>
      <c r="I1142" s="7">
        <f>tbl_Ventes[[#This Row],[Qté Vendue]] * tbl_Ventes[[#This Row],[CMP_par_portion]]</f>
        <v>0</v>
      </c>
      <c r="J1142" s="7">
        <f>tbl_Ventes[[#This Row],[CA ligne]] - tbl_Ventes[[#This Row],[Coût matière ligne]]</f>
        <v>0</v>
      </c>
      <c r="K1142" s="7" t="str">
        <f>IFERROR(INDEX(tbl_ProduitsRef[Famille], MATCH(tbl_Ventes[[#This Row],[Cde_Prdt]], tbl_Produits[Cde_Prdt], 0)), "")</f>
        <v/>
      </c>
    </row>
    <row r="1143" spans="1:11" x14ac:dyDescent="0.25">
      <c r="A1143" s="5"/>
      <c r="B1143" s="63" t="str">
        <f>IFERROR(TEXT(tbl_Ventes[[#This Row],[Date]],"mm-aaaa"),"")</f>
        <v>01-1900</v>
      </c>
      <c r="D1143" s="10" t="str">
        <f>IFERROR(
   INDEX(tbl_ProduitsRef[Cde_Prdt],MATCH(tbl_Ventes[[#This Row],[Produit]],tbl_ProduitsRef[Produit],0)),
   ""
)</f>
        <v/>
      </c>
      <c r="E1143" s="7">
        <v>0</v>
      </c>
      <c r="F1143" s="7" t="str">
        <f>IFERROR(
   INDEX(tbl_ProduitsRef[Prix Menu],MATCH(tbl_Ventes[[#This Row],[Produit]],tbl_ProduitsRef[Produit],0)),
   ""
)</f>
        <v/>
      </c>
      <c r="G1143" s="7">
        <f>tbl_Ventes[[#This Row],[Qté Vendue]] * IFERROR(_xlfn.XLOOKUP(tbl_Ventes[[#This Row],[Cde_Prdt]], tbl_Produits[Cde_Prdt], tbl_Produits[Prix Menu]), 0)</f>
        <v>0</v>
      </c>
      <c r="H1143" s="7">
        <f>IFERROR(_xlfn.XLOOKUP(tbl_Ventes[[#This Row],[Cde_Prdt]], tbl_Produits[Cde_Prdt], tbl_Produits[Coût Moyen Portion]), 0)</f>
        <v>0</v>
      </c>
      <c r="I1143" s="7">
        <f>tbl_Ventes[[#This Row],[Qté Vendue]] * tbl_Ventes[[#This Row],[CMP_par_portion]]</f>
        <v>0</v>
      </c>
      <c r="J1143" s="7">
        <f>tbl_Ventes[[#This Row],[CA ligne]] - tbl_Ventes[[#This Row],[Coût matière ligne]]</f>
        <v>0</v>
      </c>
      <c r="K1143" s="7" t="str">
        <f>IFERROR(INDEX(tbl_ProduitsRef[Famille], MATCH(tbl_Ventes[[#This Row],[Cde_Prdt]], tbl_Produits[Cde_Prdt], 0)), "")</f>
        <v/>
      </c>
    </row>
    <row r="1144" spans="1:11" x14ac:dyDescent="0.25">
      <c r="A1144" s="5"/>
      <c r="B1144" s="63" t="str">
        <f>IFERROR(TEXT(tbl_Ventes[[#This Row],[Date]],"mm-aaaa"),"")</f>
        <v>01-1900</v>
      </c>
      <c r="D1144" s="10" t="str">
        <f>IFERROR(
   INDEX(tbl_ProduitsRef[Cde_Prdt],MATCH(tbl_Ventes[[#This Row],[Produit]],tbl_ProduitsRef[Produit],0)),
   ""
)</f>
        <v/>
      </c>
      <c r="E1144" s="7">
        <v>0</v>
      </c>
      <c r="F1144" s="7" t="str">
        <f>IFERROR(
   INDEX(tbl_ProduitsRef[Prix Menu],MATCH(tbl_Ventes[[#This Row],[Produit]],tbl_ProduitsRef[Produit],0)),
   ""
)</f>
        <v/>
      </c>
      <c r="G1144" s="7">
        <f>tbl_Ventes[[#This Row],[Qté Vendue]] * IFERROR(_xlfn.XLOOKUP(tbl_Ventes[[#This Row],[Cde_Prdt]], tbl_Produits[Cde_Prdt], tbl_Produits[Prix Menu]), 0)</f>
        <v>0</v>
      </c>
      <c r="H1144" s="7">
        <f>IFERROR(_xlfn.XLOOKUP(tbl_Ventes[[#This Row],[Cde_Prdt]], tbl_Produits[Cde_Prdt], tbl_Produits[Coût Moyen Portion]), 0)</f>
        <v>0</v>
      </c>
      <c r="I1144" s="7">
        <f>tbl_Ventes[[#This Row],[Qté Vendue]] * tbl_Ventes[[#This Row],[CMP_par_portion]]</f>
        <v>0</v>
      </c>
      <c r="J1144" s="7">
        <f>tbl_Ventes[[#This Row],[CA ligne]] - tbl_Ventes[[#This Row],[Coût matière ligne]]</f>
        <v>0</v>
      </c>
      <c r="K1144" s="7" t="str">
        <f>IFERROR(INDEX(tbl_ProduitsRef[Famille], MATCH(tbl_Ventes[[#This Row],[Cde_Prdt]], tbl_Produits[Cde_Prdt], 0)), "")</f>
        <v/>
      </c>
    </row>
    <row r="1145" spans="1:11" x14ac:dyDescent="0.25">
      <c r="A1145" s="5"/>
      <c r="B1145" s="63" t="str">
        <f>IFERROR(TEXT(tbl_Ventes[[#This Row],[Date]],"mm-aaaa"),"")</f>
        <v>01-1900</v>
      </c>
      <c r="D1145" s="10" t="str">
        <f>IFERROR(
   INDEX(tbl_ProduitsRef[Cde_Prdt],MATCH(tbl_Ventes[[#This Row],[Produit]],tbl_ProduitsRef[Produit],0)),
   ""
)</f>
        <v/>
      </c>
      <c r="E1145" s="7">
        <v>0</v>
      </c>
      <c r="F1145" s="7" t="str">
        <f>IFERROR(
   INDEX(tbl_ProduitsRef[Prix Menu],MATCH(tbl_Ventes[[#This Row],[Produit]],tbl_ProduitsRef[Produit],0)),
   ""
)</f>
        <v/>
      </c>
      <c r="G1145" s="7">
        <f>tbl_Ventes[[#This Row],[Qté Vendue]] * IFERROR(_xlfn.XLOOKUP(tbl_Ventes[[#This Row],[Cde_Prdt]], tbl_Produits[Cde_Prdt], tbl_Produits[Prix Menu]), 0)</f>
        <v>0</v>
      </c>
      <c r="H1145" s="7">
        <f>IFERROR(_xlfn.XLOOKUP(tbl_Ventes[[#This Row],[Cde_Prdt]], tbl_Produits[Cde_Prdt], tbl_Produits[Coût Moyen Portion]), 0)</f>
        <v>0</v>
      </c>
      <c r="I1145" s="7">
        <f>tbl_Ventes[[#This Row],[Qté Vendue]] * tbl_Ventes[[#This Row],[CMP_par_portion]]</f>
        <v>0</v>
      </c>
      <c r="J1145" s="7">
        <f>tbl_Ventes[[#This Row],[CA ligne]] - tbl_Ventes[[#This Row],[Coût matière ligne]]</f>
        <v>0</v>
      </c>
      <c r="K1145" s="7" t="str">
        <f>IFERROR(INDEX(tbl_ProduitsRef[Famille], MATCH(tbl_Ventes[[#This Row],[Cde_Prdt]], tbl_Produits[Cde_Prdt], 0)), "")</f>
        <v/>
      </c>
    </row>
    <row r="1146" spans="1:11" x14ac:dyDescent="0.25">
      <c r="A1146" s="5"/>
      <c r="B1146" s="63" t="str">
        <f>IFERROR(TEXT(tbl_Ventes[[#This Row],[Date]],"mm-aaaa"),"")</f>
        <v>01-1900</v>
      </c>
      <c r="D1146" s="10" t="str">
        <f>IFERROR(
   INDEX(tbl_ProduitsRef[Cde_Prdt],MATCH(tbl_Ventes[[#This Row],[Produit]],tbl_ProduitsRef[Produit],0)),
   ""
)</f>
        <v/>
      </c>
      <c r="E1146" s="7">
        <v>0</v>
      </c>
      <c r="F1146" s="7" t="str">
        <f>IFERROR(
   INDEX(tbl_ProduitsRef[Prix Menu],MATCH(tbl_Ventes[[#This Row],[Produit]],tbl_ProduitsRef[Produit],0)),
   ""
)</f>
        <v/>
      </c>
      <c r="G1146" s="7">
        <f>tbl_Ventes[[#This Row],[Qté Vendue]] * IFERROR(_xlfn.XLOOKUP(tbl_Ventes[[#This Row],[Cde_Prdt]], tbl_Produits[Cde_Prdt], tbl_Produits[Prix Menu]), 0)</f>
        <v>0</v>
      </c>
      <c r="H1146" s="7">
        <f>IFERROR(_xlfn.XLOOKUP(tbl_Ventes[[#This Row],[Cde_Prdt]], tbl_Produits[Cde_Prdt], tbl_Produits[Coût Moyen Portion]), 0)</f>
        <v>0</v>
      </c>
      <c r="I1146" s="7">
        <f>tbl_Ventes[[#This Row],[Qté Vendue]] * tbl_Ventes[[#This Row],[CMP_par_portion]]</f>
        <v>0</v>
      </c>
      <c r="J1146" s="7">
        <f>tbl_Ventes[[#This Row],[CA ligne]] - tbl_Ventes[[#This Row],[Coût matière ligne]]</f>
        <v>0</v>
      </c>
      <c r="K1146" s="7" t="str">
        <f>IFERROR(INDEX(tbl_ProduitsRef[Famille], MATCH(tbl_Ventes[[#This Row],[Cde_Prdt]], tbl_Produits[Cde_Prdt], 0)), "")</f>
        <v/>
      </c>
    </row>
    <row r="1147" spans="1:11" x14ac:dyDescent="0.25">
      <c r="A1147" s="5"/>
      <c r="B1147" s="63" t="str">
        <f>IFERROR(TEXT(tbl_Ventes[[#This Row],[Date]],"mm-aaaa"),"")</f>
        <v>01-1900</v>
      </c>
      <c r="D1147" s="10" t="str">
        <f>IFERROR(
   INDEX(tbl_ProduitsRef[Cde_Prdt],MATCH(tbl_Ventes[[#This Row],[Produit]],tbl_ProduitsRef[Produit],0)),
   ""
)</f>
        <v/>
      </c>
      <c r="E1147" s="7">
        <v>0</v>
      </c>
      <c r="F1147" s="7" t="str">
        <f>IFERROR(
   INDEX(tbl_ProduitsRef[Prix Menu],MATCH(tbl_Ventes[[#This Row],[Produit]],tbl_ProduitsRef[Produit],0)),
   ""
)</f>
        <v/>
      </c>
      <c r="G1147" s="7">
        <f>tbl_Ventes[[#This Row],[Qté Vendue]] * IFERROR(_xlfn.XLOOKUP(tbl_Ventes[[#This Row],[Cde_Prdt]], tbl_Produits[Cde_Prdt], tbl_Produits[Prix Menu]), 0)</f>
        <v>0</v>
      </c>
      <c r="H1147" s="7">
        <f>IFERROR(_xlfn.XLOOKUP(tbl_Ventes[[#This Row],[Cde_Prdt]], tbl_Produits[Cde_Prdt], tbl_Produits[Coût Moyen Portion]), 0)</f>
        <v>0</v>
      </c>
      <c r="I1147" s="7">
        <f>tbl_Ventes[[#This Row],[Qté Vendue]] * tbl_Ventes[[#This Row],[CMP_par_portion]]</f>
        <v>0</v>
      </c>
      <c r="J1147" s="7">
        <f>tbl_Ventes[[#This Row],[CA ligne]] - tbl_Ventes[[#This Row],[Coût matière ligne]]</f>
        <v>0</v>
      </c>
      <c r="K1147" s="7" t="str">
        <f>IFERROR(INDEX(tbl_ProduitsRef[Famille], MATCH(tbl_Ventes[[#This Row],[Cde_Prdt]], tbl_Produits[Cde_Prdt], 0)), "")</f>
        <v/>
      </c>
    </row>
    <row r="1148" spans="1:11" x14ac:dyDescent="0.25">
      <c r="A1148" s="5"/>
      <c r="B1148" s="63" t="str">
        <f>IFERROR(TEXT(tbl_Ventes[[#This Row],[Date]],"mm-aaaa"),"")</f>
        <v>01-1900</v>
      </c>
      <c r="D1148" s="10" t="str">
        <f>IFERROR(
   INDEX(tbl_ProduitsRef[Cde_Prdt],MATCH(tbl_Ventes[[#This Row],[Produit]],tbl_ProduitsRef[Produit],0)),
   ""
)</f>
        <v/>
      </c>
      <c r="E1148" s="7">
        <v>0</v>
      </c>
      <c r="F1148" s="7" t="str">
        <f>IFERROR(
   INDEX(tbl_ProduitsRef[Prix Menu],MATCH(tbl_Ventes[[#This Row],[Produit]],tbl_ProduitsRef[Produit],0)),
   ""
)</f>
        <v/>
      </c>
      <c r="G1148" s="7">
        <f>tbl_Ventes[[#This Row],[Qté Vendue]] * IFERROR(_xlfn.XLOOKUP(tbl_Ventes[[#This Row],[Cde_Prdt]], tbl_Produits[Cde_Prdt], tbl_Produits[Prix Menu]), 0)</f>
        <v>0</v>
      </c>
      <c r="H1148" s="7">
        <f>IFERROR(_xlfn.XLOOKUP(tbl_Ventes[[#This Row],[Cde_Prdt]], tbl_Produits[Cde_Prdt], tbl_Produits[Coût Moyen Portion]), 0)</f>
        <v>0</v>
      </c>
      <c r="I1148" s="7">
        <f>tbl_Ventes[[#This Row],[Qté Vendue]] * tbl_Ventes[[#This Row],[CMP_par_portion]]</f>
        <v>0</v>
      </c>
      <c r="J1148" s="7">
        <f>tbl_Ventes[[#This Row],[CA ligne]] - tbl_Ventes[[#This Row],[Coût matière ligne]]</f>
        <v>0</v>
      </c>
      <c r="K1148" s="7" t="str">
        <f>IFERROR(INDEX(tbl_ProduitsRef[Famille], MATCH(tbl_Ventes[[#This Row],[Cde_Prdt]], tbl_Produits[Cde_Prdt], 0)), "")</f>
        <v/>
      </c>
    </row>
    <row r="1149" spans="1:11" x14ac:dyDescent="0.25">
      <c r="A1149" s="5"/>
      <c r="B1149" s="63" t="str">
        <f>IFERROR(TEXT(tbl_Ventes[[#This Row],[Date]],"mm-aaaa"),"")</f>
        <v>01-1900</v>
      </c>
      <c r="D1149" s="10" t="str">
        <f>IFERROR(
   INDEX(tbl_ProduitsRef[Cde_Prdt],MATCH(tbl_Ventes[[#This Row],[Produit]],tbl_ProduitsRef[Produit],0)),
   ""
)</f>
        <v/>
      </c>
      <c r="E1149" s="7">
        <v>0</v>
      </c>
      <c r="F1149" s="7" t="str">
        <f>IFERROR(
   INDEX(tbl_ProduitsRef[Prix Menu],MATCH(tbl_Ventes[[#This Row],[Produit]],tbl_ProduitsRef[Produit],0)),
   ""
)</f>
        <v/>
      </c>
      <c r="G1149" s="7">
        <f>tbl_Ventes[[#This Row],[Qté Vendue]] * IFERROR(_xlfn.XLOOKUP(tbl_Ventes[[#This Row],[Cde_Prdt]], tbl_Produits[Cde_Prdt], tbl_Produits[Prix Menu]), 0)</f>
        <v>0</v>
      </c>
      <c r="H1149" s="7">
        <f>IFERROR(_xlfn.XLOOKUP(tbl_Ventes[[#This Row],[Cde_Prdt]], tbl_Produits[Cde_Prdt], tbl_Produits[Coût Moyen Portion]), 0)</f>
        <v>0</v>
      </c>
      <c r="I1149" s="7">
        <f>tbl_Ventes[[#This Row],[Qté Vendue]] * tbl_Ventes[[#This Row],[CMP_par_portion]]</f>
        <v>0</v>
      </c>
      <c r="J1149" s="7">
        <f>tbl_Ventes[[#This Row],[CA ligne]] - tbl_Ventes[[#This Row],[Coût matière ligne]]</f>
        <v>0</v>
      </c>
      <c r="K1149" s="7" t="str">
        <f>IFERROR(INDEX(tbl_ProduitsRef[Famille], MATCH(tbl_Ventes[[#This Row],[Cde_Prdt]], tbl_Produits[Cde_Prdt], 0)), "")</f>
        <v/>
      </c>
    </row>
    <row r="1150" spans="1:11" x14ac:dyDescent="0.25">
      <c r="A1150" s="5"/>
      <c r="B1150" s="63" t="str">
        <f>IFERROR(TEXT(tbl_Ventes[[#This Row],[Date]],"mm-aaaa"),"")</f>
        <v>01-1900</v>
      </c>
      <c r="D1150" s="10" t="str">
        <f>IFERROR(
   INDEX(tbl_ProduitsRef[Cde_Prdt],MATCH(tbl_Ventes[[#This Row],[Produit]],tbl_ProduitsRef[Produit],0)),
   ""
)</f>
        <v/>
      </c>
      <c r="E1150" s="7">
        <v>0</v>
      </c>
      <c r="F1150" s="7" t="str">
        <f>IFERROR(
   INDEX(tbl_ProduitsRef[Prix Menu],MATCH(tbl_Ventes[[#This Row],[Produit]],tbl_ProduitsRef[Produit],0)),
   ""
)</f>
        <v/>
      </c>
      <c r="G1150" s="7">
        <f>tbl_Ventes[[#This Row],[Qté Vendue]] * IFERROR(_xlfn.XLOOKUP(tbl_Ventes[[#This Row],[Cde_Prdt]], tbl_Produits[Cde_Prdt], tbl_Produits[Prix Menu]), 0)</f>
        <v>0</v>
      </c>
      <c r="H1150" s="7">
        <f>IFERROR(_xlfn.XLOOKUP(tbl_Ventes[[#This Row],[Cde_Prdt]], tbl_Produits[Cde_Prdt], tbl_Produits[Coût Moyen Portion]), 0)</f>
        <v>0</v>
      </c>
      <c r="I1150" s="7">
        <f>tbl_Ventes[[#This Row],[Qté Vendue]] * tbl_Ventes[[#This Row],[CMP_par_portion]]</f>
        <v>0</v>
      </c>
      <c r="J1150" s="7">
        <f>tbl_Ventes[[#This Row],[CA ligne]] - tbl_Ventes[[#This Row],[Coût matière ligne]]</f>
        <v>0</v>
      </c>
      <c r="K1150" s="7" t="str">
        <f>IFERROR(INDEX(tbl_ProduitsRef[Famille], MATCH(tbl_Ventes[[#This Row],[Cde_Prdt]], tbl_Produits[Cde_Prdt], 0)), "")</f>
        <v/>
      </c>
    </row>
    <row r="1151" spans="1:11" x14ac:dyDescent="0.25">
      <c r="A1151" s="5"/>
      <c r="B1151" s="63" t="str">
        <f>IFERROR(TEXT(tbl_Ventes[[#This Row],[Date]],"mm-aaaa"),"")</f>
        <v>01-1900</v>
      </c>
      <c r="D1151" s="10" t="str">
        <f>IFERROR(
   INDEX(tbl_ProduitsRef[Cde_Prdt],MATCH(tbl_Ventes[[#This Row],[Produit]],tbl_ProduitsRef[Produit],0)),
   ""
)</f>
        <v/>
      </c>
      <c r="E1151" s="7">
        <v>0</v>
      </c>
      <c r="F1151" s="7" t="str">
        <f>IFERROR(
   INDEX(tbl_ProduitsRef[Prix Menu],MATCH(tbl_Ventes[[#This Row],[Produit]],tbl_ProduitsRef[Produit],0)),
   ""
)</f>
        <v/>
      </c>
      <c r="G1151" s="7">
        <f>tbl_Ventes[[#This Row],[Qté Vendue]] * IFERROR(_xlfn.XLOOKUP(tbl_Ventes[[#This Row],[Cde_Prdt]], tbl_Produits[Cde_Prdt], tbl_Produits[Prix Menu]), 0)</f>
        <v>0</v>
      </c>
      <c r="H1151" s="7">
        <f>IFERROR(_xlfn.XLOOKUP(tbl_Ventes[[#This Row],[Cde_Prdt]], tbl_Produits[Cde_Prdt], tbl_Produits[Coût Moyen Portion]), 0)</f>
        <v>0</v>
      </c>
      <c r="I1151" s="7">
        <f>tbl_Ventes[[#This Row],[Qté Vendue]] * tbl_Ventes[[#This Row],[CMP_par_portion]]</f>
        <v>0</v>
      </c>
      <c r="J1151" s="7">
        <f>tbl_Ventes[[#This Row],[CA ligne]] - tbl_Ventes[[#This Row],[Coût matière ligne]]</f>
        <v>0</v>
      </c>
      <c r="K1151" s="7" t="str">
        <f>IFERROR(INDEX(tbl_ProduitsRef[Famille], MATCH(tbl_Ventes[[#This Row],[Cde_Prdt]], tbl_Produits[Cde_Prdt], 0)), "")</f>
        <v/>
      </c>
    </row>
    <row r="1152" spans="1:11" x14ac:dyDescent="0.25">
      <c r="A1152" s="5"/>
      <c r="B1152" s="63" t="str">
        <f>IFERROR(TEXT(tbl_Ventes[[#This Row],[Date]],"mm-aaaa"),"")</f>
        <v>01-1900</v>
      </c>
      <c r="D1152" s="10" t="str">
        <f>IFERROR(
   INDEX(tbl_ProduitsRef[Cde_Prdt],MATCH(tbl_Ventes[[#This Row],[Produit]],tbl_ProduitsRef[Produit],0)),
   ""
)</f>
        <v/>
      </c>
      <c r="E1152" s="7">
        <v>0</v>
      </c>
      <c r="F1152" s="7" t="str">
        <f>IFERROR(
   INDEX(tbl_ProduitsRef[Prix Menu],MATCH(tbl_Ventes[[#This Row],[Produit]],tbl_ProduitsRef[Produit],0)),
   ""
)</f>
        <v/>
      </c>
      <c r="G1152" s="7">
        <f>tbl_Ventes[[#This Row],[Qté Vendue]] * IFERROR(_xlfn.XLOOKUP(tbl_Ventes[[#This Row],[Cde_Prdt]], tbl_Produits[Cde_Prdt], tbl_Produits[Prix Menu]), 0)</f>
        <v>0</v>
      </c>
      <c r="H1152" s="7">
        <f>IFERROR(_xlfn.XLOOKUP(tbl_Ventes[[#This Row],[Cde_Prdt]], tbl_Produits[Cde_Prdt], tbl_Produits[Coût Moyen Portion]), 0)</f>
        <v>0</v>
      </c>
      <c r="I1152" s="7">
        <f>tbl_Ventes[[#This Row],[Qté Vendue]] * tbl_Ventes[[#This Row],[CMP_par_portion]]</f>
        <v>0</v>
      </c>
      <c r="J1152" s="7">
        <f>tbl_Ventes[[#This Row],[CA ligne]] - tbl_Ventes[[#This Row],[Coût matière ligne]]</f>
        <v>0</v>
      </c>
      <c r="K1152" s="7" t="str">
        <f>IFERROR(INDEX(tbl_ProduitsRef[Famille], MATCH(tbl_Ventes[[#This Row],[Cde_Prdt]], tbl_Produits[Cde_Prdt], 0)), "")</f>
        <v/>
      </c>
    </row>
    <row r="1153" spans="1:11" x14ac:dyDescent="0.25">
      <c r="A1153" s="5"/>
      <c r="B1153" s="63" t="str">
        <f>IFERROR(TEXT(tbl_Ventes[[#This Row],[Date]],"mm-aaaa"),"")</f>
        <v>01-1900</v>
      </c>
      <c r="D1153" s="10" t="str">
        <f>IFERROR(
   INDEX(tbl_ProduitsRef[Cde_Prdt],MATCH(tbl_Ventes[[#This Row],[Produit]],tbl_ProduitsRef[Produit],0)),
   ""
)</f>
        <v/>
      </c>
      <c r="E1153" s="7">
        <v>0</v>
      </c>
      <c r="F1153" s="7" t="str">
        <f>IFERROR(
   INDEX(tbl_ProduitsRef[Prix Menu],MATCH(tbl_Ventes[[#This Row],[Produit]],tbl_ProduitsRef[Produit],0)),
   ""
)</f>
        <v/>
      </c>
      <c r="G1153" s="7">
        <f>tbl_Ventes[[#This Row],[Qté Vendue]] * IFERROR(_xlfn.XLOOKUP(tbl_Ventes[[#This Row],[Cde_Prdt]], tbl_Produits[Cde_Prdt], tbl_Produits[Prix Menu]), 0)</f>
        <v>0</v>
      </c>
      <c r="H1153" s="7">
        <f>IFERROR(_xlfn.XLOOKUP(tbl_Ventes[[#This Row],[Cde_Prdt]], tbl_Produits[Cde_Prdt], tbl_Produits[Coût Moyen Portion]), 0)</f>
        <v>0</v>
      </c>
      <c r="I1153" s="7">
        <f>tbl_Ventes[[#This Row],[Qté Vendue]] * tbl_Ventes[[#This Row],[CMP_par_portion]]</f>
        <v>0</v>
      </c>
      <c r="J1153" s="7">
        <f>tbl_Ventes[[#This Row],[CA ligne]] - tbl_Ventes[[#This Row],[Coût matière ligne]]</f>
        <v>0</v>
      </c>
      <c r="K1153" s="7" t="str">
        <f>IFERROR(INDEX(tbl_ProduitsRef[Famille], MATCH(tbl_Ventes[[#This Row],[Cde_Prdt]], tbl_Produits[Cde_Prdt], 0)), "")</f>
        <v/>
      </c>
    </row>
    <row r="1154" spans="1:11" x14ac:dyDescent="0.25">
      <c r="A1154" s="5"/>
      <c r="B1154" s="63" t="str">
        <f>IFERROR(TEXT(tbl_Ventes[[#This Row],[Date]],"mm-aaaa"),"")</f>
        <v>01-1900</v>
      </c>
      <c r="D1154" s="10" t="str">
        <f>IFERROR(
   INDEX(tbl_ProduitsRef[Cde_Prdt],MATCH(tbl_Ventes[[#This Row],[Produit]],tbl_ProduitsRef[Produit],0)),
   ""
)</f>
        <v/>
      </c>
      <c r="E1154" s="7">
        <v>0</v>
      </c>
      <c r="F1154" s="7" t="str">
        <f>IFERROR(
   INDEX(tbl_ProduitsRef[Prix Menu],MATCH(tbl_Ventes[[#This Row],[Produit]],tbl_ProduitsRef[Produit],0)),
   ""
)</f>
        <v/>
      </c>
      <c r="G1154" s="7">
        <f>tbl_Ventes[[#This Row],[Qté Vendue]] * IFERROR(_xlfn.XLOOKUP(tbl_Ventes[[#This Row],[Cde_Prdt]], tbl_Produits[Cde_Prdt], tbl_Produits[Prix Menu]), 0)</f>
        <v>0</v>
      </c>
      <c r="H1154" s="7">
        <f>IFERROR(_xlfn.XLOOKUP(tbl_Ventes[[#This Row],[Cde_Prdt]], tbl_Produits[Cde_Prdt], tbl_Produits[Coût Moyen Portion]), 0)</f>
        <v>0</v>
      </c>
      <c r="I1154" s="7">
        <f>tbl_Ventes[[#This Row],[Qté Vendue]] * tbl_Ventes[[#This Row],[CMP_par_portion]]</f>
        <v>0</v>
      </c>
      <c r="J1154" s="7">
        <f>tbl_Ventes[[#This Row],[CA ligne]] - tbl_Ventes[[#This Row],[Coût matière ligne]]</f>
        <v>0</v>
      </c>
      <c r="K1154" s="7" t="str">
        <f>IFERROR(INDEX(tbl_ProduitsRef[Famille], MATCH(tbl_Ventes[[#This Row],[Cde_Prdt]], tbl_Produits[Cde_Prdt], 0)), "")</f>
        <v/>
      </c>
    </row>
    <row r="1155" spans="1:11" x14ac:dyDescent="0.25">
      <c r="A1155" s="5"/>
      <c r="B1155" s="63" t="str">
        <f>IFERROR(TEXT(tbl_Ventes[[#This Row],[Date]],"mm-aaaa"),"")</f>
        <v>01-1900</v>
      </c>
      <c r="D1155" s="10" t="str">
        <f>IFERROR(
   INDEX(tbl_ProduitsRef[Cde_Prdt],MATCH(tbl_Ventes[[#This Row],[Produit]],tbl_ProduitsRef[Produit],0)),
   ""
)</f>
        <v/>
      </c>
      <c r="E1155" s="7">
        <v>0</v>
      </c>
      <c r="F1155" s="7" t="str">
        <f>IFERROR(
   INDEX(tbl_ProduitsRef[Prix Menu],MATCH(tbl_Ventes[[#This Row],[Produit]],tbl_ProduitsRef[Produit],0)),
   ""
)</f>
        <v/>
      </c>
      <c r="G1155" s="7">
        <f>tbl_Ventes[[#This Row],[Qté Vendue]] * IFERROR(_xlfn.XLOOKUP(tbl_Ventes[[#This Row],[Cde_Prdt]], tbl_Produits[Cde_Prdt], tbl_Produits[Prix Menu]), 0)</f>
        <v>0</v>
      </c>
      <c r="H1155" s="7">
        <f>IFERROR(_xlfn.XLOOKUP(tbl_Ventes[[#This Row],[Cde_Prdt]], tbl_Produits[Cde_Prdt], tbl_Produits[Coût Moyen Portion]), 0)</f>
        <v>0</v>
      </c>
      <c r="I1155" s="7">
        <f>tbl_Ventes[[#This Row],[Qté Vendue]] * tbl_Ventes[[#This Row],[CMP_par_portion]]</f>
        <v>0</v>
      </c>
      <c r="J1155" s="7">
        <f>tbl_Ventes[[#This Row],[CA ligne]] - tbl_Ventes[[#This Row],[Coût matière ligne]]</f>
        <v>0</v>
      </c>
      <c r="K1155" s="7" t="str">
        <f>IFERROR(INDEX(tbl_ProduitsRef[Famille], MATCH(tbl_Ventes[[#This Row],[Cde_Prdt]], tbl_Produits[Cde_Prdt], 0)), "")</f>
        <v/>
      </c>
    </row>
    <row r="1156" spans="1:11" x14ac:dyDescent="0.25">
      <c r="A1156" s="5"/>
      <c r="B1156" s="63" t="str">
        <f>IFERROR(TEXT(tbl_Ventes[[#This Row],[Date]],"mm-aaaa"),"")</f>
        <v>01-1900</v>
      </c>
      <c r="D1156" s="10" t="str">
        <f>IFERROR(
   INDEX(tbl_ProduitsRef[Cde_Prdt],MATCH(tbl_Ventes[[#This Row],[Produit]],tbl_ProduitsRef[Produit],0)),
   ""
)</f>
        <v/>
      </c>
      <c r="E1156" s="7">
        <v>0</v>
      </c>
      <c r="F1156" s="7" t="str">
        <f>IFERROR(
   INDEX(tbl_ProduitsRef[Prix Menu],MATCH(tbl_Ventes[[#This Row],[Produit]],tbl_ProduitsRef[Produit],0)),
   ""
)</f>
        <v/>
      </c>
      <c r="G1156" s="7">
        <f>tbl_Ventes[[#This Row],[Qté Vendue]] * IFERROR(_xlfn.XLOOKUP(tbl_Ventes[[#This Row],[Cde_Prdt]], tbl_Produits[Cde_Prdt], tbl_Produits[Prix Menu]), 0)</f>
        <v>0</v>
      </c>
      <c r="H1156" s="7">
        <f>IFERROR(_xlfn.XLOOKUP(tbl_Ventes[[#This Row],[Cde_Prdt]], tbl_Produits[Cde_Prdt], tbl_Produits[Coût Moyen Portion]), 0)</f>
        <v>0</v>
      </c>
      <c r="I1156" s="7">
        <f>tbl_Ventes[[#This Row],[Qté Vendue]] * tbl_Ventes[[#This Row],[CMP_par_portion]]</f>
        <v>0</v>
      </c>
      <c r="J1156" s="7">
        <f>tbl_Ventes[[#This Row],[CA ligne]] - tbl_Ventes[[#This Row],[Coût matière ligne]]</f>
        <v>0</v>
      </c>
      <c r="K1156" s="7" t="str">
        <f>IFERROR(INDEX(tbl_ProduitsRef[Famille], MATCH(tbl_Ventes[[#This Row],[Cde_Prdt]], tbl_Produits[Cde_Prdt], 0)), "")</f>
        <v/>
      </c>
    </row>
    <row r="1157" spans="1:11" x14ac:dyDescent="0.25">
      <c r="A1157" s="5"/>
      <c r="B1157" s="63" t="str">
        <f>IFERROR(TEXT(tbl_Ventes[[#This Row],[Date]],"mm-aaaa"),"")</f>
        <v>01-1900</v>
      </c>
      <c r="D1157" s="10" t="str">
        <f>IFERROR(
   INDEX(tbl_ProduitsRef[Cde_Prdt],MATCH(tbl_Ventes[[#This Row],[Produit]],tbl_ProduitsRef[Produit],0)),
   ""
)</f>
        <v/>
      </c>
      <c r="E1157" s="7">
        <v>0</v>
      </c>
      <c r="F1157" s="7" t="str">
        <f>IFERROR(
   INDEX(tbl_ProduitsRef[Prix Menu],MATCH(tbl_Ventes[[#This Row],[Produit]],tbl_ProduitsRef[Produit],0)),
   ""
)</f>
        <v/>
      </c>
      <c r="G1157" s="7">
        <f>tbl_Ventes[[#This Row],[Qté Vendue]] * IFERROR(_xlfn.XLOOKUP(tbl_Ventes[[#This Row],[Cde_Prdt]], tbl_Produits[Cde_Prdt], tbl_Produits[Prix Menu]), 0)</f>
        <v>0</v>
      </c>
      <c r="H1157" s="7">
        <f>IFERROR(_xlfn.XLOOKUP(tbl_Ventes[[#This Row],[Cde_Prdt]], tbl_Produits[Cde_Prdt], tbl_Produits[Coût Moyen Portion]), 0)</f>
        <v>0</v>
      </c>
      <c r="I1157" s="7">
        <f>tbl_Ventes[[#This Row],[Qté Vendue]] * tbl_Ventes[[#This Row],[CMP_par_portion]]</f>
        <v>0</v>
      </c>
      <c r="J1157" s="7">
        <f>tbl_Ventes[[#This Row],[CA ligne]] - tbl_Ventes[[#This Row],[Coût matière ligne]]</f>
        <v>0</v>
      </c>
      <c r="K1157" s="7" t="str">
        <f>IFERROR(INDEX(tbl_ProduitsRef[Famille], MATCH(tbl_Ventes[[#This Row],[Cde_Prdt]], tbl_Produits[Cde_Prdt], 0)), "")</f>
        <v/>
      </c>
    </row>
    <row r="1158" spans="1:11" x14ac:dyDescent="0.25">
      <c r="A1158" s="5"/>
      <c r="B1158" s="63" t="str">
        <f>IFERROR(TEXT(tbl_Ventes[[#This Row],[Date]],"mm-aaaa"),"")</f>
        <v>01-1900</v>
      </c>
      <c r="D1158" s="10" t="str">
        <f>IFERROR(
   INDEX(tbl_ProduitsRef[Cde_Prdt],MATCH(tbl_Ventes[[#This Row],[Produit]],tbl_ProduitsRef[Produit],0)),
   ""
)</f>
        <v/>
      </c>
      <c r="E1158" s="7">
        <v>0</v>
      </c>
      <c r="F1158" s="7" t="str">
        <f>IFERROR(
   INDEX(tbl_ProduitsRef[Prix Menu],MATCH(tbl_Ventes[[#This Row],[Produit]],tbl_ProduitsRef[Produit],0)),
   ""
)</f>
        <v/>
      </c>
      <c r="G1158" s="7">
        <f>tbl_Ventes[[#This Row],[Qté Vendue]] * IFERROR(_xlfn.XLOOKUP(tbl_Ventes[[#This Row],[Cde_Prdt]], tbl_Produits[Cde_Prdt], tbl_Produits[Prix Menu]), 0)</f>
        <v>0</v>
      </c>
      <c r="H1158" s="7">
        <f>IFERROR(_xlfn.XLOOKUP(tbl_Ventes[[#This Row],[Cde_Prdt]], tbl_Produits[Cde_Prdt], tbl_Produits[Coût Moyen Portion]), 0)</f>
        <v>0</v>
      </c>
      <c r="I1158" s="7">
        <f>tbl_Ventes[[#This Row],[Qté Vendue]] * tbl_Ventes[[#This Row],[CMP_par_portion]]</f>
        <v>0</v>
      </c>
      <c r="J1158" s="7">
        <f>tbl_Ventes[[#This Row],[CA ligne]] - tbl_Ventes[[#This Row],[Coût matière ligne]]</f>
        <v>0</v>
      </c>
      <c r="K1158" s="7" t="str">
        <f>IFERROR(INDEX(tbl_ProduitsRef[Famille], MATCH(tbl_Ventes[[#This Row],[Cde_Prdt]], tbl_Produits[Cde_Prdt], 0)), "")</f>
        <v/>
      </c>
    </row>
    <row r="1159" spans="1:11" x14ac:dyDescent="0.25">
      <c r="A1159" s="5"/>
      <c r="B1159" s="63" t="str">
        <f>IFERROR(TEXT(tbl_Ventes[[#This Row],[Date]],"mm-aaaa"),"")</f>
        <v>01-1900</v>
      </c>
      <c r="D1159" s="10" t="str">
        <f>IFERROR(
   INDEX(tbl_ProduitsRef[Cde_Prdt],MATCH(tbl_Ventes[[#This Row],[Produit]],tbl_ProduitsRef[Produit],0)),
   ""
)</f>
        <v/>
      </c>
      <c r="E1159" s="7">
        <v>0</v>
      </c>
      <c r="F1159" s="7" t="str">
        <f>IFERROR(
   INDEX(tbl_ProduitsRef[Prix Menu],MATCH(tbl_Ventes[[#This Row],[Produit]],tbl_ProduitsRef[Produit],0)),
   ""
)</f>
        <v/>
      </c>
      <c r="G1159" s="7">
        <f>tbl_Ventes[[#This Row],[Qté Vendue]] * IFERROR(_xlfn.XLOOKUP(tbl_Ventes[[#This Row],[Cde_Prdt]], tbl_Produits[Cde_Prdt], tbl_Produits[Prix Menu]), 0)</f>
        <v>0</v>
      </c>
      <c r="H1159" s="7">
        <f>IFERROR(_xlfn.XLOOKUP(tbl_Ventes[[#This Row],[Cde_Prdt]], tbl_Produits[Cde_Prdt], tbl_Produits[Coût Moyen Portion]), 0)</f>
        <v>0</v>
      </c>
      <c r="I1159" s="7">
        <f>tbl_Ventes[[#This Row],[Qté Vendue]] * tbl_Ventes[[#This Row],[CMP_par_portion]]</f>
        <v>0</v>
      </c>
      <c r="J1159" s="7">
        <f>tbl_Ventes[[#This Row],[CA ligne]] - tbl_Ventes[[#This Row],[Coût matière ligne]]</f>
        <v>0</v>
      </c>
      <c r="K1159" s="7" t="str">
        <f>IFERROR(INDEX(tbl_ProduitsRef[Famille], MATCH(tbl_Ventes[[#This Row],[Cde_Prdt]], tbl_Produits[Cde_Prdt], 0)), "")</f>
        <v/>
      </c>
    </row>
    <row r="1160" spans="1:11" x14ac:dyDescent="0.25">
      <c r="A1160" s="5"/>
      <c r="B1160" s="63" t="str">
        <f>IFERROR(TEXT(tbl_Ventes[[#This Row],[Date]],"mm-aaaa"),"")</f>
        <v>01-1900</v>
      </c>
      <c r="D1160" s="10" t="str">
        <f>IFERROR(
   INDEX(tbl_ProduitsRef[Cde_Prdt],MATCH(tbl_Ventes[[#This Row],[Produit]],tbl_ProduitsRef[Produit],0)),
   ""
)</f>
        <v/>
      </c>
      <c r="E1160" s="7">
        <v>0</v>
      </c>
      <c r="F1160" s="7" t="str">
        <f>IFERROR(
   INDEX(tbl_ProduitsRef[Prix Menu],MATCH(tbl_Ventes[[#This Row],[Produit]],tbl_ProduitsRef[Produit],0)),
   ""
)</f>
        <v/>
      </c>
      <c r="G1160" s="7">
        <f>tbl_Ventes[[#This Row],[Qté Vendue]] * IFERROR(_xlfn.XLOOKUP(tbl_Ventes[[#This Row],[Cde_Prdt]], tbl_Produits[Cde_Prdt], tbl_Produits[Prix Menu]), 0)</f>
        <v>0</v>
      </c>
      <c r="H1160" s="7">
        <f>IFERROR(_xlfn.XLOOKUP(tbl_Ventes[[#This Row],[Cde_Prdt]], tbl_Produits[Cde_Prdt], tbl_Produits[Coût Moyen Portion]), 0)</f>
        <v>0</v>
      </c>
      <c r="I1160" s="7">
        <f>tbl_Ventes[[#This Row],[Qté Vendue]] * tbl_Ventes[[#This Row],[CMP_par_portion]]</f>
        <v>0</v>
      </c>
      <c r="J1160" s="7">
        <f>tbl_Ventes[[#This Row],[CA ligne]] - tbl_Ventes[[#This Row],[Coût matière ligne]]</f>
        <v>0</v>
      </c>
      <c r="K1160" s="7" t="str">
        <f>IFERROR(INDEX(tbl_ProduitsRef[Famille], MATCH(tbl_Ventes[[#This Row],[Cde_Prdt]], tbl_Produits[Cde_Prdt], 0)), "")</f>
        <v/>
      </c>
    </row>
    <row r="1161" spans="1:11" x14ac:dyDescent="0.25">
      <c r="A1161" s="5"/>
      <c r="B1161" s="63" t="str">
        <f>IFERROR(TEXT(tbl_Ventes[[#This Row],[Date]],"mm-aaaa"),"")</f>
        <v>01-1900</v>
      </c>
      <c r="D1161" s="10" t="str">
        <f>IFERROR(
   INDEX(tbl_ProduitsRef[Cde_Prdt],MATCH(tbl_Ventes[[#This Row],[Produit]],tbl_ProduitsRef[Produit],0)),
   ""
)</f>
        <v/>
      </c>
      <c r="E1161" s="7">
        <v>0</v>
      </c>
      <c r="F1161" s="7" t="str">
        <f>IFERROR(
   INDEX(tbl_ProduitsRef[Prix Menu],MATCH(tbl_Ventes[[#This Row],[Produit]],tbl_ProduitsRef[Produit],0)),
   ""
)</f>
        <v/>
      </c>
      <c r="G1161" s="7">
        <f>tbl_Ventes[[#This Row],[Qté Vendue]] * IFERROR(_xlfn.XLOOKUP(tbl_Ventes[[#This Row],[Cde_Prdt]], tbl_Produits[Cde_Prdt], tbl_Produits[Prix Menu]), 0)</f>
        <v>0</v>
      </c>
      <c r="H1161" s="7">
        <f>IFERROR(_xlfn.XLOOKUP(tbl_Ventes[[#This Row],[Cde_Prdt]], tbl_Produits[Cde_Prdt], tbl_Produits[Coût Moyen Portion]), 0)</f>
        <v>0</v>
      </c>
      <c r="I1161" s="7">
        <f>tbl_Ventes[[#This Row],[Qté Vendue]] * tbl_Ventes[[#This Row],[CMP_par_portion]]</f>
        <v>0</v>
      </c>
      <c r="J1161" s="7">
        <f>tbl_Ventes[[#This Row],[CA ligne]] - tbl_Ventes[[#This Row],[Coût matière ligne]]</f>
        <v>0</v>
      </c>
      <c r="K1161" s="7" t="str">
        <f>IFERROR(INDEX(tbl_ProduitsRef[Famille], MATCH(tbl_Ventes[[#This Row],[Cde_Prdt]], tbl_Produits[Cde_Prdt], 0)), "")</f>
        <v/>
      </c>
    </row>
    <row r="1162" spans="1:11" x14ac:dyDescent="0.25">
      <c r="A1162" s="5"/>
      <c r="B1162" s="63" t="str">
        <f>IFERROR(TEXT(tbl_Ventes[[#This Row],[Date]],"mm-aaaa"),"")</f>
        <v>01-1900</v>
      </c>
      <c r="D1162" s="10" t="str">
        <f>IFERROR(
   INDEX(tbl_ProduitsRef[Cde_Prdt],MATCH(tbl_Ventes[[#This Row],[Produit]],tbl_ProduitsRef[Produit],0)),
   ""
)</f>
        <v/>
      </c>
      <c r="E1162" s="7">
        <v>0</v>
      </c>
      <c r="F1162" s="7" t="str">
        <f>IFERROR(
   INDEX(tbl_ProduitsRef[Prix Menu],MATCH(tbl_Ventes[[#This Row],[Produit]],tbl_ProduitsRef[Produit],0)),
   ""
)</f>
        <v/>
      </c>
      <c r="G1162" s="7">
        <f>tbl_Ventes[[#This Row],[Qté Vendue]] * IFERROR(_xlfn.XLOOKUP(tbl_Ventes[[#This Row],[Cde_Prdt]], tbl_Produits[Cde_Prdt], tbl_Produits[Prix Menu]), 0)</f>
        <v>0</v>
      </c>
      <c r="H1162" s="7">
        <f>IFERROR(_xlfn.XLOOKUP(tbl_Ventes[[#This Row],[Cde_Prdt]], tbl_Produits[Cde_Prdt], tbl_Produits[Coût Moyen Portion]), 0)</f>
        <v>0</v>
      </c>
      <c r="I1162" s="7">
        <f>tbl_Ventes[[#This Row],[Qté Vendue]] * tbl_Ventes[[#This Row],[CMP_par_portion]]</f>
        <v>0</v>
      </c>
      <c r="J1162" s="7">
        <f>tbl_Ventes[[#This Row],[CA ligne]] - tbl_Ventes[[#This Row],[Coût matière ligne]]</f>
        <v>0</v>
      </c>
      <c r="K1162" s="7" t="str">
        <f>IFERROR(INDEX(tbl_ProduitsRef[Famille], MATCH(tbl_Ventes[[#This Row],[Cde_Prdt]], tbl_Produits[Cde_Prdt], 0)), "")</f>
        <v/>
      </c>
    </row>
    <row r="1163" spans="1:11" x14ac:dyDescent="0.25">
      <c r="A1163" s="5"/>
      <c r="B1163" s="63" t="str">
        <f>IFERROR(TEXT(tbl_Ventes[[#This Row],[Date]],"mm-aaaa"),"")</f>
        <v>01-1900</v>
      </c>
      <c r="D1163" s="10" t="str">
        <f>IFERROR(
   INDEX(tbl_ProduitsRef[Cde_Prdt],MATCH(tbl_Ventes[[#This Row],[Produit]],tbl_ProduitsRef[Produit],0)),
   ""
)</f>
        <v/>
      </c>
      <c r="E1163" s="7">
        <v>0</v>
      </c>
      <c r="F1163" s="7" t="str">
        <f>IFERROR(
   INDEX(tbl_ProduitsRef[Prix Menu],MATCH(tbl_Ventes[[#This Row],[Produit]],tbl_ProduitsRef[Produit],0)),
   ""
)</f>
        <v/>
      </c>
      <c r="G1163" s="7">
        <f>tbl_Ventes[[#This Row],[Qté Vendue]] * IFERROR(_xlfn.XLOOKUP(tbl_Ventes[[#This Row],[Cde_Prdt]], tbl_Produits[Cde_Prdt], tbl_Produits[Prix Menu]), 0)</f>
        <v>0</v>
      </c>
      <c r="H1163" s="7">
        <f>IFERROR(_xlfn.XLOOKUP(tbl_Ventes[[#This Row],[Cde_Prdt]], tbl_Produits[Cde_Prdt], tbl_Produits[Coût Moyen Portion]), 0)</f>
        <v>0</v>
      </c>
      <c r="I1163" s="7">
        <f>tbl_Ventes[[#This Row],[Qté Vendue]] * tbl_Ventes[[#This Row],[CMP_par_portion]]</f>
        <v>0</v>
      </c>
      <c r="J1163" s="7">
        <f>tbl_Ventes[[#This Row],[CA ligne]] - tbl_Ventes[[#This Row],[Coût matière ligne]]</f>
        <v>0</v>
      </c>
      <c r="K1163" s="7" t="str">
        <f>IFERROR(INDEX(tbl_ProduitsRef[Famille], MATCH(tbl_Ventes[[#This Row],[Cde_Prdt]], tbl_Produits[Cde_Prdt], 0)), "")</f>
        <v/>
      </c>
    </row>
    <row r="1164" spans="1:11" x14ac:dyDescent="0.25">
      <c r="A1164" s="5"/>
      <c r="B1164" s="63" t="str">
        <f>IFERROR(TEXT(tbl_Ventes[[#This Row],[Date]],"mm-aaaa"),"")</f>
        <v>01-1900</v>
      </c>
      <c r="D1164" s="10" t="str">
        <f>IFERROR(
   INDEX(tbl_ProduitsRef[Cde_Prdt],MATCH(tbl_Ventes[[#This Row],[Produit]],tbl_ProduitsRef[Produit],0)),
   ""
)</f>
        <v/>
      </c>
      <c r="E1164" s="7">
        <v>0</v>
      </c>
      <c r="F1164" s="7" t="str">
        <f>IFERROR(
   INDEX(tbl_ProduitsRef[Prix Menu],MATCH(tbl_Ventes[[#This Row],[Produit]],tbl_ProduitsRef[Produit],0)),
   ""
)</f>
        <v/>
      </c>
      <c r="G1164" s="7">
        <f>tbl_Ventes[[#This Row],[Qté Vendue]] * IFERROR(_xlfn.XLOOKUP(tbl_Ventes[[#This Row],[Cde_Prdt]], tbl_Produits[Cde_Prdt], tbl_Produits[Prix Menu]), 0)</f>
        <v>0</v>
      </c>
      <c r="H1164" s="7">
        <f>IFERROR(_xlfn.XLOOKUP(tbl_Ventes[[#This Row],[Cde_Prdt]], tbl_Produits[Cde_Prdt], tbl_Produits[Coût Moyen Portion]), 0)</f>
        <v>0</v>
      </c>
      <c r="I1164" s="7">
        <f>tbl_Ventes[[#This Row],[Qté Vendue]] * tbl_Ventes[[#This Row],[CMP_par_portion]]</f>
        <v>0</v>
      </c>
      <c r="J1164" s="7">
        <f>tbl_Ventes[[#This Row],[CA ligne]] - tbl_Ventes[[#This Row],[Coût matière ligne]]</f>
        <v>0</v>
      </c>
      <c r="K1164" s="7" t="str">
        <f>IFERROR(INDEX(tbl_ProduitsRef[Famille], MATCH(tbl_Ventes[[#This Row],[Cde_Prdt]], tbl_Produits[Cde_Prdt], 0)), "")</f>
        <v/>
      </c>
    </row>
    <row r="1165" spans="1:11" x14ac:dyDescent="0.25">
      <c r="A1165" s="5"/>
      <c r="B1165" s="63" t="str">
        <f>IFERROR(TEXT(tbl_Ventes[[#This Row],[Date]],"mm-aaaa"),"")</f>
        <v>01-1900</v>
      </c>
      <c r="D1165" s="10" t="str">
        <f>IFERROR(
   INDEX(tbl_ProduitsRef[Cde_Prdt],MATCH(tbl_Ventes[[#This Row],[Produit]],tbl_ProduitsRef[Produit],0)),
   ""
)</f>
        <v/>
      </c>
      <c r="E1165" s="7">
        <v>0</v>
      </c>
      <c r="F1165" s="7" t="str">
        <f>IFERROR(
   INDEX(tbl_ProduitsRef[Prix Menu],MATCH(tbl_Ventes[[#This Row],[Produit]],tbl_ProduitsRef[Produit],0)),
   ""
)</f>
        <v/>
      </c>
      <c r="G1165" s="7">
        <f>tbl_Ventes[[#This Row],[Qté Vendue]] * IFERROR(_xlfn.XLOOKUP(tbl_Ventes[[#This Row],[Cde_Prdt]], tbl_Produits[Cde_Prdt], tbl_Produits[Prix Menu]), 0)</f>
        <v>0</v>
      </c>
      <c r="H1165" s="7">
        <f>IFERROR(_xlfn.XLOOKUP(tbl_Ventes[[#This Row],[Cde_Prdt]], tbl_Produits[Cde_Prdt], tbl_Produits[Coût Moyen Portion]), 0)</f>
        <v>0</v>
      </c>
      <c r="I1165" s="7">
        <f>tbl_Ventes[[#This Row],[Qté Vendue]] * tbl_Ventes[[#This Row],[CMP_par_portion]]</f>
        <v>0</v>
      </c>
      <c r="J1165" s="7">
        <f>tbl_Ventes[[#This Row],[CA ligne]] - tbl_Ventes[[#This Row],[Coût matière ligne]]</f>
        <v>0</v>
      </c>
      <c r="K1165" s="7" t="str">
        <f>IFERROR(INDEX(tbl_ProduitsRef[Famille], MATCH(tbl_Ventes[[#This Row],[Cde_Prdt]], tbl_Produits[Cde_Prdt], 0)), "")</f>
        <v/>
      </c>
    </row>
    <row r="1166" spans="1:11" x14ac:dyDescent="0.25">
      <c r="A1166" s="5"/>
      <c r="B1166" s="63" t="str">
        <f>IFERROR(TEXT(tbl_Ventes[[#This Row],[Date]],"mm-aaaa"),"")</f>
        <v>01-1900</v>
      </c>
      <c r="D1166" s="10" t="str">
        <f>IFERROR(
   INDEX(tbl_ProduitsRef[Cde_Prdt],MATCH(tbl_Ventes[[#This Row],[Produit]],tbl_ProduitsRef[Produit],0)),
   ""
)</f>
        <v/>
      </c>
      <c r="E1166" s="7">
        <v>0</v>
      </c>
      <c r="F1166" s="7" t="str">
        <f>IFERROR(
   INDEX(tbl_ProduitsRef[Prix Menu],MATCH(tbl_Ventes[[#This Row],[Produit]],tbl_ProduitsRef[Produit],0)),
   ""
)</f>
        <v/>
      </c>
      <c r="G1166" s="7">
        <f>tbl_Ventes[[#This Row],[Qté Vendue]] * IFERROR(_xlfn.XLOOKUP(tbl_Ventes[[#This Row],[Cde_Prdt]], tbl_Produits[Cde_Prdt], tbl_Produits[Prix Menu]), 0)</f>
        <v>0</v>
      </c>
      <c r="H1166" s="7">
        <f>IFERROR(_xlfn.XLOOKUP(tbl_Ventes[[#This Row],[Cde_Prdt]], tbl_Produits[Cde_Prdt], tbl_Produits[Coût Moyen Portion]), 0)</f>
        <v>0</v>
      </c>
      <c r="I1166" s="7">
        <f>tbl_Ventes[[#This Row],[Qté Vendue]] * tbl_Ventes[[#This Row],[CMP_par_portion]]</f>
        <v>0</v>
      </c>
      <c r="J1166" s="7">
        <f>tbl_Ventes[[#This Row],[CA ligne]] - tbl_Ventes[[#This Row],[Coût matière ligne]]</f>
        <v>0</v>
      </c>
      <c r="K1166" s="7" t="str">
        <f>IFERROR(INDEX(tbl_ProduitsRef[Famille], MATCH(tbl_Ventes[[#This Row],[Cde_Prdt]], tbl_Produits[Cde_Prdt], 0)), "")</f>
        <v/>
      </c>
    </row>
    <row r="1167" spans="1:11" x14ac:dyDescent="0.25">
      <c r="A1167" s="5"/>
      <c r="B1167" s="63" t="str">
        <f>IFERROR(TEXT(tbl_Ventes[[#This Row],[Date]],"mm-aaaa"),"")</f>
        <v>01-1900</v>
      </c>
      <c r="D1167" s="10" t="str">
        <f>IFERROR(
   INDEX(tbl_ProduitsRef[Cde_Prdt],MATCH(tbl_Ventes[[#This Row],[Produit]],tbl_ProduitsRef[Produit],0)),
   ""
)</f>
        <v/>
      </c>
      <c r="E1167" s="7">
        <v>0</v>
      </c>
      <c r="F1167" s="7" t="str">
        <f>IFERROR(
   INDEX(tbl_ProduitsRef[Prix Menu],MATCH(tbl_Ventes[[#This Row],[Produit]],tbl_ProduitsRef[Produit],0)),
   ""
)</f>
        <v/>
      </c>
      <c r="G1167" s="7">
        <f>tbl_Ventes[[#This Row],[Qté Vendue]] * IFERROR(_xlfn.XLOOKUP(tbl_Ventes[[#This Row],[Cde_Prdt]], tbl_Produits[Cde_Prdt], tbl_Produits[Prix Menu]), 0)</f>
        <v>0</v>
      </c>
      <c r="H1167" s="7">
        <f>IFERROR(_xlfn.XLOOKUP(tbl_Ventes[[#This Row],[Cde_Prdt]], tbl_Produits[Cde_Prdt], tbl_Produits[Coût Moyen Portion]), 0)</f>
        <v>0</v>
      </c>
      <c r="I1167" s="7">
        <f>tbl_Ventes[[#This Row],[Qté Vendue]] * tbl_Ventes[[#This Row],[CMP_par_portion]]</f>
        <v>0</v>
      </c>
      <c r="J1167" s="7">
        <f>tbl_Ventes[[#This Row],[CA ligne]] - tbl_Ventes[[#This Row],[Coût matière ligne]]</f>
        <v>0</v>
      </c>
      <c r="K1167" s="7" t="str">
        <f>IFERROR(INDEX(tbl_ProduitsRef[Famille], MATCH(tbl_Ventes[[#This Row],[Cde_Prdt]], tbl_Produits[Cde_Prdt], 0)), "")</f>
        <v/>
      </c>
    </row>
    <row r="1168" spans="1:11" x14ac:dyDescent="0.25">
      <c r="A1168" s="5"/>
      <c r="B1168" s="63" t="str">
        <f>IFERROR(TEXT(tbl_Ventes[[#This Row],[Date]],"mm-aaaa"),"")</f>
        <v>01-1900</v>
      </c>
      <c r="D1168" s="10" t="str">
        <f>IFERROR(
   INDEX(tbl_ProduitsRef[Cde_Prdt],MATCH(tbl_Ventes[[#This Row],[Produit]],tbl_ProduitsRef[Produit],0)),
   ""
)</f>
        <v/>
      </c>
      <c r="E1168" s="7">
        <v>0</v>
      </c>
      <c r="F1168" s="7" t="str">
        <f>IFERROR(
   INDEX(tbl_ProduitsRef[Prix Menu],MATCH(tbl_Ventes[[#This Row],[Produit]],tbl_ProduitsRef[Produit],0)),
   ""
)</f>
        <v/>
      </c>
      <c r="G1168" s="7">
        <f>tbl_Ventes[[#This Row],[Qté Vendue]] * IFERROR(_xlfn.XLOOKUP(tbl_Ventes[[#This Row],[Cde_Prdt]], tbl_Produits[Cde_Prdt], tbl_Produits[Prix Menu]), 0)</f>
        <v>0</v>
      </c>
      <c r="H1168" s="7">
        <f>IFERROR(_xlfn.XLOOKUP(tbl_Ventes[[#This Row],[Cde_Prdt]], tbl_Produits[Cde_Prdt], tbl_Produits[Coût Moyen Portion]), 0)</f>
        <v>0</v>
      </c>
      <c r="I1168" s="7">
        <f>tbl_Ventes[[#This Row],[Qté Vendue]] * tbl_Ventes[[#This Row],[CMP_par_portion]]</f>
        <v>0</v>
      </c>
      <c r="J1168" s="7">
        <f>tbl_Ventes[[#This Row],[CA ligne]] - tbl_Ventes[[#This Row],[Coût matière ligne]]</f>
        <v>0</v>
      </c>
      <c r="K1168" s="7" t="str">
        <f>IFERROR(INDEX(tbl_ProduitsRef[Famille], MATCH(tbl_Ventes[[#This Row],[Cde_Prdt]], tbl_Produits[Cde_Prdt], 0)), "")</f>
        <v/>
      </c>
    </row>
    <row r="1169" spans="1:11" x14ac:dyDescent="0.25">
      <c r="A1169" s="5"/>
      <c r="B1169" s="63" t="str">
        <f>IFERROR(TEXT(tbl_Ventes[[#This Row],[Date]],"mm-aaaa"),"")</f>
        <v>01-1900</v>
      </c>
      <c r="D1169" s="10" t="str">
        <f>IFERROR(
   INDEX(tbl_ProduitsRef[Cde_Prdt],MATCH(tbl_Ventes[[#This Row],[Produit]],tbl_ProduitsRef[Produit],0)),
   ""
)</f>
        <v/>
      </c>
      <c r="E1169" s="7">
        <v>0</v>
      </c>
      <c r="F1169" s="7" t="str">
        <f>IFERROR(
   INDEX(tbl_ProduitsRef[Prix Menu],MATCH(tbl_Ventes[[#This Row],[Produit]],tbl_ProduitsRef[Produit],0)),
   ""
)</f>
        <v/>
      </c>
      <c r="G1169" s="7">
        <f>tbl_Ventes[[#This Row],[Qté Vendue]] * IFERROR(_xlfn.XLOOKUP(tbl_Ventes[[#This Row],[Cde_Prdt]], tbl_Produits[Cde_Prdt], tbl_Produits[Prix Menu]), 0)</f>
        <v>0</v>
      </c>
      <c r="H1169" s="7">
        <f>IFERROR(_xlfn.XLOOKUP(tbl_Ventes[[#This Row],[Cde_Prdt]], tbl_Produits[Cde_Prdt], tbl_Produits[Coût Moyen Portion]), 0)</f>
        <v>0</v>
      </c>
      <c r="I1169" s="7">
        <f>tbl_Ventes[[#This Row],[Qté Vendue]] * tbl_Ventes[[#This Row],[CMP_par_portion]]</f>
        <v>0</v>
      </c>
      <c r="J1169" s="7">
        <f>tbl_Ventes[[#This Row],[CA ligne]] - tbl_Ventes[[#This Row],[Coût matière ligne]]</f>
        <v>0</v>
      </c>
      <c r="K1169" s="7" t="str">
        <f>IFERROR(INDEX(tbl_ProduitsRef[Famille], MATCH(tbl_Ventes[[#This Row],[Cde_Prdt]], tbl_Produits[Cde_Prdt], 0)), "")</f>
        <v/>
      </c>
    </row>
    <row r="1170" spans="1:11" x14ac:dyDescent="0.25">
      <c r="A1170" s="5"/>
      <c r="B1170" s="63" t="str">
        <f>IFERROR(TEXT(tbl_Ventes[[#This Row],[Date]],"mm-aaaa"),"")</f>
        <v>01-1900</v>
      </c>
      <c r="D1170" s="10" t="str">
        <f>IFERROR(
   INDEX(tbl_ProduitsRef[Cde_Prdt],MATCH(tbl_Ventes[[#This Row],[Produit]],tbl_ProduitsRef[Produit],0)),
   ""
)</f>
        <v/>
      </c>
      <c r="E1170" s="7">
        <v>0</v>
      </c>
      <c r="F1170" s="7" t="str">
        <f>IFERROR(
   INDEX(tbl_ProduitsRef[Prix Menu],MATCH(tbl_Ventes[[#This Row],[Produit]],tbl_ProduitsRef[Produit],0)),
   ""
)</f>
        <v/>
      </c>
      <c r="G1170" s="7">
        <f>tbl_Ventes[[#This Row],[Qté Vendue]] * IFERROR(_xlfn.XLOOKUP(tbl_Ventes[[#This Row],[Cde_Prdt]], tbl_Produits[Cde_Prdt], tbl_Produits[Prix Menu]), 0)</f>
        <v>0</v>
      </c>
      <c r="H1170" s="7">
        <f>IFERROR(_xlfn.XLOOKUP(tbl_Ventes[[#This Row],[Cde_Prdt]], tbl_Produits[Cde_Prdt], tbl_Produits[Coût Moyen Portion]), 0)</f>
        <v>0</v>
      </c>
      <c r="I1170" s="7">
        <f>tbl_Ventes[[#This Row],[Qté Vendue]] * tbl_Ventes[[#This Row],[CMP_par_portion]]</f>
        <v>0</v>
      </c>
      <c r="J1170" s="7">
        <f>tbl_Ventes[[#This Row],[CA ligne]] - tbl_Ventes[[#This Row],[Coût matière ligne]]</f>
        <v>0</v>
      </c>
      <c r="K1170" s="7" t="str">
        <f>IFERROR(INDEX(tbl_ProduitsRef[Famille], MATCH(tbl_Ventes[[#This Row],[Cde_Prdt]], tbl_Produits[Cde_Prdt], 0)), "")</f>
        <v/>
      </c>
    </row>
    <row r="1171" spans="1:11" x14ac:dyDescent="0.25">
      <c r="A1171" s="5"/>
      <c r="B1171" s="63" t="str">
        <f>IFERROR(TEXT(tbl_Ventes[[#This Row],[Date]],"mm-aaaa"),"")</f>
        <v>01-1900</v>
      </c>
      <c r="D1171" s="10" t="str">
        <f>IFERROR(
   INDEX(tbl_ProduitsRef[Cde_Prdt],MATCH(tbl_Ventes[[#This Row],[Produit]],tbl_ProduitsRef[Produit],0)),
   ""
)</f>
        <v/>
      </c>
      <c r="E1171" s="7">
        <v>0</v>
      </c>
      <c r="F1171" s="7" t="str">
        <f>IFERROR(
   INDEX(tbl_ProduitsRef[Prix Menu],MATCH(tbl_Ventes[[#This Row],[Produit]],tbl_ProduitsRef[Produit],0)),
   ""
)</f>
        <v/>
      </c>
      <c r="G1171" s="7">
        <f>tbl_Ventes[[#This Row],[Qté Vendue]] * IFERROR(_xlfn.XLOOKUP(tbl_Ventes[[#This Row],[Cde_Prdt]], tbl_Produits[Cde_Prdt], tbl_Produits[Prix Menu]), 0)</f>
        <v>0</v>
      </c>
      <c r="H1171" s="7">
        <f>IFERROR(_xlfn.XLOOKUP(tbl_Ventes[[#This Row],[Cde_Prdt]], tbl_Produits[Cde_Prdt], tbl_Produits[Coût Moyen Portion]), 0)</f>
        <v>0</v>
      </c>
      <c r="I1171" s="7">
        <f>tbl_Ventes[[#This Row],[Qté Vendue]] * tbl_Ventes[[#This Row],[CMP_par_portion]]</f>
        <v>0</v>
      </c>
      <c r="J1171" s="7">
        <f>tbl_Ventes[[#This Row],[CA ligne]] - tbl_Ventes[[#This Row],[Coût matière ligne]]</f>
        <v>0</v>
      </c>
      <c r="K1171" s="7" t="str">
        <f>IFERROR(INDEX(tbl_ProduitsRef[Famille], MATCH(tbl_Ventes[[#This Row],[Cde_Prdt]], tbl_Produits[Cde_Prdt], 0)), "")</f>
        <v/>
      </c>
    </row>
    <row r="1172" spans="1:11" x14ac:dyDescent="0.25">
      <c r="A1172" s="5"/>
      <c r="B1172" s="63" t="str">
        <f>IFERROR(TEXT(tbl_Ventes[[#This Row],[Date]],"mm-aaaa"),"")</f>
        <v>01-1900</v>
      </c>
      <c r="D1172" s="10" t="str">
        <f>IFERROR(
   INDEX(tbl_ProduitsRef[Cde_Prdt],MATCH(tbl_Ventes[[#This Row],[Produit]],tbl_ProduitsRef[Produit],0)),
   ""
)</f>
        <v/>
      </c>
      <c r="E1172" s="7">
        <v>0</v>
      </c>
      <c r="F1172" s="7" t="str">
        <f>IFERROR(
   INDEX(tbl_ProduitsRef[Prix Menu],MATCH(tbl_Ventes[[#This Row],[Produit]],tbl_ProduitsRef[Produit],0)),
   ""
)</f>
        <v/>
      </c>
      <c r="G1172" s="7">
        <f>tbl_Ventes[[#This Row],[Qté Vendue]] * IFERROR(_xlfn.XLOOKUP(tbl_Ventes[[#This Row],[Cde_Prdt]], tbl_Produits[Cde_Prdt], tbl_Produits[Prix Menu]), 0)</f>
        <v>0</v>
      </c>
      <c r="H1172" s="7">
        <f>IFERROR(_xlfn.XLOOKUP(tbl_Ventes[[#This Row],[Cde_Prdt]], tbl_Produits[Cde_Prdt], tbl_Produits[Coût Moyen Portion]), 0)</f>
        <v>0</v>
      </c>
      <c r="I1172" s="7">
        <f>tbl_Ventes[[#This Row],[Qté Vendue]] * tbl_Ventes[[#This Row],[CMP_par_portion]]</f>
        <v>0</v>
      </c>
      <c r="J1172" s="7">
        <f>tbl_Ventes[[#This Row],[CA ligne]] - tbl_Ventes[[#This Row],[Coût matière ligne]]</f>
        <v>0</v>
      </c>
      <c r="K1172" s="7" t="str">
        <f>IFERROR(INDEX(tbl_ProduitsRef[Famille], MATCH(tbl_Ventes[[#This Row],[Cde_Prdt]], tbl_Produits[Cde_Prdt], 0)), "")</f>
        <v/>
      </c>
    </row>
    <row r="1173" spans="1:11" x14ac:dyDescent="0.25">
      <c r="A1173" s="5"/>
      <c r="B1173" s="63" t="str">
        <f>IFERROR(TEXT(tbl_Ventes[[#This Row],[Date]],"mm-aaaa"),"")</f>
        <v>01-1900</v>
      </c>
      <c r="D1173" s="10" t="str">
        <f>IFERROR(
   INDEX(tbl_ProduitsRef[Cde_Prdt],MATCH(tbl_Ventes[[#This Row],[Produit]],tbl_ProduitsRef[Produit],0)),
   ""
)</f>
        <v/>
      </c>
      <c r="E1173" s="7">
        <v>0</v>
      </c>
      <c r="F1173" s="7" t="str">
        <f>IFERROR(
   INDEX(tbl_ProduitsRef[Prix Menu],MATCH(tbl_Ventes[[#This Row],[Produit]],tbl_ProduitsRef[Produit],0)),
   ""
)</f>
        <v/>
      </c>
      <c r="G1173" s="7">
        <f>tbl_Ventes[[#This Row],[Qté Vendue]] * IFERROR(_xlfn.XLOOKUP(tbl_Ventes[[#This Row],[Cde_Prdt]], tbl_Produits[Cde_Prdt], tbl_Produits[Prix Menu]), 0)</f>
        <v>0</v>
      </c>
      <c r="H1173" s="7">
        <f>IFERROR(_xlfn.XLOOKUP(tbl_Ventes[[#This Row],[Cde_Prdt]], tbl_Produits[Cde_Prdt], tbl_Produits[Coût Moyen Portion]), 0)</f>
        <v>0</v>
      </c>
      <c r="I1173" s="7">
        <f>tbl_Ventes[[#This Row],[Qté Vendue]] * tbl_Ventes[[#This Row],[CMP_par_portion]]</f>
        <v>0</v>
      </c>
      <c r="J1173" s="7">
        <f>tbl_Ventes[[#This Row],[CA ligne]] - tbl_Ventes[[#This Row],[Coût matière ligne]]</f>
        <v>0</v>
      </c>
      <c r="K1173" s="7" t="str">
        <f>IFERROR(INDEX(tbl_ProduitsRef[Famille], MATCH(tbl_Ventes[[#This Row],[Cde_Prdt]], tbl_Produits[Cde_Prdt], 0)), "")</f>
        <v/>
      </c>
    </row>
    <row r="1174" spans="1:11" x14ac:dyDescent="0.25">
      <c r="A1174" s="5"/>
      <c r="B1174" s="63" t="str">
        <f>IFERROR(TEXT(tbl_Ventes[[#This Row],[Date]],"mm-aaaa"),"")</f>
        <v>01-1900</v>
      </c>
      <c r="D1174" s="10" t="str">
        <f>IFERROR(
   INDEX(tbl_ProduitsRef[Cde_Prdt],MATCH(tbl_Ventes[[#This Row],[Produit]],tbl_ProduitsRef[Produit],0)),
   ""
)</f>
        <v/>
      </c>
      <c r="E1174" s="7">
        <v>0</v>
      </c>
      <c r="F1174" s="7" t="str">
        <f>IFERROR(
   INDEX(tbl_ProduitsRef[Prix Menu],MATCH(tbl_Ventes[[#This Row],[Produit]],tbl_ProduitsRef[Produit],0)),
   ""
)</f>
        <v/>
      </c>
      <c r="G1174" s="7">
        <f>tbl_Ventes[[#This Row],[Qté Vendue]] * IFERROR(_xlfn.XLOOKUP(tbl_Ventes[[#This Row],[Cde_Prdt]], tbl_Produits[Cde_Prdt], tbl_Produits[Prix Menu]), 0)</f>
        <v>0</v>
      </c>
      <c r="H1174" s="7">
        <f>IFERROR(_xlfn.XLOOKUP(tbl_Ventes[[#This Row],[Cde_Prdt]], tbl_Produits[Cde_Prdt], tbl_Produits[Coût Moyen Portion]), 0)</f>
        <v>0</v>
      </c>
      <c r="I1174" s="7">
        <f>tbl_Ventes[[#This Row],[Qté Vendue]] * tbl_Ventes[[#This Row],[CMP_par_portion]]</f>
        <v>0</v>
      </c>
      <c r="J1174" s="7">
        <f>tbl_Ventes[[#This Row],[CA ligne]] - tbl_Ventes[[#This Row],[Coût matière ligne]]</f>
        <v>0</v>
      </c>
      <c r="K1174" s="7" t="str">
        <f>IFERROR(INDEX(tbl_ProduitsRef[Famille], MATCH(tbl_Ventes[[#This Row],[Cde_Prdt]], tbl_Produits[Cde_Prdt], 0)), "")</f>
        <v/>
      </c>
    </row>
    <row r="1175" spans="1:11" x14ac:dyDescent="0.25">
      <c r="A1175" s="5"/>
      <c r="B1175" s="63" t="str">
        <f>IFERROR(TEXT(tbl_Ventes[[#This Row],[Date]],"mm-aaaa"),"")</f>
        <v>01-1900</v>
      </c>
      <c r="D1175" s="10" t="str">
        <f>IFERROR(
   INDEX(tbl_ProduitsRef[Cde_Prdt],MATCH(tbl_Ventes[[#This Row],[Produit]],tbl_ProduitsRef[Produit],0)),
   ""
)</f>
        <v/>
      </c>
      <c r="E1175" s="7">
        <v>0</v>
      </c>
      <c r="F1175" s="7" t="str">
        <f>IFERROR(
   INDEX(tbl_ProduitsRef[Prix Menu],MATCH(tbl_Ventes[[#This Row],[Produit]],tbl_ProduitsRef[Produit],0)),
   ""
)</f>
        <v/>
      </c>
      <c r="G1175" s="7">
        <f>tbl_Ventes[[#This Row],[Qté Vendue]] * IFERROR(_xlfn.XLOOKUP(tbl_Ventes[[#This Row],[Cde_Prdt]], tbl_Produits[Cde_Prdt], tbl_Produits[Prix Menu]), 0)</f>
        <v>0</v>
      </c>
      <c r="H1175" s="7">
        <f>IFERROR(_xlfn.XLOOKUP(tbl_Ventes[[#This Row],[Cde_Prdt]], tbl_Produits[Cde_Prdt], tbl_Produits[Coût Moyen Portion]), 0)</f>
        <v>0</v>
      </c>
      <c r="I1175" s="7">
        <f>tbl_Ventes[[#This Row],[Qté Vendue]] * tbl_Ventes[[#This Row],[CMP_par_portion]]</f>
        <v>0</v>
      </c>
      <c r="J1175" s="7">
        <f>tbl_Ventes[[#This Row],[CA ligne]] - tbl_Ventes[[#This Row],[Coût matière ligne]]</f>
        <v>0</v>
      </c>
      <c r="K1175" s="7" t="str">
        <f>IFERROR(INDEX(tbl_ProduitsRef[Famille], MATCH(tbl_Ventes[[#This Row],[Cde_Prdt]], tbl_Produits[Cde_Prdt], 0)), "")</f>
        <v/>
      </c>
    </row>
    <row r="1176" spans="1:11" x14ac:dyDescent="0.25">
      <c r="A1176" s="5"/>
      <c r="B1176" s="63" t="str">
        <f>IFERROR(TEXT(tbl_Ventes[[#This Row],[Date]],"mm-aaaa"),"")</f>
        <v>01-1900</v>
      </c>
      <c r="D1176" s="10" t="str">
        <f>IFERROR(
   INDEX(tbl_ProduitsRef[Cde_Prdt],MATCH(tbl_Ventes[[#This Row],[Produit]],tbl_ProduitsRef[Produit],0)),
   ""
)</f>
        <v/>
      </c>
      <c r="E1176" s="7">
        <v>0</v>
      </c>
      <c r="F1176" s="7" t="str">
        <f>IFERROR(
   INDEX(tbl_ProduitsRef[Prix Menu],MATCH(tbl_Ventes[[#This Row],[Produit]],tbl_ProduitsRef[Produit],0)),
   ""
)</f>
        <v/>
      </c>
      <c r="G1176" s="7">
        <f>tbl_Ventes[[#This Row],[Qté Vendue]] * IFERROR(_xlfn.XLOOKUP(tbl_Ventes[[#This Row],[Cde_Prdt]], tbl_Produits[Cde_Prdt], tbl_Produits[Prix Menu]), 0)</f>
        <v>0</v>
      </c>
      <c r="H1176" s="7">
        <f>IFERROR(_xlfn.XLOOKUP(tbl_Ventes[[#This Row],[Cde_Prdt]], tbl_Produits[Cde_Prdt], tbl_Produits[Coût Moyen Portion]), 0)</f>
        <v>0</v>
      </c>
      <c r="I1176" s="7">
        <f>tbl_Ventes[[#This Row],[Qté Vendue]] * tbl_Ventes[[#This Row],[CMP_par_portion]]</f>
        <v>0</v>
      </c>
      <c r="J1176" s="7">
        <f>tbl_Ventes[[#This Row],[CA ligne]] - tbl_Ventes[[#This Row],[Coût matière ligne]]</f>
        <v>0</v>
      </c>
      <c r="K1176" s="7" t="str">
        <f>IFERROR(INDEX(tbl_ProduitsRef[Famille], MATCH(tbl_Ventes[[#This Row],[Cde_Prdt]], tbl_Produits[Cde_Prdt], 0)), "")</f>
        <v/>
      </c>
    </row>
    <row r="1177" spans="1:11" x14ac:dyDescent="0.25">
      <c r="A1177" s="5"/>
      <c r="B1177" s="63" t="str">
        <f>IFERROR(TEXT(tbl_Ventes[[#This Row],[Date]],"mm-aaaa"),"")</f>
        <v>01-1900</v>
      </c>
      <c r="D1177" s="10" t="str">
        <f>IFERROR(
   INDEX(tbl_ProduitsRef[Cde_Prdt],MATCH(tbl_Ventes[[#This Row],[Produit]],tbl_ProduitsRef[Produit],0)),
   ""
)</f>
        <v/>
      </c>
      <c r="E1177" s="7">
        <v>0</v>
      </c>
      <c r="F1177" s="7" t="str">
        <f>IFERROR(
   INDEX(tbl_ProduitsRef[Prix Menu],MATCH(tbl_Ventes[[#This Row],[Produit]],tbl_ProduitsRef[Produit],0)),
   ""
)</f>
        <v/>
      </c>
      <c r="G1177" s="7">
        <f>tbl_Ventes[[#This Row],[Qté Vendue]] * IFERROR(_xlfn.XLOOKUP(tbl_Ventes[[#This Row],[Cde_Prdt]], tbl_Produits[Cde_Prdt], tbl_Produits[Prix Menu]), 0)</f>
        <v>0</v>
      </c>
      <c r="H1177" s="7">
        <f>IFERROR(_xlfn.XLOOKUP(tbl_Ventes[[#This Row],[Cde_Prdt]], tbl_Produits[Cde_Prdt], tbl_Produits[Coût Moyen Portion]), 0)</f>
        <v>0</v>
      </c>
      <c r="I1177" s="7">
        <f>tbl_Ventes[[#This Row],[Qté Vendue]] * tbl_Ventes[[#This Row],[CMP_par_portion]]</f>
        <v>0</v>
      </c>
      <c r="J1177" s="7">
        <f>tbl_Ventes[[#This Row],[CA ligne]] - tbl_Ventes[[#This Row],[Coût matière ligne]]</f>
        <v>0</v>
      </c>
      <c r="K1177" s="7" t="str">
        <f>IFERROR(INDEX(tbl_ProduitsRef[Famille], MATCH(tbl_Ventes[[#This Row],[Cde_Prdt]], tbl_Produits[Cde_Prdt], 0)), "")</f>
        <v/>
      </c>
    </row>
    <row r="1178" spans="1:11" x14ac:dyDescent="0.25">
      <c r="A1178" s="5"/>
      <c r="B1178" s="63" t="str">
        <f>IFERROR(TEXT(tbl_Ventes[[#This Row],[Date]],"mm-aaaa"),"")</f>
        <v>01-1900</v>
      </c>
      <c r="D1178" s="10" t="str">
        <f>IFERROR(
   INDEX(tbl_ProduitsRef[Cde_Prdt],MATCH(tbl_Ventes[[#This Row],[Produit]],tbl_ProduitsRef[Produit],0)),
   ""
)</f>
        <v/>
      </c>
      <c r="E1178" s="7">
        <v>0</v>
      </c>
      <c r="F1178" s="7" t="str">
        <f>IFERROR(
   INDEX(tbl_ProduitsRef[Prix Menu],MATCH(tbl_Ventes[[#This Row],[Produit]],tbl_ProduitsRef[Produit],0)),
   ""
)</f>
        <v/>
      </c>
      <c r="G1178" s="7">
        <f>tbl_Ventes[[#This Row],[Qté Vendue]] * IFERROR(_xlfn.XLOOKUP(tbl_Ventes[[#This Row],[Cde_Prdt]], tbl_Produits[Cde_Prdt], tbl_Produits[Prix Menu]), 0)</f>
        <v>0</v>
      </c>
      <c r="H1178" s="7">
        <f>IFERROR(_xlfn.XLOOKUP(tbl_Ventes[[#This Row],[Cde_Prdt]], tbl_Produits[Cde_Prdt], tbl_Produits[Coût Moyen Portion]), 0)</f>
        <v>0</v>
      </c>
      <c r="I1178" s="7">
        <f>tbl_Ventes[[#This Row],[Qté Vendue]] * tbl_Ventes[[#This Row],[CMP_par_portion]]</f>
        <v>0</v>
      </c>
      <c r="J1178" s="7">
        <f>tbl_Ventes[[#This Row],[CA ligne]] - tbl_Ventes[[#This Row],[Coût matière ligne]]</f>
        <v>0</v>
      </c>
      <c r="K1178" s="7" t="str">
        <f>IFERROR(INDEX(tbl_ProduitsRef[Famille], MATCH(tbl_Ventes[[#This Row],[Cde_Prdt]], tbl_Produits[Cde_Prdt], 0)), "")</f>
        <v/>
      </c>
    </row>
    <row r="1179" spans="1:11" x14ac:dyDescent="0.25">
      <c r="A1179" s="5"/>
      <c r="B1179" s="63" t="str">
        <f>IFERROR(TEXT(tbl_Ventes[[#This Row],[Date]],"mm-aaaa"),"")</f>
        <v>01-1900</v>
      </c>
      <c r="D1179" s="10" t="str">
        <f>IFERROR(
   INDEX(tbl_ProduitsRef[Cde_Prdt],MATCH(tbl_Ventes[[#This Row],[Produit]],tbl_ProduitsRef[Produit],0)),
   ""
)</f>
        <v/>
      </c>
      <c r="E1179" s="7">
        <v>0</v>
      </c>
      <c r="F1179" s="7" t="str">
        <f>IFERROR(
   INDEX(tbl_ProduitsRef[Prix Menu],MATCH(tbl_Ventes[[#This Row],[Produit]],tbl_ProduitsRef[Produit],0)),
   ""
)</f>
        <v/>
      </c>
      <c r="G1179" s="7">
        <f>tbl_Ventes[[#This Row],[Qté Vendue]] * IFERROR(_xlfn.XLOOKUP(tbl_Ventes[[#This Row],[Cde_Prdt]], tbl_Produits[Cde_Prdt], tbl_Produits[Prix Menu]), 0)</f>
        <v>0</v>
      </c>
      <c r="H1179" s="7">
        <f>IFERROR(_xlfn.XLOOKUP(tbl_Ventes[[#This Row],[Cde_Prdt]], tbl_Produits[Cde_Prdt], tbl_Produits[Coût Moyen Portion]), 0)</f>
        <v>0</v>
      </c>
      <c r="I1179" s="7">
        <f>tbl_Ventes[[#This Row],[Qté Vendue]] * tbl_Ventes[[#This Row],[CMP_par_portion]]</f>
        <v>0</v>
      </c>
      <c r="J1179" s="7">
        <f>tbl_Ventes[[#This Row],[CA ligne]] - tbl_Ventes[[#This Row],[Coût matière ligne]]</f>
        <v>0</v>
      </c>
      <c r="K1179" s="7" t="str">
        <f>IFERROR(INDEX(tbl_ProduitsRef[Famille], MATCH(tbl_Ventes[[#This Row],[Cde_Prdt]], tbl_Produits[Cde_Prdt], 0)), "")</f>
        <v/>
      </c>
    </row>
    <row r="1180" spans="1:11" x14ac:dyDescent="0.25">
      <c r="A1180" s="5"/>
      <c r="B1180" s="63" t="str">
        <f>IFERROR(TEXT(tbl_Ventes[[#This Row],[Date]],"mm-aaaa"),"")</f>
        <v>01-1900</v>
      </c>
      <c r="D1180" s="10" t="str">
        <f>IFERROR(
   INDEX(tbl_ProduitsRef[Cde_Prdt],MATCH(tbl_Ventes[[#This Row],[Produit]],tbl_ProduitsRef[Produit],0)),
   ""
)</f>
        <v/>
      </c>
      <c r="E1180" s="7">
        <v>0</v>
      </c>
      <c r="F1180" s="7" t="str">
        <f>IFERROR(
   INDEX(tbl_ProduitsRef[Prix Menu],MATCH(tbl_Ventes[[#This Row],[Produit]],tbl_ProduitsRef[Produit],0)),
   ""
)</f>
        <v/>
      </c>
      <c r="G1180" s="7">
        <f>tbl_Ventes[[#This Row],[Qté Vendue]] * IFERROR(_xlfn.XLOOKUP(tbl_Ventes[[#This Row],[Cde_Prdt]], tbl_Produits[Cde_Prdt], tbl_Produits[Prix Menu]), 0)</f>
        <v>0</v>
      </c>
      <c r="H1180" s="7">
        <f>IFERROR(_xlfn.XLOOKUP(tbl_Ventes[[#This Row],[Cde_Prdt]], tbl_Produits[Cde_Prdt], tbl_Produits[Coût Moyen Portion]), 0)</f>
        <v>0</v>
      </c>
      <c r="I1180" s="7">
        <f>tbl_Ventes[[#This Row],[Qté Vendue]] * tbl_Ventes[[#This Row],[CMP_par_portion]]</f>
        <v>0</v>
      </c>
      <c r="J1180" s="7">
        <f>tbl_Ventes[[#This Row],[CA ligne]] - tbl_Ventes[[#This Row],[Coût matière ligne]]</f>
        <v>0</v>
      </c>
      <c r="K1180" s="7" t="str">
        <f>IFERROR(INDEX(tbl_ProduitsRef[Famille], MATCH(tbl_Ventes[[#This Row],[Cde_Prdt]], tbl_Produits[Cde_Prdt], 0)), "")</f>
        <v/>
      </c>
    </row>
    <row r="1181" spans="1:11" x14ac:dyDescent="0.25">
      <c r="A1181" s="5"/>
      <c r="B1181" s="63" t="str">
        <f>IFERROR(TEXT(tbl_Ventes[[#This Row],[Date]],"mm-aaaa"),"")</f>
        <v>01-1900</v>
      </c>
      <c r="D1181" s="10" t="str">
        <f>IFERROR(
   INDEX(tbl_ProduitsRef[Cde_Prdt],MATCH(tbl_Ventes[[#This Row],[Produit]],tbl_ProduitsRef[Produit],0)),
   ""
)</f>
        <v/>
      </c>
      <c r="E1181" s="7">
        <v>0</v>
      </c>
      <c r="F1181" s="7" t="str">
        <f>IFERROR(
   INDEX(tbl_ProduitsRef[Prix Menu],MATCH(tbl_Ventes[[#This Row],[Produit]],tbl_ProduitsRef[Produit],0)),
   ""
)</f>
        <v/>
      </c>
      <c r="G1181" s="7">
        <f>tbl_Ventes[[#This Row],[Qté Vendue]] * IFERROR(_xlfn.XLOOKUP(tbl_Ventes[[#This Row],[Cde_Prdt]], tbl_Produits[Cde_Prdt], tbl_Produits[Prix Menu]), 0)</f>
        <v>0</v>
      </c>
      <c r="H1181" s="7">
        <f>IFERROR(_xlfn.XLOOKUP(tbl_Ventes[[#This Row],[Cde_Prdt]], tbl_Produits[Cde_Prdt], tbl_Produits[Coût Moyen Portion]), 0)</f>
        <v>0</v>
      </c>
      <c r="I1181" s="7">
        <f>tbl_Ventes[[#This Row],[Qté Vendue]] * tbl_Ventes[[#This Row],[CMP_par_portion]]</f>
        <v>0</v>
      </c>
      <c r="J1181" s="7">
        <f>tbl_Ventes[[#This Row],[CA ligne]] - tbl_Ventes[[#This Row],[Coût matière ligne]]</f>
        <v>0</v>
      </c>
      <c r="K1181" s="7" t="str">
        <f>IFERROR(INDEX(tbl_ProduitsRef[Famille], MATCH(tbl_Ventes[[#This Row],[Cde_Prdt]], tbl_Produits[Cde_Prdt], 0)), "")</f>
        <v/>
      </c>
    </row>
    <row r="1182" spans="1:11" x14ac:dyDescent="0.25">
      <c r="A1182" s="5"/>
      <c r="B1182" s="63" t="str">
        <f>IFERROR(TEXT(tbl_Ventes[[#This Row],[Date]],"mm-aaaa"),"")</f>
        <v>01-1900</v>
      </c>
      <c r="D1182" s="10" t="str">
        <f>IFERROR(
   INDEX(tbl_ProduitsRef[Cde_Prdt],MATCH(tbl_Ventes[[#This Row],[Produit]],tbl_ProduitsRef[Produit],0)),
   ""
)</f>
        <v/>
      </c>
      <c r="E1182" s="7">
        <v>0</v>
      </c>
      <c r="F1182" s="7" t="str">
        <f>IFERROR(
   INDEX(tbl_ProduitsRef[Prix Menu],MATCH(tbl_Ventes[[#This Row],[Produit]],tbl_ProduitsRef[Produit],0)),
   ""
)</f>
        <v/>
      </c>
      <c r="G1182" s="7">
        <f>tbl_Ventes[[#This Row],[Qté Vendue]] * IFERROR(_xlfn.XLOOKUP(tbl_Ventes[[#This Row],[Cde_Prdt]], tbl_Produits[Cde_Prdt], tbl_Produits[Prix Menu]), 0)</f>
        <v>0</v>
      </c>
      <c r="H1182" s="7">
        <f>IFERROR(_xlfn.XLOOKUP(tbl_Ventes[[#This Row],[Cde_Prdt]], tbl_Produits[Cde_Prdt], tbl_Produits[Coût Moyen Portion]), 0)</f>
        <v>0</v>
      </c>
      <c r="I1182" s="7">
        <f>tbl_Ventes[[#This Row],[Qté Vendue]] * tbl_Ventes[[#This Row],[CMP_par_portion]]</f>
        <v>0</v>
      </c>
      <c r="J1182" s="7">
        <f>tbl_Ventes[[#This Row],[CA ligne]] - tbl_Ventes[[#This Row],[Coût matière ligne]]</f>
        <v>0</v>
      </c>
      <c r="K1182" s="7" t="str">
        <f>IFERROR(INDEX(tbl_ProduitsRef[Famille], MATCH(tbl_Ventes[[#This Row],[Cde_Prdt]], tbl_Produits[Cde_Prdt], 0)), "")</f>
        <v/>
      </c>
    </row>
    <row r="1183" spans="1:11" x14ac:dyDescent="0.25">
      <c r="A1183" s="5"/>
      <c r="B1183" s="63" t="str">
        <f>IFERROR(TEXT(tbl_Ventes[[#This Row],[Date]],"mm-aaaa"),"")</f>
        <v>01-1900</v>
      </c>
      <c r="D1183" s="10" t="str">
        <f>IFERROR(
   INDEX(tbl_ProduitsRef[Cde_Prdt],MATCH(tbl_Ventes[[#This Row],[Produit]],tbl_ProduitsRef[Produit],0)),
   ""
)</f>
        <v/>
      </c>
      <c r="E1183" s="7">
        <v>0</v>
      </c>
      <c r="F1183" s="7" t="str">
        <f>IFERROR(
   INDEX(tbl_ProduitsRef[Prix Menu],MATCH(tbl_Ventes[[#This Row],[Produit]],tbl_ProduitsRef[Produit],0)),
   ""
)</f>
        <v/>
      </c>
      <c r="G1183" s="7">
        <f>tbl_Ventes[[#This Row],[Qté Vendue]] * IFERROR(_xlfn.XLOOKUP(tbl_Ventes[[#This Row],[Cde_Prdt]], tbl_Produits[Cde_Prdt], tbl_Produits[Prix Menu]), 0)</f>
        <v>0</v>
      </c>
      <c r="H1183" s="7">
        <f>IFERROR(_xlfn.XLOOKUP(tbl_Ventes[[#This Row],[Cde_Prdt]], tbl_Produits[Cde_Prdt], tbl_Produits[Coût Moyen Portion]), 0)</f>
        <v>0</v>
      </c>
      <c r="I1183" s="7">
        <f>tbl_Ventes[[#This Row],[Qté Vendue]] * tbl_Ventes[[#This Row],[CMP_par_portion]]</f>
        <v>0</v>
      </c>
      <c r="J1183" s="7">
        <f>tbl_Ventes[[#This Row],[CA ligne]] - tbl_Ventes[[#This Row],[Coût matière ligne]]</f>
        <v>0</v>
      </c>
      <c r="K1183" s="7" t="str">
        <f>IFERROR(INDEX(tbl_ProduitsRef[Famille], MATCH(tbl_Ventes[[#This Row],[Cde_Prdt]], tbl_Produits[Cde_Prdt], 0)), "")</f>
        <v/>
      </c>
    </row>
    <row r="1184" spans="1:11" x14ac:dyDescent="0.25">
      <c r="A1184" s="5"/>
      <c r="B1184" s="63" t="str">
        <f>IFERROR(TEXT(tbl_Ventes[[#This Row],[Date]],"mm-aaaa"),"")</f>
        <v>01-1900</v>
      </c>
      <c r="D1184" s="10" t="str">
        <f>IFERROR(
   INDEX(tbl_ProduitsRef[Cde_Prdt],MATCH(tbl_Ventes[[#This Row],[Produit]],tbl_ProduitsRef[Produit],0)),
   ""
)</f>
        <v/>
      </c>
      <c r="E1184" s="7">
        <v>0</v>
      </c>
      <c r="F1184" s="7" t="str">
        <f>IFERROR(
   INDEX(tbl_ProduitsRef[Prix Menu],MATCH(tbl_Ventes[[#This Row],[Produit]],tbl_ProduitsRef[Produit],0)),
   ""
)</f>
        <v/>
      </c>
      <c r="G1184" s="7">
        <f>tbl_Ventes[[#This Row],[Qté Vendue]] * IFERROR(_xlfn.XLOOKUP(tbl_Ventes[[#This Row],[Cde_Prdt]], tbl_Produits[Cde_Prdt], tbl_Produits[Prix Menu]), 0)</f>
        <v>0</v>
      </c>
      <c r="H1184" s="7">
        <f>IFERROR(_xlfn.XLOOKUP(tbl_Ventes[[#This Row],[Cde_Prdt]], tbl_Produits[Cde_Prdt], tbl_Produits[Coût Moyen Portion]), 0)</f>
        <v>0</v>
      </c>
      <c r="I1184" s="7">
        <f>tbl_Ventes[[#This Row],[Qté Vendue]] * tbl_Ventes[[#This Row],[CMP_par_portion]]</f>
        <v>0</v>
      </c>
      <c r="J1184" s="7">
        <f>tbl_Ventes[[#This Row],[CA ligne]] - tbl_Ventes[[#This Row],[Coût matière ligne]]</f>
        <v>0</v>
      </c>
      <c r="K1184" s="7" t="str">
        <f>IFERROR(INDEX(tbl_ProduitsRef[Famille], MATCH(tbl_Ventes[[#This Row],[Cde_Prdt]], tbl_Produits[Cde_Prdt], 0)), "")</f>
        <v/>
      </c>
    </row>
    <row r="1185" spans="1:11" x14ac:dyDescent="0.25">
      <c r="A1185" s="5"/>
      <c r="B1185" s="63" t="str">
        <f>IFERROR(TEXT(tbl_Ventes[[#This Row],[Date]],"mm-aaaa"),"")</f>
        <v>01-1900</v>
      </c>
      <c r="D1185" s="10" t="str">
        <f>IFERROR(
   INDEX(tbl_ProduitsRef[Cde_Prdt],MATCH(tbl_Ventes[[#This Row],[Produit]],tbl_ProduitsRef[Produit],0)),
   ""
)</f>
        <v/>
      </c>
      <c r="E1185" s="7">
        <v>0</v>
      </c>
      <c r="F1185" s="7" t="str">
        <f>IFERROR(
   INDEX(tbl_ProduitsRef[Prix Menu],MATCH(tbl_Ventes[[#This Row],[Produit]],tbl_ProduitsRef[Produit],0)),
   ""
)</f>
        <v/>
      </c>
      <c r="G1185" s="7">
        <f>tbl_Ventes[[#This Row],[Qté Vendue]] * IFERROR(_xlfn.XLOOKUP(tbl_Ventes[[#This Row],[Cde_Prdt]], tbl_Produits[Cde_Prdt], tbl_Produits[Prix Menu]), 0)</f>
        <v>0</v>
      </c>
      <c r="H1185" s="7">
        <f>IFERROR(_xlfn.XLOOKUP(tbl_Ventes[[#This Row],[Cde_Prdt]], tbl_Produits[Cde_Prdt], tbl_Produits[Coût Moyen Portion]), 0)</f>
        <v>0</v>
      </c>
      <c r="I1185" s="7">
        <f>tbl_Ventes[[#This Row],[Qté Vendue]] * tbl_Ventes[[#This Row],[CMP_par_portion]]</f>
        <v>0</v>
      </c>
      <c r="J1185" s="7">
        <f>tbl_Ventes[[#This Row],[CA ligne]] - tbl_Ventes[[#This Row],[Coût matière ligne]]</f>
        <v>0</v>
      </c>
      <c r="K1185" s="7" t="str">
        <f>IFERROR(INDEX(tbl_ProduitsRef[Famille], MATCH(tbl_Ventes[[#This Row],[Cde_Prdt]], tbl_Produits[Cde_Prdt], 0)), "")</f>
        <v/>
      </c>
    </row>
    <row r="1186" spans="1:11" x14ac:dyDescent="0.25">
      <c r="A1186" s="5"/>
      <c r="B1186" s="63" t="str">
        <f>IFERROR(TEXT(tbl_Ventes[[#This Row],[Date]],"mm-aaaa"),"")</f>
        <v>01-1900</v>
      </c>
      <c r="D1186" s="10" t="str">
        <f>IFERROR(
   INDEX(tbl_ProduitsRef[Cde_Prdt],MATCH(tbl_Ventes[[#This Row],[Produit]],tbl_ProduitsRef[Produit],0)),
   ""
)</f>
        <v/>
      </c>
      <c r="E1186" s="7">
        <v>0</v>
      </c>
      <c r="F1186" s="7" t="str">
        <f>IFERROR(
   INDEX(tbl_ProduitsRef[Prix Menu],MATCH(tbl_Ventes[[#This Row],[Produit]],tbl_ProduitsRef[Produit],0)),
   ""
)</f>
        <v/>
      </c>
      <c r="G1186" s="7">
        <f>tbl_Ventes[[#This Row],[Qté Vendue]] * IFERROR(_xlfn.XLOOKUP(tbl_Ventes[[#This Row],[Cde_Prdt]], tbl_Produits[Cde_Prdt], tbl_Produits[Prix Menu]), 0)</f>
        <v>0</v>
      </c>
      <c r="H1186" s="7">
        <f>IFERROR(_xlfn.XLOOKUP(tbl_Ventes[[#This Row],[Cde_Prdt]], tbl_Produits[Cde_Prdt], tbl_Produits[Coût Moyen Portion]), 0)</f>
        <v>0</v>
      </c>
      <c r="I1186" s="7">
        <f>tbl_Ventes[[#This Row],[Qté Vendue]] * tbl_Ventes[[#This Row],[CMP_par_portion]]</f>
        <v>0</v>
      </c>
      <c r="J1186" s="7">
        <f>tbl_Ventes[[#This Row],[CA ligne]] - tbl_Ventes[[#This Row],[Coût matière ligne]]</f>
        <v>0</v>
      </c>
      <c r="K1186" s="7" t="str">
        <f>IFERROR(INDEX(tbl_ProduitsRef[Famille], MATCH(tbl_Ventes[[#This Row],[Cde_Prdt]], tbl_Produits[Cde_Prdt], 0)), "")</f>
        <v/>
      </c>
    </row>
    <row r="1187" spans="1:11" x14ac:dyDescent="0.25">
      <c r="A1187" s="5"/>
      <c r="B1187" s="63" t="str">
        <f>IFERROR(TEXT(tbl_Ventes[[#This Row],[Date]],"mm-aaaa"),"")</f>
        <v>01-1900</v>
      </c>
      <c r="D1187" s="10" t="str">
        <f>IFERROR(
   INDEX(tbl_ProduitsRef[Cde_Prdt],MATCH(tbl_Ventes[[#This Row],[Produit]],tbl_ProduitsRef[Produit],0)),
   ""
)</f>
        <v/>
      </c>
      <c r="E1187" s="7">
        <v>0</v>
      </c>
      <c r="F1187" s="7" t="str">
        <f>IFERROR(
   INDEX(tbl_ProduitsRef[Prix Menu],MATCH(tbl_Ventes[[#This Row],[Produit]],tbl_ProduitsRef[Produit],0)),
   ""
)</f>
        <v/>
      </c>
      <c r="G1187" s="7">
        <f>tbl_Ventes[[#This Row],[Qté Vendue]] * IFERROR(_xlfn.XLOOKUP(tbl_Ventes[[#This Row],[Cde_Prdt]], tbl_Produits[Cde_Prdt], tbl_Produits[Prix Menu]), 0)</f>
        <v>0</v>
      </c>
      <c r="H1187" s="7">
        <f>IFERROR(_xlfn.XLOOKUP(tbl_Ventes[[#This Row],[Cde_Prdt]], tbl_Produits[Cde_Prdt], tbl_Produits[Coût Moyen Portion]), 0)</f>
        <v>0</v>
      </c>
      <c r="I1187" s="7">
        <f>tbl_Ventes[[#This Row],[Qté Vendue]] * tbl_Ventes[[#This Row],[CMP_par_portion]]</f>
        <v>0</v>
      </c>
      <c r="J1187" s="7">
        <f>tbl_Ventes[[#This Row],[CA ligne]] - tbl_Ventes[[#This Row],[Coût matière ligne]]</f>
        <v>0</v>
      </c>
      <c r="K1187" s="7" t="str">
        <f>IFERROR(INDEX(tbl_ProduitsRef[Famille], MATCH(tbl_Ventes[[#This Row],[Cde_Prdt]], tbl_Produits[Cde_Prdt], 0)), "")</f>
        <v/>
      </c>
    </row>
    <row r="1188" spans="1:11" x14ac:dyDescent="0.25">
      <c r="A1188" s="5"/>
      <c r="B1188" s="63" t="str">
        <f>IFERROR(TEXT(tbl_Ventes[[#This Row],[Date]],"mm-aaaa"),"")</f>
        <v>01-1900</v>
      </c>
      <c r="D1188" s="10" t="str">
        <f>IFERROR(
   INDEX(tbl_ProduitsRef[Cde_Prdt],MATCH(tbl_Ventes[[#This Row],[Produit]],tbl_ProduitsRef[Produit],0)),
   ""
)</f>
        <v/>
      </c>
      <c r="E1188" s="7">
        <v>0</v>
      </c>
      <c r="F1188" s="7" t="str">
        <f>IFERROR(
   INDEX(tbl_ProduitsRef[Prix Menu],MATCH(tbl_Ventes[[#This Row],[Produit]],tbl_ProduitsRef[Produit],0)),
   ""
)</f>
        <v/>
      </c>
      <c r="G1188" s="7">
        <f>tbl_Ventes[[#This Row],[Qté Vendue]] * IFERROR(_xlfn.XLOOKUP(tbl_Ventes[[#This Row],[Cde_Prdt]], tbl_Produits[Cde_Prdt], tbl_Produits[Prix Menu]), 0)</f>
        <v>0</v>
      </c>
      <c r="H1188" s="7">
        <f>IFERROR(_xlfn.XLOOKUP(tbl_Ventes[[#This Row],[Cde_Prdt]], tbl_Produits[Cde_Prdt], tbl_Produits[Coût Moyen Portion]), 0)</f>
        <v>0</v>
      </c>
      <c r="I1188" s="7">
        <f>tbl_Ventes[[#This Row],[Qté Vendue]] * tbl_Ventes[[#This Row],[CMP_par_portion]]</f>
        <v>0</v>
      </c>
      <c r="J1188" s="7">
        <f>tbl_Ventes[[#This Row],[CA ligne]] - tbl_Ventes[[#This Row],[Coût matière ligne]]</f>
        <v>0</v>
      </c>
      <c r="K1188" s="7" t="str">
        <f>IFERROR(INDEX(tbl_ProduitsRef[Famille], MATCH(tbl_Ventes[[#This Row],[Cde_Prdt]], tbl_Produits[Cde_Prdt], 0)), "")</f>
        <v/>
      </c>
    </row>
    <row r="1189" spans="1:11" x14ac:dyDescent="0.25">
      <c r="A1189" s="5"/>
      <c r="B1189" s="63" t="str">
        <f>IFERROR(TEXT(tbl_Ventes[[#This Row],[Date]],"mm-aaaa"),"")</f>
        <v>01-1900</v>
      </c>
      <c r="D1189" s="10" t="str">
        <f>IFERROR(
   INDEX(tbl_ProduitsRef[Cde_Prdt],MATCH(tbl_Ventes[[#This Row],[Produit]],tbl_ProduitsRef[Produit],0)),
   ""
)</f>
        <v/>
      </c>
      <c r="E1189" s="7">
        <v>0</v>
      </c>
      <c r="F1189" s="7" t="str">
        <f>IFERROR(
   INDEX(tbl_ProduitsRef[Prix Menu],MATCH(tbl_Ventes[[#This Row],[Produit]],tbl_ProduitsRef[Produit],0)),
   ""
)</f>
        <v/>
      </c>
      <c r="G1189" s="7">
        <f>tbl_Ventes[[#This Row],[Qté Vendue]] * IFERROR(_xlfn.XLOOKUP(tbl_Ventes[[#This Row],[Cde_Prdt]], tbl_Produits[Cde_Prdt], tbl_Produits[Prix Menu]), 0)</f>
        <v>0</v>
      </c>
      <c r="H1189" s="7">
        <f>IFERROR(_xlfn.XLOOKUP(tbl_Ventes[[#This Row],[Cde_Prdt]], tbl_Produits[Cde_Prdt], tbl_Produits[Coût Moyen Portion]), 0)</f>
        <v>0</v>
      </c>
      <c r="I1189" s="7">
        <f>tbl_Ventes[[#This Row],[Qté Vendue]] * tbl_Ventes[[#This Row],[CMP_par_portion]]</f>
        <v>0</v>
      </c>
      <c r="J1189" s="7">
        <f>tbl_Ventes[[#This Row],[CA ligne]] - tbl_Ventes[[#This Row],[Coût matière ligne]]</f>
        <v>0</v>
      </c>
      <c r="K1189" s="7" t="str">
        <f>IFERROR(INDEX(tbl_ProduitsRef[Famille], MATCH(tbl_Ventes[[#This Row],[Cde_Prdt]], tbl_Produits[Cde_Prdt], 0)), "")</f>
        <v/>
      </c>
    </row>
    <row r="1190" spans="1:11" x14ac:dyDescent="0.25">
      <c r="A1190" s="5"/>
      <c r="B1190" s="63" t="str">
        <f>IFERROR(TEXT(tbl_Ventes[[#This Row],[Date]],"mm-aaaa"),"")</f>
        <v>01-1900</v>
      </c>
      <c r="D1190" s="10" t="str">
        <f>IFERROR(
   INDEX(tbl_ProduitsRef[Cde_Prdt],MATCH(tbl_Ventes[[#This Row],[Produit]],tbl_ProduitsRef[Produit],0)),
   ""
)</f>
        <v/>
      </c>
      <c r="E1190" s="7">
        <v>0</v>
      </c>
      <c r="F1190" s="7" t="str">
        <f>IFERROR(
   INDEX(tbl_ProduitsRef[Prix Menu],MATCH(tbl_Ventes[[#This Row],[Produit]],tbl_ProduitsRef[Produit],0)),
   ""
)</f>
        <v/>
      </c>
      <c r="G1190" s="7">
        <f>tbl_Ventes[[#This Row],[Qté Vendue]] * IFERROR(_xlfn.XLOOKUP(tbl_Ventes[[#This Row],[Cde_Prdt]], tbl_Produits[Cde_Prdt], tbl_Produits[Prix Menu]), 0)</f>
        <v>0</v>
      </c>
      <c r="H1190" s="7">
        <f>IFERROR(_xlfn.XLOOKUP(tbl_Ventes[[#This Row],[Cde_Prdt]], tbl_Produits[Cde_Prdt], tbl_Produits[Coût Moyen Portion]), 0)</f>
        <v>0</v>
      </c>
      <c r="I1190" s="7">
        <f>tbl_Ventes[[#This Row],[Qté Vendue]] * tbl_Ventes[[#This Row],[CMP_par_portion]]</f>
        <v>0</v>
      </c>
      <c r="J1190" s="7">
        <f>tbl_Ventes[[#This Row],[CA ligne]] - tbl_Ventes[[#This Row],[Coût matière ligne]]</f>
        <v>0</v>
      </c>
      <c r="K1190" s="7" t="str">
        <f>IFERROR(INDEX(tbl_ProduitsRef[Famille], MATCH(tbl_Ventes[[#This Row],[Cde_Prdt]], tbl_Produits[Cde_Prdt], 0)), "")</f>
        <v/>
      </c>
    </row>
    <row r="1191" spans="1:11" x14ac:dyDescent="0.25">
      <c r="A1191" s="5"/>
      <c r="B1191" s="63" t="str">
        <f>IFERROR(TEXT(tbl_Ventes[[#This Row],[Date]],"mm-aaaa"),"")</f>
        <v>01-1900</v>
      </c>
      <c r="D1191" s="10" t="str">
        <f>IFERROR(
   INDEX(tbl_ProduitsRef[Cde_Prdt],MATCH(tbl_Ventes[[#This Row],[Produit]],tbl_ProduitsRef[Produit],0)),
   ""
)</f>
        <v/>
      </c>
      <c r="E1191" s="7">
        <v>0</v>
      </c>
      <c r="F1191" s="7" t="str">
        <f>IFERROR(
   INDEX(tbl_ProduitsRef[Prix Menu],MATCH(tbl_Ventes[[#This Row],[Produit]],tbl_ProduitsRef[Produit],0)),
   ""
)</f>
        <v/>
      </c>
      <c r="G1191" s="7">
        <f>tbl_Ventes[[#This Row],[Qté Vendue]] * IFERROR(_xlfn.XLOOKUP(tbl_Ventes[[#This Row],[Cde_Prdt]], tbl_Produits[Cde_Prdt], tbl_Produits[Prix Menu]), 0)</f>
        <v>0</v>
      </c>
      <c r="H1191" s="7">
        <f>IFERROR(_xlfn.XLOOKUP(tbl_Ventes[[#This Row],[Cde_Prdt]], tbl_Produits[Cde_Prdt], tbl_Produits[Coût Moyen Portion]), 0)</f>
        <v>0</v>
      </c>
      <c r="I1191" s="7">
        <f>tbl_Ventes[[#This Row],[Qté Vendue]] * tbl_Ventes[[#This Row],[CMP_par_portion]]</f>
        <v>0</v>
      </c>
      <c r="J1191" s="7">
        <f>tbl_Ventes[[#This Row],[CA ligne]] - tbl_Ventes[[#This Row],[Coût matière ligne]]</f>
        <v>0</v>
      </c>
      <c r="K1191" s="7" t="str">
        <f>IFERROR(INDEX(tbl_ProduitsRef[Famille], MATCH(tbl_Ventes[[#This Row],[Cde_Prdt]], tbl_Produits[Cde_Prdt], 0)), "")</f>
        <v/>
      </c>
    </row>
    <row r="1192" spans="1:11" x14ac:dyDescent="0.25">
      <c r="A1192" s="5"/>
      <c r="B1192" s="63" t="str">
        <f>IFERROR(TEXT(tbl_Ventes[[#This Row],[Date]],"mm-aaaa"),"")</f>
        <v>01-1900</v>
      </c>
      <c r="D1192" s="10" t="str">
        <f>IFERROR(
   INDEX(tbl_ProduitsRef[Cde_Prdt],MATCH(tbl_Ventes[[#This Row],[Produit]],tbl_ProduitsRef[Produit],0)),
   ""
)</f>
        <v/>
      </c>
      <c r="E1192" s="7">
        <v>0</v>
      </c>
      <c r="F1192" s="7" t="str">
        <f>IFERROR(
   INDEX(tbl_ProduitsRef[Prix Menu],MATCH(tbl_Ventes[[#This Row],[Produit]],tbl_ProduitsRef[Produit],0)),
   ""
)</f>
        <v/>
      </c>
      <c r="G1192" s="7">
        <f>tbl_Ventes[[#This Row],[Qté Vendue]] * IFERROR(_xlfn.XLOOKUP(tbl_Ventes[[#This Row],[Cde_Prdt]], tbl_Produits[Cde_Prdt], tbl_Produits[Prix Menu]), 0)</f>
        <v>0</v>
      </c>
      <c r="H1192" s="7">
        <f>IFERROR(_xlfn.XLOOKUP(tbl_Ventes[[#This Row],[Cde_Prdt]], tbl_Produits[Cde_Prdt], tbl_Produits[Coût Moyen Portion]), 0)</f>
        <v>0</v>
      </c>
      <c r="I1192" s="7">
        <f>tbl_Ventes[[#This Row],[Qté Vendue]] * tbl_Ventes[[#This Row],[CMP_par_portion]]</f>
        <v>0</v>
      </c>
      <c r="J1192" s="7">
        <f>tbl_Ventes[[#This Row],[CA ligne]] - tbl_Ventes[[#This Row],[Coût matière ligne]]</f>
        <v>0</v>
      </c>
      <c r="K1192" s="7" t="str">
        <f>IFERROR(INDEX(tbl_ProduitsRef[Famille], MATCH(tbl_Ventes[[#This Row],[Cde_Prdt]], tbl_Produits[Cde_Prdt], 0)), "")</f>
        <v/>
      </c>
    </row>
    <row r="1193" spans="1:11" x14ac:dyDescent="0.25">
      <c r="A1193" s="5"/>
      <c r="B1193" s="63" t="str">
        <f>IFERROR(TEXT(tbl_Ventes[[#This Row],[Date]],"mm-aaaa"),"")</f>
        <v>01-1900</v>
      </c>
      <c r="D1193" s="10" t="str">
        <f>IFERROR(
   INDEX(tbl_ProduitsRef[Cde_Prdt],MATCH(tbl_Ventes[[#This Row],[Produit]],tbl_ProduitsRef[Produit],0)),
   ""
)</f>
        <v/>
      </c>
      <c r="E1193" s="7">
        <v>0</v>
      </c>
      <c r="F1193" s="7" t="str">
        <f>IFERROR(
   INDEX(tbl_ProduitsRef[Prix Menu],MATCH(tbl_Ventes[[#This Row],[Produit]],tbl_ProduitsRef[Produit],0)),
   ""
)</f>
        <v/>
      </c>
      <c r="G1193" s="7">
        <f>tbl_Ventes[[#This Row],[Qté Vendue]] * IFERROR(_xlfn.XLOOKUP(tbl_Ventes[[#This Row],[Cde_Prdt]], tbl_Produits[Cde_Prdt], tbl_Produits[Prix Menu]), 0)</f>
        <v>0</v>
      </c>
      <c r="H1193" s="7">
        <f>IFERROR(_xlfn.XLOOKUP(tbl_Ventes[[#This Row],[Cde_Prdt]], tbl_Produits[Cde_Prdt], tbl_Produits[Coût Moyen Portion]), 0)</f>
        <v>0</v>
      </c>
      <c r="I1193" s="7">
        <f>tbl_Ventes[[#This Row],[Qté Vendue]] * tbl_Ventes[[#This Row],[CMP_par_portion]]</f>
        <v>0</v>
      </c>
      <c r="J1193" s="7">
        <f>tbl_Ventes[[#This Row],[CA ligne]] - tbl_Ventes[[#This Row],[Coût matière ligne]]</f>
        <v>0</v>
      </c>
      <c r="K1193" s="7" t="str">
        <f>IFERROR(INDEX(tbl_ProduitsRef[Famille], MATCH(tbl_Ventes[[#This Row],[Cde_Prdt]], tbl_Produits[Cde_Prdt], 0)), "")</f>
        <v/>
      </c>
    </row>
    <row r="1194" spans="1:11" x14ac:dyDescent="0.25">
      <c r="A1194" s="5"/>
      <c r="B1194" s="63" t="str">
        <f>IFERROR(TEXT(tbl_Ventes[[#This Row],[Date]],"mm-aaaa"),"")</f>
        <v>01-1900</v>
      </c>
      <c r="D1194" s="10" t="str">
        <f>IFERROR(
   INDEX(tbl_ProduitsRef[Cde_Prdt],MATCH(tbl_Ventes[[#This Row],[Produit]],tbl_ProduitsRef[Produit],0)),
   ""
)</f>
        <v/>
      </c>
      <c r="E1194" s="7">
        <v>0</v>
      </c>
      <c r="F1194" s="7" t="str">
        <f>IFERROR(
   INDEX(tbl_ProduitsRef[Prix Menu],MATCH(tbl_Ventes[[#This Row],[Produit]],tbl_ProduitsRef[Produit],0)),
   ""
)</f>
        <v/>
      </c>
      <c r="G1194" s="7">
        <f>tbl_Ventes[[#This Row],[Qté Vendue]] * IFERROR(_xlfn.XLOOKUP(tbl_Ventes[[#This Row],[Cde_Prdt]], tbl_Produits[Cde_Prdt], tbl_Produits[Prix Menu]), 0)</f>
        <v>0</v>
      </c>
      <c r="H1194" s="7">
        <f>IFERROR(_xlfn.XLOOKUP(tbl_Ventes[[#This Row],[Cde_Prdt]], tbl_Produits[Cde_Prdt], tbl_Produits[Coût Moyen Portion]), 0)</f>
        <v>0</v>
      </c>
      <c r="I1194" s="7">
        <f>tbl_Ventes[[#This Row],[Qté Vendue]] * tbl_Ventes[[#This Row],[CMP_par_portion]]</f>
        <v>0</v>
      </c>
      <c r="J1194" s="7">
        <f>tbl_Ventes[[#This Row],[CA ligne]] - tbl_Ventes[[#This Row],[Coût matière ligne]]</f>
        <v>0</v>
      </c>
      <c r="K1194" s="7" t="str">
        <f>IFERROR(INDEX(tbl_ProduitsRef[Famille], MATCH(tbl_Ventes[[#This Row],[Cde_Prdt]], tbl_Produits[Cde_Prdt], 0)), "")</f>
        <v/>
      </c>
    </row>
    <row r="1195" spans="1:11" x14ac:dyDescent="0.25">
      <c r="A1195" s="5"/>
      <c r="B1195" s="63" t="str">
        <f>IFERROR(TEXT(tbl_Ventes[[#This Row],[Date]],"mm-aaaa"),"")</f>
        <v>01-1900</v>
      </c>
      <c r="D1195" s="10" t="str">
        <f>IFERROR(
   INDEX(tbl_ProduitsRef[Cde_Prdt],MATCH(tbl_Ventes[[#This Row],[Produit]],tbl_ProduitsRef[Produit],0)),
   ""
)</f>
        <v/>
      </c>
      <c r="E1195" s="7">
        <v>0</v>
      </c>
      <c r="F1195" s="7" t="str">
        <f>IFERROR(
   INDEX(tbl_ProduitsRef[Prix Menu],MATCH(tbl_Ventes[[#This Row],[Produit]],tbl_ProduitsRef[Produit],0)),
   ""
)</f>
        <v/>
      </c>
      <c r="G1195" s="7">
        <f>tbl_Ventes[[#This Row],[Qté Vendue]] * IFERROR(_xlfn.XLOOKUP(tbl_Ventes[[#This Row],[Cde_Prdt]], tbl_Produits[Cde_Prdt], tbl_Produits[Prix Menu]), 0)</f>
        <v>0</v>
      </c>
      <c r="H1195" s="7">
        <f>IFERROR(_xlfn.XLOOKUP(tbl_Ventes[[#This Row],[Cde_Prdt]], tbl_Produits[Cde_Prdt], tbl_Produits[Coût Moyen Portion]), 0)</f>
        <v>0</v>
      </c>
      <c r="I1195" s="7">
        <f>tbl_Ventes[[#This Row],[Qté Vendue]] * tbl_Ventes[[#This Row],[CMP_par_portion]]</f>
        <v>0</v>
      </c>
      <c r="J1195" s="7">
        <f>tbl_Ventes[[#This Row],[CA ligne]] - tbl_Ventes[[#This Row],[Coût matière ligne]]</f>
        <v>0</v>
      </c>
      <c r="K1195" s="7" t="str">
        <f>IFERROR(INDEX(tbl_ProduitsRef[Famille], MATCH(tbl_Ventes[[#This Row],[Cde_Prdt]], tbl_Produits[Cde_Prdt], 0)), "")</f>
        <v/>
      </c>
    </row>
    <row r="1196" spans="1:11" x14ac:dyDescent="0.25">
      <c r="A1196" s="5"/>
      <c r="B1196" s="63" t="str">
        <f>IFERROR(TEXT(tbl_Ventes[[#This Row],[Date]],"mm-aaaa"),"")</f>
        <v>01-1900</v>
      </c>
      <c r="D1196" s="10" t="str">
        <f>IFERROR(
   INDEX(tbl_ProduitsRef[Cde_Prdt],MATCH(tbl_Ventes[[#This Row],[Produit]],tbl_ProduitsRef[Produit],0)),
   ""
)</f>
        <v/>
      </c>
      <c r="E1196" s="7">
        <v>0</v>
      </c>
      <c r="F1196" s="7" t="str">
        <f>IFERROR(
   INDEX(tbl_ProduitsRef[Prix Menu],MATCH(tbl_Ventes[[#This Row],[Produit]],tbl_ProduitsRef[Produit],0)),
   ""
)</f>
        <v/>
      </c>
      <c r="G1196" s="7">
        <f>tbl_Ventes[[#This Row],[Qté Vendue]] * IFERROR(_xlfn.XLOOKUP(tbl_Ventes[[#This Row],[Cde_Prdt]], tbl_Produits[Cde_Prdt], tbl_Produits[Prix Menu]), 0)</f>
        <v>0</v>
      </c>
      <c r="H1196" s="7">
        <f>IFERROR(_xlfn.XLOOKUP(tbl_Ventes[[#This Row],[Cde_Prdt]], tbl_Produits[Cde_Prdt], tbl_Produits[Coût Moyen Portion]), 0)</f>
        <v>0</v>
      </c>
      <c r="I1196" s="7">
        <f>tbl_Ventes[[#This Row],[Qté Vendue]] * tbl_Ventes[[#This Row],[CMP_par_portion]]</f>
        <v>0</v>
      </c>
      <c r="J1196" s="7">
        <f>tbl_Ventes[[#This Row],[CA ligne]] - tbl_Ventes[[#This Row],[Coût matière ligne]]</f>
        <v>0</v>
      </c>
      <c r="K1196" s="7" t="str">
        <f>IFERROR(INDEX(tbl_ProduitsRef[Famille], MATCH(tbl_Ventes[[#This Row],[Cde_Prdt]], tbl_Produits[Cde_Prdt], 0)), "")</f>
        <v/>
      </c>
    </row>
    <row r="1197" spans="1:11" x14ac:dyDescent="0.25">
      <c r="A1197" s="5"/>
      <c r="B1197" s="63" t="str">
        <f>IFERROR(TEXT(tbl_Ventes[[#This Row],[Date]],"mm-aaaa"),"")</f>
        <v>01-1900</v>
      </c>
      <c r="D1197" s="10" t="str">
        <f>IFERROR(
   INDEX(tbl_ProduitsRef[Cde_Prdt],MATCH(tbl_Ventes[[#This Row],[Produit]],tbl_ProduitsRef[Produit],0)),
   ""
)</f>
        <v/>
      </c>
      <c r="E1197" s="7">
        <v>0</v>
      </c>
      <c r="F1197" s="7" t="str">
        <f>IFERROR(
   INDEX(tbl_ProduitsRef[Prix Menu],MATCH(tbl_Ventes[[#This Row],[Produit]],tbl_ProduitsRef[Produit],0)),
   ""
)</f>
        <v/>
      </c>
      <c r="G1197" s="7">
        <f>tbl_Ventes[[#This Row],[Qté Vendue]] * IFERROR(_xlfn.XLOOKUP(tbl_Ventes[[#This Row],[Cde_Prdt]], tbl_Produits[Cde_Prdt], tbl_Produits[Prix Menu]), 0)</f>
        <v>0</v>
      </c>
      <c r="H1197" s="7">
        <f>IFERROR(_xlfn.XLOOKUP(tbl_Ventes[[#This Row],[Cde_Prdt]], tbl_Produits[Cde_Prdt], tbl_Produits[Coût Moyen Portion]), 0)</f>
        <v>0</v>
      </c>
      <c r="I1197" s="7">
        <f>tbl_Ventes[[#This Row],[Qté Vendue]] * tbl_Ventes[[#This Row],[CMP_par_portion]]</f>
        <v>0</v>
      </c>
      <c r="J1197" s="7">
        <f>tbl_Ventes[[#This Row],[CA ligne]] - tbl_Ventes[[#This Row],[Coût matière ligne]]</f>
        <v>0</v>
      </c>
      <c r="K1197" s="7" t="str">
        <f>IFERROR(INDEX(tbl_ProduitsRef[Famille], MATCH(tbl_Ventes[[#This Row],[Cde_Prdt]], tbl_Produits[Cde_Prdt], 0)), "")</f>
        <v/>
      </c>
    </row>
    <row r="1198" spans="1:11" x14ac:dyDescent="0.25">
      <c r="A1198" s="5"/>
      <c r="B1198" s="63" t="str">
        <f>IFERROR(TEXT(tbl_Ventes[[#This Row],[Date]],"mm-aaaa"),"")</f>
        <v>01-1900</v>
      </c>
      <c r="D1198" s="10" t="str">
        <f>IFERROR(
   INDEX(tbl_ProduitsRef[Cde_Prdt],MATCH(tbl_Ventes[[#This Row],[Produit]],tbl_ProduitsRef[Produit],0)),
   ""
)</f>
        <v/>
      </c>
      <c r="E1198" s="7">
        <v>0</v>
      </c>
      <c r="F1198" s="7" t="str">
        <f>IFERROR(
   INDEX(tbl_ProduitsRef[Prix Menu],MATCH(tbl_Ventes[[#This Row],[Produit]],tbl_ProduitsRef[Produit],0)),
   ""
)</f>
        <v/>
      </c>
      <c r="G1198" s="7">
        <f>tbl_Ventes[[#This Row],[Qté Vendue]] * IFERROR(_xlfn.XLOOKUP(tbl_Ventes[[#This Row],[Cde_Prdt]], tbl_Produits[Cde_Prdt], tbl_Produits[Prix Menu]), 0)</f>
        <v>0</v>
      </c>
      <c r="H1198" s="7">
        <f>IFERROR(_xlfn.XLOOKUP(tbl_Ventes[[#This Row],[Cde_Prdt]], tbl_Produits[Cde_Prdt], tbl_Produits[Coût Moyen Portion]), 0)</f>
        <v>0</v>
      </c>
      <c r="I1198" s="7">
        <f>tbl_Ventes[[#This Row],[Qté Vendue]] * tbl_Ventes[[#This Row],[CMP_par_portion]]</f>
        <v>0</v>
      </c>
      <c r="J1198" s="7">
        <f>tbl_Ventes[[#This Row],[CA ligne]] - tbl_Ventes[[#This Row],[Coût matière ligne]]</f>
        <v>0</v>
      </c>
      <c r="K1198" s="7" t="str">
        <f>IFERROR(INDEX(tbl_ProduitsRef[Famille], MATCH(tbl_Ventes[[#This Row],[Cde_Prdt]], tbl_Produits[Cde_Prdt], 0)), "")</f>
        <v/>
      </c>
    </row>
    <row r="1199" spans="1:11" x14ac:dyDescent="0.25">
      <c r="A1199" s="5"/>
      <c r="B1199" s="63" t="str">
        <f>IFERROR(TEXT(tbl_Ventes[[#This Row],[Date]],"mm-aaaa"),"")</f>
        <v>01-1900</v>
      </c>
      <c r="D1199" s="10" t="str">
        <f>IFERROR(
   INDEX(tbl_ProduitsRef[Cde_Prdt],MATCH(tbl_Ventes[[#This Row],[Produit]],tbl_ProduitsRef[Produit],0)),
   ""
)</f>
        <v/>
      </c>
      <c r="E1199" s="7">
        <v>0</v>
      </c>
      <c r="F1199" s="7" t="str">
        <f>IFERROR(
   INDEX(tbl_ProduitsRef[Prix Menu],MATCH(tbl_Ventes[[#This Row],[Produit]],tbl_ProduitsRef[Produit],0)),
   ""
)</f>
        <v/>
      </c>
      <c r="G1199" s="7">
        <f>tbl_Ventes[[#This Row],[Qté Vendue]] * IFERROR(_xlfn.XLOOKUP(tbl_Ventes[[#This Row],[Cde_Prdt]], tbl_Produits[Cde_Prdt], tbl_Produits[Prix Menu]), 0)</f>
        <v>0</v>
      </c>
      <c r="H1199" s="7">
        <f>IFERROR(_xlfn.XLOOKUP(tbl_Ventes[[#This Row],[Cde_Prdt]], tbl_Produits[Cde_Prdt], tbl_Produits[Coût Moyen Portion]), 0)</f>
        <v>0</v>
      </c>
      <c r="I1199" s="7">
        <f>tbl_Ventes[[#This Row],[Qté Vendue]] * tbl_Ventes[[#This Row],[CMP_par_portion]]</f>
        <v>0</v>
      </c>
      <c r="J1199" s="7">
        <f>tbl_Ventes[[#This Row],[CA ligne]] - tbl_Ventes[[#This Row],[Coût matière ligne]]</f>
        <v>0</v>
      </c>
      <c r="K1199" s="7" t="str">
        <f>IFERROR(INDEX(tbl_ProduitsRef[Famille], MATCH(tbl_Ventes[[#This Row],[Cde_Prdt]], tbl_Produits[Cde_Prdt], 0)), "")</f>
        <v/>
      </c>
    </row>
    <row r="1200" spans="1:11" x14ac:dyDescent="0.25">
      <c r="A1200" s="5"/>
      <c r="B1200" s="63" t="str">
        <f>IFERROR(TEXT(tbl_Ventes[[#This Row],[Date]],"mm-aaaa"),"")</f>
        <v>01-1900</v>
      </c>
      <c r="D1200" s="10" t="str">
        <f>IFERROR(
   INDEX(tbl_ProduitsRef[Cde_Prdt],MATCH(tbl_Ventes[[#This Row],[Produit]],tbl_ProduitsRef[Produit],0)),
   ""
)</f>
        <v/>
      </c>
      <c r="E1200" s="7">
        <v>0</v>
      </c>
      <c r="F1200" s="7" t="str">
        <f>IFERROR(
   INDEX(tbl_ProduitsRef[Prix Menu],MATCH(tbl_Ventes[[#This Row],[Produit]],tbl_ProduitsRef[Produit],0)),
   ""
)</f>
        <v/>
      </c>
      <c r="G1200" s="7">
        <f>tbl_Ventes[[#This Row],[Qté Vendue]] * IFERROR(_xlfn.XLOOKUP(tbl_Ventes[[#This Row],[Cde_Prdt]], tbl_Produits[Cde_Prdt], tbl_Produits[Prix Menu]), 0)</f>
        <v>0</v>
      </c>
      <c r="H1200" s="7">
        <f>IFERROR(_xlfn.XLOOKUP(tbl_Ventes[[#This Row],[Cde_Prdt]], tbl_Produits[Cde_Prdt], tbl_Produits[Coût Moyen Portion]), 0)</f>
        <v>0</v>
      </c>
      <c r="I1200" s="7">
        <f>tbl_Ventes[[#This Row],[Qté Vendue]] * tbl_Ventes[[#This Row],[CMP_par_portion]]</f>
        <v>0</v>
      </c>
      <c r="J1200" s="7">
        <f>tbl_Ventes[[#This Row],[CA ligne]] - tbl_Ventes[[#This Row],[Coût matière ligne]]</f>
        <v>0</v>
      </c>
      <c r="K1200" s="7" t="str">
        <f>IFERROR(INDEX(tbl_ProduitsRef[Famille], MATCH(tbl_Ventes[[#This Row],[Cde_Prdt]], tbl_Produits[Cde_Prdt], 0)), "")</f>
        <v/>
      </c>
    </row>
    <row r="1201" spans="1:11" x14ac:dyDescent="0.25">
      <c r="A1201" s="5"/>
      <c r="B1201" s="63" t="str">
        <f>IFERROR(TEXT(tbl_Ventes[[#This Row],[Date]],"mm-aaaa"),"")</f>
        <v>01-1900</v>
      </c>
      <c r="D1201" s="10" t="str">
        <f>IFERROR(
   INDEX(tbl_ProduitsRef[Cde_Prdt],MATCH(tbl_Ventes[[#This Row],[Produit]],tbl_ProduitsRef[Produit],0)),
   ""
)</f>
        <v/>
      </c>
      <c r="E1201" s="7">
        <v>0</v>
      </c>
      <c r="F1201" s="7" t="str">
        <f>IFERROR(
   INDEX(tbl_ProduitsRef[Prix Menu],MATCH(tbl_Ventes[[#This Row],[Produit]],tbl_ProduitsRef[Produit],0)),
   ""
)</f>
        <v/>
      </c>
      <c r="G1201" s="7">
        <f>tbl_Ventes[[#This Row],[Qté Vendue]] * IFERROR(_xlfn.XLOOKUP(tbl_Ventes[[#This Row],[Cde_Prdt]], tbl_Produits[Cde_Prdt], tbl_Produits[Prix Menu]), 0)</f>
        <v>0</v>
      </c>
      <c r="H1201" s="7">
        <f>IFERROR(_xlfn.XLOOKUP(tbl_Ventes[[#This Row],[Cde_Prdt]], tbl_Produits[Cde_Prdt], tbl_Produits[Coût Moyen Portion]), 0)</f>
        <v>0</v>
      </c>
      <c r="I1201" s="7">
        <f>tbl_Ventes[[#This Row],[Qté Vendue]] * tbl_Ventes[[#This Row],[CMP_par_portion]]</f>
        <v>0</v>
      </c>
      <c r="J1201" s="7">
        <f>tbl_Ventes[[#This Row],[CA ligne]] - tbl_Ventes[[#This Row],[Coût matière ligne]]</f>
        <v>0</v>
      </c>
      <c r="K1201" s="7" t="str">
        <f>IFERROR(INDEX(tbl_ProduitsRef[Famille], MATCH(tbl_Ventes[[#This Row],[Cde_Prdt]], tbl_Produits[Cde_Prdt], 0)), "")</f>
        <v/>
      </c>
    </row>
    <row r="1202" spans="1:11" x14ac:dyDescent="0.25">
      <c r="A1202" s="5"/>
      <c r="B1202" s="63" t="str">
        <f>IFERROR(TEXT(tbl_Ventes[[#This Row],[Date]],"mm-aaaa"),"")</f>
        <v>01-1900</v>
      </c>
      <c r="D1202" s="10" t="str">
        <f>IFERROR(
   INDEX(tbl_ProduitsRef[Cde_Prdt],MATCH(tbl_Ventes[[#This Row],[Produit]],tbl_ProduitsRef[Produit],0)),
   ""
)</f>
        <v/>
      </c>
      <c r="E1202" s="7">
        <v>0</v>
      </c>
      <c r="F1202" s="7" t="str">
        <f>IFERROR(
   INDEX(tbl_ProduitsRef[Prix Menu],MATCH(tbl_Ventes[[#This Row],[Produit]],tbl_ProduitsRef[Produit],0)),
   ""
)</f>
        <v/>
      </c>
      <c r="G1202" s="7">
        <f>tbl_Ventes[[#This Row],[Qté Vendue]] * IFERROR(_xlfn.XLOOKUP(tbl_Ventes[[#This Row],[Cde_Prdt]], tbl_Produits[Cde_Prdt], tbl_Produits[Prix Menu]), 0)</f>
        <v>0</v>
      </c>
      <c r="H1202" s="7">
        <f>IFERROR(_xlfn.XLOOKUP(tbl_Ventes[[#This Row],[Cde_Prdt]], tbl_Produits[Cde_Prdt], tbl_Produits[Coût Moyen Portion]), 0)</f>
        <v>0</v>
      </c>
      <c r="I1202" s="7">
        <f>tbl_Ventes[[#This Row],[Qté Vendue]] * tbl_Ventes[[#This Row],[CMP_par_portion]]</f>
        <v>0</v>
      </c>
      <c r="J1202" s="7">
        <f>tbl_Ventes[[#This Row],[CA ligne]] - tbl_Ventes[[#This Row],[Coût matière ligne]]</f>
        <v>0</v>
      </c>
      <c r="K1202" s="7" t="str">
        <f>IFERROR(INDEX(tbl_ProduitsRef[Famille], MATCH(tbl_Ventes[[#This Row],[Cde_Prdt]], tbl_Produits[Cde_Prdt], 0)), "")</f>
        <v/>
      </c>
    </row>
    <row r="1203" spans="1:11" x14ac:dyDescent="0.25">
      <c r="A1203" s="5"/>
      <c r="B1203" s="63" t="str">
        <f>IFERROR(TEXT(tbl_Ventes[[#This Row],[Date]],"mm-aaaa"),"")</f>
        <v>01-1900</v>
      </c>
      <c r="D1203" s="10" t="str">
        <f>IFERROR(
   INDEX(tbl_ProduitsRef[Cde_Prdt],MATCH(tbl_Ventes[[#This Row],[Produit]],tbl_ProduitsRef[Produit],0)),
   ""
)</f>
        <v/>
      </c>
      <c r="E1203" s="7">
        <v>0</v>
      </c>
      <c r="F1203" s="7" t="str">
        <f>IFERROR(
   INDEX(tbl_ProduitsRef[Prix Menu],MATCH(tbl_Ventes[[#This Row],[Produit]],tbl_ProduitsRef[Produit],0)),
   ""
)</f>
        <v/>
      </c>
      <c r="G1203" s="7">
        <f>tbl_Ventes[[#This Row],[Qté Vendue]] * IFERROR(_xlfn.XLOOKUP(tbl_Ventes[[#This Row],[Cde_Prdt]], tbl_Produits[Cde_Prdt], tbl_Produits[Prix Menu]), 0)</f>
        <v>0</v>
      </c>
      <c r="H1203" s="7">
        <f>IFERROR(_xlfn.XLOOKUP(tbl_Ventes[[#This Row],[Cde_Prdt]], tbl_Produits[Cde_Prdt], tbl_Produits[Coût Moyen Portion]), 0)</f>
        <v>0</v>
      </c>
      <c r="I1203" s="7">
        <f>tbl_Ventes[[#This Row],[Qté Vendue]] * tbl_Ventes[[#This Row],[CMP_par_portion]]</f>
        <v>0</v>
      </c>
      <c r="J1203" s="7">
        <f>tbl_Ventes[[#This Row],[CA ligne]] - tbl_Ventes[[#This Row],[Coût matière ligne]]</f>
        <v>0</v>
      </c>
      <c r="K1203" s="7" t="str">
        <f>IFERROR(INDEX(tbl_ProduitsRef[Famille], MATCH(tbl_Ventes[[#This Row],[Cde_Prdt]], tbl_Produits[Cde_Prdt], 0)), "")</f>
        <v/>
      </c>
    </row>
    <row r="1204" spans="1:11" x14ac:dyDescent="0.25">
      <c r="A1204" s="5"/>
      <c r="B1204" s="63" t="str">
        <f>IFERROR(TEXT(tbl_Ventes[[#This Row],[Date]],"mm-aaaa"),"")</f>
        <v>01-1900</v>
      </c>
      <c r="D1204" s="10" t="str">
        <f>IFERROR(
   INDEX(tbl_ProduitsRef[Cde_Prdt],MATCH(tbl_Ventes[[#This Row],[Produit]],tbl_ProduitsRef[Produit],0)),
   ""
)</f>
        <v/>
      </c>
      <c r="E1204" s="7">
        <v>0</v>
      </c>
      <c r="F1204" s="7" t="str">
        <f>IFERROR(
   INDEX(tbl_ProduitsRef[Prix Menu],MATCH(tbl_Ventes[[#This Row],[Produit]],tbl_ProduitsRef[Produit],0)),
   ""
)</f>
        <v/>
      </c>
      <c r="G1204" s="7">
        <f>tbl_Ventes[[#This Row],[Qté Vendue]] * IFERROR(_xlfn.XLOOKUP(tbl_Ventes[[#This Row],[Cde_Prdt]], tbl_Produits[Cde_Prdt], tbl_Produits[Prix Menu]), 0)</f>
        <v>0</v>
      </c>
      <c r="H1204" s="7">
        <f>IFERROR(_xlfn.XLOOKUP(tbl_Ventes[[#This Row],[Cde_Prdt]], tbl_Produits[Cde_Prdt], tbl_Produits[Coût Moyen Portion]), 0)</f>
        <v>0</v>
      </c>
      <c r="I1204" s="7">
        <f>tbl_Ventes[[#This Row],[Qté Vendue]] * tbl_Ventes[[#This Row],[CMP_par_portion]]</f>
        <v>0</v>
      </c>
      <c r="J1204" s="7">
        <f>tbl_Ventes[[#This Row],[CA ligne]] - tbl_Ventes[[#This Row],[Coût matière ligne]]</f>
        <v>0</v>
      </c>
      <c r="K1204" s="7" t="str">
        <f>IFERROR(INDEX(tbl_ProduitsRef[Famille], MATCH(tbl_Ventes[[#This Row],[Cde_Prdt]], tbl_Produits[Cde_Prdt], 0)), "")</f>
        <v/>
      </c>
    </row>
    <row r="1205" spans="1:11" x14ac:dyDescent="0.25">
      <c r="A1205" s="5"/>
      <c r="B1205" s="63" t="str">
        <f>IFERROR(TEXT(tbl_Ventes[[#This Row],[Date]],"mm-aaaa"),"")</f>
        <v>01-1900</v>
      </c>
      <c r="D1205" s="10" t="str">
        <f>IFERROR(
   INDEX(tbl_ProduitsRef[Cde_Prdt],MATCH(tbl_Ventes[[#This Row],[Produit]],tbl_ProduitsRef[Produit],0)),
   ""
)</f>
        <v/>
      </c>
      <c r="E1205" s="7">
        <v>0</v>
      </c>
      <c r="F1205" s="7" t="str">
        <f>IFERROR(
   INDEX(tbl_ProduitsRef[Prix Menu],MATCH(tbl_Ventes[[#This Row],[Produit]],tbl_ProduitsRef[Produit],0)),
   ""
)</f>
        <v/>
      </c>
      <c r="G1205" s="7">
        <f>tbl_Ventes[[#This Row],[Qté Vendue]] * IFERROR(_xlfn.XLOOKUP(tbl_Ventes[[#This Row],[Cde_Prdt]], tbl_Produits[Cde_Prdt], tbl_Produits[Prix Menu]), 0)</f>
        <v>0</v>
      </c>
      <c r="H1205" s="7">
        <f>IFERROR(_xlfn.XLOOKUP(tbl_Ventes[[#This Row],[Cde_Prdt]], tbl_Produits[Cde_Prdt], tbl_Produits[Coût Moyen Portion]), 0)</f>
        <v>0</v>
      </c>
      <c r="I1205" s="7">
        <f>tbl_Ventes[[#This Row],[Qté Vendue]] * tbl_Ventes[[#This Row],[CMP_par_portion]]</f>
        <v>0</v>
      </c>
      <c r="J1205" s="7">
        <f>tbl_Ventes[[#This Row],[CA ligne]] - tbl_Ventes[[#This Row],[Coût matière ligne]]</f>
        <v>0</v>
      </c>
      <c r="K1205" s="7" t="str">
        <f>IFERROR(INDEX(tbl_ProduitsRef[Famille], MATCH(tbl_Ventes[[#This Row],[Cde_Prdt]], tbl_Produits[Cde_Prdt], 0)), "")</f>
        <v/>
      </c>
    </row>
    <row r="1206" spans="1:11" x14ac:dyDescent="0.25">
      <c r="A1206" s="5"/>
      <c r="B1206" s="63" t="str">
        <f>IFERROR(TEXT(tbl_Ventes[[#This Row],[Date]],"mm-aaaa"),"")</f>
        <v>01-1900</v>
      </c>
      <c r="D1206" s="10" t="str">
        <f>IFERROR(
   INDEX(tbl_ProduitsRef[Cde_Prdt],MATCH(tbl_Ventes[[#This Row],[Produit]],tbl_ProduitsRef[Produit],0)),
   ""
)</f>
        <v/>
      </c>
      <c r="E1206" s="7">
        <v>0</v>
      </c>
      <c r="F1206" s="7" t="str">
        <f>IFERROR(
   INDEX(tbl_ProduitsRef[Prix Menu],MATCH(tbl_Ventes[[#This Row],[Produit]],tbl_ProduitsRef[Produit],0)),
   ""
)</f>
        <v/>
      </c>
      <c r="G1206" s="7">
        <f>tbl_Ventes[[#This Row],[Qté Vendue]] * IFERROR(_xlfn.XLOOKUP(tbl_Ventes[[#This Row],[Cde_Prdt]], tbl_Produits[Cde_Prdt], tbl_Produits[Prix Menu]), 0)</f>
        <v>0</v>
      </c>
      <c r="H1206" s="7">
        <f>IFERROR(_xlfn.XLOOKUP(tbl_Ventes[[#This Row],[Cde_Prdt]], tbl_Produits[Cde_Prdt], tbl_Produits[Coût Moyen Portion]), 0)</f>
        <v>0</v>
      </c>
      <c r="I1206" s="7">
        <f>tbl_Ventes[[#This Row],[Qté Vendue]] * tbl_Ventes[[#This Row],[CMP_par_portion]]</f>
        <v>0</v>
      </c>
      <c r="J1206" s="7">
        <f>tbl_Ventes[[#This Row],[CA ligne]] - tbl_Ventes[[#This Row],[Coût matière ligne]]</f>
        <v>0</v>
      </c>
      <c r="K1206" s="7" t="str">
        <f>IFERROR(INDEX(tbl_ProduitsRef[Famille], MATCH(tbl_Ventes[[#This Row],[Cde_Prdt]], tbl_Produits[Cde_Prdt], 0)), "")</f>
        <v/>
      </c>
    </row>
    <row r="1207" spans="1:11" x14ac:dyDescent="0.25">
      <c r="A1207" s="5"/>
      <c r="B1207" s="63" t="str">
        <f>IFERROR(TEXT(tbl_Ventes[[#This Row],[Date]],"mm-aaaa"),"")</f>
        <v>01-1900</v>
      </c>
      <c r="D1207" s="10" t="str">
        <f>IFERROR(
   INDEX(tbl_ProduitsRef[Cde_Prdt],MATCH(tbl_Ventes[[#This Row],[Produit]],tbl_ProduitsRef[Produit],0)),
   ""
)</f>
        <v/>
      </c>
      <c r="E1207" s="7">
        <v>0</v>
      </c>
      <c r="F1207" s="7" t="str">
        <f>IFERROR(
   INDEX(tbl_ProduitsRef[Prix Menu],MATCH(tbl_Ventes[[#This Row],[Produit]],tbl_ProduitsRef[Produit],0)),
   ""
)</f>
        <v/>
      </c>
      <c r="G1207" s="7">
        <f>tbl_Ventes[[#This Row],[Qté Vendue]] * IFERROR(_xlfn.XLOOKUP(tbl_Ventes[[#This Row],[Cde_Prdt]], tbl_Produits[Cde_Prdt], tbl_Produits[Prix Menu]), 0)</f>
        <v>0</v>
      </c>
      <c r="H1207" s="7">
        <f>IFERROR(_xlfn.XLOOKUP(tbl_Ventes[[#This Row],[Cde_Prdt]], tbl_Produits[Cde_Prdt], tbl_Produits[Coût Moyen Portion]), 0)</f>
        <v>0</v>
      </c>
      <c r="I1207" s="7">
        <f>tbl_Ventes[[#This Row],[Qté Vendue]] * tbl_Ventes[[#This Row],[CMP_par_portion]]</f>
        <v>0</v>
      </c>
      <c r="J1207" s="7">
        <f>tbl_Ventes[[#This Row],[CA ligne]] - tbl_Ventes[[#This Row],[Coût matière ligne]]</f>
        <v>0</v>
      </c>
      <c r="K1207" s="7" t="str">
        <f>IFERROR(INDEX(tbl_ProduitsRef[Famille], MATCH(tbl_Ventes[[#This Row],[Cde_Prdt]], tbl_Produits[Cde_Prdt], 0)), "")</f>
        <v/>
      </c>
    </row>
    <row r="1208" spans="1:11" x14ac:dyDescent="0.25">
      <c r="A1208" s="5"/>
      <c r="B1208" s="63" t="str">
        <f>IFERROR(TEXT(tbl_Ventes[[#This Row],[Date]],"mm-aaaa"),"")</f>
        <v>01-1900</v>
      </c>
      <c r="D1208" s="10" t="str">
        <f>IFERROR(
   INDEX(tbl_ProduitsRef[Cde_Prdt],MATCH(tbl_Ventes[[#This Row],[Produit]],tbl_ProduitsRef[Produit],0)),
   ""
)</f>
        <v/>
      </c>
      <c r="E1208" s="7">
        <v>0</v>
      </c>
      <c r="F1208" s="7" t="str">
        <f>IFERROR(
   INDEX(tbl_ProduitsRef[Prix Menu],MATCH(tbl_Ventes[[#This Row],[Produit]],tbl_ProduitsRef[Produit],0)),
   ""
)</f>
        <v/>
      </c>
      <c r="G1208" s="7">
        <f>tbl_Ventes[[#This Row],[Qté Vendue]] * IFERROR(_xlfn.XLOOKUP(tbl_Ventes[[#This Row],[Cde_Prdt]], tbl_Produits[Cde_Prdt], tbl_Produits[Prix Menu]), 0)</f>
        <v>0</v>
      </c>
      <c r="H1208" s="7">
        <f>IFERROR(_xlfn.XLOOKUP(tbl_Ventes[[#This Row],[Cde_Prdt]], tbl_Produits[Cde_Prdt], tbl_Produits[Coût Moyen Portion]), 0)</f>
        <v>0</v>
      </c>
      <c r="I1208" s="7">
        <f>tbl_Ventes[[#This Row],[Qté Vendue]] * tbl_Ventes[[#This Row],[CMP_par_portion]]</f>
        <v>0</v>
      </c>
      <c r="J1208" s="7">
        <f>tbl_Ventes[[#This Row],[CA ligne]] - tbl_Ventes[[#This Row],[Coût matière ligne]]</f>
        <v>0</v>
      </c>
      <c r="K1208" s="7" t="str">
        <f>IFERROR(INDEX(tbl_ProduitsRef[Famille], MATCH(tbl_Ventes[[#This Row],[Cde_Prdt]], tbl_Produits[Cde_Prdt], 0)), "")</f>
        <v/>
      </c>
    </row>
    <row r="1209" spans="1:11" x14ac:dyDescent="0.25">
      <c r="A1209" s="5"/>
      <c r="B1209" s="63" t="str">
        <f>IFERROR(TEXT(tbl_Ventes[[#This Row],[Date]],"mm-aaaa"),"")</f>
        <v>01-1900</v>
      </c>
      <c r="D1209" s="10" t="str">
        <f>IFERROR(
   INDEX(tbl_ProduitsRef[Cde_Prdt],MATCH(tbl_Ventes[[#This Row],[Produit]],tbl_ProduitsRef[Produit],0)),
   ""
)</f>
        <v/>
      </c>
      <c r="E1209" s="7">
        <v>0</v>
      </c>
      <c r="F1209" s="7" t="str">
        <f>IFERROR(
   INDEX(tbl_ProduitsRef[Prix Menu],MATCH(tbl_Ventes[[#This Row],[Produit]],tbl_ProduitsRef[Produit],0)),
   ""
)</f>
        <v/>
      </c>
      <c r="G1209" s="7">
        <f>tbl_Ventes[[#This Row],[Qté Vendue]] * IFERROR(_xlfn.XLOOKUP(tbl_Ventes[[#This Row],[Cde_Prdt]], tbl_Produits[Cde_Prdt], tbl_Produits[Prix Menu]), 0)</f>
        <v>0</v>
      </c>
      <c r="H1209" s="7">
        <f>IFERROR(_xlfn.XLOOKUP(tbl_Ventes[[#This Row],[Cde_Prdt]], tbl_Produits[Cde_Prdt], tbl_Produits[Coût Moyen Portion]), 0)</f>
        <v>0</v>
      </c>
      <c r="I1209" s="7">
        <f>tbl_Ventes[[#This Row],[Qté Vendue]] * tbl_Ventes[[#This Row],[CMP_par_portion]]</f>
        <v>0</v>
      </c>
      <c r="J1209" s="7">
        <f>tbl_Ventes[[#This Row],[CA ligne]] - tbl_Ventes[[#This Row],[Coût matière ligne]]</f>
        <v>0</v>
      </c>
      <c r="K1209" s="7" t="str">
        <f>IFERROR(INDEX(tbl_ProduitsRef[Famille], MATCH(tbl_Ventes[[#This Row],[Cde_Prdt]], tbl_Produits[Cde_Prdt], 0)), "")</f>
        <v/>
      </c>
    </row>
    <row r="1210" spans="1:11" x14ac:dyDescent="0.25">
      <c r="A1210" s="5"/>
      <c r="B1210" s="63" t="str">
        <f>IFERROR(TEXT(tbl_Ventes[[#This Row],[Date]],"mm-aaaa"),"")</f>
        <v>01-1900</v>
      </c>
      <c r="D1210" s="10" t="str">
        <f>IFERROR(
   INDEX(tbl_ProduitsRef[Cde_Prdt],MATCH(tbl_Ventes[[#This Row],[Produit]],tbl_ProduitsRef[Produit],0)),
   ""
)</f>
        <v/>
      </c>
      <c r="E1210" s="7">
        <v>0</v>
      </c>
      <c r="F1210" s="7" t="str">
        <f>IFERROR(
   INDEX(tbl_ProduitsRef[Prix Menu],MATCH(tbl_Ventes[[#This Row],[Produit]],tbl_ProduitsRef[Produit],0)),
   ""
)</f>
        <v/>
      </c>
      <c r="G1210" s="7">
        <f>tbl_Ventes[[#This Row],[Qté Vendue]] * IFERROR(_xlfn.XLOOKUP(tbl_Ventes[[#This Row],[Cde_Prdt]], tbl_Produits[Cde_Prdt], tbl_Produits[Prix Menu]), 0)</f>
        <v>0</v>
      </c>
      <c r="H1210" s="7">
        <f>IFERROR(_xlfn.XLOOKUP(tbl_Ventes[[#This Row],[Cde_Prdt]], tbl_Produits[Cde_Prdt], tbl_Produits[Coût Moyen Portion]), 0)</f>
        <v>0</v>
      </c>
      <c r="I1210" s="7">
        <f>tbl_Ventes[[#This Row],[Qté Vendue]] * tbl_Ventes[[#This Row],[CMP_par_portion]]</f>
        <v>0</v>
      </c>
      <c r="J1210" s="7">
        <f>tbl_Ventes[[#This Row],[CA ligne]] - tbl_Ventes[[#This Row],[Coût matière ligne]]</f>
        <v>0</v>
      </c>
      <c r="K1210" s="7" t="str">
        <f>IFERROR(INDEX(tbl_ProduitsRef[Famille], MATCH(tbl_Ventes[[#This Row],[Cde_Prdt]], tbl_Produits[Cde_Prdt], 0)), "")</f>
        <v/>
      </c>
    </row>
    <row r="1211" spans="1:11" x14ac:dyDescent="0.25">
      <c r="A1211" s="5"/>
      <c r="B1211" s="63" t="str">
        <f>IFERROR(TEXT(tbl_Ventes[[#This Row],[Date]],"mm-aaaa"),"")</f>
        <v>01-1900</v>
      </c>
      <c r="D1211" s="10" t="str">
        <f>IFERROR(
   INDEX(tbl_ProduitsRef[Cde_Prdt],MATCH(tbl_Ventes[[#This Row],[Produit]],tbl_ProduitsRef[Produit],0)),
   ""
)</f>
        <v/>
      </c>
      <c r="E1211" s="7">
        <v>0</v>
      </c>
      <c r="F1211" s="7" t="str">
        <f>IFERROR(
   INDEX(tbl_ProduitsRef[Prix Menu],MATCH(tbl_Ventes[[#This Row],[Produit]],tbl_ProduitsRef[Produit],0)),
   ""
)</f>
        <v/>
      </c>
      <c r="G1211" s="7">
        <f>tbl_Ventes[[#This Row],[Qté Vendue]] * IFERROR(_xlfn.XLOOKUP(tbl_Ventes[[#This Row],[Cde_Prdt]], tbl_Produits[Cde_Prdt], tbl_Produits[Prix Menu]), 0)</f>
        <v>0</v>
      </c>
      <c r="H1211" s="7">
        <f>IFERROR(_xlfn.XLOOKUP(tbl_Ventes[[#This Row],[Cde_Prdt]], tbl_Produits[Cde_Prdt], tbl_Produits[Coût Moyen Portion]), 0)</f>
        <v>0</v>
      </c>
      <c r="I1211" s="7">
        <f>tbl_Ventes[[#This Row],[Qté Vendue]] * tbl_Ventes[[#This Row],[CMP_par_portion]]</f>
        <v>0</v>
      </c>
      <c r="J1211" s="7">
        <f>tbl_Ventes[[#This Row],[CA ligne]] - tbl_Ventes[[#This Row],[Coût matière ligne]]</f>
        <v>0</v>
      </c>
      <c r="K1211" s="7" t="str">
        <f>IFERROR(INDEX(tbl_ProduitsRef[Famille], MATCH(tbl_Ventes[[#This Row],[Cde_Prdt]], tbl_Produits[Cde_Prdt], 0)), "")</f>
        <v/>
      </c>
    </row>
    <row r="1212" spans="1:11" x14ac:dyDescent="0.25">
      <c r="A1212" s="5"/>
      <c r="B1212" s="63" t="str">
        <f>IFERROR(TEXT(tbl_Ventes[[#This Row],[Date]],"mm-aaaa"),"")</f>
        <v>01-1900</v>
      </c>
      <c r="D1212" s="10" t="str">
        <f>IFERROR(
   INDEX(tbl_ProduitsRef[Cde_Prdt],MATCH(tbl_Ventes[[#This Row],[Produit]],tbl_ProduitsRef[Produit],0)),
   ""
)</f>
        <v/>
      </c>
      <c r="E1212" s="7">
        <v>0</v>
      </c>
      <c r="F1212" s="7" t="str">
        <f>IFERROR(
   INDEX(tbl_ProduitsRef[Prix Menu],MATCH(tbl_Ventes[[#This Row],[Produit]],tbl_ProduitsRef[Produit],0)),
   ""
)</f>
        <v/>
      </c>
      <c r="G1212" s="7">
        <f>tbl_Ventes[[#This Row],[Qté Vendue]] * IFERROR(_xlfn.XLOOKUP(tbl_Ventes[[#This Row],[Cde_Prdt]], tbl_Produits[Cde_Prdt], tbl_Produits[Prix Menu]), 0)</f>
        <v>0</v>
      </c>
      <c r="H1212" s="7">
        <f>IFERROR(_xlfn.XLOOKUP(tbl_Ventes[[#This Row],[Cde_Prdt]], tbl_Produits[Cde_Prdt], tbl_Produits[Coût Moyen Portion]), 0)</f>
        <v>0</v>
      </c>
      <c r="I1212" s="7">
        <f>tbl_Ventes[[#This Row],[Qté Vendue]] * tbl_Ventes[[#This Row],[CMP_par_portion]]</f>
        <v>0</v>
      </c>
      <c r="J1212" s="7">
        <f>tbl_Ventes[[#This Row],[CA ligne]] - tbl_Ventes[[#This Row],[Coût matière ligne]]</f>
        <v>0</v>
      </c>
      <c r="K1212" s="7" t="str">
        <f>IFERROR(INDEX(tbl_ProduitsRef[Famille], MATCH(tbl_Ventes[[#This Row],[Cde_Prdt]], tbl_Produits[Cde_Prdt], 0)), "")</f>
        <v/>
      </c>
    </row>
    <row r="1213" spans="1:11" x14ac:dyDescent="0.25">
      <c r="A1213" s="5"/>
      <c r="B1213" s="63" t="str">
        <f>IFERROR(TEXT(tbl_Ventes[[#This Row],[Date]],"mm-aaaa"),"")</f>
        <v>01-1900</v>
      </c>
      <c r="D1213" s="10" t="str">
        <f>IFERROR(
   INDEX(tbl_ProduitsRef[Cde_Prdt],MATCH(tbl_Ventes[[#This Row],[Produit]],tbl_ProduitsRef[Produit],0)),
   ""
)</f>
        <v/>
      </c>
      <c r="E1213" s="7">
        <v>0</v>
      </c>
      <c r="F1213" s="7" t="str">
        <f>IFERROR(
   INDEX(tbl_ProduitsRef[Prix Menu],MATCH(tbl_Ventes[[#This Row],[Produit]],tbl_ProduitsRef[Produit],0)),
   ""
)</f>
        <v/>
      </c>
      <c r="G1213" s="7">
        <f>tbl_Ventes[[#This Row],[Qté Vendue]] * IFERROR(_xlfn.XLOOKUP(tbl_Ventes[[#This Row],[Cde_Prdt]], tbl_Produits[Cde_Prdt], tbl_Produits[Prix Menu]), 0)</f>
        <v>0</v>
      </c>
      <c r="H1213" s="7">
        <f>IFERROR(_xlfn.XLOOKUP(tbl_Ventes[[#This Row],[Cde_Prdt]], tbl_Produits[Cde_Prdt], tbl_Produits[Coût Moyen Portion]), 0)</f>
        <v>0</v>
      </c>
      <c r="I1213" s="7">
        <f>tbl_Ventes[[#This Row],[Qté Vendue]] * tbl_Ventes[[#This Row],[CMP_par_portion]]</f>
        <v>0</v>
      </c>
      <c r="J1213" s="7">
        <f>tbl_Ventes[[#This Row],[CA ligne]] - tbl_Ventes[[#This Row],[Coût matière ligne]]</f>
        <v>0</v>
      </c>
      <c r="K1213" s="7" t="str">
        <f>IFERROR(INDEX(tbl_ProduitsRef[Famille], MATCH(tbl_Ventes[[#This Row],[Cde_Prdt]], tbl_Produits[Cde_Prdt], 0)), "")</f>
        <v/>
      </c>
    </row>
    <row r="1214" spans="1:11" x14ac:dyDescent="0.25">
      <c r="A1214" s="5"/>
      <c r="B1214" s="63" t="str">
        <f>IFERROR(TEXT(tbl_Ventes[[#This Row],[Date]],"mm-aaaa"),"")</f>
        <v>01-1900</v>
      </c>
      <c r="D1214" s="10" t="str">
        <f>IFERROR(
   INDEX(tbl_ProduitsRef[Cde_Prdt],MATCH(tbl_Ventes[[#This Row],[Produit]],tbl_ProduitsRef[Produit],0)),
   ""
)</f>
        <v/>
      </c>
      <c r="E1214" s="7">
        <v>0</v>
      </c>
      <c r="F1214" s="7" t="str">
        <f>IFERROR(
   INDEX(tbl_ProduitsRef[Prix Menu],MATCH(tbl_Ventes[[#This Row],[Produit]],tbl_ProduitsRef[Produit],0)),
   ""
)</f>
        <v/>
      </c>
      <c r="G1214" s="7">
        <f>tbl_Ventes[[#This Row],[Qté Vendue]] * IFERROR(_xlfn.XLOOKUP(tbl_Ventes[[#This Row],[Cde_Prdt]], tbl_Produits[Cde_Prdt], tbl_Produits[Prix Menu]), 0)</f>
        <v>0</v>
      </c>
      <c r="H1214" s="7">
        <f>IFERROR(_xlfn.XLOOKUP(tbl_Ventes[[#This Row],[Cde_Prdt]], tbl_Produits[Cde_Prdt], tbl_Produits[Coût Moyen Portion]), 0)</f>
        <v>0</v>
      </c>
      <c r="I1214" s="7">
        <f>tbl_Ventes[[#This Row],[Qté Vendue]] * tbl_Ventes[[#This Row],[CMP_par_portion]]</f>
        <v>0</v>
      </c>
      <c r="J1214" s="7">
        <f>tbl_Ventes[[#This Row],[CA ligne]] - tbl_Ventes[[#This Row],[Coût matière ligne]]</f>
        <v>0</v>
      </c>
      <c r="K1214" s="7" t="str">
        <f>IFERROR(INDEX(tbl_ProduitsRef[Famille], MATCH(tbl_Ventes[[#This Row],[Cde_Prdt]], tbl_Produits[Cde_Prdt], 0)), "")</f>
        <v/>
      </c>
    </row>
    <row r="1215" spans="1:11" x14ac:dyDescent="0.25">
      <c r="A1215" s="5"/>
      <c r="B1215" s="63" t="str">
        <f>IFERROR(TEXT(tbl_Ventes[[#This Row],[Date]],"mm-aaaa"),"")</f>
        <v>01-1900</v>
      </c>
      <c r="D1215" s="10" t="str">
        <f>IFERROR(
   INDEX(tbl_ProduitsRef[Cde_Prdt],MATCH(tbl_Ventes[[#This Row],[Produit]],tbl_ProduitsRef[Produit],0)),
   ""
)</f>
        <v/>
      </c>
      <c r="E1215" s="7">
        <v>0</v>
      </c>
      <c r="F1215" s="7" t="str">
        <f>IFERROR(
   INDEX(tbl_ProduitsRef[Prix Menu],MATCH(tbl_Ventes[[#This Row],[Produit]],tbl_ProduitsRef[Produit],0)),
   ""
)</f>
        <v/>
      </c>
      <c r="G1215" s="7">
        <f>tbl_Ventes[[#This Row],[Qté Vendue]] * IFERROR(_xlfn.XLOOKUP(tbl_Ventes[[#This Row],[Cde_Prdt]], tbl_Produits[Cde_Prdt], tbl_Produits[Prix Menu]), 0)</f>
        <v>0</v>
      </c>
      <c r="H1215" s="7">
        <f>IFERROR(_xlfn.XLOOKUP(tbl_Ventes[[#This Row],[Cde_Prdt]], tbl_Produits[Cde_Prdt], tbl_Produits[Coût Moyen Portion]), 0)</f>
        <v>0</v>
      </c>
      <c r="I1215" s="7">
        <f>tbl_Ventes[[#This Row],[Qté Vendue]] * tbl_Ventes[[#This Row],[CMP_par_portion]]</f>
        <v>0</v>
      </c>
      <c r="J1215" s="7">
        <f>tbl_Ventes[[#This Row],[CA ligne]] - tbl_Ventes[[#This Row],[Coût matière ligne]]</f>
        <v>0</v>
      </c>
      <c r="K1215" s="7" t="str">
        <f>IFERROR(INDEX(tbl_ProduitsRef[Famille], MATCH(tbl_Ventes[[#This Row],[Cde_Prdt]], tbl_Produits[Cde_Prdt], 0)), "")</f>
        <v/>
      </c>
    </row>
    <row r="1216" spans="1:11" x14ac:dyDescent="0.25">
      <c r="A1216" s="5"/>
      <c r="B1216" s="63" t="str">
        <f>IFERROR(TEXT(tbl_Ventes[[#This Row],[Date]],"mm-aaaa"),"")</f>
        <v>01-1900</v>
      </c>
      <c r="D1216" s="10" t="str">
        <f>IFERROR(
   INDEX(tbl_ProduitsRef[Cde_Prdt],MATCH(tbl_Ventes[[#This Row],[Produit]],tbl_ProduitsRef[Produit],0)),
   ""
)</f>
        <v/>
      </c>
      <c r="E1216" s="7">
        <v>0</v>
      </c>
      <c r="F1216" s="7" t="str">
        <f>IFERROR(
   INDEX(tbl_ProduitsRef[Prix Menu],MATCH(tbl_Ventes[[#This Row],[Produit]],tbl_ProduitsRef[Produit],0)),
   ""
)</f>
        <v/>
      </c>
      <c r="G1216" s="7">
        <f>tbl_Ventes[[#This Row],[Qté Vendue]] * IFERROR(_xlfn.XLOOKUP(tbl_Ventes[[#This Row],[Cde_Prdt]], tbl_Produits[Cde_Prdt], tbl_Produits[Prix Menu]), 0)</f>
        <v>0</v>
      </c>
      <c r="H1216" s="7">
        <f>IFERROR(_xlfn.XLOOKUP(tbl_Ventes[[#This Row],[Cde_Prdt]], tbl_Produits[Cde_Prdt], tbl_Produits[Coût Moyen Portion]), 0)</f>
        <v>0</v>
      </c>
      <c r="I1216" s="7">
        <f>tbl_Ventes[[#This Row],[Qté Vendue]] * tbl_Ventes[[#This Row],[CMP_par_portion]]</f>
        <v>0</v>
      </c>
      <c r="J1216" s="7">
        <f>tbl_Ventes[[#This Row],[CA ligne]] - tbl_Ventes[[#This Row],[Coût matière ligne]]</f>
        <v>0</v>
      </c>
      <c r="K1216" s="7" t="str">
        <f>IFERROR(INDEX(tbl_ProduitsRef[Famille], MATCH(tbl_Ventes[[#This Row],[Cde_Prdt]], tbl_Produits[Cde_Prdt], 0)), "")</f>
        <v/>
      </c>
    </row>
    <row r="1217" spans="1:11" x14ac:dyDescent="0.25">
      <c r="A1217" s="5"/>
      <c r="B1217" s="63" t="str">
        <f>IFERROR(TEXT(tbl_Ventes[[#This Row],[Date]],"mm-aaaa"),"")</f>
        <v>01-1900</v>
      </c>
      <c r="D1217" s="10" t="str">
        <f>IFERROR(
   INDEX(tbl_ProduitsRef[Cde_Prdt],MATCH(tbl_Ventes[[#This Row],[Produit]],tbl_ProduitsRef[Produit],0)),
   ""
)</f>
        <v/>
      </c>
      <c r="E1217" s="7">
        <v>0</v>
      </c>
      <c r="F1217" s="7" t="str">
        <f>IFERROR(
   INDEX(tbl_ProduitsRef[Prix Menu],MATCH(tbl_Ventes[[#This Row],[Produit]],tbl_ProduitsRef[Produit],0)),
   ""
)</f>
        <v/>
      </c>
      <c r="G1217" s="7">
        <f>tbl_Ventes[[#This Row],[Qté Vendue]] * IFERROR(_xlfn.XLOOKUP(tbl_Ventes[[#This Row],[Cde_Prdt]], tbl_Produits[Cde_Prdt], tbl_Produits[Prix Menu]), 0)</f>
        <v>0</v>
      </c>
      <c r="H1217" s="7">
        <f>IFERROR(_xlfn.XLOOKUP(tbl_Ventes[[#This Row],[Cde_Prdt]], tbl_Produits[Cde_Prdt], tbl_Produits[Coût Moyen Portion]), 0)</f>
        <v>0</v>
      </c>
      <c r="I1217" s="7">
        <f>tbl_Ventes[[#This Row],[Qté Vendue]] * tbl_Ventes[[#This Row],[CMP_par_portion]]</f>
        <v>0</v>
      </c>
      <c r="J1217" s="7">
        <f>tbl_Ventes[[#This Row],[CA ligne]] - tbl_Ventes[[#This Row],[Coût matière ligne]]</f>
        <v>0</v>
      </c>
      <c r="K1217" s="7" t="str">
        <f>IFERROR(INDEX(tbl_ProduitsRef[Famille], MATCH(tbl_Ventes[[#This Row],[Cde_Prdt]], tbl_Produits[Cde_Prdt], 0)), "")</f>
        <v/>
      </c>
    </row>
    <row r="1218" spans="1:11" x14ac:dyDescent="0.25">
      <c r="A1218" s="5"/>
      <c r="B1218" s="63" t="str">
        <f>IFERROR(TEXT(tbl_Ventes[[#This Row],[Date]],"mm-aaaa"),"")</f>
        <v>01-1900</v>
      </c>
      <c r="D1218" s="10" t="str">
        <f>IFERROR(
   INDEX(tbl_ProduitsRef[Cde_Prdt],MATCH(tbl_Ventes[[#This Row],[Produit]],tbl_ProduitsRef[Produit],0)),
   ""
)</f>
        <v/>
      </c>
      <c r="E1218" s="7">
        <v>0</v>
      </c>
      <c r="F1218" s="7" t="str">
        <f>IFERROR(
   INDEX(tbl_ProduitsRef[Prix Menu],MATCH(tbl_Ventes[[#This Row],[Produit]],tbl_ProduitsRef[Produit],0)),
   ""
)</f>
        <v/>
      </c>
      <c r="G1218" s="7">
        <f>tbl_Ventes[[#This Row],[Qté Vendue]] * IFERROR(_xlfn.XLOOKUP(tbl_Ventes[[#This Row],[Cde_Prdt]], tbl_Produits[Cde_Prdt], tbl_Produits[Prix Menu]), 0)</f>
        <v>0</v>
      </c>
      <c r="H1218" s="7">
        <f>IFERROR(_xlfn.XLOOKUP(tbl_Ventes[[#This Row],[Cde_Prdt]], tbl_Produits[Cde_Prdt], tbl_Produits[Coût Moyen Portion]), 0)</f>
        <v>0</v>
      </c>
      <c r="I1218" s="7">
        <f>tbl_Ventes[[#This Row],[Qté Vendue]] * tbl_Ventes[[#This Row],[CMP_par_portion]]</f>
        <v>0</v>
      </c>
      <c r="J1218" s="7">
        <f>tbl_Ventes[[#This Row],[CA ligne]] - tbl_Ventes[[#This Row],[Coût matière ligne]]</f>
        <v>0</v>
      </c>
      <c r="K1218" s="7" t="str">
        <f>IFERROR(INDEX(tbl_ProduitsRef[Famille], MATCH(tbl_Ventes[[#This Row],[Cde_Prdt]], tbl_Produits[Cde_Prdt], 0)), "")</f>
        <v/>
      </c>
    </row>
    <row r="1219" spans="1:11" x14ac:dyDescent="0.25">
      <c r="A1219" s="5"/>
      <c r="B1219" s="63" t="str">
        <f>IFERROR(TEXT(tbl_Ventes[[#This Row],[Date]],"mm-aaaa"),"")</f>
        <v>01-1900</v>
      </c>
      <c r="D1219" s="10" t="str">
        <f>IFERROR(
   INDEX(tbl_ProduitsRef[Cde_Prdt],MATCH(tbl_Ventes[[#This Row],[Produit]],tbl_ProduitsRef[Produit],0)),
   ""
)</f>
        <v/>
      </c>
      <c r="E1219" s="7">
        <v>0</v>
      </c>
      <c r="F1219" s="7" t="str">
        <f>IFERROR(
   INDEX(tbl_ProduitsRef[Prix Menu],MATCH(tbl_Ventes[[#This Row],[Produit]],tbl_ProduitsRef[Produit],0)),
   ""
)</f>
        <v/>
      </c>
      <c r="G1219" s="7">
        <f>tbl_Ventes[[#This Row],[Qté Vendue]] * IFERROR(_xlfn.XLOOKUP(tbl_Ventes[[#This Row],[Cde_Prdt]], tbl_Produits[Cde_Prdt], tbl_Produits[Prix Menu]), 0)</f>
        <v>0</v>
      </c>
      <c r="H1219" s="7">
        <f>IFERROR(_xlfn.XLOOKUP(tbl_Ventes[[#This Row],[Cde_Prdt]], tbl_Produits[Cde_Prdt], tbl_Produits[Coût Moyen Portion]), 0)</f>
        <v>0</v>
      </c>
      <c r="I1219" s="7">
        <f>tbl_Ventes[[#This Row],[Qté Vendue]] * tbl_Ventes[[#This Row],[CMP_par_portion]]</f>
        <v>0</v>
      </c>
      <c r="J1219" s="7">
        <f>tbl_Ventes[[#This Row],[CA ligne]] - tbl_Ventes[[#This Row],[Coût matière ligne]]</f>
        <v>0</v>
      </c>
      <c r="K1219" s="7" t="str">
        <f>IFERROR(INDEX(tbl_ProduitsRef[Famille], MATCH(tbl_Ventes[[#This Row],[Cde_Prdt]], tbl_Produits[Cde_Prdt], 0)), "")</f>
        <v/>
      </c>
    </row>
    <row r="1220" spans="1:11" x14ac:dyDescent="0.25">
      <c r="A1220" s="5"/>
      <c r="B1220" s="63" t="str">
        <f>IFERROR(TEXT(tbl_Ventes[[#This Row],[Date]],"mm-aaaa"),"")</f>
        <v>01-1900</v>
      </c>
      <c r="D1220" s="10" t="str">
        <f>IFERROR(
   INDEX(tbl_ProduitsRef[Cde_Prdt],MATCH(tbl_Ventes[[#This Row],[Produit]],tbl_ProduitsRef[Produit],0)),
   ""
)</f>
        <v/>
      </c>
      <c r="E1220" s="7">
        <v>0</v>
      </c>
      <c r="F1220" s="7" t="str">
        <f>IFERROR(
   INDEX(tbl_ProduitsRef[Prix Menu],MATCH(tbl_Ventes[[#This Row],[Produit]],tbl_ProduitsRef[Produit],0)),
   ""
)</f>
        <v/>
      </c>
      <c r="G1220" s="7">
        <f>tbl_Ventes[[#This Row],[Qté Vendue]] * IFERROR(_xlfn.XLOOKUP(tbl_Ventes[[#This Row],[Cde_Prdt]], tbl_Produits[Cde_Prdt], tbl_Produits[Prix Menu]), 0)</f>
        <v>0</v>
      </c>
      <c r="H1220" s="7">
        <f>IFERROR(_xlfn.XLOOKUP(tbl_Ventes[[#This Row],[Cde_Prdt]], tbl_Produits[Cde_Prdt], tbl_Produits[Coût Moyen Portion]), 0)</f>
        <v>0</v>
      </c>
      <c r="I1220" s="7">
        <f>tbl_Ventes[[#This Row],[Qté Vendue]] * tbl_Ventes[[#This Row],[CMP_par_portion]]</f>
        <v>0</v>
      </c>
      <c r="J1220" s="7">
        <f>tbl_Ventes[[#This Row],[CA ligne]] - tbl_Ventes[[#This Row],[Coût matière ligne]]</f>
        <v>0</v>
      </c>
      <c r="K1220" s="7" t="str">
        <f>IFERROR(INDEX(tbl_ProduitsRef[Famille], MATCH(tbl_Ventes[[#This Row],[Cde_Prdt]], tbl_Produits[Cde_Prdt], 0)), "")</f>
        <v/>
      </c>
    </row>
    <row r="1221" spans="1:11" x14ac:dyDescent="0.25">
      <c r="A1221" s="5"/>
      <c r="B1221" s="63" t="str">
        <f>IFERROR(TEXT(tbl_Ventes[[#This Row],[Date]],"mm-aaaa"),"")</f>
        <v>01-1900</v>
      </c>
      <c r="D1221" s="10" t="str">
        <f>IFERROR(
   INDEX(tbl_ProduitsRef[Cde_Prdt],MATCH(tbl_Ventes[[#This Row],[Produit]],tbl_ProduitsRef[Produit],0)),
   ""
)</f>
        <v/>
      </c>
      <c r="E1221" s="7">
        <v>0</v>
      </c>
      <c r="F1221" s="7" t="str">
        <f>IFERROR(
   INDEX(tbl_ProduitsRef[Prix Menu],MATCH(tbl_Ventes[[#This Row],[Produit]],tbl_ProduitsRef[Produit],0)),
   ""
)</f>
        <v/>
      </c>
      <c r="G1221" s="7">
        <f>tbl_Ventes[[#This Row],[Qté Vendue]] * IFERROR(_xlfn.XLOOKUP(tbl_Ventes[[#This Row],[Cde_Prdt]], tbl_Produits[Cde_Prdt], tbl_Produits[Prix Menu]), 0)</f>
        <v>0</v>
      </c>
      <c r="H1221" s="7">
        <f>IFERROR(_xlfn.XLOOKUP(tbl_Ventes[[#This Row],[Cde_Prdt]], tbl_Produits[Cde_Prdt], tbl_Produits[Coût Moyen Portion]), 0)</f>
        <v>0</v>
      </c>
      <c r="I1221" s="7">
        <f>tbl_Ventes[[#This Row],[Qté Vendue]] * tbl_Ventes[[#This Row],[CMP_par_portion]]</f>
        <v>0</v>
      </c>
      <c r="J1221" s="7">
        <f>tbl_Ventes[[#This Row],[CA ligne]] - tbl_Ventes[[#This Row],[Coût matière ligne]]</f>
        <v>0</v>
      </c>
      <c r="K1221" s="7" t="str">
        <f>IFERROR(INDEX(tbl_ProduitsRef[Famille], MATCH(tbl_Ventes[[#This Row],[Cde_Prdt]], tbl_Produits[Cde_Prdt], 0)), "")</f>
        <v/>
      </c>
    </row>
    <row r="1222" spans="1:11" x14ac:dyDescent="0.25">
      <c r="A1222" s="5"/>
      <c r="B1222" s="63" t="str">
        <f>IFERROR(TEXT(tbl_Ventes[[#This Row],[Date]],"mm-aaaa"),"")</f>
        <v>01-1900</v>
      </c>
      <c r="D1222" s="10" t="str">
        <f>IFERROR(
   INDEX(tbl_ProduitsRef[Cde_Prdt],MATCH(tbl_Ventes[[#This Row],[Produit]],tbl_ProduitsRef[Produit],0)),
   ""
)</f>
        <v/>
      </c>
      <c r="E1222" s="7">
        <v>0</v>
      </c>
      <c r="F1222" s="7" t="str">
        <f>IFERROR(
   INDEX(tbl_ProduitsRef[Prix Menu],MATCH(tbl_Ventes[[#This Row],[Produit]],tbl_ProduitsRef[Produit],0)),
   ""
)</f>
        <v/>
      </c>
      <c r="G1222" s="7">
        <f>tbl_Ventes[[#This Row],[Qté Vendue]] * IFERROR(_xlfn.XLOOKUP(tbl_Ventes[[#This Row],[Cde_Prdt]], tbl_Produits[Cde_Prdt], tbl_Produits[Prix Menu]), 0)</f>
        <v>0</v>
      </c>
      <c r="H1222" s="7">
        <f>IFERROR(_xlfn.XLOOKUP(tbl_Ventes[[#This Row],[Cde_Prdt]], tbl_Produits[Cde_Prdt], tbl_Produits[Coût Moyen Portion]), 0)</f>
        <v>0</v>
      </c>
      <c r="I1222" s="7">
        <f>tbl_Ventes[[#This Row],[Qté Vendue]] * tbl_Ventes[[#This Row],[CMP_par_portion]]</f>
        <v>0</v>
      </c>
      <c r="J1222" s="7">
        <f>tbl_Ventes[[#This Row],[CA ligne]] - tbl_Ventes[[#This Row],[Coût matière ligne]]</f>
        <v>0</v>
      </c>
      <c r="K1222" s="7" t="str">
        <f>IFERROR(INDEX(tbl_ProduitsRef[Famille], MATCH(tbl_Ventes[[#This Row],[Cde_Prdt]], tbl_Produits[Cde_Prdt], 0)), "")</f>
        <v/>
      </c>
    </row>
    <row r="1223" spans="1:11" x14ac:dyDescent="0.25">
      <c r="A1223" s="5"/>
      <c r="B1223" s="63" t="str">
        <f>IFERROR(TEXT(tbl_Ventes[[#This Row],[Date]],"mm-aaaa"),"")</f>
        <v>01-1900</v>
      </c>
      <c r="D1223" s="10" t="str">
        <f>IFERROR(
   INDEX(tbl_ProduitsRef[Cde_Prdt],MATCH(tbl_Ventes[[#This Row],[Produit]],tbl_ProduitsRef[Produit],0)),
   ""
)</f>
        <v/>
      </c>
      <c r="E1223" s="7">
        <v>0</v>
      </c>
      <c r="F1223" s="7" t="str">
        <f>IFERROR(
   INDEX(tbl_ProduitsRef[Prix Menu],MATCH(tbl_Ventes[[#This Row],[Produit]],tbl_ProduitsRef[Produit],0)),
   ""
)</f>
        <v/>
      </c>
      <c r="G1223" s="7">
        <f>tbl_Ventes[[#This Row],[Qté Vendue]] * IFERROR(_xlfn.XLOOKUP(tbl_Ventes[[#This Row],[Cde_Prdt]], tbl_Produits[Cde_Prdt], tbl_Produits[Prix Menu]), 0)</f>
        <v>0</v>
      </c>
      <c r="H1223" s="7">
        <f>IFERROR(_xlfn.XLOOKUP(tbl_Ventes[[#This Row],[Cde_Prdt]], tbl_Produits[Cde_Prdt], tbl_Produits[Coût Moyen Portion]), 0)</f>
        <v>0</v>
      </c>
      <c r="I1223" s="7">
        <f>tbl_Ventes[[#This Row],[Qté Vendue]] * tbl_Ventes[[#This Row],[CMP_par_portion]]</f>
        <v>0</v>
      </c>
      <c r="J1223" s="7">
        <f>tbl_Ventes[[#This Row],[CA ligne]] - tbl_Ventes[[#This Row],[Coût matière ligne]]</f>
        <v>0</v>
      </c>
      <c r="K1223" s="7" t="str">
        <f>IFERROR(INDEX(tbl_ProduitsRef[Famille], MATCH(tbl_Ventes[[#This Row],[Cde_Prdt]], tbl_Produits[Cde_Prdt], 0)), "")</f>
        <v/>
      </c>
    </row>
    <row r="1224" spans="1:11" x14ac:dyDescent="0.25">
      <c r="A1224" s="5"/>
      <c r="B1224" s="63" t="str">
        <f>IFERROR(TEXT(tbl_Ventes[[#This Row],[Date]],"mm-aaaa"),"")</f>
        <v>01-1900</v>
      </c>
      <c r="D1224" s="10" t="str">
        <f>IFERROR(
   INDEX(tbl_ProduitsRef[Cde_Prdt],MATCH(tbl_Ventes[[#This Row],[Produit]],tbl_ProduitsRef[Produit],0)),
   ""
)</f>
        <v/>
      </c>
      <c r="E1224" s="7">
        <v>0</v>
      </c>
      <c r="F1224" s="7" t="str">
        <f>IFERROR(
   INDEX(tbl_ProduitsRef[Prix Menu],MATCH(tbl_Ventes[[#This Row],[Produit]],tbl_ProduitsRef[Produit],0)),
   ""
)</f>
        <v/>
      </c>
      <c r="G1224" s="7">
        <f>tbl_Ventes[[#This Row],[Qté Vendue]] * IFERROR(_xlfn.XLOOKUP(tbl_Ventes[[#This Row],[Cde_Prdt]], tbl_Produits[Cde_Prdt], tbl_Produits[Prix Menu]), 0)</f>
        <v>0</v>
      </c>
      <c r="H1224" s="7">
        <f>IFERROR(_xlfn.XLOOKUP(tbl_Ventes[[#This Row],[Cde_Prdt]], tbl_Produits[Cde_Prdt], tbl_Produits[Coût Moyen Portion]), 0)</f>
        <v>0</v>
      </c>
      <c r="I1224" s="7">
        <f>tbl_Ventes[[#This Row],[Qté Vendue]] * tbl_Ventes[[#This Row],[CMP_par_portion]]</f>
        <v>0</v>
      </c>
      <c r="J1224" s="7">
        <f>tbl_Ventes[[#This Row],[CA ligne]] - tbl_Ventes[[#This Row],[Coût matière ligne]]</f>
        <v>0</v>
      </c>
      <c r="K1224" s="7" t="str">
        <f>IFERROR(INDEX(tbl_ProduitsRef[Famille], MATCH(tbl_Ventes[[#This Row],[Cde_Prdt]], tbl_Produits[Cde_Prdt], 0)), "")</f>
        <v/>
      </c>
    </row>
    <row r="1225" spans="1:11" x14ac:dyDescent="0.25">
      <c r="A1225" s="5"/>
      <c r="B1225" s="63" t="str">
        <f>IFERROR(TEXT(tbl_Ventes[[#This Row],[Date]],"mm-aaaa"),"")</f>
        <v>01-1900</v>
      </c>
      <c r="D1225" s="10" t="str">
        <f>IFERROR(
   INDEX(tbl_ProduitsRef[Cde_Prdt],MATCH(tbl_Ventes[[#This Row],[Produit]],tbl_ProduitsRef[Produit],0)),
   ""
)</f>
        <v/>
      </c>
      <c r="E1225" s="7">
        <v>0</v>
      </c>
      <c r="F1225" s="7" t="str">
        <f>IFERROR(
   INDEX(tbl_ProduitsRef[Prix Menu],MATCH(tbl_Ventes[[#This Row],[Produit]],tbl_ProduitsRef[Produit],0)),
   ""
)</f>
        <v/>
      </c>
      <c r="G1225" s="7">
        <f>tbl_Ventes[[#This Row],[Qté Vendue]] * IFERROR(_xlfn.XLOOKUP(tbl_Ventes[[#This Row],[Cde_Prdt]], tbl_Produits[Cde_Prdt], tbl_Produits[Prix Menu]), 0)</f>
        <v>0</v>
      </c>
      <c r="H1225" s="7">
        <f>IFERROR(_xlfn.XLOOKUP(tbl_Ventes[[#This Row],[Cde_Prdt]], tbl_Produits[Cde_Prdt], tbl_Produits[Coût Moyen Portion]), 0)</f>
        <v>0</v>
      </c>
      <c r="I1225" s="7">
        <f>tbl_Ventes[[#This Row],[Qté Vendue]] * tbl_Ventes[[#This Row],[CMP_par_portion]]</f>
        <v>0</v>
      </c>
      <c r="J1225" s="7">
        <f>tbl_Ventes[[#This Row],[CA ligne]] - tbl_Ventes[[#This Row],[Coût matière ligne]]</f>
        <v>0</v>
      </c>
      <c r="K1225" s="7" t="str">
        <f>IFERROR(INDEX(tbl_ProduitsRef[Famille], MATCH(tbl_Ventes[[#This Row],[Cde_Prdt]], tbl_Produits[Cde_Prdt], 0)), "")</f>
        <v/>
      </c>
    </row>
    <row r="1226" spans="1:11" x14ac:dyDescent="0.25">
      <c r="A1226" s="5"/>
      <c r="B1226" s="63" t="str">
        <f>IFERROR(TEXT(tbl_Ventes[[#This Row],[Date]],"mm-aaaa"),"")</f>
        <v>01-1900</v>
      </c>
      <c r="D1226" s="10" t="str">
        <f>IFERROR(
   INDEX(tbl_ProduitsRef[Cde_Prdt],MATCH(tbl_Ventes[[#This Row],[Produit]],tbl_ProduitsRef[Produit],0)),
   ""
)</f>
        <v/>
      </c>
      <c r="E1226" s="7">
        <v>0</v>
      </c>
      <c r="F1226" s="7" t="str">
        <f>IFERROR(
   INDEX(tbl_ProduitsRef[Prix Menu],MATCH(tbl_Ventes[[#This Row],[Produit]],tbl_ProduitsRef[Produit],0)),
   ""
)</f>
        <v/>
      </c>
      <c r="G1226" s="7">
        <f>tbl_Ventes[[#This Row],[Qté Vendue]] * IFERROR(_xlfn.XLOOKUP(tbl_Ventes[[#This Row],[Cde_Prdt]], tbl_Produits[Cde_Prdt], tbl_Produits[Prix Menu]), 0)</f>
        <v>0</v>
      </c>
      <c r="H1226" s="7">
        <f>IFERROR(_xlfn.XLOOKUP(tbl_Ventes[[#This Row],[Cde_Prdt]], tbl_Produits[Cde_Prdt], tbl_Produits[Coût Moyen Portion]), 0)</f>
        <v>0</v>
      </c>
      <c r="I1226" s="7">
        <f>tbl_Ventes[[#This Row],[Qté Vendue]] * tbl_Ventes[[#This Row],[CMP_par_portion]]</f>
        <v>0</v>
      </c>
      <c r="J1226" s="7">
        <f>tbl_Ventes[[#This Row],[CA ligne]] - tbl_Ventes[[#This Row],[Coût matière ligne]]</f>
        <v>0</v>
      </c>
      <c r="K1226" s="7" t="str">
        <f>IFERROR(INDEX(tbl_ProduitsRef[Famille], MATCH(tbl_Ventes[[#This Row],[Cde_Prdt]], tbl_Produits[Cde_Prdt], 0)), "")</f>
        <v/>
      </c>
    </row>
    <row r="1227" spans="1:11" x14ac:dyDescent="0.25">
      <c r="A1227" s="5"/>
      <c r="B1227" s="63" t="str">
        <f>IFERROR(TEXT(tbl_Ventes[[#This Row],[Date]],"mm-aaaa"),"")</f>
        <v>01-1900</v>
      </c>
      <c r="D1227" s="10" t="str">
        <f>IFERROR(
   INDEX(tbl_ProduitsRef[Cde_Prdt],MATCH(tbl_Ventes[[#This Row],[Produit]],tbl_ProduitsRef[Produit],0)),
   ""
)</f>
        <v/>
      </c>
      <c r="E1227" s="7">
        <v>0</v>
      </c>
      <c r="F1227" s="7" t="str">
        <f>IFERROR(
   INDEX(tbl_ProduitsRef[Prix Menu],MATCH(tbl_Ventes[[#This Row],[Produit]],tbl_ProduitsRef[Produit],0)),
   ""
)</f>
        <v/>
      </c>
      <c r="G1227" s="7">
        <f>tbl_Ventes[[#This Row],[Qté Vendue]] * IFERROR(_xlfn.XLOOKUP(tbl_Ventes[[#This Row],[Cde_Prdt]], tbl_Produits[Cde_Prdt], tbl_Produits[Prix Menu]), 0)</f>
        <v>0</v>
      </c>
      <c r="H1227" s="7">
        <f>IFERROR(_xlfn.XLOOKUP(tbl_Ventes[[#This Row],[Cde_Prdt]], tbl_Produits[Cde_Prdt], tbl_Produits[Coût Moyen Portion]), 0)</f>
        <v>0</v>
      </c>
      <c r="I1227" s="7">
        <f>tbl_Ventes[[#This Row],[Qté Vendue]] * tbl_Ventes[[#This Row],[CMP_par_portion]]</f>
        <v>0</v>
      </c>
      <c r="J1227" s="7">
        <f>tbl_Ventes[[#This Row],[CA ligne]] - tbl_Ventes[[#This Row],[Coût matière ligne]]</f>
        <v>0</v>
      </c>
      <c r="K1227" s="7" t="str">
        <f>IFERROR(INDEX(tbl_ProduitsRef[Famille], MATCH(tbl_Ventes[[#This Row],[Cde_Prdt]], tbl_Produits[Cde_Prdt], 0)), "")</f>
        <v/>
      </c>
    </row>
    <row r="1228" spans="1:11" x14ac:dyDescent="0.25">
      <c r="A1228" s="5"/>
      <c r="B1228" s="63" t="str">
        <f>IFERROR(TEXT(tbl_Ventes[[#This Row],[Date]],"mm-aaaa"),"")</f>
        <v>01-1900</v>
      </c>
      <c r="D1228" s="10" t="str">
        <f>IFERROR(
   INDEX(tbl_ProduitsRef[Cde_Prdt],MATCH(tbl_Ventes[[#This Row],[Produit]],tbl_ProduitsRef[Produit],0)),
   ""
)</f>
        <v/>
      </c>
      <c r="E1228" s="7">
        <v>0</v>
      </c>
      <c r="F1228" s="7" t="str">
        <f>IFERROR(
   INDEX(tbl_ProduitsRef[Prix Menu],MATCH(tbl_Ventes[[#This Row],[Produit]],tbl_ProduitsRef[Produit],0)),
   ""
)</f>
        <v/>
      </c>
      <c r="G1228" s="7">
        <f>tbl_Ventes[[#This Row],[Qté Vendue]] * IFERROR(_xlfn.XLOOKUP(tbl_Ventes[[#This Row],[Cde_Prdt]], tbl_Produits[Cde_Prdt], tbl_Produits[Prix Menu]), 0)</f>
        <v>0</v>
      </c>
      <c r="H1228" s="7">
        <f>IFERROR(_xlfn.XLOOKUP(tbl_Ventes[[#This Row],[Cde_Prdt]], tbl_Produits[Cde_Prdt], tbl_Produits[Coût Moyen Portion]), 0)</f>
        <v>0</v>
      </c>
      <c r="I1228" s="7">
        <f>tbl_Ventes[[#This Row],[Qté Vendue]] * tbl_Ventes[[#This Row],[CMP_par_portion]]</f>
        <v>0</v>
      </c>
      <c r="J1228" s="7">
        <f>tbl_Ventes[[#This Row],[CA ligne]] - tbl_Ventes[[#This Row],[Coût matière ligne]]</f>
        <v>0</v>
      </c>
      <c r="K1228" s="7" t="str">
        <f>IFERROR(INDEX(tbl_ProduitsRef[Famille], MATCH(tbl_Ventes[[#This Row],[Cde_Prdt]], tbl_Produits[Cde_Prdt], 0)), "")</f>
        <v/>
      </c>
    </row>
    <row r="1229" spans="1:11" x14ac:dyDescent="0.25">
      <c r="A1229" s="5"/>
      <c r="B1229" s="63" t="str">
        <f>IFERROR(TEXT(tbl_Ventes[[#This Row],[Date]],"mm-aaaa"),"")</f>
        <v>01-1900</v>
      </c>
      <c r="D1229" s="10" t="str">
        <f>IFERROR(
   INDEX(tbl_ProduitsRef[Cde_Prdt],MATCH(tbl_Ventes[[#This Row],[Produit]],tbl_ProduitsRef[Produit],0)),
   ""
)</f>
        <v/>
      </c>
      <c r="E1229" s="7">
        <v>0</v>
      </c>
      <c r="F1229" s="7" t="str">
        <f>IFERROR(
   INDEX(tbl_ProduitsRef[Prix Menu],MATCH(tbl_Ventes[[#This Row],[Produit]],tbl_ProduitsRef[Produit],0)),
   ""
)</f>
        <v/>
      </c>
      <c r="G1229" s="7">
        <f>tbl_Ventes[[#This Row],[Qté Vendue]] * IFERROR(_xlfn.XLOOKUP(tbl_Ventes[[#This Row],[Cde_Prdt]], tbl_Produits[Cde_Prdt], tbl_Produits[Prix Menu]), 0)</f>
        <v>0</v>
      </c>
      <c r="H1229" s="7">
        <f>IFERROR(_xlfn.XLOOKUP(tbl_Ventes[[#This Row],[Cde_Prdt]], tbl_Produits[Cde_Prdt], tbl_Produits[Coût Moyen Portion]), 0)</f>
        <v>0</v>
      </c>
      <c r="I1229" s="7">
        <f>tbl_Ventes[[#This Row],[Qté Vendue]] * tbl_Ventes[[#This Row],[CMP_par_portion]]</f>
        <v>0</v>
      </c>
      <c r="J1229" s="7">
        <f>tbl_Ventes[[#This Row],[CA ligne]] - tbl_Ventes[[#This Row],[Coût matière ligne]]</f>
        <v>0</v>
      </c>
      <c r="K1229" s="7" t="str">
        <f>IFERROR(INDEX(tbl_ProduitsRef[Famille], MATCH(tbl_Ventes[[#This Row],[Cde_Prdt]], tbl_Produits[Cde_Prdt], 0)), "")</f>
        <v/>
      </c>
    </row>
    <row r="1230" spans="1:11" x14ac:dyDescent="0.25">
      <c r="A1230" s="5"/>
      <c r="B1230" s="63" t="str">
        <f>IFERROR(TEXT(tbl_Ventes[[#This Row],[Date]],"mm-aaaa"),"")</f>
        <v>01-1900</v>
      </c>
      <c r="D1230" s="10" t="str">
        <f>IFERROR(
   INDEX(tbl_ProduitsRef[Cde_Prdt],MATCH(tbl_Ventes[[#This Row],[Produit]],tbl_ProduitsRef[Produit],0)),
   ""
)</f>
        <v/>
      </c>
      <c r="E1230" s="7">
        <v>0</v>
      </c>
      <c r="F1230" s="7" t="str">
        <f>IFERROR(
   INDEX(tbl_ProduitsRef[Prix Menu],MATCH(tbl_Ventes[[#This Row],[Produit]],tbl_ProduitsRef[Produit],0)),
   ""
)</f>
        <v/>
      </c>
      <c r="G1230" s="7">
        <f>tbl_Ventes[[#This Row],[Qté Vendue]] * IFERROR(_xlfn.XLOOKUP(tbl_Ventes[[#This Row],[Cde_Prdt]], tbl_Produits[Cde_Prdt], tbl_Produits[Prix Menu]), 0)</f>
        <v>0</v>
      </c>
      <c r="H1230" s="7">
        <f>IFERROR(_xlfn.XLOOKUP(tbl_Ventes[[#This Row],[Cde_Prdt]], tbl_Produits[Cde_Prdt], tbl_Produits[Coût Moyen Portion]), 0)</f>
        <v>0</v>
      </c>
      <c r="I1230" s="7">
        <f>tbl_Ventes[[#This Row],[Qté Vendue]] * tbl_Ventes[[#This Row],[CMP_par_portion]]</f>
        <v>0</v>
      </c>
      <c r="J1230" s="7">
        <f>tbl_Ventes[[#This Row],[CA ligne]] - tbl_Ventes[[#This Row],[Coût matière ligne]]</f>
        <v>0</v>
      </c>
      <c r="K1230" s="7" t="str">
        <f>IFERROR(INDEX(tbl_ProduitsRef[Famille], MATCH(tbl_Ventes[[#This Row],[Cde_Prdt]], tbl_Produits[Cde_Prdt], 0)), "")</f>
        <v/>
      </c>
    </row>
    <row r="1231" spans="1:11" x14ac:dyDescent="0.25">
      <c r="A1231" s="5"/>
      <c r="B1231" s="63" t="str">
        <f>IFERROR(TEXT(tbl_Ventes[[#This Row],[Date]],"mm-aaaa"),"")</f>
        <v>01-1900</v>
      </c>
      <c r="D1231" s="10" t="str">
        <f>IFERROR(
   INDEX(tbl_ProduitsRef[Cde_Prdt],MATCH(tbl_Ventes[[#This Row],[Produit]],tbl_ProduitsRef[Produit],0)),
   ""
)</f>
        <v/>
      </c>
      <c r="E1231" s="7">
        <v>0</v>
      </c>
      <c r="F1231" s="7" t="str">
        <f>IFERROR(
   INDEX(tbl_ProduitsRef[Prix Menu],MATCH(tbl_Ventes[[#This Row],[Produit]],tbl_ProduitsRef[Produit],0)),
   ""
)</f>
        <v/>
      </c>
      <c r="G1231" s="7">
        <f>tbl_Ventes[[#This Row],[Qté Vendue]] * IFERROR(_xlfn.XLOOKUP(tbl_Ventes[[#This Row],[Cde_Prdt]], tbl_Produits[Cde_Prdt], tbl_Produits[Prix Menu]), 0)</f>
        <v>0</v>
      </c>
      <c r="H1231" s="7">
        <f>IFERROR(_xlfn.XLOOKUP(tbl_Ventes[[#This Row],[Cde_Prdt]], tbl_Produits[Cde_Prdt], tbl_Produits[Coût Moyen Portion]), 0)</f>
        <v>0</v>
      </c>
      <c r="I1231" s="7">
        <f>tbl_Ventes[[#This Row],[Qté Vendue]] * tbl_Ventes[[#This Row],[CMP_par_portion]]</f>
        <v>0</v>
      </c>
      <c r="J1231" s="7">
        <f>tbl_Ventes[[#This Row],[CA ligne]] - tbl_Ventes[[#This Row],[Coût matière ligne]]</f>
        <v>0</v>
      </c>
      <c r="K1231" s="7" t="str">
        <f>IFERROR(INDEX(tbl_ProduitsRef[Famille], MATCH(tbl_Ventes[[#This Row],[Cde_Prdt]], tbl_Produits[Cde_Prdt], 0)), "")</f>
        <v/>
      </c>
    </row>
    <row r="1232" spans="1:11" x14ac:dyDescent="0.25">
      <c r="A1232" s="5"/>
      <c r="B1232" s="63" t="str">
        <f>IFERROR(TEXT(tbl_Ventes[[#This Row],[Date]],"mm-aaaa"),"")</f>
        <v>01-1900</v>
      </c>
      <c r="D1232" s="10" t="str">
        <f>IFERROR(
   INDEX(tbl_ProduitsRef[Cde_Prdt],MATCH(tbl_Ventes[[#This Row],[Produit]],tbl_ProduitsRef[Produit],0)),
   ""
)</f>
        <v/>
      </c>
      <c r="E1232" s="7">
        <v>0</v>
      </c>
      <c r="F1232" s="7" t="str">
        <f>IFERROR(
   INDEX(tbl_ProduitsRef[Prix Menu],MATCH(tbl_Ventes[[#This Row],[Produit]],tbl_ProduitsRef[Produit],0)),
   ""
)</f>
        <v/>
      </c>
      <c r="G1232" s="7">
        <f>tbl_Ventes[[#This Row],[Qté Vendue]] * IFERROR(_xlfn.XLOOKUP(tbl_Ventes[[#This Row],[Cde_Prdt]], tbl_Produits[Cde_Prdt], tbl_Produits[Prix Menu]), 0)</f>
        <v>0</v>
      </c>
      <c r="H1232" s="7">
        <f>IFERROR(_xlfn.XLOOKUP(tbl_Ventes[[#This Row],[Cde_Prdt]], tbl_Produits[Cde_Prdt], tbl_Produits[Coût Moyen Portion]), 0)</f>
        <v>0</v>
      </c>
      <c r="I1232" s="7">
        <f>tbl_Ventes[[#This Row],[Qté Vendue]] * tbl_Ventes[[#This Row],[CMP_par_portion]]</f>
        <v>0</v>
      </c>
      <c r="J1232" s="7">
        <f>tbl_Ventes[[#This Row],[CA ligne]] - tbl_Ventes[[#This Row],[Coût matière ligne]]</f>
        <v>0</v>
      </c>
      <c r="K1232" s="7" t="str">
        <f>IFERROR(INDEX(tbl_ProduitsRef[Famille], MATCH(tbl_Ventes[[#This Row],[Cde_Prdt]], tbl_Produits[Cde_Prdt], 0)), "")</f>
        <v/>
      </c>
    </row>
    <row r="1233" spans="1:11" x14ac:dyDescent="0.25">
      <c r="A1233" s="5"/>
      <c r="B1233" s="63" t="str">
        <f>IFERROR(TEXT(tbl_Ventes[[#This Row],[Date]],"mm-aaaa"),"")</f>
        <v>01-1900</v>
      </c>
      <c r="D1233" s="10" t="str">
        <f>IFERROR(
   INDEX(tbl_ProduitsRef[Cde_Prdt],MATCH(tbl_Ventes[[#This Row],[Produit]],tbl_ProduitsRef[Produit],0)),
   ""
)</f>
        <v/>
      </c>
      <c r="E1233" s="7">
        <v>0</v>
      </c>
      <c r="F1233" s="7" t="str">
        <f>IFERROR(
   INDEX(tbl_ProduitsRef[Prix Menu],MATCH(tbl_Ventes[[#This Row],[Produit]],tbl_ProduitsRef[Produit],0)),
   ""
)</f>
        <v/>
      </c>
      <c r="G1233" s="7">
        <f>tbl_Ventes[[#This Row],[Qté Vendue]] * IFERROR(_xlfn.XLOOKUP(tbl_Ventes[[#This Row],[Cde_Prdt]], tbl_Produits[Cde_Prdt], tbl_Produits[Prix Menu]), 0)</f>
        <v>0</v>
      </c>
      <c r="H1233" s="7">
        <f>IFERROR(_xlfn.XLOOKUP(tbl_Ventes[[#This Row],[Cde_Prdt]], tbl_Produits[Cde_Prdt], tbl_Produits[Coût Moyen Portion]), 0)</f>
        <v>0</v>
      </c>
      <c r="I1233" s="7">
        <f>tbl_Ventes[[#This Row],[Qté Vendue]] * tbl_Ventes[[#This Row],[CMP_par_portion]]</f>
        <v>0</v>
      </c>
      <c r="J1233" s="7">
        <f>tbl_Ventes[[#This Row],[CA ligne]] - tbl_Ventes[[#This Row],[Coût matière ligne]]</f>
        <v>0</v>
      </c>
      <c r="K1233" s="7" t="str">
        <f>IFERROR(INDEX(tbl_ProduitsRef[Famille], MATCH(tbl_Ventes[[#This Row],[Cde_Prdt]], tbl_Produits[Cde_Prdt], 0)), "")</f>
        <v/>
      </c>
    </row>
    <row r="1234" spans="1:11" x14ac:dyDescent="0.25">
      <c r="A1234" s="5"/>
      <c r="B1234" s="63" t="str">
        <f>IFERROR(TEXT(tbl_Ventes[[#This Row],[Date]],"mm-aaaa"),"")</f>
        <v>01-1900</v>
      </c>
      <c r="D1234" s="10" t="str">
        <f>IFERROR(
   INDEX(tbl_ProduitsRef[Cde_Prdt],MATCH(tbl_Ventes[[#This Row],[Produit]],tbl_ProduitsRef[Produit],0)),
   ""
)</f>
        <v/>
      </c>
      <c r="E1234" s="7">
        <v>0</v>
      </c>
      <c r="F1234" s="7" t="str">
        <f>IFERROR(
   INDEX(tbl_ProduitsRef[Prix Menu],MATCH(tbl_Ventes[[#This Row],[Produit]],tbl_ProduitsRef[Produit],0)),
   ""
)</f>
        <v/>
      </c>
      <c r="G1234" s="7">
        <f>tbl_Ventes[[#This Row],[Qté Vendue]] * IFERROR(_xlfn.XLOOKUP(tbl_Ventes[[#This Row],[Cde_Prdt]], tbl_Produits[Cde_Prdt], tbl_Produits[Prix Menu]), 0)</f>
        <v>0</v>
      </c>
      <c r="H1234" s="7">
        <f>IFERROR(_xlfn.XLOOKUP(tbl_Ventes[[#This Row],[Cde_Prdt]], tbl_Produits[Cde_Prdt], tbl_Produits[Coût Moyen Portion]), 0)</f>
        <v>0</v>
      </c>
      <c r="I1234" s="7">
        <f>tbl_Ventes[[#This Row],[Qté Vendue]] * tbl_Ventes[[#This Row],[CMP_par_portion]]</f>
        <v>0</v>
      </c>
      <c r="J1234" s="7">
        <f>tbl_Ventes[[#This Row],[CA ligne]] - tbl_Ventes[[#This Row],[Coût matière ligne]]</f>
        <v>0</v>
      </c>
      <c r="K1234" s="7" t="str">
        <f>IFERROR(INDEX(tbl_ProduitsRef[Famille], MATCH(tbl_Ventes[[#This Row],[Cde_Prdt]], tbl_Produits[Cde_Prdt], 0)), "")</f>
        <v/>
      </c>
    </row>
    <row r="1235" spans="1:11" x14ac:dyDescent="0.25">
      <c r="A1235" s="5"/>
      <c r="B1235" s="63" t="str">
        <f>IFERROR(TEXT(tbl_Ventes[[#This Row],[Date]],"mm-aaaa"),"")</f>
        <v>01-1900</v>
      </c>
      <c r="D1235" s="10" t="str">
        <f>IFERROR(
   INDEX(tbl_ProduitsRef[Cde_Prdt],MATCH(tbl_Ventes[[#This Row],[Produit]],tbl_ProduitsRef[Produit],0)),
   ""
)</f>
        <v/>
      </c>
      <c r="E1235" s="7">
        <v>0</v>
      </c>
      <c r="F1235" s="7" t="str">
        <f>IFERROR(
   INDEX(tbl_ProduitsRef[Prix Menu],MATCH(tbl_Ventes[[#This Row],[Produit]],tbl_ProduitsRef[Produit],0)),
   ""
)</f>
        <v/>
      </c>
      <c r="G1235" s="7">
        <f>tbl_Ventes[[#This Row],[Qté Vendue]] * IFERROR(_xlfn.XLOOKUP(tbl_Ventes[[#This Row],[Cde_Prdt]], tbl_Produits[Cde_Prdt], tbl_Produits[Prix Menu]), 0)</f>
        <v>0</v>
      </c>
      <c r="H1235" s="7">
        <f>IFERROR(_xlfn.XLOOKUP(tbl_Ventes[[#This Row],[Cde_Prdt]], tbl_Produits[Cde_Prdt], tbl_Produits[Coût Moyen Portion]), 0)</f>
        <v>0</v>
      </c>
      <c r="I1235" s="7">
        <f>tbl_Ventes[[#This Row],[Qté Vendue]] * tbl_Ventes[[#This Row],[CMP_par_portion]]</f>
        <v>0</v>
      </c>
      <c r="J1235" s="7">
        <f>tbl_Ventes[[#This Row],[CA ligne]] - tbl_Ventes[[#This Row],[Coût matière ligne]]</f>
        <v>0</v>
      </c>
      <c r="K1235" s="7" t="str">
        <f>IFERROR(INDEX(tbl_ProduitsRef[Famille], MATCH(tbl_Ventes[[#This Row],[Cde_Prdt]], tbl_Produits[Cde_Prdt], 0)), "")</f>
        <v/>
      </c>
    </row>
    <row r="1236" spans="1:11" x14ac:dyDescent="0.25">
      <c r="A1236" s="5"/>
      <c r="B1236" s="63" t="str">
        <f>IFERROR(TEXT(tbl_Ventes[[#This Row],[Date]],"mm-aaaa"),"")</f>
        <v>01-1900</v>
      </c>
      <c r="D1236" s="10" t="str">
        <f>IFERROR(
   INDEX(tbl_ProduitsRef[Cde_Prdt],MATCH(tbl_Ventes[[#This Row],[Produit]],tbl_ProduitsRef[Produit],0)),
   ""
)</f>
        <v/>
      </c>
      <c r="E1236" s="7">
        <v>0</v>
      </c>
      <c r="F1236" s="7" t="str">
        <f>IFERROR(
   INDEX(tbl_ProduitsRef[Prix Menu],MATCH(tbl_Ventes[[#This Row],[Produit]],tbl_ProduitsRef[Produit],0)),
   ""
)</f>
        <v/>
      </c>
      <c r="G1236" s="7">
        <f>tbl_Ventes[[#This Row],[Qté Vendue]] * IFERROR(_xlfn.XLOOKUP(tbl_Ventes[[#This Row],[Cde_Prdt]], tbl_Produits[Cde_Prdt], tbl_Produits[Prix Menu]), 0)</f>
        <v>0</v>
      </c>
      <c r="H1236" s="7">
        <f>IFERROR(_xlfn.XLOOKUP(tbl_Ventes[[#This Row],[Cde_Prdt]], tbl_Produits[Cde_Prdt], tbl_Produits[Coût Moyen Portion]), 0)</f>
        <v>0</v>
      </c>
      <c r="I1236" s="7">
        <f>tbl_Ventes[[#This Row],[Qté Vendue]] * tbl_Ventes[[#This Row],[CMP_par_portion]]</f>
        <v>0</v>
      </c>
      <c r="J1236" s="7">
        <f>tbl_Ventes[[#This Row],[CA ligne]] - tbl_Ventes[[#This Row],[Coût matière ligne]]</f>
        <v>0</v>
      </c>
      <c r="K1236" s="7" t="str">
        <f>IFERROR(INDEX(tbl_ProduitsRef[Famille], MATCH(tbl_Ventes[[#This Row],[Cde_Prdt]], tbl_Produits[Cde_Prdt], 0)), "")</f>
        <v/>
      </c>
    </row>
    <row r="1237" spans="1:11" x14ac:dyDescent="0.25">
      <c r="A1237" s="5"/>
      <c r="B1237" s="63" t="str">
        <f>IFERROR(TEXT(tbl_Ventes[[#This Row],[Date]],"mm-aaaa"),"")</f>
        <v>01-1900</v>
      </c>
      <c r="D1237" s="10" t="str">
        <f>IFERROR(
   INDEX(tbl_ProduitsRef[Cde_Prdt],MATCH(tbl_Ventes[[#This Row],[Produit]],tbl_ProduitsRef[Produit],0)),
   ""
)</f>
        <v/>
      </c>
      <c r="E1237" s="7">
        <v>0</v>
      </c>
      <c r="F1237" s="7" t="str">
        <f>IFERROR(
   INDEX(tbl_ProduitsRef[Prix Menu],MATCH(tbl_Ventes[[#This Row],[Produit]],tbl_ProduitsRef[Produit],0)),
   ""
)</f>
        <v/>
      </c>
      <c r="G1237" s="7">
        <f>tbl_Ventes[[#This Row],[Qté Vendue]] * IFERROR(_xlfn.XLOOKUP(tbl_Ventes[[#This Row],[Cde_Prdt]], tbl_Produits[Cde_Prdt], tbl_Produits[Prix Menu]), 0)</f>
        <v>0</v>
      </c>
      <c r="H1237" s="7">
        <f>IFERROR(_xlfn.XLOOKUP(tbl_Ventes[[#This Row],[Cde_Prdt]], tbl_Produits[Cde_Prdt], tbl_Produits[Coût Moyen Portion]), 0)</f>
        <v>0</v>
      </c>
      <c r="I1237" s="7">
        <f>tbl_Ventes[[#This Row],[Qté Vendue]] * tbl_Ventes[[#This Row],[CMP_par_portion]]</f>
        <v>0</v>
      </c>
      <c r="J1237" s="7">
        <f>tbl_Ventes[[#This Row],[CA ligne]] - tbl_Ventes[[#This Row],[Coût matière ligne]]</f>
        <v>0</v>
      </c>
      <c r="K1237" s="7" t="str">
        <f>IFERROR(INDEX(tbl_ProduitsRef[Famille], MATCH(tbl_Ventes[[#This Row],[Cde_Prdt]], tbl_Produits[Cde_Prdt], 0)), "")</f>
        <v/>
      </c>
    </row>
    <row r="1238" spans="1:11" x14ac:dyDescent="0.25">
      <c r="A1238" s="5"/>
      <c r="B1238" s="63" t="str">
        <f>IFERROR(TEXT(tbl_Ventes[[#This Row],[Date]],"mm-aaaa"),"")</f>
        <v>01-1900</v>
      </c>
      <c r="D1238" s="10" t="str">
        <f>IFERROR(
   INDEX(tbl_ProduitsRef[Cde_Prdt],MATCH(tbl_Ventes[[#This Row],[Produit]],tbl_ProduitsRef[Produit],0)),
   ""
)</f>
        <v/>
      </c>
      <c r="E1238" s="7">
        <v>0</v>
      </c>
      <c r="F1238" s="7" t="str">
        <f>IFERROR(
   INDEX(tbl_ProduitsRef[Prix Menu],MATCH(tbl_Ventes[[#This Row],[Produit]],tbl_ProduitsRef[Produit],0)),
   ""
)</f>
        <v/>
      </c>
      <c r="G1238" s="7">
        <f>tbl_Ventes[[#This Row],[Qté Vendue]] * IFERROR(_xlfn.XLOOKUP(tbl_Ventes[[#This Row],[Cde_Prdt]], tbl_Produits[Cde_Prdt], tbl_Produits[Prix Menu]), 0)</f>
        <v>0</v>
      </c>
      <c r="H1238" s="7">
        <f>IFERROR(_xlfn.XLOOKUP(tbl_Ventes[[#This Row],[Cde_Prdt]], tbl_Produits[Cde_Prdt], tbl_Produits[Coût Moyen Portion]), 0)</f>
        <v>0</v>
      </c>
      <c r="I1238" s="7">
        <f>tbl_Ventes[[#This Row],[Qté Vendue]] * tbl_Ventes[[#This Row],[CMP_par_portion]]</f>
        <v>0</v>
      </c>
      <c r="J1238" s="7">
        <f>tbl_Ventes[[#This Row],[CA ligne]] - tbl_Ventes[[#This Row],[Coût matière ligne]]</f>
        <v>0</v>
      </c>
      <c r="K1238" s="7" t="str">
        <f>IFERROR(INDEX(tbl_ProduitsRef[Famille], MATCH(tbl_Ventes[[#This Row],[Cde_Prdt]], tbl_Produits[Cde_Prdt], 0)), "")</f>
        <v/>
      </c>
    </row>
    <row r="1239" spans="1:11" x14ac:dyDescent="0.25">
      <c r="A1239" s="5"/>
      <c r="B1239" s="63" t="str">
        <f>IFERROR(TEXT(tbl_Ventes[[#This Row],[Date]],"mm-aaaa"),"")</f>
        <v>01-1900</v>
      </c>
      <c r="D1239" s="10" t="str">
        <f>IFERROR(
   INDEX(tbl_ProduitsRef[Cde_Prdt],MATCH(tbl_Ventes[[#This Row],[Produit]],tbl_ProduitsRef[Produit],0)),
   ""
)</f>
        <v/>
      </c>
      <c r="E1239" s="7">
        <v>0</v>
      </c>
      <c r="F1239" s="7" t="str">
        <f>IFERROR(
   INDEX(tbl_ProduitsRef[Prix Menu],MATCH(tbl_Ventes[[#This Row],[Produit]],tbl_ProduitsRef[Produit],0)),
   ""
)</f>
        <v/>
      </c>
      <c r="G1239" s="7">
        <f>tbl_Ventes[[#This Row],[Qté Vendue]] * IFERROR(_xlfn.XLOOKUP(tbl_Ventes[[#This Row],[Cde_Prdt]], tbl_Produits[Cde_Prdt], tbl_Produits[Prix Menu]), 0)</f>
        <v>0</v>
      </c>
      <c r="H1239" s="7">
        <f>IFERROR(_xlfn.XLOOKUP(tbl_Ventes[[#This Row],[Cde_Prdt]], tbl_Produits[Cde_Prdt], tbl_Produits[Coût Moyen Portion]), 0)</f>
        <v>0</v>
      </c>
      <c r="I1239" s="7">
        <f>tbl_Ventes[[#This Row],[Qté Vendue]] * tbl_Ventes[[#This Row],[CMP_par_portion]]</f>
        <v>0</v>
      </c>
      <c r="J1239" s="7">
        <f>tbl_Ventes[[#This Row],[CA ligne]] - tbl_Ventes[[#This Row],[Coût matière ligne]]</f>
        <v>0</v>
      </c>
      <c r="K1239" s="7" t="str">
        <f>IFERROR(INDEX(tbl_ProduitsRef[Famille], MATCH(tbl_Ventes[[#This Row],[Cde_Prdt]], tbl_Produits[Cde_Prdt], 0)), "")</f>
        <v/>
      </c>
    </row>
    <row r="1240" spans="1:11" x14ac:dyDescent="0.25">
      <c r="A1240" s="5"/>
      <c r="B1240" s="63" t="str">
        <f>IFERROR(TEXT(tbl_Ventes[[#This Row],[Date]],"mm-aaaa"),"")</f>
        <v>01-1900</v>
      </c>
      <c r="D1240" s="10" t="str">
        <f>IFERROR(
   INDEX(tbl_ProduitsRef[Cde_Prdt],MATCH(tbl_Ventes[[#This Row],[Produit]],tbl_ProduitsRef[Produit],0)),
   ""
)</f>
        <v/>
      </c>
      <c r="E1240" s="7">
        <v>0</v>
      </c>
      <c r="F1240" s="7" t="str">
        <f>IFERROR(
   INDEX(tbl_ProduitsRef[Prix Menu],MATCH(tbl_Ventes[[#This Row],[Produit]],tbl_ProduitsRef[Produit],0)),
   ""
)</f>
        <v/>
      </c>
      <c r="G1240" s="7">
        <f>tbl_Ventes[[#This Row],[Qté Vendue]] * IFERROR(_xlfn.XLOOKUP(tbl_Ventes[[#This Row],[Cde_Prdt]], tbl_Produits[Cde_Prdt], tbl_Produits[Prix Menu]), 0)</f>
        <v>0</v>
      </c>
      <c r="H1240" s="7">
        <f>IFERROR(_xlfn.XLOOKUP(tbl_Ventes[[#This Row],[Cde_Prdt]], tbl_Produits[Cde_Prdt], tbl_Produits[Coût Moyen Portion]), 0)</f>
        <v>0</v>
      </c>
      <c r="I1240" s="7">
        <f>tbl_Ventes[[#This Row],[Qté Vendue]] * tbl_Ventes[[#This Row],[CMP_par_portion]]</f>
        <v>0</v>
      </c>
      <c r="J1240" s="7">
        <f>tbl_Ventes[[#This Row],[CA ligne]] - tbl_Ventes[[#This Row],[Coût matière ligne]]</f>
        <v>0</v>
      </c>
      <c r="K1240" s="7" t="str">
        <f>IFERROR(INDEX(tbl_ProduitsRef[Famille], MATCH(tbl_Ventes[[#This Row],[Cde_Prdt]], tbl_Produits[Cde_Prdt], 0)), "")</f>
        <v/>
      </c>
    </row>
    <row r="1241" spans="1:11" x14ac:dyDescent="0.25">
      <c r="A1241" s="5"/>
      <c r="B1241" s="63" t="str">
        <f>IFERROR(TEXT(tbl_Ventes[[#This Row],[Date]],"mm-aaaa"),"")</f>
        <v>01-1900</v>
      </c>
      <c r="D1241" s="10" t="str">
        <f>IFERROR(
   INDEX(tbl_ProduitsRef[Cde_Prdt],MATCH(tbl_Ventes[[#This Row],[Produit]],tbl_ProduitsRef[Produit],0)),
   ""
)</f>
        <v/>
      </c>
      <c r="E1241" s="7">
        <v>0</v>
      </c>
      <c r="F1241" s="7" t="str">
        <f>IFERROR(
   INDEX(tbl_ProduitsRef[Prix Menu],MATCH(tbl_Ventes[[#This Row],[Produit]],tbl_ProduitsRef[Produit],0)),
   ""
)</f>
        <v/>
      </c>
      <c r="G1241" s="7">
        <f>tbl_Ventes[[#This Row],[Qté Vendue]] * IFERROR(_xlfn.XLOOKUP(tbl_Ventes[[#This Row],[Cde_Prdt]], tbl_Produits[Cde_Prdt], tbl_Produits[Prix Menu]), 0)</f>
        <v>0</v>
      </c>
      <c r="H1241" s="7">
        <f>IFERROR(_xlfn.XLOOKUP(tbl_Ventes[[#This Row],[Cde_Prdt]], tbl_Produits[Cde_Prdt], tbl_Produits[Coût Moyen Portion]), 0)</f>
        <v>0</v>
      </c>
      <c r="I1241" s="7">
        <f>tbl_Ventes[[#This Row],[Qté Vendue]] * tbl_Ventes[[#This Row],[CMP_par_portion]]</f>
        <v>0</v>
      </c>
      <c r="J1241" s="7">
        <f>tbl_Ventes[[#This Row],[CA ligne]] - tbl_Ventes[[#This Row],[Coût matière ligne]]</f>
        <v>0</v>
      </c>
      <c r="K1241" s="7" t="str">
        <f>IFERROR(INDEX(tbl_ProduitsRef[Famille], MATCH(tbl_Ventes[[#This Row],[Cde_Prdt]], tbl_Produits[Cde_Prdt], 0)), "")</f>
        <v/>
      </c>
    </row>
    <row r="1242" spans="1:11" x14ac:dyDescent="0.25">
      <c r="A1242" s="5"/>
      <c r="B1242" s="63" t="str">
        <f>IFERROR(TEXT(tbl_Ventes[[#This Row],[Date]],"mm-aaaa"),"")</f>
        <v>01-1900</v>
      </c>
      <c r="D1242" s="10" t="str">
        <f>IFERROR(
   INDEX(tbl_ProduitsRef[Cde_Prdt],MATCH(tbl_Ventes[[#This Row],[Produit]],tbl_ProduitsRef[Produit],0)),
   ""
)</f>
        <v/>
      </c>
      <c r="E1242" s="7">
        <v>0</v>
      </c>
      <c r="F1242" s="7" t="str">
        <f>IFERROR(
   INDEX(tbl_ProduitsRef[Prix Menu],MATCH(tbl_Ventes[[#This Row],[Produit]],tbl_ProduitsRef[Produit],0)),
   ""
)</f>
        <v/>
      </c>
      <c r="G1242" s="7">
        <f>tbl_Ventes[[#This Row],[Qté Vendue]] * IFERROR(_xlfn.XLOOKUP(tbl_Ventes[[#This Row],[Cde_Prdt]], tbl_Produits[Cde_Prdt], tbl_Produits[Prix Menu]), 0)</f>
        <v>0</v>
      </c>
      <c r="H1242" s="7">
        <f>IFERROR(_xlfn.XLOOKUP(tbl_Ventes[[#This Row],[Cde_Prdt]], tbl_Produits[Cde_Prdt], tbl_Produits[Coût Moyen Portion]), 0)</f>
        <v>0</v>
      </c>
      <c r="I1242" s="7">
        <f>tbl_Ventes[[#This Row],[Qté Vendue]] * tbl_Ventes[[#This Row],[CMP_par_portion]]</f>
        <v>0</v>
      </c>
      <c r="J1242" s="7">
        <f>tbl_Ventes[[#This Row],[CA ligne]] - tbl_Ventes[[#This Row],[Coût matière ligne]]</f>
        <v>0</v>
      </c>
      <c r="K1242" s="7" t="str">
        <f>IFERROR(INDEX(tbl_ProduitsRef[Famille], MATCH(tbl_Ventes[[#This Row],[Cde_Prdt]], tbl_Produits[Cde_Prdt], 0)), "")</f>
        <v/>
      </c>
    </row>
    <row r="1243" spans="1:11" x14ac:dyDescent="0.25">
      <c r="A1243" s="5"/>
      <c r="B1243" s="63" t="str">
        <f>IFERROR(TEXT(tbl_Ventes[[#This Row],[Date]],"mm-aaaa"),"")</f>
        <v>01-1900</v>
      </c>
      <c r="D1243" s="10" t="str">
        <f>IFERROR(
   INDEX(tbl_ProduitsRef[Cde_Prdt],MATCH(tbl_Ventes[[#This Row],[Produit]],tbl_ProduitsRef[Produit],0)),
   ""
)</f>
        <v/>
      </c>
      <c r="E1243" s="7">
        <v>0</v>
      </c>
      <c r="F1243" s="7" t="str">
        <f>IFERROR(
   INDEX(tbl_ProduitsRef[Prix Menu],MATCH(tbl_Ventes[[#This Row],[Produit]],tbl_ProduitsRef[Produit],0)),
   ""
)</f>
        <v/>
      </c>
      <c r="G1243" s="7">
        <f>tbl_Ventes[[#This Row],[Qté Vendue]] * IFERROR(_xlfn.XLOOKUP(tbl_Ventes[[#This Row],[Cde_Prdt]], tbl_Produits[Cde_Prdt], tbl_Produits[Prix Menu]), 0)</f>
        <v>0</v>
      </c>
      <c r="H1243" s="7">
        <f>IFERROR(_xlfn.XLOOKUP(tbl_Ventes[[#This Row],[Cde_Prdt]], tbl_Produits[Cde_Prdt], tbl_Produits[Coût Moyen Portion]), 0)</f>
        <v>0</v>
      </c>
      <c r="I1243" s="7">
        <f>tbl_Ventes[[#This Row],[Qté Vendue]] * tbl_Ventes[[#This Row],[CMP_par_portion]]</f>
        <v>0</v>
      </c>
      <c r="J1243" s="7">
        <f>tbl_Ventes[[#This Row],[CA ligne]] - tbl_Ventes[[#This Row],[Coût matière ligne]]</f>
        <v>0</v>
      </c>
      <c r="K1243" s="7" t="str">
        <f>IFERROR(INDEX(tbl_ProduitsRef[Famille], MATCH(tbl_Ventes[[#This Row],[Cde_Prdt]], tbl_Produits[Cde_Prdt], 0)), "")</f>
        <v/>
      </c>
    </row>
    <row r="1244" spans="1:11" x14ac:dyDescent="0.25">
      <c r="A1244" s="5"/>
      <c r="B1244" s="63" t="str">
        <f>IFERROR(TEXT(tbl_Ventes[[#This Row],[Date]],"mm-aaaa"),"")</f>
        <v>01-1900</v>
      </c>
      <c r="D1244" s="10" t="str">
        <f>IFERROR(
   INDEX(tbl_ProduitsRef[Cde_Prdt],MATCH(tbl_Ventes[[#This Row],[Produit]],tbl_ProduitsRef[Produit],0)),
   ""
)</f>
        <v/>
      </c>
      <c r="E1244" s="7">
        <v>0</v>
      </c>
      <c r="F1244" s="7" t="str">
        <f>IFERROR(
   INDEX(tbl_ProduitsRef[Prix Menu],MATCH(tbl_Ventes[[#This Row],[Produit]],tbl_ProduitsRef[Produit],0)),
   ""
)</f>
        <v/>
      </c>
      <c r="G1244" s="7">
        <f>tbl_Ventes[[#This Row],[Qté Vendue]] * IFERROR(_xlfn.XLOOKUP(tbl_Ventes[[#This Row],[Cde_Prdt]], tbl_Produits[Cde_Prdt], tbl_Produits[Prix Menu]), 0)</f>
        <v>0</v>
      </c>
      <c r="H1244" s="7">
        <f>IFERROR(_xlfn.XLOOKUP(tbl_Ventes[[#This Row],[Cde_Prdt]], tbl_Produits[Cde_Prdt], tbl_Produits[Coût Moyen Portion]), 0)</f>
        <v>0</v>
      </c>
      <c r="I1244" s="7">
        <f>tbl_Ventes[[#This Row],[Qté Vendue]] * tbl_Ventes[[#This Row],[CMP_par_portion]]</f>
        <v>0</v>
      </c>
      <c r="J1244" s="7">
        <f>tbl_Ventes[[#This Row],[CA ligne]] - tbl_Ventes[[#This Row],[Coût matière ligne]]</f>
        <v>0</v>
      </c>
      <c r="K1244" s="7" t="str">
        <f>IFERROR(INDEX(tbl_ProduitsRef[Famille], MATCH(tbl_Ventes[[#This Row],[Cde_Prdt]], tbl_Produits[Cde_Prdt], 0)), "")</f>
        <v/>
      </c>
    </row>
    <row r="1245" spans="1:11" x14ac:dyDescent="0.25">
      <c r="A1245" s="5"/>
      <c r="B1245" s="63" t="str">
        <f>IFERROR(TEXT(tbl_Ventes[[#This Row],[Date]],"mm-aaaa"),"")</f>
        <v>01-1900</v>
      </c>
      <c r="D1245" s="10" t="str">
        <f>IFERROR(
   INDEX(tbl_ProduitsRef[Cde_Prdt],MATCH(tbl_Ventes[[#This Row],[Produit]],tbl_ProduitsRef[Produit],0)),
   ""
)</f>
        <v/>
      </c>
      <c r="E1245" s="7">
        <v>0</v>
      </c>
      <c r="F1245" s="7" t="str">
        <f>IFERROR(
   INDEX(tbl_ProduitsRef[Prix Menu],MATCH(tbl_Ventes[[#This Row],[Produit]],tbl_ProduitsRef[Produit],0)),
   ""
)</f>
        <v/>
      </c>
      <c r="G1245" s="7">
        <f>tbl_Ventes[[#This Row],[Qté Vendue]] * IFERROR(_xlfn.XLOOKUP(tbl_Ventes[[#This Row],[Cde_Prdt]], tbl_Produits[Cde_Prdt], tbl_Produits[Prix Menu]), 0)</f>
        <v>0</v>
      </c>
      <c r="H1245" s="7">
        <f>IFERROR(_xlfn.XLOOKUP(tbl_Ventes[[#This Row],[Cde_Prdt]], tbl_Produits[Cde_Prdt], tbl_Produits[Coût Moyen Portion]), 0)</f>
        <v>0</v>
      </c>
      <c r="I1245" s="7">
        <f>tbl_Ventes[[#This Row],[Qté Vendue]] * tbl_Ventes[[#This Row],[CMP_par_portion]]</f>
        <v>0</v>
      </c>
      <c r="J1245" s="7">
        <f>tbl_Ventes[[#This Row],[CA ligne]] - tbl_Ventes[[#This Row],[Coût matière ligne]]</f>
        <v>0</v>
      </c>
      <c r="K1245" s="7" t="str">
        <f>IFERROR(INDEX(tbl_ProduitsRef[Famille], MATCH(tbl_Ventes[[#This Row],[Cde_Prdt]], tbl_Produits[Cde_Prdt], 0)), "")</f>
        <v/>
      </c>
    </row>
    <row r="1246" spans="1:11" x14ac:dyDescent="0.25">
      <c r="A1246" s="5"/>
      <c r="B1246" s="63" t="str">
        <f>IFERROR(TEXT(tbl_Ventes[[#This Row],[Date]],"mm-aaaa"),"")</f>
        <v>01-1900</v>
      </c>
      <c r="D1246" s="10" t="str">
        <f>IFERROR(
   INDEX(tbl_ProduitsRef[Cde_Prdt],MATCH(tbl_Ventes[[#This Row],[Produit]],tbl_ProduitsRef[Produit],0)),
   ""
)</f>
        <v/>
      </c>
      <c r="E1246" s="7">
        <v>0</v>
      </c>
      <c r="F1246" s="7" t="str">
        <f>IFERROR(
   INDEX(tbl_ProduitsRef[Prix Menu],MATCH(tbl_Ventes[[#This Row],[Produit]],tbl_ProduitsRef[Produit],0)),
   ""
)</f>
        <v/>
      </c>
      <c r="G1246" s="7">
        <f>tbl_Ventes[[#This Row],[Qté Vendue]] * IFERROR(_xlfn.XLOOKUP(tbl_Ventes[[#This Row],[Cde_Prdt]], tbl_Produits[Cde_Prdt], tbl_Produits[Prix Menu]), 0)</f>
        <v>0</v>
      </c>
      <c r="H1246" s="7">
        <f>IFERROR(_xlfn.XLOOKUP(tbl_Ventes[[#This Row],[Cde_Prdt]], tbl_Produits[Cde_Prdt], tbl_Produits[Coût Moyen Portion]), 0)</f>
        <v>0</v>
      </c>
      <c r="I1246" s="7">
        <f>tbl_Ventes[[#This Row],[Qté Vendue]] * tbl_Ventes[[#This Row],[CMP_par_portion]]</f>
        <v>0</v>
      </c>
      <c r="J1246" s="7">
        <f>tbl_Ventes[[#This Row],[CA ligne]] - tbl_Ventes[[#This Row],[Coût matière ligne]]</f>
        <v>0</v>
      </c>
      <c r="K1246" s="7" t="str">
        <f>IFERROR(INDEX(tbl_ProduitsRef[Famille], MATCH(tbl_Ventes[[#This Row],[Cde_Prdt]], tbl_Produits[Cde_Prdt], 0)), "")</f>
        <v/>
      </c>
    </row>
    <row r="1247" spans="1:11" x14ac:dyDescent="0.25">
      <c r="A1247" s="5"/>
      <c r="B1247" s="63" t="str">
        <f>IFERROR(TEXT(tbl_Ventes[[#This Row],[Date]],"mm-aaaa"),"")</f>
        <v>01-1900</v>
      </c>
      <c r="D1247" s="10" t="str">
        <f>IFERROR(
   INDEX(tbl_ProduitsRef[Cde_Prdt],MATCH(tbl_Ventes[[#This Row],[Produit]],tbl_ProduitsRef[Produit],0)),
   ""
)</f>
        <v/>
      </c>
      <c r="E1247" s="7">
        <v>0</v>
      </c>
      <c r="F1247" s="7" t="str">
        <f>IFERROR(
   INDEX(tbl_ProduitsRef[Prix Menu],MATCH(tbl_Ventes[[#This Row],[Produit]],tbl_ProduitsRef[Produit],0)),
   ""
)</f>
        <v/>
      </c>
      <c r="G1247" s="7">
        <f>tbl_Ventes[[#This Row],[Qté Vendue]] * IFERROR(_xlfn.XLOOKUP(tbl_Ventes[[#This Row],[Cde_Prdt]], tbl_Produits[Cde_Prdt], tbl_Produits[Prix Menu]), 0)</f>
        <v>0</v>
      </c>
      <c r="H1247" s="7">
        <f>IFERROR(_xlfn.XLOOKUP(tbl_Ventes[[#This Row],[Cde_Prdt]], tbl_Produits[Cde_Prdt], tbl_Produits[Coût Moyen Portion]), 0)</f>
        <v>0</v>
      </c>
      <c r="I1247" s="7">
        <f>tbl_Ventes[[#This Row],[Qté Vendue]] * tbl_Ventes[[#This Row],[CMP_par_portion]]</f>
        <v>0</v>
      </c>
      <c r="J1247" s="7">
        <f>tbl_Ventes[[#This Row],[CA ligne]] - tbl_Ventes[[#This Row],[Coût matière ligne]]</f>
        <v>0</v>
      </c>
      <c r="K1247" s="7" t="str">
        <f>IFERROR(INDEX(tbl_ProduitsRef[Famille], MATCH(tbl_Ventes[[#This Row],[Cde_Prdt]], tbl_Produits[Cde_Prdt], 0)), "")</f>
        <v/>
      </c>
    </row>
    <row r="1248" spans="1:11" x14ac:dyDescent="0.25">
      <c r="A1248" s="5"/>
      <c r="B1248" s="63" t="str">
        <f>IFERROR(TEXT(tbl_Ventes[[#This Row],[Date]],"mm-aaaa"),"")</f>
        <v>01-1900</v>
      </c>
      <c r="D1248" s="10" t="str">
        <f>IFERROR(
   INDEX(tbl_ProduitsRef[Cde_Prdt],MATCH(tbl_Ventes[[#This Row],[Produit]],tbl_ProduitsRef[Produit],0)),
   ""
)</f>
        <v/>
      </c>
      <c r="E1248" s="7">
        <v>0</v>
      </c>
      <c r="F1248" s="7" t="str">
        <f>IFERROR(
   INDEX(tbl_ProduitsRef[Prix Menu],MATCH(tbl_Ventes[[#This Row],[Produit]],tbl_ProduitsRef[Produit],0)),
   ""
)</f>
        <v/>
      </c>
      <c r="G1248" s="7">
        <f>tbl_Ventes[[#This Row],[Qté Vendue]] * IFERROR(_xlfn.XLOOKUP(tbl_Ventes[[#This Row],[Cde_Prdt]], tbl_Produits[Cde_Prdt], tbl_Produits[Prix Menu]), 0)</f>
        <v>0</v>
      </c>
      <c r="H1248" s="7">
        <f>IFERROR(_xlfn.XLOOKUP(tbl_Ventes[[#This Row],[Cde_Prdt]], tbl_Produits[Cde_Prdt], tbl_Produits[Coût Moyen Portion]), 0)</f>
        <v>0</v>
      </c>
      <c r="I1248" s="7">
        <f>tbl_Ventes[[#This Row],[Qté Vendue]] * tbl_Ventes[[#This Row],[CMP_par_portion]]</f>
        <v>0</v>
      </c>
      <c r="J1248" s="7">
        <f>tbl_Ventes[[#This Row],[CA ligne]] - tbl_Ventes[[#This Row],[Coût matière ligne]]</f>
        <v>0</v>
      </c>
      <c r="K1248" s="7" t="str">
        <f>IFERROR(INDEX(tbl_ProduitsRef[Famille], MATCH(tbl_Ventes[[#This Row],[Cde_Prdt]], tbl_Produits[Cde_Prdt], 0)), "")</f>
        <v/>
      </c>
    </row>
    <row r="1249" spans="1:11" x14ac:dyDescent="0.25">
      <c r="A1249" s="5"/>
      <c r="B1249" s="63" t="str">
        <f>IFERROR(TEXT(tbl_Ventes[[#This Row],[Date]],"mm-aaaa"),"")</f>
        <v>01-1900</v>
      </c>
      <c r="D1249" s="10" t="str">
        <f>IFERROR(
   INDEX(tbl_ProduitsRef[Cde_Prdt],MATCH(tbl_Ventes[[#This Row],[Produit]],tbl_ProduitsRef[Produit],0)),
   ""
)</f>
        <v/>
      </c>
      <c r="E1249" s="7">
        <v>0</v>
      </c>
      <c r="F1249" s="7" t="str">
        <f>IFERROR(
   INDEX(tbl_ProduitsRef[Prix Menu],MATCH(tbl_Ventes[[#This Row],[Produit]],tbl_ProduitsRef[Produit],0)),
   ""
)</f>
        <v/>
      </c>
      <c r="G1249" s="7">
        <f>tbl_Ventes[[#This Row],[Qté Vendue]] * IFERROR(_xlfn.XLOOKUP(tbl_Ventes[[#This Row],[Cde_Prdt]], tbl_Produits[Cde_Prdt], tbl_Produits[Prix Menu]), 0)</f>
        <v>0</v>
      </c>
      <c r="H1249" s="7">
        <f>IFERROR(_xlfn.XLOOKUP(tbl_Ventes[[#This Row],[Cde_Prdt]], tbl_Produits[Cde_Prdt], tbl_Produits[Coût Moyen Portion]), 0)</f>
        <v>0</v>
      </c>
      <c r="I1249" s="7">
        <f>tbl_Ventes[[#This Row],[Qté Vendue]] * tbl_Ventes[[#This Row],[CMP_par_portion]]</f>
        <v>0</v>
      </c>
      <c r="J1249" s="7">
        <f>tbl_Ventes[[#This Row],[CA ligne]] - tbl_Ventes[[#This Row],[Coût matière ligne]]</f>
        <v>0</v>
      </c>
      <c r="K1249" s="7" t="str">
        <f>IFERROR(INDEX(tbl_ProduitsRef[Famille], MATCH(tbl_Ventes[[#This Row],[Cde_Prdt]], tbl_Produits[Cde_Prdt], 0)), "")</f>
        <v/>
      </c>
    </row>
    <row r="1250" spans="1:11" x14ac:dyDescent="0.25">
      <c r="A1250" s="5"/>
      <c r="B1250" s="63" t="str">
        <f>IFERROR(TEXT(tbl_Ventes[[#This Row],[Date]],"mm-aaaa"),"")</f>
        <v>01-1900</v>
      </c>
      <c r="D1250" s="10" t="str">
        <f>IFERROR(
   INDEX(tbl_ProduitsRef[Cde_Prdt],MATCH(tbl_Ventes[[#This Row],[Produit]],tbl_ProduitsRef[Produit],0)),
   ""
)</f>
        <v/>
      </c>
      <c r="E1250" s="7">
        <v>0</v>
      </c>
      <c r="F1250" s="7" t="str">
        <f>IFERROR(
   INDEX(tbl_ProduitsRef[Prix Menu],MATCH(tbl_Ventes[[#This Row],[Produit]],tbl_ProduitsRef[Produit],0)),
   ""
)</f>
        <v/>
      </c>
      <c r="G1250" s="7">
        <f>tbl_Ventes[[#This Row],[Qté Vendue]] * IFERROR(_xlfn.XLOOKUP(tbl_Ventes[[#This Row],[Cde_Prdt]], tbl_Produits[Cde_Prdt], tbl_Produits[Prix Menu]), 0)</f>
        <v>0</v>
      </c>
      <c r="H1250" s="7">
        <f>IFERROR(_xlfn.XLOOKUP(tbl_Ventes[[#This Row],[Cde_Prdt]], tbl_Produits[Cde_Prdt], tbl_Produits[Coût Moyen Portion]), 0)</f>
        <v>0</v>
      </c>
      <c r="I1250" s="7">
        <f>tbl_Ventes[[#This Row],[Qté Vendue]] * tbl_Ventes[[#This Row],[CMP_par_portion]]</f>
        <v>0</v>
      </c>
      <c r="J1250" s="7">
        <f>tbl_Ventes[[#This Row],[CA ligne]] - tbl_Ventes[[#This Row],[Coût matière ligne]]</f>
        <v>0</v>
      </c>
      <c r="K1250" s="7" t="str">
        <f>IFERROR(INDEX(tbl_ProduitsRef[Famille], MATCH(tbl_Ventes[[#This Row],[Cde_Prdt]], tbl_Produits[Cde_Prdt], 0)), "")</f>
        <v/>
      </c>
    </row>
    <row r="1251" spans="1:11" x14ac:dyDescent="0.25">
      <c r="A1251" s="5"/>
      <c r="B1251" s="63" t="str">
        <f>IFERROR(TEXT(tbl_Ventes[[#This Row],[Date]],"mm-aaaa"),"")</f>
        <v>01-1900</v>
      </c>
      <c r="D1251" s="10" t="str">
        <f>IFERROR(
   INDEX(tbl_ProduitsRef[Cde_Prdt],MATCH(tbl_Ventes[[#This Row],[Produit]],tbl_ProduitsRef[Produit],0)),
   ""
)</f>
        <v/>
      </c>
      <c r="E1251" s="7">
        <v>0</v>
      </c>
      <c r="F1251" s="7" t="str">
        <f>IFERROR(
   INDEX(tbl_ProduitsRef[Prix Menu],MATCH(tbl_Ventes[[#This Row],[Produit]],tbl_ProduitsRef[Produit],0)),
   ""
)</f>
        <v/>
      </c>
      <c r="G1251" s="7">
        <f>tbl_Ventes[[#This Row],[Qté Vendue]] * IFERROR(_xlfn.XLOOKUP(tbl_Ventes[[#This Row],[Cde_Prdt]], tbl_Produits[Cde_Prdt], tbl_Produits[Prix Menu]), 0)</f>
        <v>0</v>
      </c>
      <c r="H1251" s="7">
        <f>IFERROR(_xlfn.XLOOKUP(tbl_Ventes[[#This Row],[Cde_Prdt]], tbl_Produits[Cde_Prdt], tbl_Produits[Coût Moyen Portion]), 0)</f>
        <v>0</v>
      </c>
      <c r="I1251" s="7">
        <f>tbl_Ventes[[#This Row],[Qté Vendue]] * tbl_Ventes[[#This Row],[CMP_par_portion]]</f>
        <v>0</v>
      </c>
      <c r="J1251" s="7">
        <f>tbl_Ventes[[#This Row],[CA ligne]] - tbl_Ventes[[#This Row],[Coût matière ligne]]</f>
        <v>0</v>
      </c>
      <c r="K1251" s="7" t="str">
        <f>IFERROR(INDEX(tbl_ProduitsRef[Famille], MATCH(tbl_Ventes[[#This Row],[Cde_Prdt]], tbl_Produits[Cde_Prdt], 0)), "")</f>
        <v/>
      </c>
    </row>
    <row r="1252" spans="1:11" x14ac:dyDescent="0.25">
      <c r="A1252" s="5"/>
      <c r="B1252" s="63" t="str">
        <f>IFERROR(TEXT(tbl_Ventes[[#This Row],[Date]],"mm-aaaa"),"")</f>
        <v>01-1900</v>
      </c>
      <c r="D1252" s="10" t="str">
        <f>IFERROR(
   INDEX(tbl_ProduitsRef[Cde_Prdt],MATCH(tbl_Ventes[[#This Row],[Produit]],tbl_ProduitsRef[Produit],0)),
   ""
)</f>
        <v/>
      </c>
      <c r="E1252" s="7">
        <v>0</v>
      </c>
      <c r="F1252" s="7" t="str">
        <f>IFERROR(
   INDEX(tbl_ProduitsRef[Prix Menu],MATCH(tbl_Ventes[[#This Row],[Produit]],tbl_ProduitsRef[Produit],0)),
   ""
)</f>
        <v/>
      </c>
      <c r="G1252" s="7">
        <f>tbl_Ventes[[#This Row],[Qté Vendue]] * IFERROR(_xlfn.XLOOKUP(tbl_Ventes[[#This Row],[Cde_Prdt]], tbl_Produits[Cde_Prdt], tbl_Produits[Prix Menu]), 0)</f>
        <v>0</v>
      </c>
      <c r="H1252" s="7">
        <f>IFERROR(_xlfn.XLOOKUP(tbl_Ventes[[#This Row],[Cde_Prdt]], tbl_Produits[Cde_Prdt], tbl_Produits[Coût Moyen Portion]), 0)</f>
        <v>0</v>
      </c>
      <c r="I1252" s="7">
        <f>tbl_Ventes[[#This Row],[Qté Vendue]] * tbl_Ventes[[#This Row],[CMP_par_portion]]</f>
        <v>0</v>
      </c>
      <c r="J1252" s="7">
        <f>tbl_Ventes[[#This Row],[CA ligne]] - tbl_Ventes[[#This Row],[Coût matière ligne]]</f>
        <v>0</v>
      </c>
      <c r="K1252" s="7" t="str">
        <f>IFERROR(INDEX(tbl_ProduitsRef[Famille], MATCH(tbl_Ventes[[#This Row],[Cde_Prdt]], tbl_Produits[Cde_Prdt], 0)), "")</f>
        <v/>
      </c>
    </row>
    <row r="1253" spans="1:11" x14ac:dyDescent="0.25">
      <c r="A1253" s="5"/>
      <c r="B1253" s="63" t="str">
        <f>IFERROR(TEXT(tbl_Ventes[[#This Row],[Date]],"mm-aaaa"),"")</f>
        <v>01-1900</v>
      </c>
      <c r="D1253" s="10" t="str">
        <f>IFERROR(
   INDEX(tbl_ProduitsRef[Cde_Prdt],MATCH(tbl_Ventes[[#This Row],[Produit]],tbl_ProduitsRef[Produit],0)),
   ""
)</f>
        <v/>
      </c>
      <c r="E1253" s="7">
        <v>0</v>
      </c>
      <c r="F1253" s="7" t="str">
        <f>IFERROR(
   INDEX(tbl_ProduitsRef[Prix Menu],MATCH(tbl_Ventes[[#This Row],[Produit]],tbl_ProduitsRef[Produit],0)),
   ""
)</f>
        <v/>
      </c>
      <c r="G1253" s="7">
        <f>tbl_Ventes[[#This Row],[Qté Vendue]] * IFERROR(_xlfn.XLOOKUP(tbl_Ventes[[#This Row],[Cde_Prdt]], tbl_Produits[Cde_Prdt], tbl_Produits[Prix Menu]), 0)</f>
        <v>0</v>
      </c>
      <c r="H1253" s="7">
        <f>IFERROR(_xlfn.XLOOKUP(tbl_Ventes[[#This Row],[Cde_Prdt]], tbl_Produits[Cde_Prdt], tbl_Produits[Coût Moyen Portion]), 0)</f>
        <v>0</v>
      </c>
      <c r="I1253" s="7">
        <f>tbl_Ventes[[#This Row],[Qté Vendue]] * tbl_Ventes[[#This Row],[CMP_par_portion]]</f>
        <v>0</v>
      </c>
      <c r="J1253" s="7">
        <f>tbl_Ventes[[#This Row],[CA ligne]] - tbl_Ventes[[#This Row],[Coût matière ligne]]</f>
        <v>0</v>
      </c>
      <c r="K1253" s="7" t="str">
        <f>IFERROR(INDEX(tbl_ProduitsRef[Famille], MATCH(tbl_Ventes[[#This Row],[Cde_Prdt]], tbl_Produits[Cde_Prdt], 0)), "")</f>
        <v/>
      </c>
    </row>
    <row r="1254" spans="1:11" x14ac:dyDescent="0.25">
      <c r="A1254" s="5"/>
      <c r="B1254" s="63" t="str">
        <f>IFERROR(TEXT(tbl_Ventes[[#This Row],[Date]],"mm-aaaa"),"")</f>
        <v>01-1900</v>
      </c>
      <c r="D1254" s="10" t="str">
        <f>IFERROR(
   INDEX(tbl_ProduitsRef[Cde_Prdt],MATCH(tbl_Ventes[[#This Row],[Produit]],tbl_ProduitsRef[Produit],0)),
   ""
)</f>
        <v/>
      </c>
      <c r="E1254" s="7">
        <v>0</v>
      </c>
      <c r="F1254" s="7" t="str">
        <f>IFERROR(
   INDEX(tbl_ProduitsRef[Prix Menu],MATCH(tbl_Ventes[[#This Row],[Produit]],tbl_ProduitsRef[Produit],0)),
   ""
)</f>
        <v/>
      </c>
      <c r="G1254" s="7">
        <f>tbl_Ventes[[#This Row],[Qté Vendue]] * IFERROR(_xlfn.XLOOKUP(tbl_Ventes[[#This Row],[Cde_Prdt]], tbl_Produits[Cde_Prdt], tbl_Produits[Prix Menu]), 0)</f>
        <v>0</v>
      </c>
      <c r="H1254" s="7">
        <f>IFERROR(_xlfn.XLOOKUP(tbl_Ventes[[#This Row],[Cde_Prdt]], tbl_Produits[Cde_Prdt], tbl_Produits[Coût Moyen Portion]), 0)</f>
        <v>0</v>
      </c>
      <c r="I1254" s="7">
        <f>tbl_Ventes[[#This Row],[Qté Vendue]] * tbl_Ventes[[#This Row],[CMP_par_portion]]</f>
        <v>0</v>
      </c>
      <c r="J1254" s="7">
        <f>tbl_Ventes[[#This Row],[CA ligne]] - tbl_Ventes[[#This Row],[Coût matière ligne]]</f>
        <v>0</v>
      </c>
      <c r="K1254" s="7" t="str">
        <f>IFERROR(INDEX(tbl_ProduitsRef[Famille], MATCH(tbl_Ventes[[#This Row],[Cde_Prdt]], tbl_Produits[Cde_Prdt], 0)), "")</f>
        <v/>
      </c>
    </row>
    <row r="1255" spans="1:11" x14ac:dyDescent="0.25">
      <c r="A1255" s="5"/>
      <c r="B1255" s="63" t="str">
        <f>IFERROR(TEXT(tbl_Ventes[[#This Row],[Date]],"mm-aaaa"),"")</f>
        <v>01-1900</v>
      </c>
      <c r="D1255" s="10" t="str">
        <f>IFERROR(
   INDEX(tbl_ProduitsRef[Cde_Prdt],MATCH(tbl_Ventes[[#This Row],[Produit]],tbl_ProduitsRef[Produit],0)),
   ""
)</f>
        <v/>
      </c>
      <c r="E1255" s="7">
        <v>0</v>
      </c>
      <c r="F1255" s="7" t="str">
        <f>IFERROR(
   INDEX(tbl_ProduitsRef[Prix Menu],MATCH(tbl_Ventes[[#This Row],[Produit]],tbl_ProduitsRef[Produit],0)),
   ""
)</f>
        <v/>
      </c>
      <c r="G1255" s="7">
        <f>tbl_Ventes[[#This Row],[Qté Vendue]] * IFERROR(_xlfn.XLOOKUP(tbl_Ventes[[#This Row],[Cde_Prdt]], tbl_Produits[Cde_Prdt], tbl_Produits[Prix Menu]), 0)</f>
        <v>0</v>
      </c>
      <c r="H1255" s="7">
        <f>IFERROR(_xlfn.XLOOKUP(tbl_Ventes[[#This Row],[Cde_Prdt]], tbl_Produits[Cde_Prdt], tbl_Produits[Coût Moyen Portion]), 0)</f>
        <v>0</v>
      </c>
      <c r="I1255" s="7">
        <f>tbl_Ventes[[#This Row],[Qté Vendue]] * tbl_Ventes[[#This Row],[CMP_par_portion]]</f>
        <v>0</v>
      </c>
      <c r="J1255" s="7">
        <f>tbl_Ventes[[#This Row],[CA ligne]] - tbl_Ventes[[#This Row],[Coût matière ligne]]</f>
        <v>0</v>
      </c>
      <c r="K1255" s="7" t="str">
        <f>IFERROR(INDEX(tbl_ProduitsRef[Famille], MATCH(tbl_Ventes[[#This Row],[Cde_Prdt]], tbl_Produits[Cde_Prdt], 0)), "")</f>
        <v/>
      </c>
    </row>
    <row r="1256" spans="1:11" x14ac:dyDescent="0.25">
      <c r="A1256" s="5"/>
      <c r="B1256" s="63" t="str">
        <f>IFERROR(TEXT(tbl_Ventes[[#This Row],[Date]],"mm-aaaa"),"")</f>
        <v>01-1900</v>
      </c>
      <c r="D1256" s="10" t="str">
        <f>IFERROR(
   INDEX(tbl_ProduitsRef[Cde_Prdt],MATCH(tbl_Ventes[[#This Row],[Produit]],tbl_ProduitsRef[Produit],0)),
   ""
)</f>
        <v/>
      </c>
      <c r="E1256" s="7">
        <v>0</v>
      </c>
      <c r="F1256" s="7" t="str">
        <f>IFERROR(
   INDEX(tbl_ProduitsRef[Prix Menu],MATCH(tbl_Ventes[[#This Row],[Produit]],tbl_ProduitsRef[Produit],0)),
   ""
)</f>
        <v/>
      </c>
      <c r="G1256" s="7">
        <f>tbl_Ventes[[#This Row],[Qté Vendue]] * IFERROR(_xlfn.XLOOKUP(tbl_Ventes[[#This Row],[Cde_Prdt]], tbl_Produits[Cde_Prdt], tbl_Produits[Prix Menu]), 0)</f>
        <v>0</v>
      </c>
      <c r="H1256" s="7">
        <f>IFERROR(_xlfn.XLOOKUP(tbl_Ventes[[#This Row],[Cde_Prdt]], tbl_Produits[Cde_Prdt], tbl_Produits[Coût Moyen Portion]), 0)</f>
        <v>0</v>
      </c>
      <c r="I1256" s="7">
        <f>tbl_Ventes[[#This Row],[Qté Vendue]] * tbl_Ventes[[#This Row],[CMP_par_portion]]</f>
        <v>0</v>
      </c>
      <c r="J1256" s="7">
        <f>tbl_Ventes[[#This Row],[CA ligne]] - tbl_Ventes[[#This Row],[Coût matière ligne]]</f>
        <v>0</v>
      </c>
      <c r="K1256" s="7" t="str">
        <f>IFERROR(INDEX(tbl_ProduitsRef[Famille], MATCH(tbl_Ventes[[#This Row],[Cde_Prdt]], tbl_Produits[Cde_Prdt], 0)), "")</f>
        <v/>
      </c>
    </row>
    <row r="1257" spans="1:11" x14ac:dyDescent="0.25">
      <c r="A1257" s="5"/>
      <c r="B1257" s="63" t="str">
        <f>IFERROR(TEXT(tbl_Ventes[[#This Row],[Date]],"mm-aaaa"),"")</f>
        <v>01-1900</v>
      </c>
      <c r="D1257" s="10" t="str">
        <f>IFERROR(
   INDEX(tbl_ProduitsRef[Cde_Prdt],MATCH(tbl_Ventes[[#This Row],[Produit]],tbl_ProduitsRef[Produit],0)),
   ""
)</f>
        <v/>
      </c>
      <c r="E1257" s="7">
        <v>0</v>
      </c>
      <c r="F1257" s="7" t="str">
        <f>IFERROR(
   INDEX(tbl_ProduitsRef[Prix Menu],MATCH(tbl_Ventes[[#This Row],[Produit]],tbl_ProduitsRef[Produit],0)),
   ""
)</f>
        <v/>
      </c>
      <c r="G1257" s="7">
        <f>tbl_Ventes[[#This Row],[Qté Vendue]] * IFERROR(_xlfn.XLOOKUP(tbl_Ventes[[#This Row],[Cde_Prdt]], tbl_Produits[Cde_Prdt], tbl_Produits[Prix Menu]), 0)</f>
        <v>0</v>
      </c>
      <c r="H1257" s="7">
        <f>IFERROR(_xlfn.XLOOKUP(tbl_Ventes[[#This Row],[Cde_Prdt]], tbl_Produits[Cde_Prdt], tbl_Produits[Coût Moyen Portion]), 0)</f>
        <v>0</v>
      </c>
      <c r="I1257" s="7">
        <f>tbl_Ventes[[#This Row],[Qté Vendue]] * tbl_Ventes[[#This Row],[CMP_par_portion]]</f>
        <v>0</v>
      </c>
      <c r="J1257" s="7">
        <f>tbl_Ventes[[#This Row],[CA ligne]] - tbl_Ventes[[#This Row],[Coût matière ligne]]</f>
        <v>0</v>
      </c>
      <c r="K1257" s="7" t="str">
        <f>IFERROR(INDEX(tbl_ProduitsRef[Famille], MATCH(tbl_Ventes[[#This Row],[Cde_Prdt]], tbl_Produits[Cde_Prdt], 0)), "")</f>
        <v/>
      </c>
    </row>
    <row r="1258" spans="1:11" x14ac:dyDescent="0.25">
      <c r="A1258" s="5"/>
      <c r="B1258" s="63" t="str">
        <f>IFERROR(TEXT(tbl_Ventes[[#This Row],[Date]],"mm-aaaa"),"")</f>
        <v>01-1900</v>
      </c>
      <c r="D1258" s="10" t="str">
        <f>IFERROR(
   INDEX(tbl_ProduitsRef[Cde_Prdt],MATCH(tbl_Ventes[[#This Row],[Produit]],tbl_ProduitsRef[Produit],0)),
   ""
)</f>
        <v/>
      </c>
      <c r="E1258" s="7">
        <v>0</v>
      </c>
      <c r="F1258" s="7" t="str">
        <f>IFERROR(
   INDEX(tbl_ProduitsRef[Prix Menu],MATCH(tbl_Ventes[[#This Row],[Produit]],tbl_ProduitsRef[Produit],0)),
   ""
)</f>
        <v/>
      </c>
      <c r="G1258" s="7">
        <f>tbl_Ventes[[#This Row],[Qté Vendue]] * IFERROR(_xlfn.XLOOKUP(tbl_Ventes[[#This Row],[Cde_Prdt]], tbl_Produits[Cde_Prdt], tbl_Produits[Prix Menu]), 0)</f>
        <v>0</v>
      </c>
      <c r="H1258" s="7">
        <f>IFERROR(_xlfn.XLOOKUP(tbl_Ventes[[#This Row],[Cde_Prdt]], tbl_Produits[Cde_Prdt], tbl_Produits[Coût Moyen Portion]), 0)</f>
        <v>0</v>
      </c>
      <c r="I1258" s="7">
        <f>tbl_Ventes[[#This Row],[Qté Vendue]] * tbl_Ventes[[#This Row],[CMP_par_portion]]</f>
        <v>0</v>
      </c>
      <c r="J1258" s="7">
        <f>tbl_Ventes[[#This Row],[CA ligne]] - tbl_Ventes[[#This Row],[Coût matière ligne]]</f>
        <v>0</v>
      </c>
      <c r="K1258" s="7" t="str">
        <f>IFERROR(INDEX(tbl_ProduitsRef[Famille], MATCH(tbl_Ventes[[#This Row],[Cde_Prdt]], tbl_Produits[Cde_Prdt], 0)), "")</f>
        <v/>
      </c>
    </row>
    <row r="1259" spans="1:11" x14ac:dyDescent="0.25">
      <c r="A1259" s="5"/>
      <c r="B1259" s="63" t="str">
        <f>IFERROR(TEXT(tbl_Ventes[[#This Row],[Date]],"mm-aaaa"),"")</f>
        <v>01-1900</v>
      </c>
      <c r="D1259" s="10" t="str">
        <f>IFERROR(
   INDEX(tbl_ProduitsRef[Cde_Prdt],MATCH(tbl_Ventes[[#This Row],[Produit]],tbl_ProduitsRef[Produit],0)),
   ""
)</f>
        <v/>
      </c>
      <c r="E1259" s="7">
        <v>0</v>
      </c>
      <c r="F1259" s="7" t="str">
        <f>IFERROR(
   INDEX(tbl_ProduitsRef[Prix Menu],MATCH(tbl_Ventes[[#This Row],[Produit]],tbl_ProduitsRef[Produit],0)),
   ""
)</f>
        <v/>
      </c>
      <c r="G1259" s="7">
        <f>tbl_Ventes[[#This Row],[Qté Vendue]] * IFERROR(_xlfn.XLOOKUP(tbl_Ventes[[#This Row],[Cde_Prdt]], tbl_Produits[Cde_Prdt], tbl_Produits[Prix Menu]), 0)</f>
        <v>0</v>
      </c>
      <c r="H1259" s="7">
        <f>IFERROR(_xlfn.XLOOKUP(tbl_Ventes[[#This Row],[Cde_Prdt]], tbl_Produits[Cde_Prdt], tbl_Produits[Coût Moyen Portion]), 0)</f>
        <v>0</v>
      </c>
      <c r="I1259" s="7">
        <f>tbl_Ventes[[#This Row],[Qté Vendue]] * tbl_Ventes[[#This Row],[CMP_par_portion]]</f>
        <v>0</v>
      </c>
      <c r="J1259" s="7">
        <f>tbl_Ventes[[#This Row],[CA ligne]] - tbl_Ventes[[#This Row],[Coût matière ligne]]</f>
        <v>0</v>
      </c>
      <c r="K1259" s="7" t="str">
        <f>IFERROR(INDEX(tbl_ProduitsRef[Famille], MATCH(tbl_Ventes[[#This Row],[Cde_Prdt]], tbl_Produits[Cde_Prdt], 0)), "")</f>
        <v/>
      </c>
    </row>
    <row r="1260" spans="1:11" x14ac:dyDescent="0.25">
      <c r="A1260" s="5"/>
      <c r="B1260" s="63" t="str">
        <f>IFERROR(TEXT(tbl_Ventes[[#This Row],[Date]],"mm-aaaa"),"")</f>
        <v>01-1900</v>
      </c>
      <c r="D1260" s="10" t="str">
        <f>IFERROR(
   INDEX(tbl_ProduitsRef[Cde_Prdt],MATCH(tbl_Ventes[[#This Row],[Produit]],tbl_ProduitsRef[Produit],0)),
   ""
)</f>
        <v/>
      </c>
      <c r="E1260" s="7">
        <v>0</v>
      </c>
      <c r="F1260" s="7" t="str">
        <f>IFERROR(
   INDEX(tbl_ProduitsRef[Prix Menu],MATCH(tbl_Ventes[[#This Row],[Produit]],tbl_ProduitsRef[Produit],0)),
   ""
)</f>
        <v/>
      </c>
      <c r="G1260" s="7">
        <f>tbl_Ventes[[#This Row],[Qté Vendue]] * IFERROR(_xlfn.XLOOKUP(tbl_Ventes[[#This Row],[Cde_Prdt]], tbl_Produits[Cde_Prdt], tbl_Produits[Prix Menu]), 0)</f>
        <v>0</v>
      </c>
      <c r="H1260" s="7">
        <f>IFERROR(_xlfn.XLOOKUP(tbl_Ventes[[#This Row],[Cde_Prdt]], tbl_Produits[Cde_Prdt], tbl_Produits[Coût Moyen Portion]), 0)</f>
        <v>0</v>
      </c>
      <c r="I1260" s="7">
        <f>tbl_Ventes[[#This Row],[Qté Vendue]] * tbl_Ventes[[#This Row],[CMP_par_portion]]</f>
        <v>0</v>
      </c>
      <c r="J1260" s="7">
        <f>tbl_Ventes[[#This Row],[CA ligne]] - tbl_Ventes[[#This Row],[Coût matière ligne]]</f>
        <v>0</v>
      </c>
      <c r="K1260" s="7" t="str">
        <f>IFERROR(INDEX(tbl_ProduitsRef[Famille], MATCH(tbl_Ventes[[#This Row],[Cde_Prdt]], tbl_Produits[Cde_Prdt], 0)), "")</f>
        <v/>
      </c>
    </row>
    <row r="1261" spans="1:11" x14ac:dyDescent="0.25">
      <c r="A1261" s="5"/>
      <c r="B1261" s="63" t="str">
        <f>IFERROR(TEXT(tbl_Ventes[[#This Row],[Date]],"mm-aaaa"),"")</f>
        <v>01-1900</v>
      </c>
      <c r="D1261" s="10" t="str">
        <f>IFERROR(
   INDEX(tbl_ProduitsRef[Cde_Prdt],MATCH(tbl_Ventes[[#This Row],[Produit]],tbl_ProduitsRef[Produit],0)),
   ""
)</f>
        <v/>
      </c>
      <c r="E1261" s="7">
        <v>0</v>
      </c>
      <c r="F1261" s="7" t="str">
        <f>IFERROR(
   INDEX(tbl_ProduitsRef[Prix Menu],MATCH(tbl_Ventes[[#This Row],[Produit]],tbl_ProduitsRef[Produit],0)),
   ""
)</f>
        <v/>
      </c>
      <c r="G1261" s="7">
        <f>tbl_Ventes[[#This Row],[Qté Vendue]] * IFERROR(_xlfn.XLOOKUP(tbl_Ventes[[#This Row],[Cde_Prdt]], tbl_Produits[Cde_Prdt], tbl_Produits[Prix Menu]), 0)</f>
        <v>0</v>
      </c>
      <c r="H1261" s="7">
        <f>IFERROR(_xlfn.XLOOKUP(tbl_Ventes[[#This Row],[Cde_Prdt]], tbl_Produits[Cde_Prdt], tbl_Produits[Coût Moyen Portion]), 0)</f>
        <v>0</v>
      </c>
      <c r="I1261" s="7">
        <f>tbl_Ventes[[#This Row],[Qté Vendue]] * tbl_Ventes[[#This Row],[CMP_par_portion]]</f>
        <v>0</v>
      </c>
      <c r="J1261" s="7">
        <f>tbl_Ventes[[#This Row],[CA ligne]] - tbl_Ventes[[#This Row],[Coût matière ligne]]</f>
        <v>0</v>
      </c>
      <c r="K1261" s="7" t="str">
        <f>IFERROR(INDEX(tbl_ProduitsRef[Famille], MATCH(tbl_Ventes[[#This Row],[Cde_Prdt]], tbl_Produits[Cde_Prdt], 0)), "")</f>
        <v/>
      </c>
    </row>
    <row r="1262" spans="1:11" x14ac:dyDescent="0.25">
      <c r="A1262" s="5"/>
      <c r="B1262" s="63" t="str">
        <f>IFERROR(TEXT(tbl_Ventes[[#This Row],[Date]],"mm-aaaa"),"")</f>
        <v>01-1900</v>
      </c>
      <c r="D1262" s="10" t="str">
        <f>IFERROR(
   INDEX(tbl_ProduitsRef[Cde_Prdt],MATCH(tbl_Ventes[[#This Row],[Produit]],tbl_ProduitsRef[Produit],0)),
   ""
)</f>
        <v/>
      </c>
      <c r="E1262" s="7">
        <v>0</v>
      </c>
      <c r="F1262" s="7" t="str">
        <f>IFERROR(
   INDEX(tbl_ProduitsRef[Prix Menu],MATCH(tbl_Ventes[[#This Row],[Produit]],tbl_ProduitsRef[Produit],0)),
   ""
)</f>
        <v/>
      </c>
      <c r="G1262" s="7">
        <f>tbl_Ventes[[#This Row],[Qté Vendue]] * IFERROR(_xlfn.XLOOKUP(tbl_Ventes[[#This Row],[Cde_Prdt]], tbl_Produits[Cde_Prdt], tbl_Produits[Prix Menu]), 0)</f>
        <v>0</v>
      </c>
      <c r="H1262" s="7">
        <f>IFERROR(_xlfn.XLOOKUP(tbl_Ventes[[#This Row],[Cde_Prdt]], tbl_Produits[Cde_Prdt], tbl_Produits[Coût Moyen Portion]), 0)</f>
        <v>0</v>
      </c>
      <c r="I1262" s="7">
        <f>tbl_Ventes[[#This Row],[Qté Vendue]] * tbl_Ventes[[#This Row],[CMP_par_portion]]</f>
        <v>0</v>
      </c>
      <c r="J1262" s="7">
        <f>tbl_Ventes[[#This Row],[CA ligne]] - tbl_Ventes[[#This Row],[Coût matière ligne]]</f>
        <v>0</v>
      </c>
      <c r="K1262" s="7" t="str">
        <f>IFERROR(INDEX(tbl_ProduitsRef[Famille], MATCH(tbl_Ventes[[#This Row],[Cde_Prdt]], tbl_Produits[Cde_Prdt], 0)), "")</f>
        <v/>
      </c>
    </row>
    <row r="1263" spans="1:11" x14ac:dyDescent="0.25">
      <c r="A1263" s="5"/>
      <c r="B1263" s="63" t="str">
        <f>IFERROR(TEXT(tbl_Ventes[[#This Row],[Date]],"mm-aaaa"),"")</f>
        <v>01-1900</v>
      </c>
      <c r="D1263" s="10" t="str">
        <f>IFERROR(
   INDEX(tbl_ProduitsRef[Cde_Prdt],MATCH(tbl_Ventes[[#This Row],[Produit]],tbl_ProduitsRef[Produit],0)),
   ""
)</f>
        <v/>
      </c>
      <c r="E1263" s="7">
        <v>0</v>
      </c>
      <c r="F1263" s="7" t="str">
        <f>IFERROR(
   INDEX(tbl_ProduitsRef[Prix Menu],MATCH(tbl_Ventes[[#This Row],[Produit]],tbl_ProduitsRef[Produit],0)),
   ""
)</f>
        <v/>
      </c>
      <c r="G1263" s="7">
        <f>tbl_Ventes[[#This Row],[Qté Vendue]] * IFERROR(_xlfn.XLOOKUP(tbl_Ventes[[#This Row],[Cde_Prdt]], tbl_Produits[Cde_Prdt], tbl_Produits[Prix Menu]), 0)</f>
        <v>0</v>
      </c>
      <c r="H1263" s="7">
        <f>IFERROR(_xlfn.XLOOKUP(tbl_Ventes[[#This Row],[Cde_Prdt]], tbl_Produits[Cde_Prdt], tbl_Produits[Coût Moyen Portion]), 0)</f>
        <v>0</v>
      </c>
      <c r="I1263" s="7">
        <f>tbl_Ventes[[#This Row],[Qté Vendue]] * tbl_Ventes[[#This Row],[CMP_par_portion]]</f>
        <v>0</v>
      </c>
      <c r="J1263" s="7">
        <f>tbl_Ventes[[#This Row],[CA ligne]] - tbl_Ventes[[#This Row],[Coût matière ligne]]</f>
        <v>0</v>
      </c>
      <c r="K1263" s="7" t="str">
        <f>IFERROR(INDEX(tbl_ProduitsRef[Famille], MATCH(tbl_Ventes[[#This Row],[Cde_Prdt]], tbl_Produits[Cde_Prdt], 0)), "")</f>
        <v/>
      </c>
    </row>
    <row r="1264" spans="1:11" x14ac:dyDescent="0.25">
      <c r="A1264" s="5"/>
      <c r="B1264" s="63" t="str">
        <f>IFERROR(TEXT(tbl_Ventes[[#This Row],[Date]],"mm-aaaa"),"")</f>
        <v>01-1900</v>
      </c>
      <c r="D1264" s="10" t="str">
        <f>IFERROR(
   INDEX(tbl_ProduitsRef[Cde_Prdt],MATCH(tbl_Ventes[[#This Row],[Produit]],tbl_ProduitsRef[Produit],0)),
   ""
)</f>
        <v/>
      </c>
      <c r="E1264" s="7">
        <v>0</v>
      </c>
      <c r="F1264" s="7" t="str">
        <f>IFERROR(
   INDEX(tbl_ProduitsRef[Prix Menu],MATCH(tbl_Ventes[[#This Row],[Produit]],tbl_ProduitsRef[Produit],0)),
   ""
)</f>
        <v/>
      </c>
      <c r="G1264" s="7">
        <f>tbl_Ventes[[#This Row],[Qté Vendue]] * IFERROR(_xlfn.XLOOKUP(tbl_Ventes[[#This Row],[Cde_Prdt]], tbl_Produits[Cde_Prdt], tbl_Produits[Prix Menu]), 0)</f>
        <v>0</v>
      </c>
      <c r="H1264" s="7">
        <f>IFERROR(_xlfn.XLOOKUP(tbl_Ventes[[#This Row],[Cde_Prdt]], tbl_Produits[Cde_Prdt], tbl_Produits[Coût Moyen Portion]), 0)</f>
        <v>0</v>
      </c>
      <c r="I1264" s="7">
        <f>tbl_Ventes[[#This Row],[Qté Vendue]] * tbl_Ventes[[#This Row],[CMP_par_portion]]</f>
        <v>0</v>
      </c>
      <c r="J1264" s="7">
        <f>tbl_Ventes[[#This Row],[CA ligne]] - tbl_Ventes[[#This Row],[Coût matière ligne]]</f>
        <v>0</v>
      </c>
      <c r="K1264" s="7" t="str">
        <f>IFERROR(INDEX(tbl_ProduitsRef[Famille], MATCH(tbl_Ventes[[#This Row],[Cde_Prdt]], tbl_Produits[Cde_Prdt], 0)), "")</f>
        <v/>
      </c>
    </row>
    <row r="1265" spans="1:11" x14ac:dyDescent="0.25">
      <c r="A1265" s="5"/>
      <c r="B1265" s="63" t="str">
        <f>IFERROR(TEXT(tbl_Ventes[[#This Row],[Date]],"mm-aaaa"),"")</f>
        <v>01-1900</v>
      </c>
      <c r="D1265" s="10" t="str">
        <f>IFERROR(
   INDEX(tbl_ProduitsRef[Cde_Prdt],MATCH(tbl_Ventes[[#This Row],[Produit]],tbl_ProduitsRef[Produit],0)),
   ""
)</f>
        <v/>
      </c>
      <c r="E1265" s="7">
        <v>0</v>
      </c>
      <c r="F1265" s="7" t="str">
        <f>IFERROR(
   INDEX(tbl_ProduitsRef[Prix Menu],MATCH(tbl_Ventes[[#This Row],[Produit]],tbl_ProduitsRef[Produit],0)),
   ""
)</f>
        <v/>
      </c>
      <c r="G1265" s="7">
        <f>tbl_Ventes[[#This Row],[Qté Vendue]] * IFERROR(_xlfn.XLOOKUP(tbl_Ventes[[#This Row],[Cde_Prdt]], tbl_Produits[Cde_Prdt], tbl_Produits[Prix Menu]), 0)</f>
        <v>0</v>
      </c>
      <c r="H1265" s="7">
        <f>IFERROR(_xlfn.XLOOKUP(tbl_Ventes[[#This Row],[Cde_Prdt]], tbl_Produits[Cde_Prdt], tbl_Produits[Coût Moyen Portion]), 0)</f>
        <v>0</v>
      </c>
      <c r="I1265" s="7">
        <f>tbl_Ventes[[#This Row],[Qté Vendue]] * tbl_Ventes[[#This Row],[CMP_par_portion]]</f>
        <v>0</v>
      </c>
      <c r="J1265" s="7">
        <f>tbl_Ventes[[#This Row],[CA ligne]] - tbl_Ventes[[#This Row],[Coût matière ligne]]</f>
        <v>0</v>
      </c>
      <c r="K1265" s="7" t="str">
        <f>IFERROR(INDEX(tbl_ProduitsRef[Famille], MATCH(tbl_Ventes[[#This Row],[Cde_Prdt]], tbl_Produits[Cde_Prdt], 0)), "")</f>
        <v/>
      </c>
    </row>
    <row r="1266" spans="1:11" x14ac:dyDescent="0.25">
      <c r="A1266" s="5"/>
      <c r="B1266" s="63" t="str">
        <f>IFERROR(TEXT(tbl_Ventes[[#This Row],[Date]],"mm-aaaa"),"")</f>
        <v>01-1900</v>
      </c>
      <c r="D1266" s="10" t="str">
        <f>IFERROR(
   INDEX(tbl_ProduitsRef[Cde_Prdt],MATCH(tbl_Ventes[[#This Row],[Produit]],tbl_ProduitsRef[Produit],0)),
   ""
)</f>
        <v/>
      </c>
      <c r="E1266" s="7">
        <v>0</v>
      </c>
      <c r="F1266" s="7" t="str">
        <f>IFERROR(
   INDEX(tbl_ProduitsRef[Prix Menu],MATCH(tbl_Ventes[[#This Row],[Produit]],tbl_ProduitsRef[Produit],0)),
   ""
)</f>
        <v/>
      </c>
      <c r="G1266" s="7">
        <f>tbl_Ventes[[#This Row],[Qté Vendue]] * IFERROR(_xlfn.XLOOKUP(tbl_Ventes[[#This Row],[Cde_Prdt]], tbl_Produits[Cde_Prdt], tbl_Produits[Prix Menu]), 0)</f>
        <v>0</v>
      </c>
      <c r="H1266" s="7">
        <f>IFERROR(_xlfn.XLOOKUP(tbl_Ventes[[#This Row],[Cde_Prdt]], tbl_Produits[Cde_Prdt], tbl_Produits[Coût Moyen Portion]), 0)</f>
        <v>0</v>
      </c>
      <c r="I1266" s="7">
        <f>tbl_Ventes[[#This Row],[Qté Vendue]] * tbl_Ventes[[#This Row],[CMP_par_portion]]</f>
        <v>0</v>
      </c>
      <c r="J1266" s="7">
        <f>tbl_Ventes[[#This Row],[CA ligne]] - tbl_Ventes[[#This Row],[Coût matière ligne]]</f>
        <v>0</v>
      </c>
      <c r="K1266" s="7" t="str">
        <f>IFERROR(INDEX(tbl_ProduitsRef[Famille], MATCH(tbl_Ventes[[#This Row],[Cde_Prdt]], tbl_Produits[Cde_Prdt], 0)), "")</f>
        <v/>
      </c>
    </row>
    <row r="1267" spans="1:11" x14ac:dyDescent="0.25">
      <c r="A1267" s="5"/>
      <c r="B1267" s="63" t="str">
        <f>IFERROR(TEXT(tbl_Ventes[[#This Row],[Date]],"mm-aaaa"),"")</f>
        <v>01-1900</v>
      </c>
      <c r="D1267" s="10" t="str">
        <f>IFERROR(
   INDEX(tbl_ProduitsRef[Cde_Prdt],MATCH(tbl_Ventes[[#This Row],[Produit]],tbl_ProduitsRef[Produit],0)),
   ""
)</f>
        <v/>
      </c>
      <c r="E1267" s="7">
        <v>0</v>
      </c>
      <c r="F1267" s="7" t="str">
        <f>IFERROR(
   INDEX(tbl_ProduitsRef[Prix Menu],MATCH(tbl_Ventes[[#This Row],[Produit]],tbl_ProduitsRef[Produit],0)),
   ""
)</f>
        <v/>
      </c>
      <c r="G1267" s="7">
        <f>tbl_Ventes[[#This Row],[Qté Vendue]] * IFERROR(_xlfn.XLOOKUP(tbl_Ventes[[#This Row],[Cde_Prdt]], tbl_Produits[Cde_Prdt], tbl_Produits[Prix Menu]), 0)</f>
        <v>0</v>
      </c>
      <c r="H1267" s="7">
        <f>IFERROR(_xlfn.XLOOKUP(tbl_Ventes[[#This Row],[Cde_Prdt]], tbl_Produits[Cde_Prdt], tbl_Produits[Coût Moyen Portion]), 0)</f>
        <v>0</v>
      </c>
      <c r="I1267" s="7">
        <f>tbl_Ventes[[#This Row],[Qté Vendue]] * tbl_Ventes[[#This Row],[CMP_par_portion]]</f>
        <v>0</v>
      </c>
      <c r="J1267" s="7">
        <f>tbl_Ventes[[#This Row],[CA ligne]] - tbl_Ventes[[#This Row],[Coût matière ligne]]</f>
        <v>0</v>
      </c>
      <c r="K1267" s="7" t="str">
        <f>IFERROR(INDEX(tbl_ProduitsRef[Famille], MATCH(tbl_Ventes[[#This Row],[Cde_Prdt]], tbl_Produits[Cde_Prdt], 0)), "")</f>
        <v/>
      </c>
    </row>
    <row r="1268" spans="1:11" x14ac:dyDescent="0.25">
      <c r="A1268" s="5"/>
      <c r="B1268" s="63" t="str">
        <f>IFERROR(TEXT(tbl_Ventes[[#This Row],[Date]],"mm-aaaa"),"")</f>
        <v>01-1900</v>
      </c>
      <c r="D1268" s="10" t="str">
        <f>IFERROR(
   INDEX(tbl_ProduitsRef[Cde_Prdt],MATCH(tbl_Ventes[[#This Row],[Produit]],tbl_ProduitsRef[Produit],0)),
   ""
)</f>
        <v/>
      </c>
      <c r="E1268" s="7">
        <v>0</v>
      </c>
      <c r="F1268" s="7" t="str">
        <f>IFERROR(
   INDEX(tbl_ProduitsRef[Prix Menu],MATCH(tbl_Ventes[[#This Row],[Produit]],tbl_ProduitsRef[Produit],0)),
   ""
)</f>
        <v/>
      </c>
      <c r="G1268" s="7">
        <f>tbl_Ventes[[#This Row],[Qté Vendue]] * IFERROR(_xlfn.XLOOKUP(tbl_Ventes[[#This Row],[Cde_Prdt]], tbl_Produits[Cde_Prdt], tbl_Produits[Prix Menu]), 0)</f>
        <v>0</v>
      </c>
      <c r="H1268" s="7">
        <f>IFERROR(_xlfn.XLOOKUP(tbl_Ventes[[#This Row],[Cde_Prdt]], tbl_Produits[Cde_Prdt], tbl_Produits[Coût Moyen Portion]), 0)</f>
        <v>0</v>
      </c>
      <c r="I1268" s="7">
        <f>tbl_Ventes[[#This Row],[Qté Vendue]] * tbl_Ventes[[#This Row],[CMP_par_portion]]</f>
        <v>0</v>
      </c>
      <c r="J1268" s="7">
        <f>tbl_Ventes[[#This Row],[CA ligne]] - tbl_Ventes[[#This Row],[Coût matière ligne]]</f>
        <v>0</v>
      </c>
      <c r="K1268" s="7" t="str">
        <f>IFERROR(INDEX(tbl_ProduitsRef[Famille], MATCH(tbl_Ventes[[#This Row],[Cde_Prdt]], tbl_Produits[Cde_Prdt], 0)), "")</f>
        <v/>
      </c>
    </row>
    <row r="1269" spans="1:11" x14ac:dyDescent="0.25">
      <c r="A1269" s="5"/>
      <c r="B1269" s="63" t="str">
        <f>IFERROR(TEXT(tbl_Ventes[[#This Row],[Date]],"mm-aaaa"),"")</f>
        <v>01-1900</v>
      </c>
      <c r="D1269" s="10" t="str">
        <f>IFERROR(
   INDEX(tbl_ProduitsRef[Cde_Prdt],MATCH(tbl_Ventes[[#This Row],[Produit]],tbl_ProduitsRef[Produit],0)),
   ""
)</f>
        <v/>
      </c>
      <c r="E1269" s="7">
        <v>0</v>
      </c>
      <c r="F1269" s="7" t="str">
        <f>IFERROR(
   INDEX(tbl_ProduitsRef[Prix Menu],MATCH(tbl_Ventes[[#This Row],[Produit]],tbl_ProduitsRef[Produit],0)),
   ""
)</f>
        <v/>
      </c>
      <c r="G1269" s="7">
        <f>tbl_Ventes[[#This Row],[Qté Vendue]] * IFERROR(_xlfn.XLOOKUP(tbl_Ventes[[#This Row],[Cde_Prdt]], tbl_Produits[Cde_Prdt], tbl_Produits[Prix Menu]), 0)</f>
        <v>0</v>
      </c>
      <c r="H1269" s="7">
        <f>IFERROR(_xlfn.XLOOKUP(tbl_Ventes[[#This Row],[Cde_Prdt]], tbl_Produits[Cde_Prdt], tbl_Produits[Coût Moyen Portion]), 0)</f>
        <v>0</v>
      </c>
      <c r="I1269" s="7">
        <f>tbl_Ventes[[#This Row],[Qté Vendue]] * tbl_Ventes[[#This Row],[CMP_par_portion]]</f>
        <v>0</v>
      </c>
      <c r="J1269" s="7">
        <f>tbl_Ventes[[#This Row],[CA ligne]] - tbl_Ventes[[#This Row],[Coût matière ligne]]</f>
        <v>0</v>
      </c>
      <c r="K1269" s="7" t="str">
        <f>IFERROR(INDEX(tbl_ProduitsRef[Famille], MATCH(tbl_Ventes[[#This Row],[Cde_Prdt]], tbl_Produits[Cde_Prdt], 0)), "")</f>
        <v/>
      </c>
    </row>
    <row r="1270" spans="1:11" x14ac:dyDescent="0.25">
      <c r="A1270" s="5"/>
      <c r="B1270" s="63" t="str">
        <f>IFERROR(TEXT(tbl_Ventes[[#This Row],[Date]],"mm-aaaa"),"")</f>
        <v>01-1900</v>
      </c>
      <c r="D1270" s="10" t="str">
        <f>IFERROR(
   INDEX(tbl_ProduitsRef[Cde_Prdt],MATCH(tbl_Ventes[[#This Row],[Produit]],tbl_ProduitsRef[Produit],0)),
   ""
)</f>
        <v/>
      </c>
      <c r="E1270" s="7">
        <v>0</v>
      </c>
      <c r="F1270" s="7" t="str">
        <f>IFERROR(
   INDEX(tbl_ProduitsRef[Prix Menu],MATCH(tbl_Ventes[[#This Row],[Produit]],tbl_ProduitsRef[Produit],0)),
   ""
)</f>
        <v/>
      </c>
      <c r="G1270" s="7">
        <f>tbl_Ventes[[#This Row],[Qté Vendue]] * IFERROR(_xlfn.XLOOKUP(tbl_Ventes[[#This Row],[Cde_Prdt]], tbl_Produits[Cde_Prdt], tbl_Produits[Prix Menu]), 0)</f>
        <v>0</v>
      </c>
      <c r="H1270" s="7">
        <f>IFERROR(_xlfn.XLOOKUP(tbl_Ventes[[#This Row],[Cde_Prdt]], tbl_Produits[Cde_Prdt], tbl_Produits[Coût Moyen Portion]), 0)</f>
        <v>0</v>
      </c>
      <c r="I1270" s="7">
        <f>tbl_Ventes[[#This Row],[Qté Vendue]] * tbl_Ventes[[#This Row],[CMP_par_portion]]</f>
        <v>0</v>
      </c>
      <c r="J1270" s="7">
        <f>tbl_Ventes[[#This Row],[CA ligne]] - tbl_Ventes[[#This Row],[Coût matière ligne]]</f>
        <v>0</v>
      </c>
      <c r="K1270" s="7" t="str">
        <f>IFERROR(INDEX(tbl_ProduitsRef[Famille], MATCH(tbl_Ventes[[#This Row],[Cde_Prdt]], tbl_Produits[Cde_Prdt], 0)), "")</f>
        <v/>
      </c>
    </row>
    <row r="1271" spans="1:11" x14ac:dyDescent="0.25">
      <c r="A1271" s="5"/>
      <c r="B1271" s="63" t="str">
        <f>IFERROR(TEXT(tbl_Ventes[[#This Row],[Date]],"mm-aaaa"),"")</f>
        <v>01-1900</v>
      </c>
      <c r="D1271" s="10" t="str">
        <f>IFERROR(
   INDEX(tbl_ProduitsRef[Cde_Prdt],MATCH(tbl_Ventes[[#This Row],[Produit]],tbl_ProduitsRef[Produit],0)),
   ""
)</f>
        <v/>
      </c>
      <c r="E1271" s="7">
        <v>0</v>
      </c>
      <c r="F1271" s="7" t="str">
        <f>IFERROR(
   INDEX(tbl_ProduitsRef[Prix Menu],MATCH(tbl_Ventes[[#This Row],[Produit]],tbl_ProduitsRef[Produit],0)),
   ""
)</f>
        <v/>
      </c>
      <c r="G1271" s="7">
        <f>tbl_Ventes[[#This Row],[Qté Vendue]] * IFERROR(_xlfn.XLOOKUP(tbl_Ventes[[#This Row],[Cde_Prdt]], tbl_Produits[Cde_Prdt], tbl_Produits[Prix Menu]), 0)</f>
        <v>0</v>
      </c>
      <c r="H1271" s="7">
        <f>IFERROR(_xlfn.XLOOKUP(tbl_Ventes[[#This Row],[Cde_Prdt]], tbl_Produits[Cde_Prdt], tbl_Produits[Coût Moyen Portion]), 0)</f>
        <v>0</v>
      </c>
      <c r="I1271" s="7">
        <f>tbl_Ventes[[#This Row],[Qté Vendue]] * tbl_Ventes[[#This Row],[CMP_par_portion]]</f>
        <v>0</v>
      </c>
      <c r="J1271" s="7">
        <f>tbl_Ventes[[#This Row],[CA ligne]] - tbl_Ventes[[#This Row],[Coût matière ligne]]</f>
        <v>0</v>
      </c>
      <c r="K1271" s="7" t="str">
        <f>IFERROR(INDEX(tbl_ProduitsRef[Famille], MATCH(tbl_Ventes[[#This Row],[Cde_Prdt]], tbl_Produits[Cde_Prdt], 0)), "")</f>
        <v/>
      </c>
    </row>
    <row r="1272" spans="1:11" x14ac:dyDescent="0.25">
      <c r="A1272" s="5"/>
      <c r="B1272" s="63" t="str">
        <f>IFERROR(TEXT(tbl_Ventes[[#This Row],[Date]],"mm-aaaa"),"")</f>
        <v>01-1900</v>
      </c>
      <c r="D1272" s="10" t="str">
        <f>IFERROR(
   INDEX(tbl_ProduitsRef[Cde_Prdt],MATCH(tbl_Ventes[[#This Row],[Produit]],tbl_ProduitsRef[Produit],0)),
   ""
)</f>
        <v/>
      </c>
      <c r="E1272" s="7">
        <v>0</v>
      </c>
      <c r="F1272" s="7" t="str">
        <f>IFERROR(
   INDEX(tbl_ProduitsRef[Prix Menu],MATCH(tbl_Ventes[[#This Row],[Produit]],tbl_ProduitsRef[Produit],0)),
   ""
)</f>
        <v/>
      </c>
      <c r="G1272" s="7">
        <f>tbl_Ventes[[#This Row],[Qté Vendue]] * IFERROR(_xlfn.XLOOKUP(tbl_Ventes[[#This Row],[Cde_Prdt]], tbl_Produits[Cde_Prdt], tbl_Produits[Prix Menu]), 0)</f>
        <v>0</v>
      </c>
      <c r="H1272" s="7">
        <f>IFERROR(_xlfn.XLOOKUP(tbl_Ventes[[#This Row],[Cde_Prdt]], tbl_Produits[Cde_Prdt], tbl_Produits[Coût Moyen Portion]), 0)</f>
        <v>0</v>
      </c>
      <c r="I1272" s="7">
        <f>tbl_Ventes[[#This Row],[Qté Vendue]] * tbl_Ventes[[#This Row],[CMP_par_portion]]</f>
        <v>0</v>
      </c>
      <c r="J1272" s="7">
        <f>tbl_Ventes[[#This Row],[CA ligne]] - tbl_Ventes[[#This Row],[Coût matière ligne]]</f>
        <v>0</v>
      </c>
      <c r="K1272" s="7" t="str">
        <f>IFERROR(INDEX(tbl_ProduitsRef[Famille], MATCH(tbl_Ventes[[#This Row],[Cde_Prdt]], tbl_Produits[Cde_Prdt], 0)), "")</f>
        <v/>
      </c>
    </row>
    <row r="1273" spans="1:11" x14ac:dyDescent="0.25">
      <c r="A1273" s="5"/>
      <c r="B1273" s="63" t="str">
        <f>IFERROR(TEXT(tbl_Ventes[[#This Row],[Date]],"mm-aaaa"),"")</f>
        <v>01-1900</v>
      </c>
      <c r="D1273" s="10" t="str">
        <f>IFERROR(
   INDEX(tbl_ProduitsRef[Cde_Prdt],MATCH(tbl_Ventes[[#This Row],[Produit]],tbl_ProduitsRef[Produit],0)),
   ""
)</f>
        <v/>
      </c>
      <c r="E1273" s="7">
        <v>0</v>
      </c>
      <c r="F1273" s="7" t="str">
        <f>IFERROR(
   INDEX(tbl_ProduitsRef[Prix Menu],MATCH(tbl_Ventes[[#This Row],[Produit]],tbl_ProduitsRef[Produit],0)),
   ""
)</f>
        <v/>
      </c>
      <c r="G1273" s="7">
        <f>tbl_Ventes[[#This Row],[Qté Vendue]] * IFERROR(_xlfn.XLOOKUP(tbl_Ventes[[#This Row],[Cde_Prdt]], tbl_Produits[Cde_Prdt], tbl_Produits[Prix Menu]), 0)</f>
        <v>0</v>
      </c>
      <c r="H1273" s="7">
        <f>IFERROR(_xlfn.XLOOKUP(tbl_Ventes[[#This Row],[Cde_Prdt]], tbl_Produits[Cde_Prdt], tbl_Produits[Coût Moyen Portion]), 0)</f>
        <v>0</v>
      </c>
      <c r="I1273" s="7">
        <f>tbl_Ventes[[#This Row],[Qté Vendue]] * tbl_Ventes[[#This Row],[CMP_par_portion]]</f>
        <v>0</v>
      </c>
      <c r="J1273" s="7">
        <f>tbl_Ventes[[#This Row],[CA ligne]] - tbl_Ventes[[#This Row],[Coût matière ligne]]</f>
        <v>0</v>
      </c>
      <c r="K1273" s="7" t="str">
        <f>IFERROR(INDEX(tbl_ProduitsRef[Famille], MATCH(tbl_Ventes[[#This Row],[Cde_Prdt]], tbl_Produits[Cde_Prdt], 0)), "")</f>
        <v/>
      </c>
    </row>
    <row r="1274" spans="1:11" x14ac:dyDescent="0.25">
      <c r="A1274" s="5"/>
      <c r="B1274" s="63" t="str">
        <f>IFERROR(TEXT(tbl_Ventes[[#This Row],[Date]],"mm-aaaa"),"")</f>
        <v>01-1900</v>
      </c>
      <c r="D1274" s="10" t="str">
        <f>IFERROR(
   INDEX(tbl_ProduitsRef[Cde_Prdt],MATCH(tbl_Ventes[[#This Row],[Produit]],tbl_ProduitsRef[Produit],0)),
   ""
)</f>
        <v/>
      </c>
      <c r="E1274" s="7">
        <v>0</v>
      </c>
      <c r="F1274" s="7" t="str">
        <f>IFERROR(
   INDEX(tbl_ProduitsRef[Prix Menu],MATCH(tbl_Ventes[[#This Row],[Produit]],tbl_ProduitsRef[Produit],0)),
   ""
)</f>
        <v/>
      </c>
      <c r="G1274" s="7">
        <f>tbl_Ventes[[#This Row],[Qté Vendue]] * IFERROR(_xlfn.XLOOKUP(tbl_Ventes[[#This Row],[Cde_Prdt]], tbl_Produits[Cde_Prdt], tbl_Produits[Prix Menu]), 0)</f>
        <v>0</v>
      </c>
      <c r="H1274" s="7">
        <f>IFERROR(_xlfn.XLOOKUP(tbl_Ventes[[#This Row],[Cde_Prdt]], tbl_Produits[Cde_Prdt], tbl_Produits[Coût Moyen Portion]), 0)</f>
        <v>0</v>
      </c>
      <c r="I1274" s="7">
        <f>tbl_Ventes[[#This Row],[Qté Vendue]] * tbl_Ventes[[#This Row],[CMP_par_portion]]</f>
        <v>0</v>
      </c>
      <c r="J1274" s="7">
        <f>tbl_Ventes[[#This Row],[CA ligne]] - tbl_Ventes[[#This Row],[Coût matière ligne]]</f>
        <v>0</v>
      </c>
      <c r="K1274" s="7" t="str">
        <f>IFERROR(INDEX(tbl_ProduitsRef[Famille], MATCH(tbl_Ventes[[#This Row],[Cde_Prdt]], tbl_Produits[Cde_Prdt], 0)), "")</f>
        <v/>
      </c>
    </row>
    <row r="1275" spans="1:11" x14ac:dyDescent="0.25">
      <c r="A1275" s="5"/>
      <c r="B1275" s="63" t="str">
        <f>IFERROR(TEXT(tbl_Ventes[[#This Row],[Date]],"mm-aaaa"),"")</f>
        <v>01-1900</v>
      </c>
      <c r="D1275" s="10" t="str">
        <f>IFERROR(
   INDEX(tbl_ProduitsRef[Cde_Prdt],MATCH(tbl_Ventes[[#This Row],[Produit]],tbl_ProduitsRef[Produit],0)),
   ""
)</f>
        <v/>
      </c>
      <c r="E1275" s="7">
        <v>0</v>
      </c>
      <c r="F1275" s="7" t="str">
        <f>IFERROR(
   INDEX(tbl_ProduitsRef[Prix Menu],MATCH(tbl_Ventes[[#This Row],[Produit]],tbl_ProduitsRef[Produit],0)),
   ""
)</f>
        <v/>
      </c>
      <c r="G1275" s="7">
        <f>tbl_Ventes[[#This Row],[Qté Vendue]] * IFERROR(_xlfn.XLOOKUP(tbl_Ventes[[#This Row],[Cde_Prdt]], tbl_Produits[Cde_Prdt], tbl_Produits[Prix Menu]), 0)</f>
        <v>0</v>
      </c>
      <c r="H1275" s="7">
        <f>IFERROR(_xlfn.XLOOKUP(tbl_Ventes[[#This Row],[Cde_Prdt]], tbl_Produits[Cde_Prdt], tbl_Produits[Coût Moyen Portion]), 0)</f>
        <v>0</v>
      </c>
      <c r="I1275" s="7">
        <f>tbl_Ventes[[#This Row],[Qté Vendue]] * tbl_Ventes[[#This Row],[CMP_par_portion]]</f>
        <v>0</v>
      </c>
      <c r="J1275" s="7">
        <f>tbl_Ventes[[#This Row],[CA ligne]] - tbl_Ventes[[#This Row],[Coût matière ligne]]</f>
        <v>0</v>
      </c>
      <c r="K1275" s="7" t="str">
        <f>IFERROR(INDEX(tbl_ProduitsRef[Famille], MATCH(tbl_Ventes[[#This Row],[Cde_Prdt]], tbl_Produits[Cde_Prdt], 0)), "")</f>
        <v/>
      </c>
    </row>
    <row r="1276" spans="1:11" x14ac:dyDescent="0.25">
      <c r="A1276" s="5"/>
      <c r="B1276" s="63" t="str">
        <f>IFERROR(TEXT(tbl_Ventes[[#This Row],[Date]],"mm-aaaa"),"")</f>
        <v>01-1900</v>
      </c>
      <c r="D1276" s="10" t="str">
        <f>IFERROR(
   INDEX(tbl_ProduitsRef[Cde_Prdt],MATCH(tbl_Ventes[[#This Row],[Produit]],tbl_ProduitsRef[Produit],0)),
   ""
)</f>
        <v/>
      </c>
      <c r="E1276" s="7">
        <v>0</v>
      </c>
      <c r="F1276" s="7" t="str">
        <f>IFERROR(
   INDEX(tbl_ProduitsRef[Prix Menu],MATCH(tbl_Ventes[[#This Row],[Produit]],tbl_ProduitsRef[Produit],0)),
   ""
)</f>
        <v/>
      </c>
      <c r="G1276" s="7">
        <f>tbl_Ventes[[#This Row],[Qté Vendue]] * IFERROR(_xlfn.XLOOKUP(tbl_Ventes[[#This Row],[Cde_Prdt]], tbl_Produits[Cde_Prdt], tbl_Produits[Prix Menu]), 0)</f>
        <v>0</v>
      </c>
      <c r="H1276" s="7">
        <f>IFERROR(_xlfn.XLOOKUP(tbl_Ventes[[#This Row],[Cde_Prdt]], tbl_Produits[Cde_Prdt], tbl_Produits[Coût Moyen Portion]), 0)</f>
        <v>0</v>
      </c>
      <c r="I1276" s="7">
        <f>tbl_Ventes[[#This Row],[Qté Vendue]] * tbl_Ventes[[#This Row],[CMP_par_portion]]</f>
        <v>0</v>
      </c>
      <c r="J1276" s="7">
        <f>tbl_Ventes[[#This Row],[CA ligne]] - tbl_Ventes[[#This Row],[Coût matière ligne]]</f>
        <v>0</v>
      </c>
      <c r="K1276" s="7" t="str">
        <f>IFERROR(INDEX(tbl_ProduitsRef[Famille], MATCH(tbl_Ventes[[#This Row],[Cde_Prdt]], tbl_Produits[Cde_Prdt], 0)), "")</f>
        <v/>
      </c>
    </row>
    <row r="1277" spans="1:11" x14ac:dyDescent="0.25">
      <c r="A1277" s="5"/>
      <c r="B1277" s="63" t="str">
        <f>IFERROR(TEXT(tbl_Ventes[[#This Row],[Date]],"mm-aaaa"),"")</f>
        <v>01-1900</v>
      </c>
      <c r="D1277" s="10" t="str">
        <f>IFERROR(
   INDEX(tbl_ProduitsRef[Cde_Prdt],MATCH(tbl_Ventes[[#This Row],[Produit]],tbl_ProduitsRef[Produit],0)),
   ""
)</f>
        <v/>
      </c>
      <c r="E1277" s="7">
        <v>0</v>
      </c>
      <c r="F1277" s="7" t="str">
        <f>IFERROR(
   INDEX(tbl_ProduitsRef[Prix Menu],MATCH(tbl_Ventes[[#This Row],[Produit]],tbl_ProduitsRef[Produit],0)),
   ""
)</f>
        <v/>
      </c>
      <c r="G1277" s="7">
        <f>tbl_Ventes[[#This Row],[Qté Vendue]] * IFERROR(_xlfn.XLOOKUP(tbl_Ventes[[#This Row],[Cde_Prdt]], tbl_Produits[Cde_Prdt], tbl_Produits[Prix Menu]), 0)</f>
        <v>0</v>
      </c>
      <c r="H1277" s="7">
        <f>IFERROR(_xlfn.XLOOKUP(tbl_Ventes[[#This Row],[Cde_Prdt]], tbl_Produits[Cde_Prdt], tbl_Produits[Coût Moyen Portion]), 0)</f>
        <v>0</v>
      </c>
      <c r="I1277" s="7">
        <f>tbl_Ventes[[#This Row],[Qté Vendue]] * tbl_Ventes[[#This Row],[CMP_par_portion]]</f>
        <v>0</v>
      </c>
      <c r="J1277" s="7">
        <f>tbl_Ventes[[#This Row],[CA ligne]] - tbl_Ventes[[#This Row],[Coût matière ligne]]</f>
        <v>0</v>
      </c>
      <c r="K1277" s="7" t="str">
        <f>IFERROR(INDEX(tbl_ProduitsRef[Famille], MATCH(tbl_Ventes[[#This Row],[Cde_Prdt]], tbl_Produits[Cde_Prdt], 0)), "")</f>
        <v/>
      </c>
    </row>
    <row r="1278" spans="1:11" x14ac:dyDescent="0.25">
      <c r="A1278" s="5"/>
      <c r="B1278" s="63" t="str">
        <f>IFERROR(TEXT(tbl_Ventes[[#This Row],[Date]],"mm-aaaa"),"")</f>
        <v>01-1900</v>
      </c>
      <c r="D1278" s="10" t="str">
        <f>IFERROR(
   INDEX(tbl_ProduitsRef[Cde_Prdt],MATCH(tbl_Ventes[[#This Row],[Produit]],tbl_ProduitsRef[Produit],0)),
   ""
)</f>
        <v/>
      </c>
      <c r="E1278" s="7">
        <v>0</v>
      </c>
      <c r="F1278" s="7" t="str">
        <f>IFERROR(
   INDEX(tbl_ProduitsRef[Prix Menu],MATCH(tbl_Ventes[[#This Row],[Produit]],tbl_ProduitsRef[Produit],0)),
   ""
)</f>
        <v/>
      </c>
      <c r="G1278" s="7">
        <f>tbl_Ventes[[#This Row],[Qté Vendue]] * IFERROR(_xlfn.XLOOKUP(tbl_Ventes[[#This Row],[Cde_Prdt]], tbl_Produits[Cde_Prdt], tbl_Produits[Prix Menu]), 0)</f>
        <v>0</v>
      </c>
      <c r="H1278" s="7">
        <f>IFERROR(_xlfn.XLOOKUP(tbl_Ventes[[#This Row],[Cde_Prdt]], tbl_Produits[Cde_Prdt], tbl_Produits[Coût Moyen Portion]), 0)</f>
        <v>0</v>
      </c>
      <c r="I1278" s="7">
        <f>tbl_Ventes[[#This Row],[Qté Vendue]] * tbl_Ventes[[#This Row],[CMP_par_portion]]</f>
        <v>0</v>
      </c>
      <c r="J1278" s="7">
        <f>tbl_Ventes[[#This Row],[CA ligne]] - tbl_Ventes[[#This Row],[Coût matière ligne]]</f>
        <v>0</v>
      </c>
      <c r="K1278" s="7" t="str">
        <f>IFERROR(INDEX(tbl_ProduitsRef[Famille], MATCH(tbl_Ventes[[#This Row],[Cde_Prdt]], tbl_Produits[Cde_Prdt], 0)), "")</f>
        <v/>
      </c>
    </row>
    <row r="1279" spans="1:11" x14ac:dyDescent="0.25">
      <c r="A1279" s="5"/>
      <c r="B1279" s="63" t="str">
        <f>IFERROR(TEXT(tbl_Ventes[[#This Row],[Date]],"mm-aaaa"),"")</f>
        <v>01-1900</v>
      </c>
      <c r="D1279" s="10" t="str">
        <f>IFERROR(
   INDEX(tbl_ProduitsRef[Cde_Prdt],MATCH(tbl_Ventes[[#This Row],[Produit]],tbl_ProduitsRef[Produit],0)),
   ""
)</f>
        <v/>
      </c>
      <c r="E1279" s="7">
        <v>0</v>
      </c>
      <c r="F1279" s="7" t="str">
        <f>IFERROR(
   INDEX(tbl_ProduitsRef[Prix Menu],MATCH(tbl_Ventes[[#This Row],[Produit]],tbl_ProduitsRef[Produit],0)),
   ""
)</f>
        <v/>
      </c>
      <c r="G1279" s="7">
        <f>tbl_Ventes[[#This Row],[Qté Vendue]] * IFERROR(_xlfn.XLOOKUP(tbl_Ventes[[#This Row],[Cde_Prdt]], tbl_Produits[Cde_Prdt], tbl_Produits[Prix Menu]), 0)</f>
        <v>0</v>
      </c>
      <c r="H1279" s="7">
        <f>IFERROR(_xlfn.XLOOKUP(tbl_Ventes[[#This Row],[Cde_Prdt]], tbl_Produits[Cde_Prdt], tbl_Produits[Coût Moyen Portion]), 0)</f>
        <v>0</v>
      </c>
      <c r="I1279" s="7">
        <f>tbl_Ventes[[#This Row],[Qté Vendue]] * tbl_Ventes[[#This Row],[CMP_par_portion]]</f>
        <v>0</v>
      </c>
      <c r="J1279" s="7">
        <f>tbl_Ventes[[#This Row],[CA ligne]] - tbl_Ventes[[#This Row],[Coût matière ligne]]</f>
        <v>0</v>
      </c>
      <c r="K1279" s="7" t="str">
        <f>IFERROR(INDEX(tbl_ProduitsRef[Famille], MATCH(tbl_Ventes[[#This Row],[Cde_Prdt]], tbl_Produits[Cde_Prdt], 0)), "")</f>
        <v/>
      </c>
    </row>
    <row r="1280" spans="1:11" x14ac:dyDescent="0.25">
      <c r="A1280" s="5"/>
      <c r="B1280" s="63" t="str">
        <f>IFERROR(TEXT(tbl_Ventes[[#This Row],[Date]],"mm-aaaa"),"")</f>
        <v>01-1900</v>
      </c>
      <c r="D1280" s="10" t="str">
        <f>IFERROR(
   INDEX(tbl_ProduitsRef[Cde_Prdt],MATCH(tbl_Ventes[[#This Row],[Produit]],tbl_ProduitsRef[Produit],0)),
   ""
)</f>
        <v/>
      </c>
      <c r="E1280" s="7">
        <v>0</v>
      </c>
      <c r="F1280" s="7" t="str">
        <f>IFERROR(
   INDEX(tbl_ProduitsRef[Prix Menu],MATCH(tbl_Ventes[[#This Row],[Produit]],tbl_ProduitsRef[Produit],0)),
   ""
)</f>
        <v/>
      </c>
      <c r="G1280" s="7">
        <f>tbl_Ventes[[#This Row],[Qté Vendue]] * IFERROR(_xlfn.XLOOKUP(tbl_Ventes[[#This Row],[Cde_Prdt]], tbl_Produits[Cde_Prdt], tbl_Produits[Prix Menu]), 0)</f>
        <v>0</v>
      </c>
      <c r="H1280" s="7">
        <f>IFERROR(_xlfn.XLOOKUP(tbl_Ventes[[#This Row],[Cde_Prdt]], tbl_Produits[Cde_Prdt], tbl_Produits[Coût Moyen Portion]), 0)</f>
        <v>0</v>
      </c>
      <c r="I1280" s="7">
        <f>tbl_Ventes[[#This Row],[Qté Vendue]] * tbl_Ventes[[#This Row],[CMP_par_portion]]</f>
        <v>0</v>
      </c>
      <c r="J1280" s="7">
        <f>tbl_Ventes[[#This Row],[CA ligne]] - tbl_Ventes[[#This Row],[Coût matière ligne]]</f>
        <v>0</v>
      </c>
      <c r="K1280" s="7" t="str">
        <f>IFERROR(INDEX(tbl_ProduitsRef[Famille], MATCH(tbl_Ventes[[#This Row],[Cde_Prdt]], tbl_Produits[Cde_Prdt], 0)), "")</f>
        <v/>
      </c>
    </row>
    <row r="1281" spans="1:11" x14ac:dyDescent="0.25">
      <c r="A1281" s="5"/>
      <c r="B1281" s="63" t="str">
        <f>IFERROR(TEXT(tbl_Ventes[[#This Row],[Date]],"mm-aaaa"),"")</f>
        <v>01-1900</v>
      </c>
      <c r="D1281" s="10" t="str">
        <f>IFERROR(
   INDEX(tbl_ProduitsRef[Cde_Prdt],MATCH(tbl_Ventes[[#This Row],[Produit]],tbl_ProduitsRef[Produit],0)),
   ""
)</f>
        <v/>
      </c>
      <c r="E1281" s="7">
        <v>0</v>
      </c>
      <c r="F1281" s="7" t="str">
        <f>IFERROR(
   INDEX(tbl_ProduitsRef[Prix Menu],MATCH(tbl_Ventes[[#This Row],[Produit]],tbl_ProduitsRef[Produit],0)),
   ""
)</f>
        <v/>
      </c>
      <c r="G1281" s="7">
        <f>tbl_Ventes[[#This Row],[Qté Vendue]] * IFERROR(_xlfn.XLOOKUP(tbl_Ventes[[#This Row],[Cde_Prdt]], tbl_Produits[Cde_Prdt], tbl_Produits[Prix Menu]), 0)</f>
        <v>0</v>
      </c>
      <c r="H1281" s="7">
        <f>IFERROR(_xlfn.XLOOKUP(tbl_Ventes[[#This Row],[Cde_Prdt]], tbl_Produits[Cde_Prdt], tbl_Produits[Coût Moyen Portion]), 0)</f>
        <v>0</v>
      </c>
      <c r="I1281" s="7">
        <f>tbl_Ventes[[#This Row],[Qté Vendue]] * tbl_Ventes[[#This Row],[CMP_par_portion]]</f>
        <v>0</v>
      </c>
      <c r="J1281" s="7">
        <f>tbl_Ventes[[#This Row],[CA ligne]] - tbl_Ventes[[#This Row],[Coût matière ligne]]</f>
        <v>0</v>
      </c>
      <c r="K1281" s="7" t="str">
        <f>IFERROR(INDEX(tbl_ProduitsRef[Famille], MATCH(tbl_Ventes[[#This Row],[Cde_Prdt]], tbl_Produits[Cde_Prdt], 0)), "")</f>
        <v/>
      </c>
    </row>
    <row r="1282" spans="1:11" x14ac:dyDescent="0.25">
      <c r="A1282" s="5"/>
      <c r="B1282" s="63" t="str">
        <f>IFERROR(TEXT(tbl_Ventes[[#This Row],[Date]],"mm-aaaa"),"")</f>
        <v>01-1900</v>
      </c>
      <c r="D1282" s="10" t="str">
        <f>IFERROR(
   INDEX(tbl_ProduitsRef[Cde_Prdt],MATCH(tbl_Ventes[[#This Row],[Produit]],tbl_ProduitsRef[Produit],0)),
   ""
)</f>
        <v/>
      </c>
      <c r="E1282" s="7">
        <v>0</v>
      </c>
      <c r="F1282" s="7" t="str">
        <f>IFERROR(
   INDEX(tbl_ProduitsRef[Prix Menu],MATCH(tbl_Ventes[[#This Row],[Produit]],tbl_ProduitsRef[Produit],0)),
   ""
)</f>
        <v/>
      </c>
      <c r="G1282" s="7">
        <f>tbl_Ventes[[#This Row],[Qté Vendue]] * IFERROR(_xlfn.XLOOKUP(tbl_Ventes[[#This Row],[Cde_Prdt]], tbl_Produits[Cde_Prdt], tbl_Produits[Prix Menu]), 0)</f>
        <v>0</v>
      </c>
      <c r="H1282" s="7">
        <f>IFERROR(_xlfn.XLOOKUP(tbl_Ventes[[#This Row],[Cde_Prdt]], tbl_Produits[Cde_Prdt], tbl_Produits[Coût Moyen Portion]), 0)</f>
        <v>0</v>
      </c>
      <c r="I1282" s="7">
        <f>tbl_Ventes[[#This Row],[Qté Vendue]] * tbl_Ventes[[#This Row],[CMP_par_portion]]</f>
        <v>0</v>
      </c>
      <c r="J1282" s="7">
        <f>tbl_Ventes[[#This Row],[CA ligne]] - tbl_Ventes[[#This Row],[Coût matière ligne]]</f>
        <v>0</v>
      </c>
      <c r="K1282" s="7" t="str">
        <f>IFERROR(INDEX(tbl_ProduitsRef[Famille], MATCH(tbl_Ventes[[#This Row],[Cde_Prdt]], tbl_Produits[Cde_Prdt], 0)), "")</f>
        <v/>
      </c>
    </row>
    <row r="1283" spans="1:11" x14ac:dyDescent="0.25">
      <c r="A1283" s="5"/>
      <c r="B1283" s="63" t="str">
        <f>IFERROR(TEXT(tbl_Ventes[[#This Row],[Date]],"mm-aaaa"),"")</f>
        <v>01-1900</v>
      </c>
      <c r="D1283" s="10" t="str">
        <f>IFERROR(
   INDEX(tbl_ProduitsRef[Cde_Prdt],MATCH(tbl_Ventes[[#This Row],[Produit]],tbl_ProduitsRef[Produit],0)),
   ""
)</f>
        <v/>
      </c>
      <c r="E1283" s="7">
        <v>0</v>
      </c>
      <c r="F1283" s="7" t="str">
        <f>IFERROR(
   INDEX(tbl_ProduitsRef[Prix Menu],MATCH(tbl_Ventes[[#This Row],[Produit]],tbl_ProduitsRef[Produit],0)),
   ""
)</f>
        <v/>
      </c>
      <c r="G1283" s="7">
        <f>tbl_Ventes[[#This Row],[Qté Vendue]] * IFERROR(_xlfn.XLOOKUP(tbl_Ventes[[#This Row],[Cde_Prdt]], tbl_Produits[Cde_Prdt], tbl_Produits[Prix Menu]), 0)</f>
        <v>0</v>
      </c>
      <c r="H1283" s="7">
        <f>IFERROR(_xlfn.XLOOKUP(tbl_Ventes[[#This Row],[Cde_Prdt]], tbl_Produits[Cde_Prdt], tbl_Produits[Coût Moyen Portion]), 0)</f>
        <v>0</v>
      </c>
      <c r="I1283" s="7">
        <f>tbl_Ventes[[#This Row],[Qté Vendue]] * tbl_Ventes[[#This Row],[CMP_par_portion]]</f>
        <v>0</v>
      </c>
      <c r="J1283" s="7">
        <f>tbl_Ventes[[#This Row],[CA ligne]] - tbl_Ventes[[#This Row],[Coût matière ligne]]</f>
        <v>0</v>
      </c>
      <c r="K1283" s="7" t="str">
        <f>IFERROR(INDEX(tbl_ProduitsRef[Famille], MATCH(tbl_Ventes[[#This Row],[Cde_Prdt]], tbl_Produits[Cde_Prdt], 0)), "")</f>
        <v/>
      </c>
    </row>
    <row r="1284" spans="1:11" x14ac:dyDescent="0.25">
      <c r="A1284" s="5"/>
      <c r="B1284" s="63" t="str">
        <f>IFERROR(TEXT(tbl_Ventes[[#This Row],[Date]],"mm-aaaa"),"")</f>
        <v>01-1900</v>
      </c>
      <c r="D1284" s="10" t="str">
        <f>IFERROR(
   INDEX(tbl_ProduitsRef[Cde_Prdt],MATCH(tbl_Ventes[[#This Row],[Produit]],tbl_ProduitsRef[Produit],0)),
   ""
)</f>
        <v/>
      </c>
      <c r="E1284" s="7">
        <v>0</v>
      </c>
      <c r="F1284" s="7" t="str">
        <f>IFERROR(
   INDEX(tbl_ProduitsRef[Prix Menu],MATCH(tbl_Ventes[[#This Row],[Produit]],tbl_ProduitsRef[Produit],0)),
   ""
)</f>
        <v/>
      </c>
      <c r="G1284" s="7">
        <f>tbl_Ventes[[#This Row],[Qté Vendue]] * IFERROR(_xlfn.XLOOKUP(tbl_Ventes[[#This Row],[Cde_Prdt]], tbl_Produits[Cde_Prdt], tbl_Produits[Prix Menu]), 0)</f>
        <v>0</v>
      </c>
      <c r="H1284" s="7">
        <f>IFERROR(_xlfn.XLOOKUP(tbl_Ventes[[#This Row],[Cde_Prdt]], tbl_Produits[Cde_Prdt], tbl_Produits[Coût Moyen Portion]), 0)</f>
        <v>0</v>
      </c>
      <c r="I1284" s="7">
        <f>tbl_Ventes[[#This Row],[Qté Vendue]] * tbl_Ventes[[#This Row],[CMP_par_portion]]</f>
        <v>0</v>
      </c>
      <c r="J1284" s="7">
        <f>tbl_Ventes[[#This Row],[CA ligne]] - tbl_Ventes[[#This Row],[Coût matière ligne]]</f>
        <v>0</v>
      </c>
      <c r="K1284" s="7" t="str">
        <f>IFERROR(INDEX(tbl_ProduitsRef[Famille], MATCH(tbl_Ventes[[#This Row],[Cde_Prdt]], tbl_Produits[Cde_Prdt], 0)), "")</f>
        <v/>
      </c>
    </row>
    <row r="1285" spans="1:11" x14ac:dyDescent="0.25">
      <c r="A1285" s="5"/>
      <c r="B1285" s="63" t="str">
        <f>IFERROR(TEXT(tbl_Ventes[[#This Row],[Date]],"mm-aaaa"),"")</f>
        <v>01-1900</v>
      </c>
      <c r="D1285" s="10" t="str">
        <f>IFERROR(
   INDEX(tbl_ProduitsRef[Cde_Prdt],MATCH(tbl_Ventes[[#This Row],[Produit]],tbl_ProduitsRef[Produit],0)),
   ""
)</f>
        <v/>
      </c>
      <c r="E1285" s="7">
        <v>0</v>
      </c>
      <c r="F1285" s="7" t="str">
        <f>IFERROR(
   INDEX(tbl_ProduitsRef[Prix Menu],MATCH(tbl_Ventes[[#This Row],[Produit]],tbl_ProduitsRef[Produit],0)),
   ""
)</f>
        <v/>
      </c>
      <c r="G1285" s="7">
        <f>tbl_Ventes[[#This Row],[Qté Vendue]] * IFERROR(_xlfn.XLOOKUP(tbl_Ventes[[#This Row],[Cde_Prdt]], tbl_Produits[Cde_Prdt], tbl_Produits[Prix Menu]), 0)</f>
        <v>0</v>
      </c>
      <c r="H1285" s="7">
        <f>IFERROR(_xlfn.XLOOKUP(tbl_Ventes[[#This Row],[Cde_Prdt]], tbl_Produits[Cde_Prdt], tbl_Produits[Coût Moyen Portion]), 0)</f>
        <v>0</v>
      </c>
      <c r="I1285" s="7">
        <f>tbl_Ventes[[#This Row],[Qté Vendue]] * tbl_Ventes[[#This Row],[CMP_par_portion]]</f>
        <v>0</v>
      </c>
      <c r="J1285" s="7">
        <f>tbl_Ventes[[#This Row],[CA ligne]] - tbl_Ventes[[#This Row],[Coût matière ligne]]</f>
        <v>0</v>
      </c>
      <c r="K1285" s="7" t="str">
        <f>IFERROR(INDEX(tbl_ProduitsRef[Famille], MATCH(tbl_Ventes[[#This Row],[Cde_Prdt]], tbl_Produits[Cde_Prdt], 0)), "")</f>
        <v/>
      </c>
    </row>
    <row r="1286" spans="1:11" x14ac:dyDescent="0.25">
      <c r="A1286" s="5"/>
      <c r="B1286" s="63" t="str">
        <f>IFERROR(TEXT(tbl_Ventes[[#This Row],[Date]],"mm-aaaa"),"")</f>
        <v>01-1900</v>
      </c>
      <c r="D1286" s="10" t="str">
        <f>IFERROR(
   INDEX(tbl_ProduitsRef[Cde_Prdt],MATCH(tbl_Ventes[[#This Row],[Produit]],tbl_ProduitsRef[Produit],0)),
   ""
)</f>
        <v/>
      </c>
      <c r="E1286" s="7">
        <v>0</v>
      </c>
      <c r="F1286" s="7" t="str">
        <f>IFERROR(
   INDEX(tbl_ProduitsRef[Prix Menu],MATCH(tbl_Ventes[[#This Row],[Produit]],tbl_ProduitsRef[Produit],0)),
   ""
)</f>
        <v/>
      </c>
      <c r="G1286" s="7">
        <f>tbl_Ventes[[#This Row],[Qté Vendue]] * IFERROR(_xlfn.XLOOKUP(tbl_Ventes[[#This Row],[Cde_Prdt]], tbl_Produits[Cde_Prdt], tbl_Produits[Prix Menu]), 0)</f>
        <v>0</v>
      </c>
      <c r="H1286" s="7">
        <f>IFERROR(_xlfn.XLOOKUP(tbl_Ventes[[#This Row],[Cde_Prdt]], tbl_Produits[Cde_Prdt], tbl_Produits[Coût Moyen Portion]), 0)</f>
        <v>0</v>
      </c>
      <c r="I1286" s="7">
        <f>tbl_Ventes[[#This Row],[Qté Vendue]] * tbl_Ventes[[#This Row],[CMP_par_portion]]</f>
        <v>0</v>
      </c>
      <c r="J1286" s="7">
        <f>tbl_Ventes[[#This Row],[CA ligne]] - tbl_Ventes[[#This Row],[Coût matière ligne]]</f>
        <v>0</v>
      </c>
      <c r="K1286" s="7" t="str">
        <f>IFERROR(INDEX(tbl_ProduitsRef[Famille], MATCH(tbl_Ventes[[#This Row],[Cde_Prdt]], tbl_Produits[Cde_Prdt], 0)), "")</f>
        <v/>
      </c>
    </row>
    <row r="1287" spans="1:11" x14ac:dyDescent="0.25">
      <c r="A1287" s="5"/>
      <c r="B1287" s="63" t="str">
        <f>IFERROR(TEXT(tbl_Ventes[[#This Row],[Date]],"mm-aaaa"),"")</f>
        <v>01-1900</v>
      </c>
      <c r="D1287" s="10" t="str">
        <f>IFERROR(
   INDEX(tbl_ProduitsRef[Cde_Prdt],MATCH(tbl_Ventes[[#This Row],[Produit]],tbl_ProduitsRef[Produit],0)),
   ""
)</f>
        <v/>
      </c>
      <c r="E1287" s="7">
        <v>0</v>
      </c>
      <c r="F1287" s="7" t="str">
        <f>IFERROR(
   INDEX(tbl_ProduitsRef[Prix Menu],MATCH(tbl_Ventes[[#This Row],[Produit]],tbl_ProduitsRef[Produit],0)),
   ""
)</f>
        <v/>
      </c>
      <c r="G1287" s="7">
        <f>tbl_Ventes[[#This Row],[Qté Vendue]] * IFERROR(_xlfn.XLOOKUP(tbl_Ventes[[#This Row],[Cde_Prdt]], tbl_Produits[Cde_Prdt], tbl_Produits[Prix Menu]), 0)</f>
        <v>0</v>
      </c>
      <c r="H1287" s="7">
        <f>IFERROR(_xlfn.XLOOKUP(tbl_Ventes[[#This Row],[Cde_Prdt]], tbl_Produits[Cde_Prdt], tbl_Produits[Coût Moyen Portion]), 0)</f>
        <v>0</v>
      </c>
      <c r="I1287" s="7">
        <f>tbl_Ventes[[#This Row],[Qté Vendue]] * tbl_Ventes[[#This Row],[CMP_par_portion]]</f>
        <v>0</v>
      </c>
      <c r="J1287" s="7">
        <f>tbl_Ventes[[#This Row],[CA ligne]] - tbl_Ventes[[#This Row],[Coût matière ligne]]</f>
        <v>0</v>
      </c>
      <c r="K1287" s="7" t="str">
        <f>IFERROR(INDEX(tbl_ProduitsRef[Famille], MATCH(tbl_Ventes[[#This Row],[Cde_Prdt]], tbl_Produits[Cde_Prdt], 0)), "")</f>
        <v/>
      </c>
    </row>
    <row r="1288" spans="1:11" x14ac:dyDescent="0.25">
      <c r="A1288" s="5"/>
      <c r="B1288" s="63" t="str">
        <f>IFERROR(TEXT(tbl_Ventes[[#This Row],[Date]],"mm-aaaa"),"")</f>
        <v>01-1900</v>
      </c>
      <c r="D1288" s="10" t="str">
        <f>IFERROR(
   INDEX(tbl_ProduitsRef[Cde_Prdt],MATCH(tbl_Ventes[[#This Row],[Produit]],tbl_ProduitsRef[Produit],0)),
   ""
)</f>
        <v/>
      </c>
      <c r="E1288" s="7">
        <v>0</v>
      </c>
      <c r="F1288" s="7" t="str">
        <f>IFERROR(
   INDEX(tbl_ProduitsRef[Prix Menu],MATCH(tbl_Ventes[[#This Row],[Produit]],tbl_ProduitsRef[Produit],0)),
   ""
)</f>
        <v/>
      </c>
      <c r="G1288" s="7">
        <f>tbl_Ventes[[#This Row],[Qté Vendue]] * IFERROR(_xlfn.XLOOKUP(tbl_Ventes[[#This Row],[Cde_Prdt]], tbl_Produits[Cde_Prdt], tbl_Produits[Prix Menu]), 0)</f>
        <v>0</v>
      </c>
      <c r="H1288" s="7">
        <f>IFERROR(_xlfn.XLOOKUP(tbl_Ventes[[#This Row],[Cde_Prdt]], tbl_Produits[Cde_Prdt], tbl_Produits[Coût Moyen Portion]), 0)</f>
        <v>0</v>
      </c>
      <c r="I1288" s="7">
        <f>tbl_Ventes[[#This Row],[Qté Vendue]] * tbl_Ventes[[#This Row],[CMP_par_portion]]</f>
        <v>0</v>
      </c>
      <c r="J1288" s="7">
        <f>tbl_Ventes[[#This Row],[CA ligne]] - tbl_Ventes[[#This Row],[Coût matière ligne]]</f>
        <v>0</v>
      </c>
      <c r="K1288" s="7" t="str">
        <f>IFERROR(INDEX(tbl_ProduitsRef[Famille], MATCH(tbl_Ventes[[#This Row],[Cde_Prdt]], tbl_Produits[Cde_Prdt], 0)), "")</f>
        <v/>
      </c>
    </row>
    <row r="1289" spans="1:11" x14ac:dyDescent="0.25">
      <c r="A1289" s="5"/>
      <c r="B1289" s="63" t="str">
        <f>IFERROR(TEXT(tbl_Ventes[[#This Row],[Date]],"mm-aaaa"),"")</f>
        <v>01-1900</v>
      </c>
      <c r="D1289" s="10" t="str">
        <f>IFERROR(
   INDEX(tbl_ProduitsRef[Cde_Prdt],MATCH(tbl_Ventes[[#This Row],[Produit]],tbl_ProduitsRef[Produit],0)),
   ""
)</f>
        <v/>
      </c>
      <c r="E1289" s="7">
        <v>0</v>
      </c>
      <c r="F1289" s="7" t="str">
        <f>IFERROR(
   INDEX(tbl_ProduitsRef[Prix Menu],MATCH(tbl_Ventes[[#This Row],[Produit]],tbl_ProduitsRef[Produit],0)),
   ""
)</f>
        <v/>
      </c>
      <c r="G1289" s="7">
        <f>tbl_Ventes[[#This Row],[Qté Vendue]] * IFERROR(_xlfn.XLOOKUP(tbl_Ventes[[#This Row],[Cde_Prdt]], tbl_Produits[Cde_Prdt], tbl_Produits[Prix Menu]), 0)</f>
        <v>0</v>
      </c>
      <c r="H1289" s="7">
        <f>IFERROR(_xlfn.XLOOKUP(tbl_Ventes[[#This Row],[Cde_Prdt]], tbl_Produits[Cde_Prdt], tbl_Produits[Coût Moyen Portion]), 0)</f>
        <v>0</v>
      </c>
      <c r="I1289" s="7">
        <f>tbl_Ventes[[#This Row],[Qté Vendue]] * tbl_Ventes[[#This Row],[CMP_par_portion]]</f>
        <v>0</v>
      </c>
      <c r="J1289" s="7">
        <f>tbl_Ventes[[#This Row],[CA ligne]] - tbl_Ventes[[#This Row],[Coût matière ligne]]</f>
        <v>0</v>
      </c>
      <c r="K1289" s="7" t="str">
        <f>IFERROR(INDEX(tbl_ProduitsRef[Famille], MATCH(tbl_Ventes[[#This Row],[Cde_Prdt]], tbl_Produits[Cde_Prdt], 0)), "")</f>
        <v/>
      </c>
    </row>
    <row r="1290" spans="1:11" x14ac:dyDescent="0.25">
      <c r="A1290" s="5"/>
      <c r="B1290" s="63" t="str">
        <f>IFERROR(TEXT(tbl_Ventes[[#This Row],[Date]],"mm-aaaa"),"")</f>
        <v>01-1900</v>
      </c>
      <c r="D1290" s="10" t="str">
        <f>IFERROR(
   INDEX(tbl_ProduitsRef[Cde_Prdt],MATCH(tbl_Ventes[[#This Row],[Produit]],tbl_ProduitsRef[Produit],0)),
   ""
)</f>
        <v/>
      </c>
      <c r="E1290" s="7">
        <v>0</v>
      </c>
      <c r="F1290" s="7" t="str">
        <f>IFERROR(
   INDEX(tbl_ProduitsRef[Prix Menu],MATCH(tbl_Ventes[[#This Row],[Produit]],tbl_ProduitsRef[Produit],0)),
   ""
)</f>
        <v/>
      </c>
      <c r="G1290" s="7">
        <f>tbl_Ventes[[#This Row],[Qté Vendue]] * IFERROR(_xlfn.XLOOKUP(tbl_Ventes[[#This Row],[Cde_Prdt]], tbl_Produits[Cde_Prdt], tbl_Produits[Prix Menu]), 0)</f>
        <v>0</v>
      </c>
      <c r="H1290" s="7">
        <f>IFERROR(_xlfn.XLOOKUP(tbl_Ventes[[#This Row],[Cde_Prdt]], tbl_Produits[Cde_Prdt], tbl_Produits[Coût Moyen Portion]), 0)</f>
        <v>0</v>
      </c>
      <c r="I1290" s="7">
        <f>tbl_Ventes[[#This Row],[Qté Vendue]] * tbl_Ventes[[#This Row],[CMP_par_portion]]</f>
        <v>0</v>
      </c>
      <c r="J1290" s="7">
        <f>tbl_Ventes[[#This Row],[CA ligne]] - tbl_Ventes[[#This Row],[Coût matière ligne]]</f>
        <v>0</v>
      </c>
      <c r="K1290" s="7" t="str">
        <f>IFERROR(INDEX(tbl_ProduitsRef[Famille], MATCH(tbl_Ventes[[#This Row],[Cde_Prdt]], tbl_Produits[Cde_Prdt], 0)), "")</f>
        <v/>
      </c>
    </row>
    <row r="1291" spans="1:11" x14ac:dyDescent="0.25">
      <c r="A1291" s="5"/>
      <c r="B1291" s="63" t="str">
        <f>IFERROR(TEXT(tbl_Ventes[[#This Row],[Date]],"mm-aaaa"),"")</f>
        <v>01-1900</v>
      </c>
      <c r="D1291" s="10" t="str">
        <f>IFERROR(
   INDEX(tbl_ProduitsRef[Cde_Prdt],MATCH(tbl_Ventes[[#This Row],[Produit]],tbl_ProduitsRef[Produit],0)),
   ""
)</f>
        <v/>
      </c>
      <c r="E1291" s="7">
        <v>0</v>
      </c>
      <c r="F1291" s="7" t="str">
        <f>IFERROR(
   INDEX(tbl_ProduitsRef[Prix Menu],MATCH(tbl_Ventes[[#This Row],[Produit]],tbl_ProduitsRef[Produit],0)),
   ""
)</f>
        <v/>
      </c>
      <c r="G1291" s="7">
        <f>tbl_Ventes[[#This Row],[Qté Vendue]] * IFERROR(_xlfn.XLOOKUP(tbl_Ventes[[#This Row],[Cde_Prdt]], tbl_Produits[Cde_Prdt], tbl_Produits[Prix Menu]), 0)</f>
        <v>0</v>
      </c>
      <c r="H1291" s="7">
        <f>IFERROR(_xlfn.XLOOKUP(tbl_Ventes[[#This Row],[Cde_Prdt]], tbl_Produits[Cde_Prdt], tbl_Produits[Coût Moyen Portion]), 0)</f>
        <v>0</v>
      </c>
      <c r="I1291" s="7">
        <f>tbl_Ventes[[#This Row],[Qté Vendue]] * tbl_Ventes[[#This Row],[CMP_par_portion]]</f>
        <v>0</v>
      </c>
      <c r="J1291" s="7">
        <f>tbl_Ventes[[#This Row],[CA ligne]] - tbl_Ventes[[#This Row],[Coût matière ligne]]</f>
        <v>0</v>
      </c>
      <c r="K1291" s="7" t="str">
        <f>IFERROR(INDEX(tbl_ProduitsRef[Famille], MATCH(tbl_Ventes[[#This Row],[Cde_Prdt]], tbl_Produits[Cde_Prdt], 0)), "")</f>
        <v/>
      </c>
    </row>
    <row r="1292" spans="1:11" x14ac:dyDescent="0.25">
      <c r="A1292" s="5"/>
      <c r="B1292" s="63" t="str">
        <f>IFERROR(TEXT(tbl_Ventes[[#This Row],[Date]],"mm-aaaa"),"")</f>
        <v>01-1900</v>
      </c>
      <c r="D1292" s="10" t="str">
        <f>IFERROR(
   INDEX(tbl_ProduitsRef[Cde_Prdt],MATCH(tbl_Ventes[[#This Row],[Produit]],tbl_ProduitsRef[Produit],0)),
   ""
)</f>
        <v/>
      </c>
      <c r="E1292" s="7">
        <v>0</v>
      </c>
      <c r="F1292" s="7" t="str">
        <f>IFERROR(
   INDEX(tbl_ProduitsRef[Prix Menu],MATCH(tbl_Ventes[[#This Row],[Produit]],tbl_ProduitsRef[Produit],0)),
   ""
)</f>
        <v/>
      </c>
      <c r="G1292" s="7">
        <f>tbl_Ventes[[#This Row],[Qté Vendue]] * IFERROR(_xlfn.XLOOKUP(tbl_Ventes[[#This Row],[Cde_Prdt]], tbl_Produits[Cde_Prdt], tbl_Produits[Prix Menu]), 0)</f>
        <v>0</v>
      </c>
      <c r="H1292" s="7">
        <f>IFERROR(_xlfn.XLOOKUP(tbl_Ventes[[#This Row],[Cde_Prdt]], tbl_Produits[Cde_Prdt], tbl_Produits[Coût Moyen Portion]), 0)</f>
        <v>0</v>
      </c>
      <c r="I1292" s="7">
        <f>tbl_Ventes[[#This Row],[Qté Vendue]] * tbl_Ventes[[#This Row],[CMP_par_portion]]</f>
        <v>0</v>
      </c>
      <c r="J1292" s="7">
        <f>tbl_Ventes[[#This Row],[CA ligne]] - tbl_Ventes[[#This Row],[Coût matière ligne]]</f>
        <v>0</v>
      </c>
      <c r="K1292" s="7" t="str">
        <f>IFERROR(INDEX(tbl_ProduitsRef[Famille], MATCH(tbl_Ventes[[#This Row],[Cde_Prdt]], tbl_Produits[Cde_Prdt], 0)), "")</f>
        <v/>
      </c>
    </row>
    <row r="1293" spans="1:11" x14ac:dyDescent="0.25">
      <c r="A1293" s="5"/>
      <c r="B1293" s="63" t="str">
        <f>IFERROR(TEXT(tbl_Ventes[[#This Row],[Date]],"mm-aaaa"),"")</f>
        <v>01-1900</v>
      </c>
      <c r="D1293" s="10" t="str">
        <f>IFERROR(
   INDEX(tbl_ProduitsRef[Cde_Prdt],MATCH(tbl_Ventes[[#This Row],[Produit]],tbl_ProduitsRef[Produit],0)),
   ""
)</f>
        <v/>
      </c>
      <c r="E1293" s="7">
        <v>0</v>
      </c>
      <c r="F1293" s="7" t="str">
        <f>IFERROR(
   INDEX(tbl_ProduitsRef[Prix Menu],MATCH(tbl_Ventes[[#This Row],[Produit]],tbl_ProduitsRef[Produit],0)),
   ""
)</f>
        <v/>
      </c>
      <c r="G1293" s="7">
        <f>tbl_Ventes[[#This Row],[Qté Vendue]] * IFERROR(_xlfn.XLOOKUP(tbl_Ventes[[#This Row],[Cde_Prdt]], tbl_Produits[Cde_Prdt], tbl_Produits[Prix Menu]), 0)</f>
        <v>0</v>
      </c>
      <c r="H1293" s="7">
        <f>IFERROR(_xlfn.XLOOKUP(tbl_Ventes[[#This Row],[Cde_Prdt]], tbl_Produits[Cde_Prdt], tbl_Produits[Coût Moyen Portion]), 0)</f>
        <v>0</v>
      </c>
      <c r="I1293" s="7">
        <f>tbl_Ventes[[#This Row],[Qté Vendue]] * tbl_Ventes[[#This Row],[CMP_par_portion]]</f>
        <v>0</v>
      </c>
      <c r="J1293" s="7">
        <f>tbl_Ventes[[#This Row],[CA ligne]] - tbl_Ventes[[#This Row],[Coût matière ligne]]</f>
        <v>0</v>
      </c>
      <c r="K1293" s="7" t="str">
        <f>IFERROR(INDEX(tbl_ProduitsRef[Famille], MATCH(tbl_Ventes[[#This Row],[Cde_Prdt]], tbl_Produits[Cde_Prdt], 0)), "")</f>
        <v/>
      </c>
    </row>
    <row r="1294" spans="1:11" x14ac:dyDescent="0.25">
      <c r="A1294" s="5"/>
      <c r="B1294" s="63" t="str">
        <f>IFERROR(TEXT(tbl_Ventes[[#This Row],[Date]],"mm-aaaa"),"")</f>
        <v>01-1900</v>
      </c>
      <c r="D1294" s="10" t="str">
        <f>IFERROR(
   INDEX(tbl_ProduitsRef[Cde_Prdt],MATCH(tbl_Ventes[[#This Row],[Produit]],tbl_ProduitsRef[Produit],0)),
   ""
)</f>
        <v/>
      </c>
      <c r="E1294" s="7">
        <v>0</v>
      </c>
      <c r="F1294" s="7" t="str">
        <f>IFERROR(
   INDEX(tbl_ProduitsRef[Prix Menu],MATCH(tbl_Ventes[[#This Row],[Produit]],tbl_ProduitsRef[Produit],0)),
   ""
)</f>
        <v/>
      </c>
      <c r="G1294" s="7">
        <f>tbl_Ventes[[#This Row],[Qté Vendue]] * IFERROR(_xlfn.XLOOKUP(tbl_Ventes[[#This Row],[Cde_Prdt]], tbl_Produits[Cde_Prdt], tbl_Produits[Prix Menu]), 0)</f>
        <v>0</v>
      </c>
      <c r="H1294" s="7">
        <f>IFERROR(_xlfn.XLOOKUP(tbl_Ventes[[#This Row],[Cde_Prdt]], tbl_Produits[Cde_Prdt], tbl_Produits[Coût Moyen Portion]), 0)</f>
        <v>0</v>
      </c>
      <c r="I1294" s="7">
        <f>tbl_Ventes[[#This Row],[Qté Vendue]] * tbl_Ventes[[#This Row],[CMP_par_portion]]</f>
        <v>0</v>
      </c>
      <c r="J1294" s="7">
        <f>tbl_Ventes[[#This Row],[CA ligne]] - tbl_Ventes[[#This Row],[Coût matière ligne]]</f>
        <v>0</v>
      </c>
      <c r="K1294" s="7" t="str">
        <f>IFERROR(INDEX(tbl_ProduitsRef[Famille], MATCH(tbl_Ventes[[#This Row],[Cde_Prdt]], tbl_Produits[Cde_Prdt], 0)), "")</f>
        <v/>
      </c>
    </row>
    <row r="1295" spans="1:11" x14ac:dyDescent="0.25">
      <c r="A1295" s="5"/>
      <c r="B1295" s="63" t="str">
        <f>IFERROR(TEXT(tbl_Ventes[[#This Row],[Date]],"mm-aaaa"),"")</f>
        <v>01-1900</v>
      </c>
      <c r="D1295" s="10" t="str">
        <f>IFERROR(
   INDEX(tbl_ProduitsRef[Cde_Prdt],MATCH(tbl_Ventes[[#This Row],[Produit]],tbl_ProduitsRef[Produit],0)),
   ""
)</f>
        <v/>
      </c>
      <c r="E1295" s="7">
        <v>0</v>
      </c>
      <c r="F1295" s="7" t="str">
        <f>IFERROR(
   INDEX(tbl_ProduitsRef[Prix Menu],MATCH(tbl_Ventes[[#This Row],[Produit]],tbl_ProduitsRef[Produit],0)),
   ""
)</f>
        <v/>
      </c>
      <c r="G1295" s="7">
        <f>tbl_Ventes[[#This Row],[Qté Vendue]] * IFERROR(_xlfn.XLOOKUP(tbl_Ventes[[#This Row],[Cde_Prdt]], tbl_Produits[Cde_Prdt], tbl_Produits[Prix Menu]), 0)</f>
        <v>0</v>
      </c>
      <c r="H1295" s="7">
        <f>IFERROR(_xlfn.XLOOKUP(tbl_Ventes[[#This Row],[Cde_Prdt]], tbl_Produits[Cde_Prdt], tbl_Produits[Coût Moyen Portion]), 0)</f>
        <v>0</v>
      </c>
      <c r="I1295" s="7">
        <f>tbl_Ventes[[#This Row],[Qté Vendue]] * tbl_Ventes[[#This Row],[CMP_par_portion]]</f>
        <v>0</v>
      </c>
      <c r="J1295" s="7">
        <f>tbl_Ventes[[#This Row],[CA ligne]] - tbl_Ventes[[#This Row],[Coût matière ligne]]</f>
        <v>0</v>
      </c>
      <c r="K1295" s="7" t="str">
        <f>IFERROR(INDEX(tbl_ProduitsRef[Famille], MATCH(tbl_Ventes[[#This Row],[Cde_Prdt]], tbl_Produits[Cde_Prdt], 0)), "")</f>
        <v/>
      </c>
    </row>
    <row r="1296" spans="1:11" x14ac:dyDescent="0.25">
      <c r="A1296" s="5"/>
      <c r="B1296" s="63" t="str">
        <f>IFERROR(TEXT(tbl_Ventes[[#This Row],[Date]],"mm-aaaa"),"")</f>
        <v>01-1900</v>
      </c>
      <c r="D1296" s="10" t="str">
        <f>IFERROR(
   INDEX(tbl_ProduitsRef[Cde_Prdt],MATCH(tbl_Ventes[[#This Row],[Produit]],tbl_ProduitsRef[Produit],0)),
   ""
)</f>
        <v/>
      </c>
      <c r="E1296" s="7">
        <v>0</v>
      </c>
      <c r="F1296" s="7" t="str">
        <f>IFERROR(
   INDEX(tbl_ProduitsRef[Prix Menu],MATCH(tbl_Ventes[[#This Row],[Produit]],tbl_ProduitsRef[Produit],0)),
   ""
)</f>
        <v/>
      </c>
      <c r="G1296" s="7">
        <f>tbl_Ventes[[#This Row],[Qté Vendue]] * IFERROR(_xlfn.XLOOKUP(tbl_Ventes[[#This Row],[Cde_Prdt]], tbl_Produits[Cde_Prdt], tbl_Produits[Prix Menu]), 0)</f>
        <v>0</v>
      </c>
      <c r="H1296" s="7">
        <f>IFERROR(_xlfn.XLOOKUP(tbl_Ventes[[#This Row],[Cde_Prdt]], tbl_Produits[Cde_Prdt], tbl_Produits[Coût Moyen Portion]), 0)</f>
        <v>0</v>
      </c>
      <c r="I1296" s="7">
        <f>tbl_Ventes[[#This Row],[Qté Vendue]] * tbl_Ventes[[#This Row],[CMP_par_portion]]</f>
        <v>0</v>
      </c>
      <c r="J1296" s="7">
        <f>tbl_Ventes[[#This Row],[CA ligne]] - tbl_Ventes[[#This Row],[Coût matière ligne]]</f>
        <v>0</v>
      </c>
      <c r="K1296" s="7" t="str">
        <f>IFERROR(INDEX(tbl_ProduitsRef[Famille], MATCH(tbl_Ventes[[#This Row],[Cde_Prdt]], tbl_Produits[Cde_Prdt], 0)), "")</f>
        <v/>
      </c>
    </row>
    <row r="1297" spans="1:11" x14ac:dyDescent="0.25">
      <c r="A1297" s="5"/>
      <c r="B1297" s="63" t="str">
        <f>IFERROR(TEXT(tbl_Ventes[[#This Row],[Date]],"mm-aaaa"),"")</f>
        <v>01-1900</v>
      </c>
      <c r="D1297" s="10" t="str">
        <f>IFERROR(
   INDEX(tbl_ProduitsRef[Cde_Prdt],MATCH(tbl_Ventes[[#This Row],[Produit]],tbl_ProduitsRef[Produit],0)),
   ""
)</f>
        <v/>
      </c>
      <c r="E1297" s="7">
        <v>0</v>
      </c>
      <c r="F1297" s="7" t="str">
        <f>IFERROR(
   INDEX(tbl_ProduitsRef[Prix Menu],MATCH(tbl_Ventes[[#This Row],[Produit]],tbl_ProduitsRef[Produit],0)),
   ""
)</f>
        <v/>
      </c>
      <c r="G1297" s="7">
        <f>tbl_Ventes[[#This Row],[Qté Vendue]] * IFERROR(_xlfn.XLOOKUP(tbl_Ventes[[#This Row],[Cde_Prdt]], tbl_Produits[Cde_Prdt], tbl_Produits[Prix Menu]), 0)</f>
        <v>0</v>
      </c>
      <c r="H1297" s="7">
        <f>IFERROR(_xlfn.XLOOKUP(tbl_Ventes[[#This Row],[Cde_Prdt]], tbl_Produits[Cde_Prdt], tbl_Produits[Coût Moyen Portion]), 0)</f>
        <v>0</v>
      </c>
      <c r="I1297" s="7">
        <f>tbl_Ventes[[#This Row],[Qté Vendue]] * tbl_Ventes[[#This Row],[CMP_par_portion]]</f>
        <v>0</v>
      </c>
      <c r="J1297" s="7">
        <f>tbl_Ventes[[#This Row],[CA ligne]] - tbl_Ventes[[#This Row],[Coût matière ligne]]</f>
        <v>0</v>
      </c>
      <c r="K1297" s="7" t="str">
        <f>IFERROR(INDEX(tbl_ProduitsRef[Famille], MATCH(tbl_Ventes[[#This Row],[Cde_Prdt]], tbl_Produits[Cde_Prdt], 0)), "")</f>
        <v/>
      </c>
    </row>
    <row r="1298" spans="1:11" x14ac:dyDescent="0.25">
      <c r="A1298" s="5"/>
      <c r="B1298" s="63" t="str">
        <f>IFERROR(TEXT(tbl_Ventes[[#This Row],[Date]],"mm-aaaa"),"")</f>
        <v>01-1900</v>
      </c>
      <c r="D1298" s="10" t="str">
        <f>IFERROR(
   INDEX(tbl_ProduitsRef[Cde_Prdt],MATCH(tbl_Ventes[[#This Row],[Produit]],tbl_ProduitsRef[Produit],0)),
   ""
)</f>
        <v/>
      </c>
      <c r="E1298" s="7">
        <v>0</v>
      </c>
      <c r="F1298" s="7" t="str">
        <f>IFERROR(
   INDEX(tbl_ProduitsRef[Prix Menu],MATCH(tbl_Ventes[[#This Row],[Produit]],tbl_ProduitsRef[Produit],0)),
   ""
)</f>
        <v/>
      </c>
      <c r="G1298" s="7">
        <f>tbl_Ventes[[#This Row],[Qté Vendue]] * IFERROR(_xlfn.XLOOKUP(tbl_Ventes[[#This Row],[Cde_Prdt]], tbl_Produits[Cde_Prdt], tbl_Produits[Prix Menu]), 0)</f>
        <v>0</v>
      </c>
      <c r="H1298" s="7">
        <f>IFERROR(_xlfn.XLOOKUP(tbl_Ventes[[#This Row],[Cde_Prdt]], tbl_Produits[Cde_Prdt], tbl_Produits[Coût Moyen Portion]), 0)</f>
        <v>0</v>
      </c>
      <c r="I1298" s="7">
        <f>tbl_Ventes[[#This Row],[Qté Vendue]] * tbl_Ventes[[#This Row],[CMP_par_portion]]</f>
        <v>0</v>
      </c>
      <c r="J1298" s="7">
        <f>tbl_Ventes[[#This Row],[CA ligne]] - tbl_Ventes[[#This Row],[Coût matière ligne]]</f>
        <v>0</v>
      </c>
      <c r="K1298" s="7" t="str">
        <f>IFERROR(INDEX(tbl_ProduitsRef[Famille], MATCH(tbl_Ventes[[#This Row],[Cde_Prdt]], tbl_Produits[Cde_Prdt], 0)), "")</f>
        <v/>
      </c>
    </row>
    <row r="1299" spans="1:11" x14ac:dyDescent="0.25">
      <c r="A1299" s="5"/>
      <c r="B1299" s="63" t="str">
        <f>IFERROR(TEXT(tbl_Ventes[[#This Row],[Date]],"mm-aaaa"),"")</f>
        <v>01-1900</v>
      </c>
      <c r="D1299" s="10" t="str">
        <f>IFERROR(
   INDEX(tbl_ProduitsRef[Cde_Prdt],MATCH(tbl_Ventes[[#This Row],[Produit]],tbl_ProduitsRef[Produit],0)),
   ""
)</f>
        <v/>
      </c>
      <c r="E1299" s="7">
        <v>0</v>
      </c>
      <c r="F1299" s="7" t="str">
        <f>IFERROR(
   INDEX(tbl_ProduitsRef[Prix Menu],MATCH(tbl_Ventes[[#This Row],[Produit]],tbl_ProduitsRef[Produit],0)),
   ""
)</f>
        <v/>
      </c>
      <c r="G1299" s="7">
        <f>tbl_Ventes[[#This Row],[Qté Vendue]] * IFERROR(_xlfn.XLOOKUP(tbl_Ventes[[#This Row],[Cde_Prdt]], tbl_Produits[Cde_Prdt], tbl_Produits[Prix Menu]), 0)</f>
        <v>0</v>
      </c>
      <c r="H1299" s="7">
        <f>IFERROR(_xlfn.XLOOKUP(tbl_Ventes[[#This Row],[Cde_Prdt]], tbl_Produits[Cde_Prdt], tbl_Produits[Coût Moyen Portion]), 0)</f>
        <v>0</v>
      </c>
      <c r="I1299" s="7">
        <f>tbl_Ventes[[#This Row],[Qté Vendue]] * tbl_Ventes[[#This Row],[CMP_par_portion]]</f>
        <v>0</v>
      </c>
      <c r="J1299" s="7">
        <f>tbl_Ventes[[#This Row],[CA ligne]] - tbl_Ventes[[#This Row],[Coût matière ligne]]</f>
        <v>0</v>
      </c>
      <c r="K1299" s="7" t="str">
        <f>IFERROR(INDEX(tbl_ProduitsRef[Famille], MATCH(tbl_Ventes[[#This Row],[Cde_Prdt]], tbl_Produits[Cde_Prdt], 0)), "")</f>
        <v/>
      </c>
    </row>
    <row r="1300" spans="1:11" x14ac:dyDescent="0.25">
      <c r="A1300" s="5"/>
      <c r="B1300" s="63" t="str">
        <f>IFERROR(TEXT(tbl_Ventes[[#This Row],[Date]],"mm-aaaa"),"")</f>
        <v>01-1900</v>
      </c>
      <c r="D1300" s="10" t="str">
        <f>IFERROR(
   INDEX(tbl_ProduitsRef[Cde_Prdt],MATCH(tbl_Ventes[[#This Row],[Produit]],tbl_ProduitsRef[Produit],0)),
   ""
)</f>
        <v/>
      </c>
      <c r="E1300" s="7">
        <v>0</v>
      </c>
      <c r="F1300" s="7" t="str">
        <f>IFERROR(
   INDEX(tbl_ProduitsRef[Prix Menu],MATCH(tbl_Ventes[[#This Row],[Produit]],tbl_ProduitsRef[Produit],0)),
   ""
)</f>
        <v/>
      </c>
      <c r="G1300" s="7">
        <f>tbl_Ventes[[#This Row],[Qté Vendue]] * IFERROR(_xlfn.XLOOKUP(tbl_Ventes[[#This Row],[Cde_Prdt]], tbl_Produits[Cde_Prdt], tbl_Produits[Prix Menu]), 0)</f>
        <v>0</v>
      </c>
      <c r="H1300" s="7">
        <f>IFERROR(_xlfn.XLOOKUP(tbl_Ventes[[#This Row],[Cde_Prdt]], tbl_Produits[Cde_Prdt], tbl_Produits[Coût Moyen Portion]), 0)</f>
        <v>0</v>
      </c>
      <c r="I1300" s="7">
        <f>tbl_Ventes[[#This Row],[Qté Vendue]] * tbl_Ventes[[#This Row],[CMP_par_portion]]</f>
        <v>0</v>
      </c>
      <c r="J1300" s="7">
        <f>tbl_Ventes[[#This Row],[CA ligne]] - tbl_Ventes[[#This Row],[Coût matière ligne]]</f>
        <v>0</v>
      </c>
      <c r="K1300" s="7" t="str">
        <f>IFERROR(INDEX(tbl_ProduitsRef[Famille], MATCH(tbl_Ventes[[#This Row],[Cde_Prdt]], tbl_Produits[Cde_Prdt], 0)), "")</f>
        <v/>
      </c>
    </row>
    <row r="1301" spans="1:11" x14ac:dyDescent="0.25">
      <c r="A1301" s="5"/>
      <c r="B1301" s="63" t="str">
        <f>IFERROR(TEXT(tbl_Ventes[[#This Row],[Date]],"mm-aaaa"),"")</f>
        <v>01-1900</v>
      </c>
      <c r="D1301" s="10" t="str">
        <f>IFERROR(
   INDEX(tbl_ProduitsRef[Cde_Prdt],MATCH(tbl_Ventes[[#This Row],[Produit]],tbl_ProduitsRef[Produit],0)),
   ""
)</f>
        <v/>
      </c>
      <c r="E1301" s="7">
        <v>0</v>
      </c>
      <c r="F1301" s="7" t="str">
        <f>IFERROR(
   INDEX(tbl_ProduitsRef[Prix Menu],MATCH(tbl_Ventes[[#This Row],[Produit]],tbl_ProduitsRef[Produit],0)),
   ""
)</f>
        <v/>
      </c>
      <c r="G1301" s="7">
        <f>tbl_Ventes[[#This Row],[Qté Vendue]] * IFERROR(_xlfn.XLOOKUP(tbl_Ventes[[#This Row],[Cde_Prdt]], tbl_Produits[Cde_Prdt], tbl_Produits[Prix Menu]), 0)</f>
        <v>0</v>
      </c>
      <c r="H1301" s="7">
        <f>IFERROR(_xlfn.XLOOKUP(tbl_Ventes[[#This Row],[Cde_Prdt]], tbl_Produits[Cde_Prdt], tbl_Produits[Coût Moyen Portion]), 0)</f>
        <v>0</v>
      </c>
      <c r="I1301" s="7">
        <f>tbl_Ventes[[#This Row],[Qté Vendue]] * tbl_Ventes[[#This Row],[CMP_par_portion]]</f>
        <v>0</v>
      </c>
      <c r="J1301" s="7">
        <f>tbl_Ventes[[#This Row],[CA ligne]] - tbl_Ventes[[#This Row],[Coût matière ligne]]</f>
        <v>0</v>
      </c>
      <c r="K1301" s="7" t="str">
        <f>IFERROR(INDEX(tbl_ProduitsRef[Famille], MATCH(tbl_Ventes[[#This Row],[Cde_Prdt]], tbl_Produits[Cde_Prdt], 0)), "")</f>
        <v/>
      </c>
    </row>
    <row r="1302" spans="1:11" x14ac:dyDescent="0.25">
      <c r="A1302" s="5"/>
      <c r="B1302" s="63" t="str">
        <f>IFERROR(TEXT(tbl_Ventes[[#This Row],[Date]],"mm-aaaa"),"")</f>
        <v>01-1900</v>
      </c>
      <c r="D1302" s="10" t="str">
        <f>IFERROR(
   INDEX(tbl_ProduitsRef[Cde_Prdt],MATCH(tbl_Ventes[[#This Row],[Produit]],tbl_ProduitsRef[Produit],0)),
   ""
)</f>
        <v/>
      </c>
      <c r="E1302" s="7">
        <v>0</v>
      </c>
      <c r="F1302" s="7" t="str">
        <f>IFERROR(
   INDEX(tbl_ProduitsRef[Prix Menu],MATCH(tbl_Ventes[[#This Row],[Produit]],tbl_ProduitsRef[Produit],0)),
   ""
)</f>
        <v/>
      </c>
      <c r="G1302" s="7">
        <f>tbl_Ventes[[#This Row],[Qté Vendue]] * IFERROR(_xlfn.XLOOKUP(tbl_Ventes[[#This Row],[Cde_Prdt]], tbl_Produits[Cde_Prdt], tbl_Produits[Prix Menu]), 0)</f>
        <v>0</v>
      </c>
      <c r="H1302" s="7">
        <f>IFERROR(_xlfn.XLOOKUP(tbl_Ventes[[#This Row],[Cde_Prdt]], tbl_Produits[Cde_Prdt], tbl_Produits[Coût Moyen Portion]), 0)</f>
        <v>0</v>
      </c>
      <c r="I1302" s="7">
        <f>tbl_Ventes[[#This Row],[Qté Vendue]] * tbl_Ventes[[#This Row],[CMP_par_portion]]</f>
        <v>0</v>
      </c>
      <c r="J1302" s="7">
        <f>tbl_Ventes[[#This Row],[CA ligne]] - tbl_Ventes[[#This Row],[Coût matière ligne]]</f>
        <v>0</v>
      </c>
      <c r="K1302" s="7" t="str">
        <f>IFERROR(INDEX(tbl_ProduitsRef[Famille], MATCH(tbl_Ventes[[#This Row],[Cde_Prdt]], tbl_Produits[Cde_Prdt], 0)), "")</f>
        <v/>
      </c>
    </row>
    <row r="1303" spans="1:11" x14ac:dyDescent="0.25">
      <c r="A1303" s="5"/>
      <c r="B1303" s="63" t="str">
        <f>IFERROR(TEXT(tbl_Ventes[[#This Row],[Date]],"mm-aaaa"),"")</f>
        <v>01-1900</v>
      </c>
      <c r="D1303" s="10" t="str">
        <f>IFERROR(
   INDEX(tbl_ProduitsRef[Cde_Prdt],MATCH(tbl_Ventes[[#This Row],[Produit]],tbl_ProduitsRef[Produit],0)),
   ""
)</f>
        <v/>
      </c>
      <c r="E1303" s="7">
        <v>0</v>
      </c>
      <c r="F1303" s="7" t="str">
        <f>IFERROR(
   INDEX(tbl_ProduitsRef[Prix Menu],MATCH(tbl_Ventes[[#This Row],[Produit]],tbl_ProduitsRef[Produit],0)),
   ""
)</f>
        <v/>
      </c>
      <c r="G1303" s="7">
        <f>tbl_Ventes[[#This Row],[Qté Vendue]] * IFERROR(_xlfn.XLOOKUP(tbl_Ventes[[#This Row],[Cde_Prdt]], tbl_Produits[Cde_Prdt], tbl_Produits[Prix Menu]), 0)</f>
        <v>0</v>
      </c>
      <c r="H1303" s="7">
        <f>IFERROR(_xlfn.XLOOKUP(tbl_Ventes[[#This Row],[Cde_Prdt]], tbl_Produits[Cde_Prdt], tbl_Produits[Coût Moyen Portion]), 0)</f>
        <v>0</v>
      </c>
      <c r="I1303" s="7">
        <f>tbl_Ventes[[#This Row],[Qté Vendue]] * tbl_Ventes[[#This Row],[CMP_par_portion]]</f>
        <v>0</v>
      </c>
      <c r="J1303" s="7">
        <f>tbl_Ventes[[#This Row],[CA ligne]] - tbl_Ventes[[#This Row],[Coût matière ligne]]</f>
        <v>0</v>
      </c>
      <c r="K1303" s="7" t="str">
        <f>IFERROR(INDEX(tbl_ProduitsRef[Famille], MATCH(tbl_Ventes[[#This Row],[Cde_Prdt]], tbl_Produits[Cde_Prdt], 0)), "")</f>
        <v/>
      </c>
    </row>
    <row r="1304" spans="1:11" x14ac:dyDescent="0.25">
      <c r="A1304" s="5"/>
      <c r="B1304" s="63" t="str">
        <f>IFERROR(TEXT(tbl_Ventes[[#This Row],[Date]],"mm-aaaa"),"")</f>
        <v>01-1900</v>
      </c>
      <c r="D1304" s="10" t="str">
        <f>IFERROR(
   INDEX(tbl_ProduitsRef[Cde_Prdt],MATCH(tbl_Ventes[[#This Row],[Produit]],tbl_ProduitsRef[Produit],0)),
   ""
)</f>
        <v/>
      </c>
      <c r="E1304" s="7">
        <v>0</v>
      </c>
      <c r="F1304" s="7" t="str">
        <f>IFERROR(
   INDEX(tbl_ProduitsRef[Prix Menu],MATCH(tbl_Ventes[[#This Row],[Produit]],tbl_ProduitsRef[Produit],0)),
   ""
)</f>
        <v/>
      </c>
      <c r="G1304" s="7">
        <f>tbl_Ventes[[#This Row],[Qté Vendue]] * IFERROR(_xlfn.XLOOKUP(tbl_Ventes[[#This Row],[Cde_Prdt]], tbl_Produits[Cde_Prdt], tbl_Produits[Prix Menu]), 0)</f>
        <v>0</v>
      </c>
      <c r="H1304" s="7">
        <f>IFERROR(_xlfn.XLOOKUP(tbl_Ventes[[#This Row],[Cde_Prdt]], tbl_Produits[Cde_Prdt], tbl_Produits[Coût Moyen Portion]), 0)</f>
        <v>0</v>
      </c>
      <c r="I1304" s="7">
        <f>tbl_Ventes[[#This Row],[Qté Vendue]] * tbl_Ventes[[#This Row],[CMP_par_portion]]</f>
        <v>0</v>
      </c>
      <c r="J1304" s="7">
        <f>tbl_Ventes[[#This Row],[CA ligne]] - tbl_Ventes[[#This Row],[Coût matière ligne]]</f>
        <v>0</v>
      </c>
      <c r="K1304" s="7" t="str">
        <f>IFERROR(INDEX(tbl_ProduitsRef[Famille], MATCH(tbl_Ventes[[#This Row],[Cde_Prdt]], tbl_Produits[Cde_Prdt], 0)), "")</f>
        <v/>
      </c>
    </row>
    <row r="1305" spans="1:11" x14ac:dyDescent="0.25">
      <c r="A1305" s="5"/>
      <c r="B1305" s="63" t="str">
        <f>IFERROR(TEXT(tbl_Ventes[[#This Row],[Date]],"mm-aaaa"),"")</f>
        <v>01-1900</v>
      </c>
      <c r="D1305" s="10" t="str">
        <f>IFERROR(
   INDEX(tbl_ProduitsRef[Cde_Prdt],MATCH(tbl_Ventes[[#This Row],[Produit]],tbl_ProduitsRef[Produit],0)),
   ""
)</f>
        <v/>
      </c>
      <c r="E1305" s="7">
        <v>0</v>
      </c>
      <c r="F1305" s="7" t="str">
        <f>IFERROR(
   INDEX(tbl_ProduitsRef[Prix Menu],MATCH(tbl_Ventes[[#This Row],[Produit]],tbl_ProduitsRef[Produit],0)),
   ""
)</f>
        <v/>
      </c>
      <c r="G1305" s="7">
        <f>tbl_Ventes[[#This Row],[Qté Vendue]] * IFERROR(_xlfn.XLOOKUP(tbl_Ventes[[#This Row],[Cde_Prdt]], tbl_Produits[Cde_Prdt], tbl_Produits[Prix Menu]), 0)</f>
        <v>0</v>
      </c>
      <c r="H1305" s="7">
        <f>IFERROR(_xlfn.XLOOKUP(tbl_Ventes[[#This Row],[Cde_Prdt]], tbl_Produits[Cde_Prdt], tbl_Produits[Coût Moyen Portion]), 0)</f>
        <v>0</v>
      </c>
      <c r="I1305" s="7">
        <f>tbl_Ventes[[#This Row],[Qté Vendue]] * tbl_Ventes[[#This Row],[CMP_par_portion]]</f>
        <v>0</v>
      </c>
      <c r="J1305" s="7">
        <f>tbl_Ventes[[#This Row],[CA ligne]] - tbl_Ventes[[#This Row],[Coût matière ligne]]</f>
        <v>0</v>
      </c>
      <c r="K1305" s="7" t="str">
        <f>IFERROR(INDEX(tbl_ProduitsRef[Famille], MATCH(tbl_Ventes[[#This Row],[Cde_Prdt]], tbl_Produits[Cde_Prdt], 0)), "")</f>
        <v/>
      </c>
    </row>
    <row r="1306" spans="1:11" x14ac:dyDescent="0.25">
      <c r="A1306" s="5"/>
      <c r="B1306" s="63" t="str">
        <f>IFERROR(TEXT(tbl_Ventes[[#This Row],[Date]],"mm-aaaa"),"")</f>
        <v>01-1900</v>
      </c>
      <c r="D1306" s="10" t="str">
        <f>IFERROR(
   INDEX(tbl_ProduitsRef[Cde_Prdt],MATCH(tbl_Ventes[[#This Row],[Produit]],tbl_ProduitsRef[Produit],0)),
   ""
)</f>
        <v/>
      </c>
      <c r="E1306" s="7">
        <v>0</v>
      </c>
      <c r="F1306" s="7" t="str">
        <f>IFERROR(
   INDEX(tbl_ProduitsRef[Prix Menu],MATCH(tbl_Ventes[[#This Row],[Produit]],tbl_ProduitsRef[Produit],0)),
   ""
)</f>
        <v/>
      </c>
      <c r="G1306" s="7">
        <f>tbl_Ventes[[#This Row],[Qté Vendue]] * IFERROR(_xlfn.XLOOKUP(tbl_Ventes[[#This Row],[Cde_Prdt]], tbl_Produits[Cde_Prdt], tbl_Produits[Prix Menu]), 0)</f>
        <v>0</v>
      </c>
      <c r="H1306" s="7">
        <f>IFERROR(_xlfn.XLOOKUP(tbl_Ventes[[#This Row],[Cde_Prdt]], tbl_Produits[Cde_Prdt], tbl_Produits[Coût Moyen Portion]), 0)</f>
        <v>0</v>
      </c>
      <c r="I1306" s="7">
        <f>tbl_Ventes[[#This Row],[Qté Vendue]] * tbl_Ventes[[#This Row],[CMP_par_portion]]</f>
        <v>0</v>
      </c>
      <c r="J1306" s="7">
        <f>tbl_Ventes[[#This Row],[CA ligne]] - tbl_Ventes[[#This Row],[Coût matière ligne]]</f>
        <v>0</v>
      </c>
      <c r="K1306" s="7" t="str">
        <f>IFERROR(INDEX(tbl_ProduitsRef[Famille], MATCH(tbl_Ventes[[#This Row],[Cde_Prdt]], tbl_Produits[Cde_Prdt], 0)), "")</f>
        <v/>
      </c>
    </row>
    <row r="1307" spans="1:11" x14ac:dyDescent="0.25">
      <c r="A1307" s="5"/>
      <c r="B1307" s="63" t="str">
        <f>IFERROR(TEXT(tbl_Ventes[[#This Row],[Date]],"mm-aaaa"),"")</f>
        <v>01-1900</v>
      </c>
      <c r="D1307" s="10" t="str">
        <f>IFERROR(
   INDEX(tbl_ProduitsRef[Cde_Prdt],MATCH(tbl_Ventes[[#This Row],[Produit]],tbl_ProduitsRef[Produit],0)),
   ""
)</f>
        <v/>
      </c>
      <c r="E1307" s="7">
        <v>0</v>
      </c>
      <c r="F1307" s="7" t="str">
        <f>IFERROR(
   INDEX(tbl_ProduitsRef[Prix Menu],MATCH(tbl_Ventes[[#This Row],[Produit]],tbl_ProduitsRef[Produit],0)),
   ""
)</f>
        <v/>
      </c>
      <c r="G1307" s="7">
        <f>tbl_Ventes[[#This Row],[Qté Vendue]] * IFERROR(_xlfn.XLOOKUP(tbl_Ventes[[#This Row],[Cde_Prdt]], tbl_Produits[Cde_Prdt], tbl_Produits[Prix Menu]), 0)</f>
        <v>0</v>
      </c>
      <c r="H1307" s="7">
        <f>IFERROR(_xlfn.XLOOKUP(tbl_Ventes[[#This Row],[Cde_Prdt]], tbl_Produits[Cde_Prdt], tbl_Produits[Coût Moyen Portion]), 0)</f>
        <v>0</v>
      </c>
      <c r="I1307" s="7">
        <f>tbl_Ventes[[#This Row],[Qté Vendue]] * tbl_Ventes[[#This Row],[CMP_par_portion]]</f>
        <v>0</v>
      </c>
      <c r="J1307" s="7">
        <f>tbl_Ventes[[#This Row],[CA ligne]] - tbl_Ventes[[#This Row],[Coût matière ligne]]</f>
        <v>0</v>
      </c>
      <c r="K1307" s="7" t="str">
        <f>IFERROR(INDEX(tbl_ProduitsRef[Famille], MATCH(tbl_Ventes[[#This Row],[Cde_Prdt]], tbl_Produits[Cde_Prdt], 0)), "")</f>
        <v/>
      </c>
    </row>
    <row r="1308" spans="1:11" x14ac:dyDescent="0.25">
      <c r="A1308" s="5"/>
      <c r="B1308" s="63" t="str">
        <f>IFERROR(TEXT(tbl_Ventes[[#This Row],[Date]],"mm-aaaa"),"")</f>
        <v>01-1900</v>
      </c>
      <c r="D1308" s="10" t="str">
        <f>IFERROR(
   INDEX(tbl_ProduitsRef[Cde_Prdt],MATCH(tbl_Ventes[[#This Row],[Produit]],tbl_ProduitsRef[Produit],0)),
   ""
)</f>
        <v/>
      </c>
      <c r="E1308" s="7">
        <v>0</v>
      </c>
      <c r="F1308" s="7" t="str">
        <f>IFERROR(
   INDEX(tbl_ProduitsRef[Prix Menu],MATCH(tbl_Ventes[[#This Row],[Produit]],tbl_ProduitsRef[Produit],0)),
   ""
)</f>
        <v/>
      </c>
      <c r="G1308" s="7">
        <f>tbl_Ventes[[#This Row],[Qté Vendue]] * IFERROR(_xlfn.XLOOKUP(tbl_Ventes[[#This Row],[Cde_Prdt]], tbl_Produits[Cde_Prdt], tbl_Produits[Prix Menu]), 0)</f>
        <v>0</v>
      </c>
      <c r="H1308" s="7">
        <f>IFERROR(_xlfn.XLOOKUP(tbl_Ventes[[#This Row],[Cde_Prdt]], tbl_Produits[Cde_Prdt], tbl_Produits[Coût Moyen Portion]), 0)</f>
        <v>0</v>
      </c>
      <c r="I1308" s="7">
        <f>tbl_Ventes[[#This Row],[Qté Vendue]] * tbl_Ventes[[#This Row],[CMP_par_portion]]</f>
        <v>0</v>
      </c>
      <c r="J1308" s="7">
        <f>tbl_Ventes[[#This Row],[CA ligne]] - tbl_Ventes[[#This Row],[Coût matière ligne]]</f>
        <v>0</v>
      </c>
      <c r="K1308" s="7" t="str">
        <f>IFERROR(INDEX(tbl_ProduitsRef[Famille], MATCH(tbl_Ventes[[#This Row],[Cde_Prdt]], tbl_Produits[Cde_Prdt], 0)), "")</f>
        <v/>
      </c>
    </row>
    <row r="1309" spans="1:11" x14ac:dyDescent="0.25">
      <c r="A1309" s="5"/>
      <c r="B1309" s="63" t="str">
        <f>IFERROR(TEXT(tbl_Ventes[[#This Row],[Date]],"mm-aaaa"),"")</f>
        <v>01-1900</v>
      </c>
      <c r="D1309" s="10" t="str">
        <f>IFERROR(
   INDEX(tbl_ProduitsRef[Cde_Prdt],MATCH(tbl_Ventes[[#This Row],[Produit]],tbl_ProduitsRef[Produit],0)),
   ""
)</f>
        <v/>
      </c>
      <c r="E1309" s="7">
        <v>0</v>
      </c>
      <c r="F1309" s="7" t="str">
        <f>IFERROR(
   INDEX(tbl_ProduitsRef[Prix Menu],MATCH(tbl_Ventes[[#This Row],[Produit]],tbl_ProduitsRef[Produit],0)),
   ""
)</f>
        <v/>
      </c>
      <c r="G1309" s="7">
        <f>tbl_Ventes[[#This Row],[Qté Vendue]] * IFERROR(_xlfn.XLOOKUP(tbl_Ventes[[#This Row],[Cde_Prdt]], tbl_Produits[Cde_Prdt], tbl_Produits[Prix Menu]), 0)</f>
        <v>0</v>
      </c>
      <c r="H1309" s="7">
        <f>IFERROR(_xlfn.XLOOKUP(tbl_Ventes[[#This Row],[Cde_Prdt]], tbl_Produits[Cde_Prdt], tbl_Produits[Coût Moyen Portion]), 0)</f>
        <v>0</v>
      </c>
      <c r="I1309" s="7">
        <f>tbl_Ventes[[#This Row],[Qté Vendue]] * tbl_Ventes[[#This Row],[CMP_par_portion]]</f>
        <v>0</v>
      </c>
      <c r="J1309" s="7">
        <f>tbl_Ventes[[#This Row],[CA ligne]] - tbl_Ventes[[#This Row],[Coût matière ligne]]</f>
        <v>0</v>
      </c>
      <c r="K1309" s="7" t="str">
        <f>IFERROR(INDEX(tbl_ProduitsRef[Famille], MATCH(tbl_Ventes[[#This Row],[Cde_Prdt]], tbl_Produits[Cde_Prdt], 0)), "")</f>
        <v/>
      </c>
    </row>
    <row r="1310" spans="1:11" x14ac:dyDescent="0.25">
      <c r="A1310" s="5"/>
      <c r="B1310" s="63" t="str">
        <f>IFERROR(TEXT(tbl_Ventes[[#This Row],[Date]],"mm-aaaa"),"")</f>
        <v>01-1900</v>
      </c>
      <c r="D1310" s="10" t="str">
        <f>IFERROR(
   INDEX(tbl_ProduitsRef[Cde_Prdt],MATCH(tbl_Ventes[[#This Row],[Produit]],tbl_ProduitsRef[Produit],0)),
   ""
)</f>
        <v/>
      </c>
      <c r="E1310" s="7">
        <v>0</v>
      </c>
      <c r="F1310" s="7" t="str">
        <f>IFERROR(
   INDEX(tbl_ProduitsRef[Prix Menu],MATCH(tbl_Ventes[[#This Row],[Produit]],tbl_ProduitsRef[Produit],0)),
   ""
)</f>
        <v/>
      </c>
      <c r="G1310" s="7">
        <f>tbl_Ventes[[#This Row],[Qté Vendue]] * IFERROR(_xlfn.XLOOKUP(tbl_Ventes[[#This Row],[Cde_Prdt]], tbl_Produits[Cde_Prdt], tbl_Produits[Prix Menu]), 0)</f>
        <v>0</v>
      </c>
      <c r="H1310" s="7">
        <f>IFERROR(_xlfn.XLOOKUP(tbl_Ventes[[#This Row],[Cde_Prdt]], tbl_Produits[Cde_Prdt], tbl_Produits[Coût Moyen Portion]), 0)</f>
        <v>0</v>
      </c>
      <c r="I1310" s="7">
        <f>tbl_Ventes[[#This Row],[Qté Vendue]] * tbl_Ventes[[#This Row],[CMP_par_portion]]</f>
        <v>0</v>
      </c>
      <c r="J1310" s="7">
        <f>tbl_Ventes[[#This Row],[CA ligne]] - tbl_Ventes[[#This Row],[Coût matière ligne]]</f>
        <v>0</v>
      </c>
      <c r="K1310" s="7" t="str">
        <f>IFERROR(INDEX(tbl_ProduitsRef[Famille], MATCH(tbl_Ventes[[#This Row],[Cde_Prdt]], tbl_Produits[Cde_Prdt], 0)), "")</f>
        <v/>
      </c>
    </row>
    <row r="1311" spans="1:11" x14ac:dyDescent="0.25">
      <c r="A1311" s="5"/>
      <c r="B1311" s="63" t="str">
        <f>IFERROR(TEXT(tbl_Ventes[[#This Row],[Date]],"mm-aaaa"),"")</f>
        <v>01-1900</v>
      </c>
      <c r="D1311" s="10" t="str">
        <f>IFERROR(
   INDEX(tbl_ProduitsRef[Cde_Prdt],MATCH(tbl_Ventes[[#This Row],[Produit]],tbl_ProduitsRef[Produit],0)),
   ""
)</f>
        <v/>
      </c>
      <c r="E1311" s="7">
        <v>0</v>
      </c>
      <c r="F1311" s="7" t="str">
        <f>IFERROR(
   INDEX(tbl_ProduitsRef[Prix Menu],MATCH(tbl_Ventes[[#This Row],[Produit]],tbl_ProduitsRef[Produit],0)),
   ""
)</f>
        <v/>
      </c>
      <c r="G1311" s="7">
        <f>tbl_Ventes[[#This Row],[Qté Vendue]] * IFERROR(_xlfn.XLOOKUP(tbl_Ventes[[#This Row],[Cde_Prdt]], tbl_Produits[Cde_Prdt], tbl_Produits[Prix Menu]), 0)</f>
        <v>0</v>
      </c>
      <c r="H1311" s="7">
        <f>IFERROR(_xlfn.XLOOKUP(tbl_Ventes[[#This Row],[Cde_Prdt]], tbl_Produits[Cde_Prdt], tbl_Produits[Coût Moyen Portion]), 0)</f>
        <v>0</v>
      </c>
      <c r="I1311" s="7">
        <f>tbl_Ventes[[#This Row],[Qté Vendue]] * tbl_Ventes[[#This Row],[CMP_par_portion]]</f>
        <v>0</v>
      </c>
      <c r="J1311" s="7">
        <f>tbl_Ventes[[#This Row],[CA ligne]] - tbl_Ventes[[#This Row],[Coût matière ligne]]</f>
        <v>0</v>
      </c>
      <c r="K1311" s="7" t="str">
        <f>IFERROR(INDEX(tbl_ProduitsRef[Famille], MATCH(tbl_Ventes[[#This Row],[Cde_Prdt]], tbl_Produits[Cde_Prdt], 0)), "")</f>
        <v/>
      </c>
    </row>
    <row r="1312" spans="1:11" x14ac:dyDescent="0.25">
      <c r="A1312" s="5"/>
      <c r="B1312" s="63" t="str">
        <f>IFERROR(TEXT(tbl_Ventes[[#This Row],[Date]],"mm-aaaa"),"")</f>
        <v>01-1900</v>
      </c>
      <c r="D1312" s="10" t="str">
        <f>IFERROR(
   INDEX(tbl_ProduitsRef[Cde_Prdt],MATCH(tbl_Ventes[[#This Row],[Produit]],tbl_ProduitsRef[Produit],0)),
   ""
)</f>
        <v/>
      </c>
      <c r="E1312" s="7">
        <v>0</v>
      </c>
      <c r="F1312" s="7" t="str">
        <f>IFERROR(
   INDEX(tbl_ProduitsRef[Prix Menu],MATCH(tbl_Ventes[[#This Row],[Produit]],tbl_ProduitsRef[Produit],0)),
   ""
)</f>
        <v/>
      </c>
      <c r="G1312" s="7">
        <f>tbl_Ventes[[#This Row],[Qté Vendue]] * IFERROR(_xlfn.XLOOKUP(tbl_Ventes[[#This Row],[Cde_Prdt]], tbl_Produits[Cde_Prdt], tbl_Produits[Prix Menu]), 0)</f>
        <v>0</v>
      </c>
      <c r="H1312" s="7">
        <f>IFERROR(_xlfn.XLOOKUP(tbl_Ventes[[#This Row],[Cde_Prdt]], tbl_Produits[Cde_Prdt], tbl_Produits[Coût Moyen Portion]), 0)</f>
        <v>0</v>
      </c>
      <c r="I1312" s="7">
        <f>tbl_Ventes[[#This Row],[Qté Vendue]] * tbl_Ventes[[#This Row],[CMP_par_portion]]</f>
        <v>0</v>
      </c>
      <c r="J1312" s="7">
        <f>tbl_Ventes[[#This Row],[CA ligne]] - tbl_Ventes[[#This Row],[Coût matière ligne]]</f>
        <v>0</v>
      </c>
      <c r="K1312" s="7" t="str">
        <f>IFERROR(INDEX(tbl_ProduitsRef[Famille], MATCH(tbl_Ventes[[#This Row],[Cde_Prdt]], tbl_Produits[Cde_Prdt], 0)), "")</f>
        <v/>
      </c>
    </row>
    <row r="1313" spans="1:11" x14ac:dyDescent="0.25">
      <c r="A1313" s="5"/>
      <c r="B1313" s="63" t="str">
        <f>IFERROR(TEXT(tbl_Ventes[[#This Row],[Date]],"mm-aaaa"),"")</f>
        <v>01-1900</v>
      </c>
      <c r="D1313" s="10" t="str">
        <f>IFERROR(
   INDEX(tbl_ProduitsRef[Cde_Prdt],MATCH(tbl_Ventes[[#This Row],[Produit]],tbl_ProduitsRef[Produit],0)),
   ""
)</f>
        <v/>
      </c>
      <c r="E1313" s="7">
        <v>0</v>
      </c>
      <c r="F1313" s="7" t="str">
        <f>IFERROR(
   INDEX(tbl_ProduitsRef[Prix Menu],MATCH(tbl_Ventes[[#This Row],[Produit]],tbl_ProduitsRef[Produit],0)),
   ""
)</f>
        <v/>
      </c>
      <c r="G1313" s="7">
        <f>tbl_Ventes[[#This Row],[Qté Vendue]] * IFERROR(_xlfn.XLOOKUP(tbl_Ventes[[#This Row],[Cde_Prdt]], tbl_Produits[Cde_Prdt], tbl_Produits[Prix Menu]), 0)</f>
        <v>0</v>
      </c>
      <c r="H1313" s="7">
        <f>IFERROR(_xlfn.XLOOKUP(tbl_Ventes[[#This Row],[Cde_Prdt]], tbl_Produits[Cde_Prdt], tbl_Produits[Coût Moyen Portion]), 0)</f>
        <v>0</v>
      </c>
      <c r="I1313" s="7">
        <f>tbl_Ventes[[#This Row],[Qté Vendue]] * tbl_Ventes[[#This Row],[CMP_par_portion]]</f>
        <v>0</v>
      </c>
      <c r="J1313" s="7">
        <f>tbl_Ventes[[#This Row],[CA ligne]] - tbl_Ventes[[#This Row],[Coût matière ligne]]</f>
        <v>0</v>
      </c>
      <c r="K1313" s="7" t="str">
        <f>IFERROR(INDEX(tbl_ProduitsRef[Famille], MATCH(tbl_Ventes[[#This Row],[Cde_Prdt]], tbl_Produits[Cde_Prdt], 0)), "")</f>
        <v/>
      </c>
    </row>
    <row r="1314" spans="1:11" x14ac:dyDescent="0.25">
      <c r="A1314" s="5"/>
      <c r="B1314" s="63" t="str">
        <f>IFERROR(TEXT(tbl_Ventes[[#This Row],[Date]],"mm-aaaa"),"")</f>
        <v>01-1900</v>
      </c>
      <c r="D1314" s="10" t="str">
        <f>IFERROR(
   INDEX(tbl_ProduitsRef[Cde_Prdt],MATCH(tbl_Ventes[[#This Row],[Produit]],tbl_ProduitsRef[Produit],0)),
   ""
)</f>
        <v/>
      </c>
      <c r="E1314" s="7">
        <v>0</v>
      </c>
      <c r="F1314" s="7" t="str">
        <f>IFERROR(
   INDEX(tbl_ProduitsRef[Prix Menu],MATCH(tbl_Ventes[[#This Row],[Produit]],tbl_ProduitsRef[Produit],0)),
   ""
)</f>
        <v/>
      </c>
      <c r="G1314" s="7">
        <f>tbl_Ventes[[#This Row],[Qté Vendue]] * IFERROR(_xlfn.XLOOKUP(tbl_Ventes[[#This Row],[Cde_Prdt]], tbl_Produits[Cde_Prdt], tbl_Produits[Prix Menu]), 0)</f>
        <v>0</v>
      </c>
      <c r="H1314" s="7">
        <f>IFERROR(_xlfn.XLOOKUP(tbl_Ventes[[#This Row],[Cde_Prdt]], tbl_Produits[Cde_Prdt], tbl_Produits[Coût Moyen Portion]), 0)</f>
        <v>0</v>
      </c>
      <c r="I1314" s="7">
        <f>tbl_Ventes[[#This Row],[Qté Vendue]] * tbl_Ventes[[#This Row],[CMP_par_portion]]</f>
        <v>0</v>
      </c>
      <c r="J1314" s="7">
        <f>tbl_Ventes[[#This Row],[CA ligne]] - tbl_Ventes[[#This Row],[Coût matière ligne]]</f>
        <v>0</v>
      </c>
      <c r="K1314" s="7" t="str">
        <f>IFERROR(INDEX(tbl_ProduitsRef[Famille], MATCH(tbl_Ventes[[#This Row],[Cde_Prdt]], tbl_Produits[Cde_Prdt], 0)), "")</f>
        <v/>
      </c>
    </row>
    <row r="1315" spans="1:11" x14ac:dyDescent="0.25">
      <c r="A1315" s="5"/>
      <c r="B1315" s="63" t="str">
        <f>IFERROR(TEXT(tbl_Ventes[[#This Row],[Date]],"mm-aaaa"),"")</f>
        <v>01-1900</v>
      </c>
      <c r="D1315" s="10" t="str">
        <f>IFERROR(
   INDEX(tbl_ProduitsRef[Cde_Prdt],MATCH(tbl_Ventes[[#This Row],[Produit]],tbl_ProduitsRef[Produit],0)),
   ""
)</f>
        <v/>
      </c>
      <c r="E1315" s="7">
        <v>0</v>
      </c>
      <c r="F1315" s="7" t="str">
        <f>IFERROR(
   INDEX(tbl_ProduitsRef[Prix Menu],MATCH(tbl_Ventes[[#This Row],[Produit]],tbl_ProduitsRef[Produit],0)),
   ""
)</f>
        <v/>
      </c>
      <c r="G1315" s="7">
        <f>tbl_Ventes[[#This Row],[Qté Vendue]] * IFERROR(_xlfn.XLOOKUP(tbl_Ventes[[#This Row],[Cde_Prdt]], tbl_Produits[Cde_Prdt], tbl_Produits[Prix Menu]), 0)</f>
        <v>0</v>
      </c>
      <c r="H1315" s="7">
        <f>IFERROR(_xlfn.XLOOKUP(tbl_Ventes[[#This Row],[Cde_Prdt]], tbl_Produits[Cde_Prdt], tbl_Produits[Coût Moyen Portion]), 0)</f>
        <v>0</v>
      </c>
      <c r="I1315" s="7">
        <f>tbl_Ventes[[#This Row],[Qté Vendue]] * tbl_Ventes[[#This Row],[CMP_par_portion]]</f>
        <v>0</v>
      </c>
      <c r="J1315" s="7">
        <f>tbl_Ventes[[#This Row],[CA ligne]] - tbl_Ventes[[#This Row],[Coût matière ligne]]</f>
        <v>0</v>
      </c>
      <c r="K1315" s="7" t="str">
        <f>IFERROR(INDEX(tbl_ProduitsRef[Famille], MATCH(tbl_Ventes[[#This Row],[Cde_Prdt]], tbl_Produits[Cde_Prdt], 0)), "")</f>
        <v/>
      </c>
    </row>
    <row r="1316" spans="1:11" x14ac:dyDescent="0.25">
      <c r="A1316" s="5"/>
      <c r="B1316" s="63" t="str">
        <f>IFERROR(TEXT(tbl_Ventes[[#This Row],[Date]],"mm-aaaa"),"")</f>
        <v>01-1900</v>
      </c>
      <c r="D1316" s="10" t="str">
        <f>IFERROR(
   INDEX(tbl_ProduitsRef[Cde_Prdt],MATCH(tbl_Ventes[[#This Row],[Produit]],tbl_ProduitsRef[Produit],0)),
   ""
)</f>
        <v/>
      </c>
      <c r="E1316" s="7">
        <v>0</v>
      </c>
      <c r="F1316" s="7" t="str">
        <f>IFERROR(
   INDEX(tbl_ProduitsRef[Prix Menu],MATCH(tbl_Ventes[[#This Row],[Produit]],tbl_ProduitsRef[Produit],0)),
   ""
)</f>
        <v/>
      </c>
      <c r="G1316" s="7">
        <f>tbl_Ventes[[#This Row],[Qté Vendue]] * IFERROR(_xlfn.XLOOKUP(tbl_Ventes[[#This Row],[Cde_Prdt]], tbl_Produits[Cde_Prdt], tbl_Produits[Prix Menu]), 0)</f>
        <v>0</v>
      </c>
      <c r="H1316" s="7">
        <f>IFERROR(_xlfn.XLOOKUP(tbl_Ventes[[#This Row],[Cde_Prdt]], tbl_Produits[Cde_Prdt], tbl_Produits[Coût Moyen Portion]), 0)</f>
        <v>0</v>
      </c>
      <c r="I1316" s="7">
        <f>tbl_Ventes[[#This Row],[Qté Vendue]] * tbl_Ventes[[#This Row],[CMP_par_portion]]</f>
        <v>0</v>
      </c>
      <c r="J1316" s="7">
        <f>tbl_Ventes[[#This Row],[CA ligne]] - tbl_Ventes[[#This Row],[Coût matière ligne]]</f>
        <v>0</v>
      </c>
      <c r="K1316" s="7" t="str">
        <f>IFERROR(INDEX(tbl_ProduitsRef[Famille], MATCH(tbl_Ventes[[#This Row],[Cde_Prdt]], tbl_Produits[Cde_Prdt], 0)), "")</f>
        <v/>
      </c>
    </row>
    <row r="1317" spans="1:11" x14ac:dyDescent="0.25">
      <c r="A1317" s="5"/>
      <c r="B1317" s="63" t="str">
        <f>IFERROR(TEXT(tbl_Ventes[[#This Row],[Date]],"mm-aaaa"),"")</f>
        <v>01-1900</v>
      </c>
      <c r="D1317" s="10" t="str">
        <f>IFERROR(
   INDEX(tbl_ProduitsRef[Cde_Prdt],MATCH(tbl_Ventes[[#This Row],[Produit]],tbl_ProduitsRef[Produit],0)),
   ""
)</f>
        <v/>
      </c>
      <c r="E1317" s="7">
        <v>0</v>
      </c>
      <c r="F1317" s="7" t="str">
        <f>IFERROR(
   INDEX(tbl_ProduitsRef[Prix Menu],MATCH(tbl_Ventes[[#This Row],[Produit]],tbl_ProduitsRef[Produit],0)),
   ""
)</f>
        <v/>
      </c>
      <c r="G1317" s="7">
        <f>tbl_Ventes[[#This Row],[Qté Vendue]] * IFERROR(_xlfn.XLOOKUP(tbl_Ventes[[#This Row],[Cde_Prdt]], tbl_Produits[Cde_Prdt], tbl_Produits[Prix Menu]), 0)</f>
        <v>0</v>
      </c>
      <c r="H1317" s="7">
        <f>IFERROR(_xlfn.XLOOKUP(tbl_Ventes[[#This Row],[Cde_Prdt]], tbl_Produits[Cde_Prdt], tbl_Produits[Coût Moyen Portion]), 0)</f>
        <v>0</v>
      </c>
      <c r="I1317" s="7">
        <f>tbl_Ventes[[#This Row],[Qté Vendue]] * tbl_Ventes[[#This Row],[CMP_par_portion]]</f>
        <v>0</v>
      </c>
      <c r="J1317" s="7">
        <f>tbl_Ventes[[#This Row],[CA ligne]] - tbl_Ventes[[#This Row],[Coût matière ligne]]</f>
        <v>0</v>
      </c>
      <c r="K1317" s="7" t="str">
        <f>IFERROR(INDEX(tbl_ProduitsRef[Famille], MATCH(tbl_Ventes[[#This Row],[Cde_Prdt]], tbl_Produits[Cde_Prdt], 0)), "")</f>
        <v/>
      </c>
    </row>
    <row r="1318" spans="1:11" x14ac:dyDescent="0.25">
      <c r="A1318" s="5"/>
      <c r="B1318" s="63" t="str">
        <f>IFERROR(TEXT(tbl_Ventes[[#This Row],[Date]],"mm-aaaa"),"")</f>
        <v>01-1900</v>
      </c>
      <c r="D1318" s="10" t="str">
        <f>IFERROR(
   INDEX(tbl_ProduitsRef[Cde_Prdt],MATCH(tbl_Ventes[[#This Row],[Produit]],tbl_ProduitsRef[Produit],0)),
   ""
)</f>
        <v/>
      </c>
      <c r="E1318" s="7">
        <v>0</v>
      </c>
      <c r="F1318" s="7" t="str">
        <f>IFERROR(
   INDEX(tbl_ProduitsRef[Prix Menu],MATCH(tbl_Ventes[[#This Row],[Produit]],tbl_ProduitsRef[Produit],0)),
   ""
)</f>
        <v/>
      </c>
      <c r="G1318" s="7">
        <f>tbl_Ventes[[#This Row],[Qté Vendue]] * IFERROR(_xlfn.XLOOKUP(tbl_Ventes[[#This Row],[Cde_Prdt]], tbl_Produits[Cde_Prdt], tbl_Produits[Prix Menu]), 0)</f>
        <v>0</v>
      </c>
      <c r="H1318" s="7">
        <f>IFERROR(_xlfn.XLOOKUP(tbl_Ventes[[#This Row],[Cde_Prdt]], tbl_Produits[Cde_Prdt], tbl_Produits[Coût Moyen Portion]), 0)</f>
        <v>0</v>
      </c>
      <c r="I1318" s="7">
        <f>tbl_Ventes[[#This Row],[Qté Vendue]] * tbl_Ventes[[#This Row],[CMP_par_portion]]</f>
        <v>0</v>
      </c>
      <c r="J1318" s="7">
        <f>tbl_Ventes[[#This Row],[CA ligne]] - tbl_Ventes[[#This Row],[Coût matière ligne]]</f>
        <v>0</v>
      </c>
      <c r="K1318" s="7" t="str">
        <f>IFERROR(INDEX(tbl_ProduitsRef[Famille], MATCH(tbl_Ventes[[#This Row],[Cde_Prdt]], tbl_Produits[Cde_Prdt], 0)), "")</f>
        <v/>
      </c>
    </row>
    <row r="1319" spans="1:11" x14ac:dyDescent="0.25">
      <c r="A1319" s="5"/>
      <c r="B1319" s="63" t="str">
        <f>IFERROR(TEXT(tbl_Ventes[[#This Row],[Date]],"mm-aaaa"),"")</f>
        <v>01-1900</v>
      </c>
      <c r="D1319" s="10" t="str">
        <f>IFERROR(
   INDEX(tbl_ProduitsRef[Cde_Prdt],MATCH(tbl_Ventes[[#This Row],[Produit]],tbl_ProduitsRef[Produit],0)),
   ""
)</f>
        <v/>
      </c>
      <c r="E1319" s="7">
        <v>0</v>
      </c>
      <c r="F1319" s="7" t="str">
        <f>IFERROR(
   INDEX(tbl_ProduitsRef[Prix Menu],MATCH(tbl_Ventes[[#This Row],[Produit]],tbl_ProduitsRef[Produit],0)),
   ""
)</f>
        <v/>
      </c>
      <c r="G1319" s="7">
        <f>tbl_Ventes[[#This Row],[Qté Vendue]] * IFERROR(_xlfn.XLOOKUP(tbl_Ventes[[#This Row],[Cde_Prdt]], tbl_Produits[Cde_Prdt], tbl_Produits[Prix Menu]), 0)</f>
        <v>0</v>
      </c>
      <c r="H1319" s="7">
        <f>IFERROR(_xlfn.XLOOKUP(tbl_Ventes[[#This Row],[Cde_Prdt]], tbl_Produits[Cde_Prdt], tbl_Produits[Coût Moyen Portion]), 0)</f>
        <v>0</v>
      </c>
      <c r="I1319" s="7">
        <f>tbl_Ventes[[#This Row],[Qté Vendue]] * tbl_Ventes[[#This Row],[CMP_par_portion]]</f>
        <v>0</v>
      </c>
      <c r="J1319" s="7">
        <f>tbl_Ventes[[#This Row],[CA ligne]] - tbl_Ventes[[#This Row],[Coût matière ligne]]</f>
        <v>0</v>
      </c>
      <c r="K1319" s="7" t="str">
        <f>IFERROR(INDEX(tbl_ProduitsRef[Famille], MATCH(tbl_Ventes[[#This Row],[Cde_Prdt]], tbl_Produits[Cde_Prdt], 0)), "")</f>
        <v/>
      </c>
    </row>
    <row r="1320" spans="1:11" x14ac:dyDescent="0.25">
      <c r="A1320" s="5"/>
      <c r="B1320" s="63" t="str">
        <f>IFERROR(TEXT(tbl_Ventes[[#This Row],[Date]],"mm-aaaa"),"")</f>
        <v>01-1900</v>
      </c>
      <c r="D1320" s="10" t="str">
        <f>IFERROR(
   INDEX(tbl_ProduitsRef[Cde_Prdt],MATCH(tbl_Ventes[[#This Row],[Produit]],tbl_ProduitsRef[Produit],0)),
   ""
)</f>
        <v/>
      </c>
      <c r="E1320" s="7">
        <v>0</v>
      </c>
      <c r="F1320" s="7" t="str">
        <f>IFERROR(
   INDEX(tbl_ProduitsRef[Prix Menu],MATCH(tbl_Ventes[[#This Row],[Produit]],tbl_ProduitsRef[Produit],0)),
   ""
)</f>
        <v/>
      </c>
      <c r="G1320" s="7">
        <f>tbl_Ventes[[#This Row],[Qté Vendue]] * IFERROR(_xlfn.XLOOKUP(tbl_Ventes[[#This Row],[Cde_Prdt]], tbl_Produits[Cde_Prdt], tbl_Produits[Prix Menu]), 0)</f>
        <v>0</v>
      </c>
      <c r="H1320" s="7">
        <f>IFERROR(_xlfn.XLOOKUP(tbl_Ventes[[#This Row],[Cde_Prdt]], tbl_Produits[Cde_Prdt], tbl_Produits[Coût Moyen Portion]), 0)</f>
        <v>0</v>
      </c>
      <c r="I1320" s="7">
        <f>tbl_Ventes[[#This Row],[Qté Vendue]] * tbl_Ventes[[#This Row],[CMP_par_portion]]</f>
        <v>0</v>
      </c>
      <c r="J1320" s="7">
        <f>tbl_Ventes[[#This Row],[CA ligne]] - tbl_Ventes[[#This Row],[Coût matière ligne]]</f>
        <v>0</v>
      </c>
      <c r="K1320" s="7" t="str">
        <f>IFERROR(INDEX(tbl_ProduitsRef[Famille], MATCH(tbl_Ventes[[#This Row],[Cde_Prdt]], tbl_Produits[Cde_Prdt], 0)), "")</f>
        <v/>
      </c>
    </row>
    <row r="1321" spans="1:11" x14ac:dyDescent="0.25">
      <c r="A1321" s="5"/>
      <c r="B1321" s="63" t="str">
        <f>IFERROR(TEXT(tbl_Ventes[[#This Row],[Date]],"mm-aaaa"),"")</f>
        <v>01-1900</v>
      </c>
      <c r="D1321" s="10" t="str">
        <f>IFERROR(
   INDEX(tbl_ProduitsRef[Cde_Prdt],MATCH(tbl_Ventes[[#This Row],[Produit]],tbl_ProduitsRef[Produit],0)),
   ""
)</f>
        <v/>
      </c>
      <c r="E1321" s="7">
        <v>0</v>
      </c>
      <c r="F1321" s="7" t="str">
        <f>IFERROR(
   INDEX(tbl_ProduitsRef[Prix Menu],MATCH(tbl_Ventes[[#This Row],[Produit]],tbl_ProduitsRef[Produit],0)),
   ""
)</f>
        <v/>
      </c>
      <c r="G1321" s="7">
        <f>tbl_Ventes[[#This Row],[Qté Vendue]] * IFERROR(_xlfn.XLOOKUP(tbl_Ventes[[#This Row],[Cde_Prdt]], tbl_Produits[Cde_Prdt], tbl_Produits[Prix Menu]), 0)</f>
        <v>0</v>
      </c>
      <c r="H1321" s="7">
        <f>IFERROR(_xlfn.XLOOKUP(tbl_Ventes[[#This Row],[Cde_Prdt]], tbl_Produits[Cde_Prdt], tbl_Produits[Coût Moyen Portion]), 0)</f>
        <v>0</v>
      </c>
      <c r="I1321" s="7">
        <f>tbl_Ventes[[#This Row],[Qté Vendue]] * tbl_Ventes[[#This Row],[CMP_par_portion]]</f>
        <v>0</v>
      </c>
      <c r="J1321" s="7">
        <f>tbl_Ventes[[#This Row],[CA ligne]] - tbl_Ventes[[#This Row],[Coût matière ligne]]</f>
        <v>0</v>
      </c>
      <c r="K1321" s="7" t="str">
        <f>IFERROR(INDEX(tbl_ProduitsRef[Famille], MATCH(tbl_Ventes[[#This Row],[Cde_Prdt]], tbl_Produits[Cde_Prdt], 0)), "")</f>
        <v/>
      </c>
    </row>
    <row r="1322" spans="1:11" x14ac:dyDescent="0.25">
      <c r="A1322" s="5"/>
      <c r="B1322" s="63" t="str">
        <f>IFERROR(TEXT(tbl_Ventes[[#This Row],[Date]],"mm-aaaa"),"")</f>
        <v>01-1900</v>
      </c>
      <c r="D1322" s="10" t="str">
        <f>IFERROR(
   INDEX(tbl_ProduitsRef[Cde_Prdt],MATCH(tbl_Ventes[[#This Row],[Produit]],tbl_ProduitsRef[Produit],0)),
   ""
)</f>
        <v/>
      </c>
      <c r="E1322" s="7">
        <v>0</v>
      </c>
      <c r="F1322" s="7" t="str">
        <f>IFERROR(
   INDEX(tbl_ProduitsRef[Prix Menu],MATCH(tbl_Ventes[[#This Row],[Produit]],tbl_ProduitsRef[Produit],0)),
   ""
)</f>
        <v/>
      </c>
      <c r="G1322" s="7">
        <f>tbl_Ventes[[#This Row],[Qté Vendue]] * IFERROR(_xlfn.XLOOKUP(tbl_Ventes[[#This Row],[Cde_Prdt]], tbl_Produits[Cde_Prdt], tbl_Produits[Prix Menu]), 0)</f>
        <v>0</v>
      </c>
      <c r="H1322" s="7">
        <f>IFERROR(_xlfn.XLOOKUP(tbl_Ventes[[#This Row],[Cde_Prdt]], tbl_Produits[Cde_Prdt], tbl_Produits[Coût Moyen Portion]), 0)</f>
        <v>0</v>
      </c>
      <c r="I1322" s="7">
        <f>tbl_Ventes[[#This Row],[Qté Vendue]] * tbl_Ventes[[#This Row],[CMP_par_portion]]</f>
        <v>0</v>
      </c>
      <c r="J1322" s="7">
        <f>tbl_Ventes[[#This Row],[CA ligne]] - tbl_Ventes[[#This Row],[Coût matière ligne]]</f>
        <v>0</v>
      </c>
      <c r="K1322" s="7" t="str">
        <f>IFERROR(INDEX(tbl_ProduitsRef[Famille], MATCH(tbl_Ventes[[#This Row],[Cde_Prdt]], tbl_Produits[Cde_Prdt], 0)), "")</f>
        <v/>
      </c>
    </row>
    <row r="1323" spans="1:11" x14ac:dyDescent="0.25">
      <c r="A1323" s="5"/>
      <c r="B1323" s="63" t="str">
        <f>IFERROR(TEXT(tbl_Ventes[[#This Row],[Date]],"mm-aaaa"),"")</f>
        <v>01-1900</v>
      </c>
      <c r="D1323" s="10" t="str">
        <f>IFERROR(
   INDEX(tbl_ProduitsRef[Cde_Prdt],MATCH(tbl_Ventes[[#This Row],[Produit]],tbl_ProduitsRef[Produit],0)),
   ""
)</f>
        <v/>
      </c>
      <c r="E1323" s="7">
        <v>0</v>
      </c>
      <c r="F1323" s="7" t="str">
        <f>IFERROR(
   INDEX(tbl_ProduitsRef[Prix Menu],MATCH(tbl_Ventes[[#This Row],[Produit]],tbl_ProduitsRef[Produit],0)),
   ""
)</f>
        <v/>
      </c>
      <c r="G1323" s="7">
        <f>tbl_Ventes[[#This Row],[Qté Vendue]] * IFERROR(_xlfn.XLOOKUP(tbl_Ventes[[#This Row],[Cde_Prdt]], tbl_Produits[Cde_Prdt], tbl_Produits[Prix Menu]), 0)</f>
        <v>0</v>
      </c>
      <c r="H1323" s="7">
        <f>IFERROR(_xlfn.XLOOKUP(tbl_Ventes[[#This Row],[Cde_Prdt]], tbl_Produits[Cde_Prdt], tbl_Produits[Coût Moyen Portion]), 0)</f>
        <v>0</v>
      </c>
      <c r="I1323" s="7">
        <f>tbl_Ventes[[#This Row],[Qté Vendue]] * tbl_Ventes[[#This Row],[CMP_par_portion]]</f>
        <v>0</v>
      </c>
      <c r="J1323" s="7">
        <f>tbl_Ventes[[#This Row],[CA ligne]] - tbl_Ventes[[#This Row],[Coût matière ligne]]</f>
        <v>0</v>
      </c>
      <c r="K1323" s="7" t="str">
        <f>IFERROR(INDEX(tbl_ProduitsRef[Famille], MATCH(tbl_Ventes[[#This Row],[Cde_Prdt]], tbl_Produits[Cde_Prdt], 0)), "")</f>
        <v/>
      </c>
    </row>
    <row r="1324" spans="1:11" x14ac:dyDescent="0.25">
      <c r="A1324" s="5"/>
      <c r="B1324" s="63" t="str">
        <f>IFERROR(TEXT(tbl_Ventes[[#This Row],[Date]],"mm-aaaa"),"")</f>
        <v>01-1900</v>
      </c>
      <c r="D1324" s="10" t="str">
        <f>IFERROR(
   INDEX(tbl_ProduitsRef[Cde_Prdt],MATCH(tbl_Ventes[[#This Row],[Produit]],tbl_ProduitsRef[Produit],0)),
   ""
)</f>
        <v/>
      </c>
      <c r="E1324" s="7">
        <v>0</v>
      </c>
      <c r="F1324" s="7" t="str">
        <f>IFERROR(
   INDEX(tbl_ProduitsRef[Prix Menu],MATCH(tbl_Ventes[[#This Row],[Produit]],tbl_ProduitsRef[Produit],0)),
   ""
)</f>
        <v/>
      </c>
      <c r="G1324" s="7">
        <f>tbl_Ventes[[#This Row],[Qté Vendue]] * IFERROR(_xlfn.XLOOKUP(tbl_Ventes[[#This Row],[Cde_Prdt]], tbl_Produits[Cde_Prdt], tbl_Produits[Prix Menu]), 0)</f>
        <v>0</v>
      </c>
      <c r="H1324" s="7">
        <f>IFERROR(_xlfn.XLOOKUP(tbl_Ventes[[#This Row],[Cde_Prdt]], tbl_Produits[Cde_Prdt], tbl_Produits[Coût Moyen Portion]), 0)</f>
        <v>0</v>
      </c>
      <c r="I1324" s="7">
        <f>tbl_Ventes[[#This Row],[Qté Vendue]] * tbl_Ventes[[#This Row],[CMP_par_portion]]</f>
        <v>0</v>
      </c>
      <c r="J1324" s="7">
        <f>tbl_Ventes[[#This Row],[CA ligne]] - tbl_Ventes[[#This Row],[Coût matière ligne]]</f>
        <v>0</v>
      </c>
      <c r="K1324" s="7" t="str">
        <f>IFERROR(INDEX(tbl_ProduitsRef[Famille], MATCH(tbl_Ventes[[#This Row],[Cde_Prdt]], tbl_Produits[Cde_Prdt], 0)), "")</f>
        <v/>
      </c>
    </row>
    <row r="1325" spans="1:11" x14ac:dyDescent="0.25">
      <c r="A1325" s="5"/>
      <c r="B1325" s="63" t="str">
        <f>IFERROR(TEXT(tbl_Ventes[[#This Row],[Date]],"mm-aaaa"),"")</f>
        <v>01-1900</v>
      </c>
      <c r="D1325" s="10" t="str">
        <f>IFERROR(
   INDEX(tbl_ProduitsRef[Cde_Prdt],MATCH(tbl_Ventes[[#This Row],[Produit]],tbl_ProduitsRef[Produit],0)),
   ""
)</f>
        <v/>
      </c>
      <c r="E1325" s="7">
        <v>0</v>
      </c>
      <c r="F1325" s="7" t="str">
        <f>IFERROR(
   INDEX(tbl_ProduitsRef[Prix Menu],MATCH(tbl_Ventes[[#This Row],[Produit]],tbl_ProduitsRef[Produit],0)),
   ""
)</f>
        <v/>
      </c>
      <c r="G1325" s="7">
        <f>tbl_Ventes[[#This Row],[Qté Vendue]] * IFERROR(_xlfn.XLOOKUP(tbl_Ventes[[#This Row],[Cde_Prdt]], tbl_Produits[Cde_Prdt], tbl_Produits[Prix Menu]), 0)</f>
        <v>0</v>
      </c>
      <c r="H1325" s="7">
        <f>IFERROR(_xlfn.XLOOKUP(tbl_Ventes[[#This Row],[Cde_Prdt]], tbl_Produits[Cde_Prdt], tbl_Produits[Coût Moyen Portion]), 0)</f>
        <v>0</v>
      </c>
      <c r="I1325" s="7">
        <f>tbl_Ventes[[#This Row],[Qté Vendue]] * tbl_Ventes[[#This Row],[CMP_par_portion]]</f>
        <v>0</v>
      </c>
      <c r="J1325" s="7">
        <f>tbl_Ventes[[#This Row],[CA ligne]] - tbl_Ventes[[#This Row],[Coût matière ligne]]</f>
        <v>0</v>
      </c>
      <c r="K1325" s="7" t="str">
        <f>IFERROR(INDEX(tbl_ProduitsRef[Famille], MATCH(tbl_Ventes[[#This Row],[Cde_Prdt]], tbl_Produits[Cde_Prdt], 0)), "")</f>
        <v/>
      </c>
    </row>
    <row r="1326" spans="1:11" x14ac:dyDescent="0.25">
      <c r="A1326" s="5"/>
      <c r="B1326" s="63" t="str">
        <f>IFERROR(TEXT(tbl_Ventes[[#This Row],[Date]],"mm-aaaa"),"")</f>
        <v>01-1900</v>
      </c>
      <c r="D1326" s="10" t="str">
        <f>IFERROR(
   INDEX(tbl_ProduitsRef[Cde_Prdt],MATCH(tbl_Ventes[[#This Row],[Produit]],tbl_ProduitsRef[Produit],0)),
   ""
)</f>
        <v/>
      </c>
      <c r="E1326" s="7">
        <v>0</v>
      </c>
      <c r="F1326" s="7" t="str">
        <f>IFERROR(
   INDEX(tbl_ProduitsRef[Prix Menu],MATCH(tbl_Ventes[[#This Row],[Produit]],tbl_ProduitsRef[Produit],0)),
   ""
)</f>
        <v/>
      </c>
      <c r="G1326" s="7">
        <f>tbl_Ventes[[#This Row],[Qté Vendue]] * IFERROR(_xlfn.XLOOKUP(tbl_Ventes[[#This Row],[Cde_Prdt]], tbl_Produits[Cde_Prdt], tbl_Produits[Prix Menu]), 0)</f>
        <v>0</v>
      </c>
      <c r="H1326" s="7">
        <f>IFERROR(_xlfn.XLOOKUP(tbl_Ventes[[#This Row],[Cde_Prdt]], tbl_Produits[Cde_Prdt], tbl_Produits[Coût Moyen Portion]), 0)</f>
        <v>0</v>
      </c>
      <c r="I1326" s="7">
        <f>tbl_Ventes[[#This Row],[Qté Vendue]] * tbl_Ventes[[#This Row],[CMP_par_portion]]</f>
        <v>0</v>
      </c>
      <c r="J1326" s="7">
        <f>tbl_Ventes[[#This Row],[CA ligne]] - tbl_Ventes[[#This Row],[Coût matière ligne]]</f>
        <v>0</v>
      </c>
      <c r="K1326" s="7" t="str">
        <f>IFERROR(INDEX(tbl_ProduitsRef[Famille], MATCH(tbl_Ventes[[#This Row],[Cde_Prdt]], tbl_Produits[Cde_Prdt], 0)), "")</f>
        <v/>
      </c>
    </row>
    <row r="1327" spans="1:11" x14ac:dyDescent="0.25">
      <c r="A1327" s="5"/>
      <c r="B1327" s="63" t="str">
        <f>IFERROR(TEXT(tbl_Ventes[[#This Row],[Date]],"mm-aaaa"),"")</f>
        <v>01-1900</v>
      </c>
      <c r="D1327" s="10" t="str">
        <f>IFERROR(
   INDEX(tbl_ProduitsRef[Cde_Prdt],MATCH(tbl_Ventes[[#This Row],[Produit]],tbl_ProduitsRef[Produit],0)),
   ""
)</f>
        <v/>
      </c>
      <c r="E1327" s="7">
        <v>0</v>
      </c>
      <c r="F1327" s="7" t="str">
        <f>IFERROR(
   INDEX(tbl_ProduitsRef[Prix Menu],MATCH(tbl_Ventes[[#This Row],[Produit]],tbl_ProduitsRef[Produit],0)),
   ""
)</f>
        <v/>
      </c>
      <c r="G1327" s="7">
        <f>tbl_Ventes[[#This Row],[Qté Vendue]] * IFERROR(_xlfn.XLOOKUP(tbl_Ventes[[#This Row],[Cde_Prdt]], tbl_Produits[Cde_Prdt], tbl_Produits[Prix Menu]), 0)</f>
        <v>0</v>
      </c>
      <c r="H1327" s="7">
        <f>IFERROR(_xlfn.XLOOKUP(tbl_Ventes[[#This Row],[Cde_Prdt]], tbl_Produits[Cde_Prdt], tbl_Produits[Coût Moyen Portion]), 0)</f>
        <v>0</v>
      </c>
      <c r="I1327" s="7">
        <f>tbl_Ventes[[#This Row],[Qté Vendue]] * tbl_Ventes[[#This Row],[CMP_par_portion]]</f>
        <v>0</v>
      </c>
      <c r="J1327" s="7">
        <f>tbl_Ventes[[#This Row],[CA ligne]] - tbl_Ventes[[#This Row],[Coût matière ligne]]</f>
        <v>0</v>
      </c>
      <c r="K1327" s="7" t="str">
        <f>IFERROR(INDEX(tbl_ProduitsRef[Famille], MATCH(tbl_Ventes[[#This Row],[Cde_Prdt]], tbl_Produits[Cde_Prdt], 0)), "")</f>
        <v/>
      </c>
    </row>
    <row r="1328" spans="1:11" x14ac:dyDescent="0.25">
      <c r="A1328" s="5"/>
      <c r="B1328" s="63" t="str">
        <f>IFERROR(TEXT(tbl_Ventes[[#This Row],[Date]],"mm-aaaa"),"")</f>
        <v>01-1900</v>
      </c>
      <c r="D1328" s="10" t="str">
        <f>IFERROR(
   INDEX(tbl_ProduitsRef[Cde_Prdt],MATCH(tbl_Ventes[[#This Row],[Produit]],tbl_ProduitsRef[Produit],0)),
   ""
)</f>
        <v/>
      </c>
      <c r="E1328" s="7">
        <v>0</v>
      </c>
      <c r="F1328" s="7" t="str">
        <f>IFERROR(
   INDEX(tbl_ProduitsRef[Prix Menu],MATCH(tbl_Ventes[[#This Row],[Produit]],tbl_ProduitsRef[Produit],0)),
   ""
)</f>
        <v/>
      </c>
      <c r="G1328" s="7">
        <f>tbl_Ventes[[#This Row],[Qté Vendue]] * IFERROR(_xlfn.XLOOKUP(tbl_Ventes[[#This Row],[Cde_Prdt]], tbl_Produits[Cde_Prdt], tbl_Produits[Prix Menu]), 0)</f>
        <v>0</v>
      </c>
      <c r="H1328" s="7">
        <f>IFERROR(_xlfn.XLOOKUP(tbl_Ventes[[#This Row],[Cde_Prdt]], tbl_Produits[Cde_Prdt], tbl_Produits[Coût Moyen Portion]), 0)</f>
        <v>0</v>
      </c>
      <c r="I1328" s="7">
        <f>tbl_Ventes[[#This Row],[Qté Vendue]] * tbl_Ventes[[#This Row],[CMP_par_portion]]</f>
        <v>0</v>
      </c>
      <c r="J1328" s="7">
        <f>tbl_Ventes[[#This Row],[CA ligne]] - tbl_Ventes[[#This Row],[Coût matière ligne]]</f>
        <v>0</v>
      </c>
      <c r="K1328" s="7" t="str">
        <f>IFERROR(INDEX(tbl_ProduitsRef[Famille], MATCH(tbl_Ventes[[#This Row],[Cde_Prdt]], tbl_Produits[Cde_Prdt], 0)), "")</f>
        <v/>
      </c>
    </row>
    <row r="1329" spans="1:11" x14ac:dyDescent="0.25">
      <c r="A1329" s="5"/>
      <c r="B1329" s="63" t="str">
        <f>IFERROR(TEXT(tbl_Ventes[[#This Row],[Date]],"mm-aaaa"),"")</f>
        <v>01-1900</v>
      </c>
      <c r="D1329" s="10" t="str">
        <f>IFERROR(
   INDEX(tbl_ProduitsRef[Cde_Prdt],MATCH(tbl_Ventes[[#This Row],[Produit]],tbl_ProduitsRef[Produit],0)),
   ""
)</f>
        <v/>
      </c>
      <c r="E1329" s="7">
        <v>0</v>
      </c>
      <c r="F1329" s="7" t="str">
        <f>IFERROR(
   INDEX(tbl_ProduitsRef[Prix Menu],MATCH(tbl_Ventes[[#This Row],[Produit]],tbl_ProduitsRef[Produit],0)),
   ""
)</f>
        <v/>
      </c>
      <c r="G1329" s="7">
        <f>tbl_Ventes[[#This Row],[Qté Vendue]] * IFERROR(_xlfn.XLOOKUP(tbl_Ventes[[#This Row],[Cde_Prdt]], tbl_Produits[Cde_Prdt], tbl_Produits[Prix Menu]), 0)</f>
        <v>0</v>
      </c>
      <c r="H1329" s="7">
        <f>IFERROR(_xlfn.XLOOKUP(tbl_Ventes[[#This Row],[Cde_Prdt]], tbl_Produits[Cde_Prdt], tbl_Produits[Coût Moyen Portion]), 0)</f>
        <v>0</v>
      </c>
      <c r="I1329" s="7">
        <f>tbl_Ventes[[#This Row],[Qté Vendue]] * tbl_Ventes[[#This Row],[CMP_par_portion]]</f>
        <v>0</v>
      </c>
      <c r="J1329" s="7">
        <f>tbl_Ventes[[#This Row],[CA ligne]] - tbl_Ventes[[#This Row],[Coût matière ligne]]</f>
        <v>0</v>
      </c>
      <c r="K1329" s="7" t="str">
        <f>IFERROR(INDEX(tbl_ProduitsRef[Famille], MATCH(tbl_Ventes[[#This Row],[Cde_Prdt]], tbl_Produits[Cde_Prdt], 0)), "")</f>
        <v/>
      </c>
    </row>
    <row r="1330" spans="1:11" x14ac:dyDescent="0.25">
      <c r="A1330" s="5"/>
      <c r="B1330" s="63" t="str">
        <f>IFERROR(TEXT(tbl_Ventes[[#This Row],[Date]],"mm-aaaa"),"")</f>
        <v>01-1900</v>
      </c>
      <c r="D1330" s="10" t="str">
        <f>IFERROR(
   INDEX(tbl_ProduitsRef[Cde_Prdt],MATCH(tbl_Ventes[[#This Row],[Produit]],tbl_ProduitsRef[Produit],0)),
   ""
)</f>
        <v/>
      </c>
      <c r="E1330" s="7">
        <v>0</v>
      </c>
      <c r="F1330" s="7" t="str">
        <f>IFERROR(
   INDEX(tbl_ProduitsRef[Prix Menu],MATCH(tbl_Ventes[[#This Row],[Produit]],tbl_ProduitsRef[Produit],0)),
   ""
)</f>
        <v/>
      </c>
      <c r="G1330" s="7">
        <f>tbl_Ventes[[#This Row],[Qté Vendue]] * IFERROR(_xlfn.XLOOKUP(tbl_Ventes[[#This Row],[Cde_Prdt]], tbl_Produits[Cde_Prdt], tbl_Produits[Prix Menu]), 0)</f>
        <v>0</v>
      </c>
      <c r="H1330" s="7">
        <f>IFERROR(_xlfn.XLOOKUP(tbl_Ventes[[#This Row],[Cde_Prdt]], tbl_Produits[Cde_Prdt], tbl_Produits[Coût Moyen Portion]), 0)</f>
        <v>0</v>
      </c>
      <c r="I1330" s="7">
        <f>tbl_Ventes[[#This Row],[Qté Vendue]] * tbl_Ventes[[#This Row],[CMP_par_portion]]</f>
        <v>0</v>
      </c>
      <c r="J1330" s="7">
        <f>tbl_Ventes[[#This Row],[CA ligne]] - tbl_Ventes[[#This Row],[Coût matière ligne]]</f>
        <v>0</v>
      </c>
      <c r="K1330" s="7" t="str">
        <f>IFERROR(INDEX(tbl_ProduitsRef[Famille], MATCH(tbl_Ventes[[#This Row],[Cde_Prdt]], tbl_Produits[Cde_Prdt], 0)), "")</f>
        <v/>
      </c>
    </row>
    <row r="1331" spans="1:11" x14ac:dyDescent="0.25">
      <c r="A1331" s="5"/>
      <c r="B1331" s="63" t="str">
        <f>IFERROR(TEXT(tbl_Ventes[[#This Row],[Date]],"mm-aaaa"),"")</f>
        <v>01-1900</v>
      </c>
      <c r="D1331" s="10" t="str">
        <f>IFERROR(
   INDEX(tbl_ProduitsRef[Cde_Prdt],MATCH(tbl_Ventes[[#This Row],[Produit]],tbl_ProduitsRef[Produit],0)),
   ""
)</f>
        <v/>
      </c>
      <c r="E1331" s="7">
        <v>0</v>
      </c>
      <c r="F1331" s="7" t="str">
        <f>IFERROR(
   INDEX(tbl_ProduitsRef[Prix Menu],MATCH(tbl_Ventes[[#This Row],[Produit]],tbl_ProduitsRef[Produit],0)),
   ""
)</f>
        <v/>
      </c>
      <c r="G1331" s="7">
        <f>tbl_Ventes[[#This Row],[Qté Vendue]] * IFERROR(_xlfn.XLOOKUP(tbl_Ventes[[#This Row],[Cde_Prdt]], tbl_Produits[Cde_Prdt], tbl_Produits[Prix Menu]), 0)</f>
        <v>0</v>
      </c>
      <c r="H1331" s="7">
        <f>IFERROR(_xlfn.XLOOKUP(tbl_Ventes[[#This Row],[Cde_Prdt]], tbl_Produits[Cde_Prdt], tbl_Produits[Coût Moyen Portion]), 0)</f>
        <v>0</v>
      </c>
      <c r="I1331" s="7">
        <f>tbl_Ventes[[#This Row],[Qté Vendue]] * tbl_Ventes[[#This Row],[CMP_par_portion]]</f>
        <v>0</v>
      </c>
      <c r="J1331" s="7">
        <f>tbl_Ventes[[#This Row],[CA ligne]] - tbl_Ventes[[#This Row],[Coût matière ligne]]</f>
        <v>0</v>
      </c>
      <c r="K1331" s="7" t="str">
        <f>IFERROR(INDEX(tbl_ProduitsRef[Famille], MATCH(tbl_Ventes[[#This Row],[Cde_Prdt]], tbl_Produits[Cde_Prdt], 0)), "")</f>
        <v/>
      </c>
    </row>
    <row r="1332" spans="1:11" x14ac:dyDescent="0.25">
      <c r="A1332" s="5"/>
      <c r="B1332" s="63" t="str">
        <f>IFERROR(TEXT(tbl_Ventes[[#This Row],[Date]],"mm-aaaa"),"")</f>
        <v>01-1900</v>
      </c>
      <c r="D1332" s="10" t="str">
        <f>IFERROR(
   INDEX(tbl_ProduitsRef[Cde_Prdt],MATCH(tbl_Ventes[[#This Row],[Produit]],tbl_ProduitsRef[Produit],0)),
   ""
)</f>
        <v/>
      </c>
      <c r="E1332" s="7">
        <v>0</v>
      </c>
      <c r="F1332" s="7" t="str">
        <f>IFERROR(
   INDEX(tbl_ProduitsRef[Prix Menu],MATCH(tbl_Ventes[[#This Row],[Produit]],tbl_ProduitsRef[Produit],0)),
   ""
)</f>
        <v/>
      </c>
      <c r="G1332" s="7">
        <f>tbl_Ventes[[#This Row],[Qté Vendue]] * IFERROR(_xlfn.XLOOKUP(tbl_Ventes[[#This Row],[Cde_Prdt]], tbl_Produits[Cde_Prdt], tbl_Produits[Prix Menu]), 0)</f>
        <v>0</v>
      </c>
      <c r="H1332" s="7">
        <f>IFERROR(_xlfn.XLOOKUP(tbl_Ventes[[#This Row],[Cde_Prdt]], tbl_Produits[Cde_Prdt], tbl_Produits[Coût Moyen Portion]), 0)</f>
        <v>0</v>
      </c>
      <c r="I1332" s="7">
        <f>tbl_Ventes[[#This Row],[Qté Vendue]] * tbl_Ventes[[#This Row],[CMP_par_portion]]</f>
        <v>0</v>
      </c>
      <c r="J1332" s="7">
        <f>tbl_Ventes[[#This Row],[CA ligne]] - tbl_Ventes[[#This Row],[Coût matière ligne]]</f>
        <v>0</v>
      </c>
      <c r="K1332" s="7" t="str">
        <f>IFERROR(INDEX(tbl_ProduitsRef[Famille], MATCH(tbl_Ventes[[#This Row],[Cde_Prdt]], tbl_Produits[Cde_Prdt], 0)), "")</f>
        <v/>
      </c>
    </row>
    <row r="1333" spans="1:11" x14ac:dyDescent="0.25">
      <c r="A1333" s="5"/>
      <c r="B1333" s="63" t="str">
        <f>IFERROR(TEXT(tbl_Ventes[[#This Row],[Date]],"mm-aaaa"),"")</f>
        <v>01-1900</v>
      </c>
      <c r="D1333" s="10" t="str">
        <f>IFERROR(
   INDEX(tbl_ProduitsRef[Cde_Prdt],MATCH(tbl_Ventes[[#This Row],[Produit]],tbl_ProduitsRef[Produit],0)),
   ""
)</f>
        <v/>
      </c>
      <c r="E1333" s="7">
        <v>0</v>
      </c>
      <c r="F1333" s="7" t="str">
        <f>IFERROR(
   INDEX(tbl_ProduitsRef[Prix Menu],MATCH(tbl_Ventes[[#This Row],[Produit]],tbl_ProduitsRef[Produit],0)),
   ""
)</f>
        <v/>
      </c>
      <c r="G1333" s="7">
        <f>tbl_Ventes[[#This Row],[Qté Vendue]] * IFERROR(_xlfn.XLOOKUP(tbl_Ventes[[#This Row],[Cde_Prdt]], tbl_Produits[Cde_Prdt], tbl_Produits[Prix Menu]), 0)</f>
        <v>0</v>
      </c>
      <c r="H1333" s="7">
        <f>IFERROR(_xlfn.XLOOKUP(tbl_Ventes[[#This Row],[Cde_Prdt]], tbl_Produits[Cde_Prdt], tbl_Produits[Coût Moyen Portion]), 0)</f>
        <v>0</v>
      </c>
      <c r="I1333" s="7">
        <f>tbl_Ventes[[#This Row],[Qté Vendue]] * tbl_Ventes[[#This Row],[CMP_par_portion]]</f>
        <v>0</v>
      </c>
      <c r="J1333" s="7">
        <f>tbl_Ventes[[#This Row],[CA ligne]] - tbl_Ventes[[#This Row],[Coût matière ligne]]</f>
        <v>0</v>
      </c>
      <c r="K1333" s="7" t="str">
        <f>IFERROR(INDEX(tbl_ProduitsRef[Famille], MATCH(tbl_Ventes[[#This Row],[Cde_Prdt]], tbl_Produits[Cde_Prdt], 0)), "")</f>
        <v/>
      </c>
    </row>
    <row r="1334" spans="1:11" x14ac:dyDescent="0.25">
      <c r="A1334" s="5"/>
      <c r="B1334" s="63" t="str">
        <f>IFERROR(TEXT(tbl_Ventes[[#This Row],[Date]],"mm-aaaa"),"")</f>
        <v>01-1900</v>
      </c>
      <c r="D1334" s="10" t="str">
        <f>IFERROR(
   INDEX(tbl_ProduitsRef[Cde_Prdt],MATCH(tbl_Ventes[[#This Row],[Produit]],tbl_ProduitsRef[Produit],0)),
   ""
)</f>
        <v/>
      </c>
      <c r="E1334" s="7">
        <v>0</v>
      </c>
      <c r="F1334" s="7" t="str">
        <f>IFERROR(
   INDEX(tbl_ProduitsRef[Prix Menu],MATCH(tbl_Ventes[[#This Row],[Produit]],tbl_ProduitsRef[Produit],0)),
   ""
)</f>
        <v/>
      </c>
      <c r="G1334" s="7">
        <f>tbl_Ventes[[#This Row],[Qté Vendue]] * IFERROR(_xlfn.XLOOKUP(tbl_Ventes[[#This Row],[Cde_Prdt]], tbl_Produits[Cde_Prdt], tbl_Produits[Prix Menu]), 0)</f>
        <v>0</v>
      </c>
      <c r="H1334" s="7">
        <f>IFERROR(_xlfn.XLOOKUP(tbl_Ventes[[#This Row],[Cde_Prdt]], tbl_Produits[Cde_Prdt], tbl_Produits[Coût Moyen Portion]), 0)</f>
        <v>0</v>
      </c>
      <c r="I1334" s="7">
        <f>tbl_Ventes[[#This Row],[Qté Vendue]] * tbl_Ventes[[#This Row],[CMP_par_portion]]</f>
        <v>0</v>
      </c>
      <c r="J1334" s="7">
        <f>tbl_Ventes[[#This Row],[CA ligne]] - tbl_Ventes[[#This Row],[Coût matière ligne]]</f>
        <v>0</v>
      </c>
      <c r="K1334" s="7" t="str">
        <f>IFERROR(INDEX(tbl_ProduitsRef[Famille], MATCH(tbl_Ventes[[#This Row],[Cde_Prdt]], tbl_Produits[Cde_Prdt], 0)), "")</f>
        <v/>
      </c>
    </row>
    <row r="1335" spans="1:11" x14ac:dyDescent="0.25">
      <c r="A1335" s="5"/>
      <c r="B1335" s="63" t="str">
        <f>IFERROR(TEXT(tbl_Ventes[[#This Row],[Date]],"mm-aaaa"),"")</f>
        <v>01-1900</v>
      </c>
      <c r="D1335" s="10" t="str">
        <f>IFERROR(
   INDEX(tbl_ProduitsRef[Cde_Prdt],MATCH(tbl_Ventes[[#This Row],[Produit]],tbl_ProduitsRef[Produit],0)),
   ""
)</f>
        <v/>
      </c>
      <c r="E1335" s="7">
        <v>0</v>
      </c>
      <c r="F1335" s="7" t="str">
        <f>IFERROR(
   INDEX(tbl_ProduitsRef[Prix Menu],MATCH(tbl_Ventes[[#This Row],[Produit]],tbl_ProduitsRef[Produit],0)),
   ""
)</f>
        <v/>
      </c>
      <c r="G1335" s="7">
        <f>tbl_Ventes[[#This Row],[Qté Vendue]] * IFERROR(_xlfn.XLOOKUP(tbl_Ventes[[#This Row],[Cde_Prdt]], tbl_Produits[Cde_Prdt], tbl_Produits[Prix Menu]), 0)</f>
        <v>0</v>
      </c>
      <c r="H1335" s="7">
        <f>IFERROR(_xlfn.XLOOKUP(tbl_Ventes[[#This Row],[Cde_Prdt]], tbl_Produits[Cde_Prdt], tbl_Produits[Coût Moyen Portion]), 0)</f>
        <v>0</v>
      </c>
      <c r="I1335" s="7">
        <f>tbl_Ventes[[#This Row],[Qté Vendue]] * tbl_Ventes[[#This Row],[CMP_par_portion]]</f>
        <v>0</v>
      </c>
      <c r="J1335" s="7">
        <f>tbl_Ventes[[#This Row],[CA ligne]] - tbl_Ventes[[#This Row],[Coût matière ligne]]</f>
        <v>0</v>
      </c>
      <c r="K1335" s="7" t="str">
        <f>IFERROR(INDEX(tbl_ProduitsRef[Famille], MATCH(tbl_Ventes[[#This Row],[Cde_Prdt]], tbl_Produits[Cde_Prdt], 0)), "")</f>
        <v/>
      </c>
    </row>
    <row r="1336" spans="1:11" x14ac:dyDescent="0.25">
      <c r="A1336" s="5"/>
      <c r="B1336" s="63" t="str">
        <f>IFERROR(TEXT(tbl_Ventes[[#This Row],[Date]],"mm-aaaa"),"")</f>
        <v>01-1900</v>
      </c>
      <c r="D1336" s="10" t="str">
        <f>IFERROR(
   INDEX(tbl_ProduitsRef[Cde_Prdt],MATCH(tbl_Ventes[[#This Row],[Produit]],tbl_ProduitsRef[Produit],0)),
   ""
)</f>
        <v/>
      </c>
      <c r="E1336" s="7">
        <v>0</v>
      </c>
      <c r="F1336" s="7" t="str">
        <f>IFERROR(
   INDEX(tbl_ProduitsRef[Prix Menu],MATCH(tbl_Ventes[[#This Row],[Produit]],tbl_ProduitsRef[Produit],0)),
   ""
)</f>
        <v/>
      </c>
      <c r="G1336" s="7">
        <f>tbl_Ventes[[#This Row],[Qté Vendue]] * IFERROR(_xlfn.XLOOKUP(tbl_Ventes[[#This Row],[Cde_Prdt]], tbl_Produits[Cde_Prdt], tbl_Produits[Prix Menu]), 0)</f>
        <v>0</v>
      </c>
      <c r="H1336" s="7">
        <f>IFERROR(_xlfn.XLOOKUP(tbl_Ventes[[#This Row],[Cde_Prdt]], tbl_Produits[Cde_Prdt], tbl_Produits[Coût Moyen Portion]), 0)</f>
        <v>0</v>
      </c>
      <c r="I1336" s="7">
        <f>tbl_Ventes[[#This Row],[Qté Vendue]] * tbl_Ventes[[#This Row],[CMP_par_portion]]</f>
        <v>0</v>
      </c>
      <c r="J1336" s="7">
        <f>tbl_Ventes[[#This Row],[CA ligne]] - tbl_Ventes[[#This Row],[Coût matière ligne]]</f>
        <v>0</v>
      </c>
      <c r="K1336" s="7" t="str">
        <f>IFERROR(INDEX(tbl_ProduitsRef[Famille], MATCH(tbl_Ventes[[#This Row],[Cde_Prdt]], tbl_Produits[Cde_Prdt], 0)), "")</f>
        <v/>
      </c>
    </row>
    <row r="1337" spans="1:11" x14ac:dyDescent="0.25">
      <c r="A1337" s="5"/>
      <c r="B1337" s="63" t="str">
        <f>IFERROR(TEXT(tbl_Ventes[[#This Row],[Date]],"mm-aaaa"),"")</f>
        <v>01-1900</v>
      </c>
      <c r="D1337" s="10" t="str">
        <f>IFERROR(
   INDEX(tbl_ProduitsRef[Cde_Prdt],MATCH(tbl_Ventes[[#This Row],[Produit]],tbl_ProduitsRef[Produit],0)),
   ""
)</f>
        <v/>
      </c>
      <c r="E1337" s="7">
        <v>0</v>
      </c>
      <c r="F1337" s="7" t="str">
        <f>IFERROR(
   INDEX(tbl_ProduitsRef[Prix Menu],MATCH(tbl_Ventes[[#This Row],[Produit]],tbl_ProduitsRef[Produit],0)),
   ""
)</f>
        <v/>
      </c>
      <c r="G1337" s="7">
        <f>tbl_Ventes[[#This Row],[Qté Vendue]] * IFERROR(_xlfn.XLOOKUP(tbl_Ventes[[#This Row],[Cde_Prdt]], tbl_Produits[Cde_Prdt], tbl_Produits[Prix Menu]), 0)</f>
        <v>0</v>
      </c>
      <c r="H1337" s="7">
        <f>IFERROR(_xlfn.XLOOKUP(tbl_Ventes[[#This Row],[Cde_Prdt]], tbl_Produits[Cde_Prdt], tbl_Produits[Coût Moyen Portion]), 0)</f>
        <v>0</v>
      </c>
      <c r="I1337" s="7">
        <f>tbl_Ventes[[#This Row],[Qté Vendue]] * tbl_Ventes[[#This Row],[CMP_par_portion]]</f>
        <v>0</v>
      </c>
      <c r="J1337" s="7">
        <f>tbl_Ventes[[#This Row],[CA ligne]] - tbl_Ventes[[#This Row],[Coût matière ligne]]</f>
        <v>0</v>
      </c>
      <c r="K1337" s="7" t="str">
        <f>IFERROR(INDEX(tbl_ProduitsRef[Famille], MATCH(tbl_Ventes[[#This Row],[Cde_Prdt]], tbl_Produits[Cde_Prdt], 0)), "")</f>
        <v/>
      </c>
    </row>
    <row r="1338" spans="1:11" x14ac:dyDescent="0.25">
      <c r="A1338" s="5"/>
      <c r="B1338" s="63" t="str">
        <f>IFERROR(TEXT(tbl_Ventes[[#This Row],[Date]],"mm-aaaa"),"")</f>
        <v>01-1900</v>
      </c>
      <c r="D1338" s="10" t="str">
        <f>IFERROR(
   INDEX(tbl_ProduitsRef[Cde_Prdt],MATCH(tbl_Ventes[[#This Row],[Produit]],tbl_ProduitsRef[Produit],0)),
   ""
)</f>
        <v/>
      </c>
      <c r="E1338" s="7">
        <v>0</v>
      </c>
      <c r="F1338" s="7" t="str">
        <f>IFERROR(
   INDEX(tbl_ProduitsRef[Prix Menu],MATCH(tbl_Ventes[[#This Row],[Produit]],tbl_ProduitsRef[Produit],0)),
   ""
)</f>
        <v/>
      </c>
      <c r="G1338" s="7">
        <f>tbl_Ventes[[#This Row],[Qté Vendue]] * IFERROR(_xlfn.XLOOKUP(tbl_Ventes[[#This Row],[Cde_Prdt]], tbl_Produits[Cde_Prdt], tbl_Produits[Prix Menu]), 0)</f>
        <v>0</v>
      </c>
      <c r="H1338" s="7">
        <f>IFERROR(_xlfn.XLOOKUP(tbl_Ventes[[#This Row],[Cde_Prdt]], tbl_Produits[Cde_Prdt], tbl_Produits[Coût Moyen Portion]), 0)</f>
        <v>0</v>
      </c>
      <c r="I1338" s="7">
        <f>tbl_Ventes[[#This Row],[Qté Vendue]] * tbl_Ventes[[#This Row],[CMP_par_portion]]</f>
        <v>0</v>
      </c>
      <c r="J1338" s="7">
        <f>tbl_Ventes[[#This Row],[CA ligne]] - tbl_Ventes[[#This Row],[Coût matière ligne]]</f>
        <v>0</v>
      </c>
      <c r="K1338" s="7" t="str">
        <f>IFERROR(INDEX(tbl_ProduitsRef[Famille], MATCH(tbl_Ventes[[#This Row],[Cde_Prdt]], tbl_Produits[Cde_Prdt], 0)), "")</f>
        <v/>
      </c>
    </row>
    <row r="1339" spans="1:11" x14ac:dyDescent="0.25">
      <c r="A1339" s="5"/>
      <c r="B1339" s="63" t="str">
        <f>IFERROR(TEXT(tbl_Ventes[[#This Row],[Date]],"mm-aaaa"),"")</f>
        <v>01-1900</v>
      </c>
      <c r="D1339" s="10" t="str">
        <f>IFERROR(
   INDEX(tbl_ProduitsRef[Cde_Prdt],MATCH(tbl_Ventes[[#This Row],[Produit]],tbl_ProduitsRef[Produit],0)),
   ""
)</f>
        <v/>
      </c>
      <c r="E1339" s="7">
        <v>0</v>
      </c>
      <c r="F1339" s="7" t="str">
        <f>IFERROR(
   INDEX(tbl_ProduitsRef[Prix Menu],MATCH(tbl_Ventes[[#This Row],[Produit]],tbl_ProduitsRef[Produit],0)),
   ""
)</f>
        <v/>
      </c>
      <c r="G1339" s="7">
        <f>tbl_Ventes[[#This Row],[Qté Vendue]] * IFERROR(_xlfn.XLOOKUP(tbl_Ventes[[#This Row],[Cde_Prdt]], tbl_Produits[Cde_Prdt], tbl_Produits[Prix Menu]), 0)</f>
        <v>0</v>
      </c>
      <c r="H1339" s="7">
        <f>IFERROR(_xlfn.XLOOKUP(tbl_Ventes[[#This Row],[Cde_Prdt]], tbl_Produits[Cde_Prdt], tbl_Produits[Coût Moyen Portion]), 0)</f>
        <v>0</v>
      </c>
      <c r="I1339" s="7">
        <f>tbl_Ventes[[#This Row],[Qté Vendue]] * tbl_Ventes[[#This Row],[CMP_par_portion]]</f>
        <v>0</v>
      </c>
      <c r="J1339" s="7">
        <f>tbl_Ventes[[#This Row],[CA ligne]] - tbl_Ventes[[#This Row],[Coût matière ligne]]</f>
        <v>0</v>
      </c>
      <c r="K1339" s="7" t="str">
        <f>IFERROR(INDEX(tbl_ProduitsRef[Famille], MATCH(tbl_Ventes[[#This Row],[Cde_Prdt]], tbl_Produits[Cde_Prdt], 0)), "")</f>
        <v/>
      </c>
    </row>
    <row r="1340" spans="1:11" x14ac:dyDescent="0.25">
      <c r="A1340" s="5"/>
      <c r="B1340" s="63" t="str">
        <f>IFERROR(TEXT(tbl_Ventes[[#This Row],[Date]],"mm-aaaa"),"")</f>
        <v>01-1900</v>
      </c>
      <c r="D1340" s="10" t="str">
        <f>IFERROR(
   INDEX(tbl_ProduitsRef[Cde_Prdt],MATCH(tbl_Ventes[[#This Row],[Produit]],tbl_ProduitsRef[Produit],0)),
   ""
)</f>
        <v/>
      </c>
      <c r="E1340" s="7">
        <v>0</v>
      </c>
      <c r="F1340" s="7" t="str">
        <f>IFERROR(
   INDEX(tbl_ProduitsRef[Prix Menu],MATCH(tbl_Ventes[[#This Row],[Produit]],tbl_ProduitsRef[Produit],0)),
   ""
)</f>
        <v/>
      </c>
      <c r="G1340" s="7">
        <f>tbl_Ventes[[#This Row],[Qté Vendue]] * IFERROR(_xlfn.XLOOKUP(tbl_Ventes[[#This Row],[Cde_Prdt]], tbl_Produits[Cde_Prdt], tbl_Produits[Prix Menu]), 0)</f>
        <v>0</v>
      </c>
      <c r="H1340" s="7">
        <f>IFERROR(_xlfn.XLOOKUP(tbl_Ventes[[#This Row],[Cde_Prdt]], tbl_Produits[Cde_Prdt], tbl_Produits[Coût Moyen Portion]), 0)</f>
        <v>0</v>
      </c>
      <c r="I1340" s="7">
        <f>tbl_Ventes[[#This Row],[Qté Vendue]] * tbl_Ventes[[#This Row],[CMP_par_portion]]</f>
        <v>0</v>
      </c>
      <c r="J1340" s="7">
        <f>tbl_Ventes[[#This Row],[CA ligne]] - tbl_Ventes[[#This Row],[Coût matière ligne]]</f>
        <v>0</v>
      </c>
      <c r="K1340" s="7" t="str">
        <f>IFERROR(INDEX(tbl_ProduitsRef[Famille], MATCH(tbl_Ventes[[#This Row],[Cde_Prdt]], tbl_Produits[Cde_Prdt], 0)), "")</f>
        <v/>
      </c>
    </row>
    <row r="1341" spans="1:11" x14ac:dyDescent="0.25">
      <c r="A1341" s="5"/>
      <c r="B1341" s="63" t="str">
        <f>IFERROR(TEXT(tbl_Ventes[[#This Row],[Date]],"mm-aaaa"),"")</f>
        <v>01-1900</v>
      </c>
      <c r="D1341" s="10" t="str">
        <f>IFERROR(
   INDEX(tbl_ProduitsRef[Cde_Prdt],MATCH(tbl_Ventes[[#This Row],[Produit]],tbl_ProduitsRef[Produit],0)),
   ""
)</f>
        <v/>
      </c>
      <c r="E1341" s="7">
        <v>0</v>
      </c>
      <c r="F1341" s="7" t="str">
        <f>IFERROR(
   INDEX(tbl_ProduitsRef[Prix Menu],MATCH(tbl_Ventes[[#This Row],[Produit]],tbl_ProduitsRef[Produit],0)),
   ""
)</f>
        <v/>
      </c>
      <c r="G1341" s="7">
        <f>tbl_Ventes[[#This Row],[Qté Vendue]] * IFERROR(_xlfn.XLOOKUP(tbl_Ventes[[#This Row],[Cde_Prdt]], tbl_Produits[Cde_Prdt], tbl_Produits[Prix Menu]), 0)</f>
        <v>0</v>
      </c>
      <c r="H1341" s="7">
        <f>IFERROR(_xlfn.XLOOKUP(tbl_Ventes[[#This Row],[Cde_Prdt]], tbl_Produits[Cde_Prdt], tbl_Produits[Coût Moyen Portion]), 0)</f>
        <v>0</v>
      </c>
      <c r="I1341" s="7">
        <f>tbl_Ventes[[#This Row],[Qté Vendue]] * tbl_Ventes[[#This Row],[CMP_par_portion]]</f>
        <v>0</v>
      </c>
      <c r="J1341" s="7">
        <f>tbl_Ventes[[#This Row],[CA ligne]] - tbl_Ventes[[#This Row],[Coût matière ligne]]</f>
        <v>0</v>
      </c>
      <c r="K1341" s="7" t="str">
        <f>IFERROR(INDEX(tbl_ProduitsRef[Famille], MATCH(tbl_Ventes[[#This Row],[Cde_Prdt]], tbl_Produits[Cde_Prdt], 0)), "")</f>
        <v/>
      </c>
    </row>
    <row r="1342" spans="1:11" x14ac:dyDescent="0.25">
      <c r="A1342" s="5"/>
      <c r="B1342" s="63" t="str">
        <f>IFERROR(TEXT(tbl_Ventes[[#This Row],[Date]],"mm-aaaa"),"")</f>
        <v>01-1900</v>
      </c>
      <c r="D1342" s="10" t="str">
        <f>IFERROR(
   INDEX(tbl_ProduitsRef[Cde_Prdt],MATCH(tbl_Ventes[[#This Row],[Produit]],tbl_ProduitsRef[Produit],0)),
   ""
)</f>
        <v/>
      </c>
      <c r="E1342" s="7">
        <v>0</v>
      </c>
      <c r="F1342" s="7" t="str">
        <f>IFERROR(
   INDEX(tbl_ProduitsRef[Prix Menu],MATCH(tbl_Ventes[[#This Row],[Produit]],tbl_ProduitsRef[Produit],0)),
   ""
)</f>
        <v/>
      </c>
      <c r="G1342" s="7">
        <f>tbl_Ventes[[#This Row],[Qté Vendue]] * IFERROR(_xlfn.XLOOKUP(tbl_Ventes[[#This Row],[Cde_Prdt]], tbl_Produits[Cde_Prdt], tbl_Produits[Prix Menu]), 0)</f>
        <v>0</v>
      </c>
      <c r="H1342" s="7">
        <f>IFERROR(_xlfn.XLOOKUP(tbl_Ventes[[#This Row],[Cde_Prdt]], tbl_Produits[Cde_Prdt], tbl_Produits[Coût Moyen Portion]), 0)</f>
        <v>0</v>
      </c>
      <c r="I1342" s="7">
        <f>tbl_Ventes[[#This Row],[Qté Vendue]] * tbl_Ventes[[#This Row],[CMP_par_portion]]</f>
        <v>0</v>
      </c>
      <c r="J1342" s="7">
        <f>tbl_Ventes[[#This Row],[CA ligne]] - tbl_Ventes[[#This Row],[Coût matière ligne]]</f>
        <v>0</v>
      </c>
      <c r="K1342" s="7" t="str">
        <f>IFERROR(INDEX(tbl_ProduitsRef[Famille], MATCH(tbl_Ventes[[#This Row],[Cde_Prdt]], tbl_Produits[Cde_Prdt], 0)), "")</f>
        <v/>
      </c>
    </row>
    <row r="1343" spans="1:11" x14ac:dyDescent="0.25">
      <c r="A1343" s="5"/>
      <c r="B1343" s="63" t="str">
        <f>IFERROR(TEXT(tbl_Ventes[[#This Row],[Date]],"mm-aaaa"),"")</f>
        <v>01-1900</v>
      </c>
      <c r="D1343" s="10" t="str">
        <f>IFERROR(
   INDEX(tbl_ProduitsRef[Cde_Prdt],MATCH(tbl_Ventes[[#This Row],[Produit]],tbl_ProduitsRef[Produit],0)),
   ""
)</f>
        <v/>
      </c>
      <c r="E1343" s="7">
        <v>0</v>
      </c>
      <c r="F1343" s="7" t="str">
        <f>IFERROR(
   INDEX(tbl_ProduitsRef[Prix Menu],MATCH(tbl_Ventes[[#This Row],[Produit]],tbl_ProduitsRef[Produit],0)),
   ""
)</f>
        <v/>
      </c>
      <c r="G1343" s="7">
        <f>tbl_Ventes[[#This Row],[Qté Vendue]] * IFERROR(_xlfn.XLOOKUP(tbl_Ventes[[#This Row],[Cde_Prdt]], tbl_Produits[Cde_Prdt], tbl_Produits[Prix Menu]), 0)</f>
        <v>0</v>
      </c>
      <c r="H1343" s="7">
        <f>IFERROR(_xlfn.XLOOKUP(tbl_Ventes[[#This Row],[Cde_Prdt]], tbl_Produits[Cde_Prdt], tbl_Produits[Coût Moyen Portion]), 0)</f>
        <v>0</v>
      </c>
      <c r="I1343" s="7">
        <f>tbl_Ventes[[#This Row],[Qté Vendue]] * tbl_Ventes[[#This Row],[CMP_par_portion]]</f>
        <v>0</v>
      </c>
      <c r="J1343" s="7">
        <f>tbl_Ventes[[#This Row],[CA ligne]] - tbl_Ventes[[#This Row],[Coût matière ligne]]</f>
        <v>0</v>
      </c>
      <c r="K1343" s="7" t="str">
        <f>IFERROR(INDEX(tbl_ProduitsRef[Famille], MATCH(tbl_Ventes[[#This Row],[Cde_Prdt]], tbl_Produits[Cde_Prdt], 0)), "")</f>
        <v/>
      </c>
    </row>
    <row r="1344" spans="1:11" x14ac:dyDescent="0.25">
      <c r="A1344" s="5"/>
      <c r="B1344" s="63" t="str">
        <f>IFERROR(TEXT(tbl_Ventes[[#This Row],[Date]],"mm-aaaa"),"")</f>
        <v>01-1900</v>
      </c>
      <c r="D1344" s="10" t="str">
        <f>IFERROR(
   INDEX(tbl_ProduitsRef[Cde_Prdt],MATCH(tbl_Ventes[[#This Row],[Produit]],tbl_ProduitsRef[Produit],0)),
   ""
)</f>
        <v/>
      </c>
      <c r="E1344" s="7">
        <v>0</v>
      </c>
      <c r="F1344" s="7" t="str">
        <f>IFERROR(
   INDEX(tbl_ProduitsRef[Prix Menu],MATCH(tbl_Ventes[[#This Row],[Produit]],tbl_ProduitsRef[Produit],0)),
   ""
)</f>
        <v/>
      </c>
      <c r="G1344" s="7">
        <f>tbl_Ventes[[#This Row],[Qté Vendue]] * IFERROR(_xlfn.XLOOKUP(tbl_Ventes[[#This Row],[Cde_Prdt]], tbl_Produits[Cde_Prdt], tbl_Produits[Prix Menu]), 0)</f>
        <v>0</v>
      </c>
      <c r="H1344" s="7">
        <f>IFERROR(_xlfn.XLOOKUP(tbl_Ventes[[#This Row],[Cde_Prdt]], tbl_Produits[Cde_Prdt], tbl_Produits[Coût Moyen Portion]), 0)</f>
        <v>0</v>
      </c>
      <c r="I1344" s="7">
        <f>tbl_Ventes[[#This Row],[Qté Vendue]] * tbl_Ventes[[#This Row],[CMP_par_portion]]</f>
        <v>0</v>
      </c>
      <c r="J1344" s="7">
        <f>tbl_Ventes[[#This Row],[CA ligne]] - tbl_Ventes[[#This Row],[Coût matière ligne]]</f>
        <v>0</v>
      </c>
      <c r="K1344" s="7" t="str">
        <f>IFERROR(INDEX(tbl_ProduitsRef[Famille], MATCH(tbl_Ventes[[#This Row],[Cde_Prdt]], tbl_Produits[Cde_Prdt], 0)), "")</f>
        <v/>
      </c>
    </row>
    <row r="1345" spans="1:11" x14ac:dyDescent="0.25">
      <c r="A1345" s="5"/>
      <c r="B1345" s="63" t="str">
        <f>IFERROR(TEXT(tbl_Ventes[[#This Row],[Date]],"mm-aaaa"),"")</f>
        <v>01-1900</v>
      </c>
      <c r="D1345" s="10" t="str">
        <f>IFERROR(
   INDEX(tbl_ProduitsRef[Cde_Prdt],MATCH(tbl_Ventes[[#This Row],[Produit]],tbl_ProduitsRef[Produit],0)),
   ""
)</f>
        <v/>
      </c>
      <c r="E1345" s="7">
        <v>0</v>
      </c>
      <c r="F1345" s="7" t="str">
        <f>IFERROR(
   INDEX(tbl_ProduitsRef[Prix Menu],MATCH(tbl_Ventes[[#This Row],[Produit]],tbl_ProduitsRef[Produit],0)),
   ""
)</f>
        <v/>
      </c>
      <c r="G1345" s="7">
        <f>tbl_Ventes[[#This Row],[Qté Vendue]] * IFERROR(_xlfn.XLOOKUP(tbl_Ventes[[#This Row],[Cde_Prdt]], tbl_Produits[Cde_Prdt], tbl_Produits[Prix Menu]), 0)</f>
        <v>0</v>
      </c>
      <c r="H1345" s="7">
        <f>IFERROR(_xlfn.XLOOKUP(tbl_Ventes[[#This Row],[Cde_Prdt]], tbl_Produits[Cde_Prdt], tbl_Produits[Coût Moyen Portion]), 0)</f>
        <v>0</v>
      </c>
      <c r="I1345" s="7">
        <f>tbl_Ventes[[#This Row],[Qté Vendue]] * tbl_Ventes[[#This Row],[CMP_par_portion]]</f>
        <v>0</v>
      </c>
      <c r="J1345" s="7">
        <f>tbl_Ventes[[#This Row],[CA ligne]] - tbl_Ventes[[#This Row],[Coût matière ligne]]</f>
        <v>0</v>
      </c>
      <c r="K1345" s="7" t="str">
        <f>IFERROR(INDEX(tbl_ProduitsRef[Famille], MATCH(tbl_Ventes[[#This Row],[Cde_Prdt]], tbl_Produits[Cde_Prdt], 0)), "")</f>
        <v/>
      </c>
    </row>
    <row r="1346" spans="1:11" x14ac:dyDescent="0.25">
      <c r="A1346" s="5"/>
      <c r="B1346" s="63" t="str">
        <f>IFERROR(TEXT(tbl_Ventes[[#This Row],[Date]],"mm-aaaa"),"")</f>
        <v>01-1900</v>
      </c>
      <c r="D1346" s="10" t="str">
        <f>IFERROR(
   INDEX(tbl_ProduitsRef[Cde_Prdt],MATCH(tbl_Ventes[[#This Row],[Produit]],tbl_ProduitsRef[Produit],0)),
   ""
)</f>
        <v/>
      </c>
      <c r="E1346" s="7">
        <v>0</v>
      </c>
      <c r="F1346" s="7" t="str">
        <f>IFERROR(
   INDEX(tbl_ProduitsRef[Prix Menu],MATCH(tbl_Ventes[[#This Row],[Produit]],tbl_ProduitsRef[Produit],0)),
   ""
)</f>
        <v/>
      </c>
      <c r="G1346" s="7">
        <f>tbl_Ventes[[#This Row],[Qté Vendue]] * IFERROR(_xlfn.XLOOKUP(tbl_Ventes[[#This Row],[Cde_Prdt]], tbl_Produits[Cde_Prdt], tbl_Produits[Prix Menu]), 0)</f>
        <v>0</v>
      </c>
      <c r="H1346" s="7">
        <f>IFERROR(_xlfn.XLOOKUP(tbl_Ventes[[#This Row],[Cde_Prdt]], tbl_Produits[Cde_Prdt], tbl_Produits[Coût Moyen Portion]), 0)</f>
        <v>0</v>
      </c>
      <c r="I1346" s="7">
        <f>tbl_Ventes[[#This Row],[Qté Vendue]] * tbl_Ventes[[#This Row],[CMP_par_portion]]</f>
        <v>0</v>
      </c>
      <c r="J1346" s="7">
        <f>tbl_Ventes[[#This Row],[CA ligne]] - tbl_Ventes[[#This Row],[Coût matière ligne]]</f>
        <v>0</v>
      </c>
      <c r="K1346" s="7" t="str">
        <f>IFERROR(INDEX(tbl_ProduitsRef[Famille], MATCH(tbl_Ventes[[#This Row],[Cde_Prdt]], tbl_Produits[Cde_Prdt], 0)), "")</f>
        <v/>
      </c>
    </row>
    <row r="1347" spans="1:11" x14ac:dyDescent="0.25">
      <c r="A1347" s="5"/>
      <c r="B1347" s="63" t="str">
        <f>IFERROR(TEXT(tbl_Ventes[[#This Row],[Date]],"mm-aaaa"),"")</f>
        <v>01-1900</v>
      </c>
      <c r="D1347" s="10" t="str">
        <f>IFERROR(
   INDEX(tbl_ProduitsRef[Cde_Prdt],MATCH(tbl_Ventes[[#This Row],[Produit]],tbl_ProduitsRef[Produit],0)),
   ""
)</f>
        <v/>
      </c>
      <c r="E1347" s="7">
        <v>0</v>
      </c>
      <c r="F1347" s="7" t="str">
        <f>IFERROR(
   INDEX(tbl_ProduitsRef[Prix Menu],MATCH(tbl_Ventes[[#This Row],[Produit]],tbl_ProduitsRef[Produit],0)),
   ""
)</f>
        <v/>
      </c>
      <c r="G1347" s="7">
        <f>tbl_Ventes[[#This Row],[Qté Vendue]] * IFERROR(_xlfn.XLOOKUP(tbl_Ventes[[#This Row],[Cde_Prdt]], tbl_Produits[Cde_Prdt], tbl_Produits[Prix Menu]), 0)</f>
        <v>0</v>
      </c>
      <c r="H1347" s="7">
        <f>IFERROR(_xlfn.XLOOKUP(tbl_Ventes[[#This Row],[Cde_Prdt]], tbl_Produits[Cde_Prdt], tbl_Produits[Coût Moyen Portion]), 0)</f>
        <v>0</v>
      </c>
      <c r="I1347" s="7">
        <f>tbl_Ventes[[#This Row],[Qté Vendue]] * tbl_Ventes[[#This Row],[CMP_par_portion]]</f>
        <v>0</v>
      </c>
      <c r="J1347" s="7">
        <f>tbl_Ventes[[#This Row],[CA ligne]] - tbl_Ventes[[#This Row],[Coût matière ligne]]</f>
        <v>0</v>
      </c>
      <c r="K1347" s="7" t="str">
        <f>IFERROR(INDEX(tbl_ProduitsRef[Famille], MATCH(tbl_Ventes[[#This Row],[Cde_Prdt]], tbl_Produits[Cde_Prdt], 0)), "")</f>
        <v/>
      </c>
    </row>
    <row r="1348" spans="1:11" x14ac:dyDescent="0.25">
      <c r="A1348" s="5"/>
      <c r="B1348" s="63" t="str">
        <f>IFERROR(TEXT(tbl_Ventes[[#This Row],[Date]],"mm-aaaa"),"")</f>
        <v>01-1900</v>
      </c>
      <c r="D1348" s="10" t="str">
        <f>IFERROR(
   INDEX(tbl_ProduitsRef[Cde_Prdt],MATCH(tbl_Ventes[[#This Row],[Produit]],tbl_ProduitsRef[Produit],0)),
   ""
)</f>
        <v/>
      </c>
      <c r="E1348" s="7">
        <v>0</v>
      </c>
      <c r="F1348" s="7" t="str">
        <f>IFERROR(
   INDEX(tbl_ProduitsRef[Prix Menu],MATCH(tbl_Ventes[[#This Row],[Produit]],tbl_ProduitsRef[Produit],0)),
   ""
)</f>
        <v/>
      </c>
      <c r="G1348" s="7">
        <f>tbl_Ventes[[#This Row],[Qté Vendue]] * IFERROR(_xlfn.XLOOKUP(tbl_Ventes[[#This Row],[Cde_Prdt]], tbl_Produits[Cde_Prdt], tbl_Produits[Prix Menu]), 0)</f>
        <v>0</v>
      </c>
      <c r="H1348" s="7">
        <f>IFERROR(_xlfn.XLOOKUP(tbl_Ventes[[#This Row],[Cde_Prdt]], tbl_Produits[Cde_Prdt], tbl_Produits[Coût Moyen Portion]), 0)</f>
        <v>0</v>
      </c>
      <c r="I1348" s="7">
        <f>tbl_Ventes[[#This Row],[Qté Vendue]] * tbl_Ventes[[#This Row],[CMP_par_portion]]</f>
        <v>0</v>
      </c>
      <c r="J1348" s="7">
        <f>tbl_Ventes[[#This Row],[CA ligne]] - tbl_Ventes[[#This Row],[Coût matière ligne]]</f>
        <v>0</v>
      </c>
      <c r="K1348" s="7" t="str">
        <f>IFERROR(INDEX(tbl_ProduitsRef[Famille], MATCH(tbl_Ventes[[#This Row],[Cde_Prdt]], tbl_Produits[Cde_Prdt], 0)), "")</f>
        <v/>
      </c>
    </row>
    <row r="1349" spans="1:11" x14ac:dyDescent="0.25">
      <c r="A1349" s="5"/>
      <c r="B1349" s="63" t="str">
        <f>IFERROR(TEXT(tbl_Ventes[[#This Row],[Date]],"mm-aaaa"),"")</f>
        <v>01-1900</v>
      </c>
      <c r="D1349" s="10" t="str">
        <f>IFERROR(
   INDEX(tbl_ProduitsRef[Cde_Prdt],MATCH(tbl_Ventes[[#This Row],[Produit]],tbl_ProduitsRef[Produit],0)),
   ""
)</f>
        <v/>
      </c>
      <c r="E1349" s="7">
        <v>0</v>
      </c>
      <c r="F1349" s="7" t="str">
        <f>IFERROR(
   INDEX(tbl_ProduitsRef[Prix Menu],MATCH(tbl_Ventes[[#This Row],[Produit]],tbl_ProduitsRef[Produit],0)),
   ""
)</f>
        <v/>
      </c>
      <c r="G1349" s="7">
        <f>tbl_Ventes[[#This Row],[Qté Vendue]] * IFERROR(_xlfn.XLOOKUP(tbl_Ventes[[#This Row],[Cde_Prdt]], tbl_Produits[Cde_Prdt], tbl_Produits[Prix Menu]), 0)</f>
        <v>0</v>
      </c>
      <c r="H1349" s="7">
        <f>IFERROR(_xlfn.XLOOKUP(tbl_Ventes[[#This Row],[Cde_Prdt]], tbl_Produits[Cde_Prdt], tbl_Produits[Coût Moyen Portion]), 0)</f>
        <v>0</v>
      </c>
      <c r="I1349" s="7">
        <f>tbl_Ventes[[#This Row],[Qté Vendue]] * tbl_Ventes[[#This Row],[CMP_par_portion]]</f>
        <v>0</v>
      </c>
      <c r="J1349" s="7">
        <f>tbl_Ventes[[#This Row],[CA ligne]] - tbl_Ventes[[#This Row],[Coût matière ligne]]</f>
        <v>0</v>
      </c>
      <c r="K1349" s="7" t="str">
        <f>IFERROR(INDEX(tbl_ProduitsRef[Famille], MATCH(tbl_Ventes[[#This Row],[Cde_Prdt]], tbl_Produits[Cde_Prdt], 0)), "")</f>
        <v/>
      </c>
    </row>
    <row r="1350" spans="1:11" x14ac:dyDescent="0.25">
      <c r="A1350" s="5"/>
      <c r="B1350" s="63" t="str">
        <f>IFERROR(TEXT(tbl_Ventes[[#This Row],[Date]],"mm-aaaa"),"")</f>
        <v>01-1900</v>
      </c>
      <c r="D1350" s="10" t="str">
        <f>IFERROR(
   INDEX(tbl_ProduitsRef[Cde_Prdt],MATCH(tbl_Ventes[[#This Row],[Produit]],tbl_ProduitsRef[Produit],0)),
   ""
)</f>
        <v/>
      </c>
      <c r="E1350" s="7">
        <v>0</v>
      </c>
      <c r="F1350" s="7" t="str">
        <f>IFERROR(
   INDEX(tbl_ProduitsRef[Prix Menu],MATCH(tbl_Ventes[[#This Row],[Produit]],tbl_ProduitsRef[Produit],0)),
   ""
)</f>
        <v/>
      </c>
      <c r="G1350" s="7">
        <f>tbl_Ventes[[#This Row],[Qté Vendue]] * IFERROR(_xlfn.XLOOKUP(tbl_Ventes[[#This Row],[Cde_Prdt]], tbl_Produits[Cde_Prdt], tbl_Produits[Prix Menu]), 0)</f>
        <v>0</v>
      </c>
      <c r="H1350" s="7">
        <f>IFERROR(_xlfn.XLOOKUP(tbl_Ventes[[#This Row],[Cde_Prdt]], tbl_Produits[Cde_Prdt], tbl_Produits[Coût Moyen Portion]), 0)</f>
        <v>0</v>
      </c>
      <c r="I1350" s="7">
        <f>tbl_Ventes[[#This Row],[Qté Vendue]] * tbl_Ventes[[#This Row],[CMP_par_portion]]</f>
        <v>0</v>
      </c>
      <c r="J1350" s="7">
        <f>tbl_Ventes[[#This Row],[CA ligne]] - tbl_Ventes[[#This Row],[Coût matière ligne]]</f>
        <v>0</v>
      </c>
      <c r="K1350" s="7" t="str">
        <f>IFERROR(INDEX(tbl_ProduitsRef[Famille], MATCH(tbl_Ventes[[#This Row],[Cde_Prdt]], tbl_Produits[Cde_Prdt], 0)), "")</f>
        <v/>
      </c>
    </row>
    <row r="1351" spans="1:11" x14ac:dyDescent="0.25">
      <c r="A1351" s="5"/>
      <c r="B1351" s="63" t="str">
        <f>IFERROR(TEXT(tbl_Ventes[[#This Row],[Date]],"mm-aaaa"),"")</f>
        <v>01-1900</v>
      </c>
      <c r="D1351" s="10" t="str">
        <f>IFERROR(
   INDEX(tbl_ProduitsRef[Cde_Prdt],MATCH(tbl_Ventes[[#This Row],[Produit]],tbl_ProduitsRef[Produit],0)),
   ""
)</f>
        <v/>
      </c>
      <c r="E1351" s="7">
        <v>0</v>
      </c>
      <c r="F1351" s="7" t="str">
        <f>IFERROR(
   INDEX(tbl_ProduitsRef[Prix Menu],MATCH(tbl_Ventes[[#This Row],[Produit]],tbl_ProduitsRef[Produit],0)),
   ""
)</f>
        <v/>
      </c>
      <c r="G1351" s="7">
        <f>tbl_Ventes[[#This Row],[Qté Vendue]] * IFERROR(_xlfn.XLOOKUP(tbl_Ventes[[#This Row],[Cde_Prdt]], tbl_Produits[Cde_Prdt], tbl_Produits[Prix Menu]), 0)</f>
        <v>0</v>
      </c>
      <c r="H1351" s="7">
        <f>IFERROR(_xlfn.XLOOKUP(tbl_Ventes[[#This Row],[Cde_Prdt]], tbl_Produits[Cde_Prdt], tbl_Produits[Coût Moyen Portion]), 0)</f>
        <v>0</v>
      </c>
      <c r="I1351" s="7">
        <f>tbl_Ventes[[#This Row],[Qté Vendue]] * tbl_Ventes[[#This Row],[CMP_par_portion]]</f>
        <v>0</v>
      </c>
      <c r="J1351" s="7">
        <f>tbl_Ventes[[#This Row],[CA ligne]] - tbl_Ventes[[#This Row],[Coût matière ligne]]</f>
        <v>0</v>
      </c>
      <c r="K1351" s="7" t="str">
        <f>IFERROR(INDEX(tbl_ProduitsRef[Famille], MATCH(tbl_Ventes[[#This Row],[Cde_Prdt]], tbl_Produits[Cde_Prdt], 0)), "")</f>
        <v/>
      </c>
    </row>
    <row r="1352" spans="1:11" x14ac:dyDescent="0.25">
      <c r="A1352" s="5"/>
      <c r="B1352" s="63" t="str">
        <f>IFERROR(TEXT(tbl_Ventes[[#This Row],[Date]],"mm-aaaa"),"")</f>
        <v>01-1900</v>
      </c>
      <c r="D1352" s="10" t="str">
        <f>IFERROR(
   INDEX(tbl_ProduitsRef[Cde_Prdt],MATCH(tbl_Ventes[[#This Row],[Produit]],tbl_ProduitsRef[Produit],0)),
   ""
)</f>
        <v/>
      </c>
      <c r="E1352" s="7">
        <v>0</v>
      </c>
      <c r="F1352" s="7" t="str">
        <f>IFERROR(
   INDEX(tbl_ProduitsRef[Prix Menu],MATCH(tbl_Ventes[[#This Row],[Produit]],tbl_ProduitsRef[Produit],0)),
   ""
)</f>
        <v/>
      </c>
      <c r="G1352" s="7">
        <f>tbl_Ventes[[#This Row],[Qté Vendue]] * IFERROR(_xlfn.XLOOKUP(tbl_Ventes[[#This Row],[Cde_Prdt]], tbl_Produits[Cde_Prdt], tbl_Produits[Prix Menu]), 0)</f>
        <v>0</v>
      </c>
      <c r="H1352" s="7">
        <f>IFERROR(_xlfn.XLOOKUP(tbl_Ventes[[#This Row],[Cde_Prdt]], tbl_Produits[Cde_Prdt], tbl_Produits[Coût Moyen Portion]), 0)</f>
        <v>0</v>
      </c>
      <c r="I1352" s="7">
        <f>tbl_Ventes[[#This Row],[Qté Vendue]] * tbl_Ventes[[#This Row],[CMP_par_portion]]</f>
        <v>0</v>
      </c>
      <c r="J1352" s="7">
        <f>tbl_Ventes[[#This Row],[CA ligne]] - tbl_Ventes[[#This Row],[Coût matière ligne]]</f>
        <v>0</v>
      </c>
      <c r="K1352" s="7" t="str">
        <f>IFERROR(INDEX(tbl_ProduitsRef[Famille], MATCH(tbl_Ventes[[#This Row],[Cde_Prdt]], tbl_Produits[Cde_Prdt], 0)), "")</f>
        <v/>
      </c>
    </row>
    <row r="1353" spans="1:11" x14ac:dyDescent="0.25">
      <c r="A1353" s="5"/>
      <c r="B1353" s="63" t="str">
        <f>IFERROR(TEXT(tbl_Ventes[[#This Row],[Date]],"mm-aaaa"),"")</f>
        <v>01-1900</v>
      </c>
      <c r="D1353" s="10" t="str">
        <f>IFERROR(
   INDEX(tbl_ProduitsRef[Cde_Prdt],MATCH(tbl_Ventes[[#This Row],[Produit]],tbl_ProduitsRef[Produit],0)),
   ""
)</f>
        <v/>
      </c>
      <c r="E1353" s="7">
        <v>0</v>
      </c>
      <c r="F1353" s="7" t="str">
        <f>IFERROR(
   INDEX(tbl_ProduitsRef[Prix Menu],MATCH(tbl_Ventes[[#This Row],[Produit]],tbl_ProduitsRef[Produit],0)),
   ""
)</f>
        <v/>
      </c>
      <c r="G1353" s="7">
        <f>tbl_Ventes[[#This Row],[Qté Vendue]] * IFERROR(_xlfn.XLOOKUP(tbl_Ventes[[#This Row],[Cde_Prdt]], tbl_Produits[Cde_Prdt], tbl_Produits[Prix Menu]), 0)</f>
        <v>0</v>
      </c>
      <c r="H1353" s="7">
        <f>IFERROR(_xlfn.XLOOKUP(tbl_Ventes[[#This Row],[Cde_Prdt]], tbl_Produits[Cde_Prdt], tbl_Produits[Coût Moyen Portion]), 0)</f>
        <v>0</v>
      </c>
      <c r="I1353" s="7">
        <f>tbl_Ventes[[#This Row],[Qté Vendue]] * tbl_Ventes[[#This Row],[CMP_par_portion]]</f>
        <v>0</v>
      </c>
      <c r="J1353" s="7">
        <f>tbl_Ventes[[#This Row],[CA ligne]] - tbl_Ventes[[#This Row],[Coût matière ligne]]</f>
        <v>0</v>
      </c>
      <c r="K1353" s="7" t="str">
        <f>IFERROR(INDEX(tbl_ProduitsRef[Famille], MATCH(tbl_Ventes[[#This Row],[Cde_Prdt]], tbl_Produits[Cde_Prdt], 0)), "")</f>
        <v/>
      </c>
    </row>
    <row r="1354" spans="1:11" x14ac:dyDescent="0.25">
      <c r="A1354" s="5"/>
      <c r="B1354" s="63" t="str">
        <f>IFERROR(TEXT(tbl_Ventes[[#This Row],[Date]],"mm-aaaa"),"")</f>
        <v>01-1900</v>
      </c>
      <c r="D1354" s="10" t="str">
        <f>IFERROR(
   INDEX(tbl_ProduitsRef[Cde_Prdt],MATCH(tbl_Ventes[[#This Row],[Produit]],tbl_ProduitsRef[Produit],0)),
   ""
)</f>
        <v/>
      </c>
      <c r="E1354" s="7">
        <v>0</v>
      </c>
      <c r="F1354" s="7" t="str">
        <f>IFERROR(
   INDEX(tbl_ProduitsRef[Prix Menu],MATCH(tbl_Ventes[[#This Row],[Produit]],tbl_ProduitsRef[Produit],0)),
   ""
)</f>
        <v/>
      </c>
      <c r="G1354" s="7">
        <f>tbl_Ventes[[#This Row],[Qté Vendue]] * IFERROR(_xlfn.XLOOKUP(tbl_Ventes[[#This Row],[Cde_Prdt]], tbl_Produits[Cde_Prdt], tbl_Produits[Prix Menu]), 0)</f>
        <v>0</v>
      </c>
      <c r="H1354" s="7">
        <f>IFERROR(_xlfn.XLOOKUP(tbl_Ventes[[#This Row],[Cde_Prdt]], tbl_Produits[Cde_Prdt], tbl_Produits[Coût Moyen Portion]), 0)</f>
        <v>0</v>
      </c>
      <c r="I1354" s="7">
        <f>tbl_Ventes[[#This Row],[Qté Vendue]] * tbl_Ventes[[#This Row],[CMP_par_portion]]</f>
        <v>0</v>
      </c>
      <c r="J1354" s="7">
        <f>tbl_Ventes[[#This Row],[CA ligne]] - tbl_Ventes[[#This Row],[Coût matière ligne]]</f>
        <v>0</v>
      </c>
      <c r="K1354" s="7" t="str">
        <f>IFERROR(INDEX(tbl_ProduitsRef[Famille], MATCH(tbl_Ventes[[#This Row],[Cde_Prdt]], tbl_Produits[Cde_Prdt], 0)), "")</f>
        <v/>
      </c>
    </row>
    <row r="1355" spans="1:11" x14ac:dyDescent="0.25">
      <c r="A1355" s="5"/>
      <c r="B1355" s="63" t="str">
        <f>IFERROR(TEXT(tbl_Ventes[[#This Row],[Date]],"mm-aaaa"),"")</f>
        <v>01-1900</v>
      </c>
      <c r="D1355" s="10" t="str">
        <f>IFERROR(
   INDEX(tbl_ProduitsRef[Cde_Prdt],MATCH(tbl_Ventes[[#This Row],[Produit]],tbl_ProduitsRef[Produit],0)),
   ""
)</f>
        <v/>
      </c>
      <c r="E1355" s="7">
        <v>0</v>
      </c>
      <c r="F1355" s="7" t="str">
        <f>IFERROR(
   INDEX(tbl_ProduitsRef[Prix Menu],MATCH(tbl_Ventes[[#This Row],[Produit]],tbl_ProduitsRef[Produit],0)),
   ""
)</f>
        <v/>
      </c>
      <c r="G1355" s="7">
        <f>tbl_Ventes[[#This Row],[Qté Vendue]] * IFERROR(_xlfn.XLOOKUP(tbl_Ventes[[#This Row],[Cde_Prdt]], tbl_Produits[Cde_Prdt], tbl_Produits[Prix Menu]), 0)</f>
        <v>0</v>
      </c>
      <c r="H1355" s="7">
        <f>IFERROR(_xlfn.XLOOKUP(tbl_Ventes[[#This Row],[Cde_Prdt]], tbl_Produits[Cde_Prdt], tbl_Produits[Coût Moyen Portion]), 0)</f>
        <v>0</v>
      </c>
      <c r="I1355" s="7">
        <f>tbl_Ventes[[#This Row],[Qté Vendue]] * tbl_Ventes[[#This Row],[CMP_par_portion]]</f>
        <v>0</v>
      </c>
      <c r="J1355" s="7">
        <f>tbl_Ventes[[#This Row],[CA ligne]] - tbl_Ventes[[#This Row],[Coût matière ligne]]</f>
        <v>0</v>
      </c>
      <c r="K1355" s="7" t="str">
        <f>IFERROR(INDEX(tbl_ProduitsRef[Famille], MATCH(tbl_Ventes[[#This Row],[Cde_Prdt]], tbl_Produits[Cde_Prdt], 0)), "")</f>
        <v/>
      </c>
    </row>
    <row r="1356" spans="1:11" x14ac:dyDescent="0.25">
      <c r="A1356" s="5"/>
      <c r="B1356" s="63" t="str">
        <f>IFERROR(TEXT(tbl_Ventes[[#This Row],[Date]],"mm-aaaa"),"")</f>
        <v>01-1900</v>
      </c>
      <c r="D1356" s="10" t="str">
        <f>IFERROR(
   INDEX(tbl_ProduitsRef[Cde_Prdt],MATCH(tbl_Ventes[[#This Row],[Produit]],tbl_ProduitsRef[Produit],0)),
   ""
)</f>
        <v/>
      </c>
      <c r="E1356" s="7">
        <v>0</v>
      </c>
      <c r="F1356" s="7" t="str">
        <f>IFERROR(
   INDEX(tbl_ProduitsRef[Prix Menu],MATCH(tbl_Ventes[[#This Row],[Produit]],tbl_ProduitsRef[Produit],0)),
   ""
)</f>
        <v/>
      </c>
      <c r="G1356" s="7">
        <f>tbl_Ventes[[#This Row],[Qté Vendue]] * IFERROR(_xlfn.XLOOKUP(tbl_Ventes[[#This Row],[Cde_Prdt]], tbl_Produits[Cde_Prdt], tbl_Produits[Prix Menu]), 0)</f>
        <v>0</v>
      </c>
      <c r="H1356" s="7">
        <f>IFERROR(_xlfn.XLOOKUP(tbl_Ventes[[#This Row],[Cde_Prdt]], tbl_Produits[Cde_Prdt], tbl_Produits[Coût Moyen Portion]), 0)</f>
        <v>0</v>
      </c>
      <c r="I1356" s="7">
        <f>tbl_Ventes[[#This Row],[Qté Vendue]] * tbl_Ventes[[#This Row],[CMP_par_portion]]</f>
        <v>0</v>
      </c>
      <c r="J1356" s="7">
        <f>tbl_Ventes[[#This Row],[CA ligne]] - tbl_Ventes[[#This Row],[Coût matière ligne]]</f>
        <v>0</v>
      </c>
      <c r="K1356" s="7" t="str">
        <f>IFERROR(INDEX(tbl_ProduitsRef[Famille], MATCH(tbl_Ventes[[#This Row],[Cde_Prdt]], tbl_Produits[Cde_Prdt], 0)), "")</f>
        <v/>
      </c>
    </row>
    <row r="1357" spans="1:11" x14ac:dyDescent="0.25">
      <c r="A1357" s="5"/>
      <c r="B1357" s="63" t="str">
        <f>IFERROR(TEXT(tbl_Ventes[[#This Row],[Date]],"mm-aaaa"),"")</f>
        <v>01-1900</v>
      </c>
      <c r="D1357" s="10" t="str">
        <f>IFERROR(
   INDEX(tbl_ProduitsRef[Cde_Prdt],MATCH(tbl_Ventes[[#This Row],[Produit]],tbl_ProduitsRef[Produit],0)),
   ""
)</f>
        <v/>
      </c>
      <c r="E1357" s="7">
        <v>0</v>
      </c>
      <c r="F1357" s="7" t="str">
        <f>IFERROR(
   INDEX(tbl_ProduitsRef[Prix Menu],MATCH(tbl_Ventes[[#This Row],[Produit]],tbl_ProduitsRef[Produit],0)),
   ""
)</f>
        <v/>
      </c>
      <c r="G1357" s="7">
        <f>tbl_Ventes[[#This Row],[Qté Vendue]] * IFERROR(_xlfn.XLOOKUP(tbl_Ventes[[#This Row],[Cde_Prdt]], tbl_Produits[Cde_Prdt], tbl_Produits[Prix Menu]), 0)</f>
        <v>0</v>
      </c>
      <c r="H1357" s="7">
        <f>IFERROR(_xlfn.XLOOKUP(tbl_Ventes[[#This Row],[Cde_Prdt]], tbl_Produits[Cde_Prdt], tbl_Produits[Coût Moyen Portion]), 0)</f>
        <v>0</v>
      </c>
      <c r="I1357" s="7">
        <f>tbl_Ventes[[#This Row],[Qté Vendue]] * tbl_Ventes[[#This Row],[CMP_par_portion]]</f>
        <v>0</v>
      </c>
      <c r="J1357" s="7">
        <f>tbl_Ventes[[#This Row],[CA ligne]] - tbl_Ventes[[#This Row],[Coût matière ligne]]</f>
        <v>0</v>
      </c>
      <c r="K1357" s="7" t="str">
        <f>IFERROR(INDEX(tbl_ProduitsRef[Famille], MATCH(tbl_Ventes[[#This Row],[Cde_Prdt]], tbl_Produits[Cde_Prdt], 0)), "")</f>
        <v/>
      </c>
    </row>
    <row r="1358" spans="1:11" x14ac:dyDescent="0.25">
      <c r="A1358" s="5"/>
      <c r="B1358" s="63" t="str">
        <f>IFERROR(TEXT(tbl_Ventes[[#This Row],[Date]],"mm-aaaa"),"")</f>
        <v>01-1900</v>
      </c>
      <c r="D1358" s="10" t="str">
        <f>IFERROR(
   INDEX(tbl_ProduitsRef[Cde_Prdt],MATCH(tbl_Ventes[[#This Row],[Produit]],tbl_ProduitsRef[Produit],0)),
   ""
)</f>
        <v/>
      </c>
      <c r="E1358" s="7">
        <v>0</v>
      </c>
      <c r="F1358" s="7" t="str">
        <f>IFERROR(
   INDEX(tbl_ProduitsRef[Prix Menu],MATCH(tbl_Ventes[[#This Row],[Produit]],tbl_ProduitsRef[Produit],0)),
   ""
)</f>
        <v/>
      </c>
      <c r="G1358" s="7">
        <f>tbl_Ventes[[#This Row],[Qté Vendue]] * IFERROR(_xlfn.XLOOKUP(tbl_Ventes[[#This Row],[Cde_Prdt]], tbl_Produits[Cde_Prdt], tbl_Produits[Prix Menu]), 0)</f>
        <v>0</v>
      </c>
      <c r="H1358" s="7">
        <f>IFERROR(_xlfn.XLOOKUP(tbl_Ventes[[#This Row],[Cde_Prdt]], tbl_Produits[Cde_Prdt], tbl_Produits[Coût Moyen Portion]), 0)</f>
        <v>0</v>
      </c>
      <c r="I1358" s="7">
        <f>tbl_Ventes[[#This Row],[Qté Vendue]] * tbl_Ventes[[#This Row],[CMP_par_portion]]</f>
        <v>0</v>
      </c>
      <c r="J1358" s="7">
        <f>tbl_Ventes[[#This Row],[CA ligne]] - tbl_Ventes[[#This Row],[Coût matière ligne]]</f>
        <v>0</v>
      </c>
      <c r="K1358" s="7" t="str">
        <f>IFERROR(INDEX(tbl_ProduitsRef[Famille], MATCH(tbl_Ventes[[#This Row],[Cde_Prdt]], tbl_Produits[Cde_Prdt], 0)), "")</f>
        <v/>
      </c>
    </row>
    <row r="1359" spans="1:11" x14ac:dyDescent="0.25">
      <c r="A1359" s="5"/>
      <c r="B1359" s="63" t="str">
        <f>IFERROR(TEXT(tbl_Ventes[[#This Row],[Date]],"mm-aaaa"),"")</f>
        <v>01-1900</v>
      </c>
      <c r="D1359" s="10" t="str">
        <f>IFERROR(
   INDEX(tbl_ProduitsRef[Cde_Prdt],MATCH(tbl_Ventes[[#This Row],[Produit]],tbl_ProduitsRef[Produit],0)),
   ""
)</f>
        <v/>
      </c>
      <c r="E1359" s="7">
        <v>0</v>
      </c>
      <c r="F1359" s="7" t="str">
        <f>IFERROR(
   INDEX(tbl_ProduitsRef[Prix Menu],MATCH(tbl_Ventes[[#This Row],[Produit]],tbl_ProduitsRef[Produit],0)),
   ""
)</f>
        <v/>
      </c>
      <c r="G1359" s="7">
        <f>tbl_Ventes[[#This Row],[Qté Vendue]] * IFERROR(_xlfn.XLOOKUP(tbl_Ventes[[#This Row],[Cde_Prdt]], tbl_Produits[Cde_Prdt], tbl_Produits[Prix Menu]), 0)</f>
        <v>0</v>
      </c>
      <c r="H1359" s="7">
        <f>IFERROR(_xlfn.XLOOKUP(tbl_Ventes[[#This Row],[Cde_Prdt]], tbl_Produits[Cde_Prdt], tbl_Produits[Coût Moyen Portion]), 0)</f>
        <v>0</v>
      </c>
      <c r="I1359" s="7">
        <f>tbl_Ventes[[#This Row],[Qté Vendue]] * tbl_Ventes[[#This Row],[CMP_par_portion]]</f>
        <v>0</v>
      </c>
      <c r="J1359" s="7">
        <f>tbl_Ventes[[#This Row],[CA ligne]] - tbl_Ventes[[#This Row],[Coût matière ligne]]</f>
        <v>0</v>
      </c>
      <c r="K1359" s="7" t="str">
        <f>IFERROR(INDEX(tbl_ProduitsRef[Famille], MATCH(tbl_Ventes[[#This Row],[Cde_Prdt]], tbl_Produits[Cde_Prdt], 0)), "")</f>
        <v/>
      </c>
    </row>
    <row r="1360" spans="1:11" x14ac:dyDescent="0.25">
      <c r="A1360" s="5"/>
      <c r="B1360" s="63" t="str">
        <f>IFERROR(TEXT(tbl_Ventes[[#This Row],[Date]],"mm-aaaa"),"")</f>
        <v>01-1900</v>
      </c>
      <c r="D1360" s="10" t="str">
        <f>IFERROR(
   INDEX(tbl_ProduitsRef[Cde_Prdt],MATCH(tbl_Ventes[[#This Row],[Produit]],tbl_ProduitsRef[Produit],0)),
   ""
)</f>
        <v/>
      </c>
      <c r="E1360" s="7">
        <v>0</v>
      </c>
      <c r="F1360" s="7" t="str">
        <f>IFERROR(
   INDEX(tbl_ProduitsRef[Prix Menu],MATCH(tbl_Ventes[[#This Row],[Produit]],tbl_ProduitsRef[Produit],0)),
   ""
)</f>
        <v/>
      </c>
      <c r="G1360" s="7">
        <f>tbl_Ventes[[#This Row],[Qté Vendue]] * IFERROR(_xlfn.XLOOKUP(tbl_Ventes[[#This Row],[Cde_Prdt]], tbl_Produits[Cde_Prdt], tbl_Produits[Prix Menu]), 0)</f>
        <v>0</v>
      </c>
      <c r="H1360" s="7">
        <f>IFERROR(_xlfn.XLOOKUP(tbl_Ventes[[#This Row],[Cde_Prdt]], tbl_Produits[Cde_Prdt], tbl_Produits[Coût Moyen Portion]), 0)</f>
        <v>0</v>
      </c>
      <c r="I1360" s="7">
        <f>tbl_Ventes[[#This Row],[Qté Vendue]] * tbl_Ventes[[#This Row],[CMP_par_portion]]</f>
        <v>0</v>
      </c>
      <c r="J1360" s="7">
        <f>tbl_Ventes[[#This Row],[CA ligne]] - tbl_Ventes[[#This Row],[Coût matière ligne]]</f>
        <v>0</v>
      </c>
      <c r="K1360" s="7" t="str">
        <f>IFERROR(INDEX(tbl_ProduitsRef[Famille], MATCH(tbl_Ventes[[#This Row],[Cde_Prdt]], tbl_Produits[Cde_Prdt], 0)), "")</f>
        <v/>
      </c>
    </row>
    <row r="1361" spans="1:11" x14ac:dyDescent="0.25">
      <c r="A1361" s="5"/>
      <c r="B1361" s="63" t="str">
        <f>IFERROR(TEXT(tbl_Ventes[[#This Row],[Date]],"mm-aaaa"),"")</f>
        <v>01-1900</v>
      </c>
      <c r="D1361" s="10" t="str">
        <f>IFERROR(
   INDEX(tbl_ProduitsRef[Cde_Prdt],MATCH(tbl_Ventes[[#This Row],[Produit]],tbl_ProduitsRef[Produit],0)),
   ""
)</f>
        <v/>
      </c>
      <c r="E1361" s="7">
        <v>0</v>
      </c>
      <c r="F1361" s="7" t="str">
        <f>IFERROR(
   INDEX(tbl_ProduitsRef[Prix Menu],MATCH(tbl_Ventes[[#This Row],[Produit]],tbl_ProduitsRef[Produit],0)),
   ""
)</f>
        <v/>
      </c>
      <c r="G1361" s="7">
        <f>tbl_Ventes[[#This Row],[Qté Vendue]] * IFERROR(_xlfn.XLOOKUP(tbl_Ventes[[#This Row],[Cde_Prdt]], tbl_Produits[Cde_Prdt], tbl_Produits[Prix Menu]), 0)</f>
        <v>0</v>
      </c>
      <c r="H1361" s="7">
        <f>IFERROR(_xlfn.XLOOKUP(tbl_Ventes[[#This Row],[Cde_Prdt]], tbl_Produits[Cde_Prdt], tbl_Produits[Coût Moyen Portion]), 0)</f>
        <v>0</v>
      </c>
      <c r="I1361" s="7">
        <f>tbl_Ventes[[#This Row],[Qté Vendue]] * tbl_Ventes[[#This Row],[CMP_par_portion]]</f>
        <v>0</v>
      </c>
      <c r="J1361" s="7">
        <f>tbl_Ventes[[#This Row],[CA ligne]] - tbl_Ventes[[#This Row],[Coût matière ligne]]</f>
        <v>0</v>
      </c>
      <c r="K1361" s="7" t="str">
        <f>IFERROR(INDEX(tbl_ProduitsRef[Famille], MATCH(tbl_Ventes[[#This Row],[Cde_Prdt]], tbl_Produits[Cde_Prdt], 0)), "")</f>
        <v/>
      </c>
    </row>
    <row r="1362" spans="1:11" x14ac:dyDescent="0.25">
      <c r="A1362" s="5"/>
      <c r="B1362" s="63" t="str">
        <f>IFERROR(TEXT(tbl_Ventes[[#This Row],[Date]],"mm-aaaa"),"")</f>
        <v>01-1900</v>
      </c>
      <c r="D1362" s="10" t="str">
        <f>IFERROR(
   INDEX(tbl_ProduitsRef[Cde_Prdt],MATCH(tbl_Ventes[[#This Row],[Produit]],tbl_ProduitsRef[Produit],0)),
   ""
)</f>
        <v/>
      </c>
      <c r="E1362" s="7">
        <v>0</v>
      </c>
      <c r="F1362" s="7" t="str">
        <f>IFERROR(
   INDEX(tbl_ProduitsRef[Prix Menu],MATCH(tbl_Ventes[[#This Row],[Produit]],tbl_ProduitsRef[Produit],0)),
   ""
)</f>
        <v/>
      </c>
      <c r="G1362" s="7">
        <f>tbl_Ventes[[#This Row],[Qté Vendue]] * IFERROR(_xlfn.XLOOKUP(tbl_Ventes[[#This Row],[Cde_Prdt]], tbl_Produits[Cde_Prdt], tbl_Produits[Prix Menu]), 0)</f>
        <v>0</v>
      </c>
      <c r="H1362" s="7">
        <f>IFERROR(_xlfn.XLOOKUP(tbl_Ventes[[#This Row],[Cde_Prdt]], tbl_Produits[Cde_Prdt], tbl_Produits[Coût Moyen Portion]), 0)</f>
        <v>0</v>
      </c>
      <c r="I1362" s="7">
        <f>tbl_Ventes[[#This Row],[Qté Vendue]] * tbl_Ventes[[#This Row],[CMP_par_portion]]</f>
        <v>0</v>
      </c>
      <c r="J1362" s="7">
        <f>tbl_Ventes[[#This Row],[CA ligne]] - tbl_Ventes[[#This Row],[Coût matière ligne]]</f>
        <v>0</v>
      </c>
      <c r="K1362" s="7" t="str">
        <f>IFERROR(INDEX(tbl_ProduitsRef[Famille], MATCH(tbl_Ventes[[#This Row],[Cde_Prdt]], tbl_Produits[Cde_Prdt], 0)), "")</f>
        <v/>
      </c>
    </row>
    <row r="1363" spans="1:11" x14ac:dyDescent="0.25">
      <c r="A1363" s="5"/>
      <c r="B1363" s="63" t="str">
        <f>IFERROR(TEXT(tbl_Ventes[[#This Row],[Date]],"mm-aaaa"),"")</f>
        <v>01-1900</v>
      </c>
      <c r="D1363" s="10" t="str">
        <f>IFERROR(
   INDEX(tbl_ProduitsRef[Cde_Prdt],MATCH(tbl_Ventes[[#This Row],[Produit]],tbl_ProduitsRef[Produit],0)),
   ""
)</f>
        <v/>
      </c>
      <c r="E1363" s="7">
        <v>0</v>
      </c>
      <c r="F1363" s="7" t="str">
        <f>IFERROR(
   INDEX(tbl_ProduitsRef[Prix Menu],MATCH(tbl_Ventes[[#This Row],[Produit]],tbl_ProduitsRef[Produit],0)),
   ""
)</f>
        <v/>
      </c>
      <c r="G1363" s="7">
        <f>tbl_Ventes[[#This Row],[Qté Vendue]] * IFERROR(_xlfn.XLOOKUP(tbl_Ventes[[#This Row],[Cde_Prdt]], tbl_Produits[Cde_Prdt], tbl_Produits[Prix Menu]), 0)</f>
        <v>0</v>
      </c>
      <c r="H1363" s="7">
        <f>IFERROR(_xlfn.XLOOKUP(tbl_Ventes[[#This Row],[Cde_Prdt]], tbl_Produits[Cde_Prdt], tbl_Produits[Coût Moyen Portion]), 0)</f>
        <v>0</v>
      </c>
      <c r="I1363" s="7">
        <f>tbl_Ventes[[#This Row],[Qté Vendue]] * tbl_Ventes[[#This Row],[CMP_par_portion]]</f>
        <v>0</v>
      </c>
      <c r="J1363" s="7">
        <f>tbl_Ventes[[#This Row],[CA ligne]] - tbl_Ventes[[#This Row],[Coût matière ligne]]</f>
        <v>0</v>
      </c>
      <c r="K1363" s="7" t="str">
        <f>IFERROR(INDEX(tbl_ProduitsRef[Famille], MATCH(tbl_Ventes[[#This Row],[Cde_Prdt]], tbl_Produits[Cde_Prdt], 0)), "")</f>
        <v/>
      </c>
    </row>
    <row r="1364" spans="1:11" x14ac:dyDescent="0.25">
      <c r="A1364" s="5"/>
      <c r="B1364" s="63" t="str">
        <f>IFERROR(TEXT(tbl_Ventes[[#This Row],[Date]],"mm-aaaa"),"")</f>
        <v>01-1900</v>
      </c>
      <c r="D1364" s="10" t="str">
        <f>IFERROR(
   INDEX(tbl_ProduitsRef[Cde_Prdt],MATCH(tbl_Ventes[[#This Row],[Produit]],tbl_ProduitsRef[Produit],0)),
   ""
)</f>
        <v/>
      </c>
      <c r="E1364" s="7">
        <v>0</v>
      </c>
      <c r="F1364" s="7" t="str">
        <f>IFERROR(
   INDEX(tbl_ProduitsRef[Prix Menu],MATCH(tbl_Ventes[[#This Row],[Produit]],tbl_ProduitsRef[Produit],0)),
   ""
)</f>
        <v/>
      </c>
      <c r="G1364" s="7">
        <f>tbl_Ventes[[#This Row],[Qté Vendue]] * IFERROR(_xlfn.XLOOKUP(tbl_Ventes[[#This Row],[Cde_Prdt]], tbl_Produits[Cde_Prdt], tbl_Produits[Prix Menu]), 0)</f>
        <v>0</v>
      </c>
      <c r="H1364" s="7">
        <f>IFERROR(_xlfn.XLOOKUP(tbl_Ventes[[#This Row],[Cde_Prdt]], tbl_Produits[Cde_Prdt], tbl_Produits[Coût Moyen Portion]), 0)</f>
        <v>0</v>
      </c>
      <c r="I1364" s="7">
        <f>tbl_Ventes[[#This Row],[Qté Vendue]] * tbl_Ventes[[#This Row],[CMP_par_portion]]</f>
        <v>0</v>
      </c>
      <c r="J1364" s="7">
        <f>tbl_Ventes[[#This Row],[CA ligne]] - tbl_Ventes[[#This Row],[Coût matière ligne]]</f>
        <v>0</v>
      </c>
      <c r="K1364" s="7" t="str">
        <f>IFERROR(INDEX(tbl_ProduitsRef[Famille], MATCH(tbl_Ventes[[#This Row],[Cde_Prdt]], tbl_Produits[Cde_Prdt], 0)), "")</f>
        <v/>
      </c>
    </row>
    <row r="1365" spans="1:11" x14ac:dyDescent="0.25">
      <c r="A1365" s="5"/>
      <c r="B1365" s="63" t="str">
        <f>IFERROR(TEXT(tbl_Ventes[[#This Row],[Date]],"mm-aaaa"),"")</f>
        <v>01-1900</v>
      </c>
      <c r="D1365" s="10" t="str">
        <f>IFERROR(
   INDEX(tbl_ProduitsRef[Cde_Prdt],MATCH(tbl_Ventes[[#This Row],[Produit]],tbl_ProduitsRef[Produit],0)),
   ""
)</f>
        <v/>
      </c>
      <c r="E1365" s="7">
        <v>0</v>
      </c>
      <c r="F1365" s="7" t="str">
        <f>IFERROR(
   INDEX(tbl_ProduitsRef[Prix Menu],MATCH(tbl_Ventes[[#This Row],[Produit]],tbl_ProduitsRef[Produit],0)),
   ""
)</f>
        <v/>
      </c>
      <c r="G1365" s="7">
        <f>tbl_Ventes[[#This Row],[Qté Vendue]] * IFERROR(_xlfn.XLOOKUP(tbl_Ventes[[#This Row],[Cde_Prdt]], tbl_Produits[Cde_Prdt], tbl_Produits[Prix Menu]), 0)</f>
        <v>0</v>
      </c>
      <c r="H1365" s="7">
        <f>IFERROR(_xlfn.XLOOKUP(tbl_Ventes[[#This Row],[Cde_Prdt]], tbl_Produits[Cde_Prdt], tbl_Produits[Coût Moyen Portion]), 0)</f>
        <v>0</v>
      </c>
      <c r="I1365" s="7">
        <f>tbl_Ventes[[#This Row],[Qté Vendue]] * tbl_Ventes[[#This Row],[CMP_par_portion]]</f>
        <v>0</v>
      </c>
      <c r="J1365" s="7">
        <f>tbl_Ventes[[#This Row],[CA ligne]] - tbl_Ventes[[#This Row],[Coût matière ligne]]</f>
        <v>0</v>
      </c>
      <c r="K1365" s="7" t="str">
        <f>IFERROR(INDEX(tbl_ProduitsRef[Famille], MATCH(tbl_Ventes[[#This Row],[Cde_Prdt]], tbl_Produits[Cde_Prdt], 0)), "")</f>
        <v/>
      </c>
    </row>
    <row r="1366" spans="1:11" x14ac:dyDescent="0.25">
      <c r="A1366" s="5"/>
      <c r="B1366" s="63" t="str">
        <f>IFERROR(TEXT(tbl_Ventes[[#This Row],[Date]],"mm-aaaa"),"")</f>
        <v>01-1900</v>
      </c>
      <c r="D1366" s="10" t="str">
        <f>IFERROR(
   INDEX(tbl_ProduitsRef[Cde_Prdt],MATCH(tbl_Ventes[[#This Row],[Produit]],tbl_ProduitsRef[Produit],0)),
   ""
)</f>
        <v/>
      </c>
      <c r="E1366" s="7">
        <v>0</v>
      </c>
      <c r="F1366" s="7" t="str">
        <f>IFERROR(
   INDEX(tbl_ProduitsRef[Prix Menu],MATCH(tbl_Ventes[[#This Row],[Produit]],tbl_ProduitsRef[Produit],0)),
   ""
)</f>
        <v/>
      </c>
      <c r="G1366" s="7">
        <f>tbl_Ventes[[#This Row],[Qté Vendue]] * IFERROR(_xlfn.XLOOKUP(tbl_Ventes[[#This Row],[Cde_Prdt]], tbl_Produits[Cde_Prdt], tbl_Produits[Prix Menu]), 0)</f>
        <v>0</v>
      </c>
      <c r="H1366" s="7">
        <f>IFERROR(_xlfn.XLOOKUP(tbl_Ventes[[#This Row],[Cde_Prdt]], tbl_Produits[Cde_Prdt], tbl_Produits[Coût Moyen Portion]), 0)</f>
        <v>0</v>
      </c>
      <c r="I1366" s="7">
        <f>tbl_Ventes[[#This Row],[Qté Vendue]] * tbl_Ventes[[#This Row],[CMP_par_portion]]</f>
        <v>0</v>
      </c>
      <c r="J1366" s="7">
        <f>tbl_Ventes[[#This Row],[CA ligne]] - tbl_Ventes[[#This Row],[Coût matière ligne]]</f>
        <v>0</v>
      </c>
      <c r="K1366" s="7" t="str">
        <f>IFERROR(INDEX(tbl_ProduitsRef[Famille], MATCH(tbl_Ventes[[#This Row],[Cde_Prdt]], tbl_Produits[Cde_Prdt], 0)), "")</f>
        <v/>
      </c>
    </row>
    <row r="1367" spans="1:11" x14ac:dyDescent="0.25">
      <c r="A1367" s="5"/>
      <c r="B1367" s="63" t="str">
        <f>IFERROR(TEXT(tbl_Ventes[[#This Row],[Date]],"mm-aaaa"),"")</f>
        <v>01-1900</v>
      </c>
      <c r="D1367" s="10" t="str">
        <f>IFERROR(
   INDEX(tbl_ProduitsRef[Cde_Prdt],MATCH(tbl_Ventes[[#This Row],[Produit]],tbl_ProduitsRef[Produit],0)),
   ""
)</f>
        <v/>
      </c>
      <c r="E1367" s="7">
        <v>0</v>
      </c>
      <c r="F1367" s="7" t="str">
        <f>IFERROR(
   INDEX(tbl_ProduitsRef[Prix Menu],MATCH(tbl_Ventes[[#This Row],[Produit]],tbl_ProduitsRef[Produit],0)),
   ""
)</f>
        <v/>
      </c>
      <c r="G1367" s="7">
        <f>tbl_Ventes[[#This Row],[Qté Vendue]] * IFERROR(_xlfn.XLOOKUP(tbl_Ventes[[#This Row],[Cde_Prdt]], tbl_Produits[Cde_Prdt], tbl_Produits[Prix Menu]), 0)</f>
        <v>0</v>
      </c>
      <c r="H1367" s="7">
        <f>IFERROR(_xlfn.XLOOKUP(tbl_Ventes[[#This Row],[Cde_Prdt]], tbl_Produits[Cde_Prdt], tbl_Produits[Coût Moyen Portion]), 0)</f>
        <v>0</v>
      </c>
      <c r="I1367" s="7">
        <f>tbl_Ventes[[#This Row],[Qté Vendue]] * tbl_Ventes[[#This Row],[CMP_par_portion]]</f>
        <v>0</v>
      </c>
      <c r="J1367" s="7">
        <f>tbl_Ventes[[#This Row],[CA ligne]] - tbl_Ventes[[#This Row],[Coût matière ligne]]</f>
        <v>0</v>
      </c>
      <c r="K1367" s="7" t="str">
        <f>IFERROR(INDEX(tbl_ProduitsRef[Famille], MATCH(tbl_Ventes[[#This Row],[Cde_Prdt]], tbl_Produits[Cde_Prdt], 0)), "")</f>
        <v/>
      </c>
    </row>
    <row r="1368" spans="1:11" x14ac:dyDescent="0.25">
      <c r="A1368" s="5"/>
      <c r="B1368" s="63" t="str">
        <f>IFERROR(TEXT(tbl_Ventes[[#This Row],[Date]],"mm-aaaa"),"")</f>
        <v>01-1900</v>
      </c>
      <c r="D1368" s="10" t="str">
        <f>IFERROR(
   INDEX(tbl_ProduitsRef[Cde_Prdt],MATCH(tbl_Ventes[[#This Row],[Produit]],tbl_ProduitsRef[Produit],0)),
   ""
)</f>
        <v/>
      </c>
      <c r="E1368" s="7">
        <v>0</v>
      </c>
      <c r="F1368" s="7" t="str">
        <f>IFERROR(
   INDEX(tbl_ProduitsRef[Prix Menu],MATCH(tbl_Ventes[[#This Row],[Produit]],tbl_ProduitsRef[Produit],0)),
   ""
)</f>
        <v/>
      </c>
      <c r="G1368" s="7">
        <f>tbl_Ventes[[#This Row],[Qté Vendue]] * IFERROR(_xlfn.XLOOKUP(tbl_Ventes[[#This Row],[Cde_Prdt]], tbl_Produits[Cde_Prdt], tbl_Produits[Prix Menu]), 0)</f>
        <v>0</v>
      </c>
      <c r="H1368" s="7">
        <f>IFERROR(_xlfn.XLOOKUP(tbl_Ventes[[#This Row],[Cde_Prdt]], tbl_Produits[Cde_Prdt], tbl_Produits[Coût Moyen Portion]), 0)</f>
        <v>0</v>
      </c>
      <c r="I1368" s="7">
        <f>tbl_Ventes[[#This Row],[Qté Vendue]] * tbl_Ventes[[#This Row],[CMP_par_portion]]</f>
        <v>0</v>
      </c>
      <c r="J1368" s="7">
        <f>tbl_Ventes[[#This Row],[CA ligne]] - tbl_Ventes[[#This Row],[Coût matière ligne]]</f>
        <v>0</v>
      </c>
      <c r="K1368" s="7" t="str">
        <f>IFERROR(INDEX(tbl_ProduitsRef[Famille], MATCH(tbl_Ventes[[#This Row],[Cde_Prdt]], tbl_Produits[Cde_Prdt], 0)), "")</f>
        <v/>
      </c>
    </row>
    <row r="1369" spans="1:11" x14ac:dyDescent="0.25">
      <c r="A1369" s="5"/>
      <c r="B1369" s="63" t="str">
        <f>IFERROR(TEXT(tbl_Ventes[[#This Row],[Date]],"mm-aaaa"),"")</f>
        <v>01-1900</v>
      </c>
      <c r="D1369" s="10" t="str">
        <f>IFERROR(
   INDEX(tbl_ProduitsRef[Cde_Prdt],MATCH(tbl_Ventes[[#This Row],[Produit]],tbl_ProduitsRef[Produit],0)),
   ""
)</f>
        <v/>
      </c>
      <c r="E1369" s="7">
        <v>0</v>
      </c>
      <c r="F1369" s="7" t="str">
        <f>IFERROR(
   INDEX(tbl_ProduitsRef[Prix Menu],MATCH(tbl_Ventes[[#This Row],[Produit]],tbl_ProduitsRef[Produit],0)),
   ""
)</f>
        <v/>
      </c>
      <c r="G1369" s="7">
        <f>tbl_Ventes[[#This Row],[Qté Vendue]] * IFERROR(_xlfn.XLOOKUP(tbl_Ventes[[#This Row],[Cde_Prdt]], tbl_Produits[Cde_Prdt], tbl_Produits[Prix Menu]), 0)</f>
        <v>0</v>
      </c>
      <c r="H1369" s="7">
        <f>IFERROR(_xlfn.XLOOKUP(tbl_Ventes[[#This Row],[Cde_Prdt]], tbl_Produits[Cde_Prdt], tbl_Produits[Coût Moyen Portion]), 0)</f>
        <v>0</v>
      </c>
      <c r="I1369" s="7">
        <f>tbl_Ventes[[#This Row],[Qté Vendue]] * tbl_Ventes[[#This Row],[CMP_par_portion]]</f>
        <v>0</v>
      </c>
      <c r="J1369" s="7">
        <f>tbl_Ventes[[#This Row],[CA ligne]] - tbl_Ventes[[#This Row],[Coût matière ligne]]</f>
        <v>0</v>
      </c>
      <c r="K1369" s="7" t="str">
        <f>IFERROR(INDEX(tbl_ProduitsRef[Famille], MATCH(tbl_Ventes[[#This Row],[Cde_Prdt]], tbl_Produits[Cde_Prdt], 0)), "")</f>
        <v/>
      </c>
    </row>
    <row r="1370" spans="1:11" x14ac:dyDescent="0.25">
      <c r="A1370" s="5"/>
      <c r="B1370" s="63" t="str">
        <f>IFERROR(TEXT(tbl_Ventes[[#This Row],[Date]],"mm-aaaa"),"")</f>
        <v>01-1900</v>
      </c>
      <c r="D1370" s="10" t="str">
        <f>IFERROR(
   INDEX(tbl_ProduitsRef[Cde_Prdt],MATCH(tbl_Ventes[[#This Row],[Produit]],tbl_ProduitsRef[Produit],0)),
   ""
)</f>
        <v/>
      </c>
      <c r="E1370" s="7">
        <v>0</v>
      </c>
      <c r="F1370" s="7" t="str">
        <f>IFERROR(
   INDEX(tbl_ProduitsRef[Prix Menu],MATCH(tbl_Ventes[[#This Row],[Produit]],tbl_ProduitsRef[Produit],0)),
   ""
)</f>
        <v/>
      </c>
      <c r="G1370" s="7">
        <f>tbl_Ventes[[#This Row],[Qté Vendue]] * IFERROR(_xlfn.XLOOKUP(tbl_Ventes[[#This Row],[Cde_Prdt]], tbl_Produits[Cde_Prdt], tbl_Produits[Prix Menu]), 0)</f>
        <v>0</v>
      </c>
      <c r="H1370" s="7">
        <f>IFERROR(_xlfn.XLOOKUP(tbl_Ventes[[#This Row],[Cde_Prdt]], tbl_Produits[Cde_Prdt], tbl_Produits[Coût Moyen Portion]), 0)</f>
        <v>0</v>
      </c>
      <c r="I1370" s="7">
        <f>tbl_Ventes[[#This Row],[Qté Vendue]] * tbl_Ventes[[#This Row],[CMP_par_portion]]</f>
        <v>0</v>
      </c>
      <c r="J1370" s="7">
        <f>tbl_Ventes[[#This Row],[CA ligne]] - tbl_Ventes[[#This Row],[Coût matière ligne]]</f>
        <v>0</v>
      </c>
      <c r="K1370" s="7" t="str">
        <f>IFERROR(INDEX(tbl_ProduitsRef[Famille], MATCH(tbl_Ventes[[#This Row],[Cde_Prdt]], tbl_Produits[Cde_Prdt], 0)), "")</f>
        <v/>
      </c>
    </row>
    <row r="1371" spans="1:11" x14ac:dyDescent="0.25">
      <c r="A1371" s="5"/>
      <c r="B1371" s="63" t="str">
        <f>IFERROR(TEXT(tbl_Ventes[[#This Row],[Date]],"mm-aaaa"),"")</f>
        <v>01-1900</v>
      </c>
      <c r="D1371" s="10" t="str">
        <f>IFERROR(
   INDEX(tbl_ProduitsRef[Cde_Prdt],MATCH(tbl_Ventes[[#This Row],[Produit]],tbl_ProduitsRef[Produit],0)),
   ""
)</f>
        <v/>
      </c>
      <c r="E1371" s="7">
        <v>0</v>
      </c>
      <c r="F1371" s="7" t="str">
        <f>IFERROR(
   INDEX(tbl_ProduitsRef[Prix Menu],MATCH(tbl_Ventes[[#This Row],[Produit]],tbl_ProduitsRef[Produit],0)),
   ""
)</f>
        <v/>
      </c>
      <c r="G1371" s="7">
        <f>tbl_Ventes[[#This Row],[Qté Vendue]] * IFERROR(_xlfn.XLOOKUP(tbl_Ventes[[#This Row],[Cde_Prdt]], tbl_Produits[Cde_Prdt], tbl_Produits[Prix Menu]), 0)</f>
        <v>0</v>
      </c>
      <c r="H1371" s="7">
        <f>IFERROR(_xlfn.XLOOKUP(tbl_Ventes[[#This Row],[Cde_Prdt]], tbl_Produits[Cde_Prdt], tbl_Produits[Coût Moyen Portion]), 0)</f>
        <v>0</v>
      </c>
      <c r="I1371" s="7">
        <f>tbl_Ventes[[#This Row],[Qté Vendue]] * tbl_Ventes[[#This Row],[CMP_par_portion]]</f>
        <v>0</v>
      </c>
      <c r="J1371" s="7">
        <f>tbl_Ventes[[#This Row],[CA ligne]] - tbl_Ventes[[#This Row],[Coût matière ligne]]</f>
        <v>0</v>
      </c>
      <c r="K1371" s="7" t="str">
        <f>IFERROR(INDEX(tbl_ProduitsRef[Famille], MATCH(tbl_Ventes[[#This Row],[Cde_Prdt]], tbl_Produits[Cde_Prdt], 0)), "")</f>
        <v/>
      </c>
    </row>
    <row r="1372" spans="1:11" x14ac:dyDescent="0.25">
      <c r="A1372" s="5"/>
      <c r="B1372" s="63" t="str">
        <f>IFERROR(TEXT(tbl_Ventes[[#This Row],[Date]],"mm-aaaa"),"")</f>
        <v>01-1900</v>
      </c>
      <c r="D1372" s="10" t="str">
        <f>IFERROR(
   INDEX(tbl_ProduitsRef[Cde_Prdt],MATCH(tbl_Ventes[[#This Row],[Produit]],tbl_ProduitsRef[Produit],0)),
   ""
)</f>
        <v/>
      </c>
      <c r="E1372" s="7">
        <v>0</v>
      </c>
      <c r="F1372" s="7" t="str">
        <f>IFERROR(
   INDEX(tbl_ProduitsRef[Prix Menu],MATCH(tbl_Ventes[[#This Row],[Produit]],tbl_ProduitsRef[Produit],0)),
   ""
)</f>
        <v/>
      </c>
      <c r="G1372" s="7">
        <f>tbl_Ventes[[#This Row],[Qté Vendue]] * IFERROR(_xlfn.XLOOKUP(tbl_Ventes[[#This Row],[Cde_Prdt]], tbl_Produits[Cde_Prdt], tbl_Produits[Prix Menu]), 0)</f>
        <v>0</v>
      </c>
      <c r="H1372" s="7">
        <f>IFERROR(_xlfn.XLOOKUP(tbl_Ventes[[#This Row],[Cde_Prdt]], tbl_Produits[Cde_Prdt], tbl_Produits[Coût Moyen Portion]), 0)</f>
        <v>0</v>
      </c>
      <c r="I1372" s="7">
        <f>tbl_Ventes[[#This Row],[Qté Vendue]] * tbl_Ventes[[#This Row],[CMP_par_portion]]</f>
        <v>0</v>
      </c>
      <c r="J1372" s="7">
        <f>tbl_Ventes[[#This Row],[CA ligne]] - tbl_Ventes[[#This Row],[Coût matière ligne]]</f>
        <v>0</v>
      </c>
      <c r="K1372" s="7" t="str">
        <f>IFERROR(INDEX(tbl_ProduitsRef[Famille], MATCH(tbl_Ventes[[#This Row],[Cde_Prdt]], tbl_Produits[Cde_Prdt], 0)), "")</f>
        <v/>
      </c>
    </row>
    <row r="1373" spans="1:11" x14ac:dyDescent="0.25">
      <c r="A1373" s="5"/>
      <c r="B1373" s="63" t="str">
        <f>IFERROR(TEXT(tbl_Ventes[[#This Row],[Date]],"mm-aaaa"),"")</f>
        <v>01-1900</v>
      </c>
      <c r="D1373" s="10" t="str">
        <f>IFERROR(
   INDEX(tbl_ProduitsRef[Cde_Prdt],MATCH(tbl_Ventes[[#This Row],[Produit]],tbl_ProduitsRef[Produit],0)),
   ""
)</f>
        <v/>
      </c>
      <c r="E1373" s="7">
        <v>0</v>
      </c>
      <c r="F1373" s="7" t="str">
        <f>IFERROR(
   INDEX(tbl_ProduitsRef[Prix Menu],MATCH(tbl_Ventes[[#This Row],[Produit]],tbl_ProduitsRef[Produit],0)),
   ""
)</f>
        <v/>
      </c>
      <c r="G1373" s="7">
        <f>tbl_Ventes[[#This Row],[Qté Vendue]] * IFERROR(_xlfn.XLOOKUP(tbl_Ventes[[#This Row],[Cde_Prdt]], tbl_Produits[Cde_Prdt], tbl_Produits[Prix Menu]), 0)</f>
        <v>0</v>
      </c>
      <c r="H1373" s="7">
        <f>IFERROR(_xlfn.XLOOKUP(tbl_Ventes[[#This Row],[Cde_Prdt]], tbl_Produits[Cde_Prdt], tbl_Produits[Coût Moyen Portion]), 0)</f>
        <v>0</v>
      </c>
      <c r="I1373" s="7">
        <f>tbl_Ventes[[#This Row],[Qté Vendue]] * tbl_Ventes[[#This Row],[CMP_par_portion]]</f>
        <v>0</v>
      </c>
      <c r="J1373" s="7">
        <f>tbl_Ventes[[#This Row],[CA ligne]] - tbl_Ventes[[#This Row],[Coût matière ligne]]</f>
        <v>0</v>
      </c>
      <c r="K1373" s="7" t="str">
        <f>IFERROR(INDEX(tbl_ProduitsRef[Famille], MATCH(tbl_Ventes[[#This Row],[Cde_Prdt]], tbl_Produits[Cde_Prdt], 0)), "")</f>
        <v/>
      </c>
    </row>
    <row r="1374" spans="1:11" x14ac:dyDescent="0.25">
      <c r="A1374" s="5"/>
      <c r="B1374" s="63" t="str">
        <f>IFERROR(TEXT(tbl_Ventes[[#This Row],[Date]],"mm-aaaa"),"")</f>
        <v>01-1900</v>
      </c>
      <c r="D1374" s="10" t="str">
        <f>IFERROR(
   INDEX(tbl_ProduitsRef[Cde_Prdt],MATCH(tbl_Ventes[[#This Row],[Produit]],tbl_ProduitsRef[Produit],0)),
   ""
)</f>
        <v/>
      </c>
      <c r="E1374" s="7">
        <v>0</v>
      </c>
      <c r="F1374" s="7" t="str">
        <f>IFERROR(
   INDEX(tbl_ProduitsRef[Prix Menu],MATCH(tbl_Ventes[[#This Row],[Produit]],tbl_ProduitsRef[Produit],0)),
   ""
)</f>
        <v/>
      </c>
      <c r="G1374" s="7">
        <f>tbl_Ventes[[#This Row],[Qté Vendue]] * IFERROR(_xlfn.XLOOKUP(tbl_Ventes[[#This Row],[Cde_Prdt]], tbl_Produits[Cde_Prdt], tbl_Produits[Prix Menu]), 0)</f>
        <v>0</v>
      </c>
      <c r="H1374" s="7">
        <f>IFERROR(_xlfn.XLOOKUP(tbl_Ventes[[#This Row],[Cde_Prdt]], tbl_Produits[Cde_Prdt], tbl_Produits[Coût Moyen Portion]), 0)</f>
        <v>0</v>
      </c>
      <c r="I1374" s="7">
        <f>tbl_Ventes[[#This Row],[Qté Vendue]] * tbl_Ventes[[#This Row],[CMP_par_portion]]</f>
        <v>0</v>
      </c>
      <c r="J1374" s="7">
        <f>tbl_Ventes[[#This Row],[CA ligne]] - tbl_Ventes[[#This Row],[Coût matière ligne]]</f>
        <v>0</v>
      </c>
      <c r="K1374" s="7" t="str">
        <f>IFERROR(INDEX(tbl_ProduitsRef[Famille], MATCH(tbl_Ventes[[#This Row],[Cde_Prdt]], tbl_Produits[Cde_Prdt], 0)), "")</f>
        <v/>
      </c>
    </row>
    <row r="1375" spans="1:11" x14ac:dyDescent="0.25">
      <c r="A1375" s="5"/>
      <c r="B1375" s="63" t="str">
        <f>IFERROR(TEXT(tbl_Ventes[[#This Row],[Date]],"mm-aaaa"),"")</f>
        <v>01-1900</v>
      </c>
      <c r="D1375" s="10" t="str">
        <f>IFERROR(
   INDEX(tbl_ProduitsRef[Cde_Prdt],MATCH(tbl_Ventes[[#This Row],[Produit]],tbl_ProduitsRef[Produit],0)),
   ""
)</f>
        <v/>
      </c>
      <c r="E1375" s="7">
        <v>0</v>
      </c>
      <c r="F1375" s="7" t="str">
        <f>IFERROR(
   INDEX(tbl_ProduitsRef[Prix Menu],MATCH(tbl_Ventes[[#This Row],[Produit]],tbl_ProduitsRef[Produit],0)),
   ""
)</f>
        <v/>
      </c>
      <c r="G1375" s="7">
        <f>tbl_Ventes[[#This Row],[Qté Vendue]] * IFERROR(_xlfn.XLOOKUP(tbl_Ventes[[#This Row],[Cde_Prdt]], tbl_Produits[Cde_Prdt], tbl_Produits[Prix Menu]), 0)</f>
        <v>0</v>
      </c>
      <c r="H1375" s="7">
        <f>IFERROR(_xlfn.XLOOKUP(tbl_Ventes[[#This Row],[Cde_Prdt]], tbl_Produits[Cde_Prdt], tbl_Produits[Coût Moyen Portion]), 0)</f>
        <v>0</v>
      </c>
      <c r="I1375" s="7">
        <f>tbl_Ventes[[#This Row],[Qté Vendue]] * tbl_Ventes[[#This Row],[CMP_par_portion]]</f>
        <v>0</v>
      </c>
      <c r="J1375" s="7">
        <f>tbl_Ventes[[#This Row],[CA ligne]] - tbl_Ventes[[#This Row],[Coût matière ligne]]</f>
        <v>0</v>
      </c>
      <c r="K1375" s="7" t="str">
        <f>IFERROR(INDEX(tbl_ProduitsRef[Famille], MATCH(tbl_Ventes[[#This Row],[Cde_Prdt]], tbl_Produits[Cde_Prdt], 0)), "")</f>
        <v/>
      </c>
    </row>
    <row r="1376" spans="1:11" x14ac:dyDescent="0.25">
      <c r="A1376" s="5"/>
      <c r="B1376" s="63" t="str">
        <f>IFERROR(TEXT(tbl_Ventes[[#This Row],[Date]],"mm-aaaa"),"")</f>
        <v>01-1900</v>
      </c>
      <c r="D1376" s="10" t="str">
        <f>IFERROR(
   INDEX(tbl_ProduitsRef[Cde_Prdt],MATCH(tbl_Ventes[[#This Row],[Produit]],tbl_ProduitsRef[Produit],0)),
   ""
)</f>
        <v/>
      </c>
      <c r="E1376" s="7">
        <v>0</v>
      </c>
      <c r="F1376" s="7" t="str">
        <f>IFERROR(
   INDEX(tbl_ProduitsRef[Prix Menu],MATCH(tbl_Ventes[[#This Row],[Produit]],tbl_ProduitsRef[Produit],0)),
   ""
)</f>
        <v/>
      </c>
      <c r="G1376" s="7">
        <f>tbl_Ventes[[#This Row],[Qté Vendue]] * IFERROR(_xlfn.XLOOKUP(tbl_Ventes[[#This Row],[Cde_Prdt]], tbl_Produits[Cde_Prdt], tbl_Produits[Prix Menu]), 0)</f>
        <v>0</v>
      </c>
      <c r="H1376" s="7">
        <f>IFERROR(_xlfn.XLOOKUP(tbl_Ventes[[#This Row],[Cde_Prdt]], tbl_Produits[Cde_Prdt], tbl_Produits[Coût Moyen Portion]), 0)</f>
        <v>0</v>
      </c>
      <c r="I1376" s="7">
        <f>tbl_Ventes[[#This Row],[Qté Vendue]] * tbl_Ventes[[#This Row],[CMP_par_portion]]</f>
        <v>0</v>
      </c>
      <c r="J1376" s="7">
        <f>tbl_Ventes[[#This Row],[CA ligne]] - tbl_Ventes[[#This Row],[Coût matière ligne]]</f>
        <v>0</v>
      </c>
      <c r="K1376" s="7" t="str">
        <f>IFERROR(INDEX(tbl_ProduitsRef[Famille], MATCH(tbl_Ventes[[#This Row],[Cde_Prdt]], tbl_Produits[Cde_Prdt], 0)), "")</f>
        <v/>
      </c>
    </row>
    <row r="1377" spans="1:11" x14ac:dyDescent="0.25">
      <c r="A1377" s="5"/>
      <c r="B1377" s="63" t="str">
        <f>IFERROR(TEXT(tbl_Ventes[[#This Row],[Date]],"mm-aaaa"),"")</f>
        <v>01-1900</v>
      </c>
      <c r="D1377" s="10" t="str">
        <f>IFERROR(
   INDEX(tbl_ProduitsRef[Cde_Prdt],MATCH(tbl_Ventes[[#This Row],[Produit]],tbl_ProduitsRef[Produit],0)),
   ""
)</f>
        <v/>
      </c>
      <c r="E1377" s="7">
        <v>0</v>
      </c>
      <c r="F1377" s="7" t="str">
        <f>IFERROR(
   INDEX(tbl_ProduitsRef[Prix Menu],MATCH(tbl_Ventes[[#This Row],[Produit]],tbl_ProduitsRef[Produit],0)),
   ""
)</f>
        <v/>
      </c>
      <c r="G1377" s="7">
        <f>tbl_Ventes[[#This Row],[Qté Vendue]] * IFERROR(_xlfn.XLOOKUP(tbl_Ventes[[#This Row],[Cde_Prdt]], tbl_Produits[Cde_Prdt], tbl_Produits[Prix Menu]), 0)</f>
        <v>0</v>
      </c>
      <c r="H1377" s="7">
        <f>IFERROR(_xlfn.XLOOKUP(tbl_Ventes[[#This Row],[Cde_Prdt]], tbl_Produits[Cde_Prdt], tbl_Produits[Coût Moyen Portion]), 0)</f>
        <v>0</v>
      </c>
      <c r="I1377" s="7">
        <f>tbl_Ventes[[#This Row],[Qté Vendue]] * tbl_Ventes[[#This Row],[CMP_par_portion]]</f>
        <v>0</v>
      </c>
      <c r="J1377" s="7">
        <f>tbl_Ventes[[#This Row],[CA ligne]] - tbl_Ventes[[#This Row],[Coût matière ligne]]</f>
        <v>0</v>
      </c>
      <c r="K1377" s="7" t="str">
        <f>IFERROR(INDEX(tbl_ProduitsRef[Famille], MATCH(tbl_Ventes[[#This Row],[Cde_Prdt]], tbl_Produits[Cde_Prdt], 0)), "")</f>
        <v/>
      </c>
    </row>
    <row r="1378" spans="1:11" x14ac:dyDescent="0.25">
      <c r="A1378" s="5"/>
      <c r="B1378" s="63" t="str">
        <f>IFERROR(TEXT(tbl_Ventes[[#This Row],[Date]],"mm-aaaa"),"")</f>
        <v>01-1900</v>
      </c>
      <c r="D1378" s="10" t="str">
        <f>IFERROR(
   INDEX(tbl_ProduitsRef[Cde_Prdt],MATCH(tbl_Ventes[[#This Row],[Produit]],tbl_ProduitsRef[Produit],0)),
   ""
)</f>
        <v/>
      </c>
      <c r="E1378" s="7">
        <v>0</v>
      </c>
      <c r="F1378" s="7" t="str">
        <f>IFERROR(
   INDEX(tbl_ProduitsRef[Prix Menu],MATCH(tbl_Ventes[[#This Row],[Produit]],tbl_ProduitsRef[Produit],0)),
   ""
)</f>
        <v/>
      </c>
      <c r="G1378" s="7">
        <f>tbl_Ventes[[#This Row],[Qté Vendue]] * IFERROR(_xlfn.XLOOKUP(tbl_Ventes[[#This Row],[Cde_Prdt]], tbl_Produits[Cde_Prdt], tbl_Produits[Prix Menu]), 0)</f>
        <v>0</v>
      </c>
      <c r="H1378" s="7">
        <f>IFERROR(_xlfn.XLOOKUP(tbl_Ventes[[#This Row],[Cde_Prdt]], tbl_Produits[Cde_Prdt], tbl_Produits[Coût Moyen Portion]), 0)</f>
        <v>0</v>
      </c>
      <c r="I1378" s="7">
        <f>tbl_Ventes[[#This Row],[Qté Vendue]] * tbl_Ventes[[#This Row],[CMP_par_portion]]</f>
        <v>0</v>
      </c>
      <c r="J1378" s="7">
        <f>tbl_Ventes[[#This Row],[CA ligne]] - tbl_Ventes[[#This Row],[Coût matière ligne]]</f>
        <v>0</v>
      </c>
      <c r="K1378" s="7" t="str">
        <f>IFERROR(INDEX(tbl_ProduitsRef[Famille], MATCH(tbl_Ventes[[#This Row],[Cde_Prdt]], tbl_Produits[Cde_Prdt], 0)), "")</f>
        <v/>
      </c>
    </row>
    <row r="1379" spans="1:11" x14ac:dyDescent="0.25">
      <c r="A1379" s="5"/>
      <c r="B1379" s="63" t="str">
        <f>IFERROR(TEXT(tbl_Ventes[[#This Row],[Date]],"mm-aaaa"),"")</f>
        <v>01-1900</v>
      </c>
      <c r="D1379" s="10" t="str">
        <f>IFERROR(
   INDEX(tbl_ProduitsRef[Cde_Prdt],MATCH(tbl_Ventes[[#This Row],[Produit]],tbl_ProduitsRef[Produit],0)),
   ""
)</f>
        <v/>
      </c>
      <c r="E1379" s="7">
        <v>0</v>
      </c>
      <c r="F1379" s="7" t="str">
        <f>IFERROR(
   INDEX(tbl_ProduitsRef[Prix Menu],MATCH(tbl_Ventes[[#This Row],[Produit]],tbl_ProduitsRef[Produit],0)),
   ""
)</f>
        <v/>
      </c>
      <c r="G1379" s="7">
        <f>tbl_Ventes[[#This Row],[Qté Vendue]] * IFERROR(_xlfn.XLOOKUP(tbl_Ventes[[#This Row],[Cde_Prdt]], tbl_Produits[Cde_Prdt], tbl_Produits[Prix Menu]), 0)</f>
        <v>0</v>
      </c>
      <c r="H1379" s="7">
        <f>IFERROR(_xlfn.XLOOKUP(tbl_Ventes[[#This Row],[Cde_Prdt]], tbl_Produits[Cde_Prdt], tbl_Produits[Coût Moyen Portion]), 0)</f>
        <v>0</v>
      </c>
      <c r="I1379" s="7">
        <f>tbl_Ventes[[#This Row],[Qté Vendue]] * tbl_Ventes[[#This Row],[CMP_par_portion]]</f>
        <v>0</v>
      </c>
      <c r="J1379" s="7">
        <f>tbl_Ventes[[#This Row],[CA ligne]] - tbl_Ventes[[#This Row],[Coût matière ligne]]</f>
        <v>0</v>
      </c>
      <c r="K1379" s="7" t="str">
        <f>IFERROR(INDEX(tbl_ProduitsRef[Famille], MATCH(tbl_Ventes[[#This Row],[Cde_Prdt]], tbl_Produits[Cde_Prdt], 0)), "")</f>
        <v/>
      </c>
    </row>
    <row r="1380" spans="1:11" x14ac:dyDescent="0.25">
      <c r="A1380" s="5"/>
      <c r="B1380" s="63" t="str">
        <f>IFERROR(TEXT(tbl_Ventes[[#This Row],[Date]],"mm-aaaa"),"")</f>
        <v>01-1900</v>
      </c>
      <c r="D1380" s="10" t="str">
        <f>IFERROR(
   INDEX(tbl_ProduitsRef[Cde_Prdt],MATCH(tbl_Ventes[[#This Row],[Produit]],tbl_ProduitsRef[Produit],0)),
   ""
)</f>
        <v/>
      </c>
      <c r="E1380" s="7">
        <v>0</v>
      </c>
      <c r="F1380" s="7" t="str">
        <f>IFERROR(
   INDEX(tbl_ProduitsRef[Prix Menu],MATCH(tbl_Ventes[[#This Row],[Produit]],tbl_ProduitsRef[Produit],0)),
   ""
)</f>
        <v/>
      </c>
      <c r="G1380" s="7">
        <f>tbl_Ventes[[#This Row],[Qté Vendue]] * IFERROR(_xlfn.XLOOKUP(tbl_Ventes[[#This Row],[Cde_Prdt]], tbl_Produits[Cde_Prdt], tbl_Produits[Prix Menu]), 0)</f>
        <v>0</v>
      </c>
      <c r="H1380" s="7">
        <f>IFERROR(_xlfn.XLOOKUP(tbl_Ventes[[#This Row],[Cde_Prdt]], tbl_Produits[Cde_Prdt], tbl_Produits[Coût Moyen Portion]), 0)</f>
        <v>0</v>
      </c>
      <c r="I1380" s="7">
        <f>tbl_Ventes[[#This Row],[Qté Vendue]] * tbl_Ventes[[#This Row],[CMP_par_portion]]</f>
        <v>0</v>
      </c>
      <c r="J1380" s="7">
        <f>tbl_Ventes[[#This Row],[CA ligne]] - tbl_Ventes[[#This Row],[Coût matière ligne]]</f>
        <v>0</v>
      </c>
      <c r="K1380" s="7" t="str">
        <f>IFERROR(INDEX(tbl_ProduitsRef[Famille], MATCH(tbl_Ventes[[#This Row],[Cde_Prdt]], tbl_Produits[Cde_Prdt], 0)), "")</f>
        <v/>
      </c>
    </row>
    <row r="1381" spans="1:11" x14ac:dyDescent="0.25">
      <c r="A1381" s="5"/>
      <c r="B1381" s="63" t="str">
        <f>IFERROR(TEXT(tbl_Ventes[[#This Row],[Date]],"mm-aaaa"),"")</f>
        <v>01-1900</v>
      </c>
      <c r="D1381" s="10" t="str">
        <f>IFERROR(
   INDEX(tbl_ProduitsRef[Cde_Prdt],MATCH(tbl_Ventes[[#This Row],[Produit]],tbl_ProduitsRef[Produit],0)),
   ""
)</f>
        <v/>
      </c>
      <c r="E1381" s="7">
        <v>0</v>
      </c>
      <c r="F1381" s="7" t="str">
        <f>IFERROR(
   INDEX(tbl_ProduitsRef[Prix Menu],MATCH(tbl_Ventes[[#This Row],[Produit]],tbl_ProduitsRef[Produit],0)),
   ""
)</f>
        <v/>
      </c>
      <c r="G1381" s="7">
        <f>tbl_Ventes[[#This Row],[Qté Vendue]] * IFERROR(_xlfn.XLOOKUP(tbl_Ventes[[#This Row],[Cde_Prdt]], tbl_Produits[Cde_Prdt], tbl_Produits[Prix Menu]), 0)</f>
        <v>0</v>
      </c>
      <c r="H1381" s="7">
        <f>IFERROR(_xlfn.XLOOKUP(tbl_Ventes[[#This Row],[Cde_Prdt]], tbl_Produits[Cde_Prdt], tbl_Produits[Coût Moyen Portion]), 0)</f>
        <v>0</v>
      </c>
      <c r="I1381" s="7">
        <f>tbl_Ventes[[#This Row],[Qté Vendue]] * tbl_Ventes[[#This Row],[CMP_par_portion]]</f>
        <v>0</v>
      </c>
      <c r="J1381" s="7">
        <f>tbl_Ventes[[#This Row],[CA ligne]] - tbl_Ventes[[#This Row],[Coût matière ligne]]</f>
        <v>0</v>
      </c>
      <c r="K1381" s="7" t="str">
        <f>IFERROR(INDEX(tbl_ProduitsRef[Famille], MATCH(tbl_Ventes[[#This Row],[Cde_Prdt]], tbl_Produits[Cde_Prdt], 0)), "")</f>
        <v/>
      </c>
    </row>
    <row r="1382" spans="1:11" x14ac:dyDescent="0.25">
      <c r="A1382" s="5"/>
      <c r="B1382" s="63" t="str">
        <f>IFERROR(TEXT(tbl_Ventes[[#This Row],[Date]],"mm-aaaa"),"")</f>
        <v>01-1900</v>
      </c>
      <c r="D1382" s="10" t="str">
        <f>IFERROR(
   INDEX(tbl_ProduitsRef[Cde_Prdt],MATCH(tbl_Ventes[[#This Row],[Produit]],tbl_ProduitsRef[Produit],0)),
   ""
)</f>
        <v/>
      </c>
      <c r="E1382" s="7">
        <v>0</v>
      </c>
      <c r="F1382" s="7" t="str">
        <f>IFERROR(
   INDEX(tbl_ProduitsRef[Prix Menu],MATCH(tbl_Ventes[[#This Row],[Produit]],tbl_ProduitsRef[Produit],0)),
   ""
)</f>
        <v/>
      </c>
      <c r="G1382" s="7">
        <f>tbl_Ventes[[#This Row],[Qté Vendue]] * IFERROR(_xlfn.XLOOKUP(tbl_Ventes[[#This Row],[Cde_Prdt]], tbl_Produits[Cde_Prdt], tbl_Produits[Prix Menu]), 0)</f>
        <v>0</v>
      </c>
      <c r="H1382" s="7">
        <f>IFERROR(_xlfn.XLOOKUP(tbl_Ventes[[#This Row],[Cde_Prdt]], tbl_Produits[Cde_Prdt], tbl_Produits[Coût Moyen Portion]), 0)</f>
        <v>0</v>
      </c>
      <c r="I1382" s="7">
        <f>tbl_Ventes[[#This Row],[Qté Vendue]] * tbl_Ventes[[#This Row],[CMP_par_portion]]</f>
        <v>0</v>
      </c>
      <c r="J1382" s="7">
        <f>tbl_Ventes[[#This Row],[CA ligne]] - tbl_Ventes[[#This Row],[Coût matière ligne]]</f>
        <v>0</v>
      </c>
      <c r="K1382" s="7" t="str">
        <f>IFERROR(INDEX(tbl_ProduitsRef[Famille], MATCH(tbl_Ventes[[#This Row],[Cde_Prdt]], tbl_Produits[Cde_Prdt], 0)), "")</f>
        <v/>
      </c>
    </row>
    <row r="1383" spans="1:11" x14ac:dyDescent="0.25">
      <c r="A1383" s="5"/>
      <c r="B1383" s="63" t="str">
        <f>IFERROR(TEXT(tbl_Ventes[[#This Row],[Date]],"mm-aaaa"),"")</f>
        <v>01-1900</v>
      </c>
      <c r="D1383" s="10" t="str">
        <f>IFERROR(
   INDEX(tbl_ProduitsRef[Cde_Prdt],MATCH(tbl_Ventes[[#This Row],[Produit]],tbl_ProduitsRef[Produit],0)),
   ""
)</f>
        <v/>
      </c>
      <c r="E1383" s="7">
        <v>0</v>
      </c>
      <c r="F1383" s="7" t="str">
        <f>IFERROR(
   INDEX(tbl_ProduitsRef[Prix Menu],MATCH(tbl_Ventes[[#This Row],[Produit]],tbl_ProduitsRef[Produit],0)),
   ""
)</f>
        <v/>
      </c>
      <c r="G1383" s="7">
        <f>tbl_Ventes[[#This Row],[Qté Vendue]] * IFERROR(_xlfn.XLOOKUP(tbl_Ventes[[#This Row],[Cde_Prdt]], tbl_Produits[Cde_Prdt], tbl_Produits[Prix Menu]), 0)</f>
        <v>0</v>
      </c>
      <c r="H1383" s="7">
        <f>IFERROR(_xlfn.XLOOKUP(tbl_Ventes[[#This Row],[Cde_Prdt]], tbl_Produits[Cde_Prdt], tbl_Produits[Coût Moyen Portion]), 0)</f>
        <v>0</v>
      </c>
      <c r="I1383" s="7">
        <f>tbl_Ventes[[#This Row],[Qté Vendue]] * tbl_Ventes[[#This Row],[CMP_par_portion]]</f>
        <v>0</v>
      </c>
      <c r="J1383" s="7">
        <f>tbl_Ventes[[#This Row],[CA ligne]] - tbl_Ventes[[#This Row],[Coût matière ligne]]</f>
        <v>0</v>
      </c>
      <c r="K1383" s="7" t="str">
        <f>IFERROR(INDEX(tbl_ProduitsRef[Famille], MATCH(tbl_Ventes[[#This Row],[Cde_Prdt]], tbl_Produits[Cde_Prdt], 0)), "")</f>
        <v/>
      </c>
    </row>
    <row r="1384" spans="1:11" x14ac:dyDescent="0.25">
      <c r="A1384" s="5"/>
      <c r="B1384" s="63" t="str">
        <f>IFERROR(TEXT(tbl_Ventes[[#This Row],[Date]],"mm-aaaa"),"")</f>
        <v>01-1900</v>
      </c>
      <c r="D1384" s="10" t="str">
        <f>IFERROR(
   INDEX(tbl_ProduitsRef[Cde_Prdt],MATCH(tbl_Ventes[[#This Row],[Produit]],tbl_ProduitsRef[Produit],0)),
   ""
)</f>
        <v/>
      </c>
      <c r="E1384" s="7">
        <v>0</v>
      </c>
      <c r="F1384" s="7" t="str">
        <f>IFERROR(
   INDEX(tbl_ProduitsRef[Prix Menu],MATCH(tbl_Ventes[[#This Row],[Produit]],tbl_ProduitsRef[Produit],0)),
   ""
)</f>
        <v/>
      </c>
      <c r="G1384" s="7">
        <f>tbl_Ventes[[#This Row],[Qté Vendue]] * IFERROR(_xlfn.XLOOKUP(tbl_Ventes[[#This Row],[Cde_Prdt]], tbl_Produits[Cde_Prdt], tbl_Produits[Prix Menu]), 0)</f>
        <v>0</v>
      </c>
      <c r="H1384" s="7">
        <f>IFERROR(_xlfn.XLOOKUP(tbl_Ventes[[#This Row],[Cde_Prdt]], tbl_Produits[Cde_Prdt], tbl_Produits[Coût Moyen Portion]), 0)</f>
        <v>0</v>
      </c>
      <c r="I1384" s="7">
        <f>tbl_Ventes[[#This Row],[Qté Vendue]] * tbl_Ventes[[#This Row],[CMP_par_portion]]</f>
        <v>0</v>
      </c>
      <c r="J1384" s="7">
        <f>tbl_Ventes[[#This Row],[CA ligne]] - tbl_Ventes[[#This Row],[Coût matière ligne]]</f>
        <v>0</v>
      </c>
      <c r="K1384" s="7" t="str">
        <f>IFERROR(INDEX(tbl_ProduitsRef[Famille], MATCH(tbl_Ventes[[#This Row],[Cde_Prdt]], tbl_Produits[Cde_Prdt], 0)), "")</f>
        <v/>
      </c>
    </row>
    <row r="1385" spans="1:11" x14ac:dyDescent="0.25">
      <c r="A1385" s="5"/>
      <c r="B1385" s="63" t="str">
        <f>IFERROR(TEXT(tbl_Ventes[[#This Row],[Date]],"mm-aaaa"),"")</f>
        <v>01-1900</v>
      </c>
      <c r="D1385" s="10" t="str">
        <f>IFERROR(
   INDEX(tbl_ProduitsRef[Cde_Prdt],MATCH(tbl_Ventes[[#This Row],[Produit]],tbl_ProduitsRef[Produit],0)),
   ""
)</f>
        <v/>
      </c>
      <c r="E1385" s="7">
        <v>0</v>
      </c>
      <c r="F1385" s="7" t="str">
        <f>IFERROR(
   INDEX(tbl_ProduitsRef[Prix Menu],MATCH(tbl_Ventes[[#This Row],[Produit]],tbl_ProduitsRef[Produit],0)),
   ""
)</f>
        <v/>
      </c>
      <c r="G1385" s="7">
        <f>tbl_Ventes[[#This Row],[Qté Vendue]] * IFERROR(_xlfn.XLOOKUP(tbl_Ventes[[#This Row],[Cde_Prdt]], tbl_Produits[Cde_Prdt], tbl_Produits[Prix Menu]), 0)</f>
        <v>0</v>
      </c>
      <c r="H1385" s="7">
        <f>IFERROR(_xlfn.XLOOKUP(tbl_Ventes[[#This Row],[Cde_Prdt]], tbl_Produits[Cde_Prdt], tbl_Produits[Coût Moyen Portion]), 0)</f>
        <v>0</v>
      </c>
      <c r="I1385" s="7">
        <f>tbl_Ventes[[#This Row],[Qté Vendue]] * tbl_Ventes[[#This Row],[CMP_par_portion]]</f>
        <v>0</v>
      </c>
      <c r="J1385" s="7">
        <f>tbl_Ventes[[#This Row],[CA ligne]] - tbl_Ventes[[#This Row],[Coût matière ligne]]</f>
        <v>0</v>
      </c>
      <c r="K1385" s="7" t="str">
        <f>IFERROR(INDEX(tbl_ProduitsRef[Famille], MATCH(tbl_Ventes[[#This Row],[Cde_Prdt]], tbl_Produits[Cde_Prdt], 0)), "")</f>
        <v/>
      </c>
    </row>
    <row r="1386" spans="1:11" x14ac:dyDescent="0.25">
      <c r="A1386" s="5"/>
      <c r="B1386" s="63" t="str">
        <f>IFERROR(TEXT(tbl_Ventes[[#This Row],[Date]],"mm-aaaa"),"")</f>
        <v>01-1900</v>
      </c>
      <c r="D1386" s="10" t="str">
        <f>IFERROR(
   INDEX(tbl_ProduitsRef[Cde_Prdt],MATCH(tbl_Ventes[[#This Row],[Produit]],tbl_ProduitsRef[Produit],0)),
   ""
)</f>
        <v/>
      </c>
      <c r="E1386" s="7">
        <v>0</v>
      </c>
      <c r="F1386" s="7" t="str">
        <f>IFERROR(
   INDEX(tbl_ProduitsRef[Prix Menu],MATCH(tbl_Ventes[[#This Row],[Produit]],tbl_ProduitsRef[Produit],0)),
   ""
)</f>
        <v/>
      </c>
      <c r="G1386" s="7">
        <f>tbl_Ventes[[#This Row],[Qté Vendue]] * IFERROR(_xlfn.XLOOKUP(tbl_Ventes[[#This Row],[Cde_Prdt]], tbl_Produits[Cde_Prdt], tbl_Produits[Prix Menu]), 0)</f>
        <v>0</v>
      </c>
      <c r="H1386" s="7">
        <f>IFERROR(_xlfn.XLOOKUP(tbl_Ventes[[#This Row],[Cde_Prdt]], tbl_Produits[Cde_Prdt], tbl_Produits[Coût Moyen Portion]), 0)</f>
        <v>0</v>
      </c>
      <c r="I1386" s="7">
        <f>tbl_Ventes[[#This Row],[Qté Vendue]] * tbl_Ventes[[#This Row],[CMP_par_portion]]</f>
        <v>0</v>
      </c>
      <c r="J1386" s="7">
        <f>tbl_Ventes[[#This Row],[CA ligne]] - tbl_Ventes[[#This Row],[Coût matière ligne]]</f>
        <v>0</v>
      </c>
      <c r="K1386" s="7" t="str">
        <f>IFERROR(INDEX(tbl_ProduitsRef[Famille], MATCH(tbl_Ventes[[#This Row],[Cde_Prdt]], tbl_Produits[Cde_Prdt], 0)), "")</f>
        <v/>
      </c>
    </row>
    <row r="1387" spans="1:11" x14ac:dyDescent="0.25">
      <c r="A1387" s="5"/>
      <c r="B1387" s="63" t="str">
        <f>IFERROR(TEXT(tbl_Ventes[[#This Row],[Date]],"mm-aaaa"),"")</f>
        <v>01-1900</v>
      </c>
      <c r="D1387" s="10" t="str">
        <f>IFERROR(
   INDEX(tbl_ProduitsRef[Cde_Prdt],MATCH(tbl_Ventes[[#This Row],[Produit]],tbl_ProduitsRef[Produit],0)),
   ""
)</f>
        <v/>
      </c>
      <c r="E1387" s="7">
        <v>0</v>
      </c>
      <c r="F1387" s="7" t="str">
        <f>IFERROR(
   INDEX(tbl_ProduitsRef[Prix Menu],MATCH(tbl_Ventes[[#This Row],[Produit]],tbl_ProduitsRef[Produit],0)),
   ""
)</f>
        <v/>
      </c>
      <c r="G1387" s="7">
        <f>tbl_Ventes[[#This Row],[Qté Vendue]] * IFERROR(_xlfn.XLOOKUP(tbl_Ventes[[#This Row],[Cde_Prdt]], tbl_Produits[Cde_Prdt], tbl_Produits[Prix Menu]), 0)</f>
        <v>0</v>
      </c>
      <c r="H1387" s="7">
        <f>IFERROR(_xlfn.XLOOKUP(tbl_Ventes[[#This Row],[Cde_Prdt]], tbl_Produits[Cde_Prdt], tbl_Produits[Coût Moyen Portion]), 0)</f>
        <v>0</v>
      </c>
      <c r="I1387" s="7">
        <f>tbl_Ventes[[#This Row],[Qté Vendue]] * tbl_Ventes[[#This Row],[CMP_par_portion]]</f>
        <v>0</v>
      </c>
      <c r="J1387" s="7">
        <f>tbl_Ventes[[#This Row],[CA ligne]] - tbl_Ventes[[#This Row],[Coût matière ligne]]</f>
        <v>0</v>
      </c>
      <c r="K1387" s="7" t="str">
        <f>IFERROR(INDEX(tbl_ProduitsRef[Famille], MATCH(tbl_Ventes[[#This Row],[Cde_Prdt]], tbl_Produits[Cde_Prdt], 0)), "")</f>
        <v/>
      </c>
    </row>
    <row r="1388" spans="1:11" x14ac:dyDescent="0.25">
      <c r="A1388" s="5"/>
      <c r="B1388" s="63" t="str">
        <f>IFERROR(TEXT(tbl_Ventes[[#This Row],[Date]],"mm-aaaa"),"")</f>
        <v>01-1900</v>
      </c>
      <c r="D1388" s="10" t="str">
        <f>IFERROR(
   INDEX(tbl_ProduitsRef[Cde_Prdt],MATCH(tbl_Ventes[[#This Row],[Produit]],tbl_ProduitsRef[Produit],0)),
   ""
)</f>
        <v/>
      </c>
      <c r="E1388" s="7">
        <v>0</v>
      </c>
      <c r="F1388" s="7" t="str">
        <f>IFERROR(
   INDEX(tbl_ProduitsRef[Prix Menu],MATCH(tbl_Ventes[[#This Row],[Produit]],tbl_ProduitsRef[Produit],0)),
   ""
)</f>
        <v/>
      </c>
      <c r="G1388" s="7">
        <f>tbl_Ventes[[#This Row],[Qté Vendue]] * IFERROR(_xlfn.XLOOKUP(tbl_Ventes[[#This Row],[Cde_Prdt]], tbl_Produits[Cde_Prdt], tbl_Produits[Prix Menu]), 0)</f>
        <v>0</v>
      </c>
      <c r="H1388" s="7">
        <f>IFERROR(_xlfn.XLOOKUP(tbl_Ventes[[#This Row],[Cde_Prdt]], tbl_Produits[Cde_Prdt], tbl_Produits[Coût Moyen Portion]), 0)</f>
        <v>0</v>
      </c>
      <c r="I1388" s="7">
        <f>tbl_Ventes[[#This Row],[Qté Vendue]] * tbl_Ventes[[#This Row],[CMP_par_portion]]</f>
        <v>0</v>
      </c>
      <c r="J1388" s="7">
        <f>tbl_Ventes[[#This Row],[CA ligne]] - tbl_Ventes[[#This Row],[Coût matière ligne]]</f>
        <v>0</v>
      </c>
      <c r="K1388" s="7" t="str">
        <f>IFERROR(INDEX(tbl_ProduitsRef[Famille], MATCH(tbl_Ventes[[#This Row],[Cde_Prdt]], tbl_Produits[Cde_Prdt], 0)), "")</f>
        <v/>
      </c>
    </row>
    <row r="1389" spans="1:11" x14ac:dyDescent="0.25">
      <c r="A1389" s="5"/>
      <c r="B1389" s="63" t="str">
        <f>IFERROR(TEXT(tbl_Ventes[[#This Row],[Date]],"mm-aaaa"),"")</f>
        <v>01-1900</v>
      </c>
      <c r="D1389" s="10" t="str">
        <f>IFERROR(
   INDEX(tbl_ProduitsRef[Cde_Prdt],MATCH(tbl_Ventes[[#This Row],[Produit]],tbl_ProduitsRef[Produit],0)),
   ""
)</f>
        <v/>
      </c>
      <c r="E1389" s="7">
        <v>0</v>
      </c>
      <c r="F1389" s="7" t="str">
        <f>IFERROR(
   INDEX(tbl_ProduitsRef[Prix Menu],MATCH(tbl_Ventes[[#This Row],[Produit]],tbl_ProduitsRef[Produit],0)),
   ""
)</f>
        <v/>
      </c>
      <c r="G1389" s="7">
        <f>tbl_Ventes[[#This Row],[Qté Vendue]] * IFERROR(_xlfn.XLOOKUP(tbl_Ventes[[#This Row],[Cde_Prdt]], tbl_Produits[Cde_Prdt], tbl_Produits[Prix Menu]), 0)</f>
        <v>0</v>
      </c>
      <c r="H1389" s="7">
        <f>IFERROR(_xlfn.XLOOKUP(tbl_Ventes[[#This Row],[Cde_Prdt]], tbl_Produits[Cde_Prdt], tbl_Produits[Coût Moyen Portion]), 0)</f>
        <v>0</v>
      </c>
      <c r="I1389" s="7">
        <f>tbl_Ventes[[#This Row],[Qté Vendue]] * tbl_Ventes[[#This Row],[CMP_par_portion]]</f>
        <v>0</v>
      </c>
      <c r="J1389" s="7">
        <f>tbl_Ventes[[#This Row],[CA ligne]] - tbl_Ventes[[#This Row],[Coût matière ligne]]</f>
        <v>0</v>
      </c>
      <c r="K1389" s="7" t="str">
        <f>IFERROR(INDEX(tbl_ProduitsRef[Famille], MATCH(tbl_Ventes[[#This Row],[Cde_Prdt]], tbl_Produits[Cde_Prdt], 0)), "")</f>
        <v/>
      </c>
    </row>
    <row r="1390" spans="1:11" x14ac:dyDescent="0.25">
      <c r="A1390" s="5"/>
      <c r="B1390" s="63" t="str">
        <f>IFERROR(TEXT(tbl_Ventes[[#This Row],[Date]],"mm-aaaa"),"")</f>
        <v>01-1900</v>
      </c>
      <c r="D1390" s="10" t="str">
        <f>IFERROR(
   INDEX(tbl_ProduitsRef[Cde_Prdt],MATCH(tbl_Ventes[[#This Row],[Produit]],tbl_ProduitsRef[Produit],0)),
   ""
)</f>
        <v/>
      </c>
      <c r="E1390" s="7">
        <v>0</v>
      </c>
      <c r="F1390" s="7" t="str">
        <f>IFERROR(
   INDEX(tbl_ProduitsRef[Prix Menu],MATCH(tbl_Ventes[[#This Row],[Produit]],tbl_ProduitsRef[Produit],0)),
   ""
)</f>
        <v/>
      </c>
      <c r="G1390" s="7">
        <f>tbl_Ventes[[#This Row],[Qté Vendue]] * IFERROR(_xlfn.XLOOKUP(tbl_Ventes[[#This Row],[Cde_Prdt]], tbl_Produits[Cde_Prdt], tbl_Produits[Prix Menu]), 0)</f>
        <v>0</v>
      </c>
      <c r="H1390" s="7">
        <f>IFERROR(_xlfn.XLOOKUP(tbl_Ventes[[#This Row],[Cde_Prdt]], tbl_Produits[Cde_Prdt], tbl_Produits[Coût Moyen Portion]), 0)</f>
        <v>0</v>
      </c>
      <c r="I1390" s="7">
        <f>tbl_Ventes[[#This Row],[Qté Vendue]] * tbl_Ventes[[#This Row],[CMP_par_portion]]</f>
        <v>0</v>
      </c>
      <c r="J1390" s="7">
        <f>tbl_Ventes[[#This Row],[CA ligne]] - tbl_Ventes[[#This Row],[Coût matière ligne]]</f>
        <v>0</v>
      </c>
      <c r="K1390" s="7" t="str">
        <f>IFERROR(INDEX(tbl_ProduitsRef[Famille], MATCH(tbl_Ventes[[#This Row],[Cde_Prdt]], tbl_Produits[Cde_Prdt], 0)), "")</f>
        <v/>
      </c>
    </row>
    <row r="1391" spans="1:11" x14ac:dyDescent="0.25">
      <c r="A1391" s="5"/>
      <c r="B1391" s="63" t="str">
        <f>IFERROR(TEXT(tbl_Ventes[[#This Row],[Date]],"mm-aaaa"),"")</f>
        <v>01-1900</v>
      </c>
      <c r="D1391" s="10" t="str">
        <f>IFERROR(
   INDEX(tbl_ProduitsRef[Cde_Prdt],MATCH(tbl_Ventes[[#This Row],[Produit]],tbl_ProduitsRef[Produit],0)),
   ""
)</f>
        <v/>
      </c>
      <c r="E1391" s="7">
        <v>0</v>
      </c>
      <c r="F1391" s="7" t="str">
        <f>IFERROR(
   INDEX(tbl_ProduitsRef[Prix Menu],MATCH(tbl_Ventes[[#This Row],[Produit]],tbl_ProduitsRef[Produit],0)),
   ""
)</f>
        <v/>
      </c>
      <c r="G1391" s="7">
        <f>tbl_Ventes[[#This Row],[Qté Vendue]] * IFERROR(_xlfn.XLOOKUP(tbl_Ventes[[#This Row],[Cde_Prdt]], tbl_Produits[Cde_Prdt], tbl_Produits[Prix Menu]), 0)</f>
        <v>0</v>
      </c>
      <c r="H1391" s="7">
        <f>IFERROR(_xlfn.XLOOKUP(tbl_Ventes[[#This Row],[Cde_Prdt]], tbl_Produits[Cde_Prdt], tbl_Produits[Coût Moyen Portion]), 0)</f>
        <v>0</v>
      </c>
      <c r="I1391" s="7">
        <f>tbl_Ventes[[#This Row],[Qté Vendue]] * tbl_Ventes[[#This Row],[CMP_par_portion]]</f>
        <v>0</v>
      </c>
      <c r="J1391" s="7">
        <f>tbl_Ventes[[#This Row],[CA ligne]] - tbl_Ventes[[#This Row],[Coût matière ligne]]</f>
        <v>0</v>
      </c>
      <c r="K1391" s="7" t="str">
        <f>IFERROR(INDEX(tbl_ProduitsRef[Famille], MATCH(tbl_Ventes[[#This Row],[Cde_Prdt]], tbl_Produits[Cde_Prdt], 0)), "")</f>
        <v/>
      </c>
    </row>
    <row r="1392" spans="1:11" x14ac:dyDescent="0.25">
      <c r="A1392" s="5"/>
      <c r="B1392" s="63" t="str">
        <f>IFERROR(TEXT(tbl_Ventes[[#This Row],[Date]],"mm-aaaa"),"")</f>
        <v>01-1900</v>
      </c>
      <c r="D1392" s="10" t="str">
        <f>IFERROR(
   INDEX(tbl_ProduitsRef[Cde_Prdt],MATCH(tbl_Ventes[[#This Row],[Produit]],tbl_ProduitsRef[Produit],0)),
   ""
)</f>
        <v/>
      </c>
      <c r="E1392" s="7">
        <v>0</v>
      </c>
      <c r="F1392" s="7" t="str">
        <f>IFERROR(
   INDEX(tbl_ProduitsRef[Prix Menu],MATCH(tbl_Ventes[[#This Row],[Produit]],tbl_ProduitsRef[Produit],0)),
   ""
)</f>
        <v/>
      </c>
      <c r="G1392" s="7">
        <f>tbl_Ventes[[#This Row],[Qté Vendue]] * IFERROR(_xlfn.XLOOKUP(tbl_Ventes[[#This Row],[Cde_Prdt]], tbl_Produits[Cde_Prdt], tbl_Produits[Prix Menu]), 0)</f>
        <v>0</v>
      </c>
      <c r="H1392" s="7">
        <f>IFERROR(_xlfn.XLOOKUP(tbl_Ventes[[#This Row],[Cde_Prdt]], tbl_Produits[Cde_Prdt], tbl_Produits[Coût Moyen Portion]), 0)</f>
        <v>0</v>
      </c>
      <c r="I1392" s="7">
        <f>tbl_Ventes[[#This Row],[Qté Vendue]] * tbl_Ventes[[#This Row],[CMP_par_portion]]</f>
        <v>0</v>
      </c>
      <c r="J1392" s="7">
        <f>tbl_Ventes[[#This Row],[CA ligne]] - tbl_Ventes[[#This Row],[Coût matière ligne]]</f>
        <v>0</v>
      </c>
      <c r="K1392" s="7" t="str">
        <f>IFERROR(INDEX(tbl_ProduitsRef[Famille], MATCH(tbl_Ventes[[#This Row],[Cde_Prdt]], tbl_Produits[Cde_Prdt], 0)), "")</f>
        <v/>
      </c>
    </row>
    <row r="1393" spans="1:11" x14ac:dyDescent="0.25">
      <c r="A1393" s="5"/>
      <c r="B1393" s="63" t="str">
        <f>IFERROR(TEXT(tbl_Ventes[[#This Row],[Date]],"mm-aaaa"),"")</f>
        <v>01-1900</v>
      </c>
      <c r="D1393" s="10" t="str">
        <f>IFERROR(
   INDEX(tbl_ProduitsRef[Cde_Prdt],MATCH(tbl_Ventes[[#This Row],[Produit]],tbl_ProduitsRef[Produit],0)),
   ""
)</f>
        <v/>
      </c>
      <c r="E1393" s="7">
        <v>0</v>
      </c>
      <c r="F1393" s="7" t="str">
        <f>IFERROR(
   INDEX(tbl_ProduitsRef[Prix Menu],MATCH(tbl_Ventes[[#This Row],[Produit]],tbl_ProduitsRef[Produit],0)),
   ""
)</f>
        <v/>
      </c>
      <c r="G1393" s="7">
        <f>tbl_Ventes[[#This Row],[Qté Vendue]] * IFERROR(_xlfn.XLOOKUP(tbl_Ventes[[#This Row],[Cde_Prdt]], tbl_Produits[Cde_Prdt], tbl_Produits[Prix Menu]), 0)</f>
        <v>0</v>
      </c>
      <c r="H1393" s="7">
        <f>IFERROR(_xlfn.XLOOKUP(tbl_Ventes[[#This Row],[Cde_Prdt]], tbl_Produits[Cde_Prdt], tbl_Produits[Coût Moyen Portion]), 0)</f>
        <v>0</v>
      </c>
      <c r="I1393" s="7">
        <f>tbl_Ventes[[#This Row],[Qté Vendue]] * tbl_Ventes[[#This Row],[CMP_par_portion]]</f>
        <v>0</v>
      </c>
      <c r="J1393" s="7">
        <f>tbl_Ventes[[#This Row],[CA ligne]] - tbl_Ventes[[#This Row],[Coût matière ligne]]</f>
        <v>0</v>
      </c>
      <c r="K1393" s="7" t="str">
        <f>IFERROR(INDEX(tbl_ProduitsRef[Famille], MATCH(tbl_Ventes[[#This Row],[Cde_Prdt]], tbl_Produits[Cde_Prdt], 0)), "")</f>
        <v/>
      </c>
    </row>
    <row r="1394" spans="1:11" x14ac:dyDescent="0.25">
      <c r="A1394" s="5"/>
      <c r="B1394" s="63" t="str">
        <f>IFERROR(TEXT(tbl_Ventes[[#This Row],[Date]],"mm-aaaa"),"")</f>
        <v>01-1900</v>
      </c>
      <c r="D1394" s="10" t="str">
        <f>IFERROR(
   INDEX(tbl_ProduitsRef[Cde_Prdt],MATCH(tbl_Ventes[[#This Row],[Produit]],tbl_ProduitsRef[Produit],0)),
   ""
)</f>
        <v/>
      </c>
      <c r="E1394" s="7">
        <v>0</v>
      </c>
      <c r="F1394" s="7" t="str">
        <f>IFERROR(
   INDEX(tbl_ProduitsRef[Prix Menu],MATCH(tbl_Ventes[[#This Row],[Produit]],tbl_ProduitsRef[Produit],0)),
   ""
)</f>
        <v/>
      </c>
      <c r="G1394" s="7">
        <f>tbl_Ventes[[#This Row],[Qté Vendue]] * IFERROR(_xlfn.XLOOKUP(tbl_Ventes[[#This Row],[Cde_Prdt]], tbl_Produits[Cde_Prdt], tbl_Produits[Prix Menu]), 0)</f>
        <v>0</v>
      </c>
      <c r="H1394" s="7">
        <f>IFERROR(_xlfn.XLOOKUP(tbl_Ventes[[#This Row],[Cde_Prdt]], tbl_Produits[Cde_Prdt], tbl_Produits[Coût Moyen Portion]), 0)</f>
        <v>0</v>
      </c>
      <c r="I1394" s="7">
        <f>tbl_Ventes[[#This Row],[Qté Vendue]] * tbl_Ventes[[#This Row],[CMP_par_portion]]</f>
        <v>0</v>
      </c>
      <c r="J1394" s="7">
        <f>tbl_Ventes[[#This Row],[CA ligne]] - tbl_Ventes[[#This Row],[Coût matière ligne]]</f>
        <v>0</v>
      </c>
      <c r="K1394" s="7" t="str">
        <f>IFERROR(INDEX(tbl_ProduitsRef[Famille], MATCH(tbl_Ventes[[#This Row],[Cde_Prdt]], tbl_Produits[Cde_Prdt], 0)), "")</f>
        <v/>
      </c>
    </row>
    <row r="1395" spans="1:11" x14ac:dyDescent="0.25">
      <c r="A1395" s="5"/>
      <c r="B1395" s="63" t="str">
        <f>IFERROR(TEXT(tbl_Ventes[[#This Row],[Date]],"mm-aaaa"),"")</f>
        <v>01-1900</v>
      </c>
      <c r="D1395" s="10" t="str">
        <f>IFERROR(
   INDEX(tbl_ProduitsRef[Cde_Prdt],MATCH(tbl_Ventes[[#This Row],[Produit]],tbl_ProduitsRef[Produit],0)),
   ""
)</f>
        <v/>
      </c>
      <c r="E1395" s="7">
        <v>0</v>
      </c>
      <c r="F1395" s="7" t="str">
        <f>IFERROR(
   INDEX(tbl_ProduitsRef[Prix Menu],MATCH(tbl_Ventes[[#This Row],[Produit]],tbl_ProduitsRef[Produit],0)),
   ""
)</f>
        <v/>
      </c>
      <c r="G1395" s="7">
        <f>tbl_Ventes[[#This Row],[Qté Vendue]] * IFERROR(_xlfn.XLOOKUP(tbl_Ventes[[#This Row],[Cde_Prdt]], tbl_Produits[Cde_Prdt], tbl_Produits[Prix Menu]), 0)</f>
        <v>0</v>
      </c>
      <c r="H1395" s="7">
        <f>IFERROR(_xlfn.XLOOKUP(tbl_Ventes[[#This Row],[Cde_Prdt]], tbl_Produits[Cde_Prdt], tbl_Produits[Coût Moyen Portion]), 0)</f>
        <v>0</v>
      </c>
      <c r="I1395" s="7">
        <f>tbl_Ventes[[#This Row],[Qté Vendue]] * tbl_Ventes[[#This Row],[CMP_par_portion]]</f>
        <v>0</v>
      </c>
      <c r="J1395" s="7">
        <f>tbl_Ventes[[#This Row],[CA ligne]] - tbl_Ventes[[#This Row],[Coût matière ligne]]</f>
        <v>0</v>
      </c>
      <c r="K1395" s="7" t="str">
        <f>IFERROR(INDEX(tbl_ProduitsRef[Famille], MATCH(tbl_Ventes[[#This Row],[Cde_Prdt]], tbl_Produits[Cde_Prdt], 0)), "")</f>
        <v/>
      </c>
    </row>
    <row r="1396" spans="1:11" x14ac:dyDescent="0.25">
      <c r="A1396" s="5"/>
      <c r="B1396" s="63" t="str">
        <f>IFERROR(TEXT(tbl_Ventes[[#This Row],[Date]],"mm-aaaa"),"")</f>
        <v>01-1900</v>
      </c>
      <c r="D1396" s="10" t="str">
        <f>IFERROR(
   INDEX(tbl_ProduitsRef[Cde_Prdt],MATCH(tbl_Ventes[[#This Row],[Produit]],tbl_ProduitsRef[Produit],0)),
   ""
)</f>
        <v/>
      </c>
      <c r="E1396" s="7">
        <v>0</v>
      </c>
      <c r="F1396" s="7" t="str">
        <f>IFERROR(
   INDEX(tbl_ProduitsRef[Prix Menu],MATCH(tbl_Ventes[[#This Row],[Produit]],tbl_ProduitsRef[Produit],0)),
   ""
)</f>
        <v/>
      </c>
      <c r="G1396" s="7">
        <f>tbl_Ventes[[#This Row],[Qté Vendue]] * IFERROR(_xlfn.XLOOKUP(tbl_Ventes[[#This Row],[Cde_Prdt]], tbl_Produits[Cde_Prdt], tbl_Produits[Prix Menu]), 0)</f>
        <v>0</v>
      </c>
      <c r="H1396" s="7">
        <f>IFERROR(_xlfn.XLOOKUP(tbl_Ventes[[#This Row],[Cde_Prdt]], tbl_Produits[Cde_Prdt], tbl_Produits[Coût Moyen Portion]), 0)</f>
        <v>0</v>
      </c>
      <c r="I1396" s="7">
        <f>tbl_Ventes[[#This Row],[Qté Vendue]] * tbl_Ventes[[#This Row],[CMP_par_portion]]</f>
        <v>0</v>
      </c>
      <c r="J1396" s="7">
        <f>tbl_Ventes[[#This Row],[CA ligne]] - tbl_Ventes[[#This Row],[Coût matière ligne]]</f>
        <v>0</v>
      </c>
      <c r="K1396" s="7" t="str">
        <f>IFERROR(INDEX(tbl_ProduitsRef[Famille], MATCH(tbl_Ventes[[#This Row],[Cde_Prdt]], tbl_Produits[Cde_Prdt], 0)), "")</f>
        <v/>
      </c>
    </row>
    <row r="1397" spans="1:11" x14ac:dyDescent="0.25">
      <c r="A1397" s="5"/>
      <c r="B1397" s="63" t="str">
        <f>IFERROR(TEXT(tbl_Ventes[[#This Row],[Date]],"mm-aaaa"),"")</f>
        <v>01-1900</v>
      </c>
      <c r="D1397" s="10" t="str">
        <f>IFERROR(
   INDEX(tbl_ProduitsRef[Cde_Prdt],MATCH(tbl_Ventes[[#This Row],[Produit]],tbl_ProduitsRef[Produit],0)),
   ""
)</f>
        <v/>
      </c>
      <c r="E1397" s="7">
        <v>0</v>
      </c>
      <c r="F1397" s="7" t="str">
        <f>IFERROR(
   INDEX(tbl_ProduitsRef[Prix Menu],MATCH(tbl_Ventes[[#This Row],[Produit]],tbl_ProduitsRef[Produit],0)),
   ""
)</f>
        <v/>
      </c>
      <c r="G1397" s="7">
        <f>tbl_Ventes[[#This Row],[Qté Vendue]] * IFERROR(_xlfn.XLOOKUP(tbl_Ventes[[#This Row],[Cde_Prdt]], tbl_Produits[Cde_Prdt], tbl_Produits[Prix Menu]), 0)</f>
        <v>0</v>
      </c>
      <c r="H1397" s="7">
        <f>IFERROR(_xlfn.XLOOKUP(tbl_Ventes[[#This Row],[Cde_Prdt]], tbl_Produits[Cde_Prdt], tbl_Produits[Coût Moyen Portion]), 0)</f>
        <v>0</v>
      </c>
      <c r="I1397" s="7">
        <f>tbl_Ventes[[#This Row],[Qté Vendue]] * tbl_Ventes[[#This Row],[CMP_par_portion]]</f>
        <v>0</v>
      </c>
      <c r="J1397" s="7">
        <f>tbl_Ventes[[#This Row],[CA ligne]] - tbl_Ventes[[#This Row],[Coût matière ligne]]</f>
        <v>0</v>
      </c>
      <c r="K1397" s="7" t="str">
        <f>IFERROR(INDEX(tbl_ProduitsRef[Famille], MATCH(tbl_Ventes[[#This Row],[Cde_Prdt]], tbl_Produits[Cde_Prdt], 0)), "")</f>
        <v/>
      </c>
    </row>
    <row r="1398" spans="1:11" x14ac:dyDescent="0.25">
      <c r="A1398" s="5"/>
      <c r="B1398" s="63" t="str">
        <f>IFERROR(TEXT(tbl_Ventes[[#This Row],[Date]],"mm-aaaa"),"")</f>
        <v>01-1900</v>
      </c>
      <c r="D1398" s="10" t="str">
        <f>IFERROR(
   INDEX(tbl_ProduitsRef[Cde_Prdt],MATCH(tbl_Ventes[[#This Row],[Produit]],tbl_ProduitsRef[Produit],0)),
   ""
)</f>
        <v/>
      </c>
      <c r="E1398" s="7">
        <v>0</v>
      </c>
      <c r="F1398" s="7" t="str">
        <f>IFERROR(
   INDEX(tbl_ProduitsRef[Prix Menu],MATCH(tbl_Ventes[[#This Row],[Produit]],tbl_ProduitsRef[Produit],0)),
   ""
)</f>
        <v/>
      </c>
      <c r="G1398" s="7">
        <f>tbl_Ventes[[#This Row],[Qté Vendue]] * IFERROR(_xlfn.XLOOKUP(tbl_Ventes[[#This Row],[Cde_Prdt]], tbl_Produits[Cde_Prdt], tbl_Produits[Prix Menu]), 0)</f>
        <v>0</v>
      </c>
      <c r="H1398" s="7">
        <f>IFERROR(_xlfn.XLOOKUP(tbl_Ventes[[#This Row],[Cde_Prdt]], tbl_Produits[Cde_Prdt], tbl_Produits[Coût Moyen Portion]), 0)</f>
        <v>0</v>
      </c>
      <c r="I1398" s="7">
        <f>tbl_Ventes[[#This Row],[Qté Vendue]] * tbl_Ventes[[#This Row],[CMP_par_portion]]</f>
        <v>0</v>
      </c>
      <c r="J1398" s="7">
        <f>tbl_Ventes[[#This Row],[CA ligne]] - tbl_Ventes[[#This Row],[Coût matière ligne]]</f>
        <v>0</v>
      </c>
      <c r="K1398" s="7" t="str">
        <f>IFERROR(INDEX(tbl_ProduitsRef[Famille], MATCH(tbl_Ventes[[#This Row],[Cde_Prdt]], tbl_Produits[Cde_Prdt], 0)), "")</f>
        <v/>
      </c>
    </row>
    <row r="1399" spans="1:11" x14ac:dyDescent="0.25">
      <c r="A1399" s="5"/>
      <c r="B1399" s="63" t="str">
        <f>IFERROR(TEXT(tbl_Ventes[[#This Row],[Date]],"mm-aaaa"),"")</f>
        <v>01-1900</v>
      </c>
      <c r="D1399" s="10" t="str">
        <f>IFERROR(
   INDEX(tbl_ProduitsRef[Cde_Prdt],MATCH(tbl_Ventes[[#This Row],[Produit]],tbl_ProduitsRef[Produit],0)),
   ""
)</f>
        <v/>
      </c>
      <c r="E1399" s="7">
        <v>0</v>
      </c>
      <c r="F1399" s="7" t="str">
        <f>IFERROR(
   INDEX(tbl_ProduitsRef[Prix Menu],MATCH(tbl_Ventes[[#This Row],[Produit]],tbl_ProduitsRef[Produit],0)),
   ""
)</f>
        <v/>
      </c>
      <c r="G1399" s="7">
        <f>tbl_Ventes[[#This Row],[Qté Vendue]] * IFERROR(_xlfn.XLOOKUP(tbl_Ventes[[#This Row],[Cde_Prdt]], tbl_Produits[Cde_Prdt], tbl_Produits[Prix Menu]), 0)</f>
        <v>0</v>
      </c>
      <c r="H1399" s="7">
        <f>IFERROR(_xlfn.XLOOKUP(tbl_Ventes[[#This Row],[Cde_Prdt]], tbl_Produits[Cde_Prdt], tbl_Produits[Coût Moyen Portion]), 0)</f>
        <v>0</v>
      </c>
      <c r="I1399" s="7">
        <f>tbl_Ventes[[#This Row],[Qté Vendue]] * tbl_Ventes[[#This Row],[CMP_par_portion]]</f>
        <v>0</v>
      </c>
      <c r="J1399" s="7">
        <f>tbl_Ventes[[#This Row],[CA ligne]] - tbl_Ventes[[#This Row],[Coût matière ligne]]</f>
        <v>0</v>
      </c>
      <c r="K1399" s="7" t="str">
        <f>IFERROR(INDEX(tbl_ProduitsRef[Famille], MATCH(tbl_Ventes[[#This Row],[Cde_Prdt]], tbl_Produits[Cde_Prdt], 0)), "")</f>
        <v/>
      </c>
    </row>
    <row r="1400" spans="1:11" x14ac:dyDescent="0.25">
      <c r="A1400" s="5"/>
      <c r="B1400" s="63" t="str">
        <f>IFERROR(TEXT(tbl_Ventes[[#This Row],[Date]],"mm-aaaa"),"")</f>
        <v>01-1900</v>
      </c>
      <c r="D1400" s="10" t="str">
        <f>IFERROR(
   INDEX(tbl_ProduitsRef[Cde_Prdt],MATCH(tbl_Ventes[[#This Row],[Produit]],tbl_ProduitsRef[Produit],0)),
   ""
)</f>
        <v/>
      </c>
      <c r="E1400" s="7">
        <v>0</v>
      </c>
      <c r="F1400" s="7" t="str">
        <f>IFERROR(
   INDEX(tbl_ProduitsRef[Prix Menu],MATCH(tbl_Ventes[[#This Row],[Produit]],tbl_ProduitsRef[Produit],0)),
   ""
)</f>
        <v/>
      </c>
      <c r="G1400" s="7">
        <f>tbl_Ventes[[#This Row],[Qté Vendue]] * IFERROR(_xlfn.XLOOKUP(tbl_Ventes[[#This Row],[Cde_Prdt]], tbl_Produits[Cde_Prdt], tbl_Produits[Prix Menu]), 0)</f>
        <v>0</v>
      </c>
      <c r="H1400" s="7">
        <f>IFERROR(_xlfn.XLOOKUP(tbl_Ventes[[#This Row],[Cde_Prdt]], tbl_Produits[Cde_Prdt], tbl_Produits[Coût Moyen Portion]), 0)</f>
        <v>0</v>
      </c>
      <c r="I1400" s="7">
        <f>tbl_Ventes[[#This Row],[Qté Vendue]] * tbl_Ventes[[#This Row],[CMP_par_portion]]</f>
        <v>0</v>
      </c>
      <c r="J1400" s="7">
        <f>tbl_Ventes[[#This Row],[CA ligne]] - tbl_Ventes[[#This Row],[Coût matière ligne]]</f>
        <v>0</v>
      </c>
      <c r="K1400" s="7" t="str">
        <f>IFERROR(INDEX(tbl_ProduitsRef[Famille], MATCH(tbl_Ventes[[#This Row],[Cde_Prdt]], tbl_Produits[Cde_Prdt], 0)), "")</f>
        <v/>
      </c>
    </row>
    <row r="1401" spans="1:11" x14ac:dyDescent="0.25">
      <c r="A1401" s="5"/>
      <c r="B1401" s="63" t="str">
        <f>IFERROR(TEXT(tbl_Ventes[[#This Row],[Date]],"mm-aaaa"),"")</f>
        <v>01-1900</v>
      </c>
      <c r="D1401" s="10" t="str">
        <f>IFERROR(
   INDEX(tbl_ProduitsRef[Cde_Prdt],MATCH(tbl_Ventes[[#This Row],[Produit]],tbl_ProduitsRef[Produit],0)),
   ""
)</f>
        <v/>
      </c>
      <c r="E1401" s="7">
        <v>0</v>
      </c>
      <c r="F1401" s="7" t="str">
        <f>IFERROR(
   INDEX(tbl_ProduitsRef[Prix Menu],MATCH(tbl_Ventes[[#This Row],[Produit]],tbl_ProduitsRef[Produit],0)),
   ""
)</f>
        <v/>
      </c>
      <c r="G1401" s="7">
        <f>tbl_Ventes[[#This Row],[Qté Vendue]] * IFERROR(_xlfn.XLOOKUP(tbl_Ventes[[#This Row],[Cde_Prdt]], tbl_Produits[Cde_Prdt], tbl_Produits[Prix Menu]), 0)</f>
        <v>0</v>
      </c>
      <c r="H1401" s="7">
        <f>IFERROR(_xlfn.XLOOKUP(tbl_Ventes[[#This Row],[Cde_Prdt]], tbl_Produits[Cde_Prdt], tbl_Produits[Coût Moyen Portion]), 0)</f>
        <v>0</v>
      </c>
      <c r="I1401" s="7">
        <f>tbl_Ventes[[#This Row],[Qté Vendue]] * tbl_Ventes[[#This Row],[CMP_par_portion]]</f>
        <v>0</v>
      </c>
      <c r="J1401" s="7">
        <f>tbl_Ventes[[#This Row],[CA ligne]] - tbl_Ventes[[#This Row],[Coût matière ligne]]</f>
        <v>0</v>
      </c>
      <c r="K1401" s="7" t="str">
        <f>IFERROR(INDEX(tbl_ProduitsRef[Famille], MATCH(tbl_Ventes[[#This Row],[Cde_Prdt]], tbl_Produits[Cde_Prdt], 0)), "")</f>
        <v/>
      </c>
    </row>
    <row r="1402" spans="1:11" x14ac:dyDescent="0.25">
      <c r="A1402" s="5"/>
      <c r="B1402" s="63" t="str">
        <f>IFERROR(TEXT(tbl_Ventes[[#This Row],[Date]],"mm-aaaa"),"")</f>
        <v>01-1900</v>
      </c>
      <c r="D1402" s="10" t="str">
        <f>IFERROR(
   INDEX(tbl_ProduitsRef[Cde_Prdt],MATCH(tbl_Ventes[[#This Row],[Produit]],tbl_ProduitsRef[Produit],0)),
   ""
)</f>
        <v/>
      </c>
      <c r="E1402" s="7">
        <v>0</v>
      </c>
      <c r="F1402" s="7" t="str">
        <f>IFERROR(
   INDEX(tbl_ProduitsRef[Prix Menu],MATCH(tbl_Ventes[[#This Row],[Produit]],tbl_ProduitsRef[Produit],0)),
   ""
)</f>
        <v/>
      </c>
      <c r="G1402" s="7">
        <f>tbl_Ventes[[#This Row],[Qté Vendue]] * IFERROR(_xlfn.XLOOKUP(tbl_Ventes[[#This Row],[Cde_Prdt]], tbl_Produits[Cde_Prdt], tbl_Produits[Prix Menu]), 0)</f>
        <v>0</v>
      </c>
      <c r="H1402" s="7">
        <f>IFERROR(_xlfn.XLOOKUP(tbl_Ventes[[#This Row],[Cde_Prdt]], tbl_Produits[Cde_Prdt], tbl_Produits[Coût Moyen Portion]), 0)</f>
        <v>0</v>
      </c>
      <c r="I1402" s="7">
        <f>tbl_Ventes[[#This Row],[Qté Vendue]] * tbl_Ventes[[#This Row],[CMP_par_portion]]</f>
        <v>0</v>
      </c>
      <c r="J1402" s="7">
        <f>tbl_Ventes[[#This Row],[CA ligne]] - tbl_Ventes[[#This Row],[Coût matière ligne]]</f>
        <v>0</v>
      </c>
      <c r="K1402" s="7" t="str">
        <f>IFERROR(INDEX(tbl_ProduitsRef[Famille], MATCH(tbl_Ventes[[#This Row],[Cde_Prdt]], tbl_Produits[Cde_Prdt], 0)), "")</f>
        <v/>
      </c>
    </row>
    <row r="1403" spans="1:11" x14ac:dyDescent="0.25">
      <c r="A1403" s="5"/>
      <c r="B1403" s="63" t="str">
        <f>IFERROR(TEXT(tbl_Ventes[[#This Row],[Date]],"mm-aaaa"),"")</f>
        <v>01-1900</v>
      </c>
      <c r="D1403" s="10" t="str">
        <f>IFERROR(
   INDEX(tbl_ProduitsRef[Cde_Prdt],MATCH(tbl_Ventes[[#This Row],[Produit]],tbl_ProduitsRef[Produit],0)),
   ""
)</f>
        <v/>
      </c>
      <c r="E1403" s="7">
        <v>0</v>
      </c>
      <c r="F1403" s="7" t="str">
        <f>IFERROR(
   INDEX(tbl_ProduitsRef[Prix Menu],MATCH(tbl_Ventes[[#This Row],[Produit]],tbl_ProduitsRef[Produit],0)),
   ""
)</f>
        <v/>
      </c>
      <c r="G1403" s="7">
        <f>tbl_Ventes[[#This Row],[Qté Vendue]] * IFERROR(_xlfn.XLOOKUP(tbl_Ventes[[#This Row],[Cde_Prdt]], tbl_Produits[Cde_Prdt], tbl_Produits[Prix Menu]), 0)</f>
        <v>0</v>
      </c>
      <c r="H1403" s="7">
        <f>IFERROR(_xlfn.XLOOKUP(tbl_Ventes[[#This Row],[Cde_Prdt]], tbl_Produits[Cde_Prdt], tbl_Produits[Coût Moyen Portion]), 0)</f>
        <v>0</v>
      </c>
      <c r="I1403" s="7">
        <f>tbl_Ventes[[#This Row],[Qté Vendue]] * tbl_Ventes[[#This Row],[CMP_par_portion]]</f>
        <v>0</v>
      </c>
      <c r="J1403" s="7">
        <f>tbl_Ventes[[#This Row],[CA ligne]] - tbl_Ventes[[#This Row],[Coût matière ligne]]</f>
        <v>0</v>
      </c>
      <c r="K1403" s="7" t="str">
        <f>IFERROR(INDEX(tbl_ProduitsRef[Famille], MATCH(tbl_Ventes[[#This Row],[Cde_Prdt]], tbl_Produits[Cde_Prdt], 0)), "")</f>
        <v/>
      </c>
    </row>
    <row r="1404" spans="1:11" x14ac:dyDescent="0.25">
      <c r="A1404" s="5"/>
      <c r="B1404" s="63" t="str">
        <f>IFERROR(TEXT(tbl_Ventes[[#This Row],[Date]],"mm-aaaa"),"")</f>
        <v>01-1900</v>
      </c>
      <c r="D1404" s="10" t="str">
        <f>IFERROR(
   INDEX(tbl_ProduitsRef[Cde_Prdt],MATCH(tbl_Ventes[[#This Row],[Produit]],tbl_ProduitsRef[Produit],0)),
   ""
)</f>
        <v/>
      </c>
      <c r="E1404" s="7">
        <v>0</v>
      </c>
      <c r="F1404" s="7" t="str">
        <f>IFERROR(
   INDEX(tbl_ProduitsRef[Prix Menu],MATCH(tbl_Ventes[[#This Row],[Produit]],tbl_ProduitsRef[Produit],0)),
   ""
)</f>
        <v/>
      </c>
      <c r="G1404" s="7">
        <f>tbl_Ventes[[#This Row],[Qté Vendue]] * IFERROR(_xlfn.XLOOKUP(tbl_Ventes[[#This Row],[Cde_Prdt]], tbl_Produits[Cde_Prdt], tbl_Produits[Prix Menu]), 0)</f>
        <v>0</v>
      </c>
      <c r="H1404" s="7">
        <f>IFERROR(_xlfn.XLOOKUP(tbl_Ventes[[#This Row],[Cde_Prdt]], tbl_Produits[Cde_Prdt], tbl_Produits[Coût Moyen Portion]), 0)</f>
        <v>0</v>
      </c>
      <c r="I1404" s="7">
        <f>tbl_Ventes[[#This Row],[Qté Vendue]] * tbl_Ventes[[#This Row],[CMP_par_portion]]</f>
        <v>0</v>
      </c>
      <c r="J1404" s="7">
        <f>tbl_Ventes[[#This Row],[CA ligne]] - tbl_Ventes[[#This Row],[Coût matière ligne]]</f>
        <v>0</v>
      </c>
      <c r="K1404" s="7" t="str">
        <f>IFERROR(INDEX(tbl_ProduitsRef[Famille], MATCH(tbl_Ventes[[#This Row],[Cde_Prdt]], tbl_Produits[Cde_Prdt], 0)), "")</f>
        <v/>
      </c>
    </row>
    <row r="1405" spans="1:11" x14ac:dyDescent="0.25">
      <c r="A1405" s="5"/>
      <c r="B1405" s="63" t="str">
        <f>IFERROR(TEXT(tbl_Ventes[[#This Row],[Date]],"mm-aaaa"),"")</f>
        <v>01-1900</v>
      </c>
      <c r="D1405" s="10" t="str">
        <f>IFERROR(
   INDEX(tbl_ProduitsRef[Cde_Prdt],MATCH(tbl_Ventes[[#This Row],[Produit]],tbl_ProduitsRef[Produit],0)),
   ""
)</f>
        <v/>
      </c>
      <c r="E1405" s="7">
        <v>0</v>
      </c>
      <c r="F1405" s="7" t="str">
        <f>IFERROR(
   INDEX(tbl_ProduitsRef[Prix Menu],MATCH(tbl_Ventes[[#This Row],[Produit]],tbl_ProduitsRef[Produit],0)),
   ""
)</f>
        <v/>
      </c>
      <c r="G1405" s="7">
        <f>tbl_Ventes[[#This Row],[Qté Vendue]] * IFERROR(_xlfn.XLOOKUP(tbl_Ventes[[#This Row],[Cde_Prdt]], tbl_Produits[Cde_Prdt], tbl_Produits[Prix Menu]), 0)</f>
        <v>0</v>
      </c>
      <c r="H1405" s="7">
        <f>IFERROR(_xlfn.XLOOKUP(tbl_Ventes[[#This Row],[Cde_Prdt]], tbl_Produits[Cde_Prdt], tbl_Produits[Coût Moyen Portion]), 0)</f>
        <v>0</v>
      </c>
      <c r="I1405" s="7">
        <f>tbl_Ventes[[#This Row],[Qté Vendue]] * tbl_Ventes[[#This Row],[CMP_par_portion]]</f>
        <v>0</v>
      </c>
      <c r="J1405" s="7">
        <f>tbl_Ventes[[#This Row],[CA ligne]] - tbl_Ventes[[#This Row],[Coût matière ligne]]</f>
        <v>0</v>
      </c>
      <c r="K1405" s="7" t="str">
        <f>IFERROR(INDEX(tbl_ProduitsRef[Famille], MATCH(tbl_Ventes[[#This Row],[Cde_Prdt]], tbl_Produits[Cde_Prdt], 0)), "")</f>
        <v/>
      </c>
    </row>
    <row r="1406" spans="1:11" x14ac:dyDescent="0.25">
      <c r="A1406" s="5"/>
      <c r="B1406" s="63" t="str">
        <f>IFERROR(TEXT(tbl_Ventes[[#This Row],[Date]],"mm-aaaa"),"")</f>
        <v>01-1900</v>
      </c>
      <c r="D1406" s="10" t="str">
        <f>IFERROR(
   INDEX(tbl_ProduitsRef[Cde_Prdt],MATCH(tbl_Ventes[[#This Row],[Produit]],tbl_ProduitsRef[Produit],0)),
   ""
)</f>
        <v/>
      </c>
      <c r="E1406" s="7">
        <v>0</v>
      </c>
      <c r="F1406" s="7" t="str">
        <f>IFERROR(
   INDEX(tbl_ProduitsRef[Prix Menu],MATCH(tbl_Ventes[[#This Row],[Produit]],tbl_ProduitsRef[Produit],0)),
   ""
)</f>
        <v/>
      </c>
      <c r="G1406" s="7">
        <f>tbl_Ventes[[#This Row],[Qté Vendue]] * IFERROR(_xlfn.XLOOKUP(tbl_Ventes[[#This Row],[Cde_Prdt]], tbl_Produits[Cde_Prdt], tbl_Produits[Prix Menu]), 0)</f>
        <v>0</v>
      </c>
      <c r="H1406" s="7">
        <f>IFERROR(_xlfn.XLOOKUP(tbl_Ventes[[#This Row],[Cde_Prdt]], tbl_Produits[Cde_Prdt], tbl_Produits[Coût Moyen Portion]), 0)</f>
        <v>0</v>
      </c>
      <c r="I1406" s="7">
        <f>tbl_Ventes[[#This Row],[Qté Vendue]] * tbl_Ventes[[#This Row],[CMP_par_portion]]</f>
        <v>0</v>
      </c>
      <c r="J1406" s="7">
        <f>tbl_Ventes[[#This Row],[CA ligne]] - tbl_Ventes[[#This Row],[Coût matière ligne]]</f>
        <v>0</v>
      </c>
      <c r="K1406" s="7" t="str">
        <f>IFERROR(INDEX(tbl_ProduitsRef[Famille], MATCH(tbl_Ventes[[#This Row],[Cde_Prdt]], tbl_Produits[Cde_Prdt], 0)), "")</f>
        <v/>
      </c>
    </row>
    <row r="1407" spans="1:11" x14ac:dyDescent="0.25">
      <c r="A1407" s="5"/>
      <c r="B1407" s="63" t="str">
        <f>IFERROR(TEXT(tbl_Ventes[[#This Row],[Date]],"mm-aaaa"),"")</f>
        <v>01-1900</v>
      </c>
      <c r="D1407" s="10" t="str">
        <f>IFERROR(
   INDEX(tbl_ProduitsRef[Cde_Prdt],MATCH(tbl_Ventes[[#This Row],[Produit]],tbl_ProduitsRef[Produit],0)),
   ""
)</f>
        <v/>
      </c>
      <c r="E1407" s="7">
        <v>0</v>
      </c>
      <c r="F1407" s="7" t="str">
        <f>IFERROR(
   INDEX(tbl_ProduitsRef[Prix Menu],MATCH(tbl_Ventes[[#This Row],[Produit]],tbl_ProduitsRef[Produit],0)),
   ""
)</f>
        <v/>
      </c>
      <c r="G1407" s="7">
        <f>tbl_Ventes[[#This Row],[Qté Vendue]] * IFERROR(_xlfn.XLOOKUP(tbl_Ventes[[#This Row],[Cde_Prdt]], tbl_Produits[Cde_Prdt], tbl_Produits[Prix Menu]), 0)</f>
        <v>0</v>
      </c>
      <c r="H1407" s="7">
        <f>IFERROR(_xlfn.XLOOKUP(tbl_Ventes[[#This Row],[Cde_Prdt]], tbl_Produits[Cde_Prdt], tbl_Produits[Coût Moyen Portion]), 0)</f>
        <v>0</v>
      </c>
      <c r="I1407" s="7">
        <f>tbl_Ventes[[#This Row],[Qté Vendue]] * tbl_Ventes[[#This Row],[CMP_par_portion]]</f>
        <v>0</v>
      </c>
      <c r="J1407" s="7">
        <f>tbl_Ventes[[#This Row],[CA ligne]] - tbl_Ventes[[#This Row],[Coût matière ligne]]</f>
        <v>0</v>
      </c>
      <c r="K1407" s="7" t="str">
        <f>IFERROR(INDEX(tbl_ProduitsRef[Famille], MATCH(tbl_Ventes[[#This Row],[Cde_Prdt]], tbl_Produits[Cde_Prdt], 0)), "")</f>
        <v/>
      </c>
    </row>
    <row r="1408" spans="1:11" x14ac:dyDescent="0.25">
      <c r="A1408" s="5"/>
      <c r="B1408" s="63" t="str">
        <f>IFERROR(TEXT(tbl_Ventes[[#This Row],[Date]],"mm-aaaa"),"")</f>
        <v>01-1900</v>
      </c>
      <c r="D1408" s="10" t="str">
        <f>IFERROR(
   INDEX(tbl_ProduitsRef[Cde_Prdt],MATCH(tbl_Ventes[[#This Row],[Produit]],tbl_ProduitsRef[Produit],0)),
   ""
)</f>
        <v/>
      </c>
      <c r="E1408" s="7">
        <v>0</v>
      </c>
      <c r="F1408" s="7" t="str">
        <f>IFERROR(
   INDEX(tbl_ProduitsRef[Prix Menu],MATCH(tbl_Ventes[[#This Row],[Produit]],tbl_ProduitsRef[Produit],0)),
   ""
)</f>
        <v/>
      </c>
      <c r="G1408" s="7">
        <f>tbl_Ventes[[#This Row],[Qté Vendue]] * IFERROR(_xlfn.XLOOKUP(tbl_Ventes[[#This Row],[Cde_Prdt]], tbl_Produits[Cde_Prdt], tbl_Produits[Prix Menu]), 0)</f>
        <v>0</v>
      </c>
      <c r="H1408" s="7">
        <f>IFERROR(_xlfn.XLOOKUP(tbl_Ventes[[#This Row],[Cde_Prdt]], tbl_Produits[Cde_Prdt], tbl_Produits[Coût Moyen Portion]), 0)</f>
        <v>0</v>
      </c>
      <c r="I1408" s="7">
        <f>tbl_Ventes[[#This Row],[Qté Vendue]] * tbl_Ventes[[#This Row],[CMP_par_portion]]</f>
        <v>0</v>
      </c>
      <c r="J1408" s="7">
        <f>tbl_Ventes[[#This Row],[CA ligne]] - tbl_Ventes[[#This Row],[Coût matière ligne]]</f>
        <v>0</v>
      </c>
      <c r="K1408" s="7" t="str">
        <f>IFERROR(INDEX(tbl_ProduitsRef[Famille], MATCH(tbl_Ventes[[#This Row],[Cde_Prdt]], tbl_Produits[Cde_Prdt], 0)), "")</f>
        <v/>
      </c>
    </row>
    <row r="1409" spans="1:11" x14ac:dyDescent="0.25">
      <c r="A1409" s="5"/>
      <c r="B1409" s="63" t="str">
        <f>IFERROR(TEXT(tbl_Ventes[[#This Row],[Date]],"mm-aaaa"),"")</f>
        <v>01-1900</v>
      </c>
      <c r="D1409" s="10" t="str">
        <f>IFERROR(
   INDEX(tbl_ProduitsRef[Cde_Prdt],MATCH(tbl_Ventes[[#This Row],[Produit]],tbl_ProduitsRef[Produit],0)),
   ""
)</f>
        <v/>
      </c>
      <c r="E1409" s="7">
        <v>0</v>
      </c>
      <c r="F1409" s="7" t="str">
        <f>IFERROR(
   INDEX(tbl_ProduitsRef[Prix Menu],MATCH(tbl_Ventes[[#This Row],[Produit]],tbl_ProduitsRef[Produit],0)),
   ""
)</f>
        <v/>
      </c>
      <c r="G1409" s="7">
        <f>tbl_Ventes[[#This Row],[Qté Vendue]] * IFERROR(_xlfn.XLOOKUP(tbl_Ventes[[#This Row],[Cde_Prdt]], tbl_Produits[Cde_Prdt], tbl_Produits[Prix Menu]), 0)</f>
        <v>0</v>
      </c>
      <c r="H1409" s="7">
        <f>IFERROR(_xlfn.XLOOKUP(tbl_Ventes[[#This Row],[Cde_Prdt]], tbl_Produits[Cde_Prdt], tbl_Produits[Coût Moyen Portion]), 0)</f>
        <v>0</v>
      </c>
      <c r="I1409" s="7">
        <f>tbl_Ventes[[#This Row],[Qté Vendue]] * tbl_Ventes[[#This Row],[CMP_par_portion]]</f>
        <v>0</v>
      </c>
      <c r="J1409" s="7">
        <f>tbl_Ventes[[#This Row],[CA ligne]] - tbl_Ventes[[#This Row],[Coût matière ligne]]</f>
        <v>0</v>
      </c>
      <c r="K1409" s="7" t="str">
        <f>IFERROR(INDEX(tbl_ProduitsRef[Famille], MATCH(tbl_Ventes[[#This Row],[Cde_Prdt]], tbl_Produits[Cde_Prdt], 0)), "")</f>
        <v/>
      </c>
    </row>
    <row r="1410" spans="1:11" x14ac:dyDescent="0.25">
      <c r="A1410" s="5"/>
      <c r="B1410" s="63" t="str">
        <f>IFERROR(TEXT(tbl_Ventes[[#This Row],[Date]],"mm-aaaa"),"")</f>
        <v>01-1900</v>
      </c>
      <c r="D1410" s="10" t="str">
        <f>IFERROR(
   INDEX(tbl_ProduitsRef[Cde_Prdt],MATCH(tbl_Ventes[[#This Row],[Produit]],tbl_ProduitsRef[Produit],0)),
   ""
)</f>
        <v/>
      </c>
      <c r="E1410" s="7">
        <v>0</v>
      </c>
      <c r="F1410" s="7" t="str">
        <f>IFERROR(
   INDEX(tbl_ProduitsRef[Prix Menu],MATCH(tbl_Ventes[[#This Row],[Produit]],tbl_ProduitsRef[Produit],0)),
   ""
)</f>
        <v/>
      </c>
      <c r="G1410" s="7">
        <f>tbl_Ventes[[#This Row],[Qté Vendue]] * IFERROR(_xlfn.XLOOKUP(tbl_Ventes[[#This Row],[Cde_Prdt]], tbl_Produits[Cde_Prdt], tbl_Produits[Prix Menu]), 0)</f>
        <v>0</v>
      </c>
      <c r="H1410" s="7">
        <f>IFERROR(_xlfn.XLOOKUP(tbl_Ventes[[#This Row],[Cde_Prdt]], tbl_Produits[Cde_Prdt], tbl_Produits[Coût Moyen Portion]), 0)</f>
        <v>0</v>
      </c>
      <c r="I1410" s="7">
        <f>tbl_Ventes[[#This Row],[Qté Vendue]] * tbl_Ventes[[#This Row],[CMP_par_portion]]</f>
        <v>0</v>
      </c>
      <c r="J1410" s="7">
        <f>tbl_Ventes[[#This Row],[CA ligne]] - tbl_Ventes[[#This Row],[Coût matière ligne]]</f>
        <v>0</v>
      </c>
      <c r="K1410" s="7" t="str">
        <f>IFERROR(INDEX(tbl_ProduitsRef[Famille], MATCH(tbl_Ventes[[#This Row],[Cde_Prdt]], tbl_Produits[Cde_Prdt], 0)), "")</f>
        <v/>
      </c>
    </row>
    <row r="1411" spans="1:11" x14ac:dyDescent="0.25">
      <c r="A1411" s="5"/>
      <c r="B1411" s="63" t="str">
        <f>IFERROR(TEXT(tbl_Ventes[[#This Row],[Date]],"mm-aaaa"),"")</f>
        <v>01-1900</v>
      </c>
      <c r="D1411" s="10" t="str">
        <f>IFERROR(
   INDEX(tbl_ProduitsRef[Cde_Prdt],MATCH(tbl_Ventes[[#This Row],[Produit]],tbl_ProduitsRef[Produit],0)),
   ""
)</f>
        <v/>
      </c>
      <c r="E1411" s="7">
        <v>0</v>
      </c>
      <c r="F1411" s="7" t="str">
        <f>IFERROR(
   INDEX(tbl_ProduitsRef[Prix Menu],MATCH(tbl_Ventes[[#This Row],[Produit]],tbl_ProduitsRef[Produit],0)),
   ""
)</f>
        <v/>
      </c>
      <c r="G1411" s="7">
        <f>tbl_Ventes[[#This Row],[Qté Vendue]] * IFERROR(_xlfn.XLOOKUP(tbl_Ventes[[#This Row],[Cde_Prdt]], tbl_Produits[Cde_Prdt], tbl_Produits[Prix Menu]), 0)</f>
        <v>0</v>
      </c>
      <c r="H1411" s="7">
        <f>IFERROR(_xlfn.XLOOKUP(tbl_Ventes[[#This Row],[Cde_Prdt]], tbl_Produits[Cde_Prdt], tbl_Produits[Coût Moyen Portion]), 0)</f>
        <v>0</v>
      </c>
      <c r="I1411" s="7">
        <f>tbl_Ventes[[#This Row],[Qté Vendue]] * tbl_Ventes[[#This Row],[CMP_par_portion]]</f>
        <v>0</v>
      </c>
      <c r="J1411" s="7">
        <f>tbl_Ventes[[#This Row],[CA ligne]] - tbl_Ventes[[#This Row],[Coût matière ligne]]</f>
        <v>0</v>
      </c>
      <c r="K1411" s="7" t="str">
        <f>IFERROR(INDEX(tbl_ProduitsRef[Famille], MATCH(tbl_Ventes[[#This Row],[Cde_Prdt]], tbl_Produits[Cde_Prdt], 0)), "")</f>
        <v/>
      </c>
    </row>
    <row r="1412" spans="1:11" x14ac:dyDescent="0.25">
      <c r="A1412" s="5"/>
      <c r="B1412" s="63" t="str">
        <f>IFERROR(TEXT(tbl_Ventes[[#This Row],[Date]],"mm-aaaa"),"")</f>
        <v>01-1900</v>
      </c>
      <c r="D1412" s="10" t="str">
        <f>IFERROR(
   INDEX(tbl_ProduitsRef[Cde_Prdt],MATCH(tbl_Ventes[[#This Row],[Produit]],tbl_ProduitsRef[Produit],0)),
   ""
)</f>
        <v/>
      </c>
      <c r="E1412" s="7">
        <v>0</v>
      </c>
      <c r="F1412" s="7" t="str">
        <f>IFERROR(
   INDEX(tbl_ProduitsRef[Prix Menu],MATCH(tbl_Ventes[[#This Row],[Produit]],tbl_ProduitsRef[Produit],0)),
   ""
)</f>
        <v/>
      </c>
      <c r="G1412" s="7">
        <f>tbl_Ventes[[#This Row],[Qté Vendue]] * IFERROR(_xlfn.XLOOKUP(tbl_Ventes[[#This Row],[Cde_Prdt]], tbl_Produits[Cde_Prdt], tbl_Produits[Prix Menu]), 0)</f>
        <v>0</v>
      </c>
      <c r="H1412" s="7">
        <f>IFERROR(_xlfn.XLOOKUP(tbl_Ventes[[#This Row],[Cde_Prdt]], tbl_Produits[Cde_Prdt], tbl_Produits[Coût Moyen Portion]), 0)</f>
        <v>0</v>
      </c>
      <c r="I1412" s="7">
        <f>tbl_Ventes[[#This Row],[Qté Vendue]] * tbl_Ventes[[#This Row],[CMP_par_portion]]</f>
        <v>0</v>
      </c>
      <c r="J1412" s="7">
        <f>tbl_Ventes[[#This Row],[CA ligne]] - tbl_Ventes[[#This Row],[Coût matière ligne]]</f>
        <v>0</v>
      </c>
      <c r="K1412" s="7" t="str">
        <f>IFERROR(INDEX(tbl_ProduitsRef[Famille], MATCH(tbl_Ventes[[#This Row],[Cde_Prdt]], tbl_Produits[Cde_Prdt], 0)), "")</f>
        <v/>
      </c>
    </row>
    <row r="1413" spans="1:11" x14ac:dyDescent="0.25">
      <c r="A1413" s="5"/>
      <c r="B1413" s="63" t="str">
        <f>IFERROR(TEXT(tbl_Ventes[[#This Row],[Date]],"mm-aaaa"),"")</f>
        <v>01-1900</v>
      </c>
      <c r="D1413" s="10" t="str">
        <f>IFERROR(
   INDEX(tbl_ProduitsRef[Cde_Prdt],MATCH(tbl_Ventes[[#This Row],[Produit]],tbl_ProduitsRef[Produit],0)),
   ""
)</f>
        <v/>
      </c>
      <c r="E1413" s="7">
        <v>0</v>
      </c>
      <c r="F1413" s="7" t="str">
        <f>IFERROR(
   INDEX(tbl_ProduitsRef[Prix Menu],MATCH(tbl_Ventes[[#This Row],[Produit]],tbl_ProduitsRef[Produit],0)),
   ""
)</f>
        <v/>
      </c>
      <c r="G1413" s="7">
        <f>tbl_Ventes[[#This Row],[Qté Vendue]] * IFERROR(_xlfn.XLOOKUP(tbl_Ventes[[#This Row],[Cde_Prdt]], tbl_Produits[Cde_Prdt], tbl_Produits[Prix Menu]), 0)</f>
        <v>0</v>
      </c>
      <c r="H1413" s="7">
        <f>IFERROR(_xlfn.XLOOKUP(tbl_Ventes[[#This Row],[Cde_Prdt]], tbl_Produits[Cde_Prdt], tbl_Produits[Coût Moyen Portion]), 0)</f>
        <v>0</v>
      </c>
      <c r="I1413" s="7">
        <f>tbl_Ventes[[#This Row],[Qté Vendue]] * tbl_Ventes[[#This Row],[CMP_par_portion]]</f>
        <v>0</v>
      </c>
      <c r="J1413" s="7">
        <f>tbl_Ventes[[#This Row],[CA ligne]] - tbl_Ventes[[#This Row],[Coût matière ligne]]</f>
        <v>0</v>
      </c>
      <c r="K1413" s="7" t="str">
        <f>IFERROR(INDEX(tbl_ProduitsRef[Famille], MATCH(tbl_Ventes[[#This Row],[Cde_Prdt]], tbl_Produits[Cde_Prdt], 0)), "")</f>
        <v/>
      </c>
    </row>
    <row r="1414" spans="1:11" x14ac:dyDescent="0.25">
      <c r="A1414" s="5"/>
      <c r="B1414" s="63" t="str">
        <f>IFERROR(TEXT(tbl_Ventes[[#This Row],[Date]],"mm-aaaa"),"")</f>
        <v>01-1900</v>
      </c>
      <c r="D1414" s="10" t="str">
        <f>IFERROR(
   INDEX(tbl_ProduitsRef[Cde_Prdt],MATCH(tbl_Ventes[[#This Row],[Produit]],tbl_ProduitsRef[Produit],0)),
   ""
)</f>
        <v/>
      </c>
      <c r="E1414" s="7">
        <v>0</v>
      </c>
      <c r="F1414" s="7" t="str">
        <f>IFERROR(
   INDEX(tbl_ProduitsRef[Prix Menu],MATCH(tbl_Ventes[[#This Row],[Produit]],tbl_ProduitsRef[Produit],0)),
   ""
)</f>
        <v/>
      </c>
      <c r="G1414" s="7">
        <f>tbl_Ventes[[#This Row],[Qté Vendue]] * IFERROR(_xlfn.XLOOKUP(tbl_Ventes[[#This Row],[Cde_Prdt]], tbl_Produits[Cde_Prdt], tbl_Produits[Prix Menu]), 0)</f>
        <v>0</v>
      </c>
      <c r="H1414" s="7">
        <f>IFERROR(_xlfn.XLOOKUP(tbl_Ventes[[#This Row],[Cde_Prdt]], tbl_Produits[Cde_Prdt], tbl_Produits[Coût Moyen Portion]), 0)</f>
        <v>0</v>
      </c>
      <c r="I1414" s="7">
        <f>tbl_Ventes[[#This Row],[Qté Vendue]] * tbl_Ventes[[#This Row],[CMP_par_portion]]</f>
        <v>0</v>
      </c>
      <c r="J1414" s="7">
        <f>tbl_Ventes[[#This Row],[CA ligne]] - tbl_Ventes[[#This Row],[Coût matière ligne]]</f>
        <v>0</v>
      </c>
      <c r="K1414" s="7" t="str">
        <f>IFERROR(INDEX(tbl_ProduitsRef[Famille], MATCH(tbl_Ventes[[#This Row],[Cde_Prdt]], tbl_Produits[Cde_Prdt], 0)), "")</f>
        <v/>
      </c>
    </row>
    <row r="1415" spans="1:11" x14ac:dyDescent="0.25">
      <c r="A1415" s="5"/>
      <c r="B1415" s="63" t="str">
        <f>IFERROR(TEXT(tbl_Ventes[[#This Row],[Date]],"mm-aaaa"),"")</f>
        <v>01-1900</v>
      </c>
      <c r="D1415" s="10" t="str">
        <f>IFERROR(
   INDEX(tbl_ProduitsRef[Cde_Prdt],MATCH(tbl_Ventes[[#This Row],[Produit]],tbl_ProduitsRef[Produit],0)),
   ""
)</f>
        <v/>
      </c>
      <c r="E1415" s="7">
        <v>0</v>
      </c>
      <c r="F1415" s="7" t="str">
        <f>IFERROR(
   INDEX(tbl_ProduitsRef[Prix Menu],MATCH(tbl_Ventes[[#This Row],[Produit]],tbl_ProduitsRef[Produit],0)),
   ""
)</f>
        <v/>
      </c>
      <c r="G1415" s="7">
        <f>tbl_Ventes[[#This Row],[Qté Vendue]] * IFERROR(_xlfn.XLOOKUP(tbl_Ventes[[#This Row],[Cde_Prdt]], tbl_Produits[Cde_Prdt], tbl_Produits[Prix Menu]), 0)</f>
        <v>0</v>
      </c>
      <c r="H1415" s="7">
        <f>IFERROR(_xlfn.XLOOKUP(tbl_Ventes[[#This Row],[Cde_Prdt]], tbl_Produits[Cde_Prdt], tbl_Produits[Coût Moyen Portion]), 0)</f>
        <v>0</v>
      </c>
      <c r="I1415" s="7">
        <f>tbl_Ventes[[#This Row],[Qté Vendue]] * tbl_Ventes[[#This Row],[CMP_par_portion]]</f>
        <v>0</v>
      </c>
      <c r="J1415" s="7">
        <f>tbl_Ventes[[#This Row],[CA ligne]] - tbl_Ventes[[#This Row],[Coût matière ligne]]</f>
        <v>0</v>
      </c>
      <c r="K1415" s="7" t="str">
        <f>IFERROR(INDEX(tbl_ProduitsRef[Famille], MATCH(tbl_Ventes[[#This Row],[Cde_Prdt]], tbl_Produits[Cde_Prdt], 0)), "")</f>
        <v/>
      </c>
    </row>
    <row r="1416" spans="1:11" x14ac:dyDescent="0.25">
      <c r="A1416" s="5"/>
      <c r="B1416" s="63" t="str">
        <f>IFERROR(TEXT(tbl_Ventes[[#This Row],[Date]],"mm-aaaa"),"")</f>
        <v>01-1900</v>
      </c>
      <c r="D1416" s="10" t="str">
        <f>IFERROR(
   INDEX(tbl_ProduitsRef[Cde_Prdt],MATCH(tbl_Ventes[[#This Row],[Produit]],tbl_ProduitsRef[Produit],0)),
   ""
)</f>
        <v/>
      </c>
      <c r="E1416" s="7">
        <v>0</v>
      </c>
      <c r="F1416" s="7" t="str">
        <f>IFERROR(
   INDEX(tbl_ProduitsRef[Prix Menu],MATCH(tbl_Ventes[[#This Row],[Produit]],tbl_ProduitsRef[Produit],0)),
   ""
)</f>
        <v/>
      </c>
      <c r="G1416" s="7">
        <f>tbl_Ventes[[#This Row],[Qté Vendue]] * IFERROR(_xlfn.XLOOKUP(tbl_Ventes[[#This Row],[Cde_Prdt]], tbl_Produits[Cde_Prdt], tbl_Produits[Prix Menu]), 0)</f>
        <v>0</v>
      </c>
      <c r="H1416" s="7">
        <f>IFERROR(_xlfn.XLOOKUP(tbl_Ventes[[#This Row],[Cde_Prdt]], tbl_Produits[Cde_Prdt], tbl_Produits[Coût Moyen Portion]), 0)</f>
        <v>0</v>
      </c>
      <c r="I1416" s="7">
        <f>tbl_Ventes[[#This Row],[Qté Vendue]] * tbl_Ventes[[#This Row],[CMP_par_portion]]</f>
        <v>0</v>
      </c>
      <c r="J1416" s="7">
        <f>tbl_Ventes[[#This Row],[CA ligne]] - tbl_Ventes[[#This Row],[Coût matière ligne]]</f>
        <v>0</v>
      </c>
      <c r="K1416" s="7" t="str">
        <f>IFERROR(INDEX(tbl_ProduitsRef[Famille], MATCH(tbl_Ventes[[#This Row],[Cde_Prdt]], tbl_Produits[Cde_Prdt], 0)), "")</f>
        <v/>
      </c>
    </row>
    <row r="1417" spans="1:11" x14ac:dyDescent="0.25">
      <c r="A1417" s="5"/>
      <c r="B1417" s="63" t="str">
        <f>IFERROR(TEXT(tbl_Ventes[[#This Row],[Date]],"mm-aaaa"),"")</f>
        <v>01-1900</v>
      </c>
      <c r="D1417" s="10" t="str">
        <f>IFERROR(
   INDEX(tbl_ProduitsRef[Cde_Prdt],MATCH(tbl_Ventes[[#This Row],[Produit]],tbl_ProduitsRef[Produit],0)),
   ""
)</f>
        <v/>
      </c>
      <c r="E1417" s="7">
        <v>0</v>
      </c>
      <c r="F1417" s="7" t="str">
        <f>IFERROR(
   INDEX(tbl_ProduitsRef[Prix Menu],MATCH(tbl_Ventes[[#This Row],[Produit]],tbl_ProduitsRef[Produit],0)),
   ""
)</f>
        <v/>
      </c>
      <c r="G1417" s="7">
        <f>tbl_Ventes[[#This Row],[Qté Vendue]] * IFERROR(_xlfn.XLOOKUP(tbl_Ventes[[#This Row],[Cde_Prdt]], tbl_Produits[Cde_Prdt], tbl_Produits[Prix Menu]), 0)</f>
        <v>0</v>
      </c>
      <c r="H1417" s="7">
        <f>IFERROR(_xlfn.XLOOKUP(tbl_Ventes[[#This Row],[Cde_Prdt]], tbl_Produits[Cde_Prdt], tbl_Produits[Coût Moyen Portion]), 0)</f>
        <v>0</v>
      </c>
      <c r="I1417" s="7">
        <f>tbl_Ventes[[#This Row],[Qté Vendue]] * tbl_Ventes[[#This Row],[CMP_par_portion]]</f>
        <v>0</v>
      </c>
      <c r="J1417" s="7">
        <f>tbl_Ventes[[#This Row],[CA ligne]] - tbl_Ventes[[#This Row],[Coût matière ligne]]</f>
        <v>0</v>
      </c>
      <c r="K1417" s="7" t="str">
        <f>IFERROR(INDEX(tbl_ProduitsRef[Famille], MATCH(tbl_Ventes[[#This Row],[Cde_Prdt]], tbl_Produits[Cde_Prdt], 0)), "")</f>
        <v/>
      </c>
    </row>
    <row r="1418" spans="1:11" x14ac:dyDescent="0.25">
      <c r="A1418" s="5"/>
      <c r="B1418" s="63" t="str">
        <f>IFERROR(TEXT(tbl_Ventes[[#This Row],[Date]],"mm-aaaa"),"")</f>
        <v>01-1900</v>
      </c>
      <c r="D1418" s="10" t="str">
        <f>IFERROR(
   INDEX(tbl_ProduitsRef[Cde_Prdt],MATCH(tbl_Ventes[[#This Row],[Produit]],tbl_ProduitsRef[Produit],0)),
   ""
)</f>
        <v/>
      </c>
      <c r="E1418" s="7">
        <v>0</v>
      </c>
      <c r="F1418" s="7" t="str">
        <f>IFERROR(
   INDEX(tbl_ProduitsRef[Prix Menu],MATCH(tbl_Ventes[[#This Row],[Produit]],tbl_ProduitsRef[Produit],0)),
   ""
)</f>
        <v/>
      </c>
      <c r="G1418" s="7">
        <f>tbl_Ventes[[#This Row],[Qté Vendue]] * IFERROR(_xlfn.XLOOKUP(tbl_Ventes[[#This Row],[Cde_Prdt]], tbl_Produits[Cde_Prdt], tbl_Produits[Prix Menu]), 0)</f>
        <v>0</v>
      </c>
      <c r="H1418" s="7">
        <f>IFERROR(_xlfn.XLOOKUP(tbl_Ventes[[#This Row],[Cde_Prdt]], tbl_Produits[Cde_Prdt], tbl_Produits[Coût Moyen Portion]), 0)</f>
        <v>0</v>
      </c>
      <c r="I1418" s="7">
        <f>tbl_Ventes[[#This Row],[Qté Vendue]] * tbl_Ventes[[#This Row],[CMP_par_portion]]</f>
        <v>0</v>
      </c>
      <c r="J1418" s="7">
        <f>tbl_Ventes[[#This Row],[CA ligne]] - tbl_Ventes[[#This Row],[Coût matière ligne]]</f>
        <v>0</v>
      </c>
      <c r="K1418" s="7" t="str">
        <f>IFERROR(INDEX(tbl_ProduitsRef[Famille], MATCH(tbl_Ventes[[#This Row],[Cde_Prdt]], tbl_Produits[Cde_Prdt], 0)), "")</f>
        <v/>
      </c>
    </row>
    <row r="1419" spans="1:11" x14ac:dyDescent="0.25">
      <c r="A1419" s="5"/>
      <c r="B1419" s="63" t="str">
        <f>IFERROR(TEXT(tbl_Ventes[[#This Row],[Date]],"mm-aaaa"),"")</f>
        <v>01-1900</v>
      </c>
      <c r="D1419" s="10" t="str">
        <f>IFERROR(
   INDEX(tbl_ProduitsRef[Cde_Prdt],MATCH(tbl_Ventes[[#This Row],[Produit]],tbl_ProduitsRef[Produit],0)),
   ""
)</f>
        <v/>
      </c>
      <c r="E1419" s="7">
        <v>0</v>
      </c>
      <c r="F1419" s="7" t="str">
        <f>IFERROR(
   INDEX(tbl_ProduitsRef[Prix Menu],MATCH(tbl_Ventes[[#This Row],[Produit]],tbl_ProduitsRef[Produit],0)),
   ""
)</f>
        <v/>
      </c>
      <c r="G1419" s="7">
        <f>tbl_Ventes[[#This Row],[Qté Vendue]] * IFERROR(_xlfn.XLOOKUP(tbl_Ventes[[#This Row],[Cde_Prdt]], tbl_Produits[Cde_Prdt], tbl_Produits[Prix Menu]), 0)</f>
        <v>0</v>
      </c>
      <c r="H1419" s="7">
        <f>IFERROR(_xlfn.XLOOKUP(tbl_Ventes[[#This Row],[Cde_Prdt]], tbl_Produits[Cde_Prdt], tbl_Produits[Coût Moyen Portion]), 0)</f>
        <v>0</v>
      </c>
      <c r="I1419" s="7">
        <f>tbl_Ventes[[#This Row],[Qté Vendue]] * tbl_Ventes[[#This Row],[CMP_par_portion]]</f>
        <v>0</v>
      </c>
      <c r="J1419" s="7">
        <f>tbl_Ventes[[#This Row],[CA ligne]] - tbl_Ventes[[#This Row],[Coût matière ligne]]</f>
        <v>0</v>
      </c>
      <c r="K1419" s="7" t="str">
        <f>IFERROR(INDEX(tbl_ProduitsRef[Famille], MATCH(tbl_Ventes[[#This Row],[Cde_Prdt]], tbl_Produits[Cde_Prdt], 0)), "")</f>
        <v/>
      </c>
    </row>
    <row r="1420" spans="1:11" x14ac:dyDescent="0.25">
      <c r="A1420" s="5"/>
      <c r="B1420" s="63" t="str">
        <f>IFERROR(TEXT(tbl_Ventes[[#This Row],[Date]],"mm-aaaa"),"")</f>
        <v>01-1900</v>
      </c>
      <c r="D1420" s="10" t="str">
        <f>IFERROR(
   INDEX(tbl_ProduitsRef[Cde_Prdt],MATCH(tbl_Ventes[[#This Row],[Produit]],tbl_ProduitsRef[Produit],0)),
   ""
)</f>
        <v/>
      </c>
      <c r="E1420" s="7">
        <v>0</v>
      </c>
      <c r="F1420" s="7" t="str">
        <f>IFERROR(
   INDEX(tbl_ProduitsRef[Prix Menu],MATCH(tbl_Ventes[[#This Row],[Produit]],tbl_ProduitsRef[Produit],0)),
   ""
)</f>
        <v/>
      </c>
      <c r="G1420" s="7">
        <f>tbl_Ventes[[#This Row],[Qté Vendue]] * IFERROR(_xlfn.XLOOKUP(tbl_Ventes[[#This Row],[Cde_Prdt]], tbl_Produits[Cde_Prdt], tbl_Produits[Prix Menu]), 0)</f>
        <v>0</v>
      </c>
      <c r="H1420" s="7">
        <f>IFERROR(_xlfn.XLOOKUP(tbl_Ventes[[#This Row],[Cde_Prdt]], tbl_Produits[Cde_Prdt], tbl_Produits[Coût Moyen Portion]), 0)</f>
        <v>0</v>
      </c>
      <c r="I1420" s="7">
        <f>tbl_Ventes[[#This Row],[Qté Vendue]] * tbl_Ventes[[#This Row],[CMP_par_portion]]</f>
        <v>0</v>
      </c>
      <c r="J1420" s="7">
        <f>tbl_Ventes[[#This Row],[CA ligne]] - tbl_Ventes[[#This Row],[Coût matière ligne]]</f>
        <v>0</v>
      </c>
      <c r="K1420" s="7" t="str">
        <f>IFERROR(INDEX(tbl_ProduitsRef[Famille], MATCH(tbl_Ventes[[#This Row],[Cde_Prdt]], tbl_Produits[Cde_Prdt], 0)), "")</f>
        <v/>
      </c>
    </row>
    <row r="1421" spans="1:11" x14ac:dyDescent="0.25">
      <c r="A1421" s="5"/>
      <c r="B1421" s="63" t="str">
        <f>IFERROR(TEXT(tbl_Ventes[[#This Row],[Date]],"mm-aaaa"),"")</f>
        <v>01-1900</v>
      </c>
      <c r="D1421" s="10" t="str">
        <f>IFERROR(
   INDEX(tbl_ProduitsRef[Cde_Prdt],MATCH(tbl_Ventes[[#This Row],[Produit]],tbl_ProduitsRef[Produit],0)),
   ""
)</f>
        <v/>
      </c>
      <c r="E1421" s="7">
        <v>0</v>
      </c>
      <c r="F1421" s="7" t="str">
        <f>IFERROR(
   INDEX(tbl_ProduitsRef[Prix Menu],MATCH(tbl_Ventes[[#This Row],[Produit]],tbl_ProduitsRef[Produit],0)),
   ""
)</f>
        <v/>
      </c>
      <c r="G1421" s="7">
        <f>tbl_Ventes[[#This Row],[Qté Vendue]] * IFERROR(_xlfn.XLOOKUP(tbl_Ventes[[#This Row],[Cde_Prdt]], tbl_Produits[Cde_Prdt], tbl_Produits[Prix Menu]), 0)</f>
        <v>0</v>
      </c>
      <c r="H1421" s="7">
        <f>IFERROR(_xlfn.XLOOKUP(tbl_Ventes[[#This Row],[Cde_Prdt]], tbl_Produits[Cde_Prdt], tbl_Produits[Coût Moyen Portion]), 0)</f>
        <v>0</v>
      </c>
      <c r="I1421" s="7">
        <f>tbl_Ventes[[#This Row],[Qté Vendue]] * tbl_Ventes[[#This Row],[CMP_par_portion]]</f>
        <v>0</v>
      </c>
      <c r="J1421" s="7">
        <f>tbl_Ventes[[#This Row],[CA ligne]] - tbl_Ventes[[#This Row],[Coût matière ligne]]</f>
        <v>0</v>
      </c>
      <c r="K1421" s="7" t="str">
        <f>IFERROR(INDEX(tbl_ProduitsRef[Famille], MATCH(tbl_Ventes[[#This Row],[Cde_Prdt]], tbl_Produits[Cde_Prdt], 0)), "")</f>
        <v/>
      </c>
    </row>
    <row r="1422" spans="1:11" x14ac:dyDescent="0.25">
      <c r="A1422" s="5"/>
      <c r="B1422" s="63" t="str">
        <f>IFERROR(TEXT(tbl_Ventes[[#This Row],[Date]],"mm-aaaa"),"")</f>
        <v>01-1900</v>
      </c>
      <c r="D1422" s="10" t="str">
        <f>IFERROR(
   INDEX(tbl_ProduitsRef[Cde_Prdt],MATCH(tbl_Ventes[[#This Row],[Produit]],tbl_ProduitsRef[Produit],0)),
   ""
)</f>
        <v/>
      </c>
      <c r="E1422" s="7">
        <v>0</v>
      </c>
      <c r="F1422" s="7" t="str">
        <f>IFERROR(
   INDEX(tbl_ProduitsRef[Prix Menu],MATCH(tbl_Ventes[[#This Row],[Produit]],tbl_ProduitsRef[Produit],0)),
   ""
)</f>
        <v/>
      </c>
      <c r="G1422" s="7">
        <f>tbl_Ventes[[#This Row],[Qté Vendue]] * IFERROR(_xlfn.XLOOKUP(tbl_Ventes[[#This Row],[Cde_Prdt]], tbl_Produits[Cde_Prdt], tbl_Produits[Prix Menu]), 0)</f>
        <v>0</v>
      </c>
      <c r="H1422" s="7">
        <f>IFERROR(_xlfn.XLOOKUP(tbl_Ventes[[#This Row],[Cde_Prdt]], tbl_Produits[Cde_Prdt], tbl_Produits[Coût Moyen Portion]), 0)</f>
        <v>0</v>
      </c>
      <c r="I1422" s="7">
        <f>tbl_Ventes[[#This Row],[Qté Vendue]] * tbl_Ventes[[#This Row],[CMP_par_portion]]</f>
        <v>0</v>
      </c>
      <c r="J1422" s="7">
        <f>tbl_Ventes[[#This Row],[CA ligne]] - tbl_Ventes[[#This Row],[Coût matière ligne]]</f>
        <v>0</v>
      </c>
      <c r="K1422" s="7" t="str">
        <f>IFERROR(INDEX(tbl_ProduitsRef[Famille], MATCH(tbl_Ventes[[#This Row],[Cde_Prdt]], tbl_Produits[Cde_Prdt], 0)), "")</f>
        <v/>
      </c>
    </row>
    <row r="1423" spans="1:11" x14ac:dyDescent="0.25">
      <c r="A1423" s="5"/>
      <c r="B1423" s="63" t="str">
        <f>IFERROR(TEXT(tbl_Ventes[[#This Row],[Date]],"mm-aaaa"),"")</f>
        <v>01-1900</v>
      </c>
      <c r="D1423" s="10" t="str">
        <f>IFERROR(
   INDEX(tbl_ProduitsRef[Cde_Prdt],MATCH(tbl_Ventes[[#This Row],[Produit]],tbl_ProduitsRef[Produit],0)),
   ""
)</f>
        <v/>
      </c>
      <c r="E1423" s="7">
        <v>0</v>
      </c>
      <c r="F1423" s="7" t="str">
        <f>IFERROR(
   INDEX(tbl_ProduitsRef[Prix Menu],MATCH(tbl_Ventes[[#This Row],[Produit]],tbl_ProduitsRef[Produit],0)),
   ""
)</f>
        <v/>
      </c>
      <c r="G1423" s="7">
        <f>tbl_Ventes[[#This Row],[Qté Vendue]] * IFERROR(_xlfn.XLOOKUP(tbl_Ventes[[#This Row],[Cde_Prdt]], tbl_Produits[Cde_Prdt], tbl_Produits[Prix Menu]), 0)</f>
        <v>0</v>
      </c>
      <c r="H1423" s="7">
        <f>IFERROR(_xlfn.XLOOKUP(tbl_Ventes[[#This Row],[Cde_Prdt]], tbl_Produits[Cde_Prdt], tbl_Produits[Coût Moyen Portion]), 0)</f>
        <v>0</v>
      </c>
      <c r="I1423" s="7">
        <f>tbl_Ventes[[#This Row],[Qté Vendue]] * tbl_Ventes[[#This Row],[CMP_par_portion]]</f>
        <v>0</v>
      </c>
      <c r="J1423" s="7">
        <f>tbl_Ventes[[#This Row],[CA ligne]] - tbl_Ventes[[#This Row],[Coût matière ligne]]</f>
        <v>0</v>
      </c>
      <c r="K1423" s="7" t="str">
        <f>IFERROR(INDEX(tbl_ProduitsRef[Famille], MATCH(tbl_Ventes[[#This Row],[Cde_Prdt]], tbl_Produits[Cde_Prdt], 0)), "")</f>
        <v/>
      </c>
    </row>
    <row r="1424" spans="1:11" x14ac:dyDescent="0.25">
      <c r="A1424" s="5"/>
      <c r="B1424" s="63" t="str">
        <f>IFERROR(TEXT(tbl_Ventes[[#This Row],[Date]],"mm-aaaa"),"")</f>
        <v>01-1900</v>
      </c>
      <c r="D1424" s="10" t="str">
        <f>IFERROR(
   INDEX(tbl_ProduitsRef[Cde_Prdt],MATCH(tbl_Ventes[[#This Row],[Produit]],tbl_ProduitsRef[Produit],0)),
   ""
)</f>
        <v/>
      </c>
      <c r="E1424" s="7">
        <v>0</v>
      </c>
      <c r="F1424" s="7" t="str">
        <f>IFERROR(
   INDEX(tbl_ProduitsRef[Prix Menu],MATCH(tbl_Ventes[[#This Row],[Produit]],tbl_ProduitsRef[Produit],0)),
   ""
)</f>
        <v/>
      </c>
      <c r="G1424" s="7">
        <f>tbl_Ventes[[#This Row],[Qté Vendue]] * IFERROR(_xlfn.XLOOKUP(tbl_Ventes[[#This Row],[Cde_Prdt]], tbl_Produits[Cde_Prdt], tbl_Produits[Prix Menu]), 0)</f>
        <v>0</v>
      </c>
      <c r="H1424" s="7">
        <f>IFERROR(_xlfn.XLOOKUP(tbl_Ventes[[#This Row],[Cde_Prdt]], tbl_Produits[Cde_Prdt], tbl_Produits[Coût Moyen Portion]), 0)</f>
        <v>0</v>
      </c>
      <c r="I1424" s="7">
        <f>tbl_Ventes[[#This Row],[Qté Vendue]] * tbl_Ventes[[#This Row],[CMP_par_portion]]</f>
        <v>0</v>
      </c>
      <c r="J1424" s="7">
        <f>tbl_Ventes[[#This Row],[CA ligne]] - tbl_Ventes[[#This Row],[Coût matière ligne]]</f>
        <v>0</v>
      </c>
      <c r="K1424" s="7" t="str">
        <f>IFERROR(INDEX(tbl_ProduitsRef[Famille], MATCH(tbl_Ventes[[#This Row],[Cde_Prdt]], tbl_Produits[Cde_Prdt], 0)), "")</f>
        <v/>
      </c>
    </row>
    <row r="1425" spans="1:11" x14ac:dyDescent="0.25">
      <c r="A1425" s="5"/>
      <c r="B1425" s="63" t="str">
        <f>IFERROR(TEXT(tbl_Ventes[[#This Row],[Date]],"mm-aaaa"),"")</f>
        <v>01-1900</v>
      </c>
      <c r="D1425" s="10" t="str">
        <f>IFERROR(
   INDEX(tbl_ProduitsRef[Cde_Prdt],MATCH(tbl_Ventes[[#This Row],[Produit]],tbl_ProduitsRef[Produit],0)),
   ""
)</f>
        <v/>
      </c>
      <c r="E1425" s="7">
        <v>0</v>
      </c>
      <c r="F1425" s="7" t="str">
        <f>IFERROR(
   INDEX(tbl_ProduitsRef[Prix Menu],MATCH(tbl_Ventes[[#This Row],[Produit]],tbl_ProduitsRef[Produit],0)),
   ""
)</f>
        <v/>
      </c>
      <c r="G1425" s="7">
        <f>tbl_Ventes[[#This Row],[Qté Vendue]] * IFERROR(_xlfn.XLOOKUP(tbl_Ventes[[#This Row],[Cde_Prdt]], tbl_Produits[Cde_Prdt], tbl_Produits[Prix Menu]), 0)</f>
        <v>0</v>
      </c>
      <c r="H1425" s="7">
        <f>IFERROR(_xlfn.XLOOKUP(tbl_Ventes[[#This Row],[Cde_Prdt]], tbl_Produits[Cde_Prdt], tbl_Produits[Coût Moyen Portion]), 0)</f>
        <v>0</v>
      </c>
      <c r="I1425" s="7">
        <f>tbl_Ventes[[#This Row],[Qté Vendue]] * tbl_Ventes[[#This Row],[CMP_par_portion]]</f>
        <v>0</v>
      </c>
      <c r="J1425" s="7">
        <f>tbl_Ventes[[#This Row],[CA ligne]] - tbl_Ventes[[#This Row],[Coût matière ligne]]</f>
        <v>0</v>
      </c>
      <c r="K1425" s="7" t="str">
        <f>IFERROR(INDEX(tbl_ProduitsRef[Famille], MATCH(tbl_Ventes[[#This Row],[Cde_Prdt]], tbl_Produits[Cde_Prdt], 0)), "")</f>
        <v/>
      </c>
    </row>
    <row r="1426" spans="1:11" x14ac:dyDescent="0.25">
      <c r="A1426" s="5"/>
      <c r="B1426" s="63" t="str">
        <f>IFERROR(TEXT(tbl_Ventes[[#This Row],[Date]],"mm-aaaa"),"")</f>
        <v>01-1900</v>
      </c>
      <c r="D1426" s="10" t="str">
        <f>IFERROR(
   INDEX(tbl_ProduitsRef[Cde_Prdt],MATCH(tbl_Ventes[[#This Row],[Produit]],tbl_ProduitsRef[Produit],0)),
   ""
)</f>
        <v/>
      </c>
      <c r="E1426" s="7">
        <v>0</v>
      </c>
      <c r="F1426" s="7" t="str">
        <f>IFERROR(
   INDEX(tbl_ProduitsRef[Prix Menu],MATCH(tbl_Ventes[[#This Row],[Produit]],tbl_ProduitsRef[Produit],0)),
   ""
)</f>
        <v/>
      </c>
      <c r="G1426" s="7">
        <f>tbl_Ventes[[#This Row],[Qté Vendue]] * IFERROR(_xlfn.XLOOKUP(tbl_Ventes[[#This Row],[Cde_Prdt]], tbl_Produits[Cde_Prdt], tbl_Produits[Prix Menu]), 0)</f>
        <v>0</v>
      </c>
      <c r="H1426" s="7">
        <f>IFERROR(_xlfn.XLOOKUP(tbl_Ventes[[#This Row],[Cde_Prdt]], tbl_Produits[Cde_Prdt], tbl_Produits[Coût Moyen Portion]), 0)</f>
        <v>0</v>
      </c>
      <c r="I1426" s="7">
        <f>tbl_Ventes[[#This Row],[Qté Vendue]] * tbl_Ventes[[#This Row],[CMP_par_portion]]</f>
        <v>0</v>
      </c>
      <c r="J1426" s="7">
        <f>tbl_Ventes[[#This Row],[CA ligne]] - tbl_Ventes[[#This Row],[Coût matière ligne]]</f>
        <v>0</v>
      </c>
      <c r="K1426" s="7" t="str">
        <f>IFERROR(INDEX(tbl_ProduitsRef[Famille], MATCH(tbl_Ventes[[#This Row],[Cde_Prdt]], tbl_Produits[Cde_Prdt], 0)), "")</f>
        <v/>
      </c>
    </row>
    <row r="1427" spans="1:11" x14ac:dyDescent="0.25">
      <c r="A1427" s="5"/>
      <c r="B1427" s="63" t="str">
        <f>IFERROR(TEXT(tbl_Ventes[[#This Row],[Date]],"mm-aaaa"),"")</f>
        <v>01-1900</v>
      </c>
      <c r="D1427" s="10" t="str">
        <f>IFERROR(
   INDEX(tbl_ProduitsRef[Cde_Prdt],MATCH(tbl_Ventes[[#This Row],[Produit]],tbl_ProduitsRef[Produit],0)),
   ""
)</f>
        <v/>
      </c>
      <c r="E1427" s="7">
        <v>0</v>
      </c>
      <c r="F1427" s="7" t="str">
        <f>IFERROR(
   INDEX(tbl_ProduitsRef[Prix Menu],MATCH(tbl_Ventes[[#This Row],[Produit]],tbl_ProduitsRef[Produit],0)),
   ""
)</f>
        <v/>
      </c>
      <c r="G1427" s="7">
        <f>tbl_Ventes[[#This Row],[Qté Vendue]] * IFERROR(_xlfn.XLOOKUP(tbl_Ventes[[#This Row],[Cde_Prdt]], tbl_Produits[Cde_Prdt], tbl_Produits[Prix Menu]), 0)</f>
        <v>0</v>
      </c>
      <c r="H1427" s="7">
        <f>IFERROR(_xlfn.XLOOKUP(tbl_Ventes[[#This Row],[Cde_Prdt]], tbl_Produits[Cde_Prdt], tbl_Produits[Coût Moyen Portion]), 0)</f>
        <v>0</v>
      </c>
      <c r="I1427" s="7">
        <f>tbl_Ventes[[#This Row],[Qté Vendue]] * tbl_Ventes[[#This Row],[CMP_par_portion]]</f>
        <v>0</v>
      </c>
      <c r="J1427" s="7">
        <f>tbl_Ventes[[#This Row],[CA ligne]] - tbl_Ventes[[#This Row],[Coût matière ligne]]</f>
        <v>0</v>
      </c>
      <c r="K1427" s="7" t="str">
        <f>IFERROR(INDEX(tbl_ProduitsRef[Famille], MATCH(tbl_Ventes[[#This Row],[Cde_Prdt]], tbl_Produits[Cde_Prdt], 0)), "")</f>
        <v/>
      </c>
    </row>
    <row r="1428" spans="1:11" x14ac:dyDescent="0.25">
      <c r="A1428" s="5"/>
      <c r="B1428" s="63" t="str">
        <f>IFERROR(TEXT(tbl_Ventes[[#This Row],[Date]],"mm-aaaa"),"")</f>
        <v>01-1900</v>
      </c>
      <c r="D1428" s="10" t="str">
        <f>IFERROR(
   INDEX(tbl_ProduitsRef[Cde_Prdt],MATCH(tbl_Ventes[[#This Row],[Produit]],tbl_ProduitsRef[Produit],0)),
   ""
)</f>
        <v/>
      </c>
      <c r="E1428" s="7">
        <v>0</v>
      </c>
      <c r="F1428" s="7" t="str">
        <f>IFERROR(
   INDEX(tbl_ProduitsRef[Prix Menu],MATCH(tbl_Ventes[[#This Row],[Produit]],tbl_ProduitsRef[Produit],0)),
   ""
)</f>
        <v/>
      </c>
      <c r="G1428" s="7">
        <f>tbl_Ventes[[#This Row],[Qté Vendue]] * IFERROR(_xlfn.XLOOKUP(tbl_Ventes[[#This Row],[Cde_Prdt]], tbl_Produits[Cde_Prdt], tbl_Produits[Prix Menu]), 0)</f>
        <v>0</v>
      </c>
      <c r="H1428" s="7">
        <f>IFERROR(_xlfn.XLOOKUP(tbl_Ventes[[#This Row],[Cde_Prdt]], tbl_Produits[Cde_Prdt], tbl_Produits[Coût Moyen Portion]), 0)</f>
        <v>0</v>
      </c>
      <c r="I1428" s="7">
        <f>tbl_Ventes[[#This Row],[Qté Vendue]] * tbl_Ventes[[#This Row],[CMP_par_portion]]</f>
        <v>0</v>
      </c>
      <c r="J1428" s="7">
        <f>tbl_Ventes[[#This Row],[CA ligne]] - tbl_Ventes[[#This Row],[Coût matière ligne]]</f>
        <v>0</v>
      </c>
      <c r="K1428" s="7" t="str">
        <f>IFERROR(INDEX(tbl_ProduitsRef[Famille], MATCH(tbl_Ventes[[#This Row],[Cde_Prdt]], tbl_Produits[Cde_Prdt], 0)), "")</f>
        <v/>
      </c>
    </row>
    <row r="1429" spans="1:11" x14ac:dyDescent="0.25">
      <c r="A1429" s="5"/>
      <c r="B1429" s="63" t="str">
        <f>IFERROR(TEXT(tbl_Ventes[[#This Row],[Date]],"mm-aaaa"),"")</f>
        <v>01-1900</v>
      </c>
      <c r="D1429" s="10" t="str">
        <f>IFERROR(
   INDEX(tbl_ProduitsRef[Cde_Prdt],MATCH(tbl_Ventes[[#This Row],[Produit]],tbl_ProduitsRef[Produit],0)),
   ""
)</f>
        <v/>
      </c>
      <c r="E1429" s="7">
        <v>0</v>
      </c>
      <c r="F1429" s="7" t="str">
        <f>IFERROR(
   INDEX(tbl_ProduitsRef[Prix Menu],MATCH(tbl_Ventes[[#This Row],[Produit]],tbl_ProduitsRef[Produit],0)),
   ""
)</f>
        <v/>
      </c>
      <c r="G1429" s="7">
        <f>tbl_Ventes[[#This Row],[Qté Vendue]] * IFERROR(_xlfn.XLOOKUP(tbl_Ventes[[#This Row],[Cde_Prdt]], tbl_Produits[Cde_Prdt], tbl_Produits[Prix Menu]), 0)</f>
        <v>0</v>
      </c>
      <c r="H1429" s="7">
        <f>IFERROR(_xlfn.XLOOKUP(tbl_Ventes[[#This Row],[Cde_Prdt]], tbl_Produits[Cde_Prdt], tbl_Produits[Coût Moyen Portion]), 0)</f>
        <v>0</v>
      </c>
      <c r="I1429" s="7">
        <f>tbl_Ventes[[#This Row],[Qté Vendue]] * tbl_Ventes[[#This Row],[CMP_par_portion]]</f>
        <v>0</v>
      </c>
      <c r="J1429" s="7">
        <f>tbl_Ventes[[#This Row],[CA ligne]] - tbl_Ventes[[#This Row],[Coût matière ligne]]</f>
        <v>0</v>
      </c>
      <c r="K1429" s="7" t="str">
        <f>IFERROR(INDEX(tbl_ProduitsRef[Famille], MATCH(tbl_Ventes[[#This Row],[Cde_Prdt]], tbl_Produits[Cde_Prdt], 0)), "")</f>
        <v/>
      </c>
    </row>
    <row r="1430" spans="1:11" x14ac:dyDescent="0.25">
      <c r="A1430" s="5"/>
      <c r="B1430" s="63" t="str">
        <f>IFERROR(TEXT(tbl_Ventes[[#This Row],[Date]],"mm-aaaa"),"")</f>
        <v>01-1900</v>
      </c>
      <c r="D1430" s="10" t="str">
        <f>IFERROR(
   INDEX(tbl_ProduitsRef[Cde_Prdt],MATCH(tbl_Ventes[[#This Row],[Produit]],tbl_ProduitsRef[Produit],0)),
   ""
)</f>
        <v/>
      </c>
      <c r="E1430" s="7">
        <v>0</v>
      </c>
      <c r="F1430" s="7" t="str">
        <f>IFERROR(
   INDEX(tbl_ProduitsRef[Prix Menu],MATCH(tbl_Ventes[[#This Row],[Produit]],tbl_ProduitsRef[Produit],0)),
   ""
)</f>
        <v/>
      </c>
      <c r="G1430" s="7">
        <f>tbl_Ventes[[#This Row],[Qté Vendue]] * IFERROR(_xlfn.XLOOKUP(tbl_Ventes[[#This Row],[Cde_Prdt]], tbl_Produits[Cde_Prdt], tbl_Produits[Prix Menu]), 0)</f>
        <v>0</v>
      </c>
      <c r="H1430" s="7">
        <f>IFERROR(_xlfn.XLOOKUP(tbl_Ventes[[#This Row],[Cde_Prdt]], tbl_Produits[Cde_Prdt], tbl_Produits[Coût Moyen Portion]), 0)</f>
        <v>0</v>
      </c>
      <c r="I1430" s="7">
        <f>tbl_Ventes[[#This Row],[Qté Vendue]] * tbl_Ventes[[#This Row],[CMP_par_portion]]</f>
        <v>0</v>
      </c>
      <c r="J1430" s="7">
        <f>tbl_Ventes[[#This Row],[CA ligne]] - tbl_Ventes[[#This Row],[Coût matière ligne]]</f>
        <v>0</v>
      </c>
      <c r="K1430" s="7" t="str">
        <f>IFERROR(INDEX(tbl_ProduitsRef[Famille], MATCH(tbl_Ventes[[#This Row],[Cde_Prdt]], tbl_Produits[Cde_Prdt], 0)), "")</f>
        <v/>
      </c>
    </row>
    <row r="1431" spans="1:11" x14ac:dyDescent="0.25">
      <c r="A1431" s="5"/>
      <c r="B1431" s="63" t="str">
        <f>IFERROR(TEXT(tbl_Ventes[[#This Row],[Date]],"mm-aaaa"),"")</f>
        <v>01-1900</v>
      </c>
      <c r="D1431" s="10" t="str">
        <f>IFERROR(
   INDEX(tbl_ProduitsRef[Cde_Prdt],MATCH(tbl_Ventes[[#This Row],[Produit]],tbl_ProduitsRef[Produit],0)),
   ""
)</f>
        <v/>
      </c>
      <c r="E1431" s="7">
        <v>0</v>
      </c>
      <c r="F1431" s="7" t="str">
        <f>IFERROR(
   INDEX(tbl_ProduitsRef[Prix Menu],MATCH(tbl_Ventes[[#This Row],[Produit]],tbl_ProduitsRef[Produit],0)),
   ""
)</f>
        <v/>
      </c>
      <c r="G1431" s="7">
        <f>tbl_Ventes[[#This Row],[Qté Vendue]] * IFERROR(_xlfn.XLOOKUP(tbl_Ventes[[#This Row],[Cde_Prdt]], tbl_Produits[Cde_Prdt], tbl_Produits[Prix Menu]), 0)</f>
        <v>0</v>
      </c>
      <c r="H1431" s="7">
        <f>IFERROR(_xlfn.XLOOKUP(tbl_Ventes[[#This Row],[Cde_Prdt]], tbl_Produits[Cde_Prdt], tbl_Produits[Coût Moyen Portion]), 0)</f>
        <v>0</v>
      </c>
      <c r="I1431" s="7">
        <f>tbl_Ventes[[#This Row],[Qté Vendue]] * tbl_Ventes[[#This Row],[CMP_par_portion]]</f>
        <v>0</v>
      </c>
      <c r="J1431" s="7">
        <f>tbl_Ventes[[#This Row],[CA ligne]] - tbl_Ventes[[#This Row],[Coût matière ligne]]</f>
        <v>0</v>
      </c>
      <c r="K1431" s="7" t="str">
        <f>IFERROR(INDEX(tbl_ProduitsRef[Famille], MATCH(tbl_Ventes[[#This Row],[Cde_Prdt]], tbl_Produits[Cde_Prdt], 0)), "")</f>
        <v/>
      </c>
    </row>
    <row r="1432" spans="1:11" x14ac:dyDescent="0.25">
      <c r="A1432" s="5"/>
      <c r="B1432" s="63" t="str">
        <f>IFERROR(TEXT(tbl_Ventes[[#This Row],[Date]],"mm-aaaa"),"")</f>
        <v>01-1900</v>
      </c>
      <c r="D1432" s="10" t="str">
        <f>IFERROR(
   INDEX(tbl_ProduitsRef[Cde_Prdt],MATCH(tbl_Ventes[[#This Row],[Produit]],tbl_ProduitsRef[Produit],0)),
   ""
)</f>
        <v/>
      </c>
      <c r="E1432" s="7">
        <v>0</v>
      </c>
      <c r="F1432" s="7" t="str">
        <f>IFERROR(
   INDEX(tbl_ProduitsRef[Prix Menu],MATCH(tbl_Ventes[[#This Row],[Produit]],tbl_ProduitsRef[Produit],0)),
   ""
)</f>
        <v/>
      </c>
      <c r="G1432" s="7">
        <f>tbl_Ventes[[#This Row],[Qté Vendue]] * IFERROR(_xlfn.XLOOKUP(tbl_Ventes[[#This Row],[Cde_Prdt]], tbl_Produits[Cde_Prdt], tbl_Produits[Prix Menu]), 0)</f>
        <v>0</v>
      </c>
      <c r="H1432" s="7">
        <f>IFERROR(_xlfn.XLOOKUP(tbl_Ventes[[#This Row],[Cde_Prdt]], tbl_Produits[Cde_Prdt], tbl_Produits[Coût Moyen Portion]), 0)</f>
        <v>0</v>
      </c>
      <c r="I1432" s="7">
        <f>tbl_Ventes[[#This Row],[Qté Vendue]] * tbl_Ventes[[#This Row],[CMP_par_portion]]</f>
        <v>0</v>
      </c>
      <c r="J1432" s="7">
        <f>tbl_Ventes[[#This Row],[CA ligne]] - tbl_Ventes[[#This Row],[Coût matière ligne]]</f>
        <v>0</v>
      </c>
      <c r="K1432" s="7" t="str">
        <f>IFERROR(INDEX(tbl_ProduitsRef[Famille], MATCH(tbl_Ventes[[#This Row],[Cde_Prdt]], tbl_Produits[Cde_Prdt], 0)), "")</f>
        <v/>
      </c>
    </row>
    <row r="1433" spans="1:11" x14ac:dyDescent="0.25">
      <c r="A1433" s="5"/>
      <c r="B1433" s="63" t="str">
        <f>IFERROR(TEXT(tbl_Ventes[[#This Row],[Date]],"mm-aaaa"),"")</f>
        <v>01-1900</v>
      </c>
      <c r="D1433" s="10" t="str">
        <f>IFERROR(
   INDEX(tbl_ProduitsRef[Cde_Prdt],MATCH(tbl_Ventes[[#This Row],[Produit]],tbl_ProduitsRef[Produit],0)),
   ""
)</f>
        <v/>
      </c>
      <c r="E1433" s="7">
        <v>0</v>
      </c>
      <c r="F1433" s="7" t="str">
        <f>IFERROR(
   INDEX(tbl_ProduitsRef[Prix Menu],MATCH(tbl_Ventes[[#This Row],[Produit]],tbl_ProduitsRef[Produit],0)),
   ""
)</f>
        <v/>
      </c>
      <c r="G1433" s="7">
        <f>tbl_Ventes[[#This Row],[Qté Vendue]] * IFERROR(_xlfn.XLOOKUP(tbl_Ventes[[#This Row],[Cde_Prdt]], tbl_Produits[Cde_Prdt], tbl_Produits[Prix Menu]), 0)</f>
        <v>0</v>
      </c>
      <c r="H1433" s="7">
        <f>IFERROR(_xlfn.XLOOKUP(tbl_Ventes[[#This Row],[Cde_Prdt]], tbl_Produits[Cde_Prdt], tbl_Produits[Coût Moyen Portion]), 0)</f>
        <v>0</v>
      </c>
      <c r="I1433" s="7">
        <f>tbl_Ventes[[#This Row],[Qté Vendue]] * tbl_Ventes[[#This Row],[CMP_par_portion]]</f>
        <v>0</v>
      </c>
      <c r="J1433" s="7">
        <f>tbl_Ventes[[#This Row],[CA ligne]] - tbl_Ventes[[#This Row],[Coût matière ligne]]</f>
        <v>0</v>
      </c>
      <c r="K1433" s="7" t="str">
        <f>IFERROR(INDEX(tbl_ProduitsRef[Famille], MATCH(tbl_Ventes[[#This Row],[Cde_Prdt]], tbl_Produits[Cde_Prdt], 0)), "")</f>
        <v/>
      </c>
    </row>
    <row r="1434" spans="1:11" x14ac:dyDescent="0.25">
      <c r="A1434" s="5"/>
      <c r="B1434" s="63" t="str">
        <f>IFERROR(TEXT(tbl_Ventes[[#This Row],[Date]],"mm-aaaa"),"")</f>
        <v>01-1900</v>
      </c>
      <c r="D1434" s="10" t="str">
        <f>IFERROR(
   INDEX(tbl_ProduitsRef[Cde_Prdt],MATCH(tbl_Ventes[[#This Row],[Produit]],tbl_ProduitsRef[Produit],0)),
   ""
)</f>
        <v/>
      </c>
      <c r="E1434" s="7">
        <v>0</v>
      </c>
      <c r="F1434" s="7" t="str">
        <f>IFERROR(
   INDEX(tbl_ProduitsRef[Prix Menu],MATCH(tbl_Ventes[[#This Row],[Produit]],tbl_ProduitsRef[Produit],0)),
   ""
)</f>
        <v/>
      </c>
      <c r="G1434" s="7">
        <f>tbl_Ventes[[#This Row],[Qté Vendue]] * IFERROR(_xlfn.XLOOKUP(tbl_Ventes[[#This Row],[Cde_Prdt]], tbl_Produits[Cde_Prdt], tbl_Produits[Prix Menu]), 0)</f>
        <v>0</v>
      </c>
      <c r="H1434" s="7">
        <f>IFERROR(_xlfn.XLOOKUP(tbl_Ventes[[#This Row],[Cde_Prdt]], tbl_Produits[Cde_Prdt], tbl_Produits[Coût Moyen Portion]), 0)</f>
        <v>0</v>
      </c>
      <c r="I1434" s="7">
        <f>tbl_Ventes[[#This Row],[Qté Vendue]] * tbl_Ventes[[#This Row],[CMP_par_portion]]</f>
        <v>0</v>
      </c>
      <c r="J1434" s="7">
        <f>tbl_Ventes[[#This Row],[CA ligne]] - tbl_Ventes[[#This Row],[Coût matière ligne]]</f>
        <v>0</v>
      </c>
      <c r="K1434" s="7" t="str">
        <f>IFERROR(INDEX(tbl_ProduitsRef[Famille], MATCH(tbl_Ventes[[#This Row],[Cde_Prdt]], tbl_Produits[Cde_Prdt], 0)), "")</f>
        <v/>
      </c>
    </row>
    <row r="1435" spans="1:11" x14ac:dyDescent="0.25">
      <c r="A1435" s="5"/>
      <c r="B1435" s="63" t="str">
        <f>IFERROR(TEXT(tbl_Ventes[[#This Row],[Date]],"mm-aaaa"),"")</f>
        <v>01-1900</v>
      </c>
      <c r="D1435" s="10" t="str">
        <f>IFERROR(
   INDEX(tbl_ProduitsRef[Cde_Prdt],MATCH(tbl_Ventes[[#This Row],[Produit]],tbl_ProduitsRef[Produit],0)),
   ""
)</f>
        <v/>
      </c>
      <c r="E1435" s="7">
        <v>0</v>
      </c>
      <c r="F1435" s="7" t="str">
        <f>IFERROR(
   INDEX(tbl_ProduitsRef[Prix Menu],MATCH(tbl_Ventes[[#This Row],[Produit]],tbl_ProduitsRef[Produit],0)),
   ""
)</f>
        <v/>
      </c>
      <c r="G1435" s="7">
        <f>tbl_Ventes[[#This Row],[Qté Vendue]] * IFERROR(_xlfn.XLOOKUP(tbl_Ventes[[#This Row],[Cde_Prdt]], tbl_Produits[Cde_Prdt], tbl_Produits[Prix Menu]), 0)</f>
        <v>0</v>
      </c>
      <c r="H1435" s="7">
        <f>IFERROR(_xlfn.XLOOKUP(tbl_Ventes[[#This Row],[Cde_Prdt]], tbl_Produits[Cde_Prdt], tbl_Produits[Coût Moyen Portion]), 0)</f>
        <v>0</v>
      </c>
      <c r="I1435" s="7">
        <f>tbl_Ventes[[#This Row],[Qté Vendue]] * tbl_Ventes[[#This Row],[CMP_par_portion]]</f>
        <v>0</v>
      </c>
      <c r="J1435" s="7">
        <f>tbl_Ventes[[#This Row],[CA ligne]] - tbl_Ventes[[#This Row],[Coût matière ligne]]</f>
        <v>0</v>
      </c>
      <c r="K1435" s="7" t="str">
        <f>IFERROR(INDEX(tbl_ProduitsRef[Famille], MATCH(tbl_Ventes[[#This Row],[Cde_Prdt]], tbl_Produits[Cde_Prdt], 0)), "")</f>
        <v/>
      </c>
    </row>
    <row r="1436" spans="1:11" x14ac:dyDescent="0.25">
      <c r="A1436" s="5"/>
      <c r="B1436" s="63" t="str">
        <f>IFERROR(TEXT(tbl_Ventes[[#This Row],[Date]],"mm-aaaa"),"")</f>
        <v>01-1900</v>
      </c>
      <c r="D1436" s="10" t="str">
        <f>IFERROR(
   INDEX(tbl_ProduitsRef[Cde_Prdt],MATCH(tbl_Ventes[[#This Row],[Produit]],tbl_ProduitsRef[Produit],0)),
   ""
)</f>
        <v/>
      </c>
      <c r="E1436" s="7">
        <v>0</v>
      </c>
      <c r="F1436" s="7" t="str">
        <f>IFERROR(
   INDEX(tbl_ProduitsRef[Prix Menu],MATCH(tbl_Ventes[[#This Row],[Produit]],tbl_ProduitsRef[Produit],0)),
   ""
)</f>
        <v/>
      </c>
      <c r="G1436" s="7">
        <f>tbl_Ventes[[#This Row],[Qté Vendue]] * IFERROR(_xlfn.XLOOKUP(tbl_Ventes[[#This Row],[Cde_Prdt]], tbl_Produits[Cde_Prdt], tbl_Produits[Prix Menu]), 0)</f>
        <v>0</v>
      </c>
      <c r="H1436" s="7">
        <f>IFERROR(_xlfn.XLOOKUP(tbl_Ventes[[#This Row],[Cde_Prdt]], tbl_Produits[Cde_Prdt], tbl_Produits[Coût Moyen Portion]), 0)</f>
        <v>0</v>
      </c>
      <c r="I1436" s="7">
        <f>tbl_Ventes[[#This Row],[Qté Vendue]] * tbl_Ventes[[#This Row],[CMP_par_portion]]</f>
        <v>0</v>
      </c>
      <c r="J1436" s="7">
        <f>tbl_Ventes[[#This Row],[CA ligne]] - tbl_Ventes[[#This Row],[Coût matière ligne]]</f>
        <v>0</v>
      </c>
      <c r="K1436" s="7" t="str">
        <f>IFERROR(INDEX(tbl_ProduitsRef[Famille], MATCH(tbl_Ventes[[#This Row],[Cde_Prdt]], tbl_Produits[Cde_Prdt], 0)), "")</f>
        <v/>
      </c>
    </row>
    <row r="1437" spans="1:11" x14ac:dyDescent="0.25">
      <c r="A1437" s="5"/>
      <c r="B1437" s="63" t="str">
        <f>IFERROR(TEXT(tbl_Ventes[[#This Row],[Date]],"mm-aaaa"),"")</f>
        <v>01-1900</v>
      </c>
      <c r="D1437" s="10" t="str">
        <f>IFERROR(
   INDEX(tbl_ProduitsRef[Cde_Prdt],MATCH(tbl_Ventes[[#This Row],[Produit]],tbl_ProduitsRef[Produit],0)),
   ""
)</f>
        <v/>
      </c>
      <c r="E1437" s="7">
        <v>0</v>
      </c>
      <c r="F1437" s="7" t="str">
        <f>IFERROR(
   INDEX(tbl_ProduitsRef[Prix Menu],MATCH(tbl_Ventes[[#This Row],[Produit]],tbl_ProduitsRef[Produit],0)),
   ""
)</f>
        <v/>
      </c>
      <c r="G1437" s="7">
        <f>tbl_Ventes[[#This Row],[Qté Vendue]] * IFERROR(_xlfn.XLOOKUP(tbl_Ventes[[#This Row],[Cde_Prdt]], tbl_Produits[Cde_Prdt], tbl_Produits[Prix Menu]), 0)</f>
        <v>0</v>
      </c>
      <c r="H1437" s="7">
        <f>IFERROR(_xlfn.XLOOKUP(tbl_Ventes[[#This Row],[Cde_Prdt]], tbl_Produits[Cde_Prdt], tbl_Produits[Coût Moyen Portion]), 0)</f>
        <v>0</v>
      </c>
      <c r="I1437" s="7">
        <f>tbl_Ventes[[#This Row],[Qté Vendue]] * tbl_Ventes[[#This Row],[CMP_par_portion]]</f>
        <v>0</v>
      </c>
      <c r="J1437" s="7">
        <f>tbl_Ventes[[#This Row],[CA ligne]] - tbl_Ventes[[#This Row],[Coût matière ligne]]</f>
        <v>0</v>
      </c>
      <c r="K1437" s="7" t="str">
        <f>IFERROR(INDEX(tbl_ProduitsRef[Famille], MATCH(tbl_Ventes[[#This Row],[Cde_Prdt]], tbl_Produits[Cde_Prdt], 0)), "")</f>
        <v/>
      </c>
    </row>
    <row r="1438" spans="1:11" x14ac:dyDescent="0.25">
      <c r="A1438" s="5"/>
      <c r="B1438" s="63" t="str">
        <f>IFERROR(TEXT(tbl_Ventes[[#This Row],[Date]],"mm-aaaa"),"")</f>
        <v>01-1900</v>
      </c>
      <c r="D1438" s="10" t="str">
        <f>IFERROR(
   INDEX(tbl_ProduitsRef[Cde_Prdt],MATCH(tbl_Ventes[[#This Row],[Produit]],tbl_ProduitsRef[Produit],0)),
   ""
)</f>
        <v/>
      </c>
      <c r="E1438" s="7">
        <v>0</v>
      </c>
      <c r="F1438" s="7" t="str">
        <f>IFERROR(
   INDEX(tbl_ProduitsRef[Prix Menu],MATCH(tbl_Ventes[[#This Row],[Produit]],tbl_ProduitsRef[Produit],0)),
   ""
)</f>
        <v/>
      </c>
      <c r="G1438" s="7">
        <f>tbl_Ventes[[#This Row],[Qté Vendue]] * IFERROR(_xlfn.XLOOKUP(tbl_Ventes[[#This Row],[Cde_Prdt]], tbl_Produits[Cde_Prdt], tbl_Produits[Prix Menu]), 0)</f>
        <v>0</v>
      </c>
      <c r="H1438" s="7">
        <f>IFERROR(_xlfn.XLOOKUP(tbl_Ventes[[#This Row],[Cde_Prdt]], tbl_Produits[Cde_Prdt], tbl_Produits[Coût Moyen Portion]), 0)</f>
        <v>0</v>
      </c>
      <c r="I1438" s="7">
        <f>tbl_Ventes[[#This Row],[Qté Vendue]] * tbl_Ventes[[#This Row],[CMP_par_portion]]</f>
        <v>0</v>
      </c>
      <c r="J1438" s="7">
        <f>tbl_Ventes[[#This Row],[CA ligne]] - tbl_Ventes[[#This Row],[Coût matière ligne]]</f>
        <v>0</v>
      </c>
      <c r="K1438" s="7" t="str">
        <f>IFERROR(INDEX(tbl_ProduitsRef[Famille], MATCH(tbl_Ventes[[#This Row],[Cde_Prdt]], tbl_Produits[Cde_Prdt], 0)), "")</f>
        <v/>
      </c>
    </row>
    <row r="1439" spans="1:11" x14ac:dyDescent="0.25">
      <c r="A1439" s="5"/>
      <c r="B1439" s="63" t="str">
        <f>IFERROR(TEXT(tbl_Ventes[[#This Row],[Date]],"mm-aaaa"),"")</f>
        <v>01-1900</v>
      </c>
      <c r="D1439" s="10" t="str">
        <f>IFERROR(
   INDEX(tbl_ProduitsRef[Cde_Prdt],MATCH(tbl_Ventes[[#This Row],[Produit]],tbl_ProduitsRef[Produit],0)),
   ""
)</f>
        <v/>
      </c>
      <c r="E1439" s="7">
        <v>0</v>
      </c>
      <c r="F1439" s="7" t="str">
        <f>IFERROR(
   INDEX(tbl_ProduitsRef[Prix Menu],MATCH(tbl_Ventes[[#This Row],[Produit]],tbl_ProduitsRef[Produit],0)),
   ""
)</f>
        <v/>
      </c>
      <c r="G1439" s="7">
        <f>tbl_Ventes[[#This Row],[Qté Vendue]] * IFERROR(_xlfn.XLOOKUP(tbl_Ventes[[#This Row],[Cde_Prdt]], tbl_Produits[Cde_Prdt], tbl_Produits[Prix Menu]), 0)</f>
        <v>0</v>
      </c>
      <c r="H1439" s="7">
        <f>IFERROR(_xlfn.XLOOKUP(tbl_Ventes[[#This Row],[Cde_Prdt]], tbl_Produits[Cde_Prdt], tbl_Produits[Coût Moyen Portion]), 0)</f>
        <v>0</v>
      </c>
      <c r="I1439" s="7">
        <f>tbl_Ventes[[#This Row],[Qté Vendue]] * tbl_Ventes[[#This Row],[CMP_par_portion]]</f>
        <v>0</v>
      </c>
      <c r="J1439" s="7">
        <f>tbl_Ventes[[#This Row],[CA ligne]] - tbl_Ventes[[#This Row],[Coût matière ligne]]</f>
        <v>0</v>
      </c>
      <c r="K1439" s="7" t="str">
        <f>IFERROR(INDEX(tbl_ProduitsRef[Famille], MATCH(tbl_Ventes[[#This Row],[Cde_Prdt]], tbl_Produits[Cde_Prdt], 0)), "")</f>
        <v/>
      </c>
    </row>
    <row r="1440" spans="1:11" x14ac:dyDescent="0.25">
      <c r="A1440" s="5"/>
      <c r="B1440" s="63" t="str">
        <f>IFERROR(TEXT(tbl_Ventes[[#This Row],[Date]],"mm-aaaa"),"")</f>
        <v>01-1900</v>
      </c>
      <c r="D1440" s="10" t="str">
        <f>IFERROR(
   INDEX(tbl_ProduitsRef[Cde_Prdt],MATCH(tbl_Ventes[[#This Row],[Produit]],tbl_ProduitsRef[Produit],0)),
   ""
)</f>
        <v/>
      </c>
      <c r="E1440" s="7">
        <v>0</v>
      </c>
      <c r="F1440" s="7" t="str">
        <f>IFERROR(
   INDEX(tbl_ProduitsRef[Prix Menu],MATCH(tbl_Ventes[[#This Row],[Produit]],tbl_ProduitsRef[Produit],0)),
   ""
)</f>
        <v/>
      </c>
      <c r="G1440" s="7">
        <f>tbl_Ventes[[#This Row],[Qté Vendue]] * IFERROR(_xlfn.XLOOKUP(tbl_Ventes[[#This Row],[Cde_Prdt]], tbl_Produits[Cde_Prdt], tbl_Produits[Prix Menu]), 0)</f>
        <v>0</v>
      </c>
      <c r="H1440" s="7">
        <f>IFERROR(_xlfn.XLOOKUP(tbl_Ventes[[#This Row],[Cde_Prdt]], tbl_Produits[Cde_Prdt], tbl_Produits[Coût Moyen Portion]), 0)</f>
        <v>0</v>
      </c>
      <c r="I1440" s="7">
        <f>tbl_Ventes[[#This Row],[Qté Vendue]] * tbl_Ventes[[#This Row],[CMP_par_portion]]</f>
        <v>0</v>
      </c>
      <c r="J1440" s="7">
        <f>tbl_Ventes[[#This Row],[CA ligne]] - tbl_Ventes[[#This Row],[Coût matière ligne]]</f>
        <v>0</v>
      </c>
      <c r="K1440" s="7" t="str">
        <f>IFERROR(INDEX(tbl_ProduitsRef[Famille], MATCH(tbl_Ventes[[#This Row],[Cde_Prdt]], tbl_Produits[Cde_Prdt], 0)), "")</f>
        <v/>
      </c>
    </row>
    <row r="1441" spans="1:11" x14ac:dyDescent="0.25">
      <c r="A1441" s="5"/>
      <c r="B1441" s="63" t="str">
        <f>IFERROR(TEXT(tbl_Ventes[[#This Row],[Date]],"mm-aaaa"),"")</f>
        <v>01-1900</v>
      </c>
      <c r="D1441" s="10" t="str">
        <f>IFERROR(
   INDEX(tbl_ProduitsRef[Cde_Prdt],MATCH(tbl_Ventes[[#This Row],[Produit]],tbl_ProduitsRef[Produit],0)),
   ""
)</f>
        <v/>
      </c>
      <c r="E1441" s="7">
        <v>0</v>
      </c>
      <c r="F1441" s="7" t="str">
        <f>IFERROR(
   INDEX(tbl_ProduitsRef[Prix Menu],MATCH(tbl_Ventes[[#This Row],[Produit]],tbl_ProduitsRef[Produit],0)),
   ""
)</f>
        <v/>
      </c>
      <c r="G1441" s="7">
        <f>tbl_Ventes[[#This Row],[Qté Vendue]] * IFERROR(_xlfn.XLOOKUP(tbl_Ventes[[#This Row],[Cde_Prdt]], tbl_Produits[Cde_Prdt], tbl_Produits[Prix Menu]), 0)</f>
        <v>0</v>
      </c>
      <c r="H1441" s="7">
        <f>IFERROR(_xlfn.XLOOKUP(tbl_Ventes[[#This Row],[Cde_Prdt]], tbl_Produits[Cde_Prdt], tbl_Produits[Coût Moyen Portion]), 0)</f>
        <v>0</v>
      </c>
      <c r="I1441" s="7">
        <f>tbl_Ventes[[#This Row],[Qté Vendue]] * tbl_Ventes[[#This Row],[CMP_par_portion]]</f>
        <v>0</v>
      </c>
      <c r="J1441" s="7">
        <f>tbl_Ventes[[#This Row],[CA ligne]] - tbl_Ventes[[#This Row],[Coût matière ligne]]</f>
        <v>0</v>
      </c>
      <c r="K1441" s="7" t="str">
        <f>IFERROR(INDEX(tbl_ProduitsRef[Famille], MATCH(tbl_Ventes[[#This Row],[Cde_Prdt]], tbl_Produits[Cde_Prdt], 0)), "")</f>
        <v/>
      </c>
    </row>
    <row r="1442" spans="1:11" x14ac:dyDescent="0.25">
      <c r="A1442" s="5"/>
      <c r="B1442" s="63" t="str">
        <f>IFERROR(TEXT(tbl_Ventes[[#This Row],[Date]],"mm-aaaa"),"")</f>
        <v>01-1900</v>
      </c>
      <c r="D1442" s="10" t="str">
        <f>IFERROR(
   INDEX(tbl_ProduitsRef[Cde_Prdt],MATCH(tbl_Ventes[[#This Row],[Produit]],tbl_ProduitsRef[Produit],0)),
   ""
)</f>
        <v/>
      </c>
      <c r="E1442" s="7">
        <v>0</v>
      </c>
      <c r="F1442" s="7" t="str">
        <f>IFERROR(
   INDEX(tbl_ProduitsRef[Prix Menu],MATCH(tbl_Ventes[[#This Row],[Produit]],tbl_ProduitsRef[Produit],0)),
   ""
)</f>
        <v/>
      </c>
      <c r="G1442" s="7">
        <f>tbl_Ventes[[#This Row],[Qté Vendue]] * IFERROR(_xlfn.XLOOKUP(tbl_Ventes[[#This Row],[Cde_Prdt]], tbl_Produits[Cde_Prdt], tbl_Produits[Prix Menu]), 0)</f>
        <v>0</v>
      </c>
      <c r="H1442" s="7">
        <f>IFERROR(_xlfn.XLOOKUP(tbl_Ventes[[#This Row],[Cde_Prdt]], tbl_Produits[Cde_Prdt], tbl_Produits[Coût Moyen Portion]), 0)</f>
        <v>0</v>
      </c>
      <c r="I1442" s="7">
        <f>tbl_Ventes[[#This Row],[Qté Vendue]] * tbl_Ventes[[#This Row],[CMP_par_portion]]</f>
        <v>0</v>
      </c>
      <c r="J1442" s="7">
        <f>tbl_Ventes[[#This Row],[CA ligne]] - tbl_Ventes[[#This Row],[Coût matière ligne]]</f>
        <v>0</v>
      </c>
      <c r="K1442" s="7" t="str">
        <f>IFERROR(INDEX(tbl_ProduitsRef[Famille], MATCH(tbl_Ventes[[#This Row],[Cde_Prdt]], tbl_Produits[Cde_Prdt], 0)), "")</f>
        <v/>
      </c>
    </row>
    <row r="1443" spans="1:11" x14ac:dyDescent="0.25">
      <c r="A1443" s="5"/>
      <c r="B1443" s="63" t="str">
        <f>IFERROR(TEXT(tbl_Ventes[[#This Row],[Date]],"mm-aaaa"),"")</f>
        <v>01-1900</v>
      </c>
      <c r="D1443" s="10" t="str">
        <f>IFERROR(
   INDEX(tbl_ProduitsRef[Cde_Prdt],MATCH(tbl_Ventes[[#This Row],[Produit]],tbl_ProduitsRef[Produit],0)),
   ""
)</f>
        <v/>
      </c>
      <c r="E1443" s="7">
        <v>0</v>
      </c>
      <c r="F1443" s="7" t="str">
        <f>IFERROR(
   INDEX(tbl_ProduitsRef[Prix Menu],MATCH(tbl_Ventes[[#This Row],[Produit]],tbl_ProduitsRef[Produit],0)),
   ""
)</f>
        <v/>
      </c>
      <c r="G1443" s="7">
        <f>tbl_Ventes[[#This Row],[Qté Vendue]] * IFERROR(_xlfn.XLOOKUP(tbl_Ventes[[#This Row],[Cde_Prdt]], tbl_Produits[Cde_Prdt], tbl_Produits[Prix Menu]), 0)</f>
        <v>0</v>
      </c>
      <c r="H1443" s="7">
        <f>IFERROR(_xlfn.XLOOKUP(tbl_Ventes[[#This Row],[Cde_Prdt]], tbl_Produits[Cde_Prdt], tbl_Produits[Coût Moyen Portion]), 0)</f>
        <v>0</v>
      </c>
      <c r="I1443" s="7">
        <f>tbl_Ventes[[#This Row],[Qté Vendue]] * tbl_Ventes[[#This Row],[CMP_par_portion]]</f>
        <v>0</v>
      </c>
      <c r="J1443" s="7">
        <f>tbl_Ventes[[#This Row],[CA ligne]] - tbl_Ventes[[#This Row],[Coût matière ligne]]</f>
        <v>0</v>
      </c>
      <c r="K1443" s="7" t="str">
        <f>IFERROR(INDEX(tbl_ProduitsRef[Famille], MATCH(tbl_Ventes[[#This Row],[Cde_Prdt]], tbl_Produits[Cde_Prdt], 0)), "")</f>
        <v/>
      </c>
    </row>
    <row r="1444" spans="1:11" x14ac:dyDescent="0.25">
      <c r="A1444" s="5"/>
      <c r="B1444" s="63" t="str">
        <f>IFERROR(TEXT(tbl_Ventes[[#This Row],[Date]],"mm-aaaa"),"")</f>
        <v>01-1900</v>
      </c>
      <c r="D1444" s="10" t="str">
        <f>IFERROR(
   INDEX(tbl_ProduitsRef[Cde_Prdt],MATCH(tbl_Ventes[[#This Row],[Produit]],tbl_ProduitsRef[Produit],0)),
   ""
)</f>
        <v/>
      </c>
      <c r="E1444" s="7">
        <v>0</v>
      </c>
      <c r="F1444" s="7" t="str">
        <f>IFERROR(
   INDEX(tbl_ProduitsRef[Prix Menu],MATCH(tbl_Ventes[[#This Row],[Produit]],tbl_ProduitsRef[Produit],0)),
   ""
)</f>
        <v/>
      </c>
      <c r="G1444" s="7">
        <f>tbl_Ventes[[#This Row],[Qté Vendue]] * IFERROR(_xlfn.XLOOKUP(tbl_Ventes[[#This Row],[Cde_Prdt]], tbl_Produits[Cde_Prdt], tbl_Produits[Prix Menu]), 0)</f>
        <v>0</v>
      </c>
      <c r="H1444" s="7">
        <f>IFERROR(_xlfn.XLOOKUP(tbl_Ventes[[#This Row],[Cde_Prdt]], tbl_Produits[Cde_Prdt], tbl_Produits[Coût Moyen Portion]), 0)</f>
        <v>0</v>
      </c>
      <c r="I1444" s="7">
        <f>tbl_Ventes[[#This Row],[Qté Vendue]] * tbl_Ventes[[#This Row],[CMP_par_portion]]</f>
        <v>0</v>
      </c>
      <c r="J1444" s="7">
        <f>tbl_Ventes[[#This Row],[CA ligne]] - tbl_Ventes[[#This Row],[Coût matière ligne]]</f>
        <v>0</v>
      </c>
      <c r="K1444" s="7" t="str">
        <f>IFERROR(INDEX(tbl_ProduitsRef[Famille], MATCH(tbl_Ventes[[#This Row],[Cde_Prdt]], tbl_Produits[Cde_Prdt], 0)), "")</f>
        <v/>
      </c>
    </row>
    <row r="1445" spans="1:11" x14ac:dyDescent="0.25">
      <c r="A1445" s="5"/>
      <c r="B1445" s="63" t="str">
        <f>IFERROR(TEXT(tbl_Ventes[[#This Row],[Date]],"mm-aaaa"),"")</f>
        <v>01-1900</v>
      </c>
      <c r="D1445" s="10" t="str">
        <f>IFERROR(
   INDEX(tbl_ProduitsRef[Cde_Prdt],MATCH(tbl_Ventes[[#This Row],[Produit]],tbl_ProduitsRef[Produit],0)),
   ""
)</f>
        <v/>
      </c>
      <c r="E1445" s="7">
        <v>0</v>
      </c>
      <c r="F1445" s="7" t="str">
        <f>IFERROR(
   INDEX(tbl_ProduitsRef[Prix Menu],MATCH(tbl_Ventes[[#This Row],[Produit]],tbl_ProduitsRef[Produit],0)),
   ""
)</f>
        <v/>
      </c>
      <c r="G1445" s="7">
        <f>tbl_Ventes[[#This Row],[Qté Vendue]] * IFERROR(_xlfn.XLOOKUP(tbl_Ventes[[#This Row],[Cde_Prdt]], tbl_Produits[Cde_Prdt], tbl_Produits[Prix Menu]), 0)</f>
        <v>0</v>
      </c>
      <c r="H1445" s="7">
        <f>IFERROR(_xlfn.XLOOKUP(tbl_Ventes[[#This Row],[Cde_Prdt]], tbl_Produits[Cde_Prdt], tbl_Produits[Coût Moyen Portion]), 0)</f>
        <v>0</v>
      </c>
      <c r="I1445" s="7">
        <f>tbl_Ventes[[#This Row],[Qté Vendue]] * tbl_Ventes[[#This Row],[CMP_par_portion]]</f>
        <v>0</v>
      </c>
      <c r="J1445" s="7">
        <f>tbl_Ventes[[#This Row],[CA ligne]] - tbl_Ventes[[#This Row],[Coût matière ligne]]</f>
        <v>0</v>
      </c>
      <c r="K1445" s="7" t="str">
        <f>IFERROR(INDEX(tbl_ProduitsRef[Famille], MATCH(tbl_Ventes[[#This Row],[Cde_Prdt]], tbl_Produits[Cde_Prdt], 0)), "")</f>
        <v/>
      </c>
    </row>
    <row r="1446" spans="1:11" x14ac:dyDescent="0.25">
      <c r="A1446" s="5"/>
      <c r="B1446" s="63" t="str">
        <f>IFERROR(TEXT(tbl_Ventes[[#This Row],[Date]],"mm-aaaa"),"")</f>
        <v>01-1900</v>
      </c>
      <c r="D1446" s="10" t="str">
        <f>IFERROR(
   INDEX(tbl_ProduitsRef[Cde_Prdt],MATCH(tbl_Ventes[[#This Row],[Produit]],tbl_ProduitsRef[Produit],0)),
   ""
)</f>
        <v/>
      </c>
      <c r="E1446" s="7">
        <v>0</v>
      </c>
      <c r="F1446" s="7" t="str">
        <f>IFERROR(
   INDEX(tbl_ProduitsRef[Prix Menu],MATCH(tbl_Ventes[[#This Row],[Produit]],tbl_ProduitsRef[Produit],0)),
   ""
)</f>
        <v/>
      </c>
      <c r="G1446" s="7">
        <f>tbl_Ventes[[#This Row],[Qté Vendue]] * IFERROR(_xlfn.XLOOKUP(tbl_Ventes[[#This Row],[Cde_Prdt]], tbl_Produits[Cde_Prdt], tbl_Produits[Prix Menu]), 0)</f>
        <v>0</v>
      </c>
      <c r="H1446" s="7">
        <f>IFERROR(_xlfn.XLOOKUP(tbl_Ventes[[#This Row],[Cde_Prdt]], tbl_Produits[Cde_Prdt], tbl_Produits[Coût Moyen Portion]), 0)</f>
        <v>0</v>
      </c>
      <c r="I1446" s="7">
        <f>tbl_Ventes[[#This Row],[Qté Vendue]] * tbl_Ventes[[#This Row],[CMP_par_portion]]</f>
        <v>0</v>
      </c>
      <c r="J1446" s="7">
        <f>tbl_Ventes[[#This Row],[CA ligne]] - tbl_Ventes[[#This Row],[Coût matière ligne]]</f>
        <v>0</v>
      </c>
      <c r="K1446" s="7" t="str">
        <f>IFERROR(INDEX(tbl_ProduitsRef[Famille], MATCH(tbl_Ventes[[#This Row],[Cde_Prdt]], tbl_Produits[Cde_Prdt], 0)), "")</f>
        <v/>
      </c>
    </row>
    <row r="1447" spans="1:11" x14ac:dyDescent="0.25">
      <c r="A1447" s="5"/>
      <c r="B1447" s="63" t="str">
        <f>IFERROR(TEXT(tbl_Ventes[[#This Row],[Date]],"mm-aaaa"),"")</f>
        <v>01-1900</v>
      </c>
      <c r="D1447" s="10" t="str">
        <f>IFERROR(
   INDEX(tbl_ProduitsRef[Cde_Prdt],MATCH(tbl_Ventes[[#This Row],[Produit]],tbl_ProduitsRef[Produit],0)),
   ""
)</f>
        <v/>
      </c>
      <c r="E1447" s="7">
        <v>0</v>
      </c>
      <c r="F1447" s="7" t="str">
        <f>IFERROR(
   INDEX(tbl_ProduitsRef[Prix Menu],MATCH(tbl_Ventes[[#This Row],[Produit]],tbl_ProduitsRef[Produit],0)),
   ""
)</f>
        <v/>
      </c>
      <c r="G1447" s="7">
        <f>tbl_Ventes[[#This Row],[Qté Vendue]] * IFERROR(_xlfn.XLOOKUP(tbl_Ventes[[#This Row],[Cde_Prdt]], tbl_Produits[Cde_Prdt], tbl_Produits[Prix Menu]), 0)</f>
        <v>0</v>
      </c>
      <c r="H1447" s="7">
        <f>IFERROR(_xlfn.XLOOKUP(tbl_Ventes[[#This Row],[Cde_Prdt]], tbl_Produits[Cde_Prdt], tbl_Produits[Coût Moyen Portion]), 0)</f>
        <v>0</v>
      </c>
      <c r="I1447" s="7">
        <f>tbl_Ventes[[#This Row],[Qté Vendue]] * tbl_Ventes[[#This Row],[CMP_par_portion]]</f>
        <v>0</v>
      </c>
      <c r="J1447" s="7">
        <f>tbl_Ventes[[#This Row],[CA ligne]] - tbl_Ventes[[#This Row],[Coût matière ligne]]</f>
        <v>0</v>
      </c>
      <c r="K1447" s="7" t="str">
        <f>IFERROR(INDEX(tbl_ProduitsRef[Famille], MATCH(tbl_Ventes[[#This Row],[Cde_Prdt]], tbl_Produits[Cde_Prdt], 0)), "")</f>
        <v/>
      </c>
    </row>
    <row r="1448" spans="1:11" x14ac:dyDescent="0.25">
      <c r="A1448" s="5"/>
      <c r="B1448" s="63" t="str">
        <f>IFERROR(TEXT(tbl_Ventes[[#This Row],[Date]],"mm-aaaa"),"")</f>
        <v>01-1900</v>
      </c>
      <c r="D1448" s="10" t="str">
        <f>IFERROR(
   INDEX(tbl_ProduitsRef[Cde_Prdt],MATCH(tbl_Ventes[[#This Row],[Produit]],tbl_ProduitsRef[Produit],0)),
   ""
)</f>
        <v/>
      </c>
      <c r="E1448" s="7">
        <v>0</v>
      </c>
      <c r="F1448" s="7" t="str">
        <f>IFERROR(
   INDEX(tbl_ProduitsRef[Prix Menu],MATCH(tbl_Ventes[[#This Row],[Produit]],tbl_ProduitsRef[Produit],0)),
   ""
)</f>
        <v/>
      </c>
      <c r="G1448" s="7">
        <f>tbl_Ventes[[#This Row],[Qté Vendue]] * IFERROR(_xlfn.XLOOKUP(tbl_Ventes[[#This Row],[Cde_Prdt]], tbl_Produits[Cde_Prdt], tbl_Produits[Prix Menu]), 0)</f>
        <v>0</v>
      </c>
      <c r="H1448" s="7">
        <f>IFERROR(_xlfn.XLOOKUP(tbl_Ventes[[#This Row],[Cde_Prdt]], tbl_Produits[Cde_Prdt], tbl_Produits[Coût Moyen Portion]), 0)</f>
        <v>0</v>
      </c>
      <c r="I1448" s="7">
        <f>tbl_Ventes[[#This Row],[Qté Vendue]] * tbl_Ventes[[#This Row],[CMP_par_portion]]</f>
        <v>0</v>
      </c>
      <c r="J1448" s="7">
        <f>tbl_Ventes[[#This Row],[CA ligne]] - tbl_Ventes[[#This Row],[Coût matière ligne]]</f>
        <v>0</v>
      </c>
      <c r="K1448" s="7" t="str">
        <f>IFERROR(INDEX(tbl_ProduitsRef[Famille], MATCH(tbl_Ventes[[#This Row],[Cde_Prdt]], tbl_Produits[Cde_Prdt], 0)), "")</f>
        <v/>
      </c>
    </row>
    <row r="1449" spans="1:11" x14ac:dyDescent="0.25">
      <c r="A1449" s="5"/>
      <c r="B1449" s="63" t="str">
        <f>IFERROR(TEXT(tbl_Ventes[[#This Row],[Date]],"mm-aaaa"),"")</f>
        <v>01-1900</v>
      </c>
      <c r="D1449" s="10" t="str">
        <f>IFERROR(
   INDEX(tbl_ProduitsRef[Cde_Prdt],MATCH(tbl_Ventes[[#This Row],[Produit]],tbl_ProduitsRef[Produit],0)),
   ""
)</f>
        <v/>
      </c>
      <c r="E1449" s="7">
        <v>0</v>
      </c>
      <c r="F1449" s="7" t="str">
        <f>IFERROR(
   INDEX(tbl_ProduitsRef[Prix Menu],MATCH(tbl_Ventes[[#This Row],[Produit]],tbl_ProduitsRef[Produit],0)),
   ""
)</f>
        <v/>
      </c>
      <c r="G1449" s="7">
        <f>tbl_Ventes[[#This Row],[Qté Vendue]] * IFERROR(_xlfn.XLOOKUP(tbl_Ventes[[#This Row],[Cde_Prdt]], tbl_Produits[Cde_Prdt], tbl_Produits[Prix Menu]), 0)</f>
        <v>0</v>
      </c>
      <c r="H1449" s="7">
        <f>IFERROR(_xlfn.XLOOKUP(tbl_Ventes[[#This Row],[Cde_Prdt]], tbl_Produits[Cde_Prdt], tbl_Produits[Coût Moyen Portion]), 0)</f>
        <v>0</v>
      </c>
      <c r="I1449" s="7">
        <f>tbl_Ventes[[#This Row],[Qté Vendue]] * tbl_Ventes[[#This Row],[CMP_par_portion]]</f>
        <v>0</v>
      </c>
      <c r="J1449" s="7">
        <f>tbl_Ventes[[#This Row],[CA ligne]] - tbl_Ventes[[#This Row],[Coût matière ligne]]</f>
        <v>0</v>
      </c>
      <c r="K1449" s="7" t="str">
        <f>IFERROR(INDEX(tbl_ProduitsRef[Famille], MATCH(tbl_Ventes[[#This Row],[Cde_Prdt]], tbl_Produits[Cde_Prdt], 0)), "")</f>
        <v/>
      </c>
    </row>
    <row r="1450" spans="1:11" x14ac:dyDescent="0.25">
      <c r="A1450" s="5"/>
      <c r="B1450" s="63" t="str">
        <f>IFERROR(TEXT(tbl_Ventes[[#This Row],[Date]],"mm-aaaa"),"")</f>
        <v>01-1900</v>
      </c>
      <c r="D1450" s="10" t="str">
        <f>IFERROR(
   INDEX(tbl_ProduitsRef[Cde_Prdt],MATCH(tbl_Ventes[[#This Row],[Produit]],tbl_ProduitsRef[Produit],0)),
   ""
)</f>
        <v/>
      </c>
      <c r="E1450" s="7">
        <v>0</v>
      </c>
      <c r="F1450" s="7" t="str">
        <f>IFERROR(
   INDEX(tbl_ProduitsRef[Prix Menu],MATCH(tbl_Ventes[[#This Row],[Produit]],tbl_ProduitsRef[Produit],0)),
   ""
)</f>
        <v/>
      </c>
      <c r="G1450" s="7">
        <f>tbl_Ventes[[#This Row],[Qté Vendue]] * IFERROR(_xlfn.XLOOKUP(tbl_Ventes[[#This Row],[Cde_Prdt]], tbl_Produits[Cde_Prdt], tbl_Produits[Prix Menu]), 0)</f>
        <v>0</v>
      </c>
      <c r="H1450" s="7">
        <f>IFERROR(_xlfn.XLOOKUP(tbl_Ventes[[#This Row],[Cde_Prdt]], tbl_Produits[Cde_Prdt], tbl_Produits[Coût Moyen Portion]), 0)</f>
        <v>0</v>
      </c>
      <c r="I1450" s="7">
        <f>tbl_Ventes[[#This Row],[Qté Vendue]] * tbl_Ventes[[#This Row],[CMP_par_portion]]</f>
        <v>0</v>
      </c>
      <c r="J1450" s="7">
        <f>tbl_Ventes[[#This Row],[CA ligne]] - tbl_Ventes[[#This Row],[Coût matière ligne]]</f>
        <v>0</v>
      </c>
      <c r="K1450" s="7" t="str">
        <f>IFERROR(INDEX(tbl_ProduitsRef[Famille], MATCH(tbl_Ventes[[#This Row],[Cde_Prdt]], tbl_Produits[Cde_Prdt], 0)), "")</f>
        <v/>
      </c>
    </row>
    <row r="1451" spans="1:11" x14ac:dyDescent="0.25">
      <c r="A1451" s="5"/>
      <c r="B1451" s="63" t="str">
        <f>IFERROR(TEXT(tbl_Ventes[[#This Row],[Date]],"mm-aaaa"),"")</f>
        <v>01-1900</v>
      </c>
      <c r="D1451" s="10" t="str">
        <f>IFERROR(
   INDEX(tbl_ProduitsRef[Cde_Prdt],MATCH(tbl_Ventes[[#This Row],[Produit]],tbl_ProduitsRef[Produit],0)),
   ""
)</f>
        <v/>
      </c>
      <c r="E1451" s="7">
        <v>0</v>
      </c>
      <c r="F1451" s="7" t="str">
        <f>IFERROR(
   INDEX(tbl_ProduitsRef[Prix Menu],MATCH(tbl_Ventes[[#This Row],[Produit]],tbl_ProduitsRef[Produit],0)),
   ""
)</f>
        <v/>
      </c>
      <c r="G1451" s="7">
        <f>tbl_Ventes[[#This Row],[Qté Vendue]] * IFERROR(_xlfn.XLOOKUP(tbl_Ventes[[#This Row],[Cde_Prdt]], tbl_Produits[Cde_Prdt], tbl_Produits[Prix Menu]), 0)</f>
        <v>0</v>
      </c>
      <c r="H1451" s="7">
        <f>IFERROR(_xlfn.XLOOKUP(tbl_Ventes[[#This Row],[Cde_Prdt]], tbl_Produits[Cde_Prdt], tbl_Produits[Coût Moyen Portion]), 0)</f>
        <v>0</v>
      </c>
      <c r="I1451" s="7">
        <f>tbl_Ventes[[#This Row],[Qté Vendue]] * tbl_Ventes[[#This Row],[CMP_par_portion]]</f>
        <v>0</v>
      </c>
      <c r="J1451" s="7">
        <f>tbl_Ventes[[#This Row],[CA ligne]] - tbl_Ventes[[#This Row],[Coût matière ligne]]</f>
        <v>0</v>
      </c>
      <c r="K1451" s="7" t="str">
        <f>IFERROR(INDEX(tbl_ProduitsRef[Famille], MATCH(tbl_Ventes[[#This Row],[Cde_Prdt]], tbl_Produits[Cde_Prdt], 0)), "")</f>
        <v/>
      </c>
    </row>
    <row r="1452" spans="1:11" x14ac:dyDescent="0.25">
      <c r="A1452" s="5"/>
      <c r="B1452" s="63" t="str">
        <f>IFERROR(TEXT(tbl_Ventes[[#This Row],[Date]],"mm-aaaa"),"")</f>
        <v>01-1900</v>
      </c>
      <c r="D1452" s="10" t="str">
        <f>IFERROR(
   INDEX(tbl_ProduitsRef[Cde_Prdt],MATCH(tbl_Ventes[[#This Row],[Produit]],tbl_ProduitsRef[Produit],0)),
   ""
)</f>
        <v/>
      </c>
      <c r="E1452" s="7">
        <v>0</v>
      </c>
      <c r="F1452" s="7" t="str">
        <f>IFERROR(
   INDEX(tbl_ProduitsRef[Prix Menu],MATCH(tbl_Ventes[[#This Row],[Produit]],tbl_ProduitsRef[Produit],0)),
   ""
)</f>
        <v/>
      </c>
      <c r="G1452" s="7">
        <f>tbl_Ventes[[#This Row],[Qté Vendue]] * IFERROR(_xlfn.XLOOKUP(tbl_Ventes[[#This Row],[Cde_Prdt]], tbl_Produits[Cde_Prdt], tbl_Produits[Prix Menu]), 0)</f>
        <v>0</v>
      </c>
      <c r="H1452" s="7">
        <f>IFERROR(_xlfn.XLOOKUP(tbl_Ventes[[#This Row],[Cde_Prdt]], tbl_Produits[Cde_Prdt], tbl_Produits[Coût Moyen Portion]), 0)</f>
        <v>0</v>
      </c>
      <c r="I1452" s="7">
        <f>tbl_Ventes[[#This Row],[Qté Vendue]] * tbl_Ventes[[#This Row],[CMP_par_portion]]</f>
        <v>0</v>
      </c>
      <c r="J1452" s="7">
        <f>tbl_Ventes[[#This Row],[CA ligne]] - tbl_Ventes[[#This Row],[Coût matière ligne]]</f>
        <v>0</v>
      </c>
      <c r="K1452" s="7" t="str">
        <f>IFERROR(INDEX(tbl_ProduitsRef[Famille], MATCH(tbl_Ventes[[#This Row],[Cde_Prdt]], tbl_Produits[Cde_Prdt], 0)), "")</f>
        <v/>
      </c>
    </row>
    <row r="1453" spans="1:11" x14ac:dyDescent="0.25">
      <c r="A1453" s="5"/>
      <c r="B1453" s="63" t="str">
        <f>IFERROR(TEXT(tbl_Ventes[[#This Row],[Date]],"mm-aaaa"),"")</f>
        <v>01-1900</v>
      </c>
      <c r="D1453" s="10" t="str">
        <f>IFERROR(
   INDEX(tbl_ProduitsRef[Cde_Prdt],MATCH(tbl_Ventes[[#This Row],[Produit]],tbl_ProduitsRef[Produit],0)),
   ""
)</f>
        <v/>
      </c>
      <c r="E1453" s="7">
        <v>0</v>
      </c>
      <c r="F1453" s="7" t="str">
        <f>IFERROR(
   INDEX(tbl_ProduitsRef[Prix Menu],MATCH(tbl_Ventes[[#This Row],[Produit]],tbl_ProduitsRef[Produit],0)),
   ""
)</f>
        <v/>
      </c>
      <c r="G1453" s="7">
        <f>tbl_Ventes[[#This Row],[Qté Vendue]] * IFERROR(_xlfn.XLOOKUP(tbl_Ventes[[#This Row],[Cde_Prdt]], tbl_Produits[Cde_Prdt], tbl_Produits[Prix Menu]), 0)</f>
        <v>0</v>
      </c>
      <c r="H1453" s="7">
        <f>IFERROR(_xlfn.XLOOKUP(tbl_Ventes[[#This Row],[Cde_Prdt]], tbl_Produits[Cde_Prdt], tbl_Produits[Coût Moyen Portion]), 0)</f>
        <v>0</v>
      </c>
      <c r="I1453" s="7">
        <f>tbl_Ventes[[#This Row],[Qté Vendue]] * tbl_Ventes[[#This Row],[CMP_par_portion]]</f>
        <v>0</v>
      </c>
      <c r="J1453" s="7">
        <f>tbl_Ventes[[#This Row],[CA ligne]] - tbl_Ventes[[#This Row],[Coût matière ligne]]</f>
        <v>0</v>
      </c>
      <c r="K1453" s="7" t="str">
        <f>IFERROR(INDEX(tbl_ProduitsRef[Famille], MATCH(tbl_Ventes[[#This Row],[Cde_Prdt]], tbl_Produits[Cde_Prdt], 0)), "")</f>
        <v/>
      </c>
    </row>
    <row r="1454" spans="1:11" x14ac:dyDescent="0.25">
      <c r="A1454" s="5"/>
      <c r="B1454" s="63" t="str">
        <f>IFERROR(TEXT(tbl_Ventes[[#This Row],[Date]],"mm-aaaa"),"")</f>
        <v>01-1900</v>
      </c>
      <c r="D1454" s="10" t="str">
        <f>IFERROR(
   INDEX(tbl_ProduitsRef[Cde_Prdt],MATCH(tbl_Ventes[[#This Row],[Produit]],tbl_ProduitsRef[Produit],0)),
   ""
)</f>
        <v/>
      </c>
      <c r="E1454" s="7">
        <v>0</v>
      </c>
      <c r="F1454" s="7" t="str">
        <f>IFERROR(
   INDEX(tbl_ProduitsRef[Prix Menu],MATCH(tbl_Ventes[[#This Row],[Produit]],tbl_ProduitsRef[Produit],0)),
   ""
)</f>
        <v/>
      </c>
      <c r="G1454" s="7">
        <f>tbl_Ventes[[#This Row],[Qté Vendue]] * IFERROR(_xlfn.XLOOKUP(tbl_Ventes[[#This Row],[Cde_Prdt]], tbl_Produits[Cde_Prdt], tbl_Produits[Prix Menu]), 0)</f>
        <v>0</v>
      </c>
      <c r="H1454" s="7">
        <f>IFERROR(_xlfn.XLOOKUP(tbl_Ventes[[#This Row],[Cde_Prdt]], tbl_Produits[Cde_Prdt], tbl_Produits[Coût Moyen Portion]), 0)</f>
        <v>0</v>
      </c>
      <c r="I1454" s="7">
        <f>tbl_Ventes[[#This Row],[Qté Vendue]] * tbl_Ventes[[#This Row],[CMP_par_portion]]</f>
        <v>0</v>
      </c>
      <c r="J1454" s="7">
        <f>tbl_Ventes[[#This Row],[CA ligne]] - tbl_Ventes[[#This Row],[Coût matière ligne]]</f>
        <v>0</v>
      </c>
      <c r="K1454" s="7" t="str">
        <f>IFERROR(INDEX(tbl_ProduitsRef[Famille], MATCH(tbl_Ventes[[#This Row],[Cde_Prdt]], tbl_Produits[Cde_Prdt], 0)), "")</f>
        <v/>
      </c>
    </row>
    <row r="1455" spans="1:11" x14ac:dyDescent="0.25">
      <c r="A1455" s="5"/>
      <c r="B1455" s="63" t="str">
        <f>IFERROR(TEXT(tbl_Ventes[[#This Row],[Date]],"mm-aaaa"),"")</f>
        <v>01-1900</v>
      </c>
      <c r="D1455" s="10" t="str">
        <f>IFERROR(
   INDEX(tbl_ProduitsRef[Cde_Prdt],MATCH(tbl_Ventes[[#This Row],[Produit]],tbl_ProduitsRef[Produit],0)),
   ""
)</f>
        <v/>
      </c>
      <c r="E1455" s="7">
        <v>0</v>
      </c>
      <c r="F1455" s="7" t="str">
        <f>IFERROR(
   INDEX(tbl_ProduitsRef[Prix Menu],MATCH(tbl_Ventes[[#This Row],[Produit]],tbl_ProduitsRef[Produit],0)),
   ""
)</f>
        <v/>
      </c>
      <c r="G1455" s="7">
        <f>tbl_Ventes[[#This Row],[Qté Vendue]] * IFERROR(_xlfn.XLOOKUP(tbl_Ventes[[#This Row],[Cde_Prdt]], tbl_Produits[Cde_Prdt], tbl_Produits[Prix Menu]), 0)</f>
        <v>0</v>
      </c>
      <c r="H1455" s="7">
        <f>IFERROR(_xlfn.XLOOKUP(tbl_Ventes[[#This Row],[Cde_Prdt]], tbl_Produits[Cde_Prdt], tbl_Produits[Coût Moyen Portion]), 0)</f>
        <v>0</v>
      </c>
      <c r="I1455" s="7">
        <f>tbl_Ventes[[#This Row],[Qté Vendue]] * tbl_Ventes[[#This Row],[CMP_par_portion]]</f>
        <v>0</v>
      </c>
      <c r="J1455" s="7">
        <f>tbl_Ventes[[#This Row],[CA ligne]] - tbl_Ventes[[#This Row],[Coût matière ligne]]</f>
        <v>0</v>
      </c>
      <c r="K1455" s="7" t="str">
        <f>IFERROR(INDEX(tbl_ProduitsRef[Famille], MATCH(tbl_Ventes[[#This Row],[Cde_Prdt]], tbl_Produits[Cde_Prdt], 0)), "")</f>
        <v/>
      </c>
    </row>
    <row r="1456" spans="1:11" x14ac:dyDescent="0.25">
      <c r="A1456" s="5"/>
      <c r="B1456" s="63" t="str">
        <f>IFERROR(TEXT(tbl_Ventes[[#This Row],[Date]],"mm-aaaa"),"")</f>
        <v>01-1900</v>
      </c>
      <c r="D1456" s="10" t="str">
        <f>IFERROR(
   INDEX(tbl_ProduitsRef[Cde_Prdt],MATCH(tbl_Ventes[[#This Row],[Produit]],tbl_ProduitsRef[Produit],0)),
   ""
)</f>
        <v/>
      </c>
      <c r="E1456" s="7">
        <v>0</v>
      </c>
      <c r="F1456" s="7" t="str">
        <f>IFERROR(
   INDEX(tbl_ProduitsRef[Prix Menu],MATCH(tbl_Ventes[[#This Row],[Produit]],tbl_ProduitsRef[Produit],0)),
   ""
)</f>
        <v/>
      </c>
      <c r="G1456" s="7">
        <f>tbl_Ventes[[#This Row],[Qté Vendue]] * IFERROR(_xlfn.XLOOKUP(tbl_Ventes[[#This Row],[Cde_Prdt]], tbl_Produits[Cde_Prdt], tbl_Produits[Prix Menu]), 0)</f>
        <v>0</v>
      </c>
      <c r="H1456" s="7">
        <f>IFERROR(_xlfn.XLOOKUP(tbl_Ventes[[#This Row],[Cde_Prdt]], tbl_Produits[Cde_Prdt], tbl_Produits[Coût Moyen Portion]), 0)</f>
        <v>0</v>
      </c>
      <c r="I1456" s="7">
        <f>tbl_Ventes[[#This Row],[Qté Vendue]] * tbl_Ventes[[#This Row],[CMP_par_portion]]</f>
        <v>0</v>
      </c>
      <c r="J1456" s="7">
        <f>tbl_Ventes[[#This Row],[CA ligne]] - tbl_Ventes[[#This Row],[Coût matière ligne]]</f>
        <v>0</v>
      </c>
      <c r="K1456" s="7" t="str">
        <f>IFERROR(INDEX(tbl_ProduitsRef[Famille], MATCH(tbl_Ventes[[#This Row],[Cde_Prdt]], tbl_Produits[Cde_Prdt], 0)), "")</f>
        <v/>
      </c>
    </row>
    <row r="1457" spans="1:11" x14ac:dyDescent="0.25">
      <c r="A1457" s="5"/>
      <c r="B1457" s="63" t="str">
        <f>IFERROR(TEXT(tbl_Ventes[[#This Row],[Date]],"mm-aaaa"),"")</f>
        <v>01-1900</v>
      </c>
      <c r="D1457" s="10" t="str">
        <f>IFERROR(
   INDEX(tbl_ProduitsRef[Cde_Prdt],MATCH(tbl_Ventes[[#This Row],[Produit]],tbl_ProduitsRef[Produit],0)),
   ""
)</f>
        <v/>
      </c>
      <c r="E1457" s="7">
        <v>0</v>
      </c>
      <c r="F1457" s="7" t="str">
        <f>IFERROR(
   INDEX(tbl_ProduitsRef[Prix Menu],MATCH(tbl_Ventes[[#This Row],[Produit]],tbl_ProduitsRef[Produit],0)),
   ""
)</f>
        <v/>
      </c>
      <c r="G1457" s="7">
        <f>tbl_Ventes[[#This Row],[Qté Vendue]] * IFERROR(_xlfn.XLOOKUP(tbl_Ventes[[#This Row],[Cde_Prdt]], tbl_Produits[Cde_Prdt], tbl_Produits[Prix Menu]), 0)</f>
        <v>0</v>
      </c>
      <c r="H1457" s="7">
        <f>IFERROR(_xlfn.XLOOKUP(tbl_Ventes[[#This Row],[Cde_Prdt]], tbl_Produits[Cde_Prdt], tbl_Produits[Coût Moyen Portion]), 0)</f>
        <v>0</v>
      </c>
      <c r="I1457" s="7">
        <f>tbl_Ventes[[#This Row],[Qté Vendue]] * tbl_Ventes[[#This Row],[CMP_par_portion]]</f>
        <v>0</v>
      </c>
      <c r="J1457" s="7">
        <f>tbl_Ventes[[#This Row],[CA ligne]] - tbl_Ventes[[#This Row],[Coût matière ligne]]</f>
        <v>0</v>
      </c>
      <c r="K1457" s="7" t="str">
        <f>IFERROR(INDEX(tbl_ProduitsRef[Famille], MATCH(tbl_Ventes[[#This Row],[Cde_Prdt]], tbl_Produits[Cde_Prdt], 0)), "")</f>
        <v/>
      </c>
    </row>
    <row r="1458" spans="1:11" x14ac:dyDescent="0.25">
      <c r="A1458" s="5"/>
      <c r="B1458" s="63" t="str">
        <f>IFERROR(TEXT(tbl_Ventes[[#This Row],[Date]],"mm-aaaa"),"")</f>
        <v>01-1900</v>
      </c>
      <c r="D1458" s="10" t="str">
        <f>IFERROR(
   INDEX(tbl_ProduitsRef[Cde_Prdt],MATCH(tbl_Ventes[[#This Row],[Produit]],tbl_ProduitsRef[Produit],0)),
   ""
)</f>
        <v/>
      </c>
      <c r="E1458" s="7">
        <v>0</v>
      </c>
      <c r="F1458" s="7" t="str">
        <f>IFERROR(
   INDEX(tbl_ProduitsRef[Prix Menu],MATCH(tbl_Ventes[[#This Row],[Produit]],tbl_ProduitsRef[Produit],0)),
   ""
)</f>
        <v/>
      </c>
      <c r="G1458" s="7">
        <f>tbl_Ventes[[#This Row],[Qté Vendue]] * IFERROR(_xlfn.XLOOKUP(tbl_Ventes[[#This Row],[Cde_Prdt]], tbl_Produits[Cde_Prdt], tbl_Produits[Prix Menu]), 0)</f>
        <v>0</v>
      </c>
      <c r="H1458" s="7">
        <f>IFERROR(_xlfn.XLOOKUP(tbl_Ventes[[#This Row],[Cde_Prdt]], tbl_Produits[Cde_Prdt], tbl_Produits[Coût Moyen Portion]), 0)</f>
        <v>0</v>
      </c>
      <c r="I1458" s="7">
        <f>tbl_Ventes[[#This Row],[Qté Vendue]] * tbl_Ventes[[#This Row],[CMP_par_portion]]</f>
        <v>0</v>
      </c>
      <c r="J1458" s="7">
        <f>tbl_Ventes[[#This Row],[CA ligne]] - tbl_Ventes[[#This Row],[Coût matière ligne]]</f>
        <v>0</v>
      </c>
      <c r="K1458" s="7" t="str">
        <f>IFERROR(INDEX(tbl_ProduitsRef[Famille], MATCH(tbl_Ventes[[#This Row],[Cde_Prdt]], tbl_Produits[Cde_Prdt], 0)), "")</f>
        <v/>
      </c>
    </row>
    <row r="1459" spans="1:11" x14ac:dyDescent="0.25">
      <c r="A1459" s="5"/>
      <c r="B1459" s="63" t="str">
        <f>IFERROR(TEXT(tbl_Ventes[[#This Row],[Date]],"mm-aaaa"),"")</f>
        <v>01-1900</v>
      </c>
      <c r="D1459" s="10" t="str">
        <f>IFERROR(
   INDEX(tbl_ProduitsRef[Cde_Prdt],MATCH(tbl_Ventes[[#This Row],[Produit]],tbl_ProduitsRef[Produit],0)),
   ""
)</f>
        <v/>
      </c>
      <c r="E1459" s="7">
        <v>0</v>
      </c>
      <c r="F1459" s="7" t="str">
        <f>IFERROR(
   INDEX(tbl_ProduitsRef[Prix Menu],MATCH(tbl_Ventes[[#This Row],[Produit]],tbl_ProduitsRef[Produit],0)),
   ""
)</f>
        <v/>
      </c>
      <c r="G1459" s="7">
        <f>tbl_Ventes[[#This Row],[Qté Vendue]] * IFERROR(_xlfn.XLOOKUP(tbl_Ventes[[#This Row],[Cde_Prdt]], tbl_Produits[Cde_Prdt], tbl_Produits[Prix Menu]), 0)</f>
        <v>0</v>
      </c>
      <c r="H1459" s="7">
        <f>IFERROR(_xlfn.XLOOKUP(tbl_Ventes[[#This Row],[Cde_Prdt]], tbl_Produits[Cde_Prdt], tbl_Produits[Coût Moyen Portion]), 0)</f>
        <v>0</v>
      </c>
      <c r="I1459" s="7">
        <f>tbl_Ventes[[#This Row],[Qté Vendue]] * tbl_Ventes[[#This Row],[CMP_par_portion]]</f>
        <v>0</v>
      </c>
      <c r="J1459" s="7">
        <f>tbl_Ventes[[#This Row],[CA ligne]] - tbl_Ventes[[#This Row],[Coût matière ligne]]</f>
        <v>0</v>
      </c>
      <c r="K1459" s="7" t="str">
        <f>IFERROR(INDEX(tbl_ProduitsRef[Famille], MATCH(tbl_Ventes[[#This Row],[Cde_Prdt]], tbl_Produits[Cde_Prdt], 0)), "")</f>
        <v/>
      </c>
    </row>
    <row r="1460" spans="1:11" x14ac:dyDescent="0.25">
      <c r="A1460" s="5"/>
      <c r="B1460" s="63" t="str">
        <f>IFERROR(TEXT(tbl_Ventes[[#This Row],[Date]],"mm-aaaa"),"")</f>
        <v>01-1900</v>
      </c>
      <c r="D1460" s="10" t="str">
        <f>IFERROR(
   INDEX(tbl_ProduitsRef[Cde_Prdt],MATCH(tbl_Ventes[[#This Row],[Produit]],tbl_ProduitsRef[Produit],0)),
   ""
)</f>
        <v/>
      </c>
      <c r="E1460" s="7">
        <v>0</v>
      </c>
      <c r="F1460" s="7" t="str">
        <f>IFERROR(
   INDEX(tbl_ProduitsRef[Prix Menu],MATCH(tbl_Ventes[[#This Row],[Produit]],tbl_ProduitsRef[Produit],0)),
   ""
)</f>
        <v/>
      </c>
      <c r="G1460" s="7">
        <f>tbl_Ventes[[#This Row],[Qté Vendue]] * IFERROR(_xlfn.XLOOKUP(tbl_Ventes[[#This Row],[Cde_Prdt]], tbl_Produits[Cde_Prdt], tbl_Produits[Prix Menu]), 0)</f>
        <v>0</v>
      </c>
      <c r="H1460" s="7">
        <f>IFERROR(_xlfn.XLOOKUP(tbl_Ventes[[#This Row],[Cde_Prdt]], tbl_Produits[Cde_Prdt], tbl_Produits[Coût Moyen Portion]), 0)</f>
        <v>0</v>
      </c>
      <c r="I1460" s="7">
        <f>tbl_Ventes[[#This Row],[Qté Vendue]] * tbl_Ventes[[#This Row],[CMP_par_portion]]</f>
        <v>0</v>
      </c>
      <c r="J1460" s="7">
        <f>tbl_Ventes[[#This Row],[CA ligne]] - tbl_Ventes[[#This Row],[Coût matière ligne]]</f>
        <v>0</v>
      </c>
      <c r="K1460" s="7" t="str">
        <f>IFERROR(INDEX(tbl_ProduitsRef[Famille], MATCH(tbl_Ventes[[#This Row],[Cde_Prdt]], tbl_Produits[Cde_Prdt], 0)), "")</f>
        <v/>
      </c>
    </row>
    <row r="1461" spans="1:11" x14ac:dyDescent="0.25">
      <c r="A1461" s="5"/>
      <c r="B1461" s="63" t="str">
        <f>IFERROR(TEXT(tbl_Ventes[[#This Row],[Date]],"mm-aaaa"),"")</f>
        <v>01-1900</v>
      </c>
      <c r="D1461" s="10" t="str">
        <f>IFERROR(
   INDEX(tbl_ProduitsRef[Cde_Prdt],MATCH(tbl_Ventes[[#This Row],[Produit]],tbl_ProduitsRef[Produit],0)),
   ""
)</f>
        <v/>
      </c>
      <c r="E1461" s="7">
        <v>0</v>
      </c>
      <c r="F1461" s="7" t="str">
        <f>IFERROR(
   INDEX(tbl_ProduitsRef[Prix Menu],MATCH(tbl_Ventes[[#This Row],[Produit]],tbl_ProduitsRef[Produit],0)),
   ""
)</f>
        <v/>
      </c>
      <c r="G1461" s="7">
        <f>tbl_Ventes[[#This Row],[Qté Vendue]] * IFERROR(_xlfn.XLOOKUP(tbl_Ventes[[#This Row],[Cde_Prdt]], tbl_Produits[Cde_Prdt], tbl_Produits[Prix Menu]), 0)</f>
        <v>0</v>
      </c>
      <c r="H1461" s="7">
        <f>IFERROR(_xlfn.XLOOKUP(tbl_Ventes[[#This Row],[Cde_Prdt]], tbl_Produits[Cde_Prdt], tbl_Produits[Coût Moyen Portion]), 0)</f>
        <v>0</v>
      </c>
      <c r="I1461" s="7">
        <f>tbl_Ventes[[#This Row],[Qté Vendue]] * tbl_Ventes[[#This Row],[CMP_par_portion]]</f>
        <v>0</v>
      </c>
      <c r="J1461" s="7">
        <f>tbl_Ventes[[#This Row],[CA ligne]] - tbl_Ventes[[#This Row],[Coût matière ligne]]</f>
        <v>0</v>
      </c>
      <c r="K1461" s="7" t="str">
        <f>IFERROR(INDEX(tbl_ProduitsRef[Famille], MATCH(tbl_Ventes[[#This Row],[Cde_Prdt]], tbl_Produits[Cde_Prdt], 0)), "")</f>
        <v/>
      </c>
    </row>
    <row r="1462" spans="1:11" x14ac:dyDescent="0.25">
      <c r="A1462" s="5"/>
      <c r="B1462" s="63" t="str">
        <f>IFERROR(TEXT(tbl_Ventes[[#This Row],[Date]],"mm-aaaa"),"")</f>
        <v>01-1900</v>
      </c>
      <c r="D1462" s="10" t="str">
        <f>IFERROR(
   INDEX(tbl_ProduitsRef[Cde_Prdt],MATCH(tbl_Ventes[[#This Row],[Produit]],tbl_ProduitsRef[Produit],0)),
   ""
)</f>
        <v/>
      </c>
      <c r="E1462" s="7">
        <v>0</v>
      </c>
      <c r="F1462" s="7" t="str">
        <f>IFERROR(
   INDEX(tbl_ProduitsRef[Prix Menu],MATCH(tbl_Ventes[[#This Row],[Produit]],tbl_ProduitsRef[Produit],0)),
   ""
)</f>
        <v/>
      </c>
      <c r="G1462" s="7">
        <f>tbl_Ventes[[#This Row],[Qté Vendue]] * IFERROR(_xlfn.XLOOKUP(tbl_Ventes[[#This Row],[Cde_Prdt]], tbl_Produits[Cde_Prdt], tbl_Produits[Prix Menu]), 0)</f>
        <v>0</v>
      </c>
      <c r="H1462" s="7">
        <f>IFERROR(_xlfn.XLOOKUP(tbl_Ventes[[#This Row],[Cde_Prdt]], tbl_Produits[Cde_Prdt], tbl_Produits[Coût Moyen Portion]), 0)</f>
        <v>0</v>
      </c>
      <c r="I1462" s="7">
        <f>tbl_Ventes[[#This Row],[Qté Vendue]] * tbl_Ventes[[#This Row],[CMP_par_portion]]</f>
        <v>0</v>
      </c>
      <c r="J1462" s="7">
        <f>tbl_Ventes[[#This Row],[CA ligne]] - tbl_Ventes[[#This Row],[Coût matière ligne]]</f>
        <v>0</v>
      </c>
      <c r="K1462" s="7" t="str">
        <f>IFERROR(INDEX(tbl_ProduitsRef[Famille], MATCH(tbl_Ventes[[#This Row],[Cde_Prdt]], tbl_Produits[Cde_Prdt], 0)), "")</f>
        <v/>
      </c>
    </row>
    <row r="1463" spans="1:11" x14ac:dyDescent="0.25">
      <c r="A1463" s="5"/>
      <c r="B1463" s="63" t="str">
        <f>IFERROR(TEXT(tbl_Ventes[[#This Row],[Date]],"mm-aaaa"),"")</f>
        <v>01-1900</v>
      </c>
      <c r="D1463" s="10" t="str">
        <f>IFERROR(
   INDEX(tbl_ProduitsRef[Cde_Prdt],MATCH(tbl_Ventes[[#This Row],[Produit]],tbl_ProduitsRef[Produit],0)),
   ""
)</f>
        <v/>
      </c>
      <c r="E1463" s="7">
        <v>0</v>
      </c>
      <c r="F1463" s="7" t="str">
        <f>IFERROR(
   INDEX(tbl_ProduitsRef[Prix Menu],MATCH(tbl_Ventes[[#This Row],[Produit]],tbl_ProduitsRef[Produit],0)),
   ""
)</f>
        <v/>
      </c>
      <c r="G1463" s="7">
        <f>tbl_Ventes[[#This Row],[Qté Vendue]] * IFERROR(_xlfn.XLOOKUP(tbl_Ventes[[#This Row],[Cde_Prdt]], tbl_Produits[Cde_Prdt], tbl_Produits[Prix Menu]), 0)</f>
        <v>0</v>
      </c>
      <c r="H1463" s="7">
        <f>IFERROR(_xlfn.XLOOKUP(tbl_Ventes[[#This Row],[Cde_Prdt]], tbl_Produits[Cde_Prdt], tbl_Produits[Coût Moyen Portion]), 0)</f>
        <v>0</v>
      </c>
      <c r="I1463" s="7">
        <f>tbl_Ventes[[#This Row],[Qté Vendue]] * tbl_Ventes[[#This Row],[CMP_par_portion]]</f>
        <v>0</v>
      </c>
      <c r="J1463" s="7">
        <f>tbl_Ventes[[#This Row],[CA ligne]] - tbl_Ventes[[#This Row],[Coût matière ligne]]</f>
        <v>0</v>
      </c>
      <c r="K1463" s="7" t="str">
        <f>IFERROR(INDEX(tbl_ProduitsRef[Famille], MATCH(tbl_Ventes[[#This Row],[Cde_Prdt]], tbl_Produits[Cde_Prdt], 0)), "")</f>
        <v/>
      </c>
    </row>
    <row r="1464" spans="1:11" x14ac:dyDescent="0.25">
      <c r="A1464" s="5"/>
      <c r="B1464" s="63" t="str">
        <f>IFERROR(TEXT(tbl_Ventes[[#This Row],[Date]],"mm-aaaa"),"")</f>
        <v>01-1900</v>
      </c>
      <c r="D1464" s="10" t="str">
        <f>IFERROR(
   INDEX(tbl_ProduitsRef[Cde_Prdt],MATCH(tbl_Ventes[[#This Row],[Produit]],tbl_ProduitsRef[Produit],0)),
   ""
)</f>
        <v/>
      </c>
      <c r="E1464" s="7">
        <v>0</v>
      </c>
      <c r="F1464" s="7" t="str">
        <f>IFERROR(
   INDEX(tbl_ProduitsRef[Prix Menu],MATCH(tbl_Ventes[[#This Row],[Produit]],tbl_ProduitsRef[Produit],0)),
   ""
)</f>
        <v/>
      </c>
      <c r="G1464" s="7">
        <f>tbl_Ventes[[#This Row],[Qté Vendue]] * IFERROR(_xlfn.XLOOKUP(tbl_Ventes[[#This Row],[Cde_Prdt]], tbl_Produits[Cde_Prdt], tbl_Produits[Prix Menu]), 0)</f>
        <v>0</v>
      </c>
      <c r="H1464" s="7">
        <f>IFERROR(_xlfn.XLOOKUP(tbl_Ventes[[#This Row],[Cde_Prdt]], tbl_Produits[Cde_Prdt], tbl_Produits[Coût Moyen Portion]), 0)</f>
        <v>0</v>
      </c>
      <c r="I1464" s="7">
        <f>tbl_Ventes[[#This Row],[Qté Vendue]] * tbl_Ventes[[#This Row],[CMP_par_portion]]</f>
        <v>0</v>
      </c>
      <c r="J1464" s="7">
        <f>tbl_Ventes[[#This Row],[CA ligne]] - tbl_Ventes[[#This Row],[Coût matière ligne]]</f>
        <v>0</v>
      </c>
      <c r="K1464" s="7" t="str">
        <f>IFERROR(INDEX(tbl_ProduitsRef[Famille], MATCH(tbl_Ventes[[#This Row],[Cde_Prdt]], tbl_Produits[Cde_Prdt], 0)), "")</f>
        <v/>
      </c>
    </row>
    <row r="1465" spans="1:11" x14ac:dyDescent="0.25">
      <c r="A1465" s="5"/>
      <c r="B1465" s="63" t="str">
        <f>IFERROR(TEXT(tbl_Ventes[[#This Row],[Date]],"mm-aaaa"),"")</f>
        <v>01-1900</v>
      </c>
      <c r="D1465" s="10" t="str">
        <f>IFERROR(
   INDEX(tbl_ProduitsRef[Cde_Prdt],MATCH(tbl_Ventes[[#This Row],[Produit]],tbl_ProduitsRef[Produit],0)),
   ""
)</f>
        <v/>
      </c>
      <c r="E1465" s="7">
        <v>0</v>
      </c>
      <c r="F1465" s="7" t="str">
        <f>IFERROR(
   INDEX(tbl_ProduitsRef[Prix Menu],MATCH(tbl_Ventes[[#This Row],[Produit]],tbl_ProduitsRef[Produit],0)),
   ""
)</f>
        <v/>
      </c>
      <c r="G1465" s="7">
        <f>tbl_Ventes[[#This Row],[Qté Vendue]] * IFERROR(_xlfn.XLOOKUP(tbl_Ventes[[#This Row],[Cde_Prdt]], tbl_Produits[Cde_Prdt], tbl_Produits[Prix Menu]), 0)</f>
        <v>0</v>
      </c>
      <c r="H1465" s="7">
        <f>IFERROR(_xlfn.XLOOKUP(tbl_Ventes[[#This Row],[Cde_Prdt]], tbl_Produits[Cde_Prdt], tbl_Produits[Coût Moyen Portion]), 0)</f>
        <v>0</v>
      </c>
      <c r="I1465" s="7">
        <f>tbl_Ventes[[#This Row],[Qté Vendue]] * tbl_Ventes[[#This Row],[CMP_par_portion]]</f>
        <v>0</v>
      </c>
      <c r="J1465" s="7">
        <f>tbl_Ventes[[#This Row],[CA ligne]] - tbl_Ventes[[#This Row],[Coût matière ligne]]</f>
        <v>0</v>
      </c>
      <c r="K1465" s="7" t="str">
        <f>IFERROR(INDEX(tbl_ProduitsRef[Famille], MATCH(tbl_Ventes[[#This Row],[Cde_Prdt]], tbl_Produits[Cde_Prdt], 0)), "")</f>
        <v/>
      </c>
    </row>
    <row r="1466" spans="1:11" x14ac:dyDescent="0.25">
      <c r="A1466" s="5"/>
      <c r="B1466" s="63" t="str">
        <f>IFERROR(TEXT(tbl_Ventes[[#This Row],[Date]],"mm-aaaa"),"")</f>
        <v>01-1900</v>
      </c>
      <c r="D1466" s="10" t="str">
        <f>IFERROR(
   INDEX(tbl_ProduitsRef[Cde_Prdt],MATCH(tbl_Ventes[[#This Row],[Produit]],tbl_ProduitsRef[Produit],0)),
   ""
)</f>
        <v/>
      </c>
      <c r="E1466" s="7">
        <v>0</v>
      </c>
      <c r="F1466" s="7" t="str">
        <f>IFERROR(
   INDEX(tbl_ProduitsRef[Prix Menu],MATCH(tbl_Ventes[[#This Row],[Produit]],tbl_ProduitsRef[Produit],0)),
   ""
)</f>
        <v/>
      </c>
      <c r="G1466" s="7">
        <f>tbl_Ventes[[#This Row],[Qté Vendue]] * IFERROR(_xlfn.XLOOKUP(tbl_Ventes[[#This Row],[Cde_Prdt]], tbl_Produits[Cde_Prdt], tbl_Produits[Prix Menu]), 0)</f>
        <v>0</v>
      </c>
      <c r="H1466" s="7">
        <f>IFERROR(_xlfn.XLOOKUP(tbl_Ventes[[#This Row],[Cde_Prdt]], tbl_Produits[Cde_Prdt], tbl_Produits[Coût Moyen Portion]), 0)</f>
        <v>0</v>
      </c>
      <c r="I1466" s="7">
        <f>tbl_Ventes[[#This Row],[Qté Vendue]] * tbl_Ventes[[#This Row],[CMP_par_portion]]</f>
        <v>0</v>
      </c>
      <c r="J1466" s="7">
        <f>tbl_Ventes[[#This Row],[CA ligne]] - tbl_Ventes[[#This Row],[Coût matière ligne]]</f>
        <v>0</v>
      </c>
      <c r="K1466" s="7" t="str">
        <f>IFERROR(INDEX(tbl_ProduitsRef[Famille], MATCH(tbl_Ventes[[#This Row],[Cde_Prdt]], tbl_Produits[Cde_Prdt], 0)), "")</f>
        <v/>
      </c>
    </row>
    <row r="1467" spans="1:11" x14ac:dyDescent="0.25">
      <c r="A1467" s="5"/>
      <c r="B1467" s="63" t="str">
        <f>IFERROR(TEXT(tbl_Ventes[[#This Row],[Date]],"mm-aaaa"),"")</f>
        <v>01-1900</v>
      </c>
      <c r="D1467" s="10" t="str">
        <f>IFERROR(
   INDEX(tbl_ProduitsRef[Cde_Prdt],MATCH(tbl_Ventes[[#This Row],[Produit]],tbl_ProduitsRef[Produit],0)),
   ""
)</f>
        <v/>
      </c>
      <c r="E1467" s="7">
        <v>0</v>
      </c>
      <c r="F1467" s="7" t="str">
        <f>IFERROR(
   INDEX(tbl_ProduitsRef[Prix Menu],MATCH(tbl_Ventes[[#This Row],[Produit]],tbl_ProduitsRef[Produit],0)),
   ""
)</f>
        <v/>
      </c>
      <c r="G1467" s="7">
        <f>tbl_Ventes[[#This Row],[Qté Vendue]] * IFERROR(_xlfn.XLOOKUP(tbl_Ventes[[#This Row],[Cde_Prdt]], tbl_Produits[Cde_Prdt], tbl_Produits[Prix Menu]), 0)</f>
        <v>0</v>
      </c>
      <c r="H1467" s="7">
        <f>IFERROR(_xlfn.XLOOKUP(tbl_Ventes[[#This Row],[Cde_Prdt]], tbl_Produits[Cde_Prdt], tbl_Produits[Coût Moyen Portion]), 0)</f>
        <v>0</v>
      </c>
      <c r="I1467" s="7">
        <f>tbl_Ventes[[#This Row],[Qté Vendue]] * tbl_Ventes[[#This Row],[CMP_par_portion]]</f>
        <v>0</v>
      </c>
      <c r="J1467" s="7">
        <f>tbl_Ventes[[#This Row],[CA ligne]] - tbl_Ventes[[#This Row],[Coût matière ligne]]</f>
        <v>0</v>
      </c>
      <c r="K1467" s="7" t="str">
        <f>IFERROR(INDEX(tbl_ProduitsRef[Famille], MATCH(tbl_Ventes[[#This Row],[Cde_Prdt]], tbl_Produits[Cde_Prdt], 0)), "")</f>
        <v/>
      </c>
    </row>
    <row r="1468" spans="1:11" x14ac:dyDescent="0.25">
      <c r="A1468" s="5"/>
      <c r="B1468" s="63" t="str">
        <f>IFERROR(TEXT(tbl_Ventes[[#This Row],[Date]],"mm-aaaa"),"")</f>
        <v>01-1900</v>
      </c>
      <c r="D1468" s="10" t="str">
        <f>IFERROR(
   INDEX(tbl_ProduitsRef[Cde_Prdt],MATCH(tbl_Ventes[[#This Row],[Produit]],tbl_ProduitsRef[Produit],0)),
   ""
)</f>
        <v/>
      </c>
      <c r="E1468" s="7">
        <v>0</v>
      </c>
      <c r="F1468" s="7" t="str">
        <f>IFERROR(
   INDEX(tbl_ProduitsRef[Prix Menu],MATCH(tbl_Ventes[[#This Row],[Produit]],tbl_ProduitsRef[Produit],0)),
   ""
)</f>
        <v/>
      </c>
      <c r="G1468" s="7">
        <f>tbl_Ventes[[#This Row],[Qté Vendue]] * IFERROR(_xlfn.XLOOKUP(tbl_Ventes[[#This Row],[Cde_Prdt]], tbl_Produits[Cde_Prdt], tbl_Produits[Prix Menu]), 0)</f>
        <v>0</v>
      </c>
      <c r="H1468" s="7">
        <f>IFERROR(_xlfn.XLOOKUP(tbl_Ventes[[#This Row],[Cde_Prdt]], tbl_Produits[Cde_Prdt], tbl_Produits[Coût Moyen Portion]), 0)</f>
        <v>0</v>
      </c>
      <c r="I1468" s="7">
        <f>tbl_Ventes[[#This Row],[Qté Vendue]] * tbl_Ventes[[#This Row],[CMP_par_portion]]</f>
        <v>0</v>
      </c>
      <c r="J1468" s="7">
        <f>tbl_Ventes[[#This Row],[CA ligne]] - tbl_Ventes[[#This Row],[Coût matière ligne]]</f>
        <v>0</v>
      </c>
      <c r="K1468" s="7" t="str">
        <f>IFERROR(INDEX(tbl_ProduitsRef[Famille], MATCH(tbl_Ventes[[#This Row],[Cde_Prdt]], tbl_Produits[Cde_Prdt], 0)), "")</f>
        <v/>
      </c>
    </row>
    <row r="1469" spans="1:11" x14ac:dyDescent="0.25">
      <c r="A1469" s="5"/>
      <c r="B1469" s="63" t="str">
        <f>IFERROR(TEXT(tbl_Ventes[[#This Row],[Date]],"mm-aaaa"),"")</f>
        <v>01-1900</v>
      </c>
      <c r="D1469" s="10" t="str">
        <f>IFERROR(
   INDEX(tbl_ProduitsRef[Cde_Prdt],MATCH(tbl_Ventes[[#This Row],[Produit]],tbl_ProduitsRef[Produit],0)),
   ""
)</f>
        <v/>
      </c>
      <c r="E1469" s="7">
        <v>0</v>
      </c>
      <c r="F1469" s="7" t="str">
        <f>IFERROR(
   INDEX(tbl_ProduitsRef[Prix Menu],MATCH(tbl_Ventes[[#This Row],[Produit]],tbl_ProduitsRef[Produit],0)),
   ""
)</f>
        <v/>
      </c>
      <c r="G1469" s="7">
        <f>tbl_Ventes[[#This Row],[Qté Vendue]] * IFERROR(_xlfn.XLOOKUP(tbl_Ventes[[#This Row],[Cde_Prdt]], tbl_Produits[Cde_Prdt], tbl_Produits[Prix Menu]), 0)</f>
        <v>0</v>
      </c>
      <c r="H1469" s="7">
        <f>IFERROR(_xlfn.XLOOKUP(tbl_Ventes[[#This Row],[Cde_Prdt]], tbl_Produits[Cde_Prdt], tbl_Produits[Coût Moyen Portion]), 0)</f>
        <v>0</v>
      </c>
      <c r="I1469" s="7">
        <f>tbl_Ventes[[#This Row],[Qté Vendue]] * tbl_Ventes[[#This Row],[CMP_par_portion]]</f>
        <v>0</v>
      </c>
      <c r="J1469" s="7">
        <f>tbl_Ventes[[#This Row],[CA ligne]] - tbl_Ventes[[#This Row],[Coût matière ligne]]</f>
        <v>0</v>
      </c>
      <c r="K1469" s="7" t="str">
        <f>IFERROR(INDEX(tbl_ProduitsRef[Famille], MATCH(tbl_Ventes[[#This Row],[Cde_Prdt]], tbl_Produits[Cde_Prdt], 0)), "")</f>
        <v/>
      </c>
    </row>
    <row r="1470" spans="1:11" x14ac:dyDescent="0.25">
      <c r="A1470" s="5"/>
      <c r="B1470" s="63" t="str">
        <f>IFERROR(TEXT(tbl_Ventes[[#This Row],[Date]],"mm-aaaa"),"")</f>
        <v>01-1900</v>
      </c>
      <c r="D1470" s="10" t="str">
        <f>IFERROR(
   INDEX(tbl_ProduitsRef[Cde_Prdt],MATCH(tbl_Ventes[[#This Row],[Produit]],tbl_ProduitsRef[Produit],0)),
   ""
)</f>
        <v/>
      </c>
      <c r="E1470" s="7">
        <v>0</v>
      </c>
      <c r="F1470" s="7" t="str">
        <f>IFERROR(
   INDEX(tbl_ProduitsRef[Prix Menu],MATCH(tbl_Ventes[[#This Row],[Produit]],tbl_ProduitsRef[Produit],0)),
   ""
)</f>
        <v/>
      </c>
      <c r="G1470" s="7">
        <f>tbl_Ventes[[#This Row],[Qté Vendue]] * IFERROR(_xlfn.XLOOKUP(tbl_Ventes[[#This Row],[Cde_Prdt]], tbl_Produits[Cde_Prdt], tbl_Produits[Prix Menu]), 0)</f>
        <v>0</v>
      </c>
      <c r="H1470" s="7">
        <f>IFERROR(_xlfn.XLOOKUP(tbl_Ventes[[#This Row],[Cde_Prdt]], tbl_Produits[Cde_Prdt], tbl_Produits[Coût Moyen Portion]), 0)</f>
        <v>0</v>
      </c>
      <c r="I1470" s="7">
        <f>tbl_Ventes[[#This Row],[Qté Vendue]] * tbl_Ventes[[#This Row],[CMP_par_portion]]</f>
        <v>0</v>
      </c>
      <c r="J1470" s="7">
        <f>tbl_Ventes[[#This Row],[CA ligne]] - tbl_Ventes[[#This Row],[Coût matière ligne]]</f>
        <v>0</v>
      </c>
      <c r="K1470" s="7" t="str">
        <f>IFERROR(INDEX(tbl_ProduitsRef[Famille], MATCH(tbl_Ventes[[#This Row],[Cde_Prdt]], tbl_Produits[Cde_Prdt], 0)), "")</f>
        <v/>
      </c>
    </row>
    <row r="1471" spans="1:11" x14ac:dyDescent="0.25">
      <c r="A1471" s="5"/>
      <c r="B1471" s="63" t="str">
        <f>IFERROR(TEXT(tbl_Ventes[[#This Row],[Date]],"mm-aaaa"),"")</f>
        <v>01-1900</v>
      </c>
      <c r="D1471" s="10" t="str">
        <f>IFERROR(
   INDEX(tbl_ProduitsRef[Cde_Prdt],MATCH(tbl_Ventes[[#This Row],[Produit]],tbl_ProduitsRef[Produit],0)),
   ""
)</f>
        <v/>
      </c>
      <c r="E1471" s="7">
        <v>0</v>
      </c>
      <c r="F1471" s="7" t="str">
        <f>IFERROR(
   INDEX(tbl_ProduitsRef[Prix Menu],MATCH(tbl_Ventes[[#This Row],[Produit]],tbl_ProduitsRef[Produit],0)),
   ""
)</f>
        <v/>
      </c>
      <c r="G1471" s="7">
        <f>tbl_Ventes[[#This Row],[Qté Vendue]] * IFERROR(_xlfn.XLOOKUP(tbl_Ventes[[#This Row],[Cde_Prdt]], tbl_Produits[Cde_Prdt], tbl_Produits[Prix Menu]), 0)</f>
        <v>0</v>
      </c>
      <c r="H1471" s="7">
        <f>IFERROR(_xlfn.XLOOKUP(tbl_Ventes[[#This Row],[Cde_Prdt]], tbl_Produits[Cde_Prdt], tbl_Produits[Coût Moyen Portion]), 0)</f>
        <v>0</v>
      </c>
      <c r="I1471" s="7">
        <f>tbl_Ventes[[#This Row],[Qté Vendue]] * tbl_Ventes[[#This Row],[CMP_par_portion]]</f>
        <v>0</v>
      </c>
      <c r="J1471" s="7">
        <f>tbl_Ventes[[#This Row],[CA ligne]] - tbl_Ventes[[#This Row],[Coût matière ligne]]</f>
        <v>0</v>
      </c>
      <c r="K1471" s="7" t="str">
        <f>IFERROR(INDEX(tbl_ProduitsRef[Famille], MATCH(tbl_Ventes[[#This Row],[Cde_Prdt]], tbl_Produits[Cde_Prdt], 0)), "")</f>
        <v/>
      </c>
    </row>
    <row r="1472" spans="1:11" x14ac:dyDescent="0.25">
      <c r="A1472" s="5"/>
      <c r="B1472" s="63" t="str">
        <f>IFERROR(TEXT(tbl_Ventes[[#This Row],[Date]],"mm-aaaa"),"")</f>
        <v>01-1900</v>
      </c>
      <c r="D1472" s="10" t="str">
        <f>IFERROR(
   INDEX(tbl_ProduitsRef[Cde_Prdt],MATCH(tbl_Ventes[[#This Row],[Produit]],tbl_ProduitsRef[Produit],0)),
   ""
)</f>
        <v/>
      </c>
      <c r="E1472" s="7">
        <v>0</v>
      </c>
      <c r="F1472" s="7" t="str">
        <f>IFERROR(
   INDEX(tbl_ProduitsRef[Prix Menu],MATCH(tbl_Ventes[[#This Row],[Produit]],tbl_ProduitsRef[Produit],0)),
   ""
)</f>
        <v/>
      </c>
      <c r="G1472" s="7">
        <f>tbl_Ventes[[#This Row],[Qté Vendue]] * IFERROR(_xlfn.XLOOKUP(tbl_Ventes[[#This Row],[Cde_Prdt]], tbl_Produits[Cde_Prdt], tbl_Produits[Prix Menu]), 0)</f>
        <v>0</v>
      </c>
      <c r="H1472" s="7">
        <f>IFERROR(_xlfn.XLOOKUP(tbl_Ventes[[#This Row],[Cde_Prdt]], tbl_Produits[Cde_Prdt], tbl_Produits[Coût Moyen Portion]), 0)</f>
        <v>0</v>
      </c>
      <c r="I1472" s="7">
        <f>tbl_Ventes[[#This Row],[Qté Vendue]] * tbl_Ventes[[#This Row],[CMP_par_portion]]</f>
        <v>0</v>
      </c>
      <c r="J1472" s="7">
        <f>tbl_Ventes[[#This Row],[CA ligne]] - tbl_Ventes[[#This Row],[Coût matière ligne]]</f>
        <v>0</v>
      </c>
      <c r="K1472" s="7" t="str">
        <f>IFERROR(INDEX(tbl_ProduitsRef[Famille], MATCH(tbl_Ventes[[#This Row],[Cde_Prdt]], tbl_Produits[Cde_Prdt], 0)), "")</f>
        <v/>
      </c>
    </row>
    <row r="1473" spans="1:11" x14ac:dyDescent="0.25">
      <c r="A1473" s="5"/>
      <c r="B1473" s="63" t="str">
        <f>IFERROR(TEXT(tbl_Ventes[[#This Row],[Date]],"mm-aaaa"),"")</f>
        <v>01-1900</v>
      </c>
      <c r="D1473" s="10" t="str">
        <f>IFERROR(
   INDEX(tbl_ProduitsRef[Cde_Prdt],MATCH(tbl_Ventes[[#This Row],[Produit]],tbl_ProduitsRef[Produit],0)),
   ""
)</f>
        <v/>
      </c>
      <c r="E1473" s="7">
        <v>0</v>
      </c>
      <c r="F1473" s="7" t="str">
        <f>IFERROR(
   INDEX(tbl_ProduitsRef[Prix Menu],MATCH(tbl_Ventes[[#This Row],[Produit]],tbl_ProduitsRef[Produit],0)),
   ""
)</f>
        <v/>
      </c>
      <c r="G1473" s="7">
        <f>tbl_Ventes[[#This Row],[Qté Vendue]] * IFERROR(_xlfn.XLOOKUP(tbl_Ventes[[#This Row],[Cde_Prdt]], tbl_Produits[Cde_Prdt], tbl_Produits[Prix Menu]), 0)</f>
        <v>0</v>
      </c>
      <c r="H1473" s="7">
        <f>IFERROR(_xlfn.XLOOKUP(tbl_Ventes[[#This Row],[Cde_Prdt]], tbl_Produits[Cde_Prdt], tbl_Produits[Coût Moyen Portion]), 0)</f>
        <v>0</v>
      </c>
      <c r="I1473" s="7">
        <f>tbl_Ventes[[#This Row],[Qté Vendue]] * tbl_Ventes[[#This Row],[CMP_par_portion]]</f>
        <v>0</v>
      </c>
      <c r="J1473" s="7">
        <f>tbl_Ventes[[#This Row],[CA ligne]] - tbl_Ventes[[#This Row],[Coût matière ligne]]</f>
        <v>0</v>
      </c>
      <c r="K1473" s="7" t="str">
        <f>IFERROR(INDEX(tbl_ProduitsRef[Famille], MATCH(tbl_Ventes[[#This Row],[Cde_Prdt]], tbl_Produits[Cde_Prdt], 0)), "")</f>
        <v/>
      </c>
    </row>
    <row r="1474" spans="1:11" x14ac:dyDescent="0.25">
      <c r="A1474" s="5"/>
      <c r="B1474" s="63" t="str">
        <f>IFERROR(TEXT(tbl_Ventes[[#This Row],[Date]],"mm-aaaa"),"")</f>
        <v>01-1900</v>
      </c>
      <c r="D1474" s="10" t="str">
        <f>IFERROR(
   INDEX(tbl_ProduitsRef[Cde_Prdt],MATCH(tbl_Ventes[[#This Row],[Produit]],tbl_ProduitsRef[Produit],0)),
   ""
)</f>
        <v/>
      </c>
      <c r="E1474" s="7">
        <v>0</v>
      </c>
      <c r="F1474" s="7" t="str">
        <f>IFERROR(
   INDEX(tbl_ProduitsRef[Prix Menu],MATCH(tbl_Ventes[[#This Row],[Produit]],tbl_ProduitsRef[Produit],0)),
   ""
)</f>
        <v/>
      </c>
      <c r="G1474" s="7">
        <f>tbl_Ventes[[#This Row],[Qté Vendue]] * IFERROR(_xlfn.XLOOKUP(tbl_Ventes[[#This Row],[Cde_Prdt]], tbl_Produits[Cde_Prdt], tbl_Produits[Prix Menu]), 0)</f>
        <v>0</v>
      </c>
      <c r="H1474" s="7">
        <f>IFERROR(_xlfn.XLOOKUP(tbl_Ventes[[#This Row],[Cde_Prdt]], tbl_Produits[Cde_Prdt], tbl_Produits[Coût Moyen Portion]), 0)</f>
        <v>0</v>
      </c>
      <c r="I1474" s="7">
        <f>tbl_Ventes[[#This Row],[Qté Vendue]] * tbl_Ventes[[#This Row],[CMP_par_portion]]</f>
        <v>0</v>
      </c>
      <c r="J1474" s="7">
        <f>tbl_Ventes[[#This Row],[CA ligne]] - tbl_Ventes[[#This Row],[Coût matière ligne]]</f>
        <v>0</v>
      </c>
      <c r="K1474" s="7" t="str">
        <f>IFERROR(INDEX(tbl_ProduitsRef[Famille], MATCH(tbl_Ventes[[#This Row],[Cde_Prdt]], tbl_Produits[Cde_Prdt], 0)), "")</f>
        <v/>
      </c>
    </row>
    <row r="1475" spans="1:11" x14ac:dyDescent="0.25">
      <c r="A1475" s="5"/>
      <c r="B1475" s="63" t="str">
        <f>IFERROR(TEXT(tbl_Ventes[[#This Row],[Date]],"mm-aaaa"),"")</f>
        <v>01-1900</v>
      </c>
      <c r="D1475" s="10" t="str">
        <f>IFERROR(
   INDEX(tbl_ProduitsRef[Cde_Prdt],MATCH(tbl_Ventes[[#This Row],[Produit]],tbl_ProduitsRef[Produit],0)),
   ""
)</f>
        <v/>
      </c>
      <c r="E1475" s="7">
        <v>0</v>
      </c>
      <c r="F1475" s="7" t="str">
        <f>IFERROR(
   INDEX(tbl_ProduitsRef[Prix Menu],MATCH(tbl_Ventes[[#This Row],[Produit]],tbl_ProduitsRef[Produit],0)),
   ""
)</f>
        <v/>
      </c>
      <c r="G1475" s="7">
        <f>tbl_Ventes[[#This Row],[Qté Vendue]] * IFERROR(_xlfn.XLOOKUP(tbl_Ventes[[#This Row],[Cde_Prdt]], tbl_Produits[Cde_Prdt], tbl_Produits[Prix Menu]), 0)</f>
        <v>0</v>
      </c>
      <c r="H1475" s="7">
        <f>IFERROR(_xlfn.XLOOKUP(tbl_Ventes[[#This Row],[Cde_Prdt]], tbl_Produits[Cde_Prdt], tbl_Produits[Coût Moyen Portion]), 0)</f>
        <v>0</v>
      </c>
      <c r="I1475" s="7">
        <f>tbl_Ventes[[#This Row],[Qté Vendue]] * tbl_Ventes[[#This Row],[CMP_par_portion]]</f>
        <v>0</v>
      </c>
      <c r="J1475" s="7">
        <f>tbl_Ventes[[#This Row],[CA ligne]] - tbl_Ventes[[#This Row],[Coût matière ligne]]</f>
        <v>0</v>
      </c>
      <c r="K1475" s="7" t="str">
        <f>IFERROR(INDEX(tbl_ProduitsRef[Famille], MATCH(tbl_Ventes[[#This Row],[Cde_Prdt]], tbl_Produits[Cde_Prdt], 0)), "")</f>
        <v/>
      </c>
    </row>
    <row r="1476" spans="1:11" x14ac:dyDescent="0.25">
      <c r="A1476" s="5"/>
      <c r="B1476" s="63" t="str">
        <f>IFERROR(TEXT(tbl_Ventes[[#This Row],[Date]],"mm-aaaa"),"")</f>
        <v>01-1900</v>
      </c>
      <c r="D1476" s="10" t="str">
        <f>IFERROR(
   INDEX(tbl_ProduitsRef[Cde_Prdt],MATCH(tbl_Ventes[[#This Row],[Produit]],tbl_ProduitsRef[Produit],0)),
   ""
)</f>
        <v/>
      </c>
      <c r="E1476" s="7">
        <v>0</v>
      </c>
      <c r="F1476" s="7" t="str">
        <f>IFERROR(
   INDEX(tbl_ProduitsRef[Prix Menu],MATCH(tbl_Ventes[[#This Row],[Produit]],tbl_ProduitsRef[Produit],0)),
   ""
)</f>
        <v/>
      </c>
      <c r="G1476" s="7">
        <f>tbl_Ventes[[#This Row],[Qté Vendue]] * IFERROR(_xlfn.XLOOKUP(tbl_Ventes[[#This Row],[Cde_Prdt]], tbl_Produits[Cde_Prdt], tbl_Produits[Prix Menu]), 0)</f>
        <v>0</v>
      </c>
      <c r="H1476" s="7">
        <f>IFERROR(_xlfn.XLOOKUP(tbl_Ventes[[#This Row],[Cde_Prdt]], tbl_Produits[Cde_Prdt], tbl_Produits[Coût Moyen Portion]), 0)</f>
        <v>0</v>
      </c>
      <c r="I1476" s="7">
        <f>tbl_Ventes[[#This Row],[Qté Vendue]] * tbl_Ventes[[#This Row],[CMP_par_portion]]</f>
        <v>0</v>
      </c>
      <c r="J1476" s="7">
        <f>tbl_Ventes[[#This Row],[CA ligne]] - tbl_Ventes[[#This Row],[Coût matière ligne]]</f>
        <v>0</v>
      </c>
      <c r="K1476" s="7" t="str">
        <f>IFERROR(INDEX(tbl_ProduitsRef[Famille], MATCH(tbl_Ventes[[#This Row],[Cde_Prdt]], tbl_Produits[Cde_Prdt], 0)), "")</f>
        <v/>
      </c>
    </row>
    <row r="1477" spans="1:11" x14ac:dyDescent="0.25">
      <c r="A1477" s="5"/>
      <c r="B1477" s="63" t="str">
        <f>IFERROR(TEXT(tbl_Ventes[[#This Row],[Date]],"mm-aaaa"),"")</f>
        <v>01-1900</v>
      </c>
      <c r="D1477" s="10" t="str">
        <f>IFERROR(
   INDEX(tbl_ProduitsRef[Cde_Prdt],MATCH(tbl_Ventes[[#This Row],[Produit]],tbl_ProduitsRef[Produit],0)),
   ""
)</f>
        <v/>
      </c>
      <c r="E1477" s="7">
        <v>0</v>
      </c>
      <c r="F1477" s="7" t="str">
        <f>IFERROR(
   INDEX(tbl_ProduitsRef[Prix Menu],MATCH(tbl_Ventes[[#This Row],[Produit]],tbl_ProduitsRef[Produit],0)),
   ""
)</f>
        <v/>
      </c>
      <c r="G1477" s="7">
        <f>tbl_Ventes[[#This Row],[Qté Vendue]] * IFERROR(_xlfn.XLOOKUP(tbl_Ventes[[#This Row],[Cde_Prdt]], tbl_Produits[Cde_Prdt], tbl_Produits[Prix Menu]), 0)</f>
        <v>0</v>
      </c>
      <c r="H1477" s="7">
        <f>IFERROR(_xlfn.XLOOKUP(tbl_Ventes[[#This Row],[Cde_Prdt]], tbl_Produits[Cde_Prdt], tbl_Produits[Coût Moyen Portion]), 0)</f>
        <v>0</v>
      </c>
      <c r="I1477" s="7">
        <f>tbl_Ventes[[#This Row],[Qté Vendue]] * tbl_Ventes[[#This Row],[CMP_par_portion]]</f>
        <v>0</v>
      </c>
      <c r="J1477" s="7">
        <f>tbl_Ventes[[#This Row],[CA ligne]] - tbl_Ventes[[#This Row],[Coût matière ligne]]</f>
        <v>0</v>
      </c>
      <c r="K1477" s="7" t="str">
        <f>IFERROR(INDEX(tbl_ProduitsRef[Famille], MATCH(tbl_Ventes[[#This Row],[Cde_Prdt]], tbl_Produits[Cde_Prdt], 0)), "")</f>
        <v/>
      </c>
    </row>
    <row r="1478" spans="1:11" x14ac:dyDescent="0.25">
      <c r="A1478" s="5"/>
      <c r="B1478" s="63" t="str">
        <f>IFERROR(TEXT(tbl_Ventes[[#This Row],[Date]],"mm-aaaa"),"")</f>
        <v>01-1900</v>
      </c>
      <c r="D1478" s="10" t="str">
        <f>IFERROR(
   INDEX(tbl_ProduitsRef[Cde_Prdt],MATCH(tbl_Ventes[[#This Row],[Produit]],tbl_ProduitsRef[Produit],0)),
   ""
)</f>
        <v/>
      </c>
      <c r="E1478" s="7">
        <v>0</v>
      </c>
      <c r="F1478" s="7" t="str">
        <f>IFERROR(
   INDEX(tbl_ProduitsRef[Prix Menu],MATCH(tbl_Ventes[[#This Row],[Produit]],tbl_ProduitsRef[Produit],0)),
   ""
)</f>
        <v/>
      </c>
      <c r="G1478" s="7">
        <f>tbl_Ventes[[#This Row],[Qté Vendue]] * IFERROR(_xlfn.XLOOKUP(tbl_Ventes[[#This Row],[Cde_Prdt]], tbl_Produits[Cde_Prdt], tbl_Produits[Prix Menu]), 0)</f>
        <v>0</v>
      </c>
      <c r="H1478" s="7">
        <f>IFERROR(_xlfn.XLOOKUP(tbl_Ventes[[#This Row],[Cde_Prdt]], tbl_Produits[Cde_Prdt], tbl_Produits[Coût Moyen Portion]), 0)</f>
        <v>0</v>
      </c>
      <c r="I1478" s="7">
        <f>tbl_Ventes[[#This Row],[Qté Vendue]] * tbl_Ventes[[#This Row],[CMP_par_portion]]</f>
        <v>0</v>
      </c>
      <c r="J1478" s="7">
        <f>tbl_Ventes[[#This Row],[CA ligne]] - tbl_Ventes[[#This Row],[Coût matière ligne]]</f>
        <v>0</v>
      </c>
      <c r="K1478" s="7" t="str">
        <f>IFERROR(INDEX(tbl_ProduitsRef[Famille], MATCH(tbl_Ventes[[#This Row],[Cde_Prdt]], tbl_Produits[Cde_Prdt], 0)), "")</f>
        <v/>
      </c>
    </row>
    <row r="1479" spans="1:11" x14ac:dyDescent="0.25">
      <c r="A1479" s="5"/>
      <c r="B1479" s="63" t="str">
        <f>IFERROR(TEXT(tbl_Ventes[[#This Row],[Date]],"mm-aaaa"),"")</f>
        <v>01-1900</v>
      </c>
      <c r="D1479" s="10" t="str">
        <f>IFERROR(
   INDEX(tbl_ProduitsRef[Cde_Prdt],MATCH(tbl_Ventes[[#This Row],[Produit]],tbl_ProduitsRef[Produit],0)),
   ""
)</f>
        <v/>
      </c>
      <c r="E1479" s="7">
        <v>0</v>
      </c>
      <c r="F1479" s="7" t="str">
        <f>IFERROR(
   INDEX(tbl_ProduitsRef[Prix Menu],MATCH(tbl_Ventes[[#This Row],[Produit]],tbl_ProduitsRef[Produit],0)),
   ""
)</f>
        <v/>
      </c>
      <c r="G1479" s="7">
        <f>tbl_Ventes[[#This Row],[Qté Vendue]] * IFERROR(_xlfn.XLOOKUP(tbl_Ventes[[#This Row],[Cde_Prdt]], tbl_Produits[Cde_Prdt], tbl_Produits[Prix Menu]), 0)</f>
        <v>0</v>
      </c>
      <c r="H1479" s="7">
        <f>IFERROR(_xlfn.XLOOKUP(tbl_Ventes[[#This Row],[Cde_Prdt]], tbl_Produits[Cde_Prdt], tbl_Produits[Coût Moyen Portion]), 0)</f>
        <v>0</v>
      </c>
      <c r="I1479" s="7">
        <f>tbl_Ventes[[#This Row],[Qté Vendue]] * tbl_Ventes[[#This Row],[CMP_par_portion]]</f>
        <v>0</v>
      </c>
      <c r="J1479" s="7">
        <f>tbl_Ventes[[#This Row],[CA ligne]] - tbl_Ventes[[#This Row],[Coût matière ligne]]</f>
        <v>0</v>
      </c>
      <c r="K1479" s="7" t="str">
        <f>IFERROR(INDEX(tbl_ProduitsRef[Famille], MATCH(tbl_Ventes[[#This Row],[Cde_Prdt]], tbl_Produits[Cde_Prdt], 0)), "")</f>
        <v/>
      </c>
    </row>
    <row r="1480" spans="1:11" x14ac:dyDescent="0.25">
      <c r="A1480" s="5"/>
      <c r="B1480" s="63" t="str">
        <f>IFERROR(TEXT(tbl_Ventes[[#This Row],[Date]],"mm-aaaa"),"")</f>
        <v>01-1900</v>
      </c>
      <c r="D1480" s="10" t="str">
        <f>IFERROR(
   INDEX(tbl_ProduitsRef[Cde_Prdt],MATCH(tbl_Ventes[[#This Row],[Produit]],tbl_ProduitsRef[Produit],0)),
   ""
)</f>
        <v/>
      </c>
      <c r="E1480" s="7">
        <v>0</v>
      </c>
      <c r="F1480" s="7" t="str">
        <f>IFERROR(
   INDEX(tbl_ProduitsRef[Prix Menu],MATCH(tbl_Ventes[[#This Row],[Produit]],tbl_ProduitsRef[Produit],0)),
   ""
)</f>
        <v/>
      </c>
      <c r="G1480" s="7">
        <f>tbl_Ventes[[#This Row],[Qté Vendue]] * IFERROR(_xlfn.XLOOKUP(tbl_Ventes[[#This Row],[Cde_Prdt]], tbl_Produits[Cde_Prdt], tbl_Produits[Prix Menu]), 0)</f>
        <v>0</v>
      </c>
      <c r="H1480" s="7">
        <f>IFERROR(_xlfn.XLOOKUP(tbl_Ventes[[#This Row],[Cde_Prdt]], tbl_Produits[Cde_Prdt], tbl_Produits[Coût Moyen Portion]), 0)</f>
        <v>0</v>
      </c>
      <c r="I1480" s="7">
        <f>tbl_Ventes[[#This Row],[Qté Vendue]] * tbl_Ventes[[#This Row],[CMP_par_portion]]</f>
        <v>0</v>
      </c>
      <c r="J1480" s="7">
        <f>tbl_Ventes[[#This Row],[CA ligne]] - tbl_Ventes[[#This Row],[Coût matière ligne]]</f>
        <v>0</v>
      </c>
      <c r="K1480" s="7" t="str">
        <f>IFERROR(INDEX(tbl_ProduitsRef[Famille], MATCH(tbl_Ventes[[#This Row],[Cde_Prdt]], tbl_Produits[Cde_Prdt], 0)), "")</f>
        <v/>
      </c>
    </row>
    <row r="1481" spans="1:11" x14ac:dyDescent="0.25">
      <c r="A1481" s="5"/>
      <c r="B1481" s="63" t="str">
        <f>IFERROR(TEXT(tbl_Ventes[[#This Row],[Date]],"mm-aaaa"),"")</f>
        <v>01-1900</v>
      </c>
      <c r="D1481" s="10" t="str">
        <f>IFERROR(
   INDEX(tbl_ProduitsRef[Cde_Prdt],MATCH(tbl_Ventes[[#This Row],[Produit]],tbl_ProduitsRef[Produit],0)),
   ""
)</f>
        <v/>
      </c>
      <c r="E1481" s="7">
        <v>0</v>
      </c>
      <c r="F1481" s="7" t="str">
        <f>IFERROR(
   INDEX(tbl_ProduitsRef[Prix Menu],MATCH(tbl_Ventes[[#This Row],[Produit]],tbl_ProduitsRef[Produit],0)),
   ""
)</f>
        <v/>
      </c>
      <c r="G1481" s="7">
        <f>tbl_Ventes[[#This Row],[Qté Vendue]] * IFERROR(_xlfn.XLOOKUP(tbl_Ventes[[#This Row],[Cde_Prdt]], tbl_Produits[Cde_Prdt], tbl_Produits[Prix Menu]), 0)</f>
        <v>0</v>
      </c>
      <c r="H1481" s="7">
        <f>IFERROR(_xlfn.XLOOKUP(tbl_Ventes[[#This Row],[Cde_Prdt]], tbl_Produits[Cde_Prdt], tbl_Produits[Coût Moyen Portion]), 0)</f>
        <v>0</v>
      </c>
      <c r="I1481" s="7">
        <f>tbl_Ventes[[#This Row],[Qté Vendue]] * tbl_Ventes[[#This Row],[CMP_par_portion]]</f>
        <v>0</v>
      </c>
      <c r="J1481" s="7">
        <f>tbl_Ventes[[#This Row],[CA ligne]] - tbl_Ventes[[#This Row],[Coût matière ligne]]</f>
        <v>0</v>
      </c>
      <c r="K1481" s="7" t="str">
        <f>IFERROR(INDEX(tbl_ProduitsRef[Famille], MATCH(tbl_Ventes[[#This Row],[Cde_Prdt]], tbl_Produits[Cde_Prdt], 0)), "")</f>
        <v/>
      </c>
    </row>
    <row r="1482" spans="1:11" x14ac:dyDescent="0.25">
      <c r="A1482" s="5"/>
      <c r="B1482" s="63" t="str">
        <f>IFERROR(TEXT(tbl_Ventes[[#This Row],[Date]],"mm-aaaa"),"")</f>
        <v>01-1900</v>
      </c>
      <c r="D1482" s="10" t="str">
        <f>IFERROR(
   INDEX(tbl_ProduitsRef[Cde_Prdt],MATCH(tbl_Ventes[[#This Row],[Produit]],tbl_ProduitsRef[Produit],0)),
   ""
)</f>
        <v/>
      </c>
      <c r="E1482" s="7">
        <v>0</v>
      </c>
      <c r="F1482" s="7" t="str">
        <f>IFERROR(
   INDEX(tbl_ProduitsRef[Prix Menu],MATCH(tbl_Ventes[[#This Row],[Produit]],tbl_ProduitsRef[Produit],0)),
   ""
)</f>
        <v/>
      </c>
      <c r="G1482" s="7">
        <f>tbl_Ventes[[#This Row],[Qté Vendue]] * IFERROR(_xlfn.XLOOKUP(tbl_Ventes[[#This Row],[Cde_Prdt]], tbl_Produits[Cde_Prdt], tbl_Produits[Prix Menu]), 0)</f>
        <v>0</v>
      </c>
      <c r="H1482" s="7">
        <f>IFERROR(_xlfn.XLOOKUP(tbl_Ventes[[#This Row],[Cde_Prdt]], tbl_Produits[Cde_Prdt], tbl_Produits[Coût Moyen Portion]), 0)</f>
        <v>0</v>
      </c>
      <c r="I1482" s="7">
        <f>tbl_Ventes[[#This Row],[Qté Vendue]] * tbl_Ventes[[#This Row],[CMP_par_portion]]</f>
        <v>0</v>
      </c>
      <c r="J1482" s="7">
        <f>tbl_Ventes[[#This Row],[CA ligne]] - tbl_Ventes[[#This Row],[Coût matière ligne]]</f>
        <v>0</v>
      </c>
      <c r="K1482" s="7" t="str">
        <f>IFERROR(INDEX(tbl_ProduitsRef[Famille], MATCH(tbl_Ventes[[#This Row],[Cde_Prdt]], tbl_Produits[Cde_Prdt], 0)), "")</f>
        <v/>
      </c>
    </row>
    <row r="1483" spans="1:11" x14ac:dyDescent="0.25">
      <c r="A1483" s="5"/>
      <c r="B1483" s="63" t="str">
        <f>IFERROR(TEXT(tbl_Ventes[[#This Row],[Date]],"mm-aaaa"),"")</f>
        <v>01-1900</v>
      </c>
      <c r="D1483" s="10" t="str">
        <f>IFERROR(
   INDEX(tbl_ProduitsRef[Cde_Prdt],MATCH(tbl_Ventes[[#This Row],[Produit]],tbl_ProduitsRef[Produit],0)),
   ""
)</f>
        <v/>
      </c>
      <c r="E1483" s="7">
        <v>0</v>
      </c>
      <c r="F1483" s="7" t="str">
        <f>IFERROR(
   INDEX(tbl_ProduitsRef[Prix Menu],MATCH(tbl_Ventes[[#This Row],[Produit]],tbl_ProduitsRef[Produit],0)),
   ""
)</f>
        <v/>
      </c>
      <c r="G1483" s="7">
        <f>tbl_Ventes[[#This Row],[Qté Vendue]] * IFERROR(_xlfn.XLOOKUP(tbl_Ventes[[#This Row],[Cde_Prdt]], tbl_Produits[Cde_Prdt], tbl_Produits[Prix Menu]), 0)</f>
        <v>0</v>
      </c>
      <c r="H1483" s="7">
        <f>IFERROR(_xlfn.XLOOKUP(tbl_Ventes[[#This Row],[Cde_Prdt]], tbl_Produits[Cde_Prdt], tbl_Produits[Coût Moyen Portion]), 0)</f>
        <v>0</v>
      </c>
      <c r="I1483" s="7">
        <f>tbl_Ventes[[#This Row],[Qté Vendue]] * tbl_Ventes[[#This Row],[CMP_par_portion]]</f>
        <v>0</v>
      </c>
      <c r="J1483" s="7">
        <f>tbl_Ventes[[#This Row],[CA ligne]] - tbl_Ventes[[#This Row],[Coût matière ligne]]</f>
        <v>0</v>
      </c>
      <c r="K1483" s="7" t="str">
        <f>IFERROR(INDEX(tbl_ProduitsRef[Famille], MATCH(tbl_Ventes[[#This Row],[Cde_Prdt]], tbl_Produits[Cde_Prdt], 0)), "")</f>
        <v/>
      </c>
    </row>
    <row r="1484" spans="1:11" x14ac:dyDescent="0.25">
      <c r="A1484" s="5"/>
      <c r="B1484" s="63" t="str">
        <f>IFERROR(TEXT(tbl_Ventes[[#This Row],[Date]],"mm-aaaa"),"")</f>
        <v>01-1900</v>
      </c>
      <c r="D1484" s="10" t="str">
        <f>IFERROR(
   INDEX(tbl_ProduitsRef[Cde_Prdt],MATCH(tbl_Ventes[[#This Row],[Produit]],tbl_ProduitsRef[Produit],0)),
   ""
)</f>
        <v/>
      </c>
      <c r="E1484" s="7">
        <v>0</v>
      </c>
      <c r="F1484" s="7" t="str">
        <f>IFERROR(
   INDEX(tbl_ProduitsRef[Prix Menu],MATCH(tbl_Ventes[[#This Row],[Produit]],tbl_ProduitsRef[Produit],0)),
   ""
)</f>
        <v/>
      </c>
      <c r="G1484" s="7">
        <f>tbl_Ventes[[#This Row],[Qté Vendue]] * IFERROR(_xlfn.XLOOKUP(tbl_Ventes[[#This Row],[Cde_Prdt]], tbl_Produits[Cde_Prdt], tbl_Produits[Prix Menu]), 0)</f>
        <v>0</v>
      </c>
      <c r="H1484" s="7">
        <f>IFERROR(_xlfn.XLOOKUP(tbl_Ventes[[#This Row],[Cde_Prdt]], tbl_Produits[Cde_Prdt], tbl_Produits[Coût Moyen Portion]), 0)</f>
        <v>0</v>
      </c>
      <c r="I1484" s="7">
        <f>tbl_Ventes[[#This Row],[Qté Vendue]] * tbl_Ventes[[#This Row],[CMP_par_portion]]</f>
        <v>0</v>
      </c>
      <c r="J1484" s="7">
        <f>tbl_Ventes[[#This Row],[CA ligne]] - tbl_Ventes[[#This Row],[Coût matière ligne]]</f>
        <v>0</v>
      </c>
      <c r="K1484" s="7" t="str">
        <f>IFERROR(INDEX(tbl_ProduitsRef[Famille], MATCH(tbl_Ventes[[#This Row],[Cde_Prdt]], tbl_Produits[Cde_Prdt], 0)), "")</f>
        <v/>
      </c>
    </row>
    <row r="1485" spans="1:11" x14ac:dyDescent="0.25">
      <c r="A1485" s="5"/>
      <c r="B1485" s="63" t="str">
        <f>IFERROR(TEXT(tbl_Ventes[[#This Row],[Date]],"mm-aaaa"),"")</f>
        <v>01-1900</v>
      </c>
      <c r="D1485" s="10" t="str">
        <f>IFERROR(
   INDEX(tbl_ProduitsRef[Cde_Prdt],MATCH(tbl_Ventes[[#This Row],[Produit]],tbl_ProduitsRef[Produit],0)),
   ""
)</f>
        <v/>
      </c>
      <c r="E1485" s="7">
        <v>0</v>
      </c>
      <c r="F1485" s="7" t="str">
        <f>IFERROR(
   INDEX(tbl_ProduitsRef[Prix Menu],MATCH(tbl_Ventes[[#This Row],[Produit]],tbl_ProduitsRef[Produit],0)),
   ""
)</f>
        <v/>
      </c>
      <c r="G1485" s="7">
        <f>tbl_Ventes[[#This Row],[Qté Vendue]] * IFERROR(_xlfn.XLOOKUP(tbl_Ventes[[#This Row],[Cde_Prdt]], tbl_Produits[Cde_Prdt], tbl_Produits[Prix Menu]), 0)</f>
        <v>0</v>
      </c>
      <c r="H1485" s="7">
        <f>IFERROR(_xlfn.XLOOKUP(tbl_Ventes[[#This Row],[Cde_Prdt]], tbl_Produits[Cde_Prdt], tbl_Produits[Coût Moyen Portion]), 0)</f>
        <v>0</v>
      </c>
      <c r="I1485" s="7">
        <f>tbl_Ventes[[#This Row],[Qté Vendue]] * tbl_Ventes[[#This Row],[CMP_par_portion]]</f>
        <v>0</v>
      </c>
      <c r="J1485" s="7">
        <f>tbl_Ventes[[#This Row],[CA ligne]] - tbl_Ventes[[#This Row],[Coût matière ligne]]</f>
        <v>0</v>
      </c>
      <c r="K1485" s="7" t="str">
        <f>IFERROR(INDEX(tbl_ProduitsRef[Famille], MATCH(tbl_Ventes[[#This Row],[Cde_Prdt]], tbl_Produits[Cde_Prdt], 0)), "")</f>
        <v/>
      </c>
    </row>
    <row r="1486" spans="1:11" x14ac:dyDescent="0.25">
      <c r="A1486" s="5"/>
      <c r="B1486" s="63" t="str">
        <f>IFERROR(TEXT(tbl_Ventes[[#This Row],[Date]],"mm-aaaa"),"")</f>
        <v>01-1900</v>
      </c>
      <c r="D1486" s="10" t="str">
        <f>IFERROR(
   INDEX(tbl_ProduitsRef[Cde_Prdt],MATCH(tbl_Ventes[[#This Row],[Produit]],tbl_ProduitsRef[Produit],0)),
   ""
)</f>
        <v/>
      </c>
      <c r="E1486" s="7">
        <v>0</v>
      </c>
      <c r="F1486" s="7" t="str">
        <f>IFERROR(
   INDEX(tbl_ProduitsRef[Prix Menu],MATCH(tbl_Ventes[[#This Row],[Produit]],tbl_ProduitsRef[Produit],0)),
   ""
)</f>
        <v/>
      </c>
      <c r="G1486" s="7">
        <f>tbl_Ventes[[#This Row],[Qté Vendue]] * IFERROR(_xlfn.XLOOKUP(tbl_Ventes[[#This Row],[Cde_Prdt]], tbl_Produits[Cde_Prdt], tbl_Produits[Prix Menu]), 0)</f>
        <v>0</v>
      </c>
      <c r="H1486" s="7">
        <f>IFERROR(_xlfn.XLOOKUP(tbl_Ventes[[#This Row],[Cde_Prdt]], tbl_Produits[Cde_Prdt], tbl_Produits[Coût Moyen Portion]), 0)</f>
        <v>0</v>
      </c>
      <c r="I1486" s="7">
        <f>tbl_Ventes[[#This Row],[Qté Vendue]] * tbl_Ventes[[#This Row],[CMP_par_portion]]</f>
        <v>0</v>
      </c>
      <c r="J1486" s="7">
        <f>tbl_Ventes[[#This Row],[CA ligne]] - tbl_Ventes[[#This Row],[Coût matière ligne]]</f>
        <v>0</v>
      </c>
      <c r="K1486" s="7" t="str">
        <f>IFERROR(INDEX(tbl_ProduitsRef[Famille], MATCH(tbl_Ventes[[#This Row],[Cde_Prdt]], tbl_Produits[Cde_Prdt], 0)), "")</f>
        <v/>
      </c>
    </row>
    <row r="1487" spans="1:11" x14ac:dyDescent="0.25">
      <c r="A1487" s="5"/>
      <c r="B1487" s="63" t="str">
        <f>IFERROR(TEXT(tbl_Ventes[[#This Row],[Date]],"mm-aaaa"),"")</f>
        <v>01-1900</v>
      </c>
      <c r="D1487" s="10" t="str">
        <f>IFERROR(
   INDEX(tbl_ProduitsRef[Cde_Prdt],MATCH(tbl_Ventes[[#This Row],[Produit]],tbl_ProduitsRef[Produit],0)),
   ""
)</f>
        <v/>
      </c>
      <c r="E1487" s="7">
        <v>0</v>
      </c>
      <c r="F1487" s="7" t="str">
        <f>IFERROR(
   INDEX(tbl_ProduitsRef[Prix Menu],MATCH(tbl_Ventes[[#This Row],[Produit]],tbl_ProduitsRef[Produit],0)),
   ""
)</f>
        <v/>
      </c>
      <c r="G1487" s="7">
        <f>tbl_Ventes[[#This Row],[Qté Vendue]] * IFERROR(_xlfn.XLOOKUP(tbl_Ventes[[#This Row],[Cde_Prdt]], tbl_Produits[Cde_Prdt], tbl_Produits[Prix Menu]), 0)</f>
        <v>0</v>
      </c>
      <c r="H1487" s="7">
        <f>IFERROR(_xlfn.XLOOKUP(tbl_Ventes[[#This Row],[Cde_Prdt]], tbl_Produits[Cde_Prdt], tbl_Produits[Coût Moyen Portion]), 0)</f>
        <v>0</v>
      </c>
      <c r="I1487" s="7">
        <f>tbl_Ventes[[#This Row],[Qté Vendue]] * tbl_Ventes[[#This Row],[CMP_par_portion]]</f>
        <v>0</v>
      </c>
      <c r="J1487" s="7">
        <f>tbl_Ventes[[#This Row],[CA ligne]] - tbl_Ventes[[#This Row],[Coût matière ligne]]</f>
        <v>0</v>
      </c>
      <c r="K1487" s="7" t="str">
        <f>IFERROR(INDEX(tbl_ProduitsRef[Famille], MATCH(tbl_Ventes[[#This Row],[Cde_Prdt]], tbl_Produits[Cde_Prdt], 0)), "")</f>
        <v/>
      </c>
    </row>
    <row r="1488" spans="1:11" x14ac:dyDescent="0.25">
      <c r="A1488" s="5"/>
      <c r="B1488" s="63" t="str">
        <f>IFERROR(TEXT(tbl_Ventes[[#This Row],[Date]],"mm-aaaa"),"")</f>
        <v>01-1900</v>
      </c>
      <c r="D1488" s="10" t="str">
        <f>IFERROR(
   INDEX(tbl_ProduitsRef[Cde_Prdt],MATCH(tbl_Ventes[[#This Row],[Produit]],tbl_ProduitsRef[Produit],0)),
   ""
)</f>
        <v/>
      </c>
      <c r="E1488" s="7">
        <v>0</v>
      </c>
      <c r="F1488" s="7" t="str">
        <f>IFERROR(
   INDEX(tbl_ProduitsRef[Prix Menu],MATCH(tbl_Ventes[[#This Row],[Produit]],tbl_ProduitsRef[Produit],0)),
   ""
)</f>
        <v/>
      </c>
      <c r="G1488" s="7">
        <f>tbl_Ventes[[#This Row],[Qté Vendue]] * IFERROR(_xlfn.XLOOKUP(tbl_Ventes[[#This Row],[Cde_Prdt]], tbl_Produits[Cde_Prdt], tbl_Produits[Prix Menu]), 0)</f>
        <v>0</v>
      </c>
      <c r="H1488" s="7">
        <f>IFERROR(_xlfn.XLOOKUP(tbl_Ventes[[#This Row],[Cde_Prdt]], tbl_Produits[Cde_Prdt], tbl_Produits[Coût Moyen Portion]), 0)</f>
        <v>0</v>
      </c>
      <c r="I1488" s="7">
        <f>tbl_Ventes[[#This Row],[Qté Vendue]] * tbl_Ventes[[#This Row],[CMP_par_portion]]</f>
        <v>0</v>
      </c>
      <c r="J1488" s="7">
        <f>tbl_Ventes[[#This Row],[CA ligne]] - tbl_Ventes[[#This Row],[Coût matière ligne]]</f>
        <v>0</v>
      </c>
      <c r="K1488" s="7" t="str">
        <f>IFERROR(INDEX(tbl_ProduitsRef[Famille], MATCH(tbl_Ventes[[#This Row],[Cde_Prdt]], tbl_Produits[Cde_Prdt], 0)), "")</f>
        <v/>
      </c>
    </row>
    <row r="1489" spans="1:11" x14ac:dyDescent="0.25">
      <c r="A1489" s="5"/>
      <c r="B1489" s="63" t="str">
        <f>IFERROR(TEXT(tbl_Ventes[[#This Row],[Date]],"mm-aaaa"),"")</f>
        <v>01-1900</v>
      </c>
      <c r="D1489" s="10" t="str">
        <f>IFERROR(
   INDEX(tbl_ProduitsRef[Cde_Prdt],MATCH(tbl_Ventes[[#This Row],[Produit]],tbl_ProduitsRef[Produit],0)),
   ""
)</f>
        <v/>
      </c>
      <c r="E1489" s="7">
        <v>0</v>
      </c>
      <c r="F1489" s="7" t="str">
        <f>IFERROR(
   INDEX(tbl_ProduitsRef[Prix Menu],MATCH(tbl_Ventes[[#This Row],[Produit]],tbl_ProduitsRef[Produit],0)),
   ""
)</f>
        <v/>
      </c>
      <c r="G1489" s="7">
        <f>tbl_Ventes[[#This Row],[Qté Vendue]] * IFERROR(_xlfn.XLOOKUP(tbl_Ventes[[#This Row],[Cde_Prdt]], tbl_Produits[Cde_Prdt], tbl_Produits[Prix Menu]), 0)</f>
        <v>0</v>
      </c>
      <c r="H1489" s="7">
        <f>IFERROR(_xlfn.XLOOKUP(tbl_Ventes[[#This Row],[Cde_Prdt]], tbl_Produits[Cde_Prdt], tbl_Produits[Coût Moyen Portion]), 0)</f>
        <v>0</v>
      </c>
      <c r="I1489" s="7">
        <f>tbl_Ventes[[#This Row],[Qté Vendue]] * tbl_Ventes[[#This Row],[CMP_par_portion]]</f>
        <v>0</v>
      </c>
      <c r="J1489" s="7">
        <f>tbl_Ventes[[#This Row],[CA ligne]] - tbl_Ventes[[#This Row],[Coût matière ligne]]</f>
        <v>0</v>
      </c>
      <c r="K1489" s="7" t="str">
        <f>IFERROR(INDEX(tbl_ProduitsRef[Famille], MATCH(tbl_Ventes[[#This Row],[Cde_Prdt]], tbl_Produits[Cde_Prdt], 0)), "")</f>
        <v/>
      </c>
    </row>
    <row r="1490" spans="1:11" x14ac:dyDescent="0.25">
      <c r="A1490" s="5"/>
      <c r="B1490" s="63" t="str">
        <f>IFERROR(TEXT(tbl_Ventes[[#This Row],[Date]],"mm-aaaa"),"")</f>
        <v>01-1900</v>
      </c>
      <c r="D1490" s="10" t="str">
        <f>IFERROR(
   INDEX(tbl_ProduitsRef[Cde_Prdt],MATCH(tbl_Ventes[[#This Row],[Produit]],tbl_ProduitsRef[Produit],0)),
   ""
)</f>
        <v/>
      </c>
      <c r="E1490" s="7">
        <v>0</v>
      </c>
      <c r="F1490" s="7" t="str">
        <f>IFERROR(
   INDEX(tbl_ProduitsRef[Prix Menu],MATCH(tbl_Ventes[[#This Row],[Produit]],tbl_ProduitsRef[Produit],0)),
   ""
)</f>
        <v/>
      </c>
      <c r="G1490" s="7">
        <f>tbl_Ventes[[#This Row],[Qté Vendue]] * IFERROR(_xlfn.XLOOKUP(tbl_Ventes[[#This Row],[Cde_Prdt]], tbl_Produits[Cde_Prdt], tbl_Produits[Prix Menu]), 0)</f>
        <v>0</v>
      </c>
      <c r="H1490" s="7">
        <f>IFERROR(_xlfn.XLOOKUP(tbl_Ventes[[#This Row],[Cde_Prdt]], tbl_Produits[Cde_Prdt], tbl_Produits[Coût Moyen Portion]), 0)</f>
        <v>0</v>
      </c>
      <c r="I1490" s="7">
        <f>tbl_Ventes[[#This Row],[Qté Vendue]] * tbl_Ventes[[#This Row],[CMP_par_portion]]</f>
        <v>0</v>
      </c>
      <c r="J1490" s="7">
        <f>tbl_Ventes[[#This Row],[CA ligne]] - tbl_Ventes[[#This Row],[Coût matière ligne]]</f>
        <v>0</v>
      </c>
      <c r="K1490" s="7" t="str">
        <f>IFERROR(INDEX(tbl_ProduitsRef[Famille], MATCH(tbl_Ventes[[#This Row],[Cde_Prdt]], tbl_Produits[Cde_Prdt], 0)), "")</f>
        <v/>
      </c>
    </row>
    <row r="1491" spans="1:11" x14ac:dyDescent="0.25">
      <c r="A1491" s="5"/>
      <c r="B1491" s="63" t="str">
        <f>IFERROR(TEXT(tbl_Ventes[[#This Row],[Date]],"mm-aaaa"),"")</f>
        <v>01-1900</v>
      </c>
      <c r="D1491" s="10" t="str">
        <f>IFERROR(
   INDEX(tbl_ProduitsRef[Cde_Prdt],MATCH(tbl_Ventes[[#This Row],[Produit]],tbl_ProduitsRef[Produit],0)),
   ""
)</f>
        <v/>
      </c>
      <c r="E1491" s="7">
        <v>0</v>
      </c>
      <c r="F1491" s="7" t="str">
        <f>IFERROR(
   INDEX(tbl_ProduitsRef[Prix Menu],MATCH(tbl_Ventes[[#This Row],[Produit]],tbl_ProduitsRef[Produit],0)),
   ""
)</f>
        <v/>
      </c>
      <c r="G1491" s="7">
        <f>tbl_Ventes[[#This Row],[Qté Vendue]] * IFERROR(_xlfn.XLOOKUP(tbl_Ventes[[#This Row],[Cde_Prdt]], tbl_Produits[Cde_Prdt], tbl_Produits[Prix Menu]), 0)</f>
        <v>0</v>
      </c>
      <c r="H1491" s="7">
        <f>IFERROR(_xlfn.XLOOKUP(tbl_Ventes[[#This Row],[Cde_Prdt]], tbl_Produits[Cde_Prdt], tbl_Produits[Coût Moyen Portion]), 0)</f>
        <v>0</v>
      </c>
      <c r="I1491" s="7">
        <f>tbl_Ventes[[#This Row],[Qté Vendue]] * tbl_Ventes[[#This Row],[CMP_par_portion]]</f>
        <v>0</v>
      </c>
      <c r="J1491" s="7">
        <f>tbl_Ventes[[#This Row],[CA ligne]] - tbl_Ventes[[#This Row],[Coût matière ligne]]</f>
        <v>0</v>
      </c>
      <c r="K1491" s="7" t="str">
        <f>IFERROR(INDEX(tbl_ProduitsRef[Famille], MATCH(tbl_Ventes[[#This Row],[Cde_Prdt]], tbl_Produits[Cde_Prdt], 0)), "")</f>
        <v/>
      </c>
    </row>
    <row r="1492" spans="1:11" x14ac:dyDescent="0.25">
      <c r="A1492" s="5"/>
      <c r="B1492" s="63" t="str">
        <f>IFERROR(TEXT(tbl_Ventes[[#This Row],[Date]],"mm-aaaa"),"")</f>
        <v>01-1900</v>
      </c>
      <c r="D1492" s="10" t="str">
        <f>IFERROR(
   INDEX(tbl_ProduitsRef[Cde_Prdt],MATCH(tbl_Ventes[[#This Row],[Produit]],tbl_ProduitsRef[Produit],0)),
   ""
)</f>
        <v/>
      </c>
      <c r="E1492" s="7">
        <v>0</v>
      </c>
      <c r="F1492" s="7" t="str">
        <f>IFERROR(
   INDEX(tbl_ProduitsRef[Prix Menu],MATCH(tbl_Ventes[[#This Row],[Produit]],tbl_ProduitsRef[Produit],0)),
   ""
)</f>
        <v/>
      </c>
      <c r="G1492" s="7">
        <f>tbl_Ventes[[#This Row],[Qté Vendue]] * IFERROR(_xlfn.XLOOKUP(tbl_Ventes[[#This Row],[Cde_Prdt]], tbl_Produits[Cde_Prdt], tbl_Produits[Prix Menu]), 0)</f>
        <v>0</v>
      </c>
      <c r="H1492" s="7">
        <f>IFERROR(_xlfn.XLOOKUP(tbl_Ventes[[#This Row],[Cde_Prdt]], tbl_Produits[Cde_Prdt], tbl_Produits[Coût Moyen Portion]), 0)</f>
        <v>0</v>
      </c>
      <c r="I1492" s="7">
        <f>tbl_Ventes[[#This Row],[Qté Vendue]] * tbl_Ventes[[#This Row],[CMP_par_portion]]</f>
        <v>0</v>
      </c>
      <c r="J1492" s="7">
        <f>tbl_Ventes[[#This Row],[CA ligne]] - tbl_Ventes[[#This Row],[Coût matière ligne]]</f>
        <v>0</v>
      </c>
      <c r="K1492" s="7" t="str">
        <f>IFERROR(INDEX(tbl_ProduitsRef[Famille], MATCH(tbl_Ventes[[#This Row],[Cde_Prdt]], tbl_Produits[Cde_Prdt], 0)), "")</f>
        <v/>
      </c>
    </row>
    <row r="1493" spans="1:11" x14ac:dyDescent="0.25">
      <c r="A1493" s="5"/>
      <c r="B1493" s="63" t="str">
        <f>IFERROR(TEXT(tbl_Ventes[[#This Row],[Date]],"mm-aaaa"),"")</f>
        <v>01-1900</v>
      </c>
      <c r="D1493" s="10" t="str">
        <f>IFERROR(
   INDEX(tbl_ProduitsRef[Cde_Prdt],MATCH(tbl_Ventes[[#This Row],[Produit]],tbl_ProduitsRef[Produit],0)),
   ""
)</f>
        <v/>
      </c>
      <c r="E1493" s="7">
        <v>0</v>
      </c>
      <c r="F1493" s="7" t="str">
        <f>IFERROR(
   INDEX(tbl_ProduitsRef[Prix Menu],MATCH(tbl_Ventes[[#This Row],[Produit]],tbl_ProduitsRef[Produit],0)),
   ""
)</f>
        <v/>
      </c>
      <c r="G1493" s="7">
        <f>tbl_Ventes[[#This Row],[Qté Vendue]] * IFERROR(_xlfn.XLOOKUP(tbl_Ventes[[#This Row],[Cde_Prdt]], tbl_Produits[Cde_Prdt], tbl_Produits[Prix Menu]), 0)</f>
        <v>0</v>
      </c>
      <c r="H1493" s="7">
        <f>IFERROR(_xlfn.XLOOKUP(tbl_Ventes[[#This Row],[Cde_Prdt]], tbl_Produits[Cde_Prdt], tbl_Produits[Coût Moyen Portion]), 0)</f>
        <v>0</v>
      </c>
      <c r="I1493" s="7">
        <f>tbl_Ventes[[#This Row],[Qté Vendue]] * tbl_Ventes[[#This Row],[CMP_par_portion]]</f>
        <v>0</v>
      </c>
      <c r="J1493" s="7">
        <f>tbl_Ventes[[#This Row],[CA ligne]] - tbl_Ventes[[#This Row],[Coût matière ligne]]</f>
        <v>0</v>
      </c>
      <c r="K1493" s="7" t="str">
        <f>IFERROR(INDEX(tbl_ProduitsRef[Famille], MATCH(tbl_Ventes[[#This Row],[Cde_Prdt]], tbl_Produits[Cde_Prdt], 0)), "")</f>
        <v/>
      </c>
    </row>
    <row r="1494" spans="1:11" x14ac:dyDescent="0.25">
      <c r="A1494" s="5"/>
      <c r="B1494" s="63" t="str">
        <f>IFERROR(TEXT(tbl_Ventes[[#This Row],[Date]],"mm-aaaa"),"")</f>
        <v>01-1900</v>
      </c>
      <c r="D1494" s="10" t="str">
        <f>IFERROR(
   INDEX(tbl_ProduitsRef[Cde_Prdt],MATCH(tbl_Ventes[[#This Row],[Produit]],tbl_ProduitsRef[Produit],0)),
   ""
)</f>
        <v/>
      </c>
      <c r="E1494" s="7">
        <v>0</v>
      </c>
      <c r="F1494" s="7" t="str">
        <f>IFERROR(
   INDEX(tbl_ProduitsRef[Prix Menu],MATCH(tbl_Ventes[[#This Row],[Produit]],tbl_ProduitsRef[Produit],0)),
   ""
)</f>
        <v/>
      </c>
      <c r="G1494" s="7">
        <f>tbl_Ventes[[#This Row],[Qté Vendue]] * IFERROR(_xlfn.XLOOKUP(tbl_Ventes[[#This Row],[Cde_Prdt]], tbl_Produits[Cde_Prdt], tbl_Produits[Prix Menu]), 0)</f>
        <v>0</v>
      </c>
      <c r="H1494" s="7">
        <f>IFERROR(_xlfn.XLOOKUP(tbl_Ventes[[#This Row],[Cde_Prdt]], tbl_Produits[Cde_Prdt], tbl_Produits[Coût Moyen Portion]), 0)</f>
        <v>0</v>
      </c>
      <c r="I1494" s="7">
        <f>tbl_Ventes[[#This Row],[Qté Vendue]] * tbl_Ventes[[#This Row],[CMP_par_portion]]</f>
        <v>0</v>
      </c>
      <c r="J1494" s="7">
        <f>tbl_Ventes[[#This Row],[CA ligne]] - tbl_Ventes[[#This Row],[Coût matière ligne]]</f>
        <v>0</v>
      </c>
      <c r="K1494" s="7" t="str">
        <f>IFERROR(INDEX(tbl_ProduitsRef[Famille], MATCH(tbl_Ventes[[#This Row],[Cde_Prdt]], tbl_Produits[Cde_Prdt], 0)), "")</f>
        <v/>
      </c>
    </row>
    <row r="1495" spans="1:11" x14ac:dyDescent="0.25">
      <c r="A1495" s="5"/>
      <c r="B1495" s="63" t="str">
        <f>IFERROR(TEXT(tbl_Ventes[[#This Row],[Date]],"mm-aaaa"),"")</f>
        <v>01-1900</v>
      </c>
      <c r="D1495" s="10" t="str">
        <f>IFERROR(
   INDEX(tbl_ProduitsRef[Cde_Prdt],MATCH(tbl_Ventes[[#This Row],[Produit]],tbl_ProduitsRef[Produit],0)),
   ""
)</f>
        <v/>
      </c>
      <c r="E1495" s="7">
        <v>0</v>
      </c>
      <c r="F1495" s="7" t="str">
        <f>IFERROR(
   INDEX(tbl_ProduitsRef[Prix Menu],MATCH(tbl_Ventes[[#This Row],[Produit]],tbl_ProduitsRef[Produit],0)),
   ""
)</f>
        <v/>
      </c>
      <c r="G1495" s="7">
        <f>tbl_Ventes[[#This Row],[Qté Vendue]] * IFERROR(_xlfn.XLOOKUP(tbl_Ventes[[#This Row],[Cde_Prdt]], tbl_Produits[Cde_Prdt], tbl_Produits[Prix Menu]), 0)</f>
        <v>0</v>
      </c>
      <c r="H1495" s="7">
        <f>IFERROR(_xlfn.XLOOKUP(tbl_Ventes[[#This Row],[Cde_Prdt]], tbl_Produits[Cde_Prdt], tbl_Produits[Coût Moyen Portion]), 0)</f>
        <v>0</v>
      </c>
      <c r="I1495" s="7">
        <f>tbl_Ventes[[#This Row],[Qté Vendue]] * tbl_Ventes[[#This Row],[CMP_par_portion]]</f>
        <v>0</v>
      </c>
      <c r="J1495" s="7">
        <f>tbl_Ventes[[#This Row],[CA ligne]] - tbl_Ventes[[#This Row],[Coût matière ligne]]</f>
        <v>0</v>
      </c>
      <c r="K1495" s="7" t="str">
        <f>IFERROR(INDEX(tbl_ProduitsRef[Famille], MATCH(tbl_Ventes[[#This Row],[Cde_Prdt]], tbl_Produits[Cde_Prdt], 0)), "")</f>
        <v/>
      </c>
    </row>
    <row r="1496" spans="1:11" x14ac:dyDescent="0.25">
      <c r="A1496" s="5"/>
      <c r="B1496" s="63" t="str">
        <f>IFERROR(TEXT(tbl_Ventes[[#This Row],[Date]],"mm-aaaa"),"")</f>
        <v>01-1900</v>
      </c>
      <c r="D1496" s="10" t="str">
        <f>IFERROR(
   INDEX(tbl_ProduitsRef[Cde_Prdt],MATCH(tbl_Ventes[[#This Row],[Produit]],tbl_ProduitsRef[Produit],0)),
   ""
)</f>
        <v/>
      </c>
      <c r="E1496" s="7">
        <v>0</v>
      </c>
      <c r="F1496" s="7" t="str">
        <f>IFERROR(
   INDEX(tbl_ProduitsRef[Prix Menu],MATCH(tbl_Ventes[[#This Row],[Produit]],tbl_ProduitsRef[Produit],0)),
   ""
)</f>
        <v/>
      </c>
      <c r="G1496" s="7">
        <f>tbl_Ventes[[#This Row],[Qté Vendue]] * IFERROR(_xlfn.XLOOKUP(tbl_Ventes[[#This Row],[Cde_Prdt]], tbl_Produits[Cde_Prdt], tbl_Produits[Prix Menu]), 0)</f>
        <v>0</v>
      </c>
      <c r="H1496" s="7">
        <f>IFERROR(_xlfn.XLOOKUP(tbl_Ventes[[#This Row],[Cde_Prdt]], tbl_Produits[Cde_Prdt], tbl_Produits[Coût Moyen Portion]), 0)</f>
        <v>0</v>
      </c>
      <c r="I1496" s="7">
        <f>tbl_Ventes[[#This Row],[Qté Vendue]] * tbl_Ventes[[#This Row],[CMP_par_portion]]</f>
        <v>0</v>
      </c>
      <c r="J1496" s="7">
        <f>tbl_Ventes[[#This Row],[CA ligne]] - tbl_Ventes[[#This Row],[Coût matière ligne]]</f>
        <v>0</v>
      </c>
      <c r="K1496" s="7" t="str">
        <f>IFERROR(INDEX(tbl_ProduitsRef[Famille], MATCH(tbl_Ventes[[#This Row],[Cde_Prdt]], tbl_Produits[Cde_Prdt], 0)), "")</f>
        <v/>
      </c>
    </row>
    <row r="1497" spans="1:11" x14ac:dyDescent="0.25">
      <c r="A1497" s="5"/>
      <c r="B1497" s="63" t="str">
        <f>IFERROR(TEXT(tbl_Ventes[[#This Row],[Date]],"mm-aaaa"),"")</f>
        <v>01-1900</v>
      </c>
      <c r="D1497" s="10" t="str">
        <f>IFERROR(
   INDEX(tbl_ProduitsRef[Cde_Prdt],MATCH(tbl_Ventes[[#This Row],[Produit]],tbl_ProduitsRef[Produit],0)),
   ""
)</f>
        <v/>
      </c>
      <c r="E1497" s="7">
        <v>0</v>
      </c>
      <c r="F1497" s="7" t="str">
        <f>IFERROR(
   INDEX(tbl_ProduitsRef[Prix Menu],MATCH(tbl_Ventes[[#This Row],[Produit]],tbl_ProduitsRef[Produit],0)),
   ""
)</f>
        <v/>
      </c>
      <c r="G1497" s="7">
        <f>tbl_Ventes[[#This Row],[Qté Vendue]] * IFERROR(_xlfn.XLOOKUP(tbl_Ventes[[#This Row],[Cde_Prdt]], tbl_Produits[Cde_Prdt], tbl_Produits[Prix Menu]), 0)</f>
        <v>0</v>
      </c>
      <c r="H1497" s="7">
        <f>IFERROR(_xlfn.XLOOKUP(tbl_Ventes[[#This Row],[Cde_Prdt]], tbl_Produits[Cde_Prdt], tbl_Produits[Coût Moyen Portion]), 0)</f>
        <v>0</v>
      </c>
      <c r="I1497" s="7">
        <f>tbl_Ventes[[#This Row],[Qté Vendue]] * tbl_Ventes[[#This Row],[CMP_par_portion]]</f>
        <v>0</v>
      </c>
      <c r="J1497" s="7">
        <f>tbl_Ventes[[#This Row],[CA ligne]] - tbl_Ventes[[#This Row],[Coût matière ligne]]</f>
        <v>0</v>
      </c>
      <c r="K1497" s="7" t="str">
        <f>IFERROR(INDEX(tbl_ProduitsRef[Famille], MATCH(tbl_Ventes[[#This Row],[Cde_Prdt]], tbl_Produits[Cde_Prdt], 0)), "")</f>
        <v/>
      </c>
    </row>
    <row r="1498" spans="1:11" x14ac:dyDescent="0.25">
      <c r="A1498" s="5"/>
      <c r="B1498" s="63" t="str">
        <f>IFERROR(TEXT(tbl_Ventes[[#This Row],[Date]],"mm-aaaa"),"")</f>
        <v>01-1900</v>
      </c>
      <c r="D1498" s="10" t="str">
        <f>IFERROR(
   INDEX(tbl_ProduitsRef[Cde_Prdt],MATCH(tbl_Ventes[[#This Row],[Produit]],tbl_ProduitsRef[Produit],0)),
   ""
)</f>
        <v/>
      </c>
      <c r="E1498" s="7">
        <v>0</v>
      </c>
      <c r="F1498" s="7" t="str">
        <f>IFERROR(
   INDEX(tbl_ProduitsRef[Prix Menu],MATCH(tbl_Ventes[[#This Row],[Produit]],tbl_ProduitsRef[Produit],0)),
   ""
)</f>
        <v/>
      </c>
      <c r="G1498" s="7">
        <f>tbl_Ventes[[#This Row],[Qté Vendue]] * IFERROR(_xlfn.XLOOKUP(tbl_Ventes[[#This Row],[Cde_Prdt]], tbl_Produits[Cde_Prdt], tbl_Produits[Prix Menu]), 0)</f>
        <v>0</v>
      </c>
      <c r="H1498" s="7">
        <f>IFERROR(_xlfn.XLOOKUP(tbl_Ventes[[#This Row],[Cde_Prdt]], tbl_Produits[Cde_Prdt], tbl_Produits[Coût Moyen Portion]), 0)</f>
        <v>0</v>
      </c>
      <c r="I1498" s="7">
        <f>tbl_Ventes[[#This Row],[Qté Vendue]] * tbl_Ventes[[#This Row],[CMP_par_portion]]</f>
        <v>0</v>
      </c>
      <c r="J1498" s="7">
        <f>tbl_Ventes[[#This Row],[CA ligne]] - tbl_Ventes[[#This Row],[Coût matière ligne]]</f>
        <v>0</v>
      </c>
      <c r="K1498" s="7" t="str">
        <f>IFERROR(INDEX(tbl_ProduitsRef[Famille], MATCH(tbl_Ventes[[#This Row],[Cde_Prdt]], tbl_Produits[Cde_Prdt], 0)), "")</f>
        <v/>
      </c>
    </row>
    <row r="1499" spans="1:11" x14ac:dyDescent="0.25">
      <c r="A1499" s="5"/>
      <c r="B1499" s="63" t="str">
        <f>IFERROR(TEXT(tbl_Ventes[[#This Row],[Date]],"mm-aaaa"),"")</f>
        <v>01-1900</v>
      </c>
      <c r="D1499" s="10" t="str">
        <f>IFERROR(
   INDEX(tbl_ProduitsRef[Cde_Prdt],MATCH(tbl_Ventes[[#This Row],[Produit]],tbl_ProduitsRef[Produit],0)),
   ""
)</f>
        <v/>
      </c>
      <c r="E1499" s="7">
        <v>0</v>
      </c>
      <c r="F1499" s="7" t="str">
        <f>IFERROR(
   INDEX(tbl_ProduitsRef[Prix Menu],MATCH(tbl_Ventes[[#This Row],[Produit]],tbl_ProduitsRef[Produit],0)),
   ""
)</f>
        <v/>
      </c>
      <c r="G1499" s="7">
        <f>tbl_Ventes[[#This Row],[Qté Vendue]] * IFERROR(_xlfn.XLOOKUP(tbl_Ventes[[#This Row],[Cde_Prdt]], tbl_Produits[Cde_Prdt], tbl_Produits[Prix Menu]), 0)</f>
        <v>0</v>
      </c>
      <c r="H1499" s="7">
        <f>IFERROR(_xlfn.XLOOKUP(tbl_Ventes[[#This Row],[Cde_Prdt]], tbl_Produits[Cde_Prdt], tbl_Produits[Coût Moyen Portion]), 0)</f>
        <v>0</v>
      </c>
      <c r="I1499" s="7">
        <f>tbl_Ventes[[#This Row],[Qté Vendue]] * tbl_Ventes[[#This Row],[CMP_par_portion]]</f>
        <v>0</v>
      </c>
      <c r="J1499" s="7">
        <f>tbl_Ventes[[#This Row],[CA ligne]] - tbl_Ventes[[#This Row],[Coût matière ligne]]</f>
        <v>0</v>
      </c>
      <c r="K1499" s="7" t="str">
        <f>IFERROR(INDEX(tbl_ProduitsRef[Famille], MATCH(tbl_Ventes[[#This Row],[Cde_Prdt]], tbl_Produits[Cde_Prdt], 0)), "")</f>
        <v/>
      </c>
    </row>
    <row r="1500" spans="1:11" x14ac:dyDescent="0.25">
      <c r="A1500" s="5"/>
      <c r="B1500" s="63" t="str">
        <f>IFERROR(TEXT(tbl_Ventes[[#This Row],[Date]],"mm-aaaa"),"")</f>
        <v>01-1900</v>
      </c>
      <c r="D1500" s="10" t="str">
        <f>IFERROR(
   INDEX(tbl_ProduitsRef[Cde_Prdt],MATCH(tbl_Ventes[[#This Row],[Produit]],tbl_ProduitsRef[Produit],0)),
   ""
)</f>
        <v/>
      </c>
      <c r="E1500" s="7">
        <v>0</v>
      </c>
      <c r="F1500" s="7" t="str">
        <f>IFERROR(
   INDEX(tbl_ProduitsRef[Prix Menu],MATCH(tbl_Ventes[[#This Row],[Produit]],tbl_ProduitsRef[Produit],0)),
   ""
)</f>
        <v/>
      </c>
      <c r="G1500" s="7">
        <f>tbl_Ventes[[#This Row],[Qté Vendue]] * IFERROR(_xlfn.XLOOKUP(tbl_Ventes[[#This Row],[Cde_Prdt]], tbl_Produits[Cde_Prdt], tbl_Produits[Prix Menu]), 0)</f>
        <v>0</v>
      </c>
      <c r="H1500" s="7">
        <f>IFERROR(_xlfn.XLOOKUP(tbl_Ventes[[#This Row],[Cde_Prdt]], tbl_Produits[Cde_Prdt], tbl_Produits[Coût Moyen Portion]), 0)</f>
        <v>0</v>
      </c>
      <c r="I1500" s="7">
        <f>tbl_Ventes[[#This Row],[Qté Vendue]] * tbl_Ventes[[#This Row],[CMP_par_portion]]</f>
        <v>0</v>
      </c>
      <c r="J1500" s="7">
        <f>tbl_Ventes[[#This Row],[CA ligne]] - tbl_Ventes[[#This Row],[Coût matière ligne]]</f>
        <v>0</v>
      </c>
      <c r="K1500" s="7" t="str">
        <f>IFERROR(INDEX(tbl_ProduitsRef[Famille], MATCH(tbl_Ventes[[#This Row],[Cde_Prdt]], tbl_Produits[Cde_Prdt], 0)), "")</f>
        <v/>
      </c>
    </row>
    <row r="1501" spans="1:11" x14ac:dyDescent="0.25">
      <c r="A1501" s="5"/>
      <c r="B1501" s="63" t="str">
        <f>IFERROR(TEXT(tbl_Ventes[[#This Row],[Date]],"mm-aaaa"),"")</f>
        <v>01-1900</v>
      </c>
      <c r="D1501" s="10" t="str">
        <f>IFERROR(
   INDEX(tbl_ProduitsRef[Cde_Prdt],MATCH(tbl_Ventes[[#This Row],[Produit]],tbl_ProduitsRef[Produit],0)),
   ""
)</f>
        <v/>
      </c>
      <c r="E1501" s="7">
        <v>0</v>
      </c>
      <c r="F1501" s="7" t="str">
        <f>IFERROR(
   INDEX(tbl_ProduitsRef[Prix Menu],MATCH(tbl_Ventes[[#This Row],[Produit]],tbl_ProduitsRef[Produit],0)),
   ""
)</f>
        <v/>
      </c>
      <c r="G1501" s="7">
        <f>tbl_Ventes[[#This Row],[Qté Vendue]] * IFERROR(_xlfn.XLOOKUP(tbl_Ventes[[#This Row],[Cde_Prdt]], tbl_Produits[Cde_Prdt], tbl_Produits[Prix Menu]), 0)</f>
        <v>0</v>
      </c>
      <c r="H1501" s="7">
        <f>IFERROR(_xlfn.XLOOKUP(tbl_Ventes[[#This Row],[Cde_Prdt]], tbl_Produits[Cde_Prdt], tbl_Produits[Coût Moyen Portion]), 0)</f>
        <v>0</v>
      </c>
      <c r="I1501" s="7">
        <f>tbl_Ventes[[#This Row],[Qté Vendue]] * tbl_Ventes[[#This Row],[CMP_par_portion]]</f>
        <v>0</v>
      </c>
      <c r="J1501" s="7">
        <f>tbl_Ventes[[#This Row],[CA ligne]] - tbl_Ventes[[#This Row],[Coût matière ligne]]</f>
        <v>0</v>
      </c>
      <c r="K1501" s="7" t="str">
        <f>IFERROR(INDEX(tbl_ProduitsRef[Famille], MATCH(tbl_Ventes[[#This Row],[Cde_Prdt]], tbl_Produits[Cde_Prdt], 0)), "")</f>
        <v/>
      </c>
    </row>
    <row r="1502" spans="1:11" x14ac:dyDescent="0.25">
      <c r="A1502" s="5"/>
      <c r="B1502" s="63" t="str">
        <f>IFERROR(TEXT(tbl_Ventes[[#This Row],[Date]],"mm-aaaa"),"")</f>
        <v>01-1900</v>
      </c>
      <c r="D1502" s="10" t="str">
        <f>IFERROR(
   INDEX(tbl_ProduitsRef[Cde_Prdt],MATCH(tbl_Ventes[[#This Row],[Produit]],tbl_ProduitsRef[Produit],0)),
   ""
)</f>
        <v/>
      </c>
      <c r="E1502" s="7">
        <v>0</v>
      </c>
      <c r="F1502" s="7" t="str">
        <f>IFERROR(
   INDEX(tbl_ProduitsRef[Prix Menu],MATCH(tbl_Ventes[[#This Row],[Produit]],tbl_ProduitsRef[Produit],0)),
   ""
)</f>
        <v/>
      </c>
      <c r="G1502" s="7">
        <f>tbl_Ventes[[#This Row],[Qté Vendue]] * IFERROR(_xlfn.XLOOKUP(tbl_Ventes[[#This Row],[Cde_Prdt]], tbl_Produits[Cde_Prdt], tbl_Produits[Prix Menu]), 0)</f>
        <v>0</v>
      </c>
      <c r="H1502" s="7">
        <f>IFERROR(_xlfn.XLOOKUP(tbl_Ventes[[#This Row],[Cde_Prdt]], tbl_Produits[Cde_Prdt], tbl_Produits[Coût Moyen Portion]), 0)</f>
        <v>0</v>
      </c>
      <c r="I1502" s="7">
        <f>tbl_Ventes[[#This Row],[Qté Vendue]] * tbl_Ventes[[#This Row],[CMP_par_portion]]</f>
        <v>0</v>
      </c>
      <c r="J1502" s="7">
        <f>tbl_Ventes[[#This Row],[CA ligne]] - tbl_Ventes[[#This Row],[Coût matière ligne]]</f>
        <v>0</v>
      </c>
      <c r="K1502" s="7" t="str">
        <f>IFERROR(INDEX(tbl_ProduitsRef[Famille], MATCH(tbl_Ventes[[#This Row],[Cde_Prdt]], tbl_Produits[Cde_Prdt], 0)), "")</f>
        <v/>
      </c>
    </row>
    <row r="1503" spans="1:11" x14ac:dyDescent="0.25">
      <c r="A1503" s="5"/>
      <c r="B1503" s="63" t="str">
        <f>IFERROR(TEXT(tbl_Ventes[[#This Row],[Date]],"mm-aaaa"),"")</f>
        <v>01-1900</v>
      </c>
      <c r="D1503" s="10" t="str">
        <f>IFERROR(
   INDEX(tbl_ProduitsRef[Cde_Prdt],MATCH(tbl_Ventes[[#This Row],[Produit]],tbl_ProduitsRef[Produit],0)),
   ""
)</f>
        <v/>
      </c>
      <c r="E1503" s="7">
        <v>0</v>
      </c>
      <c r="F1503" s="7" t="str">
        <f>IFERROR(
   INDEX(tbl_ProduitsRef[Prix Menu],MATCH(tbl_Ventes[[#This Row],[Produit]],tbl_ProduitsRef[Produit],0)),
   ""
)</f>
        <v/>
      </c>
      <c r="G1503" s="7">
        <f>tbl_Ventes[[#This Row],[Qté Vendue]] * IFERROR(_xlfn.XLOOKUP(tbl_Ventes[[#This Row],[Cde_Prdt]], tbl_Produits[Cde_Prdt], tbl_Produits[Prix Menu]), 0)</f>
        <v>0</v>
      </c>
      <c r="H1503" s="7">
        <f>IFERROR(_xlfn.XLOOKUP(tbl_Ventes[[#This Row],[Cde_Prdt]], tbl_Produits[Cde_Prdt], tbl_Produits[Coût Moyen Portion]), 0)</f>
        <v>0</v>
      </c>
      <c r="I1503" s="7">
        <f>tbl_Ventes[[#This Row],[Qté Vendue]] * tbl_Ventes[[#This Row],[CMP_par_portion]]</f>
        <v>0</v>
      </c>
      <c r="J1503" s="7">
        <f>tbl_Ventes[[#This Row],[CA ligne]] - tbl_Ventes[[#This Row],[Coût matière ligne]]</f>
        <v>0</v>
      </c>
      <c r="K1503" s="7" t="str">
        <f>IFERROR(INDEX(tbl_ProduitsRef[Famille], MATCH(tbl_Ventes[[#This Row],[Cde_Prdt]], tbl_Produits[Cde_Prdt], 0)), "")</f>
        <v/>
      </c>
    </row>
    <row r="1504" spans="1:11" x14ac:dyDescent="0.25">
      <c r="A1504" s="5"/>
      <c r="B1504" s="63" t="str">
        <f>IFERROR(TEXT(tbl_Ventes[[#This Row],[Date]],"mm-aaaa"),"")</f>
        <v>01-1900</v>
      </c>
      <c r="D1504" s="10" t="str">
        <f>IFERROR(
   INDEX(tbl_ProduitsRef[Cde_Prdt],MATCH(tbl_Ventes[[#This Row],[Produit]],tbl_ProduitsRef[Produit],0)),
   ""
)</f>
        <v/>
      </c>
      <c r="E1504" s="7">
        <v>0</v>
      </c>
      <c r="F1504" s="7" t="str">
        <f>IFERROR(
   INDEX(tbl_ProduitsRef[Prix Menu],MATCH(tbl_Ventes[[#This Row],[Produit]],tbl_ProduitsRef[Produit],0)),
   ""
)</f>
        <v/>
      </c>
      <c r="G1504" s="7">
        <f>tbl_Ventes[[#This Row],[Qté Vendue]] * IFERROR(_xlfn.XLOOKUP(tbl_Ventes[[#This Row],[Cde_Prdt]], tbl_Produits[Cde_Prdt], tbl_Produits[Prix Menu]), 0)</f>
        <v>0</v>
      </c>
      <c r="H1504" s="7">
        <f>IFERROR(_xlfn.XLOOKUP(tbl_Ventes[[#This Row],[Cde_Prdt]], tbl_Produits[Cde_Prdt], tbl_Produits[Coût Moyen Portion]), 0)</f>
        <v>0</v>
      </c>
      <c r="I1504" s="7">
        <f>tbl_Ventes[[#This Row],[Qté Vendue]] * tbl_Ventes[[#This Row],[CMP_par_portion]]</f>
        <v>0</v>
      </c>
      <c r="J1504" s="7">
        <f>tbl_Ventes[[#This Row],[CA ligne]] - tbl_Ventes[[#This Row],[Coût matière ligne]]</f>
        <v>0</v>
      </c>
      <c r="K1504" s="7" t="str">
        <f>IFERROR(INDEX(tbl_ProduitsRef[Famille], MATCH(tbl_Ventes[[#This Row],[Cde_Prdt]], tbl_Produits[Cde_Prdt], 0)), "")</f>
        <v/>
      </c>
    </row>
    <row r="1505" spans="1:11" x14ac:dyDescent="0.25">
      <c r="A1505" s="5"/>
      <c r="B1505" s="63" t="str">
        <f>IFERROR(TEXT(tbl_Ventes[[#This Row],[Date]],"mm-aaaa"),"")</f>
        <v>01-1900</v>
      </c>
      <c r="D1505" s="10" t="str">
        <f>IFERROR(
   INDEX(tbl_ProduitsRef[Cde_Prdt],MATCH(tbl_Ventes[[#This Row],[Produit]],tbl_ProduitsRef[Produit],0)),
   ""
)</f>
        <v/>
      </c>
      <c r="E1505" s="7">
        <v>0</v>
      </c>
      <c r="F1505" s="7" t="str">
        <f>IFERROR(
   INDEX(tbl_ProduitsRef[Prix Menu],MATCH(tbl_Ventes[[#This Row],[Produit]],tbl_ProduitsRef[Produit],0)),
   ""
)</f>
        <v/>
      </c>
      <c r="G1505" s="7">
        <f>tbl_Ventes[[#This Row],[Qté Vendue]] * IFERROR(_xlfn.XLOOKUP(tbl_Ventes[[#This Row],[Cde_Prdt]], tbl_Produits[Cde_Prdt], tbl_Produits[Prix Menu]), 0)</f>
        <v>0</v>
      </c>
      <c r="H1505" s="7">
        <f>IFERROR(_xlfn.XLOOKUP(tbl_Ventes[[#This Row],[Cde_Prdt]], tbl_Produits[Cde_Prdt], tbl_Produits[Coût Moyen Portion]), 0)</f>
        <v>0</v>
      </c>
      <c r="I1505" s="7">
        <f>tbl_Ventes[[#This Row],[Qté Vendue]] * tbl_Ventes[[#This Row],[CMP_par_portion]]</f>
        <v>0</v>
      </c>
      <c r="J1505" s="7">
        <f>tbl_Ventes[[#This Row],[CA ligne]] - tbl_Ventes[[#This Row],[Coût matière ligne]]</f>
        <v>0</v>
      </c>
      <c r="K1505" s="7" t="str">
        <f>IFERROR(INDEX(tbl_ProduitsRef[Famille], MATCH(tbl_Ventes[[#This Row],[Cde_Prdt]], tbl_Produits[Cde_Prdt], 0)), "")</f>
        <v/>
      </c>
    </row>
    <row r="1506" spans="1:11" x14ac:dyDescent="0.25">
      <c r="A1506" s="5"/>
      <c r="B1506" s="63" t="str">
        <f>IFERROR(TEXT(tbl_Ventes[[#This Row],[Date]],"mm-aaaa"),"")</f>
        <v>01-1900</v>
      </c>
      <c r="D1506" s="10" t="str">
        <f>IFERROR(
   INDEX(tbl_ProduitsRef[Cde_Prdt],MATCH(tbl_Ventes[[#This Row],[Produit]],tbl_ProduitsRef[Produit],0)),
   ""
)</f>
        <v/>
      </c>
      <c r="E1506" s="7">
        <v>0</v>
      </c>
      <c r="F1506" s="7" t="str">
        <f>IFERROR(
   INDEX(tbl_ProduitsRef[Prix Menu],MATCH(tbl_Ventes[[#This Row],[Produit]],tbl_ProduitsRef[Produit],0)),
   ""
)</f>
        <v/>
      </c>
      <c r="G1506" s="7">
        <f>tbl_Ventes[[#This Row],[Qté Vendue]] * IFERROR(_xlfn.XLOOKUP(tbl_Ventes[[#This Row],[Cde_Prdt]], tbl_Produits[Cde_Prdt], tbl_Produits[Prix Menu]), 0)</f>
        <v>0</v>
      </c>
      <c r="H1506" s="7">
        <f>IFERROR(_xlfn.XLOOKUP(tbl_Ventes[[#This Row],[Cde_Prdt]], tbl_Produits[Cde_Prdt], tbl_Produits[Coût Moyen Portion]), 0)</f>
        <v>0</v>
      </c>
      <c r="I1506" s="7">
        <f>tbl_Ventes[[#This Row],[Qté Vendue]] * tbl_Ventes[[#This Row],[CMP_par_portion]]</f>
        <v>0</v>
      </c>
      <c r="J1506" s="7">
        <f>tbl_Ventes[[#This Row],[CA ligne]] - tbl_Ventes[[#This Row],[Coût matière ligne]]</f>
        <v>0</v>
      </c>
      <c r="K1506" s="7" t="str">
        <f>IFERROR(INDEX(tbl_ProduitsRef[Famille], MATCH(tbl_Ventes[[#This Row],[Cde_Prdt]], tbl_Produits[Cde_Prdt], 0)), "")</f>
        <v/>
      </c>
    </row>
    <row r="1507" spans="1:11" x14ac:dyDescent="0.25">
      <c r="A1507" s="5"/>
      <c r="B1507" s="63" t="str">
        <f>IFERROR(TEXT(tbl_Ventes[[#This Row],[Date]],"mm-aaaa"),"")</f>
        <v>01-1900</v>
      </c>
      <c r="D1507" s="10" t="str">
        <f>IFERROR(
   INDEX(tbl_ProduitsRef[Cde_Prdt],MATCH(tbl_Ventes[[#This Row],[Produit]],tbl_ProduitsRef[Produit],0)),
   ""
)</f>
        <v/>
      </c>
      <c r="E1507" s="7">
        <v>0</v>
      </c>
      <c r="F1507" s="7" t="str">
        <f>IFERROR(
   INDEX(tbl_ProduitsRef[Prix Menu],MATCH(tbl_Ventes[[#This Row],[Produit]],tbl_ProduitsRef[Produit],0)),
   ""
)</f>
        <v/>
      </c>
      <c r="G1507" s="7">
        <f>tbl_Ventes[[#This Row],[Qté Vendue]] * IFERROR(_xlfn.XLOOKUP(tbl_Ventes[[#This Row],[Cde_Prdt]], tbl_Produits[Cde_Prdt], tbl_Produits[Prix Menu]), 0)</f>
        <v>0</v>
      </c>
      <c r="H1507" s="7">
        <f>IFERROR(_xlfn.XLOOKUP(tbl_Ventes[[#This Row],[Cde_Prdt]], tbl_Produits[Cde_Prdt], tbl_Produits[Coût Moyen Portion]), 0)</f>
        <v>0</v>
      </c>
      <c r="I1507" s="7">
        <f>tbl_Ventes[[#This Row],[Qté Vendue]] * tbl_Ventes[[#This Row],[CMP_par_portion]]</f>
        <v>0</v>
      </c>
      <c r="J1507" s="7">
        <f>tbl_Ventes[[#This Row],[CA ligne]] - tbl_Ventes[[#This Row],[Coût matière ligne]]</f>
        <v>0</v>
      </c>
      <c r="K1507" s="7" t="str">
        <f>IFERROR(INDEX(tbl_ProduitsRef[Famille], MATCH(tbl_Ventes[[#This Row],[Cde_Prdt]], tbl_Produits[Cde_Prdt], 0)), "")</f>
        <v/>
      </c>
    </row>
    <row r="1508" spans="1:11" x14ac:dyDescent="0.25">
      <c r="A1508" s="5"/>
      <c r="B1508" s="63" t="str">
        <f>IFERROR(TEXT(tbl_Ventes[[#This Row],[Date]],"mm-aaaa"),"")</f>
        <v>01-1900</v>
      </c>
      <c r="D1508" s="10" t="str">
        <f>IFERROR(
   INDEX(tbl_ProduitsRef[Cde_Prdt],MATCH(tbl_Ventes[[#This Row],[Produit]],tbl_ProduitsRef[Produit],0)),
   ""
)</f>
        <v/>
      </c>
      <c r="E1508" s="7">
        <v>0</v>
      </c>
      <c r="F1508" s="7" t="str">
        <f>IFERROR(
   INDEX(tbl_ProduitsRef[Prix Menu],MATCH(tbl_Ventes[[#This Row],[Produit]],tbl_ProduitsRef[Produit],0)),
   ""
)</f>
        <v/>
      </c>
      <c r="G1508" s="7">
        <f>tbl_Ventes[[#This Row],[Qté Vendue]] * IFERROR(_xlfn.XLOOKUP(tbl_Ventes[[#This Row],[Cde_Prdt]], tbl_Produits[Cde_Prdt], tbl_Produits[Prix Menu]), 0)</f>
        <v>0</v>
      </c>
      <c r="H1508" s="7">
        <f>IFERROR(_xlfn.XLOOKUP(tbl_Ventes[[#This Row],[Cde_Prdt]], tbl_Produits[Cde_Prdt], tbl_Produits[Coût Moyen Portion]), 0)</f>
        <v>0</v>
      </c>
      <c r="I1508" s="7">
        <f>tbl_Ventes[[#This Row],[Qté Vendue]] * tbl_Ventes[[#This Row],[CMP_par_portion]]</f>
        <v>0</v>
      </c>
      <c r="J1508" s="7">
        <f>tbl_Ventes[[#This Row],[CA ligne]] - tbl_Ventes[[#This Row],[Coût matière ligne]]</f>
        <v>0</v>
      </c>
      <c r="K1508" s="7" t="str">
        <f>IFERROR(INDEX(tbl_ProduitsRef[Famille], MATCH(tbl_Ventes[[#This Row],[Cde_Prdt]], tbl_Produits[Cde_Prdt], 0)), "")</f>
        <v/>
      </c>
    </row>
    <row r="1509" spans="1:11" x14ac:dyDescent="0.25">
      <c r="A1509" s="5"/>
      <c r="B1509" s="63" t="str">
        <f>IFERROR(TEXT(tbl_Ventes[[#This Row],[Date]],"mm-aaaa"),"")</f>
        <v>01-1900</v>
      </c>
      <c r="D1509" s="10" t="str">
        <f>IFERROR(
   INDEX(tbl_ProduitsRef[Cde_Prdt],MATCH(tbl_Ventes[[#This Row],[Produit]],tbl_ProduitsRef[Produit],0)),
   ""
)</f>
        <v/>
      </c>
      <c r="E1509" s="7">
        <v>0</v>
      </c>
      <c r="F1509" s="7" t="str">
        <f>IFERROR(
   INDEX(tbl_ProduitsRef[Prix Menu],MATCH(tbl_Ventes[[#This Row],[Produit]],tbl_ProduitsRef[Produit],0)),
   ""
)</f>
        <v/>
      </c>
      <c r="G1509" s="7">
        <f>tbl_Ventes[[#This Row],[Qté Vendue]] * IFERROR(_xlfn.XLOOKUP(tbl_Ventes[[#This Row],[Cde_Prdt]], tbl_Produits[Cde_Prdt], tbl_Produits[Prix Menu]), 0)</f>
        <v>0</v>
      </c>
      <c r="H1509" s="7">
        <f>IFERROR(_xlfn.XLOOKUP(tbl_Ventes[[#This Row],[Cde_Prdt]], tbl_Produits[Cde_Prdt], tbl_Produits[Coût Moyen Portion]), 0)</f>
        <v>0</v>
      </c>
      <c r="I1509" s="7">
        <f>tbl_Ventes[[#This Row],[Qté Vendue]] * tbl_Ventes[[#This Row],[CMP_par_portion]]</f>
        <v>0</v>
      </c>
      <c r="J1509" s="7">
        <f>tbl_Ventes[[#This Row],[CA ligne]] - tbl_Ventes[[#This Row],[Coût matière ligne]]</f>
        <v>0</v>
      </c>
      <c r="K1509" s="7" t="str">
        <f>IFERROR(INDEX(tbl_ProduitsRef[Famille], MATCH(tbl_Ventes[[#This Row],[Cde_Prdt]], tbl_Produits[Cde_Prdt], 0)), "")</f>
        <v/>
      </c>
    </row>
    <row r="1510" spans="1:11" x14ac:dyDescent="0.25">
      <c r="A1510" s="5"/>
      <c r="B1510" s="63" t="str">
        <f>IFERROR(TEXT(tbl_Ventes[[#This Row],[Date]],"mm-aaaa"),"")</f>
        <v>01-1900</v>
      </c>
      <c r="D1510" s="10" t="str">
        <f>IFERROR(
   INDEX(tbl_ProduitsRef[Cde_Prdt],MATCH(tbl_Ventes[[#This Row],[Produit]],tbl_ProduitsRef[Produit],0)),
   ""
)</f>
        <v/>
      </c>
      <c r="E1510" s="7">
        <v>0</v>
      </c>
      <c r="F1510" s="7" t="str">
        <f>IFERROR(
   INDEX(tbl_ProduitsRef[Prix Menu],MATCH(tbl_Ventes[[#This Row],[Produit]],tbl_ProduitsRef[Produit],0)),
   ""
)</f>
        <v/>
      </c>
      <c r="G1510" s="7">
        <f>tbl_Ventes[[#This Row],[Qté Vendue]] * IFERROR(_xlfn.XLOOKUP(tbl_Ventes[[#This Row],[Cde_Prdt]], tbl_Produits[Cde_Prdt], tbl_Produits[Prix Menu]), 0)</f>
        <v>0</v>
      </c>
      <c r="H1510" s="7">
        <f>IFERROR(_xlfn.XLOOKUP(tbl_Ventes[[#This Row],[Cde_Prdt]], tbl_Produits[Cde_Prdt], tbl_Produits[Coût Moyen Portion]), 0)</f>
        <v>0</v>
      </c>
      <c r="I1510" s="7">
        <f>tbl_Ventes[[#This Row],[Qté Vendue]] * tbl_Ventes[[#This Row],[CMP_par_portion]]</f>
        <v>0</v>
      </c>
      <c r="J1510" s="7">
        <f>tbl_Ventes[[#This Row],[CA ligne]] - tbl_Ventes[[#This Row],[Coût matière ligne]]</f>
        <v>0</v>
      </c>
      <c r="K1510" s="7" t="str">
        <f>IFERROR(INDEX(tbl_ProduitsRef[Famille], MATCH(tbl_Ventes[[#This Row],[Cde_Prdt]], tbl_Produits[Cde_Prdt], 0)), "")</f>
        <v/>
      </c>
    </row>
    <row r="1511" spans="1:11" x14ac:dyDescent="0.25">
      <c r="A1511" s="5"/>
      <c r="B1511" s="63" t="str">
        <f>IFERROR(TEXT(tbl_Ventes[[#This Row],[Date]],"mm-aaaa"),"")</f>
        <v>01-1900</v>
      </c>
      <c r="D1511" s="10" t="str">
        <f>IFERROR(
   INDEX(tbl_ProduitsRef[Cde_Prdt],MATCH(tbl_Ventes[[#This Row],[Produit]],tbl_ProduitsRef[Produit],0)),
   ""
)</f>
        <v/>
      </c>
      <c r="E1511" s="7">
        <v>0</v>
      </c>
      <c r="F1511" s="7" t="str">
        <f>IFERROR(
   INDEX(tbl_ProduitsRef[Prix Menu],MATCH(tbl_Ventes[[#This Row],[Produit]],tbl_ProduitsRef[Produit],0)),
   ""
)</f>
        <v/>
      </c>
      <c r="G1511" s="7">
        <f>tbl_Ventes[[#This Row],[Qté Vendue]] * IFERROR(_xlfn.XLOOKUP(tbl_Ventes[[#This Row],[Cde_Prdt]], tbl_Produits[Cde_Prdt], tbl_Produits[Prix Menu]), 0)</f>
        <v>0</v>
      </c>
      <c r="H1511" s="7">
        <f>IFERROR(_xlfn.XLOOKUP(tbl_Ventes[[#This Row],[Cde_Prdt]], tbl_Produits[Cde_Prdt], tbl_Produits[Coût Moyen Portion]), 0)</f>
        <v>0</v>
      </c>
      <c r="I1511" s="7">
        <f>tbl_Ventes[[#This Row],[Qté Vendue]] * tbl_Ventes[[#This Row],[CMP_par_portion]]</f>
        <v>0</v>
      </c>
      <c r="J1511" s="7">
        <f>tbl_Ventes[[#This Row],[CA ligne]] - tbl_Ventes[[#This Row],[Coût matière ligne]]</f>
        <v>0</v>
      </c>
      <c r="K1511" s="7" t="str">
        <f>IFERROR(INDEX(tbl_ProduitsRef[Famille], MATCH(tbl_Ventes[[#This Row],[Cde_Prdt]], tbl_Produits[Cde_Prdt], 0)), "")</f>
        <v/>
      </c>
    </row>
    <row r="1512" spans="1:11" x14ac:dyDescent="0.25">
      <c r="A1512" s="5"/>
      <c r="B1512" s="63" t="str">
        <f>IFERROR(TEXT(tbl_Ventes[[#This Row],[Date]],"mm-aaaa"),"")</f>
        <v>01-1900</v>
      </c>
      <c r="D1512" s="10" t="str">
        <f>IFERROR(
   INDEX(tbl_ProduitsRef[Cde_Prdt],MATCH(tbl_Ventes[[#This Row],[Produit]],tbl_ProduitsRef[Produit],0)),
   ""
)</f>
        <v/>
      </c>
      <c r="E1512" s="7">
        <v>0</v>
      </c>
      <c r="F1512" s="7" t="str">
        <f>IFERROR(
   INDEX(tbl_ProduitsRef[Prix Menu],MATCH(tbl_Ventes[[#This Row],[Produit]],tbl_ProduitsRef[Produit],0)),
   ""
)</f>
        <v/>
      </c>
      <c r="G1512" s="7">
        <f>tbl_Ventes[[#This Row],[Qté Vendue]] * IFERROR(_xlfn.XLOOKUP(tbl_Ventes[[#This Row],[Cde_Prdt]], tbl_Produits[Cde_Prdt], tbl_Produits[Prix Menu]), 0)</f>
        <v>0</v>
      </c>
      <c r="H1512" s="7">
        <f>IFERROR(_xlfn.XLOOKUP(tbl_Ventes[[#This Row],[Cde_Prdt]], tbl_Produits[Cde_Prdt], tbl_Produits[Coût Moyen Portion]), 0)</f>
        <v>0</v>
      </c>
      <c r="I1512" s="7">
        <f>tbl_Ventes[[#This Row],[Qté Vendue]] * tbl_Ventes[[#This Row],[CMP_par_portion]]</f>
        <v>0</v>
      </c>
      <c r="J1512" s="7">
        <f>tbl_Ventes[[#This Row],[CA ligne]] - tbl_Ventes[[#This Row],[Coût matière ligne]]</f>
        <v>0</v>
      </c>
      <c r="K1512" s="7" t="str">
        <f>IFERROR(INDEX(tbl_ProduitsRef[Famille], MATCH(tbl_Ventes[[#This Row],[Cde_Prdt]], tbl_Produits[Cde_Prdt], 0)), "")</f>
        <v/>
      </c>
    </row>
    <row r="1513" spans="1:11" x14ac:dyDescent="0.25">
      <c r="A1513" s="5"/>
      <c r="B1513" s="63" t="str">
        <f>IFERROR(TEXT(tbl_Ventes[[#This Row],[Date]],"mm-aaaa"),"")</f>
        <v>01-1900</v>
      </c>
      <c r="D1513" s="10" t="str">
        <f>IFERROR(
   INDEX(tbl_ProduitsRef[Cde_Prdt],MATCH(tbl_Ventes[[#This Row],[Produit]],tbl_ProduitsRef[Produit],0)),
   ""
)</f>
        <v/>
      </c>
      <c r="E1513" s="7">
        <v>0</v>
      </c>
      <c r="F1513" s="7" t="str">
        <f>IFERROR(
   INDEX(tbl_ProduitsRef[Prix Menu],MATCH(tbl_Ventes[[#This Row],[Produit]],tbl_ProduitsRef[Produit],0)),
   ""
)</f>
        <v/>
      </c>
      <c r="G1513" s="7">
        <f>tbl_Ventes[[#This Row],[Qté Vendue]] * IFERROR(_xlfn.XLOOKUP(tbl_Ventes[[#This Row],[Cde_Prdt]], tbl_Produits[Cde_Prdt], tbl_Produits[Prix Menu]), 0)</f>
        <v>0</v>
      </c>
      <c r="H1513" s="7">
        <f>IFERROR(_xlfn.XLOOKUP(tbl_Ventes[[#This Row],[Cde_Prdt]], tbl_Produits[Cde_Prdt], tbl_Produits[Coût Moyen Portion]), 0)</f>
        <v>0</v>
      </c>
      <c r="I1513" s="7">
        <f>tbl_Ventes[[#This Row],[Qté Vendue]] * tbl_Ventes[[#This Row],[CMP_par_portion]]</f>
        <v>0</v>
      </c>
      <c r="J1513" s="7">
        <f>tbl_Ventes[[#This Row],[CA ligne]] - tbl_Ventes[[#This Row],[Coût matière ligne]]</f>
        <v>0</v>
      </c>
      <c r="K1513" s="7" t="str">
        <f>IFERROR(INDEX(tbl_ProduitsRef[Famille], MATCH(tbl_Ventes[[#This Row],[Cde_Prdt]], tbl_Produits[Cde_Prdt], 0)), "")</f>
        <v/>
      </c>
    </row>
    <row r="1514" spans="1:11" x14ac:dyDescent="0.25">
      <c r="A1514" s="5"/>
      <c r="B1514" s="63" t="str">
        <f>IFERROR(TEXT(tbl_Ventes[[#This Row],[Date]],"mm-aaaa"),"")</f>
        <v>01-1900</v>
      </c>
      <c r="D1514" s="10" t="str">
        <f>IFERROR(
   INDEX(tbl_ProduitsRef[Cde_Prdt],MATCH(tbl_Ventes[[#This Row],[Produit]],tbl_ProduitsRef[Produit],0)),
   ""
)</f>
        <v/>
      </c>
      <c r="E1514" s="7">
        <v>0</v>
      </c>
      <c r="F1514" s="7" t="str">
        <f>IFERROR(
   INDEX(tbl_ProduitsRef[Prix Menu],MATCH(tbl_Ventes[[#This Row],[Produit]],tbl_ProduitsRef[Produit],0)),
   ""
)</f>
        <v/>
      </c>
      <c r="G1514" s="7">
        <f>tbl_Ventes[[#This Row],[Qté Vendue]] * IFERROR(_xlfn.XLOOKUP(tbl_Ventes[[#This Row],[Cde_Prdt]], tbl_Produits[Cde_Prdt], tbl_Produits[Prix Menu]), 0)</f>
        <v>0</v>
      </c>
      <c r="H1514" s="7">
        <f>IFERROR(_xlfn.XLOOKUP(tbl_Ventes[[#This Row],[Cde_Prdt]], tbl_Produits[Cde_Prdt], tbl_Produits[Coût Moyen Portion]), 0)</f>
        <v>0</v>
      </c>
      <c r="I1514" s="7">
        <f>tbl_Ventes[[#This Row],[Qté Vendue]] * tbl_Ventes[[#This Row],[CMP_par_portion]]</f>
        <v>0</v>
      </c>
      <c r="J1514" s="7">
        <f>tbl_Ventes[[#This Row],[CA ligne]] - tbl_Ventes[[#This Row],[Coût matière ligne]]</f>
        <v>0</v>
      </c>
      <c r="K1514" s="7" t="str">
        <f>IFERROR(INDEX(tbl_ProduitsRef[Famille], MATCH(tbl_Ventes[[#This Row],[Cde_Prdt]], tbl_Produits[Cde_Prdt], 0)), "")</f>
        <v/>
      </c>
    </row>
    <row r="1515" spans="1:11" x14ac:dyDescent="0.25">
      <c r="A1515" s="5"/>
      <c r="B1515" s="63" t="str">
        <f>IFERROR(TEXT(tbl_Ventes[[#This Row],[Date]],"mm-aaaa"),"")</f>
        <v>01-1900</v>
      </c>
      <c r="D1515" s="10" t="str">
        <f>IFERROR(
   INDEX(tbl_ProduitsRef[Cde_Prdt],MATCH(tbl_Ventes[[#This Row],[Produit]],tbl_ProduitsRef[Produit],0)),
   ""
)</f>
        <v/>
      </c>
      <c r="E1515" s="7">
        <v>0</v>
      </c>
      <c r="F1515" s="7" t="str">
        <f>IFERROR(
   INDEX(tbl_ProduitsRef[Prix Menu],MATCH(tbl_Ventes[[#This Row],[Produit]],tbl_ProduitsRef[Produit],0)),
   ""
)</f>
        <v/>
      </c>
      <c r="G1515" s="7">
        <f>tbl_Ventes[[#This Row],[Qté Vendue]] * IFERROR(_xlfn.XLOOKUP(tbl_Ventes[[#This Row],[Cde_Prdt]], tbl_Produits[Cde_Prdt], tbl_Produits[Prix Menu]), 0)</f>
        <v>0</v>
      </c>
      <c r="H1515" s="7">
        <f>IFERROR(_xlfn.XLOOKUP(tbl_Ventes[[#This Row],[Cde_Prdt]], tbl_Produits[Cde_Prdt], tbl_Produits[Coût Moyen Portion]), 0)</f>
        <v>0</v>
      </c>
      <c r="I1515" s="7">
        <f>tbl_Ventes[[#This Row],[Qté Vendue]] * tbl_Ventes[[#This Row],[CMP_par_portion]]</f>
        <v>0</v>
      </c>
      <c r="J1515" s="7">
        <f>tbl_Ventes[[#This Row],[CA ligne]] - tbl_Ventes[[#This Row],[Coût matière ligne]]</f>
        <v>0</v>
      </c>
      <c r="K1515" s="7" t="str">
        <f>IFERROR(INDEX(tbl_ProduitsRef[Famille], MATCH(tbl_Ventes[[#This Row],[Cde_Prdt]], tbl_Produits[Cde_Prdt], 0)), "")</f>
        <v/>
      </c>
    </row>
    <row r="1516" spans="1:11" x14ac:dyDescent="0.25">
      <c r="A1516" s="5"/>
      <c r="B1516" s="63" t="str">
        <f>IFERROR(TEXT(tbl_Ventes[[#This Row],[Date]],"mm-aaaa"),"")</f>
        <v>01-1900</v>
      </c>
      <c r="D1516" s="10" t="str">
        <f>IFERROR(
   INDEX(tbl_ProduitsRef[Cde_Prdt],MATCH(tbl_Ventes[[#This Row],[Produit]],tbl_ProduitsRef[Produit],0)),
   ""
)</f>
        <v/>
      </c>
      <c r="E1516" s="7">
        <v>0</v>
      </c>
      <c r="F1516" s="7" t="str">
        <f>IFERROR(
   INDEX(tbl_ProduitsRef[Prix Menu],MATCH(tbl_Ventes[[#This Row],[Produit]],tbl_ProduitsRef[Produit],0)),
   ""
)</f>
        <v/>
      </c>
      <c r="G1516" s="7">
        <f>tbl_Ventes[[#This Row],[Qté Vendue]] * IFERROR(_xlfn.XLOOKUP(tbl_Ventes[[#This Row],[Cde_Prdt]], tbl_Produits[Cde_Prdt], tbl_Produits[Prix Menu]), 0)</f>
        <v>0</v>
      </c>
      <c r="H1516" s="7">
        <f>IFERROR(_xlfn.XLOOKUP(tbl_Ventes[[#This Row],[Cde_Prdt]], tbl_Produits[Cde_Prdt], tbl_Produits[Coût Moyen Portion]), 0)</f>
        <v>0</v>
      </c>
      <c r="I1516" s="7">
        <f>tbl_Ventes[[#This Row],[Qté Vendue]] * tbl_Ventes[[#This Row],[CMP_par_portion]]</f>
        <v>0</v>
      </c>
      <c r="J1516" s="7">
        <f>tbl_Ventes[[#This Row],[CA ligne]] - tbl_Ventes[[#This Row],[Coût matière ligne]]</f>
        <v>0</v>
      </c>
      <c r="K1516" s="7" t="str">
        <f>IFERROR(INDEX(tbl_ProduitsRef[Famille], MATCH(tbl_Ventes[[#This Row],[Cde_Prdt]], tbl_Produits[Cde_Prdt], 0)), "")</f>
        <v/>
      </c>
    </row>
    <row r="1517" spans="1:11" x14ac:dyDescent="0.25">
      <c r="A1517" s="5"/>
      <c r="B1517" s="63" t="str">
        <f>IFERROR(TEXT(tbl_Ventes[[#This Row],[Date]],"mm-aaaa"),"")</f>
        <v>01-1900</v>
      </c>
      <c r="D1517" s="10" t="str">
        <f>IFERROR(
   INDEX(tbl_ProduitsRef[Cde_Prdt],MATCH(tbl_Ventes[[#This Row],[Produit]],tbl_ProduitsRef[Produit],0)),
   ""
)</f>
        <v/>
      </c>
      <c r="E1517" s="7">
        <v>0</v>
      </c>
      <c r="F1517" s="7" t="str">
        <f>IFERROR(
   INDEX(tbl_ProduitsRef[Prix Menu],MATCH(tbl_Ventes[[#This Row],[Produit]],tbl_ProduitsRef[Produit],0)),
   ""
)</f>
        <v/>
      </c>
      <c r="G1517" s="7">
        <f>tbl_Ventes[[#This Row],[Qté Vendue]] * IFERROR(_xlfn.XLOOKUP(tbl_Ventes[[#This Row],[Cde_Prdt]], tbl_Produits[Cde_Prdt], tbl_Produits[Prix Menu]), 0)</f>
        <v>0</v>
      </c>
      <c r="H1517" s="7">
        <f>IFERROR(_xlfn.XLOOKUP(tbl_Ventes[[#This Row],[Cde_Prdt]], tbl_Produits[Cde_Prdt], tbl_Produits[Coût Moyen Portion]), 0)</f>
        <v>0</v>
      </c>
      <c r="I1517" s="7">
        <f>tbl_Ventes[[#This Row],[Qté Vendue]] * tbl_Ventes[[#This Row],[CMP_par_portion]]</f>
        <v>0</v>
      </c>
      <c r="J1517" s="7">
        <f>tbl_Ventes[[#This Row],[CA ligne]] - tbl_Ventes[[#This Row],[Coût matière ligne]]</f>
        <v>0</v>
      </c>
      <c r="K1517" s="7" t="str">
        <f>IFERROR(INDEX(tbl_ProduitsRef[Famille], MATCH(tbl_Ventes[[#This Row],[Cde_Prdt]], tbl_Produits[Cde_Prdt], 0)), "")</f>
        <v/>
      </c>
    </row>
    <row r="1518" spans="1:11" x14ac:dyDescent="0.25">
      <c r="A1518" s="5"/>
      <c r="B1518" s="63" t="str">
        <f>IFERROR(TEXT(tbl_Ventes[[#This Row],[Date]],"mm-aaaa"),"")</f>
        <v>01-1900</v>
      </c>
      <c r="D1518" s="10" t="str">
        <f>IFERROR(
   INDEX(tbl_ProduitsRef[Cde_Prdt],MATCH(tbl_Ventes[[#This Row],[Produit]],tbl_ProduitsRef[Produit],0)),
   ""
)</f>
        <v/>
      </c>
      <c r="E1518" s="7">
        <v>0</v>
      </c>
      <c r="F1518" s="7" t="str">
        <f>IFERROR(
   INDEX(tbl_ProduitsRef[Prix Menu],MATCH(tbl_Ventes[[#This Row],[Produit]],tbl_ProduitsRef[Produit],0)),
   ""
)</f>
        <v/>
      </c>
      <c r="G1518" s="7">
        <f>tbl_Ventes[[#This Row],[Qté Vendue]] * IFERROR(_xlfn.XLOOKUP(tbl_Ventes[[#This Row],[Cde_Prdt]], tbl_Produits[Cde_Prdt], tbl_Produits[Prix Menu]), 0)</f>
        <v>0</v>
      </c>
      <c r="H1518" s="7">
        <f>IFERROR(_xlfn.XLOOKUP(tbl_Ventes[[#This Row],[Cde_Prdt]], tbl_Produits[Cde_Prdt], tbl_Produits[Coût Moyen Portion]), 0)</f>
        <v>0</v>
      </c>
      <c r="I1518" s="7">
        <f>tbl_Ventes[[#This Row],[Qté Vendue]] * tbl_Ventes[[#This Row],[CMP_par_portion]]</f>
        <v>0</v>
      </c>
      <c r="J1518" s="7">
        <f>tbl_Ventes[[#This Row],[CA ligne]] - tbl_Ventes[[#This Row],[Coût matière ligne]]</f>
        <v>0</v>
      </c>
      <c r="K1518" s="7" t="str">
        <f>IFERROR(INDEX(tbl_ProduitsRef[Famille], MATCH(tbl_Ventes[[#This Row],[Cde_Prdt]], tbl_Produits[Cde_Prdt], 0)), "")</f>
        <v/>
      </c>
    </row>
    <row r="1519" spans="1:11" x14ac:dyDescent="0.25">
      <c r="A1519" s="5"/>
      <c r="B1519" s="63" t="str">
        <f>IFERROR(TEXT(tbl_Ventes[[#This Row],[Date]],"mm-aaaa"),"")</f>
        <v>01-1900</v>
      </c>
      <c r="D1519" s="10" t="str">
        <f>IFERROR(
   INDEX(tbl_ProduitsRef[Cde_Prdt],MATCH(tbl_Ventes[[#This Row],[Produit]],tbl_ProduitsRef[Produit],0)),
   ""
)</f>
        <v/>
      </c>
      <c r="E1519" s="7">
        <v>0</v>
      </c>
      <c r="F1519" s="7" t="str">
        <f>IFERROR(
   INDEX(tbl_ProduitsRef[Prix Menu],MATCH(tbl_Ventes[[#This Row],[Produit]],tbl_ProduitsRef[Produit],0)),
   ""
)</f>
        <v/>
      </c>
      <c r="G1519" s="7">
        <f>tbl_Ventes[[#This Row],[Qté Vendue]] * IFERROR(_xlfn.XLOOKUP(tbl_Ventes[[#This Row],[Cde_Prdt]], tbl_Produits[Cde_Prdt], tbl_Produits[Prix Menu]), 0)</f>
        <v>0</v>
      </c>
      <c r="H1519" s="7">
        <f>IFERROR(_xlfn.XLOOKUP(tbl_Ventes[[#This Row],[Cde_Prdt]], tbl_Produits[Cde_Prdt], tbl_Produits[Coût Moyen Portion]), 0)</f>
        <v>0</v>
      </c>
      <c r="I1519" s="7">
        <f>tbl_Ventes[[#This Row],[Qté Vendue]] * tbl_Ventes[[#This Row],[CMP_par_portion]]</f>
        <v>0</v>
      </c>
      <c r="J1519" s="7">
        <f>tbl_Ventes[[#This Row],[CA ligne]] - tbl_Ventes[[#This Row],[Coût matière ligne]]</f>
        <v>0</v>
      </c>
      <c r="K1519" s="7" t="str">
        <f>IFERROR(INDEX(tbl_ProduitsRef[Famille], MATCH(tbl_Ventes[[#This Row],[Cde_Prdt]], tbl_Produits[Cde_Prdt], 0)), "")</f>
        <v/>
      </c>
    </row>
    <row r="1520" spans="1:11" x14ac:dyDescent="0.25">
      <c r="A1520" s="5"/>
      <c r="B1520" s="63" t="str">
        <f>IFERROR(TEXT(tbl_Ventes[[#This Row],[Date]],"mm-aaaa"),"")</f>
        <v>01-1900</v>
      </c>
      <c r="D1520" s="10" t="str">
        <f>IFERROR(
   INDEX(tbl_ProduitsRef[Cde_Prdt],MATCH(tbl_Ventes[[#This Row],[Produit]],tbl_ProduitsRef[Produit],0)),
   ""
)</f>
        <v/>
      </c>
      <c r="E1520" s="7">
        <v>0</v>
      </c>
      <c r="F1520" s="7" t="str">
        <f>IFERROR(
   INDEX(tbl_ProduitsRef[Prix Menu],MATCH(tbl_Ventes[[#This Row],[Produit]],tbl_ProduitsRef[Produit],0)),
   ""
)</f>
        <v/>
      </c>
      <c r="G1520" s="7">
        <f>tbl_Ventes[[#This Row],[Qté Vendue]] * IFERROR(_xlfn.XLOOKUP(tbl_Ventes[[#This Row],[Cde_Prdt]], tbl_Produits[Cde_Prdt], tbl_Produits[Prix Menu]), 0)</f>
        <v>0</v>
      </c>
      <c r="H1520" s="7">
        <f>IFERROR(_xlfn.XLOOKUP(tbl_Ventes[[#This Row],[Cde_Prdt]], tbl_Produits[Cde_Prdt], tbl_Produits[Coût Moyen Portion]), 0)</f>
        <v>0</v>
      </c>
      <c r="I1520" s="7">
        <f>tbl_Ventes[[#This Row],[Qté Vendue]] * tbl_Ventes[[#This Row],[CMP_par_portion]]</f>
        <v>0</v>
      </c>
      <c r="J1520" s="7">
        <f>tbl_Ventes[[#This Row],[CA ligne]] - tbl_Ventes[[#This Row],[Coût matière ligne]]</f>
        <v>0</v>
      </c>
      <c r="K1520" s="7" t="str">
        <f>IFERROR(INDEX(tbl_ProduitsRef[Famille], MATCH(tbl_Ventes[[#This Row],[Cde_Prdt]], tbl_Produits[Cde_Prdt], 0)), "")</f>
        <v/>
      </c>
    </row>
    <row r="1521" spans="1:11" x14ac:dyDescent="0.25">
      <c r="A1521" s="5"/>
      <c r="B1521" s="63" t="str">
        <f>IFERROR(TEXT(tbl_Ventes[[#This Row],[Date]],"mm-aaaa"),"")</f>
        <v>01-1900</v>
      </c>
      <c r="D1521" s="10" t="str">
        <f>IFERROR(
   INDEX(tbl_ProduitsRef[Cde_Prdt],MATCH(tbl_Ventes[[#This Row],[Produit]],tbl_ProduitsRef[Produit],0)),
   ""
)</f>
        <v/>
      </c>
      <c r="E1521" s="7">
        <v>0</v>
      </c>
      <c r="F1521" s="7" t="str">
        <f>IFERROR(
   INDEX(tbl_ProduitsRef[Prix Menu],MATCH(tbl_Ventes[[#This Row],[Produit]],tbl_ProduitsRef[Produit],0)),
   ""
)</f>
        <v/>
      </c>
      <c r="G1521" s="7">
        <f>tbl_Ventes[[#This Row],[Qté Vendue]] * IFERROR(_xlfn.XLOOKUP(tbl_Ventes[[#This Row],[Cde_Prdt]], tbl_Produits[Cde_Prdt], tbl_Produits[Prix Menu]), 0)</f>
        <v>0</v>
      </c>
      <c r="H1521" s="7">
        <f>IFERROR(_xlfn.XLOOKUP(tbl_Ventes[[#This Row],[Cde_Prdt]], tbl_Produits[Cde_Prdt], tbl_Produits[Coût Moyen Portion]), 0)</f>
        <v>0</v>
      </c>
      <c r="I1521" s="7">
        <f>tbl_Ventes[[#This Row],[Qté Vendue]] * tbl_Ventes[[#This Row],[CMP_par_portion]]</f>
        <v>0</v>
      </c>
      <c r="J1521" s="7">
        <f>tbl_Ventes[[#This Row],[CA ligne]] - tbl_Ventes[[#This Row],[Coût matière ligne]]</f>
        <v>0</v>
      </c>
      <c r="K1521" s="7" t="str">
        <f>IFERROR(INDEX(tbl_ProduitsRef[Famille], MATCH(tbl_Ventes[[#This Row],[Cde_Prdt]], tbl_Produits[Cde_Prdt], 0)), "")</f>
        <v/>
      </c>
    </row>
    <row r="1522" spans="1:11" x14ac:dyDescent="0.25">
      <c r="A1522" s="5"/>
      <c r="B1522" s="63" t="str">
        <f>IFERROR(TEXT(tbl_Ventes[[#This Row],[Date]],"mm-aaaa"),"")</f>
        <v>01-1900</v>
      </c>
      <c r="D1522" s="10" t="str">
        <f>IFERROR(
   INDEX(tbl_ProduitsRef[Cde_Prdt],MATCH(tbl_Ventes[[#This Row],[Produit]],tbl_ProduitsRef[Produit],0)),
   ""
)</f>
        <v/>
      </c>
      <c r="E1522" s="7">
        <v>0</v>
      </c>
      <c r="F1522" s="7" t="str">
        <f>IFERROR(
   INDEX(tbl_ProduitsRef[Prix Menu],MATCH(tbl_Ventes[[#This Row],[Produit]],tbl_ProduitsRef[Produit],0)),
   ""
)</f>
        <v/>
      </c>
      <c r="G1522" s="7">
        <f>tbl_Ventes[[#This Row],[Qté Vendue]] * IFERROR(_xlfn.XLOOKUP(tbl_Ventes[[#This Row],[Cde_Prdt]], tbl_Produits[Cde_Prdt], tbl_Produits[Prix Menu]), 0)</f>
        <v>0</v>
      </c>
      <c r="H1522" s="7">
        <f>IFERROR(_xlfn.XLOOKUP(tbl_Ventes[[#This Row],[Cde_Prdt]], tbl_Produits[Cde_Prdt], tbl_Produits[Coût Moyen Portion]), 0)</f>
        <v>0</v>
      </c>
      <c r="I1522" s="7">
        <f>tbl_Ventes[[#This Row],[Qté Vendue]] * tbl_Ventes[[#This Row],[CMP_par_portion]]</f>
        <v>0</v>
      </c>
      <c r="J1522" s="7">
        <f>tbl_Ventes[[#This Row],[CA ligne]] - tbl_Ventes[[#This Row],[Coût matière ligne]]</f>
        <v>0</v>
      </c>
      <c r="K1522" s="7" t="str">
        <f>IFERROR(INDEX(tbl_ProduitsRef[Famille], MATCH(tbl_Ventes[[#This Row],[Cde_Prdt]], tbl_Produits[Cde_Prdt], 0)), "")</f>
        <v/>
      </c>
    </row>
    <row r="1523" spans="1:11" x14ac:dyDescent="0.25">
      <c r="A1523" s="5"/>
      <c r="B1523" s="63" t="str">
        <f>IFERROR(TEXT(tbl_Ventes[[#This Row],[Date]],"mm-aaaa"),"")</f>
        <v>01-1900</v>
      </c>
      <c r="D1523" s="10" t="str">
        <f>IFERROR(
   INDEX(tbl_ProduitsRef[Cde_Prdt],MATCH(tbl_Ventes[[#This Row],[Produit]],tbl_ProduitsRef[Produit],0)),
   ""
)</f>
        <v/>
      </c>
      <c r="E1523" s="7">
        <v>0</v>
      </c>
      <c r="F1523" s="7" t="str">
        <f>IFERROR(
   INDEX(tbl_ProduitsRef[Prix Menu],MATCH(tbl_Ventes[[#This Row],[Produit]],tbl_ProduitsRef[Produit],0)),
   ""
)</f>
        <v/>
      </c>
      <c r="G1523" s="7">
        <f>tbl_Ventes[[#This Row],[Qté Vendue]] * IFERROR(_xlfn.XLOOKUP(tbl_Ventes[[#This Row],[Cde_Prdt]], tbl_Produits[Cde_Prdt], tbl_Produits[Prix Menu]), 0)</f>
        <v>0</v>
      </c>
      <c r="H1523" s="7">
        <f>IFERROR(_xlfn.XLOOKUP(tbl_Ventes[[#This Row],[Cde_Prdt]], tbl_Produits[Cde_Prdt], tbl_Produits[Coût Moyen Portion]), 0)</f>
        <v>0</v>
      </c>
      <c r="I1523" s="7">
        <f>tbl_Ventes[[#This Row],[Qté Vendue]] * tbl_Ventes[[#This Row],[CMP_par_portion]]</f>
        <v>0</v>
      </c>
      <c r="J1523" s="7">
        <f>tbl_Ventes[[#This Row],[CA ligne]] - tbl_Ventes[[#This Row],[Coût matière ligne]]</f>
        <v>0</v>
      </c>
      <c r="K1523" s="7" t="str">
        <f>IFERROR(INDEX(tbl_ProduitsRef[Famille], MATCH(tbl_Ventes[[#This Row],[Cde_Prdt]], tbl_Produits[Cde_Prdt], 0)), "")</f>
        <v/>
      </c>
    </row>
    <row r="1524" spans="1:11" x14ac:dyDescent="0.25">
      <c r="A1524" s="5"/>
      <c r="B1524" s="63" t="str">
        <f>IFERROR(TEXT(tbl_Ventes[[#This Row],[Date]],"mm-aaaa"),"")</f>
        <v>01-1900</v>
      </c>
      <c r="D1524" s="10" t="str">
        <f>IFERROR(
   INDEX(tbl_ProduitsRef[Cde_Prdt],MATCH(tbl_Ventes[[#This Row],[Produit]],tbl_ProduitsRef[Produit],0)),
   ""
)</f>
        <v/>
      </c>
      <c r="E1524" s="7">
        <v>0</v>
      </c>
      <c r="F1524" s="7" t="str">
        <f>IFERROR(
   INDEX(tbl_ProduitsRef[Prix Menu],MATCH(tbl_Ventes[[#This Row],[Produit]],tbl_ProduitsRef[Produit],0)),
   ""
)</f>
        <v/>
      </c>
      <c r="G1524" s="7">
        <f>tbl_Ventes[[#This Row],[Qté Vendue]] * IFERROR(_xlfn.XLOOKUP(tbl_Ventes[[#This Row],[Cde_Prdt]], tbl_Produits[Cde_Prdt], tbl_Produits[Prix Menu]), 0)</f>
        <v>0</v>
      </c>
      <c r="H1524" s="7">
        <f>IFERROR(_xlfn.XLOOKUP(tbl_Ventes[[#This Row],[Cde_Prdt]], tbl_Produits[Cde_Prdt], tbl_Produits[Coût Moyen Portion]), 0)</f>
        <v>0</v>
      </c>
      <c r="I1524" s="7">
        <f>tbl_Ventes[[#This Row],[Qté Vendue]] * tbl_Ventes[[#This Row],[CMP_par_portion]]</f>
        <v>0</v>
      </c>
      <c r="J1524" s="7">
        <f>tbl_Ventes[[#This Row],[CA ligne]] - tbl_Ventes[[#This Row],[Coût matière ligne]]</f>
        <v>0</v>
      </c>
      <c r="K1524" s="7" t="str">
        <f>IFERROR(INDEX(tbl_ProduitsRef[Famille], MATCH(tbl_Ventes[[#This Row],[Cde_Prdt]], tbl_Produits[Cde_Prdt], 0)), "")</f>
        <v/>
      </c>
    </row>
    <row r="1525" spans="1:11" x14ac:dyDescent="0.25">
      <c r="A1525" s="5"/>
      <c r="B1525" s="63" t="str">
        <f>IFERROR(TEXT(tbl_Ventes[[#This Row],[Date]],"mm-aaaa"),"")</f>
        <v>01-1900</v>
      </c>
      <c r="D1525" s="10" t="str">
        <f>IFERROR(
   INDEX(tbl_ProduitsRef[Cde_Prdt],MATCH(tbl_Ventes[[#This Row],[Produit]],tbl_ProduitsRef[Produit],0)),
   ""
)</f>
        <v/>
      </c>
      <c r="E1525" s="7">
        <v>0</v>
      </c>
      <c r="F1525" s="7" t="str">
        <f>IFERROR(
   INDEX(tbl_ProduitsRef[Prix Menu],MATCH(tbl_Ventes[[#This Row],[Produit]],tbl_ProduitsRef[Produit],0)),
   ""
)</f>
        <v/>
      </c>
      <c r="G1525" s="7">
        <f>tbl_Ventes[[#This Row],[Qté Vendue]] * IFERROR(_xlfn.XLOOKUP(tbl_Ventes[[#This Row],[Cde_Prdt]], tbl_Produits[Cde_Prdt], tbl_Produits[Prix Menu]), 0)</f>
        <v>0</v>
      </c>
      <c r="H1525" s="7">
        <f>IFERROR(_xlfn.XLOOKUP(tbl_Ventes[[#This Row],[Cde_Prdt]], tbl_Produits[Cde_Prdt], tbl_Produits[Coût Moyen Portion]), 0)</f>
        <v>0</v>
      </c>
      <c r="I1525" s="7">
        <f>tbl_Ventes[[#This Row],[Qté Vendue]] * tbl_Ventes[[#This Row],[CMP_par_portion]]</f>
        <v>0</v>
      </c>
      <c r="J1525" s="7">
        <f>tbl_Ventes[[#This Row],[CA ligne]] - tbl_Ventes[[#This Row],[Coût matière ligne]]</f>
        <v>0</v>
      </c>
      <c r="K1525" s="7" t="str">
        <f>IFERROR(INDEX(tbl_ProduitsRef[Famille], MATCH(tbl_Ventes[[#This Row],[Cde_Prdt]], tbl_Produits[Cde_Prdt], 0)), "")</f>
        <v/>
      </c>
    </row>
    <row r="1526" spans="1:11" x14ac:dyDescent="0.25">
      <c r="A1526" s="5"/>
      <c r="B1526" s="63" t="str">
        <f>IFERROR(TEXT(tbl_Ventes[[#This Row],[Date]],"mm-aaaa"),"")</f>
        <v>01-1900</v>
      </c>
      <c r="D1526" s="10" t="str">
        <f>IFERROR(
   INDEX(tbl_ProduitsRef[Cde_Prdt],MATCH(tbl_Ventes[[#This Row],[Produit]],tbl_ProduitsRef[Produit],0)),
   ""
)</f>
        <v/>
      </c>
      <c r="E1526" s="7">
        <v>0</v>
      </c>
      <c r="F1526" s="7" t="str">
        <f>IFERROR(
   INDEX(tbl_ProduitsRef[Prix Menu],MATCH(tbl_Ventes[[#This Row],[Produit]],tbl_ProduitsRef[Produit],0)),
   ""
)</f>
        <v/>
      </c>
      <c r="G1526" s="7">
        <f>tbl_Ventes[[#This Row],[Qté Vendue]] * IFERROR(_xlfn.XLOOKUP(tbl_Ventes[[#This Row],[Cde_Prdt]], tbl_Produits[Cde_Prdt], tbl_Produits[Prix Menu]), 0)</f>
        <v>0</v>
      </c>
      <c r="H1526" s="7">
        <f>IFERROR(_xlfn.XLOOKUP(tbl_Ventes[[#This Row],[Cde_Prdt]], tbl_Produits[Cde_Prdt], tbl_Produits[Coût Moyen Portion]), 0)</f>
        <v>0</v>
      </c>
      <c r="I1526" s="7">
        <f>tbl_Ventes[[#This Row],[Qté Vendue]] * tbl_Ventes[[#This Row],[CMP_par_portion]]</f>
        <v>0</v>
      </c>
      <c r="J1526" s="7">
        <f>tbl_Ventes[[#This Row],[CA ligne]] - tbl_Ventes[[#This Row],[Coût matière ligne]]</f>
        <v>0</v>
      </c>
      <c r="K1526" s="7" t="str">
        <f>IFERROR(INDEX(tbl_ProduitsRef[Famille], MATCH(tbl_Ventes[[#This Row],[Cde_Prdt]], tbl_Produits[Cde_Prdt], 0)), "")</f>
        <v/>
      </c>
    </row>
    <row r="1527" spans="1:11" x14ac:dyDescent="0.25">
      <c r="A1527" s="5"/>
      <c r="B1527" s="63" t="str">
        <f>IFERROR(TEXT(tbl_Ventes[[#This Row],[Date]],"mm-aaaa"),"")</f>
        <v>01-1900</v>
      </c>
      <c r="D1527" s="10" t="str">
        <f>IFERROR(
   INDEX(tbl_ProduitsRef[Cde_Prdt],MATCH(tbl_Ventes[[#This Row],[Produit]],tbl_ProduitsRef[Produit],0)),
   ""
)</f>
        <v/>
      </c>
      <c r="E1527" s="7">
        <v>0</v>
      </c>
      <c r="F1527" s="7" t="str">
        <f>IFERROR(
   INDEX(tbl_ProduitsRef[Prix Menu],MATCH(tbl_Ventes[[#This Row],[Produit]],tbl_ProduitsRef[Produit],0)),
   ""
)</f>
        <v/>
      </c>
      <c r="G1527" s="7">
        <f>tbl_Ventes[[#This Row],[Qté Vendue]] * IFERROR(_xlfn.XLOOKUP(tbl_Ventes[[#This Row],[Cde_Prdt]], tbl_Produits[Cde_Prdt], tbl_Produits[Prix Menu]), 0)</f>
        <v>0</v>
      </c>
      <c r="H1527" s="7">
        <f>IFERROR(_xlfn.XLOOKUP(tbl_Ventes[[#This Row],[Cde_Prdt]], tbl_Produits[Cde_Prdt], tbl_Produits[Coût Moyen Portion]), 0)</f>
        <v>0</v>
      </c>
      <c r="I1527" s="7">
        <f>tbl_Ventes[[#This Row],[Qté Vendue]] * tbl_Ventes[[#This Row],[CMP_par_portion]]</f>
        <v>0</v>
      </c>
      <c r="J1527" s="7">
        <f>tbl_Ventes[[#This Row],[CA ligne]] - tbl_Ventes[[#This Row],[Coût matière ligne]]</f>
        <v>0</v>
      </c>
      <c r="K1527" s="7" t="str">
        <f>IFERROR(INDEX(tbl_ProduitsRef[Famille], MATCH(tbl_Ventes[[#This Row],[Cde_Prdt]], tbl_Produits[Cde_Prdt], 0)), "")</f>
        <v/>
      </c>
    </row>
    <row r="1528" spans="1:11" x14ac:dyDescent="0.25">
      <c r="A1528" s="5"/>
      <c r="B1528" s="63" t="str">
        <f>IFERROR(TEXT(tbl_Ventes[[#This Row],[Date]],"mm-aaaa"),"")</f>
        <v>01-1900</v>
      </c>
      <c r="D1528" s="10" t="str">
        <f>IFERROR(
   INDEX(tbl_ProduitsRef[Cde_Prdt],MATCH(tbl_Ventes[[#This Row],[Produit]],tbl_ProduitsRef[Produit],0)),
   ""
)</f>
        <v/>
      </c>
      <c r="E1528" s="7">
        <v>0</v>
      </c>
      <c r="F1528" s="7" t="str">
        <f>IFERROR(
   INDEX(tbl_ProduitsRef[Prix Menu],MATCH(tbl_Ventes[[#This Row],[Produit]],tbl_ProduitsRef[Produit],0)),
   ""
)</f>
        <v/>
      </c>
      <c r="G1528" s="7">
        <f>tbl_Ventes[[#This Row],[Qté Vendue]] * IFERROR(_xlfn.XLOOKUP(tbl_Ventes[[#This Row],[Cde_Prdt]], tbl_Produits[Cde_Prdt], tbl_Produits[Prix Menu]), 0)</f>
        <v>0</v>
      </c>
      <c r="H1528" s="7">
        <f>IFERROR(_xlfn.XLOOKUP(tbl_Ventes[[#This Row],[Cde_Prdt]], tbl_Produits[Cde_Prdt], tbl_Produits[Coût Moyen Portion]), 0)</f>
        <v>0</v>
      </c>
      <c r="I1528" s="7">
        <f>tbl_Ventes[[#This Row],[Qté Vendue]] * tbl_Ventes[[#This Row],[CMP_par_portion]]</f>
        <v>0</v>
      </c>
      <c r="J1528" s="7">
        <f>tbl_Ventes[[#This Row],[CA ligne]] - tbl_Ventes[[#This Row],[Coût matière ligne]]</f>
        <v>0</v>
      </c>
      <c r="K1528" s="7" t="str">
        <f>IFERROR(INDEX(tbl_ProduitsRef[Famille], MATCH(tbl_Ventes[[#This Row],[Cde_Prdt]], tbl_Produits[Cde_Prdt], 0)), "")</f>
        <v/>
      </c>
    </row>
    <row r="1529" spans="1:11" x14ac:dyDescent="0.25">
      <c r="A1529" s="5"/>
      <c r="B1529" s="63" t="str">
        <f>IFERROR(TEXT(tbl_Ventes[[#This Row],[Date]],"mm-aaaa"),"")</f>
        <v>01-1900</v>
      </c>
      <c r="D1529" s="10" t="str">
        <f>IFERROR(
   INDEX(tbl_ProduitsRef[Cde_Prdt],MATCH(tbl_Ventes[[#This Row],[Produit]],tbl_ProduitsRef[Produit],0)),
   ""
)</f>
        <v/>
      </c>
      <c r="E1529" s="7">
        <v>0</v>
      </c>
      <c r="F1529" s="7" t="str">
        <f>IFERROR(
   INDEX(tbl_ProduitsRef[Prix Menu],MATCH(tbl_Ventes[[#This Row],[Produit]],tbl_ProduitsRef[Produit],0)),
   ""
)</f>
        <v/>
      </c>
      <c r="G1529" s="7">
        <f>tbl_Ventes[[#This Row],[Qté Vendue]] * IFERROR(_xlfn.XLOOKUP(tbl_Ventes[[#This Row],[Cde_Prdt]], tbl_Produits[Cde_Prdt], tbl_Produits[Prix Menu]), 0)</f>
        <v>0</v>
      </c>
      <c r="H1529" s="7">
        <f>IFERROR(_xlfn.XLOOKUP(tbl_Ventes[[#This Row],[Cde_Prdt]], tbl_Produits[Cde_Prdt], tbl_Produits[Coût Moyen Portion]), 0)</f>
        <v>0</v>
      </c>
      <c r="I1529" s="7">
        <f>tbl_Ventes[[#This Row],[Qté Vendue]] * tbl_Ventes[[#This Row],[CMP_par_portion]]</f>
        <v>0</v>
      </c>
      <c r="J1529" s="7">
        <f>tbl_Ventes[[#This Row],[CA ligne]] - tbl_Ventes[[#This Row],[Coût matière ligne]]</f>
        <v>0</v>
      </c>
      <c r="K1529" s="7" t="str">
        <f>IFERROR(INDEX(tbl_ProduitsRef[Famille], MATCH(tbl_Ventes[[#This Row],[Cde_Prdt]], tbl_Produits[Cde_Prdt], 0)), "")</f>
        <v/>
      </c>
    </row>
    <row r="1530" spans="1:11" x14ac:dyDescent="0.25">
      <c r="A1530" s="5"/>
      <c r="B1530" s="63" t="str">
        <f>IFERROR(TEXT(tbl_Ventes[[#This Row],[Date]],"mm-aaaa"),"")</f>
        <v>01-1900</v>
      </c>
      <c r="D1530" s="10" t="str">
        <f>IFERROR(
   INDEX(tbl_ProduitsRef[Cde_Prdt],MATCH(tbl_Ventes[[#This Row],[Produit]],tbl_ProduitsRef[Produit],0)),
   ""
)</f>
        <v/>
      </c>
      <c r="E1530" s="7">
        <v>0</v>
      </c>
      <c r="F1530" s="7" t="str">
        <f>IFERROR(
   INDEX(tbl_ProduitsRef[Prix Menu],MATCH(tbl_Ventes[[#This Row],[Produit]],tbl_ProduitsRef[Produit],0)),
   ""
)</f>
        <v/>
      </c>
      <c r="G1530" s="7">
        <f>tbl_Ventes[[#This Row],[Qté Vendue]] * IFERROR(_xlfn.XLOOKUP(tbl_Ventes[[#This Row],[Cde_Prdt]], tbl_Produits[Cde_Prdt], tbl_Produits[Prix Menu]), 0)</f>
        <v>0</v>
      </c>
      <c r="H1530" s="7">
        <f>IFERROR(_xlfn.XLOOKUP(tbl_Ventes[[#This Row],[Cde_Prdt]], tbl_Produits[Cde_Prdt], tbl_Produits[Coût Moyen Portion]), 0)</f>
        <v>0</v>
      </c>
      <c r="I1530" s="7">
        <f>tbl_Ventes[[#This Row],[Qté Vendue]] * tbl_Ventes[[#This Row],[CMP_par_portion]]</f>
        <v>0</v>
      </c>
      <c r="J1530" s="7">
        <f>tbl_Ventes[[#This Row],[CA ligne]] - tbl_Ventes[[#This Row],[Coût matière ligne]]</f>
        <v>0</v>
      </c>
      <c r="K1530" s="7" t="str">
        <f>IFERROR(INDEX(tbl_ProduitsRef[Famille], MATCH(tbl_Ventes[[#This Row],[Cde_Prdt]], tbl_Produits[Cde_Prdt], 0)), "")</f>
        <v/>
      </c>
    </row>
    <row r="1531" spans="1:11" x14ac:dyDescent="0.25">
      <c r="A1531" s="5"/>
      <c r="B1531" s="63" t="str">
        <f>IFERROR(TEXT(tbl_Ventes[[#This Row],[Date]],"mm-aaaa"),"")</f>
        <v>01-1900</v>
      </c>
      <c r="D1531" s="10" t="str">
        <f>IFERROR(
   INDEX(tbl_ProduitsRef[Cde_Prdt],MATCH(tbl_Ventes[[#This Row],[Produit]],tbl_ProduitsRef[Produit],0)),
   ""
)</f>
        <v/>
      </c>
      <c r="E1531" s="7">
        <v>0</v>
      </c>
      <c r="F1531" s="7" t="str">
        <f>IFERROR(
   INDEX(tbl_ProduitsRef[Prix Menu],MATCH(tbl_Ventes[[#This Row],[Produit]],tbl_ProduitsRef[Produit],0)),
   ""
)</f>
        <v/>
      </c>
      <c r="G1531" s="7">
        <f>tbl_Ventes[[#This Row],[Qté Vendue]] * IFERROR(_xlfn.XLOOKUP(tbl_Ventes[[#This Row],[Cde_Prdt]], tbl_Produits[Cde_Prdt], tbl_Produits[Prix Menu]), 0)</f>
        <v>0</v>
      </c>
      <c r="H1531" s="7">
        <f>IFERROR(_xlfn.XLOOKUP(tbl_Ventes[[#This Row],[Cde_Prdt]], tbl_Produits[Cde_Prdt], tbl_Produits[Coût Moyen Portion]), 0)</f>
        <v>0</v>
      </c>
      <c r="I1531" s="7">
        <f>tbl_Ventes[[#This Row],[Qté Vendue]] * tbl_Ventes[[#This Row],[CMP_par_portion]]</f>
        <v>0</v>
      </c>
      <c r="J1531" s="7">
        <f>tbl_Ventes[[#This Row],[CA ligne]] - tbl_Ventes[[#This Row],[Coût matière ligne]]</f>
        <v>0</v>
      </c>
      <c r="K1531" s="7" t="str">
        <f>IFERROR(INDEX(tbl_ProduitsRef[Famille], MATCH(tbl_Ventes[[#This Row],[Cde_Prdt]], tbl_Produits[Cde_Prdt], 0)), "")</f>
        <v/>
      </c>
    </row>
    <row r="1532" spans="1:11" x14ac:dyDescent="0.25">
      <c r="A1532" s="5"/>
      <c r="B1532" s="63" t="str">
        <f>IFERROR(TEXT(tbl_Ventes[[#This Row],[Date]],"mm-aaaa"),"")</f>
        <v>01-1900</v>
      </c>
      <c r="D1532" s="10" t="str">
        <f>IFERROR(
   INDEX(tbl_ProduitsRef[Cde_Prdt],MATCH(tbl_Ventes[[#This Row],[Produit]],tbl_ProduitsRef[Produit],0)),
   ""
)</f>
        <v/>
      </c>
      <c r="E1532" s="7">
        <v>0</v>
      </c>
      <c r="F1532" s="7" t="str">
        <f>IFERROR(
   INDEX(tbl_ProduitsRef[Prix Menu],MATCH(tbl_Ventes[[#This Row],[Produit]],tbl_ProduitsRef[Produit],0)),
   ""
)</f>
        <v/>
      </c>
      <c r="G1532" s="7">
        <f>tbl_Ventes[[#This Row],[Qté Vendue]] * IFERROR(_xlfn.XLOOKUP(tbl_Ventes[[#This Row],[Cde_Prdt]], tbl_Produits[Cde_Prdt], tbl_Produits[Prix Menu]), 0)</f>
        <v>0</v>
      </c>
      <c r="H1532" s="7">
        <f>IFERROR(_xlfn.XLOOKUP(tbl_Ventes[[#This Row],[Cde_Prdt]], tbl_Produits[Cde_Prdt], tbl_Produits[Coût Moyen Portion]), 0)</f>
        <v>0</v>
      </c>
      <c r="I1532" s="7">
        <f>tbl_Ventes[[#This Row],[Qté Vendue]] * tbl_Ventes[[#This Row],[CMP_par_portion]]</f>
        <v>0</v>
      </c>
      <c r="J1532" s="7">
        <f>tbl_Ventes[[#This Row],[CA ligne]] - tbl_Ventes[[#This Row],[Coût matière ligne]]</f>
        <v>0</v>
      </c>
      <c r="K1532" s="7" t="str">
        <f>IFERROR(INDEX(tbl_ProduitsRef[Famille], MATCH(tbl_Ventes[[#This Row],[Cde_Prdt]], tbl_Produits[Cde_Prdt], 0)), "")</f>
        <v/>
      </c>
    </row>
    <row r="1533" spans="1:11" x14ac:dyDescent="0.25">
      <c r="A1533" s="5"/>
      <c r="B1533" s="63" t="str">
        <f>IFERROR(TEXT(tbl_Ventes[[#This Row],[Date]],"mm-aaaa"),"")</f>
        <v>01-1900</v>
      </c>
      <c r="D1533" s="10" t="str">
        <f>IFERROR(
   INDEX(tbl_ProduitsRef[Cde_Prdt],MATCH(tbl_Ventes[[#This Row],[Produit]],tbl_ProduitsRef[Produit],0)),
   ""
)</f>
        <v/>
      </c>
      <c r="E1533" s="7">
        <v>0</v>
      </c>
      <c r="F1533" s="7" t="str">
        <f>IFERROR(
   INDEX(tbl_ProduitsRef[Prix Menu],MATCH(tbl_Ventes[[#This Row],[Produit]],tbl_ProduitsRef[Produit],0)),
   ""
)</f>
        <v/>
      </c>
      <c r="G1533" s="7">
        <f>tbl_Ventes[[#This Row],[Qté Vendue]] * IFERROR(_xlfn.XLOOKUP(tbl_Ventes[[#This Row],[Cde_Prdt]], tbl_Produits[Cde_Prdt], tbl_Produits[Prix Menu]), 0)</f>
        <v>0</v>
      </c>
      <c r="H1533" s="7">
        <f>IFERROR(_xlfn.XLOOKUP(tbl_Ventes[[#This Row],[Cde_Prdt]], tbl_Produits[Cde_Prdt], tbl_Produits[Coût Moyen Portion]), 0)</f>
        <v>0</v>
      </c>
      <c r="I1533" s="7">
        <f>tbl_Ventes[[#This Row],[Qté Vendue]] * tbl_Ventes[[#This Row],[CMP_par_portion]]</f>
        <v>0</v>
      </c>
      <c r="J1533" s="7">
        <f>tbl_Ventes[[#This Row],[CA ligne]] - tbl_Ventes[[#This Row],[Coût matière ligne]]</f>
        <v>0</v>
      </c>
      <c r="K1533" s="7" t="str">
        <f>IFERROR(INDEX(tbl_ProduitsRef[Famille], MATCH(tbl_Ventes[[#This Row],[Cde_Prdt]], tbl_Produits[Cde_Prdt], 0)), "")</f>
        <v/>
      </c>
    </row>
    <row r="1534" spans="1:11" x14ac:dyDescent="0.25">
      <c r="A1534" s="5"/>
      <c r="B1534" s="63" t="str">
        <f>IFERROR(TEXT(tbl_Ventes[[#This Row],[Date]],"mm-aaaa"),"")</f>
        <v>01-1900</v>
      </c>
      <c r="D1534" s="10" t="str">
        <f>IFERROR(
   INDEX(tbl_ProduitsRef[Cde_Prdt],MATCH(tbl_Ventes[[#This Row],[Produit]],tbl_ProduitsRef[Produit],0)),
   ""
)</f>
        <v/>
      </c>
      <c r="E1534" s="7">
        <v>0</v>
      </c>
      <c r="F1534" s="7" t="str">
        <f>IFERROR(
   INDEX(tbl_ProduitsRef[Prix Menu],MATCH(tbl_Ventes[[#This Row],[Produit]],tbl_ProduitsRef[Produit],0)),
   ""
)</f>
        <v/>
      </c>
      <c r="G1534" s="7">
        <f>tbl_Ventes[[#This Row],[Qté Vendue]] * IFERROR(_xlfn.XLOOKUP(tbl_Ventes[[#This Row],[Cde_Prdt]], tbl_Produits[Cde_Prdt], tbl_Produits[Prix Menu]), 0)</f>
        <v>0</v>
      </c>
      <c r="H1534" s="7">
        <f>IFERROR(_xlfn.XLOOKUP(tbl_Ventes[[#This Row],[Cde_Prdt]], tbl_Produits[Cde_Prdt], tbl_Produits[Coût Moyen Portion]), 0)</f>
        <v>0</v>
      </c>
      <c r="I1534" s="7">
        <f>tbl_Ventes[[#This Row],[Qté Vendue]] * tbl_Ventes[[#This Row],[CMP_par_portion]]</f>
        <v>0</v>
      </c>
      <c r="J1534" s="7">
        <f>tbl_Ventes[[#This Row],[CA ligne]] - tbl_Ventes[[#This Row],[Coût matière ligne]]</f>
        <v>0</v>
      </c>
      <c r="K1534" s="7" t="str">
        <f>IFERROR(INDEX(tbl_ProduitsRef[Famille], MATCH(tbl_Ventes[[#This Row],[Cde_Prdt]], tbl_Produits[Cde_Prdt], 0)), "")</f>
        <v/>
      </c>
    </row>
    <row r="1535" spans="1:11" x14ac:dyDescent="0.25">
      <c r="A1535" s="5"/>
      <c r="B1535" s="63" t="str">
        <f>IFERROR(TEXT(tbl_Ventes[[#This Row],[Date]],"mm-aaaa"),"")</f>
        <v>01-1900</v>
      </c>
      <c r="D1535" s="10" t="str">
        <f>IFERROR(
   INDEX(tbl_ProduitsRef[Cde_Prdt],MATCH(tbl_Ventes[[#This Row],[Produit]],tbl_ProduitsRef[Produit],0)),
   ""
)</f>
        <v/>
      </c>
      <c r="E1535" s="7">
        <v>0</v>
      </c>
      <c r="F1535" s="7" t="str">
        <f>IFERROR(
   INDEX(tbl_ProduitsRef[Prix Menu],MATCH(tbl_Ventes[[#This Row],[Produit]],tbl_ProduitsRef[Produit],0)),
   ""
)</f>
        <v/>
      </c>
      <c r="G1535" s="7">
        <f>tbl_Ventes[[#This Row],[Qté Vendue]] * IFERROR(_xlfn.XLOOKUP(tbl_Ventes[[#This Row],[Cde_Prdt]], tbl_Produits[Cde_Prdt], tbl_Produits[Prix Menu]), 0)</f>
        <v>0</v>
      </c>
      <c r="H1535" s="7">
        <f>IFERROR(_xlfn.XLOOKUP(tbl_Ventes[[#This Row],[Cde_Prdt]], tbl_Produits[Cde_Prdt], tbl_Produits[Coût Moyen Portion]), 0)</f>
        <v>0</v>
      </c>
      <c r="I1535" s="7">
        <f>tbl_Ventes[[#This Row],[Qté Vendue]] * tbl_Ventes[[#This Row],[CMP_par_portion]]</f>
        <v>0</v>
      </c>
      <c r="J1535" s="7">
        <f>tbl_Ventes[[#This Row],[CA ligne]] - tbl_Ventes[[#This Row],[Coût matière ligne]]</f>
        <v>0</v>
      </c>
      <c r="K1535" s="7" t="str">
        <f>IFERROR(INDEX(tbl_ProduitsRef[Famille], MATCH(tbl_Ventes[[#This Row],[Cde_Prdt]], tbl_Produits[Cde_Prdt], 0)), "")</f>
        <v/>
      </c>
    </row>
    <row r="1536" spans="1:11" x14ac:dyDescent="0.25">
      <c r="A1536" s="5"/>
      <c r="B1536" s="63" t="str">
        <f>IFERROR(TEXT(tbl_Ventes[[#This Row],[Date]],"mm-aaaa"),"")</f>
        <v>01-1900</v>
      </c>
      <c r="D1536" s="10" t="str">
        <f>IFERROR(
   INDEX(tbl_ProduitsRef[Cde_Prdt],MATCH(tbl_Ventes[[#This Row],[Produit]],tbl_ProduitsRef[Produit],0)),
   ""
)</f>
        <v/>
      </c>
      <c r="E1536" s="7">
        <v>0</v>
      </c>
      <c r="F1536" s="7" t="str">
        <f>IFERROR(
   INDEX(tbl_ProduitsRef[Prix Menu],MATCH(tbl_Ventes[[#This Row],[Produit]],tbl_ProduitsRef[Produit],0)),
   ""
)</f>
        <v/>
      </c>
      <c r="G1536" s="7">
        <f>tbl_Ventes[[#This Row],[Qté Vendue]] * IFERROR(_xlfn.XLOOKUP(tbl_Ventes[[#This Row],[Cde_Prdt]], tbl_Produits[Cde_Prdt], tbl_Produits[Prix Menu]), 0)</f>
        <v>0</v>
      </c>
      <c r="H1536" s="7">
        <f>IFERROR(_xlfn.XLOOKUP(tbl_Ventes[[#This Row],[Cde_Prdt]], tbl_Produits[Cde_Prdt], tbl_Produits[Coût Moyen Portion]), 0)</f>
        <v>0</v>
      </c>
      <c r="I1536" s="7">
        <f>tbl_Ventes[[#This Row],[Qté Vendue]] * tbl_Ventes[[#This Row],[CMP_par_portion]]</f>
        <v>0</v>
      </c>
      <c r="J1536" s="7">
        <f>tbl_Ventes[[#This Row],[CA ligne]] - tbl_Ventes[[#This Row],[Coût matière ligne]]</f>
        <v>0</v>
      </c>
      <c r="K1536" s="7" t="str">
        <f>IFERROR(INDEX(tbl_ProduitsRef[Famille], MATCH(tbl_Ventes[[#This Row],[Cde_Prdt]], tbl_Produits[Cde_Prdt], 0)), "")</f>
        <v/>
      </c>
    </row>
    <row r="1537" spans="1:11" x14ac:dyDescent="0.25">
      <c r="A1537" s="5"/>
      <c r="B1537" s="63" t="str">
        <f>IFERROR(TEXT(tbl_Ventes[[#This Row],[Date]],"mm-aaaa"),"")</f>
        <v>01-1900</v>
      </c>
      <c r="D1537" s="10" t="str">
        <f>IFERROR(
   INDEX(tbl_ProduitsRef[Cde_Prdt],MATCH(tbl_Ventes[[#This Row],[Produit]],tbl_ProduitsRef[Produit],0)),
   ""
)</f>
        <v/>
      </c>
      <c r="E1537" s="7">
        <v>0</v>
      </c>
      <c r="F1537" s="7" t="str">
        <f>IFERROR(
   INDEX(tbl_ProduitsRef[Prix Menu],MATCH(tbl_Ventes[[#This Row],[Produit]],tbl_ProduitsRef[Produit],0)),
   ""
)</f>
        <v/>
      </c>
      <c r="G1537" s="7">
        <f>tbl_Ventes[[#This Row],[Qté Vendue]] * IFERROR(_xlfn.XLOOKUP(tbl_Ventes[[#This Row],[Cde_Prdt]], tbl_Produits[Cde_Prdt], tbl_Produits[Prix Menu]), 0)</f>
        <v>0</v>
      </c>
      <c r="H1537" s="7">
        <f>IFERROR(_xlfn.XLOOKUP(tbl_Ventes[[#This Row],[Cde_Prdt]], tbl_Produits[Cde_Prdt], tbl_Produits[Coût Moyen Portion]), 0)</f>
        <v>0</v>
      </c>
      <c r="I1537" s="7">
        <f>tbl_Ventes[[#This Row],[Qté Vendue]] * tbl_Ventes[[#This Row],[CMP_par_portion]]</f>
        <v>0</v>
      </c>
      <c r="J1537" s="7">
        <f>tbl_Ventes[[#This Row],[CA ligne]] - tbl_Ventes[[#This Row],[Coût matière ligne]]</f>
        <v>0</v>
      </c>
      <c r="K1537" s="7" t="str">
        <f>IFERROR(INDEX(tbl_ProduitsRef[Famille], MATCH(tbl_Ventes[[#This Row],[Cde_Prdt]], tbl_Produits[Cde_Prdt], 0)), "")</f>
        <v/>
      </c>
    </row>
    <row r="1538" spans="1:11" x14ac:dyDescent="0.25">
      <c r="A1538" s="5"/>
      <c r="B1538" s="63" t="str">
        <f>IFERROR(TEXT(tbl_Ventes[[#This Row],[Date]],"mm-aaaa"),"")</f>
        <v>01-1900</v>
      </c>
      <c r="D1538" s="10" t="str">
        <f>IFERROR(
   INDEX(tbl_ProduitsRef[Cde_Prdt],MATCH(tbl_Ventes[[#This Row],[Produit]],tbl_ProduitsRef[Produit],0)),
   ""
)</f>
        <v/>
      </c>
      <c r="E1538" s="7">
        <v>0</v>
      </c>
      <c r="F1538" s="7" t="str">
        <f>IFERROR(
   INDEX(tbl_ProduitsRef[Prix Menu],MATCH(tbl_Ventes[[#This Row],[Produit]],tbl_ProduitsRef[Produit],0)),
   ""
)</f>
        <v/>
      </c>
      <c r="G1538" s="7">
        <f>tbl_Ventes[[#This Row],[Qté Vendue]] * IFERROR(_xlfn.XLOOKUP(tbl_Ventes[[#This Row],[Cde_Prdt]], tbl_Produits[Cde_Prdt], tbl_Produits[Prix Menu]), 0)</f>
        <v>0</v>
      </c>
      <c r="H1538" s="7">
        <f>IFERROR(_xlfn.XLOOKUP(tbl_Ventes[[#This Row],[Cde_Prdt]], tbl_Produits[Cde_Prdt], tbl_Produits[Coût Moyen Portion]), 0)</f>
        <v>0</v>
      </c>
      <c r="I1538" s="7">
        <f>tbl_Ventes[[#This Row],[Qté Vendue]] * tbl_Ventes[[#This Row],[CMP_par_portion]]</f>
        <v>0</v>
      </c>
      <c r="J1538" s="7">
        <f>tbl_Ventes[[#This Row],[CA ligne]] - tbl_Ventes[[#This Row],[Coût matière ligne]]</f>
        <v>0</v>
      </c>
      <c r="K1538" s="7" t="str">
        <f>IFERROR(INDEX(tbl_ProduitsRef[Famille], MATCH(tbl_Ventes[[#This Row],[Cde_Prdt]], tbl_Produits[Cde_Prdt], 0)), "")</f>
        <v/>
      </c>
    </row>
    <row r="1539" spans="1:11" x14ac:dyDescent="0.25">
      <c r="A1539" s="5"/>
      <c r="B1539" s="63" t="str">
        <f>IFERROR(TEXT(tbl_Ventes[[#This Row],[Date]],"mm-aaaa"),"")</f>
        <v>01-1900</v>
      </c>
      <c r="D1539" s="10" t="str">
        <f>IFERROR(
   INDEX(tbl_ProduitsRef[Cde_Prdt],MATCH(tbl_Ventes[[#This Row],[Produit]],tbl_ProduitsRef[Produit],0)),
   ""
)</f>
        <v/>
      </c>
      <c r="E1539" s="7">
        <v>0</v>
      </c>
      <c r="F1539" s="7" t="str">
        <f>IFERROR(
   INDEX(tbl_ProduitsRef[Prix Menu],MATCH(tbl_Ventes[[#This Row],[Produit]],tbl_ProduitsRef[Produit],0)),
   ""
)</f>
        <v/>
      </c>
      <c r="G1539" s="7">
        <f>tbl_Ventes[[#This Row],[Qté Vendue]] * IFERROR(_xlfn.XLOOKUP(tbl_Ventes[[#This Row],[Cde_Prdt]], tbl_Produits[Cde_Prdt], tbl_Produits[Prix Menu]), 0)</f>
        <v>0</v>
      </c>
      <c r="H1539" s="7">
        <f>IFERROR(_xlfn.XLOOKUP(tbl_Ventes[[#This Row],[Cde_Prdt]], tbl_Produits[Cde_Prdt], tbl_Produits[Coût Moyen Portion]), 0)</f>
        <v>0</v>
      </c>
      <c r="I1539" s="7">
        <f>tbl_Ventes[[#This Row],[Qté Vendue]] * tbl_Ventes[[#This Row],[CMP_par_portion]]</f>
        <v>0</v>
      </c>
      <c r="J1539" s="7">
        <f>tbl_Ventes[[#This Row],[CA ligne]] - tbl_Ventes[[#This Row],[Coût matière ligne]]</f>
        <v>0</v>
      </c>
      <c r="K1539" s="7" t="str">
        <f>IFERROR(INDEX(tbl_ProduitsRef[Famille], MATCH(tbl_Ventes[[#This Row],[Cde_Prdt]], tbl_Produits[Cde_Prdt], 0)), "")</f>
        <v/>
      </c>
    </row>
    <row r="1540" spans="1:11" x14ac:dyDescent="0.25">
      <c r="A1540" s="5"/>
      <c r="B1540" s="63" t="str">
        <f>IFERROR(TEXT(tbl_Ventes[[#This Row],[Date]],"mm-aaaa"),"")</f>
        <v>01-1900</v>
      </c>
      <c r="D1540" s="10" t="str">
        <f>IFERROR(
   INDEX(tbl_ProduitsRef[Cde_Prdt],MATCH(tbl_Ventes[[#This Row],[Produit]],tbl_ProduitsRef[Produit],0)),
   ""
)</f>
        <v/>
      </c>
      <c r="E1540" s="7">
        <v>0</v>
      </c>
      <c r="F1540" s="7" t="str">
        <f>IFERROR(
   INDEX(tbl_ProduitsRef[Prix Menu],MATCH(tbl_Ventes[[#This Row],[Produit]],tbl_ProduitsRef[Produit],0)),
   ""
)</f>
        <v/>
      </c>
      <c r="G1540" s="7">
        <f>tbl_Ventes[[#This Row],[Qté Vendue]] * IFERROR(_xlfn.XLOOKUP(tbl_Ventes[[#This Row],[Cde_Prdt]], tbl_Produits[Cde_Prdt], tbl_Produits[Prix Menu]), 0)</f>
        <v>0</v>
      </c>
      <c r="H1540" s="7">
        <f>IFERROR(_xlfn.XLOOKUP(tbl_Ventes[[#This Row],[Cde_Prdt]], tbl_Produits[Cde_Prdt], tbl_Produits[Coût Moyen Portion]), 0)</f>
        <v>0</v>
      </c>
      <c r="I1540" s="7">
        <f>tbl_Ventes[[#This Row],[Qté Vendue]] * tbl_Ventes[[#This Row],[CMP_par_portion]]</f>
        <v>0</v>
      </c>
      <c r="J1540" s="7">
        <f>tbl_Ventes[[#This Row],[CA ligne]] - tbl_Ventes[[#This Row],[Coût matière ligne]]</f>
        <v>0</v>
      </c>
      <c r="K1540" s="7" t="str">
        <f>IFERROR(INDEX(tbl_ProduitsRef[Famille], MATCH(tbl_Ventes[[#This Row],[Cde_Prdt]], tbl_Produits[Cde_Prdt], 0)), "")</f>
        <v/>
      </c>
    </row>
    <row r="1541" spans="1:11" x14ac:dyDescent="0.25">
      <c r="A1541" s="5"/>
      <c r="B1541" s="63" t="str">
        <f>IFERROR(TEXT(tbl_Ventes[[#This Row],[Date]],"mm-aaaa"),"")</f>
        <v>01-1900</v>
      </c>
      <c r="D1541" s="10" t="str">
        <f>IFERROR(
   INDEX(tbl_ProduitsRef[Cde_Prdt],MATCH(tbl_Ventes[[#This Row],[Produit]],tbl_ProduitsRef[Produit],0)),
   ""
)</f>
        <v/>
      </c>
      <c r="E1541" s="7">
        <v>0</v>
      </c>
      <c r="F1541" s="7" t="str">
        <f>IFERROR(
   INDEX(tbl_ProduitsRef[Prix Menu],MATCH(tbl_Ventes[[#This Row],[Produit]],tbl_ProduitsRef[Produit],0)),
   ""
)</f>
        <v/>
      </c>
      <c r="G1541" s="7">
        <f>tbl_Ventes[[#This Row],[Qté Vendue]] * IFERROR(_xlfn.XLOOKUP(tbl_Ventes[[#This Row],[Cde_Prdt]], tbl_Produits[Cde_Prdt], tbl_Produits[Prix Menu]), 0)</f>
        <v>0</v>
      </c>
      <c r="H1541" s="7">
        <f>IFERROR(_xlfn.XLOOKUP(tbl_Ventes[[#This Row],[Cde_Prdt]], tbl_Produits[Cde_Prdt], tbl_Produits[Coût Moyen Portion]), 0)</f>
        <v>0</v>
      </c>
      <c r="I1541" s="7">
        <f>tbl_Ventes[[#This Row],[Qté Vendue]] * tbl_Ventes[[#This Row],[CMP_par_portion]]</f>
        <v>0</v>
      </c>
      <c r="J1541" s="7">
        <f>tbl_Ventes[[#This Row],[CA ligne]] - tbl_Ventes[[#This Row],[Coût matière ligne]]</f>
        <v>0</v>
      </c>
      <c r="K1541" s="7" t="str">
        <f>IFERROR(INDEX(tbl_ProduitsRef[Famille], MATCH(tbl_Ventes[[#This Row],[Cde_Prdt]], tbl_Produits[Cde_Prdt], 0)), "")</f>
        <v/>
      </c>
    </row>
    <row r="1542" spans="1:11" x14ac:dyDescent="0.25">
      <c r="A1542" s="5"/>
      <c r="B1542" s="63" t="str">
        <f>IFERROR(TEXT(tbl_Ventes[[#This Row],[Date]],"mm-aaaa"),"")</f>
        <v>01-1900</v>
      </c>
      <c r="D1542" s="10" t="str">
        <f>IFERROR(
   INDEX(tbl_ProduitsRef[Cde_Prdt],MATCH(tbl_Ventes[[#This Row],[Produit]],tbl_ProduitsRef[Produit],0)),
   ""
)</f>
        <v/>
      </c>
      <c r="E1542" s="7">
        <v>0</v>
      </c>
      <c r="F1542" s="7" t="str">
        <f>IFERROR(
   INDEX(tbl_ProduitsRef[Prix Menu],MATCH(tbl_Ventes[[#This Row],[Produit]],tbl_ProduitsRef[Produit],0)),
   ""
)</f>
        <v/>
      </c>
      <c r="G1542" s="7">
        <f>tbl_Ventes[[#This Row],[Qté Vendue]] * IFERROR(_xlfn.XLOOKUP(tbl_Ventes[[#This Row],[Cde_Prdt]], tbl_Produits[Cde_Prdt], tbl_Produits[Prix Menu]), 0)</f>
        <v>0</v>
      </c>
      <c r="H1542" s="7">
        <f>IFERROR(_xlfn.XLOOKUP(tbl_Ventes[[#This Row],[Cde_Prdt]], tbl_Produits[Cde_Prdt], tbl_Produits[Coût Moyen Portion]), 0)</f>
        <v>0</v>
      </c>
      <c r="I1542" s="7">
        <f>tbl_Ventes[[#This Row],[Qté Vendue]] * tbl_Ventes[[#This Row],[CMP_par_portion]]</f>
        <v>0</v>
      </c>
      <c r="J1542" s="7">
        <f>tbl_Ventes[[#This Row],[CA ligne]] - tbl_Ventes[[#This Row],[Coût matière ligne]]</f>
        <v>0</v>
      </c>
      <c r="K1542" s="7" t="str">
        <f>IFERROR(INDEX(tbl_ProduitsRef[Famille], MATCH(tbl_Ventes[[#This Row],[Cde_Prdt]], tbl_Produits[Cde_Prdt], 0)), "")</f>
        <v/>
      </c>
    </row>
    <row r="1543" spans="1:11" x14ac:dyDescent="0.25">
      <c r="A1543" s="5"/>
      <c r="B1543" s="63" t="str">
        <f>IFERROR(TEXT(tbl_Ventes[[#This Row],[Date]],"mm-aaaa"),"")</f>
        <v>01-1900</v>
      </c>
      <c r="D1543" s="10" t="str">
        <f>IFERROR(
   INDEX(tbl_ProduitsRef[Cde_Prdt],MATCH(tbl_Ventes[[#This Row],[Produit]],tbl_ProduitsRef[Produit],0)),
   ""
)</f>
        <v/>
      </c>
      <c r="E1543" s="7">
        <v>0</v>
      </c>
      <c r="F1543" s="7" t="str">
        <f>IFERROR(
   INDEX(tbl_ProduitsRef[Prix Menu],MATCH(tbl_Ventes[[#This Row],[Produit]],tbl_ProduitsRef[Produit],0)),
   ""
)</f>
        <v/>
      </c>
      <c r="G1543" s="7">
        <f>tbl_Ventes[[#This Row],[Qté Vendue]] * IFERROR(_xlfn.XLOOKUP(tbl_Ventes[[#This Row],[Cde_Prdt]], tbl_Produits[Cde_Prdt], tbl_Produits[Prix Menu]), 0)</f>
        <v>0</v>
      </c>
      <c r="H1543" s="7">
        <f>IFERROR(_xlfn.XLOOKUP(tbl_Ventes[[#This Row],[Cde_Prdt]], tbl_Produits[Cde_Prdt], tbl_Produits[Coût Moyen Portion]), 0)</f>
        <v>0</v>
      </c>
      <c r="I1543" s="7">
        <f>tbl_Ventes[[#This Row],[Qté Vendue]] * tbl_Ventes[[#This Row],[CMP_par_portion]]</f>
        <v>0</v>
      </c>
      <c r="J1543" s="7">
        <f>tbl_Ventes[[#This Row],[CA ligne]] - tbl_Ventes[[#This Row],[Coût matière ligne]]</f>
        <v>0</v>
      </c>
      <c r="K1543" s="7" t="str">
        <f>IFERROR(INDEX(tbl_ProduitsRef[Famille], MATCH(tbl_Ventes[[#This Row],[Cde_Prdt]], tbl_Produits[Cde_Prdt], 0)), "")</f>
        <v/>
      </c>
    </row>
    <row r="1544" spans="1:11" x14ac:dyDescent="0.25">
      <c r="A1544" s="5"/>
      <c r="B1544" s="63" t="str">
        <f>IFERROR(TEXT(tbl_Ventes[[#This Row],[Date]],"mm-aaaa"),"")</f>
        <v>01-1900</v>
      </c>
      <c r="D1544" s="10" t="str">
        <f>IFERROR(
   INDEX(tbl_ProduitsRef[Cde_Prdt],MATCH(tbl_Ventes[[#This Row],[Produit]],tbl_ProduitsRef[Produit],0)),
   ""
)</f>
        <v/>
      </c>
      <c r="E1544" s="7">
        <v>0</v>
      </c>
      <c r="F1544" s="7" t="str">
        <f>IFERROR(
   INDEX(tbl_ProduitsRef[Prix Menu],MATCH(tbl_Ventes[[#This Row],[Produit]],tbl_ProduitsRef[Produit],0)),
   ""
)</f>
        <v/>
      </c>
      <c r="G1544" s="7">
        <f>tbl_Ventes[[#This Row],[Qté Vendue]] * IFERROR(_xlfn.XLOOKUP(tbl_Ventes[[#This Row],[Cde_Prdt]], tbl_Produits[Cde_Prdt], tbl_Produits[Prix Menu]), 0)</f>
        <v>0</v>
      </c>
      <c r="H1544" s="7">
        <f>IFERROR(_xlfn.XLOOKUP(tbl_Ventes[[#This Row],[Cde_Prdt]], tbl_Produits[Cde_Prdt], tbl_Produits[Coût Moyen Portion]), 0)</f>
        <v>0</v>
      </c>
      <c r="I1544" s="7">
        <f>tbl_Ventes[[#This Row],[Qté Vendue]] * tbl_Ventes[[#This Row],[CMP_par_portion]]</f>
        <v>0</v>
      </c>
      <c r="J1544" s="7">
        <f>tbl_Ventes[[#This Row],[CA ligne]] - tbl_Ventes[[#This Row],[Coût matière ligne]]</f>
        <v>0</v>
      </c>
      <c r="K1544" s="7" t="str">
        <f>IFERROR(INDEX(tbl_ProduitsRef[Famille], MATCH(tbl_Ventes[[#This Row],[Cde_Prdt]], tbl_Produits[Cde_Prdt], 0)), "")</f>
        <v/>
      </c>
    </row>
    <row r="1545" spans="1:11" x14ac:dyDescent="0.25">
      <c r="A1545" s="5"/>
      <c r="B1545" s="63" t="str">
        <f>IFERROR(TEXT(tbl_Ventes[[#This Row],[Date]],"mm-aaaa"),"")</f>
        <v>01-1900</v>
      </c>
      <c r="D1545" s="10" t="str">
        <f>IFERROR(
   INDEX(tbl_ProduitsRef[Cde_Prdt],MATCH(tbl_Ventes[[#This Row],[Produit]],tbl_ProduitsRef[Produit],0)),
   ""
)</f>
        <v/>
      </c>
      <c r="E1545" s="7">
        <v>0</v>
      </c>
      <c r="F1545" s="7" t="str">
        <f>IFERROR(
   INDEX(tbl_ProduitsRef[Prix Menu],MATCH(tbl_Ventes[[#This Row],[Produit]],tbl_ProduitsRef[Produit],0)),
   ""
)</f>
        <v/>
      </c>
      <c r="G1545" s="7">
        <f>tbl_Ventes[[#This Row],[Qté Vendue]] * IFERROR(_xlfn.XLOOKUP(tbl_Ventes[[#This Row],[Cde_Prdt]], tbl_Produits[Cde_Prdt], tbl_Produits[Prix Menu]), 0)</f>
        <v>0</v>
      </c>
      <c r="H1545" s="7">
        <f>IFERROR(_xlfn.XLOOKUP(tbl_Ventes[[#This Row],[Cde_Prdt]], tbl_Produits[Cde_Prdt], tbl_Produits[Coût Moyen Portion]), 0)</f>
        <v>0</v>
      </c>
      <c r="I1545" s="7">
        <f>tbl_Ventes[[#This Row],[Qté Vendue]] * tbl_Ventes[[#This Row],[CMP_par_portion]]</f>
        <v>0</v>
      </c>
      <c r="J1545" s="7">
        <f>tbl_Ventes[[#This Row],[CA ligne]] - tbl_Ventes[[#This Row],[Coût matière ligne]]</f>
        <v>0</v>
      </c>
      <c r="K1545" s="7" t="str">
        <f>IFERROR(INDEX(tbl_ProduitsRef[Famille], MATCH(tbl_Ventes[[#This Row],[Cde_Prdt]], tbl_Produits[Cde_Prdt], 0)), "")</f>
        <v/>
      </c>
    </row>
    <row r="1546" spans="1:11" x14ac:dyDescent="0.25">
      <c r="A1546" s="5"/>
      <c r="B1546" s="63" t="str">
        <f>IFERROR(TEXT(tbl_Ventes[[#This Row],[Date]],"mm-aaaa"),"")</f>
        <v>01-1900</v>
      </c>
      <c r="D1546" s="10" t="str">
        <f>IFERROR(
   INDEX(tbl_ProduitsRef[Cde_Prdt],MATCH(tbl_Ventes[[#This Row],[Produit]],tbl_ProduitsRef[Produit],0)),
   ""
)</f>
        <v/>
      </c>
      <c r="E1546" s="7">
        <v>0</v>
      </c>
      <c r="F1546" s="7" t="str">
        <f>IFERROR(
   INDEX(tbl_ProduitsRef[Prix Menu],MATCH(tbl_Ventes[[#This Row],[Produit]],tbl_ProduitsRef[Produit],0)),
   ""
)</f>
        <v/>
      </c>
      <c r="G1546" s="7">
        <f>tbl_Ventes[[#This Row],[Qté Vendue]] * IFERROR(_xlfn.XLOOKUP(tbl_Ventes[[#This Row],[Cde_Prdt]], tbl_Produits[Cde_Prdt], tbl_Produits[Prix Menu]), 0)</f>
        <v>0</v>
      </c>
      <c r="H1546" s="7">
        <f>IFERROR(_xlfn.XLOOKUP(tbl_Ventes[[#This Row],[Cde_Prdt]], tbl_Produits[Cde_Prdt], tbl_Produits[Coût Moyen Portion]), 0)</f>
        <v>0</v>
      </c>
      <c r="I1546" s="7">
        <f>tbl_Ventes[[#This Row],[Qté Vendue]] * tbl_Ventes[[#This Row],[CMP_par_portion]]</f>
        <v>0</v>
      </c>
      <c r="J1546" s="7">
        <f>tbl_Ventes[[#This Row],[CA ligne]] - tbl_Ventes[[#This Row],[Coût matière ligne]]</f>
        <v>0</v>
      </c>
      <c r="K1546" s="7" t="str">
        <f>IFERROR(INDEX(tbl_ProduitsRef[Famille], MATCH(tbl_Ventes[[#This Row],[Cde_Prdt]], tbl_Produits[Cde_Prdt], 0)), "")</f>
        <v/>
      </c>
    </row>
    <row r="1547" spans="1:11" x14ac:dyDescent="0.25">
      <c r="A1547" s="5"/>
      <c r="B1547" s="63" t="str">
        <f>IFERROR(TEXT(tbl_Ventes[[#This Row],[Date]],"mm-aaaa"),"")</f>
        <v>01-1900</v>
      </c>
      <c r="D1547" s="10" t="str">
        <f>IFERROR(
   INDEX(tbl_ProduitsRef[Cde_Prdt],MATCH(tbl_Ventes[[#This Row],[Produit]],tbl_ProduitsRef[Produit],0)),
   ""
)</f>
        <v/>
      </c>
      <c r="E1547" s="7">
        <v>0</v>
      </c>
      <c r="F1547" s="7" t="str">
        <f>IFERROR(
   INDEX(tbl_ProduitsRef[Prix Menu],MATCH(tbl_Ventes[[#This Row],[Produit]],tbl_ProduitsRef[Produit],0)),
   ""
)</f>
        <v/>
      </c>
      <c r="G1547" s="7">
        <f>tbl_Ventes[[#This Row],[Qté Vendue]] * IFERROR(_xlfn.XLOOKUP(tbl_Ventes[[#This Row],[Cde_Prdt]], tbl_Produits[Cde_Prdt], tbl_Produits[Prix Menu]), 0)</f>
        <v>0</v>
      </c>
      <c r="H1547" s="7">
        <f>IFERROR(_xlfn.XLOOKUP(tbl_Ventes[[#This Row],[Cde_Prdt]], tbl_Produits[Cde_Prdt], tbl_Produits[Coût Moyen Portion]), 0)</f>
        <v>0</v>
      </c>
      <c r="I1547" s="7">
        <f>tbl_Ventes[[#This Row],[Qté Vendue]] * tbl_Ventes[[#This Row],[CMP_par_portion]]</f>
        <v>0</v>
      </c>
      <c r="J1547" s="7">
        <f>tbl_Ventes[[#This Row],[CA ligne]] - tbl_Ventes[[#This Row],[Coût matière ligne]]</f>
        <v>0</v>
      </c>
      <c r="K1547" s="7" t="str">
        <f>IFERROR(INDEX(tbl_ProduitsRef[Famille], MATCH(tbl_Ventes[[#This Row],[Cde_Prdt]], tbl_Produits[Cde_Prdt], 0)), "")</f>
        <v/>
      </c>
    </row>
    <row r="1548" spans="1:11" x14ac:dyDescent="0.25">
      <c r="A1548" s="5"/>
      <c r="B1548" s="63" t="str">
        <f>IFERROR(TEXT(tbl_Ventes[[#This Row],[Date]],"mm-aaaa"),"")</f>
        <v>01-1900</v>
      </c>
      <c r="D1548" s="10" t="str">
        <f>IFERROR(
   INDEX(tbl_ProduitsRef[Cde_Prdt],MATCH(tbl_Ventes[[#This Row],[Produit]],tbl_ProduitsRef[Produit],0)),
   ""
)</f>
        <v/>
      </c>
      <c r="E1548" s="7">
        <v>0</v>
      </c>
      <c r="F1548" s="7" t="str">
        <f>IFERROR(
   INDEX(tbl_ProduitsRef[Prix Menu],MATCH(tbl_Ventes[[#This Row],[Produit]],tbl_ProduitsRef[Produit],0)),
   ""
)</f>
        <v/>
      </c>
      <c r="G1548" s="7">
        <f>tbl_Ventes[[#This Row],[Qté Vendue]] * IFERROR(_xlfn.XLOOKUP(tbl_Ventes[[#This Row],[Cde_Prdt]], tbl_Produits[Cde_Prdt], tbl_Produits[Prix Menu]), 0)</f>
        <v>0</v>
      </c>
      <c r="H1548" s="7">
        <f>IFERROR(_xlfn.XLOOKUP(tbl_Ventes[[#This Row],[Cde_Prdt]], tbl_Produits[Cde_Prdt], tbl_Produits[Coût Moyen Portion]), 0)</f>
        <v>0</v>
      </c>
      <c r="I1548" s="7">
        <f>tbl_Ventes[[#This Row],[Qté Vendue]] * tbl_Ventes[[#This Row],[CMP_par_portion]]</f>
        <v>0</v>
      </c>
      <c r="J1548" s="7">
        <f>tbl_Ventes[[#This Row],[CA ligne]] - tbl_Ventes[[#This Row],[Coût matière ligne]]</f>
        <v>0</v>
      </c>
      <c r="K1548" s="7" t="str">
        <f>IFERROR(INDEX(tbl_ProduitsRef[Famille], MATCH(tbl_Ventes[[#This Row],[Cde_Prdt]], tbl_Produits[Cde_Prdt], 0)), "")</f>
        <v/>
      </c>
    </row>
    <row r="1549" spans="1:11" x14ac:dyDescent="0.25">
      <c r="A1549" s="5"/>
      <c r="B1549" s="63" t="str">
        <f>IFERROR(TEXT(tbl_Ventes[[#This Row],[Date]],"mm-aaaa"),"")</f>
        <v>01-1900</v>
      </c>
      <c r="D1549" s="10" t="str">
        <f>IFERROR(
   INDEX(tbl_ProduitsRef[Cde_Prdt],MATCH(tbl_Ventes[[#This Row],[Produit]],tbl_ProduitsRef[Produit],0)),
   ""
)</f>
        <v/>
      </c>
      <c r="E1549" s="7">
        <v>0</v>
      </c>
      <c r="F1549" s="7" t="str">
        <f>IFERROR(
   INDEX(tbl_ProduitsRef[Prix Menu],MATCH(tbl_Ventes[[#This Row],[Produit]],tbl_ProduitsRef[Produit],0)),
   ""
)</f>
        <v/>
      </c>
      <c r="G1549" s="7">
        <f>tbl_Ventes[[#This Row],[Qté Vendue]] * IFERROR(_xlfn.XLOOKUP(tbl_Ventes[[#This Row],[Cde_Prdt]], tbl_Produits[Cde_Prdt], tbl_Produits[Prix Menu]), 0)</f>
        <v>0</v>
      </c>
      <c r="H1549" s="7">
        <f>IFERROR(_xlfn.XLOOKUP(tbl_Ventes[[#This Row],[Cde_Prdt]], tbl_Produits[Cde_Prdt], tbl_Produits[Coût Moyen Portion]), 0)</f>
        <v>0</v>
      </c>
      <c r="I1549" s="7">
        <f>tbl_Ventes[[#This Row],[Qté Vendue]] * tbl_Ventes[[#This Row],[CMP_par_portion]]</f>
        <v>0</v>
      </c>
      <c r="J1549" s="7">
        <f>tbl_Ventes[[#This Row],[CA ligne]] - tbl_Ventes[[#This Row],[Coût matière ligne]]</f>
        <v>0</v>
      </c>
      <c r="K1549" s="7" t="str">
        <f>IFERROR(INDEX(tbl_ProduitsRef[Famille], MATCH(tbl_Ventes[[#This Row],[Cde_Prdt]], tbl_Produits[Cde_Prdt], 0)), "")</f>
        <v/>
      </c>
    </row>
    <row r="1550" spans="1:11" x14ac:dyDescent="0.25">
      <c r="A1550" s="5"/>
      <c r="B1550" s="63" t="str">
        <f>IFERROR(TEXT(tbl_Ventes[[#This Row],[Date]],"mm-aaaa"),"")</f>
        <v>01-1900</v>
      </c>
      <c r="D1550" s="10" t="str">
        <f>IFERROR(
   INDEX(tbl_ProduitsRef[Cde_Prdt],MATCH(tbl_Ventes[[#This Row],[Produit]],tbl_ProduitsRef[Produit],0)),
   ""
)</f>
        <v/>
      </c>
      <c r="E1550" s="7">
        <v>0</v>
      </c>
      <c r="F1550" s="7" t="str">
        <f>IFERROR(
   INDEX(tbl_ProduitsRef[Prix Menu],MATCH(tbl_Ventes[[#This Row],[Produit]],tbl_ProduitsRef[Produit],0)),
   ""
)</f>
        <v/>
      </c>
      <c r="G1550" s="7">
        <f>tbl_Ventes[[#This Row],[Qté Vendue]] * IFERROR(_xlfn.XLOOKUP(tbl_Ventes[[#This Row],[Cde_Prdt]], tbl_Produits[Cde_Prdt], tbl_Produits[Prix Menu]), 0)</f>
        <v>0</v>
      </c>
      <c r="H1550" s="7">
        <f>IFERROR(_xlfn.XLOOKUP(tbl_Ventes[[#This Row],[Cde_Prdt]], tbl_Produits[Cde_Prdt], tbl_Produits[Coût Moyen Portion]), 0)</f>
        <v>0</v>
      </c>
      <c r="I1550" s="7">
        <f>tbl_Ventes[[#This Row],[Qté Vendue]] * tbl_Ventes[[#This Row],[CMP_par_portion]]</f>
        <v>0</v>
      </c>
      <c r="J1550" s="7">
        <f>tbl_Ventes[[#This Row],[CA ligne]] - tbl_Ventes[[#This Row],[Coût matière ligne]]</f>
        <v>0</v>
      </c>
      <c r="K1550" s="7" t="str">
        <f>IFERROR(INDEX(tbl_ProduitsRef[Famille], MATCH(tbl_Ventes[[#This Row],[Cde_Prdt]], tbl_Produits[Cde_Prdt], 0)), "")</f>
        <v/>
      </c>
    </row>
    <row r="1551" spans="1:11" x14ac:dyDescent="0.25">
      <c r="A1551" s="5"/>
      <c r="B1551" s="63" t="str">
        <f>IFERROR(TEXT(tbl_Ventes[[#This Row],[Date]],"mm-aaaa"),"")</f>
        <v>01-1900</v>
      </c>
      <c r="D1551" s="10" t="str">
        <f>IFERROR(
   INDEX(tbl_ProduitsRef[Cde_Prdt],MATCH(tbl_Ventes[[#This Row],[Produit]],tbl_ProduitsRef[Produit],0)),
   ""
)</f>
        <v/>
      </c>
      <c r="E1551" s="7">
        <v>0</v>
      </c>
      <c r="F1551" s="7" t="str">
        <f>IFERROR(
   INDEX(tbl_ProduitsRef[Prix Menu],MATCH(tbl_Ventes[[#This Row],[Produit]],tbl_ProduitsRef[Produit],0)),
   ""
)</f>
        <v/>
      </c>
      <c r="G1551" s="7">
        <f>tbl_Ventes[[#This Row],[Qté Vendue]] * IFERROR(_xlfn.XLOOKUP(tbl_Ventes[[#This Row],[Cde_Prdt]], tbl_Produits[Cde_Prdt], tbl_Produits[Prix Menu]), 0)</f>
        <v>0</v>
      </c>
      <c r="H1551" s="7">
        <f>IFERROR(_xlfn.XLOOKUP(tbl_Ventes[[#This Row],[Cde_Prdt]], tbl_Produits[Cde_Prdt], tbl_Produits[Coût Moyen Portion]), 0)</f>
        <v>0</v>
      </c>
      <c r="I1551" s="7">
        <f>tbl_Ventes[[#This Row],[Qté Vendue]] * tbl_Ventes[[#This Row],[CMP_par_portion]]</f>
        <v>0</v>
      </c>
      <c r="J1551" s="7">
        <f>tbl_Ventes[[#This Row],[CA ligne]] - tbl_Ventes[[#This Row],[Coût matière ligne]]</f>
        <v>0</v>
      </c>
      <c r="K1551" s="7" t="str">
        <f>IFERROR(INDEX(tbl_ProduitsRef[Famille], MATCH(tbl_Ventes[[#This Row],[Cde_Prdt]], tbl_Produits[Cde_Prdt], 0)), "")</f>
        <v/>
      </c>
    </row>
    <row r="1552" spans="1:11" x14ac:dyDescent="0.25">
      <c r="A1552" s="5"/>
      <c r="B1552" s="63" t="str">
        <f>IFERROR(TEXT(tbl_Ventes[[#This Row],[Date]],"mm-aaaa"),"")</f>
        <v>01-1900</v>
      </c>
      <c r="D1552" s="10" t="str">
        <f>IFERROR(
   INDEX(tbl_ProduitsRef[Cde_Prdt],MATCH(tbl_Ventes[[#This Row],[Produit]],tbl_ProduitsRef[Produit],0)),
   ""
)</f>
        <v/>
      </c>
      <c r="E1552" s="7">
        <v>0</v>
      </c>
      <c r="F1552" s="7" t="str">
        <f>IFERROR(
   INDEX(tbl_ProduitsRef[Prix Menu],MATCH(tbl_Ventes[[#This Row],[Produit]],tbl_ProduitsRef[Produit],0)),
   ""
)</f>
        <v/>
      </c>
      <c r="G1552" s="7">
        <f>tbl_Ventes[[#This Row],[Qté Vendue]] * IFERROR(_xlfn.XLOOKUP(tbl_Ventes[[#This Row],[Cde_Prdt]], tbl_Produits[Cde_Prdt], tbl_Produits[Prix Menu]), 0)</f>
        <v>0</v>
      </c>
      <c r="H1552" s="7">
        <f>IFERROR(_xlfn.XLOOKUP(tbl_Ventes[[#This Row],[Cde_Prdt]], tbl_Produits[Cde_Prdt], tbl_Produits[Coût Moyen Portion]), 0)</f>
        <v>0</v>
      </c>
      <c r="I1552" s="7">
        <f>tbl_Ventes[[#This Row],[Qté Vendue]] * tbl_Ventes[[#This Row],[CMP_par_portion]]</f>
        <v>0</v>
      </c>
      <c r="J1552" s="7">
        <f>tbl_Ventes[[#This Row],[CA ligne]] - tbl_Ventes[[#This Row],[Coût matière ligne]]</f>
        <v>0</v>
      </c>
      <c r="K1552" s="7" t="str">
        <f>IFERROR(INDEX(tbl_ProduitsRef[Famille], MATCH(tbl_Ventes[[#This Row],[Cde_Prdt]], tbl_Produits[Cde_Prdt], 0)), "")</f>
        <v/>
      </c>
    </row>
    <row r="1553" spans="1:11" x14ac:dyDescent="0.25">
      <c r="A1553" s="5"/>
      <c r="B1553" s="63" t="str">
        <f>IFERROR(TEXT(tbl_Ventes[[#This Row],[Date]],"mm-aaaa"),"")</f>
        <v>01-1900</v>
      </c>
      <c r="D1553" s="10" t="str">
        <f>IFERROR(
   INDEX(tbl_ProduitsRef[Cde_Prdt],MATCH(tbl_Ventes[[#This Row],[Produit]],tbl_ProduitsRef[Produit],0)),
   ""
)</f>
        <v/>
      </c>
      <c r="E1553" s="7">
        <v>0</v>
      </c>
      <c r="F1553" s="7" t="str">
        <f>IFERROR(
   INDEX(tbl_ProduitsRef[Prix Menu],MATCH(tbl_Ventes[[#This Row],[Produit]],tbl_ProduitsRef[Produit],0)),
   ""
)</f>
        <v/>
      </c>
      <c r="G1553" s="7">
        <f>tbl_Ventes[[#This Row],[Qté Vendue]] * IFERROR(_xlfn.XLOOKUP(tbl_Ventes[[#This Row],[Cde_Prdt]], tbl_Produits[Cde_Prdt], tbl_Produits[Prix Menu]), 0)</f>
        <v>0</v>
      </c>
      <c r="H1553" s="7">
        <f>IFERROR(_xlfn.XLOOKUP(tbl_Ventes[[#This Row],[Cde_Prdt]], tbl_Produits[Cde_Prdt], tbl_Produits[Coût Moyen Portion]), 0)</f>
        <v>0</v>
      </c>
      <c r="I1553" s="7">
        <f>tbl_Ventes[[#This Row],[Qté Vendue]] * tbl_Ventes[[#This Row],[CMP_par_portion]]</f>
        <v>0</v>
      </c>
      <c r="J1553" s="7">
        <f>tbl_Ventes[[#This Row],[CA ligne]] - tbl_Ventes[[#This Row],[Coût matière ligne]]</f>
        <v>0</v>
      </c>
      <c r="K1553" s="7" t="str">
        <f>IFERROR(INDEX(tbl_ProduitsRef[Famille], MATCH(tbl_Ventes[[#This Row],[Cde_Prdt]], tbl_Produits[Cde_Prdt], 0)), "")</f>
        <v/>
      </c>
    </row>
    <row r="1554" spans="1:11" x14ac:dyDescent="0.25">
      <c r="A1554" s="5"/>
      <c r="B1554" s="63" t="str">
        <f>IFERROR(TEXT(tbl_Ventes[[#This Row],[Date]],"mm-aaaa"),"")</f>
        <v>01-1900</v>
      </c>
      <c r="D1554" s="10" t="str">
        <f>IFERROR(
   INDEX(tbl_ProduitsRef[Cde_Prdt],MATCH(tbl_Ventes[[#This Row],[Produit]],tbl_ProduitsRef[Produit],0)),
   ""
)</f>
        <v/>
      </c>
      <c r="E1554" s="7">
        <v>0</v>
      </c>
      <c r="F1554" s="7" t="str">
        <f>IFERROR(
   INDEX(tbl_ProduitsRef[Prix Menu],MATCH(tbl_Ventes[[#This Row],[Produit]],tbl_ProduitsRef[Produit],0)),
   ""
)</f>
        <v/>
      </c>
      <c r="G1554" s="7">
        <f>tbl_Ventes[[#This Row],[Qté Vendue]] * IFERROR(_xlfn.XLOOKUP(tbl_Ventes[[#This Row],[Cde_Prdt]], tbl_Produits[Cde_Prdt], tbl_Produits[Prix Menu]), 0)</f>
        <v>0</v>
      </c>
      <c r="H1554" s="7">
        <f>IFERROR(_xlfn.XLOOKUP(tbl_Ventes[[#This Row],[Cde_Prdt]], tbl_Produits[Cde_Prdt], tbl_Produits[Coût Moyen Portion]), 0)</f>
        <v>0</v>
      </c>
      <c r="I1554" s="7">
        <f>tbl_Ventes[[#This Row],[Qté Vendue]] * tbl_Ventes[[#This Row],[CMP_par_portion]]</f>
        <v>0</v>
      </c>
      <c r="J1554" s="7">
        <f>tbl_Ventes[[#This Row],[CA ligne]] - tbl_Ventes[[#This Row],[Coût matière ligne]]</f>
        <v>0</v>
      </c>
      <c r="K1554" s="7" t="str">
        <f>IFERROR(INDEX(tbl_ProduitsRef[Famille], MATCH(tbl_Ventes[[#This Row],[Cde_Prdt]], tbl_Produits[Cde_Prdt], 0)), "")</f>
        <v/>
      </c>
    </row>
    <row r="1555" spans="1:11" x14ac:dyDescent="0.25">
      <c r="A1555" s="5"/>
      <c r="B1555" s="63" t="str">
        <f>IFERROR(TEXT(tbl_Ventes[[#This Row],[Date]],"mm-aaaa"),"")</f>
        <v>01-1900</v>
      </c>
      <c r="D1555" s="10" t="str">
        <f>IFERROR(
   INDEX(tbl_ProduitsRef[Cde_Prdt],MATCH(tbl_Ventes[[#This Row],[Produit]],tbl_ProduitsRef[Produit],0)),
   ""
)</f>
        <v/>
      </c>
      <c r="E1555" s="7">
        <v>0</v>
      </c>
      <c r="F1555" s="7" t="str">
        <f>IFERROR(
   INDEX(tbl_ProduitsRef[Prix Menu],MATCH(tbl_Ventes[[#This Row],[Produit]],tbl_ProduitsRef[Produit],0)),
   ""
)</f>
        <v/>
      </c>
      <c r="G1555" s="7">
        <f>tbl_Ventes[[#This Row],[Qté Vendue]] * IFERROR(_xlfn.XLOOKUP(tbl_Ventes[[#This Row],[Cde_Prdt]], tbl_Produits[Cde_Prdt], tbl_Produits[Prix Menu]), 0)</f>
        <v>0</v>
      </c>
      <c r="H1555" s="7">
        <f>IFERROR(_xlfn.XLOOKUP(tbl_Ventes[[#This Row],[Cde_Prdt]], tbl_Produits[Cde_Prdt], tbl_Produits[Coût Moyen Portion]), 0)</f>
        <v>0</v>
      </c>
      <c r="I1555" s="7">
        <f>tbl_Ventes[[#This Row],[Qté Vendue]] * tbl_Ventes[[#This Row],[CMP_par_portion]]</f>
        <v>0</v>
      </c>
      <c r="J1555" s="7">
        <f>tbl_Ventes[[#This Row],[CA ligne]] - tbl_Ventes[[#This Row],[Coût matière ligne]]</f>
        <v>0</v>
      </c>
      <c r="K1555" s="7" t="str">
        <f>IFERROR(INDEX(tbl_ProduitsRef[Famille], MATCH(tbl_Ventes[[#This Row],[Cde_Prdt]], tbl_Produits[Cde_Prdt], 0)), "")</f>
        <v/>
      </c>
    </row>
    <row r="1556" spans="1:11" x14ac:dyDescent="0.25">
      <c r="A1556" s="5"/>
      <c r="B1556" s="63" t="str">
        <f>IFERROR(TEXT(tbl_Ventes[[#This Row],[Date]],"mm-aaaa"),"")</f>
        <v>01-1900</v>
      </c>
      <c r="D1556" s="10" t="str">
        <f>IFERROR(
   INDEX(tbl_ProduitsRef[Cde_Prdt],MATCH(tbl_Ventes[[#This Row],[Produit]],tbl_ProduitsRef[Produit],0)),
   ""
)</f>
        <v/>
      </c>
      <c r="E1556" s="7">
        <v>0</v>
      </c>
      <c r="F1556" s="7" t="str">
        <f>IFERROR(
   INDEX(tbl_ProduitsRef[Prix Menu],MATCH(tbl_Ventes[[#This Row],[Produit]],tbl_ProduitsRef[Produit],0)),
   ""
)</f>
        <v/>
      </c>
      <c r="G1556" s="7">
        <f>tbl_Ventes[[#This Row],[Qté Vendue]] * IFERROR(_xlfn.XLOOKUP(tbl_Ventes[[#This Row],[Cde_Prdt]], tbl_Produits[Cde_Prdt], tbl_Produits[Prix Menu]), 0)</f>
        <v>0</v>
      </c>
      <c r="H1556" s="7">
        <f>IFERROR(_xlfn.XLOOKUP(tbl_Ventes[[#This Row],[Cde_Prdt]], tbl_Produits[Cde_Prdt], tbl_Produits[Coût Moyen Portion]), 0)</f>
        <v>0</v>
      </c>
      <c r="I1556" s="7">
        <f>tbl_Ventes[[#This Row],[Qté Vendue]] * tbl_Ventes[[#This Row],[CMP_par_portion]]</f>
        <v>0</v>
      </c>
      <c r="J1556" s="7">
        <f>tbl_Ventes[[#This Row],[CA ligne]] - tbl_Ventes[[#This Row],[Coût matière ligne]]</f>
        <v>0</v>
      </c>
      <c r="K1556" s="7" t="str">
        <f>IFERROR(INDEX(tbl_ProduitsRef[Famille], MATCH(tbl_Ventes[[#This Row],[Cde_Prdt]], tbl_Produits[Cde_Prdt], 0)), "")</f>
        <v/>
      </c>
    </row>
    <row r="1557" spans="1:11" x14ac:dyDescent="0.25">
      <c r="A1557" s="5"/>
      <c r="B1557" s="63" t="str">
        <f>IFERROR(TEXT(tbl_Ventes[[#This Row],[Date]],"mm-aaaa"),"")</f>
        <v>01-1900</v>
      </c>
      <c r="D1557" s="10" t="str">
        <f>IFERROR(
   INDEX(tbl_ProduitsRef[Cde_Prdt],MATCH(tbl_Ventes[[#This Row],[Produit]],tbl_ProduitsRef[Produit],0)),
   ""
)</f>
        <v/>
      </c>
      <c r="E1557" s="7">
        <v>0</v>
      </c>
      <c r="F1557" s="7" t="str">
        <f>IFERROR(
   INDEX(tbl_ProduitsRef[Prix Menu],MATCH(tbl_Ventes[[#This Row],[Produit]],tbl_ProduitsRef[Produit],0)),
   ""
)</f>
        <v/>
      </c>
      <c r="G1557" s="7">
        <f>tbl_Ventes[[#This Row],[Qté Vendue]] * IFERROR(_xlfn.XLOOKUP(tbl_Ventes[[#This Row],[Cde_Prdt]], tbl_Produits[Cde_Prdt], tbl_Produits[Prix Menu]), 0)</f>
        <v>0</v>
      </c>
      <c r="H1557" s="7">
        <f>IFERROR(_xlfn.XLOOKUP(tbl_Ventes[[#This Row],[Cde_Prdt]], tbl_Produits[Cde_Prdt], tbl_Produits[Coût Moyen Portion]), 0)</f>
        <v>0</v>
      </c>
      <c r="I1557" s="7">
        <f>tbl_Ventes[[#This Row],[Qté Vendue]] * tbl_Ventes[[#This Row],[CMP_par_portion]]</f>
        <v>0</v>
      </c>
      <c r="J1557" s="7">
        <f>tbl_Ventes[[#This Row],[CA ligne]] - tbl_Ventes[[#This Row],[Coût matière ligne]]</f>
        <v>0</v>
      </c>
      <c r="K1557" s="7" t="str">
        <f>IFERROR(INDEX(tbl_ProduitsRef[Famille], MATCH(tbl_Ventes[[#This Row],[Cde_Prdt]], tbl_Produits[Cde_Prdt], 0)), "")</f>
        <v/>
      </c>
    </row>
    <row r="1558" spans="1:11" x14ac:dyDescent="0.25">
      <c r="A1558" s="5"/>
      <c r="B1558" s="63" t="str">
        <f>IFERROR(TEXT(tbl_Ventes[[#This Row],[Date]],"mm-aaaa"),"")</f>
        <v>01-1900</v>
      </c>
      <c r="D1558" s="10" t="str">
        <f>IFERROR(
   INDEX(tbl_ProduitsRef[Cde_Prdt],MATCH(tbl_Ventes[[#This Row],[Produit]],tbl_ProduitsRef[Produit],0)),
   ""
)</f>
        <v/>
      </c>
      <c r="E1558" s="7">
        <v>0</v>
      </c>
      <c r="F1558" s="7" t="str">
        <f>IFERROR(
   INDEX(tbl_ProduitsRef[Prix Menu],MATCH(tbl_Ventes[[#This Row],[Produit]],tbl_ProduitsRef[Produit],0)),
   ""
)</f>
        <v/>
      </c>
      <c r="G1558" s="7">
        <f>tbl_Ventes[[#This Row],[Qté Vendue]] * IFERROR(_xlfn.XLOOKUP(tbl_Ventes[[#This Row],[Cde_Prdt]], tbl_Produits[Cde_Prdt], tbl_Produits[Prix Menu]), 0)</f>
        <v>0</v>
      </c>
      <c r="H1558" s="7">
        <f>IFERROR(_xlfn.XLOOKUP(tbl_Ventes[[#This Row],[Cde_Prdt]], tbl_Produits[Cde_Prdt], tbl_Produits[Coût Moyen Portion]), 0)</f>
        <v>0</v>
      </c>
      <c r="I1558" s="7">
        <f>tbl_Ventes[[#This Row],[Qté Vendue]] * tbl_Ventes[[#This Row],[CMP_par_portion]]</f>
        <v>0</v>
      </c>
      <c r="J1558" s="7">
        <f>tbl_Ventes[[#This Row],[CA ligne]] - tbl_Ventes[[#This Row],[Coût matière ligne]]</f>
        <v>0</v>
      </c>
      <c r="K1558" s="7" t="str">
        <f>IFERROR(INDEX(tbl_ProduitsRef[Famille], MATCH(tbl_Ventes[[#This Row],[Cde_Prdt]], tbl_Produits[Cde_Prdt], 0)), "")</f>
        <v/>
      </c>
    </row>
    <row r="1559" spans="1:11" x14ac:dyDescent="0.25">
      <c r="A1559" s="5"/>
      <c r="B1559" s="63" t="str">
        <f>IFERROR(TEXT(tbl_Ventes[[#This Row],[Date]],"mm-aaaa"),"")</f>
        <v>01-1900</v>
      </c>
      <c r="D1559" s="10" t="str">
        <f>IFERROR(
   INDEX(tbl_ProduitsRef[Cde_Prdt],MATCH(tbl_Ventes[[#This Row],[Produit]],tbl_ProduitsRef[Produit],0)),
   ""
)</f>
        <v/>
      </c>
      <c r="E1559" s="7">
        <v>0</v>
      </c>
      <c r="F1559" s="7" t="str">
        <f>IFERROR(
   INDEX(tbl_ProduitsRef[Prix Menu],MATCH(tbl_Ventes[[#This Row],[Produit]],tbl_ProduitsRef[Produit],0)),
   ""
)</f>
        <v/>
      </c>
      <c r="G1559" s="7">
        <f>tbl_Ventes[[#This Row],[Qté Vendue]] * IFERROR(_xlfn.XLOOKUP(tbl_Ventes[[#This Row],[Cde_Prdt]], tbl_Produits[Cde_Prdt], tbl_Produits[Prix Menu]), 0)</f>
        <v>0</v>
      </c>
      <c r="H1559" s="7">
        <f>IFERROR(_xlfn.XLOOKUP(tbl_Ventes[[#This Row],[Cde_Prdt]], tbl_Produits[Cde_Prdt], tbl_Produits[Coût Moyen Portion]), 0)</f>
        <v>0</v>
      </c>
      <c r="I1559" s="7">
        <f>tbl_Ventes[[#This Row],[Qté Vendue]] * tbl_Ventes[[#This Row],[CMP_par_portion]]</f>
        <v>0</v>
      </c>
      <c r="J1559" s="7">
        <f>tbl_Ventes[[#This Row],[CA ligne]] - tbl_Ventes[[#This Row],[Coût matière ligne]]</f>
        <v>0</v>
      </c>
      <c r="K1559" s="7" t="str">
        <f>IFERROR(INDEX(tbl_ProduitsRef[Famille], MATCH(tbl_Ventes[[#This Row],[Cde_Prdt]], tbl_Produits[Cde_Prdt], 0)), "")</f>
        <v/>
      </c>
    </row>
    <row r="1560" spans="1:11" x14ac:dyDescent="0.25">
      <c r="A1560" s="5"/>
      <c r="B1560" s="63" t="str">
        <f>IFERROR(TEXT(tbl_Ventes[[#This Row],[Date]],"mm-aaaa"),"")</f>
        <v>01-1900</v>
      </c>
      <c r="D1560" s="10" t="str">
        <f>IFERROR(
   INDEX(tbl_ProduitsRef[Cde_Prdt],MATCH(tbl_Ventes[[#This Row],[Produit]],tbl_ProduitsRef[Produit],0)),
   ""
)</f>
        <v/>
      </c>
      <c r="E1560" s="7">
        <v>0</v>
      </c>
      <c r="F1560" s="7" t="str">
        <f>IFERROR(
   INDEX(tbl_ProduitsRef[Prix Menu],MATCH(tbl_Ventes[[#This Row],[Produit]],tbl_ProduitsRef[Produit],0)),
   ""
)</f>
        <v/>
      </c>
      <c r="G1560" s="7">
        <f>tbl_Ventes[[#This Row],[Qté Vendue]] * IFERROR(_xlfn.XLOOKUP(tbl_Ventes[[#This Row],[Cde_Prdt]], tbl_Produits[Cde_Prdt], tbl_Produits[Prix Menu]), 0)</f>
        <v>0</v>
      </c>
      <c r="H1560" s="7">
        <f>IFERROR(_xlfn.XLOOKUP(tbl_Ventes[[#This Row],[Cde_Prdt]], tbl_Produits[Cde_Prdt], tbl_Produits[Coût Moyen Portion]), 0)</f>
        <v>0</v>
      </c>
      <c r="I1560" s="7">
        <f>tbl_Ventes[[#This Row],[Qté Vendue]] * tbl_Ventes[[#This Row],[CMP_par_portion]]</f>
        <v>0</v>
      </c>
      <c r="J1560" s="7">
        <f>tbl_Ventes[[#This Row],[CA ligne]] - tbl_Ventes[[#This Row],[Coût matière ligne]]</f>
        <v>0</v>
      </c>
      <c r="K1560" s="7" t="str">
        <f>IFERROR(INDEX(tbl_ProduitsRef[Famille], MATCH(tbl_Ventes[[#This Row],[Cde_Prdt]], tbl_Produits[Cde_Prdt], 0)), "")</f>
        <v/>
      </c>
    </row>
    <row r="1561" spans="1:11" x14ac:dyDescent="0.25">
      <c r="A1561" s="5"/>
      <c r="B1561" s="63" t="str">
        <f>IFERROR(TEXT(tbl_Ventes[[#This Row],[Date]],"mm-aaaa"),"")</f>
        <v>01-1900</v>
      </c>
      <c r="D1561" s="10" t="str">
        <f>IFERROR(
   INDEX(tbl_ProduitsRef[Cde_Prdt],MATCH(tbl_Ventes[[#This Row],[Produit]],tbl_ProduitsRef[Produit],0)),
   ""
)</f>
        <v/>
      </c>
      <c r="E1561" s="7">
        <v>0</v>
      </c>
      <c r="F1561" s="7" t="str">
        <f>IFERROR(
   INDEX(tbl_ProduitsRef[Prix Menu],MATCH(tbl_Ventes[[#This Row],[Produit]],tbl_ProduitsRef[Produit],0)),
   ""
)</f>
        <v/>
      </c>
      <c r="G1561" s="7">
        <f>tbl_Ventes[[#This Row],[Qté Vendue]] * IFERROR(_xlfn.XLOOKUP(tbl_Ventes[[#This Row],[Cde_Prdt]], tbl_Produits[Cde_Prdt], tbl_Produits[Prix Menu]), 0)</f>
        <v>0</v>
      </c>
      <c r="H1561" s="7">
        <f>IFERROR(_xlfn.XLOOKUP(tbl_Ventes[[#This Row],[Cde_Prdt]], tbl_Produits[Cde_Prdt], tbl_Produits[Coût Moyen Portion]), 0)</f>
        <v>0</v>
      </c>
      <c r="I1561" s="7">
        <f>tbl_Ventes[[#This Row],[Qté Vendue]] * tbl_Ventes[[#This Row],[CMP_par_portion]]</f>
        <v>0</v>
      </c>
      <c r="J1561" s="7">
        <f>tbl_Ventes[[#This Row],[CA ligne]] - tbl_Ventes[[#This Row],[Coût matière ligne]]</f>
        <v>0</v>
      </c>
      <c r="K1561" s="7" t="str">
        <f>IFERROR(INDEX(tbl_ProduitsRef[Famille], MATCH(tbl_Ventes[[#This Row],[Cde_Prdt]], tbl_Produits[Cde_Prdt], 0)), "")</f>
        <v/>
      </c>
    </row>
    <row r="1562" spans="1:11" x14ac:dyDescent="0.25">
      <c r="A1562" s="5"/>
      <c r="B1562" s="63" t="str">
        <f>IFERROR(TEXT(tbl_Ventes[[#This Row],[Date]],"mm-aaaa"),"")</f>
        <v>01-1900</v>
      </c>
      <c r="D1562" s="10" t="str">
        <f>IFERROR(
   INDEX(tbl_ProduitsRef[Cde_Prdt],MATCH(tbl_Ventes[[#This Row],[Produit]],tbl_ProduitsRef[Produit],0)),
   ""
)</f>
        <v/>
      </c>
      <c r="E1562" s="7">
        <v>0</v>
      </c>
      <c r="F1562" s="7" t="str">
        <f>IFERROR(
   INDEX(tbl_ProduitsRef[Prix Menu],MATCH(tbl_Ventes[[#This Row],[Produit]],tbl_ProduitsRef[Produit],0)),
   ""
)</f>
        <v/>
      </c>
      <c r="G1562" s="7">
        <f>tbl_Ventes[[#This Row],[Qté Vendue]] * IFERROR(_xlfn.XLOOKUP(tbl_Ventes[[#This Row],[Cde_Prdt]], tbl_Produits[Cde_Prdt], tbl_Produits[Prix Menu]), 0)</f>
        <v>0</v>
      </c>
      <c r="H1562" s="7">
        <f>IFERROR(_xlfn.XLOOKUP(tbl_Ventes[[#This Row],[Cde_Prdt]], tbl_Produits[Cde_Prdt], tbl_Produits[Coût Moyen Portion]), 0)</f>
        <v>0</v>
      </c>
      <c r="I1562" s="7">
        <f>tbl_Ventes[[#This Row],[Qté Vendue]] * tbl_Ventes[[#This Row],[CMP_par_portion]]</f>
        <v>0</v>
      </c>
      <c r="J1562" s="7">
        <f>tbl_Ventes[[#This Row],[CA ligne]] - tbl_Ventes[[#This Row],[Coût matière ligne]]</f>
        <v>0</v>
      </c>
      <c r="K1562" s="7" t="str">
        <f>IFERROR(INDEX(tbl_ProduitsRef[Famille], MATCH(tbl_Ventes[[#This Row],[Cde_Prdt]], tbl_Produits[Cde_Prdt], 0)), "")</f>
        <v/>
      </c>
    </row>
    <row r="1563" spans="1:11" x14ac:dyDescent="0.25">
      <c r="A1563" s="5"/>
      <c r="B1563" s="63" t="str">
        <f>IFERROR(TEXT(tbl_Ventes[[#This Row],[Date]],"mm-aaaa"),"")</f>
        <v>01-1900</v>
      </c>
      <c r="D1563" s="10" t="str">
        <f>IFERROR(
   INDEX(tbl_ProduitsRef[Cde_Prdt],MATCH(tbl_Ventes[[#This Row],[Produit]],tbl_ProduitsRef[Produit],0)),
   ""
)</f>
        <v/>
      </c>
      <c r="E1563" s="7">
        <v>0</v>
      </c>
      <c r="F1563" s="7" t="str">
        <f>IFERROR(
   INDEX(tbl_ProduitsRef[Prix Menu],MATCH(tbl_Ventes[[#This Row],[Produit]],tbl_ProduitsRef[Produit],0)),
   ""
)</f>
        <v/>
      </c>
      <c r="G1563" s="7">
        <f>tbl_Ventes[[#This Row],[Qté Vendue]] * IFERROR(_xlfn.XLOOKUP(tbl_Ventes[[#This Row],[Cde_Prdt]], tbl_Produits[Cde_Prdt], tbl_Produits[Prix Menu]), 0)</f>
        <v>0</v>
      </c>
      <c r="H1563" s="7">
        <f>IFERROR(_xlfn.XLOOKUP(tbl_Ventes[[#This Row],[Cde_Prdt]], tbl_Produits[Cde_Prdt], tbl_Produits[Coût Moyen Portion]), 0)</f>
        <v>0</v>
      </c>
      <c r="I1563" s="7">
        <f>tbl_Ventes[[#This Row],[Qté Vendue]] * tbl_Ventes[[#This Row],[CMP_par_portion]]</f>
        <v>0</v>
      </c>
      <c r="J1563" s="7">
        <f>tbl_Ventes[[#This Row],[CA ligne]] - tbl_Ventes[[#This Row],[Coût matière ligne]]</f>
        <v>0</v>
      </c>
      <c r="K1563" s="7" t="str">
        <f>IFERROR(INDEX(tbl_ProduitsRef[Famille], MATCH(tbl_Ventes[[#This Row],[Cde_Prdt]], tbl_Produits[Cde_Prdt], 0)), "")</f>
        <v/>
      </c>
    </row>
    <row r="1564" spans="1:11" x14ac:dyDescent="0.25">
      <c r="A1564" s="5"/>
      <c r="B1564" s="63" t="str">
        <f>IFERROR(TEXT(tbl_Ventes[[#This Row],[Date]],"mm-aaaa"),"")</f>
        <v>01-1900</v>
      </c>
      <c r="D1564" s="10" t="str">
        <f>IFERROR(
   INDEX(tbl_ProduitsRef[Cde_Prdt],MATCH(tbl_Ventes[[#This Row],[Produit]],tbl_ProduitsRef[Produit],0)),
   ""
)</f>
        <v/>
      </c>
      <c r="E1564" s="7">
        <v>0</v>
      </c>
      <c r="F1564" s="7" t="str">
        <f>IFERROR(
   INDEX(tbl_ProduitsRef[Prix Menu],MATCH(tbl_Ventes[[#This Row],[Produit]],tbl_ProduitsRef[Produit],0)),
   ""
)</f>
        <v/>
      </c>
      <c r="G1564" s="7">
        <f>tbl_Ventes[[#This Row],[Qté Vendue]] * IFERROR(_xlfn.XLOOKUP(tbl_Ventes[[#This Row],[Cde_Prdt]], tbl_Produits[Cde_Prdt], tbl_Produits[Prix Menu]), 0)</f>
        <v>0</v>
      </c>
      <c r="H1564" s="7">
        <f>IFERROR(_xlfn.XLOOKUP(tbl_Ventes[[#This Row],[Cde_Prdt]], tbl_Produits[Cde_Prdt], tbl_Produits[Coût Moyen Portion]), 0)</f>
        <v>0</v>
      </c>
      <c r="I1564" s="7">
        <f>tbl_Ventes[[#This Row],[Qté Vendue]] * tbl_Ventes[[#This Row],[CMP_par_portion]]</f>
        <v>0</v>
      </c>
      <c r="J1564" s="7">
        <f>tbl_Ventes[[#This Row],[CA ligne]] - tbl_Ventes[[#This Row],[Coût matière ligne]]</f>
        <v>0</v>
      </c>
      <c r="K1564" s="7" t="str">
        <f>IFERROR(INDEX(tbl_ProduitsRef[Famille], MATCH(tbl_Ventes[[#This Row],[Cde_Prdt]], tbl_Produits[Cde_Prdt], 0)), "")</f>
        <v/>
      </c>
    </row>
    <row r="1565" spans="1:11" x14ac:dyDescent="0.25">
      <c r="A1565" s="5"/>
      <c r="B1565" s="63" t="str">
        <f>IFERROR(TEXT(tbl_Ventes[[#This Row],[Date]],"mm-aaaa"),"")</f>
        <v>01-1900</v>
      </c>
      <c r="D1565" s="10" t="str">
        <f>IFERROR(
   INDEX(tbl_ProduitsRef[Cde_Prdt],MATCH(tbl_Ventes[[#This Row],[Produit]],tbl_ProduitsRef[Produit],0)),
   ""
)</f>
        <v/>
      </c>
      <c r="E1565" s="7">
        <v>0</v>
      </c>
      <c r="F1565" s="7" t="str">
        <f>IFERROR(
   INDEX(tbl_ProduitsRef[Prix Menu],MATCH(tbl_Ventes[[#This Row],[Produit]],tbl_ProduitsRef[Produit],0)),
   ""
)</f>
        <v/>
      </c>
      <c r="G1565" s="7">
        <f>tbl_Ventes[[#This Row],[Qté Vendue]] * IFERROR(_xlfn.XLOOKUP(tbl_Ventes[[#This Row],[Cde_Prdt]], tbl_Produits[Cde_Prdt], tbl_Produits[Prix Menu]), 0)</f>
        <v>0</v>
      </c>
      <c r="H1565" s="7">
        <f>IFERROR(_xlfn.XLOOKUP(tbl_Ventes[[#This Row],[Cde_Prdt]], tbl_Produits[Cde_Prdt], tbl_Produits[Coût Moyen Portion]), 0)</f>
        <v>0</v>
      </c>
      <c r="I1565" s="7">
        <f>tbl_Ventes[[#This Row],[Qté Vendue]] * tbl_Ventes[[#This Row],[CMP_par_portion]]</f>
        <v>0</v>
      </c>
      <c r="J1565" s="7">
        <f>tbl_Ventes[[#This Row],[CA ligne]] - tbl_Ventes[[#This Row],[Coût matière ligne]]</f>
        <v>0</v>
      </c>
      <c r="K1565" s="7" t="str">
        <f>IFERROR(INDEX(tbl_ProduitsRef[Famille], MATCH(tbl_Ventes[[#This Row],[Cde_Prdt]], tbl_Produits[Cde_Prdt], 0)), "")</f>
        <v/>
      </c>
    </row>
    <row r="1566" spans="1:11" x14ac:dyDescent="0.25">
      <c r="A1566" s="5"/>
      <c r="B1566" s="63" t="str">
        <f>IFERROR(TEXT(tbl_Ventes[[#This Row],[Date]],"mm-aaaa"),"")</f>
        <v>01-1900</v>
      </c>
      <c r="D1566" s="10" t="str">
        <f>IFERROR(
   INDEX(tbl_ProduitsRef[Cde_Prdt],MATCH(tbl_Ventes[[#This Row],[Produit]],tbl_ProduitsRef[Produit],0)),
   ""
)</f>
        <v/>
      </c>
      <c r="E1566" s="7">
        <v>0</v>
      </c>
      <c r="F1566" s="7" t="str">
        <f>IFERROR(
   INDEX(tbl_ProduitsRef[Prix Menu],MATCH(tbl_Ventes[[#This Row],[Produit]],tbl_ProduitsRef[Produit],0)),
   ""
)</f>
        <v/>
      </c>
      <c r="G1566" s="7">
        <f>tbl_Ventes[[#This Row],[Qté Vendue]] * IFERROR(_xlfn.XLOOKUP(tbl_Ventes[[#This Row],[Cde_Prdt]], tbl_Produits[Cde_Prdt], tbl_Produits[Prix Menu]), 0)</f>
        <v>0</v>
      </c>
      <c r="H1566" s="7">
        <f>IFERROR(_xlfn.XLOOKUP(tbl_Ventes[[#This Row],[Cde_Prdt]], tbl_Produits[Cde_Prdt], tbl_Produits[Coût Moyen Portion]), 0)</f>
        <v>0</v>
      </c>
      <c r="I1566" s="7">
        <f>tbl_Ventes[[#This Row],[Qté Vendue]] * tbl_Ventes[[#This Row],[CMP_par_portion]]</f>
        <v>0</v>
      </c>
      <c r="J1566" s="7">
        <f>tbl_Ventes[[#This Row],[CA ligne]] - tbl_Ventes[[#This Row],[Coût matière ligne]]</f>
        <v>0</v>
      </c>
      <c r="K1566" s="7" t="str">
        <f>IFERROR(INDEX(tbl_ProduitsRef[Famille], MATCH(tbl_Ventes[[#This Row],[Cde_Prdt]], tbl_Produits[Cde_Prdt], 0)), "")</f>
        <v/>
      </c>
    </row>
    <row r="1567" spans="1:11" x14ac:dyDescent="0.25">
      <c r="A1567" s="5"/>
      <c r="B1567" s="63" t="str">
        <f>IFERROR(TEXT(tbl_Ventes[[#This Row],[Date]],"mm-aaaa"),"")</f>
        <v>01-1900</v>
      </c>
      <c r="D1567" s="10" t="str">
        <f>IFERROR(
   INDEX(tbl_ProduitsRef[Cde_Prdt],MATCH(tbl_Ventes[[#This Row],[Produit]],tbl_ProduitsRef[Produit],0)),
   ""
)</f>
        <v/>
      </c>
      <c r="E1567" s="7">
        <v>0</v>
      </c>
      <c r="F1567" s="7" t="str">
        <f>IFERROR(
   INDEX(tbl_ProduitsRef[Prix Menu],MATCH(tbl_Ventes[[#This Row],[Produit]],tbl_ProduitsRef[Produit],0)),
   ""
)</f>
        <v/>
      </c>
      <c r="G1567" s="7">
        <f>tbl_Ventes[[#This Row],[Qté Vendue]] * IFERROR(_xlfn.XLOOKUP(tbl_Ventes[[#This Row],[Cde_Prdt]], tbl_Produits[Cde_Prdt], tbl_Produits[Prix Menu]), 0)</f>
        <v>0</v>
      </c>
      <c r="H1567" s="7">
        <f>IFERROR(_xlfn.XLOOKUP(tbl_Ventes[[#This Row],[Cde_Prdt]], tbl_Produits[Cde_Prdt], tbl_Produits[Coût Moyen Portion]), 0)</f>
        <v>0</v>
      </c>
      <c r="I1567" s="7">
        <f>tbl_Ventes[[#This Row],[Qté Vendue]] * tbl_Ventes[[#This Row],[CMP_par_portion]]</f>
        <v>0</v>
      </c>
      <c r="J1567" s="7">
        <f>tbl_Ventes[[#This Row],[CA ligne]] - tbl_Ventes[[#This Row],[Coût matière ligne]]</f>
        <v>0</v>
      </c>
      <c r="K1567" s="7" t="str">
        <f>IFERROR(INDEX(tbl_ProduitsRef[Famille], MATCH(tbl_Ventes[[#This Row],[Cde_Prdt]], tbl_Produits[Cde_Prdt], 0)), "")</f>
        <v/>
      </c>
    </row>
    <row r="1568" spans="1:11" x14ac:dyDescent="0.25">
      <c r="A1568" s="5"/>
      <c r="B1568" s="63" t="str">
        <f>IFERROR(TEXT(tbl_Ventes[[#This Row],[Date]],"mm-aaaa"),"")</f>
        <v>01-1900</v>
      </c>
      <c r="D1568" s="10" t="str">
        <f>IFERROR(
   INDEX(tbl_ProduitsRef[Cde_Prdt],MATCH(tbl_Ventes[[#This Row],[Produit]],tbl_ProduitsRef[Produit],0)),
   ""
)</f>
        <v/>
      </c>
      <c r="E1568" s="7">
        <v>0</v>
      </c>
      <c r="F1568" s="7" t="str">
        <f>IFERROR(
   INDEX(tbl_ProduitsRef[Prix Menu],MATCH(tbl_Ventes[[#This Row],[Produit]],tbl_ProduitsRef[Produit],0)),
   ""
)</f>
        <v/>
      </c>
      <c r="G1568" s="7">
        <f>tbl_Ventes[[#This Row],[Qté Vendue]] * IFERROR(_xlfn.XLOOKUP(tbl_Ventes[[#This Row],[Cde_Prdt]], tbl_Produits[Cde_Prdt], tbl_Produits[Prix Menu]), 0)</f>
        <v>0</v>
      </c>
      <c r="H1568" s="7">
        <f>IFERROR(_xlfn.XLOOKUP(tbl_Ventes[[#This Row],[Cde_Prdt]], tbl_Produits[Cde_Prdt], tbl_Produits[Coût Moyen Portion]), 0)</f>
        <v>0</v>
      </c>
      <c r="I1568" s="7">
        <f>tbl_Ventes[[#This Row],[Qté Vendue]] * tbl_Ventes[[#This Row],[CMP_par_portion]]</f>
        <v>0</v>
      </c>
      <c r="J1568" s="7">
        <f>tbl_Ventes[[#This Row],[CA ligne]] - tbl_Ventes[[#This Row],[Coût matière ligne]]</f>
        <v>0</v>
      </c>
      <c r="K1568" s="7" t="str">
        <f>IFERROR(INDEX(tbl_ProduitsRef[Famille], MATCH(tbl_Ventes[[#This Row],[Cde_Prdt]], tbl_Produits[Cde_Prdt], 0)), "")</f>
        <v/>
      </c>
    </row>
    <row r="1569" spans="1:11" x14ac:dyDescent="0.25">
      <c r="A1569" s="5"/>
      <c r="B1569" s="63" t="str">
        <f>IFERROR(TEXT(tbl_Ventes[[#This Row],[Date]],"mm-aaaa"),"")</f>
        <v>01-1900</v>
      </c>
      <c r="D1569" s="10" t="str">
        <f>IFERROR(
   INDEX(tbl_ProduitsRef[Cde_Prdt],MATCH(tbl_Ventes[[#This Row],[Produit]],tbl_ProduitsRef[Produit],0)),
   ""
)</f>
        <v/>
      </c>
      <c r="E1569" s="7">
        <v>0</v>
      </c>
      <c r="F1569" s="7" t="str">
        <f>IFERROR(
   INDEX(tbl_ProduitsRef[Prix Menu],MATCH(tbl_Ventes[[#This Row],[Produit]],tbl_ProduitsRef[Produit],0)),
   ""
)</f>
        <v/>
      </c>
      <c r="G1569" s="7">
        <f>tbl_Ventes[[#This Row],[Qté Vendue]] * IFERROR(_xlfn.XLOOKUP(tbl_Ventes[[#This Row],[Cde_Prdt]], tbl_Produits[Cde_Prdt], tbl_Produits[Prix Menu]), 0)</f>
        <v>0</v>
      </c>
      <c r="H1569" s="7">
        <f>IFERROR(_xlfn.XLOOKUP(tbl_Ventes[[#This Row],[Cde_Prdt]], tbl_Produits[Cde_Prdt], tbl_Produits[Coût Moyen Portion]), 0)</f>
        <v>0</v>
      </c>
      <c r="I1569" s="7">
        <f>tbl_Ventes[[#This Row],[Qté Vendue]] * tbl_Ventes[[#This Row],[CMP_par_portion]]</f>
        <v>0</v>
      </c>
      <c r="J1569" s="7">
        <f>tbl_Ventes[[#This Row],[CA ligne]] - tbl_Ventes[[#This Row],[Coût matière ligne]]</f>
        <v>0</v>
      </c>
      <c r="K1569" s="7" t="str">
        <f>IFERROR(INDEX(tbl_ProduitsRef[Famille], MATCH(tbl_Ventes[[#This Row],[Cde_Prdt]], tbl_Produits[Cde_Prdt], 0)), "")</f>
        <v/>
      </c>
    </row>
    <row r="1570" spans="1:11" x14ac:dyDescent="0.25">
      <c r="A1570" s="5"/>
      <c r="B1570" s="63" t="str">
        <f>IFERROR(TEXT(tbl_Ventes[[#This Row],[Date]],"mm-aaaa"),"")</f>
        <v>01-1900</v>
      </c>
      <c r="D1570" s="10" t="str">
        <f>IFERROR(
   INDEX(tbl_ProduitsRef[Cde_Prdt],MATCH(tbl_Ventes[[#This Row],[Produit]],tbl_ProduitsRef[Produit],0)),
   ""
)</f>
        <v/>
      </c>
      <c r="E1570" s="7">
        <v>0</v>
      </c>
      <c r="F1570" s="7" t="str">
        <f>IFERROR(
   INDEX(tbl_ProduitsRef[Prix Menu],MATCH(tbl_Ventes[[#This Row],[Produit]],tbl_ProduitsRef[Produit],0)),
   ""
)</f>
        <v/>
      </c>
      <c r="G1570" s="7">
        <f>tbl_Ventes[[#This Row],[Qté Vendue]] * IFERROR(_xlfn.XLOOKUP(tbl_Ventes[[#This Row],[Cde_Prdt]], tbl_Produits[Cde_Prdt], tbl_Produits[Prix Menu]), 0)</f>
        <v>0</v>
      </c>
      <c r="H1570" s="7">
        <f>IFERROR(_xlfn.XLOOKUP(tbl_Ventes[[#This Row],[Cde_Prdt]], tbl_Produits[Cde_Prdt], tbl_Produits[Coût Moyen Portion]), 0)</f>
        <v>0</v>
      </c>
      <c r="I1570" s="7">
        <f>tbl_Ventes[[#This Row],[Qté Vendue]] * tbl_Ventes[[#This Row],[CMP_par_portion]]</f>
        <v>0</v>
      </c>
      <c r="J1570" s="7">
        <f>tbl_Ventes[[#This Row],[CA ligne]] - tbl_Ventes[[#This Row],[Coût matière ligne]]</f>
        <v>0</v>
      </c>
      <c r="K1570" s="7" t="str">
        <f>IFERROR(INDEX(tbl_ProduitsRef[Famille], MATCH(tbl_Ventes[[#This Row],[Cde_Prdt]], tbl_Produits[Cde_Prdt], 0)), "")</f>
        <v/>
      </c>
    </row>
    <row r="1571" spans="1:11" x14ac:dyDescent="0.25">
      <c r="A1571" s="5"/>
      <c r="B1571" s="63" t="str">
        <f>IFERROR(TEXT(tbl_Ventes[[#This Row],[Date]],"mm-aaaa"),"")</f>
        <v>01-1900</v>
      </c>
      <c r="D1571" s="10" t="str">
        <f>IFERROR(
   INDEX(tbl_ProduitsRef[Cde_Prdt],MATCH(tbl_Ventes[[#This Row],[Produit]],tbl_ProduitsRef[Produit],0)),
   ""
)</f>
        <v/>
      </c>
      <c r="E1571" s="7">
        <v>0</v>
      </c>
      <c r="F1571" s="7" t="str">
        <f>IFERROR(
   INDEX(tbl_ProduitsRef[Prix Menu],MATCH(tbl_Ventes[[#This Row],[Produit]],tbl_ProduitsRef[Produit],0)),
   ""
)</f>
        <v/>
      </c>
      <c r="G1571" s="7">
        <f>tbl_Ventes[[#This Row],[Qté Vendue]] * IFERROR(_xlfn.XLOOKUP(tbl_Ventes[[#This Row],[Cde_Prdt]], tbl_Produits[Cde_Prdt], tbl_Produits[Prix Menu]), 0)</f>
        <v>0</v>
      </c>
      <c r="H1571" s="7">
        <f>IFERROR(_xlfn.XLOOKUP(tbl_Ventes[[#This Row],[Cde_Prdt]], tbl_Produits[Cde_Prdt], tbl_Produits[Coût Moyen Portion]), 0)</f>
        <v>0</v>
      </c>
      <c r="I1571" s="7">
        <f>tbl_Ventes[[#This Row],[Qté Vendue]] * tbl_Ventes[[#This Row],[CMP_par_portion]]</f>
        <v>0</v>
      </c>
      <c r="J1571" s="7">
        <f>tbl_Ventes[[#This Row],[CA ligne]] - tbl_Ventes[[#This Row],[Coût matière ligne]]</f>
        <v>0</v>
      </c>
      <c r="K1571" s="7" t="str">
        <f>IFERROR(INDEX(tbl_ProduitsRef[Famille], MATCH(tbl_Ventes[[#This Row],[Cde_Prdt]], tbl_Produits[Cde_Prdt], 0)), "")</f>
        <v/>
      </c>
    </row>
    <row r="1572" spans="1:11" x14ac:dyDescent="0.25">
      <c r="A1572" s="5"/>
      <c r="B1572" s="63" t="str">
        <f>IFERROR(TEXT(tbl_Ventes[[#This Row],[Date]],"mm-aaaa"),"")</f>
        <v>01-1900</v>
      </c>
      <c r="D1572" s="10" t="str">
        <f>IFERROR(
   INDEX(tbl_ProduitsRef[Cde_Prdt],MATCH(tbl_Ventes[[#This Row],[Produit]],tbl_ProduitsRef[Produit],0)),
   ""
)</f>
        <v/>
      </c>
      <c r="E1572" s="7">
        <v>0</v>
      </c>
      <c r="F1572" s="7" t="str">
        <f>IFERROR(
   INDEX(tbl_ProduitsRef[Prix Menu],MATCH(tbl_Ventes[[#This Row],[Produit]],tbl_ProduitsRef[Produit],0)),
   ""
)</f>
        <v/>
      </c>
      <c r="G1572" s="7">
        <f>tbl_Ventes[[#This Row],[Qté Vendue]] * IFERROR(_xlfn.XLOOKUP(tbl_Ventes[[#This Row],[Cde_Prdt]], tbl_Produits[Cde_Prdt], tbl_Produits[Prix Menu]), 0)</f>
        <v>0</v>
      </c>
      <c r="H1572" s="7">
        <f>IFERROR(_xlfn.XLOOKUP(tbl_Ventes[[#This Row],[Cde_Prdt]], tbl_Produits[Cde_Prdt], tbl_Produits[Coût Moyen Portion]), 0)</f>
        <v>0</v>
      </c>
      <c r="I1572" s="7">
        <f>tbl_Ventes[[#This Row],[Qté Vendue]] * tbl_Ventes[[#This Row],[CMP_par_portion]]</f>
        <v>0</v>
      </c>
      <c r="J1572" s="7">
        <f>tbl_Ventes[[#This Row],[CA ligne]] - tbl_Ventes[[#This Row],[Coût matière ligne]]</f>
        <v>0</v>
      </c>
      <c r="K1572" s="7" t="str">
        <f>IFERROR(INDEX(tbl_ProduitsRef[Famille], MATCH(tbl_Ventes[[#This Row],[Cde_Prdt]], tbl_Produits[Cde_Prdt], 0)), "")</f>
        <v/>
      </c>
    </row>
    <row r="1573" spans="1:11" x14ac:dyDescent="0.25">
      <c r="A1573" s="5"/>
      <c r="B1573" s="63" t="str">
        <f>IFERROR(TEXT(tbl_Ventes[[#This Row],[Date]],"mm-aaaa"),"")</f>
        <v>01-1900</v>
      </c>
      <c r="D1573" s="10" t="str">
        <f>IFERROR(
   INDEX(tbl_ProduitsRef[Cde_Prdt],MATCH(tbl_Ventes[[#This Row],[Produit]],tbl_ProduitsRef[Produit],0)),
   ""
)</f>
        <v/>
      </c>
      <c r="E1573" s="7">
        <v>0</v>
      </c>
      <c r="F1573" s="7" t="str">
        <f>IFERROR(
   INDEX(tbl_ProduitsRef[Prix Menu],MATCH(tbl_Ventes[[#This Row],[Produit]],tbl_ProduitsRef[Produit],0)),
   ""
)</f>
        <v/>
      </c>
      <c r="G1573" s="7">
        <f>tbl_Ventes[[#This Row],[Qté Vendue]] * IFERROR(_xlfn.XLOOKUP(tbl_Ventes[[#This Row],[Cde_Prdt]], tbl_Produits[Cde_Prdt], tbl_Produits[Prix Menu]), 0)</f>
        <v>0</v>
      </c>
      <c r="H1573" s="7">
        <f>IFERROR(_xlfn.XLOOKUP(tbl_Ventes[[#This Row],[Cde_Prdt]], tbl_Produits[Cde_Prdt], tbl_Produits[Coût Moyen Portion]), 0)</f>
        <v>0</v>
      </c>
      <c r="I1573" s="7">
        <f>tbl_Ventes[[#This Row],[Qté Vendue]] * tbl_Ventes[[#This Row],[CMP_par_portion]]</f>
        <v>0</v>
      </c>
      <c r="J1573" s="7">
        <f>tbl_Ventes[[#This Row],[CA ligne]] - tbl_Ventes[[#This Row],[Coût matière ligne]]</f>
        <v>0</v>
      </c>
      <c r="K1573" s="7" t="str">
        <f>IFERROR(INDEX(tbl_ProduitsRef[Famille], MATCH(tbl_Ventes[[#This Row],[Cde_Prdt]], tbl_Produits[Cde_Prdt], 0)), "")</f>
        <v/>
      </c>
    </row>
    <row r="1574" spans="1:11" x14ac:dyDescent="0.25">
      <c r="A1574" s="5"/>
      <c r="B1574" s="63" t="str">
        <f>IFERROR(TEXT(tbl_Ventes[[#This Row],[Date]],"mm-aaaa"),"")</f>
        <v>01-1900</v>
      </c>
      <c r="D1574" s="10" t="str">
        <f>IFERROR(
   INDEX(tbl_ProduitsRef[Cde_Prdt],MATCH(tbl_Ventes[[#This Row],[Produit]],tbl_ProduitsRef[Produit],0)),
   ""
)</f>
        <v/>
      </c>
      <c r="E1574" s="7">
        <v>0</v>
      </c>
      <c r="F1574" s="7" t="str">
        <f>IFERROR(
   INDEX(tbl_ProduitsRef[Prix Menu],MATCH(tbl_Ventes[[#This Row],[Produit]],tbl_ProduitsRef[Produit],0)),
   ""
)</f>
        <v/>
      </c>
      <c r="G1574" s="7">
        <f>tbl_Ventes[[#This Row],[Qté Vendue]] * IFERROR(_xlfn.XLOOKUP(tbl_Ventes[[#This Row],[Cde_Prdt]], tbl_Produits[Cde_Prdt], tbl_Produits[Prix Menu]), 0)</f>
        <v>0</v>
      </c>
      <c r="H1574" s="7">
        <f>IFERROR(_xlfn.XLOOKUP(tbl_Ventes[[#This Row],[Cde_Prdt]], tbl_Produits[Cde_Prdt], tbl_Produits[Coût Moyen Portion]), 0)</f>
        <v>0</v>
      </c>
      <c r="I1574" s="7">
        <f>tbl_Ventes[[#This Row],[Qté Vendue]] * tbl_Ventes[[#This Row],[CMP_par_portion]]</f>
        <v>0</v>
      </c>
      <c r="J1574" s="7">
        <f>tbl_Ventes[[#This Row],[CA ligne]] - tbl_Ventes[[#This Row],[Coût matière ligne]]</f>
        <v>0</v>
      </c>
      <c r="K1574" s="7" t="str">
        <f>IFERROR(INDEX(tbl_ProduitsRef[Famille], MATCH(tbl_Ventes[[#This Row],[Cde_Prdt]], tbl_Produits[Cde_Prdt], 0)), "")</f>
        <v/>
      </c>
    </row>
    <row r="1575" spans="1:11" x14ac:dyDescent="0.25">
      <c r="A1575" s="5"/>
      <c r="B1575" s="63" t="str">
        <f>IFERROR(TEXT(tbl_Ventes[[#This Row],[Date]],"mm-aaaa"),"")</f>
        <v>01-1900</v>
      </c>
      <c r="D1575" s="10" t="str">
        <f>IFERROR(
   INDEX(tbl_ProduitsRef[Cde_Prdt],MATCH(tbl_Ventes[[#This Row],[Produit]],tbl_ProduitsRef[Produit],0)),
   ""
)</f>
        <v/>
      </c>
      <c r="E1575" s="7">
        <v>0</v>
      </c>
      <c r="F1575" s="7" t="str">
        <f>IFERROR(
   INDEX(tbl_ProduitsRef[Prix Menu],MATCH(tbl_Ventes[[#This Row],[Produit]],tbl_ProduitsRef[Produit],0)),
   ""
)</f>
        <v/>
      </c>
      <c r="G1575" s="7">
        <f>tbl_Ventes[[#This Row],[Qté Vendue]] * IFERROR(_xlfn.XLOOKUP(tbl_Ventes[[#This Row],[Cde_Prdt]], tbl_Produits[Cde_Prdt], tbl_Produits[Prix Menu]), 0)</f>
        <v>0</v>
      </c>
      <c r="H1575" s="7">
        <f>IFERROR(_xlfn.XLOOKUP(tbl_Ventes[[#This Row],[Cde_Prdt]], tbl_Produits[Cde_Prdt], tbl_Produits[Coût Moyen Portion]), 0)</f>
        <v>0</v>
      </c>
      <c r="I1575" s="7">
        <f>tbl_Ventes[[#This Row],[Qté Vendue]] * tbl_Ventes[[#This Row],[CMP_par_portion]]</f>
        <v>0</v>
      </c>
      <c r="J1575" s="7">
        <f>tbl_Ventes[[#This Row],[CA ligne]] - tbl_Ventes[[#This Row],[Coût matière ligne]]</f>
        <v>0</v>
      </c>
      <c r="K1575" s="7" t="str">
        <f>IFERROR(INDEX(tbl_ProduitsRef[Famille], MATCH(tbl_Ventes[[#This Row],[Cde_Prdt]], tbl_Produits[Cde_Prdt], 0)), "")</f>
        <v/>
      </c>
    </row>
    <row r="1576" spans="1:11" x14ac:dyDescent="0.25">
      <c r="A1576" s="5"/>
      <c r="B1576" s="63" t="str">
        <f>IFERROR(TEXT(tbl_Ventes[[#This Row],[Date]],"mm-aaaa"),"")</f>
        <v>01-1900</v>
      </c>
      <c r="D1576" s="10" t="str">
        <f>IFERROR(
   INDEX(tbl_ProduitsRef[Cde_Prdt],MATCH(tbl_Ventes[[#This Row],[Produit]],tbl_ProduitsRef[Produit],0)),
   ""
)</f>
        <v/>
      </c>
      <c r="E1576" s="7">
        <v>0</v>
      </c>
      <c r="F1576" s="7" t="str">
        <f>IFERROR(
   INDEX(tbl_ProduitsRef[Prix Menu],MATCH(tbl_Ventes[[#This Row],[Produit]],tbl_ProduitsRef[Produit],0)),
   ""
)</f>
        <v/>
      </c>
      <c r="G1576" s="7">
        <f>tbl_Ventes[[#This Row],[Qté Vendue]] * IFERROR(_xlfn.XLOOKUP(tbl_Ventes[[#This Row],[Cde_Prdt]], tbl_Produits[Cde_Prdt], tbl_Produits[Prix Menu]), 0)</f>
        <v>0</v>
      </c>
      <c r="H1576" s="7">
        <f>IFERROR(_xlfn.XLOOKUP(tbl_Ventes[[#This Row],[Cde_Prdt]], tbl_Produits[Cde_Prdt], tbl_Produits[Coût Moyen Portion]), 0)</f>
        <v>0</v>
      </c>
      <c r="I1576" s="7">
        <f>tbl_Ventes[[#This Row],[Qté Vendue]] * tbl_Ventes[[#This Row],[CMP_par_portion]]</f>
        <v>0</v>
      </c>
      <c r="J1576" s="7">
        <f>tbl_Ventes[[#This Row],[CA ligne]] - tbl_Ventes[[#This Row],[Coût matière ligne]]</f>
        <v>0</v>
      </c>
      <c r="K1576" s="7" t="str">
        <f>IFERROR(INDEX(tbl_ProduitsRef[Famille], MATCH(tbl_Ventes[[#This Row],[Cde_Prdt]], tbl_Produits[Cde_Prdt], 0)), "")</f>
        <v/>
      </c>
    </row>
    <row r="1577" spans="1:11" x14ac:dyDescent="0.25">
      <c r="A1577" s="5"/>
      <c r="B1577" s="63" t="str">
        <f>IFERROR(TEXT(tbl_Ventes[[#This Row],[Date]],"mm-aaaa"),"")</f>
        <v>01-1900</v>
      </c>
      <c r="D1577" s="10" t="str">
        <f>IFERROR(
   INDEX(tbl_ProduitsRef[Cde_Prdt],MATCH(tbl_Ventes[[#This Row],[Produit]],tbl_ProduitsRef[Produit],0)),
   ""
)</f>
        <v/>
      </c>
      <c r="E1577" s="7">
        <v>0</v>
      </c>
      <c r="F1577" s="7" t="str">
        <f>IFERROR(
   INDEX(tbl_ProduitsRef[Prix Menu],MATCH(tbl_Ventes[[#This Row],[Produit]],tbl_ProduitsRef[Produit],0)),
   ""
)</f>
        <v/>
      </c>
      <c r="G1577" s="7">
        <f>tbl_Ventes[[#This Row],[Qté Vendue]] * IFERROR(_xlfn.XLOOKUP(tbl_Ventes[[#This Row],[Cde_Prdt]], tbl_Produits[Cde_Prdt], tbl_Produits[Prix Menu]), 0)</f>
        <v>0</v>
      </c>
      <c r="H1577" s="7">
        <f>IFERROR(_xlfn.XLOOKUP(tbl_Ventes[[#This Row],[Cde_Prdt]], tbl_Produits[Cde_Prdt], tbl_Produits[Coût Moyen Portion]), 0)</f>
        <v>0</v>
      </c>
      <c r="I1577" s="7">
        <f>tbl_Ventes[[#This Row],[Qté Vendue]] * tbl_Ventes[[#This Row],[CMP_par_portion]]</f>
        <v>0</v>
      </c>
      <c r="J1577" s="7">
        <f>tbl_Ventes[[#This Row],[CA ligne]] - tbl_Ventes[[#This Row],[Coût matière ligne]]</f>
        <v>0</v>
      </c>
      <c r="K1577" s="7" t="str">
        <f>IFERROR(INDEX(tbl_ProduitsRef[Famille], MATCH(tbl_Ventes[[#This Row],[Cde_Prdt]], tbl_Produits[Cde_Prdt], 0)), "")</f>
        <v/>
      </c>
    </row>
    <row r="1578" spans="1:11" x14ac:dyDescent="0.25">
      <c r="A1578" s="5"/>
      <c r="B1578" s="63" t="str">
        <f>IFERROR(TEXT(tbl_Ventes[[#This Row],[Date]],"mm-aaaa"),"")</f>
        <v>01-1900</v>
      </c>
      <c r="D1578" s="10" t="str">
        <f>IFERROR(
   INDEX(tbl_ProduitsRef[Cde_Prdt],MATCH(tbl_Ventes[[#This Row],[Produit]],tbl_ProduitsRef[Produit],0)),
   ""
)</f>
        <v/>
      </c>
      <c r="E1578" s="7">
        <v>0</v>
      </c>
      <c r="F1578" s="7" t="str">
        <f>IFERROR(
   INDEX(tbl_ProduitsRef[Prix Menu],MATCH(tbl_Ventes[[#This Row],[Produit]],tbl_ProduitsRef[Produit],0)),
   ""
)</f>
        <v/>
      </c>
      <c r="G1578" s="7">
        <f>tbl_Ventes[[#This Row],[Qté Vendue]] * IFERROR(_xlfn.XLOOKUP(tbl_Ventes[[#This Row],[Cde_Prdt]], tbl_Produits[Cde_Prdt], tbl_Produits[Prix Menu]), 0)</f>
        <v>0</v>
      </c>
      <c r="H1578" s="7">
        <f>IFERROR(_xlfn.XLOOKUP(tbl_Ventes[[#This Row],[Cde_Prdt]], tbl_Produits[Cde_Prdt], tbl_Produits[Coût Moyen Portion]), 0)</f>
        <v>0</v>
      </c>
      <c r="I1578" s="7">
        <f>tbl_Ventes[[#This Row],[Qté Vendue]] * tbl_Ventes[[#This Row],[CMP_par_portion]]</f>
        <v>0</v>
      </c>
      <c r="J1578" s="7">
        <f>tbl_Ventes[[#This Row],[CA ligne]] - tbl_Ventes[[#This Row],[Coût matière ligne]]</f>
        <v>0</v>
      </c>
      <c r="K1578" s="7" t="str">
        <f>IFERROR(INDEX(tbl_ProduitsRef[Famille], MATCH(tbl_Ventes[[#This Row],[Cde_Prdt]], tbl_Produits[Cde_Prdt], 0)), "")</f>
        <v/>
      </c>
    </row>
    <row r="1579" spans="1:11" x14ac:dyDescent="0.25">
      <c r="A1579" s="5"/>
      <c r="B1579" s="63" t="str">
        <f>IFERROR(TEXT(tbl_Ventes[[#This Row],[Date]],"mm-aaaa"),"")</f>
        <v>01-1900</v>
      </c>
      <c r="D1579" s="10" t="str">
        <f>IFERROR(
   INDEX(tbl_ProduitsRef[Cde_Prdt],MATCH(tbl_Ventes[[#This Row],[Produit]],tbl_ProduitsRef[Produit],0)),
   ""
)</f>
        <v/>
      </c>
      <c r="E1579" s="7">
        <v>0</v>
      </c>
      <c r="F1579" s="7" t="str">
        <f>IFERROR(
   INDEX(tbl_ProduitsRef[Prix Menu],MATCH(tbl_Ventes[[#This Row],[Produit]],tbl_ProduitsRef[Produit],0)),
   ""
)</f>
        <v/>
      </c>
      <c r="G1579" s="7">
        <f>tbl_Ventes[[#This Row],[Qté Vendue]] * IFERROR(_xlfn.XLOOKUP(tbl_Ventes[[#This Row],[Cde_Prdt]], tbl_Produits[Cde_Prdt], tbl_Produits[Prix Menu]), 0)</f>
        <v>0</v>
      </c>
      <c r="H1579" s="7">
        <f>IFERROR(_xlfn.XLOOKUP(tbl_Ventes[[#This Row],[Cde_Prdt]], tbl_Produits[Cde_Prdt], tbl_Produits[Coût Moyen Portion]), 0)</f>
        <v>0</v>
      </c>
      <c r="I1579" s="7">
        <f>tbl_Ventes[[#This Row],[Qté Vendue]] * tbl_Ventes[[#This Row],[CMP_par_portion]]</f>
        <v>0</v>
      </c>
      <c r="J1579" s="7">
        <f>tbl_Ventes[[#This Row],[CA ligne]] - tbl_Ventes[[#This Row],[Coût matière ligne]]</f>
        <v>0</v>
      </c>
      <c r="K1579" s="7" t="str">
        <f>IFERROR(INDEX(tbl_ProduitsRef[Famille], MATCH(tbl_Ventes[[#This Row],[Cde_Prdt]], tbl_Produits[Cde_Prdt], 0)), "")</f>
        <v/>
      </c>
    </row>
    <row r="1580" spans="1:11" x14ac:dyDescent="0.25">
      <c r="A1580" s="5"/>
      <c r="B1580" s="63" t="str">
        <f>IFERROR(TEXT(tbl_Ventes[[#This Row],[Date]],"mm-aaaa"),"")</f>
        <v>01-1900</v>
      </c>
      <c r="D1580" s="10" t="str">
        <f>IFERROR(
   INDEX(tbl_ProduitsRef[Cde_Prdt],MATCH(tbl_Ventes[[#This Row],[Produit]],tbl_ProduitsRef[Produit],0)),
   ""
)</f>
        <v/>
      </c>
      <c r="E1580" s="7">
        <v>0</v>
      </c>
      <c r="F1580" s="7" t="str">
        <f>IFERROR(
   INDEX(tbl_ProduitsRef[Prix Menu],MATCH(tbl_Ventes[[#This Row],[Produit]],tbl_ProduitsRef[Produit],0)),
   ""
)</f>
        <v/>
      </c>
      <c r="G1580" s="7">
        <f>tbl_Ventes[[#This Row],[Qté Vendue]] * IFERROR(_xlfn.XLOOKUP(tbl_Ventes[[#This Row],[Cde_Prdt]], tbl_Produits[Cde_Prdt], tbl_Produits[Prix Menu]), 0)</f>
        <v>0</v>
      </c>
      <c r="H1580" s="7">
        <f>IFERROR(_xlfn.XLOOKUP(tbl_Ventes[[#This Row],[Cde_Prdt]], tbl_Produits[Cde_Prdt], tbl_Produits[Coût Moyen Portion]), 0)</f>
        <v>0</v>
      </c>
      <c r="I1580" s="7">
        <f>tbl_Ventes[[#This Row],[Qté Vendue]] * tbl_Ventes[[#This Row],[CMP_par_portion]]</f>
        <v>0</v>
      </c>
      <c r="J1580" s="7">
        <f>tbl_Ventes[[#This Row],[CA ligne]] - tbl_Ventes[[#This Row],[Coût matière ligne]]</f>
        <v>0</v>
      </c>
      <c r="K1580" s="7" t="str">
        <f>IFERROR(INDEX(tbl_ProduitsRef[Famille], MATCH(tbl_Ventes[[#This Row],[Cde_Prdt]], tbl_Produits[Cde_Prdt], 0)), "")</f>
        <v/>
      </c>
    </row>
    <row r="1581" spans="1:11" x14ac:dyDescent="0.25">
      <c r="A1581" s="5"/>
      <c r="B1581" s="63" t="str">
        <f>IFERROR(TEXT(tbl_Ventes[[#This Row],[Date]],"mm-aaaa"),"")</f>
        <v>01-1900</v>
      </c>
      <c r="D1581" s="10" t="str">
        <f>IFERROR(
   INDEX(tbl_ProduitsRef[Cde_Prdt],MATCH(tbl_Ventes[[#This Row],[Produit]],tbl_ProduitsRef[Produit],0)),
   ""
)</f>
        <v/>
      </c>
      <c r="E1581" s="7">
        <v>0</v>
      </c>
      <c r="F1581" s="7" t="str">
        <f>IFERROR(
   INDEX(tbl_ProduitsRef[Prix Menu],MATCH(tbl_Ventes[[#This Row],[Produit]],tbl_ProduitsRef[Produit],0)),
   ""
)</f>
        <v/>
      </c>
      <c r="G1581" s="7">
        <f>tbl_Ventes[[#This Row],[Qté Vendue]] * IFERROR(_xlfn.XLOOKUP(tbl_Ventes[[#This Row],[Cde_Prdt]], tbl_Produits[Cde_Prdt], tbl_Produits[Prix Menu]), 0)</f>
        <v>0</v>
      </c>
      <c r="H1581" s="7">
        <f>IFERROR(_xlfn.XLOOKUP(tbl_Ventes[[#This Row],[Cde_Prdt]], tbl_Produits[Cde_Prdt], tbl_Produits[Coût Moyen Portion]), 0)</f>
        <v>0</v>
      </c>
      <c r="I1581" s="7">
        <f>tbl_Ventes[[#This Row],[Qté Vendue]] * tbl_Ventes[[#This Row],[CMP_par_portion]]</f>
        <v>0</v>
      </c>
      <c r="J1581" s="7">
        <f>tbl_Ventes[[#This Row],[CA ligne]] - tbl_Ventes[[#This Row],[Coût matière ligne]]</f>
        <v>0</v>
      </c>
      <c r="K1581" s="7" t="str">
        <f>IFERROR(INDEX(tbl_ProduitsRef[Famille], MATCH(tbl_Ventes[[#This Row],[Cde_Prdt]], tbl_Produits[Cde_Prdt], 0)), "")</f>
        <v/>
      </c>
    </row>
    <row r="1582" spans="1:11" x14ac:dyDescent="0.25">
      <c r="A1582" s="5"/>
      <c r="B1582" s="63" t="str">
        <f>IFERROR(TEXT(tbl_Ventes[[#This Row],[Date]],"mm-aaaa"),"")</f>
        <v>01-1900</v>
      </c>
      <c r="D1582" s="10" t="str">
        <f>IFERROR(
   INDEX(tbl_ProduitsRef[Cde_Prdt],MATCH(tbl_Ventes[[#This Row],[Produit]],tbl_ProduitsRef[Produit],0)),
   ""
)</f>
        <v/>
      </c>
      <c r="E1582" s="7">
        <v>0</v>
      </c>
      <c r="F1582" s="7" t="str">
        <f>IFERROR(
   INDEX(tbl_ProduitsRef[Prix Menu],MATCH(tbl_Ventes[[#This Row],[Produit]],tbl_ProduitsRef[Produit],0)),
   ""
)</f>
        <v/>
      </c>
      <c r="G1582" s="7">
        <f>tbl_Ventes[[#This Row],[Qté Vendue]] * IFERROR(_xlfn.XLOOKUP(tbl_Ventes[[#This Row],[Cde_Prdt]], tbl_Produits[Cde_Prdt], tbl_Produits[Prix Menu]), 0)</f>
        <v>0</v>
      </c>
      <c r="H1582" s="7">
        <f>IFERROR(_xlfn.XLOOKUP(tbl_Ventes[[#This Row],[Cde_Prdt]], tbl_Produits[Cde_Prdt], tbl_Produits[Coût Moyen Portion]), 0)</f>
        <v>0</v>
      </c>
      <c r="I1582" s="7">
        <f>tbl_Ventes[[#This Row],[Qté Vendue]] * tbl_Ventes[[#This Row],[CMP_par_portion]]</f>
        <v>0</v>
      </c>
      <c r="J1582" s="7">
        <f>tbl_Ventes[[#This Row],[CA ligne]] - tbl_Ventes[[#This Row],[Coût matière ligne]]</f>
        <v>0</v>
      </c>
      <c r="K1582" s="7" t="str">
        <f>IFERROR(INDEX(tbl_ProduitsRef[Famille], MATCH(tbl_Ventes[[#This Row],[Cde_Prdt]], tbl_Produits[Cde_Prdt], 0)), "")</f>
        <v/>
      </c>
    </row>
    <row r="1583" spans="1:11" x14ac:dyDescent="0.25">
      <c r="A1583" s="5"/>
      <c r="B1583" s="63" t="str">
        <f>IFERROR(TEXT(tbl_Ventes[[#This Row],[Date]],"mm-aaaa"),"")</f>
        <v>01-1900</v>
      </c>
      <c r="D1583" s="10" t="str">
        <f>IFERROR(
   INDEX(tbl_ProduitsRef[Cde_Prdt],MATCH(tbl_Ventes[[#This Row],[Produit]],tbl_ProduitsRef[Produit],0)),
   ""
)</f>
        <v/>
      </c>
      <c r="E1583" s="7">
        <v>0</v>
      </c>
      <c r="F1583" s="7" t="str">
        <f>IFERROR(
   INDEX(tbl_ProduitsRef[Prix Menu],MATCH(tbl_Ventes[[#This Row],[Produit]],tbl_ProduitsRef[Produit],0)),
   ""
)</f>
        <v/>
      </c>
      <c r="G1583" s="7">
        <f>tbl_Ventes[[#This Row],[Qté Vendue]] * IFERROR(_xlfn.XLOOKUP(tbl_Ventes[[#This Row],[Cde_Prdt]], tbl_Produits[Cde_Prdt], tbl_Produits[Prix Menu]), 0)</f>
        <v>0</v>
      </c>
      <c r="H1583" s="7">
        <f>IFERROR(_xlfn.XLOOKUP(tbl_Ventes[[#This Row],[Cde_Prdt]], tbl_Produits[Cde_Prdt], tbl_Produits[Coût Moyen Portion]), 0)</f>
        <v>0</v>
      </c>
      <c r="I1583" s="7">
        <f>tbl_Ventes[[#This Row],[Qté Vendue]] * tbl_Ventes[[#This Row],[CMP_par_portion]]</f>
        <v>0</v>
      </c>
      <c r="J1583" s="7">
        <f>tbl_Ventes[[#This Row],[CA ligne]] - tbl_Ventes[[#This Row],[Coût matière ligne]]</f>
        <v>0</v>
      </c>
      <c r="K1583" s="7" t="str">
        <f>IFERROR(INDEX(tbl_ProduitsRef[Famille], MATCH(tbl_Ventes[[#This Row],[Cde_Prdt]], tbl_Produits[Cde_Prdt], 0)), "")</f>
        <v/>
      </c>
    </row>
    <row r="1584" spans="1:11" x14ac:dyDescent="0.25">
      <c r="A1584" s="5"/>
      <c r="B1584" s="63" t="str">
        <f>IFERROR(TEXT(tbl_Ventes[[#This Row],[Date]],"mm-aaaa"),"")</f>
        <v>01-1900</v>
      </c>
      <c r="D1584" s="10" t="str">
        <f>IFERROR(
   INDEX(tbl_ProduitsRef[Cde_Prdt],MATCH(tbl_Ventes[[#This Row],[Produit]],tbl_ProduitsRef[Produit],0)),
   ""
)</f>
        <v/>
      </c>
      <c r="E1584" s="7">
        <v>0</v>
      </c>
      <c r="F1584" s="7" t="str">
        <f>IFERROR(
   INDEX(tbl_ProduitsRef[Prix Menu],MATCH(tbl_Ventes[[#This Row],[Produit]],tbl_ProduitsRef[Produit],0)),
   ""
)</f>
        <v/>
      </c>
      <c r="G1584" s="7">
        <f>tbl_Ventes[[#This Row],[Qté Vendue]] * IFERROR(_xlfn.XLOOKUP(tbl_Ventes[[#This Row],[Cde_Prdt]], tbl_Produits[Cde_Prdt], tbl_Produits[Prix Menu]), 0)</f>
        <v>0</v>
      </c>
      <c r="H1584" s="7">
        <f>IFERROR(_xlfn.XLOOKUP(tbl_Ventes[[#This Row],[Cde_Prdt]], tbl_Produits[Cde_Prdt], tbl_Produits[Coût Moyen Portion]), 0)</f>
        <v>0</v>
      </c>
      <c r="I1584" s="7">
        <f>tbl_Ventes[[#This Row],[Qté Vendue]] * tbl_Ventes[[#This Row],[CMP_par_portion]]</f>
        <v>0</v>
      </c>
      <c r="J1584" s="7">
        <f>tbl_Ventes[[#This Row],[CA ligne]] - tbl_Ventes[[#This Row],[Coût matière ligne]]</f>
        <v>0</v>
      </c>
      <c r="K1584" s="7" t="str">
        <f>IFERROR(INDEX(tbl_ProduitsRef[Famille], MATCH(tbl_Ventes[[#This Row],[Cde_Prdt]], tbl_Produits[Cde_Prdt], 0)), "")</f>
        <v/>
      </c>
    </row>
    <row r="1585" spans="1:11" x14ac:dyDescent="0.25">
      <c r="A1585" s="5"/>
      <c r="B1585" s="63" t="str">
        <f>IFERROR(TEXT(tbl_Ventes[[#This Row],[Date]],"mm-aaaa"),"")</f>
        <v>01-1900</v>
      </c>
      <c r="D1585" s="10" t="str">
        <f>IFERROR(
   INDEX(tbl_ProduitsRef[Cde_Prdt],MATCH(tbl_Ventes[[#This Row],[Produit]],tbl_ProduitsRef[Produit],0)),
   ""
)</f>
        <v/>
      </c>
      <c r="E1585" s="7">
        <v>0</v>
      </c>
      <c r="F1585" s="7" t="str">
        <f>IFERROR(
   INDEX(tbl_ProduitsRef[Prix Menu],MATCH(tbl_Ventes[[#This Row],[Produit]],tbl_ProduitsRef[Produit],0)),
   ""
)</f>
        <v/>
      </c>
      <c r="G1585" s="7">
        <f>tbl_Ventes[[#This Row],[Qté Vendue]] * IFERROR(_xlfn.XLOOKUP(tbl_Ventes[[#This Row],[Cde_Prdt]], tbl_Produits[Cde_Prdt], tbl_Produits[Prix Menu]), 0)</f>
        <v>0</v>
      </c>
      <c r="H1585" s="7">
        <f>IFERROR(_xlfn.XLOOKUP(tbl_Ventes[[#This Row],[Cde_Prdt]], tbl_Produits[Cde_Prdt], tbl_Produits[Coût Moyen Portion]), 0)</f>
        <v>0</v>
      </c>
      <c r="I1585" s="7">
        <f>tbl_Ventes[[#This Row],[Qté Vendue]] * tbl_Ventes[[#This Row],[CMP_par_portion]]</f>
        <v>0</v>
      </c>
      <c r="J1585" s="7">
        <f>tbl_Ventes[[#This Row],[CA ligne]] - tbl_Ventes[[#This Row],[Coût matière ligne]]</f>
        <v>0</v>
      </c>
      <c r="K1585" s="7" t="str">
        <f>IFERROR(INDEX(tbl_ProduitsRef[Famille], MATCH(tbl_Ventes[[#This Row],[Cde_Prdt]], tbl_Produits[Cde_Prdt], 0)), "")</f>
        <v/>
      </c>
    </row>
    <row r="1586" spans="1:11" x14ac:dyDescent="0.25">
      <c r="A1586" s="5"/>
      <c r="B1586" s="63" t="str">
        <f>IFERROR(TEXT(tbl_Ventes[[#This Row],[Date]],"mm-aaaa"),"")</f>
        <v>01-1900</v>
      </c>
      <c r="D1586" s="10" t="str">
        <f>IFERROR(
   INDEX(tbl_ProduitsRef[Cde_Prdt],MATCH(tbl_Ventes[[#This Row],[Produit]],tbl_ProduitsRef[Produit],0)),
   ""
)</f>
        <v/>
      </c>
      <c r="E1586" s="7">
        <v>0</v>
      </c>
      <c r="F1586" s="7" t="str">
        <f>IFERROR(
   INDEX(tbl_ProduitsRef[Prix Menu],MATCH(tbl_Ventes[[#This Row],[Produit]],tbl_ProduitsRef[Produit],0)),
   ""
)</f>
        <v/>
      </c>
      <c r="G1586" s="7">
        <f>tbl_Ventes[[#This Row],[Qté Vendue]] * IFERROR(_xlfn.XLOOKUP(tbl_Ventes[[#This Row],[Cde_Prdt]], tbl_Produits[Cde_Prdt], tbl_Produits[Prix Menu]), 0)</f>
        <v>0</v>
      </c>
      <c r="H1586" s="7">
        <f>IFERROR(_xlfn.XLOOKUP(tbl_Ventes[[#This Row],[Cde_Prdt]], tbl_Produits[Cde_Prdt], tbl_Produits[Coût Moyen Portion]), 0)</f>
        <v>0</v>
      </c>
      <c r="I1586" s="7">
        <f>tbl_Ventes[[#This Row],[Qté Vendue]] * tbl_Ventes[[#This Row],[CMP_par_portion]]</f>
        <v>0</v>
      </c>
      <c r="J1586" s="7">
        <f>tbl_Ventes[[#This Row],[CA ligne]] - tbl_Ventes[[#This Row],[Coût matière ligne]]</f>
        <v>0</v>
      </c>
      <c r="K1586" s="7" t="str">
        <f>IFERROR(INDEX(tbl_ProduitsRef[Famille], MATCH(tbl_Ventes[[#This Row],[Cde_Prdt]], tbl_Produits[Cde_Prdt], 0)), "")</f>
        <v/>
      </c>
    </row>
    <row r="1587" spans="1:11" x14ac:dyDescent="0.25">
      <c r="A1587" s="5"/>
      <c r="B1587" s="63" t="str">
        <f>IFERROR(TEXT(tbl_Ventes[[#This Row],[Date]],"mm-aaaa"),"")</f>
        <v>01-1900</v>
      </c>
      <c r="D1587" s="10" t="str">
        <f>IFERROR(
   INDEX(tbl_ProduitsRef[Cde_Prdt],MATCH(tbl_Ventes[[#This Row],[Produit]],tbl_ProduitsRef[Produit],0)),
   ""
)</f>
        <v/>
      </c>
      <c r="E1587" s="7">
        <v>0</v>
      </c>
      <c r="F1587" s="7" t="str">
        <f>IFERROR(
   INDEX(tbl_ProduitsRef[Prix Menu],MATCH(tbl_Ventes[[#This Row],[Produit]],tbl_ProduitsRef[Produit],0)),
   ""
)</f>
        <v/>
      </c>
      <c r="G1587" s="7">
        <f>tbl_Ventes[[#This Row],[Qté Vendue]] * IFERROR(_xlfn.XLOOKUP(tbl_Ventes[[#This Row],[Cde_Prdt]], tbl_Produits[Cde_Prdt], tbl_Produits[Prix Menu]), 0)</f>
        <v>0</v>
      </c>
      <c r="H1587" s="7">
        <f>IFERROR(_xlfn.XLOOKUP(tbl_Ventes[[#This Row],[Cde_Prdt]], tbl_Produits[Cde_Prdt], tbl_Produits[Coût Moyen Portion]), 0)</f>
        <v>0</v>
      </c>
      <c r="I1587" s="7">
        <f>tbl_Ventes[[#This Row],[Qté Vendue]] * tbl_Ventes[[#This Row],[CMP_par_portion]]</f>
        <v>0</v>
      </c>
      <c r="J1587" s="7">
        <f>tbl_Ventes[[#This Row],[CA ligne]] - tbl_Ventes[[#This Row],[Coût matière ligne]]</f>
        <v>0</v>
      </c>
      <c r="K1587" s="7" t="str">
        <f>IFERROR(INDEX(tbl_ProduitsRef[Famille], MATCH(tbl_Ventes[[#This Row],[Cde_Prdt]], tbl_Produits[Cde_Prdt], 0)), "")</f>
        <v/>
      </c>
    </row>
    <row r="1588" spans="1:11" x14ac:dyDescent="0.25">
      <c r="A1588" s="5"/>
      <c r="B1588" s="63" t="str">
        <f>IFERROR(TEXT(tbl_Ventes[[#This Row],[Date]],"mm-aaaa"),"")</f>
        <v>01-1900</v>
      </c>
      <c r="D1588" s="10" t="str">
        <f>IFERROR(
   INDEX(tbl_ProduitsRef[Cde_Prdt],MATCH(tbl_Ventes[[#This Row],[Produit]],tbl_ProduitsRef[Produit],0)),
   ""
)</f>
        <v/>
      </c>
      <c r="E1588" s="7">
        <v>0</v>
      </c>
      <c r="F1588" s="7" t="str">
        <f>IFERROR(
   INDEX(tbl_ProduitsRef[Prix Menu],MATCH(tbl_Ventes[[#This Row],[Produit]],tbl_ProduitsRef[Produit],0)),
   ""
)</f>
        <v/>
      </c>
      <c r="G1588" s="7">
        <f>tbl_Ventes[[#This Row],[Qté Vendue]] * IFERROR(_xlfn.XLOOKUP(tbl_Ventes[[#This Row],[Cde_Prdt]], tbl_Produits[Cde_Prdt], tbl_Produits[Prix Menu]), 0)</f>
        <v>0</v>
      </c>
      <c r="H1588" s="7">
        <f>IFERROR(_xlfn.XLOOKUP(tbl_Ventes[[#This Row],[Cde_Prdt]], tbl_Produits[Cde_Prdt], tbl_Produits[Coût Moyen Portion]), 0)</f>
        <v>0</v>
      </c>
      <c r="I1588" s="7">
        <f>tbl_Ventes[[#This Row],[Qté Vendue]] * tbl_Ventes[[#This Row],[CMP_par_portion]]</f>
        <v>0</v>
      </c>
      <c r="J1588" s="7">
        <f>tbl_Ventes[[#This Row],[CA ligne]] - tbl_Ventes[[#This Row],[Coût matière ligne]]</f>
        <v>0</v>
      </c>
      <c r="K1588" s="7" t="str">
        <f>IFERROR(INDEX(tbl_ProduitsRef[Famille], MATCH(tbl_Ventes[[#This Row],[Cde_Prdt]], tbl_Produits[Cde_Prdt], 0)), "")</f>
        <v/>
      </c>
    </row>
    <row r="1589" spans="1:11" x14ac:dyDescent="0.25">
      <c r="A1589" s="5"/>
      <c r="B1589" s="63" t="str">
        <f>IFERROR(TEXT(tbl_Ventes[[#This Row],[Date]],"mm-aaaa"),"")</f>
        <v>01-1900</v>
      </c>
      <c r="D1589" s="10" t="str">
        <f>IFERROR(
   INDEX(tbl_ProduitsRef[Cde_Prdt],MATCH(tbl_Ventes[[#This Row],[Produit]],tbl_ProduitsRef[Produit],0)),
   ""
)</f>
        <v/>
      </c>
      <c r="E1589" s="7">
        <v>0</v>
      </c>
      <c r="F1589" s="7" t="str">
        <f>IFERROR(
   INDEX(tbl_ProduitsRef[Prix Menu],MATCH(tbl_Ventes[[#This Row],[Produit]],tbl_ProduitsRef[Produit],0)),
   ""
)</f>
        <v/>
      </c>
      <c r="G1589" s="7">
        <f>tbl_Ventes[[#This Row],[Qté Vendue]] * IFERROR(_xlfn.XLOOKUP(tbl_Ventes[[#This Row],[Cde_Prdt]], tbl_Produits[Cde_Prdt], tbl_Produits[Prix Menu]), 0)</f>
        <v>0</v>
      </c>
      <c r="H1589" s="7">
        <f>IFERROR(_xlfn.XLOOKUP(tbl_Ventes[[#This Row],[Cde_Prdt]], tbl_Produits[Cde_Prdt], tbl_Produits[Coût Moyen Portion]), 0)</f>
        <v>0</v>
      </c>
      <c r="I1589" s="7">
        <f>tbl_Ventes[[#This Row],[Qté Vendue]] * tbl_Ventes[[#This Row],[CMP_par_portion]]</f>
        <v>0</v>
      </c>
      <c r="J1589" s="7">
        <f>tbl_Ventes[[#This Row],[CA ligne]] - tbl_Ventes[[#This Row],[Coût matière ligne]]</f>
        <v>0</v>
      </c>
      <c r="K1589" s="7" t="str">
        <f>IFERROR(INDEX(tbl_ProduitsRef[Famille], MATCH(tbl_Ventes[[#This Row],[Cde_Prdt]], tbl_Produits[Cde_Prdt], 0)), "")</f>
        <v/>
      </c>
    </row>
    <row r="1590" spans="1:11" x14ac:dyDescent="0.25">
      <c r="A1590" s="5"/>
      <c r="B1590" s="63" t="str">
        <f>IFERROR(TEXT(tbl_Ventes[[#This Row],[Date]],"mm-aaaa"),"")</f>
        <v>01-1900</v>
      </c>
      <c r="D1590" s="10" t="str">
        <f>IFERROR(
   INDEX(tbl_ProduitsRef[Cde_Prdt],MATCH(tbl_Ventes[[#This Row],[Produit]],tbl_ProduitsRef[Produit],0)),
   ""
)</f>
        <v/>
      </c>
      <c r="E1590" s="7">
        <v>0</v>
      </c>
      <c r="F1590" s="7" t="str">
        <f>IFERROR(
   INDEX(tbl_ProduitsRef[Prix Menu],MATCH(tbl_Ventes[[#This Row],[Produit]],tbl_ProduitsRef[Produit],0)),
   ""
)</f>
        <v/>
      </c>
      <c r="G1590" s="7">
        <f>tbl_Ventes[[#This Row],[Qté Vendue]] * IFERROR(_xlfn.XLOOKUP(tbl_Ventes[[#This Row],[Cde_Prdt]], tbl_Produits[Cde_Prdt], tbl_Produits[Prix Menu]), 0)</f>
        <v>0</v>
      </c>
      <c r="H1590" s="7">
        <f>IFERROR(_xlfn.XLOOKUP(tbl_Ventes[[#This Row],[Cde_Prdt]], tbl_Produits[Cde_Prdt], tbl_Produits[Coût Moyen Portion]), 0)</f>
        <v>0</v>
      </c>
      <c r="I1590" s="7">
        <f>tbl_Ventes[[#This Row],[Qté Vendue]] * tbl_Ventes[[#This Row],[CMP_par_portion]]</f>
        <v>0</v>
      </c>
      <c r="J1590" s="7">
        <f>tbl_Ventes[[#This Row],[CA ligne]] - tbl_Ventes[[#This Row],[Coût matière ligne]]</f>
        <v>0</v>
      </c>
      <c r="K1590" s="7" t="str">
        <f>IFERROR(INDEX(tbl_ProduitsRef[Famille], MATCH(tbl_Ventes[[#This Row],[Cde_Prdt]], tbl_Produits[Cde_Prdt], 0)), "")</f>
        <v/>
      </c>
    </row>
    <row r="1591" spans="1:11" x14ac:dyDescent="0.25">
      <c r="A1591" s="5"/>
      <c r="B1591" s="63" t="str">
        <f>IFERROR(TEXT(tbl_Ventes[[#This Row],[Date]],"mm-aaaa"),"")</f>
        <v>01-1900</v>
      </c>
      <c r="D1591" s="10" t="str">
        <f>IFERROR(
   INDEX(tbl_ProduitsRef[Cde_Prdt],MATCH(tbl_Ventes[[#This Row],[Produit]],tbl_ProduitsRef[Produit],0)),
   ""
)</f>
        <v/>
      </c>
      <c r="E1591" s="7">
        <v>0</v>
      </c>
      <c r="F1591" s="7" t="str">
        <f>IFERROR(
   INDEX(tbl_ProduitsRef[Prix Menu],MATCH(tbl_Ventes[[#This Row],[Produit]],tbl_ProduitsRef[Produit],0)),
   ""
)</f>
        <v/>
      </c>
      <c r="G1591" s="7">
        <f>tbl_Ventes[[#This Row],[Qté Vendue]] * IFERROR(_xlfn.XLOOKUP(tbl_Ventes[[#This Row],[Cde_Prdt]], tbl_Produits[Cde_Prdt], tbl_Produits[Prix Menu]), 0)</f>
        <v>0</v>
      </c>
      <c r="H1591" s="7">
        <f>IFERROR(_xlfn.XLOOKUP(tbl_Ventes[[#This Row],[Cde_Prdt]], tbl_Produits[Cde_Prdt], tbl_Produits[Coût Moyen Portion]), 0)</f>
        <v>0</v>
      </c>
      <c r="I1591" s="7">
        <f>tbl_Ventes[[#This Row],[Qté Vendue]] * tbl_Ventes[[#This Row],[CMP_par_portion]]</f>
        <v>0</v>
      </c>
      <c r="J1591" s="7">
        <f>tbl_Ventes[[#This Row],[CA ligne]] - tbl_Ventes[[#This Row],[Coût matière ligne]]</f>
        <v>0</v>
      </c>
      <c r="K1591" s="7" t="str">
        <f>IFERROR(INDEX(tbl_ProduitsRef[Famille], MATCH(tbl_Ventes[[#This Row],[Cde_Prdt]], tbl_Produits[Cde_Prdt], 0)), "")</f>
        <v/>
      </c>
    </row>
    <row r="1592" spans="1:11" x14ac:dyDescent="0.25">
      <c r="A1592" s="5"/>
      <c r="B1592" s="63" t="str">
        <f>IFERROR(TEXT(tbl_Ventes[[#This Row],[Date]],"mm-aaaa"),"")</f>
        <v>01-1900</v>
      </c>
      <c r="D1592" s="10" t="str">
        <f>IFERROR(
   INDEX(tbl_ProduitsRef[Cde_Prdt],MATCH(tbl_Ventes[[#This Row],[Produit]],tbl_ProduitsRef[Produit],0)),
   ""
)</f>
        <v/>
      </c>
      <c r="E1592" s="7">
        <v>0</v>
      </c>
      <c r="F1592" s="7" t="str">
        <f>IFERROR(
   INDEX(tbl_ProduitsRef[Prix Menu],MATCH(tbl_Ventes[[#This Row],[Produit]],tbl_ProduitsRef[Produit],0)),
   ""
)</f>
        <v/>
      </c>
      <c r="G1592" s="7">
        <f>tbl_Ventes[[#This Row],[Qté Vendue]] * IFERROR(_xlfn.XLOOKUP(tbl_Ventes[[#This Row],[Cde_Prdt]], tbl_Produits[Cde_Prdt], tbl_Produits[Prix Menu]), 0)</f>
        <v>0</v>
      </c>
      <c r="H1592" s="7">
        <f>IFERROR(_xlfn.XLOOKUP(tbl_Ventes[[#This Row],[Cde_Prdt]], tbl_Produits[Cde_Prdt], tbl_Produits[Coût Moyen Portion]), 0)</f>
        <v>0</v>
      </c>
      <c r="I1592" s="7">
        <f>tbl_Ventes[[#This Row],[Qté Vendue]] * tbl_Ventes[[#This Row],[CMP_par_portion]]</f>
        <v>0</v>
      </c>
      <c r="J1592" s="7">
        <f>tbl_Ventes[[#This Row],[CA ligne]] - tbl_Ventes[[#This Row],[Coût matière ligne]]</f>
        <v>0</v>
      </c>
      <c r="K1592" s="7" t="str">
        <f>IFERROR(INDEX(tbl_ProduitsRef[Famille], MATCH(tbl_Ventes[[#This Row],[Cde_Prdt]], tbl_Produits[Cde_Prdt], 0)), "")</f>
        <v/>
      </c>
    </row>
    <row r="1593" spans="1:11" x14ac:dyDescent="0.25">
      <c r="A1593" s="5"/>
      <c r="B1593" s="63" t="str">
        <f>IFERROR(TEXT(tbl_Ventes[[#This Row],[Date]],"mm-aaaa"),"")</f>
        <v>01-1900</v>
      </c>
      <c r="D1593" s="10" t="str">
        <f>IFERROR(
   INDEX(tbl_ProduitsRef[Cde_Prdt],MATCH(tbl_Ventes[[#This Row],[Produit]],tbl_ProduitsRef[Produit],0)),
   ""
)</f>
        <v/>
      </c>
      <c r="E1593" s="7">
        <v>0</v>
      </c>
      <c r="F1593" s="7" t="str">
        <f>IFERROR(
   INDEX(tbl_ProduitsRef[Prix Menu],MATCH(tbl_Ventes[[#This Row],[Produit]],tbl_ProduitsRef[Produit],0)),
   ""
)</f>
        <v/>
      </c>
      <c r="G1593" s="7">
        <f>tbl_Ventes[[#This Row],[Qté Vendue]] * IFERROR(_xlfn.XLOOKUP(tbl_Ventes[[#This Row],[Cde_Prdt]], tbl_Produits[Cde_Prdt], tbl_Produits[Prix Menu]), 0)</f>
        <v>0</v>
      </c>
      <c r="H1593" s="7">
        <f>IFERROR(_xlfn.XLOOKUP(tbl_Ventes[[#This Row],[Cde_Prdt]], tbl_Produits[Cde_Prdt], tbl_Produits[Coût Moyen Portion]), 0)</f>
        <v>0</v>
      </c>
      <c r="I1593" s="7">
        <f>tbl_Ventes[[#This Row],[Qté Vendue]] * tbl_Ventes[[#This Row],[CMP_par_portion]]</f>
        <v>0</v>
      </c>
      <c r="J1593" s="7">
        <f>tbl_Ventes[[#This Row],[CA ligne]] - tbl_Ventes[[#This Row],[Coût matière ligne]]</f>
        <v>0</v>
      </c>
      <c r="K1593" s="7" t="str">
        <f>IFERROR(INDEX(tbl_ProduitsRef[Famille], MATCH(tbl_Ventes[[#This Row],[Cde_Prdt]], tbl_Produits[Cde_Prdt], 0)), "")</f>
        <v/>
      </c>
    </row>
    <row r="1594" spans="1:11" x14ac:dyDescent="0.25">
      <c r="A1594" s="5"/>
      <c r="B1594" s="63" t="str">
        <f>IFERROR(TEXT(tbl_Ventes[[#This Row],[Date]],"mm-aaaa"),"")</f>
        <v>01-1900</v>
      </c>
      <c r="D1594" s="10" t="str">
        <f>IFERROR(
   INDEX(tbl_ProduitsRef[Cde_Prdt],MATCH(tbl_Ventes[[#This Row],[Produit]],tbl_ProduitsRef[Produit],0)),
   ""
)</f>
        <v/>
      </c>
      <c r="E1594" s="7">
        <v>0</v>
      </c>
      <c r="F1594" s="7" t="str">
        <f>IFERROR(
   INDEX(tbl_ProduitsRef[Prix Menu],MATCH(tbl_Ventes[[#This Row],[Produit]],tbl_ProduitsRef[Produit],0)),
   ""
)</f>
        <v/>
      </c>
      <c r="G1594" s="7">
        <f>tbl_Ventes[[#This Row],[Qté Vendue]] * IFERROR(_xlfn.XLOOKUP(tbl_Ventes[[#This Row],[Cde_Prdt]], tbl_Produits[Cde_Prdt], tbl_Produits[Prix Menu]), 0)</f>
        <v>0</v>
      </c>
      <c r="H1594" s="7">
        <f>IFERROR(_xlfn.XLOOKUP(tbl_Ventes[[#This Row],[Cde_Prdt]], tbl_Produits[Cde_Prdt], tbl_Produits[Coût Moyen Portion]), 0)</f>
        <v>0</v>
      </c>
      <c r="I1594" s="7">
        <f>tbl_Ventes[[#This Row],[Qté Vendue]] * tbl_Ventes[[#This Row],[CMP_par_portion]]</f>
        <v>0</v>
      </c>
      <c r="J1594" s="7">
        <f>tbl_Ventes[[#This Row],[CA ligne]] - tbl_Ventes[[#This Row],[Coût matière ligne]]</f>
        <v>0</v>
      </c>
      <c r="K1594" s="7" t="str">
        <f>IFERROR(INDEX(tbl_ProduitsRef[Famille], MATCH(tbl_Ventes[[#This Row],[Cde_Prdt]], tbl_Produits[Cde_Prdt], 0)), "")</f>
        <v/>
      </c>
    </row>
    <row r="1595" spans="1:11" x14ac:dyDescent="0.25">
      <c r="A1595" s="5"/>
      <c r="B1595" s="63" t="str">
        <f>IFERROR(TEXT(tbl_Ventes[[#This Row],[Date]],"mm-aaaa"),"")</f>
        <v>01-1900</v>
      </c>
      <c r="D1595" s="10" t="str">
        <f>IFERROR(
   INDEX(tbl_ProduitsRef[Cde_Prdt],MATCH(tbl_Ventes[[#This Row],[Produit]],tbl_ProduitsRef[Produit],0)),
   ""
)</f>
        <v/>
      </c>
      <c r="E1595" s="7">
        <v>0</v>
      </c>
      <c r="F1595" s="7" t="str">
        <f>IFERROR(
   INDEX(tbl_ProduitsRef[Prix Menu],MATCH(tbl_Ventes[[#This Row],[Produit]],tbl_ProduitsRef[Produit],0)),
   ""
)</f>
        <v/>
      </c>
      <c r="G1595" s="7">
        <f>tbl_Ventes[[#This Row],[Qté Vendue]] * IFERROR(_xlfn.XLOOKUP(tbl_Ventes[[#This Row],[Cde_Prdt]], tbl_Produits[Cde_Prdt], tbl_Produits[Prix Menu]), 0)</f>
        <v>0</v>
      </c>
      <c r="H1595" s="7">
        <f>IFERROR(_xlfn.XLOOKUP(tbl_Ventes[[#This Row],[Cde_Prdt]], tbl_Produits[Cde_Prdt], tbl_Produits[Coût Moyen Portion]), 0)</f>
        <v>0</v>
      </c>
      <c r="I1595" s="7">
        <f>tbl_Ventes[[#This Row],[Qté Vendue]] * tbl_Ventes[[#This Row],[CMP_par_portion]]</f>
        <v>0</v>
      </c>
      <c r="J1595" s="7">
        <f>tbl_Ventes[[#This Row],[CA ligne]] - tbl_Ventes[[#This Row],[Coût matière ligne]]</f>
        <v>0</v>
      </c>
      <c r="K1595" s="7" t="str">
        <f>IFERROR(INDEX(tbl_ProduitsRef[Famille], MATCH(tbl_Ventes[[#This Row],[Cde_Prdt]], tbl_Produits[Cde_Prdt], 0)), "")</f>
        <v/>
      </c>
    </row>
    <row r="1596" spans="1:11" x14ac:dyDescent="0.25">
      <c r="A1596" s="5"/>
      <c r="B1596" s="63" t="str">
        <f>IFERROR(TEXT(tbl_Ventes[[#This Row],[Date]],"mm-aaaa"),"")</f>
        <v>01-1900</v>
      </c>
      <c r="D1596" s="10" t="str">
        <f>IFERROR(
   INDEX(tbl_ProduitsRef[Cde_Prdt],MATCH(tbl_Ventes[[#This Row],[Produit]],tbl_ProduitsRef[Produit],0)),
   ""
)</f>
        <v/>
      </c>
      <c r="E1596" s="7">
        <v>0</v>
      </c>
      <c r="F1596" s="7" t="str">
        <f>IFERROR(
   INDEX(tbl_ProduitsRef[Prix Menu],MATCH(tbl_Ventes[[#This Row],[Produit]],tbl_ProduitsRef[Produit],0)),
   ""
)</f>
        <v/>
      </c>
      <c r="G1596" s="7">
        <f>tbl_Ventes[[#This Row],[Qté Vendue]] * IFERROR(_xlfn.XLOOKUP(tbl_Ventes[[#This Row],[Cde_Prdt]], tbl_Produits[Cde_Prdt], tbl_Produits[Prix Menu]), 0)</f>
        <v>0</v>
      </c>
      <c r="H1596" s="7">
        <f>IFERROR(_xlfn.XLOOKUP(tbl_Ventes[[#This Row],[Cde_Prdt]], tbl_Produits[Cde_Prdt], tbl_Produits[Coût Moyen Portion]), 0)</f>
        <v>0</v>
      </c>
      <c r="I1596" s="7">
        <f>tbl_Ventes[[#This Row],[Qté Vendue]] * tbl_Ventes[[#This Row],[CMP_par_portion]]</f>
        <v>0</v>
      </c>
      <c r="J1596" s="7">
        <f>tbl_Ventes[[#This Row],[CA ligne]] - tbl_Ventes[[#This Row],[Coût matière ligne]]</f>
        <v>0</v>
      </c>
      <c r="K1596" s="7" t="str">
        <f>IFERROR(INDEX(tbl_ProduitsRef[Famille], MATCH(tbl_Ventes[[#This Row],[Cde_Prdt]], tbl_Produits[Cde_Prdt], 0)), "")</f>
        <v/>
      </c>
    </row>
    <row r="1597" spans="1:11" x14ac:dyDescent="0.25">
      <c r="A1597" s="5"/>
      <c r="B1597" s="63" t="str">
        <f>IFERROR(TEXT(tbl_Ventes[[#This Row],[Date]],"mm-aaaa"),"")</f>
        <v>01-1900</v>
      </c>
      <c r="D1597" s="10" t="str">
        <f>IFERROR(
   INDEX(tbl_ProduitsRef[Cde_Prdt],MATCH(tbl_Ventes[[#This Row],[Produit]],tbl_ProduitsRef[Produit],0)),
   ""
)</f>
        <v/>
      </c>
      <c r="E1597" s="7">
        <v>0</v>
      </c>
      <c r="F1597" s="7" t="str">
        <f>IFERROR(
   INDEX(tbl_ProduitsRef[Prix Menu],MATCH(tbl_Ventes[[#This Row],[Produit]],tbl_ProduitsRef[Produit],0)),
   ""
)</f>
        <v/>
      </c>
      <c r="G1597" s="7">
        <f>tbl_Ventes[[#This Row],[Qté Vendue]] * IFERROR(_xlfn.XLOOKUP(tbl_Ventes[[#This Row],[Cde_Prdt]], tbl_Produits[Cde_Prdt], tbl_Produits[Prix Menu]), 0)</f>
        <v>0</v>
      </c>
      <c r="H1597" s="7">
        <f>IFERROR(_xlfn.XLOOKUP(tbl_Ventes[[#This Row],[Cde_Prdt]], tbl_Produits[Cde_Prdt], tbl_Produits[Coût Moyen Portion]), 0)</f>
        <v>0</v>
      </c>
      <c r="I1597" s="7">
        <f>tbl_Ventes[[#This Row],[Qté Vendue]] * tbl_Ventes[[#This Row],[CMP_par_portion]]</f>
        <v>0</v>
      </c>
      <c r="J1597" s="7">
        <f>tbl_Ventes[[#This Row],[CA ligne]] - tbl_Ventes[[#This Row],[Coût matière ligne]]</f>
        <v>0</v>
      </c>
      <c r="K1597" s="7" t="str">
        <f>IFERROR(INDEX(tbl_ProduitsRef[Famille], MATCH(tbl_Ventes[[#This Row],[Cde_Prdt]], tbl_Produits[Cde_Prdt], 0)), "")</f>
        <v/>
      </c>
    </row>
    <row r="1598" spans="1:11" x14ac:dyDescent="0.25">
      <c r="A1598" s="5"/>
      <c r="B1598" s="63" t="str">
        <f>IFERROR(TEXT(tbl_Ventes[[#This Row],[Date]],"mm-aaaa"),"")</f>
        <v>01-1900</v>
      </c>
      <c r="D1598" s="10" t="str">
        <f>IFERROR(
   INDEX(tbl_ProduitsRef[Cde_Prdt],MATCH(tbl_Ventes[[#This Row],[Produit]],tbl_ProduitsRef[Produit],0)),
   ""
)</f>
        <v/>
      </c>
      <c r="E1598" s="7">
        <v>0</v>
      </c>
      <c r="F1598" s="7" t="str">
        <f>IFERROR(
   INDEX(tbl_ProduitsRef[Prix Menu],MATCH(tbl_Ventes[[#This Row],[Produit]],tbl_ProduitsRef[Produit],0)),
   ""
)</f>
        <v/>
      </c>
      <c r="G1598" s="7">
        <f>tbl_Ventes[[#This Row],[Qté Vendue]] * IFERROR(_xlfn.XLOOKUP(tbl_Ventes[[#This Row],[Cde_Prdt]], tbl_Produits[Cde_Prdt], tbl_Produits[Prix Menu]), 0)</f>
        <v>0</v>
      </c>
      <c r="H1598" s="7">
        <f>IFERROR(_xlfn.XLOOKUP(tbl_Ventes[[#This Row],[Cde_Prdt]], tbl_Produits[Cde_Prdt], tbl_Produits[Coût Moyen Portion]), 0)</f>
        <v>0</v>
      </c>
      <c r="I1598" s="7">
        <f>tbl_Ventes[[#This Row],[Qté Vendue]] * tbl_Ventes[[#This Row],[CMP_par_portion]]</f>
        <v>0</v>
      </c>
      <c r="J1598" s="7">
        <f>tbl_Ventes[[#This Row],[CA ligne]] - tbl_Ventes[[#This Row],[Coût matière ligne]]</f>
        <v>0</v>
      </c>
      <c r="K1598" s="7" t="str">
        <f>IFERROR(INDEX(tbl_ProduitsRef[Famille], MATCH(tbl_Ventes[[#This Row],[Cde_Prdt]], tbl_Produits[Cde_Prdt], 0)), "")</f>
        <v/>
      </c>
    </row>
    <row r="1599" spans="1:11" x14ac:dyDescent="0.25">
      <c r="A1599" s="5"/>
      <c r="B1599" s="63" t="str">
        <f>IFERROR(TEXT(tbl_Ventes[[#This Row],[Date]],"mm-aaaa"),"")</f>
        <v>01-1900</v>
      </c>
      <c r="D1599" s="10" t="str">
        <f>IFERROR(
   INDEX(tbl_ProduitsRef[Cde_Prdt],MATCH(tbl_Ventes[[#This Row],[Produit]],tbl_ProduitsRef[Produit],0)),
   ""
)</f>
        <v/>
      </c>
      <c r="E1599" s="7">
        <v>0</v>
      </c>
      <c r="F1599" s="7" t="str">
        <f>IFERROR(
   INDEX(tbl_ProduitsRef[Prix Menu],MATCH(tbl_Ventes[[#This Row],[Produit]],tbl_ProduitsRef[Produit],0)),
   ""
)</f>
        <v/>
      </c>
      <c r="G1599" s="7">
        <f>tbl_Ventes[[#This Row],[Qté Vendue]] * IFERROR(_xlfn.XLOOKUP(tbl_Ventes[[#This Row],[Cde_Prdt]], tbl_Produits[Cde_Prdt], tbl_Produits[Prix Menu]), 0)</f>
        <v>0</v>
      </c>
      <c r="H1599" s="7">
        <f>IFERROR(_xlfn.XLOOKUP(tbl_Ventes[[#This Row],[Cde_Prdt]], tbl_Produits[Cde_Prdt], tbl_Produits[Coût Moyen Portion]), 0)</f>
        <v>0</v>
      </c>
      <c r="I1599" s="7">
        <f>tbl_Ventes[[#This Row],[Qté Vendue]] * tbl_Ventes[[#This Row],[CMP_par_portion]]</f>
        <v>0</v>
      </c>
      <c r="J1599" s="7">
        <f>tbl_Ventes[[#This Row],[CA ligne]] - tbl_Ventes[[#This Row],[Coût matière ligne]]</f>
        <v>0</v>
      </c>
      <c r="K1599" s="7" t="str">
        <f>IFERROR(INDEX(tbl_ProduitsRef[Famille], MATCH(tbl_Ventes[[#This Row],[Cde_Prdt]], tbl_Produits[Cde_Prdt], 0)), "")</f>
        <v/>
      </c>
    </row>
    <row r="1600" spans="1:11" x14ac:dyDescent="0.25">
      <c r="A1600" s="5"/>
      <c r="B1600" s="63" t="str">
        <f>IFERROR(TEXT(tbl_Ventes[[#This Row],[Date]],"mm-aaaa"),"")</f>
        <v>01-1900</v>
      </c>
      <c r="D1600" s="10" t="str">
        <f>IFERROR(
   INDEX(tbl_ProduitsRef[Cde_Prdt],MATCH(tbl_Ventes[[#This Row],[Produit]],tbl_ProduitsRef[Produit],0)),
   ""
)</f>
        <v/>
      </c>
      <c r="E1600" s="7">
        <v>0</v>
      </c>
      <c r="F1600" s="7" t="str">
        <f>IFERROR(
   INDEX(tbl_ProduitsRef[Prix Menu],MATCH(tbl_Ventes[[#This Row],[Produit]],tbl_ProduitsRef[Produit],0)),
   ""
)</f>
        <v/>
      </c>
      <c r="G1600" s="7">
        <f>tbl_Ventes[[#This Row],[Qté Vendue]] * IFERROR(_xlfn.XLOOKUP(tbl_Ventes[[#This Row],[Cde_Prdt]], tbl_Produits[Cde_Prdt], tbl_Produits[Prix Menu]), 0)</f>
        <v>0</v>
      </c>
      <c r="H1600" s="7">
        <f>IFERROR(_xlfn.XLOOKUP(tbl_Ventes[[#This Row],[Cde_Prdt]], tbl_Produits[Cde_Prdt], tbl_Produits[Coût Moyen Portion]), 0)</f>
        <v>0</v>
      </c>
      <c r="I1600" s="7">
        <f>tbl_Ventes[[#This Row],[Qté Vendue]] * tbl_Ventes[[#This Row],[CMP_par_portion]]</f>
        <v>0</v>
      </c>
      <c r="J1600" s="7">
        <f>tbl_Ventes[[#This Row],[CA ligne]] - tbl_Ventes[[#This Row],[Coût matière ligne]]</f>
        <v>0</v>
      </c>
      <c r="K1600" s="7" t="str">
        <f>IFERROR(INDEX(tbl_ProduitsRef[Famille], MATCH(tbl_Ventes[[#This Row],[Cde_Prdt]], tbl_Produits[Cde_Prdt], 0)), "")</f>
        <v/>
      </c>
    </row>
    <row r="1601" spans="1:11" x14ac:dyDescent="0.25">
      <c r="A1601" s="5"/>
      <c r="B1601" s="63" t="str">
        <f>IFERROR(TEXT(tbl_Ventes[[#This Row],[Date]],"mm-aaaa"),"")</f>
        <v>01-1900</v>
      </c>
      <c r="D1601" s="10" t="str">
        <f>IFERROR(
   INDEX(tbl_ProduitsRef[Cde_Prdt],MATCH(tbl_Ventes[[#This Row],[Produit]],tbl_ProduitsRef[Produit],0)),
   ""
)</f>
        <v/>
      </c>
      <c r="E1601" s="7">
        <v>0</v>
      </c>
      <c r="F1601" s="7" t="str">
        <f>IFERROR(
   INDEX(tbl_ProduitsRef[Prix Menu],MATCH(tbl_Ventes[[#This Row],[Produit]],tbl_ProduitsRef[Produit],0)),
   ""
)</f>
        <v/>
      </c>
      <c r="G1601" s="7">
        <f>tbl_Ventes[[#This Row],[Qté Vendue]] * IFERROR(_xlfn.XLOOKUP(tbl_Ventes[[#This Row],[Cde_Prdt]], tbl_Produits[Cde_Prdt], tbl_Produits[Prix Menu]), 0)</f>
        <v>0</v>
      </c>
      <c r="H1601" s="7">
        <f>IFERROR(_xlfn.XLOOKUP(tbl_Ventes[[#This Row],[Cde_Prdt]], tbl_Produits[Cde_Prdt], tbl_Produits[Coût Moyen Portion]), 0)</f>
        <v>0</v>
      </c>
      <c r="I1601" s="7">
        <f>tbl_Ventes[[#This Row],[Qté Vendue]] * tbl_Ventes[[#This Row],[CMP_par_portion]]</f>
        <v>0</v>
      </c>
      <c r="J1601" s="7">
        <f>tbl_Ventes[[#This Row],[CA ligne]] - tbl_Ventes[[#This Row],[Coût matière ligne]]</f>
        <v>0</v>
      </c>
      <c r="K1601" s="7" t="str">
        <f>IFERROR(INDEX(tbl_ProduitsRef[Famille], MATCH(tbl_Ventes[[#This Row],[Cde_Prdt]], tbl_Produits[Cde_Prdt], 0)), "")</f>
        <v/>
      </c>
    </row>
    <row r="1602" spans="1:11" x14ac:dyDescent="0.25">
      <c r="A1602" s="5"/>
      <c r="B1602" s="63" t="str">
        <f>IFERROR(TEXT(tbl_Ventes[[#This Row],[Date]],"mm-aaaa"),"")</f>
        <v>01-1900</v>
      </c>
      <c r="D1602" s="10" t="str">
        <f>IFERROR(
   INDEX(tbl_ProduitsRef[Cde_Prdt],MATCH(tbl_Ventes[[#This Row],[Produit]],tbl_ProduitsRef[Produit],0)),
   ""
)</f>
        <v/>
      </c>
      <c r="E1602" s="7">
        <v>0</v>
      </c>
      <c r="F1602" s="7" t="str">
        <f>IFERROR(
   INDEX(tbl_ProduitsRef[Prix Menu],MATCH(tbl_Ventes[[#This Row],[Produit]],tbl_ProduitsRef[Produit],0)),
   ""
)</f>
        <v/>
      </c>
      <c r="G1602" s="7">
        <f>tbl_Ventes[[#This Row],[Qté Vendue]] * IFERROR(_xlfn.XLOOKUP(tbl_Ventes[[#This Row],[Cde_Prdt]], tbl_Produits[Cde_Prdt], tbl_Produits[Prix Menu]), 0)</f>
        <v>0</v>
      </c>
      <c r="H1602" s="7">
        <f>IFERROR(_xlfn.XLOOKUP(tbl_Ventes[[#This Row],[Cde_Prdt]], tbl_Produits[Cde_Prdt], tbl_Produits[Coût Moyen Portion]), 0)</f>
        <v>0</v>
      </c>
      <c r="I1602" s="7">
        <f>tbl_Ventes[[#This Row],[Qté Vendue]] * tbl_Ventes[[#This Row],[CMP_par_portion]]</f>
        <v>0</v>
      </c>
      <c r="J1602" s="7">
        <f>tbl_Ventes[[#This Row],[CA ligne]] - tbl_Ventes[[#This Row],[Coût matière ligne]]</f>
        <v>0</v>
      </c>
      <c r="K1602" s="7" t="str">
        <f>IFERROR(INDEX(tbl_ProduitsRef[Famille], MATCH(tbl_Ventes[[#This Row],[Cde_Prdt]], tbl_Produits[Cde_Prdt], 0)), "")</f>
        <v/>
      </c>
    </row>
    <row r="1603" spans="1:11" x14ac:dyDescent="0.25">
      <c r="A1603" s="5"/>
      <c r="B1603" s="63" t="str">
        <f>IFERROR(TEXT(tbl_Ventes[[#This Row],[Date]],"mm-aaaa"),"")</f>
        <v>01-1900</v>
      </c>
      <c r="D1603" s="10" t="str">
        <f>IFERROR(
   INDEX(tbl_ProduitsRef[Cde_Prdt],MATCH(tbl_Ventes[[#This Row],[Produit]],tbl_ProduitsRef[Produit],0)),
   ""
)</f>
        <v/>
      </c>
      <c r="E1603" s="7">
        <v>0</v>
      </c>
      <c r="F1603" s="7" t="str">
        <f>IFERROR(
   INDEX(tbl_ProduitsRef[Prix Menu],MATCH(tbl_Ventes[[#This Row],[Produit]],tbl_ProduitsRef[Produit],0)),
   ""
)</f>
        <v/>
      </c>
      <c r="G1603" s="7">
        <f>tbl_Ventes[[#This Row],[Qté Vendue]] * IFERROR(_xlfn.XLOOKUP(tbl_Ventes[[#This Row],[Cde_Prdt]], tbl_Produits[Cde_Prdt], tbl_Produits[Prix Menu]), 0)</f>
        <v>0</v>
      </c>
      <c r="H1603" s="7">
        <f>IFERROR(_xlfn.XLOOKUP(tbl_Ventes[[#This Row],[Cde_Prdt]], tbl_Produits[Cde_Prdt], tbl_Produits[Coût Moyen Portion]), 0)</f>
        <v>0</v>
      </c>
      <c r="I1603" s="7">
        <f>tbl_Ventes[[#This Row],[Qté Vendue]] * tbl_Ventes[[#This Row],[CMP_par_portion]]</f>
        <v>0</v>
      </c>
      <c r="J1603" s="7">
        <f>tbl_Ventes[[#This Row],[CA ligne]] - tbl_Ventes[[#This Row],[Coût matière ligne]]</f>
        <v>0</v>
      </c>
      <c r="K1603" s="7" t="str">
        <f>IFERROR(INDEX(tbl_ProduitsRef[Famille], MATCH(tbl_Ventes[[#This Row],[Cde_Prdt]], tbl_Produits[Cde_Prdt], 0)), "")</f>
        <v/>
      </c>
    </row>
    <row r="1604" spans="1:11" x14ac:dyDescent="0.25">
      <c r="A1604" s="5"/>
      <c r="B1604" s="63" t="str">
        <f>IFERROR(TEXT(tbl_Ventes[[#This Row],[Date]],"mm-aaaa"),"")</f>
        <v>01-1900</v>
      </c>
      <c r="D1604" s="10" t="str">
        <f>IFERROR(
   INDEX(tbl_ProduitsRef[Cde_Prdt],MATCH(tbl_Ventes[[#This Row],[Produit]],tbl_ProduitsRef[Produit],0)),
   ""
)</f>
        <v/>
      </c>
      <c r="E1604" s="7">
        <v>0</v>
      </c>
      <c r="F1604" s="7" t="str">
        <f>IFERROR(
   INDEX(tbl_ProduitsRef[Prix Menu],MATCH(tbl_Ventes[[#This Row],[Produit]],tbl_ProduitsRef[Produit],0)),
   ""
)</f>
        <v/>
      </c>
      <c r="G1604" s="7">
        <f>tbl_Ventes[[#This Row],[Qté Vendue]] * IFERROR(_xlfn.XLOOKUP(tbl_Ventes[[#This Row],[Cde_Prdt]], tbl_Produits[Cde_Prdt], tbl_Produits[Prix Menu]), 0)</f>
        <v>0</v>
      </c>
      <c r="H1604" s="7">
        <f>IFERROR(_xlfn.XLOOKUP(tbl_Ventes[[#This Row],[Cde_Prdt]], tbl_Produits[Cde_Prdt], tbl_Produits[Coût Moyen Portion]), 0)</f>
        <v>0</v>
      </c>
      <c r="I1604" s="7">
        <f>tbl_Ventes[[#This Row],[Qté Vendue]] * tbl_Ventes[[#This Row],[CMP_par_portion]]</f>
        <v>0</v>
      </c>
      <c r="J1604" s="7">
        <f>tbl_Ventes[[#This Row],[CA ligne]] - tbl_Ventes[[#This Row],[Coût matière ligne]]</f>
        <v>0</v>
      </c>
      <c r="K1604" s="7" t="str">
        <f>IFERROR(INDEX(tbl_ProduitsRef[Famille], MATCH(tbl_Ventes[[#This Row],[Cde_Prdt]], tbl_Produits[Cde_Prdt], 0)), "")</f>
        <v/>
      </c>
    </row>
    <row r="1605" spans="1:11" x14ac:dyDescent="0.25">
      <c r="A1605" s="5"/>
      <c r="B1605" s="63" t="str">
        <f>IFERROR(TEXT(tbl_Ventes[[#This Row],[Date]],"mm-aaaa"),"")</f>
        <v>01-1900</v>
      </c>
      <c r="D1605" s="10" t="str">
        <f>IFERROR(
   INDEX(tbl_ProduitsRef[Cde_Prdt],MATCH(tbl_Ventes[[#This Row],[Produit]],tbl_ProduitsRef[Produit],0)),
   ""
)</f>
        <v/>
      </c>
      <c r="E1605" s="7">
        <v>0</v>
      </c>
      <c r="F1605" s="7" t="str">
        <f>IFERROR(
   INDEX(tbl_ProduitsRef[Prix Menu],MATCH(tbl_Ventes[[#This Row],[Produit]],tbl_ProduitsRef[Produit],0)),
   ""
)</f>
        <v/>
      </c>
      <c r="G1605" s="7">
        <f>tbl_Ventes[[#This Row],[Qté Vendue]] * IFERROR(_xlfn.XLOOKUP(tbl_Ventes[[#This Row],[Cde_Prdt]], tbl_Produits[Cde_Prdt], tbl_Produits[Prix Menu]), 0)</f>
        <v>0</v>
      </c>
      <c r="H1605" s="7">
        <f>IFERROR(_xlfn.XLOOKUP(tbl_Ventes[[#This Row],[Cde_Prdt]], tbl_Produits[Cde_Prdt], tbl_Produits[Coût Moyen Portion]), 0)</f>
        <v>0</v>
      </c>
      <c r="I1605" s="7">
        <f>tbl_Ventes[[#This Row],[Qté Vendue]] * tbl_Ventes[[#This Row],[CMP_par_portion]]</f>
        <v>0</v>
      </c>
      <c r="J1605" s="7">
        <f>tbl_Ventes[[#This Row],[CA ligne]] - tbl_Ventes[[#This Row],[Coût matière ligne]]</f>
        <v>0</v>
      </c>
      <c r="K1605" s="7" t="str">
        <f>IFERROR(INDEX(tbl_ProduitsRef[Famille], MATCH(tbl_Ventes[[#This Row],[Cde_Prdt]], tbl_Produits[Cde_Prdt], 0)), "")</f>
        <v/>
      </c>
    </row>
    <row r="1606" spans="1:11" x14ac:dyDescent="0.25">
      <c r="A1606" s="5"/>
      <c r="B1606" s="63" t="str">
        <f>IFERROR(TEXT(tbl_Ventes[[#This Row],[Date]],"mm-aaaa"),"")</f>
        <v>01-1900</v>
      </c>
      <c r="D1606" s="10" t="str">
        <f>IFERROR(
   INDEX(tbl_ProduitsRef[Cde_Prdt],MATCH(tbl_Ventes[[#This Row],[Produit]],tbl_ProduitsRef[Produit],0)),
   ""
)</f>
        <v/>
      </c>
      <c r="E1606" s="7">
        <v>0</v>
      </c>
      <c r="F1606" s="7" t="str">
        <f>IFERROR(
   INDEX(tbl_ProduitsRef[Prix Menu],MATCH(tbl_Ventes[[#This Row],[Produit]],tbl_ProduitsRef[Produit],0)),
   ""
)</f>
        <v/>
      </c>
      <c r="G1606" s="7">
        <f>tbl_Ventes[[#This Row],[Qté Vendue]] * IFERROR(_xlfn.XLOOKUP(tbl_Ventes[[#This Row],[Cde_Prdt]], tbl_Produits[Cde_Prdt], tbl_Produits[Prix Menu]), 0)</f>
        <v>0</v>
      </c>
      <c r="H1606" s="7">
        <f>IFERROR(_xlfn.XLOOKUP(tbl_Ventes[[#This Row],[Cde_Prdt]], tbl_Produits[Cde_Prdt], tbl_Produits[Coût Moyen Portion]), 0)</f>
        <v>0</v>
      </c>
      <c r="I1606" s="7">
        <f>tbl_Ventes[[#This Row],[Qté Vendue]] * tbl_Ventes[[#This Row],[CMP_par_portion]]</f>
        <v>0</v>
      </c>
      <c r="J1606" s="7">
        <f>tbl_Ventes[[#This Row],[CA ligne]] - tbl_Ventes[[#This Row],[Coût matière ligne]]</f>
        <v>0</v>
      </c>
      <c r="K1606" s="7" t="str">
        <f>IFERROR(INDEX(tbl_ProduitsRef[Famille], MATCH(tbl_Ventes[[#This Row],[Cde_Prdt]], tbl_Produits[Cde_Prdt], 0)), "")</f>
        <v/>
      </c>
    </row>
    <row r="1607" spans="1:11" x14ac:dyDescent="0.25">
      <c r="A1607" s="5"/>
      <c r="B1607" s="63" t="str">
        <f>IFERROR(TEXT(tbl_Ventes[[#This Row],[Date]],"mm-aaaa"),"")</f>
        <v>01-1900</v>
      </c>
      <c r="D1607" s="10" t="str">
        <f>IFERROR(
   INDEX(tbl_ProduitsRef[Cde_Prdt],MATCH(tbl_Ventes[[#This Row],[Produit]],tbl_ProduitsRef[Produit],0)),
   ""
)</f>
        <v/>
      </c>
      <c r="E1607" s="7">
        <v>0</v>
      </c>
      <c r="F1607" s="7" t="str">
        <f>IFERROR(
   INDEX(tbl_ProduitsRef[Prix Menu],MATCH(tbl_Ventes[[#This Row],[Produit]],tbl_ProduitsRef[Produit],0)),
   ""
)</f>
        <v/>
      </c>
      <c r="G1607" s="7">
        <f>tbl_Ventes[[#This Row],[Qté Vendue]] * IFERROR(_xlfn.XLOOKUP(tbl_Ventes[[#This Row],[Cde_Prdt]], tbl_Produits[Cde_Prdt], tbl_Produits[Prix Menu]), 0)</f>
        <v>0</v>
      </c>
      <c r="H1607" s="7">
        <f>IFERROR(_xlfn.XLOOKUP(tbl_Ventes[[#This Row],[Cde_Prdt]], tbl_Produits[Cde_Prdt], tbl_Produits[Coût Moyen Portion]), 0)</f>
        <v>0</v>
      </c>
      <c r="I1607" s="7">
        <f>tbl_Ventes[[#This Row],[Qté Vendue]] * tbl_Ventes[[#This Row],[CMP_par_portion]]</f>
        <v>0</v>
      </c>
      <c r="J1607" s="7">
        <f>tbl_Ventes[[#This Row],[CA ligne]] - tbl_Ventes[[#This Row],[Coût matière ligne]]</f>
        <v>0</v>
      </c>
      <c r="K1607" s="7" t="str">
        <f>IFERROR(INDEX(tbl_ProduitsRef[Famille], MATCH(tbl_Ventes[[#This Row],[Cde_Prdt]], tbl_Produits[Cde_Prdt], 0)), "")</f>
        <v/>
      </c>
    </row>
    <row r="1608" spans="1:11" x14ac:dyDescent="0.25">
      <c r="A1608" s="5"/>
      <c r="B1608" s="63" t="str">
        <f>IFERROR(TEXT(tbl_Ventes[[#This Row],[Date]],"mm-aaaa"),"")</f>
        <v>01-1900</v>
      </c>
      <c r="D1608" s="10" t="str">
        <f>IFERROR(
   INDEX(tbl_ProduitsRef[Cde_Prdt],MATCH(tbl_Ventes[[#This Row],[Produit]],tbl_ProduitsRef[Produit],0)),
   ""
)</f>
        <v/>
      </c>
      <c r="E1608" s="7">
        <v>0</v>
      </c>
      <c r="F1608" s="7" t="str">
        <f>IFERROR(
   INDEX(tbl_ProduitsRef[Prix Menu],MATCH(tbl_Ventes[[#This Row],[Produit]],tbl_ProduitsRef[Produit],0)),
   ""
)</f>
        <v/>
      </c>
      <c r="G1608" s="7">
        <f>tbl_Ventes[[#This Row],[Qté Vendue]] * IFERROR(_xlfn.XLOOKUP(tbl_Ventes[[#This Row],[Cde_Prdt]], tbl_Produits[Cde_Prdt], tbl_Produits[Prix Menu]), 0)</f>
        <v>0</v>
      </c>
      <c r="H1608" s="7">
        <f>IFERROR(_xlfn.XLOOKUP(tbl_Ventes[[#This Row],[Cde_Prdt]], tbl_Produits[Cde_Prdt], tbl_Produits[Coût Moyen Portion]), 0)</f>
        <v>0</v>
      </c>
      <c r="I1608" s="7">
        <f>tbl_Ventes[[#This Row],[Qté Vendue]] * tbl_Ventes[[#This Row],[CMP_par_portion]]</f>
        <v>0</v>
      </c>
      <c r="J1608" s="7">
        <f>tbl_Ventes[[#This Row],[CA ligne]] - tbl_Ventes[[#This Row],[Coût matière ligne]]</f>
        <v>0</v>
      </c>
      <c r="K1608" s="7" t="str">
        <f>IFERROR(INDEX(tbl_ProduitsRef[Famille], MATCH(tbl_Ventes[[#This Row],[Cde_Prdt]], tbl_Produits[Cde_Prdt], 0)), "")</f>
        <v/>
      </c>
    </row>
    <row r="1609" spans="1:11" x14ac:dyDescent="0.25">
      <c r="A1609" s="5"/>
      <c r="B1609" s="63" t="str">
        <f>IFERROR(TEXT(tbl_Ventes[[#This Row],[Date]],"mm-aaaa"),"")</f>
        <v>01-1900</v>
      </c>
      <c r="D1609" s="10" t="str">
        <f>IFERROR(
   INDEX(tbl_ProduitsRef[Cde_Prdt],MATCH(tbl_Ventes[[#This Row],[Produit]],tbl_ProduitsRef[Produit],0)),
   ""
)</f>
        <v/>
      </c>
      <c r="E1609" s="7">
        <v>0</v>
      </c>
      <c r="F1609" s="7" t="str">
        <f>IFERROR(
   INDEX(tbl_ProduitsRef[Prix Menu],MATCH(tbl_Ventes[[#This Row],[Produit]],tbl_ProduitsRef[Produit],0)),
   ""
)</f>
        <v/>
      </c>
      <c r="G1609" s="7">
        <f>tbl_Ventes[[#This Row],[Qté Vendue]] * IFERROR(_xlfn.XLOOKUP(tbl_Ventes[[#This Row],[Cde_Prdt]], tbl_Produits[Cde_Prdt], tbl_Produits[Prix Menu]), 0)</f>
        <v>0</v>
      </c>
      <c r="H1609" s="7">
        <f>IFERROR(_xlfn.XLOOKUP(tbl_Ventes[[#This Row],[Cde_Prdt]], tbl_Produits[Cde_Prdt], tbl_Produits[Coût Moyen Portion]), 0)</f>
        <v>0</v>
      </c>
      <c r="I1609" s="7">
        <f>tbl_Ventes[[#This Row],[Qté Vendue]] * tbl_Ventes[[#This Row],[CMP_par_portion]]</f>
        <v>0</v>
      </c>
      <c r="J1609" s="7">
        <f>tbl_Ventes[[#This Row],[CA ligne]] - tbl_Ventes[[#This Row],[Coût matière ligne]]</f>
        <v>0</v>
      </c>
      <c r="K1609" s="7" t="str">
        <f>IFERROR(INDEX(tbl_ProduitsRef[Famille], MATCH(tbl_Ventes[[#This Row],[Cde_Prdt]], tbl_Produits[Cde_Prdt], 0)), "")</f>
        <v/>
      </c>
    </row>
    <row r="1610" spans="1:11" x14ac:dyDescent="0.25">
      <c r="A1610" s="5"/>
      <c r="B1610" s="63" t="str">
        <f>IFERROR(TEXT(tbl_Ventes[[#This Row],[Date]],"mm-aaaa"),"")</f>
        <v>01-1900</v>
      </c>
      <c r="D1610" s="10" t="str">
        <f>IFERROR(
   INDEX(tbl_ProduitsRef[Cde_Prdt],MATCH(tbl_Ventes[[#This Row],[Produit]],tbl_ProduitsRef[Produit],0)),
   ""
)</f>
        <v/>
      </c>
      <c r="E1610" s="7">
        <v>0</v>
      </c>
      <c r="F1610" s="7" t="str">
        <f>IFERROR(
   INDEX(tbl_ProduitsRef[Prix Menu],MATCH(tbl_Ventes[[#This Row],[Produit]],tbl_ProduitsRef[Produit],0)),
   ""
)</f>
        <v/>
      </c>
      <c r="G1610" s="7">
        <f>tbl_Ventes[[#This Row],[Qté Vendue]] * IFERROR(_xlfn.XLOOKUP(tbl_Ventes[[#This Row],[Cde_Prdt]], tbl_Produits[Cde_Prdt], tbl_Produits[Prix Menu]), 0)</f>
        <v>0</v>
      </c>
      <c r="H1610" s="7">
        <f>IFERROR(_xlfn.XLOOKUP(tbl_Ventes[[#This Row],[Cde_Prdt]], tbl_Produits[Cde_Prdt], tbl_Produits[Coût Moyen Portion]), 0)</f>
        <v>0</v>
      </c>
      <c r="I1610" s="7">
        <f>tbl_Ventes[[#This Row],[Qté Vendue]] * tbl_Ventes[[#This Row],[CMP_par_portion]]</f>
        <v>0</v>
      </c>
      <c r="J1610" s="7">
        <f>tbl_Ventes[[#This Row],[CA ligne]] - tbl_Ventes[[#This Row],[Coût matière ligne]]</f>
        <v>0</v>
      </c>
      <c r="K1610" s="7" t="str">
        <f>IFERROR(INDEX(tbl_ProduitsRef[Famille], MATCH(tbl_Ventes[[#This Row],[Cde_Prdt]], tbl_Produits[Cde_Prdt], 0)), "")</f>
        <v/>
      </c>
    </row>
    <row r="1611" spans="1:11" x14ac:dyDescent="0.25">
      <c r="A1611" s="5"/>
      <c r="B1611" s="63" t="str">
        <f>IFERROR(TEXT(tbl_Ventes[[#This Row],[Date]],"mm-aaaa"),"")</f>
        <v>01-1900</v>
      </c>
      <c r="D1611" s="10" t="str">
        <f>IFERROR(
   INDEX(tbl_ProduitsRef[Cde_Prdt],MATCH(tbl_Ventes[[#This Row],[Produit]],tbl_ProduitsRef[Produit],0)),
   ""
)</f>
        <v/>
      </c>
      <c r="E1611" s="7">
        <v>0</v>
      </c>
      <c r="F1611" s="7" t="str">
        <f>IFERROR(
   INDEX(tbl_ProduitsRef[Prix Menu],MATCH(tbl_Ventes[[#This Row],[Produit]],tbl_ProduitsRef[Produit],0)),
   ""
)</f>
        <v/>
      </c>
      <c r="G1611" s="7">
        <f>tbl_Ventes[[#This Row],[Qté Vendue]] * IFERROR(_xlfn.XLOOKUP(tbl_Ventes[[#This Row],[Cde_Prdt]], tbl_Produits[Cde_Prdt], tbl_Produits[Prix Menu]), 0)</f>
        <v>0</v>
      </c>
      <c r="H1611" s="7">
        <f>IFERROR(_xlfn.XLOOKUP(tbl_Ventes[[#This Row],[Cde_Prdt]], tbl_Produits[Cde_Prdt], tbl_Produits[Coût Moyen Portion]), 0)</f>
        <v>0</v>
      </c>
      <c r="I1611" s="7">
        <f>tbl_Ventes[[#This Row],[Qté Vendue]] * tbl_Ventes[[#This Row],[CMP_par_portion]]</f>
        <v>0</v>
      </c>
      <c r="J1611" s="7">
        <f>tbl_Ventes[[#This Row],[CA ligne]] - tbl_Ventes[[#This Row],[Coût matière ligne]]</f>
        <v>0</v>
      </c>
      <c r="K1611" s="7" t="str">
        <f>IFERROR(INDEX(tbl_ProduitsRef[Famille], MATCH(tbl_Ventes[[#This Row],[Cde_Prdt]], tbl_Produits[Cde_Prdt], 0)), "")</f>
        <v/>
      </c>
    </row>
    <row r="1612" spans="1:11" x14ac:dyDescent="0.25">
      <c r="A1612" s="5"/>
      <c r="B1612" s="63" t="str">
        <f>IFERROR(TEXT(tbl_Ventes[[#This Row],[Date]],"mm-aaaa"),"")</f>
        <v>01-1900</v>
      </c>
      <c r="D1612" s="10" t="str">
        <f>IFERROR(
   INDEX(tbl_ProduitsRef[Cde_Prdt],MATCH(tbl_Ventes[[#This Row],[Produit]],tbl_ProduitsRef[Produit],0)),
   ""
)</f>
        <v/>
      </c>
      <c r="E1612" s="7">
        <v>0</v>
      </c>
      <c r="F1612" s="7" t="str">
        <f>IFERROR(
   INDEX(tbl_ProduitsRef[Prix Menu],MATCH(tbl_Ventes[[#This Row],[Produit]],tbl_ProduitsRef[Produit],0)),
   ""
)</f>
        <v/>
      </c>
      <c r="G1612" s="7">
        <f>tbl_Ventes[[#This Row],[Qté Vendue]] * IFERROR(_xlfn.XLOOKUP(tbl_Ventes[[#This Row],[Cde_Prdt]], tbl_Produits[Cde_Prdt], tbl_Produits[Prix Menu]), 0)</f>
        <v>0</v>
      </c>
      <c r="H1612" s="7">
        <f>IFERROR(_xlfn.XLOOKUP(tbl_Ventes[[#This Row],[Cde_Prdt]], tbl_Produits[Cde_Prdt], tbl_Produits[Coût Moyen Portion]), 0)</f>
        <v>0</v>
      </c>
      <c r="I1612" s="7">
        <f>tbl_Ventes[[#This Row],[Qté Vendue]] * tbl_Ventes[[#This Row],[CMP_par_portion]]</f>
        <v>0</v>
      </c>
      <c r="J1612" s="7">
        <f>tbl_Ventes[[#This Row],[CA ligne]] - tbl_Ventes[[#This Row],[Coût matière ligne]]</f>
        <v>0</v>
      </c>
      <c r="K1612" s="7" t="str">
        <f>IFERROR(INDEX(tbl_ProduitsRef[Famille], MATCH(tbl_Ventes[[#This Row],[Cde_Prdt]], tbl_Produits[Cde_Prdt], 0)), "")</f>
        <v/>
      </c>
    </row>
    <row r="1613" spans="1:11" x14ac:dyDescent="0.25">
      <c r="A1613" s="5"/>
      <c r="B1613" s="63" t="str">
        <f>IFERROR(TEXT(tbl_Ventes[[#This Row],[Date]],"mm-aaaa"),"")</f>
        <v>01-1900</v>
      </c>
      <c r="D1613" s="10" t="str">
        <f>IFERROR(
   INDEX(tbl_ProduitsRef[Cde_Prdt],MATCH(tbl_Ventes[[#This Row],[Produit]],tbl_ProduitsRef[Produit],0)),
   ""
)</f>
        <v/>
      </c>
      <c r="E1613" s="7">
        <v>0</v>
      </c>
      <c r="F1613" s="7" t="str">
        <f>IFERROR(
   INDEX(tbl_ProduitsRef[Prix Menu],MATCH(tbl_Ventes[[#This Row],[Produit]],tbl_ProduitsRef[Produit],0)),
   ""
)</f>
        <v/>
      </c>
      <c r="G1613" s="7">
        <f>tbl_Ventes[[#This Row],[Qté Vendue]] * IFERROR(_xlfn.XLOOKUP(tbl_Ventes[[#This Row],[Cde_Prdt]], tbl_Produits[Cde_Prdt], tbl_Produits[Prix Menu]), 0)</f>
        <v>0</v>
      </c>
      <c r="H1613" s="7">
        <f>IFERROR(_xlfn.XLOOKUP(tbl_Ventes[[#This Row],[Cde_Prdt]], tbl_Produits[Cde_Prdt], tbl_Produits[Coût Moyen Portion]), 0)</f>
        <v>0</v>
      </c>
      <c r="I1613" s="7">
        <f>tbl_Ventes[[#This Row],[Qté Vendue]] * tbl_Ventes[[#This Row],[CMP_par_portion]]</f>
        <v>0</v>
      </c>
      <c r="J1613" s="7">
        <f>tbl_Ventes[[#This Row],[CA ligne]] - tbl_Ventes[[#This Row],[Coût matière ligne]]</f>
        <v>0</v>
      </c>
      <c r="K1613" s="7" t="str">
        <f>IFERROR(INDEX(tbl_ProduitsRef[Famille], MATCH(tbl_Ventes[[#This Row],[Cde_Prdt]], tbl_Produits[Cde_Prdt], 0)), "")</f>
        <v/>
      </c>
    </row>
    <row r="1614" spans="1:11" x14ac:dyDescent="0.25">
      <c r="A1614" s="5"/>
      <c r="B1614" s="63" t="str">
        <f>IFERROR(TEXT(tbl_Ventes[[#This Row],[Date]],"mm-aaaa"),"")</f>
        <v>01-1900</v>
      </c>
      <c r="D1614" s="10" t="str">
        <f>IFERROR(
   INDEX(tbl_ProduitsRef[Cde_Prdt],MATCH(tbl_Ventes[[#This Row],[Produit]],tbl_ProduitsRef[Produit],0)),
   ""
)</f>
        <v/>
      </c>
      <c r="E1614" s="7">
        <v>0</v>
      </c>
      <c r="F1614" s="7" t="str">
        <f>IFERROR(
   INDEX(tbl_ProduitsRef[Prix Menu],MATCH(tbl_Ventes[[#This Row],[Produit]],tbl_ProduitsRef[Produit],0)),
   ""
)</f>
        <v/>
      </c>
      <c r="G1614" s="7">
        <f>tbl_Ventes[[#This Row],[Qté Vendue]] * IFERROR(_xlfn.XLOOKUP(tbl_Ventes[[#This Row],[Cde_Prdt]], tbl_Produits[Cde_Prdt], tbl_Produits[Prix Menu]), 0)</f>
        <v>0</v>
      </c>
      <c r="H1614" s="7">
        <f>IFERROR(_xlfn.XLOOKUP(tbl_Ventes[[#This Row],[Cde_Prdt]], tbl_Produits[Cde_Prdt], tbl_Produits[Coût Moyen Portion]), 0)</f>
        <v>0</v>
      </c>
      <c r="I1614" s="7">
        <f>tbl_Ventes[[#This Row],[Qté Vendue]] * tbl_Ventes[[#This Row],[CMP_par_portion]]</f>
        <v>0</v>
      </c>
      <c r="J1614" s="7">
        <f>tbl_Ventes[[#This Row],[CA ligne]] - tbl_Ventes[[#This Row],[Coût matière ligne]]</f>
        <v>0</v>
      </c>
      <c r="K1614" s="7" t="str">
        <f>IFERROR(INDEX(tbl_ProduitsRef[Famille], MATCH(tbl_Ventes[[#This Row],[Cde_Prdt]], tbl_Produits[Cde_Prdt], 0)), "")</f>
        <v/>
      </c>
    </row>
    <row r="1615" spans="1:11" x14ac:dyDescent="0.25">
      <c r="A1615" s="5"/>
      <c r="B1615" s="63" t="str">
        <f>IFERROR(TEXT(tbl_Ventes[[#This Row],[Date]],"mm-aaaa"),"")</f>
        <v>01-1900</v>
      </c>
      <c r="D1615" s="10" t="str">
        <f>IFERROR(
   INDEX(tbl_ProduitsRef[Cde_Prdt],MATCH(tbl_Ventes[[#This Row],[Produit]],tbl_ProduitsRef[Produit],0)),
   ""
)</f>
        <v/>
      </c>
      <c r="E1615" s="7">
        <v>0</v>
      </c>
      <c r="F1615" s="7" t="str">
        <f>IFERROR(
   INDEX(tbl_ProduitsRef[Prix Menu],MATCH(tbl_Ventes[[#This Row],[Produit]],tbl_ProduitsRef[Produit],0)),
   ""
)</f>
        <v/>
      </c>
      <c r="G1615" s="7">
        <f>tbl_Ventes[[#This Row],[Qté Vendue]] * IFERROR(_xlfn.XLOOKUP(tbl_Ventes[[#This Row],[Cde_Prdt]], tbl_Produits[Cde_Prdt], tbl_Produits[Prix Menu]), 0)</f>
        <v>0</v>
      </c>
      <c r="H1615" s="7">
        <f>IFERROR(_xlfn.XLOOKUP(tbl_Ventes[[#This Row],[Cde_Prdt]], tbl_Produits[Cde_Prdt], tbl_Produits[Coût Moyen Portion]), 0)</f>
        <v>0</v>
      </c>
      <c r="I1615" s="7">
        <f>tbl_Ventes[[#This Row],[Qté Vendue]] * tbl_Ventes[[#This Row],[CMP_par_portion]]</f>
        <v>0</v>
      </c>
      <c r="J1615" s="7">
        <f>tbl_Ventes[[#This Row],[CA ligne]] - tbl_Ventes[[#This Row],[Coût matière ligne]]</f>
        <v>0</v>
      </c>
      <c r="K1615" s="7" t="str">
        <f>IFERROR(INDEX(tbl_ProduitsRef[Famille], MATCH(tbl_Ventes[[#This Row],[Cde_Prdt]], tbl_Produits[Cde_Prdt], 0)), "")</f>
        <v/>
      </c>
    </row>
    <row r="1616" spans="1:11" x14ac:dyDescent="0.25">
      <c r="A1616" s="5"/>
      <c r="B1616" s="63" t="str">
        <f>IFERROR(TEXT(tbl_Ventes[[#This Row],[Date]],"mm-aaaa"),"")</f>
        <v>01-1900</v>
      </c>
      <c r="D1616" s="10" t="str">
        <f>IFERROR(
   INDEX(tbl_ProduitsRef[Cde_Prdt],MATCH(tbl_Ventes[[#This Row],[Produit]],tbl_ProduitsRef[Produit],0)),
   ""
)</f>
        <v/>
      </c>
      <c r="E1616" s="7">
        <v>0</v>
      </c>
      <c r="F1616" s="7" t="str">
        <f>IFERROR(
   INDEX(tbl_ProduitsRef[Prix Menu],MATCH(tbl_Ventes[[#This Row],[Produit]],tbl_ProduitsRef[Produit],0)),
   ""
)</f>
        <v/>
      </c>
      <c r="G1616" s="7">
        <f>tbl_Ventes[[#This Row],[Qté Vendue]] * IFERROR(_xlfn.XLOOKUP(tbl_Ventes[[#This Row],[Cde_Prdt]], tbl_Produits[Cde_Prdt], tbl_Produits[Prix Menu]), 0)</f>
        <v>0</v>
      </c>
      <c r="H1616" s="7">
        <f>IFERROR(_xlfn.XLOOKUP(tbl_Ventes[[#This Row],[Cde_Prdt]], tbl_Produits[Cde_Prdt], tbl_Produits[Coût Moyen Portion]), 0)</f>
        <v>0</v>
      </c>
      <c r="I1616" s="7">
        <f>tbl_Ventes[[#This Row],[Qté Vendue]] * tbl_Ventes[[#This Row],[CMP_par_portion]]</f>
        <v>0</v>
      </c>
      <c r="J1616" s="7">
        <f>tbl_Ventes[[#This Row],[CA ligne]] - tbl_Ventes[[#This Row],[Coût matière ligne]]</f>
        <v>0</v>
      </c>
      <c r="K1616" s="7" t="str">
        <f>IFERROR(INDEX(tbl_ProduitsRef[Famille], MATCH(tbl_Ventes[[#This Row],[Cde_Prdt]], tbl_Produits[Cde_Prdt], 0)), "")</f>
        <v/>
      </c>
    </row>
    <row r="1617" spans="1:11" x14ac:dyDescent="0.25">
      <c r="A1617" s="5"/>
      <c r="B1617" s="63" t="str">
        <f>IFERROR(TEXT(tbl_Ventes[[#This Row],[Date]],"mm-aaaa"),"")</f>
        <v>01-1900</v>
      </c>
      <c r="D1617" s="10" t="str">
        <f>IFERROR(
   INDEX(tbl_ProduitsRef[Cde_Prdt],MATCH(tbl_Ventes[[#This Row],[Produit]],tbl_ProduitsRef[Produit],0)),
   ""
)</f>
        <v/>
      </c>
      <c r="E1617" s="7">
        <v>0</v>
      </c>
      <c r="F1617" s="7" t="str">
        <f>IFERROR(
   INDEX(tbl_ProduitsRef[Prix Menu],MATCH(tbl_Ventes[[#This Row],[Produit]],tbl_ProduitsRef[Produit],0)),
   ""
)</f>
        <v/>
      </c>
      <c r="G1617" s="7">
        <f>tbl_Ventes[[#This Row],[Qté Vendue]] * IFERROR(_xlfn.XLOOKUP(tbl_Ventes[[#This Row],[Cde_Prdt]], tbl_Produits[Cde_Prdt], tbl_Produits[Prix Menu]), 0)</f>
        <v>0</v>
      </c>
      <c r="H1617" s="7">
        <f>IFERROR(_xlfn.XLOOKUP(tbl_Ventes[[#This Row],[Cde_Prdt]], tbl_Produits[Cde_Prdt], tbl_Produits[Coût Moyen Portion]), 0)</f>
        <v>0</v>
      </c>
      <c r="I1617" s="7">
        <f>tbl_Ventes[[#This Row],[Qté Vendue]] * tbl_Ventes[[#This Row],[CMP_par_portion]]</f>
        <v>0</v>
      </c>
      <c r="J1617" s="7">
        <f>tbl_Ventes[[#This Row],[CA ligne]] - tbl_Ventes[[#This Row],[Coût matière ligne]]</f>
        <v>0</v>
      </c>
      <c r="K1617" s="7" t="str">
        <f>IFERROR(INDEX(tbl_ProduitsRef[Famille], MATCH(tbl_Ventes[[#This Row],[Cde_Prdt]], tbl_Produits[Cde_Prdt], 0)), "")</f>
        <v/>
      </c>
    </row>
    <row r="1618" spans="1:11" x14ac:dyDescent="0.25">
      <c r="A1618" s="5"/>
      <c r="B1618" s="63" t="str">
        <f>IFERROR(TEXT(tbl_Ventes[[#This Row],[Date]],"mm-aaaa"),"")</f>
        <v>01-1900</v>
      </c>
      <c r="D1618" s="10" t="str">
        <f>IFERROR(
   INDEX(tbl_ProduitsRef[Cde_Prdt],MATCH(tbl_Ventes[[#This Row],[Produit]],tbl_ProduitsRef[Produit],0)),
   ""
)</f>
        <v/>
      </c>
      <c r="E1618" s="7">
        <v>0</v>
      </c>
      <c r="F1618" s="7" t="str">
        <f>IFERROR(
   INDEX(tbl_ProduitsRef[Prix Menu],MATCH(tbl_Ventes[[#This Row],[Produit]],tbl_ProduitsRef[Produit],0)),
   ""
)</f>
        <v/>
      </c>
      <c r="G1618" s="7">
        <f>tbl_Ventes[[#This Row],[Qté Vendue]] * IFERROR(_xlfn.XLOOKUP(tbl_Ventes[[#This Row],[Cde_Prdt]], tbl_Produits[Cde_Prdt], tbl_Produits[Prix Menu]), 0)</f>
        <v>0</v>
      </c>
      <c r="H1618" s="7">
        <f>IFERROR(_xlfn.XLOOKUP(tbl_Ventes[[#This Row],[Cde_Prdt]], tbl_Produits[Cde_Prdt], tbl_Produits[Coût Moyen Portion]), 0)</f>
        <v>0</v>
      </c>
      <c r="I1618" s="7">
        <f>tbl_Ventes[[#This Row],[Qté Vendue]] * tbl_Ventes[[#This Row],[CMP_par_portion]]</f>
        <v>0</v>
      </c>
      <c r="J1618" s="7">
        <f>tbl_Ventes[[#This Row],[CA ligne]] - tbl_Ventes[[#This Row],[Coût matière ligne]]</f>
        <v>0</v>
      </c>
      <c r="K1618" s="7" t="str">
        <f>IFERROR(INDEX(tbl_ProduitsRef[Famille], MATCH(tbl_Ventes[[#This Row],[Cde_Prdt]], tbl_Produits[Cde_Prdt], 0)), "")</f>
        <v/>
      </c>
    </row>
    <row r="1619" spans="1:11" x14ac:dyDescent="0.25">
      <c r="A1619" s="5"/>
      <c r="B1619" s="63" t="str">
        <f>IFERROR(TEXT(tbl_Ventes[[#This Row],[Date]],"mm-aaaa"),"")</f>
        <v>01-1900</v>
      </c>
      <c r="D1619" s="10" t="str">
        <f>IFERROR(
   INDEX(tbl_ProduitsRef[Cde_Prdt],MATCH(tbl_Ventes[[#This Row],[Produit]],tbl_ProduitsRef[Produit],0)),
   ""
)</f>
        <v/>
      </c>
      <c r="E1619" s="7">
        <v>0</v>
      </c>
      <c r="F1619" s="7" t="str">
        <f>IFERROR(
   INDEX(tbl_ProduitsRef[Prix Menu],MATCH(tbl_Ventes[[#This Row],[Produit]],tbl_ProduitsRef[Produit],0)),
   ""
)</f>
        <v/>
      </c>
      <c r="G1619" s="7">
        <f>tbl_Ventes[[#This Row],[Qté Vendue]] * IFERROR(_xlfn.XLOOKUP(tbl_Ventes[[#This Row],[Cde_Prdt]], tbl_Produits[Cde_Prdt], tbl_Produits[Prix Menu]), 0)</f>
        <v>0</v>
      </c>
      <c r="H1619" s="7">
        <f>IFERROR(_xlfn.XLOOKUP(tbl_Ventes[[#This Row],[Cde_Prdt]], tbl_Produits[Cde_Prdt], tbl_Produits[Coût Moyen Portion]), 0)</f>
        <v>0</v>
      </c>
      <c r="I1619" s="7">
        <f>tbl_Ventes[[#This Row],[Qté Vendue]] * tbl_Ventes[[#This Row],[CMP_par_portion]]</f>
        <v>0</v>
      </c>
      <c r="J1619" s="7">
        <f>tbl_Ventes[[#This Row],[CA ligne]] - tbl_Ventes[[#This Row],[Coût matière ligne]]</f>
        <v>0</v>
      </c>
      <c r="K1619" s="7" t="str">
        <f>IFERROR(INDEX(tbl_ProduitsRef[Famille], MATCH(tbl_Ventes[[#This Row],[Cde_Prdt]], tbl_Produits[Cde_Prdt], 0)), "")</f>
        <v/>
      </c>
    </row>
    <row r="1620" spans="1:11" x14ac:dyDescent="0.25">
      <c r="A1620" s="5"/>
      <c r="B1620" s="63" t="str">
        <f>IFERROR(TEXT(tbl_Ventes[[#This Row],[Date]],"mm-aaaa"),"")</f>
        <v>01-1900</v>
      </c>
      <c r="D1620" s="10" t="str">
        <f>IFERROR(
   INDEX(tbl_ProduitsRef[Cde_Prdt],MATCH(tbl_Ventes[[#This Row],[Produit]],tbl_ProduitsRef[Produit],0)),
   ""
)</f>
        <v/>
      </c>
      <c r="E1620" s="7">
        <v>0</v>
      </c>
      <c r="F1620" s="7" t="str">
        <f>IFERROR(
   INDEX(tbl_ProduitsRef[Prix Menu],MATCH(tbl_Ventes[[#This Row],[Produit]],tbl_ProduitsRef[Produit],0)),
   ""
)</f>
        <v/>
      </c>
      <c r="G1620" s="7">
        <f>tbl_Ventes[[#This Row],[Qté Vendue]] * IFERROR(_xlfn.XLOOKUP(tbl_Ventes[[#This Row],[Cde_Prdt]], tbl_Produits[Cde_Prdt], tbl_Produits[Prix Menu]), 0)</f>
        <v>0</v>
      </c>
      <c r="H1620" s="7">
        <f>IFERROR(_xlfn.XLOOKUP(tbl_Ventes[[#This Row],[Cde_Prdt]], tbl_Produits[Cde_Prdt], tbl_Produits[Coût Moyen Portion]), 0)</f>
        <v>0</v>
      </c>
      <c r="I1620" s="7">
        <f>tbl_Ventes[[#This Row],[Qté Vendue]] * tbl_Ventes[[#This Row],[CMP_par_portion]]</f>
        <v>0</v>
      </c>
      <c r="J1620" s="7">
        <f>tbl_Ventes[[#This Row],[CA ligne]] - tbl_Ventes[[#This Row],[Coût matière ligne]]</f>
        <v>0</v>
      </c>
      <c r="K1620" s="7" t="str">
        <f>IFERROR(INDEX(tbl_ProduitsRef[Famille], MATCH(tbl_Ventes[[#This Row],[Cde_Prdt]], tbl_Produits[Cde_Prdt], 0)), "")</f>
        <v/>
      </c>
    </row>
    <row r="1621" spans="1:11" x14ac:dyDescent="0.25">
      <c r="A1621" s="5"/>
      <c r="B1621" s="63" t="str">
        <f>IFERROR(TEXT(tbl_Ventes[[#This Row],[Date]],"mm-aaaa"),"")</f>
        <v>01-1900</v>
      </c>
      <c r="D1621" s="10" t="str">
        <f>IFERROR(
   INDEX(tbl_ProduitsRef[Cde_Prdt],MATCH(tbl_Ventes[[#This Row],[Produit]],tbl_ProduitsRef[Produit],0)),
   ""
)</f>
        <v/>
      </c>
      <c r="E1621" s="7">
        <v>0</v>
      </c>
      <c r="F1621" s="7" t="str">
        <f>IFERROR(
   INDEX(tbl_ProduitsRef[Prix Menu],MATCH(tbl_Ventes[[#This Row],[Produit]],tbl_ProduitsRef[Produit],0)),
   ""
)</f>
        <v/>
      </c>
      <c r="G1621" s="7">
        <f>tbl_Ventes[[#This Row],[Qté Vendue]] * IFERROR(_xlfn.XLOOKUP(tbl_Ventes[[#This Row],[Cde_Prdt]], tbl_Produits[Cde_Prdt], tbl_Produits[Prix Menu]), 0)</f>
        <v>0</v>
      </c>
      <c r="H1621" s="7">
        <f>IFERROR(_xlfn.XLOOKUP(tbl_Ventes[[#This Row],[Cde_Prdt]], tbl_Produits[Cde_Prdt], tbl_Produits[Coût Moyen Portion]), 0)</f>
        <v>0</v>
      </c>
      <c r="I1621" s="7">
        <f>tbl_Ventes[[#This Row],[Qté Vendue]] * tbl_Ventes[[#This Row],[CMP_par_portion]]</f>
        <v>0</v>
      </c>
      <c r="J1621" s="7">
        <f>tbl_Ventes[[#This Row],[CA ligne]] - tbl_Ventes[[#This Row],[Coût matière ligne]]</f>
        <v>0</v>
      </c>
      <c r="K1621" s="7" t="str">
        <f>IFERROR(INDEX(tbl_ProduitsRef[Famille], MATCH(tbl_Ventes[[#This Row],[Cde_Prdt]], tbl_Produits[Cde_Prdt], 0)), "")</f>
        <v/>
      </c>
    </row>
    <row r="1622" spans="1:11" x14ac:dyDescent="0.25">
      <c r="A1622" s="5"/>
      <c r="B1622" s="63" t="str">
        <f>IFERROR(TEXT(tbl_Ventes[[#This Row],[Date]],"mm-aaaa"),"")</f>
        <v>01-1900</v>
      </c>
      <c r="D1622" s="10" t="str">
        <f>IFERROR(
   INDEX(tbl_ProduitsRef[Cde_Prdt],MATCH(tbl_Ventes[[#This Row],[Produit]],tbl_ProduitsRef[Produit],0)),
   ""
)</f>
        <v/>
      </c>
      <c r="E1622" s="7">
        <v>0</v>
      </c>
      <c r="F1622" s="7" t="str">
        <f>IFERROR(
   INDEX(tbl_ProduitsRef[Prix Menu],MATCH(tbl_Ventes[[#This Row],[Produit]],tbl_ProduitsRef[Produit],0)),
   ""
)</f>
        <v/>
      </c>
      <c r="G1622" s="7">
        <f>tbl_Ventes[[#This Row],[Qté Vendue]] * IFERROR(_xlfn.XLOOKUP(tbl_Ventes[[#This Row],[Cde_Prdt]], tbl_Produits[Cde_Prdt], tbl_Produits[Prix Menu]), 0)</f>
        <v>0</v>
      </c>
      <c r="H1622" s="7">
        <f>IFERROR(_xlfn.XLOOKUP(tbl_Ventes[[#This Row],[Cde_Prdt]], tbl_Produits[Cde_Prdt], tbl_Produits[Coût Moyen Portion]), 0)</f>
        <v>0</v>
      </c>
      <c r="I1622" s="7">
        <f>tbl_Ventes[[#This Row],[Qté Vendue]] * tbl_Ventes[[#This Row],[CMP_par_portion]]</f>
        <v>0</v>
      </c>
      <c r="J1622" s="7">
        <f>tbl_Ventes[[#This Row],[CA ligne]] - tbl_Ventes[[#This Row],[Coût matière ligne]]</f>
        <v>0</v>
      </c>
      <c r="K1622" s="7" t="str">
        <f>IFERROR(INDEX(tbl_ProduitsRef[Famille], MATCH(tbl_Ventes[[#This Row],[Cde_Prdt]], tbl_Produits[Cde_Prdt], 0)), "")</f>
        <v/>
      </c>
    </row>
    <row r="1623" spans="1:11" x14ac:dyDescent="0.25">
      <c r="A1623" s="5"/>
      <c r="B1623" s="63" t="str">
        <f>IFERROR(TEXT(tbl_Ventes[[#This Row],[Date]],"mm-aaaa"),"")</f>
        <v>01-1900</v>
      </c>
      <c r="D1623" s="10" t="str">
        <f>IFERROR(
   INDEX(tbl_ProduitsRef[Cde_Prdt],MATCH(tbl_Ventes[[#This Row],[Produit]],tbl_ProduitsRef[Produit],0)),
   ""
)</f>
        <v/>
      </c>
      <c r="E1623" s="7">
        <v>0</v>
      </c>
      <c r="F1623" s="7" t="str">
        <f>IFERROR(
   INDEX(tbl_ProduitsRef[Prix Menu],MATCH(tbl_Ventes[[#This Row],[Produit]],tbl_ProduitsRef[Produit],0)),
   ""
)</f>
        <v/>
      </c>
      <c r="G1623" s="7">
        <f>tbl_Ventes[[#This Row],[Qté Vendue]] * IFERROR(_xlfn.XLOOKUP(tbl_Ventes[[#This Row],[Cde_Prdt]], tbl_Produits[Cde_Prdt], tbl_Produits[Prix Menu]), 0)</f>
        <v>0</v>
      </c>
      <c r="H1623" s="7">
        <f>IFERROR(_xlfn.XLOOKUP(tbl_Ventes[[#This Row],[Cde_Prdt]], tbl_Produits[Cde_Prdt], tbl_Produits[Coût Moyen Portion]), 0)</f>
        <v>0</v>
      </c>
      <c r="I1623" s="7">
        <f>tbl_Ventes[[#This Row],[Qté Vendue]] * tbl_Ventes[[#This Row],[CMP_par_portion]]</f>
        <v>0</v>
      </c>
      <c r="J1623" s="7">
        <f>tbl_Ventes[[#This Row],[CA ligne]] - tbl_Ventes[[#This Row],[Coût matière ligne]]</f>
        <v>0</v>
      </c>
      <c r="K1623" s="7" t="str">
        <f>IFERROR(INDEX(tbl_ProduitsRef[Famille], MATCH(tbl_Ventes[[#This Row],[Cde_Prdt]], tbl_Produits[Cde_Prdt], 0)), "")</f>
        <v/>
      </c>
    </row>
    <row r="1624" spans="1:11" x14ac:dyDescent="0.25">
      <c r="A1624" s="5"/>
      <c r="B1624" s="63" t="str">
        <f>IFERROR(TEXT(tbl_Ventes[[#This Row],[Date]],"mm-aaaa"),"")</f>
        <v>01-1900</v>
      </c>
      <c r="D1624" s="10" t="str">
        <f>IFERROR(
   INDEX(tbl_ProduitsRef[Cde_Prdt],MATCH(tbl_Ventes[[#This Row],[Produit]],tbl_ProduitsRef[Produit],0)),
   ""
)</f>
        <v/>
      </c>
      <c r="E1624" s="7">
        <v>0</v>
      </c>
      <c r="F1624" s="7" t="str">
        <f>IFERROR(
   INDEX(tbl_ProduitsRef[Prix Menu],MATCH(tbl_Ventes[[#This Row],[Produit]],tbl_ProduitsRef[Produit],0)),
   ""
)</f>
        <v/>
      </c>
      <c r="G1624" s="7">
        <f>tbl_Ventes[[#This Row],[Qté Vendue]] * IFERROR(_xlfn.XLOOKUP(tbl_Ventes[[#This Row],[Cde_Prdt]], tbl_Produits[Cde_Prdt], tbl_Produits[Prix Menu]), 0)</f>
        <v>0</v>
      </c>
      <c r="H1624" s="7">
        <f>IFERROR(_xlfn.XLOOKUP(tbl_Ventes[[#This Row],[Cde_Prdt]], tbl_Produits[Cde_Prdt], tbl_Produits[Coût Moyen Portion]), 0)</f>
        <v>0</v>
      </c>
      <c r="I1624" s="7">
        <f>tbl_Ventes[[#This Row],[Qté Vendue]] * tbl_Ventes[[#This Row],[CMP_par_portion]]</f>
        <v>0</v>
      </c>
      <c r="J1624" s="7">
        <f>tbl_Ventes[[#This Row],[CA ligne]] - tbl_Ventes[[#This Row],[Coût matière ligne]]</f>
        <v>0</v>
      </c>
      <c r="K1624" s="7" t="str">
        <f>IFERROR(INDEX(tbl_ProduitsRef[Famille], MATCH(tbl_Ventes[[#This Row],[Cde_Prdt]], tbl_Produits[Cde_Prdt], 0)), "")</f>
        <v/>
      </c>
    </row>
    <row r="1625" spans="1:11" x14ac:dyDescent="0.25">
      <c r="A1625" s="5"/>
      <c r="B1625" s="63" t="str">
        <f>IFERROR(TEXT(tbl_Ventes[[#This Row],[Date]],"mm-aaaa"),"")</f>
        <v>01-1900</v>
      </c>
      <c r="D1625" s="10" t="str">
        <f>IFERROR(
   INDEX(tbl_ProduitsRef[Cde_Prdt],MATCH(tbl_Ventes[[#This Row],[Produit]],tbl_ProduitsRef[Produit],0)),
   ""
)</f>
        <v/>
      </c>
      <c r="E1625" s="7">
        <v>0</v>
      </c>
      <c r="F1625" s="7" t="str">
        <f>IFERROR(
   INDEX(tbl_ProduitsRef[Prix Menu],MATCH(tbl_Ventes[[#This Row],[Produit]],tbl_ProduitsRef[Produit],0)),
   ""
)</f>
        <v/>
      </c>
      <c r="G1625" s="7">
        <f>tbl_Ventes[[#This Row],[Qté Vendue]] * IFERROR(_xlfn.XLOOKUP(tbl_Ventes[[#This Row],[Cde_Prdt]], tbl_Produits[Cde_Prdt], tbl_Produits[Prix Menu]), 0)</f>
        <v>0</v>
      </c>
      <c r="H1625" s="7">
        <f>IFERROR(_xlfn.XLOOKUP(tbl_Ventes[[#This Row],[Cde_Prdt]], tbl_Produits[Cde_Prdt], tbl_Produits[Coût Moyen Portion]), 0)</f>
        <v>0</v>
      </c>
      <c r="I1625" s="7">
        <f>tbl_Ventes[[#This Row],[Qté Vendue]] * tbl_Ventes[[#This Row],[CMP_par_portion]]</f>
        <v>0</v>
      </c>
      <c r="J1625" s="7">
        <f>tbl_Ventes[[#This Row],[CA ligne]] - tbl_Ventes[[#This Row],[Coût matière ligne]]</f>
        <v>0</v>
      </c>
      <c r="K1625" s="7" t="str">
        <f>IFERROR(INDEX(tbl_ProduitsRef[Famille], MATCH(tbl_Ventes[[#This Row],[Cde_Prdt]], tbl_Produits[Cde_Prdt], 0)), "")</f>
        <v/>
      </c>
    </row>
    <row r="1626" spans="1:11" x14ac:dyDescent="0.25">
      <c r="A1626" s="5"/>
      <c r="B1626" s="63" t="str">
        <f>IFERROR(TEXT(tbl_Ventes[[#This Row],[Date]],"mm-aaaa"),"")</f>
        <v>01-1900</v>
      </c>
      <c r="D1626" s="10" t="str">
        <f>IFERROR(
   INDEX(tbl_ProduitsRef[Cde_Prdt],MATCH(tbl_Ventes[[#This Row],[Produit]],tbl_ProduitsRef[Produit],0)),
   ""
)</f>
        <v/>
      </c>
      <c r="E1626" s="7">
        <v>0</v>
      </c>
      <c r="F1626" s="7" t="str">
        <f>IFERROR(
   INDEX(tbl_ProduitsRef[Prix Menu],MATCH(tbl_Ventes[[#This Row],[Produit]],tbl_ProduitsRef[Produit],0)),
   ""
)</f>
        <v/>
      </c>
      <c r="G1626" s="7">
        <f>tbl_Ventes[[#This Row],[Qté Vendue]] * IFERROR(_xlfn.XLOOKUP(tbl_Ventes[[#This Row],[Cde_Prdt]], tbl_Produits[Cde_Prdt], tbl_Produits[Prix Menu]), 0)</f>
        <v>0</v>
      </c>
      <c r="H1626" s="7">
        <f>IFERROR(_xlfn.XLOOKUP(tbl_Ventes[[#This Row],[Cde_Prdt]], tbl_Produits[Cde_Prdt], tbl_Produits[Coût Moyen Portion]), 0)</f>
        <v>0</v>
      </c>
      <c r="I1626" s="7">
        <f>tbl_Ventes[[#This Row],[Qté Vendue]] * tbl_Ventes[[#This Row],[CMP_par_portion]]</f>
        <v>0</v>
      </c>
      <c r="J1626" s="7">
        <f>tbl_Ventes[[#This Row],[CA ligne]] - tbl_Ventes[[#This Row],[Coût matière ligne]]</f>
        <v>0</v>
      </c>
      <c r="K1626" s="7" t="str">
        <f>IFERROR(INDEX(tbl_ProduitsRef[Famille], MATCH(tbl_Ventes[[#This Row],[Cde_Prdt]], tbl_Produits[Cde_Prdt], 0)), "")</f>
        <v/>
      </c>
    </row>
    <row r="1627" spans="1:11" x14ac:dyDescent="0.25">
      <c r="A1627" s="5"/>
      <c r="B1627" s="63" t="str">
        <f>IFERROR(TEXT(tbl_Ventes[[#This Row],[Date]],"mm-aaaa"),"")</f>
        <v>01-1900</v>
      </c>
      <c r="D1627" s="10" t="str">
        <f>IFERROR(
   INDEX(tbl_ProduitsRef[Cde_Prdt],MATCH(tbl_Ventes[[#This Row],[Produit]],tbl_ProduitsRef[Produit],0)),
   ""
)</f>
        <v/>
      </c>
      <c r="E1627" s="7">
        <v>0</v>
      </c>
      <c r="F1627" s="7" t="str">
        <f>IFERROR(
   INDEX(tbl_ProduitsRef[Prix Menu],MATCH(tbl_Ventes[[#This Row],[Produit]],tbl_ProduitsRef[Produit],0)),
   ""
)</f>
        <v/>
      </c>
      <c r="G1627" s="7">
        <f>tbl_Ventes[[#This Row],[Qté Vendue]] * IFERROR(_xlfn.XLOOKUP(tbl_Ventes[[#This Row],[Cde_Prdt]], tbl_Produits[Cde_Prdt], tbl_Produits[Prix Menu]), 0)</f>
        <v>0</v>
      </c>
      <c r="H1627" s="7">
        <f>IFERROR(_xlfn.XLOOKUP(tbl_Ventes[[#This Row],[Cde_Prdt]], tbl_Produits[Cde_Prdt], tbl_Produits[Coût Moyen Portion]), 0)</f>
        <v>0</v>
      </c>
      <c r="I1627" s="7">
        <f>tbl_Ventes[[#This Row],[Qté Vendue]] * tbl_Ventes[[#This Row],[CMP_par_portion]]</f>
        <v>0</v>
      </c>
      <c r="J1627" s="7">
        <f>tbl_Ventes[[#This Row],[CA ligne]] - tbl_Ventes[[#This Row],[Coût matière ligne]]</f>
        <v>0</v>
      </c>
      <c r="K1627" s="7" t="str">
        <f>IFERROR(INDEX(tbl_ProduitsRef[Famille], MATCH(tbl_Ventes[[#This Row],[Cde_Prdt]], tbl_Produits[Cde_Prdt], 0)), "")</f>
        <v/>
      </c>
    </row>
    <row r="1628" spans="1:11" x14ac:dyDescent="0.25">
      <c r="A1628" s="5"/>
      <c r="B1628" s="63" t="str">
        <f>IFERROR(TEXT(tbl_Ventes[[#This Row],[Date]],"mm-aaaa"),"")</f>
        <v>01-1900</v>
      </c>
      <c r="D1628" s="10" t="str">
        <f>IFERROR(
   INDEX(tbl_ProduitsRef[Cde_Prdt],MATCH(tbl_Ventes[[#This Row],[Produit]],tbl_ProduitsRef[Produit],0)),
   ""
)</f>
        <v/>
      </c>
      <c r="E1628" s="7">
        <v>0</v>
      </c>
      <c r="F1628" s="7" t="str">
        <f>IFERROR(
   INDEX(tbl_ProduitsRef[Prix Menu],MATCH(tbl_Ventes[[#This Row],[Produit]],tbl_ProduitsRef[Produit],0)),
   ""
)</f>
        <v/>
      </c>
      <c r="G1628" s="7">
        <f>tbl_Ventes[[#This Row],[Qté Vendue]] * IFERROR(_xlfn.XLOOKUP(tbl_Ventes[[#This Row],[Cde_Prdt]], tbl_Produits[Cde_Prdt], tbl_Produits[Prix Menu]), 0)</f>
        <v>0</v>
      </c>
      <c r="H1628" s="7">
        <f>IFERROR(_xlfn.XLOOKUP(tbl_Ventes[[#This Row],[Cde_Prdt]], tbl_Produits[Cde_Prdt], tbl_Produits[Coût Moyen Portion]), 0)</f>
        <v>0</v>
      </c>
      <c r="I1628" s="7">
        <f>tbl_Ventes[[#This Row],[Qté Vendue]] * tbl_Ventes[[#This Row],[CMP_par_portion]]</f>
        <v>0</v>
      </c>
      <c r="J1628" s="7">
        <f>tbl_Ventes[[#This Row],[CA ligne]] - tbl_Ventes[[#This Row],[Coût matière ligne]]</f>
        <v>0</v>
      </c>
      <c r="K1628" s="7" t="str">
        <f>IFERROR(INDEX(tbl_ProduitsRef[Famille], MATCH(tbl_Ventes[[#This Row],[Cde_Prdt]], tbl_Produits[Cde_Prdt], 0)), "")</f>
        <v/>
      </c>
    </row>
    <row r="1629" spans="1:11" x14ac:dyDescent="0.25">
      <c r="A1629" s="5"/>
      <c r="B1629" s="63" t="str">
        <f>IFERROR(TEXT(tbl_Ventes[[#This Row],[Date]],"mm-aaaa"),"")</f>
        <v>01-1900</v>
      </c>
      <c r="D1629" s="10" t="str">
        <f>IFERROR(
   INDEX(tbl_ProduitsRef[Cde_Prdt],MATCH(tbl_Ventes[[#This Row],[Produit]],tbl_ProduitsRef[Produit],0)),
   ""
)</f>
        <v/>
      </c>
      <c r="E1629" s="7">
        <v>0</v>
      </c>
      <c r="F1629" s="7" t="str">
        <f>IFERROR(
   INDEX(tbl_ProduitsRef[Prix Menu],MATCH(tbl_Ventes[[#This Row],[Produit]],tbl_ProduitsRef[Produit],0)),
   ""
)</f>
        <v/>
      </c>
      <c r="G1629" s="7">
        <f>tbl_Ventes[[#This Row],[Qté Vendue]] * IFERROR(_xlfn.XLOOKUP(tbl_Ventes[[#This Row],[Cde_Prdt]], tbl_Produits[Cde_Prdt], tbl_Produits[Prix Menu]), 0)</f>
        <v>0</v>
      </c>
      <c r="H1629" s="7">
        <f>IFERROR(_xlfn.XLOOKUP(tbl_Ventes[[#This Row],[Cde_Prdt]], tbl_Produits[Cde_Prdt], tbl_Produits[Coût Moyen Portion]), 0)</f>
        <v>0</v>
      </c>
      <c r="I1629" s="7">
        <f>tbl_Ventes[[#This Row],[Qté Vendue]] * tbl_Ventes[[#This Row],[CMP_par_portion]]</f>
        <v>0</v>
      </c>
      <c r="J1629" s="7">
        <f>tbl_Ventes[[#This Row],[CA ligne]] - tbl_Ventes[[#This Row],[Coût matière ligne]]</f>
        <v>0</v>
      </c>
      <c r="K1629" s="7" t="str">
        <f>IFERROR(INDEX(tbl_ProduitsRef[Famille], MATCH(tbl_Ventes[[#This Row],[Cde_Prdt]], tbl_Produits[Cde_Prdt], 0)), "")</f>
        <v/>
      </c>
    </row>
    <row r="1630" spans="1:11" x14ac:dyDescent="0.25">
      <c r="A1630" s="5"/>
      <c r="B1630" s="63" t="str">
        <f>IFERROR(TEXT(tbl_Ventes[[#This Row],[Date]],"mm-aaaa"),"")</f>
        <v>01-1900</v>
      </c>
      <c r="D1630" s="10" t="str">
        <f>IFERROR(
   INDEX(tbl_ProduitsRef[Cde_Prdt],MATCH(tbl_Ventes[[#This Row],[Produit]],tbl_ProduitsRef[Produit],0)),
   ""
)</f>
        <v/>
      </c>
      <c r="E1630" s="7">
        <v>0</v>
      </c>
      <c r="F1630" s="7" t="str">
        <f>IFERROR(
   INDEX(tbl_ProduitsRef[Prix Menu],MATCH(tbl_Ventes[[#This Row],[Produit]],tbl_ProduitsRef[Produit],0)),
   ""
)</f>
        <v/>
      </c>
      <c r="G1630" s="7">
        <f>tbl_Ventes[[#This Row],[Qté Vendue]] * IFERROR(_xlfn.XLOOKUP(tbl_Ventes[[#This Row],[Cde_Prdt]], tbl_Produits[Cde_Prdt], tbl_Produits[Prix Menu]), 0)</f>
        <v>0</v>
      </c>
      <c r="H1630" s="7">
        <f>IFERROR(_xlfn.XLOOKUP(tbl_Ventes[[#This Row],[Cde_Prdt]], tbl_Produits[Cde_Prdt], tbl_Produits[Coût Moyen Portion]), 0)</f>
        <v>0</v>
      </c>
      <c r="I1630" s="7">
        <f>tbl_Ventes[[#This Row],[Qté Vendue]] * tbl_Ventes[[#This Row],[CMP_par_portion]]</f>
        <v>0</v>
      </c>
      <c r="J1630" s="7">
        <f>tbl_Ventes[[#This Row],[CA ligne]] - tbl_Ventes[[#This Row],[Coût matière ligne]]</f>
        <v>0</v>
      </c>
      <c r="K1630" s="7" t="str">
        <f>IFERROR(INDEX(tbl_ProduitsRef[Famille], MATCH(tbl_Ventes[[#This Row],[Cde_Prdt]], tbl_Produits[Cde_Prdt], 0)), "")</f>
        <v/>
      </c>
    </row>
    <row r="1631" spans="1:11" x14ac:dyDescent="0.25">
      <c r="A1631" s="5"/>
      <c r="B1631" s="63" t="str">
        <f>IFERROR(TEXT(tbl_Ventes[[#This Row],[Date]],"mm-aaaa"),"")</f>
        <v>01-1900</v>
      </c>
      <c r="D1631" s="10" t="str">
        <f>IFERROR(
   INDEX(tbl_ProduitsRef[Cde_Prdt],MATCH(tbl_Ventes[[#This Row],[Produit]],tbl_ProduitsRef[Produit],0)),
   ""
)</f>
        <v/>
      </c>
      <c r="E1631" s="7">
        <v>0</v>
      </c>
      <c r="F1631" s="7" t="str">
        <f>IFERROR(
   INDEX(tbl_ProduitsRef[Prix Menu],MATCH(tbl_Ventes[[#This Row],[Produit]],tbl_ProduitsRef[Produit],0)),
   ""
)</f>
        <v/>
      </c>
      <c r="G1631" s="7">
        <f>tbl_Ventes[[#This Row],[Qté Vendue]] * IFERROR(_xlfn.XLOOKUP(tbl_Ventes[[#This Row],[Cde_Prdt]], tbl_Produits[Cde_Prdt], tbl_Produits[Prix Menu]), 0)</f>
        <v>0</v>
      </c>
      <c r="H1631" s="7">
        <f>IFERROR(_xlfn.XLOOKUP(tbl_Ventes[[#This Row],[Cde_Prdt]], tbl_Produits[Cde_Prdt], tbl_Produits[Coût Moyen Portion]), 0)</f>
        <v>0</v>
      </c>
      <c r="I1631" s="7">
        <f>tbl_Ventes[[#This Row],[Qté Vendue]] * tbl_Ventes[[#This Row],[CMP_par_portion]]</f>
        <v>0</v>
      </c>
      <c r="J1631" s="7">
        <f>tbl_Ventes[[#This Row],[CA ligne]] - tbl_Ventes[[#This Row],[Coût matière ligne]]</f>
        <v>0</v>
      </c>
      <c r="K1631" s="7" t="str">
        <f>IFERROR(INDEX(tbl_ProduitsRef[Famille], MATCH(tbl_Ventes[[#This Row],[Cde_Prdt]], tbl_Produits[Cde_Prdt], 0)), "")</f>
        <v/>
      </c>
    </row>
    <row r="1632" spans="1:11" x14ac:dyDescent="0.25">
      <c r="A1632" s="5"/>
      <c r="B1632" s="63" t="str">
        <f>IFERROR(TEXT(tbl_Ventes[[#This Row],[Date]],"mm-aaaa"),"")</f>
        <v>01-1900</v>
      </c>
      <c r="D1632" s="10" t="str">
        <f>IFERROR(
   INDEX(tbl_ProduitsRef[Cde_Prdt],MATCH(tbl_Ventes[[#This Row],[Produit]],tbl_ProduitsRef[Produit],0)),
   ""
)</f>
        <v/>
      </c>
      <c r="E1632" s="7">
        <v>0</v>
      </c>
      <c r="F1632" s="7" t="str">
        <f>IFERROR(
   INDEX(tbl_ProduitsRef[Prix Menu],MATCH(tbl_Ventes[[#This Row],[Produit]],tbl_ProduitsRef[Produit],0)),
   ""
)</f>
        <v/>
      </c>
      <c r="G1632" s="7">
        <f>tbl_Ventes[[#This Row],[Qté Vendue]] * IFERROR(_xlfn.XLOOKUP(tbl_Ventes[[#This Row],[Cde_Prdt]], tbl_Produits[Cde_Prdt], tbl_Produits[Prix Menu]), 0)</f>
        <v>0</v>
      </c>
      <c r="H1632" s="7">
        <f>IFERROR(_xlfn.XLOOKUP(tbl_Ventes[[#This Row],[Cde_Prdt]], tbl_Produits[Cde_Prdt], tbl_Produits[Coût Moyen Portion]), 0)</f>
        <v>0</v>
      </c>
      <c r="I1632" s="7">
        <f>tbl_Ventes[[#This Row],[Qté Vendue]] * tbl_Ventes[[#This Row],[CMP_par_portion]]</f>
        <v>0</v>
      </c>
      <c r="J1632" s="7">
        <f>tbl_Ventes[[#This Row],[CA ligne]] - tbl_Ventes[[#This Row],[Coût matière ligne]]</f>
        <v>0</v>
      </c>
      <c r="K1632" s="7" t="str">
        <f>IFERROR(INDEX(tbl_ProduitsRef[Famille], MATCH(tbl_Ventes[[#This Row],[Cde_Prdt]], tbl_Produits[Cde_Prdt], 0)), "")</f>
        <v/>
      </c>
    </row>
    <row r="1633" spans="1:11" x14ac:dyDescent="0.25">
      <c r="A1633" s="5"/>
      <c r="B1633" s="63" t="str">
        <f>IFERROR(TEXT(tbl_Ventes[[#This Row],[Date]],"mm-aaaa"),"")</f>
        <v>01-1900</v>
      </c>
      <c r="D1633" s="10" t="str">
        <f>IFERROR(
   INDEX(tbl_ProduitsRef[Cde_Prdt],MATCH(tbl_Ventes[[#This Row],[Produit]],tbl_ProduitsRef[Produit],0)),
   ""
)</f>
        <v/>
      </c>
      <c r="E1633" s="7">
        <v>0</v>
      </c>
      <c r="F1633" s="7" t="str">
        <f>IFERROR(
   INDEX(tbl_ProduitsRef[Prix Menu],MATCH(tbl_Ventes[[#This Row],[Produit]],tbl_ProduitsRef[Produit],0)),
   ""
)</f>
        <v/>
      </c>
      <c r="G1633" s="7">
        <f>tbl_Ventes[[#This Row],[Qté Vendue]] * IFERROR(_xlfn.XLOOKUP(tbl_Ventes[[#This Row],[Cde_Prdt]], tbl_Produits[Cde_Prdt], tbl_Produits[Prix Menu]), 0)</f>
        <v>0</v>
      </c>
      <c r="H1633" s="7">
        <f>IFERROR(_xlfn.XLOOKUP(tbl_Ventes[[#This Row],[Cde_Prdt]], tbl_Produits[Cde_Prdt], tbl_Produits[Coût Moyen Portion]), 0)</f>
        <v>0</v>
      </c>
      <c r="I1633" s="7">
        <f>tbl_Ventes[[#This Row],[Qté Vendue]] * tbl_Ventes[[#This Row],[CMP_par_portion]]</f>
        <v>0</v>
      </c>
      <c r="J1633" s="7">
        <f>tbl_Ventes[[#This Row],[CA ligne]] - tbl_Ventes[[#This Row],[Coût matière ligne]]</f>
        <v>0</v>
      </c>
      <c r="K1633" s="7" t="str">
        <f>IFERROR(INDEX(tbl_ProduitsRef[Famille], MATCH(tbl_Ventes[[#This Row],[Cde_Prdt]], tbl_Produits[Cde_Prdt], 0)), "")</f>
        <v/>
      </c>
    </row>
    <row r="1634" spans="1:11" x14ac:dyDescent="0.25">
      <c r="A1634" s="5"/>
      <c r="B1634" s="63" t="str">
        <f>IFERROR(TEXT(tbl_Ventes[[#This Row],[Date]],"mm-aaaa"),"")</f>
        <v>01-1900</v>
      </c>
      <c r="D1634" s="10" t="str">
        <f>IFERROR(
   INDEX(tbl_ProduitsRef[Cde_Prdt],MATCH(tbl_Ventes[[#This Row],[Produit]],tbl_ProduitsRef[Produit],0)),
   ""
)</f>
        <v/>
      </c>
      <c r="E1634" s="7">
        <v>0</v>
      </c>
      <c r="F1634" s="7" t="str">
        <f>IFERROR(
   INDEX(tbl_ProduitsRef[Prix Menu],MATCH(tbl_Ventes[[#This Row],[Produit]],tbl_ProduitsRef[Produit],0)),
   ""
)</f>
        <v/>
      </c>
      <c r="G1634" s="7">
        <f>tbl_Ventes[[#This Row],[Qté Vendue]] * IFERROR(_xlfn.XLOOKUP(tbl_Ventes[[#This Row],[Cde_Prdt]], tbl_Produits[Cde_Prdt], tbl_Produits[Prix Menu]), 0)</f>
        <v>0</v>
      </c>
      <c r="H1634" s="7">
        <f>IFERROR(_xlfn.XLOOKUP(tbl_Ventes[[#This Row],[Cde_Prdt]], tbl_Produits[Cde_Prdt], tbl_Produits[Coût Moyen Portion]), 0)</f>
        <v>0</v>
      </c>
      <c r="I1634" s="7">
        <f>tbl_Ventes[[#This Row],[Qté Vendue]] * tbl_Ventes[[#This Row],[CMP_par_portion]]</f>
        <v>0</v>
      </c>
      <c r="J1634" s="7">
        <f>tbl_Ventes[[#This Row],[CA ligne]] - tbl_Ventes[[#This Row],[Coût matière ligne]]</f>
        <v>0</v>
      </c>
      <c r="K1634" s="7" t="str">
        <f>IFERROR(INDEX(tbl_ProduitsRef[Famille], MATCH(tbl_Ventes[[#This Row],[Cde_Prdt]], tbl_Produits[Cde_Prdt], 0)), "")</f>
        <v/>
      </c>
    </row>
    <row r="1635" spans="1:11" x14ac:dyDescent="0.25">
      <c r="A1635" s="5"/>
      <c r="B1635" s="63" t="str">
        <f>IFERROR(TEXT(tbl_Ventes[[#This Row],[Date]],"mm-aaaa"),"")</f>
        <v>01-1900</v>
      </c>
      <c r="D1635" s="10" t="str">
        <f>IFERROR(
   INDEX(tbl_ProduitsRef[Cde_Prdt],MATCH(tbl_Ventes[[#This Row],[Produit]],tbl_ProduitsRef[Produit],0)),
   ""
)</f>
        <v/>
      </c>
      <c r="E1635" s="7">
        <v>0</v>
      </c>
      <c r="F1635" s="7" t="str">
        <f>IFERROR(
   INDEX(tbl_ProduitsRef[Prix Menu],MATCH(tbl_Ventes[[#This Row],[Produit]],tbl_ProduitsRef[Produit],0)),
   ""
)</f>
        <v/>
      </c>
      <c r="G1635" s="7">
        <f>tbl_Ventes[[#This Row],[Qté Vendue]] * IFERROR(_xlfn.XLOOKUP(tbl_Ventes[[#This Row],[Cde_Prdt]], tbl_Produits[Cde_Prdt], tbl_Produits[Prix Menu]), 0)</f>
        <v>0</v>
      </c>
      <c r="H1635" s="7">
        <f>IFERROR(_xlfn.XLOOKUP(tbl_Ventes[[#This Row],[Cde_Prdt]], tbl_Produits[Cde_Prdt], tbl_Produits[Coût Moyen Portion]), 0)</f>
        <v>0</v>
      </c>
      <c r="I1635" s="7">
        <f>tbl_Ventes[[#This Row],[Qté Vendue]] * tbl_Ventes[[#This Row],[CMP_par_portion]]</f>
        <v>0</v>
      </c>
      <c r="J1635" s="7">
        <f>tbl_Ventes[[#This Row],[CA ligne]] - tbl_Ventes[[#This Row],[Coût matière ligne]]</f>
        <v>0</v>
      </c>
      <c r="K1635" s="7" t="str">
        <f>IFERROR(INDEX(tbl_ProduitsRef[Famille], MATCH(tbl_Ventes[[#This Row],[Cde_Prdt]], tbl_Produits[Cde_Prdt], 0)), "")</f>
        <v/>
      </c>
    </row>
    <row r="1636" spans="1:11" x14ac:dyDescent="0.25">
      <c r="A1636" s="5"/>
      <c r="B1636" s="63" t="str">
        <f>IFERROR(TEXT(tbl_Ventes[[#This Row],[Date]],"mm-aaaa"),"")</f>
        <v>01-1900</v>
      </c>
      <c r="D1636" s="10" t="str">
        <f>IFERROR(
   INDEX(tbl_ProduitsRef[Cde_Prdt],MATCH(tbl_Ventes[[#This Row],[Produit]],tbl_ProduitsRef[Produit],0)),
   ""
)</f>
        <v/>
      </c>
      <c r="E1636" s="7">
        <v>0</v>
      </c>
      <c r="F1636" s="7" t="str">
        <f>IFERROR(
   INDEX(tbl_ProduitsRef[Prix Menu],MATCH(tbl_Ventes[[#This Row],[Produit]],tbl_ProduitsRef[Produit],0)),
   ""
)</f>
        <v/>
      </c>
      <c r="G1636" s="7">
        <f>tbl_Ventes[[#This Row],[Qté Vendue]] * IFERROR(_xlfn.XLOOKUP(tbl_Ventes[[#This Row],[Cde_Prdt]], tbl_Produits[Cde_Prdt], tbl_Produits[Prix Menu]), 0)</f>
        <v>0</v>
      </c>
      <c r="H1636" s="7">
        <f>IFERROR(_xlfn.XLOOKUP(tbl_Ventes[[#This Row],[Cde_Prdt]], tbl_Produits[Cde_Prdt], tbl_Produits[Coût Moyen Portion]), 0)</f>
        <v>0</v>
      </c>
      <c r="I1636" s="7">
        <f>tbl_Ventes[[#This Row],[Qté Vendue]] * tbl_Ventes[[#This Row],[CMP_par_portion]]</f>
        <v>0</v>
      </c>
      <c r="J1636" s="7">
        <f>tbl_Ventes[[#This Row],[CA ligne]] - tbl_Ventes[[#This Row],[Coût matière ligne]]</f>
        <v>0</v>
      </c>
      <c r="K1636" s="7" t="str">
        <f>IFERROR(INDEX(tbl_ProduitsRef[Famille], MATCH(tbl_Ventes[[#This Row],[Cde_Prdt]], tbl_Produits[Cde_Prdt], 0)), "")</f>
        <v/>
      </c>
    </row>
    <row r="1637" spans="1:11" x14ac:dyDescent="0.25">
      <c r="A1637" s="5"/>
      <c r="B1637" s="63" t="str">
        <f>IFERROR(TEXT(tbl_Ventes[[#This Row],[Date]],"mm-aaaa"),"")</f>
        <v>01-1900</v>
      </c>
      <c r="D1637" s="10" t="str">
        <f>IFERROR(
   INDEX(tbl_ProduitsRef[Cde_Prdt],MATCH(tbl_Ventes[[#This Row],[Produit]],tbl_ProduitsRef[Produit],0)),
   ""
)</f>
        <v/>
      </c>
      <c r="E1637" s="7">
        <v>0</v>
      </c>
      <c r="F1637" s="7" t="str">
        <f>IFERROR(
   INDEX(tbl_ProduitsRef[Prix Menu],MATCH(tbl_Ventes[[#This Row],[Produit]],tbl_ProduitsRef[Produit],0)),
   ""
)</f>
        <v/>
      </c>
      <c r="G1637" s="7">
        <f>tbl_Ventes[[#This Row],[Qté Vendue]] * IFERROR(_xlfn.XLOOKUP(tbl_Ventes[[#This Row],[Cde_Prdt]], tbl_Produits[Cde_Prdt], tbl_Produits[Prix Menu]), 0)</f>
        <v>0</v>
      </c>
      <c r="H1637" s="7">
        <f>IFERROR(_xlfn.XLOOKUP(tbl_Ventes[[#This Row],[Cde_Prdt]], tbl_Produits[Cde_Prdt], tbl_Produits[Coût Moyen Portion]), 0)</f>
        <v>0</v>
      </c>
      <c r="I1637" s="7">
        <f>tbl_Ventes[[#This Row],[Qté Vendue]] * tbl_Ventes[[#This Row],[CMP_par_portion]]</f>
        <v>0</v>
      </c>
      <c r="J1637" s="7">
        <f>tbl_Ventes[[#This Row],[CA ligne]] - tbl_Ventes[[#This Row],[Coût matière ligne]]</f>
        <v>0</v>
      </c>
      <c r="K1637" s="7" t="str">
        <f>IFERROR(INDEX(tbl_ProduitsRef[Famille], MATCH(tbl_Ventes[[#This Row],[Cde_Prdt]], tbl_Produits[Cde_Prdt], 0)), "")</f>
        <v/>
      </c>
    </row>
    <row r="1638" spans="1:11" x14ac:dyDescent="0.25">
      <c r="A1638" s="5"/>
      <c r="B1638" s="63" t="str">
        <f>IFERROR(TEXT(tbl_Ventes[[#This Row],[Date]],"mm-aaaa"),"")</f>
        <v>01-1900</v>
      </c>
      <c r="D1638" s="10" t="str">
        <f>IFERROR(
   INDEX(tbl_ProduitsRef[Cde_Prdt],MATCH(tbl_Ventes[[#This Row],[Produit]],tbl_ProduitsRef[Produit],0)),
   ""
)</f>
        <v/>
      </c>
      <c r="E1638" s="7">
        <v>0</v>
      </c>
      <c r="F1638" s="7" t="str">
        <f>IFERROR(
   INDEX(tbl_ProduitsRef[Prix Menu],MATCH(tbl_Ventes[[#This Row],[Produit]],tbl_ProduitsRef[Produit],0)),
   ""
)</f>
        <v/>
      </c>
      <c r="G1638" s="7">
        <f>tbl_Ventes[[#This Row],[Qté Vendue]] * IFERROR(_xlfn.XLOOKUP(tbl_Ventes[[#This Row],[Cde_Prdt]], tbl_Produits[Cde_Prdt], tbl_Produits[Prix Menu]), 0)</f>
        <v>0</v>
      </c>
      <c r="H1638" s="7">
        <f>IFERROR(_xlfn.XLOOKUP(tbl_Ventes[[#This Row],[Cde_Prdt]], tbl_Produits[Cde_Prdt], tbl_Produits[Coût Moyen Portion]), 0)</f>
        <v>0</v>
      </c>
      <c r="I1638" s="7">
        <f>tbl_Ventes[[#This Row],[Qté Vendue]] * tbl_Ventes[[#This Row],[CMP_par_portion]]</f>
        <v>0</v>
      </c>
      <c r="J1638" s="7">
        <f>tbl_Ventes[[#This Row],[CA ligne]] - tbl_Ventes[[#This Row],[Coût matière ligne]]</f>
        <v>0</v>
      </c>
      <c r="K1638" s="7" t="str">
        <f>IFERROR(INDEX(tbl_ProduitsRef[Famille], MATCH(tbl_Ventes[[#This Row],[Cde_Prdt]], tbl_Produits[Cde_Prdt], 0)), "")</f>
        <v/>
      </c>
    </row>
    <row r="1639" spans="1:11" x14ac:dyDescent="0.25">
      <c r="A1639" s="5"/>
      <c r="B1639" s="63" t="str">
        <f>IFERROR(TEXT(tbl_Ventes[[#This Row],[Date]],"mm-aaaa"),"")</f>
        <v>01-1900</v>
      </c>
      <c r="D1639" s="10" t="str">
        <f>IFERROR(
   INDEX(tbl_ProduitsRef[Cde_Prdt],MATCH(tbl_Ventes[[#This Row],[Produit]],tbl_ProduitsRef[Produit],0)),
   ""
)</f>
        <v/>
      </c>
      <c r="E1639" s="7">
        <v>0</v>
      </c>
      <c r="F1639" s="7" t="str">
        <f>IFERROR(
   INDEX(tbl_ProduitsRef[Prix Menu],MATCH(tbl_Ventes[[#This Row],[Produit]],tbl_ProduitsRef[Produit],0)),
   ""
)</f>
        <v/>
      </c>
      <c r="G1639" s="7">
        <f>tbl_Ventes[[#This Row],[Qté Vendue]] * IFERROR(_xlfn.XLOOKUP(tbl_Ventes[[#This Row],[Cde_Prdt]], tbl_Produits[Cde_Prdt], tbl_Produits[Prix Menu]), 0)</f>
        <v>0</v>
      </c>
      <c r="H1639" s="7">
        <f>IFERROR(_xlfn.XLOOKUP(tbl_Ventes[[#This Row],[Cde_Prdt]], tbl_Produits[Cde_Prdt], tbl_Produits[Coût Moyen Portion]), 0)</f>
        <v>0</v>
      </c>
      <c r="I1639" s="7">
        <f>tbl_Ventes[[#This Row],[Qté Vendue]] * tbl_Ventes[[#This Row],[CMP_par_portion]]</f>
        <v>0</v>
      </c>
      <c r="J1639" s="7">
        <f>tbl_Ventes[[#This Row],[CA ligne]] - tbl_Ventes[[#This Row],[Coût matière ligne]]</f>
        <v>0</v>
      </c>
      <c r="K1639" s="7" t="str">
        <f>IFERROR(INDEX(tbl_ProduitsRef[Famille], MATCH(tbl_Ventes[[#This Row],[Cde_Prdt]], tbl_Produits[Cde_Prdt], 0)), "")</f>
        <v/>
      </c>
    </row>
    <row r="1640" spans="1:11" x14ac:dyDescent="0.25">
      <c r="A1640" s="5"/>
      <c r="B1640" s="63" t="str">
        <f>IFERROR(TEXT(tbl_Ventes[[#This Row],[Date]],"mm-aaaa"),"")</f>
        <v>01-1900</v>
      </c>
      <c r="D1640" s="10" t="str">
        <f>IFERROR(
   INDEX(tbl_ProduitsRef[Cde_Prdt],MATCH(tbl_Ventes[[#This Row],[Produit]],tbl_ProduitsRef[Produit],0)),
   ""
)</f>
        <v/>
      </c>
      <c r="E1640" s="7">
        <v>0</v>
      </c>
      <c r="F1640" s="7" t="str">
        <f>IFERROR(
   INDEX(tbl_ProduitsRef[Prix Menu],MATCH(tbl_Ventes[[#This Row],[Produit]],tbl_ProduitsRef[Produit],0)),
   ""
)</f>
        <v/>
      </c>
      <c r="G1640" s="7">
        <f>tbl_Ventes[[#This Row],[Qté Vendue]] * IFERROR(_xlfn.XLOOKUP(tbl_Ventes[[#This Row],[Cde_Prdt]], tbl_Produits[Cde_Prdt], tbl_Produits[Prix Menu]), 0)</f>
        <v>0</v>
      </c>
      <c r="H1640" s="7">
        <f>IFERROR(_xlfn.XLOOKUP(tbl_Ventes[[#This Row],[Cde_Prdt]], tbl_Produits[Cde_Prdt], tbl_Produits[Coût Moyen Portion]), 0)</f>
        <v>0</v>
      </c>
      <c r="I1640" s="7">
        <f>tbl_Ventes[[#This Row],[Qté Vendue]] * tbl_Ventes[[#This Row],[CMP_par_portion]]</f>
        <v>0</v>
      </c>
      <c r="J1640" s="7">
        <f>tbl_Ventes[[#This Row],[CA ligne]] - tbl_Ventes[[#This Row],[Coût matière ligne]]</f>
        <v>0</v>
      </c>
      <c r="K1640" s="7" t="str">
        <f>IFERROR(INDEX(tbl_ProduitsRef[Famille], MATCH(tbl_Ventes[[#This Row],[Cde_Prdt]], tbl_Produits[Cde_Prdt], 0)), "")</f>
        <v/>
      </c>
    </row>
    <row r="1641" spans="1:11" x14ac:dyDescent="0.25">
      <c r="A1641" s="5"/>
      <c r="B1641" s="63" t="str">
        <f>IFERROR(TEXT(tbl_Ventes[[#This Row],[Date]],"mm-aaaa"),"")</f>
        <v>01-1900</v>
      </c>
      <c r="D1641" s="10" t="str">
        <f>IFERROR(
   INDEX(tbl_ProduitsRef[Cde_Prdt],MATCH(tbl_Ventes[[#This Row],[Produit]],tbl_ProduitsRef[Produit],0)),
   ""
)</f>
        <v/>
      </c>
      <c r="E1641" s="7">
        <v>0</v>
      </c>
      <c r="F1641" s="7" t="str">
        <f>IFERROR(
   INDEX(tbl_ProduitsRef[Prix Menu],MATCH(tbl_Ventes[[#This Row],[Produit]],tbl_ProduitsRef[Produit],0)),
   ""
)</f>
        <v/>
      </c>
      <c r="G1641" s="7">
        <f>tbl_Ventes[[#This Row],[Qté Vendue]] * IFERROR(_xlfn.XLOOKUP(tbl_Ventes[[#This Row],[Cde_Prdt]], tbl_Produits[Cde_Prdt], tbl_Produits[Prix Menu]), 0)</f>
        <v>0</v>
      </c>
      <c r="H1641" s="7">
        <f>IFERROR(_xlfn.XLOOKUP(tbl_Ventes[[#This Row],[Cde_Prdt]], tbl_Produits[Cde_Prdt], tbl_Produits[Coût Moyen Portion]), 0)</f>
        <v>0</v>
      </c>
      <c r="I1641" s="7">
        <f>tbl_Ventes[[#This Row],[Qté Vendue]] * tbl_Ventes[[#This Row],[CMP_par_portion]]</f>
        <v>0</v>
      </c>
      <c r="J1641" s="7">
        <f>tbl_Ventes[[#This Row],[CA ligne]] - tbl_Ventes[[#This Row],[Coût matière ligne]]</f>
        <v>0</v>
      </c>
      <c r="K1641" s="7" t="str">
        <f>IFERROR(INDEX(tbl_ProduitsRef[Famille], MATCH(tbl_Ventes[[#This Row],[Cde_Prdt]], tbl_Produits[Cde_Prdt], 0)), "")</f>
        <v/>
      </c>
    </row>
    <row r="1642" spans="1:11" x14ac:dyDescent="0.25">
      <c r="A1642" s="5"/>
      <c r="B1642" s="63" t="str">
        <f>IFERROR(TEXT(tbl_Ventes[[#This Row],[Date]],"mm-aaaa"),"")</f>
        <v>01-1900</v>
      </c>
      <c r="D1642" s="10" t="str">
        <f>IFERROR(
   INDEX(tbl_ProduitsRef[Cde_Prdt],MATCH(tbl_Ventes[[#This Row],[Produit]],tbl_ProduitsRef[Produit],0)),
   ""
)</f>
        <v/>
      </c>
      <c r="E1642" s="7">
        <v>0</v>
      </c>
      <c r="F1642" s="7" t="str">
        <f>IFERROR(
   INDEX(tbl_ProduitsRef[Prix Menu],MATCH(tbl_Ventes[[#This Row],[Produit]],tbl_ProduitsRef[Produit],0)),
   ""
)</f>
        <v/>
      </c>
      <c r="G1642" s="7">
        <f>tbl_Ventes[[#This Row],[Qté Vendue]] * IFERROR(_xlfn.XLOOKUP(tbl_Ventes[[#This Row],[Cde_Prdt]], tbl_Produits[Cde_Prdt], tbl_Produits[Prix Menu]), 0)</f>
        <v>0</v>
      </c>
      <c r="H1642" s="7">
        <f>IFERROR(_xlfn.XLOOKUP(tbl_Ventes[[#This Row],[Cde_Prdt]], tbl_Produits[Cde_Prdt], tbl_Produits[Coût Moyen Portion]), 0)</f>
        <v>0</v>
      </c>
      <c r="I1642" s="7">
        <f>tbl_Ventes[[#This Row],[Qté Vendue]] * tbl_Ventes[[#This Row],[CMP_par_portion]]</f>
        <v>0</v>
      </c>
      <c r="J1642" s="7">
        <f>tbl_Ventes[[#This Row],[CA ligne]] - tbl_Ventes[[#This Row],[Coût matière ligne]]</f>
        <v>0</v>
      </c>
      <c r="K1642" s="7" t="str">
        <f>IFERROR(INDEX(tbl_ProduitsRef[Famille], MATCH(tbl_Ventes[[#This Row],[Cde_Prdt]], tbl_Produits[Cde_Prdt], 0)), "")</f>
        <v/>
      </c>
    </row>
    <row r="1643" spans="1:11" x14ac:dyDescent="0.25">
      <c r="A1643" s="5"/>
      <c r="B1643" s="63" t="str">
        <f>IFERROR(TEXT(tbl_Ventes[[#This Row],[Date]],"mm-aaaa"),"")</f>
        <v>01-1900</v>
      </c>
      <c r="D1643" s="10" t="str">
        <f>IFERROR(
   INDEX(tbl_ProduitsRef[Cde_Prdt],MATCH(tbl_Ventes[[#This Row],[Produit]],tbl_ProduitsRef[Produit],0)),
   ""
)</f>
        <v/>
      </c>
      <c r="E1643" s="7">
        <v>0</v>
      </c>
      <c r="F1643" s="7" t="str">
        <f>IFERROR(
   INDEX(tbl_ProduitsRef[Prix Menu],MATCH(tbl_Ventes[[#This Row],[Produit]],tbl_ProduitsRef[Produit],0)),
   ""
)</f>
        <v/>
      </c>
      <c r="G1643" s="7">
        <f>tbl_Ventes[[#This Row],[Qté Vendue]] * IFERROR(_xlfn.XLOOKUP(tbl_Ventes[[#This Row],[Cde_Prdt]], tbl_Produits[Cde_Prdt], tbl_Produits[Prix Menu]), 0)</f>
        <v>0</v>
      </c>
      <c r="H1643" s="7">
        <f>IFERROR(_xlfn.XLOOKUP(tbl_Ventes[[#This Row],[Cde_Prdt]], tbl_Produits[Cde_Prdt], tbl_Produits[Coût Moyen Portion]), 0)</f>
        <v>0</v>
      </c>
      <c r="I1643" s="7">
        <f>tbl_Ventes[[#This Row],[Qté Vendue]] * tbl_Ventes[[#This Row],[CMP_par_portion]]</f>
        <v>0</v>
      </c>
      <c r="J1643" s="7">
        <f>tbl_Ventes[[#This Row],[CA ligne]] - tbl_Ventes[[#This Row],[Coût matière ligne]]</f>
        <v>0</v>
      </c>
      <c r="K1643" s="7" t="str">
        <f>IFERROR(INDEX(tbl_ProduitsRef[Famille], MATCH(tbl_Ventes[[#This Row],[Cde_Prdt]], tbl_Produits[Cde_Prdt], 0)), "")</f>
        <v/>
      </c>
    </row>
    <row r="1644" spans="1:11" x14ac:dyDescent="0.25">
      <c r="A1644" s="5"/>
      <c r="B1644" s="63" t="str">
        <f>IFERROR(TEXT(tbl_Ventes[[#This Row],[Date]],"mm-aaaa"),"")</f>
        <v>01-1900</v>
      </c>
      <c r="D1644" s="10" t="str">
        <f>IFERROR(
   INDEX(tbl_ProduitsRef[Cde_Prdt],MATCH(tbl_Ventes[[#This Row],[Produit]],tbl_ProduitsRef[Produit],0)),
   ""
)</f>
        <v/>
      </c>
      <c r="E1644" s="7">
        <v>0</v>
      </c>
      <c r="F1644" s="7" t="str">
        <f>IFERROR(
   INDEX(tbl_ProduitsRef[Prix Menu],MATCH(tbl_Ventes[[#This Row],[Produit]],tbl_ProduitsRef[Produit],0)),
   ""
)</f>
        <v/>
      </c>
      <c r="G1644" s="7">
        <f>tbl_Ventes[[#This Row],[Qté Vendue]] * IFERROR(_xlfn.XLOOKUP(tbl_Ventes[[#This Row],[Cde_Prdt]], tbl_Produits[Cde_Prdt], tbl_Produits[Prix Menu]), 0)</f>
        <v>0</v>
      </c>
      <c r="H1644" s="7">
        <f>IFERROR(_xlfn.XLOOKUP(tbl_Ventes[[#This Row],[Cde_Prdt]], tbl_Produits[Cde_Prdt], tbl_Produits[Coût Moyen Portion]), 0)</f>
        <v>0</v>
      </c>
      <c r="I1644" s="7">
        <f>tbl_Ventes[[#This Row],[Qté Vendue]] * tbl_Ventes[[#This Row],[CMP_par_portion]]</f>
        <v>0</v>
      </c>
      <c r="J1644" s="7">
        <f>tbl_Ventes[[#This Row],[CA ligne]] - tbl_Ventes[[#This Row],[Coût matière ligne]]</f>
        <v>0</v>
      </c>
      <c r="K1644" s="7" t="str">
        <f>IFERROR(INDEX(tbl_ProduitsRef[Famille], MATCH(tbl_Ventes[[#This Row],[Cde_Prdt]], tbl_Produits[Cde_Prdt], 0)), "")</f>
        <v/>
      </c>
    </row>
    <row r="1645" spans="1:11" x14ac:dyDescent="0.25">
      <c r="A1645" s="5"/>
      <c r="B1645" s="63" t="str">
        <f>IFERROR(TEXT(tbl_Ventes[[#This Row],[Date]],"mm-aaaa"),"")</f>
        <v>01-1900</v>
      </c>
      <c r="D1645" s="10" t="str">
        <f>IFERROR(
   INDEX(tbl_ProduitsRef[Cde_Prdt],MATCH(tbl_Ventes[[#This Row],[Produit]],tbl_ProduitsRef[Produit],0)),
   ""
)</f>
        <v/>
      </c>
      <c r="E1645" s="7">
        <v>0</v>
      </c>
      <c r="F1645" s="7" t="str">
        <f>IFERROR(
   INDEX(tbl_ProduitsRef[Prix Menu],MATCH(tbl_Ventes[[#This Row],[Produit]],tbl_ProduitsRef[Produit],0)),
   ""
)</f>
        <v/>
      </c>
      <c r="G1645" s="7">
        <f>tbl_Ventes[[#This Row],[Qté Vendue]] * IFERROR(_xlfn.XLOOKUP(tbl_Ventes[[#This Row],[Cde_Prdt]], tbl_Produits[Cde_Prdt], tbl_Produits[Prix Menu]), 0)</f>
        <v>0</v>
      </c>
      <c r="H1645" s="7">
        <f>IFERROR(_xlfn.XLOOKUP(tbl_Ventes[[#This Row],[Cde_Prdt]], tbl_Produits[Cde_Prdt], tbl_Produits[Coût Moyen Portion]), 0)</f>
        <v>0</v>
      </c>
      <c r="I1645" s="7">
        <f>tbl_Ventes[[#This Row],[Qté Vendue]] * tbl_Ventes[[#This Row],[CMP_par_portion]]</f>
        <v>0</v>
      </c>
      <c r="J1645" s="7">
        <f>tbl_Ventes[[#This Row],[CA ligne]] - tbl_Ventes[[#This Row],[Coût matière ligne]]</f>
        <v>0</v>
      </c>
      <c r="K1645" s="7" t="str">
        <f>IFERROR(INDEX(tbl_ProduitsRef[Famille], MATCH(tbl_Ventes[[#This Row],[Cde_Prdt]], tbl_Produits[Cde_Prdt], 0)), "")</f>
        <v/>
      </c>
    </row>
    <row r="1646" spans="1:11" x14ac:dyDescent="0.25">
      <c r="A1646" s="5"/>
      <c r="B1646" s="63" t="str">
        <f>IFERROR(TEXT(tbl_Ventes[[#This Row],[Date]],"mm-aaaa"),"")</f>
        <v>01-1900</v>
      </c>
      <c r="D1646" s="10" t="str">
        <f>IFERROR(
   INDEX(tbl_ProduitsRef[Cde_Prdt],MATCH(tbl_Ventes[[#This Row],[Produit]],tbl_ProduitsRef[Produit],0)),
   ""
)</f>
        <v/>
      </c>
      <c r="E1646" s="7">
        <v>0</v>
      </c>
      <c r="F1646" s="7" t="str">
        <f>IFERROR(
   INDEX(tbl_ProduitsRef[Prix Menu],MATCH(tbl_Ventes[[#This Row],[Produit]],tbl_ProduitsRef[Produit],0)),
   ""
)</f>
        <v/>
      </c>
      <c r="G1646" s="7">
        <f>tbl_Ventes[[#This Row],[Qté Vendue]] * IFERROR(_xlfn.XLOOKUP(tbl_Ventes[[#This Row],[Cde_Prdt]], tbl_Produits[Cde_Prdt], tbl_Produits[Prix Menu]), 0)</f>
        <v>0</v>
      </c>
      <c r="H1646" s="7">
        <f>IFERROR(_xlfn.XLOOKUP(tbl_Ventes[[#This Row],[Cde_Prdt]], tbl_Produits[Cde_Prdt], tbl_Produits[Coût Moyen Portion]), 0)</f>
        <v>0</v>
      </c>
      <c r="I1646" s="7">
        <f>tbl_Ventes[[#This Row],[Qté Vendue]] * tbl_Ventes[[#This Row],[CMP_par_portion]]</f>
        <v>0</v>
      </c>
      <c r="J1646" s="7">
        <f>tbl_Ventes[[#This Row],[CA ligne]] - tbl_Ventes[[#This Row],[Coût matière ligne]]</f>
        <v>0</v>
      </c>
      <c r="K1646" s="7" t="str">
        <f>IFERROR(INDEX(tbl_ProduitsRef[Famille], MATCH(tbl_Ventes[[#This Row],[Cde_Prdt]], tbl_Produits[Cde_Prdt], 0)), "")</f>
        <v/>
      </c>
    </row>
    <row r="1647" spans="1:11" x14ac:dyDescent="0.25">
      <c r="A1647" s="5"/>
      <c r="B1647" s="63" t="str">
        <f>IFERROR(TEXT(tbl_Ventes[[#This Row],[Date]],"mm-aaaa"),"")</f>
        <v>01-1900</v>
      </c>
      <c r="D1647" s="10" t="str">
        <f>IFERROR(
   INDEX(tbl_ProduitsRef[Cde_Prdt],MATCH(tbl_Ventes[[#This Row],[Produit]],tbl_ProduitsRef[Produit],0)),
   ""
)</f>
        <v/>
      </c>
      <c r="E1647" s="7">
        <v>0</v>
      </c>
      <c r="F1647" s="7" t="str">
        <f>IFERROR(
   INDEX(tbl_ProduitsRef[Prix Menu],MATCH(tbl_Ventes[[#This Row],[Produit]],tbl_ProduitsRef[Produit],0)),
   ""
)</f>
        <v/>
      </c>
      <c r="G1647" s="7">
        <f>tbl_Ventes[[#This Row],[Qté Vendue]] * IFERROR(_xlfn.XLOOKUP(tbl_Ventes[[#This Row],[Cde_Prdt]], tbl_Produits[Cde_Prdt], tbl_Produits[Prix Menu]), 0)</f>
        <v>0</v>
      </c>
      <c r="H1647" s="7">
        <f>IFERROR(_xlfn.XLOOKUP(tbl_Ventes[[#This Row],[Cde_Prdt]], tbl_Produits[Cde_Prdt], tbl_Produits[Coût Moyen Portion]), 0)</f>
        <v>0</v>
      </c>
      <c r="I1647" s="7">
        <f>tbl_Ventes[[#This Row],[Qté Vendue]] * tbl_Ventes[[#This Row],[CMP_par_portion]]</f>
        <v>0</v>
      </c>
      <c r="J1647" s="7">
        <f>tbl_Ventes[[#This Row],[CA ligne]] - tbl_Ventes[[#This Row],[Coût matière ligne]]</f>
        <v>0</v>
      </c>
      <c r="K1647" s="7" t="str">
        <f>IFERROR(INDEX(tbl_ProduitsRef[Famille], MATCH(tbl_Ventes[[#This Row],[Cde_Prdt]], tbl_Produits[Cde_Prdt], 0)), "")</f>
        <v/>
      </c>
    </row>
    <row r="1648" spans="1:11" x14ac:dyDescent="0.25">
      <c r="A1648" s="5"/>
      <c r="B1648" s="63" t="str">
        <f>IFERROR(TEXT(tbl_Ventes[[#This Row],[Date]],"mm-aaaa"),"")</f>
        <v>01-1900</v>
      </c>
      <c r="D1648" s="10" t="str">
        <f>IFERROR(
   INDEX(tbl_ProduitsRef[Cde_Prdt],MATCH(tbl_Ventes[[#This Row],[Produit]],tbl_ProduitsRef[Produit],0)),
   ""
)</f>
        <v/>
      </c>
      <c r="E1648" s="7">
        <v>0</v>
      </c>
      <c r="F1648" s="7" t="str">
        <f>IFERROR(
   INDEX(tbl_ProduitsRef[Prix Menu],MATCH(tbl_Ventes[[#This Row],[Produit]],tbl_ProduitsRef[Produit],0)),
   ""
)</f>
        <v/>
      </c>
      <c r="G1648" s="7">
        <f>tbl_Ventes[[#This Row],[Qté Vendue]] * IFERROR(_xlfn.XLOOKUP(tbl_Ventes[[#This Row],[Cde_Prdt]], tbl_Produits[Cde_Prdt], tbl_Produits[Prix Menu]), 0)</f>
        <v>0</v>
      </c>
      <c r="H1648" s="7">
        <f>IFERROR(_xlfn.XLOOKUP(tbl_Ventes[[#This Row],[Cde_Prdt]], tbl_Produits[Cde_Prdt], tbl_Produits[Coût Moyen Portion]), 0)</f>
        <v>0</v>
      </c>
      <c r="I1648" s="7">
        <f>tbl_Ventes[[#This Row],[Qté Vendue]] * tbl_Ventes[[#This Row],[CMP_par_portion]]</f>
        <v>0</v>
      </c>
      <c r="J1648" s="7">
        <f>tbl_Ventes[[#This Row],[CA ligne]] - tbl_Ventes[[#This Row],[Coût matière ligne]]</f>
        <v>0</v>
      </c>
      <c r="K1648" s="7" t="str">
        <f>IFERROR(INDEX(tbl_ProduitsRef[Famille], MATCH(tbl_Ventes[[#This Row],[Cde_Prdt]], tbl_Produits[Cde_Prdt], 0)), "")</f>
        <v/>
      </c>
    </row>
    <row r="1649" spans="1:11" x14ac:dyDescent="0.25">
      <c r="A1649" s="5"/>
      <c r="B1649" s="63" t="str">
        <f>IFERROR(TEXT(tbl_Ventes[[#This Row],[Date]],"mm-aaaa"),"")</f>
        <v>01-1900</v>
      </c>
      <c r="D1649" s="10" t="str">
        <f>IFERROR(
   INDEX(tbl_ProduitsRef[Cde_Prdt],MATCH(tbl_Ventes[[#This Row],[Produit]],tbl_ProduitsRef[Produit],0)),
   ""
)</f>
        <v/>
      </c>
      <c r="E1649" s="7">
        <v>0</v>
      </c>
      <c r="F1649" s="7" t="str">
        <f>IFERROR(
   INDEX(tbl_ProduitsRef[Prix Menu],MATCH(tbl_Ventes[[#This Row],[Produit]],tbl_ProduitsRef[Produit],0)),
   ""
)</f>
        <v/>
      </c>
      <c r="G1649" s="7">
        <f>tbl_Ventes[[#This Row],[Qté Vendue]] * IFERROR(_xlfn.XLOOKUP(tbl_Ventes[[#This Row],[Cde_Prdt]], tbl_Produits[Cde_Prdt], tbl_Produits[Prix Menu]), 0)</f>
        <v>0</v>
      </c>
      <c r="H1649" s="7">
        <f>IFERROR(_xlfn.XLOOKUP(tbl_Ventes[[#This Row],[Cde_Prdt]], tbl_Produits[Cde_Prdt], tbl_Produits[Coût Moyen Portion]), 0)</f>
        <v>0</v>
      </c>
      <c r="I1649" s="7">
        <f>tbl_Ventes[[#This Row],[Qté Vendue]] * tbl_Ventes[[#This Row],[CMP_par_portion]]</f>
        <v>0</v>
      </c>
      <c r="J1649" s="7">
        <f>tbl_Ventes[[#This Row],[CA ligne]] - tbl_Ventes[[#This Row],[Coût matière ligne]]</f>
        <v>0</v>
      </c>
      <c r="K1649" s="7" t="str">
        <f>IFERROR(INDEX(tbl_ProduitsRef[Famille], MATCH(tbl_Ventes[[#This Row],[Cde_Prdt]], tbl_Produits[Cde_Prdt], 0)), "")</f>
        <v/>
      </c>
    </row>
    <row r="1650" spans="1:11" x14ac:dyDescent="0.25">
      <c r="A1650" s="5"/>
      <c r="B1650" s="63" t="str">
        <f>IFERROR(TEXT(tbl_Ventes[[#This Row],[Date]],"mm-aaaa"),"")</f>
        <v>01-1900</v>
      </c>
      <c r="D1650" s="10" t="str">
        <f>IFERROR(
   INDEX(tbl_ProduitsRef[Cde_Prdt],MATCH(tbl_Ventes[[#This Row],[Produit]],tbl_ProduitsRef[Produit],0)),
   ""
)</f>
        <v/>
      </c>
      <c r="E1650" s="7">
        <v>0</v>
      </c>
      <c r="F1650" s="7" t="str">
        <f>IFERROR(
   INDEX(tbl_ProduitsRef[Prix Menu],MATCH(tbl_Ventes[[#This Row],[Produit]],tbl_ProduitsRef[Produit],0)),
   ""
)</f>
        <v/>
      </c>
      <c r="G1650" s="7">
        <f>tbl_Ventes[[#This Row],[Qté Vendue]] * IFERROR(_xlfn.XLOOKUP(tbl_Ventes[[#This Row],[Cde_Prdt]], tbl_Produits[Cde_Prdt], tbl_Produits[Prix Menu]), 0)</f>
        <v>0</v>
      </c>
      <c r="H1650" s="7">
        <f>IFERROR(_xlfn.XLOOKUP(tbl_Ventes[[#This Row],[Cde_Prdt]], tbl_Produits[Cde_Prdt], tbl_Produits[Coût Moyen Portion]), 0)</f>
        <v>0</v>
      </c>
      <c r="I1650" s="7">
        <f>tbl_Ventes[[#This Row],[Qté Vendue]] * tbl_Ventes[[#This Row],[CMP_par_portion]]</f>
        <v>0</v>
      </c>
      <c r="J1650" s="7">
        <f>tbl_Ventes[[#This Row],[CA ligne]] - tbl_Ventes[[#This Row],[Coût matière ligne]]</f>
        <v>0</v>
      </c>
      <c r="K1650" s="7" t="str">
        <f>IFERROR(INDEX(tbl_ProduitsRef[Famille], MATCH(tbl_Ventes[[#This Row],[Cde_Prdt]], tbl_Produits[Cde_Prdt], 0)), "")</f>
        <v/>
      </c>
    </row>
    <row r="1651" spans="1:11" x14ac:dyDescent="0.25">
      <c r="A1651" s="5"/>
      <c r="B1651" s="63" t="str">
        <f>IFERROR(TEXT(tbl_Ventes[[#This Row],[Date]],"mm-aaaa"),"")</f>
        <v>01-1900</v>
      </c>
      <c r="D1651" s="10" t="str">
        <f>IFERROR(
   INDEX(tbl_ProduitsRef[Cde_Prdt],MATCH(tbl_Ventes[[#This Row],[Produit]],tbl_ProduitsRef[Produit],0)),
   ""
)</f>
        <v/>
      </c>
      <c r="E1651" s="7">
        <v>0</v>
      </c>
      <c r="F1651" s="7" t="str">
        <f>IFERROR(
   INDEX(tbl_ProduitsRef[Prix Menu],MATCH(tbl_Ventes[[#This Row],[Produit]],tbl_ProduitsRef[Produit],0)),
   ""
)</f>
        <v/>
      </c>
      <c r="G1651" s="7">
        <f>tbl_Ventes[[#This Row],[Qté Vendue]] * IFERROR(_xlfn.XLOOKUP(tbl_Ventes[[#This Row],[Cde_Prdt]], tbl_Produits[Cde_Prdt], tbl_Produits[Prix Menu]), 0)</f>
        <v>0</v>
      </c>
      <c r="H1651" s="7">
        <f>IFERROR(_xlfn.XLOOKUP(tbl_Ventes[[#This Row],[Cde_Prdt]], tbl_Produits[Cde_Prdt], tbl_Produits[Coût Moyen Portion]), 0)</f>
        <v>0</v>
      </c>
      <c r="I1651" s="7">
        <f>tbl_Ventes[[#This Row],[Qté Vendue]] * tbl_Ventes[[#This Row],[CMP_par_portion]]</f>
        <v>0</v>
      </c>
      <c r="J1651" s="7">
        <f>tbl_Ventes[[#This Row],[CA ligne]] - tbl_Ventes[[#This Row],[Coût matière ligne]]</f>
        <v>0</v>
      </c>
      <c r="K1651" s="7" t="str">
        <f>IFERROR(INDEX(tbl_ProduitsRef[Famille], MATCH(tbl_Ventes[[#This Row],[Cde_Prdt]], tbl_Produits[Cde_Prdt], 0)), "")</f>
        <v/>
      </c>
    </row>
    <row r="1652" spans="1:11" x14ac:dyDescent="0.25">
      <c r="A1652" s="5"/>
      <c r="B1652" s="63" t="str">
        <f>IFERROR(TEXT(tbl_Ventes[[#This Row],[Date]],"mm-aaaa"),"")</f>
        <v>01-1900</v>
      </c>
      <c r="D1652" s="10" t="str">
        <f>IFERROR(
   INDEX(tbl_ProduitsRef[Cde_Prdt],MATCH(tbl_Ventes[[#This Row],[Produit]],tbl_ProduitsRef[Produit],0)),
   ""
)</f>
        <v/>
      </c>
      <c r="E1652" s="7">
        <v>0</v>
      </c>
      <c r="F1652" s="7" t="str">
        <f>IFERROR(
   INDEX(tbl_ProduitsRef[Prix Menu],MATCH(tbl_Ventes[[#This Row],[Produit]],tbl_ProduitsRef[Produit],0)),
   ""
)</f>
        <v/>
      </c>
      <c r="G1652" s="7">
        <f>tbl_Ventes[[#This Row],[Qté Vendue]] * IFERROR(_xlfn.XLOOKUP(tbl_Ventes[[#This Row],[Cde_Prdt]], tbl_Produits[Cde_Prdt], tbl_Produits[Prix Menu]), 0)</f>
        <v>0</v>
      </c>
      <c r="H1652" s="7">
        <f>IFERROR(_xlfn.XLOOKUP(tbl_Ventes[[#This Row],[Cde_Prdt]], tbl_Produits[Cde_Prdt], tbl_Produits[Coût Moyen Portion]), 0)</f>
        <v>0</v>
      </c>
      <c r="I1652" s="7">
        <f>tbl_Ventes[[#This Row],[Qté Vendue]] * tbl_Ventes[[#This Row],[CMP_par_portion]]</f>
        <v>0</v>
      </c>
      <c r="J1652" s="7">
        <f>tbl_Ventes[[#This Row],[CA ligne]] - tbl_Ventes[[#This Row],[Coût matière ligne]]</f>
        <v>0</v>
      </c>
      <c r="K1652" s="7" t="str">
        <f>IFERROR(INDEX(tbl_ProduitsRef[Famille], MATCH(tbl_Ventes[[#This Row],[Cde_Prdt]], tbl_Produits[Cde_Prdt], 0)), "")</f>
        <v/>
      </c>
    </row>
    <row r="1653" spans="1:11" x14ac:dyDescent="0.25">
      <c r="A1653" s="5"/>
      <c r="B1653" s="63" t="str">
        <f>IFERROR(TEXT(tbl_Ventes[[#This Row],[Date]],"mm-aaaa"),"")</f>
        <v>01-1900</v>
      </c>
      <c r="D1653" s="10" t="str">
        <f>IFERROR(
   INDEX(tbl_ProduitsRef[Cde_Prdt],MATCH(tbl_Ventes[[#This Row],[Produit]],tbl_ProduitsRef[Produit],0)),
   ""
)</f>
        <v/>
      </c>
      <c r="E1653" s="7">
        <v>0</v>
      </c>
      <c r="F1653" s="7" t="str">
        <f>IFERROR(
   INDEX(tbl_ProduitsRef[Prix Menu],MATCH(tbl_Ventes[[#This Row],[Produit]],tbl_ProduitsRef[Produit],0)),
   ""
)</f>
        <v/>
      </c>
      <c r="G1653" s="7">
        <f>tbl_Ventes[[#This Row],[Qté Vendue]] * IFERROR(_xlfn.XLOOKUP(tbl_Ventes[[#This Row],[Cde_Prdt]], tbl_Produits[Cde_Prdt], tbl_Produits[Prix Menu]), 0)</f>
        <v>0</v>
      </c>
      <c r="H1653" s="7">
        <f>IFERROR(_xlfn.XLOOKUP(tbl_Ventes[[#This Row],[Cde_Prdt]], tbl_Produits[Cde_Prdt], tbl_Produits[Coût Moyen Portion]), 0)</f>
        <v>0</v>
      </c>
      <c r="I1653" s="7">
        <f>tbl_Ventes[[#This Row],[Qté Vendue]] * tbl_Ventes[[#This Row],[CMP_par_portion]]</f>
        <v>0</v>
      </c>
      <c r="J1653" s="7">
        <f>tbl_Ventes[[#This Row],[CA ligne]] - tbl_Ventes[[#This Row],[Coût matière ligne]]</f>
        <v>0</v>
      </c>
      <c r="K1653" s="7" t="str">
        <f>IFERROR(INDEX(tbl_ProduitsRef[Famille], MATCH(tbl_Ventes[[#This Row],[Cde_Prdt]], tbl_Produits[Cde_Prdt], 0)), "")</f>
        <v/>
      </c>
    </row>
    <row r="1654" spans="1:11" x14ac:dyDescent="0.25">
      <c r="A1654" s="5"/>
      <c r="B1654" s="63" t="str">
        <f>IFERROR(TEXT(tbl_Ventes[[#This Row],[Date]],"mm-aaaa"),"")</f>
        <v>01-1900</v>
      </c>
      <c r="D1654" s="10" t="str">
        <f>IFERROR(
   INDEX(tbl_ProduitsRef[Cde_Prdt],MATCH(tbl_Ventes[[#This Row],[Produit]],tbl_ProduitsRef[Produit],0)),
   ""
)</f>
        <v/>
      </c>
      <c r="E1654" s="7">
        <v>0</v>
      </c>
      <c r="F1654" s="7" t="str">
        <f>IFERROR(
   INDEX(tbl_ProduitsRef[Prix Menu],MATCH(tbl_Ventes[[#This Row],[Produit]],tbl_ProduitsRef[Produit],0)),
   ""
)</f>
        <v/>
      </c>
      <c r="G1654" s="7">
        <f>tbl_Ventes[[#This Row],[Qté Vendue]] * IFERROR(_xlfn.XLOOKUP(tbl_Ventes[[#This Row],[Cde_Prdt]], tbl_Produits[Cde_Prdt], tbl_Produits[Prix Menu]), 0)</f>
        <v>0</v>
      </c>
      <c r="H1654" s="7">
        <f>IFERROR(_xlfn.XLOOKUP(tbl_Ventes[[#This Row],[Cde_Prdt]], tbl_Produits[Cde_Prdt], tbl_Produits[Coût Moyen Portion]), 0)</f>
        <v>0</v>
      </c>
      <c r="I1654" s="7">
        <f>tbl_Ventes[[#This Row],[Qté Vendue]] * tbl_Ventes[[#This Row],[CMP_par_portion]]</f>
        <v>0</v>
      </c>
      <c r="J1654" s="7">
        <f>tbl_Ventes[[#This Row],[CA ligne]] - tbl_Ventes[[#This Row],[Coût matière ligne]]</f>
        <v>0</v>
      </c>
      <c r="K1654" s="7" t="str">
        <f>IFERROR(INDEX(tbl_ProduitsRef[Famille], MATCH(tbl_Ventes[[#This Row],[Cde_Prdt]], tbl_Produits[Cde_Prdt], 0)), "")</f>
        <v/>
      </c>
    </row>
    <row r="1655" spans="1:11" x14ac:dyDescent="0.25">
      <c r="A1655" s="5"/>
      <c r="B1655" s="63" t="str">
        <f>IFERROR(TEXT(tbl_Ventes[[#This Row],[Date]],"mm-aaaa"),"")</f>
        <v>01-1900</v>
      </c>
      <c r="D1655" s="10" t="str">
        <f>IFERROR(
   INDEX(tbl_ProduitsRef[Cde_Prdt],MATCH(tbl_Ventes[[#This Row],[Produit]],tbl_ProduitsRef[Produit],0)),
   ""
)</f>
        <v/>
      </c>
      <c r="E1655" s="7">
        <v>0</v>
      </c>
      <c r="F1655" s="7" t="str">
        <f>IFERROR(
   INDEX(tbl_ProduitsRef[Prix Menu],MATCH(tbl_Ventes[[#This Row],[Produit]],tbl_ProduitsRef[Produit],0)),
   ""
)</f>
        <v/>
      </c>
      <c r="G1655" s="7">
        <f>tbl_Ventes[[#This Row],[Qté Vendue]] * IFERROR(_xlfn.XLOOKUP(tbl_Ventes[[#This Row],[Cde_Prdt]], tbl_Produits[Cde_Prdt], tbl_Produits[Prix Menu]), 0)</f>
        <v>0</v>
      </c>
      <c r="H1655" s="7">
        <f>IFERROR(_xlfn.XLOOKUP(tbl_Ventes[[#This Row],[Cde_Prdt]], tbl_Produits[Cde_Prdt], tbl_Produits[Coût Moyen Portion]), 0)</f>
        <v>0</v>
      </c>
      <c r="I1655" s="7">
        <f>tbl_Ventes[[#This Row],[Qté Vendue]] * tbl_Ventes[[#This Row],[CMP_par_portion]]</f>
        <v>0</v>
      </c>
      <c r="J1655" s="7">
        <f>tbl_Ventes[[#This Row],[CA ligne]] - tbl_Ventes[[#This Row],[Coût matière ligne]]</f>
        <v>0</v>
      </c>
      <c r="K1655" s="7" t="str">
        <f>IFERROR(INDEX(tbl_ProduitsRef[Famille], MATCH(tbl_Ventes[[#This Row],[Cde_Prdt]], tbl_Produits[Cde_Prdt], 0)), "")</f>
        <v/>
      </c>
    </row>
    <row r="1656" spans="1:11" x14ac:dyDescent="0.25">
      <c r="A1656" s="5"/>
      <c r="B1656" s="63" t="str">
        <f>IFERROR(TEXT(tbl_Ventes[[#This Row],[Date]],"mm-aaaa"),"")</f>
        <v>01-1900</v>
      </c>
      <c r="D1656" s="10" t="str">
        <f>IFERROR(
   INDEX(tbl_ProduitsRef[Cde_Prdt],MATCH(tbl_Ventes[[#This Row],[Produit]],tbl_ProduitsRef[Produit],0)),
   ""
)</f>
        <v/>
      </c>
      <c r="E1656" s="7">
        <v>0</v>
      </c>
      <c r="F1656" s="7" t="str">
        <f>IFERROR(
   INDEX(tbl_ProduitsRef[Prix Menu],MATCH(tbl_Ventes[[#This Row],[Produit]],tbl_ProduitsRef[Produit],0)),
   ""
)</f>
        <v/>
      </c>
      <c r="G1656" s="7">
        <f>tbl_Ventes[[#This Row],[Qté Vendue]] * IFERROR(_xlfn.XLOOKUP(tbl_Ventes[[#This Row],[Cde_Prdt]], tbl_Produits[Cde_Prdt], tbl_Produits[Prix Menu]), 0)</f>
        <v>0</v>
      </c>
      <c r="H1656" s="7">
        <f>IFERROR(_xlfn.XLOOKUP(tbl_Ventes[[#This Row],[Cde_Prdt]], tbl_Produits[Cde_Prdt], tbl_Produits[Coût Moyen Portion]), 0)</f>
        <v>0</v>
      </c>
      <c r="I1656" s="7">
        <f>tbl_Ventes[[#This Row],[Qté Vendue]] * tbl_Ventes[[#This Row],[CMP_par_portion]]</f>
        <v>0</v>
      </c>
      <c r="J1656" s="7">
        <f>tbl_Ventes[[#This Row],[CA ligne]] - tbl_Ventes[[#This Row],[Coût matière ligne]]</f>
        <v>0</v>
      </c>
      <c r="K1656" s="7" t="str">
        <f>IFERROR(INDEX(tbl_ProduitsRef[Famille], MATCH(tbl_Ventes[[#This Row],[Cde_Prdt]], tbl_Produits[Cde_Prdt], 0)), "")</f>
        <v/>
      </c>
    </row>
    <row r="1657" spans="1:11" x14ac:dyDescent="0.25">
      <c r="A1657" s="5"/>
      <c r="B1657" s="63" t="str">
        <f>IFERROR(TEXT(tbl_Ventes[[#This Row],[Date]],"mm-aaaa"),"")</f>
        <v>01-1900</v>
      </c>
      <c r="D1657" s="10" t="str">
        <f>IFERROR(
   INDEX(tbl_ProduitsRef[Cde_Prdt],MATCH(tbl_Ventes[[#This Row],[Produit]],tbl_ProduitsRef[Produit],0)),
   ""
)</f>
        <v/>
      </c>
      <c r="E1657" s="7">
        <v>0</v>
      </c>
      <c r="F1657" s="7" t="str">
        <f>IFERROR(
   INDEX(tbl_ProduitsRef[Prix Menu],MATCH(tbl_Ventes[[#This Row],[Produit]],tbl_ProduitsRef[Produit],0)),
   ""
)</f>
        <v/>
      </c>
      <c r="G1657" s="7">
        <f>tbl_Ventes[[#This Row],[Qté Vendue]] * IFERROR(_xlfn.XLOOKUP(tbl_Ventes[[#This Row],[Cde_Prdt]], tbl_Produits[Cde_Prdt], tbl_Produits[Prix Menu]), 0)</f>
        <v>0</v>
      </c>
      <c r="H1657" s="7">
        <f>IFERROR(_xlfn.XLOOKUP(tbl_Ventes[[#This Row],[Cde_Prdt]], tbl_Produits[Cde_Prdt], tbl_Produits[Coût Moyen Portion]), 0)</f>
        <v>0</v>
      </c>
      <c r="I1657" s="7">
        <f>tbl_Ventes[[#This Row],[Qté Vendue]] * tbl_Ventes[[#This Row],[CMP_par_portion]]</f>
        <v>0</v>
      </c>
      <c r="J1657" s="7">
        <f>tbl_Ventes[[#This Row],[CA ligne]] - tbl_Ventes[[#This Row],[Coût matière ligne]]</f>
        <v>0</v>
      </c>
      <c r="K1657" s="7" t="str">
        <f>IFERROR(INDEX(tbl_ProduitsRef[Famille], MATCH(tbl_Ventes[[#This Row],[Cde_Prdt]], tbl_Produits[Cde_Prdt], 0)), "")</f>
        <v/>
      </c>
    </row>
    <row r="1658" spans="1:11" x14ac:dyDescent="0.25">
      <c r="A1658" s="5"/>
      <c r="B1658" s="63" t="str">
        <f>IFERROR(TEXT(tbl_Ventes[[#This Row],[Date]],"mm-aaaa"),"")</f>
        <v>01-1900</v>
      </c>
      <c r="D1658" s="10" t="str">
        <f>IFERROR(
   INDEX(tbl_ProduitsRef[Cde_Prdt],MATCH(tbl_Ventes[[#This Row],[Produit]],tbl_ProduitsRef[Produit],0)),
   ""
)</f>
        <v/>
      </c>
      <c r="E1658" s="7">
        <v>0</v>
      </c>
      <c r="F1658" s="7" t="str">
        <f>IFERROR(
   INDEX(tbl_ProduitsRef[Prix Menu],MATCH(tbl_Ventes[[#This Row],[Produit]],tbl_ProduitsRef[Produit],0)),
   ""
)</f>
        <v/>
      </c>
      <c r="G1658" s="7">
        <f>tbl_Ventes[[#This Row],[Qté Vendue]] * IFERROR(_xlfn.XLOOKUP(tbl_Ventes[[#This Row],[Cde_Prdt]], tbl_Produits[Cde_Prdt], tbl_Produits[Prix Menu]), 0)</f>
        <v>0</v>
      </c>
      <c r="H1658" s="7">
        <f>IFERROR(_xlfn.XLOOKUP(tbl_Ventes[[#This Row],[Cde_Prdt]], tbl_Produits[Cde_Prdt], tbl_Produits[Coût Moyen Portion]), 0)</f>
        <v>0</v>
      </c>
      <c r="I1658" s="7">
        <f>tbl_Ventes[[#This Row],[Qté Vendue]] * tbl_Ventes[[#This Row],[CMP_par_portion]]</f>
        <v>0</v>
      </c>
      <c r="J1658" s="7">
        <f>tbl_Ventes[[#This Row],[CA ligne]] - tbl_Ventes[[#This Row],[Coût matière ligne]]</f>
        <v>0</v>
      </c>
      <c r="K1658" s="7" t="str">
        <f>IFERROR(INDEX(tbl_ProduitsRef[Famille], MATCH(tbl_Ventes[[#This Row],[Cde_Prdt]], tbl_Produits[Cde_Prdt], 0)), "")</f>
        <v/>
      </c>
    </row>
    <row r="1659" spans="1:11" x14ac:dyDescent="0.25">
      <c r="A1659" s="5"/>
      <c r="B1659" s="63" t="str">
        <f>IFERROR(TEXT(tbl_Ventes[[#This Row],[Date]],"mm-aaaa"),"")</f>
        <v>01-1900</v>
      </c>
      <c r="D1659" s="10" t="str">
        <f>IFERROR(
   INDEX(tbl_ProduitsRef[Cde_Prdt],MATCH(tbl_Ventes[[#This Row],[Produit]],tbl_ProduitsRef[Produit],0)),
   ""
)</f>
        <v/>
      </c>
      <c r="E1659" s="7">
        <v>0</v>
      </c>
      <c r="F1659" s="7" t="str">
        <f>IFERROR(
   INDEX(tbl_ProduitsRef[Prix Menu],MATCH(tbl_Ventes[[#This Row],[Produit]],tbl_ProduitsRef[Produit],0)),
   ""
)</f>
        <v/>
      </c>
      <c r="G1659" s="7">
        <f>tbl_Ventes[[#This Row],[Qté Vendue]] * IFERROR(_xlfn.XLOOKUP(tbl_Ventes[[#This Row],[Cde_Prdt]], tbl_Produits[Cde_Prdt], tbl_Produits[Prix Menu]), 0)</f>
        <v>0</v>
      </c>
      <c r="H1659" s="7">
        <f>IFERROR(_xlfn.XLOOKUP(tbl_Ventes[[#This Row],[Cde_Prdt]], tbl_Produits[Cde_Prdt], tbl_Produits[Coût Moyen Portion]), 0)</f>
        <v>0</v>
      </c>
      <c r="I1659" s="7">
        <f>tbl_Ventes[[#This Row],[Qté Vendue]] * tbl_Ventes[[#This Row],[CMP_par_portion]]</f>
        <v>0</v>
      </c>
      <c r="J1659" s="7">
        <f>tbl_Ventes[[#This Row],[CA ligne]] - tbl_Ventes[[#This Row],[Coût matière ligne]]</f>
        <v>0</v>
      </c>
      <c r="K1659" s="7" t="str">
        <f>IFERROR(INDEX(tbl_ProduitsRef[Famille], MATCH(tbl_Ventes[[#This Row],[Cde_Prdt]], tbl_Produits[Cde_Prdt], 0)), "")</f>
        <v/>
      </c>
    </row>
    <row r="1660" spans="1:11" x14ac:dyDescent="0.25">
      <c r="A1660" s="5"/>
      <c r="B1660" s="63" t="str">
        <f>IFERROR(TEXT(tbl_Ventes[[#This Row],[Date]],"mm-aaaa"),"")</f>
        <v>01-1900</v>
      </c>
      <c r="D1660" s="10" t="str">
        <f>IFERROR(
   INDEX(tbl_ProduitsRef[Cde_Prdt],MATCH(tbl_Ventes[[#This Row],[Produit]],tbl_ProduitsRef[Produit],0)),
   ""
)</f>
        <v/>
      </c>
      <c r="E1660" s="7">
        <v>0</v>
      </c>
      <c r="F1660" s="7" t="str">
        <f>IFERROR(
   INDEX(tbl_ProduitsRef[Prix Menu],MATCH(tbl_Ventes[[#This Row],[Produit]],tbl_ProduitsRef[Produit],0)),
   ""
)</f>
        <v/>
      </c>
      <c r="G1660" s="7">
        <f>tbl_Ventes[[#This Row],[Qté Vendue]] * IFERROR(_xlfn.XLOOKUP(tbl_Ventes[[#This Row],[Cde_Prdt]], tbl_Produits[Cde_Prdt], tbl_Produits[Prix Menu]), 0)</f>
        <v>0</v>
      </c>
      <c r="H1660" s="7">
        <f>IFERROR(_xlfn.XLOOKUP(tbl_Ventes[[#This Row],[Cde_Prdt]], tbl_Produits[Cde_Prdt], tbl_Produits[Coût Moyen Portion]), 0)</f>
        <v>0</v>
      </c>
      <c r="I1660" s="7">
        <f>tbl_Ventes[[#This Row],[Qté Vendue]] * tbl_Ventes[[#This Row],[CMP_par_portion]]</f>
        <v>0</v>
      </c>
      <c r="J1660" s="7">
        <f>tbl_Ventes[[#This Row],[CA ligne]] - tbl_Ventes[[#This Row],[Coût matière ligne]]</f>
        <v>0</v>
      </c>
      <c r="K1660" s="7" t="str">
        <f>IFERROR(INDEX(tbl_ProduitsRef[Famille], MATCH(tbl_Ventes[[#This Row],[Cde_Prdt]], tbl_Produits[Cde_Prdt], 0)), "")</f>
        <v/>
      </c>
    </row>
    <row r="1661" spans="1:11" x14ac:dyDescent="0.25">
      <c r="A1661" s="5"/>
      <c r="B1661" s="63" t="str">
        <f>IFERROR(TEXT(tbl_Ventes[[#This Row],[Date]],"mm-aaaa"),"")</f>
        <v>01-1900</v>
      </c>
      <c r="D1661" s="10" t="str">
        <f>IFERROR(
   INDEX(tbl_ProduitsRef[Cde_Prdt],MATCH(tbl_Ventes[[#This Row],[Produit]],tbl_ProduitsRef[Produit],0)),
   ""
)</f>
        <v/>
      </c>
      <c r="E1661" s="7">
        <v>0</v>
      </c>
      <c r="F1661" s="7" t="str">
        <f>IFERROR(
   INDEX(tbl_ProduitsRef[Prix Menu],MATCH(tbl_Ventes[[#This Row],[Produit]],tbl_ProduitsRef[Produit],0)),
   ""
)</f>
        <v/>
      </c>
      <c r="G1661" s="7">
        <f>tbl_Ventes[[#This Row],[Qté Vendue]] * IFERROR(_xlfn.XLOOKUP(tbl_Ventes[[#This Row],[Cde_Prdt]], tbl_Produits[Cde_Prdt], tbl_Produits[Prix Menu]), 0)</f>
        <v>0</v>
      </c>
      <c r="H1661" s="7">
        <f>IFERROR(_xlfn.XLOOKUP(tbl_Ventes[[#This Row],[Cde_Prdt]], tbl_Produits[Cde_Prdt], tbl_Produits[Coût Moyen Portion]), 0)</f>
        <v>0</v>
      </c>
      <c r="I1661" s="7">
        <f>tbl_Ventes[[#This Row],[Qté Vendue]] * tbl_Ventes[[#This Row],[CMP_par_portion]]</f>
        <v>0</v>
      </c>
      <c r="J1661" s="7">
        <f>tbl_Ventes[[#This Row],[CA ligne]] - tbl_Ventes[[#This Row],[Coût matière ligne]]</f>
        <v>0</v>
      </c>
      <c r="K1661" s="7" t="str">
        <f>IFERROR(INDEX(tbl_ProduitsRef[Famille], MATCH(tbl_Ventes[[#This Row],[Cde_Prdt]], tbl_Produits[Cde_Prdt], 0)), "")</f>
        <v/>
      </c>
    </row>
    <row r="1662" spans="1:11" x14ac:dyDescent="0.25">
      <c r="A1662" s="5"/>
      <c r="B1662" s="63" t="str">
        <f>IFERROR(TEXT(tbl_Ventes[[#This Row],[Date]],"mm-aaaa"),"")</f>
        <v>01-1900</v>
      </c>
      <c r="D1662" s="10" t="str">
        <f>IFERROR(
   INDEX(tbl_ProduitsRef[Cde_Prdt],MATCH(tbl_Ventes[[#This Row],[Produit]],tbl_ProduitsRef[Produit],0)),
   ""
)</f>
        <v/>
      </c>
      <c r="E1662" s="7">
        <v>0</v>
      </c>
      <c r="F1662" s="7" t="str">
        <f>IFERROR(
   INDEX(tbl_ProduitsRef[Prix Menu],MATCH(tbl_Ventes[[#This Row],[Produit]],tbl_ProduitsRef[Produit],0)),
   ""
)</f>
        <v/>
      </c>
      <c r="G1662" s="7">
        <f>tbl_Ventes[[#This Row],[Qté Vendue]] * IFERROR(_xlfn.XLOOKUP(tbl_Ventes[[#This Row],[Cde_Prdt]], tbl_Produits[Cde_Prdt], tbl_Produits[Prix Menu]), 0)</f>
        <v>0</v>
      </c>
      <c r="H1662" s="7">
        <f>IFERROR(_xlfn.XLOOKUP(tbl_Ventes[[#This Row],[Cde_Prdt]], tbl_Produits[Cde_Prdt], tbl_Produits[Coût Moyen Portion]), 0)</f>
        <v>0</v>
      </c>
      <c r="I1662" s="7">
        <f>tbl_Ventes[[#This Row],[Qté Vendue]] * tbl_Ventes[[#This Row],[CMP_par_portion]]</f>
        <v>0</v>
      </c>
      <c r="J1662" s="7">
        <f>tbl_Ventes[[#This Row],[CA ligne]] - tbl_Ventes[[#This Row],[Coût matière ligne]]</f>
        <v>0</v>
      </c>
      <c r="K1662" s="7" t="str">
        <f>IFERROR(INDEX(tbl_ProduitsRef[Famille], MATCH(tbl_Ventes[[#This Row],[Cde_Prdt]], tbl_Produits[Cde_Prdt], 0)), "")</f>
        <v/>
      </c>
    </row>
    <row r="1663" spans="1:11" x14ac:dyDescent="0.25">
      <c r="A1663" s="5"/>
      <c r="B1663" s="63" t="str">
        <f>IFERROR(TEXT(tbl_Ventes[[#This Row],[Date]],"mm-aaaa"),"")</f>
        <v>01-1900</v>
      </c>
      <c r="D1663" s="10" t="str">
        <f>IFERROR(
   INDEX(tbl_ProduitsRef[Cde_Prdt],MATCH(tbl_Ventes[[#This Row],[Produit]],tbl_ProduitsRef[Produit],0)),
   ""
)</f>
        <v/>
      </c>
      <c r="E1663" s="7">
        <v>0</v>
      </c>
      <c r="F1663" s="7" t="str">
        <f>IFERROR(
   INDEX(tbl_ProduitsRef[Prix Menu],MATCH(tbl_Ventes[[#This Row],[Produit]],tbl_ProduitsRef[Produit],0)),
   ""
)</f>
        <v/>
      </c>
      <c r="G1663" s="7">
        <f>tbl_Ventes[[#This Row],[Qté Vendue]] * IFERROR(_xlfn.XLOOKUP(tbl_Ventes[[#This Row],[Cde_Prdt]], tbl_Produits[Cde_Prdt], tbl_Produits[Prix Menu]), 0)</f>
        <v>0</v>
      </c>
      <c r="H1663" s="7">
        <f>IFERROR(_xlfn.XLOOKUP(tbl_Ventes[[#This Row],[Cde_Prdt]], tbl_Produits[Cde_Prdt], tbl_Produits[Coût Moyen Portion]), 0)</f>
        <v>0</v>
      </c>
      <c r="I1663" s="7">
        <f>tbl_Ventes[[#This Row],[Qté Vendue]] * tbl_Ventes[[#This Row],[CMP_par_portion]]</f>
        <v>0</v>
      </c>
      <c r="J1663" s="7">
        <f>tbl_Ventes[[#This Row],[CA ligne]] - tbl_Ventes[[#This Row],[Coût matière ligne]]</f>
        <v>0</v>
      </c>
      <c r="K1663" s="7" t="str">
        <f>IFERROR(INDEX(tbl_ProduitsRef[Famille], MATCH(tbl_Ventes[[#This Row],[Cde_Prdt]], tbl_Produits[Cde_Prdt], 0)), "")</f>
        <v/>
      </c>
    </row>
    <row r="1664" spans="1:11" x14ac:dyDescent="0.25">
      <c r="A1664" s="5"/>
      <c r="B1664" s="63" t="str">
        <f>IFERROR(TEXT(tbl_Ventes[[#This Row],[Date]],"mm-aaaa"),"")</f>
        <v>01-1900</v>
      </c>
      <c r="D1664" s="10" t="str">
        <f>IFERROR(
   INDEX(tbl_ProduitsRef[Cde_Prdt],MATCH(tbl_Ventes[[#This Row],[Produit]],tbl_ProduitsRef[Produit],0)),
   ""
)</f>
        <v/>
      </c>
      <c r="E1664" s="7">
        <v>0</v>
      </c>
      <c r="F1664" s="7" t="str">
        <f>IFERROR(
   INDEX(tbl_ProduitsRef[Prix Menu],MATCH(tbl_Ventes[[#This Row],[Produit]],tbl_ProduitsRef[Produit],0)),
   ""
)</f>
        <v/>
      </c>
      <c r="G1664" s="7">
        <f>tbl_Ventes[[#This Row],[Qté Vendue]] * IFERROR(_xlfn.XLOOKUP(tbl_Ventes[[#This Row],[Cde_Prdt]], tbl_Produits[Cde_Prdt], tbl_Produits[Prix Menu]), 0)</f>
        <v>0</v>
      </c>
      <c r="H1664" s="7">
        <f>IFERROR(_xlfn.XLOOKUP(tbl_Ventes[[#This Row],[Cde_Prdt]], tbl_Produits[Cde_Prdt], tbl_Produits[Coût Moyen Portion]), 0)</f>
        <v>0</v>
      </c>
      <c r="I1664" s="7">
        <f>tbl_Ventes[[#This Row],[Qté Vendue]] * tbl_Ventes[[#This Row],[CMP_par_portion]]</f>
        <v>0</v>
      </c>
      <c r="J1664" s="7">
        <f>tbl_Ventes[[#This Row],[CA ligne]] - tbl_Ventes[[#This Row],[Coût matière ligne]]</f>
        <v>0</v>
      </c>
      <c r="K1664" s="7" t="str">
        <f>IFERROR(INDEX(tbl_ProduitsRef[Famille], MATCH(tbl_Ventes[[#This Row],[Cde_Prdt]], tbl_Produits[Cde_Prdt], 0)), "")</f>
        <v/>
      </c>
    </row>
    <row r="1665" spans="1:11" x14ac:dyDescent="0.25">
      <c r="A1665" s="5"/>
      <c r="B1665" s="63" t="str">
        <f>IFERROR(TEXT(tbl_Ventes[[#This Row],[Date]],"mm-aaaa"),"")</f>
        <v>01-1900</v>
      </c>
      <c r="D1665" s="10" t="str">
        <f>IFERROR(
   INDEX(tbl_ProduitsRef[Cde_Prdt],MATCH(tbl_Ventes[[#This Row],[Produit]],tbl_ProduitsRef[Produit],0)),
   ""
)</f>
        <v/>
      </c>
      <c r="E1665" s="7">
        <v>0</v>
      </c>
      <c r="F1665" s="7" t="str">
        <f>IFERROR(
   INDEX(tbl_ProduitsRef[Prix Menu],MATCH(tbl_Ventes[[#This Row],[Produit]],tbl_ProduitsRef[Produit],0)),
   ""
)</f>
        <v/>
      </c>
      <c r="G1665" s="7">
        <f>tbl_Ventes[[#This Row],[Qté Vendue]] * IFERROR(_xlfn.XLOOKUP(tbl_Ventes[[#This Row],[Cde_Prdt]], tbl_Produits[Cde_Prdt], tbl_Produits[Prix Menu]), 0)</f>
        <v>0</v>
      </c>
      <c r="H1665" s="7">
        <f>IFERROR(_xlfn.XLOOKUP(tbl_Ventes[[#This Row],[Cde_Prdt]], tbl_Produits[Cde_Prdt], tbl_Produits[Coût Moyen Portion]), 0)</f>
        <v>0</v>
      </c>
      <c r="I1665" s="7">
        <f>tbl_Ventes[[#This Row],[Qté Vendue]] * tbl_Ventes[[#This Row],[CMP_par_portion]]</f>
        <v>0</v>
      </c>
      <c r="J1665" s="7">
        <f>tbl_Ventes[[#This Row],[CA ligne]] - tbl_Ventes[[#This Row],[Coût matière ligne]]</f>
        <v>0</v>
      </c>
      <c r="K1665" s="7" t="str">
        <f>IFERROR(INDEX(tbl_ProduitsRef[Famille], MATCH(tbl_Ventes[[#This Row],[Cde_Prdt]], tbl_Produits[Cde_Prdt], 0)), "")</f>
        <v/>
      </c>
    </row>
    <row r="1666" spans="1:11" x14ac:dyDescent="0.25">
      <c r="A1666" s="5"/>
      <c r="B1666" s="63" t="str">
        <f>IFERROR(TEXT(tbl_Ventes[[#This Row],[Date]],"mm-aaaa"),"")</f>
        <v>01-1900</v>
      </c>
      <c r="D1666" s="10" t="str">
        <f>IFERROR(
   INDEX(tbl_ProduitsRef[Cde_Prdt],MATCH(tbl_Ventes[[#This Row],[Produit]],tbl_ProduitsRef[Produit],0)),
   ""
)</f>
        <v/>
      </c>
      <c r="E1666" s="7">
        <v>0</v>
      </c>
      <c r="F1666" s="7" t="str">
        <f>IFERROR(
   INDEX(tbl_ProduitsRef[Prix Menu],MATCH(tbl_Ventes[[#This Row],[Produit]],tbl_ProduitsRef[Produit],0)),
   ""
)</f>
        <v/>
      </c>
      <c r="G1666" s="7">
        <f>tbl_Ventes[[#This Row],[Qté Vendue]] * IFERROR(_xlfn.XLOOKUP(tbl_Ventes[[#This Row],[Cde_Prdt]], tbl_Produits[Cde_Prdt], tbl_Produits[Prix Menu]), 0)</f>
        <v>0</v>
      </c>
      <c r="H1666" s="7">
        <f>IFERROR(_xlfn.XLOOKUP(tbl_Ventes[[#This Row],[Cde_Prdt]], tbl_Produits[Cde_Prdt], tbl_Produits[Coût Moyen Portion]), 0)</f>
        <v>0</v>
      </c>
      <c r="I1666" s="7">
        <f>tbl_Ventes[[#This Row],[Qté Vendue]] * tbl_Ventes[[#This Row],[CMP_par_portion]]</f>
        <v>0</v>
      </c>
      <c r="J1666" s="7">
        <f>tbl_Ventes[[#This Row],[CA ligne]] - tbl_Ventes[[#This Row],[Coût matière ligne]]</f>
        <v>0</v>
      </c>
      <c r="K1666" s="7" t="str">
        <f>IFERROR(INDEX(tbl_ProduitsRef[Famille], MATCH(tbl_Ventes[[#This Row],[Cde_Prdt]], tbl_Produits[Cde_Prdt], 0)), "")</f>
        <v/>
      </c>
    </row>
    <row r="1667" spans="1:11" x14ac:dyDescent="0.25">
      <c r="A1667" s="5"/>
      <c r="B1667" s="63" t="str">
        <f>IFERROR(TEXT(tbl_Ventes[[#This Row],[Date]],"mm-aaaa"),"")</f>
        <v>01-1900</v>
      </c>
      <c r="D1667" s="10" t="str">
        <f>IFERROR(
   INDEX(tbl_ProduitsRef[Cde_Prdt],MATCH(tbl_Ventes[[#This Row],[Produit]],tbl_ProduitsRef[Produit],0)),
   ""
)</f>
        <v/>
      </c>
      <c r="E1667" s="7">
        <v>0</v>
      </c>
      <c r="F1667" s="7" t="str">
        <f>IFERROR(
   INDEX(tbl_ProduitsRef[Prix Menu],MATCH(tbl_Ventes[[#This Row],[Produit]],tbl_ProduitsRef[Produit],0)),
   ""
)</f>
        <v/>
      </c>
      <c r="G1667" s="7">
        <f>tbl_Ventes[[#This Row],[Qté Vendue]] * IFERROR(_xlfn.XLOOKUP(tbl_Ventes[[#This Row],[Cde_Prdt]], tbl_Produits[Cde_Prdt], tbl_Produits[Prix Menu]), 0)</f>
        <v>0</v>
      </c>
      <c r="H1667" s="7">
        <f>IFERROR(_xlfn.XLOOKUP(tbl_Ventes[[#This Row],[Cde_Prdt]], tbl_Produits[Cde_Prdt], tbl_Produits[Coût Moyen Portion]), 0)</f>
        <v>0</v>
      </c>
      <c r="I1667" s="7">
        <f>tbl_Ventes[[#This Row],[Qté Vendue]] * tbl_Ventes[[#This Row],[CMP_par_portion]]</f>
        <v>0</v>
      </c>
      <c r="J1667" s="7">
        <f>tbl_Ventes[[#This Row],[CA ligne]] - tbl_Ventes[[#This Row],[Coût matière ligne]]</f>
        <v>0</v>
      </c>
      <c r="K1667" s="7" t="str">
        <f>IFERROR(INDEX(tbl_ProduitsRef[Famille], MATCH(tbl_Ventes[[#This Row],[Cde_Prdt]], tbl_Produits[Cde_Prdt], 0)), "")</f>
        <v/>
      </c>
    </row>
    <row r="1668" spans="1:11" x14ac:dyDescent="0.25">
      <c r="A1668" s="5"/>
      <c r="B1668" s="63" t="str">
        <f>IFERROR(TEXT(tbl_Ventes[[#This Row],[Date]],"mm-aaaa"),"")</f>
        <v>01-1900</v>
      </c>
      <c r="D1668" s="10" t="str">
        <f>IFERROR(
   INDEX(tbl_ProduitsRef[Cde_Prdt],MATCH(tbl_Ventes[[#This Row],[Produit]],tbl_ProduitsRef[Produit],0)),
   ""
)</f>
        <v/>
      </c>
      <c r="E1668" s="7">
        <v>0</v>
      </c>
      <c r="F1668" s="7" t="str">
        <f>IFERROR(
   INDEX(tbl_ProduitsRef[Prix Menu],MATCH(tbl_Ventes[[#This Row],[Produit]],tbl_ProduitsRef[Produit],0)),
   ""
)</f>
        <v/>
      </c>
      <c r="G1668" s="7">
        <f>tbl_Ventes[[#This Row],[Qté Vendue]] * IFERROR(_xlfn.XLOOKUP(tbl_Ventes[[#This Row],[Cde_Prdt]], tbl_Produits[Cde_Prdt], tbl_Produits[Prix Menu]), 0)</f>
        <v>0</v>
      </c>
      <c r="H1668" s="7">
        <f>IFERROR(_xlfn.XLOOKUP(tbl_Ventes[[#This Row],[Cde_Prdt]], tbl_Produits[Cde_Prdt], tbl_Produits[Coût Moyen Portion]), 0)</f>
        <v>0</v>
      </c>
      <c r="I1668" s="7">
        <f>tbl_Ventes[[#This Row],[Qté Vendue]] * tbl_Ventes[[#This Row],[CMP_par_portion]]</f>
        <v>0</v>
      </c>
      <c r="J1668" s="7">
        <f>tbl_Ventes[[#This Row],[CA ligne]] - tbl_Ventes[[#This Row],[Coût matière ligne]]</f>
        <v>0</v>
      </c>
      <c r="K1668" s="7" t="str">
        <f>IFERROR(INDEX(tbl_ProduitsRef[Famille], MATCH(tbl_Ventes[[#This Row],[Cde_Prdt]], tbl_Produits[Cde_Prdt], 0)), "")</f>
        <v/>
      </c>
    </row>
    <row r="1669" spans="1:11" x14ac:dyDescent="0.25">
      <c r="A1669" s="5"/>
      <c r="B1669" s="63" t="str">
        <f>IFERROR(TEXT(tbl_Ventes[[#This Row],[Date]],"mm-aaaa"),"")</f>
        <v>01-1900</v>
      </c>
      <c r="D1669" s="10" t="str">
        <f>IFERROR(
   INDEX(tbl_ProduitsRef[Cde_Prdt],MATCH(tbl_Ventes[[#This Row],[Produit]],tbl_ProduitsRef[Produit],0)),
   ""
)</f>
        <v/>
      </c>
      <c r="E1669" s="7">
        <v>0</v>
      </c>
      <c r="F1669" s="7" t="str">
        <f>IFERROR(
   INDEX(tbl_ProduitsRef[Prix Menu],MATCH(tbl_Ventes[[#This Row],[Produit]],tbl_ProduitsRef[Produit],0)),
   ""
)</f>
        <v/>
      </c>
      <c r="G1669" s="7">
        <f>tbl_Ventes[[#This Row],[Qté Vendue]] * IFERROR(_xlfn.XLOOKUP(tbl_Ventes[[#This Row],[Cde_Prdt]], tbl_Produits[Cde_Prdt], tbl_Produits[Prix Menu]), 0)</f>
        <v>0</v>
      </c>
      <c r="H1669" s="7">
        <f>IFERROR(_xlfn.XLOOKUP(tbl_Ventes[[#This Row],[Cde_Prdt]], tbl_Produits[Cde_Prdt], tbl_Produits[Coût Moyen Portion]), 0)</f>
        <v>0</v>
      </c>
      <c r="I1669" s="7">
        <f>tbl_Ventes[[#This Row],[Qté Vendue]] * tbl_Ventes[[#This Row],[CMP_par_portion]]</f>
        <v>0</v>
      </c>
      <c r="J1669" s="7">
        <f>tbl_Ventes[[#This Row],[CA ligne]] - tbl_Ventes[[#This Row],[Coût matière ligne]]</f>
        <v>0</v>
      </c>
      <c r="K1669" s="7" t="str">
        <f>IFERROR(INDEX(tbl_ProduitsRef[Famille], MATCH(tbl_Ventes[[#This Row],[Cde_Prdt]], tbl_Produits[Cde_Prdt], 0)), "")</f>
        <v/>
      </c>
    </row>
    <row r="1670" spans="1:11" x14ac:dyDescent="0.25">
      <c r="A1670" s="5"/>
      <c r="B1670" s="63" t="str">
        <f>IFERROR(TEXT(tbl_Ventes[[#This Row],[Date]],"mm-aaaa"),"")</f>
        <v>01-1900</v>
      </c>
      <c r="D1670" s="10" t="str">
        <f>IFERROR(
   INDEX(tbl_ProduitsRef[Cde_Prdt],MATCH(tbl_Ventes[[#This Row],[Produit]],tbl_ProduitsRef[Produit],0)),
   ""
)</f>
        <v/>
      </c>
      <c r="E1670" s="7">
        <v>0</v>
      </c>
      <c r="F1670" s="7" t="str">
        <f>IFERROR(
   INDEX(tbl_ProduitsRef[Prix Menu],MATCH(tbl_Ventes[[#This Row],[Produit]],tbl_ProduitsRef[Produit],0)),
   ""
)</f>
        <v/>
      </c>
      <c r="G1670" s="7">
        <f>tbl_Ventes[[#This Row],[Qté Vendue]] * IFERROR(_xlfn.XLOOKUP(tbl_Ventes[[#This Row],[Cde_Prdt]], tbl_Produits[Cde_Prdt], tbl_Produits[Prix Menu]), 0)</f>
        <v>0</v>
      </c>
      <c r="H1670" s="7">
        <f>IFERROR(_xlfn.XLOOKUP(tbl_Ventes[[#This Row],[Cde_Prdt]], tbl_Produits[Cde_Prdt], tbl_Produits[Coût Moyen Portion]), 0)</f>
        <v>0</v>
      </c>
      <c r="I1670" s="7">
        <f>tbl_Ventes[[#This Row],[Qté Vendue]] * tbl_Ventes[[#This Row],[CMP_par_portion]]</f>
        <v>0</v>
      </c>
      <c r="J1670" s="7">
        <f>tbl_Ventes[[#This Row],[CA ligne]] - tbl_Ventes[[#This Row],[Coût matière ligne]]</f>
        <v>0</v>
      </c>
      <c r="K1670" s="7" t="str">
        <f>IFERROR(INDEX(tbl_ProduitsRef[Famille], MATCH(tbl_Ventes[[#This Row],[Cde_Prdt]], tbl_Produits[Cde_Prdt], 0)), "")</f>
        <v/>
      </c>
    </row>
    <row r="1671" spans="1:11" x14ac:dyDescent="0.25">
      <c r="A1671" s="5"/>
      <c r="B1671" s="63" t="str">
        <f>IFERROR(TEXT(tbl_Ventes[[#This Row],[Date]],"mm-aaaa"),"")</f>
        <v>01-1900</v>
      </c>
      <c r="D1671" s="10" t="str">
        <f>IFERROR(
   INDEX(tbl_ProduitsRef[Cde_Prdt],MATCH(tbl_Ventes[[#This Row],[Produit]],tbl_ProduitsRef[Produit],0)),
   ""
)</f>
        <v/>
      </c>
      <c r="E1671" s="7">
        <v>0</v>
      </c>
      <c r="F1671" s="7" t="str">
        <f>IFERROR(
   INDEX(tbl_ProduitsRef[Prix Menu],MATCH(tbl_Ventes[[#This Row],[Produit]],tbl_ProduitsRef[Produit],0)),
   ""
)</f>
        <v/>
      </c>
      <c r="G1671" s="7">
        <f>tbl_Ventes[[#This Row],[Qté Vendue]] * IFERROR(_xlfn.XLOOKUP(tbl_Ventes[[#This Row],[Cde_Prdt]], tbl_Produits[Cde_Prdt], tbl_Produits[Prix Menu]), 0)</f>
        <v>0</v>
      </c>
      <c r="H1671" s="7">
        <f>IFERROR(_xlfn.XLOOKUP(tbl_Ventes[[#This Row],[Cde_Prdt]], tbl_Produits[Cde_Prdt], tbl_Produits[Coût Moyen Portion]), 0)</f>
        <v>0</v>
      </c>
      <c r="I1671" s="7">
        <f>tbl_Ventes[[#This Row],[Qté Vendue]] * tbl_Ventes[[#This Row],[CMP_par_portion]]</f>
        <v>0</v>
      </c>
      <c r="J1671" s="7">
        <f>tbl_Ventes[[#This Row],[CA ligne]] - tbl_Ventes[[#This Row],[Coût matière ligne]]</f>
        <v>0</v>
      </c>
      <c r="K1671" s="7" t="str">
        <f>IFERROR(INDEX(tbl_ProduitsRef[Famille], MATCH(tbl_Ventes[[#This Row],[Cde_Prdt]], tbl_Produits[Cde_Prdt], 0)), "")</f>
        <v/>
      </c>
    </row>
    <row r="1672" spans="1:11" x14ac:dyDescent="0.25">
      <c r="A1672" s="5"/>
      <c r="B1672" s="63" t="str">
        <f>IFERROR(TEXT(tbl_Ventes[[#This Row],[Date]],"mm-aaaa"),"")</f>
        <v>01-1900</v>
      </c>
      <c r="D1672" s="10" t="str">
        <f>IFERROR(
   INDEX(tbl_ProduitsRef[Cde_Prdt],MATCH(tbl_Ventes[[#This Row],[Produit]],tbl_ProduitsRef[Produit],0)),
   ""
)</f>
        <v/>
      </c>
      <c r="E1672" s="7">
        <v>0</v>
      </c>
      <c r="F1672" s="7" t="str">
        <f>IFERROR(
   INDEX(tbl_ProduitsRef[Prix Menu],MATCH(tbl_Ventes[[#This Row],[Produit]],tbl_ProduitsRef[Produit],0)),
   ""
)</f>
        <v/>
      </c>
      <c r="G1672" s="7">
        <f>tbl_Ventes[[#This Row],[Qté Vendue]] * IFERROR(_xlfn.XLOOKUP(tbl_Ventes[[#This Row],[Cde_Prdt]], tbl_Produits[Cde_Prdt], tbl_Produits[Prix Menu]), 0)</f>
        <v>0</v>
      </c>
      <c r="H1672" s="7">
        <f>IFERROR(_xlfn.XLOOKUP(tbl_Ventes[[#This Row],[Cde_Prdt]], tbl_Produits[Cde_Prdt], tbl_Produits[Coût Moyen Portion]), 0)</f>
        <v>0</v>
      </c>
      <c r="I1672" s="7">
        <f>tbl_Ventes[[#This Row],[Qté Vendue]] * tbl_Ventes[[#This Row],[CMP_par_portion]]</f>
        <v>0</v>
      </c>
      <c r="J1672" s="7">
        <f>tbl_Ventes[[#This Row],[CA ligne]] - tbl_Ventes[[#This Row],[Coût matière ligne]]</f>
        <v>0</v>
      </c>
      <c r="K1672" s="7" t="str">
        <f>IFERROR(INDEX(tbl_ProduitsRef[Famille], MATCH(tbl_Ventes[[#This Row],[Cde_Prdt]], tbl_Produits[Cde_Prdt], 0)), "")</f>
        <v/>
      </c>
    </row>
    <row r="1673" spans="1:11" x14ac:dyDescent="0.25">
      <c r="A1673" s="5"/>
      <c r="B1673" s="63" t="str">
        <f>IFERROR(TEXT(tbl_Ventes[[#This Row],[Date]],"mm-aaaa"),"")</f>
        <v>01-1900</v>
      </c>
      <c r="D1673" s="10" t="str">
        <f>IFERROR(
   INDEX(tbl_ProduitsRef[Cde_Prdt],MATCH(tbl_Ventes[[#This Row],[Produit]],tbl_ProduitsRef[Produit],0)),
   ""
)</f>
        <v/>
      </c>
      <c r="E1673" s="7">
        <v>0</v>
      </c>
      <c r="F1673" s="7" t="str">
        <f>IFERROR(
   INDEX(tbl_ProduitsRef[Prix Menu],MATCH(tbl_Ventes[[#This Row],[Produit]],tbl_ProduitsRef[Produit],0)),
   ""
)</f>
        <v/>
      </c>
      <c r="G1673" s="7">
        <f>tbl_Ventes[[#This Row],[Qté Vendue]] * IFERROR(_xlfn.XLOOKUP(tbl_Ventes[[#This Row],[Cde_Prdt]], tbl_Produits[Cde_Prdt], tbl_Produits[Prix Menu]), 0)</f>
        <v>0</v>
      </c>
      <c r="H1673" s="7">
        <f>IFERROR(_xlfn.XLOOKUP(tbl_Ventes[[#This Row],[Cde_Prdt]], tbl_Produits[Cde_Prdt], tbl_Produits[Coût Moyen Portion]), 0)</f>
        <v>0</v>
      </c>
      <c r="I1673" s="7">
        <f>tbl_Ventes[[#This Row],[Qté Vendue]] * tbl_Ventes[[#This Row],[CMP_par_portion]]</f>
        <v>0</v>
      </c>
      <c r="J1673" s="7">
        <f>tbl_Ventes[[#This Row],[CA ligne]] - tbl_Ventes[[#This Row],[Coût matière ligne]]</f>
        <v>0</v>
      </c>
      <c r="K1673" s="7" t="str">
        <f>IFERROR(INDEX(tbl_ProduitsRef[Famille], MATCH(tbl_Ventes[[#This Row],[Cde_Prdt]], tbl_Produits[Cde_Prdt], 0)), "")</f>
        <v/>
      </c>
    </row>
    <row r="1674" spans="1:11" x14ac:dyDescent="0.25">
      <c r="A1674" s="5"/>
      <c r="B1674" s="63" t="str">
        <f>IFERROR(TEXT(tbl_Ventes[[#This Row],[Date]],"mm-aaaa"),"")</f>
        <v>01-1900</v>
      </c>
      <c r="D1674" s="10" t="str">
        <f>IFERROR(
   INDEX(tbl_ProduitsRef[Cde_Prdt],MATCH(tbl_Ventes[[#This Row],[Produit]],tbl_ProduitsRef[Produit],0)),
   ""
)</f>
        <v/>
      </c>
      <c r="E1674" s="7">
        <v>0</v>
      </c>
      <c r="F1674" s="7" t="str">
        <f>IFERROR(
   INDEX(tbl_ProduitsRef[Prix Menu],MATCH(tbl_Ventes[[#This Row],[Produit]],tbl_ProduitsRef[Produit],0)),
   ""
)</f>
        <v/>
      </c>
      <c r="G1674" s="7">
        <f>tbl_Ventes[[#This Row],[Qté Vendue]] * IFERROR(_xlfn.XLOOKUP(tbl_Ventes[[#This Row],[Cde_Prdt]], tbl_Produits[Cde_Prdt], tbl_Produits[Prix Menu]), 0)</f>
        <v>0</v>
      </c>
      <c r="H1674" s="7">
        <f>IFERROR(_xlfn.XLOOKUP(tbl_Ventes[[#This Row],[Cde_Prdt]], tbl_Produits[Cde_Prdt], tbl_Produits[Coût Moyen Portion]), 0)</f>
        <v>0</v>
      </c>
      <c r="I1674" s="7">
        <f>tbl_Ventes[[#This Row],[Qté Vendue]] * tbl_Ventes[[#This Row],[CMP_par_portion]]</f>
        <v>0</v>
      </c>
      <c r="J1674" s="7">
        <f>tbl_Ventes[[#This Row],[CA ligne]] - tbl_Ventes[[#This Row],[Coût matière ligne]]</f>
        <v>0</v>
      </c>
      <c r="K1674" s="7" t="str">
        <f>IFERROR(INDEX(tbl_ProduitsRef[Famille], MATCH(tbl_Ventes[[#This Row],[Cde_Prdt]], tbl_Produits[Cde_Prdt], 0)), "")</f>
        <v/>
      </c>
    </row>
    <row r="1675" spans="1:11" x14ac:dyDescent="0.25">
      <c r="A1675" s="5"/>
      <c r="B1675" s="63" t="str">
        <f>IFERROR(TEXT(tbl_Ventes[[#This Row],[Date]],"mm-aaaa"),"")</f>
        <v>01-1900</v>
      </c>
      <c r="D1675" s="10" t="str">
        <f>IFERROR(
   INDEX(tbl_ProduitsRef[Cde_Prdt],MATCH(tbl_Ventes[[#This Row],[Produit]],tbl_ProduitsRef[Produit],0)),
   ""
)</f>
        <v/>
      </c>
      <c r="E1675" s="7">
        <v>0</v>
      </c>
      <c r="F1675" s="7" t="str">
        <f>IFERROR(
   INDEX(tbl_ProduitsRef[Prix Menu],MATCH(tbl_Ventes[[#This Row],[Produit]],tbl_ProduitsRef[Produit],0)),
   ""
)</f>
        <v/>
      </c>
      <c r="G1675" s="7">
        <f>tbl_Ventes[[#This Row],[Qté Vendue]] * IFERROR(_xlfn.XLOOKUP(tbl_Ventes[[#This Row],[Cde_Prdt]], tbl_Produits[Cde_Prdt], tbl_Produits[Prix Menu]), 0)</f>
        <v>0</v>
      </c>
      <c r="H1675" s="7">
        <f>IFERROR(_xlfn.XLOOKUP(tbl_Ventes[[#This Row],[Cde_Prdt]], tbl_Produits[Cde_Prdt], tbl_Produits[Coût Moyen Portion]), 0)</f>
        <v>0</v>
      </c>
      <c r="I1675" s="7">
        <f>tbl_Ventes[[#This Row],[Qté Vendue]] * tbl_Ventes[[#This Row],[CMP_par_portion]]</f>
        <v>0</v>
      </c>
      <c r="J1675" s="7">
        <f>tbl_Ventes[[#This Row],[CA ligne]] - tbl_Ventes[[#This Row],[Coût matière ligne]]</f>
        <v>0</v>
      </c>
      <c r="K1675" s="7" t="str">
        <f>IFERROR(INDEX(tbl_ProduitsRef[Famille], MATCH(tbl_Ventes[[#This Row],[Cde_Prdt]], tbl_Produits[Cde_Prdt], 0)), "")</f>
        <v/>
      </c>
    </row>
    <row r="1676" spans="1:11" x14ac:dyDescent="0.25">
      <c r="A1676" s="5"/>
      <c r="B1676" s="63" t="str">
        <f>IFERROR(TEXT(tbl_Ventes[[#This Row],[Date]],"mm-aaaa"),"")</f>
        <v>01-1900</v>
      </c>
      <c r="D1676" s="10" t="str">
        <f>IFERROR(
   INDEX(tbl_ProduitsRef[Cde_Prdt],MATCH(tbl_Ventes[[#This Row],[Produit]],tbl_ProduitsRef[Produit],0)),
   ""
)</f>
        <v/>
      </c>
      <c r="E1676" s="7">
        <v>0</v>
      </c>
      <c r="F1676" s="7" t="str">
        <f>IFERROR(
   INDEX(tbl_ProduitsRef[Prix Menu],MATCH(tbl_Ventes[[#This Row],[Produit]],tbl_ProduitsRef[Produit],0)),
   ""
)</f>
        <v/>
      </c>
      <c r="G1676" s="7">
        <f>tbl_Ventes[[#This Row],[Qté Vendue]] * IFERROR(_xlfn.XLOOKUP(tbl_Ventes[[#This Row],[Cde_Prdt]], tbl_Produits[Cde_Prdt], tbl_Produits[Prix Menu]), 0)</f>
        <v>0</v>
      </c>
      <c r="H1676" s="7">
        <f>IFERROR(_xlfn.XLOOKUP(tbl_Ventes[[#This Row],[Cde_Prdt]], tbl_Produits[Cde_Prdt], tbl_Produits[Coût Moyen Portion]), 0)</f>
        <v>0</v>
      </c>
      <c r="I1676" s="7">
        <f>tbl_Ventes[[#This Row],[Qté Vendue]] * tbl_Ventes[[#This Row],[CMP_par_portion]]</f>
        <v>0</v>
      </c>
      <c r="J1676" s="7">
        <f>tbl_Ventes[[#This Row],[CA ligne]] - tbl_Ventes[[#This Row],[Coût matière ligne]]</f>
        <v>0</v>
      </c>
      <c r="K1676" s="7" t="str">
        <f>IFERROR(INDEX(tbl_ProduitsRef[Famille], MATCH(tbl_Ventes[[#This Row],[Cde_Prdt]], tbl_Produits[Cde_Prdt], 0)), "")</f>
        <v/>
      </c>
    </row>
    <row r="1677" spans="1:11" x14ac:dyDescent="0.25">
      <c r="A1677" s="5"/>
      <c r="B1677" s="63" t="str">
        <f>IFERROR(TEXT(tbl_Ventes[[#This Row],[Date]],"mm-aaaa"),"")</f>
        <v>01-1900</v>
      </c>
      <c r="D1677" s="10" t="str">
        <f>IFERROR(
   INDEX(tbl_ProduitsRef[Cde_Prdt],MATCH(tbl_Ventes[[#This Row],[Produit]],tbl_ProduitsRef[Produit],0)),
   ""
)</f>
        <v/>
      </c>
      <c r="E1677" s="7">
        <v>0</v>
      </c>
      <c r="F1677" s="7" t="str">
        <f>IFERROR(
   INDEX(tbl_ProduitsRef[Prix Menu],MATCH(tbl_Ventes[[#This Row],[Produit]],tbl_ProduitsRef[Produit],0)),
   ""
)</f>
        <v/>
      </c>
      <c r="G1677" s="7">
        <f>tbl_Ventes[[#This Row],[Qté Vendue]] * IFERROR(_xlfn.XLOOKUP(tbl_Ventes[[#This Row],[Cde_Prdt]], tbl_Produits[Cde_Prdt], tbl_Produits[Prix Menu]), 0)</f>
        <v>0</v>
      </c>
      <c r="H1677" s="7">
        <f>IFERROR(_xlfn.XLOOKUP(tbl_Ventes[[#This Row],[Cde_Prdt]], tbl_Produits[Cde_Prdt], tbl_Produits[Coût Moyen Portion]), 0)</f>
        <v>0</v>
      </c>
      <c r="I1677" s="7">
        <f>tbl_Ventes[[#This Row],[Qté Vendue]] * tbl_Ventes[[#This Row],[CMP_par_portion]]</f>
        <v>0</v>
      </c>
      <c r="J1677" s="7">
        <f>tbl_Ventes[[#This Row],[CA ligne]] - tbl_Ventes[[#This Row],[Coût matière ligne]]</f>
        <v>0</v>
      </c>
      <c r="K1677" s="7" t="str">
        <f>IFERROR(INDEX(tbl_ProduitsRef[Famille], MATCH(tbl_Ventes[[#This Row],[Cde_Prdt]], tbl_Produits[Cde_Prdt], 0)), "")</f>
        <v/>
      </c>
    </row>
    <row r="1678" spans="1:11" x14ac:dyDescent="0.25">
      <c r="A1678" s="5"/>
      <c r="B1678" s="63" t="str">
        <f>IFERROR(TEXT(tbl_Ventes[[#This Row],[Date]],"mm-aaaa"),"")</f>
        <v>01-1900</v>
      </c>
      <c r="D1678" s="10" t="str">
        <f>IFERROR(
   INDEX(tbl_ProduitsRef[Cde_Prdt],MATCH(tbl_Ventes[[#This Row],[Produit]],tbl_ProduitsRef[Produit],0)),
   ""
)</f>
        <v/>
      </c>
      <c r="E1678" s="7">
        <v>0</v>
      </c>
      <c r="F1678" s="7" t="str">
        <f>IFERROR(
   INDEX(tbl_ProduitsRef[Prix Menu],MATCH(tbl_Ventes[[#This Row],[Produit]],tbl_ProduitsRef[Produit],0)),
   ""
)</f>
        <v/>
      </c>
      <c r="G1678" s="7">
        <f>tbl_Ventes[[#This Row],[Qté Vendue]] * IFERROR(_xlfn.XLOOKUP(tbl_Ventes[[#This Row],[Cde_Prdt]], tbl_Produits[Cde_Prdt], tbl_Produits[Prix Menu]), 0)</f>
        <v>0</v>
      </c>
      <c r="H1678" s="7">
        <f>IFERROR(_xlfn.XLOOKUP(tbl_Ventes[[#This Row],[Cde_Prdt]], tbl_Produits[Cde_Prdt], tbl_Produits[Coût Moyen Portion]), 0)</f>
        <v>0</v>
      </c>
      <c r="I1678" s="7">
        <f>tbl_Ventes[[#This Row],[Qté Vendue]] * tbl_Ventes[[#This Row],[CMP_par_portion]]</f>
        <v>0</v>
      </c>
      <c r="J1678" s="7">
        <f>tbl_Ventes[[#This Row],[CA ligne]] - tbl_Ventes[[#This Row],[Coût matière ligne]]</f>
        <v>0</v>
      </c>
      <c r="K1678" s="7" t="str">
        <f>IFERROR(INDEX(tbl_ProduitsRef[Famille], MATCH(tbl_Ventes[[#This Row],[Cde_Prdt]], tbl_Produits[Cde_Prdt], 0)), "")</f>
        <v/>
      </c>
    </row>
    <row r="1679" spans="1:11" x14ac:dyDescent="0.25">
      <c r="A1679" s="5"/>
      <c r="B1679" s="63" t="str">
        <f>IFERROR(TEXT(tbl_Ventes[[#This Row],[Date]],"mm-aaaa"),"")</f>
        <v>01-1900</v>
      </c>
      <c r="D1679" s="10" t="str">
        <f>IFERROR(
   INDEX(tbl_ProduitsRef[Cde_Prdt],MATCH(tbl_Ventes[[#This Row],[Produit]],tbl_ProduitsRef[Produit],0)),
   ""
)</f>
        <v/>
      </c>
      <c r="E1679" s="7">
        <v>0</v>
      </c>
      <c r="F1679" s="7" t="str">
        <f>IFERROR(
   INDEX(tbl_ProduitsRef[Prix Menu],MATCH(tbl_Ventes[[#This Row],[Produit]],tbl_ProduitsRef[Produit],0)),
   ""
)</f>
        <v/>
      </c>
      <c r="G1679" s="7">
        <f>tbl_Ventes[[#This Row],[Qté Vendue]] * IFERROR(_xlfn.XLOOKUP(tbl_Ventes[[#This Row],[Cde_Prdt]], tbl_Produits[Cde_Prdt], tbl_Produits[Prix Menu]), 0)</f>
        <v>0</v>
      </c>
      <c r="H1679" s="7">
        <f>IFERROR(_xlfn.XLOOKUP(tbl_Ventes[[#This Row],[Cde_Prdt]], tbl_Produits[Cde_Prdt], tbl_Produits[Coût Moyen Portion]), 0)</f>
        <v>0</v>
      </c>
      <c r="I1679" s="7">
        <f>tbl_Ventes[[#This Row],[Qté Vendue]] * tbl_Ventes[[#This Row],[CMP_par_portion]]</f>
        <v>0</v>
      </c>
      <c r="J1679" s="7">
        <f>tbl_Ventes[[#This Row],[CA ligne]] - tbl_Ventes[[#This Row],[Coût matière ligne]]</f>
        <v>0</v>
      </c>
      <c r="K1679" s="7" t="str">
        <f>IFERROR(INDEX(tbl_ProduitsRef[Famille], MATCH(tbl_Ventes[[#This Row],[Cde_Prdt]], tbl_Produits[Cde_Prdt], 0)), "")</f>
        <v/>
      </c>
    </row>
    <row r="1680" spans="1:11" x14ac:dyDescent="0.25">
      <c r="A1680" s="5"/>
      <c r="B1680" s="63" t="str">
        <f>IFERROR(TEXT(tbl_Ventes[[#This Row],[Date]],"mm-aaaa"),"")</f>
        <v>01-1900</v>
      </c>
      <c r="D1680" s="10" t="str">
        <f>IFERROR(
   INDEX(tbl_ProduitsRef[Cde_Prdt],MATCH(tbl_Ventes[[#This Row],[Produit]],tbl_ProduitsRef[Produit],0)),
   ""
)</f>
        <v/>
      </c>
      <c r="E1680" s="7">
        <v>0</v>
      </c>
      <c r="F1680" s="7" t="str">
        <f>IFERROR(
   INDEX(tbl_ProduitsRef[Prix Menu],MATCH(tbl_Ventes[[#This Row],[Produit]],tbl_ProduitsRef[Produit],0)),
   ""
)</f>
        <v/>
      </c>
      <c r="G1680" s="7">
        <f>tbl_Ventes[[#This Row],[Qté Vendue]] * IFERROR(_xlfn.XLOOKUP(tbl_Ventes[[#This Row],[Cde_Prdt]], tbl_Produits[Cde_Prdt], tbl_Produits[Prix Menu]), 0)</f>
        <v>0</v>
      </c>
      <c r="H1680" s="7">
        <f>IFERROR(_xlfn.XLOOKUP(tbl_Ventes[[#This Row],[Cde_Prdt]], tbl_Produits[Cde_Prdt], tbl_Produits[Coût Moyen Portion]), 0)</f>
        <v>0</v>
      </c>
      <c r="I1680" s="7">
        <f>tbl_Ventes[[#This Row],[Qté Vendue]] * tbl_Ventes[[#This Row],[CMP_par_portion]]</f>
        <v>0</v>
      </c>
      <c r="J1680" s="7">
        <f>tbl_Ventes[[#This Row],[CA ligne]] - tbl_Ventes[[#This Row],[Coût matière ligne]]</f>
        <v>0</v>
      </c>
      <c r="K1680" s="7" t="str">
        <f>IFERROR(INDEX(tbl_ProduitsRef[Famille], MATCH(tbl_Ventes[[#This Row],[Cde_Prdt]], tbl_Produits[Cde_Prdt], 0)), "")</f>
        <v/>
      </c>
    </row>
    <row r="1681" spans="1:11" x14ac:dyDescent="0.25">
      <c r="A1681" s="5"/>
      <c r="B1681" s="63" t="str">
        <f>IFERROR(TEXT(tbl_Ventes[[#This Row],[Date]],"mm-aaaa"),"")</f>
        <v>01-1900</v>
      </c>
      <c r="D1681" s="10" t="str">
        <f>IFERROR(
   INDEX(tbl_ProduitsRef[Cde_Prdt],MATCH(tbl_Ventes[[#This Row],[Produit]],tbl_ProduitsRef[Produit],0)),
   ""
)</f>
        <v/>
      </c>
      <c r="E1681" s="7">
        <v>0</v>
      </c>
      <c r="F1681" s="7" t="str">
        <f>IFERROR(
   INDEX(tbl_ProduitsRef[Prix Menu],MATCH(tbl_Ventes[[#This Row],[Produit]],tbl_ProduitsRef[Produit],0)),
   ""
)</f>
        <v/>
      </c>
      <c r="G1681" s="7">
        <f>tbl_Ventes[[#This Row],[Qté Vendue]] * IFERROR(_xlfn.XLOOKUP(tbl_Ventes[[#This Row],[Cde_Prdt]], tbl_Produits[Cde_Prdt], tbl_Produits[Prix Menu]), 0)</f>
        <v>0</v>
      </c>
      <c r="H1681" s="7">
        <f>IFERROR(_xlfn.XLOOKUP(tbl_Ventes[[#This Row],[Cde_Prdt]], tbl_Produits[Cde_Prdt], tbl_Produits[Coût Moyen Portion]), 0)</f>
        <v>0</v>
      </c>
      <c r="I1681" s="7">
        <f>tbl_Ventes[[#This Row],[Qté Vendue]] * tbl_Ventes[[#This Row],[CMP_par_portion]]</f>
        <v>0</v>
      </c>
      <c r="J1681" s="7">
        <f>tbl_Ventes[[#This Row],[CA ligne]] - tbl_Ventes[[#This Row],[Coût matière ligne]]</f>
        <v>0</v>
      </c>
      <c r="K1681" s="7" t="str">
        <f>IFERROR(INDEX(tbl_ProduitsRef[Famille], MATCH(tbl_Ventes[[#This Row],[Cde_Prdt]], tbl_Produits[Cde_Prdt], 0)), "")</f>
        <v/>
      </c>
    </row>
    <row r="1682" spans="1:11" x14ac:dyDescent="0.25">
      <c r="A1682" s="5"/>
      <c r="B1682" s="63" t="str">
        <f>IFERROR(TEXT(tbl_Ventes[[#This Row],[Date]],"mm-aaaa"),"")</f>
        <v>01-1900</v>
      </c>
      <c r="D1682" s="10" t="str">
        <f>IFERROR(
   INDEX(tbl_ProduitsRef[Cde_Prdt],MATCH(tbl_Ventes[[#This Row],[Produit]],tbl_ProduitsRef[Produit],0)),
   ""
)</f>
        <v/>
      </c>
      <c r="E1682" s="7">
        <v>0</v>
      </c>
      <c r="F1682" s="7" t="str">
        <f>IFERROR(
   INDEX(tbl_ProduitsRef[Prix Menu],MATCH(tbl_Ventes[[#This Row],[Produit]],tbl_ProduitsRef[Produit],0)),
   ""
)</f>
        <v/>
      </c>
      <c r="G1682" s="7">
        <f>tbl_Ventes[[#This Row],[Qté Vendue]] * IFERROR(_xlfn.XLOOKUP(tbl_Ventes[[#This Row],[Cde_Prdt]], tbl_Produits[Cde_Prdt], tbl_Produits[Prix Menu]), 0)</f>
        <v>0</v>
      </c>
      <c r="H1682" s="7">
        <f>IFERROR(_xlfn.XLOOKUP(tbl_Ventes[[#This Row],[Cde_Prdt]], tbl_Produits[Cde_Prdt], tbl_Produits[Coût Moyen Portion]), 0)</f>
        <v>0</v>
      </c>
      <c r="I1682" s="7">
        <f>tbl_Ventes[[#This Row],[Qté Vendue]] * tbl_Ventes[[#This Row],[CMP_par_portion]]</f>
        <v>0</v>
      </c>
      <c r="J1682" s="7">
        <f>tbl_Ventes[[#This Row],[CA ligne]] - tbl_Ventes[[#This Row],[Coût matière ligne]]</f>
        <v>0</v>
      </c>
      <c r="K1682" s="7" t="str">
        <f>IFERROR(INDEX(tbl_ProduitsRef[Famille], MATCH(tbl_Ventes[[#This Row],[Cde_Prdt]], tbl_Produits[Cde_Prdt], 0)), "")</f>
        <v/>
      </c>
    </row>
    <row r="1683" spans="1:11" x14ac:dyDescent="0.25">
      <c r="A1683" s="5"/>
      <c r="B1683" s="63" t="str">
        <f>IFERROR(TEXT(tbl_Ventes[[#This Row],[Date]],"mm-aaaa"),"")</f>
        <v>01-1900</v>
      </c>
      <c r="D1683" s="10" t="str">
        <f>IFERROR(
   INDEX(tbl_ProduitsRef[Cde_Prdt],MATCH(tbl_Ventes[[#This Row],[Produit]],tbl_ProduitsRef[Produit],0)),
   ""
)</f>
        <v/>
      </c>
      <c r="E1683" s="7">
        <v>0</v>
      </c>
      <c r="F1683" s="7" t="str">
        <f>IFERROR(
   INDEX(tbl_ProduitsRef[Prix Menu],MATCH(tbl_Ventes[[#This Row],[Produit]],tbl_ProduitsRef[Produit],0)),
   ""
)</f>
        <v/>
      </c>
      <c r="G1683" s="7">
        <f>tbl_Ventes[[#This Row],[Qté Vendue]] * IFERROR(_xlfn.XLOOKUP(tbl_Ventes[[#This Row],[Cde_Prdt]], tbl_Produits[Cde_Prdt], tbl_Produits[Prix Menu]), 0)</f>
        <v>0</v>
      </c>
      <c r="H1683" s="7">
        <f>IFERROR(_xlfn.XLOOKUP(tbl_Ventes[[#This Row],[Cde_Prdt]], tbl_Produits[Cde_Prdt], tbl_Produits[Coût Moyen Portion]), 0)</f>
        <v>0</v>
      </c>
      <c r="I1683" s="7">
        <f>tbl_Ventes[[#This Row],[Qté Vendue]] * tbl_Ventes[[#This Row],[CMP_par_portion]]</f>
        <v>0</v>
      </c>
      <c r="J1683" s="7">
        <f>tbl_Ventes[[#This Row],[CA ligne]] - tbl_Ventes[[#This Row],[Coût matière ligne]]</f>
        <v>0</v>
      </c>
      <c r="K1683" s="7" t="str">
        <f>IFERROR(INDEX(tbl_ProduitsRef[Famille], MATCH(tbl_Ventes[[#This Row],[Cde_Prdt]], tbl_Produits[Cde_Prdt], 0)), "")</f>
        <v/>
      </c>
    </row>
    <row r="1684" spans="1:11" x14ac:dyDescent="0.25">
      <c r="A1684" s="5"/>
      <c r="B1684" s="63" t="str">
        <f>IFERROR(TEXT(tbl_Ventes[[#This Row],[Date]],"mm-aaaa"),"")</f>
        <v>01-1900</v>
      </c>
      <c r="D1684" s="10" t="str">
        <f>IFERROR(
   INDEX(tbl_ProduitsRef[Cde_Prdt],MATCH(tbl_Ventes[[#This Row],[Produit]],tbl_ProduitsRef[Produit],0)),
   ""
)</f>
        <v/>
      </c>
      <c r="E1684" s="7">
        <v>0</v>
      </c>
      <c r="F1684" s="7" t="str">
        <f>IFERROR(
   INDEX(tbl_ProduitsRef[Prix Menu],MATCH(tbl_Ventes[[#This Row],[Produit]],tbl_ProduitsRef[Produit],0)),
   ""
)</f>
        <v/>
      </c>
      <c r="G1684" s="7">
        <f>tbl_Ventes[[#This Row],[Qté Vendue]] * IFERROR(_xlfn.XLOOKUP(tbl_Ventes[[#This Row],[Cde_Prdt]], tbl_Produits[Cde_Prdt], tbl_Produits[Prix Menu]), 0)</f>
        <v>0</v>
      </c>
      <c r="H1684" s="7">
        <f>IFERROR(_xlfn.XLOOKUP(tbl_Ventes[[#This Row],[Cde_Prdt]], tbl_Produits[Cde_Prdt], tbl_Produits[Coût Moyen Portion]), 0)</f>
        <v>0</v>
      </c>
      <c r="I1684" s="7">
        <f>tbl_Ventes[[#This Row],[Qté Vendue]] * tbl_Ventes[[#This Row],[CMP_par_portion]]</f>
        <v>0</v>
      </c>
      <c r="J1684" s="7">
        <f>tbl_Ventes[[#This Row],[CA ligne]] - tbl_Ventes[[#This Row],[Coût matière ligne]]</f>
        <v>0</v>
      </c>
      <c r="K1684" s="7" t="str">
        <f>IFERROR(INDEX(tbl_ProduitsRef[Famille], MATCH(tbl_Ventes[[#This Row],[Cde_Prdt]], tbl_Produits[Cde_Prdt], 0)), "")</f>
        <v/>
      </c>
    </row>
    <row r="1685" spans="1:11" x14ac:dyDescent="0.25">
      <c r="A1685" s="5"/>
      <c r="B1685" s="63" t="str">
        <f>IFERROR(TEXT(tbl_Ventes[[#This Row],[Date]],"mm-aaaa"),"")</f>
        <v>01-1900</v>
      </c>
      <c r="D1685" s="10" t="str">
        <f>IFERROR(
   INDEX(tbl_ProduitsRef[Cde_Prdt],MATCH(tbl_Ventes[[#This Row],[Produit]],tbl_ProduitsRef[Produit],0)),
   ""
)</f>
        <v/>
      </c>
      <c r="E1685" s="7">
        <v>0</v>
      </c>
      <c r="F1685" s="7" t="str">
        <f>IFERROR(
   INDEX(tbl_ProduitsRef[Prix Menu],MATCH(tbl_Ventes[[#This Row],[Produit]],tbl_ProduitsRef[Produit],0)),
   ""
)</f>
        <v/>
      </c>
      <c r="G1685" s="7">
        <f>tbl_Ventes[[#This Row],[Qté Vendue]] * IFERROR(_xlfn.XLOOKUP(tbl_Ventes[[#This Row],[Cde_Prdt]], tbl_Produits[Cde_Prdt], tbl_Produits[Prix Menu]), 0)</f>
        <v>0</v>
      </c>
      <c r="H1685" s="7">
        <f>IFERROR(_xlfn.XLOOKUP(tbl_Ventes[[#This Row],[Cde_Prdt]], tbl_Produits[Cde_Prdt], tbl_Produits[Coût Moyen Portion]), 0)</f>
        <v>0</v>
      </c>
      <c r="I1685" s="7">
        <f>tbl_Ventes[[#This Row],[Qté Vendue]] * tbl_Ventes[[#This Row],[CMP_par_portion]]</f>
        <v>0</v>
      </c>
      <c r="J1685" s="7">
        <f>tbl_Ventes[[#This Row],[CA ligne]] - tbl_Ventes[[#This Row],[Coût matière ligne]]</f>
        <v>0</v>
      </c>
      <c r="K1685" s="7" t="str">
        <f>IFERROR(INDEX(tbl_ProduitsRef[Famille], MATCH(tbl_Ventes[[#This Row],[Cde_Prdt]], tbl_Produits[Cde_Prdt], 0)), "")</f>
        <v/>
      </c>
    </row>
    <row r="1686" spans="1:11" x14ac:dyDescent="0.25">
      <c r="A1686" s="5"/>
      <c r="B1686" s="63" t="str">
        <f>IFERROR(TEXT(tbl_Ventes[[#This Row],[Date]],"mm-aaaa"),"")</f>
        <v>01-1900</v>
      </c>
      <c r="D1686" s="10" t="str">
        <f>IFERROR(
   INDEX(tbl_ProduitsRef[Cde_Prdt],MATCH(tbl_Ventes[[#This Row],[Produit]],tbl_ProduitsRef[Produit],0)),
   ""
)</f>
        <v/>
      </c>
      <c r="E1686" s="7">
        <v>0</v>
      </c>
      <c r="F1686" s="7" t="str">
        <f>IFERROR(
   INDEX(tbl_ProduitsRef[Prix Menu],MATCH(tbl_Ventes[[#This Row],[Produit]],tbl_ProduitsRef[Produit],0)),
   ""
)</f>
        <v/>
      </c>
      <c r="G1686" s="7">
        <f>tbl_Ventes[[#This Row],[Qté Vendue]] * IFERROR(_xlfn.XLOOKUP(tbl_Ventes[[#This Row],[Cde_Prdt]], tbl_Produits[Cde_Prdt], tbl_Produits[Prix Menu]), 0)</f>
        <v>0</v>
      </c>
      <c r="H1686" s="7">
        <f>IFERROR(_xlfn.XLOOKUP(tbl_Ventes[[#This Row],[Cde_Prdt]], tbl_Produits[Cde_Prdt], tbl_Produits[Coût Moyen Portion]), 0)</f>
        <v>0</v>
      </c>
      <c r="I1686" s="7">
        <f>tbl_Ventes[[#This Row],[Qté Vendue]] * tbl_Ventes[[#This Row],[CMP_par_portion]]</f>
        <v>0</v>
      </c>
      <c r="J1686" s="7">
        <f>tbl_Ventes[[#This Row],[CA ligne]] - tbl_Ventes[[#This Row],[Coût matière ligne]]</f>
        <v>0</v>
      </c>
      <c r="K1686" s="7" t="str">
        <f>IFERROR(INDEX(tbl_ProduitsRef[Famille], MATCH(tbl_Ventes[[#This Row],[Cde_Prdt]], tbl_Produits[Cde_Prdt], 0)), "")</f>
        <v/>
      </c>
    </row>
    <row r="1687" spans="1:11" x14ac:dyDescent="0.25">
      <c r="A1687" s="5"/>
      <c r="B1687" s="63" t="str">
        <f>IFERROR(TEXT(tbl_Ventes[[#This Row],[Date]],"mm-aaaa"),"")</f>
        <v>01-1900</v>
      </c>
      <c r="D1687" s="10" t="str">
        <f>IFERROR(
   INDEX(tbl_ProduitsRef[Cde_Prdt],MATCH(tbl_Ventes[[#This Row],[Produit]],tbl_ProduitsRef[Produit],0)),
   ""
)</f>
        <v/>
      </c>
      <c r="E1687" s="7">
        <v>0</v>
      </c>
      <c r="F1687" s="7" t="str">
        <f>IFERROR(
   INDEX(tbl_ProduitsRef[Prix Menu],MATCH(tbl_Ventes[[#This Row],[Produit]],tbl_ProduitsRef[Produit],0)),
   ""
)</f>
        <v/>
      </c>
      <c r="G1687" s="7">
        <f>tbl_Ventes[[#This Row],[Qté Vendue]] * IFERROR(_xlfn.XLOOKUP(tbl_Ventes[[#This Row],[Cde_Prdt]], tbl_Produits[Cde_Prdt], tbl_Produits[Prix Menu]), 0)</f>
        <v>0</v>
      </c>
      <c r="H1687" s="7">
        <f>IFERROR(_xlfn.XLOOKUP(tbl_Ventes[[#This Row],[Cde_Prdt]], tbl_Produits[Cde_Prdt], tbl_Produits[Coût Moyen Portion]), 0)</f>
        <v>0</v>
      </c>
      <c r="I1687" s="7">
        <f>tbl_Ventes[[#This Row],[Qté Vendue]] * tbl_Ventes[[#This Row],[CMP_par_portion]]</f>
        <v>0</v>
      </c>
      <c r="J1687" s="7">
        <f>tbl_Ventes[[#This Row],[CA ligne]] - tbl_Ventes[[#This Row],[Coût matière ligne]]</f>
        <v>0</v>
      </c>
      <c r="K1687" s="7" t="str">
        <f>IFERROR(INDEX(tbl_ProduitsRef[Famille], MATCH(tbl_Ventes[[#This Row],[Cde_Prdt]], tbl_Produits[Cde_Prdt], 0)), "")</f>
        <v/>
      </c>
    </row>
    <row r="1688" spans="1:11" x14ac:dyDescent="0.25">
      <c r="A1688" s="5"/>
      <c r="B1688" s="63" t="str">
        <f>IFERROR(TEXT(tbl_Ventes[[#This Row],[Date]],"mm-aaaa"),"")</f>
        <v>01-1900</v>
      </c>
      <c r="D1688" s="10" t="str">
        <f>IFERROR(
   INDEX(tbl_ProduitsRef[Cde_Prdt],MATCH(tbl_Ventes[[#This Row],[Produit]],tbl_ProduitsRef[Produit],0)),
   ""
)</f>
        <v/>
      </c>
      <c r="E1688" s="7">
        <v>0</v>
      </c>
      <c r="F1688" s="7" t="str">
        <f>IFERROR(
   INDEX(tbl_ProduitsRef[Prix Menu],MATCH(tbl_Ventes[[#This Row],[Produit]],tbl_ProduitsRef[Produit],0)),
   ""
)</f>
        <v/>
      </c>
      <c r="G1688" s="7">
        <f>tbl_Ventes[[#This Row],[Qté Vendue]] * IFERROR(_xlfn.XLOOKUP(tbl_Ventes[[#This Row],[Cde_Prdt]], tbl_Produits[Cde_Prdt], tbl_Produits[Prix Menu]), 0)</f>
        <v>0</v>
      </c>
      <c r="H1688" s="7">
        <f>IFERROR(_xlfn.XLOOKUP(tbl_Ventes[[#This Row],[Cde_Prdt]], tbl_Produits[Cde_Prdt], tbl_Produits[Coût Moyen Portion]), 0)</f>
        <v>0</v>
      </c>
      <c r="I1688" s="7">
        <f>tbl_Ventes[[#This Row],[Qté Vendue]] * tbl_Ventes[[#This Row],[CMP_par_portion]]</f>
        <v>0</v>
      </c>
      <c r="J1688" s="7">
        <f>tbl_Ventes[[#This Row],[CA ligne]] - tbl_Ventes[[#This Row],[Coût matière ligne]]</f>
        <v>0</v>
      </c>
      <c r="K1688" s="7" t="str">
        <f>IFERROR(INDEX(tbl_ProduitsRef[Famille], MATCH(tbl_Ventes[[#This Row],[Cde_Prdt]], tbl_Produits[Cde_Prdt], 0)), "")</f>
        <v/>
      </c>
    </row>
    <row r="1689" spans="1:11" x14ac:dyDescent="0.25">
      <c r="A1689" s="5"/>
      <c r="B1689" s="63" t="str">
        <f>IFERROR(TEXT(tbl_Ventes[[#This Row],[Date]],"mm-aaaa"),"")</f>
        <v>01-1900</v>
      </c>
      <c r="D1689" s="10" t="str">
        <f>IFERROR(
   INDEX(tbl_ProduitsRef[Cde_Prdt],MATCH(tbl_Ventes[[#This Row],[Produit]],tbl_ProduitsRef[Produit],0)),
   ""
)</f>
        <v/>
      </c>
      <c r="E1689" s="7">
        <v>0</v>
      </c>
      <c r="F1689" s="7" t="str">
        <f>IFERROR(
   INDEX(tbl_ProduitsRef[Prix Menu],MATCH(tbl_Ventes[[#This Row],[Produit]],tbl_ProduitsRef[Produit],0)),
   ""
)</f>
        <v/>
      </c>
      <c r="G1689" s="7">
        <f>tbl_Ventes[[#This Row],[Qté Vendue]] * IFERROR(_xlfn.XLOOKUP(tbl_Ventes[[#This Row],[Cde_Prdt]], tbl_Produits[Cde_Prdt], tbl_Produits[Prix Menu]), 0)</f>
        <v>0</v>
      </c>
      <c r="H1689" s="7">
        <f>IFERROR(_xlfn.XLOOKUP(tbl_Ventes[[#This Row],[Cde_Prdt]], tbl_Produits[Cde_Prdt], tbl_Produits[Coût Moyen Portion]), 0)</f>
        <v>0</v>
      </c>
      <c r="I1689" s="7">
        <f>tbl_Ventes[[#This Row],[Qté Vendue]] * tbl_Ventes[[#This Row],[CMP_par_portion]]</f>
        <v>0</v>
      </c>
      <c r="J1689" s="7">
        <f>tbl_Ventes[[#This Row],[CA ligne]] - tbl_Ventes[[#This Row],[Coût matière ligne]]</f>
        <v>0</v>
      </c>
      <c r="K1689" s="7" t="str">
        <f>IFERROR(INDEX(tbl_ProduitsRef[Famille], MATCH(tbl_Ventes[[#This Row],[Cde_Prdt]], tbl_Produits[Cde_Prdt], 0)), "")</f>
        <v/>
      </c>
    </row>
    <row r="1690" spans="1:11" x14ac:dyDescent="0.25">
      <c r="A1690" s="5"/>
      <c r="B1690" s="63" t="str">
        <f>IFERROR(TEXT(tbl_Ventes[[#This Row],[Date]],"mm-aaaa"),"")</f>
        <v>01-1900</v>
      </c>
      <c r="D1690" s="10" t="str">
        <f>IFERROR(
   INDEX(tbl_ProduitsRef[Cde_Prdt],MATCH(tbl_Ventes[[#This Row],[Produit]],tbl_ProduitsRef[Produit],0)),
   ""
)</f>
        <v/>
      </c>
      <c r="E1690" s="7">
        <v>0</v>
      </c>
      <c r="F1690" s="7" t="str">
        <f>IFERROR(
   INDEX(tbl_ProduitsRef[Prix Menu],MATCH(tbl_Ventes[[#This Row],[Produit]],tbl_ProduitsRef[Produit],0)),
   ""
)</f>
        <v/>
      </c>
      <c r="G1690" s="7">
        <f>tbl_Ventes[[#This Row],[Qté Vendue]] * IFERROR(_xlfn.XLOOKUP(tbl_Ventes[[#This Row],[Cde_Prdt]], tbl_Produits[Cde_Prdt], tbl_Produits[Prix Menu]), 0)</f>
        <v>0</v>
      </c>
      <c r="H1690" s="7">
        <f>IFERROR(_xlfn.XLOOKUP(tbl_Ventes[[#This Row],[Cde_Prdt]], tbl_Produits[Cde_Prdt], tbl_Produits[Coût Moyen Portion]), 0)</f>
        <v>0</v>
      </c>
      <c r="I1690" s="7">
        <f>tbl_Ventes[[#This Row],[Qté Vendue]] * tbl_Ventes[[#This Row],[CMP_par_portion]]</f>
        <v>0</v>
      </c>
      <c r="J1690" s="7">
        <f>tbl_Ventes[[#This Row],[CA ligne]] - tbl_Ventes[[#This Row],[Coût matière ligne]]</f>
        <v>0</v>
      </c>
      <c r="K1690" s="7" t="str">
        <f>IFERROR(INDEX(tbl_ProduitsRef[Famille], MATCH(tbl_Ventes[[#This Row],[Cde_Prdt]], tbl_Produits[Cde_Prdt], 0)), "")</f>
        <v/>
      </c>
    </row>
    <row r="1691" spans="1:11" x14ac:dyDescent="0.25">
      <c r="A1691" s="5"/>
      <c r="B1691" s="63" t="str">
        <f>IFERROR(TEXT(tbl_Ventes[[#This Row],[Date]],"mm-aaaa"),"")</f>
        <v>01-1900</v>
      </c>
      <c r="D1691" s="10" t="str">
        <f>IFERROR(
   INDEX(tbl_ProduitsRef[Cde_Prdt],MATCH(tbl_Ventes[[#This Row],[Produit]],tbl_ProduitsRef[Produit],0)),
   ""
)</f>
        <v/>
      </c>
      <c r="E1691" s="7">
        <v>0</v>
      </c>
      <c r="F1691" s="7" t="str">
        <f>IFERROR(
   INDEX(tbl_ProduitsRef[Prix Menu],MATCH(tbl_Ventes[[#This Row],[Produit]],tbl_ProduitsRef[Produit],0)),
   ""
)</f>
        <v/>
      </c>
      <c r="G1691" s="7">
        <f>tbl_Ventes[[#This Row],[Qté Vendue]] * IFERROR(_xlfn.XLOOKUP(tbl_Ventes[[#This Row],[Cde_Prdt]], tbl_Produits[Cde_Prdt], tbl_Produits[Prix Menu]), 0)</f>
        <v>0</v>
      </c>
      <c r="H1691" s="7">
        <f>IFERROR(_xlfn.XLOOKUP(tbl_Ventes[[#This Row],[Cde_Prdt]], tbl_Produits[Cde_Prdt], tbl_Produits[Coût Moyen Portion]), 0)</f>
        <v>0</v>
      </c>
      <c r="I1691" s="7">
        <f>tbl_Ventes[[#This Row],[Qté Vendue]] * tbl_Ventes[[#This Row],[CMP_par_portion]]</f>
        <v>0</v>
      </c>
      <c r="J1691" s="7">
        <f>tbl_Ventes[[#This Row],[CA ligne]] - tbl_Ventes[[#This Row],[Coût matière ligne]]</f>
        <v>0</v>
      </c>
      <c r="K1691" s="7" t="str">
        <f>IFERROR(INDEX(tbl_ProduitsRef[Famille], MATCH(tbl_Ventes[[#This Row],[Cde_Prdt]], tbl_Produits[Cde_Prdt], 0)), "")</f>
        <v/>
      </c>
    </row>
    <row r="1692" spans="1:11" x14ac:dyDescent="0.25">
      <c r="A1692" s="5"/>
      <c r="B1692" s="63" t="str">
        <f>IFERROR(TEXT(tbl_Ventes[[#This Row],[Date]],"mm-aaaa"),"")</f>
        <v>01-1900</v>
      </c>
      <c r="D1692" s="10" t="str">
        <f>IFERROR(
   INDEX(tbl_ProduitsRef[Cde_Prdt],MATCH(tbl_Ventes[[#This Row],[Produit]],tbl_ProduitsRef[Produit],0)),
   ""
)</f>
        <v/>
      </c>
      <c r="E1692" s="7">
        <v>0</v>
      </c>
      <c r="F1692" s="7" t="str">
        <f>IFERROR(
   INDEX(tbl_ProduitsRef[Prix Menu],MATCH(tbl_Ventes[[#This Row],[Produit]],tbl_ProduitsRef[Produit],0)),
   ""
)</f>
        <v/>
      </c>
      <c r="G1692" s="7">
        <f>tbl_Ventes[[#This Row],[Qté Vendue]] * IFERROR(_xlfn.XLOOKUP(tbl_Ventes[[#This Row],[Cde_Prdt]], tbl_Produits[Cde_Prdt], tbl_Produits[Prix Menu]), 0)</f>
        <v>0</v>
      </c>
      <c r="H1692" s="7">
        <f>IFERROR(_xlfn.XLOOKUP(tbl_Ventes[[#This Row],[Cde_Prdt]], tbl_Produits[Cde_Prdt], tbl_Produits[Coût Moyen Portion]), 0)</f>
        <v>0</v>
      </c>
      <c r="I1692" s="7">
        <f>tbl_Ventes[[#This Row],[Qté Vendue]] * tbl_Ventes[[#This Row],[CMP_par_portion]]</f>
        <v>0</v>
      </c>
      <c r="J1692" s="7">
        <f>tbl_Ventes[[#This Row],[CA ligne]] - tbl_Ventes[[#This Row],[Coût matière ligne]]</f>
        <v>0</v>
      </c>
      <c r="K1692" s="7" t="str">
        <f>IFERROR(INDEX(tbl_ProduitsRef[Famille], MATCH(tbl_Ventes[[#This Row],[Cde_Prdt]], tbl_Produits[Cde_Prdt], 0)), "")</f>
        <v/>
      </c>
    </row>
    <row r="1693" spans="1:11" x14ac:dyDescent="0.25">
      <c r="A1693" s="5"/>
      <c r="B1693" s="63" t="str">
        <f>IFERROR(TEXT(tbl_Ventes[[#This Row],[Date]],"mm-aaaa"),"")</f>
        <v>01-1900</v>
      </c>
      <c r="D1693" s="10" t="str">
        <f>IFERROR(
   INDEX(tbl_ProduitsRef[Cde_Prdt],MATCH(tbl_Ventes[[#This Row],[Produit]],tbl_ProduitsRef[Produit],0)),
   ""
)</f>
        <v/>
      </c>
      <c r="E1693" s="7">
        <v>0</v>
      </c>
      <c r="F1693" s="7" t="str">
        <f>IFERROR(
   INDEX(tbl_ProduitsRef[Prix Menu],MATCH(tbl_Ventes[[#This Row],[Produit]],tbl_ProduitsRef[Produit],0)),
   ""
)</f>
        <v/>
      </c>
      <c r="G1693" s="7">
        <f>tbl_Ventes[[#This Row],[Qté Vendue]] * IFERROR(_xlfn.XLOOKUP(tbl_Ventes[[#This Row],[Cde_Prdt]], tbl_Produits[Cde_Prdt], tbl_Produits[Prix Menu]), 0)</f>
        <v>0</v>
      </c>
      <c r="H1693" s="7">
        <f>IFERROR(_xlfn.XLOOKUP(tbl_Ventes[[#This Row],[Cde_Prdt]], tbl_Produits[Cde_Prdt], tbl_Produits[Coût Moyen Portion]), 0)</f>
        <v>0</v>
      </c>
      <c r="I1693" s="7">
        <f>tbl_Ventes[[#This Row],[Qté Vendue]] * tbl_Ventes[[#This Row],[CMP_par_portion]]</f>
        <v>0</v>
      </c>
      <c r="J1693" s="7">
        <f>tbl_Ventes[[#This Row],[CA ligne]] - tbl_Ventes[[#This Row],[Coût matière ligne]]</f>
        <v>0</v>
      </c>
      <c r="K1693" s="7" t="str">
        <f>IFERROR(INDEX(tbl_ProduitsRef[Famille], MATCH(tbl_Ventes[[#This Row],[Cde_Prdt]], tbl_Produits[Cde_Prdt], 0)), "")</f>
        <v/>
      </c>
    </row>
    <row r="1694" spans="1:11" x14ac:dyDescent="0.25">
      <c r="A1694" s="5"/>
      <c r="B1694" s="63" t="str">
        <f>IFERROR(TEXT(tbl_Ventes[[#This Row],[Date]],"mm-aaaa"),"")</f>
        <v>01-1900</v>
      </c>
      <c r="D1694" s="10" t="str">
        <f>IFERROR(
   INDEX(tbl_ProduitsRef[Cde_Prdt],MATCH(tbl_Ventes[[#This Row],[Produit]],tbl_ProduitsRef[Produit],0)),
   ""
)</f>
        <v/>
      </c>
      <c r="E1694" s="7">
        <v>0</v>
      </c>
      <c r="F1694" s="7" t="str">
        <f>IFERROR(
   INDEX(tbl_ProduitsRef[Prix Menu],MATCH(tbl_Ventes[[#This Row],[Produit]],tbl_ProduitsRef[Produit],0)),
   ""
)</f>
        <v/>
      </c>
      <c r="G1694" s="7">
        <f>tbl_Ventes[[#This Row],[Qté Vendue]] * IFERROR(_xlfn.XLOOKUP(tbl_Ventes[[#This Row],[Cde_Prdt]], tbl_Produits[Cde_Prdt], tbl_Produits[Prix Menu]), 0)</f>
        <v>0</v>
      </c>
      <c r="H1694" s="7">
        <f>IFERROR(_xlfn.XLOOKUP(tbl_Ventes[[#This Row],[Cde_Prdt]], tbl_Produits[Cde_Prdt], tbl_Produits[Coût Moyen Portion]), 0)</f>
        <v>0</v>
      </c>
      <c r="I1694" s="7">
        <f>tbl_Ventes[[#This Row],[Qté Vendue]] * tbl_Ventes[[#This Row],[CMP_par_portion]]</f>
        <v>0</v>
      </c>
      <c r="J1694" s="7">
        <f>tbl_Ventes[[#This Row],[CA ligne]] - tbl_Ventes[[#This Row],[Coût matière ligne]]</f>
        <v>0</v>
      </c>
      <c r="K1694" s="7" t="str">
        <f>IFERROR(INDEX(tbl_ProduitsRef[Famille], MATCH(tbl_Ventes[[#This Row],[Cde_Prdt]], tbl_Produits[Cde_Prdt], 0)), "")</f>
        <v/>
      </c>
    </row>
    <row r="1695" spans="1:11" x14ac:dyDescent="0.25">
      <c r="A1695" s="5"/>
      <c r="B1695" s="63" t="str">
        <f>IFERROR(TEXT(tbl_Ventes[[#This Row],[Date]],"mm-aaaa"),"")</f>
        <v>01-1900</v>
      </c>
      <c r="D1695" s="10" t="str">
        <f>IFERROR(
   INDEX(tbl_ProduitsRef[Cde_Prdt],MATCH(tbl_Ventes[[#This Row],[Produit]],tbl_ProduitsRef[Produit],0)),
   ""
)</f>
        <v/>
      </c>
      <c r="E1695" s="7">
        <v>0</v>
      </c>
      <c r="F1695" s="7" t="str">
        <f>IFERROR(
   INDEX(tbl_ProduitsRef[Prix Menu],MATCH(tbl_Ventes[[#This Row],[Produit]],tbl_ProduitsRef[Produit],0)),
   ""
)</f>
        <v/>
      </c>
      <c r="G1695" s="7">
        <f>tbl_Ventes[[#This Row],[Qté Vendue]] * IFERROR(_xlfn.XLOOKUP(tbl_Ventes[[#This Row],[Cde_Prdt]], tbl_Produits[Cde_Prdt], tbl_Produits[Prix Menu]), 0)</f>
        <v>0</v>
      </c>
      <c r="H1695" s="7">
        <f>IFERROR(_xlfn.XLOOKUP(tbl_Ventes[[#This Row],[Cde_Prdt]], tbl_Produits[Cde_Prdt], tbl_Produits[Coût Moyen Portion]), 0)</f>
        <v>0</v>
      </c>
      <c r="I1695" s="7">
        <f>tbl_Ventes[[#This Row],[Qté Vendue]] * tbl_Ventes[[#This Row],[CMP_par_portion]]</f>
        <v>0</v>
      </c>
      <c r="J1695" s="7">
        <f>tbl_Ventes[[#This Row],[CA ligne]] - tbl_Ventes[[#This Row],[Coût matière ligne]]</f>
        <v>0</v>
      </c>
      <c r="K1695" s="7" t="str">
        <f>IFERROR(INDEX(tbl_ProduitsRef[Famille], MATCH(tbl_Ventes[[#This Row],[Cde_Prdt]], tbl_Produits[Cde_Prdt], 0)), "")</f>
        <v/>
      </c>
    </row>
    <row r="1696" spans="1:11" x14ac:dyDescent="0.25">
      <c r="A1696" s="5"/>
      <c r="B1696" s="63" t="str">
        <f>IFERROR(TEXT(tbl_Ventes[[#This Row],[Date]],"mm-aaaa"),"")</f>
        <v>01-1900</v>
      </c>
      <c r="D1696" s="10" t="str">
        <f>IFERROR(
   INDEX(tbl_ProduitsRef[Cde_Prdt],MATCH(tbl_Ventes[[#This Row],[Produit]],tbl_ProduitsRef[Produit],0)),
   ""
)</f>
        <v/>
      </c>
      <c r="E1696" s="7">
        <v>0</v>
      </c>
      <c r="F1696" s="7" t="str">
        <f>IFERROR(
   INDEX(tbl_ProduitsRef[Prix Menu],MATCH(tbl_Ventes[[#This Row],[Produit]],tbl_ProduitsRef[Produit],0)),
   ""
)</f>
        <v/>
      </c>
      <c r="G1696" s="7">
        <f>tbl_Ventes[[#This Row],[Qté Vendue]] * IFERROR(_xlfn.XLOOKUP(tbl_Ventes[[#This Row],[Cde_Prdt]], tbl_Produits[Cde_Prdt], tbl_Produits[Prix Menu]), 0)</f>
        <v>0</v>
      </c>
      <c r="H1696" s="7">
        <f>IFERROR(_xlfn.XLOOKUP(tbl_Ventes[[#This Row],[Cde_Prdt]], tbl_Produits[Cde_Prdt], tbl_Produits[Coût Moyen Portion]), 0)</f>
        <v>0</v>
      </c>
      <c r="I1696" s="7">
        <f>tbl_Ventes[[#This Row],[Qté Vendue]] * tbl_Ventes[[#This Row],[CMP_par_portion]]</f>
        <v>0</v>
      </c>
      <c r="J1696" s="7">
        <f>tbl_Ventes[[#This Row],[CA ligne]] - tbl_Ventes[[#This Row],[Coût matière ligne]]</f>
        <v>0</v>
      </c>
      <c r="K1696" s="7" t="str">
        <f>IFERROR(INDEX(tbl_ProduitsRef[Famille], MATCH(tbl_Ventes[[#This Row],[Cde_Prdt]], tbl_Produits[Cde_Prdt], 0)), "")</f>
        <v/>
      </c>
    </row>
    <row r="1697" spans="1:11" x14ac:dyDescent="0.25">
      <c r="A1697" s="5"/>
      <c r="B1697" s="63" t="str">
        <f>IFERROR(TEXT(tbl_Ventes[[#This Row],[Date]],"mm-aaaa"),"")</f>
        <v>01-1900</v>
      </c>
      <c r="D1697" s="10" t="str">
        <f>IFERROR(
   INDEX(tbl_ProduitsRef[Cde_Prdt],MATCH(tbl_Ventes[[#This Row],[Produit]],tbl_ProduitsRef[Produit],0)),
   ""
)</f>
        <v/>
      </c>
      <c r="E1697" s="7">
        <v>0</v>
      </c>
      <c r="F1697" s="7" t="str">
        <f>IFERROR(
   INDEX(tbl_ProduitsRef[Prix Menu],MATCH(tbl_Ventes[[#This Row],[Produit]],tbl_ProduitsRef[Produit],0)),
   ""
)</f>
        <v/>
      </c>
      <c r="G1697" s="7">
        <f>tbl_Ventes[[#This Row],[Qté Vendue]] * IFERROR(_xlfn.XLOOKUP(tbl_Ventes[[#This Row],[Cde_Prdt]], tbl_Produits[Cde_Prdt], tbl_Produits[Prix Menu]), 0)</f>
        <v>0</v>
      </c>
      <c r="H1697" s="7">
        <f>IFERROR(_xlfn.XLOOKUP(tbl_Ventes[[#This Row],[Cde_Prdt]], tbl_Produits[Cde_Prdt], tbl_Produits[Coût Moyen Portion]), 0)</f>
        <v>0</v>
      </c>
      <c r="I1697" s="7">
        <f>tbl_Ventes[[#This Row],[Qté Vendue]] * tbl_Ventes[[#This Row],[CMP_par_portion]]</f>
        <v>0</v>
      </c>
      <c r="J1697" s="7">
        <f>tbl_Ventes[[#This Row],[CA ligne]] - tbl_Ventes[[#This Row],[Coût matière ligne]]</f>
        <v>0</v>
      </c>
      <c r="K1697" s="7" t="str">
        <f>IFERROR(INDEX(tbl_ProduitsRef[Famille], MATCH(tbl_Ventes[[#This Row],[Cde_Prdt]], tbl_Produits[Cde_Prdt], 0)), "")</f>
        <v/>
      </c>
    </row>
    <row r="1698" spans="1:11" x14ac:dyDescent="0.25">
      <c r="A1698" s="5"/>
      <c r="B1698" s="63" t="str">
        <f>IFERROR(TEXT(tbl_Ventes[[#This Row],[Date]],"mm-aaaa"),"")</f>
        <v>01-1900</v>
      </c>
      <c r="D1698" s="10" t="str">
        <f>IFERROR(
   INDEX(tbl_ProduitsRef[Cde_Prdt],MATCH(tbl_Ventes[[#This Row],[Produit]],tbl_ProduitsRef[Produit],0)),
   ""
)</f>
        <v/>
      </c>
      <c r="E1698" s="7">
        <v>0</v>
      </c>
      <c r="F1698" s="7" t="str">
        <f>IFERROR(
   INDEX(tbl_ProduitsRef[Prix Menu],MATCH(tbl_Ventes[[#This Row],[Produit]],tbl_ProduitsRef[Produit],0)),
   ""
)</f>
        <v/>
      </c>
      <c r="G1698" s="7">
        <f>tbl_Ventes[[#This Row],[Qté Vendue]] * IFERROR(_xlfn.XLOOKUP(tbl_Ventes[[#This Row],[Cde_Prdt]], tbl_Produits[Cde_Prdt], tbl_Produits[Prix Menu]), 0)</f>
        <v>0</v>
      </c>
      <c r="H1698" s="7">
        <f>IFERROR(_xlfn.XLOOKUP(tbl_Ventes[[#This Row],[Cde_Prdt]], tbl_Produits[Cde_Prdt], tbl_Produits[Coût Moyen Portion]), 0)</f>
        <v>0</v>
      </c>
      <c r="I1698" s="7">
        <f>tbl_Ventes[[#This Row],[Qté Vendue]] * tbl_Ventes[[#This Row],[CMP_par_portion]]</f>
        <v>0</v>
      </c>
      <c r="J1698" s="7">
        <f>tbl_Ventes[[#This Row],[CA ligne]] - tbl_Ventes[[#This Row],[Coût matière ligne]]</f>
        <v>0</v>
      </c>
      <c r="K1698" s="7" t="str">
        <f>IFERROR(INDEX(tbl_ProduitsRef[Famille], MATCH(tbl_Ventes[[#This Row],[Cde_Prdt]], tbl_Produits[Cde_Prdt], 0)), "")</f>
        <v/>
      </c>
    </row>
    <row r="1699" spans="1:11" x14ac:dyDescent="0.25">
      <c r="A1699" s="5"/>
      <c r="B1699" s="63" t="str">
        <f>IFERROR(TEXT(tbl_Ventes[[#This Row],[Date]],"mm-aaaa"),"")</f>
        <v>01-1900</v>
      </c>
      <c r="D1699" s="10" t="str">
        <f>IFERROR(
   INDEX(tbl_ProduitsRef[Cde_Prdt],MATCH(tbl_Ventes[[#This Row],[Produit]],tbl_ProduitsRef[Produit],0)),
   ""
)</f>
        <v/>
      </c>
      <c r="E1699" s="7">
        <v>0</v>
      </c>
      <c r="F1699" s="7" t="str">
        <f>IFERROR(
   INDEX(tbl_ProduitsRef[Prix Menu],MATCH(tbl_Ventes[[#This Row],[Produit]],tbl_ProduitsRef[Produit],0)),
   ""
)</f>
        <v/>
      </c>
      <c r="G1699" s="7">
        <f>tbl_Ventes[[#This Row],[Qté Vendue]] * IFERROR(_xlfn.XLOOKUP(tbl_Ventes[[#This Row],[Cde_Prdt]], tbl_Produits[Cde_Prdt], tbl_Produits[Prix Menu]), 0)</f>
        <v>0</v>
      </c>
      <c r="H1699" s="7">
        <f>IFERROR(_xlfn.XLOOKUP(tbl_Ventes[[#This Row],[Cde_Prdt]], tbl_Produits[Cde_Prdt], tbl_Produits[Coût Moyen Portion]), 0)</f>
        <v>0</v>
      </c>
      <c r="I1699" s="7">
        <f>tbl_Ventes[[#This Row],[Qté Vendue]] * tbl_Ventes[[#This Row],[CMP_par_portion]]</f>
        <v>0</v>
      </c>
      <c r="J1699" s="7">
        <f>tbl_Ventes[[#This Row],[CA ligne]] - tbl_Ventes[[#This Row],[Coût matière ligne]]</f>
        <v>0</v>
      </c>
      <c r="K1699" s="7" t="str">
        <f>IFERROR(INDEX(tbl_ProduitsRef[Famille], MATCH(tbl_Ventes[[#This Row],[Cde_Prdt]], tbl_Produits[Cde_Prdt], 0)), "")</f>
        <v/>
      </c>
    </row>
    <row r="1700" spans="1:11" x14ac:dyDescent="0.25">
      <c r="A1700" s="5"/>
      <c r="B1700" s="63" t="str">
        <f>IFERROR(TEXT(tbl_Ventes[[#This Row],[Date]],"mm-aaaa"),"")</f>
        <v>01-1900</v>
      </c>
      <c r="D1700" s="10" t="str">
        <f>IFERROR(
   INDEX(tbl_ProduitsRef[Cde_Prdt],MATCH(tbl_Ventes[[#This Row],[Produit]],tbl_ProduitsRef[Produit],0)),
   ""
)</f>
        <v/>
      </c>
      <c r="E1700" s="7">
        <v>0</v>
      </c>
      <c r="F1700" s="7" t="str">
        <f>IFERROR(
   INDEX(tbl_ProduitsRef[Prix Menu],MATCH(tbl_Ventes[[#This Row],[Produit]],tbl_ProduitsRef[Produit],0)),
   ""
)</f>
        <v/>
      </c>
      <c r="G1700" s="7">
        <f>tbl_Ventes[[#This Row],[Qté Vendue]] * IFERROR(_xlfn.XLOOKUP(tbl_Ventes[[#This Row],[Cde_Prdt]], tbl_Produits[Cde_Prdt], tbl_Produits[Prix Menu]), 0)</f>
        <v>0</v>
      </c>
      <c r="H1700" s="7">
        <f>IFERROR(_xlfn.XLOOKUP(tbl_Ventes[[#This Row],[Cde_Prdt]], tbl_Produits[Cde_Prdt], tbl_Produits[Coût Moyen Portion]), 0)</f>
        <v>0</v>
      </c>
      <c r="I1700" s="7">
        <f>tbl_Ventes[[#This Row],[Qté Vendue]] * tbl_Ventes[[#This Row],[CMP_par_portion]]</f>
        <v>0</v>
      </c>
      <c r="J1700" s="7">
        <f>tbl_Ventes[[#This Row],[CA ligne]] - tbl_Ventes[[#This Row],[Coût matière ligne]]</f>
        <v>0</v>
      </c>
      <c r="K1700" s="7" t="str">
        <f>IFERROR(INDEX(tbl_ProduitsRef[Famille], MATCH(tbl_Ventes[[#This Row],[Cde_Prdt]], tbl_Produits[Cde_Prdt], 0)), "")</f>
        <v/>
      </c>
    </row>
    <row r="1701" spans="1:11" x14ac:dyDescent="0.25">
      <c r="A1701" s="5"/>
      <c r="B1701" s="63" t="str">
        <f>IFERROR(TEXT(tbl_Ventes[[#This Row],[Date]],"mm-aaaa"),"")</f>
        <v>01-1900</v>
      </c>
      <c r="D1701" s="10" t="str">
        <f>IFERROR(
   INDEX(tbl_ProduitsRef[Cde_Prdt],MATCH(tbl_Ventes[[#This Row],[Produit]],tbl_ProduitsRef[Produit],0)),
   ""
)</f>
        <v/>
      </c>
      <c r="E1701" s="7">
        <v>0</v>
      </c>
      <c r="F1701" s="7" t="str">
        <f>IFERROR(
   INDEX(tbl_ProduitsRef[Prix Menu],MATCH(tbl_Ventes[[#This Row],[Produit]],tbl_ProduitsRef[Produit],0)),
   ""
)</f>
        <v/>
      </c>
      <c r="G1701" s="7">
        <f>tbl_Ventes[[#This Row],[Qté Vendue]] * IFERROR(_xlfn.XLOOKUP(tbl_Ventes[[#This Row],[Cde_Prdt]], tbl_Produits[Cde_Prdt], tbl_Produits[Prix Menu]), 0)</f>
        <v>0</v>
      </c>
      <c r="H1701" s="7">
        <f>IFERROR(_xlfn.XLOOKUP(tbl_Ventes[[#This Row],[Cde_Prdt]], tbl_Produits[Cde_Prdt], tbl_Produits[Coût Moyen Portion]), 0)</f>
        <v>0</v>
      </c>
      <c r="I1701" s="7">
        <f>tbl_Ventes[[#This Row],[Qté Vendue]] * tbl_Ventes[[#This Row],[CMP_par_portion]]</f>
        <v>0</v>
      </c>
      <c r="J1701" s="7">
        <f>tbl_Ventes[[#This Row],[CA ligne]] - tbl_Ventes[[#This Row],[Coût matière ligne]]</f>
        <v>0</v>
      </c>
      <c r="K1701" s="7" t="str">
        <f>IFERROR(INDEX(tbl_ProduitsRef[Famille], MATCH(tbl_Ventes[[#This Row],[Cde_Prdt]], tbl_Produits[Cde_Prdt], 0)), "")</f>
        <v/>
      </c>
    </row>
    <row r="1702" spans="1:11" x14ac:dyDescent="0.25">
      <c r="A1702" s="5"/>
      <c r="B1702" s="63" t="str">
        <f>IFERROR(TEXT(tbl_Ventes[[#This Row],[Date]],"mm-aaaa"),"")</f>
        <v>01-1900</v>
      </c>
      <c r="D1702" s="10" t="str">
        <f>IFERROR(
   INDEX(tbl_ProduitsRef[Cde_Prdt],MATCH(tbl_Ventes[[#This Row],[Produit]],tbl_ProduitsRef[Produit],0)),
   ""
)</f>
        <v/>
      </c>
      <c r="E1702" s="7">
        <v>0</v>
      </c>
      <c r="F1702" s="7" t="str">
        <f>IFERROR(
   INDEX(tbl_ProduitsRef[Prix Menu],MATCH(tbl_Ventes[[#This Row],[Produit]],tbl_ProduitsRef[Produit],0)),
   ""
)</f>
        <v/>
      </c>
      <c r="G1702" s="7">
        <f>tbl_Ventes[[#This Row],[Qté Vendue]] * IFERROR(_xlfn.XLOOKUP(tbl_Ventes[[#This Row],[Cde_Prdt]], tbl_Produits[Cde_Prdt], tbl_Produits[Prix Menu]), 0)</f>
        <v>0</v>
      </c>
      <c r="H1702" s="7">
        <f>IFERROR(_xlfn.XLOOKUP(tbl_Ventes[[#This Row],[Cde_Prdt]], tbl_Produits[Cde_Prdt], tbl_Produits[Coût Moyen Portion]), 0)</f>
        <v>0</v>
      </c>
      <c r="I1702" s="7">
        <f>tbl_Ventes[[#This Row],[Qté Vendue]] * tbl_Ventes[[#This Row],[CMP_par_portion]]</f>
        <v>0</v>
      </c>
      <c r="J1702" s="7">
        <f>tbl_Ventes[[#This Row],[CA ligne]] - tbl_Ventes[[#This Row],[Coût matière ligne]]</f>
        <v>0</v>
      </c>
      <c r="K1702" s="7" t="str">
        <f>IFERROR(INDEX(tbl_ProduitsRef[Famille], MATCH(tbl_Ventes[[#This Row],[Cde_Prdt]], tbl_Produits[Cde_Prdt], 0)), "")</f>
        <v/>
      </c>
    </row>
    <row r="1703" spans="1:11" x14ac:dyDescent="0.25">
      <c r="A1703" s="5"/>
      <c r="B1703" s="63" t="str">
        <f>IFERROR(TEXT(tbl_Ventes[[#This Row],[Date]],"mm-aaaa"),"")</f>
        <v>01-1900</v>
      </c>
      <c r="D1703" s="10" t="str">
        <f>IFERROR(
   INDEX(tbl_ProduitsRef[Cde_Prdt],MATCH(tbl_Ventes[[#This Row],[Produit]],tbl_ProduitsRef[Produit],0)),
   ""
)</f>
        <v/>
      </c>
      <c r="E1703" s="7">
        <v>0</v>
      </c>
      <c r="F1703" s="7" t="str">
        <f>IFERROR(
   INDEX(tbl_ProduitsRef[Prix Menu],MATCH(tbl_Ventes[[#This Row],[Produit]],tbl_ProduitsRef[Produit],0)),
   ""
)</f>
        <v/>
      </c>
      <c r="G1703" s="7">
        <f>tbl_Ventes[[#This Row],[Qté Vendue]] * IFERROR(_xlfn.XLOOKUP(tbl_Ventes[[#This Row],[Cde_Prdt]], tbl_Produits[Cde_Prdt], tbl_Produits[Prix Menu]), 0)</f>
        <v>0</v>
      </c>
      <c r="H1703" s="7">
        <f>IFERROR(_xlfn.XLOOKUP(tbl_Ventes[[#This Row],[Cde_Prdt]], tbl_Produits[Cde_Prdt], tbl_Produits[Coût Moyen Portion]), 0)</f>
        <v>0</v>
      </c>
      <c r="I1703" s="7">
        <f>tbl_Ventes[[#This Row],[Qté Vendue]] * tbl_Ventes[[#This Row],[CMP_par_portion]]</f>
        <v>0</v>
      </c>
      <c r="J1703" s="7">
        <f>tbl_Ventes[[#This Row],[CA ligne]] - tbl_Ventes[[#This Row],[Coût matière ligne]]</f>
        <v>0</v>
      </c>
      <c r="K1703" s="7" t="str">
        <f>IFERROR(INDEX(tbl_ProduitsRef[Famille], MATCH(tbl_Ventes[[#This Row],[Cde_Prdt]], tbl_Produits[Cde_Prdt], 0)), "")</f>
        <v/>
      </c>
    </row>
    <row r="1704" spans="1:11" x14ac:dyDescent="0.25">
      <c r="A1704" s="5"/>
      <c r="B1704" s="63" t="str">
        <f>IFERROR(TEXT(tbl_Ventes[[#This Row],[Date]],"mm-aaaa"),"")</f>
        <v>01-1900</v>
      </c>
      <c r="D1704" s="10" t="str">
        <f>IFERROR(
   INDEX(tbl_ProduitsRef[Cde_Prdt],MATCH(tbl_Ventes[[#This Row],[Produit]],tbl_ProduitsRef[Produit],0)),
   ""
)</f>
        <v/>
      </c>
      <c r="E1704" s="7">
        <v>0</v>
      </c>
      <c r="F1704" s="7" t="str">
        <f>IFERROR(
   INDEX(tbl_ProduitsRef[Prix Menu],MATCH(tbl_Ventes[[#This Row],[Produit]],tbl_ProduitsRef[Produit],0)),
   ""
)</f>
        <v/>
      </c>
      <c r="G1704" s="7">
        <f>tbl_Ventes[[#This Row],[Qté Vendue]] * IFERROR(_xlfn.XLOOKUP(tbl_Ventes[[#This Row],[Cde_Prdt]], tbl_Produits[Cde_Prdt], tbl_Produits[Prix Menu]), 0)</f>
        <v>0</v>
      </c>
      <c r="H1704" s="7">
        <f>IFERROR(_xlfn.XLOOKUP(tbl_Ventes[[#This Row],[Cde_Prdt]], tbl_Produits[Cde_Prdt], tbl_Produits[Coût Moyen Portion]), 0)</f>
        <v>0</v>
      </c>
      <c r="I1704" s="7">
        <f>tbl_Ventes[[#This Row],[Qté Vendue]] * tbl_Ventes[[#This Row],[CMP_par_portion]]</f>
        <v>0</v>
      </c>
      <c r="J1704" s="7">
        <f>tbl_Ventes[[#This Row],[CA ligne]] - tbl_Ventes[[#This Row],[Coût matière ligne]]</f>
        <v>0</v>
      </c>
      <c r="K1704" s="7" t="str">
        <f>IFERROR(INDEX(tbl_ProduitsRef[Famille], MATCH(tbl_Ventes[[#This Row],[Cde_Prdt]], tbl_Produits[Cde_Prdt], 0)), "")</f>
        <v/>
      </c>
    </row>
    <row r="1705" spans="1:11" x14ac:dyDescent="0.25">
      <c r="A1705" s="5"/>
      <c r="B1705" s="63" t="str">
        <f>IFERROR(TEXT(tbl_Ventes[[#This Row],[Date]],"mm-aaaa"),"")</f>
        <v>01-1900</v>
      </c>
      <c r="D1705" s="10" t="str">
        <f>IFERROR(
   INDEX(tbl_ProduitsRef[Cde_Prdt],MATCH(tbl_Ventes[[#This Row],[Produit]],tbl_ProduitsRef[Produit],0)),
   ""
)</f>
        <v/>
      </c>
      <c r="E1705" s="7">
        <v>0</v>
      </c>
      <c r="F1705" s="7" t="str">
        <f>IFERROR(
   INDEX(tbl_ProduitsRef[Prix Menu],MATCH(tbl_Ventes[[#This Row],[Produit]],tbl_ProduitsRef[Produit],0)),
   ""
)</f>
        <v/>
      </c>
      <c r="G1705" s="7">
        <f>tbl_Ventes[[#This Row],[Qté Vendue]] * IFERROR(_xlfn.XLOOKUP(tbl_Ventes[[#This Row],[Cde_Prdt]], tbl_Produits[Cde_Prdt], tbl_Produits[Prix Menu]), 0)</f>
        <v>0</v>
      </c>
      <c r="H1705" s="7">
        <f>IFERROR(_xlfn.XLOOKUP(tbl_Ventes[[#This Row],[Cde_Prdt]], tbl_Produits[Cde_Prdt], tbl_Produits[Coût Moyen Portion]), 0)</f>
        <v>0</v>
      </c>
      <c r="I1705" s="7">
        <f>tbl_Ventes[[#This Row],[Qté Vendue]] * tbl_Ventes[[#This Row],[CMP_par_portion]]</f>
        <v>0</v>
      </c>
      <c r="J1705" s="7">
        <f>tbl_Ventes[[#This Row],[CA ligne]] - tbl_Ventes[[#This Row],[Coût matière ligne]]</f>
        <v>0</v>
      </c>
      <c r="K1705" s="7" t="str">
        <f>IFERROR(INDEX(tbl_ProduitsRef[Famille], MATCH(tbl_Ventes[[#This Row],[Cde_Prdt]], tbl_Produits[Cde_Prdt], 0)), "")</f>
        <v/>
      </c>
    </row>
    <row r="1706" spans="1:11" x14ac:dyDescent="0.25">
      <c r="A1706" s="5"/>
      <c r="B1706" s="63" t="str">
        <f>IFERROR(TEXT(tbl_Ventes[[#This Row],[Date]],"mm-aaaa"),"")</f>
        <v>01-1900</v>
      </c>
      <c r="D1706" s="10" t="str">
        <f>IFERROR(
   INDEX(tbl_ProduitsRef[Cde_Prdt],MATCH(tbl_Ventes[[#This Row],[Produit]],tbl_ProduitsRef[Produit],0)),
   ""
)</f>
        <v/>
      </c>
      <c r="E1706" s="7">
        <v>0</v>
      </c>
      <c r="F1706" s="7" t="str">
        <f>IFERROR(
   INDEX(tbl_ProduitsRef[Prix Menu],MATCH(tbl_Ventes[[#This Row],[Produit]],tbl_ProduitsRef[Produit],0)),
   ""
)</f>
        <v/>
      </c>
      <c r="G1706" s="7">
        <f>tbl_Ventes[[#This Row],[Qté Vendue]] * IFERROR(_xlfn.XLOOKUP(tbl_Ventes[[#This Row],[Cde_Prdt]], tbl_Produits[Cde_Prdt], tbl_Produits[Prix Menu]), 0)</f>
        <v>0</v>
      </c>
      <c r="H1706" s="7">
        <f>IFERROR(_xlfn.XLOOKUP(tbl_Ventes[[#This Row],[Cde_Prdt]], tbl_Produits[Cde_Prdt], tbl_Produits[Coût Moyen Portion]), 0)</f>
        <v>0</v>
      </c>
      <c r="I1706" s="7">
        <f>tbl_Ventes[[#This Row],[Qté Vendue]] * tbl_Ventes[[#This Row],[CMP_par_portion]]</f>
        <v>0</v>
      </c>
      <c r="J1706" s="7">
        <f>tbl_Ventes[[#This Row],[CA ligne]] - tbl_Ventes[[#This Row],[Coût matière ligne]]</f>
        <v>0</v>
      </c>
      <c r="K1706" s="7" t="str">
        <f>IFERROR(INDEX(tbl_ProduitsRef[Famille], MATCH(tbl_Ventes[[#This Row],[Cde_Prdt]], tbl_Produits[Cde_Prdt], 0)), "")</f>
        <v/>
      </c>
    </row>
    <row r="1707" spans="1:11" x14ac:dyDescent="0.25">
      <c r="A1707" s="5"/>
      <c r="B1707" s="63" t="str">
        <f>IFERROR(TEXT(tbl_Ventes[[#This Row],[Date]],"mm-aaaa"),"")</f>
        <v>01-1900</v>
      </c>
      <c r="D1707" s="10" t="str">
        <f>IFERROR(
   INDEX(tbl_ProduitsRef[Cde_Prdt],MATCH(tbl_Ventes[[#This Row],[Produit]],tbl_ProduitsRef[Produit],0)),
   ""
)</f>
        <v/>
      </c>
      <c r="E1707" s="7">
        <v>0</v>
      </c>
      <c r="F1707" s="7" t="str">
        <f>IFERROR(
   INDEX(tbl_ProduitsRef[Prix Menu],MATCH(tbl_Ventes[[#This Row],[Produit]],tbl_ProduitsRef[Produit],0)),
   ""
)</f>
        <v/>
      </c>
      <c r="G1707" s="7">
        <f>tbl_Ventes[[#This Row],[Qté Vendue]] * IFERROR(_xlfn.XLOOKUP(tbl_Ventes[[#This Row],[Cde_Prdt]], tbl_Produits[Cde_Prdt], tbl_Produits[Prix Menu]), 0)</f>
        <v>0</v>
      </c>
      <c r="H1707" s="7">
        <f>IFERROR(_xlfn.XLOOKUP(tbl_Ventes[[#This Row],[Cde_Prdt]], tbl_Produits[Cde_Prdt], tbl_Produits[Coût Moyen Portion]), 0)</f>
        <v>0</v>
      </c>
      <c r="I1707" s="7">
        <f>tbl_Ventes[[#This Row],[Qté Vendue]] * tbl_Ventes[[#This Row],[CMP_par_portion]]</f>
        <v>0</v>
      </c>
      <c r="J1707" s="7">
        <f>tbl_Ventes[[#This Row],[CA ligne]] - tbl_Ventes[[#This Row],[Coût matière ligne]]</f>
        <v>0</v>
      </c>
      <c r="K1707" s="7" t="str">
        <f>IFERROR(INDEX(tbl_ProduitsRef[Famille], MATCH(tbl_Ventes[[#This Row],[Cde_Prdt]], tbl_Produits[Cde_Prdt], 0)), "")</f>
        <v/>
      </c>
    </row>
    <row r="1708" spans="1:11" x14ac:dyDescent="0.25">
      <c r="A1708" s="5"/>
      <c r="B1708" s="63" t="str">
        <f>IFERROR(TEXT(tbl_Ventes[[#This Row],[Date]],"mm-aaaa"),"")</f>
        <v>01-1900</v>
      </c>
      <c r="D1708" s="10" t="str">
        <f>IFERROR(
   INDEX(tbl_ProduitsRef[Cde_Prdt],MATCH(tbl_Ventes[[#This Row],[Produit]],tbl_ProduitsRef[Produit],0)),
   ""
)</f>
        <v/>
      </c>
      <c r="E1708" s="7">
        <v>0</v>
      </c>
      <c r="F1708" s="7" t="str">
        <f>IFERROR(
   INDEX(tbl_ProduitsRef[Prix Menu],MATCH(tbl_Ventes[[#This Row],[Produit]],tbl_ProduitsRef[Produit],0)),
   ""
)</f>
        <v/>
      </c>
      <c r="G1708" s="7">
        <f>tbl_Ventes[[#This Row],[Qté Vendue]] * IFERROR(_xlfn.XLOOKUP(tbl_Ventes[[#This Row],[Cde_Prdt]], tbl_Produits[Cde_Prdt], tbl_Produits[Prix Menu]), 0)</f>
        <v>0</v>
      </c>
      <c r="H1708" s="7">
        <f>IFERROR(_xlfn.XLOOKUP(tbl_Ventes[[#This Row],[Cde_Prdt]], tbl_Produits[Cde_Prdt], tbl_Produits[Coût Moyen Portion]), 0)</f>
        <v>0</v>
      </c>
      <c r="I1708" s="7">
        <f>tbl_Ventes[[#This Row],[Qté Vendue]] * tbl_Ventes[[#This Row],[CMP_par_portion]]</f>
        <v>0</v>
      </c>
      <c r="J1708" s="7">
        <f>tbl_Ventes[[#This Row],[CA ligne]] - tbl_Ventes[[#This Row],[Coût matière ligne]]</f>
        <v>0</v>
      </c>
      <c r="K1708" s="7" t="str">
        <f>IFERROR(INDEX(tbl_ProduitsRef[Famille], MATCH(tbl_Ventes[[#This Row],[Cde_Prdt]], tbl_Produits[Cde_Prdt], 0)), "")</f>
        <v/>
      </c>
    </row>
    <row r="1709" spans="1:11" x14ac:dyDescent="0.25">
      <c r="A1709" s="5"/>
      <c r="B1709" s="63" t="str">
        <f>IFERROR(TEXT(tbl_Ventes[[#This Row],[Date]],"mm-aaaa"),"")</f>
        <v>01-1900</v>
      </c>
      <c r="D1709" s="10" t="str">
        <f>IFERROR(
   INDEX(tbl_ProduitsRef[Cde_Prdt],MATCH(tbl_Ventes[[#This Row],[Produit]],tbl_ProduitsRef[Produit],0)),
   ""
)</f>
        <v/>
      </c>
      <c r="E1709" s="7">
        <v>0</v>
      </c>
      <c r="F1709" s="7" t="str">
        <f>IFERROR(
   INDEX(tbl_ProduitsRef[Prix Menu],MATCH(tbl_Ventes[[#This Row],[Produit]],tbl_ProduitsRef[Produit],0)),
   ""
)</f>
        <v/>
      </c>
      <c r="G1709" s="7">
        <f>tbl_Ventes[[#This Row],[Qté Vendue]] * IFERROR(_xlfn.XLOOKUP(tbl_Ventes[[#This Row],[Cde_Prdt]], tbl_Produits[Cde_Prdt], tbl_Produits[Prix Menu]), 0)</f>
        <v>0</v>
      </c>
      <c r="H1709" s="7">
        <f>IFERROR(_xlfn.XLOOKUP(tbl_Ventes[[#This Row],[Cde_Prdt]], tbl_Produits[Cde_Prdt], tbl_Produits[Coût Moyen Portion]), 0)</f>
        <v>0</v>
      </c>
      <c r="I1709" s="7">
        <f>tbl_Ventes[[#This Row],[Qté Vendue]] * tbl_Ventes[[#This Row],[CMP_par_portion]]</f>
        <v>0</v>
      </c>
      <c r="J1709" s="7">
        <f>tbl_Ventes[[#This Row],[CA ligne]] - tbl_Ventes[[#This Row],[Coût matière ligne]]</f>
        <v>0</v>
      </c>
      <c r="K1709" s="7" t="str">
        <f>IFERROR(INDEX(tbl_ProduitsRef[Famille], MATCH(tbl_Ventes[[#This Row],[Cde_Prdt]], tbl_Produits[Cde_Prdt], 0)), "")</f>
        <v/>
      </c>
    </row>
    <row r="1710" spans="1:11" x14ac:dyDescent="0.25">
      <c r="A1710" s="5"/>
      <c r="B1710" s="63" t="str">
        <f>IFERROR(TEXT(tbl_Ventes[[#This Row],[Date]],"mm-aaaa"),"")</f>
        <v>01-1900</v>
      </c>
      <c r="D1710" s="10" t="str">
        <f>IFERROR(
   INDEX(tbl_ProduitsRef[Cde_Prdt],MATCH(tbl_Ventes[[#This Row],[Produit]],tbl_ProduitsRef[Produit],0)),
   ""
)</f>
        <v/>
      </c>
      <c r="E1710" s="7">
        <v>0</v>
      </c>
      <c r="F1710" s="7" t="str">
        <f>IFERROR(
   INDEX(tbl_ProduitsRef[Prix Menu],MATCH(tbl_Ventes[[#This Row],[Produit]],tbl_ProduitsRef[Produit],0)),
   ""
)</f>
        <v/>
      </c>
      <c r="G1710" s="7">
        <f>tbl_Ventes[[#This Row],[Qté Vendue]] * IFERROR(_xlfn.XLOOKUP(tbl_Ventes[[#This Row],[Cde_Prdt]], tbl_Produits[Cde_Prdt], tbl_Produits[Prix Menu]), 0)</f>
        <v>0</v>
      </c>
      <c r="H1710" s="7">
        <f>IFERROR(_xlfn.XLOOKUP(tbl_Ventes[[#This Row],[Cde_Prdt]], tbl_Produits[Cde_Prdt], tbl_Produits[Coût Moyen Portion]), 0)</f>
        <v>0</v>
      </c>
      <c r="I1710" s="7">
        <f>tbl_Ventes[[#This Row],[Qté Vendue]] * tbl_Ventes[[#This Row],[CMP_par_portion]]</f>
        <v>0</v>
      </c>
      <c r="J1710" s="7">
        <f>tbl_Ventes[[#This Row],[CA ligne]] - tbl_Ventes[[#This Row],[Coût matière ligne]]</f>
        <v>0</v>
      </c>
      <c r="K1710" s="7" t="str">
        <f>IFERROR(INDEX(tbl_ProduitsRef[Famille], MATCH(tbl_Ventes[[#This Row],[Cde_Prdt]], tbl_Produits[Cde_Prdt], 0)), "")</f>
        <v/>
      </c>
    </row>
    <row r="1711" spans="1:11" x14ac:dyDescent="0.25">
      <c r="A1711" s="5"/>
      <c r="B1711" s="63" t="str">
        <f>IFERROR(TEXT(tbl_Ventes[[#This Row],[Date]],"mm-aaaa"),"")</f>
        <v>01-1900</v>
      </c>
      <c r="D1711" s="10" t="str">
        <f>IFERROR(
   INDEX(tbl_ProduitsRef[Cde_Prdt],MATCH(tbl_Ventes[[#This Row],[Produit]],tbl_ProduitsRef[Produit],0)),
   ""
)</f>
        <v/>
      </c>
      <c r="E1711" s="7">
        <v>0</v>
      </c>
      <c r="F1711" s="7" t="str">
        <f>IFERROR(
   INDEX(tbl_ProduitsRef[Prix Menu],MATCH(tbl_Ventes[[#This Row],[Produit]],tbl_ProduitsRef[Produit],0)),
   ""
)</f>
        <v/>
      </c>
      <c r="G1711" s="7">
        <f>tbl_Ventes[[#This Row],[Qté Vendue]] * IFERROR(_xlfn.XLOOKUP(tbl_Ventes[[#This Row],[Cde_Prdt]], tbl_Produits[Cde_Prdt], tbl_Produits[Prix Menu]), 0)</f>
        <v>0</v>
      </c>
      <c r="H1711" s="7">
        <f>IFERROR(_xlfn.XLOOKUP(tbl_Ventes[[#This Row],[Cde_Prdt]], tbl_Produits[Cde_Prdt], tbl_Produits[Coût Moyen Portion]), 0)</f>
        <v>0</v>
      </c>
      <c r="I1711" s="7">
        <f>tbl_Ventes[[#This Row],[Qté Vendue]] * tbl_Ventes[[#This Row],[CMP_par_portion]]</f>
        <v>0</v>
      </c>
      <c r="J1711" s="7">
        <f>tbl_Ventes[[#This Row],[CA ligne]] - tbl_Ventes[[#This Row],[Coût matière ligne]]</f>
        <v>0</v>
      </c>
      <c r="K1711" s="7" t="str">
        <f>IFERROR(INDEX(tbl_ProduitsRef[Famille], MATCH(tbl_Ventes[[#This Row],[Cde_Prdt]], tbl_Produits[Cde_Prdt], 0)), "")</f>
        <v/>
      </c>
    </row>
    <row r="1712" spans="1:11" x14ac:dyDescent="0.25">
      <c r="A1712" s="5"/>
      <c r="B1712" s="63" t="str">
        <f>IFERROR(TEXT(tbl_Ventes[[#This Row],[Date]],"mm-aaaa"),"")</f>
        <v>01-1900</v>
      </c>
      <c r="D1712" s="10" t="str">
        <f>IFERROR(
   INDEX(tbl_ProduitsRef[Cde_Prdt],MATCH(tbl_Ventes[[#This Row],[Produit]],tbl_ProduitsRef[Produit],0)),
   ""
)</f>
        <v/>
      </c>
      <c r="E1712" s="7">
        <v>0</v>
      </c>
      <c r="F1712" s="7" t="str">
        <f>IFERROR(
   INDEX(tbl_ProduitsRef[Prix Menu],MATCH(tbl_Ventes[[#This Row],[Produit]],tbl_ProduitsRef[Produit],0)),
   ""
)</f>
        <v/>
      </c>
      <c r="G1712" s="7">
        <f>tbl_Ventes[[#This Row],[Qté Vendue]] * IFERROR(_xlfn.XLOOKUP(tbl_Ventes[[#This Row],[Cde_Prdt]], tbl_Produits[Cde_Prdt], tbl_Produits[Prix Menu]), 0)</f>
        <v>0</v>
      </c>
      <c r="H1712" s="7">
        <f>IFERROR(_xlfn.XLOOKUP(tbl_Ventes[[#This Row],[Cde_Prdt]], tbl_Produits[Cde_Prdt], tbl_Produits[Coût Moyen Portion]), 0)</f>
        <v>0</v>
      </c>
      <c r="I1712" s="7">
        <f>tbl_Ventes[[#This Row],[Qté Vendue]] * tbl_Ventes[[#This Row],[CMP_par_portion]]</f>
        <v>0</v>
      </c>
      <c r="J1712" s="7">
        <f>tbl_Ventes[[#This Row],[CA ligne]] - tbl_Ventes[[#This Row],[Coût matière ligne]]</f>
        <v>0</v>
      </c>
      <c r="K1712" s="7" t="str">
        <f>IFERROR(INDEX(tbl_ProduitsRef[Famille], MATCH(tbl_Ventes[[#This Row],[Cde_Prdt]], tbl_Produits[Cde_Prdt], 0)), "")</f>
        <v/>
      </c>
    </row>
    <row r="1713" spans="1:11" x14ac:dyDescent="0.25">
      <c r="A1713" s="5"/>
      <c r="B1713" s="63" t="str">
        <f>IFERROR(TEXT(tbl_Ventes[[#This Row],[Date]],"mm-aaaa"),"")</f>
        <v>01-1900</v>
      </c>
      <c r="D1713" s="10" t="str">
        <f>IFERROR(
   INDEX(tbl_ProduitsRef[Cde_Prdt],MATCH(tbl_Ventes[[#This Row],[Produit]],tbl_ProduitsRef[Produit],0)),
   ""
)</f>
        <v/>
      </c>
      <c r="E1713" s="7">
        <v>0</v>
      </c>
      <c r="F1713" s="7" t="str">
        <f>IFERROR(
   INDEX(tbl_ProduitsRef[Prix Menu],MATCH(tbl_Ventes[[#This Row],[Produit]],tbl_ProduitsRef[Produit],0)),
   ""
)</f>
        <v/>
      </c>
      <c r="G1713" s="7">
        <f>tbl_Ventes[[#This Row],[Qté Vendue]] * IFERROR(_xlfn.XLOOKUP(tbl_Ventes[[#This Row],[Cde_Prdt]], tbl_Produits[Cde_Prdt], tbl_Produits[Prix Menu]), 0)</f>
        <v>0</v>
      </c>
      <c r="H1713" s="7">
        <f>IFERROR(_xlfn.XLOOKUP(tbl_Ventes[[#This Row],[Cde_Prdt]], tbl_Produits[Cde_Prdt], tbl_Produits[Coût Moyen Portion]), 0)</f>
        <v>0</v>
      </c>
      <c r="I1713" s="7">
        <f>tbl_Ventes[[#This Row],[Qté Vendue]] * tbl_Ventes[[#This Row],[CMP_par_portion]]</f>
        <v>0</v>
      </c>
      <c r="J1713" s="7">
        <f>tbl_Ventes[[#This Row],[CA ligne]] - tbl_Ventes[[#This Row],[Coût matière ligne]]</f>
        <v>0</v>
      </c>
      <c r="K1713" s="7" t="str">
        <f>IFERROR(INDEX(tbl_ProduitsRef[Famille], MATCH(tbl_Ventes[[#This Row],[Cde_Prdt]], tbl_Produits[Cde_Prdt], 0)), "")</f>
        <v/>
      </c>
    </row>
    <row r="1714" spans="1:11" x14ac:dyDescent="0.25">
      <c r="A1714" s="5"/>
      <c r="B1714" s="63" t="str">
        <f>IFERROR(TEXT(tbl_Ventes[[#This Row],[Date]],"mm-aaaa"),"")</f>
        <v>01-1900</v>
      </c>
      <c r="D1714" s="10" t="str">
        <f>IFERROR(
   INDEX(tbl_ProduitsRef[Cde_Prdt],MATCH(tbl_Ventes[[#This Row],[Produit]],tbl_ProduitsRef[Produit],0)),
   ""
)</f>
        <v/>
      </c>
      <c r="E1714" s="7">
        <v>0</v>
      </c>
      <c r="F1714" s="7" t="str">
        <f>IFERROR(
   INDEX(tbl_ProduitsRef[Prix Menu],MATCH(tbl_Ventes[[#This Row],[Produit]],tbl_ProduitsRef[Produit],0)),
   ""
)</f>
        <v/>
      </c>
      <c r="G1714" s="7">
        <f>tbl_Ventes[[#This Row],[Qté Vendue]] * IFERROR(_xlfn.XLOOKUP(tbl_Ventes[[#This Row],[Cde_Prdt]], tbl_Produits[Cde_Prdt], tbl_Produits[Prix Menu]), 0)</f>
        <v>0</v>
      </c>
      <c r="H1714" s="7">
        <f>IFERROR(_xlfn.XLOOKUP(tbl_Ventes[[#This Row],[Cde_Prdt]], tbl_Produits[Cde_Prdt], tbl_Produits[Coût Moyen Portion]), 0)</f>
        <v>0</v>
      </c>
      <c r="I1714" s="7">
        <f>tbl_Ventes[[#This Row],[Qté Vendue]] * tbl_Ventes[[#This Row],[CMP_par_portion]]</f>
        <v>0</v>
      </c>
      <c r="J1714" s="7">
        <f>tbl_Ventes[[#This Row],[CA ligne]] - tbl_Ventes[[#This Row],[Coût matière ligne]]</f>
        <v>0</v>
      </c>
      <c r="K1714" s="7" t="str">
        <f>IFERROR(INDEX(tbl_ProduitsRef[Famille], MATCH(tbl_Ventes[[#This Row],[Cde_Prdt]], tbl_Produits[Cde_Prdt], 0)), "")</f>
        <v/>
      </c>
    </row>
    <row r="1715" spans="1:11" x14ac:dyDescent="0.25">
      <c r="A1715" s="5"/>
      <c r="B1715" s="63" t="str">
        <f>IFERROR(TEXT(tbl_Ventes[[#This Row],[Date]],"mm-aaaa"),"")</f>
        <v>01-1900</v>
      </c>
      <c r="D1715" s="10" t="str">
        <f>IFERROR(
   INDEX(tbl_ProduitsRef[Cde_Prdt],MATCH(tbl_Ventes[[#This Row],[Produit]],tbl_ProduitsRef[Produit],0)),
   ""
)</f>
        <v/>
      </c>
      <c r="E1715" s="7">
        <v>0</v>
      </c>
      <c r="F1715" s="7" t="str">
        <f>IFERROR(
   INDEX(tbl_ProduitsRef[Prix Menu],MATCH(tbl_Ventes[[#This Row],[Produit]],tbl_ProduitsRef[Produit],0)),
   ""
)</f>
        <v/>
      </c>
      <c r="G1715" s="7">
        <f>tbl_Ventes[[#This Row],[Qté Vendue]] * IFERROR(_xlfn.XLOOKUP(tbl_Ventes[[#This Row],[Cde_Prdt]], tbl_Produits[Cde_Prdt], tbl_Produits[Prix Menu]), 0)</f>
        <v>0</v>
      </c>
      <c r="H1715" s="7">
        <f>IFERROR(_xlfn.XLOOKUP(tbl_Ventes[[#This Row],[Cde_Prdt]], tbl_Produits[Cde_Prdt], tbl_Produits[Coût Moyen Portion]), 0)</f>
        <v>0</v>
      </c>
      <c r="I1715" s="7">
        <f>tbl_Ventes[[#This Row],[Qté Vendue]] * tbl_Ventes[[#This Row],[CMP_par_portion]]</f>
        <v>0</v>
      </c>
      <c r="J1715" s="7">
        <f>tbl_Ventes[[#This Row],[CA ligne]] - tbl_Ventes[[#This Row],[Coût matière ligne]]</f>
        <v>0</v>
      </c>
      <c r="K1715" s="7" t="str">
        <f>IFERROR(INDEX(tbl_ProduitsRef[Famille], MATCH(tbl_Ventes[[#This Row],[Cde_Prdt]], tbl_Produits[Cde_Prdt], 0)), "")</f>
        <v/>
      </c>
    </row>
    <row r="1716" spans="1:11" x14ac:dyDescent="0.25">
      <c r="A1716" s="5"/>
      <c r="B1716" s="63" t="str">
        <f>IFERROR(TEXT(tbl_Ventes[[#This Row],[Date]],"mm-aaaa"),"")</f>
        <v>01-1900</v>
      </c>
      <c r="D1716" s="10" t="str">
        <f>IFERROR(
   INDEX(tbl_ProduitsRef[Cde_Prdt],MATCH(tbl_Ventes[[#This Row],[Produit]],tbl_ProduitsRef[Produit],0)),
   ""
)</f>
        <v/>
      </c>
      <c r="E1716" s="7">
        <v>0</v>
      </c>
      <c r="F1716" s="7" t="str">
        <f>IFERROR(
   INDEX(tbl_ProduitsRef[Prix Menu],MATCH(tbl_Ventes[[#This Row],[Produit]],tbl_ProduitsRef[Produit],0)),
   ""
)</f>
        <v/>
      </c>
      <c r="G1716" s="7">
        <f>tbl_Ventes[[#This Row],[Qté Vendue]] * IFERROR(_xlfn.XLOOKUP(tbl_Ventes[[#This Row],[Cde_Prdt]], tbl_Produits[Cde_Prdt], tbl_Produits[Prix Menu]), 0)</f>
        <v>0</v>
      </c>
      <c r="H1716" s="7">
        <f>IFERROR(_xlfn.XLOOKUP(tbl_Ventes[[#This Row],[Cde_Prdt]], tbl_Produits[Cde_Prdt], tbl_Produits[Coût Moyen Portion]), 0)</f>
        <v>0</v>
      </c>
      <c r="I1716" s="7">
        <f>tbl_Ventes[[#This Row],[Qté Vendue]] * tbl_Ventes[[#This Row],[CMP_par_portion]]</f>
        <v>0</v>
      </c>
      <c r="J1716" s="7">
        <f>tbl_Ventes[[#This Row],[CA ligne]] - tbl_Ventes[[#This Row],[Coût matière ligne]]</f>
        <v>0</v>
      </c>
      <c r="K1716" s="7" t="str">
        <f>IFERROR(INDEX(tbl_ProduitsRef[Famille], MATCH(tbl_Ventes[[#This Row],[Cde_Prdt]], tbl_Produits[Cde_Prdt], 0)), "")</f>
        <v/>
      </c>
    </row>
    <row r="1717" spans="1:11" x14ac:dyDescent="0.25">
      <c r="A1717" s="5"/>
      <c r="B1717" s="63" t="str">
        <f>IFERROR(TEXT(tbl_Ventes[[#This Row],[Date]],"mm-aaaa"),"")</f>
        <v>01-1900</v>
      </c>
      <c r="D1717" s="10" t="str">
        <f>IFERROR(
   INDEX(tbl_ProduitsRef[Cde_Prdt],MATCH(tbl_Ventes[[#This Row],[Produit]],tbl_ProduitsRef[Produit],0)),
   ""
)</f>
        <v/>
      </c>
      <c r="E1717" s="7">
        <v>0</v>
      </c>
      <c r="F1717" s="7" t="str">
        <f>IFERROR(
   INDEX(tbl_ProduitsRef[Prix Menu],MATCH(tbl_Ventes[[#This Row],[Produit]],tbl_ProduitsRef[Produit],0)),
   ""
)</f>
        <v/>
      </c>
      <c r="G1717" s="7">
        <f>tbl_Ventes[[#This Row],[Qté Vendue]] * IFERROR(_xlfn.XLOOKUP(tbl_Ventes[[#This Row],[Cde_Prdt]], tbl_Produits[Cde_Prdt], tbl_Produits[Prix Menu]), 0)</f>
        <v>0</v>
      </c>
      <c r="H1717" s="7">
        <f>IFERROR(_xlfn.XLOOKUP(tbl_Ventes[[#This Row],[Cde_Prdt]], tbl_Produits[Cde_Prdt], tbl_Produits[Coût Moyen Portion]), 0)</f>
        <v>0</v>
      </c>
      <c r="I1717" s="7">
        <f>tbl_Ventes[[#This Row],[Qté Vendue]] * tbl_Ventes[[#This Row],[CMP_par_portion]]</f>
        <v>0</v>
      </c>
      <c r="J1717" s="7">
        <f>tbl_Ventes[[#This Row],[CA ligne]] - tbl_Ventes[[#This Row],[Coût matière ligne]]</f>
        <v>0</v>
      </c>
      <c r="K1717" s="7" t="str">
        <f>IFERROR(INDEX(tbl_ProduitsRef[Famille], MATCH(tbl_Ventes[[#This Row],[Cde_Prdt]], tbl_Produits[Cde_Prdt], 0)), "")</f>
        <v/>
      </c>
    </row>
    <row r="1718" spans="1:11" x14ac:dyDescent="0.25">
      <c r="A1718" s="5"/>
      <c r="B1718" s="63" t="str">
        <f>IFERROR(TEXT(tbl_Ventes[[#This Row],[Date]],"mm-aaaa"),"")</f>
        <v>01-1900</v>
      </c>
      <c r="D1718" s="10" t="str">
        <f>IFERROR(
   INDEX(tbl_ProduitsRef[Cde_Prdt],MATCH(tbl_Ventes[[#This Row],[Produit]],tbl_ProduitsRef[Produit],0)),
   ""
)</f>
        <v/>
      </c>
      <c r="E1718" s="7">
        <v>0</v>
      </c>
      <c r="F1718" s="7" t="str">
        <f>IFERROR(
   INDEX(tbl_ProduitsRef[Prix Menu],MATCH(tbl_Ventes[[#This Row],[Produit]],tbl_ProduitsRef[Produit],0)),
   ""
)</f>
        <v/>
      </c>
      <c r="G1718" s="7">
        <f>tbl_Ventes[[#This Row],[Qté Vendue]] * IFERROR(_xlfn.XLOOKUP(tbl_Ventes[[#This Row],[Cde_Prdt]], tbl_Produits[Cde_Prdt], tbl_Produits[Prix Menu]), 0)</f>
        <v>0</v>
      </c>
      <c r="H1718" s="7">
        <f>IFERROR(_xlfn.XLOOKUP(tbl_Ventes[[#This Row],[Cde_Prdt]], tbl_Produits[Cde_Prdt], tbl_Produits[Coût Moyen Portion]), 0)</f>
        <v>0</v>
      </c>
      <c r="I1718" s="7">
        <f>tbl_Ventes[[#This Row],[Qté Vendue]] * tbl_Ventes[[#This Row],[CMP_par_portion]]</f>
        <v>0</v>
      </c>
      <c r="J1718" s="7">
        <f>tbl_Ventes[[#This Row],[CA ligne]] - tbl_Ventes[[#This Row],[Coût matière ligne]]</f>
        <v>0</v>
      </c>
      <c r="K1718" s="7" t="str">
        <f>IFERROR(INDEX(tbl_ProduitsRef[Famille], MATCH(tbl_Ventes[[#This Row],[Cde_Prdt]], tbl_Produits[Cde_Prdt], 0)), "")</f>
        <v/>
      </c>
    </row>
    <row r="1719" spans="1:11" x14ac:dyDescent="0.25">
      <c r="A1719" s="5"/>
      <c r="B1719" s="63" t="str">
        <f>IFERROR(TEXT(tbl_Ventes[[#This Row],[Date]],"mm-aaaa"),"")</f>
        <v>01-1900</v>
      </c>
      <c r="D1719" s="10" t="str">
        <f>IFERROR(
   INDEX(tbl_ProduitsRef[Cde_Prdt],MATCH(tbl_Ventes[[#This Row],[Produit]],tbl_ProduitsRef[Produit],0)),
   ""
)</f>
        <v/>
      </c>
      <c r="E1719" s="7">
        <v>0</v>
      </c>
      <c r="F1719" s="7" t="str">
        <f>IFERROR(
   INDEX(tbl_ProduitsRef[Prix Menu],MATCH(tbl_Ventes[[#This Row],[Produit]],tbl_ProduitsRef[Produit],0)),
   ""
)</f>
        <v/>
      </c>
      <c r="G1719" s="7">
        <f>tbl_Ventes[[#This Row],[Qté Vendue]] * IFERROR(_xlfn.XLOOKUP(tbl_Ventes[[#This Row],[Cde_Prdt]], tbl_Produits[Cde_Prdt], tbl_Produits[Prix Menu]), 0)</f>
        <v>0</v>
      </c>
      <c r="H1719" s="7">
        <f>IFERROR(_xlfn.XLOOKUP(tbl_Ventes[[#This Row],[Cde_Prdt]], tbl_Produits[Cde_Prdt], tbl_Produits[Coût Moyen Portion]), 0)</f>
        <v>0</v>
      </c>
      <c r="I1719" s="7">
        <f>tbl_Ventes[[#This Row],[Qté Vendue]] * tbl_Ventes[[#This Row],[CMP_par_portion]]</f>
        <v>0</v>
      </c>
      <c r="J1719" s="7">
        <f>tbl_Ventes[[#This Row],[CA ligne]] - tbl_Ventes[[#This Row],[Coût matière ligne]]</f>
        <v>0</v>
      </c>
      <c r="K1719" s="7" t="str">
        <f>IFERROR(INDEX(tbl_ProduitsRef[Famille], MATCH(tbl_Ventes[[#This Row],[Cde_Prdt]], tbl_Produits[Cde_Prdt], 0)), "")</f>
        <v/>
      </c>
    </row>
    <row r="1720" spans="1:11" x14ac:dyDescent="0.25">
      <c r="A1720" s="5"/>
      <c r="B1720" s="63" t="str">
        <f>IFERROR(TEXT(tbl_Ventes[[#This Row],[Date]],"mm-aaaa"),"")</f>
        <v>01-1900</v>
      </c>
      <c r="D1720" s="10" t="str">
        <f>IFERROR(
   INDEX(tbl_ProduitsRef[Cde_Prdt],MATCH(tbl_Ventes[[#This Row],[Produit]],tbl_ProduitsRef[Produit],0)),
   ""
)</f>
        <v/>
      </c>
      <c r="E1720" s="7">
        <v>0</v>
      </c>
      <c r="F1720" s="7" t="str">
        <f>IFERROR(
   INDEX(tbl_ProduitsRef[Prix Menu],MATCH(tbl_Ventes[[#This Row],[Produit]],tbl_ProduitsRef[Produit],0)),
   ""
)</f>
        <v/>
      </c>
      <c r="G1720" s="7">
        <f>tbl_Ventes[[#This Row],[Qté Vendue]] * IFERROR(_xlfn.XLOOKUP(tbl_Ventes[[#This Row],[Cde_Prdt]], tbl_Produits[Cde_Prdt], tbl_Produits[Prix Menu]), 0)</f>
        <v>0</v>
      </c>
      <c r="H1720" s="7">
        <f>IFERROR(_xlfn.XLOOKUP(tbl_Ventes[[#This Row],[Cde_Prdt]], tbl_Produits[Cde_Prdt], tbl_Produits[Coût Moyen Portion]), 0)</f>
        <v>0</v>
      </c>
      <c r="I1720" s="7">
        <f>tbl_Ventes[[#This Row],[Qté Vendue]] * tbl_Ventes[[#This Row],[CMP_par_portion]]</f>
        <v>0</v>
      </c>
      <c r="J1720" s="7">
        <f>tbl_Ventes[[#This Row],[CA ligne]] - tbl_Ventes[[#This Row],[Coût matière ligne]]</f>
        <v>0</v>
      </c>
      <c r="K1720" s="7" t="str">
        <f>IFERROR(INDEX(tbl_ProduitsRef[Famille], MATCH(tbl_Ventes[[#This Row],[Cde_Prdt]], tbl_Produits[Cde_Prdt], 0)), "")</f>
        <v/>
      </c>
    </row>
    <row r="1721" spans="1:11" x14ac:dyDescent="0.25">
      <c r="A1721" s="5"/>
      <c r="B1721" s="63" t="str">
        <f>IFERROR(TEXT(tbl_Ventes[[#This Row],[Date]],"mm-aaaa"),"")</f>
        <v>01-1900</v>
      </c>
      <c r="D1721" s="10" t="str">
        <f>IFERROR(
   INDEX(tbl_ProduitsRef[Cde_Prdt],MATCH(tbl_Ventes[[#This Row],[Produit]],tbl_ProduitsRef[Produit],0)),
   ""
)</f>
        <v/>
      </c>
      <c r="E1721" s="7">
        <v>0</v>
      </c>
      <c r="F1721" s="7" t="str">
        <f>IFERROR(
   INDEX(tbl_ProduitsRef[Prix Menu],MATCH(tbl_Ventes[[#This Row],[Produit]],tbl_ProduitsRef[Produit],0)),
   ""
)</f>
        <v/>
      </c>
      <c r="G1721" s="7">
        <f>tbl_Ventes[[#This Row],[Qté Vendue]] * IFERROR(_xlfn.XLOOKUP(tbl_Ventes[[#This Row],[Cde_Prdt]], tbl_Produits[Cde_Prdt], tbl_Produits[Prix Menu]), 0)</f>
        <v>0</v>
      </c>
      <c r="H1721" s="7">
        <f>IFERROR(_xlfn.XLOOKUP(tbl_Ventes[[#This Row],[Cde_Prdt]], tbl_Produits[Cde_Prdt], tbl_Produits[Coût Moyen Portion]), 0)</f>
        <v>0</v>
      </c>
      <c r="I1721" s="7">
        <f>tbl_Ventes[[#This Row],[Qté Vendue]] * tbl_Ventes[[#This Row],[CMP_par_portion]]</f>
        <v>0</v>
      </c>
      <c r="J1721" s="7">
        <f>tbl_Ventes[[#This Row],[CA ligne]] - tbl_Ventes[[#This Row],[Coût matière ligne]]</f>
        <v>0</v>
      </c>
      <c r="K1721" s="7" t="str">
        <f>IFERROR(INDEX(tbl_ProduitsRef[Famille], MATCH(tbl_Ventes[[#This Row],[Cde_Prdt]], tbl_Produits[Cde_Prdt], 0)), "")</f>
        <v/>
      </c>
    </row>
    <row r="1722" spans="1:11" x14ac:dyDescent="0.25">
      <c r="A1722" s="5"/>
      <c r="B1722" s="63" t="str">
        <f>IFERROR(TEXT(tbl_Ventes[[#This Row],[Date]],"mm-aaaa"),"")</f>
        <v>01-1900</v>
      </c>
      <c r="D1722" s="10" t="str">
        <f>IFERROR(
   INDEX(tbl_ProduitsRef[Cde_Prdt],MATCH(tbl_Ventes[[#This Row],[Produit]],tbl_ProduitsRef[Produit],0)),
   ""
)</f>
        <v/>
      </c>
      <c r="E1722" s="7">
        <v>0</v>
      </c>
      <c r="F1722" s="7" t="str">
        <f>IFERROR(
   INDEX(tbl_ProduitsRef[Prix Menu],MATCH(tbl_Ventes[[#This Row],[Produit]],tbl_ProduitsRef[Produit],0)),
   ""
)</f>
        <v/>
      </c>
      <c r="G1722" s="7">
        <f>tbl_Ventes[[#This Row],[Qté Vendue]] * IFERROR(_xlfn.XLOOKUP(tbl_Ventes[[#This Row],[Cde_Prdt]], tbl_Produits[Cde_Prdt], tbl_Produits[Prix Menu]), 0)</f>
        <v>0</v>
      </c>
      <c r="H1722" s="7">
        <f>IFERROR(_xlfn.XLOOKUP(tbl_Ventes[[#This Row],[Cde_Prdt]], tbl_Produits[Cde_Prdt], tbl_Produits[Coût Moyen Portion]), 0)</f>
        <v>0</v>
      </c>
      <c r="I1722" s="7">
        <f>tbl_Ventes[[#This Row],[Qté Vendue]] * tbl_Ventes[[#This Row],[CMP_par_portion]]</f>
        <v>0</v>
      </c>
      <c r="J1722" s="7">
        <f>tbl_Ventes[[#This Row],[CA ligne]] - tbl_Ventes[[#This Row],[Coût matière ligne]]</f>
        <v>0</v>
      </c>
      <c r="K1722" s="7" t="str">
        <f>IFERROR(INDEX(tbl_ProduitsRef[Famille], MATCH(tbl_Ventes[[#This Row],[Cde_Prdt]], tbl_Produits[Cde_Prdt], 0)), "")</f>
        <v/>
      </c>
    </row>
    <row r="1723" spans="1:11" x14ac:dyDescent="0.25">
      <c r="A1723" s="5"/>
      <c r="B1723" s="63" t="str">
        <f>IFERROR(TEXT(tbl_Ventes[[#This Row],[Date]],"mm-aaaa"),"")</f>
        <v>01-1900</v>
      </c>
      <c r="D1723" s="10" t="str">
        <f>IFERROR(
   INDEX(tbl_ProduitsRef[Cde_Prdt],MATCH(tbl_Ventes[[#This Row],[Produit]],tbl_ProduitsRef[Produit],0)),
   ""
)</f>
        <v/>
      </c>
      <c r="E1723" s="7">
        <v>0</v>
      </c>
      <c r="F1723" s="7" t="str">
        <f>IFERROR(
   INDEX(tbl_ProduitsRef[Prix Menu],MATCH(tbl_Ventes[[#This Row],[Produit]],tbl_ProduitsRef[Produit],0)),
   ""
)</f>
        <v/>
      </c>
      <c r="G1723" s="7">
        <f>tbl_Ventes[[#This Row],[Qté Vendue]] * IFERROR(_xlfn.XLOOKUP(tbl_Ventes[[#This Row],[Cde_Prdt]], tbl_Produits[Cde_Prdt], tbl_Produits[Prix Menu]), 0)</f>
        <v>0</v>
      </c>
      <c r="H1723" s="7">
        <f>IFERROR(_xlfn.XLOOKUP(tbl_Ventes[[#This Row],[Cde_Prdt]], tbl_Produits[Cde_Prdt], tbl_Produits[Coût Moyen Portion]), 0)</f>
        <v>0</v>
      </c>
      <c r="I1723" s="7">
        <f>tbl_Ventes[[#This Row],[Qté Vendue]] * tbl_Ventes[[#This Row],[CMP_par_portion]]</f>
        <v>0</v>
      </c>
      <c r="J1723" s="7">
        <f>tbl_Ventes[[#This Row],[CA ligne]] - tbl_Ventes[[#This Row],[Coût matière ligne]]</f>
        <v>0</v>
      </c>
      <c r="K1723" s="7" t="str">
        <f>IFERROR(INDEX(tbl_ProduitsRef[Famille], MATCH(tbl_Ventes[[#This Row],[Cde_Prdt]], tbl_Produits[Cde_Prdt], 0)), "")</f>
        <v/>
      </c>
    </row>
    <row r="1724" spans="1:11" x14ac:dyDescent="0.25">
      <c r="A1724" s="5"/>
      <c r="B1724" s="63" t="str">
        <f>IFERROR(TEXT(tbl_Ventes[[#This Row],[Date]],"mm-aaaa"),"")</f>
        <v>01-1900</v>
      </c>
      <c r="D1724" s="10" t="str">
        <f>IFERROR(
   INDEX(tbl_ProduitsRef[Cde_Prdt],MATCH(tbl_Ventes[[#This Row],[Produit]],tbl_ProduitsRef[Produit],0)),
   ""
)</f>
        <v/>
      </c>
      <c r="E1724" s="7">
        <v>0</v>
      </c>
      <c r="F1724" s="7" t="str">
        <f>IFERROR(
   INDEX(tbl_ProduitsRef[Prix Menu],MATCH(tbl_Ventes[[#This Row],[Produit]],tbl_ProduitsRef[Produit],0)),
   ""
)</f>
        <v/>
      </c>
      <c r="G1724" s="7">
        <f>tbl_Ventes[[#This Row],[Qté Vendue]] * IFERROR(_xlfn.XLOOKUP(tbl_Ventes[[#This Row],[Cde_Prdt]], tbl_Produits[Cde_Prdt], tbl_Produits[Prix Menu]), 0)</f>
        <v>0</v>
      </c>
      <c r="H1724" s="7">
        <f>IFERROR(_xlfn.XLOOKUP(tbl_Ventes[[#This Row],[Cde_Prdt]], tbl_Produits[Cde_Prdt], tbl_Produits[Coût Moyen Portion]), 0)</f>
        <v>0</v>
      </c>
      <c r="I1724" s="7">
        <f>tbl_Ventes[[#This Row],[Qté Vendue]] * tbl_Ventes[[#This Row],[CMP_par_portion]]</f>
        <v>0</v>
      </c>
      <c r="J1724" s="7">
        <f>tbl_Ventes[[#This Row],[CA ligne]] - tbl_Ventes[[#This Row],[Coût matière ligne]]</f>
        <v>0</v>
      </c>
      <c r="K1724" s="7" t="str">
        <f>IFERROR(INDEX(tbl_ProduitsRef[Famille], MATCH(tbl_Ventes[[#This Row],[Cde_Prdt]], tbl_Produits[Cde_Prdt], 0)), "")</f>
        <v/>
      </c>
    </row>
    <row r="1725" spans="1:11" x14ac:dyDescent="0.25">
      <c r="A1725" s="5"/>
      <c r="B1725" s="63" t="str">
        <f>IFERROR(TEXT(tbl_Ventes[[#This Row],[Date]],"mm-aaaa"),"")</f>
        <v>01-1900</v>
      </c>
      <c r="D1725" s="10" t="str">
        <f>IFERROR(
   INDEX(tbl_ProduitsRef[Cde_Prdt],MATCH(tbl_Ventes[[#This Row],[Produit]],tbl_ProduitsRef[Produit],0)),
   ""
)</f>
        <v/>
      </c>
      <c r="E1725" s="7">
        <v>0</v>
      </c>
      <c r="F1725" s="7" t="str">
        <f>IFERROR(
   INDEX(tbl_ProduitsRef[Prix Menu],MATCH(tbl_Ventes[[#This Row],[Produit]],tbl_ProduitsRef[Produit],0)),
   ""
)</f>
        <v/>
      </c>
      <c r="G1725" s="7">
        <f>tbl_Ventes[[#This Row],[Qté Vendue]] * IFERROR(_xlfn.XLOOKUP(tbl_Ventes[[#This Row],[Cde_Prdt]], tbl_Produits[Cde_Prdt], tbl_Produits[Prix Menu]), 0)</f>
        <v>0</v>
      </c>
      <c r="H1725" s="7">
        <f>IFERROR(_xlfn.XLOOKUP(tbl_Ventes[[#This Row],[Cde_Prdt]], tbl_Produits[Cde_Prdt], tbl_Produits[Coût Moyen Portion]), 0)</f>
        <v>0</v>
      </c>
      <c r="I1725" s="7">
        <f>tbl_Ventes[[#This Row],[Qté Vendue]] * tbl_Ventes[[#This Row],[CMP_par_portion]]</f>
        <v>0</v>
      </c>
      <c r="J1725" s="7">
        <f>tbl_Ventes[[#This Row],[CA ligne]] - tbl_Ventes[[#This Row],[Coût matière ligne]]</f>
        <v>0</v>
      </c>
      <c r="K1725" s="7" t="str">
        <f>IFERROR(INDEX(tbl_ProduitsRef[Famille], MATCH(tbl_Ventes[[#This Row],[Cde_Prdt]], tbl_Produits[Cde_Prdt], 0)), "")</f>
        <v/>
      </c>
    </row>
    <row r="1726" spans="1:11" x14ac:dyDescent="0.25">
      <c r="A1726" s="5"/>
      <c r="B1726" s="63" t="str">
        <f>IFERROR(TEXT(tbl_Ventes[[#This Row],[Date]],"mm-aaaa"),"")</f>
        <v>01-1900</v>
      </c>
      <c r="D1726" s="10" t="str">
        <f>IFERROR(
   INDEX(tbl_ProduitsRef[Cde_Prdt],MATCH(tbl_Ventes[[#This Row],[Produit]],tbl_ProduitsRef[Produit],0)),
   ""
)</f>
        <v/>
      </c>
      <c r="E1726" s="7">
        <v>0</v>
      </c>
      <c r="F1726" s="7" t="str">
        <f>IFERROR(
   INDEX(tbl_ProduitsRef[Prix Menu],MATCH(tbl_Ventes[[#This Row],[Produit]],tbl_ProduitsRef[Produit],0)),
   ""
)</f>
        <v/>
      </c>
      <c r="G1726" s="7">
        <f>tbl_Ventes[[#This Row],[Qté Vendue]] * IFERROR(_xlfn.XLOOKUP(tbl_Ventes[[#This Row],[Cde_Prdt]], tbl_Produits[Cde_Prdt], tbl_Produits[Prix Menu]), 0)</f>
        <v>0</v>
      </c>
      <c r="H1726" s="7">
        <f>IFERROR(_xlfn.XLOOKUP(tbl_Ventes[[#This Row],[Cde_Prdt]], tbl_Produits[Cde_Prdt], tbl_Produits[Coût Moyen Portion]), 0)</f>
        <v>0</v>
      </c>
      <c r="I1726" s="7">
        <f>tbl_Ventes[[#This Row],[Qté Vendue]] * tbl_Ventes[[#This Row],[CMP_par_portion]]</f>
        <v>0</v>
      </c>
      <c r="J1726" s="7">
        <f>tbl_Ventes[[#This Row],[CA ligne]] - tbl_Ventes[[#This Row],[Coût matière ligne]]</f>
        <v>0</v>
      </c>
      <c r="K1726" s="7" t="str">
        <f>IFERROR(INDEX(tbl_ProduitsRef[Famille], MATCH(tbl_Ventes[[#This Row],[Cde_Prdt]], tbl_Produits[Cde_Prdt], 0)), "")</f>
        <v/>
      </c>
    </row>
    <row r="1727" spans="1:11" x14ac:dyDescent="0.25">
      <c r="A1727" s="5"/>
      <c r="B1727" s="63" t="str">
        <f>IFERROR(TEXT(tbl_Ventes[[#This Row],[Date]],"mm-aaaa"),"")</f>
        <v>01-1900</v>
      </c>
      <c r="D1727" s="10" t="str">
        <f>IFERROR(
   INDEX(tbl_ProduitsRef[Cde_Prdt],MATCH(tbl_Ventes[[#This Row],[Produit]],tbl_ProduitsRef[Produit],0)),
   ""
)</f>
        <v/>
      </c>
      <c r="E1727" s="7">
        <v>0</v>
      </c>
      <c r="F1727" s="7" t="str">
        <f>IFERROR(
   INDEX(tbl_ProduitsRef[Prix Menu],MATCH(tbl_Ventes[[#This Row],[Produit]],tbl_ProduitsRef[Produit],0)),
   ""
)</f>
        <v/>
      </c>
      <c r="G1727" s="7">
        <f>tbl_Ventes[[#This Row],[Qté Vendue]] * IFERROR(_xlfn.XLOOKUP(tbl_Ventes[[#This Row],[Cde_Prdt]], tbl_Produits[Cde_Prdt], tbl_Produits[Prix Menu]), 0)</f>
        <v>0</v>
      </c>
      <c r="H1727" s="7">
        <f>IFERROR(_xlfn.XLOOKUP(tbl_Ventes[[#This Row],[Cde_Prdt]], tbl_Produits[Cde_Prdt], tbl_Produits[Coût Moyen Portion]), 0)</f>
        <v>0</v>
      </c>
      <c r="I1727" s="7">
        <f>tbl_Ventes[[#This Row],[Qté Vendue]] * tbl_Ventes[[#This Row],[CMP_par_portion]]</f>
        <v>0</v>
      </c>
      <c r="J1727" s="7">
        <f>tbl_Ventes[[#This Row],[CA ligne]] - tbl_Ventes[[#This Row],[Coût matière ligne]]</f>
        <v>0</v>
      </c>
      <c r="K1727" s="7" t="str">
        <f>IFERROR(INDEX(tbl_ProduitsRef[Famille], MATCH(tbl_Ventes[[#This Row],[Cde_Prdt]], tbl_Produits[Cde_Prdt], 0)), "")</f>
        <v/>
      </c>
    </row>
    <row r="1728" spans="1:11" x14ac:dyDescent="0.25">
      <c r="A1728" s="5"/>
      <c r="B1728" s="63" t="str">
        <f>IFERROR(TEXT(tbl_Ventes[[#This Row],[Date]],"mm-aaaa"),"")</f>
        <v>01-1900</v>
      </c>
      <c r="D1728" s="10" t="str">
        <f>IFERROR(
   INDEX(tbl_ProduitsRef[Cde_Prdt],MATCH(tbl_Ventes[[#This Row],[Produit]],tbl_ProduitsRef[Produit],0)),
   ""
)</f>
        <v/>
      </c>
      <c r="E1728" s="7">
        <v>0</v>
      </c>
      <c r="F1728" s="7" t="str">
        <f>IFERROR(
   INDEX(tbl_ProduitsRef[Prix Menu],MATCH(tbl_Ventes[[#This Row],[Produit]],tbl_ProduitsRef[Produit],0)),
   ""
)</f>
        <v/>
      </c>
      <c r="G1728" s="7">
        <f>tbl_Ventes[[#This Row],[Qté Vendue]] * IFERROR(_xlfn.XLOOKUP(tbl_Ventes[[#This Row],[Cde_Prdt]], tbl_Produits[Cde_Prdt], tbl_Produits[Prix Menu]), 0)</f>
        <v>0</v>
      </c>
      <c r="H1728" s="7">
        <f>IFERROR(_xlfn.XLOOKUP(tbl_Ventes[[#This Row],[Cde_Prdt]], tbl_Produits[Cde_Prdt], tbl_Produits[Coût Moyen Portion]), 0)</f>
        <v>0</v>
      </c>
      <c r="I1728" s="7">
        <f>tbl_Ventes[[#This Row],[Qté Vendue]] * tbl_Ventes[[#This Row],[CMP_par_portion]]</f>
        <v>0</v>
      </c>
      <c r="J1728" s="7">
        <f>tbl_Ventes[[#This Row],[CA ligne]] - tbl_Ventes[[#This Row],[Coût matière ligne]]</f>
        <v>0</v>
      </c>
      <c r="K1728" s="7" t="str">
        <f>IFERROR(INDEX(tbl_ProduitsRef[Famille], MATCH(tbl_Ventes[[#This Row],[Cde_Prdt]], tbl_Produits[Cde_Prdt], 0)), "")</f>
        <v/>
      </c>
    </row>
    <row r="1729" spans="1:11" x14ac:dyDescent="0.25">
      <c r="A1729" s="5"/>
      <c r="B1729" s="63" t="str">
        <f>IFERROR(TEXT(tbl_Ventes[[#This Row],[Date]],"mm-aaaa"),"")</f>
        <v>01-1900</v>
      </c>
      <c r="D1729" s="10" t="str">
        <f>IFERROR(
   INDEX(tbl_ProduitsRef[Cde_Prdt],MATCH(tbl_Ventes[[#This Row],[Produit]],tbl_ProduitsRef[Produit],0)),
   ""
)</f>
        <v/>
      </c>
      <c r="E1729" s="7">
        <v>0</v>
      </c>
      <c r="F1729" s="7" t="str">
        <f>IFERROR(
   INDEX(tbl_ProduitsRef[Prix Menu],MATCH(tbl_Ventes[[#This Row],[Produit]],tbl_ProduitsRef[Produit],0)),
   ""
)</f>
        <v/>
      </c>
      <c r="G1729" s="7">
        <f>tbl_Ventes[[#This Row],[Qté Vendue]] * IFERROR(_xlfn.XLOOKUP(tbl_Ventes[[#This Row],[Cde_Prdt]], tbl_Produits[Cde_Prdt], tbl_Produits[Prix Menu]), 0)</f>
        <v>0</v>
      </c>
      <c r="H1729" s="7">
        <f>IFERROR(_xlfn.XLOOKUP(tbl_Ventes[[#This Row],[Cde_Prdt]], tbl_Produits[Cde_Prdt], tbl_Produits[Coût Moyen Portion]), 0)</f>
        <v>0</v>
      </c>
      <c r="I1729" s="7">
        <f>tbl_Ventes[[#This Row],[Qté Vendue]] * tbl_Ventes[[#This Row],[CMP_par_portion]]</f>
        <v>0</v>
      </c>
      <c r="J1729" s="7">
        <f>tbl_Ventes[[#This Row],[CA ligne]] - tbl_Ventes[[#This Row],[Coût matière ligne]]</f>
        <v>0</v>
      </c>
      <c r="K1729" s="7" t="str">
        <f>IFERROR(INDEX(tbl_ProduitsRef[Famille], MATCH(tbl_Ventes[[#This Row],[Cde_Prdt]], tbl_Produits[Cde_Prdt], 0)), "")</f>
        <v/>
      </c>
    </row>
    <row r="1730" spans="1:11" x14ac:dyDescent="0.25">
      <c r="A1730" s="5"/>
      <c r="B1730" s="63" t="str">
        <f>IFERROR(TEXT(tbl_Ventes[[#This Row],[Date]],"mm-aaaa"),"")</f>
        <v>01-1900</v>
      </c>
      <c r="D1730" s="10" t="str">
        <f>IFERROR(
   INDEX(tbl_ProduitsRef[Cde_Prdt],MATCH(tbl_Ventes[[#This Row],[Produit]],tbl_ProduitsRef[Produit],0)),
   ""
)</f>
        <v/>
      </c>
      <c r="E1730" s="7">
        <v>0</v>
      </c>
      <c r="F1730" s="7" t="str">
        <f>IFERROR(
   INDEX(tbl_ProduitsRef[Prix Menu],MATCH(tbl_Ventes[[#This Row],[Produit]],tbl_ProduitsRef[Produit],0)),
   ""
)</f>
        <v/>
      </c>
      <c r="G1730" s="7">
        <f>tbl_Ventes[[#This Row],[Qté Vendue]] * IFERROR(_xlfn.XLOOKUP(tbl_Ventes[[#This Row],[Cde_Prdt]], tbl_Produits[Cde_Prdt], tbl_Produits[Prix Menu]), 0)</f>
        <v>0</v>
      </c>
      <c r="H1730" s="7">
        <f>IFERROR(_xlfn.XLOOKUP(tbl_Ventes[[#This Row],[Cde_Prdt]], tbl_Produits[Cde_Prdt], tbl_Produits[Coût Moyen Portion]), 0)</f>
        <v>0</v>
      </c>
      <c r="I1730" s="7">
        <f>tbl_Ventes[[#This Row],[Qté Vendue]] * tbl_Ventes[[#This Row],[CMP_par_portion]]</f>
        <v>0</v>
      </c>
      <c r="J1730" s="7">
        <f>tbl_Ventes[[#This Row],[CA ligne]] - tbl_Ventes[[#This Row],[Coût matière ligne]]</f>
        <v>0</v>
      </c>
      <c r="K1730" s="7" t="str">
        <f>IFERROR(INDEX(tbl_ProduitsRef[Famille], MATCH(tbl_Ventes[[#This Row],[Cde_Prdt]], tbl_Produits[Cde_Prdt], 0)), "")</f>
        <v/>
      </c>
    </row>
    <row r="1731" spans="1:11" x14ac:dyDescent="0.25">
      <c r="A1731" s="5"/>
      <c r="B1731" s="63" t="str">
        <f>IFERROR(TEXT(tbl_Ventes[[#This Row],[Date]],"mm-aaaa"),"")</f>
        <v>01-1900</v>
      </c>
      <c r="D1731" s="10" t="str">
        <f>IFERROR(
   INDEX(tbl_ProduitsRef[Cde_Prdt],MATCH(tbl_Ventes[[#This Row],[Produit]],tbl_ProduitsRef[Produit],0)),
   ""
)</f>
        <v/>
      </c>
      <c r="E1731" s="7">
        <v>0</v>
      </c>
      <c r="F1731" s="7" t="str">
        <f>IFERROR(
   INDEX(tbl_ProduitsRef[Prix Menu],MATCH(tbl_Ventes[[#This Row],[Produit]],tbl_ProduitsRef[Produit],0)),
   ""
)</f>
        <v/>
      </c>
      <c r="G1731" s="7">
        <f>tbl_Ventes[[#This Row],[Qté Vendue]] * IFERROR(_xlfn.XLOOKUP(tbl_Ventes[[#This Row],[Cde_Prdt]], tbl_Produits[Cde_Prdt], tbl_Produits[Prix Menu]), 0)</f>
        <v>0</v>
      </c>
      <c r="H1731" s="7">
        <f>IFERROR(_xlfn.XLOOKUP(tbl_Ventes[[#This Row],[Cde_Prdt]], tbl_Produits[Cde_Prdt], tbl_Produits[Coût Moyen Portion]), 0)</f>
        <v>0</v>
      </c>
      <c r="I1731" s="7">
        <f>tbl_Ventes[[#This Row],[Qté Vendue]] * tbl_Ventes[[#This Row],[CMP_par_portion]]</f>
        <v>0</v>
      </c>
      <c r="J1731" s="7">
        <f>tbl_Ventes[[#This Row],[CA ligne]] - tbl_Ventes[[#This Row],[Coût matière ligne]]</f>
        <v>0</v>
      </c>
      <c r="K1731" s="7" t="str">
        <f>IFERROR(INDEX(tbl_ProduitsRef[Famille], MATCH(tbl_Ventes[[#This Row],[Cde_Prdt]], tbl_Produits[Cde_Prdt], 0)), "")</f>
        <v/>
      </c>
    </row>
    <row r="1732" spans="1:11" x14ac:dyDescent="0.25">
      <c r="A1732" s="5"/>
      <c r="B1732" s="63" t="str">
        <f>IFERROR(TEXT(tbl_Ventes[[#This Row],[Date]],"mm-aaaa"),"")</f>
        <v>01-1900</v>
      </c>
      <c r="D1732" s="10" t="str">
        <f>IFERROR(
   INDEX(tbl_ProduitsRef[Cde_Prdt],MATCH(tbl_Ventes[[#This Row],[Produit]],tbl_ProduitsRef[Produit],0)),
   ""
)</f>
        <v/>
      </c>
      <c r="E1732" s="7">
        <v>0</v>
      </c>
      <c r="F1732" s="7" t="str">
        <f>IFERROR(
   INDEX(tbl_ProduitsRef[Prix Menu],MATCH(tbl_Ventes[[#This Row],[Produit]],tbl_ProduitsRef[Produit],0)),
   ""
)</f>
        <v/>
      </c>
      <c r="G1732" s="7">
        <f>tbl_Ventes[[#This Row],[Qté Vendue]] * IFERROR(_xlfn.XLOOKUP(tbl_Ventes[[#This Row],[Cde_Prdt]], tbl_Produits[Cde_Prdt], tbl_Produits[Prix Menu]), 0)</f>
        <v>0</v>
      </c>
      <c r="H1732" s="7">
        <f>IFERROR(_xlfn.XLOOKUP(tbl_Ventes[[#This Row],[Cde_Prdt]], tbl_Produits[Cde_Prdt], tbl_Produits[Coût Moyen Portion]), 0)</f>
        <v>0</v>
      </c>
      <c r="I1732" s="7">
        <f>tbl_Ventes[[#This Row],[Qté Vendue]] * tbl_Ventes[[#This Row],[CMP_par_portion]]</f>
        <v>0</v>
      </c>
      <c r="J1732" s="7">
        <f>tbl_Ventes[[#This Row],[CA ligne]] - tbl_Ventes[[#This Row],[Coût matière ligne]]</f>
        <v>0</v>
      </c>
      <c r="K1732" s="7" t="str">
        <f>IFERROR(INDEX(tbl_ProduitsRef[Famille], MATCH(tbl_Ventes[[#This Row],[Cde_Prdt]], tbl_Produits[Cde_Prdt], 0)), "")</f>
        <v/>
      </c>
    </row>
    <row r="1733" spans="1:11" x14ac:dyDescent="0.25">
      <c r="A1733" s="5"/>
      <c r="B1733" s="63" t="str">
        <f>IFERROR(TEXT(tbl_Ventes[[#This Row],[Date]],"mm-aaaa"),"")</f>
        <v>01-1900</v>
      </c>
      <c r="D1733" s="10" t="str">
        <f>IFERROR(
   INDEX(tbl_ProduitsRef[Cde_Prdt],MATCH(tbl_Ventes[[#This Row],[Produit]],tbl_ProduitsRef[Produit],0)),
   ""
)</f>
        <v/>
      </c>
      <c r="E1733" s="7">
        <v>0</v>
      </c>
      <c r="F1733" s="7" t="str">
        <f>IFERROR(
   INDEX(tbl_ProduitsRef[Prix Menu],MATCH(tbl_Ventes[[#This Row],[Produit]],tbl_ProduitsRef[Produit],0)),
   ""
)</f>
        <v/>
      </c>
      <c r="G1733" s="7">
        <f>tbl_Ventes[[#This Row],[Qté Vendue]] * IFERROR(_xlfn.XLOOKUP(tbl_Ventes[[#This Row],[Cde_Prdt]], tbl_Produits[Cde_Prdt], tbl_Produits[Prix Menu]), 0)</f>
        <v>0</v>
      </c>
      <c r="H1733" s="7">
        <f>IFERROR(_xlfn.XLOOKUP(tbl_Ventes[[#This Row],[Cde_Prdt]], tbl_Produits[Cde_Prdt], tbl_Produits[Coût Moyen Portion]), 0)</f>
        <v>0</v>
      </c>
      <c r="I1733" s="7">
        <f>tbl_Ventes[[#This Row],[Qté Vendue]] * tbl_Ventes[[#This Row],[CMP_par_portion]]</f>
        <v>0</v>
      </c>
      <c r="J1733" s="7">
        <f>tbl_Ventes[[#This Row],[CA ligne]] - tbl_Ventes[[#This Row],[Coût matière ligne]]</f>
        <v>0</v>
      </c>
      <c r="K1733" s="7" t="str">
        <f>IFERROR(INDEX(tbl_ProduitsRef[Famille], MATCH(tbl_Ventes[[#This Row],[Cde_Prdt]], tbl_Produits[Cde_Prdt], 0)), "")</f>
        <v/>
      </c>
    </row>
    <row r="1734" spans="1:11" x14ac:dyDescent="0.25">
      <c r="A1734" s="5"/>
      <c r="B1734" s="63" t="str">
        <f>IFERROR(TEXT(tbl_Ventes[[#This Row],[Date]],"mm-aaaa"),"")</f>
        <v>01-1900</v>
      </c>
      <c r="D1734" s="10" t="str">
        <f>IFERROR(
   INDEX(tbl_ProduitsRef[Cde_Prdt],MATCH(tbl_Ventes[[#This Row],[Produit]],tbl_ProduitsRef[Produit],0)),
   ""
)</f>
        <v/>
      </c>
      <c r="E1734" s="7">
        <v>0</v>
      </c>
      <c r="F1734" s="7" t="str">
        <f>IFERROR(
   INDEX(tbl_ProduitsRef[Prix Menu],MATCH(tbl_Ventes[[#This Row],[Produit]],tbl_ProduitsRef[Produit],0)),
   ""
)</f>
        <v/>
      </c>
      <c r="G1734" s="7">
        <f>tbl_Ventes[[#This Row],[Qté Vendue]] * IFERROR(_xlfn.XLOOKUP(tbl_Ventes[[#This Row],[Cde_Prdt]], tbl_Produits[Cde_Prdt], tbl_Produits[Prix Menu]), 0)</f>
        <v>0</v>
      </c>
      <c r="H1734" s="7">
        <f>IFERROR(_xlfn.XLOOKUP(tbl_Ventes[[#This Row],[Cde_Prdt]], tbl_Produits[Cde_Prdt], tbl_Produits[Coût Moyen Portion]), 0)</f>
        <v>0</v>
      </c>
      <c r="I1734" s="7">
        <f>tbl_Ventes[[#This Row],[Qté Vendue]] * tbl_Ventes[[#This Row],[CMP_par_portion]]</f>
        <v>0</v>
      </c>
      <c r="J1734" s="7">
        <f>tbl_Ventes[[#This Row],[CA ligne]] - tbl_Ventes[[#This Row],[Coût matière ligne]]</f>
        <v>0</v>
      </c>
      <c r="K1734" s="7" t="str">
        <f>IFERROR(INDEX(tbl_ProduitsRef[Famille], MATCH(tbl_Ventes[[#This Row],[Cde_Prdt]], tbl_Produits[Cde_Prdt], 0)), "")</f>
        <v/>
      </c>
    </row>
    <row r="1735" spans="1:11" x14ac:dyDescent="0.25">
      <c r="A1735" s="5"/>
      <c r="B1735" s="63" t="str">
        <f>IFERROR(TEXT(tbl_Ventes[[#This Row],[Date]],"mm-aaaa"),"")</f>
        <v>01-1900</v>
      </c>
      <c r="D1735" s="10" t="str">
        <f>IFERROR(
   INDEX(tbl_ProduitsRef[Cde_Prdt],MATCH(tbl_Ventes[[#This Row],[Produit]],tbl_ProduitsRef[Produit],0)),
   ""
)</f>
        <v/>
      </c>
      <c r="E1735" s="7">
        <v>0</v>
      </c>
      <c r="F1735" s="7" t="str">
        <f>IFERROR(
   INDEX(tbl_ProduitsRef[Prix Menu],MATCH(tbl_Ventes[[#This Row],[Produit]],tbl_ProduitsRef[Produit],0)),
   ""
)</f>
        <v/>
      </c>
      <c r="G1735" s="7">
        <f>tbl_Ventes[[#This Row],[Qté Vendue]] * IFERROR(_xlfn.XLOOKUP(tbl_Ventes[[#This Row],[Cde_Prdt]], tbl_Produits[Cde_Prdt], tbl_Produits[Prix Menu]), 0)</f>
        <v>0</v>
      </c>
      <c r="H1735" s="7">
        <f>IFERROR(_xlfn.XLOOKUP(tbl_Ventes[[#This Row],[Cde_Prdt]], tbl_Produits[Cde_Prdt], tbl_Produits[Coût Moyen Portion]), 0)</f>
        <v>0</v>
      </c>
      <c r="I1735" s="7">
        <f>tbl_Ventes[[#This Row],[Qté Vendue]] * tbl_Ventes[[#This Row],[CMP_par_portion]]</f>
        <v>0</v>
      </c>
      <c r="J1735" s="7">
        <f>tbl_Ventes[[#This Row],[CA ligne]] - tbl_Ventes[[#This Row],[Coût matière ligne]]</f>
        <v>0</v>
      </c>
      <c r="K1735" s="7" t="str">
        <f>IFERROR(INDEX(tbl_ProduitsRef[Famille], MATCH(tbl_Ventes[[#This Row],[Cde_Prdt]], tbl_Produits[Cde_Prdt], 0)), "")</f>
        <v/>
      </c>
    </row>
    <row r="1736" spans="1:11" x14ac:dyDescent="0.25">
      <c r="A1736" s="5"/>
      <c r="B1736" s="63" t="str">
        <f>IFERROR(TEXT(tbl_Ventes[[#This Row],[Date]],"mm-aaaa"),"")</f>
        <v>01-1900</v>
      </c>
      <c r="D1736" s="10" t="str">
        <f>IFERROR(
   INDEX(tbl_ProduitsRef[Cde_Prdt],MATCH(tbl_Ventes[[#This Row],[Produit]],tbl_ProduitsRef[Produit],0)),
   ""
)</f>
        <v/>
      </c>
      <c r="E1736" s="7">
        <v>0</v>
      </c>
      <c r="F1736" s="7" t="str">
        <f>IFERROR(
   INDEX(tbl_ProduitsRef[Prix Menu],MATCH(tbl_Ventes[[#This Row],[Produit]],tbl_ProduitsRef[Produit],0)),
   ""
)</f>
        <v/>
      </c>
      <c r="G1736" s="7">
        <f>tbl_Ventes[[#This Row],[Qté Vendue]] * IFERROR(_xlfn.XLOOKUP(tbl_Ventes[[#This Row],[Cde_Prdt]], tbl_Produits[Cde_Prdt], tbl_Produits[Prix Menu]), 0)</f>
        <v>0</v>
      </c>
      <c r="H1736" s="7">
        <f>IFERROR(_xlfn.XLOOKUP(tbl_Ventes[[#This Row],[Cde_Prdt]], tbl_Produits[Cde_Prdt], tbl_Produits[Coût Moyen Portion]), 0)</f>
        <v>0</v>
      </c>
      <c r="I1736" s="7">
        <f>tbl_Ventes[[#This Row],[Qté Vendue]] * tbl_Ventes[[#This Row],[CMP_par_portion]]</f>
        <v>0</v>
      </c>
      <c r="J1736" s="7">
        <f>tbl_Ventes[[#This Row],[CA ligne]] - tbl_Ventes[[#This Row],[Coût matière ligne]]</f>
        <v>0</v>
      </c>
      <c r="K1736" s="7" t="str">
        <f>IFERROR(INDEX(tbl_ProduitsRef[Famille], MATCH(tbl_Ventes[[#This Row],[Cde_Prdt]], tbl_Produits[Cde_Prdt], 0)), "")</f>
        <v/>
      </c>
    </row>
    <row r="1737" spans="1:11" x14ac:dyDescent="0.25">
      <c r="A1737" s="5"/>
      <c r="B1737" s="63" t="str">
        <f>IFERROR(TEXT(tbl_Ventes[[#This Row],[Date]],"mm-aaaa"),"")</f>
        <v>01-1900</v>
      </c>
      <c r="D1737" s="10" t="str">
        <f>IFERROR(
   INDEX(tbl_ProduitsRef[Cde_Prdt],MATCH(tbl_Ventes[[#This Row],[Produit]],tbl_ProduitsRef[Produit],0)),
   ""
)</f>
        <v/>
      </c>
      <c r="E1737" s="7">
        <v>0</v>
      </c>
      <c r="F1737" s="7" t="str">
        <f>IFERROR(
   INDEX(tbl_ProduitsRef[Prix Menu],MATCH(tbl_Ventes[[#This Row],[Produit]],tbl_ProduitsRef[Produit],0)),
   ""
)</f>
        <v/>
      </c>
      <c r="G1737" s="7">
        <f>tbl_Ventes[[#This Row],[Qté Vendue]] * IFERROR(_xlfn.XLOOKUP(tbl_Ventes[[#This Row],[Cde_Prdt]], tbl_Produits[Cde_Prdt], tbl_Produits[Prix Menu]), 0)</f>
        <v>0</v>
      </c>
      <c r="H1737" s="7">
        <f>IFERROR(_xlfn.XLOOKUP(tbl_Ventes[[#This Row],[Cde_Prdt]], tbl_Produits[Cde_Prdt], tbl_Produits[Coût Moyen Portion]), 0)</f>
        <v>0</v>
      </c>
      <c r="I1737" s="7">
        <f>tbl_Ventes[[#This Row],[Qté Vendue]] * tbl_Ventes[[#This Row],[CMP_par_portion]]</f>
        <v>0</v>
      </c>
      <c r="J1737" s="7">
        <f>tbl_Ventes[[#This Row],[CA ligne]] - tbl_Ventes[[#This Row],[Coût matière ligne]]</f>
        <v>0</v>
      </c>
      <c r="K1737" s="7" t="str">
        <f>IFERROR(INDEX(tbl_ProduitsRef[Famille], MATCH(tbl_Ventes[[#This Row],[Cde_Prdt]], tbl_Produits[Cde_Prdt], 0)), "")</f>
        <v/>
      </c>
    </row>
    <row r="1738" spans="1:11" x14ac:dyDescent="0.25">
      <c r="A1738" s="5"/>
      <c r="B1738" s="63" t="str">
        <f>IFERROR(TEXT(tbl_Ventes[[#This Row],[Date]],"mm-aaaa"),"")</f>
        <v>01-1900</v>
      </c>
      <c r="D1738" s="10" t="str">
        <f>IFERROR(
   INDEX(tbl_ProduitsRef[Cde_Prdt],MATCH(tbl_Ventes[[#This Row],[Produit]],tbl_ProduitsRef[Produit],0)),
   ""
)</f>
        <v/>
      </c>
      <c r="E1738" s="7">
        <v>0</v>
      </c>
      <c r="F1738" s="7" t="str">
        <f>IFERROR(
   INDEX(tbl_ProduitsRef[Prix Menu],MATCH(tbl_Ventes[[#This Row],[Produit]],tbl_ProduitsRef[Produit],0)),
   ""
)</f>
        <v/>
      </c>
      <c r="G1738" s="7">
        <f>tbl_Ventes[[#This Row],[Qté Vendue]] * IFERROR(_xlfn.XLOOKUP(tbl_Ventes[[#This Row],[Cde_Prdt]], tbl_Produits[Cde_Prdt], tbl_Produits[Prix Menu]), 0)</f>
        <v>0</v>
      </c>
      <c r="H1738" s="7">
        <f>IFERROR(_xlfn.XLOOKUP(tbl_Ventes[[#This Row],[Cde_Prdt]], tbl_Produits[Cde_Prdt], tbl_Produits[Coût Moyen Portion]), 0)</f>
        <v>0</v>
      </c>
      <c r="I1738" s="7">
        <f>tbl_Ventes[[#This Row],[Qté Vendue]] * tbl_Ventes[[#This Row],[CMP_par_portion]]</f>
        <v>0</v>
      </c>
      <c r="J1738" s="7">
        <f>tbl_Ventes[[#This Row],[CA ligne]] - tbl_Ventes[[#This Row],[Coût matière ligne]]</f>
        <v>0</v>
      </c>
      <c r="K1738" s="7" t="str">
        <f>IFERROR(INDEX(tbl_ProduitsRef[Famille], MATCH(tbl_Ventes[[#This Row],[Cde_Prdt]], tbl_Produits[Cde_Prdt], 0)), "")</f>
        <v/>
      </c>
    </row>
    <row r="1739" spans="1:11" x14ac:dyDescent="0.25">
      <c r="A1739" s="5"/>
      <c r="B1739" s="63" t="str">
        <f>IFERROR(TEXT(tbl_Ventes[[#This Row],[Date]],"mm-aaaa"),"")</f>
        <v>01-1900</v>
      </c>
      <c r="D1739" s="10" t="str">
        <f>IFERROR(
   INDEX(tbl_ProduitsRef[Cde_Prdt],MATCH(tbl_Ventes[[#This Row],[Produit]],tbl_ProduitsRef[Produit],0)),
   ""
)</f>
        <v/>
      </c>
      <c r="E1739" s="7">
        <v>0</v>
      </c>
      <c r="F1739" s="7" t="str">
        <f>IFERROR(
   INDEX(tbl_ProduitsRef[Prix Menu],MATCH(tbl_Ventes[[#This Row],[Produit]],tbl_ProduitsRef[Produit],0)),
   ""
)</f>
        <v/>
      </c>
      <c r="G1739" s="7">
        <f>tbl_Ventes[[#This Row],[Qté Vendue]] * IFERROR(_xlfn.XLOOKUP(tbl_Ventes[[#This Row],[Cde_Prdt]], tbl_Produits[Cde_Prdt], tbl_Produits[Prix Menu]), 0)</f>
        <v>0</v>
      </c>
      <c r="H1739" s="7">
        <f>IFERROR(_xlfn.XLOOKUP(tbl_Ventes[[#This Row],[Cde_Prdt]], tbl_Produits[Cde_Prdt], tbl_Produits[Coût Moyen Portion]), 0)</f>
        <v>0</v>
      </c>
      <c r="I1739" s="7">
        <f>tbl_Ventes[[#This Row],[Qté Vendue]] * tbl_Ventes[[#This Row],[CMP_par_portion]]</f>
        <v>0</v>
      </c>
      <c r="J1739" s="7">
        <f>tbl_Ventes[[#This Row],[CA ligne]] - tbl_Ventes[[#This Row],[Coût matière ligne]]</f>
        <v>0</v>
      </c>
      <c r="K1739" s="7" t="str">
        <f>IFERROR(INDEX(tbl_ProduitsRef[Famille], MATCH(tbl_Ventes[[#This Row],[Cde_Prdt]], tbl_Produits[Cde_Prdt], 0)), "")</f>
        <v/>
      </c>
    </row>
    <row r="1740" spans="1:11" x14ac:dyDescent="0.25">
      <c r="A1740" s="5"/>
      <c r="B1740" s="63" t="str">
        <f>IFERROR(TEXT(tbl_Ventes[[#This Row],[Date]],"mm-aaaa"),"")</f>
        <v>01-1900</v>
      </c>
      <c r="D1740" s="10" t="str">
        <f>IFERROR(
   INDEX(tbl_ProduitsRef[Cde_Prdt],MATCH(tbl_Ventes[[#This Row],[Produit]],tbl_ProduitsRef[Produit],0)),
   ""
)</f>
        <v/>
      </c>
      <c r="E1740" s="7">
        <v>0</v>
      </c>
      <c r="F1740" s="7" t="str">
        <f>IFERROR(
   INDEX(tbl_ProduitsRef[Prix Menu],MATCH(tbl_Ventes[[#This Row],[Produit]],tbl_ProduitsRef[Produit],0)),
   ""
)</f>
        <v/>
      </c>
      <c r="G1740" s="7">
        <f>tbl_Ventes[[#This Row],[Qté Vendue]] * IFERROR(_xlfn.XLOOKUP(tbl_Ventes[[#This Row],[Cde_Prdt]], tbl_Produits[Cde_Prdt], tbl_Produits[Prix Menu]), 0)</f>
        <v>0</v>
      </c>
      <c r="H1740" s="7">
        <f>IFERROR(_xlfn.XLOOKUP(tbl_Ventes[[#This Row],[Cde_Prdt]], tbl_Produits[Cde_Prdt], tbl_Produits[Coût Moyen Portion]), 0)</f>
        <v>0</v>
      </c>
      <c r="I1740" s="7">
        <f>tbl_Ventes[[#This Row],[Qté Vendue]] * tbl_Ventes[[#This Row],[CMP_par_portion]]</f>
        <v>0</v>
      </c>
      <c r="J1740" s="7">
        <f>tbl_Ventes[[#This Row],[CA ligne]] - tbl_Ventes[[#This Row],[Coût matière ligne]]</f>
        <v>0</v>
      </c>
      <c r="K1740" s="7" t="str">
        <f>IFERROR(INDEX(tbl_ProduitsRef[Famille], MATCH(tbl_Ventes[[#This Row],[Cde_Prdt]], tbl_Produits[Cde_Prdt], 0)), "")</f>
        <v/>
      </c>
    </row>
    <row r="1741" spans="1:11" x14ac:dyDescent="0.25">
      <c r="A1741" s="5"/>
      <c r="B1741" s="63" t="str">
        <f>IFERROR(TEXT(tbl_Ventes[[#This Row],[Date]],"mm-aaaa"),"")</f>
        <v>01-1900</v>
      </c>
      <c r="D1741" s="10" t="str">
        <f>IFERROR(
   INDEX(tbl_ProduitsRef[Cde_Prdt],MATCH(tbl_Ventes[[#This Row],[Produit]],tbl_ProduitsRef[Produit],0)),
   ""
)</f>
        <v/>
      </c>
      <c r="E1741" s="7">
        <v>0</v>
      </c>
      <c r="F1741" s="7" t="str">
        <f>IFERROR(
   INDEX(tbl_ProduitsRef[Prix Menu],MATCH(tbl_Ventes[[#This Row],[Produit]],tbl_ProduitsRef[Produit],0)),
   ""
)</f>
        <v/>
      </c>
      <c r="G1741" s="7">
        <f>tbl_Ventes[[#This Row],[Qté Vendue]] * IFERROR(_xlfn.XLOOKUP(tbl_Ventes[[#This Row],[Cde_Prdt]], tbl_Produits[Cde_Prdt], tbl_Produits[Prix Menu]), 0)</f>
        <v>0</v>
      </c>
      <c r="H1741" s="7">
        <f>IFERROR(_xlfn.XLOOKUP(tbl_Ventes[[#This Row],[Cde_Prdt]], tbl_Produits[Cde_Prdt], tbl_Produits[Coût Moyen Portion]), 0)</f>
        <v>0</v>
      </c>
      <c r="I1741" s="7">
        <f>tbl_Ventes[[#This Row],[Qté Vendue]] * tbl_Ventes[[#This Row],[CMP_par_portion]]</f>
        <v>0</v>
      </c>
      <c r="J1741" s="7">
        <f>tbl_Ventes[[#This Row],[CA ligne]] - tbl_Ventes[[#This Row],[Coût matière ligne]]</f>
        <v>0</v>
      </c>
      <c r="K1741" s="7" t="str">
        <f>IFERROR(INDEX(tbl_ProduitsRef[Famille], MATCH(tbl_Ventes[[#This Row],[Cde_Prdt]], tbl_Produits[Cde_Prdt], 0)), "")</f>
        <v/>
      </c>
    </row>
    <row r="1742" spans="1:11" x14ac:dyDescent="0.25">
      <c r="A1742" s="5"/>
      <c r="B1742" s="63" t="str">
        <f>IFERROR(TEXT(tbl_Ventes[[#This Row],[Date]],"mm-aaaa"),"")</f>
        <v>01-1900</v>
      </c>
      <c r="D1742" s="10" t="str">
        <f>IFERROR(
   INDEX(tbl_ProduitsRef[Cde_Prdt],MATCH(tbl_Ventes[[#This Row],[Produit]],tbl_ProduitsRef[Produit],0)),
   ""
)</f>
        <v/>
      </c>
      <c r="E1742" s="7">
        <v>0</v>
      </c>
      <c r="F1742" s="7" t="str">
        <f>IFERROR(
   INDEX(tbl_ProduitsRef[Prix Menu],MATCH(tbl_Ventes[[#This Row],[Produit]],tbl_ProduitsRef[Produit],0)),
   ""
)</f>
        <v/>
      </c>
      <c r="G1742" s="7">
        <f>tbl_Ventes[[#This Row],[Qté Vendue]] * IFERROR(_xlfn.XLOOKUP(tbl_Ventes[[#This Row],[Cde_Prdt]], tbl_Produits[Cde_Prdt], tbl_Produits[Prix Menu]), 0)</f>
        <v>0</v>
      </c>
      <c r="H1742" s="7">
        <f>IFERROR(_xlfn.XLOOKUP(tbl_Ventes[[#This Row],[Cde_Prdt]], tbl_Produits[Cde_Prdt], tbl_Produits[Coût Moyen Portion]), 0)</f>
        <v>0</v>
      </c>
      <c r="I1742" s="7">
        <f>tbl_Ventes[[#This Row],[Qté Vendue]] * tbl_Ventes[[#This Row],[CMP_par_portion]]</f>
        <v>0</v>
      </c>
      <c r="J1742" s="7">
        <f>tbl_Ventes[[#This Row],[CA ligne]] - tbl_Ventes[[#This Row],[Coût matière ligne]]</f>
        <v>0</v>
      </c>
      <c r="K1742" s="7" t="str">
        <f>IFERROR(INDEX(tbl_ProduitsRef[Famille], MATCH(tbl_Ventes[[#This Row],[Cde_Prdt]], tbl_Produits[Cde_Prdt], 0)), "")</f>
        <v/>
      </c>
    </row>
    <row r="1743" spans="1:11" x14ac:dyDescent="0.25">
      <c r="A1743" s="5"/>
      <c r="B1743" s="63" t="str">
        <f>IFERROR(TEXT(tbl_Ventes[[#This Row],[Date]],"mm-aaaa"),"")</f>
        <v>01-1900</v>
      </c>
      <c r="D1743" s="10" t="str">
        <f>IFERROR(
   INDEX(tbl_ProduitsRef[Cde_Prdt],MATCH(tbl_Ventes[[#This Row],[Produit]],tbl_ProduitsRef[Produit],0)),
   ""
)</f>
        <v/>
      </c>
      <c r="E1743" s="7">
        <v>0</v>
      </c>
      <c r="F1743" s="7" t="str">
        <f>IFERROR(
   INDEX(tbl_ProduitsRef[Prix Menu],MATCH(tbl_Ventes[[#This Row],[Produit]],tbl_ProduitsRef[Produit],0)),
   ""
)</f>
        <v/>
      </c>
      <c r="G1743" s="7">
        <f>tbl_Ventes[[#This Row],[Qté Vendue]] * IFERROR(_xlfn.XLOOKUP(tbl_Ventes[[#This Row],[Cde_Prdt]], tbl_Produits[Cde_Prdt], tbl_Produits[Prix Menu]), 0)</f>
        <v>0</v>
      </c>
      <c r="H1743" s="7">
        <f>IFERROR(_xlfn.XLOOKUP(tbl_Ventes[[#This Row],[Cde_Prdt]], tbl_Produits[Cde_Prdt], tbl_Produits[Coût Moyen Portion]), 0)</f>
        <v>0</v>
      </c>
      <c r="I1743" s="7">
        <f>tbl_Ventes[[#This Row],[Qté Vendue]] * tbl_Ventes[[#This Row],[CMP_par_portion]]</f>
        <v>0</v>
      </c>
      <c r="J1743" s="7">
        <f>tbl_Ventes[[#This Row],[CA ligne]] - tbl_Ventes[[#This Row],[Coût matière ligne]]</f>
        <v>0</v>
      </c>
      <c r="K1743" s="7" t="str">
        <f>IFERROR(INDEX(tbl_ProduitsRef[Famille], MATCH(tbl_Ventes[[#This Row],[Cde_Prdt]], tbl_Produits[Cde_Prdt], 0)), "")</f>
        <v/>
      </c>
    </row>
    <row r="1744" spans="1:11" x14ac:dyDescent="0.25">
      <c r="A1744" s="5"/>
      <c r="B1744" s="63" t="str">
        <f>IFERROR(TEXT(tbl_Ventes[[#This Row],[Date]],"mm-aaaa"),"")</f>
        <v>01-1900</v>
      </c>
      <c r="D1744" s="10" t="str">
        <f>IFERROR(
   INDEX(tbl_ProduitsRef[Cde_Prdt],MATCH(tbl_Ventes[[#This Row],[Produit]],tbl_ProduitsRef[Produit],0)),
   ""
)</f>
        <v/>
      </c>
      <c r="E1744" s="7">
        <v>0</v>
      </c>
      <c r="F1744" s="7" t="str">
        <f>IFERROR(
   INDEX(tbl_ProduitsRef[Prix Menu],MATCH(tbl_Ventes[[#This Row],[Produit]],tbl_ProduitsRef[Produit],0)),
   ""
)</f>
        <v/>
      </c>
      <c r="G1744" s="7">
        <f>tbl_Ventes[[#This Row],[Qté Vendue]] * IFERROR(_xlfn.XLOOKUP(tbl_Ventes[[#This Row],[Cde_Prdt]], tbl_Produits[Cde_Prdt], tbl_Produits[Prix Menu]), 0)</f>
        <v>0</v>
      </c>
      <c r="H1744" s="7">
        <f>IFERROR(_xlfn.XLOOKUP(tbl_Ventes[[#This Row],[Cde_Prdt]], tbl_Produits[Cde_Prdt], tbl_Produits[Coût Moyen Portion]), 0)</f>
        <v>0</v>
      </c>
      <c r="I1744" s="7">
        <f>tbl_Ventes[[#This Row],[Qté Vendue]] * tbl_Ventes[[#This Row],[CMP_par_portion]]</f>
        <v>0</v>
      </c>
      <c r="J1744" s="7">
        <f>tbl_Ventes[[#This Row],[CA ligne]] - tbl_Ventes[[#This Row],[Coût matière ligne]]</f>
        <v>0</v>
      </c>
      <c r="K1744" s="7" t="str">
        <f>IFERROR(INDEX(tbl_ProduitsRef[Famille], MATCH(tbl_Ventes[[#This Row],[Cde_Prdt]], tbl_Produits[Cde_Prdt], 0)), "")</f>
        <v/>
      </c>
    </row>
    <row r="1745" spans="1:11" x14ac:dyDescent="0.25">
      <c r="A1745" s="5"/>
      <c r="B1745" s="63" t="str">
        <f>IFERROR(TEXT(tbl_Ventes[[#This Row],[Date]],"mm-aaaa"),"")</f>
        <v>01-1900</v>
      </c>
      <c r="D1745" s="10" t="str">
        <f>IFERROR(
   INDEX(tbl_ProduitsRef[Cde_Prdt],MATCH(tbl_Ventes[[#This Row],[Produit]],tbl_ProduitsRef[Produit],0)),
   ""
)</f>
        <v/>
      </c>
      <c r="E1745" s="7">
        <v>0</v>
      </c>
      <c r="F1745" s="7" t="str">
        <f>IFERROR(
   INDEX(tbl_ProduitsRef[Prix Menu],MATCH(tbl_Ventes[[#This Row],[Produit]],tbl_ProduitsRef[Produit],0)),
   ""
)</f>
        <v/>
      </c>
      <c r="G1745" s="7">
        <f>tbl_Ventes[[#This Row],[Qté Vendue]] * IFERROR(_xlfn.XLOOKUP(tbl_Ventes[[#This Row],[Cde_Prdt]], tbl_Produits[Cde_Prdt], tbl_Produits[Prix Menu]), 0)</f>
        <v>0</v>
      </c>
      <c r="H1745" s="7">
        <f>IFERROR(_xlfn.XLOOKUP(tbl_Ventes[[#This Row],[Cde_Prdt]], tbl_Produits[Cde_Prdt], tbl_Produits[Coût Moyen Portion]), 0)</f>
        <v>0</v>
      </c>
      <c r="I1745" s="7">
        <f>tbl_Ventes[[#This Row],[Qté Vendue]] * tbl_Ventes[[#This Row],[CMP_par_portion]]</f>
        <v>0</v>
      </c>
      <c r="J1745" s="7">
        <f>tbl_Ventes[[#This Row],[CA ligne]] - tbl_Ventes[[#This Row],[Coût matière ligne]]</f>
        <v>0</v>
      </c>
      <c r="K1745" s="7" t="str">
        <f>IFERROR(INDEX(tbl_ProduitsRef[Famille], MATCH(tbl_Ventes[[#This Row],[Cde_Prdt]], tbl_Produits[Cde_Prdt], 0)), "")</f>
        <v/>
      </c>
    </row>
    <row r="1746" spans="1:11" x14ac:dyDescent="0.25">
      <c r="A1746" s="5"/>
      <c r="B1746" s="63" t="str">
        <f>IFERROR(TEXT(tbl_Ventes[[#This Row],[Date]],"mm-aaaa"),"")</f>
        <v>01-1900</v>
      </c>
      <c r="D1746" s="10" t="str">
        <f>IFERROR(
   INDEX(tbl_ProduitsRef[Cde_Prdt],MATCH(tbl_Ventes[[#This Row],[Produit]],tbl_ProduitsRef[Produit],0)),
   ""
)</f>
        <v/>
      </c>
      <c r="E1746" s="7">
        <v>0</v>
      </c>
      <c r="F1746" s="7" t="str">
        <f>IFERROR(
   INDEX(tbl_ProduitsRef[Prix Menu],MATCH(tbl_Ventes[[#This Row],[Produit]],tbl_ProduitsRef[Produit],0)),
   ""
)</f>
        <v/>
      </c>
      <c r="G1746" s="7">
        <f>tbl_Ventes[[#This Row],[Qté Vendue]] * IFERROR(_xlfn.XLOOKUP(tbl_Ventes[[#This Row],[Cde_Prdt]], tbl_Produits[Cde_Prdt], tbl_Produits[Prix Menu]), 0)</f>
        <v>0</v>
      </c>
      <c r="H1746" s="7">
        <f>IFERROR(_xlfn.XLOOKUP(tbl_Ventes[[#This Row],[Cde_Prdt]], tbl_Produits[Cde_Prdt], tbl_Produits[Coût Moyen Portion]), 0)</f>
        <v>0</v>
      </c>
      <c r="I1746" s="7">
        <f>tbl_Ventes[[#This Row],[Qté Vendue]] * tbl_Ventes[[#This Row],[CMP_par_portion]]</f>
        <v>0</v>
      </c>
      <c r="J1746" s="7">
        <f>tbl_Ventes[[#This Row],[CA ligne]] - tbl_Ventes[[#This Row],[Coût matière ligne]]</f>
        <v>0</v>
      </c>
      <c r="K1746" s="7" t="str">
        <f>IFERROR(INDEX(tbl_ProduitsRef[Famille], MATCH(tbl_Ventes[[#This Row],[Cde_Prdt]], tbl_Produits[Cde_Prdt], 0)), "")</f>
        <v/>
      </c>
    </row>
    <row r="1747" spans="1:11" x14ac:dyDescent="0.25">
      <c r="A1747" s="5"/>
      <c r="B1747" s="63" t="str">
        <f>IFERROR(TEXT(tbl_Ventes[[#This Row],[Date]],"mm-aaaa"),"")</f>
        <v>01-1900</v>
      </c>
      <c r="D1747" s="10" t="str">
        <f>IFERROR(
   INDEX(tbl_ProduitsRef[Cde_Prdt],MATCH(tbl_Ventes[[#This Row],[Produit]],tbl_ProduitsRef[Produit],0)),
   ""
)</f>
        <v/>
      </c>
      <c r="E1747" s="7">
        <v>0</v>
      </c>
      <c r="F1747" s="7" t="str">
        <f>IFERROR(
   INDEX(tbl_ProduitsRef[Prix Menu],MATCH(tbl_Ventes[[#This Row],[Produit]],tbl_ProduitsRef[Produit],0)),
   ""
)</f>
        <v/>
      </c>
      <c r="G1747" s="7">
        <f>tbl_Ventes[[#This Row],[Qté Vendue]] * IFERROR(_xlfn.XLOOKUP(tbl_Ventes[[#This Row],[Cde_Prdt]], tbl_Produits[Cde_Prdt], tbl_Produits[Prix Menu]), 0)</f>
        <v>0</v>
      </c>
      <c r="H1747" s="7">
        <f>IFERROR(_xlfn.XLOOKUP(tbl_Ventes[[#This Row],[Cde_Prdt]], tbl_Produits[Cde_Prdt], tbl_Produits[Coût Moyen Portion]), 0)</f>
        <v>0</v>
      </c>
      <c r="I1747" s="7">
        <f>tbl_Ventes[[#This Row],[Qté Vendue]] * tbl_Ventes[[#This Row],[CMP_par_portion]]</f>
        <v>0</v>
      </c>
      <c r="J1747" s="7">
        <f>tbl_Ventes[[#This Row],[CA ligne]] - tbl_Ventes[[#This Row],[Coût matière ligne]]</f>
        <v>0</v>
      </c>
      <c r="K1747" s="7" t="str">
        <f>IFERROR(INDEX(tbl_ProduitsRef[Famille], MATCH(tbl_Ventes[[#This Row],[Cde_Prdt]], tbl_Produits[Cde_Prdt], 0)), "")</f>
        <v/>
      </c>
    </row>
    <row r="1748" spans="1:11" x14ac:dyDescent="0.25">
      <c r="A1748" s="5"/>
      <c r="B1748" s="63" t="str">
        <f>IFERROR(TEXT(tbl_Ventes[[#This Row],[Date]],"mm-aaaa"),"")</f>
        <v>01-1900</v>
      </c>
      <c r="D1748" s="10" t="str">
        <f>IFERROR(
   INDEX(tbl_ProduitsRef[Cde_Prdt],MATCH(tbl_Ventes[[#This Row],[Produit]],tbl_ProduitsRef[Produit],0)),
   ""
)</f>
        <v/>
      </c>
      <c r="E1748" s="7">
        <v>0</v>
      </c>
      <c r="F1748" s="7" t="str">
        <f>IFERROR(
   INDEX(tbl_ProduitsRef[Prix Menu],MATCH(tbl_Ventes[[#This Row],[Produit]],tbl_ProduitsRef[Produit],0)),
   ""
)</f>
        <v/>
      </c>
      <c r="G1748" s="7">
        <f>tbl_Ventes[[#This Row],[Qté Vendue]] * IFERROR(_xlfn.XLOOKUP(tbl_Ventes[[#This Row],[Cde_Prdt]], tbl_Produits[Cde_Prdt], tbl_Produits[Prix Menu]), 0)</f>
        <v>0</v>
      </c>
      <c r="H1748" s="7">
        <f>IFERROR(_xlfn.XLOOKUP(tbl_Ventes[[#This Row],[Cde_Prdt]], tbl_Produits[Cde_Prdt], tbl_Produits[Coût Moyen Portion]), 0)</f>
        <v>0</v>
      </c>
      <c r="I1748" s="7">
        <f>tbl_Ventes[[#This Row],[Qté Vendue]] * tbl_Ventes[[#This Row],[CMP_par_portion]]</f>
        <v>0</v>
      </c>
      <c r="J1748" s="7">
        <f>tbl_Ventes[[#This Row],[CA ligne]] - tbl_Ventes[[#This Row],[Coût matière ligne]]</f>
        <v>0</v>
      </c>
      <c r="K1748" s="7" t="str">
        <f>IFERROR(INDEX(tbl_ProduitsRef[Famille], MATCH(tbl_Ventes[[#This Row],[Cde_Prdt]], tbl_Produits[Cde_Prdt], 0)), "")</f>
        <v/>
      </c>
    </row>
    <row r="1749" spans="1:11" x14ac:dyDescent="0.25">
      <c r="A1749" s="5"/>
      <c r="B1749" s="63" t="str">
        <f>IFERROR(TEXT(tbl_Ventes[[#This Row],[Date]],"mm-aaaa"),"")</f>
        <v>01-1900</v>
      </c>
      <c r="D1749" s="10" t="str">
        <f>IFERROR(
   INDEX(tbl_ProduitsRef[Cde_Prdt],MATCH(tbl_Ventes[[#This Row],[Produit]],tbl_ProduitsRef[Produit],0)),
   ""
)</f>
        <v/>
      </c>
      <c r="E1749" s="7">
        <v>0</v>
      </c>
      <c r="F1749" s="7" t="str">
        <f>IFERROR(
   INDEX(tbl_ProduitsRef[Prix Menu],MATCH(tbl_Ventes[[#This Row],[Produit]],tbl_ProduitsRef[Produit],0)),
   ""
)</f>
        <v/>
      </c>
      <c r="G1749" s="7">
        <f>tbl_Ventes[[#This Row],[Qté Vendue]] * IFERROR(_xlfn.XLOOKUP(tbl_Ventes[[#This Row],[Cde_Prdt]], tbl_Produits[Cde_Prdt], tbl_Produits[Prix Menu]), 0)</f>
        <v>0</v>
      </c>
      <c r="H1749" s="7">
        <f>IFERROR(_xlfn.XLOOKUP(tbl_Ventes[[#This Row],[Cde_Prdt]], tbl_Produits[Cde_Prdt], tbl_Produits[Coût Moyen Portion]), 0)</f>
        <v>0</v>
      </c>
      <c r="I1749" s="7">
        <f>tbl_Ventes[[#This Row],[Qté Vendue]] * tbl_Ventes[[#This Row],[CMP_par_portion]]</f>
        <v>0</v>
      </c>
      <c r="J1749" s="7">
        <f>tbl_Ventes[[#This Row],[CA ligne]] - tbl_Ventes[[#This Row],[Coût matière ligne]]</f>
        <v>0</v>
      </c>
      <c r="K1749" s="7" t="str">
        <f>IFERROR(INDEX(tbl_ProduitsRef[Famille], MATCH(tbl_Ventes[[#This Row],[Cde_Prdt]], tbl_Produits[Cde_Prdt], 0)), "")</f>
        <v/>
      </c>
    </row>
    <row r="1750" spans="1:11" x14ac:dyDescent="0.25">
      <c r="A1750" s="5"/>
      <c r="B1750" s="63" t="str">
        <f>IFERROR(TEXT(tbl_Ventes[[#This Row],[Date]],"mm-aaaa"),"")</f>
        <v>01-1900</v>
      </c>
      <c r="D1750" s="10" t="str">
        <f>IFERROR(
   INDEX(tbl_ProduitsRef[Cde_Prdt],MATCH(tbl_Ventes[[#This Row],[Produit]],tbl_ProduitsRef[Produit],0)),
   ""
)</f>
        <v/>
      </c>
      <c r="E1750" s="7">
        <v>0</v>
      </c>
      <c r="F1750" s="7" t="str">
        <f>IFERROR(
   INDEX(tbl_ProduitsRef[Prix Menu],MATCH(tbl_Ventes[[#This Row],[Produit]],tbl_ProduitsRef[Produit],0)),
   ""
)</f>
        <v/>
      </c>
      <c r="G1750" s="7">
        <f>tbl_Ventes[[#This Row],[Qté Vendue]] * IFERROR(_xlfn.XLOOKUP(tbl_Ventes[[#This Row],[Cde_Prdt]], tbl_Produits[Cde_Prdt], tbl_Produits[Prix Menu]), 0)</f>
        <v>0</v>
      </c>
      <c r="H1750" s="7">
        <f>IFERROR(_xlfn.XLOOKUP(tbl_Ventes[[#This Row],[Cde_Prdt]], tbl_Produits[Cde_Prdt], tbl_Produits[Coût Moyen Portion]), 0)</f>
        <v>0</v>
      </c>
      <c r="I1750" s="7">
        <f>tbl_Ventes[[#This Row],[Qté Vendue]] * tbl_Ventes[[#This Row],[CMP_par_portion]]</f>
        <v>0</v>
      </c>
      <c r="J1750" s="7">
        <f>tbl_Ventes[[#This Row],[CA ligne]] - tbl_Ventes[[#This Row],[Coût matière ligne]]</f>
        <v>0</v>
      </c>
      <c r="K1750" s="7" t="str">
        <f>IFERROR(INDEX(tbl_ProduitsRef[Famille], MATCH(tbl_Ventes[[#This Row],[Cde_Prdt]], tbl_Produits[Cde_Prdt], 0)), "")</f>
        <v/>
      </c>
    </row>
    <row r="1751" spans="1:11" x14ac:dyDescent="0.25">
      <c r="A1751" s="5"/>
      <c r="B1751" s="63" t="str">
        <f>IFERROR(TEXT(tbl_Ventes[[#This Row],[Date]],"mm-aaaa"),"")</f>
        <v>01-1900</v>
      </c>
      <c r="D1751" s="10" t="str">
        <f>IFERROR(
   INDEX(tbl_ProduitsRef[Cde_Prdt],MATCH(tbl_Ventes[[#This Row],[Produit]],tbl_ProduitsRef[Produit],0)),
   ""
)</f>
        <v/>
      </c>
      <c r="E1751" s="7">
        <v>0</v>
      </c>
      <c r="F1751" s="7" t="str">
        <f>IFERROR(
   INDEX(tbl_ProduitsRef[Prix Menu],MATCH(tbl_Ventes[[#This Row],[Produit]],tbl_ProduitsRef[Produit],0)),
   ""
)</f>
        <v/>
      </c>
      <c r="G1751" s="7">
        <f>tbl_Ventes[[#This Row],[Qté Vendue]] * IFERROR(_xlfn.XLOOKUP(tbl_Ventes[[#This Row],[Cde_Prdt]], tbl_Produits[Cde_Prdt], tbl_Produits[Prix Menu]), 0)</f>
        <v>0</v>
      </c>
      <c r="H1751" s="7">
        <f>IFERROR(_xlfn.XLOOKUP(tbl_Ventes[[#This Row],[Cde_Prdt]], tbl_Produits[Cde_Prdt], tbl_Produits[Coût Moyen Portion]), 0)</f>
        <v>0</v>
      </c>
      <c r="I1751" s="7">
        <f>tbl_Ventes[[#This Row],[Qté Vendue]] * tbl_Ventes[[#This Row],[CMP_par_portion]]</f>
        <v>0</v>
      </c>
      <c r="J1751" s="7">
        <f>tbl_Ventes[[#This Row],[CA ligne]] - tbl_Ventes[[#This Row],[Coût matière ligne]]</f>
        <v>0</v>
      </c>
      <c r="K1751" s="7" t="str">
        <f>IFERROR(INDEX(tbl_ProduitsRef[Famille], MATCH(tbl_Ventes[[#This Row],[Cde_Prdt]], tbl_Produits[Cde_Prdt], 0)), "")</f>
        <v/>
      </c>
    </row>
    <row r="1752" spans="1:11" x14ac:dyDescent="0.25">
      <c r="A1752" s="5"/>
      <c r="B1752" s="63" t="str">
        <f>IFERROR(TEXT(tbl_Ventes[[#This Row],[Date]],"mm-aaaa"),"")</f>
        <v>01-1900</v>
      </c>
      <c r="D1752" s="10" t="str">
        <f>IFERROR(
   INDEX(tbl_ProduitsRef[Cde_Prdt],MATCH(tbl_Ventes[[#This Row],[Produit]],tbl_ProduitsRef[Produit],0)),
   ""
)</f>
        <v/>
      </c>
      <c r="E1752" s="7">
        <v>0</v>
      </c>
      <c r="F1752" s="7" t="str">
        <f>IFERROR(
   INDEX(tbl_ProduitsRef[Prix Menu],MATCH(tbl_Ventes[[#This Row],[Produit]],tbl_ProduitsRef[Produit],0)),
   ""
)</f>
        <v/>
      </c>
      <c r="G1752" s="7">
        <f>tbl_Ventes[[#This Row],[Qté Vendue]] * IFERROR(_xlfn.XLOOKUP(tbl_Ventes[[#This Row],[Cde_Prdt]], tbl_Produits[Cde_Prdt], tbl_Produits[Prix Menu]), 0)</f>
        <v>0</v>
      </c>
      <c r="H1752" s="7">
        <f>IFERROR(_xlfn.XLOOKUP(tbl_Ventes[[#This Row],[Cde_Prdt]], tbl_Produits[Cde_Prdt], tbl_Produits[Coût Moyen Portion]), 0)</f>
        <v>0</v>
      </c>
      <c r="I1752" s="7">
        <f>tbl_Ventes[[#This Row],[Qté Vendue]] * tbl_Ventes[[#This Row],[CMP_par_portion]]</f>
        <v>0</v>
      </c>
      <c r="J1752" s="7">
        <f>tbl_Ventes[[#This Row],[CA ligne]] - tbl_Ventes[[#This Row],[Coût matière ligne]]</f>
        <v>0</v>
      </c>
      <c r="K1752" s="7" t="str">
        <f>IFERROR(INDEX(tbl_ProduitsRef[Famille], MATCH(tbl_Ventes[[#This Row],[Cde_Prdt]], tbl_Produits[Cde_Prdt], 0)), "")</f>
        <v/>
      </c>
    </row>
    <row r="1753" spans="1:11" x14ac:dyDescent="0.25">
      <c r="A1753" s="5"/>
      <c r="B1753" s="63" t="str">
        <f>IFERROR(TEXT(tbl_Ventes[[#This Row],[Date]],"mm-aaaa"),"")</f>
        <v>01-1900</v>
      </c>
      <c r="D1753" s="10" t="str">
        <f>IFERROR(
   INDEX(tbl_ProduitsRef[Cde_Prdt],MATCH(tbl_Ventes[[#This Row],[Produit]],tbl_ProduitsRef[Produit],0)),
   ""
)</f>
        <v/>
      </c>
      <c r="E1753" s="7">
        <v>0</v>
      </c>
      <c r="F1753" s="7" t="str">
        <f>IFERROR(
   INDEX(tbl_ProduitsRef[Prix Menu],MATCH(tbl_Ventes[[#This Row],[Produit]],tbl_ProduitsRef[Produit],0)),
   ""
)</f>
        <v/>
      </c>
      <c r="G1753" s="7">
        <f>tbl_Ventes[[#This Row],[Qté Vendue]] * IFERROR(_xlfn.XLOOKUP(tbl_Ventes[[#This Row],[Cde_Prdt]], tbl_Produits[Cde_Prdt], tbl_Produits[Prix Menu]), 0)</f>
        <v>0</v>
      </c>
      <c r="H1753" s="7">
        <f>IFERROR(_xlfn.XLOOKUP(tbl_Ventes[[#This Row],[Cde_Prdt]], tbl_Produits[Cde_Prdt], tbl_Produits[Coût Moyen Portion]), 0)</f>
        <v>0</v>
      </c>
      <c r="I1753" s="7">
        <f>tbl_Ventes[[#This Row],[Qté Vendue]] * tbl_Ventes[[#This Row],[CMP_par_portion]]</f>
        <v>0</v>
      </c>
      <c r="J1753" s="7">
        <f>tbl_Ventes[[#This Row],[CA ligne]] - tbl_Ventes[[#This Row],[Coût matière ligne]]</f>
        <v>0</v>
      </c>
      <c r="K1753" s="7" t="str">
        <f>IFERROR(INDEX(tbl_ProduitsRef[Famille], MATCH(tbl_Ventes[[#This Row],[Cde_Prdt]], tbl_Produits[Cde_Prdt], 0)), "")</f>
        <v/>
      </c>
    </row>
    <row r="1754" spans="1:11" x14ac:dyDescent="0.25">
      <c r="A1754" s="5"/>
      <c r="B1754" s="63" t="str">
        <f>IFERROR(TEXT(tbl_Ventes[[#This Row],[Date]],"mm-aaaa"),"")</f>
        <v>01-1900</v>
      </c>
      <c r="D1754" s="10" t="str">
        <f>IFERROR(
   INDEX(tbl_ProduitsRef[Cde_Prdt],MATCH(tbl_Ventes[[#This Row],[Produit]],tbl_ProduitsRef[Produit],0)),
   ""
)</f>
        <v/>
      </c>
      <c r="E1754" s="7">
        <v>0</v>
      </c>
      <c r="F1754" s="7" t="str">
        <f>IFERROR(
   INDEX(tbl_ProduitsRef[Prix Menu],MATCH(tbl_Ventes[[#This Row],[Produit]],tbl_ProduitsRef[Produit],0)),
   ""
)</f>
        <v/>
      </c>
      <c r="G1754" s="7">
        <f>tbl_Ventes[[#This Row],[Qté Vendue]] * IFERROR(_xlfn.XLOOKUP(tbl_Ventes[[#This Row],[Cde_Prdt]], tbl_Produits[Cde_Prdt], tbl_Produits[Prix Menu]), 0)</f>
        <v>0</v>
      </c>
      <c r="H1754" s="7">
        <f>IFERROR(_xlfn.XLOOKUP(tbl_Ventes[[#This Row],[Cde_Prdt]], tbl_Produits[Cde_Prdt], tbl_Produits[Coût Moyen Portion]), 0)</f>
        <v>0</v>
      </c>
      <c r="I1754" s="7">
        <f>tbl_Ventes[[#This Row],[Qté Vendue]] * tbl_Ventes[[#This Row],[CMP_par_portion]]</f>
        <v>0</v>
      </c>
      <c r="J1754" s="7">
        <f>tbl_Ventes[[#This Row],[CA ligne]] - tbl_Ventes[[#This Row],[Coût matière ligne]]</f>
        <v>0</v>
      </c>
      <c r="K1754" s="7" t="str">
        <f>IFERROR(INDEX(tbl_ProduitsRef[Famille], MATCH(tbl_Ventes[[#This Row],[Cde_Prdt]], tbl_Produits[Cde_Prdt], 0)), "")</f>
        <v/>
      </c>
    </row>
    <row r="1755" spans="1:11" x14ac:dyDescent="0.25">
      <c r="A1755" s="5"/>
      <c r="B1755" s="63" t="str">
        <f>IFERROR(TEXT(tbl_Ventes[[#This Row],[Date]],"mm-aaaa"),"")</f>
        <v>01-1900</v>
      </c>
      <c r="D1755" s="10" t="str">
        <f>IFERROR(
   INDEX(tbl_ProduitsRef[Cde_Prdt],MATCH(tbl_Ventes[[#This Row],[Produit]],tbl_ProduitsRef[Produit],0)),
   ""
)</f>
        <v/>
      </c>
      <c r="E1755" s="7">
        <v>0</v>
      </c>
      <c r="F1755" s="7" t="str">
        <f>IFERROR(
   INDEX(tbl_ProduitsRef[Prix Menu],MATCH(tbl_Ventes[[#This Row],[Produit]],tbl_ProduitsRef[Produit],0)),
   ""
)</f>
        <v/>
      </c>
      <c r="G1755" s="7">
        <f>tbl_Ventes[[#This Row],[Qté Vendue]] * IFERROR(_xlfn.XLOOKUP(tbl_Ventes[[#This Row],[Cde_Prdt]], tbl_Produits[Cde_Prdt], tbl_Produits[Prix Menu]), 0)</f>
        <v>0</v>
      </c>
      <c r="H1755" s="7">
        <f>IFERROR(_xlfn.XLOOKUP(tbl_Ventes[[#This Row],[Cde_Prdt]], tbl_Produits[Cde_Prdt], tbl_Produits[Coût Moyen Portion]), 0)</f>
        <v>0</v>
      </c>
      <c r="I1755" s="7">
        <f>tbl_Ventes[[#This Row],[Qté Vendue]] * tbl_Ventes[[#This Row],[CMP_par_portion]]</f>
        <v>0</v>
      </c>
      <c r="J1755" s="7">
        <f>tbl_Ventes[[#This Row],[CA ligne]] - tbl_Ventes[[#This Row],[Coût matière ligne]]</f>
        <v>0</v>
      </c>
      <c r="K1755" s="7" t="str">
        <f>IFERROR(INDEX(tbl_ProduitsRef[Famille], MATCH(tbl_Ventes[[#This Row],[Cde_Prdt]], tbl_Produits[Cde_Prdt], 0)), "")</f>
        <v/>
      </c>
    </row>
    <row r="1756" spans="1:11" x14ac:dyDescent="0.25">
      <c r="A1756" s="5"/>
      <c r="B1756" s="63" t="str">
        <f>IFERROR(TEXT(tbl_Ventes[[#This Row],[Date]],"mm-aaaa"),"")</f>
        <v>01-1900</v>
      </c>
      <c r="D1756" s="10" t="str">
        <f>IFERROR(
   INDEX(tbl_ProduitsRef[Cde_Prdt],MATCH(tbl_Ventes[[#This Row],[Produit]],tbl_ProduitsRef[Produit],0)),
   ""
)</f>
        <v/>
      </c>
      <c r="E1756" s="7">
        <v>0</v>
      </c>
      <c r="F1756" s="7" t="str">
        <f>IFERROR(
   INDEX(tbl_ProduitsRef[Prix Menu],MATCH(tbl_Ventes[[#This Row],[Produit]],tbl_ProduitsRef[Produit],0)),
   ""
)</f>
        <v/>
      </c>
      <c r="G1756" s="7">
        <f>tbl_Ventes[[#This Row],[Qté Vendue]] * IFERROR(_xlfn.XLOOKUP(tbl_Ventes[[#This Row],[Cde_Prdt]], tbl_Produits[Cde_Prdt], tbl_Produits[Prix Menu]), 0)</f>
        <v>0</v>
      </c>
      <c r="H1756" s="7">
        <f>IFERROR(_xlfn.XLOOKUP(tbl_Ventes[[#This Row],[Cde_Prdt]], tbl_Produits[Cde_Prdt], tbl_Produits[Coût Moyen Portion]), 0)</f>
        <v>0</v>
      </c>
      <c r="I1756" s="7">
        <f>tbl_Ventes[[#This Row],[Qté Vendue]] * tbl_Ventes[[#This Row],[CMP_par_portion]]</f>
        <v>0</v>
      </c>
      <c r="J1756" s="7">
        <f>tbl_Ventes[[#This Row],[CA ligne]] - tbl_Ventes[[#This Row],[Coût matière ligne]]</f>
        <v>0</v>
      </c>
      <c r="K1756" s="7" t="str">
        <f>IFERROR(INDEX(tbl_ProduitsRef[Famille], MATCH(tbl_Ventes[[#This Row],[Cde_Prdt]], tbl_Produits[Cde_Prdt], 0)), "")</f>
        <v/>
      </c>
    </row>
    <row r="1757" spans="1:11" x14ac:dyDescent="0.25">
      <c r="A1757" s="5"/>
      <c r="B1757" s="63" t="str">
        <f>IFERROR(TEXT(tbl_Ventes[[#This Row],[Date]],"mm-aaaa"),"")</f>
        <v>01-1900</v>
      </c>
      <c r="D1757" s="10" t="str">
        <f>IFERROR(
   INDEX(tbl_ProduitsRef[Cde_Prdt],MATCH(tbl_Ventes[[#This Row],[Produit]],tbl_ProduitsRef[Produit],0)),
   ""
)</f>
        <v/>
      </c>
      <c r="E1757" s="7">
        <v>0</v>
      </c>
      <c r="F1757" s="7" t="str">
        <f>IFERROR(
   INDEX(tbl_ProduitsRef[Prix Menu],MATCH(tbl_Ventes[[#This Row],[Produit]],tbl_ProduitsRef[Produit],0)),
   ""
)</f>
        <v/>
      </c>
      <c r="G1757" s="7">
        <f>tbl_Ventes[[#This Row],[Qté Vendue]] * IFERROR(_xlfn.XLOOKUP(tbl_Ventes[[#This Row],[Cde_Prdt]], tbl_Produits[Cde_Prdt], tbl_Produits[Prix Menu]), 0)</f>
        <v>0</v>
      </c>
      <c r="H1757" s="7">
        <f>IFERROR(_xlfn.XLOOKUP(tbl_Ventes[[#This Row],[Cde_Prdt]], tbl_Produits[Cde_Prdt], tbl_Produits[Coût Moyen Portion]), 0)</f>
        <v>0</v>
      </c>
      <c r="I1757" s="7">
        <f>tbl_Ventes[[#This Row],[Qté Vendue]] * tbl_Ventes[[#This Row],[CMP_par_portion]]</f>
        <v>0</v>
      </c>
      <c r="J1757" s="7">
        <f>tbl_Ventes[[#This Row],[CA ligne]] - tbl_Ventes[[#This Row],[Coût matière ligne]]</f>
        <v>0</v>
      </c>
      <c r="K1757" s="7" t="str">
        <f>IFERROR(INDEX(tbl_ProduitsRef[Famille], MATCH(tbl_Ventes[[#This Row],[Cde_Prdt]], tbl_Produits[Cde_Prdt], 0)), "")</f>
        <v/>
      </c>
    </row>
    <row r="1758" spans="1:11" x14ac:dyDescent="0.25">
      <c r="A1758" s="5"/>
      <c r="B1758" s="63" t="str">
        <f>IFERROR(TEXT(tbl_Ventes[[#This Row],[Date]],"mm-aaaa"),"")</f>
        <v>01-1900</v>
      </c>
      <c r="D1758" s="10" t="str">
        <f>IFERROR(
   INDEX(tbl_ProduitsRef[Cde_Prdt],MATCH(tbl_Ventes[[#This Row],[Produit]],tbl_ProduitsRef[Produit],0)),
   ""
)</f>
        <v/>
      </c>
      <c r="E1758" s="7">
        <v>0</v>
      </c>
      <c r="F1758" s="7" t="str">
        <f>IFERROR(
   INDEX(tbl_ProduitsRef[Prix Menu],MATCH(tbl_Ventes[[#This Row],[Produit]],tbl_ProduitsRef[Produit],0)),
   ""
)</f>
        <v/>
      </c>
      <c r="G1758" s="7">
        <f>tbl_Ventes[[#This Row],[Qté Vendue]] * IFERROR(_xlfn.XLOOKUP(tbl_Ventes[[#This Row],[Cde_Prdt]], tbl_Produits[Cde_Prdt], tbl_Produits[Prix Menu]), 0)</f>
        <v>0</v>
      </c>
      <c r="H1758" s="7">
        <f>IFERROR(_xlfn.XLOOKUP(tbl_Ventes[[#This Row],[Cde_Prdt]], tbl_Produits[Cde_Prdt], tbl_Produits[Coût Moyen Portion]), 0)</f>
        <v>0</v>
      </c>
      <c r="I1758" s="7">
        <f>tbl_Ventes[[#This Row],[Qté Vendue]] * tbl_Ventes[[#This Row],[CMP_par_portion]]</f>
        <v>0</v>
      </c>
      <c r="J1758" s="7">
        <f>tbl_Ventes[[#This Row],[CA ligne]] - tbl_Ventes[[#This Row],[Coût matière ligne]]</f>
        <v>0</v>
      </c>
      <c r="K1758" s="7" t="str">
        <f>IFERROR(INDEX(tbl_ProduitsRef[Famille], MATCH(tbl_Ventes[[#This Row],[Cde_Prdt]], tbl_Produits[Cde_Prdt], 0)), "")</f>
        <v/>
      </c>
    </row>
    <row r="1759" spans="1:11" x14ac:dyDescent="0.25">
      <c r="A1759" s="5"/>
      <c r="B1759" s="63" t="str">
        <f>IFERROR(TEXT(tbl_Ventes[[#This Row],[Date]],"mm-aaaa"),"")</f>
        <v>01-1900</v>
      </c>
      <c r="D1759" s="10" t="str">
        <f>IFERROR(
   INDEX(tbl_ProduitsRef[Cde_Prdt],MATCH(tbl_Ventes[[#This Row],[Produit]],tbl_ProduitsRef[Produit],0)),
   ""
)</f>
        <v/>
      </c>
      <c r="E1759" s="7">
        <v>0</v>
      </c>
      <c r="F1759" s="7" t="str">
        <f>IFERROR(
   INDEX(tbl_ProduitsRef[Prix Menu],MATCH(tbl_Ventes[[#This Row],[Produit]],tbl_ProduitsRef[Produit],0)),
   ""
)</f>
        <v/>
      </c>
      <c r="G1759" s="7">
        <f>tbl_Ventes[[#This Row],[Qté Vendue]] * IFERROR(_xlfn.XLOOKUP(tbl_Ventes[[#This Row],[Cde_Prdt]], tbl_Produits[Cde_Prdt], tbl_Produits[Prix Menu]), 0)</f>
        <v>0</v>
      </c>
      <c r="H1759" s="7">
        <f>IFERROR(_xlfn.XLOOKUP(tbl_Ventes[[#This Row],[Cde_Prdt]], tbl_Produits[Cde_Prdt], tbl_Produits[Coût Moyen Portion]), 0)</f>
        <v>0</v>
      </c>
      <c r="I1759" s="7">
        <f>tbl_Ventes[[#This Row],[Qté Vendue]] * tbl_Ventes[[#This Row],[CMP_par_portion]]</f>
        <v>0</v>
      </c>
      <c r="J1759" s="7">
        <f>tbl_Ventes[[#This Row],[CA ligne]] - tbl_Ventes[[#This Row],[Coût matière ligne]]</f>
        <v>0</v>
      </c>
      <c r="K1759" s="7" t="str">
        <f>IFERROR(INDEX(tbl_ProduitsRef[Famille], MATCH(tbl_Ventes[[#This Row],[Cde_Prdt]], tbl_Produits[Cde_Prdt], 0)), "")</f>
        <v/>
      </c>
    </row>
    <row r="1760" spans="1:11" x14ac:dyDescent="0.25">
      <c r="A1760" s="5"/>
      <c r="B1760" s="63" t="str">
        <f>IFERROR(TEXT(tbl_Ventes[[#This Row],[Date]],"mm-aaaa"),"")</f>
        <v>01-1900</v>
      </c>
      <c r="D1760" s="10" t="str">
        <f>IFERROR(
   INDEX(tbl_ProduitsRef[Cde_Prdt],MATCH(tbl_Ventes[[#This Row],[Produit]],tbl_ProduitsRef[Produit],0)),
   ""
)</f>
        <v/>
      </c>
      <c r="E1760" s="7">
        <v>0</v>
      </c>
      <c r="F1760" s="7" t="str">
        <f>IFERROR(
   INDEX(tbl_ProduitsRef[Prix Menu],MATCH(tbl_Ventes[[#This Row],[Produit]],tbl_ProduitsRef[Produit],0)),
   ""
)</f>
        <v/>
      </c>
      <c r="G1760" s="7">
        <f>tbl_Ventes[[#This Row],[Qté Vendue]] * IFERROR(_xlfn.XLOOKUP(tbl_Ventes[[#This Row],[Cde_Prdt]], tbl_Produits[Cde_Prdt], tbl_Produits[Prix Menu]), 0)</f>
        <v>0</v>
      </c>
      <c r="H1760" s="7">
        <f>IFERROR(_xlfn.XLOOKUP(tbl_Ventes[[#This Row],[Cde_Prdt]], tbl_Produits[Cde_Prdt], tbl_Produits[Coût Moyen Portion]), 0)</f>
        <v>0</v>
      </c>
      <c r="I1760" s="7">
        <f>tbl_Ventes[[#This Row],[Qté Vendue]] * tbl_Ventes[[#This Row],[CMP_par_portion]]</f>
        <v>0</v>
      </c>
      <c r="J1760" s="7">
        <f>tbl_Ventes[[#This Row],[CA ligne]] - tbl_Ventes[[#This Row],[Coût matière ligne]]</f>
        <v>0</v>
      </c>
      <c r="K1760" s="7" t="str">
        <f>IFERROR(INDEX(tbl_ProduitsRef[Famille], MATCH(tbl_Ventes[[#This Row],[Cde_Prdt]], tbl_Produits[Cde_Prdt], 0)), "")</f>
        <v/>
      </c>
    </row>
    <row r="1761" spans="1:11" x14ac:dyDescent="0.25">
      <c r="A1761" s="5"/>
      <c r="B1761" s="63" t="str">
        <f>IFERROR(TEXT(tbl_Ventes[[#This Row],[Date]],"mm-aaaa"),"")</f>
        <v>01-1900</v>
      </c>
      <c r="D1761" s="10" t="str">
        <f>IFERROR(
   INDEX(tbl_ProduitsRef[Cde_Prdt],MATCH(tbl_Ventes[[#This Row],[Produit]],tbl_ProduitsRef[Produit],0)),
   ""
)</f>
        <v/>
      </c>
      <c r="E1761" s="7">
        <v>0</v>
      </c>
      <c r="F1761" s="7" t="str">
        <f>IFERROR(
   INDEX(tbl_ProduitsRef[Prix Menu],MATCH(tbl_Ventes[[#This Row],[Produit]],tbl_ProduitsRef[Produit],0)),
   ""
)</f>
        <v/>
      </c>
      <c r="G1761" s="7">
        <f>tbl_Ventes[[#This Row],[Qté Vendue]] * IFERROR(_xlfn.XLOOKUP(tbl_Ventes[[#This Row],[Cde_Prdt]], tbl_Produits[Cde_Prdt], tbl_Produits[Prix Menu]), 0)</f>
        <v>0</v>
      </c>
      <c r="H1761" s="7">
        <f>IFERROR(_xlfn.XLOOKUP(tbl_Ventes[[#This Row],[Cde_Prdt]], tbl_Produits[Cde_Prdt], tbl_Produits[Coût Moyen Portion]), 0)</f>
        <v>0</v>
      </c>
      <c r="I1761" s="7">
        <f>tbl_Ventes[[#This Row],[Qté Vendue]] * tbl_Ventes[[#This Row],[CMP_par_portion]]</f>
        <v>0</v>
      </c>
      <c r="J1761" s="7">
        <f>tbl_Ventes[[#This Row],[CA ligne]] - tbl_Ventes[[#This Row],[Coût matière ligne]]</f>
        <v>0</v>
      </c>
      <c r="K1761" s="7" t="str">
        <f>IFERROR(INDEX(tbl_ProduitsRef[Famille], MATCH(tbl_Ventes[[#This Row],[Cde_Prdt]], tbl_Produits[Cde_Prdt], 0)), "")</f>
        <v/>
      </c>
    </row>
    <row r="1762" spans="1:11" x14ac:dyDescent="0.25">
      <c r="A1762" s="5"/>
      <c r="B1762" s="63" t="str">
        <f>IFERROR(TEXT(tbl_Ventes[[#This Row],[Date]],"mm-aaaa"),"")</f>
        <v>01-1900</v>
      </c>
      <c r="D1762" s="10" t="str">
        <f>IFERROR(
   INDEX(tbl_ProduitsRef[Cde_Prdt],MATCH(tbl_Ventes[[#This Row],[Produit]],tbl_ProduitsRef[Produit],0)),
   ""
)</f>
        <v/>
      </c>
      <c r="E1762" s="7">
        <v>0</v>
      </c>
      <c r="F1762" s="7" t="str">
        <f>IFERROR(
   INDEX(tbl_ProduitsRef[Prix Menu],MATCH(tbl_Ventes[[#This Row],[Produit]],tbl_ProduitsRef[Produit],0)),
   ""
)</f>
        <v/>
      </c>
      <c r="G1762" s="7">
        <f>tbl_Ventes[[#This Row],[Qté Vendue]] * IFERROR(_xlfn.XLOOKUP(tbl_Ventes[[#This Row],[Cde_Prdt]], tbl_Produits[Cde_Prdt], tbl_Produits[Prix Menu]), 0)</f>
        <v>0</v>
      </c>
      <c r="H1762" s="7">
        <f>IFERROR(_xlfn.XLOOKUP(tbl_Ventes[[#This Row],[Cde_Prdt]], tbl_Produits[Cde_Prdt], tbl_Produits[Coût Moyen Portion]), 0)</f>
        <v>0</v>
      </c>
      <c r="I1762" s="7">
        <f>tbl_Ventes[[#This Row],[Qté Vendue]] * tbl_Ventes[[#This Row],[CMP_par_portion]]</f>
        <v>0</v>
      </c>
      <c r="J1762" s="7">
        <f>tbl_Ventes[[#This Row],[CA ligne]] - tbl_Ventes[[#This Row],[Coût matière ligne]]</f>
        <v>0</v>
      </c>
      <c r="K1762" s="7" t="str">
        <f>IFERROR(INDEX(tbl_ProduitsRef[Famille], MATCH(tbl_Ventes[[#This Row],[Cde_Prdt]], tbl_Produits[Cde_Prdt], 0)), "")</f>
        <v/>
      </c>
    </row>
    <row r="1763" spans="1:11" x14ac:dyDescent="0.25">
      <c r="A1763" s="5"/>
      <c r="B1763" s="63" t="str">
        <f>IFERROR(TEXT(tbl_Ventes[[#This Row],[Date]],"mm-aaaa"),"")</f>
        <v>01-1900</v>
      </c>
      <c r="D1763" s="10" t="str">
        <f>IFERROR(
   INDEX(tbl_ProduitsRef[Cde_Prdt],MATCH(tbl_Ventes[[#This Row],[Produit]],tbl_ProduitsRef[Produit],0)),
   ""
)</f>
        <v/>
      </c>
      <c r="E1763" s="7">
        <v>0</v>
      </c>
      <c r="F1763" s="7" t="str">
        <f>IFERROR(
   INDEX(tbl_ProduitsRef[Prix Menu],MATCH(tbl_Ventes[[#This Row],[Produit]],tbl_ProduitsRef[Produit],0)),
   ""
)</f>
        <v/>
      </c>
      <c r="G1763" s="7">
        <f>tbl_Ventes[[#This Row],[Qté Vendue]] * IFERROR(_xlfn.XLOOKUP(tbl_Ventes[[#This Row],[Cde_Prdt]], tbl_Produits[Cde_Prdt], tbl_Produits[Prix Menu]), 0)</f>
        <v>0</v>
      </c>
      <c r="H1763" s="7">
        <f>IFERROR(_xlfn.XLOOKUP(tbl_Ventes[[#This Row],[Cde_Prdt]], tbl_Produits[Cde_Prdt], tbl_Produits[Coût Moyen Portion]), 0)</f>
        <v>0</v>
      </c>
      <c r="I1763" s="7">
        <f>tbl_Ventes[[#This Row],[Qté Vendue]] * tbl_Ventes[[#This Row],[CMP_par_portion]]</f>
        <v>0</v>
      </c>
      <c r="J1763" s="7">
        <f>tbl_Ventes[[#This Row],[CA ligne]] - tbl_Ventes[[#This Row],[Coût matière ligne]]</f>
        <v>0</v>
      </c>
      <c r="K1763" s="7" t="str">
        <f>IFERROR(INDEX(tbl_ProduitsRef[Famille], MATCH(tbl_Ventes[[#This Row],[Cde_Prdt]], tbl_Produits[Cde_Prdt], 0)), "")</f>
        <v/>
      </c>
    </row>
    <row r="1764" spans="1:11" x14ac:dyDescent="0.25">
      <c r="A1764" s="5"/>
      <c r="B1764" s="63" t="str">
        <f>IFERROR(TEXT(tbl_Ventes[[#This Row],[Date]],"mm-aaaa"),"")</f>
        <v>01-1900</v>
      </c>
      <c r="D1764" s="10" t="str">
        <f>IFERROR(
   INDEX(tbl_ProduitsRef[Cde_Prdt],MATCH(tbl_Ventes[[#This Row],[Produit]],tbl_ProduitsRef[Produit],0)),
   ""
)</f>
        <v/>
      </c>
      <c r="E1764" s="7">
        <v>0</v>
      </c>
      <c r="F1764" s="7" t="str">
        <f>IFERROR(
   INDEX(tbl_ProduitsRef[Prix Menu],MATCH(tbl_Ventes[[#This Row],[Produit]],tbl_ProduitsRef[Produit],0)),
   ""
)</f>
        <v/>
      </c>
      <c r="G1764" s="7">
        <f>tbl_Ventes[[#This Row],[Qté Vendue]] * IFERROR(_xlfn.XLOOKUP(tbl_Ventes[[#This Row],[Cde_Prdt]], tbl_Produits[Cde_Prdt], tbl_Produits[Prix Menu]), 0)</f>
        <v>0</v>
      </c>
      <c r="H1764" s="7">
        <f>IFERROR(_xlfn.XLOOKUP(tbl_Ventes[[#This Row],[Cde_Prdt]], tbl_Produits[Cde_Prdt], tbl_Produits[Coût Moyen Portion]), 0)</f>
        <v>0</v>
      </c>
      <c r="I1764" s="7">
        <f>tbl_Ventes[[#This Row],[Qté Vendue]] * tbl_Ventes[[#This Row],[CMP_par_portion]]</f>
        <v>0</v>
      </c>
      <c r="J1764" s="7">
        <f>tbl_Ventes[[#This Row],[CA ligne]] - tbl_Ventes[[#This Row],[Coût matière ligne]]</f>
        <v>0</v>
      </c>
      <c r="K1764" s="7" t="str">
        <f>IFERROR(INDEX(tbl_ProduitsRef[Famille], MATCH(tbl_Ventes[[#This Row],[Cde_Prdt]], tbl_Produits[Cde_Prdt], 0)), "")</f>
        <v/>
      </c>
    </row>
    <row r="1765" spans="1:11" x14ac:dyDescent="0.25">
      <c r="A1765" s="5"/>
      <c r="B1765" s="63" t="str">
        <f>IFERROR(TEXT(tbl_Ventes[[#This Row],[Date]],"mm-aaaa"),"")</f>
        <v>01-1900</v>
      </c>
      <c r="D1765" s="10" t="str">
        <f>IFERROR(
   INDEX(tbl_ProduitsRef[Cde_Prdt],MATCH(tbl_Ventes[[#This Row],[Produit]],tbl_ProduitsRef[Produit],0)),
   ""
)</f>
        <v/>
      </c>
      <c r="E1765" s="7">
        <v>0</v>
      </c>
      <c r="F1765" s="7" t="str">
        <f>IFERROR(
   INDEX(tbl_ProduitsRef[Prix Menu],MATCH(tbl_Ventes[[#This Row],[Produit]],tbl_ProduitsRef[Produit],0)),
   ""
)</f>
        <v/>
      </c>
      <c r="G1765" s="7">
        <f>tbl_Ventes[[#This Row],[Qté Vendue]] * IFERROR(_xlfn.XLOOKUP(tbl_Ventes[[#This Row],[Cde_Prdt]], tbl_Produits[Cde_Prdt], tbl_Produits[Prix Menu]), 0)</f>
        <v>0</v>
      </c>
      <c r="H1765" s="7">
        <f>IFERROR(_xlfn.XLOOKUP(tbl_Ventes[[#This Row],[Cde_Prdt]], tbl_Produits[Cde_Prdt], tbl_Produits[Coût Moyen Portion]), 0)</f>
        <v>0</v>
      </c>
      <c r="I1765" s="7">
        <f>tbl_Ventes[[#This Row],[Qté Vendue]] * tbl_Ventes[[#This Row],[CMP_par_portion]]</f>
        <v>0</v>
      </c>
      <c r="J1765" s="7">
        <f>tbl_Ventes[[#This Row],[CA ligne]] - tbl_Ventes[[#This Row],[Coût matière ligne]]</f>
        <v>0</v>
      </c>
      <c r="K1765" s="7" t="str">
        <f>IFERROR(INDEX(tbl_ProduitsRef[Famille], MATCH(tbl_Ventes[[#This Row],[Cde_Prdt]], tbl_Produits[Cde_Prdt], 0)), "")</f>
        <v/>
      </c>
    </row>
    <row r="1766" spans="1:11" x14ac:dyDescent="0.25">
      <c r="A1766" s="5"/>
      <c r="B1766" s="63" t="str">
        <f>IFERROR(TEXT(tbl_Ventes[[#This Row],[Date]],"mm-aaaa"),"")</f>
        <v>01-1900</v>
      </c>
      <c r="D1766" s="10" t="str">
        <f>IFERROR(
   INDEX(tbl_ProduitsRef[Cde_Prdt],MATCH(tbl_Ventes[[#This Row],[Produit]],tbl_ProduitsRef[Produit],0)),
   ""
)</f>
        <v/>
      </c>
      <c r="E1766" s="7">
        <v>0</v>
      </c>
      <c r="F1766" s="7" t="str">
        <f>IFERROR(
   INDEX(tbl_ProduitsRef[Prix Menu],MATCH(tbl_Ventes[[#This Row],[Produit]],tbl_ProduitsRef[Produit],0)),
   ""
)</f>
        <v/>
      </c>
      <c r="G1766" s="7">
        <f>tbl_Ventes[[#This Row],[Qté Vendue]] * IFERROR(_xlfn.XLOOKUP(tbl_Ventes[[#This Row],[Cde_Prdt]], tbl_Produits[Cde_Prdt], tbl_Produits[Prix Menu]), 0)</f>
        <v>0</v>
      </c>
      <c r="H1766" s="7">
        <f>IFERROR(_xlfn.XLOOKUP(tbl_Ventes[[#This Row],[Cde_Prdt]], tbl_Produits[Cde_Prdt], tbl_Produits[Coût Moyen Portion]), 0)</f>
        <v>0</v>
      </c>
      <c r="I1766" s="7">
        <f>tbl_Ventes[[#This Row],[Qté Vendue]] * tbl_Ventes[[#This Row],[CMP_par_portion]]</f>
        <v>0</v>
      </c>
      <c r="J1766" s="7">
        <f>tbl_Ventes[[#This Row],[CA ligne]] - tbl_Ventes[[#This Row],[Coût matière ligne]]</f>
        <v>0</v>
      </c>
      <c r="K1766" s="7" t="str">
        <f>IFERROR(INDEX(tbl_ProduitsRef[Famille], MATCH(tbl_Ventes[[#This Row],[Cde_Prdt]], tbl_Produits[Cde_Prdt], 0)), "")</f>
        <v/>
      </c>
    </row>
    <row r="1767" spans="1:11" x14ac:dyDescent="0.25">
      <c r="A1767" s="5"/>
      <c r="B1767" s="63" t="str">
        <f>IFERROR(TEXT(tbl_Ventes[[#This Row],[Date]],"mm-aaaa"),"")</f>
        <v>01-1900</v>
      </c>
      <c r="D1767" s="10" t="str">
        <f>IFERROR(
   INDEX(tbl_ProduitsRef[Cde_Prdt],MATCH(tbl_Ventes[[#This Row],[Produit]],tbl_ProduitsRef[Produit],0)),
   ""
)</f>
        <v/>
      </c>
      <c r="E1767" s="7">
        <v>0</v>
      </c>
      <c r="F1767" s="7" t="str">
        <f>IFERROR(
   INDEX(tbl_ProduitsRef[Prix Menu],MATCH(tbl_Ventes[[#This Row],[Produit]],tbl_ProduitsRef[Produit],0)),
   ""
)</f>
        <v/>
      </c>
      <c r="G1767" s="7">
        <f>tbl_Ventes[[#This Row],[Qté Vendue]] * IFERROR(_xlfn.XLOOKUP(tbl_Ventes[[#This Row],[Cde_Prdt]], tbl_Produits[Cde_Prdt], tbl_Produits[Prix Menu]), 0)</f>
        <v>0</v>
      </c>
      <c r="H1767" s="7">
        <f>IFERROR(_xlfn.XLOOKUP(tbl_Ventes[[#This Row],[Cde_Prdt]], tbl_Produits[Cde_Prdt], tbl_Produits[Coût Moyen Portion]), 0)</f>
        <v>0</v>
      </c>
      <c r="I1767" s="7">
        <f>tbl_Ventes[[#This Row],[Qté Vendue]] * tbl_Ventes[[#This Row],[CMP_par_portion]]</f>
        <v>0</v>
      </c>
      <c r="J1767" s="7">
        <f>tbl_Ventes[[#This Row],[CA ligne]] - tbl_Ventes[[#This Row],[Coût matière ligne]]</f>
        <v>0</v>
      </c>
      <c r="K1767" s="7" t="str">
        <f>IFERROR(INDEX(tbl_ProduitsRef[Famille], MATCH(tbl_Ventes[[#This Row],[Cde_Prdt]], tbl_Produits[Cde_Prdt], 0)), "")</f>
        <v/>
      </c>
    </row>
    <row r="1768" spans="1:11" x14ac:dyDescent="0.25">
      <c r="A1768" s="5"/>
      <c r="B1768" s="63" t="str">
        <f>IFERROR(TEXT(tbl_Ventes[[#This Row],[Date]],"mm-aaaa"),"")</f>
        <v>01-1900</v>
      </c>
      <c r="D1768" s="10" t="str">
        <f>IFERROR(
   INDEX(tbl_ProduitsRef[Cde_Prdt],MATCH(tbl_Ventes[[#This Row],[Produit]],tbl_ProduitsRef[Produit],0)),
   ""
)</f>
        <v/>
      </c>
      <c r="E1768" s="7">
        <v>0</v>
      </c>
      <c r="F1768" s="7" t="str">
        <f>IFERROR(
   INDEX(tbl_ProduitsRef[Prix Menu],MATCH(tbl_Ventes[[#This Row],[Produit]],tbl_ProduitsRef[Produit],0)),
   ""
)</f>
        <v/>
      </c>
      <c r="G1768" s="7">
        <f>tbl_Ventes[[#This Row],[Qté Vendue]] * IFERROR(_xlfn.XLOOKUP(tbl_Ventes[[#This Row],[Cde_Prdt]], tbl_Produits[Cde_Prdt], tbl_Produits[Prix Menu]), 0)</f>
        <v>0</v>
      </c>
      <c r="H1768" s="7">
        <f>IFERROR(_xlfn.XLOOKUP(tbl_Ventes[[#This Row],[Cde_Prdt]], tbl_Produits[Cde_Prdt], tbl_Produits[Coût Moyen Portion]), 0)</f>
        <v>0</v>
      </c>
      <c r="I1768" s="7">
        <f>tbl_Ventes[[#This Row],[Qté Vendue]] * tbl_Ventes[[#This Row],[CMP_par_portion]]</f>
        <v>0</v>
      </c>
      <c r="J1768" s="7">
        <f>tbl_Ventes[[#This Row],[CA ligne]] - tbl_Ventes[[#This Row],[Coût matière ligne]]</f>
        <v>0</v>
      </c>
      <c r="K1768" s="7" t="str">
        <f>IFERROR(INDEX(tbl_ProduitsRef[Famille], MATCH(tbl_Ventes[[#This Row],[Cde_Prdt]], tbl_Produits[Cde_Prdt], 0)), "")</f>
        <v/>
      </c>
    </row>
    <row r="1769" spans="1:11" x14ac:dyDescent="0.25">
      <c r="A1769" s="5"/>
      <c r="B1769" s="63" t="str">
        <f>IFERROR(TEXT(tbl_Ventes[[#This Row],[Date]],"mm-aaaa"),"")</f>
        <v>01-1900</v>
      </c>
      <c r="D1769" s="10" t="str">
        <f>IFERROR(
   INDEX(tbl_ProduitsRef[Cde_Prdt],MATCH(tbl_Ventes[[#This Row],[Produit]],tbl_ProduitsRef[Produit],0)),
   ""
)</f>
        <v/>
      </c>
      <c r="E1769" s="7">
        <v>0</v>
      </c>
      <c r="F1769" s="7" t="str">
        <f>IFERROR(
   INDEX(tbl_ProduitsRef[Prix Menu],MATCH(tbl_Ventes[[#This Row],[Produit]],tbl_ProduitsRef[Produit],0)),
   ""
)</f>
        <v/>
      </c>
      <c r="G1769" s="7">
        <f>tbl_Ventes[[#This Row],[Qté Vendue]] * IFERROR(_xlfn.XLOOKUP(tbl_Ventes[[#This Row],[Cde_Prdt]], tbl_Produits[Cde_Prdt], tbl_Produits[Prix Menu]), 0)</f>
        <v>0</v>
      </c>
      <c r="H1769" s="7">
        <f>IFERROR(_xlfn.XLOOKUP(tbl_Ventes[[#This Row],[Cde_Prdt]], tbl_Produits[Cde_Prdt], tbl_Produits[Coût Moyen Portion]), 0)</f>
        <v>0</v>
      </c>
      <c r="I1769" s="7">
        <f>tbl_Ventes[[#This Row],[Qté Vendue]] * tbl_Ventes[[#This Row],[CMP_par_portion]]</f>
        <v>0</v>
      </c>
      <c r="J1769" s="7">
        <f>tbl_Ventes[[#This Row],[CA ligne]] - tbl_Ventes[[#This Row],[Coût matière ligne]]</f>
        <v>0</v>
      </c>
      <c r="K1769" s="7" t="str">
        <f>IFERROR(INDEX(tbl_ProduitsRef[Famille], MATCH(tbl_Ventes[[#This Row],[Cde_Prdt]], tbl_Produits[Cde_Prdt], 0)), "")</f>
        <v/>
      </c>
    </row>
    <row r="1770" spans="1:11" x14ac:dyDescent="0.25">
      <c r="A1770" s="5"/>
      <c r="B1770" s="63" t="str">
        <f>IFERROR(TEXT(tbl_Ventes[[#This Row],[Date]],"mm-aaaa"),"")</f>
        <v>01-1900</v>
      </c>
      <c r="D1770" s="10" t="str">
        <f>IFERROR(
   INDEX(tbl_ProduitsRef[Cde_Prdt],MATCH(tbl_Ventes[[#This Row],[Produit]],tbl_ProduitsRef[Produit],0)),
   ""
)</f>
        <v/>
      </c>
      <c r="E1770" s="7">
        <v>0</v>
      </c>
      <c r="F1770" s="7" t="str">
        <f>IFERROR(
   INDEX(tbl_ProduitsRef[Prix Menu],MATCH(tbl_Ventes[[#This Row],[Produit]],tbl_ProduitsRef[Produit],0)),
   ""
)</f>
        <v/>
      </c>
      <c r="G1770" s="7">
        <f>tbl_Ventes[[#This Row],[Qté Vendue]] * IFERROR(_xlfn.XLOOKUP(tbl_Ventes[[#This Row],[Cde_Prdt]], tbl_Produits[Cde_Prdt], tbl_Produits[Prix Menu]), 0)</f>
        <v>0</v>
      </c>
      <c r="H1770" s="7">
        <f>IFERROR(_xlfn.XLOOKUP(tbl_Ventes[[#This Row],[Cde_Prdt]], tbl_Produits[Cde_Prdt], tbl_Produits[Coût Moyen Portion]), 0)</f>
        <v>0</v>
      </c>
      <c r="I1770" s="7">
        <f>tbl_Ventes[[#This Row],[Qté Vendue]] * tbl_Ventes[[#This Row],[CMP_par_portion]]</f>
        <v>0</v>
      </c>
      <c r="J1770" s="7">
        <f>tbl_Ventes[[#This Row],[CA ligne]] - tbl_Ventes[[#This Row],[Coût matière ligne]]</f>
        <v>0</v>
      </c>
      <c r="K1770" s="7" t="str">
        <f>IFERROR(INDEX(tbl_ProduitsRef[Famille], MATCH(tbl_Ventes[[#This Row],[Cde_Prdt]], tbl_Produits[Cde_Prdt], 0)), "")</f>
        <v/>
      </c>
    </row>
    <row r="1771" spans="1:11" x14ac:dyDescent="0.25">
      <c r="A1771" s="5"/>
      <c r="B1771" s="63" t="str">
        <f>IFERROR(TEXT(tbl_Ventes[[#This Row],[Date]],"mm-aaaa"),"")</f>
        <v>01-1900</v>
      </c>
      <c r="D1771" s="10" t="str">
        <f>IFERROR(
   INDEX(tbl_ProduitsRef[Cde_Prdt],MATCH(tbl_Ventes[[#This Row],[Produit]],tbl_ProduitsRef[Produit],0)),
   ""
)</f>
        <v/>
      </c>
      <c r="E1771" s="7">
        <v>0</v>
      </c>
      <c r="F1771" s="7" t="str">
        <f>IFERROR(
   INDEX(tbl_ProduitsRef[Prix Menu],MATCH(tbl_Ventes[[#This Row],[Produit]],tbl_ProduitsRef[Produit],0)),
   ""
)</f>
        <v/>
      </c>
      <c r="G1771" s="7">
        <f>tbl_Ventes[[#This Row],[Qté Vendue]] * IFERROR(_xlfn.XLOOKUP(tbl_Ventes[[#This Row],[Cde_Prdt]], tbl_Produits[Cde_Prdt], tbl_Produits[Prix Menu]), 0)</f>
        <v>0</v>
      </c>
      <c r="H1771" s="7">
        <f>IFERROR(_xlfn.XLOOKUP(tbl_Ventes[[#This Row],[Cde_Prdt]], tbl_Produits[Cde_Prdt], tbl_Produits[Coût Moyen Portion]), 0)</f>
        <v>0</v>
      </c>
      <c r="I1771" s="7">
        <f>tbl_Ventes[[#This Row],[Qté Vendue]] * tbl_Ventes[[#This Row],[CMP_par_portion]]</f>
        <v>0</v>
      </c>
      <c r="J1771" s="7">
        <f>tbl_Ventes[[#This Row],[CA ligne]] - tbl_Ventes[[#This Row],[Coût matière ligne]]</f>
        <v>0</v>
      </c>
      <c r="K1771" s="7" t="str">
        <f>IFERROR(INDEX(tbl_ProduitsRef[Famille], MATCH(tbl_Ventes[[#This Row],[Cde_Prdt]], tbl_Produits[Cde_Prdt], 0)), "")</f>
        <v/>
      </c>
    </row>
    <row r="1772" spans="1:11" x14ac:dyDescent="0.25">
      <c r="A1772" s="5"/>
      <c r="B1772" s="63" t="str">
        <f>IFERROR(TEXT(tbl_Ventes[[#This Row],[Date]],"mm-aaaa"),"")</f>
        <v>01-1900</v>
      </c>
      <c r="D1772" s="10" t="str">
        <f>IFERROR(
   INDEX(tbl_ProduitsRef[Cde_Prdt],MATCH(tbl_Ventes[[#This Row],[Produit]],tbl_ProduitsRef[Produit],0)),
   ""
)</f>
        <v/>
      </c>
      <c r="E1772" s="7">
        <v>0</v>
      </c>
      <c r="F1772" s="7" t="str">
        <f>IFERROR(
   INDEX(tbl_ProduitsRef[Prix Menu],MATCH(tbl_Ventes[[#This Row],[Produit]],tbl_ProduitsRef[Produit],0)),
   ""
)</f>
        <v/>
      </c>
      <c r="G1772" s="7">
        <f>tbl_Ventes[[#This Row],[Qté Vendue]] * IFERROR(_xlfn.XLOOKUP(tbl_Ventes[[#This Row],[Cde_Prdt]], tbl_Produits[Cde_Prdt], tbl_Produits[Prix Menu]), 0)</f>
        <v>0</v>
      </c>
      <c r="H1772" s="7">
        <f>IFERROR(_xlfn.XLOOKUP(tbl_Ventes[[#This Row],[Cde_Prdt]], tbl_Produits[Cde_Prdt], tbl_Produits[Coût Moyen Portion]), 0)</f>
        <v>0</v>
      </c>
      <c r="I1772" s="7">
        <f>tbl_Ventes[[#This Row],[Qté Vendue]] * tbl_Ventes[[#This Row],[CMP_par_portion]]</f>
        <v>0</v>
      </c>
      <c r="J1772" s="7">
        <f>tbl_Ventes[[#This Row],[CA ligne]] - tbl_Ventes[[#This Row],[Coût matière ligne]]</f>
        <v>0</v>
      </c>
      <c r="K1772" s="7" t="str">
        <f>IFERROR(INDEX(tbl_ProduitsRef[Famille], MATCH(tbl_Ventes[[#This Row],[Cde_Prdt]], tbl_Produits[Cde_Prdt], 0)), "")</f>
        <v/>
      </c>
    </row>
    <row r="1773" spans="1:11" x14ac:dyDescent="0.25">
      <c r="A1773" s="5"/>
      <c r="B1773" s="63" t="str">
        <f>IFERROR(TEXT(tbl_Ventes[[#This Row],[Date]],"mm-aaaa"),"")</f>
        <v>01-1900</v>
      </c>
      <c r="D1773" s="10" t="str">
        <f>IFERROR(
   INDEX(tbl_ProduitsRef[Cde_Prdt],MATCH(tbl_Ventes[[#This Row],[Produit]],tbl_ProduitsRef[Produit],0)),
   ""
)</f>
        <v/>
      </c>
      <c r="E1773" s="7">
        <v>0</v>
      </c>
      <c r="F1773" s="7" t="str">
        <f>IFERROR(
   INDEX(tbl_ProduitsRef[Prix Menu],MATCH(tbl_Ventes[[#This Row],[Produit]],tbl_ProduitsRef[Produit],0)),
   ""
)</f>
        <v/>
      </c>
      <c r="G1773" s="7">
        <f>tbl_Ventes[[#This Row],[Qté Vendue]] * IFERROR(_xlfn.XLOOKUP(tbl_Ventes[[#This Row],[Cde_Prdt]], tbl_Produits[Cde_Prdt], tbl_Produits[Prix Menu]), 0)</f>
        <v>0</v>
      </c>
      <c r="H1773" s="7">
        <f>IFERROR(_xlfn.XLOOKUP(tbl_Ventes[[#This Row],[Cde_Prdt]], tbl_Produits[Cde_Prdt], tbl_Produits[Coût Moyen Portion]), 0)</f>
        <v>0</v>
      </c>
      <c r="I1773" s="7">
        <f>tbl_Ventes[[#This Row],[Qté Vendue]] * tbl_Ventes[[#This Row],[CMP_par_portion]]</f>
        <v>0</v>
      </c>
      <c r="J1773" s="7">
        <f>tbl_Ventes[[#This Row],[CA ligne]] - tbl_Ventes[[#This Row],[Coût matière ligne]]</f>
        <v>0</v>
      </c>
      <c r="K1773" s="7" t="str">
        <f>IFERROR(INDEX(tbl_ProduitsRef[Famille], MATCH(tbl_Ventes[[#This Row],[Cde_Prdt]], tbl_Produits[Cde_Prdt], 0)), "")</f>
        <v/>
      </c>
    </row>
    <row r="1774" spans="1:11" x14ac:dyDescent="0.25">
      <c r="A1774" s="5"/>
      <c r="B1774" s="63" t="str">
        <f>IFERROR(TEXT(tbl_Ventes[[#This Row],[Date]],"mm-aaaa"),"")</f>
        <v>01-1900</v>
      </c>
      <c r="D1774" s="10" t="str">
        <f>IFERROR(
   INDEX(tbl_ProduitsRef[Cde_Prdt],MATCH(tbl_Ventes[[#This Row],[Produit]],tbl_ProduitsRef[Produit],0)),
   ""
)</f>
        <v/>
      </c>
      <c r="E1774" s="7">
        <v>0</v>
      </c>
      <c r="F1774" s="7" t="str">
        <f>IFERROR(
   INDEX(tbl_ProduitsRef[Prix Menu],MATCH(tbl_Ventes[[#This Row],[Produit]],tbl_ProduitsRef[Produit],0)),
   ""
)</f>
        <v/>
      </c>
      <c r="G1774" s="7">
        <f>tbl_Ventes[[#This Row],[Qté Vendue]] * IFERROR(_xlfn.XLOOKUP(tbl_Ventes[[#This Row],[Cde_Prdt]], tbl_Produits[Cde_Prdt], tbl_Produits[Prix Menu]), 0)</f>
        <v>0</v>
      </c>
      <c r="H1774" s="7">
        <f>IFERROR(_xlfn.XLOOKUP(tbl_Ventes[[#This Row],[Cde_Prdt]], tbl_Produits[Cde_Prdt], tbl_Produits[Coût Moyen Portion]), 0)</f>
        <v>0</v>
      </c>
      <c r="I1774" s="7">
        <f>tbl_Ventes[[#This Row],[Qté Vendue]] * tbl_Ventes[[#This Row],[CMP_par_portion]]</f>
        <v>0</v>
      </c>
      <c r="J1774" s="7">
        <f>tbl_Ventes[[#This Row],[CA ligne]] - tbl_Ventes[[#This Row],[Coût matière ligne]]</f>
        <v>0</v>
      </c>
      <c r="K1774" s="7" t="str">
        <f>IFERROR(INDEX(tbl_ProduitsRef[Famille], MATCH(tbl_Ventes[[#This Row],[Cde_Prdt]], tbl_Produits[Cde_Prdt], 0)), "")</f>
        <v/>
      </c>
    </row>
    <row r="1775" spans="1:11" x14ac:dyDescent="0.25">
      <c r="A1775" s="5"/>
      <c r="B1775" s="63" t="str">
        <f>IFERROR(TEXT(tbl_Ventes[[#This Row],[Date]],"mm-aaaa"),"")</f>
        <v>01-1900</v>
      </c>
      <c r="D1775" s="10" t="str">
        <f>IFERROR(
   INDEX(tbl_ProduitsRef[Cde_Prdt],MATCH(tbl_Ventes[[#This Row],[Produit]],tbl_ProduitsRef[Produit],0)),
   ""
)</f>
        <v/>
      </c>
      <c r="E1775" s="7">
        <v>0</v>
      </c>
      <c r="F1775" s="7" t="str">
        <f>IFERROR(
   INDEX(tbl_ProduitsRef[Prix Menu],MATCH(tbl_Ventes[[#This Row],[Produit]],tbl_ProduitsRef[Produit],0)),
   ""
)</f>
        <v/>
      </c>
      <c r="G1775" s="7">
        <f>tbl_Ventes[[#This Row],[Qté Vendue]] * IFERROR(_xlfn.XLOOKUP(tbl_Ventes[[#This Row],[Cde_Prdt]], tbl_Produits[Cde_Prdt], tbl_Produits[Prix Menu]), 0)</f>
        <v>0</v>
      </c>
      <c r="H1775" s="7">
        <f>IFERROR(_xlfn.XLOOKUP(tbl_Ventes[[#This Row],[Cde_Prdt]], tbl_Produits[Cde_Prdt], tbl_Produits[Coût Moyen Portion]), 0)</f>
        <v>0</v>
      </c>
      <c r="I1775" s="7">
        <f>tbl_Ventes[[#This Row],[Qté Vendue]] * tbl_Ventes[[#This Row],[CMP_par_portion]]</f>
        <v>0</v>
      </c>
      <c r="J1775" s="7">
        <f>tbl_Ventes[[#This Row],[CA ligne]] - tbl_Ventes[[#This Row],[Coût matière ligne]]</f>
        <v>0</v>
      </c>
      <c r="K1775" s="7" t="str">
        <f>IFERROR(INDEX(tbl_ProduitsRef[Famille], MATCH(tbl_Ventes[[#This Row],[Cde_Prdt]], tbl_Produits[Cde_Prdt], 0)), "")</f>
        <v/>
      </c>
    </row>
    <row r="1776" spans="1:11" x14ac:dyDescent="0.25">
      <c r="A1776" s="5"/>
      <c r="B1776" s="63" t="str">
        <f>IFERROR(TEXT(tbl_Ventes[[#This Row],[Date]],"mm-aaaa"),"")</f>
        <v>01-1900</v>
      </c>
      <c r="D1776" s="10" t="str">
        <f>IFERROR(
   INDEX(tbl_ProduitsRef[Cde_Prdt],MATCH(tbl_Ventes[[#This Row],[Produit]],tbl_ProduitsRef[Produit],0)),
   ""
)</f>
        <v/>
      </c>
      <c r="E1776" s="7">
        <v>0</v>
      </c>
      <c r="F1776" s="7" t="str">
        <f>IFERROR(
   INDEX(tbl_ProduitsRef[Prix Menu],MATCH(tbl_Ventes[[#This Row],[Produit]],tbl_ProduitsRef[Produit],0)),
   ""
)</f>
        <v/>
      </c>
      <c r="G1776" s="7">
        <f>tbl_Ventes[[#This Row],[Qté Vendue]] * IFERROR(_xlfn.XLOOKUP(tbl_Ventes[[#This Row],[Cde_Prdt]], tbl_Produits[Cde_Prdt], tbl_Produits[Prix Menu]), 0)</f>
        <v>0</v>
      </c>
      <c r="H1776" s="7">
        <f>IFERROR(_xlfn.XLOOKUP(tbl_Ventes[[#This Row],[Cde_Prdt]], tbl_Produits[Cde_Prdt], tbl_Produits[Coût Moyen Portion]), 0)</f>
        <v>0</v>
      </c>
      <c r="I1776" s="7">
        <f>tbl_Ventes[[#This Row],[Qté Vendue]] * tbl_Ventes[[#This Row],[CMP_par_portion]]</f>
        <v>0</v>
      </c>
      <c r="J1776" s="7">
        <f>tbl_Ventes[[#This Row],[CA ligne]] - tbl_Ventes[[#This Row],[Coût matière ligne]]</f>
        <v>0</v>
      </c>
      <c r="K1776" s="7" t="str">
        <f>IFERROR(INDEX(tbl_ProduitsRef[Famille], MATCH(tbl_Ventes[[#This Row],[Cde_Prdt]], tbl_Produits[Cde_Prdt], 0)), "")</f>
        <v/>
      </c>
    </row>
    <row r="1777" spans="1:11" x14ac:dyDescent="0.25">
      <c r="A1777" s="5"/>
      <c r="B1777" s="63" t="str">
        <f>IFERROR(TEXT(tbl_Ventes[[#This Row],[Date]],"mm-aaaa"),"")</f>
        <v>01-1900</v>
      </c>
      <c r="D1777" s="10" t="str">
        <f>IFERROR(
   INDEX(tbl_ProduitsRef[Cde_Prdt],MATCH(tbl_Ventes[[#This Row],[Produit]],tbl_ProduitsRef[Produit],0)),
   ""
)</f>
        <v/>
      </c>
      <c r="E1777" s="7">
        <v>0</v>
      </c>
      <c r="F1777" s="7" t="str">
        <f>IFERROR(
   INDEX(tbl_ProduitsRef[Prix Menu],MATCH(tbl_Ventes[[#This Row],[Produit]],tbl_ProduitsRef[Produit],0)),
   ""
)</f>
        <v/>
      </c>
      <c r="G1777" s="7">
        <f>tbl_Ventes[[#This Row],[Qté Vendue]] * IFERROR(_xlfn.XLOOKUP(tbl_Ventes[[#This Row],[Cde_Prdt]], tbl_Produits[Cde_Prdt], tbl_Produits[Prix Menu]), 0)</f>
        <v>0</v>
      </c>
      <c r="H1777" s="7">
        <f>IFERROR(_xlfn.XLOOKUP(tbl_Ventes[[#This Row],[Cde_Prdt]], tbl_Produits[Cde_Prdt], tbl_Produits[Coût Moyen Portion]), 0)</f>
        <v>0</v>
      </c>
      <c r="I1777" s="7">
        <f>tbl_Ventes[[#This Row],[Qté Vendue]] * tbl_Ventes[[#This Row],[CMP_par_portion]]</f>
        <v>0</v>
      </c>
      <c r="J1777" s="7">
        <f>tbl_Ventes[[#This Row],[CA ligne]] - tbl_Ventes[[#This Row],[Coût matière ligne]]</f>
        <v>0</v>
      </c>
      <c r="K1777" s="7" t="str">
        <f>IFERROR(INDEX(tbl_ProduitsRef[Famille], MATCH(tbl_Ventes[[#This Row],[Cde_Prdt]], tbl_Produits[Cde_Prdt], 0)), "")</f>
        <v/>
      </c>
    </row>
    <row r="1778" spans="1:11" x14ac:dyDescent="0.25">
      <c r="A1778" s="5"/>
      <c r="B1778" s="63" t="str">
        <f>IFERROR(TEXT(tbl_Ventes[[#This Row],[Date]],"mm-aaaa"),"")</f>
        <v>01-1900</v>
      </c>
      <c r="D1778" s="10" t="str">
        <f>IFERROR(
   INDEX(tbl_ProduitsRef[Cde_Prdt],MATCH(tbl_Ventes[[#This Row],[Produit]],tbl_ProduitsRef[Produit],0)),
   ""
)</f>
        <v/>
      </c>
      <c r="E1778" s="7">
        <v>0</v>
      </c>
      <c r="F1778" s="7" t="str">
        <f>IFERROR(
   INDEX(tbl_ProduitsRef[Prix Menu],MATCH(tbl_Ventes[[#This Row],[Produit]],tbl_ProduitsRef[Produit],0)),
   ""
)</f>
        <v/>
      </c>
      <c r="G1778" s="7">
        <f>tbl_Ventes[[#This Row],[Qté Vendue]] * IFERROR(_xlfn.XLOOKUP(tbl_Ventes[[#This Row],[Cde_Prdt]], tbl_Produits[Cde_Prdt], tbl_Produits[Prix Menu]), 0)</f>
        <v>0</v>
      </c>
      <c r="H1778" s="7">
        <f>IFERROR(_xlfn.XLOOKUP(tbl_Ventes[[#This Row],[Cde_Prdt]], tbl_Produits[Cde_Prdt], tbl_Produits[Coût Moyen Portion]), 0)</f>
        <v>0</v>
      </c>
      <c r="I1778" s="7">
        <f>tbl_Ventes[[#This Row],[Qté Vendue]] * tbl_Ventes[[#This Row],[CMP_par_portion]]</f>
        <v>0</v>
      </c>
      <c r="J1778" s="7">
        <f>tbl_Ventes[[#This Row],[CA ligne]] - tbl_Ventes[[#This Row],[Coût matière ligne]]</f>
        <v>0</v>
      </c>
      <c r="K1778" s="7" t="str">
        <f>IFERROR(INDEX(tbl_ProduitsRef[Famille], MATCH(tbl_Ventes[[#This Row],[Cde_Prdt]], tbl_Produits[Cde_Prdt], 0)), "")</f>
        <v/>
      </c>
    </row>
    <row r="1779" spans="1:11" x14ac:dyDescent="0.25">
      <c r="A1779" s="5"/>
      <c r="B1779" s="63" t="str">
        <f>IFERROR(TEXT(tbl_Ventes[[#This Row],[Date]],"mm-aaaa"),"")</f>
        <v>01-1900</v>
      </c>
      <c r="D1779" s="10" t="str">
        <f>IFERROR(
   INDEX(tbl_ProduitsRef[Cde_Prdt],MATCH(tbl_Ventes[[#This Row],[Produit]],tbl_ProduitsRef[Produit],0)),
   ""
)</f>
        <v/>
      </c>
      <c r="E1779" s="7">
        <v>0</v>
      </c>
      <c r="F1779" s="7" t="str">
        <f>IFERROR(
   INDEX(tbl_ProduitsRef[Prix Menu],MATCH(tbl_Ventes[[#This Row],[Produit]],tbl_ProduitsRef[Produit],0)),
   ""
)</f>
        <v/>
      </c>
      <c r="G1779" s="7">
        <f>tbl_Ventes[[#This Row],[Qté Vendue]] * IFERROR(_xlfn.XLOOKUP(tbl_Ventes[[#This Row],[Cde_Prdt]], tbl_Produits[Cde_Prdt], tbl_Produits[Prix Menu]), 0)</f>
        <v>0</v>
      </c>
      <c r="H1779" s="7">
        <f>IFERROR(_xlfn.XLOOKUP(tbl_Ventes[[#This Row],[Cde_Prdt]], tbl_Produits[Cde_Prdt], tbl_Produits[Coût Moyen Portion]), 0)</f>
        <v>0</v>
      </c>
      <c r="I1779" s="7">
        <f>tbl_Ventes[[#This Row],[Qté Vendue]] * tbl_Ventes[[#This Row],[CMP_par_portion]]</f>
        <v>0</v>
      </c>
      <c r="J1779" s="7">
        <f>tbl_Ventes[[#This Row],[CA ligne]] - tbl_Ventes[[#This Row],[Coût matière ligne]]</f>
        <v>0</v>
      </c>
      <c r="K1779" s="7" t="str">
        <f>IFERROR(INDEX(tbl_ProduitsRef[Famille], MATCH(tbl_Ventes[[#This Row],[Cde_Prdt]], tbl_Produits[Cde_Prdt], 0)), "")</f>
        <v/>
      </c>
    </row>
    <row r="1780" spans="1:11" x14ac:dyDescent="0.25">
      <c r="A1780" s="5"/>
      <c r="B1780" s="63" t="str">
        <f>IFERROR(TEXT(tbl_Ventes[[#This Row],[Date]],"mm-aaaa"),"")</f>
        <v>01-1900</v>
      </c>
      <c r="D1780" s="10" t="str">
        <f>IFERROR(
   INDEX(tbl_ProduitsRef[Cde_Prdt],MATCH(tbl_Ventes[[#This Row],[Produit]],tbl_ProduitsRef[Produit],0)),
   ""
)</f>
        <v/>
      </c>
      <c r="E1780" s="7">
        <v>0</v>
      </c>
      <c r="F1780" s="7" t="str">
        <f>IFERROR(
   INDEX(tbl_ProduitsRef[Prix Menu],MATCH(tbl_Ventes[[#This Row],[Produit]],tbl_ProduitsRef[Produit],0)),
   ""
)</f>
        <v/>
      </c>
      <c r="G1780" s="7">
        <f>tbl_Ventes[[#This Row],[Qté Vendue]] * IFERROR(_xlfn.XLOOKUP(tbl_Ventes[[#This Row],[Cde_Prdt]], tbl_Produits[Cde_Prdt], tbl_Produits[Prix Menu]), 0)</f>
        <v>0</v>
      </c>
      <c r="H1780" s="7">
        <f>IFERROR(_xlfn.XLOOKUP(tbl_Ventes[[#This Row],[Cde_Prdt]], tbl_Produits[Cde_Prdt], tbl_Produits[Coût Moyen Portion]), 0)</f>
        <v>0</v>
      </c>
      <c r="I1780" s="7">
        <f>tbl_Ventes[[#This Row],[Qté Vendue]] * tbl_Ventes[[#This Row],[CMP_par_portion]]</f>
        <v>0</v>
      </c>
      <c r="J1780" s="7">
        <f>tbl_Ventes[[#This Row],[CA ligne]] - tbl_Ventes[[#This Row],[Coût matière ligne]]</f>
        <v>0</v>
      </c>
      <c r="K1780" s="7" t="str">
        <f>IFERROR(INDEX(tbl_ProduitsRef[Famille], MATCH(tbl_Ventes[[#This Row],[Cde_Prdt]], tbl_Produits[Cde_Prdt], 0)), "")</f>
        <v/>
      </c>
    </row>
    <row r="1781" spans="1:11" x14ac:dyDescent="0.25">
      <c r="A1781" s="5"/>
      <c r="B1781" s="63" t="str">
        <f>IFERROR(TEXT(tbl_Ventes[[#This Row],[Date]],"mm-aaaa"),"")</f>
        <v>01-1900</v>
      </c>
      <c r="D1781" s="10" t="str">
        <f>IFERROR(
   INDEX(tbl_ProduitsRef[Cde_Prdt],MATCH(tbl_Ventes[[#This Row],[Produit]],tbl_ProduitsRef[Produit],0)),
   ""
)</f>
        <v/>
      </c>
      <c r="E1781" s="7">
        <v>0</v>
      </c>
      <c r="F1781" s="7" t="str">
        <f>IFERROR(
   INDEX(tbl_ProduitsRef[Prix Menu],MATCH(tbl_Ventes[[#This Row],[Produit]],tbl_ProduitsRef[Produit],0)),
   ""
)</f>
        <v/>
      </c>
      <c r="G1781" s="7">
        <f>tbl_Ventes[[#This Row],[Qté Vendue]] * IFERROR(_xlfn.XLOOKUP(tbl_Ventes[[#This Row],[Cde_Prdt]], tbl_Produits[Cde_Prdt], tbl_Produits[Prix Menu]), 0)</f>
        <v>0</v>
      </c>
      <c r="H1781" s="7">
        <f>IFERROR(_xlfn.XLOOKUP(tbl_Ventes[[#This Row],[Cde_Prdt]], tbl_Produits[Cde_Prdt], tbl_Produits[Coût Moyen Portion]), 0)</f>
        <v>0</v>
      </c>
      <c r="I1781" s="7">
        <f>tbl_Ventes[[#This Row],[Qté Vendue]] * tbl_Ventes[[#This Row],[CMP_par_portion]]</f>
        <v>0</v>
      </c>
      <c r="J1781" s="7">
        <f>tbl_Ventes[[#This Row],[CA ligne]] - tbl_Ventes[[#This Row],[Coût matière ligne]]</f>
        <v>0</v>
      </c>
      <c r="K1781" s="7" t="str">
        <f>IFERROR(INDEX(tbl_ProduitsRef[Famille], MATCH(tbl_Ventes[[#This Row],[Cde_Prdt]], tbl_Produits[Cde_Prdt], 0)), "")</f>
        <v/>
      </c>
    </row>
    <row r="1782" spans="1:11" x14ac:dyDescent="0.25">
      <c r="A1782" s="5"/>
      <c r="B1782" s="63" t="str">
        <f>IFERROR(TEXT(tbl_Ventes[[#This Row],[Date]],"mm-aaaa"),"")</f>
        <v>01-1900</v>
      </c>
      <c r="D1782" s="10" t="str">
        <f>IFERROR(
   INDEX(tbl_ProduitsRef[Cde_Prdt],MATCH(tbl_Ventes[[#This Row],[Produit]],tbl_ProduitsRef[Produit],0)),
   ""
)</f>
        <v/>
      </c>
      <c r="E1782" s="7">
        <v>0</v>
      </c>
      <c r="F1782" s="7" t="str">
        <f>IFERROR(
   INDEX(tbl_ProduitsRef[Prix Menu],MATCH(tbl_Ventes[[#This Row],[Produit]],tbl_ProduitsRef[Produit],0)),
   ""
)</f>
        <v/>
      </c>
      <c r="G1782" s="7">
        <f>tbl_Ventes[[#This Row],[Qté Vendue]] * IFERROR(_xlfn.XLOOKUP(tbl_Ventes[[#This Row],[Cde_Prdt]], tbl_Produits[Cde_Prdt], tbl_Produits[Prix Menu]), 0)</f>
        <v>0</v>
      </c>
      <c r="H1782" s="7">
        <f>IFERROR(_xlfn.XLOOKUP(tbl_Ventes[[#This Row],[Cde_Prdt]], tbl_Produits[Cde_Prdt], tbl_Produits[Coût Moyen Portion]), 0)</f>
        <v>0</v>
      </c>
      <c r="I1782" s="7">
        <f>tbl_Ventes[[#This Row],[Qté Vendue]] * tbl_Ventes[[#This Row],[CMP_par_portion]]</f>
        <v>0</v>
      </c>
      <c r="J1782" s="7">
        <f>tbl_Ventes[[#This Row],[CA ligne]] - tbl_Ventes[[#This Row],[Coût matière ligne]]</f>
        <v>0</v>
      </c>
      <c r="K1782" s="7" t="str">
        <f>IFERROR(INDEX(tbl_ProduitsRef[Famille], MATCH(tbl_Ventes[[#This Row],[Cde_Prdt]], tbl_Produits[Cde_Prdt], 0)), "")</f>
        <v/>
      </c>
    </row>
    <row r="1783" spans="1:11" x14ac:dyDescent="0.25">
      <c r="A1783" s="5"/>
      <c r="B1783" s="63" t="str">
        <f>IFERROR(TEXT(tbl_Ventes[[#This Row],[Date]],"mm-aaaa"),"")</f>
        <v>01-1900</v>
      </c>
      <c r="D1783" s="10" t="str">
        <f>IFERROR(
   INDEX(tbl_ProduitsRef[Cde_Prdt],MATCH(tbl_Ventes[[#This Row],[Produit]],tbl_ProduitsRef[Produit],0)),
   ""
)</f>
        <v/>
      </c>
      <c r="E1783" s="7">
        <v>0</v>
      </c>
      <c r="F1783" s="7" t="str">
        <f>IFERROR(
   INDEX(tbl_ProduitsRef[Prix Menu],MATCH(tbl_Ventes[[#This Row],[Produit]],tbl_ProduitsRef[Produit],0)),
   ""
)</f>
        <v/>
      </c>
      <c r="G1783" s="7">
        <f>tbl_Ventes[[#This Row],[Qté Vendue]] * IFERROR(_xlfn.XLOOKUP(tbl_Ventes[[#This Row],[Cde_Prdt]], tbl_Produits[Cde_Prdt], tbl_Produits[Prix Menu]), 0)</f>
        <v>0</v>
      </c>
      <c r="H1783" s="7">
        <f>IFERROR(_xlfn.XLOOKUP(tbl_Ventes[[#This Row],[Cde_Prdt]], tbl_Produits[Cde_Prdt], tbl_Produits[Coût Moyen Portion]), 0)</f>
        <v>0</v>
      </c>
      <c r="I1783" s="7">
        <f>tbl_Ventes[[#This Row],[Qté Vendue]] * tbl_Ventes[[#This Row],[CMP_par_portion]]</f>
        <v>0</v>
      </c>
      <c r="J1783" s="7">
        <f>tbl_Ventes[[#This Row],[CA ligne]] - tbl_Ventes[[#This Row],[Coût matière ligne]]</f>
        <v>0</v>
      </c>
      <c r="K1783" s="7" t="str">
        <f>IFERROR(INDEX(tbl_ProduitsRef[Famille], MATCH(tbl_Ventes[[#This Row],[Cde_Prdt]], tbl_Produits[Cde_Prdt], 0)), "")</f>
        <v/>
      </c>
    </row>
    <row r="1784" spans="1:11" x14ac:dyDescent="0.25">
      <c r="A1784" s="5"/>
      <c r="B1784" s="63" t="str">
        <f>IFERROR(TEXT(tbl_Ventes[[#This Row],[Date]],"mm-aaaa"),"")</f>
        <v>01-1900</v>
      </c>
      <c r="D1784" s="10" t="str">
        <f>IFERROR(
   INDEX(tbl_ProduitsRef[Cde_Prdt],MATCH(tbl_Ventes[[#This Row],[Produit]],tbl_ProduitsRef[Produit],0)),
   ""
)</f>
        <v/>
      </c>
      <c r="E1784" s="7">
        <v>0</v>
      </c>
      <c r="F1784" s="7" t="str">
        <f>IFERROR(
   INDEX(tbl_ProduitsRef[Prix Menu],MATCH(tbl_Ventes[[#This Row],[Produit]],tbl_ProduitsRef[Produit],0)),
   ""
)</f>
        <v/>
      </c>
      <c r="G1784" s="7">
        <f>tbl_Ventes[[#This Row],[Qté Vendue]] * IFERROR(_xlfn.XLOOKUP(tbl_Ventes[[#This Row],[Cde_Prdt]], tbl_Produits[Cde_Prdt], tbl_Produits[Prix Menu]), 0)</f>
        <v>0</v>
      </c>
      <c r="H1784" s="7">
        <f>IFERROR(_xlfn.XLOOKUP(tbl_Ventes[[#This Row],[Cde_Prdt]], tbl_Produits[Cde_Prdt], tbl_Produits[Coût Moyen Portion]), 0)</f>
        <v>0</v>
      </c>
      <c r="I1784" s="7">
        <f>tbl_Ventes[[#This Row],[Qté Vendue]] * tbl_Ventes[[#This Row],[CMP_par_portion]]</f>
        <v>0</v>
      </c>
      <c r="J1784" s="7">
        <f>tbl_Ventes[[#This Row],[CA ligne]] - tbl_Ventes[[#This Row],[Coût matière ligne]]</f>
        <v>0</v>
      </c>
      <c r="K1784" s="7" t="str">
        <f>IFERROR(INDEX(tbl_ProduitsRef[Famille], MATCH(tbl_Ventes[[#This Row],[Cde_Prdt]], tbl_Produits[Cde_Prdt], 0)), "")</f>
        <v/>
      </c>
    </row>
    <row r="1785" spans="1:11" x14ac:dyDescent="0.25">
      <c r="A1785" s="5"/>
      <c r="B1785" s="63" t="str">
        <f>IFERROR(TEXT(tbl_Ventes[[#This Row],[Date]],"mm-aaaa"),"")</f>
        <v>01-1900</v>
      </c>
      <c r="D1785" s="10" t="str">
        <f>IFERROR(
   INDEX(tbl_ProduitsRef[Cde_Prdt],MATCH(tbl_Ventes[[#This Row],[Produit]],tbl_ProduitsRef[Produit],0)),
   ""
)</f>
        <v/>
      </c>
      <c r="E1785" s="7">
        <v>0</v>
      </c>
      <c r="F1785" s="7" t="str">
        <f>IFERROR(
   INDEX(tbl_ProduitsRef[Prix Menu],MATCH(tbl_Ventes[[#This Row],[Produit]],tbl_ProduitsRef[Produit],0)),
   ""
)</f>
        <v/>
      </c>
      <c r="G1785" s="7">
        <f>tbl_Ventes[[#This Row],[Qté Vendue]] * IFERROR(_xlfn.XLOOKUP(tbl_Ventes[[#This Row],[Cde_Prdt]], tbl_Produits[Cde_Prdt], tbl_Produits[Prix Menu]), 0)</f>
        <v>0</v>
      </c>
      <c r="H1785" s="7">
        <f>IFERROR(_xlfn.XLOOKUP(tbl_Ventes[[#This Row],[Cde_Prdt]], tbl_Produits[Cde_Prdt], tbl_Produits[Coût Moyen Portion]), 0)</f>
        <v>0</v>
      </c>
      <c r="I1785" s="7">
        <f>tbl_Ventes[[#This Row],[Qté Vendue]] * tbl_Ventes[[#This Row],[CMP_par_portion]]</f>
        <v>0</v>
      </c>
      <c r="J1785" s="7">
        <f>tbl_Ventes[[#This Row],[CA ligne]] - tbl_Ventes[[#This Row],[Coût matière ligne]]</f>
        <v>0</v>
      </c>
      <c r="K1785" s="7" t="str">
        <f>IFERROR(INDEX(tbl_ProduitsRef[Famille], MATCH(tbl_Ventes[[#This Row],[Cde_Prdt]], tbl_Produits[Cde_Prdt], 0)), "")</f>
        <v/>
      </c>
    </row>
    <row r="1786" spans="1:11" x14ac:dyDescent="0.25">
      <c r="A1786" s="5"/>
      <c r="B1786" s="63" t="str">
        <f>IFERROR(TEXT(tbl_Ventes[[#This Row],[Date]],"mm-aaaa"),"")</f>
        <v>01-1900</v>
      </c>
      <c r="D1786" s="10" t="str">
        <f>IFERROR(
   INDEX(tbl_ProduitsRef[Cde_Prdt],MATCH(tbl_Ventes[[#This Row],[Produit]],tbl_ProduitsRef[Produit],0)),
   ""
)</f>
        <v/>
      </c>
      <c r="E1786" s="7">
        <v>0</v>
      </c>
      <c r="F1786" s="7" t="str">
        <f>IFERROR(
   INDEX(tbl_ProduitsRef[Prix Menu],MATCH(tbl_Ventes[[#This Row],[Produit]],tbl_ProduitsRef[Produit],0)),
   ""
)</f>
        <v/>
      </c>
      <c r="G1786" s="7">
        <f>tbl_Ventes[[#This Row],[Qté Vendue]] * IFERROR(_xlfn.XLOOKUP(tbl_Ventes[[#This Row],[Cde_Prdt]], tbl_Produits[Cde_Prdt], tbl_Produits[Prix Menu]), 0)</f>
        <v>0</v>
      </c>
      <c r="H1786" s="7">
        <f>IFERROR(_xlfn.XLOOKUP(tbl_Ventes[[#This Row],[Cde_Prdt]], tbl_Produits[Cde_Prdt], tbl_Produits[Coût Moyen Portion]), 0)</f>
        <v>0</v>
      </c>
      <c r="I1786" s="7">
        <f>tbl_Ventes[[#This Row],[Qté Vendue]] * tbl_Ventes[[#This Row],[CMP_par_portion]]</f>
        <v>0</v>
      </c>
      <c r="J1786" s="7">
        <f>tbl_Ventes[[#This Row],[CA ligne]] - tbl_Ventes[[#This Row],[Coût matière ligne]]</f>
        <v>0</v>
      </c>
      <c r="K1786" s="7" t="str">
        <f>IFERROR(INDEX(tbl_ProduitsRef[Famille], MATCH(tbl_Ventes[[#This Row],[Cde_Prdt]], tbl_Produits[Cde_Prdt], 0)), "")</f>
        <v/>
      </c>
    </row>
    <row r="1787" spans="1:11" x14ac:dyDescent="0.25">
      <c r="A1787" s="5"/>
      <c r="B1787" s="63" t="str">
        <f>IFERROR(TEXT(tbl_Ventes[[#This Row],[Date]],"mm-aaaa"),"")</f>
        <v>01-1900</v>
      </c>
      <c r="D1787" s="10" t="str">
        <f>IFERROR(
   INDEX(tbl_ProduitsRef[Cde_Prdt],MATCH(tbl_Ventes[[#This Row],[Produit]],tbl_ProduitsRef[Produit],0)),
   ""
)</f>
        <v/>
      </c>
      <c r="E1787" s="7">
        <v>0</v>
      </c>
      <c r="F1787" s="7" t="str">
        <f>IFERROR(
   INDEX(tbl_ProduitsRef[Prix Menu],MATCH(tbl_Ventes[[#This Row],[Produit]],tbl_ProduitsRef[Produit],0)),
   ""
)</f>
        <v/>
      </c>
      <c r="G1787" s="7">
        <f>tbl_Ventes[[#This Row],[Qté Vendue]] * IFERROR(_xlfn.XLOOKUP(tbl_Ventes[[#This Row],[Cde_Prdt]], tbl_Produits[Cde_Prdt], tbl_Produits[Prix Menu]), 0)</f>
        <v>0</v>
      </c>
      <c r="H1787" s="7">
        <f>IFERROR(_xlfn.XLOOKUP(tbl_Ventes[[#This Row],[Cde_Prdt]], tbl_Produits[Cde_Prdt], tbl_Produits[Coût Moyen Portion]), 0)</f>
        <v>0</v>
      </c>
      <c r="I1787" s="7">
        <f>tbl_Ventes[[#This Row],[Qté Vendue]] * tbl_Ventes[[#This Row],[CMP_par_portion]]</f>
        <v>0</v>
      </c>
      <c r="J1787" s="7">
        <f>tbl_Ventes[[#This Row],[CA ligne]] - tbl_Ventes[[#This Row],[Coût matière ligne]]</f>
        <v>0</v>
      </c>
      <c r="K1787" s="7" t="str">
        <f>IFERROR(INDEX(tbl_ProduitsRef[Famille], MATCH(tbl_Ventes[[#This Row],[Cde_Prdt]], tbl_Produits[Cde_Prdt], 0)), "")</f>
        <v/>
      </c>
    </row>
    <row r="1788" spans="1:11" x14ac:dyDescent="0.25">
      <c r="A1788" s="5"/>
      <c r="B1788" s="63" t="str">
        <f>IFERROR(TEXT(tbl_Ventes[[#This Row],[Date]],"mm-aaaa"),"")</f>
        <v>01-1900</v>
      </c>
      <c r="D1788" s="10" t="str">
        <f>IFERROR(
   INDEX(tbl_ProduitsRef[Cde_Prdt],MATCH(tbl_Ventes[[#This Row],[Produit]],tbl_ProduitsRef[Produit],0)),
   ""
)</f>
        <v/>
      </c>
      <c r="E1788" s="7">
        <v>0</v>
      </c>
      <c r="F1788" s="7" t="str">
        <f>IFERROR(
   INDEX(tbl_ProduitsRef[Prix Menu],MATCH(tbl_Ventes[[#This Row],[Produit]],tbl_ProduitsRef[Produit],0)),
   ""
)</f>
        <v/>
      </c>
      <c r="G1788" s="7">
        <f>tbl_Ventes[[#This Row],[Qté Vendue]] * IFERROR(_xlfn.XLOOKUP(tbl_Ventes[[#This Row],[Cde_Prdt]], tbl_Produits[Cde_Prdt], tbl_Produits[Prix Menu]), 0)</f>
        <v>0</v>
      </c>
      <c r="H1788" s="7">
        <f>IFERROR(_xlfn.XLOOKUP(tbl_Ventes[[#This Row],[Cde_Prdt]], tbl_Produits[Cde_Prdt], tbl_Produits[Coût Moyen Portion]), 0)</f>
        <v>0</v>
      </c>
      <c r="I1788" s="7">
        <f>tbl_Ventes[[#This Row],[Qté Vendue]] * tbl_Ventes[[#This Row],[CMP_par_portion]]</f>
        <v>0</v>
      </c>
      <c r="J1788" s="7">
        <f>tbl_Ventes[[#This Row],[CA ligne]] - tbl_Ventes[[#This Row],[Coût matière ligne]]</f>
        <v>0</v>
      </c>
      <c r="K1788" s="7" t="str">
        <f>IFERROR(INDEX(tbl_ProduitsRef[Famille], MATCH(tbl_Ventes[[#This Row],[Cde_Prdt]], tbl_Produits[Cde_Prdt], 0)), "")</f>
        <v/>
      </c>
    </row>
    <row r="1789" spans="1:11" x14ac:dyDescent="0.25">
      <c r="A1789" s="5"/>
      <c r="B1789" s="63" t="str">
        <f>IFERROR(TEXT(tbl_Ventes[[#This Row],[Date]],"mm-aaaa"),"")</f>
        <v>01-1900</v>
      </c>
      <c r="D1789" s="10" t="str">
        <f>IFERROR(
   INDEX(tbl_ProduitsRef[Cde_Prdt],MATCH(tbl_Ventes[[#This Row],[Produit]],tbl_ProduitsRef[Produit],0)),
   ""
)</f>
        <v/>
      </c>
      <c r="E1789" s="7">
        <v>0</v>
      </c>
      <c r="F1789" s="7" t="str">
        <f>IFERROR(
   INDEX(tbl_ProduitsRef[Prix Menu],MATCH(tbl_Ventes[[#This Row],[Produit]],tbl_ProduitsRef[Produit],0)),
   ""
)</f>
        <v/>
      </c>
      <c r="G1789" s="7">
        <f>tbl_Ventes[[#This Row],[Qté Vendue]] * IFERROR(_xlfn.XLOOKUP(tbl_Ventes[[#This Row],[Cde_Prdt]], tbl_Produits[Cde_Prdt], tbl_Produits[Prix Menu]), 0)</f>
        <v>0</v>
      </c>
      <c r="H1789" s="7">
        <f>IFERROR(_xlfn.XLOOKUP(tbl_Ventes[[#This Row],[Cde_Prdt]], tbl_Produits[Cde_Prdt], tbl_Produits[Coût Moyen Portion]), 0)</f>
        <v>0</v>
      </c>
      <c r="I1789" s="7">
        <f>tbl_Ventes[[#This Row],[Qté Vendue]] * tbl_Ventes[[#This Row],[CMP_par_portion]]</f>
        <v>0</v>
      </c>
      <c r="J1789" s="7">
        <f>tbl_Ventes[[#This Row],[CA ligne]] - tbl_Ventes[[#This Row],[Coût matière ligne]]</f>
        <v>0</v>
      </c>
      <c r="K1789" s="7" t="str">
        <f>IFERROR(INDEX(tbl_ProduitsRef[Famille], MATCH(tbl_Ventes[[#This Row],[Cde_Prdt]], tbl_Produits[Cde_Prdt], 0)), "")</f>
        <v/>
      </c>
    </row>
    <row r="1790" spans="1:11" x14ac:dyDescent="0.25">
      <c r="A1790" s="5"/>
      <c r="B1790" s="63" t="str">
        <f>IFERROR(TEXT(tbl_Ventes[[#This Row],[Date]],"mm-aaaa"),"")</f>
        <v>01-1900</v>
      </c>
      <c r="D1790" s="10" t="str">
        <f>IFERROR(
   INDEX(tbl_ProduitsRef[Cde_Prdt],MATCH(tbl_Ventes[[#This Row],[Produit]],tbl_ProduitsRef[Produit],0)),
   ""
)</f>
        <v/>
      </c>
      <c r="E1790" s="7">
        <v>0</v>
      </c>
      <c r="F1790" s="7" t="str">
        <f>IFERROR(
   INDEX(tbl_ProduitsRef[Prix Menu],MATCH(tbl_Ventes[[#This Row],[Produit]],tbl_ProduitsRef[Produit],0)),
   ""
)</f>
        <v/>
      </c>
      <c r="G1790" s="7">
        <f>tbl_Ventes[[#This Row],[Qté Vendue]] * IFERROR(_xlfn.XLOOKUP(tbl_Ventes[[#This Row],[Cde_Prdt]], tbl_Produits[Cde_Prdt], tbl_Produits[Prix Menu]), 0)</f>
        <v>0</v>
      </c>
      <c r="H1790" s="7">
        <f>IFERROR(_xlfn.XLOOKUP(tbl_Ventes[[#This Row],[Cde_Prdt]], tbl_Produits[Cde_Prdt], tbl_Produits[Coût Moyen Portion]), 0)</f>
        <v>0</v>
      </c>
      <c r="I1790" s="7">
        <f>tbl_Ventes[[#This Row],[Qté Vendue]] * tbl_Ventes[[#This Row],[CMP_par_portion]]</f>
        <v>0</v>
      </c>
      <c r="J1790" s="7">
        <f>tbl_Ventes[[#This Row],[CA ligne]] - tbl_Ventes[[#This Row],[Coût matière ligne]]</f>
        <v>0</v>
      </c>
      <c r="K1790" s="7" t="str">
        <f>IFERROR(INDEX(tbl_ProduitsRef[Famille], MATCH(tbl_Ventes[[#This Row],[Cde_Prdt]], tbl_Produits[Cde_Prdt], 0)), "")</f>
        <v/>
      </c>
    </row>
    <row r="1791" spans="1:11" x14ac:dyDescent="0.25">
      <c r="A1791" s="5"/>
      <c r="B1791" s="63" t="str">
        <f>IFERROR(TEXT(tbl_Ventes[[#This Row],[Date]],"mm-aaaa"),"")</f>
        <v>01-1900</v>
      </c>
      <c r="D1791" s="10" t="str">
        <f>IFERROR(
   INDEX(tbl_ProduitsRef[Cde_Prdt],MATCH(tbl_Ventes[[#This Row],[Produit]],tbl_ProduitsRef[Produit],0)),
   ""
)</f>
        <v/>
      </c>
      <c r="E1791" s="7">
        <v>0</v>
      </c>
      <c r="F1791" s="7" t="str">
        <f>IFERROR(
   INDEX(tbl_ProduitsRef[Prix Menu],MATCH(tbl_Ventes[[#This Row],[Produit]],tbl_ProduitsRef[Produit],0)),
   ""
)</f>
        <v/>
      </c>
      <c r="G1791" s="7">
        <f>tbl_Ventes[[#This Row],[Qté Vendue]] * IFERROR(_xlfn.XLOOKUP(tbl_Ventes[[#This Row],[Cde_Prdt]], tbl_Produits[Cde_Prdt], tbl_Produits[Prix Menu]), 0)</f>
        <v>0</v>
      </c>
      <c r="H1791" s="7">
        <f>IFERROR(_xlfn.XLOOKUP(tbl_Ventes[[#This Row],[Cde_Prdt]], tbl_Produits[Cde_Prdt], tbl_Produits[Coût Moyen Portion]), 0)</f>
        <v>0</v>
      </c>
      <c r="I1791" s="7">
        <f>tbl_Ventes[[#This Row],[Qté Vendue]] * tbl_Ventes[[#This Row],[CMP_par_portion]]</f>
        <v>0</v>
      </c>
      <c r="J1791" s="7">
        <f>tbl_Ventes[[#This Row],[CA ligne]] - tbl_Ventes[[#This Row],[Coût matière ligne]]</f>
        <v>0</v>
      </c>
      <c r="K1791" s="7" t="str">
        <f>IFERROR(INDEX(tbl_ProduitsRef[Famille], MATCH(tbl_Ventes[[#This Row],[Cde_Prdt]], tbl_Produits[Cde_Prdt], 0)), "")</f>
        <v/>
      </c>
    </row>
    <row r="1792" spans="1:11" x14ac:dyDescent="0.25">
      <c r="A1792" s="5"/>
      <c r="B1792" s="63" t="str">
        <f>IFERROR(TEXT(tbl_Ventes[[#This Row],[Date]],"mm-aaaa"),"")</f>
        <v>01-1900</v>
      </c>
      <c r="D1792" s="10" t="str">
        <f>IFERROR(
   INDEX(tbl_ProduitsRef[Cde_Prdt],MATCH(tbl_Ventes[[#This Row],[Produit]],tbl_ProduitsRef[Produit],0)),
   ""
)</f>
        <v/>
      </c>
      <c r="E1792" s="7">
        <v>0</v>
      </c>
      <c r="F1792" s="7" t="str">
        <f>IFERROR(
   INDEX(tbl_ProduitsRef[Prix Menu],MATCH(tbl_Ventes[[#This Row],[Produit]],tbl_ProduitsRef[Produit],0)),
   ""
)</f>
        <v/>
      </c>
      <c r="G1792" s="7">
        <f>tbl_Ventes[[#This Row],[Qté Vendue]] * IFERROR(_xlfn.XLOOKUP(tbl_Ventes[[#This Row],[Cde_Prdt]], tbl_Produits[Cde_Prdt], tbl_Produits[Prix Menu]), 0)</f>
        <v>0</v>
      </c>
      <c r="H1792" s="7">
        <f>IFERROR(_xlfn.XLOOKUP(tbl_Ventes[[#This Row],[Cde_Prdt]], tbl_Produits[Cde_Prdt], tbl_Produits[Coût Moyen Portion]), 0)</f>
        <v>0</v>
      </c>
      <c r="I1792" s="7">
        <f>tbl_Ventes[[#This Row],[Qté Vendue]] * tbl_Ventes[[#This Row],[CMP_par_portion]]</f>
        <v>0</v>
      </c>
      <c r="J1792" s="7">
        <f>tbl_Ventes[[#This Row],[CA ligne]] - tbl_Ventes[[#This Row],[Coût matière ligne]]</f>
        <v>0</v>
      </c>
      <c r="K1792" s="7" t="str">
        <f>IFERROR(INDEX(tbl_ProduitsRef[Famille], MATCH(tbl_Ventes[[#This Row],[Cde_Prdt]], tbl_Produits[Cde_Prdt], 0)), "")</f>
        <v/>
      </c>
    </row>
    <row r="1793" spans="1:11" x14ac:dyDescent="0.25">
      <c r="A1793" s="5"/>
      <c r="B1793" s="63" t="str">
        <f>IFERROR(TEXT(tbl_Ventes[[#This Row],[Date]],"mm-aaaa"),"")</f>
        <v>01-1900</v>
      </c>
      <c r="D1793" s="10" t="str">
        <f>IFERROR(
   INDEX(tbl_ProduitsRef[Cde_Prdt],MATCH(tbl_Ventes[[#This Row],[Produit]],tbl_ProduitsRef[Produit],0)),
   ""
)</f>
        <v/>
      </c>
      <c r="E1793" s="7">
        <v>0</v>
      </c>
      <c r="F1793" s="7" t="str">
        <f>IFERROR(
   INDEX(tbl_ProduitsRef[Prix Menu],MATCH(tbl_Ventes[[#This Row],[Produit]],tbl_ProduitsRef[Produit],0)),
   ""
)</f>
        <v/>
      </c>
      <c r="G1793" s="7">
        <f>tbl_Ventes[[#This Row],[Qté Vendue]] * IFERROR(_xlfn.XLOOKUP(tbl_Ventes[[#This Row],[Cde_Prdt]], tbl_Produits[Cde_Prdt], tbl_Produits[Prix Menu]), 0)</f>
        <v>0</v>
      </c>
      <c r="H1793" s="7">
        <f>IFERROR(_xlfn.XLOOKUP(tbl_Ventes[[#This Row],[Cde_Prdt]], tbl_Produits[Cde_Prdt], tbl_Produits[Coût Moyen Portion]), 0)</f>
        <v>0</v>
      </c>
      <c r="I1793" s="7">
        <f>tbl_Ventes[[#This Row],[Qté Vendue]] * tbl_Ventes[[#This Row],[CMP_par_portion]]</f>
        <v>0</v>
      </c>
      <c r="J1793" s="7">
        <f>tbl_Ventes[[#This Row],[CA ligne]] - tbl_Ventes[[#This Row],[Coût matière ligne]]</f>
        <v>0</v>
      </c>
      <c r="K1793" s="7" t="str">
        <f>IFERROR(INDEX(tbl_ProduitsRef[Famille], MATCH(tbl_Ventes[[#This Row],[Cde_Prdt]], tbl_Produits[Cde_Prdt], 0)), "")</f>
        <v/>
      </c>
    </row>
    <row r="1794" spans="1:11" x14ac:dyDescent="0.25">
      <c r="A1794" s="5"/>
      <c r="B1794" s="63" t="str">
        <f>IFERROR(TEXT(tbl_Ventes[[#This Row],[Date]],"mm-aaaa"),"")</f>
        <v>01-1900</v>
      </c>
      <c r="D1794" s="10" t="str">
        <f>IFERROR(
   INDEX(tbl_ProduitsRef[Cde_Prdt],MATCH(tbl_Ventes[[#This Row],[Produit]],tbl_ProduitsRef[Produit],0)),
   ""
)</f>
        <v/>
      </c>
      <c r="E1794" s="7">
        <v>0</v>
      </c>
      <c r="F1794" s="7" t="str">
        <f>IFERROR(
   INDEX(tbl_ProduitsRef[Prix Menu],MATCH(tbl_Ventes[[#This Row],[Produit]],tbl_ProduitsRef[Produit],0)),
   ""
)</f>
        <v/>
      </c>
      <c r="G1794" s="7">
        <f>tbl_Ventes[[#This Row],[Qté Vendue]] * IFERROR(_xlfn.XLOOKUP(tbl_Ventes[[#This Row],[Cde_Prdt]], tbl_Produits[Cde_Prdt], tbl_Produits[Prix Menu]), 0)</f>
        <v>0</v>
      </c>
      <c r="H1794" s="7">
        <f>IFERROR(_xlfn.XLOOKUP(tbl_Ventes[[#This Row],[Cde_Prdt]], tbl_Produits[Cde_Prdt], tbl_Produits[Coût Moyen Portion]), 0)</f>
        <v>0</v>
      </c>
      <c r="I1794" s="7">
        <f>tbl_Ventes[[#This Row],[Qté Vendue]] * tbl_Ventes[[#This Row],[CMP_par_portion]]</f>
        <v>0</v>
      </c>
      <c r="J1794" s="7">
        <f>tbl_Ventes[[#This Row],[CA ligne]] - tbl_Ventes[[#This Row],[Coût matière ligne]]</f>
        <v>0</v>
      </c>
      <c r="K1794" s="7" t="str">
        <f>IFERROR(INDEX(tbl_ProduitsRef[Famille], MATCH(tbl_Ventes[[#This Row],[Cde_Prdt]], tbl_Produits[Cde_Prdt], 0)), "")</f>
        <v/>
      </c>
    </row>
    <row r="1795" spans="1:11" x14ac:dyDescent="0.25">
      <c r="A1795" s="5"/>
      <c r="B1795" s="63" t="str">
        <f>IFERROR(TEXT(tbl_Ventes[[#This Row],[Date]],"mm-aaaa"),"")</f>
        <v>01-1900</v>
      </c>
      <c r="D1795" s="10" t="str">
        <f>IFERROR(
   INDEX(tbl_ProduitsRef[Cde_Prdt],MATCH(tbl_Ventes[[#This Row],[Produit]],tbl_ProduitsRef[Produit],0)),
   ""
)</f>
        <v/>
      </c>
      <c r="E1795" s="7">
        <v>0</v>
      </c>
      <c r="F1795" s="7" t="str">
        <f>IFERROR(
   INDEX(tbl_ProduitsRef[Prix Menu],MATCH(tbl_Ventes[[#This Row],[Produit]],tbl_ProduitsRef[Produit],0)),
   ""
)</f>
        <v/>
      </c>
      <c r="G1795" s="7">
        <f>tbl_Ventes[[#This Row],[Qté Vendue]] * IFERROR(_xlfn.XLOOKUP(tbl_Ventes[[#This Row],[Cde_Prdt]], tbl_Produits[Cde_Prdt], tbl_Produits[Prix Menu]), 0)</f>
        <v>0</v>
      </c>
      <c r="H1795" s="7">
        <f>IFERROR(_xlfn.XLOOKUP(tbl_Ventes[[#This Row],[Cde_Prdt]], tbl_Produits[Cde_Prdt], tbl_Produits[Coût Moyen Portion]), 0)</f>
        <v>0</v>
      </c>
      <c r="I1795" s="7">
        <f>tbl_Ventes[[#This Row],[Qté Vendue]] * tbl_Ventes[[#This Row],[CMP_par_portion]]</f>
        <v>0</v>
      </c>
      <c r="J1795" s="7">
        <f>tbl_Ventes[[#This Row],[CA ligne]] - tbl_Ventes[[#This Row],[Coût matière ligne]]</f>
        <v>0</v>
      </c>
      <c r="K1795" s="7" t="str">
        <f>IFERROR(INDEX(tbl_ProduitsRef[Famille], MATCH(tbl_Ventes[[#This Row],[Cde_Prdt]], tbl_Produits[Cde_Prdt], 0)), "")</f>
        <v/>
      </c>
    </row>
    <row r="1796" spans="1:11" x14ac:dyDescent="0.25">
      <c r="A1796" s="5"/>
      <c r="B1796" s="63" t="str">
        <f>IFERROR(TEXT(tbl_Ventes[[#This Row],[Date]],"mm-aaaa"),"")</f>
        <v>01-1900</v>
      </c>
      <c r="D1796" s="10" t="str">
        <f>IFERROR(
   INDEX(tbl_ProduitsRef[Cde_Prdt],MATCH(tbl_Ventes[[#This Row],[Produit]],tbl_ProduitsRef[Produit],0)),
   ""
)</f>
        <v/>
      </c>
      <c r="E1796" s="7">
        <v>0</v>
      </c>
      <c r="F1796" s="7" t="str">
        <f>IFERROR(
   INDEX(tbl_ProduitsRef[Prix Menu],MATCH(tbl_Ventes[[#This Row],[Produit]],tbl_ProduitsRef[Produit],0)),
   ""
)</f>
        <v/>
      </c>
      <c r="G1796" s="7">
        <f>tbl_Ventes[[#This Row],[Qté Vendue]] * IFERROR(_xlfn.XLOOKUP(tbl_Ventes[[#This Row],[Cde_Prdt]], tbl_Produits[Cde_Prdt], tbl_Produits[Prix Menu]), 0)</f>
        <v>0</v>
      </c>
      <c r="H1796" s="7">
        <f>IFERROR(_xlfn.XLOOKUP(tbl_Ventes[[#This Row],[Cde_Prdt]], tbl_Produits[Cde_Prdt], tbl_Produits[Coût Moyen Portion]), 0)</f>
        <v>0</v>
      </c>
      <c r="I1796" s="7">
        <f>tbl_Ventes[[#This Row],[Qté Vendue]] * tbl_Ventes[[#This Row],[CMP_par_portion]]</f>
        <v>0</v>
      </c>
      <c r="J1796" s="7">
        <f>tbl_Ventes[[#This Row],[CA ligne]] - tbl_Ventes[[#This Row],[Coût matière ligne]]</f>
        <v>0</v>
      </c>
      <c r="K1796" s="7" t="str">
        <f>IFERROR(INDEX(tbl_ProduitsRef[Famille], MATCH(tbl_Ventes[[#This Row],[Cde_Prdt]], tbl_Produits[Cde_Prdt], 0)), "")</f>
        <v/>
      </c>
    </row>
    <row r="1797" spans="1:11" x14ac:dyDescent="0.25">
      <c r="A1797" s="5"/>
      <c r="B1797" s="63" t="str">
        <f>IFERROR(TEXT(tbl_Ventes[[#This Row],[Date]],"mm-aaaa"),"")</f>
        <v>01-1900</v>
      </c>
      <c r="D1797" s="10" t="str">
        <f>IFERROR(
   INDEX(tbl_ProduitsRef[Cde_Prdt],MATCH(tbl_Ventes[[#This Row],[Produit]],tbl_ProduitsRef[Produit],0)),
   ""
)</f>
        <v/>
      </c>
      <c r="E1797" s="7">
        <v>0</v>
      </c>
      <c r="F1797" s="7" t="str">
        <f>IFERROR(
   INDEX(tbl_ProduitsRef[Prix Menu],MATCH(tbl_Ventes[[#This Row],[Produit]],tbl_ProduitsRef[Produit],0)),
   ""
)</f>
        <v/>
      </c>
      <c r="G1797" s="7">
        <f>tbl_Ventes[[#This Row],[Qté Vendue]] * IFERROR(_xlfn.XLOOKUP(tbl_Ventes[[#This Row],[Cde_Prdt]], tbl_Produits[Cde_Prdt], tbl_Produits[Prix Menu]), 0)</f>
        <v>0</v>
      </c>
      <c r="H1797" s="7">
        <f>IFERROR(_xlfn.XLOOKUP(tbl_Ventes[[#This Row],[Cde_Prdt]], tbl_Produits[Cde_Prdt], tbl_Produits[Coût Moyen Portion]), 0)</f>
        <v>0</v>
      </c>
      <c r="I1797" s="7">
        <f>tbl_Ventes[[#This Row],[Qté Vendue]] * tbl_Ventes[[#This Row],[CMP_par_portion]]</f>
        <v>0</v>
      </c>
      <c r="J1797" s="7">
        <f>tbl_Ventes[[#This Row],[CA ligne]] - tbl_Ventes[[#This Row],[Coût matière ligne]]</f>
        <v>0</v>
      </c>
      <c r="K1797" s="7" t="str">
        <f>IFERROR(INDEX(tbl_ProduitsRef[Famille], MATCH(tbl_Ventes[[#This Row],[Cde_Prdt]], tbl_Produits[Cde_Prdt], 0)), "")</f>
        <v/>
      </c>
    </row>
    <row r="1798" spans="1:11" x14ac:dyDescent="0.25">
      <c r="A1798" s="5"/>
      <c r="B1798" s="63" t="str">
        <f>IFERROR(TEXT(tbl_Ventes[[#This Row],[Date]],"mm-aaaa"),"")</f>
        <v>01-1900</v>
      </c>
      <c r="D1798" s="10" t="str">
        <f>IFERROR(
   INDEX(tbl_ProduitsRef[Cde_Prdt],MATCH(tbl_Ventes[[#This Row],[Produit]],tbl_ProduitsRef[Produit],0)),
   ""
)</f>
        <v/>
      </c>
      <c r="E1798" s="7">
        <v>0</v>
      </c>
      <c r="F1798" s="7" t="str">
        <f>IFERROR(
   INDEX(tbl_ProduitsRef[Prix Menu],MATCH(tbl_Ventes[[#This Row],[Produit]],tbl_ProduitsRef[Produit],0)),
   ""
)</f>
        <v/>
      </c>
      <c r="G1798" s="7">
        <f>tbl_Ventes[[#This Row],[Qté Vendue]] * IFERROR(_xlfn.XLOOKUP(tbl_Ventes[[#This Row],[Cde_Prdt]], tbl_Produits[Cde_Prdt], tbl_Produits[Prix Menu]), 0)</f>
        <v>0</v>
      </c>
      <c r="H1798" s="7">
        <f>IFERROR(_xlfn.XLOOKUP(tbl_Ventes[[#This Row],[Cde_Prdt]], tbl_Produits[Cde_Prdt], tbl_Produits[Coût Moyen Portion]), 0)</f>
        <v>0</v>
      </c>
      <c r="I1798" s="7">
        <f>tbl_Ventes[[#This Row],[Qté Vendue]] * tbl_Ventes[[#This Row],[CMP_par_portion]]</f>
        <v>0</v>
      </c>
      <c r="J1798" s="7">
        <f>tbl_Ventes[[#This Row],[CA ligne]] - tbl_Ventes[[#This Row],[Coût matière ligne]]</f>
        <v>0</v>
      </c>
      <c r="K1798" s="7" t="str">
        <f>IFERROR(INDEX(tbl_ProduitsRef[Famille], MATCH(tbl_Ventes[[#This Row],[Cde_Prdt]], tbl_Produits[Cde_Prdt], 0)), "")</f>
        <v/>
      </c>
    </row>
    <row r="1799" spans="1:11" x14ac:dyDescent="0.25">
      <c r="A1799" s="5"/>
      <c r="B1799" s="63" t="str">
        <f>IFERROR(TEXT(tbl_Ventes[[#This Row],[Date]],"mm-aaaa"),"")</f>
        <v>01-1900</v>
      </c>
      <c r="D1799" s="10" t="str">
        <f>IFERROR(
   INDEX(tbl_ProduitsRef[Cde_Prdt],MATCH(tbl_Ventes[[#This Row],[Produit]],tbl_ProduitsRef[Produit],0)),
   ""
)</f>
        <v/>
      </c>
      <c r="E1799" s="7">
        <v>0</v>
      </c>
      <c r="F1799" s="7" t="str">
        <f>IFERROR(
   INDEX(tbl_ProduitsRef[Prix Menu],MATCH(tbl_Ventes[[#This Row],[Produit]],tbl_ProduitsRef[Produit],0)),
   ""
)</f>
        <v/>
      </c>
      <c r="G1799" s="7">
        <f>tbl_Ventes[[#This Row],[Qté Vendue]] * IFERROR(_xlfn.XLOOKUP(tbl_Ventes[[#This Row],[Cde_Prdt]], tbl_Produits[Cde_Prdt], tbl_Produits[Prix Menu]), 0)</f>
        <v>0</v>
      </c>
      <c r="H1799" s="7">
        <f>IFERROR(_xlfn.XLOOKUP(tbl_Ventes[[#This Row],[Cde_Prdt]], tbl_Produits[Cde_Prdt], tbl_Produits[Coût Moyen Portion]), 0)</f>
        <v>0</v>
      </c>
      <c r="I1799" s="7">
        <f>tbl_Ventes[[#This Row],[Qté Vendue]] * tbl_Ventes[[#This Row],[CMP_par_portion]]</f>
        <v>0</v>
      </c>
      <c r="J1799" s="7">
        <f>tbl_Ventes[[#This Row],[CA ligne]] - tbl_Ventes[[#This Row],[Coût matière ligne]]</f>
        <v>0</v>
      </c>
      <c r="K1799" s="7" t="str">
        <f>IFERROR(INDEX(tbl_ProduitsRef[Famille], MATCH(tbl_Ventes[[#This Row],[Cde_Prdt]], tbl_Produits[Cde_Prdt], 0)), "")</f>
        <v/>
      </c>
    </row>
    <row r="1800" spans="1:11" x14ac:dyDescent="0.25">
      <c r="A1800" s="5"/>
      <c r="B1800" s="63" t="str">
        <f>IFERROR(TEXT(tbl_Ventes[[#This Row],[Date]],"mm-aaaa"),"")</f>
        <v>01-1900</v>
      </c>
      <c r="D1800" s="10" t="str">
        <f>IFERROR(
   INDEX(tbl_ProduitsRef[Cde_Prdt],MATCH(tbl_Ventes[[#This Row],[Produit]],tbl_ProduitsRef[Produit],0)),
   ""
)</f>
        <v/>
      </c>
      <c r="E1800" s="7">
        <v>0</v>
      </c>
      <c r="F1800" s="7" t="str">
        <f>IFERROR(
   INDEX(tbl_ProduitsRef[Prix Menu],MATCH(tbl_Ventes[[#This Row],[Produit]],tbl_ProduitsRef[Produit],0)),
   ""
)</f>
        <v/>
      </c>
      <c r="G1800" s="7">
        <f>tbl_Ventes[[#This Row],[Qté Vendue]] * IFERROR(_xlfn.XLOOKUP(tbl_Ventes[[#This Row],[Cde_Prdt]], tbl_Produits[Cde_Prdt], tbl_Produits[Prix Menu]), 0)</f>
        <v>0</v>
      </c>
      <c r="H1800" s="7">
        <f>IFERROR(_xlfn.XLOOKUP(tbl_Ventes[[#This Row],[Cde_Prdt]], tbl_Produits[Cde_Prdt], tbl_Produits[Coût Moyen Portion]), 0)</f>
        <v>0</v>
      </c>
      <c r="I1800" s="7">
        <f>tbl_Ventes[[#This Row],[Qté Vendue]] * tbl_Ventes[[#This Row],[CMP_par_portion]]</f>
        <v>0</v>
      </c>
      <c r="J1800" s="7">
        <f>tbl_Ventes[[#This Row],[CA ligne]] - tbl_Ventes[[#This Row],[Coût matière ligne]]</f>
        <v>0</v>
      </c>
      <c r="K1800" s="7" t="str">
        <f>IFERROR(INDEX(tbl_ProduitsRef[Famille], MATCH(tbl_Ventes[[#This Row],[Cde_Prdt]], tbl_Produits[Cde_Prdt], 0)), "")</f>
        <v/>
      </c>
    </row>
    <row r="1801" spans="1:11" x14ac:dyDescent="0.25">
      <c r="A1801" s="5"/>
      <c r="B1801" s="63" t="str">
        <f>IFERROR(TEXT(tbl_Ventes[[#This Row],[Date]],"mm-aaaa"),"")</f>
        <v>01-1900</v>
      </c>
      <c r="D1801" s="10" t="str">
        <f>IFERROR(
   INDEX(tbl_ProduitsRef[Cde_Prdt],MATCH(tbl_Ventes[[#This Row],[Produit]],tbl_ProduitsRef[Produit],0)),
   ""
)</f>
        <v/>
      </c>
      <c r="E1801" s="7">
        <v>0</v>
      </c>
      <c r="F1801" s="7" t="str">
        <f>IFERROR(
   INDEX(tbl_ProduitsRef[Prix Menu],MATCH(tbl_Ventes[[#This Row],[Produit]],tbl_ProduitsRef[Produit],0)),
   ""
)</f>
        <v/>
      </c>
      <c r="G1801" s="7">
        <f>tbl_Ventes[[#This Row],[Qté Vendue]] * IFERROR(_xlfn.XLOOKUP(tbl_Ventes[[#This Row],[Cde_Prdt]], tbl_Produits[Cde_Prdt], tbl_Produits[Prix Menu]), 0)</f>
        <v>0</v>
      </c>
      <c r="H1801" s="7">
        <f>IFERROR(_xlfn.XLOOKUP(tbl_Ventes[[#This Row],[Cde_Prdt]], tbl_Produits[Cde_Prdt], tbl_Produits[Coût Moyen Portion]), 0)</f>
        <v>0</v>
      </c>
      <c r="I1801" s="7">
        <f>tbl_Ventes[[#This Row],[Qté Vendue]] * tbl_Ventes[[#This Row],[CMP_par_portion]]</f>
        <v>0</v>
      </c>
      <c r="J1801" s="7">
        <f>tbl_Ventes[[#This Row],[CA ligne]] - tbl_Ventes[[#This Row],[Coût matière ligne]]</f>
        <v>0</v>
      </c>
      <c r="K1801" s="7" t="str">
        <f>IFERROR(INDEX(tbl_ProduitsRef[Famille], MATCH(tbl_Ventes[[#This Row],[Cde_Prdt]], tbl_Produits[Cde_Prdt], 0)), "")</f>
        <v/>
      </c>
    </row>
    <row r="1802" spans="1:11" x14ac:dyDescent="0.25">
      <c r="A1802" s="5"/>
      <c r="B1802" s="63" t="str">
        <f>IFERROR(TEXT(tbl_Ventes[[#This Row],[Date]],"mm-aaaa"),"")</f>
        <v>01-1900</v>
      </c>
      <c r="D1802" s="10" t="str">
        <f>IFERROR(
   INDEX(tbl_ProduitsRef[Cde_Prdt],MATCH(tbl_Ventes[[#This Row],[Produit]],tbl_ProduitsRef[Produit],0)),
   ""
)</f>
        <v/>
      </c>
      <c r="E1802" s="7">
        <v>0</v>
      </c>
      <c r="F1802" s="7" t="str">
        <f>IFERROR(
   INDEX(tbl_ProduitsRef[Prix Menu],MATCH(tbl_Ventes[[#This Row],[Produit]],tbl_ProduitsRef[Produit],0)),
   ""
)</f>
        <v/>
      </c>
      <c r="G1802" s="7">
        <f>tbl_Ventes[[#This Row],[Qté Vendue]] * IFERROR(_xlfn.XLOOKUP(tbl_Ventes[[#This Row],[Cde_Prdt]], tbl_Produits[Cde_Prdt], tbl_Produits[Prix Menu]), 0)</f>
        <v>0</v>
      </c>
      <c r="H1802" s="7">
        <f>IFERROR(_xlfn.XLOOKUP(tbl_Ventes[[#This Row],[Cde_Prdt]], tbl_Produits[Cde_Prdt], tbl_Produits[Coût Moyen Portion]), 0)</f>
        <v>0</v>
      </c>
      <c r="I1802" s="7">
        <f>tbl_Ventes[[#This Row],[Qté Vendue]] * tbl_Ventes[[#This Row],[CMP_par_portion]]</f>
        <v>0</v>
      </c>
      <c r="J1802" s="7">
        <f>tbl_Ventes[[#This Row],[CA ligne]] - tbl_Ventes[[#This Row],[Coût matière ligne]]</f>
        <v>0</v>
      </c>
      <c r="K1802" s="7" t="str">
        <f>IFERROR(INDEX(tbl_ProduitsRef[Famille], MATCH(tbl_Ventes[[#This Row],[Cde_Prdt]], tbl_Produits[Cde_Prdt], 0)), "")</f>
        <v/>
      </c>
    </row>
    <row r="1803" spans="1:11" x14ac:dyDescent="0.25">
      <c r="A1803" s="5"/>
      <c r="B1803" s="63" t="str">
        <f>IFERROR(TEXT(tbl_Ventes[[#This Row],[Date]],"mm-aaaa"),"")</f>
        <v>01-1900</v>
      </c>
      <c r="D1803" s="10" t="str">
        <f>IFERROR(
   INDEX(tbl_ProduitsRef[Cde_Prdt],MATCH(tbl_Ventes[[#This Row],[Produit]],tbl_ProduitsRef[Produit],0)),
   ""
)</f>
        <v/>
      </c>
      <c r="E1803" s="7">
        <v>0</v>
      </c>
      <c r="F1803" s="7" t="str">
        <f>IFERROR(
   INDEX(tbl_ProduitsRef[Prix Menu],MATCH(tbl_Ventes[[#This Row],[Produit]],tbl_ProduitsRef[Produit],0)),
   ""
)</f>
        <v/>
      </c>
      <c r="G1803" s="7">
        <f>tbl_Ventes[[#This Row],[Qté Vendue]] * IFERROR(_xlfn.XLOOKUP(tbl_Ventes[[#This Row],[Cde_Prdt]], tbl_Produits[Cde_Prdt], tbl_Produits[Prix Menu]), 0)</f>
        <v>0</v>
      </c>
      <c r="H1803" s="7">
        <f>IFERROR(_xlfn.XLOOKUP(tbl_Ventes[[#This Row],[Cde_Prdt]], tbl_Produits[Cde_Prdt], tbl_Produits[Coût Moyen Portion]), 0)</f>
        <v>0</v>
      </c>
      <c r="I1803" s="7">
        <f>tbl_Ventes[[#This Row],[Qté Vendue]] * tbl_Ventes[[#This Row],[CMP_par_portion]]</f>
        <v>0</v>
      </c>
      <c r="J1803" s="7">
        <f>tbl_Ventes[[#This Row],[CA ligne]] - tbl_Ventes[[#This Row],[Coût matière ligne]]</f>
        <v>0</v>
      </c>
      <c r="K1803" s="7" t="str">
        <f>IFERROR(INDEX(tbl_ProduitsRef[Famille], MATCH(tbl_Ventes[[#This Row],[Cde_Prdt]], tbl_Produits[Cde_Prdt], 0)), "")</f>
        <v/>
      </c>
    </row>
    <row r="1804" spans="1:11" x14ac:dyDescent="0.25">
      <c r="A1804" s="5"/>
      <c r="B1804" s="63" t="str">
        <f>IFERROR(TEXT(tbl_Ventes[[#This Row],[Date]],"mm-aaaa"),"")</f>
        <v>01-1900</v>
      </c>
      <c r="D1804" s="10" t="str">
        <f>IFERROR(
   INDEX(tbl_ProduitsRef[Cde_Prdt],MATCH(tbl_Ventes[[#This Row],[Produit]],tbl_ProduitsRef[Produit],0)),
   ""
)</f>
        <v/>
      </c>
      <c r="E1804" s="7">
        <v>0</v>
      </c>
      <c r="F1804" s="7" t="str">
        <f>IFERROR(
   INDEX(tbl_ProduitsRef[Prix Menu],MATCH(tbl_Ventes[[#This Row],[Produit]],tbl_ProduitsRef[Produit],0)),
   ""
)</f>
        <v/>
      </c>
      <c r="G1804" s="7">
        <f>tbl_Ventes[[#This Row],[Qté Vendue]] * IFERROR(_xlfn.XLOOKUP(tbl_Ventes[[#This Row],[Cde_Prdt]], tbl_Produits[Cde_Prdt], tbl_Produits[Prix Menu]), 0)</f>
        <v>0</v>
      </c>
      <c r="H1804" s="7">
        <f>IFERROR(_xlfn.XLOOKUP(tbl_Ventes[[#This Row],[Cde_Prdt]], tbl_Produits[Cde_Prdt], tbl_Produits[Coût Moyen Portion]), 0)</f>
        <v>0</v>
      </c>
      <c r="I1804" s="7">
        <f>tbl_Ventes[[#This Row],[Qté Vendue]] * tbl_Ventes[[#This Row],[CMP_par_portion]]</f>
        <v>0</v>
      </c>
      <c r="J1804" s="7">
        <f>tbl_Ventes[[#This Row],[CA ligne]] - tbl_Ventes[[#This Row],[Coût matière ligne]]</f>
        <v>0</v>
      </c>
      <c r="K1804" s="7" t="str">
        <f>IFERROR(INDEX(tbl_ProduitsRef[Famille], MATCH(tbl_Ventes[[#This Row],[Cde_Prdt]], tbl_Produits[Cde_Prdt], 0)), "")</f>
        <v/>
      </c>
    </row>
    <row r="1805" spans="1:11" x14ac:dyDescent="0.25">
      <c r="A1805" s="5"/>
      <c r="B1805" s="63" t="str">
        <f>IFERROR(TEXT(tbl_Ventes[[#This Row],[Date]],"mm-aaaa"),"")</f>
        <v>01-1900</v>
      </c>
      <c r="D1805" s="10" t="str">
        <f>IFERROR(
   INDEX(tbl_ProduitsRef[Cde_Prdt],MATCH(tbl_Ventes[[#This Row],[Produit]],tbl_ProduitsRef[Produit],0)),
   ""
)</f>
        <v/>
      </c>
      <c r="E1805" s="7">
        <v>0</v>
      </c>
      <c r="F1805" s="7" t="str">
        <f>IFERROR(
   INDEX(tbl_ProduitsRef[Prix Menu],MATCH(tbl_Ventes[[#This Row],[Produit]],tbl_ProduitsRef[Produit],0)),
   ""
)</f>
        <v/>
      </c>
      <c r="G1805" s="7">
        <f>tbl_Ventes[[#This Row],[Qté Vendue]] * IFERROR(_xlfn.XLOOKUP(tbl_Ventes[[#This Row],[Cde_Prdt]], tbl_Produits[Cde_Prdt], tbl_Produits[Prix Menu]), 0)</f>
        <v>0</v>
      </c>
      <c r="H1805" s="7">
        <f>IFERROR(_xlfn.XLOOKUP(tbl_Ventes[[#This Row],[Cde_Prdt]], tbl_Produits[Cde_Prdt], tbl_Produits[Coût Moyen Portion]), 0)</f>
        <v>0</v>
      </c>
      <c r="I1805" s="7">
        <f>tbl_Ventes[[#This Row],[Qté Vendue]] * tbl_Ventes[[#This Row],[CMP_par_portion]]</f>
        <v>0</v>
      </c>
      <c r="J1805" s="7">
        <f>tbl_Ventes[[#This Row],[CA ligne]] - tbl_Ventes[[#This Row],[Coût matière ligne]]</f>
        <v>0</v>
      </c>
      <c r="K1805" s="7" t="str">
        <f>IFERROR(INDEX(tbl_ProduitsRef[Famille], MATCH(tbl_Ventes[[#This Row],[Cde_Prdt]], tbl_Produits[Cde_Prdt], 0)), "")</f>
        <v/>
      </c>
    </row>
    <row r="1806" spans="1:11" x14ac:dyDescent="0.25">
      <c r="A1806" s="5"/>
      <c r="B1806" s="63" t="str">
        <f>IFERROR(TEXT(tbl_Ventes[[#This Row],[Date]],"mm-aaaa"),"")</f>
        <v>01-1900</v>
      </c>
      <c r="D1806" s="10" t="str">
        <f>IFERROR(
   INDEX(tbl_ProduitsRef[Cde_Prdt],MATCH(tbl_Ventes[[#This Row],[Produit]],tbl_ProduitsRef[Produit],0)),
   ""
)</f>
        <v/>
      </c>
      <c r="E1806" s="7">
        <v>0</v>
      </c>
      <c r="F1806" s="7" t="str">
        <f>IFERROR(
   INDEX(tbl_ProduitsRef[Prix Menu],MATCH(tbl_Ventes[[#This Row],[Produit]],tbl_ProduitsRef[Produit],0)),
   ""
)</f>
        <v/>
      </c>
      <c r="G1806" s="7">
        <f>tbl_Ventes[[#This Row],[Qté Vendue]] * IFERROR(_xlfn.XLOOKUP(tbl_Ventes[[#This Row],[Cde_Prdt]], tbl_Produits[Cde_Prdt], tbl_Produits[Prix Menu]), 0)</f>
        <v>0</v>
      </c>
      <c r="H1806" s="7">
        <f>IFERROR(_xlfn.XLOOKUP(tbl_Ventes[[#This Row],[Cde_Prdt]], tbl_Produits[Cde_Prdt], tbl_Produits[Coût Moyen Portion]), 0)</f>
        <v>0</v>
      </c>
      <c r="I1806" s="7">
        <f>tbl_Ventes[[#This Row],[Qté Vendue]] * tbl_Ventes[[#This Row],[CMP_par_portion]]</f>
        <v>0</v>
      </c>
      <c r="J1806" s="7">
        <f>tbl_Ventes[[#This Row],[CA ligne]] - tbl_Ventes[[#This Row],[Coût matière ligne]]</f>
        <v>0</v>
      </c>
      <c r="K1806" s="7" t="str">
        <f>IFERROR(INDEX(tbl_ProduitsRef[Famille], MATCH(tbl_Ventes[[#This Row],[Cde_Prdt]], tbl_Produits[Cde_Prdt], 0)), "")</f>
        <v/>
      </c>
    </row>
    <row r="1807" spans="1:11" x14ac:dyDescent="0.25">
      <c r="A1807" s="5"/>
      <c r="B1807" s="63" t="str">
        <f>IFERROR(TEXT(tbl_Ventes[[#This Row],[Date]],"mm-aaaa"),"")</f>
        <v>01-1900</v>
      </c>
      <c r="D1807" s="10" t="str">
        <f>IFERROR(
   INDEX(tbl_ProduitsRef[Cde_Prdt],MATCH(tbl_Ventes[[#This Row],[Produit]],tbl_ProduitsRef[Produit],0)),
   ""
)</f>
        <v/>
      </c>
      <c r="E1807" s="7">
        <v>0</v>
      </c>
      <c r="F1807" s="7" t="str">
        <f>IFERROR(
   INDEX(tbl_ProduitsRef[Prix Menu],MATCH(tbl_Ventes[[#This Row],[Produit]],tbl_ProduitsRef[Produit],0)),
   ""
)</f>
        <v/>
      </c>
      <c r="G1807" s="7">
        <f>tbl_Ventes[[#This Row],[Qté Vendue]] * IFERROR(_xlfn.XLOOKUP(tbl_Ventes[[#This Row],[Cde_Prdt]], tbl_Produits[Cde_Prdt], tbl_Produits[Prix Menu]), 0)</f>
        <v>0</v>
      </c>
      <c r="H1807" s="7">
        <f>IFERROR(_xlfn.XLOOKUP(tbl_Ventes[[#This Row],[Cde_Prdt]], tbl_Produits[Cde_Prdt], tbl_Produits[Coût Moyen Portion]), 0)</f>
        <v>0</v>
      </c>
      <c r="I1807" s="7">
        <f>tbl_Ventes[[#This Row],[Qté Vendue]] * tbl_Ventes[[#This Row],[CMP_par_portion]]</f>
        <v>0</v>
      </c>
      <c r="J1807" s="7">
        <f>tbl_Ventes[[#This Row],[CA ligne]] - tbl_Ventes[[#This Row],[Coût matière ligne]]</f>
        <v>0</v>
      </c>
      <c r="K1807" s="7" t="str">
        <f>IFERROR(INDEX(tbl_ProduitsRef[Famille], MATCH(tbl_Ventes[[#This Row],[Cde_Prdt]], tbl_Produits[Cde_Prdt], 0)), "")</f>
        <v/>
      </c>
    </row>
    <row r="1808" spans="1:11" x14ac:dyDescent="0.25">
      <c r="A1808" s="5"/>
      <c r="B1808" s="63" t="str">
        <f>IFERROR(TEXT(tbl_Ventes[[#This Row],[Date]],"mm-aaaa"),"")</f>
        <v>01-1900</v>
      </c>
      <c r="D1808" s="10" t="str">
        <f>IFERROR(
   INDEX(tbl_ProduitsRef[Cde_Prdt],MATCH(tbl_Ventes[[#This Row],[Produit]],tbl_ProduitsRef[Produit],0)),
   ""
)</f>
        <v/>
      </c>
      <c r="E1808" s="7">
        <v>0</v>
      </c>
      <c r="F1808" s="7" t="str">
        <f>IFERROR(
   INDEX(tbl_ProduitsRef[Prix Menu],MATCH(tbl_Ventes[[#This Row],[Produit]],tbl_ProduitsRef[Produit],0)),
   ""
)</f>
        <v/>
      </c>
      <c r="G1808" s="7">
        <f>tbl_Ventes[[#This Row],[Qté Vendue]] * IFERROR(_xlfn.XLOOKUP(tbl_Ventes[[#This Row],[Cde_Prdt]], tbl_Produits[Cde_Prdt], tbl_Produits[Prix Menu]), 0)</f>
        <v>0</v>
      </c>
      <c r="H1808" s="7">
        <f>IFERROR(_xlfn.XLOOKUP(tbl_Ventes[[#This Row],[Cde_Prdt]], tbl_Produits[Cde_Prdt], tbl_Produits[Coût Moyen Portion]), 0)</f>
        <v>0</v>
      </c>
      <c r="I1808" s="7">
        <f>tbl_Ventes[[#This Row],[Qté Vendue]] * tbl_Ventes[[#This Row],[CMP_par_portion]]</f>
        <v>0</v>
      </c>
      <c r="J1808" s="7">
        <f>tbl_Ventes[[#This Row],[CA ligne]] - tbl_Ventes[[#This Row],[Coût matière ligne]]</f>
        <v>0</v>
      </c>
      <c r="K1808" s="7" t="str">
        <f>IFERROR(INDEX(tbl_ProduitsRef[Famille], MATCH(tbl_Ventes[[#This Row],[Cde_Prdt]], tbl_Produits[Cde_Prdt], 0)), "")</f>
        <v/>
      </c>
    </row>
    <row r="1809" spans="1:11" x14ac:dyDescent="0.25">
      <c r="A1809" s="5"/>
      <c r="B1809" s="63" t="str">
        <f>IFERROR(TEXT(tbl_Ventes[[#This Row],[Date]],"mm-aaaa"),"")</f>
        <v>01-1900</v>
      </c>
      <c r="D1809" s="10" t="str">
        <f>IFERROR(
   INDEX(tbl_ProduitsRef[Cde_Prdt],MATCH(tbl_Ventes[[#This Row],[Produit]],tbl_ProduitsRef[Produit],0)),
   ""
)</f>
        <v/>
      </c>
      <c r="E1809" s="7">
        <v>0</v>
      </c>
      <c r="F1809" s="7" t="str">
        <f>IFERROR(
   INDEX(tbl_ProduitsRef[Prix Menu],MATCH(tbl_Ventes[[#This Row],[Produit]],tbl_ProduitsRef[Produit],0)),
   ""
)</f>
        <v/>
      </c>
      <c r="G1809" s="7">
        <f>tbl_Ventes[[#This Row],[Qté Vendue]] * IFERROR(_xlfn.XLOOKUP(tbl_Ventes[[#This Row],[Cde_Prdt]], tbl_Produits[Cde_Prdt], tbl_Produits[Prix Menu]), 0)</f>
        <v>0</v>
      </c>
      <c r="H1809" s="7">
        <f>IFERROR(_xlfn.XLOOKUP(tbl_Ventes[[#This Row],[Cde_Prdt]], tbl_Produits[Cde_Prdt], tbl_Produits[Coût Moyen Portion]), 0)</f>
        <v>0</v>
      </c>
      <c r="I1809" s="7">
        <f>tbl_Ventes[[#This Row],[Qté Vendue]] * tbl_Ventes[[#This Row],[CMP_par_portion]]</f>
        <v>0</v>
      </c>
      <c r="J1809" s="7">
        <f>tbl_Ventes[[#This Row],[CA ligne]] - tbl_Ventes[[#This Row],[Coût matière ligne]]</f>
        <v>0</v>
      </c>
      <c r="K1809" s="7" t="str">
        <f>IFERROR(INDEX(tbl_ProduitsRef[Famille], MATCH(tbl_Ventes[[#This Row],[Cde_Prdt]], tbl_Produits[Cde_Prdt], 0)), "")</f>
        <v/>
      </c>
    </row>
    <row r="1810" spans="1:11" x14ac:dyDescent="0.25">
      <c r="A1810" s="5"/>
      <c r="B1810" s="63" t="str">
        <f>IFERROR(TEXT(tbl_Ventes[[#This Row],[Date]],"mm-aaaa"),"")</f>
        <v>01-1900</v>
      </c>
      <c r="D1810" s="10" t="str">
        <f>IFERROR(
   INDEX(tbl_ProduitsRef[Cde_Prdt],MATCH(tbl_Ventes[[#This Row],[Produit]],tbl_ProduitsRef[Produit],0)),
   ""
)</f>
        <v/>
      </c>
      <c r="E1810" s="7">
        <v>0</v>
      </c>
      <c r="F1810" s="7" t="str">
        <f>IFERROR(
   INDEX(tbl_ProduitsRef[Prix Menu],MATCH(tbl_Ventes[[#This Row],[Produit]],tbl_ProduitsRef[Produit],0)),
   ""
)</f>
        <v/>
      </c>
      <c r="G1810" s="7">
        <f>tbl_Ventes[[#This Row],[Qté Vendue]] * IFERROR(_xlfn.XLOOKUP(tbl_Ventes[[#This Row],[Cde_Prdt]], tbl_Produits[Cde_Prdt], tbl_Produits[Prix Menu]), 0)</f>
        <v>0</v>
      </c>
      <c r="H1810" s="7">
        <f>IFERROR(_xlfn.XLOOKUP(tbl_Ventes[[#This Row],[Cde_Prdt]], tbl_Produits[Cde_Prdt], tbl_Produits[Coût Moyen Portion]), 0)</f>
        <v>0</v>
      </c>
      <c r="I1810" s="7">
        <f>tbl_Ventes[[#This Row],[Qté Vendue]] * tbl_Ventes[[#This Row],[CMP_par_portion]]</f>
        <v>0</v>
      </c>
      <c r="J1810" s="7">
        <f>tbl_Ventes[[#This Row],[CA ligne]] - tbl_Ventes[[#This Row],[Coût matière ligne]]</f>
        <v>0</v>
      </c>
      <c r="K1810" s="7" t="str">
        <f>IFERROR(INDEX(tbl_ProduitsRef[Famille], MATCH(tbl_Ventes[[#This Row],[Cde_Prdt]], tbl_Produits[Cde_Prdt], 0)), "")</f>
        <v/>
      </c>
    </row>
    <row r="1811" spans="1:11" x14ac:dyDescent="0.25">
      <c r="A1811" s="5"/>
      <c r="B1811" s="63" t="str">
        <f>IFERROR(TEXT(tbl_Ventes[[#This Row],[Date]],"mm-aaaa"),"")</f>
        <v>01-1900</v>
      </c>
      <c r="D1811" s="10" t="str">
        <f>IFERROR(
   INDEX(tbl_ProduitsRef[Cde_Prdt],MATCH(tbl_Ventes[[#This Row],[Produit]],tbl_ProduitsRef[Produit],0)),
   ""
)</f>
        <v/>
      </c>
      <c r="E1811" s="7">
        <v>0</v>
      </c>
      <c r="F1811" s="7" t="str">
        <f>IFERROR(
   INDEX(tbl_ProduitsRef[Prix Menu],MATCH(tbl_Ventes[[#This Row],[Produit]],tbl_ProduitsRef[Produit],0)),
   ""
)</f>
        <v/>
      </c>
      <c r="G1811" s="7">
        <f>tbl_Ventes[[#This Row],[Qté Vendue]] * IFERROR(_xlfn.XLOOKUP(tbl_Ventes[[#This Row],[Cde_Prdt]], tbl_Produits[Cde_Prdt], tbl_Produits[Prix Menu]), 0)</f>
        <v>0</v>
      </c>
      <c r="H1811" s="7">
        <f>IFERROR(_xlfn.XLOOKUP(tbl_Ventes[[#This Row],[Cde_Prdt]], tbl_Produits[Cde_Prdt], tbl_Produits[Coût Moyen Portion]), 0)</f>
        <v>0</v>
      </c>
      <c r="I1811" s="7">
        <f>tbl_Ventes[[#This Row],[Qté Vendue]] * tbl_Ventes[[#This Row],[CMP_par_portion]]</f>
        <v>0</v>
      </c>
      <c r="J1811" s="7">
        <f>tbl_Ventes[[#This Row],[CA ligne]] - tbl_Ventes[[#This Row],[Coût matière ligne]]</f>
        <v>0</v>
      </c>
      <c r="K1811" s="7" t="str">
        <f>IFERROR(INDEX(tbl_ProduitsRef[Famille], MATCH(tbl_Ventes[[#This Row],[Cde_Prdt]], tbl_Produits[Cde_Prdt], 0)), "")</f>
        <v/>
      </c>
    </row>
    <row r="1812" spans="1:11" x14ac:dyDescent="0.25">
      <c r="A1812" s="5"/>
      <c r="B1812" s="63" t="str">
        <f>IFERROR(TEXT(tbl_Ventes[[#This Row],[Date]],"mm-aaaa"),"")</f>
        <v>01-1900</v>
      </c>
      <c r="D1812" s="10" t="str">
        <f>IFERROR(
   INDEX(tbl_ProduitsRef[Cde_Prdt],MATCH(tbl_Ventes[[#This Row],[Produit]],tbl_ProduitsRef[Produit],0)),
   ""
)</f>
        <v/>
      </c>
      <c r="E1812" s="7">
        <v>0</v>
      </c>
      <c r="F1812" s="7" t="str">
        <f>IFERROR(
   INDEX(tbl_ProduitsRef[Prix Menu],MATCH(tbl_Ventes[[#This Row],[Produit]],tbl_ProduitsRef[Produit],0)),
   ""
)</f>
        <v/>
      </c>
      <c r="G1812" s="7">
        <f>tbl_Ventes[[#This Row],[Qté Vendue]] * IFERROR(_xlfn.XLOOKUP(tbl_Ventes[[#This Row],[Cde_Prdt]], tbl_Produits[Cde_Prdt], tbl_Produits[Prix Menu]), 0)</f>
        <v>0</v>
      </c>
      <c r="H1812" s="7">
        <f>IFERROR(_xlfn.XLOOKUP(tbl_Ventes[[#This Row],[Cde_Prdt]], tbl_Produits[Cde_Prdt], tbl_Produits[Coût Moyen Portion]), 0)</f>
        <v>0</v>
      </c>
      <c r="I1812" s="7">
        <f>tbl_Ventes[[#This Row],[Qté Vendue]] * tbl_Ventes[[#This Row],[CMP_par_portion]]</f>
        <v>0</v>
      </c>
      <c r="J1812" s="7">
        <f>tbl_Ventes[[#This Row],[CA ligne]] - tbl_Ventes[[#This Row],[Coût matière ligne]]</f>
        <v>0</v>
      </c>
      <c r="K1812" s="7" t="str">
        <f>IFERROR(INDEX(tbl_ProduitsRef[Famille], MATCH(tbl_Ventes[[#This Row],[Cde_Prdt]], tbl_Produits[Cde_Prdt], 0)), "")</f>
        <v/>
      </c>
    </row>
    <row r="1813" spans="1:11" x14ac:dyDescent="0.25">
      <c r="A1813" s="5"/>
      <c r="B1813" s="63" t="str">
        <f>IFERROR(TEXT(tbl_Ventes[[#This Row],[Date]],"mm-aaaa"),"")</f>
        <v>01-1900</v>
      </c>
      <c r="D1813" s="10" t="str">
        <f>IFERROR(
   INDEX(tbl_ProduitsRef[Cde_Prdt],MATCH(tbl_Ventes[[#This Row],[Produit]],tbl_ProduitsRef[Produit],0)),
   ""
)</f>
        <v/>
      </c>
      <c r="E1813" s="7">
        <v>0</v>
      </c>
      <c r="F1813" s="7" t="str">
        <f>IFERROR(
   INDEX(tbl_ProduitsRef[Prix Menu],MATCH(tbl_Ventes[[#This Row],[Produit]],tbl_ProduitsRef[Produit],0)),
   ""
)</f>
        <v/>
      </c>
      <c r="G1813" s="7">
        <f>tbl_Ventes[[#This Row],[Qté Vendue]] * IFERROR(_xlfn.XLOOKUP(tbl_Ventes[[#This Row],[Cde_Prdt]], tbl_Produits[Cde_Prdt], tbl_Produits[Prix Menu]), 0)</f>
        <v>0</v>
      </c>
      <c r="H1813" s="7">
        <f>IFERROR(_xlfn.XLOOKUP(tbl_Ventes[[#This Row],[Cde_Prdt]], tbl_Produits[Cde_Prdt], tbl_Produits[Coût Moyen Portion]), 0)</f>
        <v>0</v>
      </c>
      <c r="I1813" s="7">
        <f>tbl_Ventes[[#This Row],[Qté Vendue]] * tbl_Ventes[[#This Row],[CMP_par_portion]]</f>
        <v>0</v>
      </c>
      <c r="J1813" s="7">
        <f>tbl_Ventes[[#This Row],[CA ligne]] - tbl_Ventes[[#This Row],[Coût matière ligne]]</f>
        <v>0</v>
      </c>
      <c r="K1813" s="7" t="str">
        <f>IFERROR(INDEX(tbl_ProduitsRef[Famille], MATCH(tbl_Ventes[[#This Row],[Cde_Prdt]], tbl_Produits[Cde_Prdt], 0)), "")</f>
        <v/>
      </c>
    </row>
    <row r="1814" spans="1:11" x14ac:dyDescent="0.25">
      <c r="A1814" s="5"/>
      <c r="B1814" s="63" t="str">
        <f>IFERROR(TEXT(tbl_Ventes[[#This Row],[Date]],"mm-aaaa"),"")</f>
        <v>01-1900</v>
      </c>
      <c r="D1814" s="10" t="str">
        <f>IFERROR(
   INDEX(tbl_ProduitsRef[Cde_Prdt],MATCH(tbl_Ventes[[#This Row],[Produit]],tbl_ProduitsRef[Produit],0)),
   ""
)</f>
        <v/>
      </c>
      <c r="E1814" s="7">
        <v>0</v>
      </c>
      <c r="F1814" s="7" t="str">
        <f>IFERROR(
   INDEX(tbl_ProduitsRef[Prix Menu],MATCH(tbl_Ventes[[#This Row],[Produit]],tbl_ProduitsRef[Produit],0)),
   ""
)</f>
        <v/>
      </c>
      <c r="G1814" s="7">
        <f>tbl_Ventes[[#This Row],[Qté Vendue]] * IFERROR(_xlfn.XLOOKUP(tbl_Ventes[[#This Row],[Cde_Prdt]], tbl_Produits[Cde_Prdt], tbl_Produits[Prix Menu]), 0)</f>
        <v>0</v>
      </c>
      <c r="H1814" s="7">
        <f>IFERROR(_xlfn.XLOOKUP(tbl_Ventes[[#This Row],[Cde_Prdt]], tbl_Produits[Cde_Prdt], tbl_Produits[Coût Moyen Portion]), 0)</f>
        <v>0</v>
      </c>
      <c r="I1814" s="7">
        <f>tbl_Ventes[[#This Row],[Qté Vendue]] * tbl_Ventes[[#This Row],[CMP_par_portion]]</f>
        <v>0</v>
      </c>
      <c r="J1814" s="7">
        <f>tbl_Ventes[[#This Row],[CA ligne]] - tbl_Ventes[[#This Row],[Coût matière ligne]]</f>
        <v>0</v>
      </c>
      <c r="K1814" s="7" t="str">
        <f>IFERROR(INDEX(tbl_ProduitsRef[Famille], MATCH(tbl_Ventes[[#This Row],[Cde_Prdt]], tbl_Produits[Cde_Prdt], 0)), "")</f>
        <v/>
      </c>
    </row>
    <row r="1815" spans="1:11" x14ac:dyDescent="0.25">
      <c r="A1815" s="5"/>
      <c r="B1815" s="63" t="str">
        <f>IFERROR(TEXT(tbl_Ventes[[#This Row],[Date]],"mm-aaaa"),"")</f>
        <v>01-1900</v>
      </c>
      <c r="D1815" s="10" t="str">
        <f>IFERROR(
   INDEX(tbl_ProduitsRef[Cde_Prdt],MATCH(tbl_Ventes[[#This Row],[Produit]],tbl_ProduitsRef[Produit],0)),
   ""
)</f>
        <v/>
      </c>
      <c r="E1815" s="7">
        <v>0</v>
      </c>
      <c r="F1815" s="7" t="str">
        <f>IFERROR(
   INDEX(tbl_ProduitsRef[Prix Menu],MATCH(tbl_Ventes[[#This Row],[Produit]],tbl_ProduitsRef[Produit],0)),
   ""
)</f>
        <v/>
      </c>
      <c r="G1815" s="7">
        <f>tbl_Ventes[[#This Row],[Qté Vendue]] * IFERROR(_xlfn.XLOOKUP(tbl_Ventes[[#This Row],[Cde_Prdt]], tbl_Produits[Cde_Prdt], tbl_Produits[Prix Menu]), 0)</f>
        <v>0</v>
      </c>
      <c r="H1815" s="7">
        <f>IFERROR(_xlfn.XLOOKUP(tbl_Ventes[[#This Row],[Cde_Prdt]], tbl_Produits[Cde_Prdt], tbl_Produits[Coût Moyen Portion]), 0)</f>
        <v>0</v>
      </c>
      <c r="I1815" s="7">
        <f>tbl_Ventes[[#This Row],[Qté Vendue]] * tbl_Ventes[[#This Row],[CMP_par_portion]]</f>
        <v>0</v>
      </c>
      <c r="J1815" s="7">
        <f>tbl_Ventes[[#This Row],[CA ligne]] - tbl_Ventes[[#This Row],[Coût matière ligne]]</f>
        <v>0</v>
      </c>
      <c r="K1815" s="7" t="str">
        <f>IFERROR(INDEX(tbl_ProduitsRef[Famille], MATCH(tbl_Ventes[[#This Row],[Cde_Prdt]], tbl_Produits[Cde_Prdt], 0)), "")</f>
        <v/>
      </c>
    </row>
    <row r="1816" spans="1:11" x14ac:dyDescent="0.25">
      <c r="A1816" s="5"/>
      <c r="B1816" s="63" t="str">
        <f>IFERROR(TEXT(tbl_Ventes[[#This Row],[Date]],"mm-aaaa"),"")</f>
        <v>01-1900</v>
      </c>
      <c r="D1816" s="10" t="str">
        <f>IFERROR(
   INDEX(tbl_ProduitsRef[Cde_Prdt],MATCH(tbl_Ventes[[#This Row],[Produit]],tbl_ProduitsRef[Produit],0)),
   ""
)</f>
        <v/>
      </c>
      <c r="E1816" s="7">
        <v>0</v>
      </c>
      <c r="F1816" s="7" t="str">
        <f>IFERROR(
   INDEX(tbl_ProduitsRef[Prix Menu],MATCH(tbl_Ventes[[#This Row],[Produit]],tbl_ProduitsRef[Produit],0)),
   ""
)</f>
        <v/>
      </c>
      <c r="G1816" s="7">
        <f>tbl_Ventes[[#This Row],[Qté Vendue]] * IFERROR(_xlfn.XLOOKUP(tbl_Ventes[[#This Row],[Cde_Prdt]], tbl_Produits[Cde_Prdt], tbl_Produits[Prix Menu]), 0)</f>
        <v>0</v>
      </c>
      <c r="H1816" s="7">
        <f>IFERROR(_xlfn.XLOOKUP(tbl_Ventes[[#This Row],[Cde_Prdt]], tbl_Produits[Cde_Prdt], tbl_Produits[Coût Moyen Portion]), 0)</f>
        <v>0</v>
      </c>
      <c r="I1816" s="7">
        <f>tbl_Ventes[[#This Row],[Qté Vendue]] * tbl_Ventes[[#This Row],[CMP_par_portion]]</f>
        <v>0</v>
      </c>
      <c r="J1816" s="7">
        <f>tbl_Ventes[[#This Row],[CA ligne]] - tbl_Ventes[[#This Row],[Coût matière ligne]]</f>
        <v>0</v>
      </c>
      <c r="K1816" s="7" t="str">
        <f>IFERROR(INDEX(tbl_ProduitsRef[Famille], MATCH(tbl_Ventes[[#This Row],[Cde_Prdt]], tbl_Produits[Cde_Prdt], 0)), "")</f>
        <v/>
      </c>
    </row>
    <row r="1817" spans="1:11" x14ac:dyDescent="0.25">
      <c r="A1817" s="5"/>
      <c r="B1817" s="63" t="str">
        <f>IFERROR(TEXT(tbl_Ventes[[#This Row],[Date]],"mm-aaaa"),"")</f>
        <v>01-1900</v>
      </c>
      <c r="D1817" s="10" t="str">
        <f>IFERROR(
   INDEX(tbl_ProduitsRef[Cde_Prdt],MATCH(tbl_Ventes[[#This Row],[Produit]],tbl_ProduitsRef[Produit],0)),
   ""
)</f>
        <v/>
      </c>
      <c r="E1817" s="7">
        <v>0</v>
      </c>
      <c r="F1817" s="7" t="str">
        <f>IFERROR(
   INDEX(tbl_ProduitsRef[Prix Menu],MATCH(tbl_Ventes[[#This Row],[Produit]],tbl_ProduitsRef[Produit],0)),
   ""
)</f>
        <v/>
      </c>
      <c r="G1817" s="7">
        <f>tbl_Ventes[[#This Row],[Qté Vendue]] * IFERROR(_xlfn.XLOOKUP(tbl_Ventes[[#This Row],[Cde_Prdt]], tbl_Produits[Cde_Prdt], tbl_Produits[Prix Menu]), 0)</f>
        <v>0</v>
      </c>
      <c r="H1817" s="7">
        <f>IFERROR(_xlfn.XLOOKUP(tbl_Ventes[[#This Row],[Cde_Prdt]], tbl_Produits[Cde_Prdt], tbl_Produits[Coût Moyen Portion]), 0)</f>
        <v>0</v>
      </c>
      <c r="I1817" s="7">
        <f>tbl_Ventes[[#This Row],[Qté Vendue]] * tbl_Ventes[[#This Row],[CMP_par_portion]]</f>
        <v>0</v>
      </c>
      <c r="J1817" s="7">
        <f>tbl_Ventes[[#This Row],[CA ligne]] - tbl_Ventes[[#This Row],[Coût matière ligne]]</f>
        <v>0</v>
      </c>
      <c r="K1817" s="7" t="str">
        <f>IFERROR(INDEX(tbl_ProduitsRef[Famille], MATCH(tbl_Ventes[[#This Row],[Cde_Prdt]], tbl_Produits[Cde_Prdt], 0)), "")</f>
        <v/>
      </c>
    </row>
    <row r="1818" spans="1:11" x14ac:dyDescent="0.25">
      <c r="A1818" s="5"/>
      <c r="B1818" s="63" t="str">
        <f>IFERROR(TEXT(tbl_Ventes[[#This Row],[Date]],"mm-aaaa"),"")</f>
        <v>01-1900</v>
      </c>
      <c r="D1818" s="10" t="str">
        <f>IFERROR(
   INDEX(tbl_ProduitsRef[Cde_Prdt],MATCH(tbl_Ventes[[#This Row],[Produit]],tbl_ProduitsRef[Produit],0)),
   ""
)</f>
        <v/>
      </c>
      <c r="E1818" s="7">
        <v>0</v>
      </c>
      <c r="F1818" s="7" t="str">
        <f>IFERROR(
   INDEX(tbl_ProduitsRef[Prix Menu],MATCH(tbl_Ventes[[#This Row],[Produit]],tbl_ProduitsRef[Produit],0)),
   ""
)</f>
        <v/>
      </c>
      <c r="G1818" s="7">
        <f>tbl_Ventes[[#This Row],[Qté Vendue]] * IFERROR(_xlfn.XLOOKUP(tbl_Ventes[[#This Row],[Cde_Prdt]], tbl_Produits[Cde_Prdt], tbl_Produits[Prix Menu]), 0)</f>
        <v>0</v>
      </c>
      <c r="H1818" s="7">
        <f>IFERROR(_xlfn.XLOOKUP(tbl_Ventes[[#This Row],[Cde_Prdt]], tbl_Produits[Cde_Prdt], tbl_Produits[Coût Moyen Portion]), 0)</f>
        <v>0</v>
      </c>
      <c r="I1818" s="7">
        <f>tbl_Ventes[[#This Row],[Qté Vendue]] * tbl_Ventes[[#This Row],[CMP_par_portion]]</f>
        <v>0</v>
      </c>
      <c r="J1818" s="7">
        <f>tbl_Ventes[[#This Row],[CA ligne]] - tbl_Ventes[[#This Row],[Coût matière ligne]]</f>
        <v>0</v>
      </c>
      <c r="K1818" s="7" t="str">
        <f>IFERROR(INDEX(tbl_ProduitsRef[Famille], MATCH(tbl_Ventes[[#This Row],[Cde_Prdt]], tbl_Produits[Cde_Prdt], 0)), "")</f>
        <v/>
      </c>
    </row>
    <row r="1819" spans="1:11" x14ac:dyDescent="0.25">
      <c r="A1819" s="5"/>
      <c r="B1819" s="63" t="str">
        <f>IFERROR(TEXT(tbl_Ventes[[#This Row],[Date]],"mm-aaaa"),"")</f>
        <v>01-1900</v>
      </c>
      <c r="D1819" s="10" t="str">
        <f>IFERROR(
   INDEX(tbl_ProduitsRef[Cde_Prdt],MATCH(tbl_Ventes[[#This Row],[Produit]],tbl_ProduitsRef[Produit],0)),
   ""
)</f>
        <v/>
      </c>
      <c r="E1819" s="7">
        <v>0</v>
      </c>
      <c r="F1819" s="7" t="str">
        <f>IFERROR(
   INDEX(tbl_ProduitsRef[Prix Menu],MATCH(tbl_Ventes[[#This Row],[Produit]],tbl_ProduitsRef[Produit],0)),
   ""
)</f>
        <v/>
      </c>
      <c r="G1819" s="7">
        <f>tbl_Ventes[[#This Row],[Qté Vendue]] * IFERROR(_xlfn.XLOOKUP(tbl_Ventes[[#This Row],[Cde_Prdt]], tbl_Produits[Cde_Prdt], tbl_Produits[Prix Menu]), 0)</f>
        <v>0</v>
      </c>
      <c r="H1819" s="7">
        <f>IFERROR(_xlfn.XLOOKUP(tbl_Ventes[[#This Row],[Cde_Prdt]], tbl_Produits[Cde_Prdt], tbl_Produits[Coût Moyen Portion]), 0)</f>
        <v>0</v>
      </c>
      <c r="I1819" s="7">
        <f>tbl_Ventes[[#This Row],[Qté Vendue]] * tbl_Ventes[[#This Row],[CMP_par_portion]]</f>
        <v>0</v>
      </c>
      <c r="J1819" s="7">
        <f>tbl_Ventes[[#This Row],[CA ligne]] - tbl_Ventes[[#This Row],[Coût matière ligne]]</f>
        <v>0</v>
      </c>
      <c r="K1819" s="7" t="str">
        <f>IFERROR(INDEX(tbl_ProduitsRef[Famille], MATCH(tbl_Ventes[[#This Row],[Cde_Prdt]], tbl_Produits[Cde_Prdt], 0)), "")</f>
        <v/>
      </c>
    </row>
    <row r="1820" spans="1:11" x14ac:dyDescent="0.25">
      <c r="A1820" s="5"/>
      <c r="B1820" s="63" t="str">
        <f>IFERROR(TEXT(tbl_Ventes[[#This Row],[Date]],"mm-aaaa"),"")</f>
        <v>01-1900</v>
      </c>
      <c r="D1820" s="10" t="str">
        <f>IFERROR(
   INDEX(tbl_ProduitsRef[Cde_Prdt],MATCH(tbl_Ventes[[#This Row],[Produit]],tbl_ProduitsRef[Produit],0)),
   ""
)</f>
        <v/>
      </c>
      <c r="E1820" s="7">
        <v>0</v>
      </c>
      <c r="F1820" s="7" t="str">
        <f>IFERROR(
   INDEX(tbl_ProduitsRef[Prix Menu],MATCH(tbl_Ventes[[#This Row],[Produit]],tbl_ProduitsRef[Produit],0)),
   ""
)</f>
        <v/>
      </c>
      <c r="G1820" s="7">
        <f>tbl_Ventes[[#This Row],[Qté Vendue]] * IFERROR(_xlfn.XLOOKUP(tbl_Ventes[[#This Row],[Cde_Prdt]], tbl_Produits[Cde_Prdt], tbl_Produits[Prix Menu]), 0)</f>
        <v>0</v>
      </c>
      <c r="H1820" s="7">
        <f>IFERROR(_xlfn.XLOOKUP(tbl_Ventes[[#This Row],[Cde_Prdt]], tbl_Produits[Cde_Prdt], tbl_Produits[Coût Moyen Portion]), 0)</f>
        <v>0</v>
      </c>
      <c r="I1820" s="7">
        <f>tbl_Ventes[[#This Row],[Qté Vendue]] * tbl_Ventes[[#This Row],[CMP_par_portion]]</f>
        <v>0</v>
      </c>
      <c r="J1820" s="7">
        <f>tbl_Ventes[[#This Row],[CA ligne]] - tbl_Ventes[[#This Row],[Coût matière ligne]]</f>
        <v>0</v>
      </c>
      <c r="K1820" s="7" t="str">
        <f>IFERROR(INDEX(tbl_ProduitsRef[Famille], MATCH(tbl_Ventes[[#This Row],[Cde_Prdt]], tbl_Produits[Cde_Prdt], 0)), "")</f>
        <v/>
      </c>
    </row>
    <row r="1821" spans="1:11" x14ac:dyDescent="0.25">
      <c r="A1821" s="5"/>
      <c r="B1821" s="63" t="str">
        <f>IFERROR(TEXT(tbl_Ventes[[#This Row],[Date]],"mm-aaaa"),"")</f>
        <v>01-1900</v>
      </c>
      <c r="D1821" s="10" t="str">
        <f>IFERROR(
   INDEX(tbl_ProduitsRef[Cde_Prdt],MATCH(tbl_Ventes[[#This Row],[Produit]],tbl_ProduitsRef[Produit],0)),
   ""
)</f>
        <v/>
      </c>
      <c r="E1821" s="7">
        <v>0</v>
      </c>
      <c r="F1821" s="7" t="str">
        <f>IFERROR(
   INDEX(tbl_ProduitsRef[Prix Menu],MATCH(tbl_Ventes[[#This Row],[Produit]],tbl_ProduitsRef[Produit],0)),
   ""
)</f>
        <v/>
      </c>
      <c r="G1821" s="7">
        <f>tbl_Ventes[[#This Row],[Qté Vendue]] * IFERROR(_xlfn.XLOOKUP(tbl_Ventes[[#This Row],[Cde_Prdt]], tbl_Produits[Cde_Prdt], tbl_Produits[Prix Menu]), 0)</f>
        <v>0</v>
      </c>
      <c r="H1821" s="7">
        <f>IFERROR(_xlfn.XLOOKUP(tbl_Ventes[[#This Row],[Cde_Prdt]], tbl_Produits[Cde_Prdt], tbl_Produits[Coût Moyen Portion]), 0)</f>
        <v>0</v>
      </c>
      <c r="I1821" s="7">
        <f>tbl_Ventes[[#This Row],[Qté Vendue]] * tbl_Ventes[[#This Row],[CMP_par_portion]]</f>
        <v>0</v>
      </c>
      <c r="J1821" s="7">
        <f>tbl_Ventes[[#This Row],[CA ligne]] - tbl_Ventes[[#This Row],[Coût matière ligne]]</f>
        <v>0</v>
      </c>
      <c r="K1821" s="7" t="str">
        <f>IFERROR(INDEX(tbl_ProduitsRef[Famille], MATCH(tbl_Ventes[[#This Row],[Cde_Prdt]], tbl_Produits[Cde_Prdt], 0)), "")</f>
        <v/>
      </c>
    </row>
    <row r="1822" spans="1:11" x14ac:dyDescent="0.25">
      <c r="A1822" s="5"/>
      <c r="B1822" s="63" t="str">
        <f>IFERROR(TEXT(tbl_Ventes[[#This Row],[Date]],"mm-aaaa"),"")</f>
        <v>01-1900</v>
      </c>
      <c r="D1822" s="10" t="str">
        <f>IFERROR(
   INDEX(tbl_ProduitsRef[Cde_Prdt],MATCH(tbl_Ventes[[#This Row],[Produit]],tbl_ProduitsRef[Produit],0)),
   ""
)</f>
        <v/>
      </c>
      <c r="E1822" s="7">
        <v>0</v>
      </c>
      <c r="F1822" s="7" t="str">
        <f>IFERROR(
   INDEX(tbl_ProduitsRef[Prix Menu],MATCH(tbl_Ventes[[#This Row],[Produit]],tbl_ProduitsRef[Produit],0)),
   ""
)</f>
        <v/>
      </c>
      <c r="G1822" s="7">
        <f>tbl_Ventes[[#This Row],[Qté Vendue]] * IFERROR(_xlfn.XLOOKUP(tbl_Ventes[[#This Row],[Cde_Prdt]], tbl_Produits[Cde_Prdt], tbl_Produits[Prix Menu]), 0)</f>
        <v>0</v>
      </c>
      <c r="H1822" s="7">
        <f>IFERROR(_xlfn.XLOOKUP(tbl_Ventes[[#This Row],[Cde_Prdt]], tbl_Produits[Cde_Prdt], tbl_Produits[Coût Moyen Portion]), 0)</f>
        <v>0</v>
      </c>
      <c r="I1822" s="7">
        <f>tbl_Ventes[[#This Row],[Qté Vendue]] * tbl_Ventes[[#This Row],[CMP_par_portion]]</f>
        <v>0</v>
      </c>
      <c r="J1822" s="7">
        <f>tbl_Ventes[[#This Row],[CA ligne]] - tbl_Ventes[[#This Row],[Coût matière ligne]]</f>
        <v>0</v>
      </c>
      <c r="K1822" s="7" t="str">
        <f>IFERROR(INDEX(tbl_ProduitsRef[Famille], MATCH(tbl_Ventes[[#This Row],[Cde_Prdt]], tbl_Produits[Cde_Prdt], 0)), "")</f>
        <v/>
      </c>
    </row>
    <row r="1823" spans="1:11" x14ac:dyDescent="0.25">
      <c r="A1823" s="5"/>
      <c r="B1823" s="63" t="str">
        <f>IFERROR(TEXT(tbl_Ventes[[#This Row],[Date]],"mm-aaaa"),"")</f>
        <v>01-1900</v>
      </c>
      <c r="D1823" s="10" t="str">
        <f>IFERROR(
   INDEX(tbl_ProduitsRef[Cde_Prdt],MATCH(tbl_Ventes[[#This Row],[Produit]],tbl_ProduitsRef[Produit],0)),
   ""
)</f>
        <v/>
      </c>
      <c r="E1823" s="7">
        <v>0</v>
      </c>
      <c r="F1823" s="7" t="str">
        <f>IFERROR(
   INDEX(tbl_ProduitsRef[Prix Menu],MATCH(tbl_Ventes[[#This Row],[Produit]],tbl_ProduitsRef[Produit],0)),
   ""
)</f>
        <v/>
      </c>
      <c r="G1823" s="7">
        <f>tbl_Ventes[[#This Row],[Qté Vendue]] * IFERROR(_xlfn.XLOOKUP(tbl_Ventes[[#This Row],[Cde_Prdt]], tbl_Produits[Cde_Prdt], tbl_Produits[Prix Menu]), 0)</f>
        <v>0</v>
      </c>
      <c r="H1823" s="7">
        <f>IFERROR(_xlfn.XLOOKUP(tbl_Ventes[[#This Row],[Cde_Prdt]], tbl_Produits[Cde_Prdt], tbl_Produits[Coût Moyen Portion]), 0)</f>
        <v>0</v>
      </c>
      <c r="I1823" s="7">
        <f>tbl_Ventes[[#This Row],[Qté Vendue]] * tbl_Ventes[[#This Row],[CMP_par_portion]]</f>
        <v>0</v>
      </c>
      <c r="J1823" s="7">
        <f>tbl_Ventes[[#This Row],[CA ligne]] - tbl_Ventes[[#This Row],[Coût matière ligne]]</f>
        <v>0</v>
      </c>
      <c r="K1823" s="7" t="str">
        <f>IFERROR(INDEX(tbl_ProduitsRef[Famille], MATCH(tbl_Ventes[[#This Row],[Cde_Prdt]], tbl_Produits[Cde_Prdt], 0)), "")</f>
        <v/>
      </c>
    </row>
    <row r="1824" spans="1:11" x14ac:dyDescent="0.25">
      <c r="A1824" s="5"/>
      <c r="B1824" s="63" t="str">
        <f>IFERROR(TEXT(tbl_Ventes[[#This Row],[Date]],"mm-aaaa"),"")</f>
        <v>01-1900</v>
      </c>
      <c r="D1824" s="10" t="str">
        <f>IFERROR(
   INDEX(tbl_ProduitsRef[Cde_Prdt],MATCH(tbl_Ventes[[#This Row],[Produit]],tbl_ProduitsRef[Produit],0)),
   ""
)</f>
        <v/>
      </c>
      <c r="E1824" s="7">
        <v>0</v>
      </c>
      <c r="F1824" s="7" t="str">
        <f>IFERROR(
   INDEX(tbl_ProduitsRef[Prix Menu],MATCH(tbl_Ventes[[#This Row],[Produit]],tbl_ProduitsRef[Produit],0)),
   ""
)</f>
        <v/>
      </c>
      <c r="G1824" s="7">
        <f>tbl_Ventes[[#This Row],[Qté Vendue]] * IFERROR(_xlfn.XLOOKUP(tbl_Ventes[[#This Row],[Cde_Prdt]], tbl_Produits[Cde_Prdt], tbl_Produits[Prix Menu]), 0)</f>
        <v>0</v>
      </c>
      <c r="H1824" s="7">
        <f>IFERROR(_xlfn.XLOOKUP(tbl_Ventes[[#This Row],[Cde_Prdt]], tbl_Produits[Cde_Prdt], tbl_Produits[Coût Moyen Portion]), 0)</f>
        <v>0</v>
      </c>
      <c r="I1824" s="7">
        <f>tbl_Ventes[[#This Row],[Qté Vendue]] * tbl_Ventes[[#This Row],[CMP_par_portion]]</f>
        <v>0</v>
      </c>
      <c r="J1824" s="7">
        <f>tbl_Ventes[[#This Row],[CA ligne]] - tbl_Ventes[[#This Row],[Coût matière ligne]]</f>
        <v>0</v>
      </c>
      <c r="K1824" s="7" t="str">
        <f>IFERROR(INDEX(tbl_ProduitsRef[Famille], MATCH(tbl_Ventes[[#This Row],[Cde_Prdt]], tbl_Produits[Cde_Prdt], 0)), "")</f>
        <v/>
      </c>
    </row>
    <row r="1825" spans="1:11" x14ac:dyDescent="0.25">
      <c r="A1825" s="5"/>
      <c r="B1825" s="63" t="str">
        <f>IFERROR(TEXT(tbl_Ventes[[#This Row],[Date]],"mm-aaaa"),"")</f>
        <v>01-1900</v>
      </c>
      <c r="D1825" s="10" t="str">
        <f>IFERROR(
   INDEX(tbl_ProduitsRef[Cde_Prdt],MATCH(tbl_Ventes[[#This Row],[Produit]],tbl_ProduitsRef[Produit],0)),
   ""
)</f>
        <v/>
      </c>
      <c r="E1825" s="7">
        <v>0</v>
      </c>
      <c r="F1825" s="7" t="str">
        <f>IFERROR(
   INDEX(tbl_ProduitsRef[Prix Menu],MATCH(tbl_Ventes[[#This Row],[Produit]],tbl_ProduitsRef[Produit],0)),
   ""
)</f>
        <v/>
      </c>
      <c r="G1825" s="7">
        <f>tbl_Ventes[[#This Row],[Qté Vendue]] * IFERROR(_xlfn.XLOOKUP(tbl_Ventes[[#This Row],[Cde_Prdt]], tbl_Produits[Cde_Prdt], tbl_Produits[Prix Menu]), 0)</f>
        <v>0</v>
      </c>
      <c r="H1825" s="7">
        <f>IFERROR(_xlfn.XLOOKUP(tbl_Ventes[[#This Row],[Cde_Prdt]], tbl_Produits[Cde_Prdt], tbl_Produits[Coût Moyen Portion]), 0)</f>
        <v>0</v>
      </c>
      <c r="I1825" s="7">
        <f>tbl_Ventes[[#This Row],[Qté Vendue]] * tbl_Ventes[[#This Row],[CMP_par_portion]]</f>
        <v>0</v>
      </c>
      <c r="J1825" s="7">
        <f>tbl_Ventes[[#This Row],[CA ligne]] - tbl_Ventes[[#This Row],[Coût matière ligne]]</f>
        <v>0</v>
      </c>
      <c r="K1825" s="7" t="str">
        <f>IFERROR(INDEX(tbl_ProduitsRef[Famille], MATCH(tbl_Ventes[[#This Row],[Cde_Prdt]], tbl_Produits[Cde_Prdt], 0)), "")</f>
        <v/>
      </c>
    </row>
    <row r="1826" spans="1:11" x14ac:dyDescent="0.25">
      <c r="A1826" s="5"/>
      <c r="B1826" s="63" t="str">
        <f>IFERROR(TEXT(tbl_Ventes[[#This Row],[Date]],"mm-aaaa"),"")</f>
        <v>01-1900</v>
      </c>
      <c r="D1826" s="10" t="str">
        <f>IFERROR(
   INDEX(tbl_ProduitsRef[Cde_Prdt],MATCH(tbl_Ventes[[#This Row],[Produit]],tbl_ProduitsRef[Produit],0)),
   ""
)</f>
        <v/>
      </c>
      <c r="E1826" s="7">
        <v>0</v>
      </c>
      <c r="F1826" s="7" t="str">
        <f>IFERROR(
   INDEX(tbl_ProduitsRef[Prix Menu],MATCH(tbl_Ventes[[#This Row],[Produit]],tbl_ProduitsRef[Produit],0)),
   ""
)</f>
        <v/>
      </c>
      <c r="G1826" s="7">
        <f>tbl_Ventes[[#This Row],[Qté Vendue]] * IFERROR(_xlfn.XLOOKUP(tbl_Ventes[[#This Row],[Cde_Prdt]], tbl_Produits[Cde_Prdt], tbl_Produits[Prix Menu]), 0)</f>
        <v>0</v>
      </c>
      <c r="H1826" s="7">
        <f>IFERROR(_xlfn.XLOOKUP(tbl_Ventes[[#This Row],[Cde_Prdt]], tbl_Produits[Cde_Prdt], tbl_Produits[Coût Moyen Portion]), 0)</f>
        <v>0</v>
      </c>
      <c r="I1826" s="7">
        <f>tbl_Ventes[[#This Row],[Qté Vendue]] * tbl_Ventes[[#This Row],[CMP_par_portion]]</f>
        <v>0</v>
      </c>
      <c r="J1826" s="7">
        <f>tbl_Ventes[[#This Row],[CA ligne]] - tbl_Ventes[[#This Row],[Coût matière ligne]]</f>
        <v>0</v>
      </c>
      <c r="K1826" s="7" t="str">
        <f>IFERROR(INDEX(tbl_ProduitsRef[Famille], MATCH(tbl_Ventes[[#This Row],[Cde_Prdt]], tbl_Produits[Cde_Prdt], 0)), "")</f>
        <v/>
      </c>
    </row>
    <row r="1827" spans="1:11" x14ac:dyDescent="0.25">
      <c r="A1827" s="5"/>
      <c r="B1827" s="63" t="str">
        <f>IFERROR(TEXT(tbl_Ventes[[#This Row],[Date]],"mm-aaaa"),"")</f>
        <v>01-1900</v>
      </c>
      <c r="D1827" s="10" t="str">
        <f>IFERROR(
   INDEX(tbl_ProduitsRef[Cde_Prdt],MATCH(tbl_Ventes[[#This Row],[Produit]],tbl_ProduitsRef[Produit],0)),
   ""
)</f>
        <v/>
      </c>
      <c r="E1827" s="7">
        <v>0</v>
      </c>
      <c r="F1827" s="7" t="str">
        <f>IFERROR(
   INDEX(tbl_ProduitsRef[Prix Menu],MATCH(tbl_Ventes[[#This Row],[Produit]],tbl_ProduitsRef[Produit],0)),
   ""
)</f>
        <v/>
      </c>
      <c r="G1827" s="7">
        <f>tbl_Ventes[[#This Row],[Qté Vendue]] * IFERROR(_xlfn.XLOOKUP(tbl_Ventes[[#This Row],[Cde_Prdt]], tbl_Produits[Cde_Prdt], tbl_Produits[Prix Menu]), 0)</f>
        <v>0</v>
      </c>
      <c r="H1827" s="7">
        <f>IFERROR(_xlfn.XLOOKUP(tbl_Ventes[[#This Row],[Cde_Prdt]], tbl_Produits[Cde_Prdt], tbl_Produits[Coût Moyen Portion]), 0)</f>
        <v>0</v>
      </c>
      <c r="I1827" s="7">
        <f>tbl_Ventes[[#This Row],[Qté Vendue]] * tbl_Ventes[[#This Row],[CMP_par_portion]]</f>
        <v>0</v>
      </c>
      <c r="J1827" s="7">
        <f>tbl_Ventes[[#This Row],[CA ligne]] - tbl_Ventes[[#This Row],[Coût matière ligne]]</f>
        <v>0</v>
      </c>
      <c r="K1827" s="7" t="str">
        <f>IFERROR(INDEX(tbl_ProduitsRef[Famille], MATCH(tbl_Ventes[[#This Row],[Cde_Prdt]], tbl_Produits[Cde_Prdt], 0)), "")</f>
        <v/>
      </c>
    </row>
    <row r="1828" spans="1:11" x14ac:dyDescent="0.25">
      <c r="A1828" s="5"/>
      <c r="B1828" s="63" t="str">
        <f>IFERROR(TEXT(tbl_Ventes[[#This Row],[Date]],"mm-aaaa"),"")</f>
        <v>01-1900</v>
      </c>
      <c r="D1828" s="10" t="str">
        <f>IFERROR(
   INDEX(tbl_ProduitsRef[Cde_Prdt],MATCH(tbl_Ventes[[#This Row],[Produit]],tbl_ProduitsRef[Produit],0)),
   ""
)</f>
        <v/>
      </c>
      <c r="E1828" s="7">
        <v>0</v>
      </c>
      <c r="F1828" s="7" t="str">
        <f>IFERROR(
   INDEX(tbl_ProduitsRef[Prix Menu],MATCH(tbl_Ventes[[#This Row],[Produit]],tbl_ProduitsRef[Produit],0)),
   ""
)</f>
        <v/>
      </c>
      <c r="G1828" s="7">
        <f>tbl_Ventes[[#This Row],[Qté Vendue]] * IFERROR(_xlfn.XLOOKUP(tbl_Ventes[[#This Row],[Cde_Prdt]], tbl_Produits[Cde_Prdt], tbl_Produits[Prix Menu]), 0)</f>
        <v>0</v>
      </c>
      <c r="H1828" s="7">
        <f>IFERROR(_xlfn.XLOOKUP(tbl_Ventes[[#This Row],[Cde_Prdt]], tbl_Produits[Cde_Prdt], tbl_Produits[Coût Moyen Portion]), 0)</f>
        <v>0</v>
      </c>
      <c r="I1828" s="7">
        <f>tbl_Ventes[[#This Row],[Qté Vendue]] * tbl_Ventes[[#This Row],[CMP_par_portion]]</f>
        <v>0</v>
      </c>
      <c r="J1828" s="7">
        <f>tbl_Ventes[[#This Row],[CA ligne]] - tbl_Ventes[[#This Row],[Coût matière ligne]]</f>
        <v>0</v>
      </c>
      <c r="K1828" s="7" t="str">
        <f>IFERROR(INDEX(tbl_ProduitsRef[Famille], MATCH(tbl_Ventes[[#This Row],[Cde_Prdt]], tbl_Produits[Cde_Prdt], 0)), "")</f>
        <v/>
      </c>
    </row>
    <row r="1829" spans="1:11" x14ac:dyDescent="0.25">
      <c r="A1829" s="5"/>
      <c r="B1829" s="63" t="str">
        <f>IFERROR(TEXT(tbl_Ventes[[#This Row],[Date]],"mm-aaaa"),"")</f>
        <v>01-1900</v>
      </c>
      <c r="D1829" s="10" t="str">
        <f>IFERROR(
   INDEX(tbl_ProduitsRef[Cde_Prdt],MATCH(tbl_Ventes[[#This Row],[Produit]],tbl_ProduitsRef[Produit],0)),
   ""
)</f>
        <v/>
      </c>
      <c r="E1829" s="7">
        <v>0</v>
      </c>
      <c r="F1829" s="7" t="str">
        <f>IFERROR(
   INDEX(tbl_ProduitsRef[Prix Menu],MATCH(tbl_Ventes[[#This Row],[Produit]],tbl_ProduitsRef[Produit],0)),
   ""
)</f>
        <v/>
      </c>
      <c r="G1829" s="7">
        <f>tbl_Ventes[[#This Row],[Qté Vendue]] * IFERROR(_xlfn.XLOOKUP(tbl_Ventes[[#This Row],[Cde_Prdt]], tbl_Produits[Cde_Prdt], tbl_Produits[Prix Menu]), 0)</f>
        <v>0</v>
      </c>
      <c r="H1829" s="7">
        <f>IFERROR(_xlfn.XLOOKUP(tbl_Ventes[[#This Row],[Cde_Prdt]], tbl_Produits[Cde_Prdt], tbl_Produits[Coût Moyen Portion]), 0)</f>
        <v>0</v>
      </c>
      <c r="I1829" s="7">
        <f>tbl_Ventes[[#This Row],[Qté Vendue]] * tbl_Ventes[[#This Row],[CMP_par_portion]]</f>
        <v>0</v>
      </c>
      <c r="J1829" s="7">
        <f>tbl_Ventes[[#This Row],[CA ligne]] - tbl_Ventes[[#This Row],[Coût matière ligne]]</f>
        <v>0</v>
      </c>
      <c r="K1829" s="7" t="str">
        <f>IFERROR(INDEX(tbl_ProduitsRef[Famille], MATCH(tbl_Ventes[[#This Row],[Cde_Prdt]], tbl_Produits[Cde_Prdt], 0)), "")</f>
        <v/>
      </c>
    </row>
    <row r="1830" spans="1:11" x14ac:dyDescent="0.25">
      <c r="A1830" s="5"/>
      <c r="B1830" s="63" t="str">
        <f>IFERROR(TEXT(tbl_Ventes[[#This Row],[Date]],"mm-aaaa"),"")</f>
        <v>01-1900</v>
      </c>
      <c r="D1830" s="10" t="str">
        <f>IFERROR(
   INDEX(tbl_ProduitsRef[Cde_Prdt],MATCH(tbl_Ventes[[#This Row],[Produit]],tbl_ProduitsRef[Produit],0)),
   ""
)</f>
        <v/>
      </c>
      <c r="E1830" s="7">
        <v>0</v>
      </c>
      <c r="F1830" s="7" t="str">
        <f>IFERROR(
   INDEX(tbl_ProduitsRef[Prix Menu],MATCH(tbl_Ventes[[#This Row],[Produit]],tbl_ProduitsRef[Produit],0)),
   ""
)</f>
        <v/>
      </c>
      <c r="G1830" s="7">
        <f>tbl_Ventes[[#This Row],[Qté Vendue]] * IFERROR(_xlfn.XLOOKUP(tbl_Ventes[[#This Row],[Cde_Prdt]], tbl_Produits[Cde_Prdt], tbl_Produits[Prix Menu]), 0)</f>
        <v>0</v>
      </c>
      <c r="H1830" s="7">
        <f>IFERROR(_xlfn.XLOOKUP(tbl_Ventes[[#This Row],[Cde_Prdt]], tbl_Produits[Cde_Prdt], tbl_Produits[Coût Moyen Portion]), 0)</f>
        <v>0</v>
      </c>
      <c r="I1830" s="7">
        <f>tbl_Ventes[[#This Row],[Qté Vendue]] * tbl_Ventes[[#This Row],[CMP_par_portion]]</f>
        <v>0</v>
      </c>
      <c r="J1830" s="7">
        <f>tbl_Ventes[[#This Row],[CA ligne]] - tbl_Ventes[[#This Row],[Coût matière ligne]]</f>
        <v>0</v>
      </c>
      <c r="K1830" s="7" t="str">
        <f>IFERROR(INDEX(tbl_ProduitsRef[Famille], MATCH(tbl_Ventes[[#This Row],[Cde_Prdt]], tbl_Produits[Cde_Prdt], 0)), "")</f>
        <v/>
      </c>
    </row>
    <row r="1831" spans="1:11" x14ac:dyDescent="0.25">
      <c r="A1831" s="5"/>
      <c r="B1831" s="63" t="str">
        <f>IFERROR(TEXT(tbl_Ventes[[#This Row],[Date]],"mm-aaaa"),"")</f>
        <v>01-1900</v>
      </c>
      <c r="D1831" s="10" t="str">
        <f>IFERROR(
   INDEX(tbl_ProduitsRef[Cde_Prdt],MATCH(tbl_Ventes[[#This Row],[Produit]],tbl_ProduitsRef[Produit],0)),
   ""
)</f>
        <v/>
      </c>
      <c r="E1831" s="7">
        <v>0</v>
      </c>
      <c r="F1831" s="7" t="str">
        <f>IFERROR(
   INDEX(tbl_ProduitsRef[Prix Menu],MATCH(tbl_Ventes[[#This Row],[Produit]],tbl_ProduitsRef[Produit],0)),
   ""
)</f>
        <v/>
      </c>
      <c r="G1831" s="7">
        <f>tbl_Ventes[[#This Row],[Qté Vendue]] * IFERROR(_xlfn.XLOOKUP(tbl_Ventes[[#This Row],[Cde_Prdt]], tbl_Produits[Cde_Prdt], tbl_Produits[Prix Menu]), 0)</f>
        <v>0</v>
      </c>
      <c r="H1831" s="7">
        <f>IFERROR(_xlfn.XLOOKUP(tbl_Ventes[[#This Row],[Cde_Prdt]], tbl_Produits[Cde_Prdt], tbl_Produits[Coût Moyen Portion]), 0)</f>
        <v>0</v>
      </c>
      <c r="I1831" s="7">
        <f>tbl_Ventes[[#This Row],[Qté Vendue]] * tbl_Ventes[[#This Row],[CMP_par_portion]]</f>
        <v>0</v>
      </c>
      <c r="J1831" s="7">
        <f>tbl_Ventes[[#This Row],[CA ligne]] - tbl_Ventes[[#This Row],[Coût matière ligne]]</f>
        <v>0</v>
      </c>
      <c r="K1831" s="7" t="str">
        <f>IFERROR(INDEX(tbl_ProduitsRef[Famille], MATCH(tbl_Ventes[[#This Row],[Cde_Prdt]], tbl_Produits[Cde_Prdt], 0)), "")</f>
        <v/>
      </c>
    </row>
    <row r="1832" spans="1:11" x14ac:dyDescent="0.25">
      <c r="A1832" s="5"/>
      <c r="B1832" s="63" t="str">
        <f>IFERROR(TEXT(tbl_Ventes[[#This Row],[Date]],"mm-aaaa"),"")</f>
        <v>01-1900</v>
      </c>
      <c r="D1832" s="10" t="str">
        <f>IFERROR(
   INDEX(tbl_ProduitsRef[Cde_Prdt],MATCH(tbl_Ventes[[#This Row],[Produit]],tbl_ProduitsRef[Produit],0)),
   ""
)</f>
        <v/>
      </c>
      <c r="E1832" s="7">
        <v>0</v>
      </c>
      <c r="F1832" s="7" t="str">
        <f>IFERROR(
   INDEX(tbl_ProduitsRef[Prix Menu],MATCH(tbl_Ventes[[#This Row],[Produit]],tbl_ProduitsRef[Produit],0)),
   ""
)</f>
        <v/>
      </c>
      <c r="G1832" s="7">
        <f>tbl_Ventes[[#This Row],[Qté Vendue]] * IFERROR(_xlfn.XLOOKUP(tbl_Ventes[[#This Row],[Cde_Prdt]], tbl_Produits[Cde_Prdt], tbl_Produits[Prix Menu]), 0)</f>
        <v>0</v>
      </c>
      <c r="H1832" s="7">
        <f>IFERROR(_xlfn.XLOOKUP(tbl_Ventes[[#This Row],[Cde_Prdt]], tbl_Produits[Cde_Prdt], tbl_Produits[Coût Moyen Portion]), 0)</f>
        <v>0</v>
      </c>
      <c r="I1832" s="7">
        <f>tbl_Ventes[[#This Row],[Qté Vendue]] * tbl_Ventes[[#This Row],[CMP_par_portion]]</f>
        <v>0</v>
      </c>
      <c r="J1832" s="7">
        <f>tbl_Ventes[[#This Row],[CA ligne]] - tbl_Ventes[[#This Row],[Coût matière ligne]]</f>
        <v>0</v>
      </c>
      <c r="K1832" s="7" t="str">
        <f>IFERROR(INDEX(tbl_ProduitsRef[Famille], MATCH(tbl_Ventes[[#This Row],[Cde_Prdt]], tbl_Produits[Cde_Prdt], 0)), "")</f>
        <v/>
      </c>
    </row>
    <row r="1833" spans="1:11" x14ac:dyDescent="0.25">
      <c r="A1833" s="5"/>
      <c r="B1833" s="63" t="str">
        <f>IFERROR(TEXT(tbl_Ventes[[#This Row],[Date]],"mm-aaaa"),"")</f>
        <v>01-1900</v>
      </c>
      <c r="D1833" s="10" t="str">
        <f>IFERROR(
   INDEX(tbl_ProduitsRef[Cde_Prdt],MATCH(tbl_Ventes[[#This Row],[Produit]],tbl_ProduitsRef[Produit],0)),
   ""
)</f>
        <v/>
      </c>
      <c r="E1833" s="7">
        <v>0</v>
      </c>
      <c r="F1833" s="7" t="str">
        <f>IFERROR(
   INDEX(tbl_ProduitsRef[Prix Menu],MATCH(tbl_Ventes[[#This Row],[Produit]],tbl_ProduitsRef[Produit],0)),
   ""
)</f>
        <v/>
      </c>
      <c r="G1833" s="7">
        <f>tbl_Ventes[[#This Row],[Qté Vendue]] * IFERROR(_xlfn.XLOOKUP(tbl_Ventes[[#This Row],[Cde_Prdt]], tbl_Produits[Cde_Prdt], tbl_Produits[Prix Menu]), 0)</f>
        <v>0</v>
      </c>
      <c r="H1833" s="7">
        <f>IFERROR(_xlfn.XLOOKUP(tbl_Ventes[[#This Row],[Cde_Prdt]], tbl_Produits[Cde_Prdt], tbl_Produits[Coût Moyen Portion]), 0)</f>
        <v>0</v>
      </c>
      <c r="I1833" s="7">
        <f>tbl_Ventes[[#This Row],[Qté Vendue]] * tbl_Ventes[[#This Row],[CMP_par_portion]]</f>
        <v>0</v>
      </c>
      <c r="J1833" s="7">
        <f>tbl_Ventes[[#This Row],[CA ligne]] - tbl_Ventes[[#This Row],[Coût matière ligne]]</f>
        <v>0</v>
      </c>
      <c r="K1833" s="7" t="str">
        <f>IFERROR(INDEX(tbl_ProduitsRef[Famille], MATCH(tbl_Ventes[[#This Row],[Cde_Prdt]], tbl_Produits[Cde_Prdt], 0)), "")</f>
        <v/>
      </c>
    </row>
    <row r="1834" spans="1:11" x14ac:dyDescent="0.25">
      <c r="A1834" s="5"/>
      <c r="B1834" s="63" t="str">
        <f>IFERROR(TEXT(tbl_Ventes[[#This Row],[Date]],"mm-aaaa"),"")</f>
        <v>01-1900</v>
      </c>
      <c r="D1834" s="10" t="str">
        <f>IFERROR(
   INDEX(tbl_ProduitsRef[Cde_Prdt],MATCH(tbl_Ventes[[#This Row],[Produit]],tbl_ProduitsRef[Produit],0)),
   ""
)</f>
        <v/>
      </c>
      <c r="E1834" s="7">
        <v>0</v>
      </c>
      <c r="F1834" s="7" t="str">
        <f>IFERROR(
   INDEX(tbl_ProduitsRef[Prix Menu],MATCH(tbl_Ventes[[#This Row],[Produit]],tbl_ProduitsRef[Produit],0)),
   ""
)</f>
        <v/>
      </c>
      <c r="G1834" s="7">
        <f>tbl_Ventes[[#This Row],[Qté Vendue]] * IFERROR(_xlfn.XLOOKUP(tbl_Ventes[[#This Row],[Cde_Prdt]], tbl_Produits[Cde_Prdt], tbl_Produits[Prix Menu]), 0)</f>
        <v>0</v>
      </c>
      <c r="H1834" s="7">
        <f>IFERROR(_xlfn.XLOOKUP(tbl_Ventes[[#This Row],[Cde_Prdt]], tbl_Produits[Cde_Prdt], tbl_Produits[Coût Moyen Portion]), 0)</f>
        <v>0</v>
      </c>
      <c r="I1834" s="7">
        <f>tbl_Ventes[[#This Row],[Qté Vendue]] * tbl_Ventes[[#This Row],[CMP_par_portion]]</f>
        <v>0</v>
      </c>
      <c r="J1834" s="7">
        <f>tbl_Ventes[[#This Row],[CA ligne]] - tbl_Ventes[[#This Row],[Coût matière ligne]]</f>
        <v>0</v>
      </c>
      <c r="K1834" s="7" t="str">
        <f>IFERROR(INDEX(tbl_ProduitsRef[Famille], MATCH(tbl_Ventes[[#This Row],[Cde_Prdt]], tbl_Produits[Cde_Prdt], 0)), "")</f>
        <v/>
      </c>
    </row>
    <row r="1835" spans="1:11" x14ac:dyDescent="0.25">
      <c r="A1835" s="5"/>
      <c r="B1835" s="63" t="str">
        <f>IFERROR(TEXT(tbl_Ventes[[#This Row],[Date]],"mm-aaaa"),"")</f>
        <v>01-1900</v>
      </c>
      <c r="D1835" s="10" t="str">
        <f>IFERROR(
   INDEX(tbl_ProduitsRef[Cde_Prdt],MATCH(tbl_Ventes[[#This Row],[Produit]],tbl_ProduitsRef[Produit],0)),
   ""
)</f>
        <v/>
      </c>
      <c r="E1835" s="7">
        <v>0</v>
      </c>
      <c r="F1835" s="7" t="str">
        <f>IFERROR(
   INDEX(tbl_ProduitsRef[Prix Menu],MATCH(tbl_Ventes[[#This Row],[Produit]],tbl_ProduitsRef[Produit],0)),
   ""
)</f>
        <v/>
      </c>
      <c r="G1835" s="7">
        <f>tbl_Ventes[[#This Row],[Qté Vendue]] * IFERROR(_xlfn.XLOOKUP(tbl_Ventes[[#This Row],[Cde_Prdt]], tbl_Produits[Cde_Prdt], tbl_Produits[Prix Menu]), 0)</f>
        <v>0</v>
      </c>
      <c r="H1835" s="7">
        <f>IFERROR(_xlfn.XLOOKUP(tbl_Ventes[[#This Row],[Cde_Prdt]], tbl_Produits[Cde_Prdt], tbl_Produits[Coût Moyen Portion]), 0)</f>
        <v>0</v>
      </c>
      <c r="I1835" s="7">
        <f>tbl_Ventes[[#This Row],[Qté Vendue]] * tbl_Ventes[[#This Row],[CMP_par_portion]]</f>
        <v>0</v>
      </c>
      <c r="J1835" s="7">
        <f>tbl_Ventes[[#This Row],[CA ligne]] - tbl_Ventes[[#This Row],[Coût matière ligne]]</f>
        <v>0</v>
      </c>
      <c r="K1835" s="7" t="str">
        <f>IFERROR(INDEX(tbl_ProduitsRef[Famille], MATCH(tbl_Ventes[[#This Row],[Cde_Prdt]], tbl_Produits[Cde_Prdt], 0)), "")</f>
        <v/>
      </c>
    </row>
    <row r="1836" spans="1:11" x14ac:dyDescent="0.25">
      <c r="A1836" s="5"/>
      <c r="B1836" s="63" t="str">
        <f>IFERROR(TEXT(tbl_Ventes[[#This Row],[Date]],"mm-aaaa"),"")</f>
        <v>01-1900</v>
      </c>
      <c r="D1836" s="10" t="str">
        <f>IFERROR(
   INDEX(tbl_ProduitsRef[Cde_Prdt],MATCH(tbl_Ventes[[#This Row],[Produit]],tbl_ProduitsRef[Produit],0)),
   ""
)</f>
        <v/>
      </c>
      <c r="E1836" s="7">
        <v>0</v>
      </c>
      <c r="F1836" s="7" t="str">
        <f>IFERROR(
   INDEX(tbl_ProduitsRef[Prix Menu],MATCH(tbl_Ventes[[#This Row],[Produit]],tbl_ProduitsRef[Produit],0)),
   ""
)</f>
        <v/>
      </c>
      <c r="G1836" s="7">
        <f>tbl_Ventes[[#This Row],[Qté Vendue]] * IFERROR(_xlfn.XLOOKUP(tbl_Ventes[[#This Row],[Cde_Prdt]], tbl_Produits[Cde_Prdt], tbl_Produits[Prix Menu]), 0)</f>
        <v>0</v>
      </c>
      <c r="H1836" s="7">
        <f>IFERROR(_xlfn.XLOOKUP(tbl_Ventes[[#This Row],[Cde_Prdt]], tbl_Produits[Cde_Prdt], tbl_Produits[Coût Moyen Portion]), 0)</f>
        <v>0</v>
      </c>
      <c r="I1836" s="7">
        <f>tbl_Ventes[[#This Row],[Qté Vendue]] * tbl_Ventes[[#This Row],[CMP_par_portion]]</f>
        <v>0</v>
      </c>
      <c r="J1836" s="7">
        <f>tbl_Ventes[[#This Row],[CA ligne]] - tbl_Ventes[[#This Row],[Coût matière ligne]]</f>
        <v>0</v>
      </c>
      <c r="K1836" s="7" t="str">
        <f>IFERROR(INDEX(tbl_ProduitsRef[Famille], MATCH(tbl_Ventes[[#This Row],[Cde_Prdt]], tbl_Produits[Cde_Prdt], 0)), "")</f>
        <v/>
      </c>
    </row>
    <row r="1837" spans="1:11" x14ac:dyDescent="0.25">
      <c r="A1837" s="5"/>
      <c r="B1837" s="63" t="str">
        <f>IFERROR(TEXT(tbl_Ventes[[#This Row],[Date]],"mm-aaaa"),"")</f>
        <v>01-1900</v>
      </c>
      <c r="D1837" s="10" t="str">
        <f>IFERROR(
   INDEX(tbl_ProduitsRef[Cde_Prdt],MATCH(tbl_Ventes[[#This Row],[Produit]],tbl_ProduitsRef[Produit],0)),
   ""
)</f>
        <v/>
      </c>
      <c r="E1837" s="7">
        <v>0</v>
      </c>
      <c r="F1837" s="7" t="str">
        <f>IFERROR(
   INDEX(tbl_ProduitsRef[Prix Menu],MATCH(tbl_Ventes[[#This Row],[Produit]],tbl_ProduitsRef[Produit],0)),
   ""
)</f>
        <v/>
      </c>
      <c r="G1837" s="7">
        <f>tbl_Ventes[[#This Row],[Qté Vendue]] * IFERROR(_xlfn.XLOOKUP(tbl_Ventes[[#This Row],[Cde_Prdt]], tbl_Produits[Cde_Prdt], tbl_Produits[Prix Menu]), 0)</f>
        <v>0</v>
      </c>
      <c r="H1837" s="7">
        <f>IFERROR(_xlfn.XLOOKUP(tbl_Ventes[[#This Row],[Cde_Prdt]], tbl_Produits[Cde_Prdt], tbl_Produits[Coût Moyen Portion]), 0)</f>
        <v>0</v>
      </c>
      <c r="I1837" s="7">
        <f>tbl_Ventes[[#This Row],[Qté Vendue]] * tbl_Ventes[[#This Row],[CMP_par_portion]]</f>
        <v>0</v>
      </c>
      <c r="J1837" s="7">
        <f>tbl_Ventes[[#This Row],[CA ligne]] - tbl_Ventes[[#This Row],[Coût matière ligne]]</f>
        <v>0</v>
      </c>
      <c r="K1837" s="7" t="str">
        <f>IFERROR(INDEX(tbl_ProduitsRef[Famille], MATCH(tbl_Ventes[[#This Row],[Cde_Prdt]], tbl_Produits[Cde_Prdt], 0)), "")</f>
        <v/>
      </c>
    </row>
    <row r="1838" spans="1:11" x14ac:dyDescent="0.25">
      <c r="A1838" s="5"/>
      <c r="B1838" s="63" t="str">
        <f>IFERROR(TEXT(tbl_Ventes[[#This Row],[Date]],"mm-aaaa"),"")</f>
        <v>01-1900</v>
      </c>
      <c r="D1838" s="10" t="str">
        <f>IFERROR(
   INDEX(tbl_ProduitsRef[Cde_Prdt],MATCH(tbl_Ventes[[#This Row],[Produit]],tbl_ProduitsRef[Produit],0)),
   ""
)</f>
        <v/>
      </c>
      <c r="E1838" s="7">
        <v>0</v>
      </c>
      <c r="F1838" s="7" t="str">
        <f>IFERROR(
   INDEX(tbl_ProduitsRef[Prix Menu],MATCH(tbl_Ventes[[#This Row],[Produit]],tbl_ProduitsRef[Produit],0)),
   ""
)</f>
        <v/>
      </c>
      <c r="G1838" s="7">
        <f>tbl_Ventes[[#This Row],[Qté Vendue]] * IFERROR(_xlfn.XLOOKUP(tbl_Ventes[[#This Row],[Cde_Prdt]], tbl_Produits[Cde_Prdt], tbl_Produits[Prix Menu]), 0)</f>
        <v>0</v>
      </c>
      <c r="H1838" s="7">
        <f>IFERROR(_xlfn.XLOOKUP(tbl_Ventes[[#This Row],[Cde_Prdt]], tbl_Produits[Cde_Prdt], tbl_Produits[Coût Moyen Portion]), 0)</f>
        <v>0</v>
      </c>
      <c r="I1838" s="7">
        <f>tbl_Ventes[[#This Row],[Qté Vendue]] * tbl_Ventes[[#This Row],[CMP_par_portion]]</f>
        <v>0</v>
      </c>
      <c r="J1838" s="7">
        <f>tbl_Ventes[[#This Row],[CA ligne]] - tbl_Ventes[[#This Row],[Coût matière ligne]]</f>
        <v>0</v>
      </c>
      <c r="K1838" s="7" t="str">
        <f>IFERROR(INDEX(tbl_ProduitsRef[Famille], MATCH(tbl_Ventes[[#This Row],[Cde_Prdt]], tbl_Produits[Cde_Prdt], 0)), "")</f>
        <v/>
      </c>
    </row>
    <row r="1839" spans="1:11" x14ac:dyDescent="0.25">
      <c r="A1839" s="5"/>
      <c r="B1839" s="63" t="str">
        <f>IFERROR(TEXT(tbl_Ventes[[#This Row],[Date]],"mm-aaaa"),"")</f>
        <v>01-1900</v>
      </c>
      <c r="D1839" s="10" t="str">
        <f>IFERROR(
   INDEX(tbl_ProduitsRef[Cde_Prdt],MATCH(tbl_Ventes[[#This Row],[Produit]],tbl_ProduitsRef[Produit],0)),
   ""
)</f>
        <v/>
      </c>
      <c r="E1839" s="7">
        <v>0</v>
      </c>
      <c r="F1839" s="7" t="str">
        <f>IFERROR(
   INDEX(tbl_ProduitsRef[Prix Menu],MATCH(tbl_Ventes[[#This Row],[Produit]],tbl_ProduitsRef[Produit],0)),
   ""
)</f>
        <v/>
      </c>
      <c r="G1839" s="7">
        <f>tbl_Ventes[[#This Row],[Qté Vendue]] * IFERROR(_xlfn.XLOOKUP(tbl_Ventes[[#This Row],[Cde_Prdt]], tbl_Produits[Cde_Prdt], tbl_Produits[Prix Menu]), 0)</f>
        <v>0</v>
      </c>
      <c r="H1839" s="7">
        <f>IFERROR(_xlfn.XLOOKUP(tbl_Ventes[[#This Row],[Cde_Prdt]], tbl_Produits[Cde_Prdt], tbl_Produits[Coût Moyen Portion]), 0)</f>
        <v>0</v>
      </c>
      <c r="I1839" s="7">
        <f>tbl_Ventes[[#This Row],[Qté Vendue]] * tbl_Ventes[[#This Row],[CMP_par_portion]]</f>
        <v>0</v>
      </c>
      <c r="J1839" s="7">
        <f>tbl_Ventes[[#This Row],[CA ligne]] - tbl_Ventes[[#This Row],[Coût matière ligne]]</f>
        <v>0</v>
      </c>
      <c r="K1839" s="7" t="str">
        <f>IFERROR(INDEX(tbl_ProduitsRef[Famille], MATCH(tbl_Ventes[[#This Row],[Cde_Prdt]], tbl_Produits[Cde_Prdt], 0)), "")</f>
        <v/>
      </c>
    </row>
    <row r="1840" spans="1:11" x14ac:dyDescent="0.25">
      <c r="A1840" s="5"/>
      <c r="B1840" s="63" t="str">
        <f>IFERROR(TEXT(tbl_Ventes[[#This Row],[Date]],"mm-aaaa"),"")</f>
        <v>01-1900</v>
      </c>
      <c r="D1840" s="10" t="str">
        <f>IFERROR(
   INDEX(tbl_ProduitsRef[Cde_Prdt],MATCH(tbl_Ventes[[#This Row],[Produit]],tbl_ProduitsRef[Produit],0)),
   ""
)</f>
        <v/>
      </c>
      <c r="E1840" s="7">
        <v>0</v>
      </c>
      <c r="F1840" s="7" t="str">
        <f>IFERROR(
   INDEX(tbl_ProduitsRef[Prix Menu],MATCH(tbl_Ventes[[#This Row],[Produit]],tbl_ProduitsRef[Produit],0)),
   ""
)</f>
        <v/>
      </c>
      <c r="G1840" s="7">
        <f>tbl_Ventes[[#This Row],[Qté Vendue]] * IFERROR(_xlfn.XLOOKUP(tbl_Ventes[[#This Row],[Cde_Prdt]], tbl_Produits[Cde_Prdt], tbl_Produits[Prix Menu]), 0)</f>
        <v>0</v>
      </c>
      <c r="H1840" s="7">
        <f>IFERROR(_xlfn.XLOOKUP(tbl_Ventes[[#This Row],[Cde_Prdt]], tbl_Produits[Cde_Prdt], tbl_Produits[Coût Moyen Portion]), 0)</f>
        <v>0</v>
      </c>
      <c r="I1840" s="7">
        <f>tbl_Ventes[[#This Row],[Qté Vendue]] * tbl_Ventes[[#This Row],[CMP_par_portion]]</f>
        <v>0</v>
      </c>
      <c r="J1840" s="7">
        <f>tbl_Ventes[[#This Row],[CA ligne]] - tbl_Ventes[[#This Row],[Coût matière ligne]]</f>
        <v>0</v>
      </c>
      <c r="K1840" s="7" t="str">
        <f>IFERROR(INDEX(tbl_ProduitsRef[Famille], MATCH(tbl_Ventes[[#This Row],[Cde_Prdt]], tbl_Produits[Cde_Prdt], 0)), "")</f>
        <v/>
      </c>
    </row>
    <row r="1841" spans="1:11" x14ac:dyDescent="0.25">
      <c r="A1841" s="5"/>
      <c r="B1841" s="63" t="str">
        <f>IFERROR(TEXT(tbl_Ventes[[#This Row],[Date]],"mm-aaaa"),"")</f>
        <v>01-1900</v>
      </c>
      <c r="D1841" s="10" t="str">
        <f>IFERROR(
   INDEX(tbl_ProduitsRef[Cde_Prdt],MATCH(tbl_Ventes[[#This Row],[Produit]],tbl_ProduitsRef[Produit],0)),
   ""
)</f>
        <v/>
      </c>
      <c r="E1841" s="7">
        <v>0</v>
      </c>
      <c r="F1841" s="7" t="str">
        <f>IFERROR(
   INDEX(tbl_ProduitsRef[Prix Menu],MATCH(tbl_Ventes[[#This Row],[Produit]],tbl_ProduitsRef[Produit],0)),
   ""
)</f>
        <v/>
      </c>
      <c r="G1841" s="7">
        <f>tbl_Ventes[[#This Row],[Qté Vendue]] * IFERROR(_xlfn.XLOOKUP(tbl_Ventes[[#This Row],[Cde_Prdt]], tbl_Produits[Cde_Prdt], tbl_Produits[Prix Menu]), 0)</f>
        <v>0</v>
      </c>
      <c r="H1841" s="7">
        <f>IFERROR(_xlfn.XLOOKUP(tbl_Ventes[[#This Row],[Cde_Prdt]], tbl_Produits[Cde_Prdt], tbl_Produits[Coût Moyen Portion]), 0)</f>
        <v>0</v>
      </c>
      <c r="I1841" s="7">
        <f>tbl_Ventes[[#This Row],[Qté Vendue]] * tbl_Ventes[[#This Row],[CMP_par_portion]]</f>
        <v>0</v>
      </c>
      <c r="J1841" s="7">
        <f>tbl_Ventes[[#This Row],[CA ligne]] - tbl_Ventes[[#This Row],[Coût matière ligne]]</f>
        <v>0</v>
      </c>
      <c r="K1841" s="7" t="str">
        <f>IFERROR(INDEX(tbl_ProduitsRef[Famille], MATCH(tbl_Ventes[[#This Row],[Cde_Prdt]], tbl_Produits[Cde_Prdt], 0)), "")</f>
        <v/>
      </c>
    </row>
    <row r="1842" spans="1:11" x14ac:dyDescent="0.25">
      <c r="A1842" s="5"/>
      <c r="B1842" s="63" t="str">
        <f>IFERROR(TEXT(tbl_Ventes[[#This Row],[Date]],"mm-aaaa"),"")</f>
        <v>01-1900</v>
      </c>
      <c r="D1842" s="10" t="str">
        <f>IFERROR(
   INDEX(tbl_ProduitsRef[Cde_Prdt],MATCH(tbl_Ventes[[#This Row],[Produit]],tbl_ProduitsRef[Produit],0)),
   ""
)</f>
        <v/>
      </c>
      <c r="E1842" s="7">
        <v>0</v>
      </c>
      <c r="F1842" s="7" t="str">
        <f>IFERROR(
   INDEX(tbl_ProduitsRef[Prix Menu],MATCH(tbl_Ventes[[#This Row],[Produit]],tbl_ProduitsRef[Produit],0)),
   ""
)</f>
        <v/>
      </c>
      <c r="G1842" s="7">
        <f>tbl_Ventes[[#This Row],[Qté Vendue]] * IFERROR(_xlfn.XLOOKUP(tbl_Ventes[[#This Row],[Cde_Prdt]], tbl_Produits[Cde_Prdt], tbl_Produits[Prix Menu]), 0)</f>
        <v>0</v>
      </c>
      <c r="H1842" s="7">
        <f>IFERROR(_xlfn.XLOOKUP(tbl_Ventes[[#This Row],[Cde_Prdt]], tbl_Produits[Cde_Prdt], tbl_Produits[Coût Moyen Portion]), 0)</f>
        <v>0</v>
      </c>
      <c r="I1842" s="7">
        <f>tbl_Ventes[[#This Row],[Qté Vendue]] * tbl_Ventes[[#This Row],[CMP_par_portion]]</f>
        <v>0</v>
      </c>
      <c r="J1842" s="7">
        <f>tbl_Ventes[[#This Row],[CA ligne]] - tbl_Ventes[[#This Row],[Coût matière ligne]]</f>
        <v>0</v>
      </c>
      <c r="K1842" s="7" t="str">
        <f>IFERROR(INDEX(tbl_ProduitsRef[Famille], MATCH(tbl_Ventes[[#This Row],[Cde_Prdt]], tbl_Produits[Cde_Prdt], 0)), "")</f>
        <v/>
      </c>
    </row>
    <row r="1843" spans="1:11" x14ac:dyDescent="0.25">
      <c r="A1843" s="5"/>
      <c r="B1843" s="63" t="str">
        <f>IFERROR(TEXT(tbl_Ventes[[#This Row],[Date]],"mm-aaaa"),"")</f>
        <v>01-1900</v>
      </c>
      <c r="D1843" s="10" t="str">
        <f>IFERROR(
   INDEX(tbl_ProduitsRef[Cde_Prdt],MATCH(tbl_Ventes[[#This Row],[Produit]],tbl_ProduitsRef[Produit],0)),
   ""
)</f>
        <v/>
      </c>
      <c r="E1843" s="7">
        <v>0</v>
      </c>
      <c r="F1843" s="7" t="str">
        <f>IFERROR(
   INDEX(tbl_ProduitsRef[Prix Menu],MATCH(tbl_Ventes[[#This Row],[Produit]],tbl_ProduitsRef[Produit],0)),
   ""
)</f>
        <v/>
      </c>
      <c r="G1843" s="7">
        <f>tbl_Ventes[[#This Row],[Qté Vendue]] * IFERROR(_xlfn.XLOOKUP(tbl_Ventes[[#This Row],[Cde_Prdt]], tbl_Produits[Cde_Prdt], tbl_Produits[Prix Menu]), 0)</f>
        <v>0</v>
      </c>
      <c r="H1843" s="7">
        <f>IFERROR(_xlfn.XLOOKUP(tbl_Ventes[[#This Row],[Cde_Prdt]], tbl_Produits[Cde_Prdt], tbl_Produits[Coût Moyen Portion]), 0)</f>
        <v>0</v>
      </c>
      <c r="I1843" s="7">
        <f>tbl_Ventes[[#This Row],[Qté Vendue]] * tbl_Ventes[[#This Row],[CMP_par_portion]]</f>
        <v>0</v>
      </c>
      <c r="J1843" s="7">
        <f>tbl_Ventes[[#This Row],[CA ligne]] - tbl_Ventes[[#This Row],[Coût matière ligne]]</f>
        <v>0</v>
      </c>
      <c r="K1843" s="7" t="str">
        <f>IFERROR(INDEX(tbl_ProduitsRef[Famille], MATCH(tbl_Ventes[[#This Row],[Cde_Prdt]], tbl_Produits[Cde_Prdt], 0)), "")</f>
        <v/>
      </c>
    </row>
    <row r="1844" spans="1:11" x14ac:dyDescent="0.25">
      <c r="A1844" s="5"/>
      <c r="B1844" s="63" t="str">
        <f>IFERROR(TEXT(tbl_Ventes[[#This Row],[Date]],"mm-aaaa"),"")</f>
        <v>01-1900</v>
      </c>
      <c r="D1844" s="10" t="str">
        <f>IFERROR(
   INDEX(tbl_ProduitsRef[Cde_Prdt],MATCH(tbl_Ventes[[#This Row],[Produit]],tbl_ProduitsRef[Produit],0)),
   ""
)</f>
        <v/>
      </c>
      <c r="E1844" s="7">
        <v>0</v>
      </c>
      <c r="F1844" s="7" t="str">
        <f>IFERROR(
   INDEX(tbl_ProduitsRef[Prix Menu],MATCH(tbl_Ventes[[#This Row],[Produit]],tbl_ProduitsRef[Produit],0)),
   ""
)</f>
        <v/>
      </c>
      <c r="G1844" s="7">
        <f>tbl_Ventes[[#This Row],[Qté Vendue]] * IFERROR(_xlfn.XLOOKUP(tbl_Ventes[[#This Row],[Cde_Prdt]], tbl_Produits[Cde_Prdt], tbl_Produits[Prix Menu]), 0)</f>
        <v>0</v>
      </c>
      <c r="H1844" s="7">
        <f>IFERROR(_xlfn.XLOOKUP(tbl_Ventes[[#This Row],[Cde_Prdt]], tbl_Produits[Cde_Prdt], tbl_Produits[Coût Moyen Portion]), 0)</f>
        <v>0</v>
      </c>
      <c r="I1844" s="7">
        <f>tbl_Ventes[[#This Row],[Qté Vendue]] * tbl_Ventes[[#This Row],[CMP_par_portion]]</f>
        <v>0</v>
      </c>
      <c r="J1844" s="7">
        <f>tbl_Ventes[[#This Row],[CA ligne]] - tbl_Ventes[[#This Row],[Coût matière ligne]]</f>
        <v>0</v>
      </c>
      <c r="K1844" s="7" t="str">
        <f>IFERROR(INDEX(tbl_ProduitsRef[Famille], MATCH(tbl_Ventes[[#This Row],[Cde_Prdt]], tbl_Produits[Cde_Prdt], 0)), "")</f>
        <v/>
      </c>
    </row>
    <row r="1845" spans="1:11" x14ac:dyDescent="0.25">
      <c r="A1845" s="5"/>
      <c r="B1845" s="63" t="str">
        <f>IFERROR(TEXT(tbl_Ventes[[#This Row],[Date]],"mm-aaaa"),"")</f>
        <v>01-1900</v>
      </c>
      <c r="D1845" s="10" t="str">
        <f>IFERROR(
   INDEX(tbl_ProduitsRef[Cde_Prdt],MATCH(tbl_Ventes[[#This Row],[Produit]],tbl_ProduitsRef[Produit],0)),
   ""
)</f>
        <v/>
      </c>
      <c r="E1845" s="7">
        <v>0</v>
      </c>
      <c r="F1845" s="7" t="str">
        <f>IFERROR(
   INDEX(tbl_ProduitsRef[Prix Menu],MATCH(tbl_Ventes[[#This Row],[Produit]],tbl_ProduitsRef[Produit],0)),
   ""
)</f>
        <v/>
      </c>
      <c r="G1845" s="7">
        <f>tbl_Ventes[[#This Row],[Qté Vendue]] * IFERROR(_xlfn.XLOOKUP(tbl_Ventes[[#This Row],[Cde_Prdt]], tbl_Produits[Cde_Prdt], tbl_Produits[Prix Menu]), 0)</f>
        <v>0</v>
      </c>
      <c r="H1845" s="7">
        <f>IFERROR(_xlfn.XLOOKUP(tbl_Ventes[[#This Row],[Cde_Prdt]], tbl_Produits[Cde_Prdt], tbl_Produits[Coût Moyen Portion]), 0)</f>
        <v>0</v>
      </c>
      <c r="I1845" s="7">
        <f>tbl_Ventes[[#This Row],[Qté Vendue]] * tbl_Ventes[[#This Row],[CMP_par_portion]]</f>
        <v>0</v>
      </c>
      <c r="J1845" s="7">
        <f>tbl_Ventes[[#This Row],[CA ligne]] - tbl_Ventes[[#This Row],[Coût matière ligne]]</f>
        <v>0</v>
      </c>
      <c r="K1845" s="7" t="str">
        <f>IFERROR(INDEX(tbl_ProduitsRef[Famille], MATCH(tbl_Ventes[[#This Row],[Cde_Prdt]], tbl_Produits[Cde_Prdt], 0)), "")</f>
        <v/>
      </c>
    </row>
    <row r="1846" spans="1:11" x14ac:dyDescent="0.25">
      <c r="A1846" s="5"/>
      <c r="B1846" s="63" t="str">
        <f>IFERROR(TEXT(tbl_Ventes[[#This Row],[Date]],"mm-aaaa"),"")</f>
        <v>01-1900</v>
      </c>
      <c r="D1846" s="10" t="str">
        <f>IFERROR(
   INDEX(tbl_ProduitsRef[Cde_Prdt],MATCH(tbl_Ventes[[#This Row],[Produit]],tbl_ProduitsRef[Produit],0)),
   ""
)</f>
        <v/>
      </c>
      <c r="E1846" s="7">
        <v>0</v>
      </c>
      <c r="F1846" s="7" t="str">
        <f>IFERROR(
   INDEX(tbl_ProduitsRef[Prix Menu],MATCH(tbl_Ventes[[#This Row],[Produit]],tbl_ProduitsRef[Produit],0)),
   ""
)</f>
        <v/>
      </c>
      <c r="G1846" s="7">
        <f>tbl_Ventes[[#This Row],[Qté Vendue]] * IFERROR(_xlfn.XLOOKUP(tbl_Ventes[[#This Row],[Cde_Prdt]], tbl_Produits[Cde_Prdt], tbl_Produits[Prix Menu]), 0)</f>
        <v>0</v>
      </c>
      <c r="H1846" s="7">
        <f>IFERROR(_xlfn.XLOOKUP(tbl_Ventes[[#This Row],[Cde_Prdt]], tbl_Produits[Cde_Prdt], tbl_Produits[Coût Moyen Portion]), 0)</f>
        <v>0</v>
      </c>
      <c r="I1846" s="7">
        <f>tbl_Ventes[[#This Row],[Qté Vendue]] * tbl_Ventes[[#This Row],[CMP_par_portion]]</f>
        <v>0</v>
      </c>
      <c r="J1846" s="7">
        <f>tbl_Ventes[[#This Row],[CA ligne]] - tbl_Ventes[[#This Row],[Coût matière ligne]]</f>
        <v>0</v>
      </c>
      <c r="K1846" s="7" t="str">
        <f>IFERROR(INDEX(tbl_ProduitsRef[Famille], MATCH(tbl_Ventes[[#This Row],[Cde_Prdt]], tbl_Produits[Cde_Prdt], 0)), "")</f>
        <v/>
      </c>
    </row>
    <row r="1847" spans="1:11" x14ac:dyDescent="0.25">
      <c r="A1847" s="5"/>
      <c r="B1847" s="63" t="str">
        <f>IFERROR(TEXT(tbl_Ventes[[#This Row],[Date]],"mm-aaaa"),"")</f>
        <v>01-1900</v>
      </c>
      <c r="D1847" s="10" t="str">
        <f>IFERROR(
   INDEX(tbl_ProduitsRef[Cde_Prdt],MATCH(tbl_Ventes[[#This Row],[Produit]],tbl_ProduitsRef[Produit],0)),
   ""
)</f>
        <v/>
      </c>
      <c r="E1847" s="7">
        <v>0</v>
      </c>
      <c r="F1847" s="7" t="str">
        <f>IFERROR(
   INDEX(tbl_ProduitsRef[Prix Menu],MATCH(tbl_Ventes[[#This Row],[Produit]],tbl_ProduitsRef[Produit],0)),
   ""
)</f>
        <v/>
      </c>
      <c r="G1847" s="7">
        <f>tbl_Ventes[[#This Row],[Qté Vendue]] * IFERROR(_xlfn.XLOOKUP(tbl_Ventes[[#This Row],[Cde_Prdt]], tbl_Produits[Cde_Prdt], tbl_Produits[Prix Menu]), 0)</f>
        <v>0</v>
      </c>
      <c r="H1847" s="7">
        <f>IFERROR(_xlfn.XLOOKUP(tbl_Ventes[[#This Row],[Cde_Prdt]], tbl_Produits[Cde_Prdt], tbl_Produits[Coût Moyen Portion]), 0)</f>
        <v>0</v>
      </c>
      <c r="I1847" s="7">
        <f>tbl_Ventes[[#This Row],[Qté Vendue]] * tbl_Ventes[[#This Row],[CMP_par_portion]]</f>
        <v>0</v>
      </c>
      <c r="J1847" s="7">
        <f>tbl_Ventes[[#This Row],[CA ligne]] - tbl_Ventes[[#This Row],[Coût matière ligne]]</f>
        <v>0</v>
      </c>
      <c r="K1847" s="7" t="str">
        <f>IFERROR(INDEX(tbl_ProduitsRef[Famille], MATCH(tbl_Ventes[[#This Row],[Cde_Prdt]], tbl_Produits[Cde_Prdt], 0)), "")</f>
        <v/>
      </c>
    </row>
    <row r="1848" spans="1:11" x14ac:dyDescent="0.25">
      <c r="A1848" s="5"/>
      <c r="B1848" s="63" t="str">
        <f>IFERROR(TEXT(tbl_Ventes[[#This Row],[Date]],"mm-aaaa"),"")</f>
        <v>01-1900</v>
      </c>
      <c r="D1848" s="10" t="str">
        <f>IFERROR(
   INDEX(tbl_ProduitsRef[Cde_Prdt],MATCH(tbl_Ventes[[#This Row],[Produit]],tbl_ProduitsRef[Produit],0)),
   ""
)</f>
        <v/>
      </c>
      <c r="E1848" s="7">
        <v>0</v>
      </c>
      <c r="F1848" s="7" t="str">
        <f>IFERROR(
   INDEX(tbl_ProduitsRef[Prix Menu],MATCH(tbl_Ventes[[#This Row],[Produit]],tbl_ProduitsRef[Produit],0)),
   ""
)</f>
        <v/>
      </c>
      <c r="G1848" s="7">
        <f>tbl_Ventes[[#This Row],[Qté Vendue]] * IFERROR(_xlfn.XLOOKUP(tbl_Ventes[[#This Row],[Cde_Prdt]], tbl_Produits[Cde_Prdt], tbl_Produits[Prix Menu]), 0)</f>
        <v>0</v>
      </c>
      <c r="H1848" s="7">
        <f>IFERROR(_xlfn.XLOOKUP(tbl_Ventes[[#This Row],[Cde_Prdt]], tbl_Produits[Cde_Prdt], tbl_Produits[Coût Moyen Portion]), 0)</f>
        <v>0</v>
      </c>
      <c r="I1848" s="7">
        <f>tbl_Ventes[[#This Row],[Qté Vendue]] * tbl_Ventes[[#This Row],[CMP_par_portion]]</f>
        <v>0</v>
      </c>
      <c r="J1848" s="7">
        <f>tbl_Ventes[[#This Row],[CA ligne]] - tbl_Ventes[[#This Row],[Coût matière ligne]]</f>
        <v>0</v>
      </c>
      <c r="K1848" s="7" t="str">
        <f>IFERROR(INDEX(tbl_ProduitsRef[Famille], MATCH(tbl_Ventes[[#This Row],[Cde_Prdt]], tbl_Produits[Cde_Prdt], 0)), "")</f>
        <v/>
      </c>
    </row>
    <row r="1849" spans="1:11" x14ac:dyDescent="0.25">
      <c r="A1849" s="5"/>
      <c r="B1849" s="63" t="str">
        <f>IFERROR(TEXT(tbl_Ventes[[#This Row],[Date]],"mm-aaaa"),"")</f>
        <v>01-1900</v>
      </c>
      <c r="D1849" s="10" t="str">
        <f>IFERROR(
   INDEX(tbl_ProduitsRef[Cde_Prdt],MATCH(tbl_Ventes[[#This Row],[Produit]],tbl_ProduitsRef[Produit],0)),
   ""
)</f>
        <v/>
      </c>
      <c r="E1849" s="7">
        <v>0</v>
      </c>
      <c r="F1849" s="7" t="str">
        <f>IFERROR(
   INDEX(tbl_ProduitsRef[Prix Menu],MATCH(tbl_Ventes[[#This Row],[Produit]],tbl_ProduitsRef[Produit],0)),
   ""
)</f>
        <v/>
      </c>
      <c r="G1849" s="7">
        <f>tbl_Ventes[[#This Row],[Qté Vendue]] * IFERROR(_xlfn.XLOOKUP(tbl_Ventes[[#This Row],[Cde_Prdt]], tbl_Produits[Cde_Prdt], tbl_Produits[Prix Menu]), 0)</f>
        <v>0</v>
      </c>
      <c r="H1849" s="7">
        <f>IFERROR(_xlfn.XLOOKUP(tbl_Ventes[[#This Row],[Cde_Prdt]], tbl_Produits[Cde_Prdt], tbl_Produits[Coût Moyen Portion]), 0)</f>
        <v>0</v>
      </c>
      <c r="I1849" s="7">
        <f>tbl_Ventes[[#This Row],[Qté Vendue]] * tbl_Ventes[[#This Row],[CMP_par_portion]]</f>
        <v>0</v>
      </c>
      <c r="J1849" s="7">
        <f>tbl_Ventes[[#This Row],[CA ligne]] - tbl_Ventes[[#This Row],[Coût matière ligne]]</f>
        <v>0</v>
      </c>
      <c r="K1849" s="7" t="str">
        <f>IFERROR(INDEX(tbl_ProduitsRef[Famille], MATCH(tbl_Ventes[[#This Row],[Cde_Prdt]], tbl_Produits[Cde_Prdt], 0)), "")</f>
        <v/>
      </c>
    </row>
    <row r="1850" spans="1:11" x14ac:dyDescent="0.25">
      <c r="A1850" s="5"/>
      <c r="B1850" s="63" t="str">
        <f>IFERROR(TEXT(tbl_Ventes[[#This Row],[Date]],"mm-aaaa"),"")</f>
        <v>01-1900</v>
      </c>
      <c r="D1850" s="10" t="str">
        <f>IFERROR(
   INDEX(tbl_ProduitsRef[Cde_Prdt],MATCH(tbl_Ventes[[#This Row],[Produit]],tbl_ProduitsRef[Produit],0)),
   ""
)</f>
        <v/>
      </c>
      <c r="E1850" s="7">
        <v>0</v>
      </c>
      <c r="F1850" s="7" t="str">
        <f>IFERROR(
   INDEX(tbl_ProduitsRef[Prix Menu],MATCH(tbl_Ventes[[#This Row],[Produit]],tbl_ProduitsRef[Produit],0)),
   ""
)</f>
        <v/>
      </c>
      <c r="G1850" s="7">
        <f>tbl_Ventes[[#This Row],[Qté Vendue]] * IFERROR(_xlfn.XLOOKUP(tbl_Ventes[[#This Row],[Cde_Prdt]], tbl_Produits[Cde_Prdt], tbl_Produits[Prix Menu]), 0)</f>
        <v>0</v>
      </c>
      <c r="H1850" s="7">
        <f>IFERROR(_xlfn.XLOOKUP(tbl_Ventes[[#This Row],[Cde_Prdt]], tbl_Produits[Cde_Prdt], tbl_Produits[Coût Moyen Portion]), 0)</f>
        <v>0</v>
      </c>
      <c r="I1850" s="7">
        <f>tbl_Ventes[[#This Row],[Qté Vendue]] * tbl_Ventes[[#This Row],[CMP_par_portion]]</f>
        <v>0</v>
      </c>
      <c r="J1850" s="7">
        <f>tbl_Ventes[[#This Row],[CA ligne]] - tbl_Ventes[[#This Row],[Coût matière ligne]]</f>
        <v>0</v>
      </c>
      <c r="K1850" s="7" t="str">
        <f>IFERROR(INDEX(tbl_ProduitsRef[Famille], MATCH(tbl_Ventes[[#This Row],[Cde_Prdt]], tbl_Produits[Cde_Prdt], 0)), "")</f>
        <v/>
      </c>
    </row>
    <row r="1851" spans="1:11" x14ac:dyDescent="0.25">
      <c r="A1851" s="5"/>
      <c r="B1851" s="63" t="str">
        <f>IFERROR(TEXT(tbl_Ventes[[#This Row],[Date]],"mm-aaaa"),"")</f>
        <v>01-1900</v>
      </c>
      <c r="D1851" s="10" t="str">
        <f>IFERROR(
   INDEX(tbl_ProduitsRef[Cde_Prdt],MATCH(tbl_Ventes[[#This Row],[Produit]],tbl_ProduitsRef[Produit],0)),
   ""
)</f>
        <v/>
      </c>
      <c r="E1851" s="7">
        <v>0</v>
      </c>
      <c r="F1851" s="7" t="str">
        <f>IFERROR(
   INDEX(tbl_ProduitsRef[Prix Menu],MATCH(tbl_Ventes[[#This Row],[Produit]],tbl_ProduitsRef[Produit],0)),
   ""
)</f>
        <v/>
      </c>
      <c r="G1851" s="7">
        <f>tbl_Ventes[[#This Row],[Qté Vendue]] * IFERROR(_xlfn.XLOOKUP(tbl_Ventes[[#This Row],[Cde_Prdt]], tbl_Produits[Cde_Prdt], tbl_Produits[Prix Menu]), 0)</f>
        <v>0</v>
      </c>
      <c r="H1851" s="7">
        <f>IFERROR(_xlfn.XLOOKUP(tbl_Ventes[[#This Row],[Cde_Prdt]], tbl_Produits[Cde_Prdt], tbl_Produits[Coût Moyen Portion]), 0)</f>
        <v>0</v>
      </c>
      <c r="I1851" s="7">
        <f>tbl_Ventes[[#This Row],[Qté Vendue]] * tbl_Ventes[[#This Row],[CMP_par_portion]]</f>
        <v>0</v>
      </c>
      <c r="J1851" s="7">
        <f>tbl_Ventes[[#This Row],[CA ligne]] - tbl_Ventes[[#This Row],[Coût matière ligne]]</f>
        <v>0</v>
      </c>
      <c r="K1851" s="7" t="str">
        <f>IFERROR(INDEX(tbl_ProduitsRef[Famille], MATCH(tbl_Ventes[[#This Row],[Cde_Prdt]], tbl_Produits[Cde_Prdt], 0)), "")</f>
        <v/>
      </c>
    </row>
    <row r="1852" spans="1:11" x14ac:dyDescent="0.25">
      <c r="A1852" s="5"/>
      <c r="B1852" s="63" t="str">
        <f>IFERROR(TEXT(tbl_Ventes[[#This Row],[Date]],"mm-aaaa"),"")</f>
        <v>01-1900</v>
      </c>
      <c r="D1852" s="10" t="str">
        <f>IFERROR(
   INDEX(tbl_ProduitsRef[Cde_Prdt],MATCH(tbl_Ventes[[#This Row],[Produit]],tbl_ProduitsRef[Produit],0)),
   ""
)</f>
        <v/>
      </c>
      <c r="E1852" s="7">
        <v>0</v>
      </c>
      <c r="F1852" s="7" t="str">
        <f>IFERROR(
   INDEX(tbl_ProduitsRef[Prix Menu],MATCH(tbl_Ventes[[#This Row],[Produit]],tbl_ProduitsRef[Produit],0)),
   ""
)</f>
        <v/>
      </c>
      <c r="G1852" s="7">
        <f>tbl_Ventes[[#This Row],[Qté Vendue]] * IFERROR(_xlfn.XLOOKUP(tbl_Ventes[[#This Row],[Cde_Prdt]], tbl_Produits[Cde_Prdt], tbl_Produits[Prix Menu]), 0)</f>
        <v>0</v>
      </c>
      <c r="H1852" s="7">
        <f>IFERROR(_xlfn.XLOOKUP(tbl_Ventes[[#This Row],[Cde_Prdt]], tbl_Produits[Cde_Prdt], tbl_Produits[Coût Moyen Portion]), 0)</f>
        <v>0</v>
      </c>
      <c r="I1852" s="7">
        <f>tbl_Ventes[[#This Row],[Qté Vendue]] * tbl_Ventes[[#This Row],[CMP_par_portion]]</f>
        <v>0</v>
      </c>
      <c r="J1852" s="7">
        <f>tbl_Ventes[[#This Row],[CA ligne]] - tbl_Ventes[[#This Row],[Coût matière ligne]]</f>
        <v>0</v>
      </c>
      <c r="K1852" s="7" t="str">
        <f>IFERROR(INDEX(tbl_ProduitsRef[Famille], MATCH(tbl_Ventes[[#This Row],[Cde_Prdt]], tbl_Produits[Cde_Prdt], 0)), "")</f>
        <v/>
      </c>
    </row>
    <row r="1853" spans="1:11" x14ac:dyDescent="0.25">
      <c r="A1853" s="5"/>
      <c r="B1853" s="63" t="str">
        <f>IFERROR(TEXT(tbl_Ventes[[#This Row],[Date]],"mm-aaaa"),"")</f>
        <v>01-1900</v>
      </c>
      <c r="D1853" s="10" t="str">
        <f>IFERROR(
   INDEX(tbl_ProduitsRef[Cde_Prdt],MATCH(tbl_Ventes[[#This Row],[Produit]],tbl_ProduitsRef[Produit],0)),
   ""
)</f>
        <v/>
      </c>
      <c r="E1853" s="7">
        <v>0</v>
      </c>
      <c r="F1853" s="7" t="str">
        <f>IFERROR(
   INDEX(tbl_ProduitsRef[Prix Menu],MATCH(tbl_Ventes[[#This Row],[Produit]],tbl_ProduitsRef[Produit],0)),
   ""
)</f>
        <v/>
      </c>
      <c r="G1853" s="7">
        <f>tbl_Ventes[[#This Row],[Qté Vendue]] * IFERROR(_xlfn.XLOOKUP(tbl_Ventes[[#This Row],[Cde_Prdt]], tbl_Produits[Cde_Prdt], tbl_Produits[Prix Menu]), 0)</f>
        <v>0</v>
      </c>
      <c r="H1853" s="7">
        <f>IFERROR(_xlfn.XLOOKUP(tbl_Ventes[[#This Row],[Cde_Prdt]], tbl_Produits[Cde_Prdt], tbl_Produits[Coût Moyen Portion]), 0)</f>
        <v>0</v>
      </c>
      <c r="I1853" s="7">
        <f>tbl_Ventes[[#This Row],[Qté Vendue]] * tbl_Ventes[[#This Row],[CMP_par_portion]]</f>
        <v>0</v>
      </c>
      <c r="J1853" s="7">
        <f>tbl_Ventes[[#This Row],[CA ligne]] - tbl_Ventes[[#This Row],[Coût matière ligne]]</f>
        <v>0</v>
      </c>
      <c r="K1853" s="7" t="str">
        <f>IFERROR(INDEX(tbl_ProduitsRef[Famille], MATCH(tbl_Ventes[[#This Row],[Cde_Prdt]], tbl_Produits[Cde_Prdt], 0)), "")</f>
        <v/>
      </c>
    </row>
    <row r="1854" spans="1:11" x14ac:dyDescent="0.25">
      <c r="A1854" s="5"/>
      <c r="B1854" s="63" t="str">
        <f>IFERROR(TEXT(tbl_Ventes[[#This Row],[Date]],"mm-aaaa"),"")</f>
        <v>01-1900</v>
      </c>
      <c r="D1854" s="10" t="str">
        <f>IFERROR(
   INDEX(tbl_ProduitsRef[Cde_Prdt],MATCH(tbl_Ventes[[#This Row],[Produit]],tbl_ProduitsRef[Produit],0)),
   ""
)</f>
        <v/>
      </c>
      <c r="E1854" s="7">
        <v>0</v>
      </c>
      <c r="F1854" s="7" t="str">
        <f>IFERROR(
   INDEX(tbl_ProduitsRef[Prix Menu],MATCH(tbl_Ventes[[#This Row],[Produit]],tbl_ProduitsRef[Produit],0)),
   ""
)</f>
        <v/>
      </c>
      <c r="G1854" s="7">
        <f>tbl_Ventes[[#This Row],[Qté Vendue]] * IFERROR(_xlfn.XLOOKUP(tbl_Ventes[[#This Row],[Cde_Prdt]], tbl_Produits[Cde_Prdt], tbl_Produits[Prix Menu]), 0)</f>
        <v>0</v>
      </c>
      <c r="H1854" s="7">
        <f>IFERROR(_xlfn.XLOOKUP(tbl_Ventes[[#This Row],[Cde_Prdt]], tbl_Produits[Cde_Prdt], tbl_Produits[Coût Moyen Portion]), 0)</f>
        <v>0</v>
      </c>
      <c r="I1854" s="7">
        <f>tbl_Ventes[[#This Row],[Qté Vendue]] * tbl_Ventes[[#This Row],[CMP_par_portion]]</f>
        <v>0</v>
      </c>
      <c r="J1854" s="7">
        <f>tbl_Ventes[[#This Row],[CA ligne]] - tbl_Ventes[[#This Row],[Coût matière ligne]]</f>
        <v>0</v>
      </c>
      <c r="K1854" s="7" t="str">
        <f>IFERROR(INDEX(tbl_ProduitsRef[Famille], MATCH(tbl_Ventes[[#This Row],[Cde_Prdt]], tbl_Produits[Cde_Prdt], 0)), "")</f>
        <v/>
      </c>
    </row>
    <row r="1855" spans="1:11" x14ac:dyDescent="0.25">
      <c r="A1855" s="5"/>
      <c r="B1855" s="63" t="str">
        <f>IFERROR(TEXT(tbl_Ventes[[#This Row],[Date]],"mm-aaaa"),"")</f>
        <v>01-1900</v>
      </c>
      <c r="D1855" s="10" t="str">
        <f>IFERROR(
   INDEX(tbl_ProduitsRef[Cde_Prdt],MATCH(tbl_Ventes[[#This Row],[Produit]],tbl_ProduitsRef[Produit],0)),
   ""
)</f>
        <v/>
      </c>
      <c r="E1855" s="7">
        <v>0</v>
      </c>
      <c r="F1855" s="7" t="str">
        <f>IFERROR(
   INDEX(tbl_ProduitsRef[Prix Menu],MATCH(tbl_Ventes[[#This Row],[Produit]],tbl_ProduitsRef[Produit],0)),
   ""
)</f>
        <v/>
      </c>
      <c r="G1855" s="7">
        <f>tbl_Ventes[[#This Row],[Qté Vendue]] * IFERROR(_xlfn.XLOOKUP(tbl_Ventes[[#This Row],[Cde_Prdt]], tbl_Produits[Cde_Prdt], tbl_Produits[Prix Menu]), 0)</f>
        <v>0</v>
      </c>
      <c r="H1855" s="7">
        <f>IFERROR(_xlfn.XLOOKUP(tbl_Ventes[[#This Row],[Cde_Prdt]], tbl_Produits[Cde_Prdt], tbl_Produits[Coût Moyen Portion]), 0)</f>
        <v>0</v>
      </c>
      <c r="I1855" s="7">
        <f>tbl_Ventes[[#This Row],[Qté Vendue]] * tbl_Ventes[[#This Row],[CMP_par_portion]]</f>
        <v>0</v>
      </c>
      <c r="J1855" s="7">
        <f>tbl_Ventes[[#This Row],[CA ligne]] - tbl_Ventes[[#This Row],[Coût matière ligne]]</f>
        <v>0</v>
      </c>
      <c r="K1855" s="7" t="str">
        <f>IFERROR(INDEX(tbl_ProduitsRef[Famille], MATCH(tbl_Ventes[[#This Row],[Cde_Prdt]], tbl_Produits[Cde_Prdt], 0)), "")</f>
        <v/>
      </c>
    </row>
    <row r="1856" spans="1:11" x14ac:dyDescent="0.25">
      <c r="A1856" s="5"/>
      <c r="B1856" s="63" t="str">
        <f>IFERROR(TEXT(tbl_Ventes[[#This Row],[Date]],"mm-aaaa"),"")</f>
        <v>01-1900</v>
      </c>
      <c r="D1856" s="10" t="str">
        <f>IFERROR(
   INDEX(tbl_ProduitsRef[Cde_Prdt],MATCH(tbl_Ventes[[#This Row],[Produit]],tbl_ProduitsRef[Produit],0)),
   ""
)</f>
        <v/>
      </c>
      <c r="E1856" s="7">
        <v>0</v>
      </c>
      <c r="F1856" s="7" t="str">
        <f>IFERROR(
   INDEX(tbl_ProduitsRef[Prix Menu],MATCH(tbl_Ventes[[#This Row],[Produit]],tbl_ProduitsRef[Produit],0)),
   ""
)</f>
        <v/>
      </c>
      <c r="G1856" s="7">
        <f>tbl_Ventes[[#This Row],[Qté Vendue]] * IFERROR(_xlfn.XLOOKUP(tbl_Ventes[[#This Row],[Cde_Prdt]], tbl_Produits[Cde_Prdt], tbl_Produits[Prix Menu]), 0)</f>
        <v>0</v>
      </c>
      <c r="H1856" s="7">
        <f>IFERROR(_xlfn.XLOOKUP(tbl_Ventes[[#This Row],[Cde_Prdt]], tbl_Produits[Cde_Prdt], tbl_Produits[Coût Moyen Portion]), 0)</f>
        <v>0</v>
      </c>
      <c r="I1856" s="7">
        <f>tbl_Ventes[[#This Row],[Qté Vendue]] * tbl_Ventes[[#This Row],[CMP_par_portion]]</f>
        <v>0</v>
      </c>
      <c r="J1856" s="7">
        <f>tbl_Ventes[[#This Row],[CA ligne]] - tbl_Ventes[[#This Row],[Coût matière ligne]]</f>
        <v>0</v>
      </c>
      <c r="K1856" s="7" t="str">
        <f>IFERROR(INDEX(tbl_ProduitsRef[Famille], MATCH(tbl_Ventes[[#This Row],[Cde_Prdt]], tbl_Produits[Cde_Prdt], 0)), "")</f>
        <v/>
      </c>
    </row>
    <row r="1857" spans="1:11" x14ac:dyDescent="0.25">
      <c r="A1857" s="5"/>
      <c r="B1857" s="63" t="str">
        <f>IFERROR(TEXT(tbl_Ventes[[#This Row],[Date]],"mm-aaaa"),"")</f>
        <v>01-1900</v>
      </c>
      <c r="D1857" s="10" t="str">
        <f>IFERROR(
   INDEX(tbl_ProduitsRef[Cde_Prdt],MATCH(tbl_Ventes[[#This Row],[Produit]],tbl_ProduitsRef[Produit],0)),
   ""
)</f>
        <v/>
      </c>
      <c r="E1857" s="7">
        <v>0</v>
      </c>
      <c r="F1857" s="7" t="str">
        <f>IFERROR(
   INDEX(tbl_ProduitsRef[Prix Menu],MATCH(tbl_Ventes[[#This Row],[Produit]],tbl_ProduitsRef[Produit],0)),
   ""
)</f>
        <v/>
      </c>
      <c r="G1857" s="7">
        <f>tbl_Ventes[[#This Row],[Qté Vendue]] * IFERROR(_xlfn.XLOOKUP(tbl_Ventes[[#This Row],[Cde_Prdt]], tbl_Produits[Cde_Prdt], tbl_Produits[Prix Menu]), 0)</f>
        <v>0</v>
      </c>
      <c r="H1857" s="7">
        <f>IFERROR(_xlfn.XLOOKUP(tbl_Ventes[[#This Row],[Cde_Prdt]], tbl_Produits[Cde_Prdt], tbl_Produits[Coût Moyen Portion]), 0)</f>
        <v>0</v>
      </c>
      <c r="I1857" s="7">
        <f>tbl_Ventes[[#This Row],[Qté Vendue]] * tbl_Ventes[[#This Row],[CMP_par_portion]]</f>
        <v>0</v>
      </c>
      <c r="J1857" s="7">
        <f>tbl_Ventes[[#This Row],[CA ligne]] - tbl_Ventes[[#This Row],[Coût matière ligne]]</f>
        <v>0</v>
      </c>
      <c r="K1857" s="7" t="str">
        <f>IFERROR(INDEX(tbl_ProduitsRef[Famille], MATCH(tbl_Ventes[[#This Row],[Cde_Prdt]], tbl_Produits[Cde_Prdt], 0)), "")</f>
        <v/>
      </c>
    </row>
    <row r="1858" spans="1:11" x14ac:dyDescent="0.25">
      <c r="A1858" s="5"/>
      <c r="B1858" s="63" t="str">
        <f>IFERROR(TEXT(tbl_Ventes[[#This Row],[Date]],"mm-aaaa"),"")</f>
        <v>01-1900</v>
      </c>
      <c r="D1858" s="10" t="str">
        <f>IFERROR(
   INDEX(tbl_ProduitsRef[Cde_Prdt],MATCH(tbl_Ventes[[#This Row],[Produit]],tbl_ProduitsRef[Produit],0)),
   ""
)</f>
        <v/>
      </c>
      <c r="E1858" s="7">
        <v>0</v>
      </c>
      <c r="F1858" s="7" t="str">
        <f>IFERROR(
   INDEX(tbl_ProduitsRef[Prix Menu],MATCH(tbl_Ventes[[#This Row],[Produit]],tbl_ProduitsRef[Produit],0)),
   ""
)</f>
        <v/>
      </c>
      <c r="G1858" s="7">
        <f>tbl_Ventes[[#This Row],[Qté Vendue]] * IFERROR(_xlfn.XLOOKUP(tbl_Ventes[[#This Row],[Cde_Prdt]], tbl_Produits[Cde_Prdt], tbl_Produits[Prix Menu]), 0)</f>
        <v>0</v>
      </c>
      <c r="H1858" s="7">
        <f>IFERROR(_xlfn.XLOOKUP(tbl_Ventes[[#This Row],[Cde_Prdt]], tbl_Produits[Cde_Prdt], tbl_Produits[Coût Moyen Portion]), 0)</f>
        <v>0</v>
      </c>
      <c r="I1858" s="7">
        <f>tbl_Ventes[[#This Row],[Qté Vendue]] * tbl_Ventes[[#This Row],[CMP_par_portion]]</f>
        <v>0</v>
      </c>
      <c r="J1858" s="7">
        <f>tbl_Ventes[[#This Row],[CA ligne]] - tbl_Ventes[[#This Row],[Coût matière ligne]]</f>
        <v>0</v>
      </c>
      <c r="K1858" s="7" t="str">
        <f>IFERROR(INDEX(tbl_ProduitsRef[Famille], MATCH(tbl_Ventes[[#This Row],[Cde_Prdt]], tbl_Produits[Cde_Prdt], 0)), "")</f>
        <v/>
      </c>
    </row>
    <row r="1859" spans="1:11" x14ac:dyDescent="0.25">
      <c r="A1859" s="5"/>
      <c r="B1859" s="63" t="str">
        <f>IFERROR(TEXT(tbl_Ventes[[#This Row],[Date]],"mm-aaaa"),"")</f>
        <v>01-1900</v>
      </c>
      <c r="D1859" s="10" t="str">
        <f>IFERROR(
   INDEX(tbl_ProduitsRef[Cde_Prdt],MATCH(tbl_Ventes[[#This Row],[Produit]],tbl_ProduitsRef[Produit],0)),
   ""
)</f>
        <v/>
      </c>
      <c r="E1859" s="7">
        <v>0</v>
      </c>
      <c r="F1859" s="7" t="str">
        <f>IFERROR(
   INDEX(tbl_ProduitsRef[Prix Menu],MATCH(tbl_Ventes[[#This Row],[Produit]],tbl_ProduitsRef[Produit],0)),
   ""
)</f>
        <v/>
      </c>
      <c r="G1859" s="7">
        <f>tbl_Ventes[[#This Row],[Qté Vendue]] * IFERROR(_xlfn.XLOOKUP(tbl_Ventes[[#This Row],[Cde_Prdt]], tbl_Produits[Cde_Prdt], tbl_Produits[Prix Menu]), 0)</f>
        <v>0</v>
      </c>
      <c r="H1859" s="7">
        <f>IFERROR(_xlfn.XLOOKUP(tbl_Ventes[[#This Row],[Cde_Prdt]], tbl_Produits[Cde_Prdt], tbl_Produits[Coût Moyen Portion]), 0)</f>
        <v>0</v>
      </c>
      <c r="I1859" s="7">
        <f>tbl_Ventes[[#This Row],[Qté Vendue]] * tbl_Ventes[[#This Row],[CMP_par_portion]]</f>
        <v>0</v>
      </c>
      <c r="J1859" s="7">
        <f>tbl_Ventes[[#This Row],[CA ligne]] - tbl_Ventes[[#This Row],[Coût matière ligne]]</f>
        <v>0</v>
      </c>
      <c r="K1859" s="7" t="str">
        <f>IFERROR(INDEX(tbl_ProduitsRef[Famille], MATCH(tbl_Ventes[[#This Row],[Cde_Prdt]], tbl_Produits[Cde_Prdt], 0)), "")</f>
        <v/>
      </c>
    </row>
    <row r="1860" spans="1:11" x14ac:dyDescent="0.25">
      <c r="A1860" s="5"/>
      <c r="B1860" s="63" t="str">
        <f>IFERROR(TEXT(tbl_Ventes[[#This Row],[Date]],"mm-aaaa"),"")</f>
        <v>01-1900</v>
      </c>
      <c r="D1860" s="10" t="str">
        <f>IFERROR(
   INDEX(tbl_ProduitsRef[Cde_Prdt],MATCH(tbl_Ventes[[#This Row],[Produit]],tbl_ProduitsRef[Produit],0)),
   ""
)</f>
        <v/>
      </c>
      <c r="E1860" s="7">
        <v>0</v>
      </c>
      <c r="F1860" s="7" t="str">
        <f>IFERROR(
   INDEX(tbl_ProduitsRef[Prix Menu],MATCH(tbl_Ventes[[#This Row],[Produit]],tbl_ProduitsRef[Produit],0)),
   ""
)</f>
        <v/>
      </c>
      <c r="G1860" s="7">
        <f>tbl_Ventes[[#This Row],[Qté Vendue]] * IFERROR(_xlfn.XLOOKUP(tbl_Ventes[[#This Row],[Cde_Prdt]], tbl_Produits[Cde_Prdt], tbl_Produits[Prix Menu]), 0)</f>
        <v>0</v>
      </c>
      <c r="H1860" s="7">
        <f>IFERROR(_xlfn.XLOOKUP(tbl_Ventes[[#This Row],[Cde_Prdt]], tbl_Produits[Cde_Prdt], tbl_Produits[Coût Moyen Portion]), 0)</f>
        <v>0</v>
      </c>
      <c r="I1860" s="7">
        <f>tbl_Ventes[[#This Row],[Qté Vendue]] * tbl_Ventes[[#This Row],[CMP_par_portion]]</f>
        <v>0</v>
      </c>
      <c r="J1860" s="7">
        <f>tbl_Ventes[[#This Row],[CA ligne]] - tbl_Ventes[[#This Row],[Coût matière ligne]]</f>
        <v>0</v>
      </c>
      <c r="K1860" s="7" t="str">
        <f>IFERROR(INDEX(tbl_ProduitsRef[Famille], MATCH(tbl_Ventes[[#This Row],[Cde_Prdt]], tbl_Produits[Cde_Prdt], 0)), "")</f>
        <v/>
      </c>
    </row>
    <row r="1861" spans="1:11" x14ac:dyDescent="0.25">
      <c r="A1861" s="5"/>
      <c r="B1861" s="63" t="str">
        <f>IFERROR(TEXT(tbl_Ventes[[#This Row],[Date]],"mm-aaaa"),"")</f>
        <v>01-1900</v>
      </c>
      <c r="D1861" s="10" t="str">
        <f>IFERROR(
   INDEX(tbl_ProduitsRef[Cde_Prdt],MATCH(tbl_Ventes[[#This Row],[Produit]],tbl_ProduitsRef[Produit],0)),
   ""
)</f>
        <v/>
      </c>
      <c r="E1861" s="7">
        <v>0</v>
      </c>
      <c r="F1861" s="7" t="str">
        <f>IFERROR(
   INDEX(tbl_ProduitsRef[Prix Menu],MATCH(tbl_Ventes[[#This Row],[Produit]],tbl_ProduitsRef[Produit],0)),
   ""
)</f>
        <v/>
      </c>
      <c r="G1861" s="7">
        <f>tbl_Ventes[[#This Row],[Qté Vendue]] * IFERROR(_xlfn.XLOOKUP(tbl_Ventes[[#This Row],[Cde_Prdt]], tbl_Produits[Cde_Prdt], tbl_Produits[Prix Menu]), 0)</f>
        <v>0</v>
      </c>
      <c r="H1861" s="7">
        <f>IFERROR(_xlfn.XLOOKUP(tbl_Ventes[[#This Row],[Cde_Prdt]], tbl_Produits[Cde_Prdt], tbl_Produits[Coût Moyen Portion]), 0)</f>
        <v>0</v>
      </c>
      <c r="I1861" s="7">
        <f>tbl_Ventes[[#This Row],[Qté Vendue]] * tbl_Ventes[[#This Row],[CMP_par_portion]]</f>
        <v>0</v>
      </c>
      <c r="J1861" s="7">
        <f>tbl_Ventes[[#This Row],[CA ligne]] - tbl_Ventes[[#This Row],[Coût matière ligne]]</f>
        <v>0</v>
      </c>
      <c r="K1861" s="7" t="str">
        <f>IFERROR(INDEX(tbl_ProduitsRef[Famille], MATCH(tbl_Ventes[[#This Row],[Cde_Prdt]], tbl_Produits[Cde_Prdt], 0)), "")</f>
        <v/>
      </c>
    </row>
    <row r="1862" spans="1:11" x14ac:dyDescent="0.25">
      <c r="A1862" s="5"/>
      <c r="B1862" s="63" t="str">
        <f>IFERROR(TEXT(tbl_Ventes[[#This Row],[Date]],"mm-aaaa"),"")</f>
        <v>01-1900</v>
      </c>
      <c r="D1862" s="10" t="str">
        <f>IFERROR(
   INDEX(tbl_ProduitsRef[Cde_Prdt],MATCH(tbl_Ventes[[#This Row],[Produit]],tbl_ProduitsRef[Produit],0)),
   ""
)</f>
        <v/>
      </c>
      <c r="E1862" s="7">
        <v>0</v>
      </c>
      <c r="F1862" s="7" t="str">
        <f>IFERROR(
   INDEX(tbl_ProduitsRef[Prix Menu],MATCH(tbl_Ventes[[#This Row],[Produit]],tbl_ProduitsRef[Produit],0)),
   ""
)</f>
        <v/>
      </c>
      <c r="G1862" s="7">
        <f>tbl_Ventes[[#This Row],[Qté Vendue]] * IFERROR(_xlfn.XLOOKUP(tbl_Ventes[[#This Row],[Cde_Prdt]], tbl_Produits[Cde_Prdt], tbl_Produits[Prix Menu]), 0)</f>
        <v>0</v>
      </c>
      <c r="H1862" s="7">
        <f>IFERROR(_xlfn.XLOOKUP(tbl_Ventes[[#This Row],[Cde_Prdt]], tbl_Produits[Cde_Prdt], tbl_Produits[Coût Moyen Portion]), 0)</f>
        <v>0</v>
      </c>
      <c r="I1862" s="7">
        <f>tbl_Ventes[[#This Row],[Qté Vendue]] * tbl_Ventes[[#This Row],[CMP_par_portion]]</f>
        <v>0</v>
      </c>
      <c r="J1862" s="7">
        <f>tbl_Ventes[[#This Row],[CA ligne]] - tbl_Ventes[[#This Row],[Coût matière ligne]]</f>
        <v>0</v>
      </c>
      <c r="K1862" s="7" t="str">
        <f>IFERROR(INDEX(tbl_ProduitsRef[Famille], MATCH(tbl_Ventes[[#This Row],[Cde_Prdt]], tbl_Produits[Cde_Prdt], 0)), "")</f>
        <v/>
      </c>
    </row>
    <row r="1863" spans="1:11" x14ac:dyDescent="0.25">
      <c r="A1863" s="5"/>
      <c r="B1863" s="63" t="str">
        <f>IFERROR(TEXT(tbl_Ventes[[#This Row],[Date]],"mm-aaaa"),"")</f>
        <v>01-1900</v>
      </c>
      <c r="D1863" s="10" t="str">
        <f>IFERROR(
   INDEX(tbl_ProduitsRef[Cde_Prdt],MATCH(tbl_Ventes[[#This Row],[Produit]],tbl_ProduitsRef[Produit],0)),
   ""
)</f>
        <v/>
      </c>
      <c r="E1863" s="7">
        <v>0</v>
      </c>
      <c r="F1863" s="7" t="str">
        <f>IFERROR(
   INDEX(tbl_ProduitsRef[Prix Menu],MATCH(tbl_Ventes[[#This Row],[Produit]],tbl_ProduitsRef[Produit],0)),
   ""
)</f>
        <v/>
      </c>
      <c r="G1863" s="7">
        <f>tbl_Ventes[[#This Row],[Qté Vendue]] * IFERROR(_xlfn.XLOOKUP(tbl_Ventes[[#This Row],[Cde_Prdt]], tbl_Produits[Cde_Prdt], tbl_Produits[Prix Menu]), 0)</f>
        <v>0</v>
      </c>
      <c r="H1863" s="7">
        <f>IFERROR(_xlfn.XLOOKUP(tbl_Ventes[[#This Row],[Cde_Prdt]], tbl_Produits[Cde_Prdt], tbl_Produits[Coût Moyen Portion]), 0)</f>
        <v>0</v>
      </c>
      <c r="I1863" s="7">
        <f>tbl_Ventes[[#This Row],[Qté Vendue]] * tbl_Ventes[[#This Row],[CMP_par_portion]]</f>
        <v>0</v>
      </c>
      <c r="J1863" s="7">
        <f>tbl_Ventes[[#This Row],[CA ligne]] - tbl_Ventes[[#This Row],[Coût matière ligne]]</f>
        <v>0</v>
      </c>
      <c r="K1863" s="7" t="str">
        <f>IFERROR(INDEX(tbl_ProduitsRef[Famille], MATCH(tbl_Ventes[[#This Row],[Cde_Prdt]], tbl_Produits[Cde_Prdt], 0)), "")</f>
        <v/>
      </c>
    </row>
    <row r="1864" spans="1:11" x14ac:dyDescent="0.25">
      <c r="A1864" s="5"/>
      <c r="B1864" s="63" t="str">
        <f>IFERROR(TEXT(tbl_Ventes[[#This Row],[Date]],"mm-aaaa"),"")</f>
        <v>01-1900</v>
      </c>
      <c r="D1864" s="10" t="str">
        <f>IFERROR(
   INDEX(tbl_ProduitsRef[Cde_Prdt],MATCH(tbl_Ventes[[#This Row],[Produit]],tbl_ProduitsRef[Produit],0)),
   ""
)</f>
        <v/>
      </c>
      <c r="E1864" s="7">
        <v>0</v>
      </c>
      <c r="F1864" s="7" t="str">
        <f>IFERROR(
   INDEX(tbl_ProduitsRef[Prix Menu],MATCH(tbl_Ventes[[#This Row],[Produit]],tbl_ProduitsRef[Produit],0)),
   ""
)</f>
        <v/>
      </c>
      <c r="G1864" s="7">
        <f>tbl_Ventes[[#This Row],[Qté Vendue]] * IFERROR(_xlfn.XLOOKUP(tbl_Ventes[[#This Row],[Cde_Prdt]], tbl_Produits[Cde_Prdt], tbl_Produits[Prix Menu]), 0)</f>
        <v>0</v>
      </c>
      <c r="H1864" s="7">
        <f>IFERROR(_xlfn.XLOOKUP(tbl_Ventes[[#This Row],[Cde_Prdt]], tbl_Produits[Cde_Prdt], tbl_Produits[Coût Moyen Portion]), 0)</f>
        <v>0</v>
      </c>
      <c r="I1864" s="7">
        <f>tbl_Ventes[[#This Row],[Qté Vendue]] * tbl_Ventes[[#This Row],[CMP_par_portion]]</f>
        <v>0</v>
      </c>
      <c r="J1864" s="7">
        <f>tbl_Ventes[[#This Row],[CA ligne]] - tbl_Ventes[[#This Row],[Coût matière ligne]]</f>
        <v>0</v>
      </c>
      <c r="K1864" s="7" t="str">
        <f>IFERROR(INDEX(tbl_ProduitsRef[Famille], MATCH(tbl_Ventes[[#This Row],[Cde_Prdt]], tbl_Produits[Cde_Prdt], 0)), "")</f>
        <v/>
      </c>
    </row>
    <row r="1865" spans="1:11" x14ac:dyDescent="0.25">
      <c r="A1865" s="5"/>
      <c r="B1865" s="63" t="str">
        <f>IFERROR(TEXT(tbl_Ventes[[#This Row],[Date]],"mm-aaaa"),"")</f>
        <v>01-1900</v>
      </c>
      <c r="D1865" s="10" t="str">
        <f>IFERROR(
   INDEX(tbl_ProduitsRef[Cde_Prdt],MATCH(tbl_Ventes[[#This Row],[Produit]],tbl_ProduitsRef[Produit],0)),
   ""
)</f>
        <v/>
      </c>
      <c r="E1865" s="7">
        <v>0</v>
      </c>
      <c r="F1865" s="7" t="str">
        <f>IFERROR(
   INDEX(tbl_ProduitsRef[Prix Menu],MATCH(tbl_Ventes[[#This Row],[Produit]],tbl_ProduitsRef[Produit],0)),
   ""
)</f>
        <v/>
      </c>
      <c r="G1865" s="7">
        <f>tbl_Ventes[[#This Row],[Qté Vendue]] * IFERROR(_xlfn.XLOOKUP(tbl_Ventes[[#This Row],[Cde_Prdt]], tbl_Produits[Cde_Prdt], tbl_Produits[Prix Menu]), 0)</f>
        <v>0</v>
      </c>
      <c r="H1865" s="7">
        <f>IFERROR(_xlfn.XLOOKUP(tbl_Ventes[[#This Row],[Cde_Prdt]], tbl_Produits[Cde_Prdt], tbl_Produits[Coût Moyen Portion]), 0)</f>
        <v>0</v>
      </c>
      <c r="I1865" s="7">
        <f>tbl_Ventes[[#This Row],[Qté Vendue]] * tbl_Ventes[[#This Row],[CMP_par_portion]]</f>
        <v>0</v>
      </c>
      <c r="J1865" s="7">
        <f>tbl_Ventes[[#This Row],[CA ligne]] - tbl_Ventes[[#This Row],[Coût matière ligne]]</f>
        <v>0</v>
      </c>
      <c r="K1865" s="7" t="str">
        <f>IFERROR(INDEX(tbl_ProduitsRef[Famille], MATCH(tbl_Ventes[[#This Row],[Cde_Prdt]], tbl_Produits[Cde_Prdt], 0)), "")</f>
        <v/>
      </c>
    </row>
    <row r="1866" spans="1:11" x14ac:dyDescent="0.25">
      <c r="A1866" s="5"/>
      <c r="B1866" s="63" t="str">
        <f>IFERROR(TEXT(tbl_Ventes[[#This Row],[Date]],"mm-aaaa"),"")</f>
        <v>01-1900</v>
      </c>
      <c r="D1866" s="10" t="str">
        <f>IFERROR(
   INDEX(tbl_ProduitsRef[Cde_Prdt],MATCH(tbl_Ventes[[#This Row],[Produit]],tbl_ProduitsRef[Produit],0)),
   ""
)</f>
        <v/>
      </c>
      <c r="E1866" s="7">
        <v>0</v>
      </c>
      <c r="F1866" s="7" t="str">
        <f>IFERROR(
   INDEX(tbl_ProduitsRef[Prix Menu],MATCH(tbl_Ventes[[#This Row],[Produit]],tbl_ProduitsRef[Produit],0)),
   ""
)</f>
        <v/>
      </c>
      <c r="G1866" s="7">
        <f>tbl_Ventes[[#This Row],[Qté Vendue]] * IFERROR(_xlfn.XLOOKUP(tbl_Ventes[[#This Row],[Cde_Prdt]], tbl_Produits[Cde_Prdt], tbl_Produits[Prix Menu]), 0)</f>
        <v>0</v>
      </c>
      <c r="H1866" s="7">
        <f>IFERROR(_xlfn.XLOOKUP(tbl_Ventes[[#This Row],[Cde_Prdt]], tbl_Produits[Cde_Prdt], tbl_Produits[Coût Moyen Portion]), 0)</f>
        <v>0</v>
      </c>
      <c r="I1866" s="7">
        <f>tbl_Ventes[[#This Row],[Qté Vendue]] * tbl_Ventes[[#This Row],[CMP_par_portion]]</f>
        <v>0</v>
      </c>
      <c r="J1866" s="7">
        <f>tbl_Ventes[[#This Row],[CA ligne]] - tbl_Ventes[[#This Row],[Coût matière ligne]]</f>
        <v>0</v>
      </c>
      <c r="K1866" s="7" t="str">
        <f>IFERROR(INDEX(tbl_ProduitsRef[Famille], MATCH(tbl_Ventes[[#This Row],[Cde_Prdt]], tbl_Produits[Cde_Prdt], 0)), "")</f>
        <v/>
      </c>
    </row>
    <row r="1867" spans="1:11" x14ac:dyDescent="0.25">
      <c r="A1867" s="5"/>
      <c r="B1867" s="63" t="str">
        <f>IFERROR(TEXT(tbl_Ventes[[#This Row],[Date]],"mm-aaaa"),"")</f>
        <v>01-1900</v>
      </c>
      <c r="D1867" s="10" t="str">
        <f>IFERROR(
   INDEX(tbl_ProduitsRef[Cde_Prdt],MATCH(tbl_Ventes[[#This Row],[Produit]],tbl_ProduitsRef[Produit],0)),
   ""
)</f>
        <v/>
      </c>
      <c r="E1867" s="7">
        <v>0</v>
      </c>
      <c r="F1867" s="7" t="str">
        <f>IFERROR(
   INDEX(tbl_ProduitsRef[Prix Menu],MATCH(tbl_Ventes[[#This Row],[Produit]],tbl_ProduitsRef[Produit],0)),
   ""
)</f>
        <v/>
      </c>
      <c r="G1867" s="7">
        <f>tbl_Ventes[[#This Row],[Qté Vendue]] * IFERROR(_xlfn.XLOOKUP(tbl_Ventes[[#This Row],[Cde_Prdt]], tbl_Produits[Cde_Prdt], tbl_Produits[Prix Menu]), 0)</f>
        <v>0</v>
      </c>
      <c r="H1867" s="7">
        <f>IFERROR(_xlfn.XLOOKUP(tbl_Ventes[[#This Row],[Cde_Prdt]], tbl_Produits[Cde_Prdt], tbl_Produits[Coût Moyen Portion]), 0)</f>
        <v>0</v>
      </c>
      <c r="I1867" s="7">
        <f>tbl_Ventes[[#This Row],[Qté Vendue]] * tbl_Ventes[[#This Row],[CMP_par_portion]]</f>
        <v>0</v>
      </c>
      <c r="J1867" s="7">
        <f>tbl_Ventes[[#This Row],[CA ligne]] - tbl_Ventes[[#This Row],[Coût matière ligne]]</f>
        <v>0</v>
      </c>
      <c r="K1867" s="7" t="str">
        <f>IFERROR(INDEX(tbl_ProduitsRef[Famille], MATCH(tbl_Ventes[[#This Row],[Cde_Prdt]], tbl_Produits[Cde_Prdt], 0)), "")</f>
        <v/>
      </c>
    </row>
    <row r="1868" spans="1:11" x14ac:dyDescent="0.25">
      <c r="A1868" s="5"/>
      <c r="B1868" s="63" t="str">
        <f>IFERROR(TEXT(tbl_Ventes[[#This Row],[Date]],"mm-aaaa"),"")</f>
        <v>01-1900</v>
      </c>
      <c r="D1868" s="10" t="str">
        <f>IFERROR(
   INDEX(tbl_ProduitsRef[Cde_Prdt],MATCH(tbl_Ventes[[#This Row],[Produit]],tbl_ProduitsRef[Produit],0)),
   ""
)</f>
        <v/>
      </c>
      <c r="E1868" s="7">
        <v>0</v>
      </c>
      <c r="F1868" s="7" t="str">
        <f>IFERROR(
   INDEX(tbl_ProduitsRef[Prix Menu],MATCH(tbl_Ventes[[#This Row],[Produit]],tbl_ProduitsRef[Produit],0)),
   ""
)</f>
        <v/>
      </c>
      <c r="G1868" s="7">
        <f>tbl_Ventes[[#This Row],[Qté Vendue]] * IFERROR(_xlfn.XLOOKUP(tbl_Ventes[[#This Row],[Cde_Prdt]], tbl_Produits[Cde_Prdt], tbl_Produits[Prix Menu]), 0)</f>
        <v>0</v>
      </c>
      <c r="H1868" s="7">
        <f>IFERROR(_xlfn.XLOOKUP(tbl_Ventes[[#This Row],[Cde_Prdt]], tbl_Produits[Cde_Prdt], tbl_Produits[Coût Moyen Portion]), 0)</f>
        <v>0</v>
      </c>
      <c r="I1868" s="7">
        <f>tbl_Ventes[[#This Row],[Qté Vendue]] * tbl_Ventes[[#This Row],[CMP_par_portion]]</f>
        <v>0</v>
      </c>
      <c r="J1868" s="7">
        <f>tbl_Ventes[[#This Row],[CA ligne]] - tbl_Ventes[[#This Row],[Coût matière ligne]]</f>
        <v>0</v>
      </c>
      <c r="K1868" s="7" t="str">
        <f>IFERROR(INDEX(tbl_ProduitsRef[Famille], MATCH(tbl_Ventes[[#This Row],[Cde_Prdt]], tbl_Produits[Cde_Prdt], 0)), "")</f>
        <v/>
      </c>
    </row>
    <row r="1869" spans="1:11" x14ac:dyDescent="0.25">
      <c r="A1869" s="5"/>
      <c r="B1869" s="63" t="str">
        <f>IFERROR(TEXT(tbl_Ventes[[#This Row],[Date]],"mm-aaaa"),"")</f>
        <v>01-1900</v>
      </c>
      <c r="D1869" s="10" t="str">
        <f>IFERROR(
   INDEX(tbl_ProduitsRef[Cde_Prdt],MATCH(tbl_Ventes[[#This Row],[Produit]],tbl_ProduitsRef[Produit],0)),
   ""
)</f>
        <v/>
      </c>
      <c r="E1869" s="7">
        <v>0</v>
      </c>
      <c r="F1869" s="7" t="str">
        <f>IFERROR(
   INDEX(tbl_ProduitsRef[Prix Menu],MATCH(tbl_Ventes[[#This Row],[Produit]],tbl_ProduitsRef[Produit],0)),
   ""
)</f>
        <v/>
      </c>
      <c r="G1869" s="7">
        <f>tbl_Ventes[[#This Row],[Qté Vendue]] * IFERROR(_xlfn.XLOOKUP(tbl_Ventes[[#This Row],[Cde_Prdt]], tbl_Produits[Cde_Prdt], tbl_Produits[Prix Menu]), 0)</f>
        <v>0</v>
      </c>
      <c r="H1869" s="7">
        <f>IFERROR(_xlfn.XLOOKUP(tbl_Ventes[[#This Row],[Cde_Prdt]], tbl_Produits[Cde_Prdt], tbl_Produits[Coût Moyen Portion]), 0)</f>
        <v>0</v>
      </c>
      <c r="I1869" s="7">
        <f>tbl_Ventes[[#This Row],[Qté Vendue]] * tbl_Ventes[[#This Row],[CMP_par_portion]]</f>
        <v>0</v>
      </c>
      <c r="J1869" s="7">
        <f>tbl_Ventes[[#This Row],[CA ligne]] - tbl_Ventes[[#This Row],[Coût matière ligne]]</f>
        <v>0</v>
      </c>
      <c r="K1869" s="7" t="str">
        <f>IFERROR(INDEX(tbl_ProduitsRef[Famille], MATCH(tbl_Ventes[[#This Row],[Cde_Prdt]], tbl_Produits[Cde_Prdt], 0)), "")</f>
        <v/>
      </c>
    </row>
    <row r="1870" spans="1:11" x14ac:dyDescent="0.25">
      <c r="A1870" s="5"/>
      <c r="B1870" s="63" t="str">
        <f>IFERROR(TEXT(tbl_Ventes[[#This Row],[Date]],"mm-aaaa"),"")</f>
        <v>01-1900</v>
      </c>
      <c r="D1870" s="10" t="str">
        <f>IFERROR(
   INDEX(tbl_ProduitsRef[Cde_Prdt],MATCH(tbl_Ventes[[#This Row],[Produit]],tbl_ProduitsRef[Produit],0)),
   ""
)</f>
        <v/>
      </c>
      <c r="E1870" s="7">
        <v>0</v>
      </c>
      <c r="F1870" s="7" t="str">
        <f>IFERROR(
   INDEX(tbl_ProduitsRef[Prix Menu],MATCH(tbl_Ventes[[#This Row],[Produit]],tbl_ProduitsRef[Produit],0)),
   ""
)</f>
        <v/>
      </c>
      <c r="G1870" s="7">
        <f>tbl_Ventes[[#This Row],[Qté Vendue]] * IFERROR(_xlfn.XLOOKUP(tbl_Ventes[[#This Row],[Cde_Prdt]], tbl_Produits[Cde_Prdt], tbl_Produits[Prix Menu]), 0)</f>
        <v>0</v>
      </c>
      <c r="H1870" s="7">
        <f>IFERROR(_xlfn.XLOOKUP(tbl_Ventes[[#This Row],[Cde_Prdt]], tbl_Produits[Cde_Prdt], tbl_Produits[Coût Moyen Portion]), 0)</f>
        <v>0</v>
      </c>
      <c r="I1870" s="7">
        <f>tbl_Ventes[[#This Row],[Qté Vendue]] * tbl_Ventes[[#This Row],[CMP_par_portion]]</f>
        <v>0</v>
      </c>
      <c r="J1870" s="7">
        <f>tbl_Ventes[[#This Row],[CA ligne]] - tbl_Ventes[[#This Row],[Coût matière ligne]]</f>
        <v>0</v>
      </c>
      <c r="K1870" s="7" t="str">
        <f>IFERROR(INDEX(tbl_ProduitsRef[Famille], MATCH(tbl_Ventes[[#This Row],[Cde_Prdt]], tbl_Produits[Cde_Prdt], 0)), "")</f>
        <v/>
      </c>
    </row>
    <row r="1871" spans="1:11" x14ac:dyDescent="0.25">
      <c r="A1871" s="5"/>
      <c r="B1871" s="63" t="str">
        <f>IFERROR(TEXT(tbl_Ventes[[#This Row],[Date]],"mm-aaaa"),"")</f>
        <v>01-1900</v>
      </c>
      <c r="D1871" s="10" t="str">
        <f>IFERROR(
   INDEX(tbl_ProduitsRef[Cde_Prdt],MATCH(tbl_Ventes[[#This Row],[Produit]],tbl_ProduitsRef[Produit],0)),
   ""
)</f>
        <v/>
      </c>
      <c r="E1871" s="7">
        <v>0</v>
      </c>
      <c r="F1871" s="7" t="str">
        <f>IFERROR(
   INDEX(tbl_ProduitsRef[Prix Menu],MATCH(tbl_Ventes[[#This Row],[Produit]],tbl_ProduitsRef[Produit],0)),
   ""
)</f>
        <v/>
      </c>
      <c r="G1871" s="7">
        <f>tbl_Ventes[[#This Row],[Qté Vendue]] * IFERROR(_xlfn.XLOOKUP(tbl_Ventes[[#This Row],[Cde_Prdt]], tbl_Produits[Cde_Prdt], tbl_Produits[Prix Menu]), 0)</f>
        <v>0</v>
      </c>
      <c r="H1871" s="7">
        <f>IFERROR(_xlfn.XLOOKUP(tbl_Ventes[[#This Row],[Cde_Prdt]], tbl_Produits[Cde_Prdt], tbl_Produits[Coût Moyen Portion]), 0)</f>
        <v>0</v>
      </c>
      <c r="I1871" s="7">
        <f>tbl_Ventes[[#This Row],[Qté Vendue]] * tbl_Ventes[[#This Row],[CMP_par_portion]]</f>
        <v>0</v>
      </c>
      <c r="J1871" s="7">
        <f>tbl_Ventes[[#This Row],[CA ligne]] - tbl_Ventes[[#This Row],[Coût matière ligne]]</f>
        <v>0</v>
      </c>
      <c r="K1871" s="7" t="str">
        <f>IFERROR(INDEX(tbl_ProduitsRef[Famille], MATCH(tbl_Ventes[[#This Row],[Cde_Prdt]], tbl_Produits[Cde_Prdt], 0)), "")</f>
        <v/>
      </c>
    </row>
    <row r="1872" spans="1:11" x14ac:dyDescent="0.25">
      <c r="A1872" s="5"/>
      <c r="B1872" s="63" t="str">
        <f>IFERROR(TEXT(tbl_Ventes[[#This Row],[Date]],"mm-aaaa"),"")</f>
        <v>01-1900</v>
      </c>
      <c r="D1872" s="10" t="str">
        <f>IFERROR(
   INDEX(tbl_ProduitsRef[Cde_Prdt],MATCH(tbl_Ventes[[#This Row],[Produit]],tbl_ProduitsRef[Produit],0)),
   ""
)</f>
        <v/>
      </c>
      <c r="E1872" s="7">
        <v>0</v>
      </c>
      <c r="F1872" s="7" t="str">
        <f>IFERROR(
   INDEX(tbl_ProduitsRef[Prix Menu],MATCH(tbl_Ventes[[#This Row],[Produit]],tbl_ProduitsRef[Produit],0)),
   ""
)</f>
        <v/>
      </c>
      <c r="G1872" s="7">
        <f>tbl_Ventes[[#This Row],[Qté Vendue]] * IFERROR(_xlfn.XLOOKUP(tbl_Ventes[[#This Row],[Cde_Prdt]], tbl_Produits[Cde_Prdt], tbl_Produits[Prix Menu]), 0)</f>
        <v>0</v>
      </c>
      <c r="H1872" s="7">
        <f>IFERROR(_xlfn.XLOOKUP(tbl_Ventes[[#This Row],[Cde_Prdt]], tbl_Produits[Cde_Prdt], tbl_Produits[Coût Moyen Portion]), 0)</f>
        <v>0</v>
      </c>
      <c r="I1872" s="7">
        <f>tbl_Ventes[[#This Row],[Qté Vendue]] * tbl_Ventes[[#This Row],[CMP_par_portion]]</f>
        <v>0</v>
      </c>
      <c r="J1872" s="7">
        <f>tbl_Ventes[[#This Row],[CA ligne]] - tbl_Ventes[[#This Row],[Coût matière ligne]]</f>
        <v>0</v>
      </c>
      <c r="K1872" s="7" t="str">
        <f>IFERROR(INDEX(tbl_ProduitsRef[Famille], MATCH(tbl_Ventes[[#This Row],[Cde_Prdt]], tbl_Produits[Cde_Prdt], 0)), "")</f>
        <v/>
      </c>
    </row>
    <row r="1873" spans="1:11" x14ac:dyDescent="0.25">
      <c r="A1873" s="5"/>
      <c r="B1873" s="63" t="str">
        <f>IFERROR(TEXT(tbl_Ventes[[#This Row],[Date]],"mm-aaaa"),"")</f>
        <v>01-1900</v>
      </c>
      <c r="D1873" s="10" t="str">
        <f>IFERROR(
   INDEX(tbl_ProduitsRef[Cde_Prdt],MATCH(tbl_Ventes[[#This Row],[Produit]],tbl_ProduitsRef[Produit],0)),
   ""
)</f>
        <v/>
      </c>
      <c r="E1873" s="7">
        <v>0</v>
      </c>
      <c r="F1873" s="7" t="str">
        <f>IFERROR(
   INDEX(tbl_ProduitsRef[Prix Menu],MATCH(tbl_Ventes[[#This Row],[Produit]],tbl_ProduitsRef[Produit],0)),
   ""
)</f>
        <v/>
      </c>
      <c r="G1873" s="7">
        <f>tbl_Ventes[[#This Row],[Qté Vendue]] * IFERROR(_xlfn.XLOOKUP(tbl_Ventes[[#This Row],[Cde_Prdt]], tbl_Produits[Cde_Prdt], tbl_Produits[Prix Menu]), 0)</f>
        <v>0</v>
      </c>
      <c r="H1873" s="7">
        <f>IFERROR(_xlfn.XLOOKUP(tbl_Ventes[[#This Row],[Cde_Prdt]], tbl_Produits[Cde_Prdt], tbl_Produits[Coût Moyen Portion]), 0)</f>
        <v>0</v>
      </c>
      <c r="I1873" s="7">
        <f>tbl_Ventes[[#This Row],[Qté Vendue]] * tbl_Ventes[[#This Row],[CMP_par_portion]]</f>
        <v>0</v>
      </c>
      <c r="J1873" s="7">
        <f>tbl_Ventes[[#This Row],[CA ligne]] - tbl_Ventes[[#This Row],[Coût matière ligne]]</f>
        <v>0</v>
      </c>
      <c r="K1873" s="7" t="str">
        <f>IFERROR(INDEX(tbl_ProduitsRef[Famille], MATCH(tbl_Ventes[[#This Row],[Cde_Prdt]], tbl_Produits[Cde_Prdt], 0)), "")</f>
        <v/>
      </c>
    </row>
    <row r="1874" spans="1:11" x14ac:dyDescent="0.25">
      <c r="A1874" s="5"/>
      <c r="B1874" s="63" t="str">
        <f>IFERROR(TEXT(tbl_Ventes[[#This Row],[Date]],"mm-aaaa"),"")</f>
        <v>01-1900</v>
      </c>
      <c r="D1874" s="10" t="str">
        <f>IFERROR(
   INDEX(tbl_ProduitsRef[Cde_Prdt],MATCH(tbl_Ventes[[#This Row],[Produit]],tbl_ProduitsRef[Produit],0)),
   ""
)</f>
        <v/>
      </c>
      <c r="E1874" s="7">
        <v>0</v>
      </c>
      <c r="F1874" s="7" t="str">
        <f>IFERROR(
   INDEX(tbl_ProduitsRef[Prix Menu],MATCH(tbl_Ventes[[#This Row],[Produit]],tbl_ProduitsRef[Produit],0)),
   ""
)</f>
        <v/>
      </c>
      <c r="G1874" s="7">
        <f>tbl_Ventes[[#This Row],[Qté Vendue]] * IFERROR(_xlfn.XLOOKUP(tbl_Ventes[[#This Row],[Cde_Prdt]], tbl_Produits[Cde_Prdt], tbl_Produits[Prix Menu]), 0)</f>
        <v>0</v>
      </c>
      <c r="H1874" s="7">
        <f>IFERROR(_xlfn.XLOOKUP(tbl_Ventes[[#This Row],[Cde_Prdt]], tbl_Produits[Cde_Prdt], tbl_Produits[Coût Moyen Portion]), 0)</f>
        <v>0</v>
      </c>
      <c r="I1874" s="7">
        <f>tbl_Ventes[[#This Row],[Qté Vendue]] * tbl_Ventes[[#This Row],[CMP_par_portion]]</f>
        <v>0</v>
      </c>
      <c r="J1874" s="7">
        <f>tbl_Ventes[[#This Row],[CA ligne]] - tbl_Ventes[[#This Row],[Coût matière ligne]]</f>
        <v>0</v>
      </c>
      <c r="K1874" s="7" t="str">
        <f>IFERROR(INDEX(tbl_ProduitsRef[Famille], MATCH(tbl_Ventes[[#This Row],[Cde_Prdt]], tbl_Produits[Cde_Prdt], 0)), "")</f>
        <v/>
      </c>
    </row>
    <row r="1875" spans="1:11" x14ac:dyDescent="0.25">
      <c r="A1875" s="5"/>
      <c r="B1875" s="63" t="str">
        <f>IFERROR(TEXT(tbl_Ventes[[#This Row],[Date]],"mm-aaaa"),"")</f>
        <v>01-1900</v>
      </c>
      <c r="D1875" s="10" t="str">
        <f>IFERROR(
   INDEX(tbl_ProduitsRef[Cde_Prdt],MATCH(tbl_Ventes[[#This Row],[Produit]],tbl_ProduitsRef[Produit],0)),
   ""
)</f>
        <v/>
      </c>
      <c r="E1875" s="7">
        <v>0</v>
      </c>
      <c r="F1875" s="7" t="str">
        <f>IFERROR(
   INDEX(tbl_ProduitsRef[Prix Menu],MATCH(tbl_Ventes[[#This Row],[Produit]],tbl_ProduitsRef[Produit],0)),
   ""
)</f>
        <v/>
      </c>
      <c r="G1875" s="7">
        <f>tbl_Ventes[[#This Row],[Qté Vendue]] * IFERROR(_xlfn.XLOOKUP(tbl_Ventes[[#This Row],[Cde_Prdt]], tbl_Produits[Cde_Prdt], tbl_Produits[Prix Menu]), 0)</f>
        <v>0</v>
      </c>
      <c r="H1875" s="7">
        <f>IFERROR(_xlfn.XLOOKUP(tbl_Ventes[[#This Row],[Cde_Prdt]], tbl_Produits[Cde_Prdt], tbl_Produits[Coût Moyen Portion]), 0)</f>
        <v>0</v>
      </c>
      <c r="I1875" s="7">
        <f>tbl_Ventes[[#This Row],[Qté Vendue]] * tbl_Ventes[[#This Row],[CMP_par_portion]]</f>
        <v>0</v>
      </c>
      <c r="J1875" s="7">
        <f>tbl_Ventes[[#This Row],[CA ligne]] - tbl_Ventes[[#This Row],[Coût matière ligne]]</f>
        <v>0</v>
      </c>
      <c r="K1875" s="7" t="str">
        <f>IFERROR(INDEX(tbl_ProduitsRef[Famille], MATCH(tbl_Ventes[[#This Row],[Cde_Prdt]], tbl_Produits[Cde_Prdt], 0)), "")</f>
        <v/>
      </c>
    </row>
    <row r="1876" spans="1:11" x14ac:dyDescent="0.25">
      <c r="A1876" s="5"/>
      <c r="B1876" s="63" t="str">
        <f>IFERROR(TEXT(tbl_Ventes[[#This Row],[Date]],"mm-aaaa"),"")</f>
        <v>01-1900</v>
      </c>
      <c r="D1876" s="10" t="str">
        <f>IFERROR(
   INDEX(tbl_ProduitsRef[Cde_Prdt],MATCH(tbl_Ventes[[#This Row],[Produit]],tbl_ProduitsRef[Produit],0)),
   ""
)</f>
        <v/>
      </c>
      <c r="E1876" s="7">
        <v>0</v>
      </c>
      <c r="F1876" s="7" t="str">
        <f>IFERROR(
   INDEX(tbl_ProduitsRef[Prix Menu],MATCH(tbl_Ventes[[#This Row],[Produit]],tbl_ProduitsRef[Produit],0)),
   ""
)</f>
        <v/>
      </c>
      <c r="G1876" s="7">
        <f>tbl_Ventes[[#This Row],[Qté Vendue]] * IFERROR(_xlfn.XLOOKUP(tbl_Ventes[[#This Row],[Cde_Prdt]], tbl_Produits[Cde_Prdt], tbl_Produits[Prix Menu]), 0)</f>
        <v>0</v>
      </c>
      <c r="H1876" s="7">
        <f>IFERROR(_xlfn.XLOOKUP(tbl_Ventes[[#This Row],[Cde_Prdt]], tbl_Produits[Cde_Prdt], tbl_Produits[Coût Moyen Portion]), 0)</f>
        <v>0</v>
      </c>
      <c r="I1876" s="7">
        <f>tbl_Ventes[[#This Row],[Qté Vendue]] * tbl_Ventes[[#This Row],[CMP_par_portion]]</f>
        <v>0</v>
      </c>
      <c r="J1876" s="7">
        <f>tbl_Ventes[[#This Row],[CA ligne]] - tbl_Ventes[[#This Row],[Coût matière ligne]]</f>
        <v>0</v>
      </c>
      <c r="K1876" s="7" t="str">
        <f>IFERROR(INDEX(tbl_ProduitsRef[Famille], MATCH(tbl_Ventes[[#This Row],[Cde_Prdt]], tbl_Produits[Cde_Prdt], 0)), "")</f>
        <v/>
      </c>
    </row>
    <row r="1877" spans="1:11" x14ac:dyDescent="0.25">
      <c r="A1877" s="5"/>
      <c r="B1877" s="63" t="str">
        <f>IFERROR(TEXT(tbl_Ventes[[#This Row],[Date]],"mm-aaaa"),"")</f>
        <v>01-1900</v>
      </c>
      <c r="D1877" s="10" t="str">
        <f>IFERROR(
   INDEX(tbl_ProduitsRef[Cde_Prdt],MATCH(tbl_Ventes[[#This Row],[Produit]],tbl_ProduitsRef[Produit],0)),
   ""
)</f>
        <v/>
      </c>
      <c r="E1877" s="7">
        <v>0</v>
      </c>
      <c r="F1877" s="7" t="str">
        <f>IFERROR(
   INDEX(tbl_ProduitsRef[Prix Menu],MATCH(tbl_Ventes[[#This Row],[Produit]],tbl_ProduitsRef[Produit],0)),
   ""
)</f>
        <v/>
      </c>
      <c r="G1877" s="7">
        <f>tbl_Ventes[[#This Row],[Qté Vendue]] * IFERROR(_xlfn.XLOOKUP(tbl_Ventes[[#This Row],[Cde_Prdt]], tbl_Produits[Cde_Prdt], tbl_Produits[Prix Menu]), 0)</f>
        <v>0</v>
      </c>
      <c r="H1877" s="7">
        <f>IFERROR(_xlfn.XLOOKUP(tbl_Ventes[[#This Row],[Cde_Prdt]], tbl_Produits[Cde_Prdt], tbl_Produits[Coût Moyen Portion]), 0)</f>
        <v>0</v>
      </c>
      <c r="I1877" s="7">
        <f>tbl_Ventes[[#This Row],[Qté Vendue]] * tbl_Ventes[[#This Row],[CMP_par_portion]]</f>
        <v>0</v>
      </c>
      <c r="J1877" s="7">
        <f>tbl_Ventes[[#This Row],[CA ligne]] - tbl_Ventes[[#This Row],[Coût matière ligne]]</f>
        <v>0</v>
      </c>
      <c r="K1877" s="7" t="str">
        <f>IFERROR(INDEX(tbl_ProduitsRef[Famille], MATCH(tbl_Ventes[[#This Row],[Cde_Prdt]], tbl_Produits[Cde_Prdt], 0)), "")</f>
        <v/>
      </c>
    </row>
    <row r="1878" spans="1:11" x14ac:dyDescent="0.25">
      <c r="A1878" s="5"/>
      <c r="B1878" s="63" t="str">
        <f>IFERROR(TEXT(tbl_Ventes[[#This Row],[Date]],"mm-aaaa"),"")</f>
        <v>01-1900</v>
      </c>
      <c r="D1878" s="10" t="str">
        <f>IFERROR(
   INDEX(tbl_ProduitsRef[Cde_Prdt],MATCH(tbl_Ventes[[#This Row],[Produit]],tbl_ProduitsRef[Produit],0)),
   ""
)</f>
        <v/>
      </c>
      <c r="E1878" s="7">
        <v>0</v>
      </c>
      <c r="F1878" s="7" t="str">
        <f>IFERROR(
   INDEX(tbl_ProduitsRef[Prix Menu],MATCH(tbl_Ventes[[#This Row],[Produit]],tbl_ProduitsRef[Produit],0)),
   ""
)</f>
        <v/>
      </c>
      <c r="G1878" s="7">
        <f>tbl_Ventes[[#This Row],[Qté Vendue]] * IFERROR(_xlfn.XLOOKUP(tbl_Ventes[[#This Row],[Cde_Prdt]], tbl_Produits[Cde_Prdt], tbl_Produits[Prix Menu]), 0)</f>
        <v>0</v>
      </c>
      <c r="H1878" s="7">
        <f>IFERROR(_xlfn.XLOOKUP(tbl_Ventes[[#This Row],[Cde_Prdt]], tbl_Produits[Cde_Prdt], tbl_Produits[Coût Moyen Portion]), 0)</f>
        <v>0</v>
      </c>
      <c r="I1878" s="7">
        <f>tbl_Ventes[[#This Row],[Qté Vendue]] * tbl_Ventes[[#This Row],[CMP_par_portion]]</f>
        <v>0</v>
      </c>
      <c r="J1878" s="7">
        <f>tbl_Ventes[[#This Row],[CA ligne]] - tbl_Ventes[[#This Row],[Coût matière ligne]]</f>
        <v>0</v>
      </c>
      <c r="K1878" s="7" t="str">
        <f>IFERROR(INDEX(tbl_ProduitsRef[Famille], MATCH(tbl_Ventes[[#This Row],[Cde_Prdt]], tbl_Produits[Cde_Prdt], 0)), "")</f>
        <v/>
      </c>
    </row>
    <row r="1879" spans="1:11" x14ac:dyDescent="0.25">
      <c r="A1879" s="5"/>
      <c r="B1879" s="63" t="str">
        <f>IFERROR(TEXT(tbl_Ventes[[#This Row],[Date]],"mm-aaaa"),"")</f>
        <v>01-1900</v>
      </c>
      <c r="D1879" s="10" t="str">
        <f>IFERROR(
   INDEX(tbl_ProduitsRef[Cde_Prdt],MATCH(tbl_Ventes[[#This Row],[Produit]],tbl_ProduitsRef[Produit],0)),
   ""
)</f>
        <v/>
      </c>
      <c r="E1879" s="7">
        <v>0</v>
      </c>
      <c r="F1879" s="7" t="str">
        <f>IFERROR(
   INDEX(tbl_ProduitsRef[Prix Menu],MATCH(tbl_Ventes[[#This Row],[Produit]],tbl_ProduitsRef[Produit],0)),
   ""
)</f>
        <v/>
      </c>
      <c r="G1879" s="7">
        <f>tbl_Ventes[[#This Row],[Qté Vendue]] * IFERROR(_xlfn.XLOOKUP(tbl_Ventes[[#This Row],[Cde_Prdt]], tbl_Produits[Cde_Prdt], tbl_Produits[Prix Menu]), 0)</f>
        <v>0</v>
      </c>
      <c r="H1879" s="7">
        <f>IFERROR(_xlfn.XLOOKUP(tbl_Ventes[[#This Row],[Cde_Prdt]], tbl_Produits[Cde_Prdt], tbl_Produits[Coût Moyen Portion]), 0)</f>
        <v>0</v>
      </c>
      <c r="I1879" s="7">
        <f>tbl_Ventes[[#This Row],[Qté Vendue]] * tbl_Ventes[[#This Row],[CMP_par_portion]]</f>
        <v>0</v>
      </c>
      <c r="J1879" s="7">
        <f>tbl_Ventes[[#This Row],[CA ligne]] - tbl_Ventes[[#This Row],[Coût matière ligne]]</f>
        <v>0</v>
      </c>
      <c r="K1879" s="7" t="str">
        <f>IFERROR(INDEX(tbl_ProduitsRef[Famille], MATCH(tbl_Ventes[[#This Row],[Cde_Prdt]], tbl_Produits[Cde_Prdt], 0)), "")</f>
        <v/>
      </c>
    </row>
    <row r="1880" spans="1:11" x14ac:dyDescent="0.25">
      <c r="A1880" s="5"/>
      <c r="B1880" s="63" t="str">
        <f>IFERROR(TEXT(tbl_Ventes[[#This Row],[Date]],"mm-aaaa"),"")</f>
        <v>01-1900</v>
      </c>
      <c r="D1880" s="10" t="str">
        <f>IFERROR(
   INDEX(tbl_ProduitsRef[Cde_Prdt],MATCH(tbl_Ventes[[#This Row],[Produit]],tbl_ProduitsRef[Produit],0)),
   ""
)</f>
        <v/>
      </c>
      <c r="E1880" s="7">
        <v>0</v>
      </c>
      <c r="F1880" s="7" t="str">
        <f>IFERROR(
   INDEX(tbl_ProduitsRef[Prix Menu],MATCH(tbl_Ventes[[#This Row],[Produit]],tbl_ProduitsRef[Produit],0)),
   ""
)</f>
        <v/>
      </c>
      <c r="G1880" s="7">
        <f>tbl_Ventes[[#This Row],[Qté Vendue]] * IFERROR(_xlfn.XLOOKUP(tbl_Ventes[[#This Row],[Cde_Prdt]], tbl_Produits[Cde_Prdt], tbl_Produits[Prix Menu]), 0)</f>
        <v>0</v>
      </c>
      <c r="H1880" s="7">
        <f>IFERROR(_xlfn.XLOOKUP(tbl_Ventes[[#This Row],[Cde_Prdt]], tbl_Produits[Cde_Prdt], tbl_Produits[Coût Moyen Portion]), 0)</f>
        <v>0</v>
      </c>
      <c r="I1880" s="7">
        <f>tbl_Ventes[[#This Row],[Qté Vendue]] * tbl_Ventes[[#This Row],[CMP_par_portion]]</f>
        <v>0</v>
      </c>
      <c r="J1880" s="7">
        <f>tbl_Ventes[[#This Row],[CA ligne]] - tbl_Ventes[[#This Row],[Coût matière ligne]]</f>
        <v>0</v>
      </c>
      <c r="K1880" s="7" t="str">
        <f>IFERROR(INDEX(tbl_ProduitsRef[Famille], MATCH(tbl_Ventes[[#This Row],[Cde_Prdt]], tbl_Produits[Cde_Prdt], 0)), "")</f>
        <v/>
      </c>
    </row>
    <row r="1881" spans="1:11" x14ac:dyDescent="0.25">
      <c r="A1881" s="5"/>
      <c r="B1881" s="63" t="str">
        <f>IFERROR(TEXT(tbl_Ventes[[#This Row],[Date]],"mm-aaaa"),"")</f>
        <v>01-1900</v>
      </c>
      <c r="D1881" s="10" t="str">
        <f>IFERROR(
   INDEX(tbl_ProduitsRef[Cde_Prdt],MATCH(tbl_Ventes[[#This Row],[Produit]],tbl_ProduitsRef[Produit],0)),
   ""
)</f>
        <v/>
      </c>
      <c r="E1881" s="7">
        <v>0</v>
      </c>
      <c r="F1881" s="7" t="str">
        <f>IFERROR(
   INDEX(tbl_ProduitsRef[Prix Menu],MATCH(tbl_Ventes[[#This Row],[Produit]],tbl_ProduitsRef[Produit],0)),
   ""
)</f>
        <v/>
      </c>
      <c r="G1881" s="7">
        <f>tbl_Ventes[[#This Row],[Qté Vendue]] * IFERROR(_xlfn.XLOOKUP(tbl_Ventes[[#This Row],[Cde_Prdt]], tbl_Produits[Cde_Prdt], tbl_Produits[Prix Menu]), 0)</f>
        <v>0</v>
      </c>
      <c r="H1881" s="7">
        <f>IFERROR(_xlfn.XLOOKUP(tbl_Ventes[[#This Row],[Cde_Prdt]], tbl_Produits[Cde_Prdt], tbl_Produits[Coût Moyen Portion]), 0)</f>
        <v>0</v>
      </c>
      <c r="I1881" s="7">
        <f>tbl_Ventes[[#This Row],[Qté Vendue]] * tbl_Ventes[[#This Row],[CMP_par_portion]]</f>
        <v>0</v>
      </c>
      <c r="J1881" s="7">
        <f>tbl_Ventes[[#This Row],[CA ligne]] - tbl_Ventes[[#This Row],[Coût matière ligne]]</f>
        <v>0</v>
      </c>
      <c r="K1881" s="7" t="str">
        <f>IFERROR(INDEX(tbl_ProduitsRef[Famille], MATCH(tbl_Ventes[[#This Row],[Cde_Prdt]], tbl_Produits[Cde_Prdt], 0)), "")</f>
        <v/>
      </c>
    </row>
    <row r="1882" spans="1:11" x14ac:dyDescent="0.25">
      <c r="A1882" s="5"/>
      <c r="B1882" s="63" t="str">
        <f>IFERROR(TEXT(tbl_Ventes[[#This Row],[Date]],"mm-aaaa"),"")</f>
        <v>01-1900</v>
      </c>
      <c r="D1882" s="10" t="str">
        <f>IFERROR(
   INDEX(tbl_ProduitsRef[Cde_Prdt],MATCH(tbl_Ventes[[#This Row],[Produit]],tbl_ProduitsRef[Produit],0)),
   ""
)</f>
        <v/>
      </c>
      <c r="E1882" s="7">
        <v>0</v>
      </c>
      <c r="F1882" s="7" t="str">
        <f>IFERROR(
   INDEX(tbl_ProduitsRef[Prix Menu],MATCH(tbl_Ventes[[#This Row],[Produit]],tbl_ProduitsRef[Produit],0)),
   ""
)</f>
        <v/>
      </c>
      <c r="G1882" s="7">
        <f>tbl_Ventes[[#This Row],[Qté Vendue]] * IFERROR(_xlfn.XLOOKUP(tbl_Ventes[[#This Row],[Cde_Prdt]], tbl_Produits[Cde_Prdt], tbl_Produits[Prix Menu]), 0)</f>
        <v>0</v>
      </c>
      <c r="H1882" s="7">
        <f>IFERROR(_xlfn.XLOOKUP(tbl_Ventes[[#This Row],[Cde_Prdt]], tbl_Produits[Cde_Prdt], tbl_Produits[Coût Moyen Portion]), 0)</f>
        <v>0</v>
      </c>
      <c r="I1882" s="7">
        <f>tbl_Ventes[[#This Row],[Qté Vendue]] * tbl_Ventes[[#This Row],[CMP_par_portion]]</f>
        <v>0</v>
      </c>
      <c r="J1882" s="7">
        <f>tbl_Ventes[[#This Row],[CA ligne]] - tbl_Ventes[[#This Row],[Coût matière ligne]]</f>
        <v>0</v>
      </c>
      <c r="K1882" s="7" t="str">
        <f>IFERROR(INDEX(tbl_ProduitsRef[Famille], MATCH(tbl_Ventes[[#This Row],[Cde_Prdt]], tbl_Produits[Cde_Prdt], 0)), "")</f>
        <v/>
      </c>
    </row>
    <row r="1883" spans="1:11" x14ac:dyDescent="0.25">
      <c r="A1883" s="5"/>
      <c r="B1883" s="63" t="str">
        <f>IFERROR(TEXT(tbl_Ventes[[#This Row],[Date]],"mm-aaaa"),"")</f>
        <v>01-1900</v>
      </c>
      <c r="D1883" s="10" t="str">
        <f>IFERROR(
   INDEX(tbl_ProduitsRef[Cde_Prdt],MATCH(tbl_Ventes[[#This Row],[Produit]],tbl_ProduitsRef[Produit],0)),
   ""
)</f>
        <v/>
      </c>
      <c r="E1883" s="7">
        <v>0</v>
      </c>
      <c r="F1883" s="7" t="str">
        <f>IFERROR(
   INDEX(tbl_ProduitsRef[Prix Menu],MATCH(tbl_Ventes[[#This Row],[Produit]],tbl_ProduitsRef[Produit],0)),
   ""
)</f>
        <v/>
      </c>
      <c r="G1883" s="7">
        <f>tbl_Ventes[[#This Row],[Qté Vendue]] * IFERROR(_xlfn.XLOOKUP(tbl_Ventes[[#This Row],[Cde_Prdt]], tbl_Produits[Cde_Prdt], tbl_Produits[Prix Menu]), 0)</f>
        <v>0</v>
      </c>
      <c r="H1883" s="7">
        <f>IFERROR(_xlfn.XLOOKUP(tbl_Ventes[[#This Row],[Cde_Prdt]], tbl_Produits[Cde_Prdt], tbl_Produits[Coût Moyen Portion]), 0)</f>
        <v>0</v>
      </c>
      <c r="I1883" s="7">
        <f>tbl_Ventes[[#This Row],[Qté Vendue]] * tbl_Ventes[[#This Row],[CMP_par_portion]]</f>
        <v>0</v>
      </c>
      <c r="J1883" s="7">
        <f>tbl_Ventes[[#This Row],[CA ligne]] - tbl_Ventes[[#This Row],[Coût matière ligne]]</f>
        <v>0</v>
      </c>
      <c r="K1883" s="7" t="str">
        <f>IFERROR(INDEX(tbl_ProduitsRef[Famille], MATCH(tbl_Ventes[[#This Row],[Cde_Prdt]], tbl_Produits[Cde_Prdt], 0)), "")</f>
        <v/>
      </c>
    </row>
    <row r="1884" spans="1:11" x14ac:dyDescent="0.25">
      <c r="A1884" s="5"/>
      <c r="B1884" s="63" t="str">
        <f>IFERROR(TEXT(tbl_Ventes[[#This Row],[Date]],"mm-aaaa"),"")</f>
        <v>01-1900</v>
      </c>
      <c r="D1884" s="10" t="str">
        <f>IFERROR(
   INDEX(tbl_ProduitsRef[Cde_Prdt],MATCH(tbl_Ventes[[#This Row],[Produit]],tbl_ProduitsRef[Produit],0)),
   ""
)</f>
        <v/>
      </c>
      <c r="E1884" s="7">
        <v>0</v>
      </c>
      <c r="F1884" s="7" t="str">
        <f>IFERROR(
   INDEX(tbl_ProduitsRef[Prix Menu],MATCH(tbl_Ventes[[#This Row],[Produit]],tbl_ProduitsRef[Produit],0)),
   ""
)</f>
        <v/>
      </c>
      <c r="G1884" s="7">
        <f>tbl_Ventes[[#This Row],[Qté Vendue]] * IFERROR(_xlfn.XLOOKUP(tbl_Ventes[[#This Row],[Cde_Prdt]], tbl_Produits[Cde_Prdt], tbl_Produits[Prix Menu]), 0)</f>
        <v>0</v>
      </c>
      <c r="H1884" s="7">
        <f>IFERROR(_xlfn.XLOOKUP(tbl_Ventes[[#This Row],[Cde_Prdt]], tbl_Produits[Cde_Prdt], tbl_Produits[Coût Moyen Portion]), 0)</f>
        <v>0</v>
      </c>
      <c r="I1884" s="7">
        <f>tbl_Ventes[[#This Row],[Qté Vendue]] * tbl_Ventes[[#This Row],[CMP_par_portion]]</f>
        <v>0</v>
      </c>
      <c r="J1884" s="7">
        <f>tbl_Ventes[[#This Row],[CA ligne]] - tbl_Ventes[[#This Row],[Coût matière ligne]]</f>
        <v>0</v>
      </c>
      <c r="K1884" s="7" t="str">
        <f>IFERROR(INDEX(tbl_ProduitsRef[Famille], MATCH(tbl_Ventes[[#This Row],[Cde_Prdt]], tbl_Produits[Cde_Prdt], 0)), "")</f>
        <v/>
      </c>
    </row>
    <row r="1885" spans="1:11" x14ac:dyDescent="0.25">
      <c r="A1885" s="5"/>
      <c r="B1885" s="63" t="str">
        <f>IFERROR(TEXT(tbl_Ventes[[#This Row],[Date]],"mm-aaaa"),"")</f>
        <v>01-1900</v>
      </c>
      <c r="D1885" s="10" t="str">
        <f>IFERROR(
   INDEX(tbl_ProduitsRef[Cde_Prdt],MATCH(tbl_Ventes[[#This Row],[Produit]],tbl_ProduitsRef[Produit],0)),
   ""
)</f>
        <v/>
      </c>
      <c r="E1885" s="7">
        <v>0</v>
      </c>
      <c r="F1885" s="7" t="str">
        <f>IFERROR(
   INDEX(tbl_ProduitsRef[Prix Menu],MATCH(tbl_Ventes[[#This Row],[Produit]],tbl_ProduitsRef[Produit],0)),
   ""
)</f>
        <v/>
      </c>
      <c r="G1885" s="7">
        <f>tbl_Ventes[[#This Row],[Qté Vendue]] * IFERROR(_xlfn.XLOOKUP(tbl_Ventes[[#This Row],[Cde_Prdt]], tbl_Produits[Cde_Prdt], tbl_Produits[Prix Menu]), 0)</f>
        <v>0</v>
      </c>
      <c r="H1885" s="7">
        <f>IFERROR(_xlfn.XLOOKUP(tbl_Ventes[[#This Row],[Cde_Prdt]], tbl_Produits[Cde_Prdt], tbl_Produits[Coût Moyen Portion]), 0)</f>
        <v>0</v>
      </c>
      <c r="I1885" s="7">
        <f>tbl_Ventes[[#This Row],[Qté Vendue]] * tbl_Ventes[[#This Row],[CMP_par_portion]]</f>
        <v>0</v>
      </c>
      <c r="J1885" s="7">
        <f>tbl_Ventes[[#This Row],[CA ligne]] - tbl_Ventes[[#This Row],[Coût matière ligne]]</f>
        <v>0</v>
      </c>
      <c r="K1885" s="7" t="str">
        <f>IFERROR(INDEX(tbl_ProduitsRef[Famille], MATCH(tbl_Ventes[[#This Row],[Cde_Prdt]], tbl_Produits[Cde_Prdt], 0)), "")</f>
        <v/>
      </c>
    </row>
    <row r="1886" spans="1:11" x14ac:dyDescent="0.25">
      <c r="A1886" s="5"/>
      <c r="B1886" s="63" t="str">
        <f>IFERROR(TEXT(tbl_Ventes[[#This Row],[Date]],"mm-aaaa"),"")</f>
        <v>01-1900</v>
      </c>
      <c r="D1886" s="10" t="str">
        <f>IFERROR(
   INDEX(tbl_ProduitsRef[Cde_Prdt],MATCH(tbl_Ventes[[#This Row],[Produit]],tbl_ProduitsRef[Produit],0)),
   ""
)</f>
        <v/>
      </c>
      <c r="E1886" s="7">
        <v>0</v>
      </c>
      <c r="F1886" s="7" t="str">
        <f>IFERROR(
   INDEX(tbl_ProduitsRef[Prix Menu],MATCH(tbl_Ventes[[#This Row],[Produit]],tbl_ProduitsRef[Produit],0)),
   ""
)</f>
        <v/>
      </c>
      <c r="G1886" s="7">
        <f>tbl_Ventes[[#This Row],[Qté Vendue]] * IFERROR(_xlfn.XLOOKUP(tbl_Ventes[[#This Row],[Cde_Prdt]], tbl_Produits[Cde_Prdt], tbl_Produits[Prix Menu]), 0)</f>
        <v>0</v>
      </c>
      <c r="H1886" s="7">
        <f>IFERROR(_xlfn.XLOOKUP(tbl_Ventes[[#This Row],[Cde_Prdt]], tbl_Produits[Cde_Prdt], tbl_Produits[Coût Moyen Portion]), 0)</f>
        <v>0</v>
      </c>
      <c r="I1886" s="7">
        <f>tbl_Ventes[[#This Row],[Qté Vendue]] * tbl_Ventes[[#This Row],[CMP_par_portion]]</f>
        <v>0</v>
      </c>
      <c r="J1886" s="7">
        <f>tbl_Ventes[[#This Row],[CA ligne]] - tbl_Ventes[[#This Row],[Coût matière ligne]]</f>
        <v>0</v>
      </c>
      <c r="K1886" s="7" t="str">
        <f>IFERROR(INDEX(tbl_ProduitsRef[Famille], MATCH(tbl_Ventes[[#This Row],[Cde_Prdt]], tbl_Produits[Cde_Prdt], 0)), "")</f>
        <v/>
      </c>
    </row>
    <row r="1887" spans="1:11" x14ac:dyDescent="0.25">
      <c r="A1887" s="5"/>
      <c r="B1887" s="63" t="str">
        <f>IFERROR(TEXT(tbl_Ventes[[#This Row],[Date]],"mm-aaaa"),"")</f>
        <v>01-1900</v>
      </c>
      <c r="D1887" s="10" t="str">
        <f>IFERROR(
   INDEX(tbl_ProduitsRef[Cde_Prdt],MATCH(tbl_Ventes[[#This Row],[Produit]],tbl_ProduitsRef[Produit],0)),
   ""
)</f>
        <v/>
      </c>
      <c r="E1887" s="7">
        <v>0</v>
      </c>
      <c r="F1887" s="7" t="str">
        <f>IFERROR(
   INDEX(tbl_ProduitsRef[Prix Menu],MATCH(tbl_Ventes[[#This Row],[Produit]],tbl_ProduitsRef[Produit],0)),
   ""
)</f>
        <v/>
      </c>
      <c r="G1887" s="7">
        <f>tbl_Ventes[[#This Row],[Qté Vendue]] * IFERROR(_xlfn.XLOOKUP(tbl_Ventes[[#This Row],[Cde_Prdt]], tbl_Produits[Cde_Prdt], tbl_Produits[Prix Menu]), 0)</f>
        <v>0</v>
      </c>
      <c r="H1887" s="7">
        <f>IFERROR(_xlfn.XLOOKUP(tbl_Ventes[[#This Row],[Cde_Prdt]], tbl_Produits[Cde_Prdt], tbl_Produits[Coût Moyen Portion]), 0)</f>
        <v>0</v>
      </c>
      <c r="I1887" s="7">
        <f>tbl_Ventes[[#This Row],[Qté Vendue]] * tbl_Ventes[[#This Row],[CMP_par_portion]]</f>
        <v>0</v>
      </c>
      <c r="J1887" s="7">
        <f>tbl_Ventes[[#This Row],[CA ligne]] - tbl_Ventes[[#This Row],[Coût matière ligne]]</f>
        <v>0</v>
      </c>
      <c r="K1887" s="7" t="str">
        <f>IFERROR(INDEX(tbl_ProduitsRef[Famille], MATCH(tbl_Ventes[[#This Row],[Cde_Prdt]], tbl_Produits[Cde_Prdt], 0)), "")</f>
        <v/>
      </c>
    </row>
    <row r="1888" spans="1:11" x14ac:dyDescent="0.25">
      <c r="A1888" s="5"/>
      <c r="B1888" s="63" t="str">
        <f>IFERROR(TEXT(tbl_Ventes[[#This Row],[Date]],"mm-aaaa"),"")</f>
        <v>01-1900</v>
      </c>
      <c r="D1888" s="10" t="str">
        <f>IFERROR(
   INDEX(tbl_ProduitsRef[Cde_Prdt],MATCH(tbl_Ventes[[#This Row],[Produit]],tbl_ProduitsRef[Produit],0)),
   ""
)</f>
        <v/>
      </c>
      <c r="E1888" s="7">
        <v>0</v>
      </c>
      <c r="F1888" s="7" t="str">
        <f>IFERROR(
   INDEX(tbl_ProduitsRef[Prix Menu],MATCH(tbl_Ventes[[#This Row],[Produit]],tbl_ProduitsRef[Produit],0)),
   ""
)</f>
        <v/>
      </c>
      <c r="G1888" s="7">
        <f>tbl_Ventes[[#This Row],[Qté Vendue]] * IFERROR(_xlfn.XLOOKUP(tbl_Ventes[[#This Row],[Cde_Prdt]], tbl_Produits[Cde_Prdt], tbl_Produits[Prix Menu]), 0)</f>
        <v>0</v>
      </c>
      <c r="H1888" s="7">
        <f>IFERROR(_xlfn.XLOOKUP(tbl_Ventes[[#This Row],[Cde_Prdt]], tbl_Produits[Cde_Prdt], tbl_Produits[Coût Moyen Portion]), 0)</f>
        <v>0</v>
      </c>
      <c r="I1888" s="7">
        <f>tbl_Ventes[[#This Row],[Qté Vendue]] * tbl_Ventes[[#This Row],[CMP_par_portion]]</f>
        <v>0</v>
      </c>
      <c r="J1888" s="7">
        <f>tbl_Ventes[[#This Row],[CA ligne]] - tbl_Ventes[[#This Row],[Coût matière ligne]]</f>
        <v>0</v>
      </c>
      <c r="K1888" s="7" t="str">
        <f>IFERROR(INDEX(tbl_ProduitsRef[Famille], MATCH(tbl_Ventes[[#This Row],[Cde_Prdt]], tbl_Produits[Cde_Prdt], 0)), "")</f>
        <v/>
      </c>
    </row>
    <row r="1889" spans="1:11" x14ac:dyDescent="0.25">
      <c r="A1889" s="5"/>
      <c r="B1889" s="63" t="str">
        <f>IFERROR(TEXT(tbl_Ventes[[#This Row],[Date]],"mm-aaaa"),"")</f>
        <v>01-1900</v>
      </c>
      <c r="D1889" s="10" t="str">
        <f>IFERROR(
   INDEX(tbl_ProduitsRef[Cde_Prdt],MATCH(tbl_Ventes[[#This Row],[Produit]],tbl_ProduitsRef[Produit],0)),
   ""
)</f>
        <v/>
      </c>
      <c r="E1889" s="7">
        <v>0</v>
      </c>
      <c r="F1889" s="7" t="str">
        <f>IFERROR(
   INDEX(tbl_ProduitsRef[Prix Menu],MATCH(tbl_Ventes[[#This Row],[Produit]],tbl_ProduitsRef[Produit],0)),
   ""
)</f>
        <v/>
      </c>
      <c r="G1889" s="7">
        <f>tbl_Ventes[[#This Row],[Qté Vendue]] * IFERROR(_xlfn.XLOOKUP(tbl_Ventes[[#This Row],[Cde_Prdt]], tbl_Produits[Cde_Prdt], tbl_Produits[Prix Menu]), 0)</f>
        <v>0</v>
      </c>
      <c r="H1889" s="7">
        <f>IFERROR(_xlfn.XLOOKUP(tbl_Ventes[[#This Row],[Cde_Prdt]], tbl_Produits[Cde_Prdt], tbl_Produits[Coût Moyen Portion]), 0)</f>
        <v>0</v>
      </c>
      <c r="I1889" s="7">
        <f>tbl_Ventes[[#This Row],[Qté Vendue]] * tbl_Ventes[[#This Row],[CMP_par_portion]]</f>
        <v>0</v>
      </c>
      <c r="J1889" s="7">
        <f>tbl_Ventes[[#This Row],[CA ligne]] - tbl_Ventes[[#This Row],[Coût matière ligne]]</f>
        <v>0</v>
      </c>
      <c r="K1889" s="7" t="str">
        <f>IFERROR(INDEX(tbl_ProduitsRef[Famille], MATCH(tbl_Ventes[[#This Row],[Cde_Prdt]], tbl_Produits[Cde_Prdt], 0)), "")</f>
        <v/>
      </c>
    </row>
    <row r="1890" spans="1:11" x14ac:dyDescent="0.25">
      <c r="A1890" s="5"/>
      <c r="B1890" s="63" t="str">
        <f>IFERROR(TEXT(tbl_Ventes[[#This Row],[Date]],"mm-aaaa"),"")</f>
        <v>01-1900</v>
      </c>
      <c r="D1890" s="10" t="str">
        <f>IFERROR(
   INDEX(tbl_ProduitsRef[Cde_Prdt],MATCH(tbl_Ventes[[#This Row],[Produit]],tbl_ProduitsRef[Produit],0)),
   ""
)</f>
        <v/>
      </c>
      <c r="E1890" s="7">
        <v>0</v>
      </c>
      <c r="F1890" s="7" t="str">
        <f>IFERROR(
   INDEX(tbl_ProduitsRef[Prix Menu],MATCH(tbl_Ventes[[#This Row],[Produit]],tbl_ProduitsRef[Produit],0)),
   ""
)</f>
        <v/>
      </c>
      <c r="G1890" s="7">
        <f>tbl_Ventes[[#This Row],[Qté Vendue]] * IFERROR(_xlfn.XLOOKUP(tbl_Ventes[[#This Row],[Cde_Prdt]], tbl_Produits[Cde_Prdt], tbl_Produits[Prix Menu]), 0)</f>
        <v>0</v>
      </c>
      <c r="H1890" s="7">
        <f>IFERROR(_xlfn.XLOOKUP(tbl_Ventes[[#This Row],[Cde_Prdt]], tbl_Produits[Cde_Prdt], tbl_Produits[Coût Moyen Portion]), 0)</f>
        <v>0</v>
      </c>
      <c r="I1890" s="7">
        <f>tbl_Ventes[[#This Row],[Qté Vendue]] * tbl_Ventes[[#This Row],[CMP_par_portion]]</f>
        <v>0</v>
      </c>
      <c r="J1890" s="7">
        <f>tbl_Ventes[[#This Row],[CA ligne]] - tbl_Ventes[[#This Row],[Coût matière ligne]]</f>
        <v>0</v>
      </c>
      <c r="K1890" s="7" t="str">
        <f>IFERROR(INDEX(tbl_ProduitsRef[Famille], MATCH(tbl_Ventes[[#This Row],[Cde_Prdt]], tbl_Produits[Cde_Prdt], 0)), "")</f>
        <v/>
      </c>
    </row>
    <row r="1891" spans="1:11" x14ac:dyDescent="0.25">
      <c r="A1891" s="5"/>
      <c r="B1891" s="63" t="str">
        <f>IFERROR(TEXT(tbl_Ventes[[#This Row],[Date]],"mm-aaaa"),"")</f>
        <v>01-1900</v>
      </c>
      <c r="D1891" s="10" t="str">
        <f>IFERROR(
   INDEX(tbl_ProduitsRef[Cde_Prdt],MATCH(tbl_Ventes[[#This Row],[Produit]],tbl_ProduitsRef[Produit],0)),
   ""
)</f>
        <v/>
      </c>
      <c r="E1891" s="7">
        <v>0</v>
      </c>
      <c r="F1891" s="7" t="str">
        <f>IFERROR(
   INDEX(tbl_ProduitsRef[Prix Menu],MATCH(tbl_Ventes[[#This Row],[Produit]],tbl_ProduitsRef[Produit],0)),
   ""
)</f>
        <v/>
      </c>
      <c r="G1891" s="7">
        <f>tbl_Ventes[[#This Row],[Qté Vendue]] * IFERROR(_xlfn.XLOOKUP(tbl_Ventes[[#This Row],[Cde_Prdt]], tbl_Produits[Cde_Prdt], tbl_Produits[Prix Menu]), 0)</f>
        <v>0</v>
      </c>
      <c r="H1891" s="7">
        <f>IFERROR(_xlfn.XLOOKUP(tbl_Ventes[[#This Row],[Cde_Prdt]], tbl_Produits[Cde_Prdt], tbl_Produits[Coût Moyen Portion]), 0)</f>
        <v>0</v>
      </c>
      <c r="I1891" s="7">
        <f>tbl_Ventes[[#This Row],[Qté Vendue]] * tbl_Ventes[[#This Row],[CMP_par_portion]]</f>
        <v>0</v>
      </c>
      <c r="J1891" s="7">
        <f>tbl_Ventes[[#This Row],[CA ligne]] - tbl_Ventes[[#This Row],[Coût matière ligne]]</f>
        <v>0</v>
      </c>
      <c r="K1891" s="7" t="str">
        <f>IFERROR(INDEX(tbl_ProduitsRef[Famille], MATCH(tbl_Ventes[[#This Row],[Cde_Prdt]], tbl_Produits[Cde_Prdt], 0)), "")</f>
        <v/>
      </c>
    </row>
    <row r="1892" spans="1:11" x14ac:dyDescent="0.25">
      <c r="A1892" s="5"/>
      <c r="B1892" s="63" t="str">
        <f>IFERROR(TEXT(tbl_Ventes[[#This Row],[Date]],"mm-aaaa"),"")</f>
        <v>01-1900</v>
      </c>
      <c r="D1892" s="10" t="str">
        <f>IFERROR(
   INDEX(tbl_ProduitsRef[Cde_Prdt],MATCH(tbl_Ventes[[#This Row],[Produit]],tbl_ProduitsRef[Produit],0)),
   ""
)</f>
        <v/>
      </c>
      <c r="E1892" s="7">
        <v>0</v>
      </c>
      <c r="F1892" s="7" t="str">
        <f>IFERROR(
   INDEX(tbl_ProduitsRef[Prix Menu],MATCH(tbl_Ventes[[#This Row],[Produit]],tbl_ProduitsRef[Produit],0)),
   ""
)</f>
        <v/>
      </c>
      <c r="G1892" s="7">
        <f>tbl_Ventes[[#This Row],[Qté Vendue]] * IFERROR(_xlfn.XLOOKUP(tbl_Ventes[[#This Row],[Cde_Prdt]], tbl_Produits[Cde_Prdt], tbl_Produits[Prix Menu]), 0)</f>
        <v>0</v>
      </c>
      <c r="H1892" s="7">
        <f>IFERROR(_xlfn.XLOOKUP(tbl_Ventes[[#This Row],[Cde_Prdt]], tbl_Produits[Cde_Prdt], tbl_Produits[Coût Moyen Portion]), 0)</f>
        <v>0</v>
      </c>
      <c r="I1892" s="7">
        <f>tbl_Ventes[[#This Row],[Qté Vendue]] * tbl_Ventes[[#This Row],[CMP_par_portion]]</f>
        <v>0</v>
      </c>
      <c r="J1892" s="7">
        <f>tbl_Ventes[[#This Row],[CA ligne]] - tbl_Ventes[[#This Row],[Coût matière ligne]]</f>
        <v>0</v>
      </c>
      <c r="K1892" s="7" t="str">
        <f>IFERROR(INDEX(tbl_ProduitsRef[Famille], MATCH(tbl_Ventes[[#This Row],[Cde_Prdt]], tbl_Produits[Cde_Prdt], 0)), "")</f>
        <v/>
      </c>
    </row>
    <row r="1893" spans="1:11" x14ac:dyDescent="0.25">
      <c r="A1893" s="5"/>
      <c r="B1893" s="63" t="str">
        <f>IFERROR(TEXT(tbl_Ventes[[#This Row],[Date]],"mm-aaaa"),"")</f>
        <v>01-1900</v>
      </c>
      <c r="D1893" s="10" t="str">
        <f>IFERROR(
   INDEX(tbl_ProduitsRef[Cde_Prdt],MATCH(tbl_Ventes[[#This Row],[Produit]],tbl_ProduitsRef[Produit],0)),
   ""
)</f>
        <v/>
      </c>
      <c r="E1893" s="7">
        <v>0</v>
      </c>
      <c r="F1893" s="7" t="str">
        <f>IFERROR(
   INDEX(tbl_ProduitsRef[Prix Menu],MATCH(tbl_Ventes[[#This Row],[Produit]],tbl_ProduitsRef[Produit],0)),
   ""
)</f>
        <v/>
      </c>
      <c r="G1893" s="7">
        <f>tbl_Ventes[[#This Row],[Qté Vendue]] * IFERROR(_xlfn.XLOOKUP(tbl_Ventes[[#This Row],[Cde_Prdt]], tbl_Produits[Cde_Prdt], tbl_Produits[Prix Menu]), 0)</f>
        <v>0</v>
      </c>
      <c r="H1893" s="7">
        <f>IFERROR(_xlfn.XLOOKUP(tbl_Ventes[[#This Row],[Cde_Prdt]], tbl_Produits[Cde_Prdt], tbl_Produits[Coût Moyen Portion]), 0)</f>
        <v>0</v>
      </c>
      <c r="I1893" s="7">
        <f>tbl_Ventes[[#This Row],[Qté Vendue]] * tbl_Ventes[[#This Row],[CMP_par_portion]]</f>
        <v>0</v>
      </c>
      <c r="J1893" s="7">
        <f>tbl_Ventes[[#This Row],[CA ligne]] - tbl_Ventes[[#This Row],[Coût matière ligne]]</f>
        <v>0</v>
      </c>
      <c r="K1893" s="7" t="str">
        <f>IFERROR(INDEX(tbl_ProduitsRef[Famille], MATCH(tbl_Ventes[[#This Row],[Cde_Prdt]], tbl_Produits[Cde_Prdt], 0)), "")</f>
        <v/>
      </c>
    </row>
    <row r="1894" spans="1:11" x14ac:dyDescent="0.25">
      <c r="A1894" s="5"/>
      <c r="B1894" s="63" t="str">
        <f>IFERROR(TEXT(tbl_Ventes[[#This Row],[Date]],"mm-aaaa"),"")</f>
        <v>01-1900</v>
      </c>
      <c r="D1894" s="10" t="str">
        <f>IFERROR(
   INDEX(tbl_ProduitsRef[Cde_Prdt],MATCH(tbl_Ventes[[#This Row],[Produit]],tbl_ProduitsRef[Produit],0)),
   ""
)</f>
        <v/>
      </c>
      <c r="E1894" s="7">
        <v>0</v>
      </c>
      <c r="F1894" s="7" t="str">
        <f>IFERROR(
   INDEX(tbl_ProduitsRef[Prix Menu],MATCH(tbl_Ventes[[#This Row],[Produit]],tbl_ProduitsRef[Produit],0)),
   ""
)</f>
        <v/>
      </c>
      <c r="G1894" s="7">
        <f>tbl_Ventes[[#This Row],[Qté Vendue]] * IFERROR(_xlfn.XLOOKUP(tbl_Ventes[[#This Row],[Cde_Prdt]], tbl_Produits[Cde_Prdt], tbl_Produits[Prix Menu]), 0)</f>
        <v>0</v>
      </c>
      <c r="H1894" s="7">
        <f>IFERROR(_xlfn.XLOOKUP(tbl_Ventes[[#This Row],[Cde_Prdt]], tbl_Produits[Cde_Prdt], tbl_Produits[Coût Moyen Portion]), 0)</f>
        <v>0</v>
      </c>
      <c r="I1894" s="7">
        <f>tbl_Ventes[[#This Row],[Qté Vendue]] * tbl_Ventes[[#This Row],[CMP_par_portion]]</f>
        <v>0</v>
      </c>
      <c r="J1894" s="7">
        <f>tbl_Ventes[[#This Row],[CA ligne]] - tbl_Ventes[[#This Row],[Coût matière ligne]]</f>
        <v>0</v>
      </c>
      <c r="K1894" s="7" t="str">
        <f>IFERROR(INDEX(tbl_ProduitsRef[Famille], MATCH(tbl_Ventes[[#This Row],[Cde_Prdt]], tbl_Produits[Cde_Prdt], 0)), "")</f>
        <v/>
      </c>
    </row>
    <row r="1895" spans="1:11" x14ac:dyDescent="0.25">
      <c r="A1895" s="5"/>
      <c r="B1895" s="63" t="str">
        <f>IFERROR(TEXT(tbl_Ventes[[#This Row],[Date]],"mm-aaaa"),"")</f>
        <v>01-1900</v>
      </c>
      <c r="D1895" s="10" t="str">
        <f>IFERROR(
   INDEX(tbl_ProduitsRef[Cde_Prdt],MATCH(tbl_Ventes[[#This Row],[Produit]],tbl_ProduitsRef[Produit],0)),
   ""
)</f>
        <v/>
      </c>
      <c r="E1895" s="7">
        <v>0</v>
      </c>
      <c r="F1895" s="7" t="str">
        <f>IFERROR(
   INDEX(tbl_ProduitsRef[Prix Menu],MATCH(tbl_Ventes[[#This Row],[Produit]],tbl_ProduitsRef[Produit],0)),
   ""
)</f>
        <v/>
      </c>
      <c r="G1895" s="7">
        <f>tbl_Ventes[[#This Row],[Qté Vendue]] * IFERROR(_xlfn.XLOOKUP(tbl_Ventes[[#This Row],[Cde_Prdt]], tbl_Produits[Cde_Prdt], tbl_Produits[Prix Menu]), 0)</f>
        <v>0</v>
      </c>
      <c r="H1895" s="7">
        <f>IFERROR(_xlfn.XLOOKUP(tbl_Ventes[[#This Row],[Cde_Prdt]], tbl_Produits[Cde_Prdt], tbl_Produits[Coût Moyen Portion]), 0)</f>
        <v>0</v>
      </c>
      <c r="I1895" s="7">
        <f>tbl_Ventes[[#This Row],[Qté Vendue]] * tbl_Ventes[[#This Row],[CMP_par_portion]]</f>
        <v>0</v>
      </c>
      <c r="J1895" s="7">
        <f>tbl_Ventes[[#This Row],[CA ligne]] - tbl_Ventes[[#This Row],[Coût matière ligne]]</f>
        <v>0</v>
      </c>
      <c r="K1895" s="7" t="str">
        <f>IFERROR(INDEX(tbl_ProduitsRef[Famille], MATCH(tbl_Ventes[[#This Row],[Cde_Prdt]], tbl_Produits[Cde_Prdt], 0)), "")</f>
        <v/>
      </c>
    </row>
    <row r="1896" spans="1:11" x14ac:dyDescent="0.25">
      <c r="A1896" s="5"/>
      <c r="B1896" s="63" t="str">
        <f>IFERROR(TEXT(tbl_Ventes[[#This Row],[Date]],"mm-aaaa"),"")</f>
        <v>01-1900</v>
      </c>
      <c r="D1896" s="10" t="str">
        <f>IFERROR(
   INDEX(tbl_ProduitsRef[Cde_Prdt],MATCH(tbl_Ventes[[#This Row],[Produit]],tbl_ProduitsRef[Produit],0)),
   ""
)</f>
        <v/>
      </c>
      <c r="E1896" s="7">
        <v>0</v>
      </c>
      <c r="F1896" s="7" t="str">
        <f>IFERROR(
   INDEX(tbl_ProduitsRef[Prix Menu],MATCH(tbl_Ventes[[#This Row],[Produit]],tbl_ProduitsRef[Produit],0)),
   ""
)</f>
        <v/>
      </c>
      <c r="G1896" s="7">
        <f>tbl_Ventes[[#This Row],[Qté Vendue]] * IFERROR(_xlfn.XLOOKUP(tbl_Ventes[[#This Row],[Cde_Prdt]], tbl_Produits[Cde_Prdt], tbl_Produits[Prix Menu]), 0)</f>
        <v>0</v>
      </c>
      <c r="H1896" s="7">
        <f>IFERROR(_xlfn.XLOOKUP(tbl_Ventes[[#This Row],[Cde_Prdt]], tbl_Produits[Cde_Prdt], tbl_Produits[Coût Moyen Portion]), 0)</f>
        <v>0</v>
      </c>
      <c r="I1896" s="7">
        <f>tbl_Ventes[[#This Row],[Qté Vendue]] * tbl_Ventes[[#This Row],[CMP_par_portion]]</f>
        <v>0</v>
      </c>
      <c r="J1896" s="7">
        <f>tbl_Ventes[[#This Row],[CA ligne]] - tbl_Ventes[[#This Row],[Coût matière ligne]]</f>
        <v>0</v>
      </c>
      <c r="K1896" s="7" t="str">
        <f>IFERROR(INDEX(tbl_ProduitsRef[Famille], MATCH(tbl_Ventes[[#This Row],[Cde_Prdt]], tbl_Produits[Cde_Prdt], 0)), "")</f>
        <v/>
      </c>
    </row>
    <row r="1897" spans="1:11" x14ac:dyDescent="0.25">
      <c r="A1897" s="5"/>
      <c r="B1897" s="63" t="str">
        <f>IFERROR(TEXT(tbl_Ventes[[#This Row],[Date]],"mm-aaaa"),"")</f>
        <v>01-1900</v>
      </c>
      <c r="D1897" s="10" t="str">
        <f>IFERROR(
   INDEX(tbl_ProduitsRef[Cde_Prdt],MATCH(tbl_Ventes[[#This Row],[Produit]],tbl_ProduitsRef[Produit],0)),
   ""
)</f>
        <v/>
      </c>
      <c r="E1897" s="7">
        <v>0</v>
      </c>
      <c r="F1897" s="7" t="str">
        <f>IFERROR(
   INDEX(tbl_ProduitsRef[Prix Menu],MATCH(tbl_Ventes[[#This Row],[Produit]],tbl_ProduitsRef[Produit],0)),
   ""
)</f>
        <v/>
      </c>
      <c r="G1897" s="7">
        <f>tbl_Ventes[[#This Row],[Qté Vendue]] * IFERROR(_xlfn.XLOOKUP(tbl_Ventes[[#This Row],[Cde_Prdt]], tbl_Produits[Cde_Prdt], tbl_Produits[Prix Menu]), 0)</f>
        <v>0</v>
      </c>
      <c r="H1897" s="7">
        <f>IFERROR(_xlfn.XLOOKUP(tbl_Ventes[[#This Row],[Cde_Prdt]], tbl_Produits[Cde_Prdt], tbl_Produits[Coût Moyen Portion]), 0)</f>
        <v>0</v>
      </c>
      <c r="I1897" s="7">
        <f>tbl_Ventes[[#This Row],[Qté Vendue]] * tbl_Ventes[[#This Row],[CMP_par_portion]]</f>
        <v>0</v>
      </c>
      <c r="J1897" s="7">
        <f>tbl_Ventes[[#This Row],[CA ligne]] - tbl_Ventes[[#This Row],[Coût matière ligne]]</f>
        <v>0</v>
      </c>
      <c r="K1897" s="7" t="str">
        <f>IFERROR(INDEX(tbl_ProduitsRef[Famille], MATCH(tbl_Ventes[[#This Row],[Cde_Prdt]], tbl_Produits[Cde_Prdt], 0)), "")</f>
        <v/>
      </c>
    </row>
    <row r="1898" spans="1:11" x14ac:dyDescent="0.25">
      <c r="A1898" s="5"/>
      <c r="B1898" s="63" t="str">
        <f>IFERROR(TEXT(tbl_Ventes[[#This Row],[Date]],"mm-aaaa"),"")</f>
        <v>01-1900</v>
      </c>
      <c r="D1898" s="10" t="str">
        <f>IFERROR(
   INDEX(tbl_ProduitsRef[Cde_Prdt],MATCH(tbl_Ventes[[#This Row],[Produit]],tbl_ProduitsRef[Produit],0)),
   ""
)</f>
        <v/>
      </c>
      <c r="E1898" s="7">
        <v>0</v>
      </c>
      <c r="F1898" s="7" t="str">
        <f>IFERROR(
   INDEX(tbl_ProduitsRef[Prix Menu],MATCH(tbl_Ventes[[#This Row],[Produit]],tbl_ProduitsRef[Produit],0)),
   ""
)</f>
        <v/>
      </c>
      <c r="G1898" s="7">
        <f>tbl_Ventes[[#This Row],[Qté Vendue]] * IFERROR(_xlfn.XLOOKUP(tbl_Ventes[[#This Row],[Cde_Prdt]], tbl_Produits[Cde_Prdt], tbl_Produits[Prix Menu]), 0)</f>
        <v>0</v>
      </c>
      <c r="H1898" s="7">
        <f>IFERROR(_xlfn.XLOOKUP(tbl_Ventes[[#This Row],[Cde_Prdt]], tbl_Produits[Cde_Prdt], tbl_Produits[Coût Moyen Portion]), 0)</f>
        <v>0</v>
      </c>
      <c r="I1898" s="7">
        <f>tbl_Ventes[[#This Row],[Qté Vendue]] * tbl_Ventes[[#This Row],[CMP_par_portion]]</f>
        <v>0</v>
      </c>
      <c r="J1898" s="7">
        <f>tbl_Ventes[[#This Row],[CA ligne]] - tbl_Ventes[[#This Row],[Coût matière ligne]]</f>
        <v>0</v>
      </c>
      <c r="K1898" s="7" t="str">
        <f>IFERROR(INDEX(tbl_ProduitsRef[Famille], MATCH(tbl_Ventes[[#This Row],[Cde_Prdt]], tbl_Produits[Cde_Prdt], 0)), "")</f>
        <v/>
      </c>
    </row>
    <row r="1899" spans="1:11" x14ac:dyDescent="0.25">
      <c r="A1899" s="5"/>
      <c r="B1899" s="63" t="str">
        <f>IFERROR(TEXT(tbl_Ventes[[#This Row],[Date]],"mm-aaaa"),"")</f>
        <v>01-1900</v>
      </c>
      <c r="D1899" s="10" t="str">
        <f>IFERROR(
   INDEX(tbl_ProduitsRef[Cde_Prdt],MATCH(tbl_Ventes[[#This Row],[Produit]],tbl_ProduitsRef[Produit],0)),
   ""
)</f>
        <v/>
      </c>
      <c r="E1899" s="7">
        <v>0</v>
      </c>
      <c r="F1899" s="7" t="str">
        <f>IFERROR(
   INDEX(tbl_ProduitsRef[Prix Menu],MATCH(tbl_Ventes[[#This Row],[Produit]],tbl_ProduitsRef[Produit],0)),
   ""
)</f>
        <v/>
      </c>
      <c r="G1899" s="7">
        <f>tbl_Ventes[[#This Row],[Qté Vendue]] * IFERROR(_xlfn.XLOOKUP(tbl_Ventes[[#This Row],[Cde_Prdt]], tbl_Produits[Cde_Prdt], tbl_Produits[Prix Menu]), 0)</f>
        <v>0</v>
      </c>
      <c r="H1899" s="7">
        <f>IFERROR(_xlfn.XLOOKUP(tbl_Ventes[[#This Row],[Cde_Prdt]], tbl_Produits[Cde_Prdt], tbl_Produits[Coût Moyen Portion]), 0)</f>
        <v>0</v>
      </c>
      <c r="I1899" s="7">
        <f>tbl_Ventes[[#This Row],[Qté Vendue]] * tbl_Ventes[[#This Row],[CMP_par_portion]]</f>
        <v>0</v>
      </c>
      <c r="J1899" s="7">
        <f>tbl_Ventes[[#This Row],[CA ligne]] - tbl_Ventes[[#This Row],[Coût matière ligne]]</f>
        <v>0</v>
      </c>
      <c r="K1899" s="7" t="str">
        <f>IFERROR(INDEX(tbl_ProduitsRef[Famille], MATCH(tbl_Ventes[[#This Row],[Cde_Prdt]], tbl_Produits[Cde_Prdt], 0)), "")</f>
        <v/>
      </c>
    </row>
    <row r="1900" spans="1:11" x14ac:dyDescent="0.25">
      <c r="A1900" s="5"/>
      <c r="B1900" s="63" t="str">
        <f>IFERROR(TEXT(tbl_Ventes[[#This Row],[Date]],"mm-aaaa"),"")</f>
        <v>01-1900</v>
      </c>
      <c r="D1900" s="10" t="str">
        <f>IFERROR(
   INDEX(tbl_ProduitsRef[Cde_Prdt],MATCH(tbl_Ventes[[#This Row],[Produit]],tbl_ProduitsRef[Produit],0)),
   ""
)</f>
        <v/>
      </c>
      <c r="E1900" s="7">
        <v>0</v>
      </c>
      <c r="F1900" s="7" t="str">
        <f>IFERROR(
   INDEX(tbl_ProduitsRef[Prix Menu],MATCH(tbl_Ventes[[#This Row],[Produit]],tbl_ProduitsRef[Produit],0)),
   ""
)</f>
        <v/>
      </c>
      <c r="G1900" s="7">
        <f>tbl_Ventes[[#This Row],[Qté Vendue]] * IFERROR(_xlfn.XLOOKUP(tbl_Ventes[[#This Row],[Cde_Prdt]], tbl_Produits[Cde_Prdt], tbl_Produits[Prix Menu]), 0)</f>
        <v>0</v>
      </c>
      <c r="H1900" s="7">
        <f>IFERROR(_xlfn.XLOOKUP(tbl_Ventes[[#This Row],[Cde_Prdt]], tbl_Produits[Cde_Prdt], tbl_Produits[Coût Moyen Portion]), 0)</f>
        <v>0</v>
      </c>
      <c r="I1900" s="7">
        <f>tbl_Ventes[[#This Row],[Qté Vendue]] * tbl_Ventes[[#This Row],[CMP_par_portion]]</f>
        <v>0</v>
      </c>
      <c r="J1900" s="7">
        <f>tbl_Ventes[[#This Row],[CA ligne]] - tbl_Ventes[[#This Row],[Coût matière ligne]]</f>
        <v>0</v>
      </c>
      <c r="K1900" s="7" t="str">
        <f>IFERROR(INDEX(tbl_ProduitsRef[Famille], MATCH(tbl_Ventes[[#This Row],[Cde_Prdt]], tbl_Produits[Cde_Prdt], 0)), "")</f>
        <v/>
      </c>
    </row>
    <row r="1901" spans="1:11" x14ac:dyDescent="0.25">
      <c r="A1901" s="5"/>
      <c r="B1901" s="63" t="str">
        <f>IFERROR(TEXT(tbl_Ventes[[#This Row],[Date]],"mm-aaaa"),"")</f>
        <v>01-1900</v>
      </c>
      <c r="D1901" s="10" t="str">
        <f>IFERROR(
   INDEX(tbl_ProduitsRef[Cde_Prdt],MATCH(tbl_Ventes[[#This Row],[Produit]],tbl_ProduitsRef[Produit],0)),
   ""
)</f>
        <v/>
      </c>
      <c r="E1901" s="7">
        <v>0</v>
      </c>
      <c r="F1901" s="7" t="str">
        <f>IFERROR(
   INDEX(tbl_ProduitsRef[Prix Menu],MATCH(tbl_Ventes[[#This Row],[Produit]],tbl_ProduitsRef[Produit],0)),
   ""
)</f>
        <v/>
      </c>
      <c r="G1901" s="7">
        <f>tbl_Ventes[[#This Row],[Qté Vendue]] * IFERROR(_xlfn.XLOOKUP(tbl_Ventes[[#This Row],[Cde_Prdt]], tbl_Produits[Cde_Prdt], tbl_Produits[Prix Menu]), 0)</f>
        <v>0</v>
      </c>
      <c r="H1901" s="7">
        <f>IFERROR(_xlfn.XLOOKUP(tbl_Ventes[[#This Row],[Cde_Prdt]], tbl_Produits[Cde_Prdt], tbl_Produits[Coût Moyen Portion]), 0)</f>
        <v>0</v>
      </c>
      <c r="I1901" s="7">
        <f>tbl_Ventes[[#This Row],[Qté Vendue]] * tbl_Ventes[[#This Row],[CMP_par_portion]]</f>
        <v>0</v>
      </c>
      <c r="J1901" s="7">
        <f>tbl_Ventes[[#This Row],[CA ligne]] - tbl_Ventes[[#This Row],[Coût matière ligne]]</f>
        <v>0</v>
      </c>
      <c r="K1901" s="7" t="str">
        <f>IFERROR(INDEX(tbl_ProduitsRef[Famille], MATCH(tbl_Ventes[[#This Row],[Cde_Prdt]], tbl_Produits[Cde_Prdt], 0)), "")</f>
        <v/>
      </c>
    </row>
    <row r="1902" spans="1:11" x14ac:dyDescent="0.25">
      <c r="A1902" s="5"/>
      <c r="B1902" s="63" t="str">
        <f>IFERROR(TEXT(tbl_Ventes[[#This Row],[Date]],"mm-aaaa"),"")</f>
        <v>01-1900</v>
      </c>
      <c r="D1902" s="10" t="str">
        <f>IFERROR(
   INDEX(tbl_ProduitsRef[Cde_Prdt],MATCH(tbl_Ventes[[#This Row],[Produit]],tbl_ProduitsRef[Produit],0)),
   ""
)</f>
        <v/>
      </c>
      <c r="E1902" s="7">
        <v>0</v>
      </c>
      <c r="F1902" s="7" t="str">
        <f>IFERROR(
   INDEX(tbl_ProduitsRef[Prix Menu],MATCH(tbl_Ventes[[#This Row],[Produit]],tbl_ProduitsRef[Produit],0)),
   ""
)</f>
        <v/>
      </c>
      <c r="G1902" s="7">
        <f>tbl_Ventes[[#This Row],[Qté Vendue]] * IFERROR(_xlfn.XLOOKUP(tbl_Ventes[[#This Row],[Cde_Prdt]], tbl_Produits[Cde_Prdt], tbl_Produits[Prix Menu]), 0)</f>
        <v>0</v>
      </c>
      <c r="H1902" s="7">
        <f>IFERROR(_xlfn.XLOOKUP(tbl_Ventes[[#This Row],[Cde_Prdt]], tbl_Produits[Cde_Prdt], tbl_Produits[Coût Moyen Portion]), 0)</f>
        <v>0</v>
      </c>
      <c r="I1902" s="7">
        <f>tbl_Ventes[[#This Row],[Qté Vendue]] * tbl_Ventes[[#This Row],[CMP_par_portion]]</f>
        <v>0</v>
      </c>
      <c r="J1902" s="7">
        <f>tbl_Ventes[[#This Row],[CA ligne]] - tbl_Ventes[[#This Row],[Coût matière ligne]]</f>
        <v>0</v>
      </c>
      <c r="K1902" s="7" t="str">
        <f>IFERROR(INDEX(tbl_ProduitsRef[Famille], MATCH(tbl_Ventes[[#This Row],[Cde_Prdt]], tbl_Produits[Cde_Prdt], 0)), "")</f>
        <v/>
      </c>
    </row>
    <row r="1903" spans="1:11" x14ac:dyDescent="0.25">
      <c r="A1903" s="5"/>
      <c r="B1903" s="63" t="str">
        <f>IFERROR(TEXT(tbl_Ventes[[#This Row],[Date]],"mm-aaaa"),"")</f>
        <v>01-1900</v>
      </c>
      <c r="D1903" s="10" t="str">
        <f>IFERROR(
   INDEX(tbl_ProduitsRef[Cde_Prdt],MATCH(tbl_Ventes[[#This Row],[Produit]],tbl_ProduitsRef[Produit],0)),
   ""
)</f>
        <v/>
      </c>
      <c r="E1903" s="7">
        <v>0</v>
      </c>
      <c r="F1903" s="7" t="str">
        <f>IFERROR(
   INDEX(tbl_ProduitsRef[Prix Menu],MATCH(tbl_Ventes[[#This Row],[Produit]],tbl_ProduitsRef[Produit],0)),
   ""
)</f>
        <v/>
      </c>
      <c r="G1903" s="7">
        <f>tbl_Ventes[[#This Row],[Qté Vendue]] * IFERROR(_xlfn.XLOOKUP(tbl_Ventes[[#This Row],[Cde_Prdt]], tbl_Produits[Cde_Prdt], tbl_Produits[Prix Menu]), 0)</f>
        <v>0</v>
      </c>
      <c r="H1903" s="7">
        <f>IFERROR(_xlfn.XLOOKUP(tbl_Ventes[[#This Row],[Cde_Prdt]], tbl_Produits[Cde_Prdt], tbl_Produits[Coût Moyen Portion]), 0)</f>
        <v>0</v>
      </c>
      <c r="I1903" s="7">
        <f>tbl_Ventes[[#This Row],[Qté Vendue]] * tbl_Ventes[[#This Row],[CMP_par_portion]]</f>
        <v>0</v>
      </c>
      <c r="J1903" s="7">
        <f>tbl_Ventes[[#This Row],[CA ligne]] - tbl_Ventes[[#This Row],[Coût matière ligne]]</f>
        <v>0</v>
      </c>
      <c r="K1903" s="7" t="str">
        <f>IFERROR(INDEX(tbl_ProduitsRef[Famille], MATCH(tbl_Ventes[[#This Row],[Cde_Prdt]], tbl_Produits[Cde_Prdt], 0)), "")</f>
        <v/>
      </c>
    </row>
    <row r="1904" spans="1:11" x14ac:dyDescent="0.25">
      <c r="A1904" s="5"/>
      <c r="B1904" s="63" t="str">
        <f>IFERROR(TEXT(tbl_Ventes[[#This Row],[Date]],"mm-aaaa"),"")</f>
        <v>01-1900</v>
      </c>
      <c r="D1904" s="10" t="str">
        <f>IFERROR(
   INDEX(tbl_ProduitsRef[Cde_Prdt],MATCH(tbl_Ventes[[#This Row],[Produit]],tbl_ProduitsRef[Produit],0)),
   ""
)</f>
        <v/>
      </c>
      <c r="E1904" s="7">
        <v>0</v>
      </c>
      <c r="F1904" s="7" t="str">
        <f>IFERROR(
   INDEX(tbl_ProduitsRef[Prix Menu],MATCH(tbl_Ventes[[#This Row],[Produit]],tbl_ProduitsRef[Produit],0)),
   ""
)</f>
        <v/>
      </c>
      <c r="G1904" s="7">
        <f>tbl_Ventes[[#This Row],[Qté Vendue]] * IFERROR(_xlfn.XLOOKUP(tbl_Ventes[[#This Row],[Cde_Prdt]], tbl_Produits[Cde_Prdt], tbl_Produits[Prix Menu]), 0)</f>
        <v>0</v>
      </c>
      <c r="H1904" s="7">
        <f>IFERROR(_xlfn.XLOOKUP(tbl_Ventes[[#This Row],[Cde_Prdt]], tbl_Produits[Cde_Prdt], tbl_Produits[Coût Moyen Portion]), 0)</f>
        <v>0</v>
      </c>
      <c r="I1904" s="7">
        <f>tbl_Ventes[[#This Row],[Qté Vendue]] * tbl_Ventes[[#This Row],[CMP_par_portion]]</f>
        <v>0</v>
      </c>
      <c r="J1904" s="7">
        <f>tbl_Ventes[[#This Row],[CA ligne]] - tbl_Ventes[[#This Row],[Coût matière ligne]]</f>
        <v>0</v>
      </c>
      <c r="K1904" s="7" t="str">
        <f>IFERROR(INDEX(tbl_ProduitsRef[Famille], MATCH(tbl_Ventes[[#This Row],[Cde_Prdt]], tbl_Produits[Cde_Prdt], 0)), "")</f>
        <v/>
      </c>
    </row>
    <row r="1905" spans="1:11" x14ac:dyDescent="0.25">
      <c r="A1905" s="5"/>
      <c r="B1905" s="63" t="str">
        <f>IFERROR(TEXT(tbl_Ventes[[#This Row],[Date]],"mm-aaaa"),"")</f>
        <v>01-1900</v>
      </c>
      <c r="D1905" s="10" t="str">
        <f>IFERROR(
   INDEX(tbl_ProduitsRef[Cde_Prdt],MATCH(tbl_Ventes[[#This Row],[Produit]],tbl_ProduitsRef[Produit],0)),
   ""
)</f>
        <v/>
      </c>
      <c r="E1905" s="7">
        <v>0</v>
      </c>
      <c r="F1905" s="7" t="str">
        <f>IFERROR(
   INDEX(tbl_ProduitsRef[Prix Menu],MATCH(tbl_Ventes[[#This Row],[Produit]],tbl_ProduitsRef[Produit],0)),
   ""
)</f>
        <v/>
      </c>
      <c r="G1905" s="7">
        <f>tbl_Ventes[[#This Row],[Qté Vendue]] * IFERROR(_xlfn.XLOOKUP(tbl_Ventes[[#This Row],[Cde_Prdt]], tbl_Produits[Cde_Prdt], tbl_Produits[Prix Menu]), 0)</f>
        <v>0</v>
      </c>
      <c r="H1905" s="7">
        <f>IFERROR(_xlfn.XLOOKUP(tbl_Ventes[[#This Row],[Cde_Prdt]], tbl_Produits[Cde_Prdt], tbl_Produits[Coût Moyen Portion]), 0)</f>
        <v>0</v>
      </c>
      <c r="I1905" s="7">
        <f>tbl_Ventes[[#This Row],[Qté Vendue]] * tbl_Ventes[[#This Row],[CMP_par_portion]]</f>
        <v>0</v>
      </c>
      <c r="J1905" s="7">
        <f>tbl_Ventes[[#This Row],[CA ligne]] - tbl_Ventes[[#This Row],[Coût matière ligne]]</f>
        <v>0</v>
      </c>
      <c r="K1905" s="7" t="str">
        <f>IFERROR(INDEX(tbl_ProduitsRef[Famille], MATCH(tbl_Ventes[[#This Row],[Cde_Prdt]], tbl_Produits[Cde_Prdt], 0)), "")</f>
        <v/>
      </c>
    </row>
    <row r="1906" spans="1:11" x14ac:dyDescent="0.25">
      <c r="A1906" s="5"/>
      <c r="B1906" s="63" t="str">
        <f>IFERROR(TEXT(tbl_Ventes[[#This Row],[Date]],"mm-aaaa"),"")</f>
        <v>01-1900</v>
      </c>
      <c r="D1906" s="10" t="str">
        <f>IFERROR(
   INDEX(tbl_ProduitsRef[Cde_Prdt],MATCH(tbl_Ventes[[#This Row],[Produit]],tbl_ProduitsRef[Produit],0)),
   ""
)</f>
        <v/>
      </c>
      <c r="E1906" s="7">
        <v>0</v>
      </c>
      <c r="F1906" s="7" t="str">
        <f>IFERROR(
   INDEX(tbl_ProduitsRef[Prix Menu],MATCH(tbl_Ventes[[#This Row],[Produit]],tbl_ProduitsRef[Produit],0)),
   ""
)</f>
        <v/>
      </c>
      <c r="G1906" s="7">
        <f>tbl_Ventes[[#This Row],[Qté Vendue]] * IFERROR(_xlfn.XLOOKUP(tbl_Ventes[[#This Row],[Cde_Prdt]], tbl_Produits[Cde_Prdt], tbl_Produits[Prix Menu]), 0)</f>
        <v>0</v>
      </c>
      <c r="H1906" s="7">
        <f>IFERROR(_xlfn.XLOOKUP(tbl_Ventes[[#This Row],[Cde_Prdt]], tbl_Produits[Cde_Prdt], tbl_Produits[Coût Moyen Portion]), 0)</f>
        <v>0</v>
      </c>
      <c r="I1906" s="7">
        <f>tbl_Ventes[[#This Row],[Qté Vendue]] * tbl_Ventes[[#This Row],[CMP_par_portion]]</f>
        <v>0</v>
      </c>
      <c r="J1906" s="7">
        <f>tbl_Ventes[[#This Row],[CA ligne]] - tbl_Ventes[[#This Row],[Coût matière ligne]]</f>
        <v>0</v>
      </c>
      <c r="K1906" s="7" t="str">
        <f>IFERROR(INDEX(tbl_ProduitsRef[Famille], MATCH(tbl_Ventes[[#This Row],[Cde_Prdt]], tbl_Produits[Cde_Prdt], 0)), "")</f>
        <v/>
      </c>
    </row>
    <row r="1907" spans="1:11" x14ac:dyDescent="0.25">
      <c r="A1907" s="5"/>
      <c r="B1907" s="63" t="str">
        <f>IFERROR(TEXT(tbl_Ventes[[#This Row],[Date]],"mm-aaaa"),"")</f>
        <v>01-1900</v>
      </c>
      <c r="D1907" s="10" t="str">
        <f>IFERROR(
   INDEX(tbl_ProduitsRef[Cde_Prdt],MATCH(tbl_Ventes[[#This Row],[Produit]],tbl_ProduitsRef[Produit],0)),
   ""
)</f>
        <v/>
      </c>
      <c r="E1907" s="7">
        <v>0</v>
      </c>
      <c r="F1907" s="7" t="str">
        <f>IFERROR(
   INDEX(tbl_ProduitsRef[Prix Menu],MATCH(tbl_Ventes[[#This Row],[Produit]],tbl_ProduitsRef[Produit],0)),
   ""
)</f>
        <v/>
      </c>
      <c r="G1907" s="7">
        <f>tbl_Ventes[[#This Row],[Qté Vendue]] * IFERROR(_xlfn.XLOOKUP(tbl_Ventes[[#This Row],[Cde_Prdt]], tbl_Produits[Cde_Prdt], tbl_Produits[Prix Menu]), 0)</f>
        <v>0</v>
      </c>
      <c r="H1907" s="7">
        <f>IFERROR(_xlfn.XLOOKUP(tbl_Ventes[[#This Row],[Cde_Prdt]], tbl_Produits[Cde_Prdt], tbl_Produits[Coût Moyen Portion]), 0)</f>
        <v>0</v>
      </c>
      <c r="I1907" s="7">
        <f>tbl_Ventes[[#This Row],[Qté Vendue]] * tbl_Ventes[[#This Row],[CMP_par_portion]]</f>
        <v>0</v>
      </c>
      <c r="J1907" s="7">
        <f>tbl_Ventes[[#This Row],[CA ligne]] - tbl_Ventes[[#This Row],[Coût matière ligne]]</f>
        <v>0</v>
      </c>
      <c r="K1907" s="7" t="str">
        <f>IFERROR(INDEX(tbl_ProduitsRef[Famille], MATCH(tbl_Ventes[[#This Row],[Cde_Prdt]], tbl_Produits[Cde_Prdt], 0)), "")</f>
        <v/>
      </c>
    </row>
    <row r="1908" spans="1:11" x14ac:dyDescent="0.25">
      <c r="A1908" s="5"/>
      <c r="B1908" s="63" t="str">
        <f>IFERROR(TEXT(tbl_Ventes[[#This Row],[Date]],"mm-aaaa"),"")</f>
        <v>01-1900</v>
      </c>
      <c r="D1908" s="10" t="str">
        <f>IFERROR(
   INDEX(tbl_ProduitsRef[Cde_Prdt],MATCH(tbl_Ventes[[#This Row],[Produit]],tbl_ProduitsRef[Produit],0)),
   ""
)</f>
        <v/>
      </c>
      <c r="E1908" s="7">
        <v>0</v>
      </c>
      <c r="F1908" s="7" t="str">
        <f>IFERROR(
   INDEX(tbl_ProduitsRef[Prix Menu],MATCH(tbl_Ventes[[#This Row],[Produit]],tbl_ProduitsRef[Produit],0)),
   ""
)</f>
        <v/>
      </c>
      <c r="G1908" s="7">
        <f>tbl_Ventes[[#This Row],[Qté Vendue]] * IFERROR(_xlfn.XLOOKUP(tbl_Ventes[[#This Row],[Cde_Prdt]], tbl_Produits[Cde_Prdt], tbl_Produits[Prix Menu]), 0)</f>
        <v>0</v>
      </c>
      <c r="H1908" s="7">
        <f>IFERROR(_xlfn.XLOOKUP(tbl_Ventes[[#This Row],[Cde_Prdt]], tbl_Produits[Cde_Prdt], tbl_Produits[Coût Moyen Portion]), 0)</f>
        <v>0</v>
      </c>
      <c r="I1908" s="7">
        <f>tbl_Ventes[[#This Row],[Qté Vendue]] * tbl_Ventes[[#This Row],[CMP_par_portion]]</f>
        <v>0</v>
      </c>
      <c r="J1908" s="7">
        <f>tbl_Ventes[[#This Row],[CA ligne]] - tbl_Ventes[[#This Row],[Coût matière ligne]]</f>
        <v>0</v>
      </c>
      <c r="K1908" s="7" t="str">
        <f>IFERROR(INDEX(tbl_ProduitsRef[Famille], MATCH(tbl_Ventes[[#This Row],[Cde_Prdt]], tbl_Produits[Cde_Prdt], 0)), "")</f>
        <v/>
      </c>
    </row>
    <row r="1909" spans="1:11" x14ac:dyDescent="0.25">
      <c r="A1909" s="5"/>
      <c r="B1909" s="63" t="str">
        <f>IFERROR(TEXT(tbl_Ventes[[#This Row],[Date]],"mm-aaaa"),"")</f>
        <v>01-1900</v>
      </c>
      <c r="D1909" s="10" t="str">
        <f>IFERROR(
   INDEX(tbl_ProduitsRef[Cde_Prdt],MATCH(tbl_Ventes[[#This Row],[Produit]],tbl_ProduitsRef[Produit],0)),
   ""
)</f>
        <v/>
      </c>
      <c r="E1909" s="7">
        <v>0</v>
      </c>
      <c r="F1909" s="7" t="str">
        <f>IFERROR(
   INDEX(tbl_ProduitsRef[Prix Menu],MATCH(tbl_Ventes[[#This Row],[Produit]],tbl_ProduitsRef[Produit],0)),
   ""
)</f>
        <v/>
      </c>
      <c r="G1909" s="7">
        <f>tbl_Ventes[[#This Row],[Qté Vendue]] * IFERROR(_xlfn.XLOOKUP(tbl_Ventes[[#This Row],[Cde_Prdt]], tbl_Produits[Cde_Prdt], tbl_Produits[Prix Menu]), 0)</f>
        <v>0</v>
      </c>
      <c r="H1909" s="7">
        <f>IFERROR(_xlfn.XLOOKUP(tbl_Ventes[[#This Row],[Cde_Prdt]], tbl_Produits[Cde_Prdt], tbl_Produits[Coût Moyen Portion]), 0)</f>
        <v>0</v>
      </c>
      <c r="I1909" s="7">
        <f>tbl_Ventes[[#This Row],[Qté Vendue]] * tbl_Ventes[[#This Row],[CMP_par_portion]]</f>
        <v>0</v>
      </c>
      <c r="J1909" s="7">
        <f>tbl_Ventes[[#This Row],[CA ligne]] - tbl_Ventes[[#This Row],[Coût matière ligne]]</f>
        <v>0</v>
      </c>
      <c r="K1909" s="7" t="str">
        <f>IFERROR(INDEX(tbl_ProduitsRef[Famille], MATCH(tbl_Ventes[[#This Row],[Cde_Prdt]], tbl_Produits[Cde_Prdt], 0)), "")</f>
        <v/>
      </c>
    </row>
    <row r="1910" spans="1:11" x14ac:dyDescent="0.25">
      <c r="A1910" s="5"/>
      <c r="B1910" s="63" t="str">
        <f>IFERROR(TEXT(tbl_Ventes[[#This Row],[Date]],"mm-aaaa"),"")</f>
        <v>01-1900</v>
      </c>
      <c r="D1910" s="10" t="str">
        <f>IFERROR(
   INDEX(tbl_ProduitsRef[Cde_Prdt],MATCH(tbl_Ventes[[#This Row],[Produit]],tbl_ProduitsRef[Produit],0)),
   ""
)</f>
        <v/>
      </c>
      <c r="E1910" s="7">
        <v>0</v>
      </c>
      <c r="F1910" s="7" t="str">
        <f>IFERROR(
   INDEX(tbl_ProduitsRef[Prix Menu],MATCH(tbl_Ventes[[#This Row],[Produit]],tbl_ProduitsRef[Produit],0)),
   ""
)</f>
        <v/>
      </c>
      <c r="G1910" s="7">
        <f>tbl_Ventes[[#This Row],[Qté Vendue]] * IFERROR(_xlfn.XLOOKUP(tbl_Ventes[[#This Row],[Cde_Prdt]], tbl_Produits[Cde_Prdt], tbl_Produits[Prix Menu]), 0)</f>
        <v>0</v>
      </c>
      <c r="H1910" s="7">
        <f>IFERROR(_xlfn.XLOOKUP(tbl_Ventes[[#This Row],[Cde_Prdt]], tbl_Produits[Cde_Prdt], tbl_Produits[Coût Moyen Portion]), 0)</f>
        <v>0</v>
      </c>
      <c r="I1910" s="7">
        <f>tbl_Ventes[[#This Row],[Qté Vendue]] * tbl_Ventes[[#This Row],[CMP_par_portion]]</f>
        <v>0</v>
      </c>
      <c r="J1910" s="7">
        <f>tbl_Ventes[[#This Row],[CA ligne]] - tbl_Ventes[[#This Row],[Coût matière ligne]]</f>
        <v>0</v>
      </c>
      <c r="K1910" s="7" t="str">
        <f>IFERROR(INDEX(tbl_ProduitsRef[Famille], MATCH(tbl_Ventes[[#This Row],[Cde_Prdt]], tbl_Produits[Cde_Prdt], 0)), "")</f>
        <v/>
      </c>
    </row>
    <row r="1911" spans="1:11" x14ac:dyDescent="0.25">
      <c r="A1911" s="5"/>
      <c r="B1911" s="63" t="str">
        <f>IFERROR(TEXT(tbl_Ventes[[#This Row],[Date]],"mm-aaaa"),"")</f>
        <v>01-1900</v>
      </c>
      <c r="D1911" s="10" t="str">
        <f>IFERROR(
   INDEX(tbl_ProduitsRef[Cde_Prdt],MATCH(tbl_Ventes[[#This Row],[Produit]],tbl_ProduitsRef[Produit],0)),
   ""
)</f>
        <v/>
      </c>
      <c r="E1911" s="7">
        <v>0</v>
      </c>
      <c r="F1911" s="7" t="str">
        <f>IFERROR(
   INDEX(tbl_ProduitsRef[Prix Menu],MATCH(tbl_Ventes[[#This Row],[Produit]],tbl_ProduitsRef[Produit],0)),
   ""
)</f>
        <v/>
      </c>
      <c r="G1911" s="7">
        <f>tbl_Ventes[[#This Row],[Qté Vendue]] * IFERROR(_xlfn.XLOOKUP(tbl_Ventes[[#This Row],[Cde_Prdt]], tbl_Produits[Cde_Prdt], tbl_Produits[Prix Menu]), 0)</f>
        <v>0</v>
      </c>
      <c r="H1911" s="7">
        <f>IFERROR(_xlfn.XLOOKUP(tbl_Ventes[[#This Row],[Cde_Prdt]], tbl_Produits[Cde_Prdt], tbl_Produits[Coût Moyen Portion]), 0)</f>
        <v>0</v>
      </c>
      <c r="I1911" s="7">
        <f>tbl_Ventes[[#This Row],[Qté Vendue]] * tbl_Ventes[[#This Row],[CMP_par_portion]]</f>
        <v>0</v>
      </c>
      <c r="J1911" s="7">
        <f>tbl_Ventes[[#This Row],[CA ligne]] - tbl_Ventes[[#This Row],[Coût matière ligne]]</f>
        <v>0</v>
      </c>
      <c r="K1911" s="7" t="str">
        <f>IFERROR(INDEX(tbl_ProduitsRef[Famille], MATCH(tbl_Ventes[[#This Row],[Cde_Prdt]], tbl_Produits[Cde_Prdt], 0)), "")</f>
        <v/>
      </c>
    </row>
    <row r="1912" spans="1:11" x14ac:dyDescent="0.25">
      <c r="A1912" s="5"/>
      <c r="B1912" s="63" t="str">
        <f>IFERROR(TEXT(tbl_Ventes[[#This Row],[Date]],"mm-aaaa"),"")</f>
        <v>01-1900</v>
      </c>
      <c r="D1912" s="10" t="str">
        <f>IFERROR(
   INDEX(tbl_ProduitsRef[Cde_Prdt],MATCH(tbl_Ventes[[#This Row],[Produit]],tbl_ProduitsRef[Produit],0)),
   ""
)</f>
        <v/>
      </c>
      <c r="E1912" s="7">
        <v>0</v>
      </c>
      <c r="F1912" s="7" t="str">
        <f>IFERROR(
   INDEX(tbl_ProduitsRef[Prix Menu],MATCH(tbl_Ventes[[#This Row],[Produit]],tbl_ProduitsRef[Produit],0)),
   ""
)</f>
        <v/>
      </c>
      <c r="G1912" s="7">
        <f>tbl_Ventes[[#This Row],[Qté Vendue]] * IFERROR(_xlfn.XLOOKUP(tbl_Ventes[[#This Row],[Cde_Prdt]], tbl_Produits[Cde_Prdt], tbl_Produits[Prix Menu]), 0)</f>
        <v>0</v>
      </c>
      <c r="H1912" s="7">
        <f>IFERROR(_xlfn.XLOOKUP(tbl_Ventes[[#This Row],[Cde_Prdt]], tbl_Produits[Cde_Prdt], tbl_Produits[Coût Moyen Portion]), 0)</f>
        <v>0</v>
      </c>
      <c r="I1912" s="7">
        <f>tbl_Ventes[[#This Row],[Qté Vendue]] * tbl_Ventes[[#This Row],[CMP_par_portion]]</f>
        <v>0</v>
      </c>
      <c r="J1912" s="7">
        <f>tbl_Ventes[[#This Row],[CA ligne]] - tbl_Ventes[[#This Row],[Coût matière ligne]]</f>
        <v>0</v>
      </c>
      <c r="K1912" s="7" t="str">
        <f>IFERROR(INDEX(tbl_ProduitsRef[Famille], MATCH(tbl_Ventes[[#This Row],[Cde_Prdt]], tbl_Produits[Cde_Prdt], 0)), "")</f>
        <v/>
      </c>
    </row>
    <row r="1913" spans="1:11" x14ac:dyDescent="0.25">
      <c r="A1913" s="5"/>
      <c r="B1913" s="63" t="str">
        <f>IFERROR(TEXT(tbl_Ventes[[#This Row],[Date]],"mm-aaaa"),"")</f>
        <v>01-1900</v>
      </c>
      <c r="D1913" s="10" t="str">
        <f>IFERROR(
   INDEX(tbl_ProduitsRef[Cde_Prdt],MATCH(tbl_Ventes[[#This Row],[Produit]],tbl_ProduitsRef[Produit],0)),
   ""
)</f>
        <v/>
      </c>
      <c r="E1913" s="7">
        <v>0</v>
      </c>
      <c r="F1913" s="7" t="str">
        <f>IFERROR(
   INDEX(tbl_ProduitsRef[Prix Menu],MATCH(tbl_Ventes[[#This Row],[Produit]],tbl_ProduitsRef[Produit],0)),
   ""
)</f>
        <v/>
      </c>
      <c r="G1913" s="7">
        <f>tbl_Ventes[[#This Row],[Qté Vendue]] * IFERROR(_xlfn.XLOOKUP(tbl_Ventes[[#This Row],[Cde_Prdt]], tbl_Produits[Cde_Prdt], tbl_Produits[Prix Menu]), 0)</f>
        <v>0</v>
      </c>
      <c r="H1913" s="7">
        <f>IFERROR(_xlfn.XLOOKUP(tbl_Ventes[[#This Row],[Cde_Prdt]], tbl_Produits[Cde_Prdt], tbl_Produits[Coût Moyen Portion]), 0)</f>
        <v>0</v>
      </c>
      <c r="I1913" s="7">
        <f>tbl_Ventes[[#This Row],[Qté Vendue]] * tbl_Ventes[[#This Row],[CMP_par_portion]]</f>
        <v>0</v>
      </c>
      <c r="J1913" s="7">
        <f>tbl_Ventes[[#This Row],[CA ligne]] - tbl_Ventes[[#This Row],[Coût matière ligne]]</f>
        <v>0</v>
      </c>
      <c r="K1913" s="7" t="str">
        <f>IFERROR(INDEX(tbl_ProduitsRef[Famille], MATCH(tbl_Ventes[[#This Row],[Cde_Prdt]], tbl_Produits[Cde_Prdt], 0)), "")</f>
        <v/>
      </c>
    </row>
    <row r="1914" spans="1:11" x14ac:dyDescent="0.25">
      <c r="A1914" s="5"/>
      <c r="B1914" s="63" t="str">
        <f>IFERROR(TEXT(tbl_Ventes[[#This Row],[Date]],"mm-aaaa"),"")</f>
        <v>01-1900</v>
      </c>
      <c r="D1914" s="10" t="str">
        <f>IFERROR(
   INDEX(tbl_ProduitsRef[Cde_Prdt],MATCH(tbl_Ventes[[#This Row],[Produit]],tbl_ProduitsRef[Produit],0)),
   ""
)</f>
        <v/>
      </c>
      <c r="E1914" s="7">
        <v>0</v>
      </c>
      <c r="F1914" s="7" t="str">
        <f>IFERROR(
   INDEX(tbl_ProduitsRef[Prix Menu],MATCH(tbl_Ventes[[#This Row],[Produit]],tbl_ProduitsRef[Produit],0)),
   ""
)</f>
        <v/>
      </c>
      <c r="G1914" s="7">
        <f>tbl_Ventes[[#This Row],[Qté Vendue]] * IFERROR(_xlfn.XLOOKUP(tbl_Ventes[[#This Row],[Cde_Prdt]], tbl_Produits[Cde_Prdt], tbl_Produits[Prix Menu]), 0)</f>
        <v>0</v>
      </c>
      <c r="H1914" s="7">
        <f>IFERROR(_xlfn.XLOOKUP(tbl_Ventes[[#This Row],[Cde_Prdt]], tbl_Produits[Cde_Prdt], tbl_Produits[Coût Moyen Portion]), 0)</f>
        <v>0</v>
      </c>
      <c r="I1914" s="7">
        <f>tbl_Ventes[[#This Row],[Qté Vendue]] * tbl_Ventes[[#This Row],[CMP_par_portion]]</f>
        <v>0</v>
      </c>
      <c r="J1914" s="7">
        <f>tbl_Ventes[[#This Row],[CA ligne]] - tbl_Ventes[[#This Row],[Coût matière ligne]]</f>
        <v>0</v>
      </c>
      <c r="K1914" s="7" t="str">
        <f>IFERROR(INDEX(tbl_ProduitsRef[Famille], MATCH(tbl_Ventes[[#This Row],[Cde_Prdt]], tbl_Produits[Cde_Prdt], 0)), "")</f>
        <v/>
      </c>
    </row>
    <row r="1915" spans="1:11" x14ac:dyDescent="0.25">
      <c r="A1915" s="5"/>
      <c r="B1915" s="63" t="str">
        <f>IFERROR(TEXT(tbl_Ventes[[#This Row],[Date]],"mm-aaaa"),"")</f>
        <v>01-1900</v>
      </c>
      <c r="D1915" s="10" t="str">
        <f>IFERROR(
   INDEX(tbl_ProduitsRef[Cde_Prdt],MATCH(tbl_Ventes[[#This Row],[Produit]],tbl_ProduitsRef[Produit],0)),
   ""
)</f>
        <v/>
      </c>
      <c r="E1915" s="7">
        <v>0</v>
      </c>
      <c r="F1915" s="7" t="str">
        <f>IFERROR(
   INDEX(tbl_ProduitsRef[Prix Menu],MATCH(tbl_Ventes[[#This Row],[Produit]],tbl_ProduitsRef[Produit],0)),
   ""
)</f>
        <v/>
      </c>
      <c r="G1915" s="7">
        <f>tbl_Ventes[[#This Row],[Qté Vendue]] * IFERROR(_xlfn.XLOOKUP(tbl_Ventes[[#This Row],[Cde_Prdt]], tbl_Produits[Cde_Prdt], tbl_Produits[Prix Menu]), 0)</f>
        <v>0</v>
      </c>
      <c r="H1915" s="7">
        <f>IFERROR(_xlfn.XLOOKUP(tbl_Ventes[[#This Row],[Cde_Prdt]], tbl_Produits[Cde_Prdt], tbl_Produits[Coût Moyen Portion]), 0)</f>
        <v>0</v>
      </c>
      <c r="I1915" s="7">
        <f>tbl_Ventes[[#This Row],[Qté Vendue]] * tbl_Ventes[[#This Row],[CMP_par_portion]]</f>
        <v>0</v>
      </c>
      <c r="J1915" s="7">
        <f>tbl_Ventes[[#This Row],[CA ligne]] - tbl_Ventes[[#This Row],[Coût matière ligne]]</f>
        <v>0</v>
      </c>
      <c r="K1915" s="7" t="str">
        <f>IFERROR(INDEX(tbl_ProduitsRef[Famille], MATCH(tbl_Ventes[[#This Row],[Cde_Prdt]], tbl_Produits[Cde_Prdt], 0)), "")</f>
        <v/>
      </c>
    </row>
    <row r="1916" spans="1:11" x14ac:dyDescent="0.25">
      <c r="A1916" s="5"/>
      <c r="B1916" s="63" t="str">
        <f>IFERROR(TEXT(tbl_Ventes[[#This Row],[Date]],"mm-aaaa"),"")</f>
        <v>01-1900</v>
      </c>
      <c r="D1916" s="10" t="str">
        <f>IFERROR(
   INDEX(tbl_ProduitsRef[Cde_Prdt],MATCH(tbl_Ventes[[#This Row],[Produit]],tbl_ProduitsRef[Produit],0)),
   ""
)</f>
        <v/>
      </c>
      <c r="E1916" s="7">
        <v>0</v>
      </c>
      <c r="F1916" s="7" t="str">
        <f>IFERROR(
   INDEX(tbl_ProduitsRef[Prix Menu],MATCH(tbl_Ventes[[#This Row],[Produit]],tbl_ProduitsRef[Produit],0)),
   ""
)</f>
        <v/>
      </c>
      <c r="G1916" s="7">
        <f>tbl_Ventes[[#This Row],[Qté Vendue]] * IFERROR(_xlfn.XLOOKUP(tbl_Ventes[[#This Row],[Cde_Prdt]], tbl_Produits[Cde_Prdt], tbl_Produits[Prix Menu]), 0)</f>
        <v>0</v>
      </c>
      <c r="H1916" s="7">
        <f>IFERROR(_xlfn.XLOOKUP(tbl_Ventes[[#This Row],[Cde_Prdt]], tbl_Produits[Cde_Prdt], tbl_Produits[Coût Moyen Portion]), 0)</f>
        <v>0</v>
      </c>
      <c r="I1916" s="7">
        <f>tbl_Ventes[[#This Row],[Qté Vendue]] * tbl_Ventes[[#This Row],[CMP_par_portion]]</f>
        <v>0</v>
      </c>
      <c r="J1916" s="7">
        <f>tbl_Ventes[[#This Row],[CA ligne]] - tbl_Ventes[[#This Row],[Coût matière ligne]]</f>
        <v>0</v>
      </c>
      <c r="K1916" s="7" t="str">
        <f>IFERROR(INDEX(tbl_ProduitsRef[Famille], MATCH(tbl_Ventes[[#This Row],[Cde_Prdt]], tbl_Produits[Cde_Prdt], 0)), "")</f>
        <v/>
      </c>
    </row>
    <row r="1917" spans="1:11" x14ac:dyDescent="0.25">
      <c r="A1917" s="5"/>
      <c r="B1917" s="63" t="str">
        <f>IFERROR(TEXT(tbl_Ventes[[#This Row],[Date]],"mm-aaaa"),"")</f>
        <v>01-1900</v>
      </c>
      <c r="D1917" s="10" t="str">
        <f>IFERROR(
   INDEX(tbl_ProduitsRef[Cde_Prdt],MATCH(tbl_Ventes[[#This Row],[Produit]],tbl_ProduitsRef[Produit],0)),
   ""
)</f>
        <v/>
      </c>
      <c r="E1917" s="7">
        <v>0</v>
      </c>
      <c r="F1917" s="7" t="str">
        <f>IFERROR(
   INDEX(tbl_ProduitsRef[Prix Menu],MATCH(tbl_Ventes[[#This Row],[Produit]],tbl_ProduitsRef[Produit],0)),
   ""
)</f>
        <v/>
      </c>
      <c r="G1917" s="7">
        <f>tbl_Ventes[[#This Row],[Qté Vendue]] * IFERROR(_xlfn.XLOOKUP(tbl_Ventes[[#This Row],[Cde_Prdt]], tbl_Produits[Cde_Prdt], tbl_Produits[Prix Menu]), 0)</f>
        <v>0</v>
      </c>
      <c r="H1917" s="7">
        <f>IFERROR(_xlfn.XLOOKUP(tbl_Ventes[[#This Row],[Cde_Prdt]], tbl_Produits[Cde_Prdt], tbl_Produits[Coût Moyen Portion]), 0)</f>
        <v>0</v>
      </c>
      <c r="I1917" s="7">
        <f>tbl_Ventes[[#This Row],[Qté Vendue]] * tbl_Ventes[[#This Row],[CMP_par_portion]]</f>
        <v>0</v>
      </c>
      <c r="J1917" s="7">
        <f>tbl_Ventes[[#This Row],[CA ligne]] - tbl_Ventes[[#This Row],[Coût matière ligne]]</f>
        <v>0</v>
      </c>
      <c r="K1917" s="7" t="str">
        <f>IFERROR(INDEX(tbl_ProduitsRef[Famille], MATCH(tbl_Ventes[[#This Row],[Cde_Prdt]], tbl_Produits[Cde_Prdt], 0)), "")</f>
        <v/>
      </c>
    </row>
    <row r="1918" spans="1:11" x14ac:dyDescent="0.25">
      <c r="A1918" s="5"/>
      <c r="B1918" s="63" t="str">
        <f>IFERROR(TEXT(tbl_Ventes[[#This Row],[Date]],"mm-aaaa"),"")</f>
        <v>01-1900</v>
      </c>
      <c r="D1918" s="10" t="str">
        <f>IFERROR(
   INDEX(tbl_ProduitsRef[Cde_Prdt],MATCH(tbl_Ventes[[#This Row],[Produit]],tbl_ProduitsRef[Produit],0)),
   ""
)</f>
        <v/>
      </c>
      <c r="E1918" s="7">
        <v>0</v>
      </c>
      <c r="F1918" s="7" t="str">
        <f>IFERROR(
   INDEX(tbl_ProduitsRef[Prix Menu],MATCH(tbl_Ventes[[#This Row],[Produit]],tbl_ProduitsRef[Produit],0)),
   ""
)</f>
        <v/>
      </c>
      <c r="G1918" s="7">
        <f>tbl_Ventes[[#This Row],[Qté Vendue]] * IFERROR(_xlfn.XLOOKUP(tbl_Ventes[[#This Row],[Cde_Prdt]], tbl_Produits[Cde_Prdt], tbl_Produits[Prix Menu]), 0)</f>
        <v>0</v>
      </c>
      <c r="H1918" s="7">
        <f>IFERROR(_xlfn.XLOOKUP(tbl_Ventes[[#This Row],[Cde_Prdt]], tbl_Produits[Cde_Prdt], tbl_Produits[Coût Moyen Portion]), 0)</f>
        <v>0</v>
      </c>
      <c r="I1918" s="7">
        <f>tbl_Ventes[[#This Row],[Qté Vendue]] * tbl_Ventes[[#This Row],[CMP_par_portion]]</f>
        <v>0</v>
      </c>
      <c r="J1918" s="7">
        <f>tbl_Ventes[[#This Row],[CA ligne]] - tbl_Ventes[[#This Row],[Coût matière ligne]]</f>
        <v>0</v>
      </c>
      <c r="K1918" s="7" t="str">
        <f>IFERROR(INDEX(tbl_ProduitsRef[Famille], MATCH(tbl_Ventes[[#This Row],[Cde_Prdt]], tbl_Produits[Cde_Prdt], 0)), "")</f>
        <v/>
      </c>
    </row>
    <row r="1919" spans="1:11" x14ac:dyDescent="0.25">
      <c r="A1919" s="5"/>
      <c r="B1919" s="63" t="str">
        <f>IFERROR(TEXT(tbl_Ventes[[#This Row],[Date]],"mm-aaaa"),"")</f>
        <v>01-1900</v>
      </c>
      <c r="D1919" s="10" t="str">
        <f>IFERROR(
   INDEX(tbl_ProduitsRef[Cde_Prdt],MATCH(tbl_Ventes[[#This Row],[Produit]],tbl_ProduitsRef[Produit],0)),
   ""
)</f>
        <v/>
      </c>
      <c r="E1919" s="7">
        <v>0</v>
      </c>
      <c r="F1919" s="7" t="str">
        <f>IFERROR(
   INDEX(tbl_ProduitsRef[Prix Menu],MATCH(tbl_Ventes[[#This Row],[Produit]],tbl_ProduitsRef[Produit],0)),
   ""
)</f>
        <v/>
      </c>
      <c r="G1919" s="7">
        <f>tbl_Ventes[[#This Row],[Qté Vendue]] * IFERROR(_xlfn.XLOOKUP(tbl_Ventes[[#This Row],[Cde_Prdt]], tbl_Produits[Cde_Prdt], tbl_Produits[Prix Menu]), 0)</f>
        <v>0</v>
      </c>
      <c r="H1919" s="7">
        <f>IFERROR(_xlfn.XLOOKUP(tbl_Ventes[[#This Row],[Cde_Prdt]], tbl_Produits[Cde_Prdt], tbl_Produits[Coût Moyen Portion]), 0)</f>
        <v>0</v>
      </c>
      <c r="I1919" s="7">
        <f>tbl_Ventes[[#This Row],[Qté Vendue]] * tbl_Ventes[[#This Row],[CMP_par_portion]]</f>
        <v>0</v>
      </c>
      <c r="J1919" s="7">
        <f>tbl_Ventes[[#This Row],[CA ligne]] - tbl_Ventes[[#This Row],[Coût matière ligne]]</f>
        <v>0</v>
      </c>
      <c r="K1919" s="7" t="str">
        <f>IFERROR(INDEX(tbl_ProduitsRef[Famille], MATCH(tbl_Ventes[[#This Row],[Cde_Prdt]], tbl_Produits[Cde_Prdt], 0)), "")</f>
        <v/>
      </c>
    </row>
    <row r="1920" spans="1:11" x14ac:dyDescent="0.25">
      <c r="A1920" s="5"/>
      <c r="B1920" s="63" t="str">
        <f>IFERROR(TEXT(tbl_Ventes[[#This Row],[Date]],"mm-aaaa"),"")</f>
        <v>01-1900</v>
      </c>
      <c r="D1920" s="10" t="str">
        <f>IFERROR(
   INDEX(tbl_ProduitsRef[Cde_Prdt],MATCH(tbl_Ventes[[#This Row],[Produit]],tbl_ProduitsRef[Produit],0)),
   ""
)</f>
        <v/>
      </c>
      <c r="E1920" s="7">
        <v>0</v>
      </c>
      <c r="F1920" s="7" t="str">
        <f>IFERROR(
   INDEX(tbl_ProduitsRef[Prix Menu],MATCH(tbl_Ventes[[#This Row],[Produit]],tbl_ProduitsRef[Produit],0)),
   ""
)</f>
        <v/>
      </c>
      <c r="G1920" s="7">
        <f>tbl_Ventes[[#This Row],[Qté Vendue]] * IFERROR(_xlfn.XLOOKUP(tbl_Ventes[[#This Row],[Cde_Prdt]], tbl_Produits[Cde_Prdt], tbl_Produits[Prix Menu]), 0)</f>
        <v>0</v>
      </c>
      <c r="H1920" s="7">
        <f>IFERROR(_xlfn.XLOOKUP(tbl_Ventes[[#This Row],[Cde_Prdt]], tbl_Produits[Cde_Prdt], tbl_Produits[Coût Moyen Portion]), 0)</f>
        <v>0</v>
      </c>
      <c r="I1920" s="7">
        <f>tbl_Ventes[[#This Row],[Qté Vendue]] * tbl_Ventes[[#This Row],[CMP_par_portion]]</f>
        <v>0</v>
      </c>
      <c r="J1920" s="7">
        <f>tbl_Ventes[[#This Row],[CA ligne]] - tbl_Ventes[[#This Row],[Coût matière ligne]]</f>
        <v>0</v>
      </c>
      <c r="K1920" s="7" t="str">
        <f>IFERROR(INDEX(tbl_ProduitsRef[Famille], MATCH(tbl_Ventes[[#This Row],[Cde_Prdt]], tbl_Produits[Cde_Prdt], 0)), "")</f>
        <v/>
      </c>
    </row>
    <row r="1921" spans="1:11" x14ac:dyDescent="0.25">
      <c r="A1921" s="5"/>
      <c r="B1921" s="63" t="str">
        <f>IFERROR(TEXT(tbl_Ventes[[#This Row],[Date]],"mm-aaaa"),"")</f>
        <v>01-1900</v>
      </c>
      <c r="D1921" s="10" t="str">
        <f>IFERROR(
   INDEX(tbl_ProduitsRef[Cde_Prdt],MATCH(tbl_Ventes[[#This Row],[Produit]],tbl_ProduitsRef[Produit],0)),
   ""
)</f>
        <v/>
      </c>
      <c r="E1921" s="7">
        <v>0</v>
      </c>
      <c r="F1921" s="7" t="str">
        <f>IFERROR(
   INDEX(tbl_ProduitsRef[Prix Menu],MATCH(tbl_Ventes[[#This Row],[Produit]],tbl_ProduitsRef[Produit],0)),
   ""
)</f>
        <v/>
      </c>
      <c r="G1921" s="7">
        <f>tbl_Ventes[[#This Row],[Qté Vendue]] * IFERROR(_xlfn.XLOOKUP(tbl_Ventes[[#This Row],[Cde_Prdt]], tbl_Produits[Cde_Prdt], tbl_Produits[Prix Menu]), 0)</f>
        <v>0</v>
      </c>
      <c r="H1921" s="7">
        <f>IFERROR(_xlfn.XLOOKUP(tbl_Ventes[[#This Row],[Cde_Prdt]], tbl_Produits[Cde_Prdt], tbl_Produits[Coût Moyen Portion]), 0)</f>
        <v>0</v>
      </c>
      <c r="I1921" s="7">
        <f>tbl_Ventes[[#This Row],[Qté Vendue]] * tbl_Ventes[[#This Row],[CMP_par_portion]]</f>
        <v>0</v>
      </c>
      <c r="J1921" s="7">
        <f>tbl_Ventes[[#This Row],[CA ligne]] - tbl_Ventes[[#This Row],[Coût matière ligne]]</f>
        <v>0</v>
      </c>
      <c r="K1921" s="7" t="str">
        <f>IFERROR(INDEX(tbl_ProduitsRef[Famille], MATCH(tbl_Ventes[[#This Row],[Cde_Prdt]], tbl_Produits[Cde_Prdt], 0)), "")</f>
        <v/>
      </c>
    </row>
    <row r="1922" spans="1:11" x14ac:dyDescent="0.25">
      <c r="A1922" s="5"/>
      <c r="B1922" s="63" t="str">
        <f>IFERROR(TEXT(tbl_Ventes[[#This Row],[Date]],"mm-aaaa"),"")</f>
        <v>01-1900</v>
      </c>
      <c r="D1922" s="10" t="str">
        <f>IFERROR(
   INDEX(tbl_ProduitsRef[Cde_Prdt],MATCH(tbl_Ventes[[#This Row],[Produit]],tbl_ProduitsRef[Produit],0)),
   ""
)</f>
        <v/>
      </c>
      <c r="E1922" s="7">
        <v>0</v>
      </c>
      <c r="F1922" s="7" t="str">
        <f>IFERROR(
   INDEX(tbl_ProduitsRef[Prix Menu],MATCH(tbl_Ventes[[#This Row],[Produit]],tbl_ProduitsRef[Produit],0)),
   ""
)</f>
        <v/>
      </c>
      <c r="G1922" s="7">
        <f>tbl_Ventes[[#This Row],[Qté Vendue]] * IFERROR(_xlfn.XLOOKUP(tbl_Ventes[[#This Row],[Cde_Prdt]], tbl_Produits[Cde_Prdt], tbl_Produits[Prix Menu]), 0)</f>
        <v>0</v>
      </c>
      <c r="H1922" s="7">
        <f>IFERROR(_xlfn.XLOOKUP(tbl_Ventes[[#This Row],[Cde_Prdt]], tbl_Produits[Cde_Prdt], tbl_Produits[Coût Moyen Portion]), 0)</f>
        <v>0</v>
      </c>
      <c r="I1922" s="7">
        <f>tbl_Ventes[[#This Row],[Qté Vendue]] * tbl_Ventes[[#This Row],[CMP_par_portion]]</f>
        <v>0</v>
      </c>
      <c r="J1922" s="7">
        <f>tbl_Ventes[[#This Row],[CA ligne]] - tbl_Ventes[[#This Row],[Coût matière ligne]]</f>
        <v>0</v>
      </c>
      <c r="K1922" s="7" t="str">
        <f>IFERROR(INDEX(tbl_ProduitsRef[Famille], MATCH(tbl_Ventes[[#This Row],[Cde_Prdt]], tbl_Produits[Cde_Prdt], 0)), "")</f>
        <v/>
      </c>
    </row>
    <row r="1923" spans="1:11" x14ac:dyDescent="0.25">
      <c r="A1923" s="5"/>
      <c r="B1923" s="63" t="str">
        <f>IFERROR(TEXT(tbl_Ventes[[#This Row],[Date]],"mm-aaaa"),"")</f>
        <v>01-1900</v>
      </c>
      <c r="D1923" s="10" t="str">
        <f>IFERROR(
   INDEX(tbl_ProduitsRef[Cde_Prdt],MATCH(tbl_Ventes[[#This Row],[Produit]],tbl_ProduitsRef[Produit],0)),
   ""
)</f>
        <v/>
      </c>
      <c r="E1923" s="7">
        <v>0</v>
      </c>
      <c r="F1923" s="7" t="str">
        <f>IFERROR(
   INDEX(tbl_ProduitsRef[Prix Menu],MATCH(tbl_Ventes[[#This Row],[Produit]],tbl_ProduitsRef[Produit],0)),
   ""
)</f>
        <v/>
      </c>
      <c r="G1923" s="7">
        <f>tbl_Ventes[[#This Row],[Qté Vendue]] * IFERROR(_xlfn.XLOOKUP(tbl_Ventes[[#This Row],[Cde_Prdt]], tbl_Produits[Cde_Prdt], tbl_Produits[Prix Menu]), 0)</f>
        <v>0</v>
      </c>
      <c r="H1923" s="7">
        <f>IFERROR(_xlfn.XLOOKUP(tbl_Ventes[[#This Row],[Cde_Prdt]], tbl_Produits[Cde_Prdt], tbl_Produits[Coût Moyen Portion]), 0)</f>
        <v>0</v>
      </c>
      <c r="I1923" s="7">
        <f>tbl_Ventes[[#This Row],[Qté Vendue]] * tbl_Ventes[[#This Row],[CMP_par_portion]]</f>
        <v>0</v>
      </c>
      <c r="J1923" s="7">
        <f>tbl_Ventes[[#This Row],[CA ligne]] - tbl_Ventes[[#This Row],[Coût matière ligne]]</f>
        <v>0</v>
      </c>
      <c r="K1923" s="7" t="str">
        <f>IFERROR(INDEX(tbl_ProduitsRef[Famille], MATCH(tbl_Ventes[[#This Row],[Cde_Prdt]], tbl_Produits[Cde_Prdt], 0)), "")</f>
        <v/>
      </c>
    </row>
    <row r="1924" spans="1:11" x14ac:dyDescent="0.25">
      <c r="A1924" s="5"/>
      <c r="B1924" s="63" t="str">
        <f>IFERROR(TEXT(tbl_Ventes[[#This Row],[Date]],"mm-aaaa"),"")</f>
        <v>01-1900</v>
      </c>
      <c r="D1924" s="10" t="str">
        <f>IFERROR(
   INDEX(tbl_ProduitsRef[Cde_Prdt],MATCH(tbl_Ventes[[#This Row],[Produit]],tbl_ProduitsRef[Produit],0)),
   ""
)</f>
        <v/>
      </c>
      <c r="E1924" s="7">
        <v>0</v>
      </c>
      <c r="F1924" s="7" t="str">
        <f>IFERROR(
   INDEX(tbl_ProduitsRef[Prix Menu],MATCH(tbl_Ventes[[#This Row],[Produit]],tbl_ProduitsRef[Produit],0)),
   ""
)</f>
        <v/>
      </c>
      <c r="G1924" s="7">
        <f>tbl_Ventes[[#This Row],[Qté Vendue]] * IFERROR(_xlfn.XLOOKUP(tbl_Ventes[[#This Row],[Cde_Prdt]], tbl_Produits[Cde_Prdt], tbl_Produits[Prix Menu]), 0)</f>
        <v>0</v>
      </c>
      <c r="H1924" s="7">
        <f>IFERROR(_xlfn.XLOOKUP(tbl_Ventes[[#This Row],[Cde_Prdt]], tbl_Produits[Cde_Prdt], tbl_Produits[Coût Moyen Portion]), 0)</f>
        <v>0</v>
      </c>
      <c r="I1924" s="7">
        <f>tbl_Ventes[[#This Row],[Qté Vendue]] * tbl_Ventes[[#This Row],[CMP_par_portion]]</f>
        <v>0</v>
      </c>
      <c r="J1924" s="7">
        <f>tbl_Ventes[[#This Row],[CA ligne]] - tbl_Ventes[[#This Row],[Coût matière ligne]]</f>
        <v>0</v>
      </c>
      <c r="K1924" s="7" t="str">
        <f>IFERROR(INDEX(tbl_ProduitsRef[Famille], MATCH(tbl_Ventes[[#This Row],[Cde_Prdt]], tbl_Produits[Cde_Prdt], 0)), "")</f>
        <v/>
      </c>
    </row>
    <row r="1925" spans="1:11" x14ac:dyDescent="0.25">
      <c r="A1925" s="5"/>
      <c r="B1925" s="63" t="str">
        <f>IFERROR(TEXT(tbl_Ventes[[#This Row],[Date]],"mm-aaaa"),"")</f>
        <v>01-1900</v>
      </c>
      <c r="D1925" s="10" t="str">
        <f>IFERROR(
   INDEX(tbl_ProduitsRef[Cde_Prdt],MATCH(tbl_Ventes[[#This Row],[Produit]],tbl_ProduitsRef[Produit],0)),
   ""
)</f>
        <v/>
      </c>
      <c r="E1925" s="7">
        <v>0</v>
      </c>
      <c r="F1925" s="7" t="str">
        <f>IFERROR(
   INDEX(tbl_ProduitsRef[Prix Menu],MATCH(tbl_Ventes[[#This Row],[Produit]],tbl_ProduitsRef[Produit],0)),
   ""
)</f>
        <v/>
      </c>
      <c r="G1925" s="7">
        <f>tbl_Ventes[[#This Row],[Qté Vendue]] * IFERROR(_xlfn.XLOOKUP(tbl_Ventes[[#This Row],[Cde_Prdt]], tbl_Produits[Cde_Prdt], tbl_Produits[Prix Menu]), 0)</f>
        <v>0</v>
      </c>
      <c r="H1925" s="7">
        <f>IFERROR(_xlfn.XLOOKUP(tbl_Ventes[[#This Row],[Cde_Prdt]], tbl_Produits[Cde_Prdt], tbl_Produits[Coût Moyen Portion]), 0)</f>
        <v>0</v>
      </c>
      <c r="I1925" s="7">
        <f>tbl_Ventes[[#This Row],[Qté Vendue]] * tbl_Ventes[[#This Row],[CMP_par_portion]]</f>
        <v>0</v>
      </c>
      <c r="J1925" s="7">
        <f>tbl_Ventes[[#This Row],[CA ligne]] - tbl_Ventes[[#This Row],[Coût matière ligne]]</f>
        <v>0</v>
      </c>
      <c r="K1925" s="7" t="str">
        <f>IFERROR(INDEX(tbl_ProduitsRef[Famille], MATCH(tbl_Ventes[[#This Row],[Cde_Prdt]], tbl_Produits[Cde_Prdt], 0)), "")</f>
        <v/>
      </c>
    </row>
    <row r="1926" spans="1:11" x14ac:dyDescent="0.25">
      <c r="A1926" s="5"/>
      <c r="B1926" s="63" t="str">
        <f>IFERROR(TEXT(tbl_Ventes[[#This Row],[Date]],"mm-aaaa"),"")</f>
        <v>01-1900</v>
      </c>
      <c r="D1926" s="10" t="str">
        <f>IFERROR(
   INDEX(tbl_ProduitsRef[Cde_Prdt],MATCH(tbl_Ventes[[#This Row],[Produit]],tbl_ProduitsRef[Produit],0)),
   ""
)</f>
        <v/>
      </c>
      <c r="E1926" s="7">
        <v>0</v>
      </c>
      <c r="F1926" s="7" t="str">
        <f>IFERROR(
   INDEX(tbl_ProduitsRef[Prix Menu],MATCH(tbl_Ventes[[#This Row],[Produit]],tbl_ProduitsRef[Produit],0)),
   ""
)</f>
        <v/>
      </c>
      <c r="G1926" s="7">
        <f>tbl_Ventes[[#This Row],[Qté Vendue]] * IFERROR(_xlfn.XLOOKUP(tbl_Ventes[[#This Row],[Cde_Prdt]], tbl_Produits[Cde_Prdt], tbl_Produits[Prix Menu]), 0)</f>
        <v>0</v>
      </c>
      <c r="H1926" s="7">
        <f>IFERROR(_xlfn.XLOOKUP(tbl_Ventes[[#This Row],[Cde_Prdt]], tbl_Produits[Cde_Prdt], tbl_Produits[Coût Moyen Portion]), 0)</f>
        <v>0</v>
      </c>
      <c r="I1926" s="7">
        <f>tbl_Ventes[[#This Row],[Qté Vendue]] * tbl_Ventes[[#This Row],[CMP_par_portion]]</f>
        <v>0</v>
      </c>
      <c r="J1926" s="7">
        <f>tbl_Ventes[[#This Row],[CA ligne]] - tbl_Ventes[[#This Row],[Coût matière ligne]]</f>
        <v>0</v>
      </c>
      <c r="K1926" s="7" t="str">
        <f>IFERROR(INDEX(tbl_ProduitsRef[Famille], MATCH(tbl_Ventes[[#This Row],[Cde_Prdt]], tbl_Produits[Cde_Prdt], 0)), "")</f>
        <v/>
      </c>
    </row>
    <row r="1927" spans="1:11" x14ac:dyDescent="0.25">
      <c r="A1927" s="5"/>
      <c r="B1927" s="63" t="str">
        <f>IFERROR(TEXT(tbl_Ventes[[#This Row],[Date]],"mm-aaaa"),"")</f>
        <v>01-1900</v>
      </c>
      <c r="D1927" s="10" t="str">
        <f>IFERROR(
   INDEX(tbl_ProduitsRef[Cde_Prdt],MATCH(tbl_Ventes[[#This Row],[Produit]],tbl_ProduitsRef[Produit],0)),
   ""
)</f>
        <v/>
      </c>
      <c r="E1927" s="7">
        <v>0</v>
      </c>
      <c r="F1927" s="7" t="str">
        <f>IFERROR(
   INDEX(tbl_ProduitsRef[Prix Menu],MATCH(tbl_Ventes[[#This Row],[Produit]],tbl_ProduitsRef[Produit],0)),
   ""
)</f>
        <v/>
      </c>
      <c r="G1927" s="7">
        <f>tbl_Ventes[[#This Row],[Qté Vendue]] * IFERROR(_xlfn.XLOOKUP(tbl_Ventes[[#This Row],[Cde_Prdt]], tbl_Produits[Cde_Prdt], tbl_Produits[Prix Menu]), 0)</f>
        <v>0</v>
      </c>
      <c r="H1927" s="7">
        <f>IFERROR(_xlfn.XLOOKUP(tbl_Ventes[[#This Row],[Cde_Prdt]], tbl_Produits[Cde_Prdt], tbl_Produits[Coût Moyen Portion]), 0)</f>
        <v>0</v>
      </c>
      <c r="I1927" s="7">
        <f>tbl_Ventes[[#This Row],[Qté Vendue]] * tbl_Ventes[[#This Row],[CMP_par_portion]]</f>
        <v>0</v>
      </c>
      <c r="J1927" s="7">
        <f>tbl_Ventes[[#This Row],[CA ligne]] - tbl_Ventes[[#This Row],[Coût matière ligne]]</f>
        <v>0</v>
      </c>
      <c r="K1927" s="7" t="str">
        <f>IFERROR(INDEX(tbl_ProduitsRef[Famille], MATCH(tbl_Ventes[[#This Row],[Cde_Prdt]], tbl_Produits[Cde_Prdt], 0)), "")</f>
        <v/>
      </c>
    </row>
    <row r="1928" spans="1:11" x14ac:dyDescent="0.25">
      <c r="A1928" s="5"/>
      <c r="B1928" s="63" t="str">
        <f>IFERROR(TEXT(tbl_Ventes[[#This Row],[Date]],"mm-aaaa"),"")</f>
        <v>01-1900</v>
      </c>
      <c r="D1928" s="10" t="str">
        <f>IFERROR(
   INDEX(tbl_ProduitsRef[Cde_Prdt],MATCH(tbl_Ventes[[#This Row],[Produit]],tbl_ProduitsRef[Produit],0)),
   ""
)</f>
        <v/>
      </c>
      <c r="E1928" s="7">
        <v>0</v>
      </c>
      <c r="F1928" s="7" t="str">
        <f>IFERROR(
   INDEX(tbl_ProduitsRef[Prix Menu],MATCH(tbl_Ventes[[#This Row],[Produit]],tbl_ProduitsRef[Produit],0)),
   ""
)</f>
        <v/>
      </c>
      <c r="G1928" s="7">
        <f>tbl_Ventes[[#This Row],[Qté Vendue]] * IFERROR(_xlfn.XLOOKUP(tbl_Ventes[[#This Row],[Cde_Prdt]], tbl_Produits[Cde_Prdt], tbl_Produits[Prix Menu]), 0)</f>
        <v>0</v>
      </c>
      <c r="H1928" s="7">
        <f>IFERROR(_xlfn.XLOOKUP(tbl_Ventes[[#This Row],[Cde_Prdt]], tbl_Produits[Cde_Prdt], tbl_Produits[Coût Moyen Portion]), 0)</f>
        <v>0</v>
      </c>
      <c r="I1928" s="7">
        <f>tbl_Ventes[[#This Row],[Qté Vendue]] * tbl_Ventes[[#This Row],[CMP_par_portion]]</f>
        <v>0</v>
      </c>
      <c r="J1928" s="7">
        <f>tbl_Ventes[[#This Row],[CA ligne]] - tbl_Ventes[[#This Row],[Coût matière ligne]]</f>
        <v>0</v>
      </c>
      <c r="K1928" s="7" t="str">
        <f>IFERROR(INDEX(tbl_ProduitsRef[Famille], MATCH(tbl_Ventes[[#This Row],[Cde_Prdt]], tbl_Produits[Cde_Prdt], 0)), "")</f>
        <v/>
      </c>
    </row>
    <row r="1929" spans="1:11" x14ac:dyDescent="0.25">
      <c r="A1929" s="5"/>
      <c r="B1929" s="63" t="str">
        <f>IFERROR(TEXT(tbl_Ventes[[#This Row],[Date]],"mm-aaaa"),"")</f>
        <v>01-1900</v>
      </c>
      <c r="D1929" s="10" t="str">
        <f>IFERROR(
   INDEX(tbl_ProduitsRef[Cde_Prdt],MATCH(tbl_Ventes[[#This Row],[Produit]],tbl_ProduitsRef[Produit],0)),
   ""
)</f>
        <v/>
      </c>
      <c r="E1929" s="7">
        <v>0</v>
      </c>
      <c r="F1929" s="7" t="str">
        <f>IFERROR(
   INDEX(tbl_ProduitsRef[Prix Menu],MATCH(tbl_Ventes[[#This Row],[Produit]],tbl_ProduitsRef[Produit],0)),
   ""
)</f>
        <v/>
      </c>
      <c r="G1929" s="7">
        <f>tbl_Ventes[[#This Row],[Qté Vendue]] * IFERROR(_xlfn.XLOOKUP(tbl_Ventes[[#This Row],[Cde_Prdt]], tbl_Produits[Cde_Prdt], tbl_Produits[Prix Menu]), 0)</f>
        <v>0</v>
      </c>
      <c r="H1929" s="7">
        <f>IFERROR(_xlfn.XLOOKUP(tbl_Ventes[[#This Row],[Cde_Prdt]], tbl_Produits[Cde_Prdt], tbl_Produits[Coût Moyen Portion]), 0)</f>
        <v>0</v>
      </c>
      <c r="I1929" s="7">
        <f>tbl_Ventes[[#This Row],[Qté Vendue]] * tbl_Ventes[[#This Row],[CMP_par_portion]]</f>
        <v>0</v>
      </c>
      <c r="J1929" s="7">
        <f>tbl_Ventes[[#This Row],[CA ligne]] - tbl_Ventes[[#This Row],[Coût matière ligne]]</f>
        <v>0</v>
      </c>
      <c r="K1929" s="7" t="str">
        <f>IFERROR(INDEX(tbl_ProduitsRef[Famille], MATCH(tbl_Ventes[[#This Row],[Cde_Prdt]], tbl_Produits[Cde_Prdt], 0)), "")</f>
        <v/>
      </c>
    </row>
    <row r="1930" spans="1:11" x14ac:dyDescent="0.25">
      <c r="A1930" s="5"/>
      <c r="B1930" s="63" t="str">
        <f>IFERROR(TEXT(tbl_Ventes[[#This Row],[Date]],"mm-aaaa"),"")</f>
        <v>01-1900</v>
      </c>
      <c r="D1930" s="10" t="str">
        <f>IFERROR(
   INDEX(tbl_ProduitsRef[Cde_Prdt],MATCH(tbl_Ventes[[#This Row],[Produit]],tbl_ProduitsRef[Produit],0)),
   ""
)</f>
        <v/>
      </c>
      <c r="E1930" s="7">
        <v>0</v>
      </c>
      <c r="F1930" s="7" t="str">
        <f>IFERROR(
   INDEX(tbl_ProduitsRef[Prix Menu],MATCH(tbl_Ventes[[#This Row],[Produit]],tbl_ProduitsRef[Produit],0)),
   ""
)</f>
        <v/>
      </c>
      <c r="G1930" s="7">
        <f>tbl_Ventes[[#This Row],[Qté Vendue]] * IFERROR(_xlfn.XLOOKUP(tbl_Ventes[[#This Row],[Cde_Prdt]], tbl_Produits[Cde_Prdt], tbl_Produits[Prix Menu]), 0)</f>
        <v>0</v>
      </c>
      <c r="H1930" s="7">
        <f>IFERROR(_xlfn.XLOOKUP(tbl_Ventes[[#This Row],[Cde_Prdt]], tbl_Produits[Cde_Prdt], tbl_Produits[Coût Moyen Portion]), 0)</f>
        <v>0</v>
      </c>
      <c r="I1930" s="7">
        <f>tbl_Ventes[[#This Row],[Qté Vendue]] * tbl_Ventes[[#This Row],[CMP_par_portion]]</f>
        <v>0</v>
      </c>
      <c r="J1930" s="7">
        <f>tbl_Ventes[[#This Row],[CA ligne]] - tbl_Ventes[[#This Row],[Coût matière ligne]]</f>
        <v>0</v>
      </c>
      <c r="K1930" s="7" t="str">
        <f>IFERROR(INDEX(tbl_ProduitsRef[Famille], MATCH(tbl_Ventes[[#This Row],[Cde_Prdt]], tbl_Produits[Cde_Prdt], 0)), "")</f>
        <v/>
      </c>
    </row>
    <row r="1931" spans="1:11" x14ac:dyDescent="0.25">
      <c r="A1931" s="5"/>
      <c r="B1931" s="63" t="str">
        <f>IFERROR(TEXT(tbl_Ventes[[#This Row],[Date]],"mm-aaaa"),"")</f>
        <v>01-1900</v>
      </c>
      <c r="D1931" s="10" t="str">
        <f>IFERROR(
   INDEX(tbl_ProduitsRef[Cde_Prdt],MATCH(tbl_Ventes[[#This Row],[Produit]],tbl_ProduitsRef[Produit],0)),
   ""
)</f>
        <v/>
      </c>
      <c r="E1931" s="7">
        <v>0</v>
      </c>
      <c r="F1931" s="7" t="str">
        <f>IFERROR(
   INDEX(tbl_ProduitsRef[Prix Menu],MATCH(tbl_Ventes[[#This Row],[Produit]],tbl_ProduitsRef[Produit],0)),
   ""
)</f>
        <v/>
      </c>
      <c r="G1931" s="7">
        <f>tbl_Ventes[[#This Row],[Qté Vendue]] * IFERROR(_xlfn.XLOOKUP(tbl_Ventes[[#This Row],[Cde_Prdt]], tbl_Produits[Cde_Prdt], tbl_Produits[Prix Menu]), 0)</f>
        <v>0</v>
      </c>
      <c r="H1931" s="7">
        <f>IFERROR(_xlfn.XLOOKUP(tbl_Ventes[[#This Row],[Cde_Prdt]], tbl_Produits[Cde_Prdt], tbl_Produits[Coût Moyen Portion]), 0)</f>
        <v>0</v>
      </c>
      <c r="I1931" s="7">
        <f>tbl_Ventes[[#This Row],[Qté Vendue]] * tbl_Ventes[[#This Row],[CMP_par_portion]]</f>
        <v>0</v>
      </c>
      <c r="J1931" s="7">
        <f>tbl_Ventes[[#This Row],[CA ligne]] - tbl_Ventes[[#This Row],[Coût matière ligne]]</f>
        <v>0</v>
      </c>
      <c r="K1931" s="7" t="str">
        <f>IFERROR(INDEX(tbl_ProduitsRef[Famille], MATCH(tbl_Ventes[[#This Row],[Cde_Prdt]], tbl_Produits[Cde_Prdt], 0)), "")</f>
        <v/>
      </c>
    </row>
    <row r="1932" spans="1:11" x14ac:dyDescent="0.25">
      <c r="A1932" s="5"/>
      <c r="B1932" s="63" t="str">
        <f>IFERROR(TEXT(tbl_Ventes[[#This Row],[Date]],"mm-aaaa"),"")</f>
        <v>01-1900</v>
      </c>
      <c r="D1932" s="10" t="str">
        <f>IFERROR(
   INDEX(tbl_ProduitsRef[Cde_Prdt],MATCH(tbl_Ventes[[#This Row],[Produit]],tbl_ProduitsRef[Produit],0)),
   ""
)</f>
        <v/>
      </c>
      <c r="E1932" s="7">
        <v>0</v>
      </c>
      <c r="F1932" s="7" t="str">
        <f>IFERROR(
   INDEX(tbl_ProduitsRef[Prix Menu],MATCH(tbl_Ventes[[#This Row],[Produit]],tbl_ProduitsRef[Produit],0)),
   ""
)</f>
        <v/>
      </c>
      <c r="G1932" s="7">
        <f>tbl_Ventes[[#This Row],[Qté Vendue]] * IFERROR(_xlfn.XLOOKUP(tbl_Ventes[[#This Row],[Cde_Prdt]], tbl_Produits[Cde_Prdt], tbl_Produits[Prix Menu]), 0)</f>
        <v>0</v>
      </c>
      <c r="H1932" s="7">
        <f>IFERROR(_xlfn.XLOOKUP(tbl_Ventes[[#This Row],[Cde_Prdt]], tbl_Produits[Cde_Prdt], tbl_Produits[Coût Moyen Portion]), 0)</f>
        <v>0</v>
      </c>
      <c r="I1932" s="7">
        <f>tbl_Ventes[[#This Row],[Qté Vendue]] * tbl_Ventes[[#This Row],[CMP_par_portion]]</f>
        <v>0</v>
      </c>
      <c r="J1932" s="7">
        <f>tbl_Ventes[[#This Row],[CA ligne]] - tbl_Ventes[[#This Row],[Coût matière ligne]]</f>
        <v>0</v>
      </c>
      <c r="K1932" s="7" t="str">
        <f>IFERROR(INDEX(tbl_ProduitsRef[Famille], MATCH(tbl_Ventes[[#This Row],[Cde_Prdt]], tbl_Produits[Cde_Prdt], 0)), "")</f>
        <v/>
      </c>
    </row>
    <row r="1933" spans="1:11" x14ac:dyDescent="0.25">
      <c r="A1933" s="5"/>
      <c r="B1933" s="63" t="str">
        <f>IFERROR(TEXT(tbl_Ventes[[#This Row],[Date]],"mm-aaaa"),"")</f>
        <v>01-1900</v>
      </c>
      <c r="D1933" s="10" t="str">
        <f>IFERROR(
   INDEX(tbl_ProduitsRef[Cde_Prdt],MATCH(tbl_Ventes[[#This Row],[Produit]],tbl_ProduitsRef[Produit],0)),
   ""
)</f>
        <v/>
      </c>
      <c r="E1933" s="7">
        <v>0</v>
      </c>
      <c r="F1933" s="7" t="str">
        <f>IFERROR(
   INDEX(tbl_ProduitsRef[Prix Menu],MATCH(tbl_Ventes[[#This Row],[Produit]],tbl_ProduitsRef[Produit],0)),
   ""
)</f>
        <v/>
      </c>
      <c r="G1933" s="7">
        <f>tbl_Ventes[[#This Row],[Qté Vendue]] * IFERROR(_xlfn.XLOOKUP(tbl_Ventes[[#This Row],[Cde_Prdt]], tbl_Produits[Cde_Prdt], tbl_Produits[Prix Menu]), 0)</f>
        <v>0</v>
      </c>
      <c r="H1933" s="7">
        <f>IFERROR(_xlfn.XLOOKUP(tbl_Ventes[[#This Row],[Cde_Prdt]], tbl_Produits[Cde_Prdt], tbl_Produits[Coût Moyen Portion]), 0)</f>
        <v>0</v>
      </c>
      <c r="I1933" s="7">
        <f>tbl_Ventes[[#This Row],[Qté Vendue]] * tbl_Ventes[[#This Row],[CMP_par_portion]]</f>
        <v>0</v>
      </c>
      <c r="J1933" s="7">
        <f>tbl_Ventes[[#This Row],[CA ligne]] - tbl_Ventes[[#This Row],[Coût matière ligne]]</f>
        <v>0</v>
      </c>
      <c r="K1933" s="7" t="str">
        <f>IFERROR(INDEX(tbl_ProduitsRef[Famille], MATCH(tbl_Ventes[[#This Row],[Cde_Prdt]], tbl_Produits[Cde_Prdt], 0)), "")</f>
        <v/>
      </c>
    </row>
    <row r="1934" spans="1:11" x14ac:dyDescent="0.25">
      <c r="A1934" s="5"/>
      <c r="B1934" s="63" t="str">
        <f>IFERROR(TEXT(tbl_Ventes[[#This Row],[Date]],"mm-aaaa"),"")</f>
        <v>01-1900</v>
      </c>
      <c r="D1934" s="10" t="str">
        <f>IFERROR(
   INDEX(tbl_ProduitsRef[Cde_Prdt],MATCH(tbl_Ventes[[#This Row],[Produit]],tbl_ProduitsRef[Produit],0)),
   ""
)</f>
        <v/>
      </c>
      <c r="E1934" s="7">
        <v>0</v>
      </c>
      <c r="F1934" s="7" t="str">
        <f>IFERROR(
   INDEX(tbl_ProduitsRef[Prix Menu],MATCH(tbl_Ventes[[#This Row],[Produit]],tbl_ProduitsRef[Produit],0)),
   ""
)</f>
        <v/>
      </c>
      <c r="G1934" s="7">
        <f>tbl_Ventes[[#This Row],[Qté Vendue]] * IFERROR(_xlfn.XLOOKUP(tbl_Ventes[[#This Row],[Cde_Prdt]], tbl_Produits[Cde_Prdt], tbl_Produits[Prix Menu]), 0)</f>
        <v>0</v>
      </c>
      <c r="H1934" s="7">
        <f>IFERROR(_xlfn.XLOOKUP(tbl_Ventes[[#This Row],[Cde_Prdt]], tbl_Produits[Cde_Prdt], tbl_Produits[Coût Moyen Portion]), 0)</f>
        <v>0</v>
      </c>
      <c r="I1934" s="7">
        <f>tbl_Ventes[[#This Row],[Qté Vendue]] * tbl_Ventes[[#This Row],[CMP_par_portion]]</f>
        <v>0</v>
      </c>
      <c r="J1934" s="7">
        <f>tbl_Ventes[[#This Row],[CA ligne]] - tbl_Ventes[[#This Row],[Coût matière ligne]]</f>
        <v>0</v>
      </c>
      <c r="K1934" s="7" t="str">
        <f>IFERROR(INDEX(tbl_ProduitsRef[Famille], MATCH(tbl_Ventes[[#This Row],[Cde_Prdt]], tbl_Produits[Cde_Prdt], 0)), "")</f>
        <v/>
      </c>
    </row>
    <row r="1935" spans="1:11" x14ac:dyDescent="0.25">
      <c r="A1935" s="5"/>
      <c r="B1935" s="63" t="str">
        <f>IFERROR(TEXT(tbl_Ventes[[#This Row],[Date]],"mm-aaaa"),"")</f>
        <v>01-1900</v>
      </c>
      <c r="D1935" s="10" t="str">
        <f>IFERROR(
   INDEX(tbl_ProduitsRef[Cde_Prdt],MATCH(tbl_Ventes[[#This Row],[Produit]],tbl_ProduitsRef[Produit],0)),
   ""
)</f>
        <v/>
      </c>
      <c r="E1935" s="7">
        <v>0</v>
      </c>
      <c r="F1935" s="7" t="str">
        <f>IFERROR(
   INDEX(tbl_ProduitsRef[Prix Menu],MATCH(tbl_Ventes[[#This Row],[Produit]],tbl_ProduitsRef[Produit],0)),
   ""
)</f>
        <v/>
      </c>
      <c r="G1935" s="7">
        <f>tbl_Ventes[[#This Row],[Qté Vendue]] * IFERROR(_xlfn.XLOOKUP(tbl_Ventes[[#This Row],[Cde_Prdt]], tbl_Produits[Cde_Prdt], tbl_Produits[Prix Menu]), 0)</f>
        <v>0</v>
      </c>
      <c r="H1935" s="7">
        <f>IFERROR(_xlfn.XLOOKUP(tbl_Ventes[[#This Row],[Cde_Prdt]], tbl_Produits[Cde_Prdt], tbl_Produits[Coût Moyen Portion]), 0)</f>
        <v>0</v>
      </c>
      <c r="I1935" s="7">
        <f>tbl_Ventes[[#This Row],[Qté Vendue]] * tbl_Ventes[[#This Row],[CMP_par_portion]]</f>
        <v>0</v>
      </c>
      <c r="J1935" s="7">
        <f>tbl_Ventes[[#This Row],[CA ligne]] - tbl_Ventes[[#This Row],[Coût matière ligne]]</f>
        <v>0</v>
      </c>
      <c r="K1935" s="7" t="str">
        <f>IFERROR(INDEX(tbl_ProduitsRef[Famille], MATCH(tbl_Ventes[[#This Row],[Cde_Prdt]], tbl_Produits[Cde_Prdt], 0)), "")</f>
        <v/>
      </c>
    </row>
    <row r="1936" spans="1:11" x14ac:dyDescent="0.25">
      <c r="A1936" s="5"/>
      <c r="B1936" s="63" t="str">
        <f>IFERROR(TEXT(tbl_Ventes[[#This Row],[Date]],"mm-aaaa"),"")</f>
        <v>01-1900</v>
      </c>
      <c r="D1936" s="10" t="str">
        <f>IFERROR(
   INDEX(tbl_ProduitsRef[Cde_Prdt],MATCH(tbl_Ventes[[#This Row],[Produit]],tbl_ProduitsRef[Produit],0)),
   ""
)</f>
        <v/>
      </c>
      <c r="E1936" s="7">
        <v>0</v>
      </c>
      <c r="F1936" s="7" t="str">
        <f>IFERROR(
   INDEX(tbl_ProduitsRef[Prix Menu],MATCH(tbl_Ventes[[#This Row],[Produit]],tbl_ProduitsRef[Produit],0)),
   ""
)</f>
        <v/>
      </c>
      <c r="G1936" s="7">
        <f>tbl_Ventes[[#This Row],[Qté Vendue]] * IFERROR(_xlfn.XLOOKUP(tbl_Ventes[[#This Row],[Cde_Prdt]], tbl_Produits[Cde_Prdt], tbl_Produits[Prix Menu]), 0)</f>
        <v>0</v>
      </c>
      <c r="H1936" s="7">
        <f>IFERROR(_xlfn.XLOOKUP(tbl_Ventes[[#This Row],[Cde_Prdt]], tbl_Produits[Cde_Prdt], tbl_Produits[Coût Moyen Portion]), 0)</f>
        <v>0</v>
      </c>
      <c r="I1936" s="7">
        <f>tbl_Ventes[[#This Row],[Qté Vendue]] * tbl_Ventes[[#This Row],[CMP_par_portion]]</f>
        <v>0</v>
      </c>
      <c r="J1936" s="7">
        <f>tbl_Ventes[[#This Row],[CA ligne]] - tbl_Ventes[[#This Row],[Coût matière ligne]]</f>
        <v>0</v>
      </c>
      <c r="K1936" s="7" t="str">
        <f>IFERROR(INDEX(tbl_ProduitsRef[Famille], MATCH(tbl_Ventes[[#This Row],[Cde_Prdt]], tbl_Produits[Cde_Prdt], 0)), "")</f>
        <v/>
      </c>
    </row>
    <row r="1937" spans="1:11" x14ac:dyDescent="0.25">
      <c r="A1937" s="5"/>
      <c r="B1937" s="63" t="str">
        <f>IFERROR(TEXT(tbl_Ventes[[#This Row],[Date]],"mm-aaaa"),"")</f>
        <v>01-1900</v>
      </c>
      <c r="D1937" s="10" t="str">
        <f>IFERROR(
   INDEX(tbl_ProduitsRef[Cde_Prdt],MATCH(tbl_Ventes[[#This Row],[Produit]],tbl_ProduitsRef[Produit],0)),
   ""
)</f>
        <v/>
      </c>
      <c r="E1937" s="7">
        <v>0</v>
      </c>
      <c r="F1937" s="7" t="str">
        <f>IFERROR(
   INDEX(tbl_ProduitsRef[Prix Menu],MATCH(tbl_Ventes[[#This Row],[Produit]],tbl_ProduitsRef[Produit],0)),
   ""
)</f>
        <v/>
      </c>
      <c r="G1937" s="7">
        <f>tbl_Ventes[[#This Row],[Qté Vendue]] * IFERROR(_xlfn.XLOOKUP(tbl_Ventes[[#This Row],[Cde_Prdt]], tbl_Produits[Cde_Prdt], tbl_Produits[Prix Menu]), 0)</f>
        <v>0</v>
      </c>
      <c r="H1937" s="7">
        <f>IFERROR(_xlfn.XLOOKUP(tbl_Ventes[[#This Row],[Cde_Prdt]], tbl_Produits[Cde_Prdt], tbl_Produits[Coût Moyen Portion]), 0)</f>
        <v>0</v>
      </c>
      <c r="I1937" s="7">
        <f>tbl_Ventes[[#This Row],[Qté Vendue]] * tbl_Ventes[[#This Row],[CMP_par_portion]]</f>
        <v>0</v>
      </c>
      <c r="J1937" s="7">
        <f>tbl_Ventes[[#This Row],[CA ligne]] - tbl_Ventes[[#This Row],[Coût matière ligne]]</f>
        <v>0</v>
      </c>
      <c r="K1937" s="7" t="str">
        <f>IFERROR(INDEX(tbl_ProduitsRef[Famille], MATCH(tbl_Ventes[[#This Row],[Cde_Prdt]], tbl_Produits[Cde_Prdt], 0)), "")</f>
        <v/>
      </c>
    </row>
    <row r="1938" spans="1:11" x14ac:dyDescent="0.25">
      <c r="A1938" s="5"/>
      <c r="B1938" s="63" t="str">
        <f>IFERROR(TEXT(tbl_Ventes[[#This Row],[Date]],"mm-aaaa"),"")</f>
        <v>01-1900</v>
      </c>
      <c r="D1938" s="10" t="str">
        <f>IFERROR(
   INDEX(tbl_ProduitsRef[Cde_Prdt],MATCH(tbl_Ventes[[#This Row],[Produit]],tbl_ProduitsRef[Produit],0)),
   ""
)</f>
        <v/>
      </c>
      <c r="E1938" s="7">
        <v>0</v>
      </c>
      <c r="F1938" s="7" t="str">
        <f>IFERROR(
   INDEX(tbl_ProduitsRef[Prix Menu],MATCH(tbl_Ventes[[#This Row],[Produit]],tbl_ProduitsRef[Produit],0)),
   ""
)</f>
        <v/>
      </c>
      <c r="G1938" s="7">
        <f>tbl_Ventes[[#This Row],[Qté Vendue]] * IFERROR(_xlfn.XLOOKUP(tbl_Ventes[[#This Row],[Cde_Prdt]], tbl_Produits[Cde_Prdt], tbl_Produits[Prix Menu]), 0)</f>
        <v>0</v>
      </c>
      <c r="H1938" s="7">
        <f>IFERROR(_xlfn.XLOOKUP(tbl_Ventes[[#This Row],[Cde_Prdt]], tbl_Produits[Cde_Prdt], tbl_Produits[Coût Moyen Portion]), 0)</f>
        <v>0</v>
      </c>
      <c r="I1938" s="7">
        <f>tbl_Ventes[[#This Row],[Qté Vendue]] * tbl_Ventes[[#This Row],[CMP_par_portion]]</f>
        <v>0</v>
      </c>
      <c r="J1938" s="7">
        <f>tbl_Ventes[[#This Row],[CA ligne]] - tbl_Ventes[[#This Row],[Coût matière ligne]]</f>
        <v>0</v>
      </c>
      <c r="K1938" s="7" t="str">
        <f>IFERROR(INDEX(tbl_ProduitsRef[Famille], MATCH(tbl_Ventes[[#This Row],[Cde_Prdt]], tbl_Produits[Cde_Prdt], 0)), "")</f>
        <v/>
      </c>
    </row>
    <row r="1939" spans="1:11" x14ac:dyDescent="0.25">
      <c r="A1939" s="5"/>
      <c r="B1939" s="63" t="str">
        <f>IFERROR(TEXT(tbl_Ventes[[#This Row],[Date]],"mm-aaaa"),"")</f>
        <v>01-1900</v>
      </c>
      <c r="D1939" s="10" t="str">
        <f>IFERROR(
   INDEX(tbl_ProduitsRef[Cde_Prdt],MATCH(tbl_Ventes[[#This Row],[Produit]],tbl_ProduitsRef[Produit],0)),
   ""
)</f>
        <v/>
      </c>
      <c r="E1939" s="7">
        <v>0</v>
      </c>
      <c r="F1939" s="7" t="str">
        <f>IFERROR(
   INDEX(tbl_ProduitsRef[Prix Menu],MATCH(tbl_Ventes[[#This Row],[Produit]],tbl_ProduitsRef[Produit],0)),
   ""
)</f>
        <v/>
      </c>
      <c r="G1939" s="7">
        <f>tbl_Ventes[[#This Row],[Qté Vendue]] * IFERROR(_xlfn.XLOOKUP(tbl_Ventes[[#This Row],[Cde_Prdt]], tbl_Produits[Cde_Prdt], tbl_Produits[Prix Menu]), 0)</f>
        <v>0</v>
      </c>
      <c r="H1939" s="7">
        <f>IFERROR(_xlfn.XLOOKUP(tbl_Ventes[[#This Row],[Cde_Prdt]], tbl_Produits[Cde_Prdt], tbl_Produits[Coût Moyen Portion]), 0)</f>
        <v>0</v>
      </c>
      <c r="I1939" s="7">
        <f>tbl_Ventes[[#This Row],[Qté Vendue]] * tbl_Ventes[[#This Row],[CMP_par_portion]]</f>
        <v>0</v>
      </c>
      <c r="J1939" s="7">
        <f>tbl_Ventes[[#This Row],[CA ligne]] - tbl_Ventes[[#This Row],[Coût matière ligne]]</f>
        <v>0</v>
      </c>
      <c r="K1939" s="7" t="str">
        <f>IFERROR(INDEX(tbl_ProduitsRef[Famille], MATCH(tbl_Ventes[[#This Row],[Cde_Prdt]], tbl_Produits[Cde_Prdt], 0)), "")</f>
        <v/>
      </c>
    </row>
    <row r="1940" spans="1:11" x14ac:dyDescent="0.25">
      <c r="A1940" s="5"/>
      <c r="B1940" s="63" t="str">
        <f>IFERROR(TEXT(tbl_Ventes[[#This Row],[Date]],"mm-aaaa"),"")</f>
        <v>01-1900</v>
      </c>
      <c r="D1940" s="10" t="str">
        <f>IFERROR(
   INDEX(tbl_ProduitsRef[Cde_Prdt],MATCH(tbl_Ventes[[#This Row],[Produit]],tbl_ProduitsRef[Produit],0)),
   ""
)</f>
        <v/>
      </c>
      <c r="E1940" s="7">
        <v>0</v>
      </c>
      <c r="F1940" s="7" t="str">
        <f>IFERROR(
   INDEX(tbl_ProduitsRef[Prix Menu],MATCH(tbl_Ventes[[#This Row],[Produit]],tbl_ProduitsRef[Produit],0)),
   ""
)</f>
        <v/>
      </c>
      <c r="G1940" s="7">
        <f>tbl_Ventes[[#This Row],[Qté Vendue]] * IFERROR(_xlfn.XLOOKUP(tbl_Ventes[[#This Row],[Cde_Prdt]], tbl_Produits[Cde_Prdt], tbl_Produits[Prix Menu]), 0)</f>
        <v>0</v>
      </c>
      <c r="H1940" s="7">
        <f>IFERROR(_xlfn.XLOOKUP(tbl_Ventes[[#This Row],[Cde_Prdt]], tbl_Produits[Cde_Prdt], tbl_Produits[Coût Moyen Portion]), 0)</f>
        <v>0</v>
      </c>
      <c r="I1940" s="7">
        <f>tbl_Ventes[[#This Row],[Qté Vendue]] * tbl_Ventes[[#This Row],[CMP_par_portion]]</f>
        <v>0</v>
      </c>
      <c r="J1940" s="7">
        <f>tbl_Ventes[[#This Row],[CA ligne]] - tbl_Ventes[[#This Row],[Coût matière ligne]]</f>
        <v>0</v>
      </c>
      <c r="K1940" s="7" t="str">
        <f>IFERROR(INDEX(tbl_ProduitsRef[Famille], MATCH(tbl_Ventes[[#This Row],[Cde_Prdt]], tbl_Produits[Cde_Prdt], 0)), "")</f>
        <v/>
      </c>
    </row>
    <row r="1941" spans="1:11" x14ac:dyDescent="0.25">
      <c r="A1941" s="5"/>
      <c r="B1941" s="63" t="str">
        <f>IFERROR(TEXT(tbl_Ventes[[#This Row],[Date]],"mm-aaaa"),"")</f>
        <v>01-1900</v>
      </c>
      <c r="D1941" s="10" t="str">
        <f>IFERROR(
   INDEX(tbl_ProduitsRef[Cde_Prdt],MATCH(tbl_Ventes[[#This Row],[Produit]],tbl_ProduitsRef[Produit],0)),
   ""
)</f>
        <v/>
      </c>
      <c r="E1941" s="7">
        <v>0</v>
      </c>
      <c r="F1941" s="7" t="str">
        <f>IFERROR(
   INDEX(tbl_ProduitsRef[Prix Menu],MATCH(tbl_Ventes[[#This Row],[Produit]],tbl_ProduitsRef[Produit],0)),
   ""
)</f>
        <v/>
      </c>
      <c r="G1941" s="7">
        <f>tbl_Ventes[[#This Row],[Qté Vendue]] * IFERROR(_xlfn.XLOOKUP(tbl_Ventes[[#This Row],[Cde_Prdt]], tbl_Produits[Cde_Prdt], tbl_Produits[Prix Menu]), 0)</f>
        <v>0</v>
      </c>
      <c r="H1941" s="7">
        <f>IFERROR(_xlfn.XLOOKUP(tbl_Ventes[[#This Row],[Cde_Prdt]], tbl_Produits[Cde_Prdt], tbl_Produits[Coût Moyen Portion]), 0)</f>
        <v>0</v>
      </c>
      <c r="I1941" s="7">
        <f>tbl_Ventes[[#This Row],[Qté Vendue]] * tbl_Ventes[[#This Row],[CMP_par_portion]]</f>
        <v>0</v>
      </c>
      <c r="J1941" s="7">
        <f>tbl_Ventes[[#This Row],[CA ligne]] - tbl_Ventes[[#This Row],[Coût matière ligne]]</f>
        <v>0</v>
      </c>
      <c r="K1941" s="7" t="str">
        <f>IFERROR(INDEX(tbl_ProduitsRef[Famille], MATCH(tbl_Ventes[[#This Row],[Cde_Prdt]], tbl_Produits[Cde_Prdt], 0)), "")</f>
        <v/>
      </c>
    </row>
    <row r="1942" spans="1:11" x14ac:dyDescent="0.25">
      <c r="A1942" s="5"/>
      <c r="B1942" s="63" t="str">
        <f>IFERROR(TEXT(tbl_Ventes[[#This Row],[Date]],"mm-aaaa"),"")</f>
        <v>01-1900</v>
      </c>
      <c r="D1942" s="10" t="str">
        <f>IFERROR(
   INDEX(tbl_ProduitsRef[Cde_Prdt],MATCH(tbl_Ventes[[#This Row],[Produit]],tbl_ProduitsRef[Produit],0)),
   ""
)</f>
        <v/>
      </c>
      <c r="E1942" s="7">
        <v>0</v>
      </c>
      <c r="F1942" s="7" t="str">
        <f>IFERROR(
   INDEX(tbl_ProduitsRef[Prix Menu],MATCH(tbl_Ventes[[#This Row],[Produit]],tbl_ProduitsRef[Produit],0)),
   ""
)</f>
        <v/>
      </c>
      <c r="G1942" s="7">
        <f>tbl_Ventes[[#This Row],[Qté Vendue]] * IFERROR(_xlfn.XLOOKUP(tbl_Ventes[[#This Row],[Cde_Prdt]], tbl_Produits[Cde_Prdt], tbl_Produits[Prix Menu]), 0)</f>
        <v>0</v>
      </c>
      <c r="H1942" s="7">
        <f>IFERROR(_xlfn.XLOOKUP(tbl_Ventes[[#This Row],[Cde_Prdt]], tbl_Produits[Cde_Prdt], tbl_Produits[Coût Moyen Portion]), 0)</f>
        <v>0</v>
      </c>
      <c r="I1942" s="7">
        <f>tbl_Ventes[[#This Row],[Qté Vendue]] * tbl_Ventes[[#This Row],[CMP_par_portion]]</f>
        <v>0</v>
      </c>
      <c r="J1942" s="7">
        <f>tbl_Ventes[[#This Row],[CA ligne]] - tbl_Ventes[[#This Row],[Coût matière ligne]]</f>
        <v>0</v>
      </c>
      <c r="K1942" s="7" t="str">
        <f>IFERROR(INDEX(tbl_ProduitsRef[Famille], MATCH(tbl_Ventes[[#This Row],[Cde_Prdt]], tbl_Produits[Cde_Prdt], 0)), "")</f>
        <v/>
      </c>
    </row>
    <row r="1943" spans="1:11" x14ac:dyDescent="0.25">
      <c r="A1943" s="5"/>
      <c r="B1943" s="63" t="str">
        <f>IFERROR(TEXT(tbl_Ventes[[#This Row],[Date]],"mm-aaaa"),"")</f>
        <v>01-1900</v>
      </c>
      <c r="D1943" s="10" t="str">
        <f>IFERROR(
   INDEX(tbl_ProduitsRef[Cde_Prdt],MATCH(tbl_Ventes[[#This Row],[Produit]],tbl_ProduitsRef[Produit],0)),
   ""
)</f>
        <v/>
      </c>
      <c r="E1943" s="7">
        <v>0</v>
      </c>
      <c r="F1943" s="7" t="str">
        <f>IFERROR(
   INDEX(tbl_ProduitsRef[Prix Menu],MATCH(tbl_Ventes[[#This Row],[Produit]],tbl_ProduitsRef[Produit],0)),
   ""
)</f>
        <v/>
      </c>
      <c r="G1943" s="7">
        <f>tbl_Ventes[[#This Row],[Qté Vendue]] * IFERROR(_xlfn.XLOOKUP(tbl_Ventes[[#This Row],[Cde_Prdt]], tbl_Produits[Cde_Prdt], tbl_Produits[Prix Menu]), 0)</f>
        <v>0</v>
      </c>
      <c r="H1943" s="7">
        <f>IFERROR(_xlfn.XLOOKUP(tbl_Ventes[[#This Row],[Cde_Prdt]], tbl_Produits[Cde_Prdt], tbl_Produits[Coût Moyen Portion]), 0)</f>
        <v>0</v>
      </c>
      <c r="I1943" s="7">
        <f>tbl_Ventes[[#This Row],[Qté Vendue]] * tbl_Ventes[[#This Row],[CMP_par_portion]]</f>
        <v>0</v>
      </c>
      <c r="J1943" s="7">
        <f>tbl_Ventes[[#This Row],[CA ligne]] - tbl_Ventes[[#This Row],[Coût matière ligne]]</f>
        <v>0</v>
      </c>
      <c r="K1943" s="7" t="str">
        <f>IFERROR(INDEX(tbl_ProduitsRef[Famille], MATCH(tbl_Ventes[[#This Row],[Cde_Prdt]], tbl_Produits[Cde_Prdt], 0)), "")</f>
        <v/>
      </c>
    </row>
    <row r="1944" spans="1:11" x14ac:dyDescent="0.25">
      <c r="A1944" s="5"/>
      <c r="B1944" s="63" t="str">
        <f>IFERROR(TEXT(tbl_Ventes[[#This Row],[Date]],"mm-aaaa"),"")</f>
        <v>01-1900</v>
      </c>
      <c r="D1944" s="10" t="str">
        <f>IFERROR(
   INDEX(tbl_ProduitsRef[Cde_Prdt],MATCH(tbl_Ventes[[#This Row],[Produit]],tbl_ProduitsRef[Produit],0)),
   ""
)</f>
        <v/>
      </c>
      <c r="E1944" s="7">
        <v>0</v>
      </c>
      <c r="F1944" s="7" t="str">
        <f>IFERROR(
   INDEX(tbl_ProduitsRef[Prix Menu],MATCH(tbl_Ventes[[#This Row],[Produit]],tbl_ProduitsRef[Produit],0)),
   ""
)</f>
        <v/>
      </c>
      <c r="G1944" s="7">
        <f>tbl_Ventes[[#This Row],[Qté Vendue]] * IFERROR(_xlfn.XLOOKUP(tbl_Ventes[[#This Row],[Cde_Prdt]], tbl_Produits[Cde_Prdt], tbl_Produits[Prix Menu]), 0)</f>
        <v>0</v>
      </c>
      <c r="H1944" s="7">
        <f>IFERROR(_xlfn.XLOOKUP(tbl_Ventes[[#This Row],[Cde_Prdt]], tbl_Produits[Cde_Prdt], tbl_Produits[Coût Moyen Portion]), 0)</f>
        <v>0</v>
      </c>
      <c r="I1944" s="7">
        <f>tbl_Ventes[[#This Row],[Qté Vendue]] * tbl_Ventes[[#This Row],[CMP_par_portion]]</f>
        <v>0</v>
      </c>
      <c r="J1944" s="7">
        <f>tbl_Ventes[[#This Row],[CA ligne]] - tbl_Ventes[[#This Row],[Coût matière ligne]]</f>
        <v>0</v>
      </c>
      <c r="K1944" s="7" t="str">
        <f>IFERROR(INDEX(tbl_ProduitsRef[Famille], MATCH(tbl_Ventes[[#This Row],[Cde_Prdt]], tbl_Produits[Cde_Prdt], 0)), "")</f>
        <v/>
      </c>
    </row>
    <row r="1945" spans="1:11" x14ac:dyDescent="0.25">
      <c r="A1945" s="5"/>
      <c r="B1945" s="63" t="str">
        <f>IFERROR(TEXT(tbl_Ventes[[#This Row],[Date]],"mm-aaaa"),"")</f>
        <v>01-1900</v>
      </c>
      <c r="D1945" s="10" t="str">
        <f>IFERROR(
   INDEX(tbl_ProduitsRef[Cde_Prdt],MATCH(tbl_Ventes[[#This Row],[Produit]],tbl_ProduitsRef[Produit],0)),
   ""
)</f>
        <v/>
      </c>
      <c r="E1945" s="7">
        <v>0</v>
      </c>
      <c r="F1945" s="7" t="str">
        <f>IFERROR(
   INDEX(tbl_ProduitsRef[Prix Menu],MATCH(tbl_Ventes[[#This Row],[Produit]],tbl_ProduitsRef[Produit],0)),
   ""
)</f>
        <v/>
      </c>
      <c r="G1945" s="7">
        <f>tbl_Ventes[[#This Row],[Qté Vendue]] * IFERROR(_xlfn.XLOOKUP(tbl_Ventes[[#This Row],[Cde_Prdt]], tbl_Produits[Cde_Prdt], tbl_Produits[Prix Menu]), 0)</f>
        <v>0</v>
      </c>
      <c r="H1945" s="7">
        <f>IFERROR(_xlfn.XLOOKUP(tbl_Ventes[[#This Row],[Cde_Prdt]], tbl_Produits[Cde_Prdt], tbl_Produits[Coût Moyen Portion]), 0)</f>
        <v>0</v>
      </c>
      <c r="I1945" s="7">
        <f>tbl_Ventes[[#This Row],[Qté Vendue]] * tbl_Ventes[[#This Row],[CMP_par_portion]]</f>
        <v>0</v>
      </c>
      <c r="J1945" s="7">
        <f>tbl_Ventes[[#This Row],[CA ligne]] - tbl_Ventes[[#This Row],[Coût matière ligne]]</f>
        <v>0</v>
      </c>
      <c r="K1945" s="7" t="str">
        <f>IFERROR(INDEX(tbl_ProduitsRef[Famille], MATCH(tbl_Ventes[[#This Row],[Cde_Prdt]], tbl_Produits[Cde_Prdt], 0)), "")</f>
        <v/>
      </c>
    </row>
    <row r="1946" spans="1:11" x14ac:dyDescent="0.25">
      <c r="A1946" s="5"/>
      <c r="B1946" s="63" t="str">
        <f>IFERROR(TEXT(tbl_Ventes[[#This Row],[Date]],"mm-aaaa"),"")</f>
        <v>01-1900</v>
      </c>
      <c r="D1946" s="10" t="str">
        <f>IFERROR(
   INDEX(tbl_ProduitsRef[Cde_Prdt],MATCH(tbl_Ventes[[#This Row],[Produit]],tbl_ProduitsRef[Produit],0)),
   ""
)</f>
        <v/>
      </c>
      <c r="E1946" s="7">
        <v>0</v>
      </c>
      <c r="F1946" s="7" t="str">
        <f>IFERROR(
   INDEX(tbl_ProduitsRef[Prix Menu],MATCH(tbl_Ventes[[#This Row],[Produit]],tbl_ProduitsRef[Produit],0)),
   ""
)</f>
        <v/>
      </c>
      <c r="G1946" s="7">
        <f>tbl_Ventes[[#This Row],[Qté Vendue]] * IFERROR(_xlfn.XLOOKUP(tbl_Ventes[[#This Row],[Cde_Prdt]], tbl_Produits[Cde_Prdt], tbl_Produits[Prix Menu]), 0)</f>
        <v>0</v>
      </c>
      <c r="H1946" s="7">
        <f>IFERROR(_xlfn.XLOOKUP(tbl_Ventes[[#This Row],[Cde_Prdt]], tbl_Produits[Cde_Prdt], tbl_Produits[Coût Moyen Portion]), 0)</f>
        <v>0</v>
      </c>
      <c r="I1946" s="7">
        <f>tbl_Ventes[[#This Row],[Qté Vendue]] * tbl_Ventes[[#This Row],[CMP_par_portion]]</f>
        <v>0</v>
      </c>
      <c r="J1946" s="7">
        <f>tbl_Ventes[[#This Row],[CA ligne]] - tbl_Ventes[[#This Row],[Coût matière ligne]]</f>
        <v>0</v>
      </c>
      <c r="K1946" s="7" t="str">
        <f>IFERROR(INDEX(tbl_ProduitsRef[Famille], MATCH(tbl_Ventes[[#This Row],[Cde_Prdt]], tbl_Produits[Cde_Prdt], 0)), "")</f>
        <v/>
      </c>
    </row>
    <row r="1947" spans="1:11" x14ac:dyDescent="0.25">
      <c r="A1947" s="5"/>
      <c r="B1947" s="63" t="str">
        <f>IFERROR(TEXT(tbl_Ventes[[#This Row],[Date]],"mm-aaaa"),"")</f>
        <v>01-1900</v>
      </c>
      <c r="D1947" s="10" t="str">
        <f>IFERROR(
   INDEX(tbl_ProduitsRef[Cde_Prdt],MATCH(tbl_Ventes[[#This Row],[Produit]],tbl_ProduitsRef[Produit],0)),
   ""
)</f>
        <v/>
      </c>
      <c r="E1947" s="7">
        <v>0</v>
      </c>
      <c r="F1947" s="7" t="str">
        <f>IFERROR(
   INDEX(tbl_ProduitsRef[Prix Menu],MATCH(tbl_Ventes[[#This Row],[Produit]],tbl_ProduitsRef[Produit],0)),
   ""
)</f>
        <v/>
      </c>
      <c r="G1947" s="7">
        <f>tbl_Ventes[[#This Row],[Qté Vendue]] * IFERROR(_xlfn.XLOOKUP(tbl_Ventes[[#This Row],[Cde_Prdt]], tbl_Produits[Cde_Prdt], tbl_Produits[Prix Menu]), 0)</f>
        <v>0</v>
      </c>
      <c r="H1947" s="7">
        <f>IFERROR(_xlfn.XLOOKUP(tbl_Ventes[[#This Row],[Cde_Prdt]], tbl_Produits[Cde_Prdt], tbl_Produits[Coût Moyen Portion]), 0)</f>
        <v>0</v>
      </c>
      <c r="I1947" s="7">
        <f>tbl_Ventes[[#This Row],[Qté Vendue]] * tbl_Ventes[[#This Row],[CMP_par_portion]]</f>
        <v>0</v>
      </c>
      <c r="J1947" s="7">
        <f>tbl_Ventes[[#This Row],[CA ligne]] - tbl_Ventes[[#This Row],[Coût matière ligne]]</f>
        <v>0</v>
      </c>
      <c r="K1947" s="7" t="str">
        <f>IFERROR(INDEX(tbl_ProduitsRef[Famille], MATCH(tbl_Ventes[[#This Row],[Cde_Prdt]], tbl_Produits[Cde_Prdt], 0)), "")</f>
        <v/>
      </c>
    </row>
    <row r="1948" spans="1:11" x14ac:dyDescent="0.25">
      <c r="A1948" s="5"/>
      <c r="B1948" s="63" t="str">
        <f>IFERROR(TEXT(tbl_Ventes[[#This Row],[Date]],"mm-aaaa"),"")</f>
        <v>01-1900</v>
      </c>
      <c r="D1948" s="10" t="str">
        <f>IFERROR(
   INDEX(tbl_ProduitsRef[Cde_Prdt],MATCH(tbl_Ventes[[#This Row],[Produit]],tbl_ProduitsRef[Produit],0)),
   ""
)</f>
        <v/>
      </c>
      <c r="E1948" s="7">
        <v>0</v>
      </c>
      <c r="F1948" s="7" t="str">
        <f>IFERROR(
   INDEX(tbl_ProduitsRef[Prix Menu],MATCH(tbl_Ventes[[#This Row],[Produit]],tbl_ProduitsRef[Produit],0)),
   ""
)</f>
        <v/>
      </c>
      <c r="G1948" s="7">
        <f>tbl_Ventes[[#This Row],[Qté Vendue]] * IFERROR(_xlfn.XLOOKUP(tbl_Ventes[[#This Row],[Cde_Prdt]], tbl_Produits[Cde_Prdt], tbl_Produits[Prix Menu]), 0)</f>
        <v>0</v>
      </c>
      <c r="H1948" s="7">
        <f>IFERROR(_xlfn.XLOOKUP(tbl_Ventes[[#This Row],[Cde_Prdt]], tbl_Produits[Cde_Prdt], tbl_Produits[Coût Moyen Portion]), 0)</f>
        <v>0</v>
      </c>
      <c r="I1948" s="7">
        <f>tbl_Ventes[[#This Row],[Qté Vendue]] * tbl_Ventes[[#This Row],[CMP_par_portion]]</f>
        <v>0</v>
      </c>
      <c r="J1948" s="7">
        <f>tbl_Ventes[[#This Row],[CA ligne]] - tbl_Ventes[[#This Row],[Coût matière ligne]]</f>
        <v>0</v>
      </c>
      <c r="K1948" s="7" t="str">
        <f>IFERROR(INDEX(tbl_ProduitsRef[Famille], MATCH(tbl_Ventes[[#This Row],[Cde_Prdt]], tbl_Produits[Cde_Prdt], 0)), "")</f>
        <v/>
      </c>
    </row>
    <row r="1949" spans="1:11" x14ac:dyDescent="0.25">
      <c r="A1949" s="5"/>
      <c r="B1949" s="63" t="str">
        <f>IFERROR(TEXT(tbl_Ventes[[#This Row],[Date]],"mm-aaaa"),"")</f>
        <v>01-1900</v>
      </c>
      <c r="D1949" s="10" t="str">
        <f>IFERROR(
   INDEX(tbl_ProduitsRef[Cde_Prdt],MATCH(tbl_Ventes[[#This Row],[Produit]],tbl_ProduitsRef[Produit],0)),
   ""
)</f>
        <v/>
      </c>
      <c r="E1949" s="7">
        <v>0</v>
      </c>
      <c r="F1949" s="7" t="str">
        <f>IFERROR(
   INDEX(tbl_ProduitsRef[Prix Menu],MATCH(tbl_Ventes[[#This Row],[Produit]],tbl_ProduitsRef[Produit],0)),
   ""
)</f>
        <v/>
      </c>
      <c r="G1949" s="7">
        <f>tbl_Ventes[[#This Row],[Qté Vendue]] * IFERROR(_xlfn.XLOOKUP(tbl_Ventes[[#This Row],[Cde_Prdt]], tbl_Produits[Cde_Prdt], tbl_Produits[Prix Menu]), 0)</f>
        <v>0</v>
      </c>
      <c r="H1949" s="7">
        <f>IFERROR(_xlfn.XLOOKUP(tbl_Ventes[[#This Row],[Cde_Prdt]], tbl_Produits[Cde_Prdt], tbl_Produits[Coût Moyen Portion]), 0)</f>
        <v>0</v>
      </c>
      <c r="I1949" s="7">
        <f>tbl_Ventes[[#This Row],[Qté Vendue]] * tbl_Ventes[[#This Row],[CMP_par_portion]]</f>
        <v>0</v>
      </c>
      <c r="J1949" s="7">
        <f>tbl_Ventes[[#This Row],[CA ligne]] - tbl_Ventes[[#This Row],[Coût matière ligne]]</f>
        <v>0</v>
      </c>
      <c r="K1949" s="7" t="str">
        <f>IFERROR(INDEX(tbl_ProduitsRef[Famille], MATCH(tbl_Ventes[[#This Row],[Cde_Prdt]], tbl_Produits[Cde_Prdt], 0)), "")</f>
        <v/>
      </c>
    </row>
    <row r="1950" spans="1:11" x14ac:dyDescent="0.25">
      <c r="A1950" s="5"/>
      <c r="B1950" s="63" t="str">
        <f>IFERROR(TEXT(tbl_Ventes[[#This Row],[Date]],"mm-aaaa"),"")</f>
        <v>01-1900</v>
      </c>
      <c r="D1950" s="10" t="str">
        <f>IFERROR(
   INDEX(tbl_ProduitsRef[Cde_Prdt],MATCH(tbl_Ventes[[#This Row],[Produit]],tbl_ProduitsRef[Produit],0)),
   ""
)</f>
        <v/>
      </c>
      <c r="E1950" s="7">
        <v>0</v>
      </c>
      <c r="F1950" s="7" t="str">
        <f>IFERROR(
   INDEX(tbl_ProduitsRef[Prix Menu],MATCH(tbl_Ventes[[#This Row],[Produit]],tbl_ProduitsRef[Produit],0)),
   ""
)</f>
        <v/>
      </c>
      <c r="G1950" s="7">
        <f>tbl_Ventes[[#This Row],[Qté Vendue]] * IFERROR(_xlfn.XLOOKUP(tbl_Ventes[[#This Row],[Cde_Prdt]], tbl_Produits[Cde_Prdt], tbl_Produits[Prix Menu]), 0)</f>
        <v>0</v>
      </c>
      <c r="H1950" s="7">
        <f>IFERROR(_xlfn.XLOOKUP(tbl_Ventes[[#This Row],[Cde_Prdt]], tbl_Produits[Cde_Prdt], tbl_Produits[Coût Moyen Portion]), 0)</f>
        <v>0</v>
      </c>
      <c r="I1950" s="7">
        <f>tbl_Ventes[[#This Row],[Qté Vendue]] * tbl_Ventes[[#This Row],[CMP_par_portion]]</f>
        <v>0</v>
      </c>
      <c r="J1950" s="7">
        <f>tbl_Ventes[[#This Row],[CA ligne]] - tbl_Ventes[[#This Row],[Coût matière ligne]]</f>
        <v>0</v>
      </c>
      <c r="K1950" s="7" t="str">
        <f>IFERROR(INDEX(tbl_ProduitsRef[Famille], MATCH(tbl_Ventes[[#This Row],[Cde_Prdt]], tbl_Produits[Cde_Prdt], 0)), "")</f>
        <v/>
      </c>
    </row>
    <row r="1951" spans="1:11" x14ac:dyDescent="0.25">
      <c r="A1951" s="5"/>
      <c r="B1951" s="63" t="str">
        <f>IFERROR(TEXT(tbl_Ventes[[#This Row],[Date]],"mm-aaaa"),"")</f>
        <v>01-1900</v>
      </c>
      <c r="D1951" s="10" t="str">
        <f>IFERROR(
   INDEX(tbl_ProduitsRef[Cde_Prdt],MATCH(tbl_Ventes[[#This Row],[Produit]],tbl_ProduitsRef[Produit],0)),
   ""
)</f>
        <v/>
      </c>
      <c r="E1951" s="7">
        <v>0</v>
      </c>
      <c r="F1951" s="7" t="str">
        <f>IFERROR(
   INDEX(tbl_ProduitsRef[Prix Menu],MATCH(tbl_Ventes[[#This Row],[Produit]],tbl_ProduitsRef[Produit],0)),
   ""
)</f>
        <v/>
      </c>
      <c r="G1951" s="7">
        <f>tbl_Ventes[[#This Row],[Qté Vendue]] * IFERROR(_xlfn.XLOOKUP(tbl_Ventes[[#This Row],[Cde_Prdt]], tbl_Produits[Cde_Prdt], tbl_Produits[Prix Menu]), 0)</f>
        <v>0</v>
      </c>
      <c r="H1951" s="7">
        <f>IFERROR(_xlfn.XLOOKUP(tbl_Ventes[[#This Row],[Cde_Prdt]], tbl_Produits[Cde_Prdt], tbl_Produits[Coût Moyen Portion]), 0)</f>
        <v>0</v>
      </c>
      <c r="I1951" s="7">
        <f>tbl_Ventes[[#This Row],[Qté Vendue]] * tbl_Ventes[[#This Row],[CMP_par_portion]]</f>
        <v>0</v>
      </c>
      <c r="J1951" s="7">
        <f>tbl_Ventes[[#This Row],[CA ligne]] - tbl_Ventes[[#This Row],[Coût matière ligne]]</f>
        <v>0</v>
      </c>
      <c r="K1951" s="7" t="str">
        <f>IFERROR(INDEX(tbl_ProduitsRef[Famille], MATCH(tbl_Ventes[[#This Row],[Cde_Prdt]], tbl_Produits[Cde_Prdt], 0)), "")</f>
        <v/>
      </c>
    </row>
    <row r="1952" spans="1:11" x14ac:dyDescent="0.25">
      <c r="A1952" s="5"/>
      <c r="B1952" s="63" t="str">
        <f>IFERROR(TEXT(tbl_Ventes[[#This Row],[Date]],"mm-aaaa"),"")</f>
        <v>01-1900</v>
      </c>
      <c r="D1952" s="10" t="str">
        <f>IFERROR(
   INDEX(tbl_ProduitsRef[Cde_Prdt],MATCH(tbl_Ventes[[#This Row],[Produit]],tbl_ProduitsRef[Produit],0)),
   ""
)</f>
        <v/>
      </c>
      <c r="E1952" s="7">
        <v>0</v>
      </c>
      <c r="F1952" s="7" t="str">
        <f>IFERROR(
   INDEX(tbl_ProduitsRef[Prix Menu],MATCH(tbl_Ventes[[#This Row],[Produit]],tbl_ProduitsRef[Produit],0)),
   ""
)</f>
        <v/>
      </c>
      <c r="G1952" s="7">
        <f>tbl_Ventes[[#This Row],[Qté Vendue]] * IFERROR(_xlfn.XLOOKUP(tbl_Ventes[[#This Row],[Cde_Prdt]], tbl_Produits[Cde_Prdt], tbl_Produits[Prix Menu]), 0)</f>
        <v>0</v>
      </c>
      <c r="H1952" s="7">
        <f>IFERROR(_xlfn.XLOOKUP(tbl_Ventes[[#This Row],[Cde_Prdt]], tbl_Produits[Cde_Prdt], tbl_Produits[Coût Moyen Portion]), 0)</f>
        <v>0</v>
      </c>
      <c r="I1952" s="7">
        <f>tbl_Ventes[[#This Row],[Qté Vendue]] * tbl_Ventes[[#This Row],[CMP_par_portion]]</f>
        <v>0</v>
      </c>
      <c r="J1952" s="7">
        <f>tbl_Ventes[[#This Row],[CA ligne]] - tbl_Ventes[[#This Row],[Coût matière ligne]]</f>
        <v>0</v>
      </c>
      <c r="K1952" s="7" t="str">
        <f>IFERROR(INDEX(tbl_ProduitsRef[Famille], MATCH(tbl_Ventes[[#This Row],[Cde_Prdt]], tbl_Produits[Cde_Prdt], 0)), "")</f>
        <v/>
      </c>
    </row>
    <row r="1953" spans="1:11" x14ac:dyDescent="0.25">
      <c r="A1953" s="5"/>
      <c r="B1953" s="63" t="str">
        <f>IFERROR(TEXT(tbl_Ventes[[#This Row],[Date]],"mm-aaaa"),"")</f>
        <v>01-1900</v>
      </c>
      <c r="D1953" s="10" t="str">
        <f>IFERROR(
   INDEX(tbl_ProduitsRef[Cde_Prdt],MATCH(tbl_Ventes[[#This Row],[Produit]],tbl_ProduitsRef[Produit],0)),
   ""
)</f>
        <v/>
      </c>
      <c r="E1953" s="7">
        <v>0</v>
      </c>
      <c r="F1953" s="7" t="str">
        <f>IFERROR(
   INDEX(tbl_ProduitsRef[Prix Menu],MATCH(tbl_Ventes[[#This Row],[Produit]],tbl_ProduitsRef[Produit],0)),
   ""
)</f>
        <v/>
      </c>
      <c r="G1953" s="7">
        <f>tbl_Ventes[[#This Row],[Qté Vendue]] * IFERROR(_xlfn.XLOOKUP(tbl_Ventes[[#This Row],[Cde_Prdt]], tbl_Produits[Cde_Prdt], tbl_Produits[Prix Menu]), 0)</f>
        <v>0</v>
      </c>
      <c r="H1953" s="7">
        <f>IFERROR(_xlfn.XLOOKUP(tbl_Ventes[[#This Row],[Cde_Prdt]], tbl_Produits[Cde_Prdt], tbl_Produits[Coût Moyen Portion]), 0)</f>
        <v>0</v>
      </c>
      <c r="I1953" s="7">
        <f>tbl_Ventes[[#This Row],[Qté Vendue]] * tbl_Ventes[[#This Row],[CMP_par_portion]]</f>
        <v>0</v>
      </c>
      <c r="J1953" s="7">
        <f>tbl_Ventes[[#This Row],[CA ligne]] - tbl_Ventes[[#This Row],[Coût matière ligne]]</f>
        <v>0</v>
      </c>
      <c r="K1953" s="7" t="str">
        <f>IFERROR(INDEX(tbl_ProduitsRef[Famille], MATCH(tbl_Ventes[[#This Row],[Cde_Prdt]], tbl_Produits[Cde_Prdt], 0)), "")</f>
        <v/>
      </c>
    </row>
    <row r="1954" spans="1:11" x14ac:dyDescent="0.25">
      <c r="A1954" s="5"/>
      <c r="B1954" s="63" t="str">
        <f>IFERROR(TEXT(tbl_Ventes[[#This Row],[Date]],"mm-aaaa"),"")</f>
        <v>01-1900</v>
      </c>
      <c r="D1954" s="10" t="str">
        <f>IFERROR(
   INDEX(tbl_ProduitsRef[Cde_Prdt],MATCH(tbl_Ventes[[#This Row],[Produit]],tbl_ProduitsRef[Produit],0)),
   ""
)</f>
        <v/>
      </c>
      <c r="E1954" s="7">
        <v>0</v>
      </c>
      <c r="F1954" s="7" t="str">
        <f>IFERROR(
   INDEX(tbl_ProduitsRef[Prix Menu],MATCH(tbl_Ventes[[#This Row],[Produit]],tbl_ProduitsRef[Produit],0)),
   ""
)</f>
        <v/>
      </c>
      <c r="G1954" s="7">
        <f>tbl_Ventes[[#This Row],[Qté Vendue]] * IFERROR(_xlfn.XLOOKUP(tbl_Ventes[[#This Row],[Cde_Prdt]], tbl_Produits[Cde_Prdt], tbl_Produits[Prix Menu]), 0)</f>
        <v>0</v>
      </c>
      <c r="H1954" s="7">
        <f>IFERROR(_xlfn.XLOOKUP(tbl_Ventes[[#This Row],[Cde_Prdt]], tbl_Produits[Cde_Prdt], tbl_Produits[Coût Moyen Portion]), 0)</f>
        <v>0</v>
      </c>
      <c r="I1954" s="7">
        <f>tbl_Ventes[[#This Row],[Qté Vendue]] * tbl_Ventes[[#This Row],[CMP_par_portion]]</f>
        <v>0</v>
      </c>
      <c r="J1954" s="7">
        <f>tbl_Ventes[[#This Row],[CA ligne]] - tbl_Ventes[[#This Row],[Coût matière ligne]]</f>
        <v>0</v>
      </c>
      <c r="K1954" s="7" t="str">
        <f>IFERROR(INDEX(tbl_ProduitsRef[Famille], MATCH(tbl_Ventes[[#This Row],[Cde_Prdt]], tbl_Produits[Cde_Prdt], 0)), "")</f>
        <v/>
      </c>
    </row>
    <row r="1955" spans="1:11" x14ac:dyDescent="0.25">
      <c r="A1955" s="5"/>
      <c r="B1955" s="63" t="str">
        <f>IFERROR(TEXT(tbl_Ventes[[#This Row],[Date]],"mm-aaaa"),"")</f>
        <v>01-1900</v>
      </c>
      <c r="D1955" s="10" t="str">
        <f>IFERROR(
   INDEX(tbl_ProduitsRef[Cde_Prdt],MATCH(tbl_Ventes[[#This Row],[Produit]],tbl_ProduitsRef[Produit],0)),
   ""
)</f>
        <v/>
      </c>
      <c r="E1955" s="7">
        <v>0</v>
      </c>
      <c r="F1955" s="7" t="str">
        <f>IFERROR(
   INDEX(tbl_ProduitsRef[Prix Menu],MATCH(tbl_Ventes[[#This Row],[Produit]],tbl_ProduitsRef[Produit],0)),
   ""
)</f>
        <v/>
      </c>
      <c r="G1955" s="7">
        <f>tbl_Ventes[[#This Row],[Qté Vendue]] * IFERROR(_xlfn.XLOOKUP(tbl_Ventes[[#This Row],[Cde_Prdt]], tbl_Produits[Cde_Prdt], tbl_Produits[Prix Menu]), 0)</f>
        <v>0</v>
      </c>
      <c r="H1955" s="7">
        <f>IFERROR(_xlfn.XLOOKUP(tbl_Ventes[[#This Row],[Cde_Prdt]], tbl_Produits[Cde_Prdt], tbl_Produits[Coût Moyen Portion]), 0)</f>
        <v>0</v>
      </c>
      <c r="I1955" s="7">
        <f>tbl_Ventes[[#This Row],[Qté Vendue]] * tbl_Ventes[[#This Row],[CMP_par_portion]]</f>
        <v>0</v>
      </c>
      <c r="J1955" s="7">
        <f>tbl_Ventes[[#This Row],[CA ligne]] - tbl_Ventes[[#This Row],[Coût matière ligne]]</f>
        <v>0</v>
      </c>
      <c r="K1955" s="7" t="str">
        <f>IFERROR(INDEX(tbl_ProduitsRef[Famille], MATCH(tbl_Ventes[[#This Row],[Cde_Prdt]], tbl_Produits[Cde_Prdt], 0)), "")</f>
        <v/>
      </c>
    </row>
    <row r="1956" spans="1:11" x14ac:dyDescent="0.25">
      <c r="A1956" s="5"/>
      <c r="B1956" s="63" t="str">
        <f>IFERROR(TEXT(tbl_Ventes[[#This Row],[Date]],"mm-aaaa"),"")</f>
        <v>01-1900</v>
      </c>
      <c r="D1956" s="10" t="str">
        <f>IFERROR(
   INDEX(tbl_ProduitsRef[Cde_Prdt],MATCH(tbl_Ventes[[#This Row],[Produit]],tbl_ProduitsRef[Produit],0)),
   ""
)</f>
        <v/>
      </c>
      <c r="E1956" s="7">
        <v>0</v>
      </c>
      <c r="F1956" s="7" t="str">
        <f>IFERROR(
   INDEX(tbl_ProduitsRef[Prix Menu],MATCH(tbl_Ventes[[#This Row],[Produit]],tbl_ProduitsRef[Produit],0)),
   ""
)</f>
        <v/>
      </c>
      <c r="G1956" s="7">
        <f>tbl_Ventes[[#This Row],[Qté Vendue]] * IFERROR(_xlfn.XLOOKUP(tbl_Ventes[[#This Row],[Cde_Prdt]], tbl_Produits[Cde_Prdt], tbl_Produits[Prix Menu]), 0)</f>
        <v>0</v>
      </c>
      <c r="H1956" s="7">
        <f>IFERROR(_xlfn.XLOOKUP(tbl_Ventes[[#This Row],[Cde_Prdt]], tbl_Produits[Cde_Prdt], tbl_Produits[Coût Moyen Portion]), 0)</f>
        <v>0</v>
      </c>
      <c r="I1956" s="7">
        <f>tbl_Ventes[[#This Row],[Qté Vendue]] * tbl_Ventes[[#This Row],[CMP_par_portion]]</f>
        <v>0</v>
      </c>
      <c r="J1956" s="7">
        <f>tbl_Ventes[[#This Row],[CA ligne]] - tbl_Ventes[[#This Row],[Coût matière ligne]]</f>
        <v>0</v>
      </c>
      <c r="K1956" s="7" t="str">
        <f>IFERROR(INDEX(tbl_ProduitsRef[Famille], MATCH(tbl_Ventes[[#This Row],[Cde_Prdt]], tbl_Produits[Cde_Prdt], 0)), "")</f>
        <v/>
      </c>
    </row>
    <row r="1957" spans="1:11" x14ac:dyDescent="0.25">
      <c r="A1957" s="5"/>
      <c r="B1957" s="63" t="str">
        <f>IFERROR(TEXT(tbl_Ventes[[#This Row],[Date]],"mm-aaaa"),"")</f>
        <v>01-1900</v>
      </c>
      <c r="D1957" s="10" t="str">
        <f>IFERROR(
   INDEX(tbl_ProduitsRef[Cde_Prdt],MATCH(tbl_Ventes[[#This Row],[Produit]],tbl_ProduitsRef[Produit],0)),
   ""
)</f>
        <v/>
      </c>
      <c r="E1957" s="7">
        <v>0</v>
      </c>
      <c r="F1957" s="7" t="str">
        <f>IFERROR(
   INDEX(tbl_ProduitsRef[Prix Menu],MATCH(tbl_Ventes[[#This Row],[Produit]],tbl_ProduitsRef[Produit],0)),
   ""
)</f>
        <v/>
      </c>
      <c r="G1957" s="7">
        <f>tbl_Ventes[[#This Row],[Qté Vendue]] * IFERROR(_xlfn.XLOOKUP(tbl_Ventes[[#This Row],[Cde_Prdt]], tbl_Produits[Cde_Prdt], tbl_Produits[Prix Menu]), 0)</f>
        <v>0</v>
      </c>
      <c r="H1957" s="7">
        <f>IFERROR(_xlfn.XLOOKUP(tbl_Ventes[[#This Row],[Cde_Prdt]], tbl_Produits[Cde_Prdt], tbl_Produits[Coût Moyen Portion]), 0)</f>
        <v>0</v>
      </c>
      <c r="I1957" s="7">
        <f>tbl_Ventes[[#This Row],[Qté Vendue]] * tbl_Ventes[[#This Row],[CMP_par_portion]]</f>
        <v>0</v>
      </c>
      <c r="J1957" s="7">
        <f>tbl_Ventes[[#This Row],[CA ligne]] - tbl_Ventes[[#This Row],[Coût matière ligne]]</f>
        <v>0</v>
      </c>
      <c r="K1957" s="7" t="str">
        <f>IFERROR(INDEX(tbl_ProduitsRef[Famille], MATCH(tbl_Ventes[[#This Row],[Cde_Prdt]], tbl_Produits[Cde_Prdt], 0)), "")</f>
        <v/>
      </c>
    </row>
    <row r="1958" spans="1:11" x14ac:dyDescent="0.25">
      <c r="A1958" s="5"/>
      <c r="B1958" s="63" t="str">
        <f>IFERROR(TEXT(tbl_Ventes[[#This Row],[Date]],"mm-aaaa"),"")</f>
        <v>01-1900</v>
      </c>
      <c r="D1958" s="10" t="str">
        <f>IFERROR(
   INDEX(tbl_ProduitsRef[Cde_Prdt],MATCH(tbl_Ventes[[#This Row],[Produit]],tbl_ProduitsRef[Produit],0)),
   ""
)</f>
        <v/>
      </c>
      <c r="E1958" s="7">
        <v>0</v>
      </c>
      <c r="F1958" s="7" t="str">
        <f>IFERROR(
   INDEX(tbl_ProduitsRef[Prix Menu],MATCH(tbl_Ventes[[#This Row],[Produit]],tbl_ProduitsRef[Produit],0)),
   ""
)</f>
        <v/>
      </c>
      <c r="G1958" s="7">
        <f>tbl_Ventes[[#This Row],[Qté Vendue]] * IFERROR(_xlfn.XLOOKUP(tbl_Ventes[[#This Row],[Cde_Prdt]], tbl_Produits[Cde_Prdt], tbl_Produits[Prix Menu]), 0)</f>
        <v>0</v>
      </c>
      <c r="H1958" s="7">
        <f>IFERROR(_xlfn.XLOOKUP(tbl_Ventes[[#This Row],[Cde_Prdt]], tbl_Produits[Cde_Prdt], tbl_Produits[Coût Moyen Portion]), 0)</f>
        <v>0</v>
      </c>
      <c r="I1958" s="7">
        <f>tbl_Ventes[[#This Row],[Qté Vendue]] * tbl_Ventes[[#This Row],[CMP_par_portion]]</f>
        <v>0</v>
      </c>
      <c r="J1958" s="7">
        <f>tbl_Ventes[[#This Row],[CA ligne]] - tbl_Ventes[[#This Row],[Coût matière ligne]]</f>
        <v>0</v>
      </c>
      <c r="K1958" s="7" t="str">
        <f>IFERROR(INDEX(tbl_ProduitsRef[Famille], MATCH(tbl_Ventes[[#This Row],[Cde_Prdt]], tbl_Produits[Cde_Prdt], 0)), "")</f>
        <v/>
      </c>
    </row>
    <row r="1959" spans="1:11" x14ac:dyDescent="0.25">
      <c r="A1959" s="5"/>
      <c r="B1959" s="63" t="str">
        <f>IFERROR(TEXT(tbl_Ventes[[#This Row],[Date]],"mm-aaaa"),"")</f>
        <v>01-1900</v>
      </c>
      <c r="D1959" s="10" t="str">
        <f>IFERROR(
   INDEX(tbl_ProduitsRef[Cde_Prdt],MATCH(tbl_Ventes[[#This Row],[Produit]],tbl_ProduitsRef[Produit],0)),
   ""
)</f>
        <v/>
      </c>
      <c r="E1959" s="7">
        <v>0</v>
      </c>
      <c r="F1959" s="7" t="str">
        <f>IFERROR(
   INDEX(tbl_ProduitsRef[Prix Menu],MATCH(tbl_Ventes[[#This Row],[Produit]],tbl_ProduitsRef[Produit],0)),
   ""
)</f>
        <v/>
      </c>
      <c r="G1959" s="7">
        <f>tbl_Ventes[[#This Row],[Qté Vendue]] * IFERROR(_xlfn.XLOOKUP(tbl_Ventes[[#This Row],[Cde_Prdt]], tbl_Produits[Cde_Prdt], tbl_Produits[Prix Menu]), 0)</f>
        <v>0</v>
      </c>
      <c r="H1959" s="7">
        <f>IFERROR(_xlfn.XLOOKUP(tbl_Ventes[[#This Row],[Cde_Prdt]], tbl_Produits[Cde_Prdt], tbl_Produits[Coût Moyen Portion]), 0)</f>
        <v>0</v>
      </c>
      <c r="I1959" s="7">
        <f>tbl_Ventes[[#This Row],[Qté Vendue]] * tbl_Ventes[[#This Row],[CMP_par_portion]]</f>
        <v>0</v>
      </c>
      <c r="J1959" s="7">
        <f>tbl_Ventes[[#This Row],[CA ligne]] - tbl_Ventes[[#This Row],[Coût matière ligne]]</f>
        <v>0</v>
      </c>
      <c r="K1959" s="7" t="str">
        <f>IFERROR(INDEX(tbl_ProduitsRef[Famille], MATCH(tbl_Ventes[[#This Row],[Cde_Prdt]], tbl_Produits[Cde_Prdt], 0)), "")</f>
        <v/>
      </c>
    </row>
    <row r="1960" spans="1:11" x14ac:dyDescent="0.25">
      <c r="A1960" s="5"/>
      <c r="B1960" s="63" t="str">
        <f>IFERROR(TEXT(tbl_Ventes[[#This Row],[Date]],"mm-aaaa"),"")</f>
        <v>01-1900</v>
      </c>
      <c r="D1960" s="10" t="str">
        <f>IFERROR(
   INDEX(tbl_ProduitsRef[Cde_Prdt],MATCH(tbl_Ventes[[#This Row],[Produit]],tbl_ProduitsRef[Produit],0)),
   ""
)</f>
        <v/>
      </c>
      <c r="E1960" s="7">
        <v>0</v>
      </c>
      <c r="F1960" s="7" t="str">
        <f>IFERROR(
   INDEX(tbl_ProduitsRef[Prix Menu],MATCH(tbl_Ventes[[#This Row],[Produit]],tbl_ProduitsRef[Produit],0)),
   ""
)</f>
        <v/>
      </c>
      <c r="G1960" s="7">
        <f>tbl_Ventes[[#This Row],[Qté Vendue]] * IFERROR(_xlfn.XLOOKUP(tbl_Ventes[[#This Row],[Cde_Prdt]], tbl_Produits[Cde_Prdt], tbl_Produits[Prix Menu]), 0)</f>
        <v>0</v>
      </c>
      <c r="H1960" s="7">
        <f>IFERROR(_xlfn.XLOOKUP(tbl_Ventes[[#This Row],[Cde_Prdt]], tbl_Produits[Cde_Prdt], tbl_Produits[Coût Moyen Portion]), 0)</f>
        <v>0</v>
      </c>
      <c r="I1960" s="7">
        <f>tbl_Ventes[[#This Row],[Qté Vendue]] * tbl_Ventes[[#This Row],[CMP_par_portion]]</f>
        <v>0</v>
      </c>
      <c r="J1960" s="7">
        <f>tbl_Ventes[[#This Row],[CA ligne]] - tbl_Ventes[[#This Row],[Coût matière ligne]]</f>
        <v>0</v>
      </c>
      <c r="K1960" s="7" t="str">
        <f>IFERROR(INDEX(tbl_ProduitsRef[Famille], MATCH(tbl_Ventes[[#This Row],[Cde_Prdt]], tbl_Produits[Cde_Prdt], 0)), "")</f>
        <v/>
      </c>
    </row>
    <row r="1961" spans="1:11" x14ac:dyDescent="0.25">
      <c r="A1961" s="5"/>
      <c r="B1961" s="63" t="str">
        <f>IFERROR(TEXT(tbl_Ventes[[#This Row],[Date]],"mm-aaaa"),"")</f>
        <v>01-1900</v>
      </c>
      <c r="D1961" s="10" t="str">
        <f>IFERROR(
   INDEX(tbl_ProduitsRef[Cde_Prdt],MATCH(tbl_Ventes[[#This Row],[Produit]],tbl_ProduitsRef[Produit],0)),
   ""
)</f>
        <v/>
      </c>
      <c r="E1961" s="7">
        <v>0</v>
      </c>
      <c r="F1961" s="7" t="str">
        <f>IFERROR(
   INDEX(tbl_ProduitsRef[Prix Menu],MATCH(tbl_Ventes[[#This Row],[Produit]],tbl_ProduitsRef[Produit],0)),
   ""
)</f>
        <v/>
      </c>
      <c r="G1961" s="7">
        <f>tbl_Ventes[[#This Row],[Qté Vendue]] * IFERROR(_xlfn.XLOOKUP(tbl_Ventes[[#This Row],[Cde_Prdt]], tbl_Produits[Cde_Prdt], tbl_Produits[Prix Menu]), 0)</f>
        <v>0</v>
      </c>
      <c r="H1961" s="7">
        <f>IFERROR(_xlfn.XLOOKUP(tbl_Ventes[[#This Row],[Cde_Prdt]], tbl_Produits[Cde_Prdt], tbl_Produits[Coût Moyen Portion]), 0)</f>
        <v>0</v>
      </c>
      <c r="I1961" s="7">
        <f>tbl_Ventes[[#This Row],[Qté Vendue]] * tbl_Ventes[[#This Row],[CMP_par_portion]]</f>
        <v>0</v>
      </c>
      <c r="J1961" s="7">
        <f>tbl_Ventes[[#This Row],[CA ligne]] - tbl_Ventes[[#This Row],[Coût matière ligne]]</f>
        <v>0</v>
      </c>
      <c r="K1961" s="7" t="str">
        <f>IFERROR(INDEX(tbl_ProduitsRef[Famille], MATCH(tbl_Ventes[[#This Row],[Cde_Prdt]], tbl_Produits[Cde_Prdt], 0)), "")</f>
        <v/>
      </c>
    </row>
    <row r="1962" spans="1:11" x14ac:dyDescent="0.25">
      <c r="A1962" s="5"/>
      <c r="B1962" s="63" t="str">
        <f>IFERROR(TEXT(tbl_Ventes[[#This Row],[Date]],"mm-aaaa"),"")</f>
        <v>01-1900</v>
      </c>
      <c r="D1962" s="10" t="str">
        <f>IFERROR(
   INDEX(tbl_ProduitsRef[Cde_Prdt],MATCH(tbl_Ventes[[#This Row],[Produit]],tbl_ProduitsRef[Produit],0)),
   ""
)</f>
        <v/>
      </c>
      <c r="E1962" s="7">
        <v>0</v>
      </c>
      <c r="F1962" s="7" t="str">
        <f>IFERROR(
   INDEX(tbl_ProduitsRef[Prix Menu],MATCH(tbl_Ventes[[#This Row],[Produit]],tbl_ProduitsRef[Produit],0)),
   ""
)</f>
        <v/>
      </c>
      <c r="G1962" s="7">
        <f>tbl_Ventes[[#This Row],[Qté Vendue]] * IFERROR(_xlfn.XLOOKUP(tbl_Ventes[[#This Row],[Cde_Prdt]], tbl_Produits[Cde_Prdt], tbl_Produits[Prix Menu]), 0)</f>
        <v>0</v>
      </c>
      <c r="H1962" s="7">
        <f>IFERROR(_xlfn.XLOOKUP(tbl_Ventes[[#This Row],[Cde_Prdt]], tbl_Produits[Cde_Prdt], tbl_Produits[Coût Moyen Portion]), 0)</f>
        <v>0</v>
      </c>
      <c r="I1962" s="7">
        <f>tbl_Ventes[[#This Row],[Qté Vendue]] * tbl_Ventes[[#This Row],[CMP_par_portion]]</f>
        <v>0</v>
      </c>
      <c r="J1962" s="7">
        <f>tbl_Ventes[[#This Row],[CA ligne]] - tbl_Ventes[[#This Row],[Coût matière ligne]]</f>
        <v>0</v>
      </c>
      <c r="K1962" s="7" t="str">
        <f>IFERROR(INDEX(tbl_ProduitsRef[Famille], MATCH(tbl_Ventes[[#This Row],[Cde_Prdt]], tbl_Produits[Cde_Prdt], 0)), "")</f>
        <v/>
      </c>
    </row>
    <row r="1963" spans="1:11" x14ac:dyDescent="0.25">
      <c r="A1963" s="5"/>
      <c r="B1963" s="63" t="str">
        <f>IFERROR(TEXT(tbl_Ventes[[#This Row],[Date]],"mm-aaaa"),"")</f>
        <v>01-1900</v>
      </c>
      <c r="D1963" s="10" t="str">
        <f>IFERROR(
   INDEX(tbl_ProduitsRef[Cde_Prdt],MATCH(tbl_Ventes[[#This Row],[Produit]],tbl_ProduitsRef[Produit],0)),
   ""
)</f>
        <v/>
      </c>
      <c r="E1963" s="7">
        <v>0</v>
      </c>
      <c r="F1963" s="7" t="str">
        <f>IFERROR(
   INDEX(tbl_ProduitsRef[Prix Menu],MATCH(tbl_Ventes[[#This Row],[Produit]],tbl_ProduitsRef[Produit],0)),
   ""
)</f>
        <v/>
      </c>
      <c r="G1963" s="7">
        <f>tbl_Ventes[[#This Row],[Qté Vendue]] * IFERROR(_xlfn.XLOOKUP(tbl_Ventes[[#This Row],[Cde_Prdt]], tbl_Produits[Cde_Prdt], tbl_Produits[Prix Menu]), 0)</f>
        <v>0</v>
      </c>
      <c r="H1963" s="7">
        <f>IFERROR(_xlfn.XLOOKUP(tbl_Ventes[[#This Row],[Cde_Prdt]], tbl_Produits[Cde_Prdt], tbl_Produits[Coût Moyen Portion]), 0)</f>
        <v>0</v>
      </c>
      <c r="I1963" s="7">
        <f>tbl_Ventes[[#This Row],[Qté Vendue]] * tbl_Ventes[[#This Row],[CMP_par_portion]]</f>
        <v>0</v>
      </c>
      <c r="J1963" s="7">
        <f>tbl_Ventes[[#This Row],[CA ligne]] - tbl_Ventes[[#This Row],[Coût matière ligne]]</f>
        <v>0</v>
      </c>
      <c r="K1963" s="7" t="str">
        <f>IFERROR(INDEX(tbl_ProduitsRef[Famille], MATCH(tbl_Ventes[[#This Row],[Cde_Prdt]], tbl_Produits[Cde_Prdt], 0)), "")</f>
        <v/>
      </c>
    </row>
    <row r="1964" spans="1:11" x14ac:dyDescent="0.25">
      <c r="A1964" s="5"/>
      <c r="B1964" s="63" t="str">
        <f>IFERROR(TEXT(tbl_Ventes[[#This Row],[Date]],"mm-aaaa"),"")</f>
        <v>01-1900</v>
      </c>
      <c r="D1964" s="10" t="str">
        <f>IFERROR(
   INDEX(tbl_ProduitsRef[Cde_Prdt],MATCH(tbl_Ventes[[#This Row],[Produit]],tbl_ProduitsRef[Produit],0)),
   ""
)</f>
        <v/>
      </c>
      <c r="E1964" s="7">
        <v>0</v>
      </c>
      <c r="F1964" s="7" t="str">
        <f>IFERROR(
   INDEX(tbl_ProduitsRef[Prix Menu],MATCH(tbl_Ventes[[#This Row],[Produit]],tbl_ProduitsRef[Produit],0)),
   ""
)</f>
        <v/>
      </c>
      <c r="G1964" s="7">
        <f>tbl_Ventes[[#This Row],[Qté Vendue]] * IFERROR(_xlfn.XLOOKUP(tbl_Ventes[[#This Row],[Cde_Prdt]], tbl_Produits[Cde_Prdt], tbl_Produits[Prix Menu]), 0)</f>
        <v>0</v>
      </c>
      <c r="H1964" s="7">
        <f>IFERROR(_xlfn.XLOOKUP(tbl_Ventes[[#This Row],[Cde_Prdt]], tbl_Produits[Cde_Prdt], tbl_Produits[Coût Moyen Portion]), 0)</f>
        <v>0</v>
      </c>
      <c r="I1964" s="7">
        <f>tbl_Ventes[[#This Row],[Qté Vendue]] * tbl_Ventes[[#This Row],[CMP_par_portion]]</f>
        <v>0</v>
      </c>
      <c r="J1964" s="7">
        <f>tbl_Ventes[[#This Row],[CA ligne]] - tbl_Ventes[[#This Row],[Coût matière ligne]]</f>
        <v>0</v>
      </c>
      <c r="K1964" s="7" t="str">
        <f>IFERROR(INDEX(tbl_ProduitsRef[Famille], MATCH(tbl_Ventes[[#This Row],[Cde_Prdt]], tbl_Produits[Cde_Prdt], 0)), "")</f>
        <v/>
      </c>
    </row>
    <row r="1965" spans="1:11" x14ac:dyDescent="0.25">
      <c r="A1965" s="5"/>
      <c r="B1965" s="63" t="str">
        <f>IFERROR(TEXT(tbl_Ventes[[#This Row],[Date]],"mm-aaaa"),"")</f>
        <v>01-1900</v>
      </c>
      <c r="D1965" s="10" t="str">
        <f>IFERROR(
   INDEX(tbl_ProduitsRef[Cde_Prdt],MATCH(tbl_Ventes[[#This Row],[Produit]],tbl_ProduitsRef[Produit],0)),
   ""
)</f>
        <v/>
      </c>
      <c r="E1965" s="7">
        <v>0</v>
      </c>
      <c r="F1965" s="7" t="str">
        <f>IFERROR(
   INDEX(tbl_ProduitsRef[Prix Menu],MATCH(tbl_Ventes[[#This Row],[Produit]],tbl_ProduitsRef[Produit],0)),
   ""
)</f>
        <v/>
      </c>
      <c r="G1965" s="7">
        <f>tbl_Ventes[[#This Row],[Qté Vendue]] * IFERROR(_xlfn.XLOOKUP(tbl_Ventes[[#This Row],[Cde_Prdt]], tbl_Produits[Cde_Prdt], tbl_Produits[Prix Menu]), 0)</f>
        <v>0</v>
      </c>
      <c r="H1965" s="7">
        <f>IFERROR(_xlfn.XLOOKUP(tbl_Ventes[[#This Row],[Cde_Prdt]], tbl_Produits[Cde_Prdt], tbl_Produits[Coût Moyen Portion]), 0)</f>
        <v>0</v>
      </c>
      <c r="I1965" s="7">
        <f>tbl_Ventes[[#This Row],[Qté Vendue]] * tbl_Ventes[[#This Row],[CMP_par_portion]]</f>
        <v>0</v>
      </c>
      <c r="J1965" s="7">
        <f>tbl_Ventes[[#This Row],[CA ligne]] - tbl_Ventes[[#This Row],[Coût matière ligne]]</f>
        <v>0</v>
      </c>
      <c r="K1965" s="7" t="str">
        <f>IFERROR(INDEX(tbl_ProduitsRef[Famille], MATCH(tbl_Ventes[[#This Row],[Cde_Prdt]], tbl_Produits[Cde_Prdt], 0)), "")</f>
        <v/>
      </c>
    </row>
    <row r="1966" spans="1:11" x14ac:dyDescent="0.25">
      <c r="A1966" s="5"/>
      <c r="B1966" s="63" t="str">
        <f>IFERROR(TEXT(tbl_Ventes[[#This Row],[Date]],"mm-aaaa"),"")</f>
        <v>01-1900</v>
      </c>
      <c r="D1966" s="10" t="str">
        <f>IFERROR(
   INDEX(tbl_ProduitsRef[Cde_Prdt],MATCH(tbl_Ventes[[#This Row],[Produit]],tbl_ProduitsRef[Produit],0)),
   ""
)</f>
        <v/>
      </c>
      <c r="E1966" s="7">
        <v>0</v>
      </c>
      <c r="F1966" s="7" t="str">
        <f>IFERROR(
   INDEX(tbl_ProduitsRef[Prix Menu],MATCH(tbl_Ventes[[#This Row],[Produit]],tbl_ProduitsRef[Produit],0)),
   ""
)</f>
        <v/>
      </c>
      <c r="G1966" s="7">
        <f>tbl_Ventes[[#This Row],[Qté Vendue]] * IFERROR(_xlfn.XLOOKUP(tbl_Ventes[[#This Row],[Cde_Prdt]], tbl_Produits[Cde_Prdt], tbl_Produits[Prix Menu]), 0)</f>
        <v>0</v>
      </c>
      <c r="H1966" s="7">
        <f>IFERROR(_xlfn.XLOOKUP(tbl_Ventes[[#This Row],[Cde_Prdt]], tbl_Produits[Cde_Prdt], tbl_Produits[Coût Moyen Portion]), 0)</f>
        <v>0</v>
      </c>
      <c r="I1966" s="7">
        <f>tbl_Ventes[[#This Row],[Qté Vendue]] * tbl_Ventes[[#This Row],[CMP_par_portion]]</f>
        <v>0</v>
      </c>
      <c r="J1966" s="7">
        <f>tbl_Ventes[[#This Row],[CA ligne]] - tbl_Ventes[[#This Row],[Coût matière ligne]]</f>
        <v>0</v>
      </c>
      <c r="K1966" s="7" t="str">
        <f>IFERROR(INDEX(tbl_ProduitsRef[Famille], MATCH(tbl_Ventes[[#This Row],[Cde_Prdt]], tbl_Produits[Cde_Prdt], 0)), "")</f>
        <v/>
      </c>
    </row>
    <row r="1967" spans="1:11" x14ac:dyDescent="0.25">
      <c r="A1967" s="5"/>
      <c r="B1967" s="63" t="str">
        <f>IFERROR(TEXT(tbl_Ventes[[#This Row],[Date]],"mm-aaaa"),"")</f>
        <v>01-1900</v>
      </c>
      <c r="D1967" s="10" t="str">
        <f>IFERROR(
   INDEX(tbl_ProduitsRef[Cde_Prdt],MATCH(tbl_Ventes[[#This Row],[Produit]],tbl_ProduitsRef[Produit],0)),
   ""
)</f>
        <v/>
      </c>
      <c r="E1967" s="7">
        <v>0</v>
      </c>
      <c r="F1967" s="7" t="str">
        <f>IFERROR(
   INDEX(tbl_ProduitsRef[Prix Menu],MATCH(tbl_Ventes[[#This Row],[Produit]],tbl_ProduitsRef[Produit],0)),
   ""
)</f>
        <v/>
      </c>
      <c r="G1967" s="7">
        <f>tbl_Ventes[[#This Row],[Qté Vendue]] * IFERROR(_xlfn.XLOOKUP(tbl_Ventes[[#This Row],[Cde_Prdt]], tbl_Produits[Cde_Prdt], tbl_Produits[Prix Menu]), 0)</f>
        <v>0</v>
      </c>
      <c r="H1967" s="7">
        <f>IFERROR(_xlfn.XLOOKUP(tbl_Ventes[[#This Row],[Cde_Prdt]], tbl_Produits[Cde_Prdt], tbl_Produits[Coût Moyen Portion]), 0)</f>
        <v>0</v>
      </c>
      <c r="I1967" s="7">
        <f>tbl_Ventes[[#This Row],[Qté Vendue]] * tbl_Ventes[[#This Row],[CMP_par_portion]]</f>
        <v>0</v>
      </c>
      <c r="J1967" s="7">
        <f>tbl_Ventes[[#This Row],[CA ligne]] - tbl_Ventes[[#This Row],[Coût matière ligne]]</f>
        <v>0</v>
      </c>
      <c r="K1967" s="7" t="str">
        <f>IFERROR(INDEX(tbl_ProduitsRef[Famille], MATCH(tbl_Ventes[[#This Row],[Cde_Prdt]], tbl_Produits[Cde_Prdt], 0)), "")</f>
        <v/>
      </c>
    </row>
    <row r="1968" spans="1:11" x14ac:dyDescent="0.25">
      <c r="A1968" s="5"/>
      <c r="B1968" s="63" t="str">
        <f>IFERROR(TEXT(tbl_Ventes[[#This Row],[Date]],"mm-aaaa"),"")</f>
        <v>01-1900</v>
      </c>
      <c r="D1968" s="10" t="str">
        <f>IFERROR(
   INDEX(tbl_ProduitsRef[Cde_Prdt],MATCH(tbl_Ventes[[#This Row],[Produit]],tbl_ProduitsRef[Produit],0)),
   ""
)</f>
        <v/>
      </c>
      <c r="E1968" s="7">
        <v>0</v>
      </c>
      <c r="F1968" s="7" t="str">
        <f>IFERROR(
   INDEX(tbl_ProduitsRef[Prix Menu],MATCH(tbl_Ventes[[#This Row],[Produit]],tbl_ProduitsRef[Produit],0)),
   ""
)</f>
        <v/>
      </c>
      <c r="G1968" s="7">
        <f>tbl_Ventes[[#This Row],[Qté Vendue]] * IFERROR(_xlfn.XLOOKUP(tbl_Ventes[[#This Row],[Cde_Prdt]], tbl_Produits[Cde_Prdt], tbl_Produits[Prix Menu]), 0)</f>
        <v>0</v>
      </c>
      <c r="H1968" s="7">
        <f>IFERROR(_xlfn.XLOOKUP(tbl_Ventes[[#This Row],[Cde_Prdt]], tbl_Produits[Cde_Prdt], tbl_Produits[Coût Moyen Portion]), 0)</f>
        <v>0</v>
      </c>
      <c r="I1968" s="7">
        <f>tbl_Ventes[[#This Row],[Qté Vendue]] * tbl_Ventes[[#This Row],[CMP_par_portion]]</f>
        <v>0</v>
      </c>
      <c r="J1968" s="7">
        <f>tbl_Ventes[[#This Row],[CA ligne]] - tbl_Ventes[[#This Row],[Coût matière ligne]]</f>
        <v>0</v>
      </c>
      <c r="K1968" s="7" t="str">
        <f>IFERROR(INDEX(tbl_ProduitsRef[Famille], MATCH(tbl_Ventes[[#This Row],[Cde_Prdt]], tbl_Produits[Cde_Prdt], 0)), "")</f>
        <v/>
      </c>
    </row>
    <row r="1969" spans="1:11" x14ac:dyDescent="0.25">
      <c r="A1969" s="5"/>
      <c r="B1969" s="63" t="str">
        <f>IFERROR(TEXT(tbl_Ventes[[#This Row],[Date]],"mm-aaaa"),"")</f>
        <v>01-1900</v>
      </c>
      <c r="D1969" s="10" t="str">
        <f>IFERROR(
   INDEX(tbl_ProduitsRef[Cde_Prdt],MATCH(tbl_Ventes[[#This Row],[Produit]],tbl_ProduitsRef[Produit],0)),
   ""
)</f>
        <v/>
      </c>
      <c r="E1969" s="7">
        <v>0</v>
      </c>
      <c r="F1969" s="7" t="str">
        <f>IFERROR(
   INDEX(tbl_ProduitsRef[Prix Menu],MATCH(tbl_Ventes[[#This Row],[Produit]],tbl_ProduitsRef[Produit],0)),
   ""
)</f>
        <v/>
      </c>
      <c r="G1969" s="7">
        <f>tbl_Ventes[[#This Row],[Qté Vendue]] * IFERROR(_xlfn.XLOOKUP(tbl_Ventes[[#This Row],[Cde_Prdt]], tbl_Produits[Cde_Prdt], tbl_Produits[Prix Menu]), 0)</f>
        <v>0</v>
      </c>
      <c r="H1969" s="7">
        <f>IFERROR(_xlfn.XLOOKUP(tbl_Ventes[[#This Row],[Cde_Prdt]], tbl_Produits[Cde_Prdt], tbl_Produits[Coût Moyen Portion]), 0)</f>
        <v>0</v>
      </c>
      <c r="I1969" s="7">
        <f>tbl_Ventes[[#This Row],[Qté Vendue]] * tbl_Ventes[[#This Row],[CMP_par_portion]]</f>
        <v>0</v>
      </c>
      <c r="J1969" s="7">
        <f>tbl_Ventes[[#This Row],[CA ligne]] - tbl_Ventes[[#This Row],[Coût matière ligne]]</f>
        <v>0</v>
      </c>
      <c r="K1969" s="7" t="str">
        <f>IFERROR(INDEX(tbl_ProduitsRef[Famille], MATCH(tbl_Ventes[[#This Row],[Cde_Prdt]], tbl_Produits[Cde_Prdt], 0)), "")</f>
        <v/>
      </c>
    </row>
    <row r="1970" spans="1:11" x14ac:dyDescent="0.25">
      <c r="A1970" s="5"/>
      <c r="B1970" s="63" t="str">
        <f>IFERROR(TEXT(tbl_Ventes[[#This Row],[Date]],"mm-aaaa"),"")</f>
        <v>01-1900</v>
      </c>
      <c r="D1970" s="10" t="str">
        <f>IFERROR(
   INDEX(tbl_ProduitsRef[Cde_Prdt],MATCH(tbl_Ventes[[#This Row],[Produit]],tbl_ProduitsRef[Produit],0)),
   ""
)</f>
        <v/>
      </c>
      <c r="E1970" s="7">
        <v>0</v>
      </c>
      <c r="F1970" s="7" t="str">
        <f>IFERROR(
   INDEX(tbl_ProduitsRef[Prix Menu],MATCH(tbl_Ventes[[#This Row],[Produit]],tbl_ProduitsRef[Produit],0)),
   ""
)</f>
        <v/>
      </c>
      <c r="G1970" s="7">
        <f>tbl_Ventes[[#This Row],[Qté Vendue]] * IFERROR(_xlfn.XLOOKUP(tbl_Ventes[[#This Row],[Cde_Prdt]], tbl_Produits[Cde_Prdt], tbl_Produits[Prix Menu]), 0)</f>
        <v>0</v>
      </c>
      <c r="H1970" s="7">
        <f>IFERROR(_xlfn.XLOOKUP(tbl_Ventes[[#This Row],[Cde_Prdt]], tbl_Produits[Cde_Prdt], tbl_Produits[Coût Moyen Portion]), 0)</f>
        <v>0</v>
      </c>
      <c r="I1970" s="7">
        <f>tbl_Ventes[[#This Row],[Qté Vendue]] * tbl_Ventes[[#This Row],[CMP_par_portion]]</f>
        <v>0</v>
      </c>
      <c r="J1970" s="7">
        <f>tbl_Ventes[[#This Row],[CA ligne]] - tbl_Ventes[[#This Row],[Coût matière ligne]]</f>
        <v>0</v>
      </c>
      <c r="K1970" s="7" t="str">
        <f>IFERROR(INDEX(tbl_ProduitsRef[Famille], MATCH(tbl_Ventes[[#This Row],[Cde_Prdt]], tbl_Produits[Cde_Prdt], 0)), "")</f>
        <v/>
      </c>
    </row>
    <row r="1971" spans="1:11" x14ac:dyDescent="0.25">
      <c r="A1971" s="5"/>
      <c r="B1971" s="63" t="str">
        <f>IFERROR(TEXT(tbl_Ventes[[#This Row],[Date]],"mm-aaaa"),"")</f>
        <v>01-1900</v>
      </c>
      <c r="D1971" s="10" t="str">
        <f>IFERROR(
   INDEX(tbl_ProduitsRef[Cde_Prdt],MATCH(tbl_Ventes[[#This Row],[Produit]],tbl_ProduitsRef[Produit],0)),
   ""
)</f>
        <v/>
      </c>
      <c r="E1971" s="7">
        <v>0</v>
      </c>
      <c r="F1971" s="7" t="str">
        <f>IFERROR(
   INDEX(tbl_ProduitsRef[Prix Menu],MATCH(tbl_Ventes[[#This Row],[Produit]],tbl_ProduitsRef[Produit],0)),
   ""
)</f>
        <v/>
      </c>
      <c r="G1971" s="7">
        <f>tbl_Ventes[[#This Row],[Qté Vendue]] * IFERROR(_xlfn.XLOOKUP(tbl_Ventes[[#This Row],[Cde_Prdt]], tbl_Produits[Cde_Prdt], tbl_Produits[Prix Menu]), 0)</f>
        <v>0</v>
      </c>
      <c r="H1971" s="7">
        <f>IFERROR(_xlfn.XLOOKUP(tbl_Ventes[[#This Row],[Cde_Prdt]], tbl_Produits[Cde_Prdt], tbl_Produits[Coût Moyen Portion]), 0)</f>
        <v>0</v>
      </c>
      <c r="I1971" s="7">
        <f>tbl_Ventes[[#This Row],[Qté Vendue]] * tbl_Ventes[[#This Row],[CMP_par_portion]]</f>
        <v>0</v>
      </c>
      <c r="J1971" s="7">
        <f>tbl_Ventes[[#This Row],[CA ligne]] - tbl_Ventes[[#This Row],[Coût matière ligne]]</f>
        <v>0</v>
      </c>
      <c r="K1971" s="7" t="str">
        <f>IFERROR(INDEX(tbl_ProduitsRef[Famille], MATCH(tbl_Ventes[[#This Row],[Cde_Prdt]], tbl_Produits[Cde_Prdt], 0)), "")</f>
        <v/>
      </c>
    </row>
    <row r="1972" spans="1:11" x14ac:dyDescent="0.25">
      <c r="A1972" s="5"/>
      <c r="B1972" s="63" t="str">
        <f>IFERROR(TEXT(tbl_Ventes[[#This Row],[Date]],"mm-aaaa"),"")</f>
        <v>01-1900</v>
      </c>
      <c r="D1972" s="10" t="str">
        <f>IFERROR(
   INDEX(tbl_ProduitsRef[Cde_Prdt],MATCH(tbl_Ventes[[#This Row],[Produit]],tbl_ProduitsRef[Produit],0)),
   ""
)</f>
        <v/>
      </c>
      <c r="E1972" s="7">
        <v>0</v>
      </c>
      <c r="F1972" s="7" t="str">
        <f>IFERROR(
   INDEX(tbl_ProduitsRef[Prix Menu],MATCH(tbl_Ventes[[#This Row],[Produit]],tbl_ProduitsRef[Produit],0)),
   ""
)</f>
        <v/>
      </c>
      <c r="G1972" s="7">
        <f>tbl_Ventes[[#This Row],[Qté Vendue]] * IFERROR(_xlfn.XLOOKUP(tbl_Ventes[[#This Row],[Cde_Prdt]], tbl_Produits[Cde_Prdt], tbl_Produits[Prix Menu]), 0)</f>
        <v>0</v>
      </c>
      <c r="H1972" s="7">
        <f>IFERROR(_xlfn.XLOOKUP(tbl_Ventes[[#This Row],[Cde_Prdt]], tbl_Produits[Cde_Prdt], tbl_Produits[Coût Moyen Portion]), 0)</f>
        <v>0</v>
      </c>
      <c r="I1972" s="7">
        <f>tbl_Ventes[[#This Row],[Qté Vendue]] * tbl_Ventes[[#This Row],[CMP_par_portion]]</f>
        <v>0</v>
      </c>
      <c r="J1972" s="7">
        <f>tbl_Ventes[[#This Row],[CA ligne]] - tbl_Ventes[[#This Row],[Coût matière ligne]]</f>
        <v>0</v>
      </c>
      <c r="K1972" s="7" t="str">
        <f>IFERROR(INDEX(tbl_ProduitsRef[Famille], MATCH(tbl_Ventes[[#This Row],[Cde_Prdt]], tbl_Produits[Cde_Prdt], 0)), "")</f>
        <v/>
      </c>
    </row>
    <row r="1973" spans="1:11" x14ac:dyDescent="0.25">
      <c r="A1973" s="5"/>
      <c r="B1973" s="63" t="str">
        <f>IFERROR(TEXT(tbl_Ventes[[#This Row],[Date]],"mm-aaaa"),"")</f>
        <v>01-1900</v>
      </c>
      <c r="D1973" s="10" t="str">
        <f>IFERROR(
   INDEX(tbl_ProduitsRef[Cde_Prdt],MATCH(tbl_Ventes[[#This Row],[Produit]],tbl_ProduitsRef[Produit],0)),
   ""
)</f>
        <v/>
      </c>
      <c r="E1973" s="7">
        <v>0</v>
      </c>
      <c r="F1973" s="7" t="str">
        <f>IFERROR(
   INDEX(tbl_ProduitsRef[Prix Menu],MATCH(tbl_Ventes[[#This Row],[Produit]],tbl_ProduitsRef[Produit],0)),
   ""
)</f>
        <v/>
      </c>
      <c r="G1973" s="7">
        <f>tbl_Ventes[[#This Row],[Qté Vendue]] * IFERROR(_xlfn.XLOOKUP(tbl_Ventes[[#This Row],[Cde_Prdt]], tbl_Produits[Cde_Prdt], tbl_Produits[Prix Menu]), 0)</f>
        <v>0</v>
      </c>
      <c r="H1973" s="7">
        <f>IFERROR(_xlfn.XLOOKUP(tbl_Ventes[[#This Row],[Cde_Prdt]], tbl_Produits[Cde_Prdt], tbl_Produits[Coût Moyen Portion]), 0)</f>
        <v>0</v>
      </c>
      <c r="I1973" s="7">
        <f>tbl_Ventes[[#This Row],[Qté Vendue]] * tbl_Ventes[[#This Row],[CMP_par_portion]]</f>
        <v>0</v>
      </c>
      <c r="J1973" s="7">
        <f>tbl_Ventes[[#This Row],[CA ligne]] - tbl_Ventes[[#This Row],[Coût matière ligne]]</f>
        <v>0</v>
      </c>
      <c r="K1973" s="7" t="str">
        <f>IFERROR(INDEX(tbl_ProduitsRef[Famille], MATCH(tbl_Ventes[[#This Row],[Cde_Prdt]], tbl_Produits[Cde_Prdt], 0)), "")</f>
        <v/>
      </c>
    </row>
    <row r="1974" spans="1:11" x14ac:dyDescent="0.25">
      <c r="A1974" s="5"/>
      <c r="B1974" s="63" t="str">
        <f>IFERROR(TEXT(tbl_Ventes[[#This Row],[Date]],"mm-aaaa"),"")</f>
        <v>01-1900</v>
      </c>
      <c r="D1974" s="10" t="str">
        <f>IFERROR(
   INDEX(tbl_ProduitsRef[Cde_Prdt],MATCH(tbl_Ventes[[#This Row],[Produit]],tbl_ProduitsRef[Produit],0)),
   ""
)</f>
        <v/>
      </c>
      <c r="E1974" s="7">
        <v>0</v>
      </c>
      <c r="F1974" s="7" t="str">
        <f>IFERROR(
   INDEX(tbl_ProduitsRef[Prix Menu],MATCH(tbl_Ventes[[#This Row],[Produit]],tbl_ProduitsRef[Produit],0)),
   ""
)</f>
        <v/>
      </c>
      <c r="G1974" s="7">
        <f>tbl_Ventes[[#This Row],[Qté Vendue]] * IFERROR(_xlfn.XLOOKUP(tbl_Ventes[[#This Row],[Cde_Prdt]], tbl_Produits[Cde_Prdt], tbl_Produits[Prix Menu]), 0)</f>
        <v>0</v>
      </c>
      <c r="H1974" s="7">
        <f>IFERROR(_xlfn.XLOOKUP(tbl_Ventes[[#This Row],[Cde_Prdt]], tbl_Produits[Cde_Prdt], tbl_Produits[Coût Moyen Portion]), 0)</f>
        <v>0</v>
      </c>
      <c r="I1974" s="7">
        <f>tbl_Ventes[[#This Row],[Qté Vendue]] * tbl_Ventes[[#This Row],[CMP_par_portion]]</f>
        <v>0</v>
      </c>
      <c r="J1974" s="7">
        <f>tbl_Ventes[[#This Row],[CA ligne]] - tbl_Ventes[[#This Row],[Coût matière ligne]]</f>
        <v>0</v>
      </c>
      <c r="K1974" s="7" t="str">
        <f>IFERROR(INDEX(tbl_ProduitsRef[Famille], MATCH(tbl_Ventes[[#This Row],[Cde_Prdt]], tbl_Produits[Cde_Prdt], 0)), "")</f>
        <v/>
      </c>
    </row>
    <row r="1975" spans="1:11" x14ac:dyDescent="0.25">
      <c r="A1975" s="5"/>
      <c r="B1975" s="63" t="str">
        <f>IFERROR(TEXT(tbl_Ventes[[#This Row],[Date]],"mm-aaaa"),"")</f>
        <v>01-1900</v>
      </c>
      <c r="D1975" s="10" t="str">
        <f>IFERROR(
   INDEX(tbl_ProduitsRef[Cde_Prdt],MATCH(tbl_Ventes[[#This Row],[Produit]],tbl_ProduitsRef[Produit],0)),
   ""
)</f>
        <v/>
      </c>
      <c r="E1975" s="7">
        <v>0</v>
      </c>
      <c r="F1975" s="7" t="str">
        <f>IFERROR(
   INDEX(tbl_ProduitsRef[Prix Menu],MATCH(tbl_Ventes[[#This Row],[Produit]],tbl_ProduitsRef[Produit],0)),
   ""
)</f>
        <v/>
      </c>
      <c r="G1975" s="7">
        <f>tbl_Ventes[[#This Row],[Qté Vendue]] * IFERROR(_xlfn.XLOOKUP(tbl_Ventes[[#This Row],[Cde_Prdt]], tbl_Produits[Cde_Prdt], tbl_Produits[Prix Menu]), 0)</f>
        <v>0</v>
      </c>
      <c r="H1975" s="7">
        <f>IFERROR(_xlfn.XLOOKUP(tbl_Ventes[[#This Row],[Cde_Prdt]], tbl_Produits[Cde_Prdt], tbl_Produits[Coût Moyen Portion]), 0)</f>
        <v>0</v>
      </c>
      <c r="I1975" s="7">
        <f>tbl_Ventes[[#This Row],[Qté Vendue]] * tbl_Ventes[[#This Row],[CMP_par_portion]]</f>
        <v>0</v>
      </c>
      <c r="J1975" s="7">
        <f>tbl_Ventes[[#This Row],[CA ligne]] - tbl_Ventes[[#This Row],[Coût matière ligne]]</f>
        <v>0</v>
      </c>
      <c r="K1975" s="7" t="str">
        <f>IFERROR(INDEX(tbl_ProduitsRef[Famille], MATCH(tbl_Ventes[[#This Row],[Cde_Prdt]], tbl_Produits[Cde_Prdt], 0)), "")</f>
        <v/>
      </c>
    </row>
    <row r="1976" spans="1:11" x14ac:dyDescent="0.25">
      <c r="A1976" s="5"/>
      <c r="B1976" s="63" t="str">
        <f>IFERROR(TEXT(tbl_Ventes[[#This Row],[Date]],"mm-aaaa"),"")</f>
        <v>01-1900</v>
      </c>
      <c r="D1976" s="10" t="str">
        <f>IFERROR(
   INDEX(tbl_ProduitsRef[Cde_Prdt],MATCH(tbl_Ventes[[#This Row],[Produit]],tbl_ProduitsRef[Produit],0)),
   ""
)</f>
        <v/>
      </c>
      <c r="E1976" s="7">
        <v>0</v>
      </c>
      <c r="F1976" s="7" t="str">
        <f>IFERROR(
   INDEX(tbl_ProduitsRef[Prix Menu],MATCH(tbl_Ventes[[#This Row],[Produit]],tbl_ProduitsRef[Produit],0)),
   ""
)</f>
        <v/>
      </c>
      <c r="G1976" s="7">
        <f>tbl_Ventes[[#This Row],[Qté Vendue]] * IFERROR(_xlfn.XLOOKUP(tbl_Ventes[[#This Row],[Cde_Prdt]], tbl_Produits[Cde_Prdt], tbl_Produits[Prix Menu]), 0)</f>
        <v>0</v>
      </c>
      <c r="H1976" s="7">
        <f>IFERROR(_xlfn.XLOOKUP(tbl_Ventes[[#This Row],[Cde_Prdt]], tbl_Produits[Cde_Prdt], tbl_Produits[Coût Moyen Portion]), 0)</f>
        <v>0</v>
      </c>
      <c r="I1976" s="7">
        <f>tbl_Ventes[[#This Row],[Qté Vendue]] * tbl_Ventes[[#This Row],[CMP_par_portion]]</f>
        <v>0</v>
      </c>
      <c r="J1976" s="7">
        <f>tbl_Ventes[[#This Row],[CA ligne]] - tbl_Ventes[[#This Row],[Coût matière ligne]]</f>
        <v>0</v>
      </c>
      <c r="K1976" s="7" t="str">
        <f>IFERROR(INDEX(tbl_ProduitsRef[Famille], MATCH(tbl_Ventes[[#This Row],[Cde_Prdt]], tbl_Produits[Cde_Prdt], 0)), "")</f>
        <v/>
      </c>
    </row>
    <row r="1977" spans="1:11" x14ac:dyDescent="0.25">
      <c r="A1977" s="5"/>
      <c r="B1977" s="63" t="str">
        <f>IFERROR(TEXT(tbl_Ventes[[#This Row],[Date]],"mm-aaaa"),"")</f>
        <v>01-1900</v>
      </c>
      <c r="D1977" s="10" t="str">
        <f>IFERROR(
   INDEX(tbl_ProduitsRef[Cde_Prdt],MATCH(tbl_Ventes[[#This Row],[Produit]],tbl_ProduitsRef[Produit],0)),
   ""
)</f>
        <v/>
      </c>
      <c r="E1977" s="7">
        <v>0</v>
      </c>
      <c r="F1977" s="7" t="str">
        <f>IFERROR(
   INDEX(tbl_ProduitsRef[Prix Menu],MATCH(tbl_Ventes[[#This Row],[Produit]],tbl_ProduitsRef[Produit],0)),
   ""
)</f>
        <v/>
      </c>
      <c r="G1977" s="7">
        <f>tbl_Ventes[[#This Row],[Qté Vendue]] * IFERROR(_xlfn.XLOOKUP(tbl_Ventes[[#This Row],[Cde_Prdt]], tbl_Produits[Cde_Prdt], tbl_Produits[Prix Menu]), 0)</f>
        <v>0</v>
      </c>
      <c r="H1977" s="7">
        <f>IFERROR(_xlfn.XLOOKUP(tbl_Ventes[[#This Row],[Cde_Prdt]], tbl_Produits[Cde_Prdt], tbl_Produits[Coût Moyen Portion]), 0)</f>
        <v>0</v>
      </c>
      <c r="I1977" s="7">
        <f>tbl_Ventes[[#This Row],[Qté Vendue]] * tbl_Ventes[[#This Row],[CMP_par_portion]]</f>
        <v>0</v>
      </c>
      <c r="J1977" s="7">
        <f>tbl_Ventes[[#This Row],[CA ligne]] - tbl_Ventes[[#This Row],[Coût matière ligne]]</f>
        <v>0</v>
      </c>
      <c r="K1977" s="7" t="str">
        <f>IFERROR(INDEX(tbl_ProduitsRef[Famille], MATCH(tbl_Ventes[[#This Row],[Cde_Prdt]], tbl_Produits[Cde_Prdt], 0)), "")</f>
        <v/>
      </c>
    </row>
    <row r="1978" spans="1:11" x14ac:dyDescent="0.25">
      <c r="A1978" s="5"/>
      <c r="B1978" s="63" t="str">
        <f>IFERROR(TEXT(tbl_Ventes[[#This Row],[Date]],"mm-aaaa"),"")</f>
        <v>01-1900</v>
      </c>
      <c r="D1978" s="10" t="str">
        <f>IFERROR(
   INDEX(tbl_ProduitsRef[Cde_Prdt],MATCH(tbl_Ventes[[#This Row],[Produit]],tbl_ProduitsRef[Produit],0)),
   ""
)</f>
        <v/>
      </c>
      <c r="E1978" s="7">
        <v>0</v>
      </c>
      <c r="F1978" s="7" t="str">
        <f>IFERROR(
   INDEX(tbl_ProduitsRef[Prix Menu],MATCH(tbl_Ventes[[#This Row],[Produit]],tbl_ProduitsRef[Produit],0)),
   ""
)</f>
        <v/>
      </c>
      <c r="G1978" s="7">
        <f>tbl_Ventes[[#This Row],[Qté Vendue]] * IFERROR(_xlfn.XLOOKUP(tbl_Ventes[[#This Row],[Cde_Prdt]], tbl_Produits[Cde_Prdt], tbl_Produits[Prix Menu]), 0)</f>
        <v>0</v>
      </c>
      <c r="H1978" s="7">
        <f>IFERROR(_xlfn.XLOOKUP(tbl_Ventes[[#This Row],[Cde_Prdt]], tbl_Produits[Cde_Prdt], tbl_Produits[Coût Moyen Portion]), 0)</f>
        <v>0</v>
      </c>
      <c r="I1978" s="7">
        <f>tbl_Ventes[[#This Row],[Qté Vendue]] * tbl_Ventes[[#This Row],[CMP_par_portion]]</f>
        <v>0</v>
      </c>
      <c r="J1978" s="7">
        <f>tbl_Ventes[[#This Row],[CA ligne]] - tbl_Ventes[[#This Row],[Coût matière ligne]]</f>
        <v>0</v>
      </c>
      <c r="K1978" s="7" t="str">
        <f>IFERROR(INDEX(tbl_ProduitsRef[Famille], MATCH(tbl_Ventes[[#This Row],[Cde_Prdt]], tbl_Produits[Cde_Prdt], 0)), "")</f>
        <v/>
      </c>
    </row>
    <row r="1979" spans="1:11" x14ac:dyDescent="0.25">
      <c r="A1979" s="5"/>
      <c r="B1979" s="63" t="str">
        <f>IFERROR(TEXT(tbl_Ventes[[#This Row],[Date]],"mm-aaaa"),"")</f>
        <v>01-1900</v>
      </c>
      <c r="D1979" s="10" t="str">
        <f>IFERROR(
   INDEX(tbl_ProduitsRef[Cde_Prdt],MATCH(tbl_Ventes[[#This Row],[Produit]],tbl_ProduitsRef[Produit],0)),
   ""
)</f>
        <v/>
      </c>
      <c r="E1979" s="7">
        <v>0</v>
      </c>
      <c r="F1979" s="7" t="str">
        <f>IFERROR(
   INDEX(tbl_ProduitsRef[Prix Menu],MATCH(tbl_Ventes[[#This Row],[Produit]],tbl_ProduitsRef[Produit],0)),
   ""
)</f>
        <v/>
      </c>
      <c r="G1979" s="7">
        <f>tbl_Ventes[[#This Row],[Qté Vendue]] * IFERROR(_xlfn.XLOOKUP(tbl_Ventes[[#This Row],[Cde_Prdt]], tbl_Produits[Cde_Prdt], tbl_Produits[Prix Menu]), 0)</f>
        <v>0</v>
      </c>
      <c r="H1979" s="7">
        <f>IFERROR(_xlfn.XLOOKUP(tbl_Ventes[[#This Row],[Cde_Prdt]], tbl_Produits[Cde_Prdt], tbl_Produits[Coût Moyen Portion]), 0)</f>
        <v>0</v>
      </c>
      <c r="I1979" s="7">
        <f>tbl_Ventes[[#This Row],[Qté Vendue]] * tbl_Ventes[[#This Row],[CMP_par_portion]]</f>
        <v>0</v>
      </c>
      <c r="J1979" s="7">
        <f>tbl_Ventes[[#This Row],[CA ligne]] - tbl_Ventes[[#This Row],[Coût matière ligne]]</f>
        <v>0</v>
      </c>
      <c r="K1979" s="7" t="str">
        <f>IFERROR(INDEX(tbl_ProduitsRef[Famille], MATCH(tbl_Ventes[[#This Row],[Cde_Prdt]], tbl_Produits[Cde_Prdt], 0)), "")</f>
        <v/>
      </c>
    </row>
    <row r="1980" spans="1:11" x14ac:dyDescent="0.25">
      <c r="A1980" s="5"/>
      <c r="B1980" s="63" t="str">
        <f>IFERROR(TEXT(tbl_Ventes[[#This Row],[Date]],"mm-aaaa"),"")</f>
        <v>01-1900</v>
      </c>
      <c r="D1980" s="10" t="str">
        <f>IFERROR(
   INDEX(tbl_ProduitsRef[Cde_Prdt],MATCH(tbl_Ventes[[#This Row],[Produit]],tbl_ProduitsRef[Produit],0)),
   ""
)</f>
        <v/>
      </c>
      <c r="E1980" s="7">
        <v>0</v>
      </c>
      <c r="F1980" s="7" t="str">
        <f>IFERROR(
   INDEX(tbl_ProduitsRef[Prix Menu],MATCH(tbl_Ventes[[#This Row],[Produit]],tbl_ProduitsRef[Produit],0)),
   ""
)</f>
        <v/>
      </c>
      <c r="G1980" s="7">
        <f>tbl_Ventes[[#This Row],[Qté Vendue]] * IFERROR(_xlfn.XLOOKUP(tbl_Ventes[[#This Row],[Cde_Prdt]], tbl_Produits[Cde_Prdt], tbl_Produits[Prix Menu]), 0)</f>
        <v>0</v>
      </c>
      <c r="H1980" s="7">
        <f>IFERROR(_xlfn.XLOOKUP(tbl_Ventes[[#This Row],[Cde_Prdt]], tbl_Produits[Cde_Prdt], tbl_Produits[Coût Moyen Portion]), 0)</f>
        <v>0</v>
      </c>
      <c r="I1980" s="7">
        <f>tbl_Ventes[[#This Row],[Qté Vendue]] * tbl_Ventes[[#This Row],[CMP_par_portion]]</f>
        <v>0</v>
      </c>
      <c r="J1980" s="7">
        <f>tbl_Ventes[[#This Row],[CA ligne]] - tbl_Ventes[[#This Row],[Coût matière ligne]]</f>
        <v>0</v>
      </c>
      <c r="K1980" s="7" t="str">
        <f>IFERROR(INDEX(tbl_ProduitsRef[Famille], MATCH(tbl_Ventes[[#This Row],[Cde_Prdt]], tbl_Produits[Cde_Prdt], 0)), "")</f>
        <v/>
      </c>
    </row>
    <row r="1981" spans="1:11" x14ac:dyDescent="0.25">
      <c r="A1981" s="5"/>
      <c r="B1981" s="63" t="str">
        <f>IFERROR(TEXT(tbl_Ventes[[#This Row],[Date]],"mm-aaaa"),"")</f>
        <v>01-1900</v>
      </c>
      <c r="D1981" s="10" t="str">
        <f>IFERROR(
   INDEX(tbl_ProduitsRef[Cde_Prdt],MATCH(tbl_Ventes[[#This Row],[Produit]],tbl_ProduitsRef[Produit],0)),
   ""
)</f>
        <v/>
      </c>
      <c r="E1981" s="7">
        <v>0</v>
      </c>
      <c r="F1981" s="7" t="str">
        <f>IFERROR(
   INDEX(tbl_ProduitsRef[Prix Menu],MATCH(tbl_Ventes[[#This Row],[Produit]],tbl_ProduitsRef[Produit],0)),
   ""
)</f>
        <v/>
      </c>
      <c r="G1981" s="7">
        <f>tbl_Ventes[[#This Row],[Qté Vendue]] * IFERROR(_xlfn.XLOOKUP(tbl_Ventes[[#This Row],[Cde_Prdt]], tbl_Produits[Cde_Prdt], tbl_Produits[Prix Menu]), 0)</f>
        <v>0</v>
      </c>
      <c r="H1981" s="7">
        <f>IFERROR(_xlfn.XLOOKUP(tbl_Ventes[[#This Row],[Cde_Prdt]], tbl_Produits[Cde_Prdt], tbl_Produits[Coût Moyen Portion]), 0)</f>
        <v>0</v>
      </c>
      <c r="I1981" s="7">
        <f>tbl_Ventes[[#This Row],[Qté Vendue]] * tbl_Ventes[[#This Row],[CMP_par_portion]]</f>
        <v>0</v>
      </c>
      <c r="J1981" s="7">
        <f>tbl_Ventes[[#This Row],[CA ligne]] - tbl_Ventes[[#This Row],[Coût matière ligne]]</f>
        <v>0</v>
      </c>
      <c r="K1981" s="7" t="str">
        <f>IFERROR(INDEX(tbl_ProduitsRef[Famille], MATCH(tbl_Ventes[[#This Row],[Cde_Prdt]], tbl_Produits[Cde_Prdt], 0)), "")</f>
        <v/>
      </c>
    </row>
    <row r="1982" spans="1:11" x14ac:dyDescent="0.25">
      <c r="A1982" s="5"/>
      <c r="B1982" s="63" t="str">
        <f>IFERROR(TEXT(tbl_Ventes[[#This Row],[Date]],"mm-aaaa"),"")</f>
        <v>01-1900</v>
      </c>
      <c r="D1982" s="10" t="str">
        <f>IFERROR(
   INDEX(tbl_ProduitsRef[Cde_Prdt],MATCH(tbl_Ventes[[#This Row],[Produit]],tbl_ProduitsRef[Produit],0)),
   ""
)</f>
        <v/>
      </c>
      <c r="E1982" s="7">
        <v>0</v>
      </c>
      <c r="F1982" s="7" t="str">
        <f>IFERROR(
   INDEX(tbl_ProduitsRef[Prix Menu],MATCH(tbl_Ventes[[#This Row],[Produit]],tbl_ProduitsRef[Produit],0)),
   ""
)</f>
        <v/>
      </c>
      <c r="G1982" s="7">
        <f>tbl_Ventes[[#This Row],[Qté Vendue]] * IFERROR(_xlfn.XLOOKUP(tbl_Ventes[[#This Row],[Cde_Prdt]], tbl_Produits[Cde_Prdt], tbl_Produits[Prix Menu]), 0)</f>
        <v>0</v>
      </c>
      <c r="H1982" s="7">
        <f>IFERROR(_xlfn.XLOOKUP(tbl_Ventes[[#This Row],[Cde_Prdt]], tbl_Produits[Cde_Prdt], tbl_Produits[Coût Moyen Portion]), 0)</f>
        <v>0</v>
      </c>
      <c r="I1982" s="7">
        <f>tbl_Ventes[[#This Row],[Qté Vendue]] * tbl_Ventes[[#This Row],[CMP_par_portion]]</f>
        <v>0</v>
      </c>
      <c r="J1982" s="7">
        <f>tbl_Ventes[[#This Row],[CA ligne]] - tbl_Ventes[[#This Row],[Coût matière ligne]]</f>
        <v>0</v>
      </c>
      <c r="K1982" s="7" t="str">
        <f>IFERROR(INDEX(tbl_ProduitsRef[Famille], MATCH(tbl_Ventes[[#This Row],[Cde_Prdt]], tbl_Produits[Cde_Prdt], 0)), "")</f>
        <v/>
      </c>
    </row>
    <row r="1983" spans="1:11" x14ac:dyDescent="0.25">
      <c r="A1983" s="5"/>
      <c r="B1983" s="63" t="str">
        <f>IFERROR(TEXT(tbl_Ventes[[#This Row],[Date]],"mm-aaaa"),"")</f>
        <v>01-1900</v>
      </c>
      <c r="D1983" s="10" t="str">
        <f>IFERROR(
   INDEX(tbl_ProduitsRef[Cde_Prdt],MATCH(tbl_Ventes[[#This Row],[Produit]],tbl_ProduitsRef[Produit],0)),
   ""
)</f>
        <v/>
      </c>
      <c r="E1983" s="7">
        <v>0</v>
      </c>
      <c r="F1983" s="7" t="str">
        <f>IFERROR(
   INDEX(tbl_ProduitsRef[Prix Menu],MATCH(tbl_Ventes[[#This Row],[Produit]],tbl_ProduitsRef[Produit],0)),
   ""
)</f>
        <v/>
      </c>
      <c r="G1983" s="7">
        <f>tbl_Ventes[[#This Row],[Qté Vendue]] * IFERROR(_xlfn.XLOOKUP(tbl_Ventes[[#This Row],[Cde_Prdt]], tbl_Produits[Cde_Prdt], tbl_Produits[Prix Menu]), 0)</f>
        <v>0</v>
      </c>
      <c r="H1983" s="7">
        <f>IFERROR(_xlfn.XLOOKUP(tbl_Ventes[[#This Row],[Cde_Prdt]], tbl_Produits[Cde_Prdt], tbl_Produits[Coût Moyen Portion]), 0)</f>
        <v>0</v>
      </c>
      <c r="I1983" s="7">
        <f>tbl_Ventes[[#This Row],[Qté Vendue]] * tbl_Ventes[[#This Row],[CMP_par_portion]]</f>
        <v>0</v>
      </c>
      <c r="J1983" s="7">
        <f>tbl_Ventes[[#This Row],[CA ligne]] - tbl_Ventes[[#This Row],[Coût matière ligne]]</f>
        <v>0</v>
      </c>
      <c r="K1983" s="7" t="str">
        <f>IFERROR(INDEX(tbl_ProduitsRef[Famille], MATCH(tbl_Ventes[[#This Row],[Cde_Prdt]], tbl_Produits[Cde_Prdt], 0)), "")</f>
        <v/>
      </c>
    </row>
    <row r="1984" spans="1:11" x14ac:dyDescent="0.25">
      <c r="A1984" s="5"/>
      <c r="B1984" s="63" t="str">
        <f>IFERROR(TEXT(tbl_Ventes[[#This Row],[Date]],"mm-aaaa"),"")</f>
        <v>01-1900</v>
      </c>
      <c r="D1984" s="10" t="str">
        <f>IFERROR(
   INDEX(tbl_ProduitsRef[Cde_Prdt],MATCH(tbl_Ventes[[#This Row],[Produit]],tbl_ProduitsRef[Produit],0)),
   ""
)</f>
        <v/>
      </c>
      <c r="E1984" s="7">
        <v>0</v>
      </c>
      <c r="F1984" s="7" t="str">
        <f>IFERROR(
   INDEX(tbl_ProduitsRef[Prix Menu],MATCH(tbl_Ventes[[#This Row],[Produit]],tbl_ProduitsRef[Produit],0)),
   ""
)</f>
        <v/>
      </c>
      <c r="G1984" s="7">
        <f>tbl_Ventes[[#This Row],[Qté Vendue]] * IFERROR(_xlfn.XLOOKUP(tbl_Ventes[[#This Row],[Cde_Prdt]], tbl_Produits[Cde_Prdt], tbl_Produits[Prix Menu]), 0)</f>
        <v>0</v>
      </c>
      <c r="H1984" s="7">
        <f>IFERROR(_xlfn.XLOOKUP(tbl_Ventes[[#This Row],[Cde_Prdt]], tbl_Produits[Cde_Prdt], tbl_Produits[Coût Moyen Portion]), 0)</f>
        <v>0</v>
      </c>
      <c r="I1984" s="7">
        <f>tbl_Ventes[[#This Row],[Qté Vendue]] * tbl_Ventes[[#This Row],[CMP_par_portion]]</f>
        <v>0</v>
      </c>
      <c r="J1984" s="7">
        <f>tbl_Ventes[[#This Row],[CA ligne]] - tbl_Ventes[[#This Row],[Coût matière ligne]]</f>
        <v>0</v>
      </c>
      <c r="K1984" s="7" t="str">
        <f>IFERROR(INDEX(tbl_ProduitsRef[Famille], MATCH(tbl_Ventes[[#This Row],[Cde_Prdt]], tbl_Produits[Cde_Prdt], 0)), "")</f>
        <v/>
      </c>
    </row>
    <row r="1985" spans="1:11" x14ac:dyDescent="0.25">
      <c r="A1985" s="5"/>
      <c r="B1985" s="63" t="str">
        <f>IFERROR(TEXT(tbl_Ventes[[#This Row],[Date]],"mm-aaaa"),"")</f>
        <v>01-1900</v>
      </c>
      <c r="D1985" s="10" t="str">
        <f>IFERROR(
   INDEX(tbl_ProduitsRef[Cde_Prdt],MATCH(tbl_Ventes[[#This Row],[Produit]],tbl_ProduitsRef[Produit],0)),
   ""
)</f>
        <v/>
      </c>
      <c r="E1985" s="7">
        <v>0</v>
      </c>
      <c r="F1985" s="7" t="str">
        <f>IFERROR(
   INDEX(tbl_ProduitsRef[Prix Menu],MATCH(tbl_Ventes[[#This Row],[Produit]],tbl_ProduitsRef[Produit],0)),
   ""
)</f>
        <v/>
      </c>
      <c r="G1985" s="7">
        <f>tbl_Ventes[[#This Row],[Qté Vendue]] * IFERROR(_xlfn.XLOOKUP(tbl_Ventes[[#This Row],[Cde_Prdt]], tbl_Produits[Cde_Prdt], tbl_Produits[Prix Menu]), 0)</f>
        <v>0</v>
      </c>
      <c r="H1985" s="7">
        <f>IFERROR(_xlfn.XLOOKUP(tbl_Ventes[[#This Row],[Cde_Prdt]], tbl_Produits[Cde_Prdt], tbl_Produits[Coût Moyen Portion]), 0)</f>
        <v>0</v>
      </c>
      <c r="I1985" s="7">
        <f>tbl_Ventes[[#This Row],[Qté Vendue]] * tbl_Ventes[[#This Row],[CMP_par_portion]]</f>
        <v>0</v>
      </c>
      <c r="J1985" s="7">
        <f>tbl_Ventes[[#This Row],[CA ligne]] - tbl_Ventes[[#This Row],[Coût matière ligne]]</f>
        <v>0</v>
      </c>
      <c r="K1985" s="7" t="str">
        <f>IFERROR(INDEX(tbl_ProduitsRef[Famille], MATCH(tbl_Ventes[[#This Row],[Cde_Prdt]], tbl_Produits[Cde_Prdt], 0)), "")</f>
        <v/>
      </c>
    </row>
    <row r="1986" spans="1:11" x14ac:dyDescent="0.25">
      <c r="A1986" s="5"/>
      <c r="B1986" s="63" t="str">
        <f>IFERROR(TEXT(tbl_Ventes[[#This Row],[Date]],"mm-aaaa"),"")</f>
        <v>01-1900</v>
      </c>
      <c r="D1986" s="10" t="str">
        <f>IFERROR(
   INDEX(tbl_ProduitsRef[Cde_Prdt],MATCH(tbl_Ventes[[#This Row],[Produit]],tbl_ProduitsRef[Produit],0)),
   ""
)</f>
        <v/>
      </c>
      <c r="E1986" s="7">
        <v>0</v>
      </c>
      <c r="F1986" s="7" t="str">
        <f>IFERROR(
   INDEX(tbl_ProduitsRef[Prix Menu],MATCH(tbl_Ventes[[#This Row],[Produit]],tbl_ProduitsRef[Produit],0)),
   ""
)</f>
        <v/>
      </c>
      <c r="G1986" s="7">
        <f>tbl_Ventes[[#This Row],[Qté Vendue]] * IFERROR(_xlfn.XLOOKUP(tbl_Ventes[[#This Row],[Cde_Prdt]], tbl_Produits[Cde_Prdt], tbl_Produits[Prix Menu]), 0)</f>
        <v>0</v>
      </c>
      <c r="H1986" s="7">
        <f>IFERROR(_xlfn.XLOOKUP(tbl_Ventes[[#This Row],[Cde_Prdt]], tbl_Produits[Cde_Prdt], tbl_Produits[Coût Moyen Portion]), 0)</f>
        <v>0</v>
      </c>
      <c r="I1986" s="7">
        <f>tbl_Ventes[[#This Row],[Qté Vendue]] * tbl_Ventes[[#This Row],[CMP_par_portion]]</f>
        <v>0</v>
      </c>
      <c r="J1986" s="7">
        <f>tbl_Ventes[[#This Row],[CA ligne]] - tbl_Ventes[[#This Row],[Coût matière ligne]]</f>
        <v>0</v>
      </c>
      <c r="K1986" s="7" t="str">
        <f>IFERROR(INDEX(tbl_ProduitsRef[Famille], MATCH(tbl_Ventes[[#This Row],[Cde_Prdt]], tbl_Produits[Cde_Prdt], 0)), "")</f>
        <v/>
      </c>
    </row>
    <row r="1987" spans="1:11" x14ac:dyDescent="0.25">
      <c r="A1987" s="5"/>
      <c r="B1987" s="63" t="str">
        <f>IFERROR(TEXT(tbl_Ventes[[#This Row],[Date]],"mm-aaaa"),"")</f>
        <v>01-1900</v>
      </c>
      <c r="D1987" s="10" t="str">
        <f>IFERROR(
   INDEX(tbl_ProduitsRef[Cde_Prdt],MATCH(tbl_Ventes[[#This Row],[Produit]],tbl_ProduitsRef[Produit],0)),
   ""
)</f>
        <v/>
      </c>
      <c r="E1987" s="7">
        <v>0</v>
      </c>
      <c r="F1987" s="7" t="str">
        <f>IFERROR(
   INDEX(tbl_ProduitsRef[Prix Menu],MATCH(tbl_Ventes[[#This Row],[Produit]],tbl_ProduitsRef[Produit],0)),
   ""
)</f>
        <v/>
      </c>
      <c r="G1987" s="7">
        <f>tbl_Ventes[[#This Row],[Qté Vendue]] * IFERROR(_xlfn.XLOOKUP(tbl_Ventes[[#This Row],[Cde_Prdt]], tbl_Produits[Cde_Prdt], tbl_Produits[Prix Menu]), 0)</f>
        <v>0</v>
      </c>
      <c r="H1987" s="7">
        <f>IFERROR(_xlfn.XLOOKUP(tbl_Ventes[[#This Row],[Cde_Prdt]], tbl_Produits[Cde_Prdt], tbl_Produits[Coût Moyen Portion]), 0)</f>
        <v>0</v>
      </c>
      <c r="I1987" s="7">
        <f>tbl_Ventes[[#This Row],[Qté Vendue]] * tbl_Ventes[[#This Row],[CMP_par_portion]]</f>
        <v>0</v>
      </c>
      <c r="J1987" s="7">
        <f>tbl_Ventes[[#This Row],[CA ligne]] - tbl_Ventes[[#This Row],[Coût matière ligne]]</f>
        <v>0</v>
      </c>
      <c r="K1987" s="7" t="str">
        <f>IFERROR(INDEX(tbl_ProduitsRef[Famille], MATCH(tbl_Ventes[[#This Row],[Cde_Prdt]], tbl_Produits[Cde_Prdt], 0)), "")</f>
        <v/>
      </c>
    </row>
    <row r="1988" spans="1:11" x14ac:dyDescent="0.25">
      <c r="A1988" s="5"/>
      <c r="B1988" s="63" t="str">
        <f>IFERROR(TEXT(tbl_Ventes[[#This Row],[Date]],"mm-aaaa"),"")</f>
        <v>01-1900</v>
      </c>
      <c r="D1988" s="10" t="str">
        <f>IFERROR(
   INDEX(tbl_ProduitsRef[Cde_Prdt],MATCH(tbl_Ventes[[#This Row],[Produit]],tbl_ProduitsRef[Produit],0)),
   ""
)</f>
        <v/>
      </c>
      <c r="E1988" s="7">
        <v>0</v>
      </c>
      <c r="F1988" s="7" t="str">
        <f>IFERROR(
   INDEX(tbl_ProduitsRef[Prix Menu],MATCH(tbl_Ventes[[#This Row],[Produit]],tbl_ProduitsRef[Produit],0)),
   ""
)</f>
        <v/>
      </c>
      <c r="G1988" s="7">
        <f>tbl_Ventes[[#This Row],[Qté Vendue]] * IFERROR(_xlfn.XLOOKUP(tbl_Ventes[[#This Row],[Cde_Prdt]], tbl_Produits[Cde_Prdt], tbl_Produits[Prix Menu]), 0)</f>
        <v>0</v>
      </c>
      <c r="H1988" s="7">
        <f>IFERROR(_xlfn.XLOOKUP(tbl_Ventes[[#This Row],[Cde_Prdt]], tbl_Produits[Cde_Prdt], tbl_Produits[Coût Moyen Portion]), 0)</f>
        <v>0</v>
      </c>
      <c r="I1988" s="7">
        <f>tbl_Ventes[[#This Row],[Qté Vendue]] * tbl_Ventes[[#This Row],[CMP_par_portion]]</f>
        <v>0</v>
      </c>
      <c r="J1988" s="7">
        <f>tbl_Ventes[[#This Row],[CA ligne]] - tbl_Ventes[[#This Row],[Coût matière ligne]]</f>
        <v>0</v>
      </c>
      <c r="K1988" s="7" t="str">
        <f>IFERROR(INDEX(tbl_ProduitsRef[Famille], MATCH(tbl_Ventes[[#This Row],[Cde_Prdt]], tbl_Produits[Cde_Prdt], 0)), "")</f>
        <v/>
      </c>
    </row>
    <row r="1989" spans="1:11" x14ac:dyDescent="0.25">
      <c r="A1989" s="5"/>
      <c r="B1989" s="63" t="str">
        <f>IFERROR(TEXT(tbl_Ventes[[#This Row],[Date]],"mm-aaaa"),"")</f>
        <v>01-1900</v>
      </c>
      <c r="D1989" s="10" t="str">
        <f>IFERROR(
   INDEX(tbl_ProduitsRef[Cde_Prdt],MATCH(tbl_Ventes[[#This Row],[Produit]],tbl_ProduitsRef[Produit],0)),
   ""
)</f>
        <v/>
      </c>
      <c r="E1989" s="7">
        <v>0</v>
      </c>
      <c r="F1989" s="7" t="str">
        <f>IFERROR(
   INDEX(tbl_ProduitsRef[Prix Menu],MATCH(tbl_Ventes[[#This Row],[Produit]],tbl_ProduitsRef[Produit],0)),
   ""
)</f>
        <v/>
      </c>
      <c r="G1989" s="7">
        <f>tbl_Ventes[[#This Row],[Qté Vendue]] * IFERROR(_xlfn.XLOOKUP(tbl_Ventes[[#This Row],[Cde_Prdt]], tbl_Produits[Cde_Prdt], tbl_Produits[Prix Menu]), 0)</f>
        <v>0</v>
      </c>
      <c r="H1989" s="7">
        <f>IFERROR(_xlfn.XLOOKUP(tbl_Ventes[[#This Row],[Cde_Prdt]], tbl_Produits[Cde_Prdt], tbl_Produits[Coût Moyen Portion]), 0)</f>
        <v>0</v>
      </c>
      <c r="I1989" s="7">
        <f>tbl_Ventes[[#This Row],[Qté Vendue]] * tbl_Ventes[[#This Row],[CMP_par_portion]]</f>
        <v>0</v>
      </c>
      <c r="J1989" s="7">
        <f>tbl_Ventes[[#This Row],[CA ligne]] - tbl_Ventes[[#This Row],[Coût matière ligne]]</f>
        <v>0</v>
      </c>
      <c r="K1989" s="7" t="str">
        <f>IFERROR(INDEX(tbl_ProduitsRef[Famille], MATCH(tbl_Ventes[[#This Row],[Cde_Prdt]], tbl_Produits[Cde_Prdt], 0)), "")</f>
        <v/>
      </c>
    </row>
    <row r="1990" spans="1:11" x14ac:dyDescent="0.25">
      <c r="A1990" s="5"/>
      <c r="B1990" s="63" t="str">
        <f>IFERROR(TEXT(tbl_Ventes[[#This Row],[Date]],"mm-aaaa"),"")</f>
        <v>01-1900</v>
      </c>
      <c r="D1990" s="10" t="str">
        <f>IFERROR(
   INDEX(tbl_ProduitsRef[Cde_Prdt],MATCH(tbl_Ventes[[#This Row],[Produit]],tbl_ProduitsRef[Produit],0)),
   ""
)</f>
        <v/>
      </c>
      <c r="E1990" s="7">
        <v>0</v>
      </c>
      <c r="F1990" s="7" t="str">
        <f>IFERROR(
   INDEX(tbl_ProduitsRef[Prix Menu],MATCH(tbl_Ventes[[#This Row],[Produit]],tbl_ProduitsRef[Produit],0)),
   ""
)</f>
        <v/>
      </c>
      <c r="G1990" s="7">
        <f>tbl_Ventes[[#This Row],[Qté Vendue]] * IFERROR(_xlfn.XLOOKUP(tbl_Ventes[[#This Row],[Cde_Prdt]], tbl_Produits[Cde_Prdt], tbl_Produits[Prix Menu]), 0)</f>
        <v>0</v>
      </c>
      <c r="H1990" s="7">
        <f>IFERROR(_xlfn.XLOOKUP(tbl_Ventes[[#This Row],[Cde_Prdt]], tbl_Produits[Cde_Prdt], tbl_Produits[Coût Moyen Portion]), 0)</f>
        <v>0</v>
      </c>
      <c r="I1990" s="7">
        <f>tbl_Ventes[[#This Row],[Qté Vendue]] * tbl_Ventes[[#This Row],[CMP_par_portion]]</f>
        <v>0</v>
      </c>
      <c r="J1990" s="7">
        <f>tbl_Ventes[[#This Row],[CA ligne]] - tbl_Ventes[[#This Row],[Coût matière ligne]]</f>
        <v>0</v>
      </c>
      <c r="K1990" s="7" t="str">
        <f>IFERROR(INDEX(tbl_ProduitsRef[Famille], MATCH(tbl_Ventes[[#This Row],[Cde_Prdt]], tbl_Produits[Cde_Prdt], 0)), "")</f>
        <v/>
      </c>
    </row>
    <row r="1991" spans="1:11" x14ac:dyDescent="0.25">
      <c r="A1991" s="5"/>
      <c r="B1991" s="63" t="str">
        <f>IFERROR(TEXT(tbl_Ventes[[#This Row],[Date]],"mm-aaaa"),"")</f>
        <v>01-1900</v>
      </c>
      <c r="D1991" s="10" t="str">
        <f>IFERROR(
   INDEX(tbl_ProduitsRef[Cde_Prdt],MATCH(tbl_Ventes[[#This Row],[Produit]],tbl_ProduitsRef[Produit],0)),
   ""
)</f>
        <v/>
      </c>
      <c r="E1991" s="7">
        <v>0</v>
      </c>
      <c r="F1991" s="7" t="str">
        <f>IFERROR(
   INDEX(tbl_ProduitsRef[Prix Menu],MATCH(tbl_Ventes[[#This Row],[Produit]],tbl_ProduitsRef[Produit],0)),
   ""
)</f>
        <v/>
      </c>
      <c r="G1991" s="7">
        <f>tbl_Ventes[[#This Row],[Qté Vendue]] * IFERROR(_xlfn.XLOOKUP(tbl_Ventes[[#This Row],[Cde_Prdt]], tbl_Produits[Cde_Prdt], tbl_Produits[Prix Menu]), 0)</f>
        <v>0</v>
      </c>
      <c r="H1991" s="7">
        <f>IFERROR(_xlfn.XLOOKUP(tbl_Ventes[[#This Row],[Cde_Prdt]], tbl_Produits[Cde_Prdt], tbl_Produits[Coût Moyen Portion]), 0)</f>
        <v>0</v>
      </c>
      <c r="I1991" s="7">
        <f>tbl_Ventes[[#This Row],[Qté Vendue]] * tbl_Ventes[[#This Row],[CMP_par_portion]]</f>
        <v>0</v>
      </c>
      <c r="J1991" s="7">
        <f>tbl_Ventes[[#This Row],[CA ligne]] - tbl_Ventes[[#This Row],[Coût matière ligne]]</f>
        <v>0</v>
      </c>
      <c r="K1991" s="7" t="str">
        <f>IFERROR(INDEX(tbl_ProduitsRef[Famille], MATCH(tbl_Ventes[[#This Row],[Cde_Prdt]], tbl_Produits[Cde_Prdt], 0)), "")</f>
        <v/>
      </c>
    </row>
    <row r="1992" spans="1:11" x14ac:dyDescent="0.25">
      <c r="A1992" s="5"/>
      <c r="B1992" s="63" t="str">
        <f>IFERROR(TEXT(tbl_Ventes[[#This Row],[Date]],"mm-aaaa"),"")</f>
        <v>01-1900</v>
      </c>
      <c r="D1992" s="10" t="str">
        <f>IFERROR(
   INDEX(tbl_ProduitsRef[Cde_Prdt],MATCH(tbl_Ventes[[#This Row],[Produit]],tbl_ProduitsRef[Produit],0)),
   ""
)</f>
        <v/>
      </c>
      <c r="E1992" s="7">
        <v>0</v>
      </c>
      <c r="F1992" s="7" t="str">
        <f>IFERROR(
   INDEX(tbl_ProduitsRef[Prix Menu],MATCH(tbl_Ventes[[#This Row],[Produit]],tbl_ProduitsRef[Produit],0)),
   ""
)</f>
        <v/>
      </c>
      <c r="G1992" s="7">
        <f>tbl_Ventes[[#This Row],[Qté Vendue]] * IFERROR(_xlfn.XLOOKUP(tbl_Ventes[[#This Row],[Cde_Prdt]], tbl_Produits[Cde_Prdt], tbl_Produits[Prix Menu]), 0)</f>
        <v>0</v>
      </c>
      <c r="H1992" s="7">
        <f>IFERROR(_xlfn.XLOOKUP(tbl_Ventes[[#This Row],[Cde_Prdt]], tbl_Produits[Cde_Prdt], tbl_Produits[Coût Moyen Portion]), 0)</f>
        <v>0</v>
      </c>
      <c r="I1992" s="7">
        <f>tbl_Ventes[[#This Row],[Qté Vendue]] * tbl_Ventes[[#This Row],[CMP_par_portion]]</f>
        <v>0</v>
      </c>
      <c r="J1992" s="7">
        <f>tbl_Ventes[[#This Row],[CA ligne]] - tbl_Ventes[[#This Row],[Coût matière ligne]]</f>
        <v>0</v>
      </c>
      <c r="K1992" s="7" t="str">
        <f>IFERROR(INDEX(tbl_ProduitsRef[Famille], MATCH(tbl_Ventes[[#This Row],[Cde_Prdt]], tbl_Produits[Cde_Prdt], 0)), "")</f>
        <v/>
      </c>
    </row>
    <row r="1993" spans="1:11" x14ac:dyDescent="0.25">
      <c r="A1993" s="5"/>
      <c r="B1993" s="63" t="str">
        <f>IFERROR(TEXT(tbl_Ventes[[#This Row],[Date]],"mm-aaaa"),"")</f>
        <v>01-1900</v>
      </c>
      <c r="D1993" s="10" t="str">
        <f>IFERROR(
   INDEX(tbl_ProduitsRef[Cde_Prdt],MATCH(tbl_Ventes[[#This Row],[Produit]],tbl_ProduitsRef[Produit],0)),
   ""
)</f>
        <v/>
      </c>
      <c r="E1993" s="7">
        <v>0</v>
      </c>
      <c r="F1993" s="7" t="str">
        <f>IFERROR(
   INDEX(tbl_ProduitsRef[Prix Menu],MATCH(tbl_Ventes[[#This Row],[Produit]],tbl_ProduitsRef[Produit],0)),
   ""
)</f>
        <v/>
      </c>
      <c r="G1993" s="7">
        <f>tbl_Ventes[[#This Row],[Qté Vendue]] * IFERROR(_xlfn.XLOOKUP(tbl_Ventes[[#This Row],[Cde_Prdt]], tbl_Produits[Cde_Prdt], tbl_Produits[Prix Menu]), 0)</f>
        <v>0</v>
      </c>
      <c r="H1993" s="7">
        <f>IFERROR(_xlfn.XLOOKUP(tbl_Ventes[[#This Row],[Cde_Prdt]], tbl_Produits[Cde_Prdt], tbl_Produits[Coût Moyen Portion]), 0)</f>
        <v>0</v>
      </c>
      <c r="I1993" s="7">
        <f>tbl_Ventes[[#This Row],[Qté Vendue]] * tbl_Ventes[[#This Row],[CMP_par_portion]]</f>
        <v>0</v>
      </c>
      <c r="J1993" s="7">
        <f>tbl_Ventes[[#This Row],[CA ligne]] - tbl_Ventes[[#This Row],[Coût matière ligne]]</f>
        <v>0</v>
      </c>
      <c r="K1993" s="7" t="str">
        <f>IFERROR(INDEX(tbl_ProduitsRef[Famille], MATCH(tbl_Ventes[[#This Row],[Cde_Prdt]], tbl_Produits[Cde_Prdt], 0)), "")</f>
        <v/>
      </c>
    </row>
    <row r="1994" spans="1:11" x14ac:dyDescent="0.25">
      <c r="A1994" s="5"/>
      <c r="B1994" s="63" t="str">
        <f>IFERROR(TEXT(tbl_Ventes[[#This Row],[Date]],"mm-aaaa"),"")</f>
        <v>01-1900</v>
      </c>
      <c r="D1994" s="10" t="str">
        <f>IFERROR(
   INDEX(tbl_ProduitsRef[Cde_Prdt],MATCH(tbl_Ventes[[#This Row],[Produit]],tbl_ProduitsRef[Produit],0)),
   ""
)</f>
        <v/>
      </c>
      <c r="E1994" s="7">
        <v>0</v>
      </c>
      <c r="F1994" s="7" t="str">
        <f>IFERROR(
   INDEX(tbl_ProduitsRef[Prix Menu],MATCH(tbl_Ventes[[#This Row],[Produit]],tbl_ProduitsRef[Produit],0)),
   ""
)</f>
        <v/>
      </c>
      <c r="G1994" s="7">
        <f>tbl_Ventes[[#This Row],[Qté Vendue]] * IFERROR(_xlfn.XLOOKUP(tbl_Ventes[[#This Row],[Cde_Prdt]], tbl_Produits[Cde_Prdt], tbl_Produits[Prix Menu]), 0)</f>
        <v>0</v>
      </c>
      <c r="H1994" s="7">
        <f>IFERROR(_xlfn.XLOOKUP(tbl_Ventes[[#This Row],[Cde_Prdt]], tbl_Produits[Cde_Prdt], tbl_Produits[Coût Moyen Portion]), 0)</f>
        <v>0</v>
      </c>
      <c r="I1994" s="7">
        <f>tbl_Ventes[[#This Row],[Qté Vendue]] * tbl_Ventes[[#This Row],[CMP_par_portion]]</f>
        <v>0</v>
      </c>
      <c r="J1994" s="7">
        <f>tbl_Ventes[[#This Row],[CA ligne]] - tbl_Ventes[[#This Row],[Coût matière ligne]]</f>
        <v>0</v>
      </c>
      <c r="K1994" s="7" t="str">
        <f>IFERROR(INDEX(tbl_ProduitsRef[Famille], MATCH(tbl_Ventes[[#This Row],[Cde_Prdt]], tbl_Produits[Cde_Prdt], 0)), "")</f>
        <v/>
      </c>
    </row>
    <row r="1995" spans="1:11" x14ac:dyDescent="0.25">
      <c r="A1995" s="5"/>
      <c r="B1995" s="63" t="str">
        <f>IFERROR(TEXT(tbl_Ventes[[#This Row],[Date]],"mm-aaaa"),"")</f>
        <v>01-1900</v>
      </c>
      <c r="D1995" s="10" t="str">
        <f>IFERROR(
   INDEX(tbl_ProduitsRef[Cde_Prdt],MATCH(tbl_Ventes[[#This Row],[Produit]],tbl_ProduitsRef[Produit],0)),
   ""
)</f>
        <v/>
      </c>
      <c r="E1995" s="7">
        <v>0</v>
      </c>
      <c r="F1995" s="7" t="str">
        <f>IFERROR(
   INDEX(tbl_ProduitsRef[Prix Menu],MATCH(tbl_Ventes[[#This Row],[Produit]],tbl_ProduitsRef[Produit],0)),
   ""
)</f>
        <v/>
      </c>
      <c r="G1995" s="7">
        <f>tbl_Ventes[[#This Row],[Qté Vendue]] * IFERROR(_xlfn.XLOOKUP(tbl_Ventes[[#This Row],[Cde_Prdt]], tbl_Produits[Cde_Prdt], tbl_Produits[Prix Menu]), 0)</f>
        <v>0</v>
      </c>
      <c r="H1995" s="7">
        <f>IFERROR(_xlfn.XLOOKUP(tbl_Ventes[[#This Row],[Cde_Prdt]], tbl_Produits[Cde_Prdt], tbl_Produits[Coût Moyen Portion]), 0)</f>
        <v>0</v>
      </c>
      <c r="I1995" s="7">
        <f>tbl_Ventes[[#This Row],[Qté Vendue]] * tbl_Ventes[[#This Row],[CMP_par_portion]]</f>
        <v>0</v>
      </c>
      <c r="J1995" s="7">
        <f>tbl_Ventes[[#This Row],[CA ligne]] - tbl_Ventes[[#This Row],[Coût matière ligne]]</f>
        <v>0</v>
      </c>
      <c r="K1995" s="7" t="str">
        <f>IFERROR(INDEX(tbl_ProduitsRef[Famille], MATCH(tbl_Ventes[[#This Row],[Cde_Prdt]], tbl_Produits[Cde_Prdt], 0)), "")</f>
        <v/>
      </c>
    </row>
    <row r="1996" spans="1:11" x14ac:dyDescent="0.25">
      <c r="A1996" s="5"/>
      <c r="B1996" s="63" t="str">
        <f>IFERROR(TEXT(tbl_Ventes[[#This Row],[Date]],"mm-aaaa"),"")</f>
        <v>01-1900</v>
      </c>
      <c r="D1996" s="10" t="str">
        <f>IFERROR(
   INDEX(tbl_ProduitsRef[Cde_Prdt],MATCH(tbl_Ventes[[#This Row],[Produit]],tbl_ProduitsRef[Produit],0)),
   ""
)</f>
        <v/>
      </c>
      <c r="E1996" s="7">
        <v>0</v>
      </c>
      <c r="F1996" s="7" t="str">
        <f>IFERROR(
   INDEX(tbl_ProduitsRef[Prix Menu],MATCH(tbl_Ventes[[#This Row],[Produit]],tbl_ProduitsRef[Produit],0)),
   ""
)</f>
        <v/>
      </c>
      <c r="G1996" s="7">
        <f>tbl_Ventes[[#This Row],[Qté Vendue]] * IFERROR(_xlfn.XLOOKUP(tbl_Ventes[[#This Row],[Cde_Prdt]], tbl_Produits[Cde_Prdt], tbl_Produits[Prix Menu]), 0)</f>
        <v>0</v>
      </c>
      <c r="H1996" s="7">
        <f>IFERROR(_xlfn.XLOOKUP(tbl_Ventes[[#This Row],[Cde_Prdt]], tbl_Produits[Cde_Prdt], tbl_Produits[Coût Moyen Portion]), 0)</f>
        <v>0</v>
      </c>
      <c r="I1996" s="7">
        <f>tbl_Ventes[[#This Row],[Qté Vendue]] * tbl_Ventes[[#This Row],[CMP_par_portion]]</f>
        <v>0</v>
      </c>
      <c r="J1996" s="7">
        <f>tbl_Ventes[[#This Row],[CA ligne]] - tbl_Ventes[[#This Row],[Coût matière ligne]]</f>
        <v>0</v>
      </c>
      <c r="K1996" s="7" t="str">
        <f>IFERROR(INDEX(tbl_ProduitsRef[Famille], MATCH(tbl_Ventes[[#This Row],[Cde_Prdt]], tbl_Produits[Cde_Prdt], 0)), "")</f>
        <v/>
      </c>
    </row>
    <row r="1997" spans="1:11" x14ac:dyDescent="0.25">
      <c r="A1997" s="5"/>
      <c r="B1997" s="63" t="str">
        <f>IFERROR(TEXT(tbl_Ventes[[#This Row],[Date]],"mm-aaaa"),"")</f>
        <v>01-1900</v>
      </c>
      <c r="D1997" s="10" t="str">
        <f>IFERROR(
   INDEX(tbl_ProduitsRef[Cde_Prdt],MATCH(tbl_Ventes[[#This Row],[Produit]],tbl_ProduitsRef[Produit],0)),
   ""
)</f>
        <v/>
      </c>
      <c r="E1997" s="7">
        <v>0</v>
      </c>
      <c r="F1997" s="7" t="str">
        <f>IFERROR(
   INDEX(tbl_ProduitsRef[Prix Menu],MATCH(tbl_Ventes[[#This Row],[Produit]],tbl_ProduitsRef[Produit],0)),
   ""
)</f>
        <v/>
      </c>
      <c r="G1997" s="7">
        <f>tbl_Ventes[[#This Row],[Qté Vendue]] * IFERROR(_xlfn.XLOOKUP(tbl_Ventes[[#This Row],[Cde_Prdt]], tbl_Produits[Cde_Prdt], tbl_Produits[Prix Menu]), 0)</f>
        <v>0</v>
      </c>
      <c r="H1997" s="7">
        <f>IFERROR(_xlfn.XLOOKUP(tbl_Ventes[[#This Row],[Cde_Prdt]], tbl_Produits[Cde_Prdt], tbl_Produits[Coût Moyen Portion]), 0)</f>
        <v>0</v>
      </c>
      <c r="I1997" s="7">
        <f>tbl_Ventes[[#This Row],[Qté Vendue]] * tbl_Ventes[[#This Row],[CMP_par_portion]]</f>
        <v>0</v>
      </c>
      <c r="J1997" s="7">
        <f>tbl_Ventes[[#This Row],[CA ligne]] - tbl_Ventes[[#This Row],[Coût matière ligne]]</f>
        <v>0</v>
      </c>
      <c r="K1997" s="7" t="str">
        <f>IFERROR(INDEX(tbl_ProduitsRef[Famille], MATCH(tbl_Ventes[[#This Row],[Cde_Prdt]], tbl_Produits[Cde_Prdt], 0)), "")</f>
        <v/>
      </c>
    </row>
    <row r="1998" spans="1:11" x14ac:dyDescent="0.25">
      <c r="A1998" s="5"/>
      <c r="B1998" s="63" t="str">
        <f>IFERROR(TEXT(tbl_Ventes[[#This Row],[Date]],"mm-aaaa"),"")</f>
        <v>01-1900</v>
      </c>
      <c r="D1998" s="10" t="str">
        <f>IFERROR(
   INDEX(tbl_ProduitsRef[Cde_Prdt],MATCH(tbl_Ventes[[#This Row],[Produit]],tbl_ProduitsRef[Produit],0)),
   ""
)</f>
        <v/>
      </c>
      <c r="E1998" s="7">
        <v>0</v>
      </c>
      <c r="F1998" s="7" t="str">
        <f>IFERROR(
   INDEX(tbl_ProduitsRef[Prix Menu],MATCH(tbl_Ventes[[#This Row],[Produit]],tbl_ProduitsRef[Produit],0)),
   ""
)</f>
        <v/>
      </c>
      <c r="G1998" s="7">
        <f>tbl_Ventes[[#This Row],[Qté Vendue]] * IFERROR(_xlfn.XLOOKUP(tbl_Ventes[[#This Row],[Cde_Prdt]], tbl_Produits[Cde_Prdt], tbl_Produits[Prix Menu]), 0)</f>
        <v>0</v>
      </c>
      <c r="H1998" s="7">
        <f>IFERROR(_xlfn.XLOOKUP(tbl_Ventes[[#This Row],[Cde_Prdt]], tbl_Produits[Cde_Prdt], tbl_Produits[Coût Moyen Portion]), 0)</f>
        <v>0</v>
      </c>
      <c r="I1998" s="7">
        <f>tbl_Ventes[[#This Row],[Qté Vendue]] * tbl_Ventes[[#This Row],[CMP_par_portion]]</f>
        <v>0</v>
      </c>
      <c r="J1998" s="7">
        <f>tbl_Ventes[[#This Row],[CA ligne]] - tbl_Ventes[[#This Row],[Coût matière ligne]]</f>
        <v>0</v>
      </c>
      <c r="K1998" s="7" t="str">
        <f>IFERROR(INDEX(tbl_ProduitsRef[Famille], MATCH(tbl_Ventes[[#This Row],[Cde_Prdt]], tbl_Produits[Cde_Prdt], 0)), "")</f>
        <v/>
      </c>
    </row>
    <row r="1999" spans="1:11" x14ac:dyDescent="0.25">
      <c r="A1999" s="5"/>
      <c r="B1999" s="63" t="str">
        <f>IFERROR(TEXT(tbl_Ventes[[#This Row],[Date]],"mm-aaaa"),"")</f>
        <v>01-1900</v>
      </c>
      <c r="D1999" s="10" t="str">
        <f>IFERROR(
   INDEX(tbl_ProduitsRef[Cde_Prdt],MATCH(tbl_Ventes[[#This Row],[Produit]],tbl_ProduitsRef[Produit],0)),
   ""
)</f>
        <v/>
      </c>
      <c r="E1999" s="7">
        <v>0</v>
      </c>
      <c r="F1999" s="7" t="str">
        <f>IFERROR(
   INDEX(tbl_ProduitsRef[Prix Menu],MATCH(tbl_Ventes[[#This Row],[Produit]],tbl_ProduitsRef[Produit],0)),
   ""
)</f>
        <v/>
      </c>
      <c r="G1999" s="7">
        <f>tbl_Ventes[[#This Row],[Qté Vendue]] * IFERROR(_xlfn.XLOOKUP(tbl_Ventes[[#This Row],[Cde_Prdt]], tbl_Produits[Cde_Prdt], tbl_Produits[Prix Menu]), 0)</f>
        <v>0</v>
      </c>
      <c r="H1999" s="7">
        <f>IFERROR(_xlfn.XLOOKUP(tbl_Ventes[[#This Row],[Cde_Prdt]], tbl_Produits[Cde_Prdt], tbl_Produits[Coût Moyen Portion]), 0)</f>
        <v>0</v>
      </c>
      <c r="I1999" s="7">
        <f>tbl_Ventes[[#This Row],[Qté Vendue]] * tbl_Ventes[[#This Row],[CMP_par_portion]]</f>
        <v>0</v>
      </c>
      <c r="J1999" s="7">
        <f>tbl_Ventes[[#This Row],[CA ligne]] - tbl_Ventes[[#This Row],[Coût matière ligne]]</f>
        <v>0</v>
      </c>
      <c r="K1999" s="7" t="str">
        <f>IFERROR(INDEX(tbl_ProduitsRef[Famille], MATCH(tbl_Ventes[[#This Row],[Cde_Prdt]], tbl_Produits[Cde_Prdt], 0)), "")</f>
        <v/>
      </c>
    </row>
    <row r="2000" spans="1:11" x14ac:dyDescent="0.25">
      <c r="A2000" s="5"/>
      <c r="B2000" s="63" t="str">
        <f>IFERROR(TEXT(tbl_Ventes[[#This Row],[Date]],"mm-aaaa"),"")</f>
        <v>01-1900</v>
      </c>
      <c r="D2000" s="10" t="str">
        <f>IFERROR(
   INDEX(tbl_ProduitsRef[Cde_Prdt],MATCH(tbl_Ventes[[#This Row],[Produit]],tbl_ProduitsRef[Produit],0)),
   ""
)</f>
        <v/>
      </c>
      <c r="E2000" s="7">
        <v>0</v>
      </c>
      <c r="F2000" s="7" t="str">
        <f>IFERROR(
   INDEX(tbl_ProduitsRef[Prix Menu],MATCH(tbl_Ventes[[#This Row],[Produit]],tbl_ProduitsRef[Produit],0)),
   ""
)</f>
        <v/>
      </c>
      <c r="G2000" s="7">
        <f>tbl_Ventes[[#This Row],[Qté Vendue]] * IFERROR(_xlfn.XLOOKUP(tbl_Ventes[[#This Row],[Cde_Prdt]], tbl_Produits[Cde_Prdt], tbl_Produits[Prix Menu]), 0)</f>
        <v>0</v>
      </c>
      <c r="H2000" s="7">
        <f>IFERROR(_xlfn.XLOOKUP(tbl_Ventes[[#This Row],[Cde_Prdt]], tbl_Produits[Cde_Prdt], tbl_Produits[Coût Moyen Portion]), 0)</f>
        <v>0</v>
      </c>
      <c r="I2000" s="7">
        <f>tbl_Ventes[[#This Row],[Qté Vendue]] * tbl_Ventes[[#This Row],[CMP_par_portion]]</f>
        <v>0</v>
      </c>
      <c r="J2000" s="7">
        <f>tbl_Ventes[[#This Row],[CA ligne]] - tbl_Ventes[[#This Row],[Coût matière ligne]]</f>
        <v>0</v>
      </c>
      <c r="K2000" s="7" t="str">
        <f>IFERROR(INDEX(tbl_ProduitsRef[Famille], MATCH(tbl_Ventes[[#This Row],[Cde_Prdt]], tbl_Produits[Cde_Prdt], 0)), "")</f>
        <v/>
      </c>
    </row>
    <row r="2001" spans="1:11" x14ac:dyDescent="0.25">
      <c r="A2001" s="5"/>
      <c r="B2001" s="63" t="str">
        <f>IFERROR(TEXT(tbl_Ventes[[#This Row],[Date]],"mm-aaaa"),"")</f>
        <v>01-1900</v>
      </c>
      <c r="D2001" s="10" t="str">
        <f>IFERROR(
   INDEX(tbl_ProduitsRef[Cde_Prdt],MATCH(tbl_Ventes[[#This Row],[Produit]],tbl_ProduitsRef[Produit],0)),
   ""
)</f>
        <v/>
      </c>
      <c r="E2001" s="7">
        <v>0</v>
      </c>
      <c r="F2001" s="7" t="str">
        <f>IFERROR(
   INDEX(tbl_ProduitsRef[Prix Menu],MATCH(tbl_Ventes[[#This Row],[Produit]],tbl_ProduitsRef[Produit],0)),
   ""
)</f>
        <v/>
      </c>
      <c r="G2001" s="7">
        <f>tbl_Ventes[[#This Row],[Qté Vendue]] * IFERROR(_xlfn.XLOOKUP(tbl_Ventes[[#This Row],[Cde_Prdt]], tbl_Produits[Cde_Prdt], tbl_Produits[Prix Menu]), 0)</f>
        <v>0</v>
      </c>
      <c r="H2001" s="7">
        <f>IFERROR(_xlfn.XLOOKUP(tbl_Ventes[[#This Row],[Cde_Prdt]], tbl_Produits[Cde_Prdt], tbl_Produits[Coût Moyen Portion]), 0)</f>
        <v>0</v>
      </c>
      <c r="I2001" s="7">
        <f>tbl_Ventes[[#This Row],[Qté Vendue]] * tbl_Ventes[[#This Row],[CMP_par_portion]]</f>
        <v>0</v>
      </c>
      <c r="J2001" s="7">
        <f>tbl_Ventes[[#This Row],[CA ligne]] - tbl_Ventes[[#This Row],[Coût matière ligne]]</f>
        <v>0</v>
      </c>
      <c r="K2001" s="7" t="str">
        <f>IFERROR(INDEX(tbl_ProduitsRef[Famille], MATCH(tbl_Ventes[[#This Row],[Cde_Prdt]], tbl_Produits[Cde_Prdt], 0)), "")</f>
        <v/>
      </c>
    </row>
    <row r="2002" spans="1:11" x14ac:dyDescent="0.25">
      <c r="A2002" s="5"/>
      <c r="B2002" s="63" t="str">
        <f>IFERROR(TEXT(tbl_Ventes[[#This Row],[Date]],"mm-aaaa"),"")</f>
        <v>01-1900</v>
      </c>
      <c r="D2002" s="10" t="str">
        <f>IFERROR(
   INDEX(tbl_ProduitsRef[Cde_Prdt],MATCH(tbl_Ventes[[#This Row],[Produit]],tbl_ProduitsRef[Produit],0)),
   ""
)</f>
        <v/>
      </c>
      <c r="E2002" s="7">
        <v>0</v>
      </c>
      <c r="F2002" s="7" t="str">
        <f>IFERROR(
   INDEX(tbl_ProduitsRef[Prix Menu],MATCH(tbl_Ventes[[#This Row],[Produit]],tbl_ProduitsRef[Produit],0)),
   ""
)</f>
        <v/>
      </c>
      <c r="G2002" s="7">
        <f>tbl_Ventes[[#This Row],[Qté Vendue]] * IFERROR(_xlfn.XLOOKUP(tbl_Ventes[[#This Row],[Cde_Prdt]], tbl_Produits[Cde_Prdt], tbl_Produits[Prix Menu]), 0)</f>
        <v>0</v>
      </c>
      <c r="H2002" s="7">
        <f>IFERROR(_xlfn.XLOOKUP(tbl_Ventes[[#This Row],[Cde_Prdt]], tbl_Produits[Cde_Prdt], tbl_Produits[Coût Moyen Portion]), 0)</f>
        <v>0</v>
      </c>
      <c r="I2002" s="7">
        <f>tbl_Ventes[[#This Row],[Qté Vendue]] * tbl_Ventes[[#This Row],[CMP_par_portion]]</f>
        <v>0</v>
      </c>
      <c r="J2002" s="7">
        <f>tbl_Ventes[[#This Row],[CA ligne]] - tbl_Ventes[[#This Row],[Coût matière ligne]]</f>
        <v>0</v>
      </c>
      <c r="K2002" s="7" t="str">
        <f>IFERROR(INDEX(tbl_ProduitsRef[Famille], MATCH(tbl_Ventes[[#This Row],[Cde_Prdt]], tbl_Produits[Cde_Prdt], 0)), "")</f>
        <v/>
      </c>
    </row>
    <row r="2003" spans="1:11" x14ac:dyDescent="0.25">
      <c r="A2003" s="5"/>
      <c r="B2003" s="63" t="str">
        <f>IFERROR(TEXT(tbl_Ventes[[#This Row],[Date]],"mm-aaaa"),"")</f>
        <v>01-1900</v>
      </c>
      <c r="D2003" s="10" t="str">
        <f>IFERROR(
   INDEX(tbl_ProduitsRef[Cde_Prdt],MATCH(tbl_Ventes[[#This Row],[Produit]],tbl_ProduitsRef[Produit],0)),
   ""
)</f>
        <v/>
      </c>
      <c r="E2003" s="7">
        <v>0</v>
      </c>
      <c r="F2003" s="7" t="str">
        <f>IFERROR(
   INDEX(tbl_ProduitsRef[Prix Menu],MATCH(tbl_Ventes[[#This Row],[Produit]],tbl_ProduitsRef[Produit],0)),
   ""
)</f>
        <v/>
      </c>
      <c r="G2003" s="7">
        <f>tbl_Ventes[[#This Row],[Qté Vendue]] * IFERROR(_xlfn.XLOOKUP(tbl_Ventes[[#This Row],[Cde_Prdt]], tbl_Produits[Cde_Prdt], tbl_Produits[Prix Menu]), 0)</f>
        <v>0</v>
      </c>
      <c r="H2003" s="7">
        <f>IFERROR(_xlfn.XLOOKUP(tbl_Ventes[[#This Row],[Cde_Prdt]], tbl_Produits[Cde_Prdt], tbl_Produits[Coût Moyen Portion]), 0)</f>
        <v>0</v>
      </c>
      <c r="I2003" s="7">
        <f>tbl_Ventes[[#This Row],[Qté Vendue]] * tbl_Ventes[[#This Row],[CMP_par_portion]]</f>
        <v>0</v>
      </c>
      <c r="J2003" s="7">
        <f>tbl_Ventes[[#This Row],[CA ligne]] - tbl_Ventes[[#This Row],[Coût matière ligne]]</f>
        <v>0</v>
      </c>
      <c r="K2003" s="7" t="str">
        <f>IFERROR(INDEX(tbl_ProduitsRef[Famille], MATCH(tbl_Ventes[[#This Row],[Cde_Prdt]], tbl_Produits[Cde_Prdt], 0)), "")</f>
        <v/>
      </c>
    </row>
    <row r="2004" spans="1:11" x14ac:dyDescent="0.25">
      <c r="A2004" s="5"/>
      <c r="B2004" s="63" t="str">
        <f>IFERROR(TEXT(tbl_Ventes[[#This Row],[Date]],"mm-aaaa"),"")</f>
        <v>01-1900</v>
      </c>
      <c r="D2004" s="10" t="str">
        <f>IFERROR(
   INDEX(tbl_ProduitsRef[Cde_Prdt],MATCH(tbl_Ventes[[#This Row],[Produit]],tbl_ProduitsRef[Produit],0)),
   ""
)</f>
        <v/>
      </c>
      <c r="E2004" s="7">
        <v>0</v>
      </c>
      <c r="F2004" s="7" t="str">
        <f>IFERROR(
   INDEX(tbl_ProduitsRef[Prix Menu],MATCH(tbl_Ventes[[#This Row],[Produit]],tbl_ProduitsRef[Produit],0)),
   ""
)</f>
        <v/>
      </c>
      <c r="G2004" s="7">
        <f>tbl_Ventes[[#This Row],[Qté Vendue]] * IFERROR(_xlfn.XLOOKUP(tbl_Ventes[[#This Row],[Cde_Prdt]], tbl_Produits[Cde_Prdt], tbl_Produits[Prix Menu]), 0)</f>
        <v>0</v>
      </c>
      <c r="H2004" s="7">
        <f>IFERROR(_xlfn.XLOOKUP(tbl_Ventes[[#This Row],[Cde_Prdt]], tbl_Produits[Cde_Prdt], tbl_Produits[Coût Moyen Portion]), 0)</f>
        <v>0</v>
      </c>
      <c r="I2004" s="7">
        <f>tbl_Ventes[[#This Row],[Qté Vendue]] * tbl_Ventes[[#This Row],[CMP_par_portion]]</f>
        <v>0</v>
      </c>
      <c r="J2004" s="7">
        <f>tbl_Ventes[[#This Row],[CA ligne]] - tbl_Ventes[[#This Row],[Coût matière ligne]]</f>
        <v>0</v>
      </c>
      <c r="K2004" s="7" t="str">
        <f>IFERROR(INDEX(tbl_ProduitsRef[Famille], MATCH(tbl_Ventes[[#This Row],[Cde_Prdt]], tbl_Produits[Cde_Prdt], 0)), "")</f>
        <v/>
      </c>
    </row>
    <row r="2005" spans="1:11" x14ac:dyDescent="0.25">
      <c r="A2005" s="5"/>
      <c r="B2005" s="63" t="str">
        <f>IFERROR(TEXT(tbl_Ventes[[#This Row],[Date]],"mm-aaaa"),"")</f>
        <v>01-1900</v>
      </c>
      <c r="D2005" s="10" t="str">
        <f>IFERROR(
   INDEX(tbl_ProduitsRef[Cde_Prdt],MATCH(tbl_Ventes[[#This Row],[Produit]],tbl_ProduitsRef[Produit],0)),
   ""
)</f>
        <v/>
      </c>
      <c r="E2005" s="7">
        <v>0</v>
      </c>
      <c r="F2005" s="7" t="str">
        <f>IFERROR(
   INDEX(tbl_ProduitsRef[Prix Menu],MATCH(tbl_Ventes[[#This Row],[Produit]],tbl_ProduitsRef[Produit],0)),
   ""
)</f>
        <v/>
      </c>
      <c r="G2005" s="7">
        <f>tbl_Ventes[[#This Row],[Qté Vendue]] * IFERROR(_xlfn.XLOOKUP(tbl_Ventes[[#This Row],[Cde_Prdt]], tbl_Produits[Cde_Prdt], tbl_Produits[Prix Menu]), 0)</f>
        <v>0</v>
      </c>
      <c r="H2005" s="7">
        <f>IFERROR(_xlfn.XLOOKUP(tbl_Ventes[[#This Row],[Cde_Prdt]], tbl_Produits[Cde_Prdt], tbl_Produits[Coût Moyen Portion]), 0)</f>
        <v>0</v>
      </c>
      <c r="I2005" s="7">
        <f>tbl_Ventes[[#This Row],[Qté Vendue]] * tbl_Ventes[[#This Row],[CMP_par_portion]]</f>
        <v>0</v>
      </c>
      <c r="J2005" s="7">
        <f>tbl_Ventes[[#This Row],[CA ligne]] - tbl_Ventes[[#This Row],[Coût matière ligne]]</f>
        <v>0</v>
      </c>
      <c r="K2005" s="7" t="str">
        <f>IFERROR(INDEX(tbl_ProduitsRef[Famille], MATCH(tbl_Ventes[[#This Row],[Cde_Prdt]], tbl_Produits[Cde_Prdt], 0)), "")</f>
        <v/>
      </c>
    </row>
    <row r="2006" spans="1:11" x14ac:dyDescent="0.25">
      <c r="A2006" s="5"/>
      <c r="B2006" s="63" t="str">
        <f>IFERROR(TEXT(tbl_Ventes[[#This Row],[Date]],"mm-aaaa"),"")</f>
        <v>01-1900</v>
      </c>
      <c r="D2006" s="10" t="str">
        <f>IFERROR(
   INDEX(tbl_ProduitsRef[Cde_Prdt],MATCH(tbl_Ventes[[#This Row],[Produit]],tbl_ProduitsRef[Produit],0)),
   ""
)</f>
        <v/>
      </c>
      <c r="E2006" s="7">
        <v>0</v>
      </c>
      <c r="F2006" s="7" t="str">
        <f>IFERROR(
   INDEX(tbl_ProduitsRef[Prix Menu],MATCH(tbl_Ventes[[#This Row],[Produit]],tbl_ProduitsRef[Produit],0)),
   ""
)</f>
        <v/>
      </c>
      <c r="G2006" s="7">
        <f>tbl_Ventes[[#This Row],[Qté Vendue]] * IFERROR(_xlfn.XLOOKUP(tbl_Ventes[[#This Row],[Cde_Prdt]], tbl_Produits[Cde_Prdt], tbl_Produits[Prix Menu]), 0)</f>
        <v>0</v>
      </c>
      <c r="H2006" s="7">
        <f>IFERROR(_xlfn.XLOOKUP(tbl_Ventes[[#This Row],[Cde_Prdt]], tbl_Produits[Cde_Prdt], tbl_Produits[Coût Moyen Portion]), 0)</f>
        <v>0</v>
      </c>
      <c r="I2006" s="7">
        <f>tbl_Ventes[[#This Row],[Qté Vendue]] * tbl_Ventes[[#This Row],[CMP_par_portion]]</f>
        <v>0</v>
      </c>
      <c r="J2006" s="7">
        <f>tbl_Ventes[[#This Row],[CA ligne]] - tbl_Ventes[[#This Row],[Coût matière ligne]]</f>
        <v>0</v>
      </c>
      <c r="K2006" s="7" t="str">
        <f>IFERROR(INDEX(tbl_ProduitsRef[Famille], MATCH(tbl_Ventes[[#This Row],[Cde_Prdt]], tbl_Produits[Cde_Prdt], 0)), "")</f>
        <v/>
      </c>
    </row>
    <row r="2007" spans="1:11" x14ac:dyDescent="0.25">
      <c r="A2007" s="5"/>
      <c r="B2007" s="63" t="str">
        <f>IFERROR(TEXT(tbl_Ventes[[#This Row],[Date]],"mm-aaaa"),"")</f>
        <v>01-1900</v>
      </c>
      <c r="D2007" s="10" t="str">
        <f>IFERROR(
   INDEX(tbl_ProduitsRef[Cde_Prdt],MATCH(tbl_Ventes[[#This Row],[Produit]],tbl_ProduitsRef[Produit],0)),
   ""
)</f>
        <v/>
      </c>
      <c r="E2007" s="7">
        <v>0</v>
      </c>
      <c r="F2007" s="7" t="str">
        <f>IFERROR(
   INDEX(tbl_ProduitsRef[Prix Menu],MATCH(tbl_Ventes[[#This Row],[Produit]],tbl_ProduitsRef[Produit],0)),
   ""
)</f>
        <v/>
      </c>
      <c r="G2007" s="7">
        <f>tbl_Ventes[[#This Row],[Qté Vendue]] * IFERROR(_xlfn.XLOOKUP(tbl_Ventes[[#This Row],[Cde_Prdt]], tbl_Produits[Cde_Prdt], tbl_Produits[Prix Menu]), 0)</f>
        <v>0</v>
      </c>
      <c r="H2007" s="7">
        <f>IFERROR(_xlfn.XLOOKUP(tbl_Ventes[[#This Row],[Cde_Prdt]], tbl_Produits[Cde_Prdt], tbl_Produits[Coût Moyen Portion]), 0)</f>
        <v>0</v>
      </c>
      <c r="I2007" s="7">
        <f>tbl_Ventes[[#This Row],[Qté Vendue]] * tbl_Ventes[[#This Row],[CMP_par_portion]]</f>
        <v>0</v>
      </c>
      <c r="J2007" s="7">
        <f>tbl_Ventes[[#This Row],[CA ligne]] - tbl_Ventes[[#This Row],[Coût matière ligne]]</f>
        <v>0</v>
      </c>
      <c r="K2007" s="7" t="str">
        <f>IFERROR(INDEX(tbl_ProduitsRef[Famille], MATCH(tbl_Ventes[[#This Row],[Cde_Prdt]], tbl_Produits[Cde_Prdt], 0)), "")</f>
        <v/>
      </c>
    </row>
    <row r="2008" spans="1:11" x14ac:dyDescent="0.25">
      <c r="A2008" s="5"/>
      <c r="B2008" s="63" t="str">
        <f>IFERROR(TEXT(tbl_Ventes[[#This Row],[Date]],"mm-aaaa"),"")</f>
        <v>01-1900</v>
      </c>
      <c r="D2008" s="10" t="str">
        <f>IFERROR(
   INDEX(tbl_ProduitsRef[Cde_Prdt],MATCH(tbl_Ventes[[#This Row],[Produit]],tbl_ProduitsRef[Produit],0)),
   ""
)</f>
        <v/>
      </c>
      <c r="E2008" s="7">
        <v>0</v>
      </c>
      <c r="F2008" s="7" t="str">
        <f>IFERROR(
   INDEX(tbl_ProduitsRef[Prix Menu],MATCH(tbl_Ventes[[#This Row],[Produit]],tbl_ProduitsRef[Produit],0)),
   ""
)</f>
        <v/>
      </c>
      <c r="G2008" s="7">
        <f>tbl_Ventes[[#This Row],[Qté Vendue]] * IFERROR(_xlfn.XLOOKUP(tbl_Ventes[[#This Row],[Cde_Prdt]], tbl_Produits[Cde_Prdt], tbl_Produits[Prix Menu]), 0)</f>
        <v>0</v>
      </c>
      <c r="H2008" s="7">
        <f>IFERROR(_xlfn.XLOOKUP(tbl_Ventes[[#This Row],[Cde_Prdt]], tbl_Produits[Cde_Prdt], tbl_Produits[Coût Moyen Portion]), 0)</f>
        <v>0</v>
      </c>
      <c r="I2008" s="7">
        <f>tbl_Ventes[[#This Row],[Qté Vendue]] * tbl_Ventes[[#This Row],[CMP_par_portion]]</f>
        <v>0</v>
      </c>
      <c r="J2008" s="7">
        <f>tbl_Ventes[[#This Row],[CA ligne]] - tbl_Ventes[[#This Row],[Coût matière ligne]]</f>
        <v>0</v>
      </c>
      <c r="K2008" s="7" t="str">
        <f>IFERROR(INDEX(tbl_ProduitsRef[Famille], MATCH(tbl_Ventes[[#This Row],[Cde_Prdt]], tbl_Produits[Cde_Prdt], 0)), "")</f>
        <v/>
      </c>
    </row>
    <row r="2009" spans="1:11" x14ac:dyDescent="0.25">
      <c r="A2009" s="5"/>
      <c r="B2009" s="63" t="str">
        <f>IFERROR(TEXT(tbl_Ventes[[#This Row],[Date]],"mm-aaaa"),"")</f>
        <v>01-1900</v>
      </c>
      <c r="D2009" s="10" t="str">
        <f>IFERROR(
   INDEX(tbl_ProduitsRef[Cde_Prdt],MATCH(tbl_Ventes[[#This Row],[Produit]],tbl_ProduitsRef[Produit],0)),
   ""
)</f>
        <v/>
      </c>
      <c r="E2009" s="7">
        <v>0</v>
      </c>
      <c r="F2009" s="7" t="str">
        <f>IFERROR(
   INDEX(tbl_ProduitsRef[Prix Menu],MATCH(tbl_Ventes[[#This Row],[Produit]],tbl_ProduitsRef[Produit],0)),
   ""
)</f>
        <v/>
      </c>
      <c r="G2009" s="7">
        <f>tbl_Ventes[[#This Row],[Qté Vendue]] * IFERROR(_xlfn.XLOOKUP(tbl_Ventes[[#This Row],[Cde_Prdt]], tbl_Produits[Cde_Prdt], tbl_Produits[Prix Menu]), 0)</f>
        <v>0</v>
      </c>
      <c r="H2009" s="7">
        <f>IFERROR(_xlfn.XLOOKUP(tbl_Ventes[[#This Row],[Cde_Prdt]], tbl_Produits[Cde_Prdt], tbl_Produits[Coût Moyen Portion]), 0)</f>
        <v>0</v>
      </c>
      <c r="I2009" s="7">
        <f>tbl_Ventes[[#This Row],[Qté Vendue]] * tbl_Ventes[[#This Row],[CMP_par_portion]]</f>
        <v>0</v>
      </c>
      <c r="J2009" s="7">
        <f>tbl_Ventes[[#This Row],[CA ligne]] - tbl_Ventes[[#This Row],[Coût matière ligne]]</f>
        <v>0</v>
      </c>
      <c r="K2009" s="7" t="str">
        <f>IFERROR(INDEX(tbl_ProduitsRef[Famille], MATCH(tbl_Ventes[[#This Row],[Cde_Prdt]], tbl_Produits[Cde_Prdt], 0)), "")</f>
        <v/>
      </c>
    </row>
    <row r="2010" spans="1:11" x14ac:dyDescent="0.25">
      <c r="A2010" s="5"/>
      <c r="B2010" s="63" t="str">
        <f>IFERROR(TEXT(tbl_Ventes[[#This Row],[Date]],"mm-aaaa"),"")</f>
        <v>01-1900</v>
      </c>
      <c r="D2010" s="10" t="str">
        <f>IFERROR(
   INDEX(tbl_ProduitsRef[Cde_Prdt],MATCH(tbl_Ventes[[#This Row],[Produit]],tbl_ProduitsRef[Produit],0)),
   ""
)</f>
        <v/>
      </c>
      <c r="E2010" s="7">
        <v>0</v>
      </c>
      <c r="F2010" s="7" t="str">
        <f>IFERROR(
   INDEX(tbl_ProduitsRef[Prix Menu],MATCH(tbl_Ventes[[#This Row],[Produit]],tbl_ProduitsRef[Produit],0)),
   ""
)</f>
        <v/>
      </c>
      <c r="G2010" s="7">
        <f>tbl_Ventes[[#This Row],[Qté Vendue]] * IFERROR(_xlfn.XLOOKUP(tbl_Ventes[[#This Row],[Cde_Prdt]], tbl_Produits[Cde_Prdt], tbl_Produits[Prix Menu]), 0)</f>
        <v>0</v>
      </c>
      <c r="H2010" s="7">
        <f>IFERROR(_xlfn.XLOOKUP(tbl_Ventes[[#This Row],[Cde_Prdt]], tbl_Produits[Cde_Prdt], tbl_Produits[Coût Moyen Portion]), 0)</f>
        <v>0</v>
      </c>
      <c r="I2010" s="7">
        <f>tbl_Ventes[[#This Row],[Qté Vendue]] * tbl_Ventes[[#This Row],[CMP_par_portion]]</f>
        <v>0</v>
      </c>
      <c r="J2010" s="7">
        <f>tbl_Ventes[[#This Row],[CA ligne]] - tbl_Ventes[[#This Row],[Coût matière ligne]]</f>
        <v>0</v>
      </c>
      <c r="K2010" s="7" t="str">
        <f>IFERROR(INDEX(tbl_ProduitsRef[Famille], MATCH(tbl_Ventes[[#This Row],[Cde_Prdt]], tbl_Produits[Cde_Prdt], 0)), "")</f>
        <v/>
      </c>
    </row>
    <row r="2011" spans="1:11" x14ac:dyDescent="0.25">
      <c r="A2011" s="5"/>
      <c r="B2011" s="63" t="str">
        <f>IFERROR(TEXT(tbl_Ventes[[#This Row],[Date]],"mm-aaaa"),"")</f>
        <v>01-1900</v>
      </c>
      <c r="D2011" s="10" t="str">
        <f>IFERROR(
   INDEX(tbl_ProduitsRef[Cde_Prdt],MATCH(tbl_Ventes[[#This Row],[Produit]],tbl_ProduitsRef[Produit],0)),
   ""
)</f>
        <v/>
      </c>
      <c r="E2011" s="7">
        <v>0</v>
      </c>
      <c r="F2011" s="7" t="str">
        <f>IFERROR(
   INDEX(tbl_ProduitsRef[Prix Menu],MATCH(tbl_Ventes[[#This Row],[Produit]],tbl_ProduitsRef[Produit],0)),
   ""
)</f>
        <v/>
      </c>
      <c r="G2011" s="7">
        <f>tbl_Ventes[[#This Row],[Qté Vendue]] * IFERROR(_xlfn.XLOOKUP(tbl_Ventes[[#This Row],[Cde_Prdt]], tbl_Produits[Cde_Prdt], tbl_Produits[Prix Menu]), 0)</f>
        <v>0</v>
      </c>
      <c r="H2011" s="7">
        <f>IFERROR(_xlfn.XLOOKUP(tbl_Ventes[[#This Row],[Cde_Prdt]], tbl_Produits[Cde_Prdt], tbl_Produits[Coût Moyen Portion]), 0)</f>
        <v>0</v>
      </c>
      <c r="I2011" s="7">
        <f>tbl_Ventes[[#This Row],[Qté Vendue]] * tbl_Ventes[[#This Row],[CMP_par_portion]]</f>
        <v>0</v>
      </c>
      <c r="J2011" s="7">
        <f>tbl_Ventes[[#This Row],[CA ligne]] - tbl_Ventes[[#This Row],[Coût matière ligne]]</f>
        <v>0</v>
      </c>
      <c r="K2011" s="7" t="str">
        <f>IFERROR(INDEX(tbl_ProduitsRef[Famille], MATCH(tbl_Ventes[[#This Row],[Cde_Prdt]], tbl_Produits[Cde_Prdt], 0)), "")</f>
        <v/>
      </c>
    </row>
    <row r="2012" spans="1:11" x14ac:dyDescent="0.25">
      <c r="A2012" s="5"/>
      <c r="B2012" s="63" t="str">
        <f>IFERROR(TEXT(tbl_Ventes[[#This Row],[Date]],"mm-aaaa"),"")</f>
        <v>01-1900</v>
      </c>
      <c r="D2012" s="10" t="str">
        <f>IFERROR(
   INDEX(tbl_ProduitsRef[Cde_Prdt],MATCH(tbl_Ventes[[#This Row],[Produit]],tbl_ProduitsRef[Produit],0)),
   ""
)</f>
        <v/>
      </c>
      <c r="E2012" s="7">
        <v>0</v>
      </c>
      <c r="F2012" s="7" t="str">
        <f>IFERROR(
   INDEX(tbl_ProduitsRef[Prix Menu],MATCH(tbl_Ventes[[#This Row],[Produit]],tbl_ProduitsRef[Produit],0)),
   ""
)</f>
        <v/>
      </c>
      <c r="G2012" s="7">
        <f>tbl_Ventes[[#This Row],[Qté Vendue]] * IFERROR(_xlfn.XLOOKUP(tbl_Ventes[[#This Row],[Cde_Prdt]], tbl_Produits[Cde_Prdt], tbl_Produits[Prix Menu]), 0)</f>
        <v>0</v>
      </c>
      <c r="H2012" s="7">
        <f>IFERROR(_xlfn.XLOOKUP(tbl_Ventes[[#This Row],[Cde_Prdt]], tbl_Produits[Cde_Prdt], tbl_Produits[Coût Moyen Portion]), 0)</f>
        <v>0</v>
      </c>
      <c r="I2012" s="7">
        <f>tbl_Ventes[[#This Row],[Qté Vendue]] * tbl_Ventes[[#This Row],[CMP_par_portion]]</f>
        <v>0</v>
      </c>
      <c r="J2012" s="7">
        <f>tbl_Ventes[[#This Row],[CA ligne]] - tbl_Ventes[[#This Row],[Coût matière ligne]]</f>
        <v>0</v>
      </c>
      <c r="K2012" s="7" t="str">
        <f>IFERROR(INDEX(tbl_ProduitsRef[Famille], MATCH(tbl_Ventes[[#This Row],[Cde_Prdt]], tbl_Produits[Cde_Prdt], 0)), "")</f>
        <v/>
      </c>
    </row>
    <row r="2013" spans="1:11" x14ac:dyDescent="0.25">
      <c r="A2013" s="5"/>
      <c r="B2013" s="63" t="str">
        <f>IFERROR(TEXT(tbl_Ventes[[#This Row],[Date]],"mm-aaaa"),"")</f>
        <v>01-1900</v>
      </c>
      <c r="D2013" s="10" t="str">
        <f>IFERROR(
   INDEX(tbl_ProduitsRef[Cde_Prdt],MATCH(tbl_Ventes[[#This Row],[Produit]],tbl_ProduitsRef[Produit],0)),
   ""
)</f>
        <v/>
      </c>
      <c r="E2013" s="7">
        <v>0</v>
      </c>
      <c r="F2013" s="7" t="str">
        <f>IFERROR(
   INDEX(tbl_ProduitsRef[Prix Menu],MATCH(tbl_Ventes[[#This Row],[Produit]],tbl_ProduitsRef[Produit],0)),
   ""
)</f>
        <v/>
      </c>
      <c r="G2013" s="7">
        <f>tbl_Ventes[[#This Row],[Qté Vendue]] * IFERROR(_xlfn.XLOOKUP(tbl_Ventes[[#This Row],[Cde_Prdt]], tbl_Produits[Cde_Prdt], tbl_Produits[Prix Menu]), 0)</f>
        <v>0</v>
      </c>
      <c r="H2013" s="7">
        <f>IFERROR(_xlfn.XLOOKUP(tbl_Ventes[[#This Row],[Cde_Prdt]], tbl_Produits[Cde_Prdt], tbl_Produits[Coût Moyen Portion]), 0)</f>
        <v>0</v>
      </c>
      <c r="I2013" s="7">
        <f>tbl_Ventes[[#This Row],[Qté Vendue]] * tbl_Ventes[[#This Row],[CMP_par_portion]]</f>
        <v>0</v>
      </c>
      <c r="J2013" s="7">
        <f>tbl_Ventes[[#This Row],[CA ligne]] - tbl_Ventes[[#This Row],[Coût matière ligne]]</f>
        <v>0</v>
      </c>
      <c r="K2013" s="7" t="str">
        <f>IFERROR(INDEX(tbl_ProduitsRef[Famille], MATCH(tbl_Ventes[[#This Row],[Cde_Prdt]], tbl_Produits[Cde_Prdt], 0)), "")</f>
        <v/>
      </c>
    </row>
    <row r="2014" spans="1:11" x14ac:dyDescent="0.25">
      <c r="A2014" s="5"/>
      <c r="B2014" s="63" t="str">
        <f>IFERROR(TEXT(tbl_Ventes[[#This Row],[Date]],"mm-aaaa"),"")</f>
        <v>01-1900</v>
      </c>
      <c r="D2014" s="10" t="str">
        <f>IFERROR(
   INDEX(tbl_ProduitsRef[Cde_Prdt],MATCH(tbl_Ventes[[#This Row],[Produit]],tbl_ProduitsRef[Produit],0)),
   ""
)</f>
        <v/>
      </c>
      <c r="E2014" s="7">
        <v>0</v>
      </c>
      <c r="F2014" s="7" t="str">
        <f>IFERROR(
   INDEX(tbl_ProduitsRef[Prix Menu],MATCH(tbl_Ventes[[#This Row],[Produit]],tbl_ProduitsRef[Produit],0)),
   ""
)</f>
        <v/>
      </c>
      <c r="G2014" s="7">
        <f>tbl_Ventes[[#This Row],[Qté Vendue]] * IFERROR(_xlfn.XLOOKUP(tbl_Ventes[[#This Row],[Cde_Prdt]], tbl_Produits[Cde_Prdt], tbl_Produits[Prix Menu]), 0)</f>
        <v>0</v>
      </c>
      <c r="H2014" s="7">
        <f>IFERROR(_xlfn.XLOOKUP(tbl_Ventes[[#This Row],[Cde_Prdt]], tbl_Produits[Cde_Prdt], tbl_Produits[Coût Moyen Portion]), 0)</f>
        <v>0</v>
      </c>
      <c r="I2014" s="7">
        <f>tbl_Ventes[[#This Row],[Qté Vendue]] * tbl_Ventes[[#This Row],[CMP_par_portion]]</f>
        <v>0</v>
      </c>
      <c r="J2014" s="7">
        <f>tbl_Ventes[[#This Row],[CA ligne]] - tbl_Ventes[[#This Row],[Coût matière ligne]]</f>
        <v>0</v>
      </c>
      <c r="K2014" s="7" t="str">
        <f>IFERROR(INDEX(tbl_ProduitsRef[Famille], MATCH(tbl_Ventes[[#This Row],[Cde_Prdt]], tbl_Produits[Cde_Prdt], 0)), "")</f>
        <v/>
      </c>
    </row>
    <row r="2015" spans="1:11" x14ac:dyDescent="0.25">
      <c r="A2015" s="5"/>
      <c r="B2015" s="63" t="str">
        <f>IFERROR(TEXT(tbl_Ventes[[#This Row],[Date]],"mm-aaaa"),"")</f>
        <v>01-1900</v>
      </c>
      <c r="D2015" s="10" t="str">
        <f>IFERROR(
   INDEX(tbl_ProduitsRef[Cde_Prdt],MATCH(tbl_Ventes[[#This Row],[Produit]],tbl_ProduitsRef[Produit],0)),
   ""
)</f>
        <v/>
      </c>
      <c r="E2015" s="7">
        <v>0</v>
      </c>
      <c r="F2015" s="7" t="str">
        <f>IFERROR(
   INDEX(tbl_ProduitsRef[Prix Menu],MATCH(tbl_Ventes[[#This Row],[Produit]],tbl_ProduitsRef[Produit],0)),
   ""
)</f>
        <v/>
      </c>
      <c r="G2015" s="7">
        <f>tbl_Ventes[[#This Row],[Qté Vendue]] * IFERROR(_xlfn.XLOOKUP(tbl_Ventes[[#This Row],[Cde_Prdt]], tbl_Produits[Cde_Prdt], tbl_Produits[Prix Menu]), 0)</f>
        <v>0</v>
      </c>
      <c r="H2015" s="7">
        <f>IFERROR(_xlfn.XLOOKUP(tbl_Ventes[[#This Row],[Cde_Prdt]], tbl_Produits[Cde_Prdt], tbl_Produits[Coût Moyen Portion]), 0)</f>
        <v>0</v>
      </c>
      <c r="I2015" s="7">
        <f>tbl_Ventes[[#This Row],[Qté Vendue]] * tbl_Ventes[[#This Row],[CMP_par_portion]]</f>
        <v>0</v>
      </c>
      <c r="J2015" s="7">
        <f>tbl_Ventes[[#This Row],[CA ligne]] - tbl_Ventes[[#This Row],[Coût matière ligne]]</f>
        <v>0</v>
      </c>
      <c r="K2015" s="7" t="str">
        <f>IFERROR(INDEX(tbl_ProduitsRef[Famille], MATCH(tbl_Ventes[[#This Row],[Cde_Prdt]], tbl_Produits[Cde_Prdt], 0)), "")</f>
        <v/>
      </c>
    </row>
    <row r="2016" spans="1:11" x14ac:dyDescent="0.25">
      <c r="A2016" s="5"/>
      <c r="B2016" s="63" t="str">
        <f>IFERROR(TEXT(tbl_Ventes[[#This Row],[Date]],"mm-aaaa"),"")</f>
        <v>01-1900</v>
      </c>
      <c r="D2016" s="10" t="str">
        <f>IFERROR(
   INDEX(tbl_ProduitsRef[Cde_Prdt],MATCH(tbl_Ventes[[#This Row],[Produit]],tbl_ProduitsRef[Produit],0)),
   ""
)</f>
        <v/>
      </c>
      <c r="E2016" s="7">
        <v>0</v>
      </c>
      <c r="F2016" s="7" t="str">
        <f>IFERROR(
   INDEX(tbl_ProduitsRef[Prix Menu],MATCH(tbl_Ventes[[#This Row],[Produit]],tbl_ProduitsRef[Produit],0)),
   ""
)</f>
        <v/>
      </c>
      <c r="G2016" s="7">
        <f>tbl_Ventes[[#This Row],[Qté Vendue]] * IFERROR(_xlfn.XLOOKUP(tbl_Ventes[[#This Row],[Cde_Prdt]], tbl_Produits[Cde_Prdt], tbl_Produits[Prix Menu]), 0)</f>
        <v>0</v>
      </c>
      <c r="H2016" s="7">
        <f>IFERROR(_xlfn.XLOOKUP(tbl_Ventes[[#This Row],[Cde_Prdt]], tbl_Produits[Cde_Prdt], tbl_Produits[Coût Moyen Portion]), 0)</f>
        <v>0</v>
      </c>
      <c r="I2016" s="7">
        <f>tbl_Ventes[[#This Row],[Qté Vendue]] * tbl_Ventes[[#This Row],[CMP_par_portion]]</f>
        <v>0</v>
      </c>
      <c r="J2016" s="7">
        <f>tbl_Ventes[[#This Row],[CA ligne]] - tbl_Ventes[[#This Row],[Coût matière ligne]]</f>
        <v>0</v>
      </c>
      <c r="K2016" s="7" t="str">
        <f>IFERROR(INDEX(tbl_ProduitsRef[Famille], MATCH(tbl_Ventes[[#This Row],[Cde_Prdt]], tbl_Produits[Cde_Prdt], 0)), "")</f>
        <v/>
      </c>
    </row>
    <row r="2017" spans="1:11" x14ac:dyDescent="0.25">
      <c r="A2017" s="5"/>
      <c r="B2017" s="63" t="str">
        <f>IFERROR(TEXT(tbl_Ventes[[#This Row],[Date]],"mm-aaaa"),"")</f>
        <v>01-1900</v>
      </c>
      <c r="D2017" s="10" t="str">
        <f>IFERROR(
   INDEX(tbl_ProduitsRef[Cde_Prdt],MATCH(tbl_Ventes[[#This Row],[Produit]],tbl_ProduitsRef[Produit],0)),
   ""
)</f>
        <v/>
      </c>
      <c r="E2017" s="7">
        <v>0</v>
      </c>
      <c r="F2017" s="7" t="str">
        <f>IFERROR(
   INDEX(tbl_ProduitsRef[Prix Menu],MATCH(tbl_Ventes[[#This Row],[Produit]],tbl_ProduitsRef[Produit],0)),
   ""
)</f>
        <v/>
      </c>
      <c r="G2017" s="7">
        <f>tbl_Ventes[[#This Row],[Qté Vendue]] * IFERROR(_xlfn.XLOOKUP(tbl_Ventes[[#This Row],[Cde_Prdt]], tbl_Produits[Cde_Prdt], tbl_Produits[Prix Menu]), 0)</f>
        <v>0</v>
      </c>
      <c r="H2017" s="7">
        <f>IFERROR(_xlfn.XLOOKUP(tbl_Ventes[[#This Row],[Cde_Prdt]], tbl_Produits[Cde_Prdt], tbl_Produits[Coût Moyen Portion]), 0)</f>
        <v>0</v>
      </c>
      <c r="I2017" s="7">
        <f>tbl_Ventes[[#This Row],[Qté Vendue]] * tbl_Ventes[[#This Row],[CMP_par_portion]]</f>
        <v>0</v>
      </c>
      <c r="J2017" s="7">
        <f>tbl_Ventes[[#This Row],[CA ligne]] - tbl_Ventes[[#This Row],[Coût matière ligne]]</f>
        <v>0</v>
      </c>
      <c r="K2017" s="7" t="str">
        <f>IFERROR(INDEX(tbl_ProduitsRef[Famille], MATCH(tbl_Ventes[[#This Row],[Cde_Prdt]], tbl_Produits[Cde_Prdt], 0)), "")</f>
        <v/>
      </c>
    </row>
    <row r="2018" spans="1:11" x14ac:dyDescent="0.25">
      <c r="A2018" s="5"/>
      <c r="B2018" s="63" t="str">
        <f>IFERROR(TEXT(tbl_Ventes[[#This Row],[Date]],"mm-aaaa"),"")</f>
        <v>01-1900</v>
      </c>
      <c r="D2018" s="10" t="str">
        <f>IFERROR(
   INDEX(tbl_ProduitsRef[Cde_Prdt],MATCH(tbl_Ventes[[#This Row],[Produit]],tbl_ProduitsRef[Produit],0)),
   ""
)</f>
        <v/>
      </c>
      <c r="E2018" s="7">
        <v>0</v>
      </c>
      <c r="F2018" s="7" t="str">
        <f>IFERROR(
   INDEX(tbl_ProduitsRef[Prix Menu],MATCH(tbl_Ventes[[#This Row],[Produit]],tbl_ProduitsRef[Produit],0)),
   ""
)</f>
        <v/>
      </c>
      <c r="G2018" s="7">
        <f>tbl_Ventes[[#This Row],[Qté Vendue]] * IFERROR(_xlfn.XLOOKUP(tbl_Ventes[[#This Row],[Cde_Prdt]], tbl_Produits[Cde_Prdt], tbl_Produits[Prix Menu]), 0)</f>
        <v>0</v>
      </c>
      <c r="H2018" s="7">
        <f>IFERROR(_xlfn.XLOOKUP(tbl_Ventes[[#This Row],[Cde_Prdt]], tbl_Produits[Cde_Prdt], tbl_Produits[Coût Moyen Portion]), 0)</f>
        <v>0</v>
      </c>
      <c r="I2018" s="7">
        <f>tbl_Ventes[[#This Row],[Qté Vendue]] * tbl_Ventes[[#This Row],[CMP_par_portion]]</f>
        <v>0</v>
      </c>
      <c r="J2018" s="7">
        <f>tbl_Ventes[[#This Row],[CA ligne]] - tbl_Ventes[[#This Row],[Coût matière ligne]]</f>
        <v>0</v>
      </c>
      <c r="K2018" s="7" t="str">
        <f>IFERROR(INDEX(tbl_ProduitsRef[Famille], MATCH(tbl_Ventes[[#This Row],[Cde_Prdt]], tbl_Produits[Cde_Prdt], 0)), "")</f>
        <v/>
      </c>
    </row>
    <row r="2019" spans="1:11" x14ac:dyDescent="0.25">
      <c r="A2019" s="5"/>
      <c r="B2019" s="63" t="str">
        <f>IFERROR(TEXT(tbl_Ventes[[#This Row],[Date]],"mm-aaaa"),"")</f>
        <v>01-1900</v>
      </c>
      <c r="D2019" s="10" t="str">
        <f>IFERROR(
   INDEX(tbl_ProduitsRef[Cde_Prdt],MATCH(tbl_Ventes[[#This Row],[Produit]],tbl_ProduitsRef[Produit],0)),
   ""
)</f>
        <v/>
      </c>
      <c r="E2019" s="7">
        <v>0</v>
      </c>
      <c r="F2019" s="7" t="str">
        <f>IFERROR(
   INDEX(tbl_ProduitsRef[Prix Menu],MATCH(tbl_Ventes[[#This Row],[Produit]],tbl_ProduitsRef[Produit],0)),
   ""
)</f>
        <v/>
      </c>
      <c r="G2019" s="7">
        <f>tbl_Ventes[[#This Row],[Qté Vendue]] * IFERROR(_xlfn.XLOOKUP(tbl_Ventes[[#This Row],[Cde_Prdt]], tbl_Produits[Cde_Prdt], tbl_Produits[Prix Menu]), 0)</f>
        <v>0</v>
      </c>
      <c r="H2019" s="7">
        <f>IFERROR(_xlfn.XLOOKUP(tbl_Ventes[[#This Row],[Cde_Prdt]], tbl_Produits[Cde_Prdt], tbl_Produits[Coût Moyen Portion]), 0)</f>
        <v>0</v>
      </c>
      <c r="I2019" s="7">
        <f>tbl_Ventes[[#This Row],[Qté Vendue]] * tbl_Ventes[[#This Row],[CMP_par_portion]]</f>
        <v>0</v>
      </c>
      <c r="J2019" s="7">
        <f>tbl_Ventes[[#This Row],[CA ligne]] - tbl_Ventes[[#This Row],[Coût matière ligne]]</f>
        <v>0</v>
      </c>
      <c r="K2019" s="7" t="str">
        <f>IFERROR(INDEX(tbl_ProduitsRef[Famille], MATCH(tbl_Ventes[[#This Row],[Cde_Prdt]], tbl_Produits[Cde_Prdt], 0)), "")</f>
        <v/>
      </c>
    </row>
    <row r="2020" spans="1:11" x14ac:dyDescent="0.25">
      <c r="A2020" s="5"/>
      <c r="B2020" s="63" t="str">
        <f>IFERROR(TEXT(tbl_Ventes[[#This Row],[Date]],"mm-aaaa"),"")</f>
        <v>01-1900</v>
      </c>
      <c r="D2020" s="10" t="str">
        <f>IFERROR(
   INDEX(tbl_ProduitsRef[Cde_Prdt],MATCH(tbl_Ventes[[#This Row],[Produit]],tbl_ProduitsRef[Produit],0)),
   ""
)</f>
        <v/>
      </c>
      <c r="E2020" s="7">
        <v>0</v>
      </c>
      <c r="F2020" s="7" t="str">
        <f>IFERROR(
   INDEX(tbl_ProduitsRef[Prix Menu],MATCH(tbl_Ventes[[#This Row],[Produit]],tbl_ProduitsRef[Produit],0)),
   ""
)</f>
        <v/>
      </c>
      <c r="G2020" s="7">
        <f>tbl_Ventes[[#This Row],[Qté Vendue]] * IFERROR(_xlfn.XLOOKUP(tbl_Ventes[[#This Row],[Cde_Prdt]], tbl_Produits[Cde_Prdt], tbl_Produits[Prix Menu]), 0)</f>
        <v>0</v>
      </c>
      <c r="H2020" s="7">
        <f>IFERROR(_xlfn.XLOOKUP(tbl_Ventes[[#This Row],[Cde_Prdt]], tbl_Produits[Cde_Prdt], tbl_Produits[Coût Moyen Portion]), 0)</f>
        <v>0</v>
      </c>
      <c r="I2020" s="7">
        <f>tbl_Ventes[[#This Row],[Qté Vendue]] * tbl_Ventes[[#This Row],[CMP_par_portion]]</f>
        <v>0</v>
      </c>
      <c r="J2020" s="7">
        <f>tbl_Ventes[[#This Row],[CA ligne]] - tbl_Ventes[[#This Row],[Coût matière ligne]]</f>
        <v>0</v>
      </c>
      <c r="K2020" s="7" t="str">
        <f>IFERROR(INDEX(tbl_ProduitsRef[Famille], MATCH(tbl_Ventes[[#This Row],[Cde_Prdt]], tbl_Produits[Cde_Prdt], 0)), "")</f>
        <v/>
      </c>
    </row>
    <row r="2021" spans="1:11" x14ac:dyDescent="0.25">
      <c r="A2021" s="5"/>
      <c r="B2021" s="63" t="str">
        <f>IFERROR(TEXT(tbl_Ventes[[#This Row],[Date]],"mm-aaaa"),"")</f>
        <v>01-1900</v>
      </c>
      <c r="D2021" s="10" t="str">
        <f>IFERROR(
   INDEX(tbl_ProduitsRef[Cde_Prdt],MATCH(tbl_Ventes[[#This Row],[Produit]],tbl_ProduitsRef[Produit],0)),
   ""
)</f>
        <v/>
      </c>
      <c r="E2021" s="7">
        <v>0</v>
      </c>
      <c r="F2021" s="7" t="str">
        <f>IFERROR(
   INDEX(tbl_ProduitsRef[Prix Menu],MATCH(tbl_Ventes[[#This Row],[Produit]],tbl_ProduitsRef[Produit],0)),
   ""
)</f>
        <v/>
      </c>
      <c r="G2021" s="7">
        <f>tbl_Ventes[[#This Row],[Qté Vendue]] * IFERROR(_xlfn.XLOOKUP(tbl_Ventes[[#This Row],[Cde_Prdt]], tbl_Produits[Cde_Prdt], tbl_Produits[Prix Menu]), 0)</f>
        <v>0</v>
      </c>
      <c r="H2021" s="7">
        <f>IFERROR(_xlfn.XLOOKUP(tbl_Ventes[[#This Row],[Cde_Prdt]], tbl_Produits[Cde_Prdt], tbl_Produits[Coût Moyen Portion]), 0)</f>
        <v>0</v>
      </c>
      <c r="I2021" s="7">
        <f>tbl_Ventes[[#This Row],[Qté Vendue]] * tbl_Ventes[[#This Row],[CMP_par_portion]]</f>
        <v>0</v>
      </c>
      <c r="J2021" s="7">
        <f>tbl_Ventes[[#This Row],[CA ligne]] - tbl_Ventes[[#This Row],[Coût matière ligne]]</f>
        <v>0</v>
      </c>
      <c r="K2021" s="7" t="str">
        <f>IFERROR(INDEX(tbl_ProduitsRef[Famille], MATCH(tbl_Ventes[[#This Row],[Cde_Prdt]], tbl_Produits[Cde_Prdt], 0)), "")</f>
        <v/>
      </c>
    </row>
    <row r="2022" spans="1:11" x14ac:dyDescent="0.25">
      <c r="A2022" s="5"/>
      <c r="B2022" s="63" t="str">
        <f>IFERROR(TEXT(tbl_Ventes[[#This Row],[Date]],"mm-aaaa"),"")</f>
        <v>01-1900</v>
      </c>
      <c r="D2022" s="10" t="str">
        <f>IFERROR(
   INDEX(tbl_ProduitsRef[Cde_Prdt],MATCH(tbl_Ventes[[#This Row],[Produit]],tbl_ProduitsRef[Produit],0)),
   ""
)</f>
        <v/>
      </c>
      <c r="E2022" s="7">
        <v>0</v>
      </c>
      <c r="F2022" s="7" t="str">
        <f>IFERROR(
   INDEX(tbl_ProduitsRef[Prix Menu],MATCH(tbl_Ventes[[#This Row],[Produit]],tbl_ProduitsRef[Produit],0)),
   ""
)</f>
        <v/>
      </c>
      <c r="G2022" s="7">
        <f>tbl_Ventes[[#This Row],[Qté Vendue]] * IFERROR(_xlfn.XLOOKUP(tbl_Ventes[[#This Row],[Cde_Prdt]], tbl_Produits[Cde_Prdt], tbl_Produits[Prix Menu]), 0)</f>
        <v>0</v>
      </c>
      <c r="H2022" s="7">
        <f>IFERROR(_xlfn.XLOOKUP(tbl_Ventes[[#This Row],[Cde_Prdt]], tbl_Produits[Cde_Prdt], tbl_Produits[Coût Moyen Portion]), 0)</f>
        <v>0</v>
      </c>
      <c r="I2022" s="7">
        <f>tbl_Ventes[[#This Row],[Qté Vendue]] * tbl_Ventes[[#This Row],[CMP_par_portion]]</f>
        <v>0</v>
      </c>
      <c r="J2022" s="7">
        <f>tbl_Ventes[[#This Row],[CA ligne]] - tbl_Ventes[[#This Row],[Coût matière ligne]]</f>
        <v>0</v>
      </c>
      <c r="K2022" s="7" t="str">
        <f>IFERROR(INDEX(tbl_ProduitsRef[Famille], MATCH(tbl_Ventes[[#This Row],[Cde_Prdt]], tbl_Produits[Cde_Prdt], 0)), "")</f>
        <v/>
      </c>
    </row>
    <row r="2023" spans="1:11" x14ac:dyDescent="0.25">
      <c r="A2023" s="5"/>
      <c r="B2023" s="63" t="str">
        <f>IFERROR(TEXT(tbl_Ventes[[#This Row],[Date]],"mm-aaaa"),"")</f>
        <v>01-1900</v>
      </c>
      <c r="D2023" s="10" t="str">
        <f>IFERROR(
   INDEX(tbl_ProduitsRef[Cde_Prdt],MATCH(tbl_Ventes[[#This Row],[Produit]],tbl_ProduitsRef[Produit],0)),
   ""
)</f>
        <v/>
      </c>
      <c r="E2023" s="7">
        <v>0</v>
      </c>
      <c r="F2023" s="7" t="str">
        <f>IFERROR(
   INDEX(tbl_ProduitsRef[Prix Menu],MATCH(tbl_Ventes[[#This Row],[Produit]],tbl_ProduitsRef[Produit],0)),
   ""
)</f>
        <v/>
      </c>
      <c r="G2023" s="7">
        <f>tbl_Ventes[[#This Row],[Qté Vendue]] * IFERROR(_xlfn.XLOOKUP(tbl_Ventes[[#This Row],[Cde_Prdt]], tbl_Produits[Cde_Prdt], tbl_Produits[Prix Menu]), 0)</f>
        <v>0</v>
      </c>
      <c r="H2023" s="7">
        <f>IFERROR(_xlfn.XLOOKUP(tbl_Ventes[[#This Row],[Cde_Prdt]], tbl_Produits[Cde_Prdt], tbl_Produits[Coût Moyen Portion]), 0)</f>
        <v>0</v>
      </c>
      <c r="I2023" s="7">
        <f>tbl_Ventes[[#This Row],[Qté Vendue]] * tbl_Ventes[[#This Row],[CMP_par_portion]]</f>
        <v>0</v>
      </c>
      <c r="J2023" s="7">
        <f>tbl_Ventes[[#This Row],[CA ligne]] - tbl_Ventes[[#This Row],[Coût matière ligne]]</f>
        <v>0</v>
      </c>
      <c r="K2023" s="7" t="str">
        <f>IFERROR(INDEX(tbl_ProduitsRef[Famille], MATCH(tbl_Ventes[[#This Row],[Cde_Prdt]], tbl_Produits[Cde_Prdt], 0)), "")</f>
        <v/>
      </c>
    </row>
    <row r="2024" spans="1:11" x14ac:dyDescent="0.25">
      <c r="A2024" s="5"/>
      <c r="B2024" s="63" t="str">
        <f>IFERROR(TEXT(tbl_Ventes[[#This Row],[Date]],"mm-aaaa"),"")</f>
        <v>01-1900</v>
      </c>
      <c r="D2024" s="10" t="str">
        <f>IFERROR(
   INDEX(tbl_ProduitsRef[Cde_Prdt],MATCH(tbl_Ventes[[#This Row],[Produit]],tbl_ProduitsRef[Produit],0)),
   ""
)</f>
        <v/>
      </c>
      <c r="E2024" s="7">
        <v>0</v>
      </c>
      <c r="F2024" s="7" t="str">
        <f>IFERROR(
   INDEX(tbl_ProduitsRef[Prix Menu],MATCH(tbl_Ventes[[#This Row],[Produit]],tbl_ProduitsRef[Produit],0)),
   ""
)</f>
        <v/>
      </c>
      <c r="G2024" s="7">
        <f>tbl_Ventes[[#This Row],[Qté Vendue]] * IFERROR(_xlfn.XLOOKUP(tbl_Ventes[[#This Row],[Cde_Prdt]], tbl_Produits[Cde_Prdt], tbl_Produits[Prix Menu]), 0)</f>
        <v>0</v>
      </c>
      <c r="H2024" s="7">
        <f>IFERROR(_xlfn.XLOOKUP(tbl_Ventes[[#This Row],[Cde_Prdt]], tbl_Produits[Cde_Prdt], tbl_Produits[Coût Moyen Portion]), 0)</f>
        <v>0</v>
      </c>
      <c r="I2024" s="7">
        <f>tbl_Ventes[[#This Row],[Qté Vendue]] * tbl_Ventes[[#This Row],[CMP_par_portion]]</f>
        <v>0</v>
      </c>
      <c r="J2024" s="7">
        <f>tbl_Ventes[[#This Row],[CA ligne]] - tbl_Ventes[[#This Row],[Coût matière ligne]]</f>
        <v>0</v>
      </c>
      <c r="K2024" s="7" t="str">
        <f>IFERROR(INDEX(tbl_ProduitsRef[Famille], MATCH(tbl_Ventes[[#This Row],[Cde_Prdt]], tbl_Produits[Cde_Prdt], 0)), "")</f>
        <v/>
      </c>
    </row>
    <row r="2025" spans="1:11" x14ac:dyDescent="0.25">
      <c r="A2025" s="5"/>
      <c r="B2025" s="63" t="str">
        <f>IFERROR(TEXT(tbl_Ventes[[#This Row],[Date]],"mm-aaaa"),"")</f>
        <v>01-1900</v>
      </c>
      <c r="D2025" s="10" t="str">
        <f>IFERROR(
   INDEX(tbl_ProduitsRef[Cde_Prdt],MATCH(tbl_Ventes[[#This Row],[Produit]],tbl_ProduitsRef[Produit],0)),
   ""
)</f>
        <v/>
      </c>
      <c r="E2025" s="7">
        <v>0</v>
      </c>
      <c r="F2025" s="7" t="str">
        <f>IFERROR(
   INDEX(tbl_ProduitsRef[Prix Menu],MATCH(tbl_Ventes[[#This Row],[Produit]],tbl_ProduitsRef[Produit],0)),
   ""
)</f>
        <v/>
      </c>
      <c r="G2025" s="7">
        <f>tbl_Ventes[[#This Row],[Qté Vendue]] * IFERROR(_xlfn.XLOOKUP(tbl_Ventes[[#This Row],[Cde_Prdt]], tbl_Produits[Cde_Prdt], tbl_Produits[Prix Menu]), 0)</f>
        <v>0</v>
      </c>
      <c r="H2025" s="7">
        <f>IFERROR(_xlfn.XLOOKUP(tbl_Ventes[[#This Row],[Cde_Prdt]], tbl_Produits[Cde_Prdt], tbl_Produits[Coût Moyen Portion]), 0)</f>
        <v>0</v>
      </c>
      <c r="I2025" s="7">
        <f>tbl_Ventes[[#This Row],[Qté Vendue]] * tbl_Ventes[[#This Row],[CMP_par_portion]]</f>
        <v>0</v>
      </c>
      <c r="J2025" s="7">
        <f>tbl_Ventes[[#This Row],[CA ligne]] - tbl_Ventes[[#This Row],[Coût matière ligne]]</f>
        <v>0</v>
      </c>
      <c r="K2025" s="7" t="str">
        <f>IFERROR(INDEX(tbl_ProduitsRef[Famille], MATCH(tbl_Ventes[[#This Row],[Cde_Prdt]], tbl_Produits[Cde_Prdt], 0)), "")</f>
        <v/>
      </c>
    </row>
    <row r="2026" spans="1:11" x14ac:dyDescent="0.25">
      <c r="A2026" s="5"/>
      <c r="B2026" s="63" t="str">
        <f>IFERROR(TEXT(tbl_Ventes[[#This Row],[Date]],"mm-aaaa"),"")</f>
        <v>01-1900</v>
      </c>
      <c r="D2026" s="10" t="str">
        <f>IFERROR(
   INDEX(tbl_ProduitsRef[Cde_Prdt],MATCH(tbl_Ventes[[#This Row],[Produit]],tbl_ProduitsRef[Produit],0)),
   ""
)</f>
        <v/>
      </c>
      <c r="E2026" s="7">
        <v>0</v>
      </c>
      <c r="F2026" s="7" t="str">
        <f>IFERROR(
   INDEX(tbl_ProduitsRef[Prix Menu],MATCH(tbl_Ventes[[#This Row],[Produit]],tbl_ProduitsRef[Produit],0)),
   ""
)</f>
        <v/>
      </c>
      <c r="G2026" s="7">
        <f>tbl_Ventes[[#This Row],[Qté Vendue]] * IFERROR(_xlfn.XLOOKUP(tbl_Ventes[[#This Row],[Cde_Prdt]], tbl_Produits[Cde_Prdt], tbl_Produits[Prix Menu]), 0)</f>
        <v>0</v>
      </c>
      <c r="H2026" s="7">
        <f>IFERROR(_xlfn.XLOOKUP(tbl_Ventes[[#This Row],[Cde_Prdt]], tbl_Produits[Cde_Prdt], tbl_Produits[Coût Moyen Portion]), 0)</f>
        <v>0</v>
      </c>
      <c r="I2026" s="7">
        <f>tbl_Ventes[[#This Row],[Qté Vendue]] * tbl_Ventes[[#This Row],[CMP_par_portion]]</f>
        <v>0</v>
      </c>
      <c r="J2026" s="7">
        <f>tbl_Ventes[[#This Row],[CA ligne]] - tbl_Ventes[[#This Row],[Coût matière ligne]]</f>
        <v>0</v>
      </c>
      <c r="K2026" s="7" t="str">
        <f>IFERROR(INDEX(tbl_ProduitsRef[Famille], MATCH(tbl_Ventes[[#This Row],[Cde_Prdt]], tbl_Produits[Cde_Prdt], 0)), "")</f>
        <v/>
      </c>
    </row>
    <row r="2027" spans="1:11" x14ac:dyDescent="0.25">
      <c r="A2027" s="5"/>
      <c r="B2027" s="63" t="str">
        <f>IFERROR(TEXT(tbl_Ventes[[#This Row],[Date]],"mm-aaaa"),"")</f>
        <v>01-1900</v>
      </c>
      <c r="D2027" s="10" t="str">
        <f>IFERROR(
   INDEX(tbl_ProduitsRef[Cde_Prdt],MATCH(tbl_Ventes[[#This Row],[Produit]],tbl_ProduitsRef[Produit],0)),
   ""
)</f>
        <v/>
      </c>
      <c r="E2027" s="7">
        <v>0</v>
      </c>
      <c r="F2027" s="7" t="str">
        <f>IFERROR(
   INDEX(tbl_ProduitsRef[Prix Menu],MATCH(tbl_Ventes[[#This Row],[Produit]],tbl_ProduitsRef[Produit],0)),
   ""
)</f>
        <v/>
      </c>
      <c r="G2027" s="7">
        <f>tbl_Ventes[[#This Row],[Qté Vendue]] * IFERROR(_xlfn.XLOOKUP(tbl_Ventes[[#This Row],[Cde_Prdt]], tbl_Produits[Cde_Prdt], tbl_Produits[Prix Menu]), 0)</f>
        <v>0</v>
      </c>
      <c r="H2027" s="7">
        <f>IFERROR(_xlfn.XLOOKUP(tbl_Ventes[[#This Row],[Cde_Prdt]], tbl_Produits[Cde_Prdt], tbl_Produits[Coût Moyen Portion]), 0)</f>
        <v>0</v>
      </c>
      <c r="I2027" s="7">
        <f>tbl_Ventes[[#This Row],[Qté Vendue]] * tbl_Ventes[[#This Row],[CMP_par_portion]]</f>
        <v>0</v>
      </c>
      <c r="J2027" s="7">
        <f>tbl_Ventes[[#This Row],[CA ligne]] - tbl_Ventes[[#This Row],[Coût matière ligne]]</f>
        <v>0</v>
      </c>
      <c r="K2027" s="7" t="str">
        <f>IFERROR(INDEX(tbl_ProduitsRef[Famille], MATCH(tbl_Ventes[[#This Row],[Cde_Prdt]], tbl_Produits[Cde_Prdt], 0)), "")</f>
        <v/>
      </c>
    </row>
    <row r="2028" spans="1:11" x14ac:dyDescent="0.25">
      <c r="A2028" s="5"/>
      <c r="B2028" s="63" t="str">
        <f>IFERROR(TEXT(tbl_Ventes[[#This Row],[Date]],"mm-aaaa"),"")</f>
        <v>01-1900</v>
      </c>
      <c r="D2028" s="10" t="str">
        <f>IFERROR(
   INDEX(tbl_ProduitsRef[Cde_Prdt],MATCH(tbl_Ventes[[#This Row],[Produit]],tbl_ProduitsRef[Produit],0)),
   ""
)</f>
        <v/>
      </c>
      <c r="E2028" s="7">
        <v>0</v>
      </c>
      <c r="F2028" s="7" t="str">
        <f>IFERROR(
   INDEX(tbl_ProduitsRef[Prix Menu],MATCH(tbl_Ventes[[#This Row],[Produit]],tbl_ProduitsRef[Produit],0)),
   ""
)</f>
        <v/>
      </c>
      <c r="G2028" s="7">
        <f>tbl_Ventes[[#This Row],[Qté Vendue]] * IFERROR(_xlfn.XLOOKUP(tbl_Ventes[[#This Row],[Cde_Prdt]], tbl_Produits[Cde_Prdt], tbl_Produits[Prix Menu]), 0)</f>
        <v>0</v>
      </c>
      <c r="H2028" s="7">
        <f>IFERROR(_xlfn.XLOOKUP(tbl_Ventes[[#This Row],[Cde_Prdt]], tbl_Produits[Cde_Prdt], tbl_Produits[Coût Moyen Portion]), 0)</f>
        <v>0</v>
      </c>
      <c r="I2028" s="7">
        <f>tbl_Ventes[[#This Row],[Qté Vendue]] * tbl_Ventes[[#This Row],[CMP_par_portion]]</f>
        <v>0</v>
      </c>
      <c r="J2028" s="7">
        <f>tbl_Ventes[[#This Row],[CA ligne]] - tbl_Ventes[[#This Row],[Coût matière ligne]]</f>
        <v>0</v>
      </c>
      <c r="K2028" s="7" t="str">
        <f>IFERROR(INDEX(tbl_ProduitsRef[Famille], MATCH(tbl_Ventes[[#This Row],[Cde_Prdt]], tbl_Produits[Cde_Prdt], 0)), "")</f>
        <v/>
      </c>
    </row>
    <row r="2029" spans="1:11" x14ac:dyDescent="0.25">
      <c r="A2029" s="5"/>
      <c r="B2029" s="63" t="str">
        <f>IFERROR(TEXT(tbl_Ventes[[#This Row],[Date]],"mm-aaaa"),"")</f>
        <v>01-1900</v>
      </c>
      <c r="D2029" s="10" t="str">
        <f>IFERROR(
   INDEX(tbl_ProduitsRef[Cde_Prdt],MATCH(tbl_Ventes[[#This Row],[Produit]],tbl_ProduitsRef[Produit],0)),
   ""
)</f>
        <v/>
      </c>
      <c r="E2029" s="7">
        <v>0</v>
      </c>
      <c r="F2029" s="7" t="str">
        <f>IFERROR(
   INDEX(tbl_ProduitsRef[Prix Menu],MATCH(tbl_Ventes[[#This Row],[Produit]],tbl_ProduitsRef[Produit],0)),
   ""
)</f>
        <v/>
      </c>
      <c r="G2029" s="7">
        <f>tbl_Ventes[[#This Row],[Qté Vendue]] * IFERROR(_xlfn.XLOOKUP(tbl_Ventes[[#This Row],[Cde_Prdt]], tbl_Produits[Cde_Prdt], tbl_Produits[Prix Menu]), 0)</f>
        <v>0</v>
      </c>
      <c r="H2029" s="7">
        <f>IFERROR(_xlfn.XLOOKUP(tbl_Ventes[[#This Row],[Cde_Prdt]], tbl_Produits[Cde_Prdt], tbl_Produits[Coût Moyen Portion]), 0)</f>
        <v>0</v>
      </c>
      <c r="I2029" s="7">
        <f>tbl_Ventes[[#This Row],[Qté Vendue]] * tbl_Ventes[[#This Row],[CMP_par_portion]]</f>
        <v>0</v>
      </c>
      <c r="J2029" s="7">
        <f>tbl_Ventes[[#This Row],[CA ligne]] - tbl_Ventes[[#This Row],[Coût matière ligne]]</f>
        <v>0</v>
      </c>
      <c r="K2029" s="7" t="str">
        <f>IFERROR(INDEX(tbl_ProduitsRef[Famille], MATCH(tbl_Ventes[[#This Row],[Cde_Prdt]], tbl_Produits[Cde_Prdt], 0)), "")</f>
        <v/>
      </c>
    </row>
    <row r="2030" spans="1:11" x14ac:dyDescent="0.25">
      <c r="A2030" s="5"/>
      <c r="B2030" s="63" t="str">
        <f>IFERROR(TEXT(tbl_Ventes[[#This Row],[Date]],"mm-aaaa"),"")</f>
        <v>01-1900</v>
      </c>
      <c r="D2030" s="10" t="str">
        <f>IFERROR(
   INDEX(tbl_ProduitsRef[Cde_Prdt],MATCH(tbl_Ventes[[#This Row],[Produit]],tbl_ProduitsRef[Produit],0)),
   ""
)</f>
        <v/>
      </c>
      <c r="E2030" s="7">
        <v>0</v>
      </c>
      <c r="F2030" s="7" t="str">
        <f>IFERROR(
   INDEX(tbl_ProduitsRef[Prix Menu],MATCH(tbl_Ventes[[#This Row],[Produit]],tbl_ProduitsRef[Produit],0)),
   ""
)</f>
        <v/>
      </c>
      <c r="G2030" s="7">
        <f>tbl_Ventes[[#This Row],[Qté Vendue]] * IFERROR(_xlfn.XLOOKUP(tbl_Ventes[[#This Row],[Cde_Prdt]], tbl_Produits[Cde_Prdt], tbl_Produits[Prix Menu]), 0)</f>
        <v>0</v>
      </c>
      <c r="H2030" s="7">
        <f>IFERROR(_xlfn.XLOOKUP(tbl_Ventes[[#This Row],[Cde_Prdt]], tbl_Produits[Cde_Prdt], tbl_Produits[Coût Moyen Portion]), 0)</f>
        <v>0</v>
      </c>
      <c r="I2030" s="7">
        <f>tbl_Ventes[[#This Row],[Qté Vendue]] * tbl_Ventes[[#This Row],[CMP_par_portion]]</f>
        <v>0</v>
      </c>
      <c r="J2030" s="7">
        <f>tbl_Ventes[[#This Row],[CA ligne]] - tbl_Ventes[[#This Row],[Coût matière ligne]]</f>
        <v>0</v>
      </c>
      <c r="K2030" s="7" t="str">
        <f>IFERROR(INDEX(tbl_ProduitsRef[Famille], MATCH(tbl_Ventes[[#This Row],[Cde_Prdt]], tbl_Produits[Cde_Prdt], 0)), "")</f>
        <v/>
      </c>
    </row>
    <row r="2031" spans="1:11" x14ac:dyDescent="0.25">
      <c r="A2031" s="5"/>
      <c r="B2031" s="63" t="str">
        <f>IFERROR(TEXT(tbl_Ventes[[#This Row],[Date]],"mm-aaaa"),"")</f>
        <v>01-1900</v>
      </c>
      <c r="D2031" s="10" t="str">
        <f>IFERROR(
   INDEX(tbl_ProduitsRef[Cde_Prdt],MATCH(tbl_Ventes[[#This Row],[Produit]],tbl_ProduitsRef[Produit],0)),
   ""
)</f>
        <v/>
      </c>
      <c r="E2031" s="7">
        <v>0</v>
      </c>
      <c r="F2031" s="7" t="str">
        <f>IFERROR(
   INDEX(tbl_ProduitsRef[Prix Menu],MATCH(tbl_Ventes[[#This Row],[Produit]],tbl_ProduitsRef[Produit],0)),
   ""
)</f>
        <v/>
      </c>
      <c r="G2031" s="7">
        <f>tbl_Ventes[[#This Row],[Qté Vendue]] * IFERROR(_xlfn.XLOOKUP(tbl_Ventes[[#This Row],[Cde_Prdt]], tbl_Produits[Cde_Prdt], tbl_Produits[Prix Menu]), 0)</f>
        <v>0</v>
      </c>
      <c r="H2031" s="7">
        <f>IFERROR(_xlfn.XLOOKUP(tbl_Ventes[[#This Row],[Cde_Prdt]], tbl_Produits[Cde_Prdt], tbl_Produits[Coût Moyen Portion]), 0)</f>
        <v>0</v>
      </c>
      <c r="I2031" s="7">
        <f>tbl_Ventes[[#This Row],[Qté Vendue]] * tbl_Ventes[[#This Row],[CMP_par_portion]]</f>
        <v>0</v>
      </c>
      <c r="J2031" s="7">
        <f>tbl_Ventes[[#This Row],[CA ligne]] - tbl_Ventes[[#This Row],[Coût matière ligne]]</f>
        <v>0</v>
      </c>
      <c r="K2031" s="7" t="str">
        <f>IFERROR(INDEX(tbl_ProduitsRef[Famille], MATCH(tbl_Ventes[[#This Row],[Cde_Prdt]], tbl_Produits[Cde_Prdt], 0)), "")</f>
        <v/>
      </c>
    </row>
    <row r="2032" spans="1:11" x14ac:dyDescent="0.25">
      <c r="A2032" s="5"/>
      <c r="B2032" s="63" t="str">
        <f>IFERROR(TEXT(tbl_Ventes[[#This Row],[Date]],"mm-aaaa"),"")</f>
        <v>01-1900</v>
      </c>
      <c r="D2032" s="10" t="str">
        <f>IFERROR(
   INDEX(tbl_ProduitsRef[Cde_Prdt],MATCH(tbl_Ventes[[#This Row],[Produit]],tbl_ProduitsRef[Produit],0)),
   ""
)</f>
        <v/>
      </c>
      <c r="E2032" s="7">
        <v>0</v>
      </c>
      <c r="F2032" s="7" t="str">
        <f>IFERROR(
   INDEX(tbl_ProduitsRef[Prix Menu],MATCH(tbl_Ventes[[#This Row],[Produit]],tbl_ProduitsRef[Produit],0)),
   ""
)</f>
        <v/>
      </c>
      <c r="G2032" s="7">
        <f>tbl_Ventes[[#This Row],[Qté Vendue]] * IFERROR(_xlfn.XLOOKUP(tbl_Ventes[[#This Row],[Cde_Prdt]], tbl_Produits[Cde_Prdt], tbl_Produits[Prix Menu]), 0)</f>
        <v>0</v>
      </c>
      <c r="H2032" s="7">
        <f>IFERROR(_xlfn.XLOOKUP(tbl_Ventes[[#This Row],[Cde_Prdt]], tbl_Produits[Cde_Prdt], tbl_Produits[Coût Moyen Portion]), 0)</f>
        <v>0</v>
      </c>
      <c r="I2032" s="7">
        <f>tbl_Ventes[[#This Row],[Qté Vendue]] * tbl_Ventes[[#This Row],[CMP_par_portion]]</f>
        <v>0</v>
      </c>
      <c r="J2032" s="7">
        <f>tbl_Ventes[[#This Row],[CA ligne]] - tbl_Ventes[[#This Row],[Coût matière ligne]]</f>
        <v>0</v>
      </c>
      <c r="K2032" s="7" t="str">
        <f>IFERROR(INDEX(tbl_ProduitsRef[Famille], MATCH(tbl_Ventes[[#This Row],[Cde_Prdt]], tbl_Produits[Cde_Prdt], 0)), "")</f>
        <v/>
      </c>
    </row>
    <row r="2033" spans="1:11" x14ac:dyDescent="0.25">
      <c r="A2033" s="5"/>
      <c r="B2033" s="63" t="str">
        <f>IFERROR(TEXT(tbl_Ventes[[#This Row],[Date]],"mm-aaaa"),"")</f>
        <v>01-1900</v>
      </c>
      <c r="D2033" s="10" t="str">
        <f>IFERROR(
   INDEX(tbl_ProduitsRef[Cde_Prdt],MATCH(tbl_Ventes[[#This Row],[Produit]],tbl_ProduitsRef[Produit],0)),
   ""
)</f>
        <v/>
      </c>
      <c r="E2033" s="7">
        <v>0</v>
      </c>
      <c r="F2033" s="7" t="str">
        <f>IFERROR(
   INDEX(tbl_ProduitsRef[Prix Menu],MATCH(tbl_Ventes[[#This Row],[Produit]],tbl_ProduitsRef[Produit],0)),
   ""
)</f>
        <v/>
      </c>
      <c r="G2033" s="7">
        <f>tbl_Ventes[[#This Row],[Qté Vendue]] * IFERROR(_xlfn.XLOOKUP(tbl_Ventes[[#This Row],[Cde_Prdt]], tbl_Produits[Cde_Prdt], tbl_Produits[Prix Menu]), 0)</f>
        <v>0</v>
      </c>
      <c r="H2033" s="7">
        <f>IFERROR(_xlfn.XLOOKUP(tbl_Ventes[[#This Row],[Cde_Prdt]], tbl_Produits[Cde_Prdt], tbl_Produits[Coût Moyen Portion]), 0)</f>
        <v>0</v>
      </c>
      <c r="I2033" s="7">
        <f>tbl_Ventes[[#This Row],[Qté Vendue]] * tbl_Ventes[[#This Row],[CMP_par_portion]]</f>
        <v>0</v>
      </c>
      <c r="J2033" s="7">
        <f>tbl_Ventes[[#This Row],[CA ligne]] - tbl_Ventes[[#This Row],[Coût matière ligne]]</f>
        <v>0</v>
      </c>
      <c r="K2033" s="7" t="str">
        <f>IFERROR(INDEX(tbl_ProduitsRef[Famille], MATCH(tbl_Ventes[[#This Row],[Cde_Prdt]], tbl_Produits[Cde_Prdt], 0)), "")</f>
        <v/>
      </c>
    </row>
    <row r="2034" spans="1:11" x14ac:dyDescent="0.25">
      <c r="A2034" s="5"/>
      <c r="B2034" s="63" t="str">
        <f>IFERROR(TEXT(tbl_Ventes[[#This Row],[Date]],"mm-aaaa"),"")</f>
        <v>01-1900</v>
      </c>
      <c r="D2034" s="10" t="str">
        <f>IFERROR(
   INDEX(tbl_ProduitsRef[Cde_Prdt],MATCH(tbl_Ventes[[#This Row],[Produit]],tbl_ProduitsRef[Produit],0)),
   ""
)</f>
        <v/>
      </c>
      <c r="E2034" s="7">
        <v>0</v>
      </c>
      <c r="F2034" s="7" t="str">
        <f>IFERROR(
   INDEX(tbl_ProduitsRef[Prix Menu],MATCH(tbl_Ventes[[#This Row],[Produit]],tbl_ProduitsRef[Produit],0)),
   ""
)</f>
        <v/>
      </c>
      <c r="G2034" s="7">
        <f>tbl_Ventes[[#This Row],[Qté Vendue]] * IFERROR(_xlfn.XLOOKUP(tbl_Ventes[[#This Row],[Cde_Prdt]], tbl_Produits[Cde_Prdt], tbl_Produits[Prix Menu]), 0)</f>
        <v>0</v>
      </c>
      <c r="H2034" s="7">
        <f>IFERROR(_xlfn.XLOOKUP(tbl_Ventes[[#This Row],[Cde_Prdt]], tbl_Produits[Cde_Prdt], tbl_Produits[Coût Moyen Portion]), 0)</f>
        <v>0</v>
      </c>
      <c r="I2034" s="7">
        <f>tbl_Ventes[[#This Row],[Qté Vendue]] * tbl_Ventes[[#This Row],[CMP_par_portion]]</f>
        <v>0</v>
      </c>
      <c r="J2034" s="7">
        <f>tbl_Ventes[[#This Row],[CA ligne]] - tbl_Ventes[[#This Row],[Coût matière ligne]]</f>
        <v>0</v>
      </c>
      <c r="K2034" s="7" t="str">
        <f>IFERROR(INDEX(tbl_ProduitsRef[Famille], MATCH(tbl_Ventes[[#This Row],[Cde_Prdt]], tbl_Produits[Cde_Prdt], 0)), "")</f>
        <v/>
      </c>
    </row>
    <row r="2035" spans="1:11" x14ac:dyDescent="0.25">
      <c r="A2035" s="5"/>
      <c r="B2035" s="63" t="str">
        <f>IFERROR(TEXT(tbl_Ventes[[#This Row],[Date]],"mm-aaaa"),"")</f>
        <v>01-1900</v>
      </c>
      <c r="D2035" s="10" t="str">
        <f>IFERROR(
   INDEX(tbl_ProduitsRef[Cde_Prdt],MATCH(tbl_Ventes[[#This Row],[Produit]],tbl_ProduitsRef[Produit],0)),
   ""
)</f>
        <v/>
      </c>
      <c r="E2035" s="7">
        <v>0</v>
      </c>
      <c r="F2035" s="7" t="str">
        <f>IFERROR(
   INDEX(tbl_ProduitsRef[Prix Menu],MATCH(tbl_Ventes[[#This Row],[Produit]],tbl_ProduitsRef[Produit],0)),
   ""
)</f>
        <v/>
      </c>
      <c r="G2035" s="7">
        <f>tbl_Ventes[[#This Row],[Qté Vendue]] * IFERROR(_xlfn.XLOOKUP(tbl_Ventes[[#This Row],[Cde_Prdt]], tbl_Produits[Cde_Prdt], tbl_Produits[Prix Menu]), 0)</f>
        <v>0</v>
      </c>
      <c r="H2035" s="7">
        <f>IFERROR(_xlfn.XLOOKUP(tbl_Ventes[[#This Row],[Cde_Prdt]], tbl_Produits[Cde_Prdt], tbl_Produits[Coût Moyen Portion]), 0)</f>
        <v>0</v>
      </c>
      <c r="I2035" s="7">
        <f>tbl_Ventes[[#This Row],[Qté Vendue]] * tbl_Ventes[[#This Row],[CMP_par_portion]]</f>
        <v>0</v>
      </c>
      <c r="J2035" s="7">
        <f>tbl_Ventes[[#This Row],[CA ligne]] - tbl_Ventes[[#This Row],[Coût matière ligne]]</f>
        <v>0</v>
      </c>
      <c r="K2035" s="7" t="str">
        <f>IFERROR(INDEX(tbl_ProduitsRef[Famille], MATCH(tbl_Ventes[[#This Row],[Cde_Prdt]], tbl_Produits[Cde_Prdt], 0)), "")</f>
        <v/>
      </c>
    </row>
    <row r="2036" spans="1:11" x14ac:dyDescent="0.25">
      <c r="A2036" s="5"/>
      <c r="B2036" s="63" t="str">
        <f>IFERROR(TEXT(tbl_Ventes[[#This Row],[Date]],"mm-aaaa"),"")</f>
        <v>01-1900</v>
      </c>
      <c r="D2036" s="10" t="str">
        <f>IFERROR(
   INDEX(tbl_ProduitsRef[Cde_Prdt],MATCH(tbl_Ventes[[#This Row],[Produit]],tbl_ProduitsRef[Produit],0)),
   ""
)</f>
        <v/>
      </c>
      <c r="E2036" s="7">
        <v>0</v>
      </c>
      <c r="F2036" s="7" t="str">
        <f>IFERROR(
   INDEX(tbl_ProduitsRef[Prix Menu],MATCH(tbl_Ventes[[#This Row],[Produit]],tbl_ProduitsRef[Produit],0)),
   ""
)</f>
        <v/>
      </c>
      <c r="G2036" s="7">
        <f>tbl_Ventes[[#This Row],[Qté Vendue]] * IFERROR(_xlfn.XLOOKUP(tbl_Ventes[[#This Row],[Cde_Prdt]], tbl_Produits[Cde_Prdt], tbl_Produits[Prix Menu]), 0)</f>
        <v>0</v>
      </c>
      <c r="H2036" s="7">
        <f>IFERROR(_xlfn.XLOOKUP(tbl_Ventes[[#This Row],[Cde_Prdt]], tbl_Produits[Cde_Prdt], tbl_Produits[Coût Moyen Portion]), 0)</f>
        <v>0</v>
      </c>
      <c r="I2036" s="7">
        <f>tbl_Ventes[[#This Row],[Qté Vendue]] * tbl_Ventes[[#This Row],[CMP_par_portion]]</f>
        <v>0</v>
      </c>
      <c r="J2036" s="7">
        <f>tbl_Ventes[[#This Row],[CA ligne]] - tbl_Ventes[[#This Row],[Coût matière ligne]]</f>
        <v>0</v>
      </c>
      <c r="K2036" s="7" t="str">
        <f>IFERROR(INDEX(tbl_ProduitsRef[Famille], MATCH(tbl_Ventes[[#This Row],[Cde_Prdt]], tbl_Produits[Cde_Prdt], 0)), "")</f>
        <v/>
      </c>
    </row>
    <row r="2037" spans="1:11" x14ac:dyDescent="0.25">
      <c r="A2037" s="5"/>
      <c r="B2037" s="63" t="str">
        <f>IFERROR(TEXT(tbl_Ventes[[#This Row],[Date]],"mm-aaaa"),"")</f>
        <v>01-1900</v>
      </c>
      <c r="D2037" s="10" t="str">
        <f>IFERROR(
   INDEX(tbl_ProduitsRef[Cde_Prdt],MATCH(tbl_Ventes[[#This Row],[Produit]],tbl_ProduitsRef[Produit],0)),
   ""
)</f>
        <v/>
      </c>
      <c r="E2037" s="7">
        <v>0</v>
      </c>
      <c r="F2037" s="7" t="str">
        <f>IFERROR(
   INDEX(tbl_ProduitsRef[Prix Menu],MATCH(tbl_Ventes[[#This Row],[Produit]],tbl_ProduitsRef[Produit],0)),
   ""
)</f>
        <v/>
      </c>
      <c r="G2037" s="7">
        <f>tbl_Ventes[[#This Row],[Qté Vendue]] * IFERROR(_xlfn.XLOOKUP(tbl_Ventes[[#This Row],[Cde_Prdt]], tbl_Produits[Cde_Prdt], tbl_Produits[Prix Menu]), 0)</f>
        <v>0</v>
      </c>
      <c r="H2037" s="7">
        <f>IFERROR(_xlfn.XLOOKUP(tbl_Ventes[[#This Row],[Cde_Prdt]], tbl_Produits[Cde_Prdt], tbl_Produits[Coût Moyen Portion]), 0)</f>
        <v>0</v>
      </c>
      <c r="I2037" s="7">
        <f>tbl_Ventes[[#This Row],[Qté Vendue]] * tbl_Ventes[[#This Row],[CMP_par_portion]]</f>
        <v>0</v>
      </c>
      <c r="J2037" s="7">
        <f>tbl_Ventes[[#This Row],[CA ligne]] - tbl_Ventes[[#This Row],[Coût matière ligne]]</f>
        <v>0</v>
      </c>
      <c r="K2037" s="7" t="str">
        <f>IFERROR(INDEX(tbl_ProduitsRef[Famille], MATCH(tbl_Ventes[[#This Row],[Cde_Prdt]], tbl_Produits[Cde_Prdt], 0)), "")</f>
        <v/>
      </c>
    </row>
    <row r="2038" spans="1:11" x14ac:dyDescent="0.25">
      <c r="A2038" s="5"/>
      <c r="B2038" s="63" t="str">
        <f>IFERROR(TEXT(tbl_Ventes[[#This Row],[Date]],"mm-aaaa"),"")</f>
        <v>01-1900</v>
      </c>
      <c r="D2038" s="10" t="str">
        <f>IFERROR(
   INDEX(tbl_ProduitsRef[Cde_Prdt],MATCH(tbl_Ventes[[#This Row],[Produit]],tbl_ProduitsRef[Produit],0)),
   ""
)</f>
        <v/>
      </c>
      <c r="E2038" s="7">
        <v>0</v>
      </c>
      <c r="F2038" s="7" t="str">
        <f>IFERROR(
   INDEX(tbl_ProduitsRef[Prix Menu],MATCH(tbl_Ventes[[#This Row],[Produit]],tbl_ProduitsRef[Produit],0)),
   ""
)</f>
        <v/>
      </c>
      <c r="G2038" s="7">
        <f>tbl_Ventes[[#This Row],[Qté Vendue]] * IFERROR(_xlfn.XLOOKUP(tbl_Ventes[[#This Row],[Cde_Prdt]], tbl_Produits[Cde_Prdt], tbl_Produits[Prix Menu]), 0)</f>
        <v>0</v>
      </c>
      <c r="H2038" s="7">
        <f>IFERROR(_xlfn.XLOOKUP(tbl_Ventes[[#This Row],[Cde_Prdt]], tbl_Produits[Cde_Prdt], tbl_Produits[Coût Moyen Portion]), 0)</f>
        <v>0</v>
      </c>
      <c r="I2038" s="7">
        <f>tbl_Ventes[[#This Row],[Qté Vendue]] * tbl_Ventes[[#This Row],[CMP_par_portion]]</f>
        <v>0</v>
      </c>
      <c r="J2038" s="7">
        <f>tbl_Ventes[[#This Row],[CA ligne]] - tbl_Ventes[[#This Row],[Coût matière ligne]]</f>
        <v>0</v>
      </c>
      <c r="K2038" s="7" t="str">
        <f>IFERROR(INDEX(tbl_ProduitsRef[Famille], MATCH(tbl_Ventes[[#This Row],[Cde_Prdt]], tbl_Produits[Cde_Prdt], 0)), "")</f>
        <v/>
      </c>
    </row>
    <row r="2039" spans="1:11" x14ac:dyDescent="0.25">
      <c r="A2039" s="5"/>
      <c r="B2039" s="63" t="str">
        <f>IFERROR(TEXT(tbl_Ventes[[#This Row],[Date]],"mm-aaaa"),"")</f>
        <v>01-1900</v>
      </c>
      <c r="D2039" s="10" t="str">
        <f>IFERROR(
   INDEX(tbl_ProduitsRef[Cde_Prdt],MATCH(tbl_Ventes[[#This Row],[Produit]],tbl_ProduitsRef[Produit],0)),
   ""
)</f>
        <v/>
      </c>
      <c r="E2039" s="7">
        <v>0</v>
      </c>
      <c r="F2039" s="7" t="str">
        <f>IFERROR(
   INDEX(tbl_ProduitsRef[Prix Menu],MATCH(tbl_Ventes[[#This Row],[Produit]],tbl_ProduitsRef[Produit],0)),
   ""
)</f>
        <v/>
      </c>
      <c r="G2039" s="7">
        <f>tbl_Ventes[[#This Row],[Qté Vendue]] * IFERROR(_xlfn.XLOOKUP(tbl_Ventes[[#This Row],[Cde_Prdt]], tbl_Produits[Cde_Prdt], tbl_Produits[Prix Menu]), 0)</f>
        <v>0</v>
      </c>
      <c r="H2039" s="7">
        <f>IFERROR(_xlfn.XLOOKUP(tbl_Ventes[[#This Row],[Cde_Prdt]], tbl_Produits[Cde_Prdt], tbl_Produits[Coût Moyen Portion]), 0)</f>
        <v>0</v>
      </c>
      <c r="I2039" s="7">
        <f>tbl_Ventes[[#This Row],[Qté Vendue]] * tbl_Ventes[[#This Row],[CMP_par_portion]]</f>
        <v>0</v>
      </c>
      <c r="J2039" s="7">
        <f>tbl_Ventes[[#This Row],[CA ligne]] - tbl_Ventes[[#This Row],[Coût matière ligne]]</f>
        <v>0</v>
      </c>
      <c r="K2039" s="7" t="str">
        <f>IFERROR(INDEX(tbl_ProduitsRef[Famille], MATCH(tbl_Ventes[[#This Row],[Cde_Prdt]], tbl_Produits[Cde_Prdt], 0)), "")</f>
        <v/>
      </c>
    </row>
    <row r="2040" spans="1:11" x14ac:dyDescent="0.25">
      <c r="A2040" s="5"/>
      <c r="B2040" s="63" t="str">
        <f>IFERROR(TEXT(tbl_Ventes[[#This Row],[Date]],"mm-aaaa"),"")</f>
        <v>01-1900</v>
      </c>
      <c r="D2040" s="10" t="str">
        <f>IFERROR(
   INDEX(tbl_ProduitsRef[Cde_Prdt],MATCH(tbl_Ventes[[#This Row],[Produit]],tbl_ProduitsRef[Produit],0)),
   ""
)</f>
        <v/>
      </c>
      <c r="E2040" s="7">
        <v>0</v>
      </c>
      <c r="F2040" s="7" t="str">
        <f>IFERROR(
   INDEX(tbl_ProduitsRef[Prix Menu],MATCH(tbl_Ventes[[#This Row],[Produit]],tbl_ProduitsRef[Produit],0)),
   ""
)</f>
        <v/>
      </c>
      <c r="G2040" s="7">
        <f>tbl_Ventes[[#This Row],[Qté Vendue]] * IFERROR(_xlfn.XLOOKUP(tbl_Ventes[[#This Row],[Cde_Prdt]], tbl_Produits[Cde_Prdt], tbl_Produits[Prix Menu]), 0)</f>
        <v>0</v>
      </c>
      <c r="H2040" s="7">
        <f>IFERROR(_xlfn.XLOOKUP(tbl_Ventes[[#This Row],[Cde_Prdt]], tbl_Produits[Cde_Prdt], tbl_Produits[Coût Moyen Portion]), 0)</f>
        <v>0</v>
      </c>
      <c r="I2040" s="7">
        <f>tbl_Ventes[[#This Row],[Qté Vendue]] * tbl_Ventes[[#This Row],[CMP_par_portion]]</f>
        <v>0</v>
      </c>
      <c r="J2040" s="7">
        <f>tbl_Ventes[[#This Row],[CA ligne]] - tbl_Ventes[[#This Row],[Coût matière ligne]]</f>
        <v>0</v>
      </c>
      <c r="K2040" s="7" t="str">
        <f>IFERROR(INDEX(tbl_ProduitsRef[Famille], MATCH(tbl_Ventes[[#This Row],[Cde_Prdt]], tbl_Produits[Cde_Prdt], 0)), "")</f>
        <v/>
      </c>
    </row>
    <row r="2041" spans="1:11" x14ac:dyDescent="0.25">
      <c r="A2041" s="5"/>
      <c r="B2041" s="63" t="str">
        <f>IFERROR(TEXT(tbl_Ventes[[#This Row],[Date]],"mm-aaaa"),"")</f>
        <v>01-1900</v>
      </c>
      <c r="D2041" s="10" t="str">
        <f>IFERROR(
   INDEX(tbl_ProduitsRef[Cde_Prdt],MATCH(tbl_Ventes[[#This Row],[Produit]],tbl_ProduitsRef[Produit],0)),
   ""
)</f>
        <v/>
      </c>
      <c r="E2041" s="7">
        <v>0</v>
      </c>
      <c r="F2041" s="7" t="str">
        <f>IFERROR(
   INDEX(tbl_ProduitsRef[Prix Menu],MATCH(tbl_Ventes[[#This Row],[Produit]],tbl_ProduitsRef[Produit],0)),
   ""
)</f>
        <v/>
      </c>
      <c r="G2041" s="7">
        <f>tbl_Ventes[[#This Row],[Qté Vendue]] * IFERROR(_xlfn.XLOOKUP(tbl_Ventes[[#This Row],[Cde_Prdt]], tbl_Produits[Cde_Prdt], tbl_Produits[Prix Menu]), 0)</f>
        <v>0</v>
      </c>
      <c r="H2041" s="7">
        <f>IFERROR(_xlfn.XLOOKUP(tbl_Ventes[[#This Row],[Cde_Prdt]], tbl_Produits[Cde_Prdt], tbl_Produits[Coût Moyen Portion]), 0)</f>
        <v>0</v>
      </c>
      <c r="I2041" s="7">
        <f>tbl_Ventes[[#This Row],[Qté Vendue]] * tbl_Ventes[[#This Row],[CMP_par_portion]]</f>
        <v>0</v>
      </c>
      <c r="J2041" s="7">
        <f>tbl_Ventes[[#This Row],[CA ligne]] - tbl_Ventes[[#This Row],[Coût matière ligne]]</f>
        <v>0</v>
      </c>
      <c r="K2041" s="7" t="str">
        <f>IFERROR(INDEX(tbl_ProduitsRef[Famille], MATCH(tbl_Ventes[[#This Row],[Cde_Prdt]], tbl_Produits[Cde_Prdt], 0)), "")</f>
        <v/>
      </c>
    </row>
    <row r="2042" spans="1:11" x14ac:dyDescent="0.25">
      <c r="A2042" s="5"/>
      <c r="B2042" s="63" t="str">
        <f>IFERROR(TEXT(tbl_Ventes[[#This Row],[Date]],"mm-aaaa"),"")</f>
        <v>01-1900</v>
      </c>
      <c r="D2042" s="10" t="str">
        <f>IFERROR(
   INDEX(tbl_ProduitsRef[Cde_Prdt],MATCH(tbl_Ventes[[#This Row],[Produit]],tbl_ProduitsRef[Produit],0)),
   ""
)</f>
        <v/>
      </c>
      <c r="E2042" s="7">
        <v>0</v>
      </c>
      <c r="F2042" s="7" t="str">
        <f>IFERROR(
   INDEX(tbl_ProduitsRef[Prix Menu],MATCH(tbl_Ventes[[#This Row],[Produit]],tbl_ProduitsRef[Produit],0)),
   ""
)</f>
        <v/>
      </c>
      <c r="G2042" s="7">
        <f>tbl_Ventes[[#This Row],[Qté Vendue]] * IFERROR(_xlfn.XLOOKUP(tbl_Ventes[[#This Row],[Cde_Prdt]], tbl_Produits[Cde_Prdt], tbl_Produits[Prix Menu]), 0)</f>
        <v>0</v>
      </c>
      <c r="H2042" s="7">
        <f>IFERROR(_xlfn.XLOOKUP(tbl_Ventes[[#This Row],[Cde_Prdt]], tbl_Produits[Cde_Prdt], tbl_Produits[Coût Moyen Portion]), 0)</f>
        <v>0</v>
      </c>
      <c r="I2042" s="7">
        <f>tbl_Ventes[[#This Row],[Qté Vendue]] * tbl_Ventes[[#This Row],[CMP_par_portion]]</f>
        <v>0</v>
      </c>
      <c r="J2042" s="7">
        <f>tbl_Ventes[[#This Row],[CA ligne]] - tbl_Ventes[[#This Row],[Coût matière ligne]]</f>
        <v>0</v>
      </c>
      <c r="K2042" s="7" t="str">
        <f>IFERROR(INDEX(tbl_ProduitsRef[Famille], MATCH(tbl_Ventes[[#This Row],[Cde_Prdt]], tbl_Produits[Cde_Prdt], 0)), "")</f>
        <v/>
      </c>
    </row>
    <row r="2043" spans="1:11" x14ac:dyDescent="0.25">
      <c r="A2043" s="5"/>
      <c r="B2043" s="63" t="str">
        <f>IFERROR(TEXT(tbl_Ventes[[#This Row],[Date]],"mm-aaaa"),"")</f>
        <v>01-1900</v>
      </c>
      <c r="D2043" s="10" t="str">
        <f>IFERROR(
   INDEX(tbl_ProduitsRef[Cde_Prdt],MATCH(tbl_Ventes[[#This Row],[Produit]],tbl_ProduitsRef[Produit],0)),
   ""
)</f>
        <v/>
      </c>
      <c r="E2043" s="7">
        <v>0</v>
      </c>
      <c r="F2043" s="7" t="str">
        <f>IFERROR(
   INDEX(tbl_ProduitsRef[Prix Menu],MATCH(tbl_Ventes[[#This Row],[Produit]],tbl_ProduitsRef[Produit],0)),
   ""
)</f>
        <v/>
      </c>
      <c r="G2043" s="7">
        <f>tbl_Ventes[[#This Row],[Qté Vendue]] * IFERROR(_xlfn.XLOOKUP(tbl_Ventes[[#This Row],[Cde_Prdt]], tbl_Produits[Cde_Prdt], tbl_Produits[Prix Menu]), 0)</f>
        <v>0</v>
      </c>
      <c r="H2043" s="7">
        <f>IFERROR(_xlfn.XLOOKUP(tbl_Ventes[[#This Row],[Cde_Prdt]], tbl_Produits[Cde_Prdt], tbl_Produits[Coût Moyen Portion]), 0)</f>
        <v>0</v>
      </c>
      <c r="I2043" s="7">
        <f>tbl_Ventes[[#This Row],[Qté Vendue]] * tbl_Ventes[[#This Row],[CMP_par_portion]]</f>
        <v>0</v>
      </c>
      <c r="J2043" s="7">
        <f>tbl_Ventes[[#This Row],[CA ligne]] - tbl_Ventes[[#This Row],[Coût matière ligne]]</f>
        <v>0</v>
      </c>
      <c r="K2043" s="7" t="str">
        <f>IFERROR(INDEX(tbl_ProduitsRef[Famille], MATCH(tbl_Ventes[[#This Row],[Cde_Prdt]], tbl_Produits[Cde_Prdt], 0)), "")</f>
        <v/>
      </c>
    </row>
    <row r="2044" spans="1:11" x14ac:dyDescent="0.25">
      <c r="A2044" s="5"/>
      <c r="B2044" s="63" t="str">
        <f>IFERROR(TEXT(tbl_Ventes[[#This Row],[Date]],"mm-aaaa"),"")</f>
        <v>01-1900</v>
      </c>
      <c r="D2044" s="10" t="str">
        <f>IFERROR(
   INDEX(tbl_ProduitsRef[Cde_Prdt],MATCH(tbl_Ventes[[#This Row],[Produit]],tbl_ProduitsRef[Produit],0)),
   ""
)</f>
        <v/>
      </c>
      <c r="E2044" s="7">
        <v>0</v>
      </c>
      <c r="F2044" s="7" t="str">
        <f>IFERROR(
   INDEX(tbl_ProduitsRef[Prix Menu],MATCH(tbl_Ventes[[#This Row],[Produit]],tbl_ProduitsRef[Produit],0)),
   ""
)</f>
        <v/>
      </c>
      <c r="G2044" s="7">
        <f>tbl_Ventes[[#This Row],[Qté Vendue]] * IFERROR(_xlfn.XLOOKUP(tbl_Ventes[[#This Row],[Cde_Prdt]], tbl_Produits[Cde_Prdt], tbl_Produits[Prix Menu]), 0)</f>
        <v>0</v>
      </c>
      <c r="H2044" s="7">
        <f>IFERROR(_xlfn.XLOOKUP(tbl_Ventes[[#This Row],[Cde_Prdt]], tbl_Produits[Cde_Prdt], tbl_Produits[Coût Moyen Portion]), 0)</f>
        <v>0</v>
      </c>
      <c r="I2044" s="7">
        <f>tbl_Ventes[[#This Row],[Qté Vendue]] * tbl_Ventes[[#This Row],[CMP_par_portion]]</f>
        <v>0</v>
      </c>
      <c r="J2044" s="7">
        <f>tbl_Ventes[[#This Row],[CA ligne]] - tbl_Ventes[[#This Row],[Coût matière ligne]]</f>
        <v>0</v>
      </c>
      <c r="K2044" s="7" t="str">
        <f>IFERROR(INDEX(tbl_ProduitsRef[Famille], MATCH(tbl_Ventes[[#This Row],[Cde_Prdt]], tbl_Produits[Cde_Prdt], 0)), "")</f>
        <v/>
      </c>
    </row>
    <row r="2045" spans="1:11" x14ac:dyDescent="0.25">
      <c r="A2045" s="5"/>
      <c r="B2045" s="63" t="str">
        <f>IFERROR(TEXT(tbl_Ventes[[#This Row],[Date]],"mm-aaaa"),"")</f>
        <v>01-1900</v>
      </c>
      <c r="D2045" s="10" t="str">
        <f>IFERROR(
   INDEX(tbl_ProduitsRef[Cde_Prdt],MATCH(tbl_Ventes[[#This Row],[Produit]],tbl_ProduitsRef[Produit],0)),
   ""
)</f>
        <v/>
      </c>
      <c r="E2045" s="7">
        <v>0</v>
      </c>
      <c r="F2045" s="7" t="str">
        <f>IFERROR(
   INDEX(tbl_ProduitsRef[Prix Menu],MATCH(tbl_Ventes[[#This Row],[Produit]],tbl_ProduitsRef[Produit],0)),
   ""
)</f>
        <v/>
      </c>
      <c r="G2045" s="7">
        <f>tbl_Ventes[[#This Row],[Qté Vendue]] * IFERROR(_xlfn.XLOOKUP(tbl_Ventes[[#This Row],[Cde_Prdt]], tbl_Produits[Cde_Prdt], tbl_Produits[Prix Menu]), 0)</f>
        <v>0</v>
      </c>
      <c r="H2045" s="7">
        <f>IFERROR(_xlfn.XLOOKUP(tbl_Ventes[[#This Row],[Cde_Prdt]], tbl_Produits[Cde_Prdt], tbl_Produits[Coût Moyen Portion]), 0)</f>
        <v>0</v>
      </c>
      <c r="I2045" s="7">
        <f>tbl_Ventes[[#This Row],[Qté Vendue]] * tbl_Ventes[[#This Row],[CMP_par_portion]]</f>
        <v>0</v>
      </c>
      <c r="J2045" s="7">
        <f>tbl_Ventes[[#This Row],[CA ligne]] - tbl_Ventes[[#This Row],[Coût matière ligne]]</f>
        <v>0</v>
      </c>
      <c r="K2045" s="7" t="str">
        <f>IFERROR(INDEX(tbl_ProduitsRef[Famille], MATCH(tbl_Ventes[[#This Row],[Cde_Prdt]], tbl_Produits[Cde_Prdt], 0)), "")</f>
        <v/>
      </c>
    </row>
    <row r="2046" spans="1:11" x14ac:dyDescent="0.25">
      <c r="A2046" s="5"/>
      <c r="B2046" s="63" t="str">
        <f>IFERROR(TEXT(tbl_Ventes[[#This Row],[Date]],"mm-aaaa"),"")</f>
        <v>01-1900</v>
      </c>
      <c r="D2046" s="10" t="str">
        <f>IFERROR(
   INDEX(tbl_ProduitsRef[Cde_Prdt],MATCH(tbl_Ventes[[#This Row],[Produit]],tbl_ProduitsRef[Produit],0)),
   ""
)</f>
        <v/>
      </c>
      <c r="E2046" s="7">
        <v>0</v>
      </c>
      <c r="F2046" s="7" t="str">
        <f>IFERROR(
   INDEX(tbl_ProduitsRef[Prix Menu],MATCH(tbl_Ventes[[#This Row],[Produit]],tbl_ProduitsRef[Produit],0)),
   ""
)</f>
        <v/>
      </c>
      <c r="G2046" s="7">
        <f>tbl_Ventes[[#This Row],[Qté Vendue]] * IFERROR(_xlfn.XLOOKUP(tbl_Ventes[[#This Row],[Cde_Prdt]], tbl_Produits[Cde_Prdt], tbl_Produits[Prix Menu]), 0)</f>
        <v>0</v>
      </c>
      <c r="H2046" s="7">
        <f>IFERROR(_xlfn.XLOOKUP(tbl_Ventes[[#This Row],[Cde_Prdt]], tbl_Produits[Cde_Prdt], tbl_Produits[Coût Moyen Portion]), 0)</f>
        <v>0</v>
      </c>
      <c r="I2046" s="7">
        <f>tbl_Ventes[[#This Row],[Qté Vendue]] * tbl_Ventes[[#This Row],[CMP_par_portion]]</f>
        <v>0</v>
      </c>
      <c r="J2046" s="7">
        <f>tbl_Ventes[[#This Row],[CA ligne]] - tbl_Ventes[[#This Row],[Coût matière ligne]]</f>
        <v>0</v>
      </c>
      <c r="K2046" s="7" t="str">
        <f>IFERROR(INDEX(tbl_ProduitsRef[Famille], MATCH(tbl_Ventes[[#This Row],[Cde_Prdt]], tbl_Produits[Cde_Prdt], 0)), "")</f>
        <v/>
      </c>
    </row>
    <row r="2047" spans="1:11" x14ac:dyDescent="0.25">
      <c r="A2047" s="5"/>
      <c r="B2047" s="63" t="str">
        <f>IFERROR(TEXT(tbl_Ventes[[#This Row],[Date]],"mm-aaaa"),"")</f>
        <v>01-1900</v>
      </c>
      <c r="D2047" s="10" t="str">
        <f>IFERROR(
   INDEX(tbl_ProduitsRef[Cde_Prdt],MATCH(tbl_Ventes[[#This Row],[Produit]],tbl_ProduitsRef[Produit],0)),
   ""
)</f>
        <v/>
      </c>
      <c r="E2047" s="7">
        <v>0</v>
      </c>
      <c r="F2047" s="7" t="str">
        <f>IFERROR(
   INDEX(tbl_ProduitsRef[Prix Menu],MATCH(tbl_Ventes[[#This Row],[Produit]],tbl_ProduitsRef[Produit],0)),
   ""
)</f>
        <v/>
      </c>
      <c r="G2047" s="7">
        <f>tbl_Ventes[[#This Row],[Qté Vendue]] * IFERROR(_xlfn.XLOOKUP(tbl_Ventes[[#This Row],[Cde_Prdt]], tbl_Produits[Cde_Prdt], tbl_Produits[Prix Menu]), 0)</f>
        <v>0</v>
      </c>
      <c r="H2047" s="7">
        <f>IFERROR(_xlfn.XLOOKUP(tbl_Ventes[[#This Row],[Cde_Prdt]], tbl_Produits[Cde_Prdt], tbl_Produits[Coût Moyen Portion]), 0)</f>
        <v>0</v>
      </c>
      <c r="I2047" s="7">
        <f>tbl_Ventes[[#This Row],[Qté Vendue]] * tbl_Ventes[[#This Row],[CMP_par_portion]]</f>
        <v>0</v>
      </c>
      <c r="J2047" s="7">
        <f>tbl_Ventes[[#This Row],[CA ligne]] - tbl_Ventes[[#This Row],[Coût matière ligne]]</f>
        <v>0</v>
      </c>
      <c r="K2047" s="7" t="str">
        <f>IFERROR(INDEX(tbl_ProduitsRef[Famille], MATCH(tbl_Ventes[[#This Row],[Cde_Prdt]], tbl_Produits[Cde_Prdt], 0)), "")</f>
        <v/>
      </c>
    </row>
    <row r="2048" spans="1:11" x14ac:dyDescent="0.25">
      <c r="A2048" s="5"/>
      <c r="B2048" s="63" t="str">
        <f>IFERROR(TEXT(tbl_Ventes[[#This Row],[Date]],"mm-aaaa"),"")</f>
        <v>01-1900</v>
      </c>
      <c r="D2048" s="10" t="str">
        <f>IFERROR(
   INDEX(tbl_ProduitsRef[Cde_Prdt],MATCH(tbl_Ventes[[#This Row],[Produit]],tbl_ProduitsRef[Produit],0)),
   ""
)</f>
        <v/>
      </c>
      <c r="E2048" s="7">
        <v>0</v>
      </c>
      <c r="F2048" s="7" t="str">
        <f>IFERROR(
   INDEX(tbl_ProduitsRef[Prix Menu],MATCH(tbl_Ventes[[#This Row],[Produit]],tbl_ProduitsRef[Produit],0)),
   ""
)</f>
        <v/>
      </c>
      <c r="G2048" s="7">
        <f>tbl_Ventes[[#This Row],[Qté Vendue]] * IFERROR(_xlfn.XLOOKUP(tbl_Ventes[[#This Row],[Cde_Prdt]], tbl_Produits[Cde_Prdt], tbl_Produits[Prix Menu]), 0)</f>
        <v>0</v>
      </c>
      <c r="H2048" s="7">
        <f>IFERROR(_xlfn.XLOOKUP(tbl_Ventes[[#This Row],[Cde_Prdt]], tbl_Produits[Cde_Prdt], tbl_Produits[Coût Moyen Portion]), 0)</f>
        <v>0</v>
      </c>
      <c r="I2048" s="7">
        <f>tbl_Ventes[[#This Row],[Qté Vendue]] * tbl_Ventes[[#This Row],[CMP_par_portion]]</f>
        <v>0</v>
      </c>
      <c r="J2048" s="7">
        <f>tbl_Ventes[[#This Row],[CA ligne]] - tbl_Ventes[[#This Row],[Coût matière ligne]]</f>
        <v>0</v>
      </c>
      <c r="K2048" s="7" t="str">
        <f>IFERROR(INDEX(tbl_ProduitsRef[Famille], MATCH(tbl_Ventes[[#This Row],[Cde_Prdt]], tbl_Produits[Cde_Prdt], 0)), "")</f>
        <v/>
      </c>
    </row>
    <row r="2049" spans="1:11" x14ac:dyDescent="0.25">
      <c r="A2049" s="5"/>
      <c r="B2049" s="63" t="str">
        <f>IFERROR(TEXT(tbl_Ventes[[#This Row],[Date]],"mm-aaaa"),"")</f>
        <v>01-1900</v>
      </c>
      <c r="D2049" s="10" t="str">
        <f>IFERROR(
   INDEX(tbl_ProduitsRef[Cde_Prdt],MATCH(tbl_Ventes[[#This Row],[Produit]],tbl_ProduitsRef[Produit],0)),
   ""
)</f>
        <v/>
      </c>
      <c r="E2049" s="7">
        <v>0</v>
      </c>
      <c r="F2049" s="7" t="str">
        <f>IFERROR(
   INDEX(tbl_ProduitsRef[Prix Menu],MATCH(tbl_Ventes[[#This Row],[Produit]],tbl_ProduitsRef[Produit],0)),
   ""
)</f>
        <v/>
      </c>
      <c r="G2049" s="7">
        <f>tbl_Ventes[[#This Row],[Qté Vendue]] * IFERROR(_xlfn.XLOOKUP(tbl_Ventes[[#This Row],[Cde_Prdt]], tbl_Produits[Cde_Prdt], tbl_Produits[Prix Menu]), 0)</f>
        <v>0</v>
      </c>
      <c r="H2049" s="7">
        <f>IFERROR(_xlfn.XLOOKUP(tbl_Ventes[[#This Row],[Cde_Prdt]], tbl_Produits[Cde_Prdt], tbl_Produits[Coût Moyen Portion]), 0)</f>
        <v>0</v>
      </c>
      <c r="I2049" s="7">
        <f>tbl_Ventes[[#This Row],[Qté Vendue]] * tbl_Ventes[[#This Row],[CMP_par_portion]]</f>
        <v>0</v>
      </c>
      <c r="J2049" s="7">
        <f>tbl_Ventes[[#This Row],[CA ligne]] - tbl_Ventes[[#This Row],[Coût matière ligne]]</f>
        <v>0</v>
      </c>
      <c r="K2049" s="7" t="str">
        <f>IFERROR(INDEX(tbl_ProduitsRef[Famille], MATCH(tbl_Ventes[[#This Row],[Cde_Prdt]], tbl_Produits[Cde_Prdt], 0)), "")</f>
        <v/>
      </c>
    </row>
    <row r="2050" spans="1:11" x14ac:dyDescent="0.25">
      <c r="A2050" s="5"/>
      <c r="B2050" s="63" t="str">
        <f>IFERROR(TEXT(tbl_Ventes[[#This Row],[Date]],"mm-aaaa"),"")</f>
        <v>01-1900</v>
      </c>
      <c r="D2050" s="10" t="str">
        <f>IFERROR(
   INDEX(tbl_ProduitsRef[Cde_Prdt],MATCH(tbl_Ventes[[#This Row],[Produit]],tbl_ProduitsRef[Produit],0)),
   ""
)</f>
        <v/>
      </c>
      <c r="E2050" s="7">
        <v>0</v>
      </c>
      <c r="F2050" s="7" t="str">
        <f>IFERROR(
   INDEX(tbl_ProduitsRef[Prix Menu],MATCH(tbl_Ventes[[#This Row],[Produit]],tbl_ProduitsRef[Produit],0)),
   ""
)</f>
        <v/>
      </c>
      <c r="G2050" s="7">
        <f>tbl_Ventes[[#This Row],[Qté Vendue]] * IFERROR(_xlfn.XLOOKUP(tbl_Ventes[[#This Row],[Cde_Prdt]], tbl_Produits[Cde_Prdt], tbl_Produits[Prix Menu]), 0)</f>
        <v>0</v>
      </c>
      <c r="H2050" s="7">
        <f>IFERROR(_xlfn.XLOOKUP(tbl_Ventes[[#This Row],[Cde_Prdt]], tbl_Produits[Cde_Prdt], tbl_Produits[Coût Moyen Portion]), 0)</f>
        <v>0</v>
      </c>
      <c r="I2050" s="7">
        <f>tbl_Ventes[[#This Row],[Qté Vendue]] * tbl_Ventes[[#This Row],[CMP_par_portion]]</f>
        <v>0</v>
      </c>
      <c r="J2050" s="7">
        <f>tbl_Ventes[[#This Row],[CA ligne]] - tbl_Ventes[[#This Row],[Coût matière ligne]]</f>
        <v>0</v>
      </c>
      <c r="K2050" s="7" t="str">
        <f>IFERROR(INDEX(tbl_ProduitsRef[Famille], MATCH(tbl_Ventes[[#This Row],[Cde_Prdt]], tbl_Produits[Cde_Prdt], 0)), "")</f>
        <v/>
      </c>
    </row>
    <row r="2051" spans="1:11" x14ac:dyDescent="0.25">
      <c r="A2051" s="5"/>
      <c r="B2051" s="63" t="str">
        <f>IFERROR(TEXT(tbl_Ventes[[#This Row],[Date]],"mm-aaaa"),"")</f>
        <v>01-1900</v>
      </c>
      <c r="D2051" s="10" t="str">
        <f>IFERROR(
   INDEX(tbl_ProduitsRef[Cde_Prdt],MATCH(tbl_Ventes[[#This Row],[Produit]],tbl_ProduitsRef[Produit],0)),
   ""
)</f>
        <v/>
      </c>
      <c r="E2051" s="7">
        <v>0</v>
      </c>
      <c r="F2051" s="7" t="str">
        <f>IFERROR(
   INDEX(tbl_ProduitsRef[Prix Menu],MATCH(tbl_Ventes[[#This Row],[Produit]],tbl_ProduitsRef[Produit],0)),
   ""
)</f>
        <v/>
      </c>
      <c r="G2051" s="7">
        <f>tbl_Ventes[[#This Row],[Qté Vendue]] * IFERROR(_xlfn.XLOOKUP(tbl_Ventes[[#This Row],[Cde_Prdt]], tbl_Produits[Cde_Prdt], tbl_Produits[Prix Menu]), 0)</f>
        <v>0</v>
      </c>
      <c r="H2051" s="7">
        <f>IFERROR(_xlfn.XLOOKUP(tbl_Ventes[[#This Row],[Cde_Prdt]], tbl_Produits[Cde_Prdt], tbl_Produits[Coût Moyen Portion]), 0)</f>
        <v>0</v>
      </c>
      <c r="I2051" s="7">
        <f>tbl_Ventes[[#This Row],[Qté Vendue]] * tbl_Ventes[[#This Row],[CMP_par_portion]]</f>
        <v>0</v>
      </c>
      <c r="J2051" s="7">
        <f>tbl_Ventes[[#This Row],[CA ligne]] - tbl_Ventes[[#This Row],[Coût matière ligne]]</f>
        <v>0</v>
      </c>
      <c r="K2051" s="7" t="str">
        <f>IFERROR(INDEX(tbl_ProduitsRef[Famille], MATCH(tbl_Ventes[[#This Row],[Cde_Prdt]], tbl_Produits[Cde_Prdt], 0)), "")</f>
        <v/>
      </c>
    </row>
    <row r="2052" spans="1:11" x14ac:dyDescent="0.25">
      <c r="A2052" s="5"/>
      <c r="B2052" s="63" t="str">
        <f>IFERROR(TEXT(tbl_Ventes[[#This Row],[Date]],"mm-aaaa"),"")</f>
        <v>01-1900</v>
      </c>
      <c r="D2052" s="10" t="str">
        <f>IFERROR(
   INDEX(tbl_ProduitsRef[Cde_Prdt],MATCH(tbl_Ventes[[#This Row],[Produit]],tbl_ProduitsRef[Produit],0)),
   ""
)</f>
        <v/>
      </c>
      <c r="E2052" s="7">
        <v>0</v>
      </c>
      <c r="F2052" s="7" t="str">
        <f>IFERROR(
   INDEX(tbl_ProduitsRef[Prix Menu],MATCH(tbl_Ventes[[#This Row],[Produit]],tbl_ProduitsRef[Produit],0)),
   ""
)</f>
        <v/>
      </c>
      <c r="G2052" s="7">
        <f>tbl_Ventes[[#This Row],[Qté Vendue]] * IFERROR(_xlfn.XLOOKUP(tbl_Ventes[[#This Row],[Cde_Prdt]], tbl_Produits[Cde_Prdt], tbl_Produits[Prix Menu]), 0)</f>
        <v>0</v>
      </c>
      <c r="H2052" s="7">
        <f>IFERROR(_xlfn.XLOOKUP(tbl_Ventes[[#This Row],[Cde_Prdt]], tbl_Produits[Cde_Prdt], tbl_Produits[Coût Moyen Portion]), 0)</f>
        <v>0</v>
      </c>
      <c r="I2052" s="7">
        <f>tbl_Ventes[[#This Row],[Qté Vendue]] * tbl_Ventes[[#This Row],[CMP_par_portion]]</f>
        <v>0</v>
      </c>
      <c r="J2052" s="7">
        <f>tbl_Ventes[[#This Row],[CA ligne]] - tbl_Ventes[[#This Row],[Coût matière ligne]]</f>
        <v>0</v>
      </c>
      <c r="K2052" s="7" t="str">
        <f>IFERROR(INDEX(tbl_ProduitsRef[Famille], MATCH(tbl_Ventes[[#This Row],[Cde_Prdt]], tbl_Produits[Cde_Prdt], 0)), "")</f>
        <v/>
      </c>
    </row>
    <row r="2053" spans="1:11" x14ac:dyDescent="0.25">
      <c r="A2053" s="5"/>
      <c r="B2053" s="63" t="str">
        <f>IFERROR(TEXT(tbl_Ventes[[#This Row],[Date]],"mm-aaaa"),"")</f>
        <v>01-1900</v>
      </c>
      <c r="D2053" s="10" t="str">
        <f>IFERROR(
   INDEX(tbl_ProduitsRef[Cde_Prdt],MATCH(tbl_Ventes[[#This Row],[Produit]],tbl_ProduitsRef[Produit],0)),
   ""
)</f>
        <v/>
      </c>
      <c r="E2053" s="7">
        <v>0</v>
      </c>
      <c r="F2053" s="7" t="str">
        <f>IFERROR(
   INDEX(tbl_ProduitsRef[Prix Menu],MATCH(tbl_Ventes[[#This Row],[Produit]],tbl_ProduitsRef[Produit],0)),
   ""
)</f>
        <v/>
      </c>
      <c r="G2053" s="7">
        <f>tbl_Ventes[[#This Row],[Qté Vendue]] * IFERROR(_xlfn.XLOOKUP(tbl_Ventes[[#This Row],[Cde_Prdt]], tbl_Produits[Cde_Prdt], tbl_Produits[Prix Menu]), 0)</f>
        <v>0</v>
      </c>
      <c r="H2053" s="7">
        <f>IFERROR(_xlfn.XLOOKUP(tbl_Ventes[[#This Row],[Cde_Prdt]], tbl_Produits[Cde_Prdt], tbl_Produits[Coût Moyen Portion]), 0)</f>
        <v>0</v>
      </c>
      <c r="I2053" s="7">
        <f>tbl_Ventes[[#This Row],[Qté Vendue]] * tbl_Ventes[[#This Row],[CMP_par_portion]]</f>
        <v>0</v>
      </c>
      <c r="J2053" s="7">
        <f>tbl_Ventes[[#This Row],[CA ligne]] - tbl_Ventes[[#This Row],[Coût matière ligne]]</f>
        <v>0</v>
      </c>
      <c r="K2053" s="7" t="str">
        <f>IFERROR(INDEX(tbl_ProduitsRef[Famille], MATCH(tbl_Ventes[[#This Row],[Cde_Prdt]], tbl_Produits[Cde_Prdt], 0)), "")</f>
        <v/>
      </c>
    </row>
    <row r="2054" spans="1:11" x14ac:dyDescent="0.25">
      <c r="A2054" s="5"/>
      <c r="B2054" s="63" t="str">
        <f>IFERROR(TEXT(tbl_Ventes[[#This Row],[Date]],"mm-aaaa"),"")</f>
        <v>01-1900</v>
      </c>
      <c r="D2054" s="10" t="str">
        <f>IFERROR(
   INDEX(tbl_ProduitsRef[Cde_Prdt],MATCH(tbl_Ventes[[#This Row],[Produit]],tbl_ProduitsRef[Produit],0)),
   ""
)</f>
        <v/>
      </c>
      <c r="E2054" s="7">
        <v>0</v>
      </c>
      <c r="F2054" s="7" t="str">
        <f>IFERROR(
   INDEX(tbl_ProduitsRef[Prix Menu],MATCH(tbl_Ventes[[#This Row],[Produit]],tbl_ProduitsRef[Produit],0)),
   ""
)</f>
        <v/>
      </c>
      <c r="G2054" s="7">
        <f>tbl_Ventes[[#This Row],[Qté Vendue]] * IFERROR(_xlfn.XLOOKUP(tbl_Ventes[[#This Row],[Cde_Prdt]], tbl_Produits[Cde_Prdt], tbl_Produits[Prix Menu]), 0)</f>
        <v>0</v>
      </c>
      <c r="H2054" s="7">
        <f>IFERROR(_xlfn.XLOOKUP(tbl_Ventes[[#This Row],[Cde_Prdt]], tbl_Produits[Cde_Prdt], tbl_Produits[Coût Moyen Portion]), 0)</f>
        <v>0</v>
      </c>
      <c r="I2054" s="7">
        <f>tbl_Ventes[[#This Row],[Qté Vendue]] * tbl_Ventes[[#This Row],[CMP_par_portion]]</f>
        <v>0</v>
      </c>
      <c r="J2054" s="7">
        <f>tbl_Ventes[[#This Row],[CA ligne]] - tbl_Ventes[[#This Row],[Coût matière ligne]]</f>
        <v>0</v>
      </c>
      <c r="K2054" s="7" t="str">
        <f>IFERROR(INDEX(tbl_ProduitsRef[Famille], MATCH(tbl_Ventes[[#This Row],[Cde_Prdt]], tbl_Produits[Cde_Prdt], 0)), "")</f>
        <v/>
      </c>
    </row>
    <row r="2055" spans="1:11" x14ac:dyDescent="0.25">
      <c r="A2055" s="5"/>
      <c r="B2055" s="63" t="str">
        <f>IFERROR(TEXT(tbl_Ventes[[#This Row],[Date]],"mm-aaaa"),"")</f>
        <v>01-1900</v>
      </c>
      <c r="D2055" s="10" t="str">
        <f>IFERROR(
   INDEX(tbl_ProduitsRef[Cde_Prdt],MATCH(tbl_Ventes[[#This Row],[Produit]],tbl_ProduitsRef[Produit],0)),
   ""
)</f>
        <v/>
      </c>
      <c r="E2055" s="7">
        <v>0</v>
      </c>
      <c r="F2055" s="7" t="str">
        <f>IFERROR(
   INDEX(tbl_ProduitsRef[Prix Menu],MATCH(tbl_Ventes[[#This Row],[Produit]],tbl_ProduitsRef[Produit],0)),
   ""
)</f>
        <v/>
      </c>
      <c r="G2055" s="7">
        <f>tbl_Ventes[[#This Row],[Qté Vendue]] * IFERROR(_xlfn.XLOOKUP(tbl_Ventes[[#This Row],[Cde_Prdt]], tbl_Produits[Cde_Prdt], tbl_Produits[Prix Menu]), 0)</f>
        <v>0</v>
      </c>
      <c r="H2055" s="7">
        <f>IFERROR(_xlfn.XLOOKUP(tbl_Ventes[[#This Row],[Cde_Prdt]], tbl_Produits[Cde_Prdt], tbl_Produits[Coût Moyen Portion]), 0)</f>
        <v>0</v>
      </c>
      <c r="I2055" s="7">
        <f>tbl_Ventes[[#This Row],[Qté Vendue]] * tbl_Ventes[[#This Row],[CMP_par_portion]]</f>
        <v>0</v>
      </c>
      <c r="J2055" s="7">
        <f>tbl_Ventes[[#This Row],[CA ligne]] - tbl_Ventes[[#This Row],[Coût matière ligne]]</f>
        <v>0</v>
      </c>
      <c r="K2055" s="7" t="str">
        <f>IFERROR(INDEX(tbl_ProduitsRef[Famille], MATCH(tbl_Ventes[[#This Row],[Cde_Prdt]], tbl_Produits[Cde_Prdt], 0)), "")</f>
        <v/>
      </c>
    </row>
    <row r="2056" spans="1:11" x14ac:dyDescent="0.25">
      <c r="A2056" s="5"/>
      <c r="B2056" s="63" t="str">
        <f>IFERROR(TEXT(tbl_Ventes[[#This Row],[Date]],"mm-aaaa"),"")</f>
        <v>01-1900</v>
      </c>
      <c r="D2056" s="10" t="str">
        <f>IFERROR(
   INDEX(tbl_ProduitsRef[Cde_Prdt],MATCH(tbl_Ventes[[#This Row],[Produit]],tbl_ProduitsRef[Produit],0)),
   ""
)</f>
        <v/>
      </c>
      <c r="E2056" s="7">
        <v>0</v>
      </c>
      <c r="F2056" s="7" t="str">
        <f>IFERROR(
   INDEX(tbl_ProduitsRef[Prix Menu],MATCH(tbl_Ventes[[#This Row],[Produit]],tbl_ProduitsRef[Produit],0)),
   ""
)</f>
        <v/>
      </c>
      <c r="G2056" s="7">
        <f>tbl_Ventes[[#This Row],[Qté Vendue]] * IFERROR(_xlfn.XLOOKUP(tbl_Ventes[[#This Row],[Cde_Prdt]], tbl_Produits[Cde_Prdt], tbl_Produits[Prix Menu]), 0)</f>
        <v>0</v>
      </c>
      <c r="H2056" s="7">
        <f>IFERROR(_xlfn.XLOOKUP(tbl_Ventes[[#This Row],[Cde_Prdt]], tbl_Produits[Cde_Prdt], tbl_Produits[Coût Moyen Portion]), 0)</f>
        <v>0</v>
      </c>
      <c r="I2056" s="7">
        <f>tbl_Ventes[[#This Row],[Qté Vendue]] * tbl_Ventes[[#This Row],[CMP_par_portion]]</f>
        <v>0</v>
      </c>
      <c r="J2056" s="7">
        <f>tbl_Ventes[[#This Row],[CA ligne]] - tbl_Ventes[[#This Row],[Coût matière ligne]]</f>
        <v>0</v>
      </c>
      <c r="K2056" s="7" t="str">
        <f>IFERROR(INDEX(tbl_ProduitsRef[Famille], MATCH(tbl_Ventes[[#This Row],[Cde_Prdt]], tbl_Produits[Cde_Prdt], 0)), "")</f>
        <v/>
      </c>
    </row>
    <row r="2057" spans="1:11" x14ac:dyDescent="0.25">
      <c r="A2057" s="5"/>
      <c r="B2057" s="63" t="str">
        <f>IFERROR(TEXT(tbl_Ventes[[#This Row],[Date]],"mm-aaaa"),"")</f>
        <v>01-1900</v>
      </c>
      <c r="D2057" s="10" t="str">
        <f>IFERROR(
   INDEX(tbl_ProduitsRef[Cde_Prdt],MATCH(tbl_Ventes[[#This Row],[Produit]],tbl_ProduitsRef[Produit],0)),
   ""
)</f>
        <v/>
      </c>
      <c r="E2057" s="7">
        <v>0</v>
      </c>
      <c r="F2057" s="7" t="str">
        <f>IFERROR(
   INDEX(tbl_ProduitsRef[Prix Menu],MATCH(tbl_Ventes[[#This Row],[Produit]],tbl_ProduitsRef[Produit],0)),
   ""
)</f>
        <v/>
      </c>
      <c r="G2057" s="7">
        <f>tbl_Ventes[[#This Row],[Qté Vendue]] * IFERROR(_xlfn.XLOOKUP(tbl_Ventes[[#This Row],[Cde_Prdt]], tbl_Produits[Cde_Prdt], tbl_Produits[Prix Menu]), 0)</f>
        <v>0</v>
      </c>
      <c r="H2057" s="7">
        <f>IFERROR(_xlfn.XLOOKUP(tbl_Ventes[[#This Row],[Cde_Prdt]], tbl_Produits[Cde_Prdt], tbl_Produits[Coût Moyen Portion]), 0)</f>
        <v>0</v>
      </c>
      <c r="I2057" s="7">
        <f>tbl_Ventes[[#This Row],[Qté Vendue]] * tbl_Ventes[[#This Row],[CMP_par_portion]]</f>
        <v>0</v>
      </c>
      <c r="J2057" s="7">
        <f>tbl_Ventes[[#This Row],[CA ligne]] - tbl_Ventes[[#This Row],[Coût matière ligne]]</f>
        <v>0</v>
      </c>
      <c r="K2057" s="7" t="str">
        <f>IFERROR(INDEX(tbl_ProduitsRef[Famille], MATCH(tbl_Ventes[[#This Row],[Cde_Prdt]], tbl_Produits[Cde_Prdt], 0)), "")</f>
        <v/>
      </c>
    </row>
    <row r="2058" spans="1:11" x14ac:dyDescent="0.25">
      <c r="A2058" s="5"/>
      <c r="B2058" s="63" t="str">
        <f>IFERROR(TEXT(tbl_Ventes[[#This Row],[Date]],"mm-aaaa"),"")</f>
        <v>01-1900</v>
      </c>
      <c r="D2058" s="10" t="str">
        <f>IFERROR(
   INDEX(tbl_ProduitsRef[Cde_Prdt],MATCH(tbl_Ventes[[#This Row],[Produit]],tbl_ProduitsRef[Produit],0)),
   ""
)</f>
        <v/>
      </c>
      <c r="E2058" s="7">
        <v>0</v>
      </c>
      <c r="F2058" s="7" t="str">
        <f>IFERROR(
   INDEX(tbl_ProduitsRef[Prix Menu],MATCH(tbl_Ventes[[#This Row],[Produit]],tbl_ProduitsRef[Produit],0)),
   ""
)</f>
        <v/>
      </c>
      <c r="G2058" s="7">
        <f>tbl_Ventes[[#This Row],[Qté Vendue]] * IFERROR(_xlfn.XLOOKUP(tbl_Ventes[[#This Row],[Cde_Prdt]], tbl_Produits[Cde_Prdt], tbl_Produits[Prix Menu]), 0)</f>
        <v>0</v>
      </c>
      <c r="H2058" s="7">
        <f>IFERROR(_xlfn.XLOOKUP(tbl_Ventes[[#This Row],[Cde_Prdt]], tbl_Produits[Cde_Prdt], tbl_Produits[Coût Moyen Portion]), 0)</f>
        <v>0</v>
      </c>
      <c r="I2058" s="7">
        <f>tbl_Ventes[[#This Row],[Qté Vendue]] * tbl_Ventes[[#This Row],[CMP_par_portion]]</f>
        <v>0</v>
      </c>
      <c r="J2058" s="7">
        <f>tbl_Ventes[[#This Row],[CA ligne]] - tbl_Ventes[[#This Row],[Coût matière ligne]]</f>
        <v>0</v>
      </c>
      <c r="K2058" s="7" t="str">
        <f>IFERROR(INDEX(tbl_ProduitsRef[Famille], MATCH(tbl_Ventes[[#This Row],[Cde_Prdt]], tbl_Produits[Cde_Prdt], 0)), "")</f>
        <v/>
      </c>
    </row>
    <row r="2059" spans="1:11" x14ac:dyDescent="0.25">
      <c r="A2059" s="5"/>
      <c r="B2059" s="63" t="str">
        <f>IFERROR(TEXT(tbl_Ventes[[#This Row],[Date]],"mm-aaaa"),"")</f>
        <v>01-1900</v>
      </c>
      <c r="D2059" s="10" t="str">
        <f>IFERROR(
   INDEX(tbl_ProduitsRef[Cde_Prdt],MATCH(tbl_Ventes[[#This Row],[Produit]],tbl_ProduitsRef[Produit],0)),
   ""
)</f>
        <v/>
      </c>
      <c r="E2059" s="7">
        <v>0</v>
      </c>
      <c r="F2059" s="7" t="str">
        <f>IFERROR(
   INDEX(tbl_ProduitsRef[Prix Menu],MATCH(tbl_Ventes[[#This Row],[Produit]],tbl_ProduitsRef[Produit],0)),
   ""
)</f>
        <v/>
      </c>
      <c r="G2059" s="7">
        <f>tbl_Ventes[[#This Row],[Qté Vendue]] * IFERROR(_xlfn.XLOOKUP(tbl_Ventes[[#This Row],[Cde_Prdt]], tbl_Produits[Cde_Prdt], tbl_Produits[Prix Menu]), 0)</f>
        <v>0</v>
      </c>
      <c r="H2059" s="7">
        <f>IFERROR(_xlfn.XLOOKUP(tbl_Ventes[[#This Row],[Cde_Prdt]], tbl_Produits[Cde_Prdt], tbl_Produits[Coût Moyen Portion]), 0)</f>
        <v>0</v>
      </c>
      <c r="I2059" s="7">
        <f>tbl_Ventes[[#This Row],[Qté Vendue]] * tbl_Ventes[[#This Row],[CMP_par_portion]]</f>
        <v>0</v>
      </c>
      <c r="J2059" s="7">
        <f>tbl_Ventes[[#This Row],[CA ligne]] - tbl_Ventes[[#This Row],[Coût matière ligne]]</f>
        <v>0</v>
      </c>
      <c r="K2059" s="7" t="str">
        <f>IFERROR(INDEX(tbl_ProduitsRef[Famille], MATCH(tbl_Ventes[[#This Row],[Cde_Prdt]], tbl_Produits[Cde_Prdt], 0)), "")</f>
        <v/>
      </c>
    </row>
    <row r="2060" spans="1:11" x14ac:dyDescent="0.25">
      <c r="A2060" s="5"/>
      <c r="B2060" s="63" t="str">
        <f>IFERROR(TEXT(tbl_Ventes[[#This Row],[Date]],"mm-aaaa"),"")</f>
        <v>01-1900</v>
      </c>
      <c r="D2060" s="10" t="str">
        <f>IFERROR(
   INDEX(tbl_ProduitsRef[Cde_Prdt],MATCH(tbl_Ventes[[#This Row],[Produit]],tbl_ProduitsRef[Produit],0)),
   ""
)</f>
        <v/>
      </c>
      <c r="E2060" s="7">
        <v>0</v>
      </c>
      <c r="F2060" s="7" t="str">
        <f>IFERROR(
   INDEX(tbl_ProduitsRef[Prix Menu],MATCH(tbl_Ventes[[#This Row],[Produit]],tbl_ProduitsRef[Produit],0)),
   ""
)</f>
        <v/>
      </c>
      <c r="G2060" s="7">
        <f>tbl_Ventes[[#This Row],[Qté Vendue]] * IFERROR(_xlfn.XLOOKUP(tbl_Ventes[[#This Row],[Cde_Prdt]], tbl_Produits[Cde_Prdt], tbl_Produits[Prix Menu]), 0)</f>
        <v>0</v>
      </c>
      <c r="H2060" s="7">
        <f>IFERROR(_xlfn.XLOOKUP(tbl_Ventes[[#This Row],[Cde_Prdt]], tbl_Produits[Cde_Prdt], tbl_Produits[Coût Moyen Portion]), 0)</f>
        <v>0</v>
      </c>
      <c r="I2060" s="7">
        <f>tbl_Ventes[[#This Row],[Qté Vendue]] * tbl_Ventes[[#This Row],[CMP_par_portion]]</f>
        <v>0</v>
      </c>
      <c r="J2060" s="7">
        <f>tbl_Ventes[[#This Row],[CA ligne]] - tbl_Ventes[[#This Row],[Coût matière ligne]]</f>
        <v>0</v>
      </c>
      <c r="K2060" s="7" t="str">
        <f>IFERROR(INDEX(tbl_ProduitsRef[Famille], MATCH(tbl_Ventes[[#This Row],[Cde_Prdt]], tbl_Produits[Cde_Prdt], 0)), "")</f>
        <v/>
      </c>
    </row>
    <row r="2061" spans="1:11" x14ac:dyDescent="0.25">
      <c r="A2061" s="5"/>
      <c r="B2061" s="63" t="str">
        <f>IFERROR(TEXT(tbl_Ventes[[#This Row],[Date]],"mm-aaaa"),"")</f>
        <v>01-1900</v>
      </c>
      <c r="D2061" s="10" t="str">
        <f>IFERROR(
   INDEX(tbl_ProduitsRef[Cde_Prdt],MATCH(tbl_Ventes[[#This Row],[Produit]],tbl_ProduitsRef[Produit],0)),
   ""
)</f>
        <v/>
      </c>
      <c r="E2061" s="7">
        <v>0</v>
      </c>
      <c r="F2061" s="7" t="str">
        <f>IFERROR(
   INDEX(tbl_ProduitsRef[Prix Menu],MATCH(tbl_Ventes[[#This Row],[Produit]],tbl_ProduitsRef[Produit],0)),
   ""
)</f>
        <v/>
      </c>
      <c r="G2061" s="7">
        <f>tbl_Ventes[[#This Row],[Qté Vendue]] * IFERROR(_xlfn.XLOOKUP(tbl_Ventes[[#This Row],[Cde_Prdt]], tbl_Produits[Cde_Prdt], tbl_Produits[Prix Menu]), 0)</f>
        <v>0</v>
      </c>
      <c r="H2061" s="7">
        <f>IFERROR(_xlfn.XLOOKUP(tbl_Ventes[[#This Row],[Cde_Prdt]], tbl_Produits[Cde_Prdt], tbl_Produits[Coût Moyen Portion]), 0)</f>
        <v>0</v>
      </c>
      <c r="I2061" s="7">
        <f>tbl_Ventes[[#This Row],[Qté Vendue]] * tbl_Ventes[[#This Row],[CMP_par_portion]]</f>
        <v>0</v>
      </c>
      <c r="J2061" s="7">
        <f>tbl_Ventes[[#This Row],[CA ligne]] - tbl_Ventes[[#This Row],[Coût matière ligne]]</f>
        <v>0</v>
      </c>
      <c r="K2061" s="7" t="str">
        <f>IFERROR(INDEX(tbl_ProduitsRef[Famille], MATCH(tbl_Ventes[[#This Row],[Cde_Prdt]], tbl_Produits[Cde_Prdt], 0)), "")</f>
        <v/>
      </c>
    </row>
    <row r="2062" spans="1:11" x14ac:dyDescent="0.25">
      <c r="A2062" s="5"/>
      <c r="B2062" s="63" t="str">
        <f>IFERROR(TEXT(tbl_Ventes[[#This Row],[Date]],"mm-aaaa"),"")</f>
        <v>01-1900</v>
      </c>
      <c r="D2062" s="10" t="str">
        <f>IFERROR(
   INDEX(tbl_ProduitsRef[Cde_Prdt],MATCH(tbl_Ventes[[#This Row],[Produit]],tbl_ProduitsRef[Produit],0)),
   ""
)</f>
        <v/>
      </c>
      <c r="E2062" s="7">
        <v>0</v>
      </c>
      <c r="F2062" s="7" t="str">
        <f>IFERROR(
   INDEX(tbl_ProduitsRef[Prix Menu],MATCH(tbl_Ventes[[#This Row],[Produit]],tbl_ProduitsRef[Produit],0)),
   ""
)</f>
        <v/>
      </c>
      <c r="G2062" s="7">
        <f>tbl_Ventes[[#This Row],[Qté Vendue]] * IFERROR(_xlfn.XLOOKUP(tbl_Ventes[[#This Row],[Cde_Prdt]], tbl_Produits[Cde_Prdt], tbl_Produits[Prix Menu]), 0)</f>
        <v>0</v>
      </c>
      <c r="H2062" s="7">
        <f>IFERROR(_xlfn.XLOOKUP(tbl_Ventes[[#This Row],[Cde_Prdt]], tbl_Produits[Cde_Prdt], tbl_Produits[Coût Moyen Portion]), 0)</f>
        <v>0</v>
      </c>
      <c r="I2062" s="7">
        <f>tbl_Ventes[[#This Row],[Qté Vendue]] * tbl_Ventes[[#This Row],[CMP_par_portion]]</f>
        <v>0</v>
      </c>
      <c r="J2062" s="7">
        <f>tbl_Ventes[[#This Row],[CA ligne]] - tbl_Ventes[[#This Row],[Coût matière ligne]]</f>
        <v>0</v>
      </c>
      <c r="K2062" s="7" t="str">
        <f>IFERROR(INDEX(tbl_ProduitsRef[Famille], MATCH(tbl_Ventes[[#This Row],[Cde_Prdt]], tbl_Produits[Cde_Prdt], 0)), "")</f>
        <v/>
      </c>
    </row>
    <row r="2063" spans="1:11" x14ac:dyDescent="0.25">
      <c r="A2063" s="5"/>
      <c r="B2063" s="63" t="str">
        <f>IFERROR(TEXT(tbl_Ventes[[#This Row],[Date]],"mm-aaaa"),"")</f>
        <v>01-1900</v>
      </c>
      <c r="D2063" s="10" t="str">
        <f>IFERROR(
   INDEX(tbl_ProduitsRef[Cde_Prdt],MATCH(tbl_Ventes[[#This Row],[Produit]],tbl_ProduitsRef[Produit],0)),
   ""
)</f>
        <v/>
      </c>
      <c r="E2063" s="7">
        <v>0</v>
      </c>
      <c r="F2063" s="7" t="str">
        <f>IFERROR(
   INDEX(tbl_ProduitsRef[Prix Menu],MATCH(tbl_Ventes[[#This Row],[Produit]],tbl_ProduitsRef[Produit],0)),
   ""
)</f>
        <v/>
      </c>
      <c r="G2063" s="7">
        <f>tbl_Ventes[[#This Row],[Qté Vendue]] * IFERROR(_xlfn.XLOOKUP(tbl_Ventes[[#This Row],[Cde_Prdt]], tbl_Produits[Cde_Prdt], tbl_Produits[Prix Menu]), 0)</f>
        <v>0</v>
      </c>
      <c r="H2063" s="7">
        <f>IFERROR(_xlfn.XLOOKUP(tbl_Ventes[[#This Row],[Cde_Prdt]], tbl_Produits[Cde_Prdt], tbl_Produits[Coût Moyen Portion]), 0)</f>
        <v>0</v>
      </c>
      <c r="I2063" s="7">
        <f>tbl_Ventes[[#This Row],[Qté Vendue]] * tbl_Ventes[[#This Row],[CMP_par_portion]]</f>
        <v>0</v>
      </c>
      <c r="J2063" s="7">
        <f>tbl_Ventes[[#This Row],[CA ligne]] - tbl_Ventes[[#This Row],[Coût matière ligne]]</f>
        <v>0</v>
      </c>
      <c r="K2063" s="7" t="str">
        <f>IFERROR(INDEX(tbl_ProduitsRef[Famille], MATCH(tbl_Ventes[[#This Row],[Cde_Prdt]], tbl_Produits[Cde_Prdt], 0)), "")</f>
        <v/>
      </c>
    </row>
    <row r="2064" spans="1:11" x14ac:dyDescent="0.25">
      <c r="A2064" s="5"/>
      <c r="B2064" s="63" t="str">
        <f>IFERROR(TEXT(tbl_Ventes[[#This Row],[Date]],"mm-aaaa"),"")</f>
        <v>01-1900</v>
      </c>
      <c r="D2064" s="10" t="str">
        <f>IFERROR(
   INDEX(tbl_ProduitsRef[Cde_Prdt],MATCH(tbl_Ventes[[#This Row],[Produit]],tbl_ProduitsRef[Produit],0)),
   ""
)</f>
        <v/>
      </c>
      <c r="E2064" s="7">
        <v>0</v>
      </c>
      <c r="F2064" s="7" t="str">
        <f>IFERROR(
   INDEX(tbl_ProduitsRef[Prix Menu],MATCH(tbl_Ventes[[#This Row],[Produit]],tbl_ProduitsRef[Produit],0)),
   ""
)</f>
        <v/>
      </c>
      <c r="G2064" s="7">
        <f>tbl_Ventes[[#This Row],[Qté Vendue]] * IFERROR(_xlfn.XLOOKUP(tbl_Ventes[[#This Row],[Cde_Prdt]], tbl_Produits[Cde_Prdt], tbl_Produits[Prix Menu]), 0)</f>
        <v>0</v>
      </c>
      <c r="H2064" s="7">
        <f>IFERROR(_xlfn.XLOOKUP(tbl_Ventes[[#This Row],[Cde_Prdt]], tbl_Produits[Cde_Prdt], tbl_Produits[Coût Moyen Portion]), 0)</f>
        <v>0</v>
      </c>
      <c r="I2064" s="7">
        <f>tbl_Ventes[[#This Row],[Qté Vendue]] * tbl_Ventes[[#This Row],[CMP_par_portion]]</f>
        <v>0</v>
      </c>
      <c r="J2064" s="7">
        <f>tbl_Ventes[[#This Row],[CA ligne]] - tbl_Ventes[[#This Row],[Coût matière ligne]]</f>
        <v>0</v>
      </c>
      <c r="K2064" s="7" t="str">
        <f>IFERROR(INDEX(tbl_ProduitsRef[Famille], MATCH(tbl_Ventes[[#This Row],[Cde_Prdt]], tbl_Produits[Cde_Prdt], 0)), "")</f>
        <v/>
      </c>
    </row>
    <row r="2065" spans="1:11" x14ac:dyDescent="0.25">
      <c r="A2065" s="5"/>
      <c r="B2065" s="63" t="str">
        <f>IFERROR(TEXT(tbl_Ventes[[#This Row],[Date]],"mm-aaaa"),"")</f>
        <v>01-1900</v>
      </c>
      <c r="D2065" s="10" t="str">
        <f>IFERROR(
   INDEX(tbl_ProduitsRef[Cde_Prdt],MATCH(tbl_Ventes[[#This Row],[Produit]],tbl_ProduitsRef[Produit],0)),
   ""
)</f>
        <v/>
      </c>
      <c r="E2065" s="7">
        <v>0</v>
      </c>
      <c r="F2065" s="7" t="str">
        <f>IFERROR(
   INDEX(tbl_ProduitsRef[Prix Menu],MATCH(tbl_Ventes[[#This Row],[Produit]],tbl_ProduitsRef[Produit],0)),
   ""
)</f>
        <v/>
      </c>
      <c r="G2065" s="7">
        <f>tbl_Ventes[[#This Row],[Qté Vendue]] * IFERROR(_xlfn.XLOOKUP(tbl_Ventes[[#This Row],[Cde_Prdt]], tbl_Produits[Cde_Prdt], tbl_Produits[Prix Menu]), 0)</f>
        <v>0</v>
      </c>
      <c r="H2065" s="7">
        <f>IFERROR(_xlfn.XLOOKUP(tbl_Ventes[[#This Row],[Cde_Prdt]], tbl_Produits[Cde_Prdt], tbl_Produits[Coût Moyen Portion]), 0)</f>
        <v>0</v>
      </c>
      <c r="I2065" s="7">
        <f>tbl_Ventes[[#This Row],[Qté Vendue]] * tbl_Ventes[[#This Row],[CMP_par_portion]]</f>
        <v>0</v>
      </c>
      <c r="J2065" s="7">
        <f>tbl_Ventes[[#This Row],[CA ligne]] - tbl_Ventes[[#This Row],[Coût matière ligne]]</f>
        <v>0</v>
      </c>
      <c r="K2065" s="7" t="str">
        <f>IFERROR(INDEX(tbl_ProduitsRef[Famille], MATCH(tbl_Ventes[[#This Row],[Cde_Prdt]], tbl_Produits[Cde_Prdt], 0)), "")</f>
        <v/>
      </c>
    </row>
    <row r="2066" spans="1:11" x14ac:dyDescent="0.25">
      <c r="A2066" s="5"/>
      <c r="B2066" s="63" t="str">
        <f>IFERROR(TEXT(tbl_Ventes[[#This Row],[Date]],"mm-aaaa"),"")</f>
        <v>01-1900</v>
      </c>
      <c r="D2066" s="10" t="str">
        <f>IFERROR(
   INDEX(tbl_ProduitsRef[Cde_Prdt],MATCH(tbl_Ventes[[#This Row],[Produit]],tbl_ProduitsRef[Produit],0)),
   ""
)</f>
        <v/>
      </c>
      <c r="E2066" s="7">
        <v>0</v>
      </c>
      <c r="F2066" s="7" t="str">
        <f>IFERROR(
   INDEX(tbl_ProduitsRef[Prix Menu],MATCH(tbl_Ventes[[#This Row],[Produit]],tbl_ProduitsRef[Produit],0)),
   ""
)</f>
        <v/>
      </c>
      <c r="G2066" s="7">
        <f>tbl_Ventes[[#This Row],[Qté Vendue]] * IFERROR(_xlfn.XLOOKUP(tbl_Ventes[[#This Row],[Cde_Prdt]], tbl_Produits[Cde_Prdt], tbl_Produits[Prix Menu]), 0)</f>
        <v>0</v>
      </c>
      <c r="H2066" s="7">
        <f>IFERROR(_xlfn.XLOOKUP(tbl_Ventes[[#This Row],[Cde_Prdt]], tbl_Produits[Cde_Prdt], tbl_Produits[Coût Moyen Portion]), 0)</f>
        <v>0</v>
      </c>
      <c r="I2066" s="7">
        <f>tbl_Ventes[[#This Row],[Qté Vendue]] * tbl_Ventes[[#This Row],[CMP_par_portion]]</f>
        <v>0</v>
      </c>
      <c r="J2066" s="7">
        <f>tbl_Ventes[[#This Row],[CA ligne]] - tbl_Ventes[[#This Row],[Coût matière ligne]]</f>
        <v>0</v>
      </c>
      <c r="K2066" s="7" t="str">
        <f>IFERROR(INDEX(tbl_ProduitsRef[Famille], MATCH(tbl_Ventes[[#This Row],[Cde_Prdt]], tbl_Produits[Cde_Prdt], 0)), "")</f>
        <v/>
      </c>
    </row>
    <row r="2067" spans="1:11" x14ac:dyDescent="0.25">
      <c r="A2067" s="5"/>
      <c r="B2067" s="63" t="str">
        <f>IFERROR(TEXT(tbl_Ventes[[#This Row],[Date]],"mm-aaaa"),"")</f>
        <v>01-1900</v>
      </c>
      <c r="D2067" s="10" t="str">
        <f>IFERROR(
   INDEX(tbl_ProduitsRef[Cde_Prdt],MATCH(tbl_Ventes[[#This Row],[Produit]],tbl_ProduitsRef[Produit],0)),
   ""
)</f>
        <v/>
      </c>
      <c r="E2067" s="7">
        <v>0</v>
      </c>
      <c r="F2067" s="7" t="str">
        <f>IFERROR(
   INDEX(tbl_ProduitsRef[Prix Menu],MATCH(tbl_Ventes[[#This Row],[Produit]],tbl_ProduitsRef[Produit],0)),
   ""
)</f>
        <v/>
      </c>
      <c r="G2067" s="7">
        <f>tbl_Ventes[[#This Row],[Qté Vendue]] * IFERROR(_xlfn.XLOOKUP(tbl_Ventes[[#This Row],[Cde_Prdt]], tbl_Produits[Cde_Prdt], tbl_Produits[Prix Menu]), 0)</f>
        <v>0</v>
      </c>
      <c r="H2067" s="7">
        <f>IFERROR(_xlfn.XLOOKUP(tbl_Ventes[[#This Row],[Cde_Prdt]], tbl_Produits[Cde_Prdt], tbl_Produits[Coût Moyen Portion]), 0)</f>
        <v>0</v>
      </c>
      <c r="I2067" s="7">
        <f>tbl_Ventes[[#This Row],[Qté Vendue]] * tbl_Ventes[[#This Row],[CMP_par_portion]]</f>
        <v>0</v>
      </c>
      <c r="J2067" s="7">
        <f>tbl_Ventes[[#This Row],[CA ligne]] - tbl_Ventes[[#This Row],[Coût matière ligne]]</f>
        <v>0</v>
      </c>
      <c r="K2067" s="7" t="str">
        <f>IFERROR(INDEX(tbl_ProduitsRef[Famille], MATCH(tbl_Ventes[[#This Row],[Cde_Prdt]], tbl_Produits[Cde_Prdt], 0)), "")</f>
        <v/>
      </c>
    </row>
    <row r="2068" spans="1:11" x14ac:dyDescent="0.25">
      <c r="A2068" s="5"/>
      <c r="B2068" s="63" t="str">
        <f>IFERROR(TEXT(tbl_Ventes[[#This Row],[Date]],"mm-aaaa"),"")</f>
        <v>01-1900</v>
      </c>
      <c r="D2068" s="10" t="str">
        <f>IFERROR(
   INDEX(tbl_ProduitsRef[Cde_Prdt],MATCH(tbl_Ventes[[#This Row],[Produit]],tbl_ProduitsRef[Produit],0)),
   ""
)</f>
        <v/>
      </c>
      <c r="E2068" s="7">
        <v>0</v>
      </c>
      <c r="F2068" s="7" t="str">
        <f>IFERROR(
   INDEX(tbl_ProduitsRef[Prix Menu],MATCH(tbl_Ventes[[#This Row],[Produit]],tbl_ProduitsRef[Produit],0)),
   ""
)</f>
        <v/>
      </c>
      <c r="G2068" s="7">
        <f>tbl_Ventes[[#This Row],[Qté Vendue]] * IFERROR(_xlfn.XLOOKUP(tbl_Ventes[[#This Row],[Cde_Prdt]], tbl_Produits[Cde_Prdt], tbl_Produits[Prix Menu]), 0)</f>
        <v>0</v>
      </c>
      <c r="H2068" s="7">
        <f>IFERROR(_xlfn.XLOOKUP(tbl_Ventes[[#This Row],[Cde_Prdt]], tbl_Produits[Cde_Prdt], tbl_Produits[Coût Moyen Portion]), 0)</f>
        <v>0</v>
      </c>
      <c r="I2068" s="7">
        <f>tbl_Ventes[[#This Row],[Qté Vendue]] * tbl_Ventes[[#This Row],[CMP_par_portion]]</f>
        <v>0</v>
      </c>
      <c r="J2068" s="7">
        <f>tbl_Ventes[[#This Row],[CA ligne]] - tbl_Ventes[[#This Row],[Coût matière ligne]]</f>
        <v>0</v>
      </c>
      <c r="K2068" s="7" t="str">
        <f>IFERROR(INDEX(tbl_ProduitsRef[Famille], MATCH(tbl_Ventes[[#This Row],[Cde_Prdt]], tbl_Produits[Cde_Prdt], 0)), "")</f>
        <v/>
      </c>
    </row>
    <row r="2069" spans="1:11" x14ac:dyDescent="0.25">
      <c r="A2069" s="5"/>
      <c r="B2069" s="63" t="str">
        <f>IFERROR(TEXT(tbl_Ventes[[#This Row],[Date]],"mm-aaaa"),"")</f>
        <v>01-1900</v>
      </c>
      <c r="D2069" s="10" t="str">
        <f>IFERROR(
   INDEX(tbl_ProduitsRef[Cde_Prdt],MATCH(tbl_Ventes[[#This Row],[Produit]],tbl_ProduitsRef[Produit],0)),
   ""
)</f>
        <v/>
      </c>
      <c r="E2069" s="7">
        <v>0</v>
      </c>
      <c r="F2069" s="7" t="str">
        <f>IFERROR(
   INDEX(tbl_ProduitsRef[Prix Menu],MATCH(tbl_Ventes[[#This Row],[Produit]],tbl_ProduitsRef[Produit],0)),
   ""
)</f>
        <v/>
      </c>
      <c r="G2069" s="7">
        <f>tbl_Ventes[[#This Row],[Qté Vendue]] * IFERROR(_xlfn.XLOOKUP(tbl_Ventes[[#This Row],[Cde_Prdt]], tbl_Produits[Cde_Prdt], tbl_Produits[Prix Menu]), 0)</f>
        <v>0</v>
      </c>
      <c r="H2069" s="7">
        <f>IFERROR(_xlfn.XLOOKUP(tbl_Ventes[[#This Row],[Cde_Prdt]], tbl_Produits[Cde_Prdt], tbl_Produits[Coût Moyen Portion]), 0)</f>
        <v>0</v>
      </c>
      <c r="I2069" s="7">
        <f>tbl_Ventes[[#This Row],[Qté Vendue]] * tbl_Ventes[[#This Row],[CMP_par_portion]]</f>
        <v>0</v>
      </c>
      <c r="J2069" s="7">
        <f>tbl_Ventes[[#This Row],[CA ligne]] - tbl_Ventes[[#This Row],[Coût matière ligne]]</f>
        <v>0</v>
      </c>
      <c r="K2069" s="7" t="str">
        <f>IFERROR(INDEX(tbl_ProduitsRef[Famille], MATCH(tbl_Ventes[[#This Row],[Cde_Prdt]], tbl_Produits[Cde_Prdt], 0)), "")</f>
        <v/>
      </c>
    </row>
    <row r="2070" spans="1:11" x14ac:dyDescent="0.25">
      <c r="A2070" s="5"/>
      <c r="B2070" s="63" t="str">
        <f>IFERROR(TEXT(tbl_Ventes[[#This Row],[Date]],"mm-aaaa"),"")</f>
        <v>01-1900</v>
      </c>
      <c r="D2070" s="10" t="str">
        <f>IFERROR(
   INDEX(tbl_ProduitsRef[Cde_Prdt],MATCH(tbl_Ventes[[#This Row],[Produit]],tbl_ProduitsRef[Produit],0)),
   ""
)</f>
        <v/>
      </c>
      <c r="E2070" s="7">
        <v>0</v>
      </c>
      <c r="F2070" s="7" t="str">
        <f>IFERROR(
   INDEX(tbl_ProduitsRef[Prix Menu],MATCH(tbl_Ventes[[#This Row],[Produit]],tbl_ProduitsRef[Produit],0)),
   ""
)</f>
        <v/>
      </c>
      <c r="G2070" s="7">
        <f>tbl_Ventes[[#This Row],[Qté Vendue]] * IFERROR(_xlfn.XLOOKUP(tbl_Ventes[[#This Row],[Cde_Prdt]], tbl_Produits[Cde_Prdt], tbl_Produits[Prix Menu]), 0)</f>
        <v>0</v>
      </c>
      <c r="H2070" s="7">
        <f>IFERROR(_xlfn.XLOOKUP(tbl_Ventes[[#This Row],[Cde_Prdt]], tbl_Produits[Cde_Prdt], tbl_Produits[Coût Moyen Portion]), 0)</f>
        <v>0</v>
      </c>
      <c r="I2070" s="7">
        <f>tbl_Ventes[[#This Row],[Qté Vendue]] * tbl_Ventes[[#This Row],[CMP_par_portion]]</f>
        <v>0</v>
      </c>
      <c r="J2070" s="7">
        <f>tbl_Ventes[[#This Row],[CA ligne]] - tbl_Ventes[[#This Row],[Coût matière ligne]]</f>
        <v>0</v>
      </c>
      <c r="K2070" s="7" t="str">
        <f>IFERROR(INDEX(tbl_ProduitsRef[Famille], MATCH(tbl_Ventes[[#This Row],[Cde_Prdt]], tbl_Produits[Cde_Prdt], 0)), "")</f>
        <v/>
      </c>
    </row>
    <row r="2071" spans="1:11" x14ac:dyDescent="0.25">
      <c r="A2071" s="5"/>
      <c r="B2071" s="63" t="str">
        <f>IFERROR(TEXT(tbl_Ventes[[#This Row],[Date]],"mm-aaaa"),"")</f>
        <v>01-1900</v>
      </c>
      <c r="D2071" s="10" t="str">
        <f>IFERROR(
   INDEX(tbl_ProduitsRef[Cde_Prdt],MATCH(tbl_Ventes[[#This Row],[Produit]],tbl_ProduitsRef[Produit],0)),
   ""
)</f>
        <v/>
      </c>
      <c r="E2071" s="7">
        <v>0</v>
      </c>
      <c r="F2071" s="7" t="str">
        <f>IFERROR(
   INDEX(tbl_ProduitsRef[Prix Menu],MATCH(tbl_Ventes[[#This Row],[Produit]],tbl_ProduitsRef[Produit],0)),
   ""
)</f>
        <v/>
      </c>
      <c r="G2071" s="7">
        <f>tbl_Ventes[[#This Row],[Qté Vendue]] * IFERROR(_xlfn.XLOOKUP(tbl_Ventes[[#This Row],[Cde_Prdt]], tbl_Produits[Cde_Prdt], tbl_Produits[Prix Menu]), 0)</f>
        <v>0</v>
      </c>
      <c r="H2071" s="7">
        <f>IFERROR(_xlfn.XLOOKUP(tbl_Ventes[[#This Row],[Cde_Prdt]], tbl_Produits[Cde_Prdt], tbl_Produits[Coût Moyen Portion]), 0)</f>
        <v>0</v>
      </c>
      <c r="I2071" s="7">
        <f>tbl_Ventes[[#This Row],[Qté Vendue]] * tbl_Ventes[[#This Row],[CMP_par_portion]]</f>
        <v>0</v>
      </c>
      <c r="J2071" s="7">
        <f>tbl_Ventes[[#This Row],[CA ligne]] - tbl_Ventes[[#This Row],[Coût matière ligne]]</f>
        <v>0</v>
      </c>
      <c r="K2071" s="7" t="str">
        <f>IFERROR(INDEX(tbl_ProduitsRef[Famille], MATCH(tbl_Ventes[[#This Row],[Cde_Prdt]], tbl_Produits[Cde_Prdt], 0)), "")</f>
        <v/>
      </c>
    </row>
    <row r="2072" spans="1:11" x14ac:dyDescent="0.25">
      <c r="A2072" s="5"/>
      <c r="B2072" s="63" t="str">
        <f>IFERROR(TEXT(tbl_Ventes[[#This Row],[Date]],"mm-aaaa"),"")</f>
        <v>01-1900</v>
      </c>
      <c r="D2072" s="10" t="str">
        <f>IFERROR(
   INDEX(tbl_ProduitsRef[Cde_Prdt],MATCH(tbl_Ventes[[#This Row],[Produit]],tbl_ProduitsRef[Produit],0)),
   ""
)</f>
        <v/>
      </c>
      <c r="E2072" s="7">
        <v>0</v>
      </c>
      <c r="F2072" s="7" t="str">
        <f>IFERROR(
   INDEX(tbl_ProduitsRef[Prix Menu],MATCH(tbl_Ventes[[#This Row],[Produit]],tbl_ProduitsRef[Produit],0)),
   ""
)</f>
        <v/>
      </c>
      <c r="G2072" s="7">
        <f>tbl_Ventes[[#This Row],[Qté Vendue]] * IFERROR(_xlfn.XLOOKUP(tbl_Ventes[[#This Row],[Cde_Prdt]], tbl_Produits[Cde_Prdt], tbl_Produits[Prix Menu]), 0)</f>
        <v>0</v>
      </c>
      <c r="H2072" s="7">
        <f>IFERROR(_xlfn.XLOOKUP(tbl_Ventes[[#This Row],[Cde_Prdt]], tbl_Produits[Cde_Prdt], tbl_Produits[Coût Moyen Portion]), 0)</f>
        <v>0</v>
      </c>
      <c r="I2072" s="7">
        <f>tbl_Ventes[[#This Row],[Qté Vendue]] * tbl_Ventes[[#This Row],[CMP_par_portion]]</f>
        <v>0</v>
      </c>
      <c r="J2072" s="7">
        <f>tbl_Ventes[[#This Row],[CA ligne]] - tbl_Ventes[[#This Row],[Coût matière ligne]]</f>
        <v>0</v>
      </c>
      <c r="K2072" s="7" t="str">
        <f>IFERROR(INDEX(tbl_ProduitsRef[Famille], MATCH(tbl_Ventes[[#This Row],[Cde_Prdt]], tbl_Produits[Cde_Prdt], 0)), "")</f>
        <v/>
      </c>
    </row>
    <row r="2073" spans="1:11" x14ac:dyDescent="0.25">
      <c r="A2073" s="5"/>
      <c r="B2073" s="63" t="str">
        <f>IFERROR(TEXT(tbl_Ventes[[#This Row],[Date]],"mm-aaaa"),"")</f>
        <v>01-1900</v>
      </c>
      <c r="D2073" s="10" t="str">
        <f>IFERROR(
   INDEX(tbl_ProduitsRef[Cde_Prdt],MATCH(tbl_Ventes[[#This Row],[Produit]],tbl_ProduitsRef[Produit],0)),
   ""
)</f>
        <v/>
      </c>
      <c r="E2073" s="7">
        <v>0</v>
      </c>
      <c r="F2073" s="7" t="str">
        <f>IFERROR(
   INDEX(tbl_ProduitsRef[Prix Menu],MATCH(tbl_Ventes[[#This Row],[Produit]],tbl_ProduitsRef[Produit],0)),
   ""
)</f>
        <v/>
      </c>
      <c r="G2073" s="7">
        <f>tbl_Ventes[[#This Row],[Qté Vendue]] * IFERROR(_xlfn.XLOOKUP(tbl_Ventes[[#This Row],[Cde_Prdt]], tbl_Produits[Cde_Prdt], tbl_Produits[Prix Menu]), 0)</f>
        <v>0</v>
      </c>
      <c r="H2073" s="7">
        <f>IFERROR(_xlfn.XLOOKUP(tbl_Ventes[[#This Row],[Cde_Prdt]], tbl_Produits[Cde_Prdt], tbl_Produits[Coût Moyen Portion]), 0)</f>
        <v>0</v>
      </c>
      <c r="I2073" s="7">
        <f>tbl_Ventes[[#This Row],[Qté Vendue]] * tbl_Ventes[[#This Row],[CMP_par_portion]]</f>
        <v>0</v>
      </c>
      <c r="J2073" s="7">
        <f>tbl_Ventes[[#This Row],[CA ligne]] - tbl_Ventes[[#This Row],[Coût matière ligne]]</f>
        <v>0</v>
      </c>
      <c r="K2073" s="7" t="str">
        <f>IFERROR(INDEX(tbl_ProduitsRef[Famille], MATCH(tbl_Ventes[[#This Row],[Cde_Prdt]], tbl_Produits[Cde_Prdt], 0)), "")</f>
        <v/>
      </c>
    </row>
    <row r="2074" spans="1:11" x14ac:dyDescent="0.25">
      <c r="A2074" s="5"/>
      <c r="B2074" s="63" t="str">
        <f>IFERROR(TEXT(tbl_Ventes[[#This Row],[Date]],"mm-aaaa"),"")</f>
        <v>01-1900</v>
      </c>
      <c r="D2074" s="10" t="str">
        <f>IFERROR(
   INDEX(tbl_ProduitsRef[Cde_Prdt],MATCH(tbl_Ventes[[#This Row],[Produit]],tbl_ProduitsRef[Produit],0)),
   ""
)</f>
        <v/>
      </c>
      <c r="E2074" s="7">
        <v>0</v>
      </c>
      <c r="F2074" s="7" t="str">
        <f>IFERROR(
   INDEX(tbl_ProduitsRef[Prix Menu],MATCH(tbl_Ventes[[#This Row],[Produit]],tbl_ProduitsRef[Produit],0)),
   ""
)</f>
        <v/>
      </c>
      <c r="G2074" s="7">
        <f>tbl_Ventes[[#This Row],[Qté Vendue]] * IFERROR(_xlfn.XLOOKUP(tbl_Ventes[[#This Row],[Cde_Prdt]], tbl_Produits[Cde_Prdt], tbl_Produits[Prix Menu]), 0)</f>
        <v>0</v>
      </c>
      <c r="H2074" s="7">
        <f>IFERROR(_xlfn.XLOOKUP(tbl_Ventes[[#This Row],[Cde_Prdt]], tbl_Produits[Cde_Prdt], tbl_Produits[Coût Moyen Portion]), 0)</f>
        <v>0</v>
      </c>
      <c r="I2074" s="7">
        <f>tbl_Ventes[[#This Row],[Qté Vendue]] * tbl_Ventes[[#This Row],[CMP_par_portion]]</f>
        <v>0</v>
      </c>
      <c r="J2074" s="7">
        <f>tbl_Ventes[[#This Row],[CA ligne]] - tbl_Ventes[[#This Row],[Coût matière ligne]]</f>
        <v>0</v>
      </c>
      <c r="K2074" s="7" t="str">
        <f>IFERROR(INDEX(tbl_ProduitsRef[Famille], MATCH(tbl_Ventes[[#This Row],[Cde_Prdt]], tbl_Produits[Cde_Prdt], 0)), "")</f>
        <v/>
      </c>
    </row>
    <row r="2075" spans="1:11" x14ac:dyDescent="0.25">
      <c r="A2075" s="5"/>
      <c r="B2075" s="63" t="str">
        <f>IFERROR(TEXT(tbl_Ventes[[#This Row],[Date]],"mm-aaaa"),"")</f>
        <v>01-1900</v>
      </c>
      <c r="D2075" s="10" t="str">
        <f>IFERROR(
   INDEX(tbl_ProduitsRef[Cde_Prdt],MATCH(tbl_Ventes[[#This Row],[Produit]],tbl_ProduitsRef[Produit],0)),
   ""
)</f>
        <v/>
      </c>
      <c r="E2075" s="7">
        <v>0</v>
      </c>
      <c r="F2075" s="7" t="str">
        <f>IFERROR(
   INDEX(tbl_ProduitsRef[Prix Menu],MATCH(tbl_Ventes[[#This Row],[Produit]],tbl_ProduitsRef[Produit],0)),
   ""
)</f>
        <v/>
      </c>
      <c r="G2075" s="7">
        <f>tbl_Ventes[[#This Row],[Qté Vendue]] * IFERROR(_xlfn.XLOOKUP(tbl_Ventes[[#This Row],[Cde_Prdt]], tbl_Produits[Cde_Prdt], tbl_Produits[Prix Menu]), 0)</f>
        <v>0</v>
      </c>
      <c r="H2075" s="7">
        <f>IFERROR(_xlfn.XLOOKUP(tbl_Ventes[[#This Row],[Cde_Prdt]], tbl_Produits[Cde_Prdt], tbl_Produits[Coût Moyen Portion]), 0)</f>
        <v>0</v>
      </c>
      <c r="I2075" s="7">
        <f>tbl_Ventes[[#This Row],[Qté Vendue]] * tbl_Ventes[[#This Row],[CMP_par_portion]]</f>
        <v>0</v>
      </c>
      <c r="J2075" s="7">
        <f>tbl_Ventes[[#This Row],[CA ligne]] - tbl_Ventes[[#This Row],[Coût matière ligne]]</f>
        <v>0</v>
      </c>
      <c r="K2075" s="7" t="str">
        <f>IFERROR(INDEX(tbl_ProduitsRef[Famille], MATCH(tbl_Ventes[[#This Row],[Cde_Prdt]], tbl_Produits[Cde_Prdt], 0)), "")</f>
        <v/>
      </c>
    </row>
    <row r="2076" spans="1:11" x14ac:dyDescent="0.25">
      <c r="A2076" s="5"/>
      <c r="B2076" s="63" t="str">
        <f>IFERROR(TEXT(tbl_Ventes[[#This Row],[Date]],"mm-aaaa"),"")</f>
        <v>01-1900</v>
      </c>
      <c r="D2076" s="10" t="str">
        <f>IFERROR(
   INDEX(tbl_ProduitsRef[Cde_Prdt],MATCH(tbl_Ventes[[#This Row],[Produit]],tbl_ProduitsRef[Produit],0)),
   ""
)</f>
        <v/>
      </c>
      <c r="E2076" s="7">
        <v>0</v>
      </c>
      <c r="F2076" s="7" t="str">
        <f>IFERROR(
   INDEX(tbl_ProduitsRef[Prix Menu],MATCH(tbl_Ventes[[#This Row],[Produit]],tbl_ProduitsRef[Produit],0)),
   ""
)</f>
        <v/>
      </c>
      <c r="G2076" s="7">
        <f>tbl_Ventes[[#This Row],[Qté Vendue]] * IFERROR(_xlfn.XLOOKUP(tbl_Ventes[[#This Row],[Cde_Prdt]], tbl_Produits[Cde_Prdt], tbl_Produits[Prix Menu]), 0)</f>
        <v>0</v>
      </c>
      <c r="H2076" s="7">
        <f>IFERROR(_xlfn.XLOOKUP(tbl_Ventes[[#This Row],[Cde_Prdt]], tbl_Produits[Cde_Prdt], tbl_Produits[Coût Moyen Portion]), 0)</f>
        <v>0</v>
      </c>
      <c r="I2076" s="7">
        <f>tbl_Ventes[[#This Row],[Qté Vendue]] * tbl_Ventes[[#This Row],[CMP_par_portion]]</f>
        <v>0</v>
      </c>
      <c r="J2076" s="7">
        <f>tbl_Ventes[[#This Row],[CA ligne]] - tbl_Ventes[[#This Row],[Coût matière ligne]]</f>
        <v>0</v>
      </c>
      <c r="K2076" s="7" t="str">
        <f>IFERROR(INDEX(tbl_ProduitsRef[Famille], MATCH(tbl_Ventes[[#This Row],[Cde_Prdt]], tbl_Produits[Cde_Prdt], 0)), "")</f>
        <v/>
      </c>
    </row>
    <row r="2077" spans="1:11" x14ac:dyDescent="0.25">
      <c r="A2077" s="5"/>
      <c r="B2077" s="63" t="str">
        <f>IFERROR(TEXT(tbl_Ventes[[#This Row],[Date]],"mm-aaaa"),"")</f>
        <v>01-1900</v>
      </c>
      <c r="D2077" s="10" t="str">
        <f>IFERROR(
   INDEX(tbl_ProduitsRef[Cde_Prdt],MATCH(tbl_Ventes[[#This Row],[Produit]],tbl_ProduitsRef[Produit],0)),
   ""
)</f>
        <v/>
      </c>
      <c r="E2077" s="7">
        <v>0</v>
      </c>
      <c r="F2077" s="7" t="str">
        <f>IFERROR(
   INDEX(tbl_ProduitsRef[Prix Menu],MATCH(tbl_Ventes[[#This Row],[Produit]],tbl_ProduitsRef[Produit],0)),
   ""
)</f>
        <v/>
      </c>
      <c r="G2077" s="7">
        <f>tbl_Ventes[[#This Row],[Qté Vendue]] * IFERROR(_xlfn.XLOOKUP(tbl_Ventes[[#This Row],[Cde_Prdt]], tbl_Produits[Cde_Prdt], tbl_Produits[Prix Menu]), 0)</f>
        <v>0</v>
      </c>
      <c r="H2077" s="7">
        <f>IFERROR(_xlfn.XLOOKUP(tbl_Ventes[[#This Row],[Cde_Prdt]], tbl_Produits[Cde_Prdt], tbl_Produits[Coût Moyen Portion]), 0)</f>
        <v>0</v>
      </c>
      <c r="I2077" s="7">
        <f>tbl_Ventes[[#This Row],[Qté Vendue]] * tbl_Ventes[[#This Row],[CMP_par_portion]]</f>
        <v>0</v>
      </c>
      <c r="J2077" s="7">
        <f>tbl_Ventes[[#This Row],[CA ligne]] - tbl_Ventes[[#This Row],[Coût matière ligne]]</f>
        <v>0</v>
      </c>
      <c r="K2077" s="7" t="str">
        <f>IFERROR(INDEX(tbl_ProduitsRef[Famille], MATCH(tbl_Ventes[[#This Row],[Cde_Prdt]], tbl_Produits[Cde_Prdt], 0)), "")</f>
        <v/>
      </c>
    </row>
    <row r="2078" spans="1:11" x14ac:dyDescent="0.25">
      <c r="A2078" s="5"/>
      <c r="B2078" s="63" t="str">
        <f>IFERROR(TEXT(tbl_Ventes[[#This Row],[Date]],"mm-aaaa"),"")</f>
        <v>01-1900</v>
      </c>
      <c r="D2078" s="10" t="str">
        <f>IFERROR(
   INDEX(tbl_ProduitsRef[Cde_Prdt],MATCH(tbl_Ventes[[#This Row],[Produit]],tbl_ProduitsRef[Produit],0)),
   ""
)</f>
        <v/>
      </c>
      <c r="E2078" s="7">
        <v>0</v>
      </c>
      <c r="F2078" s="7" t="str">
        <f>IFERROR(
   INDEX(tbl_ProduitsRef[Prix Menu],MATCH(tbl_Ventes[[#This Row],[Produit]],tbl_ProduitsRef[Produit],0)),
   ""
)</f>
        <v/>
      </c>
      <c r="G2078" s="7">
        <f>tbl_Ventes[[#This Row],[Qté Vendue]] * IFERROR(_xlfn.XLOOKUP(tbl_Ventes[[#This Row],[Cde_Prdt]], tbl_Produits[Cde_Prdt], tbl_Produits[Prix Menu]), 0)</f>
        <v>0</v>
      </c>
      <c r="H2078" s="7">
        <f>IFERROR(_xlfn.XLOOKUP(tbl_Ventes[[#This Row],[Cde_Prdt]], tbl_Produits[Cde_Prdt], tbl_Produits[Coût Moyen Portion]), 0)</f>
        <v>0</v>
      </c>
      <c r="I2078" s="7">
        <f>tbl_Ventes[[#This Row],[Qté Vendue]] * tbl_Ventes[[#This Row],[CMP_par_portion]]</f>
        <v>0</v>
      </c>
      <c r="J2078" s="7">
        <f>tbl_Ventes[[#This Row],[CA ligne]] - tbl_Ventes[[#This Row],[Coût matière ligne]]</f>
        <v>0</v>
      </c>
      <c r="K2078" s="7" t="str">
        <f>IFERROR(INDEX(tbl_ProduitsRef[Famille], MATCH(tbl_Ventes[[#This Row],[Cde_Prdt]], tbl_Produits[Cde_Prdt], 0)), "")</f>
        <v/>
      </c>
    </row>
    <row r="2079" spans="1:11" x14ac:dyDescent="0.25">
      <c r="A2079" s="5"/>
      <c r="B2079" s="63" t="str">
        <f>IFERROR(TEXT(tbl_Ventes[[#This Row],[Date]],"mm-aaaa"),"")</f>
        <v>01-1900</v>
      </c>
      <c r="D2079" s="10" t="str">
        <f>IFERROR(
   INDEX(tbl_ProduitsRef[Cde_Prdt],MATCH(tbl_Ventes[[#This Row],[Produit]],tbl_ProduitsRef[Produit],0)),
   ""
)</f>
        <v/>
      </c>
      <c r="E2079" s="7">
        <v>0</v>
      </c>
      <c r="F2079" s="7" t="str">
        <f>IFERROR(
   INDEX(tbl_ProduitsRef[Prix Menu],MATCH(tbl_Ventes[[#This Row],[Produit]],tbl_ProduitsRef[Produit],0)),
   ""
)</f>
        <v/>
      </c>
      <c r="G2079" s="7">
        <f>tbl_Ventes[[#This Row],[Qté Vendue]] * IFERROR(_xlfn.XLOOKUP(tbl_Ventes[[#This Row],[Cde_Prdt]], tbl_Produits[Cde_Prdt], tbl_Produits[Prix Menu]), 0)</f>
        <v>0</v>
      </c>
      <c r="H2079" s="7">
        <f>IFERROR(_xlfn.XLOOKUP(tbl_Ventes[[#This Row],[Cde_Prdt]], tbl_Produits[Cde_Prdt], tbl_Produits[Coût Moyen Portion]), 0)</f>
        <v>0</v>
      </c>
      <c r="I2079" s="7">
        <f>tbl_Ventes[[#This Row],[Qté Vendue]] * tbl_Ventes[[#This Row],[CMP_par_portion]]</f>
        <v>0</v>
      </c>
      <c r="J2079" s="7">
        <f>tbl_Ventes[[#This Row],[CA ligne]] - tbl_Ventes[[#This Row],[Coût matière ligne]]</f>
        <v>0</v>
      </c>
      <c r="K2079" s="7" t="str">
        <f>IFERROR(INDEX(tbl_ProduitsRef[Famille], MATCH(tbl_Ventes[[#This Row],[Cde_Prdt]], tbl_Produits[Cde_Prdt], 0)), "")</f>
        <v/>
      </c>
    </row>
    <row r="2080" spans="1:11" x14ac:dyDescent="0.25">
      <c r="A2080" s="5"/>
      <c r="B2080" s="63" t="str">
        <f>IFERROR(TEXT(tbl_Ventes[[#This Row],[Date]],"mm-aaaa"),"")</f>
        <v>01-1900</v>
      </c>
      <c r="D2080" s="10" t="str">
        <f>IFERROR(
   INDEX(tbl_ProduitsRef[Cde_Prdt],MATCH(tbl_Ventes[[#This Row],[Produit]],tbl_ProduitsRef[Produit],0)),
   ""
)</f>
        <v/>
      </c>
      <c r="E2080" s="7">
        <v>0</v>
      </c>
      <c r="F2080" s="7" t="str">
        <f>IFERROR(
   INDEX(tbl_ProduitsRef[Prix Menu],MATCH(tbl_Ventes[[#This Row],[Produit]],tbl_ProduitsRef[Produit],0)),
   ""
)</f>
        <v/>
      </c>
      <c r="G2080" s="7">
        <f>tbl_Ventes[[#This Row],[Qté Vendue]] * IFERROR(_xlfn.XLOOKUP(tbl_Ventes[[#This Row],[Cde_Prdt]], tbl_Produits[Cde_Prdt], tbl_Produits[Prix Menu]), 0)</f>
        <v>0</v>
      </c>
      <c r="H2080" s="7">
        <f>IFERROR(_xlfn.XLOOKUP(tbl_Ventes[[#This Row],[Cde_Prdt]], tbl_Produits[Cde_Prdt], tbl_Produits[Coût Moyen Portion]), 0)</f>
        <v>0</v>
      </c>
      <c r="I2080" s="7">
        <f>tbl_Ventes[[#This Row],[Qté Vendue]] * tbl_Ventes[[#This Row],[CMP_par_portion]]</f>
        <v>0</v>
      </c>
      <c r="J2080" s="7">
        <f>tbl_Ventes[[#This Row],[CA ligne]] - tbl_Ventes[[#This Row],[Coût matière ligne]]</f>
        <v>0</v>
      </c>
      <c r="K2080" s="7" t="str">
        <f>IFERROR(INDEX(tbl_ProduitsRef[Famille], MATCH(tbl_Ventes[[#This Row],[Cde_Prdt]], tbl_Produits[Cde_Prdt], 0)), "")</f>
        <v/>
      </c>
    </row>
    <row r="2081" spans="1:11" x14ac:dyDescent="0.25">
      <c r="A2081" s="5"/>
      <c r="B2081" s="63" t="str">
        <f>IFERROR(TEXT(tbl_Ventes[[#This Row],[Date]],"mm-aaaa"),"")</f>
        <v>01-1900</v>
      </c>
      <c r="D2081" s="10" t="str">
        <f>IFERROR(
   INDEX(tbl_ProduitsRef[Cde_Prdt],MATCH(tbl_Ventes[[#This Row],[Produit]],tbl_ProduitsRef[Produit],0)),
   ""
)</f>
        <v/>
      </c>
      <c r="E2081" s="7">
        <v>0</v>
      </c>
      <c r="F2081" s="7" t="str">
        <f>IFERROR(
   INDEX(tbl_ProduitsRef[Prix Menu],MATCH(tbl_Ventes[[#This Row],[Produit]],tbl_ProduitsRef[Produit],0)),
   ""
)</f>
        <v/>
      </c>
      <c r="G2081" s="7">
        <f>tbl_Ventes[[#This Row],[Qté Vendue]] * IFERROR(_xlfn.XLOOKUP(tbl_Ventes[[#This Row],[Cde_Prdt]], tbl_Produits[Cde_Prdt], tbl_Produits[Prix Menu]), 0)</f>
        <v>0</v>
      </c>
      <c r="H2081" s="7">
        <f>IFERROR(_xlfn.XLOOKUP(tbl_Ventes[[#This Row],[Cde_Prdt]], tbl_Produits[Cde_Prdt], tbl_Produits[Coût Moyen Portion]), 0)</f>
        <v>0</v>
      </c>
      <c r="I2081" s="7">
        <f>tbl_Ventes[[#This Row],[Qté Vendue]] * tbl_Ventes[[#This Row],[CMP_par_portion]]</f>
        <v>0</v>
      </c>
      <c r="J2081" s="7">
        <f>tbl_Ventes[[#This Row],[CA ligne]] - tbl_Ventes[[#This Row],[Coût matière ligne]]</f>
        <v>0</v>
      </c>
      <c r="K2081" s="7" t="str">
        <f>IFERROR(INDEX(tbl_ProduitsRef[Famille], MATCH(tbl_Ventes[[#This Row],[Cde_Prdt]], tbl_Produits[Cde_Prdt], 0)), "")</f>
        <v/>
      </c>
    </row>
    <row r="2082" spans="1:11" x14ac:dyDescent="0.25">
      <c r="A2082" s="5"/>
      <c r="B2082" s="63" t="str">
        <f>IFERROR(TEXT(tbl_Ventes[[#This Row],[Date]],"mm-aaaa"),"")</f>
        <v>01-1900</v>
      </c>
      <c r="D2082" s="10" t="str">
        <f>IFERROR(
   INDEX(tbl_ProduitsRef[Cde_Prdt],MATCH(tbl_Ventes[[#This Row],[Produit]],tbl_ProduitsRef[Produit],0)),
   ""
)</f>
        <v/>
      </c>
      <c r="E2082" s="7">
        <v>0</v>
      </c>
      <c r="F2082" s="7" t="str">
        <f>IFERROR(
   INDEX(tbl_ProduitsRef[Prix Menu],MATCH(tbl_Ventes[[#This Row],[Produit]],tbl_ProduitsRef[Produit],0)),
   ""
)</f>
        <v/>
      </c>
      <c r="G2082" s="7">
        <f>tbl_Ventes[[#This Row],[Qté Vendue]] * IFERROR(_xlfn.XLOOKUP(tbl_Ventes[[#This Row],[Cde_Prdt]], tbl_Produits[Cde_Prdt], tbl_Produits[Prix Menu]), 0)</f>
        <v>0</v>
      </c>
      <c r="H2082" s="7">
        <f>IFERROR(_xlfn.XLOOKUP(tbl_Ventes[[#This Row],[Cde_Prdt]], tbl_Produits[Cde_Prdt], tbl_Produits[Coût Moyen Portion]), 0)</f>
        <v>0</v>
      </c>
      <c r="I2082" s="7">
        <f>tbl_Ventes[[#This Row],[Qté Vendue]] * tbl_Ventes[[#This Row],[CMP_par_portion]]</f>
        <v>0</v>
      </c>
      <c r="J2082" s="7">
        <f>tbl_Ventes[[#This Row],[CA ligne]] - tbl_Ventes[[#This Row],[Coût matière ligne]]</f>
        <v>0</v>
      </c>
      <c r="K2082" s="7" t="str">
        <f>IFERROR(INDEX(tbl_ProduitsRef[Famille], MATCH(tbl_Ventes[[#This Row],[Cde_Prdt]], tbl_Produits[Cde_Prdt], 0)), "")</f>
        <v/>
      </c>
    </row>
    <row r="2083" spans="1:11" x14ac:dyDescent="0.25">
      <c r="A2083" s="5"/>
      <c r="B2083" s="63" t="str">
        <f>IFERROR(TEXT(tbl_Ventes[[#This Row],[Date]],"mm-aaaa"),"")</f>
        <v>01-1900</v>
      </c>
      <c r="D2083" s="10" t="str">
        <f>IFERROR(
   INDEX(tbl_ProduitsRef[Cde_Prdt],MATCH(tbl_Ventes[[#This Row],[Produit]],tbl_ProduitsRef[Produit],0)),
   ""
)</f>
        <v/>
      </c>
      <c r="E2083" s="7">
        <v>0</v>
      </c>
      <c r="F2083" s="7" t="str">
        <f>IFERROR(
   INDEX(tbl_ProduitsRef[Prix Menu],MATCH(tbl_Ventes[[#This Row],[Produit]],tbl_ProduitsRef[Produit],0)),
   ""
)</f>
        <v/>
      </c>
      <c r="G2083" s="7">
        <f>tbl_Ventes[[#This Row],[Qté Vendue]] * IFERROR(_xlfn.XLOOKUP(tbl_Ventes[[#This Row],[Cde_Prdt]], tbl_Produits[Cde_Prdt], tbl_Produits[Prix Menu]), 0)</f>
        <v>0</v>
      </c>
      <c r="H2083" s="7">
        <f>IFERROR(_xlfn.XLOOKUP(tbl_Ventes[[#This Row],[Cde_Prdt]], tbl_Produits[Cde_Prdt], tbl_Produits[Coût Moyen Portion]), 0)</f>
        <v>0</v>
      </c>
      <c r="I2083" s="7">
        <f>tbl_Ventes[[#This Row],[Qté Vendue]] * tbl_Ventes[[#This Row],[CMP_par_portion]]</f>
        <v>0</v>
      </c>
      <c r="J2083" s="7">
        <f>tbl_Ventes[[#This Row],[CA ligne]] - tbl_Ventes[[#This Row],[Coût matière ligne]]</f>
        <v>0</v>
      </c>
      <c r="K2083" s="7" t="str">
        <f>IFERROR(INDEX(tbl_ProduitsRef[Famille], MATCH(tbl_Ventes[[#This Row],[Cde_Prdt]], tbl_Produits[Cde_Prdt], 0)), "")</f>
        <v/>
      </c>
    </row>
    <row r="2084" spans="1:11" x14ac:dyDescent="0.25">
      <c r="A2084" s="5"/>
      <c r="B2084" s="63" t="str">
        <f>IFERROR(TEXT(tbl_Ventes[[#This Row],[Date]],"mm-aaaa"),"")</f>
        <v>01-1900</v>
      </c>
      <c r="D2084" s="10" t="str">
        <f>IFERROR(
   INDEX(tbl_ProduitsRef[Cde_Prdt],MATCH(tbl_Ventes[[#This Row],[Produit]],tbl_ProduitsRef[Produit],0)),
   ""
)</f>
        <v/>
      </c>
      <c r="E2084" s="7">
        <v>0</v>
      </c>
      <c r="F2084" s="7" t="str">
        <f>IFERROR(
   INDEX(tbl_ProduitsRef[Prix Menu],MATCH(tbl_Ventes[[#This Row],[Produit]],tbl_ProduitsRef[Produit],0)),
   ""
)</f>
        <v/>
      </c>
      <c r="G2084" s="7">
        <f>tbl_Ventes[[#This Row],[Qté Vendue]] * IFERROR(_xlfn.XLOOKUP(tbl_Ventes[[#This Row],[Cde_Prdt]], tbl_Produits[Cde_Prdt], tbl_Produits[Prix Menu]), 0)</f>
        <v>0</v>
      </c>
      <c r="H2084" s="7">
        <f>IFERROR(_xlfn.XLOOKUP(tbl_Ventes[[#This Row],[Cde_Prdt]], tbl_Produits[Cde_Prdt], tbl_Produits[Coût Moyen Portion]), 0)</f>
        <v>0</v>
      </c>
      <c r="I2084" s="7">
        <f>tbl_Ventes[[#This Row],[Qté Vendue]] * tbl_Ventes[[#This Row],[CMP_par_portion]]</f>
        <v>0</v>
      </c>
      <c r="J2084" s="7">
        <f>tbl_Ventes[[#This Row],[CA ligne]] - tbl_Ventes[[#This Row],[Coût matière ligne]]</f>
        <v>0</v>
      </c>
      <c r="K2084" s="7" t="str">
        <f>IFERROR(INDEX(tbl_ProduitsRef[Famille], MATCH(tbl_Ventes[[#This Row],[Cde_Prdt]], tbl_Produits[Cde_Prdt], 0)), "")</f>
        <v/>
      </c>
    </row>
    <row r="2085" spans="1:11" x14ac:dyDescent="0.25">
      <c r="A2085" s="5"/>
      <c r="B2085" s="63" t="str">
        <f>IFERROR(TEXT(tbl_Ventes[[#This Row],[Date]],"mm-aaaa"),"")</f>
        <v>01-1900</v>
      </c>
      <c r="D2085" s="10" t="str">
        <f>IFERROR(
   INDEX(tbl_ProduitsRef[Cde_Prdt],MATCH(tbl_Ventes[[#This Row],[Produit]],tbl_ProduitsRef[Produit],0)),
   ""
)</f>
        <v/>
      </c>
      <c r="E2085" s="7">
        <v>0</v>
      </c>
      <c r="F2085" s="7" t="str">
        <f>IFERROR(
   INDEX(tbl_ProduitsRef[Prix Menu],MATCH(tbl_Ventes[[#This Row],[Produit]],tbl_ProduitsRef[Produit],0)),
   ""
)</f>
        <v/>
      </c>
      <c r="G2085" s="7">
        <f>tbl_Ventes[[#This Row],[Qté Vendue]] * IFERROR(_xlfn.XLOOKUP(tbl_Ventes[[#This Row],[Cde_Prdt]], tbl_Produits[Cde_Prdt], tbl_Produits[Prix Menu]), 0)</f>
        <v>0</v>
      </c>
      <c r="H2085" s="7">
        <f>IFERROR(_xlfn.XLOOKUP(tbl_Ventes[[#This Row],[Cde_Prdt]], tbl_Produits[Cde_Prdt], tbl_Produits[Coût Moyen Portion]), 0)</f>
        <v>0</v>
      </c>
      <c r="I2085" s="7">
        <f>tbl_Ventes[[#This Row],[Qté Vendue]] * tbl_Ventes[[#This Row],[CMP_par_portion]]</f>
        <v>0</v>
      </c>
      <c r="J2085" s="7">
        <f>tbl_Ventes[[#This Row],[CA ligne]] - tbl_Ventes[[#This Row],[Coût matière ligne]]</f>
        <v>0</v>
      </c>
      <c r="K2085" s="7" t="str">
        <f>IFERROR(INDEX(tbl_ProduitsRef[Famille], MATCH(tbl_Ventes[[#This Row],[Cde_Prdt]], tbl_Produits[Cde_Prdt], 0)), "")</f>
        <v/>
      </c>
    </row>
    <row r="2086" spans="1:11" x14ac:dyDescent="0.25">
      <c r="A2086" s="5"/>
      <c r="B2086" s="63" t="str">
        <f>IFERROR(TEXT(tbl_Ventes[[#This Row],[Date]],"mm-aaaa"),"")</f>
        <v>01-1900</v>
      </c>
      <c r="D2086" s="10" t="str">
        <f>IFERROR(
   INDEX(tbl_ProduitsRef[Cde_Prdt],MATCH(tbl_Ventes[[#This Row],[Produit]],tbl_ProduitsRef[Produit],0)),
   ""
)</f>
        <v/>
      </c>
      <c r="E2086" s="7">
        <v>0</v>
      </c>
      <c r="F2086" s="7" t="str">
        <f>IFERROR(
   INDEX(tbl_ProduitsRef[Prix Menu],MATCH(tbl_Ventes[[#This Row],[Produit]],tbl_ProduitsRef[Produit],0)),
   ""
)</f>
        <v/>
      </c>
      <c r="G2086" s="7">
        <f>tbl_Ventes[[#This Row],[Qté Vendue]] * IFERROR(_xlfn.XLOOKUP(tbl_Ventes[[#This Row],[Cde_Prdt]], tbl_Produits[Cde_Prdt], tbl_Produits[Prix Menu]), 0)</f>
        <v>0</v>
      </c>
      <c r="H2086" s="7">
        <f>IFERROR(_xlfn.XLOOKUP(tbl_Ventes[[#This Row],[Cde_Prdt]], tbl_Produits[Cde_Prdt], tbl_Produits[Coût Moyen Portion]), 0)</f>
        <v>0</v>
      </c>
      <c r="I2086" s="7">
        <f>tbl_Ventes[[#This Row],[Qté Vendue]] * tbl_Ventes[[#This Row],[CMP_par_portion]]</f>
        <v>0</v>
      </c>
      <c r="J2086" s="7">
        <f>tbl_Ventes[[#This Row],[CA ligne]] - tbl_Ventes[[#This Row],[Coût matière ligne]]</f>
        <v>0</v>
      </c>
      <c r="K2086" s="7" t="str">
        <f>IFERROR(INDEX(tbl_ProduitsRef[Famille], MATCH(tbl_Ventes[[#This Row],[Cde_Prdt]], tbl_Produits[Cde_Prdt], 0)), "")</f>
        <v/>
      </c>
    </row>
    <row r="2087" spans="1:11" x14ac:dyDescent="0.25">
      <c r="A2087" s="5"/>
      <c r="B2087" s="63" t="str">
        <f>IFERROR(TEXT(tbl_Ventes[[#This Row],[Date]],"mm-aaaa"),"")</f>
        <v>01-1900</v>
      </c>
      <c r="D2087" s="10" t="str">
        <f>IFERROR(
   INDEX(tbl_ProduitsRef[Cde_Prdt],MATCH(tbl_Ventes[[#This Row],[Produit]],tbl_ProduitsRef[Produit],0)),
   ""
)</f>
        <v/>
      </c>
      <c r="E2087" s="7">
        <v>0</v>
      </c>
      <c r="F2087" s="7" t="str">
        <f>IFERROR(
   INDEX(tbl_ProduitsRef[Prix Menu],MATCH(tbl_Ventes[[#This Row],[Produit]],tbl_ProduitsRef[Produit],0)),
   ""
)</f>
        <v/>
      </c>
      <c r="G2087" s="7">
        <f>tbl_Ventes[[#This Row],[Qté Vendue]] * IFERROR(_xlfn.XLOOKUP(tbl_Ventes[[#This Row],[Cde_Prdt]], tbl_Produits[Cde_Prdt], tbl_Produits[Prix Menu]), 0)</f>
        <v>0</v>
      </c>
      <c r="H2087" s="7">
        <f>IFERROR(_xlfn.XLOOKUP(tbl_Ventes[[#This Row],[Cde_Prdt]], tbl_Produits[Cde_Prdt], tbl_Produits[Coût Moyen Portion]), 0)</f>
        <v>0</v>
      </c>
      <c r="I2087" s="7">
        <f>tbl_Ventes[[#This Row],[Qté Vendue]] * tbl_Ventes[[#This Row],[CMP_par_portion]]</f>
        <v>0</v>
      </c>
      <c r="J2087" s="7">
        <f>tbl_Ventes[[#This Row],[CA ligne]] - tbl_Ventes[[#This Row],[Coût matière ligne]]</f>
        <v>0</v>
      </c>
      <c r="K2087" s="7" t="str">
        <f>IFERROR(INDEX(tbl_ProduitsRef[Famille], MATCH(tbl_Ventes[[#This Row],[Cde_Prdt]], tbl_Produits[Cde_Prdt], 0)), "")</f>
        <v/>
      </c>
    </row>
    <row r="2088" spans="1:11" x14ac:dyDescent="0.25">
      <c r="A2088" s="5"/>
      <c r="B2088" s="63" t="str">
        <f>IFERROR(TEXT(tbl_Ventes[[#This Row],[Date]],"mm-aaaa"),"")</f>
        <v>01-1900</v>
      </c>
      <c r="D2088" s="10" t="str">
        <f>IFERROR(
   INDEX(tbl_ProduitsRef[Cde_Prdt],MATCH(tbl_Ventes[[#This Row],[Produit]],tbl_ProduitsRef[Produit],0)),
   ""
)</f>
        <v/>
      </c>
      <c r="E2088" s="7">
        <v>0</v>
      </c>
      <c r="F2088" s="7" t="str">
        <f>IFERROR(
   INDEX(tbl_ProduitsRef[Prix Menu],MATCH(tbl_Ventes[[#This Row],[Produit]],tbl_ProduitsRef[Produit],0)),
   ""
)</f>
        <v/>
      </c>
      <c r="G2088" s="7">
        <f>tbl_Ventes[[#This Row],[Qté Vendue]] * IFERROR(_xlfn.XLOOKUP(tbl_Ventes[[#This Row],[Cde_Prdt]], tbl_Produits[Cde_Prdt], tbl_Produits[Prix Menu]), 0)</f>
        <v>0</v>
      </c>
      <c r="H2088" s="7">
        <f>IFERROR(_xlfn.XLOOKUP(tbl_Ventes[[#This Row],[Cde_Prdt]], tbl_Produits[Cde_Prdt], tbl_Produits[Coût Moyen Portion]), 0)</f>
        <v>0</v>
      </c>
      <c r="I2088" s="7">
        <f>tbl_Ventes[[#This Row],[Qté Vendue]] * tbl_Ventes[[#This Row],[CMP_par_portion]]</f>
        <v>0</v>
      </c>
      <c r="J2088" s="7">
        <f>tbl_Ventes[[#This Row],[CA ligne]] - tbl_Ventes[[#This Row],[Coût matière ligne]]</f>
        <v>0</v>
      </c>
      <c r="K2088" s="7" t="str">
        <f>IFERROR(INDEX(tbl_ProduitsRef[Famille], MATCH(tbl_Ventes[[#This Row],[Cde_Prdt]], tbl_Produits[Cde_Prdt], 0)), "")</f>
        <v/>
      </c>
    </row>
    <row r="2089" spans="1:11" x14ac:dyDescent="0.25">
      <c r="A2089" s="5"/>
      <c r="B2089" s="63" t="str">
        <f>IFERROR(TEXT(tbl_Ventes[[#This Row],[Date]],"mm-aaaa"),"")</f>
        <v>01-1900</v>
      </c>
      <c r="D2089" s="10" t="str">
        <f>IFERROR(
   INDEX(tbl_ProduitsRef[Cde_Prdt],MATCH(tbl_Ventes[[#This Row],[Produit]],tbl_ProduitsRef[Produit],0)),
   ""
)</f>
        <v/>
      </c>
      <c r="E2089" s="7">
        <v>0</v>
      </c>
      <c r="F2089" s="7" t="str">
        <f>IFERROR(
   INDEX(tbl_ProduitsRef[Prix Menu],MATCH(tbl_Ventes[[#This Row],[Produit]],tbl_ProduitsRef[Produit],0)),
   ""
)</f>
        <v/>
      </c>
      <c r="G2089" s="7">
        <f>tbl_Ventes[[#This Row],[Qté Vendue]] * IFERROR(_xlfn.XLOOKUP(tbl_Ventes[[#This Row],[Cde_Prdt]], tbl_Produits[Cde_Prdt], tbl_Produits[Prix Menu]), 0)</f>
        <v>0</v>
      </c>
      <c r="H2089" s="7">
        <f>IFERROR(_xlfn.XLOOKUP(tbl_Ventes[[#This Row],[Cde_Prdt]], tbl_Produits[Cde_Prdt], tbl_Produits[Coût Moyen Portion]), 0)</f>
        <v>0</v>
      </c>
      <c r="I2089" s="7">
        <f>tbl_Ventes[[#This Row],[Qté Vendue]] * tbl_Ventes[[#This Row],[CMP_par_portion]]</f>
        <v>0</v>
      </c>
      <c r="J2089" s="7">
        <f>tbl_Ventes[[#This Row],[CA ligne]] - tbl_Ventes[[#This Row],[Coût matière ligne]]</f>
        <v>0</v>
      </c>
      <c r="K2089" s="7" t="str">
        <f>IFERROR(INDEX(tbl_ProduitsRef[Famille], MATCH(tbl_Ventes[[#This Row],[Cde_Prdt]], tbl_Produits[Cde_Prdt], 0)), "")</f>
        <v/>
      </c>
    </row>
    <row r="2090" spans="1:11" x14ac:dyDescent="0.25">
      <c r="A2090" s="5"/>
      <c r="B2090" s="63" t="str">
        <f>IFERROR(TEXT(tbl_Ventes[[#This Row],[Date]],"mm-aaaa"),"")</f>
        <v>01-1900</v>
      </c>
      <c r="D2090" s="10" t="str">
        <f>IFERROR(
   INDEX(tbl_ProduitsRef[Cde_Prdt],MATCH(tbl_Ventes[[#This Row],[Produit]],tbl_ProduitsRef[Produit],0)),
   ""
)</f>
        <v/>
      </c>
      <c r="E2090" s="7">
        <v>0</v>
      </c>
      <c r="F2090" s="7" t="str">
        <f>IFERROR(
   INDEX(tbl_ProduitsRef[Prix Menu],MATCH(tbl_Ventes[[#This Row],[Produit]],tbl_ProduitsRef[Produit],0)),
   ""
)</f>
        <v/>
      </c>
      <c r="G2090" s="7">
        <f>tbl_Ventes[[#This Row],[Qté Vendue]] * IFERROR(_xlfn.XLOOKUP(tbl_Ventes[[#This Row],[Cde_Prdt]], tbl_Produits[Cde_Prdt], tbl_Produits[Prix Menu]), 0)</f>
        <v>0</v>
      </c>
      <c r="H2090" s="7">
        <f>IFERROR(_xlfn.XLOOKUP(tbl_Ventes[[#This Row],[Cde_Prdt]], tbl_Produits[Cde_Prdt], tbl_Produits[Coût Moyen Portion]), 0)</f>
        <v>0</v>
      </c>
      <c r="I2090" s="7">
        <f>tbl_Ventes[[#This Row],[Qté Vendue]] * tbl_Ventes[[#This Row],[CMP_par_portion]]</f>
        <v>0</v>
      </c>
      <c r="J2090" s="7">
        <f>tbl_Ventes[[#This Row],[CA ligne]] - tbl_Ventes[[#This Row],[Coût matière ligne]]</f>
        <v>0</v>
      </c>
      <c r="K2090" s="7" t="str">
        <f>IFERROR(INDEX(tbl_ProduitsRef[Famille], MATCH(tbl_Ventes[[#This Row],[Cde_Prdt]], tbl_Produits[Cde_Prdt], 0)), "")</f>
        <v/>
      </c>
    </row>
    <row r="2091" spans="1:11" x14ac:dyDescent="0.25">
      <c r="A2091" s="5"/>
      <c r="B2091" s="63" t="str">
        <f>IFERROR(TEXT(tbl_Ventes[[#This Row],[Date]],"mm-aaaa"),"")</f>
        <v>01-1900</v>
      </c>
      <c r="D2091" s="10" t="str">
        <f>IFERROR(
   INDEX(tbl_ProduitsRef[Cde_Prdt],MATCH(tbl_Ventes[[#This Row],[Produit]],tbl_ProduitsRef[Produit],0)),
   ""
)</f>
        <v/>
      </c>
      <c r="E2091" s="7">
        <v>0</v>
      </c>
      <c r="F2091" s="7" t="str">
        <f>IFERROR(
   INDEX(tbl_ProduitsRef[Prix Menu],MATCH(tbl_Ventes[[#This Row],[Produit]],tbl_ProduitsRef[Produit],0)),
   ""
)</f>
        <v/>
      </c>
      <c r="G2091" s="7">
        <f>tbl_Ventes[[#This Row],[Qté Vendue]] * IFERROR(_xlfn.XLOOKUP(tbl_Ventes[[#This Row],[Cde_Prdt]], tbl_Produits[Cde_Prdt], tbl_Produits[Prix Menu]), 0)</f>
        <v>0</v>
      </c>
      <c r="H2091" s="7">
        <f>IFERROR(_xlfn.XLOOKUP(tbl_Ventes[[#This Row],[Cde_Prdt]], tbl_Produits[Cde_Prdt], tbl_Produits[Coût Moyen Portion]), 0)</f>
        <v>0</v>
      </c>
      <c r="I2091" s="7">
        <f>tbl_Ventes[[#This Row],[Qté Vendue]] * tbl_Ventes[[#This Row],[CMP_par_portion]]</f>
        <v>0</v>
      </c>
      <c r="J2091" s="7">
        <f>tbl_Ventes[[#This Row],[CA ligne]] - tbl_Ventes[[#This Row],[Coût matière ligne]]</f>
        <v>0</v>
      </c>
      <c r="K2091" s="7" t="str">
        <f>IFERROR(INDEX(tbl_ProduitsRef[Famille], MATCH(tbl_Ventes[[#This Row],[Cde_Prdt]], tbl_Produits[Cde_Prdt], 0)), "")</f>
        <v/>
      </c>
    </row>
    <row r="2092" spans="1:11" x14ac:dyDescent="0.25">
      <c r="A2092" s="5"/>
      <c r="B2092" s="63" t="str">
        <f>IFERROR(TEXT(tbl_Ventes[[#This Row],[Date]],"mm-aaaa"),"")</f>
        <v>01-1900</v>
      </c>
      <c r="D2092" s="10" t="str">
        <f>IFERROR(
   INDEX(tbl_ProduitsRef[Cde_Prdt],MATCH(tbl_Ventes[[#This Row],[Produit]],tbl_ProduitsRef[Produit],0)),
   ""
)</f>
        <v/>
      </c>
      <c r="E2092" s="7">
        <v>0</v>
      </c>
      <c r="F2092" s="7" t="str">
        <f>IFERROR(
   INDEX(tbl_ProduitsRef[Prix Menu],MATCH(tbl_Ventes[[#This Row],[Produit]],tbl_ProduitsRef[Produit],0)),
   ""
)</f>
        <v/>
      </c>
      <c r="G2092" s="7">
        <f>tbl_Ventes[[#This Row],[Qté Vendue]] * IFERROR(_xlfn.XLOOKUP(tbl_Ventes[[#This Row],[Cde_Prdt]], tbl_Produits[Cde_Prdt], tbl_Produits[Prix Menu]), 0)</f>
        <v>0</v>
      </c>
      <c r="H2092" s="7">
        <f>IFERROR(_xlfn.XLOOKUP(tbl_Ventes[[#This Row],[Cde_Prdt]], tbl_Produits[Cde_Prdt], tbl_Produits[Coût Moyen Portion]), 0)</f>
        <v>0</v>
      </c>
      <c r="I2092" s="7">
        <f>tbl_Ventes[[#This Row],[Qté Vendue]] * tbl_Ventes[[#This Row],[CMP_par_portion]]</f>
        <v>0</v>
      </c>
      <c r="J2092" s="7">
        <f>tbl_Ventes[[#This Row],[CA ligne]] - tbl_Ventes[[#This Row],[Coût matière ligne]]</f>
        <v>0</v>
      </c>
      <c r="K2092" s="7" t="str">
        <f>IFERROR(INDEX(tbl_ProduitsRef[Famille], MATCH(tbl_Ventes[[#This Row],[Cde_Prdt]], tbl_Produits[Cde_Prdt], 0)), "")</f>
        <v/>
      </c>
    </row>
    <row r="2093" spans="1:11" x14ac:dyDescent="0.25">
      <c r="A2093" s="5"/>
      <c r="B2093" s="63" t="str">
        <f>IFERROR(TEXT(tbl_Ventes[[#This Row],[Date]],"mm-aaaa"),"")</f>
        <v>01-1900</v>
      </c>
      <c r="D2093" s="10" t="str">
        <f>IFERROR(
   INDEX(tbl_ProduitsRef[Cde_Prdt],MATCH(tbl_Ventes[[#This Row],[Produit]],tbl_ProduitsRef[Produit],0)),
   ""
)</f>
        <v/>
      </c>
      <c r="E2093" s="7">
        <v>0</v>
      </c>
      <c r="F2093" s="7" t="str">
        <f>IFERROR(
   INDEX(tbl_ProduitsRef[Prix Menu],MATCH(tbl_Ventes[[#This Row],[Produit]],tbl_ProduitsRef[Produit],0)),
   ""
)</f>
        <v/>
      </c>
      <c r="G2093" s="7">
        <f>tbl_Ventes[[#This Row],[Qté Vendue]] * IFERROR(_xlfn.XLOOKUP(tbl_Ventes[[#This Row],[Cde_Prdt]], tbl_Produits[Cde_Prdt], tbl_Produits[Prix Menu]), 0)</f>
        <v>0</v>
      </c>
      <c r="H2093" s="7">
        <f>IFERROR(_xlfn.XLOOKUP(tbl_Ventes[[#This Row],[Cde_Prdt]], tbl_Produits[Cde_Prdt], tbl_Produits[Coût Moyen Portion]), 0)</f>
        <v>0</v>
      </c>
      <c r="I2093" s="7">
        <f>tbl_Ventes[[#This Row],[Qté Vendue]] * tbl_Ventes[[#This Row],[CMP_par_portion]]</f>
        <v>0</v>
      </c>
      <c r="J2093" s="7">
        <f>tbl_Ventes[[#This Row],[CA ligne]] - tbl_Ventes[[#This Row],[Coût matière ligne]]</f>
        <v>0</v>
      </c>
      <c r="K2093" s="7" t="str">
        <f>IFERROR(INDEX(tbl_ProduitsRef[Famille], MATCH(tbl_Ventes[[#This Row],[Cde_Prdt]], tbl_Produits[Cde_Prdt], 0)), "")</f>
        <v/>
      </c>
    </row>
    <row r="2094" spans="1:11" x14ac:dyDescent="0.25">
      <c r="A2094" s="5"/>
      <c r="B2094" s="63" t="str">
        <f>IFERROR(TEXT(tbl_Ventes[[#This Row],[Date]],"mm-aaaa"),"")</f>
        <v>01-1900</v>
      </c>
      <c r="D2094" s="10" t="str">
        <f>IFERROR(
   INDEX(tbl_ProduitsRef[Cde_Prdt],MATCH(tbl_Ventes[[#This Row],[Produit]],tbl_ProduitsRef[Produit],0)),
   ""
)</f>
        <v/>
      </c>
      <c r="E2094" s="7">
        <v>0</v>
      </c>
      <c r="F2094" s="7" t="str">
        <f>IFERROR(
   INDEX(tbl_ProduitsRef[Prix Menu],MATCH(tbl_Ventes[[#This Row],[Produit]],tbl_ProduitsRef[Produit],0)),
   ""
)</f>
        <v/>
      </c>
      <c r="G2094" s="7">
        <f>tbl_Ventes[[#This Row],[Qté Vendue]] * IFERROR(_xlfn.XLOOKUP(tbl_Ventes[[#This Row],[Cde_Prdt]], tbl_Produits[Cde_Prdt], tbl_Produits[Prix Menu]), 0)</f>
        <v>0</v>
      </c>
      <c r="H2094" s="7">
        <f>IFERROR(_xlfn.XLOOKUP(tbl_Ventes[[#This Row],[Cde_Prdt]], tbl_Produits[Cde_Prdt], tbl_Produits[Coût Moyen Portion]), 0)</f>
        <v>0</v>
      </c>
      <c r="I2094" s="7">
        <f>tbl_Ventes[[#This Row],[Qté Vendue]] * tbl_Ventes[[#This Row],[CMP_par_portion]]</f>
        <v>0</v>
      </c>
      <c r="J2094" s="7">
        <f>tbl_Ventes[[#This Row],[CA ligne]] - tbl_Ventes[[#This Row],[Coût matière ligne]]</f>
        <v>0</v>
      </c>
      <c r="K2094" s="7" t="str">
        <f>IFERROR(INDEX(tbl_ProduitsRef[Famille], MATCH(tbl_Ventes[[#This Row],[Cde_Prdt]], tbl_Produits[Cde_Prdt], 0)), "")</f>
        <v/>
      </c>
    </row>
    <row r="2095" spans="1:11" x14ac:dyDescent="0.25">
      <c r="A2095" s="5"/>
      <c r="B2095" s="63" t="str">
        <f>IFERROR(TEXT(tbl_Ventes[[#This Row],[Date]],"mm-aaaa"),"")</f>
        <v>01-1900</v>
      </c>
      <c r="D2095" s="10" t="str">
        <f>IFERROR(
   INDEX(tbl_ProduitsRef[Cde_Prdt],MATCH(tbl_Ventes[[#This Row],[Produit]],tbl_ProduitsRef[Produit],0)),
   ""
)</f>
        <v/>
      </c>
      <c r="E2095" s="7">
        <v>0</v>
      </c>
      <c r="F2095" s="7" t="str">
        <f>IFERROR(
   INDEX(tbl_ProduitsRef[Prix Menu],MATCH(tbl_Ventes[[#This Row],[Produit]],tbl_ProduitsRef[Produit],0)),
   ""
)</f>
        <v/>
      </c>
      <c r="G2095" s="7">
        <f>tbl_Ventes[[#This Row],[Qté Vendue]] * IFERROR(_xlfn.XLOOKUP(tbl_Ventes[[#This Row],[Cde_Prdt]], tbl_Produits[Cde_Prdt], tbl_Produits[Prix Menu]), 0)</f>
        <v>0</v>
      </c>
      <c r="H2095" s="7">
        <f>IFERROR(_xlfn.XLOOKUP(tbl_Ventes[[#This Row],[Cde_Prdt]], tbl_Produits[Cde_Prdt], tbl_Produits[Coût Moyen Portion]), 0)</f>
        <v>0</v>
      </c>
      <c r="I2095" s="7">
        <f>tbl_Ventes[[#This Row],[Qté Vendue]] * tbl_Ventes[[#This Row],[CMP_par_portion]]</f>
        <v>0</v>
      </c>
      <c r="J2095" s="7">
        <f>tbl_Ventes[[#This Row],[CA ligne]] - tbl_Ventes[[#This Row],[Coût matière ligne]]</f>
        <v>0</v>
      </c>
      <c r="K2095" s="7" t="str">
        <f>IFERROR(INDEX(tbl_ProduitsRef[Famille], MATCH(tbl_Ventes[[#This Row],[Cde_Prdt]], tbl_Produits[Cde_Prdt], 0)), "")</f>
        <v/>
      </c>
    </row>
    <row r="2096" spans="1:11" x14ac:dyDescent="0.25">
      <c r="A2096" s="5"/>
      <c r="B2096" s="63" t="str">
        <f>IFERROR(TEXT(tbl_Ventes[[#This Row],[Date]],"mm-aaaa"),"")</f>
        <v>01-1900</v>
      </c>
      <c r="D2096" s="10" t="str">
        <f>IFERROR(
   INDEX(tbl_ProduitsRef[Cde_Prdt],MATCH(tbl_Ventes[[#This Row],[Produit]],tbl_ProduitsRef[Produit],0)),
   ""
)</f>
        <v/>
      </c>
      <c r="E2096" s="7">
        <v>0</v>
      </c>
      <c r="F2096" s="7" t="str">
        <f>IFERROR(
   INDEX(tbl_ProduitsRef[Prix Menu],MATCH(tbl_Ventes[[#This Row],[Produit]],tbl_ProduitsRef[Produit],0)),
   ""
)</f>
        <v/>
      </c>
      <c r="G2096" s="7">
        <f>tbl_Ventes[[#This Row],[Qté Vendue]] * IFERROR(_xlfn.XLOOKUP(tbl_Ventes[[#This Row],[Cde_Prdt]], tbl_Produits[Cde_Prdt], tbl_Produits[Prix Menu]), 0)</f>
        <v>0</v>
      </c>
      <c r="H2096" s="7">
        <f>IFERROR(_xlfn.XLOOKUP(tbl_Ventes[[#This Row],[Cde_Prdt]], tbl_Produits[Cde_Prdt], tbl_Produits[Coût Moyen Portion]), 0)</f>
        <v>0</v>
      </c>
      <c r="I2096" s="7">
        <f>tbl_Ventes[[#This Row],[Qté Vendue]] * tbl_Ventes[[#This Row],[CMP_par_portion]]</f>
        <v>0</v>
      </c>
      <c r="J2096" s="7">
        <f>tbl_Ventes[[#This Row],[CA ligne]] - tbl_Ventes[[#This Row],[Coût matière ligne]]</f>
        <v>0</v>
      </c>
      <c r="K2096" s="7" t="str">
        <f>IFERROR(INDEX(tbl_ProduitsRef[Famille], MATCH(tbl_Ventes[[#This Row],[Cde_Prdt]], tbl_Produits[Cde_Prdt], 0)), "")</f>
        <v/>
      </c>
    </row>
    <row r="2097" spans="1:11" x14ac:dyDescent="0.25">
      <c r="A2097" s="5"/>
      <c r="B2097" s="63" t="str">
        <f>IFERROR(TEXT(tbl_Ventes[[#This Row],[Date]],"mm-aaaa"),"")</f>
        <v>01-1900</v>
      </c>
      <c r="D2097" s="10" t="str">
        <f>IFERROR(
   INDEX(tbl_ProduitsRef[Cde_Prdt],MATCH(tbl_Ventes[[#This Row],[Produit]],tbl_ProduitsRef[Produit],0)),
   ""
)</f>
        <v/>
      </c>
      <c r="E2097" s="7">
        <v>0</v>
      </c>
      <c r="F2097" s="7" t="str">
        <f>IFERROR(
   INDEX(tbl_ProduitsRef[Prix Menu],MATCH(tbl_Ventes[[#This Row],[Produit]],tbl_ProduitsRef[Produit],0)),
   ""
)</f>
        <v/>
      </c>
      <c r="G2097" s="7">
        <f>tbl_Ventes[[#This Row],[Qté Vendue]] * IFERROR(_xlfn.XLOOKUP(tbl_Ventes[[#This Row],[Cde_Prdt]], tbl_Produits[Cde_Prdt], tbl_Produits[Prix Menu]), 0)</f>
        <v>0</v>
      </c>
      <c r="H2097" s="7">
        <f>IFERROR(_xlfn.XLOOKUP(tbl_Ventes[[#This Row],[Cde_Prdt]], tbl_Produits[Cde_Prdt], tbl_Produits[Coût Moyen Portion]), 0)</f>
        <v>0</v>
      </c>
      <c r="I2097" s="7">
        <f>tbl_Ventes[[#This Row],[Qté Vendue]] * tbl_Ventes[[#This Row],[CMP_par_portion]]</f>
        <v>0</v>
      </c>
      <c r="J2097" s="7">
        <f>tbl_Ventes[[#This Row],[CA ligne]] - tbl_Ventes[[#This Row],[Coût matière ligne]]</f>
        <v>0</v>
      </c>
      <c r="K2097" s="7" t="str">
        <f>IFERROR(INDEX(tbl_ProduitsRef[Famille], MATCH(tbl_Ventes[[#This Row],[Cde_Prdt]], tbl_Produits[Cde_Prdt], 0)), "")</f>
        <v/>
      </c>
    </row>
    <row r="2098" spans="1:11" x14ac:dyDescent="0.25">
      <c r="A2098" s="5"/>
      <c r="B2098" s="63" t="str">
        <f>IFERROR(TEXT(tbl_Ventes[[#This Row],[Date]],"mm-aaaa"),"")</f>
        <v>01-1900</v>
      </c>
      <c r="D2098" s="10" t="str">
        <f>IFERROR(
   INDEX(tbl_ProduitsRef[Cde_Prdt],MATCH(tbl_Ventes[[#This Row],[Produit]],tbl_ProduitsRef[Produit],0)),
   ""
)</f>
        <v/>
      </c>
      <c r="E2098" s="7">
        <v>0</v>
      </c>
      <c r="F2098" s="7" t="str">
        <f>IFERROR(
   INDEX(tbl_ProduitsRef[Prix Menu],MATCH(tbl_Ventes[[#This Row],[Produit]],tbl_ProduitsRef[Produit],0)),
   ""
)</f>
        <v/>
      </c>
      <c r="G2098" s="7">
        <f>tbl_Ventes[[#This Row],[Qté Vendue]] * IFERROR(_xlfn.XLOOKUP(tbl_Ventes[[#This Row],[Cde_Prdt]], tbl_Produits[Cde_Prdt], tbl_Produits[Prix Menu]), 0)</f>
        <v>0</v>
      </c>
      <c r="H2098" s="7">
        <f>IFERROR(_xlfn.XLOOKUP(tbl_Ventes[[#This Row],[Cde_Prdt]], tbl_Produits[Cde_Prdt], tbl_Produits[Coût Moyen Portion]), 0)</f>
        <v>0</v>
      </c>
      <c r="I2098" s="7">
        <f>tbl_Ventes[[#This Row],[Qté Vendue]] * tbl_Ventes[[#This Row],[CMP_par_portion]]</f>
        <v>0</v>
      </c>
      <c r="J2098" s="7">
        <f>tbl_Ventes[[#This Row],[CA ligne]] - tbl_Ventes[[#This Row],[Coût matière ligne]]</f>
        <v>0</v>
      </c>
      <c r="K2098" s="7" t="str">
        <f>IFERROR(INDEX(tbl_ProduitsRef[Famille], MATCH(tbl_Ventes[[#This Row],[Cde_Prdt]], tbl_Produits[Cde_Prdt], 0)), "")</f>
        <v/>
      </c>
    </row>
    <row r="2099" spans="1:11" x14ac:dyDescent="0.25">
      <c r="A2099" s="5"/>
      <c r="B2099" s="63" t="str">
        <f>IFERROR(TEXT(tbl_Ventes[[#This Row],[Date]],"mm-aaaa"),"")</f>
        <v>01-1900</v>
      </c>
      <c r="D2099" s="10" t="str">
        <f>IFERROR(
   INDEX(tbl_ProduitsRef[Cde_Prdt],MATCH(tbl_Ventes[[#This Row],[Produit]],tbl_ProduitsRef[Produit],0)),
   ""
)</f>
        <v/>
      </c>
      <c r="E2099" s="7">
        <v>0</v>
      </c>
      <c r="F2099" s="7" t="str">
        <f>IFERROR(
   INDEX(tbl_ProduitsRef[Prix Menu],MATCH(tbl_Ventes[[#This Row],[Produit]],tbl_ProduitsRef[Produit],0)),
   ""
)</f>
        <v/>
      </c>
      <c r="G2099" s="7">
        <f>tbl_Ventes[[#This Row],[Qté Vendue]] * IFERROR(_xlfn.XLOOKUP(tbl_Ventes[[#This Row],[Cde_Prdt]], tbl_Produits[Cde_Prdt], tbl_Produits[Prix Menu]), 0)</f>
        <v>0</v>
      </c>
      <c r="H2099" s="7">
        <f>IFERROR(_xlfn.XLOOKUP(tbl_Ventes[[#This Row],[Cde_Prdt]], tbl_Produits[Cde_Prdt], tbl_Produits[Coût Moyen Portion]), 0)</f>
        <v>0</v>
      </c>
      <c r="I2099" s="7">
        <f>tbl_Ventes[[#This Row],[Qté Vendue]] * tbl_Ventes[[#This Row],[CMP_par_portion]]</f>
        <v>0</v>
      </c>
      <c r="J2099" s="7">
        <f>tbl_Ventes[[#This Row],[CA ligne]] - tbl_Ventes[[#This Row],[Coût matière ligne]]</f>
        <v>0</v>
      </c>
      <c r="K2099" s="7" t="str">
        <f>IFERROR(INDEX(tbl_ProduitsRef[Famille], MATCH(tbl_Ventes[[#This Row],[Cde_Prdt]], tbl_Produits[Cde_Prdt], 0)), "")</f>
        <v/>
      </c>
    </row>
    <row r="2100" spans="1:11" x14ac:dyDescent="0.25">
      <c r="A2100" s="5"/>
      <c r="B2100" s="63" t="str">
        <f>IFERROR(TEXT(tbl_Ventes[[#This Row],[Date]],"mm-aaaa"),"")</f>
        <v>01-1900</v>
      </c>
      <c r="D2100" s="10" t="str">
        <f>IFERROR(
   INDEX(tbl_ProduitsRef[Cde_Prdt],MATCH(tbl_Ventes[[#This Row],[Produit]],tbl_ProduitsRef[Produit],0)),
   ""
)</f>
        <v/>
      </c>
      <c r="E2100" s="7">
        <v>0</v>
      </c>
      <c r="F2100" s="7" t="str">
        <f>IFERROR(
   INDEX(tbl_ProduitsRef[Prix Menu],MATCH(tbl_Ventes[[#This Row],[Produit]],tbl_ProduitsRef[Produit],0)),
   ""
)</f>
        <v/>
      </c>
      <c r="G2100" s="7">
        <f>tbl_Ventes[[#This Row],[Qté Vendue]] * IFERROR(_xlfn.XLOOKUP(tbl_Ventes[[#This Row],[Cde_Prdt]], tbl_Produits[Cde_Prdt], tbl_Produits[Prix Menu]), 0)</f>
        <v>0</v>
      </c>
      <c r="H2100" s="7">
        <f>IFERROR(_xlfn.XLOOKUP(tbl_Ventes[[#This Row],[Cde_Prdt]], tbl_Produits[Cde_Prdt], tbl_Produits[Coût Moyen Portion]), 0)</f>
        <v>0</v>
      </c>
      <c r="I2100" s="7">
        <f>tbl_Ventes[[#This Row],[Qté Vendue]] * tbl_Ventes[[#This Row],[CMP_par_portion]]</f>
        <v>0</v>
      </c>
      <c r="J2100" s="7">
        <f>tbl_Ventes[[#This Row],[CA ligne]] - tbl_Ventes[[#This Row],[Coût matière ligne]]</f>
        <v>0</v>
      </c>
      <c r="K2100" s="7" t="str">
        <f>IFERROR(INDEX(tbl_ProduitsRef[Famille], MATCH(tbl_Ventes[[#This Row],[Cde_Prdt]], tbl_Produits[Cde_Prdt], 0)), "")</f>
        <v/>
      </c>
    </row>
    <row r="2101" spans="1:11" x14ac:dyDescent="0.25">
      <c r="A2101" s="5"/>
      <c r="B2101" s="63" t="str">
        <f>IFERROR(TEXT(tbl_Ventes[[#This Row],[Date]],"mm-aaaa"),"")</f>
        <v>01-1900</v>
      </c>
      <c r="D2101" s="10" t="str">
        <f>IFERROR(
   INDEX(tbl_ProduitsRef[Cde_Prdt],MATCH(tbl_Ventes[[#This Row],[Produit]],tbl_ProduitsRef[Produit],0)),
   ""
)</f>
        <v/>
      </c>
      <c r="E2101" s="7">
        <v>0</v>
      </c>
      <c r="F2101" s="7" t="str">
        <f>IFERROR(
   INDEX(tbl_ProduitsRef[Prix Menu],MATCH(tbl_Ventes[[#This Row],[Produit]],tbl_ProduitsRef[Produit],0)),
   ""
)</f>
        <v/>
      </c>
      <c r="G2101" s="7">
        <f>tbl_Ventes[[#This Row],[Qté Vendue]] * IFERROR(_xlfn.XLOOKUP(tbl_Ventes[[#This Row],[Cde_Prdt]], tbl_Produits[Cde_Prdt], tbl_Produits[Prix Menu]), 0)</f>
        <v>0</v>
      </c>
      <c r="H2101" s="7">
        <f>IFERROR(_xlfn.XLOOKUP(tbl_Ventes[[#This Row],[Cde_Prdt]], tbl_Produits[Cde_Prdt], tbl_Produits[Coût Moyen Portion]), 0)</f>
        <v>0</v>
      </c>
      <c r="I2101" s="7">
        <f>tbl_Ventes[[#This Row],[Qté Vendue]] * tbl_Ventes[[#This Row],[CMP_par_portion]]</f>
        <v>0</v>
      </c>
      <c r="J2101" s="7">
        <f>tbl_Ventes[[#This Row],[CA ligne]] - tbl_Ventes[[#This Row],[Coût matière ligne]]</f>
        <v>0</v>
      </c>
      <c r="K2101" s="7" t="str">
        <f>IFERROR(INDEX(tbl_ProduitsRef[Famille], MATCH(tbl_Ventes[[#This Row],[Cde_Prdt]], tbl_Produits[Cde_Prdt], 0)), "")</f>
        <v/>
      </c>
    </row>
    <row r="2102" spans="1:11" x14ac:dyDescent="0.25">
      <c r="A2102" s="5"/>
      <c r="B2102" s="63" t="str">
        <f>IFERROR(TEXT(tbl_Ventes[[#This Row],[Date]],"mm-aaaa"),"")</f>
        <v>01-1900</v>
      </c>
      <c r="D2102" s="10" t="str">
        <f>IFERROR(
   INDEX(tbl_ProduitsRef[Cde_Prdt],MATCH(tbl_Ventes[[#This Row],[Produit]],tbl_ProduitsRef[Produit],0)),
   ""
)</f>
        <v/>
      </c>
      <c r="E2102" s="7">
        <v>0</v>
      </c>
      <c r="F2102" s="7" t="str">
        <f>IFERROR(
   INDEX(tbl_ProduitsRef[Prix Menu],MATCH(tbl_Ventes[[#This Row],[Produit]],tbl_ProduitsRef[Produit],0)),
   ""
)</f>
        <v/>
      </c>
      <c r="G2102" s="7">
        <f>tbl_Ventes[[#This Row],[Qté Vendue]] * IFERROR(_xlfn.XLOOKUP(tbl_Ventes[[#This Row],[Cde_Prdt]], tbl_Produits[Cde_Prdt], tbl_Produits[Prix Menu]), 0)</f>
        <v>0</v>
      </c>
      <c r="H2102" s="7">
        <f>IFERROR(_xlfn.XLOOKUP(tbl_Ventes[[#This Row],[Cde_Prdt]], tbl_Produits[Cde_Prdt], tbl_Produits[Coût Moyen Portion]), 0)</f>
        <v>0</v>
      </c>
      <c r="I2102" s="7">
        <f>tbl_Ventes[[#This Row],[Qté Vendue]] * tbl_Ventes[[#This Row],[CMP_par_portion]]</f>
        <v>0</v>
      </c>
      <c r="J2102" s="7">
        <f>tbl_Ventes[[#This Row],[CA ligne]] - tbl_Ventes[[#This Row],[Coût matière ligne]]</f>
        <v>0</v>
      </c>
      <c r="K2102" s="7" t="str">
        <f>IFERROR(INDEX(tbl_ProduitsRef[Famille], MATCH(tbl_Ventes[[#This Row],[Cde_Prdt]], tbl_Produits[Cde_Prdt], 0)), "")</f>
        <v/>
      </c>
    </row>
    <row r="2103" spans="1:11" x14ac:dyDescent="0.25">
      <c r="A2103" s="5"/>
      <c r="B2103" s="63" t="str">
        <f>IFERROR(TEXT(tbl_Ventes[[#This Row],[Date]],"mm-aaaa"),"")</f>
        <v>01-1900</v>
      </c>
      <c r="D2103" s="10" t="str">
        <f>IFERROR(
   INDEX(tbl_ProduitsRef[Cde_Prdt],MATCH(tbl_Ventes[[#This Row],[Produit]],tbl_ProduitsRef[Produit],0)),
   ""
)</f>
        <v/>
      </c>
      <c r="E2103" s="7">
        <v>0</v>
      </c>
      <c r="F2103" s="7" t="str">
        <f>IFERROR(
   INDEX(tbl_ProduitsRef[Prix Menu],MATCH(tbl_Ventes[[#This Row],[Produit]],tbl_ProduitsRef[Produit],0)),
   ""
)</f>
        <v/>
      </c>
      <c r="G2103" s="7">
        <f>tbl_Ventes[[#This Row],[Qté Vendue]] * IFERROR(_xlfn.XLOOKUP(tbl_Ventes[[#This Row],[Cde_Prdt]], tbl_Produits[Cde_Prdt], tbl_Produits[Prix Menu]), 0)</f>
        <v>0</v>
      </c>
      <c r="H2103" s="7">
        <f>IFERROR(_xlfn.XLOOKUP(tbl_Ventes[[#This Row],[Cde_Prdt]], tbl_Produits[Cde_Prdt], tbl_Produits[Coût Moyen Portion]), 0)</f>
        <v>0</v>
      </c>
      <c r="I2103" s="7">
        <f>tbl_Ventes[[#This Row],[Qté Vendue]] * tbl_Ventes[[#This Row],[CMP_par_portion]]</f>
        <v>0</v>
      </c>
      <c r="J2103" s="7">
        <f>tbl_Ventes[[#This Row],[CA ligne]] - tbl_Ventes[[#This Row],[Coût matière ligne]]</f>
        <v>0</v>
      </c>
      <c r="K2103" s="7" t="str">
        <f>IFERROR(INDEX(tbl_ProduitsRef[Famille], MATCH(tbl_Ventes[[#This Row],[Cde_Prdt]], tbl_Produits[Cde_Prdt], 0)), "")</f>
        <v/>
      </c>
    </row>
    <row r="2104" spans="1:11" x14ac:dyDescent="0.25">
      <c r="A2104" s="5"/>
      <c r="B2104" s="63" t="str">
        <f>IFERROR(TEXT(tbl_Ventes[[#This Row],[Date]],"mm-aaaa"),"")</f>
        <v>01-1900</v>
      </c>
      <c r="D2104" s="10" t="str">
        <f>IFERROR(
   INDEX(tbl_ProduitsRef[Cde_Prdt],MATCH(tbl_Ventes[[#This Row],[Produit]],tbl_ProduitsRef[Produit],0)),
   ""
)</f>
        <v/>
      </c>
      <c r="E2104" s="7">
        <v>0</v>
      </c>
      <c r="F2104" s="7" t="str">
        <f>IFERROR(
   INDEX(tbl_ProduitsRef[Prix Menu],MATCH(tbl_Ventes[[#This Row],[Produit]],tbl_ProduitsRef[Produit],0)),
   ""
)</f>
        <v/>
      </c>
      <c r="G2104" s="7">
        <f>tbl_Ventes[[#This Row],[Qté Vendue]] * IFERROR(_xlfn.XLOOKUP(tbl_Ventes[[#This Row],[Cde_Prdt]], tbl_Produits[Cde_Prdt], tbl_Produits[Prix Menu]), 0)</f>
        <v>0</v>
      </c>
      <c r="H2104" s="7">
        <f>IFERROR(_xlfn.XLOOKUP(tbl_Ventes[[#This Row],[Cde_Prdt]], tbl_Produits[Cde_Prdt], tbl_Produits[Coût Moyen Portion]), 0)</f>
        <v>0</v>
      </c>
      <c r="I2104" s="7">
        <f>tbl_Ventes[[#This Row],[Qté Vendue]] * tbl_Ventes[[#This Row],[CMP_par_portion]]</f>
        <v>0</v>
      </c>
      <c r="J2104" s="7">
        <f>tbl_Ventes[[#This Row],[CA ligne]] - tbl_Ventes[[#This Row],[Coût matière ligne]]</f>
        <v>0</v>
      </c>
      <c r="K2104" s="7" t="str">
        <f>IFERROR(INDEX(tbl_ProduitsRef[Famille], MATCH(tbl_Ventes[[#This Row],[Cde_Prdt]], tbl_Produits[Cde_Prdt], 0)), "")</f>
        <v/>
      </c>
    </row>
    <row r="2105" spans="1:11" x14ac:dyDescent="0.25">
      <c r="A2105" s="5"/>
      <c r="B2105" s="63" t="str">
        <f>IFERROR(TEXT(tbl_Ventes[[#This Row],[Date]],"mm-aaaa"),"")</f>
        <v>01-1900</v>
      </c>
      <c r="D2105" s="10" t="str">
        <f>IFERROR(
   INDEX(tbl_ProduitsRef[Cde_Prdt],MATCH(tbl_Ventes[[#This Row],[Produit]],tbl_ProduitsRef[Produit],0)),
   ""
)</f>
        <v/>
      </c>
      <c r="E2105" s="7">
        <v>0</v>
      </c>
      <c r="F2105" s="7" t="str">
        <f>IFERROR(
   INDEX(tbl_ProduitsRef[Prix Menu],MATCH(tbl_Ventes[[#This Row],[Produit]],tbl_ProduitsRef[Produit],0)),
   ""
)</f>
        <v/>
      </c>
      <c r="G2105" s="7">
        <f>tbl_Ventes[[#This Row],[Qté Vendue]] * IFERROR(_xlfn.XLOOKUP(tbl_Ventes[[#This Row],[Cde_Prdt]], tbl_Produits[Cde_Prdt], tbl_Produits[Prix Menu]), 0)</f>
        <v>0</v>
      </c>
      <c r="H2105" s="7">
        <f>IFERROR(_xlfn.XLOOKUP(tbl_Ventes[[#This Row],[Cde_Prdt]], tbl_Produits[Cde_Prdt], tbl_Produits[Coût Moyen Portion]), 0)</f>
        <v>0</v>
      </c>
      <c r="I2105" s="7">
        <f>tbl_Ventes[[#This Row],[Qté Vendue]] * tbl_Ventes[[#This Row],[CMP_par_portion]]</f>
        <v>0</v>
      </c>
      <c r="J2105" s="7">
        <f>tbl_Ventes[[#This Row],[CA ligne]] - tbl_Ventes[[#This Row],[Coût matière ligne]]</f>
        <v>0</v>
      </c>
      <c r="K2105" s="7" t="str">
        <f>IFERROR(INDEX(tbl_ProduitsRef[Famille], MATCH(tbl_Ventes[[#This Row],[Cde_Prdt]], tbl_Produits[Cde_Prdt], 0)), "")</f>
        <v/>
      </c>
    </row>
    <row r="2106" spans="1:11" x14ac:dyDescent="0.25">
      <c r="A2106" s="5"/>
      <c r="B2106" s="63" t="str">
        <f>IFERROR(TEXT(tbl_Ventes[[#This Row],[Date]],"mm-aaaa"),"")</f>
        <v>01-1900</v>
      </c>
      <c r="D2106" s="10" t="str">
        <f>IFERROR(
   INDEX(tbl_ProduitsRef[Cde_Prdt],MATCH(tbl_Ventes[[#This Row],[Produit]],tbl_ProduitsRef[Produit],0)),
   ""
)</f>
        <v/>
      </c>
      <c r="E2106" s="7">
        <v>0</v>
      </c>
      <c r="F2106" s="7" t="str">
        <f>IFERROR(
   INDEX(tbl_ProduitsRef[Prix Menu],MATCH(tbl_Ventes[[#This Row],[Produit]],tbl_ProduitsRef[Produit],0)),
   ""
)</f>
        <v/>
      </c>
      <c r="G2106" s="7">
        <f>tbl_Ventes[[#This Row],[Qté Vendue]] * IFERROR(_xlfn.XLOOKUP(tbl_Ventes[[#This Row],[Cde_Prdt]], tbl_Produits[Cde_Prdt], tbl_Produits[Prix Menu]), 0)</f>
        <v>0</v>
      </c>
      <c r="H2106" s="7">
        <f>IFERROR(_xlfn.XLOOKUP(tbl_Ventes[[#This Row],[Cde_Prdt]], tbl_Produits[Cde_Prdt], tbl_Produits[Coût Moyen Portion]), 0)</f>
        <v>0</v>
      </c>
      <c r="I2106" s="7">
        <f>tbl_Ventes[[#This Row],[Qté Vendue]] * tbl_Ventes[[#This Row],[CMP_par_portion]]</f>
        <v>0</v>
      </c>
      <c r="J2106" s="7">
        <f>tbl_Ventes[[#This Row],[CA ligne]] - tbl_Ventes[[#This Row],[Coût matière ligne]]</f>
        <v>0</v>
      </c>
      <c r="K2106" s="7" t="str">
        <f>IFERROR(INDEX(tbl_ProduitsRef[Famille], MATCH(tbl_Ventes[[#This Row],[Cde_Prdt]], tbl_Produits[Cde_Prdt], 0)), "")</f>
        <v/>
      </c>
    </row>
    <row r="2107" spans="1:11" x14ac:dyDescent="0.25">
      <c r="A2107" s="5"/>
      <c r="B2107" s="63" t="str">
        <f>IFERROR(TEXT(tbl_Ventes[[#This Row],[Date]],"mm-aaaa"),"")</f>
        <v>01-1900</v>
      </c>
      <c r="D2107" s="10" t="str">
        <f>IFERROR(
   INDEX(tbl_ProduitsRef[Cde_Prdt],MATCH(tbl_Ventes[[#This Row],[Produit]],tbl_ProduitsRef[Produit],0)),
   ""
)</f>
        <v/>
      </c>
      <c r="E2107" s="7">
        <v>0</v>
      </c>
      <c r="F2107" s="7" t="str">
        <f>IFERROR(
   INDEX(tbl_ProduitsRef[Prix Menu],MATCH(tbl_Ventes[[#This Row],[Produit]],tbl_ProduitsRef[Produit],0)),
   ""
)</f>
        <v/>
      </c>
      <c r="G2107" s="7">
        <f>tbl_Ventes[[#This Row],[Qté Vendue]] * IFERROR(_xlfn.XLOOKUP(tbl_Ventes[[#This Row],[Cde_Prdt]], tbl_Produits[Cde_Prdt], tbl_Produits[Prix Menu]), 0)</f>
        <v>0</v>
      </c>
      <c r="H2107" s="7">
        <f>IFERROR(_xlfn.XLOOKUP(tbl_Ventes[[#This Row],[Cde_Prdt]], tbl_Produits[Cde_Prdt], tbl_Produits[Coût Moyen Portion]), 0)</f>
        <v>0</v>
      </c>
      <c r="I2107" s="7">
        <f>tbl_Ventes[[#This Row],[Qté Vendue]] * tbl_Ventes[[#This Row],[CMP_par_portion]]</f>
        <v>0</v>
      </c>
      <c r="J2107" s="7">
        <f>tbl_Ventes[[#This Row],[CA ligne]] - tbl_Ventes[[#This Row],[Coût matière ligne]]</f>
        <v>0</v>
      </c>
      <c r="K2107" s="7" t="str">
        <f>IFERROR(INDEX(tbl_ProduitsRef[Famille], MATCH(tbl_Ventes[[#This Row],[Cde_Prdt]], tbl_Produits[Cde_Prdt], 0)), "")</f>
        <v/>
      </c>
    </row>
    <row r="2108" spans="1:11" x14ac:dyDescent="0.25">
      <c r="A2108" s="5"/>
      <c r="B2108" s="63" t="str">
        <f>IFERROR(TEXT(tbl_Ventes[[#This Row],[Date]],"mm-aaaa"),"")</f>
        <v>01-1900</v>
      </c>
      <c r="D2108" s="10" t="str">
        <f>IFERROR(
   INDEX(tbl_ProduitsRef[Cde_Prdt],MATCH(tbl_Ventes[[#This Row],[Produit]],tbl_ProduitsRef[Produit],0)),
   ""
)</f>
        <v/>
      </c>
      <c r="E2108" s="7">
        <v>0</v>
      </c>
      <c r="F2108" s="7" t="str">
        <f>IFERROR(
   INDEX(tbl_ProduitsRef[Prix Menu],MATCH(tbl_Ventes[[#This Row],[Produit]],tbl_ProduitsRef[Produit],0)),
   ""
)</f>
        <v/>
      </c>
      <c r="G2108" s="7">
        <f>tbl_Ventes[[#This Row],[Qté Vendue]] * IFERROR(_xlfn.XLOOKUP(tbl_Ventes[[#This Row],[Cde_Prdt]], tbl_Produits[Cde_Prdt], tbl_Produits[Prix Menu]), 0)</f>
        <v>0</v>
      </c>
      <c r="H2108" s="7">
        <f>IFERROR(_xlfn.XLOOKUP(tbl_Ventes[[#This Row],[Cde_Prdt]], tbl_Produits[Cde_Prdt], tbl_Produits[Coût Moyen Portion]), 0)</f>
        <v>0</v>
      </c>
      <c r="I2108" s="7">
        <f>tbl_Ventes[[#This Row],[Qté Vendue]] * tbl_Ventes[[#This Row],[CMP_par_portion]]</f>
        <v>0</v>
      </c>
      <c r="J2108" s="7">
        <f>tbl_Ventes[[#This Row],[CA ligne]] - tbl_Ventes[[#This Row],[Coût matière ligne]]</f>
        <v>0</v>
      </c>
      <c r="K2108" s="7" t="str">
        <f>IFERROR(INDEX(tbl_ProduitsRef[Famille], MATCH(tbl_Ventes[[#This Row],[Cde_Prdt]], tbl_Produits[Cde_Prdt], 0)), "")</f>
        <v/>
      </c>
    </row>
    <row r="2109" spans="1:11" x14ac:dyDescent="0.25">
      <c r="A2109" s="5"/>
      <c r="B2109" s="63" t="str">
        <f>IFERROR(TEXT(tbl_Ventes[[#This Row],[Date]],"mm-aaaa"),"")</f>
        <v>01-1900</v>
      </c>
      <c r="D2109" s="10" t="str">
        <f>IFERROR(
   INDEX(tbl_ProduitsRef[Cde_Prdt],MATCH(tbl_Ventes[[#This Row],[Produit]],tbl_ProduitsRef[Produit],0)),
   ""
)</f>
        <v/>
      </c>
      <c r="E2109" s="7">
        <v>0</v>
      </c>
      <c r="F2109" s="7" t="str">
        <f>IFERROR(
   INDEX(tbl_ProduitsRef[Prix Menu],MATCH(tbl_Ventes[[#This Row],[Produit]],tbl_ProduitsRef[Produit],0)),
   ""
)</f>
        <v/>
      </c>
      <c r="G2109" s="7">
        <f>tbl_Ventes[[#This Row],[Qté Vendue]] * IFERROR(_xlfn.XLOOKUP(tbl_Ventes[[#This Row],[Cde_Prdt]], tbl_Produits[Cde_Prdt], tbl_Produits[Prix Menu]), 0)</f>
        <v>0</v>
      </c>
      <c r="H2109" s="7">
        <f>IFERROR(_xlfn.XLOOKUP(tbl_Ventes[[#This Row],[Cde_Prdt]], tbl_Produits[Cde_Prdt], tbl_Produits[Coût Moyen Portion]), 0)</f>
        <v>0</v>
      </c>
      <c r="I2109" s="7">
        <f>tbl_Ventes[[#This Row],[Qté Vendue]] * tbl_Ventes[[#This Row],[CMP_par_portion]]</f>
        <v>0</v>
      </c>
      <c r="J2109" s="7">
        <f>tbl_Ventes[[#This Row],[CA ligne]] - tbl_Ventes[[#This Row],[Coût matière ligne]]</f>
        <v>0</v>
      </c>
      <c r="K2109" s="7" t="str">
        <f>IFERROR(INDEX(tbl_ProduitsRef[Famille], MATCH(tbl_Ventes[[#This Row],[Cde_Prdt]], tbl_Produits[Cde_Prdt], 0)), "")</f>
        <v/>
      </c>
    </row>
    <row r="2110" spans="1:11" x14ac:dyDescent="0.25">
      <c r="A2110" s="5"/>
      <c r="B2110" s="63" t="str">
        <f>IFERROR(TEXT(tbl_Ventes[[#This Row],[Date]],"mm-aaaa"),"")</f>
        <v>01-1900</v>
      </c>
      <c r="D2110" s="10" t="str">
        <f>IFERROR(
   INDEX(tbl_ProduitsRef[Cde_Prdt],MATCH(tbl_Ventes[[#This Row],[Produit]],tbl_ProduitsRef[Produit],0)),
   ""
)</f>
        <v/>
      </c>
      <c r="E2110" s="7">
        <v>0</v>
      </c>
      <c r="F2110" s="7" t="str">
        <f>IFERROR(
   INDEX(tbl_ProduitsRef[Prix Menu],MATCH(tbl_Ventes[[#This Row],[Produit]],tbl_ProduitsRef[Produit],0)),
   ""
)</f>
        <v/>
      </c>
      <c r="G2110" s="7">
        <f>tbl_Ventes[[#This Row],[Qté Vendue]] * IFERROR(_xlfn.XLOOKUP(tbl_Ventes[[#This Row],[Cde_Prdt]], tbl_Produits[Cde_Prdt], tbl_Produits[Prix Menu]), 0)</f>
        <v>0</v>
      </c>
      <c r="H2110" s="7">
        <f>IFERROR(_xlfn.XLOOKUP(tbl_Ventes[[#This Row],[Cde_Prdt]], tbl_Produits[Cde_Prdt], tbl_Produits[Coût Moyen Portion]), 0)</f>
        <v>0</v>
      </c>
      <c r="I2110" s="7">
        <f>tbl_Ventes[[#This Row],[Qté Vendue]] * tbl_Ventes[[#This Row],[CMP_par_portion]]</f>
        <v>0</v>
      </c>
      <c r="J2110" s="7">
        <f>tbl_Ventes[[#This Row],[CA ligne]] - tbl_Ventes[[#This Row],[Coût matière ligne]]</f>
        <v>0</v>
      </c>
      <c r="K2110" s="7" t="str">
        <f>IFERROR(INDEX(tbl_ProduitsRef[Famille], MATCH(tbl_Ventes[[#This Row],[Cde_Prdt]], tbl_Produits[Cde_Prdt], 0)), "")</f>
        <v/>
      </c>
    </row>
    <row r="2111" spans="1:11" x14ac:dyDescent="0.25">
      <c r="A2111" s="5"/>
      <c r="B2111" s="63" t="str">
        <f>IFERROR(TEXT(tbl_Ventes[[#This Row],[Date]],"mm-aaaa"),"")</f>
        <v>01-1900</v>
      </c>
      <c r="D2111" s="10" t="str">
        <f>IFERROR(
   INDEX(tbl_ProduitsRef[Cde_Prdt],MATCH(tbl_Ventes[[#This Row],[Produit]],tbl_ProduitsRef[Produit],0)),
   ""
)</f>
        <v/>
      </c>
      <c r="E2111" s="7">
        <v>0</v>
      </c>
      <c r="F2111" s="7" t="str">
        <f>IFERROR(
   INDEX(tbl_ProduitsRef[Prix Menu],MATCH(tbl_Ventes[[#This Row],[Produit]],tbl_ProduitsRef[Produit],0)),
   ""
)</f>
        <v/>
      </c>
      <c r="G2111" s="7">
        <f>tbl_Ventes[[#This Row],[Qté Vendue]] * IFERROR(_xlfn.XLOOKUP(tbl_Ventes[[#This Row],[Cde_Prdt]], tbl_Produits[Cde_Prdt], tbl_Produits[Prix Menu]), 0)</f>
        <v>0</v>
      </c>
      <c r="H2111" s="7">
        <f>IFERROR(_xlfn.XLOOKUP(tbl_Ventes[[#This Row],[Cde_Prdt]], tbl_Produits[Cde_Prdt], tbl_Produits[Coût Moyen Portion]), 0)</f>
        <v>0</v>
      </c>
      <c r="I2111" s="7">
        <f>tbl_Ventes[[#This Row],[Qté Vendue]] * tbl_Ventes[[#This Row],[CMP_par_portion]]</f>
        <v>0</v>
      </c>
      <c r="J2111" s="7">
        <f>tbl_Ventes[[#This Row],[CA ligne]] - tbl_Ventes[[#This Row],[Coût matière ligne]]</f>
        <v>0</v>
      </c>
      <c r="K2111" s="7" t="str">
        <f>IFERROR(INDEX(tbl_ProduitsRef[Famille], MATCH(tbl_Ventes[[#This Row],[Cde_Prdt]], tbl_Produits[Cde_Prdt], 0)), "")</f>
        <v/>
      </c>
    </row>
    <row r="2112" spans="1:11" x14ac:dyDescent="0.25">
      <c r="A2112" s="5"/>
      <c r="B2112" s="63" t="str">
        <f>IFERROR(TEXT(tbl_Ventes[[#This Row],[Date]],"mm-aaaa"),"")</f>
        <v>01-1900</v>
      </c>
      <c r="D2112" s="10" t="str">
        <f>IFERROR(
   INDEX(tbl_ProduitsRef[Cde_Prdt],MATCH(tbl_Ventes[[#This Row],[Produit]],tbl_ProduitsRef[Produit],0)),
   ""
)</f>
        <v/>
      </c>
      <c r="E2112" s="7">
        <v>0</v>
      </c>
      <c r="F2112" s="7" t="str">
        <f>IFERROR(
   INDEX(tbl_ProduitsRef[Prix Menu],MATCH(tbl_Ventes[[#This Row],[Produit]],tbl_ProduitsRef[Produit],0)),
   ""
)</f>
        <v/>
      </c>
      <c r="G2112" s="7">
        <f>tbl_Ventes[[#This Row],[Qté Vendue]] * IFERROR(_xlfn.XLOOKUP(tbl_Ventes[[#This Row],[Cde_Prdt]], tbl_Produits[Cde_Prdt], tbl_Produits[Prix Menu]), 0)</f>
        <v>0</v>
      </c>
      <c r="H2112" s="7">
        <f>IFERROR(_xlfn.XLOOKUP(tbl_Ventes[[#This Row],[Cde_Prdt]], tbl_Produits[Cde_Prdt], tbl_Produits[Coût Moyen Portion]), 0)</f>
        <v>0</v>
      </c>
      <c r="I2112" s="7">
        <f>tbl_Ventes[[#This Row],[Qté Vendue]] * tbl_Ventes[[#This Row],[CMP_par_portion]]</f>
        <v>0</v>
      </c>
      <c r="J2112" s="7">
        <f>tbl_Ventes[[#This Row],[CA ligne]] - tbl_Ventes[[#This Row],[Coût matière ligne]]</f>
        <v>0</v>
      </c>
      <c r="K2112" s="7" t="str">
        <f>IFERROR(INDEX(tbl_ProduitsRef[Famille], MATCH(tbl_Ventes[[#This Row],[Cde_Prdt]], tbl_Produits[Cde_Prdt], 0)), "")</f>
        <v/>
      </c>
    </row>
    <row r="2113" spans="1:11" x14ac:dyDescent="0.25">
      <c r="A2113" s="5"/>
      <c r="B2113" s="63" t="str">
        <f>IFERROR(TEXT(tbl_Ventes[[#This Row],[Date]],"mm-aaaa"),"")</f>
        <v>01-1900</v>
      </c>
      <c r="D2113" s="10" t="str">
        <f>IFERROR(
   INDEX(tbl_ProduitsRef[Cde_Prdt],MATCH(tbl_Ventes[[#This Row],[Produit]],tbl_ProduitsRef[Produit],0)),
   ""
)</f>
        <v/>
      </c>
      <c r="E2113" s="7">
        <v>0</v>
      </c>
      <c r="F2113" s="7" t="str">
        <f>IFERROR(
   INDEX(tbl_ProduitsRef[Prix Menu],MATCH(tbl_Ventes[[#This Row],[Produit]],tbl_ProduitsRef[Produit],0)),
   ""
)</f>
        <v/>
      </c>
      <c r="G2113" s="7">
        <f>tbl_Ventes[[#This Row],[Qté Vendue]] * IFERROR(_xlfn.XLOOKUP(tbl_Ventes[[#This Row],[Cde_Prdt]], tbl_Produits[Cde_Prdt], tbl_Produits[Prix Menu]), 0)</f>
        <v>0</v>
      </c>
      <c r="H2113" s="7">
        <f>IFERROR(_xlfn.XLOOKUP(tbl_Ventes[[#This Row],[Cde_Prdt]], tbl_Produits[Cde_Prdt], tbl_Produits[Coût Moyen Portion]), 0)</f>
        <v>0</v>
      </c>
      <c r="I2113" s="7">
        <f>tbl_Ventes[[#This Row],[Qté Vendue]] * tbl_Ventes[[#This Row],[CMP_par_portion]]</f>
        <v>0</v>
      </c>
      <c r="J2113" s="7">
        <f>tbl_Ventes[[#This Row],[CA ligne]] - tbl_Ventes[[#This Row],[Coût matière ligne]]</f>
        <v>0</v>
      </c>
      <c r="K2113" s="7" t="str">
        <f>IFERROR(INDEX(tbl_ProduitsRef[Famille], MATCH(tbl_Ventes[[#This Row],[Cde_Prdt]], tbl_Produits[Cde_Prdt], 0)), "")</f>
        <v/>
      </c>
    </row>
    <row r="2114" spans="1:11" x14ac:dyDescent="0.25">
      <c r="A2114" s="5"/>
      <c r="B2114" s="63" t="str">
        <f>IFERROR(TEXT(tbl_Ventes[[#This Row],[Date]],"mm-aaaa"),"")</f>
        <v>01-1900</v>
      </c>
      <c r="D2114" s="10" t="str">
        <f>IFERROR(
   INDEX(tbl_ProduitsRef[Cde_Prdt],MATCH(tbl_Ventes[[#This Row],[Produit]],tbl_ProduitsRef[Produit],0)),
   ""
)</f>
        <v/>
      </c>
      <c r="E2114" s="7">
        <v>0</v>
      </c>
      <c r="F2114" s="7" t="str">
        <f>IFERROR(
   INDEX(tbl_ProduitsRef[Prix Menu],MATCH(tbl_Ventes[[#This Row],[Produit]],tbl_ProduitsRef[Produit],0)),
   ""
)</f>
        <v/>
      </c>
      <c r="G2114" s="7">
        <f>tbl_Ventes[[#This Row],[Qté Vendue]] * IFERROR(_xlfn.XLOOKUP(tbl_Ventes[[#This Row],[Cde_Prdt]], tbl_Produits[Cde_Prdt], tbl_Produits[Prix Menu]), 0)</f>
        <v>0</v>
      </c>
      <c r="H2114" s="7">
        <f>IFERROR(_xlfn.XLOOKUP(tbl_Ventes[[#This Row],[Cde_Prdt]], tbl_Produits[Cde_Prdt], tbl_Produits[Coût Moyen Portion]), 0)</f>
        <v>0</v>
      </c>
      <c r="I2114" s="7">
        <f>tbl_Ventes[[#This Row],[Qté Vendue]] * tbl_Ventes[[#This Row],[CMP_par_portion]]</f>
        <v>0</v>
      </c>
      <c r="J2114" s="7">
        <f>tbl_Ventes[[#This Row],[CA ligne]] - tbl_Ventes[[#This Row],[Coût matière ligne]]</f>
        <v>0</v>
      </c>
      <c r="K2114" s="7" t="str">
        <f>IFERROR(INDEX(tbl_ProduitsRef[Famille], MATCH(tbl_Ventes[[#This Row],[Cde_Prdt]], tbl_Produits[Cde_Prdt], 0)), "")</f>
        <v/>
      </c>
    </row>
    <row r="2115" spans="1:11" x14ac:dyDescent="0.25">
      <c r="A2115" s="5"/>
      <c r="B2115" s="63" t="str">
        <f>IFERROR(TEXT(tbl_Ventes[[#This Row],[Date]],"mm-aaaa"),"")</f>
        <v>01-1900</v>
      </c>
      <c r="D2115" s="10" t="str">
        <f>IFERROR(
   INDEX(tbl_ProduitsRef[Cde_Prdt],MATCH(tbl_Ventes[[#This Row],[Produit]],tbl_ProduitsRef[Produit],0)),
   ""
)</f>
        <v/>
      </c>
      <c r="E2115" s="7">
        <v>0</v>
      </c>
      <c r="F2115" s="7" t="str">
        <f>IFERROR(
   INDEX(tbl_ProduitsRef[Prix Menu],MATCH(tbl_Ventes[[#This Row],[Produit]],tbl_ProduitsRef[Produit],0)),
   ""
)</f>
        <v/>
      </c>
      <c r="G2115" s="7">
        <f>tbl_Ventes[[#This Row],[Qté Vendue]] * IFERROR(_xlfn.XLOOKUP(tbl_Ventes[[#This Row],[Cde_Prdt]], tbl_Produits[Cde_Prdt], tbl_Produits[Prix Menu]), 0)</f>
        <v>0</v>
      </c>
      <c r="H2115" s="7">
        <f>IFERROR(_xlfn.XLOOKUP(tbl_Ventes[[#This Row],[Cde_Prdt]], tbl_Produits[Cde_Prdt], tbl_Produits[Coût Moyen Portion]), 0)</f>
        <v>0</v>
      </c>
      <c r="I2115" s="7">
        <f>tbl_Ventes[[#This Row],[Qté Vendue]] * tbl_Ventes[[#This Row],[CMP_par_portion]]</f>
        <v>0</v>
      </c>
      <c r="J2115" s="7">
        <f>tbl_Ventes[[#This Row],[CA ligne]] - tbl_Ventes[[#This Row],[Coût matière ligne]]</f>
        <v>0</v>
      </c>
      <c r="K2115" s="7" t="str">
        <f>IFERROR(INDEX(tbl_ProduitsRef[Famille], MATCH(tbl_Ventes[[#This Row],[Cde_Prdt]], tbl_Produits[Cde_Prdt], 0)), "")</f>
        <v/>
      </c>
    </row>
    <row r="2116" spans="1:11" x14ac:dyDescent="0.25">
      <c r="A2116" s="5"/>
      <c r="B2116" s="63" t="str">
        <f>IFERROR(TEXT(tbl_Ventes[[#This Row],[Date]],"mm-aaaa"),"")</f>
        <v>01-1900</v>
      </c>
      <c r="D2116" s="10" t="str">
        <f>IFERROR(
   INDEX(tbl_ProduitsRef[Cde_Prdt],MATCH(tbl_Ventes[[#This Row],[Produit]],tbl_ProduitsRef[Produit],0)),
   ""
)</f>
        <v/>
      </c>
      <c r="E2116" s="7">
        <v>0</v>
      </c>
      <c r="F2116" s="7" t="str">
        <f>IFERROR(
   INDEX(tbl_ProduitsRef[Prix Menu],MATCH(tbl_Ventes[[#This Row],[Produit]],tbl_ProduitsRef[Produit],0)),
   ""
)</f>
        <v/>
      </c>
      <c r="G2116" s="7">
        <f>tbl_Ventes[[#This Row],[Qté Vendue]] * IFERROR(_xlfn.XLOOKUP(tbl_Ventes[[#This Row],[Cde_Prdt]], tbl_Produits[Cde_Prdt], tbl_Produits[Prix Menu]), 0)</f>
        <v>0</v>
      </c>
      <c r="H2116" s="7">
        <f>IFERROR(_xlfn.XLOOKUP(tbl_Ventes[[#This Row],[Cde_Prdt]], tbl_Produits[Cde_Prdt], tbl_Produits[Coût Moyen Portion]), 0)</f>
        <v>0</v>
      </c>
      <c r="I2116" s="7">
        <f>tbl_Ventes[[#This Row],[Qté Vendue]] * tbl_Ventes[[#This Row],[CMP_par_portion]]</f>
        <v>0</v>
      </c>
      <c r="J2116" s="7">
        <f>tbl_Ventes[[#This Row],[CA ligne]] - tbl_Ventes[[#This Row],[Coût matière ligne]]</f>
        <v>0</v>
      </c>
      <c r="K2116" s="7" t="str">
        <f>IFERROR(INDEX(tbl_ProduitsRef[Famille], MATCH(tbl_Ventes[[#This Row],[Cde_Prdt]], tbl_Produits[Cde_Prdt], 0)), "")</f>
        <v/>
      </c>
    </row>
    <row r="2117" spans="1:11" x14ac:dyDescent="0.25">
      <c r="A2117" s="5"/>
      <c r="B2117" s="63" t="str">
        <f>IFERROR(TEXT(tbl_Ventes[[#This Row],[Date]],"mm-aaaa"),"")</f>
        <v>01-1900</v>
      </c>
      <c r="D2117" s="10" t="str">
        <f>IFERROR(
   INDEX(tbl_ProduitsRef[Cde_Prdt],MATCH(tbl_Ventes[[#This Row],[Produit]],tbl_ProduitsRef[Produit],0)),
   ""
)</f>
        <v/>
      </c>
      <c r="E2117" s="7">
        <v>0</v>
      </c>
      <c r="F2117" s="7" t="str">
        <f>IFERROR(
   INDEX(tbl_ProduitsRef[Prix Menu],MATCH(tbl_Ventes[[#This Row],[Produit]],tbl_ProduitsRef[Produit],0)),
   ""
)</f>
        <v/>
      </c>
      <c r="G2117" s="7">
        <f>tbl_Ventes[[#This Row],[Qté Vendue]] * IFERROR(_xlfn.XLOOKUP(tbl_Ventes[[#This Row],[Cde_Prdt]], tbl_Produits[Cde_Prdt], tbl_Produits[Prix Menu]), 0)</f>
        <v>0</v>
      </c>
      <c r="H2117" s="7">
        <f>IFERROR(_xlfn.XLOOKUP(tbl_Ventes[[#This Row],[Cde_Prdt]], tbl_Produits[Cde_Prdt], tbl_Produits[Coût Moyen Portion]), 0)</f>
        <v>0</v>
      </c>
      <c r="I2117" s="7">
        <f>tbl_Ventes[[#This Row],[Qté Vendue]] * tbl_Ventes[[#This Row],[CMP_par_portion]]</f>
        <v>0</v>
      </c>
      <c r="J2117" s="7">
        <f>tbl_Ventes[[#This Row],[CA ligne]] - tbl_Ventes[[#This Row],[Coût matière ligne]]</f>
        <v>0</v>
      </c>
      <c r="K2117" s="7" t="str">
        <f>IFERROR(INDEX(tbl_ProduitsRef[Famille], MATCH(tbl_Ventes[[#This Row],[Cde_Prdt]], tbl_Produits[Cde_Prdt], 0)), "")</f>
        <v/>
      </c>
    </row>
    <row r="2118" spans="1:11" x14ac:dyDescent="0.25">
      <c r="A2118" s="5"/>
      <c r="B2118" s="63" t="str">
        <f>IFERROR(TEXT(tbl_Ventes[[#This Row],[Date]],"mm-aaaa"),"")</f>
        <v>01-1900</v>
      </c>
      <c r="D2118" s="10" t="str">
        <f>IFERROR(
   INDEX(tbl_ProduitsRef[Cde_Prdt],MATCH(tbl_Ventes[[#This Row],[Produit]],tbl_ProduitsRef[Produit],0)),
   ""
)</f>
        <v/>
      </c>
      <c r="E2118" s="7">
        <v>0</v>
      </c>
      <c r="F2118" s="7" t="str">
        <f>IFERROR(
   INDEX(tbl_ProduitsRef[Prix Menu],MATCH(tbl_Ventes[[#This Row],[Produit]],tbl_ProduitsRef[Produit],0)),
   ""
)</f>
        <v/>
      </c>
      <c r="G2118" s="7">
        <f>tbl_Ventes[[#This Row],[Qté Vendue]] * IFERROR(_xlfn.XLOOKUP(tbl_Ventes[[#This Row],[Cde_Prdt]], tbl_Produits[Cde_Prdt], tbl_Produits[Prix Menu]), 0)</f>
        <v>0</v>
      </c>
      <c r="H2118" s="7">
        <f>IFERROR(_xlfn.XLOOKUP(tbl_Ventes[[#This Row],[Cde_Prdt]], tbl_Produits[Cde_Prdt], tbl_Produits[Coût Moyen Portion]), 0)</f>
        <v>0</v>
      </c>
      <c r="I2118" s="7">
        <f>tbl_Ventes[[#This Row],[Qté Vendue]] * tbl_Ventes[[#This Row],[CMP_par_portion]]</f>
        <v>0</v>
      </c>
      <c r="J2118" s="7">
        <f>tbl_Ventes[[#This Row],[CA ligne]] - tbl_Ventes[[#This Row],[Coût matière ligne]]</f>
        <v>0</v>
      </c>
      <c r="K2118" s="7" t="str">
        <f>IFERROR(INDEX(tbl_ProduitsRef[Famille], MATCH(tbl_Ventes[[#This Row],[Cde_Prdt]], tbl_Produits[Cde_Prdt], 0)), "")</f>
        <v/>
      </c>
    </row>
    <row r="2119" spans="1:11" x14ac:dyDescent="0.25">
      <c r="A2119" s="5"/>
      <c r="B2119" s="63" t="str">
        <f>IFERROR(TEXT(tbl_Ventes[[#This Row],[Date]],"mm-aaaa"),"")</f>
        <v>01-1900</v>
      </c>
      <c r="D2119" s="10" t="str">
        <f>IFERROR(
   INDEX(tbl_ProduitsRef[Cde_Prdt],MATCH(tbl_Ventes[[#This Row],[Produit]],tbl_ProduitsRef[Produit],0)),
   ""
)</f>
        <v/>
      </c>
      <c r="E2119" s="7">
        <v>0</v>
      </c>
      <c r="F2119" s="7" t="str">
        <f>IFERROR(
   INDEX(tbl_ProduitsRef[Prix Menu],MATCH(tbl_Ventes[[#This Row],[Produit]],tbl_ProduitsRef[Produit],0)),
   ""
)</f>
        <v/>
      </c>
      <c r="G2119" s="7">
        <f>tbl_Ventes[[#This Row],[Qté Vendue]] * IFERROR(_xlfn.XLOOKUP(tbl_Ventes[[#This Row],[Cde_Prdt]], tbl_Produits[Cde_Prdt], tbl_Produits[Prix Menu]), 0)</f>
        <v>0</v>
      </c>
      <c r="H2119" s="7">
        <f>IFERROR(_xlfn.XLOOKUP(tbl_Ventes[[#This Row],[Cde_Prdt]], tbl_Produits[Cde_Prdt], tbl_Produits[Coût Moyen Portion]), 0)</f>
        <v>0</v>
      </c>
      <c r="I2119" s="7">
        <f>tbl_Ventes[[#This Row],[Qté Vendue]] * tbl_Ventes[[#This Row],[CMP_par_portion]]</f>
        <v>0</v>
      </c>
      <c r="J2119" s="7">
        <f>tbl_Ventes[[#This Row],[CA ligne]] - tbl_Ventes[[#This Row],[Coût matière ligne]]</f>
        <v>0</v>
      </c>
      <c r="K2119" s="7" t="str">
        <f>IFERROR(INDEX(tbl_ProduitsRef[Famille], MATCH(tbl_Ventes[[#This Row],[Cde_Prdt]], tbl_Produits[Cde_Prdt], 0)), "")</f>
        <v/>
      </c>
    </row>
    <row r="2120" spans="1:11" x14ac:dyDescent="0.25">
      <c r="A2120" s="5"/>
      <c r="B2120" s="63" t="str">
        <f>IFERROR(TEXT(tbl_Ventes[[#This Row],[Date]],"mm-aaaa"),"")</f>
        <v>01-1900</v>
      </c>
      <c r="D2120" s="10" t="str">
        <f>IFERROR(
   INDEX(tbl_ProduitsRef[Cde_Prdt],MATCH(tbl_Ventes[[#This Row],[Produit]],tbl_ProduitsRef[Produit],0)),
   ""
)</f>
        <v/>
      </c>
      <c r="E2120" s="7">
        <v>0</v>
      </c>
      <c r="F2120" s="7" t="str">
        <f>IFERROR(
   INDEX(tbl_ProduitsRef[Prix Menu],MATCH(tbl_Ventes[[#This Row],[Produit]],tbl_ProduitsRef[Produit],0)),
   ""
)</f>
        <v/>
      </c>
      <c r="G2120" s="7">
        <f>tbl_Ventes[[#This Row],[Qté Vendue]] * IFERROR(_xlfn.XLOOKUP(tbl_Ventes[[#This Row],[Cde_Prdt]], tbl_Produits[Cde_Prdt], tbl_Produits[Prix Menu]), 0)</f>
        <v>0</v>
      </c>
      <c r="H2120" s="7">
        <f>IFERROR(_xlfn.XLOOKUP(tbl_Ventes[[#This Row],[Cde_Prdt]], tbl_Produits[Cde_Prdt], tbl_Produits[Coût Moyen Portion]), 0)</f>
        <v>0</v>
      </c>
      <c r="I2120" s="7">
        <f>tbl_Ventes[[#This Row],[Qté Vendue]] * tbl_Ventes[[#This Row],[CMP_par_portion]]</f>
        <v>0</v>
      </c>
      <c r="J2120" s="7">
        <f>tbl_Ventes[[#This Row],[CA ligne]] - tbl_Ventes[[#This Row],[Coût matière ligne]]</f>
        <v>0</v>
      </c>
      <c r="K2120" s="7" t="str">
        <f>IFERROR(INDEX(tbl_ProduitsRef[Famille], MATCH(tbl_Ventes[[#This Row],[Cde_Prdt]], tbl_Produits[Cde_Prdt], 0)), "")</f>
        <v/>
      </c>
    </row>
    <row r="2121" spans="1:11" x14ac:dyDescent="0.25">
      <c r="A2121" s="5"/>
      <c r="B2121" s="63" t="str">
        <f>IFERROR(TEXT(tbl_Ventes[[#This Row],[Date]],"mm-aaaa"),"")</f>
        <v>01-1900</v>
      </c>
      <c r="D2121" s="10" t="str">
        <f>IFERROR(
   INDEX(tbl_ProduitsRef[Cde_Prdt],MATCH(tbl_Ventes[[#This Row],[Produit]],tbl_ProduitsRef[Produit],0)),
   ""
)</f>
        <v/>
      </c>
      <c r="E2121" s="7">
        <v>0</v>
      </c>
      <c r="F2121" s="7" t="str">
        <f>IFERROR(
   INDEX(tbl_ProduitsRef[Prix Menu],MATCH(tbl_Ventes[[#This Row],[Produit]],tbl_ProduitsRef[Produit],0)),
   ""
)</f>
        <v/>
      </c>
      <c r="G2121" s="7">
        <f>tbl_Ventes[[#This Row],[Qté Vendue]] * IFERROR(_xlfn.XLOOKUP(tbl_Ventes[[#This Row],[Cde_Prdt]], tbl_Produits[Cde_Prdt], tbl_Produits[Prix Menu]), 0)</f>
        <v>0</v>
      </c>
      <c r="H2121" s="7">
        <f>IFERROR(_xlfn.XLOOKUP(tbl_Ventes[[#This Row],[Cde_Prdt]], tbl_Produits[Cde_Prdt], tbl_Produits[Coût Moyen Portion]), 0)</f>
        <v>0</v>
      </c>
      <c r="I2121" s="7">
        <f>tbl_Ventes[[#This Row],[Qté Vendue]] * tbl_Ventes[[#This Row],[CMP_par_portion]]</f>
        <v>0</v>
      </c>
      <c r="J2121" s="7">
        <f>tbl_Ventes[[#This Row],[CA ligne]] - tbl_Ventes[[#This Row],[Coût matière ligne]]</f>
        <v>0</v>
      </c>
      <c r="K2121" s="7" t="str">
        <f>IFERROR(INDEX(tbl_ProduitsRef[Famille], MATCH(tbl_Ventes[[#This Row],[Cde_Prdt]], tbl_Produits[Cde_Prdt], 0)), "")</f>
        <v/>
      </c>
    </row>
    <row r="2122" spans="1:11" x14ac:dyDescent="0.25">
      <c r="A2122" s="5"/>
      <c r="B2122" s="63" t="str">
        <f>IFERROR(TEXT(tbl_Ventes[[#This Row],[Date]],"mm-aaaa"),"")</f>
        <v>01-1900</v>
      </c>
      <c r="D2122" s="10" t="str">
        <f>IFERROR(
   INDEX(tbl_ProduitsRef[Cde_Prdt],MATCH(tbl_Ventes[[#This Row],[Produit]],tbl_ProduitsRef[Produit],0)),
   ""
)</f>
        <v/>
      </c>
      <c r="E2122" s="7">
        <v>0</v>
      </c>
      <c r="F2122" s="7" t="str">
        <f>IFERROR(
   INDEX(tbl_ProduitsRef[Prix Menu],MATCH(tbl_Ventes[[#This Row],[Produit]],tbl_ProduitsRef[Produit],0)),
   ""
)</f>
        <v/>
      </c>
      <c r="G2122" s="7">
        <f>tbl_Ventes[[#This Row],[Qté Vendue]] * IFERROR(_xlfn.XLOOKUP(tbl_Ventes[[#This Row],[Cde_Prdt]], tbl_Produits[Cde_Prdt], tbl_Produits[Prix Menu]), 0)</f>
        <v>0</v>
      </c>
      <c r="H2122" s="7">
        <f>IFERROR(_xlfn.XLOOKUP(tbl_Ventes[[#This Row],[Cde_Prdt]], tbl_Produits[Cde_Prdt], tbl_Produits[Coût Moyen Portion]), 0)</f>
        <v>0</v>
      </c>
      <c r="I2122" s="7">
        <f>tbl_Ventes[[#This Row],[Qté Vendue]] * tbl_Ventes[[#This Row],[CMP_par_portion]]</f>
        <v>0</v>
      </c>
      <c r="J2122" s="7">
        <f>tbl_Ventes[[#This Row],[CA ligne]] - tbl_Ventes[[#This Row],[Coût matière ligne]]</f>
        <v>0</v>
      </c>
      <c r="K2122" s="7" t="str">
        <f>IFERROR(INDEX(tbl_ProduitsRef[Famille], MATCH(tbl_Ventes[[#This Row],[Cde_Prdt]], tbl_Produits[Cde_Prdt], 0)), "")</f>
        <v/>
      </c>
    </row>
    <row r="2123" spans="1:11" x14ac:dyDescent="0.25">
      <c r="A2123" s="5"/>
      <c r="B2123" s="63" t="str">
        <f>IFERROR(TEXT(tbl_Ventes[[#This Row],[Date]],"mm-aaaa"),"")</f>
        <v>01-1900</v>
      </c>
      <c r="D2123" s="10" t="str">
        <f>IFERROR(
   INDEX(tbl_ProduitsRef[Cde_Prdt],MATCH(tbl_Ventes[[#This Row],[Produit]],tbl_ProduitsRef[Produit],0)),
   ""
)</f>
        <v/>
      </c>
      <c r="E2123" s="7">
        <v>0</v>
      </c>
      <c r="F2123" s="7" t="str">
        <f>IFERROR(
   INDEX(tbl_ProduitsRef[Prix Menu],MATCH(tbl_Ventes[[#This Row],[Produit]],tbl_ProduitsRef[Produit],0)),
   ""
)</f>
        <v/>
      </c>
      <c r="G2123" s="7">
        <f>tbl_Ventes[[#This Row],[Qté Vendue]] * IFERROR(_xlfn.XLOOKUP(tbl_Ventes[[#This Row],[Cde_Prdt]], tbl_Produits[Cde_Prdt], tbl_Produits[Prix Menu]), 0)</f>
        <v>0</v>
      </c>
      <c r="H2123" s="7">
        <f>IFERROR(_xlfn.XLOOKUP(tbl_Ventes[[#This Row],[Cde_Prdt]], tbl_Produits[Cde_Prdt], tbl_Produits[Coût Moyen Portion]), 0)</f>
        <v>0</v>
      </c>
      <c r="I2123" s="7">
        <f>tbl_Ventes[[#This Row],[Qté Vendue]] * tbl_Ventes[[#This Row],[CMP_par_portion]]</f>
        <v>0</v>
      </c>
      <c r="J2123" s="7">
        <f>tbl_Ventes[[#This Row],[CA ligne]] - tbl_Ventes[[#This Row],[Coût matière ligne]]</f>
        <v>0</v>
      </c>
      <c r="K2123" s="7" t="str">
        <f>IFERROR(INDEX(tbl_ProduitsRef[Famille], MATCH(tbl_Ventes[[#This Row],[Cde_Prdt]], tbl_Produits[Cde_Prdt], 0)), "")</f>
        <v/>
      </c>
    </row>
    <row r="2124" spans="1:11" x14ac:dyDescent="0.25">
      <c r="A2124" s="5"/>
      <c r="B2124" s="63" t="str">
        <f>IFERROR(TEXT(tbl_Ventes[[#This Row],[Date]],"mm-aaaa"),"")</f>
        <v>01-1900</v>
      </c>
      <c r="D2124" s="10" t="str">
        <f>IFERROR(
   INDEX(tbl_ProduitsRef[Cde_Prdt],MATCH(tbl_Ventes[[#This Row],[Produit]],tbl_ProduitsRef[Produit],0)),
   ""
)</f>
        <v/>
      </c>
      <c r="E2124" s="7">
        <v>0</v>
      </c>
      <c r="F2124" s="7" t="str">
        <f>IFERROR(
   INDEX(tbl_ProduitsRef[Prix Menu],MATCH(tbl_Ventes[[#This Row],[Produit]],tbl_ProduitsRef[Produit],0)),
   ""
)</f>
        <v/>
      </c>
      <c r="G2124" s="7">
        <f>tbl_Ventes[[#This Row],[Qté Vendue]] * IFERROR(_xlfn.XLOOKUP(tbl_Ventes[[#This Row],[Cde_Prdt]], tbl_Produits[Cde_Prdt], tbl_Produits[Prix Menu]), 0)</f>
        <v>0</v>
      </c>
      <c r="H2124" s="7">
        <f>IFERROR(_xlfn.XLOOKUP(tbl_Ventes[[#This Row],[Cde_Prdt]], tbl_Produits[Cde_Prdt], tbl_Produits[Coût Moyen Portion]), 0)</f>
        <v>0</v>
      </c>
      <c r="I2124" s="7">
        <f>tbl_Ventes[[#This Row],[Qté Vendue]] * tbl_Ventes[[#This Row],[CMP_par_portion]]</f>
        <v>0</v>
      </c>
      <c r="J2124" s="7">
        <f>tbl_Ventes[[#This Row],[CA ligne]] - tbl_Ventes[[#This Row],[Coût matière ligne]]</f>
        <v>0</v>
      </c>
      <c r="K2124" s="7" t="str">
        <f>IFERROR(INDEX(tbl_ProduitsRef[Famille], MATCH(tbl_Ventes[[#This Row],[Cde_Prdt]], tbl_Produits[Cde_Prdt], 0)), "")</f>
        <v/>
      </c>
    </row>
    <row r="2125" spans="1:11" x14ac:dyDescent="0.25">
      <c r="A2125" s="5"/>
      <c r="B2125" s="63" t="str">
        <f>IFERROR(TEXT(tbl_Ventes[[#This Row],[Date]],"mm-aaaa"),"")</f>
        <v>01-1900</v>
      </c>
      <c r="D2125" s="10" t="str">
        <f>IFERROR(
   INDEX(tbl_ProduitsRef[Cde_Prdt],MATCH(tbl_Ventes[[#This Row],[Produit]],tbl_ProduitsRef[Produit],0)),
   ""
)</f>
        <v/>
      </c>
      <c r="E2125" s="7">
        <v>0</v>
      </c>
      <c r="F2125" s="7" t="str">
        <f>IFERROR(
   INDEX(tbl_ProduitsRef[Prix Menu],MATCH(tbl_Ventes[[#This Row],[Produit]],tbl_ProduitsRef[Produit],0)),
   ""
)</f>
        <v/>
      </c>
      <c r="G2125" s="7">
        <f>tbl_Ventes[[#This Row],[Qté Vendue]] * IFERROR(_xlfn.XLOOKUP(tbl_Ventes[[#This Row],[Cde_Prdt]], tbl_Produits[Cde_Prdt], tbl_Produits[Prix Menu]), 0)</f>
        <v>0</v>
      </c>
      <c r="H2125" s="7">
        <f>IFERROR(_xlfn.XLOOKUP(tbl_Ventes[[#This Row],[Cde_Prdt]], tbl_Produits[Cde_Prdt], tbl_Produits[Coût Moyen Portion]), 0)</f>
        <v>0</v>
      </c>
      <c r="I2125" s="7">
        <f>tbl_Ventes[[#This Row],[Qté Vendue]] * tbl_Ventes[[#This Row],[CMP_par_portion]]</f>
        <v>0</v>
      </c>
      <c r="J2125" s="7">
        <f>tbl_Ventes[[#This Row],[CA ligne]] - tbl_Ventes[[#This Row],[Coût matière ligne]]</f>
        <v>0</v>
      </c>
      <c r="K2125" s="7" t="str">
        <f>IFERROR(INDEX(tbl_ProduitsRef[Famille], MATCH(tbl_Ventes[[#This Row],[Cde_Prdt]], tbl_Produits[Cde_Prdt], 0)), "")</f>
        <v/>
      </c>
    </row>
    <row r="2126" spans="1:11" x14ac:dyDescent="0.25">
      <c r="A2126" s="5"/>
      <c r="B2126" s="63" t="str">
        <f>IFERROR(TEXT(tbl_Ventes[[#This Row],[Date]],"mm-aaaa"),"")</f>
        <v>01-1900</v>
      </c>
      <c r="D2126" s="10" t="str">
        <f>IFERROR(
   INDEX(tbl_ProduitsRef[Cde_Prdt],MATCH(tbl_Ventes[[#This Row],[Produit]],tbl_ProduitsRef[Produit],0)),
   ""
)</f>
        <v/>
      </c>
      <c r="E2126" s="7">
        <v>0</v>
      </c>
      <c r="F2126" s="7" t="str">
        <f>IFERROR(
   INDEX(tbl_ProduitsRef[Prix Menu],MATCH(tbl_Ventes[[#This Row],[Produit]],tbl_ProduitsRef[Produit],0)),
   ""
)</f>
        <v/>
      </c>
      <c r="G2126" s="7">
        <f>tbl_Ventes[[#This Row],[Qté Vendue]] * IFERROR(_xlfn.XLOOKUP(tbl_Ventes[[#This Row],[Cde_Prdt]], tbl_Produits[Cde_Prdt], tbl_Produits[Prix Menu]), 0)</f>
        <v>0</v>
      </c>
      <c r="H2126" s="7">
        <f>IFERROR(_xlfn.XLOOKUP(tbl_Ventes[[#This Row],[Cde_Prdt]], tbl_Produits[Cde_Prdt], tbl_Produits[Coût Moyen Portion]), 0)</f>
        <v>0</v>
      </c>
      <c r="I2126" s="7">
        <f>tbl_Ventes[[#This Row],[Qté Vendue]] * tbl_Ventes[[#This Row],[CMP_par_portion]]</f>
        <v>0</v>
      </c>
      <c r="J2126" s="7">
        <f>tbl_Ventes[[#This Row],[CA ligne]] - tbl_Ventes[[#This Row],[Coût matière ligne]]</f>
        <v>0</v>
      </c>
      <c r="K2126" s="7" t="str">
        <f>IFERROR(INDEX(tbl_ProduitsRef[Famille], MATCH(tbl_Ventes[[#This Row],[Cde_Prdt]], tbl_Produits[Cde_Prdt], 0)), "")</f>
        <v/>
      </c>
    </row>
    <row r="2127" spans="1:11" x14ac:dyDescent="0.25">
      <c r="A2127" s="5"/>
      <c r="B2127" s="63" t="str">
        <f>IFERROR(TEXT(tbl_Ventes[[#This Row],[Date]],"mm-aaaa"),"")</f>
        <v>01-1900</v>
      </c>
      <c r="D2127" s="10" t="str">
        <f>IFERROR(
   INDEX(tbl_ProduitsRef[Cde_Prdt],MATCH(tbl_Ventes[[#This Row],[Produit]],tbl_ProduitsRef[Produit],0)),
   ""
)</f>
        <v/>
      </c>
      <c r="E2127" s="7">
        <v>0</v>
      </c>
      <c r="F2127" s="7" t="str">
        <f>IFERROR(
   INDEX(tbl_ProduitsRef[Prix Menu],MATCH(tbl_Ventes[[#This Row],[Produit]],tbl_ProduitsRef[Produit],0)),
   ""
)</f>
        <v/>
      </c>
      <c r="G2127" s="7">
        <f>tbl_Ventes[[#This Row],[Qté Vendue]] * IFERROR(_xlfn.XLOOKUP(tbl_Ventes[[#This Row],[Cde_Prdt]], tbl_Produits[Cde_Prdt], tbl_Produits[Prix Menu]), 0)</f>
        <v>0</v>
      </c>
      <c r="H2127" s="7">
        <f>IFERROR(_xlfn.XLOOKUP(tbl_Ventes[[#This Row],[Cde_Prdt]], tbl_Produits[Cde_Prdt], tbl_Produits[Coût Moyen Portion]), 0)</f>
        <v>0</v>
      </c>
      <c r="I2127" s="7">
        <f>tbl_Ventes[[#This Row],[Qté Vendue]] * tbl_Ventes[[#This Row],[CMP_par_portion]]</f>
        <v>0</v>
      </c>
      <c r="J2127" s="7">
        <f>tbl_Ventes[[#This Row],[CA ligne]] - tbl_Ventes[[#This Row],[Coût matière ligne]]</f>
        <v>0</v>
      </c>
      <c r="K2127" s="7" t="str">
        <f>IFERROR(INDEX(tbl_ProduitsRef[Famille], MATCH(tbl_Ventes[[#This Row],[Cde_Prdt]], tbl_Produits[Cde_Prdt], 0)), "")</f>
        <v/>
      </c>
    </row>
    <row r="2128" spans="1:11" x14ac:dyDescent="0.25">
      <c r="A2128" s="5"/>
      <c r="B2128" s="63" t="str">
        <f>IFERROR(TEXT(tbl_Ventes[[#This Row],[Date]],"mm-aaaa"),"")</f>
        <v>01-1900</v>
      </c>
      <c r="D2128" s="10" t="str">
        <f>IFERROR(
   INDEX(tbl_ProduitsRef[Cde_Prdt],MATCH(tbl_Ventes[[#This Row],[Produit]],tbl_ProduitsRef[Produit],0)),
   ""
)</f>
        <v/>
      </c>
      <c r="E2128" s="7">
        <v>0</v>
      </c>
      <c r="F2128" s="7" t="str">
        <f>IFERROR(
   INDEX(tbl_ProduitsRef[Prix Menu],MATCH(tbl_Ventes[[#This Row],[Produit]],tbl_ProduitsRef[Produit],0)),
   ""
)</f>
        <v/>
      </c>
      <c r="G2128" s="7">
        <f>tbl_Ventes[[#This Row],[Qté Vendue]] * IFERROR(_xlfn.XLOOKUP(tbl_Ventes[[#This Row],[Cde_Prdt]], tbl_Produits[Cde_Prdt], tbl_Produits[Prix Menu]), 0)</f>
        <v>0</v>
      </c>
      <c r="H2128" s="7">
        <f>IFERROR(_xlfn.XLOOKUP(tbl_Ventes[[#This Row],[Cde_Prdt]], tbl_Produits[Cde_Prdt], tbl_Produits[Coût Moyen Portion]), 0)</f>
        <v>0</v>
      </c>
      <c r="I2128" s="7">
        <f>tbl_Ventes[[#This Row],[Qté Vendue]] * tbl_Ventes[[#This Row],[CMP_par_portion]]</f>
        <v>0</v>
      </c>
      <c r="J2128" s="7">
        <f>tbl_Ventes[[#This Row],[CA ligne]] - tbl_Ventes[[#This Row],[Coût matière ligne]]</f>
        <v>0</v>
      </c>
      <c r="K2128" s="7" t="str">
        <f>IFERROR(INDEX(tbl_ProduitsRef[Famille], MATCH(tbl_Ventes[[#This Row],[Cde_Prdt]], tbl_Produits[Cde_Prdt], 0)), "")</f>
        <v/>
      </c>
    </row>
    <row r="2129" spans="1:11" x14ac:dyDescent="0.25">
      <c r="A2129" s="5"/>
      <c r="B2129" s="63" t="str">
        <f>IFERROR(TEXT(tbl_Ventes[[#This Row],[Date]],"mm-aaaa"),"")</f>
        <v>01-1900</v>
      </c>
      <c r="D2129" s="10" t="str">
        <f>IFERROR(
   INDEX(tbl_ProduitsRef[Cde_Prdt],MATCH(tbl_Ventes[[#This Row],[Produit]],tbl_ProduitsRef[Produit],0)),
   ""
)</f>
        <v/>
      </c>
      <c r="E2129" s="7">
        <v>0</v>
      </c>
      <c r="F2129" s="7" t="str">
        <f>IFERROR(
   INDEX(tbl_ProduitsRef[Prix Menu],MATCH(tbl_Ventes[[#This Row],[Produit]],tbl_ProduitsRef[Produit],0)),
   ""
)</f>
        <v/>
      </c>
      <c r="G2129" s="7">
        <f>tbl_Ventes[[#This Row],[Qté Vendue]] * IFERROR(_xlfn.XLOOKUP(tbl_Ventes[[#This Row],[Cde_Prdt]], tbl_Produits[Cde_Prdt], tbl_Produits[Prix Menu]), 0)</f>
        <v>0</v>
      </c>
      <c r="H2129" s="7">
        <f>IFERROR(_xlfn.XLOOKUP(tbl_Ventes[[#This Row],[Cde_Prdt]], tbl_Produits[Cde_Prdt], tbl_Produits[Coût Moyen Portion]), 0)</f>
        <v>0</v>
      </c>
      <c r="I2129" s="7">
        <f>tbl_Ventes[[#This Row],[Qté Vendue]] * tbl_Ventes[[#This Row],[CMP_par_portion]]</f>
        <v>0</v>
      </c>
      <c r="J2129" s="7">
        <f>tbl_Ventes[[#This Row],[CA ligne]] - tbl_Ventes[[#This Row],[Coût matière ligne]]</f>
        <v>0</v>
      </c>
      <c r="K2129" s="7" t="str">
        <f>IFERROR(INDEX(tbl_ProduitsRef[Famille], MATCH(tbl_Ventes[[#This Row],[Cde_Prdt]], tbl_Produits[Cde_Prdt], 0)), "")</f>
        <v/>
      </c>
    </row>
    <row r="2130" spans="1:11" x14ac:dyDescent="0.25">
      <c r="A2130" s="5"/>
      <c r="B2130" s="63" t="str">
        <f>IFERROR(TEXT(tbl_Ventes[[#This Row],[Date]],"mm-aaaa"),"")</f>
        <v>01-1900</v>
      </c>
      <c r="D2130" s="10" t="str">
        <f>IFERROR(
   INDEX(tbl_ProduitsRef[Cde_Prdt],MATCH(tbl_Ventes[[#This Row],[Produit]],tbl_ProduitsRef[Produit],0)),
   ""
)</f>
        <v/>
      </c>
      <c r="E2130" s="7">
        <v>0</v>
      </c>
      <c r="F2130" s="7" t="str">
        <f>IFERROR(
   INDEX(tbl_ProduitsRef[Prix Menu],MATCH(tbl_Ventes[[#This Row],[Produit]],tbl_ProduitsRef[Produit],0)),
   ""
)</f>
        <v/>
      </c>
      <c r="G2130" s="7">
        <f>tbl_Ventes[[#This Row],[Qté Vendue]] * IFERROR(_xlfn.XLOOKUP(tbl_Ventes[[#This Row],[Cde_Prdt]], tbl_Produits[Cde_Prdt], tbl_Produits[Prix Menu]), 0)</f>
        <v>0</v>
      </c>
      <c r="H2130" s="7">
        <f>IFERROR(_xlfn.XLOOKUP(tbl_Ventes[[#This Row],[Cde_Prdt]], tbl_Produits[Cde_Prdt], tbl_Produits[Coût Moyen Portion]), 0)</f>
        <v>0</v>
      </c>
      <c r="I2130" s="7">
        <f>tbl_Ventes[[#This Row],[Qté Vendue]] * tbl_Ventes[[#This Row],[CMP_par_portion]]</f>
        <v>0</v>
      </c>
      <c r="J2130" s="7">
        <f>tbl_Ventes[[#This Row],[CA ligne]] - tbl_Ventes[[#This Row],[Coût matière ligne]]</f>
        <v>0</v>
      </c>
      <c r="K2130" s="7" t="str">
        <f>IFERROR(INDEX(tbl_ProduitsRef[Famille], MATCH(tbl_Ventes[[#This Row],[Cde_Prdt]], tbl_Produits[Cde_Prdt], 0)), "")</f>
        <v/>
      </c>
    </row>
    <row r="2131" spans="1:11" x14ac:dyDescent="0.25">
      <c r="A2131" s="5"/>
      <c r="B2131" s="63" t="str">
        <f>IFERROR(TEXT(tbl_Ventes[[#This Row],[Date]],"mm-aaaa"),"")</f>
        <v>01-1900</v>
      </c>
      <c r="D2131" s="10" t="str">
        <f>IFERROR(
   INDEX(tbl_ProduitsRef[Cde_Prdt],MATCH(tbl_Ventes[[#This Row],[Produit]],tbl_ProduitsRef[Produit],0)),
   ""
)</f>
        <v/>
      </c>
      <c r="E2131" s="7">
        <v>0</v>
      </c>
      <c r="F2131" s="7" t="str">
        <f>IFERROR(
   INDEX(tbl_ProduitsRef[Prix Menu],MATCH(tbl_Ventes[[#This Row],[Produit]],tbl_ProduitsRef[Produit],0)),
   ""
)</f>
        <v/>
      </c>
      <c r="G2131" s="7">
        <f>tbl_Ventes[[#This Row],[Qté Vendue]] * IFERROR(_xlfn.XLOOKUP(tbl_Ventes[[#This Row],[Cde_Prdt]], tbl_Produits[Cde_Prdt], tbl_Produits[Prix Menu]), 0)</f>
        <v>0</v>
      </c>
      <c r="H2131" s="7">
        <f>IFERROR(_xlfn.XLOOKUP(tbl_Ventes[[#This Row],[Cde_Prdt]], tbl_Produits[Cde_Prdt], tbl_Produits[Coût Moyen Portion]), 0)</f>
        <v>0</v>
      </c>
      <c r="I2131" s="7">
        <f>tbl_Ventes[[#This Row],[Qté Vendue]] * tbl_Ventes[[#This Row],[CMP_par_portion]]</f>
        <v>0</v>
      </c>
      <c r="J2131" s="7">
        <f>tbl_Ventes[[#This Row],[CA ligne]] - tbl_Ventes[[#This Row],[Coût matière ligne]]</f>
        <v>0</v>
      </c>
      <c r="K2131" s="7" t="str">
        <f>IFERROR(INDEX(tbl_ProduitsRef[Famille], MATCH(tbl_Ventes[[#This Row],[Cde_Prdt]], tbl_Produits[Cde_Prdt], 0)), "")</f>
        <v/>
      </c>
    </row>
    <row r="2132" spans="1:11" x14ac:dyDescent="0.25">
      <c r="A2132" s="5"/>
      <c r="B2132" s="63" t="str">
        <f>IFERROR(TEXT(tbl_Ventes[[#This Row],[Date]],"mm-aaaa"),"")</f>
        <v>01-1900</v>
      </c>
      <c r="D2132" s="10" t="str">
        <f>IFERROR(
   INDEX(tbl_ProduitsRef[Cde_Prdt],MATCH(tbl_Ventes[[#This Row],[Produit]],tbl_ProduitsRef[Produit],0)),
   ""
)</f>
        <v/>
      </c>
      <c r="E2132" s="7">
        <v>0</v>
      </c>
      <c r="F2132" s="7" t="str">
        <f>IFERROR(
   INDEX(tbl_ProduitsRef[Prix Menu],MATCH(tbl_Ventes[[#This Row],[Produit]],tbl_ProduitsRef[Produit],0)),
   ""
)</f>
        <v/>
      </c>
      <c r="G2132" s="7">
        <f>tbl_Ventes[[#This Row],[Qté Vendue]] * IFERROR(_xlfn.XLOOKUP(tbl_Ventes[[#This Row],[Cde_Prdt]], tbl_Produits[Cde_Prdt], tbl_Produits[Prix Menu]), 0)</f>
        <v>0</v>
      </c>
      <c r="H2132" s="7">
        <f>IFERROR(_xlfn.XLOOKUP(tbl_Ventes[[#This Row],[Cde_Prdt]], tbl_Produits[Cde_Prdt], tbl_Produits[Coût Moyen Portion]), 0)</f>
        <v>0</v>
      </c>
      <c r="I2132" s="7">
        <f>tbl_Ventes[[#This Row],[Qté Vendue]] * tbl_Ventes[[#This Row],[CMP_par_portion]]</f>
        <v>0</v>
      </c>
      <c r="J2132" s="7">
        <f>tbl_Ventes[[#This Row],[CA ligne]] - tbl_Ventes[[#This Row],[Coût matière ligne]]</f>
        <v>0</v>
      </c>
      <c r="K2132" s="7" t="str">
        <f>IFERROR(INDEX(tbl_ProduitsRef[Famille], MATCH(tbl_Ventes[[#This Row],[Cde_Prdt]], tbl_Produits[Cde_Prdt], 0)), "")</f>
        <v/>
      </c>
    </row>
    <row r="2133" spans="1:11" x14ac:dyDescent="0.25">
      <c r="A2133" s="5"/>
      <c r="B2133" s="63" t="str">
        <f>IFERROR(TEXT(tbl_Ventes[[#This Row],[Date]],"mm-aaaa"),"")</f>
        <v>01-1900</v>
      </c>
      <c r="D2133" s="10" t="str">
        <f>IFERROR(
   INDEX(tbl_ProduitsRef[Cde_Prdt],MATCH(tbl_Ventes[[#This Row],[Produit]],tbl_ProduitsRef[Produit],0)),
   ""
)</f>
        <v/>
      </c>
      <c r="E2133" s="7">
        <v>0</v>
      </c>
      <c r="F2133" s="7" t="str">
        <f>IFERROR(
   INDEX(tbl_ProduitsRef[Prix Menu],MATCH(tbl_Ventes[[#This Row],[Produit]],tbl_ProduitsRef[Produit],0)),
   ""
)</f>
        <v/>
      </c>
      <c r="G2133" s="7">
        <f>tbl_Ventes[[#This Row],[Qté Vendue]] * IFERROR(_xlfn.XLOOKUP(tbl_Ventes[[#This Row],[Cde_Prdt]], tbl_Produits[Cde_Prdt], tbl_Produits[Prix Menu]), 0)</f>
        <v>0</v>
      </c>
      <c r="H2133" s="7">
        <f>IFERROR(_xlfn.XLOOKUP(tbl_Ventes[[#This Row],[Cde_Prdt]], tbl_Produits[Cde_Prdt], tbl_Produits[Coût Moyen Portion]), 0)</f>
        <v>0</v>
      </c>
      <c r="I2133" s="7">
        <f>tbl_Ventes[[#This Row],[Qté Vendue]] * tbl_Ventes[[#This Row],[CMP_par_portion]]</f>
        <v>0</v>
      </c>
      <c r="J2133" s="7">
        <f>tbl_Ventes[[#This Row],[CA ligne]] - tbl_Ventes[[#This Row],[Coût matière ligne]]</f>
        <v>0</v>
      </c>
      <c r="K2133" s="7" t="str">
        <f>IFERROR(INDEX(tbl_ProduitsRef[Famille], MATCH(tbl_Ventes[[#This Row],[Cde_Prdt]], tbl_Produits[Cde_Prdt], 0)), "")</f>
        <v/>
      </c>
    </row>
    <row r="2134" spans="1:11" x14ac:dyDescent="0.25">
      <c r="A2134" s="5"/>
      <c r="B2134" s="63" t="str">
        <f>IFERROR(TEXT(tbl_Ventes[[#This Row],[Date]],"mm-aaaa"),"")</f>
        <v>01-1900</v>
      </c>
      <c r="D2134" s="10" t="str">
        <f>IFERROR(
   INDEX(tbl_ProduitsRef[Cde_Prdt],MATCH(tbl_Ventes[[#This Row],[Produit]],tbl_ProduitsRef[Produit],0)),
   ""
)</f>
        <v/>
      </c>
      <c r="E2134" s="7">
        <v>0</v>
      </c>
      <c r="F2134" s="7" t="str">
        <f>IFERROR(
   INDEX(tbl_ProduitsRef[Prix Menu],MATCH(tbl_Ventes[[#This Row],[Produit]],tbl_ProduitsRef[Produit],0)),
   ""
)</f>
        <v/>
      </c>
      <c r="G2134" s="7">
        <f>tbl_Ventes[[#This Row],[Qté Vendue]] * IFERROR(_xlfn.XLOOKUP(tbl_Ventes[[#This Row],[Cde_Prdt]], tbl_Produits[Cde_Prdt], tbl_Produits[Prix Menu]), 0)</f>
        <v>0</v>
      </c>
      <c r="H2134" s="7">
        <f>IFERROR(_xlfn.XLOOKUP(tbl_Ventes[[#This Row],[Cde_Prdt]], tbl_Produits[Cde_Prdt], tbl_Produits[Coût Moyen Portion]), 0)</f>
        <v>0</v>
      </c>
      <c r="I2134" s="7">
        <f>tbl_Ventes[[#This Row],[Qté Vendue]] * tbl_Ventes[[#This Row],[CMP_par_portion]]</f>
        <v>0</v>
      </c>
      <c r="J2134" s="7">
        <f>tbl_Ventes[[#This Row],[CA ligne]] - tbl_Ventes[[#This Row],[Coût matière ligne]]</f>
        <v>0</v>
      </c>
      <c r="K2134" s="7" t="str">
        <f>IFERROR(INDEX(tbl_ProduitsRef[Famille], MATCH(tbl_Ventes[[#This Row],[Cde_Prdt]], tbl_Produits[Cde_Prdt], 0)), "")</f>
        <v/>
      </c>
    </row>
    <row r="2135" spans="1:11" x14ac:dyDescent="0.25">
      <c r="A2135" s="5"/>
      <c r="B2135" s="63" t="str">
        <f>IFERROR(TEXT(tbl_Ventes[[#This Row],[Date]],"mm-aaaa"),"")</f>
        <v>01-1900</v>
      </c>
      <c r="D2135" s="10" t="str">
        <f>IFERROR(
   INDEX(tbl_ProduitsRef[Cde_Prdt],MATCH(tbl_Ventes[[#This Row],[Produit]],tbl_ProduitsRef[Produit],0)),
   ""
)</f>
        <v/>
      </c>
      <c r="E2135" s="7">
        <v>0</v>
      </c>
      <c r="F2135" s="7" t="str">
        <f>IFERROR(
   INDEX(tbl_ProduitsRef[Prix Menu],MATCH(tbl_Ventes[[#This Row],[Produit]],tbl_ProduitsRef[Produit],0)),
   ""
)</f>
        <v/>
      </c>
      <c r="G2135" s="7">
        <f>tbl_Ventes[[#This Row],[Qté Vendue]] * IFERROR(_xlfn.XLOOKUP(tbl_Ventes[[#This Row],[Cde_Prdt]], tbl_Produits[Cde_Prdt], tbl_Produits[Prix Menu]), 0)</f>
        <v>0</v>
      </c>
      <c r="H2135" s="7">
        <f>IFERROR(_xlfn.XLOOKUP(tbl_Ventes[[#This Row],[Cde_Prdt]], tbl_Produits[Cde_Prdt], tbl_Produits[Coût Moyen Portion]), 0)</f>
        <v>0</v>
      </c>
      <c r="I2135" s="7">
        <f>tbl_Ventes[[#This Row],[Qté Vendue]] * tbl_Ventes[[#This Row],[CMP_par_portion]]</f>
        <v>0</v>
      </c>
      <c r="J2135" s="7">
        <f>tbl_Ventes[[#This Row],[CA ligne]] - tbl_Ventes[[#This Row],[Coût matière ligne]]</f>
        <v>0</v>
      </c>
      <c r="K2135" s="7" t="str">
        <f>IFERROR(INDEX(tbl_ProduitsRef[Famille], MATCH(tbl_Ventes[[#This Row],[Cde_Prdt]], tbl_Produits[Cde_Prdt], 0)), "")</f>
        <v/>
      </c>
    </row>
    <row r="2136" spans="1:11" x14ac:dyDescent="0.25">
      <c r="A2136" s="5"/>
      <c r="B2136" s="63" t="str">
        <f>IFERROR(TEXT(tbl_Ventes[[#This Row],[Date]],"mm-aaaa"),"")</f>
        <v>01-1900</v>
      </c>
      <c r="D2136" s="10" t="str">
        <f>IFERROR(
   INDEX(tbl_ProduitsRef[Cde_Prdt],MATCH(tbl_Ventes[[#This Row],[Produit]],tbl_ProduitsRef[Produit],0)),
   ""
)</f>
        <v/>
      </c>
      <c r="E2136" s="7">
        <v>0</v>
      </c>
      <c r="F2136" s="7" t="str">
        <f>IFERROR(
   INDEX(tbl_ProduitsRef[Prix Menu],MATCH(tbl_Ventes[[#This Row],[Produit]],tbl_ProduitsRef[Produit],0)),
   ""
)</f>
        <v/>
      </c>
      <c r="G2136" s="7">
        <f>tbl_Ventes[[#This Row],[Qté Vendue]] * IFERROR(_xlfn.XLOOKUP(tbl_Ventes[[#This Row],[Cde_Prdt]], tbl_Produits[Cde_Prdt], tbl_Produits[Prix Menu]), 0)</f>
        <v>0</v>
      </c>
      <c r="H2136" s="7">
        <f>IFERROR(_xlfn.XLOOKUP(tbl_Ventes[[#This Row],[Cde_Prdt]], tbl_Produits[Cde_Prdt], tbl_Produits[Coût Moyen Portion]), 0)</f>
        <v>0</v>
      </c>
      <c r="I2136" s="7">
        <f>tbl_Ventes[[#This Row],[Qté Vendue]] * tbl_Ventes[[#This Row],[CMP_par_portion]]</f>
        <v>0</v>
      </c>
      <c r="J2136" s="7">
        <f>tbl_Ventes[[#This Row],[CA ligne]] - tbl_Ventes[[#This Row],[Coût matière ligne]]</f>
        <v>0</v>
      </c>
      <c r="K2136" s="7" t="str">
        <f>IFERROR(INDEX(tbl_ProduitsRef[Famille], MATCH(tbl_Ventes[[#This Row],[Cde_Prdt]], tbl_Produits[Cde_Prdt], 0)), "")</f>
        <v/>
      </c>
    </row>
    <row r="2137" spans="1:11" x14ac:dyDescent="0.25">
      <c r="A2137" s="5"/>
      <c r="B2137" s="63" t="str">
        <f>IFERROR(TEXT(tbl_Ventes[[#This Row],[Date]],"mm-aaaa"),"")</f>
        <v>01-1900</v>
      </c>
      <c r="D2137" s="10" t="str">
        <f>IFERROR(
   INDEX(tbl_ProduitsRef[Cde_Prdt],MATCH(tbl_Ventes[[#This Row],[Produit]],tbl_ProduitsRef[Produit],0)),
   ""
)</f>
        <v/>
      </c>
      <c r="E2137" s="7">
        <v>0</v>
      </c>
      <c r="F2137" s="7" t="str">
        <f>IFERROR(
   INDEX(tbl_ProduitsRef[Prix Menu],MATCH(tbl_Ventes[[#This Row],[Produit]],tbl_ProduitsRef[Produit],0)),
   ""
)</f>
        <v/>
      </c>
      <c r="G2137" s="7">
        <f>tbl_Ventes[[#This Row],[Qté Vendue]] * IFERROR(_xlfn.XLOOKUP(tbl_Ventes[[#This Row],[Cde_Prdt]], tbl_Produits[Cde_Prdt], tbl_Produits[Prix Menu]), 0)</f>
        <v>0</v>
      </c>
      <c r="H2137" s="7">
        <f>IFERROR(_xlfn.XLOOKUP(tbl_Ventes[[#This Row],[Cde_Prdt]], tbl_Produits[Cde_Prdt], tbl_Produits[Coût Moyen Portion]), 0)</f>
        <v>0</v>
      </c>
      <c r="I2137" s="7">
        <f>tbl_Ventes[[#This Row],[Qté Vendue]] * tbl_Ventes[[#This Row],[CMP_par_portion]]</f>
        <v>0</v>
      </c>
      <c r="J2137" s="7">
        <f>tbl_Ventes[[#This Row],[CA ligne]] - tbl_Ventes[[#This Row],[Coût matière ligne]]</f>
        <v>0</v>
      </c>
      <c r="K2137" s="7" t="str">
        <f>IFERROR(INDEX(tbl_ProduitsRef[Famille], MATCH(tbl_Ventes[[#This Row],[Cde_Prdt]], tbl_Produits[Cde_Prdt], 0)), "")</f>
        <v/>
      </c>
    </row>
    <row r="2138" spans="1:11" x14ac:dyDescent="0.25">
      <c r="A2138" s="5"/>
      <c r="B2138" s="63" t="str">
        <f>IFERROR(TEXT(tbl_Ventes[[#This Row],[Date]],"mm-aaaa"),"")</f>
        <v>01-1900</v>
      </c>
      <c r="D2138" s="10" t="str">
        <f>IFERROR(
   INDEX(tbl_ProduitsRef[Cde_Prdt],MATCH(tbl_Ventes[[#This Row],[Produit]],tbl_ProduitsRef[Produit],0)),
   ""
)</f>
        <v/>
      </c>
      <c r="E2138" s="7">
        <v>0</v>
      </c>
      <c r="F2138" s="7" t="str">
        <f>IFERROR(
   INDEX(tbl_ProduitsRef[Prix Menu],MATCH(tbl_Ventes[[#This Row],[Produit]],tbl_ProduitsRef[Produit],0)),
   ""
)</f>
        <v/>
      </c>
      <c r="G2138" s="7">
        <f>tbl_Ventes[[#This Row],[Qté Vendue]] * IFERROR(_xlfn.XLOOKUP(tbl_Ventes[[#This Row],[Cde_Prdt]], tbl_Produits[Cde_Prdt], tbl_Produits[Prix Menu]), 0)</f>
        <v>0</v>
      </c>
      <c r="H2138" s="7">
        <f>IFERROR(_xlfn.XLOOKUP(tbl_Ventes[[#This Row],[Cde_Prdt]], tbl_Produits[Cde_Prdt], tbl_Produits[Coût Moyen Portion]), 0)</f>
        <v>0</v>
      </c>
      <c r="I2138" s="7">
        <f>tbl_Ventes[[#This Row],[Qté Vendue]] * tbl_Ventes[[#This Row],[CMP_par_portion]]</f>
        <v>0</v>
      </c>
      <c r="J2138" s="7">
        <f>tbl_Ventes[[#This Row],[CA ligne]] - tbl_Ventes[[#This Row],[Coût matière ligne]]</f>
        <v>0</v>
      </c>
      <c r="K2138" s="7" t="str">
        <f>IFERROR(INDEX(tbl_ProduitsRef[Famille], MATCH(tbl_Ventes[[#This Row],[Cde_Prdt]], tbl_Produits[Cde_Prdt], 0)), "")</f>
        <v/>
      </c>
    </row>
    <row r="2139" spans="1:11" x14ac:dyDescent="0.25">
      <c r="A2139" s="5"/>
      <c r="B2139" s="63" t="str">
        <f>IFERROR(TEXT(tbl_Ventes[[#This Row],[Date]],"mm-aaaa"),"")</f>
        <v>01-1900</v>
      </c>
      <c r="D2139" s="10" t="str">
        <f>IFERROR(
   INDEX(tbl_ProduitsRef[Cde_Prdt],MATCH(tbl_Ventes[[#This Row],[Produit]],tbl_ProduitsRef[Produit],0)),
   ""
)</f>
        <v/>
      </c>
      <c r="E2139" s="7">
        <v>0</v>
      </c>
      <c r="F2139" s="7" t="str">
        <f>IFERROR(
   INDEX(tbl_ProduitsRef[Prix Menu],MATCH(tbl_Ventes[[#This Row],[Produit]],tbl_ProduitsRef[Produit],0)),
   ""
)</f>
        <v/>
      </c>
      <c r="G2139" s="7">
        <f>tbl_Ventes[[#This Row],[Qté Vendue]] * IFERROR(_xlfn.XLOOKUP(tbl_Ventes[[#This Row],[Cde_Prdt]], tbl_Produits[Cde_Prdt], tbl_Produits[Prix Menu]), 0)</f>
        <v>0</v>
      </c>
      <c r="H2139" s="7">
        <f>IFERROR(_xlfn.XLOOKUP(tbl_Ventes[[#This Row],[Cde_Prdt]], tbl_Produits[Cde_Prdt], tbl_Produits[Coût Moyen Portion]), 0)</f>
        <v>0</v>
      </c>
      <c r="I2139" s="7">
        <f>tbl_Ventes[[#This Row],[Qté Vendue]] * tbl_Ventes[[#This Row],[CMP_par_portion]]</f>
        <v>0</v>
      </c>
      <c r="J2139" s="7">
        <f>tbl_Ventes[[#This Row],[CA ligne]] - tbl_Ventes[[#This Row],[Coût matière ligne]]</f>
        <v>0</v>
      </c>
      <c r="K2139" s="7" t="str">
        <f>IFERROR(INDEX(tbl_ProduitsRef[Famille], MATCH(tbl_Ventes[[#This Row],[Cde_Prdt]], tbl_Produits[Cde_Prdt], 0)), "")</f>
        <v/>
      </c>
    </row>
    <row r="2140" spans="1:11" x14ac:dyDescent="0.25">
      <c r="A2140" s="5"/>
      <c r="B2140" s="63" t="str">
        <f>IFERROR(TEXT(tbl_Ventes[[#This Row],[Date]],"mm-aaaa"),"")</f>
        <v>01-1900</v>
      </c>
      <c r="D2140" s="10" t="str">
        <f>IFERROR(
   INDEX(tbl_ProduitsRef[Cde_Prdt],MATCH(tbl_Ventes[[#This Row],[Produit]],tbl_ProduitsRef[Produit],0)),
   ""
)</f>
        <v/>
      </c>
      <c r="E2140" s="7">
        <v>0</v>
      </c>
      <c r="F2140" s="7" t="str">
        <f>IFERROR(
   INDEX(tbl_ProduitsRef[Prix Menu],MATCH(tbl_Ventes[[#This Row],[Produit]],tbl_ProduitsRef[Produit],0)),
   ""
)</f>
        <v/>
      </c>
      <c r="G2140" s="7">
        <f>tbl_Ventes[[#This Row],[Qté Vendue]] * IFERROR(_xlfn.XLOOKUP(tbl_Ventes[[#This Row],[Cde_Prdt]], tbl_Produits[Cde_Prdt], tbl_Produits[Prix Menu]), 0)</f>
        <v>0</v>
      </c>
      <c r="H2140" s="7">
        <f>IFERROR(_xlfn.XLOOKUP(tbl_Ventes[[#This Row],[Cde_Prdt]], tbl_Produits[Cde_Prdt], tbl_Produits[Coût Moyen Portion]), 0)</f>
        <v>0</v>
      </c>
      <c r="I2140" s="7">
        <f>tbl_Ventes[[#This Row],[Qté Vendue]] * tbl_Ventes[[#This Row],[CMP_par_portion]]</f>
        <v>0</v>
      </c>
      <c r="J2140" s="7">
        <f>tbl_Ventes[[#This Row],[CA ligne]] - tbl_Ventes[[#This Row],[Coût matière ligne]]</f>
        <v>0</v>
      </c>
      <c r="K2140" s="7" t="str">
        <f>IFERROR(INDEX(tbl_ProduitsRef[Famille], MATCH(tbl_Ventes[[#This Row],[Cde_Prdt]], tbl_Produits[Cde_Prdt], 0)), "")</f>
        <v/>
      </c>
    </row>
    <row r="2141" spans="1:11" x14ac:dyDescent="0.25">
      <c r="A2141" s="5"/>
      <c r="B2141" s="63" t="str">
        <f>IFERROR(TEXT(tbl_Ventes[[#This Row],[Date]],"mm-aaaa"),"")</f>
        <v>01-1900</v>
      </c>
      <c r="D2141" s="10" t="str">
        <f>IFERROR(
   INDEX(tbl_ProduitsRef[Cde_Prdt],MATCH(tbl_Ventes[[#This Row],[Produit]],tbl_ProduitsRef[Produit],0)),
   ""
)</f>
        <v/>
      </c>
      <c r="E2141" s="7">
        <v>0</v>
      </c>
      <c r="F2141" s="7" t="str">
        <f>IFERROR(
   INDEX(tbl_ProduitsRef[Prix Menu],MATCH(tbl_Ventes[[#This Row],[Produit]],tbl_ProduitsRef[Produit],0)),
   ""
)</f>
        <v/>
      </c>
      <c r="G2141" s="7">
        <f>tbl_Ventes[[#This Row],[Qté Vendue]] * IFERROR(_xlfn.XLOOKUP(tbl_Ventes[[#This Row],[Cde_Prdt]], tbl_Produits[Cde_Prdt], tbl_Produits[Prix Menu]), 0)</f>
        <v>0</v>
      </c>
      <c r="H2141" s="7">
        <f>IFERROR(_xlfn.XLOOKUP(tbl_Ventes[[#This Row],[Cde_Prdt]], tbl_Produits[Cde_Prdt], tbl_Produits[Coût Moyen Portion]), 0)</f>
        <v>0</v>
      </c>
      <c r="I2141" s="7">
        <f>tbl_Ventes[[#This Row],[Qté Vendue]] * tbl_Ventes[[#This Row],[CMP_par_portion]]</f>
        <v>0</v>
      </c>
      <c r="J2141" s="7">
        <f>tbl_Ventes[[#This Row],[CA ligne]] - tbl_Ventes[[#This Row],[Coût matière ligne]]</f>
        <v>0</v>
      </c>
      <c r="K2141" s="7" t="str">
        <f>IFERROR(INDEX(tbl_ProduitsRef[Famille], MATCH(tbl_Ventes[[#This Row],[Cde_Prdt]], tbl_Produits[Cde_Prdt], 0)), "")</f>
        <v/>
      </c>
    </row>
    <row r="2142" spans="1:11" x14ac:dyDescent="0.25">
      <c r="A2142" s="5"/>
      <c r="B2142" s="63" t="str">
        <f>IFERROR(TEXT(tbl_Ventes[[#This Row],[Date]],"mm-aaaa"),"")</f>
        <v>01-1900</v>
      </c>
      <c r="D2142" s="10" t="str">
        <f>IFERROR(
   INDEX(tbl_ProduitsRef[Cde_Prdt],MATCH(tbl_Ventes[[#This Row],[Produit]],tbl_ProduitsRef[Produit],0)),
   ""
)</f>
        <v/>
      </c>
      <c r="E2142" s="7">
        <v>0</v>
      </c>
      <c r="F2142" s="7" t="str">
        <f>IFERROR(
   INDEX(tbl_ProduitsRef[Prix Menu],MATCH(tbl_Ventes[[#This Row],[Produit]],tbl_ProduitsRef[Produit],0)),
   ""
)</f>
        <v/>
      </c>
      <c r="G2142" s="7">
        <f>tbl_Ventes[[#This Row],[Qté Vendue]] * IFERROR(_xlfn.XLOOKUP(tbl_Ventes[[#This Row],[Cde_Prdt]], tbl_Produits[Cde_Prdt], tbl_Produits[Prix Menu]), 0)</f>
        <v>0</v>
      </c>
      <c r="H2142" s="7">
        <f>IFERROR(_xlfn.XLOOKUP(tbl_Ventes[[#This Row],[Cde_Prdt]], tbl_Produits[Cde_Prdt], tbl_Produits[Coût Moyen Portion]), 0)</f>
        <v>0</v>
      </c>
      <c r="I2142" s="7">
        <f>tbl_Ventes[[#This Row],[Qté Vendue]] * tbl_Ventes[[#This Row],[CMP_par_portion]]</f>
        <v>0</v>
      </c>
      <c r="J2142" s="7">
        <f>tbl_Ventes[[#This Row],[CA ligne]] - tbl_Ventes[[#This Row],[Coût matière ligne]]</f>
        <v>0</v>
      </c>
      <c r="K2142" s="7" t="str">
        <f>IFERROR(INDEX(tbl_ProduitsRef[Famille], MATCH(tbl_Ventes[[#This Row],[Cde_Prdt]], tbl_Produits[Cde_Prdt], 0)), "")</f>
        <v/>
      </c>
    </row>
    <row r="2143" spans="1:11" x14ac:dyDescent="0.25">
      <c r="A2143" s="5"/>
      <c r="B2143" s="63" t="str">
        <f>IFERROR(TEXT(tbl_Ventes[[#This Row],[Date]],"mm-aaaa"),"")</f>
        <v>01-1900</v>
      </c>
      <c r="D2143" s="10" t="str">
        <f>IFERROR(
   INDEX(tbl_ProduitsRef[Cde_Prdt],MATCH(tbl_Ventes[[#This Row],[Produit]],tbl_ProduitsRef[Produit],0)),
   ""
)</f>
        <v/>
      </c>
      <c r="E2143" s="7">
        <v>0</v>
      </c>
      <c r="F2143" s="7" t="str">
        <f>IFERROR(
   INDEX(tbl_ProduitsRef[Prix Menu],MATCH(tbl_Ventes[[#This Row],[Produit]],tbl_ProduitsRef[Produit],0)),
   ""
)</f>
        <v/>
      </c>
      <c r="G2143" s="7">
        <f>tbl_Ventes[[#This Row],[Qté Vendue]] * IFERROR(_xlfn.XLOOKUP(tbl_Ventes[[#This Row],[Cde_Prdt]], tbl_Produits[Cde_Prdt], tbl_Produits[Prix Menu]), 0)</f>
        <v>0</v>
      </c>
      <c r="H2143" s="7">
        <f>IFERROR(_xlfn.XLOOKUP(tbl_Ventes[[#This Row],[Cde_Prdt]], tbl_Produits[Cde_Prdt], tbl_Produits[Coût Moyen Portion]), 0)</f>
        <v>0</v>
      </c>
      <c r="I2143" s="7">
        <f>tbl_Ventes[[#This Row],[Qté Vendue]] * tbl_Ventes[[#This Row],[CMP_par_portion]]</f>
        <v>0</v>
      </c>
      <c r="J2143" s="7">
        <f>tbl_Ventes[[#This Row],[CA ligne]] - tbl_Ventes[[#This Row],[Coût matière ligne]]</f>
        <v>0</v>
      </c>
      <c r="K2143" s="7" t="str">
        <f>IFERROR(INDEX(tbl_ProduitsRef[Famille], MATCH(tbl_Ventes[[#This Row],[Cde_Prdt]], tbl_Produits[Cde_Prdt], 0)), "")</f>
        <v/>
      </c>
    </row>
    <row r="2144" spans="1:11" x14ac:dyDescent="0.25">
      <c r="A2144" s="5"/>
      <c r="B2144" s="63" t="str">
        <f>IFERROR(TEXT(tbl_Ventes[[#This Row],[Date]],"mm-aaaa"),"")</f>
        <v>01-1900</v>
      </c>
      <c r="D2144" s="10" t="str">
        <f>IFERROR(
   INDEX(tbl_ProduitsRef[Cde_Prdt],MATCH(tbl_Ventes[[#This Row],[Produit]],tbl_ProduitsRef[Produit],0)),
   ""
)</f>
        <v/>
      </c>
      <c r="E2144" s="7">
        <v>0</v>
      </c>
      <c r="F2144" s="7" t="str">
        <f>IFERROR(
   INDEX(tbl_ProduitsRef[Prix Menu],MATCH(tbl_Ventes[[#This Row],[Produit]],tbl_ProduitsRef[Produit],0)),
   ""
)</f>
        <v/>
      </c>
      <c r="G2144" s="7">
        <f>tbl_Ventes[[#This Row],[Qté Vendue]] * IFERROR(_xlfn.XLOOKUP(tbl_Ventes[[#This Row],[Cde_Prdt]], tbl_Produits[Cde_Prdt], tbl_Produits[Prix Menu]), 0)</f>
        <v>0</v>
      </c>
      <c r="H2144" s="7">
        <f>IFERROR(_xlfn.XLOOKUP(tbl_Ventes[[#This Row],[Cde_Prdt]], tbl_Produits[Cde_Prdt], tbl_Produits[Coût Moyen Portion]), 0)</f>
        <v>0</v>
      </c>
      <c r="I2144" s="7">
        <f>tbl_Ventes[[#This Row],[Qté Vendue]] * tbl_Ventes[[#This Row],[CMP_par_portion]]</f>
        <v>0</v>
      </c>
      <c r="J2144" s="7">
        <f>tbl_Ventes[[#This Row],[CA ligne]] - tbl_Ventes[[#This Row],[Coût matière ligne]]</f>
        <v>0</v>
      </c>
      <c r="K2144" s="7" t="str">
        <f>IFERROR(INDEX(tbl_ProduitsRef[Famille], MATCH(tbl_Ventes[[#This Row],[Cde_Prdt]], tbl_Produits[Cde_Prdt], 0)), "")</f>
        <v/>
      </c>
    </row>
    <row r="2145" spans="1:11" x14ac:dyDescent="0.25">
      <c r="A2145" s="5"/>
      <c r="B2145" s="63" t="str">
        <f>IFERROR(TEXT(tbl_Ventes[[#This Row],[Date]],"mm-aaaa"),"")</f>
        <v>01-1900</v>
      </c>
      <c r="D2145" s="10" t="str">
        <f>IFERROR(
   INDEX(tbl_ProduitsRef[Cde_Prdt],MATCH(tbl_Ventes[[#This Row],[Produit]],tbl_ProduitsRef[Produit],0)),
   ""
)</f>
        <v/>
      </c>
      <c r="E2145" s="7">
        <v>0</v>
      </c>
      <c r="F2145" s="7" t="str">
        <f>IFERROR(
   INDEX(tbl_ProduitsRef[Prix Menu],MATCH(tbl_Ventes[[#This Row],[Produit]],tbl_ProduitsRef[Produit],0)),
   ""
)</f>
        <v/>
      </c>
      <c r="G2145" s="7">
        <f>tbl_Ventes[[#This Row],[Qté Vendue]] * IFERROR(_xlfn.XLOOKUP(tbl_Ventes[[#This Row],[Cde_Prdt]], tbl_Produits[Cde_Prdt], tbl_Produits[Prix Menu]), 0)</f>
        <v>0</v>
      </c>
      <c r="H2145" s="7">
        <f>IFERROR(_xlfn.XLOOKUP(tbl_Ventes[[#This Row],[Cde_Prdt]], tbl_Produits[Cde_Prdt], tbl_Produits[Coût Moyen Portion]), 0)</f>
        <v>0</v>
      </c>
      <c r="I2145" s="7">
        <f>tbl_Ventes[[#This Row],[Qté Vendue]] * tbl_Ventes[[#This Row],[CMP_par_portion]]</f>
        <v>0</v>
      </c>
      <c r="J2145" s="7">
        <f>tbl_Ventes[[#This Row],[CA ligne]] - tbl_Ventes[[#This Row],[Coût matière ligne]]</f>
        <v>0</v>
      </c>
      <c r="K2145" s="7" t="str">
        <f>IFERROR(INDEX(tbl_ProduitsRef[Famille], MATCH(tbl_Ventes[[#This Row],[Cde_Prdt]], tbl_Produits[Cde_Prdt], 0)), "")</f>
        <v/>
      </c>
    </row>
    <row r="2146" spans="1:11" x14ac:dyDescent="0.25">
      <c r="A2146" s="5"/>
      <c r="B2146" s="63" t="str">
        <f>IFERROR(TEXT(tbl_Ventes[[#This Row],[Date]],"mm-aaaa"),"")</f>
        <v>01-1900</v>
      </c>
      <c r="D2146" s="10" t="str">
        <f>IFERROR(
   INDEX(tbl_ProduitsRef[Cde_Prdt],MATCH(tbl_Ventes[[#This Row],[Produit]],tbl_ProduitsRef[Produit],0)),
   ""
)</f>
        <v/>
      </c>
      <c r="E2146" s="7">
        <v>0</v>
      </c>
      <c r="F2146" s="7" t="str">
        <f>IFERROR(
   INDEX(tbl_ProduitsRef[Prix Menu],MATCH(tbl_Ventes[[#This Row],[Produit]],tbl_ProduitsRef[Produit],0)),
   ""
)</f>
        <v/>
      </c>
      <c r="G2146" s="7">
        <f>tbl_Ventes[[#This Row],[Qté Vendue]] * IFERROR(_xlfn.XLOOKUP(tbl_Ventes[[#This Row],[Cde_Prdt]], tbl_Produits[Cde_Prdt], tbl_Produits[Prix Menu]), 0)</f>
        <v>0</v>
      </c>
      <c r="H2146" s="7">
        <f>IFERROR(_xlfn.XLOOKUP(tbl_Ventes[[#This Row],[Cde_Prdt]], tbl_Produits[Cde_Prdt], tbl_Produits[Coût Moyen Portion]), 0)</f>
        <v>0</v>
      </c>
      <c r="I2146" s="7">
        <f>tbl_Ventes[[#This Row],[Qté Vendue]] * tbl_Ventes[[#This Row],[CMP_par_portion]]</f>
        <v>0</v>
      </c>
      <c r="J2146" s="7">
        <f>tbl_Ventes[[#This Row],[CA ligne]] - tbl_Ventes[[#This Row],[Coût matière ligne]]</f>
        <v>0</v>
      </c>
      <c r="K2146" s="7" t="str">
        <f>IFERROR(INDEX(tbl_ProduitsRef[Famille], MATCH(tbl_Ventes[[#This Row],[Cde_Prdt]], tbl_Produits[Cde_Prdt], 0)), "")</f>
        <v/>
      </c>
    </row>
    <row r="2147" spans="1:11" x14ac:dyDescent="0.25">
      <c r="A2147" s="5"/>
      <c r="B2147" s="63" t="str">
        <f>IFERROR(TEXT(tbl_Ventes[[#This Row],[Date]],"mm-aaaa"),"")</f>
        <v>01-1900</v>
      </c>
      <c r="D2147" s="10" t="str">
        <f>IFERROR(
   INDEX(tbl_ProduitsRef[Cde_Prdt],MATCH(tbl_Ventes[[#This Row],[Produit]],tbl_ProduitsRef[Produit],0)),
   ""
)</f>
        <v/>
      </c>
      <c r="E2147" s="7">
        <v>0</v>
      </c>
      <c r="F2147" s="7" t="str">
        <f>IFERROR(
   INDEX(tbl_ProduitsRef[Prix Menu],MATCH(tbl_Ventes[[#This Row],[Produit]],tbl_ProduitsRef[Produit],0)),
   ""
)</f>
        <v/>
      </c>
      <c r="G2147" s="7">
        <f>tbl_Ventes[[#This Row],[Qté Vendue]] * IFERROR(_xlfn.XLOOKUP(tbl_Ventes[[#This Row],[Cde_Prdt]], tbl_Produits[Cde_Prdt], tbl_Produits[Prix Menu]), 0)</f>
        <v>0</v>
      </c>
      <c r="H2147" s="7">
        <f>IFERROR(_xlfn.XLOOKUP(tbl_Ventes[[#This Row],[Cde_Prdt]], tbl_Produits[Cde_Prdt], tbl_Produits[Coût Moyen Portion]), 0)</f>
        <v>0</v>
      </c>
      <c r="I2147" s="7">
        <f>tbl_Ventes[[#This Row],[Qté Vendue]] * tbl_Ventes[[#This Row],[CMP_par_portion]]</f>
        <v>0</v>
      </c>
      <c r="J2147" s="7">
        <f>tbl_Ventes[[#This Row],[CA ligne]] - tbl_Ventes[[#This Row],[Coût matière ligne]]</f>
        <v>0</v>
      </c>
      <c r="K2147" s="7" t="str">
        <f>IFERROR(INDEX(tbl_ProduitsRef[Famille], MATCH(tbl_Ventes[[#This Row],[Cde_Prdt]], tbl_Produits[Cde_Prdt], 0)), "")</f>
        <v/>
      </c>
    </row>
    <row r="2148" spans="1:11" x14ac:dyDescent="0.25">
      <c r="A2148" s="5"/>
      <c r="B2148" s="63" t="str">
        <f>IFERROR(TEXT(tbl_Ventes[[#This Row],[Date]],"mm-aaaa"),"")</f>
        <v>01-1900</v>
      </c>
      <c r="D2148" s="10" t="str">
        <f>IFERROR(
   INDEX(tbl_ProduitsRef[Cde_Prdt],MATCH(tbl_Ventes[[#This Row],[Produit]],tbl_ProduitsRef[Produit],0)),
   ""
)</f>
        <v/>
      </c>
      <c r="E2148" s="7">
        <v>0</v>
      </c>
      <c r="F2148" s="7" t="str">
        <f>IFERROR(
   INDEX(tbl_ProduitsRef[Prix Menu],MATCH(tbl_Ventes[[#This Row],[Produit]],tbl_ProduitsRef[Produit],0)),
   ""
)</f>
        <v/>
      </c>
      <c r="G2148" s="7">
        <f>tbl_Ventes[[#This Row],[Qté Vendue]] * IFERROR(_xlfn.XLOOKUP(tbl_Ventes[[#This Row],[Cde_Prdt]], tbl_Produits[Cde_Prdt], tbl_Produits[Prix Menu]), 0)</f>
        <v>0</v>
      </c>
      <c r="H2148" s="7">
        <f>IFERROR(_xlfn.XLOOKUP(tbl_Ventes[[#This Row],[Cde_Prdt]], tbl_Produits[Cde_Prdt], tbl_Produits[Coût Moyen Portion]), 0)</f>
        <v>0</v>
      </c>
      <c r="I2148" s="7">
        <f>tbl_Ventes[[#This Row],[Qté Vendue]] * tbl_Ventes[[#This Row],[CMP_par_portion]]</f>
        <v>0</v>
      </c>
      <c r="J2148" s="7">
        <f>tbl_Ventes[[#This Row],[CA ligne]] - tbl_Ventes[[#This Row],[Coût matière ligne]]</f>
        <v>0</v>
      </c>
      <c r="K2148" s="7" t="str">
        <f>IFERROR(INDEX(tbl_ProduitsRef[Famille], MATCH(tbl_Ventes[[#This Row],[Cde_Prdt]], tbl_Produits[Cde_Prdt], 0)), "")</f>
        <v/>
      </c>
    </row>
    <row r="2149" spans="1:11" x14ac:dyDescent="0.25">
      <c r="A2149" s="5"/>
      <c r="B2149" s="63" t="str">
        <f>IFERROR(TEXT(tbl_Ventes[[#This Row],[Date]],"mm-aaaa"),"")</f>
        <v>01-1900</v>
      </c>
      <c r="D2149" s="10" t="str">
        <f>IFERROR(
   INDEX(tbl_ProduitsRef[Cde_Prdt],MATCH(tbl_Ventes[[#This Row],[Produit]],tbl_ProduitsRef[Produit],0)),
   ""
)</f>
        <v/>
      </c>
      <c r="E2149" s="7">
        <v>0</v>
      </c>
      <c r="F2149" s="7" t="str">
        <f>IFERROR(
   INDEX(tbl_ProduitsRef[Prix Menu],MATCH(tbl_Ventes[[#This Row],[Produit]],tbl_ProduitsRef[Produit],0)),
   ""
)</f>
        <v/>
      </c>
      <c r="G2149" s="7">
        <f>tbl_Ventes[[#This Row],[Qté Vendue]] * IFERROR(_xlfn.XLOOKUP(tbl_Ventes[[#This Row],[Cde_Prdt]], tbl_Produits[Cde_Prdt], tbl_Produits[Prix Menu]), 0)</f>
        <v>0</v>
      </c>
      <c r="H2149" s="7">
        <f>IFERROR(_xlfn.XLOOKUP(tbl_Ventes[[#This Row],[Cde_Prdt]], tbl_Produits[Cde_Prdt], tbl_Produits[Coût Moyen Portion]), 0)</f>
        <v>0</v>
      </c>
      <c r="I2149" s="7">
        <f>tbl_Ventes[[#This Row],[Qté Vendue]] * tbl_Ventes[[#This Row],[CMP_par_portion]]</f>
        <v>0</v>
      </c>
      <c r="J2149" s="7">
        <f>tbl_Ventes[[#This Row],[CA ligne]] - tbl_Ventes[[#This Row],[Coût matière ligne]]</f>
        <v>0</v>
      </c>
      <c r="K2149" s="7" t="str">
        <f>IFERROR(INDEX(tbl_ProduitsRef[Famille], MATCH(tbl_Ventes[[#This Row],[Cde_Prdt]], tbl_Produits[Cde_Prdt], 0)), "")</f>
        <v/>
      </c>
    </row>
    <row r="2150" spans="1:11" x14ac:dyDescent="0.25">
      <c r="A2150" s="5"/>
      <c r="B2150" s="63" t="str">
        <f>IFERROR(TEXT(tbl_Ventes[[#This Row],[Date]],"mm-aaaa"),"")</f>
        <v>01-1900</v>
      </c>
      <c r="D2150" s="10" t="str">
        <f>IFERROR(
   INDEX(tbl_ProduitsRef[Cde_Prdt],MATCH(tbl_Ventes[[#This Row],[Produit]],tbl_ProduitsRef[Produit],0)),
   ""
)</f>
        <v/>
      </c>
      <c r="E2150" s="7">
        <v>0</v>
      </c>
      <c r="F2150" s="7" t="str">
        <f>IFERROR(
   INDEX(tbl_ProduitsRef[Prix Menu],MATCH(tbl_Ventes[[#This Row],[Produit]],tbl_ProduitsRef[Produit],0)),
   ""
)</f>
        <v/>
      </c>
      <c r="G2150" s="7">
        <f>tbl_Ventes[[#This Row],[Qté Vendue]] * IFERROR(_xlfn.XLOOKUP(tbl_Ventes[[#This Row],[Cde_Prdt]], tbl_Produits[Cde_Prdt], tbl_Produits[Prix Menu]), 0)</f>
        <v>0</v>
      </c>
      <c r="H2150" s="7">
        <f>IFERROR(_xlfn.XLOOKUP(tbl_Ventes[[#This Row],[Cde_Prdt]], tbl_Produits[Cde_Prdt], tbl_Produits[Coût Moyen Portion]), 0)</f>
        <v>0</v>
      </c>
      <c r="I2150" s="7">
        <f>tbl_Ventes[[#This Row],[Qté Vendue]] * tbl_Ventes[[#This Row],[CMP_par_portion]]</f>
        <v>0</v>
      </c>
      <c r="J2150" s="7">
        <f>tbl_Ventes[[#This Row],[CA ligne]] - tbl_Ventes[[#This Row],[Coût matière ligne]]</f>
        <v>0</v>
      </c>
      <c r="K2150" s="7" t="str">
        <f>IFERROR(INDEX(tbl_ProduitsRef[Famille], MATCH(tbl_Ventes[[#This Row],[Cde_Prdt]], tbl_Produits[Cde_Prdt], 0)), "")</f>
        <v/>
      </c>
    </row>
    <row r="2151" spans="1:11" x14ac:dyDescent="0.25">
      <c r="A2151" s="5"/>
      <c r="B2151" s="63" t="str">
        <f>IFERROR(TEXT(tbl_Ventes[[#This Row],[Date]],"mm-aaaa"),"")</f>
        <v>01-1900</v>
      </c>
      <c r="D2151" s="10" t="str">
        <f>IFERROR(
   INDEX(tbl_ProduitsRef[Cde_Prdt],MATCH(tbl_Ventes[[#This Row],[Produit]],tbl_ProduitsRef[Produit],0)),
   ""
)</f>
        <v/>
      </c>
      <c r="E2151" s="7">
        <v>0</v>
      </c>
      <c r="F2151" s="7" t="str">
        <f>IFERROR(
   INDEX(tbl_ProduitsRef[Prix Menu],MATCH(tbl_Ventes[[#This Row],[Produit]],tbl_ProduitsRef[Produit],0)),
   ""
)</f>
        <v/>
      </c>
      <c r="G2151" s="7">
        <f>tbl_Ventes[[#This Row],[Qté Vendue]] * IFERROR(_xlfn.XLOOKUP(tbl_Ventes[[#This Row],[Cde_Prdt]], tbl_Produits[Cde_Prdt], tbl_Produits[Prix Menu]), 0)</f>
        <v>0</v>
      </c>
      <c r="H2151" s="7">
        <f>IFERROR(_xlfn.XLOOKUP(tbl_Ventes[[#This Row],[Cde_Prdt]], tbl_Produits[Cde_Prdt], tbl_Produits[Coût Moyen Portion]), 0)</f>
        <v>0</v>
      </c>
      <c r="I2151" s="7">
        <f>tbl_Ventes[[#This Row],[Qté Vendue]] * tbl_Ventes[[#This Row],[CMP_par_portion]]</f>
        <v>0</v>
      </c>
      <c r="J2151" s="7">
        <f>tbl_Ventes[[#This Row],[CA ligne]] - tbl_Ventes[[#This Row],[Coût matière ligne]]</f>
        <v>0</v>
      </c>
      <c r="K2151" s="7" t="str">
        <f>IFERROR(INDEX(tbl_ProduitsRef[Famille], MATCH(tbl_Ventes[[#This Row],[Cde_Prdt]], tbl_Produits[Cde_Prdt], 0)), "")</f>
        <v/>
      </c>
    </row>
    <row r="2152" spans="1:11" x14ac:dyDescent="0.25">
      <c r="A2152" s="5"/>
      <c r="B2152" s="63" t="str">
        <f>IFERROR(TEXT(tbl_Ventes[[#This Row],[Date]],"mm-aaaa"),"")</f>
        <v>01-1900</v>
      </c>
      <c r="D2152" s="10" t="str">
        <f>IFERROR(
   INDEX(tbl_ProduitsRef[Cde_Prdt],MATCH(tbl_Ventes[[#This Row],[Produit]],tbl_ProduitsRef[Produit],0)),
   ""
)</f>
        <v/>
      </c>
      <c r="E2152" s="7">
        <v>0</v>
      </c>
      <c r="F2152" s="7" t="str">
        <f>IFERROR(
   INDEX(tbl_ProduitsRef[Prix Menu],MATCH(tbl_Ventes[[#This Row],[Produit]],tbl_ProduitsRef[Produit],0)),
   ""
)</f>
        <v/>
      </c>
      <c r="G2152" s="7">
        <f>tbl_Ventes[[#This Row],[Qté Vendue]] * IFERROR(_xlfn.XLOOKUP(tbl_Ventes[[#This Row],[Cde_Prdt]], tbl_Produits[Cde_Prdt], tbl_Produits[Prix Menu]), 0)</f>
        <v>0</v>
      </c>
      <c r="H2152" s="7">
        <f>IFERROR(_xlfn.XLOOKUP(tbl_Ventes[[#This Row],[Cde_Prdt]], tbl_Produits[Cde_Prdt], tbl_Produits[Coût Moyen Portion]), 0)</f>
        <v>0</v>
      </c>
      <c r="I2152" s="7">
        <f>tbl_Ventes[[#This Row],[Qté Vendue]] * tbl_Ventes[[#This Row],[CMP_par_portion]]</f>
        <v>0</v>
      </c>
      <c r="J2152" s="7">
        <f>tbl_Ventes[[#This Row],[CA ligne]] - tbl_Ventes[[#This Row],[Coût matière ligne]]</f>
        <v>0</v>
      </c>
      <c r="K2152" s="7" t="str">
        <f>IFERROR(INDEX(tbl_ProduitsRef[Famille], MATCH(tbl_Ventes[[#This Row],[Cde_Prdt]], tbl_Produits[Cde_Prdt], 0)), "")</f>
        <v/>
      </c>
    </row>
    <row r="2153" spans="1:11" x14ac:dyDescent="0.25">
      <c r="A2153" s="5"/>
      <c r="B2153" s="63" t="str">
        <f>IFERROR(TEXT(tbl_Ventes[[#This Row],[Date]],"mm-aaaa"),"")</f>
        <v>01-1900</v>
      </c>
      <c r="D2153" s="10" t="str">
        <f>IFERROR(
   INDEX(tbl_ProduitsRef[Cde_Prdt],MATCH(tbl_Ventes[[#This Row],[Produit]],tbl_ProduitsRef[Produit],0)),
   ""
)</f>
        <v/>
      </c>
      <c r="E2153" s="7">
        <v>0</v>
      </c>
      <c r="F2153" s="7" t="str">
        <f>IFERROR(
   INDEX(tbl_ProduitsRef[Prix Menu],MATCH(tbl_Ventes[[#This Row],[Produit]],tbl_ProduitsRef[Produit],0)),
   ""
)</f>
        <v/>
      </c>
      <c r="G2153" s="7">
        <f>tbl_Ventes[[#This Row],[Qté Vendue]] * IFERROR(_xlfn.XLOOKUP(tbl_Ventes[[#This Row],[Cde_Prdt]], tbl_Produits[Cde_Prdt], tbl_Produits[Prix Menu]), 0)</f>
        <v>0</v>
      </c>
      <c r="H2153" s="7">
        <f>IFERROR(_xlfn.XLOOKUP(tbl_Ventes[[#This Row],[Cde_Prdt]], tbl_Produits[Cde_Prdt], tbl_Produits[Coût Moyen Portion]), 0)</f>
        <v>0</v>
      </c>
      <c r="I2153" s="7">
        <f>tbl_Ventes[[#This Row],[Qté Vendue]] * tbl_Ventes[[#This Row],[CMP_par_portion]]</f>
        <v>0</v>
      </c>
      <c r="J2153" s="7">
        <f>tbl_Ventes[[#This Row],[CA ligne]] - tbl_Ventes[[#This Row],[Coût matière ligne]]</f>
        <v>0</v>
      </c>
      <c r="K2153" s="7" t="str">
        <f>IFERROR(INDEX(tbl_ProduitsRef[Famille], MATCH(tbl_Ventes[[#This Row],[Cde_Prdt]], tbl_Produits[Cde_Prdt], 0)), "")</f>
        <v/>
      </c>
    </row>
    <row r="2154" spans="1:11" x14ac:dyDescent="0.25">
      <c r="A2154" s="5"/>
      <c r="B2154" s="63" t="str">
        <f>IFERROR(TEXT(tbl_Ventes[[#This Row],[Date]],"mm-aaaa"),"")</f>
        <v>01-1900</v>
      </c>
      <c r="D2154" s="10" t="str">
        <f>IFERROR(
   INDEX(tbl_ProduitsRef[Cde_Prdt],MATCH(tbl_Ventes[[#This Row],[Produit]],tbl_ProduitsRef[Produit],0)),
   ""
)</f>
        <v/>
      </c>
      <c r="E2154" s="7">
        <v>0</v>
      </c>
      <c r="F2154" s="7" t="str">
        <f>IFERROR(
   INDEX(tbl_ProduitsRef[Prix Menu],MATCH(tbl_Ventes[[#This Row],[Produit]],tbl_ProduitsRef[Produit],0)),
   ""
)</f>
        <v/>
      </c>
      <c r="G2154" s="7">
        <f>tbl_Ventes[[#This Row],[Qté Vendue]] * IFERROR(_xlfn.XLOOKUP(tbl_Ventes[[#This Row],[Cde_Prdt]], tbl_Produits[Cde_Prdt], tbl_Produits[Prix Menu]), 0)</f>
        <v>0</v>
      </c>
      <c r="H2154" s="7">
        <f>IFERROR(_xlfn.XLOOKUP(tbl_Ventes[[#This Row],[Cde_Prdt]], tbl_Produits[Cde_Prdt], tbl_Produits[Coût Moyen Portion]), 0)</f>
        <v>0</v>
      </c>
      <c r="I2154" s="7">
        <f>tbl_Ventes[[#This Row],[Qté Vendue]] * tbl_Ventes[[#This Row],[CMP_par_portion]]</f>
        <v>0</v>
      </c>
      <c r="J2154" s="7">
        <f>tbl_Ventes[[#This Row],[CA ligne]] - tbl_Ventes[[#This Row],[Coût matière ligne]]</f>
        <v>0</v>
      </c>
      <c r="K2154" s="7" t="str">
        <f>IFERROR(INDEX(tbl_ProduitsRef[Famille], MATCH(tbl_Ventes[[#This Row],[Cde_Prdt]], tbl_Produits[Cde_Prdt], 0)), "")</f>
        <v/>
      </c>
    </row>
    <row r="2155" spans="1:11" x14ac:dyDescent="0.25">
      <c r="A2155" s="5"/>
      <c r="B2155" s="63" t="str">
        <f>IFERROR(TEXT(tbl_Ventes[[#This Row],[Date]],"mm-aaaa"),"")</f>
        <v>01-1900</v>
      </c>
      <c r="D2155" s="10" t="str">
        <f>IFERROR(
   INDEX(tbl_ProduitsRef[Cde_Prdt],MATCH(tbl_Ventes[[#This Row],[Produit]],tbl_ProduitsRef[Produit],0)),
   ""
)</f>
        <v/>
      </c>
      <c r="E2155" s="7">
        <v>0</v>
      </c>
      <c r="F2155" s="7" t="str">
        <f>IFERROR(
   INDEX(tbl_ProduitsRef[Prix Menu],MATCH(tbl_Ventes[[#This Row],[Produit]],tbl_ProduitsRef[Produit],0)),
   ""
)</f>
        <v/>
      </c>
      <c r="G2155" s="7">
        <f>tbl_Ventes[[#This Row],[Qté Vendue]] * IFERROR(_xlfn.XLOOKUP(tbl_Ventes[[#This Row],[Cde_Prdt]], tbl_Produits[Cde_Prdt], tbl_Produits[Prix Menu]), 0)</f>
        <v>0</v>
      </c>
      <c r="H2155" s="7">
        <f>IFERROR(_xlfn.XLOOKUP(tbl_Ventes[[#This Row],[Cde_Prdt]], tbl_Produits[Cde_Prdt], tbl_Produits[Coût Moyen Portion]), 0)</f>
        <v>0</v>
      </c>
      <c r="I2155" s="7">
        <f>tbl_Ventes[[#This Row],[Qté Vendue]] * tbl_Ventes[[#This Row],[CMP_par_portion]]</f>
        <v>0</v>
      </c>
      <c r="J2155" s="7">
        <f>tbl_Ventes[[#This Row],[CA ligne]] - tbl_Ventes[[#This Row],[Coût matière ligne]]</f>
        <v>0</v>
      </c>
      <c r="K2155" s="7" t="str">
        <f>IFERROR(INDEX(tbl_ProduitsRef[Famille], MATCH(tbl_Ventes[[#This Row],[Cde_Prdt]], tbl_Produits[Cde_Prdt], 0)), "")</f>
        <v/>
      </c>
    </row>
    <row r="2156" spans="1:11" x14ac:dyDescent="0.25">
      <c r="A2156" s="5"/>
      <c r="B2156" s="63" t="str">
        <f>IFERROR(TEXT(tbl_Ventes[[#This Row],[Date]],"mm-aaaa"),"")</f>
        <v>01-1900</v>
      </c>
      <c r="D2156" s="10" t="str">
        <f>IFERROR(
   INDEX(tbl_ProduitsRef[Cde_Prdt],MATCH(tbl_Ventes[[#This Row],[Produit]],tbl_ProduitsRef[Produit],0)),
   ""
)</f>
        <v/>
      </c>
      <c r="E2156" s="7">
        <v>0</v>
      </c>
      <c r="F2156" s="7" t="str">
        <f>IFERROR(
   INDEX(tbl_ProduitsRef[Prix Menu],MATCH(tbl_Ventes[[#This Row],[Produit]],tbl_ProduitsRef[Produit],0)),
   ""
)</f>
        <v/>
      </c>
      <c r="G2156" s="7">
        <f>tbl_Ventes[[#This Row],[Qté Vendue]] * IFERROR(_xlfn.XLOOKUP(tbl_Ventes[[#This Row],[Cde_Prdt]], tbl_Produits[Cde_Prdt], tbl_Produits[Prix Menu]), 0)</f>
        <v>0</v>
      </c>
      <c r="H2156" s="7">
        <f>IFERROR(_xlfn.XLOOKUP(tbl_Ventes[[#This Row],[Cde_Prdt]], tbl_Produits[Cde_Prdt], tbl_Produits[Coût Moyen Portion]), 0)</f>
        <v>0</v>
      </c>
      <c r="I2156" s="7">
        <f>tbl_Ventes[[#This Row],[Qté Vendue]] * tbl_Ventes[[#This Row],[CMP_par_portion]]</f>
        <v>0</v>
      </c>
      <c r="J2156" s="7">
        <f>tbl_Ventes[[#This Row],[CA ligne]] - tbl_Ventes[[#This Row],[Coût matière ligne]]</f>
        <v>0</v>
      </c>
      <c r="K2156" s="7" t="str">
        <f>IFERROR(INDEX(tbl_ProduitsRef[Famille], MATCH(tbl_Ventes[[#This Row],[Cde_Prdt]], tbl_Produits[Cde_Prdt], 0)), "")</f>
        <v/>
      </c>
    </row>
    <row r="2157" spans="1:11" x14ac:dyDescent="0.25">
      <c r="A2157" s="5"/>
      <c r="B2157" s="63" t="str">
        <f>IFERROR(TEXT(tbl_Ventes[[#This Row],[Date]],"mm-aaaa"),"")</f>
        <v>01-1900</v>
      </c>
      <c r="D2157" s="10" t="str">
        <f>IFERROR(
   INDEX(tbl_ProduitsRef[Cde_Prdt],MATCH(tbl_Ventes[[#This Row],[Produit]],tbl_ProduitsRef[Produit],0)),
   ""
)</f>
        <v/>
      </c>
      <c r="E2157" s="7">
        <v>0</v>
      </c>
      <c r="F2157" s="7" t="str">
        <f>IFERROR(
   INDEX(tbl_ProduitsRef[Prix Menu],MATCH(tbl_Ventes[[#This Row],[Produit]],tbl_ProduitsRef[Produit],0)),
   ""
)</f>
        <v/>
      </c>
      <c r="G2157" s="7">
        <f>tbl_Ventes[[#This Row],[Qté Vendue]] * IFERROR(_xlfn.XLOOKUP(tbl_Ventes[[#This Row],[Cde_Prdt]], tbl_Produits[Cde_Prdt], tbl_Produits[Prix Menu]), 0)</f>
        <v>0</v>
      </c>
      <c r="H2157" s="7">
        <f>IFERROR(_xlfn.XLOOKUP(tbl_Ventes[[#This Row],[Cde_Prdt]], tbl_Produits[Cde_Prdt], tbl_Produits[Coût Moyen Portion]), 0)</f>
        <v>0</v>
      </c>
      <c r="I2157" s="7">
        <f>tbl_Ventes[[#This Row],[Qté Vendue]] * tbl_Ventes[[#This Row],[CMP_par_portion]]</f>
        <v>0</v>
      </c>
      <c r="J2157" s="7">
        <f>tbl_Ventes[[#This Row],[CA ligne]] - tbl_Ventes[[#This Row],[Coût matière ligne]]</f>
        <v>0</v>
      </c>
      <c r="K2157" s="7" t="str">
        <f>IFERROR(INDEX(tbl_ProduitsRef[Famille], MATCH(tbl_Ventes[[#This Row],[Cde_Prdt]], tbl_Produits[Cde_Prdt], 0)), "")</f>
        <v/>
      </c>
    </row>
    <row r="2158" spans="1:11" x14ac:dyDescent="0.25">
      <c r="A2158" s="5"/>
      <c r="B2158" s="63" t="str">
        <f>IFERROR(TEXT(tbl_Ventes[[#This Row],[Date]],"mm-aaaa"),"")</f>
        <v>01-1900</v>
      </c>
      <c r="D2158" s="10" t="str">
        <f>IFERROR(
   INDEX(tbl_ProduitsRef[Cde_Prdt],MATCH(tbl_Ventes[[#This Row],[Produit]],tbl_ProduitsRef[Produit],0)),
   ""
)</f>
        <v/>
      </c>
      <c r="E2158" s="7">
        <v>0</v>
      </c>
      <c r="F2158" s="7" t="str">
        <f>IFERROR(
   INDEX(tbl_ProduitsRef[Prix Menu],MATCH(tbl_Ventes[[#This Row],[Produit]],tbl_ProduitsRef[Produit],0)),
   ""
)</f>
        <v/>
      </c>
      <c r="G2158" s="7">
        <f>tbl_Ventes[[#This Row],[Qté Vendue]] * IFERROR(_xlfn.XLOOKUP(tbl_Ventes[[#This Row],[Cde_Prdt]], tbl_Produits[Cde_Prdt], tbl_Produits[Prix Menu]), 0)</f>
        <v>0</v>
      </c>
      <c r="H2158" s="7">
        <f>IFERROR(_xlfn.XLOOKUP(tbl_Ventes[[#This Row],[Cde_Prdt]], tbl_Produits[Cde_Prdt], tbl_Produits[Coût Moyen Portion]), 0)</f>
        <v>0</v>
      </c>
      <c r="I2158" s="7">
        <f>tbl_Ventes[[#This Row],[Qté Vendue]] * tbl_Ventes[[#This Row],[CMP_par_portion]]</f>
        <v>0</v>
      </c>
      <c r="J2158" s="7">
        <f>tbl_Ventes[[#This Row],[CA ligne]] - tbl_Ventes[[#This Row],[Coût matière ligne]]</f>
        <v>0</v>
      </c>
      <c r="K2158" s="7" t="str">
        <f>IFERROR(INDEX(tbl_ProduitsRef[Famille], MATCH(tbl_Ventes[[#This Row],[Cde_Prdt]], tbl_Produits[Cde_Prdt], 0)), "")</f>
        <v/>
      </c>
    </row>
    <row r="2159" spans="1:11" x14ac:dyDescent="0.25">
      <c r="A2159" s="5"/>
      <c r="B2159" s="63" t="str">
        <f>IFERROR(TEXT(tbl_Ventes[[#This Row],[Date]],"mm-aaaa"),"")</f>
        <v>01-1900</v>
      </c>
      <c r="D2159" s="10" t="str">
        <f>IFERROR(
   INDEX(tbl_ProduitsRef[Cde_Prdt],MATCH(tbl_Ventes[[#This Row],[Produit]],tbl_ProduitsRef[Produit],0)),
   ""
)</f>
        <v/>
      </c>
      <c r="E2159" s="7">
        <v>0</v>
      </c>
      <c r="F2159" s="7" t="str">
        <f>IFERROR(
   INDEX(tbl_ProduitsRef[Prix Menu],MATCH(tbl_Ventes[[#This Row],[Produit]],tbl_ProduitsRef[Produit],0)),
   ""
)</f>
        <v/>
      </c>
      <c r="G2159" s="7">
        <f>tbl_Ventes[[#This Row],[Qté Vendue]] * IFERROR(_xlfn.XLOOKUP(tbl_Ventes[[#This Row],[Cde_Prdt]], tbl_Produits[Cde_Prdt], tbl_Produits[Prix Menu]), 0)</f>
        <v>0</v>
      </c>
      <c r="H2159" s="7">
        <f>IFERROR(_xlfn.XLOOKUP(tbl_Ventes[[#This Row],[Cde_Prdt]], tbl_Produits[Cde_Prdt], tbl_Produits[Coût Moyen Portion]), 0)</f>
        <v>0</v>
      </c>
      <c r="I2159" s="7">
        <f>tbl_Ventes[[#This Row],[Qté Vendue]] * tbl_Ventes[[#This Row],[CMP_par_portion]]</f>
        <v>0</v>
      </c>
      <c r="J2159" s="7">
        <f>tbl_Ventes[[#This Row],[CA ligne]] - tbl_Ventes[[#This Row],[Coût matière ligne]]</f>
        <v>0</v>
      </c>
      <c r="K2159" s="7" t="str">
        <f>IFERROR(INDEX(tbl_ProduitsRef[Famille], MATCH(tbl_Ventes[[#This Row],[Cde_Prdt]], tbl_Produits[Cde_Prdt], 0)), "")</f>
        <v/>
      </c>
    </row>
    <row r="2160" spans="1:11" x14ac:dyDescent="0.25">
      <c r="A2160" s="5"/>
      <c r="B2160" s="63" t="str">
        <f>IFERROR(TEXT(tbl_Ventes[[#This Row],[Date]],"mm-aaaa"),"")</f>
        <v>01-1900</v>
      </c>
      <c r="D2160" s="10" t="str">
        <f>IFERROR(
   INDEX(tbl_ProduitsRef[Cde_Prdt],MATCH(tbl_Ventes[[#This Row],[Produit]],tbl_ProduitsRef[Produit],0)),
   ""
)</f>
        <v/>
      </c>
      <c r="E2160" s="7">
        <v>0</v>
      </c>
      <c r="F2160" s="7" t="str">
        <f>IFERROR(
   INDEX(tbl_ProduitsRef[Prix Menu],MATCH(tbl_Ventes[[#This Row],[Produit]],tbl_ProduitsRef[Produit],0)),
   ""
)</f>
        <v/>
      </c>
      <c r="G2160" s="7">
        <f>tbl_Ventes[[#This Row],[Qté Vendue]] * IFERROR(_xlfn.XLOOKUP(tbl_Ventes[[#This Row],[Cde_Prdt]], tbl_Produits[Cde_Prdt], tbl_Produits[Prix Menu]), 0)</f>
        <v>0</v>
      </c>
      <c r="H2160" s="7">
        <f>IFERROR(_xlfn.XLOOKUP(tbl_Ventes[[#This Row],[Cde_Prdt]], tbl_Produits[Cde_Prdt], tbl_Produits[Coût Moyen Portion]), 0)</f>
        <v>0</v>
      </c>
      <c r="I2160" s="7">
        <f>tbl_Ventes[[#This Row],[Qté Vendue]] * tbl_Ventes[[#This Row],[CMP_par_portion]]</f>
        <v>0</v>
      </c>
      <c r="J2160" s="7">
        <f>tbl_Ventes[[#This Row],[CA ligne]] - tbl_Ventes[[#This Row],[Coût matière ligne]]</f>
        <v>0</v>
      </c>
      <c r="K2160" s="7" t="str">
        <f>IFERROR(INDEX(tbl_ProduitsRef[Famille], MATCH(tbl_Ventes[[#This Row],[Cde_Prdt]], tbl_Produits[Cde_Prdt], 0)), "")</f>
        <v/>
      </c>
    </row>
    <row r="2161" spans="1:11" x14ac:dyDescent="0.25">
      <c r="A2161" s="5"/>
      <c r="B2161" s="63" t="str">
        <f>IFERROR(TEXT(tbl_Ventes[[#This Row],[Date]],"mm-aaaa"),"")</f>
        <v>01-1900</v>
      </c>
      <c r="D2161" s="10" t="str">
        <f>IFERROR(
   INDEX(tbl_ProduitsRef[Cde_Prdt],MATCH(tbl_Ventes[[#This Row],[Produit]],tbl_ProduitsRef[Produit],0)),
   ""
)</f>
        <v/>
      </c>
      <c r="E2161" s="7">
        <v>0</v>
      </c>
      <c r="F2161" s="7" t="str">
        <f>IFERROR(
   INDEX(tbl_ProduitsRef[Prix Menu],MATCH(tbl_Ventes[[#This Row],[Produit]],tbl_ProduitsRef[Produit],0)),
   ""
)</f>
        <v/>
      </c>
      <c r="G2161" s="7">
        <f>tbl_Ventes[[#This Row],[Qté Vendue]] * IFERROR(_xlfn.XLOOKUP(tbl_Ventes[[#This Row],[Cde_Prdt]], tbl_Produits[Cde_Prdt], tbl_Produits[Prix Menu]), 0)</f>
        <v>0</v>
      </c>
      <c r="H2161" s="7">
        <f>IFERROR(_xlfn.XLOOKUP(tbl_Ventes[[#This Row],[Cde_Prdt]], tbl_Produits[Cde_Prdt], tbl_Produits[Coût Moyen Portion]), 0)</f>
        <v>0</v>
      </c>
      <c r="I2161" s="7">
        <f>tbl_Ventes[[#This Row],[Qté Vendue]] * tbl_Ventes[[#This Row],[CMP_par_portion]]</f>
        <v>0</v>
      </c>
      <c r="J2161" s="7">
        <f>tbl_Ventes[[#This Row],[CA ligne]] - tbl_Ventes[[#This Row],[Coût matière ligne]]</f>
        <v>0</v>
      </c>
      <c r="K2161" s="7" t="str">
        <f>IFERROR(INDEX(tbl_ProduitsRef[Famille], MATCH(tbl_Ventes[[#This Row],[Cde_Prdt]], tbl_Produits[Cde_Prdt], 0)), "")</f>
        <v/>
      </c>
    </row>
    <row r="2162" spans="1:11" x14ac:dyDescent="0.25">
      <c r="A2162" s="5"/>
      <c r="B2162" s="63" t="str">
        <f>IFERROR(TEXT(tbl_Ventes[[#This Row],[Date]],"mm-aaaa"),"")</f>
        <v>01-1900</v>
      </c>
      <c r="D2162" s="10" t="str">
        <f>IFERROR(
   INDEX(tbl_ProduitsRef[Cde_Prdt],MATCH(tbl_Ventes[[#This Row],[Produit]],tbl_ProduitsRef[Produit],0)),
   ""
)</f>
        <v/>
      </c>
      <c r="E2162" s="7">
        <v>0</v>
      </c>
      <c r="F2162" s="7" t="str">
        <f>IFERROR(
   INDEX(tbl_ProduitsRef[Prix Menu],MATCH(tbl_Ventes[[#This Row],[Produit]],tbl_ProduitsRef[Produit],0)),
   ""
)</f>
        <v/>
      </c>
      <c r="G2162" s="7">
        <f>tbl_Ventes[[#This Row],[Qté Vendue]] * IFERROR(_xlfn.XLOOKUP(tbl_Ventes[[#This Row],[Cde_Prdt]], tbl_Produits[Cde_Prdt], tbl_Produits[Prix Menu]), 0)</f>
        <v>0</v>
      </c>
      <c r="H2162" s="7">
        <f>IFERROR(_xlfn.XLOOKUP(tbl_Ventes[[#This Row],[Cde_Prdt]], tbl_Produits[Cde_Prdt], tbl_Produits[Coût Moyen Portion]), 0)</f>
        <v>0</v>
      </c>
      <c r="I2162" s="7">
        <f>tbl_Ventes[[#This Row],[Qté Vendue]] * tbl_Ventes[[#This Row],[CMP_par_portion]]</f>
        <v>0</v>
      </c>
      <c r="J2162" s="7">
        <f>tbl_Ventes[[#This Row],[CA ligne]] - tbl_Ventes[[#This Row],[Coût matière ligne]]</f>
        <v>0</v>
      </c>
      <c r="K2162" s="7" t="str">
        <f>IFERROR(INDEX(tbl_ProduitsRef[Famille], MATCH(tbl_Ventes[[#This Row],[Cde_Prdt]], tbl_Produits[Cde_Prdt], 0)), "")</f>
        <v/>
      </c>
    </row>
    <row r="2163" spans="1:11" x14ac:dyDescent="0.25">
      <c r="A2163" s="5"/>
      <c r="B2163" s="63" t="str">
        <f>IFERROR(TEXT(tbl_Ventes[[#This Row],[Date]],"mm-aaaa"),"")</f>
        <v>01-1900</v>
      </c>
      <c r="D2163" s="10" t="str">
        <f>IFERROR(
   INDEX(tbl_ProduitsRef[Cde_Prdt],MATCH(tbl_Ventes[[#This Row],[Produit]],tbl_ProduitsRef[Produit],0)),
   ""
)</f>
        <v/>
      </c>
      <c r="E2163" s="7">
        <v>0</v>
      </c>
      <c r="F2163" s="7" t="str">
        <f>IFERROR(
   INDEX(tbl_ProduitsRef[Prix Menu],MATCH(tbl_Ventes[[#This Row],[Produit]],tbl_ProduitsRef[Produit],0)),
   ""
)</f>
        <v/>
      </c>
      <c r="G2163" s="7">
        <f>tbl_Ventes[[#This Row],[Qté Vendue]] * IFERROR(_xlfn.XLOOKUP(tbl_Ventes[[#This Row],[Cde_Prdt]], tbl_Produits[Cde_Prdt], tbl_Produits[Prix Menu]), 0)</f>
        <v>0</v>
      </c>
      <c r="H2163" s="7">
        <f>IFERROR(_xlfn.XLOOKUP(tbl_Ventes[[#This Row],[Cde_Prdt]], tbl_Produits[Cde_Prdt], tbl_Produits[Coût Moyen Portion]), 0)</f>
        <v>0</v>
      </c>
      <c r="I2163" s="7">
        <f>tbl_Ventes[[#This Row],[Qté Vendue]] * tbl_Ventes[[#This Row],[CMP_par_portion]]</f>
        <v>0</v>
      </c>
      <c r="J2163" s="7">
        <f>tbl_Ventes[[#This Row],[CA ligne]] - tbl_Ventes[[#This Row],[Coût matière ligne]]</f>
        <v>0</v>
      </c>
      <c r="K2163" s="7" t="str">
        <f>IFERROR(INDEX(tbl_ProduitsRef[Famille], MATCH(tbl_Ventes[[#This Row],[Cde_Prdt]], tbl_Produits[Cde_Prdt], 0)), "")</f>
        <v/>
      </c>
    </row>
    <row r="2164" spans="1:11" x14ac:dyDescent="0.25">
      <c r="A2164" s="5"/>
      <c r="B2164" s="63" t="str">
        <f>IFERROR(TEXT(tbl_Ventes[[#This Row],[Date]],"mm-aaaa"),"")</f>
        <v>01-1900</v>
      </c>
      <c r="D2164" s="10" t="str">
        <f>IFERROR(
   INDEX(tbl_ProduitsRef[Cde_Prdt],MATCH(tbl_Ventes[[#This Row],[Produit]],tbl_ProduitsRef[Produit],0)),
   ""
)</f>
        <v/>
      </c>
      <c r="E2164" s="7">
        <v>0</v>
      </c>
      <c r="F2164" s="7" t="str">
        <f>IFERROR(
   INDEX(tbl_ProduitsRef[Prix Menu],MATCH(tbl_Ventes[[#This Row],[Produit]],tbl_ProduitsRef[Produit],0)),
   ""
)</f>
        <v/>
      </c>
      <c r="G2164" s="7">
        <f>tbl_Ventes[[#This Row],[Qté Vendue]] * IFERROR(_xlfn.XLOOKUP(tbl_Ventes[[#This Row],[Cde_Prdt]], tbl_Produits[Cde_Prdt], tbl_Produits[Prix Menu]), 0)</f>
        <v>0</v>
      </c>
      <c r="H2164" s="7">
        <f>IFERROR(_xlfn.XLOOKUP(tbl_Ventes[[#This Row],[Cde_Prdt]], tbl_Produits[Cde_Prdt], tbl_Produits[Coût Moyen Portion]), 0)</f>
        <v>0</v>
      </c>
      <c r="I2164" s="7">
        <f>tbl_Ventes[[#This Row],[Qté Vendue]] * tbl_Ventes[[#This Row],[CMP_par_portion]]</f>
        <v>0</v>
      </c>
      <c r="J2164" s="7">
        <f>tbl_Ventes[[#This Row],[CA ligne]] - tbl_Ventes[[#This Row],[Coût matière ligne]]</f>
        <v>0</v>
      </c>
      <c r="K2164" s="7" t="str">
        <f>IFERROR(INDEX(tbl_ProduitsRef[Famille], MATCH(tbl_Ventes[[#This Row],[Cde_Prdt]], tbl_Produits[Cde_Prdt], 0)), "")</f>
        <v/>
      </c>
    </row>
    <row r="2165" spans="1:11" x14ac:dyDescent="0.25">
      <c r="A2165" s="5"/>
      <c r="B2165" s="63" t="str">
        <f>IFERROR(TEXT(tbl_Ventes[[#This Row],[Date]],"mm-aaaa"),"")</f>
        <v>01-1900</v>
      </c>
      <c r="D2165" s="10" t="str">
        <f>IFERROR(
   INDEX(tbl_ProduitsRef[Cde_Prdt],MATCH(tbl_Ventes[[#This Row],[Produit]],tbl_ProduitsRef[Produit],0)),
   ""
)</f>
        <v/>
      </c>
      <c r="E2165" s="7">
        <v>0</v>
      </c>
      <c r="F2165" s="7" t="str">
        <f>IFERROR(
   INDEX(tbl_ProduitsRef[Prix Menu],MATCH(tbl_Ventes[[#This Row],[Produit]],tbl_ProduitsRef[Produit],0)),
   ""
)</f>
        <v/>
      </c>
      <c r="G2165" s="7">
        <f>tbl_Ventes[[#This Row],[Qté Vendue]] * IFERROR(_xlfn.XLOOKUP(tbl_Ventes[[#This Row],[Cde_Prdt]], tbl_Produits[Cde_Prdt], tbl_Produits[Prix Menu]), 0)</f>
        <v>0</v>
      </c>
      <c r="H2165" s="7">
        <f>IFERROR(_xlfn.XLOOKUP(tbl_Ventes[[#This Row],[Cde_Prdt]], tbl_Produits[Cde_Prdt], tbl_Produits[Coût Moyen Portion]), 0)</f>
        <v>0</v>
      </c>
      <c r="I2165" s="7">
        <f>tbl_Ventes[[#This Row],[Qté Vendue]] * tbl_Ventes[[#This Row],[CMP_par_portion]]</f>
        <v>0</v>
      </c>
      <c r="J2165" s="7">
        <f>tbl_Ventes[[#This Row],[CA ligne]] - tbl_Ventes[[#This Row],[Coût matière ligne]]</f>
        <v>0</v>
      </c>
      <c r="K2165" s="7" t="str">
        <f>IFERROR(INDEX(tbl_ProduitsRef[Famille], MATCH(tbl_Ventes[[#This Row],[Cde_Prdt]], tbl_Produits[Cde_Prdt], 0)), "")</f>
        <v/>
      </c>
    </row>
    <row r="2166" spans="1:11" x14ac:dyDescent="0.25">
      <c r="A2166" s="5"/>
      <c r="B2166" s="63" t="str">
        <f>IFERROR(TEXT(tbl_Ventes[[#This Row],[Date]],"mm-aaaa"),"")</f>
        <v>01-1900</v>
      </c>
      <c r="D2166" s="10" t="str">
        <f>IFERROR(
   INDEX(tbl_ProduitsRef[Cde_Prdt],MATCH(tbl_Ventes[[#This Row],[Produit]],tbl_ProduitsRef[Produit],0)),
   ""
)</f>
        <v/>
      </c>
      <c r="E2166" s="7">
        <v>0</v>
      </c>
      <c r="F2166" s="7" t="str">
        <f>IFERROR(
   INDEX(tbl_ProduitsRef[Prix Menu],MATCH(tbl_Ventes[[#This Row],[Produit]],tbl_ProduitsRef[Produit],0)),
   ""
)</f>
        <v/>
      </c>
      <c r="G2166" s="7">
        <f>tbl_Ventes[[#This Row],[Qté Vendue]] * IFERROR(_xlfn.XLOOKUP(tbl_Ventes[[#This Row],[Cde_Prdt]], tbl_Produits[Cde_Prdt], tbl_Produits[Prix Menu]), 0)</f>
        <v>0</v>
      </c>
      <c r="H2166" s="7">
        <f>IFERROR(_xlfn.XLOOKUP(tbl_Ventes[[#This Row],[Cde_Prdt]], tbl_Produits[Cde_Prdt], tbl_Produits[Coût Moyen Portion]), 0)</f>
        <v>0</v>
      </c>
      <c r="I2166" s="7">
        <f>tbl_Ventes[[#This Row],[Qté Vendue]] * tbl_Ventes[[#This Row],[CMP_par_portion]]</f>
        <v>0</v>
      </c>
      <c r="J2166" s="7">
        <f>tbl_Ventes[[#This Row],[CA ligne]] - tbl_Ventes[[#This Row],[Coût matière ligne]]</f>
        <v>0</v>
      </c>
      <c r="K2166" s="7" t="str">
        <f>IFERROR(INDEX(tbl_ProduitsRef[Famille], MATCH(tbl_Ventes[[#This Row],[Cde_Prdt]], tbl_Produits[Cde_Prdt], 0)), "")</f>
        <v/>
      </c>
    </row>
    <row r="2167" spans="1:11" x14ac:dyDescent="0.25">
      <c r="A2167" s="5"/>
      <c r="B2167" s="63" t="str">
        <f>IFERROR(TEXT(tbl_Ventes[[#This Row],[Date]],"mm-aaaa"),"")</f>
        <v>01-1900</v>
      </c>
      <c r="D2167" s="10" t="str">
        <f>IFERROR(
   INDEX(tbl_ProduitsRef[Cde_Prdt],MATCH(tbl_Ventes[[#This Row],[Produit]],tbl_ProduitsRef[Produit],0)),
   ""
)</f>
        <v/>
      </c>
      <c r="E2167" s="7">
        <v>0</v>
      </c>
      <c r="F2167" s="7" t="str">
        <f>IFERROR(
   INDEX(tbl_ProduitsRef[Prix Menu],MATCH(tbl_Ventes[[#This Row],[Produit]],tbl_ProduitsRef[Produit],0)),
   ""
)</f>
        <v/>
      </c>
      <c r="G2167" s="7">
        <f>tbl_Ventes[[#This Row],[Qté Vendue]] * IFERROR(_xlfn.XLOOKUP(tbl_Ventes[[#This Row],[Cde_Prdt]], tbl_Produits[Cde_Prdt], tbl_Produits[Prix Menu]), 0)</f>
        <v>0</v>
      </c>
      <c r="H2167" s="7">
        <f>IFERROR(_xlfn.XLOOKUP(tbl_Ventes[[#This Row],[Cde_Prdt]], tbl_Produits[Cde_Prdt], tbl_Produits[Coût Moyen Portion]), 0)</f>
        <v>0</v>
      </c>
      <c r="I2167" s="7">
        <f>tbl_Ventes[[#This Row],[Qté Vendue]] * tbl_Ventes[[#This Row],[CMP_par_portion]]</f>
        <v>0</v>
      </c>
      <c r="J2167" s="7">
        <f>tbl_Ventes[[#This Row],[CA ligne]] - tbl_Ventes[[#This Row],[Coût matière ligne]]</f>
        <v>0</v>
      </c>
      <c r="K2167" s="7" t="str">
        <f>IFERROR(INDEX(tbl_ProduitsRef[Famille], MATCH(tbl_Ventes[[#This Row],[Cde_Prdt]], tbl_Produits[Cde_Prdt], 0)), "")</f>
        <v/>
      </c>
    </row>
    <row r="2168" spans="1:11" x14ac:dyDescent="0.25">
      <c r="A2168" s="5"/>
      <c r="B2168" s="63" t="str">
        <f>IFERROR(TEXT(tbl_Ventes[[#This Row],[Date]],"mm-aaaa"),"")</f>
        <v>01-1900</v>
      </c>
      <c r="D2168" s="10" t="str">
        <f>IFERROR(
   INDEX(tbl_ProduitsRef[Cde_Prdt],MATCH(tbl_Ventes[[#This Row],[Produit]],tbl_ProduitsRef[Produit],0)),
   ""
)</f>
        <v/>
      </c>
      <c r="E2168" s="7">
        <v>0</v>
      </c>
      <c r="F2168" s="7" t="str">
        <f>IFERROR(
   INDEX(tbl_ProduitsRef[Prix Menu],MATCH(tbl_Ventes[[#This Row],[Produit]],tbl_ProduitsRef[Produit],0)),
   ""
)</f>
        <v/>
      </c>
      <c r="G2168" s="7">
        <f>tbl_Ventes[[#This Row],[Qté Vendue]] * IFERROR(_xlfn.XLOOKUP(tbl_Ventes[[#This Row],[Cde_Prdt]], tbl_Produits[Cde_Prdt], tbl_Produits[Prix Menu]), 0)</f>
        <v>0</v>
      </c>
      <c r="H2168" s="7">
        <f>IFERROR(_xlfn.XLOOKUP(tbl_Ventes[[#This Row],[Cde_Prdt]], tbl_Produits[Cde_Prdt], tbl_Produits[Coût Moyen Portion]), 0)</f>
        <v>0</v>
      </c>
      <c r="I2168" s="7">
        <f>tbl_Ventes[[#This Row],[Qté Vendue]] * tbl_Ventes[[#This Row],[CMP_par_portion]]</f>
        <v>0</v>
      </c>
      <c r="J2168" s="7">
        <f>tbl_Ventes[[#This Row],[CA ligne]] - tbl_Ventes[[#This Row],[Coût matière ligne]]</f>
        <v>0</v>
      </c>
      <c r="K2168" s="7" t="str">
        <f>IFERROR(INDEX(tbl_ProduitsRef[Famille], MATCH(tbl_Ventes[[#This Row],[Cde_Prdt]], tbl_Produits[Cde_Prdt], 0)), "")</f>
        <v/>
      </c>
    </row>
    <row r="2169" spans="1:11" x14ac:dyDescent="0.25">
      <c r="A2169" s="5"/>
      <c r="B2169" s="63" t="str">
        <f>IFERROR(TEXT(tbl_Ventes[[#This Row],[Date]],"mm-aaaa"),"")</f>
        <v>01-1900</v>
      </c>
      <c r="D2169" s="10" t="str">
        <f>IFERROR(
   INDEX(tbl_ProduitsRef[Cde_Prdt],MATCH(tbl_Ventes[[#This Row],[Produit]],tbl_ProduitsRef[Produit],0)),
   ""
)</f>
        <v/>
      </c>
      <c r="E2169" s="7">
        <v>0</v>
      </c>
      <c r="F2169" s="7" t="str">
        <f>IFERROR(
   INDEX(tbl_ProduitsRef[Prix Menu],MATCH(tbl_Ventes[[#This Row],[Produit]],tbl_ProduitsRef[Produit],0)),
   ""
)</f>
        <v/>
      </c>
      <c r="G2169" s="7">
        <f>tbl_Ventes[[#This Row],[Qté Vendue]] * IFERROR(_xlfn.XLOOKUP(tbl_Ventes[[#This Row],[Cde_Prdt]], tbl_Produits[Cde_Prdt], tbl_Produits[Prix Menu]), 0)</f>
        <v>0</v>
      </c>
      <c r="H2169" s="7">
        <f>IFERROR(_xlfn.XLOOKUP(tbl_Ventes[[#This Row],[Cde_Prdt]], tbl_Produits[Cde_Prdt], tbl_Produits[Coût Moyen Portion]), 0)</f>
        <v>0</v>
      </c>
      <c r="I2169" s="7">
        <f>tbl_Ventes[[#This Row],[Qté Vendue]] * tbl_Ventes[[#This Row],[CMP_par_portion]]</f>
        <v>0</v>
      </c>
      <c r="J2169" s="7">
        <f>tbl_Ventes[[#This Row],[CA ligne]] - tbl_Ventes[[#This Row],[Coût matière ligne]]</f>
        <v>0</v>
      </c>
      <c r="K2169" s="7" t="str">
        <f>IFERROR(INDEX(tbl_ProduitsRef[Famille], MATCH(tbl_Ventes[[#This Row],[Cde_Prdt]], tbl_Produits[Cde_Prdt], 0)), "")</f>
        <v/>
      </c>
    </row>
    <row r="2170" spans="1:11" x14ac:dyDescent="0.25">
      <c r="A2170" s="5"/>
      <c r="B2170" s="63" t="str">
        <f>IFERROR(TEXT(tbl_Ventes[[#This Row],[Date]],"mm-aaaa"),"")</f>
        <v>01-1900</v>
      </c>
      <c r="D2170" s="10" t="str">
        <f>IFERROR(
   INDEX(tbl_ProduitsRef[Cde_Prdt],MATCH(tbl_Ventes[[#This Row],[Produit]],tbl_ProduitsRef[Produit],0)),
   ""
)</f>
        <v/>
      </c>
      <c r="E2170" s="7">
        <v>0</v>
      </c>
      <c r="F2170" s="7" t="str">
        <f>IFERROR(
   INDEX(tbl_ProduitsRef[Prix Menu],MATCH(tbl_Ventes[[#This Row],[Produit]],tbl_ProduitsRef[Produit],0)),
   ""
)</f>
        <v/>
      </c>
      <c r="G2170" s="7">
        <f>tbl_Ventes[[#This Row],[Qté Vendue]] * IFERROR(_xlfn.XLOOKUP(tbl_Ventes[[#This Row],[Cde_Prdt]], tbl_Produits[Cde_Prdt], tbl_Produits[Prix Menu]), 0)</f>
        <v>0</v>
      </c>
      <c r="H2170" s="7">
        <f>IFERROR(_xlfn.XLOOKUP(tbl_Ventes[[#This Row],[Cde_Prdt]], tbl_Produits[Cde_Prdt], tbl_Produits[Coût Moyen Portion]), 0)</f>
        <v>0</v>
      </c>
      <c r="I2170" s="7">
        <f>tbl_Ventes[[#This Row],[Qté Vendue]] * tbl_Ventes[[#This Row],[CMP_par_portion]]</f>
        <v>0</v>
      </c>
      <c r="J2170" s="7">
        <f>tbl_Ventes[[#This Row],[CA ligne]] - tbl_Ventes[[#This Row],[Coût matière ligne]]</f>
        <v>0</v>
      </c>
      <c r="K2170" s="7" t="str">
        <f>IFERROR(INDEX(tbl_ProduitsRef[Famille], MATCH(tbl_Ventes[[#This Row],[Cde_Prdt]], tbl_Produits[Cde_Prdt], 0)), "")</f>
        <v/>
      </c>
    </row>
    <row r="2171" spans="1:11" x14ac:dyDescent="0.25">
      <c r="A2171" s="5"/>
      <c r="B2171" s="63" t="str">
        <f>IFERROR(TEXT(tbl_Ventes[[#This Row],[Date]],"mm-aaaa"),"")</f>
        <v>01-1900</v>
      </c>
      <c r="D2171" s="10" t="str">
        <f>IFERROR(
   INDEX(tbl_ProduitsRef[Cde_Prdt],MATCH(tbl_Ventes[[#This Row],[Produit]],tbl_ProduitsRef[Produit],0)),
   ""
)</f>
        <v/>
      </c>
      <c r="E2171" s="7">
        <v>0</v>
      </c>
      <c r="F2171" s="7" t="str">
        <f>IFERROR(
   INDEX(tbl_ProduitsRef[Prix Menu],MATCH(tbl_Ventes[[#This Row],[Produit]],tbl_ProduitsRef[Produit],0)),
   ""
)</f>
        <v/>
      </c>
      <c r="G2171" s="7">
        <f>tbl_Ventes[[#This Row],[Qté Vendue]] * IFERROR(_xlfn.XLOOKUP(tbl_Ventes[[#This Row],[Cde_Prdt]], tbl_Produits[Cde_Prdt], tbl_Produits[Prix Menu]), 0)</f>
        <v>0</v>
      </c>
      <c r="H2171" s="7">
        <f>IFERROR(_xlfn.XLOOKUP(tbl_Ventes[[#This Row],[Cde_Prdt]], tbl_Produits[Cde_Prdt], tbl_Produits[Coût Moyen Portion]), 0)</f>
        <v>0</v>
      </c>
      <c r="I2171" s="7">
        <f>tbl_Ventes[[#This Row],[Qté Vendue]] * tbl_Ventes[[#This Row],[CMP_par_portion]]</f>
        <v>0</v>
      </c>
      <c r="J2171" s="7">
        <f>tbl_Ventes[[#This Row],[CA ligne]] - tbl_Ventes[[#This Row],[Coût matière ligne]]</f>
        <v>0</v>
      </c>
      <c r="K2171" s="7" t="str">
        <f>IFERROR(INDEX(tbl_ProduitsRef[Famille], MATCH(tbl_Ventes[[#This Row],[Cde_Prdt]], tbl_Produits[Cde_Prdt], 0)), "")</f>
        <v/>
      </c>
    </row>
    <row r="2172" spans="1:11" x14ac:dyDescent="0.25">
      <c r="A2172" s="5"/>
      <c r="B2172" s="63" t="str">
        <f>IFERROR(TEXT(tbl_Ventes[[#This Row],[Date]],"mm-aaaa"),"")</f>
        <v>01-1900</v>
      </c>
      <c r="D2172" s="10" t="str">
        <f>IFERROR(
   INDEX(tbl_ProduitsRef[Cde_Prdt],MATCH(tbl_Ventes[[#This Row],[Produit]],tbl_ProduitsRef[Produit],0)),
   ""
)</f>
        <v/>
      </c>
      <c r="E2172" s="7">
        <v>0</v>
      </c>
      <c r="F2172" s="7" t="str">
        <f>IFERROR(
   INDEX(tbl_ProduitsRef[Prix Menu],MATCH(tbl_Ventes[[#This Row],[Produit]],tbl_ProduitsRef[Produit],0)),
   ""
)</f>
        <v/>
      </c>
      <c r="G2172" s="7">
        <f>tbl_Ventes[[#This Row],[Qté Vendue]] * IFERROR(_xlfn.XLOOKUP(tbl_Ventes[[#This Row],[Cde_Prdt]], tbl_Produits[Cde_Prdt], tbl_Produits[Prix Menu]), 0)</f>
        <v>0</v>
      </c>
      <c r="H2172" s="7">
        <f>IFERROR(_xlfn.XLOOKUP(tbl_Ventes[[#This Row],[Cde_Prdt]], tbl_Produits[Cde_Prdt], tbl_Produits[Coût Moyen Portion]), 0)</f>
        <v>0</v>
      </c>
      <c r="I2172" s="7">
        <f>tbl_Ventes[[#This Row],[Qté Vendue]] * tbl_Ventes[[#This Row],[CMP_par_portion]]</f>
        <v>0</v>
      </c>
      <c r="J2172" s="7">
        <f>tbl_Ventes[[#This Row],[CA ligne]] - tbl_Ventes[[#This Row],[Coût matière ligne]]</f>
        <v>0</v>
      </c>
      <c r="K2172" s="7" t="str">
        <f>IFERROR(INDEX(tbl_ProduitsRef[Famille], MATCH(tbl_Ventes[[#This Row],[Cde_Prdt]], tbl_Produits[Cde_Prdt], 0)), "")</f>
        <v/>
      </c>
    </row>
    <row r="2173" spans="1:11" x14ac:dyDescent="0.25">
      <c r="A2173" s="5"/>
      <c r="B2173" s="63" t="str">
        <f>IFERROR(TEXT(tbl_Ventes[[#This Row],[Date]],"mm-aaaa"),"")</f>
        <v>01-1900</v>
      </c>
      <c r="D2173" s="10" t="str">
        <f>IFERROR(
   INDEX(tbl_ProduitsRef[Cde_Prdt],MATCH(tbl_Ventes[[#This Row],[Produit]],tbl_ProduitsRef[Produit],0)),
   ""
)</f>
        <v/>
      </c>
      <c r="E2173" s="7">
        <v>0</v>
      </c>
      <c r="F2173" s="7" t="str">
        <f>IFERROR(
   INDEX(tbl_ProduitsRef[Prix Menu],MATCH(tbl_Ventes[[#This Row],[Produit]],tbl_ProduitsRef[Produit],0)),
   ""
)</f>
        <v/>
      </c>
      <c r="G2173" s="7">
        <f>tbl_Ventes[[#This Row],[Qté Vendue]] * IFERROR(_xlfn.XLOOKUP(tbl_Ventes[[#This Row],[Cde_Prdt]], tbl_Produits[Cde_Prdt], tbl_Produits[Prix Menu]), 0)</f>
        <v>0</v>
      </c>
      <c r="H2173" s="7">
        <f>IFERROR(_xlfn.XLOOKUP(tbl_Ventes[[#This Row],[Cde_Prdt]], tbl_Produits[Cde_Prdt], tbl_Produits[Coût Moyen Portion]), 0)</f>
        <v>0</v>
      </c>
      <c r="I2173" s="7">
        <f>tbl_Ventes[[#This Row],[Qté Vendue]] * tbl_Ventes[[#This Row],[CMP_par_portion]]</f>
        <v>0</v>
      </c>
      <c r="J2173" s="7">
        <f>tbl_Ventes[[#This Row],[CA ligne]] - tbl_Ventes[[#This Row],[Coût matière ligne]]</f>
        <v>0</v>
      </c>
      <c r="K2173" s="7" t="str">
        <f>IFERROR(INDEX(tbl_ProduitsRef[Famille], MATCH(tbl_Ventes[[#This Row],[Cde_Prdt]], tbl_Produits[Cde_Prdt], 0)), "")</f>
        <v/>
      </c>
    </row>
    <row r="2174" spans="1:11" x14ac:dyDescent="0.25">
      <c r="A2174" s="5"/>
      <c r="B2174" s="63" t="str">
        <f>IFERROR(TEXT(tbl_Ventes[[#This Row],[Date]],"mm-aaaa"),"")</f>
        <v>01-1900</v>
      </c>
      <c r="D2174" s="10" t="str">
        <f>IFERROR(
   INDEX(tbl_ProduitsRef[Cde_Prdt],MATCH(tbl_Ventes[[#This Row],[Produit]],tbl_ProduitsRef[Produit],0)),
   ""
)</f>
        <v/>
      </c>
      <c r="E2174" s="7">
        <v>0</v>
      </c>
      <c r="F2174" s="7" t="str">
        <f>IFERROR(
   INDEX(tbl_ProduitsRef[Prix Menu],MATCH(tbl_Ventes[[#This Row],[Produit]],tbl_ProduitsRef[Produit],0)),
   ""
)</f>
        <v/>
      </c>
      <c r="G2174" s="7">
        <f>tbl_Ventes[[#This Row],[Qté Vendue]] * IFERROR(_xlfn.XLOOKUP(tbl_Ventes[[#This Row],[Cde_Prdt]], tbl_Produits[Cde_Prdt], tbl_Produits[Prix Menu]), 0)</f>
        <v>0</v>
      </c>
      <c r="H2174" s="7">
        <f>IFERROR(_xlfn.XLOOKUP(tbl_Ventes[[#This Row],[Cde_Prdt]], tbl_Produits[Cde_Prdt], tbl_Produits[Coût Moyen Portion]), 0)</f>
        <v>0</v>
      </c>
      <c r="I2174" s="7">
        <f>tbl_Ventes[[#This Row],[Qté Vendue]] * tbl_Ventes[[#This Row],[CMP_par_portion]]</f>
        <v>0</v>
      </c>
      <c r="J2174" s="7">
        <f>tbl_Ventes[[#This Row],[CA ligne]] - tbl_Ventes[[#This Row],[Coût matière ligne]]</f>
        <v>0</v>
      </c>
      <c r="K2174" s="7" t="str">
        <f>IFERROR(INDEX(tbl_ProduitsRef[Famille], MATCH(tbl_Ventes[[#This Row],[Cde_Prdt]], tbl_Produits[Cde_Prdt], 0)), "")</f>
        <v/>
      </c>
    </row>
    <row r="2175" spans="1:11" x14ac:dyDescent="0.25">
      <c r="A2175" s="5"/>
      <c r="B2175" s="63" t="str">
        <f>IFERROR(TEXT(tbl_Ventes[[#This Row],[Date]],"mm-aaaa"),"")</f>
        <v>01-1900</v>
      </c>
      <c r="D2175" s="10" t="str">
        <f>IFERROR(
   INDEX(tbl_ProduitsRef[Cde_Prdt],MATCH(tbl_Ventes[[#This Row],[Produit]],tbl_ProduitsRef[Produit],0)),
   ""
)</f>
        <v/>
      </c>
      <c r="E2175" s="7">
        <v>0</v>
      </c>
      <c r="F2175" s="7" t="str">
        <f>IFERROR(
   INDEX(tbl_ProduitsRef[Prix Menu],MATCH(tbl_Ventes[[#This Row],[Produit]],tbl_ProduitsRef[Produit],0)),
   ""
)</f>
        <v/>
      </c>
      <c r="G2175" s="7">
        <f>tbl_Ventes[[#This Row],[Qté Vendue]] * IFERROR(_xlfn.XLOOKUP(tbl_Ventes[[#This Row],[Cde_Prdt]], tbl_Produits[Cde_Prdt], tbl_Produits[Prix Menu]), 0)</f>
        <v>0</v>
      </c>
      <c r="H2175" s="7">
        <f>IFERROR(_xlfn.XLOOKUP(tbl_Ventes[[#This Row],[Cde_Prdt]], tbl_Produits[Cde_Prdt], tbl_Produits[Coût Moyen Portion]), 0)</f>
        <v>0</v>
      </c>
      <c r="I2175" s="7">
        <f>tbl_Ventes[[#This Row],[Qté Vendue]] * tbl_Ventes[[#This Row],[CMP_par_portion]]</f>
        <v>0</v>
      </c>
      <c r="J2175" s="7">
        <f>tbl_Ventes[[#This Row],[CA ligne]] - tbl_Ventes[[#This Row],[Coût matière ligne]]</f>
        <v>0</v>
      </c>
      <c r="K2175" s="7" t="str">
        <f>IFERROR(INDEX(tbl_ProduitsRef[Famille], MATCH(tbl_Ventes[[#This Row],[Cde_Prdt]], tbl_Produits[Cde_Prdt], 0)), "")</f>
        <v/>
      </c>
    </row>
    <row r="2176" spans="1:11" x14ac:dyDescent="0.25">
      <c r="A2176" s="5"/>
      <c r="B2176" s="63" t="str">
        <f>IFERROR(TEXT(tbl_Ventes[[#This Row],[Date]],"mm-aaaa"),"")</f>
        <v>01-1900</v>
      </c>
      <c r="D2176" s="10" t="str">
        <f>IFERROR(
   INDEX(tbl_ProduitsRef[Cde_Prdt],MATCH(tbl_Ventes[[#This Row],[Produit]],tbl_ProduitsRef[Produit],0)),
   ""
)</f>
        <v/>
      </c>
      <c r="E2176" s="7">
        <v>0</v>
      </c>
      <c r="F2176" s="7" t="str">
        <f>IFERROR(
   INDEX(tbl_ProduitsRef[Prix Menu],MATCH(tbl_Ventes[[#This Row],[Produit]],tbl_ProduitsRef[Produit],0)),
   ""
)</f>
        <v/>
      </c>
      <c r="G2176" s="7">
        <f>tbl_Ventes[[#This Row],[Qté Vendue]] * IFERROR(_xlfn.XLOOKUP(tbl_Ventes[[#This Row],[Cde_Prdt]], tbl_Produits[Cde_Prdt], tbl_Produits[Prix Menu]), 0)</f>
        <v>0</v>
      </c>
      <c r="H2176" s="7">
        <f>IFERROR(_xlfn.XLOOKUP(tbl_Ventes[[#This Row],[Cde_Prdt]], tbl_Produits[Cde_Prdt], tbl_Produits[Coût Moyen Portion]), 0)</f>
        <v>0</v>
      </c>
      <c r="I2176" s="7">
        <f>tbl_Ventes[[#This Row],[Qté Vendue]] * tbl_Ventes[[#This Row],[CMP_par_portion]]</f>
        <v>0</v>
      </c>
      <c r="J2176" s="7">
        <f>tbl_Ventes[[#This Row],[CA ligne]] - tbl_Ventes[[#This Row],[Coût matière ligne]]</f>
        <v>0</v>
      </c>
      <c r="K2176" s="7" t="str">
        <f>IFERROR(INDEX(tbl_ProduitsRef[Famille], MATCH(tbl_Ventes[[#This Row],[Cde_Prdt]], tbl_Produits[Cde_Prdt], 0)), "")</f>
        <v/>
      </c>
    </row>
    <row r="2177" spans="1:11" x14ac:dyDescent="0.25">
      <c r="A2177" s="5"/>
      <c r="B2177" s="63" t="str">
        <f>IFERROR(TEXT(tbl_Ventes[[#This Row],[Date]],"mm-aaaa"),"")</f>
        <v>01-1900</v>
      </c>
      <c r="D2177" s="10" t="str">
        <f>IFERROR(
   INDEX(tbl_ProduitsRef[Cde_Prdt],MATCH(tbl_Ventes[[#This Row],[Produit]],tbl_ProduitsRef[Produit],0)),
   ""
)</f>
        <v/>
      </c>
      <c r="E2177" s="7">
        <v>0</v>
      </c>
      <c r="F2177" s="7" t="str">
        <f>IFERROR(
   INDEX(tbl_ProduitsRef[Prix Menu],MATCH(tbl_Ventes[[#This Row],[Produit]],tbl_ProduitsRef[Produit],0)),
   ""
)</f>
        <v/>
      </c>
      <c r="G2177" s="7">
        <f>tbl_Ventes[[#This Row],[Qté Vendue]] * IFERROR(_xlfn.XLOOKUP(tbl_Ventes[[#This Row],[Cde_Prdt]], tbl_Produits[Cde_Prdt], tbl_Produits[Prix Menu]), 0)</f>
        <v>0</v>
      </c>
      <c r="H2177" s="7">
        <f>IFERROR(_xlfn.XLOOKUP(tbl_Ventes[[#This Row],[Cde_Prdt]], tbl_Produits[Cde_Prdt], tbl_Produits[Coût Moyen Portion]), 0)</f>
        <v>0</v>
      </c>
      <c r="I2177" s="7">
        <f>tbl_Ventes[[#This Row],[Qté Vendue]] * tbl_Ventes[[#This Row],[CMP_par_portion]]</f>
        <v>0</v>
      </c>
      <c r="J2177" s="7">
        <f>tbl_Ventes[[#This Row],[CA ligne]] - tbl_Ventes[[#This Row],[Coût matière ligne]]</f>
        <v>0</v>
      </c>
      <c r="K2177" s="7" t="str">
        <f>IFERROR(INDEX(tbl_ProduitsRef[Famille], MATCH(tbl_Ventes[[#This Row],[Cde_Prdt]], tbl_Produits[Cde_Prdt], 0)), "")</f>
        <v/>
      </c>
    </row>
    <row r="2178" spans="1:11" x14ac:dyDescent="0.25">
      <c r="A2178" s="5"/>
      <c r="B2178" s="63" t="str">
        <f>IFERROR(TEXT(tbl_Ventes[[#This Row],[Date]],"mm-aaaa"),"")</f>
        <v>01-1900</v>
      </c>
      <c r="D2178" s="10" t="str">
        <f>IFERROR(
   INDEX(tbl_ProduitsRef[Cde_Prdt],MATCH(tbl_Ventes[[#This Row],[Produit]],tbl_ProduitsRef[Produit],0)),
   ""
)</f>
        <v/>
      </c>
      <c r="E2178" s="7">
        <v>0</v>
      </c>
      <c r="F2178" s="7" t="str">
        <f>IFERROR(
   INDEX(tbl_ProduitsRef[Prix Menu],MATCH(tbl_Ventes[[#This Row],[Produit]],tbl_ProduitsRef[Produit],0)),
   ""
)</f>
        <v/>
      </c>
      <c r="G2178" s="7">
        <f>tbl_Ventes[[#This Row],[Qté Vendue]] * IFERROR(_xlfn.XLOOKUP(tbl_Ventes[[#This Row],[Cde_Prdt]], tbl_Produits[Cde_Prdt], tbl_Produits[Prix Menu]), 0)</f>
        <v>0</v>
      </c>
      <c r="H2178" s="7">
        <f>IFERROR(_xlfn.XLOOKUP(tbl_Ventes[[#This Row],[Cde_Prdt]], tbl_Produits[Cde_Prdt], tbl_Produits[Coût Moyen Portion]), 0)</f>
        <v>0</v>
      </c>
      <c r="I2178" s="7">
        <f>tbl_Ventes[[#This Row],[Qté Vendue]] * tbl_Ventes[[#This Row],[CMP_par_portion]]</f>
        <v>0</v>
      </c>
      <c r="J2178" s="7">
        <f>tbl_Ventes[[#This Row],[CA ligne]] - tbl_Ventes[[#This Row],[Coût matière ligne]]</f>
        <v>0</v>
      </c>
      <c r="K2178" s="7" t="str">
        <f>IFERROR(INDEX(tbl_ProduitsRef[Famille], MATCH(tbl_Ventes[[#This Row],[Cde_Prdt]], tbl_Produits[Cde_Prdt], 0)), "")</f>
        <v/>
      </c>
    </row>
    <row r="2179" spans="1:11" x14ac:dyDescent="0.25">
      <c r="A2179" s="5"/>
      <c r="B2179" s="63" t="str">
        <f>IFERROR(TEXT(tbl_Ventes[[#This Row],[Date]],"mm-aaaa"),"")</f>
        <v>01-1900</v>
      </c>
      <c r="D2179" s="10" t="str">
        <f>IFERROR(
   INDEX(tbl_ProduitsRef[Cde_Prdt],MATCH(tbl_Ventes[[#This Row],[Produit]],tbl_ProduitsRef[Produit],0)),
   ""
)</f>
        <v/>
      </c>
      <c r="E2179" s="7">
        <v>0</v>
      </c>
      <c r="F2179" s="7" t="str">
        <f>IFERROR(
   INDEX(tbl_ProduitsRef[Prix Menu],MATCH(tbl_Ventes[[#This Row],[Produit]],tbl_ProduitsRef[Produit],0)),
   ""
)</f>
        <v/>
      </c>
      <c r="G2179" s="7">
        <f>tbl_Ventes[[#This Row],[Qté Vendue]] * IFERROR(_xlfn.XLOOKUP(tbl_Ventes[[#This Row],[Cde_Prdt]], tbl_Produits[Cde_Prdt], tbl_Produits[Prix Menu]), 0)</f>
        <v>0</v>
      </c>
      <c r="H2179" s="7">
        <f>IFERROR(_xlfn.XLOOKUP(tbl_Ventes[[#This Row],[Cde_Prdt]], tbl_Produits[Cde_Prdt], tbl_Produits[Coût Moyen Portion]), 0)</f>
        <v>0</v>
      </c>
      <c r="I2179" s="7">
        <f>tbl_Ventes[[#This Row],[Qté Vendue]] * tbl_Ventes[[#This Row],[CMP_par_portion]]</f>
        <v>0</v>
      </c>
      <c r="J2179" s="7">
        <f>tbl_Ventes[[#This Row],[CA ligne]] - tbl_Ventes[[#This Row],[Coût matière ligne]]</f>
        <v>0</v>
      </c>
      <c r="K2179" s="7" t="str">
        <f>IFERROR(INDEX(tbl_ProduitsRef[Famille], MATCH(tbl_Ventes[[#This Row],[Cde_Prdt]], tbl_Produits[Cde_Prdt], 0)), "")</f>
        <v/>
      </c>
    </row>
    <row r="2180" spans="1:11" x14ac:dyDescent="0.25">
      <c r="A2180" s="5"/>
      <c r="B2180" s="63" t="str">
        <f>IFERROR(TEXT(tbl_Ventes[[#This Row],[Date]],"mm-aaaa"),"")</f>
        <v>01-1900</v>
      </c>
      <c r="D2180" s="10" t="str">
        <f>IFERROR(
   INDEX(tbl_ProduitsRef[Cde_Prdt],MATCH(tbl_Ventes[[#This Row],[Produit]],tbl_ProduitsRef[Produit],0)),
   ""
)</f>
        <v/>
      </c>
      <c r="E2180" s="7">
        <v>0</v>
      </c>
      <c r="F2180" s="7" t="str">
        <f>IFERROR(
   INDEX(tbl_ProduitsRef[Prix Menu],MATCH(tbl_Ventes[[#This Row],[Produit]],tbl_ProduitsRef[Produit],0)),
   ""
)</f>
        <v/>
      </c>
      <c r="G2180" s="7">
        <f>tbl_Ventes[[#This Row],[Qté Vendue]] * IFERROR(_xlfn.XLOOKUP(tbl_Ventes[[#This Row],[Cde_Prdt]], tbl_Produits[Cde_Prdt], tbl_Produits[Prix Menu]), 0)</f>
        <v>0</v>
      </c>
      <c r="H2180" s="7">
        <f>IFERROR(_xlfn.XLOOKUP(tbl_Ventes[[#This Row],[Cde_Prdt]], tbl_Produits[Cde_Prdt], tbl_Produits[Coût Moyen Portion]), 0)</f>
        <v>0</v>
      </c>
      <c r="I2180" s="7">
        <f>tbl_Ventes[[#This Row],[Qté Vendue]] * tbl_Ventes[[#This Row],[CMP_par_portion]]</f>
        <v>0</v>
      </c>
      <c r="J2180" s="7">
        <f>tbl_Ventes[[#This Row],[CA ligne]] - tbl_Ventes[[#This Row],[Coût matière ligne]]</f>
        <v>0</v>
      </c>
      <c r="K2180" s="7" t="str">
        <f>IFERROR(INDEX(tbl_ProduitsRef[Famille], MATCH(tbl_Ventes[[#This Row],[Cde_Prdt]], tbl_Produits[Cde_Prdt], 0)), "")</f>
        <v/>
      </c>
    </row>
    <row r="2181" spans="1:11" x14ac:dyDescent="0.25">
      <c r="A2181" s="5"/>
      <c r="B2181" s="63" t="str">
        <f>IFERROR(TEXT(tbl_Ventes[[#This Row],[Date]],"mm-aaaa"),"")</f>
        <v>01-1900</v>
      </c>
      <c r="D2181" s="10" t="str">
        <f>IFERROR(
   INDEX(tbl_ProduitsRef[Cde_Prdt],MATCH(tbl_Ventes[[#This Row],[Produit]],tbl_ProduitsRef[Produit],0)),
   ""
)</f>
        <v/>
      </c>
      <c r="E2181" s="7">
        <v>0</v>
      </c>
      <c r="F2181" s="7" t="str">
        <f>IFERROR(
   INDEX(tbl_ProduitsRef[Prix Menu],MATCH(tbl_Ventes[[#This Row],[Produit]],tbl_ProduitsRef[Produit],0)),
   ""
)</f>
        <v/>
      </c>
      <c r="G2181" s="7">
        <f>tbl_Ventes[[#This Row],[Qté Vendue]] * IFERROR(_xlfn.XLOOKUP(tbl_Ventes[[#This Row],[Cde_Prdt]], tbl_Produits[Cde_Prdt], tbl_Produits[Prix Menu]), 0)</f>
        <v>0</v>
      </c>
      <c r="H2181" s="7">
        <f>IFERROR(_xlfn.XLOOKUP(tbl_Ventes[[#This Row],[Cde_Prdt]], tbl_Produits[Cde_Prdt], tbl_Produits[Coût Moyen Portion]), 0)</f>
        <v>0</v>
      </c>
      <c r="I2181" s="7">
        <f>tbl_Ventes[[#This Row],[Qté Vendue]] * tbl_Ventes[[#This Row],[CMP_par_portion]]</f>
        <v>0</v>
      </c>
      <c r="J2181" s="7">
        <f>tbl_Ventes[[#This Row],[CA ligne]] - tbl_Ventes[[#This Row],[Coût matière ligne]]</f>
        <v>0</v>
      </c>
      <c r="K2181" s="7" t="str">
        <f>IFERROR(INDEX(tbl_ProduitsRef[Famille], MATCH(tbl_Ventes[[#This Row],[Cde_Prdt]], tbl_Produits[Cde_Prdt], 0)), "")</f>
        <v/>
      </c>
    </row>
    <row r="2182" spans="1:11" x14ac:dyDescent="0.25">
      <c r="A2182" s="5"/>
      <c r="B2182" s="63" t="str">
        <f>IFERROR(TEXT(tbl_Ventes[[#This Row],[Date]],"mm-aaaa"),"")</f>
        <v>01-1900</v>
      </c>
      <c r="D2182" s="10" t="str">
        <f>IFERROR(
   INDEX(tbl_ProduitsRef[Cde_Prdt],MATCH(tbl_Ventes[[#This Row],[Produit]],tbl_ProduitsRef[Produit],0)),
   ""
)</f>
        <v/>
      </c>
      <c r="E2182" s="7">
        <v>0</v>
      </c>
      <c r="F2182" s="7" t="str">
        <f>IFERROR(
   INDEX(tbl_ProduitsRef[Prix Menu],MATCH(tbl_Ventes[[#This Row],[Produit]],tbl_ProduitsRef[Produit],0)),
   ""
)</f>
        <v/>
      </c>
      <c r="G2182" s="7">
        <f>tbl_Ventes[[#This Row],[Qté Vendue]] * IFERROR(_xlfn.XLOOKUP(tbl_Ventes[[#This Row],[Cde_Prdt]], tbl_Produits[Cde_Prdt], tbl_Produits[Prix Menu]), 0)</f>
        <v>0</v>
      </c>
      <c r="H2182" s="7">
        <f>IFERROR(_xlfn.XLOOKUP(tbl_Ventes[[#This Row],[Cde_Prdt]], tbl_Produits[Cde_Prdt], tbl_Produits[Coût Moyen Portion]), 0)</f>
        <v>0</v>
      </c>
      <c r="I2182" s="7">
        <f>tbl_Ventes[[#This Row],[Qté Vendue]] * tbl_Ventes[[#This Row],[CMP_par_portion]]</f>
        <v>0</v>
      </c>
      <c r="J2182" s="7">
        <f>tbl_Ventes[[#This Row],[CA ligne]] - tbl_Ventes[[#This Row],[Coût matière ligne]]</f>
        <v>0</v>
      </c>
      <c r="K2182" s="7" t="str">
        <f>IFERROR(INDEX(tbl_ProduitsRef[Famille], MATCH(tbl_Ventes[[#This Row],[Cde_Prdt]], tbl_Produits[Cde_Prdt], 0)), "")</f>
        <v/>
      </c>
    </row>
    <row r="2183" spans="1:11" x14ac:dyDescent="0.25">
      <c r="A2183" s="5"/>
      <c r="B2183" s="63" t="str">
        <f>IFERROR(TEXT(tbl_Ventes[[#This Row],[Date]],"mm-aaaa"),"")</f>
        <v>01-1900</v>
      </c>
      <c r="D2183" s="10" t="str">
        <f>IFERROR(
   INDEX(tbl_ProduitsRef[Cde_Prdt],MATCH(tbl_Ventes[[#This Row],[Produit]],tbl_ProduitsRef[Produit],0)),
   ""
)</f>
        <v/>
      </c>
      <c r="E2183" s="7">
        <v>0</v>
      </c>
      <c r="F2183" s="7" t="str">
        <f>IFERROR(
   INDEX(tbl_ProduitsRef[Prix Menu],MATCH(tbl_Ventes[[#This Row],[Produit]],tbl_ProduitsRef[Produit],0)),
   ""
)</f>
        <v/>
      </c>
      <c r="G2183" s="7">
        <f>tbl_Ventes[[#This Row],[Qté Vendue]] * IFERROR(_xlfn.XLOOKUP(tbl_Ventes[[#This Row],[Cde_Prdt]], tbl_Produits[Cde_Prdt], tbl_Produits[Prix Menu]), 0)</f>
        <v>0</v>
      </c>
      <c r="H2183" s="7">
        <f>IFERROR(_xlfn.XLOOKUP(tbl_Ventes[[#This Row],[Cde_Prdt]], tbl_Produits[Cde_Prdt], tbl_Produits[Coût Moyen Portion]), 0)</f>
        <v>0</v>
      </c>
      <c r="I2183" s="7">
        <f>tbl_Ventes[[#This Row],[Qté Vendue]] * tbl_Ventes[[#This Row],[CMP_par_portion]]</f>
        <v>0</v>
      </c>
      <c r="J2183" s="7">
        <f>tbl_Ventes[[#This Row],[CA ligne]] - tbl_Ventes[[#This Row],[Coût matière ligne]]</f>
        <v>0</v>
      </c>
      <c r="K2183" s="7" t="str">
        <f>IFERROR(INDEX(tbl_ProduitsRef[Famille], MATCH(tbl_Ventes[[#This Row],[Cde_Prdt]], tbl_Produits[Cde_Prdt], 0)), "")</f>
        <v/>
      </c>
    </row>
    <row r="2184" spans="1:11" x14ac:dyDescent="0.25">
      <c r="A2184" s="5"/>
      <c r="B2184" s="63" t="str">
        <f>IFERROR(TEXT(tbl_Ventes[[#This Row],[Date]],"mm-aaaa"),"")</f>
        <v>01-1900</v>
      </c>
      <c r="D2184" s="10" t="str">
        <f>IFERROR(
   INDEX(tbl_ProduitsRef[Cde_Prdt],MATCH(tbl_Ventes[[#This Row],[Produit]],tbl_ProduitsRef[Produit],0)),
   ""
)</f>
        <v/>
      </c>
      <c r="E2184" s="7">
        <v>0</v>
      </c>
      <c r="F2184" s="7" t="str">
        <f>IFERROR(
   INDEX(tbl_ProduitsRef[Prix Menu],MATCH(tbl_Ventes[[#This Row],[Produit]],tbl_ProduitsRef[Produit],0)),
   ""
)</f>
        <v/>
      </c>
      <c r="G2184" s="7">
        <f>tbl_Ventes[[#This Row],[Qté Vendue]] * IFERROR(_xlfn.XLOOKUP(tbl_Ventes[[#This Row],[Cde_Prdt]], tbl_Produits[Cde_Prdt], tbl_Produits[Prix Menu]), 0)</f>
        <v>0</v>
      </c>
      <c r="H2184" s="7">
        <f>IFERROR(_xlfn.XLOOKUP(tbl_Ventes[[#This Row],[Cde_Prdt]], tbl_Produits[Cde_Prdt], tbl_Produits[Coût Moyen Portion]), 0)</f>
        <v>0</v>
      </c>
      <c r="I2184" s="7">
        <f>tbl_Ventes[[#This Row],[Qté Vendue]] * tbl_Ventes[[#This Row],[CMP_par_portion]]</f>
        <v>0</v>
      </c>
      <c r="J2184" s="7">
        <f>tbl_Ventes[[#This Row],[CA ligne]] - tbl_Ventes[[#This Row],[Coût matière ligne]]</f>
        <v>0</v>
      </c>
      <c r="K2184" s="7" t="str">
        <f>IFERROR(INDEX(tbl_ProduitsRef[Famille], MATCH(tbl_Ventes[[#This Row],[Cde_Prdt]], tbl_Produits[Cde_Prdt], 0)), "")</f>
        <v/>
      </c>
    </row>
    <row r="2185" spans="1:11" x14ac:dyDescent="0.25">
      <c r="A2185" s="5"/>
      <c r="B2185" s="63" t="str">
        <f>IFERROR(TEXT(tbl_Ventes[[#This Row],[Date]],"mm-aaaa"),"")</f>
        <v>01-1900</v>
      </c>
      <c r="D2185" s="10" t="str">
        <f>IFERROR(
   INDEX(tbl_ProduitsRef[Cde_Prdt],MATCH(tbl_Ventes[[#This Row],[Produit]],tbl_ProduitsRef[Produit],0)),
   ""
)</f>
        <v/>
      </c>
      <c r="E2185" s="7">
        <v>0</v>
      </c>
      <c r="F2185" s="7" t="str">
        <f>IFERROR(
   INDEX(tbl_ProduitsRef[Prix Menu],MATCH(tbl_Ventes[[#This Row],[Produit]],tbl_ProduitsRef[Produit],0)),
   ""
)</f>
        <v/>
      </c>
      <c r="G2185" s="7">
        <f>tbl_Ventes[[#This Row],[Qté Vendue]] * IFERROR(_xlfn.XLOOKUP(tbl_Ventes[[#This Row],[Cde_Prdt]], tbl_Produits[Cde_Prdt], tbl_Produits[Prix Menu]), 0)</f>
        <v>0</v>
      </c>
      <c r="H2185" s="7">
        <f>IFERROR(_xlfn.XLOOKUP(tbl_Ventes[[#This Row],[Cde_Prdt]], tbl_Produits[Cde_Prdt], tbl_Produits[Coût Moyen Portion]), 0)</f>
        <v>0</v>
      </c>
      <c r="I2185" s="7">
        <f>tbl_Ventes[[#This Row],[Qté Vendue]] * tbl_Ventes[[#This Row],[CMP_par_portion]]</f>
        <v>0</v>
      </c>
      <c r="J2185" s="7">
        <f>tbl_Ventes[[#This Row],[CA ligne]] - tbl_Ventes[[#This Row],[Coût matière ligne]]</f>
        <v>0</v>
      </c>
      <c r="K2185" s="7" t="str">
        <f>IFERROR(INDEX(tbl_ProduitsRef[Famille], MATCH(tbl_Ventes[[#This Row],[Cde_Prdt]], tbl_Produits[Cde_Prdt], 0)), "")</f>
        <v/>
      </c>
    </row>
    <row r="2186" spans="1:11" x14ac:dyDescent="0.25">
      <c r="A2186" s="5"/>
      <c r="B2186" s="63" t="str">
        <f>IFERROR(TEXT(tbl_Ventes[[#This Row],[Date]],"mm-aaaa"),"")</f>
        <v>01-1900</v>
      </c>
      <c r="D2186" s="10" t="str">
        <f>IFERROR(
   INDEX(tbl_ProduitsRef[Cde_Prdt],MATCH(tbl_Ventes[[#This Row],[Produit]],tbl_ProduitsRef[Produit],0)),
   ""
)</f>
        <v/>
      </c>
      <c r="E2186" s="7">
        <v>0</v>
      </c>
      <c r="F2186" s="7" t="str">
        <f>IFERROR(
   INDEX(tbl_ProduitsRef[Prix Menu],MATCH(tbl_Ventes[[#This Row],[Produit]],tbl_ProduitsRef[Produit],0)),
   ""
)</f>
        <v/>
      </c>
      <c r="G2186" s="7">
        <f>tbl_Ventes[[#This Row],[Qté Vendue]] * IFERROR(_xlfn.XLOOKUP(tbl_Ventes[[#This Row],[Cde_Prdt]], tbl_Produits[Cde_Prdt], tbl_Produits[Prix Menu]), 0)</f>
        <v>0</v>
      </c>
      <c r="H2186" s="7">
        <f>IFERROR(_xlfn.XLOOKUP(tbl_Ventes[[#This Row],[Cde_Prdt]], tbl_Produits[Cde_Prdt], tbl_Produits[Coût Moyen Portion]), 0)</f>
        <v>0</v>
      </c>
      <c r="I2186" s="7">
        <f>tbl_Ventes[[#This Row],[Qté Vendue]] * tbl_Ventes[[#This Row],[CMP_par_portion]]</f>
        <v>0</v>
      </c>
      <c r="J2186" s="7">
        <f>tbl_Ventes[[#This Row],[CA ligne]] - tbl_Ventes[[#This Row],[Coût matière ligne]]</f>
        <v>0</v>
      </c>
      <c r="K2186" s="7" t="str">
        <f>IFERROR(INDEX(tbl_ProduitsRef[Famille], MATCH(tbl_Ventes[[#This Row],[Cde_Prdt]], tbl_Produits[Cde_Prdt], 0)), "")</f>
        <v/>
      </c>
    </row>
    <row r="2187" spans="1:11" x14ac:dyDescent="0.25">
      <c r="A2187" s="5"/>
      <c r="B2187" s="63" t="str">
        <f>IFERROR(TEXT(tbl_Ventes[[#This Row],[Date]],"mm-aaaa"),"")</f>
        <v>01-1900</v>
      </c>
      <c r="D2187" s="10" t="str">
        <f>IFERROR(
   INDEX(tbl_ProduitsRef[Cde_Prdt],MATCH(tbl_Ventes[[#This Row],[Produit]],tbl_ProduitsRef[Produit],0)),
   ""
)</f>
        <v/>
      </c>
      <c r="E2187" s="7">
        <v>0</v>
      </c>
      <c r="F2187" s="7" t="str">
        <f>IFERROR(
   INDEX(tbl_ProduitsRef[Prix Menu],MATCH(tbl_Ventes[[#This Row],[Produit]],tbl_ProduitsRef[Produit],0)),
   ""
)</f>
        <v/>
      </c>
      <c r="G2187" s="7">
        <f>tbl_Ventes[[#This Row],[Qté Vendue]] * IFERROR(_xlfn.XLOOKUP(tbl_Ventes[[#This Row],[Cde_Prdt]], tbl_Produits[Cde_Prdt], tbl_Produits[Prix Menu]), 0)</f>
        <v>0</v>
      </c>
      <c r="H2187" s="7">
        <f>IFERROR(_xlfn.XLOOKUP(tbl_Ventes[[#This Row],[Cde_Prdt]], tbl_Produits[Cde_Prdt], tbl_Produits[Coût Moyen Portion]), 0)</f>
        <v>0</v>
      </c>
      <c r="I2187" s="7">
        <f>tbl_Ventes[[#This Row],[Qté Vendue]] * tbl_Ventes[[#This Row],[CMP_par_portion]]</f>
        <v>0</v>
      </c>
      <c r="J2187" s="7">
        <f>tbl_Ventes[[#This Row],[CA ligne]] - tbl_Ventes[[#This Row],[Coût matière ligne]]</f>
        <v>0</v>
      </c>
      <c r="K2187" s="7" t="str">
        <f>IFERROR(INDEX(tbl_ProduitsRef[Famille], MATCH(tbl_Ventes[[#This Row],[Cde_Prdt]], tbl_Produits[Cde_Prdt], 0)), "")</f>
        <v/>
      </c>
    </row>
    <row r="2188" spans="1:11" x14ac:dyDescent="0.25">
      <c r="A2188" s="5"/>
      <c r="B2188" s="63" t="str">
        <f>IFERROR(TEXT(tbl_Ventes[[#This Row],[Date]],"mm-aaaa"),"")</f>
        <v>01-1900</v>
      </c>
      <c r="D2188" s="10" t="str">
        <f>IFERROR(
   INDEX(tbl_ProduitsRef[Cde_Prdt],MATCH(tbl_Ventes[[#This Row],[Produit]],tbl_ProduitsRef[Produit],0)),
   ""
)</f>
        <v/>
      </c>
      <c r="E2188" s="7">
        <v>0</v>
      </c>
      <c r="F2188" s="7" t="str">
        <f>IFERROR(
   INDEX(tbl_ProduitsRef[Prix Menu],MATCH(tbl_Ventes[[#This Row],[Produit]],tbl_ProduitsRef[Produit],0)),
   ""
)</f>
        <v/>
      </c>
      <c r="G2188" s="7">
        <f>tbl_Ventes[[#This Row],[Qté Vendue]] * IFERROR(_xlfn.XLOOKUP(tbl_Ventes[[#This Row],[Cde_Prdt]], tbl_Produits[Cde_Prdt], tbl_Produits[Prix Menu]), 0)</f>
        <v>0</v>
      </c>
      <c r="H2188" s="7">
        <f>IFERROR(_xlfn.XLOOKUP(tbl_Ventes[[#This Row],[Cde_Prdt]], tbl_Produits[Cde_Prdt], tbl_Produits[Coût Moyen Portion]), 0)</f>
        <v>0</v>
      </c>
      <c r="I2188" s="7">
        <f>tbl_Ventes[[#This Row],[Qté Vendue]] * tbl_Ventes[[#This Row],[CMP_par_portion]]</f>
        <v>0</v>
      </c>
      <c r="J2188" s="7">
        <f>tbl_Ventes[[#This Row],[CA ligne]] - tbl_Ventes[[#This Row],[Coût matière ligne]]</f>
        <v>0</v>
      </c>
      <c r="K2188" s="7" t="str">
        <f>IFERROR(INDEX(tbl_ProduitsRef[Famille], MATCH(tbl_Ventes[[#This Row],[Cde_Prdt]], tbl_Produits[Cde_Prdt], 0)), "")</f>
        <v/>
      </c>
    </row>
    <row r="2189" spans="1:11" x14ac:dyDescent="0.25">
      <c r="A2189" s="5"/>
      <c r="B2189" s="63" t="str">
        <f>IFERROR(TEXT(tbl_Ventes[[#This Row],[Date]],"mm-aaaa"),"")</f>
        <v>01-1900</v>
      </c>
      <c r="D2189" s="10" t="str">
        <f>IFERROR(
   INDEX(tbl_ProduitsRef[Cde_Prdt],MATCH(tbl_Ventes[[#This Row],[Produit]],tbl_ProduitsRef[Produit],0)),
   ""
)</f>
        <v/>
      </c>
      <c r="E2189" s="7">
        <v>0</v>
      </c>
      <c r="F2189" s="7" t="str">
        <f>IFERROR(
   INDEX(tbl_ProduitsRef[Prix Menu],MATCH(tbl_Ventes[[#This Row],[Produit]],tbl_ProduitsRef[Produit],0)),
   ""
)</f>
        <v/>
      </c>
      <c r="G2189" s="7">
        <f>tbl_Ventes[[#This Row],[Qté Vendue]] * IFERROR(_xlfn.XLOOKUP(tbl_Ventes[[#This Row],[Cde_Prdt]], tbl_Produits[Cde_Prdt], tbl_Produits[Prix Menu]), 0)</f>
        <v>0</v>
      </c>
      <c r="H2189" s="7">
        <f>IFERROR(_xlfn.XLOOKUP(tbl_Ventes[[#This Row],[Cde_Prdt]], tbl_Produits[Cde_Prdt], tbl_Produits[Coût Moyen Portion]), 0)</f>
        <v>0</v>
      </c>
      <c r="I2189" s="7">
        <f>tbl_Ventes[[#This Row],[Qté Vendue]] * tbl_Ventes[[#This Row],[CMP_par_portion]]</f>
        <v>0</v>
      </c>
      <c r="J2189" s="7">
        <f>tbl_Ventes[[#This Row],[CA ligne]] - tbl_Ventes[[#This Row],[Coût matière ligne]]</f>
        <v>0</v>
      </c>
      <c r="K2189" s="7" t="str">
        <f>IFERROR(INDEX(tbl_ProduitsRef[Famille], MATCH(tbl_Ventes[[#This Row],[Cde_Prdt]], tbl_Produits[Cde_Prdt], 0)), "")</f>
        <v/>
      </c>
    </row>
    <row r="2190" spans="1:11" x14ac:dyDescent="0.25">
      <c r="A2190" s="5"/>
      <c r="B2190" s="63" t="str">
        <f>IFERROR(TEXT(tbl_Ventes[[#This Row],[Date]],"mm-aaaa"),"")</f>
        <v>01-1900</v>
      </c>
      <c r="D2190" s="10" t="str">
        <f>IFERROR(
   INDEX(tbl_ProduitsRef[Cde_Prdt],MATCH(tbl_Ventes[[#This Row],[Produit]],tbl_ProduitsRef[Produit],0)),
   ""
)</f>
        <v/>
      </c>
      <c r="E2190" s="7">
        <v>0</v>
      </c>
      <c r="F2190" s="7" t="str">
        <f>IFERROR(
   INDEX(tbl_ProduitsRef[Prix Menu],MATCH(tbl_Ventes[[#This Row],[Produit]],tbl_ProduitsRef[Produit],0)),
   ""
)</f>
        <v/>
      </c>
      <c r="G2190" s="7">
        <f>tbl_Ventes[[#This Row],[Qté Vendue]] * IFERROR(_xlfn.XLOOKUP(tbl_Ventes[[#This Row],[Cde_Prdt]], tbl_Produits[Cde_Prdt], tbl_Produits[Prix Menu]), 0)</f>
        <v>0</v>
      </c>
      <c r="H2190" s="7">
        <f>IFERROR(_xlfn.XLOOKUP(tbl_Ventes[[#This Row],[Cde_Prdt]], tbl_Produits[Cde_Prdt], tbl_Produits[Coût Moyen Portion]), 0)</f>
        <v>0</v>
      </c>
      <c r="I2190" s="7">
        <f>tbl_Ventes[[#This Row],[Qté Vendue]] * tbl_Ventes[[#This Row],[CMP_par_portion]]</f>
        <v>0</v>
      </c>
      <c r="J2190" s="7">
        <f>tbl_Ventes[[#This Row],[CA ligne]] - tbl_Ventes[[#This Row],[Coût matière ligne]]</f>
        <v>0</v>
      </c>
      <c r="K2190" s="7" t="str">
        <f>IFERROR(INDEX(tbl_ProduitsRef[Famille], MATCH(tbl_Ventes[[#This Row],[Cde_Prdt]], tbl_Produits[Cde_Prdt], 0)), "")</f>
        <v/>
      </c>
    </row>
    <row r="2191" spans="1:11" x14ac:dyDescent="0.25">
      <c r="A2191" s="5"/>
      <c r="B2191" s="63" t="str">
        <f>IFERROR(TEXT(tbl_Ventes[[#This Row],[Date]],"mm-aaaa"),"")</f>
        <v>01-1900</v>
      </c>
      <c r="D2191" s="10" t="str">
        <f>IFERROR(
   INDEX(tbl_ProduitsRef[Cde_Prdt],MATCH(tbl_Ventes[[#This Row],[Produit]],tbl_ProduitsRef[Produit],0)),
   ""
)</f>
        <v/>
      </c>
      <c r="E2191" s="7">
        <v>0</v>
      </c>
      <c r="F2191" s="7" t="str">
        <f>IFERROR(
   INDEX(tbl_ProduitsRef[Prix Menu],MATCH(tbl_Ventes[[#This Row],[Produit]],tbl_ProduitsRef[Produit],0)),
   ""
)</f>
        <v/>
      </c>
      <c r="G2191" s="7">
        <f>tbl_Ventes[[#This Row],[Qté Vendue]] * IFERROR(_xlfn.XLOOKUP(tbl_Ventes[[#This Row],[Cde_Prdt]], tbl_Produits[Cde_Prdt], tbl_Produits[Prix Menu]), 0)</f>
        <v>0</v>
      </c>
      <c r="H2191" s="7">
        <f>IFERROR(_xlfn.XLOOKUP(tbl_Ventes[[#This Row],[Cde_Prdt]], tbl_Produits[Cde_Prdt], tbl_Produits[Coût Moyen Portion]), 0)</f>
        <v>0</v>
      </c>
      <c r="I2191" s="7">
        <f>tbl_Ventes[[#This Row],[Qté Vendue]] * tbl_Ventes[[#This Row],[CMP_par_portion]]</f>
        <v>0</v>
      </c>
      <c r="J2191" s="7">
        <f>tbl_Ventes[[#This Row],[CA ligne]] - tbl_Ventes[[#This Row],[Coût matière ligne]]</f>
        <v>0</v>
      </c>
      <c r="K2191" s="7" t="str">
        <f>IFERROR(INDEX(tbl_ProduitsRef[Famille], MATCH(tbl_Ventes[[#This Row],[Cde_Prdt]], tbl_Produits[Cde_Prdt], 0)), "")</f>
        <v/>
      </c>
    </row>
    <row r="2192" spans="1:11" x14ac:dyDescent="0.25">
      <c r="A2192" s="5"/>
      <c r="B2192" s="63" t="str">
        <f>IFERROR(TEXT(tbl_Ventes[[#This Row],[Date]],"mm-aaaa"),"")</f>
        <v>01-1900</v>
      </c>
      <c r="D2192" s="10" t="str">
        <f>IFERROR(
   INDEX(tbl_ProduitsRef[Cde_Prdt],MATCH(tbl_Ventes[[#This Row],[Produit]],tbl_ProduitsRef[Produit],0)),
   ""
)</f>
        <v/>
      </c>
      <c r="E2192" s="7">
        <v>0</v>
      </c>
      <c r="F2192" s="7" t="str">
        <f>IFERROR(
   INDEX(tbl_ProduitsRef[Prix Menu],MATCH(tbl_Ventes[[#This Row],[Produit]],tbl_ProduitsRef[Produit],0)),
   ""
)</f>
        <v/>
      </c>
      <c r="G2192" s="7">
        <f>tbl_Ventes[[#This Row],[Qté Vendue]] * IFERROR(_xlfn.XLOOKUP(tbl_Ventes[[#This Row],[Cde_Prdt]], tbl_Produits[Cde_Prdt], tbl_Produits[Prix Menu]), 0)</f>
        <v>0</v>
      </c>
      <c r="H2192" s="7">
        <f>IFERROR(_xlfn.XLOOKUP(tbl_Ventes[[#This Row],[Cde_Prdt]], tbl_Produits[Cde_Prdt], tbl_Produits[Coût Moyen Portion]), 0)</f>
        <v>0</v>
      </c>
      <c r="I2192" s="7">
        <f>tbl_Ventes[[#This Row],[Qté Vendue]] * tbl_Ventes[[#This Row],[CMP_par_portion]]</f>
        <v>0</v>
      </c>
      <c r="J2192" s="7">
        <f>tbl_Ventes[[#This Row],[CA ligne]] - tbl_Ventes[[#This Row],[Coût matière ligne]]</f>
        <v>0</v>
      </c>
      <c r="K2192" s="7" t="str">
        <f>IFERROR(INDEX(tbl_ProduitsRef[Famille], MATCH(tbl_Ventes[[#This Row],[Cde_Prdt]], tbl_Produits[Cde_Prdt], 0)), "")</f>
        <v/>
      </c>
    </row>
    <row r="2193" spans="1:11" x14ac:dyDescent="0.25">
      <c r="A2193" s="5"/>
      <c r="B2193" s="63" t="str">
        <f>IFERROR(TEXT(tbl_Ventes[[#This Row],[Date]],"mm-aaaa"),"")</f>
        <v>01-1900</v>
      </c>
      <c r="D2193" s="10" t="str">
        <f>IFERROR(
   INDEX(tbl_ProduitsRef[Cde_Prdt],MATCH(tbl_Ventes[[#This Row],[Produit]],tbl_ProduitsRef[Produit],0)),
   ""
)</f>
        <v/>
      </c>
      <c r="E2193" s="7">
        <v>0</v>
      </c>
      <c r="F2193" s="7" t="str">
        <f>IFERROR(
   INDEX(tbl_ProduitsRef[Prix Menu],MATCH(tbl_Ventes[[#This Row],[Produit]],tbl_ProduitsRef[Produit],0)),
   ""
)</f>
        <v/>
      </c>
      <c r="G2193" s="7">
        <f>tbl_Ventes[[#This Row],[Qté Vendue]] * IFERROR(_xlfn.XLOOKUP(tbl_Ventes[[#This Row],[Cde_Prdt]], tbl_Produits[Cde_Prdt], tbl_Produits[Prix Menu]), 0)</f>
        <v>0</v>
      </c>
      <c r="H2193" s="7">
        <f>IFERROR(_xlfn.XLOOKUP(tbl_Ventes[[#This Row],[Cde_Prdt]], tbl_Produits[Cde_Prdt], tbl_Produits[Coût Moyen Portion]), 0)</f>
        <v>0</v>
      </c>
      <c r="I2193" s="7">
        <f>tbl_Ventes[[#This Row],[Qté Vendue]] * tbl_Ventes[[#This Row],[CMP_par_portion]]</f>
        <v>0</v>
      </c>
      <c r="J2193" s="7">
        <f>tbl_Ventes[[#This Row],[CA ligne]] - tbl_Ventes[[#This Row],[Coût matière ligne]]</f>
        <v>0</v>
      </c>
      <c r="K2193" s="7" t="str">
        <f>IFERROR(INDEX(tbl_ProduitsRef[Famille], MATCH(tbl_Ventes[[#This Row],[Cde_Prdt]], tbl_Produits[Cde_Prdt], 0)), "")</f>
        <v/>
      </c>
    </row>
    <row r="2194" spans="1:11" x14ac:dyDescent="0.25">
      <c r="A2194" s="5"/>
      <c r="B2194" s="63" t="str">
        <f>IFERROR(TEXT(tbl_Ventes[[#This Row],[Date]],"mm-aaaa"),"")</f>
        <v>01-1900</v>
      </c>
      <c r="D2194" s="10" t="str">
        <f>IFERROR(
   INDEX(tbl_ProduitsRef[Cde_Prdt],MATCH(tbl_Ventes[[#This Row],[Produit]],tbl_ProduitsRef[Produit],0)),
   ""
)</f>
        <v/>
      </c>
      <c r="E2194" s="7">
        <v>0</v>
      </c>
      <c r="F2194" s="7" t="str">
        <f>IFERROR(
   INDEX(tbl_ProduitsRef[Prix Menu],MATCH(tbl_Ventes[[#This Row],[Produit]],tbl_ProduitsRef[Produit],0)),
   ""
)</f>
        <v/>
      </c>
      <c r="G2194" s="7">
        <f>tbl_Ventes[[#This Row],[Qté Vendue]] * IFERROR(_xlfn.XLOOKUP(tbl_Ventes[[#This Row],[Cde_Prdt]], tbl_Produits[Cde_Prdt], tbl_Produits[Prix Menu]), 0)</f>
        <v>0</v>
      </c>
      <c r="H2194" s="7">
        <f>IFERROR(_xlfn.XLOOKUP(tbl_Ventes[[#This Row],[Cde_Prdt]], tbl_Produits[Cde_Prdt], tbl_Produits[Coût Moyen Portion]), 0)</f>
        <v>0</v>
      </c>
      <c r="I2194" s="7">
        <f>tbl_Ventes[[#This Row],[Qté Vendue]] * tbl_Ventes[[#This Row],[CMP_par_portion]]</f>
        <v>0</v>
      </c>
      <c r="J2194" s="7">
        <f>tbl_Ventes[[#This Row],[CA ligne]] - tbl_Ventes[[#This Row],[Coût matière ligne]]</f>
        <v>0</v>
      </c>
      <c r="K2194" s="7" t="str">
        <f>IFERROR(INDEX(tbl_ProduitsRef[Famille], MATCH(tbl_Ventes[[#This Row],[Cde_Prdt]], tbl_Produits[Cde_Prdt], 0)), "")</f>
        <v/>
      </c>
    </row>
    <row r="2195" spans="1:11" x14ac:dyDescent="0.25">
      <c r="A2195" s="5"/>
      <c r="B2195" s="63" t="str">
        <f>IFERROR(TEXT(tbl_Ventes[[#This Row],[Date]],"mm-aaaa"),"")</f>
        <v>01-1900</v>
      </c>
      <c r="D2195" s="10" t="str">
        <f>IFERROR(
   INDEX(tbl_ProduitsRef[Cde_Prdt],MATCH(tbl_Ventes[[#This Row],[Produit]],tbl_ProduitsRef[Produit],0)),
   ""
)</f>
        <v/>
      </c>
      <c r="E2195" s="7">
        <v>0</v>
      </c>
      <c r="F2195" s="7" t="str">
        <f>IFERROR(
   INDEX(tbl_ProduitsRef[Prix Menu],MATCH(tbl_Ventes[[#This Row],[Produit]],tbl_ProduitsRef[Produit],0)),
   ""
)</f>
        <v/>
      </c>
      <c r="G2195" s="7">
        <f>tbl_Ventes[[#This Row],[Qté Vendue]] * IFERROR(_xlfn.XLOOKUP(tbl_Ventes[[#This Row],[Cde_Prdt]], tbl_Produits[Cde_Prdt], tbl_Produits[Prix Menu]), 0)</f>
        <v>0</v>
      </c>
      <c r="H2195" s="7">
        <f>IFERROR(_xlfn.XLOOKUP(tbl_Ventes[[#This Row],[Cde_Prdt]], tbl_Produits[Cde_Prdt], tbl_Produits[Coût Moyen Portion]), 0)</f>
        <v>0</v>
      </c>
      <c r="I2195" s="7">
        <f>tbl_Ventes[[#This Row],[Qté Vendue]] * tbl_Ventes[[#This Row],[CMP_par_portion]]</f>
        <v>0</v>
      </c>
      <c r="J2195" s="7">
        <f>tbl_Ventes[[#This Row],[CA ligne]] - tbl_Ventes[[#This Row],[Coût matière ligne]]</f>
        <v>0</v>
      </c>
      <c r="K2195" s="7" t="str">
        <f>IFERROR(INDEX(tbl_ProduitsRef[Famille], MATCH(tbl_Ventes[[#This Row],[Cde_Prdt]], tbl_Produits[Cde_Prdt], 0)), "")</f>
        <v/>
      </c>
    </row>
    <row r="2196" spans="1:11" x14ac:dyDescent="0.25">
      <c r="A2196" s="5"/>
      <c r="B2196" s="63" t="str">
        <f>IFERROR(TEXT(tbl_Ventes[[#This Row],[Date]],"mm-aaaa"),"")</f>
        <v>01-1900</v>
      </c>
      <c r="D2196" s="10" t="str">
        <f>IFERROR(
   INDEX(tbl_ProduitsRef[Cde_Prdt],MATCH(tbl_Ventes[[#This Row],[Produit]],tbl_ProduitsRef[Produit],0)),
   ""
)</f>
        <v/>
      </c>
      <c r="E2196" s="7">
        <v>0</v>
      </c>
      <c r="F2196" s="7" t="str">
        <f>IFERROR(
   INDEX(tbl_ProduitsRef[Prix Menu],MATCH(tbl_Ventes[[#This Row],[Produit]],tbl_ProduitsRef[Produit],0)),
   ""
)</f>
        <v/>
      </c>
      <c r="G2196" s="7">
        <f>tbl_Ventes[[#This Row],[Qté Vendue]] * IFERROR(_xlfn.XLOOKUP(tbl_Ventes[[#This Row],[Cde_Prdt]], tbl_Produits[Cde_Prdt], tbl_Produits[Prix Menu]), 0)</f>
        <v>0</v>
      </c>
      <c r="H2196" s="7">
        <f>IFERROR(_xlfn.XLOOKUP(tbl_Ventes[[#This Row],[Cde_Prdt]], tbl_Produits[Cde_Prdt], tbl_Produits[Coût Moyen Portion]), 0)</f>
        <v>0</v>
      </c>
      <c r="I2196" s="7">
        <f>tbl_Ventes[[#This Row],[Qté Vendue]] * tbl_Ventes[[#This Row],[CMP_par_portion]]</f>
        <v>0</v>
      </c>
      <c r="J2196" s="7">
        <f>tbl_Ventes[[#This Row],[CA ligne]] - tbl_Ventes[[#This Row],[Coût matière ligne]]</f>
        <v>0</v>
      </c>
      <c r="K2196" s="7" t="str">
        <f>IFERROR(INDEX(tbl_ProduitsRef[Famille], MATCH(tbl_Ventes[[#This Row],[Cde_Prdt]], tbl_Produits[Cde_Prdt], 0)), "")</f>
        <v/>
      </c>
    </row>
    <row r="2197" spans="1:11" x14ac:dyDescent="0.25">
      <c r="A2197" s="5"/>
      <c r="B2197" s="63" t="str">
        <f>IFERROR(TEXT(tbl_Ventes[[#This Row],[Date]],"mm-aaaa"),"")</f>
        <v>01-1900</v>
      </c>
      <c r="D2197" s="10" t="str">
        <f>IFERROR(
   INDEX(tbl_ProduitsRef[Cde_Prdt],MATCH(tbl_Ventes[[#This Row],[Produit]],tbl_ProduitsRef[Produit],0)),
   ""
)</f>
        <v/>
      </c>
      <c r="E2197" s="7">
        <v>0</v>
      </c>
      <c r="F2197" s="7" t="str">
        <f>IFERROR(
   INDEX(tbl_ProduitsRef[Prix Menu],MATCH(tbl_Ventes[[#This Row],[Produit]],tbl_ProduitsRef[Produit],0)),
   ""
)</f>
        <v/>
      </c>
      <c r="G2197" s="7">
        <f>tbl_Ventes[[#This Row],[Qté Vendue]] * IFERROR(_xlfn.XLOOKUP(tbl_Ventes[[#This Row],[Cde_Prdt]], tbl_Produits[Cde_Prdt], tbl_Produits[Prix Menu]), 0)</f>
        <v>0</v>
      </c>
      <c r="H2197" s="7">
        <f>IFERROR(_xlfn.XLOOKUP(tbl_Ventes[[#This Row],[Cde_Prdt]], tbl_Produits[Cde_Prdt], tbl_Produits[Coût Moyen Portion]), 0)</f>
        <v>0</v>
      </c>
      <c r="I2197" s="7">
        <f>tbl_Ventes[[#This Row],[Qté Vendue]] * tbl_Ventes[[#This Row],[CMP_par_portion]]</f>
        <v>0</v>
      </c>
      <c r="J2197" s="7">
        <f>tbl_Ventes[[#This Row],[CA ligne]] - tbl_Ventes[[#This Row],[Coût matière ligne]]</f>
        <v>0</v>
      </c>
      <c r="K2197" s="7" t="str">
        <f>IFERROR(INDEX(tbl_ProduitsRef[Famille], MATCH(tbl_Ventes[[#This Row],[Cde_Prdt]], tbl_Produits[Cde_Prdt], 0)), "")</f>
        <v/>
      </c>
    </row>
    <row r="2198" spans="1:11" x14ac:dyDescent="0.25">
      <c r="A2198" s="5"/>
      <c r="B2198" s="63" t="str">
        <f>IFERROR(TEXT(tbl_Ventes[[#This Row],[Date]],"mm-aaaa"),"")</f>
        <v>01-1900</v>
      </c>
      <c r="D2198" s="10" t="str">
        <f>IFERROR(
   INDEX(tbl_ProduitsRef[Cde_Prdt],MATCH(tbl_Ventes[[#This Row],[Produit]],tbl_ProduitsRef[Produit],0)),
   ""
)</f>
        <v/>
      </c>
      <c r="E2198" s="7">
        <v>0</v>
      </c>
      <c r="F2198" s="7" t="str">
        <f>IFERROR(
   INDEX(tbl_ProduitsRef[Prix Menu],MATCH(tbl_Ventes[[#This Row],[Produit]],tbl_ProduitsRef[Produit],0)),
   ""
)</f>
        <v/>
      </c>
      <c r="G2198" s="7">
        <f>tbl_Ventes[[#This Row],[Qté Vendue]] * IFERROR(_xlfn.XLOOKUP(tbl_Ventes[[#This Row],[Cde_Prdt]], tbl_Produits[Cde_Prdt], tbl_Produits[Prix Menu]), 0)</f>
        <v>0</v>
      </c>
      <c r="H2198" s="7">
        <f>IFERROR(_xlfn.XLOOKUP(tbl_Ventes[[#This Row],[Cde_Prdt]], tbl_Produits[Cde_Prdt], tbl_Produits[Coût Moyen Portion]), 0)</f>
        <v>0</v>
      </c>
      <c r="I2198" s="7">
        <f>tbl_Ventes[[#This Row],[Qté Vendue]] * tbl_Ventes[[#This Row],[CMP_par_portion]]</f>
        <v>0</v>
      </c>
      <c r="J2198" s="7">
        <f>tbl_Ventes[[#This Row],[CA ligne]] - tbl_Ventes[[#This Row],[Coût matière ligne]]</f>
        <v>0</v>
      </c>
      <c r="K2198" s="7" t="str">
        <f>IFERROR(INDEX(tbl_ProduitsRef[Famille], MATCH(tbl_Ventes[[#This Row],[Cde_Prdt]], tbl_Produits[Cde_Prdt], 0)), "")</f>
        <v/>
      </c>
    </row>
    <row r="2199" spans="1:11" x14ac:dyDescent="0.25">
      <c r="A2199" s="5"/>
      <c r="B2199" s="63" t="str">
        <f>IFERROR(TEXT(tbl_Ventes[[#This Row],[Date]],"mm-aaaa"),"")</f>
        <v>01-1900</v>
      </c>
      <c r="D2199" s="10" t="str">
        <f>IFERROR(
   INDEX(tbl_ProduitsRef[Cde_Prdt],MATCH(tbl_Ventes[[#This Row],[Produit]],tbl_ProduitsRef[Produit],0)),
   ""
)</f>
        <v/>
      </c>
      <c r="E2199" s="7">
        <v>0</v>
      </c>
      <c r="F2199" s="7" t="str">
        <f>IFERROR(
   INDEX(tbl_ProduitsRef[Prix Menu],MATCH(tbl_Ventes[[#This Row],[Produit]],tbl_ProduitsRef[Produit],0)),
   ""
)</f>
        <v/>
      </c>
      <c r="G2199" s="7">
        <f>tbl_Ventes[[#This Row],[Qté Vendue]] * IFERROR(_xlfn.XLOOKUP(tbl_Ventes[[#This Row],[Cde_Prdt]], tbl_Produits[Cde_Prdt], tbl_Produits[Prix Menu]), 0)</f>
        <v>0</v>
      </c>
      <c r="H2199" s="7">
        <f>IFERROR(_xlfn.XLOOKUP(tbl_Ventes[[#This Row],[Cde_Prdt]], tbl_Produits[Cde_Prdt], tbl_Produits[Coût Moyen Portion]), 0)</f>
        <v>0</v>
      </c>
      <c r="I2199" s="7">
        <f>tbl_Ventes[[#This Row],[Qté Vendue]] * tbl_Ventes[[#This Row],[CMP_par_portion]]</f>
        <v>0</v>
      </c>
      <c r="J2199" s="7">
        <f>tbl_Ventes[[#This Row],[CA ligne]] - tbl_Ventes[[#This Row],[Coût matière ligne]]</f>
        <v>0</v>
      </c>
      <c r="K2199" s="7" t="str">
        <f>IFERROR(INDEX(tbl_ProduitsRef[Famille], MATCH(tbl_Ventes[[#This Row],[Cde_Prdt]], tbl_Produits[Cde_Prdt], 0)), "")</f>
        <v/>
      </c>
    </row>
    <row r="2200" spans="1:11" x14ac:dyDescent="0.25">
      <c r="A2200" s="5"/>
      <c r="B2200" s="63" t="str">
        <f>IFERROR(TEXT(tbl_Ventes[[#This Row],[Date]],"mm-aaaa"),"")</f>
        <v>01-1900</v>
      </c>
      <c r="D2200" s="10" t="str">
        <f>IFERROR(
   INDEX(tbl_ProduitsRef[Cde_Prdt],MATCH(tbl_Ventes[[#This Row],[Produit]],tbl_ProduitsRef[Produit],0)),
   ""
)</f>
        <v/>
      </c>
      <c r="E2200" s="7">
        <v>0</v>
      </c>
      <c r="F2200" s="7" t="str">
        <f>IFERROR(
   INDEX(tbl_ProduitsRef[Prix Menu],MATCH(tbl_Ventes[[#This Row],[Produit]],tbl_ProduitsRef[Produit],0)),
   ""
)</f>
        <v/>
      </c>
      <c r="G2200" s="7">
        <f>tbl_Ventes[[#This Row],[Qté Vendue]] * IFERROR(_xlfn.XLOOKUP(tbl_Ventes[[#This Row],[Cde_Prdt]], tbl_Produits[Cde_Prdt], tbl_Produits[Prix Menu]), 0)</f>
        <v>0</v>
      </c>
      <c r="H2200" s="7">
        <f>IFERROR(_xlfn.XLOOKUP(tbl_Ventes[[#This Row],[Cde_Prdt]], tbl_Produits[Cde_Prdt], tbl_Produits[Coût Moyen Portion]), 0)</f>
        <v>0</v>
      </c>
      <c r="I2200" s="7">
        <f>tbl_Ventes[[#This Row],[Qté Vendue]] * tbl_Ventes[[#This Row],[CMP_par_portion]]</f>
        <v>0</v>
      </c>
      <c r="J2200" s="7">
        <f>tbl_Ventes[[#This Row],[CA ligne]] - tbl_Ventes[[#This Row],[Coût matière ligne]]</f>
        <v>0</v>
      </c>
      <c r="K2200" s="7" t="str">
        <f>IFERROR(INDEX(tbl_ProduitsRef[Famille], MATCH(tbl_Ventes[[#This Row],[Cde_Prdt]], tbl_Produits[Cde_Prdt], 0)), "")</f>
        <v/>
      </c>
    </row>
    <row r="2201" spans="1:11" x14ac:dyDescent="0.25">
      <c r="A2201" s="5"/>
      <c r="B2201" s="63" t="str">
        <f>IFERROR(TEXT(tbl_Ventes[[#This Row],[Date]],"mm-aaaa"),"")</f>
        <v>01-1900</v>
      </c>
      <c r="D2201" s="10" t="str">
        <f>IFERROR(
   INDEX(tbl_ProduitsRef[Cde_Prdt],MATCH(tbl_Ventes[[#This Row],[Produit]],tbl_ProduitsRef[Produit],0)),
   ""
)</f>
        <v/>
      </c>
      <c r="E2201" s="7">
        <v>0</v>
      </c>
      <c r="F2201" s="7" t="str">
        <f>IFERROR(
   INDEX(tbl_ProduitsRef[Prix Menu],MATCH(tbl_Ventes[[#This Row],[Produit]],tbl_ProduitsRef[Produit],0)),
   ""
)</f>
        <v/>
      </c>
      <c r="G2201" s="7">
        <f>tbl_Ventes[[#This Row],[Qté Vendue]] * IFERROR(_xlfn.XLOOKUP(tbl_Ventes[[#This Row],[Cde_Prdt]], tbl_Produits[Cde_Prdt], tbl_Produits[Prix Menu]), 0)</f>
        <v>0</v>
      </c>
      <c r="H2201" s="7">
        <f>IFERROR(_xlfn.XLOOKUP(tbl_Ventes[[#This Row],[Cde_Prdt]], tbl_Produits[Cde_Prdt], tbl_Produits[Coût Moyen Portion]), 0)</f>
        <v>0</v>
      </c>
      <c r="I2201" s="7">
        <f>tbl_Ventes[[#This Row],[Qté Vendue]] * tbl_Ventes[[#This Row],[CMP_par_portion]]</f>
        <v>0</v>
      </c>
      <c r="J2201" s="7">
        <f>tbl_Ventes[[#This Row],[CA ligne]] - tbl_Ventes[[#This Row],[Coût matière ligne]]</f>
        <v>0</v>
      </c>
      <c r="K2201" s="7" t="str">
        <f>IFERROR(INDEX(tbl_ProduitsRef[Famille], MATCH(tbl_Ventes[[#This Row],[Cde_Prdt]], tbl_Produits[Cde_Prdt], 0)), "")</f>
        <v/>
      </c>
    </row>
    <row r="2202" spans="1:11" x14ac:dyDescent="0.25">
      <c r="A2202" s="5"/>
      <c r="B2202" s="63" t="str">
        <f>IFERROR(TEXT(tbl_Ventes[[#This Row],[Date]],"mm-aaaa"),"")</f>
        <v>01-1900</v>
      </c>
      <c r="D2202" s="10" t="str">
        <f>IFERROR(
   INDEX(tbl_ProduitsRef[Cde_Prdt],MATCH(tbl_Ventes[[#This Row],[Produit]],tbl_ProduitsRef[Produit],0)),
   ""
)</f>
        <v/>
      </c>
      <c r="E2202" s="7">
        <v>0</v>
      </c>
      <c r="F2202" s="7" t="str">
        <f>IFERROR(
   INDEX(tbl_ProduitsRef[Prix Menu],MATCH(tbl_Ventes[[#This Row],[Produit]],tbl_ProduitsRef[Produit],0)),
   ""
)</f>
        <v/>
      </c>
      <c r="G2202" s="7">
        <f>tbl_Ventes[[#This Row],[Qté Vendue]] * IFERROR(_xlfn.XLOOKUP(tbl_Ventes[[#This Row],[Cde_Prdt]], tbl_Produits[Cde_Prdt], tbl_Produits[Prix Menu]), 0)</f>
        <v>0</v>
      </c>
      <c r="H2202" s="7">
        <f>IFERROR(_xlfn.XLOOKUP(tbl_Ventes[[#This Row],[Cde_Prdt]], tbl_Produits[Cde_Prdt], tbl_Produits[Coût Moyen Portion]), 0)</f>
        <v>0</v>
      </c>
      <c r="I2202" s="7">
        <f>tbl_Ventes[[#This Row],[Qté Vendue]] * tbl_Ventes[[#This Row],[CMP_par_portion]]</f>
        <v>0</v>
      </c>
      <c r="J2202" s="7">
        <f>tbl_Ventes[[#This Row],[CA ligne]] - tbl_Ventes[[#This Row],[Coût matière ligne]]</f>
        <v>0</v>
      </c>
      <c r="K2202" s="7" t="str">
        <f>IFERROR(INDEX(tbl_ProduitsRef[Famille], MATCH(tbl_Ventes[[#This Row],[Cde_Prdt]], tbl_Produits[Cde_Prdt], 0)), "")</f>
        <v/>
      </c>
    </row>
    <row r="2203" spans="1:11" x14ac:dyDescent="0.25">
      <c r="A2203" s="5"/>
      <c r="B2203" s="63" t="str">
        <f>IFERROR(TEXT(tbl_Ventes[[#This Row],[Date]],"mm-aaaa"),"")</f>
        <v>01-1900</v>
      </c>
      <c r="D2203" s="10" t="str">
        <f>IFERROR(
   INDEX(tbl_ProduitsRef[Cde_Prdt],MATCH(tbl_Ventes[[#This Row],[Produit]],tbl_ProduitsRef[Produit],0)),
   ""
)</f>
        <v/>
      </c>
      <c r="E2203" s="7">
        <v>0</v>
      </c>
      <c r="F2203" s="7" t="str">
        <f>IFERROR(
   INDEX(tbl_ProduitsRef[Prix Menu],MATCH(tbl_Ventes[[#This Row],[Produit]],tbl_ProduitsRef[Produit],0)),
   ""
)</f>
        <v/>
      </c>
      <c r="G2203" s="7">
        <f>tbl_Ventes[[#This Row],[Qté Vendue]] * IFERROR(_xlfn.XLOOKUP(tbl_Ventes[[#This Row],[Cde_Prdt]], tbl_Produits[Cde_Prdt], tbl_Produits[Prix Menu]), 0)</f>
        <v>0</v>
      </c>
      <c r="H2203" s="7">
        <f>IFERROR(_xlfn.XLOOKUP(tbl_Ventes[[#This Row],[Cde_Prdt]], tbl_Produits[Cde_Prdt], tbl_Produits[Coût Moyen Portion]), 0)</f>
        <v>0</v>
      </c>
      <c r="I2203" s="7">
        <f>tbl_Ventes[[#This Row],[Qté Vendue]] * tbl_Ventes[[#This Row],[CMP_par_portion]]</f>
        <v>0</v>
      </c>
      <c r="J2203" s="7">
        <f>tbl_Ventes[[#This Row],[CA ligne]] - tbl_Ventes[[#This Row],[Coût matière ligne]]</f>
        <v>0</v>
      </c>
      <c r="K2203" s="7" t="str">
        <f>IFERROR(INDEX(tbl_ProduitsRef[Famille], MATCH(tbl_Ventes[[#This Row],[Cde_Prdt]], tbl_Produits[Cde_Prdt], 0)), "")</f>
        <v/>
      </c>
    </row>
    <row r="2204" spans="1:11" x14ac:dyDescent="0.25">
      <c r="A2204" s="5"/>
      <c r="B2204" s="63" t="str">
        <f>IFERROR(TEXT(tbl_Ventes[[#This Row],[Date]],"mm-aaaa"),"")</f>
        <v>01-1900</v>
      </c>
      <c r="D2204" s="10" t="str">
        <f>IFERROR(
   INDEX(tbl_ProduitsRef[Cde_Prdt],MATCH(tbl_Ventes[[#This Row],[Produit]],tbl_ProduitsRef[Produit],0)),
   ""
)</f>
        <v/>
      </c>
      <c r="E2204" s="7">
        <v>0</v>
      </c>
      <c r="F2204" s="7" t="str">
        <f>IFERROR(
   INDEX(tbl_ProduitsRef[Prix Menu],MATCH(tbl_Ventes[[#This Row],[Produit]],tbl_ProduitsRef[Produit],0)),
   ""
)</f>
        <v/>
      </c>
      <c r="G2204" s="7">
        <f>tbl_Ventes[[#This Row],[Qté Vendue]] * IFERROR(_xlfn.XLOOKUP(tbl_Ventes[[#This Row],[Cde_Prdt]], tbl_Produits[Cde_Prdt], tbl_Produits[Prix Menu]), 0)</f>
        <v>0</v>
      </c>
      <c r="H2204" s="7">
        <f>IFERROR(_xlfn.XLOOKUP(tbl_Ventes[[#This Row],[Cde_Prdt]], tbl_Produits[Cde_Prdt], tbl_Produits[Coût Moyen Portion]), 0)</f>
        <v>0</v>
      </c>
      <c r="I2204" s="7">
        <f>tbl_Ventes[[#This Row],[Qté Vendue]] * tbl_Ventes[[#This Row],[CMP_par_portion]]</f>
        <v>0</v>
      </c>
      <c r="J2204" s="7">
        <f>tbl_Ventes[[#This Row],[CA ligne]] - tbl_Ventes[[#This Row],[Coût matière ligne]]</f>
        <v>0</v>
      </c>
      <c r="K2204" s="7" t="str">
        <f>IFERROR(INDEX(tbl_ProduitsRef[Famille], MATCH(tbl_Ventes[[#This Row],[Cde_Prdt]], tbl_Produits[Cde_Prdt], 0)), "")</f>
        <v/>
      </c>
    </row>
    <row r="2205" spans="1:11" x14ac:dyDescent="0.25">
      <c r="A2205" s="5"/>
      <c r="B2205" s="63" t="str">
        <f>IFERROR(TEXT(tbl_Ventes[[#This Row],[Date]],"mm-aaaa"),"")</f>
        <v>01-1900</v>
      </c>
      <c r="D2205" s="10" t="str">
        <f>IFERROR(
   INDEX(tbl_ProduitsRef[Cde_Prdt],MATCH(tbl_Ventes[[#This Row],[Produit]],tbl_ProduitsRef[Produit],0)),
   ""
)</f>
        <v/>
      </c>
      <c r="E2205" s="7">
        <v>0</v>
      </c>
      <c r="F2205" s="7" t="str">
        <f>IFERROR(
   INDEX(tbl_ProduitsRef[Prix Menu],MATCH(tbl_Ventes[[#This Row],[Produit]],tbl_ProduitsRef[Produit],0)),
   ""
)</f>
        <v/>
      </c>
      <c r="G2205" s="7">
        <f>tbl_Ventes[[#This Row],[Qté Vendue]] * IFERROR(_xlfn.XLOOKUP(tbl_Ventes[[#This Row],[Cde_Prdt]], tbl_Produits[Cde_Prdt], tbl_Produits[Prix Menu]), 0)</f>
        <v>0</v>
      </c>
      <c r="H2205" s="7">
        <f>IFERROR(_xlfn.XLOOKUP(tbl_Ventes[[#This Row],[Cde_Prdt]], tbl_Produits[Cde_Prdt], tbl_Produits[Coût Moyen Portion]), 0)</f>
        <v>0</v>
      </c>
      <c r="I2205" s="7">
        <f>tbl_Ventes[[#This Row],[Qté Vendue]] * tbl_Ventes[[#This Row],[CMP_par_portion]]</f>
        <v>0</v>
      </c>
      <c r="J2205" s="7">
        <f>tbl_Ventes[[#This Row],[CA ligne]] - tbl_Ventes[[#This Row],[Coût matière ligne]]</f>
        <v>0</v>
      </c>
      <c r="K2205" s="7" t="str">
        <f>IFERROR(INDEX(tbl_ProduitsRef[Famille], MATCH(tbl_Ventes[[#This Row],[Cde_Prdt]], tbl_Produits[Cde_Prdt], 0)), "")</f>
        <v/>
      </c>
    </row>
    <row r="2206" spans="1:11" x14ac:dyDescent="0.25">
      <c r="A2206" s="5"/>
      <c r="B2206" s="63" t="str">
        <f>IFERROR(TEXT(tbl_Ventes[[#This Row],[Date]],"mm-aaaa"),"")</f>
        <v>01-1900</v>
      </c>
      <c r="D2206" s="10" t="str">
        <f>IFERROR(
   INDEX(tbl_ProduitsRef[Cde_Prdt],MATCH(tbl_Ventes[[#This Row],[Produit]],tbl_ProduitsRef[Produit],0)),
   ""
)</f>
        <v/>
      </c>
      <c r="E2206" s="7">
        <v>0</v>
      </c>
      <c r="F2206" s="7" t="str">
        <f>IFERROR(
   INDEX(tbl_ProduitsRef[Prix Menu],MATCH(tbl_Ventes[[#This Row],[Produit]],tbl_ProduitsRef[Produit],0)),
   ""
)</f>
        <v/>
      </c>
      <c r="G2206" s="7">
        <f>tbl_Ventes[[#This Row],[Qté Vendue]] * IFERROR(_xlfn.XLOOKUP(tbl_Ventes[[#This Row],[Cde_Prdt]], tbl_Produits[Cde_Prdt], tbl_Produits[Prix Menu]), 0)</f>
        <v>0</v>
      </c>
      <c r="H2206" s="7">
        <f>IFERROR(_xlfn.XLOOKUP(tbl_Ventes[[#This Row],[Cde_Prdt]], tbl_Produits[Cde_Prdt], tbl_Produits[Coût Moyen Portion]), 0)</f>
        <v>0</v>
      </c>
      <c r="I2206" s="7">
        <f>tbl_Ventes[[#This Row],[Qté Vendue]] * tbl_Ventes[[#This Row],[CMP_par_portion]]</f>
        <v>0</v>
      </c>
      <c r="J2206" s="7">
        <f>tbl_Ventes[[#This Row],[CA ligne]] - tbl_Ventes[[#This Row],[Coût matière ligne]]</f>
        <v>0</v>
      </c>
      <c r="K2206" s="7" t="str">
        <f>IFERROR(INDEX(tbl_ProduitsRef[Famille], MATCH(tbl_Ventes[[#This Row],[Cde_Prdt]], tbl_Produits[Cde_Prdt], 0)), "")</f>
        <v/>
      </c>
    </row>
    <row r="2207" spans="1:11" x14ac:dyDescent="0.25">
      <c r="A2207" s="5"/>
      <c r="B2207" s="63" t="str">
        <f>IFERROR(TEXT(tbl_Ventes[[#This Row],[Date]],"mm-aaaa"),"")</f>
        <v>01-1900</v>
      </c>
      <c r="D2207" s="10" t="str">
        <f>IFERROR(
   INDEX(tbl_ProduitsRef[Cde_Prdt],MATCH(tbl_Ventes[[#This Row],[Produit]],tbl_ProduitsRef[Produit],0)),
   ""
)</f>
        <v/>
      </c>
      <c r="E2207" s="7">
        <v>0</v>
      </c>
      <c r="F2207" s="7" t="str">
        <f>IFERROR(
   INDEX(tbl_ProduitsRef[Prix Menu],MATCH(tbl_Ventes[[#This Row],[Produit]],tbl_ProduitsRef[Produit],0)),
   ""
)</f>
        <v/>
      </c>
      <c r="G2207" s="7">
        <f>tbl_Ventes[[#This Row],[Qté Vendue]] * IFERROR(_xlfn.XLOOKUP(tbl_Ventes[[#This Row],[Cde_Prdt]], tbl_Produits[Cde_Prdt], tbl_Produits[Prix Menu]), 0)</f>
        <v>0</v>
      </c>
      <c r="H2207" s="7">
        <f>IFERROR(_xlfn.XLOOKUP(tbl_Ventes[[#This Row],[Cde_Prdt]], tbl_Produits[Cde_Prdt], tbl_Produits[Coût Moyen Portion]), 0)</f>
        <v>0</v>
      </c>
      <c r="I2207" s="7">
        <f>tbl_Ventes[[#This Row],[Qté Vendue]] * tbl_Ventes[[#This Row],[CMP_par_portion]]</f>
        <v>0</v>
      </c>
      <c r="J2207" s="7">
        <f>tbl_Ventes[[#This Row],[CA ligne]] - tbl_Ventes[[#This Row],[Coût matière ligne]]</f>
        <v>0</v>
      </c>
      <c r="K2207" s="7" t="str">
        <f>IFERROR(INDEX(tbl_ProduitsRef[Famille], MATCH(tbl_Ventes[[#This Row],[Cde_Prdt]], tbl_Produits[Cde_Prdt], 0)), "")</f>
        <v/>
      </c>
    </row>
    <row r="2208" spans="1:11" x14ac:dyDescent="0.25">
      <c r="A2208" s="5"/>
      <c r="B2208" s="63" t="str">
        <f>IFERROR(TEXT(tbl_Ventes[[#This Row],[Date]],"mm-aaaa"),"")</f>
        <v>01-1900</v>
      </c>
      <c r="D2208" s="10" t="str">
        <f>IFERROR(
   INDEX(tbl_ProduitsRef[Cde_Prdt],MATCH(tbl_Ventes[[#This Row],[Produit]],tbl_ProduitsRef[Produit],0)),
   ""
)</f>
        <v/>
      </c>
      <c r="E2208" s="7">
        <v>0</v>
      </c>
      <c r="F2208" s="7" t="str">
        <f>IFERROR(
   INDEX(tbl_ProduitsRef[Prix Menu],MATCH(tbl_Ventes[[#This Row],[Produit]],tbl_ProduitsRef[Produit],0)),
   ""
)</f>
        <v/>
      </c>
      <c r="G2208" s="7">
        <f>tbl_Ventes[[#This Row],[Qté Vendue]] * IFERROR(_xlfn.XLOOKUP(tbl_Ventes[[#This Row],[Cde_Prdt]], tbl_Produits[Cde_Prdt], tbl_Produits[Prix Menu]), 0)</f>
        <v>0</v>
      </c>
      <c r="H2208" s="7">
        <f>IFERROR(_xlfn.XLOOKUP(tbl_Ventes[[#This Row],[Cde_Prdt]], tbl_Produits[Cde_Prdt], tbl_Produits[Coût Moyen Portion]), 0)</f>
        <v>0</v>
      </c>
      <c r="I2208" s="7">
        <f>tbl_Ventes[[#This Row],[Qté Vendue]] * tbl_Ventes[[#This Row],[CMP_par_portion]]</f>
        <v>0</v>
      </c>
      <c r="J2208" s="7">
        <f>tbl_Ventes[[#This Row],[CA ligne]] - tbl_Ventes[[#This Row],[Coût matière ligne]]</f>
        <v>0</v>
      </c>
      <c r="K2208" s="7" t="str">
        <f>IFERROR(INDEX(tbl_ProduitsRef[Famille], MATCH(tbl_Ventes[[#This Row],[Cde_Prdt]], tbl_Produits[Cde_Prdt], 0)), "")</f>
        <v/>
      </c>
    </row>
    <row r="2209" spans="1:11" x14ac:dyDescent="0.25">
      <c r="A2209" s="5"/>
      <c r="B2209" s="63" t="str">
        <f>IFERROR(TEXT(tbl_Ventes[[#This Row],[Date]],"mm-aaaa"),"")</f>
        <v>01-1900</v>
      </c>
      <c r="D2209" s="10" t="str">
        <f>IFERROR(
   INDEX(tbl_ProduitsRef[Cde_Prdt],MATCH(tbl_Ventes[[#This Row],[Produit]],tbl_ProduitsRef[Produit],0)),
   ""
)</f>
        <v/>
      </c>
      <c r="E2209" s="7">
        <v>0</v>
      </c>
      <c r="F2209" s="7" t="str">
        <f>IFERROR(
   INDEX(tbl_ProduitsRef[Prix Menu],MATCH(tbl_Ventes[[#This Row],[Produit]],tbl_ProduitsRef[Produit],0)),
   ""
)</f>
        <v/>
      </c>
      <c r="G2209" s="7">
        <f>tbl_Ventes[[#This Row],[Qté Vendue]] * IFERROR(_xlfn.XLOOKUP(tbl_Ventes[[#This Row],[Cde_Prdt]], tbl_Produits[Cde_Prdt], tbl_Produits[Prix Menu]), 0)</f>
        <v>0</v>
      </c>
      <c r="H2209" s="7">
        <f>IFERROR(_xlfn.XLOOKUP(tbl_Ventes[[#This Row],[Cde_Prdt]], tbl_Produits[Cde_Prdt], tbl_Produits[Coût Moyen Portion]), 0)</f>
        <v>0</v>
      </c>
      <c r="I2209" s="7">
        <f>tbl_Ventes[[#This Row],[Qté Vendue]] * tbl_Ventes[[#This Row],[CMP_par_portion]]</f>
        <v>0</v>
      </c>
      <c r="J2209" s="7">
        <f>tbl_Ventes[[#This Row],[CA ligne]] - tbl_Ventes[[#This Row],[Coût matière ligne]]</f>
        <v>0</v>
      </c>
      <c r="K2209" s="7" t="str">
        <f>IFERROR(INDEX(tbl_ProduitsRef[Famille], MATCH(tbl_Ventes[[#This Row],[Cde_Prdt]], tbl_Produits[Cde_Prdt], 0)), "")</f>
        <v/>
      </c>
    </row>
    <row r="2210" spans="1:11" x14ac:dyDescent="0.25">
      <c r="A2210" s="5"/>
      <c r="B2210" s="63" t="str">
        <f>IFERROR(TEXT(tbl_Ventes[[#This Row],[Date]],"mm-aaaa"),"")</f>
        <v>01-1900</v>
      </c>
      <c r="D2210" s="10" t="str">
        <f>IFERROR(
   INDEX(tbl_ProduitsRef[Cde_Prdt],MATCH(tbl_Ventes[[#This Row],[Produit]],tbl_ProduitsRef[Produit],0)),
   ""
)</f>
        <v/>
      </c>
      <c r="E2210" s="7">
        <v>0</v>
      </c>
      <c r="F2210" s="7" t="str">
        <f>IFERROR(
   INDEX(tbl_ProduitsRef[Prix Menu],MATCH(tbl_Ventes[[#This Row],[Produit]],tbl_ProduitsRef[Produit],0)),
   ""
)</f>
        <v/>
      </c>
      <c r="G2210" s="7">
        <f>tbl_Ventes[[#This Row],[Qté Vendue]] * IFERROR(_xlfn.XLOOKUP(tbl_Ventes[[#This Row],[Cde_Prdt]], tbl_Produits[Cde_Prdt], tbl_Produits[Prix Menu]), 0)</f>
        <v>0</v>
      </c>
      <c r="H2210" s="7">
        <f>IFERROR(_xlfn.XLOOKUP(tbl_Ventes[[#This Row],[Cde_Prdt]], tbl_Produits[Cde_Prdt], tbl_Produits[Coût Moyen Portion]), 0)</f>
        <v>0</v>
      </c>
      <c r="I2210" s="7">
        <f>tbl_Ventes[[#This Row],[Qté Vendue]] * tbl_Ventes[[#This Row],[CMP_par_portion]]</f>
        <v>0</v>
      </c>
      <c r="J2210" s="7">
        <f>tbl_Ventes[[#This Row],[CA ligne]] - tbl_Ventes[[#This Row],[Coût matière ligne]]</f>
        <v>0</v>
      </c>
      <c r="K2210" s="7" t="str">
        <f>IFERROR(INDEX(tbl_ProduitsRef[Famille], MATCH(tbl_Ventes[[#This Row],[Cde_Prdt]], tbl_Produits[Cde_Prdt], 0)), "")</f>
        <v/>
      </c>
    </row>
    <row r="2211" spans="1:11" x14ac:dyDescent="0.25">
      <c r="A2211" s="5"/>
      <c r="B2211" s="63" t="str">
        <f>IFERROR(TEXT(tbl_Ventes[[#This Row],[Date]],"mm-aaaa"),"")</f>
        <v>01-1900</v>
      </c>
      <c r="D2211" s="10" t="str">
        <f>IFERROR(
   INDEX(tbl_ProduitsRef[Cde_Prdt],MATCH(tbl_Ventes[[#This Row],[Produit]],tbl_ProduitsRef[Produit],0)),
   ""
)</f>
        <v/>
      </c>
      <c r="E2211" s="7">
        <v>0</v>
      </c>
      <c r="F2211" s="7" t="str">
        <f>IFERROR(
   INDEX(tbl_ProduitsRef[Prix Menu],MATCH(tbl_Ventes[[#This Row],[Produit]],tbl_ProduitsRef[Produit],0)),
   ""
)</f>
        <v/>
      </c>
      <c r="G2211" s="7">
        <f>tbl_Ventes[[#This Row],[Qté Vendue]] * IFERROR(_xlfn.XLOOKUP(tbl_Ventes[[#This Row],[Cde_Prdt]], tbl_Produits[Cde_Prdt], tbl_Produits[Prix Menu]), 0)</f>
        <v>0</v>
      </c>
      <c r="H2211" s="7">
        <f>IFERROR(_xlfn.XLOOKUP(tbl_Ventes[[#This Row],[Cde_Prdt]], tbl_Produits[Cde_Prdt], tbl_Produits[Coût Moyen Portion]), 0)</f>
        <v>0</v>
      </c>
      <c r="I2211" s="7">
        <f>tbl_Ventes[[#This Row],[Qté Vendue]] * tbl_Ventes[[#This Row],[CMP_par_portion]]</f>
        <v>0</v>
      </c>
      <c r="J2211" s="7">
        <f>tbl_Ventes[[#This Row],[CA ligne]] - tbl_Ventes[[#This Row],[Coût matière ligne]]</f>
        <v>0</v>
      </c>
      <c r="K2211" s="7" t="str">
        <f>IFERROR(INDEX(tbl_ProduitsRef[Famille], MATCH(tbl_Ventes[[#This Row],[Cde_Prdt]], tbl_Produits[Cde_Prdt], 0)), "")</f>
        <v/>
      </c>
    </row>
    <row r="2212" spans="1:11" x14ac:dyDescent="0.25">
      <c r="A2212" s="5"/>
      <c r="B2212" s="63" t="str">
        <f>IFERROR(TEXT(tbl_Ventes[[#This Row],[Date]],"mm-aaaa"),"")</f>
        <v>01-1900</v>
      </c>
      <c r="D2212" s="10" t="str">
        <f>IFERROR(
   INDEX(tbl_ProduitsRef[Cde_Prdt],MATCH(tbl_Ventes[[#This Row],[Produit]],tbl_ProduitsRef[Produit],0)),
   ""
)</f>
        <v/>
      </c>
      <c r="E2212" s="7">
        <v>0</v>
      </c>
      <c r="F2212" s="7" t="str">
        <f>IFERROR(
   INDEX(tbl_ProduitsRef[Prix Menu],MATCH(tbl_Ventes[[#This Row],[Produit]],tbl_ProduitsRef[Produit],0)),
   ""
)</f>
        <v/>
      </c>
      <c r="G2212" s="7">
        <f>tbl_Ventes[[#This Row],[Qté Vendue]] * IFERROR(_xlfn.XLOOKUP(tbl_Ventes[[#This Row],[Cde_Prdt]], tbl_Produits[Cde_Prdt], tbl_Produits[Prix Menu]), 0)</f>
        <v>0</v>
      </c>
      <c r="H2212" s="7">
        <f>IFERROR(_xlfn.XLOOKUP(tbl_Ventes[[#This Row],[Cde_Prdt]], tbl_Produits[Cde_Prdt], tbl_Produits[Coût Moyen Portion]), 0)</f>
        <v>0</v>
      </c>
      <c r="I2212" s="7">
        <f>tbl_Ventes[[#This Row],[Qté Vendue]] * tbl_Ventes[[#This Row],[CMP_par_portion]]</f>
        <v>0</v>
      </c>
      <c r="J2212" s="7">
        <f>tbl_Ventes[[#This Row],[CA ligne]] - tbl_Ventes[[#This Row],[Coût matière ligne]]</f>
        <v>0</v>
      </c>
      <c r="K2212" s="7" t="str">
        <f>IFERROR(INDEX(tbl_ProduitsRef[Famille], MATCH(tbl_Ventes[[#This Row],[Cde_Prdt]], tbl_Produits[Cde_Prdt], 0)), "")</f>
        <v/>
      </c>
    </row>
    <row r="2213" spans="1:11" x14ac:dyDescent="0.25">
      <c r="A2213" s="5"/>
      <c r="B2213" s="63" t="str">
        <f>IFERROR(TEXT(tbl_Ventes[[#This Row],[Date]],"mm-aaaa"),"")</f>
        <v>01-1900</v>
      </c>
      <c r="D2213" s="10" t="str">
        <f>IFERROR(
   INDEX(tbl_ProduitsRef[Cde_Prdt],MATCH(tbl_Ventes[[#This Row],[Produit]],tbl_ProduitsRef[Produit],0)),
   ""
)</f>
        <v/>
      </c>
      <c r="E2213" s="7">
        <v>0</v>
      </c>
      <c r="F2213" s="7" t="str">
        <f>IFERROR(
   INDEX(tbl_ProduitsRef[Prix Menu],MATCH(tbl_Ventes[[#This Row],[Produit]],tbl_ProduitsRef[Produit],0)),
   ""
)</f>
        <v/>
      </c>
      <c r="G2213" s="7">
        <f>tbl_Ventes[[#This Row],[Qté Vendue]] * IFERROR(_xlfn.XLOOKUP(tbl_Ventes[[#This Row],[Cde_Prdt]], tbl_Produits[Cde_Prdt], tbl_Produits[Prix Menu]), 0)</f>
        <v>0</v>
      </c>
      <c r="H2213" s="7">
        <f>IFERROR(_xlfn.XLOOKUP(tbl_Ventes[[#This Row],[Cde_Prdt]], tbl_Produits[Cde_Prdt], tbl_Produits[Coût Moyen Portion]), 0)</f>
        <v>0</v>
      </c>
      <c r="I2213" s="7">
        <f>tbl_Ventes[[#This Row],[Qté Vendue]] * tbl_Ventes[[#This Row],[CMP_par_portion]]</f>
        <v>0</v>
      </c>
      <c r="J2213" s="7">
        <f>tbl_Ventes[[#This Row],[CA ligne]] - tbl_Ventes[[#This Row],[Coût matière ligne]]</f>
        <v>0</v>
      </c>
      <c r="K2213" s="7" t="str">
        <f>IFERROR(INDEX(tbl_ProduitsRef[Famille], MATCH(tbl_Ventes[[#This Row],[Cde_Prdt]], tbl_Produits[Cde_Prdt], 0)), "")</f>
        <v/>
      </c>
    </row>
    <row r="2214" spans="1:11" x14ac:dyDescent="0.25">
      <c r="A2214" s="5"/>
      <c r="B2214" s="63" t="str">
        <f>IFERROR(TEXT(tbl_Ventes[[#This Row],[Date]],"mm-aaaa"),"")</f>
        <v>01-1900</v>
      </c>
      <c r="D2214" s="10" t="str">
        <f>IFERROR(
   INDEX(tbl_ProduitsRef[Cde_Prdt],MATCH(tbl_Ventes[[#This Row],[Produit]],tbl_ProduitsRef[Produit],0)),
   ""
)</f>
        <v/>
      </c>
      <c r="E2214" s="7">
        <v>0</v>
      </c>
      <c r="F2214" s="7" t="str">
        <f>IFERROR(
   INDEX(tbl_ProduitsRef[Prix Menu],MATCH(tbl_Ventes[[#This Row],[Produit]],tbl_ProduitsRef[Produit],0)),
   ""
)</f>
        <v/>
      </c>
      <c r="G2214" s="7">
        <f>tbl_Ventes[[#This Row],[Qté Vendue]] * IFERROR(_xlfn.XLOOKUP(tbl_Ventes[[#This Row],[Cde_Prdt]], tbl_Produits[Cde_Prdt], tbl_Produits[Prix Menu]), 0)</f>
        <v>0</v>
      </c>
      <c r="H2214" s="7">
        <f>IFERROR(_xlfn.XLOOKUP(tbl_Ventes[[#This Row],[Cde_Prdt]], tbl_Produits[Cde_Prdt], tbl_Produits[Coût Moyen Portion]), 0)</f>
        <v>0</v>
      </c>
      <c r="I2214" s="7">
        <f>tbl_Ventes[[#This Row],[Qté Vendue]] * tbl_Ventes[[#This Row],[CMP_par_portion]]</f>
        <v>0</v>
      </c>
      <c r="J2214" s="7">
        <f>tbl_Ventes[[#This Row],[CA ligne]] - tbl_Ventes[[#This Row],[Coût matière ligne]]</f>
        <v>0</v>
      </c>
      <c r="K2214" s="7" t="str">
        <f>IFERROR(INDEX(tbl_ProduitsRef[Famille], MATCH(tbl_Ventes[[#This Row],[Cde_Prdt]], tbl_Produits[Cde_Prdt], 0)), "")</f>
        <v/>
      </c>
    </row>
    <row r="2215" spans="1:11" x14ac:dyDescent="0.25">
      <c r="A2215" s="5"/>
      <c r="B2215" s="63" t="str">
        <f>IFERROR(TEXT(tbl_Ventes[[#This Row],[Date]],"mm-aaaa"),"")</f>
        <v>01-1900</v>
      </c>
      <c r="D2215" s="10" t="str">
        <f>IFERROR(
   INDEX(tbl_ProduitsRef[Cde_Prdt],MATCH(tbl_Ventes[[#This Row],[Produit]],tbl_ProduitsRef[Produit],0)),
   ""
)</f>
        <v/>
      </c>
      <c r="E2215" s="7">
        <v>0</v>
      </c>
      <c r="F2215" s="7" t="str">
        <f>IFERROR(
   INDEX(tbl_ProduitsRef[Prix Menu],MATCH(tbl_Ventes[[#This Row],[Produit]],tbl_ProduitsRef[Produit],0)),
   ""
)</f>
        <v/>
      </c>
      <c r="G2215" s="7">
        <f>tbl_Ventes[[#This Row],[Qté Vendue]] * IFERROR(_xlfn.XLOOKUP(tbl_Ventes[[#This Row],[Cde_Prdt]], tbl_Produits[Cde_Prdt], tbl_Produits[Prix Menu]), 0)</f>
        <v>0</v>
      </c>
      <c r="H2215" s="7">
        <f>IFERROR(_xlfn.XLOOKUP(tbl_Ventes[[#This Row],[Cde_Prdt]], tbl_Produits[Cde_Prdt], tbl_Produits[Coût Moyen Portion]), 0)</f>
        <v>0</v>
      </c>
      <c r="I2215" s="7">
        <f>tbl_Ventes[[#This Row],[Qté Vendue]] * tbl_Ventes[[#This Row],[CMP_par_portion]]</f>
        <v>0</v>
      </c>
      <c r="J2215" s="7">
        <f>tbl_Ventes[[#This Row],[CA ligne]] - tbl_Ventes[[#This Row],[Coût matière ligne]]</f>
        <v>0</v>
      </c>
      <c r="K2215" s="7" t="str">
        <f>IFERROR(INDEX(tbl_ProduitsRef[Famille], MATCH(tbl_Ventes[[#This Row],[Cde_Prdt]], tbl_Produits[Cde_Prdt], 0)), "")</f>
        <v/>
      </c>
    </row>
    <row r="2216" spans="1:11" x14ac:dyDescent="0.25">
      <c r="A2216" s="5"/>
      <c r="B2216" s="63" t="str">
        <f>IFERROR(TEXT(tbl_Ventes[[#This Row],[Date]],"mm-aaaa"),"")</f>
        <v>01-1900</v>
      </c>
      <c r="D2216" s="10" t="str">
        <f>IFERROR(
   INDEX(tbl_ProduitsRef[Cde_Prdt],MATCH(tbl_Ventes[[#This Row],[Produit]],tbl_ProduitsRef[Produit],0)),
   ""
)</f>
        <v/>
      </c>
      <c r="E2216" s="7">
        <v>0</v>
      </c>
      <c r="F2216" s="7" t="str">
        <f>IFERROR(
   INDEX(tbl_ProduitsRef[Prix Menu],MATCH(tbl_Ventes[[#This Row],[Produit]],tbl_ProduitsRef[Produit],0)),
   ""
)</f>
        <v/>
      </c>
      <c r="G2216" s="7">
        <f>tbl_Ventes[[#This Row],[Qté Vendue]] * IFERROR(_xlfn.XLOOKUP(tbl_Ventes[[#This Row],[Cde_Prdt]], tbl_Produits[Cde_Prdt], tbl_Produits[Prix Menu]), 0)</f>
        <v>0</v>
      </c>
      <c r="H2216" s="7">
        <f>IFERROR(_xlfn.XLOOKUP(tbl_Ventes[[#This Row],[Cde_Prdt]], tbl_Produits[Cde_Prdt], tbl_Produits[Coût Moyen Portion]), 0)</f>
        <v>0</v>
      </c>
      <c r="I2216" s="7">
        <f>tbl_Ventes[[#This Row],[Qté Vendue]] * tbl_Ventes[[#This Row],[CMP_par_portion]]</f>
        <v>0</v>
      </c>
      <c r="J2216" s="7">
        <f>tbl_Ventes[[#This Row],[CA ligne]] - tbl_Ventes[[#This Row],[Coût matière ligne]]</f>
        <v>0</v>
      </c>
      <c r="K2216" s="7" t="str">
        <f>IFERROR(INDEX(tbl_ProduitsRef[Famille], MATCH(tbl_Ventes[[#This Row],[Cde_Prdt]], tbl_Produits[Cde_Prdt], 0)), "")</f>
        <v/>
      </c>
    </row>
    <row r="2217" spans="1:11" x14ac:dyDescent="0.25">
      <c r="A2217" s="5"/>
      <c r="B2217" s="63" t="str">
        <f>IFERROR(TEXT(tbl_Ventes[[#This Row],[Date]],"mm-aaaa"),"")</f>
        <v>01-1900</v>
      </c>
      <c r="D2217" s="10" t="str">
        <f>IFERROR(
   INDEX(tbl_ProduitsRef[Cde_Prdt],MATCH(tbl_Ventes[[#This Row],[Produit]],tbl_ProduitsRef[Produit],0)),
   ""
)</f>
        <v/>
      </c>
      <c r="E2217" s="7">
        <v>0</v>
      </c>
      <c r="F2217" s="7" t="str">
        <f>IFERROR(
   INDEX(tbl_ProduitsRef[Prix Menu],MATCH(tbl_Ventes[[#This Row],[Produit]],tbl_ProduitsRef[Produit],0)),
   ""
)</f>
        <v/>
      </c>
      <c r="G2217" s="7">
        <f>tbl_Ventes[[#This Row],[Qté Vendue]] * IFERROR(_xlfn.XLOOKUP(tbl_Ventes[[#This Row],[Cde_Prdt]], tbl_Produits[Cde_Prdt], tbl_Produits[Prix Menu]), 0)</f>
        <v>0</v>
      </c>
      <c r="H2217" s="7">
        <f>IFERROR(_xlfn.XLOOKUP(tbl_Ventes[[#This Row],[Cde_Prdt]], tbl_Produits[Cde_Prdt], tbl_Produits[Coût Moyen Portion]), 0)</f>
        <v>0</v>
      </c>
      <c r="I2217" s="7">
        <f>tbl_Ventes[[#This Row],[Qté Vendue]] * tbl_Ventes[[#This Row],[CMP_par_portion]]</f>
        <v>0</v>
      </c>
      <c r="J2217" s="7">
        <f>tbl_Ventes[[#This Row],[CA ligne]] - tbl_Ventes[[#This Row],[Coût matière ligne]]</f>
        <v>0</v>
      </c>
      <c r="K2217" s="7" t="str">
        <f>IFERROR(INDEX(tbl_ProduitsRef[Famille], MATCH(tbl_Ventes[[#This Row],[Cde_Prdt]], tbl_Produits[Cde_Prdt], 0)), "")</f>
        <v/>
      </c>
    </row>
    <row r="2218" spans="1:11" x14ac:dyDescent="0.25">
      <c r="A2218" s="5"/>
      <c r="B2218" s="63" t="str">
        <f>IFERROR(TEXT(tbl_Ventes[[#This Row],[Date]],"mm-aaaa"),"")</f>
        <v>01-1900</v>
      </c>
      <c r="D2218" s="10" t="str">
        <f>IFERROR(
   INDEX(tbl_ProduitsRef[Cde_Prdt],MATCH(tbl_Ventes[[#This Row],[Produit]],tbl_ProduitsRef[Produit],0)),
   ""
)</f>
        <v/>
      </c>
      <c r="E2218" s="7">
        <v>0</v>
      </c>
      <c r="F2218" s="7" t="str">
        <f>IFERROR(
   INDEX(tbl_ProduitsRef[Prix Menu],MATCH(tbl_Ventes[[#This Row],[Produit]],tbl_ProduitsRef[Produit],0)),
   ""
)</f>
        <v/>
      </c>
      <c r="G2218" s="7">
        <f>tbl_Ventes[[#This Row],[Qté Vendue]] * IFERROR(_xlfn.XLOOKUP(tbl_Ventes[[#This Row],[Cde_Prdt]], tbl_Produits[Cde_Prdt], tbl_Produits[Prix Menu]), 0)</f>
        <v>0</v>
      </c>
      <c r="H2218" s="7">
        <f>IFERROR(_xlfn.XLOOKUP(tbl_Ventes[[#This Row],[Cde_Prdt]], tbl_Produits[Cde_Prdt], tbl_Produits[Coût Moyen Portion]), 0)</f>
        <v>0</v>
      </c>
      <c r="I2218" s="7">
        <f>tbl_Ventes[[#This Row],[Qté Vendue]] * tbl_Ventes[[#This Row],[CMP_par_portion]]</f>
        <v>0</v>
      </c>
      <c r="J2218" s="7">
        <f>tbl_Ventes[[#This Row],[CA ligne]] - tbl_Ventes[[#This Row],[Coût matière ligne]]</f>
        <v>0</v>
      </c>
      <c r="K2218" s="7" t="str">
        <f>IFERROR(INDEX(tbl_ProduitsRef[Famille], MATCH(tbl_Ventes[[#This Row],[Cde_Prdt]], tbl_Produits[Cde_Prdt], 0)), "")</f>
        <v/>
      </c>
    </row>
    <row r="2219" spans="1:11" x14ac:dyDescent="0.25">
      <c r="A2219" s="5"/>
      <c r="B2219" s="63" t="str">
        <f>IFERROR(TEXT(tbl_Ventes[[#This Row],[Date]],"mm-aaaa"),"")</f>
        <v>01-1900</v>
      </c>
      <c r="D2219" s="10" t="str">
        <f>IFERROR(
   INDEX(tbl_ProduitsRef[Cde_Prdt],MATCH(tbl_Ventes[[#This Row],[Produit]],tbl_ProduitsRef[Produit],0)),
   ""
)</f>
        <v/>
      </c>
      <c r="E2219" s="7">
        <v>0</v>
      </c>
      <c r="F2219" s="7" t="str">
        <f>IFERROR(
   INDEX(tbl_ProduitsRef[Prix Menu],MATCH(tbl_Ventes[[#This Row],[Produit]],tbl_ProduitsRef[Produit],0)),
   ""
)</f>
        <v/>
      </c>
      <c r="G2219" s="7">
        <f>tbl_Ventes[[#This Row],[Qté Vendue]] * IFERROR(_xlfn.XLOOKUP(tbl_Ventes[[#This Row],[Cde_Prdt]], tbl_Produits[Cde_Prdt], tbl_Produits[Prix Menu]), 0)</f>
        <v>0</v>
      </c>
      <c r="H2219" s="7">
        <f>IFERROR(_xlfn.XLOOKUP(tbl_Ventes[[#This Row],[Cde_Prdt]], tbl_Produits[Cde_Prdt], tbl_Produits[Coût Moyen Portion]), 0)</f>
        <v>0</v>
      </c>
      <c r="I2219" s="7">
        <f>tbl_Ventes[[#This Row],[Qté Vendue]] * tbl_Ventes[[#This Row],[CMP_par_portion]]</f>
        <v>0</v>
      </c>
      <c r="J2219" s="7">
        <f>tbl_Ventes[[#This Row],[CA ligne]] - tbl_Ventes[[#This Row],[Coût matière ligne]]</f>
        <v>0</v>
      </c>
      <c r="K2219" s="7" t="str">
        <f>IFERROR(INDEX(tbl_ProduitsRef[Famille], MATCH(tbl_Ventes[[#This Row],[Cde_Prdt]], tbl_Produits[Cde_Prdt], 0)), "")</f>
        <v/>
      </c>
    </row>
    <row r="2220" spans="1:11" x14ac:dyDescent="0.25">
      <c r="A2220" s="5"/>
      <c r="B2220" s="63" t="str">
        <f>IFERROR(TEXT(tbl_Ventes[[#This Row],[Date]],"mm-aaaa"),"")</f>
        <v>01-1900</v>
      </c>
      <c r="D2220" s="10" t="str">
        <f>IFERROR(
   INDEX(tbl_ProduitsRef[Cde_Prdt],MATCH(tbl_Ventes[[#This Row],[Produit]],tbl_ProduitsRef[Produit],0)),
   ""
)</f>
        <v/>
      </c>
      <c r="E2220" s="7">
        <v>0</v>
      </c>
      <c r="F2220" s="7" t="str">
        <f>IFERROR(
   INDEX(tbl_ProduitsRef[Prix Menu],MATCH(tbl_Ventes[[#This Row],[Produit]],tbl_ProduitsRef[Produit],0)),
   ""
)</f>
        <v/>
      </c>
      <c r="G2220" s="7">
        <f>tbl_Ventes[[#This Row],[Qté Vendue]] * IFERROR(_xlfn.XLOOKUP(tbl_Ventes[[#This Row],[Cde_Prdt]], tbl_Produits[Cde_Prdt], tbl_Produits[Prix Menu]), 0)</f>
        <v>0</v>
      </c>
      <c r="H2220" s="7">
        <f>IFERROR(_xlfn.XLOOKUP(tbl_Ventes[[#This Row],[Cde_Prdt]], tbl_Produits[Cde_Prdt], tbl_Produits[Coût Moyen Portion]), 0)</f>
        <v>0</v>
      </c>
      <c r="I2220" s="7">
        <f>tbl_Ventes[[#This Row],[Qté Vendue]] * tbl_Ventes[[#This Row],[CMP_par_portion]]</f>
        <v>0</v>
      </c>
      <c r="J2220" s="7">
        <f>tbl_Ventes[[#This Row],[CA ligne]] - tbl_Ventes[[#This Row],[Coût matière ligne]]</f>
        <v>0</v>
      </c>
      <c r="K2220" s="7" t="str">
        <f>IFERROR(INDEX(tbl_ProduitsRef[Famille], MATCH(tbl_Ventes[[#This Row],[Cde_Prdt]], tbl_Produits[Cde_Prdt], 0)), "")</f>
        <v/>
      </c>
    </row>
    <row r="2221" spans="1:11" x14ac:dyDescent="0.25">
      <c r="A2221" s="5"/>
      <c r="B2221" s="63" t="str">
        <f>IFERROR(TEXT(tbl_Ventes[[#This Row],[Date]],"mm-aaaa"),"")</f>
        <v>01-1900</v>
      </c>
      <c r="D2221" s="10" t="str">
        <f>IFERROR(
   INDEX(tbl_ProduitsRef[Cde_Prdt],MATCH(tbl_Ventes[[#This Row],[Produit]],tbl_ProduitsRef[Produit],0)),
   ""
)</f>
        <v/>
      </c>
      <c r="E2221" s="7">
        <v>0</v>
      </c>
      <c r="F2221" s="7" t="str">
        <f>IFERROR(
   INDEX(tbl_ProduitsRef[Prix Menu],MATCH(tbl_Ventes[[#This Row],[Produit]],tbl_ProduitsRef[Produit],0)),
   ""
)</f>
        <v/>
      </c>
      <c r="G2221" s="7">
        <f>tbl_Ventes[[#This Row],[Qté Vendue]] * IFERROR(_xlfn.XLOOKUP(tbl_Ventes[[#This Row],[Cde_Prdt]], tbl_Produits[Cde_Prdt], tbl_Produits[Prix Menu]), 0)</f>
        <v>0</v>
      </c>
      <c r="H2221" s="7">
        <f>IFERROR(_xlfn.XLOOKUP(tbl_Ventes[[#This Row],[Cde_Prdt]], tbl_Produits[Cde_Prdt], tbl_Produits[Coût Moyen Portion]), 0)</f>
        <v>0</v>
      </c>
      <c r="I2221" s="7">
        <f>tbl_Ventes[[#This Row],[Qté Vendue]] * tbl_Ventes[[#This Row],[CMP_par_portion]]</f>
        <v>0</v>
      </c>
      <c r="J2221" s="7">
        <f>tbl_Ventes[[#This Row],[CA ligne]] - tbl_Ventes[[#This Row],[Coût matière ligne]]</f>
        <v>0</v>
      </c>
      <c r="K2221" s="7" t="str">
        <f>IFERROR(INDEX(tbl_ProduitsRef[Famille], MATCH(tbl_Ventes[[#This Row],[Cde_Prdt]], tbl_Produits[Cde_Prdt], 0)), "")</f>
        <v/>
      </c>
    </row>
    <row r="2222" spans="1:11" x14ac:dyDescent="0.25">
      <c r="A2222" s="5"/>
      <c r="B2222" s="63" t="str">
        <f>IFERROR(TEXT(tbl_Ventes[[#This Row],[Date]],"mm-aaaa"),"")</f>
        <v>01-1900</v>
      </c>
      <c r="D2222" s="10" t="str">
        <f>IFERROR(
   INDEX(tbl_ProduitsRef[Cde_Prdt],MATCH(tbl_Ventes[[#This Row],[Produit]],tbl_ProduitsRef[Produit],0)),
   ""
)</f>
        <v/>
      </c>
      <c r="E2222" s="7">
        <v>0</v>
      </c>
      <c r="F2222" s="7" t="str">
        <f>IFERROR(
   INDEX(tbl_ProduitsRef[Prix Menu],MATCH(tbl_Ventes[[#This Row],[Produit]],tbl_ProduitsRef[Produit],0)),
   ""
)</f>
        <v/>
      </c>
      <c r="G2222" s="7">
        <f>tbl_Ventes[[#This Row],[Qté Vendue]] * IFERROR(_xlfn.XLOOKUP(tbl_Ventes[[#This Row],[Cde_Prdt]], tbl_Produits[Cde_Prdt], tbl_Produits[Prix Menu]), 0)</f>
        <v>0</v>
      </c>
      <c r="H2222" s="7">
        <f>IFERROR(_xlfn.XLOOKUP(tbl_Ventes[[#This Row],[Cde_Prdt]], tbl_Produits[Cde_Prdt], tbl_Produits[Coût Moyen Portion]), 0)</f>
        <v>0</v>
      </c>
      <c r="I2222" s="7">
        <f>tbl_Ventes[[#This Row],[Qté Vendue]] * tbl_Ventes[[#This Row],[CMP_par_portion]]</f>
        <v>0</v>
      </c>
      <c r="J2222" s="7">
        <f>tbl_Ventes[[#This Row],[CA ligne]] - tbl_Ventes[[#This Row],[Coût matière ligne]]</f>
        <v>0</v>
      </c>
      <c r="K2222" s="7" t="str">
        <f>IFERROR(INDEX(tbl_ProduitsRef[Famille], MATCH(tbl_Ventes[[#This Row],[Cde_Prdt]], tbl_Produits[Cde_Prdt], 0)), "")</f>
        <v/>
      </c>
    </row>
    <row r="2223" spans="1:11" x14ac:dyDescent="0.25">
      <c r="A2223" s="5"/>
      <c r="B2223" s="63" t="str">
        <f>IFERROR(TEXT(tbl_Ventes[[#This Row],[Date]],"mm-aaaa"),"")</f>
        <v>01-1900</v>
      </c>
      <c r="D2223" s="10" t="str">
        <f>IFERROR(
   INDEX(tbl_ProduitsRef[Cde_Prdt],MATCH(tbl_Ventes[[#This Row],[Produit]],tbl_ProduitsRef[Produit],0)),
   ""
)</f>
        <v/>
      </c>
      <c r="E2223" s="7">
        <v>0</v>
      </c>
      <c r="F2223" s="7" t="str">
        <f>IFERROR(
   INDEX(tbl_ProduitsRef[Prix Menu],MATCH(tbl_Ventes[[#This Row],[Produit]],tbl_ProduitsRef[Produit],0)),
   ""
)</f>
        <v/>
      </c>
      <c r="G2223" s="7">
        <f>tbl_Ventes[[#This Row],[Qté Vendue]] * IFERROR(_xlfn.XLOOKUP(tbl_Ventes[[#This Row],[Cde_Prdt]], tbl_Produits[Cde_Prdt], tbl_Produits[Prix Menu]), 0)</f>
        <v>0</v>
      </c>
      <c r="H2223" s="7">
        <f>IFERROR(_xlfn.XLOOKUP(tbl_Ventes[[#This Row],[Cde_Prdt]], tbl_Produits[Cde_Prdt], tbl_Produits[Coût Moyen Portion]), 0)</f>
        <v>0</v>
      </c>
      <c r="I2223" s="7">
        <f>tbl_Ventes[[#This Row],[Qté Vendue]] * tbl_Ventes[[#This Row],[CMP_par_portion]]</f>
        <v>0</v>
      </c>
      <c r="J2223" s="7">
        <f>tbl_Ventes[[#This Row],[CA ligne]] - tbl_Ventes[[#This Row],[Coût matière ligne]]</f>
        <v>0</v>
      </c>
      <c r="K2223" s="7" t="str">
        <f>IFERROR(INDEX(tbl_ProduitsRef[Famille], MATCH(tbl_Ventes[[#This Row],[Cde_Prdt]], tbl_Produits[Cde_Prdt], 0)), "")</f>
        <v/>
      </c>
    </row>
    <row r="2224" spans="1:11" x14ac:dyDescent="0.25">
      <c r="A2224" s="5"/>
      <c r="B2224" s="63" t="str">
        <f>IFERROR(TEXT(tbl_Ventes[[#This Row],[Date]],"mm-aaaa"),"")</f>
        <v>01-1900</v>
      </c>
      <c r="D2224" s="10" t="str">
        <f>IFERROR(
   INDEX(tbl_ProduitsRef[Cde_Prdt],MATCH(tbl_Ventes[[#This Row],[Produit]],tbl_ProduitsRef[Produit],0)),
   ""
)</f>
        <v/>
      </c>
      <c r="E2224" s="7">
        <v>0</v>
      </c>
      <c r="F2224" s="7" t="str">
        <f>IFERROR(
   INDEX(tbl_ProduitsRef[Prix Menu],MATCH(tbl_Ventes[[#This Row],[Produit]],tbl_ProduitsRef[Produit],0)),
   ""
)</f>
        <v/>
      </c>
      <c r="G2224" s="7">
        <f>tbl_Ventes[[#This Row],[Qté Vendue]] * IFERROR(_xlfn.XLOOKUP(tbl_Ventes[[#This Row],[Cde_Prdt]], tbl_Produits[Cde_Prdt], tbl_Produits[Prix Menu]), 0)</f>
        <v>0</v>
      </c>
      <c r="H2224" s="7">
        <f>IFERROR(_xlfn.XLOOKUP(tbl_Ventes[[#This Row],[Cde_Prdt]], tbl_Produits[Cde_Prdt], tbl_Produits[Coût Moyen Portion]), 0)</f>
        <v>0</v>
      </c>
      <c r="I2224" s="7">
        <f>tbl_Ventes[[#This Row],[Qté Vendue]] * tbl_Ventes[[#This Row],[CMP_par_portion]]</f>
        <v>0</v>
      </c>
      <c r="J2224" s="7">
        <f>tbl_Ventes[[#This Row],[CA ligne]] - tbl_Ventes[[#This Row],[Coût matière ligne]]</f>
        <v>0</v>
      </c>
      <c r="K2224" s="7" t="str">
        <f>IFERROR(INDEX(tbl_ProduitsRef[Famille], MATCH(tbl_Ventes[[#This Row],[Cde_Prdt]], tbl_Produits[Cde_Prdt], 0)), "")</f>
        <v/>
      </c>
    </row>
    <row r="2225" spans="1:11" x14ac:dyDescent="0.25">
      <c r="A2225" s="5"/>
      <c r="B2225" s="63" t="str">
        <f>IFERROR(TEXT(tbl_Ventes[[#This Row],[Date]],"mm-aaaa"),"")</f>
        <v>01-1900</v>
      </c>
      <c r="D2225" s="10" t="str">
        <f>IFERROR(
   INDEX(tbl_ProduitsRef[Cde_Prdt],MATCH(tbl_Ventes[[#This Row],[Produit]],tbl_ProduitsRef[Produit],0)),
   ""
)</f>
        <v/>
      </c>
      <c r="E2225" s="7">
        <v>0</v>
      </c>
      <c r="F2225" s="7" t="str">
        <f>IFERROR(
   INDEX(tbl_ProduitsRef[Prix Menu],MATCH(tbl_Ventes[[#This Row],[Produit]],tbl_ProduitsRef[Produit],0)),
   ""
)</f>
        <v/>
      </c>
      <c r="G2225" s="7">
        <f>tbl_Ventes[[#This Row],[Qté Vendue]] * IFERROR(_xlfn.XLOOKUP(tbl_Ventes[[#This Row],[Cde_Prdt]], tbl_Produits[Cde_Prdt], tbl_Produits[Prix Menu]), 0)</f>
        <v>0</v>
      </c>
      <c r="H2225" s="7">
        <f>IFERROR(_xlfn.XLOOKUP(tbl_Ventes[[#This Row],[Cde_Prdt]], tbl_Produits[Cde_Prdt], tbl_Produits[Coût Moyen Portion]), 0)</f>
        <v>0</v>
      </c>
      <c r="I2225" s="7">
        <f>tbl_Ventes[[#This Row],[Qté Vendue]] * tbl_Ventes[[#This Row],[CMP_par_portion]]</f>
        <v>0</v>
      </c>
      <c r="J2225" s="7">
        <f>tbl_Ventes[[#This Row],[CA ligne]] - tbl_Ventes[[#This Row],[Coût matière ligne]]</f>
        <v>0</v>
      </c>
      <c r="K2225" s="7" t="str">
        <f>IFERROR(INDEX(tbl_ProduitsRef[Famille], MATCH(tbl_Ventes[[#This Row],[Cde_Prdt]], tbl_Produits[Cde_Prdt], 0)), "")</f>
        <v/>
      </c>
    </row>
    <row r="2226" spans="1:11" x14ac:dyDescent="0.25">
      <c r="A2226" s="5"/>
      <c r="B2226" s="63" t="str">
        <f>IFERROR(TEXT(tbl_Ventes[[#This Row],[Date]],"mm-aaaa"),"")</f>
        <v>01-1900</v>
      </c>
      <c r="D2226" s="10" t="str">
        <f>IFERROR(
   INDEX(tbl_ProduitsRef[Cde_Prdt],MATCH(tbl_Ventes[[#This Row],[Produit]],tbl_ProduitsRef[Produit],0)),
   ""
)</f>
        <v/>
      </c>
      <c r="E2226" s="7">
        <v>0</v>
      </c>
      <c r="F2226" s="7" t="str">
        <f>IFERROR(
   INDEX(tbl_ProduitsRef[Prix Menu],MATCH(tbl_Ventes[[#This Row],[Produit]],tbl_ProduitsRef[Produit],0)),
   ""
)</f>
        <v/>
      </c>
      <c r="G2226" s="7">
        <f>tbl_Ventes[[#This Row],[Qté Vendue]] * IFERROR(_xlfn.XLOOKUP(tbl_Ventes[[#This Row],[Cde_Prdt]], tbl_Produits[Cde_Prdt], tbl_Produits[Prix Menu]), 0)</f>
        <v>0</v>
      </c>
      <c r="H2226" s="7">
        <f>IFERROR(_xlfn.XLOOKUP(tbl_Ventes[[#This Row],[Cde_Prdt]], tbl_Produits[Cde_Prdt], tbl_Produits[Coût Moyen Portion]), 0)</f>
        <v>0</v>
      </c>
      <c r="I2226" s="7">
        <f>tbl_Ventes[[#This Row],[Qté Vendue]] * tbl_Ventes[[#This Row],[CMP_par_portion]]</f>
        <v>0</v>
      </c>
      <c r="J2226" s="7">
        <f>tbl_Ventes[[#This Row],[CA ligne]] - tbl_Ventes[[#This Row],[Coût matière ligne]]</f>
        <v>0</v>
      </c>
      <c r="K2226" s="7" t="str">
        <f>IFERROR(INDEX(tbl_ProduitsRef[Famille], MATCH(tbl_Ventes[[#This Row],[Cde_Prdt]], tbl_Produits[Cde_Prdt], 0)), "")</f>
        <v/>
      </c>
    </row>
    <row r="2227" spans="1:11" x14ac:dyDescent="0.25">
      <c r="A2227" s="5"/>
      <c r="B2227" s="63" t="str">
        <f>IFERROR(TEXT(tbl_Ventes[[#This Row],[Date]],"mm-aaaa"),"")</f>
        <v>01-1900</v>
      </c>
      <c r="D2227" s="10" t="str">
        <f>IFERROR(
   INDEX(tbl_ProduitsRef[Cde_Prdt],MATCH(tbl_Ventes[[#This Row],[Produit]],tbl_ProduitsRef[Produit],0)),
   ""
)</f>
        <v/>
      </c>
      <c r="E2227" s="7">
        <v>0</v>
      </c>
      <c r="F2227" s="7" t="str">
        <f>IFERROR(
   INDEX(tbl_ProduitsRef[Prix Menu],MATCH(tbl_Ventes[[#This Row],[Produit]],tbl_ProduitsRef[Produit],0)),
   ""
)</f>
        <v/>
      </c>
      <c r="G2227" s="7">
        <f>tbl_Ventes[[#This Row],[Qté Vendue]] * IFERROR(_xlfn.XLOOKUP(tbl_Ventes[[#This Row],[Cde_Prdt]], tbl_Produits[Cde_Prdt], tbl_Produits[Prix Menu]), 0)</f>
        <v>0</v>
      </c>
      <c r="H2227" s="7">
        <f>IFERROR(_xlfn.XLOOKUP(tbl_Ventes[[#This Row],[Cde_Prdt]], tbl_Produits[Cde_Prdt], tbl_Produits[Coût Moyen Portion]), 0)</f>
        <v>0</v>
      </c>
      <c r="I2227" s="7">
        <f>tbl_Ventes[[#This Row],[Qté Vendue]] * tbl_Ventes[[#This Row],[CMP_par_portion]]</f>
        <v>0</v>
      </c>
      <c r="J2227" s="7">
        <f>tbl_Ventes[[#This Row],[CA ligne]] - tbl_Ventes[[#This Row],[Coût matière ligne]]</f>
        <v>0</v>
      </c>
      <c r="K2227" s="7" t="str">
        <f>IFERROR(INDEX(tbl_ProduitsRef[Famille], MATCH(tbl_Ventes[[#This Row],[Cde_Prdt]], tbl_Produits[Cde_Prdt], 0)), "")</f>
        <v/>
      </c>
    </row>
    <row r="2228" spans="1:11" x14ac:dyDescent="0.25">
      <c r="A2228" s="5"/>
      <c r="B2228" s="63" t="str">
        <f>IFERROR(TEXT(tbl_Ventes[[#This Row],[Date]],"mm-aaaa"),"")</f>
        <v>01-1900</v>
      </c>
      <c r="D2228" s="10" t="str">
        <f>IFERROR(
   INDEX(tbl_ProduitsRef[Cde_Prdt],MATCH(tbl_Ventes[[#This Row],[Produit]],tbl_ProduitsRef[Produit],0)),
   ""
)</f>
        <v/>
      </c>
      <c r="E2228" s="7">
        <v>0</v>
      </c>
      <c r="F2228" s="7" t="str">
        <f>IFERROR(
   INDEX(tbl_ProduitsRef[Prix Menu],MATCH(tbl_Ventes[[#This Row],[Produit]],tbl_ProduitsRef[Produit],0)),
   ""
)</f>
        <v/>
      </c>
      <c r="G2228" s="7">
        <f>tbl_Ventes[[#This Row],[Qté Vendue]] * IFERROR(_xlfn.XLOOKUP(tbl_Ventes[[#This Row],[Cde_Prdt]], tbl_Produits[Cde_Prdt], tbl_Produits[Prix Menu]), 0)</f>
        <v>0</v>
      </c>
      <c r="H2228" s="7">
        <f>IFERROR(_xlfn.XLOOKUP(tbl_Ventes[[#This Row],[Cde_Prdt]], tbl_Produits[Cde_Prdt], tbl_Produits[Coût Moyen Portion]), 0)</f>
        <v>0</v>
      </c>
      <c r="I2228" s="7">
        <f>tbl_Ventes[[#This Row],[Qté Vendue]] * tbl_Ventes[[#This Row],[CMP_par_portion]]</f>
        <v>0</v>
      </c>
      <c r="J2228" s="7">
        <f>tbl_Ventes[[#This Row],[CA ligne]] - tbl_Ventes[[#This Row],[Coût matière ligne]]</f>
        <v>0</v>
      </c>
      <c r="K2228" s="7" t="str">
        <f>IFERROR(INDEX(tbl_ProduitsRef[Famille], MATCH(tbl_Ventes[[#This Row],[Cde_Prdt]], tbl_Produits[Cde_Prdt], 0)), "")</f>
        <v/>
      </c>
    </row>
    <row r="2229" spans="1:11" x14ac:dyDescent="0.25">
      <c r="A2229" s="5"/>
      <c r="B2229" s="63" t="str">
        <f>IFERROR(TEXT(tbl_Ventes[[#This Row],[Date]],"mm-aaaa"),"")</f>
        <v>01-1900</v>
      </c>
      <c r="D2229" s="10" t="str">
        <f>IFERROR(
   INDEX(tbl_ProduitsRef[Cde_Prdt],MATCH(tbl_Ventes[[#This Row],[Produit]],tbl_ProduitsRef[Produit],0)),
   ""
)</f>
        <v/>
      </c>
      <c r="E2229" s="7">
        <v>0</v>
      </c>
      <c r="F2229" s="7" t="str">
        <f>IFERROR(
   INDEX(tbl_ProduitsRef[Prix Menu],MATCH(tbl_Ventes[[#This Row],[Produit]],tbl_ProduitsRef[Produit],0)),
   ""
)</f>
        <v/>
      </c>
      <c r="G2229" s="7">
        <f>tbl_Ventes[[#This Row],[Qté Vendue]] * IFERROR(_xlfn.XLOOKUP(tbl_Ventes[[#This Row],[Cde_Prdt]], tbl_Produits[Cde_Prdt], tbl_Produits[Prix Menu]), 0)</f>
        <v>0</v>
      </c>
      <c r="H2229" s="7">
        <f>IFERROR(_xlfn.XLOOKUP(tbl_Ventes[[#This Row],[Cde_Prdt]], tbl_Produits[Cde_Prdt], tbl_Produits[Coût Moyen Portion]), 0)</f>
        <v>0</v>
      </c>
      <c r="I2229" s="7">
        <f>tbl_Ventes[[#This Row],[Qté Vendue]] * tbl_Ventes[[#This Row],[CMP_par_portion]]</f>
        <v>0</v>
      </c>
      <c r="J2229" s="7">
        <f>tbl_Ventes[[#This Row],[CA ligne]] - tbl_Ventes[[#This Row],[Coût matière ligne]]</f>
        <v>0</v>
      </c>
      <c r="K2229" s="7" t="str">
        <f>IFERROR(INDEX(tbl_ProduitsRef[Famille], MATCH(tbl_Ventes[[#This Row],[Cde_Prdt]], tbl_Produits[Cde_Prdt], 0)), "")</f>
        <v/>
      </c>
    </row>
    <row r="2230" spans="1:11" x14ac:dyDescent="0.25">
      <c r="A2230" s="5"/>
      <c r="B2230" s="63" t="str">
        <f>IFERROR(TEXT(tbl_Ventes[[#This Row],[Date]],"mm-aaaa"),"")</f>
        <v>01-1900</v>
      </c>
      <c r="D2230" s="10" t="str">
        <f>IFERROR(
   INDEX(tbl_ProduitsRef[Cde_Prdt],MATCH(tbl_Ventes[[#This Row],[Produit]],tbl_ProduitsRef[Produit],0)),
   ""
)</f>
        <v/>
      </c>
      <c r="E2230" s="7">
        <v>0</v>
      </c>
      <c r="F2230" s="7" t="str">
        <f>IFERROR(
   INDEX(tbl_ProduitsRef[Prix Menu],MATCH(tbl_Ventes[[#This Row],[Produit]],tbl_ProduitsRef[Produit],0)),
   ""
)</f>
        <v/>
      </c>
      <c r="G2230" s="7">
        <f>tbl_Ventes[[#This Row],[Qté Vendue]] * IFERROR(_xlfn.XLOOKUP(tbl_Ventes[[#This Row],[Cde_Prdt]], tbl_Produits[Cde_Prdt], tbl_Produits[Prix Menu]), 0)</f>
        <v>0</v>
      </c>
      <c r="H2230" s="7">
        <f>IFERROR(_xlfn.XLOOKUP(tbl_Ventes[[#This Row],[Cde_Prdt]], tbl_Produits[Cde_Prdt], tbl_Produits[Coût Moyen Portion]), 0)</f>
        <v>0</v>
      </c>
      <c r="I2230" s="7">
        <f>tbl_Ventes[[#This Row],[Qté Vendue]] * tbl_Ventes[[#This Row],[CMP_par_portion]]</f>
        <v>0</v>
      </c>
      <c r="J2230" s="7">
        <f>tbl_Ventes[[#This Row],[CA ligne]] - tbl_Ventes[[#This Row],[Coût matière ligne]]</f>
        <v>0</v>
      </c>
      <c r="K2230" s="7" t="str">
        <f>IFERROR(INDEX(tbl_ProduitsRef[Famille], MATCH(tbl_Ventes[[#This Row],[Cde_Prdt]], tbl_Produits[Cde_Prdt], 0)), "")</f>
        <v/>
      </c>
    </row>
    <row r="2231" spans="1:11" x14ac:dyDescent="0.25">
      <c r="A2231" s="5"/>
      <c r="B2231" s="63" t="str">
        <f>IFERROR(TEXT(tbl_Ventes[[#This Row],[Date]],"mm-aaaa"),"")</f>
        <v>01-1900</v>
      </c>
      <c r="D2231" s="10" t="str">
        <f>IFERROR(
   INDEX(tbl_ProduitsRef[Cde_Prdt],MATCH(tbl_Ventes[[#This Row],[Produit]],tbl_ProduitsRef[Produit],0)),
   ""
)</f>
        <v/>
      </c>
      <c r="E2231" s="7">
        <v>0</v>
      </c>
      <c r="F2231" s="7" t="str">
        <f>IFERROR(
   INDEX(tbl_ProduitsRef[Prix Menu],MATCH(tbl_Ventes[[#This Row],[Produit]],tbl_ProduitsRef[Produit],0)),
   ""
)</f>
        <v/>
      </c>
      <c r="G2231" s="7">
        <f>tbl_Ventes[[#This Row],[Qté Vendue]] * IFERROR(_xlfn.XLOOKUP(tbl_Ventes[[#This Row],[Cde_Prdt]], tbl_Produits[Cde_Prdt], tbl_Produits[Prix Menu]), 0)</f>
        <v>0</v>
      </c>
      <c r="H2231" s="7">
        <f>IFERROR(_xlfn.XLOOKUP(tbl_Ventes[[#This Row],[Cde_Prdt]], tbl_Produits[Cde_Prdt], tbl_Produits[Coût Moyen Portion]), 0)</f>
        <v>0</v>
      </c>
      <c r="I2231" s="7">
        <f>tbl_Ventes[[#This Row],[Qté Vendue]] * tbl_Ventes[[#This Row],[CMP_par_portion]]</f>
        <v>0</v>
      </c>
      <c r="J2231" s="7">
        <f>tbl_Ventes[[#This Row],[CA ligne]] - tbl_Ventes[[#This Row],[Coût matière ligne]]</f>
        <v>0</v>
      </c>
      <c r="K2231" s="7" t="str">
        <f>IFERROR(INDEX(tbl_ProduitsRef[Famille], MATCH(tbl_Ventes[[#This Row],[Cde_Prdt]], tbl_Produits[Cde_Prdt], 0)), "")</f>
        <v/>
      </c>
    </row>
    <row r="2232" spans="1:11" x14ac:dyDescent="0.25">
      <c r="A2232" s="5"/>
      <c r="B2232" s="63" t="str">
        <f>IFERROR(TEXT(tbl_Ventes[[#This Row],[Date]],"mm-aaaa"),"")</f>
        <v>01-1900</v>
      </c>
      <c r="D2232" s="10" t="str">
        <f>IFERROR(
   INDEX(tbl_ProduitsRef[Cde_Prdt],MATCH(tbl_Ventes[[#This Row],[Produit]],tbl_ProduitsRef[Produit],0)),
   ""
)</f>
        <v/>
      </c>
      <c r="E2232" s="7">
        <v>0</v>
      </c>
      <c r="F2232" s="7" t="str">
        <f>IFERROR(
   INDEX(tbl_ProduitsRef[Prix Menu],MATCH(tbl_Ventes[[#This Row],[Produit]],tbl_ProduitsRef[Produit],0)),
   ""
)</f>
        <v/>
      </c>
      <c r="G2232" s="7">
        <f>tbl_Ventes[[#This Row],[Qté Vendue]] * IFERROR(_xlfn.XLOOKUP(tbl_Ventes[[#This Row],[Cde_Prdt]], tbl_Produits[Cde_Prdt], tbl_Produits[Prix Menu]), 0)</f>
        <v>0</v>
      </c>
      <c r="H2232" s="7">
        <f>IFERROR(_xlfn.XLOOKUP(tbl_Ventes[[#This Row],[Cde_Prdt]], tbl_Produits[Cde_Prdt], tbl_Produits[Coût Moyen Portion]), 0)</f>
        <v>0</v>
      </c>
      <c r="I2232" s="7">
        <f>tbl_Ventes[[#This Row],[Qté Vendue]] * tbl_Ventes[[#This Row],[CMP_par_portion]]</f>
        <v>0</v>
      </c>
      <c r="J2232" s="7">
        <f>tbl_Ventes[[#This Row],[CA ligne]] - tbl_Ventes[[#This Row],[Coût matière ligne]]</f>
        <v>0</v>
      </c>
      <c r="K2232" s="7" t="str">
        <f>IFERROR(INDEX(tbl_ProduitsRef[Famille], MATCH(tbl_Ventes[[#This Row],[Cde_Prdt]], tbl_Produits[Cde_Prdt], 0)), "")</f>
        <v/>
      </c>
    </row>
    <row r="2233" spans="1:11" x14ac:dyDescent="0.25">
      <c r="A2233" s="5"/>
      <c r="B2233" s="63" t="str">
        <f>IFERROR(TEXT(tbl_Ventes[[#This Row],[Date]],"mm-aaaa"),"")</f>
        <v>01-1900</v>
      </c>
      <c r="D2233" s="10" t="str">
        <f>IFERROR(
   INDEX(tbl_ProduitsRef[Cde_Prdt],MATCH(tbl_Ventes[[#This Row],[Produit]],tbl_ProduitsRef[Produit],0)),
   ""
)</f>
        <v/>
      </c>
      <c r="E2233" s="7">
        <v>0</v>
      </c>
      <c r="F2233" s="7" t="str">
        <f>IFERROR(
   INDEX(tbl_ProduitsRef[Prix Menu],MATCH(tbl_Ventes[[#This Row],[Produit]],tbl_ProduitsRef[Produit],0)),
   ""
)</f>
        <v/>
      </c>
      <c r="G2233" s="7">
        <f>tbl_Ventes[[#This Row],[Qté Vendue]] * IFERROR(_xlfn.XLOOKUP(tbl_Ventes[[#This Row],[Cde_Prdt]], tbl_Produits[Cde_Prdt], tbl_Produits[Prix Menu]), 0)</f>
        <v>0</v>
      </c>
      <c r="H2233" s="7">
        <f>IFERROR(_xlfn.XLOOKUP(tbl_Ventes[[#This Row],[Cde_Prdt]], tbl_Produits[Cde_Prdt], tbl_Produits[Coût Moyen Portion]), 0)</f>
        <v>0</v>
      </c>
      <c r="I2233" s="7">
        <f>tbl_Ventes[[#This Row],[Qté Vendue]] * tbl_Ventes[[#This Row],[CMP_par_portion]]</f>
        <v>0</v>
      </c>
      <c r="J2233" s="7">
        <f>tbl_Ventes[[#This Row],[CA ligne]] - tbl_Ventes[[#This Row],[Coût matière ligne]]</f>
        <v>0</v>
      </c>
      <c r="K2233" s="7" t="str">
        <f>IFERROR(INDEX(tbl_ProduitsRef[Famille], MATCH(tbl_Ventes[[#This Row],[Cde_Prdt]], tbl_Produits[Cde_Prdt], 0)), "")</f>
        <v/>
      </c>
    </row>
    <row r="2234" spans="1:11" x14ac:dyDescent="0.25">
      <c r="A2234" s="5"/>
      <c r="B2234" s="63" t="str">
        <f>IFERROR(TEXT(tbl_Ventes[[#This Row],[Date]],"mm-aaaa"),"")</f>
        <v>01-1900</v>
      </c>
      <c r="D2234" s="10" t="str">
        <f>IFERROR(
   INDEX(tbl_ProduitsRef[Cde_Prdt],MATCH(tbl_Ventes[[#This Row],[Produit]],tbl_ProduitsRef[Produit],0)),
   ""
)</f>
        <v/>
      </c>
      <c r="E2234" s="7">
        <v>0</v>
      </c>
      <c r="F2234" s="7" t="str">
        <f>IFERROR(
   INDEX(tbl_ProduitsRef[Prix Menu],MATCH(tbl_Ventes[[#This Row],[Produit]],tbl_ProduitsRef[Produit],0)),
   ""
)</f>
        <v/>
      </c>
      <c r="G2234" s="7">
        <f>tbl_Ventes[[#This Row],[Qté Vendue]] * IFERROR(_xlfn.XLOOKUP(tbl_Ventes[[#This Row],[Cde_Prdt]], tbl_Produits[Cde_Prdt], tbl_Produits[Prix Menu]), 0)</f>
        <v>0</v>
      </c>
      <c r="H2234" s="7">
        <f>IFERROR(_xlfn.XLOOKUP(tbl_Ventes[[#This Row],[Cde_Prdt]], tbl_Produits[Cde_Prdt], tbl_Produits[Coût Moyen Portion]), 0)</f>
        <v>0</v>
      </c>
      <c r="I2234" s="7">
        <f>tbl_Ventes[[#This Row],[Qté Vendue]] * tbl_Ventes[[#This Row],[CMP_par_portion]]</f>
        <v>0</v>
      </c>
      <c r="J2234" s="7">
        <f>tbl_Ventes[[#This Row],[CA ligne]] - tbl_Ventes[[#This Row],[Coût matière ligne]]</f>
        <v>0</v>
      </c>
      <c r="K2234" s="7" t="str">
        <f>IFERROR(INDEX(tbl_ProduitsRef[Famille], MATCH(tbl_Ventes[[#This Row],[Cde_Prdt]], tbl_Produits[Cde_Prdt], 0)), "")</f>
        <v/>
      </c>
    </row>
    <row r="2235" spans="1:11" x14ac:dyDescent="0.25">
      <c r="A2235" s="5"/>
      <c r="B2235" s="63" t="str">
        <f>IFERROR(TEXT(tbl_Ventes[[#This Row],[Date]],"mm-aaaa"),"")</f>
        <v>01-1900</v>
      </c>
      <c r="D2235" s="10" t="str">
        <f>IFERROR(
   INDEX(tbl_ProduitsRef[Cde_Prdt],MATCH(tbl_Ventes[[#This Row],[Produit]],tbl_ProduitsRef[Produit],0)),
   ""
)</f>
        <v/>
      </c>
      <c r="E2235" s="7">
        <v>0</v>
      </c>
      <c r="F2235" s="7" t="str">
        <f>IFERROR(
   INDEX(tbl_ProduitsRef[Prix Menu],MATCH(tbl_Ventes[[#This Row],[Produit]],tbl_ProduitsRef[Produit],0)),
   ""
)</f>
        <v/>
      </c>
      <c r="G2235" s="7">
        <f>tbl_Ventes[[#This Row],[Qté Vendue]] * IFERROR(_xlfn.XLOOKUP(tbl_Ventes[[#This Row],[Cde_Prdt]], tbl_Produits[Cde_Prdt], tbl_Produits[Prix Menu]), 0)</f>
        <v>0</v>
      </c>
      <c r="H2235" s="7">
        <f>IFERROR(_xlfn.XLOOKUP(tbl_Ventes[[#This Row],[Cde_Prdt]], tbl_Produits[Cde_Prdt], tbl_Produits[Coût Moyen Portion]), 0)</f>
        <v>0</v>
      </c>
      <c r="I2235" s="7">
        <f>tbl_Ventes[[#This Row],[Qté Vendue]] * tbl_Ventes[[#This Row],[CMP_par_portion]]</f>
        <v>0</v>
      </c>
      <c r="J2235" s="7">
        <f>tbl_Ventes[[#This Row],[CA ligne]] - tbl_Ventes[[#This Row],[Coût matière ligne]]</f>
        <v>0</v>
      </c>
      <c r="K2235" s="7" t="str">
        <f>IFERROR(INDEX(tbl_ProduitsRef[Famille], MATCH(tbl_Ventes[[#This Row],[Cde_Prdt]], tbl_Produits[Cde_Prdt], 0)), "")</f>
        <v/>
      </c>
    </row>
    <row r="2236" spans="1:11" x14ac:dyDescent="0.25">
      <c r="A2236" s="5"/>
      <c r="B2236" s="63" t="str">
        <f>IFERROR(TEXT(tbl_Ventes[[#This Row],[Date]],"mm-aaaa"),"")</f>
        <v>01-1900</v>
      </c>
      <c r="D2236" s="10" t="str">
        <f>IFERROR(
   INDEX(tbl_ProduitsRef[Cde_Prdt],MATCH(tbl_Ventes[[#This Row],[Produit]],tbl_ProduitsRef[Produit],0)),
   ""
)</f>
        <v/>
      </c>
      <c r="E2236" s="7">
        <v>0</v>
      </c>
      <c r="F2236" s="7" t="str">
        <f>IFERROR(
   INDEX(tbl_ProduitsRef[Prix Menu],MATCH(tbl_Ventes[[#This Row],[Produit]],tbl_ProduitsRef[Produit],0)),
   ""
)</f>
        <v/>
      </c>
      <c r="G2236" s="7">
        <f>tbl_Ventes[[#This Row],[Qté Vendue]] * IFERROR(_xlfn.XLOOKUP(tbl_Ventes[[#This Row],[Cde_Prdt]], tbl_Produits[Cde_Prdt], tbl_Produits[Prix Menu]), 0)</f>
        <v>0</v>
      </c>
      <c r="H2236" s="7">
        <f>IFERROR(_xlfn.XLOOKUP(tbl_Ventes[[#This Row],[Cde_Prdt]], tbl_Produits[Cde_Prdt], tbl_Produits[Coût Moyen Portion]), 0)</f>
        <v>0</v>
      </c>
      <c r="I2236" s="7">
        <f>tbl_Ventes[[#This Row],[Qté Vendue]] * tbl_Ventes[[#This Row],[CMP_par_portion]]</f>
        <v>0</v>
      </c>
      <c r="J2236" s="7">
        <f>tbl_Ventes[[#This Row],[CA ligne]] - tbl_Ventes[[#This Row],[Coût matière ligne]]</f>
        <v>0</v>
      </c>
      <c r="K2236" s="7" t="str">
        <f>IFERROR(INDEX(tbl_ProduitsRef[Famille], MATCH(tbl_Ventes[[#This Row],[Cde_Prdt]], tbl_Produits[Cde_Prdt], 0)), "")</f>
        <v/>
      </c>
    </row>
    <row r="2237" spans="1:11" x14ac:dyDescent="0.25">
      <c r="A2237" s="5"/>
      <c r="B2237" s="63" t="str">
        <f>IFERROR(TEXT(tbl_Ventes[[#This Row],[Date]],"mm-aaaa"),"")</f>
        <v>01-1900</v>
      </c>
      <c r="D2237" s="10" t="str">
        <f>IFERROR(
   INDEX(tbl_ProduitsRef[Cde_Prdt],MATCH(tbl_Ventes[[#This Row],[Produit]],tbl_ProduitsRef[Produit],0)),
   ""
)</f>
        <v/>
      </c>
      <c r="E2237" s="7">
        <v>0</v>
      </c>
      <c r="F2237" s="7" t="str">
        <f>IFERROR(
   INDEX(tbl_ProduitsRef[Prix Menu],MATCH(tbl_Ventes[[#This Row],[Produit]],tbl_ProduitsRef[Produit],0)),
   ""
)</f>
        <v/>
      </c>
      <c r="G2237" s="7">
        <f>tbl_Ventes[[#This Row],[Qté Vendue]] * IFERROR(_xlfn.XLOOKUP(tbl_Ventes[[#This Row],[Cde_Prdt]], tbl_Produits[Cde_Prdt], tbl_Produits[Prix Menu]), 0)</f>
        <v>0</v>
      </c>
      <c r="H2237" s="7">
        <f>IFERROR(_xlfn.XLOOKUP(tbl_Ventes[[#This Row],[Cde_Prdt]], tbl_Produits[Cde_Prdt], tbl_Produits[Coût Moyen Portion]), 0)</f>
        <v>0</v>
      </c>
      <c r="I2237" s="7">
        <f>tbl_Ventes[[#This Row],[Qté Vendue]] * tbl_Ventes[[#This Row],[CMP_par_portion]]</f>
        <v>0</v>
      </c>
      <c r="J2237" s="7">
        <f>tbl_Ventes[[#This Row],[CA ligne]] - tbl_Ventes[[#This Row],[Coût matière ligne]]</f>
        <v>0</v>
      </c>
      <c r="K2237" s="7" t="str">
        <f>IFERROR(INDEX(tbl_ProduitsRef[Famille], MATCH(tbl_Ventes[[#This Row],[Cde_Prdt]], tbl_Produits[Cde_Prdt], 0)), "")</f>
        <v/>
      </c>
    </row>
    <row r="2238" spans="1:11" x14ac:dyDescent="0.25">
      <c r="A2238" s="5"/>
      <c r="B2238" s="63" t="str">
        <f>IFERROR(TEXT(tbl_Ventes[[#This Row],[Date]],"mm-aaaa"),"")</f>
        <v>01-1900</v>
      </c>
      <c r="D2238" s="10" t="str">
        <f>IFERROR(
   INDEX(tbl_ProduitsRef[Cde_Prdt],MATCH(tbl_Ventes[[#This Row],[Produit]],tbl_ProduitsRef[Produit],0)),
   ""
)</f>
        <v/>
      </c>
      <c r="E2238" s="7">
        <v>0</v>
      </c>
      <c r="F2238" s="7" t="str">
        <f>IFERROR(
   INDEX(tbl_ProduitsRef[Prix Menu],MATCH(tbl_Ventes[[#This Row],[Produit]],tbl_ProduitsRef[Produit],0)),
   ""
)</f>
        <v/>
      </c>
      <c r="G2238" s="7">
        <f>tbl_Ventes[[#This Row],[Qté Vendue]] * IFERROR(_xlfn.XLOOKUP(tbl_Ventes[[#This Row],[Cde_Prdt]], tbl_Produits[Cde_Prdt], tbl_Produits[Prix Menu]), 0)</f>
        <v>0</v>
      </c>
      <c r="H2238" s="7">
        <f>IFERROR(_xlfn.XLOOKUP(tbl_Ventes[[#This Row],[Cde_Prdt]], tbl_Produits[Cde_Prdt], tbl_Produits[Coût Moyen Portion]), 0)</f>
        <v>0</v>
      </c>
      <c r="I2238" s="7">
        <f>tbl_Ventes[[#This Row],[Qté Vendue]] * tbl_Ventes[[#This Row],[CMP_par_portion]]</f>
        <v>0</v>
      </c>
      <c r="J2238" s="7">
        <f>tbl_Ventes[[#This Row],[CA ligne]] - tbl_Ventes[[#This Row],[Coût matière ligne]]</f>
        <v>0</v>
      </c>
      <c r="K2238" s="7" t="str">
        <f>IFERROR(INDEX(tbl_ProduitsRef[Famille], MATCH(tbl_Ventes[[#This Row],[Cde_Prdt]], tbl_Produits[Cde_Prdt], 0)), "")</f>
        <v/>
      </c>
    </row>
    <row r="2239" spans="1:11" x14ac:dyDescent="0.25">
      <c r="A2239" s="5"/>
      <c r="B2239" s="63" t="str">
        <f>IFERROR(TEXT(tbl_Ventes[[#This Row],[Date]],"mm-aaaa"),"")</f>
        <v>01-1900</v>
      </c>
      <c r="D2239" s="10" t="str">
        <f>IFERROR(
   INDEX(tbl_ProduitsRef[Cde_Prdt],MATCH(tbl_Ventes[[#This Row],[Produit]],tbl_ProduitsRef[Produit],0)),
   ""
)</f>
        <v/>
      </c>
      <c r="E2239" s="7">
        <v>0</v>
      </c>
      <c r="F2239" s="7" t="str">
        <f>IFERROR(
   INDEX(tbl_ProduitsRef[Prix Menu],MATCH(tbl_Ventes[[#This Row],[Produit]],tbl_ProduitsRef[Produit],0)),
   ""
)</f>
        <v/>
      </c>
      <c r="G2239" s="7">
        <f>tbl_Ventes[[#This Row],[Qté Vendue]] * IFERROR(_xlfn.XLOOKUP(tbl_Ventes[[#This Row],[Cde_Prdt]], tbl_Produits[Cde_Prdt], tbl_Produits[Prix Menu]), 0)</f>
        <v>0</v>
      </c>
      <c r="H2239" s="7">
        <f>IFERROR(_xlfn.XLOOKUP(tbl_Ventes[[#This Row],[Cde_Prdt]], tbl_Produits[Cde_Prdt], tbl_Produits[Coût Moyen Portion]), 0)</f>
        <v>0</v>
      </c>
      <c r="I2239" s="7">
        <f>tbl_Ventes[[#This Row],[Qté Vendue]] * tbl_Ventes[[#This Row],[CMP_par_portion]]</f>
        <v>0</v>
      </c>
      <c r="J2239" s="7">
        <f>tbl_Ventes[[#This Row],[CA ligne]] - tbl_Ventes[[#This Row],[Coût matière ligne]]</f>
        <v>0</v>
      </c>
      <c r="K2239" s="7" t="str">
        <f>IFERROR(INDEX(tbl_ProduitsRef[Famille], MATCH(tbl_Ventes[[#This Row],[Cde_Prdt]], tbl_Produits[Cde_Prdt], 0)), "")</f>
        <v/>
      </c>
    </row>
    <row r="2240" spans="1:11" x14ac:dyDescent="0.25">
      <c r="A2240" s="5"/>
      <c r="B2240" s="63" t="str">
        <f>IFERROR(TEXT(tbl_Ventes[[#This Row],[Date]],"mm-aaaa"),"")</f>
        <v>01-1900</v>
      </c>
      <c r="D2240" s="10" t="str">
        <f>IFERROR(
   INDEX(tbl_ProduitsRef[Cde_Prdt],MATCH(tbl_Ventes[[#This Row],[Produit]],tbl_ProduitsRef[Produit],0)),
   ""
)</f>
        <v/>
      </c>
      <c r="E2240" s="7">
        <v>0</v>
      </c>
      <c r="F2240" s="7" t="str">
        <f>IFERROR(
   INDEX(tbl_ProduitsRef[Prix Menu],MATCH(tbl_Ventes[[#This Row],[Produit]],tbl_ProduitsRef[Produit],0)),
   ""
)</f>
        <v/>
      </c>
      <c r="G2240" s="7">
        <f>tbl_Ventes[[#This Row],[Qté Vendue]] * IFERROR(_xlfn.XLOOKUP(tbl_Ventes[[#This Row],[Cde_Prdt]], tbl_Produits[Cde_Prdt], tbl_Produits[Prix Menu]), 0)</f>
        <v>0</v>
      </c>
      <c r="H2240" s="7">
        <f>IFERROR(_xlfn.XLOOKUP(tbl_Ventes[[#This Row],[Cde_Prdt]], tbl_Produits[Cde_Prdt], tbl_Produits[Coût Moyen Portion]), 0)</f>
        <v>0</v>
      </c>
      <c r="I2240" s="7">
        <f>tbl_Ventes[[#This Row],[Qté Vendue]] * tbl_Ventes[[#This Row],[CMP_par_portion]]</f>
        <v>0</v>
      </c>
      <c r="J2240" s="7">
        <f>tbl_Ventes[[#This Row],[CA ligne]] - tbl_Ventes[[#This Row],[Coût matière ligne]]</f>
        <v>0</v>
      </c>
      <c r="K2240" s="7" t="str">
        <f>IFERROR(INDEX(tbl_ProduitsRef[Famille], MATCH(tbl_Ventes[[#This Row],[Cde_Prdt]], tbl_Produits[Cde_Prdt], 0)), "")</f>
        <v/>
      </c>
    </row>
    <row r="2241" spans="1:11" x14ac:dyDescent="0.25">
      <c r="A2241" s="5"/>
      <c r="B2241" s="63" t="str">
        <f>IFERROR(TEXT(tbl_Ventes[[#This Row],[Date]],"mm-aaaa"),"")</f>
        <v>01-1900</v>
      </c>
      <c r="D2241" s="10" t="str">
        <f>IFERROR(
   INDEX(tbl_ProduitsRef[Cde_Prdt],MATCH(tbl_Ventes[[#This Row],[Produit]],tbl_ProduitsRef[Produit],0)),
   ""
)</f>
        <v/>
      </c>
      <c r="E2241" s="7">
        <v>0</v>
      </c>
      <c r="F2241" s="7" t="str">
        <f>IFERROR(
   INDEX(tbl_ProduitsRef[Prix Menu],MATCH(tbl_Ventes[[#This Row],[Produit]],tbl_ProduitsRef[Produit],0)),
   ""
)</f>
        <v/>
      </c>
      <c r="G2241" s="7">
        <f>tbl_Ventes[[#This Row],[Qté Vendue]] * IFERROR(_xlfn.XLOOKUP(tbl_Ventes[[#This Row],[Cde_Prdt]], tbl_Produits[Cde_Prdt], tbl_Produits[Prix Menu]), 0)</f>
        <v>0</v>
      </c>
      <c r="H2241" s="7">
        <f>IFERROR(_xlfn.XLOOKUP(tbl_Ventes[[#This Row],[Cde_Prdt]], tbl_Produits[Cde_Prdt], tbl_Produits[Coût Moyen Portion]), 0)</f>
        <v>0</v>
      </c>
      <c r="I2241" s="7">
        <f>tbl_Ventes[[#This Row],[Qté Vendue]] * tbl_Ventes[[#This Row],[CMP_par_portion]]</f>
        <v>0</v>
      </c>
      <c r="J2241" s="7">
        <f>tbl_Ventes[[#This Row],[CA ligne]] - tbl_Ventes[[#This Row],[Coût matière ligne]]</f>
        <v>0</v>
      </c>
      <c r="K2241" s="7" t="str">
        <f>IFERROR(INDEX(tbl_ProduitsRef[Famille], MATCH(tbl_Ventes[[#This Row],[Cde_Prdt]], tbl_Produits[Cde_Prdt], 0)), "")</f>
        <v/>
      </c>
    </row>
    <row r="2242" spans="1:11" x14ac:dyDescent="0.25">
      <c r="A2242" s="5"/>
      <c r="B2242" s="63" t="str">
        <f>IFERROR(TEXT(tbl_Ventes[[#This Row],[Date]],"mm-aaaa"),"")</f>
        <v>01-1900</v>
      </c>
      <c r="D2242" s="10" t="str">
        <f>IFERROR(
   INDEX(tbl_ProduitsRef[Cde_Prdt],MATCH(tbl_Ventes[[#This Row],[Produit]],tbl_ProduitsRef[Produit],0)),
   ""
)</f>
        <v/>
      </c>
      <c r="E2242" s="7">
        <v>0</v>
      </c>
      <c r="F2242" s="7" t="str">
        <f>IFERROR(
   INDEX(tbl_ProduitsRef[Prix Menu],MATCH(tbl_Ventes[[#This Row],[Produit]],tbl_ProduitsRef[Produit],0)),
   ""
)</f>
        <v/>
      </c>
      <c r="G2242" s="7">
        <f>tbl_Ventes[[#This Row],[Qté Vendue]] * IFERROR(_xlfn.XLOOKUP(tbl_Ventes[[#This Row],[Cde_Prdt]], tbl_Produits[Cde_Prdt], tbl_Produits[Prix Menu]), 0)</f>
        <v>0</v>
      </c>
      <c r="H2242" s="7">
        <f>IFERROR(_xlfn.XLOOKUP(tbl_Ventes[[#This Row],[Cde_Prdt]], tbl_Produits[Cde_Prdt], tbl_Produits[Coût Moyen Portion]), 0)</f>
        <v>0</v>
      </c>
      <c r="I2242" s="7">
        <f>tbl_Ventes[[#This Row],[Qté Vendue]] * tbl_Ventes[[#This Row],[CMP_par_portion]]</f>
        <v>0</v>
      </c>
      <c r="J2242" s="7">
        <f>tbl_Ventes[[#This Row],[CA ligne]] - tbl_Ventes[[#This Row],[Coût matière ligne]]</f>
        <v>0</v>
      </c>
      <c r="K2242" s="7" t="str">
        <f>IFERROR(INDEX(tbl_ProduitsRef[Famille], MATCH(tbl_Ventes[[#This Row],[Cde_Prdt]], tbl_Produits[Cde_Prdt], 0)), "")</f>
        <v/>
      </c>
    </row>
    <row r="2243" spans="1:11" x14ac:dyDescent="0.25">
      <c r="A2243" s="5"/>
      <c r="B2243" s="63" t="str">
        <f>IFERROR(TEXT(tbl_Ventes[[#This Row],[Date]],"mm-aaaa"),"")</f>
        <v>01-1900</v>
      </c>
      <c r="D2243" s="10" t="str">
        <f>IFERROR(
   INDEX(tbl_ProduitsRef[Cde_Prdt],MATCH(tbl_Ventes[[#This Row],[Produit]],tbl_ProduitsRef[Produit],0)),
   ""
)</f>
        <v/>
      </c>
      <c r="E2243" s="7">
        <v>0</v>
      </c>
      <c r="F2243" s="7" t="str">
        <f>IFERROR(
   INDEX(tbl_ProduitsRef[Prix Menu],MATCH(tbl_Ventes[[#This Row],[Produit]],tbl_ProduitsRef[Produit],0)),
   ""
)</f>
        <v/>
      </c>
      <c r="G2243" s="7">
        <f>tbl_Ventes[[#This Row],[Qté Vendue]] * IFERROR(_xlfn.XLOOKUP(tbl_Ventes[[#This Row],[Cde_Prdt]], tbl_Produits[Cde_Prdt], tbl_Produits[Prix Menu]), 0)</f>
        <v>0</v>
      </c>
      <c r="H2243" s="7">
        <f>IFERROR(_xlfn.XLOOKUP(tbl_Ventes[[#This Row],[Cde_Prdt]], tbl_Produits[Cde_Prdt], tbl_Produits[Coût Moyen Portion]), 0)</f>
        <v>0</v>
      </c>
      <c r="I2243" s="7">
        <f>tbl_Ventes[[#This Row],[Qté Vendue]] * tbl_Ventes[[#This Row],[CMP_par_portion]]</f>
        <v>0</v>
      </c>
      <c r="J2243" s="7">
        <f>tbl_Ventes[[#This Row],[CA ligne]] - tbl_Ventes[[#This Row],[Coût matière ligne]]</f>
        <v>0</v>
      </c>
      <c r="K2243" s="7" t="str">
        <f>IFERROR(INDEX(tbl_ProduitsRef[Famille], MATCH(tbl_Ventes[[#This Row],[Cde_Prdt]], tbl_Produits[Cde_Prdt], 0)), "")</f>
        <v/>
      </c>
    </row>
    <row r="2244" spans="1:11" x14ac:dyDescent="0.25">
      <c r="A2244" s="5"/>
      <c r="B2244" s="63" t="str">
        <f>IFERROR(TEXT(tbl_Ventes[[#This Row],[Date]],"mm-aaaa"),"")</f>
        <v>01-1900</v>
      </c>
      <c r="D2244" s="10" t="str">
        <f>IFERROR(
   INDEX(tbl_ProduitsRef[Cde_Prdt],MATCH(tbl_Ventes[[#This Row],[Produit]],tbl_ProduitsRef[Produit],0)),
   ""
)</f>
        <v/>
      </c>
      <c r="E2244" s="7">
        <v>0</v>
      </c>
      <c r="F2244" s="7" t="str">
        <f>IFERROR(
   INDEX(tbl_ProduitsRef[Prix Menu],MATCH(tbl_Ventes[[#This Row],[Produit]],tbl_ProduitsRef[Produit],0)),
   ""
)</f>
        <v/>
      </c>
      <c r="G2244" s="7">
        <f>tbl_Ventes[[#This Row],[Qté Vendue]] * IFERROR(_xlfn.XLOOKUP(tbl_Ventes[[#This Row],[Cde_Prdt]], tbl_Produits[Cde_Prdt], tbl_Produits[Prix Menu]), 0)</f>
        <v>0</v>
      </c>
      <c r="H2244" s="7">
        <f>IFERROR(_xlfn.XLOOKUP(tbl_Ventes[[#This Row],[Cde_Prdt]], tbl_Produits[Cde_Prdt], tbl_Produits[Coût Moyen Portion]), 0)</f>
        <v>0</v>
      </c>
      <c r="I2244" s="7">
        <f>tbl_Ventes[[#This Row],[Qté Vendue]] * tbl_Ventes[[#This Row],[CMP_par_portion]]</f>
        <v>0</v>
      </c>
      <c r="J2244" s="7">
        <f>tbl_Ventes[[#This Row],[CA ligne]] - tbl_Ventes[[#This Row],[Coût matière ligne]]</f>
        <v>0</v>
      </c>
      <c r="K2244" s="7" t="str">
        <f>IFERROR(INDEX(tbl_ProduitsRef[Famille], MATCH(tbl_Ventes[[#This Row],[Cde_Prdt]], tbl_Produits[Cde_Prdt], 0)), "")</f>
        <v/>
      </c>
    </row>
    <row r="2245" spans="1:11" x14ac:dyDescent="0.25">
      <c r="A2245" s="5"/>
      <c r="B2245" s="63" t="str">
        <f>IFERROR(TEXT(tbl_Ventes[[#This Row],[Date]],"mm-aaaa"),"")</f>
        <v>01-1900</v>
      </c>
      <c r="D2245" s="10" t="str">
        <f>IFERROR(
   INDEX(tbl_ProduitsRef[Cde_Prdt],MATCH(tbl_Ventes[[#This Row],[Produit]],tbl_ProduitsRef[Produit],0)),
   ""
)</f>
        <v/>
      </c>
      <c r="E2245" s="7">
        <v>0</v>
      </c>
      <c r="F2245" s="7" t="str">
        <f>IFERROR(
   INDEX(tbl_ProduitsRef[Prix Menu],MATCH(tbl_Ventes[[#This Row],[Produit]],tbl_ProduitsRef[Produit],0)),
   ""
)</f>
        <v/>
      </c>
      <c r="G2245" s="7">
        <f>tbl_Ventes[[#This Row],[Qté Vendue]] * IFERROR(_xlfn.XLOOKUP(tbl_Ventes[[#This Row],[Cde_Prdt]], tbl_Produits[Cde_Prdt], tbl_Produits[Prix Menu]), 0)</f>
        <v>0</v>
      </c>
      <c r="H2245" s="7">
        <f>IFERROR(_xlfn.XLOOKUP(tbl_Ventes[[#This Row],[Cde_Prdt]], tbl_Produits[Cde_Prdt], tbl_Produits[Coût Moyen Portion]), 0)</f>
        <v>0</v>
      </c>
      <c r="I2245" s="7">
        <f>tbl_Ventes[[#This Row],[Qté Vendue]] * tbl_Ventes[[#This Row],[CMP_par_portion]]</f>
        <v>0</v>
      </c>
      <c r="J2245" s="7">
        <f>tbl_Ventes[[#This Row],[CA ligne]] - tbl_Ventes[[#This Row],[Coût matière ligne]]</f>
        <v>0</v>
      </c>
      <c r="K2245" s="7" t="str">
        <f>IFERROR(INDEX(tbl_ProduitsRef[Famille], MATCH(tbl_Ventes[[#This Row],[Cde_Prdt]], tbl_Produits[Cde_Prdt], 0)), "")</f>
        <v/>
      </c>
    </row>
    <row r="2246" spans="1:11" x14ac:dyDescent="0.25">
      <c r="A2246" s="5"/>
      <c r="B2246" s="63" t="str">
        <f>IFERROR(TEXT(tbl_Ventes[[#This Row],[Date]],"mm-aaaa"),"")</f>
        <v>01-1900</v>
      </c>
      <c r="D2246" s="10" t="str">
        <f>IFERROR(
   INDEX(tbl_ProduitsRef[Cde_Prdt],MATCH(tbl_Ventes[[#This Row],[Produit]],tbl_ProduitsRef[Produit],0)),
   ""
)</f>
        <v/>
      </c>
      <c r="E2246" s="7">
        <v>0</v>
      </c>
      <c r="F2246" s="7" t="str">
        <f>IFERROR(
   INDEX(tbl_ProduitsRef[Prix Menu],MATCH(tbl_Ventes[[#This Row],[Produit]],tbl_ProduitsRef[Produit],0)),
   ""
)</f>
        <v/>
      </c>
      <c r="G2246" s="7">
        <f>tbl_Ventes[[#This Row],[Qté Vendue]] * IFERROR(_xlfn.XLOOKUP(tbl_Ventes[[#This Row],[Cde_Prdt]], tbl_Produits[Cde_Prdt], tbl_Produits[Prix Menu]), 0)</f>
        <v>0</v>
      </c>
      <c r="H2246" s="7">
        <f>IFERROR(_xlfn.XLOOKUP(tbl_Ventes[[#This Row],[Cde_Prdt]], tbl_Produits[Cde_Prdt], tbl_Produits[Coût Moyen Portion]), 0)</f>
        <v>0</v>
      </c>
      <c r="I2246" s="7">
        <f>tbl_Ventes[[#This Row],[Qté Vendue]] * tbl_Ventes[[#This Row],[CMP_par_portion]]</f>
        <v>0</v>
      </c>
      <c r="J2246" s="7">
        <f>tbl_Ventes[[#This Row],[CA ligne]] - tbl_Ventes[[#This Row],[Coût matière ligne]]</f>
        <v>0</v>
      </c>
      <c r="K2246" s="7" t="str">
        <f>IFERROR(INDEX(tbl_ProduitsRef[Famille], MATCH(tbl_Ventes[[#This Row],[Cde_Prdt]], tbl_Produits[Cde_Prdt], 0)), "")</f>
        <v/>
      </c>
    </row>
    <row r="2247" spans="1:11" x14ac:dyDescent="0.25">
      <c r="A2247" s="5"/>
      <c r="B2247" s="63" t="str">
        <f>IFERROR(TEXT(tbl_Ventes[[#This Row],[Date]],"mm-aaaa"),"")</f>
        <v>01-1900</v>
      </c>
      <c r="D2247" s="10" t="str">
        <f>IFERROR(
   INDEX(tbl_ProduitsRef[Cde_Prdt],MATCH(tbl_Ventes[[#This Row],[Produit]],tbl_ProduitsRef[Produit],0)),
   ""
)</f>
        <v/>
      </c>
      <c r="E2247" s="7">
        <v>0</v>
      </c>
      <c r="F2247" s="7" t="str">
        <f>IFERROR(
   INDEX(tbl_ProduitsRef[Prix Menu],MATCH(tbl_Ventes[[#This Row],[Produit]],tbl_ProduitsRef[Produit],0)),
   ""
)</f>
        <v/>
      </c>
      <c r="G2247" s="7">
        <f>tbl_Ventes[[#This Row],[Qté Vendue]] * IFERROR(_xlfn.XLOOKUP(tbl_Ventes[[#This Row],[Cde_Prdt]], tbl_Produits[Cde_Prdt], tbl_Produits[Prix Menu]), 0)</f>
        <v>0</v>
      </c>
      <c r="H2247" s="7">
        <f>IFERROR(_xlfn.XLOOKUP(tbl_Ventes[[#This Row],[Cde_Prdt]], tbl_Produits[Cde_Prdt], tbl_Produits[Coût Moyen Portion]), 0)</f>
        <v>0</v>
      </c>
      <c r="I2247" s="7">
        <f>tbl_Ventes[[#This Row],[Qté Vendue]] * tbl_Ventes[[#This Row],[CMP_par_portion]]</f>
        <v>0</v>
      </c>
      <c r="J2247" s="7">
        <f>tbl_Ventes[[#This Row],[CA ligne]] - tbl_Ventes[[#This Row],[Coût matière ligne]]</f>
        <v>0</v>
      </c>
      <c r="K2247" s="7" t="str">
        <f>IFERROR(INDEX(tbl_ProduitsRef[Famille], MATCH(tbl_Ventes[[#This Row],[Cde_Prdt]], tbl_Produits[Cde_Prdt], 0)), "")</f>
        <v/>
      </c>
    </row>
    <row r="2248" spans="1:11" x14ac:dyDescent="0.25">
      <c r="A2248" s="5"/>
      <c r="B2248" s="63" t="str">
        <f>IFERROR(TEXT(tbl_Ventes[[#This Row],[Date]],"mm-aaaa"),"")</f>
        <v>01-1900</v>
      </c>
      <c r="D2248" s="10" t="str">
        <f>IFERROR(
   INDEX(tbl_ProduitsRef[Cde_Prdt],MATCH(tbl_Ventes[[#This Row],[Produit]],tbl_ProduitsRef[Produit],0)),
   ""
)</f>
        <v/>
      </c>
      <c r="E2248" s="7">
        <v>0</v>
      </c>
      <c r="F2248" s="7" t="str">
        <f>IFERROR(
   INDEX(tbl_ProduitsRef[Prix Menu],MATCH(tbl_Ventes[[#This Row],[Produit]],tbl_ProduitsRef[Produit],0)),
   ""
)</f>
        <v/>
      </c>
      <c r="G2248" s="7">
        <f>tbl_Ventes[[#This Row],[Qté Vendue]] * IFERROR(_xlfn.XLOOKUP(tbl_Ventes[[#This Row],[Cde_Prdt]], tbl_Produits[Cde_Prdt], tbl_Produits[Prix Menu]), 0)</f>
        <v>0</v>
      </c>
      <c r="H2248" s="7">
        <f>IFERROR(_xlfn.XLOOKUP(tbl_Ventes[[#This Row],[Cde_Prdt]], tbl_Produits[Cde_Prdt], tbl_Produits[Coût Moyen Portion]), 0)</f>
        <v>0</v>
      </c>
      <c r="I2248" s="7">
        <f>tbl_Ventes[[#This Row],[Qté Vendue]] * tbl_Ventes[[#This Row],[CMP_par_portion]]</f>
        <v>0</v>
      </c>
      <c r="J2248" s="7">
        <f>tbl_Ventes[[#This Row],[CA ligne]] - tbl_Ventes[[#This Row],[Coût matière ligne]]</f>
        <v>0</v>
      </c>
      <c r="K2248" s="7" t="str">
        <f>IFERROR(INDEX(tbl_ProduitsRef[Famille], MATCH(tbl_Ventes[[#This Row],[Cde_Prdt]], tbl_Produits[Cde_Prdt], 0)), "")</f>
        <v/>
      </c>
    </row>
    <row r="2249" spans="1:11" x14ac:dyDescent="0.25">
      <c r="A2249" s="5"/>
      <c r="B2249" s="63" t="str">
        <f>IFERROR(TEXT(tbl_Ventes[[#This Row],[Date]],"mm-aaaa"),"")</f>
        <v>01-1900</v>
      </c>
      <c r="D2249" s="10" t="str">
        <f>IFERROR(
   INDEX(tbl_ProduitsRef[Cde_Prdt],MATCH(tbl_Ventes[[#This Row],[Produit]],tbl_ProduitsRef[Produit],0)),
   ""
)</f>
        <v/>
      </c>
      <c r="E2249" s="7">
        <v>0</v>
      </c>
      <c r="F2249" s="7" t="str">
        <f>IFERROR(
   INDEX(tbl_ProduitsRef[Prix Menu],MATCH(tbl_Ventes[[#This Row],[Produit]],tbl_ProduitsRef[Produit],0)),
   ""
)</f>
        <v/>
      </c>
      <c r="G2249" s="7">
        <f>tbl_Ventes[[#This Row],[Qté Vendue]] * IFERROR(_xlfn.XLOOKUP(tbl_Ventes[[#This Row],[Cde_Prdt]], tbl_Produits[Cde_Prdt], tbl_Produits[Prix Menu]), 0)</f>
        <v>0</v>
      </c>
      <c r="H2249" s="7">
        <f>IFERROR(_xlfn.XLOOKUP(tbl_Ventes[[#This Row],[Cde_Prdt]], tbl_Produits[Cde_Prdt], tbl_Produits[Coût Moyen Portion]), 0)</f>
        <v>0</v>
      </c>
      <c r="I2249" s="7">
        <f>tbl_Ventes[[#This Row],[Qté Vendue]] * tbl_Ventes[[#This Row],[CMP_par_portion]]</f>
        <v>0</v>
      </c>
      <c r="J2249" s="7">
        <f>tbl_Ventes[[#This Row],[CA ligne]] - tbl_Ventes[[#This Row],[Coût matière ligne]]</f>
        <v>0</v>
      </c>
      <c r="K2249" s="7" t="str">
        <f>IFERROR(INDEX(tbl_ProduitsRef[Famille], MATCH(tbl_Ventes[[#This Row],[Cde_Prdt]], tbl_Produits[Cde_Prdt], 0)), "")</f>
        <v/>
      </c>
    </row>
    <row r="2250" spans="1:11" x14ac:dyDescent="0.25">
      <c r="A2250" s="5"/>
      <c r="B2250" s="63" t="str">
        <f>IFERROR(TEXT(tbl_Ventes[[#This Row],[Date]],"mm-aaaa"),"")</f>
        <v>01-1900</v>
      </c>
      <c r="D2250" s="10" t="str">
        <f>IFERROR(
   INDEX(tbl_ProduitsRef[Cde_Prdt],MATCH(tbl_Ventes[[#This Row],[Produit]],tbl_ProduitsRef[Produit],0)),
   ""
)</f>
        <v/>
      </c>
      <c r="E2250" s="7">
        <v>0</v>
      </c>
      <c r="F2250" s="7" t="str">
        <f>IFERROR(
   INDEX(tbl_ProduitsRef[Prix Menu],MATCH(tbl_Ventes[[#This Row],[Produit]],tbl_ProduitsRef[Produit],0)),
   ""
)</f>
        <v/>
      </c>
      <c r="G2250" s="7">
        <f>tbl_Ventes[[#This Row],[Qté Vendue]] * IFERROR(_xlfn.XLOOKUP(tbl_Ventes[[#This Row],[Cde_Prdt]], tbl_Produits[Cde_Prdt], tbl_Produits[Prix Menu]), 0)</f>
        <v>0</v>
      </c>
      <c r="H2250" s="7">
        <f>IFERROR(_xlfn.XLOOKUP(tbl_Ventes[[#This Row],[Cde_Prdt]], tbl_Produits[Cde_Prdt], tbl_Produits[Coût Moyen Portion]), 0)</f>
        <v>0</v>
      </c>
      <c r="I2250" s="7">
        <f>tbl_Ventes[[#This Row],[Qté Vendue]] * tbl_Ventes[[#This Row],[CMP_par_portion]]</f>
        <v>0</v>
      </c>
      <c r="J2250" s="7">
        <f>tbl_Ventes[[#This Row],[CA ligne]] - tbl_Ventes[[#This Row],[Coût matière ligne]]</f>
        <v>0</v>
      </c>
      <c r="K2250" s="7" t="str">
        <f>IFERROR(INDEX(tbl_ProduitsRef[Famille], MATCH(tbl_Ventes[[#This Row],[Cde_Prdt]], tbl_Produits[Cde_Prdt], 0)), "")</f>
        <v/>
      </c>
    </row>
    <row r="2251" spans="1:11" x14ac:dyDescent="0.25">
      <c r="A2251" s="5"/>
      <c r="B2251" s="63" t="str">
        <f>IFERROR(TEXT(tbl_Ventes[[#This Row],[Date]],"mm-aaaa"),"")</f>
        <v>01-1900</v>
      </c>
      <c r="D2251" s="10" t="str">
        <f>IFERROR(
   INDEX(tbl_ProduitsRef[Cde_Prdt],MATCH(tbl_Ventes[[#This Row],[Produit]],tbl_ProduitsRef[Produit],0)),
   ""
)</f>
        <v/>
      </c>
      <c r="E2251" s="7">
        <v>0</v>
      </c>
      <c r="F2251" s="7" t="str">
        <f>IFERROR(
   INDEX(tbl_ProduitsRef[Prix Menu],MATCH(tbl_Ventes[[#This Row],[Produit]],tbl_ProduitsRef[Produit],0)),
   ""
)</f>
        <v/>
      </c>
      <c r="G2251" s="7">
        <f>tbl_Ventes[[#This Row],[Qté Vendue]] * IFERROR(_xlfn.XLOOKUP(tbl_Ventes[[#This Row],[Cde_Prdt]], tbl_Produits[Cde_Prdt], tbl_Produits[Prix Menu]), 0)</f>
        <v>0</v>
      </c>
      <c r="H2251" s="7">
        <f>IFERROR(_xlfn.XLOOKUP(tbl_Ventes[[#This Row],[Cde_Prdt]], tbl_Produits[Cde_Prdt], tbl_Produits[Coût Moyen Portion]), 0)</f>
        <v>0</v>
      </c>
      <c r="I2251" s="7">
        <f>tbl_Ventes[[#This Row],[Qté Vendue]] * tbl_Ventes[[#This Row],[CMP_par_portion]]</f>
        <v>0</v>
      </c>
      <c r="J2251" s="7">
        <f>tbl_Ventes[[#This Row],[CA ligne]] - tbl_Ventes[[#This Row],[Coût matière ligne]]</f>
        <v>0</v>
      </c>
      <c r="K2251" s="7" t="str">
        <f>IFERROR(INDEX(tbl_ProduitsRef[Famille], MATCH(tbl_Ventes[[#This Row],[Cde_Prdt]], tbl_Produits[Cde_Prdt], 0)), "")</f>
        <v/>
      </c>
    </row>
    <row r="2252" spans="1:11" x14ac:dyDescent="0.25">
      <c r="A2252" s="5"/>
      <c r="B2252" s="63" t="str">
        <f>IFERROR(TEXT(tbl_Ventes[[#This Row],[Date]],"mm-aaaa"),"")</f>
        <v>01-1900</v>
      </c>
      <c r="D2252" s="10" t="str">
        <f>IFERROR(
   INDEX(tbl_ProduitsRef[Cde_Prdt],MATCH(tbl_Ventes[[#This Row],[Produit]],tbl_ProduitsRef[Produit],0)),
   ""
)</f>
        <v/>
      </c>
      <c r="E2252" s="7">
        <v>0</v>
      </c>
      <c r="F2252" s="7" t="str">
        <f>IFERROR(
   INDEX(tbl_ProduitsRef[Prix Menu],MATCH(tbl_Ventes[[#This Row],[Produit]],tbl_ProduitsRef[Produit],0)),
   ""
)</f>
        <v/>
      </c>
      <c r="G2252" s="7">
        <f>tbl_Ventes[[#This Row],[Qté Vendue]] * IFERROR(_xlfn.XLOOKUP(tbl_Ventes[[#This Row],[Cde_Prdt]], tbl_Produits[Cde_Prdt], tbl_Produits[Prix Menu]), 0)</f>
        <v>0</v>
      </c>
      <c r="H2252" s="7">
        <f>IFERROR(_xlfn.XLOOKUP(tbl_Ventes[[#This Row],[Cde_Prdt]], tbl_Produits[Cde_Prdt], tbl_Produits[Coût Moyen Portion]), 0)</f>
        <v>0</v>
      </c>
      <c r="I2252" s="7">
        <f>tbl_Ventes[[#This Row],[Qté Vendue]] * tbl_Ventes[[#This Row],[CMP_par_portion]]</f>
        <v>0</v>
      </c>
      <c r="J2252" s="7">
        <f>tbl_Ventes[[#This Row],[CA ligne]] - tbl_Ventes[[#This Row],[Coût matière ligne]]</f>
        <v>0</v>
      </c>
      <c r="K2252" s="7" t="str">
        <f>IFERROR(INDEX(tbl_ProduitsRef[Famille], MATCH(tbl_Ventes[[#This Row],[Cde_Prdt]], tbl_Produits[Cde_Prdt], 0)), "")</f>
        <v/>
      </c>
    </row>
    <row r="2253" spans="1:11" x14ac:dyDescent="0.25">
      <c r="A2253" s="5"/>
      <c r="B2253" s="63" t="str">
        <f>IFERROR(TEXT(tbl_Ventes[[#This Row],[Date]],"mm-aaaa"),"")</f>
        <v>01-1900</v>
      </c>
      <c r="D2253" s="10" t="str">
        <f>IFERROR(
   INDEX(tbl_ProduitsRef[Cde_Prdt],MATCH(tbl_Ventes[[#This Row],[Produit]],tbl_ProduitsRef[Produit],0)),
   ""
)</f>
        <v/>
      </c>
      <c r="E2253" s="7">
        <v>0</v>
      </c>
      <c r="F2253" s="7" t="str">
        <f>IFERROR(
   INDEX(tbl_ProduitsRef[Prix Menu],MATCH(tbl_Ventes[[#This Row],[Produit]],tbl_ProduitsRef[Produit],0)),
   ""
)</f>
        <v/>
      </c>
      <c r="G2253" s="7">
        <f>tbl_Ventes[[#This Row],[Qté Vendue]] * IFERROR(_xlfn.XLOOKUP(tbl_Ventes[[#This Row],[Cde_Prdt]], tbl_Produits[Cde_Prdt], tbl_Produits[Prix Menu]), 0)</f>
        <v>0</v>
      </c>
      <c r="H2253" s="7">
        <f>IFERROR(_xlfn.XLOOKUP(tbl_Ventes[[#This Row],[Cde_Prdt]], tbl_Produits[Cde_Prdt], tbl_Produits[Coût Moyen Portion]), 0)</f>
        <v>0</v>
      </c>
      <c r="I2253" s="7">
        <f>tbl_Ventes[[#This Row],[Qté Vendue]] * tbl_Ventes[[#This Row],[CMP_par_portion]]</f>
        <v>0</v>
      </c>
      <c r="J2253" s="7">
        <f>tbl_Ventes[[#This Row],[CA ligne]] - tbl_Ventes[[#This Row],[Coût matière ligne]]</f>
        <v>0</v>
      </c>
      <c r="K2253" s="7" t="str">
        <f>IFERROR(INDEX(tbl_ProduitsRef[Famille], MATCH(tbl_Ventes[[#This Row],[Cde_Prdt]], tbl_Produits[Cde_Prdt], 0)), "")</f>
        <v/>
      </c>
    </row>
    <row r="2254" spans="1:11" x14ac:dyDescent="0.25">
      <c r="A2254" s="5"/>
      <c r="B2254" s="63" t="str">
        <f>IFERROR(TEXT(tbl_Ventes[[#This Row],[Date]],"mm-aaaa"),"")</f>
        <v>01-1900</v>
      </c>
      <c r="D2254" s="10" t="str">
        <f>IFERROR(
   INDEX(tbl_ProduitsRef[Cde_Prdt],MATCH(tbl_Ventes[[#This Row],[Produit]],tbl_ProduitsRef[Produit],0)),
   ""
)</f>
        <v/>
      </c>
      <c r="E2254" s="7">
        <v>0</v>
      </c>
      <c r="F2254" s="7" t="str">
        <f>IFERROR(
   INDEX(tbl_ProduitsRef[Prix Menu],MATCH(tbl_Ventes[[#This Row],[Produit]],tbl_ProduitsRef[Produit],0)),
   ""
)</f>
        <v/>
      </c>
      <c r="G2254" s="7">
        <f>tbl_Ventes[[#This Row],[Qté Vendue]] * IFERROR(_xlfn.XLOOKUP(tbl_Ventes[[#This Row],[Cde_Prdt]], tbl_Produits[Cde_Prdt], tbl_Produits[Prix Menu]), 0)</f>
        <v>0</v>
      </c>
      <c r="H2254" s="7">
        <f>IFERROR(_xlfn.XLOOKUP(tbl_Ventes[[#This Row],[Cde_Prdt]], tbl_Produits[Cde_Prdt], tbl_Produits[Coût Moyen Portion]), 0)</f>
        <v>0</v>
      </c>
      <c r="I2254" s="7">
        <f>tbl_Ventes[[#This Row],[Qté Vendue]] * tbl_Ventes[[#This Row],[CMP_par_portion]]</f>
        <v>0</v>
      </c>
      <c r="J2254" s="7">
        <f>tbl_Ventes[[#This Row],[CA ligne]] - tbl_Ventes[[#This Row],[Coût matière ligne]]</f>
        <v>0</v>
      </c>
      <c r="K2254" s="7" t="str">
        <f>IFERROR(INDEX(tbl_ProduitsRef[Famille], MATCH(tbl_Ventes[[#This Row],[Cde_Prdt]], tbl_Produits[Cde_Prdt], 0)), "")</f>
        <v/>
      </c>
    </row>
    <row r="2255" spans="1:11" x14ac:dyDescent="0.25">
      <c r="A2255" s="5"/>
      <c r="B2255" s="63" t="str">
        <f>IFERROR(TEXT(tbl_Ventes[[#This Row],[Date]],"mm-aaaa"),"")</f>
        <v>01-1900</v>
      </c>
      <c r="D2255" s="10" t="str">
        <f>IFERROR(
   INDEX(tbl_ProduitsRef[Cde_Prdt],MATCH(tbl_Ventes[[#This Row],[Produit]],tbl_ProduitsRef[Produit],0)),
   ""
)</f>
        <v/>
      </c>
      <c r="E2255" s="7">
        <v>0</v>
      </c>
      <c r="F2255" s="7" t="str">
        <f>IFERROR(
   INDEX(tbl_ProduitsRef[Prix Menu],MATCH(tbl_Ventes[[#This Row],[Produit]],tbl_ProduitsRef[Produit],0)),
   ""
)</f>
        <v/>
      </c>
      <c r="G2255" s="7">
        <f>tbl_Ventes[[#This Row],[Qté Vendue]] * IFERROR(_xlfn.XLOOKUP(tbl_Ventes[[#This Row],[Cde_Prdt]], tbl_Produits[Cde_Prdt], tbl_Produits[Prix Menu]), 0)</f>
        <v>0</v>
      </c>
      <c r="H2255" s="7">
        <f>IFERROR(_xlfn.XLOOKUP(tbl_Ventes[[#This Row],[Cde_Prdt]], tbl_Produits[Cde_Prdt], tbl_Produits[Coût Moyen Portion]), 0)</f>
        <v>0</v>
      </c>
      <c r="I2255" s="7">
        <f>tbl_Ventes[[#This Row],[Qté Vendue]] * tbl_Ventes[[#This Row],[CMP_par_portion]]</f>
        <v>0</v>
      </c>
      <c r="J2255" s="7">
        <f>tbl_Ventes[[#This Row],[CA ligne]] - tbl_Ventes[[#This Row],[Coût matière ligne]]</f>
        <v>0</v>
      </c>
      <c r="K2255" s="7" t="str">
        <f>IFERROR(INDEX(tbl_ProduitsRef[Famille], MATCH(tbl_Ventes[[#This Row],[Cde_Prdt]], tbl_Produits[Cde_Prdt], 0)), "")</f>
        <v/>
      </c>
    </row>
    <row r="2256" spans="1:11" x14ac:dyDescent="0.25">
      <c r="A2256" s="5"/>
      <c r="B2256" s="63" t="str">
        <f>IFERROR(TEXT(tbl_Ventes[[#This Row],[Date]],"mm-aaaa"),"")</f>
        <v>01-1900</v>
      </c>
      <c r="D2256" s="10" t="str">
        <f>IFERROR(
   INDEX(tbl_ProduitsRef[Cde_Prdt],MATCH(tbl_Ventes[[#This Row],[Produit]],tbl_ProduitsRef[Produit],0)),
   ""
)</f>
        <v/>
      </c>
      <c r="E2256" s="7">
        <v>0</v>
      </c>
      <c r="F2256" s="7" t="str">
        <f>IFERROR(
   INDEX(tbl_ProduitsRef[Prix Menu],MATCH(tbl_Ventes[[#This Row],[Produit]],tbl_ProduitsRef[Produit],0)),
   ""
)</f>
        <v/>
      </c>
      <c r="G2256" s="7">
        <f>tbl_Ventes[[#This Row],[Qté Vendue]] * IFERROR(_xlfn.XLOOKUP(tbl_Ventes[[#This Row],[Cde_Prdt]], tbl_Produits[Cde_Prdt], tbl_Produits[Prix Menu]), 0)</f>
        <v>0</v>
      </c>
      <c r="H2256" s="7">
        <f>IFERROR(_xlfn.XLOOKUP(tbl_Ventes[[#This Row],[Cde_Prdt]], tbl_Produits[Cde_Prdt], tbl_Produits[Coût Moyen Portion]), 0)</f>
        <v>0</v>
      </c>
      <c r="I2256" s="7">
        <f>tbl_Ventes[[#This Row],[Qté Vendue]] * tbl_Ventes[[#This Row],[CMP_par_portion]]</f>
        <v>0</v>
      </c>
      <c r="J2256" s="7">
        <f>tbl_Ventes[[#This Row],[CA ligne]] - tbl_Ventes[[#This Row],[Coût matière ligne]]</f>
        <v>0</v>
      </c>
      <c r="K2256" s="7" t="str">
        <f>IFERROR(INDEX(tbl_ProduitsRef[Famille], MATCH(tbl_Ventes[[#This Row],[Cde_Prdt]], tbl_Produits[Cde_Prdt], 0)), "")</f>
        <v/>
      </c>
    </row>
    <row r="2257" spans="1:11" x14ac:dyDescent="0.25">
      <c r="A2257" s="5"/>
      <c r="B2257" s="63" t="str">
        <f>IFERROR(TEXT(tbl_Ventes[[#This Row],[Date]],"mm-aaaa"),"")</f>
        <v>01-1900</v>
      </c>
      <c r="D2257" s="10" t="str">
        <f>IFERROR(
   INDEX(tbl_ProduitsRef[Cde_Prdt],MATCH(tbl_Ventes[[#This Row],[Produit]],tbl_ProduitsRef[Produit],0)),
   ""
)</f>
        <v/>
      </c>
      <c r="E2257" s="7">
        <v>0</v>
      </c>
      <c r="F2257" s="7" t="str">
        <f>IFERROR(
   INDEX(tbl_ProduitsRef[Prix Menu],MATCH(tbl_Ventes[[#This Row],[Produit]],tbl_ProduitsRef[Produit],0)),
   ""
)</f>
        <v/>
      </c>
      <c r="G2257" s="7">
        <f>tbl_Ventes[[#This Row],[Qté Vendue]] * IFERROR(_xlfn.XLOOKUP(tbl_Ventes[[#This Row],[Cde_Prdt]], tbl_Produits[Cde_Prdt], tbl_Produits[Prix Menu]), 0)</f>
        <v>0</v>
      </c>
      <c r="H2257" s="7">
        <f>IFERROR(_xlfn.XLOOKUP(tbl_Ventes[[#This Row],[Cde_Prdt]], tbl_Produits[Cde_Prdt], tbl_Produits[Coût Moyen Portion]), 0)</f>
        <v>0</v>
      </c>
      <c r="I2257" s="7">
        <f>tbl_Ventes[[#This Row],[Qté Vendue]] * tbl_Ventes[[#This Row],[CMP_par_portion]]</f>
        <v>0</v>
      </c>
      <c r="J2257" s="7">
        <f>tbl_Ventes[[#This Row],[CA ligne]] - tbl_Ventes[[#This Row],[Coût matière ligne]]</f>
        <v>0</v>
      </c>
      <c r="K2257" s="7" t="str">
        <f>IFERROR(INDEX(tbl_ProduitsRef[Famille], MATCH(tbl_Ventes[[#This Row],[Cde_Prdt]], tbl_Produits[Cde_Prdt], 0)), "")</f>
        <v/>
      </c>
    </row>
    <row r="2258" spans="1:11" x14ac:dyDescent="0.25">
      <c r="A2258" s="5"/>
      <c r="B2258" s="63" t="str">
        <f>IFERROR(TEXT(tbl_Ventes[[#This Row],[Date]],"mm-aaaa"),"")</f>
        <v>01-1900</v>
      </c>
      <c r="D2258" s="10" t="str">
        <f>IFERROR(
   INDEX(tbl_ProduitsRef[Cde_Prdt],MATCH(tbl_Ventes[[#This Row],[Produit]],tbl_ProduitsRef[Produit],0)),
   ""
)</f>
        <v/>
      </c>
      <c r="E2258" s="7">
        <v>0</v>
      </c>
      <c r="F2258" s="7" t="str">
        <f>IFERROR(
   INDEX(tbl_ProduitsRef[Prix Menu],MATCH(tbl_Ventes[[#This Row],[Produit]],tbl_ProduitsRef[Produit],0)),
   ""
)</f>
        <v/>
      </c>
      <c r="G2258" s="7">
        <f>tbl_Ventes[[#This Row],[Qté Vendue]] * IFERROR(_xlfn.XLOOKUP(tbl_Ventes[[#This Row],[Cde_Prdt]], tbl_Produits[Cde_Prdt], tbl_Produits[Prix Menu]), 0)</f>
        <v>0</v>
      </c>
      <c r="H2258" s="7">
        <f>IFERROR(_xlfn.XLOOKUP(tbl_Ventes[[#This Row],[Cde_Prdt]], tbl_Produits[Cde_Prdt], tbl_Produits[Coût Moyen Portion]), 0)</f>
        <v>0</v>
      </c>
      <c r="I2258" s="7">
        <f>tbl_Ventes[[#This Row],[Qté Vendue]] * tbl_Ventes[[#This Row],[CMP_par_portion]]</f>
        <v>0</v>
      </c>
      <c r="J2258" s="7">
        <f>tbl_Ventes[[#This Row],[CA ligne]] - tbl_Ventes[[#This Row],[Coût matière ligne]]</f>
        <v>0</v>
      </c>
      <c r="K2258" s="7" t="str">
        <f>IFERROR(INDEX(tbl_ProduitsRef[Famille], MATCH(tbl_Ventes[[#This Row],[Cde_Prdt]], tbl_Produits[Cde_Prdt], 0)), "")</f>
        <v/>
      </c>
    </row>
    <row r="2259" spans="1:11" x14ac:dyDescent="0.25">
      <c r="A2259" s="5"/>
      <c r="B2259" s="63" t="str">
        <f>IFERROR(TEXT(tbl_Ventes[[#This Row],[Date]],"mm-aaaa"),"")</f>
        <v>01-1900</v>
      </c>
      <c r="D2259" s="10" t="str">
        <f>IFERROR(
   INDEX(tbl_ProduitsRef[Cde_Prdt],MATCH(tbl_Ventes[[#This Row],[Produit]],tbl_ProduitsRef[Produit],0)),
   ""
)</f>
        <v/>
      </c>
      <c r="E2259" s="7">
        <v>0</v>
      </c>
      <c r="F2259" s="7" t="str">
        <f>IFERROR(
   INDEX(tbl_ProduitsRef[Prix Menu],MATCH(tbl_Ventes[[#This Row],[Produit]],tbl_ProduitsRef[Produit],0)),
   ""
)</f>
        <v/>
      </c>
      <c r="G2259" s="7">
        <f>tbl_Ventes[[#This Row],[Qté Vendue]] * IFERROR(_xlfn.XLOOKUP(tbl_Ventes[[#This Row],[Cde_Prdt]], tbl_Produits[Cde_Prdt], tbl_Produits[Prix Menu]), 0)</f>
        <v>0</v>
      </c>
      <c r="H2259" s="7">
        <f>IFERROR(_xlfn.XLOOKUP(tbl_Ventes[[#This Row],[Cde_Prdt]], tbl_Produits[Cde_Prdt], tbl_Produits[Coût Moyen Portion]), 0)</f>
        <v>0</v>
      </c>
      <c r="I2259" s="7">
        <f>tbl_Ventes[[#This Row],[Qté Vendue]] * tbl_Ventes[[#This Row],[CMP_par_portion]]</f>
        <v>0</v>
      </c>
      <c r="J2259" s="7">
        <f>tbl_Ventes[[#This Row],[CA ligne]] - tbl_Ventes[[#This Row],[Coût matière ligne]]</f>
        <v>0</v>
      </c>
      <c r="K2259" s="7" t="str">
        <f>IFERROR(INDEX(tbl_ProduitsRef[Famille], MATCH(tbl_Ventes[[#This Row],[Cde_Prdt]], tbl_Produits[Cde_Prdt], 0)), "")</f>
        <v/>
      </c>
    </row>
    <row r="2260" spans="1:11" x14ac:dyDescent="0.25">
      <c r="A2260" s="5"/>
      <c r="B2260" s="63" t="str">
        <f>IFERROR(TEXT(tbl_Ventes[[#This Row],[Date]],"mm-aaaa"),"")</f>
        <v>01-1900</v>
      </c>
      <c r="D2260" s="10" t="str">
        <f>IFERROR(
   INDEX(tbl_ProduitsRef[Cde_Prdt],MATCH(tbl_Ventes[[#This Row],[Produit]],tbl_ProduitsRef[Produit],0)),
   ""
)</f>
        <v/>
      </c>
      <c r="E2260" s="7">
        <v>0</v>
      </c>
      <c r="F2260" s="7" t="str">
        <f>IFERROR(
   INDEX(tbl_ProduitsRef[Prix Menu],MATCH(tbl_Ventes[[#This Row],[Produit]],tbl_ProduitsRef[Produit],0)),
   ""
)</f>
        <v/>
      </c>
      <c r="G2260" s="7">
        <f>tbl_Ventes[[#This Row],[Qté Vendue]] * IFERROR(_xlfn.XLOOKUP(tbl_Ventes[[#This Row],[Cde_Prdt]], tbl_Produits[Cde_Prdt], tbl_Produits[Prix Menu]), 0)</f>
        <v>0</v>
      </c>
      <c r="H2260" s="7">
        <f>IFERROR(_xlfn.XLOOKUP(tbl_Ventes[[#This Row],[Cde_Prdt]], tbl_Produits[Cde_Prdt], tbl_Produits[Coût Moyen Portion]), 0)</f>
        <v>0</v>
      </c>
      <c r="I2260" s="7">
        <f>tbl_Ventes[[#This Row],[Qté Vendue]] * tbl_Ventes[[#This Row],[CMP_par_portion]]</f>
        <v>0</v>
      </c>
      <c r="J2260" s="7">
        <f>tbl_Ventes[[#This Row],[CA ligne]] - tbl_Ventes[[#This Row],[Coût matière ligne]]</f>
        <v>0</v>
      </c>
      <c r="K2260" s="7" t="str">
        <f>IFERROR(INDEX(tbl_ProduitsRef[Famille], MATCH(tbl_Ventes[[#This Row],[Cde_Prdt]], tbl_Produits[Cde_Prdt], 0)), "")</f>
        <v/>
      </c>
    </row>
    <row r="2261" spans="1:11" x14ac:dyDescent="0.25">
      <c r="A2261" s="5"/>
      <c r="B2261" s="63" t="str">
        <f>IFERROR(TEXT(tbl_Ventes[[#This Row],[Date]],"mm-aaaa"),"")</f>
        <v>01-1900</v>
      </c>
      <c r="D2261" s="10" t="str">
        <f>IFERROR(
   INDEX(tbl_ProduitsRef[Cde_Prdt],MATCH(tbl_Ventes[[#This Row],[Produit]],tbl_ProduitsRef[Produit],0)),
   ""
)</f>
        <v/>
      </c>
      <c r="E2261" s="7">
        <v>0</v>
      </c>
      <c r="F2261" s="7" t="str">
        <f>IFERROR(
   INDEX(tbl_ProduitsRef[Prix Menu],MATCH(tbl_Ventes[[#This Row],[Produit]],tbl_ProduitsRef[Produit],0)),
   ""
)</f>
        <v/>
      </c>
      <c r="G2261" s="7">
        <f>tbl_Ventes[[#This Row],[Qté Vendue]] * IFERROR(_xlfn.XLOOKUP(tbl_Ventes[[#This Row],[Cde_Prdt]], tbl_Produits[Cde_Prdt], tbl_Produits[Prix Menu]), 0)</f>
        <v>0</v>
      </c>
      <c r="H2261" s="7">
        <f>IFERROR(_xlfn.XLOOKUP(tbl_Ventes[[#This Row],[Cde_Prdt]], tbl_Produits[Cde_Prdt], tbl_Produits[Coût Moyen Portion]), 0)</f>
        <v>0</v>
      </c>
      <c r="I2261" s="7">
        <f>tbl_Ventes[[#This Row],[Qté Vendue]] * tbl_Ventes[[#This Row],[CMP_par_portion]]</f>
        <v>0</v>
      </c>
      <c r="J2261" s="7">
        <f>tbl_Ventes[[#This Row],[CA ligne]] - tbl_Ventes[[#This Row],[Coût matière ligne]]</f>
        <v>0</v>
      </c>
      <c r="K2261" s="7" t="str">
        <f>IFERROR(INDEX(tbl_ProduitsRef[Famille], MATCH(tbl_Ventes[[#This Row],[Cde_Prdt]], tbl_Produits[Cde_Prdt], 0)), "")</f>
        <v/>
      </c>
    </row>
    <row r="2262" spans="1:11" x14ac:dyDescent="0.25">
      <c r="A2262" s="5"/>
      <c r="B2262" s="63" t="str">
        <f>IFERROR(TEXT(tbl_Ventes[[#This Row],[Date]],"mm-aaaa"),"")</f>
        <v>01-1900</v>
      </c>
      <c r="D2262" s="10" t="str">
        <f>IFERROR(
   INDEX(tbl_ProduitsRef[Cde_Prdt],MATCH(tbl_Ventes[[#This Row],[Produit]],tbl_ProduitsRef[Produit],0)),
   ""
)</f>
        <v/>
      </c>
      <c r="E2262" s="7">
        <v>0</v>
      </c>
      <c r="F2262" s="7" t="str">
        <f>IFERROR(
   INDEX(tbl_ProduitsRef[Prix Menu],MATCH(tbl_Ventes[[#This Row],[Produit]],tbl_ProduitsRef[Produit],0)),
   ""
)</f>
        <v/>
      </c>
      <c r="G2262" s="7">
        <f>tbl_Ventes[[#This Row],[Qté Vendue]] * IFERROR(_xlfn.XLOOKUP(tbl_Ventes[[#This Row],[Cde_Prdt]], tbl_Produits[Cde_Prdt], tbl_Produits[Prix Menu]), 0)</f>
        <v>0</v>
      </c>
      <c r="H2262" s="7">
        <f>IFERROR(_xlfn.XLOOKUP(tbl_Ventes[[#This Row],[Cde_Prdt]], tbl_Produits[Cde_Prdt], tbl_Produits[Coût Moyen Portion]), 0)</f>
        <v>0</v>
      </c>
      <c r="I2262" s="7">
        <f>tbl_Ventes[[#This Row],[Qté Vendue]] * tbl_Ventes[[#This Row],[CMP_par_portion]]</f>
        <v>0</v>
      </c>
      <c r="J2262" s="7">
        <f>tbl_Ventes[[#This Row],[CA ligne]] - tbl_Ventes[[#This Row],[Coût matière ligne]]</f>
        <v>0</v>
      </c>
      <c r="K2262" s="7" t="str">
        <f>IFERROR(INDEX(tbl_ProduitsRef[Famille], MATCH(tbl_Ventes[[#This Row],[Cde_Prdt]], tbl_Produits[Cde_Prdt], 0)), "")</f>
        <v/>
      </c>
    </row>
    <row r="2263" spans="1:11" x14ac:dyDescent="0.25">
      <c r="A2263" s="5"/>
      <c r="B2263" s="63" t="str">
        <f>IFERROR(TEXT(tbl_Ventes[[#This Row],[Date]],"mm-aaaa"),"")</f>
        <v>01-1900</v>
      </c>
      <c r="D2263" s="10" t="str">
        <f>IFERROR(
   INDEX(tbl_ProduitsRef[Cde_Prdt],MATCH(tbl_Ventes[[#This Row],[Produit]],tbl_ProduitsRef[Produit],0)),
   ""
)</f>
        <v/>
      </c>
      <c r="E2263" s="7">
        <v>0</v>
      </c>
      <c r="F2263" s="7" t="str">
        <f>IFERROR(
   INDEX(tbl_ProduitsRef[Prix Menu],MATCH(tbl_Ventes[[#This Row],[Produit]],tbl_ProduitsRef[Produit],0)),
   ""
)</f>
        <v/>
      </c>
      <c r="G2263" s="7">
        <f>tbl_Ventes[[#This Row],[Qté Vendue]] * IFERROR(_xlfn.XLOOKUP(tbl_Ventes[[#This Row],[Cde_Prdt]], tbl_Produits[Cde_Prdt], tbl_Produits[Prix Menu]), 0)</f>
        <v>0</v>
      </c>
      <c r="H2263" s="7">
        <f>IFERROR(_xlfn.XLOOKUP(tbl_Ventes[[#This Row],[Cde_Prdt]], tbl_Produits[Cde_Prdt], tbl_Produits[Coût Moyen Portion]), 0)</f>
        <v>0</v>
      </c>
      <c r="I2263" s="7">
        <f>tbl_Ventes[[#This Row],[Qté Vendue]] * tbl_Ventes[[#This Row],[CMP_par_portion]]</f>
        <v>0</v>
      </c>
      <c r="J2263" s="7">
        <f>tbl_Ventes[[#This Row],[CA ligne]] - tbl_Ventes[[#This Row],[Coût matière ligne]]</f>
        <v>0</v>
      </c>
      <c r="K2263" s="7" t="str">
        <f>IFERROR(INDEX(tbl_ProduitsRef[Famille], MATCH(tbl_Ventes[[#This Row],[Cde_Prdt]], tbl_Produits[Cde_Prdt], 0)), "")</f>
        <v/>
      </c>
    </row>
    <row r="2264" spans="1:11" x14ac:dyDescent="0.25">
      <c r="A2264" s="5"/>
      <c r="B2264" s="63" t="str">
        <f>IFERROR(TEXT(tbl_Ventes[[#This Row],[Date]],"mm-aaaa"),"")</f>
        <v>01-1900</v>
      </c>
      <c r="D2264" s="10" t="str">
        <f>IFERROR(
   INDEX(tbl_ProduitsRef[Cde_Prdt],MATCH(tbl_Ventes[[#This Row],[Produit]],tbl_ProduitsRef[Produit],0)),
   ""
)</f>
        <v/>
      </c>
      <c r="E2264" s="7">
        <v>0</v>
      </c>
      <c r="F2264" s="7" t="str">
        <f>IFERROR(
   INDEX(tbl_ProduitsRef[Prix Menu],MATCH(tbl_Ventes[[#This Row],[Produit]],tbl_ProduitsRef[Produit],0)),
   ""
)</f>
        <v/>
      </c>
      <c r="G2264" s="7">
        <f>tbl_Ventes[[#This Row],[Qté Vendue]] * IFERROR(_xlfn.XLOOKUP(tbl_Ventes[[#This Row],[Cde_Prdt]], tbl_Produits[Cde_Prdt], tbl_Produits[Prix Menu]), 0)</f>
        <v>0</v>
      </c>
      <c r="H2264" s="7">
        <f>IFERROR(_xlfn.XLOOKUP(tbl_Ventes[[#This Row],[Cde_Prdt]], tbl_Produits[Cde_Prdt], tbl_Produits[Coût Moyen Portion]), 0)</f>
        <v>0</v>
      </c>
      <c r="I2264" s="7">
        <f>tbl_Ventes[[#This Row],[Qté Vendue]] * tbl_Ventes[[#This Row],[CMP_par_portion]]</f>
        <v>0</v>
      </c>
      <c r="J2264" s="7">
        <f>tbl_Ventes[[#This Row],[CA ligne]] - tbl_Ventes[[#This Row],[Coût matière ligne]]</f>
        <v>0</v>
      </c>
      <c r="K2264" s="7" t="str">
        <f>IFERROR(INDEX(tbl_ProduitsRef[Famille], MATCH(tbl_Ventes[[#This Row],[Cde_Prdt]], tbl_Produits[Cde_Prdt], 0)), "")</f>
        <v/>
      </c>
    </row>
    <row r="2265" spans="1:11" x14ac:dyDescent="0.25">
      <c r="A2265" s="5"/>
      <c r="B2265" s="63" t="str">
        <f>IFERROR(TEXT(tbl_Ventes[[#This Row],[Date]],"mm-aaaa"),"")</f>
        <v>01-1900</v>
      </c>
      <c r="D2265" s="10" t="str">
        <f>IFERROR(
   INDEX(tbl_ProduitsRef[Cde_Prdt],MATCH(tbl_Ventes[[#This Row],[Produit]],tbl_ProduitsRef[Produit],0)),
   ""
)</f>
        <v/>
      </c>
      <c r="E2265" s="7">
        <v>0</v>
      </c>
      <c r="F2265" s="7" t="str">
        <f>IFERROR(
   INDEX(tbl_ProduitsRef[Prix Menu],MATCH(tbl_Ventes[[#This Row],[Produit]],tbl_ProduitsRef[Produit],0)),
   ""
)</f>
        <v/>
      </c>
      <c r="G2265" s="7">
        <f>tbl_Ventes[[#This Row],[Qté Vendue]] * IFERROR(_xlfn.XLOOKUP(tbl_Ventes[[#This Row],[Cde_Prdt]], tbl_Produits[Cde_Prdt], tbl_Produits[Prix Menu]), 0)</f>
        <v>0</v>
      </c>
      <c r="H2265" s="7">
        <f>IFERROR(_xlfn.XLOOKUP(tbl_Ventes[[#This Row],[Cde_Prdt]], tbl_Produits[Cde_Prdt], tbl_Produits[Coût Moyen Portion]), 0)</f>
        <v>0</v>
      </c>
      <c r="I2265" s="7">
        <f>tbl_Ventes[[#This Row],[Qté Vendue]] * tbl_Ventes[[#This Row],[CMP_par_portion]]</f>
        <v>0</v>
      </c>
      <c r="J2265" s="7">
        <f>tbl_Ventes[[#This Row],[CA ligne]] - tbl_Ventes[[#This Row],[Coût matière ligne]]</f>
        <v>0</v>
      </c>
      <c r="K2265" s="7" t="str">
        <f>IFERROR(INDEX(tbl_ProduitsRef[Famille], MATCH(tbl_Ventes[[#This Row],[Cde_Prdt]], tbl_Produits[Cde_Prdt], 0)), "")</f>
        <v/>
      </c>
    </row>
    <row r="2266" spans="1:11" x14ac:dyDescent="0.25">
      <c r="A2266" s="5"/>
      <c r="B2266" s="63" t="str">
        <f>IFERROR(TEXT(tbl_Ventes[[#This Row],[Date]],"mm-aaaa"),"")</f>
        <v>01-1900</v>
      </c>
      <c r="D2266" s="10" t="str">
        <f>IFERROR(
   INDEX(tbl_ProduitsRef[Cde_Prdt],MATCH(tbl_Ventes[[#This Row],[Produit]],tbl_ProduitsRef[Produit],0)),
   ""
)</f>
        <v/>
      </c>
      <c r="E2266" s="7">
        <v>0</v>
      </c>
      <c r="F2266" s="7" t="str">
        <f>IFERROR(
   INDEX(tbl_ProduitsRef[Prix Menu],MATCH(tbl_Ventes[[#This Row],[Produit]],tbl_ProduitsRef[Produit],0)),
   ""
)</f>
        <v/>
      </c>
      <c r="G2266" s="7">
        <f>tbl_Ventes[[#This Row],[Qté Vendue]] * IFERROR(_xlfn.XLOOKUP(tbl_Ventes[[#This Row],[Cde_Prdt]], tbl_Produits[Cde_Prdt], tbl_Produits[Prix Menu]), 0)</f>
        <v>0</v>
      </c>
      <c r="H2266" s="7">
        <f>IFERROR(_xlfn.XLOOKUP(tbl_Ventes[[#This Row],[Cde_Prdt]], tbl_Produits[Cde_Prdt], tbl_Produits[Coût Moyen Portion]), 0)</f>
        <v>0</v>
      </c>
      <c r="I2266" s="7">
        <f>tbl_Ventes[[#This Row],[Qté Vendue]] * tbl_Ventes[[#This Row],[CMP_par_portion]]</f>
        <v>0</v>
      </c>
      <c r="J2266" s="7">
        <f>tbl_Ventes[[#This Row],[CA ligne]] - tbl_Ventes[[#This Row],[Coût matière ligne]]</f>
        <v>0</v>
      </c>
      <c r="K2266" s="7" t="str">
        <f>IFERROR(INDEX(tbl_ProduitsRef[Famille], MATCH(tbl_Ventes[[#This Row],[Cde_Prdt]], tbl_Produits[Cde_Prdt], 0)), "")</f>
        <v/>
      </c>
    </row>
    <row r="2267" spans="1:11" x14ac:dyDescent="0.25">
      <c r="A2267" s="5"/>
      <c r="B2267" s="63" t="str">
        <f>IFERROR(TEXT(tbl_Ventes[[#This Row],[Date]],"mm-aaaa"),"")</f>
        <v>01-1900</v>
      </c>
      <c r="D2267" s="10" t="str">
        <f>IFERROR(
   INDEX(tbl_ProduitsRef[Cde_Prdt],MATCH(tbl_Ventes[[#This Row],[Produit]],tbl_ProduitsRef[Produit],0)),
   ""
)</f>
        <v/>
      </c>
      <c r="E2267" s="7">
        <v>0</v>
      </c>
      <c r="F2267" s="7" t="str">
        <f>IFERROR(
   INDEX(tbl_ProduitsRef[Prix Menu],MATCH(tbl_Ventes[[#This Row],[Produit]],tbl_ProduitsRef[Produit],0)),
   ""
)</f>
        <v/>
      </c>
      <c r="G2267" s="7">
        <f>tbl_Ventes[[#This Row],[Qté Vendue]] * IFERROR(_xlfn.XLOOKUP(tbl_Ventes[[#This Row],[Cde_Prdt]], tbl_Produits[Cde_Prdt], tbl_Produits[Prix Menu]), 0)</f>
        <v>0</v>
      </c>
      <c r="H2267" s="7">
        <f>IFERROR(_xlfn.XLOOKUP(tbl_Ventes[[#This Row],[Cde_Prdt]], tbl_Produits[Cde_Prdt], tbl_Produits[Coût Moyen Portion]), 0)</f>
        <v>0</v>
      </c>
      <c r="I2267" s="7">
        <f>tbl_Ventes[[#This Row],[Qté Vendue]] * tbl_Ventes[[#This Row],[CMP_par_portion]]</f>
        <v>0</v>
      </c>
      <c r="J2267" s="7">
        <f>tbl_Ventes[[#This Row],[CA ligne]] - tbl_Ventes[[#This Row],[Coût matière ligne]]</f>
        <v>0</v>
      </c>
      <c r="K2267" s="7" t="str">
        <f>IFERROR(INDEX(tbl_ProduitsRef[Famille], MATCH(tbl_Ventes[[#This Row],[Cde_Prdt]], tbl_Produits[Cde_Prdt], 0)), "")</f>
        <v/>
      </c>
    </row>
    <row r="2268" spans="1:11" x14ac:dyDescent="0.25">
      <c r="A2268" s="5"/>
      <c r="B2268" s="63" t="str">
        <f>IFERROR(TEXT(tbl_Ventes[[#This Row],[Date]],"mm-aaaa"),"")</f>
        <v>01-1900</v>
      </c>
      <c r="D2268" s="10" t="str">
        <f>IFERROR(
   INDEX(tbl_ProduitsRef[Cde_Prdt],MATCH(tbl_Ventes[[#This Row],[Produit]],tbl_ProduitsRef[Produit],0)),
   ""
)</f>
        <v/>
      </c>
      <c r="E2268" s="7">
        <v>0</v>
      </c>
      <c r="F2268" s="7" t="str">
        <f>IFERROR(
   INDEX(tbl_ProduitsRef[Prix Menu],MATCH(tbl_Ventes[[#This Row],[Produit]],tbl_ProduitsRef[Produit],0)),
   ""
)</f>
        <v/>
      </c>
      <c r="G2268" s="7">
        <f>tbl_Ventes[[#This Row],[Qté Vendue]] * IFERROR(_xlfn.XLOOKUP(tbl_Ventes[[#This Row],[Cde_Prdt]], tbl_Produits[Cde_Prdt], tbl_Produits[Prix Menu]), 0)</f>
        <v>0</v>
      </c>
      <c r="H2268" s="7">
        <f>IFERROR(_xlfn.XLOOKUP(tbl_Ventes[[#This Row],[Cde_Prdt]], tbl_Produits[Cde_Prdt], tbl_Produits[Coût Moyen Portion]), 0)</f>
        <v>0</v>
      </c>
      <c r="I2268" s="7">
        <f>tbl_Ventes[[#This Row],[Qté Vendue]] * tbl_Ventes[[#This Row],[CMP_par_portion]]</f>
        <v>0</v>
      </c>
      <c r="J2268" s="7">
        <f>tbl_Ventes[[#This Row],[CA ligne]] - tbl_Ventes[[#This Row],[Coût matière ligne]]</f>
        <v>0</v>
      </c>
      <c r="K2268" s="7" t="str">
        <f>IFERROR(INDEX(tbl_ProduitsRef[Famille], MATCH(tbl_Ventes[[#This Row],[Cde_Prdt]], tbl_Produits[Cde_Prdt], 0)), "")</f>
        <v/>
      </c>
    </row>
    <row r="2269" spans="1:11" x14ac:dyDescent="0.25">
      <c r="A2269" s="5"/>
      <c r="B2269" s="63" t="str">
        <f>IFERROR(TEXT(tbl_Ventes[[#This Row],[Date]],"mm-aaaa"),"")</f>
        <v>01-1900</v>
      </c>
      <c r="D2269" s="10" t="str">
        <f>IFERROR(
   INDEX(tbl_ProduitsRef[Cde_Prdt],MATCH(tbl_Ventes[[#This Row],[Produit]],tbl_ProduitsRef[Produit],0)),
   ""
)</f>
        <v/>
      </c>
      <c r="E2269" s="7">
        <v>0</v>
      </c>
      <c r="F2269" s="7" t="str">
        <f>IFERROR(
   INDEX(tbl_ProduitsRef[Prix Menu],MATCH(tbl_Ventes[[#This Row],[Produit]],tbl_ProduitsRef[Produit],0)),
   ""
)</f>
        <v/>
      </c>
      <c r="G2269" s="7">
        <f>tbl_Ventes[[#This Row],[Qté Vendue]] * IFERROR(_xlfn.XLOOKUP(tbl_Ventes[[#This Row],[Cde_Prdt]], tbl_Produits[Cde_Prdt], tbl_Produits[Prix Menu]), 0)</f>
        <v>0</v>
      </c>
      <c r="H2269" s="7">
        <f>IFERROR(_xlfn.XLOOKUP(tbl_Ventes[[#This Row],[Cde_Prdt]], tbl_Produits[Cde_Prdt], tbl_Produits[Coût Moyen Portion]), 0)</f>
        <v>0</v>
      </c>
      <c r="I2269" s="7">
        <f>tbl_Ventes[[#This Row],[Qté Vendue]] * tbl_Ventes[[#This Row],[CMP_par_portion]]</f>
        <v>0</v>
      </c>
      <c r="J2269" s="7">
        <f>tbl_Ventes[[#This Row],[CA ligne]] - tbl_Ventes[[#This Row],[Coût matière ligne]]</f>
        <v>0</v>
      </c>
      <c r="K2269" s="7" t="str">
        <f>IFERROR(INDEX(tbl_ProduitsRef[Famille], MATCH(tbl_Ventes[[#This Row],[Cde_Prdt]], tbl_Produits[Cde_Prdt], 0)), "")</f>
        <v/>
      </c>
    </row>
    <row r="2270" spans="1:11" x14ac:dyDescent="0.25">
      <c r="A2270" s="5"/>
      <c r="B2270" s="63" t="str">
        <f>IFERROR(TEXT(tbl_Ventes[[#This Row],[Date]],"mm-aaaa"),"")</f>
        <v>01-1900</v>
      </c>
      <c r="D2270" s="10" t="str">
        <f>IFERROR(
   INDEX(tbl_ProduitsRef[Cde_Prdt],MATCH(tbl_Ventes[[#This Row],[Produit]],tbl_ProduitsRef[Produit],0)),
   ""
)</f>
        <v/>
      </c>
      <c r="E2270" s="7">
        <v>0</v>
      </c>
      <c r="F2270" s="7" t="str">
        <f>IFERROR(
   INDEX(tbl_ProduitsRef[Prix Menu],MATCH(tbl_Ventes[[#This Row],[Produit]],tbl_ProduitsRef[Produit],0)),
   ""
)</f>
        <v/>
      </c>
      <c r="G2270" s="7">
        <f>tbl_Ventes[[#This Row],[Qté Vendue]] * IFERROR(_xlfn.XLOOKUP(tbl_Ventes[[#This Row],[Cde_Prdt]], tbl_Produits[Cde_Prdt], tbl_Produits[Prix Menu]), 0)</f>
        <v>0</v>
      </c>
      <c r="H2270" s="7">
        <f>IFERROR(_xlfn.XLOOKUP(tbl_Ventes[[#This Row],[Cde_Prdt]], tbl_Produits[Cde_Prdt], tbl_Produits[Coût Moyen Portion]), 0)</f>
        <v>0</v>
      </c>
      <c r="I2270" s="7">
        <f>tbl_Ventes[[#This Row],[Qté Vendue]] * tbl_Ventes[[#This Row],[CMP_par_portion]]</f>
        <v>0</v>
      </c>
      <c r="J2270" s="7">
        <f>tbl_Ventes[[#This Row],[CA ligne]] - tbl_Ventes[[#This Row],[Coût matière ligne]]</f>
        <v>0</v>
      </c>
      <c r="K2270" s="7" t="str">
        <f>IFERROR(INDEX(tbl_ProduitsRef[Famille], MATCH(tbl_Ventes[[#This Row],[Cde_Prdt]], tbl_Produits[Cde_Prdt], 0)), "")</f>
        <v/>
      </c>
    </row>
    <row r="2271" spans="1:11" x14ac:dyDescent="0.25">
      <c r="A2271" s="5"/>
      <c r="B2271" s="63" t="str">
        <f>IFERROR(TEXT(tbl_Ventes[[#This Row],[Date]],"mm-aaaa"),"")</f>
        <v>01-1900</v>
      </c>
      <c r="D2271" s="10" t="str">
        <f>IFERROR(
   INDEX(tbl_ProduitsRef[Cde_Prdt],MATCH(tbl_Ventes[[#This Row],[Produit]],tbl_ProduitsRef[Produit],0)),
   ""
)</f>
        <v/>
      </c>
      <c r="E2271" s="7">
        <v>0</v>
      </c>
      <c r="F2271" s="7" t="str">
        <f>IFERROR(
   INDEX(tbl_ProduitsRef[Prix Menu],MATCH(tbl_Ventes[[#This Row],[Produit]],tbl_ProduitsRef[Produit],0)),
   ""
)</f>
        <v/>
      </c>
      <c r="G2271" s="7">
        <f>tbl_Ventes[[#This Row],[Qté Vendue]] * IFERROR(_xlfn.XLOOKUP(tbl_Ventes[[#This Row],[Cde_Prdt]], tbl_Produits[Cde_Prdt], tbl_Produits[Prix Menu]), 0)</f>
        <v>0</v>
      </c>
      <c r="H2271" s="7">
        <f>IFERROR(_xlfn.XLOOKUP(tbl_Ventes[[#This Row],[Cde_Prdt]], tbl_Produits[Cde_Prdt], tbl_Produits[Coût Moyen Portion]), 0)</f>
        <v>0</v>
      </c>
      <c r="I2271" s="7">
        <f>tbl_Ventes[[#This Row],[Qté Vendue]] * tbl_Ventes[[#This Row],[CMP_par_portion]]</f>
        <v>0</v>
      </c>
      <c r="J2271" s="7">
        <f>tbl_Ventes[[#This Row],[CA ligne]] - tbl_Ventes[[#This Row],[Coût matière ligne]]</f>
        <v>0</v>
      </c>
      <c r="K2271" s="7" t="str">
        <f>IFERROR(INDEX(tbl_ProduitsRef[Famille], MATCH(tbl_Ventes[[#This Row],[Cde_Prdt]], tbl_Produits[Cde_Prdt], 0)), "")</f>
        <v/>
      </c>
    </row>
    <row r="2272" spans="1:11" x14ac:dyDescent="0.25">
      <c r="A2272" s="5"/>
      <c r="B2272" s="63" t="str">
        <f>IFERROR(TEXT(tbl_Ventes[[#This Row],[Date]],"mm-aaaa"),"")</f>
        <v>01-1900</v>
      </c>
      <c r="D2272" s="10" t="str">
        <f>IFERROR(
   INDEX(tbl_ProduitsRef[Cde_Prdt],MATCH(tbl_Ventes[[#This Row],[Produit]],tbl_ProduitsRef[Produit],0)),
   ""
)</f>
        <v/>
      </c>
      <c r="E2272" s="7">
        <v>0</v>
      </c>
      <c r="F2272" s="7" t="str">
        <f>IFERROR(
   INDEX(tbl_ProduitsRef[Prix Menu],MATCH(tbl_Ventes[[#This Row],[Produit]],tbl_ProduitsRef[Produit],0)),
   ""
)</f>
        <v/>
      </c>
      <c r="G2272" s="7">
        <f>tbl_Ventes[[#This Row],[Qté Vendue]] * IFERROR(_xlfn.XLOOKUP(tbl_Ventes[[#This Row],[Cde_Prdt]], tbl_Produits[Cde_Prdt], tbl_Produits[Prix Menu]), 0)</f>
        <v>0</v>
      </c>
      <c r="H2272" s="7">
        <f>IFERROR(_xlfn.XLOOKUP(tbl_Ventes[[#This Row],[Cde_Prdt]], tbl_Produits[Cde_Prdt], tbl_Produits[Coût Moyen Portion]), 0)</f>
        <v>0</v>
      </c>
      <c r="I2272" s="7">
        <f>tbl_Ventes[[#This Row],[Qté Vendue]] * tbl_Ventes[[#This Row],[CMP_par_portion]]</f>
        <v>0</v>
      </c>
      <c r="J2272" s="7">
        <f>tbl_Ventes[[#This Row],[CA ligne]] - tbl_Ventes[[#This Row],[Coût matière ligne]]</f>
        <v>0</v>
      </c>
      <c r="K2272" s="7" t="str">
        <f>IFERROR(INDEX(tbl_ProduitsRef[Famille], MATCH(tbl_Ventes[[#This Row],[Cde_Prdt]], tbl_Produits[Cde_Prdt], 0)), "")</f>
        <v/>
      </c>
    </row>
    <row r="2273" spans="1:11" x14ac:dyDescent="0.25">
      <c r="A2273" s="5"/>
      <c r="B2273" s="63" t="str">
        <f>IFERROR(TEXT(tbl_Ventes[[#This Row],[Date]],"mm-aaaa"),"")</f>
        <v>01-1900</v>
      </c>
      <c r="D2273" s="10" t="str">
        <f>IFERROR(
   INDEX(tbl_ProduitsRef[Cde_Prdt],MATCH(tbl_Ventes[[#This Row],[Produit]],tbl_ProduitsRef[Produit],0)),
   ""
)</f>
        <v/>
      </c>
      <c r="E2273" s="7">
        <v>0</v>
      </c>
      <c r="F2273" s="7" t="str">
        <f>IFERROR(
   INDEX(tbl_ProduitsRef[Prix Menu],MATCH(tbl_Ventes[[#This Row],[Produit]],tbl_ProduitsRef[Produit],0)),
   ""
)</f>
        <v/>
      </c>
      <c r="G2273" s="7">
        <f>tbl_Ventes[[#This Row],[Qté Vendue]] * IFERROR(_xlfn.XLOOKUP(tbl_Ventes[[#This Row],[Cde_Prdt]], tbl_Produits[Cde_Prdt], tbl_Produits[Prix Menu]), 0)</f>
        <v>0</v>
      </c>
      <c r="H2273" s="7">
        <f>IFERROR(_xlfn.XLOOKUP(tbl_Ventes[[#This Row],[Cde_Prdt]], tbl_Produits[Cde_Prdt], tbl_Produits[Coût Moyen Portion]), 0)</f>
        <v>0</v>
      </c>
      <c r="I2273" s="7">
        <f>tbl_Ventes[[#This Row],[Qté Vendue]] * tbl_Ventes[[#This Row],[CMP_par_portion]]</f>
        <v>0</v>
      </c>
      <c r="J2273" s="7">
        <f>tbl_Ventes[[#This Row],[CA ligne]] - tbl_Ventes[[#This Row],[Coût matière ligne]]</f>
        <v>0</v>
      </c>
      <c r="K2273" s="7" t="str">
        <f>IFERROR(INDEX(tbl_ProduitsRef[Famille], MATCH(tbl_Ventes[[#This Row],[Cde_Prdt]], tbl_Produits[Cde_Prdt], 0)), "")</f>
        <v/>
      </c>
    </row>
    <row r="2274" spans="1:11" x14ac:dyDescent="0.25">
      <c r="A2274" s="5"/>
      <c r="B2274" s="63" t="str">
        <f>IFERROR(TEXT(tbl_Ventes[[#This Row],[Date]],"mm-aaaa"),"")</f>
        <v>01-1900</v>
      </c>
      <c r="D2274" s="10" t="str">
        <f>IFERROR(
   INDEX(tbl_ProduitsRef[Cde_Prdt],MATCH(tbl_Ventes[[#This Row],[Produit]],tbl_ProduitsRef[Produit],0)),
   ""
)</f>
        <v/>
      </c>
      <c r="E2274" s="7">
        <v>0</v>
      </c>
      <c r="F2274" s="7" t="str">
        <f>IFERROR(
   INDEX(tbl_ProduitsRef[Prix Menu],MATCH(tbl_Ventes[[#This Row],[Produit]],tbl_ProduitsRef[Produit],0)),
   ""
)</f>
        <v/>
      </c>
      <c r="G2274" s="7">
        <f>tbl_Ventes[[#This Row],[Qté Vendue]] * IFERROR(_xlfn.XLOOKUP(tbl_Ventes[[#This Row],[Cde_Prdt]], tbl_Produits[Cde_Prdt], tbl_Produits[Prix Menu]), 0)</f>
        <v>0</v>
      </c>
      <c r="H2274" s="7">
        <f>IFERROR(_xlfn.XLOOKUP(tbl_Ventes[[#This Row],[Cde_Prdt]], tbl_Produits[Cde_Prdt], tbl_Produits[Coût Moyen Portion]), 0)</f>
        <v>0</v>
      </c>
      <c r="I2274" s="7">
        <f>tbl_Ventes[[#This Row],[Qté Vendue]] * tbl_Ventes[[#This Row],[CMP_par_portion]]</f>
        <v>0</v>
      </c>
      <c r="J2274" s="7">
        <f>tbl_Ventes[[#This Row],[CA ligne]] - tbl_Ventes[[#This Row],[Coût matière ligne]]</f>
        <v>0</v>
      </c>
      <c r="K2274" s="7" t="str">
        <f>IFERROR(INDEX(tbl_ProduitsRef[Famille], MATCH(tbl_Ventes[[#This Row],[Cde_Prdt]], tbl_Produits[Cde_Prdt], 0)), "")</f>
        <v/>
      </c>
    </row>
    <row r="2275" spans="1:11" x14ac:dyDescent="0.25">
      <c r="A2275" s="5"/>
      <c r="B2275" s="63" t="str">
        <f>IFERROR(TEXT(tbl_Ventes[[#This Row],[Date]],"mm-aaaa"),"")</f>
        <v>01-1900</v>
      </c>
      <c r="D2275" s="10" t="str">
        <f>IFERROR(
   INDEX(tbl_ProduitsRef[Cde_Prdt],MATCH(tbl_Ventes[[#This Row],[Produit]],tbl_ProduitsRef[Produit],0)),
   ""
)</f>
        <v/>
      </c>
      <c r="E2275" s="7">
        <v>0</v>
      </c>
      <c r="F2275" s="7" t="str">
        <f>IFERROR(
   INDEX(tbl_ProduitsRef[Prix Menu],MATCH(tbl_Ventes[[#This Row],[Produit]],tbl_ProduitsRef[Produit],0)),
   ""
)</f>
        <v/>
      </c>
      <c r="G2275" s="7">
        <f>tbl_Ventes[[#This Row],[Qté Vendue]] * IFERROR(_xlfn.XLOOKUP(tbl_Ventes[[#This Row],[Cde_Prdt]], tbl_Produits[Cde_Prdt], tbl_Produits[Prix Menu]), 0)</f>
        <v>0</v>
      </c>
      <c r="H2275" s="7">
        <f>IFERROR(_xlfn.XLOOKUP(tbl_Ventes[[#This Row],[Cde_Prdt]], tbl_Produits[Cde_Prdt], tbl_Produits[Coût Moyen Portion]), 0)</f>
        <v>0</v>
      </c>
      <c r="I2275" s="7">
        <f>tbl_Ventes[[#This Row],[Qté Vendue]] * tbl_Ventes[[#This Row],[CMP_par_portion]]</f>
        <v>0</v>
      </c>
      <c r="J2275" s="7">
        <f>tbl_Ventes[[#This Row],[CA ligne]] - tbl_Ventes[[#This Row],[Coût matière ligne]]</f>
        <v>0</v>
      </c>
      <c r="K2275" s="7" t="str">
        <f>IFERROR(INDEX(tbl_ProduitsRef[Famille], MATCH(tbl_Ventes[[#This Row],[Cde_Prdt]], tbl_Produits[Cde_Prdt], 0)), "")</f>
        <v/>
      </c>
    </row>
    <row r="2276" spans="1:11" x14ac:dyDescent="0.25">
      <c r="A2276" s="5"/>
      <c r="B2276" s="63" t="str">
        <f>IFERROR(TEXT(tbl_Ventes[[#This Row],[Date]],"mm-aaaa"),"")</f>
        <v>01-1900</v>
      </c>
      <c r="D2276" s="10" t="str">
        <f>IFERROR(
   INDEX(tbl_ProduitsRef[Cde_Prdt],MATCH(tbl_Ventes[[#This Row],[Produit]],tbl_ProduitsRef[Produit],0)),
   ""
)</f>
        <v/>
      </c>
      <c r="E2276" s="7">
        <v>0</v>
      </c>
      <c r="F2276" s="7" t="str">
        <f>IFERROR(
   INDEX(tbl_ProduitsRef[Prix Menu],MATCH(tbl_Ventes[[#This Row],[Produit]],tbl_ProduitsRef[Produit],0)),
   ""
)</f>
        <v/>
      </c>
      <c r="G2276" s="7">
        <f>tbl_Ventes[[#This Row],[Qté Vendue]] * IFERROR(_xlfn.XLOOKUP(tbl_Ventes[[#This Row],[Cde_Prdt]], tbl_Produits[Cde_Prdt], tbl_Produits[Prix Menu]), 0)</f>
        <v>0</v>
      </c>
      <c r="H2276" s="7">
        <f>IFERROR(_xlfn.XLOOKUP(tbl_Ventes[[#This Row],[Cde_Prdt]], tbl_Produits[Cde_Prdt], tbl_Produits[Coût Moyen Portion]), 0)</f>
        <v>0</v>
      </c>
      <c r="I2276" s="7">
        <f>tbl_Ventes[[#This Row],[Qté Vendue]] * tbl_Ventes[[#This Row],[CMP_par_portion]]</f>
        <v>0</v>
      </c>
      <c r="J2276" s="7">
        <f>tbl_Ventes[[#This Row],[CA ligne]] - tbl_Ventes[[#This Row],[Coût matière ligne]]</f>
        <v>0</v>
      </c>
      <c r="K2276" s="7" t="str">
        <f>IFERROR(INDEX(tbl_ProduitsRef[Famille], MATCH(tbl_Ventes[[#This Row],[Cde_Prdt]], tbl_Produits[Cde_Prdt], 0)), "")</f>
        <v/>
      </c>
    </row>
    <row r="2277" spans="1:11" x14ac:dyDescent="0.25">
      <c r="A2277" s="5"/>
      <c r="B2277" s="63" t="str">
        <f>IFERROR(TEXT(tbl_Ventes[[#This Row],[Date]],"mm-aaaa"),"")</f>
        <v>01-1900</v>
      </c>
      <c r="D2277" s="10" t="str">
        <f>IFERROR(
   INDEX(tbl_ProduitsRef[Cde_Prdt],MATCH(tbl_Ventes[[#This Row],[Produit]],tbl_ProduitsRef[Produit],0)),
   ""
)</f>
        <v/>
      </c>
      <c r="E2277" s="7">
        <v>0</v>
      </c>
      <c r="F2277" s="7" t="str">
        <f>IFERROR(
   INDEX(tbl_ProduitsRef[Prix Menu],MATCH(tbl_Ventes[[#This Row],[Produit]],tbl_ProduitsRef[Produit],0)),
   ""
)</f>
        <v/>
      </c>
      <c r="G2277" s="7">
        <f>tbl_Ventes[[#This Row],[Qté Vendue]] * IFERROR(_xlfn.XLOOKUP(tbl_Ventes[[#This Row],[Cde_Prdt]], tbl_Produits[Cde_Prdt], tbl_Produits[Prix Menu]), 0)</f>
        <v>0</v>
      </c>
      <c r="H2277" s="7">
        <f>IFERROR(_xlfn.XLOOKUP(tbl_Ventes[[#This Row],[Cde_Prdt]], tbl_Produits[Cde_Prdt], tbl_Produits[Coût Moyen Portion]), 0)</f>
        <v>0</v>
      </c>
      <c r="I2277" s="7">
        <f>tbl_Ventes[[#This Row],[Qté Vendue]] * tbl_Ventes[[#This Row],[CMP_par_portion]]</f>
        <v>0</v>
      </c>
      <c r="J2277" s="7">
        <f>tbl_Ventes[[#This Row],[CA ligne]] - tbl_Ventes[[#This Row],[Coût matière ligne]]</f>
        <v>0</v>
      </c>
      <c r="K2277" s="7" t="str">
        <f>IFERROR(INDEX(tbl_ProduitsRef[Famille], MATCH(tbl_Ventes[[#This Row],[Cde_Prdt]], tbl_Produits[Cde_Prdt], 0)), "")</f>
        <v/>
      </c>
    </row>
    <row r="2278" spans="1:11" x14ac:dyDescent="0.25">
      <c r="A2278" s="5"/>
      <c r="B2278" s="63" t="str">
        <f>IFERROR(TEXT(tbl_Ventes[[#This Row],[Date]],"mm-aaaa"),"")</f>
        <v>01-1900</v>
      </c>
      <c r="D2278" s="10" t="str">
        <f>IFERROR(
   INDEX(tbl_ProduitsRef[Cde_Prdt],MATCH(tbl_Ventes[[#This Row],[Produit]],tbl_ProduitsRef[Produit],0)),
   ""
)</f>
        <v/>
      </c>
      <c r="E2278" s="7">
        <v>0</v>
      </c>
      <c r="F2278" s="7" t="str">
        <f>IFERROR(
   INDEX(tbl_ProduitsRef[Prix Menu],MATCH(tbl_Ventes[[#This Row],[Produit]],tbl_ProduitsRef[Produit],0)),
   ""
)</f>
        <v/>
      </c>
      <c r="G2278" s="7">
        <f>tbl_Ventes[[#This Row],[Qté Vendue]] * IFERROR(_xlfn.XLOOKUP(tbl_Ventes[[#This Row],[Cde_Prdt]], tbl_Produits[Cde_Prdt], tbl_Produits[Prix Menu]), 0)</f>
        <v>0</v>
      </c>
      <c r="H2278" s="7">
        <f>IFERROR(_xlfn.XLOOKUP(tbl_Ventes[[#This Row],[Cde_Prdt]], tbl_Produits[Cde_Prdt], tbl_Produits[Coût Moyen Portion]), 0)</f>
        <v>0</v>
      </c>
      <c r="I2278" s="7">
        <f>tbl_Ventes[[#This Row],[Qté Vendue]] * tbl_Ventes[[#This Row],[CMP_par_portion]]</f>
        <v>0</v>
      </c>
      <c r="J2278" s="7">
        <f>tbl_Ventes[[#This Row],[CA ligne]] - tbl_Ventes[[#This Row],[Coût matière ligne]]</f>
        <v>0</v>
      </c>
      <c r="K2278" s="7" t="str">
        <f>IFERROR(INDEX(tbl_ProduitsRef[Famille], MATCH(tbl_Ventes[[#This Row],[Cde_Prdt]], tbl_Produits[Cde_Prdt], 0)), "")</f>
        <v/>
      </c>
    </row>
    <row r="2279" spans="1:11" x14ac:dyDescent="0.25">
      <c r="A2279" s="5"/>
      <c r="B2279" s="63" t="str">
        <f>IFERROR(TEXT(tbl_Ventes[[#This Row],[Date]],"mm-aaaa"),"")</f>
        <v>01-1900</v>
      </c>
      <c r="D2279" s="10" t="str">
        <f>IFERROR(
   INDEX(tbl_ProduitsRef[Cde_Prdt],MATCH(tbl_Ventes[[#This Row],[Produit]],tbl_ProduitsRef[Produit],0)),
   ""
)</f>
        <v/>
      </c>
      <c r="E2279" s="7">
        <v>0</v>
      </c>
      <c r="F2279" s="7" t="str">
        <f>IFERROR(
   INDEX(tbl_ProduitsRef[Prix Menu],MATCH(tbl_Ventes[[#This Row],[Produit]],tbl_ProduitsRef[Produit],0)),
   ""
)</f>
        <v/>
      </c>
      <c r="G2279" s="7">
        <f>tbl_Ventes[[#This Row],[Qté Vendue]] * IFERROR(_xlfn.XLOOKUP(tbl_Ventes[[#This Row],[Cde_Prdt]], tbl_Produits[Cde_Prdt], tbl_Produits[Prix Menu]), 0)</f>
        <v>0</v>
      </c>
      <c r="H2279" s="7">
        <f>IFERROR(_xlfn.XLOOKUP(tbl_Ventes[[#This Row],[Cde_Prdt]], tbl_Produits[Cde_Prdt], tbl_Produits[Coût Moyen Portion]), 0)</f>
        <v>0</v>
      </c>
      <c r="I2279" s="7">
        <f>tbl_Ventes[[#This Row],[Qté Vendue]] * tbl_Ventes[[#This Row],[CMP_par_portion]]</f>
        <v>0</v>
      </c>
      <c r="J2279" s="7">
        <f>tbl_Ventes[[#This Row],[CA ligne]] - tbl_Ventes[[#This Row],[Coût matière ligne]]</f>
        <v>0</v>
      </c>
      <c r="K2279" s="7" t="str">
        <f>IFERROR(INDEX(tbl_ProduitsRef[Famille], MATCH(tbl_Ventes[[#This Row],[Cde_Prdt]], tbl_Produits[Cde_Prdt], 0)), "")</f>
        <v/>
      </c>
    </row>
    <row r="2280" spans="1:11" x14ac:dyDescent="0.25">
      <c r="A2280" s="5"/>
      <c r="B2280" s="63" t="str">
        <f>IFERROR(TEXT(tbl_Ventes[[#This Row],[Date]],"mm-aaaa"),"")</f>
        <v>01-1900</v>
      </c>
      <c r="D2280" s="10" t="str">
        <f>IFERROR(
   INDEX(tbl_ProduitsRef[Cde_Prdt],MATCH(tbl_Ventes[[#This Row],[Produit]],tbl_ProduitsRef[Produit],0)),
   ""
)</f>
        <v/>
      </c>
      <c r="E2280" s="7">
        <v>0</v>
      </c>
      <c r="F2280" s="7" t="str">
        <f>IFERROR(
   INDEX(tbl_ProduitsRef[Prix Menu],MATCH(tbl_Ventes[[#This Row],[Produit]],tbl_ProduitsRef[Produit],0)),
   ""
)</f>
        <v/>
      </c>
      <c r="G2280" s="7">
        <f>tbl_Ventes[[#This Row],[Qté Vendue]] * IFERROR(_xlfn.XLOOKUP(tbl_Ventes[[#This Row],[Cde_Prdt]], tbl_Produits[Cde_Prdt], tbl_Produits[Prix Menu]), 0)</f>
        <v>0</v>
      </c>
      <c r="H2280" s="7">
        <f>IFERROR(_xlfn.XLOOKUP(tbl_Ventes[[#This Row],[Cde_Prdt]], tbl_Produits[Cde_Prdt], tbl_Produits[Coût Moyen Portion]), 0)</f>
        <v>0</v>
      </c>
      <c r="I2280" s="7">
        <f>tbl_Ventes[[#This Row],[Qté Vendue]] * tbl_Ventes[[#This Row],[CMP_par_portion]]</f>
        <v>0</v>
      </c>
      <c r="J2280" s="7">
        <f>tbl_Ventes[[#This Row],[CA ligne]] - tbl_Ventes[[#This Row],[Coût matière ligne]]</f>
        <v>0</v>
      </c>
      <c r="K2280" s="7" t="str">
        <f>IFERROR(INDEX(tbl_ProduitsRef[Famille], MATCH(tbl_Ventes[[#This Row],[Cde_Prdt]], tbl_Produits[Cde_Prdt], 0)), "")</f>
        <v/>
      </c>
    </row>
    <row r="2281" spans="1:11" x14ac:dyDescent="0.25">
      <c r="A2281" s="5"/>
      <c r="B2281" s="63" t="str">
        <f>IFERROR(TEXT(tbl_Ventes[[#This Row],[Date]],"mm-aaaa"),"")</f>
        <v>01-1900</v>
      </c>
      <c r="D2281" s="10" t="str">
        <f>IFERROR(
   INDEX(tbl_ProduitsRef[Cde_Prdt],MATCH(tbl_Ventes[[#This Row],[Produit]],tbl_ProduitsRef[Produit],0)),
   ""
)</f>
        <v/>
      </c>
      <c r="E2281" s="7">
        <v>0</v>
      </c>
      <c r="F2281" s="7" t="str">
        <f>IFERROR(
   INDEX(tbl_ProduitsRef[Prix Menu],MATCH(tbl_Ventes[[#This Row],[Produit]],tbl_ProduitsRef[Produit],0)),
   ""
)</f>
        <v/>
      </c>
      <c r="G2281" s="7">
        <f>tbl_Ventes[[#This Row],[Qté Vendue]] * IFERROR(_xlfn.XLOOKUP(tbl_Ventes[[#This Row],[Cde_Prdt]], tbl_Produits[Cde_Prdt], tbl_Produits[Prix Menu]), 0)</f>
        <v>0</v>
      </c>
      <c r="H2281" s="7">
        <f>IFERROR(_xlfn.XLOOKUP(tbl_Ventes[[#This Row],[Cde_Prdt]], tbl_Produits[Cde_Prdt], tbl_Produits[Coût Moyen Portion]), 0)</f>
        <v>0</v>
      </c>
      <c r="I2281" s="7">
        <f>tbl_Ventes[[#This Row],[Qté Vendue]] * tbl_Ventes[[#This Row],[CMP_par_portion]]</f>
        <v>0</v>
      </c>
      <c r="J2281" s="7">
        <f>tbl_Ventes[[#This Row],[CA ligne]] - tbl_Ventes[[#This Row],[Coût matière ligne]]</f>
        <v>0</v>
      </c>
      <c r="K2281" s="7" t="str">
        <f>IFERROR(INDEX(tbl_ProduitsRef[Famille], MATCH(tbl_Ventes[[#This Row],[Cde_Prdt]], tbl_Produits[Cde_Prdt], 0)), "")</f>
        <v/>
      </c>
    </row>
    <row r="2282" spans="1:11" x14ac:dyDescent="0.25">
      <c r="A2282" s="5"/>
      <c r="B2282" s="63" t="str">
        <f>IFERROR(TEXT(tbl_Ventes[[#This Row],[Date]],"mm-aaaa"),"")</f>
        <v>01-1900</v>
      </c>
      <c r="D2282" s="10" t="str">
        <f>IFERROR(
   INDEX(tbl_ProduitsRef[Cde_Prdt],MATCH(tbl_Ventes[[#This Row],[Produit]],tbl_ProduitsRef[Produit],0)),
   ""
)</f>
        <v/>
      </c>
      <c r="E2282" s="7">
        <v>0</v>
      </c>
      <c r="F2282" s="7" t="str">
        <f>IFERROR(
   INDEX(tbl_ProduitsRef[Prix Menu],MATCH(tbl_Ventes[[#This Row],[Produit]],tbl_ProduitsRef[Produit],0)),
   ""
)</f>
        <v/>
      </c>
      <c r="G2282" s="7">
        <f>tbl_Ventes[[#This Row],[Qté Vendue]] * IFERROR(_xlfn.XLOOKUP(tbl_Ventes[[#This Row],[Cde_Prdt]], tbl_Produits[Cde_Prdt], tbl_Produits[Prix Menu]), 0)</f>
        <v>0</v>
      </c>
      <c r="H2282" s="7">
        <f>IFERROR(_xlfn.XLOOKUP(tbl_Ventes[[#This Row],[Cde_Prdt]], tbl_Produits[Cde_Prdt], tbl_Produits[Coût Moyen Portion]), 0)</f>
        <v>0</v>
      </c>
      <c r="I2282" s="7">
        <f>tbl_Ventes[[#This Row],[Qté Vendue]] * tbl_Ventes[[#This Row],[CMP_par_portion]]</f>
        <v>0</v>
      </c>
      <c r="J2282" s="7">
        <f>tbl_Ventes[[#This Row],[CA ligne]] - tbl_Ventes[[#This Row],[Coût matière ligne]]</f>
        <v>0</v>
      </c>
      <c r="K2282" s="7" t="str">
        <f>IFERROR(INDEX(tbl_ProduitsRef[Famille], MATCH(tbl_Ventes[[#This Row],[Cde_Prdt]], tbl_Produits[Cde_Prdt], 0)), "")</f>
        <v/>
      </c>
    </row>
    <row r="2283" spans="1:11" x14ac:dyDescent="0.25">
      <c r="A2283" s="5"/>
      <c r="B2283" s="63" t="str">
        <f>IFERROR(TEXT(tbl_Ventes[[#This Row],[Date]],"mm-aaaa"),"")</f>
        <v>01-1900</v>
      </c>
      <c r="D2283" s="10" t="str">
        <f>IFERROR(
   INDEX(tbl_ProduitsRef[Cde_Prdt],MATCH(tbl_Ventes[[#This Row],[Produit]],tbl_ProduitsRef[Produit],0)),
   ""
)</f>
        <v/>
      </c>
      <c r="E2283" s="7">
        <v>0</v>
      </c>
      <c r="F2283" s="7" t="str">
        <f>IFERROR(
   INDEX(tbl_ProduitsRef[Prix Menu],MATCH(tbl_Ventes[[#This Row],[Produit]],tbl_ProduitsRef[Produit],0)),
   ""
)</f>
        <v/>
      </c>
      <c r="G2283" s="7">
        <f>tbl_Ventes[[#This Row],[Qté Vendue]] * IFERROR(_xlfn.XLOOKUP(tbl_Ventes[[#This Row],[Cde_Prdt]], tbl_Produits[Cde_Prdt], tbl_Produits[Prix Menu]), 0)</f>
        <v>0</v>
      </c>
      <c r="H2283" s="7">
        <f>IFERROR(_xlfn.XLOOKUP(tbl_Ventes[[#This Row],[Cde_Prdt]], tbl_Produits[Cde_Prdt], tbl_Produits[Coût Moyen Portion]), 0)</f>
        <v>0</v>
      </c>
      <c r="I2283" s="7">
        <f>tbl_Ventes[[#This Row],[Qté Vendue]] * tbl_Ventes[[#This Row],[CMP_par_portion]]</f>
        <v>0</v>
      </c>
      <c r="J2283" s="7">
        <f>tbl_Ventes[[#This Row],[CA ligne]] - tbl_Ventes[[#This Row],[Coût matière ligne]]</f>
        <v>0</v>
      </c>
      <c r="K2283" s="7" t="str">
        <f>IFERROR(INDEX(tbl_ProduitsRef[Famille], MATCH(tbl_Ventes[[#This Row],[Cde_Prdt]], tbl_Produits[Cde_Prdt], 0)), "")</f>
        <v/>
      </c>
    </row>
    <row r="2284" spans="1:11" x14ac:dyDescent="0.25">
      <c r="A2284" s="5"/>
      <c r="B2284" s="63" t="str">
        <f>IFERROR(TEXT(tbl_Ventes[[#This Row],[Date]],"mm-aaaa"),"")</f>
        <v>01-1900</v>
      </c>
      <c r="D2284" s="10" t="str">
        <f>IFERROR(
   INDEX(tbl_ProduitsRef[Cde_Prdt],MATCH(tbl_Ventes[[#This Row],[Produit]],tbl_ProduitsRef[Produit],0)),
   ""
)</f>
        <v/>
      </c>
      <c r="E2284" s="7">
        <v>0</v>
      </c>
      <c r="F2284" s="7" t="str">
        <f>IFERROR(
   INDEX(tbl_ProduitsRef[Prix Menu],MATCH(tbl_Ventes[[#This Row],[Produit]],tbl_ProduitsRef[Produit],0)),
   ""
)</f>
        <v/>
      </c>
      <c r="G2284" s="7">
        <f>tbl_Ventes[[#This Row],[Qté Vendue]] * IFERROR(_xlfn.XLOOKUP(tbl_Ventes[[#This Row],[Cde_Prdt]], tbl_Produits[Cde_Prdt], tbl_Produits[Prix Menu]), 0)</f>
        <v>0</v>
      </c>
      <c r="H2284" s="7">
        <f>IFERROR(_xlfn.XLOOKUP(tbl_Ventes[[#This Row],[Cde_Prdt]], tbl_Produits[Cde_Prdt], tbl_Produits[Coût Moyen Portion]), 0)</f>
        <v>0</v>
      </c>
      <c r="I2284" s="7">
        <f>tbl_Ventes[[#This Row],[Qté Vendue]] * tbl_Ventes[[#This Row],[CMP_par_portion]]</f>
        <v>0</v>
      </c>
      <c r="J2284" s="7">
        <f>tbl_Ventes[[#This Row],[CA ligne]] - tbl_Ventes[[#This Row],[Coût matière ligne]]</f>
        <v>0</v>
      </c>
      <c r="K2284" s="7" t="str">
        <f>IFERROR(INDEX(tbl_ProduitsRef[Famille], MATCH(tbl_Ventes[[#This Row],[Cde_Prdt]], tbl_Produits[Cde_Prdt], 0)), "")</f>
        <v/>
      </c>
    </row>
    <row r="2285" spans="1:11" x14ac:dyDescent="0.25">
      <c r="A2285" s="5"/>
      <c r="B2285" s="63" t="str">
        <f>IFERROR(TEXT(tbl_Ventes[[#This Row],[Date]],"mm-aaaa"),"")</f>
        <v>01-1900</v>
      </c>
      <c r="D2285" s="10" t="str">
        <f>IFERROR(
   INDEX(tbl_ProduitsRef[Cde_Prdt],MATCH(tbl_Ventes[[#This Row],[Produit]],tbl_ProduitsRef[Produit],0)),
   ""
)</f>
        <v/>
      </c>
      <c r="E2285" s="7">
        <v>0</v>
      </c>
      <c r="F2285" s="7" t="str">
        <f>IFERROR(
   INDEX(tbl_ProduitsRef[Prix Menu],MATCH(tbl_Ventes[[#This Row],[Produit]],tbl_ProduitsRef[Produit],0)),
   ""
)</f>
        <v/>
      </c>
      <c r="G2285" s="7">
        <f>tbl_Ventes[[#This Row],[Qté Vendue]] * IFERROR(_xlfn.XLOOKUP(tbl_Ventes[[#This Row],[Cde_Prdt]], tbl_Produits[Cde_Prdt], tbl_Produits[Prix Menu]), 0)</f>
        <v>0</v>
      </c>
      <c r="H2285" s="7">
        <f>IFERROR(_xlfn.XLOOKUP(tbl_Ventes[[#This Row],[Cde_Prdt]], tbl_Produits[Cde_Prdt], tbl_Produits[Coût Moyen Portion]), 0)</f>
        <v>0</v>
      </c>
      <c r="I2285" s="7">
        <f>tbl_Ventes[[#This Row],[Qté Vendue]] * tbl_Ventes[[#This Row],[CMP_par_portion]]</f>
        <v>0</v>
      </c>
      <c r="J2285" s="7">
        <f>tbl_Ventes[[#This Row],[CA ligne]] - tbl_Ventes[[#This Row],[Coût matière ligne]]</f>
        <v>0</v>
      </c>
      <c r="K2285" s="7" t="str">
        <f>IFERROR(INDEX(tbl_ProduitsRef[Famille], MATCH(tbl_Ventes[[#This Row],[Cde_Prdt]], tbl_Produits[Cde_Prdt], 0)), "")</f>
        <v/>
      </c>
    </row>
    <row r="2286" spans="1:11" x14ac:dyDescent="0.25">
      <c r="A2286" s="5"/>
      <c r="B2286" s="63" t="str">
        <f>IFERROR(TEXT(tbl_Ventes[[#This Row],[Date]],"mm-aaaa"),"")</f>
        <v>01-1900</v>
      </c>
      <c r="D2286" s="10" t="str">
        <f>IFERROR(
   INDEX(tbl_ProduitsRef[Cde_Prdt],MATCH(tbl_Ventes[[#This Row],[Produit]],tbl_ProduitsRef[Produit],0)),
   ""
)</f>
        <v/>
      </c>
      <c r="E2286" s="7">
        <v>0</v>
      </c>
      <c r="F2286" s="7" t="str">
        <f>IFERROR(
   INDEX(tbl_ProduitsRef[Prix Menu],MATCH(tbl_Ventes[[#This Row],[Produit]],tbl_ProduitsRef[Produit],0)),
   ""
)</f>
        <v/>
      </c>
      <c r="G2286" s="7">
        <f>tbl_Ventes[[#This Row],[Qté Vendue]] * IFERROR(_xlfn.XLOOKUP(tbl_Ventes[[#This Row],[Cde_Prdt]], tbl_Produits[Cde_Prdt], tbl_Produits[Prix Menu]), 0)</f>
        <v>0</v>
      </c>
      <c r="H2286" s="7">
        <f>IFERROR(_xlfn.XLOOKUP(tbl_Ventes[[#This Row],[Cde_Prdt]], tbl_Produits[Cde_Prdt], tbl_Produits[Coût Moyen Portion]), 0)</f>
        <v>0</v>
      </c>
      <c r="I2286" s="7">
        <f>tbl_Ventes[[#This Row],[Qté Vendue]] * tbl_Ventes[[#This Row],[CMP_par_portion]]</f>
        <v>0</v>
      </c>
      <c r="J2286" s="7">
        <f>tbl_Ventes[[#This Row],[CA ligne]] - tbl_Ventes[[#This Row],[Coût matière ligne]]</f>
        <v>0</v>
      </c>
      <c r="K2286" s="7" t="str">
        <f>IFERROR(INDEX(tbl_ProduitsRef[Famille], MATCH(tbl_Ventes[[#This Row],[Cde_Prdt]], tbl_Produits[Cde_Prdt], 0)), "")</f>
        <v/>
      </c>
    </row>
    <row r="2287" spans="1:11" x14ac:dyDescent="0.25">
      <c r="A2287" s="5"/>
      <c r="B2287" s="63" t="str">
        <f>IFERROR(TEXT(tbl_Ventes[[#This Row],[Date]],"mm-aaaa"),"")</f>
        <v>01-1900</v>
      </c>
      <c r="D2287" s="10" t="str">
        <f>IFERROR(
   INDEX(tbl_ProduitsRef[Cde_Prdt],MATCH(tbl_Ventes[[#This Row],[Produit]],tbl_ProduitsRef[Produit],0)),
   ""
)</f>
        <v/>
      </c>
      <c r="E2287" s="7">
        <v>0</v>
      </c>
      <c r="F2287" s="7" t="str">
        <f>IFERROR(
   INDEX(tbl_ProduitsRef[Prix Menu],MATCH(tbl_Ventes[[#This Row],[Produit]],tbl_ProduitsRef[Produit],0)),
   ""
)</f>
        <v/>
      </c>
      <c r="G2287" s="7">
        <f>tbl_Ventes[[#This Row],[Qté Vendue]] * IFERROR(_xlfn.XLOOKUP(tbl_Ventes[[#This Row],[Cde_Prdt]], tbl_Produits[Cde_Prdt], tbl_Produits[Prix Menu]), 0)</f>
        <v>0</v>
      </c>
      <c r="H2287" s="7">
        <f>IFERROR(_xlfn.XLOOKUP(tbl_Ventes[[#This Row],[Cde_Prdt]], tbl_Produits[Cde_Prdt], tbl_Produits[Coût Moyen Portion]), 0)</f>
        <v>0</v>
      </c>
      <c r="I2287" s="7">
        <f>tbl_Ventes[[#This Row],[Qté Vendue]] * tbl_Ventes[[#This Row],[CMP_par_portion]]</f>
        <v>0</v>
      </c>
      <c r="J2287" s="7">
        <f>tbl_Ventes[[#This Row],[CA ligne]] - tbl_Ventes[[#This Row],[Coût matière ligne]]</f>
        <v>0</v>
      </c>
      <c r="K2287" s="7" t="str">
        <f>IFERROR(INDEX(tbl_ProduitsRef[Famille], MATCH(tbl_Ventes[[#This Row],[Cde_Prdt]], tbl_Produits[Cde_Prdt], 0)), "")</f>
        <v/>
      </c>
    </row>
    <row r="2288" spans="1:11" x14ac:dyDescent="0.25">
      <c r="A2288" s="5"/>
      <c r="B2288" s="63" t="str">
        <f>IFERROR(TEXT(tbl_Ventes[[#This Row],[Date]],"mm-aaaa"),"")</f>
        <v>01-1900</v>
      </c>
      <c r="D2288" s="10" t="str">
        <f>IFERROR(
   INDEX(tbl_ProduitsRef[Cde_Prdt],MATCH(tbl_Ventes[[#This Row],[Produit]],tbl_ProduitsRef[Produit],0)),
   ""
)</f>
        <v/>
      </c>
      <c r="E2288" s="7">
        <v>0</v>
      </c>
      <c r="F2288" s="7" t="str">
        <f>IFERROR(
   INDEX(tbl_ProduitsRef[Prix Menu],MATCH(tbl_Ventes[[#This Row],[Produit]],tbl_ProduitsRef[Produit],0)),
   ""
)</f>
        <v/>
      </c>
      <c r="G2288" s="7">
        <f>tbl_Ventes[[#This Row],[Qté Vendue]] * IFERROR(_xlfn.XLOOKUP(tbl_Ventes[[#This Row],[Cde_Prdt]], tbl_Produits[Cde_Prdt], tbl_Produits[Prix Menu]), 0)</f>
        <v>0</v>
      </c>
      <c r="H2288" s="7">
        <f>IFERROR(_xlfn.XLOOKUP(tbl_Ventes[[#This Row],[Cde_Prdt]], tbl_Produits[Cde_Prdt], tbl_Produits[Coût Moyen Portion]), 0)</f>
        <v>0</v>
      </c>
      <c r="I2288" s="7">
        <f>tbl_Ventes[[#This Row],[Qté Vendue]] * tbl_Ventes[[#This Row],[CMP_par_portion]]</f>
        <v>0</v>
      </c>
      <c r="J2288" s="7">
        <f>tbl_Ventes[[#This Row],[CA ligne]] - tbl_Ventes[[#This Row],[Coût matière ligne]]</f>
        <v>0</v>
      </c>
      <c r="K2288" s="7" t="str">
        <f>IFERROR(INDEX(tbl_ProduitsRef[Famille], MATCH(tbl_Ventes[[#This Row],[Cde_Prdt]], tbl_Produits[Cde_Prdt], 0)), "")</f>
        <v/>
      </c>
    </row>
    <row r="2289" spans="1:11" x14ac:dyDescent="0.25">
      <c r="A2289" s="5"/>
      <c r="B2289" s="63" t="str">
        <f>IFERROR(TEXT(tbl_Ventes[[#This Row],[Date]],"mm-aaaa"),"")</f>
        <v>01-1900</v>
      </c>
      <c r="D2289" s="10" t="str">
        <f>IFERROR(
   INDEX(tbl_ProduitsRef[Cde_Prdt],MATCH(tbl_Ventes[[#This Row],[Produit]],tbl_ProduitsRef[Produit],0)),
   ""
)</f>
        <v/>
      </c>
      <c r="E2289" s="7">
        <v>0</v>
      </c>
      <c r="F2289" s="7" t="str">
        <f>IFERROR(
   INDEX(tbl_ProduitsRef[Prix Menu],MATCH(tbl_Ventes[[#This Row],[Produit]],tbl_ProduitsRef[Produit],0)),
   ""
)</f>
        <v/>
      </c>
      <c r="G2289" s="7">
        <f>tbl_Ventes[[#This Row],[Qté Vendue]] * IFERROR(_xlfn.XLOOKUP(tbl_Ventes[[#This Row],[Cde_Prdt]], tbl_Produits[Cde_Prdt], tbl_Produits[Prix Menu]), 0)</f>
        <v>0</v>
      </c>
      <c r="H2289" s="7">
        <f>IFERROR(_xlfn.XLOOKUP(tbl_Ventes[[#This Row],[Cde_Prdt]], tbl_Produits[Cde_Prdt], tbl_Produits[Coût Moyen Portion]), 0)</f>
        <v>0</v>
      </c>
      <c r="I2289" s="7">
        <f>tbl_Ventes[[#This Row],[Qté Vendue]] * tbl_Ventes[[#This Row],[CMP_par_portion]]</f>
        <v>0</v>
      </c>
      <c r="J2289" s="7">
        <f>tbl_Ventes[[#This Row],[CA ligne]] - tbl_Ventes[[#This Row],[Coût matière ligne]]</f>
        <v>0</v>
      </c>
      <c r="K2289" s="7" t="str">
        <f>IFERROR(INDEX(tbl_ProduitsRef[Famille], MATCH(tbl_Ventes[[#This Row],[Cde_Prdt]], tbl_Produits[Cde_Prdt], 0)), "")</f>
        <v/>
      </c>
    </row>
    <row r="2290" spans="1:11" x14ac:dyDescent="0.25">
      <c r="A2290" s="5"/>
      <c r="B2290" s="63" t="str">
        <f>IFERROR(TEXT(tbl_Ventes[[#This Row],[Date]],"mm-aaaa"),"")</f>
        <v>01-1900</v>
      </c>
      <c r="D2290" s="10" t="str">
        <f>IFERROR(
   INDEX(tbl_ProduitsRef[Cde_Prdt],MATCH(tbl_Ventes[[#This Row],[Produit]],tbl_ProduitsRef[Produit],0)),
   ""
)</f>
        <v/>
      </c>
      <c r="E2290" s="7">
        <v>0</v>
      </c>
      <c r="F2290" s="7" t="str">
        <f>IFERROR(
   INDEX(tbl_ProduitsRef[Prix Menu],MATCH(tbl_Ventes[[#This Row],[Produit]],tbl_ProduitsRef[Produit],0)),
   ""
)</f>
        <v/>
      </c>
      <c r="G2290" s="7">
        <f>tbl_Ventes[[#This Row],[Qté Vendue]] * IFERROR(_xlfn.XLOOKUP(tbl_Ventes[[#This Row],[Cde_Prdt]], tbl_Produits[Cde_Prdt], tbl_Produits[Prix Menu]), 0)</f>
        <v>0</v>
      </c>
      <c r="H2290" s="7">
        <f>IFERROR(_xlfn.XLOOKUP(tbl_Ventes[[#This Row],[Cde_Prdt]], tbl_Produits[Cde_Prdt], tbl_Produits[Coût Moyen Portion]), 0)</f>
        <v>0</v>
      </c>
      <c r="I2290" s="7">
        <f>tbl_Ventes[[#This Row],[Qté Vendue]] * tbl_Ventes[[#This Row],[CMP_par_portion]]</f>
        <v>0</v>
      </c>
      <c r="J2290" s="7">
        <f>tbl_Ventes[[#This Row],[CA ligne]] - tbl_Ventes[[#This Row],[Coût matière ligne]]</f>
        <v>0</v>
      </c>
      <c r="K2290" s="7" t="str">
        <f>IFERROR(INDEX(tbl_ProduitsRef[Famille], MATCH(tbl_Ventes[[#This Row],[Cde_Prdt]], tbl_Produits[Cde_Prdt], 0)), "")</f>
        <v/>
      </c>
    </row>
    <row r="2291" spans="1:11" x14ac:dyDescent="0.25">
      <c r="A2291" s="5"/>
      <c r="B2291" s="63" t="str">
        <f>IFERROR(TEXT(tbl_Ventes[[#This Row],[Date]],"mm-aaaa"),"")</f>
        <v>01-1900</v>
      </c>
      <c r="D2291" s="10" t="str">
        <f>IFERROR(
   INDEX(tbl_ProduitsRef[Cde_Prdt],MATCH(tbl_Ventes[[#This Row],[Produit]],tbl_ProduitsRef[Produit],0)),
   ""
)</f>
        <v/>
      </c>
      <c r="E2291" s="7">
        <v>0</v>
      </c>
      <c r="F2291" s="7" t="str">
        <f>IFERROR(
   INDEX(tbl_ProduitsRef[Prix Menu],MATCH(tbl_Ventes[[#This Row],[Produit]],tbl_ProduitsRef[Produit],0)),
   ""
)</f>
        <v/>
      </c>
      <c r="G2291" s="7">
        <f>tbl_Ventes[[#This Row],[Qté Vendue]] * IFERROR(_xlfn.XLOOKUP(tbl_Ventes[[#This Row],[Cde_Prdt]], tbl_Produits[Cde_Prdt], tbl_Produits[Prix Menu]), 0)</f>
        <v>0</v>
      </c>
      <c r="H2291" s="7">
        <f>IFERROR(_xlfn.XLOOKUP(tbl_Ventes[[#This Row],[Cde_Prdt]], tbl_Produits[Cde_Prdt], tbl_Produits[Coût Moyen Portion]), 0)</f>
        <v>0</v>
      </c>
      <c r="I2291" s="7">
        <f>tbl_Ventes[[#This Row],[Qté Vendue]] * tbl_Ventes[[#This Row],[CMP_par_portion]]</f>
        <v>0</v>
      </c>
      <c r="J2291" s="7">
        <f>tbl_Ventes[[#This Row],[CA ligne]] - tbl_Ventes[[#This Row],[Coût matière ligne]]</f>
        <v>0</v>
      </c>
      <c r="K2291" s="7" t="str">
        <f>IFERROR(INDEX(tbl_ProduitsRef[Famille], MATCH(tbl_Ventes[[#This Row],[Cde_Prdt]], tbl_Produits[Cde_Prdt], 0)), "")</f>
        <v/>
      </c>
    </row>
    <row r="2292" spans="1:11" x14ac:dyDescent="0.25">
      <c r="A2292" s="5"/>
      <c r="B2292" s="63" t="str">
        <f>IFERROR(TEXT(tbl_Ventes[[#This Row],[Date]],"mm-aaaa"),"")</f>
        <v>01-1900</v>
      </c>
      <c r="D2292" s="10" t="str">
        <f>IFERROR(
   INDEX(tbl_ProduitsRef[Cde_Prdt],MATCH(tbl_Ventes[[#This Row],[Produit]],tbl_ProduitsRef[Produit],0)),
   ""
)</f>
        <v/>
      </c>
      <c r="E2292" s="7">
        <v>0</v>
      </c>
      <c r="F2292" s="7" t="str">
        <f>IFERROR(
   INDEX(tbl_ProduitsRef[Prix Menu],MATCH(tbl_Ventes[[#This Row],[Produit]],tbl_ProduitsRef[Produit],0)),
   ""
)</f>
        <v/>
      </c>
      <c r="G2292" s="7">
        <f>tbl_Ventes[[#This Row],[Qté Vendue]] * IFERROR(_xlfn.XLOOKUP(tbl_Ventes[[#This Row],[Cde_Prdt]], tbl_Produits[Cde_Prdt], tbl_Produits[Prix Menu]), 0)</f>
        <v>0</v>
      </c>
      <c r="H2292" s="7">
        <f>IFERROR(_xlfn.XLOOKUP(tbl_Ventes[[#This Row],[Cde_Prdt]], tbl_Produits[Cde_Prdt], tbl_Produits[Coût Moyen Portion]), 0)</f>
        <v>0</v>
      </c>
      <c r="I2292" s="7">
        <f>tbl_Ventes[[#This Row],[Qté Vendue]] * tbl_Ventes[[#This Row],[CMP_par_portion]]</f>
        <v>0</v>
      </c>
      <c r="J2292" s="7">
        <f>tbl_Ventes[[#This Row],[CA ligne]] - tbl_Ventes[[#This Row],[Coût matière ligne]]</f>
        <v>0</v>
      </c>
      <c r="K2292" s="7" t="str">
        <f>IFERROR(INDEX(tbl_ProduitsRef[Famille], MATCH(tbl_Ventes[[#This Row],[Cde_Prdt]], tbl_Produits[Cde_Prdt], 0)), "")</f>
        <v/>
      </c>
    </row>
    <row r="2293" spans="1:11" x14ac:dyDescent="0.25">
      <c r="A2293" s="5"/>
      <c r="B2293" s="63" t="str">
        <f>IFERROR(TEXT(tbl_Ventes[[#This Row],[Date]],"mm-aaaa"),"")</f>
        <v>01-1900</v>
      </c>
      <c r="D2293" s="10" t="str">
        <f>IFERROR(
   INDEX(tbl_ProduitsRef[Cde_Prdt],MATCH(tbl_Ventes[[#This Row],[Produit]],tbl_ProduitsRef[Produit],0)),
   ""
)</f>
        <v/>
      </c>
      <c r="E2293" s="7">
        <v>0</v>
      </c>
      <c r="F2293" s="7" t="str">
        <f>IFERROR(
   INDEX(tbl_ProduitsRef[Prix Menu],MATCH(tbl_Ventes[[#This Row],[Produit]],tbl_ProduitsRef[Produit],0)),
   ""
)</f>
        <v/>
      </c>
      <c r="G2293" s="7">
        <f>tbl_Ventes[[#This Row],[Qté Vendue]] * IFERROR(_xlfn.XLOOKUP(tbl_Ventes[[#This Row],[Cde_Prdt]], tbl_Produits[Cde_Prdt], tbl_Produits[Prix Menu]), 0)</f>
        <v>0</v>
      </c>
      <c r="H2293" s="7">
        <f>IFERROR(_xlfn.XLOOKUP(tbl_Ventes[[#This Row],[Cde_Prdt]], tbl_Produits[Cde_Prdt], tbl_Produits[Coût Moyen Portion]), 0)</f>
        <v>0</v>
      </c>
      <c r="I2293" s="7">
        <f>tbl_Ventes[[#This Row],[Qté Vendue]] * tbl_Ventes[[#This Row],[CMP_par_portion]]</f>
        <v>0</v>
      </c>
      <c r="J2293" s="7">
        <f>tbl_Ventes[[#This Row],[CA ligne]] - tbl_Ventes[[#This Row],[Coût matière ligne]]</f>
        <v>0</v>
      </c>
      <c r="K2293" s="7" t="str">
        <f>IFERROR(INDEX(tbl_ProduitsRef[Famille], MATCH(tbl_Ventes[[#This Row],[Cde_Prdt]], tbl_Produits[Cde_Prdt], 0)), "")</f>
        <v/>
      </c>
    </row>
    <row r="2294" spans="1:11" x14ac:dyDescent="0.25">
      <c r="A2294" s="5"/>
      <c r="B2294" s="63" t="str">
        <f>IFERROR(TEXT(tbl_Ventes[[#This Row],[Date]],"mm-aaaa"),"")</f>
        <v>01-1900</v>
      </c>
      <c r="D2294" s="10" t="str">
        <f>IFERROR(
   INDEX(tbl_ProduitsRef[Cde_Prdt],MATCH(tbl_Ventes[[#This Row],[Produit]],tbl_ProduitsRef[Produit],0)),
   ""
)</f>
        <v/>
      </c>
      <c r="E2294" s="7">
        <v>0</v>
      </c>
      <c r="F2294" s="7" t="str">
        <f>IFERROR(
   INDEX(tbl_ProduitsRef[Prix Menu],MATCH(tbl_Ventes[[#This Row],[Produit]],tbl_ProduitsRef[Produit],0)),
   ""
)</f>
        <v/>
      </c>
      <c r="G2294" s="7">
        <f>tbl_Ventes[[#This Row],[Qté Vendue]] * IFERROR(_xlfn.XLOOKUP(tbl_Ventes[[#This Row],[Cde_Prdt]], tbl_Produits[Cde_Prdt], tbl_Produits[Prix Menu]), 0)</f>
        <v>0</v>
      </c>
      <c r="H2294" s="7">
        <f>IFERROR(_xlfn.XLOOKUP(tbl_Ventes[[#This Row],[Cde_Prdt]], tbl_Produits[Cde_Prdt], tbl_Produits[Coût Moyen Portion]), 0)</f>
        <v>0</v>
      </c>
      <c r="I2294" s="7">
        <f>tbl_Ventes[[#This Row],[Qté Vendue]] * tbl_Ventes[[#This Row],[CMP_par_portion]]</f>
        <v>0</v>
      </c>
      <c r="J2294" s="7">
        <f>tbl_Ventes[[#This Row],[CA ligne]] - tbl_Ventes[[#This Row],[Coût matière ligne]]</f>
        <v>0</v>
      </c>
      <c r="K2294" s="7" t="str">
        <f>IFERROR(INDEX(tbl_ProduitsRef[Famille], MATCH(tbl_Ventes[[#This Row],[Cde_Prdt]], tbl_Produits[Cde_Prdt], 0)), "")</f>
        <v/>
      </c>
    </row>
    <row r="2295" spans="1:11" x14ac:dyDescent="0.25">
      <c r="A2295" s="5"/>
      <c r="B2295" s="63" t="str">
        <f>IFERROR(TEXT(tbl_Ventes[[#This Row],[Date]],"mm-aaaa"),"")</f>
        <v>01-1900</v>
      </c>
      <c r="D2295" s="10" t="str">
        <f>IFERROR(
   INDEX(tbl_ProduitsRef[Cde_Prdt],MATCH(tbl_Ventes[[#This Row],[Produit]],tbl_ProduitsRef[Produit],0)),
   ""
)</f>
        <v/>
      </c>
      <c r="E2295" s="7">
        <v>0</v>
      </c>
      <c r="F2295" s="7" t="str">
        <f>IFERROR(
   INDEX(tbl_ProduitsRef[Prix Menu],MATCH(tbl_Ventes[[#This Row],[Produit]],tbl_ProduitsRef[Produit],0)),
   ""
)</f>
        <v/>
      </c>
      <c r="G2295" s="7">
        <f>tbl_Ventes[[#This Row],[Qté Vendue]] * IFERROR(_xlfn.XLOOKUP(tbl_Ventes[[#This Row],[Cde_Prdt]], tbl_Produits[Cde_Prdt], tbl_Produits[Prix Menu]), 0)</f>
        <v>0</v>
      </c>
      <c r="H2295" s="7">
        <f>IFERROR(_xlfn.XLOOKUP(tbl_Ventes[[#This Row],[Cde_Prdt]], tbl_Produits[Cde_Prdt], tbl_Produits[Coût Moyen Portion]), 0)</f>
        <v>0</v>
      </c>
      <c r="I2295" s="7">
        <f>tbl_Ventes[[#This Row],[Qté Vendue]] * tbl_Ventes[[#This Row],[CMP_par_portion]]</f>
        <v>0</v>
      </c>
      <c r="J2295" s="7">
        <f>tbl_Ventes[[#This Row],[CA ligne]] - tbl_Ventes[[#This Row],[Coût matière ligne]]</f>
        <v>0</v>
      </c>
      <c r="K2295" s="7" t="str">
        <f>IFERROR(INDEX(tbl_ProduitsRef[Famille], MATCH(tbl_Ventes[[#This Row],[Cde_Prdt]], tbl_Produits[Cde_Prdt], 0)), "")</f>
        <v/>
      </c>
    </row>
    <row r="2296" spans="1:11" x14ac:dyDescent="0.25">
      <c r="A2296" s="5"/>
      <c r="B2296" s="63" t="str">
        <f>IFERROR(TEXT(tbl_Ventes[[#This Row],[Date]],"mm-aaaa"),"")</f>
        <v>01-1900</v>
      </c>
      <c r="D2296" s="10" t="str">
        <f>IFERROR(
   INDEX(tbl_ProduitsRef[Cde_Prdt],MATCH(tbl_Ventes[[#This Row],[Produit]],tbl_ProduitsRef[Produit],0)),
   ""
)</f>
        <v/>
      </c>
      <c r="E2296" s="7">
        <v>0</v>
      </c>
      <c r="F2296" s="7" t="str">
        <f>IFERROR(
   INDEX(tbl_ProduitsRef[Prix Menu],MATCH(tbl_Ventes[[#This Row],[Produit]],tbl_ProduitsRef[Produit],0)),
   ""
)</f>
        <v/>
      </c>
      <c r="G2296" s="7">
        <f>tbl_Ventes[[#This Row],[Qté Vendue]] * IFERROR(_xlfn.XLOOKUP(tbl_Ventes[[#This Row],[Cde_Prdt]], tbl_Produits[Cde_Prdt], tbl_Produits[Prix Menu]), 0)</f>
        <v>0</v>
      </c>
      <c r="H2296" s="7">
        <f>IFERROR(_xlfn.XLOOKUP(tbl_Ventes[[#This Row],[Cde_Prdt]], tbl_Produits[Cde_Prdt], tbl_Produits[Coût Moyen Portion]), 0)</f>
        <v>0</v>
      </c>
      <c r="I2296" s="7">
        <f>tbl_Ventes[[#This Row],[Qté Vendue]] * tbl_Ventes[[#This Row],[CMP_par_portion]]</f>
        <v>0</v>
      </c>
      <c r="J2296" s="7">
        <f>tbl_Ventes[[#This Row],[CA ligne]] - tbl_Ventes[[#This Row],[Coût matière ligne]]</f>
        <v>0</v>
      </c>
      <c r="K2296" s="7" t="str">
        <f>IFERROR(INDEX(tbl_ProduitsRef[Famille], MATCH(tbl_Ventes[[#This Row],[Cde_Prdt]], tbl_Produits[Cde_Prdt], 0)), "")</f>
        <v/>
      </c>
    </row>
    <row r="2297" spans="1:11" x14ac:dyDescent="0.25">
      <c r="A2297" s="5"/>
      <c r="B2297" s="63" t="str">
        <f>IFERROR(TEXT(tbl_Ventes[[#This Row],[Date]],"mm-aaaa"),"")</f>
        <v>01-1900</v>
      </c>
      <c r="D2297" s="10" t="str">
        <f>IFERROR(
   INDEX(tbl_ProduitsRef[Cde_Prdt],MATCH(tbl_Ventes[[#This Row],[Produit]],tbl_ProduitsRef[Produit],0)),
   ""
)</f>
        <v/>
      </c>
      <c r="E2297" s="7">
        <v>0</v>
      </c>
      <c r="F2297" s="7" t="str">
        <f>IFERROR(
   INDEX(tbl_ProduitsRef[Prix Menu],MATCH(tbl_Ventes[[#This Row],[Produit]],tbl_ProduitsRef[Produit],0)),
   ""
)</f>
        <v/>
      </c>
      <c r="G2297" s="7">
        <f>tbl_Ventes[[#This Row],[Qté Vendue]] * IFERROR(_xlfn.XLOOKUP(tbl_Ventes[[#This Row],[Cde_Prdt]], tbl_Produits[Cde_Prdt], tbl_Produits[Prix Menu]), 0)</f>
        <v>0</v>
      </c>
      <c r="H2297" s="7">
        <f>IFERROR(_xlfn.XLOOKUP(tbl_Ventes[[#This Row],[Cde_Prdt]], tbl_Produits[Cde_Prdt], tbl_Produits[Coût Moyen Portion]), 0)</f>
        <v>0</v>
      </c>
      <c r="I2297" s="7">
        <f>tbl_Ventes[[#This Row],[Qté Vendue]] * tbl_Ventes[[#This Row],[CMP_par_portion]]</f>
        <v>0</v>
      </c>
      <c r="J2297" s="7">
        <f>tbl_Ventes[[#This Row],[CA ligne]] - tbl_Ventes[[#This Row],[Coût matière ligne]]</f>
        <v>0</v>
      </c>
      <c r="K2297" s="7" t="str">
        <f>IFERROR(INDEX(tbl_ProduitsRef[Famille], MATCH(tbl_Ventes[[#This Row],[Cde_Prdt]], tbl_Produits[Cde_Prdt], 0)), "")</f>
        <v/>
      </c>
    </row>
    <row r="2298" spans="1:11" x14ac:dyDescent="0.25">
      <c r="A2298" s="5"/>
      <c r="B2298" s="63" t="str">
        <f>IFERROR(TEXT(tbl_Ventes[[#This Row],[Date]],"mm-aaaa"),"")</f>
        <v>01-1900</v>
      </c>
      <c r="D2298" s="10" t="str">
        <f>IFERROR(
   INDEX(tbl_ProduitsRef[Cde_Prdt],MATCH(tbl_Ventes[[#This Row],[Produit]],tbl_ProduitsRef[Produit],0)),
   ""
)</f>
        <v/>
      </c>
      <c r="E2298" s="7">
        <v>0</v>
      </c>
      <c r="F2298" s="7" t="str">
        <f>IFERROR(
   INDEX(tbl_ProduitsRef[Prix Menu],MATCH(tbl_Ventes[[#This Row],[Produit]],tbl_ProduitsRef[Produit],0)),
   ""
)</f>
        <v/>
      </c>
      <c r="G2298" s="7">
        <f>tbl_Ventes[[#This Row],[Qté Vendue]] * IFERROR(_xlfn.XLOOKUP(tbl_Ventes[[#This Row],[Cde_Prdt]], tbl_Produits[Cde_Prdt], tbl_Produits[Prix Menu]), 0)</f>
        <v>0</v>
      </c>
      <c r="H2298" s="7">
        <f>IFERROR(_xlfn.XLOOKUP(tbl_Ventes[[#This Row],[Cde_Prdt]], tbl_Produits[Cde_Prdt], tbl_Produits[Coût Moyen Portion]), 0)</f>
        <v>0</v>
      </c>
      <c r="I2298" s="7">
        <f>tbl_Ventes[[#This Row],[Qté Vendue]] * tbl_Ventes[[#This Row],[CMP_par_portion]]</f>
        <v>0</v>
      </c>
      <c r="J2298" s="7">
        <f>tbl_Ventes[[#This Row],[CA ligne]] - tbl_Ventes[[#This Row],[Coût matière ligne]]</f>
        <v>0</v>
      </c>
      <c r="K2298" s="7" t="str">
        <f>IFERROR(INDEX(tbl_ProduitsRef[Famille], MATCH(tbl_Ventes[[#This Row],[Cde_Prdt]], tbl_Produits[Cde_Prdt], 0)), "")</f>
        <v/>
      </c>
    </row>
    <row r="2299" spans="1:11" x14ac:dyDescent="0.25">
      <c r="A2299" s="5"/>
      <c r="B2299" s="63" t="str">
        <f>IFERROR(TEXT(tbl_Ventes[[#This Row],[Date]],"mm-aaaa"),"")</f>
        <v>01-1900</v>
      </c>
      <c r="D2299" s="10" t="str">
        <f>IFERROR(
   INDEX(tbl_ProduitsRef[Cde_Prdt],MATCH(tbl_Ventes[[#This Row],[Produit]],tbl_ProduitsRef[Produit],0)),
   ""
)</f>
        <v/>
      </c>
      <c r="E2299" s="7">
        <v>0</v>
      </c>
      <c r="F2299" s="7" t="str">
        <f>IFERROR(
   INDEX(tbl_ProduitsRef[Prix Menu],MATCH(tbl_Ventes[[#This Row],[Produit]],tbl_ProduitsRef[Produit],0)),
   ""
)</f>
        <v/>
      </c>
      <c r="G2299" s="7">
        <f>tbl_Ventes[[#This Row],[Qté Vendue]] * IFERROR(_xlfn.XLOOKUP(tbl_Ventes[[#This Row],[Cde_Prdt]], tbl_Produits[Cde_Prdt], tbl_Produits[Prix Menu]), 0)</f>
        <v>0</v>
      </c>
      <c r="H2299" s="7">
        <f>IFERROR(_xlfn.XLOOKUP(tbl_Ventes[[#This Row],[Cde_Prdt]], tbl_Produits[Cde_Prdt], tbl_Produits[Coût Moyen Portion]), 0)</f>
        <v>0</v>
      </c>
      <c r="I2299" s="7">
        <f>tbl_Ventes[[#This Row],[Qté Vendue]] * tbl_Ventes[[#This Row],[CMP_par_portion]]</f>
        <v>0</v>
      </c>
      <c r="J2299" s="7">
        <f>tbl_Ventes[[#This Row],[CA ligne]] - tbl_Ventes[[#This Row],[Coût matière ligne]]</f>
        <v>0</v>
      </c>
      <c r="K2299" s="7" t="str">
        <f>IFERROR(INDEX(tbl_ProduitsRef[Famille], MATCH(tbl_Ventes[[#This Row],[Cde_Prdt]], tbl_Produits[Cde_Prdt], 0)), "")</f>
        <v/>
      </c>
    </row>
    <row r="2300" spans="1:11" x14ac:dyDescent="0.25">
      <c r="A2300" s="5"/>
      <c r="B2300" s="63" t="str">
        <f>IFERROR(TEXT(tbl_Ventes[[#This Row],[Date]],"mm-aaaa"),"")</f>
        <v>01-1900</v>
      </c>
      <c r="D2300" s="10" t="str">
        <f>IFERROR(
   INDEX(tbl_ProduitsRef[Cde_Prdt],MATCH(tbl_Ventes[[#This Row],[Produit]],tbl_ProduitsRef[Produit],0)),
   ""
)</f>
        <v/>
      </c>
      <c r="E2300" s="7">
        <v>0</v>
      </c>
      <c r="F2300" s="7" t="str">
        <f>IFERROR(
   INDEX(tbl_ProduitsRef[Prix Menu],MATCH(tbl_Ventes[[#This Row],[Produit]],tbl_ProduitsRef[Produit],0)),
   ""
)</f>
        <v/>
      </c>
      <c r="G2300" s="7">
        <f>tbl_Ventes[[#This Row],[Qté Vendue]] * IFERROR(_xlfn.XLOOKUP(tbl_Ventes[[#This Row],[Cde_Prdt]], tbl_Produits[Cde_Prdt], tbl_Produits[Prix Menu]), 0)</f>
        <v>0</v>
      </c>
      <c r="H2300" s="7">
        <f>IFERROR(_xlfn.XLOOKUP(tbl_Ventes[[#This Row],[Cde_Prdt]], tbl_Produits[Cde_Prdt], tbl_Produits[Coût Moyen Portion]), 0)</f>
        <v>0</v>
      </c>
      <c r="I2300" s="7">
        <f>tbl_Ventes[[#This Row],[Qté Vendue]] * tbl_Ventes[[#This Row],[CMP_par_portion]]</f>
        <v>0</v>
      </c>
      <c r="J2300" s="7">
        <f>tbl_Ventes[[#This Row],[CA ligne]] - tbl_Ventes[[#This Row],[Coût matière ligne]]</f>
        <v>0</v>
      </c>
      <c r="K2300" s="7" t="str">
        <f>IFERROR(INDEX(tbl_ProduitsRef[Famille], MATCH(tbl_Ventes[[#This Row],[Cde_Prdt]], tbl_Produits[Cde_Prdt], 0)), "")</f>
        <v/>
      </c>
    </row>
    <row r="2301" spans="1:11" x14ac:dyDescent="0.25">
      <c r="A2301" s="5"/>
      <c r="B2301" s="63" t="str">
        <f>IFERROR(TEXT(tbl_Ventes[[#This Row],[Date]],"mm-aaaa"),"")</f>
        <v>01-1900</v>
      </c>
      <c r="D2301" s="10" t="str">
        <f>IFERROR(
   INDEX(tbl_ProduitsRef[Cde_Prdt],MATCH(tbl_Ventes[[#This Row],[Produit]],tbl_ProduitsRef[Produit],0)),
   ""
)</f>
        <v/>
      </c>
      <c r="E2301" s="7">
        <v>0</v>
      </c>
      <c r="F2301" s="7" t="str">
        <f>IFERROR(
   INDEX(tbl_ProduitsRef[Prix Menu],MATCH(tbl_Ventes[[#This Row],[Produit]],tbl_ProduitsRef[Produit],0)),
   ""
)</f>
        <v/>
      </c>
      <c r="G2301" s="7">
        <f>tbl_Ventes[[#This Row],[Qté Vendue]] * IFERROR(_xlfn.XLOOKUP(tbl_Ventes[[#This Row],[Cde_Prdt]], tbl_Produits[Cde_Prdt], tbl_Produits[Prix Menu]), 0)</f>
        <v>0</v>
      </c>
      <c r="H2301" s="7">
        <f>IFERROR(_xlfn.XLOOKUP(tbl_Ventes[[#This Row],[Cde_Prdt]], tbl_Produits[Cde_Prdt], tbl_Produits[Coût Moyen Portion]), 0)</f>
        <v>0</v>
      </c>
      <c r="I2301" s="7">
        <f>tbl_Ventes[[#This Row],[Qté Vendue]] * tbl_Ventes[[#This Row],[CMP_par_portion]]</f>
        <v>0</v>
      </c>
      <c r="J2301" s="7">
        <f>tbl_Ventes[[#This Row],[CA ligne]] - tbl_Ventes[[#This Row],[Coût matière ligne]]</f>
        <v>0</v>
      </c>
      <c r="K2301" s="7" t="str">
        <f>IFERROR(INDEX(tbl_ProduitsRef[Famille], MATCH(tbl_Ventes[[#This Row],[Cde_Prdt]], tbl_Produits[Cde_Prdt], 0)), "")</f>
        <v/>
      </c>
    </row>
    <row r="2302" spans="1:11" x14ac:dyDescent="0.25">
      <c r="A2302" s="5"/>
      <c r="B2302" s="63" t="str">
        <f>IFERROR(TEXT(tbl_Ventes[[#This Row],[Date]],"mm-aaaa"),"")</f>
        <v>01-1900</v>
      </c>
      <c r="D2302" s="10" t="str">
        <f>IFERROR(
   INDEX(tbl_ProduitsRef[Cde_Prdt],MATCH(tbl_Ventes[[#This Row],[Produit]],tbl_ProduitsRef[Produit],0)),
   ""
)</f>
        <v/>
      </c>
      <c r="E2302" s="7">
        <v>0</v>
      </c>
      <c r="F2302" s="7" t="str">
        <f>IFERROR(
   INDEX(tbl_ProduitsRef[Prix Menu],MATCH(tbl_Ventes[[#This Row],[Produit]],tbl_ProduitsRef[Produit],0)),
   ""
)</f>
        <v/>
      </c>
      <c r="G2302" s="7">
        <f>tbl_Ventes[[#This Row],[Qté Vendue]] * IFERROR(_xlfn.XLOOKUP(tbl_Ventes[[#This Row],[Cde_Prdt]], tbl_Produits[Cde_Prdt], tbl_Produits[Prix Menu]), 0)</f>
        <v>0</v>
      </c>
      <c r="H2302" s="7">
        <f>IFERROR(_xlfn.XLOOKUP(tbl_Ventes[[#This Row],[Cde_Prdt]], tbl_Produits[Cde_Prdt], tbl_Produits[Coût Moyen Portion]), 0)</f>
        <v>0</v>
      </c>
      <c r="I2302" s="7">
        <f>tbl_Ventes[[#This Row],[Qté Vendue]] * tbl_Ventes[[#This Row],[CMP_par_portion]]</f>
        <v>0</v>
      </c>
      <c r="J2302" s="7">
        <f>tbl_Ventes[[#This Row],[CA ligne]] - tbl_Ventes[[#This Row],[Coût matière ligne]]</f>
        <v>0</v>
      </c>
      <c r="K2302" s="7" t="str">
        <f>IFERROR(INDEX(tbl_ProduitsRef[Famille], MATCH(tbl_Ventes[[#This Row],[Cde_Prdt]], tbl_Produits[Cde_Prdt], 0)), "")</f>
        <v/>
      </c>
    </row>
    <row r="2303" spans="1:11" x14ac:dyDescent="0.25">
      <c r="A2303" s="5"/>
      <c r="B2303" s="63" t="str">
        <f>IFERROR(TEXT(tbl_Ventes[[#This Row],[Date]],"mm-aaaa"),"")</f>
        <v>01-1900</v>
      </c>
      <c r="D2303" s="10" t="str">
        <f>IFERROR(
   INDEX(tbl_ProduitsRef[Cde_Prdt],MATCH(tbl_Ventes[[#This Row],[Produit]],tbl_ProduitsRef[Produit],0)),
   ""
)</f>
        <v/>
      </c>
      <c r="E2303" s="7">
        <v>0</v>
      </c>
      <c r="F2303" s="7" t="str">
        <f>IFERROR(
   INDEX(tbl_ProduitsRef[Prix Menu],MATCH(tbl_Ventes[[#This Row],[Produit]],tbl_ProduitsRef[Produit],0)),
   ""
)</f>
        <v/>
      </c>
      <c r="G2303" s="7">
        <f>tbl_Ventes[[#This Row],[Qté Vendue]] * IFERROR(_xlfn.XLOOKUP(tbl_Ventes[[#This Row],[Cde_Prdt]], tbl_Produits[Cde_Prdt], tbl_Produits[Prix Menu]), 0)</f>
        <v>0</v>
      </c>
      <c r="H2303" s="7">
        <f>IFERROR(_xlfn.XLOOKUP(tbl_Ventes[[#This Row],[Cde_Prdt]], tbl_Produits[Cde_Prdt], tbl_Produits[Coût Moyen Portion]), 0)</f>
        <v>0</v>
      </c>
      <c r="I2303" s="7">
        <f>tbl_Ventes[[#This Row],[Qté Vendue]] * tbl_Ventes[[#This Row],[CMP_par_portion]]</f>
        <v>0</v>
      </c>
      <c r="J2303" s="7">
        <f>tbl_Ventes[[#This Row],[CA ligne]] - tbl_Ventes[[#This Row],[Coût matière ligne]]</f>
        <v>0</v>
      </c>
      <c r="K2303" s="7" t="str">
        <f>IFERROR(INDEX(tbl_ProduitsRef[Famille], MATCH(tbl_Ventes[[#This Row],[Cde_Prdt]], tbl_Produits[Cde_Prdt], 0)), "")</f>
        <v/>
      </c>
    </row>
    <row r="2304" spans="1:11" x14ac:dyDescent="0.25">
      <c r="A2304" s="5"/>
      <c r="B2304" s="63" t="str">
        <f>IFERROR(TEXT(tbl_Ventes[[#This Row],[Date]],"mm-aaaa"),"")</f>
        <v>01-1900</v>
      </c>
      <c r="D2304" s="10" t="str">
        <f>IFERROR(
   INDEX(tbl_ProduitsRef[Cde_Prdt],MATCH(tbl_Ventes[[#This Row],[Produit]],tbl_ProduitsRef[Produit],0)),
   ""
)</f>
        <v/>
      </c>
      <c r="E2304" s="7">
        <v>0</v>
      </c>
      <c r="F2304" s="7" t="str">
        <f>IFERROR(
   INDEX(tbl_ProduitsRef[Prix Menu],MATCH(tbl_Ventes[[#This Row],[Produit]],tbl_ProduitsRef[Produit],0)),
   ""
)</f>
        <v/>
      </c>
      <c r="G2304" s="7">
        <f>tbl_Ventes[[#This Row],[Qté Vendue]] * IFERROR(_xlfn.XLOOKUP(tbl_Ventes[[#This Row],[Cde_Prdt]], tbl_Produits[Cde_Prdt], tbl_Produits[Prix Menu]), 0)</f>
        <v>0</v>
      </c>
      <c r="H2304" s="7">
        <f>IFERROR(_xlfn.XLOOKUP(tbl_Ventes[[#This Row],[Cde_Prdt]], tbl_Produits[Cde_Prdt], tbl_Produits[Coût Moyen Portion]), 0)</f>
        <v>0</v>
      </c>
      <c r="I2304" s="7">
        <f>tbl_Ventes[[#This Row],[Qté Vendue]] * tbl_Ventes[[#This Row],[CMP_par_portion]]</f>
        <v>0</v>
      </c>
      <c r="J2304" s="7">
        <f>tbl_Ventes[[#This Row],[CA ligne]] - tbl_Ventes[[#This Row],[Coût matière ligne]]</f>
        <v>0</v>
      </c>
      <c r="K2304" s="7" t="str">
        <f>IFERROR(INDEX(tbl_ProduitsRef[Famille], MATCH(tbl_Ventes[[#This Row],[Cde_Prdt]], tbl_Produits[Cde_Prdt], 0)), "")</f>
        <v/>
      </c>
    </row>
    <row r="2305" spans="1:11" x14ac:dyDescent="0.25">
      <c r="A2305" s="5"/>
      <c r="B2305" s="63" t="str">
        <f>IFERROR(TEXT(tbl_Ventes[[#This Row],[Date]],"mm-aaaa"),"")</f>
        <v>01-1900</v>
      </c>
      <c r="D2305" s="10" t="str">
        <f>IFERROR(
   INDEX(tbl_ProduitsRef[Cde_Prdt],MATCH(tbl_Ventes[[#This Row],[Produit]],tbl_ProduitsRef[Produit],0)),
   ""
)</f>
        <v/>
      </c>
      <c r="E2305" s="7">
        <v>0</v>
      </c>
      <c r="F2305" s="7" t="str">
        <f>IFERROR(
   INDEX(tbl_ProduitsRef[Prix Menu],MATCH(tbl_Ventes[[#This Row],[Produit]],tbl_ProduitsRef[Produit],0)),
   ""
)</f>
        <v/>
      </c>
      <c r="G2305" s="7">
        <f>tbl_Ventes[[#This Row],[Qté Vendue]] * IFERROR(_xlfn.XLOOKUP(tbl_Ventes[[#This Row],[Cde_Prdt]], tbl_Produits[Cde_Prdt], tbl_Produits[Prix Menu]), 0)</f>
        <v>0</v>
      </c>
      <c r="H2305" s="7">
        <f>IFERROR(_xlfn.XLOOKUP(tbl_Ventes[[#This Row],[Cde_Prdt]], tbl_Produits[Cde_Prdt], tbl_Produits[Coût Moyen Portion]), 0)</f>
        <v>0</v>
      </c>
      <c r="I2305" s="7">
        <f>tbl_Ventes[[#This Row],[Qté Vendue]] * tbl_Ventes[[#This Row],[CMP_par_portion]]</f>
        <v>0</v>
      </c>
      <c r="J2305" s="7">
        <f>tbl_Ventes[[#This Row],[CA ligne]] - tbl_Ventes[[#This Row],[Coût matière ligne]]</f>
        <v>0</v>
      </c>
      <c r="K2305" s="7" t="str">
        <f>IFERROR(INDEX(tbl_ProduitsRef[Famille], MATCH(tbl_Ventes[[#This Row],[Cde_Prdt]], tbl_Produits[Cde_Prdt], 0)), "")</f>
        <v/>
      </c>
    </row>
    <row r="2306" spans="1:11" x14ac:dyDescent="0.25">
      <c r="A2306" s="5"/>
      <c r="B2306" s="63" t="str">
        <f>IFERROR(TEXT(tbl_Ventes[[#This Row],[Date]],"mm-aaaa"),"")</f>
        <v>01-1900</v>
      </c>
      <c r="D2306" s="10" t="str">
        <f>IFERROR(
   INDEX(tbl_ProduitsRef[Cde_Prdt],MATCH(tbl_Ventes[[#This Row],[Produit]],tbl_ProduitsRef[Produit],0)),
   ""
)</f>
        <v/>
      </c>
      <c r="E2306" s="7">
        <v>0</v>
      </c>
      <c r="F2306" s="7" t="str">
        <f>IFERROR(
   INDEX(tbl_ProduitsRef[Prix Menu],MATCH(tbl_Ventes[[#This Row],[Produit]],tbl_ProduitsRef[Produit],0)),
   ""
)</f>
        <v/>
      </c>
      <c r="G2306" s="7">
        <f>tbl_Ventes[[#This Row],[Qté Vendue]] * IFERROR(_xlfn.XLOOKUP(tbl_Ventes[[#This Row],[Cde_Prdt]], tbl_Produits[Cde_Prdt], tbl_Produits[Prix Menu]), 0)</f>
        <v>0</v>
      </c>
      <c r="H2306" s="7">
        <f>IFERROR(_xlfn.XLOOKUP(tbl_Ventes[[#This Row],[Cde_Prdt]], tbl_Produits[Cde_Prdt], tbl_Produits[Coût Moyen Portion]), 0)</f>
        <v>0</v>
      </c>
      <c r="I2306" s="7">
        <f>tbl_Ventes[[#This Row],[Qté Vendue]] * tbl_Ventes[[#This Row],[CMP_par_portion]]</f>
        <v>0</v>
      </c>
      <c r="J2306" s="7">
        <f>tbl_Ventes[[#This Row],[CA ligne]] - tbl_Ventes[[#This Row],[Coût matière ligne]]</f>
        <v>0</v>
      </c>
      <c r="K2306" s="7" t="str">
        <f>IFERROR(INDEX(tbl_ProduitsRef[Famille], MATCH(tbl_Ventes[[#This Row],[Cde_Prdt]], tbl_Produits[Cde_Prdt], 0)), "")</f>
        <v/>
      </c>
    </row>
    <row r="2307" spans="1:11" x14ac:dyDescent="0.25">
      <c r="A2307" s="5"/>
      <c r="B2307" s="63" t="str">
        <f>IFERROR(TEXT(tbl_Ventes[[#This Row],[Date]],"mm-aaaa"),"")</f>
        <v>01-1900</v>
      </c>
      <c r="D2307" s="10" t="str">
        <f>IFERROR(
   INDEX(tbl_ProduitsRef[Cde_Prdt],MATCH(tbl_Ventes[[#This Row],[Produit]],tbl_ProduitsRef[Produit],0)),
   ""
)</f>
        <v/>
      </c>
      <c r="E2307" s="7">
        <v>0</v>
      </c>
      <c r="F2307" s="7" t="str">
        <f>IFERROR(
   INDEX(tbl_ProduitsRef[Prix Menu],MATCH(tbl_Ventes[[#This Row],[Produit]],tbl_ProduitsRef[Produit],0)),
   ""
)</f>
        <v/>
      </c>
      <c r="G2307" s="7">
        <f>tbl_Ventes[[#This Row],[Qté Vendue]] * IFERROR(_xlfn.XLOOKUP(tbl_Ventes[[#This Row],[Cde_Prdt]], tbl_Produits[Cde_Prdt], tbl_Produits[Prix Menu]), 0)</f>
        <v>0</v>
      </c>
      <c r="H2307" s="7">
        <f>IFERROR(_xlfn.XLOOKUP(tbl_Ventes[[#This Row],[Cde_Prdt]], tbl_Produits[Cde_Prdt], tbl_Produits[Coût Moyen Portion]), 0)</f>
        <v>0</v>
      </c>
      <c r="I2307" s="7">
        <f>tbl_Ventes[[#This Row],[Qté Vendue]] * tbl_Ventes[[#This Row],[CMP_par_portion]]</f>
        <v>0</v>
      </c>
      <c r="J2307" s="7">
        <f>tbl_Ventes[[#This Row],[CA ligne]] - tbl_Ventes[[#This Row],[Coût matière ligne]]</f>
        <v>0</v>
      </c>
      <c r="K2307" s="7" t="str">
        <f>IFERROR(INDEX(tbl_ProduitsRef[Famille], MATCH(tbl_Ventes[[#This Row],[Cde_Prdt]], tbl_Produits[Cde_Prdt], 0)), "")</f>
        <v/>
      </c>
    </row>
    <row r="2308" spans="1:11" x14ac:dyDescent="0.25">
      <c r="A2308" s="5"/>
      <c r="B2308" s="63" t="str">
        <f>IFERROR(TEXT(tbl_Ventes[[#This Row],[Date]],"mm-aaaa"),"")</f>
        <v>01-1900</v>
      </c>
      <c r="D2308" s="10" t="str">
        <f>IFERROR(
   INDEX(tbl_ProduitsRef[Cde_Prdt],MATCH(tbl_Ventes[[#This Row],[Produit]],tbl_ProduitsRef[Produit],0)),
   ""
)</f>
        <v/>
      </c>
      <c r="E2308" s="7">
        <v>0</v>
      </c>
      <c r="F2308" s="7" t="str">
        <f>IFERROR(
   INDEX(tbl_ProduitsRef[Prix Menu],MATCH(tbl_Ventes[[#This Row],[Produit]],tbl_ProduitsRef[Produit],0)),
   ""
)</f>
        <v/>
      </c>
      <c r="G2308" s="7">
        <f>tbl_Ventes[[#This Row],[Qté Vendue]] * IFERROR(_xlfn.XLOOKUP(tbl_Ventes[[#This Row],[Cde_Prdt]], tbl_Produits[Cde_Prdt], tbl_Produits[Prix Menu]), 0)</f>
        <v>0</v>
      </c>
      <c r="H2308" s="7">
        <f>IFERROR(_xlfn.XLOOKUP(tbl_Ventes[[#This Row],[Cde_Prdt]], tbl_Produits[Cde_Prdt], tbl_Produits[Coût Moyen Portion]), 0)</f>
        <v>0</v>
      </c>
      <c r="I2308" s="7">
        <f>tbl_Ventes[[#This Row],[Qté Vendue]] * tbl_Ventes[[#This Row],[CMP_par_portion]]</f>
        <v>0</v>
      </c>
      <c r="J2308" s="7">
        <f>tbl_Ventes[[#This Row],[CA ligne]] - tbl_Ventes[[#This Row],[Coût matière ligne]]</f>
        <v>0</v>
      </c>
      <c r="K2308" s="7" t="str">
        <f>IFERROR(INDEX(tbl_ProduitsRef[Famille], MATCH(tbl_Ventes[[#This Row],[Cde_Prdt]], tbl_Produits[Cde_Prdt], 0)), "")</f>
        <v/>
      </c>
    </row>
    <row r="2309" spans="1:11" x14ac:dyDescent="0.25">
      <c r="A2309" s="5"/>
      <c r="B2309" s="63" t="str">
        <f>IFERROR(TEXT(tbl_Ventes[[#This Row],[Date]],"mm-aaaa"),"")</f>
        <v>01-1900</v>
      </c>
      <c r="D2309" s="10" t="str">
        <f>IFERROR(
   INDEX(tbl_ProduitsRef[Cde_Prdt],MATCH(tbl_Ventes[[#This Row],[Produit]],tbl_ProduitsRef[Produit],0)),
   ""
)</f>
        <v/>
      </c>
      <c r="E2309" s="7">
        <v>0</v>
      </c>
      <c r="F2309" s="7" t="str">
        <f>IFERROR(
   INDEX(tbl_ProduitsRef[Prix Menu],MATCH(tbl_Ventes[[#This Row],[Produit]],tbl_ProduitsRef[Produit],0)),
   ""
)</f>
        <v/>
      </c>
      <c r="G2309" s="7">
        <f>tbl_Ventes[[#This Row],[Qté Vendue]] * IFERROR(_xlfn.XLOOKUP(tbl_Ventes[[#This Row],[Cde_Prdt]], tbl_Produits[Cde_Prdt], tbl_Produits[Prix Menu]), 0)</f>
        <v>0</v>
      </c>
      <c r="H2309" s="7">
        <f>IFERROR(_xlfn.XLOOKUP(tbl_Ventes[[#This Row],[Cde_Prdt]], tbl_Produits[Cde_Prdt], tbl_Produits[Coût Moyen Portion]), 0)</f>
        <v>0</v>
      </c>
      <c r="I2309" s="7">
        <f>tbl_Ventes[[#This Row],[Qté Vendue]] * tbl_Ventes[[#This Row],[CMP_par_portion]]</f>
        <v>0</v>
      </c>
      <c r="J2309" s="7">
        <f>tbl_Ventes[[#This Row],[CA ligne]] - tbl_Ventes[[#This Row],[Coût matière ligne]]</f>
        <v>0</v>
      </c>
      <c r="K2309" s="7" t="str">
        <f>IFERROR(INDEX(tbl_ProduitsRef[Famille], MATCH(tbl_Ventes[[#This Row],[Cde_Prdt]], tbl_Produits[Cde_Prdt], 0)), "")</f>
        <v/>
      </c>
    </row>
    <row r="2310" spans="1:11" x14ac:dyDescent="0.25">
      <c r="A2310" s="5"/>
      <c r="B2310" s="63" t="str">
        <f>IFERROR(TEXT(tbl_Ventes[[#This Row],[Date]],"mm-aaaa"),"")</f>
        <v>01-1900</v>
      </c>
      <c r="D2310" s="10" t="str">
        <f>IFERROR(
   INDEX(tbl_ProduitsRef[Cde_Prdt],MATCH(tbl_Ventes[[#This Row],[Produit]],tbl_ProduitsRef[Produit],0)),
   ""
)</f>
        <v/>
      </c>
      <c r="E2310" s="7">
        <v>0</v>
      </c>
      <c r="F2310" s="7" t="str">
        <f>IFERROR(
   INDEX(tbl_ProduitsRef[Prix Menu],MATCH(tbl_Ventes[[#This Row],[Produit]],tbl_ProduitsRef[Produit],0)),
   ""
)</f>
        <v/>
      </c>
      <c r="G2310" s="7">
        <f>tbl_Ventes[[#This Row],[Qté Vendue]] * IFERROR(_xlfn.XLOOKUP(tbl_Ventes[[#This Row],[Cde_Prdt]], tbl_Produits[Cde_Prdt], tbl_Produits[Prix Menu]), 0)</f>
        <v>0</v>
      </c>
      <c r="H2310" s="7">
        <f>IFERROR(_xlfn.XLOOKUP(tbl_Ventes[[#This Row],[Cde_Prdt]], tbl_Produits[Cde_Prdt], tbl_Produits[Coût Moyen Portion]), 0)</f>
        <v>0</v>
      </c>
      <c r="I2310" s="7">
        <f>tbl_Ventes[[#This Row],[Qté Vendue]] * tbl_Ventes[[#This Row],[CMP_par_portion]]</f>
        <v>0</v>
      </c>
      <c r="J2310" s="7">
        <f>tbl_Ventes[[#This Row],[CA ligne]] - tbl_Ventes[[#This Row],[Coût matière ligne]]</f>
        <v>0</v>
      </c>
      <c r="K2310" s="7" t="str">
        <f>IFERROR(INDEX(tbl_ProduitsRef[Famille], MATCH(tbl_Ventes[[#This Row],[Cde_Prdt]], tbl_Produits[Cde_Prdt], 0)), "")</f>
        <v/>
      </c>
    </row>
    <row r="2311" spans="1:11" x14ac:dyDescent="0.25">
      <c r="A2311" s="5"/>
      <c r="B2311" s="63" t="str">
        <f>IFERROR(TEXT(tbl_Ventes[[#This Row],[Date]],"mm-aaaa"),"")</f>
        <v>01-1900</v>
      </c>
      <c r="D2311" s="10" t="str">
        <f>IFERROR(
   INDEX(tbl_ProduitsRef[Cde_Prdt],MATCH(tbl_Ventes[[#This Row],[Produit]],tbl_ProduitsRef[Produit],0)),
   ""
)</f>
        <v/>
      </c>
      <c r="E2311" s="7">
        <v>0</v>
      </c>
      <c r="F2311" s="7" t="str">
        <f>IFERROR(
   INDEX(tbl_ProduitsRef[Prix Menu],MATCH(tbl_Ventes[[#This Row],[Produit]],tbl_ProduitsRef[Produit],0)),
   ""
)</f>
        <v/>
      </c>
      <c r="G2311" s="7">
        <f>tbl_Ventes[[#This Row],[Qté Vendue]] * IFERROR(_xlfn.XLOOKUP(tbl_Ventes[[#This Row],[Cde_Prdt]], tbl_Produits[Cde_Prdt], tbl_Produits[Prix Menu]), 0)</f>
        <v>0</v>
      </c>
      <c r="H2311" s="7">
        <f>IFERROR(_xlfn.XLOOKUP(tbl_Ventes[[#This Row],[Cde_Prdt]], tbl_Produits[Cde_Prdt], tbl_Produits[Coût Moyen Portion]), 0)</f>
        <v>0</v>
      </c>
      <c r="I2311" s="7">
        <f>tbl_Ventes[[#This Row],[Qté Vendue]] * tbl_Ventes[[#This Row],[CMP_par_portion]]</f>
        <v>0</v>
      </c>
      <c r="J2311" s="7">
        <f>tbl_Ventes[[#This Row],[CA ligne]] - tbl_Ventes[[#This Row],[Coût matière ligne]]</f>
        <v>0</v>
      </c>
      <c r="K2311" s="7" t="str">
        <f>IFERROR(INDEX(tbl_ProduitsRef[Famille], MATCH(tbl_Ventes[[#This Row],[Cde_Prdt]], tbl_Produits[Cde_Prdt], 0)), "")</f>
        <v/>
      </c>
    </row>
    <row r="2312" spans="1:11" x14ac:dyDescent="0.25">
      <c r="A2312" s="5"/>
      <c r="B2312" s="63" t="str">
        <f>IFERROR(TEXT(tbl_Ventes[[#This Row],[Date]],"mm-aaaa"),"")</f>
        <v>01-1900</v>
      </c>
      <c r="D2312" s="10" t="str">
        <f>IFERROR(
   INDEX(tbl_ProduitsRef[Cde_Prdt],MATCH(tbl_Ventes[[#This Row],[Produit]],tbl_ProduitsRef[Produit],0)),
   ""
)</f>
        <v/>
      </c>
      <c r="E2312" s="7">
        <v>0</v>
      </c>
      <c r="F2312" s="7" t="str">
        <f>IFERROR(
   INDEX(tbl_ProduitsRef[Prix Menu],MATCH(tbl_Ventes[[#This Row],[Produit]],tbl_ProduitsRef[Produit],0)),
   ""
)</f>
        <v/>
      </c>
      <c r="G2312" s="7">
        <f>tbl_Ventes[[#This Row],[Qté Vendue]] * IFERROR(_xlfn.XLOOKUP(tbl_Ventes[[#This Row],[Cde_Prdt]], tbl_Produits[Cde_Prdt], tbl_Produits[Prix Menu]), 0)</f>
        <v>0</v>
      </c>
      <c r="H2312" s="7">
        <f>IFERROR(_xlfn.XLOOKUP(tbl_Ventes[[#This Row],[Cde_Prdt]], tbl_Produits[Cde_Prdt], tbl_Produits[Coût Moyen Portion]), 0)</f>
        <v>0</v>
      </c>
      <c r="I2312" s="7">
        <f>tbl_Ventes[[#This Row],[Qté Vendue]] * tbl_Ventes[[#This Row],[CMP_par_portion]]</f>
        <v>0</v>
      </c>
      <c r="J2312" s="7">
        <f>tbl_Ventes[[#This Row],[CA ligne]] - tbl_Ventes[[#This Row],[Coût matière ligne]]</f>
        <v>0</v>
      </c>
      <c r="K2312" s="7" t="str">
        <f>IFERROR(INDEX(tbl_ProduitsRef[Famille], MATCH(tbl_Ventes[[#This Row],[Cde_Prdt]], tbl_Produits[Cde_Prdt], 0)), "")</f>
        <v/>
      </c>
    </row>
    <row r="2313" spans="1:11" x14ac:dyDescent="0.25">
      <c r="A2313" s="5"/>
      <c r="B2313" s="63" t="str">
        <f>IFERROR(TEXT(tbl_Ventes[[#This Row],[Date]],"mm-aaaa"),"")</f>
        <v>01-1900</v>
      </c>
      <c r="D2313" s="10" t="str">
        <f>IFERROR(
   INDEX(tbl_ProduitsRef[Cde_Prdt],MATCH(tbl_Ventes[[#This Row],[Produit]],tbl_ProduitsRef[Produit],0)),
   ""
)</f>
        <v/>
      </c>
      <c r="E2313" s="7">
        <v>0</v>
      </c>
      <c r="F2313" s="7" t="str">
        <f>IFERROR(
   INDEX(tbl_ProduitsRef[Prix Menu],MATCH(tbl_Ventes[[#This Row],[Produit]],tbl_ProduitsRef[Produit],0)),
   ""
)</f>
        <v/>
      </c>
      <c r="G2313" s="7">
        <f>tbl_Ventes[[#This Row],[Qté Vendue]] * IFERROR(_xlfn.XLOOKUP(tbl_Ventes[[#This Row],[Cde_Prdt]], tbl_Produits[Cde_Prdt], tbl_Produits[Prix Menu]), 0)</f>
        <v>0</v>
      </c>
      <c r="H2313" s="7">
        <f>IFERROR(_xlfn.XLOOKUP(tbl_Ventes[[#This Row],[Cde_Prdt]], tbl_Produits[Cde_Prdt], tbl_Produits[Coût Moyen Portion]), 0)</f>
        <v>0</v>
      </c>
      <c r="I2313" s="7">
        <f>tbl_Ventes[[#This Row],[Qté Vendue]] * tbl_Ventes[[#This Row],[CMP_par_portion]]</f>
        <v>0</v>
      </c>
      <c r="J2313" s="7">
        <f>tbl_Ventes[[#This Row],[CA ligne]] - tbl_Ventes[[#This Row],[Coût matière ligne]]</f>
        <v>0</v>
      </c>
      <c r="K2313" s="7" t="str">
        <f>IFERROR(INDEX(tbl_ProduitsRef[Famille], MATCH(tbl_Ventes[[#This Row],[Cde_Prdt]], tbl_Produits[Cde_Prdt], 0)), "")</f>
        <v/>
      </c>
    </row>
    <row r="2314" spans="1:11" x14ac:dyDescent="0.25">
      <c r="A2314" s="5"/>
      <c r="B2314" s="63" t="str">
        <f>IFERROR(TEXT(tbl_Ventes[[#This Row],[Date]],"mm-aaaa"),"")</f>
        <v>01-1900</v>
      </c>
      <c r="D2314" s="10" t="str">
        <f>IFERROR(
   INDEX(tbl_ProduitsRef[Cde_Prdt],MATCH(tbl_Ventes[[#This Row],[Produit]],tbl_ProduitsRef[Produit],0)),
   ""
)</f>
        <v/>
      </c>
      <c r="E2314" s="7">
        <v>0</v>
      </c>
      <c r="F2314" s="7" t="str">
        <f>IFERROR(
   INDEX(tbl_ProduitsRef[Prix Menu],MATCH(tbl_Ventes[[#This Row],[Produit]],tbl_ProduitsRef[Produit],0)),
   ""
)</f>
        <v/>
      </c>
      <c r="G2314" s="7">
        <f>tbl_Ventes[[#This Row],[Qté Vendue]] * IFERROR(_xlfn.XLOOKUP(tbl_Ventes[[#This Row],[Cde_Prdt]], tbl_Produits[Cde_Prdt], tbl_Produits[Prix Menu]), 0)</f>
        <v>0</v>
      </c>
      <c r="H2314" s="7">
        <f>IFERROR(_xlfn.XLOOKUP(tbl_Ventes[[#This Row],[Cde_Prdt]], tbl_Produits[Cde_Prdt], tbl_Produits[Coût Moyen Portion]), 0)</f>
        <v>0</v>
      </c>
      <c r="I2314" s="7">
        <f>tbl_Ventes[[#This Row],[Qté Vendue]] * tbl_Ventes[[#This Row],[CMP_par_portion]]</f>
        <v>0</v>
      </c>
      <c r="J2314" s="7">
        <f>tbl_Ventes[[#This Row],[CA ligne]] - tbl_Ventes[[#This Row],[Coût matière ligne]]</f>
        <v>0</v>
      </c>
      <c r="K2314" s="7" t="str">
        <f>IFERROR(INDEX(tbl_ProduitsRef[Famille], MATCH(tbl_Ventes[[#This Row],[Cde_Prdt]], tbl_Produits[Cde_Prdt], 0)), "")</f>
        <v/>
      </c>
    </row>
    <row r="2315" spans="1:11" x14ac:dyDescent="0.25">
      <c r="A2315" s="5"/>
      <c r="B2315" s="63" t="str">
        <f>IFERROR(TEXT(tbl_Ventes[[#This Row],[Date]],"mm-aaaa"),"")</f>
        <v>01-1900</v>
      </c>
      <c r="D2315" s="10" t="str">
        <f>IFERROR(
   INDEX(tbl_ProduitsRef[Cde_Prdt],MATCH(tbl_Ventes[[#This Row],[Produit]],tbl_ProduitsRef[Produit],0)),
   ""
)</f>
        <v/>
      </c>
      <c r="E2315" s="7">
        <v>0</v>
      </c>
      <c r="F2315" s="7" t="str">
        <f>IFERROR(
   INDEX(tbl_ProduitsRef[Prix Menu],MATCH(tbl_Ventes[[#This Row],[Produit]],tbl_ProduitsRef[Produit],0)),
   ""
)</f>
        <v/>
      </c>
      <c r="G2315" s="7">
        <f>tbl_Ventes[[#This Row],[Qté Vendue]] * IFERROR(_xlfn.XLOOKUP(tbl_Ventes[[#This Row],[Cde_Prdt]], tbl_Produits[Cde_Prdt], tbl_Produits[Prix Menu]), 0)</f>
        <v>0</v>
      </c>
      <c r="H2315" s="7">
        <f>IFERROR(_xlfn.XLOOKUP(tbl_Ventes[[#This Row],[Cde_Prdt]], tbl_Produits[Cde_Prdt], tbl_Produits[Coût Moyen Portion]), 0)</f>
        <v>0</v>
      </c>
      <c r="I2315" s="7">
        <f>tbl_Ventes[[#This Row],[Qté Vendue]] * tbl_Ventes[[#This Row],[CMP_par_portion]]</f>
        <v>0</v>
      </c>
      <c r="J2315" s="7">
        <f>tbl_Ventes[[#This Row],[CA ligne]] - tbl_Ventes[[#This Row],[Coût matière ligne]]</f>
        <v>0</v>
      </c>
      <c r="K2315" s="7" t="str">
        <f>IFERROR(INDEX(tbl_ProduitsRef[Famille], MATCH(tbl_Ventes[[#This Row],[Cde_Prdt]], tbl_Produits[Cde_Prdt], 0)), "")</f>
        <v/>
      </c>
    </row>
    <row r="2316" spans="1:11" x14ac:dyDescent="0.25">
      <c r="A2316" s="5"/>
      <c r="B2316" s="63" t="str">
        <f>IFERROR(TEXT(tbl_Ventes[[#This Row],[Date]],"mm-aaaa"),"")</f>
        <v>01-1900</v>
      </c>
      <c r="D2316" s="10" t="str">
        <f>IFERROR(
   INDEX(tbl_ProduitsRef[Cde_Prdt],MATCH(tbl_Ventes[[#This Row],[Produit]],tbl_ProduitsRef[Produit],0)),
   ""
)</f>
        <v/>
      </c>
      <c r="E2316" s="7">
        <v>0</v>
      </c>
      <c r="F2316" s="7" t="str">
        <f>IFERROR(
   INDEX(tbl_ProduitsRef[Prix Menu],MATCH(tbl_Ventes[[#This Row],[Produit]],tbl_ProduitsRef[Produit],0)),
   ""
)</f>
        <v/>
      </c>
      <c r="G2316" s="7">
        <f>tbl_Ventes[[#This Row],[Qté Vendue]] * IFERROR(_xlfn.XLOOKUP(tbl_Ventes[[#This Row],[Cde_Prdt]], tbl_Produits[Cde_Prdt], tbl_Produits[Prix Menu]), 0)</f>
        <v>0</v>
      </c>
      <c r="H2316" s="7">
        <f>IFERROR(_xlfn.XLOOKUP(tbl_Ventes[[#This Row],[Cde_Prdt]], tbl_Produits[Cde_Prdt], tbl_Produits[Coût Moyen Portion]), 0)</f>
        <v>0</v>
      </c>
      <c r="I2316" s="7">
        <f>tbl_Ventes[[#This Row],[Qté Vendue]] * tbl_Ventes[[#This Row],[CMP_par_portion]]</f>
        <v>0</v>
      </c>
      <c r="J2316" s="7">
        <f>tbl_Ventes[[#This Row],[CA ligne]] - tbl_Ventes[[#This Row],[Coût matière ligne]]</f>
        <v>0</v>
      </c>
      <c r="K2316" s="7" t="str">
        <f>IFERROR(INDEX(tbl_ProduitsRef[Famille], MATCH(tbl_Ventes[[#This Row],[Cde_Prdt]], tbl_Produits[Cde_Prdt], 0)), "")</f>
        <v/>
      </c>
    </row>
    <row r="2317" spans="1:11" x14ac:dyDescent="0.25">
      <c r="A2317" s="5"/>
      <c r="B2317" s="63" t="str">
        <f>IFERROR(TEXT(tbl_Ventes[[#This Row],[Date]],"mm-aaaa"),"")</f>
        <v>01-1900</v>
      </c>
      <c r="D2317" s="10" t="str">
        <f>IFERROR(
   INDEX(tbl_ProduitsRef[Cde_Prdt],MATCH(tbl_Ventes[[#This Row],[Produit]],tbl_ProduitsRef[Produit],0)),
   ""
)</f>
        <v/>
      </c>
      <c r="E2317" s="7">
        <v>0</v>
      </c>
      <c r="F2317" s="7" t="str">
        <f>IFERROR(
   INDEX(tbl_ProduitsRef[Prix Menu],MATCH(tbl_Ventes[[#This Row],[Produit]],tbl_ProduitsRef[Produit],0)),
   ""
)</f>
        <v/>
      </c>
      <c r="G2317" s="7">
        <f>tbl_Ventes[[#This Row],[Qté Vendue]] * IFERROR(_xlfn.XLOOKUP(tbl_Ventes[[#This Row],[Cde_Prdt]], tbl_Produits[Cde_Prdt], tbl_Produits[Prix Menu]), 0)</f>
        <v>0</v>
      </c>
      <c r="H2317" s="7">
        <f>IFERROR(_xlfn.XLOOKUP(tbl_Ventes[[#This Row],[Cde_Prdt]], tbl_Produits[Cde_Prdt], tbl_Produits[Coût Moyen Portion]), 0)</f>
        <v>0</v>
      </c>
      <c r="I2317" s="7">
        <f>tbl_Ventes[[#This Row],[Qté Vendue]] * tbl_Ventes[[#This Row],[CMP_par_portion]]</f>
        <v>0</v>
      </c>
      <c r="J2317" s="7">
        <f>tbl_Ventes[[#This Row],[CA ligne]] - tbl_Ventes[[#This Row],[Coût matière ligne]]</f>
        <v>0</v>
      </c>
      <c r="K2317" s="7" t="str">
        <f>IFERROR(INDEX(tbl_ProduitsRef[Famille], MATCH(tbl_Ventes[[#This Row],[Cde_Prdt]], tbl_Produits[Cde_Prdt], 0)), "")</f>
        <v/>
      </c>
    </row>
    <row r="2318" spans="1:11" x14ac:dyDescent="0.25">
      <c r="A2318" s="5"/>
      <c r="B2318" s="63" t="str">
        <f>IFERROR(TEXT(tbl_Ventes[[#This Row],[Date]],"mm-aaaa"),"")</f>
        <v>01-1900</v>
      </c>
      <c r="D2318" s="10" t="str">
        <f>IFERROR(
   INDEX(tbl_ProduitsRef[Cde_Prdt],MATCH(tbl_Ventes[[#This Row],[Produit]],tbl_ProduitsRef[Produit],0)),
   ""
)</f>
        <v/>
      </c>
      <c r="E2318" s="7">
        <v>0</v>
      </c>
      <c r="F2318" s="7" t="str">
        <f>IFERROR(
   INDEX(tbl_ProduitsRef[Prix Menu],MATCH(tbl_Ventes[[#This Row],[Produit]],tbl_ProduitsRef[Produit],0)),
   ""
)</f>
        <v/>
      </c>
      <c r="G2318" s="7">
        <f>tbl_Ventes[[#This Row],[Qté Vendue]] * IFERROR(_xlfn.XLOOKUP(tbl_Ventes[[#This Row],[Cde_Prdt]], tbl_Produits[Cde_Prdt], tbl_Produits[Prix Menu]), 0)</f>
        <v>0</v>
      </c>
      <c r="H2318" s="7">
        <f>IFERROR(_xlfn.XLOOKUP(tbl_Ventes[[#This Row],[Cde_Prdt]], tbl_Produits[Cde_Prdt], tbl_Produits[Coût Moyen Portion]), 0)</f>
        <v>0</v>
      </c>
      <c r="I2318" s="7">
        <f>tbl_Ventes[[#This Row],[Qté Vendue]] * tbl_Ventes[[#This Row],[CMP_par_portion]]</f>
        <v>0</v>
      </c>
      <c r="J2318" s="7">
        <f>tbl_Ventes[[#This Row],[CA ligne]] - tbl_Ventes[[#This Row],[Coût matière ligne]]</f>
        <v>0</v>
      </c>
      <c r="K2318" s="7" t="str">
        <f>IFERROR(INDEX(tbl_ProduitsRef[Famille], MATCH(tbl_Ventes[[#This Row],[Cde_Prdt]], tbl_Produits[Cde_Prdt], 0)), "")</f>
        <v/>
      </c>
    </row>
    <row r="2319" spans="1:11" x14ac:dyDescent="0.25">
      <c r="A2319" s="5"/>
      <c r="B2319" s="63" t="str">
        <f>IFERROR(TEXT(tbl_Ventes[[#This Row],[Date]],"mm-aaaa"),"")</f>
        <v>01-1900</v>
      </c>
      <c r="D2319" s="10" t="str">
        <f>IFERROR(
   INDEX(tbl_ProduitsRef[Cde_Prdt],MATCH(tbl_Ventes[[#This Row],[Produit]],tbl_ProduitsRef[Produit],0)),
   ""
)</f>
        <v/>
      </c>
      <c r="E2319" s="7">
        <v>0</v>
      </c>
      <c r="F2319" s="7" t="str">
        <f>IFERROR(
   INDEX(tbl_ProduitsRef[Prix Menu],MATCH(tbl_Ventes[[#This Row],[Produit]],tbl_ProduitsRef[Produit],0)),
   ""
)</f>
        <v/>
      </c>
      <c r="G2319" s="7">
        <f>tbl_Ventes[[#This Row],[Qté Vendue]] * IFERROR(_xlfn.XLOOKUP(tbl_Ventes[[#This Row],[Cde_Prdt]], tbl_Produits[Cde_Prdt], tbl_Produits[Prix Menu]), 0)</f>
        <v>0</v>
      </c>
      <c r="H2319" s="7">
        <f>IFERROR(_xlfn.XLOOKUP(tbl_Ventes[[#This Row],[Cde_Prdt]], tbl_Produits[Cde_Prdt], tbl_Produits[Coût Moyen Portion]), 0)</f>
        <v>0</v>
      </c>
      <c r="I2319" s="7">
        <f>tbl_Ventes[[#This Row],[Qté Vendue]] * tbl_Ventes[[#This Row],[CMP_par_portion]]</f>
        <v>0</v>
      </c>
      <c r="J2319" s="7">
        <f>tbl_Ventes[[#This Row],[CA ligne]] - tbl_Ventes[[#This Row],[Coût matière ligne]]</f>
        <v>0</v>
      </c>
      <c r="K2319" s="7" t="str">
        <f>IFERROR(INDEX(tbl_ProduitsRef[Famille], MATCH(tbl_Ventes[[#This Row],[Cde_Prdt]], tbl_Produits[Cde_Prdt], 0)), "")</f>
        <v/>
      </c>
    </row>
    <row r="2320" spans="1:11" x14ac:dyDescent="0.25">
      <c r="A2320" s="5"/>
      <c r="B2320" s="63" t="str">
        <f>IFERROR(TEXT(tbl_Ventes[[#This Row],[Date]],"mm-aaaa"),"")</f>
        <v>01-1900</v>
      </c>
      <c r="D2320" s="10" t="str">
        <f>IFERROR(
   INDEX(tbl_ProduitsRef[Cde_Prdt],MATCH(tbl_Ventes[[#This Row],[Produit]],tbl_ProduitsRef[Produit],0)),
   ""
)</f>
        <v/>
      </c>
      <c r="E2320" s="7">
        <v>0</v>
      </c>
      <c r="F2320" s="7" t="str">
        <f>IFERROR(
   INDEX(tbl_ProduitsRef[Prix Menu],MATCH(tbl_Ventes[[#This Row],[Produit]],tbl_ProduitsRef[Produit],0)),
   ""
)</f>
        <v/>
      </c>
      <c r="G2320" s="7">
        <f>tbl_Ventes[[#This Row],[Qté Vendue]] * IFERROR(_xlfn.XLOOKUP(tbl_Ventes[[#This Row],[Cde_Prdt]], tbl_Produits[Cde_Prdt], tbl_Produits[Prix Menu]), 0)</f>
        <v>0</v>
      </c>
      <c r="H2320" s="7">
        <f>IFERROR(_xlfn.XLOOKUP(tbl_Ventes[[#This Row],[Cde_Prdt]], tbl_Produits[Cde_Prdt], tbl_Produits[Coût Moyen Portion]), 0)</f>
        <v>0</v>
      </c>
      <c r="I2320" s="7">
        <f>tbl_Ventes[[#This Row],[Qté Vendue]] * tbl_Ventes[[#This Row],[CMP_par_portion]]</f>
        <v>0</v>
      </c>
      <c r="J2320" s="7">
        <f>tbl_Ventes[[#This Row],[CA ligne]] - tbl_Ventes[[#This Row],[Coût matière ligne]]</f>
        <v>0</v>
      </c>
      <c r="K2320" s="7" t="str">
        <f>IFERROR(INDEX(tbl_ProduitsRef[Famille], MATCH(tbl_Ventes[[#This Row],[Cde_Prdt]], tbl_Produits[Cde_Prdt], 0)), "")</f>
        <v/>
      </c>
    </row>
    <row r="2321" spans="1:11" x14ac:dyDescent="0.25">
      <c r="A2321" s="5"/>
      <c r="B2321" s="63" t="str">
        <f>IFERROR(TEXT(tbl_Ventes[[#This Row],[Date]],"mm-aaaa"),"")</f>
        <v>01-1900</v>
      </c>
      <c r="D2321" s="10" t="str">
        <f>IFERROR(
   INDEX(tbl_ProduitsRef[Cde_Prdt],MATCH(tbl_Ventes[[#This Row],[Produit]],tbl_ProduitsRef[Produit],0)),
   ""
)</f>
        <v/>
      </c>
      <c r="E2321" s="7">
        <v>0</v>
      </c>
      <c r="F2321" s="7" t="str">
        <f>IFERROR(
   INDEX(tbl_ProduitsRef[Prix Menu],MATCH(tbl_Ventes[[#This Row],[Produit]],tbl_ProduitsRef[Produit],0)),
   ""
)</f>
        <v/>
      </c>
      <c r="G2321" s="7">
        <f>tbl_Ventes[[#This Row],[Qté Vendue]] * IFERROR(_xlfn.XLOOKUP(tbl_Ventes[[#This Row],[Cde_Prdt]], tbl_Produits[Cde_Prdt], tbl_Produits[Prix Menu]), 0)</f>
        <v>0</v>
      </c>
      <c r="H2321" s="7">
        <f>IFERROR(_xlfn.XLOOKUP(tbl_Ventes[[#This Row],[Cde_Prdt]], tbl_Produits[Cde_Prdt], tbl_Produits[Coût Moyen Portion]), 0)</f>
        <v>0</v>
      </c>
      <c r="I2321" s="7">
        <f>tbl_Ventes[[#This Row],[Qté Vendue]] * tbl_Ventes[[#This Row],[CMP_par_portion]]</f>
        <v>0</v>
      </c>
      <c r="J2321" s="7">
        <f>tbl_Ventes[[#This Row],[CA ligne]] - tbl_Ventes[[#This Row],[Coût matière ligne]]</f>
        <v>0</v>
      </c>
      <c r="K2321" s="7" t="str">
        <f>IFERROR(INDEX(tbl_ProduitsRef[Famille], MATCH(tbl_Ventes[[#This Row],[Cde_Prdt]], tbl_Produits[Cde_Prdt], 0)), "")</f>
        <v/>
      </c>
    </row>
    <row r="2322" spans="1:11" x14ac:dyDescent="0.25">
      <c r="A2322" s="5"/>
      <c r="B2322" s="63" t="str">
        <f>IFERROR(TEXT(tbl_Ventes[[#This Row],[Date]],"mm-aaaa"),"")</f>
        <v>01-1900</v>
      </c>
      <c r="D2322" s="10" t="str">
        <f>IFERROR(
   INDEX(tbl_ProduitsRef[Cde_Prdt],MATCH(tbl_Ventes[[#This Row],[Produit]],tbl_ProduitsRef[Produit],0)),
   ""
)</f>
        <v/>
      </c>
      <c r="E2322" s="7">
        <v>0</v>
      </c>
      <c r="F2322" s="7" t="str">
        <f>IFERROR(
   INDEX(tbl_ProduitsRef[Prix Menu],MATCH(tbl_Ventes[[#This Row],[Produit]],tbl_ProduitsRef[Produit],0)),
   ""
)</f>
        <v/>
      </c>
      <c r="G2322" s="7">
        <f>tbl_Ventes[[#This Row],[Qté Vendue]] * IFERROR(_xlfn.XLOOKUP(tbl_Ventes[[#This Row],[Cde_Prdt]], tbl_Produits[Cde_Prdt], tbl_Produits[Prix Menu]), 0)</f>
        <v>0</v>
      </c>
      <c r="H2322" s="7">
        <f>IFERROR(_xlfn.XLOOKUP(tbl_Ventes[[#This Row],[Cde_Prdt]], tbl_Produits[Cde_Prdt], tbl_Produits[Coût Moyen Portion]), 0)</f>
        <v>0</v>
      </c>
      <c r="I2322" s="7">
        <f>tbl_Ventes[[#This Row],[Qté Vendue]] * tbl_Ventes[[#This Row],[CMP_par_portion]]</f>
        <v>0</v>
      </c>
      <c r="J2322" s="7">
        <f>tbl_Ventes[[#This Row],[CA ligne]] - tbl_Ventes[[#This Row],[Coût matière ligne]]</f>
        <v>0</v>
      </c>
      <c r="K2322" s="7" t="str">
        <f>IFERROR(INDEX(tbl_ProduitsRef[Famille], MATCH(tbl_Ventes[[#This Row],[Cde_Prdt]], tbl_Produits[Cde_Prdt], 0)), "")</f>
        <v/>
      </c>
    </row>
    <row r="2323" spans="1:11" x14ac:dyDescent="0.25">
      <c r="A2323" s="5"/>
      <c r="B2323" s="63" t="str">
        <f>IFERROR(TEXT(tbl_Ventes[[#This Row],[Date]],"mm-aaaa"),"")</f>
        <v>01-1900</v>
      </c>
      <c r="D2323" s="10" t="str">
        <f>IFERROR(
   INDEX(tbl_ProduitsRef[Cde_Prdt],MATCH(tbl_Ventes[[#This Row],[Produit]],tbl_ProduitsRef[Produit],0)),
   ""
)</f>
        <v/>
      </c>
      <c r="E2323" s="7">
        <v>0</v>
      </c>
      <c r="F2323" s="7" t="str">
        <f>IFERROR(
   INDEX(tbl_ProduitsRef[Prix Menu],MATCH(tbl_Ventes[[#This Row],[Produit]],tbl_ProduitsRef[Produit],0)),
   ""
)</f>
        <v/>
      </c>
      <c r="G2323" s="7">
        <f>tbl_Ventes[[#This Row],[Qté Vendue]] * IFERROR(_xlfn.XLOOKUP(tbl_Ventes[[#This Row],[Cde_Prdt]], tbl_Produits[Cde_Prdt], tbl_Produits[Prix Menu]), 0)</f>
        <v>0</v>
      </c>
      <c r="H2323" s="7">
        <f>IFERROR(_xlfn.XLOOKUP(tbl_Ventes[[#This Row],[Cde_Prdt]], tbl_Produits[Cde_Prdt], tbl_Produits[Coût Moyen Portion]), 0)</f>
        <v>0</v>
      </c>
      <c r="I2323" s="7">
        <f>tbl_Ventes[[#This Row],[Qté Vendue]] * tbl_Ventes[[#This Row],[CMP_par_portion]]</f>
        <v>0</v>
      </c>
      <c r="J2323" s="7">
        <f>tbl_Ventes[[#This Row],[CA ligne]] - tbl_Ventes[[#This Row],[Coût matière ligne]]</f>
        <v>0</v>
      </c>
      <c r="K2323" s="7" t="str">
        <f>IFERROR(INDEX(tbl_ProduitsRef[Famille], MATCH(tbl_Ventes[[#This Row],[Cde_Prdt]], tbl_Produits[Cde_Prdt], 0)), "")</f>
        <v/>
      </c>
    </row>
    <row r="2324" spans="1:11" x14ac:dyDescent="0.25">
      <c r="A2324" s="5"/>
      <c r="B2324" s="63" t="str">
        <f>IFERROR(TEXT(tbl_Ventes[[#This Row],[Date]],"mm-aaaa"),"")</f>
        <v>01-1900</v>
      </c>
      <c r="D2324" s="10" t="str">
        <f>IFERROR(
   INDEX(tbl_ProduitsRef[Cde_Prdt],MATCH(tbl_Ventes[[#This Row],[Produit]],tbl_ProduitsRef[Produit],0)),
   ""
)</f>
        <v/>
      </c>
      <c r="E2324" s="7">
        <v>0</v>
      </c>
      <c r="F2324" s="7" t="str">
        <f>IFERROR(
   INDEX(tbl_ProduitsRef[Prix Menu],MATCH(tbl_Ventes[[#This Row],[Produit]],tbl_ProduitsRef[Produit],0)),
   ""
)</f>
        <v/>
      </c>
      <c r="G2324" s="7">
        <f>tbl_Ventes[[#This Row],[Qté Vendue]] * IFERROR(_xlfn.XLOOKUP(tbl_Ventes[[#This Row],[Cde_Prdt]], tbl_Produits[Cde_Prdt], tbl_Produits[Prix Menu]), 0)</f>
        <v>0</v>
      </c>
      <c r="H2324" s="7">
        <f>IFERROR(_xlfn.XLOOKUP(tbl_Ventes[[#This Row],[Cde_Prdt]], tbl_Produits[Cde_Prdt], tbl_Produits[Coût Moyen Portion]), 0)</f>
        <v>0</v>
      </c>
      <c r="I2324" s="7">
        <f>tbl_Ventes[[#This Row],[Qté Vendue]] * tbl_Ventes[[#This Row],[CMP_par_portion]]</f>
        <v>0</v>
      </c>
      <c r="J2324" s="7">
        <f>tbl_Ventes[[#This Row],[CA ligne]] - tbl_Ventes[[#This Row],[Coût matière ligne]]</f>
        <v>0</v>
      </c>
      <c r="K2324" s="7" t="str">
        <f>IFERROR(INDEX(tbl_ProduitsRef[Famille], MATCH(tbl_Ventes[[#This Row],[Cde_Prdt]], tbl_Produits[Cde_Prdt], 0)), "")</f>
        <v/>
      </c>
    </row>
    <row r="2325" spans="1:11" x14ac:dyDescent="0.25">
      <c r="A2325" s="5"/>
      <c r="B2325" s="63" t="str">
        <f>IFERROR(TEXT(tbl_Ventes[[#This Row],[Date]],"mm-aaaa"),"")</f>
        <v>01-1900</v>
      </c>
      <c r="D2325" s="10" t="str">
        <f>IFERROR(
   INDEX(tbl_ProduitsRef[Cde_Prdt],MATCH(tbl_Ventes[[#This Row],[Produit]],tbl_ProduitsRef[Produit],0)),
   ""
)</f>
        <v/>
      </c>
      <c r="E2325" s="7">
        <v>0</v>
      </c>
      <c r="F2325" s="7" t="str">
        <f>IFERROR(
   INDEX(tbl_ProduitsRef[Prix Menu],MATCH(tbl_Ventes[[#This Row],[Produit]],tbl_ProduitsRef[Produit],0)),
   ""
)</f>
        <v/>
      </c>
      <c r="G2325" s="7">
        <f>tbl_Ventes[[#This Row],[Qté Vendue]] * IFERROR(_xlfn.XLOOKUP(tbl_Ventes[[#This Row],[Cde_Prdt]], tbl_Produits[Cde_Prdt], tbl_Produits[Prix Menu]), 0)</f>
        <v>0</v>
      </c>
      <c r="H2325" s="7">
        <f>IFERROR(_xlfn.XLOOKUP(tbl_Ventes[[#This Row],[Cde_Prdt]], tbl_Produits[Cde_Prdt], tbl_Produits[Coût Moyen Portion]), 0)</f>
        <v>0</v>
      </c>
      <c r="I2325" s="7">
        <f>tbl_Ventes[[#This Row],[Qté Vendue]] * tbl_Ventes[[#This Row],[CMP_par_portion]]</f>
        <v>0</v>
      </c>
      <c r="J2325" s="7">
        <f>tbl_Ventes[[#This Row],[CA ligne]] - tbl_Ventes[[#This Row],[Coût matière ligne]]</f>
        <v>0</v>
      </c>
      <c r="K2325" s="7" t="str">
        <f>IFERROR(INDEX(tbl_ProduitsRef[Famille], MATCH(tbl_Ventes[[#This Row],[Cde_Prdt]], tbl_Produits[Cde_Prdt], 0)), "")</f>
        <v/>
      </c>
    </row>
    <row r="2326" spans="1:11" x14ac:dyDescent="0.25">
      <c r="A2326" s="5"/>
      <c r="B2326" s="63" t="str">
        <f>IFERROR(TEXT(tbl_Ventes[[#This Row],[Date]],"mm-aaaa"),"")</f>
        <v>01-1900</v>
      </c>
      <c r="D2326" s="10" t="str">
        <f>IFERROR(
   INDEX(tbl_ProduitsRef[Cde_Prdt],MATCH(tbl_Ventes[[#This Row],[Produit]],tbl_ProduitsRef[Produit],0)),
   ""
)</f>
        <v/>
      </c>
      <c r="E2326" s="7">
        <v>0</v>
      </c>
      <c r="F2326" s="7" t="str">
        <f>IFERROR(
   INDEX(tbl_ProduitsRef[Prix Menu],MATCH(tbl_Ventes[[#This Row],[Produit]],tbl_ProduitsRef[Produit],0)),
   ""
)</f>
        <v/>
      </c>
      <c r="G2326" s="7">
        <f>tbl_Ventes[[#This Row],[Qté Vendue]] * IFERROR(_xlfn.XLOOKUP(tbl_Ventes[[#This Row],[Cde_Prdt]], tbl_Produits[Cde_Prdt], tbl_Produits[Prix Menu]), 0)</f>
        <v>0</v>
      </c>
      <c r="H2326" s="7">
        <f>IFERROR(_xlfn.XLOOKUP(tbl_Ventes[[#This Row],[Cde_Prdt]], tbl_Produits[Cde_Prdt], tbl_Produits[Coût Moyen Portion]), 0)</f>
        <v>0</v>
      </c>
      <c r="I2326" s="7">
        <f>tbl_Ventes[[#This Row],[Qté Vendue]] * tbl_Ventes[[#This Row],[CMP_par_portion]]</f>
        <v>0</v>
      </c>
      <c r="J2326" s="7">
        <f>tbl_Ventes[[#This Row],[CA ligne]] - tbl_Ventes[[#This Row],[Coût matière ligne]]</f>
        <v>0</v>
      </c>
      <c r="K2326" s="7" t="str">
        <f>IFERROR(INDEX(tbl_ProduitsRef[Famille], MATCH(tbl_Ventes[[#This Row],[Cde_Prdt]], tbl_Produits[Cde_Prdt], 0)), "")</f>
        <v/>
      </c>
    </row>
    <row r="2327" spans="1:11" x14ac:dyDescent="0.25">
      <c r="A2327" s="5"/>
      <c r="B2327" s="63" t="str">
        <f>IFERROR(TEXT(tbl_Ventes[[#This Row],[Date]],"mm-aaaa"),"")</f>
        <v>01-1900</v>
      </c>
      <c r="D2327" s="10" t="str">
        <f>IFERROR(
   INDEX(tbl_ProduitsRef[Cde_Prdt],MATCH(tbl_Ventes[[#This Row],[Produit]],tbl_ProduitsRef[Produit],0)),
   ""
)</f>
        <v/>
      </c>
      <c r="E2327" s="7">
        <v>0</v>
      </c>
      <c r="F2327" s="7" t="str">
        <f>IFERROR(
   INDEX(tbl_ProduitsRef[Prix Menu],MATCH(tbl_Ventes[[#This Row],[Produit]],tbl_ProduitsRef[Produit],0)),
   ""
)</f>
        <v/>
      </c>
      <c r="G2327" s="7">
        <f>tbl_Ventes[[#This Row],[Qté Vendue]] * IFERROR(_xlfn.XLOOKUP(tbl_Ventes[[#This Row],[Cde_Prdt]], tbl_Produits[Cde_Prdt], tbl_Produits[Prix Menu]), 0)</f>
        <v>0</v>
      </c>
      <c r="H2327" s="7">
        <f>IFERROR(_xlfn.XLOOKUP(tbl_Ventes[[#This Row],[Cde_Prdt]], tbl_Produits[Cde_Prdt], tbl_Produits[Coût Moyen Portion]), 0)</f>
        <v>0</v>
      </c>
      <c r="I2327" s="7">
        <f>tbl_Ventes[[#This Row],[Qté Vendue]] * tbl_Ventes[[#This Row],[CMP_par_portion]]</f>
        <v>0</v>
      </c>
      <c r="J2327" s="7">
        <f>tbl_Ventes[[#This Row],[CA ligne]] - tbl_Ventes[[#This Row],[Coût matière ligne]]</f>
        <v>0</v>
      </c>
      <c r="K2327" s="7" t="str">
        <f>IFERROR(INDEX(tbl_ProduitsRef[Famille], MATCH(tbl_Ventes[[#This Row],[Cde_Prdt]], tbl_Produits[Cde_Prdt], 0)), "")</f>
        <v/>
      </c>
    </row>
    <row r="2328" spans="1:11" x14ac:dyDescent="0.25">
      <c r="A2328" s="5"/>
      <c r="B2328" s="63" t="str">
        <f>IFERROR(TEXT(tbl_Ventes[[#This Row],[Date]],"mm-aaaa"),"")</f>
        <v>01-1900</v>
      </c>
      <c r="D2328" s="10" t="str">
        <f>IFERROR(
   INDEX(tbl_ProduitsRef[Cde_Prdt],MATCH(tbl_Ventes[[#This Row],[Produit]],tbl_ProduitsRef[Produit],0)),
   ""
)</f>
        <v/>
      </c>
      <c r="E2328" s="7">
        <v>0</v>
      </c>
      <c r="F2328" s="7" t="str">
        <f>IFERROR(
   INDEX(tbl_ProduitsRef[Prix Menu],MATCH(tbl_Ventes[[#This Row],[Produit]],tbl_ProduitsRef[Produit],0)),
   ""
)</f>
        <v/>
      </c>
      <c r="G2328" s="7">
        <f>tbl_Ventes[[#This Row],[Qté Vendue]] * IFERROR(_xlfn.XLOOKUP(tbl_Ventes[[#This Row],[Cde_Prdt]], tbl_Produits[Cde_Prdt], tbl_Produits[Prix Menu]), 0)</f>
        <v>0</v>
      </c>
      <c r="H2328" s="7">
        <f>IFERROR(_xlfn.XLOOKUP(tbl_Ventes[[#This Row],[Cde_Prdt]], tbl_Produits[Cde_Prdt], tbl_Produits[Coût Moyen Portion]), 0)</f>
        <v>0</v>
      </c>
      <c r="I2328" s="7">
        <f>tbl_Ventes[[#This Row],[Qté Vendue]] * tbl_Ventes[[#This Row],[CMP_par_portion]]</f>
        <v>0</v>
      </c>
      <c r="J2328" s="7">
        <f>tbl_Ventes[[#This Row],[CA ligne]] - tbl_Ventes[[#This Row],[Coût matière ligne]]</f>
        <v>0</v>
      </c>
      <c r="K2328" s="7" t="str">
        <f>IFERROR(INDEX(tbl_ProduitsRef[Famille], MATCH(tbl_Ventes[[#This Row],[Cde_Prdt]], tbl_Produits[Cde_Prdt], 0)), "")</f>
        <v/>
      </c>
    </row>
    <row r="2329" spans="1:11" x14ac:dyDescent="0.25">
      <c r="A2329" s="5"/>
      <c r="B2329" s="63" t="str">
        <f>IFERROR(TEXT(tbl_Ventes[[#This Row],[Date]],"mm-aaaa"),"")</f>
        <v>01-1900</v>
      </c>
      <c r="D2329" s="10" t="str">
        <f>IFERROR(
   INDEX(tbl_ProduitsRef[Cde_Prdt],MATCH(tbl_Ventes[[#This Row],[Produit]],tbl_ProduitsRef[Produit],0)),
   ""
)</f>
        <v/>
      </c>
      <c r="E2329" s="7">
        <v>0</v>
      </c>
      <c r="F2329" s="7" t="str">
        <f>IFERROR(
   INDEX(tbl_ProduitsRef[Prix Menu],MATCH(tbl_Ventes[[#This Row],[Produit]],tbl_ProduitsRef[Produit],0)),
   ""
)</f>
        <v/>
      </c>
      <c r="G2329" s="7">
        <f>tbl_Ventes[[#This Row],[Qté Vendue]] * IFERROR(_xlfn.XLOOKUP(tbl_Ventes[[#This Row],[Cde_Prdt]], tbl_Produits[Cde_Prdt], tbl_Produits[Prix Menu]), 0)</f>
        <v>0</v>
      </c>
      <c r="H2329" s="7">
        <f>IFERROR(_xlfn.XLOOKUP(tbl_Ventes[[#This Row],[Cde_Prdt]], tbl_Produits[Cde_Prdt], tbl_Produits[Coût Moyen Portion]), 0)</f>
        <v>0</v>
      </c>
      <c r="I2329" s="7">
        <f>tbl_Ventes[[#This Row],[Qté Vendue]] * tbl_Ventes[[#This Row],[CMP_par_portion]]</f>
        <v>0</v>
      </c>
      <c r="J2329" s="7">
        <f>tbl_Ventes[[#This Row],[CA ligne]] - tbl_Ventes[[#This Row],[Coût matière ligne]]</f>
        <v>0</v>
      </c>
      <c r="K2329" s="7" t="str">
        <f>IFERROR(INDEX(tbl_ProduitsRef[Famille], MATCH(tbl_Ventes[[#This Row],[Cde_Prdt]], tbl_Produits[Cde_Prdt], 0)), "")</f>
        <v/>
      </c>
    </row>
    <row r="2330" spans="1:11" x14ac:dyDescent="0.25">
      <c r="A2330" s="5"/>
      <c r="B2330" s="63" t="str">
        <f>IFERROR(TEXT(tbl_Ventes[[#This Row],[Date]],"mm-aaaa"),"")</f>
        <v>01-1900</v>
      </c>
      <c r="D2330" s="10" t="str">
        <f>IFERROR(
   INDEX(tbl_ProduitsRef[Cde_Prdt],MATCH(tbl_Ventes[[#This Row],[Produit]],tbl_ProduitsRef[Produit],0)),
   ""
)</f>
        <v/>
      </c>
      <c r="E2330" s="7">
        <v>0</v>
      </c>
      <c r="F2330" s="7" t="str">
        <f>IFERROR(
   INDEX(tbl_ProduitsRef[Prix Menu],MATCH(tbl_Ventes[[#This Row],[Produit]],tbl_ProduitsRef[Produit],0)),
   ""
)</f>
        <v/>
      </c>
      <c r="G2330" s="7">
        <f>tbl_Ventes[[#This Row],[Qté Vendue]] * IFERROR(_xlfn.XLOOKUP(tbl_Ventes[[#This Row],[Cde_Prdt]], tbl_Produits[Cde_Prdt], tbl_Produits[Prix Menu]), 0)</f>
        <v>0</v>
      </c>
      <c r="H2330" s="7">
        <f>IFERROR(_xlfn.XLOOKUP(tbl_Ventes[[#This Row],[Cde_Prdt]], tbl_Produits[Cde_Prdt], tbl_Produits[Coût Moyen Portion]), 0)</f>
        <v>0</v>
      </c>
      <c r="I2330" s="7">
        <f>tbl_Ventes[[#This Row],[Qté Vendue]] * tbl_Ventes[[#This Row],[CMP_par_portion]]</f>
        <v>0</v>
      </c>
      <c r="J2330" s="7">
        <f>tbl_Ventes[[#This Row],[CA ligne]] - tbl_Ventes[[#This Row],[Coût matière ligne]]</f>
        <v>0</v>
      </c>
      <c r="K2330" s="7" t="str">
        <f>IFERROR(INDEX(tbl_ProduitsRef[Famille], MATCH(tbl_Ventes[[#This Row],[Cde_Prdt]], tbl_Produits[Cde_Prdt], 0)), "")</f>
        <v/>
      </c>
    </row>
    <row r="2331" spans="1:11" x14ac:dyDescent="0.25">
      <c r="A2331" s="5"/>
      <c r="B2331" s="63" t="str">
        <f>IFERROR(TEXT(tbl_Ventes[[#This Row],[Date]],"mm-aaaa"),"")</f>
        <v>01-1900</v>
      </c>
      <c r="D2331" s="10" t="str">
        <f>IFERROR(
   INDEX(tbl_ProduitsRef[Cde_Prdt],MATCH(tbl_Ventes[[#This Row],[Produit]],tbl_ProduitsRef[Produit],0)),
   ""
)</f>
        <v/>
      </c>
      <c r="E2331" s="7">
        <v>0</v>
      </c>
      <c r="F2331" s="7" t="str">
        <f>IFERROR(
   INDEX(tbl_ProduitsRef[Prix Menu],MATCH(tbl_Ventes[[#This Row],[Produit]],tbl_ProduitsRef[Produit],0)),
   ""
)</f>
        <v/>
      </c>
      <c r="G2331" s="7">
        <f>tbl_Ventes[[#This Row],[Qté Vendue]] * IFERROR(_xlfn.XLOOKUP(tbl_Ventes[[#This Row],[Cde_Prdt]], tbl_Produits[Cde_Prdt], tbl_Produits[Prix Menu]), 0)</f>
        <v>0</v>
      </c>
      <c r="H2331" s="7">
        <f>IFERROR(_xlfn.XLOOKUP(tbl_Ventes[[#This Row],[Cde_Prdt]], tbl_Produits[Cde_Prdt], tbl_Produits[Coût Moyen Portion]), 0)</f>
        <v>0</v>
      </c>
      <c r="I2331" s="7">
        <f>tbl_Ventes[[#This Row],[Qté Vendue]] * tbl_Ventes[[#This Row],[CMP_par_portion]]</f>
        <v>0</v>
      </c>
      <c r="J2331" s="7">
        <f>tbl_Ventes[[#This Row],[CA ligne]] - tbl_Ventes[[#This Row],[Coût matière ligne]]</f>
        <v>0</v>
      </c>
      <c r="K2331" s="7" t="str">
        <f>IFERROR(INDEX(tbl_ProduitsRef[Famille], MATCH(tbl_Ventes[[#This Row],[Cde_Prdt]], tbl_Produits[Cde_Prdt], 0)), "")</f>
        <v/>
      </c>
    </row>
    <row r="2332" spans="1:11" x14ac:dyDescent="0.25">
      <c r="A2332" s="5"/>
      <c r="B2332" s="63" t="str">
        <f>IFERROR(TEXT(tbl_Ventes[[#This Row],[Date]],"mm-aaaa"),"")</f>
        <v>01-1900</v>
      </c>
      <c r="D2332" s="10" t="str">
        <f>IFERROR(
   INDEX(tbl_ProduitsRef[Cde_Prdt],MATCH(tbl_Ventes[[#This Row],[Produit]],tbl_ProduitsRef[Produit],0)),
   ""
)</f>
        <v/>
      </c>
      <c r="E2332" s="7">
        <v>0</v>
      </c>
      <c r="F2332" s="7" t="str">
        <f>IFERROR(
   INDEX(tbl_ProduitsRef[Prix Menu],MATCH(tbl_Ventes[[#This Row],[Produit]],tbl_ProduitsRef[Produit],0)),
   ""
)</f>
        <v/>
      </c>
      <c r="G2332" s="7">
        <f>tbl_Ventes[[#This Row],[Qté Vendue]] * IFERROR(_xlfn.XLOOKUP(tbl_Ventes[[#This Row],[Cde_Prdt]], tbl_Produits[Cde_Prdt], tbl_Produits[Prix Menu]), 0)</f>
        <v>0</v>
      </c>
      <c r="H2332" s="7">
        <f>IFERROR(_xlfn.XLOOKUP(tbl_Ventes[[#This Row],[Cde_Prdt]], tbl_Produits[Cde_Prdt], tbl_Produits[Coût Moyen Portion]), 0)</f>
        <v>0</v>
      </c>
      <c r="I2332" s="7">
        <f>tbl_Ventes[[#This Row],[Qté Vendue]] * tbl_Ventes[[#This Row],[CMP_par_portion]]</f>
        <v>0</v>
      </c>
      <c r="J2332" s="7">
        <f>tbl_Ventes[[#This Row],[CA ligne]] - tbl_Ventes[[#This Row],[Coût matière ligne]]</f>
        <v>0</v>
      </c>
      <c r="K2332" s="7" t="str">
        <f>IFERROR(INDEX(tbl_ProduitsRef[Famille], MATCH(tbl_Ventes[[#This Row],[Cde_Prdt]], tbl_Produits[Cde_Prdt], 0)), "")</f>
        <v/>
      </c>
    </row>
    <row r="2333" spans="1:11" x14ac:dyDescent="0.25">
      <c r="A2333" s="5"/>
      <c r="B2333" s="63" t="str">
        <f>IFERROR(TEXT(tbl_Ventes[[#This Row],[Date]],"mm-aaaa"),"")</f>
        <v>01-1900</v>
      </c>
      <c r="D2333" s="10" t="str">
        <f>IFERROR(
   INDEX(tbl_ProduitsRef[Cde_Prdt],MATCH(tbl_Ventes[[#This Row],[Produit]],tbl_ProduitsRef[Produit],0)),
   ""
)</f>
        <v/>
      </c>
      <c r="E2333" s="7">
        <v>0</v>
      </c>
      <c r="F2333" s="7" t="str">
        <f>IFERROR(
   INDEX(tbl_ProduitsRef[Prix Menu],MATCH(tbl_Ventes[[#This Row],[Produit]],tbl_ProduitsRef[Produit],0)),
   ""
)</f>
        <v/>
      </c>
      <c r="G2333" s="7">
        <f>tbl_Ventes[[#This Row],[Qté Vendue]] * IFERROR(_xlfn.XLOOKUP(tbl_Ventes[[#This Row],[Cde_Prdt]], tbl_Produits[Cde_Prdt], tbl_Produits[Prix Menu]), 0)</f>
        <v>0</v>
      </c>
      <c r="H2333" s="7">
        <f>IFERROR(_xlfn.XLOOKUP(tbl_Ventes[[#This Row],[Cde_Prdt]], tbl_Produits[Cde_Prdt], tbl_Produits[Coût Moyen Portion]), 0)</f>
        <v>0</v>
      </c>
      <c r="I2333" s="7">
        <f>tbl_Ventes[[#This Row],[Qté Vendue]] * tbl_Ventes[[#This Row],[CMP_par_portion]]</f>
        <v>0</v>
      </c>
      <c r="J2333" s="7">
        <f>tbl_Ventes[[#This Row],[CA ligne]] - tbl_Ventes[[#This Row],[Coût matière ligne]]</f>
        <v>0</v>
      </c>
      <c r="K2333" s="7" t="str">
        <f>IFERROR(INDEX(tbl_ProduitsRef[Famille], MATCH(tbl_Ventes[[#This Row],[Cde_Prdt]], tbl_Produits[Cde_Prdt], 0)), "")</f>
        <v/>
      </c>
    </row>
    <row r="2334" spans="1:11" x14ac:dyDescent="0.25">
      <c r="A2334" s="5"/>
      <c r="B2334" s="63" t="str">
        <f>IFERROR(TEXT(tbl_Ventes[[#This Row],[Date]],"mm-aaaa"),"")</f>
        <v>01-1900</v>
      </c>
      <c r="D2334" s="10" t="str">
        <f>IFERROR(
   INDEX(tbl_ProduitsRef[Cde_Prdt],MATCH(tbl_Ventes[[#This Row],[Produit]],tbl_ProduitsRef[Produit],0)),
   ""
)</f>
        <v/>
      </c>
      <c r="E2334" s="7">
        <v>0</v>
      </c>
      <c r="F2334" s="7" t="str">
        <f>IFERROR(
   INDEX(tbl_ProduitsRef[Prix Menu],MATCH(tbl_Ventes[[#This Row],[Produit]],tbl_ProduitsRef[Produit],0)),
   ""
)</f>
        <v/>
      </c>
      <c r="G2334" s="7">
        <f>tbl_Ventes[[#This Row],[Qté Vendue]] * IFERROR(_xlfn.XLOOKUP(tbl_Ventes[[#This Row],[Cde_Prdt]], tbl_Produits[Cde_Prdt], tbl_Produits[Prix Menu]), 0)</f>
        <v>0</v>
      </c>
      <c r="H2334" s="7">
        <f>IFERROR(_xlfn.XLOOKUP(tbl_Ventes[[#This Row],[Cde_Prdt]], tbl_Produits[Cde_Prdt], tbl_Produits[Coût Moyen Portion]), 0)</f>
        <v>0</v>
      </c>
      <c r="I2334" s="7">
        <f>tbl_Ventes[[#This Row],[Qté Vendue]] * tbl_Ventes[[#This Row],[CMP_par_portion]]</f>
        <v>0</v>
      </c>
      <c r="J2334" s="7">
        <f>tbl_Ventes[[#This Row],[CA ligne]] - tbl_Ventes[[#This Row],[Coût matière ligne]]</f>
        <v>0</v>
      </c>
      <c r="K2334" s="7" t="str">
        <f>IFERROR(INDEX(tbl_ProduitsRef[Famille], MATCH(tbl_Ventes[[#This Row],[Cde_Prdt]], tbl_Produits[Cde_Prdt], 0)), "")</f>
        <v/>
      </c>
    </row>
    <row r="2335" spans="1:11" x14ac:dyDescent="0.25">
      <c r="A2335" s="5"/>
      <c r="B2335" s="63" t="str">
        <f>IFERROR(TEXT(tbl_Ventes[[#This Row],[Date]],"mm-aaaa"),"")</f>
        <v>01-1900</v>
      </c>
      <c r="D2335" s="10" t="str">
        <f>IFERROR(
   INDEX(tbl_ProduitsRef[Cde_Prdt],MATCH(tbl_Ventes[[#This Row],[Produit]],tbl_ProduitsRef[Produit],0)),
   ""
)</f>
        <v/>
      </c>
      <c r="E2335" s="7">
        <v>0</v>
      </c>
      <c r="F2335" s="7" t="str">
        <f>IFERROR(
   INDEX(tbl_ProduitsRef[Prix Menu],MATCH(tbl_Ventes[[#This Row],[Produit]],tbl_ProduitsRef[Produit],0)),
   ""
)</f>
        <v/>
      </c>
      <c r="G2335" s="7">
        <f>tbl_Ventes[[#This Row],[Qté Vendue]] * IFERROR(_xlfn.XLOOKUP(tbl_Ventes[[#This Row],[Cde_Prdt]], tbl_Produits[Cde_Prdt], tbl_Produits[Prix Menu]), 0)</f>
        <v>0</v>
      </c>
      <c r="H2335" s="7">
        <f>IFERROR(_xlfn.XLOOKUP(tbl_Ventes[[#This Row],[Cde_Prdt]], tbl_Produits[Cde_Prdt], tbl_Produits[Coût Moyen Portion]), 0)</f>
        <v>0</v>
      </c>
      <c r="I2335" s="7">
        <f>tbl_Ventes[[#This Row],[Qté Vendue]] * tbl_Ventes[[#This Row],[CMP_par_portion]]</f>
        <v>0</v>
      </c>
      <c r="J2335" s="7">
        <f>tbl_Ventes[[#This Row],[CA ligne]] - tbl_Ventes[[#This Row],[Coût matière ligne]]</f>
        <v>0</v>
      </c>
      <c r="K2335" s="7" t="str">
        <f>IFERROR(INDEX(tbl_ProduitsRef[Famille], MATCH(tbl_Ventes[[#This Row],[Cde_Prdt]], tbl_Produits[Cde_Prdt], 0)), "")</f>
        <v/>
      </c>
    </row>
    <row r="2336" spans="1:11" x14ac:dyDescent="0.25">
      <c r="A2336" s="5"/>
      <c r="B2336" s="63" t="str">
        <f>IFERROR(TEXT(tbl_Ventes[[#This Row],[Date]],"mm-aaaa"),"")</f>
        <v>01-1900</v>
      </c>
      <c r="D2336" s="10" t="str">
        <f>IFERROR(
   INDEX(tbl_ProduitsRef[Cde_Prdt],MATCH(tbl_Ventes[[#This Row],[Produit]],tbl_ProduitsRef[Produit],0)),
   ""
)</f>
        <v/>
      </c>
      <c r="E2336" s="7">
        <v>0</v>
      </c>
      <c r="F2336" s="7" t="str">
        <f>IFERROR(
   INDEX(tbl_ProduitsRef[Prix Menu],MATCH(tbl_Ventes[[#This Row],[Produit]],tbl_ProduitsRef[Produit],0)),
   ""
)</f>
        <v/>
      </c>
      <c r="G2336" s="7">
        <f>tbl_Ventes[[#This Row],[Qté Vendue]] * IFERROR(_xlfn.XLOOKUP(tbl_Ventes[[#This Row],[Cde_Prdt]], tbl_Produits[Cde_Prdt], tbl_Produits[Prix Menu]), 0)</f>
        <v>0</v>
      </c>
      <c r="H2336" s="7">
        <f>IFERROR(_xlfn.XLOOKUP(tbl_Ventes[[#This Row],[Cde_Prdt]], tbl_Produits[Cde_Prdt], tbl_Produits[Coût Moyen Portion]), 0)</f>
        <v>0</v>
      </c>
      <c r="I2336" s="7">
        <f>tbl_Ventes[[#This Row],[Qté Vendue]] * tbl_Ventes[[#This Row],[CMP_par_portion]]</f>
        <v>0</v>
      </c>
      <c r="J2336" s="7">
        <f>tbl_Ventes[[#This Row],[CA ligne]] - tbl_Ventes[[#This Row],[Coût matière ligne]]</f>
        <v>0</v>
      </c>
      <c r="K2336" s="7" t="str">
        <f>IFERROR(INDEX(tbl_ProduitsRef[Famille], MATCH(tbl_Ventes[[#This Row],[Cde_Prdt]], tbl_Produits[Cde_Prdt], 0)), "")</f>
        <v/>
      </c>
    </row>
    <row r="2337" spans="1:11" x14ac:dyDescent="0.25">
      <c r="A2337" s="5"/>
      <c r="B2337" s="63" t="str">
        <f>IFERROR(TEXT(tbl_Ventes[[#This Row],[Date]],"mm-aaaa"),"")</f>
        <v>01-1900</v>
      </c>
      <c r="D2337" s="10" t="str">
        <f>IFERROR(
   INDEX(tbl_ProduitsRef[Cde_Prdt],MATCH(tbl_Ventes[[#This Row],[Produit]],tbl_ProduitsRef[Produit],0)),
   ""
)</f>
        <v/>
      </c>
      <c r="E2337" s="7">
        <v>0</v>
      </c>
      <c r="F2337" s="7" t="str">
        <f>IFERROR(
   INDEX(tbl_ProduitsRef[Prix Menu],MATCH(tbl_Ventes[[#This Row],[Produit]],tbl_ProduitsRef[Produit],0)),
   ""
)</f>
        <v/>
      </c>
      <c r="G2337" s="7">
        <f>tbl_Ventes[[#This Row],[Qté Vendue]] * IFERROR(_xlfn.XLOOKUP(tbl_Ventes[[#This Row],[Cde_Prdt]], tbl_Produits[Cde_Prdt], tbl_Produits[Prix Menu]), 0)</f>
        <v>0</v>
      </c>
      <c r="H2337" s="7">
        <f>IFERROR(_xlfn.XLOOKUP(tbl_Ventes[[#This Row],[Cde_Prdt]], tbl_Produits[Cde_Prdt], tbl_Produits[Coût Moyen Portion]), 0)</f>
        <v>0</v>
      </c>
      <c r="I2337" s="7">
        <f>tbl_Ventes[[#This Row],[Qté Vendue]] * tbl_Ventes[[#This Row],[CMP_par_portion]]</f>
        <v>0</v>
      </c>
      <c r="J2337" s="7">
        <f>tbl_Ventes[[#This Row],[CA ligne]] - tbl_Ventes[[#This Row],[Coût matière ligne]]</f>
        <v>0</v>
      </c>
      <c r="K2337" s="7" t="str">
        <f>IFERROR(INDEX(tbl_ProduitsRef[Famille], MATCH(tbl_Ventes[[#This Row],[Cde_Prdt]], tbl_Produits[Cde_Prdt], 0)), "")</f>
        <v/>
      </c>
    </row>
    <row r="2338" spans="1:11" x14ac:dyDescent="0.25">
      <c r="A2338" s="5"/>
      <c r="B2338" s="63" t="str">
        <f>IFERROR(TEXT(tbl_Ventes[[#This Row],[Date]],"mm-aaaa"),"")</f>
        <v>01-1900</v>
      </c>
      <c r="D2338" s="10" t="str">
        <f>IFERROR(
   INDEX(tbl_ProduitsRef[Cde_Prdt],MATCH(tbl_Ventes[[#This Row],[Produit]],tbl_ProduitsRef[Produit],0)),
   ""
)</f>
        <v/>
      </c>
      <c r="E2338" s="7">
        <v>0</v>
      </c>
      <c r="F2338" s="7" t="str">
        <f>IFERROR(
   INDEX(tbl_ProduitsRef[Prix Menu],MATCH(tbl_Ventes[[#This Row],[Produit]],tbl_ProduitsRef[Produit],0)),
   ""
)</f>
        <v/>
      </c>
      <c r="G2338" s="7">
        <f>tbl_Ventes[[#This Row],[Qté Vendue]] * IFERROR(_xlfn.XLOOKUP(tbl_Ventes[[#This Row],[Cde_Prdt]], tbl_Produits[Cde_Prdt], tbl_Produits[Prix Menu]), 0)</f>
        <v>0</v>
      </c>
      <c r="H2338" s="7">
        <f>IFERROR(_xlfn.XLOOKUP(tbl_Ventes[[#This Row],[Cde_Prdt]], tbl_Produits[Cde_Prdt], tbl_Produits[Coût Moyen Portion]), 0)</f>
        <v>0</v>
      </c>
      <c r="I2338" s="7">
        <f>tbl_Ventes[[#This Row],[Qté Vendue]] * tbl_Ventes[[#This Row],[CMP_par_portion]]</f>
        <v>0</v>
      </c>
      <c r="J2338" s="7">
        <f>tbl_Ventes[[#This Row],[CA ligne]] - tbl_Ventes[[#This Row],[Coût matière ligne]]</f>
        <v>0</v>
      </c>
      <c r="K2338" s="7" t="str">
        <f>IFERROR(INDEX(tbl_ProduitsRef[Famille], MATCH(tbl_Ventes[[#This Row],[Cde_Prdt]], tbl_Produits[Cde_Prdt], 0)), "")</f>
        <v/>
      </c>
    </row>
    <row r="2339" spans="1:11" x14ac:dyDescent="0.25">
      <c r="A2339" s="5"/>
      <c r="B2339" s="63" t="str">
        <f>IFERROR(TEXT(tbl_Ventes[[#This Row],[Date]],"mm-aaaa"),"")</f>
        <v>01-1900</v>
      </c>
      <c r="D2339" s="10" t="str">
        <f>IFERROR(
   INDEX(tbl_ProduitsRef[Cde_Prdt],MATCH(tbl_Ventes[[#This Row],[Produit]],tbl_ProduitsRef[Produit],0)),
   ""
)</f>
        <v/>
      </c>
      <c r="E2339" s="7">
        <v>0</v>
      </c>
      <c r="F2339" s="7" t="str">
        <f>IFERROR(
   INDEX(tbl_ProduitsRef[Prix Menu],MATCH(tbl_Ventes[[#This Row],[Produit]],tbl_ProduitsRef[Produit],0)),
   ""
)</f>
        <v/>
      </c>
      <c r="G2339" s="7">
        <f>tbl_Ventes[[#This Row],[Qté Vendue]] * IFERROR(_xlfn.XLOOKUP(tbl_Ventes[[#This Row],[Cde_Prdt]], tbl_Produits[Cde_Prdt], tbl_Produits[Prix Menu]), 0)</f>
        <v>0</v>
      </c>
      <c r="H2339" s="7">
        <f>IFERROR(_xlfn.XLOOKUP(tbl_Ventes[[#This Row],[Cde_Prdt]], tbl_Produits[Cde_Prdt], tbl_Produits[Coût Moyen Portion]), 0)</f>
        <v>0</v>
      </c>
      <c r="I2339" s="7">
        <f>tbl_Ventes[[#This Row],[Qté Vendue]] * tbl_Ventes[[#This Row],[CMP_par_portion]]</f>
        <v>0</v>
      </c>
      <c r="J2339" s="7">
        <f>tbl_Ventes[[#This Row],[CA ligne]] - tbl_Ventes[[#This Row],[Coût matière ligne]]</f>
        <v>0</v>
      </c>
      <c r="K2339" s="7" t="str">
        <f>IFERROR(INDEX(tbl_ProduitsRef[Famille], MATCH(tbl_Ventes[[#This Row],[Cde_Prdt]], tbl_Produits[Cde_Prdt], 0)), "")</f>
        <v/>
      </c>
    </row>
    <row r="2340" spans="1:11" x14ac:dyDescent="0.25">
      <c r="A2340" s="5"/>
      <c r="B2340" s="63" t="str">
        <f>IFERROR(TEXT(tbl_Ventes[[#This Row],[Date]],"mm-aaaa"),"")</f>
        <v>01-1900</v>
      </c>
      <c r="D2340" s="10" t="str">
        <f>IFERROR(
   INDEX(tbl_ProduitsRef[Cde_Prdt],MATCH(tbl_Ventes[[#This Row],[Produit]],tbl_ProduitsRef[Produit],0)),
   ""
)</f>
        <v/>
      </c>
      <c r="E2340" s="7">
        <v>0</v>
      </c>
      <c r="F2340" s="7" t="str">
        <f>IFERROR(
   INDEX(tbl_ProduitsRef[Prix Menu],MATCH(tbl_Ventes[[#This Row],[Produit]],tbl_ProduitsRef[Produit],0)),
   ""
)</f>
        <v/>
      </c>
      <c r="G2340" s="7">
        <f>tbl_Ventes[[#This Row],[Qté Vendue]] * IFERROR(_xlfn.XLOOKUP(tbl_Ventes[[#This Row],[Cde_Prdt]], tbl_Produits[Cde_Prdt], tbl_Produits[Prix Menu]), 0)</f>
        <v>0</v>
      </c>
      <c r="H2340" s="7">
        <f>IFERROR(_xlfn.XLOOKUP(tbl_Ventes[[#This Row],[Cde_Prdt]], tbl_Produits[Cde_Prdt], tbl_Produits[Coût Moyen Portion]), 0)</f>
        <v>0</v>
      </c>
      <c r="I2340" s="7">
        <f>tbl_Ventes[[#This Row],[Qté Vendue]] * tbl_Ventes[[#This Row],[CMP_par_portion]]</f>
        <v>0</v>
      </c>
      <c r="J2340" s="7">
        <f>tbl_Ventes[[#This Row],[CA ligne]] - tbl_Ventes[[#This Row],[Coût matière ligne]]</f>
        <v>0</v>
      </c>
      <c r="K2340" s="7" t="str">
        <f>IFERROR(INDEX(tbl_ProduitsRef[Famille], MATCH(tbl_Ventes[[#This Row],[Cde_Prdt]], tbl_Produits[Cde_Prdt], 0)), "")</f>
        <v/>
      </c>
    </row>
    <row r="2341" spans="1:11" x14ac:dyDescent="0.25">
      <c r="A2341" s="5"/>
      <c r="B2341" s="63" t="str">
        <f>IFERROR(TEXT(tbl_Ventes[[#This Row],[Date]],"mm-aaaa"),"")</f>
        <v>01-1900</v>
      </c>
      <c r="D2341" s="10" t="str">
        <f>IFERROR(
   INDEX(tbl_ProduitsRef[Cde_Prdt],MATCH(tbl_Ventes[[#This Row],[Produit]],tbl_ProduitsRef[Produit],0)),
   ""
)</f>
        <v/>
      </c>
      <c r="E2341" s="7">
        <v>0</v>
      </c>
      <c r="F2341" s="7" t="str">
        <f>IFERROR(
   INDEX(tbl_ProduitsRef[Prix Menu],MATCH(tbl_Ventes[[#This Row],[Produit]],tbl_ProduitsRef[Produit],0)),
   ""
)</f>
        <v/>
      </c>
      <c r="G2341" s="7">
        <f>tbl_Ventes[[#This Row],[Qté Vendue]] * IFERROR(_xlfn.XLOOKUP(tbl_Ventes[[#This Row],[Cde_Prdt]], tbl_Produits[Cde_Prdt], tbl_Produits[Prix Menu]), 0)</f>
        <v>0</v>
      </c>
      <c r="H2341" s="7">
        <f>IFERROR(_xlfn.XLOOKUP(tbl_Ventes[[#This Row],[Cde_Prdt]], tbl_Produits[Cde_Prdt], tbl_Produits[Coût Moyen Portion]), 0)</f>
        <v>0</v>
      </c>
      <c r="I2341" s="7">
        <f>tbl_Ventes[[#This Row],[Qté Vendue]] * tbl_Ventes[[#This Row],[CMP_par_portion]]</f>
        <v>0</v>
      </c>
      <c r="J2341" s="7">
        <f>tbl_Ventes[[#This Row],[CA ligne]] - tbl_Ventes[[#This Row],[Coût matière ligne]]</f>
        <v>0</v>
      </c>
      <c r="K2341" s="7" t="str">
        <f>IFERROR(INDEX(tbl_ProduitsRef[Famille], MATCH(tbl_Ventes[[#This Row],[Cde_Prdt]], tbl_Produits[Cde_Prdt], 0)), "")</f>
        <v/>
      </c>
    </row>
    <row r="2342" spans="1:11" x14ac:dyDescent="0.25">
      <c r="A2342" s="5"/>
      <c r="B2342" s="63" t="str">
        <f>IFERROR(TEXT(tbl_Ventes[[#This Row],[Date]],"mm-aaaa"),"")</f>
        <v>01-1900</v>
      </c>
      <c r="D2342" s="10" t="str">
        <f>IFERROR(
   INDEX(tbl_ProduitsRef[Cde_Prdt],MATCH(tbl_Ventes[[#This Row],[Produit]],tbl_ProduitsRef[Produit],0)),
   ""
)</f>
        <v/>
      </c>
      <c r="E2342" s="7">
        <v>0</v>
      </c>
      <c r="F2342" s="7" t="str">
        <f>IFERROR(
   INDEX(tbl_ProduitsRef[Prix Menu],MATCH(tbl_Ventes[[#This Row],[Produit]],tbl_ProduitsRef[Produit],0)),
   ""
)</f>
        <v/>
      </c>
      <c r="G2342" s="7">
        <f>tbl_Ventes[[#This Row],[Qté Vendue]] * IFERROR(_xlfn.XLOOKUP(tbl_Ventes[[#This Row],[Cde_Prdt]], tbl_Produits[Cde_Prdt], tbl_Produits[Prix Menu]), 0)</f>
        <v>0</v>
      </c>
      <c r="H2342" s="7">
        <f>IFERROR(_xlfn.XLOOKUP(tbl_Ventes[[#This Row],[Cde_Prdt]], tbl_Produits[Cde_Prdt], tbl_Produits[Coût Moyen Portion]), 0)</f>
        <v>0</v>
      </c>
      <c r="I2342" s="7">
        <f>tbl_Ventes[[#This Row],[Qté Vendue]] * tbl_Ventes[[#This Row],[CMP_par_portion]]</f>
        <v>0</v>
      </c>
      <c r="J2342" s="7">
        <f>tbl_Ventes[[#This Row],[CA ligne]] - tbl_Ventes[[#This Row],[Coût matière ligne]]</f>
        <v>0</v>
      </c>
      <c r="K2342" s="7" t="str">
        <f>IFERROR(INDEX(tbl_ProduitsRef[Famille], MATCH(tbl_Ventes[[#This Row],[Cde_Prdt]], tbl_Produits[Cde_Prdt], 0)), "")</f>
        <v/>
      </c>
    </row>
    <row r="2343" spans="1:11" x14ac:dyDescent="0.25">
      <c r="A2343" s="5"/>
      <c r="B2343" s="63" t="str">
        <f>IFERROR(TEXT(tbl_Ventes[[#This Row],[Date]],"mm-aaaa"),"")</f>
        <v>01-1900</v>
      </c>
      <c r="D2343" s="10" t="str">
        <f>IFERROR(
   INDEX(tbl_ProduitsRef[Cde_Prdt],MATCH(tbl_Ventes[[#This Row],[Produit]],tbl_ProduitsRef[Produit],0)),
   ""
)</f>
        <v/>
      </c>
      <c r="E2343" s="7">
        <v>0</v>
      </c>
      <c r="F2343" s="7" t="str">
        <f>IFERROR(
   INDEX(tbl_ProduitsRef[Prix Menu],MATCH(tbl_Ventes[[#This Row],[Produit]],tbl_ProduitsRef[Produit],0)),
   ""
)</f>
        <v/>
      </c>
      <c r="G2343" s="7">
        <f>tbl_Ventes[[#This Row],[Qté Vendue]] * IFERROR(_xlfn.XLOOKUP(tbl_Ventes[[#This Row],[Cde_Prdt]], tbl_Produits[Cde_Prdt], tbl_Produits[Prix Menu]), 0)</f>
        <v>0</v>
      </c>
      <c r="H2343" s="7">
        <f>IFERROR(_xlfn.XLOOKUP(tbl_Ventes[[#This Row],[Cde_Prdt]], tbl_Produits[Cde_Prdt], tbl_Produits[Coût Moyen Portion]), 0)</f>
        <v>0</v>
      </c>
      <c r="I2343" s="7">
        <f>tbl_Ventes[[#This Row],[Qté Vendue]] * tbl_Ventes[[#This Row],[CMP_par_portion]]</f>
        <v>0</v>
      </c>
      <c r="J2343" s="7">
        <f>tbl_Ventes[[#This Row],[CA ligne]] - tbl_Ventes[[#This Row],[Coût matière ligne]]</f>
        <v>0</v>
      </c>
      <c r="K2343" s="7" t="str">
        <f>IFERROR(INDEX(tbl_ProduitsRef[Famille], MATCH(tbl_Ventes[[#This Row],[Cde_Prdt]], tbl_Produits[Cde_Prdt], 0)), "")</f>
        <v/>
      </c>
    </row>
    <row r="2344" spans="1:11" x14ac:dyDescent="0.25">
      <c r="A2344" s="5"/>
      <c r="B2344" s="63" t="str">
        <f>IFERROR(TEXT(tbl_Ventes[[#This Row],[Date]],"mm-aaaa"),"")</f>
        <v>01-1900</v>
      </c>
      <c r="D2344" s="10" t="str">
        <f>IFERROR(
   INDEX(tbl_ProduitsRef[Cde_Prdt],MATCH(tbl_Ventes[[#This Row],[Produit]],tbl_ProduitsRef[Produit],0)),
   ""
)</f>
        <v/>
      </c>
      <c r="E2344" s="7">
        <v>0</v>
      </c>
      <c r="F2344" s="7" t="str">
        <f>IFERROR(
   INDEX(tbl_ProduitsRef[Prix Menu],MATCH(tbl_Ventes[[#This Row],[Produit]],tbl_ProduitsRef[Produit],0)),
   ""
)</f>
        <v/>
      </c>
      <c r="G2344" s="7">
        <f>tbl_Ventes[[#This Row],[Qté Vendue]] * IFERROR(_xlfn.XLOOKUP(tbl_Ventes[[#This Row],[Cde_Prdt]], tbl_Produits[Cde_Prdt], tbl_Produits[Prix Menu]), 0)</f>
        <v>0</v>
      </c>
      <c r="H2344" s="7">
        <f>IFERROR(_xlfn.XLOOKUP(tbl_Ventes[[#This Row],[Cde_Prdt]], tbl_Produits[Cde_Prdt], tbl_Produits[Coût Moyen Portion]), 0)</f>
        <v>0</v>
      </c>
      <c r="I2344" s="7">
        <f>tbl_Ventes[[#This Row],[Qté Vendue]] * tbl_Ventes[[#This Row],[CMP_par_portion]]</f>
        <v>0</v>
      </c>
      <c r="J2344" s="7">
        <f>tbl_Ventes[[#This Row],[CA ligne]] - tbl_Ventes[[#This Row],[Coût matière ligne]]</f>
        <v>0</v>
      </c>
      <c r="K2344" s="7" t="str">
        <f>IFERROR(INDEX(tbl_ProduitsRef[Famille], MATCH(tbl_Ventes[[#This Row],[Cde_Prdt]], tbl_Produits[Cde_Prdt], 0)), "")</f>
        <v/>
      </c>
    </row>
    <row r="2345" spans="1:11" x14ac:dyDescent="0.25">
      <c r="A2345" s="5"/>
      <c r="B2345" s="63" t="str">
        <f>IFERROR(TEXT(tbl_Ventes[[#This Row],[Date]],"mm-aaaa"),"")</f>
        <v>01-1900</v>
      </c>
      <c r="D2345" s="10" t="str">
        <f>IFERROR(
   INDEX(tbl_ProduitsRef[Cde_Prdt],MATCH(tbl_Ventes[[#This Row],[Produit]],tbl_ProduitsRef[Produit],0)),
   ""
)</f>
        <v/>
      </c>
      <c r="E2345" s="7">
        <v>0</v>
      </c>
      <c r="F2345" s="7" t="str">
        <f>IFERROR(
   INDEX(tbl_ProduitsRef[Prix Menu],MATCH(tbl_Ventes[[#This Row],[Produit]],tbl_ProduitsRef[Produit],0)),
   ""
)</f>
        <v/>
      </c>
      <c r="G2345" s="7">
        <f>tbl_Ventes[[#This Row],[Qté Vendue]] * IFERROR(_xlfn.XLOOKUP(tbl_Ventes[[#This Row],[Cde_Prdt]], tbl_Produits[Cde_Prdt], tbl_Produits[Prix Menu]), 0)</f>
        <v>0</v>
      </c>
      <c r="H2345" s="7">
        <f>IFERROR(_xlfn.XLOOKUP(tbl_Ventes[[#This Row],[Cde_Prdt]], tbl_Produits[Cde_Prdt], tbl_Produits[Coût Moyen Portion]), 0)</f>
        <v>0</v>
      </c>
      <c r="I2345" s="7">
        <f>tbl_Ventes[[#This Row],[Qté Vendue]] * tbl_Ventes[[#This Row],[CMP_par_portion]]</f>
        <v>0</v>
      </c>
      <c r="J2345" s="7">
        <f>tbl_Ventes[[#This Row],[CA ligne]] - tbl_Ventes[[#This Row],[Coût matière ligne]]</f>
        <v>0</v>
      </c>
      <c r="K2345" s="7" t="str">
        <f>IFERROR(INDEX(tbl_ProduitsRef[Famille], MATCH(tbl_Ventes[[#This Row],[Cde_Prdt]], tbl_Produits[Cde_Prdt], 0)), "")</f>
        <v/>
      </c>
    </row>
    <row r="2346" spans="1:11" x14ac:dyDescent="0.25">
      <c r="A2346" s="5"/>
      <c r="B2346" s="63" t="str">
        <f>IFERROR(TEXT(tbl_Ventes[[#This Row],[Date]],"mm-aaaa"),"")</f>
        <v>01-1900</v>
      </c>
      <c r="D2346" s="10" t="str">
        <f>IFERROR(
   INDEX(tbl_ProduitsRef[Cde_Prdt],MATCH(tbl_Ventes[[#This Row],[Produit]],tbl_ProduitsRef[Produit],0)),
   ""
)</f>
        <v/>
      </c>
      <c r="E2346" s="7">
        <v>0</v>
      </c>
      <c r="F2346" s="7" t="str">
        <f>IFERROR(
   INDEX(tbl_ProduitsRef[Prix Menu],MATCH(tbl_Ventes[[#This Row],[Produit]],tbl_ProduitsRef[Produit],0)),
   ""
)</f>
        <v/>
      </c>
      <c r="G2346" s="7">
        <f>tbl_Ventes[[#This Row],[Qté Vendue]] * IFERROR(_xlfn.XLOOKUP(tbl_Ventes[[#This Row],[Cde_Prdt]], tbl_Produits[Cde_Prdt], tbl_Produits[Prix Menu]), 0)</f>
        <v>0</v>
      </c>
      <c r="H2346" s="7">
        <f>IFERROR(_xlfn.XLOOKUP(tbl_Ventes[[#This Row],[Cde_Prdt]], tbl_Produits[Cde_Prdt], tbl_Produits[Coût Moyen Portion]), 0)</f>
        <v>0</v>
      </c>
      <c r="I2346" s="7">
        <f>tbl_Ventes[[#This Row],[Qté Vendue]] * tbl_Ventes[[#This Row],[CMP_par_portion]]</f>
        <v>0</v>
      </c>
      <c r="J2346" s="7">
        <f>tbl_Ventes[[#This Row],[CA ligne]] - tbl_Ventes[[#This Row],[Coût matière ligne]]</f>
        <v>0</v>
      </c>
      <c r="K2346" s="7" t="str">
        <f>IFERROR(INDEX(tbl_ProduitsRef[Famille], MATCH(tbl_Ventes[[#This Row],[Cde_Prdt]], tbl_Produits[Cde_Prdt], 0)), "")</f>
        <v/>
      </c>
    </row>
    <row r="2347" spans="1:11" x14ac:dyDescent="0.25">
      <c r="A2347" s="5"/>
      <c r="B2347" s="63" t="str">
        <f>IFERROR(TEXT(tbl_Ventes[[#This Row],[Date]],"mm-aaaa"),"")</f>
        <v>01-1900</v>
      </c>
      <c r="D2347" s="10" t="str">
        <f>IFERROR(
   INDEX(tbl_ProduitsRef[Cde_Prdt],MATCH(tbl_Ventes[[#This Row],[Produit]],tbl_ProduitsRef[Produit],0)),
   ""
)</f>
        <v/>
      </c>
      <c r="E2347" s="7">
        <v>0</v>
      </c>
      <c r="F2347" s="7" t="str">
        <f>IFERROR(
   INDEX(tbl_ProduitsRef[Prix Menu],MATCH(tbl_Ventes[[#This Row],[Produit]],tbl_ProduitsRef[Produit],0)),
   ""
)</f>
        <v/>
      </c>
      <c r="G2347" s="7">
        <f>tbl_Ventes[[#This Row],[Qté Vendue]] * IFERROR(_xlfn.XLOOKUP(tbl_Ventes[[#This Row],[Cde_Prdt]], tbl_Produits[Cde_Prdt], tbl_Produits[Prix Menu]), 0)</f>
        <v>0</v>
      </c>
      <c r="H2347" s="7">
        <f>IFERROR(_xlfn.XLOOKUP(tbl_Ventes[[#This Row],[Cde_Prdt]], tbl_Produits[Cde_Prdt], tbl_Produits[Coût Moyen Portion]), 0)</f>
        <v>0</v>
      </c>
      <c r="I2347" s="7">
        <f>tbl_Ventes[[#This Row],[Qté Vendue]] * tbl_Ventes[[#This Row],[CMP_par_portion]]</f>
        <v>0</v>
      </c>
      <c r="J2347" s="7">
        <f>tbl_Ventes[[#This Row],[CA ligne]] - tbl_Ventes[[#This Row],[Coût matière ligne]]</f>
        <v>0</v>
      </c>
      <c r="K2347" s="7" t="str">
        <f>IFERROR(INDEX(tbl_ProduitsRef[Famille], MATCH(tbl_Ventes[[#This Row],[Cde_Prdt]], tbl_Produits[Cde_Prdt], 0)), "")</f>
        <v/>
      </c>
    </row>
    <row r="2348" spans="1:11" x14ac:dyDescent="0.25">
      <c r="A2348" s="5"/>
      <c r="B2348" s="63" t="str">
        <f>IFERROR(TEXT(tbl_Ventes[[#This Row],[Date]],"mm-aaaa"),"")</f>
        <v>01-1900</v>
      </c>
      <c r="D2348" s="10" t="str">
        <f>IFERROR(
   INDEX(tbl_ProduitsRef[Cde_Prdt],MATCH(tbl_Ventes[[#This Row],[Produit]],tbl_ProduitsRef[Produit],0)),
   ""
)</f>
        <v/>
      </c>
      <c r="E2348" s="7">
        <v>0</v>
      </c>
      <c r="F2348" s="7" t="str">
        <f>IFERROR(
   INDEX(tbl_ProduitsRef[Prix Menu],MATCH(tbl_Ventes[[#This Row],[Produit]],tbl_ProduitsRef[Produit],0)),
   ""
)</f>
        <v/>
      </c>
      <c r="G2348" s="7">
        <f>tbl_Ventes[[#This Row],[Qté Vendue]] * IFERROR(_xlfn.XLOOKUP(tbl_Ventes[[#This Row],[Cde_Prdt]], tbl_Produits[Cde_Prdt], tbl_Produits[Prix Menu]), 0)</f>
        <v>0</v>
      </c>
      <c r="H2348" s="7">
        <f>IFERROR(_xlfn.XLOOKUP(tbl_Ventes[[#This Row],[Cde_Prdt]], tbl_Produits[Cde_Prdt], tbl_Produits[Coût Moyen Portion]), 0)</f>
        <v>0</v>
      </c>
      <c r="I2348" s="7">
        <f>tbl_Ventes[[#This Row],[Qté Vendue]] * tbl_Ventes[[#This Row],[CMP_par_portion]]</f>
        <v>0</v>
      </c>
      <c r="J2348" s="7">
        <f>tbl_Ventes[[#This Row],[CA ligne]] - tbl_Ventes[[#This Row],[Coût matière ligne]]</f>
        <v>0</v>
      </c>
      <c r="K2348" s="7" t="str">
        <f>IFERROR(INDEX(tbl_ProduitsRef[Famille], MATCH(tbl_Ventes[[#This Row],[Cde_Prdt]], tbl_Produits[Cde_Prdt], 0)), "")</f>
        <v/>
      </c>
    </row>
    <row r="2349" spans="1:11" x14ac:dyDescent="0.25">
      <c r="A2349" s="5"/>
      <c r="B2349" s="63" t="str">
        <f>IFERROR(TEXT(tbl_Ventes[[#This Row],[Date]],"mm-aaaa"),"")</f>
        <v>01-1900</v>
      </c>
      <c r="D2349" s="10" t="str">
        <f>IFERROR(
   INDEX(tbl_ProduitsRef[Cde_Prdt],MATCH(tbl_Ventes[[#This Row],[Produit]],tbl_ProduitsRef[Produit],0)),
   ""
)</f>
        <v/>
      </c>
      <c r="E2349" s="7">
        <v>0</v>
      </c>
      <c r="F2349" s="7" t="str">
        <f>IFERROR(
   INDEX(tbl_ProduitsRef[Prix Menu],MATCH(tbl_Ventes[[#This Row],[Produit]],tbl_ProduitsRef[Produit],0)),
   ""
)</f>
        <v/>
      </c>
      <c r="G2349" s="7">
        <f>tbl_Ventes[[#This Row],[Qté Vendue]] * IFERROR(_xlfn.XLOOKUP(tbl_Ventes[[#This Row],[Cde_Prdt]], tbl_Produits[Cde_Prdt], tbl_Produits[Prix Menu]), 0)</f>
        <v>0</v>
      </c>
      <c r="H2349" s="7">
        <f>IFERROR(_xlfn.XLOOKUP(tbl_Ventes[[#This Row],[Cde_Prdt]], tbl_Produits[Cde_Prdt], tbl_Produits[Coût Moyen Portion]), 0)</f>
        <v>0</v>
      </c>
      <c r="I2349" s="7">
        <f>tbl_Ventes[[#This Row],[Qté Vendue]] * tbl_Ventes[[#This Row],[CMP_par_portion]]</f>
        <v>0</v>
      </c>
      <c r="J2349" s="7">
        <f>tbl_Ventes[[#This Row],[CA ligne]] - tbl_Ventes[[#This Row],[Coût matière ligne]]</f>
        <v>0</v>
      </c>
      <c r="K2349" s="7" t="str">
        <f>IFERROR(INDEX(tbl_ProduitsRef[Famille], MATCH(tbl_Ventes[[#This Row],[Cde_Prdt]], tbl_Produits[Cde_Prdt], 0)), "")</f>
        <v/>
      </c>
    </row>
    <row r="2350" spans="1:11" x14ac:dyDescent="0.25">
      <c r="A2350" s="5"/>
      <c r="B2350" s="63" t="str">
        <f>IFERROR(TEXT(tbl_Ventes[[#This Row],[Date]],"mm-aaaa"),"")</f>
        <v>01-1900</v>
      </c>
      <c r="D2350" s="10" t="str">
        <f>IFERROR(
   INDEX(tbl_ProduitsRef[Cde_Prdt],MATCH(tbl_Ventes[[#This Row],[Produit]],tbl_ProduitsRef[Produit],0)),
   ""
)</f>
        <v/>
      </c>
      <c r="E2350" s="7">
        <v>0</v>
      </c>
      <c r="F2350" s="7" t="str">
        <f>IFERROR(
   INDEX(tbl_ProduitsRef[Prix Menu],MATCH(tbl_Ventes[[#This Row],[Produit]],tbl_ProduitsRef[Produit],0)),
   ""
)</f>
        <v/>
      </c>
      <c r="G2350" s="7">
        <f>tbl_Ventes[[#This Row],[Qté Vendue]] * IFERROR(_xlfn.XLOOKUP(tbl_Ventes[[#This Row],[Cde_Prdt]], tbl_Produits[Cde_Prdt], tbl_Produits[Prix Menu]), 0)</f>
        <v>0</v>
      </c>
      <c r="H2350" s="7">
        <f>IFERROR(_xlfn.XLOOKUP(tbl_Ventes[[#This Row],[Cde_Prdt]], tbl_Produits[Cde_Prdt], tbl_Produits[Coût Moyen Portion]), 0)</f>
        <v>0</v>
      </c>
      <c r="I2350" s="7">
        <f>tbl_Ventes[[#This Row],[Qté Vendue]] * tbl_Ventes[[#This Row],[CMP_par_portion]]</f>
        <v>0</v>
      </c>
      <c r="J2350" s="7">
        <f>tbl_Ventes[[#This Row],[CA ligne]] - tbl_Ventes[[#This Row],[Coût matière ligne]]</f>
        <v>0</v>
      </c>
      <c r="K2350" s="7" t="str">
        <f>IFERROR(INDEX(tbl_ProduitsRef[Famille], MATCH(tbl_Ventes[[#This Row],[Cde_Prdt]], tbl_Produits[Cde_Prdt], 0)), "")</f>
        <v/>
      </c>
    </row>
    <row r="2351" spans="1:11" x14ac:dyDescent="0.25">
      <c r="A2351" s="5"/>
      <c r="B2351" s="63" t="str">
        <f>IFERROR(TEXT(tbl_Ventes[[#This Row],[Date]],"mm-aaaa"),"")</f>
        <v>01-1900</v>
      </c>
      <c r="D2351" s="10" t="str">
        <f>IFERROR(
   INDEX(tbl_ProduitsRef[Cde_Prdt],MATCH(tbl_Ventes[[#This Row],[Produit]],tbl_ProduitsRef[Produit],0)),
   ""
)</f>
        <v/>
      </c>
      <c r="E2351" s="7">
        <v>0</v>
      </c>
      <c r="F2351" s="7" t="str">
        <f>IFERROR(
   INDEX(tbl_ProduitsRef[Prix Menu],MATCH(tbl_Ventes[[#This Row],[Produit]],tbl_ProduitsRef[Produit],0)),
   ""
)</f>
        <v/>
      </c>
      <c r="G2351" s="7">
        <f>tbl_Ventes[[#This Row],[Qté Vendue]] * IFERROR(_xlfn.XLOOKUP(tbl_Ventes[[#This Row],[Cde_Prdt]], tbl_Produits[Cde_Prdt], tbl_Produits[Prix Menu]), 0)</f>
        <v>0</v>
      </c>
      <c r="H2351" s="7">
        <f>IFERROR(_xlfn.XLOOKUP(tbl_Ventes[[#This Row],[Cde_Prdt]], tbl_Produits[Cde_Prdt], tbl_Produits[Coût Moyen Portion]), 0)</f>
        <v>0</v>
      </c>
      <c r="I2351" s="7">
        <f>tbl_Ventes[[#This Row],[Qté Vendue]] * tbl_Ventes[[#This Row],[CMP_par_portion]]</f>
        <v>0</v>
      </c>
      <c r="J2351" s="7">
        <f>tbl_Ventes[[#This Row],[CA ligne]] - tbl_Ventes[[#This Row],[Coût matière ligne]]</f>
        <v>0</v>
      </c>
      <c r="K2351" s="7" t="str">
        <f>IFERROR(INDEX(tbl_ProduitsRef[Famille], MATCH(tbl_Ventes[[#This Row],[Cde_Prdt]], tbl_Produits[Cde_Prdt], 0)), "")</f>
        <v/>
      </c>
    </row>
    <row r="2352" spans="1:11" x14ac:dyDescent="0.25">
      <c r="A2352" s="5"/>
      <c r="B2352" s="63" t="str">
        <f>IFERROR(TEXT(tbl_Ventes[[#This Row],[Date]],"mm-aaaa"),"")</f>
        <v>01-1900</v>
      </c>
      <c r="D2352" s="10" t="str">
        <f>IFERROR(
   INDEX(tbl_ProduitsRef[Cde_Prdt],MATCH(tbl_Ventes[[#This Row],[Produit]],tbl_ProduitsRef[Produit],0)),
   ""
)</f>
        <v/>
      </c>
      <c r="E2352" s="7">
        <v>0</v>
      </c>
      <c r="F2352" s="7" t="str">
        <f>IFERROR(
   INDEX(tbl_ProduitsRef[Prix Menu],MATCH(tbl_Ventes[[#This Row],[Produit]],tbl_ProduitsRef[Produit],0)),
   ""
)</f>
        <v/>
      </c>
      <c r="G2352" s="7">
        <f>tbl_Ventes[[#This Row],[Qté Vendue]] * IFERROR(_xlfn.XLOOKUP(tbl_Ventes[[#This Row],[Cde_Prdt]], tbl_Produits[Cde_Prdt], tbl_Produits[Prix Menu]), 0)</f>
        <v>0</v>
      </c>
      <c r="H2352" s="7">
        <f>IFERROR(_xlfn.XLOOKUP(tbl_Ventes[[#This Row],[Cde_Prdt]], tbl_Produits[Cde_Prdt], tbl_Produits[Coût Moyen Portion]), 0)</f>
        <v>0</v>
      </c>
      <c r="I2352" s="7">
        <f>tbl_Ventes[[#This Row],[Qté Vendue]] * tbl_Ventes[[#This Row],[CMP_par_portion]]</f>
        <v>0</v>
      </c>
      <c r="J2352" s="7">
        <f>tbl_Ventes[[#This Row],[CA ligne]] - tbl_Ventes[[#This Row],[Coût matière ligne]]</f>
        <v>0</v>
      </c>
      <c r="K2352" s="7" t="str">
        <f>IFERROR(INDEX(tbl_ProduitsRef[Famille], MATCH(tbl_Ventes[[#This Row],[Cde_Prdt]], tbl_Produits[Cde_Prdt], 0)), "")</f>
        <v/>
      </c>
    </row>
    <row r="2353" spans="1:11" x14ac:dyDescent="0.25">
      <c r="A2353" s="5"/>
      <c r="B2353" s="63" t="str">
        <f>IFERROR(TEXT(tbl_Ventes[[#This Row],[Date]],"mm-aaaa"),"")</f>
        <v>01-1900</v>
      </c>
      <c r="D2353" s="10" t="str">
        <f>IFERROR(
   INDEX(tbl_ProduitsRef[Cde_Prdt],MATCH(tbl_Ventes[[#This Row],[Produit]],tbl_ProduitsRef[Produit],0)),
   ""
)</f>
        <v/>
      </c>
      <c r="E2353" s="7">
        <v>0</v>
      </c>
      <c r="F2353" s="7" t="str">
        <f>IFERROR(
   INDEX(tbl_ProduitsRef[Prix Menu],MATCH(tbl_Ventes[[#This Row],[Produit]],tbl_ProduitsRef[Produit],0)),
   ""
)</f>
        <v/>
      </c>
      <c r="G2353" s="7">
        <f>tbl_Ventes[[#This Row],[Qté Vendue]] * IFERROR(_xlfn.XLOOKUP(tbl_Ventes[[#This Row],[Cde_Prdt]], tbl_Produits[Cde_Prdt], tbl_Produits[Prix Menu]), 0)</f>
        <v>0</v>
      </c>
      <c r="H2353" s="7">
        <f>IFERROR(_xlfn.XLOOKUP(tbl_Ventes[[#This Row],[Cde_Prdt]], tbl_Produits[Cde_Prdt], tbl_Produits[Coût Moyen Portion]), 0)</f>
        <v>0</v>
      </c>
      <c r="I2353" s="7">
        <f>tbl_Ventes[[#This Row],[Qté Vendue]] * tbl_Ventes[[#This Row],[CMP_par_portion]]</f>
        <v>0</v>
      </c>
      <c r="J2353" s="7">
        <f>tbl_Ventes[[#This Row],[CA ligne]] - tbl_Ventes[[#This Row],[Coût matière ligne]]</f>
        <v>0</v>
      </c>
      <c r="K2353" s="7" t="str">
        <f>IFERROR(INDEX(tbl_ProduitsRef[Famille], MATCH(tbl_Ventes[[#This Row],[Cde_Prdt]], tbl_Produits[Cde_Prdt], 0)), "")</f>
        <v/>
      </c>
    </row>
    <row r="2354" spans="1:11" x14ac:dyDescent="0.25">
      <c r="A2354" s="5"/>
      <c r="B2354" s="63" t="str">
        <f>IFERROR(TEXT(tbl_Ventes[[#This Row],[Date]],"mm-aaaa"),"")</f>
        <v>01-1900</v>
      </c>
      <c r="D2354" s="10" t="str">
        <f>IFERROR(
   INDEX(tbl_ProduitsRef[Cde_Prdt],MATCH(tbl_Ventes[[#This Row],[Produit]],tbl_ProduitsRef[Produit],0)),
   ""
)</f>
        <v/>
      </c>
      <c r="E2354" s="7">
        <v>0</v>
      </c>
      <c r="F2354" s="7" t="str">
        <f>IFERROR(
   INDEX(tbl_ProduitsRef[Prix Menu],MATCH(tbl_Ventes[[#This Row],[Produit]],tbl_ProduitsRef[Produit],0)),
   ""
)</f>
        <v/>
      </c>
      <c r="G2354" s="7">
        <f>tbl_Ventes[[#This Row],[Qté Vendue]] * IFERROR(_xlfn.XLOOKUP(tbl_Ventes[[#This Row],[Cde_Prdt]], tbl_Produits[Cde_Prdt], tbl_Produits[Prix Menu]), 0)</f>
        <v>0</v>
      </c>
      <c r="H2354" s="7">
        <f>IFERROR(_xlfn.XLOOKUP(tbl_Ventes[[#This Row],[Cde_Prdt]], tbl_Produits[Cde_Prdt], tbl_Produits[Coût Moyen Portion]), 0)</f>
        <v>0</v>
      </c>
      <c r="I2354" s="7">
        <f>tbl_Ventes[[#This Row],[Qté Vendue]] * tbl_Ventes[[#This Row],[CMP_par_portion]]</f>
        <v>0</v>
      </c>
      <c r="J2354" s="7">
        <f>tbl_Ventes[[#This Row],[CA ligne]] - tbl_Ventes[[#This Row],[Coût matière ligne]]</f>
        <v>0</v>
      </c>
      <c r="K2354" s="7" t="str">
        <f>IFERROR(INDEX(tbl_ProduitsRef[Famille], MATCH(tbl_Ventes[[#This Row],[Cde_Prdt]], tbl_Produits[Cde_Prdt], 0)), "")</f>
        <v/>
      </c>
    </row>
    <row r="2355" spans="1:11" x14ac:dyDescent="0.25">
      <c r="A2355" s="5"/>
      <c r="B2355" s="63" t="str">
        <f>IFERROR(TEXT(tbl_Ventes[[#This Row],[Date]],"mm-aaaa"),"")</f>
        <v>01-1900</v>
      </c>
      <c r="D2355" s="10" t="str">
        <f>IFERROR(
   INDEX(tbl_ProduitsRef[Cde_Prdt],MATCH(tbl_Ventes[[#This Row],[Produit]],tbl_ProduitsRef[Produit],0)),
   ""
)</f>
        <v/>
      </c>
      <c r="E2355" s="7">
        <v>0</v>
      </c>
      <c r="F2355" s="7" t="str">
        <f>IFERROR(
   INDEX(tbl_ProduitsRef[Prix Menu],MATCH(tbl_Ventes[[#This Row],[Produit]],tbl_ProduitsRef[Produit],0)),
   ""
)</f>
        <v/>
      </c>
      <c r="G2355" s="7">
        <f>tbl_Ventes[[#This Row],[Qté Vendue]] * IFERROR(_xlfn.XLOOKUP(tbl_Ventes[[#This Row],[Cde_Prdt]], tbl_Produits[Cde_Prdt], tbl_Produits[Prix Menu]), 0)</f>
        <v>0</v>
      </c>
      <c r="H2355" s="7">
        <f>IFERROR(_xlfn.XLOOKUP(tbl_Ventes[[#This Row],[Cde_Prdt]], tbl_Produits[Cde_Prdt], tbl_Produits[Coût Moyen Portion]), 0)</f>
        <v>0</v>
      </c>
      <c r="I2355" s="7">
        <f>tbl_Ventes[[#This Row],[Qté Vendue]] * tbl_Ventes[[#This Row],[CMP_par_portion]]</f>
        <v>0</v>
      </c>
      <c r="J2355" s="7">
        <f>tbl_Ventes[[#This Row],[CA ligne]] - tbl_Ventes[[#This Row],[Coût matière ligne]]</f>
        <v>0</v>
      </c>
      <c r="K2355" s="7" t="str">
        <f>IFERROR(INDEX(tbl_ProduitsRef[Famille], MATCH(tbl_Ventes[[#This Row],[Cde_Prdt]], tbl_Produits[Cde_Prdt], 0)), "")</f>
        <v/>
      </c>
    </row>
    <row r="2356" spans="1:11" x14ac:dyDescent="0.25">
      <c r="A2356" s="5"/>
      <c r="B2356" s="63" t="str">
        <f>IFERROR(TEXT(tbl_Ventes[[#This Row],[Date]],"mm-aaaa"),"")</f>
        <v>01-1900</v>
      </c>
      <c r="D2356" s="10" t="str">
        <f>IFERROR(
   INDEX(tbl_ProduitsRef[Cde_Prdt],MATCH(tbl_Ventes[[#This Row],[Produit]],tbl_ProduitsRef[Produit],0)),
   ""
)</f>
        <v/>
      </c>
      <c r="E2356" s="7">
        <v>0</v>
      </c>
      <c r="F2356" s="7" t="str">
        <f>IFERROR(
   INDEX(tbl_ProduitsRef[Prix Menu],MATCH(tbl_Ventes[[#This Row],[Produit]],tbl_ProduitsRef[Produit],0)),
   ""
)</f>
        <v/>
      </c>
      <c r="G2356" s="7">
        <f>tbl_Ventes[[#This Row],[Qté Vendue]] * IFERROR(_xlfn.XLOOKUP(tbl_Ventes[[#This Row],[Cde_Prdt]], tbl_Produits[Cde_Prdt], tbl_Produits[Prix Menu]), 0)</f>
        <v>0</v>
      </c>
      <c r="H2356" s="7">
        <f>IFERROR(_xlfn.XLOOKUP(tbl_Ventes[[#This Row],[Cde_Prdt]], tbl_Produits[Cde_Prdt], tbl_Produits[Coût Moyen Portion]), 0)</f>
        <v>0</v>
      </c>
      <c r="I2356" s="7">
        <f>tbl_Ventes[[#This Row],[Qté Vendue]] * tbl_Ventes[[#This Row],[CMP_par_portion]]</f>
        <v>0</v>
      </c>
      <c r="J2356" s="7">
        <f>tbl_Ventes[[#This Row],[CA ligne]] - tbl_Ventes[[#This Row],[Coût matière ligne]]</f>
        <v>0</v>
      </c>
      <c r="K2356" s="7" t="str">
        <f>IFERROR(INDEX(tbl_ProduitsRef[Famille], MATCH(tbl_Ventes[[#This Row],[Cde_Prdt]], tbl_Produits[Cde_Prdt], 0)), "")</f>
        <v/>
      </c>
    </row>
    <row r="2357" spans="1:11" x14ac:dyDescent="0.25">
      <c r="A2357" s="5"/>
      <c r="B2357" s="63" t="str">
        <f>IFERROR(TEXT(tbl_Ventes[[#This Row],[Date]],"mm-aaaa"),"")</f>
        <v>01-1900</v>
      </c>
      <c r="D2357" s="10" t="str">
        <f>IFERROR(
   INDEX(tbl_ProduitsRef[Cde_Prdt],MATCH(tbl_Ventes[[#This Row],[Produit]],tbl_ProduitsRef[Produit],0)),
   ""
)</f>
        <v/>
      </c>
      <c r="E2357" s="7">
        <v>0</v>
      </c>
      <c r="F2357" s="7" t="str">
        <f>IFERROR(
   INDEX(tbl_ProduitsRef[Prix Menu],MATCH(tbl_Ventes[[#This Row],[Produit]],tbl_ProduitsRef[Produit],0)),
   ""
)</f>
        <v/>
      </c>
      <c r="G2357" s="7">
        <f>tbl_Ventes[[#This Row],[Qté Vendue]] * IFERROR(_xlfn.XLOOKUP(tbl_Ventes[[#This Row],[Cde_Prdt]], tbl_Produits[Cde_Prdt], tbl_Produits[Prix Menu]), 0)</f>
        <v>0</v>
      </c>
      <c r="H2357" s="7">
        <f>IFERROR(_xlfn.XLOOKUP(tbl_Ventes[[#This Row],[Cde_Prdt]], tbl_Produits[Cde_Prdt], tbl_Produits[Coût Moyen Portion]), 0)</f>
        <v>0</v>
      </c>
      <c r="I2357" s="7">
        <f>tbl_Ventes[[#This Row],[Qté Vendue]] * tbl_Ventes[[#This Row],[CMP_par_portion]]</f>
        <v>0</v>
      </c>
      <c r="J2357" s="7">
        <f>tbl_Ventes[[#This Row],[CA ligne]] - tbl_Ventes[[#This Row],[Coût matière ligne]]</f>
        <v>0</v>
      </c>
      <c r="K2357" s="7" t="str">
        <f>IFERROR(INDEX(tbl_ProduitsRef[Famille], MATCH(tbl_Ventes[[#This Row],[Cde_Prdt]], tbl_Produits[Cde_Prdt], 0)), "")</f>
        <v/>
      </c>
    </row>
    <row r="2358" spans="1:11" x14ac:dyDescent="0.25">
      <c r="A2358" s="5"/>
      <c r="B2358" s="63" t="str">
        <f>IFERROR(TEXT(tbl_Ventes[[#This Row],[Date]],"mm-aaaa"),"")</f>
        <v>01-1900</v>
      </c>
      <c r="D2358" s="10" t="str">
        <f>IFERROR(
   INDEX(tbl_ProduitsRef[Cde_Prdt],MATCH(tbl_Ventes[[#This Row],[Produit]],tbl_ProduitsRef[Produit],0)),
   ""
)</f>
        <v/>
      </c>
      <c r="E2358" s="7">
        <v>0</v>
      </c>
      <c r="F2358" s="7" t="str">
        <f>IFERROR(
   INDEX(tbl_ProduitsRef[Prix Menu],MATCH(tbl_Ventes[[#This Row],[Produit]],tbl_ProduitsRef[Produit],0)),
   ""
)</f>
        <v/>
      </c>
      <c r="G2358" s="7">
        <f>tbl_Ventes[[#This Row],[Qté Vendue]] * IFERROR(_xlfn.XLOOKUP(tbl_Ventes[[#This Row],[Cde_Prdt]], tbl_Produits[Cde_Prdt], tbl_Produits[Prix Menu]), 0)</f>
        <v>0</v>
      </c>
      <c r="H2358" s="7">
        <f>IFERROR(_xlfn.XLOOKUP(tbl_Ventes[[#This Row],[Cde_Prdt]], tbl_Produits[Cde_Prdt], tbl_Produits[Coût Moyen Portion]), 0)</f>
        <v>0</v>
      </c>
      <c r="I2358" s="7">
        <f>tbl_Ventes[[#This Row],[Qté Vendue]] * tbl_Ventes[[#This Row],[CMP_par_portion]]</f>
        <v>0</v>
      </c>
      <c r="J2358" s="7">
        <f>tbl_Ventes[[#This Row],[CA ligne]] - tbl_Ventes[[#This Row],[Coût matière ligne]]</f>
        <v>0</v>
      </c>
      <c r="K2358" s="7" t="str">
        <f>IFERROR(INDEX(tbl_ProduitsRef[Famille], MATCH(tbl_Ventes[[#This Row],[Cde_Prdt]], tbl_Produits[Cde_Prdt], 0)), "")</f>
        <v/>
      </c>
    </row>
    <row r="2359" spans="1:11" x14ac:dyDescent="0.25">
      <c r="A2359" s="5"/>
      <c r="B2359" s="63" t="str">
        <f>IFERROR(TEXT(tbl_Ventes[[#This Row],[Date]],"mm-aaaa"),"")</f>
        <v>01-1900</v>
      </c>
      <c r="D2359" s="10" t="str">
        <f>IFERROR(
   INDEX(tbl_ProduitsRef[Cde_Prdt],MATCH(tbl_Ventes[[#This Row],[Produit]],tbl_ProduitsRef[Produit],0)),
   ""
)</f>
        <v/>
      </c>
      <c r="E2359" s="7">
        <v>0</v>
      </c>
      <c r="F2359" s="7" t="str">
        <f>IFERROR(
   INDEX(tbl_ProduitsRef[Prix Menu],MATCH(tbl_Ventes[[#This Row],[Produit]],tbl_ProduitsRef[Produit],0)),
   ""
)</f>
        <v/>
      </c>
      <c r="G2359" s="7">
        <f>tbl_Ventes[[#This Row],[Qté Vendue]] * IFERROR(_xlfn.XLOOKUP(tbl_Ventes[[#This Row],[Cde_Prdt]], tbl_Produits[Cde_Prdt], tbl_Produits[Prix Menu]), 0)</f>
        <v>0</v>
      </c>
      <c r="H2359" s="7">
        <f>IFERROR(_xlfn.XLOOKUP(tbl_Ventes[[#This Row],[Cde_Prdt]], tbl_Produits[Cde_Prdt], tbl_Produits[Coût Moyen Portion]), 0)</f>
        <v>0</v>
      </c>
      <c r="I2359" s="7">
        <f>tbl_Ventes[[#This Row],[Qté Vendue]] * tbl_Ventes[[#This Row],[CMP_par_portion]]</f>
        <v>0</v>
      </c>
      <c r="J2359" s="7">
        <f>tbl_Ventes[[#This Row],[CA ligne]] - tbl_Ventes[[#This Row],[Coût matière ligne]]</f>
        <v>0</v>
      </c>
      <c r="K2359" s="7" t="str">
        <f>IFERROR(INDEX(tbl_ProduitsRef[Famille], MATCH(tbl_Ventes[[#This Row],[Cde_Prdt]], tbl_Produits[Cde_Prdt], 0)), "")</f>
        <v/>
      </c>
    </row>
    <row r="2360" spans="1:11" x14ac:dyDescent="0.25">
      <c r="A2360" s="5"/>
      <c r="B2360" s="63" t="str">
        <f>IFERROR(TEXT(tbl_Ventes[[#This Row],[Date]],"mm-aaaa"),"")</f>
        <v>01-1900</v>
      </c>
      <c r="D2360" s="10" t="str">
        <f>IFERROR(
   INDEX(tbl_ProduitsRef[Cde_Prdt],MATCH(tbl_Ventes[[#This Row],[Produit]],tbl_ProduitsRef[Produit],0)),
   ""
)</f>
        <v/>
      </c>
      <c r="E2360" s="7">
        <v>0</v>
      </c>
      <c r="F2360" s="7" t="str">
        <f>IFERROR(
   INDEX(tbl_ProduitsRef[Prix Menu],MATCH(tbl_Ventes[[#This Row],[Produit]],tbl_ProduitsRef[Produit],0)),
   ""
)</f>
        <v/>
      </c>
      <c r="G2360" s="7">
        <f>tbl_Ventes[[#This Row],[Qté Vendue]] * IFERROR(_xlfn.XLOOKUP(tbl_Ventes[[#This Row],[Cde_Prdt]], tbl_Produits[Cde_Prdt], tbl_Produits[Prix Menu]), 0)</f>
        <v>0</v>
      </c>
      <c r="H2360" s="7">
        <f>IFERROR(_xlfn.XLOOKUP(tbl_Ventes[[#This Row],[Cde_Prdt]], tbl_Produits[Cde_Prdt], tbl_Produits[Coût Moyen Portion]), 0)</f>
        <v>0</v>
      </c>
      <c r="I2360" s="7">
        <f>tbl_Ventes[[#This Row],[Qté Vendue]] * tbl_Ventes[[#This Row],[CMP_par_portion]]</f>
        <v>0</v>
      </c>
      <c r="J2360" s="7">
        <f>tbl_Ventes[[#This Row],[CA ligne]] - tbl_Ventes[[#This Row],[Coût matière ligne]]</f>
        <v>0</v>
      </c>
      <c r="K2360" s="7" t="str">
        <f>IFERROR(INDEX(tbl_ProduitsRef[Famille], MATCH(tbl_Ventes[[#This Row],[Cde_Prdt]], tbl_Produits[Cde_Prdt], 0)), "")</f>
        <v/>
      </c>
    </row>
    <row r="2361" spans="1:11" x14ac:dyDescent="0.25">
      <c r="A2361" s="5"/>
      <c r="B2361" s="63" t="str">
        <f>IFERROR(TEXT(tbl_Ventes[[#This Row],[Date]],"mm-aaaa"),"")</f>
        <v>01-1900</v>
      </c>
      <c r="D2361" s="10" t="str">
        <f>IFERROR(
   INDEX(tbl_ProduitsRef[Cde_Prdt],MATCH(tbl_Ventes[[#This Row],[Produit]],tbl_ProduitsRef[Produit],0)),
   ""
)</f>
        <v/>
      </c>
      <c r="E2361" s="7">
        <v>0</v>
      </c>
      <c r="F2361" s="7" t="str">
        <f>IFERROR(
   INDEX(tbl_ProduitsRef[Prix Menu],MATCH(tbl_Ventes[[#This Row],[Produit]],tbl_ProduitsRef[Produit],0)),
   ""
)</f>
        <v/>
      </c>
      <c r="G2361" s="7">
        <f>tbl_Ventes[[#This Row],[Qté Vendue]] * IFERROR(_xlfn.XLOOKUP(tbl_Ventes[[#This Row],[Cde_Prdt]], tbl_Produits[Cde_Prdt], tbl_Produits[Prix Menu]), 0)</f>
        <v>0</v>
      </c>
      <c r="H2361" s="7">
        <f>IFERROR(_xlfn.XLOOKUP(tbl_Ventes[[#This Row],[Cde_Prdt]], tbl_Produits[Cde_Prdt], tbl_Produits[Coût Moyen Portion]), 0)</f>
        <v>0</v>
      </c>
      <c r="I2361" s="7">
        <f>tbl_Ventes[[#This Row],[Qté Vendue]] * tbl_Ventes[[#This Row],[CMP_par_portion]]</f>
        <v>0</v>
      </c>
      <c r="J2361" s="7">
        <f>tbl_Ventes[[#This Row],[CA ligne]] - tbl_Ventes[[#This Row],[Coût matière ligne]]</f>
        <v>0</v>
      </c>
      <c r="K2361" s="7" t="str">
        <f>IFERROR(INDEX(tbl_ProduitsRef[Famille], MATCH(tbl_Ventes[[#This Row],[Cde_Prdt]], tbl_Produits[Cde_Prdt], 0)), "")</f>
        <v/>
      </c>
    </row>
    <row r="2362" spans="1:11" x14ac:dyDescent="0.25">
      <c r="A2362" s="5"/>
      <c r="B2362" s="63" t="str">
        <f>IFERROR(TEXT(tbl_Ventes[[#This Row],[Date]],"mm-aaaa"),"")</f>
        <v>01-1900</v>
      </c>
      <c r="D2362" s="10" t="str">
        <f>IFERROR(
   INDEX(tbl_ProduitsRef[Cde_Prdt],MATCH(tbl_Ventes[[#This Row],[Produit]],tbl_ProduitsRef[Produit],0)),
   ""
)</f>
        <v/>
      </c>
      <c r="E2362" s="7">
        <v>0</v>
      </c>
      <c r="F2362" s="7" t="str">
        <f>IFERROR(
   INDEX(tbl_ProduitsRef[Prix Menu],MATCH(tbl_Ventes[[#This Row],[Produit]],tbl_ProduitsRef[Produit],0)),
   ""
)</f>
        <v/>
      </c>
      <c r="G2362" s="7">
        <f>tbl_Ventes[[#This Row],[Qté Vendue]] * IFERROR(_xlfn.XLOOKUP(tbl_Ventes[[#This Row],[Cde_Prdt]], tbl_Produits[Cde_Prdt], tbl_Produits[Prix Menu]), 0)</f>
        <v>0</v>
      </c>
      <c r="H2362" s="7">
        <f>IFERROR(_xlfn.XLOOKUP(tbl_Ventes[[#This Row],[Cde_Prdt]], tbl_Produits[Cde_Prdt], tbl_Produits[Coût Moyen Portion]), 0)</f>
        <v>0</v>
      </c>
      <c r="I2362" s="7">
        <f>tbl_Ventes[[#This Row],[Qté Vendue]] * tbl_Ventes[[#This Row],[CMP_par_portion]]</f>
        <v>0</v>
      </c>
      <c r="J2362" s="7">
        <f>tbl_Ventes[[#This Row],[CA ligne]] - tbl_Ventes[[#This Row],[Coût matière ligne]]</f>
        <v>0</v>
      </c>
      <c r="K2362" s="7" t="str">
        <f>IFERROR(INDEX(tbl_ProduitsRef[Famille], MATCH(tbl_Ventes[[#This Row],[Cde_Prdt]], tbl_Produits[Cde_Prdt], 0)), "")</f>
        <v/>
      </c>
    </row>
    <row r="2363" spans="1:11" x14ac:dyDescent="0.25">
      <c r="A2363" s="5"/>
      <c r="B2363" s="63" t="str">
        <f>IFERROR(TEXT(tbl_Ventes[[#This Row],[Date]],"mm-aaaa"),"")</f>
        <v>01-1900</v>
      </c>
      <c r="D2363" s="10" t="str">
        <f>IFERROR(
   INDEX(tbl_ProduitsRef[Cde_Prdt],MATCH(tbl_Ventes[[#This Row],[Produit]],tbl_ProduitsRef[Produit],0)),
   ""
)</f>
        <v/>
      </c>
      <c r="E2363" s="7">
        <v>0</v>
      </c>
      <c r="F2363" s="7" t="str">
        <f>IFERROR(
   INDEX(tbl_ProduitsRef[Prix Menu],MATCH(tbl_Ventes[[#This Row],[Produit]],tbl_ProduitsRef[Produit],0)),
   ""
)</f>
        <v/>
      </c>
      <c r="G2363" s="7">
        <f>tbl_Ventes[[#This Row],[Qté Vendue]] * IFERROR(_xlfn.XLOOKUP(tbl_Ventes[[#This Row],[Cde_Prdt]], tbl_Produits[Cde_Prdt], tbl_Produits[Prix Menu]), 0)</f>
        <v>0</v>
      </c>
      <c r="H2363" s="7">
        <f>IFERROR(_xlfn.XLOOKUP(tbl_Ventes[[#This Row],[Cde_Prdt]], tbl_Produits[Cde_Prdt], tbl_Produits[Coût Moyen Portion]), 0)</f>
        <v>0</v>
      </c>
      <c r="I2363" s="7">
        <f>tbl_Ventes[[#This Row],[Qté Vendue]] * tbl_Ventes[[#This Row],[CMP_par_portion]]</f>
        <v>0</v>
      </c>
      <c r="J2363" s="7">
        <f>tbl_Ventes[[#This Row],[CA ligne]] - tbl_Ventes[[#This Row],[Coût matière ligne]]</f>
        <v>0</v>
      </c>
      <c r="K2363" s="7" t="str">
        <f>IFERROR(INDEX(tbl_ProduitsRef[Famille], MATCH(tbl_Ventes[[#This Row],[Cde_Prdt]], tbl_Produits[Cde_Prdt], 0)), "")</f>
        <v/>
      </c>
    </row>
    <row r="2364" spans="1:11" x14ac:dyDescent="0.25">
      <c r="A2364" s="5"/>
      <c r="B2364" s="63" t="str">
        <f>IFERROR(TEXT(tbl_Ventes[[#This Row],[Date]],"mm-aaaa"),"")</f>
        <v>01-1900</v>
      </c>
      <c r="D2364" s="10" t="str">
        <f>IFERROR(
   INDEX(tbl_ProduitsRef[Cde_Prdt],MATCH(tbl_Ventes[[#This Row],[Produit]],tbl_ProduitsRef[Produit],0)),
   ""
)</f>
        <v/>
      </c>
      <c r="E2364" s="7">
        <v>0</v>
      </c>
      <c r="F2364" s="7" t="str">
        <f>IFERROR(
   INDEX(tbl_ProduitsRef[Prix Menu],MATCH(tbl_Ventes[[#This Row],[Produit]],tbl_ProduitsRef[Produit],0)),
   ""
)</f>
        <v/>
      </c>
      <c r="G2364" s="7">
        <f>tbl_Ventes[[#This Row],[Qté Vendue]] * IFERROR(_xlfn.XLOOKUP(tbl_Ventes[[#This Row],[Cde_Prdt]], tbl_Produits[Cde_Prdt], tbl_Produits[Prix Menu]), 0)</f>
        <v>0</v>
      </c>
      <c r="H2364" s="7">
        <f>IFERROR(_xlfn.XLOOKUP(tbl_Ventes[[#This Row],[Cde_Prdt]], tbl_Produits[Cde_Prdt], tbl_Produits[Coût Moyen Portion]), 0)</f>
        <v>0</v>
      </c>
      <c r="I2364" s="7">
        <f>tbl_Ventes[[#This Row],[Qté Vendue]] * tbl_Ventes[[#This Row],[CMP_par_portion]]</f>
        <v>0</v>
      </c>
      <c r="J2364" s="7">
        <f>tbl_Ventes[[#This Row],[CA ligne]] - tbl_Ventes[[#This Row],[Coût matière ligne]]</f>
        <v>0</v>
      </c>
      <c r="K2364" s="7" t="str">
        <f>IFERROR(INDEX(tbl_ProduitsRef[Famille], MATCH(tbl_Ventes[[#This Row],[Cde_Prdt]], tbl_Produits[Cde_Prdt], 0)), "")</f>
        <v/>
      </c>
    </row>
    <row r="2365" spans="1:11" x14ac:dyDescent="0.25">
      <c r="A2365" s="5"/>
      <c r="B2365" s="63" t="str">
        <f>IFERROR(TEXT(tbl_Ventes[[#This Row],[Date]],"mm-aaaa"),"")</f>
        <v>01-1900</v>
      </c>
      <c r="D2365" s="10" t="str">
        <f>IFERROR(
   INDEX(tbl_ProduitsRef[Cde_Prdt],MATCH(tbl_Ventes[[#This Row],[Produit]],tbl_ProduitsRef[Produit],0)),
   ""
)</f>
        <v/>
      </c>
      <c r="E2365" s="7">
        <v>0</v>
      </c>
      <c r="F2365" s="7" t="str">
        <f>IFERROR(
   INDEX(tbl_ProduitsRef[Prix Menu],MATCH(tbl_Ventes[[#This Row],[Produit]],tbl_ProduitsRef[Produit],0)),
   ""
)</f>
        <v/>
      </c>
      <c r="G2365" s="7">
        <f>tbl_Ventes[[#This Row],[Qté Vendue]] * IFERROR(_xlfn.XLOOKUP(tbl_Ventes[[#This Row],[Cde_Prdt]], tbl_Produits[Cde_Prdt], tbl_Produits[Prix Menu]), 0)</f>
        <v>0</v>
      </c>
      <c r="H2365" s="7">
        <f>IFERROR(_xlfn.XLOOKUP(tbl_Ventes[[#This Row],[Cde_Prdt]], tbl_Produits[Cde_Prdt], tbl_Produits[Coût Moyen Portion]), 0)</f>
        <v>0</v>
      </c>
      <c r="I2365" s="7">
        <f>tbl_Ventes[[#This Row],[Qté Vendue]] * tbl_Ventes[[#This Row],[CMP_par_portion]]</f>
        <v>0</v>
      </c>
      <c r="J2365" s="7">
        <f>tbl_Ventes[[#This Row],[CA ligne]] - tbl_Ventes[[#This Row],[Coût matière ligne]]</f>
        <v>0</v>
      </c>
      <c r="K2365" s="7" t="str">
        <f>IFERROR(INDEX(tbl_ProduitsRef[Famille], MATCH(tbl_Ventes[[#This Row],[Cde_Prdt]], tbl_Produits[Cde_Prdt], 0)), "")</f>
        <v/>
      </c>
    </row>
    <row r="2366" spans="1:11" x14ac:dyDescent="0.25">
      <c r="A2366" s="5"/>
      <c r="B2366" s="63" t="str">
        <f>IFERROR(TEXT(tbl_Ventes[[#This Row],[Date]],"mm-aaaa"),"")</f>
        <v>01-1900</v>
      </c>
      <c r="D2366" s="10" t="str">
        <f>IFERROR(
   INDEX(tbl_ProduitsRef[Cde_Prdt],MATCH(tbl_Ventes[[#This Row],[Produit]],tbl_ProduitsRef[Produit],0)),
   ""
)</f>
        <v/>
      </c>
      <c r="E2366" s="7">
        <v>0</v>
      </c>
      <c r="F2366" s="7" t="str">
        <f>IFERROR(
   INDEX(tbl_ProduitsRef[Prix Menu],MATCH(tbl_Ventes[[#This Row],[Produit]],tbl_ProduitsRef[Produit],0)),
   ""
)</f>
        <v/>
      </c>
      <c r="G2366" s="7">
        <f>tbl_Ventes[[#This Row],[Qté Vendue]] * IFERROR(_xlfn.XLOOKUP(tbl_Ventes[[#This Row],[Cde_Prdt]], tbl_Produits[Cde_Prdt], tbl_Produits[Prix Menu]), 0)</f>
        <v>0</v>
      </c>
      <c r="H2366" s="7">
        <f>IFERROR(_xlfn.XLOOKUP(tbl_Ventes[[#This Row],[Cde_Prdt]], tbl_Produits[Cde_Prdt], tbl_Produits[Coût Moyen Portion]), 0)</f>
        <v>0</v>
      </c>
      <c r="I2366" s="7">
        <f>tbl_Ventes[[#This Row],[Qté Vendue]] * tbl_Ventes[[#This Row],[CMP_par_portion]]</f>
        <v>0</v>
      </c>
      <c r="J2366" s="7">
        <f>tbl_Ventes[[#This Row],[CA ligne]] - tbl_Ventes[[#This Row],[Coût matière ligne]]</f>
        <v>0</v>
      </c>
      <c r="K2366" s="7" t="str">
        <f>IFERROR(INDEX(tbl_ProduitsRef[Famille], MATCH(tbl_Ventes[[#This Row],[Cde_Prdt]], tbl_Produits[Cde_Prdt], 0)), "")</f>
        <v/>
      </c>
    </row>
    <row r="2367" spans="1:11" x14ac:dyDescent="0.25">
      <c r="A2367" s="5"/>
      <c r="B2367" s="63" t="str">
        <f>IFERROR(TEXT(tbl_Ventes[[#This Row],[Date]],"mm-aaaa"),"")</f>
        <v>01-1900</v>
      </c>
      <c r="D2367" s="10" t="str">
        <f>IFERROR(
   INDEX(tbl_ProduitsRef[Cde_Prdt],MATCH(tbl_Ventes[[#This Row],[Produit]],tbl_ProduitsRef[Produit],0)),
   ""
)</f>
        <v/>
      </c>
      <c r="E2367" s="7">
        <v>0</v>
      </c>
      <c r="F2367" s="7" t="str">
        <f>IFERROR(
   INDEX(tbl_ProduitsRef[Prix Menu],MATCH(tbl_Ventes[[#This Row],[Produit]],tbl_ProduitsRef[Produit],0)),
   ""
)</f>
        <v/>
      </c>
      <c r="G2367" s="7">
        <f>tbl_Ventes[[#This Row],[Qté Vendue]] * IFERROR(_xlfn.XLOOKUP(tbl_Ventes[[#This Row],[Cde_Prdt]], tbl_Produits[Cde_Prdt], tbl_Produits[Prix Menu]), 0)</f>
        <v>0</v>
      </c>
      <c r="H2367" s="7">
        <f>IFERROR(_xlfn.XLOOKUP(tbl_Ventes[[#This Row],[Cde_Prdt]], tbl_Produits[Cde_Prdt], tbl_Produits[Coût Moyen Portion]), 0)</f>
        <v>0</v>
      </c>
      <c r="I2367" s="7">
        <f>tbl_Ventes[[#This Row],[Qté Vendue]] * tbl_Ventes[[#This Row],[CMP_par_portion]]</f>
        <v>0</v>
      </c>
      <c r="J2367" s="7">
        <f>tbl_Ventes[[#This Row],[CA ligne]] - tbl_Ventes[[#This Row],[Coût matière ligne]]</f>
        <v>0</v>
      </c>
      <c r="K2367" s="7" t="str">
        <f>IFERROR(INDEX(tbl_ProduitsRef[Famille], MATCH(tbl_Ventes[[#This Row],[Cde_Prdt]], tbl_Produits[Cde_Prdt], 0)), "")</f>
        <v/>
      </c>
    </row>
    <row r="2368" spans="1:11" x14ac:dyDescent="0.25">
      <c r="A2368" s="5"/>
      <c r="B2368" s="63" t="str">
        <f>IFERROR(TEXT(tbl_Ventes[[#This Row],[Date]],"mm-aaaa"),"")</f>
        <v>01-1900</v>
      </c>
      <c r="D2368" s="10" t="str">
        <f>IFERROR(
   INDEX(tbl_ProduitsRef[Cde_Prdt],MATCH(tbl_Ventes[[#This Row],[Produit]],tbl_ProduitsRef[Produit],0)),
   ""
)</f>
        <v/>
      </c>
      <c r="E2368" s="7">
        <v>0</v>
      </c>
      <c r="F2368" s="7" t="str">
        <f>IFERROR(
   INDEX(tbl_ProduitsRef[Prix Menu],MATCH(tbl_Ventes[[#This Row],[Produit]],tbl_ProduitsRef[Produit],0)),
   ""
)</f>
        <v/>
      </c>
      <c r="G2368" s="7">
        <f>tbl_Ventes[[#This Row],[Qté Vendue]] * IFERROR(_xlfn.XLOOKUP(tbl_Ventes[[#This Row],[Cde_Prdt]], tbl_Produits[Cde_Prdt], tbl_Produits[Prix Menu]), 0)</f>
        <v>0</v>
      </c>
      <c r="H2368" s="7">
        <f>IFERROR(_xlfn.XLOOKUP(tbl_Ventes[[#This Row],[Cde_Prdt]], tbl_Produits[Cde_Prdt], tbl_Produits[Coût Moyen Portion]), 0)</f>
        <v>0</v>
      </c>
      <c r="I2368" s="7">
        <f>tbl_Ventes[[#This Row],[Qté Vendue]] * tbl_Ventes[[#This Row],[CMP_par_portion]]</f>
        <v>0</v>
      </c>
      <c r="J2368" s="7">
        <f>tbl_Ventes[[#This Row],[CA ligne]] - tbl_Ventes[[#This Row],[Coût matière ligne]]</f>
        <v>0</v>
      </c>
      <c r="K2368" s="7" t="str">
        <f>IFERROR(INDEX(tbl_ProduitsRef[Famille], MATCH(tbl_Ventes[[#This Row],[Cde_Prdt]], tbl_Produits[Cde_Prdt], 0)), "")</f>
        <v/>
      </c>
    </row>
    <row r="2369" spans="1:11" x14ac:dyDescent="0.25">
      <c r="A2369" s="5"/>
      <c r="B2369" s="63" t="str">
        <f>IFERROR(TEXT(tbl_Ventes[[#This Row],[Date]],"mm-aaaa"),"")</f>
        <v>01-1900</v>
      </c>
      <c r="D2369" s="10" t="str">
        <f>IFERROR(
   INDEX(tbl_ProduitsRef[Cde_Prdt],MATCH(tbl_Ventes[[#This Row],[Produit]],tbl_ProduitsRef[Produit],0)),
   ""
)</f>
        <v/>
      </c>
      <c r="E2369" s="7">
        <v>0</v>
      </c>
      <c r="F2369" s="7" t="str">
        <f>IFERROR(
   INDEX(tbl_ProduitsRef[Prix Menu],MATCH(tbl_Ventes[[#This Row],[Produit]],tbl_ProduitsRef[Produit],0)),
   ""
)</f>
        <v/>
      </c>
      <c r="G2369" s="7">
        <f>tbl_Ventes[[#This Row],[Qté Vendue]] * IFERROR(_xlfn.XLOOKUP(tbl_Ventes[[#This Row],[Cde_Prdt]], tbl_Produits[Cde_Prdt], tbl_Produits[Prix Menu]), 0)</f>
        <v>0</v>
      </c>
      <c r="H2369" s="7">
        <f>IFERROR(_xlfn.XLOOKUP(tbl_Ventes[[#This Row],[Cde_Prdt]], tbl_Produits[Cde_Prdt], tbl_Produits[Coût Moyen Portion]), 0)</f>
        <v>0</v>
      </c>
      <c r="I2369" s="7">
        <f>tbl_Ventes[[#This Row],[Qté Vendue]] * tbl_Ventes[[#This Row],[CMP_par_portion]]</f>
        <v>0</v>
      </c>
      <c r="J2369" s="7">
        <f>tbl_Ventes[[#This Row],[CA ligne]] - tbl_Ventes[[#This Row],[Coût matière ligne]]</f>
        <v>0</v>
      </c>
      <c r="K2369" s="7" t="str">
        <f>IFERROR(INDEX(tbl_ProduitsRef[Famille], MATCH(tbl_Ventes[[#This Row],[Cde_Prdt]], tbl_Produits[Cde_Prdt], 0)), "")</f>
        <v/>
      </c>
    </row>
    <row r="2370" spans="1:11" x14ac:dyDescent="0.25">
      <c r="A2370" s="5"/>
      <c r="B2370" s="63" t="str">
        <f>IFERROR(TEXT(tbl_Ventes[[#This Row],[Date]],"mm-aaaa"),"")</f>
        <v>01-1900</v>
      </c>
      <c r="D2370" s="10" t="str">
        <f>IFERROR(
   INDEX(tbl_ProduitsRef[Cde_Prdt],MATCH(tbl_Ventes[[#This Row],[Produit]],tbl_ProduitsRef[Produit],0)),
   ""
)</f>
        <v/>
      </c>
      <c r="E2370" s="7">
        <v>0</v>
      </c>
      <c r="F2370" s="7" t="str">
        <f>IFERROR(
   INDEX(tbl_ProduitsRef[Prix Menu],MATCH(tbl_Ventes[[#This Row],[Produit]],tbl_ProduitsRef[Produit],0)),
   ""
)</f>
        <v/>
      </c>
      <c r="G2370" s="7">
        <f>tbl_Ventes[[#This Row],[Qté Vendue]] * IFERROR(_xlfn.XLOOKUP(tbl_Ventes[[#This Row],[Cde_Prdt]], tbl_Produits[Cde_Prdt], tbl_Produits[Prix Menu]), 0)</f>
        <v>0</v>
      </c>
      <c r="H2370" s="7">
        <f>IFERROR(_xlfn.XLOOKUP(tbl_Ventes[[#This Row],[Cde_Prdt]], tbl_Produits[Cde_Prdt], tbl_Produits[Coût Moyen Portion]), 0)</f>
        <v>0</v>
      </c>
      <c r="I2370" s="7">
        <f>tbl_Ventes[[#This Row],[Qté Vendue]] * tbl_Ventes[[#This Row],[CMP_par_portion]]</f>
        <v>0</v>
      </c>
      <c r="J2370" s="7">
        <f>tbl_Ventes[[#This Row],[CA ligne]] - tbl_Ventes[[#This Row],[Coût matière ligne]]</f>
        <v>0</v>
      </c>
      <c r="K2370" s="7" t="str">
        <f>IFERROR(INDEX(tbl_ProduitsRef[Famille], MATCH(tbl_Ventes[[#This Row],[Cde_Prdt]], tbl_Produits[Cde_Prdt], 0)), "")</f>
        <v/>
      </c>
    </row>
    <row r="2371" spans="1:11" x14ac:dyDescent="0.25">
      <c r="A2371" s="5"/>
      <c r="B2371" s="63" t="str">
        <f>IFERROR(TEXT(tbl_Ventes[[#This Row],[Date]],"mm-aaaa"),"")</f>
        <v>01-1900</v>
      </c>
      <c r="D2371" s="10" t="str">
        <f>IFERROR(
   INDEX(tbl_ProduitsRef[Cde_Prdt],MATCH(tbl_Ventes[[#This Row],[Produit]],tbl_ProduitsRef[Produit],0)),
   ""
)</f>
        <v/>
      </c>
      <c r="E2371" s="7">
        <v>0</v>
      </c>
      <c r="F2371" s="7" t="str">
        <f>IFERROR(
   INDEX(tbl_ProduitsRef[Prix Menu],MATCH(tbl_Ventes[[#This Row],[Produit]],tbl_ProduitsRef[Produit],0)),
   ""
)</f>
        <v/>
      </c>
      <c r="G2371" s="7">
        <f>tbl_Ventes[[#This Row],[Qté Vendue]] * IFERROR(_xlfn.XLOOKUP(tbl_Ventes[[#This Row],[Cde_Prdt]], tbl_Produits[Cde_Prdt], tbl_Produits[Prix Menu]), 0)</f>
        <v>0</v>
      </c>
      <c r="H2371" s="7">
        <f>IFERROR(_xlfn.XLOOKUP(tbl_Ventes[[#This Row],[Cde_Prdt]], tbl_Produits[Cde_Prdt], tbl_Produits[Coût Moyen Portion]), 0)</f>
        <v>0</v>
      </c>
      <c r="I2371" s="7">
        <f>tbl_Ventes[[#This Row],[Qté Vendue]] * tbl_Ventes[[#This Row],[CMP_par_portion]]</f>
        <v>0</v>
      </c>
      <c r="J2371" s="7">
        <f>tbl_Ventes[[#This Row],[CA ligne]] - tbl_Ventes[[#This Row],[Coût matière ligne]]</f>
        <v>0</v>
      </c>
      <c r="K2371" s="7" t="str">
        <f>IFERROR(INDEX(tbl_ProduitsRef[Famille], MATCH(tbl_Ventes[[#This Row],[Cde_Prdt]], tbl_Produits[Cde_Prdt], 0)), "")</f>
        <v/>
      </c>
    </row>
    <row r="2372" spans="1:11" x14ac:dyDescent="0.25">
      <c r="A2372" s="5"/>
      <c r="B2372" s="63" t="str">
        <f>IFERROR(TEXT(tbl_Ventes[[#This Row],[Date]],"mm-aaaa"),"")</f>
        <v>01-1900</v>
      </c>
      <c r="D2372" s="10" t="str">
        <f>IFERROR(
   INDEX(tbl_ProduitsRef[Cde_Prdt],MATCH(tbl_Ventes[[#This Row],[Produit]],tbl_ProduitsRef[Produit],0)),
   ""
)</f>
        <v/>
      </c>
      <c r="E2372" s="7">
        <v>0</v>
      </c>
      <c r="F2372" s="7" t="str">
        <f>IFERROR(
   INDEX(tbl_ProduitsRef[Prix Menu],MATCH(tbl_Ventes[[#This Row],[Produit]],tbl_ProduitsRef[Produit],0)),
   ""
)</f>
        <v/>
      </c>
      <c r="G2372" s="7">
        <f>tbl_Ventes[[#This Row],[Qté Vendue]] * IFERROR(_xlfn.XLOOKUP(tbl_Ventes[[#This Row],[Cde_Prdt]], tbl_Produits[Cde_Prdt], tbl_Produits[Prix Menu]), 0)</f>
        <v>0</v>
      </c>
      <c r="H2372" s="7">
        <f>IFERROR(_xlfn.XLOOKUP(tbl_Ventes[[#This Row],[Cde_Prdt]], tbl_Produits[Cde_Prdt], tbl_Produits[Coût Moyen Portion]), 0)</f>
        <v>0</v>
      </c>
      <c r="I2372" s="7">
        <f>tbl_Ventes[[#This Row],[Qté Vendue]] * tbl_Ventes[[#This Row],[CMP_par_portion]]</f>
        <v>0</v>
      </c>
      <c r="J2372" s="7">
        <f>tbl_Ventes[[#This Row],[CA ligne]] - tbl_Ventes[[#This Row],[Coût matière ligne]]</f>
        <v>0</v>
      </c>
      <c r="K2372" s="7" t="str">
        <f>IFERROR(INDEX(tbl_ProduitsRef[Famille], MATCH(tbl_Ventes[[#This Row],[Cde_Prdt]], tbl_Produits[Cde_Prdt], 0)), "")</f>
        <v/>
      </c>
    </row>
    <row r="2373" spans="1:11" x14ac:dyDescent="0.25">
      <c r="A2373" s="5"/>
      <c r="B2373" s="63" t="str">
        <f>IFERROR(TEXT(tbl_Ventes[[#This Row],[Date]],"mm-aaaa"),"")</f>
        <v>01-1900</v>
      </c>
      <c r="D2373" s="10" t="str">
        <f>IFERROR(
   INDEX(tbl_ProduitsRef[Cde_Prdt],MATCH(tbl_Ventes[[#This Row],[Produit]],tbl_ProduitsRef[Produit],0)),
   ""
)</f>
        <v/>
      </c>
      <c r="E2373" s="7">
        <v>0</v>
      </c>
      <c r="F2373" s="7" t="str">
        <f>IFERROR(
   INDEX(tbl_ProduitsRef[Prix Menu],MATCH(tbl_Ventes[[#This Row],[Produit]],tbl_ProduitsRef[Produit],0)),
   ""
)</f>
        <v/>
      </c>
      <c r="G2373" s="7">
        <f>tbl_Ventes[[#This Row],[Qté Vendue]] * IFERROR(_xlfn.XLOOKUP(tbl_Ventes[[#This Row],[Cde_Prdt]], tbl_Produits[Cde_Prdt], tbl_Produits[Prix Menu]), 0)</f>
        <v>0</v>
      </c>
      <c r="H2373" s="7">
        <f>IFERROR(_xlfn.XLOOKUP(tbl_Ventes[[#This Row],[Cde_Prdt]], tbl_Produits[Cde_Prdt], tbl_Produits[Coût Moyen Portion]), 0)</f>
        <v>0</v>
      </c>
      <c r="I2373" s="7">
        <f>tbl_Ventes[[#This Row],[Qté Vendue]] * tbl_Ventes[[#This Row],[CMP_par_portion]]</f>
        <v>0</v>
      </c>
      <c r="J2373" s="7">
        <f>tbl_Ventes[[#This Row],[CA ligne]] - tbl_Ventes[[#This Row],[Coût matière ligne]]</f>
        <v>0</v>
      </c>
      <c r="K2373" s="7" t="str">
        <f>IFERROR(INDEX(tbl_ProduitsRef[Famille], MATCH(tbl_Ventes[[#This Row],[Cde_Prdt]], tbl_Produits[Cde_Prdt], 0)), "")</f>
        <v/>
      </c>
    </row>
    <row r="2374" spans="1:11" x14ac:dyDescent="0.25">
      <c r="A2374" s="5"/>
      <c r="B2374" s="63" t="str">
        <f>IFERROR(TEXT(tbl_Ventes[[#This Row],[Date]],"mm-aaaa"),"")</f>
        <v>01-1900</v>
      </c>
      <c r="D2374" s="10" t="str">
        <f>IFERROR(
   INDEX(tbl_ProduitsRef[Cde_Prdt],MATCH(tbl_Ventes[[#This Row],[Produit]],tbl_ProduitsRef[Produit],0)),
   ""
)</f>
        <v/>
      </c>
      <c r="E2374" s="7">
        <v>0</v>
      </c>
      <c r="F2374" s="7" t="str">
        <f>IFERROR(
   INDEX(tbl_ProduitsRef[Prix Menu],MATCH(tbl_Ventes[[#This Row],[Produit]],tbl_ProduitsRef[Produit],0)),
   ""
)</f>
        <v/>
      </c>
      <c r="G2374" s="7">
        <f>tbl_Ventes[[#This Row],[Qté Vendue]] * IFERROR(_xlfn.XLOOKUP(tbl_Ventes[[#This Row],[Cde_Prdt]], tbl_Produits[Cde_Prdt], tbl_Produits[Prix Menu]), 0)</f>
        <v>0</v>
      </c>
      <c r="H2374" s="7">
        <f>IFERROR(_xlfn.XLOOKUP(tbl_Ventes[[#This Row],[Cde_Prdt]], tbl_Produits[Cde_Prdt], tbl_Produits[Coût Moyen Portion]), 0)</f>
        <v>0</v>
      </c>
      <c r="I2374" s="7">
        <f>tbl_Ventes[[#This Row],[Qté Vendue]] * tbl_Ventes[[#This Row],[CMP_par_portion]]</f>
        <v>0</v>
      </c>
      <c r="J2374" s="7">
        <f>tbl_Ventes[[#This Row],[CA ligne]] - tbl_Ventes[[#This Row],[Coût matière ligne]]</f>
        <v>0</v>
      </c>
      <c r="K2374" s="7" t="str">
        <f>IFERROR(INDEX(tbl_ProduitsRef[Famille], MATCH(tbl_Ventes[[#This Row],[Cde_Prdt]], tbl_Produits[Cde_Prdt], 0)), "")</f>
        <v/>
      </c>
    </row>
    <row r="2375" spans="1:11" x14ac:dyDescent="0.25">
      <c r="A2375" s="5"/>
      <c r="B2375" s="63" t="str">
        <f>IFERROR(TEXT(tbl_Ventes[[#This Row],[Date]],"mm-aaaa"),"")</f>
        <v>01-1900</v>
      </c>
      <c r="D2375" s="10" t="str">
        <f>IFERROR(
   INDEX(tbl_ProduitsRef[Cde_Prdt],MATCH(tbl_Ventes[[#This Row],[Produit]],tbl_ProduitsRef[Produit],0)),
   ""
)</f>
        <v/>
      </c>
      <c r="E2375" s="7">
        <v>0</v>
      </c>
      <c r="F2375" s="7" t="str">
        <f>IFERROR(
   INDEX(tbl_ProduitsRef[Prix Menu],MATCH(tbl_Ventes[[#This Row],[Produit]],tbl_ProduitsRef[Produit],0)),
   ""
)</f>
        <v/>
      </c>
      <c r="G2375" s="7">
        <f>tbl_Ventes[[#This Row],[Qté Vendue]] * IFERROR(_xlfn.XLOOKUP(tbl_Ventes[[#This Row],[Cde_Prdt]], tbl_Produits[Cde_Prdt], tbl_Produits[Prix Menu]), 0)</f>
        <v>0</v>
      </c>
      <c r="H2375" s="7">
        <f>IFERROR(_xlfn.XLOOKUP(tbl_Ventes[[#This Row],[Cde_Prdt]], tbl_Produits[Cde_Prdt], tbl_Produits[Coût Moyen Portion]), 0)</f>
        <v>0</v>
      </c>
      <c r="I2375" s="7">
        <f>tbl_Ventes[[#This Row],[Qté Vendue]] * tbl_Ventes[[#This Row],[CMP_par_portion]]</f>
        <v>0</v>
      </c>
      <c r="J2375" s="7">
        <f>tbl_Ventes[[#This Row],[CA ligne]] - tbl_Ventes[[#This Row],[Coût matière ligne]]</f>
        <v>0</v>
      </c>
      <c r="K2375" s="7" t="str">
        <f>IFERROR(INDEX(tbl_ProduitsRef[Famille], MATCH(tbl_Ventes[[#This Row],[Cde_Prdt]], tbl_Produits[Cde_Prdt], 0)), "")</f>
        <v/>
      </c>
    </row>
    <row r="2376" spans="1:11" x14ac:dyDescent="0.25">
      <c r="A2376" s="5"/>
      <c r="B2376" s="63" t="str">
        <f>IFERROR(TEXT(tbl_Ventes[[#This Row],[Date]],"mm-aaaa"),"")</f>
        <v>01-1900</v>
      </c>
      <c r="D2376" s="10" t="str">
        <f>IFERROR(
   INDEX(tbl_ProduitsRef[Cde_Prdt],MATCH(tbl_Ventes[[#This Row],[Produit]],tbl_ProduitsRef[Produit],0)),
   ""
)</f>
        <v/>
      </c>
      <c r="E2376" s="7">
        <v>0</v>
      </c>
      <c r="F2376" s="7" t="str">
        <f>IFERROR(
   INDEX(tbl_ProduitsRef[Prix Menu],MATCH(tbl_Ventes[[#This Row],[Produit]],tbl_ProduitsRef[Produit],0)),
   ""
)</f>
        <v/>
      </c>
      <c r="G2376" s="7">
        <f>tbl_Ventes[[#This Row],[Qté Vendue]] * IFERROR(_xlfn.XLOOKUP(tbl_Ventes[[#This Row],[Cde_Prdt]], tbl_Produits[Cde_Prdt], tbl_Produits[Prix Menu]), 0)</f>
        <v>0</v>
      </c>
      <c r="H2376" s="7">
        <f>IFERROR(_xlfn.XLOOKUP(tbl_Ventes[[#This Row],[Cde_Prdt]], tbl_Produits[Cde_Prdt], tbl_Produits[Coût Moyen Portion]), 0)</f>
        <v>0</v>
      </c>
      <c r="I2376" s="7">
        <f>tbl_Ventes[[#This Row],[Qté Vendue]] * tbl_Ventes[[#This Row],[CMP_par_portion]]</f>
        <v>0</v>
      </c>
      <c r="J2376" s="7">
        <f>tbl_Ventes[[#This Row],[CA ligne]] - tbl_Ventes[[#This Row],[Coût matière ligne]]</f>
        <v>0</v>
      </c>
      <c r="K2376" s="7" t="str">
        <f>IFERROR(INDEX(tbl_ProduitsRef[Famille], MATCH(tbl_Ventes[[#This Row],[Cde_Prdt]], tbl_Produits[Cde_Prdt], 0)), "")</f>
        <v/>
      </c>
    </row>
    <row r="2377" spans="1:11" x14ac:dyDescent="0.25">
      <c r="A2377" s="5"/>
      <c r="B2377" s="63" t="str">
        <f>IFERROR(TEXT(tbl_Ventes[[#This Row],[Date]],"mm-aaaa"),"")</f>
        <v>01-1900</v>
      </c>
      <c r="D2377" s="10" t="str">
        <f>IFERROR(
   INDEX(tbl_ProduitsRef[Cde_Prdt],MATCH(tbl_Ventes[[#This Row],[Produit]],tbl_ProduitsRef[Produit],0)),
   ""
)</f>
        <v/>
      </c>
      <c r="E2377" s="7">
        <v>0</v>
      </c>
      <c r="F2377" s="7" t="str">
        <f>IFERROR(
   INDEX(tbl_ProduitsRef[Prix Menu],MATCH(tbl_Ventes[[#This Row],[Produit]],tbl_ProduitsRef[Produit],0)),
   ""
)</f>
        <v/>
      </c>
      <c r="G2377" s="7">
        <f>tbl_Ventes[[#This Row],[Qté Vendue]] * IFERROR(_xlfn.XLOOKUP(tbl_Ventes[[#This Row],[Cde_Prdt]], tbl_Produits[Cde_Prdt], tbl_Produits[Prix Menu]), 0)</f>
        <v>0</v>
      </c>
      <c r="H2377" s="7">
        <f>IFERROR(_xlfn.XLOOKUP(tbl_Ventes[[#This Row],[Cde_Prdt]], tbl_Produits[Cde_Prdt], tbl_Produits[Coût Moyen Portion]), 0)</f>
        <v>0</v>
      </c>
      <c r="I2377" s="7">
        <f>tbl_Ventes[[#This Row],[Qté Vendue]] * tbl_Ventes[[#This Row],[CMP_par_portion]]</f>
        <v>0</v>
      </c>
      <c r="J2377" s="7">
        <f>tbl_Ventes[[#This Row],[CA ligne]] - tbl_Ventes[[#This Row],[Coût matière ligne]]</f>
        <v>0</v>
      </c>
      <c r="K2377" s="7" t="str">
        <f>IFERROR(INDEX(tbl_ProduitsRef[Famille], MATCH(tbl_Ventes[[#This Row],[Cde_Prdt]], tbl_Produits[Cde_Prdt], 0)), "")</f>
        <v/>
      </c>
    </row>
    <row r="2378" spans="1:11" x14ac:dyDescent="0.25">
      <c r="A2378" s="5"/>
      <c r="B2378" s="63" t="str">
        <f>IFERROR(TEXT(tbl_Ventes[[#This Row],[Date]],"mm-aaaa"),"")</f>
        <v>01-1900</v>
      </c>
      <c r="D2378" s="10" t="str">
        <f>IFERROR(
   INDEX(tbl_ProduitsRef[Cde_Prdt],MATCH(tbl_Ventes[[#This Row],[Produit]],tbl_ProduitsRef[Produit],0)),
   ""
)</f>
        <v/>
      </c>
      <c r="E2378" s="7">
        <v>0</v>
      </c>
      <c r="F2378" s="7" t="str">
        <f>IFERROR(
   INDEX(tbl_ProduitsRef[Prix Menu],MATCH(tbl_Ventes[[#This Row],[Produit]],tbl_ProduitsRef[Produit],0)),
   ""
)</f>
        <v/>
      </c>
      <c r="G2378" s="7">
        <f>tbl_Ventes[[#This Row],[Qté Vendue]] * IFERROR(_xlfn.XLOOKUP(tbl_Ventes[[#This Row],[Cde_Prdt]], tbl_Produits[Cde_Prdt], tbl_Produits[Prix Menu]), 0)</f>
        <v>0</v>
      </c>
      <c r="H2378" s="7">
        <f>IFERROR(_xlfn.XLOOKUP(tbl_Ventes[[#This Row],[Cde_Prdt]], tbl_Produits[Cde_Prdt], tbl_Produits[Coût Moyen Portion]), 0)</f>
        <v>0</v>
      </c>
      <c r="I2378" s="7">
        <f>tbl_Ventes[[#This Row],[Qté Vendue]] * tbl_Ventes[[#This Row],[CMP_par_portion]]</f>
        <v>0</v>
      </c>
      <c r="J2378" s="7">
        <f>tbl_Ventes[[#This Row],[CA ligne]] - tbl_Ventes[[#This Row],[Coût matière ligne]]</f>
        <v>0</v>
      </c>
      <c r="K2378" s="7" t="str">
        <f>IFERROR(INDEX(tbl_ProduitsRef[Famille], MATCH(tbl_Ventes[[#This Row],[Cde_Prdt]], tbl_Produits[Cde_Prdt], 0)), "")</f>
        <v/>
      </c>
    </row>
    <row r="2379" spans="1:11" x14ac:dyDescent="0.25">
      <c r="A2379" s="5"/>
      <c r="B2379" s="63" t="str">
        <f>IFERROR(TEXT(tbl_Ventes[[#This Row],[Date]],"mm-aaaa"),"")</f>
        <v>01-1900</v>
      </c>
      <c r="D2379" s="10" t="str">
        <f>IFERROR(
   INDEX(tbl_ProduitsRef[Cde_Prdt],MATCH(tbl_Ventes[[#This Row],[Produit]],tbl_ProduitsRef[Produit],0)),
   ""
)</f>
        <v/>
      </c>
      <c r="E2379" s="7">
        <v>0</v>
      </c>
      <c r="F2379" s="7" t="str">
        <f>IFERROR(
   INDEX(tbl_ProduitsRef[Prix Menu],MATCH(tbl_Ventes[[#This Row],[Produit]],tbl_ProduitsRef[Produit],0)),
   ""
)</f>
        <v/>
      </c>
      <c r="G2379" s="7">
        <f>tbl_Ventes[[#This Row],[Qté Vendue]] * IFERROR(_xlfn.XLOOKUP(tbl_Ventes[[#This Row],[Cde_Prdt]], tbl_Produits[Cde_Prdt], tbl_Produits[Prix Menu]), 0)</f>
        <v>0</v>
      </c>
      <c r="H2379" s="7">
        <f>IFERROR(_xlfn.XLOOKUP(tbl_Ventes[[#This Row],[Cde_Prdt]], tbl_Produits[Cde_Prdt], tbl_Produits[Coût Moyen Portion]), 0)</f>
        <v>0</v>
      </c>
      <c r="I2379" s="7">
        <f>tbl_Ventes[[#This Row],[Qté Vendue]] * tbl_Ventes[[#This Row],[CMP_par_portion]]</f>
        <v>0</v>
      </c>
      <c r="J2379" s="7">
        <f>tbl_Ventes[[#This Row],[CA ligne]] - tbl_Ventes[[#This Row],[Coût matière ligne]]</f>
        <v>0</v>
      </c>
      <c r="K2379" s="7" t="str">
        <f>IFERROR(INDEX(tbl_ProduitsRef[Famille], MATCH(tbl_Ventes[[#This Row],[Cde_Prdt]], tbl_Produits[Cde_Prdt], 0)), "")</f>
        <v/>
      </c>
    </row>
    <row r="2380" spans="1:11" x14ac:dyDescent="0.25">
      <c r="A2380" s="5"/>
      <c r="B2380" s="63" t="str">
        <f>IFERROR(TEXT(tbl_Ventes[[#This Row],[Date]],"mm-aaaa"),"")</f>
        <v>01-1900</v>
      </c>
      <c r="D2380" s="10" t="str">
        <f>IFERROR(
   INDEX(tbl_ProduitsRef[Cde_Prdt],MATCH(tbl_Ventes[[#This Row],[Produit]],tbl_ProduitsRef[Produit],0)),
   ""
)</f>
        <v/>
      </c>
      <c r="E2380" s="7">
        <v>0</v>
      </c>
      <c r="F2380" s="7" t="str">
        <f>IFERROR(
   INDEX(tbl_ProduitsRef[Prix Menu],MATCH(tbl_Ventes[[#This Row],[Produit]],tbl_ProduitsRef[Produit],0)),
   ""
)</f>
        <v/>
      </c>
      <c r="G2380" s="7">
        <f>tbl_Ventes[[#This Row],[Qté Vendue]] * IFERROR(_xlfn.XLOOKUP(tbl_Ventes[[#This Row],[Cde_Prdt]], tbl_Produits[Cde_Prdt], tbl_Produits[Prix Menu]), 0)</f>
        <v>0</v>
      </c>
      <c r="H2380" s="7">
        <f>IFERROR(_xlfn.XLOOKUP(tbl_Ventes[[#This Row],[Cde_Prdt]], tbl_Produits[Cde_Prdt], tbl_Produits[Coût Moyen Portion]), 0)</f>
        <v>0</v>
      </c>
      <c r="I2380" s="7">
        <f>tbl_Ventes[[#This Row],[Qté Vendue]] * tbl_Ventes[[#This Row],[CMP_par_portion]]</f>
        <v>0</v>
      </c>
      <c r="J2380" s="7">
        <f>tbl_Ventes[[#This Row],[CA ligne]] - tbl_Ventes[[#This Row],[Coût matière ligne]]</f>
        <v>0</v>
      </c>
      <c r="K2380" s="7" t="str">
        <f>IFERROR(INDEX(tbl_ProduitsRef[Famille], MATCH(tbl_Ventes[[#This Row],[Cde_Prdt]], tbl_Produits[Cde_Prdt], 0)), "")</f>
        <v/>
      </c>
    </row>
    <row r="2381" spans="1:11" x14ac:dyDescent="0.25">
      <c r="A2381" s="5"/>
      <c r="B2381" s="63" t="str">
        <f>IFERROR(TEXT(tbl_Ventes[[#This Row],[Date]],"mm-aaaa"),"")</f>
        <v>01-1900</v>
      </c>
      <c r="D2381" s="10" t="str">
        <f>IFERROR(
   INDEX(tbl_ProduitsRef[Cde_Prdt],MATCH(tbl_Ventes[[#This Row],[Produit]],tbl_ProduitsRef[Produit],0)),
   ""
)</f>
        <v/>
      </c>
      <c r="E2381" s="7">
        <v>0</v>
      </c>
      <c r="F2381" s="7" t="str">
        <f>IFERROR(
   INDEX(tbl_ProduitsRef[Prix Menu],MATCH(tbl_Ventes[[#This Row],[Produit]],tbl_ProduitsRef[Produit],0)),
   ""
)</f>
        <v/>
      </c>
      <c r="G2381" s="7">
        <f>tbl_Ventes[[#This Row],[Qté Vendue]] * IFERROR(_xlfn.XLOOKUP(tbl_Ventes[[#This Row],[Cde_Prdt]], tbl_Produits[Cde_Prdt], tbl_Produits[Prix Menu]), 0)</f>
        <v>0</v>
      </c>
      <c r="H2381" s="7">
        <f>IFERROR(_xlfn.XLOOKUP(tbl_Ventes[[#This Row],[Cde_Prdt]], tbl_Produits[Cde_Prdt], tbl_Produits[Coût Moyen Portion]), 0)</f>
        <v>0</v>
      </c>
      <c r="I2381" s="7">
        <f>tbl_Ventes[[#This Row],[Qté Vendue]] * tbl_Ventes[[#This Row],[CMP_par_portion]]</f>
        <v>0</v>
      </c>
      <c r="J2381" s="7">
        <f>tbl_Ventes[[#This Row],[CA ligne]] - tbl_Ventes[[#This Row],[Coût matière ligne]]</f>
        <v>0</v>
      </c>
      <c r="K2381" s="7" t="str">
        <f>IFERROR(INDEX(tbl_ProduitsRef[Famille], MATCH(tbl_Ventes[[#This Row],[Cde_Prdt]], tbl_Produits[Cde_Prdt], 0)), "")</f>
        <v/>
      </c>
    </row>
    <row r="2382" spans="1:11" x14ac:dyDescent="0.25">
      <c r="A2382" s="5"/>
      <c r="B2382" s="63" t="str">
        <f>IFERROR(TEXT(tbl_Ventes[[#This Row],[Date]],"mm-aaaa"),"")</f>
        <v>01-1900</v>
      </c>
      <c r="D2382" s="10" t="str">
        <f>IFERROR(
   INDEX(tbl_ProduitsRef[Cde_Prdt],MATCH(tbl_Ventes[[#This Row],[Produit]],tbl_ProduitsRef[Produit],0)),
   ""
)</f>
        <v/>
      </c>
      <c r="E2382" s="7">
        <v>0</v>
      </c>
      <c r="F2382" s="7" t="str">
        <f>IFERROR(
   INDEX(tbl_ProduitsRef[Prix Menu],MATCH(tbl_Ventes[[#This Row],[Produit]],tbl_ProduitsRef[Produit],0)),
   ""
)</f>
        <v/>
      </c>
      <c r="G2382" s="7">
        <f>tbl_Ventes[[#This Row],[Qté Vendue]] * IFERROR(_xlfn.XLOOKUP(tbl_Ventes[[#This Row],[Cde_Prdt]], tbl_Produits[Cde_Prdt], tbl_Produits[Prix Menu]), 0)</f>
        <v>0</v>
      </c>
      <c r="H2382" s="7">
        <f>IFERROR(_xlfn.XLOOKUP(tbl_Ventes[[#This Row],[Cde_Prdt]], tbl_Produits[Cde_Prdt], tbl_Produits[Coût Moyen Portion]), 0)</f>
        <v>0</v>
      </c>
      <c r="I2382" s="7">
        <f>tbl_Ventes[[#This Row],[Qté Vendue]] * tbl_Ventes[[#This Row],[CMP_par_portion]]</f>
        <v>0</v>
      </c>
      <c r="J2382" s="7">
        <f>tbl_Ventes[[#This Row],[CA ligne]] - tbl_Ventes[[#This Row],[Coût matière ligne]]</f>
        <v>0</v>
      </c>
      <c r="K2382" s="7" t="str">
        <f>IFERROR(INDEX(tbl_ProduitsRef[Famille], MATCH(tbl_Ventes[[#This Row],[Cde_Prdt]], tbl_Produits[Cde_Prdt], 0)), "")</f>
        <v/>
      </c>
    </row>
    <row r="2383" spans="1:11" x14ac:dyDescent="0.25">
      <c r="A2383" s="5"/>
      <c r="B2383" s="63" t="str">
        <f>IFERROR(TEXT(tbl_Ventes[[#This Row],[Date]],"mm-aaaa"),"")</f>
        <v>01-1900</v>
      </c>
      <c r="D2383" s="10" t="str">
        <f>IFERROR(
   INDEX(tbl_ProduitsRef[Cde_Prdt],MATCH(tbl_Ventes[[#This Row],[Produit]],tbl_ProduitsRef[Produit],0)),
   ""
)</f>
        <v/>
      </c>
      <c r="E2383" s="7">
        <v>0</v>
      </c>
      <c r="F2383" s="7" t="str">
        <f>IFERROR(
   INDEX(tbl_ProduitsRef[Prix Menu],MATCH(tbl_Ventes[[#This Row],[Produit]],tbl_ProduitsRef[Produit],0)),
   ""
)</f>
        <v/>
      </c>
      <c r="G2383" s="7">
        <f>tbl_Ventes[[#This Row],[Qté Vendue]] * IFERROR(_xlfn.XLOOKUP(tbl_Ventes[[#This Row],[Cde_Prdt]], tbl_Produits[Cde_Prdt], tbl_Produits[Prix Menu]), 0)</f>
        <v>0</v>
      </c>
      <c r="H2383" s="7">
        <f>IFERROR(_xlfn.XLOOKUP(tbl_Ventes[[#This Row],[Cde_Prdt]], tbl_Produits[Cde_Prdt], tbl_Produits[Coût Moyen Portion]), 0)</f>
        <v>0</v>
      </c>
      <c r="I2383" s="7">
        <f>tbl_Ventes[[#This Row],[Qté Vendue]] * tbl_Ventes[[#This Row],[CMP_par_portion]]</f>
        <v>0</v>
      </c>
      <c r="J2383" s="7">
        <f>tbl_Ventes[[#This Row],[CA ligne]] - tbl_Ventes[[#This Row],[Coût matière ligne]]</f>
        <v>0</v>
      </c>
      <c r="K2383" s="7" t="str">
        <f>IFERROR(INDEX(tbl_ProduitsRef[Famille], MATCH(tbl_Ventes[[#This Row],[Cde_Prdt]], tbl_Produits[Cde_Prdt], 0)), "")</f>
        <v/>
      </c>
    </row>
    <row r="2384" spans="1:11" x14ac:dyDescent="0.25">
      <c r="A2384" s="5"/>
      <c r="B2384" s="63" t="str">
        <f>IFERROR(TEXT(tbl_Ventes[[#This Row],[Date]],"mm-aaaa"),"")</f>
        <v>01-1900</v>
      </c>
      <c r="D2384" s="10" t="str">
        <f>IFERROR(
   INDEX(tbl_ProduitsRef[Cde_Prdt],MATCH(tbl_Ventes[[#This Row],[Produit]],tbl_ProduitsRef[Produit],0)),
   ""
)</f>
        <v/>
      </c>
      <c r="E2384" s="7">
        <v>0</v>
      </c>
      <c r="F2384" s="7" t="str">
        <f>IFERROR(
   INDEX(tbl_ProduitsRef[Prix Menu],MATCH(tbl_Ventes[[#This Row],[Produit]],tbl_ProduitsRef[Produit],0)),
   ""
)</f>
        <v/>
      </c>
      <c r="G2384" s="7">
        <f>tbl_Ventes[[#This Row],[Qté Vendue]] * IFERROR(_xlfn.XLOOKUP(tbl_Ventes[[#This Row],[Cde_Prdt]], tbl_Produits[Cde_Prdt], tbl_Produits[Prix Menu]), 0)</f>
        <v>0</v>
      </c>
      <c r="H2384" s="7">
        <f>IFERROR(_xlfn.XLOOKUP(tbl_Ventes[[#This Row],[Cde_Prdt]], tbl_Produits[Cde_Prdt], tbl_Produits[Coût Moyen Portion]), 0)</f>
        <v>0</v>
      </c>
      <c r="I2384" s="7">
        <f>tbl_Ventes[[#This Row],[Qté Vendue]] * tbl_Ventes[[#This Row],[CMP_par_portion]]</f>
        <v>0</v>
      </c>
      <c r="J2384" s="7">
        <f>tbl_Ventes[[#This Row],[CA ligne]] - tbl_Ventes[[#This Row],[Coût matière ligne]]</f>
        <v>0</v>
      </c>
      <c r="K2384" s="7" t="str">
        <f>IFERROR(INDEX(tbl_ProduitsRef[Famille], MATCH(tbl_Ventes[[#This Row],[Cde_Prdt]], tbl_Produits[Cde_Prdt], 0)), "")</f>
        <v/>
      </c>
    </row>
    <row r="2385" spans="1:11" x14ac:dyDescent="0.25">
      <c r="A2385" s="5"/>
      <c r="B2385" s="63" t="str">
        <f>IFERROR(TEXT(tbl_Ventes[[#This Row],[Date]],"mm-aaaa"),"")</f>
        <v>01-1900</v>
      </c>
      <c r="D2385" s="10" t="str">
        <f>IFERROR(
   INDEX(tbl_ProduitsRef[Cde_Prdt],MATCH(tbl_Ventes[[#This Row],[Produit]],tbl_ProduitsRef[Produit],0)),
   ""
)</f>
        <v/>
      </c>
      <c r="E2385" s="7">
        <v>0</v>
      </c>
      <c r="F2385" s="7" t="str">
        <f>IFERROR(
   INDEX(tbl_ProduitsRef[Prix Menu],MATCH(tbl_Ventes[[#This Row],[Produit]],tbl_ProduitsRef[Produit],0)),
   ""
)</f>
        <v/>
      </c>
      <c r="G2385" s="7">
        <f>tbl_Ventes[[#This Row],[Qté Vendue]] * IFERROR(_xlfn.XLOOKUP(tbl_Ventes[[#This Row],[Cde_Prdt]], tbl_Produits[Cde_Prdt], tbl_Produits[Prix Menu]), 0)</f>
        <v>0</v>
      </c>
      <c r="H2385" s="7">
        <f>IFERROR(_xlfn.XLOOKUP(tbl_Ventes[[#This Row],[Cde_Prdt]], tbl_Produits[Cde_Prdt], tbl_Produits[Coût Moyen Portion]), 0)</f>
        <v>0</v>
      </c>
      <c r="I2385" s="7">
        <f>tbl_Ventes[[#This Row],[Qté Vendue]] * tbl_Ventes[[#This Row],[CMP_par_portion]]</f>
        <v>0</v>
      </c>
      <c r="J2385" s="7">
        <f>tbl_Ventes[[#This Row],[CA ligne]] - tbl_Ventes[[#This Row],[Coût matière ligne]]</f>
        <v>0</v>
      </c>
      <c r="K2385" s="7" t="str">
        <f>IFERROR(INDEX(tbl_ProduitsRef[Famille], MATCH(tbl_Ventes[[#This Row],[Cde_Prdt]], tbl_Produits[Cde_Prdt], 0)), "")</f>
        <v/>
      </c>
    </row>
    <row r="2386" spans="1:11" x14ac:dyDescent="0.25">
      <c r="A2386" s="5"/>
      <c r="B2386" s="63" t="str">
        <f>IFERROR(TEXT(tbl_Ventes[[#This Row],[Date]],"mm-aaaa"),"")</f>
        <v>01-1900</v>
      </c>
      <c r="D2386" s="10" t="str">
        <f>IFERROR(
   INDEX(tbl_ProduitsRef[Cde_Prdt],MATCH(tbl_Ventes[[#This Row],[Produit]],tbl_ProduitsRef[Produit],0)),
   ""
)</f>
        <v/>
      </c>
      <c r="E2386" s="7">
        <v>0</v>
      </c>
      <c r="F2386" s="7" t="str">
        <f>IFERROR(
   INDEX(tbl_ProduitsRef[Prix Menu],MATCH(tbl_Ventes[[#This Row],[Produit]],tbl_ProduitsRef[Produit],0)),
   ""
)</f>
        <v/>
      </c>
      <c r="G2386" s="7">
        <f>tbl_Ventes[[#This Row],[Qté Vendue]] * IFERROR(_xlfn.XLOOKUP(tbl_Ventes[[#This Row],[Cde_Prdt]], tbl_Produits[Cde_Prdt], tbl_Produits[Prix Menu]), 0)</f>
        <v>0</v>
      </c>
      <c r="H2386" s="7">
        <f>IFERROR(_xlfn.XLOOKUP(tbl_Ventes[[#This Row],[Cde_Prdt]], tbl_Produits[Cde_Prdt], tbl_Produits[Coût Moyen Portion]), 0)</f>
        <v>0</v>
      </c>
      <c r="I2386" s="7">
        <f>tbl_Ventes[[#This Row],[Qté Vendue]] * tbl_Ventes[[#This Row],[CMP_par_portion]]</f>
        <v>0</v>
      </c>
      <c r="J2386" s="7">
        <f>tbl_Ventes[[#This Row],[CA ligne]] - tbl_Ventes[[#This Row],[Coût matière ligne]]</f>
        <v>0</v>
      </c>
      <c r="K2386" s="7" t="str">
        <f>IFERROR(INDEX(tbl_ProduitsRef[Famille], MATCH(tbl_Ventes[[#This Row],[Cde_Prdt]], tbl_Produits[Cde_Prdt], 0)), "")</f>
        <v/>
      </c>
    </row>
    <row r="2387" spans="1:11" x14ac:dyDescent="0.25">
      <c r="A2387" s="5"/>
      <c r="B2387" s="63" t="str">
        <f>IFERROR(TEXT(tbl_Ventes[[#This Row],[Date]],"mm-aaaa"),"")</f>
        <v>01-1900</v>
      </c>
      <c r="D2387" s="10" t="str">
        <f>IFERROR(
   INDEX(tbl_ProduitsRef[Cde_Prdt],MATCH(tbl_Ventes[[#This Row],[Produit]],tbl_ProduitsRef[Produit],0)),
   ""
)</f>
        <v/>
      </c>
      <c r="E2387" s="7">
        <v>0</v>
      </c>
      <c r="F2387" s="7" t="str">
        <f>IFERROR(
   INDEX(tbl_ProduitsRef[Prix Menu],MATCH(tbl_Ventes[[#This Row],[Produit]],tbl_ProduitsRef[Produit],0)),
   ""
)</f>
        <v/>
      </c>
      <c r="G2387" s="7">
        <f>tbl_Ventes[[#This Row],[Qté Vendue]] * IFERROR(_xlfn.XLOOKUP(tbl_Ventes[[#This Row],[Cde_Prdt]], tbl_Produits[Cde_Prdt], tbl_Produits[Prix Menu]), 0)</f>
        <v>0</v>
      </c>
      <c r="H2387" s="7">
        <f>IFERROR(_xlfn.XLOOKUP(tbl_Ventes[[#This Row],[Cde_Prdt]], tbl_Produits[Cde_Prdt], tbl_Produits[Coût Moyen Portion]), 0)</f>
        <v>0</v>
      </c>
      <c r="I2387" s="7">
        <f>tbl_Ventes[[#This Row],[Qté Vendue]] * tbl_Ventes[[#This Row],[CMP_par_portion]]</f>
        <v>0</v>
      </c>
      <c r="J2387" s="7">
        <f>tbl_Ventes[[#This Row],[CA ligne]] - tbl_Ventes[[#This Row],[Coût matière ligne]]</f>
        <v>0</v>
      </c>
      <c r="K2387" s="7" t="str">
        <f>IFERROR(INDEX(tbl_ProduitsRef[Famille], MATCH(tbl_Ventes[[#This Row],[Cde_Prdt]], tbl_Produits[Cde_Prdt], 0)), "")</f>
        <v/>
      </c>
    </row>
    <row r="2388" spans="1:11" x14ac:dyDescent="0.25">
      <c r="A2388" s="5"/>
      <c r="B2388" s="63" t="str">
        <f>IFERROR(TEXT(tbl_Ventes[[#This Row],[Date]],"mm-aaaa"),"")</f>
        <v>01-1900</v>
      </c>
      <c r="D2388" s="10" t="str">
        <f>IFERROR(
   INDEX(tbl_ProduitsRef[Cde_Prdt],MATCH(tbl_Ventes[[#This Row],[Produit]],tbl_ProduitsRef[Produit],0)),
   ""
)</f>
        <v/>
      </c>
      <c r="E2388" s="7">
        <v>0</v>
      </c>
      <c r="F2388" s="7" t="str">
        <f>IFERROR(
   INDEX(tbl_ProduitsRef[Prix Menu],MATCH(tbl_Ventes[[#This Row],[Produit]],tbl_ProduitsRef[Produit],0)),
   ""
)</f>
        <v/>
      </c>
      <c r="G2388" s="7">
        <f>tbl_Ventes[[#This Row],[Qté Vendue]] * IFERROR(_xlfn.XLOOKUP(tbl_Ventes[[#This Row],[Cde_Prdt]], tbl_Produits[Cde_Prdt], tbl_Produits[Prix Menu]), 0)</f>
        <v>0</v>
      </c>
      <c r="H2388" s="7">
        <f>IFERROR(_xlfn.XLOOKUP(tbl_Ventes[[#This Row],[Cde_Prdt]], tbl_Produits[Cde_Prdt], tbl_Produits[Coût Moyen Portion]), 0)</f>
        <v>0</v>
      </c>
      <c r="I2388" s="7">
        <f>tbl_Ventes[[#This Row],[Qté Vendue]] * tbl_Ventes[[#This Row],[CMP_par_portion]]</f>
        <v>0</v>
      </c>
      <c r="J2388" s="7">
        <f>tbl_Ventes[[#This Row],[CA ligne]] - tbl_Ventes[[#This Row],[Coût matière ligne]]</f>
        <v>0</v>
      </c>
      <c r="K2388" s="7" t="str">
        <f>IFERROR(INDEX(tbl_ProduitsRef[Famille], MATCH(tbl_Ventes[[#This Row],[Cde_Prdt]], tbl_Produits[Cde_Prdt], 0)), "")</f>
        <v/>
      </c>
    </row>
    <row r="2389" spans="1:11" x14ac:dyDescent="0.25">
      <c r="A2389" s="5"/>
      <c r="B2389" s="63" t="str">
        <f>IFERROR(TEXT(tbl_Ventes[[#This Row],[Date]],"mm-aaaa"),"")</f>
        <v>01-1900</v>
      </c>
      <c r="D2389" s="10" t="str">
        <f>IFERROR(
   INDEX(tbl_ProduitsRef[Cde_Prdt],MATCH(tbl_Ventes[[#This Row],[Produit]],tbl_ProduitsRef[Produit],0)),
   ""
)</f>
        <v/>
      </c>
      <c r="E2389" s="7">
        <v>0</v>
      </c>
      <c r="F2389" s="7" t="str">
        <f>IFERROR(
   INDEX(tbl_ProduitsRef[Prix Menu],MATCH(tbl_Ventes[[#This Row],[Produit]],tbl_ProduitsRef[Produit],0)),
   ""
)</f>
        <v/>
      </c>
      <c r="G2389" s="7">
        <f>tbl_Ventes[[#This Row],[Qté Vendue]] * IFERROR(_xlfn.XLOOKUP(tbl_Ventes[[#This Row],[Cde_Prdt]], tbl_Produits[Cde_Prdt], tbl_Produits[Prix Menu]), 0)</f>
        <v>0</v>
      </c>
      <c r="H2389" s="7">
        <f>IFERROR(_xlfn.XLOOKUP(tbl_Ventes[[#This Row],[Cde_Prdt]], tbl_Produits[Cde_Prdt], tbl_Produits[Coût Moyen Portion]), 0)</f>
        <v>0</v>
      </c>
      <c r="I2389" s="7">
        <f>tbl_Ventes[[#This Row],[Qté Vendue]] * tbl_Ventes[[#This Row],[CMP_par_portion]]</f>
        <v>0</v>
      </c>
      <c r="J2389" s="7">
        <f>tbl_Ventes[[#This Row],[CA ligne]] - tbl_Ventes[[#This Row],[Coût matière ligne]]</f>
        <v>0</v>
      </c>
      <c r="K2389" s="7" t="str">
        <f>IFERROR(INDEX(tbl_ProduitsRef[Famille], MATCH(tbl_Ventes[[#This Row],[Cde_Prdt]], tbl_Produits[Cde_Prdt], 0)), "")</f>
        <v/>
      </c>
    </row>
    <row r="2390" spans="1:11" x14ac:dyDescent="0.25">
      <c r="A2390" s="5"/>
      <c r="B2390" s="63" t="str">
        <f>IFERROR(TEXT(tbl_Ventes[[#This Row],[Date]],"mm-aaaa"),"")</f>
        <v>01-1900</v>
      </c>
      <c r="D2390" s="10" t="str">
        <f>IFERROR(
   INDEX(tbl_ProduitsRef[Cde_Prdt],MATCH(tbl_Ventes[[#This Row],[Produit]],tbl_ProduitsRef[Produit],0)),
   ""
)</f>
        <v/>
      </c>
      <c r="E2390" s="7">
        <v>0</v>
      </c>
      <c r="F2390" s="7" t="str">
        <f>IFERROR(
   INDEX(tbl_ProduitsRef[Prix Menu],MATCH(tbl_Ventes[[#This Row],[Produit]],tbl_ProduitsRef[Produit],0)),
   ""
)</f>
        <v/>
      </c>
      <c r="G2390" s="7">
        <f>tbl_Ventes[[#This Row],[Qté Vendue]] * IFERROR(_xlfn.XLOOKUP(tbl_Ventes[[#This Row],[Cde_Prdt]], tbl_Produits[Cde_Prdt], tbl_Produits[Prix Menu]), 0)</f>
        <v>0</v>
      </c>
      <c r="H2390" s="7">
        <f>IFERROR(_xlfn.XLOOKUP(tbl_Ventes[[#This Row],[Cde_Prdt]], tbl_Produits[Cde_Prdt], tbl_Produits[Coût Moyen Portion]), 0)</f>
        <v>0</v>
      </c>
      <c r="I2390" s="7">
        <f>tbl_Ventes[[#This Row],[Qté Vendue]] * tbl_Ventes[[#This Row],[CMP_par_portion]]</f>
        <v>0</v>
      </c>
      <c r="J2390" s="7">
        <f>tbl_Ventes[[#This Row],[CA ligne]] - tbl_Ventes[[#This Row],[Coût matière ligne]]</f>
        <v>0</v>
      </c>
      <c r="K2390" s="7" t="str">
        <f>IFERROR(INDEX(tbl_ProduitsRef[Famille], MATCH(tbl_Ventes[[#This Row],[Cde_Prdt]], tbl_Produits[Cde_Prdt], 0)), "")</f>
        <v/>
      </c>
    </row>
    <row r="2391" spans="1:11" x14ac:dyDescent="0.25">
      <c r="A2391" s="5"/>
      <c r="B2391" s="63" t="str">
        <f>IFERROR(TEXT(tbl_Ventes[[#This Row],[Date]],"mm-aaaa"),"")</f>
        <v>01-1900</v>
      </c>
      <c r="D2391" s="10" t="str">
        <f>IFERROR(
   INDEX(tbl_ProduitsRef[Cde_Prdt],MATCH(tbl_Ventes[[#This Row],[Produit]],tbl_ProduitsRef[Produit],0)),
   ""
)</f>
        <v/>
      </c>
      <c r="E2391" s="7">
        <v>0</v>
      </c>
      <c r="F2391" s="7" t="str">
        <f>IFERROR(
   INDEX(tbl_ProduitsRef[Prix Menu],MATCH(tbl_Ventes[[#This Row],[Produit]],tbl_ProduitsRef[Produit],0)),
   ""
)</f>
        <v/>
      </c>
      <c r="G2391" s="7">
        <f>tbl_Ventes[[#This Row],[Qté Vendue]] * IFERROR(_xlfn.XLOOKUP(tbl_Ventes[[#This Row],[Cde_Prdt]], tbl_Produits[Cde_Prdt], tbl_Produits[Prix Menu]), 0)</f>
        <v>0</v>
      </c>
      <c r="H2391" s="7">
        <f>IFERROR(_xlfn.XLOOKUP(tbl_Ventes[[#This Row],[Cde_Prdt]], tbl_Produits[Cde_Prdt], tbl_Produits[Coût Moyen Portion]), 0)</f>
        <v>0</v>
      </c>
      <c r="I2391" s="7">
        <f>tbl_Ventes[[#This Row],[Qté Vendue]] * tbl_Ventes[[#This Row],[CMP_par_portion]]</f>
        <v>0</v>
      </c>
      <c r="J2391" s="7">
        <f>tbl_Ventes[[#This Row],[CA ligne]] - tbl_Ventes[[#This Row],[Coût matière ligne]]</f>
        <v>0</v>
      </c>
      <c r="K2391" s="7" t="str">
        <f>IFERROR(INDEX(tbl_ProduitsRef[Famille], MATCH(tbl_Ventes[[#This Row],[Cde_Prdt]], tbl_Produits[Cde_Prdt], 0)), "")</f>
        <v/>
      </c>
    </row>
    <row r="2392" spans="1:11" x14ac:dyDescent="0.25">
      <c r="A2392" s="5"/>
      <c r="B2392" s="63" t="str">
        <f>IFERROR(TEXT(tbl_Ventes[[#This Row],[Date]],"mm-aaaa"),"")</f>
        <v>01-1900</v>
      </c>
      <c r="D2392" s="10" t="str">
        <f>IFERROR(
   INDEX(tbl_ProduitsRef[Cde_Prdt],MATCH(tbl_Ventes[[#This Row],[Produit]],tbl_ProduitsRef[Produit],0)),
   ""
)</f>
        <v/>
      </c>
      <c r="E2392" s="7">
        <v>0</v>
      </c>
      <c r="F2392" s="7" t="str">
        <f>IFERROR(
   INDEX(tbl_ProduitsRef[Prix Menu],MATCH(tbl_Ventes[[#This Row],[Produit]],tbl_ProduitsRef[Produit],0)),
   ""
)</f>
        <v/>
      </c>
      <c r="G2392" s="7">
        <f>tbl_Ventes[[#This Row],[Qté Vendue]] * IFERROR(_xlfn.XLOOKUP(tbl_Ventes[[#This Row],[Cde_Prdt]], tbl_Produits[Cde_Prdt], tbl_Produits[Prix Menu]), 0)</f>
        <v>0</v>
      </c>
      <c r="H2392" s="7">
        <f>IFERROR(_xlfn.XLOOKUP(tbl_Ventes[[#This Row],[Cde_Prdt]], tbl_Produits[Cde_Prdt], tbl_Produits[Coût Moyen Portion]), 0)</f>
        <v>0</v>
      </c>
      <c r="I2392" s="7">
        <f>tbl_Ventes[[#This Row],[Qté Vendue]] * tbl_Ventes[[#This Row],[CMP_par_portion]]</f>
        <v>0</v>
      </c>
      <c r="J2392" s="7">
        <f>tbl_Ventes[[#This Row],[CA ligne]] - tbl_Ventes[[#This Row],[Coût matière ligne]]</f>
        <v>0</v>
      </c>
      <c r="K2392" s="7" t="str">
        <f>IFERROR(INDEX(tbl_ProduitsRef[Famille], MATCH(tbl_Ventes[[#This Row],[Cde_Prdt]], tbl_Produits[Cde_Prdt], 0)), "")</f>
        <v/>
      </c>
    </row>
    <row r="2393" spans="1:11" x14ac:dyDescent="0.25">
      <c r="A2393" s="5"/>
      <c r="B2393" s="63" t="str">
        <f>IFERROR(TEXT(tbl_Ventes[[#This Row],[Date]],"mm-aaaa"),"")</f>
        <v>01-1900</v>
      </c>
      <c r="D2393" s="10" t="str">
        <f>IFERROR(
   INDEX(tbl_ProduitsRef[Cde_Prdt],MATCH(tbl_Ventes[[#This Row],[Produit]],tbl_ProduitsRef[Produit],0)),
   ""
)</f>
        <v/>
      </c>
      <c r="E2393" s="7">
        <v>0</v>
      </c>
      <c r="F2393" s="7" t="str">
        <f>IFERROR(
   INDEX(tbl_ProduitsRef[Prix Menu],MATCH(tbl_Ventes[[#This Row],[Produit]],tbl_ProduitsRef[Produit],0)),
   ""
)</f>
        <v/>
      </c>
      <c r="G2393" s="7">
        <f>tbl_Ventes[[#This Row],[Qté Vendue]] * IFERROR(_xlfn.XLOOKUP(tbl_Ventes[[#This Row],[Cde_Prdt]], tbl_Produits[Cde_Prdt], tbl_Produits[Prix Menu]), 0)</f>
        <v>0</v>
      </c>
      <c r="H2393" s="7">
        <f>IFERROR(_xlfn.XLOOKUP(tbl_Ventes[[#This Row],[Cde_Prdt]], tbl_Produits[Cde_Prdt], tbl_Produits[Coût Moyen Portion]), 0)</f>
        <v>0</v>
      </c>
      <c r="I2393" s="7">
        <f>tbl_Ventes[[#This Row],[Qté Vendue]] * tbl_Ventes[[#This Row],[CMP_par_portion]]</f>
        <v>0</v>
      </c>
      <c r="J2393" s="7">
        <f>tbl_Ventes[[#This Row],[CA ligne]] - tbl_Ventes[[#This Row],[Coût matière ligne]]</f>
        <v>0</v>
      </c>
      <c r="K2393" s="7" t="str">
        <f>IFERROR(INDEX(tbl_ProduitsRef[Famille], MATCH(tbl_Ventes[[#This Row],[Cde_Prdt]], tbl_Produits[Cde_Prdt], 0)), "")</f>
        <v/>
      </c>
    </row>
    <row r="2394" spans="1:11" x14ac:dyDescent="0.25">
      <c r="A2394" s="5"/>
      <c r="B2394" s="63" t="str">
        <f>IFERROR(TEXT(tbl_Ventes[[#This Row],[Date]],"mm-aaaa"),"")</f>
        <v>01-1900</v>
      </c>
      <c r="D2394" s="10" t="str">
        <f>IFERROR(
   INDEX(tbl_ProduitsRef[Cde_Prdt],MATCH(tbl_Ventes[[#This Row],[Produit]],tbl_ProduitsRef[Produit],0)),
   ""
)</f>
        <v/>
      </c>
      <c r="E2394" s="7">
        <v>0</v>
      </c>
      <c r="F2394" s="7" t="str">
        <f>IFERROR(
   INDEX(tbl_ProduitsRef[Prix Menu],MATCH(tbl_Ventes[[#This Row],[Produit]],tbl_ProduitsRef[Produit],0)),
   ""
)</f>
        <v/>
      </c>
      <c r="G2394" s="7">
        <f>tbl_Ventes[[#This Row],[Qté Vendue]] * IFERROR(_xlfn.XLOOKUP(tbl_Ventes[[#This Row],[Cde_Prdt]], tbl_Produits[Cde_Prdt], tbl_Produits[Prix Menu]), 0)</f>
        <v>0</v>
      </c>
      <c r="H2394" s="7">
        <f>IFERROR(_xlfn.XLOOKUP(tbl_Ventes[[#This Row],[Cde_Prdt]], tbl_Produits[Cde_Prdt], tbl_Produits[Coût Moyen Portion]), 0)</f>
        <v>0</v>
      </c>
      <c r="I2394" s="7">
        <f>tbl_Ventes[[#This Row],[Qté Vendue]] * tbl_Ventes[[#This Row],[CMP_par_portion]]</f>
        <v>0</v>
      </c>
      <c r="J2394" s="7">
        <f>tbl_Ventes[[#This Row],[CA ligne]] - tbl_Ventes[[#This Row],[Coût matière ligne]]</f>
        <v>0</v>
      </c>
      <c r="K2394" s="7" t="str">
        <f>IFERROR(INDEX(tbl_ProduitsRef[Famille], MATCH(tbl_Ventes[[#This Row],[Cde_Prdt]], tbl_Produits[Cde_Prdt], 0)), "")</f>
        <v/>
      </c>
    </row>
    <row r="2395" spans="1:11" x14ac:dyDescent="0.25">
      <c r="A2395" s="5"/>
      <c r="B2395" s="63" t="str">
        <f>IFERROR(TEXT(tbl_Ventes[[#This Row],[Date]],"mm-aaaa"),"")</f>
        <v>01-1900</v>
      </c>
      <c r="D2395" s="10" t="str">
        <f>IFERROR(
   INDEX(tbl_ProduitsRef[Cde_Prdt],MATCH(tbl_Ventes[[#This Row],[Produit]],tbl_ProduitsRef[Produit],0)),
   ""
)</f>
        <v/>
      </c>
      <c r="E2395" s="7">
        <v>0</v>
      </c>
      <c r="F2395" s="7" t="str">
        <f>IFERROR(
   INDEX(tbl_ProduitsRef[Prix Menu],MATCH(tbl_Ventes[[#This Row],[Produit]],tbl_ProduitsRef[Produit],0)),
   ""
)</f>
        <v/>
      </c>
      <c r="G2395" s="7">
        <f>tbl_Ventes[[#This Row],[Qté Vendue]] * IFERROR(_xlfn.XLOOKUP(tbl_Ventes[[#This Row],[Cde_Prdt]], tbl_Produits[Cde_Prdt], tbl_Produits[Prix Menu]), 0)</f>
        <v>0</v>
      </c>
      <c r="H2395" s="7">
        <f>IFERROR(_xlfn.XLOOKUP(tbl_Ventes[[#This Row],[Cde_Prdt]], tbl_Produits[Cde_Prdt], tbl_Produits[Coût Moyen Portion]), 0)</f>
        <v>0</v>
      </c>
      <c r="I2395" s="7">
        <f>tbl_Ventes[[#This Row],[Qté Vendue]] * tbl_Ventes[[#This Row],[CMP_par_portion]]</f>
        <v>0</v>
      </c>
      <c r="J2395" s="7">
        <f>tbl_Ventes[[#This Row],[CA ligne]] - tbl_Ventes[[#This Row],[Coût matière ligne]]</f>
        <v>0</v>
      </c>
      <c r="K2395" s="7" t="str">
        <f>IFERROR(INDEX(tbl_ProduitsRef[Famille], MATCH(tbl_Ventes[[#This Row],[Cde_Prdt]], tbl_Produits[Cde_Prdt], 0)), "")</f>
        <v/>
      </c>
    </row>
    <row r="2396" spans="1:11" x14ac:dyDescent="0.25">
      <c r="A2396" s="5"/>
      <c r="B2396" s="63" t="str">
        <f>IFERROR(TEXT(tbl_Ventes[[#This Row],[Date]],"mm-aaaa"),"")</f>
        <v>01-1900</v>
      </c>
      <c r="D2396" s="10" t="str">
        <f>IFERROR(
   INDEX(tbl_ProduitsRef[Cde_Prdt],MATCH(tbl_Ventes[[#This Row],[Produit]],tbl_ProduitsRef[Produit],0)),
   ""
)</f>
        <v/>
      </c>
      <c r="E2396" s="7">
        <v>0</v>
      </c>
      <c r="F2396" s="7" t="str">
        <f>IFERROR(
   INDEX(tbl_ProduitsRef[Prix Menu],MATCH(tbl_Ventes[[#This Row],[Produit]],tbl_ProduitsRef[Produit],0)),
   ""
)</f>
        <v/>
      </c>
      <c r="G2396" s="7">
        <f>tbl_Ventes[[#This Row],[Qté Vendue]] * IFERROR(_xlfn.XLOOKUP(tbl_Ventes[[#This Row],[Cde_Prdt]], tbl_Produits[Cde_Prdt], tbl_Produits[Prix Menu]), 0)</f>
        <v>0</v>
      </c>
      <c r="H2396" s="7">
        <f>IFERROR(_xlfn.XLOOKUP(tbl_Ventes[[#This Row],[Cde_Prdt]], tbl_Produits[Cde_Prdt], tbl_Produits[Coût Moyen Portion]), 0)</f>
        <v>0</v>
      </c>
      <c r="I2396" s="7">
        <f>tbl_Ventes[[#This Row],[Qté Vendue]] * tbl_Ventes[[#This Row],[CMP_par_portion]]</f>
        <v>0</v>
      </c>
      <c r="J2396" s="7">
        <f>tbl_Ventes[[#This Row],[CA ligne]] - tbl_Ventes[[#This Row],[Coût matière ligne]]</f>
        <v>0</v>
      </c>
      <c r="K2396" s="7" t="str">
        <f>IFERROR(INDEX(tbl_ProduitsRef[Famille], MATCH(tbl_Ventes[[#This Row],[Cde_Prdt]], tbl_Produits[Cde_Prdt], 0)), "")</f>
        <v/>
      </c>
    </row>
    <row r="2397" spans="1:11" x14ac:dyDescent="0.25">
      <c r="A2397" s="5"/>
      <c r="B2397" s="63" t="str">
        <f>IFERROR(TEXT(tbl_Ventes[[#This Row],[Date]],"mm-aaaa"),"")</f>
        <v>01-1900</v>
      </c>
      <c r="D2397" s="10" t="str">
        <f>IFERROR(
   INDEX(tbl_ProduitsRef[Cde_Prdt],MATCH(tbl_Ventes[[#This Row],[Produit]],tbl_ProduitsRef[Produit],0)),
   ""
)</f>
        <v/>
      </c>
      <c r="E2397" s="7">
        <v>0</v>
      </c>
      <c r="F2397" s="7" t="str">
        <f>IFERROR(
   INDEX(tbl_ProduitsRef[Prix Menu],MATCH(tbl_Ventes[[#This Row],[Produit]],tbl_ProduitsRef[Produit],0)),
   ""
)</f>
        <v/>
      </c>
      <c r="G2397" s="7">
        <f>tbl_Ventes[[#This Row],[Qté Vendue]] * IFERROR(_xlfn.XLOOKUP(tbl_Ventes[[#This Row],[Cde_Prdt]], tbl_Produits[Cde_Prdt], tbl_Produits[Prix Menu]), 0)</f>
        <v>0</v>
      </c>
      <c r="H2397" s="7">
        <f>IFERROR(_xlfn.XLOOKUP(tbl_Ventes[[#This Row],[Cde_Prdt]], tbl_Produits[Cde_Prdt], tbl_Produits[Coût Moyen Portion]), 0)</f>
        <v>0</v>
      </c>
      <c r="I2397" s="7">
        <f>tbl_Ventes[[#This Row],[Qté Vendue]] * tbl_Ventes[[#This Row],[CMP_par_portion]]</f>
        <v>0</v>
      </c>
      <c r="J2397" s="7">
        <f>tbl_Ventes[[#This Row],[CA ligne]] - tbl_Ventes[[#This Row],[Coût matière ligne]]</f>
        <v>0</v>
      </c>
      <c r="K2397" s="7" t="str">
        <f>IFERROR(INDEX(tbl_ProduitsRef[Famille], MATCH(tbl_Ventes[[#This Row],[Cde_Prdt]], tbl_Produits[Cde_Prdt], 0)), "")</f>
        <v/>
      </c>
    </row>
    <row r="2398" spans="1:11" x14ac:dyDescent="0.25">
      <c r="A2398" s="5"/>
      <c r="B2398" s="63" t="str">
        <f>IFERROR(TEXT(tbl_Ventes[[#This Row],[Date]],"mm-aaaa"),"")</f>
        <v>01-1900</v>
      </c>
      <c r="D2398" s="10" t="str">
        <f>IFERROR(
   INDEX(tbl_ProduitsRef[Cde_Prdt],MATCH(tbl_Ventes[[#This Row],[Produit]],tbl_ProduitsRef[Produit],0)),
   ""
)</f>
        <v/>
      </c>
      <c r="E2398" s="7">
        <v>0</v>
      </c>
      <c r="F2398" s="7" t="str">
        <f>IFERROR(
   INDEX(tbl_ProduitsRef[Prix Menu],MATCH(tbl_Ventes[[#This Row],[Produit]],tbl_ProduitsRef[Produit],0)),
   ""
)</f>
        <v/>
      </c>
      <c r="G2398" s="7">
        <f>tbl_Ventes[[#This Row],[Qté Vendue]] * IFERROR(_xlfn.XLOOKUP(tbl_Ventes[[#This Row],[Cde_Prdt]], tbl_Produits[Cde_Prdt], tbl_Produits[Prix Menu]), 0)</f>
        <v>0</v>
      </c>
      <c r="H2398" s="7">
        <f>IFERROR(_xlfn.XLOOKUP(tbl_Ventes[[#This Row],[Cde_Prdt]], tbl_Produits[Cde_Prdt], tbl_Produits[Coût Moyen Portion]), 0)</f>
        <v>0</v>
      </c>
      <c r="I2398" s="7">
        <f>tbl_Ventes[[#This Row],[Qté Vendue]] * tbl_Ventes[[#This Row],[CMP_par_portion]]</f>
        <v>0</v>
      </c>
      <c r="J2398" s="7">
        <f>tbl_Ventes[[#This Row],[CA ligne]] - tbl_Ventes[[#This Row],[Coût matière ligne]]</f>
        <v>0</v>
      </c>
      <c r="K2398" s="7" t="str">
        <f>IFERROR(INDEX(tbl_ProduitsRef[Famille], MATCH(tbl_Ventes[[#This Row],[Cde_Prdt]], tbl_Produits[Cde_Prdt], 0)), "")</f>
        <v/>
      </c>
    </row>
    <row r="2399" spans="1:11" x14ac:dyDescent="0.25">
      <c r="A2399" s="5"/>
      <c r="B2399" s="63" t="str">
        <f>IFERROR(TEXT(tbl_Ventes[[#This Row],[Date]],"mm-aaaa"),"")</f>
        <v>01-1900</v>
      </c>
      <c r="D2399" s="10" t="str">
        <f>IFERROR(
   INDEX(tbl_ProduitsRef[Cde_Prdt],MATCH(tbl_Ventes[[#This Row],[Produit]],tbl_ProduitsRef[Produit],0)),
   ""
)</f>
        <v/>
      </c>
      <c r="E2399" s="7">
        <v>0</v>
      </c>
      <c r="F2399" s="7" t="str">
        <f>IFERROR(
   INDEX(tbl_ProduitsRef[Prix Menu],MATCH(tbl_Ventes[[#This Row],[Produit]],tbl_ProduitsRef[Produit],0)),
   ""
)</f>
        <v/>
      </c>
      <c r="G2399" s="7">
        <f>tbl_Ventes[[#This Row],[Qté Vendue]] * IFERROR(_xlfn.XLOOKUP(tbl_Ventes[[#This Row],[Cde_Prdt]], tbl_Produits[Cde_Prdt], tbl_Produits[Prix Menu]), 0)</f>
        <v>0</v>
      </c>
      <c r="H2399" s="7">
        <f>IFERROR(_xlfn.XLOOKUP(tbl_Ventes[[#This Row],[Cde_Prdt]], tbl_Produits[Cde_Prdt], tbl_Produits[Coût Moyen Portion]), 0)</f>
        <v>0</v>
      </c>
      <c r="I2399" s="7">
        <f>tbl_Ventes[[#This Row],[Qté Vendue]] * tbl_Ventes[[#This Row],[CMP_par_portion]]</f>
        <v>0</v>
      </c>
      <c r="J2399" s="7">
        <f>tbl_Ventes[[#This Row],[CA ligne]] - tbl_Ventes[[#This Row],[Coût matière ligne]]</f>
        <v>0</v>
      </c>
      <c r="K2399" s="7" t="str">
        <f>IFERROR(INDEX(tbl_ProduitsRef[Famille], MATCH(tbl_Ventes[[#This Row],[Cde_Prdt]], tbl_Produits[Cde_Prdt], 0)), "")</f>
        <v/>
      </c>
    </row>
    <row r="2400" spans="1:11" x14ac:dyDescent="0.25">
      <c r="A2400" s="5"/>
      <c r="B2400" s="63" t="str">
        <f>IFERROR(TEXT(tbl_Ventes[[#This Row],[Date]],"mm-aaaa"),"")</f>
        <v>01-1900</v>
      </c>
      <c r="D2400" s="10" t="str">
        <f>IFERROR(
   INDEX(tbl_ProduitsRef[Cde_Prdt],MATCH(tbl_Ventes[[#This Row],[Produit]],tbl_ProduitsRef[Produit],0)),
   ""
)</f>
        <v/>
      </c>
      <c r="E2400" s="7">
        <v>0</v>
      </c>
      <c r="F2400" s="7" t="str">
        <f>IFERROR(
   INDEX(tbl_ProduitsRef[Prix Menu],MATCH(tbl_Ventes[[#This Row],[Produit]],tbl_ProduitsRef[Produit],0)),
   ""
)</f>
        <v/>
      </c>
      <c r="G2400" s="7">
        <f>tbl_Ventes[[#This Row],[Qté Vendue]] * IFERROR(_xlfn.XLOOKUP(tbl_Ventes[[#This Row],[Cde_Prdt]], tbl_Produits[Cde_Prdt], tbl_Produits[Prix Menu]), 0)</f>
        <v>0</v>
      </c>
      <c r="H2400" s="7">
        <f>IFERROR(_xlfn.XLOOKUP(tbl_Ventes[[#This Row],[Cde_Prdt]], tbl_Produits[Cde_Prdt], tbl_Produits[Coût Moyen Portion]), 0)</f>
        <v>0</v>
      </c>
      <c r="I2400" s="7">
        <f>tbl_Ventes[[#This Row],[Qté Vendue]] * tbl_Ventes[[#This Row],[CMP_par_portion]]</f>
        <v>0</v>
      </c>
      <c r="J2400" s="7">
        <f>tbl_Ventes[[#This Row],[CA ligne]] - tbl_Ventes[[#This Row],[Coût matière ligne]]</f>
        <v>0</v>
      </c>
      <c r="K2400" s="7" t="str">
        <f>IFERROR(INDEX(tbl_ProduitsRef[Famille], MATCH(tbl_Ventes[[#This Row],[Cde_Prdt]], tbl_Produits[Cde_Prdt], 0)), "")</f>
        <v/>
      </c>
    </row>
    <row r="2401" spans="1:11" x14ac:dyDescent="0.25">
      <c r="A2401" s="5"/>
      <c r="B2401" s="63" t="str">
        <f>IFERROR(TEXT(tbl_Ventes[[#This Row],[Date]],"mm-aaaa"),"")</f>
        <v>01-1900</v>
      </c>
      <c r="D2401" s="10" t="str">
        <f>IFERROR(
   INDEX(tbl_ProduitsRef[Cde_Prdt],MATCH(tbl_Ventes[[#This Row],[Produit]],tbl_ProduitsRef[Produit],0)),
   ""
)</f>
        <v/>
      </c>
      <c r="E2401" s="7">
        <v>0</v>
      </c>
      <c r="F2401" s="7" t="str">
        <f>IFERROR(
   INDEX(tbl_ProduitsRef[Prix Menu],MATCH(tbl_Ventes[[#This Row],[Produit]],tbl_ProduitsRef[Produit],0)),
   ""
)</f>
        <v/>
      </c>
      <c r="G2401" s="7">
        <f>tbl_Ventes[[#This Row],[Qté Vendue]] * IFERROR(_xlfn.XLOOKUP(tbl_Ventes[[#This Row],[Cde_Prdt]], tbl_Produits[Cde_Prdt], tbl_Produits[Prix Menu]), 0)</f>
        <v>0</v>
      </c>
      <c r="H2401" s="7">
        <f>IFERROR(_xlfn.XLOOKUP(tbl_Ventes[[#This Row],[Cde_Prdt]], tbl_Produits[Cde_Prdt], tbl_Produits[Coût Moyen Portion]), 0)</f>
        <v>0</v>
      </c>
      <c r="I2401" s="7">
        <f>tbl_Ventes[[#This Row],[Qté Vendue]] * tbl_Ventes[[#This Row],[CMP_par_portion]]</f>
        <v>0</v>
      </c>
      <c r="J2401" s="7">
        <f>tbl_Ventes[[#This Row],[CA ligne]] - tbl_Ventes[[#This Row],[Coût matière ligne]]</f>
        <v>0</v>
      </c>
      <c r="K2401" s="7" t="str">
        <f>IFERROR(INDEX(tbl_ProduitsRef[Famille], MATCH(tbl_Ventes[[#This Row],[Cde_Prdt]], tbl_Produits[Cde_Prdt], 0)), "")</f>
        <v/>
      </c>
    </row>
    <row r="2402" spans="1:11" x14ac:dyDescent="0.25">
      <c r="A2402" s="5"/>
      <c r="B2402" s="63" t="str">
        <f>IFERROR(TEXT(tbl_Ventes[[#This Row],[Date]],"mm-aaaa"),"")</f>
        <v>01-1900</v>
      </c>
      <c r="D2402" s="10" t="str">
        <f>IFERROR(
   INDEX(tbl_ProduitsRef[Cde_Prdt],MATCH(tbl_Ventes[[#This Row],[Produit]],tbl_ProduitsRef[Produit],0)),
   ""
)</f>
        <v/>
      </c>
      <c r="E2402" s="7">
        <v>0</v>
      </c>
      <c r="F2402" s="7" t="str">
        <f>IFERROR(
   INDEX(tbl_ProduitsRef[Prix Menu],MATCH(tbl_Ventes[[#This Row],[Produit]],tbl_ProduitsRef[Produit],0)),
   ""
)</f>
        <v/>
      </c>
      <c r="G2402" s="7">
        <f>tbl_Ventes[[#This Row],[Qté Vendue]] * IFERROR(_xlfn.XLOOKUP(tbl_Ventes[[#This Row],[Cde_Prdt]], tbl_Produits[Cde_Prdt], tbl_Produits[Prix Menu]), 0)</f>
        <v>0</v>
      </c>
      <c r="H2402" s="7">
        <f>IFERROR(_xlfn.XLOOKUP(tbl_Ventes[[#This Row],[Cde_Prdt]], tbl_Produits[Cde_Prdt], tbl_Produits[Coût Moyen Portion]), 0)</f>
        <v>0</v>
      </c>
      <c r="I2402" s="7">
        <f>tbl_Ventes[[#This Row],[Qté Vendue]] * tbl_Ventes[[#This Row],[CMP_par_portion]]</f>
        <v>0</v>
      </c>
      <c r="J2402" s="7">
        <f>tbl_Ventes[[#This Row],[CA ligne]] - tbl_Ventes[[#This Row],[Coût matière ligne]]</f>
        <v>0</v>
      </c>
      <c r="K2402" s="7" t="str">
        <f>IFERROR(INDEX(tbl_ProduitsRef[Famille], MATCH(tbl_Ventes[[#This Row],[Cde_Prdt]], tbl_Produits[Cde_Prdt], 0)), "")</f>
        <v/>
      </c>
    </row>
    <row r="2403" spans="1:11" x14ac:dyDescent="0.25">
      <c r="A2403" s="5"/>
      <c r="B2403" s="63" t="str">
        <f>IFERROR(TEXT(tbl_Ventes[[#This Row],[Date]],"mm-aaaa"),"")</f>
        <v>01-1900</v>
      </c>
      <c r="D2403" s="10" t="str">
        <f>IFERROR(
   INDEX(tbl_ProduitsRef[Cde_Prdt],MATCH(tbl_Ventes[[#This Row],[Produit]],tbl_ProduitsRef[Produit],0)),
   ""
)</f>
        <v/>
      </c>
      <c r="E2403" s="7">
        <v>0</v>
      </c>
      <c r="F2403" s="7" t="str">
        <f>IFERROR(
   INDEX(tbl_ProduitsRef[Prix Menu],MATCH(tbl_Ventes[[#This Row],[Produit]],tbl_ProduitsRef[Produit],0)),
   ""
)</f>
        <v/>
      </c>
      <c r="G2403" s="7">
        <f>tbl_Ventes[[#This Row],[Qté Vendue]] * IFERROR(_xlfn.XLOOKUP(tbl_Ventes[[#This Row],[Cde_Prdt]], tbl_Produits[Cde_Prdt], tbl_Produits[Prix Menu]), 0)</f>
        <v>0</v>
      </c>
      <c r="H2403" s="7">
        <f>IFERROR(_xlfn.XLOOKUP(tbl_Ventes[[#This Row],[Cde_Prdt]], tbl_Produits[Cde_Prdt], tbl_Produits[Coût Moyen Portion]), 0)</f>
        <v>0</v>
      </c>
      <c r="I2403" s="7">
        <f>tbl_Ventes[[#This Row],[Qté Vendue]] * tbl_Ventes[[#This Row],[CMP_par_portion]]</f>
        <v>0</v>
      </c>
      <c r="J2403" s="7">
        <f>tbl_Ventes[[#This Row],[CA ligne]] - tbl_Ventes[[#This Row],[Coût matière ligne]]</f>
        <v>0</v>
      </c>
      <c r="K2403" s="7" t="str">
        <f>IFERROR(INDEX(tbl_ProduitsRef[Famille], MATCH(tbl_Ventes[[#This Row],[Cde_Prdt]], tbl_Produits[Cde_Prdt], 0)), "")</f>
        <v/>
      </c>
    </row>
    <row r="2404" spans="1:11" x14ac:dyDescent="0.25">
      <c r="A2404" s="5"/>
      <c r="B2404" s="63" t="str">
        <f>IFERROR(TEXT(tbl_Ventes[[#This Row],[Date]],"mm-aaaa"),"")</f>
        <v>01-1900</v>
      </c>
      <c r="D2404" s="10" t="str">
        <f>IFERROR(
   INDEX(tbl_ProduitsRef[Cde_Prdt],MATCH(tbl_Ventes[[#This Row],[Produit]],tbl_ProduitsRef[Produit],0)),
   ""
)</f>
        <v/>
      </c>
      <c r="E2404" s="7">
        <v>0</v>
      </c>
      <c r="F2404" s="7" t="str">
        <f>IFERROR(
   INDEX(tbl_ProduitsRef[Prix Menu],MATCH(tbl_Ventes[[#This Row],[Produit]],tbl_ProduitsRef[Produit],0)),
   ""
)</f>
        <v/>
      </c>
      <c r="G2404" s="7">
        <f>tbl_Ventes[[#This Row],[Qté Vendue]] * IFERROR(_xlfn.XLOOKUP(tbl_Ventes[[#This Row],[Cde_Prdt]], tbl_Produits[Cde_Prdt], tbl_Produits[Prix Menu]), 0)</f>
        <v>0</v>
      </c>
      <c r="H2404" s="7">
        <f>IFERROR(_xlfn.XLOOKUP(tbl_Ventes[[#This Row],[Cde_Prdt]], tbl_Produits[Cde_Prdt], tbl_Produits[Coût Moyen Portion]), 0)</f>
        <v>0</v>
      </c>
      <c r="I2404" s="7">
        <f>tbl_Ventes[[#This Row],[Qté Vendue]] * tbl_Ventes[[#This Row],[CMP_par_portion]]</f>
        <v>0</v>
      </c>
      <c r="J2404" s="7">
        <f>tbl_Ventes[[#This Row],[CA ligne]] - tbl_Ventes[[#This Row],[Coût matière ligne]]</f>
        <v>0</v>
      </c>
      <c r="K2404" s="7" t="str">
        <f>IFERROR(INDEX(tbl_ProduitsRef[Famille], MATCH(tbl_Ventes[[#This Row],[Cde_Prdt]], tbl_Produits[Cde_Prdt], 0)), "")</f>
        <v/>
      </c>
    </row>
    <row r="2405" spans="1:11" x14ac:dyDescent="0.25">
      <c r="A2405" s="5"/>
      <c r="B2405" s="63" t="str">
        <f>IFERROR(TEXT(tbl_Ventes[[#This Row],[Date]],"mm-aaaa"),"")</f>
        <v>01-1900</v>
      </c>
      <c r="D2405" s="10" t="str">
        <f>IFERROR(
   INDEX(tbl_ProduitsRef[Cde_Prdt],MATCH(tbl_Ventes[[#This Row],[Produit]],tbl_ProduitsRef[Produit],0)),
   ""
)</f>
        <v/>
      </c>
      <c r="E2405" s="7">
        <v>0</v>
      </c>
      <c r="F2405" s="7" t="str">
        <f>IFERROR(
   INDEX(tbl_ProduitsRef[Prix Menu],MATCH(tbl_Ventes[[#This Row],[Produit]],tbl_ProduitsRef[Produit],0)),
   ""
)</f>
        <v/>
      </c>
      <c r="G2405" s="7">
        <f>tbl_Ventes[[#This Row],[Qté Vendue]] * IFERROR(_xlfn.XLOOKUP(tbl_Ventes[[#This Row],[Cde_Prdt]], tbl_Produits[Cde_Prdt], tbl_Produits[Prix Menu]), 0)</f>
        <v>0</v>
      </c>
      <c r="H2405" s="7">
        <f>IFERROR(_xlfn.XLOOKUP(tbl_Ventes[[#This Row],[Cde_Prdt]], tbl_Produits[Cde_Prdt], tbl_Produits[Coût Moyen Portion]), 0)</f>
        <v>0</v>
      </c>
      <c r="I2405" s="7">
        <f>tbl_Ventes[[#This Row],[Qté Vendue]] * tbl_Ventes[[#This Row],[CMP_par_portion]]</f>
        <v>0</v>
      </c>
      <c r="J2405" s="7">
        <f>tbl_Ventes[[#This Row],[CA ligne]] - tbl_Ventes[[#This Row],[Coût matière ligne]]</f>
        <v>0</v>
      </c>
      <c r="K2405" s="7" t="str">
        <f>IFERROR(INDEX(tbl_ProduitsRef[Famille], MATCH(tbl_Ventes[[#This Row],[Cde_Prdt]], tbl_Produits[Cde_Prdt], 0)), "")</f>
        <v/>
      </c>
    </row>
    <row r="2406" spans="1:11" x14ac:dyDescent="0.25">
      <c r="A2406" s="5"/>
      <c r="B2406" s="63" t="str">
        <f>IFERROR(TEXT(tbl_Ventes[[#This Row],[Date]],"mm-aaaa"),"")</f>
        <v>01-1900</v>
      </c>
      <c r="D2406" s="10" t="str">
        <f>IFERROR(
   INDEX(tbl_ProduitsRef[Cde_Prdt],MATCH(tbl_Ventes[[#This Row],[Produit]],tbl_ProduitsRef[Produit],0)),
   ""
)</f>
        <v/>
      </c>
      <c r="E2406" s="7">
        <v>0</v>
      </c>
      <c r="F2406" s="7" t="str">
        <f>IFERROR(
   INDEX(tbl_ProduitsRef[Prix Menu],MATCH(tbl_Ventes[[#This Row],[Produit]],tbl_ProduitsRef[Produit],0)),
   ""
)</f>
        <v/>
      </c>
      <c r="G2406" s="7">
        <f>tbl_Ventes[[#This Row],[Qté Vendue]] * IFERROR(_xlfn.XLOOKUP(tbl_Ventes[[#This Row],[Cde_Prdt]], tbl_Produits[Cde_Prdt], tbl_Produits[Prix Menu]), 0)</f>
        <v>0</v>
      </c>
      <c r="H2406" s="7">
        <f>IFERROR(_xlfn.XLOOKUP(tbl_Ventes[[#This Row],[Cde_Prdt]], tbl_Produits[Cde_Prdt], tbl_Produits[Coût Moyen Portion]), 0)</f>
        <v>0</v>
      </c>
      <c r="I2406" s="7">
        <f>tbl_Ventes[[#This Row],[Qté Vendue]] * tbl_Ventes[[#This Row],[CMP_par_portion]]</f>
        <v>0</v>
      </c>
      <c r="J2406" s="7">
        <f>tbl_Ventes[[#This Row],[CA ligne]] - tbl_Ventes[[#This Row],[Coût matière ligne]]</f>
        <v>0</v>
      </c>
      <c r="K2406" s="7" t="str">
        <f>IFERROR(INDEX(tbl_ProduitsRef[Famille], MATCH(tbl_Ventes[[#This Row],[Cde_Prdt]], tbl_Produits[Cde_Prdt], 0)), "")</f>
        <v/>
      </c>
    </row>
    <row r="2407" spans="1:11" x14ac:dyDescent="0.25">
      <c r="A2407" s="5"/>
      <c r="B2407" s="63" t="str">
        <f>IFERROR(TEXT(tbl_Ventes[[#This Row],[Date]],"mm-aaaa"),"")</f>
        <v>01-1900</v>
      </c>
      <c r="D2407" s="10" t="str">
        <f>IFERROR(
   INDEX(tbl_ProduitsRef[Cde_Prdt],MATCH(tbl_Ventes[[#This Row],[Produit]],tbl_ProduitsRef[Produit],0)),
   ""
)</f>
        <v/>
      </c>
      <c r="E2407" s="7">
        <v>0</v>
      </c>
      <c r="F2407" s="7" t="str">
        <f>IFERROR(
   INDEX(tbl_ProduitsRef[Prix Menu],MATCH(tbl_Ventes[[#This Row],[Produit]],tbl_ProduitsRef[Produit],0)),
   ""
)</f>
        <v/>
      </c>
      <c r="G2407" s="7">
        <f>tbl_Ventes[[#This Row],[Qté Vendue]] * IFERROR(_xlfn.XLOOKUP(tbl_Ventes[[#This Row],[Cde_Prdt]], tbl_Produits[Cde_Prdt], tbl_Produits[Prix Menu]), 0)</f>
        <v>0</v>
      </c>
      <c r="H2407" s="7">
        <f>IFERROR(_xlfn.XLOOKUP(tbl_Ventes[[#This Row],[Cde_Prdt]], tbl_Produits[Cde_Prdt], tbl_Produits[Coût Moyen Portion]), 0)</f>
        <v>0</v>
      </c>
      <c r="I2407" s="7">
        <f>tbl_Ventes[[#This Row],[Qté Vendue]] * tbl_Ventes[[#This Row],[CMP_par_portion]]</f>
        <v>0</v>
      </c>
      <c r="J2407" s="7">
        <f>tbl_Ventes[[#This Row],[CA ligne]] - tbl_Ventes[[#This Row],[Coût matière ligne]]</f>
        <v>0</v>
      </c>
      <c r="K2407" s="7" t="str">
        <f>IFERROR(INDEX(tbl_ProduitsRef[Famille], MATCH(tbl_Ventes[[#This Row],[Cde_Prdt]], tbl_Produits[Cde_Prdt], 0)), "")</f>
        <v/>
      </c>
    </row>
    <row r="2408" spans="1:11" x14ac:dyDescent="0.25">
      <c r="A2408" s="5"/>
      <c r="B2408" s="63" t="str">
        <f>IFERROR(TEXT(tbl_Ventes[[#This Row],[Date]],"mm-aaaa"),"")</f>
        <v>01-1900</v>
      </c>
      <c r="D2408" s="10" t="str">
        <f>IFERROR(
   INDEX(tbl_ProduitsRef[Cde_Prdt],MATCH(tbl_Ventes[[#This Row],[Produit]],tbl_ProduitsRef[Produit],0)),
   ""
)</f>
        <v/>
      </c>
      <c r="E2408" s="7">
        <v>0</v>
      </c>
      <c r="F2408" s="7" t="str">
        <f>IFERROR(
   INDEX(tbl_ProduitsRef[Prix Menu],MATCH(tbl_Ventes[[#This Row],[Produit]],tbl_ProduitsRef[Produit],0)),
   ""
)</f>
        <v/>
      </c>
      <c r="G2408" s="7">
        <f>tbl_Ventes[[#This Row],[Qté Vendue]] * IFERROR(_xlfn.XLOOKUP(tbl_Ventes[[#This Row],[Cde_Prdt]], tbl_Produits[Cde_Prdt], tbl_Produits[Prix Menu]), 0)</f>
        <v>0</v>
      </c>
      <c r="H2408" s="7">
        <f>IFERROR(_xlfn.XLOOKUP(tbl_Ventes[[#This Row],[Cde_Prdt]], tbl_Produits[Cde_Prdt], tbl_Produits[Coût Moyen Portion]), 0)</f>
        <v>0</v>
      </c>
      <c r="I2408" s="7">
        <f>tbl_Ventes[[#This Row],[Qté Vendue]] * tbl_Ventes[[#This Row],[CMP_par_portion]]</f>
        <v>0</v>
      </c>
      <c r="J2408" s="7">
        <f>tbl_Ventes[[#This Row],[CA ligne]] - tbl_Ventes[[#This Row],[Coût matière ligne]]</f>
        <v>0</v>
      </c>
      <c r="K2408" s="7" t="str">
        <f>IFERROR(INDEX(tbl_ProduitsRef[Famille], MATCH(tbl_Ventes[[#This Row],[Cde_Prdt]], tbl_Produits[Cde_Prdt], 0)), "")</f>
        <v/>
      </c>
    </row>
    <row r="2409" spans="1:11" x14ac:dyDescent="0.25">
      <c r="A2409" s="5"/>
      <c r="B2409" s="63" t="str">
        <f>IFERROR(TEXT(tbl_Ventes[[#This Row],[Date]],"mm-aaaa"),"")</f>
        <v>01-1900</v>
      </c>
      <c r="D2409" s="10" t="str">
        <f>IFERROR(
   INDEX(tbl_ProduitsRef[Cde_Prdt],MATCH(tbl_Ventes[[#This Row],[Produit]],tbl_ProduitsRef[Produit],0)),
   ""
)</f>
        <v/>
      </c>
      <c r="E2409" s="7">
        <v>0</v>
      </c>
      <c r="F2409" s="7" t="str">
        <f>IFERROR(
   INDEX(tbl_ProduitsRef[Prix Menu],MATCH(tbl_Ventes[[#This Row],[Produit]],tbl_ProduitsRef[Produit],0)),
   ""
)</f>
        <v/>
      </c>
      <c r="G2409" s="7">
        <f>tbl_Ventes[[#This Row],[Qté Vendue]] * IFERROR(_xlfn.XLOOKUP(tbl_Ventes[[#This Row],[Cde_Prdt]], tbl_Produits[Cde_Prdt], tbl_Produits[Prix Menu]), 0)</f>
        <v>0</v>
      </c>
      <c r="H2409" s="7">
        <f>IFERROR(_xlfn.XLOOKUP(tbl_Ventes[[#This Row],[Cde_Prdt]], tbl_Produits[Cde_Prdt], tbl_Produits[Coût Moyen Portion]), 0)</f>
        <v>0</v>
      </c>
      <c r="I2409" s="7">
        <f>tbl_Ventes[[#This Row],[Qté Vendue]] * tbl_Ventes[[#This Row],[CMP_par_portion]]</f>
        <v>0</v>
      </c>
      <c r="J2409" s="7">
        <f>tbl_Ventes[[#This Row],[CA ligne]] - tbl_Ventes[[#This Row],[Coût matière ligne]]</f>
        <v>0</v>
      </c>
      <c r="K2409" s="7" t="str">
        <f>IFERROR(INDEX(tbl_ProduitsRef[Famille], MATCH(tbl_Ventes[[#This Row],[Cde_Prdt]], tbl_Produits[Cde_Prdt], 0)), "")</f>
        <v/>
      </c>
    </row>
    <row r="2410" spans="1:11" x14ac:dyDescent="0.25">
      <c r="A2410" s="5"/>
      <c r="B2410" s="63" t="str">
        <f>IFERROR(TEXT(tbl_Ventes[[#This Row],[Date]],"mm-aaaa"),"")</f>
        <v>01-1900</v>
      </c>
      <c r="D2410" s="10" t="str">
        <f>IFERROR(
   INDEX(tbl_ProduitsRef[Cde_Prdt],MATCH(tbl_Ventes[[#This Row],[Produit]],tbl_ProduitsRef[Produit],0)),
   ""
)</f>
        <v/>
      </c>
      <c r="E2410" s="7">
        <v>0</v>
      </c>
      <c r="F2410" s="7" t="str">
        <f>IFERROR(
   INDEX(tbl_ProduitsRef[Prix Menu],MATCH(tbl_Ventes[[#This Row],[Produit]],tbl_ProduitsRef[Produit],0)),
   ""
)</f>
        <v/>
      </c>
      <c r="G2410" s="7">
        <f>tbl_Ventes[[#This Row],[Qté Vendue]] * IFERROR(_xlfn.XLOOKUP(tbl_Ventes[[#This Row],[Cde_Prdt]], tbl_Produits[Cde_Prdt], tbl_Produits[Prix Menu]), 0)</f>
        <v>0</v>
      </c>
      <c r="H2410" s="7">
        <f>IFERROR(_xlfn.XLOOKUP(tbl_Ventes[[#This Row],[Cde_Prdt]], tbl_Produits[Cde_Prdt], tbl_Produits[Coût Moyen Portion]), 0)</f>
        <v>0</v>
      </c>
      <c r="I2410" s="7">
        <f>tbl_Ventes[[#This Row],[Qté Vendue]] * tbl_Ventes[[#This Row],[CMP_par_portion]]</f>
        <v>0</v>
      </c>
      <c r="J2410" s="7">
        <f>tbl_Ventes[[#This Row],[CA ligne]] - tbl_Ventes[[#This Row],[Coût matière ligne]]</f>
        <v>0</v>
      </c>
      <c r="K2410" s="7" t="str">
        <f>IFERROR(INDEX(tbl_ProduitsRef[Famille], MATCH(tbl_Ventes[[#This Row],[Cde_Prdt]], tbl_Produits[Cde_Prdt], 0)), "")</f>
        <v/>
      </c>
    </row>
    <row r="2411" spans="1:11" x14ac:dyDescent="0.25">
      <c r="A2411" s="5"/>
      <c r="B2411" s="63" t="str">
        <f>IFERROR(TEXT(tbl_Ventes[[#This Row],[Date]],"mm-aaaa"),"")</f>
        <v>01-1900</v>
      </c>
      <c r="D2411" s="10" t="str">
        <f>IFERROR(
   INDEX(tbl_ProduitsRef[Cde_Prdt],MATCH(tbl_Ventes[[#This Row],[Produit]],tbl_ProduitsRef[Produit],0)),
   ""
)</f>
        <v/>
      </c>
      <c r="E2411" s="7">
        <v>0</v>
      </c>
      <c r="F2411" s="7" t="str">
        <f>IFERROR(
   INDEX(tbl_ProduitsRef[Prix Menu],MATCH(tbl_Ventes[[#This Row],[Produit]],tbl_ProduitsRef[Produit],0)),
   ""
)</f>
        <v/>
      </c>
      <c r="G2411" s="7">
        <f>tbl_Ventes[[#This Row],[Qté Vendue]] * IFERROR(_xlfn.XLOOKUP(tbl_Ventes[[#This Row],[Cde_Prdt]], tbl_Produits[Cde_Prdt], tbl_Produits[Prix Menu]), 0)</f>
        <v>0</v>
      </c>
      <c r="H2411" s="7">
        <f>IFERROR(_xlfn.XLOOKUP(tbl_Ventes[[#This Row],[Cde_Prdt]], tbl_Produits[Cde_Prdt], tbl_Produits[Coût Moyen Portion]), 0)</f>
        <v>0</v>
      </c>
      <c r="I2411" s="7">
        <f>tbl_Ventes[[#This Row],[Qté Vendue]] * tbl_Ventes[[#This Row],[CMP_par_portion]]</f>
        <v>0</v>
      </c>
      <c r="J2411" s="7">
        <f>tbl_Ventes[[#This Row],[CA ligne]] - tbl_Ventes[[#This Row],[Coût matière ligne]]</f>
        <v>0</v>
      </c>
      <c r="K2411" s="7" t="str">
        <f>IFERROR(INDEX(tbl_ProduitsRef[Famille], MATCH(tbl_Ventes[[#This Row],[Cde_Prdt]], tbl_Produits[Cde_Prdt], 0)), "")</f>
        <v/>
      </c>
    </row>
    <row r="2412" spans="1:11" x14ac:dyDescent="0.25">
      <c r="A2412" s="5"/>
      <c r="B2412" s="63" t="str">
        <f>IFERROR(TEXT(tbl_Ventes[[#This Row],[Date]],"mm-aaaa"),"")</f>
        <v>01-1900</v>
      </c>
      <c r="D2412" s="10" t="str">
        <f>IFERROR(
   INDEX(tbl_ProduitsRef[Cde_Prdt],MATCH(tbl_Ventes[[#This Row],[Produit]],tbl_ProduitsRef[Produit],0)),
   ""
)</f>
        <v/>
      </c>
      <c r="E2412" s="7">
        <v>0</v>
      </c>
      <c r="F2412" s="7" t="str">
        <f>IFERROR(
   INDEX(tbl_ProduitsRef[Prix Menu],MATCH(tbl_Ventes[[#This Row],[Produit]],tbl_ProduitsRef[Produit],0)),
   ""
)</f>
        <v/>
      </c>
      <c r="G2412" s="7">
        <f>tbl_Ventes[[#This Row],[Qté Vendue]] * IFERROR(_xlfn.XLOOKUP(tbl_Ventes[[#This Row],[Cde_Prdt]], tbl_Produits[Cde_Prdt], tbl_Produits[Prix Menu]), 0)</f>
        <v>0</v>
      </c>
      <c r="H2412" s="7">
        <f>IFERROR(_xlfn.XLOOKUP(tbl_Ventes[[#This Row],[Cde_Prdt]], tbl_Produits[Cde_Prdt], tbl_Produits[Coût Moyen Portion]), 0)</f>
        <v>0</v>
      </c>
      <c r="I2412" s="7">
        <f>tbl_Ventes[[#This Row],[Qté Vendue]] * tbl_Ventes[[#This Row],[CMP_par_portion]]</f>
        <v>0</v>
      </c>
      <c r="J2412" s="7">
        <f>tbl_Ventes[[#This Row],[CA ligne]] - tbl_Ventes[[#This Row],[Coût matière ligne]]</f>
        <v>0</v>
      </c>
      <c r="K2412" s="7" t="str">
        <f>IFERROR(INDEX(tbl_ProduitsRef[Famille], MATCH(tbl_Ventes[[#This Row],[Cde_Prdt]], tbl_Produits[Cde_Prdt], 0)), "")</f>
        <v/>
      </c>
    </row>
    <row r="2413" spans="1:11" x14ac:dyDescent="0.25">
      <c r="A2413" s="5"/>
      <c r="B2413" s="63" t="str">
        <f>IFERROR(TEXT(tbl_Ventes[[#This Row],[Date]],"mm-aaaa"),"")</f>
        <v>01-1900</v>
      </c>
      <c r="D2413" s="10" t="str">
        <f>IFERROR(
   INDEX(tbl_ProduitsRef[Cde_Prdt],MATCH(tbl_Ventes[[#This Row],[Produit]],tbl_ProduitsRef[Produit],0)),
   ""
)</f>
        <v/>
      </c>
      <c r="E2413" s="7">
        <v>0</v>
      </c>
      <c r="F2413" s="7" t="str">
        <f>IFERROR(
   INDEX(tbl_ProduitsRef[Prix Menu],MATCH(tbl_Ventes[[#This Row],[Produit]],tbl_ProduitsRef[Produit],0)),
   ""
)</f>
        <v/>
      </c>
      <c r="G2413" s="7">
        <f>tbl_Ventes[[#This Row],[Qté Vendue]] * IFERROR(_xlfn.XLOOKUP(tbl_Ventes[[#This Row],[Cde_Prdt]], tbl_Produits[Cde_Prdt], tbl_Produits[Prix Menu]), 0)</f>
        <v>0</v>
      </c>
      <c r="H2413" s="7">
        <f>IFERROR(_xlfn.XLOOKUP(tbl_Ventes[[#This Row],[Cde_Prdt]], tbl_Produits[Cde_Prdt], tbl_Produits[Coût Moyen Portion]), 0)</f>
        <v>0</v>
      </c>
      <c r="I2413" s="7">
        <f>tbl_Ventes[[#This Row],[Qté Vendue]] * tbl_Ventes[[#This Row],[CMP_par_portion]]</f>
        <v>0</v>
      </c>
      <c r="J2413" s="7">
        <f>tbl_Ventes[[#This Row],[CA ligne]] - tbl_Ventes[[#This Row],[Coût matière ligne]]</f>
        <v>0</v>
      </c>
      <c r="K2413" s="7" t="str">
        <f>IFERROR(INDEX(tbl_ProduitsRef[Famille], MATCH(tbl_Ventes[[#This Row],[Cde_Prdt]], tbl_Produits[Cde_Prdt], 0)), "")</f>
        <v/>
      </c>
    </row>
    <row r="2414" spans="1:11" x14ac:dyDescent="0.25">
      <c r="A2414" s="5"/>
      <c r="B2414" s="63" t="str">
        <f>IFERROR(TEXT(tbl_Ventes[[#This Row],[Date]],"mm-aaaa"),"")</f>
        <v>01-1900</v>
      </c>
      <c r="D2414" s="10" t="str">
        <f>IFERROR(
   INDEX(tbl_ProduitsRef[Cde_Prdt],MATCH(tbl_Ventes[[#This Row],[Produit]],tbl_ProduitsRef[Produit],0)),
   ""
)</f>
        <v/>
      </c>
      <c r="E2414" s="7">
        <v>0</v>
      </c>
      <c r="F2414" s="7" t="str">
        <f>IFERROR(
   INDEX(tbl_ProduitsRef[Prix Menu],MATCH(tbl_Ventes[[#This Row],[Produit]],tbl_ProduitsRef[Produit],0)),
   ""
)</f>
        <v/>
      </c>
      <c r="G2414" s="7">
        <f>tbl_Ventes[[#This Row],[Qté Vendue]] * IFERROR(_xlfn.XLOOKUP(tbl_Ventes[[#This Row],[Cde_Prdt]], tbl_Produits[Cde_Prdt], tbl_Produits[Prix Menu]), 0)</f>
        <v>0</v>
      </c>
      <c r="H2414" s="7">
        <f>IFERROR(_xlfn.XLOOKUP(tbl_Ventes[[#This Row],[Cde_Prdt]], tbl_Produits[Cde_Prdt], tbl_Produits[Coût Moyen Portion]), 0)</f>
        <v>0</v>
      </c>
      <c r="I2414" s="7">
        <f>tbl_Ventes[[#This Row],[Qté Vendue]] * tbl_Ventes[[#This Row],[CMP_par_portion]]</f>
        <v>0</v>
      </c>
      <c r="J2414" s="7">
        <f>tbl_Ventes[[#This Row],[CA ligne]] - tbl_Ventes[[#This Row],[Coût matière ligne]]</f>
        <v>0</v>
      </c>
      <c r="K2414" s="7" t="str">
        <f>IFERROR(INDEX(tbl_ProduitsRef[Famille], MATCH(tbl_Ventes[[#This Row],[Cde_Prdt]], tbl_Produits[Cde_Prdt], 0)), "")</f>
        <v/>
      </c>
    </row>
    <row r="2415" spans="1:11" x14ac:dyDescent="0.25">
      <c r="A2415" s="5"/>
      <c r="B2415" s="63" t="str">
        <f>IFERROR(TEXT(tbl_Ventes[[#This Row],[Date]],"mm-aaaa"),"")</f>
        <v>01-1900</v>
      </c>
      <c r="D2415" s="10" t="str">
        <f>IFERROR(
   INDEX(tbl_ProduitsRef[Cde_Prdt],MATCH(tbl_Ventes[[#This Row],[Produit]],tbl_ProduitsRef[Produit],0)),
   ""
)</f>
        <v/>
      </c>
      <c r="E2415" s="7">
        <v>0</v>
      </c>
      <c r="F2415" s="7" t="str">
        <f>IFERROR(
   INDEX(tbl_ProduitsRef[Prix Menu],MATCH(tbl_Ventes[[#This Row],[Produit]],tbl_ProduitsRef[Produit],0)),
   ""
)</f>
        <v/>
      </c>
      <c r="G2415" s="7">
        <f>tbl_Ventes[[#This Row],[Qté Vendue]] * IFERROR(_xlfn.XLOOKUP(tbl_Ventes[[#This Row],[Cde_Prdt]], tbl_Produits[Cde_Prdt], tbl_Produits[Prix Menu]), 0)</f>
        <v>0</v>
      </c>
      <c r="H2415" s="7">
        <f>IFERROR(_xlfn.XLOOKUP(tbl_Ventes[[#This Row],[Cde_Prdt]], tbl_Produits[Cde_Prdt], tbl_Produits[Coût Moyen Portion]), 0)</f>
        <v>0</v>
      </c>
      <c r="I2415" s="7">
        <f>tbl_Ventes[[#This Row],[Qté Vendue]] * tbl_Ventes[[#This Row],[CMP_par_portion]]</f>
        <v>0</v>
      </c>
      <c r="J2415" s="7">
        <f>tbl_Ventes[[#This Row],[CA ligne]] - tbl_Ventes[[#This Row],[Coût matière ligne]]</f>
        <v>0</v>
      </c>
      <c r="K2415" s="7" t="str">
        <f>IFERROR(INDEX(tbl_ProduitsRef[Famille], MATCH(tbl_Ventes[[#This Row],[Cde_Prdt]], tbl_Produits[Cde_Prdt], 0)), "")</f>
        <v/>
      </c>
    </row>
    <row r="2416" spans="1:11" x14ac:dyDescent="0.25">
      <c r="A2416" s="5"/>
      <c r="B2416" s="63" t="str">
        <f>IFERROR(TEXT(tbl_Ventes[[#This Row],[Date]],"mm-aaaa"),"")</f>
        <v>01-1900</v>
      </c>
      <c r="D2416" s="10" t="str">
        <f>IFERROR(
   INDEX(tbl_ProduitsRef[Cde_Prdt],MATCH(tbl_Ventes[[#This Row],[Produit]],tbl_ProduitsRef[Produit],0)),
   ""
)</f>
        <v/>
      </c>
      <c r="E2416" s="7">
        <v>0</v>
      </c>
      <c r="F2416" s="7" t="str">
        <f>IFERROR(
   INDEX(tbl_ProduitsRef[Prix Menu],MATCH(tbl_Ventes[[#This Row],[Produit]],tbl_ProduitsRef[Produit],0)),
   ""
)</f>
        <v/>
      </c>
      <c r="G2416" s="7">
        <f>tbl_Ventes[[#This Row],[Qté Vendue]] * IFERROR(_xlfn.XLOOKUP(tbl_Ventes[[#This Row],[Cde_Prdt]], tbl_Produits[Cde_Prdt], tbl_Produits[Prix Menu]), 0)</f>
        <v>0</v>
      </c>
      <c r="H2416" s="7">
        <f>IFERROR(_xlfn.XLOOKUP(tbl_Ventes[[#This Row],[Cde_Prdt]], tbl_Produits[Cde_Prdt], tbl_Produits[Coût Moyen Portion]), 0)</f>
        <v>0</v>
      </c>
      <c r="I2416" s="7">
        <f>tbl_Ventes[[#This Row],[Qté Vendue]] * tbl_Ventes[[#This Row],[CMP_par_portion]]</f>
        <v>0</v>
      </c>
      <c r="J2416" s="7">
        <f>tbl_Ventes[[#This Row],[CA ligne]] - tbl_Ventes[[#This Row],[Coût matière ligne]]</f>
        <v>0</v>
      </c>
      <c r="K2416" s="7" t="str">
        <f>IFERROR(INDEX(tbl_ProduitsRef[Famille], MATCH(tbl_Ventes[[#This Row],[Cde_Prdt]], tbl_Produits[Cde_Prdt], 0)), "")</f>
        <v/>
      </c>
    </row>
    <row r="2417" spans="1:11" x14ac:dyDescent="0.25">
      <c r="A2417" s="5"/>
      <c r="B2417" s="63" t="str">
        <f>IFERROR(TEXT(tbl_Ventes[[#This Row],[Date]],"mm-aaaa"),"")</f>
        <v>01-1900</v>
      </c>
      <c r="D2417" s="10" t="str">
        <f>IFERROR(
   INDEX(tbl_ProduitsRef[Cde_Prdt],MATCH(tbl_Ventes[[#This Row],[Produit]],tbl_ProduitsRef[Produit],0)),
   ""
)</f>
        <v/>
      </c>
      <c r="E2417" s="7">
        <v>0</v>
      </c>
      <c r="F2417" s="7" t="str">
        <f>IFERROR(
   INDEX(tbl_ProduitsRef[Prix Menu],MATCH(tbl_Ventes[[#This Row],[Produit]],tbl_ProduitsRef[Produit],0)),
   ""
)</f>
        <v/>
      </c>
      <c r="G2417" s="7">
        <f>tbl_Ventes[[#This Row],[Qté Vendue]] * IFERROR(_xlfn.XLOOKUP(tbl_Ventes[[#This Row],[Cde_Prdt]], tbl_Produits[Cde_Prdt], tbl_Produits[Prix Menu]), 0)</f>
        <v>0</v>
      </c>
      <c r="H2417" s="7">
        <f>IFERROR(_xlfn.XLOOKUP(tbl_Ventes[[#This Row],[Cde_Prdt]], tbl_Produits[Cde_Prdt], tbl_Produits[Coût Moyen Portion]), 0)</f>
        <v>0</v>
      </c>
      <c r="I2417" s="7">
        <f>tbl_Ventes[[#This Row],[Qté Vendue]] * tbl_Ventes[[#This Row],[CMP_par_portion]]</f>
        <v>0</v>
      </c>
      <c r="J2417" s="7">
        <f>tbl_Ventes[[#This Row],[CA ligne]] - tbl_Ventes[[#This Row],[Coût matière ligne]]</f>
        <v>0</v>
      </c>
      <c r="K2417" s="7" t="str">
        <f>IFERROR(INDEX(tbl_ProduitsRef[Famille], MATCH(tbl_Ventes[[#This Row],[Cde_Prdt]], tbl_Produits[Cde_Prdt], 0)), "")</f>
        <v/>
      </c>
    </row>
    <row r="2418" spans="1:11" x14ac:dyDescent="0.25">
      <c r="A2418" s="5"/>
      <c r="B2418" s="63" t="str">
        <f>IFERROR(TEXT(tbl_Ventes[[#This Row],[Date]],"mm-aaaa"),"")</f>
        <v>01-1900</v>
      </c>
      <c r="D2418" s="10" t="str">
        <f>IFERROR(
   INDEX(tbl_ProduitsRef[Cde_Prdt],MATCH(tbl_Ventes[[#This Row],[Produit]],tbl_ProduitsRef[Produit],0)),
   ""
)</f>
        <v/>
      </c>
      <c r="E2418" s="7">
        <v>0</v>
      </c>
      <c r="F2418" s="7" t="str">
        <f>IFERROR(
   INDEX(tbl_ProduitsRef[Prix Menu],MATCH(tbl_Ventes[[#This Row],[Produit]],tbl_ProduitsRef[Produit],0)),
   ""
)</f>
        <v/>
      </c>
      <c r="G2418" s="7">
        <f>tbl_Ventes[[#This Row],[Qté Vendue]] * IFERROR(_xlfn.XLOOKUP(tbl_Ventes[[#This Row],[Cde_Prdt]], tbl_Produits[Cde_Prdt], tbl_Produits[Prix Menu]), 0)</f>
        <v>0</v>
      </c>
      <c r="H2418" s="7">
        <f>IFERROR(_xlfn.XLOOKUP(tbl_Ventes[[#This Row],[Cde_Prdt]], tbl_Produits[Cde_Prdt], tbl_Produits[Coût Moyen Portion]), 0)</f>
        <v>0</v>
      </c>
      <c r="I2418" s="7">
        <f>tbl_Ventes[[#This Row],[Qté Vendue]] * tbl_Ventes[[#This Row],[CMP_par_portion]]</f>
        <v>0</v>
      </c>
      <c r="J2418" s="7">
        <f>tbl_Ventes[[#This Row],[CA ligne]] - tbl_Ventes[[#This Row],[Coût matière ligne]]</f>
        <v>0</v>
      </c>
      <c r="K2418" s="7" t="str">
        <f>IFERROR(INDEX(tbl_ProduitsRef[Famille], MATCH(tbl_Ventes[[#This Row],[Cde_Prdt]], tbl_Produits[Cde_Prdt], 0)), "")</f>
        <v/>
      </c>
    </row>
    <row r="2419" spans="1:11" x14ac:dyDescent="0.25">
      <c r="A2419" s="5"/>
      <c r="B2419" s="63" t="str">
        <f>IFERROR(TEXT(tbl_Ventes[[#This Row],[Date]],"mm-aaaa"),"")</f>
        <v>01-1900</v>
      </c>
      <c r="D2419" s="10" t="str">
        <f>IFERROR(
   INDEX(tbl_ProduitsRef[Cde_Prdt],MATCH(tbl_Ventes[[#This Row],[Produit]],tbl_ProduitsRef[Produit],0)),
   ""
)</f>
        <v/>
      </c>
      <c r="E2419" s="7">
        <v>0</v>
      </c>
      <c r="F2419" s="7" t="str">
        <f>IFERROR(
   INDEX(tbl_ProduitsRef[Prix Menu],MATCH(tbl_Ventes[[#This Row],[Produit]],tbl_ProduitsRef[Produit],0)),
   ""
)</f>
        <v/>
      </c>
      <c r="G2419" s="7">
        <f>tbl_Ventes[[#This Row],[Qté Vendue]] * IFERROR(_xlfn.XLOOKUP(tbl_Ventes[[#This Row],[Cde_Prdt]], tbl_Produits[Cde_Prdt], tbl_Produits[Prix Menu]), 0)</f>
        <v>0</v>
      </c>
      <c r="H2419" s="7">
        <f>IFERROR(_xlfn.XLOOKUP(tbl_Ventes[[#This Row],[Cde_Prdt]], tbl_Produits[Cde_Prdt], tbl_Produits[Coût Moyen Portion]), 0)</f>
        <v>0</v>
      </c>
      <c r="I2419" s="7">
        <f>tbl_Ventes[[#This Row],[Qté Vendue]] * tbl_Ventes[[#This Row],[CMP_par_portion]]</f>
        <v>0</v>
      </c>
      <c r="J2419" s="7">
        <f>tbl_Ventes[[#This Row],[CA ligne]] - tbl_Ventes[[#This Row],[Coût matière ligne]]</f>
        <v>0</v>
      </c>
      <c r="K2419" s="7" t="str">
        <f>IFERROR(INDEX(tbl_ProduitsRef[Famille], MATCH(tbl_Ventes[[#This Row],[Cde_Prdt]], tbl_Produits[Cde_Prdt], 0)), "")</f>
        <v/>
      </c>
    </row>
    <row r="2420" spans="1:11" x14ac:dyDescent="0.25">
      <c r="A2420" s="5"/>
      <c r="B2420" s="63" t="str">
        <f>IFERROR(TEXT(tbl_Ventes[[#This Row],[Date]],"mm-aaaa"),"")</f>
        <v>01-1900</v>
      </c>
      <c r="D2420" s="10" t="str">
        <f>IFERROR(
   INDEX(tbl_ProduitsRef[Cde_Prdt],MATCH(tbl_Ventes[[#This Row],[Produit]],tbl_ProduitsRef[Produit],0)),
   ""
)</f>
        <v/>
      </c>
      <c r="E2420" s="7">
        <v>0</v>
      </c>
      <c r="F2420" s="7" t="str">
        <f>IFERROR(
   INDEX(tbl_ProduitsRef[Prix Menu],MATCH(tbl_Ventes[[#This Row],[Produit]],tbl_ProduitsRef[Produit],0)),
   ""
)</f>
        <v/>
      </c>
      <c r="G2420" s="7">
        <f>tbl_Ventes[[#This Row],[Qté Vendue]] * IFERROR(_xlfn.XLOOKUP(tbl_Ventes[[#This Row],[Cde_Prdt]], tbl_Produits[Cde_Prdt], tbl_Produits[Prix Menu]), 0)</f>
        <v>0</v>
      </c>
      <c r="H2420" s="7">
        <f>IFERROR(_xlfn.XLOOKUP(tbl_Ventes[[#This Row],[Cde_Prdt]], tbl_Produits[Cde_Prdt], tbl_Produits[Coût Moyen Portion]), 0)</f>
        <v>0</v>
      </c>
      <c r="I2420" s="7">
        <f>tbl_Ventes[[#This Row],[Qté Vendue]] * tbl_Ventes[[#This Row],[CMP_par_portion]]</f>
        <v>0</v>
      </c>
      <c r="J2420" s="7">
        <f>tbl_Ventes[[#This Row],[CA ligne]] - tbl_Ventes[[#This Row],[Coût matière ligne]]</f>
        <v>0</v>
      </c>
      <c r="K2420" s="7" t="str">
        <f>IFERROR(INDEX(tbl_ProduitsRef[Famille], MATCH(tbl_Ventes[[#This Row],[Cde_Prdt]], tbl_Produits[Cde_Prdt], 0)), "")</f>
        <v/>
      </c>
    </row>
    <row r="2421" spans="1:11" x14ac:dyDescent="0.25">
      <c r="A2421" s="5"/>
      <c r="B2421" s="63" t="str">
        <f>IFERROR(TEXT(tbl_Ventes[[#This Row],[Date]],"mm-aaaa"),"")</f>
        <v>01-1900</v>
      </c>
      <c r="D2421" s="10" t="str">
        <f>IFERROR(
   INDEX(tbl_ProduitsRef[Cde_Prdt],MATCH(tbl_Ventes[[#This Row],[Produit]],tbl_ProduitsRef[Produit],0)),
   ""
)</f>
        <v/>
      </c>
      <c r="E2421" s="7">
        <v>0</v>
      </c>
      <c r="F2421" s="7" t="str">
        <f>IFERROR(
   INDEX(tbl_ProduitsRef[Prix Menu],MATCH(tbl_Ventes[[#This Row],[Produit]],tbl_ProduitsRef[Produit],0)),
   ""
)</f>
        <v/>
      </c>
      <c r="G2421" s="7">
        <f>tbl_Ventes[[#This Row],[Qté Vendue]] * IFERROR(_xlfn.XLOOKUP(tbl_Ventes[[#This Row],[Cde_Prdt]], tbl_Produits[Cde_Prdt], tbl_Produits[Prix Menu]), 0)</f>
        <v>0</v>
      </c>
      <c r="H2421" s="7">
        <f>IFERROR(_xlfn.XLOOKUP(tbl_Ventes[[#This Row],[Cde_Prdt]], tbl_Produits[Cde_Prdt], tbl_Produits[Coût Moyen Portion]), 0)</f>
        <v>0</v>
      </c>
      <c r="I2421" s="7">
        <f>tbl_Ventes[[#This Row],[Qté Vendue]] * tbl_Ventes[[#This Row],[CMP_par_portion]]</f>
        <v>0</v>
      </c>
      <c r="J2421" s="7">
        <f>tbl_Ventes[[#This Row],[CA ligne]] - tbl_Ventes[[#This Row],[Coût matière ligne]]</f>
        <v>0</v>
      </c>
      <c r="K2421" s="7" t="str">
        <f>IFERROR(INDEX(tbl_ProduitsRef[Famille], MATCH(tbl_Ventes[[#This Row],[Cde_Prdt]], tbl_Produits[Cde_Prdt], 0)), "")</f>
        <v/>
      </c>
    </row>
    <row r="2422" spans="1:11" x14ac:dyDescent="0.25">
      <c r="A2422" s="5"/>
      <c r="B2422" s="63" t="str">
        <f>IFERROR(TEXT(tbl_Ventes[[#This Row],[Date]],"mm-aaaa"),"")</f>
        <v>01-1900</v>
      </c>
      <c r="D2422" s="10" t="str">
        <f>IFERROR(
   INDEX(tbl_ProduitsRef[Cde_Prdt],MATCH(tbl_Ventes[[#This Row],[Produit]],tbl_ProduitsRef[Produit],0)),
   ""
)</f>
        <v/>
      </c>
      <c r="E2422" s="7">
        <v>0</v>
      </c>
      <c r="F2422" s="7" t="str">
        <f>IFERROR(
   INDEX(tbl_ProduitsRef[Prix Menu],MATCH(tbl_Ventes[[#This Row],[Produit]],tbl_ProduitsRef[Produit],0)),
   ""
)</f>
        <v/>
      </c>
      <c r="G2422" s="7">
        <f>tbl_Ventes[[#This Row],[Qté Vendue]] * IFERROR(_xlfn.XLOOKUP(tbl_Ventes[[#This Row],[Cde_Prdt]], tbl_Produits[Cde_Prdt], tbl_Produits[Prix Menu]), 0)</f>
        <v>0</v>
      </c>
      <c r="H2422" s="7">
        <f>IFERROR(_xlfn.XLOOKUP(tbl_Ventes[[#This Row],[Cde_Prdt]], tbl_Produits[Cde_Prdt], tbl_Produits[Coût Moyen Portion]), 0)</f>
        <v>0</v>
      </c>
      <c r="I2422" s="7">
        <f>tbl_Ventes[[#This Row],[Qté Vendue]] * tbl_Ventes[[#This Row],[CMP_par_portion]]</f>
        <v>0</v>
      </c>
      <c r="J2422" s="7">
        <f>tbl_Ventes[[#This Row],[CA ligne]] - tbl_Ventes[[#This Row],[Coût matière ligne]]</f>
        <v>0</v>
      </c>
      <c r="K2422" s="7" t="str">
        <f>IFERROR(INDEX(tbl_ProduitsRef[Famille], MATCH(tbl_Ventes[[#This Row],[Cde_Prdt]], tbl_Produits[Cde_Prdt], 0)), "")</f>
        <v/>
      </c>
    </row>
    <row r="2423" spans="1:11" x14ac:dyDescent="0.25">
      <c r="A2423" s="5"/>
      <c r="B2423" s="63" t="str">
        <f>IFERROR(TEXT(tbl_Ventes[[#This Row],[Date]],"mm-aaaa"),"")</f>
        <v>01-1900</v>
      </c>
      <c r="D2423" s="10" t="str">
        <f>IFERROR(
   INDEX(tbl_ProduitsRef[Cde_Prdt],MATCH(tbl_Ventes[[#This Row],[Produit]],tbl_ProduitsRef[Produit],0)),
   ""
)</f>
        <v/>
      </c>
      <c r="E2423" s="7">
        <v>0</v>
      </c>
      <c r="F2423" s="7" t="str">
        <f>IFERROR(
   INDEX(tbl_ProduitsRef[Prix Menu],MATCH(tbl_Ventes[[#This Row],[Produit]],tbl_ProduitsRef[Produit],0)),
   ""
)</f>
        <v/>
      </c>
      <c r="G2423" s="7">
        <f>tbl_Ventes[[#This Row],[Qté Vendue]] * IFERROR(_xlfn.XLOOKUP(tbl_Ventes[[#This Row],[Cde_Prdt]], tbl_Produits[Cde_Prdt], tbl_Produits[Prix Menu]), 0)</f>
        <v>0</v>
      </c>
      <c r="H2423" s="7">
        <f>IFERROR(_xlfn.XLOOKUP(tbl_Ventes[[#This Row],[Cde_Prdt]], tbl_Produits[Cde_Prdt], tbl_Produits[Coût Moyen Portion]), 0)</f>
        <v>0</v>
      </c>
      <c r="I2423" s="7">
        <f>tbl_Ventes[[#This Row],[Qté Vendue]] * tbl_Ventes[[#This Row],[CMP_par_portion]]</f>
        <v>0</v>
      </c>
      <c r="J2423" s="7">
        <f>tbl_Ventes[[#This Row],[CA ligne]] - tbl_Ventes[[#This Row],[Coût matière ligne]]</f>
        <v>0</v>
      </c>
      <c r="K2423" s="7" t="str">
        <f>IFERROR(INDEX(tbl_ProduitsRef[Famille], MATCH(tbl_Ventes[[#This Row],[Cde_Prdt]], tbl_Produits[Cde_Prdt], 0)), "")</f>
        <v/>
      </c>
    </row>
    <row r="2424" spans="1:11" x14ac:dyDescent="0.25">
      <c r="A2424" s="5"/>
      <c r="B2424" s="63" t="str">
        <f>IFERROR(TEXT(tbl_Ventes[[#This Row],[Date]],"mm-aaaa"),"")</f>
        <v>01-1900</v>
      </c>
      <c r="D2424" s="10" t="str">
        <f>IFERROR(
   INDEX(tbl_ProduitsRef[Cde_Prdt],MATCH(tbl_Ventes[[#This Row],[Produit]],tbl_ProduitsRef[Produit],0)),
   ""
)</f>
        <v/>
      </c>
      <c r="E2424" s="7">
        <v>0</v>
      </c>
      <c r="F2424" s="7" t="str">
        <f>IFERROR(
   INDEX(tbl_ProduitsRef[Prix Menu],MATCH(tbl_Ventes[[#This Row],[Produit]],tbl_ProduitsRef[Produit],0)),
   ""
)</f>
        <v/>
      </c>
      <c r="G2424" s="7">
        <f>tbl_Ventes[[#This Row],[Qté Vendue]] * IFERROR(_xlfn.XLOOKUP(tbl_Ventes[[#This Row],[Cde_Prdt]], tbl_Produits[Cde_Prdt], tbl_Produits[Prix Menu]), 0)</f>
        <v>0</v>
      </c>
      <c r="H2424" s="7">
        <f>IFERROR(_xlfn.XLOOKUP(tbl_Ventes[[#This Row],[Cde_Prdt]], tbl_Produits[Cde_Prdt], tbl_Produits[Coût Moyen Portion]), 0)</f>
        <v>0</v>
      </c>
      <c r="I2424" s="7">
        <f>tbl_Ventes[[#This Row],[Qté Vendue]] * tbl_Ventes[[#This Row],[CMP_par_portion]]</f>
        <v>0</v>
      </c>
      <c r="J2424" s="7">
        <f>tbl_Ventes[[#This Row],[CA ligne]] - tbl_Ventes[[#This Row],[Coût matière ligne]]</f>
        <v>0</v>
      </c>
      <c r="K2424" s="7" t="str">
        <f>IFERROR(INDEX(tbl_ProduitsRef[Famille], MATCH(tbl_Ventes[[#This Row],[Cde_Prdt]], tbl_Produits[Cde_Prdt], 0)), "")</f>
        <v/>
      </c>
    </row>
    <row r="2425" spans="1:11" x14ac:dyDescent="0.25">
      <c r="A2425" s="5"/>
      <c r="B2425" s="63" t="str">
        <f>IFERROR(TEXT(tbl_Ventes[[#This Row],[Date]],"mm-aaaa"),"")</f>
        <v>01-1900</v>
      </c>
      <c r="D2425" s="10" t="str">
        <f>IFERROR(
   INDEX(tbl_ProduitsRef[Cde_Prdt],MATCH(tbl_Ventes[[#This Row],[Produit]],tbl_ProduitsRef[Produit],0)),
   ""
)</f>
        <v/>
      </c>
      <c r="E2425" s="7">
        <v>0</v>
      </c>
      <c r="F2425" s="7" t="str">
        <f>IFERROR(
   INDEX(tbl_ProduitsRef[Prix Menu],MATCH(tbl_Ventes[[#This Row],[Produit]],tbl_ProduitsRef[Produit],0)),
   ""
)</f>
        <v/>
      </c>
      <c r="G2425" s="7">
        <f>tbl_Ventes[[#This Row],[Qté Vendue]] * IFERROR(_xlfn.XLOOKUP(tbl_Ventes[[#This Row],[Cde_Prdt]], tbl_Produits[Cde_Prdt], tbl_Produits[Prix Menu]), 0)</f>
        <v>0</v>
      </c>
      <c r="H2425" s="7">
        <f>IFERROR(_xlfn.XLOOKUP(tbl_Ventes[[#This Row],[Cde_Prdt]], tbl_Produits[Cde_Prdt], tbl_Produits[Coût Moyen Portion]), 0)</f>
        <v>0</v>
      </c>
      <c r="I2425" s="7">
        <f>tbl_Ventes[[#This Row],[Qté Vendue]] * tbl_Ventes[[#This Row],[CMP_par_portion]]</f>
        <v>0</v>
      </c>
      <c r="J2425" s="7">
        <f>tbl_Ventes[[#This Row],[CA ligne]] - tbl_Ventes[[#This Row],[Coût matière ligne]]</f>
        <v>0</v>
      </c>
      <c r="K2425" s="7" t="str">
        <f>IFERROR(INDEX(tbl_ProduitsRef[Famille], MATCH(tbl_Ventes[[#This Row],[Cde_Prdt]], tbl_Produits[Cde_Prdt], 0)), "")</f>
        <v/>
      </c>
    </row>
    <row r="2426" spans="1:11" x14ac:dyDescent="0.25">
      <c r="A2426" s="5"/>
      <c r="B2426" s="63" t="str">
        <f>IFERROR(TEXT(tbl_Ventes[[#This Row],[Date]],"mm-aaaa"),"")</f>
        <v>01-1900</v>
      </c>
      <c r="D2426" s="10" t="str">
        <f>IFERROR(
   INDEX(tbl_ProduitsRef[Cde_Prdt],MATCH(tbl_Ventes[[#This Row],[Produit]],tbl_ProduitsRef[Produit],0)),
   ""
)</f>
        <v/>
      </c>
      <c r="E2426" s="7">
        <v>0</v>
      </c>
      <c r="F2426" s="7" t="str">
        <f>IFERROR(
   INDEX(tbl_ProduitsRef[Prix Menu],MATCH(tbl_Ventes[[#This Row],[Produit]],tbl_ProduitsRef[Produit],0)),
   ""
)</f>
        <v/>
      </c>
      <c r="G2426" s="7">
        <f>tbl_Ventes[[#This Row],[Qté Vendue]] * IFERROR(_xlfn.XLOOKUP(tbl_Ventes[[#This Row],[Cde_Prdt]], tbl_Produits[Cde_Prdt], tbl_Produits[Prix Menu]), 0)</f>
        <v>0</v>
      </c>
      <c r="H2426" s="7">
        <f>IFERROR(_xlfn.XLOOKUP(tbl_Ventes[[#This Row],[Cde_Prdt]], tbl_Produits[Cde_Prdt], tbl_Produits[Coût Moyen Portion]), 0)</f>
        <v>0</v>
      </c>
      <c r="I2426" s="7">
        <f>tbl_Ventes[[#This Row],[Qté Vendue]] * tbl_Ventes[[#This Row],[CMP_par_portion]]</f>
        <v>0</v>
      </c>
      <c r="J2426" s="7">
        <f>tbl_Ventes[[#This Row],[CA ligne]] - tbl_Ventes[[#This Row],[Coût matière ligne]]</f>
        <v>0</v>
      </c>
      <c r="K2426" s="7" t="str">
        <f>IFERROR(INDEX(tbl_ProduitsRef[Famille], MATCH(tbl_Ventes[[#This Row],[Cde_Prdt]], tbl_Produits[Cde_Prdt], 0)), "")</f>
        <v/>
      </c>
    </row>
    <row r="2427" spans="1:11" x14ac:dyDescent="0.25">
      <c r="A2427" s="5"/>
      <c r="B2427" s="63" t="str">
        <f>IFERROR(TEXT(tbl_Ventes[[#This Row],[Date]],"mm-aaaa"),"")</f>
        <v>01-1900</v>
      </c>
      <c r="D2427" s="10" t="str">
        <f>IFERROR(
   INDEX(tbl_ProduitsRef[Cde_Prdt],MATCH(tbl_Ventes[[#This Row],[Produit]],tbl_ProduitsRef[Produit],0)),
   ""
)</f>
        <v/>
      </c>
      <c r="E2427" s="7">
        <v>0</v>
      </c>
      <c r="F2427" s="7" t="str">
        <f>IFERROR(
   INDEX(tbl_ProduitsRef[Prix Menu],MATCH(tbl_Ventes[[#This Row],[Produit]],tbl_ProduitsRef[Produit],0)),
   ""
)</f>
        <v/>
      </c>
      <c r="G2427" s="7">
        <f>tbl_Ventes[[#This Row],[Qté Vendue]] * IFERROR(_xlfn.XLOOKUP(tbl_Ventes[[#This Row],[Cde_Prdt]], tbl_Produits[Cde_Prdt], tbl_Produits[Prix Menu]), 0)</f>
        <v>0</v>
      </c>
      <c r="H2427" s="7">
        <f>IFERROR(_xlfn.XLOOKUP(tbl_Ventes[[#This Row],[Cde_Prdt]], tbl_Produits[Cde_Prdt], tbl_Produits[Coût Moyen Portion]), 0)</f>
        <v>0</v>
      </c>
      <c r="I2427" s="7">
        <f>tbl_Ventes[[#This Row],[Qté Vendue]] * tbl_Ventes[[#This Row],[CMP_par_portion]]</f>
        <v>0</v>
      </c>
      <c r="J2427" s="7">
        <f>tbl_Ventes[[#This Row],[CA ligne]] - tbl_Ventes[[#This Row],[Coût matière ligne]]</f>
        <v>0</v>
      </c>
      <c r="K2427" s="7" t="str">
        <f>IFERROR(INDEX(tbl_ProduitsRef[Famille], MATCH(tbl_Ventes[[#This Row],[Cde_Prdt]], tbl_Produits[Cde_Prdt], 0)), "")</f>
        <v/>
      </c>
    </row>
    <row r="2428" spans="1:11" x14ac:dyDescent="0.25">
      <c r="A2428" s="5"/>
      <c r="B2428" s="63" t="str">
        <f>IFERROR(TEXT(tbl_Ventes[[#This Row],[Date]],"mm-aaaa"),"")</f>
        <v>01-1900</v>
      </c>
      <c r="D2428" s="10" t="str">
        <f>IFERROR(
   INDEX(tbl_ProduitsRef[Cde_Prdt],MATCH(tbl_Ventes[[#This Row],[Produit]],tbl_ProduitsRef[Produit],0)),
   ""
)</f>
        <v/>
      </c>
      <c r="E2428" s="7">
        <v>0</v>
      </c>
      <c r="F2428" s="7" t="str">
        <f>IFERROR(
   INDEX(tbl_ProduitsRef[Prix Menu],MATCH(tbl_Ventes[[#This Row],[Produit]],tbl_ProduitsRef[Produit],0)),
   ""
)</f>
        <v/>
      </c>
      <c r="G2428" s="7">
        <f>tbl_Ventes[[#This Row],[Qté Vendue]] * IFERROR(_xlfn.XLOOKUP(tbl_Ventes[[#This Row],[Cde_Prdt]], tbl_Produits[Cde_Prdt], tbl_Produits[Prix Menu]), 0)</f>
        <v>0</v>
      </c>
      <c r="H2428" s="7">
        <f>IFERROR(_xlfn.XLOOKUP(tbl_Ventes[[#This Row],[Cde_Prdt]], tbl_Produits[Cde_Prdt], tbl_Produits[Coût Moyen Portion]), 0)</f>
        <v>0</v>
      </c>
      <c r="I2428" s="7">
        <f>tbl_Ventes[[#This Row],[Qté Vendue]] * tbl_Ventes[[#This Row],[CMP_par_portion]]</f>
        <v>0</v>
      </c>
      <c r="J2428" s="7">
        <f>tbl_Ventes[[#This Row],[CA ligne]] - tbl_Ventes[[#This Row],[Coût matière ligne]]</f>
        <v>0</v>
      </c>
      <c r="K2428" s="7" t="str">
        <f>IFERROR(INDEX(tbl_ProduitsRef[Famille], MATCH(tbl_Ventes[[#This Row],[Cde_Prdt]], tbl_Produits[Cde_Prdt], 0)), "")</f>
        <v/>
      </c>
    </row>
    <row r="2429" spans="1:11" x14ac:dyDescent="0.25">
      <c r="A2429" s="5"/>
      <c r="B2429" s="63" t="str">
        <f>IFERROR(TEXT(tbl_Ventes[[#This Row],[Date]],"mm-aaaa"),"")</f>
        <v>01-1900</v>
      </c>
      <c r="D2429" s="10" t="str">
        <f>IFERROR(
   INDEX(tbl_ProduitsRef[Cde_Prdt],MATCH(tbl_Ventes[[#This Row],[Produit]],tbl_ProduitsRef[Produit],0)),
   ""
)</f>
        <v/>
      </c>
      <c r="E2429" s="7">
        <v>0</v>
      </c>
      <c r="F2429" s="7" t="str">
        <f>IFERROR(
   INDEX(tbl_ProduitsRef[Prix Menu],MATCH(tbl_Ventes[[#This Row],[Produit]],tbl_ProduitsRef[Produit],0)),
   ""
)</f>
        <v/>
      </c>
      <c r="G2429" s="7">
        <f>tbl_Ventes[[#This Row],[Qté Vendue]] * IFERROR(_xlfn.XLOOKUP(tbl_Ventes[[#This Row],[Cde_Prdt]], tbl_Produits[Cde_Prdt], tbl_Produits[Prix Menu]), 0)</f>
        <v>0</v>
      </c>
      <c r="H2429" s="7">
        <f>IFERROR(_xlfn.XLOOKUP(tbl_Ventes[[#This Row],[Cde_Prdt]], tbl_Produits[Cde_Prdt], tbl_Produits[Coût Moyen Portion]), 0)</f>
        <v>0</v>
      </c>
      <c r="I2429" s="7">
        <f>tbl_Ventes[[#This Row],[Qté Vendue]] * tbl_Ventes[[#This Row],[CMP_par_portion]]</f>
        <v>0</v>
      </c>
      <c r="J2429" s="7">
        <f>tbl_Ventes[[#This Row],[CA ligne]] - tbl_Ventes[[#This Row],[Coût matière ligne]]</f>
        <v>0</v>
      </c>
      <c r="K2429" s="7" t="str">
        <f>IFERROR(INDEX(tbl_ProduitsRef[Famille], MATCH(tbl_Ventes[[#This Row],[Cde_Prdt]], tbl_Produits[Cde_Prdt], 0)), "")</f>
        <v/>
      </c>
    </row>
    <row r="2430" spans="1:11" x14ac:dyDescent="0.25">
      <c r="A2430" s="5"/>
      <c r="B2430" s="63" t="str">
        <f>IFERROR(TEXT(tbl_Ventes[[#This Row],[Date]],"mm-aaaa"),"")</f>
        <v>01-1900</v>
      </c>
      <c r="D2430" s="10" t="str">
        <f>IFERROR(
   INDEX(tbl_ProduitsRef[Cde_Prdt],MATCH(tbl_Ventes[[#This Row],[Produit]],tbl_ProduitsRef[Produit],0)),
   ""
)</f>
        <v/>
      </c>
      <c r="E2430" s="7">
        <v>0</v>
      </c>
      <c r="F2430" s="7" t="str">
        <f>IFERROR(
   INDEX(tbl_ProduitsRef[Prix Menu],MATCH(tbl_Ventes[[#This Row],[Produit]],tbl_ProduitsRef[Produit],0)),
   ""
)</f>
        <v/>
      </c>
      <c r="G2430" s="7">
        <f>tbl_Ventes[[#This Row],[Qté Vendue]] * IFERROR(_xlfn.XLOOKUP(tbl_Ventes[[#This Row],[Cde_Prdt]], tbl_Produits[Cde_Prdt], tbl_Produits[Prix Menu]), 0)</f>
        <v>0</v>
      </c>
      <c r="H2430" s="7">
        <f>IFERROR(_xlfn.XLOOKUP(tbl_Ventes[[#This Row],[Cde_Prdt]], tbl_Produits[Cde_Prdt], tbl_Produits[Coût Moyen Portion]), 0)</f>
        <v>0</v>
      </c>
      <c r="I2430" s="7">
        <f>tbl_Ventes[[#This Row],[Qté Vendue]] * tbl_Ventes[[#This Row],[CMP_par_portion]]</f>
        <v>0</v>
      </c>
      <c r="J2430" s="7">
        <f>tbl_Ventes[[#This Row],[CA ligne]] - tbl_Ventes[[#This Row],[Coût matière ligne]]</f>
        <v>0</v>
      </c>
      <c r="K2430" s="7" t="str">
        <f>IFERROR(INDEX(tbl_ProduitsRef[Famille], MATCH(tbl_Ventes[[#This Row],[Cde_Prdt]], tbl_Produits[Cde_Prdt], 0)), "")</f>
        <v/>
      </c>
    </row>
    <row r="2431" spans="1:11" x14ac:dyDescent="0.25">
      <c r="A2431" s="5"/>
      <c r="B2431" s="63" t="str">
        <f>IFERROR(TEXT(tbl_Ventes[[#This Row],[Date]],"mm-aaaa"),"")</f>
        <v>01-1900</v>
      </c>
      <c r="D2431" s="10" t="str">
        <f>IFERROR(
   INDEX(tbl_ProduitsRef[Cde_Prdt],MATCH(tbl_Ventes[[#This Row],[Produit]],tbl_ProduitsRef[Produit],0)),
   ""
)</f>
        <v/>
      </c>
      <c r="E2431" s="7">
        <v>0</v>
      </c>
      <c r="F2431" s="7" t="str">
        <f>IFERROR(
   INDEX(tbl_ProduitsRef[Prix Menu],MATCH(tbl_Ventes[[#This Row],[Produit]],tbl_ProduitsRef[Produit],0)),
   ""
)</f>
        <v/>
      </c>
      <c r="G2431" s="7">
        <f>tbl_Ventes[[#This Row],[Qté Vendue]] * IFERROR(_xlfn.XLOOKUP(tbl_Ventes[[#This Row],[Cde_Prdt]], tbl_Produits[Cde_Prdt], tbl_Produits[Prix Menu]), 0)</f>
        <v>0</v>
      </c>
      <c r="H2431" s="7">
        <f>IFERROR(_xlfn.XLOOKUP(tbl_Ventes[[#This Row],[Cde_Prdt]], tbl_Produits[Cde_Prdt], tbl_Produits[Coût Moyen Portion]), 0)</f>
        <v>0</v>
      </c>
      <c r="I2431" s="7">
        <f>tbl_Ventes[[#This Row],[Qté Vendue]] * tbl_Ventes[[#This Row],[CMP_par_portion]]</f>
        <v>0</v>
      </c>
      <c r="J2431" s="7">
        <f>tbl_Ventes[[#This Row],[CA ligne]] - tbl_Ventes[[#This Row],[Coût matière ligne]]</f>
        <v>0</v>
      </c>
      <c r="K2431" s="7" t="str">
        <f>IFERROR(INDEX(tbl_ProduitsRef[Famille], MATCH(tbl_Ventes[[#This Row],[Cde_Prdt]], tbl_Produits[Cde_Prdt], 0)), "")</f>
        <v/>
      </c>
    </row>
    <row r="2432" spans="1:11" x14ac:dyDescent="0.25">
      <c r="A2432" s="5"/>
      <c r="B2432" s="63" t="str">
        <f>IFERROR(TEXT(tbl_Ventes[[#This Row],[Date]],"mm-aaaa"),"")</f>
        <v>01-1900</v>
      </c>
      <c r="D2432" s="10" t="str">
        <f>IFERROR(
   INDEX(tbl_ProduitsRef[Cde_Prdt],MATCH(tbl_Ventes[[#This Row],[Produit]],tbl_ProduitsRef[Produit],0)),
   ""
)</f>
        <v/>
      </c>
      <c r="E2432" s="7">
        <v>0</v>
      </c>
      <c r="F2432" s="7" t="str">
        <f>IFERROR(
   INDEX(tbl_ProduitsRef[Prix Menu],MATCH(tbl_Ventes[[#This Row],[Produit]],tbl_ProduitsRef[Produit],0)),
   ""
)</f>
        <v/>
      </c>
      <c r="G2432" s="7">
        <f>tbl_Ventes[[#This Row],[Qté Vendue]] * IFERROR(_xlfn.XLOOKUP(tbl_Ventes[[#This Row],[Cde_Prdt]], tbl_Produits[Cde_Prdt], tbl_Produits[Prix Menu]), 0)</f>
        <v>0</v>
      </c>
      <c r="H2432" s="7">
        <f>IFERROR(_xlfn.XLOOKUP(tbl_Ventes[[#This Row],[Cde_Prdt]], tbl_Produits[Cde_Prdt], tbl_Produits[Coût Moyen Portion]), 0)</f>
        <v>0</v>
      </c>
      <c r="I2432" s="7">
        <f>tbl_Ventes[[#This Row],[Qté Vendue]] * tbl_Ventes[[#This Row],[CMP_par_portion]]</f>
        <v>0</v>
      </c>
      <c r="J2432" s="7">
        <f>tbl_Ventes[[#This Row],[CA ligne]] - tbl_Ventes[[#This Row],[Coût matière ligne]]</f>
        <v>0</v>
      </c>
      <c r="K2432" s="7" t="str">
        <f>IFERROR(INDEX(tbl_ProduitsRef[Famille], MATCH(tbl_Ventes[[#This Row],[Cde_Prdt]], tbl_Produits[Cde_Prdt], 0)), "")</f>
        <v/>
      </c>
    </row>
    <row r="2433" spans="1:11" x14ac:dyDescent="0.25">
      <c r="A2433" s="5"/>
      <c r="B2433" s="63" t="str">
        <f>IFERROR(TEXT(tbl_Ventes[[#This Row],[Date]],"mm-aaaa"),"")</f>
        <v>01-1900</v>
      </c>
      <c r="D2433" s="10" t="str">
        <f>IFERROR(
   INDEX(tbl_ProduitsRef[Cde_Prdt],MATCH(tbl_Ventes[[#This Row],[Produit]],tbl_ProduitsRef[Produit],0)),
   ""
)</f>
        <v/>
      </c>
      <c r="E2433" s="7">
        <v>0</v>
      </c>
      <c r="F2433" s="7" t="str">
        <f>IFERROR(
   INDEX(tbl_ProduitsRef[Prix Menu],MATCH(tbl_Ventes[[#This Row],[Produit]],tbl_ProduitsRef[Produit],0)),
   ""
)</f>
        <v/>
      </c>
      <c r="G2433" s="7">
        <f>tbl_Ventes[[#This Row],[Qté Vendue]] * IFERROR(_xlfn.XLOOKUP(tbl_Ventes[[#This Row],[Cde_Prdt]], tbl_Produits[Cde_Prdt], tbl_Produits[Prix Menu]), 0)</f>
        <v>0</v>
      </c>
      <c r="H2433" s="7">
        <f>IFERROR(_xlfn.XLOOKUP(tbl_Ventes[[#This Row],[Cde_Prdt]], tbl_Produits[Cde_Prdt], tbl_Produits[Coût Moyen Portion]), 0)</f>
        <v>0</v>
      </c>
      <c r="I2433" s="7">
        <f>tbl_Ventes[[#This Row],[Qté Vendue]] * tbl_Ventes[[#This Row],[CMP_par_portion]]</f>
        <v>0</v>
      </c>
      <c r="J2433" s="7">
        <f>tbl_Ventes[[#This Row],[CA ligne]] - tbl_Ventes[[#This Row],[Coût matière ligne]]</f>
        <v>0</v>
      </c>
      <c r="K2433" s="7" t="str">
        <f>IFERROR(INDEX(tbl_ProduitsRef[Famille], MATCH(tbl_Ventes[[#This Row],[Cde_Prdt]], tbl_Produits[Cde_Prdt], 0)), "")</f>
        <v/>
      </c>
    </row>
    <row r="2434" spans="1:11" x14ac:dyDescent="0.25">
      <c r="A2434" s="5"/>
      <c r="B2434" s="63" t="str">
        <f>IFERROR(TEXT(tbl_Ventes[[#This Row],[Date]],"mm-aaaa"),"")</f>
        <v>01-1900</v>
      </c>
      <c r="D2434" s="10" t="str">
        <f>IFERROR(
   INDEX(tbl_ProduitsRef[Cde_Prdt],MATCH(tbl_Ventes[[#This Row],[Produit]],tbl_ProduitsRef[Produit],0)),
   ""
)</f>
        <v/>
      </c>
      <c r="E2434" s="7">
        <v>0</v>
      </c>
      <c r="F2434" s="7" t="str">
        <f>IFERROR(
   INDEX(tbl_ProduitsRef[Prix Menu],MATCH(tbl_Ventes[[#This Row],[Produit]],tbl_ProduitsRef[Produit],0)),
   ""
)</f>
        <v/>
      </c>
      <c r="G2434" s="7">
        <f>tbl_Ventes[[#This Row],[Qté Vendue]] * IFERROR(_xlfn.XLOOKUP(tbl_Ventes[[#This Row],[Cde_Prdt]], tbl_Produits[Cde_Prdt], tbl_Produits[Prix Menu]), 0)</f>
        <v>0</v>
      </c>
      <c r="H2434" s="7">
        <f>IFERROR(_xlfn.XLOOKUP(tbl_Ventes[[#This Row],[Cde_Prdt]], tbl_Produits[Cde_Prdt], tbl_Produits[Coût Moyen Portion]), 0)</f>
        <v>0</v>
      </c>
      <c r="I2434" s="7">
        <f>tbl_Ventes[[#This Row],[Qté Vendue]] * tbl_Ventes[[#This Row],[CMP_par_portion]]</f>
        <v>0</v>
      </c>
      <c r="J2434" s="7">
        <f>tbl_Ventes[[#This Row],[CA ligne]] - tbl_Ventes[[#This Row],[Coût matière ligne]]</f>
        <v>0</v>
      </c>
      <c r="K2434" s="7" t="str">
        <f>IFERROR(INDEX(tbl_ProduitsRef[Famille], MATCH(tbl_Ventes[[#This Row],[Cde_Prdt]], tbl_Produits[Cde_Prdt], 0)), "")</f>
        <v/>
      </c>
    </row>
    <row r="2435" spans="1:11" x14ac:dyDescent="0.25">
      <c r="A2435" s="5"/>
      <c r="B2435" s="63" t="str">
        <f>IFERROR(TEXT(tbl_Ventes[[#This Row],[Date]],"mm-aaaa"),"")</f>
        <v>01-1900</v>
      </c>
      <c r="D2435" s="10" t="str">
        <f>IFERROR(
   INDEX(tbl_ProduitsRef[Cde_Prdt],MATCH(tbl_Ventes[[#This Row],[Produit]],tbl_ProduitsRef[Produit],0)),
   ""
)</f>
        <v/>
      </c>
      <c r="E2435" s="7">
        <v>0</v>
      </c>
      <c r="F2435" s="7" t="str">
        <f>IFERROR(
   INDEX(tbl_ProduitsRef[Prix Menu],MATCH(tbl_Ventes[[#This Row],[Produit]],tbl_ProduitsRef[Produit],0)),
   ""
)</f>
        <v/>
      </c>
      <c r="G2435" s="7">
        <f>tbl_Ventes[[#This Row],[Qté Vendue]] * IFERROR(_xlfn.XLOOKUP(tbl_Ventes[[#This Row],[Cde_Prdt]], tbl_Produits[Cde_Prdt], tbl_Produits[Prix Menu]), 0)</f>
        <v>0</v>
      </c>
      <c r="H2435" s="7">
        <f>IFERROR(_xlfn.XLOOKUP(tbl_Ventes[[#This Row],[Cde_Prdt]], tbl_Produits[Cde_Prdt], tbl_Produits[Coût Moyen Portion]), 0)</f>
        <v>0</v>
      </c>
      <c r="I2435" s="7">
        <f>tbl_Ventes[[#This Row],[Qté Vendue]] * tbl_Ventes[[#This Row],[CMP_par_portion]]</f>
        <v>0</v>
      </c>
      <c r="J2435" s="7">
        <f>tbl_Ventes[[#This Row],[CA ligne]] - tbl_Ventes[[#This Row],[Coût matière ligne]]</f>
        <v>0</v>
      </c>
      <c r="K2435" s="7" t="str">
        <f>IFERROR(INDEX(tbl_ProduitsRef[Famille], MATCH(tbl_Ventes[[#This Row],[Cde_Prdt]], tbl_Produits[Cde_Prdt], 0)), "")</f>
        <v/>
      </c>
    </row>
    <row r="2436" spans="1:11" x14ac:dyDescent="0.25">
      <c r="A2436" s="5"/>
      <c r="B2436" s="63" t="str">
        <f>IFERROR(TEXT(tbl_Ventes[[#This Row],[Date]],"mm-aaaa"),"")</f>
        <v>01-1900</v>
      </c>
      <c r="D2436" s="10" t="str">
        <f>IFERROR(
   INDEX(tbl_ProduitsRef[Cde_Prdt],MATCH(tbl_Ventes[[#This Row],[Produit]],tbl_ProduitsRef[Produit],0)),
   ""
)</f>
        <v/>
      </c>
      <c r="E2436" s="7">
        <v>0</v>
      </c>
      <c r="F2436" s="7" t="str">
        <f>IFERROR(
   INDEX(tbl_ProduitsRef[Prix Menu],MATCH(tbl_Ventes[[#This Row],[Produit]],tbl_ProduitsRef[Produit],0)),
   ""
)</f>
        <v/>
      </c>
      <c r="G2436" s="7">
        <f>tbl_Ventes[[#This Row],[Qté Vendue]] * IFERROR(_xlfn.XLOOKUP(tbl_Ventes[[#This Row],[Cde_Prdt]], tbl_Produits[Cde_Prdt], tbl_Produits[Prix Menu]), 0)</f>
        <v>0</v>
      </c>
      <c r="H2436" s="7">
        <f>IFERROR(_xlfn.XLOOKUP(tbl_Ventes[[#This Row],[Cde_Prdt]], tbl_Produits[Cde_Prdt], tbl_Produits[Coût Moyen Portion]), 0)</f>
        <v>0</v>
      </c>
      <c r="I2436" s="7">
        <f>tbl_Ventes[[#This Row],[Qté Vendue]] * tbl_Ventes[[#This Row],[CMP_par_portion]]</f>
        <v>0</v>
      </c>
      <c r="J2436" s="7">
        <f>tbl_Ventes[[#This Row],[CA ligne]] - tbl_Ventes[[#This Row],[Coût matière ligne]]</f>
        <v>0</v>
      </c>
      <c r="K2436" s="7" t="str">
        <f>IFERROR(INDEX(tbl_ProduitsRef[Famille], MATCH(tbl_Ventes[[#This Row],[Cde_Prdt]], tbl_Produits[Cde_Prdt], 0)), "")</f>
        <v/>
      </c>
    </row>
    <row r="2437" spans="1:11" x14ac:dyDescent="0.25">
      <c r="A2437" s="5"/>
      <c r="B2437" s="63" t="str">
        <f>IFERROR(TEXT(tbl_Ventes[[#This Row],[Date]],"mm-aaaa"),"")</f>
        <v>01-1900</v>
      </c>
      <c r="D2437" s="10" t="str">
        <f>IFERROR(
   INDEX(tbl_ProduitsRef[Cde_Prdt],MATCH(tbl_Ventes[[#This Row],[Produit]],tbl_ProduitsRef[Produit],0)),
   ""
)</f>
        <v/>
      </c>
      <c r="E2437" s="7">
        <v>0</v>
      </c>
      <c r="F2437" s="7" t="str">
        <f>IFERROR(
   INDEX(tbl_ProduitsRef[Prix Menu],MATCH(tbl_Ventes[[#This Row],[Produit]],tbl_ProduitsRef[Produit],0)),
   ""
)</f>
        <v/>
      </c>
      <c r="G2437" s="7">
        <f>tbl_Ventes[[#This Row],[Qté Vendue]] * IFERROR(_xlfn.XLOOKUP(tbl_Ventes[[#This Row],[Cde_Prdt]], tbl_Produits[Cde_Prdt], tbl_Produits[Prix Menu]), 0)</f>
        <v>0</v>
      </c>
      <c r="H2437" s="7">
        <f>IFERROR(_xlfn.XLOOKUP(tbl_Ventes[[#This Row],[Cde_Prdt]], tbl_Produits[Cde_Prdt], tbl_Produits[Coût Moyen Portion]), 0)</f>
        <v>0</v>
      </c>
      <c r="I2437" s="7">
        <f>tbl_Ventes[[#This Row],[Qté Vendue]] * tbl_Ventes[[#This Row],[CMP_par_portion]]</f>
        <v>0</v>
      </c>
      <c r="J2437" s="7">
        <f>tbl_Ventes[[#This Row],[CA ligne]] - tbl_Ventes[[#This Row],[Coût matière ligne]]</f>
        <v>0</v>
      </c>
      <c r="K2437" s="7" t="str">
        <f>IFERROR(INDEX(tbl_ProduitsRef[Famille], MATCH(tbl_Ventes[[#This Row],[Cde_Prdt]], tbl_Produits[Cde_Prdt], 0)), "")</f>
        <v/>
      </c>
    </row>
    <row r="2438" spans="1:11" x14ac:dyDescent="0.25">
      <c r="A2438" s="5"/>
      <c r="B2438" s="63" t="str">
        <f>IFERROR(TEXT(tbl_Ventes[[#This Row],[Date]],"mm-aaaa"),"")</f>
        <v>01-1900</v>
      </c>
      <c r="D2438" s="10" t="str">
        <f>IFERROR(
   INDEX(tbl_ProduitsRef[Cde_Prdt],MATCH(tbl_Ventes[[#This Row],[Produit]],tbl_ProduitsRef[Produit],0)),
   ""
)</f>
        <v/>
      </c>
      <c r="E2438" s="7">
        <v>0</v>
      </c>
      <c r="F2438" s="7" t="str">
        <f>IFERROR(
   INDEX(tbl_ProduitsRef[Prix Menu],MATCH(tbl_Ventes[[#This Row],[Produit]],tbl_ProduitsRef[Produit],0)),
   ""
)</f>
        <v/>
      </c>
      <c r="G2438" s="7">
        <f>tbl_Ventes[[#This Row],[Qté Vendue]] * IFERROR(_xlfn.XLOOKUP(tbl_Ventes[[#This Row],[Cde_Prdt]], tbl_Produits[Cde_Prdt], tbl_Produits[Prix Menu]), 0)</f>
        <v>0</v>
      </c>
      <c r="H2438" s="7">
        <f>IFERROR(_xlfn.XLOOKUP(tbl_Ventes[[#This Row],[Cde_Prdt]], tbl_Produits[Cde_Prdt], tbl_Produits[Coût Moyen Portion]), 0)</f>
        <v>0</v>
      </c>
      <c r="I2438" s="7">
        <f>tbl_Ventes[[#This Row],[Qté Vendue]] * tbl_Ventes[[#This Row],[CMP_par_portion]]</f>
        <v>0</v>
      </c>
      <c r="J2438" s="7">
        <f>tbl_Ventes[[#This Row],[CA ligne]] - tbl_Ventes[[#This Row],[Coût matière ligne]]</f>
        <v>0</v>
      </c>
      <c r="K2438" s="7" t="str">
        <f>IFERROR(INDEX(tbl_ProduitsRef[Famille], MATCH(tbl_Ventes[[#This Row],[Cde_Prdt]], tbl_Produits[Cde_Prdt], 0)), "")</f>
        <v/>
      </c>
    </row>
    <row r="2439" spans="1:11" x14ac:dyDescent="0.25">
      <c r="A2439" s="5"/>
      <c r="B2439" s="63" t="str">
        <f>IFERROR(TEXT(tbl_Ventes[[#This Row],[Date]],"mm-aaaa"),"")</f>
        <v>01-1900</v>
      </c>
      <c r="D2439" s="10" t="str">
        <f>IFERROR(
   INDEX(tbl_ProduitsRef[Cde_Prdt],MATCH(tbl_Ventes[[#This Row],[Produit]],tbl_ProduitsRef[Produit],0)),
   ""
)</f>
        <v/>
      </c>
      <c r="E2439" s="7">
        <v>0</v>
      </c>
      <c r="F2439" s="7" t="str">
        <f>IFERROR(
   INDEX(tbl_ProduitsRef[Prix Menu],MATCH(tbl_Ventes[[#This Row],[Produit]],tbl_ProduitsRef[Produit],0)),
   ""
)</f>
        <v/>
      </c>
      <c r="G2439" s="7">
        <f>tbl_Ventes[[#This Row],[Qté Vendue]] * IFERROR(_xlfn.XLOOKUP(tbl_Ventes[[#This Row],[Cde_Prdt]], tbl_Produits[Cde_Prdt], tbl_Produits[Prix Menu]), 0)</f>
        <v>0</v>
      </c>
      <c r="H2439" s="7">
        <f>IFERROR(_xlfn.XLOOKUP(tbl_Ventes[[#This Row],[Cde_Prdt]], tbl_Produits[Cde_Prdt], tbl_Produits[Coût Moyen Portion]), 0)</f>
        <v>0</v>
      </c>
      <c r="I2439" s="7">
        <f>tbl_Ventes[[#This Row],[Qté Vendue]] * tbl_Ventes[[#This Row],[CMP_par_portion]]</f>
        <v>0</v>
      </c>
      <c r="J2439" s="7">
        <f>tbl_Ventes[[#This Row],[CA ligne]] - tbl_Ventes[[#This Row],[Coût matière ligne]]</f>
        <v>0</v>
      </c>
      <c r="K2439" s="7" t="str">
        <f>IFERROR(INDEX(tbl_ProduitsRef[Famille], MATCH(tbl_Ventes[[#This Row],[Cde_Prdt]], tbl_Produits[Cde_Prdt], 0)), "")</f>
        <v/>
      </c>
    </row>
    <row r="2440" spans="1:11" x14ac:dyDescent="0.25">
      <c r="A2440" s="5"/>
      <c r="B2440" s="63" t="str">
        <f>IFERROR(TEXT(tbl_Ventes[[#This Row],[Date]],"mm-aaaa"),"")</f>
        <v>01-1900</v>
      </c>
      <c r="D2440" s="10" t="str">
        <f>IFERROR(
   INDEX(tbl_ProduitsRef[Cde_Prdt],MATCH(tbl_Ventes[[#This Row],[Produit]],tbl_ProduitsRef[Produit],0)),
   ""
)</f>
        <v/>
      </c>
      <c r="E2440" s="7">
        <v>0</v>
      </c>
      <c r="F2440" s="7" t="str">
        <f>IFERROR(
   INDEX(tbl_ProduitsRef[Prix Menu],MATCH(tbl_Ventes[[#This Row],[Produit]],tbl_ProduitsRef[Produit],0)),
   ""
)</f>
        <v/>
      </c>
      <c r="G2440" s="7">
        <f>tbl_Ventes[[#This Row],[Qté Vendue]] * IFERROR(_xlfn.XLOOKUP(tbl_Ventes[[#This Row],[Cde_Prdt]], tbl_Produits[Cde_Prdt], tbl_Produits[Prix Menu]), 0)</f>
        <v>0</v>
      </c>
      <c r="H2440" s="7">
        <f>IFERROR(_xlfn.XLOOKUP(tbl_Ventes[[#This Row],[Cde_Prdt]], tbl_Produits[Cde_Prdt], tbl_Produits[Coût Moyen Portion]), 0)</f>
        <v>0</v>
      </c>
      <c r="I2440" s="7">
        <f>tbl_Ventes[[#This Row],[Qté Vendue]] * tbl_Ventes[[#This Row],[CMP_par_portion]]</f>
        <v>0</v>
      </c>
      <c r="J2440" s="7">
        <f>tbl_Ventes[[#This Row],[CA ligne]] - tbl_Ventes[[#This Row],[Coût matière ligne]]</f>
        <v>0</v>
      </c>
      <c r="K2440" s="7" t="str">
        <f>IFERROR(INDEX(tbl_ProduitsRef[Famille], MATCH(tbl_Ventes[[#This Row],[Cde_Prdt]], tbl_Produits[Cde_Prdt], 0)), "")</f>
        <v/>
      </c>
    </row>
    <row r="2441" spans="1:11" x14ac:dyDescent="0.25">
      <c r="A2441" s="5"/>
      <c r="B2441" s="63" t="str">
        <f>IFERROR(TEXT(tbl_Ventes[[#This Row],[Date]],"mm-aaaa"),"")</f>
        <v>01-1900</v>
      </c>
      <c r="D2441" s="10" t="str">
        <f>IFERROR(
   INDEX(tbl_ProduitsRef[Cde_Prdt],MATCH(tbl_Ventes[[#This Row],[Produit]],tbl_ProduitsRef[Produit],0)),
   ""
)</f>
        <v/>
      </c>
      <c r="E2441" s="7">
        <v>0</v>
      </c>
      <c r="F2441" s="7" t="str">
        <f>IFERROR(
   INDEX(tbl_ProduitsRef[Prix Menu],MATCH(tbl_Ventes[[#This Row],[Produit]],tbl_ProduitsRef[Produit],0)),
   ""
)</f>
        <v/>
      </c>
      <c r="G2441" s="7">
        <f>tbl_Ventes[[#This Row],[Qté Vendue]] * IFERROR(_xlfn.XLOOKUP(tbl_Ventes[[#This Row],[Cde_Prdt]], tbl_Produits[Cde_Prdt], tbl_Produits[Prix Menu]), 0)</f>
        <v>0</v>
      </c>
      <c r="H2441" s="7">
        <f>IFERROR(_xlfn.XLOOKUP(tbl_Ventes[[#This Row],[Cde_Prdt]], tbl_Produits[Cde_Prdt], tbl_Produits[Coût Moyen Portion]), 0)</f>
        <v>0</v>
      </c>
      <c r="I2441" s="7">
        <f>tbl_Ventes[[#This Row],[Qté Vendue]] * tbl_Ventes[[#This Row],[CMP_par_portion]]</f>
        <v>0</v>
      </c>
      <c r="J2441" s="7">
        <f>tbl_Ventes[[#This Row],[CA ligne]] - tbl_Ventes[[#This Row],[Coût matière ligne]]</f>
        <v>0</v>
      </c>
      <c r="K2441" s="7" t="str">
        <f>IFERROR(INDEX(tbl_ProduitsRef[Famille], MATCH(tbl_Ventes[[#This Row],[Cde_Prdt]], tbl_Produits[Cde_Prdt], 0)), "")</f>
        <v/>
      </c>
    </row>
    <row r="2442" spans="1:11" x14ac:dyDescent="0.25">
      <c r="A2442" s="5"/>
      <c r="B2442" s="63" t="str">
        <f>IFERROR(TEXT(tbl_Ventes[[#This Row],[Date]],"mm-aaaa"),"")</f>
        <v>01-1900</v>
      </c>
      <c r="D2442" s="10" t="str">
        <f>IFERROR(
   INDEX(tbl_ProduitsRef[Cde_Prdt],MATCH(tbl_Ventes[[#This Row],[Produit]],tbl_ProduitsRef[Produit],0)),
   ""
)</f>
        <v/>
      </c>
      <c r="E2442" s="7">
        <v>0</v>
      </c>
      <c r="F2442" s="7" t="str">
        <f>IFERROR(
   INDEX(tbl_ProduitsRef[Prix Menu],MATCH(tbl_Ventes[[#This Row],[Produit]],tbl_ProduitsRef[Produit],0)),
   ""
)</f>
        <v/>
      </c>
      <c r="G2442" s="7">
        <f>tbl_Ventes[[#This Row],[Qté Vendue]] * IFERROR(_xlfn.XLOOKUP(tbl_Ventes[[#This Row],[Cde_Prdt]], tbl_Produits[Cde_Prdt], tbl_Produits[Prix Menu]), 0)</f>
        <v>0</v>
      </c>
      <c r="H2442" s="7">
        <f>IFERROR(_xlfn.XLOOKUP(tbl_Ventes[[#This Row],[Cde_Prdt]], tbl_Produits[Cde_Prdt], tbl_Produits[Coût Moyen Portion]), 0)</f>
        <v>0</v>
      </c>
      <c r="I2442" s="7">
        <f>tbl_Ventes[[#This Row],[Qté Vendue]] * tbl_Ventes[[#This Row],[CMP_par_portion]]</f>
        <v>0</v>
      </c>
      <c r="J2442" s="7">
        <f>tbl_Ventes[[#This Row],[CA ligne]] - tbl_Ventes[[#This Row],[Coût matière ligne]]</f>
        <v>0</v>
      </c>
      <c r="K2442" s="7" t="str">
        <f>IFERROR(INDEX(tbl_ProduitsRef[Famille], MATCH(tbl_Ventes[[#This Row],[Cde_Prdt]], tbl_Produits[Cde_Prdt], 0)), "")</f>
        <v/>
      </c>
    </row>
    <row r="2443" spans="1:11" x14ac:dyDescent="0.25">
      <c r="A2443" s="5"/>
      <c r="B2443" s="63" t="str">
        <f>IFERROR(TEXT(tbl_Ventes[[#This Row],[Date]],"mm-aaaa"),"")</f>
        <v>01-1900</v>
      </c>
      <c r="D2443" s="10" t="str">
        <f>IFERROR(
   INDEX(tbl_ProduitsRef[Cde_Prdt],MATCH(tbl_Ventes[[#This Row],[Produit]],tbl_ProduitsRef[Produit],0)),
   ""
)</f>
        <v/>
      </c>
      <c r="E2443" s="7">
        <v>0</v>
      </c>
      <c r="F2443" s="7" t="str">
        <f>IFERROR(
   INDEX(tbl_ProduitsRef[Prix Menu],MATCH(tbl_Ventes[[#This Row],[Produit]],tbl_ProduitsRef[Produit],0)),
   ""
)</f>
        <v/>
      </c>
      <c r="G2443" s="7">
        <f>tbl_Ventes[[#This Row],[Qté Vendue]] * IFERROR(_xlfn.XLOOKUP(tbl_Ventes[[#This Row],[Cde_Prdt]], tbl_Produits[Cde_Prdt], tbl_Produits[Prix Menu]), 0)</f>
        <v>0</v>
      </c>
      <c r="H2443" s="7">
        <f>IFERROR(_xlfn.XLOOKUP(tbl_Ventes[[#This Row],[Cde_Prdt]], tbl_Produits[Cde_Prdt], tbl_Produits[Coût Moyen Portion]), 0)</f>
        <v>0</v>
      </c>
      <c r="I2443" s="7">
        <f>tbl_Ventes[[#This Row],[Qté Vendue]] * tbl_Ventes[[#This Row],[CMP_par_portion]]</f>
        <v>0</v>
      </c>
      <c r="J2443" s="7">
        <f>tbl_Ventes[[#This Row],[CA ligne]] - tbl_Ventes[[#This Row],[Coût matière ligne]]</f>
        <v>0</v>
      </c>
      <c r="K2443" s="7" t="str">
        <f>IFERROR(INDEX(tbl_ProduitsRef[Famille], MATCH(tbl_Ventes[[#This Row],[Cde_Prdt]], tbl_Produits[Cde_Prdt], 0)), "")</f>
        <v/>
      </c>
    </row>
    <row r="2444" spans="1:11" x14ac:dyDescent="0.25">
      <c r="A2444" s="5"/>
      <c r="B2444" s="63" t="str">
        <f>IFERROR(TEXT(tbl_Ventes[[#This Row],[Date]],"mm-aaaa"),"")</f>
        <v>01-1900</v>
      </c>
      <c r="D2444" s="10" t="str">
        <f>IFERROR(
   INDEX(tbl_ProduitsRef[Cde_Prdt],MATCH(tbl_Ventes[[#This Row],[Produit]],tbl_ProduitsRef[Produit],0)),
   ""
)</f>
        <v/>
      </c>
      <c r="E2444" s="7">
        <v>0</v>
      </c>
      <c r="F2444" s="7" t="str">
        <f>IFERROR(
   INDEX(tbl_ProduitsRef[Prix Menu],MATCH(tbl_Ventes[[#This Row],[Produit]],tbl_ProduitsRef[Produit],0)),
   ""
)</f>
        <v/>
      </c>
      <c r="G2444" s="7">
        <f>tbl_Ventes[[#This Row],[Qté Vendue]] * IFERROR(_xlfn.XLOOKUP(tbl_Ventes[[#This Row],[Cde_Prdt]], tbl_Produits[Cde_Prdt], tbl_Produits[Prix Menu]), 0)</f>
        <v>0</v>
      </c>
      <c r="H2444" s="7">
        <f>IFERROR(_xlfn.XLOOKUP(tbl_Ventes[[#This Row],[Cde_Prdt]], tbl_Produits[Cde_Prdt], tbl_Produits[Coût Moyen Portion]), 0)</f>
        <v>0</v>
      </c>
      <c r="I2444" s="7">
        <f>tbl_Ventes[[#This Row],[Qté Vendue]] * tbl_Ventes[[#This Row],[CMP_par_portion]]</f>
        <v>0</v>
      </c>
      <c r="J2444" s="7">
        <f>tbl_Ventes[[#This Row],[CA ligne]] - tbl_Ventes[[#This Row],[Coût matière ligne]]</f>
        <v>0</v>
      </c>
      <c r="K2444" s="7" t="str">
        <f>IFERROR(INDEX(tbl_ProduitsRef[Famille], MATCH(tbl_Ventes[[#This Row],[Cde_Prdt]], tbl_Produits[Cde_Prdt], 0)), "")</f>
        <v/>
      </c>
    </row>
    <row r="2445" spans="1:11" x14ac:dyDescent="0.25">
      <c r="A2445" s="5"/>
      <c r="B2445" s="63" t="str">
        <f>IFERROR(TEXT(tbl_Ventes[[#This Row],[Date]],"mm-aaaa"),"")</f>
        <v>01-1900</v>
      </c>
      <c r="D2445" s="10" t="str">
        <f>IFERROR(
   INDEX(tbl_ProduitsRef[Cde_Prdt],MATCH(tbl_Ventes[[#This Row],[Produit]],tbl_ProduitsRef[Produit],0)),
   ""
)</f>
        <v/>
      </c>
      <c r="E2445" s="7">
        <v>0</v>
      </c>
      <c r="F2445" s="7" t="str">
        <f>IFERROR(
   INDEX(tbl_ProduitsRef[Prix Menu],MATCH(tbl_Ventes[[#This Row],[Produit]],tbl_ProduitsRef[Produit],0)),
   ""
)</f>
        <v/>
      </c>
      <c r="G2445" s="7">
        <f>tbl_Ventes[[#This Row],[Qté Vendue]] * IFERROR(_xlfn.XLOOKUP(tbl_Ventes[[#This Row],[Cde_Prdt]], tbl_Produits[Cde_Prdt], tbl_Produits[Prix Menu]), 0)</f>
        <v>0</v>
      </c>
      <c r="H2445" s="7">
        <f>IFERROR(_xlfn.XLOOKUP(tbl_Ventes[[#This Row],[Cde_Prdt]], tbl_Produits[Cde_Prdt], tbl_Produits[Coût Moyen Portion]), 0)</f>
        <v>0</v>
      </c>
      <c r="I2445" s="7">
        <f>tbl_Ventes[[#This Row],[Qté Vendue]] * tbl_Ventes[[#This Row],[CMP_par_portion]]</f>
        <v>0</v>
      </c>
      <c r="J2445" s="7">
        <f>tbl_Ventes[[#This Row],[CA ligne]] - tbl_Ventes[[#This Row],[Coût matière ligne]]</f>
        <v>0</v>
      </c>
      <c r="K2445" s="7" t="str">
        <f>IFERROR(INDEX(tbl_ProduitsRef[Famille], MATCH(tbl_Ventes[[#This Row],[Cde_Prdt]], tbl_Produits[Cde_Prdt], 0)), "")</f>
        <v/>
      </c>
    </row>
    <row r="2446" spans="1:11" x14ac:dyDescent="0.25">
      <c r="A2446" s="5"/>
      <c r="B2446" s="63" t="str">
        <f>IFERROR(TEXT(tbl_Ventes[[#This Row],[Date]],"mm-aaaa"),"")</f>
        <v>01-1900</v>
      </c>
      <c r="D2446" s="10" t="str">
        <f>IFERROR(
   INDEX(tbl_ProduitsRef[Cde_Prdt],MATCH(tbl_Ventes[[#This Row],[Produit]],tbl_ProduitsRef[Produit],0)),
   ""
)</f>
        <v/>
      </c>
      <c r="E2446" s="7">
        <v>0</v>
      </c>
      <c r="F2446" s="7" t="str">
        <f>IFERROR(
   INDEX(tbl_ProduitsRef[Prix Menu],MATCH(tbl_Ventes[[#This Row],[Produit]],tbl_ProduitsRef[Produit],0)),
   ""
)</f>
        <v/>
      </c>
      <c r="G2446" s="7">
        <f>tbl_Ventes[[#This Row],[Qté Vendue]] * IFERROR(_xlfn.XLOOKUP(tbl_Ventes[[#This Row],[Cde_Prdt]], tbl_Produits[Cde_Prdt], tbl_Produits[Prix Menu]), 0)</f>
        <v>0</v>
      </c>
      <c r="H2446" s="7">
        <f>IFERROR(_xlfn.XLOOKUP(tbl_Ventes[[#This Row],[Cde_Prdt]], tbl_Produits[Cde_Prdt], tbl_Produits[Coût Moyen Portion]), 0)</f>
        <v>0</v>
      </c>
      <c r="I2446" s="7">
        <f>tbl_Ventes[[#This Row],[Qté Vendue]] * tbl_Ventes[[#This Row],[CMP_par_portion]]</f>
        <v>0</v>
      </c>
      <c r="J2446" s="7">
        <f>tbl_Ventes[[#This Row],[CA ligne]] - tbl_Ventes[[#This Row],[Coût matière ligne]]</f>
        <v>0</v>
      </c>
      <c r="K2446" s="7" t="str">
        <f>IFERROR(INDEX(tbl_ProduitsRef[Famille], MATCH(tbl_Ventes[[#This Row],[Cde_Prdt]], tbl_Produits[Cde_Prdt], 0)), "")</f>
        <v/>
      </c>
    </row>
    <row r="2447" spans="1:11" x14ac:dyDescent="0.25">
      <c r="A2447" s="5"/>
      <c r="B2447" s="63" t="str">
        <f>IFERROR(TEXT(tbl_Ventes[[#This Row],[Date]],"mm-aaaa"),"")</f>
        <v>01-1900</v>
      </c>
      <c r="D2447" s="10" t="str">
        <f>IFERROR(
   INDEX(tbl_ProduitsRef[Cde_Prdt],MATCH(tbl_Ventes[[#This Row],[Produit]],tbl_ProduitsRef[Produit],0)),
   ""
)</f>
        <v/>
      </c>
      <c r="E2447" s="7">
        <v>0</v>
      </c>
      <c r="F2447" s="7" t="str">
        <f>IFERROR(
   INDEX(tbl_ProduitsRef[Prix Menu],MATCH(tbl_Ventes[[#This Row],[Produit]],tbl_ProduitsRef[Produit],0)),
   ""
)</f>
        <v/>
      </c>
      <c r="G2447" s="7">
        <f>tbl_Ventes[[#This Row],[Qté Vendue]] * IFERROR(_xlfn.XLOOKUP(tbl_Ventes[[#This Row],[Cde_Prdt]], tbl_Produits[Cde_Prdt], tbl_Produits[Prix Menu]), 0)</f>
        <v>0</v>
      </c>
      <c r="H2447" s="7">
        <f>IFERROR(_xlfn.XLOOKUP(tbl_Ventes[[#This Row],[Cde_Prdt]], tbl_Produits[Cde_Prdt], tbl_Produits[Coût Moyen Portion]), 0)</f>
        <v>0</v>
      </c>
      <c r="I2447" s="7">
        <f>tbl_Ventes[[#This Row],[Qté Vendue]] * tbl_Ventes[[#This Row],[CMP_par_portion]]</f>
        <v>0</v>
      </c>
      <c r="J2447" s="7">
        <f>tbl_Ventes[[#This Row],[CA ligne]] - tbl_Ventes[[#This Row],[Coût matière ligne]]</f>
        <v>0</v>
      </c>
      <c r="K2447" s="7" t="str">
        <f>IFERROR(INDEX(tbl_ProduitsRef[Famille], MATCH(tbl_Ventes[[#This Row],[Cde_Prdt]], tbl_Produits[Cde_Prdt], 0)), "")</f>
        <v/>
      </c>
    </row>
    <row r="2448" spans="1:11" x14ac:dyDescent="0.25">
      <c r="A2448" s="5"/>
      <c r="B2448" s="63" t="str">
        <f>IFERROR(TEXT(tbl_Ventes[[#This Row],[Date]],"mm-aaaa"),"")</f>
        <v>01-1900</v>
      </c>
      <c r="D2448" s="10" t="str">
        <f>IFERROR(
   INDEX(tbl_ProduitsRef[Cde_Prdt],MATCH(tbl_Ventes[[#This Row],[Produit]],tbl_ProduitsRef[Produit],0)),
   ""
)</f>
        <v/>
      </c>
      <c r="E2448" s="7">
        <v>0</v>
      </c>
      <c r="F2448" s="7" t="str">
        <f>IFERROR(
   INDEX(tbl_ProduitsRef[Prix Menu],MATCH(tbl_Ventes[[#This Row],[Produit]],tbl_ProduitsRef[Produit],0)),
   ""
)</f>
        <v/>
      </c>
      <c r="G2448" s="7">
        <f>tbl_Ventes[[#This Row],[Qté Vendue]] * IFERROR(_xlfn.XLOOKUP(tbl_Ventes[[#This Row],[Cde_Prdt]], tbl_Produits[Cde_Prdt], tbl_Produits[Prix Menu]), 0)</f>
        <v>0</v>
      </c>
      <c r="H2448" s="7">
        <f>IFERROR(_xlfn.XLOOKUP(tbl_Ventes[[#This Row],[Cde_Prdt]], tbl_Produits[Cde_Prdt], tbl_Produits[Coût Moyen Portion]), 0)</f>
        <v>0</v>
      </c>
      <c r="I2448" s="7">
        <f>tbl_Ventes[[#This Row],[Qté Vendue]] * tbl_Ventes[[#This Row],[CMP_par_portion]]</f>
        <v>0</v>
      </c>
      <c r="J2448" s="7">
        <f>tbl_Ventes[[#This Row],[CA ligne]] - tbl_Ventes[[#This Row],[Coût matière ligne]]</f>
        <v>0</v>
      </c>
      <c r="K2448" s="7" t="str">
        <f>IFERROR(INDEX(tbl_ProduitsRef[Famille], MATCH(tbl_Ventes[[#This Row],[Cde_Prdt]], tbl_Produits[Cde_Prdt], 0)), "")</f>
        <v/>
      </c>
    </row>
    <row r="2449" spans="1:11" x14ac:dyDescent="0.25">
      <c r="A2449" s="5"/>
      <c r="B2449" s="63" t="str">
        <f>IFERROR(TEXT(tbl_Ventes[[#This Row],[Date]],"mm-aaaa"),"")</f>
        <v>01-1900</v>
      </c>
      <c r="D2449" s="10" t="str">
        <f>IFERROR(
   INDEX(tbl_ProduitsRef[Cde_Prdt],MATCH(tbl_Ventes[[#This Row],[Produit]],tbl_ProduitsRef[Produit],0)),
   ""
)</f>
        <v/>
      </c>
      <c r="E2449" s="7">
        <v>0</v>
      </c>
      <c r="F2449" s="7" t="str">
        <f>IFERROR(
   INDEX(tbl_ProduitsRef[Prix Menu],MATCH(tbl_Ventes[[#This Row],[Produit]],tbl_ProduitsRef[Produit],0)),
   ""
)</f>
        <v/>
      </c>
      <c r="G2449" s="7">
        <f>tbl_Ventes[[#This Row],[Qté Vendue]] * IFERROR(_xlfn.XLOOKUP(tbl_Ventes[[#This Row],[Cde_Prdt]], tbl_Produits[Cde_Prdt], tbl_Produits[Prix Menu]), 0)</f>
        <v>0</v>
      </c>
      <c r="H2449" s="7">
        <f>IFERROR(_xlfn.XLOOKUP(tbl_Ventes[[#This Row],[Cde_Prdt]], tbl_Produits[Cde_Prdt], tbl_Produits[Coût Moyen Portion]), 0)</f>
        <v>0</v>
      </c>
      <c r="I2449" s="7">
        <f>tbl_Ventes[[#This Row],[Qté Vendue]] * tbl_Ventes[[#This Row],[CMP_par_portion]]</f>
        <v>0</v>
      </c>
      <c r="J2449" s="7">
        <f>tbl_Ventes[[#This Row],[CA ligne]] - tbl_Ventes[[#This Row],[Coût matière ligne]]</f>
        <v>0</v>
      </c>
      <c r="K2449" s="7" t="str">
        <f>IFERROR(INDEX(tbl_ProduitsRef[Famille], MATCH(tbl_Ventes[[#This Row],[Cde_Prdt]], tbl_Produits[Cde_Prdt], 0)), "")</f>
        <v/>
      </c>
    </row>
    <row r="2450" spans="1:11" x14ac:dyDescent="0.25">
      <c r="A2450" s="5"/>
      <c r="B2450" s="63" t="str">
        <f>IFERROR(TEXT(tbl_Ventes[[#This Row],[Date]],"mm-aaaa"),"")</f>
        <v>01-1900</v>
      </c>
      <c r="D2450" s="10" t="str">
        <f>IFERROR(
   INDEX(tbl_ProduitsRef[Cde_Prdt],MATCH(tbl_Ventes[[#This Row],[Produit]],tbl_ProduitsRef[Produit],0)),
   ""
)</f>
        <v/>
      </c>
      <c r="E2450" s="7">
        <v>0</v>
      </c>
      <c r="F2450" s="7" t="str">
        <f>IFERROR(
   INDEX(tbl_ProduitsRef[Prix Menu],MATCH(tbl_Ventes[[#This Row],[Produit]],tbl_ProduitsRef[Produit],0)),
   ""
)</f>
        <v/>
      </c>
      <c r="G2450" s="7">
        <f>tbl_Ventes[[#This Row],[Qté Vendue]] * IFERROR(_xlfn.XLOOKUP(tbl_Ventes[[#This Row],[Cde_Prdt]], tbl_Produits[Cde_Prdt], tbl_Produits[Prix Menu]), 0)</f>
        <v>0</v>
      </c>
      <c r="H2450" s="7">
        <f>IFERROR(_xlfn.XLOOKUP(tbl_Ventes[[#This Row],[Cde_Prdt]], tbl_Produits[Cde_Prdt], tbl_Produits[Coût Moyen Portion]), 0)</f>
        <v>0</v>
      </c>
      <c r="I2450" s="7">
        <f>tbl_Ventes[[#This Row],[Qté Vendue]] * tbl_Ventes[[#This Row],[CMP_par_portion]]</f>
        <v>0</v>
      </c>
      <c r="J2450" s="7">
        <f>tbl_Ventes[[#This Row],[CA ligne]] - tbl_Ventes[[#This Row],[Coût matière ligne]]</f>
        <v>0</v>
      </c>
      <c r="K2450" s="7" t="str">
        <f>IFERROR(INDEX(tbl_ProduitsRef[Famille], MATCH(tbl_Ventes[[#This Row],[Cde_Prdt]], tbl_Produits[Cde_Prdt], 0)), "")</f>
        <v/>
      </c>
    </row>
    <row r="2451" spans="1:11" x14ac:dyDescent="0.25">
      <c r="A2451" s="5"/>
      <c r="B2451" s="63" t="str">
        <f>IFERROR(TEXT(tbl_Ventes[[#This Row],[Date]],"mm-aaaa"),"")</f>
        <v>01-1900</v>
      </c>
      <c r="D2451" s="10" t="str">
        <f>IFERROR(
   INDEX(tbl_ProduitsRef[Cde_Prdt],MATCH(tbl_Ventes[[#This Row],[Produit]],tbl_ProduitsRef[Produit],0)),
   ""
)</f>
        <v/>
      </c>
      <c r="E2451" s="7">
        <v>0</v>
      </c>
      <c r="F2451" s="7" t="str">
        <f>IFERROR(
   INDEX(tbl_ProduitsRef[Prix Menu],MATCH(tbl_Ventes[[#This Row],[Produit]],tbl_ProduitsRef[Produit],0)),
   ""
)</f>
        <v/>
      </c>
      <c r="G2451" s="7">
        <f>tbl_Ventes[[#This Row],[Qté Vendue]] * IFERROR(_xlfn.XLOOKUP(tbl_Ventes[[#This Row],[Cde_Prdt]], tbl_Produits[Cde_Prdt], tbl_Produits[Prix Menu]), 0)</f>
        <v>0</v>
      </c>
      <c r="H2451" s="7">
        <f>IFERROR(_xlfn.XLOOKUP(tbl_Ventes[[#This Row],[Cde_Prdt]], tbl_Produits[Cde_Prdt], tbl_Produits[Coût Moyen Portion]), 0)</f>
        <v>0</v>
      </c>
      <c r="I2451" s="7">
        <f>tbl_Ventes[[#This Row],[Qté Vendue]] * tbl_Ventes[[#This Row],[CMP_par_portion]]</f>
        <v>0</v>
      </c>
      <c r="J2451" s="7">
        <f>tbl_Ventes[[#This Row],[CA ligne]] - tbl_Ventes[[#This Row],[Coût matière ligne]]</f>
        <v>0</v>
      </c>
      <c r="K2451" s="7" t="str">
        <f>IFERROR(INDEX(tbl_ProduitsRef[Famille], MATCH(tbl_Ventes[[#This Row],[Cde_Prdt]], tbl_Produits[Cde_Prdt], 0)), "")</f>
        <v/>
      </c>
    </row>
    <row r="2452" spans="1:11" x14ac:dyDescent="0.25">
      <c r="A2452" s="5"/>
      <c r="B2452" s="63" t="str">
        <f>IFERROR(TEXT(tbl_Ventes[[#This Row],[Date]],"mm-aaaa"),"")</f>
        <v>01-1900</v>
      </c>
      <c r="D2452" s="10" t="str">
        <f>IFERROR(
   INDEX(tbl_ProduitsRef[Cde_Prdt],MATCH(tbl_Ventes[[#This Row],[Produit]],tbl_ProduitsRef[Produit],0)),
   ""
)</f>
        <v/>
      </c>
      <c r="E2452" s="7">
        <v>0</v>
      </c>
      <c r="F2452" s="7" t="str">
        <f>IFERROR(
   INDEX(tbl_ProduitsRef[Prix Menu],MATCH(tbl_Ventes[[#This Row],[Produit]],tbl_ProduitsRef[Produit],0)),
   ""
)</f>
        <v/>
      </c>
      <c r="G2452" s="7">
        <f>tbl_Ventes[[#This Row],[Qté Vendue]] * IFERROR(_xlfn.XLOOKUP(tbl_Ventes[[#This Row],[Cde_Prdt]], tbl_Produits[Cde_Prdt], tbl_Produits[Prix Menu]), 0)</f>
        <v>0</v>
      </c>
      <c r="H2452" s="7">
        <f>IFERROR(_xlfn.XLOOKUP(tbl_Ventes[[#This Row],[Cde_Prdt]], tbl_Produits[Cde_Prdt], tbl_Produits[Coût Moyen Portion]), 0)</f>
        <v>0</v>
      </c>
      <c r="I2452" s="7">
        <f>tbl_Ventes[[#This Row],[Qté Vendue]] * tbl_Ventes[[#This Row],[CMP_par_portion]]</f>
        <v>0</v>
      </c>
      <c r="J2452" s="7">
        <f>tbl_Ventes[[#This Row],[CA ligne]] - tbl_Ventes[[#This Row],[Coût matière ligne]]</f>
        <v>0</v>
      </c>
      <c r="K2452" s="7" t="str">
        <f>IFERROR(INDEX(tbl_ProduitsRef[Famille], MATCH(tbl_Ventes[[#This Row],[Cde_Prdt]], tbl_Produits[Cde_Prdt], 0)), "")</f>
        <v/>
      </c>
    </row>
    <row r="2453" spans="1:11" x14ac:dyDescent="0.25">
      <c r="A2453" s="5"/>
      <c r="B2453" s="63" t="str">
        <f>IFERROR(TEXT(tbl_Ventes[[#This Row],[Date]],"mm-aaaa"),"")</f>
        <v>01-1900</v>
      </c>
      <c r="D2453" s="10" t="str">
        <f>IFERROR(
   INDEX(tbl_ProduitsRef[Cde_Prdt],MATCH(tbl_Ventes[[#This Row],[Produit]],tbl_ProduitsRef[Produit],0)),
   ""
)</f>
        <v/>
      </c>
      <c r="E2453" s="7">
        <v>0</v>
      </c>
      <c r="F2453" s="7" t="str">
        <f>IFERROR(
   INDEX(tbl_ProduitsRef[Prix Menu],MATCH(tbl_Ventes[[#This Row],[Produit]],tbl_ProduitsRef[Produit],0)),
   ""
)</f>
        <v/>
      </c>
      <c r="G2453" s="7">
        <f>tbl_Ventes[[#This Row],[Qté Vendue]] * IFERROR(_xlfn.XLOOKUP(tbl_Ventes[[#This Row],[Cde_Prdt]], tbl_Produits[Cde_Prdt], tbl_Produits[Prix Menu]), 0)</f>
        <v>0</v>
      </c>
      <c r="H2453" s="7">
        <f>IFERROR(_xlfn.XLOOKUP(tbl_Ventes[[#This Row],[Cde_Prdt]], tbl_Produits[Cde_Prdt], tbl_Produits[Coût Moyen Portion]), 0)</f>
        <v>0</v>
      </c>
      <c r="I2453" s="7">
        <f>tbl_Ventes[[#This Row],[Qté Vendue]] * tbl_Ventes[[#This Row],[CMP_par_portion]]</f>
        <v>0</v>
      </c>
      <c r="J2453" s="7">
        <f>tbl_Ventes[[#This Row],[CA ligne]] - tbl_Ventes[[#This Row],[Coût matière ligne]]</f>
        <v>0</v>
      </c>
      <c r="K2453" s="7" t="str">
        <f>IFERROR(INDEX(tbl_ProduitsRef[Famille], MATCH(tbl_Ventes[[#This Row],[Cde_Prdt]], tbl_Produits[Cde_Prdt], 0)), "")</f>
        <v/>
      </c>
    </row>
    <row r="2454" spans="1:11" x14ac:dyDescent="0.25">
      <c r="A2454" s="5"/>
      <c r="B2454" s="63" t="str">
        <f>IFERROR(TEXT(tbl_Ventes[[#This Row],[Date]],"mm-aaaa"),"")</f>
        <v>01-1900</v>
      </c>
      <c r="D2454" s="10" t="str">
        <f>IFERROR(
   INDEX(tbl_ProduitsRef[Cde_Prdt],MATCH(tbl_Ventes[[#This Row],[Produit]],tbl_ProduitsRef[Produit],0)),
   ""
)</f>
        <v/>
      </c>
      <c r="E2454" s="7">
        <v>0</v>
      </c>
      <c r="F2454" s="7" t="str">
        <f>IFERROR(
   INDEX(tbl_ProduitsRef[Prix Menu],MATCH(tbl_Ventes[[#This Row],[Produit]],tbl_ProduitsRef[Produit],0)),
   ""
)</f>
        <v/>
      </c>
      <c r="G2454" s="7">
        <f>tbl_Ventes[[#This Row],[Qté Vendue]] * IFERROR(_xlfn.XLOOKUP(tbl_Ventes[[#This Row],[Cde_Prdt]], tbl_Produits[Cde_Prdt], tbl_Produits[Prix Menu]), 0)</f>
        <v>0</v>
      </c>
      <c r="H2454" s="7">
        <f>IFERROR(_xlfn.XLOOKUP(tbl_Ventes[[#This Row],[Cde_Prdt]], tbl_Produits[Cde_Prdt], tbl_Produits[Coût Moyen Portion]), 0)</f>
        <v>0</v>
      </c>
      <c r="I2454" s="7">
        <f>tbl_Ventes[[#This Row],[Qté Vendue]] * tbl_Ventes[[#This Row],[CMP_par_portion]]</f>
        <v>0</v>
      </c>
      <c r="J2454" s="7">
        <f>tbl_Ventes[[#This Row],[CA ligne]] - tbl_Ventes[[#This Row],[Coût matière ligne]]</f>
        <v>0</v>
      </c>
      <c r="K2454" s="7" t="str">
        <f>IFERROR(INDEX(tbl_ProduitsRef[Famille], MATCH(tbl_Ventes[[#This Row],[Cde_Prdt]], tbl_Produits[Cde_Prdt], 0)), "")</f>
        <v/>
      </c>
    </row>
    <row r="2455" spans="1:11" x14ac:dyDescent="0.25">
      <c r="A2455" s="5"/>
      <c r="B2455" s="63" t="str">
        <f>IFERROR(TEXT(tbl_Ventes[[#This Row],[Date]],"mm-aaaa"),"")</f>
        <v>01-1900</v>
      </c>
      <c r="D2455" s="10" t="str">
        <f>IFERROR(
   INDEX(tbl_ProduitsRef[Cde_Prdt],MATCH(tbl_Ventes[[#This Row],[Produit]],tbl_ProduitsRef[Produit],0)),
   ""
)</f>
        <v/>
      </c>
      <c r="E2455" s="7">
        <v>0</v>
      </c>
      <c r="F2455" s="7" t="str">
        <f>IFERROR(
   INDEX(tbl_ProduitsRef[Prix Menu],MATCH(tbl_Ventes[[#This Row],[Produit]],tbl_ProduitsRef[Produit],0)),
   ""
)</f>
        <v/>
      </c>
      <c r="G2455" s="7">
        <f>tbl_Ventes[[#This Row],[Qté Vendue]] * IFERROR(_xlfn.XLOOKUP(tbl_Ventes[[#This Row],[Cde_Prdt]], tbl_Produits[Cde_Prdt], tbl_Produits[Prix Menu]), 0)</f>
        <v>0</v>
      </c>
      <c r="H2455" s="7">
        <f>IFERROR(_xlfn.XLOOKUP(tbl_Ventes[[#This Row],[Cde_Prdt]], tbl_Produits[Cde_Prdt], tbl_Produits[Coût Moyen Portion]), 0)</f>
        <v>0</v>
      </c>
      <c r="I2455" s="7">
        <f>tbl_Ventes[[#This Row],[Qté Vendue]] * tbl_Ventes[[#This Row],[CMP_par_portion]]</f>
        <v>0</v>
      </c>
      <c r="J2455" s="7">
        <f>tbl_Ventes[[#This Row],[CA ligne]] - tbl_Ventes[[#This Row],[Coût matière ligne]]</f>
        <v>0</v>
      </c>
      <c r="K2455" s="7" t="str">
        <f>IFERROR(INDEX(tbl_ProduitsRef[Famille], MATCH(tbl_Ventes[[#This Row],[Cde_Prdt]], tbl_Produits[Cde_Prdt], 0)), "")</f>
        <v/>
      </c>
    </row>
    <row r="2456" spans="1:11" x14ac:dyDescent="0.25">
      <c r="A2456" s="5"/>
      <c r="B2456" s="63" t="str">
        <f>IFERROR(TEXT(tbl_Ventes[[#This Row],[Date]],"mm-aaaa"),"")</f>
        <v>01-1900</v>
      </c>
      <c r="D2456" s="10" t="str">
        <f>IFERROR(
   INDEX(tbl_ProduitsRef[Cde_Prdt],MATCH(tbl_Ventes[[#This Row],[Produit]],tbl_ProduitsRef[Produit],0)),
   ""
)</f>
        <v/>
      </c>
      <c r="E2456" s="7">
        <v>0</v>
      </c>
      <c r="F2456" s="7" t="str">
        <f>IFERROR(
   INDEX(tbl_ProduitsRef[Prix Menu],MATCH(tbl_Ventes[[#This Row],[Produit]],tbl_ProduitsRef[Produit],0)),
   ""
)</f>
        <v/>
      </c>
      <c r="G2456" s="7">
        <f>tbl_Ventes[[#This Row],[Qté Vendue]] * IFERROR(_xlfn.XLOOKUP(tbl_Ventes[[#This Row],[Cde_Prdt]], tbl_Produits[Cde_Prdt], tbl_Produits[Prix Menu]), 0)</f>
        <v>0</v>
      </c>
      <c r="H2456" s="7">
        <f>IFERROR(_xlfn.XLOOKUP(tbl_Ventes[[#This Row],[Cde_Prdt]], tbl_Produits[Cde_Prdt], tbl_Produits[Coût Moyen Portion]), 0)</f>
        <v>0</v>
      </c>
      <c r="I2456" s="7">
        <f>tbl_Ventes[[#This Row],[Qté Vendue]] * tbl_Ventes[[#This Row],[CMP_par_portion]]</f>
        <v>0</v>
      </c>
      <c r="J2456" s="7">
        <f>tbl_Ventes[[#This Row],[CA ligne]] - tbl_Ventes[[#This Row],[Coût matière ligne]]</f>
        <v>0</v>
      </c>
      <c r="K2456" s="7" t="str">
        <f>IFERROR(INDEX(tbl_ProduitsRef[Famille], MATCH(tbl_Ventes[[#This Row],[Cde_Prdt]], tbl_Produits[Cde_Prdt], 0)), "")</f>
        <v/>
      </c>
    </row>
    <row r="2457" spans="1:11" x14ac:dyDescent="0.25">
      <c r="A2457" s="5"/>
      <c r="B2457" s="63" t="str">
        <f>IFERROR(TEXT(tbl_Ventes[[#This Row],[Date]],"mm-aaaa"),"")</f>
        <v>01-1900</v>
      </c>
      <c r="D2457" s="10" t="str">
        <f>IFERROR(
   INDEX(tbl_ProduitsRef[Cde_Prdt],MATCH(tbl_Ventes[[#This Row],[Produit]],tbl_ProduitsRef[Produit],0)),
   ""
)</f>
        <v/>
      </c>
      <c r="E2457" s="7">
        <v>0</v>
      </c>
      <c r="F2457" s="7" t="str">
        <f>IFERROR(
   INDEX(tbl_ProduitsRef[Prix Menu],MATCH(tbl_Ventes[[#This Row],[Produit]],tbl_ProduitsRef[Produit],0)),
   ""
)</f>
        <v/>
      </c>
      <c r="G2457" s="7">
        <f>tbl_Ventes[[#This Row],[Qté Vendue]] * IFERROR(_xlfn.XLOOKUP(tbl_Ventes[[#This Row],[Cde_Prdt]], tbl_Produits[Cde_Prdt], tbl_Produits[Prix Menu]), 0)</f>
        <v>0</v>
      </c>
      <c r="H2457" s="7">
        <f>IFERROR(_xlfn.XLOOKUP(tbl_Ventes[[#This Row],[Cde_Prdt]], tbl_Produits[Cde_Prdt], tbl_Produits[Coût Moyen Portion]), 0)</f>
        <v>0</v>
      </c>
      <c r="I2457" s="7">
        <f>tbl_Ventes[[#This Row],[Qté Vendue]] * tbl_Ventes[[#This Row],[CMP_par_portion]]</f>
        <v>0</v>
      </c>
      <c r="J2457" s="7">
        <f>tbl_Ventes[[#This Row],[CA ligne]] - tbl_Ventes[[#This Row],[Coût matière ligne]]</f>
        <v>0</v>
      </c>
      <c r="K2457" s="7" t="str">
        <f>IFERROR(INDEX(tbl_ProduitsRef[Famille], MATCH(tbl_Ventes[[#This Row],[Cde_Prdt]], tbl_Produits[Cde_Prdt], 0)), "")</f>
        <v/>
      </c>
    </row>
    <row r="2458" spans="1:11" x14ac:dyDescent="0.25">
      <c r="A2458" s="5"/>
      <c r="B2458" s="63" t="str">
        <f>IFERROR(TEXT(tbl_Ventes[[#This Row],[Date]],"mm-aaaa"),"")</f>
        <v>01-1900</v>
      </c>
      <c r="D2458" s="10" t="str">
        <f>IFERROR(
   INDEX(tbl_ProduitsRef[Cde_Prdt],MATCH(tbl_Ventes[[#This Row],[Produit]],tbl_ProduitsRef[Produit],0)),
   ""
)</f>
        <v/>
      </c>
      <c r="E2458" s="7">
        <v>0</v>
      </c>
      <c r="F2458" s="7" t="str">
        <f>IFERROR(
   INDEX(tbl_ProduitsRef[Prix Menu],MATCH(tbl_Ventes[[#This Row],[Produit]],tbl_ProduitsRef[Produit],0)),
   ""
)</f>
        <v/>
      </c>
      <c r="G2458" s="7">
        <f>tbl_Ventes[[#This Row],[Qté Vendue]] * IFERROR(_xlfn.XLOOKUP(tbl_Ventes[[#This Row],[Cde_Prdt]], tbl_Produits[Cde_Prdt], tbl_Produits[Prix Menu]), 0)</f>
        <v>0</v>
      </c>
      <c r="H2458" s="7">
        <f>IFERROR(_xlfn.XLOOKUP(tbl_Ventes[[#This Row],[Cde_Prdt]], tbl_Produits[Cde_Prdt], tbl_Produits[Coût Moyen Portion]), 0)</f>
        <v>0</v>
      </c>
      <c r="I2458" s="7">
        <f>tbl_Ventes[[#This Row],[Qté Vendue]] * tbl_Ventes[[#This Row],[CMP_par_portion]]</f>
        <v>0</v>
      </c>
      <c r="J2458" s="7">
        <f>tbl_Ventes[[#This Row],[CA ligne]] - tbl_Ventes[[#This Row],[Coût matière ligne]]</f>
        <v>0</v>
      </c>
      <c r="K2458" s="7" t="str">
        <f>IFERROR(INDEX(tbl_ProduitsRef[Famille], MATCH(tbl_Ventes[[#This Row],[Cde_Prdt]], tbl_Produits[Cde_Prdt], 0)), "")</f>
        <v/>
      </c>
    </row>
    <row r="2459" spans="1:11" x14ac:dyDescent="0.25">
      <c r="A2459" s="5"/>
      <c r="B2459" s="63" t="str">
        <f>IFERROR(TEXT(tbl_Ventes[[#This Row],[Date]],"mm-aaaa"),"")</f>
        <v>01-1900</v>
      </c>
      <c r="D2459" s="10" t="str">
        <f>IFERROR(
   INDEX(tbl_ProduitsRef[Cde_Prdt],MATCH(tbl_Ventes[[#This Row],[Produit]],tbl_ProduitsRef[Produit],0)),
   ""
)</f>
        <v/>
      </c>
      <c r="E2459" s="7">
        <v>0</v>
      </c>
      <c r="F2459" s="7" t="str">
        <f>IFERROR(
   INDEX(tbl_ProduitsRef[Prix Menu],MATCH(tbl_Ventes[[#This Row],[Produit]],tbl_ProduitsRef[Produit],0)),
   ""
)</f>
        <v/>
      </c>
      <c r="G2459" s="7">
        <f>tbl_Ventes[[#This Row],[Qté Vendue]] * IFERROR(_xlfn.XLOOKUP(tbl_Ventes[[#This Row],[Cde_Prdt]], tbl_Produits[Cde_Prdt], tbl_Produits[Prix Menu]), 0)</f>
        <v>0</v>
      </c>
      <c r="H2459" s="7">
        <f>IFERROR(_xlfn.XLOOKUP(tbl_Ventes[[#This Row],[Cde_Prdt]], tbl_Produits[Cde_Prdt], tbl_Produits[Coût Moyen Portion]), 0)</f>
        <v>0</v>
      </c>
      <c r="I2459" s="7">
        <f>tbl_Ventes[[#This Row],[Qté Vendue]] * tbl_Ventes[[#This Row],[CMP_par_portion]]</f>
        <v>0</v>
      </c>
      <c r="J2459" s="7">
        <f>tbl_Ventes[[#This Row],[CA ligne]] - tbl_Ventes[[#This Row],[Coût matière ligne]]</f>
        <v>0</v>
      </c>
      <c r="K2459" s="7" t="str">
        <f>IFERROR(INDEX(tbl_ProduitsRef[Famille], MATCH(tbl_Ventes[[#This Row],[Cde_Prdt]], tbl_Produits[Cde_Prdt], 0)), "")</f>
        <v/>
      </c>
    </row>
    <row r="2460" spans="1:11" x14ac:dyDescent="0.25">
      <c r="A2460" s="5"/>
      <c r="B2460" s="63" t="str">
        <f>IFERROR(TEXT(tbl_Ventes[[#This Row],[Date]],"mm-aaaa"),"")</f>
        <v>01-1900</v>
      </c>
      <c r="D2460" s="10" t="str">
        <f>IFERROR(
   INDEX(tbl_ProduitsRef[Cde_Prdt],MATCH(tbl_Ventes[[#This Row],[Produit]],tbl_ProduitsRef[Produit],0)),
   ""
)</f>
        <v/>
      </c>
      <c r="E2460" s="7">
        <v>0</v>
      </c>
      <c r="F2460" s="7" t="str">
        <f>IFERROR(
   INDEX(tbl_ProduitsRef[Prix Menu],MATCH(tbl_Ventes[[#This Row],[Produit]],tbl_ProduitsRef[Produit],0)),
   ""
)</f>
        <v/>
      </c>
      <c r="G2460" s="7">
        <f>tbl_Ventes[[#This Row],[Qté Vendue]] * IFERROR(_xlfn.XLOOKUP(tbl_Ventes[[#This Row],[Cde_Prdt]], tbl_Produits[Cde_Prdt], tbl_Produits[Prix Menu]), 0)</f>
        <v>0</v>
      </c>
      <c r="H2460" s="7">
        <f>IFERROR(_xlfn.XLOOKUP(tbl_Ventes[[#This Row],[Cde_Prdt]], tbl_Produits[Cde_Prdt], tbl_Produits[Coût Moyen Portion]), 0)</f>
        <v>0</v>
      </c>
      <c r="I2460" s="7">
        <f>tbl_Ventes[[#This Row],[Qté Vendue]] * tbl_Ventes[[#This Row],[CMP_par_portion]]</f>
        <v>0</v>
      </c>
      <c r="J2460" s="7">
        <f>tbl_Ventes[[#This Row],[CA ligne]] - tbl_Ventes[[#This Row],[Coût matière ligne]]</f>
        <v>0</v>
      </c>
      <c r="K2460" s="7" t="str">
        <f>IFERROR(INDEX(tbl_ProduitsRef[Famille], MATCH(tbl_Ventes[[#This Row],[Cde_Prdt]], tbl_Produits[Cde_Prdt], 0)), "")</f>
        <v/>
      </c>
    </row>
    <row r="2461" spans="1:11" x14ac:dyDescent="0.25">
      <c r="A2461" s="5"/>
      <c r="B2461" s="63" t="str">
        <f>IFERROR(TEXT(tbl_Ventes[[#This Row],[Date]],"mm-aaaa"),"")</f>
        <v>01-1900</v>
      </c>
      <c r="D2461" s="10" t="str">
        <f>IFERROR(
   INDEX(tbl_ProduitsRef[Cde_Prdt],MATCH(tbl_Ventes[[#This Row],[Produit]],tbl_ProduitsRef[Produit],0)),
   ""
)</f>
        <v/>
      </c>
      <c r="E2461" s="7">
        <v>0</v>
      </c>
      <c r="F2461" s="7" t="str">
        <f>IFERROR(
   INDEX(tbl_ProduitsRef[Prix Menu],MATCH(tbl_Ventes[[#This Row],[Produit]],tbl_ProduitsRef[Produit],0)),
   ""
)</f>
        <v/>
      </c>
      <c r="G2461" s="7">
        <f>tbl_Ventes[[#This Row],[Qté Vendue]] * IFERROR(_xlfn.XLOOKUP(tbl_Ventes[[#This Row],[Cde_Prdt]], tbl_Produits[Cde_Prdt], tbl_Produits[Prix Menu]), 0)</f>
        <v>0</v>
      </c>
      <c r="H2461" s="7">
        <f>IFERROR(_xlfn.XLOOKUP(tbl_Ventes[[#This Row],[Cde_Prdt]], tbl_Produits[Cde_Prdt], tbl_Produits[Coût Moyen Portion]), 0)</f>
        <v>0</v>
      </c>
      <c r="I2461" s="7">
        <f>tbl_Ventes[[#This Row],[Qté Vendue]] * tbl_Ventes[[#This Row],[CMP_par_portion]]</f>
        <v>0</v>
      </c>
      <c r="J2461" s="7">
        <f>tbl_Ventes[[#This Row],[CA ligne]] - tbl_Ventes[[#This Row],[Coût matière ligne]]</f>
        <v>0</v>
      </c>
      <c r="K2461" s="7" t="str">
        <f>IFERROR(INDEX(tbl_ProduitsRef[Famille], MATCH(tbl_Ventes[[#This Row],[Cde_Prdt]], tbl_Produits[Cde_Prdt], 0)), "")</f>
        <v/>
      </c>
    </row>
    <row r="2462" spans="1:11" x14ac:dyDescent="0.25">
      <c r="A2462" s="5"/>
      <c r="B2462" s="63" t="str">
        <f>IFERROR(TEXT(tbl_Ventes[[#This Row],[Date]],"mm-aaaa"),"")</f>
        <v>01-1900</v>
      </c>
      <c r="D2462" s="10" t="str">
        <f>IFERROR(
   INDEX(tbl_ProduitsRef[Cde_Prdt],MATCH(tbl_Ventes[[#This Row],[Produit]],tbl_ProduitsRef[Produit],0)),
   ""
)</f>
        <v/>
      </c>
      <c r="E2462" s="7">
        <v>0</v>
      </c>
      <c r="F2462" s="7" t="str">
        <f>IFERROR(
   INDEX(tbl_ProduitsRef[Prix Menu],MATCH(tbl_Ventes[[#This Row],[Produit]],tbl_ProduitsRef[Produit],0)),
   ""
)</f>
        <v/>
      </c>
      <c r="G2462" s="7">
        <f>tbl_Ventes[[#This Row],[Qté Vendue]] * IFERROR(_xlfn.XLOOKUP(tbl_Ventes[[#This Row],[Cde_Prdt]], tbl_Produits[Cde_Prdt], tbl_Produits[Prix Menu]), 0)</f>
        <v>0</v>
      </c>
      <c r="H2462" s="7">
        <f>IFERROR(_xlfn.XLOOKUP(tbl_Ventes[[#This Row],[Cde_Prdt]], tbl_Produits[Cde_Prdt], tbl_Produits[Coût Moyen Portion]), 0)</f>
        <v>0</v>
      </c>
      <c r="I2462" s="7">
        <f>tbl_Ventes[[#This Row],[Qté Vendue]] * tbl_Ventes[[#This Row],[CMP_par_portion]]</f>
        <v>0</v>
      </c>
      <c r="J2462" s="7">
        <f>tbl_Ventes[[#This Row],[CA ligne]] - tbl_Ventes[[#This Row],[Coût matière ligne]]</f>
        <v>0</v>
      </c>
      <c r="K2462" s="7" t="str">
        <f>IFERROR(INDEX(tbl_ProduitsRef[Famille], MATCH(tbl_Ventes[[#This Row],[Cde_Prdt]], tbl_Produits[Cde_Prdt], 0)), "")</f>
        <v/>
      </c>
    </row>
    <row r="2463" spans="1:11" x14ac:dyDescent="0.25">
      <c r="A2463" s="5"/>
      <c r="B2463" s="63" t="str">
        <f>IFERROR(TEXT(tbl_Ventes[[#This Row],[Date]],"mm-aaaa"),"")</f>
        <v>01-1900</v>
      </c>
      <c r="D2463" s="10" t="str">
        <f>IFERROR(
   INDEX(tbl_ProduitsRef[Cde_Prdt],MATCH(tbl_Ventes[[#This Row],[Produit]],tbl_ProduitsRef[Produit],0)),
   ""
)</f>
        <v/>
      </c>
      <c r="E2463" s="7">
        <v>0</v>
      </c>
      <c r="F2463" s="7" t="str">
        <f>IFERROR(
   INDEX(tbl_ProduitsRef[Prix Menu],MATCH(tbl_Ventes[[#This Row],[Produit]],tbl_ProduitsRef[Produit],0)),
   ""
)</f>
        <v/>
      </c>
      <c r="G2463" s="7">
        <f>tbl_Ventes[[#This Row],[Qté Vendue]] * IFERROR(_xlfn.XLOOKUP(tbl_Ventes[[#This Row],[Cde_Prdt]], tbl_Produits[Cde_Prdt], tbl_Produits[Prix Menu]), 0)</f>
        <v>0</v>
      </c>
      <c r="H2463" s="7">
        <f>IFERROR(_xlfn.XLOOKUP(tbl_Ventes[[#This Row],[Cde_Prdt]], tbl_Produits[Cde_Prdt], tbl_Produits[Coût Moyen Portion]), 0)</f>
        <v>0</v>
      </c>
      <c r="I2463" s="7">
        <f>tbl_Ventes[[#This Row],[Qté Vendue]] * tbl_Ventes[[#This Row],[CMP_par_portion]]</f>
        <v>0</v>
      </c>
      <c r="J2463" s="7">
        <f>tbl_Ventes[[#This Row],[CA ligne]] - tbl_Ventes[[#This Row],[Coût matière ligne]]</f>
        <v>0</v>
      </c>
      <c r="K2463" s="7" t="str">
        <f>IFERROR(INDEX(tbl_ProduitsRef[Famille], MATCH(tbl_Ventes[[#This Row],[Cde_Prdt]], tbl_Produits[Cde_Prdt], 0)), "")</f>
        <v/>
      </c>
    </row>
    <row r="2464" spans="1:11" x14ac:dyDescent="0.25">
      <c r="A2464" s="5"/>
      <c r="B2464" s="63" t="str">
        <f>IFERROR(TEXT(tbl_Ventes[[#This Row],[Date]],"mm-aaaa"),"")</f>
        <v>01-1900</v>
      </c>
      <c r="D2464" s="10" t="str">
        <f>IFERROR(
   INDEX(tbl_ProduitsRef[Cde_Prdt],MATCH(tbl_Ventes[[#This Row],[Produit]],tbl_ProduitsRef[Produit],0)),
   ""
)</f>
        <v/>
      </c>
      <c r="E2464" s="7">
        <v>0</v>
      </c>
      <c r="F2464" s="7" t="str">
        <f>IFERROR(
   INDEX(tbl_ProduitsRef[Prix Menu],MATCH(tbl_Ventes[[#This Row],[Produit]],tbl_ProduitsRef[Produit],0)),
   ""
)</f>
        <v/>
      </c>
      <c r="G2464" s="7">
        <f>tbl_Ventes[[#This Row],[Qté Vendue]] * IFERROR(_xlfn.XLOOKUP(tbl_Ventes[[#This Row],[Cde_Prdt]], tbl_Produits[Cde_Prdt], tbl_Produits[Prix Menu]), 0)</f>
        <v>0</v>
      </c>
      <c r="H2464" s="7">
        <f>IFERROR(_xlfn.XLOOKUP(tbl_Ventes[[#This Row],[Cde_Prdt]], tbl_Produits[Cde_Prdt], tbl_Produits[Coût Moyen Portion]), 0)</f>
        <v>0</v>
      </c>
      <c r="I2464" s="7">
        <f>tbl_Ventes[[#This Row],[Qté Vendue]] * tbl_Ventes[[#This Row],[CMP_par_portion]]</f>
        <v>0</v>
      </c>
      <c r="J2464" s="7">
        <f>tbl_Ventes[[#This Row],[CA ligne]] - tbl_Ventes[[#This Row],[Coût matière ligne]]</f>
        <v>0</v>
      </c>
      <c r="K2464" s="7" t="str">
        <f>IFERROR(INDEX(tbl_ProduitsRef[Famille], MATCH(tbl_Ventes[[#This Row],[Cde_Prdt]], tbl_Produits[Cde_Prdt], 0)), "")</f>
        <v/>
      </c>
    </row>
    <row r="2465" spans="1:11" x14ac:dyDescent="0.25">
      <c r="A2465" s="5"/>
      <c r="B2465" s="63" t="str">
        <f>IFERROR(TEXT(tbl_Ventes[[#This Row],[Date]],"mm-aaaa"),"")</f>
        <v>01-1900</v>
      </c>
      <c r="D2465" s="10" t="str">
        <f>IFERROR(
   INDEX(tbl_ProduitsRef[Cde_Prdt],MATCH(tbl_Ventes[[#This Row],[Produit]],tbl_ProduitsRef[Produit],0)),
   ""
)</f>
        <v/>
      </c>
      <c r="E2465" s="7">
        <v>0</v>
      </c>
      <c r="F2465" s="7" t="str">
        <f>IFERROR(
   INDEX(tbl_ProduitsRef[Prix Menu],MATCH(tbl_Ventes[[#This Row],[Produit]],tbl_ProduitsRef[Produit],0)),
   ""
)</f>
        <v/>
      </c>
      <c r="G2465" s="7">
        <f>tbl_Ventes[[#This Row],[Qté Vendue]] * IFERROR(_xlfn.XLOOKUP(tbl_Ventes[[#This Row],[Cde_Prdt]], tbl_Produits[Cde_Prdt], tbl_Produits[Prix Menu]), 0)</f>
        <v>0</v>
      </c>
      <c r="H2465" s="7">
        <f>IFERROR(_xlfn.XLOOKUP(tbl_Ventes[[#This Row],[Cde_Prdt]], tbl_Produits[Cde_Prdt], tbl_Produits[Coût Moyen Portion]), 0)</f>
        <v>0</v>
      </c>
      <c r="I2465" s="7">
        <f>tbl_Ventes[[#This Row],[Qté Vendue]] * tbl_Ventes[[#This Row],[CMP_par_portion]]</f>
        <v>0</v>
      </c>
      <c r="J2465" s="7">
        <f>tbl_Ventes[[#This Row],[CA ligne]] - tbl_Ventes[[#This Row],[Coût matière ligne]]</f>
        <v>0</v>
      </c>
      <c r="K2465" s="7" t="str">
        <f>IFERROR(INDEX(tbl_ProduitsRef[Famille], MATCH(tbl_Ventes[[#This Row],[Cde_Prdt]], tbl_Produits[Cde_Prdt], 0)), "")</f>
        <v/>
      </c>
    </row>
    <row r="2466" spans="1:11" x14ac:dyDescent="0.25">
      <c r="A2466" s="5"/>
      <c r="B2466" s="63" t="str">
        <f>IFERROR(TEXT(tbl_Ventes[[#This Row],[Date]],"mm-aaaa"),"")</f>
        <v>01-1900</v>
      </c>
      <c r="D2466" s="10" t="str">
        <f>IFERROR(
   INDEX(tbl_ProduitsRef[Cde_Prdt],MATCH(tbl_Ventes[[#This Row],[Produit]],tbl_ProduitsRef[Produit],0)),
   ""
)</f>
        <v/>
      </c>
      <c r="E2466" s="7">
        <v>0</v>
      </c>
      <c r="F2466" s="7" t="str">
        <f>IFERROR(
   INDEX(tbl_ProduitsRef[Prix Menu],MATCH(tbl_Ventes[[#This Row],[Produit]],tbl_ProduitsRef[Produit],0)),
   ""
)</f>
        <v/>
      </c>
      <c r="G2466" s="7">
        <f>tbl_Ventes[[#This Row],[Qté Vendue]] * IFERROR(_xlfn.XLOOKUP(tbl_Ventes[[#This Row],[Cde_Prdt]], tbl_Produits[Cde_Prdt], tbl_Produits[Prix Menu]), 0)</f>
        <v>0</v>
      </c>
      <c r="H2466" s="7">
        <f>IFERROR(_xlfn.XLOOKUP(tbl_Ventes[[#This Row],[Cde_Prdt]], tbl_Produits[Cde_Prdt], tbl_Produits[Coût Moyen Portion]), 0)</f>
        <v>0</v>
      </c>
      <c r="I2466" s="7">
        <f>tbl_Ventes[[#This Row],[Qté Vendue]] * tbl_Ventes[[#This Row],[CMP_par_portion]]</f>
        <v>0</v>
      </c>
      <c r="J2466" s="7">
        <f>tbl_Ventes[[#This Row],[CA ligne]] - tbl_Ventes[[#This Row],[Coût matière ligne]]</f>
        <v>0</v>
      </c>
      <c r="K2466" s="7" t="str">
        <f>IFERROR(INDEX(tbl_ProduitsRef[Famille], MATCH(tbl_Ventes[[#This Row],[Cde_Prdt]], tbl_Produits[Cde_Prdt], 0)), "")</f>
        <v/>
      </c>
    </row>
    <row r="2467" spans="1:11" x14ac:dyDescent="0.25">
      <c r="A2467" s="5"/>
      <c r="B2467" s="63" t="str">
        <f>IFERROR(TEXT(tbl_Ventes[[#This Row],[Date]],"mm-aaaa"),"")</f>
        <v>01-1900</v>
      </c>
      <c r="D2467" s="10" t="str">
        <f>IFERROR(
   INDEX(tbl_ProduitsRef[Cde_Prdt],MATCH(tbl_Ventes[[#This Row],[Produit]],tbl_ProduitsRef[Produit],0)),
   ""
)</f>
        <v/>
      </c>
      <c r="E2467" s="7">
        <v>0</v>
      </c>
      <c r="F2467" s="7" t="str">
        <f>IFERROR(
   INDEX(tbl_ProduitsRef[Prix Menu],MATCH(tbl_Ventes[[#This Row],[Produit]],tbl_ProduitsRef[Produit],0)),
   ""
)</f>
        <v/>
      </c>
      <c r="G2467" s="7">
        <f>tbl_Ventes[[#This Row],[Qté Vendue]] * IFERROR(_xlfn.XLOOKUP(tbl_Ventes[[#This Row],[Cde_Prdt]], tbl_Produits[Cde_Prdt], tbl_Produits[Prix Menu]), 0)</f>
        <v>0</v>
      </c>
      <c r="H2467" s="7">
        <f>IFERROR(_xlfn.XLOOKUP(tbl_Ventes[[#This Row],[Cde_Prdt]], tbl_Produits[Cde_Prdt], tbl_Produits[Coût Moyen Portion]), 0)</f>
        <v>0</v>
      </c>
      <c r="I2467" s="7">
        <f>tbl_Ventes[[#This Row],[Qté Vendue]] * tbl_Ventes[[#This Row],[CMP_par_portion]]</f>
        <v>0</v>
      </c>
      <c r="J2467" s="7">
        <f>tbl_Ventes[[#This Row],[CA ligne]] - tbl_Ventes[[#This Row],[Coût matière ligne]]</f>
        <v>0</v>
      </c>
      <c r="K2467" s="7" t="str">
        <f>IFERROR(INDEX(tbl_ProduitsRef[Famille], MATCH(tbl_Ventes[[#This Row],[Cde_Prdt]], tbl_Produits[Cde_Prdt], 0)), "")</f>
        <v/>
      </c>
    </row>
    <row r="2468" spans="1:11" x14ac:dyDescent="0.25">
      <c r="A2468" s="5"/>
      <c r="B2468" s="63" t="str">
        <f>IFERROR(TEXT(tbl_Ventes[[#This Row],[Date]],"mm-aaaa"),"")</f>
        <v>01-1900</v>
      </c>
      <c r="D2468" s="10" t="str">
        <f>IFERROR(
   INDEX(tbl_ProduitsRef[Cde_Prdt],MATCH(tbl_Ventes[[#This Row],[Produit]],tbl_ProduitsRef[Produit],0)),
   ""
)</f>
        <v/>
      </c>
      <c r="E2468" s="7">
        <v>0</v>
      </c>
      <c r="F2468" s="7" t="str">
        <f>IFERROR(
   INDEX(tbl_ProduitsRef[Prix Menu],MATCH(tbl_Ventes[[#This Row],[Produit]],tbl_ProduitsRef[Produit],0)),
   ""
)</f>
        <v/>
      </c>
      <c r="G2468" s="7">
        <f>tbl_Ventes[[#This Row],[Qté Vendue]] * IFERROR(_xlfn.XLOOKUP(tbl_Ventes[[#This Row],[Cde_Prdt]], tbl_Produits[Cde_Prdt], tbl_Produits[Prix Menu]), 0)</f>
        <v>0</v>
      </c>
      <c r="H2468" s="7">
        <f>IFERROR(_xlfn.XLOOKUP(tbl_Ventes[[#This Row],[Cde_Prdt]], tbl_Produits[Cde_Prdt], tbl_Produits[Coût Moyen Portion]), 0)</f>
        <v>0</v>
      </c>
      <c r="I2468" s="7">
        <f>tbl_Ventes[[#This Row],[Qté Vendue]] * tbl_Ventes[[#This Row],[CMP_par_portion]]</f>
        <v>0</v>
      </c>
      <c r="J2468" s="7">
        <f>tbl_Ventes[[#This Row],[CA ligne]] - tbl_Ventes[[#This Row],[Coût matière ligne]]</f>
        <v>0</v>
      </c>
      <c r="K2468" s="7" t="str">
        <f>IFERROR(INDEX(tbl_ProduitsRef[Famille], MATCH(tbl_Ventes[[#This Row],[Cde_Prdt]], tbl_Produits[Cde_Prdt], 0)), "")</f>
        <v/>
      </c>
    </row>
    <row r="2469" spans="1:11" x14ac:dyDescent="0.25">
      <c r="A2469" s="5"/>
      <c r="B2469" s="63" t="str">
        <f>IFERROR(TEXT(tbl_Ventes[[#This Row],[Date]],"mm-aaaa"),"")</f>
        <v>01-1900</v>
      </c>
      <c r="D2469" s="10" t="str">
        <f>IFERROR(
   INDEX(tbl_ProduitsRef[Cde_Prdt],MATCH(tbl_Ventes[[#This Row],[Produit]],tbl_ProduitsRef[Produit],0)),
   ""
)</f>
        <v/>
      </c>
      <c r="E2469" s="7">
        <v>0</v>
      </c>
      <c r="F2469" s="7" t="str">
        <f>IFERROR(
   INDEX(tbl_ProduitsRef[Prix Menu],MATCH(tbl_Ventes[[#This Row],[Produit]],tbl_ProduitsRef[Produit],0)),
   ""
)</f>
        <v/>
      </c>
      <c r="G2469" s="7">
        <f>tbl_Ventes[[#This Row],[Qté Vendue]] * IFERROR(_xlfn.XLOOKUP(tbl_Ventes[[#This Row],[Cde_Prdt]], tbl_Produits[Cde_Prdt], tbl_Produits[Prix Menu]), 0)</f>
        <v>0</v>
      </c>
      <c r="H2469" s="7">
        <f>IFERROR(_xlfn.XLOOKUP(tbl_Ventes[[#This Row],[Cde_Prdt]], tbl_Produits[Cde_Prdt], tbl_Produits[Coût Moyen Portion]), 0)</f>
        <v>0</v>
      </c>
      <c r="I2469" s="7">
        <f>tbl_Ventes[[#This Row],[Qté Vendue]] * tbl_Ventes[[#This Row],[CMP_par_portion]]</f>
        <v>0</v>
      </c>
      <c r="J2469" s="7">
        <f>tbl_Ventes[[#This Row],[CA ligne]] - tbl_Ventes[[#This Row],[Coût matière ligne]]</f>
        <v>0</v>
      </c>
      <c r="K2469" s="7" t="str">
        <f>IFERROR(INDEX(tbl_ProduitsRef[Famille], MATCH(tbl_Ventes[[#This Row],[Cde_Prdt]], tbl_Produits[Cde_Prdt], 0)), "")</f>
        <v/>
      </c>
    </row>
    <row r="2470" spans="1:11" x14ac:dyDescent="0.25">
      <c r="A2470" s="5"/>
      <c r="B2470" s="63" t="str">
        <f>IFERROR(TEXT(tbl_Ventes[[#This Row],[Date]],"mm-aaaa"),"")</f>
        <v>01-1900</v>
      </c>
      <c r="D2470" s="10" t="str">
        <f>IFERROR(
   INDEX(tbl_ProduitsRef[Cde_Prdt],MATCH(tbl_Ventes[[#This Row],[Produit]],tbl_ProduitsRef[Produit],0)),
   ""
)</f>
        <v/>
      </c>
      <c r="E2470" s="7">
        <v>0</v>
      </c>
      <c r="F2470" s="7" t="str">
        <f>IFERROR(
   INDEX(tbl_ProduitsRef[Prix Menu],MATCH(tbl_Ventes[[#This Row],[Produit]],tbl_ProduitsRef[Produit],0)),
   ""
)</f>
        <v/>
      </c>
      <c r="G2470" s="7">
        <f>tbl_Ventes[[#This Row],[Qté Vendue]] * IFERROR(_xlfn.XLOOKUP(tbl_Ventes[[#This Row],[Cde_Prdt]], tbl_Produits[Cde_Prdt], tbl_Produits[Prix Menu]), 0)</f>
        <v>0</v>
      </c>
      <c r="H2470" s="7">
        <f>IFERROR(_xlfn.XLOOKUP(tbl_Ventes[[#This Row],[Cde_Prdt]], tbl_Produits[Cde_Prdt], tbl_Produits[Coût Moyen Portion]), 0)</f>
        <v>0</v>
      </c>
      <c r="I2470" s="7">
        <f>tbl_Ventes[[#This Row],[Qté Vendue]] * tbl_Ventes[[#This Row],[CMP_par_portion]]</f>
        <v>0</v>
      </c>
      <c r="J2470" s="7">
        <f>tbl_Ventes[[#This Row],[CA ligne]] - tbl_Ventes[[#This Row],[Coût matière ligne]]</f>
        <v>0</v>
      </c>
      <c r="K2470" s="7" t="str">
        <f>IFERROR(INDEX(tbl_ProduitsRef[Famille], MATCH(tbl_Ventes[[#This Row],[Cde_Prdt]], tbl_Produits[Cde_Prdt], 0)), "")</f>
        <v/>
      </c>
    </row>
    <row r="2471" spans="1:11" x14ac:dyDescent="0.25">
      <c r="A2471" s="5"/>
      <c r="B2471" s="63" t="str">
        <f>IFERROR(TEXT(tbl_Ventes[[#This Row],[Date]],"mm-aaaa"),"")</f>
        <v>01-1900</v>
      </c>
      <c r="D2471" s="10" t="str">
        <f>IFERROR(
   INDEX(tbl_ProduitsRef[Cde_Prdt],MATCH(tbl_Ventes[[#This Row],[Produit]],tbl_ProduitsRef[Produit],0)),
   ""
)</f>
        <v/>
      </c>
      <c r="E2471" s="7">
        <v>0</v>
      </c>
      <c r="F2471" s="7" t="str">
        <f>IFERROR(
   INDEX(tbl_ProduitsRef[Prix Menu],MATCH(tbl_Ventes[[#This Row],[Produit]],tbl_ProduitsRef[Produit],0)),
   ""
)</f>
        <v/>
      </c>
      <c r="G2471" s="7">
        <f>tbl_Ventes[[#This Row],[Qté Vendue]] * IFERROR(_xlfn.XLOOKUP(tbl_Ventes[[#This Row],[Cde_Prdt]], tbl_Produits[Cde_Prdt], tbl_Produits[Prix Menu]), 0)</f>
        <v>0</v>
      </c>
      <c r="H2471" s="7">
        <f>IFERROR(_xlfn.XLOOKUP(tbl_Ventes[[#This Row],[Cde_Prdt]], tbl_Produits[Cde_Prdt], tbl_Produits[Coût Moyen Portion]), 0)</f>
        <v>0</v>
      </c>
      <c r="I2471" s="7">
        <f>tbl_Ventes[[#This Row],[Qté Vendue]] * tbl_Ventes[[#This Row],[CMP_par_portion]]</f>
        <v>0</v>
      </c>
      <c r="J2471" s="7">
        <f>tbl_Ventes[[#This Row],[CA ligne]] - tbl_Ventes[[#This Row],[Coût matière ligne]]</f>
        <v>0</v>
      </c>
      <c r="K2471" s="7" t="str">
        <f>IFERROR(INDEX(tbl_ProduitsRef[Famille], MATCH(tbl_Ventes[[#This Row],[Cde_Prdt]], tbl_Produits[Cde_Prdt], 0)), "")</f>
        <v/>
      </c>
    </row>
    <row r="2472" spans="1:11" x14ac:dyDescent="0.25">
      <c r="A2472" s="5"/>
      <c r="B2472" s="63" t="str">
        <f>IFERROR(TEXT(tbl_Ventes[[#This Row],[Date]],"mm-aaaa"),"")</f>
        <v>01-1900</v>
      </c>
      <c r="D2472" s="10" t="str">
        <f>IFERROR(
   INDEX(tbl_ProduitsRef[Cde_Prdt],MATCH(tbl_Ventes[[#This Row],[Produit]],tbl_ProduitsRef[Produit],0)),
   ""
)</f>
        <v/>
      </c>
      <c r="E2472" s="7">
        <v>0</v>
      </c>
      <c r="F2472" s="7" t="str">
        <f>IFERROR(
   INDEX(tbl_ProduitsRef[Prix Menu],MATCH(tbl_Ventes[[#This Row],[Produit]],tbl_ProduitsRef[Produit],0)),
   ""
)</f>
        <v/>
      </c>
      <c r="G2472" s="7">
        <f>tbl_Ventes[[#This Row],[Qté Vendue]] * IFERROR(_xlfn.XLOOKUP(tbl_Ventes[[#This Row],[Cde_Prdt]], tbl_Produits[Cde_Prdt], tbl_Produits[Prix Menu]), 0)</f>
        <v>0</v>
      </c>
      <c r="H2472" s="7">
        <f>IFERROR(_xlfn.XLOOKUP(tbl_Ventes[[#This Row],[Cde_Prdt]], tbl_Produits[Cde_Prdt], tbl_Produits[Coût Moyen Portion]), 0)</f>
        <v>0</v>
      </c>
      <c r="I2472" s="7">
        <f>tbl_Ventes[[#This Row],[Qté Vendue]] * tbl_Ventes[[#This Row],[CMP_par_portion]]</f>
        <v>0</v>
      </c>
      <c r="J2472" s="7">
        <f>tbl_Ventes[[#This Row],[CA ligne]] - tbl_Ventes[[#This Row],[Coût matière ligne]]</f>
        <v>0</v>
      </c>
      <c r="K2472" s="7" t="str">
        <f>IFERROR(INDEX(tbl_ProduitsRef[Famille], MATCH(tbl_Ventes[[#This Row],[Cde_Prdt]], tbl_Produits[Cde_Prdt], 0)), "")</f>
        <v/>
      </c>
    </row>
    <row r="2473" spans="1:11" x14ac:dyDescent="0.25">
      <c r="A2473" s="5"/>
      <c r="B2473" s="63" t="str">
        <f>IFERROR(TEXT(tbl_Ventes[[#This Row],[Date]],"mm-aaaa"),"")</f>
        <v>01-1900</v>
      </c>
      <c r="D2473" s="10" t="str">
        <f>IFERROR(
   INDEX(tbl_ProduitsRef[Cde_Prdt],MATCH(tbl_Ventes[[#This Row],[Produit]],tbl_ProduitsRef[Produit],0)),
   ""
)</f>
        <v/>
      </c>
      <c r="E2473" s="7">
        <v>0</v>
      </c>
      <c r="F2473" s="7" t="str">
        <f>IFERROR(
   INDEX(tbl_ProduitsRef[Prix Menu],MATCH(tbl_Ventes[[#This Row],[Produit]],tbl_ProduitsRef[Produit],0)),
   ""
)</f>
        <v/>
      </c>
      <c r="G2473" s="7">
        <f>tbl_Ventes[[#This Row],[Qté Vendue]] * IFERROR(_xlfn.XLOOKUP(tbl_Ventes[[#This Row],[Cde_Prdt]], tbl_Produits[Cde_Prdt], tbl_Produits[Prix Menu]), 0)</f>
        <v>0</v>
      </c>
      <c r="H2473" s="7">
        <f>IFERROR(_xlfn.XLOOKUP(tbl_Ventes[[#This Row],[Cde_Prdt]], tbl_Produits[Cde_Prdt], tbl_Produits[Coût Moyen Portion]), 0)</f>
        <v>0</v>
      </c>
      <c r="I2473" s="7">
        <f>tbl_Ventes[[#This Row],[Qté Vendue]] * tbl_Ventes[[#This Row],[CMP_par_portion]]</f>
        <v>0</v>
      </c>
      <c r="J2473" s="7">
        <f>tbl_Ventes[[#This Row],[CA ligne]] - tbl_Ventes[[#This Row],[Coût matière ligne]]</f>
        <v>0</v>
      </c>
      <c r="K2473" s="7" t="str">
        <f>IFERROR(INDEX(tbl_ProduitsRef[Famille], MATCH(tbl_Ventes[[#This Row],[Cde_Prdt]], tbl_Produits[Cde_Prdt], 0)), "")</f>
        <v/>
      </c>
    </row>
    <row r="2474" spans="1:11" x14ac:dyDescent="0.25">
      <c r="A2474" s="5"/>
      <c r="B2474" s="63" t="str">
        <f>IFERROR(TEXT(tbl_Ventes[[#This Row],[Date]],"mm-aaaa"),"")</f>
        <v>01-1900</v>
      </c>
      <c r="D2474" s="10" t="str">
        <f>IFERROR(
   INDEX(tbl_ProduitsRef[Cde_Prdt],MATCH(tbl_Ventes[[#This Row],[Produit]],tbl_ProduitsRef[Produit],0)),
   ""
)</f>
        <v/>
      </c>
      <c r="E2474" s="7">
        <v>0</v>
      </c>
      <c r="F2474" s="7" t="str">
        <f>IFERROR(
   INDEX(tbl_ProduitsRef[Prix Menu],MATCH(tbl_Ventes[[#This Row],[Produit]],tbl_ProduitsRef[Produit],0)),
   ""
)</f>
        <v/>
      </c>
      <c r="G2474" s="7">
        <f>tbl_Ventes[[#This Row],[Qté Vendue]] * IFERROR(_xlfn.XLOOKUP(tbl_Ventes[[#This Row],[Cde_Prdt]], tbl_Produits[Cde_Prdt], tbl_Produits[Prix Menu]), 0)</f>
        <v>0</v>
      </c>
      <c r="H2474" s="7">
        <f>IFERROR(_xlfn.XLOOKUP(tbl_Ventes[[#This Row],[Cde_Prdt]], tbl_Produits[Cde_Prdt], tbl_Produits[Coût Moyen Portion]), 0)</f>
        <v>0</v>
      </c>
      <c r="I2474" s="7">
        <f>tbl_Ventes[[#This Row],[Qté Vendue]] * tbl_Ventes[[#This Row],[CMP_par_portion]]</f>
        <v>0</v>
      </c>
      <c r="J2474" s="7">
        <f>tbl_Ventes[[#This Row],[CA ligne]] - tbl_Ventes[[#This Row],[Coût matière ligne]]</f>
        <v>0</v>
      </c>
      <c r="K2474" s="7" t="str">
        <f>IFERROR(INDEX(tbl_ProduitsRef[Famille], MATCH(tbl_Ventes[[#This Row],[Cde_Prdt]], tbl_Produits[Cde_Prdt], 0)), "")</f>
        <v/>
      </c>
    </row>
    <row r="2475" spans="1:11" x14ac:dyDescent="0.25">
      <c r="A2475" s="5"/>
      <c r="B2475" s="63" t="str">
        <f>IFERROR(TEXT(tbl_Ventes[[#This Row],[Date]],"mm-aaaa"),"")</f>
        <v>01-1900</v>
      </c>
      <c r="D2475" s="10" t="str">
        <f>IFERROR(
   INDEX(tbl_ProduitsRef[Cde_Prdt],MATCH(tbl_Ventes[[#This Row],[Produit]],tbl_ProduitsRef[Produit],0)),
   ""
)</f>
        <v/>
      </c>
      <c r="E2475" s="7">
        <v>0</v>
      </c>
      <c r="F2475" s="7" t="str">
        <f>IFERROR(
   INDEX(tbl_ProduitsRef[Prix Menu],MATCH(tbl_Ventes[[#This Row],[Produit]],tbl_ProduitsRef[Produit],0)),
   ""
)</f>
        <v/>
      </c>
      <c r="G2475" s="7">
        <f>tbl_Ventes[[#This Row],[Qté Vendue]] * IFERROR(_xlfn.XLOOKUP(tbl_Ventes[[#This Row],[Cde_Prdt]], tbl_Produits[Cde_Prdt], tbl_Produits[Prix Menu]), 0)</f>
        <v>0</v>
      </c>
      <c r="H2475" s="7">
        <f>IFERROR(_xlfn.XLOOKUP(tbl_Ventes[[#This Row],[Cde_Prdt]], tbl_Produits[Cde_Prdt], tbl_Produits[Coût Moyen Portion]), 0)</f>
        <v>0</v>
      </c>
      <c r="I2475" s="7">
        <f>tbl_Ventes[[#This Row],[Qté Vendue]] * tbl_Ventes[[#This Row],[CMP_par_portion]]</f>
        <v>0</v>
      </c>
      <c r="J2475" s="7">
        <f>tbl_Ventes[[#This Row],[CA ligne]] - tbl_Ventes[[#This Row],[Coût matière ligne]]</f>
        <v>0</v>
      </c>
      <c r="K2475" s="7" t="str">
        <f>IFERROR(INDEX(tbl_ProduitsRef[Famille], MATCH(tbl_Ventes[[#This Row],[Cde_Prdt]], tbl_Produits[Cde_Prdt], 0)), "")</f>
        <v/>
      </c>
    </row>
    <row r="2476" spans="1:11" x14ac:dyDescent="0.25">
      <c r="A2476" s="5"/>
      <c r="B2476" s="63" t="str">
        <f>IFERROR(TEXT(tbl_Ventes[[#This Row],[Date]],"mm-aaaa"),"")</f>
        <v>01-1900</v>
      </c>
      <c r="D2476" s="10" t="str">
        <f>IFERROR(
   INDEX(tbl_ProduitsRef[Cde_Prdt],MATCH(tbl_Ventes[[#This Row],[Produit]],tbl_ProduitsRef[Produit],0)),
   ""
)</f>
        <v/>
      </c>
      <c r="E2476" s="7">
        <v>0</v>
      </c>
      <c r="F2476" s="7" t="str">
        <f>IFERROR(
   INDEX(tbl_ProduitsRef[Prix Menu],MATCH(tbl_Ventes[[#This Row],[Produit]],tbl_ProduitsRef[Produit],0)),
   ""
)</f>
        <v/>
      </c>
      <c r="G2476" s="7">
        <f>tbl_Ventes[[#This Row],[Qté Vendue]] * IFERROR(_xlfn.XLOOKUP(tbl_Ventes[[#This Row],[Cde_Prdt]], tbl_Produits[Cde_Prdt], tbl_Produits[Prix Menu]), 0)</f>
        <v>0</v>
      </c>
      <c r="H2476" s="7">
        <f>IFERROR(_xlfn.XLOOKUP(tbl_Ventes[[#This Row],[Cde_Prdt]], tbl_Produits[Cde_Prdt], tbl_Produits[Coût Moyen Portion]), 0)</f>
        <v>0</v>
      </c>
      <c r="I2476" s="7">
        <f>tbl_Ventes[[#This Row],[Qté Vendue]] * tbl_Ventes[[#This Row],[CMP_par_portion]]</f>
        <v>0</v>
      </c>
      <c r="J2476" s="7">
        <f>tbl_Ventes[[#This Row],[CA ligne]] - tbl_Ventes[[#This Row],[Coût matière ligne]]</f>
        <v>0</v>
      </c>
      <c r="K2476" s="7" t="str">
        <f>IFERROR(INDEX(tbl_ProduitsRef[Famille], MATCH(tbl_Ventes[[#This Row],[Cde_Prdt]], tbl_Produits[Cde_Prdt], 0)), "")</f>
        <v/>
      </c>
    </row>
    <row r="2477" spans="1:11" x14ac:dyDescent="0.25">
      <c r="A2477" s="5"/>
      <c r="B2477" s="63" t="str">
        <f>IFERROR(TEXT(tbl_Ventes[[#This Row],[Date]],"mm-aaaa"),"")</f>
        <v>01-1900</v>
      </c>
      <c r="D2477" s="10" t="str">
        <f>IFERROR(
   INDEX(tbl_ProduitsRef[Cde_Prdt],MATCH(tbl_Ventes[[#This Row],[Produit]],tbl_ProduitsRef[Produit],0)),
   ""
)</f>
        <v/>
      </c>
      <c r="E2477" s="7">
        <v>0</v>
      </c>
      <c r="F2477" s="7" t="str">
        <f>IFERROR(
   INDEX(tbl_ProduitsRef[Prix Menu],MATCH(tbl_Ventes[[#This Row],[Produit]],tbl_ProduitsRef[Produit],0)),
   ""
)</f>
        <v/>
      </c>
      <c r="G2477" s="7">
        <f>tbl_Ventes[[#This Row],[Qté Vendue]] * IFERROR(_xlfn.XLOOKUP(tbl_Ventes[[#This Row],[Cde_Prdt]], tbl_Produits[Cde_Prdt], tbl_Produits[Prix Menu]), 0)</f>
        <v>0</v>
      </c>
      <c r="H2477" s="7">
        <f>IFERROR(_xlfn.XLOOKUP(tbl_Ventes[[#This Row],[Cde_Prdt]], tbl_Produits[Cde_Prdt], tbl_Produits[Coût Moyen Portion]), 0)</f>
        <v>0</v>
      </c>
      <c r="I2477" s="7">
        <f>tbl_Ventes[[#This Row],[Qté Vendue]] * tbl_Ventes[[#This Row],[CMP_par_portion]]</f>
        <v>0</v>
      </c>
      <c r="J2477" s="7">
        <f>tbl_Ventes[[#This Row],[CA ligne]] - tbl_Ventes[[#This Row],[Coût matière ligne]]</f>
        <v>0</v>
      </c>
      <c r="K2477" s="7" t="str">
        <f>IFERROR(INDEX(tbl_ProduitsRef[Famille], MATCH(tbl_Ventes[[#This Row],[Cde_Prdt]], tbl_Produits[Cde_Prdt], 0)), "")</f>
        <v/>
      </c>
    </row>
    <row r="2478" spans="1:11" x14ac:dyDescent="0.25">
      <c r="A2478" s="5"/>
      <c r="B2478" s="63" t="str">
        <f>IFERROR(TEXT(tbl_Ventes[[#This Row],[Date]],"mm-aaaa"),"")</f>
        <v>01-1900</v>
      </c>
      <c r="D2478" s="10" t="str">
        <f>IFERROR(
   INDEX(tbl_ProduitsRef[Cde_Prdt],MATCH(tbl_Ventes[[#This Row],[Produit]],tbl_ProduitsRef[Produit],0)),
   ""
)</f>
        <v/>
      </c>
      <c r="E2478" s="7">
        <v>0</v>
      </c>
      <c r="F2478" s="7" t="str">
        <f>IFERROR(
   INDEX(tbl_ProduitsRef[Prix Menu],MATCH(tbl_Ventes[[#This Row],[Produit]],tbl_ProduitsRef[Produit],0)),
   ""
)</f>
        <v/>
      </c>
      <c r="G2478" s="7">
        <f>tbl_Ventes[[#This Row],[Qté Vendue]] * IFERROR(_xlfn.XLOOKUP(tbl_Ventes[[#This Row],[Cde_Prdt]], tbl_Produits[Cde_Prdt], tbl_Produits[Prix Menu]), 0)</f>
        <v>0</v>
      </c>
      <c r="H2478" s="7">
        <f>IFERROR(_xlfn.XLOOKUP(tbl_Ventes[[#This Row],[Cde_Prdt]], tbl_Produits[Cde_Prdt], tbl_Produits[Coût Moyen Portion]), 0)</f>
        <v>0</v>
      </c>
      <c r="I2478" s="7">
        <f>tbl_Ventes[[#This Row],[Qté Vendue]] * tbl_Ventes[[#This Row],[CMP_par_portion]]</f>
        <v>0</v>
      </c>
      <c r="J2478" s="7">
        <f>tbl_Ventes[[#This Row],[CA ligne]] - tbl_Ventes[[#This Row],[Coût matière ligne]]</f>
        <v>0</v>
      </c>
      <c r="K2478" s="7" t="str">
        <f>IFERROR(INDEX(tbl_ProduitsRef[Famille], MATCH(tbl_Ventes[[#This Row],[Cde_Prdt]], tbl_Produits[Cde_Prdt], 0)), "")</f>
        <v/>
      </c>
    </row>
    <row r="2479" spans="1:11" x14ac:dyDescent="0.25">
      <c r="A2479" s="5"/>
      <c r="B2479" s="63" t="str">
        <f>IFERROR(TEXT(tbl_Ventes[[#This Row],[Date]],"mm-aaaa"),"")</f>
        <v>01-1900</v>
      </c>
      <c r="D2479" s="10" t="str">
        <f>IFERROR(
   INDEX(tbl_ProduitsRef[Cde_Prdt],MATCH(tbl_Ventes[[#This Row],[Produit]],tbl_ProduitsRef[Produit],0)),
   ""
)</f>
        <v/>
      </c>
      <c r="E2479" s="7">
        <v>0</v>
      </c>
      <c r="F2479" s="7" t="str">
        <f>IFERROR(
   INDEX(tbl_ProduitsRef[Prix Menu],MATCH(tbl_Ventes[[#This Row],[Produit]],tbl_ProduitsRef[Produit],0)),
   ""
)</f>
        <v/>
      </c>
      <c r="G2479" s="7">
        <f>tbl_Ventes[[#This Row],[Qté Vendue]] * IFERROR(_xlfn.XLOOKUP(tbl_Ventes[[#This Row],[Cde_Prdt]], tbl_Produits[Cde_Prdt], tbl_Produits[Prix Menu]), 0)</f>
        <v>0</v>
      </c>
      <c r="H2479" s="7">
        <f>IFERROR(_xlfn.XLOOKUP(tbl_Ventes[[#This Row],[Cde_Prdt]], tbl_Produits[Cde_Prdt], tbl_Produits[Coût Moyen Portion]), 0)</f>
        <v>0</v>
      </c>
      <c r="I2479" s="7">
        <f>tbl_Ventes[[#This Row],[Qté Vendue]] * tbl_Ventes[[#This Row],[CMP_par_portion]]</f>
        <v>0</v>
      </c>
      <c r="J2479" s="7">
        <f>tbl_Ventes[[#This Row],[CA ligne]] - tbl_Ventes[[#This Row],[Coût matière ligne]]</f>
        <v>0</v>
      </c>
      <c r="K2479" s="7" t="str">
        <f>IFERROR(INDEX(tbl_ProduitsRef[Famille], MATCH(tbl_Ventes[[#This Row],[Cde_Prdt]], tbl_Produits[Cde_Prdt], 0)), "")</f>
        <v/>
      </c>
    </row>
    <row r="2480" spans="1:11" x14ac:dyDescent="0.25">
      <c r="A2480" s="5"/>
      <c r="B2480" s="63" t="str">
        <f>IFERROR(TEXT(tbl_Ventes[[#This Row],[Date]],"mm-aaaa"),"")</f>
        <v>01-1900</v>
      </c>
      <c r="D2480" s="10" t="str">
        <f>IFERROR(
   INDEX(tbl_ProduitsRef[Cde_Prdt],MATCH(tbl_Ventes[[#This Row],[Produit]],tbl_ProduitsRef[Produit],0)),
   ""
)</f>
        <v/>
      </c>
      <c r="E2480" s="7">
        <v>0</v>
      </c>
      <c r="F2480" s="7" t="str">
        <f>IFERROR(
   INDEX(tbl_ProduitsRef[Prix Menu],MATCH(tbl_Ventes[[#This Row],[Produit]],tbl_ProduitsRef[Produit],0)),
   ""
)</f>
        <v/>
      </c>
      <c r="G2480" s="7">
        <f>tbl_Ventes[[#This Row],[Qté Vendue]] * IFERROR(_xlfn.XLOOKUP(tbl_Ventes[[#This Row],[Cde_Prdt]], tbl_Produits[Cde_Prdt], tbl_Produits[Prix Menu]), 0)</f>
        <v>0</v>
      </c>
      <c r="H2480" s="7">
        <f>IFERROR(_xlfn.XLOOKUP(tbl_Ventes[[#This Row],[Cde_Prdt]], tbl_Produits[Cde_Prdt], tbl_Produits[Coût Moyen Portion]), 0)</f>
        <v>0</v>
      </c>
      <c r="I2480" s="7">
        <f>tbl_Ventes[[#This Row],[Qté Vendue]] * tbl_Ventes[[#This Row],[CMP_par_portion]]</f>
        <v>0</v>
      </c>
      <c r="J2480" s="7">
        <f>tbl_Ventes[[#This Row],[CA ligne]] - tbl_Ventes[[#This Row],[Coût matière ligne]]</f>
        <v>0</v>
      </c>
      <c r="K2480" s="7" t="str">
        <f>IFERROR(INDEX(tbl_ProduitsRef[Famille], MATCH(tbl_Ventes[[#This Row],[Cde_Prdt]], tbl_Produits[Cde_Prdt], 0)), "")</f>
        <v/>
      </c>
    </row>
    <row r="2481" spans="1:11" x14ac:dyDescent="0.25">
      <c r="A2481" s="5"/>
      <c r="B2481" s="63" t="str">
        <f>IFERROR(TEXT(tbl_Ventes[[#This Row],[Date]],"mm-aaaa"),"")</f>
        <v>01-1900</v>
      </c>
      <c r="D2481" s="10" t="str">
        <f>IFERROR(
   INDEX(tbl_ProduitsRef[Cde_Prdt],MATCH(tbl_Ventes[[#This Row],[Produit]],tbl_ProduitsRef[Produit],0)),
   ""
)</f>
        <v/>
      </c>
      <c r="E2481" s="7">
        <v>0</v>
      </c>
      <c r="F2481" s="7" t="str">
        <f>IFERROR(
   INDEX(tbl_ProduitsRef[Prix Menu],MATCH(tbl_Ventes[[#This Row],[Produit]],tbl_ProduitsRef[Produit],0)),
   ""
)</f>
        <v/>
      </c>
      <c r="G2481" s="7">
        <f>tbl_Ventes[[#This Row],[Qté Vendue]] * IFERROR(_xlfn.XLOOKUP(tbl_Ventes[[#This Row],[Cde_Prdt]], tbl_Produits[Cde_Prdt], tbl_Produits[Prix Menu]), 0)</f>
        <v>0</v>
      </c>
      <c r="H2481" s="7">
        <f>IFERROR(_xlfn.XLOOKUP(tbl_Ventes[[#This Row],[Cde_Prdt]], tbl_Produits[Cde_Prdt], tbl_Produits[Coût Moyen Portion]), 0)</f>
        <v>0</v>
      </c>
      <c r="I2481" s="7">
        <f>tbl_Ventes[[#This Row],[Qté Vendue]] * tbl_Ventes[[#This Row],[CMP_par_portion]]</f>
        <v>0</v>
      </c>
      <c r="J2481" s="7">
        <f>tbl_Ventes[[#This Row],[CA ligne]] - tbl_Ventes[[#This Row],[Coût matière ligne]]</f>
        <v>0</v>
      </c>
      <c r="K2481" s="7" t="str">
        <f>IFERROR(INDEX(tbl_ProduitsRef[Famille], MATCH(tbl_Ventes[[#This Row],[Cde_Prdt]], tbl_Produits[Cde_Prdt], 0)), "")</f>
        <v/>
      </c>
    </row>
    <row r="2482" spans="1:11" x14ac:dyDescent="0.25">
      <c r="A2482" s="5"/>
      <c r="B2482" s="63" t="str">
        <f>IFERROR(TEXT(tbl_Ventes[[#This Row],[Date]],"mm-aaaa"),"")</f>
        <v>01-1900</v>
      </c>
      <c r="D2482" s="10" t="str">
        <f>IFERROR(
   INDEX(tbl_ProduitsRef[Cde_Prdt],MATCH(tbl_Ventes[[#This Row],[Produit]],tbl_ProduitsRef[Produit],0)),
   ""
)</f>
        <v/>
      </c>
      <c r="E2482" s="7">
        <v>0</v>
      </c>
      <c r="F2482" s="7" t="str">
        <f>IFERROR(
   INDEX(tbl_ProduitsRef[Prix Menu],MATCH(tbl_Ventes[[#This Row],[Produit]],tbl_ProduitsRef[Produit],0)),
   ""
)</f>
        <v/>
      </c>
      <c r="G2482" s="7">
        <f>tbl_Ventes[[#This Row],[Qté Vendue]] * IFERROR(_xlfn.XLOOKUP(tbl_Ventes[[#This Row],[Cde_Prdt]], tbl_Produits[Cde_Prdt], tbl_Produits[Prix Menu]), 0)</f>
        <v>0</v>
      </c>
      <c r="H2482" s="7">
        <f>IFERROR(_xlfn.XLOOKUP(tbl_Ventes[[#This Row],[Cde_Prdt]], tbl_Produits[Cde_Prdt], tbl_Produits[Coût Moyen Portion]), 0)</f>
        <v>0</v>
      </c>
      <c r="I2482" s="7">
        <f>tbl_Ventes[[#This Row],[Qté Vendue]] * tbl_Ventes[[#This Row],[CMP_par_portion]]</f>
        <v>0</v>
      </c>
      <c r="J2482" s="7">
        <f>tbl_Ventes[[#This Row],[CA ligne]] - tbl_Ventes[[#This Row],[Coût matière ligne]]</f>
        <v>0</v>
      </c>
      <c r="K2482" s="7" t="str">
        <f>IFERROR(INDEX(tbl_ProduitsRef[Famille], MATCH(tbl_Ventes[[#This Row],[Cde_Prdt]], tbl_Produits[Cde_Prdt], 0)), "")</f>
        <v/>
      </c>
    </row>
    <row r="2483" spans="1:11" x14ac:dyDescent="0.25">
      <c r="A2483" s="5"/>
      <c r="B2483" s="63" t="str">
        <f>IFERROR(TEXT(tbl_Ventes[[#This Row],[Date]],"mm-aaaa"),"")</f>
        <v>01-1900</v>
      </c>
      <c r="D2483" s="10" t="str">
        <f>IFERROR(
   INDEX(tbl_ProduitsRef[Cde_Prdt],MATCH(tbl_Ventes[[#This Row],[Produit]],tbl_ProduitsRef[Produit],0)),
   ""
)</f>
        <v/>
      </c>
      <c r="E2483" s="7">
        <v>0</v>
      </c>
      <c r="F2483" s="7" t="str">
        <f>IFERROR(
   INDEX(tbl_ProduitsRef[Prix Menu],MATCH(tbl_Ventes[[#This Row],[Produit]],tbl_ProduitsRef[Produit],0)),
   ""
)</f>
        <v/>
      </c>
      <c r="G2483" s="7">
        <f>tbl_Ventes[[#This Row],[Qté Vendue]] * IFERROR(_xlfn.XLOOKUP(tbl_Ventes[[#This Row],[Cde_Prdt]], tbl_Produits[Cde_Prdt], tbl_Produits[Prix Menu]), 0)</f>
        <v>0</v>
      </c>
      <c r="H2483" s="7">
        <f>IFERROR(_xlfn.XLOOKUP(tbl_Ventes[[#This Row],[Cde_Prdt]], tbl_Produits[Cde_Prdt], tbl_Produits[Coût Moyen Portion]), 0)</f>
        <v>0</v>
      </c>
      <c r="I2483" s="7">
        <f>tbl_Ventes[[#This Row],[Qté Vendue]] * tbl_Ventes[[#This Row],[CMP_par_portion]]</f>
        <v>0</v>
      </c>
      <c r="J2483" s="7">
        <f>tbl_Ventes[[#This Row],[CA ligne]] - tbl_Ventes[[#This Row],[Coût matière ligne]]</f>
        <v>0</v>
      </c>
      <c r="K2483" s="7" t="str">
        <f>IFERROR(INDEX(tbl_ProduitsRef[Famille], MATCH(tbl_Ventes[[#This Row],[Cde_Prdt]], tbl_Produits[Cde_Prdt], 0)), "")</f>
        <v/>
      </c>
    </row>
    <row r="2484" spans="1:11" x14ac:dyDescent="0.25">
      <c r="A2484" s="5"/>
      <c r="B2484" s="63" t="str">
        <f>IFERROR(TEXT(tbl_Ventes[[#This Row],[Date]],"mm-aaaa"),"")</f>
        <v>01-1900</v>
      </c>
      <c r="D2484" s="10" t="str">
        <f>IFERROR(
   INDEX(tbl_ProduitsRef[Cde_Prdt],MATCH(tbl_Ventes[[#This Row],[Produit]],tbl_ProduitsRef[Produit],0)),
   ""
)</f>
        <v/>
      </c>
      <c r="E2484" s="7">
        <v>0</v>
      </c>
      <c r="F2484" s="7" t="str">
        <f>IFERROR(
   INDEX(tbl_ProduitsRef[Prix Menu],MATCH(tbl_Ventes[[#This Row],[Produit]],tbl_ProduitsRef[Produit],0)),
   ""
)</f>
        <v/>
      </c>
      <c r="G2484" s="7">
        <f>tbl_Ventes[[#This Row],[Qté Vendue]] * IFERROR(_xlfn.XLOOKUP(tbl_Ventes[[#This Row],[Cde_Prdt]], tbl_Produits[Cde_Prdt], tbl_Produits[Prix Menu]), 0)</f>
        <v>0</v>
      </c>
      <c r="H2484" s="7">
        <f>IFERROR(_xlfn.XLOOKUP(tbl_Ventes[[#This Row],[Cde_Prdt]], tbl_Produits[Cde_Prdt], tbl_Produits[Coût Moyen Portion]), 0)</f>
        <v>0</v>
      </c>
      <c r="I2484" s="7">
        <f>tbl_Ventes[[#This Row],[Qté Vendue]] * tbl_Ventes[[#This Row],[CMP_par_portion]]</f>
        <v>0</v>
      </c>
      <c r="J2484" s="7">
        <f>tbl_Ventes[[#This Row],[CA ligne]] - tbl_Ventes[[#This Row],[Coût matière ligne]]</f>
        <v>0</v>
      </c>
      <c r="K2484" s="7" t="str">
        <f>IFERROR(INDEX(tbl_ProduitsRef[Famille], MATCH(tbl_Ventes[[#This Row],[Cde_Prdt]], tbl_Produits[Cde_Prdt], 0)), "")</f>
        <v/>
      </c>
    </row>
    <row r="2485" spans="1:11" x14ac:dyDescent="0.25">
      <c r="A2485" s="5"/>
      <c r="B2485" s="63" t="str">
        <f>IFERROR(TEXT(tbl_Ventes[[#This Row],[Date]],"mm-aaaa"),"")</f>
        <v>01-1900</v>
      </c>
      <c r="D2485" s="10" t="str">
        <f>IFERROR(
   INDEX(tbl_ProduitsRef[Cde_Prdt],MATCH(tbl_Ventes[[#This Row],[Produit]],tbl_ProduitsRef[Produit],0)),
   ""
)</f>
        <v/>
      </c>
      <c r="E2485" s="7">
        <v>0</v>
      </c>
      <c r="F2485" s="7" t="str">
        <f>IFERROR(
   INDEX(tbl_ProduitsRef[Prix Menu],MATCH(tbl_Ventes[[#This Row],[Produit]],tbl_ProduitsRef[Produit],0)),
   ""
)</f>
        <v/>
      </c>
      <c r="G2485" s="7">
        <f>tbl_Ventes[[#This Row],[Qté Vendue]] * IFERROR(_xlfn.XLOOKUP(tbl_Ventes[[#This Row],[Cde_Prdt]], tbl_Produits[Cde_Prdt], tbl_Produits[Prix Menu]), 0)</f>
        <v>0</v>
      </c>
      <c r="H2485" s="7">
        <f>IFERROR(_xlfn.XLOOKUP(tbl_Ventes[[#This Row],[Cde_Prdt]], tbl_Produits[Cde_Prdt], tbl_Produits[Coût Moyen Portion]), 0)</f>
        <v>0</v>
      </c>
      <c r="I2485" s="7">
        <f>tbl_Ventes[[#This Row],[Qté Vendue]] * tbl_Ventes[[#This Row],[CMP_par_portion]]</f>
        <v>0</v>
      </c>
      <c r="J2485" s="7">
        <f>tbl_Ventes[[#This Row],[CA ligne]] - tbl_Ventes[[#This Row],[Coût matière ligne]]</f>
        <v>0</v>
      </c>
      <c r="K2485" s="7" t="str">
        <f>IFERROR(INDEX(tbl_ProduitsRef[Famille], MATCH(tbl_Ventes[[#This Row],[Cde_Prdt]], tbl_Produits[Cde_Prdt], 0)), "")</f>
        <v/>
      </c>
    </row>
    <row r="2486" spans="1:11" x14ac:dyDescent="0.25">
      <c r="A2486" s="5"/>
      <c r="B2486" s="63" t="str">
        <f>IFERROR(TEXT(tbl_Ventes[[#This Row],[Date]],"mm-aaaa"),"")</f>
        <v>01-1900</v>
      </c>
      <c r="D2486" s="10" t="str">
        <f>IFERROR(
   INDEX(tbl_ProduitsRef[Cde_Prdt],MATCH(tbl_Ventes[[#This Row],[Produit]],tbl_ProduitsRef[Produit],0)),
   ""
)</f>
        <v/>
      </c>
      <c r="E2486" s="7">
        <v>0</v>
      </c>
      <c r="F2486" s="7" t="str">
        <f>IFERROR(
   INDEX(tbl_ProduitsRef[Prix Menu],MATCH(tbl_Ventes[[#This Row],[Produit]],tbl_ProduitsRef[Produit],0)),
   ""
)</f>
        <v/>
      </c>
      <c r="G2486" s="7">
        <f>tbl_Ventes[[#This Row],[Qté Vendue]] * IFERROR(_xlfn.XLOOKUP(tbl_Ventes[[#This Row],[Cde_Prdt]], tbl_Produits[Cde_Prdt], tbl_Produits[Prix Menu]), 0)</f>
        <v>0</v>
      </c>
      <c r="H2486" s="7">
        <f>IFERROR(_xlfn.XLOOKUP(tbl_Ventes[[#This Row],[Cde_Prdt]], tbl_Produits[Cde_Prdt], tbl_Produits[Coût Moyen Portion]), 0)</f>
        <v>0</v>
      </c>
      <c r="I2486" s="7">
        <f>tbl_Ventes[[#This Row],[Qté Vendue]] * tbl_Ventes[[#This Row],[CMP_par_portion]]</f>
        <v>0</v>
      </c>
      <c r="J2486" s="7">
        <f>tbl_Ventes[[#This Row],[CA ligne]] - tbl_Ventes[[#This Row],[Coût matière ligne]]</f>
        <v>0</v>
      </c>
      <c r="K2486" s="7" t="str">
        <f>IFERROR(INDEX(tbl_ProduitsRef[Famille], MATCH(tbl_Ventes[[#This Row],[Cde_Prdt]], tbl_Produits[Cde_Prdt], 0)), "")</f>
        <v/>
      </c>
    </row>
    <row r="2487" spans="1:11" x14ac:dyDescent="0.25">
      <c r="A2487" s="5"/>
      <c r="B2487" s="63" t="str">
        <f>IFERROR(TEXT(tbl_Ventes[[#This Row],[Date]],"mm-aaaa"),"")</f>
        <v>01-1900</v>
      </c>
      <c r="D2487" s="10" t="str">
        <f>IFERROR(
   INDEX(tbl_ProduitsRef[Cde_Prdt],MATCH(tbl_Ventes[[#This Row],[Produit]],tbl_ProduitsRef[Produit],0)),
   ""
)</f>
        <v/>
      </c>
      <c r="E2487" s="7">
        <v>0</v>
      </c>
      <c r="F2487" s="7" t="str">
        <f>IFERROR(
   INDEX(tbl_ProduitsRef[Prix Menu],MATCH(tbl_Ventes[[#This Row],[Produit]],tbl_ProduitsRef[Produit],0)),
   ""
)</f>
        <v/>
      </c>
      <c r="G2487" s="7">
        <f>tbl_Ventes[[#This Row],[Qté Vendue]] * IFERROR(_xlfn.XLOOKUP(tbl_Ventes[[#This Row],[Cde_Prdt]], tbl_Produits[Cde_Prdt], tbl_Produits[Prix Menu]), 0)</f>
        <v>0</v>
      </c>
      <c r="H2487" s="7">
        <f>IFERROR(_xlfn.XLOOKUP(tbl_Ventes[[#This Row],[Cde_Prdt]], tbl_Produits[Cde_Prdt], tbl_Produits[Coût Moyen Portion]), 0)</f>
        <v>0</v>
      </c>
      <c r="I2487" s="7">
        <f>tbl_Ventes[[#This Row],[Qté Vendue]] * tbl_Ventes[[#This Row],[CMP_par_portion]]</f>
        <v>0</v>
      </c>
      <c r="J2487" s="7">
        <f>tbl_Ventes[[#This Row],[CA ligne]] - tbl_Ventes[[#This Row],[Coût matière ligne]]</f>
        <v>0</v>
      </c>
      <c r="K2487" s="7" t="str">
        <f>IFERROR(INDEX(tbl_ProduitsRef[Famille], MATCH(tbl_Ventes[[#This Row],[Cde_Prdt]], tbl_Produits[Cde_Prdt], 0)), "")</f>
        <v/>
      </c>
    </row>
    <row r="2488" spans="1:11" x14ac:dyDescent="0.25">
      <c r="A2488" s="5"/>
      <c r="B2488" s="63" t="str">
        <f>IFERROR(TEXT(tbl_Ventes[[#This Row],[Date]],"mm-aaaa"),"")</f>
        <v>01-1900</v>
      </c>
      <c r="D2488" s="10" t="str">
        <f>IFERROR(
   INDEX(tbl_ProduitsRef[Cde_Prdt],MATCH(tbl_Ventes[[#This Row],[Produit]],tbl_ProduitsRef[Produit],0)),
   ""
)</f>
        <v/>
      </c>
      <c r="E2488" s="7">
        <v>0</v>
      </c>
      <c r="F2488" s="7" t="str">
        <f>IFERROR(
   INDEX(tbl_ProduitsRef[Prix Menu],MATCH(tbl_Ventes[[#This Row],[Produit]],tbl_ProduitsRef[Produit],0)),
   ""
)</f>
        <v/>
      </c>
      <c r="G2488" s="7">
        <f>tbl_Ventes[[#This Row],[Qté Vendue]] * IFERROR(_xlfn.XLOOKUP(tbl_Ventes[[#This Row],[Cde_Prdt]], tbl_Produits[Cde_Prdt], tbl_Produits[Prix Menu]), 0)</f>
        <v>0</v>
      </c>
      <c r="H2488" s="7">
        <f>IFERROR(_xlfn.XLOOKUP(tbl_Ventes[[#This Row],[Cde_Prdt]], tbl_Produits[Cde_Prdt], tbl_Produits[Coût Moyen Portion]), 0)</f>
        <v>0</v>
      </c>
      <c r="I2488" s="7">
        <f>tbl_Ventes[[#This Row],[Qté Vendue]] * tbl_Ventes[[#This Row],[CMP_par_portion]]</f>
        <v>0</v>
      </c>
      <c r="J2488" s="7">
        <f>tbl_Ventes[[#This Row],[CA ligne]] - tbl_Ventes[[#This Row],[Coût matière ligne]]</f>
        <v>0</v>
      </c>
      <c r="K2488" s="7" t="str">
        <f>IFERROR(INDEX(tbl_ProduitsRef[Famille], MATCH(tbl_Ventes[[#This Row],[Cde_Prdt]], tbl_Produits[Cde_Prdt], 0)), "")</f>
        <v/>
      </c>
    </row>
    <row r="2489" spans="1:11" x14ac:dyDescent="0.25">
      <c r="A2489" s="5"/>
      <c r="B2489" s="63" t="str">
        <f>IFERROR(TEXT(tbl_Ventes[[#This Row],[Date]],"mm-aaaa"),"")</f>
        <v>01-1900</v>
      </c>
      <c r="D2489" s="10" t="str">
        <f>IFERROR(
   INDEX(tbl_ProduitsRef[Cde_Prdt],MATCH(tbl_Ventes[[#This Row],[Produit]],tbl_ProduitsRef[Produit],0)),
   ""
)</f>
        <v/>
      </c>
      <c r="E2489" s="7">
        <v>0</v>
      </c>
      <c r="F2489" s="7" t="str">
        <f>IFERROR(
   INDEX(tbl_ProduitsRef[Prix Menu],MATCH(tbl_Ventes[[#This Row],[Produit]],tbl_ProduitsRef[Produit],0)),
   ""
)</f>
        <v/>
      </c>
      <c r="G2489" s="7">
        <f>tbl_Ventes[[#This Row],[Qté Vendue]] * IFERROR(_xlfn.XLOOKUP(tbl_Ventes[[#This Row],[Cde_Prdt]], tbl_Produits[Cde_Prdt], tbl_Produits[Prix Menu]), 0)</f>
        <v>0</v>
      </c>
      <c r="H2489" s="7">
        <f>IFERROR(_xlfn.XLOOKUP(tbl_Ventes[[#This Row],[Cde_Prdt]], tbl_Produits[Cde_Prdt], tbl_Produits[Coût Moyen Portion]), 0)</f>
        <v>0</v>
      </c>
      <c r="I2489" s="7">
        <f>tbl_Ventes[[#This Row],[Qté Vendue]] * tbl_Ventes[[#This Row],[CMP_par_portion]]</f>
        <v>0</v>
      </c>
      <c r="J2489" s="7">
        <f>tbl_Ventes[[#This Row],[CA ligne]] - tbl_Ventes[[#This Row],[Coût matière ligne]]</f>
        <v>0</v>
      </c>
      <c r="K2489" s="7" t="str">
        <f>IFERROR(INDEX(tbl_ProduitsRef[Famille], MATCH(tbl_Ventes[[#This Row],[Cde_Prdt]], tbl_Produits[Cde_Prdt], 0)), "")</f>
        <v/>
      </c>
    </row>
    <row r="2490" spans="1:11" x14ac:dyDescent="0.25">
      <c r="A2490" s="5"/>
      <c r="B2490" s="63" t="str">
        <f>IFERROR(TEXT(tbl_Ventes[[#This Row],[Date]],"mm-aaaa"),"")</f>
        <v>01-1900</v>
      </c>
      <c r="D2490" s="10" t="str">
        <f>IFERROR(
   INDEX(tbl_ProduitsRef[Cde_Prdt],MATCH(tbl_Ventes[[#This Row],[Produit]],tbl_ProduitsRef[Produit],0)),
   ""
)</f>
        <v/>
      </c>
      <c r="E2490" s="7">
        <v>0</v>
      </c>
      <c r="F2490" s="7" t="str">
        <f>IFERROR(
   INDEX(tbl_ProduitsRef[Prix Menu],MATCH(tbl_Ventes[[#This Row],[Produit]],tbl_ProduitsRef[Produit],0)),
   ""
)</f>
        <v/>
      </c>
      <c r="G2490" s="7">
        <f>tbl_Ventes[[#This Row],[Qté Vendue]] * IFERROR(_xlfn.XLOOKUP(tbl_Ventes[[#This Row],[Cde_Prdt]], tbl_Produits[Cde_Prdt], tbl_Produits[Prix Menu]), 0)</f>
        <v>0</v>
      </c>
      <c r="H2490" s="7">
        <f>IFERROR(_xlfn.XLOOKUP(tbl_Ventes[[#This Row],[Cde_Prdt]], tbl_Produits[Cde_Prdt], tbl_Produits[Coût Moyen Portion]), 0)</f>
        <v>0</v>
      </c>
      <c r="I2490" s="7">
        <f>tbl_Ventes[[#This Row],[Qté Vendue]] * tbl_Ventes[[#This Row],[CMP_par_portion]]</f>
        <v>0</v>
      </c>
      <c r="J2490" s="7">
        <f>tbl_Ventes[[#This Row],[CA ligne]] - tbl_Ventes[[#This Row],[Coût matière ligne]]</f>
        <v>0</v>
      </c>
      <c r="K2490" s="7" t="str">
        <f>IFERROR(INDEX(tbl_ProduitsRef[Famille], MATCH(tbl_Ventes[[#This Row],[Cde_Prdt]], tbl_Produits[Cde_Prdt], 0)), "")</f>
        <v/>
      </c>
    </row>
    <row r="2491" spans="1:11" x14ac:dyDescent="0.25">
      <c r="A2491" s="5"/>
      <c r="B2491" s="63" t="str">
        <f>IFERROR(TEXT(tbl_Ventes[[#This Row],[Date]],"mm-aaaa"),"")</f>
        <v>01-1900</v>
      </c>
      <c r="D2491" s="10" t="str">
        <f>IFERROR(
   INDEX(tbl_ProduitsRef[Cde_Prdt],MATCH(tbl_Ventes[[#This Row],[Produit]],tbl_ProduitsRef[Produit],0)),
   ""
)</f>
        <v/>
      </c>
      <c r="E2491" s="7">
        <v>0</v>
      </c>
      <c r="F2491" s="7" t="str">
        <f>IFERROR(
   INDEX(tbl_ProduitsRef[Prix Menu],MATCH(tbl_Ventes[[#This Row],[Produit]],tbl_ProduitsRef[Produit],0)),
   ""
)</f>
        <v/>
      </c>
      <c r="G2491" s="7">
        <f>tbl_Ventes[[#This Row],[Qté Vendue]] * IFERROR(_xlfn.XLOOKUP(tbl_Ventes[[#This Row],[Cde_Prdt]], tbl_Produits[Cde_Prdt], tbl_Produits[Prix Menu]), 0)</f>
        <v>0</v>
      </c>
      <c r="H2491" s="7">
        <f>IFERROR(_xlfn.XLOOKUP(tbl_Ventes[[#This Row],[Cde_Prdt]], tbl_Produits[Cde_Prdt], tbl_Produits[Coût Moyen Portion]), 0)</f>
        <v>0</v>
      </c>
      <c r="I2491" s="7">
        <f>tbl_Ventes[[#This Row],[Qté Vendue]] * tbl_Ventes[[#This Row],[CMP_par_portion]]</f>
        <v>0</v>
      </c>
      <c r="J2491" s="7">
        <f>tbl_Ventes[[#This Row],[CA ligne]] - tbl_Ventes[[#This Row],[Coût matière ligne]]</f>
        <v>0</v>
      </c>
      <c r="K2491" s="7" t="str">
        <f>IFERROR(INDEX(tbl_ProduitsRef[Famille], MATCH(tbl_Ventes[[#This Row],[Cde_Prdt]], tbl_Produits[Cde_Prdt], 0)), "")</f>
        <v/>
      </c>
    </row>
    <row r="2492" spans="1:11" x14ac:dyDescent="0.25">
      <c r="A2492" s="5"/>
      <c r="B2492" s="63" t="str">
        <f>IFERROR(TEXT(tbl_Ventes[[#This Row],[Date]],"mm-aaaa"),"")</f>
        <v>01-1900</v>
      </c>
      <c r="D2492" s="10" t="str">
        <f>IFERROR(
   INDEX(tbl_ProduitsRef[Cde_Prdt],MATCH(tbl_Ventes[[#This Row],[Produit]],tbl_ProduitsRef[Produit],0)),
   ""
)</f>
        <v/>
      </c>
      <c r="E2492" s="7">
        <v>0</v>
      </c>
      <c r="F2492" s="7" t="str">
        <f>IFERROR(
   INDEX(tbl_ProduitsRef[Prix Menu],MATCH(tbl_Ventes[[#This Row],[Produit]],tbl_ProduitsRef[Produit],0)),
   ""
)</f>
        <v/>
      </c>
      <c r="G2492" s="7">
        <f>tbl_Ventes[[#This Row],[Qté Vendue]] * IFERROR(_xlfn.XLOOKUP(tbl_Ventes[[#This Row],[Cde_Prdt]], tbl_Produits[Cde_Prdt], tbl_Produits[Prix Menu]), 0)</f>
        <v>0</v>
      </c>
      <c r="H2492" s="7">
        <f>IFERROR(_xlfn.XLOOKUP(tbl_Ventes[[#This Row],[Cde_Prdt]], tbl_Produits[Cde_Prdt], tbl_Produits[Coût Moyen Portion]), 0)</f>
        <v>0</v>
      </c>
      <c r="I2492" s="7">
        <f>tbl_Ventes[[#This Row],[Qté Vendue]] * tbl_Ventes[[#This Row],[CMP_par_portion]]</f>
        <v>0</v>
      </c>
      <c r="J2492" s="7">
        <f>tbl_Ventes[[#This Row],[CA ligne]] - tbl_Ventes[[#This Row],[Coût matière ligne]]</f>
        <v>0</v>
      </c>
      <c r="K2492" s="7" t="str">
        <f>IFERROR(INDEX(tbl_ProduitsRef[Famille], MATCH(tbl_Ventes[[#This Row],[Cde_Prdt]], tbl_Produits[Cde_Prdt], 0)), "")</f>
        <v/>
      </c>
    </row>
    <row r="2493" spans="1:11" x14ac:dyDescent="0.25">
      <c r="A2493" s="5"/>
      <c r="B2493" s="63" t="str">
        <f>IFERROR(TEXT(tbl_Ventes[[#This Row],[Date]],"mm-aaaa"),"")</f>
        <v>01-1900</v>
      </c>
      <c r="D2493" s="10" t="str">
        <f>IFERROR(
   INDEX(tbl_ProduitsRef[Cde_Prdt],MATCH(tbl_Ventes[[#This Row],[Produit]],tbl_ProduitsRef[Produit],0)),
   ""
)</f>
        <v/>
      </c>
      <c r="E2493" s="7">
        <v>0</v>
      </c>
      <c r="F2493" s="7" t="str">
        <f>IFERROR(
   INDEX(tbl_ProduitsRef[Prix Menu],MATCH(tbl_Ventes[[#This Row],[Produit]],tbl_ProduitsRef[Produit],0)),
   ""
)</f>
        <v/>
      </c>
      <c r="G2493" s="7">
        <f>tbl_Ventes[[#This Row],[Qté Vendue]] * IFERROR(_xlfn.XLOOKUP(tbl_Ventes[[#This Row],[Cde_Prdt]], tbl_Produits[Cde_Prdt], tbl_Produits[Prix Menu]), 0)</f>
        <v>0</v>
      </c>
      <c r="H2493" s="7">
        <f>IFERROR(_xlfn.XLOOKUP(tbl_Ventes[[#This Row],[Cde_Prdt]], tbl_Produits[Cde_Prdt], tbl_Produits[Coût Moyen Portion]), 0)</f>
        <v>0</v>
      </c>
      <c r="I2493" s="7">
        <f>tbl_Ventes[[#This Row],[Qté Vendue]] * tbl_Ventes[[#This Row],[CMP_par_portion]]</f>
        <v>0</v>
      </c>
      <c r="J2493" s="7">
        <f>tbl_Ventes[[#This Row],[CA ligne]] - tbl_Ventes[[#This Row],[Coût matière ligne]]</f>
        <v>0</v>
      </c>
      <c r="K2493" s="7" t="str">
        <f>IFERROR(INDEX(tbl_ProduitsRef[Famille], MATCH(tbl_Ventes[[#This Row],[Cde_Prdt]], tbl_Produits[Cde_Prdt], 0)), "")</f>
        <v/>
      </c>
    </row>
    <row r="2494" spans="1:11" x14ac:dyDescent="0.25">
      <c r="A2494" s="5"/>
      <c r="B2494" s="63" t="str">
        <f>IFERROR(TEXT(tbl_Ventes[[#This Row],[Date]],"mm-aaaa"),"")</f>
        <v>01-1900</v>
      </c>
      <c r="D2494" s="10" t="str">
        <f>IFERROR(
   INDEX(tbl_ProduitsRef[Cde_Prdt],MATCH(tbl_Ventes[[#This Row],[Produit]],tbl_ProduitsRef[Produit],0)),
   ""
)</f>
        <v/>
      </c>
      <c r="E2494" s="7">
        <v>0</v>
      </c>
      <c r="F2494" s="7" t="str">
        <f>IFERROR(
   INDEX(tbl_ProduitsRef[Prix Menu],MATCH(tbl_Ventes[[#This Row],[Produit]],tbl_ProduitsRef[Produit],0)),
   ""
)</f>
        <v/>
      </c>
      <c r="G2494" s="7">
        <f>tbl_Ventes[[#This Row],[Qté Vendue]] * IFERROR(_xlfn.XLOOKUP(tbl_Ventes[[#This Row],[Cde_Prdt]], tbl_Produits[Cde_Prdt], tbl_Produits[Prix Menu]), 0)</f>
        <v>0</v>
      </c>
      <c r="H2494" s="7">
        <f>IFERROR(_xlfn.XLOOKUP(tbl_Ventes[[#This Row],[Cde_Prdt]], tbl_Produits[Cde_Prdt], tbl_Produits[Coût Moyen Portion]), 0)</f>
        <v>0</v>
      </c>
      <c r="I2494" s="7">
        <f>tbl_Ventes[[#This Row],[Qté Vendue]] * tbl_Ventes[[#This Row],[CMP_par_portion]]</f>
        <v>0</v>
      </c>
      <c r="J2494" s="7">
        <f>tbl_Ventes[[#This Row],[CA ligne]] - tbl_Ventes[[#This Row],[Coût matière ligne]]</f>
        <v>0</v>
      </c>
      <c r="K2494" s="7" t="str">
        <f>IFERROR(INDEX(tbl_ProduitsRef[Famille], MATCH(tbl_Ventes[[#This Row],[Cde_Prdt]], tbl_Produits[Cde_Prdt], 0)), "")</f>
        <v/>
      </c>
    </row>
    <row r="2495" spans="1:11" x14ac:dyDescent="0.25">
      <c r="A2495" s="5"/>
      <c r="B2495" s="63" t="str">
        <f>IFERROR(TEXT(tbl_Ventes[[#This Row],[Date]],"mm-aaaa"),"")</f>
        <v>01-1900</v>
      </c>
      <c r="D2495" s="10" t="str">
        <f>IFERROR(
   INDEX(tbl_ProduitsRef[Cde_Prdt],MATCH(tbl_Ventes[[#This Row],[Produit]],tbl_ProduitsRef[Produit],0)),
   ""
)</f>
        <v/>
      </c>
      <c r="E2495" s="7">
        <v>0</v>
      </c>
      <c r="F2495" s="7" t="str">
        <f>IFERROR(
   INDEX(tbl_ProduitsRef[Prix Menu],MATCH(tbl_Ventes[[#This Row],[Produit]],tbl_ProduitsRef[Produit],0)),
   ""
)</f>
        <v/>
      </c>
      <c r="G2495" s="7">
        <f>tbl_Ventes[[#This Row],[Qté Vendue]] * IFERROR(_xlfn.XLOOKUP(tbl_Ventes[[#This Row],[Cde_Prdt]], tbl_Produits[Cde_Prdt], tbl_Produits[Prix Menu]), 0)</f>
        <v>0</v>
      </c>
      <c r="H2495" s="7">
        <f>IFERROR(_xlfn.XLOOKUP(tbl_Ventes[[#This Row],[Cde_Prdt]], tbl_Produits[Cde_Prdt], tbl_Produits[Coût Moyen Portion]), 0)</f>
        <v>0</v>
      </c>
      <c r="I2495" s="7">
        <f>tbl_Ventes[[#This Row],[Qté Vendue]] * tbl_Ventes[[#This Row],[CMP_par_portion]]</f>
        <v>0</v>
      </c>
      <c r="J2495" s="7">
        <f>tbl_Ventes[[#This Row],[CA ligne]] - tbl_Ventes[[#This Row],[Coût matière ligne]]</f>
        <v>0</v>
      </c>
      <c r="K2495" s="7" t="str">
        <f>IFERROR(INDEX(tbl_ProduitsRef[Famille], MATCH(tbl_Ventes[[#This Row],[Cde_Prdt]], tbl_Produits[Cde_Prdt], 0)), "")</f>
        <v/>
      </c>
    </row>
    <row r="2496" spans="1:11" x14ac:dyDescent="0.25">
      <c r="A2496" s="5"/>
      <c r="B2496" s="63" t="str">
        <f>IFERROR(TEXT(tbl_Ventes[[#This Row],[Date]],"mm-aaaa"),"")</f>
        <v>01-1900</v>
      </c>
      <c r="D2496" s="10" t="str">
        <f>IFERROR(
   INDEX(tbl_ProduitsRef[Cde_Prdt],MATCH(tbl_Ventes[[#This Row],[Produit]],tbl_ProduitsRef[Produit],0)),
   ""
)</f>
        <v/>
      </c>
      <c r="E2496" s="7">
        <v>0</v>
      </c>
      <c r="F2496" s="7" t="str">
        <f>IFERROR(
   INDEX(tbl_ProduitsRef[Prix Menu],MATCH(tbl_Ventes[[#This Row],[Produit]],tbl_ProduitsRef[Produit],0)),
   ""
)</f>
        <v/>
      </c>
      <c r="G2496" s="7">
        <f>tbl_Ventes[[#This Row],[Qté Vendue]] * IFERROR(_xlfn.XLOOKUP(tbl_Ventes[[#This Row],[Cde_Prdt]], tbl_Produits[Cde_Prdt], tbl_Produits[Prix Menu]), 0)</f>
        <v>0</v>
      </c>
      <c r="H2496" s="7">
        <f>IFERROR(_xlfn.XLOOKUP(tbl_Ventes[[#This Row],[Cde_Prdt]], tbl_Produits[Cde_Prdt], tbl_Produits[Coût Moyen Portion]), 0)</f>
        <v>0</v>
      </c>
      <c r="I2496" s="7">
        <f>tbl_Ventes[[#This Row],[Qté Vendue]] * tbl_Ventes[[#This Row],[CMP_par_portion]]</f>
        <v>0</v>
      </c>
      <c r="J2496" s="7">
        <f>tbl_Ventes[[#This Row],[CA ligne]] - tbl_Ventes[[#This Row],[Coût matière ligne]]</f>
        <v>0</v>
      </c>
      <c r="K2496" s="7" t="str">
        <f>IFERROR(INDEX(tbl_ProduitsRef[Famille], MATCH(tbl_Ventes[[#This Row],[Cde_Prdt]], tbl_Produits[Cde_Prdt], 0)), "")</f>
        <v/>
      </c>
    </row>
    <row r="2497" spans="1:11" x14ac:dyDescent="0.25">
      <c r="A2497" s="5"/>
      <c r="B2497" s="63" t="str">
        <f>IFERROR(TEXT(tbl_Ventes[[#This Row],[Date]],"mm-aaaa"),"")</f>
        <v>01-1900</v>
      </c>
      <c r="D2497" s="10" t="str">
        <f>IFERROR(
   INDEX(tbl_ProduitsRef[Cde_Prdt],MATCH(tbl_Ventes[[#This Row],[Produit]],tbl_ProduitsRef[Produit],0)),
   ""
)</f>
        <v/>
      </c>
      <c r="E2497" s="7">
        <v>0</v>
      </c>
      <c r="F2497" s="7" t="str">
        <f>IFERROR(
   INDEX(tbl_ProduitsRef[Prix Menu],MATCH(tbl_Ventes[[#This Row],[Produit]],tbl_ProduitsRef[Produit],0)),
   ""
)</f>
        <v/>
      </c>
      <c r="G2497" s="7">
        <f>tbl_Ventes[[#This Row],[Qté Vendue]] * IFERROR(_xlfn.XLOOKUP(tbl_Ventes[[#This Row],[Cde_Prdt]], tbl_Produits[Cde_Prdt], tbl_Produits[Prix Menu]), 0)</f>
        <v>0</v>
      </c>
      <c r="H2497" s="7">
        <f>IFERROR(_xlfn.XLOOKUP(tbl_Ventes[[#This Row],[Cde_Prdt]], tbl_Produits[Cde_Prdt], tbl_Produits[Coût Moyen Portion]), 0)</f>
        <v>0</v>
      </c>
      <c r="I2497" s="7">
        <f>tbl_Ventes[[#This Row],[Qté Vendue]] * tbl_Ventes[[#This Row],[CMP_par_portion]]</f>
        <v>0</v>
      </c>
      <c r="J2497" s="7">
        <f>tbl_Ventes[[#This Row],[CA ligne]] - tbl_Ventes[[#This Row],[Coût matière ligne]]</f>
        <v>0</v>
      </c>
      <c r="K2497" s="7" t="str">
        <f>IFERROR(INDEX(tbl_ProduitsRef[Famille], MATCH(tbl_Ventes[[#This Row],[Cde_Prdt]], tbl_Produits[Cde_Prdt], 0)), "")</f>
        <v/>
      </c>
    </row>
    <row r="2498" spans="1:11" x14ac:dyDescent="0.25">
      <c r="A2498" s="5"/>
      <c r="B2498" s="63" t="str">
        <f>IFERROR(TEXT(tbl_Ventes[[#This Row],[Date]],"mm-aaaa"),"")</f>
        <v>01-1900</v>
      </c>
      <c r="D2498" s="10" t="str">
        <f>IFERROR(
   INDEX(tbl_ProduitsRef[Cde_Prdt],MATCH(tbl_Ventes[[#This Row],[Produit]],tbl_ProduitsRef[Produit],0)),
   ""
)</f>
        <v/>
      </c>
      <c r="E2498" s="7">
        <v>0</v>
      </c>
      <c r="F2498" s="7" t="str">
        <f>IFERROR(
   INDEX(tbl_ProduitsRef[Prix Menu],MATCH(tbl_Ventes[[#This Row],[Produit]],tbl_ProduitsRef[Produit],0)),
   ""
)</f>
        <v/>
      </c>
      <c r="G2498" s="7">
        <f>tbl_Ventes[[#This Row],[Qté Vendue]] * IFERROR(_xlfn.XLOOKUP(tbl_Ventes[[#This Row],[Cde_Prdt]], tbl_Produits[Cde_Prdt], tbl_Produits[Prix Menu]), 0)</f>
        <v>0</v>
      </c>
      <c r="H2498" s="7">
        <f>IFERROR(_xlfn.XLOOKUP(tbl_Ventes[[#This Row],[Cde_Prdt]], tbl_Produits[Cde_Prdt], tbl_Produits[Coût Moyen Portion]), 0)</f>
        <v>0</v>
      </c>
      <c r="I2498" s="7">
        <f>tbl_Ventes[[#This Row],[Qté Vendue]] * tbl_Ventes[[#This Row],[CMP_par_portion]]</f>
        <v>0</v>
      </c>
      <c r="J2498" s="7">
        <f>tbl_Ventes[[#This Row],[CA ligne]] - tbl_Ventes[[#This Row],[Coût matière ligne]]</f>
        <v>0</v>
      </c>
      <c r="K2498" s="7" t="str">
        <f>IFERROR(INDEX(tbl_ProduitsRef[Famille], MATCH(tbl_Ventes[[#This Row],[Cde_Prdt]], tbl_Produits[Cde_Prdt], 0)), "")</f>
        <v/>
      </c>
    </row>
    <row r="2499" spans="1:11" x14ac:dyDescent="0.25">
      <c r="A2499" s="5"/>
      <c r="B2499" s="63" t="str">
        <f>IFERROR(TEXT(tbl_Ventes[[#This Row],[Date]],"mm-aaaa"),"")</f>
        <v>01-1900</v>
      </c>
      <c r="D2499" s="10" t="str">
        <f>IFERROR(
   INDEX(tbl_ProduitsRef[Cde_Prdt],MATCH(tbl_Ventes[[#This Row],[Produit]],tbl_ProduitsRef[Produit],0)),
   ""
)</f>
        <v/>
      </c>
      <c r="E2499" s="7">
        <v>0</v>
      </c>
      <c r="F2499" s="7" t="str">
        <f>IFERROR(
   INDEX(tbl_ProduitsRef[Prix Menu],MATCH(tbl_Ventes[[#This Row],[Produit]],tbl_ProduitsRef[Produit],0)),
   ""
)</f>
        <v/>
      </c>
      <c r="G2499" s="7">
        <f>tbl_Ventes[[#This Row],[Qté Vendue]] * IFERROR(_xlfn.XLOOKUP(tbl_Ventes[[#This Row],[Cde_Prdt]], tbl_Produits[Cde_Prdt], tbl_Produits[Prix Menu]), 0)</f>
        <v>0</v>
      </c>
      <c r="H2499" s="7">
        <f>IFERROR(_xlfn.XLOOKUP(tbl_Ventes[[#This Row],[Cde_Prdt]], tbl_Produits[Cde_Prdt], tbl_Produits[Coût Moyen Portion]), 0)</f>
        <v>0</v>
      </c>
      <c r="I2499" s="7">
        <f>tbl_Ventes[[#This Row],[Qté Vendue]] * tbl_Ventes[[#This Row],[CMP_par_portion]]</f>
        <v>0</v>
      </c>
      <c r="J2499" s="7">
        <f>tbl_Ventes[[#This Row],[CA ligne]] - tbl_Ventes[[#This Row],[Coût matière ligne]]</f>
        <v>0</v>
      </c>
      <c r="K2499" s="7" t="str">
        <f>IFERROR(INDEX(tbl_ProduitsRef[Famille], MATCH(tbl_Ventes[[#This Row],[Cde_Prdt]], tbl_Produits[Cde_Prdt], 0)), "")</f>
        <v/>
      </c>
    </row>
    <row r="2500" spans="1:11" x14ac:dyDescent="0.25">
      <c r="A2500" s="5"/>
      <c r="B2500" s="63" t="str">
        <f>IFERROR(TEXT(tbl_Ventes[[#This Row],[Date]],"mm-aaaa"),"")</f>
        <v>01-1900</v>
      </c>
      <c r="D2500" s="10" t="str">
        <f>IFERROR(
   INDEX(tbl_ProduitsRef[Cde_Prdt],MATCH(tbl_Ventes[[#This Row],[Produit]],tbl_ProduitsRef[Produit],0)),
   ""
)</f>
        <v/>
      </c>
      <c r="E2500" s="7">
        <v>0</v>
      </c>
      <c r="F2500" s="7" t="str">
        <f>IFERROR(
   INDEX(tbl_ProduitsRef[Prix Menu],MATCH(tbl_Ventes[[#This Row],[Produit]],tbl_ProduitsRef[Produit],0)),
   ""
)</f>
        <v/>
      </c>
      <c r="G2500" s="7">
        <f>tbl_Ventes[[#This Row],[Qté Vendue]] * IFERROR(_xlfn.XLOOKUP(tbl_Ventes[[#This Row],[Cde_Prdt]], tbl_Produits[Cde_Prdt], tbl_Produits[Prix Menu]), 0)</f>
        <v>0</v>
      </c>
      <c r="H2500" s="7">
        <f>IFERROR(_xlfn.XLOOKUP(tbl_Ventes[[#This Row],[Cde_Prdt]], tbl_Produits[Cde_Prdt], tbl_Produits[Coût Moyen Portion]), 0)</f>
        <v>0</v>
      </c>
      <c r="I2500" s="7">
        <f>tbl_Ventes[[#This Row],[Qté Vendue]] * tbl_Ventes[[#This Row],[CMP_par_portion]]</f>
        <v>0</v>
      </c>
      <c r="J2500" s="7">
        <f>tbl_Ventes[[#This Row],[CA ligne]] - tbl_Ventes[[#This Row],[Coût matière ligne]]</f>
        <v>0</v>
      </c>
      <c r="K2500" s="7" t="str">
        <f>IFERROR(INDEX(tbl_ProduitsRef[Famille], MATCH(tbl_Ventes[[#This Row],[Cde_Prdt]], tbl_Produits[Cde_Prdt], 0)), "")</f>
        <v/>
      </c>
    </row>
    <row r="2501" spans="1:11" x14ac:dyDescent="0.25">
      <c r="A2501" s="5"/>
      <c r="B2501" s="63" t="str">
        <f>IFERROR(TEXT(tbl_Ventes[[#This Row],[Date]],"mm-aaaa"),"")</f>
        <v>01-1900</v>
      </c>
      <c r="D2501" s="10" t="str">
        <f>IFERROR(
   INDEX(tbl_ProduitsRef[Cde_Prdt],MATCH(tbl_Ventes[[#This Row],[Produit]],tbl_ProduitsRef[Produit],0)),
   ""
)</f>
        <v/>
      </c>
      <c r="E2501" s="7">
        <v>0</v>
      </c>
      <c r="F2501" s="7" t="str">
        <f>IFERROR(
   INDEX(tbl_ProduitsRef[Prix Menu],MATCH(tbl_Ventes[[#This Row],[Produit]],tbl_ProduitsRef[Produit],0)),
   ""
)</f>
        <v/>
      </c>
      <c r="G2501" s="7">
        <f>tbl_Ventes[[#This Row],[Qté Vendue]] * IFERROR(_xlfn.XLOOKUP(tbl_Ventes[[#This Row],[Cde_Prdt]], tbl_Produits[Cde_Prdt], tbl_Produits[Prix Menu]), 0)</f>
        <v>0</v>
      </c>
      <c r="H2501" s="7">
        <f>IFERROR(_xlfn.XLOOKUP(tbl_Ventes[[#This Row],[Cde_Prdt]], tbl_Produits[Cde_Prdt], tbl_Produits[Coût Moyen Portion]), 0)</f>
        <v>0</v>
      </c>
      <c r="I2501" s="7">
        <f>tbl_Ventes[[#This Row],[Qté Vendue]] * tbl_Ventes[[#This Row],[CMP_par_portion]]</f>
        <v>0</v>
      </c>
      <c r="J2501" s="7">
        <f>tbl_Ventes[[#This Row],[CA ligne]] - tbl_Ventes[[#This Row],[Coût matière ligne]]</f>
        <v>0</v>
      </c>
      <c r="K2501" s="7" t="str">
        <f>IFERROR(INDEX(tbl_ProduitsRef[Famille], MATCH(tbl_Ventes[[#This Row],[Cde_Prdt]], tbl_Produits[Cde_Prdt], 0)), "")</f>
        <v/>
      </c>
    </row>
    <row r="2502" spans="1:11" x14ac:dyDescent="0.25">
      <c r="A2502" s="5"/>
      <c r="B2502" s="63" t="str">
        <f>IFERROR(TEXT(tbl_Ventes[[#This Row],[Date]],"mm-aaaa"),"")</f>
        <v>01-1900</v>
      </c>
      <c r="D2502" s="10" t="str">
        <f>IFERROR(
   INDEX(tbl_ProduitsRef[Cde_Prdt],MATCH(tbl_Ventes[[#This Row],[Produit]],tbl_ProduitsRef[Produit],0)),
   ""
)</f>
        <v/>
      </c>
      <c r="E2502" s="7">
        <v>0</v>
      </c>
      <c r="F2502" s="7" t="str">
        <f>IFERROR(
   INDEX(tbl_ProduitsRef[Prix Menu],MATCH(tbl_Ventes[[#This Row],[Produit]],tbl_ProduitsRef[Produit],0)),
   ""
)</f>
        <v/>
      </c>
      <c r="G2502" s="7">
        <f>tbl_Ventes[[#This Row],[Qté Vendue]] * IFERROR(_xlfn.XLOOKUP(tbl_Ventes[[#This Row],[Cde_Prdt]], tbl_Produits[Cde_Prdt], tbl_Produits[Prix Menu]), 0)</f>
        <v>0</v>
      </c>
      <c r="H2502" s="7">
        <f>IFERROR(_xlfn.XLOOKUP(tbl_Ventes[[#This Row],[Cde_Prdt]], tbl_Produits[Cde_Prdt], tbl_Produits[Coût Moyen Portion]), 0)</f>
        <v>0</v>
      </c>
      <c r="I2502" s="7">
        <f>tbl_Ventes[[#This Row],[Qté Vendue]] * tbl_Ventes[[#This Row],[CMP_par_portion]]</f>
        <v>0</v>
      </c>
      <c r="J2502" s="7">
        <f>tbl_Ventes[[#This Row],[CA ligne]] - tbl_Ventes[[#This Row],[Coût matière ligne]]</f>
        <v>0</v>
      </c>
      <c r="K2502" s="7" t="str">
        <f>IFERROR(INDEX(tbl_ProduitsRef[Famille], MATCH(tbl_Ventes[[#This Row],[Cde_Prdt]], tbl_Produits[Cde_Prdt], 0)), "")</f>
        <v/>
      </c>
    </row>
    <row r="2503" spans="1:11" x14ac:dyDescent="0.25">
      <c r="A2503" s="5"/>
      <c r="B2503" s="63" t="str">
        <f>IFERROR(TEXT(tbl_Ventes[[#This Row],[Date]],"mm-aaaa"),"")</f>
        <v>01-1900</v>
      </c>
      <c r="D2503" s="10" t="str">
        <f>IFERROR(
   INDEX(tbl_ProduitsRef[Cde_Prdt],MATCH(tbl_Ventes[[#This Row],[Produit]],tbl_ProduitsRef[Produit],0)),
   ""
)</f>
        <v/>
      </c>
      <c r="E2503" s="7">
        <v>0</v>
      </c>
      <c r="F2503" s="7" t="str">
        <f>IFERROR(
   INDEX(tbl_ProduitsRef[Prix Menu],MATCH(tbl_Ventes[[#This Row],[Produit]],tbl_ProduitsRef[Produit],0)),
   ""
)</f>
        <v/>
      </c>
      <c r="G2503" s="7">
        <f>tbl_Ventes[[#This Row],[Qté Vendue]] * IFERROR(_xlfn.XLOOKUP(tbl_Ventes[[#This Row],[Cde_Prdt]], tbl_Produits[Cde_Prdt], tbl_Produits[Prix Menu]), 0)</f>
        <v>0</v>
      </c>
      <c r="H2503" s="7">
        <f>IFERROR(_xlfn.XLOOKUP(tbl_Ventes[[#This Row],[Cde_Prdt]], tbl_Produits[Cde_Prdt], tbl_Produits[Coût Moyen Portion]), 0)</f>
        <v>0</v>
      </c>
      <c r="I2503" s="7">
        <f>tbl_Ventes[[#This Row],[Qté Vendue]] * tbl_Ventes[[#This Row],[CMP_par_portion]]</f>
        <v>0</v>
      </c>
      <c r="J2503" s="7">
        <f>tbl_Ventes[[#This Row],[CA ligne]] - tbl_Ventes[[#This Row],[Coût matière ligne]]</f>
        <v>0</v>
      </c>
      <c r="K2503" s="7" t="str">
        <f>IFERROR(INDEX(tbl_ProduitsRef[Famille], MATCH(tbl_Ventes[[#This Row],[Cde_Prdt]], tbl_Produits[Cde_Prdt], 0)), "")</f>
        <v/>
      </c>
    </row>
    <row r="2504" spans="1:11" x14ac:dyDescent="0.25">
      <c r="A2504" s="5"/>
      <c r="B2504" s="63" t="str">
        <f>IFERROR(TEXT(tbl_Ventes[[#This Row],[Date]],"mm-aaaa"),"")</f>
        <v>01-1900</v>
      </c>
      <c r="D2504" s="10" t="str">
        <f>IFERROR(
   INDEX(tbl_ProduitsRef[Cde_Prdt],MATCH(tbl_Ventes[[#This Row],[Produit]],tbl_ProduitsRef[Produit],0)),
   ""
)</f>
        <v/>
      </c>
      <c r="E2504" s="7">
        <v>0</v>
      </c>
      <c r="F2504" s="7" t="str">
        <f>IFERROR(
   INDEX(tbl_ProduitsRef[Prix Menu],MATCH(tbl_Ventes[[#This Row],[Produit]],tbl_ProduitsRef[Produit],0)),
   ""
)</f>
        <v/>
      </c>
      <c r="G2504" s="7">
        <f>tbl_Ventes[[#This Row],[Qté Vendue]] * IFERROR(_xlfn.XLOOKUP(tbl_Ventes[[#This Row],[Cde_Prdt]], tbl_Produits[Cde_Prdt], tbl_Produits[Prix Menu]), 0)</f>
        <v>0</v>
      </c>
      <c r="H2504" s="7">
        <f>IFERROR(_xlfn.XLOOKUP(tbl_Ventes[[#This Row],[Cde_Prdt]], tbl_Produits[Cde_Prdt], tbl_Produits[Coût Moyen Portion]), 0)</f>
        <v>0</v>
      </c>
      <c r="I2504" s="7">
        <f>tbl_Ventes[[#This Row],[Qté Vendue]] * tbl_Ventes[[#This Row],[CMP_par_portion]]</f>
        <v>0</v>
      </c>
      <c r="J2504" s="7">
        <f>tbl_Ventes[[#This Row],[CA ligne]] - tbl_Ventes[[#This Row],[Coût matière ligne]]</f>
        <v>0</v>
      </c>
      <c r="K2504" s="7" t="str">
        <f>IFERROR(INDEX(tbl_ProduitsRef[Famille], MATCH(tbl_Ventes[[#This Row],[Cde_Prdt]], tbl_Produits[Cde_Prdt], 0)), "")</f>
        <v/>
      </c>
    </row>
    <row r="2505" spans="1:11" x14ac:dyDescent="0.25">
      <c r="A2505" s="5"/>
      <c r="B2505" s="63" t="str">
        <f>IFERROR(TEXT(tbl_Ventes[[#This Row],[Date]],"mm-aaaa"),"")</f>
        <v>01-1900</v>
      </c>
      <c r="D2505" s="10" t="str">
        <f>IFERROR(
   INDEX(tbl_ProduitsRef[Cde_Prdt],MATCH(tbl_Ventes[[#This Row],[Produit]],tbl_ProduitsRef[Produit],0)),
   ""
)</f>
        <v/>
      </c>
      <c r="E2505" s="7">
        <v>0</v>
      </c>
      <c r="F2505" s="7" t="str">
        <f>IFERROR(
   INDEX(tbl_ProduitsRef[Prix Menu],MATCH(tbl_Ventes[[#This Row],[Produit]],tbl_ProduitsRef[Produit],0)),
   ""
)</f>
        <v/>
      </c>
      <c r="G2505" s="7">
        <f>tbl_Ventes[[#This Row],[Qté Vendue]] * IFERROR(_xlfn.XLOOKUP(tbl_Ventes[[#This Row],[Cde_Prdt]], tbl_Produits[Cde_Prdt], tbl_Produits[Prix Menu]), 0)</f>
        <v>0</v>
      </c>
      <c r="H2505" s="7">
        <f>IFERROR(_xlfn.XLOOKUP(tbl_Ventes[[#This Row],[Cde_Prdt]], tbl_Produits[Cde_Prdt], tbl_Produits[Coût Moyen Portion]), 0)</f>
        <v>0</v>
      </c>
      <c r="I2505" s="7">
        <f>tbl_Ventes[[#This Row],[Qté Vendue]] * tbl_Ventes[[#This Row],[CMP_par_portion]]</f>
        <v>0</v>
      </c>
      <c r="J2505" s="7">
        <f>tbl_Ventes[[#This Row],[CA ligne]] - tbl_Ventes[[#This Row],[Coût matière ligne]]</f>
        <v>0</v>
      </c>
      <c r="K2505" s="7" t="str">
        <f>IFERROR(INDEX(tbl_ProduitsRef[Famille], MATCH(tbl_Ventes[[#This Row],[Cde_Prdt]], tbl_Produits[Cde_Prdt], 0)), "")</f>
        <v/>
      </c>
    </row>
    <row r="2506" spans="1:11" x14ac:dyDescent="0.25">
      <c r="A2506" s="5"/>
      <c r="B2506" s="63" t="str">
        <f>IFERROR(TEXT(tbl_Ventes[[#This Row],[Date]],"mm-aaaa"),"")</f>
        <v>01-1900</v>
      </c>
      <c r="D2506" s="10" t="str">
        <f>IFERROR(
   INDEX(tbl_ProduitsRef[Cde_Prdt],MATCH(tbl_Ventes[[#This Row],[Produit]],tbl_ProduitsRef[Produit],0)),
   ""
)</f>
        <v/>
      </c>
      <c r="E2506" s="7">
        <v>0</v>
      </c>
      <c r="F2506" s="7" t="str">
        <f>IFERROR(
   INDEX(tbl_ProduitsRef[Prix Menu],MATCH(tbl_Ventes[[#This Row],[Produit]],tbl_ProduitsRef[Produit],0)),
   ""
)</f>
        <v/>
      </c>
      <c r="G2506" s="7">
        <f>tbl_Ventes[[#This Row],[Qté Vendue]] * IFERROR(_xlfn.XLOOKUP(tbl_Ventes[[#This Row],[Cde_Prdt]], tbl_Produits[Cde_Prdt], tbl_Produits[Prix Menu]), 0)</f>
        <v>0</v>
      </c>
      <c r="H2506" s="7">
        <f>IFERROR(_xlfn.XLOOKUP(tbl_Ventes[[#This Row],[Cde_Prdt]], tbl_Produits[Cde_Prdt], tbl_Produits[Coût Moyen Portion]), 0)</f>
        <v>0</v>
      </c>
      <c r="I2506" s="7">
        <f>tbl_Ventes[[#This Row],[Qté Vendue]] * tbl_Ventes[[#This Row],[CMP_par_portion]]</f>
        <v>0</v>
      </c>
      <c r="J2506" s="7">
        <f>tbl_Ventes[[#This Row],[CA ligne]] - tbl_Ventes[[#This Row],[Coût matière ligne]]</f>
        <v>0</v>
      </c>
      <c r="K2506" s="7" t="str">
        <f>IFERROR(INDEX(tbl_ProduitsRef[Famille], MATCH(tbl_Ventes[[#This Row],[Cde_Prdt]], tbl_Produits[Cde_Prdt], 0)), "")</f>
        <v/>
      </c>
    </row>
    <row r="2507" spans="1:11" x14ac:dyDescent="0.25">
      <c r="A2507" s="5"/>
      <c r="B2507" s="63" t="str">
        <f>IFERROR(TEXT(tbl_Ventes[[#This Row],[Date]],"mm-aaaa"),"")</f>
        <v>01-1900</v>
      </c>
      <c r="D2507" s="10" t="str">
        <f>IFERROR(
   INDEX(tbl_ProduitsRef[Cde_Prdt],MATCH(tbl_Ventes[[#This Row],[Produit]],tbl_ProduitsRef[Produit],0)),
   ""
)</f>
        <v/>
      </c>
      <c r="E2507" s="7">
        <v>0</v>
      </c>
      <c r="F2507" s="7" t="str">
        <f>IFERROR(
   INDEX(tbl_ProduitsRef[Prix Menu],MATCH(tbl_Ventes[[#This Row],[Produit]],tbl_ProduitsRef[Produit],0)),
   ""
)</f>
        <v/>
      </c>
      <c r="G2507" s="7">
        <f>tbl_Ventes[[#This Row],[Qté Vendue]] * IFERROR(_xlfn.XLOOKUP(tbl_Ventes[[#This Row],[Cde_Prdt]], tbl_Produits[Cde_Prdt], tbl_Produits[Prix Menu]), 0)</f>
        <v>0</v>
      </c>
      <c r="H2507" s="7">
        <f>IFERROR(_xlfn.XLOOKUP(tbl_Ventes[[#This Row],[Cde_Prdt]], tbl_Produits[Cde_Prdt], tbl_Produits[Coût Moyen Portion]), 0)</f>
        <v>0</v>
      </c>
      <c r="I2507" s="7">
        <f>tbl_Ventes[[#This Row],[Qté Vendue]] * tbl_Ventes[[#This Row],[CMP_par_portion]]</f>
        <v>0</v>
      </c>
      <c r="J2507" s="7">
        <f>tbl_Ventes[[#This Row],[CA ligne]] - tbl_Ventes[[#This Row],[Coût matière ligne]]</f>
        <v>0</v>
      </c>
      <c r="K2507" s="7" t="str">
        <f>IFERROR(INDEX(tbl_ProduitsRef[Famille], MATCH(tbl_Ventes[[#This Row],[Cde_Prdt]], tbl_Produits[Cde_Prdt], 0)), "")</f>
        <v/>
      </c>
    </row>
    <row r="2508" spans="1:11" x14ac:dyDescent="0.25">
      <c r="A2508" s="5"/>
      <c r="B2508" s="63" t="str">
        <f>IFERROR(TEXT(tbl_Ventes[[#This Row],[Date]],"mm-aaaa"),"")</f>
        <v>01-1900</v>
      </c>
      <c r="D2508" s="10" t="str">
        <f>IFERROR(
   INDEX(tbl_ProduitsRef[Cde_Prdt],MATCH(tbl_Ventes[[#This Row],[Produit]],tbl_ProduitsRef[Produit],0)),
   ""
)</f>
        <v/>
      </c>
      <c r="E2508" s="7">
        <v>0</v>
      </c>
      <c r="F2508" s="7" t="str">
        <f>IFERROR(
   INDEX(tbl_ProduitsRef[Prix Menu],MATCH(tbl_Ventes[[#This Row],[Produit]],tbl_ProduitsRef[Produit],0)),
   ""
)</f>
        <v/>
      </c>
      <c r="G2508" s="7">
        <f>tbl_Ventes[[#This Row],[Qté Vendue]] * IFERROR(_xlfn.XLOOKUP(tbl_Ventes[[#This Row],[Cde_Prdt]], tbl_Produits[Cde_Prdt], tbl_Produits[Prix Menu]), 0)</f>
        <v>0</v>
      </c>
      <c r="H2508" s="7">
        <f>IFERROR(_xlfn.XLOOKUP(tbl_Ventes[[#This Row],[Cde_Prdt]], tbl_Produits[Cde_Prdt], tbl_Produits[Coût Moyen Portion]), 0)</f>
        <v>0</v>
      </c>
      <c r="I2508" s="7">
        <f>tbl_Ventes[[#This Row],[Qté Vendue]] * tbl_Ventes[[#This Row],[CMP_par_portion]]</f>
        <v>0</v>
      </c>
      <c r="J2508" s="7">
        <f>tbl_Ventes[[#This Row],[CA ligne]] - tbl_Ventes[[#This Row],[Coût matière ligne]]</f>
        <v>0</v>
      </c>
      <c r="K2508" s="7" t="str">
        <f>IFERROR(INDEX(tbl_ProduitsRef[Famille], MATCH(tbl_Ventes[[#This Row],[Cde_Prdt]], tbl_Produits[Cde_Prdt], 0)), "")</f>
        <v/>
      </c>
    </row>
    <row r="2509" spans="1:11" x14ac:dyDescent="0.25">
      <c r="A2509" s="5"/>
      <c r="B2509" s="63" t="str">
        <f>IFERROR(TEXT(tbl_Ventes[[#This Row],[Date]],"mm-aaaa"),"")</f>
        <v>01-1900</v>
      </c>
      <c r="D2509" s="10" t="str">
        <f>IFERROR(
   INDEX(tbl_ProduitsRef[Cde_Prdt],MATCH(tbl_Ventes[[#This Row],[Produit]],tbl_ProduitsRef[Produit],0)),
   ""
)</f>
        <v/>
      </c>
      <c r="E2509" s="7">
        <v>0</v>
      </c>
      <c r="F2509" s="7" t="str">
        <f>IFERROR(
   INDEX(tbl_ProduitsRef[Prix Menu],MATCH(tbl_Ventes[[#This Row],[Produit]],tbl_ProduitsRef[Produit],0)),
   ""
)</f>
        <v/>
      </c>
      <c r="G2509" s="7">
        <f>tbl_Ventes[[#This Row],[Qté Vendue]] * IFERROR(_xlfn.XLOOKUP(tbl_Ventes[[#This Row],[Cde_Prdt]], tbl_Produits[Cde_Prdt], tbl_Produits[Prix Menu]), 0)</f>
        <v>0</v>
      </c>
      <c r="H2509" s="7">
        <f>IFERROR(_xlfn.XLOOKUP(tbl_Ventes[[#This Row],[Cde_Prdt]], tbl_Produits[Cde_Prdt], tbl_Produits[Coût Moyen Portion]), 0)</f>
        <v>0</v>
      </c>
      <c r="I2509" s="7">
        <f>tbl_Ventes[[#This Row],[Qté Vendue]] * tbl_Ventes[[#This Row],[CMP_par_portion]]</f>
        <v>0</v>
      </c>
      <c r="J2509" s="7">
        <f>tbl_Ventes[[#This Row],[CA ligne]] - tbl_Ventes[[#This Row],[Coût matière ligne]]</f>
        <v>0</v>
      </c>
      <c r="K2509" s="7" t="str">
        <f>IFERROR(INDEX(tbl_ProduitsRef[Famille], MATCH(tbl_Ventes[[#This Row],[Cde_Prdt]], tbl_Produits[Cde_Prdt], 0)), "")</f>
        <v/>
      </c>
    </row>
    <row r="2510" spans="1:11" x14ac:dyDescent="0.25">
      <c r="A2510" s="5"/>
      <c r="B2510" s="63" t="str">
        <f>IFERROR(TEXT(tbl_Ventes[[#This Row],[Date]],"mm-aaaa"),"")</f>
        <v>01-1900</v>
      </c>
      <c r="D2510" s="10" t="str">
        <f>IFERROR(
   INDEX(tbl_ProduitsRef[Cde_Prdt],MATCH(tbl_Ventes[[#This Row],[Produit]],tbl_ProduitsRef[Produit],0)),
   ""
)</f>
        <v/>
      </c>
      <c r="E2510" s="7">
        <v>0</v>
      </c>
      <c r="F2510" s="7" t="str">
        <f>IFERROR(
   INDEX(tbl_ProduitsRef[Prix Menu],MATCH(tbl_Ventes[[#This Row],[Produit]],tbl_ProduitsRef[Produit],0)),
   ""
)</f>
        <v/>
      </c>
      <c r="G2510" s="7">
        <f>tbl_Ventes[[#This Row],[Qté Vendue]] * IFERROR(_xlfn.XLOOKUP(tbl_Ventes[[#This Row],[Cde_Prdt]], tbl_Produits[Cde_Prdt], tbl_Produits[Prix Menu]), 0)</f>
        <v>0</v>
      </c>
      <c r="H2510" s="7">
        <f>IFERROR(_xlfn.XLOOKUP(tbl_Ventes[[#This Row],[Cde_Prdt]], tbl_Produits[Cde_Prdt], tbl_Produits[Coût Moyen Portion]), 0)</f>
        <v>0</v>
      </c>
      <c r="I2510" s="7">
        <f>tbl_Ventes[[#This Row],[Qté Vendue]] * tbl_Ventes[[#This Row],[CMP_par_portion]]</f>
        <v>0</v>
      </c>
      <c r="J2510" s="7">
        <f>tbl_Ventes[[#This Row],[CA ligne]] - tbl_Ventes[[#This Row],[Coût matière ligne]]</f>
        <v>0</v>
      </c>
      <c r="K2510" s="7" t="str">
        <f>IFERROR(INDEX(tbl_ProduitsRef[Famille], MATCH(tbl_Ventes[[#This Row],[Cde_Prdt]], tbl_Produits[Cde_Prdt], 0)), "")</f>
        <v/>
      </c>
    </row>
    <row r="2511" spans="1:11" x14ac:dyDescent="0.25">
      <c r="A2511" s="5"/>
      <c r="B2511" s="63" t="str">
        <f>IFERROR(TEXT(tbl_Ventes[[#This Row],[Date]],"mm-aaaa"),"")</f>
        <v>01-1900</v>
      </c>
      <c r="D2511" s="10" t="str">
        <f>IFERROR(
   INDEX(tbl_ProduitsRef[Cde_Prdt],MATCH(tbl_Ventes[[#This Row],[Produit]],tbl_ProduitsRef[Produit],0)),
   ""
)</f>
        <v/>
      </c>
      <c r="E2511" s="7">
        <v>0</v>
      </c>
      <c r="F2511" s="7" t="str">
        <f>IFERROR(
   INDEX(tbl_ProduitsRef[Prix Menu],MATCH(tbl_Ventes[[#This Row],[Produit]],tbl_ProduitsRef[Produit],0)),
   ""
)</f>
        <v/>
      </c>
      <c r="G2511" s="7">
        <f>tbl_Ventes[[#This Row],[Qté Vendue]] * IFERROR(_xlfn.XLOOKUP(tbl_Ventes[[#This Row],[Cde_Prdt]], tbl_Produits[Cde_Prdt], tbl_Produits[Prix Menu]), 0)</f>
        <v>0</v>
      </c>
      <c r="H2511" s="7">
        <f>IFERROR(_xlfn.XLOOKUP(tbl_Ventes[[#This Row],[Cde_Prdt]], tbl_Produits[Cde_Prdt], tbl_Produits[Coût Moyen Portion]), 0)</f>
        <v>0</v>
      </c>
      <c r="I2511" s="7">
        <f>tbl_Ventes[[#This Row],[Qté Vendue]] * tbl_Ventes[[#This Row],[CMP_par_portion]]</f>
        <v>0</v>
      </c>
      <c r="J2511" s="7">
        <f>tbl_Ventes[[#This Row],[CA ligne]] - tbl_Ventes[[#This Row],[Coût matière ligne]]</f>
        <v>0</v>
      </c>
      <c r="K2511" s="7" t="str">
        <f>IFERROR(INDEX(tbl_ProduitsRef[Famille], MATCH(tbl_Ventes[[#This Row],[Cde_Prdt]], tbl_Produits[Cde_Prdt], 0)), "")</f>
        <v/>
      </c>
    </row>
    <row r="2512" spans="1:11" x14ac:dyDescent="0.25">
      <c r="A2512" s="5"/>
      <c r="B2512" s="63" t="str">
        <f>IFERROR(TEXT(tbl_Ventes[[#This Row],[Date]],"mm-aaaa"),"")</f>
        <v>01-1900</v>
      </c>
      <c r="D2512" s="10" t="str">
        <f>IFERROR(
   INDEX(tbl_ProduitsRef[Cde_Prdt],MATCH(tbl_Ventes[[#This Row],[Produit]],tbl_ProduitsRef[Produit],0)),
   ""
)</f>
        <v/>
      </c>
      <c r="E2512" s="7">
        <v>0</v>
      </c>
      <c r="F2512" s="7" t="str">
        <f>IFERROR(
   INDEX(tbl_ProduitsRef[Prix Menu],MATCH(tbl_Ventes[[#This Row],[Produit]],tbl_ProduitsRef[Produit],0)),
   ""
)</f>
        <v/>
      </c>
      <c r="G2512" s="7">
        <f>tbl_Ventes[[#This Row],[Qté Vendue]] * IFERROR(_xlfn.XLOOKUP(tbl_Ventes[[#This Row],[Cde_Prdt]], tbl_Produits[Cde_Prdt], tbl_Produits[Prix Menu]), 0)</f>
        <v>0</v>
      </c>
      <c r="H2512" s="7">
        <f>IFERROR(_xlfn.XLOOKUP(tbl_Ventes[[#This Row],[Cde_Prdt]], tbl_Produits[Cde_Prdt], tbl_Produits[Coût Moyen Portion]), 0)</f>
        <v>0</v>
      </c>
      <c r="I2512" s="7">
        <f>tbl_Ventes[[#This Row],[Qté Vendue]] * tbl_Ventes[[#This Row],[CMP_par_portion]]</f>
        <v>0</v>
      </c>
      <c r="J2512" s="7">
        <f>tbl_Ventes[[#This Row],[CA ligne]] - tbl_Ventes[[#This Row],[Coût matière ligne]]</f>
        <v>0</v>
      </c>
      <c r="K2512" s="7" t="str">
        <f>IFERROR(INDEX(tbl_ProduitsRef[Famille], MATCH(tbl_Ventes[[#This Row],[Cde_Prdt]], tbl_Produits[Cde_Prdt], 0)), "")</f>
        <v/>
      </c>
    </row>
    <row r="2513" spans="1:11" x14ac:dyDescent="0.25">
      <c r="A2513" s="5"/>
      <c r="B2513" s="63" t="str">
        <f>IFERROR(TEXT(tbl_Ventes[[#This Row],[Date]],"mm-aaaa"),"")</f>
        <v>01-1900</v>
      </c>
      <c r="D2513" s="10" t="str">
        <f>IFERROR(
   INDEX(tbl_ProduitsRef[Cde_Prdt],MATCH(tbl_Ventes[[#This Row],[Produit]],tbl_ProduitsRef[Produit],0)),
   ""
)</f>
        <v/>
      </c>
      <c r="E2513" s="7">
        <v>0</v>
      </c>
      <c r="F2513" s="7" t="str">
        <f>IFERROR(
   INDEX(tbl_ProduitsRef[Prix Menu],MATCH(tbl_Ventes[[#This Row],[Produit]],tbl_ProduitsRef[Produit],0)),
   ""
)</f>
        <v/>
      </c>
      <c r="G2513" s="7">
        <f>tbl_Ventes[[#This Row],[Qté Vendue]] * IFERROR(_xlfn.XLOOKUP(tbl_Ventes[[#This Row],[Cde_Prdt]], tbl_Produits[Cde_Prdt], tbl_Produits[Prix Menu]), 0)</f>
        <v>0</v>
      </c>
      <c r="H2513" s="7">
        <f>IFERROR(_xlfn.XLOOKUP(tbl_Ventes[[#This Row],[Cde_Prdt]], tbl_Produits[Cde_Prdt], tbl_Produits[Coût Moyen Portion]), 0)</f>
        <v>0</v>
      </c>
      <c r="I2513" s="7">
        <f>tbl_Ventes[[#This Row],[Qté Vendue]] * tbl_Ventes[[#This Row],[CMP_par_portion]]</f>
        <v>0</v>
      </c>
      <c r="J2513" s="7">
        <f>tbl_Ventes[[#This Row],[CA ligne]] - tbl_Ventes[[#This Row],[Coût matière ligne]]</f>
        <v>0</v>
      </c>
      <c r="K2513" s="7" t="str">
        <f>IFERROR(INDEX(tbl_ProduitsRef[Famille], MATCH(tbl_Ventes[[#This Row],[Cde_Prdt]], tbl_Produits[Cde_Prdt], 0)), "")</f>
        <v/>
      </c>
    </row>
    <row r="2514" spans="1:11" x14ac:dyDescent="0.25">
      <c r="A2514" s="5"/>
      <c r="B2514" s="63" t="str">
        <f>IFERROR(TEXT(tbl_Ventes[[#This Row],[Date]],"mm-aaaa"),"")</f>
        <v>01-1900</v>
      </c>
      <c r="D2514" s="10" t="str">
        <f>IFERROR(
   INDEX(tbl_ProduitsRef[Cde_Prdt],MATCH(tbl_Ventes[[#This Row],[Produit]],tbl_ProduitsRef[Produit],0)),
   ""
)</f>
        <v/>
      </c>
      <c r="E2514" s="7">
        <v>0</v>
      </c>
      <c r="F2514" s="7" t="str">
        <f>IFERROR(
   INDEX(tbl_ProduitsRef[Prix Menu],MATCH(tbl_Ventes[[#This Row],[Produit]],tbl_ProduitsRef[Produit],0)),
   ""
)</f>
        <v/>
      </c>
      <c r="G2514" s="7">
        <f>tbl_Ventes[[#This Row],[Qté Vendue]] * IFERROR(_xlfn.XLOOKUP(tbl_Ventes[[#This Row],[Cde_Prdt]], tbl_Produits[Cde_Prdt], tbl_Produits[Prix Menu]), 0)</f>
        <v>0</v>
      </c>
      <c r="H2514" s="7">
        <f>IFERROR(_xlfn.XLOOKUP(tbl_Ventes[[#This Row],[Cde_Prdt]], tbl_Produits[Cde_Prdt], tbl_Produits[Coût Moyen Portion]), 0)</f>
        <v>0</v>
      </c>
      <c r="I2514" s="7">
        <f>tbl_Ventes[[#This Row],[Qté Vendue]] * tbl_Ventes[[#This Row],[CMP_par_portion]]</f>
        <v>0</v>
      </c>
      <c r="J2514" s="7">
        <f>tbl_Ventes[[#This Row],[CA ligne]] - tbl_Ventes[[#This Row],[Coût matière ligne]]</f>
        <v>0</v>
      </c>
      <c r="K2514" s="7" t="str">
        <f>IFERROR(INDEX(tbl_ProduitsRef[Famille], MATCH(tbl_Ventes[[#This Row],[Cde_Prdt]], tbl_Produits[Cde_Prdt], 0)), "")</f>
        <v/>
      </c>
    </row>
    <row r="2515" spans="1:11" x14ac:dyDescent="0.25">
      <c r="A2515" s="5"/>
      <c r="B2515" s="63" t="str">
        <f>IFERROR(TEXT(tbl_Ventes[[#This Row],[Date]],"mm-aaaa"),"")</f>
        <v>01-1900</v>
      </c>
      <c r="D2515" s="10" t="str">
        <f>IFERROR(
   INDEX(tbl_ProduitsRef[Cde_Prdt],MATCH(tbl_Ventes[[#This Row],[Produit]],tbl_ProduitsRef[Produit],0)),
   ""
)</f>
        <v/>
      </c>
      <c r="E2515" s="7">
        <v>0</v>
      </c>
      <c r="F2515" s="7" t="str">
        <f>IFERROR(
   INDEX(tbl_ProduitsRef[Prix Menu],MATCH(tbl_Ventes[[#This Row],[Produit]],tbl_ProduitsRef[Produit],0)),
   ""
)</f>
        <v/>
      </c>
      <c r="G2515" s="7">
        <f>tbl_Ventes[[#This Row],[Qté Vendue]] * IFERROR(_xlfn.XLOOKUP(tbl_Ventes[[#This Row],[Cde_Prdt]], tbl_Produits[Cde_Prdt], tbl_Produits[Prix Menu]), 0)</f>
        <v>0</v>
      </c>
      <c r="H2515" s="7">
        <f>IFERROR(_xlfn.XLOOKUP(tbl_Ventes[[#This Row],[Cde_Prdt]], tbl_Produits[Cde_Prdt], tbl_Produits[Coût Moyen Portion]), 0)</f>
        <v>0</v>
      </c>
      <c r="I2515" s="7">
        <f>tbl_Ventes[[#This Row],[Qté Vendue]] * tbl_Ventes[[#This Row],[CMP_par_portion]]</f>
        <v>0</v>
      </c>
      <c r="J2515" s="7">
        <f>tbl_Ventes[[#This Row],[CA ligne]] - tbl_Ventes[[#This Row],[Coût matière ligne]]</f>
        <v>0</v>
      </c>
      <c r="K2515" s="7" t="str">
        <f>IFERROR(INDEX(tbl_ProduitsRef[Famille], MATCH(tbl_Ventes[[#This Row],[Cde_Prdt]], tbl_Produits[Cde_Prdt], 0)), "")</f>
        <v/>
      </c>
    </row>
    <row r="2516" spans="1:11" x14ac:dyDescent="0.25">
      <c r="A2516" s="5"/>
      <c r="B2516" s="63" t="str">
        <f>IFERROR(TEXT(tbl_Ventes[[#This Row],[Date]],"mm-aaaa"),"")</f>
        <v>01-1900</v>
      </c>
      <c r="D2516" s="10" t="str">
        <f>IFERROR(
   INDEX(tbl_ProduitsRef[Cde_Prdt],MATCH(tbl_Ventes[[#This Row],[Produit]],tbl_ProduitsRef[Produit],0)),
   ""
)</f>
        <v/>
      </c>
      <c r="E2516" s="7">
        <v>0</v>
      </c>
      <c r="F2516" s="7" t="str">
        <f>IFERROR(
   INDEX(tbl_ProduitsRef[Prix Menu],MATCH(tbl_Ventes[[#This Row],[Produit]],tbl_ProduitsRef[Produit],0)),
   ""
)</f>
        <v/>
      </c>
      <c r="G2516" s="7">
        <f>tbl_Ventes[[#This Row],[Qté Vendue]] * IFERROR(_xlfn.XLOOKUP(tbl_Ventes[[#This Row],[Cde_Prdt]], tbl_Produits[Cde_Prdt], tbl_Produits[Prix Menu]), 0)</f>
        <v>0</v>
      </c>
      <c r="H2516" s="7">
        <f>IFERROR(_xlfn.XLOOKUP(tbl_Ventes[[#This Row],[Cde_Prdt]], tbl_Produits[Cde_Prdt], tbl_Produits[Coût Moyen Portion]), 0)</f>
        <v>0</v>
      </c>
      <c r="I2516" s="7">
        <f>tbl_Ventes[[#This Row],[Qté Vendue]] * tbl_Ventes[[#This Row],[CMP_par_portion]]</f>
        <v>0</v>
      </c>
      <c r="J2516" s="7">
        <f>tbl_Ventes[[#This Row],[CA ligne]] - tbl_Ventes[[#This Row],[Coût matière ligne]]</f>
        <v>0</v>
      </c>
      <c r="K2516" s="7" t="str">
        <f>IFERROR(INDEX(tbl_ProduitsRef[Famille], MATCH(tbl_Ventes[[#This Row],[Cde_Prdt]], tbl_Produits[Cde_Prdt], 0)), "")</f>
        <v/>
      </c>
    </row>
    <row r="2517" spans="1:11" x14ac:dyDescent="0.25">
      <c r="A2517" s="5"/>
      <c r="B2517" s="63" t="str">
        <f>IFERROR(TEXT(tbl_Ventes[[#This Row],[Date]],"mm-aaaa"),"")</f>
        <v>01-1900</v>
      </c>
      <c r="D2517" s="10" t="str">
        <f>IFERROR(
   INDEX(tbl_ProduitsRef[Cde_Prdt],MATCH(tbl_Ventes[[#This Row],[Produit]],tbl_ProduitsRef[Produit],0)),
   ""
)</f>
        <v/>
      </c>
      <c r="E2517" s="7">
        <v>0</v>
      </c>
      <c r="F2517" s="7" t="str">
        <f>IFERROR(
   INDEX(tbl_ProduitsRef[Prix Menu],MATCH(tbl_Ventes[[#This Row],[Produit]],tbl_ProduitsRef[Produit],0)),
   ""
)</f>
        <v/>
      </c>
      <c r="G2517" s="7">
        <f>tbl_Ventes[[#This Row],[Qté Vendue]] * IFERROR(_xlfn.XLOOKUP(tbl_Ventes[[#This Row],[Cde_Prdt]], tbl_Produits[Cde_Prdt], tbl_Produits[Prix Menu]), 0)</f>
        <v>0</v>
      </c>
      <c r="H2517" s="7">
        <f>IFERROR(_xlfn.XLOOKUP(tbl_Ventes[[#This Row],[Cde_Prdt]], tbl_Produits[Cde_Prdt], tbl_Produits[Coût Moyen Portion]), 0)</f>
        <v>0</v>
      </c>
      <c r="I2517" s="7">
        <f>tbl_Ventes[[#This Row],[Qté Vendue]] * tbl_Ventes[[#This Row],[CMP_par_portion]]</f>
        <v>0</v>
      </c>
      <c r="J2517" s="7">
        <f>tbl_Ventes[[#This Row],[CA ligne]] - tbl_Ventes[[#This Row],[Coût matière ligne]]</f>
        <v>0</v>
      </c>
      <c r="K2517" s="7" t="str">
        <f>IFERROR(INDEX(tbl_ProduitsRef[Famille], MATCH(tbl_Ventes[[#This Row],[Cde_Prdt]], tbl_Produits[Cde_Prdt], 0)), "")</f>
        <v/>
      </c>
    </row>
    <row r="2518" spans="1:11" x14ac:dyDescent="0.25">
      <c r="A2518" s="5"/>
      <c r="B2518" s="63" t="str">
        <f>IFERROR(TEXT(tbl_Ventes[[#This Row],[Date]],"mm-aaaa"),"")</f>
        <v>01-1900</v>
      </c>
      <c r="D2518" s="10" t="str">
        <f>IFERROR(
   INDEX(tbl_ProduitsRef[Cde_Prdt],MATCH(tbl_Ventes[[#This Row],[Produit]],tbl_ProduitsRef[Produit],0)),
   ""
)</f>
        <v/>
      </c>
      <c r="E2518" s="7">
        <v>0</v>
      </c>
      <c r="F2518" s="7" t="str">
        <f>IFERROR(
   INDEX(tbl_ProduitsRef[Prix Menu],MATCH(tbl_Ventes[[#This Row],[Produit]],tbl_ProduitsRef[Produit],0)),
   ""
)</f>
        <v/>
      </c>
      <c r="G2518" s="7">
        <f>tbl_Ventes[[#This Row],[Qté Vendue]] * IFERROR(_xlfn.XLOOKUP(tbl_Ventes[[#This Row],[Cde_Prdt]], tbl_Produits[Cde_Prdt], tbl_Produits[Prix Menu]), 0)</f>
        <v>0</v>
      </c>
      <c r="H2518" s="7">
        <f>IFERROR(_xlfn.XLOOKUP(tbl_Ventes[[#This Row],[Cde_Prdt]], tbl_Produits[Cde_Prdt], tbl_Produits[Coût Moyen Portion]), 0)</f>
        <v>0</v>
      </c>
      <c r="I2518" s="7">
        <f>tbl_Ventes[[#This Row],[Qté Vendue]] * tbl_Ventes[[#This Row],[CMP_par_portion]]</f>
        <v>0</v>
      </c>
      <c r="J2518" s="7">
        <f>tbl_Ventes[[#This Row],[CA ligne]] - tbl_Ventes[[#This Row],[Coût matière ligne]]</f>
        <v>0</v>
      </c>
      <c r="K2518" s="7" t="str">
        <f>IFERROR(INDEX(tbl_ProduitsRef[Famille], MATCH(tbl_Ventes[[#This Row],[Cde_Prdt]], tbl_Produits[Cde_Prdt], 0)), "")</f>
        <v/>
      </c>
    </row>
    <row r="2519" spans="1:11" x14ac:dyDescent="0.25">
      <c r="A2519" s="5"/>
      <c r="B2519" s="63" t="str">
        <f>IFERROR(TEXT(tbl_Ventes[[#This Row],[Date]],"mm-aaaa"),"")</f>
        <v>01-1900</v>
      </c>
      <c r="D2519" s="10" t="str">
        <f>IFERROR(
   INDEX(tbl_ProduitsRef[Cde_Prdt],MATCH(tbl_Ventes[[#This Row],[Produit]],tbl_ProduitsRef[Produit],0)),
   ""
)</f>
        <v/>
      </c>
      <c r="E2519" s="7">
        <v>0</v>
      </c>
      <c r="F2519" s="7" t="str">
        <f>IFERROR(
   INDEX(tbl_ProduitsRef[Prix Menu],MATCH(tbl_Ventes[[#This Row],[Produit]],tbl_ProduitsRef[Produit],0)),
   ""
)</f>
        <v/>
      </c>
      <c r="G2519" s="7">
        <f>tbl_Ventes[[#This Row],[Qté Vendue]] * IFERROR(_xlfn.XLOOKUP(tbl_Ventes[[#This Row],[Cde_Prdt]], tbl_Produits[Cde_Prdt], tbl_Produits[Prix Menu]), 0)</f>
        <v>0</v>
      </c>
      <c r="H2519" s="7">
        <f>IFERROR(_xlfn.XLOOKUP(tbl_Ventes[[#This Row],[Cde_Prdt]], tbl_Produits[Cde_Prdt], tbl_Produits[Coût Moyen Portion]), 0)</f>
        <v>0</v>
      </c>
      <c r="I2519" s="7">
        <f>tbl_Ventes[[#This Row],[Qté Vendue]] * tbl_Ventes[[#This Row],[CMP_par_portion]]</f>
        <v>0</v>
      </c>
      <c r="J2519" s="7">
        <f>tbl_Ventes[[#This Row],[CA ligne]] - tbl_Ventes[[#This Row],[Coût matière ligne]]</f>
        <v>0</v>
      </c>
      <c r="K2519" s="7" t="str">
        <f>IFERROR(INDEX(tbl_ProduitsRef[Famille], MATCH(tbl_Ventes[[#This Row],[Cde_Prdt]], tbl_Produits[Cde_Prdt], 0)), "")</f>
        <v/>
      </c>
    </row>
    <row r="2520" spans="1:11" x14ac:dyDescent="0.25">
      <c r="A2520" s="5"/>
      <c r="B2520" s="63" t="str">
        <f>IFERROR(TEXT(tbl_Ventes[[#This Row],[Date]],"mm-aaaa"),"")</f>
        <v>01-1900</v>
      </c>
      <c r="D2520" s="10" t="str">
        <f>IFERROR(
   INDEX(tbl_ProduitsRef[Cde_Prdt],MATCH(tbl_Ventes[[#This Row],[Produit]],tbl_ProduitsRef[Produit],0)),
   ""
)</f>
        <v/>
      </c>
      <c r="E2520" s="7">
        <v>0</v>
      </c>
      <c r="F2520" s="7" t="str">
        <f>IFERROR(
   INDEX(tbl_ProduitsRef[Prix Menu],MATCH(tbl_Ventes[[#This Row],[Produit]],tbl_ProduitsRef[Produit],0)),
   ""
)</f>
        <v/>
      </c>
      <c r="G2520" s="7">
        <f>tbl_Ventes[[#This Row],[Qté Vendue]] * IFERROR(_xlfn.XLOOKUP(tbl_Ventes[[#This Row],[Cde_Prdt]], tbl_Produits[Cde_Prdt], tbl_Produits[Prix Menu]), 0)</f>
        <v>0</v>
      </c>
      <c r="H2520" s="7">
        <f>IFERROR(_xlfn.XLOOKUP(tbl_Ventes[[#This Row],[Cde_Prdt]], tbl_Produits[Cde_Prdt], tbl_Produits[Coût Moyen Portion]), 0)</f>
        <v>0</v>
      </c>
      <c r="I2520" s="7">
        <f>tbl_Ventes[[#This Row],[Qté Vendue]] * tbl_Ventes[[#This Row],[CMP_par_portion]]</f>
        <v>0</v>
      </c>
      <c r="J2520" s="7">
        <f>tbl_Ventes[[#This Row],[CA ligne]] - tbl_Ventes[[#This Row],[Coût matière ligne]]</f>
        <v>0</v>
      </c>
      <c r="K2520" s="7" t="str">
        <f>IFERROR(INDEX(tbl_ProduitsRef[Famille], MATCH(tbl_Ventes[[#This Row],[Cde_Prdt]], tbl_Produits[Cde_Prdt], 0)), "")</f>
        <v/>
      </c>
    </row>
    <row r="2521" spans="1:11" x14ac:dyDescent="0.25">
      <c r="A2521" s="5"/>
      <c r="B2521" s="63" t="str">
        <f>IFERROR(TEXT(tbl_Ventes[[#This Row],[Date]],"mm-aaaa"),"")</f>
        <v>01-1900</v>
      </c>
      <c r="D2521" s="10" t="str">
        <f>IFERROR(
   INDEX(tbl_ProduitsRef[Cde_Prdt],MATCH(tbl_Ventes[[#This Row],[Produit]],tbl_ProduitsRef[Produit],0)),
   ""
)</f>
        <v/>
      </c>
      <c r="E2521" s="7">
        <v>0</v>
      </c>
      <c r="F2521" s="7" t="str">
        <f>IFERROR(
   INDEX(tbl_ProduitsRef[Prix Menu],MATCH(tbl_Ventes[[#This Row],[Produit]],tbl_ProduitsRef[Produit],0)),
   ""
)</f>
        <v/>
      </c>
      <c r="G2521" s="7">
        <f>tbl_Ventes[[#This Row],[Qté Vendue]] * IFERROR(_xlfn.XLOOKUP(tbl_Ventes[[#This Row],[Cde_Prdt]], tbl_Produits[Cde_Prdt], tbl_Produits[Prix Menu]), 0)</f>
        <v>0</v>
      </c>
      <c r="H2521" s="7">
        <f>IFERROR(_xlfn.XLOOKUP(tbl_Ventes[[#This Row],[Cde_Prdt]], tbl_Produits[Cde_Prdt], tbl_Produits[Coût Moyen Portion]), 0)</f>
        <v>0</v>
      </c>
      <c r="I2521" s="7">
        <f>tbl_Ventes[[#This Row],[Qté Vendue]] * tbl_Ventes[[#This Row],[CMP_par_portion]]</f>
        <v>0</v>
      </c>
      <c r="J2521" s="7">
        <f>tbl_Ventes[[#This Row],[CA ligne]] - tbl_Ventes[[#This Row],[Coût matière ligne]]</f>
        <v>0</v>
      </c>
      <c r="K2521" s="7" t="str">
        <f>IFERROR(INDEX(tbl_ProduitsRef[Famille], MATCH(tbl_Ventes[[#This Row],[Cde_Prdt]], tbl_Produits[Cde_Prdt], 0)), "")</f>
        <v/>
      </c>
    </row>
    <row r="2522" spans="1:11" x14ac:dyDescent="0.25">
      <c r="A2522" s="5"/>
      <c r="B2522" s="63" t="str">
        <f>IFERROR(TEXT(tbl_Ventes[[#This Row],[Date]],"mm-aaaa"),"")</f>
        <v>01-1900</v>
      </c>
      <c r="D2522" s="10" t="str">
        <f>IFERROR(
   INDEX(tbl_ProduitsRef[Cde_Prdt],MATCH(tbl_Ventes[[#This Row],[Produit]],tbl_ProduitsRef[Produit],0)),
   ""
)</f>
        <v/>
      </c>
      <c r="E2522" s="7">
        <v>0</v>
      </c>
      <c r="F2522" s="7" t="str">
        <f>IFERROR(
   INDEX(tbl_ProduitsRef[Prix Menu],MATCH(tbl_Ventes[[#This Row],[Produit]],tbl_ProduitsRef[Produit],0)),
   ""
)</f>
        <v/>
      </c>
      <c r="G2522" s="7">
        <f>tbl_Ventes[[#This Row],[Qté Vendue]] * IFERROR(_xlfn.XLOOKUP(tbl_Ventes[[#This Row],[Cde_Prdt]], tbl_Produits[Cde_Prdt], tbl_Produits[Prix Menu]), 0)</f>
        <v>0</v>
      </c>
      <c r="H2522" s="7">
        <f>IFERROR(_xlfn.XLOOKUP(tbl_Ventes[[#This Row],[Cde_Prdt]], tbl_Produits[Cde_Prdt], tbl_Produits[Coût Moyen Portion]), 0)</f>
        <v>0</v>
      </c>
      <c r="I2522" s="7">
        <f>tbl_Ventes[[#This Row],[Qté Vendue]] * tbl_Ventes[[#This Row],[CMP_par_portion]]</f>
        <v>0</v>
      </c>
      <c r="J2522" s="7">
        <f>tbl_Ventes[[#This Row],[CA ligne]] - tbl_Ventes[[#This Row],[Coût matière ligne]]</f>
        <v>0</v>
      </c>
      <c r="K2522" s="7" t="str">
        <f>IFERROR(INDEX(tbl_ProduitsRef[Famille], MATCH(tbl_Ventes[[#This Row],[Cde_Prdt]], tbl_Produits[Cde_Prdt], 0)), "")</f>
        <v/>
      </c>
    </row>
    <row r="2523" spans="1:11" x14ac:dyDescent="0.25">
      <c r="A2523" s="5"/>
      <c r="B2523" s="63" t="str">
        <f>IFERROR(TEXT(tbl_Ventes[[#This Row],[Date]],"mm-aaaa"),"")</f>
        <v>01-1900</v>
      </c>
      <c r="D2523" s="10" t="str">
        <f>IFERROR(
   INDEX(tbl_ProduitsRef[Cde_Prdt],MATCH(tbl_Ventes[[#This Row],[Produit]],tbl_ProduitsRef[Produit],0)),
   ""
)</f>
        <v/>
      </c>
      <c r="E2523" s="7">
        <v>0</v>
      </c>
      <c r="F2523" s="7" t="str">
        <f>IFERROR(
   INDEX(tbl_ProduitsRef[Prix Menu],MATCH(tbl_Ventes[[#This Row],[Produit]],tbl_ProduitsRef[Produit],0)),
   ""
)</f>
        <v/>
      </c>
      <c r="G2523" s="7">
        <f>tbl_Ventes[[#This Row],[Qté Vendue]] * IFERROR(_xlfn.XLOOKUP(tbl_Ventes[[#This Row],[Cde_Prdt]], tbl_Produits[Cde_Prdt], tbl_Produits[Prix Menu]), 0)</f>
        <v>0</v>
      </c>
      <c r="H2523" s="7">
        <f>IFERROR(_xlfn.XLOOKUP(tbl_Ventes[[#This Row],[Cde_Prdt]], tbl_Produits[Cde_Prdt], tbl_Produits[Coût Moyen Portion]), 0)</f>
        <v>0</v>
      </c>
      <c r="I2523" s="7">
        <f>tbl_Ventes[[#This Row],[Qté Vendue]] * tbl_Ventes[[#This Row],[CMP_par_portion]]</f>
        <v>0</v>
      </c>
      <c r="J2523" s="7">
        <f>tbl_Ventes[[#This Row],[CA ligne]] - tbl_Ventes[[#This Row],[Coût matière ligne]]</f>
        <v>0</v>
      </c>
      <c r="K2523" s="7" t="str">
        <f>IFERROR(INDEX(tbl_ProduitsRef[Famille], MATCH(tbl_Ventes[[#This Row],[Cde_Prdt]], tbl_Produits[Cde_Prdt], 0)), "")</f>
        <v/>
      </c>
    </row>
    <row r="2524" spans="1:11" x14ac:dyDescent="0.25">
      <c r="A2524" s="5"/>
      <c r="B2524" s="63" t="str">
        <f>IFERROR(TEXT(tbl_Ventes[[#This Row],[Date]],"mm-aaaa"),"")</f>
        <v>01-1900</v>
      </c>
      <c r="D2524" s="10" t="str">
        <f>IFERROR(
   INDEX(tbl_ProduitsRef[Cde_Prdt],MATCH(tbl_Ventes[[#This Row],[Produit]],tbl_ProduitsRef[Produit],0)),
   ""
)</f>
        <v/>
      </c>
      <c r="E2524" s="7">
        <v>0</v>
      </c>
      <c r="F2524" s="7" t="str">
        <f>IFERROR(
   INDEX(tbl_ProduitsRef[Prix Menu],MATCH(tbl_Ventes[[#This Row],[Produit]],tbl_ProduitsRef[Produit],0)),
   ""
)</f>
        <v/>
      </c>
      <c r="G2524" s="7">
        <f>tbl_Ventes[[#This Row],[Qté Vendue]] * IFERROR(_xlfn.XLOOKUP(tbl_Ventes[[#This Row],[Cde_Prdt]], tbl_Produits[Cde_Prdt], tbl_Produits[Prix Menu]), 0)</f>
        <v>0</v>
      </c>
      <c r="H2524" s="7">
        <f>IFERROR(_xlfn.XLOOKUP(tbl_Ventes[[#This Row],[Cde_Prdt]], tbl_Produits[Cde_Prdt], tbl_Produits[Coût Moyen Portion]), 0)</f>
        <v>0</v>
      </c>
      <c r="I2524" s="7">
        <f>tbl_Ventes[[#This Row],[Qté Vendue]] * tbl_Ventes[[#This Row],[CMP_par_portion]]</f>
        <v>0</v>
      </c>
      <c r="J2524" s="7">
        <f>tbl_Ventes[[#This Row],[CA ligne]] - tbl_Ventes[[#This Row],[Coût matière ligne]]</f>
        <v>0</v>
      </c>
      <c r="K2524" s="7" t="str">
        <f>IFERROR(INDEX(tbl_ProduitsRef[Famille], MATCH(tbl_Ventes[[#This Row],[Cde_Prdt]], tbl_Produits[Cde_Prdt], 0)), "")</f>
        <v/>
      </c>
    </row>
    <row r="2525" spans="1:11" x14ac:dyDescent="0.25">
      <c r="A2525" s="5"/>
      <c r="B2525" s="63" t="str">
        <f>IFERROR(TEXT(tbl_Ventes[[#This Row],[Date]],"mm-aaaa"),"")</f>
        <v>01-1900</v>
      </c>
      <c r="D2525" s="10" t="str">
        <f>IFERROR(
   INDEX(tbl_ProduitsRef[Cde_Prdt],MATCH(tbl_Ventes[[#This Row],[Produit]],tbl_ProduitsRef[Produit],0)),
   ""
)</f>
        <v/>
      </c>
      <c r="E2525" s="7">
        <v>0</v>
      </c>
      <c r="F2525" s="7" t="str">
        <f>IFERROR(
   INDEX(tbl_ProduitsRef[Prix Menu],MATCH(tbl_Ventes[[#This Row],[Produit]],tbl_ProduitsRef[Produit],0)),
   ""
)</f>
        <v/>
      </c>
      <c r="G2525" s="7">
        <f>tbl_Ventes[[#This Row],[Qté Vendue]] * IFERROR(_xlfn.XLOOKUP(tbl_Ventes[[#This Row],[Cde_Prdt]], tbl_Produits[Cde_Prdt], tbl_Produits[Prix Menu]), 0)</f>
        <v>0</v>
      </c>
      <c r="H2525" s="7">
        <f>IFERROR(_xlfn.XLOOKUP(tbl_Ventes[[#This Row],[Cde_Prdt]], tbl_Produits[Cde_Prdt], tbl_Produits[Coût Moyen Portion]), 0)</f>
        <v>0</v>
      </c>
      <c r="I2525" s="7">
        <f>tbl_Ventes[[#This Row],[Qté Vendue]] * tbl_Ventes[[#This Row],[CMP_par_portion]]</f>
        <v>0</v>
      </c>
      <c r="J2525" s="7">
        <f>tbl_Ventes[[#This Row],[CA ligne]] - tbl_Ventes[[#This Row],[Coût matière ligne]]</f>
        <v>0</v>
      </c>
      <c r="K2525" s="7" t="str">
        <f>IFERROR(INDEX(tbl_ProduitsRef[Famille], MATCH(tbl_Ventes[[#This Row],[Cde_Prdt]], tbl_Produits[Cde_Prdt], 0)), "")</f>
        <v/>
      </c>
    </row>
    <row r="2526" spans="1:11" x14ac:dyDescent="0.25">
      <c r="A2526" s="5"/>
      <c r="B2526" s="63" t="str">
        <f>IFERROR(TEXT(tbl_Ventes[[#This Row],[Date]],"mm-aaaa"),"")</f>
        <v>01-1900</v>
      </c>
      <c r="D2526" s="10" t="str">
        <f>IFERROR(
   INDEX(tbl_ProduitsRef[Cde_Prdt],MATCH(tbl_Ventes[[#This Row],[Produit]],tbl_ProduitsRef[Produit],0)),
   ""
)</f>
        <v/>
      </c>
      <c r="E2526" s="7">
        <v>0</v>
      </c>
      <c r="F2526" s="7" t="str">
        <f>IFERROR(
   INDEX(tbl_ProduitsRef[Prix Menu],MATCH(tbl_Ventes[[#This Row],[Produit]],tbl_ProduitsRef[Produit],0)),
   ""
)</f>
        <v/>
      </c>
      <c r="G2526" s="7">
        <f>tbl_Ventes[[#This Row],[Qté Vendue]] * IFERROR(_xlfn.XLOOKUP(tbl_Ventes[[#This Row],[Cde_Prdt]], tbl_Produits[Cde_Prdt], tbl_Produits[Prix Menu]), 0)</f>
        <v>0</v>
      </c>
      <c r="H2526" s="7">
        <f>IFERROR(_xlfn.XLOOKUP(tbl_Ventes[[#This Row],[Cde_Prdt]], tbl_Produits[Cde_Prdt], tbl_Produits[Coût Moyen Portion]), 0)</f>
        <v>0</v>
      </c>
      <c r="I2526" s="7">
        <f>tbl_Ventes[[#This Row],[Qté Vendue]] * tbl_Ventes[[#This Row],[CMP_par_portion]]</f>
        <v>0</v>
      </c>
      <c r="J2526" s="7">
        <f>tbl_Ventes[[#This Row],[CA ligne]] - tbl_Ventes[[#This Row],[Coût matière ligne]]</f>
        <v>0</v>
      </c>
      <c r="K2526" s="7" t="str">
        <f>IFERROR(INDEX(tbl_ProduitsRef[Famille], MATCH(tbl_Ventes[[#This Row],[Cde_Prdt]], tbl_Produits[Cde_Prdt], 0)), "")</f>
        <v/>
      </c>
    </row>
    <row r="2527" spans="1:11" x14ac:dyDescent="0.25">
      <c r="A2527" s="5"/>
      <c r="B2527" s="63" t="str">
        <f>IFERROR(TEXT(tbl_Ventes[[#This Row],[Date]],"mm-aaaa"),"")</f>
        <v>01-1900</v>
      </c>
      <c r="D2527" s="10" t="str">
        <f>IFERROR(
   INDEX(tbl_ProduitsRef[Cde_Prdt],MATCH(tbl_Ventes[[#This Row],[Produit]],tbl_ProduitsRef[Produit],0)),
   ""
)</f>
        <v/>
      </c>
      <c r="E2527" s="7">
        <v>0</v>
      </c>
      <c r="F2527" s="7" t="str">
        <f>IFERROR(
   INDEX(tbl_ProduitsRef[Prix Menu],MATCH(tbl_Ventes[[#This Row],[Produit]],tbl_ProduitsRef[Produit],0)),
   ""
)</f>
        <v/>
      </c>
      <c r="G2527" s="7">
        <f>tbl_Ventes[[#This Row],[Qté Vendue]] * IFERROR(_xlfn.XLOOKUP(tbl_Ventes[[#This Row],[Cde_Prdt]], tbl_Produits[Cde_Prdt], tbl_Produits[Prix Menu]), 0)</f>
        <v>0</v>
      </c>
      <c r="H2527" s="7">
        <f>IFERROR(_xlfn.XLOOKUP(tbl_Ventes[[#This Row],[Cde_Prdt]], tbl_Produits[Cde_Prdt], tbl_Produits[Coût Moyen Portion]), 0)</f>
        <v>0</v>
      </c>
      <c r="I2527" s="7">
        <f>tbl_Ventes[[#This Row],[Qté Vendue]] * tbl_Ventes[[#This Row],[CMP_par_portion]]</f>
        <v>0</v>
      </c>
      <c r="J2527" s="7">
        <f>tbl_Ventes[[#This Row],[CA ligne]] - tbl_Ventes[[#This Row],[Coût matière ligne]]</f>
        <v>0</v>
      </c>
      <c r="K2527" s="7" t="str">
        <f>IFERROR(INDEX(tbl_ProduitsRef[Famille], MATCH(tbl_Ventes[[#This Row],[Cde_Prdt]], tbl_Produits[Cde_Prdt], 0)), "")</f>
        <v/>
      </c>
    </row>
    <row r="2528" spans="1:11" x14ac:dyDescent="0.25">
      <c r="A2528" s="5"/>
      <c r="B2528" s="63" t="str">
        <f>IFERROR(TEXT(tbl_Ventes[[#This Row],[Date]],"mm-aaaa"),"")</f>
        <v>01-1900</v>
      </c>
      <c r="D2528" s="10" t="str">
        <f>IFERROR(
   INDEX(tbl_ProduitsRef[Cde_Prdt],MATCH(tbl_Ventes[[#This Row],[Produit]],tbl_ProduitsRef[Produit],0)),
   ""
)</f>
        <v/>
      </c>
      <c r="E2528" s="7">
        <v>0</v>
      </c>
      <c r="F2528" s="7" t="str">
        <f>IFERROR(
   INDEX(tbl_ProduitsRef[Prix Menu],MATCH(tbl_Ventes[[#This Row],[Produit]],tbl_ProduitsRef[Produit],0)),
   ""
)</f>
        <v/>
      </c>
      <c r="G2528" s="7">
        <f>tbl_Ventes[[#This Row],[Qté Vendue]] * IFERROR(_xlfn.XLOOKUP(tbl_Ventes[[#This Row],[Cde_Prdt]], tbl_Produits[Cde_Prdt], tbl_Produits[Prix Menu]), 0)</f>
        <v>0</v>
      </c>
      <c r="H2528" s="7">
        <f>IFERROR(_xlfn.XLOOKUP(tbl_Ventes[[#This Row],[Cde_Prdt]], tbl_Produits[Cde_Prdt], tbl_Produits[Coût Moyen Portion]), 0)</f>
        <v>0</v>
      </c>
      <c r="I2528" s="7">
        <f>tbl_Ventes[[#This Row],[Qté Vendue]] * tbl_Ventes[[#This Row],[CMP_par_portion]]</f>
        <v>0</v>
      </c>
      <c r="J2528" s="7">
        <f>tbl_Ventes[[#This Row],[CA ligne]] - tbl_Ventes[[#This Row],[Coût matière ligne]]</f>
        <v>0</v>
      </c>
      <c r="K2528" s="7" t="str">
        <f>IFERROR(INDEX(tbl_ProduitsRef[Famille], MATCH(tbl_Ventes[[#This Row],[Cde_Prdt]], tbl_Produits[Cde_Prdt], 0)), "")</f>
        <v/>
      </c>
    </row>
    <row r="2529" spans="1:11" x14ac:dyDescent="0.25">
      <c r="A2529" s="5"/>
      <c r="B2529" s="63" t="str">
        <f>IFERROR(TEXT(tbl_Ventes[[#This Row],[Date]],"mm-aaaa"),"")</f>
        <v>01-1900</v>
      </c>
      <c r="D2529" s="10" t="str">
        <f>IFERROR(
   INDEX(tbl_ProduitsRef[Cde_Prdt],MATCH(tbl_Ventes[[#This Row],[Produit]],tbl_ProduitsRef[Produit],0)),
   ""
)</f>
        <v/>
      </c>
      <c r="E2529" s="7">
        <v>0</v>
      </c>
      <c r="F2529" s="7" t="str">
        <f>IFERROR(
   INDEX(tbl_ProduitsRef[Prix Menu],MATCH(tbl_Ventes[[#This Row],[Produit]],tbl_ProduitsRef[Produit],0)),
   ""
)</f>
        <v/>
      </c>
      <c r="G2529" s="7">
        <f>tbl_Ventes[[#This Row],[Qté Vendue]] * IFERROR(_xlfn.XLOOKUP(tbl_Ventes[[#This Row],[Cde_Prdt]], tbl_Produits[Cde_Prdt], tbl_Produits[Prix Menu]), 0)</f>
        <v>0</v>
      </c>
      <c r="H2529" s="7">
        <f>IFERROR(_xlfn.XLOOKUP(tbl_Ventes[[#This Row],[Cde_Prdt]], tbl_Produits[Cde_Prdt], tbl_Produits[Coût Moyen Portion]), 0)</f>
        <v>0</v>
      </c>
      <c r="I2529" s="7">
        <f>tbl_Ventes[[#This Row],[Qté Vendue]] * tbl_Ventes[[#This Row],[CMP_par_portion]]</f>
        <v>0</v>
      </c>
      <c r="J2529" s="7">
        <f>tbl_Ventes[[#This Row],[CA ligne]] - tbl_Ventes[[#This Row],[Coût matière ligne]]</f>
        <v>0</v>
      </c>
      <c r="K2529" s="7" t="str">
        <f>IFERROR(INDEX(tbl_ProduitsRef[Famille], MATCH(tbl_Ventes[[#This Row],[Cde_Prdt]], tbl_Produits[Cde_Prdt], 0)), "")</f>
        <v/>
      </c>
    </row>
    <row r="2530" spans="1:11" x14ac:dyDescent="0.25">
      <c r="A2530" s="5"/>
      <c r="B2530" s="63" t="str">
        <f>IFERROR(TEXT(tbl_Ventes[[#This Row],[Date]],"mm-aaaa"),"")</f>
        <v>01-1900</v>
      </c>
      <c r="D2530" s="10" t="str">
        <f>IFERROR(
   INDEX(tbl_ProduitsRef[Cde_Prdt],MATCH(tbl_Ventes[[#This Row],[Produit]],tbl_ProduitsRef[Produit],0)),
   ""
)</f>
        <v/>
      </c>
      <c r="E2530" s="7">
        <v>0</v>
      </c>
      <c r="F2530" s="7" t="str">
        <f>IFERROR(
   INDEX(tbl_ProduitsRef[Prix Menu],MATCH(tbl_Ventes[[#This Row],[Produit]],tbl_ProduitsRef[Produit],0)),
   ""
)</f>
        <v/>
      </c>
      <c r="G2530" s="7">
        <f>tbl_Ventes[[#This Row],[Qté Vendue]] * IFERROR(_xlfn.XLOOKUP(tbl_Ventes[[#This Row],[Cde_Prdt]], tbl_Produits[Cde_Prdt], tbl_Produits[Prix Menu]), 0)</f>
        <v>0</v>
      </c>
      <c r="H2530" s="7">
        <f>IFERROR(_xlfn.XLOOKUP(tbl_Ventes[[#This Row],[Cde_Prdt]], tbl_Produits[Cde_Prdt], tbl_Produits[Coût Moyen Portion]), 0)</f>
        <v>0</v>
      </c>
      <c r="I2530" s="7">
        <f>tbl_Ventes[[#This Row],[Qté Vendue]] * tbl_Ventes[[#This Row],[CMP_par_portion]]</f>
        <v>0</v>
      </c>
      <c r="J2530" s="7">
        <f>tbl_Ventes[[#This Row],[CA ligne]] - tbl_Ventes[[#This Row],[Coût matière ligne]]</f>
        <v>0</v>
      </c>
      <c r="K2530" s="7" t="str">
        <f>IFERROR(INDEX(tbl_ProduitsRef[Famille], MATCH(tbl_Ventes[[#This Row],[Cde_Prdt]], tbl_Produits[Cde_Prdt], 0)), "")</f>
        <v/>
      </c>
    </row>
    <row r="2531" spans="1:11" x14ac:dyDescent="0.25">
      <c r="A2531" s="5"/>
      <c r="B2531" s="63" t="str">
        <f>IFERROR(TEXT(tbl_Ventes[[#This Row],[Date]],"mm-aaaa"),"")</f>
        <v>01-1900</v>
      </c>
      <c r="D2531" s="10" t="str">
        <f>IFERROR(
   INDEX(tbl_ProduitsRef[Cde_Prdt],MATCH(tbl_Ventes[[#This Row],[Produit]],tbl_ProduitsRef[Produit],0)),
   ""
)</f>
        <v/>
      </c>
      <c r="E2531" s="7">
        <v>0</v>
      </c>
      <c r="F2531" s="7" t="str">
        <f>IFERROR(
   INDEX(tbl_ProduitsRef[Prix Menu],MATCH(tbl_Ventes[[#This Row],[Produit]],tbl_ProduitsRef[Produit],0)),
   ""
)</f>
        <v/>
      </c>
      <c r="G2531" s="7">
        <f>tbl_Ventes[[#This Row],[Qté Vendue]] * IFERROR(_xlfn.XLOOKUP(tbl_Ventes[[#This Row],[Cde_Prdt]], tbl_Produits[Cde_Prdt], tbl_Produits[Prix Menu]), 0)</f>
        <v>0</v>
      </c>
      <c r="H2531" s="7">
        <f>IFERROR(_xlfn.XLOOKUP(tbl_Ventes[[#This Row],[Cde_Prdt]], tbl_Produits[Cde_Prdt], tbl_Produits[Coût Moyen Portion]), 0)</f>
        <v>0</v>
      </c>
      <c r="I2531" s="7">
        <f>tbl_Ventes[[#This Row],[Qté Vendue]] * tbl_Ventes[[#This Row],[CMP_par_portion]]</f>
        <v>0</v>
      </c>
      <c r="J2531" s="7">
        <f>tbl_Ventes[[#This Row],[CA ligne]] - tbl_Ventes[[#This Row],[Coût matière ligne]]</f>
        <v>0</v>
      </c>
      <c r="K2531" s="7" t="str">
        <f>IFERROR(INDEX(tbl_ProduitsRef[Famille], MATCH(tbl_Ventes[[#This Row],[Cde_Prdt]], tbl_Produits[Cde_Prdt], 0)), "")</f>
        <v/>
      </c>
    </row>
    <row r="2532" spans="1:11" x14ac:dyDescent="0.25">
      <c r="A2532" s="5"/>
      <c r="B2532" s="63" t="str">
        <f>IFERROR(TEXT(tbl_Ventes[[#This Row],[Date]],"mm-aaaa"),"")</f>
        <v>01-1900</v>
      </c>
      <c r="D2532" s="10" t="str">
        <f>IFERROR(
   INDEX(tbl_ProduitsRef[Cde_Prdt],MATCH(tbl_Ventes[[#This Row],[Produit]],tbl_ProduitsRef[Produit],0)),
   ""
)</f>
        <v/>
      </c>
      <c r="E2532" s="7">
        <v>0</v>
      </c>
      <c r="F2532" s="7" t="str">
        <f>IFERROR(
   INDEX(tbl_ProduitsRef[Prix Menu],MATCH(tbl_Ventes[[#This Row],[Produit]],tbl_ProduitsRef[Produit],0)),
   ""
)</f>
        <v/>
      </c>
      <c r="G2532" s="7">
        <f>tbl_Ventes[[#This Row],[Qté Vendue]] * IFERROR(_xlfn.XLOOKUP(tbl_Ventes[[#This Row],[Cde_Prdt]], tbl_Produits[Cde_Prdt], tbl_Produits[Prix Menu]), 0)</f>
        <v>0</v>
      </c>
      <c r="H2532" s="7">
        <f>IFERROR(_xlfn.XLOOKUP(tbl_Ventes[[#This Row],[Cde_Prdt]], tbl_Produits[Cde_Prdt], tbl_Produits[Coût Moyen Portion]), 0)</f>
        <v>0</v>
      </c>
      <c r="I2532" s="7">
        <f>tbl_Ventes[[#This Row],[Qté Vendue]] * tbl_Ventes[[#This Row],[CMP_par_portion]]</f>
        <v>0</v>
      </c>
      <c r="J2532" s="7">
        <f>tbl_Ventes[[#This Row],[CA ligne]] - tbl_Ventes[[#This Row],[Coût matière ligne]]</f>
        <v>0</v>
      </c>
      <c r="K2532" s="7" t="str">
        <f>IFERROR(INDEX(tbl_ProduitsRef[Famille], MATCH(tbl_Ventes[[#This Row],[Cde_Prdt]], tbl_Produits[Cde_Prdt], 0)), "")</f>
        <v/>
      </c>
    </row>
    <row r="2533" spans="1:11" x14ac:dyDescent="0.25">
      <c r="A2533" s="5"/>
      <c r="B2533" s="63" t="str">
        <f>IFERROR(TEXT(tbl_Ventes[[#This Row],[Date]],"mm-aaaa"),"")</f>
        <v>01-1900</v>
      </c>
      <c r="D2533" s="10" t="str">
        <f>IFERROR(
   INDEX(tbl_ProduitsRef[Cde_Prdt],MATCH(tbl_Ventes[[#This Row],[Produit]],tbl_ProduitsRef[Produit],0)),
   ""
)</f>
        <v/>
      </c>
      <c r="E2533" s="7">
        <v>0</v>
      </c>
      <c r="F2533" s="7" t="str">
        <f>IFERROR(
   INDEX(tbl_ProduitsRef[Prix Menu],MATCH(tbl_Ventes[[#This Row],[Produit]],tbl_ProduitsRef[Produit],0)),
   ""
)</f>
        <v/>
      </c>
      <c r="G2533" s="7">
        <f>tbl_Ventes[[#This Row],[Qté Vendue]] * IFERROR(_xlfn.XLOOKUP(tbl_Ventes[[#This Row],[Cde_Prdt]], tbl_Produits[Cde_Prdt], tbl_Produits[Prix Menu]), 0)</f>
        <v>0</v>
      </c>
      <c r="H2533" s="7">
        <f>IFERROR(_xlfn.XLOOKUP(tbl_Ventes[[#This Row],[Cde_Prdt]], tbl_Produits[Cde_Prdt], tbl_Produits[Coût Moyen Portion]), 0)</f>
        <v>0</v>
      </c>
      <c r="I2533" s="7">
        <f>tbl_Ventes[[#This Row],[Qté Vendue]] * tbl_Ventes[[#This Row],[CMP_par_portion]]</f>
        <v>0</v>
      </c>
      <c r="J2533" s="7">
        <f>tbl_Ventes[[#This Row],[CA ligne]] - tbl_Ventes[[#This Row],[Coût matière ligne]]</f>
        <v>0</v>
      </c>
      <c r="K2533" s="7" t="str">
        <f>IFERROR(INDEX(tbl_ProduitsRef[Famille], MATCH(tbl_Ventes[[#This Row],[Cde_Prdt]], tbl_Produits[Cde_Prdt], 0)), "")</f>
        <v/>
      </c>
    </row>
    <row r="2534" spans="1:11" x14ac:dyDescent="0.25">
      <c r="A2534" s="5"/>
      <c r="B2534" s="63" t="str">
        <f>IFERROR(TEXT(tbl_Ventes[[#This Row],[Date]],"mm-aaaa"),"")</f>
        <v>01-1900</v>
      </c>
      <c r="D2534" s="10" t="str">
        <f>IFERROR(
   INDEX(tbl_ProduitsRef[Cde_Prdt],MATCH(tbl_Ventes[[#This Row],[Produit]],tbl_ProduitsRef[Produit],0)),
   ""
)</f>
        <v/>
      </c>
      <c r="E2534" s="7">
        <v>0</v>
      </c>
      <c r="F2534" s="7" t="str">
        <f>IFERROR(
   INDEX(tbl_ProduitsRef[Prix Menu],MATCH(tbl_Ventes[[#This Row],[Produit]],tbl_ProduitsRef[Produit],0)),
   ""
)</f>
        <v/>
      </c>
      <c r="G2534" s="7">
        <f>tbl_Ventes[[#This Row],[Qté Vendue]] * IFERROR(_xlfn.XLOOKUP(tbl_Ventes[[#This Row],[Cde_Prdt]], tbl_Produits[Cde_Prdt], tbl_Produits[Prix Menu]), 0)</f>
        <v>0</v>
      </c>
      <c r="H2534" s="7">
        <f>IFERROR(_xlfn.XLOOKUP(tbl_Ventes[[#This Row],[Cde_Prdt]], tbl_Produits[Cde_Prdt], tbl_Produits[Coût Moyen Portion]), 0)</f>
        <v>0</v>
      </c>
      <c r="I2534" s="7">
        <f>tbl_Ventes[[#This Row],[Qté Vendue]] * tbl_Ventes[[#This Row],[CMP_par_portion]]</f>
        <v>0</v>
      </c>
      <c r="J2534" s="7">
        <f>tbl_Ventes[[#This Row],[CA ligne]] - tbl_Ventes[[#This Row],[Coût matière ligne]]</f>
        <v>0</v>
      </c>
      <c r="K2534" s="7" t="str">
        <f>IFERROR(INDEX(tbl_ProduitsRef[Famille], MATCH(tbl_Ventes[[#This Row],[Cde_Prdt]], tbl_Produits[Cde_Prdt], 0)), "")</f>
        <v/>
      </c>
    </row>
    <row r="2535" spans="1:11" x14ac:dyDescent="0.25">
      <c r="A2535" s="5"/>
      <c r="B2535" s="63" t="str">
        <f>IFERROR(TEXT(tbl_Ventes[[#This Row],[Date]],"mm-aaaa"),"")</f>
        <v>01-1900</v>
      </c>
      <c r="D2535" s="10" t="str">
        <f>IFERROR(
   INDEX(tbl_ProduitsRef[Cde_Prdt],MATCH(tbl_Ventes[[#This Row],[Produit]],tbl_ProduitsRef[Produit],0)),
   ""
)</f>
        <v/>
      </c>
      <c r="E2535" s="7">
        <v>0</v>
      </c>
      <c r="F2535" s="7" t="str">
        <f>IFERROR(
   INDEX(tbl_ProduitsRef[Prix Menu],MATCH(tbl_Ventes[[#This Row],[Produit]],tbl_ProduitsRef[Produit],0)),
   ""
)</f>
        <v/>
      </c>
      <c r="G2535" s="7">
        <f>tbl_Ventes[[#This Row],[Qté Vendue]] * IFERROR(_xlfn.XLOOKUP(tbl_Ventes[[#This Row],[Cde_Prdt]], tbl_Produits[Cde_Prdt], tbl_Produits[Prix Menu]), 0)</f>
        <v>0</v>
      </c>
      <c r="H2535" s="7">
        <f>IFERROR(_xlfn.XLOOKUP(tbl_Ventes[[#This Row],[Cde_Prdt]], tbl_Produits[Cde_Prdt], tbl_Produits[Coût Moyen Portion]), 0)</f>
        <v>0</v>
      </c>
      <c r="I2535" s="7">
        <f>tbl_Ventes[[#This Row],[Qté Vendue]] * tbl_Ventes[[#This Row],[CMP_par_portion]]</f>
        <v>0</v>
      </c>
      <c r="J2535" s="7">
        <f>tbl_Ventes[[#This Row],[CA ligne]] - tbl_Ventes[[#This Row],[Coût matière ligne]]</f>
        <v>0</v>
      </c>
      <c r="K2535" s="7" t="str">
        <f>IFERROR(INDEX(tbl_ProduitsRef[Famille], MATCH(tbl_Ventes[[#This Row],[Cde_Prdt]], tbl_Produits[Cde_Prdt], 0)), "")</f>
        <v/>
      </c>
    </row>
    <row r="2536" spans="1:11" x14ac:dyDescent="0.25">
      <c r="A2536" s="5"/>
      <c r="B2536" s="63" t="str">
        <f>IFERROR(TEXT(tbl_Ventes[[#This Row],[Date]],"mm-aaaa"),"")</f>
        <v>01-1900</v>
      </c>
      <c r="D2536" s="10" t="str">
        <f>IFERROR(
   INDEX(tbl_ProduitsRef[Cde_Prdt],MATCH(tbl_Ventes[[#This Row],[Produit]],tbl_ProduitsRef[Produit],0)),
   ""
)</f>
        <v/>
      </c>
      <c r="E2536" s="7">
        <v>0</v>
      </c>
      <c r="F2536" s="7" t="str">
        <f>IFERROR(
   INDEX(tbl_ProduitsRef[Prix Menu],MATCH(tbl_Ventes[[#This Row],[Produit]],tbl_ProduitsRef[Produit],0)),
   ""
)</f>
        <v/>
      </c>
      <c r="G2536" s="7">
        <f>tbl_Ventes[[#This Row],[Qté Vendue]] * IFERROR(_xlfn.XLOOKUP(tbl_Ventes[[#This Row],[Cde_Prdt]], tbl_Produits[Cde_Prdt], tbl_Produits[Prix Menu]), 0)</f>
        <v>0</v>
      </c>
      <c r="H2536" s="7">
        <f>IFERROR(_xlfn.XLOOKUP(tbl_Ventes[[#This Row],[Cde_Prdt]], tbl_Produits[Cde_Prdt], tbl_Produits[Coût Moyen Portion]), 0)</f>
        <v>0</v>
      </c>
      <c r="I2536" s="7">
        <f>tbl_Ventes[[#This Row],[Qté Vendue]] * tbl_Ventes[[#This Row],[CMP_par_portion]]</f>
        <v>0</v>
      </c>
      <c r="J2536" s="7">
        <f>tbl_Ventes[[#This Row],[CA ligne]] - tbl_Ventes[[#This Row],[Coût matière ligne]]</f>
        <v>0</v>
      </c>
      <c r="K2536" s="7" t="str">
        <f>IFERROR(INDEX(tbl_ProduitsRef[Famille], MATCH(tbl_Ventes[[#This Row],[Cde_Prdt]], tbl_Produits[Cde_Prdt], 0)), "")</f>
        <v/>
      </c>
    </row>
    <row r="2537" spans="1:11" x14ac:dyDescent="0.25">
      <c r="A2537" s="5"/>
      <c r="B2537" s="63" t="str">
        <f>IFERROR(TEXT(tbl_Ventes[[#This Row],[Date]],"mm-aaaa"),"")</f>
        <v>01-1900</v>
      </c>
      <c r="D2537" s="10" t="str">
        <f>IFERROR(
   INDEX(tbl_ProduitsRef[Cde_Prdt],MATCH(tbl_Ventes[[#This Row],[Produit]],tbl_ProduitsRef[Produit],0)),
   ""
)</f>
        <v/>
      </c>
      <c r="E2537" s="7">
        <v>0</v>
      </c>
      <c r="F2537" s="7" t="str">
        <f>IFERROR(
   INDEX(tbl_ProduitsRef[Prix Menu],MATCH(tbl_Ventes[[#This Row],[Produit]],tbl_ProduitsRef[Produit],0)),
   ""
)</f>
        <v/>
      </c>
      <c r="G2537" s="7">
        <f>tbl_Ventes[[#This Row],[Qté Vendue]] * IFERROR(_xlfn.XLOOKUP(tbl_Ventes[[#This Row],[Cde_Prdt]], tbl_Produits[Cde_Prdt], tbl_Produits[Prix Menu]), 0)</f>
        <v>0</v>
      </c>
      <c r="H2537" s="7">
        <f>IFERROR(_xlfn.XLOOKUP(tbl_Ventes[[#This Row],[Cde_Prdt]], tbl_Produits[Cde_Prdt], tbl_Produits[Coût Moyen Portion]), 0)</f>
        <v>0</v>
      </c>
      <c r="I2537" s="7">
        <f>tbl_Ventes[[#This Row],[Qté Vendue]] * tbl_Ventes[[#This Row],[CMP_par_portion]]</f>
        <v>0</v>
      </c>
      <c r="J2537" s="7">
        <f>tbl_Ventes[[#This Row],[CA ligne]] - tbl_Ventes[[#This Row],[Coût matière ligne]]</f>
        <v>0</v>
      </c>
      <c r="K2537" s="7" t="str">
        <f>IFERROR(INDEX(tbl_ProduitsRef[Famille], MATCH(tbl_Ventes[[#This Row],[Cde_Prdt]], tbl_Produits[Cde_Prdt], 0)), "")</f>
        <v/>
      </c>
    </row>
    <row r="2538" spans="1:11" x14ac:dyDescent="0.25">
      <c r="A2538" s="5"/>
      <c r="B2538" s="63" t="str">
        <f>IFERROR(TEXT(tbl_Ventes[[#This Row],[Date]],"mm-aaaa"),"")</f>
        <v>01-1900</v>
      </c>
      <c r="D2538" s="10" t="str">
        <f>IFERROR(
   INDEX(tbl_ProduitsRef[Cde_Prdt],MATCH(tbl_Ventes[[#This Row],[Produit]],tbl_ProduitsRef[Produit],0)),
   ""
)</f>
        <v/>
      </c>
      <c r="E2538" s="7">
        <v>0</v>
      </c>
      <c r="F2538" s="7" t="str">
        <f>IFERROR(
   INDEX(tbl_ProduitsRef[Prix Menu],MATCH(tbl_Ventes[[#This Row],[Produit]],tbl_ProduitsRef[Produit],0)),
   ""
)</f>
        <v/>
      </c>
      <c r="G2538" s="7">
        <f>tbl_Ventes[[#This Row],[Qté Vendue]] * IFERROR(_xlfn.XLOOKUP(tbl_Ventes[[#This Row],[Cde_Prdt]], tbl_Produits[Cde_Prdt], tbl_Produits[Prix Menu]), 0)</f>
        <v>0</v>
      </c>
      <c r="H2538" s="7">
        <f>IFERROR(_xlfn.XLOOKUP(tbl_Ventes[[#This Row],[Cde_Prdt]], tbl_Produits[Cde_Prdt], tbl_Produits[Coût Moyen Portion]), 0)</f>
        <v>0</v>
      </c>
      <c r="I2538" s="7">
        <f>tbl_Ventes[[#This Row],[Qté Vendue]] * tbl_Ventes[[#This Row],[CMP_par_portion]]</f>
        <v>0</v>
      </c>
      <c r="J2538" s="7">
        <f>tbl_Ventes[[#This Row],[CA ligne]] - tbl_Ventes[[#This Row],[Coût matière ligne]]</f>
        <v>0</v>
      </c>
      <c r="K2538" s="7" t="str">
        <f>IFERROR(INDEX(tbl_ProduitsRef[Famille], MATCH(tbl_Ventes[[#This Row],[Cde_Prdt]], tbl_Produits[Cde_Prdt], 0)), "")</f>
        <v/>
      </c>
    </row>
    <row r="2539" spans="1:11" x14ac:dyDescent="0.25">
      <c r="A2539" s="5"/>
      <c r="B2539" s="63" t="str">
        <f>IFERROR(TEXT(tbl_Ventes[[#This Row],[Date]],"mm-aaaa"),"")</f>
        <v>01-1900</v>
      </c>
      <c r="D2539" s="10" t="str">
        <f>IFERROR(
   INDEX(tbl_ProduitsRef[Cde_Prdt],MATCH(tbl_Ventes[[#This Row],[Produit]],tbl_ProduitsRef[Produit],0)),
   ""
)</f>
        <v/>
      </c>
      <c r="E2539" s="7">
        <v>0</v>
      </c>
      <c r="F2539" s="7" t="str">
        <f>IFERROR(
   INDEX(tbl_ProduitsRef[Prix Menu],MATCH(tbl_Ventes[[#This Row],[Produit]],tbl_ProduitsRef[Produit],0)),
   ""
)</f>
        <v/>
      </c>
      <c r="G2539" s="7">
        <f>tbl_Ventes[[#This Row],[Qté Vendue]] * IFERROR(_xlfn.XLOOKUP(tbl_Ventes[[#This Row],[Cde_Prdt]], tbl_Produits[Cde_Prdt], tbl_Produits[Prix Menu]), 0)</f>
        <v>0</v>
      </c>
      <c r="H2539" s="7">
        <f>IFERROR(_xlfn.XLOOKUP(tbl_Ventes[[#This Row],[Cde_Prdt]], tbl_Produits[Cde_Prdt], tbl_Produits[Coût Moyen Portion]), 0)</f>
        <v>0</v>
      </c>
      <c r="I2539" s="7">
        <f>tbl_Ventes[[#This Row],[Qté Vendue]] * tbl_Ventes[[#This Row],[CMP_par_portion]]</f>
        <v>0</v>
      </c>
      <c r="J2539" s="7">
        <f>tbl_Ventes[[#This Row],[CA ligne]] - tbl_Ventes[[#This Row],[Coût matière ligne]]</f>
        <v>0</v>
      </c>
      <c r="K2539" s="7" t="str">
        <f>IFERROR(INDEX(tbl_ProduitsRef[Famille], MATCH(tbl_Ventes[[#This Row],[Cde_Prdt]], tbl_Produits[Cde_Prdt], 0)), "")</f>
        <v/>
      </c>
    </row>
    <row r="2540" spans="1:11" x14ac:dyDescent="0.25">
      <c r="A2540" s="5"/>
      <c r="B2540" s="63" t="str">
        <f>IFERROR(TEXT(tbl_Ventes[[#This Row],[Date]],"mm-aaaa"),"")</f>
        <v>01-1900</v>
      </c>
      <c r="D2540" s="10" t="str">
        <f>IFERROR(
   INDEX(tbl_ProduitsRef[Cde_Prdt],MATCH(tbl_Ventes[[#This Row],[Produit]],tbl_ProduitsRef[Produit],0)),
   ""
)</f>
        <v/>
      </c>
      <c r="E2540" s="7">
        <v>0</v>
      </c>
      <c r="F2540" s="7" t="str">
        <f>IFERROR(
   INDEX(tbl_ProduitsRef[Prix Menu],MATCH(tbl_Ventes[[#This Row],[Produit]],tbl_ProduitsRef[Produit],0)),
   ""
)</f>
        <v/>
      </c>
      <c r="G2540" s="7">
        <f>tbl_Ventes[[#This Row],[Qté Vendue]] * IFERROR(_xlfn.XLOOKUP(tbl_Ventes[[#This Row],[Cde_Prdt]], tbl_Produits[Cde_Prdt], tbl_Produits[Prix Menu]), 0)</f>
        <v>0</v>
      </c>
      <c r="H2540" s="7">
        <f>IFERROR(_xlfn.XLOOKUP(tbl_Ventes[[#This Row],[Cde_Prdt]], tbl_Produits[Cde_Prdt], tbl_Produits[Coût Moyen Portion]), 0)</f>
        <v>0</v>
      </c>
      <c r="I2540" s="7">
        <f>tbl_Ventes[[#This Row],[Qté Vendue]] * tbl_Ventes[[#This Row],[CMP_par_portion]]</f>
        <v>0</v>
      </c>
      <c r="J2540" s="7">
        <f>tbl_Ventes[[#This Row],[CA ligne]] - tbl_Ventes[[#This Row],[Coût matière ligne]]</f>
        <v>0</v>
      </c>
      <c r="K2540" s="7" t="str">
        <f>IFERROR(INDEX(tbl_ProduitsRef[Famille], MATCH(tbl_Ventes[[#This Row],[Cde_Prdt]], tbl_Produits[Cde_Prdt], 0)), "")</f>
        <v/>
      </c>
    </row>
    <row r="2541" spans="1:11" x14ac:dyDescent="0.25">
      <c r="A2541" s="5"/>
      <c r="B2541" s="63" t="str">
        <f>IFERROR(TEXT(tbl_Ventes[[#This Row],[Date]],"mm-aaaa"),"")</f>
        <v>01-1900</v>
      </c>
      <c r="D2541" s="10" t="str">
        <f>IFERROR(
   INDEX(tbl_ProduitsRef[Cde_Prdt],MATCH(tbl_Ventes[[#This Row],[Produit]],tbl_ProduitsRef[Produit],0)),
   ""
)</f>
        <v/>
      </c>
      <c r="E2541" s="7">
        <v>0</v>
      </c>
      <c r="F2541" s="7" t="str">
        <f>IFERROR(
   INDEX(tbl_ProduitsRef[Prix Menu],MATCH(tbl_Ventes[[#This Row],[Produit]],tbl_ProduitsRef[Produit],0)),
   ""
)</f>
        <v/>
      </c>
      <c r="G2541" s="7">
        <f>tbl_Ventes[[#This Row],[Qté Vendue]] * IFERROR(_xlfn.XLOOKUP(tbl_Ventes[[#This Row],[Cde_Prdt]], tbl_Produits[Cde_Prdt], tbl_Produits[Prix Menu]), 0)</f>
        <v>0</v>
      </c>
      <c r="H2541" s="7">
        <f>IFERROR(_xlfn.XLOOKUP(tbl_Ventes[[#This Row],[Cde_Prdt]], tbl_Produits[Cde_Prdt], tbl_Produits[Coût Moyen Portion]), 0)</f>
        <v>0</v>
      </c>
      <c r="I2541" s="7">
        <f>tbl_Ventes[[#This Row],[Qté Vendue]] * tbl_Ventes[[#This Row],[CMP_par_portion]]</f>
        <v>0</v>
      </c>
      <c r="J2541" s="7">
        <f>tbl_Ventes[[#This Row],[CA ligne]] - tbl_Ventes[[#This Row],[Coût matière ligne]]</f>
        <v>0</v>
      </c>
      <c r="K2541" s="7" t="str">
        <f>IFERROR(INDEX(tbl_ProduitsRef[Famille], MATCH(tbl_Ventes[[#This Row],[Cde_Prdt]], tbl_Produits[Cde_Prdt], 0)), "")</f>
        <v/>
      </c>
    </row>
    <row r="2542" spans="1:11" x14ac:dyDescent="0.25">
      <c r="A2542" s="5"/>
      <c r="B2542" s="63" t="str">
        <f>IFERROR(TEXT(tbl_Ventes[[#This Row],[Date]],"mm-aaaa"),"")</f>
        <v>01-1900</v>
      </c>
      <c r="D2542" s="10" t="str">
        <f>IFERROR(
   INDEX(tbl_ProduitsRef[Cde_Prdt],MATCH(tbl_Ventes[[#This Row],[Produit]],tbl_ProduitsRef[Produit],0)),
   ""
)</f>
        <v/>
      </c>
      <c r="E2542" s="7">
        <v>0</v>
      </c>
      <c r="F2542" s="7" t="str">
        <f>IFERROR(
   INDEX(tbl_ProduitsRef[Prix Menu],MATCH(tbl_Ventes[[#This Row],[Produit]],tbl_ProduitsRef[Produit],0)),
   ""
)</f>
        <v/>
      </c>
      <c r="G2542" s="7">
        <f>tbl_Ventes[[#This Row],[Qté Vendue]] * IFERROR(_xlfn.XLOOKUP(tbl_Ventes[[#This Row],[Cde_Prdt]], tbl_Produits[Cde_Prdt], tbl_Produits[Prix Menu]), 0)</f>
        <v>0</v>
      </c>
      <c r="H2542" s="7">
        <f>IFERROR(_xlfn.XLOOKUP(tbl_Ventes[[#This Row],[Cde_Prdt]], tbl_Produits[Cde_Prdt], tbl_Produits[Coût Moyen Portion]), 0)</f>
        <v>0</v>
      </c>
      <c r="I2542" s="7">
        <f>tbl_Ventes[[#This Row],[Qté Vendue]] * tbl_Ventes[[#This Row],[CMP_par_portion]]</f>
        <v>0</v>
      </c>
      <c r="J2542" s="7">
        <f>tbl_Ventes[[#This Row],[CA ligne]] - tbl_Ventes[[#This Row],[Coût matière ligne]]</f>
        <v>0</v>
      </c>
      <c r="K2542" s="7" t="str">
        <f>IFERROR(INDEX(tbl_ProduitsRef[Famille], MATCH(tbl_Ventes[[#This Row],[Cde_Prdt]], tbl_Produits[Cde_Prdt], 0)), "")</f>
        <v/>
      </c>
    </row>
    <row r="2543" spans="1:11" x14ac:dyDescent="0.25">
      <c r="A2543" s="5"/>
      <c r="B2543" s="63" t="str">
        <f>IFERROR(TEXT(tbl_Ventes[[#This Row],[Date]],"mm-aaaa"),"")</f>
        <v>01-1900</v>
      </c>
      <c r="D2543" s="10" t="str">
        <f>IFERROR(
   INDEX(tbl_ProduitsRef[Cde_Prdt],MATCH(tbl_Ventes[[#This Row],[Produit]],tbl_ProduitsRef[Produit],0)),
   ""
)</f>
        <v/>
      </c>
      <c r="E2543" s="7">
        <v>0</v>
      </c>
      <c r="F2543" s="7" t="str">
        <f>IFERROR(
   INDEX(tbl_ProduitsRef[Prix Menu],MATCH(tbl_Ventes[[#This Row],[Produit]],tbl_ProduitsRef[Produit],0)),
   ""
)</f>
        <v/>
      </c>
      <c r="G2543" s="7">
        <f>tbl_Ventes[[#This Row],[Qté Vendue]] * IFERROR(_xlfn.XLOOKUP(tbl_Ventes[[#This Row],[Cde_Prdt]], tbl_Produits[Cde_Prdt], tbl_Produits[Prix Menu]), 0)</f>
        <v>0</v>
      </c>
      <c r="H2543" s="7">
        <f>IFERROR(_xlfn.XLOOKUP(tbl_Ventes[[#This Row],[Cde_Prdt]], tbl_Produits[Cde_Prdt], tbl_Produits[Coût Moyen Portion]), 0)</f>
        <v>0</v>
      </c>
      <c r="I2543" s="7">
        <f>tbl_Ventes[[#This Row],[Qté Vendue]] * tbl_Ventes[[#This Row],[CMP_par_portion]]</f>
        <v>0</v>
      </c>
      <c r="J2543" s="7">
        <f>tbl_Ventes[[#This Row],[CA ligne]] - tbl_Ventes[[#This Row],[Coût matière ligne]]</f>
        <v>0</v>
      </c>
      <c r="K2543" s="7" t="str">
        <f>IFERROR(INDEX(tbl_ProduitsRef[Famille], MATCH(tbl_Ventes[[#This Row],[Cde_Prdt]], tbl_Produits[Cde_Prdt], 0)), "")</f>
        <v/>
      </c>
    </row>
    <row r="2544" spans="1:11" x14ac:dyDescent="0.25">
      <c r="A2544" s="5"/>
      <c r="B2544" s="63" t="str">
        <f>IFERROR(TEXT(tbl_Ventes[[#This Row],[Date]],"mm-aaaa"),"")</f>
        <v>01-1900</v>
      </c>
      <c r="D2544" s="10" t="str">
        <f>IFERROR(
   INDEX(tbl_ProduitsRef[Cde_Prdt],MATCH(tbl_Ventes[[#This Row],[Produit]],tbl_ProduitsRef[Produit],0)),
   ""
)</f>
        <v/>
      </c>
      <c r="E2544" s="7">
        <v>0</v>
      </c>
      <c r="F2544" s="7" t="str">
        <f>IFERROR(
   INDEX(tbl_ProduitsRef[Prix Menu],MATCH(tbl_Ventes[[#This Row],[Produit]],tbl_ProduitsRef[Produit],0)),
   ""
)</f>
        <v/>
      </c>
      <c r="G2544" s="7">
        <f>tbl_Ventes[[#This Row],[Qté Vendue]] * IFERROR(_xlfn.XLOOKUP(tbl_Ventes[[#This Row],[Cde_Prdt]], tbl_Produits[Cde_Prdt], tbl_Produits[Prix Menu]), 0)</f>
        <v>0</v>
      </c>
      <c r="H2544" s="7">
        <f>IFERROR(_xlfn.XLOOKUP(tbl_Ventes[[#This Row],[Cde_Prdt]], tbl_Produits[Cde_Prdt], tbl_Produits[Coût Moyen Portion]), 0)</f>
        <v>0</v>
      </c>
      <c r="I2544" s="7">
        <f>tbl_Ventes[[#This Row],[Qté Vendue]] * tbl_Ventes[[#This Row],[CMP_par_portion]]</f>
        <v>0</v>
      </c>
      <c r="J2544" s="7">
        <f>tbl_Ventes[[#This Row],[CA ligne]] - tbl_Ventes[[#This Row],[Coût matière ligne]]</f>
        <v>0</v>
      </c>
      <c r="K2544" s="7" t="str">
        <f>IFERROR(INDEX(tbl_ProduitsRef[Famille], MATCH(tbl_Ventes[[#This Row],[Cde_Prdt]], tbl_Produits[Cde_Prdt], 0)), "")</f>
        <v/>
      </c>
    </row>
    <row r="2545" spans="1:11" x14ac:dyDescent="0.25">
      <c r="A2545" s="5"/>
      <c r="B2545" s="63" t="str">
        <f>IFERROR(TEXT(tbl_Ventes[[#This Row],[Date]],"mm-aaaa"),"")</f>
        <v>01-1900</v>
      </c>
      <c r="D2545" s="10" t="str">
        <f>IFERROR(
   INDEX(tbl_ProduitsRef[Cde_Prdt],MATCH(tbl_Ventes[[#This Row],[Produit]],tbl_ProduitsRef[Produit],0)),
   ""
)</f>
        <v/>
      </c>
      <c r="E2545" s="7">
        <v>0</v>
      </c>
      <c r="F2545" s="7" t="str">
        <f>IFERROR(
   INDEX(tbl_ProduitsRef[Prix Menu],MATCH(tbl_Ventes[[#This Row],[Produit]],tbl_ProduitsRef[Produit],0)),
   ""
)</f>
        <v/>
      </c>
      <c r="G2545" s="7">
        <f>tbl_Ventes[[#This Row],[Qté Vendue]] * IFERROR(_xlfn.XLOOKUP(tbl_Ventes[[#This Row],[Cde_Prdt]], tbl_Produits[Cde_Prdt], tbl_Produits[Prix Menu]), 0)</f>
        <v>0</v>
      </c>
      <c r="H2545" s="7">
        <f>IFERROR(_xlfn.XLOOKUP(tbl_Ventes[[#This Row],[Cde_Prdt]], tbl_Produits[Cde_Prdt], tbl_Produits[Coût Moyen Portion]), 0)</f>
        <v>0</v>
      </c>
      <c r="I2545" s="7">
        <f>tbl_Ventes[[#This Row],[Qté Vendue]] * tbl_Ventes[[#This Row],[CMP_par_portion]]</f>
        <v>0</v>
      </c>
      <c r="J2545" s="7">
        <f>tbl_Ventes[[#This Row],[CA ligne]] - tbl_Ventes[[#This Row],[Coût matière ligne]]</f>
        <v>0</v>
      </c>
      <c r="K2545" s="7" t="str">
        <f>IFERROR(INDEX(tbl_ProduitsRef[Famille], MATCH(tbl_Ventes[[#This Row],[Cde_Prdt]], tbl_Produits[Cde_Prdt], 0)), "")</f>
        <v/>
      </c>
    </row>
    <row r="2546" spans="1:11" x14ac:dyDescent="0.25">
      <c r="A2546" s="5"/>
      <c r="B2546" s="63" t="str">
        <f>IFERROR(TEXT(tbl_Ventes[[#This Row],[Date]],"mm-aaaa"),"")</f>
        <v>01-1900</v>
      </c>
      <c r="D2546" s="10" t="str">
        <f>IFERROR(
   INDEX(tbl_ProduitsRef[Cde_Prdt],MATCH(tbl_Ventes[[#This Row],[Produit]],tbl_ProduitsRef[Produit],0)),
   ""
)</f>
        <v/>
      </c>
      <c r="E2546" s="7">
        <v>0</v>
      </c>
      <c r="F2546" s="7" t="str">
        <f>IFERROR(
   INDEX(tbl_ProduitsRef[Prix Menu],MATCH(tbl_Ventes[[#This Row],[Produit]],tbl_ProduitsRef[Produit],0)),
   ""
)</f>
        <v/>
      </c>
      <c r="G2546" s="7">
        <f>tbl_Ventes[[#This Row],[Qté Vendue]] * IFERROR(_xlfn.XLOOKUP(tbl_Ventes[[#This Row],[Cde_Prdt]], tbl_Produits[Cde_Prdt], tbl_Produits[Prix Menu]), 0)</f>
        <v>0</v>
      </c>
      <c r="H2546" s="7">
        <f>IFERROR(_xlfn.XLOOKUP(tbl_Ventes[[#This Row],[Cde_Prdt]], tbl_Produits[Cde_Prdt], tbl_Produits[Coût Moyen Portion]), 0)</f>
        <v>0</v>
      </c>
      <c r="I2546" s="7">
        <f>tbl_Ventes[[#This Row],[Qté Vendue]] * tbl_Ventes[[#This Row],[CMP_par_portion]]</f>
        <v>0</v>
      </c>
      <c r="J2546" s="7">
        <f>tbl_Ventes[[#This Row],[CA ligne]] - tbl_Ventes[[#This Row],[Coût matière ligne]]</f>
        <v>0</v>
      </c>
      <c r="K2546" s="7" t="str">
        <f>IFERROR(INDEX(tbl_ProduitsRef[Famille], MATCH(tbl_Ventes[[#This Row],[Cde_Prdt]], tbl_Produits[Cde_Prdt], 0)), "")</f>
        <v/>
      </c>
    </row>
    <row r="2547" spans="1:11" x14ac:dyDescent="0.25">
      <c r="A2547" s="5"/>
      <c r="B2547" s="63" t="str">
        <f>IFERROR(TEXT(tbl_Ventes[[#This Row],[Date]],"mm-aaaa"),"")</f>
        <v>01-1900</v>
      </c>
      <c r="D2547" s="10" t="str">
        <f>IFERROR(
   INDEX(tbl_ProduitsRef[Cde_Prdt],MATCH(tbl_Ventes[[#This Row],[Produit]],tbl_ProduitsRef[Produit],0)),
   ""
)</f>
        <v/>
      </c>
      <c r="E2547" s="7">
        <v>0</v>
      </c>
      <c r="F2547" s="7" t="str">
        <f>IFERROR(
   INDEX(tbl_ProduitsRef[Prix Menu],MATCH(tbl_Ventes[[#This Row],[Produit]],tbl_ProduitsRef[Produit],0)),
   ""
)</f>
        <v/>
      </c>
      <c r="G2547" s="7">
        <f>tbl_Ventes[[#This Row],[Qté Vendue]] * IFERROR(_xlfn.XLOOKUP(tbl_Ventes[[#This Row],[Cde_Prdt]], tbl_Produits[Cde_Prdt], tbl_Produits[Prix Menu]), 0)</f>
        <v>0</v>
      </c>
      <c r="H2547" s="7">
        <f>IFERROR(_xlfn.XLOOKUP(tbl_Ventes[[#This Row],[Cde_Prdt]], tbl_Produits[Cde_Prdt], tbl_Produits[Coût Moyen Portion]), 0)</f>
        <v>0</v>
      </c>
      <c r="I2547" s="7">
        <f>tbl_Ventes[[#This Row],[Qté Vendue]] * tbl_Ventes[[#This Row],[CMP_par_portion]]</f>
        <v>0</v>
      </c>
      <c r="J2547" s="7">
        <f>tbl_Ventes[[#This Row],[CA ligne]] - tbl_Ventes[[#This Row],[Coût matière ligne]]</f>
        <v>0</v>
      </c>
      <c r="K2547" s="7" t="str">
        <f>IFERROR(INDEX(tbl_ProduitsRef[Famille], MATCH(tbl_Ventes[[#This Row],[Cde_Prdt]], tbl_Produits[Cde_Prdt], 0)), "")</f>
        <v/>
      </c>
    </row>
    <row r="2548" spans="1:11" x14ac:dyDescent="0.25">
      <c r="A2548" s="5"/>
      <c r="B2548" s="63" t="str">
        <f>IFERROR(TEXT(tbl_Ventes[[#This Row],[Date]],"mm-aaaa"),"")</f>
        <v>01-1900</v>
      </c>
      <c r="D2548" s="10" t="str">
        <f>IFERROR(
   INDEX(tbl_ProduitsRef[Cde_Prdt],MATCH(tbl_Ventes[[#This Row],[Produit]],tbl_ProduitsRef[Produit],0)),
   ""
)</f>
        <v/>
      </c>
      <c r="E2548" s="7">
        <v>0</v>
      </c>
      <c r="F2548" s="7" t="str">
        <f>IFERROR(
   INDEX(tbl_ProduitsRef[Prix Menu],MATCH(tbl_Ventes[[#This Row],[Produit]],tbl_ProduitsRef[Produit],0)),
   ""
)</f>
        <v/>
      </c>
      <c r="G2548" s="7">
        <f>tbl_Ventes[[#This Row],[Qté Vendue]] * IFERROR(_xlfn.XLOOKUP(tbl_Ventes[[#This Row],[Cde_Prdt]], tbl_Produits[Cde_Prdt], tbl_Produits[Prix Menu]), 0)</f>
        <v>0</v>
      </c>
      <c r="H2548" s="7">
        <f>IFERROR(_xlfn.XLOOKUP(tbl_Ventes[[#This Row],[Cde_Prdt]], tbl_Produits[Cde_Prdt], tbl_Produits[Coût Moyen Portion]), 0)</f>
        <v>0</v>
      </c>
      <c r="I2548" s="7">
        <f>tbl_Ventes[[#This Row],[Qté Vendue]] * tbl_Ventes[[#This Row],[CMP_par_portion]]</f>
        <v>0</v>
      </c>
      <c r="J2548" s="7">
        <f>tbl_Ventes[[#This Row],[CA ligne]] - tbl_Ventes[[#This Row],[Coût matière ligne]]</f>
        <v>0</v>
      </c>
      <c r="K2548" s="7" t="str">
        <f>IFERROR(INDEX(tbl_ProduitsRef[Famille], MATCH(tbl_Ventes[[#This Row],[Cde_Prdt]], tbl_Produits[Cde_Prdt], 0)), "")</f>
        <v/>
      </c>
    </row>
    <row r="2549" spans="1:11" x14ac:dyDescent="0.25">
      <c r="A2549" s="5"/>
      <c r="B2549" s="63" t="str">
        <f>IFERROR(TEXT(tbl_Ventes[[#This Row],[Date]],"mm-aaaa"),"")</f>
        <v>01-1900</v>
      </c>
      <c r="D2549" s="10" t="str">
        <f>IFERROR(
   INDEX(tbl_ProduitsRef[Cde_Prdt],MATCH(tbl_Ventes[[#This Row],[Produit]],tbl_ProduitsRef[Produit],0)),
   ""
)</f>
        <v/>
      </c>
      <c r="E2549" s="7">
        <v>0</v>
      </c>
      <c r="F2549" s="7" t="str">
        <f>IFERROR(
   INDEX(tbl_ProduitsRef[Prix Menu],MATCH(tbl_Ventes[[#This Row],[Produit]],tbl_ProduitsRef[Produit],0)),
   ""
)</f>
        <v/>
      </c>
      <c r="G2549" s="7">
        <f>tbl_Ventes[[#This Row],[Qté Vendue]] * IFERROR(_xlfn.XLOOKUP(tbl_Ventes[[#This Row],[Cde_Prdt]], tbl_Produits[Cde_Prdt], tbl_Produits[Prix Menu]), 0)</f>
        <v>0</v>
      </c>
      <c r="H2549" s="7">
        <f>IFERROR(_xlfn.XLOOKUP(tbl_Ventes[[#This Row],[Cde_Prdt]], tbl_Produits[Cde_Prdt], tbl_Produits[Coût Moyen Portion]), 0)</f>
        <v>0</v>
      </c>
      <c r="I2549" s="7">
        <f>tbl_Ventes[[#This Row],[Qté Vendue]] * tbl_Ventes[[#This Row],[CMP_par_portion]]</f>
        <v>0</v>
      </c>
      <c r="J2549" s="7">
        <f>tbl_Ventes[[#This Row],[CA ligne]] - tbl_Ventes[[#This Row],[Coût matière ligne]]</f>
        <v>0</v>
      </c>
      <c r="K2549" s="7" t="str">
        <f>IFERROR(INDEX(tbl_ProduitsRef[Famille], MATCH(tbl_Ventes[[#This Row],[Cde_Prdt]], tbl_Produits[Cde_Prdt], 0)), "")</f>
        <v/>
      </c>
    </row>
    <row r="2550" spans="1:11" x14ac:dyDescent="0.25">
      <c r="A2550" s="5"/>
      <c r="B2550" s="63" t="str">
        <f>IFERROR(TEXT(tbl_Ventes[[#This Row],[Date]],"mm-aaaa"),"")</f>
        <v>01-1900</v>
      </c>
      <c r="D2550" s="10" t="str">
        <f>IFERROR(
   INDEX(tbl_ProduitsRef[Cde_Prdt],MATCH(tbl_Ventes[[#This Row],[Produit]],tbl_ProduitsRef[Produit],0)),
   ""
)</f>
        <v/>
      </c>
      <c r="E2550" s="7">
        <v>0</v>
      </c>
      <c r="F2550" s="7" t="str">
        <f>IFERROR(
   INDEX(tbl_ProduitsRef[Prix Menu],MATCH(tbl_Ventes[[#This Row],[Produit]],tbl_ProduitsRef[Produit],0)),
   ""
)</f>
        <v/>
      </c>
      <c r="G2550" s="7">
        <f>tbl_Ventes[[#This Row],[Qté Vendue]] * IFERROR(_xlfn.XLOOKUP(tbl_Ventes[[#This Row],[Cde_Prdt]], tbl_Produits[Cde_Prdt], tbl_Produits[Prix Menu]), 0)</f>
        <v>0</v>
      </c>
      <c r="H2550" s="7">
        <f>IFERROR(_xlfn.XLOOKUP(tbl_Ventes[[#This Row],[Cde_Prdt]], tbl_Produits[Cde_Prdt], tbl_Produits[Coût Moyen Portion]), 0)</f>
        <v>0</v>
      </c>
      <c r="I2550" s="7">
        <f>tbl_Ventes[[#This Row],[Qté Vendue]] * tbl_Ventes[[#This Row],[CMP_par_portion]]</f>
        <v>0</v>
      </c>
      <c r="J2550" s="7">
        <f>tbl_Ventes[[#This Row],[CA ligne]] - tbl_Ventes[[#This Row],[Coût matière ligne]]</f>
        <v>0</v>
      </c>
      <c r="K2550" s="7" t="str">
        <f>IFERROR(INDEX(tbl_ProduitsRef[Famille], MATCH(tbl_Ventes[[#This Row],[Cde_Prdt]], tbl_Produits[Cde_Prdt], 0)), "")</f>
        <v/>
      </c>
    </row>
    <row r="2551" spans="1:11" x14ac:dyDescent="0.25">
      <c r="A2551" s="5"/>
      <c r="B2551" s="63" t="str">
        <f>IFERROR(TEXT(tbl_Ventes[[#This Row],[Date]],"mm-aaaa"),"")</f>
        <v>01-1900</v>
      </c>
      <c r="D2551" s="10" t="str">
        <f>IFERROR(
   INDEX(tbl_ProduitsRef[Cde_Prdt],MATCH(tbl_Ventes[[#This Row],[Produit]],tbl_ProduitsRef[Produit],0)),
   ""
)</f>
        <v/>
      </c>
      <c r="E2551" s="7">
        <v>0</v>
      </c>
      <c r="F2551" s="7" t="str">
        <f>IFERROR(
   INDEX(tbl_ProduitsRef[Prix Menu],MATCH(tbl_Ventes[[#This Row],[Produit]],tbl_ProduitsRef[Produit],0)),
   ""
)</f>
        <v/>
      </c>
      <c r="G2551" s="7">
        <f>tbl_Ventes[[#This Row],[Qté Vendue]] * IFERROR(_xlfn.XLOOKUP(tbl_Ventes[[#This Row],[Cde_Prdt]], tbl_Produits[Cde_Prdt], tbl_Produits[Prix Menu]), 0)</f>
        <v>0</v>
      </c>
      <c r="H2551" s="7">
        <f>IFERROR(_xlfn.XLOOKUP(tbl_Ventes[[#This Row],[Cde_Prdt]], tbl_Produits[Cde_Prdt], tbl_Produits[Coût Moyen Portion]), 0)</f>
        <v>0</v>
      </c>
      <c r="I2551" s="7">
        <f>tbl_Ventes[[#This Row],[Qté Vendue]] * tbl_Ventes[[#This Row],[CMP_par_portion]]</f>
        <v>0</v>
      </c>
      <c r="J2551" s="7">
        <f>tbl_Ventes[[#This Row],[CA ligne]] - tbl_Ventes[[#This Row],[Coût matière ligne]]</f>
        <v>0</v>
      </c>
      <c r="K2551" s="7" t="str">
        <f>IFERROR(INDEX(tbl_ProduitsRef[Famille], MATCH(tbl_Ventes[[#This Row],[Cde_Prdt]], tbl_Produits[Cde_Prdt], 0)), "")</f>
        <v/>
      </c>
    </row>
    <row r="2552" spans="1:11" x14ac:dyDescent="0.25">
      <c r="A2552" s="5"/>
      <c r="B2552" s="63" t="str">
        <f>IFERROR(TEXT(tbl_Ventes[[#This Row],[Date]],"mm-aaaa"),"")</f>
        <v>01-1900</v>
      </c>
      <c r="D2552" s="10" t="str">
        <f>IFERROR(
   INDEX(tbl_ProduitsRef[Cde_Prdt],MATCH(tbl_Ventes[[#This Row],[Produit]],tbl_ProduitsRef[Produit],0)),
   ""
)</f>
        <v/>
      </c>
      <c r="E2552" s="7">
        <v>0</v>
      </c>
      <c r="F2552" s="7" t="str">
        <f>IFERROR(
   INDEX(tbl_ProduitsRef[Prix Menu],MATCH(tbl_Ventes[[#This Row],[Produit]],tbl_ProduitsRef[Produit],0)),
   ""
)</f>
        <v/>
      </c>
      <c r="G2552" s="7">
        <f>tbl_Ventes[[#This Row],[Qté Vendue]] * IFERROR(_xlfn.XLOOKUP(tbl_Ventes[[#This Row],[Cde_Prdt]], tbl_Produits[Cde_Prdt], tbl_Produits[Prix Menu]), 0)</f>
        <v>0</v>
      </c>
      <c r="H2552" s="7">
        <f>IFERROR(_xlfn.XLOOKUP(tbl_Ventes[[#This Row],[Cde_Prdt]], tbl_Produits[Cde_Prdt], tbl_Produits[Coût Moyen Portion]), 0)</f>
        <v>0</v>
      </c>
      <c r="I2552" s="7">
        <f>tbl_Ventes[[#This Row],[Qté Vendue]] * tbl_Ventes[[#This Row],[CMP_par_portion]]</f>
        <v>0</v>
      </c>
      <c r="J2552" s="7">
        <f>tbl_Ventes[[#This Row],[CA ligne]] - tbl_Ventes[[#This Row],[Coût matière ligne]]</f>
        <v>0</v>
      </c>
      <c r="K2552" s="7" t="str">
        <f>IFERROR(INDEX(tbl_ProduitsRef[Famille], MATCH(tbl_Ventes[[#This Row],[Cde_Prdt]], tbl_Produits[Cde_Prdt], 0)), "")</f>
        <v/>
      </c>
    </row>
    <row r="2553" spans="1:11" x14ac:dyDescent="0.25">
      <c r="A2553" s="5"/>
      <c r="B2553" s="63" t="str">
        <f>IFERROR(TEXT(tbl_Ventes[[#This Row],[Date]],"mm-aaaa"),"")</f>
        <v>01-1900</v>
      </c>
      <c r="D2553" s="10" t="str">
        <f>IFERROR(
   INDEX(tbl_ProduitsRef[Cde_Prdt],MATCH(tbl_Ventes[[#This Row],[Produit]],tbl_ProduitsRef[Produit],0)),
   ""
)</f>
        <v/>
      </c>
      <c r="E2553" s="7">
        <v>0</v>
      </c>
      <c r="F2553" s="7" t="str">
        <f>IFERROR(
   INDEX(tbl_ProduitsRef[Prix Menu],MATCH(tbl_Ventes[[#This Row],[Produit]],tbl_ProduitsRef[Produit],0)),
   ""
)</f>
        <v/>
      </c>
      <c r="G2553" s="7">
        <f>tbl_Ventes[[#This Row],[Qté Vendue]] * IFERROR(_xlfn.XLOOKUP(tbl_Ventes[[#This Row],[Cde_Prdt]], tbl_Produits[Cde_Prdt], tbl_Produits[Prix Menu]), 0)</f>
        <v>0</v>
      </c>
      <c r="H2553" s="7">
        <f>IFERROR(_xlfn.XLOOKUP(tbl_Ventes[[#This Row],[Cde_Prdt]], tbl_Produits[Cde_Prdt], tbl_Produits[Coût Moyen Portion]), 0)</f>
        <v>0</v>
      </c>
      <c r="I2553" s="7">
        <f>tbl_Ventes[[#This Row],[Qté Vendue]] * tbl_Ventes[[#This Row],[CMP_par_portion]]</f>
        <v>0</v>
      </c>
      <c r="J2553" s="7">
        <f>tbl_Ventes[[#This Row],[CA ligne]] - tbl_Ventes[[#This Row],[Coût matière ligne]]</f>
        <v>0</v>
      </c>
      <c r="K2553" s="7" t="str">
        <f>IFERROR(INDEX(tbl_ProduitsRef[Famille], MATCH(tbl_Ventes[[#This Row],[Cde_Prdt]], tbl_Produits[Cde_Prdt], 0)), "")</f>
        <v/>
      </c>
    </row>
    <row r="2554" spans="1:11" x14ac:dyDescent="0.25">
      <c r="A2554" s="5"/>
      <c r="B2554" s="63" t="str">
        <f>IFERROR(TEXT(tbl_Ventes[[#This Row],[Date]],"mm-aaaa"),"")</f>
        <v>01-1900</v>
      </c>
      <c r="D2554" s="10" t="str">
        <f>IFERROR(
   INDEX(tbl_ProduitsRef[Cde_Prdt],MATCH(tbl_Ventes[[#This Row],[Produit]],tbl_ProduitsRef[Produit],0)),
   ""
)</f>
        <v/>
      </c>
      <c r="E2554" s="7">
        <v>0</v>
      </c>
      <c r="F2554" s="7" t="str">
        <f>IFERROR(
   INDEX(tbl_ProduitsRef[Prix Menu],MATCH(tbl_Ventes[[#This Row],[Produit]],tbl_ProduitsRef[Produit],0)),
   ""
)</f>
        <v/>
      </c>
      <c r="G2554" s="7">
        <f>tbl_Ventes[[#This Row],[Qté Vendue]] * IFERROR(_xlfn.XLOOKUP(tbl_Ventes[[#This Row],[Cde_Prdt]], tbl_Produits[Cde_Prdt], tbl_Produits[Prix Menu]), 0)</f>
        <v>0</v>
      </c>
      <c r="H2554" s="7">
        <f>IFERROR(_xlfn.XLOOKUP(tbl_Ventes[[#This Row],[Cde_Prdt]], tbl_Produits[Cde_Prdt], tbl_Produits[Coût Moyen Portion]), 0)</f>
        <v>0</v>
      </c>
      <c r="I2554" s="7">
        <f>tbl_Ventes[[#This Row],[Qté Vendue]] * tbl_Ventes[[#This Row],[CMP_par_portion]]</f>
        <v>0</v>
      </c>
      <c r="J2554" s="7">
        <f>tbl_Ventes[[#This Row],[CA ligne]] - tbl_Ventes[[#This Row],[Coût matière ligne]]</f>
        <v>0</v>
      </c>
      <c r="K2554" s="7" t="str">
        <f>IFERROR(INDEX(tbl_ProduitsRef[Famille], MATCH(tbl_Ventes[[#This Row],[Cde_Prdt]], tbl_Produits[Cde_Prdt], 0)), "")</f>
        <v/>
      </c>
    </row>
    <row r="2555" spans="1:11" x14ac:dyDescent="0.25">
      <c r="A2555" s="5"/>
      <c r="B2555" s="63" t="str">
        <f>IFERROR(TEXT(tbl_Ventes[[#This Row],[Date]],"mm-aaaa"),"")</f>
        <v>01-1900</v>
      </c>
      <c r="D2555" s="10" t="str">
        <f>IFERROR(
   INDEX(tbl_ProduitsRef[Cde_Prdt],MATCH(tbl_Ventes[[#This Row],[Produit]],tbl_ProduitsRef[Produit],0)),
   ""
)</f>
        <v/>
      </c>
      <c r="E2555" s="7">
        <v>0</v>
      </c>
      <c r="F2555" s="7" t="str">
        <f>IFERROR(
   INDEX(tbl_ProduitsRef[Prix Menu],MATCH(tbl_Ventes[[#This Row],[Produit]],tbl_ProduitsRef[Produit],0)),
   ""
)</f>
        <v/>
      </c>
      <c r="G2555" s="7">
        <f>tbl_Ventes[[#This Row],[Qté Vendue]] * IFERROR(_xlfn.XLOOKUP(tbl_Ventes[[#This Row],[Cde_Prdt]], tbl_Produits[Cde_Prdt], tbl_Produits[Prix Menu]), 0)</f>
        <v>0</v>
      </c>
      <c r="H2555" s="7">
        <f>IFERROR(_xlfn.XLOOKUP(tbl_Ventes[[#This Row],[Cde_Prdt]], tbl_Produits[Cde_Prdt], tbl_Produits[Coût Moyen Portion]), 0)</f>
        <v>0</v>
      </c>
      <c r="I2555" s="7">
        <f>tbl_Ventes[[#This Row],[Qté Vendue]] * tbl_Ventes[[#This Row],[CMP_par_portion]]</f>
        <v>0</v>
      </c>
      <c r="J2555" s="7">
        <f>tbl_Ventes[[#This Row],[CA ligne]] - tbl_Ventes[[#This Row],[Coût matière ligne]]</f>
        <v>0</v>
      </c>
      <c r="K2555" s="7" t="str">
        <f>IFERROR(INDEX(tbl_ProduitsRef[Famille], MATCH(tbl_Ventes[[#This Row],[Cde_Prdt]], tbl_Produits[Cde_Prdt], 0)), "")</f>
        <v/>
      </c>
    </row>
    <row r="2556" spans="1:11" x14ac:dyDescent="0.25">
      <c r="A2556" s="5"/>
      <c r="B2556" s="63" t="str">
        <f>IFERROR(TEXT(tbl_Ventes[[#This Row],[Date]],"mm-aaaa"),"")</f>
        <v>01-1900</v>
      </c>
      <c r="D2556" s="10" t="str">
        <f>IFERROR(
   INDEX(tbl_ProduitsRef[Cde_Prdt],MATCH(tbl_Ventes[[#This Row],[Produit]],tbl_ProduitsRef[Produit],0)),
   ""
)</f>
        <v/>
      </c>
      <c r="E2556" s="7">
        <v>0</v>
      </c>
      <c r="F2556" s="7" t="str">
        <f>IFERROR(
   INDEX(tbl_ProduitsRef[Prix Menu],MATCH(tbl_Ventes[[#This Row],[Produit]],tbl_ProduitsRef[Produit],0)),
   ""
)</f>
        <v/>
      </c>
      <c r="G2556" s="7">
        <f>tbl_Ventes[[#This Row],[Qté Vendue]] * IFERROR(_xlfn.XLOOKUP(tbl_Ventes[[#This Row],[Cde_Prdt]], tbl_Produits[Cde_Prdt], tbl_Produits[Prix Menu]), 0)</f>
        <v>0</v>
      </c>
      <c r="H2556" s="7">
        <f>IFERROR(_xlfn.XLOOKUP(tbl_Ventes[[#This Row],[Cde_Prdt]], tbl_Produits[Cde_Prdt], tbl_Produits[Coût Moyen Portion]), 0)</f>
        <v>0</v>
      </c>
      <c r="I2556" s="7">
        <f>tbl_Ventes[[#This Row],[Qté Vendue]] * tbl_Ventes[[#This Row],[CMP_par_portion]]</f>
        <v>0</v>
      </c>
      <c r="J2556" s="7">
        <f>tbl_Ventes[[#This Row],[CA ligne]] - tbl_Ventes[[#This Row],[Coût matière ligne]]</f>
        <v>0</v>
      </c>
      <c r="K2556" s="7" t="str">
        <f>IFERROR(INDEX(tbl_ProduitsRef[Famille], MATCH(tbl_Ventes[[#This Row],[Cde_Prdt]], tbl_Produits[Cde_Prdt], 0)), "")</f>
        <v/>
      </c>
    </row>
    <row r="2557" spans="1:11" x14ac:dyDescent="0.25">
      <c r="A2557" s="5"/>
      <c r="B2557" s="63" t="str">
        <f>IFERROR(TEXT(tbl_Ventes[[#This Row],[Date]],"mm-aaaa"),"")</f>
        <v>01-1900</v>
      </c>
      <c r="D2557" s="10" t="str">
        <f>IFERROR(
   INDEX(tbl_ProduitsRef[Cde_Prdt],MATCH(tbl_Ventes[[#This Row],[Produit]],tbl_ProduitsRef[Produit],0)),
   ""
)</f>
        <v/>
      </c>
      <c r="E2557" s="7">
        <v>0</v>
      </c>
      <c r="F2557" s="7" t="str">
        <f>IFERROR(
   INDEX(tbl_ProduitsRef[Prix Menu],MATCH(tbl_Ventes[[#This Row],[Produit]],tbl_ProduitsRef[Produit],0)),
   ""
)</f>
        <v/>
      </c>
      <c r="G2557" s="7">
        <f>tbl_Ventes[[#This Row],[Qté Vendue]] * IFERROR(_xlfn.XLOOKUP(tbl_Ventes[[#This Row],[Cde_Prdt]], tbl_Produits[Cde_Prdt], tbl_Produits[Prix Menu]), 0)</f>
        <v>0</v>
      </c>
      <c r="H2557" s="7">
        <f>IFERROR(_xlfn.XLOOKUP(tbl_Ventes[[#This Row],[Cde_Prdt]], tbl_Produits[Cde_Prdt], tbl_Produits[Coût Moyen Portion]), 0)</f>
        <v>0</v>
      </c>
      <c r="I2557" s="7">
        <f>tbl_Ventes[[#This Row],[Qté Vendue]] * tbl_Ventes[[#This Row],[CMP_par_portion]]</f>
        <v>0</v>
      </c>
      <c r="J2557" s="7">
        <f>tbl_Ventes[[#This Row],[CA ligne]] - tbl_Ventes[[#This Row],[Coût matière ligne]]</f>
        <v>0</v>
      </c>
      <c r="K2557" s="7" t="str">
        <f>IFERROR(INDEX(tbl_ProduitsRef[Famille], MATCH(tbl_Ventes[[#This Row],[Cde_Prdt]], tbl_Produits[Cde_Prdt], 0)), "")</f>
        <v/>
      </c>
    </row>
    <row r="2558" spans="1:11" x14ac:dyDescent="0.25">
      <c r="A2558" s="5"/>
      <c r="B2558" s="63" t="str">
        <f>IFERROR(TEXT(tbl_Ventes[[#This Row],[Date]],"mm-aaaa"),"")</f>
        <v>01-1900</v>
      </c>
      <c r="D2558" s="10" t="str">
        <f>IFERROR(
   INDEX(tbl_ProduitsRef[Cde_Prdt],MATCH(tbl_Ventes[[#This Row],[Produit]],tbl_ProduitsRef[Produit],0)),
   ""
)</f>
        <v/>
      </c>
      <c r="E2558" s="7">
        <v>0</v>
      </c>
      <c r="F2558" s="7" t="str">
        <f>IFERROR(
   INDEX(tbl_ProduitsRef[Prix Menu],MATCH(tbl_Ventes[[#This Row],[Produit]],tbl_ProduitsRef[Produit],0)),
   ""
)</f>
        <v/>
      </c>
      <c r="G2558" s="7">
        <f>tbl_Ventes[[#This Row],[Qté Vendue]] * IFERROR(_xlfn.XLOOKUP(tbl_Ventes[[#This Row],[Cde_Prdt]], tbl_Produits[Cde_Prdt], tbl_Produits[Prix Menu]), 0)</f>
        <v>0</v>
      </c>
      <c r="H2558" s="7">
        <f>IFERROR(_xlfn.XLOOKUP(tbl_Ventes[[#This Row],[Cde_Prdt]], tbl_Produits[Cde_Prdt], tbl_Produits[Coût Moyen Portion]), 0)</f>
        <v>0</v>
      </c>
      <c r="I2558" s="7">
        <f>tbl_Ventes[[#This Row],[Qté Vendue]] * tbl_Ventes[[#This Row],[CMP_par_portion]]</f>
        <v>0</v>
      </c>
      <c r="J2558" s="7">
        <f>tbl_Ventes[[#This Row],[CA ligne]] - tbl_Ventes[[#This Row],[Coût matière ligne]]</f>
        <v>0</v>
      </c>
      <c r="K2558" s="7" t="str">
        <f>IFERROR(INDEX(tbl_ProduitsRef[Famille], MATCH(tbl_Ventes[[#This Row],[Cde_Prdt]], tbl_Produits[Cde_Prdt], 0)), "")</f>
        <v/>
      </c>
    </row>
    <row r="2559" spans="1:11" x14ac:dyDescent="0.25">
      <c r="A2559" s="5"/>
      <c r="B2559" s="63" t="str">
        <f>IFERROR(TEXT(tbl_Ventes[[#This Row],[Date]],"mm-aaaa"),"")</f>
        <v>01-1900</v>
      </c>
      <c r="D2559" s="10" t="str">
        <f>IFERROR(
   INDEX(tbl_ProduitsRef[Cde_Prdt],MATCH(tbl_Ventes[[#This Row],[Produit]],tbl_ProduitsRef[Produit],0)),
   ""
)</f>
        <v/>
      </c>
      <c r="E2559" s="7">
        <v>0</v>
      </c>
      <c r="F2559" s="7" t="str">
        <f>IFERROR(
   INDEX(tbl_ProduitsRef[Prix Menu],MATCH(tbl_Ventes[[#This Row],[Produit]],tbl_ProduitsRef[Produit],0)),
   ""
)</f>
        <v/>
      </c>
      <c r="G2559" s="7">
        <f>tbl_Ventes[[#This Row],[Qté Vendue]] * IFERROR(_xlfn.XLOOKUP(tbl_Ventes[[#This Row],[Cde_Prdt]], tbl_Produits[Cde_Prdt], tbl_Produits[Prix Menu]), 0)</f>
        <v>0</v>
      </c>
      <c r="H2559" s="7">
        <f>IFERROR(_xlfn.XLOOKUP(tbl_Ventes[[#This Row],[Cde_Prdt]], tbl_Produits[Cde_Prdt], tbl_Produits[Coût Moyen Portion]), 0)</f>
        <v>0</v>
      </c>
      <c r="I2559" s="7">
        <f>tbl_Ventes[[#This Row],[Qté Vendue]] * tbl_Ventes[[#This Row],[CMP_par_portion]]</f>
        <v>0</v>
      </c>
      <c r="J2559" s="7">
        <f>tbl_Ventes[[#This Row],[CA ligne]] - tbl_Ventes[[#This Row],[Coût matière ligne]]</f>
        <v>0</v>
      </c>
      <c r="K2559" s="7" t="str">
        <f>IFERROR(INDEX(tbl_ProduitsRef[Famille], MATCH(tbl_Ventes[[#This Row],[Cde_Prdt]], tbl_Produits[Cde_Prdt], 0)), "")</f>
        <v/>
      </c>
    </row>
    <row r="2560" spans="1:11" x14ac:dyDescent="0.25">
      <c r="A2560" s="5"/>
      <c r="B2560" s="63" t="str">
        <f>IFERROR(TEXT(tbl_Ventes[[#This Row],[Date]],"mm-aaaa"),"")</f>
        <v>01-1900</v>
      </c>
      <c r="D2560" s="10" t="str">
        <f>IFERROR(
   INDEX(tbl_ProduitsRef[Cde_Prdt],MATCH(tbl_Ventes[[#This Row],[Produit]],tbl_ProduitsRef[Produit],0)),
   ""
)</f>
        <v/>
      </c>
      <c r="E2560" s="7">
        <v>0</v>
      </c>
      <c r="F2560" s="7" t="str">
        <f>IFERROR(
   INDEX(tbl_ProduitsRef[Prix Menu],MATCH(tbl_Ventes[[#This Row],[Produit]],tbl_ProduitsRef[Produit],0)),
   ""
)</f>
        <v/>
      </c>
      <c r="G2560" s="7">
        <f>tbl_Ventes[[#This Row],[Qté Vendue]] * IFERROR(_xlfn.XLOOKUP(tbl_Ventes[[#This Row],[Cde_Prdt]], tbl_Produits[Cde_Prdt], tbl_Produits[Prix Menu]), 0)</f>
        <v>0</v>
      </c>
      <c r="H2560" s="7">
        <f>IFERROR(_xlfn.XLOOKUP(tbl_Ventes[[#This Row],[Cde_Prdt]], tbl_Produits[Cde_Prdt], tbl_Produits[Coût Moyen Portion]), 0)</f>
        <v>0</v>
      </c>
      <c r="I2560" s="7">
        <f>tbl_Ventes[[#This Row],[Qté Vendue]] * tbl_Ventes[[#This Row],[CMP_par_portion]]</f>
        <v>0</v>
      </c>
      <c r="J2560" s="7">
        <f>tbl_Ventes[[#This Row],[CA ligne]] - tbl_Ventes[[#This Row],[Coût matière ligne]]</f>
        <v>0</v>
      </c>
      <c r="K2560" s="7" t="str">
        <f>IFERROR(INDEX(tbl_ProduitsRef[Famille], MATCH(tbl_Ventes[[#This Row],[Cde_Prdt]], tbl_Produits[Cde_Prdt], 0)), "")</f>
        <v/>
      </c>
    </row>
    <row r="2561" spans="1:11" x14ac:dyDescent="0.25">
      <c r="A2561" s="5"/>
      <c r="B2561" s="63" t="str">
        <f>IFERROR(TEXT(tbl_Ventes[[#This Row],[Date]],"mm-aaaa"),"")</f>
        <v>01-1900</v>
      </c>
      <c r="D2561" s="10" t="str">
        <f>IFERROR(
   INDEX(tbl_ProduitsRef[Cde_Prdt],MATCH(tbl_Ventes[[#This Row],[Produit]],tbl_ProduitsRef[Produit],0)),
   ""
)</f>
        <v/>
      </c>
      <c r="E2561" s="7">
        <v>0</v>
      </c>
      <c r="F2561" s="7" t="str">
        <f>IFERROR(
   INDEX(tbl_ProduitsRef[Prix Menu],MATCH(tbl_Ventes[[#This Row],[Produit]],tbl_ProduitsRef[Produit],0)),
   ""
)</f>
        <v/>
      </c>
      <c r="G2561" s="7">
        <f>tbl_Ventes[[#This Row],[Qté Vendue]] * IFERROR(_xlfn.XLOOKUP(tbl_Ventes[[#This Row],[Cde_Prdt]], tbl_Produits[Cde_Prdt], tbl_Produits[Prix Menu]), 0)</f>
        <v>0</v>
      </c>
      <c r="H2561" s="7">
        <f>IFERROR(_xlfn.XLOOKUP(tbl_Ventes[[#This Row],[Cde_Prdt]], tbl_Produits[Cde_Prdt], tbl_Produits[Coût Moyen Portion]), 0)</f>
        <v>0</v>
      </c>
      <c r="I2561" s="7">
        <f>tbl_Ventes[[#This Row],[Qté Vendue]] * tbl_Ventes[[#This Row],[CMP_par_portion]]</f>
        <v>0</v>
      </c>
      <c r="J2561" s="7">
        <f>tbl_Ventes[[#This Row],[CA ligne]] - tbl_Ventes[[#This Row],[Coût matière ligne]]</f>
        <v>0</v>
      </c>
      <c r="K2561" s="7" t="str">
        <f>IFERROR(INDEX(tbl_ProduitsRef[Famille], MATCH(tbl_Ventes[[#This Row],[Cde_Prdt]], tbl_Produits[Cde_Prdt], 0)), "")</f>
        <v/>
      </c>
    </row>
    <row r="2562" spans="1:11" x14ac:dyDescent="0.25">
      <c r="A2562" s="5"/>
      <c r="B2562" s="63" t="str">
        <f>IFERROR(TEXT(tbl_Ventes[[#This Row],[Date]],"mm-aaaa"),"")</f>
        <v>01-1900</v>
      </c>
      <c r="D2562" s="10" t="str">
        <f>IFERROR(
   INDEX(tbl_ProduitsRef[Cde_Prdt],MATCH(tbl_Ventes[[#This Row],[Produit]],tbl_ProduitsRef[Produit],0)),
   ""
)</f>
        <v/>
      </c>
      <c r="E2562" s="7">
        <v>0</v>
      </c>
      <c r="F2562" s="7" t="str">
        <f>IFERROR(
   INDEX(tbl_ProduitsRef[Prix Menu],MATCH(tbl_Ventes[[#This Row],[Produit]],tbl_ProduitsRef[Produit],0)),
   ""
)</f>
        <v/>
      </c>
      <c r="G2562" s="7">
        <f>tbl_Ventes[[#This Row],[Qté Vendue]] * IFERROR(_xlfn.XLOOKUP(tbl_Ventes[[#This Row],[Cde_Prdt]], tbl_Produits[Cde_Prdt], tbl_Produits[Prix Menu]), 0)</f>
        <v>0</v>
      </c>
      <c r="H2562" s="7">
        <f>IFERROR(_xlfn.XLOOKUP(tbl_Ventes[[#This Row],[Cde_Prdt]], tbl_Produits[Cde_Prdt], tbl_Produits[Coût Moyen Portion]), 0)</f>
        <v>0</v>
      </c>
      <c r="I2562" s="7">
        <f>tbl_Ventes[[#This Row],[Qté Vendue]] * tbl_Ventes[[#This Row],[CMP_par_portion]]</f>
        <v>0</v>
      </c>
      <c r="J2562" s="7">
        <f>tbl_Ventes[[#This Row],[CA ligne]] - tbl_Ventes[[#This Row],[Coût matière ligne]]</f>
        <v>0</v>
      </c>
      <c r="K2562" s="7" t="str">
        <f>IFERROR(INDEX(tbl_ProduitsRef[Famille], MATCH(tbl_Ventes[[#This Row],[Cde_Prdt]], tbl_Produits[Cde_Prdt], 0)), "")</f>
        <v/>
      </c>
    </row>
    <row r="2563" spans="1:11" x14ac:dyDescent="0.25">
      <c r="A2563" s="5"/>
      <c r="B2563" s="63" t="str">
        <f>IFERROR(TEXT(tbl_Ventes[[#This Row],[Date]],"mm-aaaa"),"")</f>
        <v>01-1900</v>
      </c>
      <c r="D2563" s="10" t="str">
        <f>IFERROR(
   INDEX(tbl_ProduitsRef[Cde_Prdt],MATCH(tbl_Ventes[[#This Row],[Produit]],tbl_ProduitsRef[Produit],0)),
   ""
)</f>
        <v/>
      </c>
      <c r="E2563" s="7">
        <v>0</v>
      </c>
      <c r="F2563" s="7" t="str">
        <f>IFERROR(
   INDEX(tbl_ProduitsRef[Prix Menu],MATCH(tbl_Ventes[[#This Row],[Produit]],tbl_ProduitsRef[Produit],0)),
   ""
)</f>
        <v/>
      </c>
      <c r="G2563" s="7">
        <f>tbl_Ventes[[#This Row],[Qté Vendue]] * IFERROR(_xlfn.XLOOKUP(tbl_Ventes[[#This Row],[Cde_Prdt]], tbl_Produits[Cde_Prdt], tbl_Produits[Prix Menu]), 0)</f>
        <v>0</v>
      </c>
      <c r="H2563" s="7">
        <f>IFERROR(_xlfn.XLOOKUP(tbl_Ventes[[#This Row],[Cde_Prdt]], tbl_Produits[Cde_Prdt], tbl_Produits[Coût Moyen Portion]), 0)</f>
        <v>0</v>
      </c>
      <c r="I2563" s="7">
        <f>tbl_Ventes[[#This Row],[Qté Vendue]] * tbl_Ventes[[#This Row],[CMP_par_portion]]</f>
        <v>0</v>
      </c>
      <c r="J2563" s="7">
        <f>tbl_Ventes[[#This Row],[CA ligne]] - tbl_Ventes[[#This Row],[Coût matière ligne]]</f>
        <v>0</v>
      </c>
      <c r="K2563" s="7" t="str">
        <f>IFERROR(INDEX(tbl_ProduitsRef[Famille], MATCH(tbl_Ventes[[#This Row],[Cde_Prdt]], tbl_Produits[Cde_Prdt], 0)), "")</f>
        <v/>
      </c>
    </row>
    <row r="2564" spans="1:11" x14ac:dyDescent="0.25">
      <c r="A2564" s="5"/>
      <c r="B2564" s="63" t="str">
        <f>IFERROR(TEXT(tbl_Ventes[[#This Row],[Date]],"mm-aaaa"),"")</f>
        <v>01-1900</v>
      </c>
      <c r="D2564" s="10" t="str">
        <f>IFERROR(
   INDEX(tbl_ProduitsRef[Cde_Prdt],MATCH(tbl_Ventes[[#This Row],[Produit]],tbl_ProduitsRef[Produit],0)),
   ""
)</f>
        <v/>
      </c>
      <c r="E2564" s="7">
        <v>0</v>
      </c>
      <c r="F2564" s="7" t="str">
        <f>IFERROR(
   INDEX(tbl_ProduitsRef[Prix Menu],MATCH(tbl_Ventes[[#This Row],[Produit]],tbl_ProduitsRef[Produit],0)),
   ""
)</f>
        <v/>
      </c>
      <c r="G2564" s="7">
        <f>tbl_Ventes[[#This Row],[Qté Vendue]] * IFERROR(_xlfn.XLOOKUP(tbl_Ventes[[#This Row],[Cde_Prdt]], tbl_Produits[Cde_Prdt], tbl_Produits[Prix Menu]), 0)</f>
        <v>0</v>
      </c>
      <c r="H2564" s="7">
        <f>IFERROR(_xlfn.XLOOKUP(tbl_Ventes[[#This Row],[Cde_Prdt]], tbl_Produits[Cde_Prdt], tbl_Produits[Coût Moyen Portion]), 0)</f>
        <v>0</v>
      </c>
      <c r="I2564" s="7">
        <f>tbl_Ventes[[#This Row],[Qté Vendue]] * tbl_Ventes[[#This Row],[CMP_par_portion]]</f>
        <v>0</v>
      </c>
      <c r="J2564" s="7">
        <f>tbl_Ventes[[#This Row],[CA ligne]] - tbl_Ventes[[#This Row],[Coût matière ligne]]</f>
        <v>0</v>
      </c>
      <c r="K2564" s="7" t="str">
        <f>IFERROR(INDEX(tbl_ProduitsRef[Famille], MATCH(tbl_Ventes[[#This Row],[Cde_Prdt]], tbl_Produits[Cde_Prdt], 0)), "")</f>
        <v/>
      </c>
    </row>
    <row r="2565" spans="1:11" x14ac:dyDescent="0.25">
      <c r="A2565" s="5"/>
      <c r="B2565" s="63" t="str">
        <f>IFERROR(TEXT(tbl_Ventes[[#This Row],[Date]],"mm-aaaa"),"")</f>
        <v>01-1900</v>
      </c>
      <c r="D2565" s="10" t="str">
        <f>IFERROR(
   INDEX(tbl_ProduitsRef[Cde_Prdt],MATCH(tbl_Ventes[[#This Row],[Produit]],tbl_ProduitsRef[Produit],0)),
   ""
)</f>
        <v/>
      </c>
      <c r="E2565" s="7">
        <v>0</v>
      </c>
      <c r="F2565" s="7" t="str">
        <f>IFERROR(
   INDEX(tbl_ProduitsRef[Prix Menu],MATCH(tbl_Ventes[[#This Row],[Produit]],tbl_ProduitsRef[Produit],0)),
   ""
)</f>
        <v/>
      </c>
      <c r="G2565" s="7">
        <f>tbl_Ventes[[#This Row],[Qté Vendue]] * IFERROR(_xlfn.XLOOKUP(tbl_Ventes[[#This Row],[Cde_Prdt]], tbl_Produits[Cde_Prdt], tbl_Produits[Prix Menu]), 0)</f>
        <v>0</v>
      </c>
      <c r="H2565" s="7">
        <f>IFERROR(_xlfn.XLOOKUP(tbl_Ventes[[#This Row],[Cde_Prdt]], tbl_Produits[Cde_Prdt], tbl_Produits[Coût Moyen Portion]), 0)</f>
        <v>0</v>
      </c>
      <c r="I2565" s="7">
        <f>tbl_Ventes[[#This Row],[Qté Vendue]] * tbl_Ventes[[#This Row],[CMP_par_portion]]</f>
        <v>0</v>
      </c>
      <c r="J2565" s="7">
        <f>tbl_Ventes[[#This Row],[CA ligne]] - tbl_Ventes[[#This Row],[Coût matière ligne]]</f>
        <v>0</v>
      </c>
      <c r="K2565" s="7" t="str">
        <f>IFERROR(INDEX(tbl_ProduitsRef[Famille], MATCH(tbl_Ventes[[#This Row],[Cde_Prdt]], tbl_Produits[Cde_Prdt], 0)), "")</f>
        <v/>
      </c>
    </row>
    <row r="2566" spans="1:11" x14ac:dyDescent="0.25">
      <c r="A2566" s="5"/>
      <c r="B2566" s="63" t="str">
        <f>IFERROR(TEXT(tbl_Ventes[[#This Row],[Date]],"mm-aaaa"),"")</f>
        <v>01-1900</v>
      </c>
      <c r="D2566" s="10" t="str">
        <f>IFERROR(
   INDEX(tbl_ProduitsRef[Cde_Prdt],MATCH(tbl_Ventes[[#This Row],[Produit]],tbl_ProduitsRef[Produit],0)),
   ""
)</f>
        <v/>
      </c>
      <c r="E2566" s="7">
        <v>0</v>
      </c>
      <c r="F2566" s="7" t="str">
        <f>IFERROR(
   INDEX(tbl_ProduitsRef[Prix Menu],MATCH(tbl_Ventes[[#This Row],[Produit]],tbl_ProduitsRef[Produit],0)),
   ""
)</f>
        <v/>
      </c>
      <c r="G2566" s="7">
        <f>tbl_Ventes[[#This Row],[Qté Vendue]] * IFERROR(_xlfn.XLOOKUP(tbl_Ventes[[#This Row],[Cde_Prdt]], tbl_Produits[Cde_Prdt], tbl_Produits[Prix Menu]), 0)</f>
        <v>0</v>
      </c>
      <c r="H2566" s="7">
        <f>IFERROR(_xlfn.XLOOKUP(tbl_Ventes[[#This Row],[Cde_Prdt]], tbl_Produits[Cde_Prdt], tbl_Produits[Coût Moyen Portion]), 0)</f>
        <v>0</v>
      </c>
      <c r="I2566" s="7">
        <f>tbl_Ventes[[#This Row],[Qté Vendue]] * tbl_Ventes[[#This Row],[CMP_par_portion]]</f>
        <v>0</v>
      </c>
      <c r="J2566" s="7">
        <f>tbl_Ventes[[#This Row],[CA ligne]] - tbl_Ventes[[#This Row],[Coût matière ligne]]</f>
        <v>0</v>
      </c>
      <c r="K2566" s="7" t="str">
        <f>IFERROR(INDEX(tbl_ProduitsRef[Famille], MATCH(tbl_Ventes[[#This Row],[Cde_Prdt]], tbl_Produits[Cde_Prdt], 0)), "")</f>
        <v/>
      </c>
    </row>
    <row r="2567" spans="1:11" x14ac:dyDescent="0.25">
      <c r="A2567" s="5"/>
      <c r="B2567" s="63" t="str">
        <f>IFERROR(TEXT(tbl_Ventes[[#This Row],[Date]],"mm-aaaa"),"")</f>
        <v>01-1900</v>
      </c>
      <c r="D2567" s="10" t="str">
        <f>IFERROR(
   INDEX(tbl_ProduitsRef[Cde_Prdt],MATCH(tbl_Ventes[[#This Row],[Produit]],tbl_ProduitsRef[Produit],0)),
   ""
)</f>
        <v/>
      </c>
      <c r="E2567" s="7">
        <v>0</v>
      </c>
      <c r="F2567" s="7" t="str">
        <f>IFERROR(
   INDEX(tbl_ProduitsRef[Prix Menu],MATCH(tbl_Ventes[[#This Row],[Produit]],tbl_ProduitsRef[Produit],0)),
   ""
)</f>
        <v/>
      </c>
      <c r="G2567" s="7">
        <f>tbl_Ventes[[#This Row],[Qté Vendue]] * IFERROR(_xlfn.XLOOKUP(tbl_Ventes[[#This Row],[Cde_Prdt]], tbl_Produits[Cde_Prdt], tbl_Produits[Prix Menu]), 0)</f>
        <v>0</v>
      </c>
      <c r="H2567" s="7">
        <f>IFERROR(_xlfn.XLOOKUP(tbl_Ventes[[#This Row],[Cde_Prdt]], tbl_Produits[Cde_Prdt], tbl_Produits[Coût Moyen Portion]), 0)</f>
        <v>0</v>
      </c>
      <c r="I2567" s="7">
        <f>tbl_Ventes[[#This Row],[Qté Vendue]] * tbl_Ventes[[#This Row],[CMP_par_portion]]</f>
        <v>0</v>
      </c>
      <c r="J2567" s="7">
        <f>tbl_Ventes[[#This Row],[CA ligne]] - tbl_Ventes[[#This Row],[Coût matière ligne]]</f>
        <v>0</v>
      </c>
      <c r="K2567" s="7" t="str">
        <f>IFERROR(INDEX(tbl_ProduitsRef[Famille], MATCH(tbl_Ventes[[#This Row],[Cde_Prdt]], tbl_Produits[Cde_Prdt], 0)), "")</f>
        <v/>
      </c>
    </row>
    <row r="2568" spans="1:11" x14ac:dyDescent="0.25">
      <c r="A2568" s="5"/>
      <c r="B2568" s="63" t="str">
        <f>IFERROR(TEXT(tbl_Ventes[[#This Row],[Date]],"mm-aaaa"),"")</f>
        <v>01-1900</v>
      </c>
      <c r="D2568" s="10" t="str">
        <f>IFERROR(
   INDEX(tbl_ProduitsRef[Cde_Prdt],MATCH(tbl_Ventes[[#This Row],[Produit]],tbl_ProduitsRef[Produit],0)),
   ""
)</f>
        <v/>
      </c>
      <c r="E2568" s="7">
        <v>0</v>
      </c>
      <c r="F2568" s="7" t="str">
        <f>IFERROR(
   INDEX(tbl_ProduitsRef[Prix Menu],MATCH(tbl_Ventes[[#This Row],[Produit]],tbl_ProduitsRef[Produit],0)),
   ""
)</f>
        <v/>
      </c>
      <c r="G2568" s="7">
        <f>tbl_Ventes[[#This Row],[Qté Vendue]] * IFERROR(_xlfn.XLOOKUP(tbl_Ventes[[#This Row],[Cde_Prdt]], tbl_Produits[Cde_Prdt], tbl_Produits[Prix Menu]), 0)</f>
        <v>0</v>
      </c>
      <c r="H2568" s="7">
        <f>IFERROR(_xlfn.XLOOKUP(tbl_Ventes[[#This Row],[Cde_Prdt]], tbl_Produits[Cde_Prdt], tbl_Produits[Coût Moyen Portion]), 0)</f>
        <v>0</v>
      </c>
      <c r="I2568" s="7">
        <f>tbl_Ventes[[#This Row],[Qté Vendue]] * tbl_Ventes[[#This Row],[CMP_par_portion]]</f>
        <v>0</v>
      </c>
      <c r="J2568" s="7">
        <f>tbl_Ventes[[#This Row],[CA ligne]] - tbl_Ventes[[#This Row],[Coût matière ligne]]</f>
        <v>0</v>
      </c>
      <c r="K2568" s="7" t="str">
        <f>IFERROR(INDEX(tbl_ProduitsRef[Famille], MATCH(tbl_Ventes[[#This Row],[Cde_Prdt]], tbl_Produits[Cde_Prdt], 0)), "")</f>
        <v/>
      </c>
    </row>
    <row r="2569" spans="1:11" x14ac:dyDescent="0.25">
      <c r="A2569" s="5"/>
      <c r="B2569" s="63" t="str">
        <f>IFERROR(TEXT(tbl_Ventes[[#This Row],[Date]],"mm-aaaa"),"")</f>
        <v>01-1900</v>
      </c>
      <c r="D2569" s="10" t="str">
        <f>IFERROR(
   INDEX(tbl_ProduitsRef[Cde_Prdt],MATCH(tbl_Ventes[[#This Row],[Produit]],tbl_ProduitsRef[Produit],0)),
   ""
)</f>
        <v/>
      </c>
      <c r="E2569" s="7">
        <v>0</v>
      </c>
      <c r="F2569" s="7" t="str">
        <f>IFERROR(
   INDEX(tbl_ProduitsRef[Prix Menu],MATCH(tbl_Ventes[[#This Row],[Produit]],tbl_ProduitsRef[Produit],0)),
   ""
)</f>
        <v/>
      </c>
      <c r="G2569" s="7">
        <f>tbl_Ventes[[#This Row],[Qté Vendue]] * IFERROR(_xlfn.XLOOKUP(tbl_Ventes[[#This Row],[Cde_Prdt]], tbl_Produits[Cde_Prdt], tbl_Produits[Prix Menu]), 0)</f>
        <v>0</v>
      </c>
      <c r="H2569" s="7">
        <f>IFERROR(_xlfn.XLOOKUP(tbl_Ventes[[#This Row],[Cde_Prdt]], tbl_Produits[Cde_Prdt], tbl_Produits[Coût Moyen Portion]), 0)</f>
        <v>0</v>
      </c>
      <c r="I2569" s="7">
        <f>tbl_Ventes[[#This Row],[Qté Vendue]] * tbl_Ventes[[#This Row],[CMP_par_portion]]</f>
        <v>0</v>
      </c>
      <c r="J2569" s="7">
        <f>tbl_Ventes[[#This Row],[CA ligne]] - tbl_Ventes[[#This Row],[Coût matière ligne]]</f>
        <v>0</v>
      </c>
      <c r="K2569" s="7" t="str">
        <f>IFERROR(INDEX(tbl_ProduitsRef[Famille], MATCH(tbl_Ventes[[#This Row],[Cde_Prdt]], tbl_Produits[Cde_Prdt], 0)), "")</f>
        <v/>
      </c>
    </row>
    <row r="2570" spans="1:11" x14ac:dyDescent="0.25">
      <c r="A2570" s="5"/>
      <c r="B2570" s="63" t="str">
        <f>IFERROR(TEXT(tbl_Ventes[[#This Row],[Date]],"mm-aaaa"),"")</f>
        <v>01-1900</v>
      </c>
      <c r="D2570" s="10" t="str">
        <f>IFERROR(
   INDEX(tbl_ProduitsRef[Cde_Prdt],MATCH(tbl_Ventes[[#This Row],[Produit]],tbl_ProduitsRef[Produit],0)),
   ""
)</f>
        <v/>
      </c>
      <c r="E2570" s="7">
        <v>0</v>
      </c>
      <c r="F2570" s="7" t="str">
        <f>IFERROR(
   INDEX(tbl_ProduitsRef[Prix Menu],MATCH(tbl_Ventes[[#This Row],[Produit]],tbl_ProduitsRef[Produit],0)),
   ""
)</f>
        <v/>
      </c>
      <c r="G2570" s="7">
        <f>tbl_Ventes[[#This Row],[Qté Vendue]] * IFERROR(_xlfn.XLOOKUP(tbl_Ventes[[#This Row],[Cde_Prdt]], tbl_Produits[Cde_Prdt], tbl_Produits[Prix Menu]), 0)</f>
        <v>0</v>
      </c>
      <c r="H2570" s="7">
        <f>IFERROR(_xlfn.XLOOKUP(tbl_Ventes[[#This Row],[Cde_Prdt]], tbl_Produits[Cde_Prdt], tbl_Produits[Coût Moyen Portion]), 0)</f>
        <v>0</v>
      </c>
      <c r="I2570" s="7">
        <f>tbl_Ventes[[#This Row],[Qté Vendue]] * tbl_Ventes[[#This Row],[CMP_par_portion]]</f>
        <v>0</v>
      </c>
      <c r="J2570" s="7">
        <f>tbl_Ventes[[#This Row],[CA ligne]] - tbl_Ventes[[#This Row],[Coût matière ligne]]</f>
        <v>0</v>
      </c>
      <c r="K2570" s="7" t="str">
        <f>IFERROR(INDEX(tbl_ProduitsRef[Famille], MATCH(tbl_Ventes[[#This Row],[Cde_Prdt]], tbl_Produits[Cde_Prdt], 0)), "")</f>
        <v/>
      </c>
    </row>
    <row r="2571" spans="1:11" x14ac:dyDescent="0.25">
      <c r="A2571" s="5"/>
      <c r="B2571" s="63" t="str">
        <f>IFERROR(TEXT(tbl_Ventes[[#This Row],[Date]],"mm-aaaa"),"")</f>
        <v>01-1900</v>
      </c>
      <c r="D2571" s="10" t="str">
        <f>IFERROR(
   INDEX(tbl_ProduitsRef[Cde_Prdt],MATCH(tbl_Ventes[[#This Row],[Produit]],tbl_ProduitsRef[Produit],0)),
   ""
)</f>
        <v/>
      </c>
      <c r="E2571" s="7">
        <v>0</v>
      </c>
      <c r="F2571" s="7" t="str">
        <f>IFERROR(
   INDEX(tbl_ProduitsRef[Prix Menu],MATCH(tbl_Ventes[[#This Row],[Produit]],tbl_ProduitsRef[Produit],0)),
   ""
)</f>
        <v/>
      </c>
      <c r="G2571" s="7">
        <f>tbl_Ventes[[#This Row],[Qté Vendue]] * IFERROR(_xlfn.XLOOKUP(tbl_Ventes[[#This Row],[Cde_Prdt]], tbl_Produits[Cde_Prdt], tbl_Produits[Prix Menu]), 0)</f>
        <v>0</v>
      </c>
      <c r="H2571" s="7">
        <f>IFERROR(_xlfn.XLOOKUP(tbl_Ventes[[#This Row],[Cde_Prdt]], tbl_Produits[Cde_Prdt], tbl_Produits[Coût Moyen Portion]), 0)</f>
        <v>0</v>
      </c>
      <c r="I2571" s="7">
        <f>tbl_Ventes[[#This Row],[Qté Vendue]] * tbl_Ventes[[#This Row],[CMP_par_portion]]</f>
        <v>0</v>
      </c>
      <c r="J2571" s="7">
        <f>tbl_Ventes[[#This Row],[CA ligne]] - tbl_Ventes[[#This Row],[Coût matière ligne]]</f>
        <v>0</v>
      </c>
      <c r="K2571" s="7" t="str">
        <f>IFERROR(INDEX(tbl_ProduitsRef[Famille], MATCH(tbl_Ventes[[#This Row],[Cde_Prdt]], tbl_Produits[Cde_Prdt], 0)), "")</f>
        <v/>
      </c>
    </row>
    <row r="2572" spans="1:11" x14ac:dyDescent="0.25">
      <c r="A2572" s="5"/>
      <c r="B2572" s="63" t="str">
        <f>IFERROR(TEXT(tbl_Ventes[[#This Row],[Date]],"mm-aaaa"),"")</f>
        <v>01-1900</v>
      </c>
      <c r="D2572" s="10" t="str">
        <f>IFERROR(
   INDEX(tbl_ProduitsRef[Cde_Prdt],MATCH(tbl_Ventes[[#This Row],[Produit]],tbl_ProduitsRef[Produit],0)),
   ""
)</f>
        <v/>
      </c>
      <c r="E2572" s="7">
        <v>0</v>
      </c>
      <c r="F2572" s="7" t="str">
        <f>IFERROR(
   INDEX(tbl_ProduitsRef[Prix Menu],MATCH(tbl_Ventes[[#This Row],[Produit]],tbl_ProduitsRef[Produit],0)),
   ""
)</f>
        <v/>
      </c>
      <c r="G2572" s="7">
        <f>tbl_Ventes[[#This Row],[Qté Vendue]] * IFERROR(_xlfn.XLOOKUP(tbl_Ventes[[#This Row],[Cde_Prdt]], tbl_Produits[Cde_Prdt], tbl_Produits[Prix Menu]), 0)</f>
        <v>0</v>
      </c>
      <c r="H2572" s="7">
        <f>IFERROR(_xlfn.XLOOKUP(tbl_Ventes[[#This Row],[Cde_Prdt]], tbl_Produits[Cde_Prdt], tbl_Produits[Coût Moyen Portion]), 0)</f>
        <v>0</v>
      </c>
      <c r="I2572" s="7">
        <f>tbl_Ventes[[#This Row],[Qté Vendue]] * tbl_Ventes[[#This Row],[CMP_par_portion]]</f>
        <v>0</v>
      </c>
      <c r="J2572" s="7">
        <f>tbl_Ventes[[#This Row],[CA ligne]] - tbl_Ventes[[#This Row],[Coût matière ligne]]</f>
        <v>0</v>
      </c>
      <c r="K2572" s="7" t="str">
        <f>IFERROR(INDEX(tbl_ProduitsRef[Famille], MATCH(tbl_Ventes[[#This Row],[Cde_Prdt]], tbl_Produits[Cde_Prdt], 0)), "")</f>
        <v/>
      </c>
    </row>
    <row r="2573" spans="1:11" x14ac:dyDescent="0.25">
      <c r="A2573" s="5"/>
      <c r="B2573" s="63" t="str">
        <f>IFERROR(TEXT(tbl_Ventes[[#This Row],[Date]],"mm-aaaa"),"")</f>
        <v>01-1900</v>
      </c>
      <c r="D2573" s="10" t="str">
        <f>IFERROR(
   INDEX(tbl_ProduitsRef[Cde_Prdt],MATCH(tbl_Ventes[[#This Row],[Produit]],tbl_ProduitsRef[Produit],0)),
   ""
)</f>
        <v/>
      </c>
      <c r="E2573" s="7">
        <v>0</v>
      </c>
      <c r="F2573" s="7" t="str">
        <f>IFERROR(
   INDEX(tbl_ProduitsRef[Prix Menu],MATCH(tbl_Ventes[[#This Row],[Produit]],tbl_ProduitsRef[Produit],0)),
   ""
)</f>
        <v/>
      </c>
      <c r="G2573" s="7">
        <f>tbl_Ventes[[#This Row],[Qté Vendue]] * IFERROR(_xlfn.XLOOKUP(tbl_Ventes[[#This Row],[Cde_Prdt]], tbl_Produits[Cde_Prdt], tbl_Produits[Prix Menu]), 0)</f>
        <v>0</v>
      </c>
      <c r="H2573" s="7">
        <f>IFERROR(_xlfn.XLOOKUP(tbl_Ventes[[#This Row],[Cde_Prdt]], tbl_Produits[Cde_Prdt], tbl_Produits[Coût Moyen Portion]), 0)</f>
        <v>0</v>
      </c>
      <c r="I2573" s="7">
        <f>tbl_Ventes[[#This Row],[Qté Vendue]] * tbl_Ventes[[#This Row],[CMP_par_portion]]</f>
        <v>0</v>
      </c>
      <c r="J2573" s="7">
        <f>tbl_Ventes[[#This Row],[CA ligne]] - tbl_Ventes[[#This Row],[Coût matière ligne]]</f>
        <v>0</v>
      </c>
      <c r="K2573" s="7" t="str">
        <f>IFERROR(INDEX(tbl_ProduitsRef[Famille], MATCH(tbl_Ventes[[#This Row],[Cde_Prdt]], tbl_Produits[Cde_Prdt], 0)), "")</f>
        <v/>
      </c>
    </row>
    <row r="2574" spans="1:11" x14ac:dyDescent="0.25">
      <c r="A2574" s="5"/>
      <c r="B2574" s="63" t="str">
        <f>IFERROR(TEXT(tbl_Ventes[[#This Row],[Date]],"mm-aaaa"),"")</f>
        <v>01-1900</v>
      </c>
      <c r="D2574" s="10" t="str">
        <f>IFERROR(
   INDEX(tbl_ProduitsRef[Cde_Prdt],MATCH(tbl_Ventes[[#This Row],[Produit]],tbl_ProduitsRef[Produit],0)),
   ""
)</f>
        <v/>
      </c>
      <c r="E2574" s="7">
        <v>0</v>
      </c>
      <c r="F2574" s="7" t="str">
        <f>IFERROR(
   INDEX(tbl_ProduitsRef[Prix Menu],MATCH(tbl_Ventes[[#This Row],[Produit]],tbl_ProduitsRef[Produit],0)),
   ""
)</f>
        <v/>
      </c>
      <c r="G2574" s="7">
        <f>tbl_Ventes[[#This Row],[Qté Vendue]] * IFERROR(_xlfn.XLOOKUP(tbl_Ventes[[#This Row],[Cde_Prdt]], tbl_Produits[Cde_Prdt], tbl_Produits[Prix Menu]), 0)</f>
        <v>0</v>
      </c>
      <c r="H2574" s="7">
        <f>IFERROR(_xlfn.XLOOKUP(tbl_Ventes[[#This Row],[Cde_Prdt]], tbl_Produits[Cde_Prdt], tbl_Produits[Coût Moyen Portion]), 0)</f>
        <v>0</v>
      </c>
      <c r="I2574" s="7">
        <f>tbl_Ventes[[#This Row],[Qté Vendue]] * tbl_Ventes[[#This Row],[CMP_par_portion]]</f>
        <v>0</v>
      </c>
      <c r="J2574" s="7">
        <f>tbl_Ventes[[#This Row],[CA ligne]] - tbl_Ventes[[#This Row],[Coût matière ligne]]</f>
        <v>0</v>
      </c>
      <c r="K2574" s="7" t="str">
        <f>IFERROR(INDEX(tbl_ProduitsRef[Famille], MATCH(tbl_Ventes[[#This Row],[Cde_Prdt]], tbl_Produits[Cde_Prdt], 0)), "")</f>
        <v/>
      </c>
    </row>
    <row r="2575" spans="1:11" x14ac:dyDescent="0.25">
      <c r="A2575" s="5"/>
      <c r="B2575" s="63" t="str">
        <f>IFERROR(TEXT(tbl_Ventes[[#This Row],[Date]],"mm-aaaa"),"")</f>
        <v>01-1900</v>
      </c>
      <c r="D2575" s="10" t="str">
        <f>IFERROR(
   INDEX(tbl_ProduitsRef[Cde_Prdt],MATCH(tbl_Ventes[[#This Row],[Produit]],tbl_ProduitsRef[Produit],0)),
   ""
)</f>
        <v/>
      </c>
      <c r="E2575" s="7">
        <v>0</v>
      </c>
      <c r="F2575" s="7" t="str">
        <f>IFERROR(
   INDEX(tbl_ProduitsRef[Prix Menu],MATCH(tbl_Ventes[[#This Row],[Produit]],tbl_ProduitsRef[Produit],0)),
   ""
)</f>
        <v/>
      </c>
      <c r="G2575" s="7">
        <f>tbl_Ventes[[#This Row],[Qté Vendue]] * IFERROR(_xlfn.XLOOKUP(tbl_Ventes[[#This Row],[Cde_Prdt]], tbl_Produits[Cde_Prdt], tbl_Produits[Prix Menu]), 0)</f>
        <v>0</v>
      </c>
      <c r="H2575" s="7">
        <f>IFERROR(_xlfn.XLOOKUP(tbl_Ventes[[#This Row],[Cde_Prdt]], tbl_Produits[Cde_Prdt], tbl_Produits[Coût Moyen Portion]), 0)</f>
        <v>0</v>
      </c>
      <c r="I2575" s="7">
        <f>tbl_Ventes[[#This Row],[Qté Vendue]] * tbl_Ventes[[#This Row],[CMP_par_portion]]</f>
        <v>0</v>
      </c>
      <c r="J2575" s="7">
        <f>tbl_Ventes[[#This Row],[CA ligne]] - tbl_Ventes[[#This Row],[Coût matière ligne]]</f>
        <v>0</v>
      </c>
      <c r="K2575" s="7" t="str">
        <f>IFERROR(INDEX(tbl_ProduitsRef[Famille], MATCH(tbl_Ventes[[#This Row],[Cde_Prdt]], tbl_Produits[Cde_Prdt], 0)), "")</f>
        <v/>
      </c>
    </row>
    <row r="2576" spans="1:11" x14ac:dyDescent="0.25">
      <c r="A2576" s="5"/>
      <c r="B2576" s="63" t="str">
        <f>IFERROR(TEXT(tbl_Ventes[[#This Row],[Date]],"mm-aaaa"),"")</f>
        <v>01-1900</v>
      </c>
      <c r="D2576" s="10" t="str">
        <f>IFERROR(
   INDEX(tbl_ProduitsRef[Cde_Prdt],MATCH(tbl_Ventes[[#This Row],[Produit]],tbl_ProduitsRef[Produit],0)),
   ""
)</f>
        <v/>
      </c>
      <c r="E2576" s="7">
        <v>0</v>
      </c>
      <c r="F2576" s="7" t="str">
        <f>IFERROR(
   INDEX(tbl_ProduitsRef[Prix Menu],MATCH(tbl_Ventes[[#This Row],[Produit]],tbl_ProduitsRef[Produit],0)),
   ""
)</f>
        <v/>
      </c>
      <c r="G2576" s="7">
        <f>tbl_Ventes[[#This Row],[Qté Vendue]] * IFERROR(_xlfn.XLOOKUP(tbl_Ventes[[#This Row],[Cde_Prdt]], tbl_Produits[Cde_Prdt], tbl_Produits[Prix Menu]), 0)</f>
        <v>0</v>
      </c>
      <c r="H2576" s="7">
        <f>IFERROR(_xlfn.XLOOKUP(tbl_Ventes[[#This Row],[Cde_Prdt]], tbl_Produits[Cde_Prdt], tbl_Produits[Coût Moyen Portion]), 0)</f>
        <v>0</v>
      </c>
      <c r="I2576" s="7">
        <f>tbl_Ventes[[#This Row],[Qté Vendue]] * tbl_Ventes[[#This Row],[CMP_par_portion]]</f>
        <v>0</v>
      </c>
      <c r="J2576" s="7">
        <f>tbl_Ventes[[#This Row],[CA ligne]] - tbl_Ventes[[#This Row],[Coût matière ligne]]</f>
        <v>0</v>
      </c>
      <c r="K2576" s="7" t="str">
        <f>IFERROR(INDEX(tbl_ProduitsRef[Famille], MATCH(tbl_Ventes[[#This Row],[Cde_Prdt]], tbl_Produits[Cde_Prdt], 0)), "")</f>
        <v/>
      </c>
    </row>
    <row r="2577" spans="1:11" x14ac:dyDescent="0.25">
      <c r="A2577" s="5"/>
      <c r="B2577" s="63" t="str">
        <f>IFERROR(TEXT(tbl_Ventes[[#This Row],[Date]],"mm-aaaa"),"")</f>
        <v>01-1900</v>
      </c>
      <c r="D2577" s="10" t="str">
        <f>IFERROR(
   INDEX(tbl_ProduitsRef[Cde_Prdt],MATCH(tbl_Ventes[[#This Row],[Produit]],tbl_ProduitsRef[Produit],0)),
   ""
)</f>
        <v/>
      </c>
      <c r="E2577" s="7">
        <v>0</v>
      </c>
      <c r="F2577" s="7" t="str">
        <f>IFERROR(
   INDEX(tbl_ProduitsRef[Prix Menu],MATCH(tbl_Ventes[[#This Row],[Produit]],tbl_ProduitsRef[Produit],0)),
   ""
)</f>
        <v/>
      </c>
      <c r="G2577" s="7">
        <f>tbl_Ventes[[#This Row],[Qté Vendue]] * IFERROR(_xlfn.XLOOKUP(tbl_Ventes[[#This Row],[Cde_Prdt]], tbl_Produits[Cde_Prdt], tbl_Produits[Prix Menu]), 0)</f>
        <v>0</v>
      </c>
      <c r="H2577" s="7">
        <f>IFERROR(_xlfn.XLOOKUP(tbl_Ventes[[#This Row],[Cde_Prdt]], tbl_Produits[Cde_Prdt], tbl_Produits[Coût Moyen Portion]), 0)</f>
        <v>0</v>
      </c>
      <c r="I2577" s="7">
        <f>tbl_Ventes[[#This Row],[Qté Vendue]] * tbl_Ventes[[#This Row],[CMP_par_portion]]</f>
        <v>0</v>
      </c>
      <c r="J2577" s="7">
        <f>tbl_Ventes[[#This Row],[CA ligne]] - tbl_Ventes[[#This Row],[Coût matière ligne]]</f>
        <v>0</v>
      </c>
      <c r="K2577" s="7" t="str">
        <f>IFERROR(INDEX(tbl_ProduitsRef[Famille], MATCH(tbl_Ventes[[#This Row],[Cde_Prdt]], tbl_Produits[Cde_Prdt], 0)), "")</f>
        <v/>
      </c>
    </row>
    <row r="2578" spans="1:11" x14ac:dyDescent="0.25">
      <c r="A2578" s="5"/>
      <c r="B2578" s="63" t="str">
        <f>IFERROR(TEXT(tbl_Ventes[[#This Row],[Date]],"mm-aaaa"),"")</f>
        <v>01-1900</v>
      </c>
      <c r="D2578" s="10" t="str">
        <f>IFERROR(
   INDEX(tbl_ProduitsRef[Cde_Prdt],MATCH(tbl_Ventes[[#This Row],[Produit]],tbl_ProduitsRef[Produit],0)),
   ""
)</f>
        <v/>
      </c>
      <c r="E2578" s="7">
        <v>0</v>
      </c>
      <c r="F2578" s="7" t="str">
        <f>IFERROR(
   INDEX(tbl_ProduitsRef[Prix Menu],MATCH(tbl_Ventes[[#This Row],[Produit]],tbl_ProduitsRef[Produit],0)),
   ""
)</f>
        <v/>
      </c>
      <c r="G2578" s="7">
        <f>tbl_Ventes[[#This Row],[Qté Vendue]] * IFERROR(_xlfn.XLOOKUP(tbl_Ventes[[#This Row],[Cde_Prdt]], tbl_Produits[Cde_Prdt], tbl_Produits[Prix Menu]), 0)</f>
        <v>0</v>
      </c>
      <c r="H2578" s="7">
        <f>IFERROR(_xlfn.XLOOKUP(tbl_Ventes[[#This Row],[Cde_Prdt]], tbl_Produits[Cde_Prdt], tbl_Produits[Coût Moyen Portion]), 0)</f>
        <v>0</v>
      </c>
      <c r="I2578" s="7">
        <f>tbl_Ventes[[#This Row],[Qté Vendue]] * tbl_Ventes[[#This Row],[CMP_par_portion]]</f>
        <v>0</v>
      </c>
      <c r="J2578" s="7">
        <f>tbl_Ventes[[#This Row],[CA ligne]] - tbl_Ventes[[#This Row],[Coût matière ligne]]</f>
        <v>0</v>
      </c>
      <c r="K2578" s="7" t="str">
        <f>IFERROR(INDEX(tbl_ProduitsRef[Famille], MATCH(tbl_Ventes[[#This Row],[Cde_Prdt]], tbl_Produits[Cde_Prdt], 0)), "")</f>
        <v/>
      </c>
    </row>
    <row r="2579" spans="1:11" x14ac:dyDescent="0.25">
      <c r="A2579" s="5"/>
      <c r="B2579" s="63" t="str">
        <f>IFERROR(TEXT(tbl_Ventes[[#This Row],[Date]],"mm-aaaa"),"")</f>
        <v>01-1900</v>
      </c>
      <c r="D2579" s="10" t="str">
        <f>IFERROR(
   INDEX(tbl_ProduitsRef[Cde_Prdt],MATCH(tbl_Ventes[[#This Row],[Produit]],tbl_ProduitsRef[Produit],0)),
   ""
)</f>
        <v/>
      </c>
      <c r="E2579" s="7">
        <v>0</v>
      </c>
      <c r="F2579" s="7" t="str">
        <f>IFERROR(
   INDEX(tbl_ProduitsRef[Prix Menu],MATCH(tbl_Ventes[[#This Row],[Produit]],tbl_ProduitsRef[Produit],0)),
   ""
)</f>
        <v/>
      </c>
      <c r="G2579" s="7">
        <f>tbl_Ventes[[#This Row],[Qté Vendue]] * IFERROR(_xlfn.XLOOKUP(tbl_Ventes[[#This Row],[Cde_Prdt]], tbl_Produits[Cde_Prdt], tbl_Produits[Prix Menu]), 0)</f>
        <v>0</v>
      </c>
      <c r="H2579" s="7">
        <f>IFERROR(_xlfn.XLOOKUP(tbl_Ventes[[#This Row],[Cde_Prdt]], tbl_Produits[Cde_Prdt], tbl_Produits[Coût Moyen Portion]), 0)</f>
        <v>0</v>
      </c>
      <c r="I2579" s="7">
        <f>tbl_Ventes[[#This Row],[Qté Vendue]] * tbl_Ventes[[#This Row],[CMP_par_portion]]</f>
        <v>0</v>
      </c>
      <c r="J2579" s="7">
        <f>tbl_Ventes[[#This Row],[CA ligne]] - tbl_Ventes[[#This Row],[Coût matière ligne]]</f>
        <v>0</v>
      </c>
      <c r="K2579" s="7" t="str">
        <f>IFERROR(INDEX(tbl_ProduitsRef[Famille], MATCH(tbl_Ventes[[#This Row],[Cde_Prdt]], tbl_Produits[Cde_Prdt], 0)), "")</f>
        <v/>
      </c>
    </row>
    <row r="2580" spans="1:11" x14ac:dyDescent="0.25">
      <c r="A2580" s="5"/>
      <c r="B2580" s="63" t="str">
        <f>IFERROR(TEXT(tbl_Ventes[[#This Row],[Date]],"mm-aaaa"),"")</f>
        <v>01-1900</v>
      </c>
      <c r="D2580" s="10" t="str">
        <f>IFERROR(
   INDEX(tbl_ProduitsRef[Cde_Prdt],MATCH(tbl_Ventes[[#This Row],[Produit]],tbl_ProduitsRef[Produit],0)),
   ""
)</f>
        <v/>
      </c>
      <c r="E2580" s="7">
        <v>0</v>
      </c>
      <c r="F2580" s="7" t="str">
        <f>IFERROR(
   INDEX(tbl_ProduitsRef[Prix Menu],MATCH(tbl_Ventes[[#This Row],[Produit]],tbl_ProduitsRef[Produit],0)),
   ""
)</f>
        <v/>
      </c>
      <c r="G2580" s="7">
        <f>tbl_Ventes[[#This Row],[Qté Vendue]] * IFERROR(_xlfn.XLOOKUP(tbl_Ventes[[#This Row],[Cde_Prdt]], tbl_Produits[Cde_Prdt], tbl_Produits[Prix Menu]), 0)</f>
        <v>0</v>
      </c>
      <c r="H2580" s="7">
        <f>IFERROR(_xlfn.XLOOKUP(tbl_Ventes[[#This Row],[Cde_Prdt]], tbl_Produits[Cde_Prdt], tbl_Produits[Coût Moyen Portion]), 0)</f>
        <v>0</v>
      </c>
      <c r="I2580" s="7">
        <f>tbl_Ventes[[#This Row],[Qté Vendue]] * tbl_Ventes[[#This Row],[CMP_par_portion]]</f>
        <v>0</v>
      </c>
      <c r="J2580" s="7">
        <f>tbl_Ventes[[#This Row],[CA ligne]] - tbl_Ventes[[#This Row],[Coût matière ligne]]</f>
        <v>0</v>
      </c>
      <c r="K2580" s="7" t="str">
        <f>IFERROR(INDEX(tbl_ProduitsRef[Famille], MATCH(tbl_Ventes[[#This Row],[Cde_Prdt]], tbl_Produits[Cde_Prdt], 0)), "")</f>
        <v/>
      </c>
    </row>
    <row r="2581" spans="1:11" x14ac:dyDescent="0.25">
      <c r="A2581" s="5"/>
      <c r="B2581" s="63" t="str">
        <f>IFERROR(TEXT(tbl_Ventes[[#This Row],[Date]],"mm-aaaa"),"")</f>
        <v>01-1900</v>
      </c>
      <c r="D2581" s="10" t="str">
        <f>IFERROR(
   INDEX(tbl_ProduitsRef[Cde_Prdt],MATCH(tbl_Ventes[[#This Row],[Produit]],tbl_ProduitsRef[Produit],0)),
   ""
)</f>
        <v/>
      </c>
      <c r="E2581" s="7">
        <v>0</v>
      </c>
      <c r="F2581" s="7" t="str">
        <f>IFERROR(
   INDEX(tbl_ProduitsRef[Prix Menu],MATCH(tbl_Ventes[[#This Row],[Produit]],tbl_ProduitsRef[Produit],0)),
   ""
)</f>
        <v/>
      </c>
      <c r="G2581" s="7">
        <f>tbl_Ventes[[#This Row],[Qté Vendue]] * IFERROR(_xlfn.XLOOKUP(tbl_Ventes[[#This Row],[Cde_Prdt]], tbl_Produits[Cde_Prdt], tbl_Produits[Prix Menu]), 0)</f>
        <v>0</v>
      </c>
      <c r="H2581" s="7">
        <f>IFERROR(_xlfn.XLOOKUP(tbl_Ventes[[#This Row],[Cde_Prdt]], tbl_Produits[Cde_Prdt], tbl_Produits[Coût Moyen Portion]), 0)</f>
        <v>0</v>
      </c>
      <c r="I2581" s="7">
        <f>tbl_Ventes[[#This Row],[Qté Vendue]] * tbl_Ventes[[#This Row],[CMP_par_portion]]</f>
        <v>0</v>
      </c>
      <c r="J2581" s="7">
        <f>tbl_Ventes[[#This Row],[CA ligne]] - tbl_Ventes[[#This Row],[Coût matière ligne]]</f>
        <v>0</v>
      </c>
      <c r="K2581" s="7" t="str">
        <f>IFERROR(INDEX(tbl_ProduitsRef[Famille], MATCH(tbl_Ventes[[#This Row],[Cde_Prdt]], tbl_Produits[Cde_Prdt], 0)), "")</f>
        <v/>
      </c>
    </row>
    <row r="2582" spans="1:11" x14ac:dyDescent="0.25">
      <c r="A2582" s="5"/>
      <c r="B2582" s="63" t="str">
        <f>IFERROR(TEXT(tbl_Ventes[[#This Row],[Date]],"mm-aaaa"),"")</f>
        <v>01-1900</v>
      </c>
      <c r="D2582" s="10" t="str">
        <f>IFERROR(
   INDEX(tbl_ProduitsRef[Cde_Prdt],MATCH(tbl_Ventes[[#This Row],[Produit]],tbl_ProduitsRef[Produit],0)),
   ""
)</f>
        <v/>
      </c>
      <c r="E2582" s="7">
        <v>0</v>
      </c>
      <c r="F2582" s="7" t="str">
        <f>IFERROR(
   INDEX(tbl_ProduitsRef[Prix Menu],MATCH(tbl_Ventes[[#This Row],[Produit]],tbl_ProduitsRef[Produit],0)),
   ""
)</f>
        <v/>
      </c>
      <c r="G2582" s="7">
        <f>tbl_Ventes[[#This Row],[Qté Vendue]] * IFERROR(_xlfn.XLOOKUP(tbl_Ventes[[#This Row],[Cde_Prdt]], tbl_Produits[Cde_Prdt], tbl_Produits[Prix Menu]), 0)</f>
        <v>0</v>
      </c>
      <c r="H2582" s="7">
        <f>IFERROR(_xlfn.XLOOKUP(tbl_Ventes[[#This Row],[Cde_Prdt]], tbl_Produits[Cde_Prdt], tbl_Produits[Coût Moyen Portion]), 0)</f>
        <v>0</v>
      </c>
      <c r="I2582" s="7">
        <f>tbl_Ventes[[#This Row],[Qté Vendue]] * tbl_Ventes[[#This Row],[CMP_par_portion]]</f>
        <v>0</v>
      </c>
      <c r="J2582" s="7">
        <f>tbl_Ventes[[#This Row],[CA ligne]] - tbl_Ventes[[#This Row],[Coût matière ligne]]</f>
        <v>0</v>
      </c>
      <c r="K2582" s="7" t="str">
        <f>IFERROR(INDEX(tbl_ProduitsRef[Famille], MATCH(tbl_Ventes[[#This Row],[Cde_Prdt]], tbl_Produits[Cde_Prdt], 0)), "")</f>
        <v/>
      </c>
    </row>
    <row r="2583" spans="1:11" x14ac:dyDescent="0.25">
      <c r="A2583" s="5"/>
      <c r="B2583" s="63" t="str">
        <f>IFERROR(TEXT(tbl_Ventes[[#This Row],[Date]],"mm-aaaa"),"")</f>
        <v>01-1900</v>
      </c>
      <c r="D2583" s="10" t="str">
        <f>IFERROR(
   INDEX(tbl_ProduitsRef[Cde_Prdt],MATCH(tbl_Ventes[[#This Row],[Produit]],tbl_ProduitsRef[Produit],0)),
   ""
)</f>
        <v/>
      </c>
      <c r="E2583" s="7">
        <v>0</v>
      </c>
      <c r="F2583" s="7" t="str">
        <f>IFERROR(
   INDEX(tbl_ProduitsRef[Prix Menu],MATCH(tbl_Ventes[[#This Row],[Produit]],tbl_ProduitsRef[Produit],0)),
   ""
)</f>
        <v/>
      </c>
      <c r="G2583" s="7">
        <f>tbl_Ventes[[#This Row],[Qté Vendue]] * IFERROR(_xlfn.XLOOKUP(tbl_Ventes[[#This Row],[Cde_Prdt]], tbl_Produits[Cde_Prdt], tbl_Produits[Prix Menu]), 0)</f>
        <v>0</v>
      </c>
      <c r="H2583" s="7">
        <f>IFERROR(_xlfn.XLOOKUP(tbl_Ventes[[#This Row],[Cde_Prdt]], tbl_Produits[Cde_Prdt], tbl_Produits[Coût Moyen Portion]), 0)</f>
        <v>0</v>
      </c>
      <c r="I2583" s="7">
        <f>tbl_Ventes[[#This Row],[Qté Vendue]] * tbl_Ventes[[#This Row],[CMP_par_portion]]</f>
        <v>0</v>
      </c>
      <c r="J2583" s="7">
        <f>tbl_Ventes[[#This Row],[CA ligne]] - tbl_Ventes[[#This Row],[Coût matière ligne]]</f>
        <v>0</v>
      </c>
      <c r="K2583" s="7" t="str">
        <f>IFERROR(INDEX(tbl_ProduitsRef[Famille], MATCH(tbl_Ventes[[#This Row],[Cde_Prdt]], tbl_Produits[Cde_Prdt], 0)), "")</f>
        <v/>
      </c>
    </row>
    <row r="2584" spans="1:11" x14ac:dyDescent="0.25">
      <c r="A2584" s="5"/>
      <c r="B2584" s="63" t="str">
        <f>IFERROR(TEXT(tbl_Ventes[[#This Row],[Date]],"mm-aaaa"),"")</f>
        <v>01-1900</v>
      </c>
      <c r="D2584" s="10" t="str">
        <f>IFERROR(
   INDEX(tbl_ProduitsRef[Cde_Prdt],MATCH(tbl_Ventes[[#This Row],[Produit]],tbl_ProduitsRef[Produit],0)),
   ""
)</f>
        <v/>
      </c>
      <c r="E2584" s="7">
        <v>0</v>
      </c>
      <c r="F2584" s="7" t="str">
        <f>IFERROR(
   INDEX(tbl_ProduitsRef[Prix Menu],MATCH(tbl_Ventes[[#This Row],[Produit]],tbl_ProduitsRef[Produit],0)),
   ""
)</f>
        <v/>
      </c>
      <c r="G2584" s="7">
        <f>tbl_Ventes[[#This Row],[Qté Vendue]] * IFERROR(_xlfn.XLOOKUP(tbl_Ventes[[#This Row],[Cde_Prdt]], tbl_Produits[Cde_Prdt], tbl_Produits[Prix Menu]), 0)</f>
        <v>0</v>
      </c>
      <c r="H2584" s="7">
        <f>IFERROR(_xlfn.XLOOKUP(tbl_Ventes[[#This Row],[Cde_Prdt]], tbl_Produits[Cde_Prdt], tbl_Produits[Coût Moyen Portion]), 0)</f>
        <v>0</v>
      </c>
      <c r="I2584" s="7">
        <f>tbl_Ventes[[#This Row],[Qté Vendue]] * tbl_Ventes[[#This Row],[CMP_par_portion]]</f>
        <v>0</v>
      </c>
      <c r="J2584" s="7">
        <f>tbl_Ventes[[#This Row],[CA ligne]] - tbl_Ventes[[#This Row],[Coût matière ligne]]</f>
        <v>0</v>
      </c>
      <c r="K2584" s="7" t="str">
        <f>IFERROR(INDEX(tbl_ProduitsRef[Famille], MATCH(tbl_Ventes[[#This Row],[Cde_Prdt]], tbl_Produits[Cde_Prdt], 0)), "")</f>
        <v/>
      </c>
    </row>
    <row r="2585" spans="1:11" x14ac:dyDescent="0.25">
      <c r="A2585" s="5"/>
      <c r="B2585" s="63" t="str">
        <f>IFERROR(TEXT(tbl_Ventes[[#This Row],[Date]],"mm-aaaa"),"")</f>
        <v>01-1900</v>
      </c>
      <c r="D2585" s="10" t="str">
        <f>IFERROR(
   INDEX(tbl_ProduitsRef[Cde_Prdt],MATCH(tbl_Ventes[[#This Row],[Produit]],tbl_ProduitsRef[Produit],0)),
   ""
)</f>
        <v/>
      </c>
      <c r="E2585" s="7">
        <v>0</v>
      </c>
      <c r="F2585" s="7" t="str">
        <f>IFERROR(
   INDEX(tbl_ProduitsRef[Prix Menu],MATCH(tbl_Ventes[[#This Row],[Produit]],tbl_ProduitsRef[Produit],0)),
   ""
)</f>
        <v/>
      </c>
      <c r="G2585" s="7">
        <f>tbl_Ventes[[#This Row],[Qté Vendue]] * IFERROR(_xlfn.XLOOKUP(tbl_Ventes[[#This Row],[Cde_Prdt]], tbl_Produits[Cde_Prdt], tbl_Produits[Prix Menu]), 0)</f>
        <v>0</v>
      </c>
      <c r="H2585" s="7">
        <f>IFERROR(_xlfn.XLOOKUP(tbl_Ventes[[#This Row],[Cde_Prdt]], tbl_Produits[Cde_Prdt], tbl_Produits[Coût Moyen Portion]), 0)</f>
        <v>0</v>
      </c>
      <c r="I2585" s="7">
        <f>tbl_Ventes[[#This Row],[Qté Vendue]] * tbl_Ventes[[#This Row],[CMP_par_portion]]</f>
        <v>0</v>
      </c>
      <c r="J2585" s="7">
        <f>tbl_Ventes[[#This Row],[CA ligne]] - tbl_Ventes[[#This Row],[Coût matière ligne]]</f>
        <v>0</v>
      </c>
      <c r="K2585" s="7" t="str">
        <f>IFERROR(INDEX(tbl_ProduitsRef[Famille], MATCH(tbl_Ventes[[#This Row],[Cde_Prdt]], tbl_Produits[Cde_Prdt], 0)), "")</f>
        <v/>
      </c>
    </row>
    <row r="2586" spans="1:11" x14ac:dyDescent="0.25">
      <c r="A2586" s="5"/>
      <c r="B2586" s="63" t="str">
        <f>IFERROR(TEXT(tbl_Ventes[[#This Row],[Date]],"mm-aaaa"),"")</f>
        <v>01-1900</v>
      </c>
      <c r="D2586" s="10" t="str">
        <f>IFERROR(
   INDEX(tbl_ProduitsRef[Cde_Prdt],MATCH(tbl_Ventes[[#This Row],[Produit]],tbl_ProduitsRef[Produit],0)),
   ""
)</f>
        <v/>
      </c>
      <c r="E2586" s="7">
        <v>0</v>
      </c>
      <c r="F2586" s="7" t="str">
        <f>IFERROR(
   INDEX(tbl_ProduitsRef[Prix Menu],MATCH(tbl_Ventes[[#This Row],[Produit]],tbl_ProduitsRef[Produit],0)),
   ""
)</f>
        <v/>
      </c>
      <c r="G2586" s="7">
        <f>tbl_Ventes[[#This Row],[Qté Vendue]] * IFERROR(_xlfn.XLOOKUP(tbl_Ventes[[#This Row],[Cde_Prdt]], tbl_Produits[Cde_Prdt], tbl_Produits[Prix Menu]), 0)</f>
        <v>0</v>
      </c>
      <c r="H2586" s="7">
        <f>IFERROR(_xlfn.XLOOKUP(tbl_Ventes[[#This Row],[Cde_Prdt]], tbl_Produits[Cde_Prdt], tbl_Produits[Coût Moyen Portion]), 0)</f>
        <v>0</v>
      </c>
      <c r="I2586" s="7">
        <f>tbl_Ventes[[#This Row],[Qté Vendue]] * tbl_Ventes[[#This Row],[CMP_par_portion]]</f>
        <v>0</v>
      </c>
      <c r="J2586" s="7">
        <f>tbl_Ventes[[#This Row],[CA ligne]] - tbl_Ventes[[#This Row],[Coût matière ligne]]</f>
        <v>0</v>
      </c>
      <c r="K2586" s="7" t="str">
        <f>IFERROR(INDEX(tbl_ProduitsRef[Famille], MATCH(tbl_Ventes[[#This Row],[Cde_Prdt]], tbl_Produits[Cde_Prdt], 0)), "")</f>
        <v/>
      </c>
    </row>
    <row r="2587" spans="1:11" x14ac:dyDescent="0.25">
      <c r="A2587" s="5"/>
      <c r="B2587" s="63" t="str">
        <f>IFERROR(TEXT(tbl_Ventes[[#This Row],[Date]],"mm-aaaa"),"")</f>
        <v>01-1900</v>
      </c>
      <c r="D2587" s="10" t="str">
        <f>IFERROR(
   INDEX(tbl_ProduitsRef[Cde_Prdt],MATCH(tbl_Ventes[[#This Row],[Produit]],tbl_ProduitsRef[Produit],0)),
   ""
)</f>
        <v/>
      </c>
      <c r="E2587" s="7">
        <v>0</v>
      </c>
      <c r="F2587" s="7" t="str">
        <f>IFERROR(
   INDEX(tbl_ProduitsRef[Prix Menu],MATCH(tbl_Ventes[[#This Row],[Produit]],tbl_ProduitsRef[Produit],0)),
   ""
)</f>
        <v/>
      </c>
      <c r="G2587" s="7">
        <f>tbl_Ventes[[#This Row],[Qté Vendue]] * IFERROR(_xlfn.XLOOKUP(tbl_Ventes[[#This Row],[Cde_Prdt]], tbl_Produits[Cde_Prdt], tbl_Produits[Prix Menu]), 0)</f>
        <v>0</v>
      </c>
      <c r="H2587" s="7">
        <f>IFERROR(_xlfn.XLOOKUP(tbl_Ventes[[#This Row],[Cde_Prdt]], tbl_Produits[Cde_Prdt], tbl_Produits[Coût Moyen Portion]), 0)</f>
        <v>0</v>
      </c>
      <c r="I2587" s="7">
        <f>tbl_Ventes[[#This Row],[Qté Vendue]] * tbl_Ventes[[#This Row],[CMP_par_portion]]</f>
        <v>0</v>
      </c>
      <c r="J2587" s="7">
        <f>tbl_Ventes[[#This Row],[CA ligne]] - tbl_Ventes[[#This Row],[Coût matière ligne]]</f>
        <v>0</v>
      </c>
      <c r="K2587" s="7" t="str">
        <f>IFERROR(INDEX(tbl_ProduitsRef[Famille], MATCH(tbl_Ventes[[#This Row],[Cde_Prdt]], tbl_Produits[Cde_Prdt], 0)), "")</f>
        <v/>
      </c>
    </row>
    <row r="2588" spans="1:11" x14ac:dyDescent="0.25">
      <c r="A2588" s="5"/>
      <c r="B2588" s="63" t="str">
        <f>IFERROR(TEXT(tbl_Ventes[[#This Row],[Date]],"mm-aaaa"),"")</f>
        <v>01-1900</v>
      </c>
      <c r="D2588" s="10" t="str">
        <f>IFERROR(
   INDEX(tbl_ProduitsRef[Cde_Prdt],MATCH(tbl_Ventes[[#This Row],[Produit]],tbl_ProduitsRef[Produit],0)),
   ""
)</f>
        <v/>
      </c>
      <c r="E2588" s="7">
        <v>0</v>
      </c>
      <c r="F2588" s="7" t="str">
        <f>IFERROR(
   INDEX(tbl_ProduitsRef[Prix Menu],MATCH(tbl_Ventes[[#This Row],[Produit]],tbl_ProduitsRef[Produit],0)),
   ""
)</f>
        <v/>
      </c>
      <c r="G2588" s="7">
        <f>tbl_Ventes[[#This Row],[Qté Vendue]] * IFERROR(_xlfn.XLOOKUP(tbl_Ventes[[#This Row],[Cde_Prdt]], tbl_Produits[Cde_Prdt], tbl_Produits[Prix Menu]), 0)</f>
        <v>0</v>
      </c>
      <c r="H2588" s="7">
        <f>IFERROR(_xlfn.XLOOKUP(tbl_Ventes[[#This Row],[Cde_Prdt]], tbl_Produits[Cde_Prdt], tbl_Produits[Coût Moyen Portion]), 0)</f>
        <v>0</v>
      </c>
      <c r="I2588" s="7">
        <f>tbl_Ventes[[#This Row],[Qté Vendue]] * tbl_Ventes[[#This Row],[CMP_par_portion]]</f>
        <v>0</v>
      </c>
      <c r="J2588" s="7">
        <f>tbl_Ventes[[#This Row],[CA ligne]] - tbl_Ventes[[#This Row],[Coût matière ligne]]</f>
        <v>0</v>
      </c>
      <c r="K2588" s="7" t="str">
        <f>IFERROR(INDEX(tbl_ProduitsRef[Famille], MATCH(tbl_Ventes[[#This Row],[Cde_Prdt]], tbl_Produits[Cde_Prdt], 0)), "")</f>
        <v/>
      </c>
    </row>
    <row r="2589" spans="1:11" x14ac:dyDescent="0.25">
      <c r="A2589" s="5"/>
      <c r="B2589" s="63" t="str">
        <f>IFERROR(TEXT(tbl_Ventes[[#This Row],[Date]],"mm-aaaa"),"")</f>
        <v>01-1900</v>
      </c>
      <c r="D2589" s="10" t="str">
        <f>IFERROR(
   INDEX(tbl_ProduitsRef[Cde_Prdt],MATCH(tbl_Ventes[[#This Row],[Produit]],tbl_ProduitsRef[Produit],0)),
   ""
)</f>
        <v/>
      </c>
      <c r="E2589" s="7">
        <v>0</v>
      </c>
      <c r="F2589" s="7" t="str">
        <f>IFERROR(
   INDEX(tbl_ProduitsRef[Prix Menu],MATCH(tbl_Ventes[[#This Row],[Produit]],tbl_ProduitsRef[Produit],0)),
   ""
)</f>
        <v/>
      </c>
      <c r="G2589" s="7">
        <f>tbl_Ventes[[#This Row],[Qté Vendue]] * IFERROR(_xlfn.XLOOKUP(tbl_Ventes[[#This Row],[Cde_Prdt]], tbl_Produits[Cde_Prdt], tbl_Produits[Prix Menu]), 0)</f>
        <v>0</v>
      </c>
      <c r="H2589" s="7">
        <f>IFERROR(_xlfn.XLOOKUP(tbl_Ventes[[#This Row],[Cde_Prdt]], tbl_Produits[Cde_Prdt], tbl_Produits[Coût Moyen Portion]), 0)</f>
        <v>0</v>
      </c>
      <c r="I2589" s="7">
        <f>tbl_Ventes[[#This Row],[Qté Vendue]] * tbl_Ventes[[#This Row],[CMP_par_portion]]</f>
        <v>0</v>
      </c>
      <c r="J2589" s="7">
        <f>tbl_Ventes[[#This Row],[CA ligne]] - tbl_Ventes[[#This Row],[Coût matière ligne]]</f>
        <v>0</v>
      </c>
      <c r="K2589" s="7" t="str">
        <f>IFERROR(INDEX(tbl_ProduitsRef[Famille], MATCH(tbl_Ventes[[#This Row],[Cde_Prdt]], tbl_Produits[Cde_Prdt], 0)), "")</f>
        <v/>
      </c>
    </row>
    <row r="2590" spans="1:11" x14ac:dyDescent="0.25">
      <c r="A2590" s="5"/>
      <c r="B2590" s="63" t="str">
        <f>IFERROR(TEXT(tbl_Ventes[[#This Row],[Date]],"mm-aaaa"),"")</f>
        <v>01-1900</v>
      </c>
      <c r="D2590" s="10" t="str">
        <f>IFERROR(
   INDEX(tbl_ProduitsRef[Cde_Prdt],MATCH(tbl_Ventes[[#This Row],[Produit]],tbl_ProduitsRef[Produit],0)),
   ""
)</f>
        <v/>
      </c>
      <c r="E2590" s="7">
        <v>0</v>
      </c>
      <c r="F2590" s="7" t="str">
        <f>IFERROR(
   INDEX(tbl_ProduitsRef[Prix Menu],MATCH(tbl_Ventes[[#This Row],[Produit]],tbl_ProduitsRef[Produit],0)),
   ""
)</f>
        <v/>
      </c>
      <c r="G2590" s="7">
        <f>tbl_Ventes[[#This Row],[Qté Vendue]] * IFERROR(_xlfn.XLOOKUP(tbl_Ventes[[#This Row],[Cde_Prdt]], tbl_Produits[Cde_Prdt], tbl_Produits[Prix Menu]), 0)</f>
        <v>0</v>
      </c>
      <c r="H2590" s="7">
        <f>IFERROR(_xlfn.XLOOKUP(tbl_Ventes[[#This Row],[Cde_Prdt]], tbl_Produits[Cde_Prdt], tbl_Produits[Coût Moyen Portion]), 0)</f>
        <v>0</v>
      </c>
      <c r="I2590" s="7">
        <f>tbl_Ventes[[#This Row],[Qté Vendue]] * tbl_Ventes[[#This Row],[CMP_par_portion]]</f>
        <v>0</v>
      </c>
      <c r="J2590" s="7">
        <f>tbl_Ventes[[#This Row],[CA ligne]] - tbl_Ventes[[#This Row],[Coût matière ligne]]</f>
        <v>0</v>
      </c>
      <c r="K2590" s="7" t="str">
        <f>IFERROR(INDEX(tbl_ProduitsRef[Famille], MATCH(tbl_Ventes[[#This Row],[Cde_Prdt]], tbl_Produits[Cde_Prdt], 0)), "")</f>
        <v/>
      </c>
    </row>
    <row r="2591" spans="1:11" x14ac:dyDescent="0.25">
      <c r="A2591" s="5"/>
      <c r="B2591" s="63" t="str">
        <f>IFERROR(TEXT(tbl_Ventes[[#This Row],[Date]],"mm-aaaa"),"")</f>
        <v>01-1900</v>
      </c>
      <c r="D2591" s="10" t="str">
        <f>IFERROR(
   INDEX(tbl_ProduitsRef[Cde_Prdt],MATCH(tbl_Ventes[[#This Row],[Produit]],tbl_ProduitsRef[Produit],0)),
   ""
)</f>
        <v/>
      </c>
      <c r="E2591" s="7">
        <v>0</v>
      </c>
      <c r="F2591" s="7" t="str">
        <f>IFERROR(
   INDEX(tbl_ProduitsRef[Prix Menu],MATCH(tbl_Ventes[[#This Row],[Produit]],tbl_ProduitsRef[Produit],0)),
   ""
)</f>
        <v/>
      </c>
      <c r="G2591" s="7">
        <f>tbl_Ventes[[#This Row],[Qté Vendue]] * IFERROR(_xlfn.XLOOKUP(tbl_Ventes[[#This Row],[Cde_Prdt]], tbl_Produits[Cde_Prdt], tbl_Produits[Prix Menu]), 0)</f>
        <v>0</v>
      </c>
      <c r="H2591" s="7">
        <f>IFERROR(_xlfn.XLOOKUP(tbl_Ventes[[#This Row],[Cde_Prdt]], tbl_Produits[Cde_Prdt], tbl_Produits[Coût Moyen Portion]), 0)</f>
        <v>0</v>
      </c>
      <c r="I2591" s="7">
        <f>tbl_Ventes[[#This Row],[Qté Vendue]] * tbl_Ventes[[#This Row],[CMP_par_portion]]</f>
        <v>0</v>
      </c>
      <c r="J2591" s="7">
        <f>tbl_Ventes[[#This Row],[CA ligne]] - tbl_Ventes[[#This Row],[Coût matière ligne]]</f>
        <v>0</v>
      </c>
      <c r="K2591" s="7" t="str">
        <f>IFERROR(INDEX(tbl_ProduitsRef[Famille], MATCH(tbl_Ventes[[#This Row],[Cde_Prdt]], tbl_Produits[Cde_Prdt], 0)), "")</f>
        <v/>
      </c>
    </row>
    <row r="2592" spans="1:11" x14ac:dyDescent="0.25">
      <c r="A2592" s="5"/>
      <c r="B2592" s="63" t="str">
        <f>IFERROR(TEXT(tbl_Ventes[[#This Row],[Date]],"mm-aaaa"),"")</f>
        <v>01-1900</v>
      </c>
      <c r="D2592" s="10" t="str">
        <f>IFERROR(
   INDEX(tbl_ProduitsRef[Cde_Prdt],MATCH(tbl_Ventes[[#This Row],[Produit]],tbl_ProduitsRef[Produit],0)),
   ""
)</f>
        <v/>
      </c>
      <c r="E2592" s="7">
        <v>0</v>
      </c>
      <c r="F2592" s="7" t="str">
        <f>IFERROR(
   INDEX(tbl_ProduitsRef[Prix Menu],MATCH(tbl_Ventes[[#This Row],[Produit]],tbl_ProduitsRef[Produit],0)),
   ""
)</f>
        <v/>
      </c>
      <c r="G2592" s="7">
        <f>tbl_Ventes[[#This Row],[Qté Vendue]] * IFERROR(_xlfn.XLOOKUP(tbl_Ventes[[#This Row],[Cde_Prdt]], tbl_Produits[Cde_Prdt], tbl_Produits[Prix Menu]), 0)</f>
        <v>0</v>
      </c>
      <c r="H2592" s="7">
        <f>IFERROR(_xlfn.XLOOKUP(tbl_Ventes[[#This Row],[Cde_Prdt]], tbl_Produits[Cde_Prdt], tbl_Produits[Coût Moyen Portion]), 0)</f>
        <v>0</v>
      </c>
      <c r="I2592" s="7">
        <f>tbl_Ventes[[#This Row],[Qté Vendue]] * tbl_Ventes[[#This Row],[CMP_par_portion]]</f>
        <v>0</v>
      </c>
      <c r="J2592" s="7">
        <f>tbl_Ventes[[#This Row],[CA ligne]] - tbl_Ventes[[#This Row],[Coût matière ligne]]</f>
        <v>0</v>
      </c>
      <c r="K2592" s="7" t="str">
        <f>IFERROR(INDEX(tbl_ProduitsRef[Famille], MATCH(tbl_Ventes[[#This Row],[Cde_Prdt]], tbl_Produits[Cde_Prdt], 0)), "")</f>
        <v/>
      </c>
    </row>
    <row r="2593" spans="1:11" x14ac:dyDescent="0.25">
      <c r="A2593" s="5"/>
      <c r="B2593" s="63" t="str">
        <f>IFERROR(TEXT(tbl_Ventes[[#This Row],[Date]],"mm-aaaa"),"")</f>
        <v>01-1900</v>
      </c>
      <c r="D2593" s="10" t="str">
        <f>IFERROR(
   INDEX(tbl_ProduitsRef[Cde_Prdt],MATCH(tbl_Ventes[[#This Row],[Produit]],tbl_ProduitsRef[Produit],0)),
   ""
)</f>
        <v/>
      </c>
      <c r="E2593" s="7">
        <v>0</v>
      </c>
      <c r="F2593" s="7" t="str">
        <f>IFERROR(
   INDEX(tbl_ProduitsRef[Prix Menu],MATCH(tbl_Ventes[[#This Row],[Produit]],tbl_ProduitsRef[Produit],0)),
   ""
)</f>
        <v/>
      </c>
      <c r="G2593" s="7">
        <f>tbl_Ventes[[#This Row],[Qté Vendue]] * IFERROR(_xlfn.XLOOKUP(tbl_Ventes[[#This Row],[Cde_Prdt]], tbl_Produits[Cde_Prdt], tbl_Produits[Prix Menu]), 0)</f>
        <v>0</v>
      </c>
      <c r="H2593" s="7">
        <f>IFERROR(_xlfn.XLOOKUP(tbl_Ventes[[#This Row],[Cde_Prdt]], tbl_Produits[Cde_Prdt], tbl_Produits[Coût Moyen Portion]), 0)</f>
        <v>0</v>
      </c>
      <c r="I2593" s="7">
        <f>tbl_Ventes[[#This Row],[Qté Vendue]] * tbl_Ventes[[#This Row],[CMP_par_portion]]</f>
        <v>0</v>
      </c>
      <c r="J2593" s="7">
        <f>tbl_Ventes[[#This Row],[CA ligne]] - tbl_Ventes[[#This Row],[Coût matière ligne]]</f>
        <v>0</v>
      </c>
      <c r="K2593" s="7" t="str">
        <f>IFERROR(INDEX(tbl_ProduitsRef[Famille], MATCH(tbl_Ventes[[#This Row],[Cde_Prdt]], tbl_Produits[Cde_Prdt], 0)), "")</f>
        <v/>
      </c>
    </row>
    <row r="2594" spans="1:11" x14ac:dyDescent="0.25">
      <c r="A2594" s="5"/>
      <c r="B2594" s="63" t="str">
        <f>IFERROR(TEXT(tbl_Ventes[[#This Row],[Date]],"mm-aaaa"),"")</f>
        <v>01-1900</v>
      </c>
      <c r="D2594" s="10" t="str">
        <f>IFERROR(
   INDEX(tbl_ProduitsRef[Cde_Prdt],MATCH(tbl_Ventes[[#This Row],[Produit]],tbl_ProduitsRef[Produit],0)),
   ""
)</f>
        <v/>
      </c>
      <c r="E2594" s="7">
        <v>0</v>
      </c>
      <c r="F2594" s="7" t="str">
        <f>IFERROR(
   INDEX(tbl_ProduitsRef[Prix Menu],MATCH(tbl_Ventes[[#This Row],[Produit]],tbl_ProduitsRef[Produit],0)),
   ""
)</f>
        <v/>
      </c>
      <c r="G2594" s="7">
        <f>tbl_Ventes[[#This Row],[Qté Vendue]] * IFERROR(_xlfn.XLOOKUP(tbl_Ventes[[#This Row],[Cde_Prdt]], tbl_Produits[Cde_Prdt], tbl_Produits[Prix Menu]), 0)</f>
        <v>0</v>
      </c>
      <c r="H2594" s="7">
        <f>IFERROR(_xlfn.XLOOKUP(tbl_Ventes[[#This Row],[Cde_Prdt]], tbl_Produits[Cde_Prdt], tbl_Produits[Coût Moyen Portion]), 0)</f>
        <v>0</v>
      </c>
      <c r="I2594" s="7">
        <f>tbl_Ventes[[#This Row],[Qté Vendue]] * tbl_Ventes[[#This Row],[CMP_par_portion]]</f>
        <v>0</v>
      </c>
      <c r="J2594" s="7">
        <f>tbl_Ventes[[#This Row],[CA ligne]] - tbl_Ventes[[#This Row],[Coût matière ligne]]</f>
        <v>0</v>
      </c>
      <c r="K2594" s="7" t="str">
        <f>IFERROR(INDEX(tbl_ProduitsRef[Famille], MATCH(tbl_Ventes[[#This Row],[Cde_Prdt]], tbl_Produits[Cde_Prdt], 0)), "")</f>
        <v/>
      </c>
    </row>
    <row r="2595" spans="1:11" x14ac:dyDescent="0.25">
      <c r="A2595" s="5"/>
      <c r="B2595" s="63" t="str">
        <f>IFERROR(TEXT(tbl_Ventes[[#This Row],[Date]],"mm-aaaa"),"")</f>
        <v>01-1900</v>
      </c>
      <c r="D2595" s="10" t="str">
        <f>IFERROR(
   INDEX(tbl_ProduitsRef[Cde_Prdt],MATCH(tbl_Ventes[[#This Row],[Produit]],tbl_ProduitsRef[Produit],0)),
   ""
)</f>
        <v/>
      </c>
      <c r="E2595" s="7">
        <v>0</v>
      </c>
      <c r="F2595" s="7" t="str">
        <f>IFERROR(
   INDEX(tbl_ProduitsRef[Prix Menu],MATCH(tbl_Ventes[[#This Row],[Produit]],tbl_ProduitsRef[Produit],0)),
   ""
)</f>
        <v/>
      </c>
      <c r="G2595" s="7">
        <f>tbl_Ventes[[#This Row],[Qté Vendue]] * IFERROR(_xlfn.XLOOKUP(tbl_Ventes[[#This Row],[Cde_Prdt]], tbl_Produits[Cde_Prdt], tbl_Produits[Prix Menu]), 0)</f>
        <v>0</v>
      </c>
      <c r="H2595" s="7">
        <f>IFERROR(_xlfn.XLOOKUP(tbl_Ventes[[#This Row],[Cde_Prdt]], tbl_Produits[Cde_Prdt], tbl_Produits[Coût Moyen Portion]), 0)</f>
        <v>0</v>
      </c>
      <c r="I2595" s="7">
        <f>tbl_Ventes[[#This Row],[Qté Vendue]] * tbl_Ventes[[#This Row],[CMP_par_portion]]</f>
        <v>0</v>
      </c>
      <c r="J2595" s="7">
        <f>tbl_Ventes[[#This Row],[CA ligne]] - tbl_Ventes[[#This Row],[Coût matière ligne]]</f>
        <v>0</v>
      </c>
      <c r="K2595" s="7" t="str">
        <f>IFERROR(INDEX(tbl_ProduitsRef[Famille], MATCH(tbl_Ventes[[#This Row],[Cde_Prdt]], tbl_Produits[Cde_Prdt], 0)), "")</f>
        <v/>
      </c>
    </row>
    <row r="2596" spans="1:11" x14ac:dyDescent="0.25">
      <c r="A2596" s="5"/>
      <c r="B2596" s="63" t="str">
        <f>IFERROR(TEXT(tbl_Ventes[[#This Row],[Date]],"mm-aaaa"),"")</f>
        <v>01-1900</v>
      </c>
      <c r="D2596" s="10" t="str">
        <f>IFERROR(
   INDEX(tbl_ProduitsRef[Cde_Prdt],MATCH(tbl_Ventes[[#This Row],[Produit]],tbl_ProduitsRef[Produit],0)),
   ""
)</f>
        <v/>
      </c>
      <c r="E2596" s="7">
        <v>0</v>
      </c>
      <c r="F2596" s="7" t="str">
        <f>IFERROR(
   INDEX(tbl_ProduitsRef[Prix Menu],MATCH(tbl_Ventes[[#This Row],[Produit]],tbl_ProduitsRef[Produit],0)),
   ""
)</f>
        <v/>
      </c>
      <c r="G2596" s="7">
        <f>tbl_Ventes[[#This Row],[Qté Vendue]] * IFERROR(_xlfn.XLOOKUP(tbl_Ventes[[#This Row],[Cde_Prdt]], tbl_Produits[Cde_Prdt], tbl_Produits[Prix Menu]), 0)</f>
        <v>0</v>
      </c>
      <c r="H2596" s="7">
        <f>IFERROR(_xlfn.XLOOKUP(tbl_Ventes[[#This Row],[Cde_Prdt]], tbl_Produits[Cde_Prdt], tbl_Produits[Coût Moyen Portion]), 0)</f>
        <v>0</v>
      </c>
      <c r="I2596" s="7">
        <f>tbl_Ventes[[#This Row],[Qté Vendue]] * tbl_Ventes[[#This Row],[CMP_par_portion]]</f>
        <v>0</v>
      </c>
      <c r="J2596" s="7">
        <f>tbl_Ventes[[#This Row],[CA ligne]] - tbl_Ventes[[#This Row],[Coût matière ligne]]</f>
        <v>0</v>
      </c>
      <c r="K2596" s="7" t="str">
        <f>IFERROR(INDEX(tbl_ProduitsRef[Famille], MATCH(tbl_Ventes[[#This Row],[Cde_Prdt]], tbl_Produits[Cde_Prdt], 0)), "")</f>
        <v/>
      </c>
    </row>
    <row r="2597" spans="1:11" x14ac:dyDescent="0.25">
      <c r="A2597" s="5"/>
      <c r="B2597" s="63" t="str">
        <f>IFERROR(TEXT(tbl_Ventes[[#This Row],[Date]],"mm-aaaa"),"")</f>
        <v>01-1900</v>
      </c>
      <c r="D2597" s="10" t="str">
        <f>IFERROR(
   INDEX(tbl_ProduitsRef[Cde_Prdt],MATCH(tbl_Ventes[[#This Row],[Produit]],tbl_ProduitsRef[Produit],0)),
   ""
)</f>
        <v/>
      </c>
      <c r="E2597" s="7">
        <v>0</v>
      </c>
      <c r="F2597" s="7" t="str">
        <f>IFERROR(
   INDEX(tbl_ProduitsRef[Prix Menu],MATCH(tbl_Ventes[[#This Row],[Produit]],tbl_ProduitsRef[Produit],0)),
   ""
)</f>
        <v/>
      </c>
      <c r="G2597" s="7">
        <f>tbl_Ventes[[#This Row],[Qté Vendue]] * IFERROR(_xlfn.XLOOKUP(tbl_Ventes[[#This Row],[Cde_Prdt]], tbl_Produits[Cde_Prdt], tbl_Produits[Prix Menu]), 0)</f>
        <v>0</v>
      </c>
      <c r="H2597" s="7">
        <f>IFERROR(_xlfn.XLOOKUP(tbl_Ventes[[#This Row],[Cde_Prdt]], tbl_Produits[Cde_Prdt], tbl_Produits[Coût Moyen Portion]), 0)</f>
        <v>0</v>
      </c>
      <c r="I2597" s="7">
        <f>tbl_Ventes[[#This Row],[Qté Vendue]] * tbl_Ventes[[#This Row],[CMP_par_portion]]</f>
        <v>0</v>
      </c>
      <c r="J2597" s="7">
        <f>tbl_Ventes[[#This Row],[CA ligne]] - tbl_Ventes[[#This Row],[Coût matière ligne]]</f>
        <v>0</v>
      </c>
      <c r="K2597" s="7" t="str">
        <f>IFERROR(INDEX(tbl_ProduitsRef[Famille], MATCH(tbl_Ventes[[#This Row],[Cde_Prdt]], tbl_Produits[Cde_Prdt], 0)), "")</f>
        <v/>
      </c>
    </row>
    <row r="2598" spans="1:11" x14ac:dyDescent="0.25">
      <c r="A2598" s="5"/>
      <c r="B2598" s="63" t="str">
        <f>IFERROR(TEXT(tbl_Ventes[[#This Row],[Date]],"mm-aaaa"),"")</f>
        <v>01-1900</v>
      </c>
      <c r="D2598" s="10" t="str">
        <f>IFERROR(
   INDEX(tbl_ProduitsRef[Cde_Prdt],MATCH(tbl_Ventes[[#This Row],[Produit]],tbl_ProduitsRef[Produit],0)),
   ""
)</f>
        <v/>
      </c>
      <c r="E2598" s="7">
        <v>0</v>
      </c>
      <c r="F2598" s="7" t="str">
        <f>IFERROR(
   INDEX(tbl_ProduitsRef[Prix Menu],MATCH(tbl_Ventes[[#This Row],[Produit]],tbl_ProduitsRef[Produit],0)),
   ""
)</f>
        <v/>
      </c>
      <c r="G2598" s="7">
        <f>tbl_Ventes[[#This Row],[Qté Vendue]] * IFERROR(_xlfn.XLOOKUP(tbl_Ventes[[#This Row],[Cde_Prdt]], tbl_Produits[Cde_Prdt], tbl_Produits[Prix Menu]), 0)</f>
        <v>0</v>
      </c>
      <c r="H2598" s="7">
        <f>IFERROR(_xlfn.XLOOKUP(tbl_Ventes[[#This Row],[Cde_Prdt]], tbl_Produits[Cde_Prdt], tbl_Produits[Coût Moyen Portion]), 0)</f>
        <v>0</v>
      </c>
      <c r="I2598" s="7">
        <f>tbl_Ventes[[#This Row],[Qté Vendue]] * tbl_Ventes[[#This Row],[CMP_par_portion]]</f>
        <v>0</v>
      </c>
      <c r="J2598" s="7">
        <f>tbl_Ventes[[#This Row],[CA ligne]] - tbl_Ventes[[#This Row],[Coût matière ligne]]</f>
        <v>0</v>
      </c>
      <c r="K2598" s="7" t="str">
        <f>IFERROR(INDEX(tbl_ProduitsRef[Famille], MATCH(tbl_Ventes[[#This Row],[Cde_Prdt]], tbl_Produits[Cde_Prdt], 0)), "")</f>
        <v/>
      </c>
    </row>
    <row r="2599" spans="1:11" x14ac:dyDescent="0.25">
      <c r="A2599" s="5"/>
      <c r="B2599" s="63" t="str">
        <f>IFERROR(TEXT(tbl_Ventes[[#This Row],[Date]],"mm-aaaa"),"")</f>
        <v>01-1900</v>
      </c>
      <c r="D2599" s="10" t="str">
        <f>IFERROR(
   INDEX(tbl_ProduitsRef[Cde_Prdt],MATCH(tbl_Ventes[[#This Row],[Produit]],tbl_ProduitsRef[Produit],0)),
   ""
)</f>
        <v/>
      </c>
      <c r="E2599" s="7">
        <v>0</v>
      </c>
      <c r="F2599" s="7" t="str">
        <f>IFERROR(
   INDEX(tbl_ProduitsRef[Prix Menu],MATCH(tbl_Ventes[[#This Row],[Produit]],tbl_ProduitsRef[Produit],0)),
   ""
)</f>
        <v/>
      </c>
      <c r="G2599" s="7">
        <f>tbl_Ventes[[#This Row],[Qté Vendue]] * IFERROR(_xlfn.XLOOKUP(tbl_Ventes[[#This Row],[Cde_Prdt]], tbl_Produits[Cde_Prdt], tbl_Produits[Prix Menu]), 0)</f>
        <v>0</v>
      </c>
      <c r="H2599" s="7">
        <f>IFERROR(_xlfn.XLOOKUP(tbl_Ventes[[#This Row],[Cde_Prdt]], tbl_Produits[Cde_Prdt], tbl_Produits[Coût Moyen Portion]), 0)</f>
        <v>0</v>
      </c>
      <c r="I2599" s="7">
        <f>tbl_Ventes[[#This Row],[Qté Vendue]] * tbl_Ventes[[#This Row],[CMP_par_portion]]</f>
        <v>0</v>
      </c>
      <c r="J2599" s="7">
        <f>tbl_Ventes[[#This Row],[CA ligne]] - tbl_Ventes[[#This Row],[Coût matière ligne]]</f>
        <v>0</v>
      </c>
      <c r="K2599" s="7" t="str">
        <f>IFERROR(INDEX(tbl_ProduitsRef[Famille], MATCH(tbl_Ventes[[#This Row],[Cde_Prdt]], tbl_Produits[Cde_Prdt], 0)), "")</f>
        <v/>
      </c>
    </row>
    <row r="2600" spans="1:11" x14ac:dyDescent="0.25">
      <c r="A2600" s="5"/>
      <c r="B2600" s="63" t="str">
        <f>IFERROR(TEXT(tbl_Ventes[[#This Row],[Date]],"mm-aaaa"),"")</f>
        <v>01-1900</v>
      </c>
      <c r="D2600" s="10" t="str">
        <f>IFERROR(
   INDEX(tbl_ProduitsRef[Cde_Prdt],MATCH(tbl_Ventes[[#This Row],[Produit]],tbl_ProduitsRef[Produit],0)),
   ""
)</f>
        <v/>
      </c>
      <c r="E2600" s="7">
        <v>0</v>
      </c>
      <c r="F2600" s="7" t="str">
        <f>IFERROR(
   INDEX(tbl_ProduitsRef[Prix Menu],MATCH(tbl_Ventes[[#This Row],[Produit]],tbl_ProduitsRef[Produit],0)),
   ""
)</f>
        <v/>
      </c>
      <c r="G2600" s="7">
        <f>tbl_Ventes[[#This Row],[Qté Vendue]] * IFERROR(_xlfn.XLOOKUP(tbl_Ventes[[#This Row],[Cde_Prdt]], tbl_Produits[Cde_Prdt], tbl_Produits[Prix Menu]), 0)</f>
        <v>0</v>
      </c>
      <c r="H2600" s="7">
        <f>IFERROR(_xlfn.XLOOKUP(tbl_Ventes[[#This Row],[Cde_Prdt]], tbl_Produits[Cde_Prdt], tbl_Produits[Coût Moyen Portion]), 0)</f>
        <v>0</v>
      </c>
      <c r="I2600" s="7">
        <f>tbl_Ventes[[#This Row],[Qté Vendue]] * tbl_Ventes[[#This Row],[CMP_par_portion]]</f>
        <v>0</v>
      </c>
      <c r="J2600" s="7">
        <f>tbl_Ventes[[#This Row],[CA ligne]] - tbl_Ventes[[#This Row],[Coût matière ligne]]</f>
        <v>0</v>
      </c>
      <c r="K2600" s="7" t="str">
        <f>IFERROR(INDEX(tbl_ProduitsRef[Famille], MATCH(tbl_Ventes[[#This Row],[Cde_Prdt]], tbl_Produits[Cde_Prdt], 0)), "")</f>
        <v/>
      </c>
    </row>
    <row r="2601" spans="1:11" x14ac:dyDescent="0.25">
      <c r="A2601" s="5"/>
      <c r="B2601" s="63" t="str">
        <f>IFERROR(TEXT(tbl_Ventes[[#This Row],[Date]],"mm-aaaa"),"")</f>
        <v>01-1900</v>
      </c>
      <c r="D2601" s="10" t="str">
        <f>IFERROR(
   INDEX(tbl_ProduitsRef[Cde_Prdt],MATCH(tbl_Ventes[[#This Row],[Produit]],tbl_ProduitsRef[Produit],0)),
   ""
)</f>
        <v/>
      </c>
      <c r="E2601" s="7">
        <v>0</v>
      </c>
      <c r="F2601" s="7" t="str">
        <f>IFERROR(
   INDEX(tbl_ProduitsRef[Prix Menu],MATCH(tbl_Ventes[[#This Row],[Produit]],tbl_ProduitsRef[Produit],0)),
   ""
)</f>
        <v/>
      </c>
      <c r="G2601" s="7">
        <f>tbl_Ventes[[#This Row],[Qté Vendue]] * IFERROR(_xlfn.XLOOKUP(tbl_Ventes[[#This Row],[Cde_Prdt]], tbl_Produits[Cde_Prdt], tbl_Produits[Prix Menu]), 0)</f>
        <v>0</v>
      </c>
      <c r="H2601" s="7">
        <f>IFERROR(_xlfn.XLOOKUP(tbl_Ventes[[#This Row],[Cde_Prdt]], tbl_Produits[Cde_Prdt], tbl_Produits[Coût Moyen Portion]), 0)</f>
        <v>0</v>
      </c>
      <c r="I2601" s="7">
        <f>tbl_Ventes[[#This Row],[Qté Vendue]] * tbl_Ventes[[#This Row],[CMP_par_portion]]</f>
        <v>0</v>
      </c>
      <c r="J2601" s="7">
        <f>tbl_Ventes[[#This Row],[CA ligne]] - tbl_Ventes[[#This Row],[Coût matière ligne]]</f>
        <v>0</v>
      </c>
      <c r="K2601" s="7" t="str">
        <f>IFERROR(INDEX(tbl_ProduitsRef[Famille], MATCH(tbl_Ventes[[#This Row],[Cde_Prdt]], tbl_Produits[Cde_Prdt], 0)), "")</f>
        <v/>
      </c>
    </row>
    <row r="2602" spans="1:11" x14ac:dyDescent="0.25">
      <c r="A2602" s="5"/>
      <c r="B2602" s="63" t="str">
        <f>IFERROR(TEXT(tbl_Ventes[[#This Row],[Date]],"mm-aaaa"),"")</f>
        <v>01-1900</v>
      </c>
      <c r="D2602" s="10" t="str">
        <f>IFERROR(
   INDEX(tbl_ProduitsRef[Cde_Prdt],MATCH(tbl_Ventes[[#This Row],[Produit]],tbl_ProduitsRef[Produit],0)),
   ""
)</f>
        <v/>
      </c>
      <c r="E2602" s="7">
        <v>0</v>
      </c>
      <c r="F2602" s="7" t="str">
        <f>IFERROR(
   INDEX(tbl_ProduitsRef[Prix Menu],MATCH(tbl_Ventes[[#This Row],[Produit]],tbl_ProduitsRef[Produit],0)),
   ""
)</f>
        <v/>
      </c>
      <c r="G2602" s="7">
        <f>tbl_Ventes[[#This Row],[Qté Vendue]] * IFERROR(_xlfn.XLOOKUP(tbl_Ventes[[#This Row],[Cde_Prdt]], tbl_Produits[Cde_Prdt], tbl_Produits[Prix Menu]), 0)</f>
        <v>0</v>
      </c>
      <c r="H2602" s="7">
        <f>IFERROR(_xlfn.XLOOKUP(tbl_Ventes[[#This Row],[Cde_Prdt]], tbl_Produits[Cde_Prdt], tbl_Produits[Coût Moyen Portion]), 0)</f>
        <v>0</v>
      </c>
      <c r="I2602" s="7">
        <f>tbl_Ventes[[#This Row],[Qté Vendue]] * tbl_Ventes[[#This Row],[CMP_par_portion]]</f>
        <v>0</v>
      </c>
      <c r="J2602" s="7">
        <f>tbl_Ventes[[#This Row],[CA ligne]] - tbl_Ventes[[#This Row],[Coût matière ligne]]</f>
        <v>0</v>
      </c>
      <c r="K2602" s="7" t="str">
        <f>IFERROR(INDEX(tbl_ProduitsRef[Famille], MATCH(tbl_Ventes[[#This Row],[Cde_Prdt]], tbl_Produits[Cde_Prdt], 0)), "")</f>
        <v/>
      </c>
    </row>
    <row r="2603" spans="1:11" x14ac:dyDescent="0.25">
      <c r="A2603" s="5"/>
      <c r="B2603" s="63" t="str">
        <f>IFERROR(TEXT(tbl_Ventes[[#This Row],[Date]],"mm-aaaa"),"")</f>
        <v>01-1900</v>
      </c>
      <c r="D2603" s="10" t="str">
        <f>IFERROR(
   INDEX(tbl_ProduitsRef[Cde_Prdt],MATCH(tbl_Ventes[[#This Row],[Produit]],tbl_ProduitsRef[Produit],0)),
   ""
)</f>
        <v/>
      </c>
      <c r="E2603" s="7">
        <v>0</v>
      </c>
      <c r="F2603" s="7" t="str">
        <f>IFERROR(
   INDEX(tbl_ProduitsRef[Prix Menu],MATCH(tbl_Ventes[[#This Row],[Produit]],tbl_ProduitsRef[Produit],0)),
   ""
)</f>
        <v/>
      </c>
      <c r="G2603" s="7">
        <f>tbl_Ventes[[#This Row],[Qté Vendue]] * IFERROR(_xlfn.XLOOKUP(tbl_Ventes[[#This Row],[Cde_Prdt]], tbl_Produits[Cde_Prdt], tbl_Produits[Prix Menu]), 0)</f>
        <v>0</v>
      </c>
      <c r="H2603" s="7">
        <f>IFERROR(_xlfn.XLOOKUP(tbl_Ventes[[#This Row],[Cde_Prdt]], tbl_Produits[Cde_Prdt], tbl_Produits[Coût Moyen Portion]), 0)</f>
        <v>0</v>
      </c>
      <c r="I2603" s="7">
        <f>tbl_Ventes[[#This Row],[Qté Vendue]] * tbl_Ventes[[#This Row],[CMP_par_portion]]</f>
        <v>0</v>
      </c>
      <c r="J2603" s="7">
        <f>tbl_Ventes[[#This Row],[CA ligne]] - tbl_Ventes[[#This Row],[Coût matière ligne]]</f>
        <v>0</v>
      </c>
      <c r="K2603" s="7" t="str">
        <f>IFERROR(INDEX(tbl_ProduitsRef[Famille], MATCH(tbl_Ventes[[#This Row],[Cde_Prdt]], tbl_Produits[Cde_Prdt], 0)), "")</f>
        <v/>
      </c>
    </row>
    <row r="2604" spans="1:11" x14ac:dyDescent="0.25">
      <c r="A2604" s="5"/>
      <c r="B2604" s="63" t="str">
        <f>IFERROR(TEXT(tbl_Ventes[[#This Row],[Date]],"mm-aaaa"),"")</f>
        <v>01-1900</v>
      </c>
      <c r="D2604" s="10" t="str">
        <f>IFERROR(
   INDEX(tbl_ProduitsRef[Cde_Prdt],MATCH(tbl_Ventes[[#This Row],[Produit]],tbl_ProduitsRef[Produit],0)),
   ""
)</f>
        <v/>
      </c>
      <c r="E2604" s="7">
        <v>0</v>
      </c>
      <c r="F2604" s="7" t="str">
        <f>IFERROR(
   INDEX(tbl_ProduitsRef[Prix Menu],MATCH(tbl_Ventes[[#This Row],[Produit]],tbl_ProduitsRef[Produit],0)),
   ""
)</f>
        <v/>
      </c>
      <c r="G2604" s="7">
        <f>tbl_Ventes[[#This Row],[Qté Vendue]] * IFERROR(_xlfn.XLOOKUP(tbl_Ventes[[#This Row],[Cde_Prdt]], tbl_Produits[Cde_Prdt], tbl_Produits[Prix Menu]), 0)</f>
        <v>0</v>
      </c>
      <c r="H2604" s="7">
        <f>IFERROR(_xlfn.XLOOKUP(tbl_Ventes[[#This Row],[Cde_Prdt]], tbl_Produits[Cde_Prdt], tbl_Produits[Coût Moyen Portion]), 0)</f>
        <v>0</v>
      </c>
      <c r="I2604" s="7">
        <f>tbl_Ventes[[#This Row],[Qté Vendue]] * tbl_Ventes[[#This Row],[CMP_par_portion]]</f>
        <v>0</v>
      </c>
      <c r="J2604" s="7">
        <f>tbl_Ventes[[#This Row],[CA ligne]] - tbl_Ventes[[#This Row],[Coût matière ligne]]</f>
        <v>0</v>
      </c>
      <c r="K2604" s="7" t="str">
        <f>IFERROR(INDEX(tbl_ProduitsRef[Famille], MATCH(tbl_Ventes[[#This Row],[Cde_Prdt]], tbl_Produits[Cde_Prdt], 0)), "")</f>
        <v/>
      </c>
    </row>
    <row r="2605" spans="1:11" x14ac:dyDescent="0.25">
      <c r="A2605" s="5"/>
      <c r="B2605" s="63" t="str">
        <f>IFERROR(TEXT(tbl_Ventes[[#This Row],[Date]],"mm-aaaa"),"")</f>
        <v>01-1900</v>
      </c>
      <c r="D2605" s="10" t="str">
        <f>IFERROR(
   INDEX(tbl_ProduitsRef[Cde_Prdt],MATCH(tbl_Ventes[[#This Row],[Produit]],tbl_ProduitsRef[Produit],0)),
   ""
)</f>
        <v/>
      </c>
      <c r="E2605" s="7">
        <v>0</v>
      </c>
      <c r="F2605" s="7" t="str">
        <f>IFERROR(
   INDEX(tbl_ProduitsRef[Prix Menu],MATCH(tbl_Ventes[[#This Row],[Produit]],tbl_ProduitsRef[Produit],0)),
   ""
)</f>
        <v/>
      </c>
      <c r="G2605" s="7">
        <f>tbl_Ventes[[#This Row],[Qté Vendue]] * IFERROR(_xlfn.XLOOKUP(tbl_Ventes[[#This Row],[Cde_Prdt]], tbl_Produits[Cde_Prdt], tbl_Produits[Prix Menu]), 0)</f>
        <v>0</v>
      </c>
      <c r="H2605" s="7">
        <f>IFERROR(_xlfn.XLOOKUP(tbl_Ventes[[#This Row],[Cde_Prdt]], tbl_Produits[Cde_Prdt], tbl_Produits[Coût Moyen Portion]), 0)</f>
        <v>0</v>
      </c>
      <c r="I2605" s="7">
        <f>tbl_Ventes[[#This Row],[Qté Vendue]] * tbl_Ventes[[#This Row],[CMP_par_portion]]</f>
        <v>0</v>
      </c>
      <c r="J2605" s="7">
        <f>tbl_Ventes[[#This Row],[CA ligne]] - tbl_Ventes[[#This Row],[Coût matière ligne]]</f>
        <v>0</v>
      </c>
      <c r="K2605" s="7" t="str">
        <f>IFERROR(INDEX(tbl_ProduitsRef[Famille], MATCH(tbl_Ventes[[#This Row],[Cde_Prdt]], tbl_Produits[Cde_Prdt], 0)), "")</f>
        <v/>
      </c>
    </row>
    <row r="2606" spans="1:11" x14ac:dyDescent="0.25">
      <c r="A2606" s="5"/>
      <c r="B2606" s="63" t="str">
        <f>IFERROR(TEXT(tbl_Ventes[[#This Row],[Date]],"mm-aaaa"),"")</f>
        <v>01-1900</v>
      </c>
      <c r="D2606" s="10" t="str">
        <f>IFERROR(
   INDEX(tbl_ProduitsRef[Cde_Prdt],MATCH(tbl_Ventes[[#This Row],[Produit]],tbl_ProduitsRef[Produit],0)),
   ""
)</f>
        <v/>
      </c>
      <c r="E2606" s="7">
        <v>0</v>
      </c>
      <c r="F2606" s="7" t="str">
        <f>IFERROR(
   INDEX(tbl_ProduitsRef[Prix Menu],MATCH(tbl_Ventes[[#This Row],[Produit]],tbl_ProduitsRef[Produit],0)),
   ""
)</f>
        <v/>
      </c>
      <c r="G2606" s="7">
        <f>tbl_Ventes[[#This Row],[Qté Vendue]] * IFERROR(_xlfn.XLOOKUP(tbl_Ventes[[#This Row],[Cde_Prdt]], tbl_Produits[Cde_Prdt], tbl_Produits[Prix Menu]), 0)</f>
        <v>0</v>
      </c>
      <c r="H2606" s="7">
        <f>IFERROR(_xlfn.XLOOKUP(tbl_Ventes[[#This Row],[Cde_Prdt]], tbl_Produits[Cde_Prdt], tbl_Produits[Coût Moyen Portion]), 0)</f>
        <v>0</v>
      </c>
      <c r="I2606" s="7">
        <f>tbl_Ventes[[#This Row],[Qté Vendue]] * tbl_Ventes[[#This Row],[CMP_par_portion]]</f>
        <v>0</v>
      </c>
      <c r="J2606" s="7">
        <f>tbl_Ventes[[#This Row],[CA ligne]] - tbl_Ventes[[#This Row],[Coût matière ligne]]</f>
        <v>0</v>
      </c>
      <c r="K2606" s="7" t="str">
        <f>IFERROR(INDEX(tbl_ProduitsRef[Famille], MATCH(tbl_Ventes[[#This Row],[Cde_Prdt]], tbl_Produits[Cde_Prdt], 0)), "")</f>
        <v/>
      </c>
    </row>
    <row r="2607" spans="1:11" x14ac:dyDescent="0.25">
      <c r="A2607" s="5"/>
      <c r="B2607" s="63" t="str">
        <f>IFERROR(TEXT(tbl_Ventes[[#This Row],[Date]],"mm-aaaa"),"")</f>
        <v>01-1900</v>
      </c>
      <c r="D2607" s="10" t="str">
        <f>IFERROR(
   INDEX(tbl_ProduitsRef[Cde_Prdt],MATCH(tbl_Ventes[[#This Row],[Produit]],tbl_ProduitsRef[Produit],0)),
   ""
)</f>
        <v/>
      </c>
      <c r="E2607" s="7">
        <v>0</v>
      </c>
      <c r="F2607" s="7" t="str">
        <f>IFERROR(
   INDEX(tbl_ProduitsRef[Prix Menu],MATCH(tbl_Ventes[[#This Row],[Produit]],tbl_ProduitsRef[Produit],0)),
   ""
)</f>
        <v/>
      </c>
      <c r="G2607" s="7">
        <f>tbl_Ventes[[#This Row],[Qté Vendue]] * IFERROR(_xlfn.XLOOKUP(tbl_Ventes[[#This Row],[Cde_Prdt]], tbl_Produits[Cde_Prdt], tbl_Produits[Prix Menu]), 0)</f>
        <v>0</v>
      </c>
      <c r="H2607" s="7">
        <f>IFERROR(_xlfn.XLOOKUP(tbl_Ventes[[#This Row],[Cde_Prdt]], tbl_Produits[Cde_Prdt], tbl_Produits[Coût Moyen Portion]), 0)</f>
        <v>0</v>
      </c>
      <c r="I2607" s="7">
        <f>tbl_Ventes[[#This Row],[Qté Vendue]] * tbl_Ventes[[#This Row],[CMP_par_portion]]</f>
        <v>0</v>
      </c>
      <c r="J2607" s="7">
        <f>tbl_Ventes[[#This Row],[CA ligne]] - tbl_Ventes[[#This Row],[Coût matière ligne]]</f>
        <v>0</v>
      </c>
      <c r="K2607" s="7" t="str">
        <f>IFERROR(INDEX(tbl_ProduitsRef[Famille], MATCH(tbl_Ventes[[#This Row],[Cde_Prdt]], tbl_Produits[Cde_Prdt], 0)), "")</f>
        <v/>
      </c>
    </row>
    <row r="2608" spans="1:11" x14ac:dyDescent="0.25">
      <c r="A2608" s="5"/>
      <c r="B2608" s="63" t="str">
        <f>IFERROR(TEXT(tbl_Ventes[[#This Row],[Date]],"mm-aaaa"),"")</f>
        <v>01-1900</v>
      </c>
      <c r="D2608" s="10" t="str">
        <f>IFERROR(
   INDEX(tbl_ProduitsRef[Cde_Prdt],MATCH(tbl_Ventes[[#This Row],[Produit]],tbl_ProduitsRef[Produit],0)),
   ""
)</f>
        <v/>
      </c>
      <c r="E2608" s="7">
        <v>0</v>
      </c>
      <c r="F2608" s="7" t="str">
        <f>IFERROR(
   INDEX(tbl_ProduitsRef[Prix Menu],MATCH(tbl_Ventes[[#This Row],[Produit]],tbl_ProduitsRef[Produit],0)),
   ""
)</f>
        <v/>
      </c>
      <c r="G2608" s="7">
        <f>tbl_Ventes[[#This Row],[Qté Vendue]] * IFERROR(_xlfn.XLOOKUP(tbl_Ventes[[#This Row],[Cde_Prdt]], tbl_Produits[Cde_Prdt], tbl_Produits[Prix Menu]), 0)</f>
        <v>0</v>
      </c>
      <c r="H2608" s="7">
        <f>IFERROR(_xlfn.XLOOKUP(tbl_Ventes[[#This Row],[Cde_Prdt]], tbl_Produits[Cde_Prdt], tbl_Produits[Coût Moyen Portion]), 0)</f>
        <v>0</v>
      </c>
      <c r="I2608" s="7">
        <f>tbl_Ventes[[#This Row],[Qté Vendue]] * tbl_Ventes[[#This Row],[CMP_par_portion]]</f>
        <v>0</v>
      </c>
      <c r="J2608" s="7">
        <f>tbl_Ventes[[#This Row],[CA ligne]] - tbl_Ventes[[#This Row],[Coût matière ligne]]</f>
        <v>0</v>
      </c>
      <c r="K2608" s="7" t="str">
        <f>IFERROR(INDEX(tbl_ProduitsRef[Famille], MATCH(tbl_Ventes[[#This Row],[Cde_Prdt]], tbl_Produits[Cde_Prdt], 0)), "")</f>
        <v/>
      </c>
    </row>
    <row r="2609" spans="1:11" x14ac:dyDescent="0.25">
      <c r="A2609" s="5"/>
      <c r="B2609" s="63" t="str">
        <f>IFERROR(TEXT(tbl_Ventes[[#This Row],[Date]],"mm-aaaa"),"")</f>
        <v>01-1900</v>
      </c>
      <c r="D2609" s="10" t="str">
        <f>IFERROR(
   INDEX(tbl_ProduitsRef[Cde_Prdt],MATCH(tbl_Ventes[[#This Row],[Produit]],tbl_ProduitsRef[Produit],0)),
   ""
)</f>
        <v/>
      </c>
      <c r="E2609" s="7">
        <v>0</v>
      </c>
      <c r="F2609" s="7" t="str">
        <f>IFERROR(
   INDEX(tbl_ProduitsRef[Prix Menu],MATCH(tbl_Ventes[[#This Row],[Produit]],tbl_ProduitsRef[Produit],0)),
   ""
)</f>
        <v/>
      </c>
      <c r="G2609" s="7">
        <f>tbl_Ventes[[#This Row],[Qté Vendue]] * IFERROR(_xlfn.XLOOKUP(tbl_Ventes[[#This Row],[Cde_Prdt]], tbl_Produits[Cde_Prdt], tbl_Produits[Prix Menu]), 0)</f>
        <v>0</v>
      </c>
      <c r="H2609" s="7">
        <f>IFERROR(_xlfn.XLOOKUP(tbl_Ventes[[#This Row],[Cde_Prdt]], tbl_Produits[Cde_Prdt], tbl_Produits[Coût Moyen Portion]), 0)</f>
        <v>0</v>
      </c>
      <c r="I2609" s="7">
        <f>tbl_Ventes[[#This Row],[Qté Vendue]] * tbl_Ventes[[#This Row],[CMP_par_portion]]</f>
        <v>0</v>
      </c>
      <c r="J2609" s="7">
        <f>tbl_Ventes[[#This Row],[CA ligne]] - tbl_Ventes[[#This Row],[Coût matière ligne]]</f>
        <v>0</v>
      </c>
      <c r="K2609" s="7" t="str">
        <f>IFERROR(INDEX(tbl_ProduitsRef[Famille], MATCH(tbl_Ventes[[#This Row],[Cde_Prdt]], tbl_Produits[Cde_Prdt], 0)), "")</f>
        <v/>
      </c>
    </row>
    <row r="2610" spans="1:11" x14ac:dyDescent="0.25">
      <c r="A2610" s="5"/>
      <c r="B2610" s="63" t="str">
        <f>IFERROR(TEXT(tbl_Ventes[[#This Row],[Date]],"mm-aaaa"),"")</f>
        <v>01-1900</v>
      </c>
      <c r="D2610" s="10" t="str">
        <f>IFERROR(
   INDEX(tbl_ProduitsRef[Cde_Prdt],MATCH(tbl_Ventes[[#This Row],[Produit]],tbl_ProduitsRef[Produit],0)),
   ""
)</f>
        <v/>
      </c>
      <c r="E2610" s="7">
        <v>0</v>
      </c>
      <c r="F2610" s="7" t="str">
        <f>IFERROR(
   INDEX(tbl_ProduitsRef[Prix Menu],MATCH(tbl_Ventes[[#This Row],[Produit]],tbl_ProduitsRef[Produit],0)),
   ""
)</f>
        <v/>
      </c>
      <c r="G2610" s="7">
        <f>tbl_Ventes[[#This Row],[Qté Vendue]] * IFERROR(_xlfn.XLOOKUP(tbl_Ventes[[#This Row],[Cde_Prdt]], tbl_Produits[Cde_Prdt], tbl_Produits[Prix Menu]), 0)</f>
        <v>0</v>
      </c>
      <c r="H2610" s="7">
        <f>IFERROR(_xlfn.XLOOKUP(tbl_Ventes[[#This Row],[Cde_Prdt]], tbl_Produits[Cde_Prdt], tbl_Produits[Coût Moyen Portion]), 0)</f>
        <v>0</v>
      </c>
      <c r="I2610" s="7">
        <f>tbl_Ventes[[#This Row],[Qté Vendue]] * tbl_Ventes[[#This Row],[CMP_par_portion]]</f>
        <v>0</v>
      </c>
      <c r="J2610" s="7">
        <f>tbl_Ventes[[#This Row],[CA ligne]] - tbl_Ventes[[#This Row],[Coût matière ligne]]</f>
        <v>0</v>
      </c>
      <c r="K2610" s="7" t="str">
        <f>IFERROR(INDEX(tbl_ProduitsRef[Famille], MATCH(tbl_Ventes[[#This Row],[Cde_Prdt]], tbl_Produits[Cde_Prdt], 0)), "")</f>
        <v/>
      </c>
    </row>
    <row r="2611" spans="1:11" x14ac:dyDescent="0.25">
      <c r="A2611" s="5"/>
      <c r="B2611" s="63" t="str">
        <f>IFERROR(TEXT(tbl_Ventes[[#This Row],[Date]],"mm-aaaa"),"")</f>
        <v>01-1900</v>
      </c>
      <c r="D2611" s="10" t="str">
        <f>IFERROR(
   INDEX(tbl_ProduitsRef[Cde_Prdt],MATCH(tbl_Ventes[[#This Row],[Produit]],tbl_ProduitsRef[Produit],0)),
   ""
)</f>
        <v/>
      </c>
      <c r="E2611" s="7">
        <v>0</v>
      </c>
      <c r="F2611" s="7" t="str">
        <f>IFERROR(
   INDEX(tbl_ProduitsRef[Prix Menu],MATCH(tbl_Ventes[[#This Row],[Produit]],tbl_ProduitsRef[Produit],0)),
   ""
)</f>
        <v/>
      </c>
      <c r="G2611" s="7">
        <f>tbl_Ventes[[#This Row],[Qté Vendue]] * IFERROR(_xlfn.XLOOKUP(tbl_Ventes[[#This Row],[Cde_Prdt]], tbl_Produits[Cde_Prdt], tbl_Produits[Prix Menu]), 0)</f>
        <v>0</v>
      </c>
      <c r="H2611" s="7">
        <f>IFERROR(_xlfn.XLOOKUP(tbl_Ventes[[#This Row],[Cde_Prdt]], tbl_Produits[Cde_Prdt], tbl_Produits[Coût Moyen Portion]), 0)</f>
        <v>0</v>
      </c>
      <c r="I2611" s="7">
        <f>tbl_Ventes[[#This Row],[Qté Vendue]] * tbl_Ventes[[#This Row],[CMP_par_portion]]</f>
        <v>0</v>
      </c>
      <c r="J2611" s="7">
        <f>tbl_Ventes[[#This Row],[CA ligne]] - tbl_Ventes[[#This Row],[Coût matière ligne]]</f>
        <v>0</v>
      </c>
      <c r="K2611" s="7" t="str">
        <f>IFERROR(INDEX(tbl_ProduitsRef[Famille], MATCH(tbl_Ventes[[#This Row],[Cde_Prdt]], tbl_Produits[Cde_Prdt], 0)), "")</f>
        <v/>
      </c>
    </row>
    <row r="2612" spans="1:11" x14ac:dyDescent="0.25">
      <c r="A2612" s="5"/>
      <c r="B2612" s="63" t="str">
        <f>IFERROR(TEXT(tbl_Ventes[[#This Row],[Date]],"mm-aaaa"),"")</f>
        <v>01-1900</v>
      </c>
      <c r="D2612" s="10" t="str">
        <f>IFERROR(
   INDEX(tbl_ProduitsRef[Cde_Prdt],MATCH(tbl_Ventes[[#This Row],[Produit]],tbl_ProduitsRef[Produit],0)),
   ""
)</f>
        <v/>
      </c>
      <c r="E2612" s="7">
        <v>0</v>
      </c>
      <c r="F2612" s="7" t="str">
        <f>IFERROR(
   INDEX(tbl_ProduitsRef[Prix Menu],MATCH(tbl_Ventes[[#This Row],[Produit]],tbl_ProduitsRef[Produit],0)),
   ""
)</f>
        <v/>
      </c>
      <c r="G2612" s="7">
        <f>tbl_Ventes[[#This Row],[Qté Vendue]] * IFERROR(_xlfn.XLOOKUP(tbl_Ventes[[#This Row],[Cde_Prdt]], tbl_Produits[Cde_Prdt], tbl_Produits[Prix Menu]), 0)</f>
        <v>0</v>
      </c>
      <c r="H2612" s="7">
        <f>IFERROR(_xlfn.XLOOKUP(tbl_Ventes[[#This Row],[Cde_Prdt]], tbl_Produits[Cde_Prdt], tbl_Produits[Coût Moyen Portion]), 0)</f>
        <v>0</v>
      </c>
      <c r="I2612" s="7">
        <f>tbl_Ventes[[#This Row],[Qté Vendue]] * tbl_Ventes[[#This Row],[CMP_par_portion]]</f>
        <v>0</v>
      </c>
      <c r="J2612" s="7">
        <f>tbl_Ventes[[#This Row],[CA ligne]] - tbl_Ventes[[#This Row],[Coût matière ligne]]</f>
        <v>0</v>
      </c>
      <c r="K2612" s="7" t="str">
        <f>IFERROR(INDEX(tbl_ProduitsRef[Famille], MATCH(tbl_Ventes[[#This Row],[Cde_Prdt]], tbl_Produits[Cde_Prdt], 0)), "")</f>
        <v/>
      </c>
    </row>
    <row r="2613" spans="1:11" x14ac:dyDescent="0.25">
      <c r="A2613" s="5"/>
      <c r="B2613" s="63" t="str">
        <f>IFERROR(TEXT(tbl_Ventes[[#This Row],[Date]],"mm-aaaa"),"")</f>
        <v>01-1900</v>
      </c>
      <c r="D2613" s="10" t="str">
        <f>IFERROR(
   INDEX(tbl_ProduitsRef[Cde_Prdt],MATCH(tbl_Ventes[[#This Row],[Produit]],tbl_ProduitsRef[Produit],0)),
   ""
)</f>
        <v/>
      </c>
      <c r="E2613" s="7">
        <v>0</v>
      </c>
      <c r="F2613" s="7" t="str">
        <f>IFERROR(
   INDEX(tbl_ProduitsRef[Prix Menu],MATCH(tbl_Ventes[[#This Row],[Produit]],tbl_ProduitsRef[Produit],0)),
   ""
)</f>
        <v/>
      </c>
      <c r="G2613" s="7">
        <f>tbl_Ventes[[#This Row],[Qté Vendue]] * IFERROR(_xlfn.XLOOKUP(tbl_Ventes[[#This Row],[Cde_Prdt]], tbl_Produits[Cde_Prdt], tbl_Produits[Prix Menu]), 0)</f>
        <v>0</v>
      </c>
      <c r="H2613" s="7">
        <f>IFERROR(_xlfn.XLOOKUP(tbl_Ventes[[#This Row],[Cde_Prdt]], tbl_Produits[Cde_Prdt], tbl_Produits[Coût Moyen Portion]), 0)</f>
        <v>0</v>
      </c>
      <c r="I2613" s="7">
        <f>tbl_Ventes[[#This Row],[Qté Vendue]] * tbl_Ventes[[#This Row],[CMP_par_portion]]</f>
        <v>0</v>
      </c>
      <c r="J2613" s="7">
        <f>tbl_Ventes[[#This Row],[CA ligne]] - tbl_Ventes[[#This Row],[Coût matière ligne]]</f>
        <v>0</v>
      </c>
      <c r="K2613" s="7" t="str">
        <f>IFERROR(INDEX(tbl_ProduitsRef[Famille], MATCH(tbl_Ventes[[#This Row],[Cde_Prdt]], tbl_Produits[Cde_Prdt], 0)), "")</f>
        <v/>
      </c>
    </row>
    <row r="2614" spans="1:11" x14ac:dyDescent="0.25">
      <c r="A2614" s="5"/>
      <c r="B2614" s="63" t="str">
        <f>IFERROR(TEXT(tbl_Ventes[[#This Row],[Date]],"mm-aaaa"),"")</f>
        <v>01-1900</v>
      </c>
      <c r="D2614" s="10" t="str">
        <f>IFERROR(
   INDEX(tbl_ProduitsRef[Cde_Prdt],MATCH(tbl_Ventes[[#This Row],[Produit]],tbl_ProduitsRef[Produit],0)),
   ""
)</f>
        <v/>
      </c>
      <c r="E2614" s="7">
        <v>0</v>
      </c>
      <c r="F2614" s="7" t="str">
        <f>IFERROR(
   INDEX(tbl_ProduitsRef[Prix Menu],MATCH(tbl_Ventes[[#This Row],[Produit]],tbl_ProduitsRef[Produit],0)),
   ""
)</f>
        <v/>
      </c>
      <c r="G2614" s="7">
        <f>tbl_Ventes[[#This Row],[Qté Vendue]] * IFERROR(_xlfn.XLOOKUP(tbl_Ventes[[#This Row],[Cde_Prdt]], tbl_Produits[Cde_Prdt], tbl_Produits[Prix Menu]), 0)</f>
        <v>0</v>
      </c>
      <c r="H2614" s="7">
        <f>IFERROR(_xlfn.XLOOKUP(tbl_Ventes[[#This Row],[Cde_Prdt]], tbl_Produits[Cde_Prdt], tbl_Produits[Coût Moyen Portion]), 0)</f>
        <v>0</v>
      </c>
      <c r="I2614" s="7">
        <f>tbl_Ventes[[#This Row],[Qté Vendue]] * tbl_Ventes[[#This Row],[CMP_par_portion]]</f>
        <v>0</v>
      </c>
      <c r="J2614" s="7">
        <f>tbl_Ventes[[#This Row],[CA ligne]] - tbl_Ventes[[#This Row],[Coût matière ligne]]</f>
        <v>0</v>
      </c>
      <c r="K2614" s="7" t="str">
        <f>IFERROR(INDEX(tbl_ProduitsRef[Famille], MATCH(tbl_Ventes[[#This Row],[Cde_Prdt]], tbl_Produits[Cde_Prdt], 0)), "")</f>
        <v/>
      </c>
    </row>
    <row r="2615" spans="1:11" x14ac:dyDescent="0.25">
      <c r="A2615" s="5"/>
      <c r="B2615" s="63" t="str">
        <f>IFERROR(TEXT(tbl_Ventes[[#This Row],[Date]],"mm-aaaa"),"")</f>
        <v>01-1900</v>
      </c>
      <c r="D2615" s="10" t="str">
        <f>IFERROR(
   INDEX(tbl_ProduitsRef[Cde_Prdt],MATCH(tbl_Ventes[[#This Row],[Produit]],tbl_ProduitsRef[Produit],0)),
   ""
)</f>
        <v/>
      </c>
      <c r="E2615" s="7">
        <v>0</v>
      </c>
      <c r="F2615" s="7" t="str">
        <f>IFERROR(
   INDEX(tbl_ProduitsRef[Prix Menu],MATCH(tbl_Ventes[[#This Row],[Produit]],tbl_ProduitsRef[Produit],0)),
   ""
)</f>
        <v/>
      </c>
      <c r="G2615" s="7">
        <f>tbl_Ventes[[#This Row],[Qté Vendue]] * IFERROR(_xlfn.XLOOKUP(tbl_Ventes[[#This Row],[Cde_Prdt]], tbl_Produits[Cde_Prdt], tbl_Produits[Prix Menu]), 0)</f>
        <v>0</v>
      </c>
      <c r="H2615" s="7">
        <f>IFERROR(_xlfn.XLOOKUP(tbl_Ventes[[#This Row],[Cde_Prdt]], tbl_Produits[Cde_Prdt], tbl_Produits[Coût Moyen Portion]), 0)</f>
        <v>0</v>
      </c>
      <c r="I2615" s="7">
        <f>tbl_Ventes[[#This Row],[Qté Vendue]] * tbl_Ventes[[#This Row],[CMP_par_portion]]</f>
        <v>0</v>
      </c>
      <c r="J2615" s="7">
        <f>tbl_Ventes[[#This Row],[CA ligne]] - tbl_Ventes[[#This Row],[Coût matière ligne]]</f>
        <v>0</v>
      </c>
      <c r="K2615" s="7" t="str">
        <f>IFERROR(INDEX(tbl_ProduitsRef[Famille], MATCH(tbl_Ventes[[#This Row],[Cde_Prdt]], tbl_Produits[Cde_Prdt], 0)), "")</f>
        <v/>
      </c>
    </row>
    <row r="2616" spans="1:11" x14ac:dyDescent="0.25">
      <c r="A2616" s="5"/>
      <c r="B2616" s="63" t="str">
        <f>IFERROR(TEXT(tbl_Ventes[[#This Row],[Date]],"mm-aaaa"),"")</f>
        <v>01-1900</v>
      </c>
      <c r="D2616" s="10" t="str">
        <f>IFERROR(
   INDEX(tbl_ProduitsRef[Cde_Prdt],MATCH(tbl_Ventes[[#This Row],[Produit]],tbl_ProduitsRef[Produit],0)),
   ""
)</f>
        <v/>
      </c>
      <c r="E2616" s="7">
        <v>0</v>
      </c>
      <c r="F2616" s="7" t="str">
        <f>IFERROR(
   INDEX(tbl_ProduitsRef[Prix Menu],MATCH(tbl_Ventes[[#This Row],[Produit]],tbl_ProduitsRef[Produit],0)),
   ""
)</f>
        <v/>
      </c>
      <c r="G2616" s="7">
        <f>tbl_Ventes[[#This Row],[Qté Vendue]] * IFERROR(_xlfn.XLOOKUP(tbl_Ventes[[#This Row],[Cde_Prdt]], tbl_Produits[Cde_Prdt], tbl_Produits[Prix Menu]), 0)</f>
        <v>0</v>
      </c>
      <c r="H2616" s="7">
        <f>IFERROR(_xlfn.XLOOKUP(tbl_Ventes[[#This Row],[Cde_Prdt]], tbl_Produits[Cde_Prdt], tbl_Produits[Coût Moyen Portion]), 0)</f>
        <v>0</v>
      </c>
      <c r="I2616" s="7">
        <f>tbl_Ventes[[#This Row],[Qté Vendue]] * tbl_Ventes[[#This Row],[CMP_par_portion]]</f>
        <v>0</v>
      </c>
      <c r="J2616" s="7">
        <f>tbl_Ventes[[#This Row],[CA ligne]] - tbl_Ventes[[#This Row],[Coût matière ligne]]</f>
        <v>0</v>
      </c>
      <c r="K2616" s="7" t="str">
        <f>IFERROR(INDEX(tbl_ProduitsRef[Famille], MATCH(tbl_Ventes[[#This Row],[Cde_Prdt]], tbl_Produits[Cde_Prdt], 0)), "")</f>
        <v/>
      </c>
    </row>
    <row r="2617" spans="1:11" x14ac:dyDescent="0.25">
      <c r="A2617" s="5"/>
      <c r="B2617" s="63" t="str">
        <f>IFERROR(TEXT(tbl_Ventes[[#This Row],[Date]],"mm-aaaa"),"")</f>
        <v>01-1900</v>
      </c>
      <c r="D2617" s="10" t="str">
        <f>IFERROR(
   INDEX(tbl_ProduitsRef[Cde_Prdt],MATCH(tbl_Ventes[[#This Row],[Produit]],tbl_ProduitsRef[Produit],0)),
   ""
)</f>
        <v/>
      </c>
      <c r="E2617" s="7">
        <v>0</v>
      </c>
      <c r="F2617" s="7" t="str">
        <f>IFERROR(
   INDEX(tbl_ProduitsRef[Prix Menu],MATCH(tbl_Ventes[[#This Row],[Produit]],tbl_ProduitsRef[Produit],0)),
   ""
)</f>
        <v/>
      </c>
      <c r="G2617" s="7">
        <f>tbl_Ventes[[#This Row],[Qté Vendue]] * IFERROR(_xlfn.XLOOKUP(tbl_Ventes[[#This Row],[Cde_Prdt]], tbl_Produits[Cde_Prdt], tbl_Produits[Prix Menu]), 0)</f>
        <v>0</v>
      </c>
      <c r="H2617" s="7">
        <f>IFERROR(_xlfn.XLOOKUP(tbl_Ventes[[#This Row],[Cde_Prdt]], tbl_Produits[Cde_Prdt], tbl_Produits[Coût Moyen Portion]), 0)</f>
        <v>0</v>
      </c>
      <c r="I2617" s="7">
        <f>tbl_Ventes[[#This Row],[Qté Vendue]] * tbl_Ventes[[#This Row],[CMP_par_portion]]</f>
        <v>0</v>
      </c>
      <c r="J2617" s="7">
        <f>tbl_Ventes[[#This Row],[CA ligne]] - tbl_Ventes[[#This Row],[Coût matière ligne]]</f>
        <v>0</v>
      </c>
      <c r="K2617" s="7" t="str">
        <f>IFERROR(INDEX(tbl_ProduitsRef[Famille], MATCH(tbl_Ventes[[#This Row],[Cde_Prdt]], tbl_Produits[Cde_Prdt], 0)), "")</f>
        <v/>
      </c>
    </row>
    <row r="2618" spans="1:11" x14ac:dyDescent="0.25">
      <c r="A2618" s="5"/>
      <c r="B2618" s="63" t="str">
        <f>IFERROR(TEXT(tbl_Ventes[[#This Row],[Date]],"mm-aaaa"),"")</f>
        <v>01-1900</v>
      </c>
      <c r="D2618" s="10" t="str">
        <f>IFERROR(
   INDEX(tbl_ProduitsRef[Cde_Prdt],MATCH(tbl_Ventes[[#This Row],[Produit]],tbl_ProduitsRef[Produit],0)),
   ""
)</f>
        <v/>
      </c>
      <c r="E2618" s="7">
        <v>0</v>
      </c>
      <c r="F2618" s="7" t="str">
        <f>IFERROR(
   INDEX(tbl_ProduitsRef[Prix Menu],MATCH(tbl_Ventes[[#This Row],[Produit]],tbl_ProduitsRef[Produit],0)),
   ""
)</f>
        <v/>
      </c>
      <c r="G2618" s="7">
        <f>tbl_Ventes[[#This Row],[Qté Vendue]] * IFERROR(_xlfn.XLOOKUP(tbl_Ventes[[#This Row],[Cde_Prdt]], tbl_Produits[Cde_Prdt], tbl_Produits[Prix Menu]), 0)</f>
        <v>0</v>
      </c>
      <c r="H2618" s="7">
        <f>IFERROR(_xlfn.XLOOKUP(tbl_Ventes[[#This Row],[Cde_Prdt]], tbl_Produits[Cde_Prdt], tbl_Produits[Coût Moyen Portion]), 0)</f>
        <v>0</v>
      </c>
      <c r="I2618" s="7">
        <f>tbl_Ventes[[#This Row],[Qté Vendue]] * tbl_Ventes[[#This Row],[CMP_par_portion]]</f>
        <v>0</v>
      </c>
      <c r="J2618" s="7">
        <f>tbl_Ventes[[#This Row],[CA ligne]] - tbl_Ventes[[#This Row],[Coût matière ligne]]</f>
        <v>0</v>
      </c>
      <c r="K2618" s="7" t="str">
        <f>IFERROR(INDEX(tbl_ProduitsRef[Famille], MATCH(tbl_Ventes[[#This Row],[Cde_Prdt]], tbl_Produits[Cde_Prdt], 0)), "")</f>
        <v/>
      </c>
    </row>
    <row r="2619" spans="1:11" x14ac:dyDescent="0.25">
      <c r="A2619" s="5"/>
      <c r="B2619" s="63" t="str">
        <f>IFERROR(TEXT(tbl_Ventes[[#This Row],[Date]],"mm-aaaa"),"")</f>
        <v>01-1900</v>
      </c>
      <c r="D2619" s="10" t="str">
        <f>IFERROR(
   INDEX(tbl_ProduitsRef[Cde_Prdt],MATCH(tbl_Ventes[[#This Row],[Produit]],tbl_ProduitsRef[Produit],0)),
   ""
)</f>
        <v/>
      </c>
      <c r="E2619" s="7">
        <v>0</v>
      </c>
      <c r="F2619" s="7" t="str">
        <f>IFERROR(
   INDEX(tbl_ProduitsRef[Prix Menu],MATCH(tbl_Ventes[[#This Row],[Produit]],tbl_ProduitsRef[Produit],0)),
   ""
)</f>
        <v/>
      </c>
      <c r="G2619" s="7">
        <f>tbl_Ventes[[#This Row],[Qté Vendue]] * IFERROR(_xlfn.XLOOKUP(tbl_Ventes[[#This Row],[Cde_Prdt]], tbl_Produits[Cde_Prdt], tbl_Produits[Prix Menu]), 0)</f>
        <v>0</v>
      </c>
      <c r="H2619" s="7">
        <f>IFERROR(_xlfn.XLOOKUP(tbl_Ventes[[#This Row],[Cde_Prdt]], tbl_Produits[Cde_Prdt], tbl_Produits[Coût Moyen Portion]), 0)</f>
        <v>0</v>
      </c>
      <c r="I2619" s="7">
        <f>tbl_Ventes[[#This Row],[Qté Vendue]] * tbl_Ventes[[#This Row],[CMP_par_portion]]</f>
        <v>0</v>
      </c>
      <c r="J2619" s="7">
        <f>tbl_Ventes[[#This Row],[CA ligne]] - tbl_Ventes[[#This Row],[Coût matière ligne]]</f>
        <v>0</v>
      </c>
      <c r="K2619" s="7" t="str">
        <f>IFERROR(INDEX(tbl_ProduitsRef[Famille], MATCH(tbl_Ventes[[#This Row],[Cde_Prdt]], tbl_Produits[Cde_Prdt], 0)), "")</f>
        <v/>
      </c>
    </row>
    <row r="2620" spans="1:11" x14ac:dyDescent="0.25">
      <c r="A2620" s="5"/>
      <c r="B2620" s="63" t="str">
        <f>IFERROR(TEXT(tbl_Ventes[[#This Row],[Date]],"mm-aaaa"),"")</f>
        <v>01-1900</v>
      </c>
      <c r="D2620" s="10" t="str">
        <f>IFERROR(
   INDEX(tbl_ProduitsRef[Cde_Prdt],MATCH(tbl_Ventes[[#This Row],[Produit]],tbl_ProduitsRef[Produit],0)),
   ""
)</f>
        <v/>
      </c>
      <c r="E2620" s="7">
        <v>0</v>
      </c>
      <c r="F2620" s="7" t="str">
        <f>IFERROR(
   INDEX(tbl_ProduitsRef[Prix Menu],MATCH(tbl_Ventes[[#This Row],[Produit]],tbl_ProduitsRef[Produit],0)),
   ""
)</f>
        <v/>
      </c>
      <c r="G2620" s="7">
        <f>tbl_Ventes[[#This Row],[Qté Vendue]] * IFERROR(_xlfn.XLOOKUP(tbl_Ventes[[#This Row],[Cde_Prdt]], tbl_Produits[Cde_Prdt], tbl_Produits[Prix Menu]), 0)</f>
        <v>0</v>
      </c>
      <c r="H2620" s="7">
        <f>IFERROR(_xlfn.XLOOKUP(tbl_Ventes[[#This Row],[Cde_Prdt]], tbl_Produits[Cde_Prdt], tbl_Produits[Coût Moyen Portion]), 0)</f>
        <v>0</v>
      </c>
      <c r="I2620" s="7">
        <f>tbl_Ventes[[#This Row],[Qté Vendue]] * tbl_Ventes[[#This Row],[CMP_par_portion]]</f>
        <v>0</v>
      </c>
      <c r="J2620" s="7">
        <f>tbl_Ventes[[#This Row],[CA ligne]] - tbl_Ventes[[#This Row],[Coût matière ligne]]</f>
        <v>0</v>
      </c>
      <c r="K2620" s="7" t="str">
        <f>IFERROR(INDEX(tbl_ProduitsRef[Famille], MATCH(tbl_Ventes[[#This Row],[Cde_Prdt]], tbl_Produits[Cde_Prdt], 0)), "")</f>
        <v/>
      </c>
    </row>
    <row r="2621" spans="1:11" x14ac:dyDescent="0.25">
      <c r="A2621" s="5"/>
      <c r="B2621" s="63" t="str">
        <f>IFERROR(TEXT(tbl_Ventes[[#This Row],[Date]],"mm-aaaa"),"")</f>
        <v>01-1900</v>
      </c>
      <c r="D2621" s="10" t="str">
        <f>IFERROR(
   INDEX(tbl_ProduitsRef[Cde_Prdt],MATCH(tbl_Ventes[[#This Row],[Produit]],tbl_ProduitsRef[Produit],0)),
   ""
)</f>
        <v/>
      </c>
      <c r="E2621" s="7">
        <v>0</v>
      </c>
      <c r="F2621" s="7" t="str">
        <f>IFERROR(
   INDEX(tbl_ProduitsRef[Prix Menu],MATCH(tbl_Ventes[[#This Row],[Produit]],tbl_ProduitsRef[Produit],0)),
   ""
)</f>
        <v/>
      </c>
      <c r="G2621" s="7">
        <f>tbl_Ventes[[#This Row],[Qté Vendue]] * IFERROR(_xlfn.XLOOKUP(tbl_Ventes[[#This Row],[Cde_Prdt]], tbl_Produits[Cde_Prdt], tbl_Produits[Prix Menu]), 0)</f>
        <v>0</v>
      </c>
      <c r="H2621" s="7">
        <f>IFERROR(_xlfn.XLOOKUP(tbl_Ventes[[#This Row],[Cde_Prdt]], tbl_Produits[Cde_Prdt], tbl_Produits[Coût Moyen Portion]), 0)</f>
        <v>0</v>
      </c>
      <c r="I2621" s="7">
        <f>tbl_Ventes[[#This Row],[Qté Vendue]] * tbl_Ventes[[#This Row],[CMP_par_portion]]</f>
        <v>0</v>
      </c>
      <c r="J2621" s="7">
        <f>tbl_Ventes[[#This Row],[CA ligne]] - tbl_Ventes[[#This Row],[Coût matière ligne]]</f>
        <v>0</v>
      </c>
      <c r="K2621" s="7" t="str">
        <f>IFERROR(INDEX(tbl_ProduitsRef[Famille], MATCH(tbl_Ventes[[#This Row],[Cde_Prdt]], tbl_Produits[Cde_Prdt], 0)), "")</f>
        <v/>
      </c>
    </row>
    <row r="2622" spans="1:11" x14ac:dyDescent="0.25">
      <c r="A2622" s="5"/>
      <c r="B2622" s="63" t="str">
        <f>IFERROR(TEXT(tbl_Ventes[[#This Row],[Date]],"mm-aaaa"),"")</f>
        <v>01-1900</v>
      </c>
      <c r="D2622" s="10" t="str">
        <f>IFERROR(
   INDEX(tbl_ProduitsRef[Cde_Prdt],MATCH(tbl_Ventes[[#This Row],[Produit]],tbl_ProduitsRef[Produit],0)),
   ""
)</f>
        <v/>
      </c>
      <c r="E2622" s="7">
        <v>0</v>
      </c>
      <c r="F2622" s="7" t="str">
        <f>IFERROR(
   INDEX(tbl_ProduitsRef[Prix Menu],MATCH(tbl_Ventes[[#This Row],[Produit]],tbl_ProduitsRef[Produit],0)),
   ""
)</f>
        <v/>
      </c>
      <c r="G2622" s="7">
        <f>tbl_Ventes[[#This Row],[Qté Vendue]] * IFERROR(_xlfn.XLOOKUP(tbl_Ventes[[#This Row],[Cde_Prdt]], tbl_Produits[Cde_Prdt], tbl_Produits[Prix Menu]), 0)</f>
        <v>0</v>
      </c>
      <c r="H2622" s="7">
        <f>IFERROR(_xlfn.XLOOKUP(tbl_Ventes[[#This Row],[Cde_Prdt]], tbl_Produits[Cde_Prdt], tbl_Produits[Coût Moyen Portion]), 0)</f>
        <v>0</v>
      </c>
      <c r="I2622" s="7">
        <f>tbl_Ventes[[#This Row],[Qté Vendue]] * tbl_Ventes[[#This Row],[CMP_par_portion]]</f>
        <v>0</v>
      </c>
      <c r="J2622" s="7">
        <f>tbl_Ventes[[#This Row],[CA ligne]] - tbl_Ventes[[#This Row],[Coût matière ligne]]</f>
        <v>0</v>
      </c>
      <c r="K2622" s="7" t="str">
        <f>IFERROR(INDEX(tbl_ProduitsRef[Famille], MATCH(tbl_Ventes[[#This Row],[Cde_Prdt]], tbl_Produits[Cde_Prdt], 0)), "")</f>
        <v/>
      </c>
    </row>
    <row r="2623" spans="1:11" x14ac:dyDescent="0.25">
      <c r="A2623" s="5"/>
      <c r="B2623" s="63" t="str">
        <f>IFERROR(TEXT(tbl_Ventes[[#This Row],[Date]],"mm-aaaa"),"")</f>
        <v>01-1900</v>
      </c>
      <c r="D2623" s="10" t="str">
        <f>IFERROR(
   INDEX(tbl_ProduitsRef[Cde_Prdt],MATCH(tbl_Ventes[[#This Row],[Produit]],tbl_ProduitsRef[Produit],0)),
   ""
)</f>
        <v/>
      </c>
      <c r="E2623" s="7">
        <v>0</v>
      </c>
      <c r="F2623" s="7" t="str">
        <f>IFERROR(
   INDEX(tbl_ProduitsRef[Prix Menu],MATCH(tbl_Ventes[[#This Row],[Produit]],tbl_ProduitsRef[Produit],0)),
   ""
)</f>
        <v/>
      </c>
      <c r="G2623" s="7">
        <f>tbl_Ventes[[#This Row],[Qté Vendue]] * IFERROR(_xlfn.XLOOKUP(tbl_Ventes[[#This Row],[Cde_Prdt]], tbl_Produits[Cde_Prdt], tbl_Produits[Prix Menu]), 0)</f>
        <v>0</v>
      </c>
      <c r="H2623" s="7">
        <f>IFERROR(_xlfn.XLOOKUP(tbl_Ventes[[#This Row],[Cde_Prdt]], tbl_Produits[Cde_Prdt], tbl_Produits[Coût Moyen Portion]), 0)</f>
        <v>0</v>
      </c>
      <c r="I2623" s="7">
        <f>tbl_Ventes[[#This Row],[Qté Vendue]] * tbl_Ventes[[#This Row],[CMP_par_portion]]</f>
        <v>0</v>
      </c>
      <c r="J2623" s="7">
        <f>tbl_Ventes[[#This Row],[CA ligne]] - tbl_Ventes[[#This Row],[Coût matière ligne]]</f>
        <v>0</v>
      </c>
      <c r="K2623" s="7" t="str">
        <f>IFERROR(INDEX(tbl_ProduitsRef[Famille], MATCH(tbl_Ventes[[#This Row],[Cde_Prdt]], tbl_Produits[Cde_Prdt], 0)), "")</f>
        <v/>
      </c>
    </row>
    <row r="2624" spans="1:11" x14ac:dyDescent="0.25">
      <c r="A2624" s="5"/>
      <c r="B2624" s="63" t="str">
        <f>IFERROR(TEXT(tbl_Ventes[[#This Row],[Date]],"mm-aaaa"),"")</f>
        <v>01-1900</v>
      </c>
      <c r="D2624" s="10" t="str">
        <f>IFERROR(
   INDEX(tbl_ProduitsRef[Cde_Prdt],MATCH(tbl_Ventes[[#This Row],[Produit]],tbl_ProduitsRef[Produit],0)),
   ""
)</f>
        <v/>
      </c>
      <c r="E2624" s="7">
        <v>0</v>
      </c>
      <c r="F2624" s="7" t="str">
        <f>IFERROR(
   INDEX(tbl_ProduitsRef[Prix Menu],MATCH(tbl_Ventes[[#This Row],[Produit]],tbl_ProduitsRef[Produit],0)),
   ""
)</f>
        <v/>
      </c>
      <c r="G2624" s="7">
        <f>tbl_Ventes[[#This Row],[Qté Vendue]] * IFERROR(_xlfn.XLOOKUP(tbl_Ventes[[#This Row],[Cde_Prdt]], tbl_Produits[Cde_Prdt], tbl_Produits[Prix Menu]), 0)</f>
        <v>0</v>
      </c>
      <c r="H2624" s="7">
        <f>IFERROR(_xlfn.XLOOKUP(tbl_Ventes[[#This Row],[Cde_Prdt]], tbl_Produits[Cde_Prdt], tbl_Produits[Coût Moyen Portion]), 0)</f>
        <v>0</v>
      </c>
      <c r="I2624" s="7">
        <f>tbl_Ventes[[#This Row],[Qté Vendue]] * tbl_Ventes[[#This Row],[CMP_par_portion]]</f>
        <v>0</v>
      </c>
      <c r="J2624" s="7">
        <f>tbl_Ventes[[#This Row],[CA ligne]] - tbl_Ventes[[#This Row],[Coût matière ligne]]</f>
        <v>0</v>
      </c>
      <c r="K2624" s="7" t="str">
        <f>IFERROR(INDEX(tbl_ProduitsRef[Famille], MATCH(tbl_Ventes[[#This Row],[Cde_Prdt]], tbl_Produits[Cde_Prdt], 0)), "")</f>
        <v/>
      </c>
    </row>
    <row r="2625" spans="1:11" x14ac:dyDescent="0.25">
      <c r="A2625" s="5"/>
      <c r="B2625" s="63" t="str">
        <f>IFERROR(TEXT(tbl_Ventes[[#This Row],[Date]],"mm-aaaa"),"")</f>
        <v>01-1900</v>
      </c>
      <c r="D2625" s="10" t="str">
        <f>IFERROR(
   INDEX(tbl_ProduitsRef[Cde_Prdt],MATCH(tbl_Ventes[[#This Row],[Produit]],tbl_ProduitsRef[Produit],0)),
   ""
)</f>
        <v/>
      </c>
      <c r="E2625" s="7">
        <v>0</v>
      </c>
      <c r="F2625" s="7" t="str">
        <f>IFERROR(
   INDEX(tbl_ProduitsRef[Prix Menu],MATCH(tbl_Ventes[[#This Row],[Produit]],tbl_ProduitsRef[Produit],0)),
   ""
)</f>
        <v/>
      </c>
      <c r="G2625" s="7">
        <f>tbl_Ventes[[#This Row],[Qté Vendue]] * IFERROR(_xlfn.XLOOKUP(tbl_Ventes[[#This Row],[Cde_Prdt]], tbl_Produits[Cde_Prdt], tbl_Produits[Prix Menu]), 0)</f>
        <v>0</v>
      </c>
      <c r="H2625" s="7">
        <f>IFERROR(_xlfn.XLOOKUP(tbl_Ventes[[#This Row],[Cde_Prdt]], tbl_Produits[Cde_Prdt], tbl_Produits[Coût Moyen Portion]), 0)</f>
        <v>0</v>
      </c>
      <c r="I2625" s="7">
        <f>tbl_Ventes[[#This Row],[Qté Vendue]] * tbl_Ventes[[#This Row],[CMP_par_portion]]</f>
        <v>0</v>
      </c>
      <c r="J2625" s="7">
        <f>tbl_Ventes[[#This Row],[CA ligne]] - tbl_Ventes[[#This Row],[Coût matière ligne]]</f>
        <v>0</v>
      </c>
      <c r="K2625" s="7" t="str">
        <f>IFERROR(INDEX(tbl_ProduitsRef[Famille], MATCH(tbl_Ventes[[#This Row],[Cde_Prdt]], tbl_Produits[Cde_Prdt], 0)), "")</f>
        <v/>
      </c>
    </row>
    <row r="2626" spans="1:11" x14ac:dyDescent="0.25">
      <c r="A2626" s="5"/>
      <c r="B2626" s="63" t="str">
        <f>IFERROR(TEXT(tbl_Ventes[[#This Row],[Date]],"mm-aaaa"),"")</f>
        <v>01-1900</v>
      </c>
      <c r="D2626" s="10" t="str">
        <f>IFERROR(
   INDEX(tbl_ProduitsRef[Cde_Prdt],MATCH(tbl_Ventes[[#This Row],[Produit]],tbl_ProduitsRef[Produit],0)),
   ""
)</f>
        <v/>
      </c>
      <c r="E2626" s="7">
        <v>0</v>
      </c>
      <c r="F2626" s="7" t="str">
        <f>IFERROR(
   INDEX(tbl_ProduitsRef[Prix Menu],MATCH(tbl_Ventes[[#This Row],[Produit]],tbl_ProduitsRef[Produit],0)),
   ""
)</f>
        <v/>
      </c>
      <c r="G2626" s="7">
        <f>tbl_Ventes[[#This Row],[Qté Vendue]] * IFERROR(_xlfn.XLOOKUP(tbl_Ventes[[#This Row],[Cde_Prdt]], tbl_Produits[Cde_Prdt], tbl_Produits[Prix Menu]), 0)</f>
        <v>0</v>
      </c>
      <c r="H2626" s="7">
        <f>IFERROR(_xlfn.XLOOKUP(tbl_Ventes[[#This Row],[Cde_Prdt]], tbl_Produits[Cde_Prdt], tbl_Produits[Coût Moyen Portion]), 0)</f>
        <v>0</v>
      </c>
      <c r="I2626" s="7">
        <f>tbl_Ventes[[#This Row],[Qté Vendue]] * tbl_Ventes[[#This Row],[CMP_par_portion]]</f>
        <v>0</v>
      </c>
      <c r="J2626" s="7">
        <f>tbl_Ventes[[#This Row],[CA ligne]] - tbl_Ventes[[#This Row],[Coût matière ligne]]</f>
        <v>0</v>
      </c>
      <c r="K2626" s="7" t="str">
        <f>IFERROR(INDEX(tbl_ProduitsRef[Famille], MATCH(tbl_Ventes[[#This Row],[Cde_Prdt]], tbl_Produits[Cde_Prdt], 0)), "")</f>
        <v/>
      </c>
    </row>
    <row r="2627" spans="1:11" x14ac:dyDescent="0.25">
      <c r="A2627" s="5"/>
      <c r="B2627" s="63" t="str">
        <f>IFERROR(TEXT(tbl_Ventes[[#This Row],[Date]],"mm-aaaa"),"")</f>
        <v>01-1900</v>
      </c>
      <c r="D2627" s="10" t="str">
        <f>IFERROR(
   INDEX(tbl_ProduitsRef[Cde_Prdt],MATCH(tbl_Ventes[[#This Row],[Produit]],tbl_ProduitsRef[Produit],0)),
   ""
)</f>
        <v/>
      </c>
      <c r="E2627" s="7">
        <v>0</v>
      </c>
      <c r="F2627" s="7" t="str">
        <f>IFERROR(
   INDEX(tbl_ProduitsRef[Prix Menu],MATCH(tbl_Ventes[[#This Row],[Produit]],tbl_ProduitsRef[Produit],0)),
   ""
)</f>
        <v/>
      </c>
      <c r="G2627" s="7">
        <f>tbl_Ventes[[#This Row],[Qté Vendue]] * IFERROR(_xlfn.XLOOKUP(tbl_Ventes[[#This Row],[Cde_Prdt]], tbl_Produits[Cde_Prdt], tbl_Produits[Prix Menu]), 0)</f>
        <v>0</v>
      </c>
      <c r="H2627" s="7">
        <f>IFERROR(_xlfn.XLOOKUP(tbl_Ventes[[#This Row],[Cde_Prdt]], tbl_Produits[Cde_Prdt], tbl_Produits[Coût Moyen Portion]), 0)</f>
        <v>0</v>
      </c>
      <c r="I2627" s="7">
        <f>tbl_Ventes[[#This Row],[Qté Vendue]] * tbl_Ventes[[#This Row],[CMP_par_portion]]</f>
        <v>0</v>
      </c>
      <c r="J2627" s="7">
        <f>tbl_Ventes[[#This Row],[CA ligne]] - tbl_Ventes[[#This Row],[Coût matière ligne]]</f>
        <v>0</v>
      </c>
      <c r="K2627" s="7" t="str">
        <f>IFERROR(INDEX(tbl_ProduitsRef[Famille], MATCH(tbl_Ventes[[#This Row],[Cde_Prdt]], tbl_Produits[Cde_Prdt], 0)), "")</f>
        <v/>
      </c>
    </row>
    <row r="2628" spans="1:11" x14ac:dyDescent="0.25">
      <c r="A2628" s="5"/>
      <c r="B2628" s="63" t="str">
        <f>IFERROR(TEXT(tbl_Ventes[[#This Row],[Date]],"mm-aaaa"),"")</f>
        <v>01-1900</v>
      </c>
      <c r="D2628" s="10" t="str">
        <f>IFERROR(
   INDEX(tbl_ProduitsRef[Cde_Prdt],MATCH(tbl_Ventes[[#This Row],[Produit]],tbl_ProduitsRef[Produit],0)),
   ""
)</f>
        <v/>
      </c>
      <c r="E2628" s="7">
        <v>0</v>
      </c>
      <c r="F2628" s="7" t="str">
        <f>IFERROR(
   INDEX(tbl_ProduitsRef[Prix Menu],MATCH(tbl_Ventes[[#This Row],[Produit]],tbl_ProduitsRef[Produit],0)),
   ""
)</f>
        <v/>
      </c>
      <c r="G2628" s="7">
        <f>tbl_Ventes[[#This Row],[Qté Vendue]] * IFERROR(_xlfn.XLOOKUP(tbl_Ventes[[#This Row],[Cde_Prdt]], tbl_Produits[Cde_Prdt], tbl_Produits[Prix Menu]), 0)</f>
        <v>0</v>
      </c>
      <c r="H2628" s="7">
        <f>IFERROR(_xlfn.XLOOKUP(tbl_Ventes[[#This Row],[Cde_Prdt]], tbl_Produits[Cde_Prdt], tbl_Produits[Coût Moyen Portion]), 0)</f>
        <v>0</v>
      </c>
      <c r="I2628" s="7">
        <f>tbl_Ventes[[#This Row],[Qté Vendue]] * tbl_Ventes[[#This Row],[CMP_par_portion]]</f>
        <v>0</v>
      </c>
      <c r="J2628" s="7">
        <f>tbl_Ventes[[#This Row],[CA ligne]] - tbl_Ventes[[#This Row],[Coût matière ligne]]</f>
        <v>0</v>
      </c>
      <c r="K2628" s="7" t="str">
        <f>IFERROR(INDEX(tbl_ProduitsRef[Famille], MATCH(tbl_Ventes[[#This Row],[Cde_Prdt]], tbl_Produits[Cde_Prdt], 0)), "")</f>
        <v/>
      </c>
    </row>
    <row r="2629" spans="1:11" x14ac:dyDescent="0.25">
      <c r="A2629" s="5"/>
      <c r="B2629" s="63" t="str">
        <f>IFERROR(TEXT(tbl_Ventes[[#This Row],[Date]],"mm-aaaa"),"")</f>
        <v>01-1900</v>
      </c>
      <c r="D2629" s="10" t="str">
        <f>IFERROR(
   INDEX(tbl_ProduitsRef[Cde_Prdt],MATCH(tbl_Ventes[[#This Row],[Produit]],tbl_ProduitsRef[Produit],0)),
   ""
)</f>
        <v/>
      </c>
      <c r="E2629" s="7">
        <v>0</v>
      </c>
      <c r="F2629" s="7" t="str">
        <f>IFERROR(
   INDEX(tbl_ProduitsRef[Prix Menu],MATCH(tbl_Ventes[[#This Row],[Produit]],tbl_ProduitsRef[Produit],0)),
   ""
)</f>
        <v/>
      </c>
      <c r="G2629" s="7">
        <f>tbl_Ventes[[#This Row],[Qté Vendue]] * IFERROR(_xlfn.XLOOKUP(tbl_Ventes[[#This Row],[Cde_Prdt]], tbl_Produits[Cde_Prdt], tbl_Produits[Prix Menu]), 0)</f>
        <v>0</v>
      </c>
      <c r="H2629" s="7">
        <f>IFERROR(_xlfn.XLOOKUP(tbl_Ventes[[#This Row],[Cde_Prdt]], tbl_Produits[Cde_Prdt], tbl_Produits[Coût Moyen Portion]), 0)</f>
        <v>0</v>
      </c>
      <c r="I2629" s="7">
        <f>tbl_Ventes[[#This Row],[Qté Vendue]] * tbl_Ventes[[#This Row],[CMP_par_portion]]</f>
        <v>0</v>
      </c>
      <c r="J2629" s="7">
        <f>tbl_Ventes[[#This Row],[CA ligne]] - tbl_Ventes[[#This Row],[Coût matière ligne]]</f>
        <v>0</v>
      </c>
      <c r="K2629" s="7" t="str">
        <f>IFERROR(INDEX(tbl_ProduitsRef[Famille], MATCH(tbl_Ventes[[#This Row],[Cde_Prdt]], tbl_Produits[Cde_Prdt], 0)), "")</f>
        <v/>
      </c>
    </row>
    <row r="2630" spans="1:11" x14ac:dyDescent="0.25">
      <c r="A2630" s="5"/>
      <c r="B2630" s="63" t="str">
        <f>IFERROR(TEXT(tbl_Ventes[[#This Row],[Date]],"mm-aaaa"),"")</f>
        <v>01-1900</v>
      </c>
      <c r="D2630" s="10" t="str">
        <f>IFERROR(
   INDEX(tbl_ProduitsRef[Cde_Prdt],MATCH(tbl_Ventes[[#This Row],[Produit]],tbl_ProduitsRef[Produit],0)),
   ""
)</f>
        <v/>
      </c>
      <c r="E2630" s="7">
        <v>0</v>
      </c>
      <c r="F2630" s="7" t="str">
        <f>IFERROR(
   INDEX(tbl_ProduitsRef[Prix Menu],MATCH(tbl_Ventes[[#This Row],[Produit]],tbl_ProduitsRef[Produit],0)),
   ""
)</f>
        <v/>
      </c>
      <c r="G2630" s="7">
        <f>tbl_Ventes[[#This Row],[Qté Vendue]] * IFERROR(_xlfn.XLOOKUP(tbl_Ventes[[#This Row],[Cde_Prdt]], tbl_Produits[Cde_Prdt], tbl_Produits[Prix Menu]), 0)</f>
        <v>0</v>
      </c>
      <c r="H2630" s="7">
        <f>IFERROR(_xlfn.XLOOKUP(tbl_Ventes[[#This Row],[Cde_Prdt]], tbl_Produits[Cde_Prdt], tbl_Produits[Coût Moyen Portion]), 0)</f>
        <v>0</v>
      </c>
      <c r="I2630" s="7">
        <f>tbl_Ventes[[#This Row],[Qté Vendue]] * tbl_Ventes[[#This Row],[CMP_par_portion]]</f>
        <v>0</v>
      </c>
      <c r="J2630" s="7">
        <f>tbl_Ventes[[#This Row],[CA ligne]] - tbl_Ventes[[#This Row],[Coût matière ligne]]</f>
        <v>0</v>
      </c>
      <c r="K2630" s="7" t="str">
        <f>IFERROR(INDEX(tbl_ProduitsRef[Famille], MATCH(tbl_Ventes[[#This Row],[Cde_Prdt]], tbl_Produits[Cde_Prdt], 0)), "")</f>
        <v/>
      </c>
    </row>
    <row r="2631" spans="1:11" x14ac:dyDescent="0.25">
      <c r="A2631" s="5"/>
      <c r="B2631" s="63" t="str">
        <f>IFERROR(TEXT(tbl_Ventes[[#This Row],[Date]],"mm-aaaa"),"")</f>
        <v>01-1900</v>
      </c>
      <c r="D2631" s="10" t="str">
        <f>IFERROR(
   INDEX(tbl_ProduitsRef[Cde_Prdt],MATCH(tbl_Ventes[[#This Row],[Produit]],tbl_ProduitsRef[Produit],0)),
   ""
)</f>
        <v/>
      </c>
      <c r="E2631" s="7">
        <v>0</v>
      </c>
      <c r="F2631" s="7" t="str">
        <f>IFERROR(
   INDEX(tbl_ProduitsRef[Prix Menu],MATCH(tbl_Ventes[[#This Row],[Produit]],tbl_ProduitsRef[Produit],0)),
   ""
)</f>
        <v/>
      </c>
      <c r="G2631" s="7">
        <f>tbl_Ventes[[#This Row],[Qté Vendue]] * IFERROR(_xlfn.XLOOKUP(tbl_Ventes[[#This Row],[Cde_Prdt]], tbl_Produits[Cde_Prdt], tbl_Produits[Prix Menu]), 0)</f>
        <v>0</v>
      </c>
      <c r="H2631" s="7">
        <f>IFERROR(_xlfn.XLOOKUP(tbl_Ventes[[#This Row],[Cde_Prdt]], tbl_Produits[Cde_Prdt], tbl_Produits[Coût Moyen Portion]), 0)</f>
        <v>0</v>
      </c>
      <c r="I2631" s="7">
        <f>tbl_Ventes[[#This Row],[Qté Vendue]] * tbl_Ventes[[#This Row],[CMP_par_portion]]</f>
        <v>0</v>
      </c>
      <c r="J2631" s="7">
        <f>tbl_Ventes[[#This Row],[CA ligne]] - tbl_Ventes[[#This Row],[Coût matière ligne]]</f>
        <v>0</v>
      </c>
      <c r="K2631" s="7" t="str">
        <f>IFERROR(INDEX(tbl_ProduitsRef[Famille], MATCH(tbl_Ventes[[#This Row],[Cde_Prdt]], tbl_Produits[Cde_Prdt], 0)), "")</f>
        <v/>
      </c>
    </row>
    <row r="2632" spans="1:11" x14ac:dyDescent="0.25">
      <c r="A2632" s="5"/>
      <c r="B2632" s="63" t="str">
        <f>IFERROR(TEXT(tbl_Ventes[[#This Row],[Date]],"mm-aaaa"),"")</f>
        <v>01-1900</v>
      </c>
      <c r="D2632" s="10" t="str">
        <f>IFERROR(
   INDEX(tbl_ProduitsRef[Cde_Prdt],MATCH(tbl_Ventes[[#This Row],[Produit]],tbl_ProduitsRef[Produit],0)),
   ""
)</f>
        <v/>
      </c>
      <c r="E2632" s="7">
        <v>0</v>
      </c>
      <c r="F2632" s="7" t="str">
        <f>IFERROR(
   INDEX(tbl_ProduitsRef[Prix Menu],MATCH(tbl_Ventes[[#This Row],[Produit]],tbl_ProduitsRef[Produit],0)),
   ""
)</f>
        <v/>
      </c>
      <c r="G2632" s="7">
        <f>tbl_Ventes[[#This Row],[Qté Vendue]] * IFERROR(_xlfn.XLOOKUP(tbl_Ventes[[#This Row],[Cde_Prdt]], tbl_Produits[Cde_Prdt], tbl_Produits[Prix Menu]), 0)</f>
        <v>0</v>
      </c>
      <c r="H2632" s="7">
        <f>IFERROR(_xlfn.XLOOKUP(tbl_Ventes[[#This Row],[Cde_Prdt]], tbl_Produits[Cde_Prdt], tbl_Produits[Coût Moyen Portion]), 0)</f>
        <v>0</v>
      </c>
      <c r="I2632" s="7">
        <f>tbl_Ventes[[#This Row],[Qté Vendue]] * tbl_Ventes[[#This Row],[CMP_par_portion]]</f>
        <v>0</v>
      </c>
      <c r="J2632" s="7">
        <f>tbl_Ventes[[#This Row],[CA ligne]] - tbl_Ventes[[#This Row],[Coût matière ligne]]</f>
        <v>0</v>
      </c>
      <c r="K2632" s="7" t="str">
        <f>IFERROR(INDEX(tbl_ProduitsRef[Famille], MATCH(tbl_Ventes[[#This Row],[Cde_Prdt]], tbl_Produits[Cde_Prdt], 0)), "")</f>
        <v/>
      </c>
    </row>
    <row r="2633" spans="1:11" x14ac:dyDescent="0.25">
      <c r="A2633" s="5"/>
      <c r="B2633" s="63" t="str">
        <f>IFERROR(TEXT(tbl_Ventes[[#This Row],[Date]],"mm-aaaa"),"")</f>
        <v>01-1900</v>
      </c>
      <c r="D2633" s="10" t="str">
        <f>IFERROR(
   INDEX(tbl_ProduitsRef[Cde_Prdt],MATCH(tbl_Ventes[[#This Row],[Produit]],tbl_ProduitsRef[Produit],0)),
   ""
)</f>
        <v/>
      </c>
      <c r="E2633" s="7">
        <v>0</v>
      </c>
      <c r="F2633" s="7" t="str">
        <f>IFERROR(
   INDEX(tbl_ProduitsRef[Prix Menu],MATCH(tbl_Ventes[[#This Row],[Produit]],tbl_ProduitsRef[Produit],0)),
   ""
)</f>
        <v/>
      </c>
      <c r="G2633" s="7">
        <f>tbl_Ventes[[#This Row],[Qté Vendue]] * IFERROR(_xlfn.XLOOKUP(tbl_Ventes[[#This Row],[Cde_Prdt]], tbl_Produits[Cde_Prdt], tbl_Produits[Prix Menu]), 0)</f>
        <v>0</v>
      </c>
      <c r="H2633" s="7">
        <f>IFERROR(_xlfn.XLOOKUP(tbl_Ventes[[#This Row],[Cde_Prdt]], tbl_Produits[Cde_Prdt], tbl_Produits[Coût Moyen Portion]), 0)</f>
        <v>0</v>
      </c>
      <c r="I2633" s="7">
        <f>tbl_Ventes[[#This Row],[Qté Vendue]] * tbl_Ventes[[#This Row],[CMP_par_portion]]</f>
        <v>0</v>
      </c>
      <c r="J2633" s="7">
        <f>tbl_Ventes[[#This Row],[CA ligne]] - tbl_Ventes[[#This Row],[Coût matière ligne]]</f>
        <v>0</v>
      </c>
      <c r="K2633" s="7" t="str">
        <f>IFERROR(INDEX(tbl_ProduitsRef[Famille], MATCH(tbl_Ventes[[#This Row],[Cde_Prdt]], tbl_Produits[Cde_Prdt], 0)), "")</f>
        <v/>
      </c>
    </row>
    <row r="2634" spans="1:11" x14ac:dyDescent="0.25">
      <c r="A2634" s="5"/>
      <c r="B2634" s="63" t="str">
        <f>IFERROR(TEXT(tbl_Ventes[[#This Row],[Date]],"mm-aaaa"),"")</f>
        <v>01-1900</v>
      </c>
      <c r="D2634" s="10" t="str">
        <f>IFERROR(
   INDEX(tbl_ProduitsRef[Cde_Prdt],MATCH(tbl_Ventes[[#This Row],[Produit]],tbl_ProduitsRef[Produit],0)),
   ""
)</f>
        <v/>
      </c>
      <c r="E2634" s="7">
        <v>0</v>
      </c>
      <c r="F2634" s="7" t="str">
        <f>IFERROR(
   INDEX(tbl_ProduitsRef[Prix Menu],MATCH(tbl_Ventes[[#This Row],[Produit]],tbl_ProduitsRef[Produit],0)),
   ""
)</f>
        <v/>
      </c>
      <c r="G2634" s="7">
        <f>tbl_Ventes[[#This Row],[Qté Vendue]] * IFERROR(_xlfn.XLOOKUP(tbl_Ventes[[#This Row],[Cde_Prdt]], tbl_Produits[Cde_Prdt], tbl_Produits[Prix Menu]), 0)</f>
        <v>0</v>
      </c>
      <c r="H2634" s="7">
        <f>IFERROR(_xlfn.XLOOKUP(tbl_Ventes[[#This Row],[Cde_Prdt]], tbl_Produits[Cde_Prdt], tbl_Produits[Coût Moyen Portion]), 0)</f>
        <v>0</v>
      </c>
      <c r="I2634" s="7">
        <f>tbl_Ventes[[#This Row],[Qté Vendue]] * tbl_Ventes[[#This Row],[CMP_par_portion]]</f>
        <v>0</v>
      </c>
      <c r="J2634" s="7">
        <f>tbl_Ventes[[#This Row],[CA ligne]] - tbl_Ventes[[#This Row],[Coût matière ligne]]</f>
        <v>0</v>
      </c>
      <c r="K2634" s="7" t="str">
        <f>IFERROR(INDEX(tbl_ProduitsRef[Famille], MATCH(tbl_Ventes[[#This Row],[Cde_Prdt]], tbl_Produits[Cde_Prdt], 0)), "")</f>
        <v/>
      </c>
    </row>
    <row r="2635" spans="1:11" x14ac:dyDescent="0.25">
      <c r="A2635" s="5"/>
      <c r="B2635" s="63" t="str">
        <f>IFERROR(TEXT(tbl_Ventes[[#This Row],[Date]],"mm-aaaa"),"")</f>
        <v>01-1900</v>
      </c>
      <c r="D2635" s="10" t="str">
        <f>IFERROR(
   INDEX(tbl_ProduitsRef[Cde_Prdt],MATCH(tbl_Ventes[[#This Row],[Produit]],tbl_ProduitsRef[Produit],0)),
   ""
)</f>
        <v/>
      </c>
      <c r="E2635" s="7">
        <v>0</v>
      </c>
      <c r="F2635" s="7" t="str">
        <f>IFERROR(
   INDEX(tbl_ProduitsRef[Prix Menu],MATCH(tbl_Ventes[[#This Row],[Produit]],tbl_ProduitsRef[Produit],0)),
   ""
)</f>
        <v/>
      </c>
      <c r="G2635" s="7">
        <f>tbl_Ventes[[#This Row],[Qté Vendue]] * IFERROR(_xlfn.XLOOKUP(tbl_Ventes[[#This Row],[Cde_Prdt]], tbl_Produits[Cde_Prdt], tbl_Produits[Prix Menu]), 0)</f>
        <v>0</v>
      </c>
      <c r="H2635" s="7">
        <f>IFERROR(_xlfn.XLOOKUP(tbl_Ventes[[#This Row],[Cde_Prdt]], tbl_Produits[Cde_Prdt], tbl_Produits[Coût Moyen Portion]), 0)</f>
        <v>0</v>
      </c>
      <c r="I2635" s="7">
        <f>tbl_Ventes[[#This Row],[Qté Vendue]] * tbl_Ventes[[#This Row],[CMP_par_portion]]</f>
        <v>0</v>
      </c>
      <c r="J2635" s="7">
        <f>tbl_Ventes[[#This Row],[CA ligne]] - tbl_Ventes[[#This Row],[Coût matière ligne]]</f>
        <v>0</v>
      </c>
      <c r="K2635" s="7" t="str">
        <f>IFERROR(INDEX(tbl_ProduitsRef[Famille], MATCH(tbl_Ventes[[#This Row],[Cde_Prdt]], tbl_Produits[Cde_Prdt], 0)), "")</f>
        <v/>
      </c>
    </row>
    <row r="2636" spans="1:11" x14ac:dyDescent="0.25">
      <c r="A2636" s="5"/>
      <c r="B2636" s="63" t="str">
        <f>IFERROR(TEXT(tbl_Ventes[[#This Row],[Date]],"mm-aaaa"),"")</f>
        <v>01-1900</v>
      </c>
      <c r="D2636" s="10" t="str">
        <f>IFERROR(
   INDEX(tbl_ProduitsRef[Cde_Prdt],MATCH(tbl_Ventes[[#This Row],[Produit]],tbl_ProduitsRef[Produit],0)),
   ""
)</f>
        <v/>
      </c>
      <c r="E2636" s="7">
        <v>0</v>
      </c>
      <c r="F2636" s="7" t="str">
        <f>IFERROR(
   INDEX(tbl_ProduitsRef[Prix Menu],MATCH(tbl_Ventes[[#This Row],[Produit]],tbl_ProduitsRef[Produit],0)),
   ""
)</f>
        <v/>
      </c>
      <c r="G2636" s="7">
        <f>tbl_Ventes[[#This Row],[Qté Vendue]] * IFERROR(_xlfn.XLOOKUP(tbl_Ventes[[#This Row],[Cde_Prdt]], tbl_Produits[Cde_Prdt], tbl_Produits[Prix Menu]), 0)</f>
        <v>0</v>
      </c>
      <c r="H2636" s="7">
        <f>IFERROR(_xlfn.XLOOKUP(tbl_Ventes[[#This Row],[Cde_Prdt]], tbl_Produits[Cde_Prdt], tbl_Produits[Coût Moyen Portion]), 0)</f>
        <v>0</v>
      </c>
      <c r="I2636" s="7">
        <f>tbl_Ventes[[#This Row],[Qté Vendue]] * tbl_Ventes[[#This Row],[CMP_par_portion]]</f>
        <v>0</v>
      </c>
      <c r="J2636" s="7">
        <f>tbl_Ventes[[#This Row],[CA ligne]] - tbl_Ventes[[#This Row],[Coût matière ligne]]</f>
        <v>0</v>
      </c>
      <c r="K2636" s="7" t="str">
        <f>IFERROR(INDEX(tbl_ProduitsRef[Famille], MATCH(tbl_Ventes[[#This Row],[Cde_Prdt]], tbl_Produits[Cde_Prdt], 0)), "")</f>
        <v/>
      </c>
    </row>
    <row r="2637" spans="1:11" x14ac:dyDescent="0.25">
      <c r="A2637" s="5"/>
      <c r="B2637" s="63" t="str">
        <f>IFERROR(TEXT(tbl_Ventes[[#This Row],[Date]],"mm-aaaa"),"")</f>
        <v>01-1900</v>
      </c>
      <c r="D2637" s="10" t="str">
        <f>IFERROR(
   INDEX(tbl_ProduitsRef[Cde_Prdt],MATCH(tbl_Ventes[[#This Row],[Produit]],tbl_ProduitsRef[Produit],0)),
   ""
)</f>
        <v/>
      </c>
      <c r="E2637" s="7">
        <v>0</v>
      </c>
      <c r="F2637" s="7" t="str">
        <f>IFERROR(
   INDEX(tbl_ProduitsRef[Prix Menu],MATCH(tbl_Ventes[[#This Row],[Produit]],tbl_ProduitsRef[Produit],0)),
   ""
)</f>
        <v/>
      </c>
      <c r="G2637" s="7">
        <f>tbl_Ventes[[#This Row],[Qté Vendue]] * IFERROR(_xlfn.XLOOKUP(tbl_Ventes[[#This Row],[Cde_Prdt]], tbl_Produits[Cde_Prdt], tbl_Produits[Prix Menu]), 0)</f>
        <v>0</v>
      </c>
      <c r="H2637" s="7">
        <f>IFERROR(_xlfn.XLOOKUP(tbl_Ventes[[#This Row],[Cde_Prdt]], tbl_Produits[Cde_Prdt], tbl_Produits[Coût Moyen Portion]), 0)</f>
        <v>0</v>
      </c>
      <c r="I2637" s="7">
        <f>tbl_Ventes[[#This Row],[Qté Vendue]] * tbl_Ventes[[#This Row],[CMP_par_portion]]</f>
        <v>0</v>
      </c>
      <c r="J2637" s="7">
        <f>tbl_Ventes[[#This Row],[CA ligne]] - tbl_Ventes[[#This Row],[Coût matière ligne]]</f>
        <v>0</v>
      </c>
      <c r="K2637" s="7" t="str">
        <f>IFERROR(INDEX(tbl_ProduitsRef[Famille], MATCH(tbl_Ventes[[#This Row],[Cde_Prdt]], tbl_Produits[Cde_Prdt], 0)), "")</f>
        <v/>
      </c>
    </row>
    <row r="2638" spans="1:11" x14ac:dyDescent="0.25">
      <c r="A2638" s="5"/>
      <c r="B2638" s="63" t="str">
        <f>IFERROR(TEXT(tbl_Ventes[[#This Row],[Date]],"mm-aaaa"),"")</f>
        <v>01-1900</v>
      </c>
      <c r="D2638" s="10" t="str">
        <f>IFERROR(
   INDEX(tbl_ProduitsRef[Cde_Prdt],MATCH(tbl_Ventes[[#This Row],[Produit]],tbl_ProduitsRef[Produit],0)),
   ""
)</f>
        <v/>
      </c>
      <c r="E2638" s="7">
        <v>0</v>
      </c>
      <c r="F2638" s="7" t="str">
        <f>IFERROR(
   INDEX(tbl_ProduitsRef[Prix Menu],MATCH(tbl_Ventes[[#This Row],[Produit]],tbl_ProduitsRef[Produit],0)),
   ""
)</f>
        <v/>
      </c>
      <c r="G2638" s="7">
        <f>tbl_Ventes[[#This Row],[Qté Vendue]] * IFERROR(_xlfn.XLOOKUP(tbl_Ventes[[#This Row],[Cde_Prdt]], tbl_Produits[Cde_Prdt], tbl_Produits[Prix Menu]), 0)</f>
        <v>0</v>
      </c>
      <c r="H2638" s="7">
        <f>IFERROR(_xlfn.XLOOKUP(tbl_Ventes[[#This Row],[Cde_Prdt]], tbl_Produits[Cde_Prdt], tbl_Produits[Coût Moyen Portion]), 0)</f>
        <v>0</v>
      </c>
      <c r="I2638" s="7">
        <f>tbl_Ventes[[#This Row],[Qté Vendue]] * tbl_Ventes[[#This Row],[CMP_par_portion]]</f>
        <v>0</v>
      </c>
      <c r="J2638" s="7">
        <f>tbl_Ventes[[#This Row],[CA ligne]] - tbl_Ventes[[#This Row],[Coût matière ligne]]</f>
        <v>0</v>
      </c>
      <c r="K2638" s="7" t="str">
        <f>IFERROR(INDEX(tbl_ProduitsRef[Famille], MATCH(tbl_Ventes[[#This Row],[Cde_Prdt]], tbl_Produits[Cde_Prdt], 0)), "")</f>
        <v/>
      </c>
    </row>
    <row r="2639" spans="1:11" x14ac:dyDescent="0.25">
      <c r="A2639" s="5"/>
      <c r="B2639" s="63" t="str">
        <f>IFERROR(TEXT(tbl_Ventes[[#This Row],[Date]],"mm-aaaa"),"")</f>
        <v>01-1900</v>
      </c>
      <c r="D2639" s="10" t="str">
        <f>IFERROR(
   INDEX(tbl_ProduitsRef[Cde_Prdt],MATCH(tbl_Ventes[[#This Row],[Produit]],tbl_ProduitsRef[Produit],0)),
   ""
)</f>
        <v/>
      </c>
      <c r="E2639" s="7">
        <v>0</v>
      </c>
      <c r="F2639" s="7" t="str">
        <f>IFERROR(
   INDEX(tbl_ProduitsRef[Prix Menu],MATCH(tbl_Ventes[[#This Row],[Produit]],tbl_ProduitsRef[Produit],0)),
   ""
)</f>
        <v/>
      </c>
      <c r="G2639" s="7">
        <f>tbl_Ventes[[#This Row],[Qté Vendue]] * IFERROR(_xlfn.XLOOKUP(tbl_Ventes[[#This Row],[Cde_Prdt]], tbl_Produits[Cde_Prdt], tbl_Produits[Prix Menu]), 0)</f>
        <v>0</v>
      </c>
      <c r="H2639" s="7">
        <f>IFERROR(_xlfn.XLOOKUP(tbl_Ventes[[#This Row],[Cde_Prdt]], tbl_Produits[Cde_Prdt], tbl_Produits[Coût Moyen Portion]), 0)</f>
        <v>0</v>
      </c>
      <c r="I2639" s="7">
        <f>tbl_Ventes[[#This Row],[Qté Vendue]] * tbl_Ventes[[#This Row],[CMP_par_portion]]</f>
        <v>0</v>
      </c>
      <c r="J2639" s="7">
        <f>tbl_Ventes[[#This Row],[CA ligne]] - tbl_Ventes[[#This Row],[Coût matière ligne]]</f>
        <v>0</v>
      </c>
      <c r="K2639" s="7" t="str">
        <f>IFERROR(INDEX(tbl_ProduitsRef[Famille], MATCH(tbl_Ventes[[#This Row],[Cde_Prdt]], tbl_Produits[Cde_Prdt], 0)), "")</f>
        <v/>
      </c>
    </row>
    <row r="2640" spans="1:11" x14ac:dyDescent="0.25">
      <c r="A2640" s="5"/>
      <c r="B2640" s="63" t="str">
        <f>IFERROR(TEXT(tbl_Ventes[[#This Row],[Date]],"mm-aaaa"),"")</f>
        <v>01-1900</v>
      </c>
      <c r="D2640" s="10" t="str">
        <f>IFERROR(
   INDEX(tbl_ProduitsRef[Cde_Prdt],MATCH(tbl_Ventes[[#This Row],[Produit]],tbl_ProduitsRef[Produit],0)),
   ""
)</f>
        <v/>
      </c>
      <c r="E2640" s="7">
        <v>0</v>
      </c>
      <c r="F2640" s="7" t="str">
        <f>IFERROR(
   INDEX(tbl_ProduitsRef[Prix Menu],MATCH(tbl_Ventes[[#This Row],[Produit]],tbl_ProduitsRef[Produit],0)),
   ""
)</f>
        <v/>
      </c>
      <c r="G2640" s="7">
        <f>tbl_Ventes[[#This Row],[Qté Vendue]] * IFERROR(_xlfn.XLOOKUP(tbl_Ventes[[#This Row],[Cde_Prdt]], tbl_Produits[Cde_Prdt], tbl_Produits[Prix Menu]), 0)</f>
        <v>0</v>
      </c>
      <c r="H2640" s="7">
        <f>IFERROR(_xlfn.XLOOKUP(tbl_Ventes[[#This Row],[Cde_Prdt]], tbl_Produits[Cde_Prdt], tbl_Produits[Coût Moyen Portion]), 0)</f>
        <v>0</v>
      </c>
      <c r="I2640" s="7">
        <f>tbl_Ventes[[#This Row],[Qté Vendue]] * tbl_Ventes[[#This Row],[CMP_par_portion]]</f>
        <v>0</v>
      </c>
      <c r="J2640" s="7">
        <f>tbl_Ventes[[#This Row],[CA ligne]] - tbl_Ventes[[#This Row],[Coût matière ligne]]</f>
        <v>0</v>
      </c>
      <c r="K2640" s="7" t="str">
        <f>IFERROR(INDEX(tbl_ProduitsRef[Famille], MATCH(tbl_Ventes[[#This Row],[Cde_Prdt]], tbl_Produits[Cde_Prdt], 0)), "")</f>
        <v/>
      </c>
    </row>
    <row r="2641" spans="1:11" x14ac:dyDescent="0.25">
      <c r="A2641" s="5"/>
      <c r="B2641" s="63" t="str">
        <f>IFERROR(TEXT(tbl_Ventes[[#This Row],[Date]],"mm-aaaa"),"")</f>
        <v>01-1900</v>
      </c>
      <c r="D2641" s="10" t="str">
        <f>IFERROR(
   INDEX(tbl_ProduitsRef[Cde_Prdt],MATCH(tbl_Ventes[[#This Row],[Produit]],tbl_ProduitsRef[Produit],0)),
   ""
)</f>
        <v/>
      </c>
      <c r="E2641" s="7">
        <v>0</v>
      </c>
      <c r="F2641" s="7" t="str">
        <f>IFERROR(
   INDEX(tbl_ProduitsRef[Prix Menu],MATCH(tbl_Ventes[[#This Row],[Produit]],tbl_ProduitsRef[Produit],0)),
   ""
)</f>
        <v/>
      </c>
      <c r="G2641" s="7">
        <f>tbl_Ventes[[#This Row],[Qté Vendue]] * IFERROR(_xlfn.XLOOKUP(tbl_Ventes[[#This Row],[Cde_Prdt]], tbl_Produits[Cde_Prdt], tbl_Produits[Prix Menu]), 0)</f>
        <v>0</v>
      </c>
      <c r="H2641" s="7">
        <f>IFERROR(_xlfn.XLOOKUP(tbl_Ventes[[#This Row],[Cde_Prdt]], tbl_Produits[Cde_Prdt], tbl_Produits[Coût Moyen Portion]), 0)</f>
        <v>0</v>
      </c>
      <c r="I2641" s="7">
        <f>tbl_Ventes[[#This Row],[Qté Vendue]] * tbl_Ventes[[#This Row],[CMP_par_portion]]</f>
        <v>0</v>
      </c>
      <c r="J2641" s="7">
        <f>tbl_Ventes[[#This Row],[CA ligne]] - tbl_Ventes[[#This Row],[Coût matière ligne]]</f>
        <v>0</v>
      </c>
      <c r="K2641" s="7" t="str">
        <f>IFERROR(INDEX(tbl_ProduitsRef[Famille], MATCH(tbl_Ventes[[#This Row],[Cde_Prdt]], tbl_Produits[Cde_Prdt], 0)), "")</f>
        <v/>
      </c>
    </row>
    <row r="2642" spans="1:11" x14ac:dyDescent="0.25">
      <c r="A2642" s="5"/>
      <c r="B2642" s="63" t="str">
        <f>IFERROR(TEXT(tbl_Ventes[[#This Row],[Date]],"mm-aaaa"),"")</f>
        <v>01-1900</v>
      </c>
      <c r="D2642" s="10" t="str">
        <f>IFERROR(
   INDEX(tbl_ProduitsRef[Cde_Prdt],MATCH(tbl_Ventes[[#This Row],[Produit]],tbl_ProduitsRef[Produit],0)),
   ""
)</f>
        <v/>
      </c>
      <c r="E2642" s="7">
        <v>0</v>
      </c>
      <c r="F2642" s="7" t="str">
        <f>IFERROR(
   INDEX(tbl_ProduitsRef[Prix Menu],MATCH(tbl_Ventes[[#This Row],[Produit]],tbl_ProduitsRef[Produit],0)),
   ""
)</f>
        <v/>
      </c>
      <c r="G2642" s="7">
        <f>tbl_Ventes[[#This Row],[Qté Vendue]] * IFERROR(_xlfn.XLOOKUP(tbl_Ventes[[#This Row],[Cde_Prdt]], tbl_Produits[Cde_Prdt], tbl_Produits[Prix Menu]), 0)</f>
        <v>0</v>
      </c>
      <c r="H2642" s="7">
        <f>IFERROR(_xlfn.XLOOKUP(tbl_Ventes[[#This Row],[Cde_Prdt]], tbl_Produits[Cde_Prdt], tbl_Produits[Coût Moyen Portion]), 0)</f>
        <v>0</v>
      </c>
      <c r="I2642" s="7">
        <f>tbl_Ventes[[#This Row],[Qté Vendue]] * tbl_Ventes[[#This Row],[CMP_par_portion]]</f>
        <v>0</v>
      </c>
      <c r="J2642" s="7">
        <f>tbl_Ventes[[#This Row],[CA ligne]] - tbl_Ventes[[#This Row],[Coût matière ligne]]</f>
        <v>0</v>
      </c>
      <c r="K2642" s="7" t="str">
        <f>IFERROR(INDEX(tbl_ProduitsRef[Famille], MATCH(tbl_Ventes[[#This Row],[Cde_Prdt]], tbl_Produits[Cde_Prdt], 0)), "")</f>
        <v/>
      </c>
    </row>
    <row r="2643" spans="1:11" x14ac:dyDescent="0.25">
      <c r="A2643" s="5"/>
      <c r="B2643" s="63" t="str">
        <f>IFERROR(TEXT(tbl_Ventes[[#This Row],[Date]],"mm-aaaa"),"")</f>
        <v>01-1900</v>
      </c>
      <c r="D2643" s="10" t="str">
        <f>IFERROR(
   INDEX(tbl_ProduitsRef[Cde_Prdt],MATCH(tbl_Ventes[[#This Row],[Produit]],tbl_ProduitsRef[Produit],0)),
   ""
)</f>
        <v/>
      </c>
      <c r="E2643" s="7">
        <v>0</v>
      </c>
      <c r="F2643" s="7" t="str">
        <f>IFERROR(
   INDEX(tbl_ProduitsRef[Prix Menu],MATCH(tbl_Ventes[[#This Row],[Produit]],tbl_ProduitsRef[Produit],0)),
   ""
)</f>
        <v/>
      </c>
      <c r="G2643" s="7">
        <f>tbl_Ventes[[#This Row],[Qté Vendue]] * IFERROR(_xlfn.XLOOKUP(tbl_Ventes[[#This Row],[Cde_Prdt]], tbl_Produits[Cde_Prdt], tbl_Produits[Prix Menu]), 0)</f>
        <v>0</v>
      </c>
      <c r="H2643" s="7">
        <f>IFERROR(_xlfn.XLOOKUP(tbl_Ventes[[#This Row],[Cde_Prdt]], tbl_Produits[Cde_Prdt], tbl_Produits[Coût Moyen Portion]), 0)</f>
        <v>0</v>
      </c>
      <c r="I2643" s="7">
        <f>tbl_Ventes[[#This Row],[Qté Vendue]] * tbl_Ventes[[#This Row],[CMP_par_portion]]</f>
        <v>0</v>
      </c>
      <c r="J2643" s="7">
        <f>tbl_Ventes[[#This Row],[CA ligne]] - tbl_Ventes[[#This Row],[Coût matière ligne]]</f>
        <v>0</v>
      </c>
      <c r="K2643" s="7" t="str">
        <f>IFERROR(INDEX(tbl_ProduitsRef[Famille], MATCH(tbl_Ventes[[#This Row],[Cde_Prdt]], tbl_Produits[Cde_Prdt], 0)), "")</f>
        <v/>
      </c>
    </row>
    <row r="2644" spans="1:11" x14ac:dyDescent="0.25">
      <c r="A2644" s="5"/>
      <c r="B2644" s="63" t="str">
        <f>IFERROR(TEXT(tbl_Ventes[[#This Row],[Date]],"mm-aaaa"),"")</f>
        <v>01-1900</v>
      </c>
      <c r="D2644" s="10" t="str">
        <f>IFERROR(
   INDEX(tbl_ProduitsRef[Cde_Prdt],MATCH(tbl_Ventes[[#This Row],[Produit]],tbl_ProduitsRef[Produit],0)),
   ""
)</f>
        <v/>
      </c>
      <c r="E2644" s="7">
        <v>0</v>
      </c>
      <c r="F2644" s="7" t="str">
        <f>IFERROR(
   INDEX(tbl_ProduitsRef[Prix Menu],MATCH(tbl_Ventes[[#This Row],[Produit]],tbl_ProduitsRef[Produit],0)),
   ""
)</f>
        <v/>
      </c>
      <c r="G2644" s="7">
        <f>tbl_Ventes[[#This Row],[Qté Vendue]] * IFERROR(_xlfn.XLOOKUP(tbl_Ventes[[#This Row],[Cde_Prdt]], tbl_Produits[Cde_Prdt], tbl_Produits[Prix Menu]), 0)</f>
        <v>0</v>
      </c>
      <c r="H2644" s="7">
        <f>IFERROR(_xlfn.XLOOKUP(tbl_Ventes[[#This Row],[Cde_Prdt]], tbl_Produits[Cde_Prdt], tbl_Produits[Coût Moyen Portion]), 0)</f>
        <v>0</v>
      </c>
      <c r="I2644" s="7">
        <f>tbl_Ventes[[#This Row],[Qté Vendue]] * tbl_Ventes[[#This Row],[CMP_par_portion]]</f>
        <v>0</v>
      </c>
      <c r="J2644" s="7">
        <f>tbl_Ventes[[#This Row],[CA ligne]] - tbl_Ventes[[#This Row],[Coût matière ligne]]</f>
        <v>0</v>
      </c>
      <c r="K2644" s="7" t="str">
        <f>IFERROR(INDEX(tbl_ProduitsRef[Famille], MATCH(tbl_Ventes[[#This Row],[Cde_Prdt]], tbl_Produits[Cde_Prdt], 0)), "")</f>
        <v/>
      </c>
    </row>
    <row r="2645" spans="1:11" x14ac:dyDescent="0.25">
      <c r="A2645" s="5"/>
      <c r="B2645" s="63" t="str">
        <f>IFERROR(TEXT(tbl_Ventes[[#This Row],[Date]],"mm-aaaa"),"")</f>
        <v>01-1900</v>
      </c>
      <c r="D2645" s="10" t="str">
        <f>IFERROR(
   INDEX(tbl_ProduitsRef[Cde_Prdt],MATCH(tbl_Ventes[[#This Row],[Produit]],tbl_ProduitsRef[Produit],0)),
   ""
)</f>
        <v/>
      </c>
      <c r="E2645" s="7">
        <v>0</v>
      </c>
      <c r="F2645" s="7" t="str">
        <f>IFERROR(
   INDEX(tbl_ProduitsRef[Prix Menu],MATCH(tbl_Ventes[[#This Row],[Produit]],tbl_ProduitsRef[Produit],0)),
   ""
)</f>
        <v/>
      </c>
      <c r="G2645" s="7">
        <f>tbl_Ventes[[#This Row],[Qté Vendue]] * IFERROR(_xlfn.XLOOKUP(tbl_Ventes[[#This Row],[Cde_Prdt]], tbl_Produits[Cde_Prdt], tbl_Produits[Prix Menu]), 0)</f>
        <v>0</v>
      </c>
      <c r="H2645" s="7">
        <f>IFERROR(_xlfn.XLOOKUP(tbl_Ventes[[#This Row],[Cde_Prdt]], tbl_Produits[Cde_Prdt], tbl_Produits[Coût Moyen Portion]), 0)</f>
        <v>0</v>
      </c>
      <c r="I2645" s="7">
        <f>tbl_Ventes[[#This Row],[Qté Vendue]] * tbl_Ventes[[#This Row],[CMP_par_portion]]</f>
        <v>0</v>
      </c>
      <c r="J2645" s="7">
        <f>tbl_Ventes[[#This Row],[CA ligne]] - tbl_Ventes[[#This Row],[Coût matière ligne]]</f>
        <v>0</v>
      </c>
      <c r="K2645" s="7" t="str">
        <f>IFERROR(INDEX(tbl_ProduitsRef[Famille], MATCH(tbl_Ventes[[#This Row],[Cde_Prdt]], tbl_Produits[Cde_Prdt], 0)), "")</f>
        <v/>
      </c>
    </row>
    <row r="2646" spans="1:11" x14ac:dyDescent="0.25">
      <c r="A2646" s="5"/>
      <c r="B2646" s="63" t="str">
        <f>IFERROR(TEXT(tbl_Ventes[[#This Row],[Date]],"mm-aaaa"),"")</f>
        <v>01-1900</v>
      </c>
      <c r="D2646" s="10" t="str">
        <f>IFERROR(
   INDEX(tbl_ProduitsRef[Cde_Prdt],MATCH(tbl_Ventes[[#This Row],[Produit]],tbl_ProduitsRef[Produit],0)),
   ""
)</f>
        <v/>
      </c>
      <c r="E2646" s="7">
        <v>0</v>
      </c>
      <c r="F2646" s="7" t="str">
        <f>IFERROR(
   INDEX(tbl_ProduitsRef[Prix Menu],MATCH(tbl_Ventes[[#This Row],[Produit]],tbl_ProduitsRef[Produit],0)),
   ""
)</f>
        <v/>
      </c>
      <c r="G2646" s="7">
        <f>tbl_Ventes[[#This Row],[Qté Vendue]] * IFERROR(_xlfn.XLOOKUP(tbl_Ventes[[#This Row],[Cde_Prdt]], tbl_Produits[Cde_Prdt], tbl_Produits[Prix Menu]), 0)</f>
        <v>0</v>
      </c>
      <c r="H2646" s="7">
        <f>IFERROR(_xlfn.XLOOKUP(tbl_Ventes[[#This Row],[Cde_Prdt]], tbl_Produits[Cde_Prdt], tbl_Produits[Coût Moyen Portion]), 0)</f>
        <v>0</v>
      </c>
      <c r="I2646" s="7">
        <f>tbl_Ventes[[#This Row],[Qté Vendue]] * tbl_Ventes[[#This Row],[CMP_par_portion]]</f>
        <v>0</v>
      </c>
      <c r="J2646" s="7">
        <f>tbl_Ventes[[#This Row],[CA ligne]] - tbl_Ventes[[#This Row],[Coût matière ligne]]</f>
        <v>0</v>
      </c>
      <c r="K2646" s="7" t="str">
        <f>IFERROR(INDEX(tbl_ProduitsRef[Famille], MATCH(tbl_Ventes[[#This Row],[Cde_Prdt]], tbl_Produits[Cde_Prdt], 0)), "")</f>
        <v/>
      </c>
    </row>
    <row r="2647" spans="1:11" x14ac:dyDescent="0.25">
      <c r="A2647" s="5"/>
      <c r="B2647" s="63" t="str">
        <f>IFERROR(TEXT(tbl_Ventes[[#This Row],[Date]],"mm-aaaa"),"")</f>
        <v>01-1900</v>
      </c>
      <c r="D2647" s="10" t="str">
        <f>IFERROR(
   INDEX(tbl_ProduitsRef[Cde_Prdt],MATCH(tbl_Ventes[[#This Row],[Produit]],tbl_ProduitsRef[Produit],0)),
   ""
)</f>
        <v/>
      </c>
      <c r="E2647" s="7">
        <v>0</v>
      </c>
      <c r="F2647" s="7" t="str">
        <f>IFERROR(
   INDEX(tbl_ProduitsRef[Prix Menu],MATCH(tbl_Ventes[[#This Row],[Produit]],tbl_ProduitsRef[Produit],0)),
   ""
)</f>
        <v/>
      </c>
      <c r="G2647" s="7">
        <f>tbl_Ventes[[#This Row],[Qté Vendue]] * IFERROR(_xlfn.XLOOKUP(tbl_Ventes[[#This Row],[Cde_Prdt]], tbl_Produits[Cde_Prdt], tbl_Produits[Prix Menu]), 0)</f>
        <v>0</v>
      </c>
      <c r="H2647" s="7">
        <f>IFERROR(_xlfn.XLOOKUP(tbl_Ventes[[#This Row],[Cde_Prdt]], tbl_Produits[Cde_Prdt], tbl_Produits[Coût Moyen Portion]), 0)</f>
        <v>0</v>
      </c>
      <c r="I2647" s="7">
        <f>tbl_Ventes[[#This Row],[Qté Vendue]] * tbl_Ventes[[#This Row],[CMP_par_portion]]</f>
        <v>0</v>
      </c>
      <c r="J2647" s="7">
        <f>tbl_Ventes[[#This Row],[CA ligne]] - tbl_Ventes[[#This Row],[Coût matière ligne]]</f>
        <v>0</v>
      </c>
      <c r="K2647" s="7" t="str">
        <f>IFERROR(INDEX(tbl_ProduitsRef[Famille], MATCH(tbl_Ventes[[#This Row],[Cde_Prdt]], tbl_Produits[Cde_Prdt], 0)), "")</f>
        <v/>
      </c>
    </row>
    <row r="2648" spans="1:11" x14ac:dyDescent="0.25">
      <c r="A2648" s="5"/>
      <c r="B2648" s="63" t="str">
        <f>IFERROR(TEXT(tbl_Ventes[[#This Row],[Date]],"mm-aaaa"),"")</f>
        <v>01-1900</v>
      </c>
      <c r="D2648" s="10" t="str">
        <f>IFERROR(
   INDEX(tbl_ProduitsRef[Cde_Prdt],MATCH(tbl_Ventes[[#This Row],[Produit]],tbl_ProduitsRef[Produit],0)),
   ""
)</f>
        <v/>
      </c>
      <c r="E2648" s="7">
        <v>0</v>
      </c>
      <c r="F2648" s="7" t="str">
        <f>IFERROR(
   INDEX(tbl_ProduitsRef[Prix Menu],MATCH(tbl_Ventes[[#This Row],[Produit]],tbl_ProduitsRef[Produit],0)),
   ""
)</f>
        <v/>
      </c>
      <c r="G2648" s="7">
        <f>tbl_Ventes[[#This Row],[Qté Vendue]] * IFERROR(_xlfn.XLOOKUP(tbl_Ventes[[#This Row],[Cde_Prdt]], tbl_Produits[Cde_Prdt], tbl_Produits[Prix Menu]), 0)</f>
        <v>0</v>
      </c>
      <c r="H2648" s="7">
        <f>IFERROR(_xlfn.XLOOKUP(tbl_Ventes[[#This Row],[Cde_Prdt]], tbl_Produits[Cde_Prdt], tbl_Produits[Coût Moyen Portion]), 0)</f>
        <v>0</v>
      </c>
      <c r="I2648" s="7">
        <f>tbl_Ventes[[#This Row],[Qté Vendue]] * tbl_Ventes[[#This Row],[CMP_par_portion]]</f>
        <v>0</v>
      </c>
      <c r="J2648" s="7">
        <f>tbl_Ventes[[#This Row],[CA ligne]] - tbl_Ventes[[#This Row],[Coût matière ligne]]</f>
        <v>0</v>
      </c>
      <c r="K2648" s="7" t="str">
        <f>IFERROR(INDEX(tbl_ProduitsRef[Famille], MATCH(tbl_Ventes[[#This Row],[Cde_Prdt]], tbl_Produits[Cde_Prdt], 0)), "")</f>
        <v/>
      </c>
    </row>
    <row r="2649" spans="1:11" x14ac:dyDescent="0.25">
      <c r="A2649" s="5"/>
      <c r="B2649" s="63" t="str">
        <f>IFERROR(TEXT(tbl_Ventes[[#This Row],[Date]],"mm-aaaa"),"")</f>
        <v>01-1900</v>
      </c>
      <c r="D2649" s="10" t="str">
        <f>IFERROR(
   INDEX(tbl_ProduitsRef[Cde_Prdt],MATCH(tbl_Ventes[[#This Row],[Produit]],tbl_ProduitsRef[Produit],0)),
   ""
)</f>
        <v/>
      </c>
      <c r="E2649" s="7">
        <v>0</v>
      </c>
      <c r="F2649" s="7" t="str">
        <f>IFERROR(
   INDEX(tbl_ProduitsRef[Prix Menu],MATCH(tbl_Ventes[[#This Row],[Produit]],tbl_ProduitsRef[Produit],0)),
   ""
)</f>
        <v/>
      </c>
      <c r="G2649" s="7">
        <f>tbl_Ventes[[#This Row],[Qté Vendue]] * IFERROR(_xlfn.XLOOKUP(tbl_Ventes[[#This Row],[Cde_Prdt]], tbl_Produits[Cde_Prdt], tbl_Produits[Prix Menu]), 0)</f>
        <v>0</v>
      </c>
      <c r="H2649" s="7">
        <f>IFERROR(_xlfn.XLOOKUP(tbl_Ventes[[#This Row],[Cde_Prdt]], tbl_Produits[Cde_Prdt], tbl_Produits[Coût Moyen Portion]), 0)</f>
        <v>0</v>
      </c>
      <c r="I2649" s="7">
        <f>tbl_Ventes[[#This Row],[Qté Vendue]] * tbl_Ventes[[#This Row],[CMP_par_portion]]</f>
        <v>0</v>
      </c>
      <c r="J2649" s="7">
        <f>tbl_Ventes[[#This Row],[CA ligne]] - tbl_Ventes[[#This Row],[Coût matière ligne]]</f>
        <v>0</v>
      </c>
      <c r="K2649" s="7" t="str">
        <f>IFERROR(INDEX(tbl_ProduitsRef[Famille], MATCH(tbl_Ventes[[#This Row],[Cde_Prdt]], tbl_Produits[Cde_Prdt], 0)), "")</f>
        <v/>
      </c>
    </row>
    <row r="2650" spans="1:11" x14ac:dyDescent="0.25">
      <c r="A2650" s="5"/>
      <c r="B2650" s="63" t="str">
        <f>IFERROR(TEXT(tbl_Ventes[[#This Row],[Date]],"mm-aaaa"),"")</f>
        <v>01-1900</v>
      </c>
      <c r="D2650" s="10" t="str">
        <f>IFERROR(
   INDEX(tbl_ProduitsRef[Cde_Prdt],MATCH(tbl_Ventes[[#This Row],[Produit]],tbl_ProduitsRef[Produit],0)),
   ""
)</f>
        <v/>
      </c>
      <c r="E2650" s="7">
        <v>0</v>
      </c>
      <c r="F2650" s="7" t="str">
        <f>IFERROR(
   INDEX(tbl_ProduitsRef[Prix Menu],MATCH(tbl_Ventes[[#This Row],[Produit]],tbl_ProduitsRef[Produit],0)),
   ""
)</f>
        <v/>
      </c>
      <c r="G2650" s="7">
        <f>tbl_Ventes[[#This Row],[Qté Vendue]] * IFERROR(_xlfn.XLOOKUP(tbl_Ventes[[#This Row],[Cde_Prdt]], tbl_Produits[Cde_Prdt], tbl_Produits[Prix Menu]), 0)</f>
        <v>0</v>
      </c>
      <c r="H2650" s="7">
        <f>IFERROR(_xlfn.XLOOKUP(tbl_Ventes[[#This Row],[Cde_Prdt]], tbl_Produits[Cde_Prdt], tbl_Produits[Coût Moyen Portion]), 0)</f>
        <v>0</v>
      </c>
      <c r="I2650" s="7">
        <f>tbl_Ventes[[#This Row],[Qté Vendue]] * tbl_Ventes[[#This Row],[CMP_par_portion]]</f>
        <v>0</v>
      </c>
      <c r="J2650" s="7">
        <f>tbl_Ventes[[#This Row],[CA ligne]] - tbl_Ventes[[#This Row],[Coût matière ligne]]</f>
        <v>0</v>
      </c>
      <c r="K2650" s="7" t="str">
        <f>IFERROR(INDEX(tbl_ProduitsRef[Famille], MATCH(tbl_Ventes[[#This Row],[Cde_Prdt]], tbl_Produits[Cde_Prdt], 0)), "")</f>
        <v/>
      </c>
    </row>
    <row r="2651" spans="1:11" x14ac:dyDescent="0.25">
      <c r="A2651" s="5"/>
      <c r="B2651" s="63" t="str">
        <f>IFERROR(TEXT(tbl_Ventes[[#This Row],[Date]],"mm-aaaa"),"")</f>
        <v>01-1900</v>
      </c>
      <c r="D2651" s="10" t="str">
        <f>IFERROR(
   INDEX(tbl_ProduitsRef[Cde_Prdt],MATCH(tbl_Ventes[[#This Row],[Produit]],tbl_ProduitsRef[Produit],0)),
   ""
)</f>
        <v/>
      </c>
      <c r="E2651" s="7">
        <v>0</v>
      </c>
      <c r="F2651" s="7" t="str">
        <f>IFERROR(
   INDEX(tbl_ProduitsRef[Prix Menu],MATCH(tbl_Ventes[[#This Row],[Produit]],tbl_ProduitsRef[Produit],0)),
   ""
)</f>
        <v/>
      </c>
      <c r="G2651" s="7">
        <f>tbl_Ventes[[#This Row],[Qté Vendue]] * IFERROR(_xlfn.XLOOKUP(tbl_Ventes[[#This Row],[Cde_Prdt]], tbl_Produits[Cde_Prdt], tbl_Produits[Prix Menu]), 0)</f>
        <v>0</v>
      </c>
      <c r="H2651" s="7">
        <f>IFERROR(_xlfn.XLOOKUP(tbl_Ventes[[#This Row],[Cde_Prdt]], tbl_Produits[Cde_Prdt], tbl_Produits[Coût Moyen Portion]), 0)</f>
        <v>0</v>
      </c>
      <c r="I2651" s="7">
        <f>tbl_Ventes[[#This Row],[Qté Vendue]] * tbl_Ventes[[#This Row],[CMP_par_portion]]</f>
        <v>0</v>
      </c>
      <c r="J2651" s="7">
        <f>tbl_Ventes[[#This Row],[CA ligne]] - tbl_Ventes[[#This Row],[Coût matière ligne]]</f>
        <v>0</v>
      </c>
      <c r="K2651" s="7" t="str">
        <f>IFERROR(INDEX(tbl_ProduitsRef[Famille], MATCH(tbl_Ventes[[#This Row],[Cde_Prdt]], tbl_Produits[Cde_Prdt], 0)), "")</f>
        <v/>
      </c>
    </row>
    <row r="2652" spans="1:11" x14ac:dyDescent="0.25">
      <c r="A2652" s="5"/>
      <c r="B2652" s="63" t="str">
        <f>IFERROR(TEXT(tbl_Ventes[[#This Row],[Date]],"mm-aaaa"),"")</f>
        <v>01-1900</v>
      </c>
      <c r="D2652" s="10" t="str">
        <f>IFERROR(
   INDEX(tbl_ProduitsRef[Cde_Prdt],MATCH(tbl_Ventes[[#This Row],[Produit]],tbl_ProduitsRef[Produit],0)),
   ""
)</f>
        <v/>
      </c>
      <c r="E2652" s="7">
        <v>0</v>
      </c>
      <c r="F2652" s="7" t="str">
        <f>IFERROR(
   INDEX(tbl_ProduitsRef[Prix Menu],MATCH(tbl_Ventes[[#This Row],[Produit]],tbl_ProduitsRef[Produit],0)),
   ""
)</f>
        <v/>
      </c>
      <c r="G2652" s="7">
        <f>tbl_Ventes[[#This Row],[Qté Vendue]] * IFERROR(_xlfn.XLOOKUP(tbl_Ventes[[#This Row],[Cde_Prdt]], tbl_Produits[Cde_Prdt], tbl_Produits[Prix Menu]), 0)</f>
        <v>0</v>
      </c>
      <c r="H2652" s="7">
        <f>IFERROR(_xlfn.XLOOKUP(tbl_Ventes[[#This Row],[Cde_Prdt]], tbl_Produits[Cde_Prdt], tbl_Produits[Coût Moyen Portion]), 0)</f>
        <v>0</v>
      </c>
      <c r="I2652" s="7">
        <f>tbl_Ventes[[#This Row],[Qté Vendue]] * tbl_Ventes[[#This Row],[CMP_par_portion]]</f>
        <v>0</v>
      </c>
      <c r="J2652" s="7">
        <f>tbl_Ventes[[#This Row],[CA ligne]] - tbl_Ventes[[#This Row],[Coût matière ligne]]</f>
        <v>0</v>
      </c>
      <c r="K2652" s="7" t="str">
        <f>IFERROR(INDEX(tbl_ProduitsRef[Famille], MATCH(tbl_Ventes[[#This Row],[Cde_Prdt]], tbl_Produits[Cde_Prdt], 0)), "")</f>
        <v/>
      </c>
    </row>
    <row r="2653" spans="1:11" x14ac:dyDescent="0.25">
      <c r="A2653" s="5"/>
      <c r="B2653" s="63" t="str">
        <f>IFERROR(TEXT(tbl_Ventes[[#This Row],[Date]],"mm-aaaa"),"")</f>
        <v>01-1900</v>
      </c>
      <c r="D2653" s="10" t="str">
        <f>IFERROR(
   INDEX(tbl_ProduitsRef[Cde_Prdt],MATCH(tbl_Ventes[[#This Row],[Produit]],tbl_ProduitsRef[Produit],0)),
   ""
)</f>
        <v/>
      </c>
      <c r="E2653" s="7">
        <v>0</v>
      </c>
      <c r="F2653" s="7" t="str">
        <f>IFERROR(
   INDEX(tbl_ProduitsRef[Prix Menu],MATCH(tbl_Ventes[[#This Row],[Produit]],tbl_ProduitsRef[Produit],0)),
   ""
)</f>
        <v/>
      </c>
      <c r="G2653" s="7">
        <f>tbl_Ventes[[#This Row],[Qté Vendue]] * IFERROR(_xlfn.XLOOKUP(tbl_Ventes[[#This Row],[Cde_Prdt]], tbl_Produits[Cde_Prdt], tbl_Produits[Prix Menu]), 0)</f>
        <v>0</v>
      </c>
      <c r="H2653" s="7">
        <f>IFERROR(_xlfn.XLOOKUP(tbl_Ventes[[#This Row],[Cde_Prdt]], tbl_Produits[Cde_Prdt], tbl_Produits[Coût Moyen Portion]), 0)</f>
        <v>0</v>
      </c>
      <c r="I2653" s="7">
        <f>tbl_Ventes[[#This Row],[Qté Vendue]] * tbl_Ventes[[#This Row],[CMP_par_portion]]</f>
        <v>0</v>
      </c>
      <c r="J2653" s="7">
        <f>tbl_Ventes[[#This Row],[CA ligne]] - tbl_Ventes[[#This Row],[Coût matière ligne]]</f>
        <v>0</v>
      </c>
      <c r="K2653" s="7" t="str">
        <f>IFERROR(INDEX(tbl_ProduitsRef[Famille], MATCH(tbl_Ventes[[#This Row],[Cde_Prdt]], tbl_Produits[Cde_Prdt], 0)), "")</f>
        <v/>
      </c>
    </row>
    <row r="2654" spans="1:11" x14ac:dyDescent="0.25">
      <c r="A2654" s="5"/>
      <c r="B2654" s="63" t="str">
        <f>IFERROR(TEXT(tbl_Ventes[[#This Row],[Date]],"mm-aaaa"),"")</f>
        <v>01-1900</v>
      </c>
      <c r="D2654" s="10" t="str">
        <f>IFERROR(
   INDEX(tbl_ProduitsRef[Cde_Prdt],MATCH(tbl_Ventes[[#This Row],[Produit]],tbl_ProduitsRef[Produit],0)),
   ""
)</f>
        <v/>
      </c>
      <c r="E2654" s="7">
        <v>0</v>
      </c>
      <c r="F2654" s="7" t="str">
        <f>IFERROR(
   INDEX(tbl_ProduitsRef[Prix Menu],MATCH(tbl_Ventes[[#This Row],[Produit]],tbl_ProduitsRef[Produit],0)),
   ""
)</f>
        <v/>
      </c>
      <c r="G2654" s="7">
        <f>tbl_Ventes[[#This Row],[Qté Vendue]] * IFERROR(_xlfn.XLOOKUP(tbl_Ventes[[#This Row],[Cde_Prdt]], tbl_Produits[Cde_Prdt], tbl_Produits[Prix Menu]), 0)</f>
        <v>0</v>
      </c>
      <c r="H2654" s="7">
        <f>IFERROR(_xlfn.XLOOKUP(tbl_Ventes[[#This Row],[Cde_Prdt]], tbl_Produits[Cde_Prdt], tbl_Produits[Coût Moyen Portion]), 0)</f>
        <v>0</v>
      </c>
      <c r="I2654" s="7">
        <f>tbl_Ventes[[#This Row],[Qté Vendue]] * tbl_Ventes[[#This Row],[CMP_par_portion]]</f>
        <v>0</v>
      </c>
      <c r="J2654" s="7">
        <f>tbl_Ventes[[#This Row],[CA ligne]] - tbl_Ventes[[#This Row],[Coût matière ligne]]</f>
        <v>0</v>
      </c>
      <c r="K2654" s="7" t="str">
        <f>IFERROR(INDEX(tbl_ProduitsRef[Famille], MATCH(tbl_Ventes[[#This Row],[Cde_Prdt]], tbl_Produits[Cde_Prdt], 0)), "")</f>
        <v/>
      </c>
    </row>
    <row r="2655" spans="1:11" x14ac:dyDescent="0.25">
      <c r="A2655" s="5"/>
      <c r="B2655" s="63" t="str">
        <f>IFERROR(TEXT(tbl_Ventes[[#This Row],[Date]],"mm-aaaa"),"")</f>
        <v>01-1900</v>
      </c>
      <c r="D2655" s="10" t="str">
        <f>IFERROR(
   INDEX(tbl_ProduitsRef[Cde_Prdt],MATCH(tbl_Ventes[[#This Row],[Produit]],tbl_ProduitsRef[Produit],0)),
   ""
)</f>
        <v/>
      </c>
      <c r="E2655" s="7">
        <v>0</v>
      </c>
      <c r="F2655" s="7" t="str">
        <f>IFERROR(
   INDEX(tbl_ProduitsRef[Prix Menu],MATCH(tbl_Ventes[[#This Row],[Produit]],tbl_ProduitsRef[Produit],0)),
   ""
)</f>
        <v/>
      </c>
      <c r="G2655" s="7">
        <f>tbl_Ventes[[#This Row],[Qté Vendue]] * IFERROR(_xlfn.XLOOKUP(tbl_Ventes[[#This Row],[Cde_Prdt]], tbl_Produits[Cde_Prdt], tbl_Produits[Prix Menu]), 0)</f>
        <v>0</v>
      </c>
      <c r="H2655" s="7">
        <f>IFERROR(_xlfn.XLOOKUP(tbl_Ventes[[#This Row],[Cde_Prdt]], tbl_Produits[Cde_Prdt], tbl_Produits[Coût Moyen Portion]), 0)</f>
        <v>0</v>
      </c>
      <c r="I2655" s="7">
        <f>tbl_Ventes[[#This Row],[Qté Vendue]] * tbl_Ventes[[#This Row],[CMP_par_portion]]</f>
        <v>0</v>
      </c>
      <c r="J2655" s="7">
        <f>tbl_Ventes[[#This Row],[CA ligne]] - tbl_Ventes[[#This Row],[Coût matière ligne]]</f>
        <v>0</v>
      </c>
      <c r="K2655" s="7" t="str">
        <f>IFERROR(INDEX(tbl_ProduitsRef[Famille], MATCH(tbl_Ventes[[#This Row],[Cde_Prdt]], tbl_Produits[Cde_Prdt], 0)), "")</f>
        <v/>
      </c>
    </row>
    <row r="2656" spans="1:11" x14ac:dyDescent="0.25">
      <c r="A2656" s="5"/>
      <c r="B2656" s="63" t="str">
        <f>IFERROR(TEXT(tbl_Ventes[[#This Row],[Date]],"mm-aaaa"),"")</f>
        <v>01-1900</v>
      </c>
      <c r="D2656" s="10" t="str">
        <f>IFERROR(
   INDEX(tbl_ProduitsRef[Cde_Prdt],MATCH(tbl_Ventes[[#This Row],[Produit]],tbl_ProduitsRef[Produit],0)),
   ""
)</f>
        <v/>
      </c>
      <c r="E2656" s="7">
        <v>0</v>
      </c>
      <c r="F2656" s="7" t="str">
        <f>IFERROR(
   INDEX(tbl_ProduitsRef[Prix Menu],MATCH(tbl_Ventes[[#This Row],[Produit]],tbl_ProduitsRef[Produit],0)),
   ""
)</f>
        <v/>
      </c>
      <c r="G2656" s="7">
        <f>tbl_Ventes[[#This Row],[Qté Vendue]] * IFERROR(_xlfn.XLOOKUP(tbl_Ventes[[#This Row],[Cde_Prdt]], tbl_Produits[Cde_Prdt], tbl_Produits[Prix Menu]), 0)</f>
        <v>0</v>
      </c>
      <c r="H2656" s="7">
        <f>IFERROR(_xlfn.XLOOKUP(tbl_Ventes[[#This Row],[Cde_Prdt]], tbl_Produits[Cde_Prdt], tbl_Produits[Coût Moyen Portion]), 0)</f>
        <v>0</v>
      </c>
      <c r="I2656" s="7">
        <f>tbl_Ventes[[#This Row],[Qté Vendue]] * tbl_Ventes[[#This Row],[CMP_par_portion]]</f>
        <v>0</v>
      </c>
      <c r="J2656" s="7">
        <f>tbl_Ventes[[#This Row],[CA ligne]] - tbl_Ventes[[#This Row],[Coût matière ligne]]</f>
        <v>0</v>
      </c>
      <c r="K2656" s="7" t="str">
        <f>IFERROR(INDEX(tbl_ProduitsRef[Famille], MATCH(tbl_Ventes[[#This Row],[Cde_Prdt]], tbl_Produits[Cde_Prdt], 0)), "")</f>
        <v/>
      </c>
    </row>
    <row r="2657" spans="1:11" x14ac:dyDescent="0.25">
      <c r="A2657" s="5"/>
      <c r="B2657" s="63" t="str">
        <f>IFERROR(TEXT(tbl_Ventes[[#This Row],[Date]],"mm-aaaa"),"")</f>
        <v>01-1900</v>
      </c>
      <c r="D2657" s="10" t="str">
        <f>IFERROR(
   INDEX(tbl_ProduitsRef[Cde_Prdt],MATCH(tbl_Ventes[[#This Row],[Produit]],tbl_ProduitsRef[Produit],0)),
   ""
)</f>
        <v/>
      </c>
      <c r="E2657" s="7">
        <v>0</v>
      </c>
      <c r="F2657" s="7" t="str">
        <f>IFERROR(
   INDEX(tbl_ProduitsRef[Prix Menu],MATCH(tbl_Ventes[[#This Row],[Produit]],tbl_ProduitsRef[Produit],0)),
   ""
)</f>
        <v/>
      </c>
      <c r="G2657" s="7">
        <f>tbl_Ventes[[#This Row],[Qté Vendue]] * IFERROR(_xlfn.XLOOKUP(tbl_Ventes[[#This Row],[Cde_Prdt]], tbl_Produits[Cde_Prdt], tbl_Produits[Prix Menu]), 0)</f>
        <v>0</v>
      </c>
      <c r="H2657" s="7">
        <f>IFERROR(_xlfn.XLOOKUP(tbl_Ventes[[#This Row],[Cde_Prdt]], tbl_Produits[Cde_Prdt], tbl_Produits[Coût Moyen Portion]), 0)</f>
        <v>0</v>
      </c>
      <c r="I2657" s="7">
        <f>tbl_Ventes[[#This Row],[Qté Vendue]] * tbl_Ventes[[#This Row],[CMP_par_portion]]</f>
        <v>0</v>
      </c>
      <c r="J2657" s="7">
        <f>tbl_Ventes[[#This Row],[CA ligne]] - tbl_Ventes[[#This Row],[Coût matière ligne]]</f>
        <v>0</v>
      </c>
      <c r="K2657" s="7" t="str">
        <f>IFERROR(INDEX(tbl_ProduitsRef[Famille], MATCH(tbl_Ventes[[#This Row],[Cde_Prdt]], tbl_Produits[Cde_Prdt], 0)), "")</f>
        <v/>
      </c>
    </row>
    <row r="2658" spans="1:11" x14ac:dyDescent="0.25">
      <c r="A2658" s="5"/>
      <c r="B2658" s="63" t="str">
        <f>IFERROR(TEXT(tbl_Ventes[[#This Row],[Date]],"mm-aaaa"),"")</f>
        <v>01-1900</v>
      </c>
      <c r="D2658" s="10" t="str">
        <f>IFERROR(
   INDEX(tbl_ProduitsRef[Cde_Prdt],MATCH(tbl_Ventes[[#This Row],[Produit]],tbl_ProduitsRef[Produit],0)),
   ""
)</f>
        <v/>
      </c>
      <c r="E2658" s="7">
        <v>0</v>
      </c>
      <c r="F2658" s="7" t="str">
        <f>IFERROR(
   INDEX(tbl_ProduitsRef[Prix Menu],MATCH(tbl_Ventes[[#This Row],[Produit]],tbl_ProduitsRef[Produit],0)),
   ""
)</f>
        <v/>
      </c>
      <c r="G2658" s="7">
        <f>tbl_Ventes[[#This Row],[Qté Vendue]] * IFERROR(_xlfn.XLOOKUP(tbl_Ventes[[#This Row],[Cde_Prdt]], tbl_Produits[Cde_Prdt], tbl_Produits[Prix Menu]), 0)</f>
        <v>0</v>
      </c>
      <c r="H2658" s="7">
        <f>IFERROR(_xlfn.XLOOKUP(tbl_Ventes[[#This Row],[Cde_Prdt]], tbl_Produits[Cde_Prdt], tbl_Produits[Coût Moyen Portion]), 0)</f>
        <v>0</v>
      </c>
      <c r="I2658" s="7">
        <f>tbl_Ventes[[#This Row],[Qté Vendue]] * tbl_Ventes[[#This Row],[CMP_par_portion]]</f>
        <v>0</v>
      </c>
      <c r="J2658" s="7">
        <f>tbl_Ventes[[#This Row],[CA ligne]] - tbl_Ventes[[#This Row],[Coût matière ligne]]</f>
        <v>0</v>
      </c>
      <c r="K2658" s="7" t="str">
        <f>IFERROR(INDEX(tbl_ProduitsRef[Famille], MATCH(tbl_Ventes[[#This Row],[Cde_Prdt]], tbl_Produits[Cde_Prdt], 0)), "")</f>
        <v/>
      </c>
    </row>
    <row r="2659" spans="1:11" x14ac:dyDescent="0.25">
      <c r="A2659" s="5"/>
      <c r="B2659" s="63" t="str">
        <f>IFERROR(TEXT(tbl_Ventes[[#This Row],[Date]],"mm-aaaa"),"")</f>
        <v>01-1900</v>
      </c>
      <c r="D2659" s="10" t="str">
        <f>IFERROR(
   INDEX(tbl_ProduitsRef[Cde_Prdt],MATCH(tbl_Ventes[[#This Row],[Produit]],tbl_ProduitsRef[Produit],0)),
   ""
)</f>
        <v/>
      </c>
      <c r="E2659" s="7">
        <v>0</v>
      </c>
      <c r="F2659" s="7" t="str">
        <f>IFERROR(
   INDEX(tbl_ProduitsRef[Prix Menu],MATCH(tbl_Ventes[[#This Row],[Produit]],tbl_ProduitsRef[Produit],0)),
   ""
)</f>
        <v/>
      </c>
      <c r="G2659" s="7">
        <f>tbl_Ventes[[#This Row],[Qté Vendue]] * IFERROR(_xlfn.XLOOKUP(tbl_Ventes[[#This Row],[Cde_Prdt]], tbl_Produits[Cde_Prdt], tbl_Produits[Prix Menu]), 0)</f>
        <v>0</v>
      </c>
      <c r="H2659" s="7">
        <f>IFERROR(_xlfn.XLOOKUP(tbl_Ventes[[#This Row],[Cde_Prdt]], tbl_Produits[Cde_Prdt], tbl_Produits[Coût Moyen Portion]), 0)</f>
        <v>0</v>
      </c>
      <c r="I2659" s="7">
        <f>tbl_Ventes[[#This Row],[Qté Vendue]] * tbl_Ventes[[#This Row],[CMP_par_portion]]</f>
        <v>0</v>
      </c>
      <c r="J2659" s="7">
        <f>tbl_Ventes[[#This Row],[CA ligne]] - tbl_Ventes[[#This Row],[Coût matière ligne]]</f>
        <v>0</v>
      </c>
      <c r="K2659" s="7" t="str">
        <f>IFERROR(INDEX(tbl_ProduitsRef[Famille], MATCH(tbl_Ventes[[#This Row],[Cde_Prdt]], tbl_Produits[Cde_Prdt], 0)), "")</f>
        <v/>
      </c>
    </row>
    <row r="2660" spans="1:11" x14ac:dyDescent="0.25">
      <c r="A2660" s="5"/>
      <c r="B2660" s="63" t="str">
        <f>IFERROR(TEXT(tbl_Ventes[[#This Row],[Date]],"mm-aaaa"),"")</f>
        <v>01-1900</v>
      </c>
      <c r="D2660" s="10" t="str">
        <f>IFERROR(
   INDEX(tbl_ProduitsRef[Cde_Prdt],MATCH(tbl_Ventes[[#This Row],[Produit]],tbl_ProduitsRef[Produit],0)),
   ""
)</f>
        <v/>
      </c>
      <c r="E2660" s="7">
        <v>0</v>
      </c>
      <c r="F2660" s="7" t="str">
        <f>IFERROR(
   INDEX(tbl_ProduitsRef[Prix Menu],MATCH(tbl_Ventes[[#This Row],[Produit]],tbl_ProduitsRef[Produit],0)),
   ""
)</f>
        <v/>
      </c>
      <c r="G2660" s="7">
        <f>tbl_Ventes[[#This Row],[Qté Vendue]] * IFERROR(_xlfn.XLOOKUP(tbl_Ventes[[#This Row],[Cde_Prdt]], tbl_Produits[Cde_Prdt], tbl_Produits[Prix Menu]), 0)</f>
        <v>0</v>
      </c>
      <c r="H2660" s="7">
        <f>IFERROR(_xlfn.XLOOKUP(tbl_Ventes[[#This Row],[Cde_Prdt]], tbl_Produits[Cde_Prdt], tbl_Produits[Coût Moyen Portion]), 0)</f>
        <v>0</v>
      </c>
      <c r="I2660" s="7">
        <f>tbl_Ventes[[#This Row],[Qté Vendue]] * tbl_Ventes[[#This Row],[CMP_par_portion]]</f>
        <v>0</v>
      </c>
      <c r="J2660" s="7">
        <f>tbl_Ventes[[#This Row],[CA ligne]] - tbl_Ventes[[#This Row],[Coût matière ligne]]</f>
        <v>0</v>
      </c>
      <c r="K2660" s="7" t="str">
        <f>IFERROR(INDEX(tbl_ProduitsRef[Famille], MATCH(tbl_Ventes[[#This Row],[Cde_Prdt]], tbl_Produits[Cde_Prdt], 0)), "")</f>
        <v/>
      </c>
    </row>
    <row r="2661" spans="1:11" x14ac:dyDescent="0.25">
      <c r="A2661" s="5"/>
      <c r="B2661" s="63" t="str">
        <f>IFERROR(TEXT(tbl_Ventes[[#This Row],[Date]],"mm-aaaa"),"")</f>
        <v>01-1900</v>
      </c>
      <c r="D2661" s="10" t="str">
        <f>IFERROR(
   INDEX(tbl_ProduitsRef[Cde_Prdt],MATCH(tbl_Ventes[[#This Row],[Produit]],tbl_ProduitsRef[Produit],0)),
   ""
)</f>
        <v/>
      </c>
      <c r="E2661" s="7">
        <v>0</v>
      </c>
      <c r="F2661" s="7" t="str">
        <f>IFERROR(
   INDEX(tbl_ProduitsRef[Prix Menu],MATCH(tbl_Ventes[[#This Row],[Produit]],tbl_ProduitsRef[Produit],0)),
   ""
)</f>
        <v/>
      </c>
      <c r="G2661" s="7">
        <f>tbl_Ventes[[#This Row],[Qté Vendue]] * IFERROR(_xlfn.XLOOKUP(tbl_Ventes[[#This Row],[Cde_Prdt]], tbl_Produits[Cde_Prdt], tbl_Produits[Prix Menu]), 0)</f>
        <v>0</v>
      </c>
      <c r="H2661" s="7">
        <f>IFERROR(_xlfn.XLOOKUP(tbl_Ventes[[#This Row],[Cde_Prdt]], tbl_Produits[Cde_Prdt], tbl_Produits[Coût Moyen Portion]), 0)</f>
        <v>0</v>
      </c>
      <c r="I2661" s="7">
        <f>tbl_Ventes[[#This Row],[Qté Vendue]] * tbl_Ventes[[#This Row],[CMP_par_portion]]</f>
        <v>0</v>
      </c>
      <c r="J2661" s="7">
        <f>tbl_Ventes[[#This Row],[CA ligne]] - tbl_Ventes[[#This Row],[Coût matière ligne]]</f>
        <v>0</v>
      </c>
      <c r="K2661" s="7" t="str">
        <f>IFERROR(INDEX(tbl_ProduitsRef[Famille], MATCH(tbl_Ventes[[#This Row],[Cde_Prdt]], tbl_Produits[Cde_Prdt], 0)), "")</f>
        <v/>
      </c>
    </row>
    <row r="2662" spans="1:11" x14ac:dyDescent="0.25">
      <c r="A2662" s="5"/>
      <c r="B2662" s="63" t="str">
        <f>IFERROR(TEXT(tbl_Ventes[[#This Row],[Date]],"mm-aaaa"),"")</f>
        <v>01-1900</v>
      </c>
      <c r="D2662" s="10" t="str">
        <f>IFERROR(
   INDEX(tbl_ProduitsRef[Cde_Prdt],MATCH(tbl_Ventes[[#This Row],[Produit]],tbl_ProduitsRef[Produit],0)),
   ""
)</f>
        <v/>
      </c>
      <c r="E2662" s="7">
        <v>0</v>
      </c>
      <c r="F2662" s="7" t="str">
        <f>IFERROR(
   INDEX(tbl_ProduitsRef[Prix Menu],MATCH(tbl_Ventes[[#This Row],[Produit]],tbl_ProduitsRef[Produit],0)),
   ""
)</f>
        <v/>
      </c>
      <c r="G2662" s="7">
        <f>tbl_Ventes[[#This Row],[Qté Vendue]] * IFERROR(_xlfn.XLOOKUP(tbl_Ventes[[#This Row],[Cde_Prdt]], tbl_Produits[Cde_Prdt], tbl_Produits[Prix Menu]), 0)</f>
        <v>0</v>
      </c>
      <c r="H2662" s="7">
        <f>IFERROR(_xlfn.XLOOKUP(tbl_Ventes[[#This Row],[Cde_Prdt]], tbl_Produits[Cde_Prdt], tbl_Produits[Coût Moyen Portion]), 0)</f>
        <v>0</v>
      </c>
      <c r="I2662" s="7">
        <f>tbl_Ventes[[#This Row],[Qté Vendue]] * tbl_Ventes[[#This Row],[CMP_par_portion]]</f>
        <v>0</v>
      </c>
      <c r="J2662" s="7">
        <f>tbl_Ventes[[#This Row],[CA ligne]] - tbl_Ventes[[#This Row],[Coût matière ligne]]</f>
        <v>0</v>
      </c>
      <c r="K2662" s="7" t="str">
        <f>IFERROR(INDEX(tbl_ProduitsRef[Famille], MATCH(tbl_Ventes[[#This Row],[Cde_Prdt]], tbl_Produits[Cde_Prdt], 0)), "")</f>
        <v/>
      </c>
    </row>
    <row r="2663" spans="1:11" x14ac:dyDescent="0.25">
      <c r="A2663" s="5"/>
      <c r="B2663" s="63" t="str">
        <f>IFERROR(TEXT(tbl_Ventes[[#This Row],[Date]],"mm-aaaa"),"")</f>
        <v>01-1900</v>
      </c>
      <c r="D2663" s="10" t="str">
        <f>IFERROR(
   INDEX(tbl_ProduitsRef[Cde_Prdt],MATCH(tbl_Ventes[[#This Row],[Produit]],tbl_ProduitsRef[Produit],0)),
   ""
)</f>
        <v/>
      </c>
      <c r="E2663" s="7">
        <v>0</v>
      </c>
      <c r="F2663" s="7" t="str">
        <f>IFERROR(
   INDEX(tbl_ProduitsRef[Prix Menu],MATCH(tbl_Ventes[[#This Row],[Produit]],tbl_ProduitsRef[Produit],0)),
   ""
)</f>
        <v/>
      </c>
      <c r="G2663" s="7">
        <f>tbl_Ventes[[#This Row],[Qté Vendue]] * IFERROR(_xlfn.XLOOKUP(tbl_Ventes[[#This Row],[Cde_Prdt]], tbl_Produits[Cde_Prdt], tbl_Produits[Prix Menu]), 0)</f>
        <v>0</v>
      </c>
      <c r="H2663" s="7">
        <f>IFERROR(_xlfn.XLOOKUP(tbl_Ventes[[#This Row],[Cde_Prdt]], tbl_Produits[Cde_Prdt], tbl_Produits[Coût Moyen Portion]), 0)</f>
        <v>0</v>
      </c>
      <c r="I2663" s="7">
        <f>tbl_Ventes[[#This Row],[Qté Vendue]] * tbl_Ventes[[#This Row],[CMP_par_portion]]</f>
        <v>0</v>
      </c>
      <c r="J2663" s="7">
        <f>tbl_Ventes[[#This Row],[CA ligne]] - tbl_Ventes[[#This Row],[Coût matière ligne]]</f>
        <v>0</v>
      </c>
      <c r="K2663" s="7" t="str">
        <f>IFERROR(INDEX(tbl_ProduitsRef[Famille], MATCH(tbl_Ventes[[#This Row],[Cde_Prdt]], tbl_Produits[Cde_Prdt], 0)), "")</f>
        <v/>
      </c>
    </row>
    <row r="2664" spans="1:11" x14ac:dyDescent="0.25">
      <c r="A2664" s="5"/>
      <c r="B2664" s="63" t="str">
        <f>IFERROR(TEXT(tbl_Ventes[[#This Row],[Date]],"mm-aaaa"),"")</f>
        <v>01-1900</v>
      </c>
      <c r="D2664" s="10" t="str">
        <f>IFERROR(
   INDEX(tbl_ProduitsRef[Cde_Prdt],MATCH(tbl_Ventes[[#This Row],[Produit]],tbl_ProduitsRef[Produit],0)),
   ""
)</f>
        <v/>
      </c>
      <c r="E2664" s="7">
        <v>0</v>
      </c>
      <c r="F2664" s="7" t="str">
        <f>IFERROR(
   INDEX(tbl_ProduitsRef[Prix Menu],MATCH(tbl_Ventes[[#This Row],[Produit]],tbl_ProduitsRef[Produit],0)),
   ""
)</f>
        <v/>
      </c>
      <c r="G2664" s="7">
        <f>tbl_Ventes[[#This Row],[Qté Vendue]] * IFERROR(_xlfn.XLOOKUP(tbl_Ventes[[#This Row],[Cde_Prdt]], tbl_Produits[Cde_Prdt], tbl_Produits[Prix Menu]), 0)</f>
        <v>0</v>
      </c>
      <c r="H2664" s="7">
        <f>IFERROR(_xlfn.XLOOKUP(tbl_Ventes[[#This Row],[Cde_Prdt]], tbl_Produits[Cde_Prdt], tbl_Produits[Coût Moyen Portion]), 0)</f>
        <v>0</v>
      </c>
      <c r="I2664" s="7">
        <f>tbl_Ventes[[#This Row],[Qté Vendue]] * tbl_Ventes[[#This Row],[CMP_par_portion]]</f>
        <v>0</v>
      </c>
      <c r="J2664" s="7">
        <f>tbl_Ventes[[#This Row],[CA ligne]] - tbl_Ventes[[#This Row],[Coût matière ligne]]</f>
        <v>0</v>
      </c>
      <c r="K2664" s="7" t="str">
        <f>IFERROR(INDEX(tbl_ProduitsRef[Famille], MATCH(tbl_Ventes[[#This Row],[Cde_Prdt]], tbl_Produits[Cde_Prdt], 0)), "")</f>
        <v/>
      </c>
    </row>
    <row r="2665" spans="1:11" x14ac:dyDescent="0.25">
      <c r="A2665" s="5"/>
      <c r="B2665" s="63" t="str">
        <f>IFERROR(TEXT(tbl_Ventes[[#This Row],[Date]],"mm-aaaa"),"")</f>
        <v>01-1900</v>
      </c>
      <c r="D2665" s="10" t="str">
        <f>IFERROR(
   INDEX(tbl_ProduitsRef[Cde_Prdt],MATCH(tbl_Ventes[[#This Row],[Produit]],tbl_ProduitsRef[Produit],0)),
   ""
)</f>
        <v/>
      </c>
      <c r="E2665" s="7">
        <v>0</v>
      </c>
      <c r="F2665" s="7" t="str">
        <f>IFERROR(
   INDEX(tbl_ProduitsRef[Prix Menu],MATCH(tbl_Ventes[[#This Row],[Produit]],tbl_ProduitsRef[Produit],0)),
   ""
)</f>
        <v/>
      </c>
      <c r="G2665" s="7">
        <f>tbl_Ventes[[#This Row],[Qté Vendue]] * IFERROR(_xlfn.XLOOKUP(tbl_Ventes[[#This Row],[Cde_Prdt]], tbl_Produits[Cde_Prdt], tbl_Produits[Prix Menu]), 0)</f>
        <v>0</v>
      </c>
      <c r="H2665" s="7">
        <f>IFERROR(_xlfn.XLOOKUP(tbl_Ventes[[#This Row],[Cde_Prdt]], tbl_Produits[Cde_Prdt], tbl_Produits[Coût Moyen Portion]), 0)</f>
        <v>0</v>
      </c>
      <c r="I2665" s="7">
        <f>tbl_Ventes[[#This Row],[Qté Vendue]] * tbl_Ventes[[#This Row],[CMP_par_portion]]</f>
        <v>0</v>
      </c>
      <c r="J2665" s="7">
        <f>tbl_Ventes[[#This Row],[CA ligne]] - tbl_Ventes[[#This Row],[Coût matière ligne]]</f>
        <v>0</v>
      </c>
      <c r="K2665" s="7" t="str">
        <f>IFERROR(INDEX(tbl_ProduitsRef[Famille], MATCH(tbl_Ventes[[#This Row],[Cde_Prdt]], tbl_Produits[Cde_Prdt], 0)), "")</f>
        <v/>
      </c>
    </row>
    <row r="2666" spans="1:11" x14ac:dyDescent="0.25">
      <c r="A2666" s="5"/>
      <c r="B2666" s="63" t="str">
        <f>IFERROR(TEXT(tbl_Ventes[[#This Row],[Date]],"mm-aaaa"),"")</f>
        <v>01-1900</v>
      </c>
      <c r="D2666" s="10" t="str">
        <f>IFERROR(
   INDEX(tbl_ProduitsRef[Cde_Prdt],MATCH(tbl_Ventes[[#This Row],[Produit]],tbl_ProduitsRef[Produit],0)),
   ""
)</f>
        <v/>
      </c>
      <c r="E2666" s="7">
        <v>0</v>
      </c>
      <c r="F2666" s="7" t="str">
        <f>IFERROR(
   INDEX(tbl_ProduitsRef[Prix Menu],MATCH(tbl_Ventes[[#This Row],[Produit]],tbl_ProduitsRef[Produit],0)),
   ""
)</f>
        <v/>
      </c>
      <c r="G2666" s="7">
        <f>tbl_Ventes[[#This Row],[Qté Vendue]] * IFERROR(_xlfn.XLOOKUP(tbl_Ventes[[#This Row],[Cde_Prdt]], tbl_Produits[Cde_Prdt], tbl_Produits[Prix Menu]), 0)</f>
        <v>0</v>
      </c>
      <c r="H2666" s="7">
        <f>IFERROR(_xlfn.XLOOKUP(tbl_Ventes[[#This Row],[Cde_Prdt]], tbl_Produits[Cde_Prdt], tbl_Produits[Coût Moyen Portion]), 0)</f>
        <v>0</v>
      </c>
      <c r="I2666" s="7">
        <f>tbl_Ventes[[#This Row],[Qté Vendue]] * tbl_Ventes[[#This Row],[CMP_par_portion]]</f>
        <v>0</v>
      </c>
      <c r="J2666" s="7">
        <f>tbl_Ventes[[#This Row],[CA ligne]] - tbl_Ventes[[#This Row],[Coût matière ligne]]</f>
        <v>0</v>
      </c>
      <c r="K2666" s="7" t="str">
        <f>IFERROR(INDEX(tbl_ProduitsRef[Famille], MATCH(tbl_Ventes[[#This Row],[Cde_Prdt]], tbl_Produits[Cde_Prdt], 0)), "")</f>
        <v/>
      </c>
    </row>
    <row r="2667" spans="1:11" x14ac:dyDescent="0.25">
      <c r="A2667" s="5"/>
      <c r="B2667" s="63" t="str">
        <f>IFERROR(TEXT(tbl_Ventes[[#This Row],[Date]],"mm-aaaa"),"")</f>
        <v>01-1900</v>
      </c>
      <c r="D2667" s="10" t="str">
        <f>IFERROR(
   INDEX(tbl_ProduitsRef[Cde_Prdt],MATCH(tbl_Ventes[[#This Row],[Produit]],tbl_ProduitsRef[Produit],0)),
   ""
)</f>
        <v/>
      </c>
      <c r="E2667" s="7">
        <v>0</v>
      </c>
      <c r="F2667" s="7" t="str">
        <f>IFERROR(
   INDEX(tbl_ProduitsRef[Prix Menu],MATCH(tbl_Ventes[[#This Row],[Produit]],tbl_ProduitsRef[Produit],0)),
   ""
)</f>
        <v/>
      </c>
      <c r="G2667" s="7">
        <f>tbl_Ventes[[#This Row],[Qté Vendue]] * IFERROR(_xlfn.XLOOKUP(tbl_Ventes[[#This Row],[Cde_Prdt]], tbl_Produits[Cde_Prdt], tbl_Produits[Prix Menu]), 0)</f>
        <v>0</v>
      </c>
      <c r="H2667" s="7">
        <f>IFERROR(_xlfn.XLOOKUP(tbl_Ventes[[#This Row],[Cde_Prdt]], tbl_Produits[Cde_Prdt], tbl_Produits[Coût Moyen Portion]), 0)</f>
        <v>0</v>
      </c>
      <c r="I2667" s="7">
        <f>tbl_Ventes[[#This Row],[Qté Vendue]] * tbl_Ventes[[#This Row],[CMP_par_portion]]</f>
        <v>0</v>
      </c>
      <c r="J2667" s="7">
        <f>tbl_Ventes[[#This Row],[CA ligne]] - tbl_Ventes[[#This Row],[Coût matière ligne]]</f>
        <v>0</v>
      </c>
      <c r="K2667" s="7" t="str">
        <f>IFERROR(INDEX(tbl_ProduitsRef[Famille], MATCH(tbl_Ventes[[#This Row],[Cde_Prdt]], tbl_Produits[Cde_Prdt], 0)), "")</f>
        <v/>
      </c>
    </row>
    <row r="2668" spans="1:11" x14ac:dyDescent="0.25">
      <c r="A2668" s="5"/>
      <c r="B2668" s="63" t="str">
        <f>IFERROR(TEXT(tbl_Ventes[[#This Row],[Date]],"mm-aaaa"),"")</f>
        <v>01-1900</v>
      </c>
      <c r="D2668" s="10" t="str">
        <f>IFERROR(
   INDEX(tbl_ProduitsRef[Cde_Prdt],MATCH(tbl_Ventes[[#This Row],[Produit]],tbl_ProduitsRef[Produit],0)),
   ""
)</f>
        <v/>
      </c>
      <c r="E2668" s="7">
        <v>0</v>
      </c>
      <c r="F2668" s="7" t="str">
        <f>IFERROR(
   INDEX(tbl_ProduitsRef[Prix Menu],MATCH(tbl_Ventes[[#This Row],[Produit]],tbl_ProduitsRef[Produit],0)),
   ""
)</f>
        <v/>
      </c>
      <c r="G2668" s="7">
        <f>tbl_Ventes[[#This Row],[Qté Vendue]] * IFERROR(_xlfn.XLOOKUP(tbl_Ventes[[#This Row],[Cde_Prdt]], tbl_Produits[Cde_Prdt], tbl_Produits[Prix Menu]), 0)</f>
        <v>0</v>
      </c>
      <c r="H2668" s="7">
        <f>IFERROR(_xlfn.XLOOKUP(tbl_Ventes[[#This Row],[Cde_Prdt]], tbl_Produits[Cde_Prdt], tbl_Produits[Coût Moyen Portion]), 0)</f>
        <v>0</v>
      </c>
      <c r="I2668" s="7">
        <f>tbl_Ventes[[#This Row],[Qté Vendue]] * tbl_Ventes[[#This Row],[CMP_par_portion]]</f>
        <v>0</v>
      </c>
      <c r="J2668" s="7">
        <f>tbl_Ventes[[#This Row],[CA ligne]] - tbl_Ventes[[#This Row],[Coût matière ligne]]</f>
        <v>0</v>
      </c>
      <c r="K2668" s="7" t="str">
        <f>IFERROR(INDEX(tbl_ProduitsRef[Famille], MATCH(tbl_Ventes[[#This Row],[Cde_Prdt]], tbl_Produits[Cde_Prdt], 0)), "")</f>
        <v/>
      </c>
    </row>
    <row r="2669" spans="1:11" x14ac:dyDescent="0.25">
      <c r="A2669" s="5"/>
      <c r="B2669" s="63" t="str">
        <f>IFERROR(TEXT(tbl_Ventes[[#This Row],[Date]],"mm-aaaa"),"")</f>
        <v>01-1900</v>
      </c>
      <c r="D2669" s="10" t="str">
        <f>IFERROR(
   INDEX(tbl_ProduitsRef[Cde_Prdt],MATCH(tbl_Ventes[[#This Row],[Produit]],tbl_ProduitsRef[Produit],0)),
   ""
)</f>
        <v/>
      </c>
      <c r="E2669" s="7">
        <v>0</v>
      </c>
      <c r="F2669" s="7" t="str">
        <f>IFERROR(
   INDEX(tbl_ProduitsRef[Prix Menu],MATCH(tbl_Ventes[[#This Row],[Produit]],tbl_ProduitsRef[Produit],0)),
   ""
)</f>
        <v/>
      </c>
      <c r="G2669" s="7">
        <f>tbl_Ventes[[#This Row],[Qté Vendue]] * IFERROR(_xlfn.XLOOKUP(tbl_Ventes[[#This Row],[Cde_Prdt]], tbl_Produits[Cde_Prdt], tbl_Produits[Prix Menu]), 0)</f>
        <v>0</v>
      </c>
      <c r="H2669" s="7">
        <f>IFERROR(_xlfn.XLOOKUP(tbl_Ventes[[#This Row],[Cde_Prdt]], tbl_Produits[Cde_Prdt], tbl_Produits[Coût Moyen Portion]), 0)</f>
        <v>0</v>
      </c>
      <c r="I2669" s="7">
        <f>tbl_Ventes[[#This Row],[Qté Vendue]] * tbl_Ventes[[#This Row],[CMP_par_portion]]</f>
        <v>0</v>
      </c>
      <c r="J2669" s="7">
        <f>tbl_Ventes[[#This Row],[CA ligne]] - tbl_Ventes[[#This Row],[Coût matière ligne]]</f>
        <v>0</v>
      </c>
      <c r="K2669" s="7" t="str">
        <f>IFERROR(INDEX(tbl_ProduitsRef[Famille], MATCH(tbl_Ventes[[#This Row],[Cde_Prdt]], tbl_Produits[Cde_Prdt], 0)), "")</f>
        <v/>
      </c>
    </row>
    <row r="2670" spans="1:11" x14ac:dyDescent="0.25">
      <c r="A2670" s="5"/>
      <c r="B2670" s="63" t="str">
        <f>IFERROR(TEXT(tbl_Ventes[[#This Row],[Date]],"mm-aaaa"),"")</f>
        <v>01-1900</v>
      </c>
      <c r="D2670" s="10" t="str">
        <f>IFERROR(
   INDEX(tbl_ProduitsRef[Cde_Prdt],MATCH(tbl_Ventes[[#This Row],[Produit]],tbl_ProduitsRef[Produit],0)),
   ""
)</f>
        <v/>
      </c>
      <c r="E2670" s="7">
        <v>0</v>
      </c>
      <c r="F2670" s="7" t="str">
        <f>IFERROR(
   INDEX(tbl_ProduitsRef[Prix Menu],MATCH(tbl_Ventes[[#This Row],[Produit]],tbl_ProduitsRef[Produit],0)),
   ""
)</f>
        <v/>
      </c>
      <c r="G2670" s="7">
        <f>tbl_Ventes[[#This Row],[Qté Vendue]] * IFERROR(_xlfn.XLOOKUP(tbl_Ventes[[#This Row],[Cde_Prdt]], tbl_Produits[Cde_Prdt], tbl_Produits[Prix Menu]), 0)</f>
        <v>0</v>
      </c>
      <c r="H2670" s="7">
        <f>IFERROR(_xlfn.XLOOKUP(tbl_Ventes[[#This Row],[Cde_Prdt]], tbl_Produits[Cde_Prdt], tbl_Produits[Coût Moyen Portion]), 0)</f>
        <v>0</v>
      </c>
      <c r="I2670" s="7">
        <f>tbl_Ventes[[#This Row],[Qté Vendue]] * tbl_Ventes[[#This Row],[CMP_par_portion]]</f>
        <v>0</v>
      </c>
      <c r="J2670" s="7">
        <f>tbl_Ventes[[#This Row],[CA ligne]] - tbl_Ventes[[#This Row],[Coût matière ligne]]</f>
        <v>0</v>
      </c>
      <c r="K2670" s="7" t="str">
        <f>IFERROR(INDEX(tbl_ProduitsRef[Famille], MATCH(tbl_Ventes[[#This Row],[Cde_Prdt]], tbl_Produits[Cde_Prdt], 0)), "")</f>
        <v/>
      </c>
    </row>
    <row r="2671" spans="1:11" x14ac:dyDescent="0.25">
      <c r="A2671" s="5"/>
      <c r="B2671" s="63" t="str">
        <f>IFERROR(TEXT(tbl_Ventes[[#This Row],[Date]],"mm-aaaa"),"")</f>
        <v>01-1900</v>
      </c>
      <c r="D2671" s="10" t="str">
        <f>IFERROR(
   INDEX(tbl_ProduitsRef[Cde_Prdt],MATCH(tbl_Ventes[[#This Row],[Produit]],tbl_ProduitsRef[Produit],0)),
   ""
)</f>
        <v/>
      </c>
      <c r="E2671" s="7">
        <v>0</v>
      </c>
      <c r="F2671" s="7" t="str">
        <f>IFERROR(
   INDEX(tbl_ProduitsRef[Prix Menu],MATCH(tbl_Ventes[[#This Row],[Produit]],tbl_ProduitsRef[Produit],0)),
   ""
)</f>
        <v/>
      </c>
      <c r="G2671" s="7">
        <f>tbl_Ventes[[#This Row],[Qté Vendue]] * IFERROR(_xlfn.XLOOKUP(tbl_Ventes[[#This Row],[Cde_Prdt]], tbl_Produits[Cde_Prdt], tbl_Produits[Prix Menu]), 0)</f>
        <v>0</v>
      </c>
      <c r="H2671" s="7">
        <f>IFERROR(_xlfn.XLOOKUP(tbl_Ventes[[#This Row],[Cde_Prdt]], tbl_Produits[Cde_Prdt], tbl_Produits[Coût Moyen Portion]), 0)</f>
        <v>0</v>
      </c>
      <c r="I2671" s="7">
        <f>tbl_Ventes[[#This Row],[Qté Vendue]] * tbl_Ventes[[#This Row],[CMP_par_portion]]</f>
        <v>0</v>
      </c>
      <c r="J2671" s="7">
        <f>tbl_Ventes[[#This Row],[CA ligne]] - tbl_Ventes[[#This Row],[Coût matière ligne]]</f>
        <v>0</v>
      </c>
      <c r="K2671" s="7" t="str">
        <f>IFERROR(INDEX(tbl_ProduitsRef[Famille], MATCH(tbl_Ventes[[#This Row],[Cde_Prdt]], tbl_Produits[Cde_Prdt], 0)), "")</f>
        <v/>
      </c>
    </row>
    <row r="2672" spans="1:11" x14ac:dyDescent="0.25">
      <c r="A2672" s="5"/>
      <c r="B2672" s="63" t="str">
        <f>IFERROR(TEXT(tbl_Ventes[[#This Row],[Date]],"mm-aaaa"),"")</f>
        <v>01-1900</v>
      </c>
      <c r="D2672" s="10" t="str">
        <f>IFERROR(
   INDEX(tbl_ProduitsRef[Cde_Prdt],MATCH(tbl_Ventes[[#This Row],[Produit]],tbl_ProduitsRef[Produit],0)),
   ""
)</f>
        <v/>
      </c>
      <c r="E2672" s="7">
        <v>0</v>
      </c>
      <c r="F2672" s="7" t="str">
        <f>IFERROR(
   INDEX(tbl_ProduitsRef[Prix Menu],MATCH(tbl_Ventes[[#This Row],[Produit]],tbl_ProduitsRef[Produit],0)),
   ""
)</f>
        <v/>
      </c>
      <c r="G2672" s="7">
        <f>tbl_Ventes[[#This Row],[Qté Vendue]] * IFERROR(_xlfn.XLOOKUP(tbl_Ventes[[#This Row],[Cde_Prdt]], tbl_Produits[Cde_Prdt], tbl_Produits[Prix Menu]), 0)</f>
        <v>0</v>
      </c>
      <c r="H2672" s="7">
        <f>IFERROR(_xlfn.XLOOKUP(tbl_Ventes[[#This Row],[Cde_Prdt]], tbl_Produits[Cde_Prdt], tbl_Produits[Coût Moyen Portion]), 0)</f>
        <v>0</v>
      </c>
      <c r="I2672" s="7">
        <f>tbl_Ventes[[#This Row],[Qté Vendue]] * tbl_Ventes[[#This Row],[CMP_par_portion]]</f>
        <v>0</v>
      </c>
      <c r="J2672" s="7">
        <f>tbl_Ventes[[#This Row],[CA ligne]] - tbl_Ventes[[#This Row],[Coût matière ligne]]</f>
        <v>0</v>
      </c>
      <c r="K2672" s="7" t="str">
        <f>IFERROR(INDEX(tbl_ProduitsRef[Famille], MATCH(tbl_Ventes[[#This Row],[Cde_Prdt]], tbl_Produits[Cde_Prdt], 0)), "")</f>
        <v/>
      </c>
    </row>
    <row r="2673" spans="1:11" x14ac:dyDescent="0.25">
      <c r="A2673" s="5"/>
      <c r="B2673" s="63" t="str">
        <f>IFERROR(TEXT(tbl_Ventes[[#This Row],[Date]],"mm-aaaa"),"")</f>
        <v>01-1900</v>
      </c>
      <c r="D2673" s="10" t="str">
        <f>IFERROR(
   INDEX(tbl_ProduitsRef[Cde_Prdt],MATCH(tbl_Ventes[[#This Row],[Produit]],tbl_ProduitsRef[Produit],0)),
   ""
)</f>
        <v/>
      </c>
      <c r="E2673" s="7">
        <v>0</v>
      </c>
      <c r="F2673" s="7" t="str">
        <f>IFERROR(
   INDEX(tbl_ProduitsRef[Prix Menu],MATCH(tbl_Ventes[[#This Row],[Produit]],tbl_ProduitsRef[Produit],0)),
   ""
)</f>
        <v/>
      </c>
      <c r="G2673" s="7">
        <f>tbl_Ventes[[#This Row],[Qté Vendue]] * IFERROR(_xlfn.XLOOKUP(tbl_Ventes[[#This Row],[Cde_Prdt]], tbl_Produits[Cde_Prdt], tbl_Produits[Prix Menu]), 0)</f>
        <v>0</v>
      </c>
      <c r="H2673" s="7">
        <f>IFERROR(_xlfn.XLOOKUP(tbl_Ventes[[#This Row],[Cde_Prdt]], tbl_Produits[Cde_Prdt], tbl_Produits[Coût Moyen Portion]), 0)</f>
        <v>0</v>
      </c>
      <c r="I2673" s="7">
        <f>tbl_Ventes[[#This Row],[Qté Vendue]] * tbl_Ventes[[#This Row],[CMP_par_portion]]</f>
        <v>0</v>
      </c>
      <c r="J2673" s="7">
        <f>tbl_Ventes[[#This Row],[CA ligne]] - tbl_Ventes[[#This Row],[Coût matière ligne]]</f>
        <v>0</v>
      </c>
      <c r="K2673" s="7" t="str">
        <f>IFERROR(INDEX(tbl_ProduitsRef[Famille], MATCH(tbl_Ventes[[#This Row],[Cde_Prdt]], tbl_Produits[Cde_Prdt], 0)), "")</f>
        <v/>
      </c>
    </row>
    <row r="2674" spans="1:11" x14ac:dyDescent="0.25">
      <c r="A2674" s="5"/>
      <c r="B2674" s="63" t="str">
        <f>IFERROR(TEXT(tbl_Ventes[[#This Row],[Date]],"mm-aaaa"),"")</f>
        <v>01-1900</v>
      </c>
      <c r="D2674" s="10" t="str">
        <f>IFERROR(
   INDEX(tbl_ProduitsRef[Cde_Prdt],MATCH(tbl_Ventes[[#This Row],[Produit]],tbl_ProduitsRef[Produit],0)),
   ""
)</f>
        <v/>
      </c>
      <c r="E2674" s="7">
        <v>0</v>
      </c>
      <c r="F2674" s="7" t="str">
        <f>IFERROR(
   INDEX(tbl_ProduitsRef[Prix Menu],MATCH(tbl_Ventes[[#This Row],[Produit]],tbl_ProduitsRef[Produit],0)),
   ""
)</f>
        <v/>
      </c>
      <c r="G2674" s="7">
        <f>tbl_Ventes[[#This Row],[Qté Vendue]] * IFERROR(_xlfn.XLOOKUP(tbl_Ventes[[#This Row],[Cde_Prdt]], tbl_Produits[Cde_Prdt], tbl_Produits[Prix Menu]), 0)</f>
        <v>0</v>
      </c>
      <c r="H2674" s="7">
        <f>IFERROR(_xlfn.XLOOKUP(tbl_Ventes[[#This Row],[Cde_Prdt]], tbl_Produits[Cde_Prdt], tbl_Produits[Coût Moyen Portion]), 0)</f>
        <v>0</v>
      </c>
      <c r="I2674" s="7">
        <f>tbl_Ventes[[#This Row],[Qté Vendue]] * tbl_Ventes[[#This Row],[CMP_par_portion]]</f>
        <v>0</v>
      </c>
      <c r="J2674" s="7">
        <f>tbl_Ventes[[#This Row],[CA ligne]] - tbl_Ventes[[#This Row],[Coût matière ligne]]</f>
        <v>0</v>
      </c>
      <c r="K2674" s="7" t="str">
        <f>IFERROR(INDEX(tbl_ProduitsRef[Famille], MATCH(tbl_Ventes[[#This Row],[Cde_Prdt]], tbl_Produits[Cde_Prdt], 0)), "")</f>
        <v/>
      </c>
    </row>
    <row r="2675" spans="1:11" x14ac:dyDescent="0.25">
      <c r="A2675" s="5"/>
      <c r="B2675" s="63" t="str">
        <f>IFERROR(TEXT(tbl_Ventes[[#This Row],[Date]],"mm-aaaa"),"")</f>
        <v>01-1900</v>
      </c>
      <c r="D2675" s="10" t="str">
        <f>IFERROR(
   INDEX(tbl_ProduitsRef[Cde_Prdt],MATCH(tbl_Ventes[[#This Row],[Produit]],tbl_ProduitsRef[Produit],0)),
   ""
)</f>
        <v/>
      </c>
      <c r="E2675" s="7">
        <v>0</v>
      </c>
      <c r="F2675" s="7" t="str">
        <f>IFERROR(
   INDEX(tbl_ProduitsRef[Prix Menu],MATCH(tbl_Ventes[[#This Row],[Produit]],tbl_ProduitsRef[Produit],0)),
   ""
)</f>
        <v/>
      </c>
      <c r="G2675" s="7">
        <f>tbl_Ventes[[#This Row],[Qté Vendue]] * IFERROR(_xlfn.XLOOKUP(tbl_Ventes[[#This Row],[Cde_Prdt]], tbl_Produits[Cde_Prdt], tbl_Produits[Prix Menu]), 0)</f>
        <v>0</v>
      </c>
      <c r="H2675" s="7">
        <f>IFERROR(_xlfn.XLOOKUP(tbl_Ventes[[#This Row],[Cde_Prdt]], tbl_Produits[Cde_Prdt], tbl_Produits[Coût Moyen Portion]), 0)</f>
        <v>0</v>
      </c>
      <c r="I2675" s="7">
        <f>tbl_Ventes[[#This Row],[Qté Vendue]] * tbl_Ventes[[#This Row],[CMP_par_portion]]</f>
        <v>0</v>
      </c>
      <c r="J2675" s="7">
        <f>tbl_Ventes[[#This Row],[CA ligne]] - tbl_Ventes[[#This Row],[Coût matière ligne]]</f>
        <v>0</v>
      </c>
      <c r="K2675" s="7" t="str">
        <f>IFERROR(INDEX(tbl_ProduitsRef[Famille], MATCH(tbl_Ventes[[#This Row],[Cde_Prdt]], tbl_Produits[Cde_Prdt], 0)), "")</f>
        <v/>
      </c>
    </row>
    <row r="2676" spans="1:11" x14ac:dyDescent="0.25">
      <c r="A2676" s="5"/>
      <c r="B2676" s="63" t="str">
        <f>IFERROR(TEXT(tbl_Ventes[[#This Row],[Date]],"mm-aaaa"),"")</f>
        <v>01-1900</v>
      </c>
      <c r="D2676" s="10" t="str">
        <f>IFERROR(
   INDEX(tbl_ProduitsRef[Cde_Prdt],MATCH(tbl_Ventes[[#This Row],[Produit]],tbl_ProduitsRef[Produit],0)),
   ""
)</f>
        <v/>
      </c>
      <c r="E2676" s="7">
        <v>0</v>
      </c>
      <c r="F2676" s="7" t="str">
        <f>IFERROR(
   INDEX(tbl_ProduitsRef[Prix Menu],MATCH(tbl_Ventes[[#This Row],[Produit]],tbl_ProduitsRef[Produit],0)),
   ""
)</f>
        <v/>
      </c>
      <c r="G2676" s="7">
        <f>tbl_Ventes[[#This Row],[Qté Vendue]] * IFERROR(_xlfn.XLOOKUP(tbl_Ventes[[#This Row],[Cde_Prdt]], tbl_Produits[Cde_Prdt], tbl_Produits[Prix Menu]), 0)</f>
        <v>0</v>
      </c>
      <c r="H2676" s="7">
        <f>IFERROR(_xlfn.XLOOKUP(tbl_Ventes[[#This Row],[Cde_Prdt]], tbl_Produits[Cde_Prdt], tbl_Produits[Coût Moyen Portion]), 0)</f>
        <v>0</v>
      </c>
      <c r="I2676" s="7">
        <f>tbl_Ventes[[#This Row],[Qté Vendue]] * tbl_Ventes[[#This Row],[CMP_par_portion]]</f>
        <v>0</v>
      </c>
      <c r="J2676" s="7">
        <f>tbl_Ventes[[#This Row],[CA ligne]] - tbl_Ventes[[#This Row],[Coût matière ligne]]</f>
        <v>0</v>
      </c>
      <c r="K2676" s="7" t="str">
        <f>IFERROR(INDEX(tbl_ProduitsRef[Famille], MATCH(tbl_Ventes[[#This Row],[Cde_Prdt]], tbl_Produits[Cde_Prdt], 0)), "")</f>
        <v/>
      </c>
    </row>
    <row r="2677" spans="1:11" x14ac:dyDescent="0.25">
      <c r="A2677" s="5"/>
      <c r="B2677" s="63" t="str">
        <f>IFERROR(TEXT(tbl_Ventes[[#This Row],[Date]],"mm-aaaa"),"")</f>
        <v>01-1900</v>
      </c>
      <c r="D2677" s="10" t="str">
        <f>IFERROR(
   INDEX(tbl_ProduitsRef[Cde_Prdt],MATCH(tbl_Ventes[[#This Row],[Produit]],tbl_ProduitsRef[Produit],0)),
   ""
)</f>
        <v/>
      </c>
      <c r="E2677" s="7">
        <v>0</v>
      </c>
      <c r="F2677" s="7" t="str">
        <f>IFERROR(
   INDEX(tbl_ProduitsRef[Prix Menu],MATCH(tbl_Ventes[[#This Row],[Produit]],tbl_ProduitsRef[Produit],0)),
   ""
)</f>
        <v/>
      </c>
      <c r="G2677" s="7">
        <f>tbl_Ventes[[#This Row],[Qté Vendue]] * IFERROR(_xlfn.XLOOKUP(tbl_Ventes[[#This Row],[Cde_Prdt]], tbl_Produits[Cde_Prdt], tbl_Produits[Prix Menu]), 0)</f>
        <v>0</v>
      </c>
      <c r="H2677" s="7">
        <f>IFERROR(_xlfn.XLOOKUP(tbl_Ventes[[#This Row],[Cde_Prdt]], tbl_Produits[Cde_Prdt], tbl_Produits[Coût Moyen Portion]), 0)</f>
        <v>0</v>
      </c>
      <c r="I2677" s="7">
        <f>tbl_Ventes[[#This Row],[Qté Vendue]] * tbl_Ventes[[#This Row],[CMP_par_portion]]</f>
        <v>0</v>
      </c>
      <c r="J2677" s="7">
        <f>tbl_Ventes[[#This Row],[CA ligne]] - tbl_Ventes[[#This Row],[Coût matière ligne]]</f>
        <v>0</v>
      </c>
      <c r="K2677" s="7" t="str">
        <f>IFERROR(INDEX(tbl_ProduitsRef[Famille], MATCH(tbl_Ventes[[#This Row],[Cde_Prdt]], tbl_Produits[Cde_Prdt], 0)), "")</f>
        <v/>
      </c>
    </row>
    <row r="2678" spans="1:11" x14ac:dyDescent="0.25">
      <c r="A2678" s="5"/>
      <c r="B2678" s="63" t="str">
        <f>IFERROR(TEXT(tbl_Ventes[[#This Row],[Date]],"mm-aaaa"),"")</f>
        <v>01-1900</v>
      </c>
      <c r="D2678" s="10" t="str">
        <f>IFERROR(
   INDEX(tbl_ProduitsRef[Cde_Prdt],MATCH(tbl_Ventes[[#This Row],[Produit]],tbl_ProduitsRef[Produit],0)),
   ""
)</f>
        <v/>
      </c>
      <c r="E2678" s="7">
        <v>0</v>
      </c>
      <c r="F2678" s="7" t="str">
        <f>IFERROR(
   INDEX(tbl_ProduitsRef[Prix Menu],MATCH(tbl_Ventes[[#This Row],[Produit]],tbl_ProduitsRef[Produit],0)),
   ""
)</f>
        <v/>
      </c>
      <c r="G2678" s="7">
        <f>tbl_Ventes[[#This Row],[Qté Vendue]] * IFERROR(_xlfn.XLOOKUP(tbl_Ventes[[#This Row],[Cde_Prdt]], tbl_Produits[Cde_Prdt], tbl_Produits[Prix Menu]), 0)</f>
        <v>0</v>
      </c>
      <c r="H2678" s="7">
        <f>IFERROR(_xlfn.XLOOKUP(tbl_Ventes[[#This Row],[Cde_Prdt]], tbl_Produits[Cde_Prdt], tbl_Produits[Coût Moyen Portion]), 0)</f>
        <v>0</v>
      </c>
      <c r="I2678" s="7">
        <f>tbl_Ventes[[#This Row],[Qté Vendue]] * tbl_Ventes[[#This Row],[CMP_par_portion]]</f>
        <v>0</v>
      </c>
      <c r="J2678" s="7">
        <f>tbl_Ventes[[#This Row],[CA ligne]] - tbl_Ventes[[#This Row],[Coût matière ligne]]</f>
        <v>0</v>
      </c>
      <c r="K2678" s="7" t="str">
        <f>IFERROR(INDEX(tbl_ProduitsRef[Famille], MATCH(tbl_Ventes[[#This Row],[Cde_Prdt]], tbl_Produits[Cde_Prdt], 0)), "")</f>
        <v/>
      </c>
    </row>
    <row r="2679" spans="1:11" x14ac:dyDescent="0.25">
      <c r="A2679" s="5"/>
      <c r="B2679" s="63" t="str">
        <f>IFERROR(TEXT(tbl_Ventes[[#This Row],[Date]],"mm-aaaa"),"")</f>
        <v>01-1900</v>
      </c>
      <c r="D2679" s="10" t="str">
        <f>IFERROR(
   INDEX(tbl_ProduitsRef[Cde_Prdt],MATCH(tbl_Ventes[[#This Row],[Produit]],tbl_ProduitsRef[Produit],0)),
   ""
)</f>
        <v/>
      </c>
      <c r="E2679" s="7">
        <v>0</v>
      </c>
      <c r="F2679" s="7" t="str">
        <f>IFERROR(
   INDEX(tbl_ProduitsRef[Prix Menu],MATCH(tbl_Ventes[[#This Row],[Produit]],tbl_ProduitsRef[Produit],0)),
   ""
)</f>
        <v/>
      </c>
      <c r="G2679" s="7">
        <f>tbl_Ventes[[#This Row],[Qté Vendue]] * IFERROR(_xlfn.XLOOKUP(tbl_Ventes[[#This Row],[Cde_Prdt]], tbl_Produits[Cde_Prdt], tbl_Produits[Prix Menu]), 0)</f>
        <v>0</v>
      </c>
      <c r="H2679" s="7">
        <f>IFERROR(_xlfn.XLOOKUP(tbl_Ventes[[#This Row],[Cde_Prdt]], tbl_Produits[Cde_Prdt], tbl_Produits[Coût Moyen Portion]), 0)</f>
        <v>0</v>
      </c>
      <c r="I2679" s="7">
        <f>tbl_Ventes[[#This Row],[Qté Vendue]] * tbl_Ventes[[#This Row],[CMP_par_portion]]</f>
        <v>0</v>
      </c>
      <c r="J2679" s="7">
        <f>tbl_Ventes[[#This Row],[CA ligne]] - tbl_Ventes[[#This Row],[Coût matière ligne]]</f>
        <v>0</v>
      </c>
      <c r="K2679" s="7" t="str">
        <f>IFERROR(INDEX(tbl_ProduitsRef[Famille], MATCH(tbl_Ventes[[#This Row],[Cde_Prdt]], tbl_Produits[Cde_Prdt], 0)), "")</f>
        <v/>
      </c>
    </row>
    <row r="2680" spans="1:11" x14ac:dyDescent="0.25">
      <c r="A2680" s="5"/>
      <c r="B2680" s="63" t="str">
        <f>IFERROR(TEXT(tbl_Ventes[[#This Row],[Date]],"mm-aaaa"),"")</f>
        <v>01-1900</v>
      </c>
      <c r="D2680" s="10" t="str">
        <f>IFERROR(
   INDEX(tbl_ProduitsRef[Cde_Prdt],MATCH(tbl_Ventes[[#This Row],[Produit]],tbl_ProduitsRef[Produit],0)),
   ""
)</f>
        <v/>
      </c>
      <c r="E2680" s="7">
        <v>0</v>
      </c>
      <c r="F2680" s="7" t="str">
        <f>IFERROR(
   INDEX(tbl_ProduitsRef[Prix Menu],MATCH(tbl_Ventes[[#This Row],[Produit]],tbl_ProduitsRef[Produit],0)),
   ""
)</f>
        <v/>
      </c>
      <c r="G2680" s="7">
        <f>tbl_Ventes[[#This Row],[Qté Vendue]] * IFERROR(_xlfn.XLOOKUP(tbl_Ventes[[#This Row],[Cde_Prdt]], tbl_Produits[Cde_Prdt], tbl_Produits[Prix Menu]), 0)</f>
        <v>0</v>
      </c>
      <c r="H2680" s="7">
        <f>IFERROR(_xlfn.XLOOKUP(tbl_Ventes[[#This Row],[Cde_Prdt]], tbl_Produits[Cde_Prdt], tbl_Produits[Coût Moyen Portion]), 0)</f>
        <v>0</v>
      </c>
      <c r="I2680" s="7">
        <f>tbl_Ventes[[#This Row],[Qté Vendue]] * tbl_Ventes[[#This Row],[CMP_par_portion]]</f>
        <v>0</v>
      </c>
      <c r="J2680" s="7">
        <f>tbl_Ventes[[#This Row],[CA ligne]] - tbl_Ventes[[#This Row],[Coût matière ligne]]</f>
        <v>0</v>
      </c>
      <c r="K2680" s="7" t="str">
        <f>IFERROR(INDEX(tbl_ProduitsRef[Famille], MATCH(tbl_Ventes[[#This Row],[Cde_Prdt]], tbl_Produits[Cde_Prdt], 0)), "")</f>
        <v/>
      </c>
    </row>
    <row r="2681" spans="1:11" x14ac:dyDescent="0.25">
      <c r="A2681" s="5"/>
      <c r="B2681" s="63" t="str">
        <f>IFERROR(TEXT(tbl_Ventes[[#This Row],[Date]],"mm-aaaa"),"")</f>
        <v>01-1900</v>
      </c>
      <c r="D2681" s="10" t="str">
        <f>IFERROR(
   INDEX(tbl_ProduitsRef[Cde_Prdt],MATCH(tbl_Ventes[[#This Row],[Produit]],tbl_ProduitsRef[Produit],0)),
   ""
)</f>
        <v/>
      </c>
      <c r="E2681" s="7">
        <v>0</v>
      </c>
      <c r="F2681" s="7" t="str">
        <f>IFERROR(
   INDEX(tbl_ProduitsRef[Prix Menu],MATCH(tbl_Ventes[[#This Row],[Produit]],tbl_ProduitsRef[Produit],0)),
   ""
)</f>
        <v/>
      </c>
      <c r="G2681" s="7">
        <f>tbl_Ventes[[#This Row],[Qté Vendue]] * IFERROR(_xlfn.XLOOKUP(tbl_Ventes[[#This Row],[Cde_Prdt]], tbl_Produits[Cde_Prdt], tbl_Produits[Prix Menu]), 0)</f>
        <v>0</v>
      </c>
      <c r="H2681" s="7">
        <f>IFERROR(_xlfn.XLOOKUP(tbl_Ventes[[#This Row],[Cde_Prdt]], tbl_Produits[Cde_Prdt], tbl_Produits[Coût Moyen Portion]), 0)</f>
        <v>0</v>
      </c>
      <c r="I2681" s="7">
        <f>tbl_Ventes[[#This Row],[Qté Vendue]] * tbl_Ventes[[#This Row],[CMP_par_portion]]</f>
        <v>0</v>
      </c>
      <c r="J2681" s="7">
        <f>tbl_Ventes[[#This Row],[CA ligne]] - tbl_Ventes[[#This Row],[Coût matière ligne]]</f>
        <v>0</v>
      </c>
      <c r="K2681" s="7" t="str">
        <f>IFERROR(INDEX(tbl_ProduitsRef[Famille], MATCH(tbl_Ventes[[#This Row],[Cde_Prdt]], tbl_Produits[Cde_Prdt], 0)), "")</f>
        <v/>
      </c>
    </row>
    <row r="2682" spans="1:11" x14ac:dyDescent="0.25">
      <c r="A2682" s="5"/>
      <c r="B2682" s="63" t="str">
        <f>IFERROR(TEXT(tbl_Ventes[[#This Row],[Date]],"mm-aaaa"),"")</f>
        <v>01-1900</v>
      </c>
      <c r="D2682" s="10" t="str">
        <f>IFERROR(
   INDEX(tbl_ProduitsRef[Cde_Prdt],MATCH(tbl_Ventes[[#This Row],[Produit]],tbl_ProduitsRef[Produit],0)),
   ""
)</f>
        <v/>
      </c>
      <c r="E2682" s="7">
        <v>0</v>
      </c>
      <c r="F2682" s="7" t="str">
        <f>IFERROR(
   INDEX(tbl_ProduitsRef[Prix Menu],MATCH(tbl_Ventes[[#This Row],[Produit]],tbl_ProduitsRef[Produit],0)),
   ""
)</f>
        <v/>
      </c>
      <c r="G2682" s="7">
        <f>tbl_Ventes[[#This Row],[Qté Vendue]] * IFERROR(_xlfn.XLOOKUP(tbl_Ventes[[#This Row],[Cde_Prdt]], tbl_Produits[Cde_Prdt], tbl_Produits[Prix Menu]), 0)</f>
        <v>0</v>
      </c>
      <c r="H2682" s="7">
        <f>IFERROR(_xlfn.XLOOKUP(tbl_Ventes[[#This Row],[Cde_Prdt]], tbl_Produits[Cde_Prdt], tbl_Produits[Coût Moyen Portion]), 0)</f>
        <v>0</v>
      </c>
      <c r="I2682" s="7">
        <f>tbl_Ventes[[#This Row],[Qté Vendue]] * tbl_Ventes[[#This Row],[CMP_par_portion]]</f>
        <v>0</v>
      </c>
      <c r="J2682" s="7">
        <f>tbl_Ventes[[#This Row],[CA ligne]] - tbl_Ventes[[#This Row],[Coût matière ligne]]</f>
        <v>0</v>
      </c>
      <c r="K2682" s="7" t="str">
        <f>IFERROR(INDEX(tbl_ProduitsRef[Famille], MATCH(tbl_Ventes[[#This Row],[Cde_Prdt]], tbl_Produits[Cde_Prdt], 0)), "")</f>
        <v/>
      </c>
    </row>
    <row r="2683" spans="1:11" x14ac:dyDescent="0.25">
      <c r="A2683" s="5"/>
      <c r="B2683" s="63" t="str">
        <f>IFERROR(TEXT(tbl_Ventes[[#This Row],[Date]],"mm-aaaa"),"")</f>
        <v>01-1900</v>
      </c>
      <c r="D2683" s="10" t="str">
        <f>IFERROR(
   INDEX(tbl_ProduitsRef[Cde_Prdt],MATCH(tbl_Ventes[[#This Row],[Produit]],tbl_ProduitsRef[Produit],0)),
   ""
)</f>
        <v/>
      </c>
      <c r="E2683" s="7">
        <v>0</v>
      </c>
      <c r="F2683" s="7" t="str">
        <f>IFERROR(
   INDEX(tbl_ProduitsRef[Prix Menu],MATCH(tbl_Ventes[[#This Row],[Produit]],tbl_ProduitsRef[Produit],0)),
   ""
)</f>
        <v/>
      </c>
      <c r="G2683" s="7">
        <f>tbl_Ventes[[#This Row],[Qté Vendue]] * IFERROR(_xlfn.XLOOKUP(tbl_Ventes[[#This Row],[Cde_Prdt]], tbl_Produits[Cde_Prdt], tbl_Produits[Prix Menu]), 0)</f>
        <v>0</v>
      </c>
      <c r="H2683" s="7">
        <f>IFERROR(_xlfn.XLOOKUP(tbl_Ventes[[#This Row],[Cde_Prdt]], tbl_Produits[Cde_Prdt], tbl_Produits[Coût Moyen Portion]), 0)</f>
        <v>0</v>
      </c>
      <c r="I2683" s="7">
        <f>tbl_Ventes[[#This Row],[Qté Vendue]] * tbl_Ventes[[#This Row],[CMP_par_portion]]</f>
        <v>0</v>
      </c>
      <c r="J2683" s="7">
        <f>tbl_Ventes[[#This Row],[CA ligne]] - tbl_Ventes[[#This Row],[Coût matière ligne]]</f>
        <v>0</v>
      </c>
      <c r="K2683" s="7" t="str">
        <f>IFERROR(INDEX(tbl_ProduitsRef[Famille], MATCH(tbl_Ventes[[#This Row],[Cde_Prdt]], tbl_Produits[Cde_Prdt], 0)), "")</f>
        <v/>
      </c>
    </row>
    <row r="2684" spans="1:11" x14ac:dyDescent="0.25">
      <c r="A2684" s="5"/>
      <c r="B2684" s="63" t="str">
        <f>IFERROR(TEXT(tbl_Ventes[[#This Row],[Date]],"mm-aaaa"),"")</f>
        <v>01-1900</v>
      </c>
      <c r="D2684" s="10" t="str">
        <f>IFERROR(
   INDEX(tbl_ProduitsRef[Cde_Prdt],MATCH(tbl_Ventes[[#This Row],[Produit]],tbl_ProduitsRef[Produit],0)),
   ""
)</f>
        <v/>
      </c>
      <c r="E2684" s="7">
        <v>0</v>
      </c>
      <c r="F2684" s="7" t="str">
        <f>IFERROR(
   INDEX(tbl_ProduitsRef[Prix Menu],MATCH(tbl_Ventes[[#This Row],[Produit]],tbl_ProduitsRef[Produit],0)),
   ""
)</f>
        <v/>
      </c>
      <c r="G2684" s="7">
        <f>tbl_Ventes[[#This Row],[Qté Vendue]] * IFERROR(_xlfn.XLOOKUP(tbl_Ventes[[#This Row],[Cde_Prdt]], tbl_Produits[Cde_Prdt], tbl_Produits[Prix Menu]), 0)</f>
        <v>0</v>
      </c>
      <c r="H2684" s="7">
        <f>IFERROR(_xlfn.XLOOKUP(tbl_Ventes[[#This Row],[Cde_Prdt]], tbl_Produits[Cde_Prdt], tbl_Produits[Coût Moyen Portion]), 0)</f>
        <v>0</v>
      </c>
      <c r="I2684" s="7">
        <f>tbl_Ventes[[#This Row],[Qté Vendue]] * tbl_Ventes[[#This Row],[CMP_par_portion]]</f>
        <v>0</v>
      </c>
      <c r="J2684" s="7">
        <f>tbl_Ventes[[#This Row],[CA ligne]] - tbl_Ventes[[#This Row],[Coût matière ligne]]</f>
        <v>0</v>
      </c>
      <c r="K2684" s="7" t="str">
        <f>IFERROR(INDEX(tbl_ProduitsRef[Famille], MATCH(tbl_Ventes[[#This Row],[Cde_Prdt]], tbl_Produits[Cde_Prdt], 0)), "")</f>
        <v/>
      </c>
    </row>
    <row r="2685" spans="1:11" x14ac:dyDescent="0.25">
      <c r="A2685" s="5"/>
      <c r="B2685" s="63" t="str">
        <f>IFERROR(TEXT(tbl_Ventes[[#This Row],[Date]],"mm-aaaa"),"")</f>
        <v>01-1900</v>
      </c>
      <c r="D2685" s="10" t="str">
        <f>IFERROR(
   INDEX(tbl_ProduitsRef[Cde_Prdt],MATCH(tbl_Ventes[[#This Row],[Produit]],tbl_ProduitsRef[Produit],0)),
   ""
)</f>
        <v/>
      </c>
      <c r="E2685" s="7">
        <v>0</v>
      </c>
      <c r="F2685" s="7" t="str">
        <f>IFERROR(
   INDEX(tbl_ProduitsRef[Prix Menu],MATCH(tbl_Ventes[[#This Row],[Produit]],tbl_ProduitsRef[Produit],0)),
   ""
)</f>
        <v/>
      </c>
      <c r="G2685" s="7">
        <f>tbl_Ventes[[#This Row],[Qté Vendue]] * IFERROR(_xlfn.XLOOKUP(tbl_Ventes[[#This Row],[Cde_Prdt]], tbl_Produits[Cde_Prdt], tbl_Produits[Prix Menu]), 0)</f>
        <v>0</v>
      </c>
      <c r="H2685" s="7">
        <f>IFERROR(_xlfn.XLOOKUP(tbl_Ventes[[#This Row],[Cde_Prdt]], tbl_Produits[Cde_Prdt], tbl_Produits[Coût Moyen Portion]), 0)</f>
        <v>0</v>
      </c>
      <c r="I2685" s="7">
        <f>tbl_Ventes[[#This Row],[Qté Vendue]] * tbl_Ventes[[#This Row],[CMP_par_portion]]</f>
        <v>0</v>
      </c>
      <c r="J2685" s="7">
        <f>tbl_Ventes[[#This Row],[CA ligne]] - tbl_Ventes[[#This Row],[Coût matière ligne]]</f>
        <v>0</v>
      </c>
      <c r="K2685" s="7" t="str">
        <f>IFERROR(INDEX(tbl_ProduitsRef[Famille], MATCH(tbl_Ventes[[#This Row],[Cde_Prdt]], tbl_Produits[Cde_Prdt], 0)), "")</f>
        <v/>
      </c>
    </row>
    <row r="2686" spans="1:11" x14ac:dyDescent="0.25">
      <c r="A2686" s="5"/>
      <c r="B2686" s="63" t="str">
        <f>IFERROR(TEXT(tbl_Ventes[[#This Row],[Date]],"mm-aaaa"),"")</f>
        <v>01-1900</v>
      </c>
      <c r="D2686" s="10" t="str">
        <f>IFERROR(
   INDEX(tbl_ProduitsRef[Cde_Prdt],MATCH(tbl_Ventes[[#This Row],[Produit]],tbl_ProduitsRef[Produit],0)),
   ""
)</f>
        <v/>
      </c>
      <c r="E2686" s="7">
        <v>0</v>
      </c>
      <c r="F2686" s="7" t="str">
        <f>IFERROR(
   INDEX(tbl_ProduitsRef[Prix Menu],MATCH(tbl_Ventes[[#This Row],[Produit]],tbl_ProduitsRef[Produit],0)),
   ""
)</f>
        <v/>
      </c>
      <c r="G2686" s="7">
        <f>tbl_Ventes[[#This Row],[Qté Vendue]] * IFERROR(_xlfn.XLOOKUP(tbl_Ventes[[#This Row],[Cde_Prdt]], tbl_Produits[Cde_Prdt], tbl_Produits[Prix Menu]), 0)</f>
        <v>0</v>
      </c>
      <c r="H2686" s="7">
        <f>IFERROR(_xlfn.XLOOKUP(tbl_Ventes[[#This Row],[Cde_Prdt]], tbl_Produits[Cde_Prdt], tbl_Produits[Coût Moyen Portion]), 0)</f>
        <v>0</v>
      </c>
      <c r="I2686" s="7">
        <f>tbl_Ventes[[#This Row],[Qté Vendue]] * tbl_Ventes[[#This Row],[CMP_par_portion]]</f>
        <v>0</v>
      </c>
      <c r="J2686" s="7">
        <f>tbl_Ventes[[#This Row],[CA ligne]] - tbl_Ventes[[#This Row],[Coût matière ligne]]</f>
        <v>0</v>
      </c>
      <c r="K2686" s="7" t="str">
        <f>IFERROR(INDEX(tbl_ProduitsRef[Famille], MATCH(tbl_Ventes[[#This Row],[Cde_Prdt]], tbl_Produits[Cde_Prdt], 0)), "")</f>
        <v/>
      </c>
    </row>
    <row r="2687" spans="1:11" x14ac:dyDescent="0.25">
      <c r="A2687" s="5"/>
      <c r="B2687" s="63" t="str">
        <f>IFERROR(TEXT(tbl_Ventes[[#This Row],[Date]],"mm-aaaa"),"")</f>
        <v>01-1900</v>
      </c>
      <c r="D2687" s="10" t="str">
        <f>IFERROR(
   INDEX(tbl_ProduitsRef[Cde_Prdt],MATCH(tbl_Ventes[[#This Row],[Produit]],tbl_ProduitsRef[Produit],0)),
   ""
)</f>
        <v/>
      </c>
      <c r="E2687" s="7">
        <v>0</v>
      </c>
      <c r="F2687" s="7" t="str">
        <f>IFERROR(
   INDEX(tbl_ProduitsRef[Prix Menu],MATCH(tbl_Ventes[[#This Row],[Produit]],tbl_ProduitsRef[Produit],0)),
   ""
)</f>
        <v/>
      </c>
      <c r="G2687" s="7">
        <f>tbl_Ventes[[#This Row],[Qté Vendue]] * IFERROR(_xlfn.XLOOKUP(tbl_Ventes[[#This Row],[Cde_Prdt]], tbl_Produits[Cde_Prdt], tbl_Produits[Prix Menu]), 0)</f>
        <v>0</v>
      </c>
      <c r="H2687" s="7">
        <f>IFERROR(_xlfn.XLOOKUP(tbl_Ventes[[#This Row],[Cde_Prdt]], tbl_Produits[Cde_Prdt], tbl_Produits[Coût Moyen Portion]), 0)</f>
        <v>0</v>
      </c>
      <c r="I2687" s="7">
        <f>tbl_Ventes[[#This Row],[Qté Vendue]] * tbl_Ventes[[#This Row],[CMP_par_portion]]</f>
        <v>0</v>
      </c>
      <c r="J2687" s="7">
        <f>tbl_Ventes[[#This Row],[CA ligne]] - tbl_Ventes[[#This Row],[Coût matière ligne]]</f>
        <v>0</v>
      </c>
      <c r="K2687" s="7" t="str">
        <f>IFERROR(INDEX(tbl_ProduitsRef[Famille], MATCH(tbl_Ventes[[#This Row],[Cde_Prdt]], tbl_Produits[Cde_Prdt], 0)), "")</f>
        <v/>
      </c>
    </row>
    <row r="2688" spans="1:11" x14ac:dyDescent="0.25">
      <c r="A2688" s="5"/>
      <c r="B2688" s="63" t="str">
        <f>IFERROR(TEXT(tbl_Ventes[[#This Row],[Date]],"mm-aaaa"),"")</f>
        <v>01-1900</v>
      </c>
      <c r="D2688" s="10" t="str">
        <f>IFERROR(
   INDEX(tbl_ProduitsRef[Cde_Prdt],MATCH(tbl_Ventes[[#This Row],[Produit]],tbl_ProduitsRef[Produit],0)),
   ""
)</f>
        <v/>
      </c>
      <c r="E2688" s="7">
        <v>0</v>
      </c>
      <c r="F2688" s="7" t="str">
        <f>IFERROR(
   INDEX(tbl_ProduitsRef[Prix Menu],MATCH(tbl_Ventes[[#This Row],[Produit]],tbl_ProduitsRef[Produit],0)),
   ""
)</f>
        <v/>
      </c>
      <c r="G2688" s="7">
        <f>tbl_Ventes[[#This Row],[Qté Vendue]] * IFERROR(_xlfn.XLOOKUP(tbl_Ventes[[#This Row],[Cde_Prdt]], tbl_Produits[Cde_Prdt], tbl_Produits[Prix Menu]), 0)</f>
        <v>0</v>
      </c>
      <c r="H2688" s="7">
        <f>IFERROR(_xlfn.XLOOKUP(tbl_Ventes[[#This Row],[Cde_Prdt]], tbl_Produits[Cde_Prdt], tbl_Produits[Coût Moyen Portion]), 0)</f>
        <v>0</v>
      </c>
      <c r="I2688" s="7">
        <f>tbl_Ventes[[#This Row],[Qté Vendue]] * tbl_Ventes[[#This Row],[CMP_par_portion]]</f>
        <v>0</v>
      </c>
      <c r="J2688" s="7">
        <f>tbl_Ventes[[#This Row],[CA ligne]] - tbl_Ventes[[#This Row],[Coût matière ligne]]</f>
        <v>0</v>
      </c>
      <c r="K2688" s="7" t="str">
        <f>IFERROR(INDEX(tbl_ProduitsRef[Famille], MATCH(tbl_Ventes[[#This Row],[Cde_Prdt]], tbl_Produits[Cde_Prdt], 0)), "")</f>
        <v/>
      </c>
    </row>
    <row r="2689" spans="1:11" x14ac:dyDescent="0.25">
      <c r="A2689" s="5"/>
      <c r="B2689" s="63" t="str">
        <f>IFERROR(TEXT(tbl_Ventes[[#This Row],[Date]],"mm-aaaa"),"")</f>
        <v>01-1900</v>
      </c>
      <c r="D2689" s="10" t="str">
        <f>IFERROR(
   INDEX(tbl_ProduitsRef[Cde_Prdt],MATCH(tbl_Ventes[[#This Row],[Produit]],tbl_ProduitsRef[Produit],0)),
   ""
)</f>
        <v/>
      </c>
      <c r="E2689" s="7">
        <v>0</v>
      </c>
      <c r="F2689" s="7" t="str">
        <f>IFERROR(
   INDEX(tbl_ProduitsRef[Prix Menu],MATCH(tbl_Ventes[[#This Row],[Produit]],tbl_ProduitsRef[Produit],0)),
   ""
)</f>
        <v/>
      </c>
      <c r="G2689" s="7">
        <f>tbl_Ventes[[#This Row],[Qté Vendue]] * IFERROR(_xlfn.XLOOKUP(tbl_Ventes[[#This Row],[Cde_Prdt]], tbl_Produits[Cde_Prdt], tbl_Produits[Prix Menu]), 0)</f>
        <v>0</v>
      </c>
      <c r="H2689" s="7">
        <f>IFERROR(_xlfn.XLOOKUP(tbl_Ventes[[#This Row],[Cde_Prdt]], tbl_Produits[Cde_Prdt], tbl_Produits[Coût Moyen Portion]), 0)</f>
        <v>0</v>
      </c>
      <c r="I2689" s="7">
        <f>tbl_Ventes[[#This Row],[Qté Vendue]] * tbl_Ventes[[#This Row],[CMP_par_portion]]</f>
        <v>0</v>
      </c>
      <c r="J2689" s="7">
        <f>tbl_Ventes[[#This Row],[CA ligne]] - tbl_Ventes[[#This Row],[Coût matière ligne]]</f>
        <v>0</v>
      </c>
      <c r="K2689" s="7" t="str">
        <f>IFERROR(INDEX(tbl_ProduitsRef[Famille], MATCH(tbl_Ventes[[#This Row],[Cde_Prdt]], tbl_Produits[Cde_Prdt], 0)), "")</f>
        <v/>
      </c>
    </row>
    <row r="2690" spans="1:11" x14ac:dyDescent="0.25">
      <c r="A2690" s="5"/>
      <c r="B2690" s="63" t="str">
        <f>IFERROR(TEXT(tbl_Ventes[[#This Row],[Date]],"mm-aaaa"),"")</f>
        <v>01-1900</v>
      </c>
      <c r="D2690" s="10" t="str">
        <f>IFERROR(
   INDEX(tbl_ProduitsRef[Cde_Prdt],MATCH(tbl_Ventes[[#This Row],[Produit]],tbl_ProduitsRef[Produit],0)),
   ""
)</f>
        <v/>
      </c>
      <c r="E2690" s="7">
        <v>0</v>
      </c>
      <c r="F2690" s="7" t="str">
        <f>IFERROR(
   INDEX(tbl_ProduitsRef[Prix Menu],MATCH(tbl_Ventes[[#This Row],[Produit]],tbl_ProduitsRef[Produit],0)),
   ""
)</f>
        <v/>
      </c>
      <c r="G2690" s="7">
        <f>tbl_Ventes[[#This Row],[Qté Vendue]] * IFERROR(_xlfn.XLOOKUP(tbl_Ventes[[#This Row],[Cde_Prdt]], tbl_Produits[Cde_Prdt], tbl_Produits[Prix Menu]), 0)</f>
        <v>0</v>
      </c>
      <c r="H2690" s="7">
        <f>IFERROR(_xlfn.XLOOKUP(tbl_Ventes[[#This Row],[Cde_Prdt]], tbl_Produits[Cde_Prdt], tbl_Produits[Coût Moyen Portion]), 0)</f>
        <v>0</v>
      </c>
      <c r="I2690" s="7">
        <f>tbl_Ventes[[#This Row],[Qté Vendue]] * tbl_Ventes[[#This Row],[CMP_par_portion]]</f>
        <v>0</v>
      </c>
      <c r="J2690" s="7">
        <f>tbl_Ventes[[#This Row],[CA ligne]] - tbl_Ventes[[#This Row],[Coût matière ligne]]</f>
        <v>0</v>
      </c>
      <c r="K2690" s="7" t="str">
        <f>IFERROR(INDEX(tbl_ProduitsRef[Famille], MATCH(tbl_Ventes[[#This Row],[Cde_Prdt]], tbl_Produits[Cde_Prdt], 0)), "")</f>
        <v/>
      </c>
    </row>
    <row r="2691" spans="1:11" x14ac:dyDescent="0.25">
      <c r="A2691" s="5"/>
      <c r="B2691" s="63" t="str">
        <f>IFERROR(TEXT(tbl_Ventes[[#This Row],[Date]],"mm-aaaa"),"")</f>
        <v>01-1900</v>
      </c>
      <c r="D2691" s="10" t="str">
        <f>IFERROR(
   INDEX(tbl_ProduitsRef[Cde_Prdt],MATCH(tbl_Ventes[[#This Row],[Produit]],tbl_ProduitsRef[Produit],0)),
   ""
)</f>
        <v/>
      </c>
      <c r="E2691" s="7">
        <v>0</v>
      </c>
      <c r="F2691" s="7" t="str">
        <f>IFERROR(
   INDEX(tbl_ProduitsRef[Prix Menu],MATCH(tbl_Ventes[[#This Row],[Produit]],tbl_ProduitsRef[Produit],0)),
   ""
)</f>
        <v/>
      </c>
      <c r="G2691" s="7">
        <f>tbl_Ventes[[#This Row],[Qté Vendue]] * IFERROR(_xlfn.XLOOKUP(tbl_Ventes[[#This Row],[Cde_Prdt]], tbl_Produits[Cde_Prdt], tbl_Produits[Prix Menu]), 0)</f>
        <v>0</v>
      </c>
      <c r="H2691" s="7">
        <f>IFERROR(_xlfn.XLOOKUP(tbl_Ventes[[#This Row],[Cde_Prdt]], tbl_Produits[Cde_Prdt], tbl_Produits[Coût Moyen Portion]), 0)</f>
        <v>0</v>
      </c>
      <c r="I2691" s="7">
        <f>tbl_Ventes[[#This Row],[Qté Vendue]] * tbl_Ventes[[#This Row],[CMP_par_portion]]</f>
        <v>0</v>
      </c>
      <c r="J2691" s="7">
        <f>tbl_Ventes[[#This Row],[CA ligne]] - tbl_Ventes[[#This Row],[Coût matière ligne]]</f>
        <v>0</v>
      </c>
      <c r="K2691" s="7" t="str">
        <f>IFERROR(INDEX(tbl_ProduitsRef[Famille], MATCH(tbl_Ventes[[#This Row],[Cde_Prdt]], tbl_Produits[Cde_Prdt], 0)), "")</f>
        <v/>
      </c>
    </row>
    <row r="2692" spans="1:11" x14ac:dyDescent="0.25">
      <c r="A2692" s="5"/>
      <c r="B2692" s="63" t="str">
        <f>IFERROR(TEXT(tbl_Ventes[[#This Row],[Date]],"mm-aaaa"),"")</f>
        <v>01-1900</v>
      </c>
      <c r="D2692" s="10" t="str">
        <f>IFERROR(
   INDEX(tbl_ProduitsRef[Cde_Prdt],MATCH(tbl_Ventes[[#This Row],[Produit]],tbl_ProduitsRef[Produit],0)),
   ""
)</f>
        <v/>
      </c>
      <c r="E2692" s="7">
        <v>0</v>
      </c>
      <c r="F2692" s="7" t="str">
        <f>IFERROR(
   INDEX(tbl_ProduitsRef[Prix Menu],MATCH(tbl_Ventes[[#This Row],[Produit]],tbl_ProduitsRef[Produit],0)),
   ""
)</f>
        <v/>
      </c>
      <c r="G2692" s="7">
        <f>tbl_Ventes[[#This Row],[Qté Vendue]] * IFERROR(_xlfn.XLOOKUP(tbl_Ventes[[#This Row],[Cde_Prdt]], tbl_Produits[Cde_Prdt], tbl_Produits[Prix Menu]), 0)</f>
        <v>0</v>
      </c>
      <c r="H2692" s="7">
        <f>IFERROR(_xlfn.XLOOKUP(tbl_Ventes[[#This Row],[Cde_Prdt]], tbl_Produits[Cde_Prdt], tbl_Produits[Coût Moyen Portion]), 0)</f>
        <v>0</v>
      </c>
      <c r="I2692" s="7">
        <f>tbl_Ventes[[#This Row],[Qté Vendue]] * tbl_Ventes[[#This Row],[CMP_par_portion]]</f>
        <v>0</v>
      </c>
      <c r="J2692" s="7">
        <f>tbl_Ventes[[#This Row],[CA ligne]] - tbl_Ventes[[#This Row],[Coût matière ligne]]</f>
        <v>0</v>
      </c>
      <c r="K2692" s="7" t="str">
        <f>IFERROR(INDEX(tbl_ProduitsRef[Famille], MATCH(tbl_Ventes[[#This Row],[Cde_Prdt]], tbl_Produits[Cde_Prdt], 0)), "")</f>
        <v/>
      </c>
    </row>
    <row r="2693" spans="1:11" x14ac:dyDescent="0.25">
      <c r="A2693" s="5"/>
      <c r="B2693" s="63" t="str">
        <f>IFERROR(TEXT(tbl_Ventes[[#This Row],[Date]],"mm-aaaa"),"")</f>
        <v>01-1900</v>
      </c>
      <c r="D2693" s="10" t="str">
        <f>IFERROR(
   INDEX(tbl_ProduitsRef[Cde_Prdt],MATCH(tbl_Ventes[[#This Row],[Produit]],tbl_ProduitsRef[Produit],0)),
   ""
)</f>
        <v/>
      </c>
      <c r="E2693" s="7">
        <v>0</v>
      </c>
      <c r="F2693" s="7" t="str">
        <f>IFERROR(
   INDEX(tbl_ProduitsRef[Prix Menu],MATCH(tbl_Ventes[[#This Row],[Produit]],tbl_ProduitsRef[Produit],0)),
   ""
)</f>
        <v/>
      </c>
      <c r="G2693" s="7">
        <f>tbl_Ventes[[#This Row],[Qté Vendue]] * IFERROR(_xlfn.XLOOKUP(tbl_Ventes[[#This Row],[Cde_Prdt]], tbl_Produits[Cde_Prdt], tbl_Produits[Prix Menu]), 0)</f>
        <v>0</v>
      </c>
      <c r="H2693" s="7">
        <f>IFERROR(_xlfn.XLOOKUP(tbl_Ventes[[#This Row],[Cde_Prdt]], tbl_Produits[Cde_Prdt], tbl_Produits[Coût Moyen Portion]), 0)</f>
        <v>0</v>
      </c>
      <c r="I2693" s="7">
        <f>tbl_Ventes[[#This Row],[Qté Vendue]] * tbl_Ventes[[#This Row],[CMP_par_portion]]</f>
        <v>0</v>
      </c>
      <c r="J2693" s="7">
        <f>tbl_Ventes[[#This Row],[CA ligne]] - tbl_Ventes[[#This Row],[Coût matière ligne]]</f>
        <v>0</v>
      </c>
      <c r="K2693" s="7" t="str">
        <f>IFERROR(INDEX(tbl_ProduitsRef[Famille], MATCH(tbl_Ventes[[#This Row],[Cde_Prdt]], tbl_Produits[Cde_Prdt], 0)), "")</f>
        <v/>
      </c>
    </row>
    <row r="2694" spans="1:11" x14ac:dyDescent="0.25">
      <c r="A2694" s="5"/>
      <c r="B2694" s="63" t="str">
        <f>IFERROR(TEXT(tbl_Ventes[[#This Row],[Date]],"mm-aaaa"),"")</f>
        <v>01-1900</v>
      </c>
      <c r="D2694" s="10" t="str">
        <f>IFERROR(
   INDEX(tbl_ProduitsRef[Cde_Prdt],MATCH(tbl_Ventes[[#This Row],[Produit]],tbl_ProduitsRef[Produit],0)),
   ""
)</f>
        <v/>
      </c>
      <c r="E2694" s="7">
        <v>0</v>
      </c>
      <c r="F2694" s="7" t="str">
        <f>IFERROR(
   INDEX(tbl_ProduitsRef[Prix Menu],MATCH(tbl_Ventes[[#This Row],[Produit]],tbl_ProduitsRef[Produit],0)),
   ""
)</f>
        <v/>
      </c>
      <c r="G2694" s="7">
        <f>tbl_Ventes[[#This Row],[Qté Vendue]] * IFERROR(_xlfn.XLOOKUP(tbl_Ventes[[#This Row],[Cde_Prdt]], tbl_Produits[Cde_Prdt], tbl_Produits[Prix Menu]), 0)</f>
        <v>0</v>
      </c>
      <c r="H2694" s="7">
        <f>IFERROR(_xlfn.XLOOKUP(tbl_Ventes[[#This Row],[Cde_Prdt]], tbl_Produits[Cde_Prdt], tbl_Produits[Coût Moyen Portion]), 0)</f>
        <v>0</v>
      </c>
      <c r="I2694" s="7">
        <f>tbl_Ventes[[#This Row],[Qté Vendue]] * tbl_Ventes[[#This Row],[CMP_par_portion]]</f>
        <v>0</v>
      </c>
      <c r="J2694" s="7">
        <f>tbl_Ventes[[#This Row],[CA ligne]] - tbl_Ventes[[#This Row],[Coût matière ligne]]</f>
        <v>0</v>
      </c>
      <c r="K2694" s="7" t="str">
        <f>IFERROR(INDEX(tbl_ProduitsRef[Famille], MATCH(tbl_Ventes[[#This Row],[Cde_Prdt]], tbl_Produits[Cde_Prdt], 0)), "")</f>
        <v/>
      </c>
    </row>
    <row r="2695" spans="1:11" x14ac:dyDescent="0.25">
      <c r="A2695" s="5"/>
      <c r="B2695" s="63" t="str">
        <f>IFERROR(TEXT(tbl_Ventes[[#This Row],[Date]],"mm-aaaa"),"")</f>
        <v>01-1900</v>
      </c>
      <c r="D2695" s="10" t="str">
        <f>IFERROR(
   INDEX(tbl_ProduitsRef[Cde_Prdt],MATCH(tbl_Ventes[[#This Row],[Produit]],tbl_ProduitsRef[Produit],0)),
   ""
)</f>
        <v/>
      </c>
      <c r="E2695" s="7">
        <v>0</v>
      </c>
      <c r="F2695" s="7" t="str">
        <f>IFERROR(
   INDEX(tbl_ProduitsRef[Prix Menu],MATCH(tbl_Ventes[[#This Row],[Produit]],tbl_ProduitsRef[Produit],0)),
   ""
)</f>
        <v/>
      </c>
      <c r="G2695" s="7">
        <f>tbl_Ventes[[#This Row],[Qté Vendue]] * IFERROR(_xlfn.XLOOKUP(tbl_Ventes[[#This Row],[Cde_Prdt]], tbl_Produits[Cde_Prdt], tbl_Produits[Prix Menu]), 0)</f>
        <v>0</v>
      </c>
      <c r="H2695" s="7">
        <f>IFERROR(_xlfn.XLOOKUP(tbl_Ventes[[#This Row],[Cde_Prdt]], tbl_Produits[Cde_Prdt], tbl_Produits[Coût Moyen Portion]), 0)</f>
        <v>0</v>
      </c>
      <c r="I2695" s="7">
        <f>tbl_Ventes[[#This Row],[Qté Vendue]] * tbl_Ventes[[#This Row],[CMP_par_portion]]</f>
        <v>0</v>
      </c>
      <c r="J2695" s="7">
        <f>tbl_Ventes[[#This Row],[CA ligne]] - tbl_Ventes[[#This Row],[Coût matière ligne]]</f>
        <v>0</v>
      </c>
      <c r="K2695" s="7" t="str">
        <f>IFERROR(INDEX(tbl_ProduitsRef[Famille], MATCH(tbl_Ventes[[#This Row],[Cde_Prdt]], tbl_Produits[Cde_Prdt], 0)), "")</f>
        <v/>
      </c>
    </row>
    <row r="2696" spans="1:11" x14ac:dyDescent="0.25">
      <c r="A2696" s="5"/>
      <c r="B2696" s="63" t="str">
        <f>IFERROR(TEXT(tbl_Ventes[[#This Row],[Date]],"mm-aaaa"),"")</f>
        <v>01-1900</v>
      </c>
      <c r="D2696" s="10" t="str">
        <f>IFERROR(
   INDEX(tbl_ProduitsRef[Cde_Prdt],MATCH(tbl_Ventes[[#This Row],[Produit]],tbl_ProduitsRef[Produit],0)),
   ""
)</f>
        <v/>
      </c>
      <c r="E2696" s="7">
        <v>0</v>
      </c>
      <c r="F2696" s="7" t="str">
        <f>IFERROR(
   INDEX(tbl_ProduitsRef[Prix Menu],MATCH(tbl_Ventes[[#This Row],[Produit]],tbl_ProduitsRef[Produit],0)),
   ""
)</f>
        <v/>
      </c>
      <c r="G2696" s="7">
        <f>tbl_Ventes[[#This Row],[Qté Vendue]] * IFERROR(_xlfn.XLOOKUP(tbl_Ventes[[#This Row],[Cde_Prdt]], tbl_Produits[Cde_Prdt], tbl_Produits[Prix Menu]), 0)</f>
        <v>0</v>
      </c>
      <c r="H2696" s="7">
        <f>IFERROR(_xlfn.XLOOKUP(tbl_Ventes[[#This Row],[Cde_Prdt]], tbl_Produits[Cde_Prdt], tbl_Produits[Coût Moyen Portion]), 0)</f>
        <v>0</v>
      </c>
      <c r="I2696" s="7">
        <f>tbl_Ventes[[#This Row],[Qté Vendue]] * tbl_Ventes[[#This Row],[CMP_par_portion]]</f>
        <v>0</v>
      </c>
      <c r="J2696" s="7">
        <f>tbl_Ventes[[#This Row],[CA ligne]] - tbl_Ventes[[#This Row],[Coût matière ligne]]</f>
        <v>0</v>
      </c>
      <c r="K2696" s="7" t="str">
        <f>IFERROR(INDEX(tbl_ProduitsRef[Famille], MATCH(tbl_Ventes[[#This Row],[Cde_Prdt]], tbl_Produits[Cde_Prdt], 0)), "")</f>
        <v/>
      </c>
    </row>
    <row r="2697" spans="1:11" x14ac:dyDescent="0.25">
      <c r="A2697" s="5"/>
      <c r="B2697" s="63" t="str">
        <f>IFERROR(TEXT(tbl_Ventes[[#This Row],[Date]],"mm-aaaa"),"")</f>
        <v>01-1900</v>
      </c>
      <c r="D2697" s="10" t="str">
        <f>IFERROR(
   INDEX(tbl_ProduitsRef[Cde_Prdt],MATCH(tbl_Ventes[[#This Row],[Produit]],tbl_ProduitsRef[Produit],0)),
   ""
)</f>
        <v/>
      </c>
      <c r="E2697" s="7">
        <v>0</v>
      </c>
      <c r="F2697" s="7" t="str">
        <f>IFERROR(
   INDEX(tbl_ProduitsRef[Prix Menu],MATCH(tbl_Ventes[[#This Row],[Produit]],tbl_ProduitsRef[Produit],0)),
   ""
)</f>
        <v/>
      </c>
      <c r="G2697" s="7">
        <f>tbl_Ventes[[#This Row],[Qté Vendue]] * IFERROR(_xlfn.XLOOKUP(tbl_Ventes[[#This Row],[Cde_Prdt]], tbl_Produits[Cde_Prdt], tbl_Produits[Prix Menu]), 0)</f>
        <v>0</v>
      </c>
      <c r="H2697" s="7">
        <f>IFERROR(_xlfn.XLOOKUP(tbl_Ventes[[#This Row],[Cde_Prdt]], tbl_Produits[Cde_Prdt], tbl_Produits[Coût Moyen Portion]), 0)</f>
        <v>0</v>
      </c>
      <c r="I2697" s="7">
        <f>tbl_Ventes[[#This Row],[Qté Vendue]] * tbl_Ventes[[#This Row],[CMP_par_portion]]</f>
        <v>0</v>
      </c>
      <c r="J2697" s="7">
        <f>tbl_Ventes[[#This Row],[CA ligne]] - tbl_Ventes[[#This Row],[Coût matière ligne]]</f>
        <v>0</v>
      </c>
      <c r="K2697" s="7" t="str">
        <f>IFERROR(INDEX(tbl_ProduitsRef[Famille], MATCH(tbl_Ventes[[#This Row],[Cde_Prdt]], tbl_Produits[Cde_Prdt], 0)), "")</f>
        <v/>
      </c>
    </row>
    <row r="2698" spans="1:11" x14ac:dyDescent="0.25">
      <c r="A2698" s="5"/>
      <c r="B2698" s="63" t="str">
        <f>IFERROR(TEXT(tbl_Ventes[[#This Row],[Date]],"mm-aaaa"),"")</f>
        <v>01-1900</v>
      </c>
      <c r="D2698" s="10" t="str">
        <f>IFERROR(
   INDEX(tbl_ProduitsRef[Cde_Prdt],MATCH(tbl_Ventes[[#This Row],[Produit]],tbl_ProduitsRef[Produit],0)),
   ""
)</f>
        <v/>
      </c>
      <c r="E2698" s="7">
        <v>0</v>
      </c>
      <c r="F2698" s="7" t="str">
        <f>IFERROR(
   INDEX(tbl_ProduitsRef[Prix Menu],MATCH(tbl_Ventes[[#This Row],[Produit]],tbl_ProduitsRef[Produit],0)),
   ""
)</f>
        <v/>
      </c>
      <c r="G2698" s="7">
        <f>tbl_Ventes[[#This Row],[Qté Vendue]] * IFERROR(_xlfn.XLOOKUP(tbl_Ventes[[#This Row],[Cde_Prdt]], tbl_Produits[Cde_Prdt], tbl_Produits[Prix Menu]), 0)</f>
        <v>0</v>
      </c>
      <c r="H2698" s="7">
        <f>IFERROR(_xlfn.XLOOKUP(tbl_Ventes[[#This Row],[Cde_Prdt]], tbl_Produits[Cde_Prdt], tbl_Produits[Coût Moyen Portion]), 0)</f>
        <v>0</v>
      </c>
      <c r="I2698" s="7">
        <f>tbl_Ventes[[#This Row],[Qté Vendue]] * tbl_Ventes[[#This Row],[CMP_par_portion]]</f>
        <v>0</v>
      </c>
      <c r="J2698" s="7">
        <f>tbl_Ventes[[#This Row],[CA ligne]] - tbl_Ventes[[#This Row],[Coût matière ligne]]</f>
        <v>0</v>
      </c>
      <c r="K2698" s="7" t="str">
        <f>IFERROR(INDEX(tbl_ProduitsRef[Famille], MATCH(tbl_Ventes[[#This Row],[Cde_Prdt]], tbl_Produits[Cde_Prdt], 0)), "")</f>
        <v/>
      </c>
    </row>
    <row r="2699" spans="1:11" x14ac:dyDescent="0.25">
      <c r="A2699" s="5"/>
      <c r="B2699" s="63" t="str">
        <f>IFERROR(TEXT(tbl_Ventes[[#This Row],[Date]],"mm-aaaa"),"")</f>
        <v>01-1900</v>
      </c>
      <c r="D2699" s="10" t="str">
        <f>IFERROR(
   INDEX(tbl_ProduitsRef[Cde_Prdt],MATCH(tbl_Ventes[[#This Row],[Produit]],tbl_ProduitsRef[Produit],0)),
   ""
)</f>
        <v/>
      </c>
      <c r="E2699" s="7">
        <v>0</v>
      </c>
      <c r="F2699" s="7" t="str">
        <f>IFERROR(
   INDEX(tbl_ProduitsRef[Prix Menu],MATCH(tbl_Ventes[[#This Row],[Produit]],tbl_ProduitsRef[Produit],0)),
   ""
)</f>
        <v/>
      </c>
      <c r="G2699" s="7">
        <f>tbl_Ventes[[#This Row],[Qté Vendue]] * IFERROR(_xlfn.XLOOKUP(tbl_Ventes[[#This Row],[Cde_Prdt]], tbl_Produits[Cde_Prdt], tbl_Produits[Prix Menu]), 0)</f>
        <v>0</v>
      </c>
      <c r="H2699" s="7">
        <f>IFERROR(_xlfn.XLOOKUP(tbl_Ventes[[#This Row],[Cde_Prdt]], tbl_Produits[Cde_Prdt], tbl_Produits[Coût Moyen Portion]), 0)</f>
        <v>0</v>
      </c>
      <c r="I2699" s="7">
        <f>tbl_Ventes[[#This Row],[Qté Vendue]] * tbl_Ventes[[#This Row],[CMP_par_portion]]</f>
        <v>0</v>
      </c>
      <c r="J2699" s="7">
        <f>tbl_Ventes[[#This Row],[CA ligne]] - tbl_Ventes[[#This Row],[Coût matière ligne]]</f>
        <v>0</v>
      </c>
      <c r="K2699" s="7" t="str">
        <f>IFERROR(INDEX(tbl_ProduitsRef[Famille], MATCH(tbl_Ventes[[#This Row],[Cde_Prdt]], tbl_Produits[Cde_Prdt], 0)), "")</f>
        <v/>
      </c>
    </row>
    <row r="2700" spans="1:11" x14ac:dyDescent="0.25">
      <c r="A2700" s="5"/>
      <c r="B2700" s="63" t="str">
        <f>IFERROR(TEXT(tbl_Ventes[[#This Row],[Date]],"mm-aaaa"),"")</f>
        <v>01-1900</v>
      </c>
      <c r="D2700" s="10" t="str">
        <f>IFERROR(
   INDEX(tbl_ProduitsRef[Cde_Prdt],MATCH(tbl_Ventes[[#This Row],[Produit]],tbl_ProduitsRef[Produit],0)),
   ""
)</f>
        <v/>
      </c>
      <c r="E2700" s="7">
        <v>0</v>
      </c>
      <c r="F2700" s="7" t="str">
        <f>IFERROR(
   INDEX(tbl_ProduitsRef[Prix Menu],MATCH(tbl_Ventes[[#This Row],[Produit]],tbl_ProduitsRef[Produit],0)),
   ""
)</f>
        <v/>
      </c>
      <c r="G2700" s="7">
        <f>tbl_Ventes[[#This Row],[Qté Vendue]] * IFERROR(_xlfn.XLOOKUP(tbl_Ventes[[#This Row],[Cde_Prdt]], tbl_Produits[Cde_Prdt], tbl_Produits[Prix Menu]), 0)</f>
        <v>0</v>
      </c>
      <c r="H2700" s="7">
        <f>IFERROR(_xlfn.XLOOKUP(tbl_Ventes[[#This Row],[Cde_Prdt]], tbl_Produits[Cde_Prdt], tbl_Produits[Coût Moyen Portion]), 0)</f>
        <v>0</v>
      </c>
      <c r="I2700" s="7">
        <f>tbl_Ventes[[#This Row],[Qté Vendue]] * tbl_Ventes[[#This Row],[CMP_par_portion]]</f>
        <v>0</v>
      </c>
      <c r="J2700" s="7">
        <f>tbl_Ventes[[#This Row],[CA ligne]] - tbl_Ventes[[#This Row],[Coût matière ligne]]</f>
        <v>0</v>
      </c>
      <c r="K2700" s="7" t="str">
        <f>IFERROR(INDEX(tbl_ProduitsRef[Famille], MATCH(tbl_Ventes[[#This Row],[Cde_Prdt]], tbl_Produits[Cde_Prdt], 0)), "")</f>
        <v/>
      </c>
    </row>
    <row r="2701" spans="1:11" x14ac:dyDescent="0.25">
      <c r="A2701" s="5"/>
      <c r="B2701" s="63" t="str">
        <f>IFERROR(TEXT(tbl_Ventes[[#This Row],[Date]],"mm-aaaa"),"")</f>
        <v>01-1900</v>
      </c>
      <c r="D2701" s="10" t="str">
        <f>IFERROR(
   INDEX(tbl_ProduitsRef[Cde_Prdt],MATCH(tbl_Ventes[[#This Row],[Produit]],tbl_ProduitsRef[Produit],0)),
   ""
)</f>
        <v/>
      </c>
      <c r="E2701" s="7">
        <v>0</v>
      </c>
      <c r="F2701" s="7" t="str">
        <f>IFERROR(
   INDEX(tbl_ProduitsRef[Prix Menu],MATCH(tbl_Ventes[[#This Row],[Produit]],tbl_ProduitsRef[Produit],0)),
   ""
)</f>
        <v/>
      </c>
      <c r="G2701" s="7">
        <f>tbl_Ventes[[#This Row],[Qté Vendue]] * IFERROR(_xlfn.XLOOKUP(tbl_Ventes[[#This Row],[Cde_Prdt]], tbl_Produits[Cde_Prdt], tbl_Produits[Prix Menu]), 0)</f>
        <v>0</v>
      </c>
      <c r="H2701" s="7">
        <f>IFERROR(_xlfn.XLOOKUP(tbl_Ventes[[#This Row],[Cde_Prdt]], tbl_Produits[Cde_Prdt], tbl_Produits[Coût Moyen Portion]), 0)</f>
        <v>0</v>
      </c>
      <c r="I2701" s="7">
        <f>tbl_Ventes[[#This Row],[Qté Vendue]] * tbl_Ventes[[#This Row],[CMP_par_portion]]</f>
        <v>0</v>
      </c>
      <c r="J2701" s="7">
        <f>tbl_Ventes[[#This Row],[CA ligne]] - tbl_Ventes[[#This Row],[Coût matière ligne]]</f>
        <v>0</v>
      </c>
      <c r="K2701" s="7" t="str">
        <f>IFERROR(INDEX(tbl_ProduitsRef[Famille], MATCH(tbl_Ventes[[#This Row],[Cde_Prdt]], tbl_Produits[Cde_Prdt], 0)), "")</f>
        <v/>
      </c>
    </row>
    <row r="2702" spans="1:11" x14ac:dyDescent="0.25">
      <c r="A2702" s="5"/>
      <c r="B2702" s="63" t="str">
        <f>IFERROR(TEXT(tbl_Ventes[[#This Row],[Date]],"mm-aaaa"),"")</f>
        <v>01-1900</v>
      </c>
      <c r="D2702" s="10" t="str">
        <f>IFERROR(
   INDEX(tbl_ProduitsRef[Cde_Prdt],MATCH(tbl_Ventes[[#This Row],[Produit]],tbl_ProduitsRef[Produit],0)),
   ""
)</f>
        <v/>
      </c>
      <c r="E2702" s="7">
        <v>0</v>
      </c>
      <c r="F2702" s="7" t="str">
        <f>IFERROR(
   INDEX(tbl_ProduitsRef[Prix Menu],MATCH(tbl_Ventes[[#This Row],[Produit]],tbl_ProduitsRef[Produit],0)),
   ""
)</f>
        <v/>
      </c>
      <c r="G2702" s="7">
        <f>tbl_Ventes[[#This Row],[Qté Vendue]] * IFERROR(_xlfn.XLOOKUP(tbl_Ventes[[#This Row],[Cde_Prdt]], tbl_Produits[Cde_Prdt], tbl_Produits[Prix Menu]), 0)</f>
        <v>0</v>
      </c>
      <c r="H2702" s="7">
        <f>IFERROR(_xlfn.XLOOKUP(tbl_Ventes[[#This Row],[Cde_Prdt]], tbl_Produits[Cde_Prdt], tbl_Produits[Coût Moyen Portion]), 0)</f>
        <v>0</v>
      </c>
      <c r="I2702" s="7">
        <f>tbl_Ventes[[#This Row],[Qté Vendue]] * tbl_Ventes[[#This Row],[CMP_par_portion]]</f>
        <v>0</v>
      </c>
      <c r="J2702" s="7">
        <f>tbl_Ventes[[#This Row],[CA ligne]] - tbl_Ventes[[#This Row],[Coût matière ligne]]</f>
        <v>0</v>
      </c>
      <c r="K2702" s="7" t="str">
        <f>IFERROR(INDEX(tbl_ProduitsRef[Famille], MATCH(tbl_Ventes[[#This Row],[Cde_Prdt]], tbl_Produits[Cde_Prdt], 0)), "")</f>
        <v/>
      </c>
    </row>
    <row r="2703" spans="1:11" x14ac:dyDescent="0.25">
      <c r="A2703" s="5"/>
      <c r="B2703" s="63" t="str">
        <f>IFERROR(TEXT(tbl_Ventes[[#This Row],[Date]],"mm-aaaa"),"")</f>
        <v>01-1900</v>
      </c>
      <c r="D2703" s="10" t="str">
        <f>IFERROR(
   INDEX(tbl_ProduitsRef[Cde_Prdt],MATCH(tbl_Ventes[[#This Row],[Produit]],tbl_ProduitsRef[Produit],0)),
   ""
)</f>
        <v/>
      </c>
      <c r="E2703" s="7">
        <v>0</v>
      </c>
      <c r="F2703" s="7" t="str">
        <f>IFERROR(
   INDEX(tbl_ProduitsRef[Prix Menu],MATCH(tbl_Ventes[[#This Row],[Produit]],tbl_ProduitsRef[Produit],0)),
   ""
)</f>
        <v/>
      </c>
      <c r="G2703" s="7">
        <f>tbl_Ventes[[#This Row],[Qté Vendue]] * IFERROR(_xlfn.XLOOKUP(tbl_Ventes[[#This Row],[Cde_Prdt]], tbl_Produits[Cde_Prdt], tbl_Produits[Prix Menu]), 0)</f>
        <v>0</v>
      </c>
      <c r="H2703" s="7">
        <f>IFERROR(_xlfn.XLOOKUP(tbl_Ventes[[#This Row],[Cde_Prdt]], tbl_Produits[Cde_Prdt], tbl_Produits[Coût Moyen Portion]), 0)</f>
        <v>0</v>
      </c>
      <c r="I2703" s="7">
        <f>tbl_Ventes[[#This Row],[Qté Vendue]] * tbl_Ventes[[#This Row],[CMP_par_portion]]</f>
        <v>0</v>
      </c>
      <c r="J2703" s="7">
        <f>tbl_Ventes[[#This Row],[CA ligne]] - tbl_Ventes[[#This Row],[Coût matière ligne]]</f>
        <v>0</v>
      </c>
      <c r="K2703" s="7" t="str">
        <f>IFERROR(INDEX(tbl_ProduitsRef[Famille], MATCH(tbl_Ventes[[#This Row],[Cde_Prdt]], tbl_Produits[Cde_Prdt], 0)), "")</f>
        <v/>
      </c>
    </row>
    <row r="2704" spans="1:11" x14ac:dyDescent="0.25">
      <c r="A2704" s="5"/>
      <c r="B2704" s="63" t="str">
        <f>IFERROR(TEXT(tbl_Ventes[[#This Row],[Date]],"mm-aaaa"),"")</f>
        <v>01-1900</v>
      </c>
      <c r="D2704" s="10" t="str">
        <f>IFERROR(
   INDEX(tbl_ProduitsRef[Cde_Prdt],MATCH(tbl_Ventes[[#This Row],[Produit]],tbl_ProduitsRef[Produit],0)),
   ""
)</f>
        <v/>
      </c>
      <c r="E2704" s="7">
        <v>0</v>
      </c>
      <c r="F2704" s="7" t="str">
        <f>IFERROR(
   INDEX(tbl_ProduitsRef[Prix Menu],MATCH(tbl_Ventes[[#This Row],[Produit]],tbl_ProduitsRef[Produit],0)),
   ""
)</f>
        <v/>
      </c>
      <c r="G2704" s="7">
        <f>tbl_Ventes[[#This Row],[Qté Vendue]] * IFERROR(_xlfn.XLOOKUP(tbl_Ventes[[#This Row],[Cde_Prdt]], tbl_Produits[Cde_Prdt], tbl_Produits[Prix Menu]), 0)</f>
        <v>0</v>
      </c>
      <c r="H2704" s="7">
        <f>IFERROR(_xlfn.XLOOKUP(tbl_Ventes[[#This Row],[Cde_Prdt]], tbl_Produits[Cde_Prdt], tbl_Produits[Coût Moyen Portion]), 0)</f>
        <v>0</v>
      </c>
      <c r="I2704" s="7">
        <f>tbl_Ventes[[#This Row],[Qté Vendue]] * tbl_Ventes[[#This Row],[CMP_par_portion]]</f>
        <v>0</v>
      </c>
      <c r="J2704" s="7">
        <f>tbl_Ventes[[#This Row],[CA ligne]] - tbl_Ventes[[#This Row],[Coût matière ligne]]</f>
        <v>0</v>
      </c>
      <c r="K2704" s="7" t="str">
        <f>IFERROR(INDEX(tbl_ProduitsRef[Famille], MATCH(tbl_Ventes[[#This Row],[Cde_Prdt]], tbl_Produits[Cde_Prdt], 0)), "")</f>
        <v/>
      </c>
    </row>
    <row r="2705" spans="1:11" x14ac:dyDescent="0.25">
      <c r="A2705" s="5"/>
      <c r="B2705" s="63" t="str">
        <f>IFERROR(TEXT(tbl_Ventes[[#This Row],[Date]],"mm-aaaa"),"")</f>
        <v>01-1900</v>
      </c>
      <c r="D2705" s="10" t="str">
        <f>IFERROR(
   INDEX(tbl_ProduitsRef[Cde_Prdt],MATCH(tbl_Ventes[[#This Row],[Produit]],tbl_ProduitsRef[Produit],0)),
   ""
)</f>
        <v/>
      </c>
      <c r="E2705" s="7">
        <v>0</v>
      </c>
      <c r="F2705" s="7" t="str">
        <f>IFERROR(
   INDEX(tbl_ProduitsRef[Prix Menu],MATCH(tbl_Ventes[[#This Row],[Produit]],tbl_ProduitsRef[Produit],0)),
   ""
)</f>
        <v/>
      </c>
      <c r="G2705" s="7">
        <f>tbl_Ventes[[#This Row],[Qté Vendue]] * IFERROR(_xlfn.XLOOKUP(tbl_Ventes[[#This Row],[Cde_Prdt]], tbl_Produits[Cde_Prdt], tbl_Produits[Prix Menu]), 0)</f>
        <v>0</v>
      </c>
      <c r="H2705" s="7">
        <f>IFERROR(_xlfn.XLOOKUP(tbl_Ventes[[#This Row],[Cde_Prdt]], tbl_Produits[Cde_Prdt], tbl_Produits[Coût Moyen Portion]), 0)</f>
        <v>0</v>
      </c>
      <c r="I2705" s="7">
        <f>tbl_Ventes[[#This Row],[Qté Vendue]] * tbl_Ventes[[#This Row],[CMP_par_portion]]</f>
        <v>0</v>
      </c>
      <c r="J2705" s="7">
        <f>tbl_Ventes[[#This Row],[CA ligne]] - tbl_Ventes[[#This Row],[Coût matière ligne]]</f>
        <v>0</v>
      </c>
      <c r="K2705" s="7" t="str">
        <f>IFERROR(INDEX(tbl_ProduitsRef[Famille], MATCH(tbl_Ventes[[#This Row],[Cde_Prdt]], tbl_Produits[Cde_Prdt], 0)), "")</f>
        <v/>
      </c>
    </row>
    <row r="2706" spans="1:11" x14ac:dyDescent="0.25">
      <c r="A2706" s="5"/>
      <c r="B2706" s="63" t="str">
        <f>IFERROR(TEXT(tbl_Ventes[[#This Row],[Date]],"mm-aaaa"),"")</f>
        <v>01-1900</v>
      </c>
      <c r="D2706" s="10" t="str">
        <f>IFERROR(
   INDEX(tbl_ProduitsRef[Cde_Prdt],MATCH(tbl_Ventes[[#This Row],[Produit]],tbl_ProduitsRef[Produit],0)),
   ""
)</f>
        <v/>
      </c>
      <c r="E2706" s="7">
        <v>0</v>
      </c>
      <c r="F2706" s="7" t="str">
        <f>IFERROR(
   INDEX(tbl_ProduitsRef[Prix Menu],MATCH(tbl_Ventes[[#This Row],[Produit]],tbl_ProduitsRef[Produit],0)),
   ""
)</f>
        <v/>
      </c>
      <c r="G2706" s="7">
        <f>tbl_Ventes[[#This Row],[Qté Vendue]] * IFERROR(_xlfn.XLOOKUP(tbl_Ventes[[#This Row],[Cde_Prdt]], tbl_Produits[Cde_Prdt], tbl_Produits[Prix Menu]), 0)</f>
        <v>0</v>
      </c>
      <c r="H2706" s="7">
        <f>IFERROR(_xlfn.XLOOKUP(tbl_Ventes[[#This Row],[Cde_Prdt]], tbl_Produits[Cde_Prdt], tbl_Produits[Coût Moyen Portion]), 0)</f>
        <v>0</v>
      </c>
      <c r="I2706" s="7">
        <f>tbl_Ventes[[#This Row],[Qté Vendue]] * tbl_Ventes[[#This Row],[CMP_par_portion]]</f>
        <v>0</v>
      </c>
      <c r="J2706" s="7">
        <f>tbl_Ventes[[#This Row],[CA ligne]] - tbl_Ventes[[#This Row],[Coût matière ligne]]</f>
        <v>0</v>
      </c>
      <c r="K2706" s="7" t="str">
        <f>IFERROR(INDEX(tbl_ProduitsRef[Famille], MATCH(tbl_Ventes[[#This Row],[Cde_Prdt]], tbl_Produits[Cde_Prdt], 0)), "")</f>
        <v/>
      </c>
    </row>
    <row r="2707" spans="1:11" x14ac:dyDescent="0.25">
      <c r="A2707" s="5"/>
      <c r="B2707" s="63" t="str">
        <f>IFERROR(TEXT(tbl_Ventes[[#This Row],[Date]],"mm-aaaa"),"")</f>
        <v>01-1900</v>
      </c>
      <c r="D2707" s="10" t="str">
        <f>IFERROR(
   INDEX(tbl_ProduitsRef[Cde_Prdt],MATCH(tbl_Ventes[[#This Row],[Produit]],tbl_ProduitsRef[Produit],0)),
   ""
)</f>
        <v/>
      </c>
      <c r="E2707" s="7">
        <v>0</v>
      </c>
      <c r="F2707" s="7" t="str">
        <f>IFERROR(
   INDEX(tbl_ProduitsRef[Prix Menu],MATCH(tbl_Ventes[[#This Row],[Produit]],tbl_ProduitsRef[Produit],0)),
   ""
)</f>
        <v/>
      </c>
      <c r="G2707" s="7">
        <f>tbl_Ventes[[#This Row],[Qté Vendue]] * IFERROR(_xlfn.XLOOKUP(tbl_Ventes[[#This Row],[Cde_Prdt]], tbl_Produits[Cde_Prdt], tbl_Produits[Prix Menu]), 0)</f>
        <v>0</v>
      </c>
      <c r="H2707" s="7">
        <f>IFERROR(_xlfn.XLOOKUP(tbl_Ventes[[#This Row],[Cde_Prdt]], tbl_Produits[Cde_Prdt], tbl_Produits[Coût Moyen Portion]), 0)</f>
        <v>0</v>
      </c>
      <c r="I2707" s="7">
        <f>tbl_Ventes[[#This Row],[Qté Vendue]] * tbl_Ventes[[#This Row],[CMP_par_portion]]</f>
        <v>0</v>
      </c>
      <c r="J2707" s="7">
        <f>tbl_Ventes[[#This Row],[CA ligne]] - tbl_Ventes[[#This Row],[Coût matière ligne]]</f>
        <v>0</v>
      </c>
      <c r="K2707" s="7" t="str">
        <f>IFERROR(INDEX(tbl_ProduitsRef[Famille], MATCH(tbl_Ventes[[#This Row],[Cde_Prdt]], tbl_Produits[Cde_Prdt], 0)), "")</f>
        <v/>
      </c>
    </row>
    <row r="2708" spans="1:11" x14ac:dyDescent="0.25">
      <c r="A2708" s="5"/>
      <c r="B2708" s="63" t="str">
        <f>IFERROR(TEXT(tbl_Ventes[[#This Row],[Date]],"mm-aaaa"),"")</f>
        <v>01-1900</v>
      </c>
      <c r="D2708" s="10" t="str">
        <f>IFERROR(
   INDEX(tbl_ProduitsRef[Cde_Prdt],MATCH(tbl_Ventes[[#This Row],[Produit]],tbl_ProduitsRef[Produit],0)),
   ""
)</f>
        <v/>
      </c>
      <c r="E2708" s="7">
        <v>0</v>
      </c>
      <c r="F2708" s="7" t="str">
        <f>IFERROR(
   INDEX(tbl_ProduitsRef[Prix Menu],MATCH(tbl_Ventes[[#This Row],[Produit]],tbl_ProduitsRef[Produit],0)),
   ""
)</f>
        <v/>
      </c>
      <c r="G2708" s="7">
        <f>tbl_Ventes[[#This Row],[Qté Vendue]] * IFERROR(_xlfn.XLOOKUP(tbl_Ventes[[#This Row],[Cde_Prdt]], tbl_Produits[Cde_Prdt], tbl_Produits[Prix Menu]), 0)</f>
        <v>0</v>
      </c>
      <c r="H2708" s="7">
        <f>IFERROR(_xlfn.XLOOKUP(tbl_Ventes[[#This Row],[Cde_Prdt]], tbl_Produits[Cde_Prdt], tbl_Produits[Coût Moyen Portion]), 0)</f>
        <v>0</v>
      </c>
      <c r="I2708" s="7">
        <f>tbl_Ventes[[#This Row],[Qté Vendue]] * tbl_Ventes[[#This Row],[CMP_par_portion]]</f>
        <v>0</v>
      </c>
      <c r="J2708" s="7">
        <f>tbl_Ventes[[#This Row],[CA ligne]] - tbl_Ventes[[#This Row],[Coût matière ligne]]</f>
        <v>0</v>
      </c>
      <c r="K2708" s="7" t="str">
        <f>IFERROR(INDEX(tbl_ProduitsRef[Famille], MATCH(tbl_Ventes[[#This Row],[Cde_Prdt]], tbl_Produits[Cde_Prdt], 0)), "")</f>
        <v/>
      </c>
    </row>
    <row r="2709" spans="1:11" x14ac:dyDescent="0.25">
      <c r="A2709" s="5"/>
      <c r="B2709" s="63" t="str">
        <f>IFERROR(TEXT(tbl_Ventes[[#This Row],[Date]],"mm-aaaa"),"")</f>
        <v>01-1900</v>
      </c>
      <c r="D2709" s="10" t="str">
        <f>IFERROR(
   INDEX(tbl_ProduitsRef[Cde_Prdt],MATCH(tbl_Ventes[[#This Row],[Produit]],tbl_ProduitsRef[Produit],0)),
   ""
)</f>
        <v/>
      </c>
      <c r="E2709" s="7">
        <v>0</v>
      </c>
      <c r="F2709" s="7" t="str">
        <f>IFERROR(
   INDEX(tbl_ProduitsRef[Prix Menu],MATCH(tbl_Ventes[[#This Row],[Produit]],tbl_ProduitsRef[Produit],0)),
   ""
)</f>
        <v/>
      </c>
      <c r="G2709" s="7">
        <f>tbl_Ventes[[#This Row],[Qté Vendue]] * IFERROR(_xlfn.XLOOKUP(tbl_Ventes[[#This Row],[Cde_Prdt]], tbl_Produits[Cde_Prdt], tbl_Produits[Prix Menu]), 0)</f>
        <v>0</v>
      </c>
      <c r="H2709" s="7">
        <f>IFERROR(_xlfn.XLOOKUP(tbl_Ventes[[#This Row],[Cde_Prdt]], tbl_Produits[Cde_Prdt], tbl_Produits[Coût Moyen Portion]), 0)</f>
        <v>0</v>
      </c>
      <c r="I2709" s="7">
        <f>tbl_Ventes[[#This Row],[Qté Vendue]] * tbl_Ventes[[#This Row],[CMP_par_portion]]</f>
        <v>0</v>
      </c>
      <c r="J2709" s="7">
        <f>tbl_Ventes[[#This Row],[CA ligne]] - tbl_Ventes[[#This Row],[Coût matière ligne]]</f>
        <v>0</v>
      </c>
      <c r="K2709" s="7" t="str">
        <f>IFERROR(INDEX(tbl_ProduitsRef[Famille], MATCH(tbl_Ventes[[#This Row],[Cde_Prdt]], tbl_Produits[Cde_Prdt], 0)), "")</f>
        <v/>
      </c>
    </row>
    <row r="2710" spans="1:11" x14ac:dyDescent="0.25">
      <c r="A2710" s="5"/>
      <c r="B2710" s="63" t="str">
        <f>IFERROR(TEXT(tbl_Ventes[[#This Row],[Date]],"mm-aaaa"),"")</f>
        <v>01-1900</v>
      </c>
      <c r="D2710" s="10" t="str">
        <f>IFERROR(
   INDEX(tbl_ProduitsRef[Cde_Prdt],MATCH(tbl_Ventes[[#This Row],[Produit]],tbl_ProduitsRef[Produit],0)),
   ""
)</f>
        <v/>
      </c>
      <c r="E2710" s="7">
        <v>0</v>
      </c>
      <c r="F2710" s="7" t="str">
        <f>IFERROR(
   INDEX(tbl_ProduitsRef[Prix Menu],MATCH(tbl_Ventes[[#This Row],[Produit]],tbl_ProduitsRef[Produit],0)),
   ""
)</f>
        <v/>
      </c>
      <c r="G2710" s="7">
        <f>tbl_Ventes[[#This Row],[Qté Vendue]] * IFERROR(_xlfn.XLOOKUP(tbl_Ventes[[#This Row],[Cde_Prdt]], tbl_Produits[Cde_Prdt], tbl_Produits[Prix Menu]), 0)</f>
        <v>0</v>
      </c>
      <c r="H2710" s="7">
        <f>IFERROR(_xlfn.XLOOKUP(tbl_Ventes[[#This Row],[Cde_Prdt]], tbl_Produits[Cde_Prdt], tbl_Produits[Coût Moyen Portion]), 0)</f>
        <v>0</v>
      </c>
      <c r="I2710" s="7">
        <f>tbl_Ventes[[#This Row],[Qté Vendue]] * tbl_Ventes[[#This Row],[CMP_par_portion]]</f>
        <v>0</v>
      </c>
      <c r="J2710" s="7">
        <f>tbl_Ventes[[#This Row],[CA ligne]] - tbl_Ventes[[#This Row],[Coût matière ligne]]</f>
        <v>0</v>
      </c>
      <c r="K2710" s="7" t="str">
        <f>IFERROR(INDEX(tbl_ProduitsRef[Famille], MATCH(tbl_Ventes[[#This Row],[Cde_Prdt]], tbl_Produits[Cde_Prdt], 0)), "")</f>
        <v/>
      </c>
    </row>
    <row r="2711" spans="1:11" x14ac:dyDescent="0.25">
      <c r="A2711" s="5"/>
      <c r="B2711" s="63" t="str">
        <f>IFERROR(TEXT(tbl_Ventes[[#This Row],[Date]],"mm-aaaa"),"")</f>
        <v>01-1900</v>
      </c>
      <c r="D2711" s="10" t="str">
        <f>IFERROR(
   INDEX(tbl_ProduitsRef[Cde_Prdt],MATCH(tbl_Ventes[[#This Row],[Produit]],tbl_ProduitsRef[Produit],0)),
   ""
)</f>
        <v/>
      </c>
      <c r="E2711" s="7">
        <v>0</v>
      </c>
      <c r="F2711" s="7" t="str">
        <f>IFERROR(
   INDEX(tbl_ProduitsRef[Prix Menu],MATCH(tbl_Ventes[[#This Row],[Produit]],tbl_ProduitsRef[Produit],0)),
   ""
)</f>
        <v/>
      </c>
      <c r="G2711" s="7">
        <f>tbl_Ventes[[#This Row],[Qté Vendue]] * IFERROR(_xlfn.XLOOKUP(tbl_Ventes[[#This Row],[Cde_Prdt]], tbl_Produits[Cde_Prdt], tbl_Produits[Prix Menu]), 0)</f>
        <v>0</v>
      </c>
      <c r="H2711" s="7">
        <f>IFERROR(_xlfn.XLOOKUP(tbl_Ventes[[#This Row],[Cde_Prdt]], tbl_Produits[Cde_Prdt], tbl_Produits[Coût Moyen Portion]), 0)</f>
        <v>0</v>
      </c>
      <c r="I2711" s="7">
        <f>tbl_Ventes[[#This Row],[Qté Vendue]] * tbl_Ventes[[#This Row],[CMP_par_portion]]</f>
        <v>0</v>
      </c>
      <c r="J2711" s="7">
        <f>tbl_Ventes[[#This Row],[CA ligne]] - tbl_Ventes[[#This Row],[Coût matière ligne]]</f>
        <v>0</v>
      </c>
      <c r="K2711" s="7" t="str">
        <f>IFERROR(INDEX(tbl_ProduitsRef[Famille], MATCH(tbl_Ventes[[#This Row],[Cde_Prdt]], tbl_Produits[Cde_Prdt], 0)), "")</f>
        <v/>
      </c>
    </row>
    <row r="2712" spans="1:11" x14ac:dyDescent="0.25">
      <c r="A2712" s="5"/>
      <c r="B2712" s="63" t="str">
        <f>IFERROR(TEXT(tbl_Ventes[[#This Row],[Date]],"mm-aaaa"),"")</f>
        <v>01-1900</v>
      </c>
      <c r="D2712" s="10" t="str">
        <f>IFERROR(
   INDEX(tbl_ProduitsRef[Cde_Prdt],MATCH(tbl_Ventes[[#This Row],[Produit]],tbl_ProduitsRef[Produit],0)),
   ""
)</f>
        <v/>
      </c>
      <c r="E2712" s="7">
        <v>0</v>
      </c>
      <c r="F2712" s="7" t="str">
        <f>IFERROR(
   INDEX(tbl_ProduitsRef[Prix Menu],MATCH(tbl_Ventes[[#This Row],[Produit]],tbl_ProduitsRef[Produit],0)),
   ""
)</f>
        <v/>
      </c>
      <c r="G2712" s="7">
        <f>tbl_Ventes[[#This Row],[Qté Vendue]] * IFERROR(_xlfn.XLOOKUP(tbl_Ventes[[#This Row],[Cde_Prdt]], tbl_Produits[Cde_Prdt], tbl_Produits[Prix Menu]), 0)</f>
        <v>0</v>
      </c>
      <c r="H2712" s="7">
        <f>IFERROR(_xlfn.XLOOKUP(tbl_Ventes[[#This Row],[Cde_Prdt]], tbl_Produits[Cde_Prdt], tbl_Produits[Coût Moyen Portion]), 0)</f>
        <v>0</v>
      </c>
      <c r="I2712" s="7">
        <f>tbl_Ventes[[#This Row],[Qté Vendue]] * tbl_Ventes[[#This Row],[CMP_par_portion]]</f>
        <v>0</v>
      </c>
      <c r="J2712" s="7">
        <f>tbl_Ventes[[#This Row],[CA ligne]] - tbl_Ventes[[#This Row],[Coût matière ligne]]</f>
        <v>0</v>
      </c>
      <c r="K2712" s="7" t="str">
        <f>IFERROR(INDEX(tbl_ProduitsRef[Famille], MATCH(tbl_Ventes[[#This Row],[Cde_Prdt]], tbl_Produits[Cde_Prdt], 0)), "")</f>
        <v/>
      </c>
    </row>
    <row r="2713" spans="1:11" x14ac:dyDescent="0.25">
      <c r="A2713" s="5"/>
      <c r="B2713" s="63" t="str">
        <f>IFERROR(TEXT(tbl_Ventes[[#This Row],[Date]],"mm-aaaa"),"")</f>
        <v>01-1900</v>
      </c>
      <c r="D2713" s="10" t="str">
        <f>IFERROR(
   INDEX(tbl_ProduitsRef[Cde_Prdt],MATCH(tbl_Ventes[[#This Row],[Produit]],tbl_ProduitsRef[Produit],0)),
   ""
)</f>
        <v/>
      </c>
      <c r="E2713" s="7">
        <v>0</v>
      </c>
      <c r="F2713" s="7" t="str">
        <f>IFERROR(
   INDEX(tbl_ProduitsRef[Prix Menu],MATCH(tbl_Ventes[[#This Row],[Produit]],tbl_ProduitsRef[Produit],0)),
   ""
)</f>
        <v/>
      </c>
      <c r="G2713" s="7">
        <f>tbl_Ventes[[#This Row],[Qté Vendue]] * IFERROR(_xlfn.XLOOKUP(tbl_Ventes[[#This Row],[Cde_Prdt]], tbl_Produits[Cde_Prdt], tbl_Produits[Prix Menu]), 0)</f>
        <v>0</v>
      </c>
      <c r="H2713" s="7">
        <f>IFERROR(_xlfn.XLOOKUP(tbl_Ventes[[#This Row],[Cde_Prdt]], tbl_Produits[Cde_Prdt], tbl_Produits[Coût Moyen Portion]), 0)</f>
        <v>0</v>
      </c>
      <c r="I2713" s="7">
        <f>tbl_Ventes[[#This Row],[Qté Vendue]] * tbl_Ventes[[#This Row],[CMP_par_portion]]</f>
        <v>0</v>
      </c>
      <c r="J2713" s="7">
        <f>tbl_Ventes[[#This Row],[CA ligne]] - tbl_Ventes[[#This Row],[Coût matière ligne]]</f>
        <v>0</v>
      </c>
      <c r="K2713" s="7" t="str">
        <f>IFERROR(INDEX(tbl_ProduitsRef[Famille], MATCH(tbl_Ventes[[#This Row],[Cde_Prdt]], tbl_Produits[Cde_Prdt], 0)), "")</f>
        <v/>
      </c>
    </row>
    <row r="2714" spans="1:11" x14ac:dyDescent="0.25">
      <c r="A2714" s="5"/>
      <c r="B2714" s="63" t="str">
        <f>IFERROR(TEXT(tbl_Ventes[[#This Row],[Date]],"mm-aaaa"),"")</f>
        <v>01-1900</v>
      </c>
      <c r="D2714" s="10" t="str">
        <f>IFERROR(
   INDEX(tbl_ProduitsRef[Cde_Prdt],MATCH(tbl_Ventes[[#This Row],[Produit]],tbl_ProduitsRef[Produit],0)),
   ""
)</f>
        <v/>
      </c>
      <c r="E2714" s="7">
        <v>0</v>
      </c>
      <c r="F2714" s="7" t="str">
        <f>IFERROR(
   INDEX(tbl_ProduitsRef[Prix Menu],MATCH(tbl_Ventes[[#This Row],[Produit]],tbl_ProduitsRef[Produit],0)),
   ""
)</f>
        <v/>
      </c>
      <c r="G2714" s="7">
        <f>tbl_Ventes[[#This Row],[Qté Vendue]] * IFERROR(_xlfn.XLOOKUP(tbl_Ventes[[#This Row],[Cde_Prdt]], tbl_Produits[Cde_Prdt], tbl_Produits[Prix Menu]), 0)</f>
        <v>0</v>
      </c>
      <c r="H2714" s="7">
        <f>IFERROR(_xlfn.XLOOKUP(tbl_Ventes[[#This Row],[Cde_Prdt]], tbl_Produits[Cde_Prdt], tbl_Produits[Coût Moyen Portion]), 0)</f>
        <v>0</v>
      </c>
      <c r="I2714" s="7">
        <f>tbl_Ventes[[#This Row],[Qté Vendue]] * tbl_Ventes[[#This Row],[CMP_par_portion]]</f>
        <v>0</v>
      </c>
      <c r="J2714" s="7">
        <f>tbl_Ventes[[#This Row],[CA ligne]] - tbl_Ventes[[#This Row],[Coût matière ligne]]</f>
        <v>0</v>
      </c>
      <c r="K2714" s="7" t="str">
        <f>IFERROR(INDEX(tbl_ProduitsRef[Famille], MATCH(tbl_Ventes[[#This Row],[Cde_Prdt]], tbl_Produits[Cde_Prdt], 0)), "")</f>
        <v/>
      </c>
    </row>
    <row r="2715" spans="1:11" x14ac:dyDescent="0.25">
      <c r="A2715" s="5"/>
      <c r="B2715" s="63" t="str">
        <f>IFERROR(TEXT(tbl_Ventes[[#This Row],[Date]],"mm-aaaa"),"")</f>
        <v>01-1900</v>
      </c>
      <c r="D2715" s="10" t="str">
        <f>IFERROR(
   INDEX(tbl_ProduitsRef[Cde_Prdt],MATCH(tbl_Ventes[[#This Row],[Produit]],tbl_ProduitsRef[Produit],0)),
   ""
)</f>
        <v/>
      </c>
      <c r="E2715" s="7">
        <v>0</v>
      </c>
      <c r="F2715" s="7" t="str">
        <f>IFERROR(
   INDEX(tbl_ProduitsRef[Prix Menu],MATCH(tbl_Ventes[[#This Row],[Produit]],tbl_ProduitsRef[Produit],0)),
   ""
)</f>
        <v/>
      </c>
      <c r="G2715" s="7">
        <f>tbl_Ventes[[#This Row],[Qté Vendue]] * IFERROR(_xlfn.XLOOKUP(tbl_Ventes[[#This Row],[Cde_Prdt]], tbl_Produits[Cde_Prdt], tbl_Produits[Prix Menu]), 0)</f>
        <v>0</v>
      </c>
      <c r="H2715" s="7">
        <f>IFERROR(_xlfn.XLOOKUP(tbl_Ventes[[#This Row],[Cde_Prdt]], tbl_Produits[Cde_Prdt], tbl_Produits[Coût Moyen Portion]), 0)</f>
        <v>0</v>
      </c>
      <c r="I2715" s="7">
        <f>tbl_Ventes[[#This Row],[Qté Vendue]] * tbl_Ventes[[#This Row],[CMP_par_portion]]</f>
        <v>0</v>
      </c>
      <c r="J2715" s="7">
        <f>tbl_Ventes[[#This Row],[CA ligne]] - tbl_Ventes[[#This Row],[Coût matière ligne]]</f>
        <v>0</v>
      </c>
      <c r="K2715" s="7" t="str">
        <f>IFERROR(INDEX(tbl_ProduitsRef[Famille], MATCH(tbl_Ventes[[#This Row],[Cde_Prdt]], tbl_Produits[Cde_Prdt], 0)), "")</f>
        <v/>
      </c>
    </row>
    <row r="2716" spans="1:11" x14ac:dyDescent="0.25">
      <c r="A2716" s="5"/>
      <c r="B2716" s="63" t="str">
        <f>IFERROR(TEXT(tbl_Ventes[[#This Row],[Date]],"mm-aaaa"),"")</f>
        <v>01-1900</v>
      </c>
      <c r="D2716" s="10" t="str">
        <f>IFERROR(
   INDEX(tbl_ProduitsRef[Cde_Prdt],MATCH(tbl_Ventes[[#This Row],[Produit]],tbl_ProduitsRef[Produit],0)),
   ""
)</f>
        <v/>
      </c>
      <c r="E2716" s="7">
        <v>0</v>
      </c>
      <c r="F2716" s="7" t="str">
        <f>IFERROR(
   INDEX(tbl_ProduitsRef[Prix Menu],MATCH(tbl_Ventes[[#This Row],[Produit]],tbl_ProduitsRef[Produit],0)),
   ""
)</f>
        <v/>
      </c>
      <c r="G2716" s="7">
        <f>tbl_Ventes[[#This Row],[Qté Vendue]] * IFERROR(_xlfn.XLOOKUP(tbl_Ventes[[#This Row],[Cde_Prdt]], tbl_Produits[Cde_Prdt], tbl_Produits[Prix Menu]), 0)</f>
        <v>0</v>
      </c>
      <c r="H2716" s="7">
        <f>IFERROR(_xlfn.XLOOKUP(tbl_Ventes[[#This Row],[Cde_Prdt]], tbl_Produits[Cde_Prdt], tbl_Produits[Coût Moyen Portion]), 0)</f>
        <v>0</v>
      </c>
      <c r="I2716" s="7">
        <f>tbl_Ventes[[#This Row],[Qté Vendue]] * tbl_Ventes[[#This Row],[CMP_par_portion]]</f>
        <v>0</v>
      </c>
      <c r="J2716" s="7">
        <f>tbl_Ventes[[#This Row],[CA ligne]] - tbl_Ventes[[#This Row],[Coût matière ligne]]</f>
        <v>0</v>
      </c>
      <c r="K2716" s="7" t="str">
        <f>IFERROR(INDEX(tbl_ProduitsRef[Famille], MATCH(tbl_Ventes[[#This Row],[Cde_Prdt]], tbl_Produits[Cde_Prdt], 0)), "")</f>
        <v/>
      </c>
    </row>
    <row r="2717" spans="1:11" x14ac:dyDescent="0.25">
      <c r="A2717" s="5"/>
      <c r="B2717" s="63" t="str">
        <f>IFERROR(TEXT(tbl_Ventes[[#This Row],[Date]],"mm-aaaa"),"")</f>
        <v>01-1900</v>
      </c>
      <c r="D2717" s="10" t="str">
        <f>IFERROR(
   INDEX(tbl_ProduitsRef[Cde_Prdt],MATCH(tbl_Ventes[[#This Row],[Produit]],tbl_ProduitsRef[Produit],0)),
   ""
)</f>
        <v/>
      </c>
      <c r="E2717" s="7">
        <v>0</v>
      </c>
      <c r="F2717" s="7" t="str">
        <f>IFERROR(
   INDEX(tbl_ProduitsRef[Prix Menu],MATCH(tbl_Ventes[[#This Row],[Produit]],tbl_ProduitsRef[Produit],0)),
   ""
)</f>
        <v/>
      </c>
      <c r="G2717" s="7">
        <f>tbl_Ventes[[#This Row],[Qté Vendue]] * IFERROR(_xlfn.XLOOKUP(tbl_Ventes[[#This Row],[Cde_Prdt]], tbl_Produits[Cde_Prdt], tbl_Produits[Prix Menu]), 0)</f>
        <v>0</v>
      </c>
      <c r="H2717" s="7">
        <f>IFERROR(_xlfn.XLOOKUP(tbl_Ventes[[#This Row],[Cde_Prdt]], tbl_Produits[Cde_Prdt], tbl_Produits[Coût Moyen Portion]), 0)</f>
        <v>0</v>
      </c>
      <c r="I2717" s="7">
        <f>tbl_Ventes[[#This Row],[Qté Vendue]] * tbl_Ventes[[#This Row],[CMP_par_portion]]</f>
        <v>0</v>
      </c>
      <c r="J2717" s="7">
        <f>tbl_Ventes[[#This Row],[CA ligne]] - tbl_Ventes[[#This Row],[Coût matière ligne]]</f>
        <v>0</v>
      </c>
      <c r="K2717" s="7" t="str">
        <f>IFERROR(INDEX(tbl_ProduitsRef[Famille], MATCH(tbl_Ventes[[#This Row],[Cde_Prdt]], tbl_Produits[Cde_Prdt], 0)), "")</f>
        <v/>
      </c>
    </row>
    <row r="2718" spans="1:11" x14ac:dyDescent="0.25">
      <c r="A2718" s="5"/>
      <c r="B2718" s="63" t="str">
        <f>IFERROR(TEXT(tbl_Ventes[[#This Row],[Date]],"mm-aaaa"),"")</f>
        <v>01-1900</v>
      </c>
      <c r="D2718" s="10" t="str">
        <f>IFERROR(
   INDEX(tbl_ProduitsRef[Cde_Prdt],MATCH(tbl_Ventes[[#This Row],[Produit]],tbl_ProduitsRef[Produit],0)),
   ""
)</f>
        <v/>
      </c>
      <c r="E2718" s="7">
        <v>0</v>
      </c>
      <c r="F2718" s="7" t="str">
        <f>IFERROR(
   INDEX(tbl_ProduitsRef[Prix Menu],MATCH(tbl_Ventes[[#This Row],[Produit]],tbl_ProduitsRef[Produit],0)),
   ""
)</f>
        <v/>
      </c>
      <c r="G2718" s="7">
        <f>tbl_Ventes[[#This Row],[Qté Vendue]] * IFERROR(_xlfn.XLOOKUP(tbl_Ventes[[#This Row],[Cde_Prdt]], tbl_Produits[Cde_Prdt], tbl_Produits[Prix Menu]), 0)</f>
        <v>0</v>
      </c>
      <c r="H2718" s="7">
        <f>IFERROR(_xlfn.XLOOKUP(tbl_Ventes[[#This Row],[Cde_Prdt]], tbl_Produits[Cde_Prdt], tbl_Produits[Coût Moyen Portion]), 0)</f>
        <v>0</v>
      </c>
      <c r="I2718" s="7">
        <f>tbl_Ventes[[#This Row],[Qté Vendue]] * tbl_Ventes[[#This Row],[CMP_par_portion]]</f>
        <v>0</v>
      </c>
      <c r="J2718" s="7">
        <f>tbl_Ventes[[#This Row],[CA ligne]] - tbl_Ventes[[#This Row],[Coût matière ligne]]</f>
        <v>0</v>
      </c>
      <c r="K2718" s="7" t="str">
        <f>IFERROR(INDEX(tbl_ProduitsRef[Famille], MATCH(tbl_Ventes[[#This Row],[Cde_Prdt]], tbl_Produits[Cde_Prdt], 0)), "")</f>
        <v/>
      </c>
    </row>
    <row r="2719" spans="1:11" x14ac:dyDescent="0.25">
      <c r="A2719" s="5"/>
      <c r="B2719" s="63" t="str">
        <f>IFERROR(TEXT(tbl_Ventes[[#This Row],[Date]],"mm-aaaa"),"")</f>
        <v>01-1900</v>
      </c>
      <c r="D2719" s="10" t="str">
        <f>IFERROR(
   INDEX(tbl_ProduitsRef[Cde_Prdt],MATCH(tbl_Ventes[[#This Row],[Produit]],tbl_ProduitsRef[Produit],0)),
   ""
)</f>
        <v/>
      </c>
      <c r="E2719" s="7">
        <v>0</v>
      </c>
      <c r="F2719" s="7" t="str">
        <f>IFERROR(
   INDEX(tbl_ProduitsRef[Prix Menu],MATCH(tbl_Ventes[[#This Row],[Produit]],tbl_ProduitsRef[Produit],0)),
   ""
)</f>
        <v/>
      </c>
      <c r="G2719" s="7">
        <f>tbl_Ventes[[#This Row],[Qté Vendue]] * IFERROR(_xlfn.XLOOKUP(tbl_Ventes[[#This Row],[Cde_Prdt]], tbl_Produits[Cde_Prdt], tbl_Produits[Prix Menu]), 0)</f>
        <v>0</v>
      </c>
      <c r="H2719" s="7">
        <f>IFERROR(_xlfn.XLOOKUP(tbl_Ventes[[#This Row],[Cde_Prdt]], tbl_Produits[Cde_Prdt], tbl_Produits[Coût Moyen Portion]), 0)</f>
        <v>0</v>
      </c>
      <c r="I2719" s="7">
        <f>tbl_Ventes[[#This Row],[Qté Vendue]] * tbl_Ventes[[#This Row],[CMP_par_portion]]</f>
        <v>0</v>
      </c>
      <c r="J2719" s="7">
        <f>tbl_Ventes[[#This Row],[CA ligne]] - tbl_Ventes[[#This Row],[Coût matière ligne]]</f>
        <v>0</v>
      </c>
      <c r="K2719" s="7" t="str">
        <f>IFERROR(INDEX(tbl_ProduitsRef[Famille], MATCH(tbl_Ventes[[#This Row],[Cde_Prdt]], tbl_Produits[Cde_Prdt], 0)), "")</f>
        <v/>
      </c>
    </row>
    <row r="2720" spans="1:11" x14ac:dyDescent="0.25">
      <c r="A2720" s="5"/>
      <c r="B2720" s="63" t="str">
        <f>IFERROR(TEXT(tbl_Ventes[[#This Row],[Date]],"mm-aaaa"),"")</f>
        <v>01-1900</v>
      </c>
      <c r="D2720" s="10" t="str">
        <f>IFERROR(
   INDEX(tbl_ProduitsRef[Cde_Prdt],MATCH(tbl_Ventes[[#This Row],[Produit]],tbl_ProduitsRef[Produit],0)),
   ""
)</f>
        <v/>
      </c>
      <c r="E2720" s="7">
        <v>0</v>
      </c>
      <c r="F2720" s="7" t="str">
        <f>IFERROR(
   INDEX(tbl_ProduitsRef[Prix Menu],MATCH(tbl_Ventes[[#This Row],[Produit]],tbl_ProduitsRef[Produit],0)),
   ""
)</f>
        <v/>
      </c>
      <c r="G2720" s="7">
        <f>tbl_Ventes[[#This Row],[Qté Vendue]] * IFERROR(_xlfn.XLOOKUP(tbl_Ventes[[#This Row],[Cde_Prdt]], tbl_Produits[Cde_Prdt], tbl_Produits[Prix Menu]), 0)</f>
        <v>0</v>
      </c>
      <c r="H2720" s="7">
        <f>IFERROR(_xlfn.XLOOKUP(tbl_Ventes[[#This Row],[Cde_Prdt]], tbl_Produits[Cde_Prdt], tbl_Produits[Coût Moyen Portion]), 0)</f>
        <v>0</v>
      </c>
      <c r="I2720" s="7">
        <f>tbl_Ventes[[#This Row],[Qté Vendue]] * tbl_Ventes[[#This Row],[CMP_par_portion]]</f>
        <v>0</v>
      </c>
      <c r="J2720" s="7">
        <f>tbl_Ventes[[#This Row],[CA ligne]] - tbl_Ventes[[#This Row],[Coût matière ligne]]</f>
        <v>0</v>
      </c>
      <c r="K2720" s="7" t="str">
        <f>IFERROR(INDEX(tbl_ProduitsRef[Famille], MATCH(tbl_Ventes[[#This Row],[Cde_Prdt]], tbl_Produits[Cde_Prdt], 0)), "")</f>
        <v/>
      </c>
    </row>
    <row r="2721" spans="1:11" x14ac:dyDescent="0.25">
      <c r="A2721" s="5"/>
      <c r="B2721" s="63" t="str">
        <f>IFERROR(TEXT(tbl_Ventes[[#This Row],[Date]],"mm-aaaa"),"")</f>
        <v>01-1900</v>
      </c>
      <c r="D2721" s="10" t="str">
        <f>IFERROR(
   INDEX(tbl_ProduitsRef[Cde_Prdt],MATCH(tbl_Ventes[[#This Row],[Produit]],tbl_ProduitsRef[Produit],0)),
   ""
)</f>
        <v/>
      </c>
      <c r="E2721" s="7">
        <v>0</v>
      </c>
      <c r="F2721" s="7" t="str">
        <f>IFERROR(
   INDEX(tbl_ProduitsRef[Prix Menu],MATCH(tbl_Ventes[[#This Row],[Produit]],tbl_ProduitsRef[Produit],0)),
   ""
)</f>
        <v/>
      </c>
      <c r="G2721" s="7">
        <f>tbl_Ventes[[#This Row],[Qté Vendue]] * IFERROR(_xlfn.XLOOKUP(tbl_Ventes[[#This Row],[Cde_Prdt]], tbl_Produits[Cde_Prdt], tbl_Produits[Prix Menu]), 0)</f>
        <v>0</v>
      </c>
      <c r="H2721" s="7">
        <f>IFERROR(_xlfn.XLOOKUP(tbl_Ventes[[#This Row],[Cde_Prdt]], tbl_Produits[Cde_Prdt], tbl_Produits[Coût Moyen Portion]), 0)</f>
        <v>0</v>
      </c>
      <c r="I2721" s="7">
        <f>tbl_Ventes[[#This Row],[Qté Vendue]] * tbl_Ventes[[#This Row],[CMP_par_portion]]</f>
        <v>0</v>
      </c>
      <c r="J2721" s="7">
        <f>tbl_Ventes[[#This Row],[CA ligne]] - tbl_Ventes[[#This Row],[Coût matière ligne]]</f>
        <v>0</v>
      </c>
      <c r="K2721" s="7" t="str">
        <f>IFERROR(INDEX(tbl_ProduitsRef[Famille], MATCH(tbl_Ventes[[#This Row],[Cde_Prdt]], tbl_Produits[Cde_Prdt], 0)), "")</f>
        <v/>
      </c>
    </row>
    <row r="2722" spans="1:11" x14ac:dyDescent="0.25">
      <c r="A2722" s="5"/>
      <c r="B2722" s="63" t="str">
        <f>IFERROR(TEXT(tbl_Ventes[[#This Row],[Date]],"mm-aaaa"),"")</f>
        <v>01-1900</v>
      </c>
      <c r="D2722" s="10" t="str">
        <f>IFERROR(
   INDEX(tbl_ProduitsRef[Cde_Prdt],MATCH(tbl_Ventes[[#This Row],[Produit]],tbl_ProduitsRef[Produit],0)),
   ""
)</f>
        <v/>
      </c>
      <c r="E2722" s="7">
        <v>0</v>
      </c>
      <c r="F2722" s="7" t="str">
        <f>IFERROR(
   INDEX(tbl_ProduitsRef[Prix Menu],MATCH(tbl_Ventes[[#This Row],[Produit]],tbl_ProduitsRef[Produit],0)),
   ""
)</f>
        <v/>
      </c>
      <c r="G2722" s="7">
        <f>tbl_Ventes[[#This Row],[Qté Vendue]] * IFERROR(_xlfn.XLOOKUP(tbl_Ventes[[#This Row],[Cde_Prdt]], tbl_Produits[Cde_Prdt], tbl_Produits[Prix Menu]), 0)</f>
        <v>0</v>
      </c>
      <c r="H2722" s="7">
        <f>IFERROR(_xlfn.XLOOKUP(tbl_Ventes[[#This Row],[Cde_Prdt]], tbl_Produits[Cde_Prdt], tbl_Produits[Coût Moyen Portion]), 0)</f>
        <v>0</v>
      </c>
      <c r="I2722" s="7">
        <f>tbl_Ventes[[#This Row],[Qté Vendue]] * tbl_Ventes[[#This Row],[CMP_par_portion]]</f>
        <v>0</v>
      </c>
      <c r="J2722" s="7">
        <f>tbl_Ventes[[#This Row],[CA ligne]] - tbl_Ventes[[#This Row],[Coût matière ligne]]</f>
        <v>0</v>
      </c>
      <c r="K2722" s="7" t="str">
        <f>IFERROR(INDEX(tbl_ProduitsRef[Famille], MATCH(tbl_Ventes[[#This Row],[Cde_Prdt]], tbl_Produits[Cde_Prdt], 0)), "")</f>
        <v/>
      </c>
    </row>
    <row r="2723" spans="1:11" x14ac:dyDescent="0.25">
      <c r="A2723" s="5"/>
      <c r="B2723" s="63" t="str">
        <f>IFERROR(TEXT(tbl_Ventes[[#This Row],[Date]],"mm-aaaa"),"")</f>
        <v>01-1900</v>
      </c>
      <c r="D2723" s="10" t="str">
        <f>IFERROR(
   INDEX(tbl_ProduitsRef[Cde_Prdt],MATCH(tbl_Ventes[[#This Row],[Produit]],tbl_ProduitsRef[Produit],0)),
   ""
)</f>
        <v/>
      </c>
      <c r="E2723" s="7">
        <v>0</v>
      </c>
      <c r="F2723" s="7" t="str">
        <f>IFERROR(
   INDEX(tbl_ProduitsRef[Prix Menu],MATCH(tbl_Ventes[[#This Row],[Produit]],tbl_ProduitsRef[Produit],0)),
   ""
)</f>
        <v/>
      </c>
      <c r="G2723" s="7">
        <f>tbl_Ventes[[#This Row],[Qté Vendue]] * IFERROR(_xlfn.XLOOKUP(tbl_Ventes[[#This Row],[Cde_Prdt]], tbl_Produits[Cde_Prdt], tbl_Produits[Prix Menu]), 0)</f>
        <v>0</v>
      </c>
      <c r="H2723" s="7">
        <f>IFERROR(_xlfn.XLOOKUP(tbl_Ventes[[#This Row],[Cde_Prdt]], tbl_Produits[Cde_Prdt], tbl_Produits[Coût Moyen Portion]), 0)</f>
        <v>0</v>
      </c>
      <c r="I2723" s="7">
        <f>tbl_Ventes[[#This Row],[Qté Vendue]] * tbl_Ventes[[#This Row],[CMP_par_portion]]</f>
        <v>0</v>
      </c>
      <c r="J2723" s="7">
        <f>tbl_Ventes[[#This Row],[CA ligne]] - tbl_Ventes[[#This Row],[Coût matière ligne]]</f>
        <v>0</v>
      </c>
      <c r="K2723" s="7" t="str">
        <f>IFERROR(INDEX(tbl_ProduitsRef[Famille], MATCH(tbl_Ventes[[#This Row],[Cde_Prdt]], tbl_Produits[Cde_Prdt], 0)), "")</f>
        <v/>
      </c>
    </row>
    <row r="2724" spans="1:11" x14ac:dyDescent="0.25">
      <c r="A2724" s="5"/>
      <c r="B2724" s="63" t="str">
        <f>IFERROR(TEXT(tbl_Ventes[[#This Row],[Date]],"mm-aaaa"),"")</f>
        <v>01-1900</v>
      </c>
      <c r="D2724" s="10" t="str">
        <f>IFERROR(
   INDEX(tbl_ProduitsRef[Cde_Prdt],MATCH(tbl_Ventes[[#This Row],[Produit]],tbl_ProduitsRef[Produit],0)),
   ""
)</f>
        <v/>
      </c>
      <c r="E2724" s="7">
        <v>0</v>
      </c>
      <c r="F2724" s="7" t="str">
        <f>IFERROR(
   INDEX(tbl_ProduitsRef[Prix Menu],MATCH(tbl_Ventes[[#This Row],[Produit]],tbl_ProduitsRef[Produit],0)),
   ""
)</f>
        <v/>
      </c>
      <c r="G2724" s="7">
        <f>tbl_Ventes[[#This Row],[Qté Vendue]] * IFERROR(_xlfn.XLOOKUP(tbl_Ventes[[#This Row],[Cde_Prdt]], tbl_Produits[Cde_Prdt], tbl_Produits[Prix Menu]), 0)</f>
        <v>0</v>
      </c>
      <c r="H2724" s="7">
        <f>IFERROR(_xlfn.XLOOKUP(tbl_Ventes[[#This Row],[Cde_Prdt]], tbl_Produits[Cde_Prdt], tbl_Produits[Coût Moyen Portion]), 0)</f>
        <v>0</v>
      </c>
      <c r="I2724" s="7">
        <f>tbl_Ventes[[#This Row],[Qté Vendue]] * tbl_Ventes[[#This Row],[CMP_par_portion]]</f>
        <v>0</v>
      </c>
      <c r="J2724" s="7">
        <f>tbl_Ventes[[#This Row],[CA ligne]] - tbl_Ventes[[#This Row],[Coût matière ligne]]</f>
        <v>0</v>
      </c>
      <c r="K2724" s="7" t="str">
        <f>IFERROR(INDEX(tbl_ProduitsRef[Famille], MATCH(tbl_Ventes[[#This Row],[Cde_Prdt]], tbl_Produits[Cde_Prdt], 0)), "")</f>
        <v/>
      </c>
    </row>
    <row r="2725" spans="1:11" x14ac:dyDescent="0.25">
      <c r="A2725" s="5"/>
      <c r="B2725" s="63" t="str">
        <f>IFERROR(TEXT(tbl_Ventes[[#This Row],[Date]],"mm-aaaa"),"")</f>
        <v>01-1900</v>
      </c>
      <c r="D2725" s="10" t="str">
        <f>IFERROR(
   INDEX(tbl_ProduitsRef[Cde_Prdt],MATCH(tbl_Ventes[[#This Row],[Produit]],tbl_ProduitsRef[Produit],0)),
   ""
)</f>
        <v/>
      </c>
      <c r="E2725" s="7">
        <v>0</v>
      </c>
      <c r="F2725" s="7" t="str">
        <f>IFERROR(
   INDEX(tbl_ProduitsRef[Prix Menu],MATCH(tbl_Ventes[[#This Row],[Produit]],tbl_ProduitsRef[Produit],0)),
   ""
)</f>
        <v/>
      </c>
      <c r="G2725" s="7">
        <f>tbl_Ventes[[#This Row],[Qté Vendue]] * IFERROR(_xlfn.XLOOKUP(tbl_Ventes[[#This Row],[Cde_Prdt]], tbl_Produits[Cde_Prdt], tbl_Produits[Prix Menu]), 0)</f>
        <v>0</v>
      </c>
      <c r="H2725" s="7">
        <f>IFERROR(_xlfn.XLOOKUP(tbl_Ventes[[#This Row],[Cde_Prdt]], tbl_Produits[Cde_Prdt], tbl_Produits[Coût Moyen Portion]), 0)</f>
        <v>0</v>
      </c>
      <c r="I2725" s="7">
        <f>tbl_Ventes[[#This Row],[Qté Vendue]] * tbl_Ventes[[#This Row],[CMP_par_portion]]</f>
        <v>0</v>
      </c>
      <c r="J2725" s="7">
        <f>tbl_Ventes[[#This Row],[CA ligne]] - tbl_Ventes[[#This Row],[Coût matière ligne]]</f>
        <v>0</v>
      </c>
      <c r="K2725" s="7" t="str">
        <f>IFERROR(INDEX(tbl_ProduitsRef[Famille], MATCH(tbl_Ventes[[#This Row],[Cde_Prdt]], tbl_Produits[Cde_Prdt], 0)), "")</f>
        <v/>
      </c>
    </row>
    <row r="2726" spans="1:11" x14ac:dyDescent="0.25">
      <c r="A2726" s="5"/>
      <c r="B2726" s="63" t="str">
        <f>IFERROR(TEXT(tbl_Ventes[[#This Row],[Date]],"mm-aaaa"),"")</f>
        <v>01-1900</v>
      </c>
      <c r="D2726" s="10" t="str">
        <f>IFERROR(
   INDEX(tbl_ProduitsRef[Cde_Prdt],MATCH(tbl_Ventes[[#This Row],[Produit]],tbl_ProduitsRef[Produit],0)),
   ""
)</f>
        <v/>
      </c>
      <c r="E2726" s="7">
        <v>0</v>
      </c>
      <c r="F2726" s="7" t="str">
        <f>IFERROR(
   INDEX(tbl_ProduitsRef[Prix Menu],MATCH(tbl_Ventes[[#This Row],[Produit]],tbl_ProduitsRef[Produit],0)),
   ""
)</f>
        <v/>
      </c>
      <c r="G2726" s="7">
        <f>tbl_Ventes[[#This Row],[Qté Vendue]] * IFERROR(_xlfn.XLOOKUP(tbl_Ventes[[#This Row],[Cde_Prdt]], tbl_Produits[Cde_Prdt], tbl_Produits[Prix Menu]), 0)</f>
        <v>0</v>
      </c>
      <c r="H2726" s="7">
        <f>IFERROR(_xlfn.XLOOKUP(tbl_Ventes[[#This Row],[Cde_Prdt]], tbl_Produits[Cde_Prdt], tbl_Produits[Coût Moyen Portion]), 0)</f>
        <v>0</v>
      </c>
      <c r="I2726" s="7">
        <f>tbl_Ventes[[#This Row],[Qté Vendue]] * tbl_Ventes[[#This Row],[CMP_par_portion]]</f>
        <v>0</v>
      </c>
      <c r="J2726" s="7">
        <f>tbl_Ventes[[#This Row],[CA ligne]] - tbl_Ventes[[#This Row],[Coût matière ligne]]</f>
        <v>0</v>
      </c>
      <c r="K2726" s="7" t="str">
        <f>IFERROR(INDEX(tbl_ProduitsRef[Famille], MATCH(tbl_Ventes[[#This Row],[Cde_Prdt]], tbl_Produits[Cde_Prdt], 0)), "")</f>
        <v/>
      </c>
    </row>
    <row r="2727" spans="1:11" x14ac:dyDescent="0.25">
      <c r="A2727" s="5"/>
      <c r="B2727" s="63" t="str">
        <f>IFERROR(TEXT(tbl_Ventes[[#This Row],[Date]],"mm-aaaa"),"")</f>
        <v>01-1900</v>
      </c>
      <c r="D2727" s="10" t="str">
        <f>IFERROR(
   INDEX(tbl_ProduitsRef[Cde_Prdt],MATCH(tbl_Ventes[[#This Row],[Produit]],tbl_ProduitsRef[Produit],0)),
   ""
)</f>
        <v/>
      </c>
      <c r="E2727" s="7">
        <v>0</v>
      </c>
      <c r="F2727" s="7" t="str">
        <f>IFERROR(
   INDEX(tbl_ProduitsRef[Prix Menu],MATCH(tbl_Ventes[[#This Row],[Produit]],tbl_ProduitsRef[Produit],0)),
   ""
)</f>
        <v/>
      </c>
      <c r="G2727" s="7">
        <f>tbl_Ventes[[#This Row],[Qté Vendue]] * IFERROR(_xlfn.XLOOKUP(tbl_Ventes[[#This Row],[Cde_Prdt]], tbl_Produits[Cde_Prdt], tbl_Produits[Prix Menu]), 0)</f>
        <v>0</v>
      </c>
      <c r="H2727" s="7">
        <f>IFERROR(_xlfn.XLOOKUP(tbl_Ventes[[#This Row],[Cde_Prdt]], tbl_Produits[Cde_Prdt], tbl_Produits[Coût Moyen Portion]), 0)</f>
        <v>0</v>
      </c>
      <c r="I2727" s="7">
        <f>tbl_Ventes[[#This Row],[Qté Vendue]] * tbl_Ventes[[#This Row],[CMP_par_portion]]</f>
        <v>0</v>
      </c>
      <c r="J2727" s="7">
        <f>tbl_Ventes[[#This Row],[CA ligne]] - tbl_Ventes[[#This Row],[Coût matière ligne]]</f>
        <v>0</v>
      </c>
      <c r="K2727" s="7" t="str">
        <f>IFERROR(INDEX(tbl_ProduitsRef[Famille], MATCH(tbl_Ventes[[#This Row],[Cde_Prdt]], tbl_Produits[Cde_Prdt], 0)), "")</f>
        <v/>
      </c>
    </row>
    <row r="2728" spans="1:11" x14ac:dyDescent="0.25">
      <c r="A2728" s="5">
        <v>45823</v>
      </c>
      <c r="B2728" s="63" t="str">
        <f>IFERROR(TEXT(tbl_Ventes[[#This Row],[Date]],"mm-aaaa"),"")</f>
        <v>06-2025</v>
      </c>
      <c r="D2728" s="10" t="str">
        <f>IFERROR(
   INDEX(tbl_ProduitsRef[Cde_Prdt],MATCH(tbl_Ventes[[#This Row],[Produit]],tbl_ProduitsRef[Produit],0)),
   ""
)</f>
        <v/>
      </c>
      <c r="E2728" s="7">
        <v>0</v>
      </c>
      <c r="F2728" s="7" t="str">
        <f>IFERROR(
   INDEX(tbl_ProduitsRef[Prix Menu],MATCH(tbl_Ventes[[#This Row],[Produit]],tbl_ProduitsRef[Produit],0)),
   ""
)</f>
        <v/>
      </c>
      <c r="G2728" s="7">
        <f>tbl_Ventes[[#This Row],[Qté Vendue]] * IFERROR(_xlfn.XLOOKUP(tbl_Ventes[[#This Row],[Cde_Prdt]], tbl_Produits[Cde_Prdt], tbl_Produits[Prix Menu]), 0)</f>
        <v>0</v>
      </c>
      <c r="H2728" s="7">
        <f>IFERROR(_xlfn.XLOOKUP(tbl_Ventes[[#This Row],[Cde_Prdt]], tbl_Produits[Cde_Prdt], tbl_Produits[Coût Moyen Portion]), 0)</f>
        <v>0</v>
      </c>
      <c r="I2728" s="7">
        <f>tbl_Ventes[[#This Row],[Qté Vendue]] * tbl_Ventes[[#This Row],[CMP_par_portion]]</f>
        <v>0</v>
      </c>
      <c r="J2728" s="7">
        <f>tbl_Ventes[[#This Row],[CA ligne]] - tbl_Ventes[[#This Row],[Coût matière ligne]]</f>
        <v>0</v>
      </c>
      <c r="K2728" s="7" t="str">
        <f>IFERROR(INDEX(tbl_ProduitsRef[Famille], MATCH(tbl_Ventes[[#This Row],[Cde_Prdt]], tbl_Produits[Cde_Prdt], 0)), "")</f>
        <v/>
      </c>
    </row>
    <row r="2729" spans="1:11" x14ac:dyDescent="0.25">
      <c r="A2729" s="5"/>
      <c r="B2729" s="63" t="str">
        <f>IFERROR(TEXT(tbl_Ventes[[#This Row],[Date]],"mm-aaaa"),"")</f>
        <v>01-1900</v>
      </c>
      <c r="D2729" s="10" t="str">
        <f>IFERROR(
   INDEX(tbl_ProduitsRef[Cde_Prdt],MATCH(tbl_Ventes[[#This Row],[Produit]],tbl_ProduitsRef[Produit],0)),
   ""
)</f>
        <v/>
      </c>
      <c r="E2729" s="7">
        <v>0</v>
      </c>
      <c r="F2729" s="7" t="str">
        <f>IFERROR(
   INDEX(tbl_ProduitsRef[Prix Menu],MATCH(tbl_Ventes[[#This Row],[Produit]],tbl_ProduitsRef[Produit],0)),
   ""
)</f>
        <v/>
      </c>
      <c r="G2729" s="7">
        <f>tbl_Ventes[[#This Row],[Qté Vendue]] * IFERROR(_xlfn.XLOOKUP(tbl_Ventes[[#This Row],[Cde_Prdt]], tbl_Produits[Cde_Prdt], tbl_Produits[Prix Menu]), 0)</f>
        <v>0</v>
      </c>
      <c r="H2729" s="7">
        <f>IFERROR(_xlfn.XLOOKUP(tbl_Ventes[[#This Row],[Cde_Prdt]], tbl_Produits[Cde_Prdt], tbl_Produits[Coût Moyen Portion]), 0)</f>
        <v>0</v>
      </c>
      <c r="I2729" s="7">
        <f>tbl_Ventes[[#This Row],[Qté Vendue]] * tbl_Ventes[[#This Row],[CMP_par_portion]]</f>
        <v>0</v>
      </c>
      <c r="J2729" s="7">
        <f>tbl_Ventes[[#This Row],[CA ligne]] - tbl_Ventes[[#This Row],[Coût matière ligne]]</f>
        <v>0</v>
      </c>
      <c r="K2729" s="7" t="str">
        <f>IFERROR(INDEX(tbl_ProduitsRef[Famille], MATCH(tbl_Ventes[[#This Row],[Cde_Prdt]], tbl_Produits[Cde_Prdt], 0)), "")</f>
        <v/>
      </c>
    </row>
    <row r="2730" spans="1:11" x14ac:dyDescent="0.25">
      <c r="A2730" s="5"/>
      <c r="B2730" s="63" t="str">
        <f>IFERROR(TEXT(tbl_Ventes[[#This Row],[Date]],"mm-aaaa"),"")</f>
        <v>01-1900</v>
      </c>
      <c r="D2730" s="10" t="str">
        <f>IFERROR(
   INDEX(tbl_ProduitsRef[Cde_Prdt],MATCH(tbl_Ventes[[#This Row],[Produit]],tbl_ProduitsRef[Produit],0)),
   ""
)</f>
        <v/>
      </c>
      <c r="E2730" s="7">
        <v>0</v>
      </c>
      <c r="F2730" s="7" t="str">
        <f>IFERROR(
   INDEX(tbl_ProduitsRef[Prix Menu],MATCH(tbl_Ventes[[#This Row],[Produit]],tbl_ProduitsRef[Produit],0)),
   ""
)</f>
        <v/>
      </c>
      <c r="G2730" s="7">
        <f>tbl_Ventes[[#This Row],[Qté Vendue]] * IFERROR(_xlfn.XLOOKUP(tbl_Ventes[[#This Row],[Cde_Prdt]], tbl_Produits[Cde_Prdt], tbl_Produits[Prix Menu]), 0)</f>
        <v>0</v>
      </c>
      <c r="H2730" s="7">
        <f>IFERROR(_xlfn.XLOOKUP(tbl_Ventes[[#This Row],[Cde_Prdt]], tbl_Produits[Cde_Prdt], tbl_Produits[Coût Moyen Portion]), 0)</f>
        <v>0</v>
      </c>
      <c r="I2730" s="7">
        <f>tbl_Ventes[[#This Row],[Qté Vendue]] * tbl_Ventes[[#This Row],[CMP_par_portion]]</f>
        <v>0</v>
      </c>
      <c r="J2730" s="7">
        <f>tbl_Ventes[[#This Row],[CA ligne]] - tbl_Ventes[[#This Row],[Coût matière ligne]]</f>
        <v>0</v>
      </c>
      <c r="K2730" s="7" t="str">
        <f>IFERROR(INDEX(tbl_ProduitsRef[Famille], MATCH(tbl_Ventes[[#This Row],[Cde_Prdt]], tbl_Produits[Cde_Prdt], 0)), "")</f>
        <v/>
      </c>
    </row>
    <row r="2731" spans="1:11" x14ac:dyDescent="0.25">
      <c r="A2731" s="5"/>
      <c r="B2731" s="63" t="str">
        <f>IFERROR(TEXT(tbl_Ventes[[#This Row],[Date]],"mm-aaaa"),"")</f>
        <v>01-1900</v>
      </c>
      <c r="D2731" s="10" t="str">
        <f>IFERROR(
   INDEX(tbl_ProduitsRef[Cde_Prdt],MATCH(tbl_Ventes[[#This Row],[Produit]],tbl_ProduitsRef[Produit],0)),
   ""
)</f>
        <v/>
      </c>
      <c r="E2731" s="7">
        <v>0</v>
      </c>
      <c r="F2731" s="7" t="str">
        <f>IFERROR(
   INDEX(tbl_ProduitsRef[Prix Menu],MATCH(tbl_Ventes[[#This Row],[Produit]],tbl_ProduitsRef[Produit],0)),
   ""
)</f>
        <v/>
      </c>
      <c r="G2731" s="7">
        <f>tbl_Ventes[[#This Row],[Qté Vendue]] * IFERROR(_xlfn.XLOOKUP(tbl_Ventes[[#This Row],[Cde_Prdt]], tbl_Produits[Cde_Prdt], tbl_Produits[Prix Menu]), 0)</f>
        <v>0</v>
      </c>
      <c r="H2731" s="7">
        <f>IFERROR(_xlfn.XLOOKUP(tbl_Ventes[[#This Row],[Cde_Prdt]], tbl_Produits[Cde_Prdt], tbl_Produits[Coût Moyen Portion]), 0)</f>
        <v>0</v>
      </c>
      <c r="I2731" s="7">
        <f>tbl_Ventes[[#This Row],[Qté Vendue]] * tbl_Ventes[[#This Row],[CMP_par_portion]]</f>
        <v>0</v>
      </c>
      <c r="J2731" s="7">
        <f>tbl_Ventes[[#This Row],[CA ligne]] - tbl_Ventes[[#This Row],[Coût matière ligne]]</f>
        <v>0</v>
      </c>
      <c r="K2731" s="7" t="str">
        <f>IFERROR(INDEX(tbl_ProduitsRef[Famille], MATCH(tbl_Ventes[[#This Row],[Cde_Prdt]], tbl_Produits[Cde_Prdt], 0)), "")</f>
        <v/>
      </c>
    </row>
    <row r="2732" spans="1:11" x14ac:dyDescent="0.25">
      <c r="A2732" s="5"/>
      <c r="B2732" s="63" t="str">
        <f>IFERROR(TEXT(tbl_Ventes[[#This Row],[Date]],"mm-aaaa"),"")</f>
        <v>01-1900</v>
      </c>
      <c r="D2732" s="10" t="str">
        <f>IFERROR(
   INDEX(tbl_ProduitsRef[Cde_Prdt],MATCH(tbl_Ventes[[#This Row],[Produit]],tbl_ProduitsRef[Produit],0)),
   ""
)</f>
        <v/>
      </c>
      <c r="E2732" s="7">
        <v>0</v>
      </c>
      <c r="F2732" s="7" t="str">
        <f>IFERROR(
   INDEX(tbl_ProduitsRef[Prix Menu],MATCH(tbl_Ventes[[#This Row],[Produit]],tbl_ProduitsRef[Produit],0)),
   ""
)</f>
        <v/>
      </c>
      <c r="G2732" s="7">
        <f>tbl_Ventes[[#This Row],[Qté Vendue]] * IFERROR(_xlfn.XLOOKUP(tbl_Ventes[[#This Row],[Cde_Prdt]], tbl_Produits[Cde_Prdt], tbl_Produits[Prix Menu]), 0)</f>
        <v>0</v>
      </c>
      <c r="H2732" s="7">
        <f>IFERROR(_xlfn.XLOOKUP(tbl_Ventes[[#This Row],[Cde_Prdt]], tbl_Produits[Cde_Prdt], tbl_Produits[Coût Moyen Portion]), 0)</f>
        <v>0</v>
      </c>
      <c r="I2732" s="7">
        <f>tbl_Ventes[[#This Row],[Qté Vendue]] * tbl_Ventes[[#This Row],[CMP_par_portion]]</f>
        <v>0</v>
      </c>
      <c r="J2732" s="7">
        <f>tbl_Ventes[[#This Row],[CA ligne]] - tbl_Ventes[[#This Row],[Coût matière ligne]]</f>
        <v>0</v>
      </c>
      <c r="K2732" s="7" t="str">
        <f>IFERROR(INDEX(tbl_ProduitsRef[Famille], MATCH(tbl_Ventes[[#This Row],[Cde_Prdt]], tbl_Produits[Cde_Prdt], 0)), "")</f>
        <v/>
      </c>
    </row>
    <row r="2733" spans="1:11" x14ac:dyDescent="0.25">
      <c r="A2733" s="5"/>
      <c r="B2733" s="63" t="str">
        <f>IFERROR(TEXT(tbl_Ventes[[#This Row],[Date]],"mm-aaaa"),"")</f>
        <v>01-1900</v>
      </c>
      <c r="D2733" s="10" t="str">
        <f>IFERROR(
   INDEX(tbl_ProduitsRef[Cde_Prdt],MATCH(tbl_Ventes[[#This Row],[Produit]],tbl_ProduitsRef[Produit],0)),
   ""
)</f>
        <v/>
      </c>
      <c r="E2733" s="7">
        <v>0</v>
      </c>
      <c r="F2733" s="7" t="str">
        <f>IFERROR(
   INDEX(tbl_ProduitsRef[Prix Menu],MATCH(tbl_Ventes[[#This Row],[Produit]],tbl_ProduitsRef[Produit],0)),
   ""
)</f>
        <v/>
      </c>
      <c r="G2733" s="7">
        <f>tbl_Ventes[[#This Row],[Qté Vendue]] * IFERROR(_xlfn.XLOOKUP(tbl_Ventes[[#This Row],[Cde_Prdt]], tbl_Produits[Cde_Prdt], tbl_Produits[Prix Menu]), 0)</f>
        <v>0</v>
      </c>
      <c r="H2733" s="7">
        <f>IFERROR(_xlfn.XLOOKUP(tbl_Ventes[[#This Row],[Cde_Prdt]], tbl_Produits[Cde_Prdt], tbl_Produits[Coût Moyen Portion]), 0)</f>
        <v>0</v>
      </c>
      <c r="I2733" s="7">
        <f>tbl_Ventes[[#This Row],[Qté Vendue]] * tbl_Ventes[[#This Row],[CMP_par_portion]]</f>
        <v>0</v>
      </c>
      <c r="J2733" s="7">
        <f>tbl_Ventes[[#This Row],[CA ligne]] - tbl_Ventes[[#This Row],[Coût matière ligne]]</f>
        <v>0</v>
      </c>
      <c r="K2733" s="7" t="str">
        <f>IFERROR(INDEX(tbl_ProduitsRef[Famille], MATCH(tbl_Ventes[[#This Row],[Cde_Prdt]], tbl_Produits[Cde_Prdt], 0)), "")</f>
        <v/>
      </c>
    </row>
    <row r="2734" spans="1:11" x14ac:dyDescent="0.25">
      <c r="A2734" s="5"/>
      <c r="B2734" s="63" t="str">
        <f>IFERROR(TEXT(tbl_Ventes[[#This Row],[Date]],"mm-aaaa"),"")</f>
        <v>01-1900</v>
      </c>
      <c r="D2734" s="10" t="str">
        <f>IFERROR(
   INDEX(tbl_ProduitsRef[Cde_Prdt],MATCH(tbl_Ventes[[#This Row],[Produit]],tbl_ProduitsRef[Produit],0)),
   ""
)</f>
        <v/>
      </c>
      <c r="E2734" s="7">
        <v>0</v>
      </c>
      <c r="F2734" s="7" t="str">
        <f>IFERROR(
   INDEX(tbl_ProduitsRef[Prix Menu],MATCH(tbl_Ventes[[#This Row],[Produit]],tbl_ProduitsRef[Produit],0)),
   ""
)</f>
        <v/>
      </c>
      <c r="G2734" s="7">
        <f>tbl_Ventes[[#This Row],[Qté Vendue]] * IFERROR(_xlfn.XLOOKUP(tbl_Ventes[[#This Row],[Cde_Prdt]], tbl_Produits[Cde_Prdt], tbl_Produits[Prix Menu]), 0)</f>
        <v>0</v>
      </c>
      <c r="H2734" s="7">
        <f>IFERROR(_xlfn.XLOOKUP(tbl_Ventes[[#This Row],[Cde_Prdt]], tbl_Produits[Cde_Prdt], tbl_Produits[Coût Moyen Portion]), 0)</f>
        <v>0</v>
      </c>
      <c r="I2734" s="7">
        <f>tbl_Ventes[[#This Row],[Qté Vendue]] * tbl_Ventes[[#This Row],[CMP_par_portion]]</f>
        <v>0</v>
      </c>
      <c r="J2734" s="7">
        <f>tbl_Ventes[[#This Row],[CA ligne]] - tbl_Ventes[[#This Row],[Coût matière ligne]]</f>
        <v>0</v>
      </c>
      <c r="K2734" s="7" t="str">
        <f>IFERROR(INDEX(tbl_ProduitsRef[Famille], MATCH(tbl_Ventes[[#This Row],[Cde_Prdt]], tbl_Produits[Cde_Prdt], 0)), "")</f>
        <v/>
      </c>
    </row>
    <row r="2735" spans="1:11" x14ac:dyDescent="0.25">
      <c r="A2735" s="5"/>
      <c r="B2735" s="63" t="str">
        <f>IFERROR(TEXT(tbl_Ventes[[#This Row],[Date]],"mm-aaaa"),"")</f>
        <v>01-1900</v>
      </c>
      <c r="D2735" s="10" t="str">
        <f>IFERROR(
   INDEX(tbl_ProduitsRef[Cde_Prdt],MATCH(tbl_Ventes[[#This Row],[Produit]],tbl_ProduitsRef[Produit],0)),
   ""
)</f>
        <v/>
      </c>
      <c r="E2735" s="7">
        <v>0</v>
      </c>
      <c r="F2735" s="7" t="str">
        <f>IFERROR(
   INDEX(tbl_ProduitsRef[Prix Menu],MATCH(tbl_Ventes[[#This Row],[Produit]],tbl_ProduitsRef[Produit],0)),
   ""
)</f>
        <v/>
      </c>
      <c r="G2735" s="7">
        <f>tbl_Ventes[[#This Row],[Qté Vendue]] * IFERROR(_xlfn.XLOOKUP(tbl_Ventes[[#This Row],[Cde_Prdt]], tbl_Produits[Cde_Prdt], tbl_Produits[Prix Menu]), 0)</f>
        <v>0</v>
      </c>
      <c r="H2735" s="7">
        <f>IFERROR(_xlfn.XLOOKUP(tbl_Ventes[[#This Row],[Cde_Prdt]], tbl_Produits[Cde_Prdt], tbl_Produits[Coût Moyen Portion]), 0)</f>
        <v>0</v>
      </c>
      <c r="I2735" s="7">
        <f>tbl_Ventes[[#This Row],[Qté Vendue]] * tbl_Ventes[[#This Row],[CMP_par_portion]]</f>
        <v>0</v>
      </c>
      <c r="J2735" s="7">
        <f>tbl_Ventes[[#This Row],[CA ligne]] - tbl_Ventes[[#This Row],[Coût matière ligne]]</f>
        <v>0</v>
      </c>
      <c r="K2735" s="7" t="str">
        <f>IFERROR(INDEX(tbl_ProduitsRef[Famille], MATCH(tbl_Ventes[[#This Row],[Cde_Prdt]], tbl_Produits[Cde_Prdt], 0)), "")</f>
        <v/>
      </c>
    </row>
    <row r="2736" spans="1:11" x14ac:dyDescent="0.25">
      <c r="A2736" s="5"/>
      <c r="B2736" s="63" t="str">
        <f>IFERROR(TEXT(tbl_Ventes[[#This Row],[Date]],"mm-aaaa"),"")</f>
        <v>01-1900</v>
      </c>
      <c r="D2736" s="10" t="str">
        <f>IFERROR(
   INDEX(tbl_ProduitsRef[Cde_Prdt],MATCH(tbl_Ventes[[#This Row],[Produit]],tbl_ProduitsRef[Produit],0)),
   ""
)</f>
        <v/>
      </c>
      <c r="E2736" s="7">
        <v>0</v>
      </c>
      <c r="F2736" s="7" t="str">
        <f>IFERROR(
   INDEX(tbl_ProduitsRef[Prix Menu],MATCH(tbl_Ventes[[#This Row],[Produit]],tbl_ProduitsRef[Produit],0)),
   ""
)</f>
        <v/>
      </c>
      <c r="G2736" s="7">
        <f>tbl_Ventes[[#This Row],[Qté Vendue]] * IFERROR(_xlfn.XLOOKUP(tbl_Ventes[[#This Row],[Cde_Prdt]], tbl_Produits[Cde_Prdt], tbl_Produits[Prix Menu]), 0)</f>
        <v>0</v>
      </c>
      <c r="H2736" s="7">
        <f>IFERROR(_xlfn.XLOOKUP(tbl_Ventes[[#This Row],[Cde_Prdt]], tbl_Produits[Cde_Prdt], tbl_Produits[Coût Moyen Portion]), 0)</f>
        <v>0</v>
      </c>
      <c r="I2736" s="7">
        <f>tbl_Ventes[[#This Row],[Qté Vendue]] * tbl_Ventes[[#This Row],[CMP_par_portion]]</f>
        <v>0</v>
      </c>
      <c r="J2736" s="7">
        <f>tbl_Ventes[[#This Row],[CA ligne]] - tbl_Ventes[[#This Row],[Coût matière ligne]]</f>
        <v>0</v>
      </c>
      <c r="K2736" s="7" t="str">
        <f>IFERROR(INDEX(tbl_ProduitsRef[Famille], MATCH(tbl_Ventes[[#This Row],[Cde_Prdt]], tbl_Produits[Cde_Prdt], 0)), "")</f>
        <v/>
      </c>
    </row>
    <row r="2737" spans="1:11" x14ac:dyDescent="0.25">
      <c r="A2737" s="5"/>
      <c r="B2737" s="63" t="str">
        <f>IFERROR(TEXT(tbl_Ventes[[#This Row],[Date]],"mm-aaaa"),"")</f>
        <v>01-1900</v>
      </c>
      <c r="D2737" s="10" t="str">
        <f>IFERROR(
   INDEX(tbl_ProduitsRef[Cde_Prdt],MATCH(tbl_Ventes[[#This Row],[Produit]],tbl_ProduitsRef[Produit],0)),
   ""
)</f>
        <v/>
      </c>
      <c r="E2737" s="7">
        <v>0</v>
      </c>
      <c r="F2737" s="7" t="str">
        <f>IFERROR(
   INDEX(tbl_ProduitsRef[Prix Menu],MATCH(tbl_Ventes[[#This Row],[Produit]],tbl_ProduitsRef[Produit],0)),
   ""
)</f>
        <v/>
      </c>
      <c r="G2737" s="7">
        <f>tbl_Ventes[[#This Row],[Qté Vendue]] * IFERROR(_xlfn.XLOOKUP(tbl_Ventes[[#This Row],[Cde_Prdt]], tbl_Produits[Cde_Prdt], tbl_Produits[Prix Menu]), 0)</f>
        <v>0</v>
      </c>
      <c r="H2737" s="7">
        <f>IFERROR(_xlfn.XLOOKUP(tbl_Ventes[[#This Row],[Cde_Prdt]], tbl_Produits[Cde_Prdt], tbl_Produits[Coût Moyen Portion]), 0)</f>
        <v>0</v>
      </c>
      <c r="I2737" s="7">
        <f>tbl_Ventes[[#This Row],[Qté Vendue]] * tbl_Ventes[[#This Row],[CMP_par_portion]]</f>
        <v>0</v>
      </c>
      <c r="J2737" s="7">
        <f>tbl_Ventes[[#This Row],[CA ligne]] - tbl_Ventes[[#This Row],[Coût matière ligne]]</f>
        <v>0</v>
      </c>
      <c r="K2737" s="7" t="str">
        <f>IFERROR(INDEX(tbl_ProduitsRef[Famille], MATCH(tbl_Ventes[[#This Row],[Cde_Prdt]], tbl_Produits[Cde_Prdt], 0)), "")</f>
        <v/>
      </c>
    </row>
    <row r="2738" spans="1:11" x14ac:dyDescent="0.25">
      <c r="A2738" s="5"/>
      <c r="B2738" s="63" t="str">
        <f>IFERROR(TEXT(tbl_Ventes[[#This Row],[Date]],"mm-aaaa"),"")</f>
        <v>01-1900</v>
      </c>
      <c r="D2738" s="10" t="str">
        <f>IFERROR(
   INDEX(tbl_ProduitsRef[Cde_Prdt],MATCH(tbl_Ventes[[#This Row],[Produit]],tbl_ProduitsRef[Produit],0)),
   ""
)</f>
        <v/>
      </c>
      <c r="E2738" s="7">
        <v>0</v>
      </c>
      <c r="F2738" s="7" t="str">
        <f>IFERROR(
   INDEX(tbl_ProduitsRef[Prix Menu],MATCH(tbl_Ventes[[#This Row],[Produit]],tbl_ProduitsRef[Produit],0)),
   ""
)</f>
        <v/>
      </c>
      <c r="G2738" s="7">
        <f>tbl_Ventes[[#This Row],[Qté Vendue]] * IFERROR(_xlfn.XLOOKUP(tbl_Ventes[[#This Row],[Cde_Prdt]], tbl_Produits[Cde_Prdt], tbl_Produits[Prix Menu]), 0)</f>
        <v>0</v>
      </c>
      <c r="H2738" s="7">
        <f>IFERROR(_xlfn.XLOOKUP(tbl_Ventes[[#This Row],[Cde_Prdt]], tbl_Produits[Cde_Prdt], tbl_Produits[Coût Moyen Portion]), 0)</f>
        <v>0</v>
      </c>
      <c r="I2738" s="7">
        <f>tbl_Ventes[[#This Row],[Qté Vendue]] * tbl_Ventes[[#This Row],[CMP_par_portion]]</f>
        <v>0</v>
      </c>
      <c r="J2738" s="7">
        <f>tbl_Ventes[[#This Row],[CA ligne]] - tbl_Ventes[[#This Row],[Coût matière ligne]]</f>
        <v>0</v>
      </c>
      <c r="K2738" s="7" t="str">
        <f>IFERROR(INDEX(tbl_ProduitsRef[Famille], MATCH(tbl_Ventes[[#This Row],[Cde_Prdt]], tbl_Produits[Cde_Prdt], 0)), "")</f>
        <v/>
      </c>
    </row>
    <row r="2739" spans="1:11" x14ac:dyDescent="0.25">
      <c r="A2739" s="5"/>
      <c r="B2739" s="63" t="str">
        <f>IFERROR(TEXT(tbl_Ventes[[#This Row],[Date]],"mm-aaaa"),"")</f>
        <v>01-1900</v>
      </c>
      <c r="D2739" s="10" t="str">
        <f>IFERROR(
   INDEX(tbl_ProduitsRef[Cde_Prdt],MATCH(tbl_Ventes[[#This Row],[Produit]],tbl_ProduitsRef[Produit],0)),
   ""
)</f>
        <v/>
      </c>
      <c r="E2739" s="7">
        <v>0</v>
      </c>
      <c r="F2739" s="7" t="str">
        <f>IFERROR(
   INDEX(tbl_ProduitsRef[Prix Menu],MATCH(tbl_Ventes[[#This Row],[Produit]],tbl_ProduitsRef[Produit],0)),
   ""
)</f>
        <v/>
      </c>
      <c r="G2739" s="7">
        <f>tbl_Ventes[[#This Row],[Qté Vendue]] * IFERROR(_xlfn.XLOOKUP(tbl_Ventes[[#This Row],[Cde_Prdt]], tbl_Produits[Cde_Prdt], tbl_Produits[Prix Menu]), 0)</f>
        <v>0</v>
      </c>
      <c r="H2739" s="7">
        <f>IFERROR(_xlfn.XLOOKUP(tbl_Ventes[[#This Row],[Cde_Prdt]], tbl_Produits[Cde_Prdt], tbl_Produits[Coût Moyen Portion]), 0)</f>
        <v>0</v>
      </c>
      <c r="I2739" s="7">
        <f>tbl_Ventes[[#This Row],[Qté Vendue]] * tbl_Ventes[[#This Row],[CMP_par_portion]]</f>
        <v>0</v>
      </c>
      <c r="J2739" s="7">
        <f>tbl_Ventes[[#This Row],[CA ligne]] - tbl_Ventes[[#This Row],[Coût matière ligne]]</f>
        <v>0</v>
      </c>
      <c r="K2739" s="7" t="str">
        <f>IFERROR(INDEX(tbl_ProduitsRef[Famille], MATCH(tbl_Ventes[[#This Row],[Cde_Prdt]], tbl_Produits[Cde_Prdt], 0)), "")</f>
        <v/>
      </c>
    </row>
    <row r="2740" spans="1:11" x14ac:dyDescent="0.25">
      <c r="A2740" s="5"/>
      <c r="B2740" s="63" t="str">
        <f>IFERROR(TEXT(tbl_Ventes[[#This Row],[Date]],"mm-aaaa"),"")</f>
        <v>01-1900</v>
      </c>
      <c r="D2740" s="10" t="str">
        <f>IFERROR(
   INDEX(tbl_ProduitsRef[Cde_Prdt],MATCH(tbl_Ventes[[#This Row],[Produit]],tbl_ProduitsRef[Produit],0)),
   ""
)</f>
        <v/>
      </c>
      <c r="E2740" s="7">
        <v>0</v>
      </c>
      <c r="F2740" s="7" t="str">
        <f>IFERROR(
   INDEX(tbl_ProduitsRef[Prix Menu],MATCH(tbl_Ventes[[#This Row],[Produit]],tbl_ProduitsRef[Produit],0)),
   ""
)</f>
        <v/>
      </c>
      <c r="G2740" s="7">
        <f>tbl_Ventes[[#This Row],[Qté Vendue]] * IFERROR(_xlfn.XLOOKUP(tbl_Ventes[[#This Row],[Cde_Prdt]], tbl_Produits[Cde_Prdt], tbl_Produits[Prix Menu]), 0)</f>
        <v>0</v>
      </c>
      <c r="H2740" s="7">
        <f>IFERROR(_xlfn.XLOOKUP(tbl_Ventes[[#This Row],[Cde_Prdt]], tbl_Produits[Cde_Prdt], tbl_Produits[Coût Moyen Portion]), 0)</f>
        <v>0</v>
      </c>
      <c r="I2740" s="7">
        <f>tbl_Ventes[[#This Row],[Qté Vendue]] * tbl_Ventes[[#This Row],[CMP_par_portion]]</f>
        <v>0</v>
      </c>
      <c r="J2740" s="7">
        <f>tbl_Ventes[[#This Row],[CA ligne]] - tbl_Ventes[[#This Row],[Coût matière ligne]]</f>
        <v>0</v>
      </c>
      <c r="K2740" s="7" t="str">
        <f>IFERROR(INDEX(tbl_ProduitsRef[Famille], MATCH(tbl_Ventes[[#This Row],[Cde_Prdt]], tbl_Produits[Cde_Prdt], 0)), "")</f>
        <v/>
      </c>
    </row>
    <row r="2741" spans="1:11" x14ac:dyDescent="0.25">
      <c r="A2741" s="5"/>
      <c r="B2741" s="63" t="str">
        <f>IFERROR(TEXT(tbl_Ventes[[#This Row],[Date]],"mm-aaaa"),"")</f>
        <v>01-1900</v>
      </c>
      <c r="D2741" s="10" t="str">
        <f>IFERROR(
   INDEX(tbl_ProduitsRef[Cde_Prdt],MATCH(tbl_Ventes[[#This Row],[Produit]],tbl_ProduitsRef[Produit],0)),
   ""
)</f>
        <v/>
      </c>
      <c r="E2741" s="7">
        <v>0</v>
      </c>
      <c r="F2741" s="7" t="str">
        <f>IFERROR(
   INDEX(tbl_ProduitsRef[Prix Menu],MATCH(tbl_Ventes[[#This Row],[Produit]],tbl_ProduitsRef[Produit],0)),
   ""
)</f>
        <v/>
      </c>
      <c r="G2741" s="7">
        <f>tbl_Ventes[[#This Row],[Qté Vendue]] * IFERROR(_xlfn.XLOOKUP(tbl_Ventes[[#This Row],[Cde_Prdt]], tbl_Produits[Cde_Prdt], tbl_Produits[Prix Menu]), 0)</f>
        <v>0</v>
      </c>
      <c r="H2741" s="7">
        <f>IFERROR(_xlfn.XLOOKUP(tbl_Ventes[[#This Row],[Cde_Prdt]], tbl_Produits[Cde_Prdt], tbl_Produits[Coût Moyen Portion]), 0)</f>
        <v>0</v>
      </c>
      <c r="I2741" s="7">
        <f>tbl_Ventes[[#This Row],[Qté Vendue]] * tbl_Ventes[[#This Row],[CMP_par_portion]]</f>
        <v>0</v>
      </c>
      <c r="J2741" s="7">
        <f>tbl_Ventes[[#This Row],[CA ligne]] - tbl_Ventes[[#This Row],[Coût matière ligne]]</f>
        <v>0</v>
      </c>
      <c r="K2741" s="7" t="str">
        <f>IFERROR(INDEX(tbl_ProduitsRef[Famille], MATCH(tbl_Ventes[[#This Row],[Cde_Prdt]], tbl_Produits[Cde_Prdt], 0)), "")</f>
        <v/>
      </c>
    </row>
    <row r="2742" spans="1:11" x14ac:dyDescent="0.25">
      <c r="A2742" s="5"/>
      <c r="B2742" s="63" t="str">
        <f>IFERROR(TEXT(tbl_Ventes[[#This Row],[Date]],"mm-aaaa"),"")</f>
        <v>01-1900</v>
      </c>
      <c r="D2742" s="10" t="str">
        <f>IFERROR(
   INDEX(tbl_ProduitsRef[Cde_Prdt],MATCH(tbl_Ventes[[#This Row],[Produit]],tbl_ProduitsRef[Produit],0)),
   ""
)</f>
        <v/>
      </c>
      <c r="E2742" s="7">
        <v>0</v>
      </c>
      <c r="F2742" s="7" t="str">
        <f>IFERROR(
   INDEX(tbl_ProduitsRef[Prix Menu],MATCH(tbl_Ventes[[#This Row],[Produit]],tbl_ProduitsRef[Produit],0)),
   ""
)</f>
        <v/>
      </c>
      <c r="G2742" s="7">
        <f>tbl_Ventes[[#This Row],[Qté Vendue]] * IFERROR(_xlfn.XLOOKUP(tbl_Ventes[[#This Row],[Cde_Prdt]], tbl_Produits[Cde_Prdt], tbl_Produits[Prix Menu]), 0)</f>
        <v>0</v>
      </c>
      <c r="H2742" s="7">
        <f>IFERROR(_xlfn.XLOOKUP(tbl_Ventes[[#This Row],[Cde_Prdt]], tbl_Produits[Cde_Prdt], tbl_Produits[Coût Moyen Portion]), 0)</f>
        <v>0</v>
      </c>
      <c r="I2742" s="7">
        <f>tbl_Ventes[[#This Row],[Qté Vendue]] * tbl_Ventes[[#This Row],[CMP_par_portion]]</f>
        <v>0</v>
      </c>
      <c r="J2742" s="7">
        <f>tbl_Ventes[[#This Row],[CA ligne]] - tbl_Ventes[[#This Row],[Coût matière ligne]]</f>
        <v>0</v>
      </c>
      <c r="K2742" s="7" t="str">
        <f>IFERROR(INDEX(tbl_ProduitsRef[Famille], MATCH(tbl_Ventes[[#This Row],[Cde_Prdt]], tbl_Produits[Cde_Prdt], 0)), "")</f>
        <v/>
      </c>
    </row>
    <row r="2743" spans="1:11" x14ac:dyDescent="0.25">
      <c r="A2743" s="5"/>
      <c r="B2743" s="63" t="str">
        <f>IFERROR(TEXT(tbl_Ventes[[#This Row],[Date]],"mm-aaaa"),"")</f>
        <v>01-1900</v>
      </c>
      <c r="D2743" s="10" t="str">
        <f>IFERROR(
   INDEX(tbl_ProduitsRef[Cde_Prdt],MATCH(tbl_Ventes[[#This Row],[Produit]],tbl_ProduitsRef[Produit],0)),
   ""
)</f>
        <v/>
      </c>
      <c r="E2743" s="7">
        <v>0</v>
      </c>
      <c r="F2743" s="7" t="str">
        <f>IFERROR(
   INDEX(tbl_ProduitsRef[Prix Menu],MATCH(tbl_Ventes[[#This Row],[Produit]],tbl_ProduitsRef[Produit],0)),
   ""
)</f>
        <v/>
      </c>
      <c r="G2743" s="7">
        <f>tbl_Ventes[[#This Row],[Qté Vendue]] * IFERROR(_xlfn.XLOOKUP(tbl_Ventes[[#This Row],[Cde_Prdt]], tbl_Produits[Cde_Prdt], tbl_Produits[Prix Menu]), 0)</f>
        <v>0</v>
      </c>
      <c r="H2743" s="7">
        <f>IFERROR(_xlfn.XLOOKUP(tbl_Ventes[[#This Row],[Cde_Prdt]], tbl_Produits[Cde_Prdt], tbl_Produits[Coût Moyen Portion]), 0)</f>
        <v>0</v>
      </c>
      <c r="I2743" s="7">
        <f>tbl_Ventes[[#This Row],[Qté Vendue]] * tbl_Ventes[[#This Row],[CMP_par_portion]]</f>
        <v>0</v>
      </c>
      <c r="J2743" s="7">
        <f>tbl_Ventes[[#This Row],[CA ligne]] - tbl_Ventes[[#This Row],[Coût matière ligne]]</f>
        <v>0</v>
      </c>
      <c r="K2743" s="7" t="str">
        <f>IFERROR(INDEX(tbl_ProduitsRef[Famille], MATCH(tbl_Ventes[[#This Row],[Cde_Prdt]], tbl_Produits[Cde_Prdt], 0)), "")</f>
        <v/>
      </c>
    </row>
    <row r="2744" spans="1:11" x14ac:dyDescent="0.25">
      <c r="A2744" s="5"/>
      <c r="B2744" s="63" t="str">
        <f>IFERROR(TEXT(tbl_Ventes[[#This Row],[Date]],"mm-aaaa"),"")</f>
        <v>01-1900</v>
      </c>
      <c r="D2744" s="10" t="str">
        <f>IFERROR(
   INDEX(tbl_ProduitsRef[Cde_Prdt],MATCH(tbl_Ventes[[#This Row],[Produit]],tbl_ProduitsRef[Produit],0)),
   ""
)</f>
        <v/>
      </c>
      <c r="E2744" s="7">
        <v>0</v>
      </c>
      <c r="F2744" s="7" t="str">
        <f>IFERROR(
   INDEX(tbl_ProduitsRef[Prix Menu],MATCH(tbl_Ventes[[#This Row],[Produit]],tbl_ProduitsRef[Produit],0)),
   ""
)</f>
        <v/>
      </c>
      <c r="G2744" s="7">
        <f>tbl_Ventes[[#This Row],[Qté Vendue]] * IFERROR(_xlfn.XLOOKUP(tbl_Ventes[[#This Row],[Cde_Prdt]], tbl_Produits[Cde_Prdt], tbl_Produits[Prix Menu]), 0)</f>
        <v>0</v>
      </c>
      <c r="H2744" s="7">
        <f>IFERROR(_xlfn.XLOOKUP(tbl_Ventes[[#This Row],[Cde_Prdt]], tbl_Produits[Cde_Prdt], tbl_Produits[Coût Moyen Portion]), 0)</f>
        <v>0</v>
      </c>
      <c r="I2744" s="7">
        <f>tbl_Ventes[[#This Row],[Qté Vendue]] * tbl_Ventes[[#This Row],[CMP_par_portion]]</f>
        <v>0</v>
      </c>
      <c r="J2744" s="7">
        <f>tbl_Ventes[[#This Row],[CA ligne]] - tbl_Ventes[[#This Row],[Coût matière ligne]]</f>
        <v>0</v>
      </c>
      <c r="K2744" s="7" t="str">
        <f>IFERROR(INDEX(tbl_ProduitsRef[Famille], MATCH(tbl_Ventes[[#This Row],[Cde_Prdt]], tbl_Produits[Cde_Prdt], 0)), "")</f>
        <v/>
      </c>
    </row>
    <row r="2745" spans="1:11" x14ac:dyDescent="0.25">
      <c r="A2745" s="5"/>
      <c r="B2745" s="63" t="str">
        <f>IFERROR(TEXT(tbl_Ventes[[#This Row],[Date]],"mm-aaaa"),"")</f>
        <v>01-1900</v>
      </c>
      <c r="D2745" s="10" t="str">
        <f>IFERROR(
   INDEX(tbl_ProduitsRef[Cde_Prdt],MATCH(tbl_Ventes[[#This Row],[Produit]],tbl_ProduitsRef[Produit],0)),
   ""
)</f>
        <v/>
      </c>
      <c r="E2745" s="7">
        <v>0</v>
      </c>
      <c r="F2745" s="7" t="str">
        <f>IFERROR(
   INDEX(tbl_ProduitsRef[Prix Menu],MATCH(tbl_Ventes[[#This Row],[Produit]],tbl_ProduitsRef[Produit],0)),
   ""
)</f>
        <v/>
      </c>
      <c r="G2745" s="7">
        <f>tbl_Ventes[[#This Row],[Qté Vendue]] * IFERROR(_xlfn.XLOOKUP(tbl_Ventes[[#This Row],[Cde_Prdt]], tbl_Produits[Cde_Prdt], tbl_Produits[Prix Menu]), 0)</f>
        <v>0</v>
      </c>
      <c r="H2745" s="7">
        <f>IFERROR(_xlfn.XLOOKUP(tbl_Ventes[[#This Row],[Cde_Prdt]], tbl_Produits[Cde_Prdt], tbl_Produits[Coût Moyen Portion]), 0)</f>
        <v>0</v>
      </c>
      <c r="I2745" s="7">
        <f>tbl_Ventes[[#This Row],[Qté Vendue]] * tbl_Ventes[[#This Row],[CMP_par_portion]]</f>
        <v>0</v>
      </c>
      <c r="J2745" s="7">
        <f>tbl_Ventes[[#This Row],[CA ligne]] - tbl_Ventes[[#This Row],[Coût matière ligne]]</f>
        <v>0</v>
      </c>
      <c r="K2745" s="7" t="str">
        <f>IFERROR(INDEX(tbl_ProduitsRef[Famille], MATCH(tbl_Ventes[[#This Row],[Cde_Prdt]], tbl_Produits[Cde_Prdt], 0)), "")</f>
        <v/>
      </c>
    </row>
    <row r="2746" spans="1:11" x14ac:dyDescent="0.25">
      <c r="A2746" s="5"/>
      <c r="B2746" s="63" t="str">
        <f>IFERROR(TEXT(tbl_Ventes[[#This Row],[Date]],"mm-aaaa"),"")</f>
        <v>01-1900</v>
      </c>
      <c r="D2746" s="10" t="str">
        <f>IFERROR(
   INDEX(tbl_ProduitsRef[Cde_Prdt],MATCH(tbl_Ventes[[#This Row],[Produit]],tbl_ProduitsRef[Produit],0)),
   ""
)</f>
        <v/>
      </c>
      <c r="E2746" s="7">
        <v>0</v>
      </c>
      <c r="F2746" s="7" t="str">
        <f>IFERROR(
   INDEX(tbl_ProduitsRef[Prix Menu],MATCH(tbl_Ventes[[#This Row],[Produit]],tbl_ProduitsRef[Produit],0)),
   ""
)</f>
        <v/>
      </c>
      <c r="G2746" s="7">
        <f>tbl_Ventes[[#This Row],[Qté Vendue]] * IFERROR(_xlfn.XLOOKUP(tbl_Ventes[[#This Row],[Cde_Prdt]], tbl_Produits[Cde_Prdt], tbl_Produits[Prix Menu]), 0)</f>
        <v>0</v>
      </c>
      <c r="H2746" s="7">
        <f>IFERROR(_xlfn.XLOOKUP(tbl_Ventes[[#This Row],[Cde_Prdt]], tbl_Produits[Cde_Prdt], tbl_Produits[Coût Moyen Portion]), 0)</f>
        <v>0</v>
      </c>
      <c r="I2746" s="7">
        <f>tbl_Ventes[[#This Row],[Qté Vendue]] * tbl_Ventes[[#This Row],[CMP_par_portion]]</f>
        <v>0</v>
      </c>
      <c r="J2746" s="7">
        <f>tbl_Ventes[[#This Row],[CA ligne]] - tbl_Ventes[[#This Row],[Coût matière ligne]]</f>
        <v>0</v>
      </c>
      <c r="K2746" s="7" t="str">
        <f>IFERROR(INDEX(tbl_ProduitsRef[Famille], MATCH(tbl_Ventes[[#This Row],[Cde_Prdt]], tbl_Produits[Cde_Prdt], 0)), "")</f>
        <v/>
      </c>
    </row>
    <row r="2747" spans="1:11" x14ac:dyDescent="0.25">
      <c r="A2747" s="5"/>
      <c r="B2747" s="63" t="str">
        <f>IFERROR(TEXT(tbl_Ventes[[#This Row],[Date]],"mm-aaaa"),"")</f>
        <v>01-1900</v>
      </c>
      <c r="D2747" s="10" t="str">
        <f>IFERROR(
   INDEX(tbl_ProduitsRef[Cde_Prdt],MATCH(tbl_Ventes[[#This Row],[Produit]],tbl_ProduitsRef[Produit],0)),
   ""
)</f>
        <v/>
      </c>
      <c r="E2747" s="7">
        <v>0</v>
      </c>
      <c r="F2747" s="7" t="str">
        <f>IFERROR(
   INDEX(tbl_ProduitsRef[Prix Menu],MATCH(tbl_Ventes[[#This Row],[Produit]],tbl_ProduitsRef[Produit],0)),
   ""
)</f>
        <v/>
      </c>
      <c r="G2747" s="7">
        <f>tbl_Ventes[[#This Row],[Qté Vendue]] * IFERROR(_xlfn.XLOOKUP(tbl_Ventes[[#This Row],[Cde_Prdt]], tbl_Produits[Cde_Prdt], tbl_Produits[Prix Menu]), 0)</f>
        <v>0</v>
      </c>
      <c r="H2747" s="7">
        <f>IFERROR(_xlfn.XLOOKUP(tbl_Ventes[[#This Row],[Cde_Prdt]], tbl_Produits[Cde_Prdt], tbl_Produits[Coût Moyen Portion]), 0)</f>
        <v>0</v>
      </c>
      <c r="I2747" s="7">
        <f>tbl_Ventes[[#This Row],[Qté Vendue]] * tbl_Ventes[[#This Row],[CMP_par_portion]]</f>
        <v>0</v>
      </c>
      <c r="J2747" s="7">
        <f>tbl_Ventes[[#This Row],[CA ligne]] - tbl_Ventes[[#This Row],[Coût matière ligne]]</f>
        <v>0</v>
      </c>
      <c r="K2747" s="7" t="str">
        <f>IFERROR(INDEX(tbl_ProduitsRef[Famille], MATCH(tbl_Ventes[[#This Row],[Cde_Prdt]], tbl_Produits[Cde_Prdt], 0)), "")</f>
        <v/>
      </c>
    </row>
    <row r="2748" spans="1:11" x14ac:dyDescent="0.25">
      <c r="A2748" s="5"/>
      <c r="B2748" s="63" t="str">
        <f>IFERROR(TEXT(tbl_Ventes[[#This Row],[Date]],"mm-aaaa"),"")</f>
        <v>01-1900</v>
      </c>
      <c r="D2748" s="10" t="str">
        <f>IFERROR(
   INDEX(tbl_ProduitsRef[Cde_Prdt],MATCH(tbl_Ventes[[#This Row],[Produit]],tbl_ProduitsRef[Produit],0)),
   ""
)</f>
        <v/>
      </c>
      <c r="E2748" s="7">
        <v>0</v>
      </c>
      <c r="F2748" s="7" t="str">
        <f>IFERROR(
   INDEX(tbl_ProduitsRef[Prix Menu],MATCH(tbl_Ventes[[#This Row],[Produit]],tbl_ProduitsRef[Produit],0)),
   ""
)</f>
        <v/>
      </c>
      <c r="G2748" s="7">
        <f>tbl_Ventes[[#This Row],[Qté Vendue]] * IFERROR(_xlfn.XLOOKUP(tbl_Ventes[[#This Row],[Cde_Prdt]], tbl_Produits[Cde_Prdt], tbl_Produits[Prix Menu]), 0)</f>
        <v>0</v>
      </c>
      <c r="H2748" s="7">
        <f>IFERROR(_xlfn.XLOOKUP(tbl_Ventes[[#This Row],[Cde_Prdt]], tbl_Produits[Cde_Prdt], tbl_Produits[Coût Moyen Portion]), 0)</f>
        <v>0</v>
      </c>
      <c r="I2748" s="7">
        <f>tbl_Ventes[[#This Row],[Qté Vendue]] * tbl_Ventes[[#This Row],[CMP_par_portion]]</f>
        <v>0</v>
      </c>
      <c r="J2748" s="7">
        <f>tbl_Ventes[[#This Row],[CA ligne]] - tbl_Ventes[[#This Row],[Coût matière ligne]]</f>
        <v>0</v>
      </c>
      <c r="K2748" s="7" t="str">
        <f>IFERROR(INDEX(tbl_ProduitsRef[Famille], MATCH(tbl_Ventes[[#This Row],[Cde_Prdt]], tbl_Produits[Cde_Prdt], 0)), "")</f>
        <v/>
      </c>
    </row>
    <row r="2749" spans="1:11" x14ac:dyDescent="0.25">
      <c r="A2749" s="5"/>
      <c r="B2749" s="63" t="str">
        <f>IFERROR(TEXT(tbl_Ventes[[#This Row],[Date]],"mm-aaaa"),"")</f>
        <v>01-1900</v>
      </c>
      <c r="D2749" s="10" t="str">
        <f>IFERROR(
   INDEX(tbl_ProduitsRef[Cde_Prdt],MATCH(tbl_Ventes[[#This Row],[Produit]],tbl_ProduitsRef[Produit],0)),
   ""
)</f>
        <v/>
      </c>
      <c r="E2749" s="7">
        <v>0</v>
      </c>
      <c r="F2749" s="7" t="str">
        <f>IFERROR(
   INDEX(tbl_ProduitsRef[Prix Menu],MATCH(tbl_Ventes[[#This Row],[Produit]],tbl_ProduitsRef[Produit],0)),
   ""
)</f>
        <v/>
      </c>
      <c r="G2749" s="7">
        <f>tbl_Ventes[[#This Row],[Qté Vendue]] * IFERROR(_xlfn.XLOOKUP(tbl_Ventes[[#This Row],[Cde_Prdt]], tbl_Produits[Cde_Prdt], tbl_Produits[Prix Menu]), 0)</f>
        <v>0</v>
      </c>
      <c r="H2749" s="7">
        <f>IFERROR(_xlfn.XLOOKUP(tbl_Ventes[[#This Row],[Cde_Prdt]], tbl_Produits[Cde_Prdt], tbl_Produits[Coût Moyen Portion]), 0)</f>
        <v>0</v>
      </c>
      <c r="I2749" s="7">
        <f>tbl_Ventes[[#This Row],[Qté Vendue]] * tbl_Ventes[[#This Row],[CMP_par_portion]]</f>
        <v>0</v>
      </c>
      <c r="J2749" s="7">
        <f>tbl_Ventes[[#This Row],[CA ligne]] - tbl_Ventes[[#This Row],[Coût matière ligne]]</f>
        <v>0</v>
      </c>
      <c r="K2749" s="7" t="str">
        <f>IFERROR(INDEX(tbl_ProduitsRef[Famille], MATCH(tbl_Ventes[[#This Row],[Cde_Prdt]], tbl_Produits[Cde_Prdt], 0)), "")</f>
        <v/>
      </c>
    </row>
    <row r="2750" spans="1:11" x14ac:dyDescent="0.25">
      <c r="A2750" s="5"/>
      <c r="B2750" s="63" t="str">
        <f>IFERROR(TEXT(tbl_Ventes[[#This Row],[Date]],"mm-aaaa"),"")</f>
        <v>01-1900</v>
      </c>
      <c r="D2750" s="10" t="str">
        <f>IFERROR(
   INDEX(tbl_ProduitsRef[Cde_Prdt],MATCH(tbl_Ventes[[#This Row],[Produit]],tbl_ProduitsRef[Produit],0)),
   ""
)</f>
        <v/>
      </c>
      <c r="E2750" s="7">
        <v>0</v>
      </c>
      <c r="F2750" s="7" t="str">
        <f>IFERROR(
   INDEX(tbl_ProduitsRef[Prix Menu],MATCH(tbl_Ventes[[#This Row],[Produit]],tbl_ProduitsRef[Produit],0)),
   ""
)</f>
        <v/>
      </c>
      <c r="G2750" s="7">
        <f>tbl_Ventes[[#This Row],[Qté Vendue]] * IFERROR(_xlfn.XLOOKUP(tbl_Ventes[[#This Row],[Cde_Prdt]], tbl_Produits[Cde_Prdt], tbl_Produits[Prix Menu]), 0)</f>
        <v>0</v>
      </c>
      <c r="H2750" s="7">
        <f>IFERROR(_xlfn.XLOOKUP(tbl_Ventes[[#This Row],[Cde_Prdt]], tbl_Produits[Cde_Prdt], tbl_Produits[Coût Moyen Portion]), 0)</f>
        <v>0</v>
      </c>
      <c r="I2750" s="7">
        <f>tbl_Ventes[[#This Row],[Qté Vendue]] * tbl_Ventes[[#This Row],[CMP_par_portion]]</f>
        <v>0</v>
      </c>
      <c r="J2750" s="7">
        <f>tbl_Ventes[[#This Row],[CA ligne]] - tbl_Ventes[[#This Row],[Coût matière ligne]]</f>
        <v>0</v>
      </c>
      <c r="K2750" s="7" t="str">
        <f>IFERROR(INDEX(tbl_ProduitsRef[Famille], MATCH(tbl_Ventes[[#This Row],[Cde_Prdt]], tbl_Produits[Cde_Prdt], 0)), "")</f>
        <v/>
      </c>
    </row>
    <row r="2751" spans="1:11" x14ac:dyDescent="0.25">
      <c r="A2751" s="5"/>
      <c r="B2751" s="63" t="str">
        <f>IFERROR(TEXT(tbl_Ventes[[#This Row],[Date]],"mm-aaaa"),"")</f>
        <v>01-1900</v>
      </c>
      <c r="D2751" s="10" t="str">
        <f>IFERROR(
   INDEX(tbl_ProduitsRef[Cde_Prdt],MATCH(tbl_Ventes[[#This Row],[Produit]],tbl_ProduitsRef[Produit],0)),
   ""
)</f>
        <v/>
      </c>
      <c r="E2751" s="7">
        <v>0</v>
      </c>
      <c r="F2751" s="7" t="str">
        <f>IFERROR(
   INDEX(tbl_ProduitsRef[Prix Menu],MATCH(tbl_Ventes[[#This Row],[Produit]],tbl_ProduitsRef[Produit],0)),
   ""
)</f>
        <v/>
      </c>
      <c r="G2751" s="7">
        <f>tbl_Ventes[[#This Row],[Qté Vendue]] * IFERROR(_xlfn.XLOOKUP(tbl_Ventes[[#This Row],[Cde_Prdt]], tbl_Produits[Cde_Prdt], tbl_Produits[Prix Menu]), 0)</f>
        <v>0</v>
      </c>
      <c r="H2751" s="7">
        <f>IFERROR(_xlfn.XLOOKUP(tbl_Ventes[[#This Row],[Cde_Prdt]], tbl_Produits[Cde_Prdt], tbl_Produits[Coût Moyen Portion]), 0)</f>
        <v>0</v>
      </c>
      <c r="I2751" s="7">
        <f>tbl_Ventes[[#This Row],[Qté Vendue]] * tbl_Ventes[[#This Row],[CMP_par_portion]]</f>
        <v>0</v>
      </c>
      <c r="J2751" s="7">
        <f>tbl_Ventes[[#This Row],[CA ligne]] - tbl_Ventes[[#This Row],[Coût matière ligne]]</f>
        <v>0</v>
      </c>
      <c r="K2751" s="7" t="str">
        <f>IFERROR(INDEX(tbl_ProduitsRef[Famille], MATCH(tbl_Ventes[[#This Row],[Cde_Prdt]], tbl_Produits[Cde_Prdt], 0)), "")</f>
        <v/>
      </c>
    </row>
    <row r="2752" spans="1:11" x14ac:dyDescent="0.25">
      <c r="A2752" s="5"/>
      <c r="B2752" s="63" t="str">
        <f>IFERROR(TEXT(tbl_Ventes[[#This Row],[Date]],"mm-aaaa"),"")</f>
        <v>01-1900</v>
      </c>
      <c r="D2752" s="10" t="str">
        <f>IFERROR(
   INDEX(tbl_ProduitsRef[Cde_Prdt],MATCH(tbl_Ventes[[#This Row],[Produit]],tbl_ProduitsRef[Produit],0)),
   ""
)</f>
        <v/>
      </c>
      <c r="E2752" s="7">
        <v>0</v>
      </c>
      <c r="F2752" s="7" t="str">
        <f>IFERROR(
   INDEX(tbl_ProduitsRef[Prix Menu],MATCH(tbl_Ventes[[#This Row],[Produit]],tbl_ProduitsRef[Produit],0)),
   ""
)</f>
        <v/>
      </c>
      <c r="G2752" s="7">
        <f>tbl_Ventes[[#This Row],[Qté Vendue]] * IFERROR(_xlfn.XLOOKUP(tbl_Ventes[[#This Row],[Cde_Prdt]], tbl_Produits[Cde_Prdt], tbl_Produits[Prix Menu]), 0)</f>
        <v>0</v>
      </c>
      <c r="H2752" s="7">
        <f>IFERROR(_xlfn.XLOOKUP(tbl_Ventes[[#This Row],[Cde_Prdt]], tbl_Produits[Cde_Prdt], tbl_Produits[Coût Moyen Portion]), 0)</f>
        <v>0</v>
      </c>
      <c r="I2752" s="7">
        <f>tbl_Ventes[[#This Row],[Qté Vendue]] * tbl_Ventes[[#This Row],[CMP_par_portion]]</f>
        <v>0</v>
      </c>
      <c r="J2752" s="7">
        <f>tbl_Ventes[[#This Row],[CA ligne]] - tbl_Ventes[[#This Row],[Coût matière ligne]]</f>
        <v>0</v>
      </c>
      <c r="K2752" s="7" t="str">
        <f>IFERROR(INDEX(tbl_ProduitsRef[Famille], MATCH(tbl_Ventes[[#This Row],[Cde_Prdt]], tbl_Produits[Cde_Prdt], 0)), "")</f>
        <v/>
      </c>
    </row>
    <row r="2753" spans="1:11" x14ac:dyDescent="0.25">
      <c r="A2753" s="5"/>
      <c r="B2753" s="63" t="str">
        <f>IFERROR(TEXT(tbl_Ventes[[#This Row],[Date]],"mm-aaaa"),"")</f>
        <v>01-1900</v>
      </c>
      <c r="D2753" s="10" t="str">
        <f>IFERROR(
   INDEX(tbl_ProduitsRef[Cde_Prdt],MATCH(tbl_Ventes[[#This Row],[Produit]],tbl_ProduitsRef[Produit],0)),
   ""
)</f>
        <v/>
      </c>
      <c r="E2753" s="7">
        <v>0</v>
      </c>
      <c r="F2753" s="7" t="str">
        <f>IFERROR(
   INDEX(tbl_ProduitsRef[Prix Menu],MATCH(tbl_Ventes[[#This Row],[Produit]],tbl_ProduitsRef[Produit],0)),
   ""
)</f>
        <v/>
      </c>
      <c r="G2753" s="7">
        <f>tbl_Ventes[[#This Row],[Qté Vendue]] * IFERROR(_xlfn.XLOOKUP(tbl_Ventes[[#This Row],[Cde_Prdt]], tbl_Produits[Cde_Prdt], tbl_Produits[Prix Menu]), 0)</f>
        <v>0</v>
      </c>
      <c r="H2753" s="7">
        <f>IFERROR(_xlfn.XLOOKUP(tbl_Ventes[[#This Row],[Cde_Prdt]], tbl_Produits[Cde_Prdt], tbl_Produits[Coût Moyen Portion]), 0)</f>
        <v>0</v>
      </c>
      <c r="I2753" s="7">
        <f>tbl_Ventes[[#This Row],[Qté Vendue]] * tbl_Ventes[[#This Row],[CMP_par_portion]]</f>
        <v>0</v>
      </c>
      <c r="J2753" s="7">
        <f>tbl_Ventes[[#This Row],[CA ligne]] - tbl_Ventes[[#This Row],[Coût matière ligne]]</f>
        <v>0</v>
      </c>
      <c r="K2753" s="7" t="str">
        <f>IFERROR(INDEX(tbl_ProduitsRef[Famille], MATCH(tbl_Ventes[[#This Row],[Cde_Prdt]], tbl_Produits[Cde_Prdt], 0)), "")</f>
        <v/>
      </c>
    </row>
    <row r="2754" spans="1:11" x14ac:dyDescent="0.25">
      <c r="A2754" s="5"/>
      <c r="B2754" s="63" t="str">
        <f>IFERROR(TEXT(tbl_Ventes[[#This Row],[Date]],"mm-aaaa"),"")</f>
        <v>01-1900</v>
      </c>
      <c r="D2754" s="10" t="str">
        <f>IFERROR(
   INDEX(tbl_ProduitsRef[Cde_Prdt],MATCH(tbl_Ventes[[#This Row],[Produit]],tbl_ProduitsRef[Produit],0)),
   ""
)</f>
        <v/>
      </c>
      <c r="E2754" s="7">
        <v>0</v>
      </c>
      <c r="F2754" s="7" t="str">
        <f>IFERROR(
   INDEX(tbl_ProduitsRef[Prix Menu],MATCH(tbl_Ventes[[#This Row],[Produit]],tbl_ProduitsRef[Produit],0)),
   ""
)</f>
        <v/>
      </c>
      <c r="G2754" s="7">
        <f>tbl_Ventes[[#This Row],[Qté Vendue]] * IFERROR(_xlfn.XLOOKUP(tbl_Ventes[[#This Row],[Cde_Prdt]], tbl_Produits[Cde_Prdt], tbl_Produits[Prix Menu]), 0)</f>
        <v>0</v>
      </c>
      <c r="H2754" s="7">
        <f>IFERROR(_xlfn.XLOOKUP(tbl_Ventes[[#This Row],[Cde_Prdt]], tbl_Produits[Cde_Prdt], tbl_Produits[Coût Moyen Portion]), 0)</f>
        <v>0</v>
      </c>
      <c r="I2754" s="7">
        <f>tbl_Ventes[[#This Row],[Qté Vendue]] * tbl_Ventes[[#This Row],[CMP_par_portion]]</f>
        <v>0</v>
      </c>
      <c r="J2754" s="7">
        <f>tbl_Ventes[[#This Row],[CA ligne]] - tbl_Ventes[[#This Row],[Coût matière ligne]]</f>
        <v>0</v>
      </c>
      <c r="K2754" s="7" t="str">
        <f>IFERROR(INDEX(tbl_ProduitsRef[Famille], MATCH(tbl_Ventes[[#This Row],[Cde_Prdt]], tbl_Produits[Cde_Prdt], 0)), "")</f>
        <v/>
      </c>
    </row>
    <row r="2755" spans="1:11" x14ac:dyDescent="0.25">
      <c r="A2755" s="5"/>
      <c r="B2755" s="63" t="str">
        <f>IFERROR(TEXT(tbl_Ventes[[#This Row],[Date]],"mm-aaaa"),"")</f>
        <v>01-1900</v>
      </c>
      <c r="D2755" s="10" t="str">
        <f>IFERROR(
   INDEX(tbl_ProduitsRef[Cde_Prdt],MATCH(tbl_Ventes[[#This Row],[Produit]],tbl_ProduitsRef[Produit],0)),
   ""
)</f>
        <v/>
      </c>
      <c r="E2755" s="7">
        <v>0</v>
      </c>
      <c r="F2755" s="7" t="str">
        <f>IFERROR(
   INDEX(tbl_ProduitsRef[Prix Menu],MATCH(tbl_Ventes[[#This Row],[Produit]],tbl_ProduitsRef[Produit],0)),
   ""
)</f>
        <v/>
      </c>
      <c r="G2755" s="7">
        <f>tbl_Ventes[[#This Row],[Qté Vendue]] * IFERROR(_xlfn.XLOOKUP(tbl_Ventes[[#This Row],[Cde_Prdt]], tbl_Produits[Cde_Prdt], tbl_Produits[Prix Menu]), 0)</f>
        <v>0</v>
      </c>
      <c r="H2755" s="7">
        <f>IFERROR(_xlfn.XLOOKUP(tbl_Ventes[[#This Row],[Cde_Prdt]], tbl_Produits[Cde_Prdt], tbl_Produits[Coût Moyen Portion]), 0)</f>
        <v>0</v>
      </c>
      <c r="I2755" s="7">
        <f>tbl_Ventes[[#This Row],[Qté Vendue]] * tbl_Ventes[[#This Row],[CMP_par_portion]]</f>
        <v>0</v>
      </c>
      <c r="J2755" s="7">
        <f>tbl_Ventes[[#This Row],[CA ligne]] - tbl_Ventes[[#This Row],[Coût matière ligne]]</f>
        <v>0</v>
      </c>
      <c r="K2755" s="7" t="str">
        <f>IFERROR(INDEX(tbl_ProduitsRef[Famille], MATCH(tbl_Ventes[[#This Row],[Cde_Prdt]], tbl_Produits[Cde_Prdt], 0)), "")</f>
        <v/>
      </c>
    </row>
    <row r="2756" spans="1:11" x14ac:dyDescent="0.25">
      <c r="A2756" s="5"/>
      <c r="B2756" s="63" t="str">
        <f>IFERROR(TEXT(tbl_Ventes[[#This Row],[Date]],"mm-aaaa"),"")</f>
        <v>01-1900</v>
      </c>
      <c r="D2756" s="10" t="str">
        <f>IFERROR(
   INDEX(tbl_ProduitsRef[Cde_Prdt],MATCH(tbl_Ventes[[#This Row],[Produit]],tbl_ProduitsRef[Produit],0)),
   ""
)</f>
        <v/>
      </c>
      <c r="E2756" s="7">
        <v>0</v>
      </c>
      <c r="F2756" s="7" t="str">
        <f>IFERROR(
   INDEX(tbl_ProduitsRef[Prix Menu],MATCH(tbl_Ventes[[#This Row],[Produit]],tbl_ProduitsRef[Produit],0)),
   ""
)</f>
        <v/>
      </c>
      <c r="G2756" s="7">
        <f>tbl_Ventes[[#This Row],[Qté Vendue]] * IFERROR(_xlfn.XLOOKUP(tbl_Ventes[[#This Row],[Cde_Prdt]], tbl_Produits[Cde_Prdt], tbl_Produits[Prix Menu]), 0)</f>
        <v>0</v>
      </c>
      <c r="H2756" s="7">
        <f>IFERROR(_xlfn.XLOOKUP(tbl_Ventes[[#This Row],[Cde_Prdt]], tbl_Produits[Cde_Prdt], tbl_Produits[Coût Moyen Portion]), 0)</f>
        <v>0</v>
      </c>
      <c r="I2756" s="7">
        <f>tbl_Ventes[[#This Row],[Qté Vendue]] * tbl_Ventes[[#This Row],[CMP_par_portion]]</f>
        <v>0</v>
      </c>
      <c r="J2756" s="7">
        <f>tbl_Ventes[[#This Row],[CA ligne]] - tbl_Ventes[[#This Row],[Coût matière ligne]]</f>
        <v>0</v>
      </c>
      <c r="K2756" s="7" t="str">
        <f>IFERROR(INDEX(tbl_ProduitsRef[Famille], MATCH(tbl_Ventes[[#This Row],[Cde_Prdt]], tbl_Produits[Cde_Prdt], 0)), "")</f>
        <v/>
      </c>
    </row>
    <row r="2757" spans="1:11" x14ac:dyDescent="0.25">
      <c r="A2757" s="5"/>
      <c r="B2757" s="63" t="str">
        <f>IFERROR(TEXT(tbl_Ventes[[#This Row],[Date]],"mm-aaaa"),"")</f>
        <v>01-1900</v>
      </c>
      <c r="D2757" s="10" t="str">
        <f>IFERROR(
   INDEX(tbl_ProduitsRef[Cde_Prdt],MATCH(tbl_Ventes[[#This Row],[Produit]],tbl_ProduitsRef[Produit],0)),
   ""
)</f>
        <v/>
      </c>
      <c r="E2757" s="7">
        <v>0</v>
      </c>
      <c r="F2757" s="7" t="str">
        <f>IFERROR(
   INDEX(tbl_ProduitsRef[Prix Menu],MATCH(tbl_Ventes[[#This Row],[Produit]],tbl_ProduitsRef[Produit],0)),
   ""
)</f>
        <v/>
      </c>
      <c r="G2757" s="7">
        <f>tbl_Ventes[[#This Row],[Qté Vendue]] * IFERROR(_xlfn.XLOOKUP(tbl_Ventes[[#This Row],[Cde_Prdt]], tbl_Produits[Cde_Prdt], tbl_Produits[Prix Menu]), 0)</f>
        <v>0</v>
      </c>
      <c r="H2757" s="7">
        <f>IFERROR(_xlfn.XLOOKUP(tbl_Ventes[[#This Row],[Cde_Prdt]], tbl_Produits[Cde_Prdt], tbl_Produits[Coût Moyen Portion]), 0)</f>
        <v>0</v>
      </c>
      <c r="I2757" s="7">
        <f>tbl_Ventes[[#This Row],[Qté Vendue]] * tbl_Ventes[[#This Row],[CMP_par_portion]]</f>
        <v>0</v>
      </c>
      <c r="J2757" s="7">
        <f>tbl_Ventes[[#This Row],[CA ligne]] - tbl_Ventes[[#This Row],[Coût matière ligne]]</f>
        <v>0</v>
      </c>
      <c r="K2757" s="7" t="str">
        <f>IFERROR(INDEX(tbl_ProduitsRef[Famille], MATCH(tbl_Ventes[[#This Row],[Cde_Prdt]], tbl_Produits[Cde_Prdt], 0)), "")</f>
        <v/>
      </c>
    </row>
    <row r="2758" spans="1:11" x14ac:dyDescent="0.25">
      <c r="A2758" s="5"/>
      <c r="B2758" s="63" t="str">
        <f>IFERROR(TEXT(tbl_Ventes[[#This Row],[Date]],"mm-aaaa"),"")</f>
        <v>01-1900</v>
      </c>
      <c r="D2758" s="10" t="str">
        <f>IFERROR(
   INDEX(tbl_ProduitsRef[Cde_Prdt],MATCH(tbl_Ventes[[#This Row],[Produit]],tbl_ProduitsRef[Produit],0)),
   ""
)</f>
        <v/>
      </c>
      <c r="E2758" s="7">
        <v>0</v>
      </c>
      <c r="F2758" s="7" t="str">
        <f>IFERROR(
   INDEX(tbl_ProduitsRef[Prix Menu],MATCH(tbl_Ventes[[#This Row],[Produit]],tbl_ProduitsRef[Produit],0)),
   ""
)</f>
        <v/>
      </c>
      <c r="G2758" s="7">
        <f>tbl_Ventes[[#This Row],[Qté Vendue]] * IFERROR(_xlfn.XLOOKUP(tbl_Ventes[[#This Row],[Cde_Prdt]], tbl_Produits[Cde_Prdt], tbl_Produits[Prix Menu]), 0)</f>
        <v>0</v>
      </c>
      <c r="H2758" s="7">
        <f>IFERROR(_xlfn.XLOOKUP(tbl_Ventes[[#This Row],[Cde_Prdt]], tbl_Produits[Cde_Prdt], tbl_Produits[Coût Moyen Portion]), 0)</f>
        <v>0</v>
      </c>
      <c r="I2758" s="7">
        <f>tbl_Ventes[[#This Row],[Qté Vendue]] * tbl_Ventes[[#This Row],[CMP_par_portion]]</f>
        <v>0</v>
      </c>
      <c r="J2758" s="7">
        <f>tbl_Ventes[[#This Row],[CA ligne]] - tbl_Ventes[[#This Row],[Coût matière ligne]]</f>
        <v>0</v>
      </c>
      <c r="K2758" s="7" t="str">
        <f>IFERROR(INDEX(tbl_ProduitsRef[Famille], MATCH(tbl_Ventes[[#This Row],[Cde_Prdt]], tbl_Produits[Cde_Prdt], 0)), "")</f>
        <v/>
      </c>
    </row>
    <row r="2759" spans="1:11" x14ac:dyDescent="0.25">
      <c r="A2759" s="5"/>
      <c r="B2759" s="63" t="str">
        <f>IFERROR(TEXT(tbl_Ventes[[#This Row],[Date]],"mm-aaaa"),"")</f>
        <v>01-1900</v>
      </c>
      <c r="D2759" s="10" t="str">
        <f>IFERROR(
   INDEX(tbl_ProduitsRef[Cde_Prdt],MATCH(tbl_Ventes[[#This Row],[Produit]],tbl_ProduitsRef[Produit],0)),
   ""
)</f>
        <v/>
      </c>
      <c r="E2759" s="7">
        <v>0</v>
      </c>
      <c r="F2759" s="7" t="str">
        <f>IFERROR(
   INDEX(tbl_ProduitsRef[Prix Menu],MATCH(tbl_Ventes[[#This Row],[Produit]],tbl_ProduitsRef[Produit],0)),
   ""
)</f>
        <v/>
      </c>
      <c r="G2759" s="7">
        <f>tbl_Ventes[[#This Row],[Qté Vendue]] * IFERROR(_xlfn.XLOOKUP(tbl_Ventes[[#This Row],[Cde_Prdt]], tbl_Produits[Cde_Prdt], tbl_Produits[Prix Menu]), 0)</f>
        <v>0</v>
      </c>
      <c r="H2759" s="7">
        <f>IFERROR(_xlfn.XLOOKUP(tbl_Ventes[[#This Row],[Cde_Prdt]], tbl_Produits[Cde_Prdt], tbl_Produits[Coût Moyen Portion]), 0)</f>
        <v>0</v>
      </c>
      <c r="I2759" s="7">
        <f>tbl_Ventes[[#This Row],[Qté Vendue]] * tbl_Ventes[[#This Row],[CMP_par_portion]]</f>
        <v>0</v>
      </c>
      <c r="J2759" s="7">
        <f>tbl_Ventes[[#This Row],[CA ligne]] - tbl_Ventes[[#This Row],[Coût matière ligne]]</f>
        <v>0</v>
      </c>
      <c r="K2759" s="7" t="str">
        <f>IFERROR(INDEX(tbl_ProduitsRef[Famille], MATCH(tbl_Ventes[[#This Row],[Cde_Prdt]], tbl_Produits[Cde_Prdt], 0)), "")</f>
        <v/>
      </c>
    </row>
    <row r="2760" spans="1:11" x14ac:dyDescent="0.25">
      <c r="A2760" s="5"/>
      <c r="B2760" s="63" t="str">
        <f>IFERROR(TEXT(tbl_Ventes[[#This Row],[Date]],"mm-aaaa"),"")</f>
        <v>01-1900</v>
      </c>
      <c r="D2760" s="10" t="str">
        <f>IFERROR(
   INDEX(tbl_ProduitsRef[Cde_Prdt],MATCH(tbl_Ventes[[#This Row],[Produit]],tbl_ProduitsRef[Produit],0)),
   ""
)</f>
        <v/>
      </c>
      <c r="E2760" s="7">
        <v>0</v>
      </c>
      <c r="F2760" s="7" t="str">
        <f>IFERROR(
   INDEX(tbl_ProduitsRef[Prix Menu],MATCH(tbl_Ventes[[#This Row],[Produit]],tbl_ProduitsRef[Produit],0)),
   ""
)</f>
        <v/>
      </c>
      <c r="G2760" s="7">
        <f>tbl_Ventes[[#This Row],[Qté Vendue]] * IFERROR(_xlfn.XLOOKUP(tbl_Ventes[[#This Row],[Cde_Prdt]], tbl_Produits[Cde_Prdt], tbl_Produits[Prix Menu]), 0)</f>
        <v>0</v>
      </c>
      <c r="H2760" s="7">
        <f>IFERROR(_xlfn.XLOOKUP(tbl_Ventes[[#This Row],[Cde_Prdt]], tbl_Produits[Cde_Prdt], tbl_Produits[Coût Moyen Portion]), 0)</f>
        <v>0</v>
      </c>
      <c r="I2760" s="7">
        <f>tbl_Ventes[[#This Row],[Qté Vendue]] * tbl_Ventes[[#This Row],[CMP_par_portion]]</f>
        <v>0</v>
      </c>
      <c r="J2760" s="7">
        <f>tbl_Ventes[[#This Row],[CA ligne]] - tbl_Ventes[[#This Row],[Coût matière ligne]]</f>
        <v>0</v>
      </c>
      <c r="K2760" s="7" t="str">
        <f>IFERROR(INDEX(tbl_ProduitsRef[Famille], MATCH(tbl_Ventes[[#This Row],[Cde_Prdt]], tbl_Produits[Cde_Prdt], 0)), "")</f>
        <v/>
      </c>
    </row>
    <row r="2761" spans="1:11" x14ac:dyDescent="0.25">
      <c r="A2761" s="5"/>
      <c r="B2761" s="63" t="str">
        <f>IFERROR(TEXT(tbl_Ventes[[#This Row],[Date]],"mm-aaaa"),"")</f>
        <v>01-1900</v>
      </c>
      <c r="D2761" s="10" t="str">
        <f>IFERROR(
   INDEX(tbl_ProduitsRef[Cde_Prdt],MATCH(tbl_Ventes[[#This Row],[Produit]],tbl_ProduitsRef[Produit],0)),
   ""
)</f>
        <v/>
      </c>
      <c r="E2761" s="7">
        <v>0</v>
      </c>
      <c r="F2761" s="7" t="str">
        <f>IFERROR(
   INDEX(tbl_ProduitsRef[Prix Menu],MATCH(tbl_Ventes[[#This Row],[Produit]],tbl_ProduitsRef[Produit],0)),
   ""
)</f>
        <v/>
      </c>
      <c r="G2761" s="7">
        <f>tbl_Ventes[[#This Row],[Qté Vendue]] * IFERROR(_xlfn.XLOOKUP(tbl_Ventes[[#This Row],[Cde_Prdt]], tbl_Produits[Cde_Prdt], tbl_Produits[Prix Menu]), 0)</f>
        <v>0</v>
      </c>
      <c r="H2761" s="7">
        <f>IFERROR(_xlfn.XLOOKUP(tbl_Ventes[[#This Row],[Cde_Prdt]], tbl_Produits[Cde_Prdt], tbl_Produits[Coût Moyen Portion]), 0)</f>
        <v>0</v>
      </c>
      <c r="I2761" s="7">
        <f>tbl_Ventes[[#This Row],[Qté Vendue]] * tbl_Ventes[[#This Row],[CMP_par_portion]]</f>
        <v>0</v>
      </c>
      <c r="J2761" s="7">
        <f>tbl_Ventes[[#This Row],[CA ligne]] - tbl_Ventes[[#This Row],[Coût matière ligne]]</f>
        <v>0</v>
      </c>
      <c r="K2761" s="7" t="str">
        <f>IFERROR(INDEX(tbl_ProduitsRef[Famille], MATCH(tbl_Ventes[[#This Row],[Cde_Prdt]], tbl_Produits[Cde_Prdt], 0)), "")</f>
        <v/>
      </c>
    </row>
    <row r="2762" spans="1:11" x14ac:dyDescent="0.25">
      <c r="A2762" s="5"/>
      <c r="B2762" s="63" t="str">
        <f>IFERROR(TEXT(tbl_Ventes[[#This Row],[Date]],"mm-aaaa"),"")</f>
        <v>01-1900</v>
      </c>
      <c r="D2762" s="10" t="str">
        <f>IFERROR(
   INDEX(tbl_ProduitsRef[Cde_Prdt],MATCH(tbl_Ventes[[#This Row],[Produit]],tbl_ProduitsRef[Produit],0)),
   ""
)</f>
        <v/>
      </c>
      <c r="E2762" s="7">
        <v>0</v>
      </c>
      <c r="F2762" s="7" t="str">
        <f>IFERROR(
   INDEX(tbl_ProduitsRef[Prix Menu],MATCH(tbl_Ventes[[#This Row],[Produit]],tbl_ProduitsRef[Produit],0)),
   ""
)</f>
        <v/>
      </c>
      <c r="G2762" s="7">
        <f>tbl_Ventes[[#This Row],[Qté Vendue]] * IFERROR(_xlfn.XLOOKUP(tbl_Ventes[[#This Row],[Cde_Prdt]], tbl_Produits[Cde_Prdt], tbl_Produits[Prix Menu]), 0)</f>
        <v>0</v>
      </c>
      <c r="H2762" s="7">
        <f>IFERROR(_xlfn.XLOOKUP(tbl_Ventes[[#This Row],[Cde_Prdt]], tbl_Produits[Cde_Prdt], tbl_Produits[Coût Moyen Portion]), 0)</f>
        <v>0</v>
      </c>
      <c r="I2762" s="7">
        <f>tbl_Ventes[[#This Row],[Qté Vendue]] * tbl_Ventes[[#This Row],[CMP_par_portion]]</f>
        <v>0</v>
      </c>
      <c r="J2762" s="7">
        <f>tbl_Ventes[[#This Row],[CA ligne]] - tbl_Ventes[[#This Row],[Coût matière ligne]]</f>
        <v>0</v>
      </c>
      <c r="K2762" s="7" t="str">
        <f>IFERROR(INDEX(tbl_ProduitsRef[Famille], MATCH(tbl_Ventes[[#This Row],[Cde_Prdt]], tbl_Produits[Cde_Prdt], 0)), "")</f>
        <v/>
      </c>
    </row>
    <row r="2763" spans="1:11" x14ac:dyDescent="0.25">
      <c r="A2763" s="5"/>
      <c r="B2763" s="63" t="str">
        <f>IFERROR(TEXT(tbl_Ventes[[#This Row],[Date]],"mm-aaaa"),"")</f>
        <v>01-1900</v>
      </c>
      <c r="D2763" s="10" t="str">
        <f>IFERROR(
   INDEX(tbl_ProduitsRef[Cde_Prdt],MATCH(tbl_Ventes[[#This Row],[Produit]],tbl_ProduitsRef[Produit],0)),
   ""
)</f>
        <v/>
      </c>
      <c r="E2763" s="7">
        <v>0</v>
      </c>
      <c r="F2763" s="7" t="str">
        <f>IFERROR(
   INDEX(tbl_ProduitsRef[Prix Menu],MATCH(tbl_Ventes[[#This Row],[Produit]],tbl_ProduitsRef[Produit],0)),
   ""
)</f>
        <v/>
      </c>
      <c r="G2763" s="7">
        <f>tbl_Ventes[[#This Row],[Qté Vendue]] * IFERROR(_xlfn.XLOOKUP(tbl_Ventes[[#This Row],[Cde_Prdt]], tbl_Produits[Cde_Prdt], tbl_Produits[Prix Menu]), 0)</f>
        <v>0</v>
      </c>
      <c r="H2763" s="7">
        <f>IFERROR(_xlfn.XLOOKUP(tbl_Ventes[[#This Row],[Cde_Prdt]], tbl_Produits[Cde_Prdt], tbl_Produits[Coût Moyen Portion]), 0)</f>
        <v>0</v>
      </c>
      <c r="I2763" s="7">
        <f>tbl_Ventes[[#This Row],[Qté Vendue]] * tbl_Ventes[[#This Row],[CMP_par_portion]]</f>
        <v>0</v>
      </c>
      <c r="J2763" s="7">
        <f>tbl_Ventes[[#This Row],[CA ligne]] - tbl_Ventes[[#This Row],[Coût matière ligne]]</f>
        <v>0</v>
      </c>
      <c r="K2763" s="7" t="str">
        <f>IFERROR(INDEX(tbl_ProduitsRef[Famille], MATCH(tbl_Ventes[[#This Row],[Cde_Prdt]], tbl_Produits[Cde_Prdt], 0)), "")</f>
        <v/>
      </c>
    </row>
    <row r="2764" spans="1:11" x14ac:dyDescent="0.25">
      <c r="A2764" s="5"/>
      <c r="B2764" s="63" t="str">
        <f>IFERROR(TEXT(tbl_Ventes[[#This Row],[Date]],"mm-aaaa"),"")</f>
        <v>01-1900</v>
      </c>
      <c r="D2764" s="10" t="str">
        <f>IFERROR(
   INDEX(tbl_ProduitsRef[Cde_Prdt],MATCH(tbl_Ventes[[#This Row],[Produit]],tbl_ProduitsRef[Produit],0)),
   ""
)</f>
        <v/>
      </c>
      <c r="E2764" s="7">
        <v>0</v>
      </c>
      <c r="F2764" s="7" t="str">
        <f>IFERROR(
   INDEX(tbl_ProduitsRef[Prix Menu],MATCH(tbl_Ventes[[#This Row],[Produit]],tbl_ProduitsRef[Produit],0)),
   ""
)</f>
        <v/>
      </c>
      <c r="G2764" s="7">
        <f>tbl_Ventes[[#This Row],[Qté Vendue]] * IFERROR(_xlfn.XLOOKUP(tbl_Ventes[[#This Row],[Cde_Prdt]], tbl_Produits[Cde_Prdt], tbl_Produits[Prix Menu]), 0)</f>
        <v>0</v>
      </c>
      <c r="H2764" s="7">
        <f>IFERROR(_xlfn.XLOOKUP(tbl_Ventes[[#This Row],[Cde_Prdt]], tbl_Produits[Cde_Prdt], tbl_Produits[Coût Moyen Portion]), 0)</f>
        <v>0</v>
      </c>
      <c r="I2764" s="7">
        <f>tbl_Ventes[[#This Row],[Qté Vendue]] * tbl_Ventes[[#This Row],[CMP_par_portion]]</f>
        <v>0</v>
      </c>
      <c r="J2764" s="7">
        <f>tbl_Ventes[[#This Row],[CA ligne]] - tbl_Ventes[[#This Row],[Coût matière ligne]]</f>
        <v>0</v>
      </c>
      <c r="K2764" s="7" t="str">
        <f>IFERROR(INDEX(tbl_ProduitsRef[Famille], MATCH(tbl_Ventes[[#This Row],[Cde_Prdt]], tbl_Produits[Cde_Prdt], 0)), "")</f>
        <v/>
      </c>
    </row>
    <row r="2765" spans="1:11" x14ac:dyDescent="0.25">
      <c r="A2765" s="5"/>
      <c r="B2765" s="63" t="str">
        <f>IFERROR(TEXT(tbl_Ventes[[#This Row],[Date]],"mm-aaaa"),"")</f>
        <v>01-1900</v>
      </c>
      <c r="D2765" s="10" t="str">
        <f>IFERROR(
   INDEX(tbl_ProduitsRef[Cde_Prdt],MATCH(tbl_Ventes[[#This Row],[Produit]],tbl_ProduitsRef[Produit],0)),
   ""
)</f>
        <v/>
      </c>
      <c r="E2765" s="7">
        <v>0</v>
      </c>
      <c r="F2765" s="7" t="str">
        <f>IFERROR(
   INDEX(tbl_ProduitsRef[Prix Menu],MATCH(tbl_Ventes[[#This Row],[Produit]],tbl_ProduitsRef[Produit],0)),
   ""
)</f>
        <v/>
      </c>
      <c r="G2765" s="7">
        <f>tbl_Ventes[[#This Row],[Qté Vendue]] * IFERROR(_xlfn.XLOOKUP(tbl_Ventes[[#This Row],[Cde_Prdt]], tbl_Produits[Cde_Prdt], tbl_Produits[Prix Menu]), 0)</f>
        <v>0</v>
      </c>
      <c r="H2765" s="7">
        <f>IFERROR(_xlfn.XLOOKUP(tbl_Ventes[[#This Row],[Cde_Prdt]], tbl_Produits[Cde_Prdt], tbl_Produits[Coût Moyen Portion]), 0)</f>
        <v>0</v>
      </c>
      <c r="I2765" s="7">
        <f>tbl_Ventes[[#This Row],[Qté Vendue]] * tbl_Ventes[[#This Row],[CMP_par_portion]]</f>
        <v>0</v>
      </c>
      <c r="J2765" s="7">
        <f>tbl_Ventes[[#This Row],[CA ligne]] - tbl_Ventes[[#This Row],[Coût matière ligne]]</f>
        <v>0</v>
      </c>
      <c r="K2765" s="7" t="str">
        <f>IFERROR(INDEX(tbl_ProduitsRef[Famille], MATCH(tbl_Ventes[[#This Row],[Cde_Prdt]], tbl_Produits[Cde_Prdt], 0)), "")</f>
        <v/>
      </c>
    </row>
    <row r="2766" spans="1:11" x14ac:dyDescent="0.25">
      <c r="A2766" s="5"/>
      <c r="B2766" s="63" t="str">
        <f>IFERROR(TEXT(tbl_Ventes[[#This Row],[Date]],"mm-aaaa"),"")</f>
        <v>01-1900</v>
      </c>
      <c r="D2766" s="10" t="str">
        <f>IFERROR(
   INDEX(tbl_ProduitsRef[Cde_Prdt],MATCH(tbl_Ventes[[#This Row],[Produit]],tbl_ProduitsRef[Produit],0)),
   ""
)</f>
        <v/>
      </c>
      <c r="E2766" s="7">
        <v>0</v>
      </c>
      <c r="F2766" s="7" t="str">
        <f>IFERROR(
   INDEX(tbl_ProduitsRef[Prix Menu],MATCH(tbl_Ventes[[#This Row],[Produit]],tbl_ProduitsRef[Produit],0)),
   ""
)</f>
        <v/>
      </c>
      <c r="G2766" s="7">
        <f>tbl_Ventes[[#This Row],[Qté Vendue]] * IFERROR(_xlfn.XLOOKUP(tbl_Ventes[[#This Row],[Cde_Prdt]], tbl_Produits[Cde_Prdt], tbl_Produits[Prix Menu]), 0)</f>
        <v>0</v>
      </c>
      <c r="H2766" s="7">
        <f>IFERROR(_xlfn.XLOOKUP(tbl_Ventes[[#This Row],[Cde_Prdt]], tbl_Produits[Cde_Prdt], tbl_Produits[Coût Moyen Portion]), 0)</f>
        <v>0</v>
      </c>
      <c r="I2766" s="7">
        <f>tbl_Ventes[[#This Row],[Qté Vendue]] * tbl_Ventes[[#This Row],[CMP_par_portion]]</f>
        <v>0</v>
      </c>
      <c r="J2766" s="7">
        <f>tbl_Ventes[[#This Row],[CA ligne]] - tbl_Ventes[[#This Row],[Coût matière ligne]]</f>
        <v>0</v>
      </c>
      <c r="K2766" s="7" t="str">
        <f>IFERROR(INDEX(tbl_ProduitsRef[Famille], MATCH(tbl_Ventes[[#This Row],[Cde_Prdt]], tbl_Produits[Cde_Prdt], 0)), "")</f>
        <v/>
      </c>
    </row>
    <row r="2767" spans="1:11" x14ac:dyDescent="0.25">
      <c r="A2767" s="5"/>
      <c r="B2767" s="63" t="str">
        <f>IFERROR(TEXT(tbl_Ventes[[#This Row],[Date]],"mm-aaaa"),"")</f>
        <v>01-1900</v>
      </c>
      <c r="D2767" s="10" t="str">
        <f>IFERROR(
   INDEX(tbl_ProduitsRef[Cde_Prdt],MATCH(tbl_Ventes[[#This Row],[Produit]],tbl_ProduitsRef[Produit],0)),
   ""
)</f>
        <v/>
      </c>
      <c r="E2767" s="7">
        <v>0</v>
      </c>
      <c r="F2767" s="7" t="str">
        <f>IFERROR(
   INDEX(tbl_ProduitsRef[Prix Menu],MATCH(tbl_Ventes[[#This Row],[Produit]],tbl_ProduitsRef[Produit],0)),
   ""
)</f>
        <v/>
      </c>
      <c r="G2767" s="7">
        <f>tbl_Ventes[[#This Row],[Qté Vendue]] * IFERROR(_xlfn.XLOOKUP(tbl_Ventes[[#This Row],[Cde_Prdt]], tbl_Produits[Cde_Prdt], tbl_Produits[Prix Menu]), 0)</f>
        <v>0</v>
      </c>
      <c r="H2767" s="7">
        <f>IFERROR(_xlfn.XLOOKUP(tbl_Ventes[[#This Row],[Cde_Prdt]], tbl_Produits[Cde_Prdt], tbl_Produits[Coût Moyen Portion]), 0)</f>
        <v>0</v>
      </c>
      <c r="I2767" s="7">
        <f>tbl_Ventes[[#This Row],[Qté Vendue]] * tbl_Ventes[[#This Row],[CMP_par_portion]]</f>
        <v>0</v>
      </c>
      <c r="J2767" s="7">
        <f>tbl_Ventes[[#This Row],[CA ligne]] - tbl_Ventes[[#This Row],[Coût matière ligne]]</f>
        <v>0</v>
      </c>
      <c r="K2767" s="7" t="str">
        <f>IFERROR(INDEX(tbl_ProduitsRef[Famille], MATCH(tbl_Ventes[[#This Row],[Cde_Prdt]], tbl_Produits[Cde_Prdt], 0)), "")</f>
        <v/>
      </c>
    </row>
    <row r="2768" spans="1:11" x14ac:dyDescent="0.25">
      <c r="A2768" s="5"/>
      <c r="B2768" s="63" t="str">
        <f>IFERROR(TEXT(tbl_Ventes[[#This Row],[Date]],"mm-aaaa"),"")</f>
        <v>01-1900</v>
      </c>
      <c r="D2768" s="10" t="str">
        <f>IFERROR(
   INDEX(tbl_ProduitsRef[Cde_Prdt],MATCH(tbl_Ventes[[#This Row],[Produit]],tbl_ProduitsRef[Produit],0)),
   ""
)</f>
        <v/>
      </c>
      <c r="E2768" s="7">
        <v>0</v>
      </c>
      <c r="F2768" s="7" t="str">
        <f>IFERROR(
   INDEX(tbl_ProduitsRef[Prix Menu],MATCH(tbl_Ventes[[#This Row],[Produit]],tbl_ProduitsRef[Produit],0)),
   ""
)</f>
        <v/>
      </c>
      <c r="G2768" s="7">
        <f>tbl_Ventes[[#This Row],[Qté Vendue]] * IFERROR(_xlfn.XLOOKUP(tbl_Ventes[[#This Row],[Cde_Prdt]], tbl_Produits[Cde_Prdt], tbl_Produits[Prix Menu]), 0)</f>
        <v>0</v>
      </c>
      <c r="H2768" s="7">
        <f>IFERROR(_xlfn.XLOOKUP(tbl_Ventes[[#This Row],[Cde_Prdt]], tbl_Produits[Cde_Prdt], tbl_Produits[Coût Moyen Portion]), 0)</f>
        <v>0</v>
      </c>
      <c r="I2768" s="7">
        <f>tbl_Ventes[[#This Row],[Qté Vendue]] * tbl_Ventes[[#This Row],[CMP_par_portion]]</f>
        <v>0</v>
      </c>
      <c r="J2768" s="7">
        <f>tbl_Ventes[[#This Row],[CA ligne]] - tbl_Ventes[[#This Row],[Coût matière ligne]]</f>
        <v>0</v>
      </c>
      <c r="K2768" s="7" t="str">
        <f>IFERROR(INDEX(tbl_ProduitsRef[Famille], MATCH(tbl_Ventes[[#This Row],[Cde_Prdt]], tbl_Produits[Cde_Prdt], 0)), "")</f>
        <v/>
      </c>
    </row>
    <row r="2769" spans="1:11" x14ac:dyDescent="0.25">
      <c r="A2769" s="5"/>
      <c r="B2769" s="63" t="str">
        <f>IFERROR(TEXT(tbl_Ventes[[#This Row],[Date]],"mm-aaaa"),"")</f>
        <v>01-1900</v>
      </c>
      <c r="D2769" s="10" t="str">
        <f>IFERROR(
   INDEX(tbl_ProduitsRef[Cde_Prdt],MATCH(tbl_Ventes[[#This Row],[Produit]],tbl_ProduitsRef[Produit],0)),
   ""
)</f>
        <v/>
      </c>
      <c r="E2769" s="7">
        <v>0</v>
      </c>
      <c r="F2769" s="7" t="str">
        <f>IFERROR(
   INDEX(tbl_ProduitsRef[Prix Menu],MATCH(tbl_Ventes[[#This Row],[Produit]],tbl_ProduitsRef[Produit],0)),
   ""
)</f>
        <v/>
      </c>
      <c r="G2769" s="7">
        <f>tbl_Ventes[[#This Row],[Qté Vendue]] * IFERROR(_xlfn.XLOOKUP(tbl_Ventes[[#This Row],[Cde_Prdt]], tbl_Produits[Cde_Prdt], tbl_Produits[Prix Menu]), 0)</f>
        <v>0</v>
      </c>
      <c r="H2769" s="7">
        <f>IFERROR(_xlfn.XLOOKUP(tbl_Ventes[[#This Row],[Cde_Prdt]], tbl_Produits[Cde_Prdt], tbl_Produits[Coût Moyen Portion]), 0)</f>
        <v>0</v>
      </c>
      <c r="I2769" s="7">
        <f>tbl_Ventes[[#This Row],[Qté Vendue]] * tbl_Ventes[[#This Row],[CMP_par_portion]]</f>
        <v>0</v>
      </c>
      <c r="J2769" s="7">
        <f>tbl_Ventes[[#This Row],[CA ligne]] - tbl_Ventes[[#This Row],[Coût matière ligne]]</f>
        <v>0</v>
      </c>
      <c r="K2769" s="7" t="str">
        <f>IFERROR(INDEX(tbl_ProduitsRef[Famille], MATCH(tbl_Ventes[[#This Row],[Cde_Prdt]], tbl_Produits[Cde_Prdt], 0)), "")</f>
        <v/>
      </c>
    </row>
    <row r="2770" spans="1:11" x14ac:dyDescent="0.25">
      <c r="A2770" s="5"/>
      <c r="B2770" s="63" t="str">
        <f>IFERROR(TEXT(tbl_Ventes[[#This Row],[Date]],"mm-aaaa"),"")</f>
        <v>01-1900</v>
      </c>
      <c r="D2770" s="10" t="str">
        <f>IFERROR(
   INDEX(tbl_ProduitsRef[Cde_Prdt],MATCH(tbl_Ventes[[#This Row],[Produit]],tbl_ProduitsRef[Produit],0)),
   ""
)</f>
        <v/>
      </c>
      <c r="E2770" s="7">
        <v>0</v>
      </c>
      <c r="F2770" s="7" t="str">
        <f>IFERROR(
   INDEX(tbl_ProduitsRef[Prix Menu],MATCH(tbl_Ventes[[#This Row],[Produit]],tbl_ProduitsRef[Produit],0)),
   ""
)</f>
        <v/>
      </c>
      <c r="G2770" s="7">
        <f>tbl_Ventes[[#This Row],[Qté Vendue]] * IFERROR(_xlfn.XLOOKUP(tbl_Ventes[[#This Row],[Cde_Prdt]], tbl_Produits[Cde_Prdt], tbl_Produits[Prix Menu]), 0)</f>
        <v>0</v>
      </c>
      <c r="H2770" s="7">
        <f>IFERROR(_xlfn.XLOOKUP(tbl_Ventes[[#This Row],[Cde_Prdt]], tbl_Produits[Cde_Prdt], tbl_Produits[Coût Moyen Portion]), 0)</f>
        <v>0</v>
      </c>
      <c r="I2770" s="7">
        <f>tbl_Ventes[[#This Row],[Qté Vendue]] * tbl_Ventes[[#This Row],[CMP_par_portion]]</f>
        <v>0</v>
      </c>
      <c r="J2770" s="7">
        <f>tbl_Ventes[[#This Row],[CA ligne]] - tbl_Ventes[[#This Row],[Coût matière ligne]]</f>
        <v>0</v>
      </c>
      <c r="K2770" s="7" t="str">
        <f>IFERROR(INDEX(tbl_ProduitsRef[Famille], MATCH(tbl_Ventes[[#This Row],[Cde_Prdt]], tbl_Produits[Cde_Prdt], 0)), "")</f>
        <v/>
      </c>
    </row>
    <row r="2771" spans="1:11" x14ac:dyDescent="0.25">
      <c r="A2771" s="5"/>
      <c r="B2771" s="63" t="str">
        <f>IFERROR(TEXT(tbl_Ventes[[#This Row],[Date]],"mm-aaaa"),"")</f>
        <v>01-1900</v>
      </c>
      <c r="D2771" s="10" t="str">
        <f>IFERROR(
   INDEX(tbl_ProduitsRef[Cde_Prdt],MATCH(tbl_Ventes[[#This Row],[Produit]],tbl_ProduitsRef[Produit],0)),
   ""
)</f>
        <v/>
      </c>
      <c r="E2771" s="7">
        <v>0</v>
      </c>
      <c r="F2771" s="7" t="str">
        <f>IFERROR(
   INDEX(tbl_ProduitsRef[Prix Menu],MATCH(tbl_Ventes[[#This Row],[Produit]],tbl_ProduitsRef[Produit],0)),
   ""
)</f>
        <v/>
      </c>
      <c r="G2771" s="7">
        <f>tbl_Ventes[[#This Row],[Qté Vendue]] * IFERROR(_xlfn.XLOOKUP(tbl_Ventes[[#This Row],[Cde_Prdt]], tbl_Produits[Cde_Prdt], tbl_Produits[Prix Menu]), 0)</f>
        <v>0</v>
      </c>
      <c r="H2771" s="7">
        <f>IFERROR(_xlfn.XLOOKUP(tbl_Ventes[[#This Row],[Cde_Prdt]], tbl_Produits[Cde_Prdt], tbl_Produits[Coût Moyen Portion]), 0)</f>
        <v>0</v>
      </c>
      <c r="I2771" s="7">
        <f>tbl_Ventes[[#This Row],[Qté Vendue]] * tbl_Ventes[[#This Row],[CMP_par_portion]]</f>
        <v>0</v>
      </c>
      <c r="J2771" s="7">
        <f>tbl_Ventes[[#This Row],[CA ligne]] - tbl_Ventes[[#This Row],[Coût matière ligne]]</f>
        <v>0</v>
      </c>
      <c r="K2771" s="7" t="str">
        <f>IFERROR(INDEX(tbl_ProduitsRef[Famille], MATCH(tbl_Ventes[[#This Row],[Cde_Prdt]], tbl_Produits[Cde_Prdt], 0)), "")</f>
        <v/>
      </c>
    </row>
    <row r="2772" spans="1:11" x14ac:dyDescent="0.25">
      <c r="A2772" s="5"/>
      <c r="B2772" s="63" t="str">
        <f>IFERROR(TEXT(tbl_Ventes[[#This Row],[Date]],"mm-aaaa"),"")</f>
        <v>01-1900</v>
      </c>
      <c r="D2772" s="10" t="str">
        <f>IFERROR(
   INDEX(tbl_ProduitsRef[Cde_Prdt],MATCH(tbl_Ventes[[#This Row],[Produit]],tbl_ProduitsRef[Produit],0)),
   ""
)</f>
        <v/>
      </c>
      <c r="E2772" s="7">
        <v>0</v>
      </c>
      <c r="F2772" s="7" t="str">
        <f>IFERROR(
   INDEX(tbl_ProduitsRef[Prix Menu],MATCH(tbl_Ventes[[#This Row],[Produit]],tbl_ProduitsRef[Produit],0)),
   ""
)</f>
        <v/>
      </c>
      <c r="G2772" s="7">
        <f>tbl_Ventes[[#This Row],[Qté Vendue]] * IFERROR(_xlfn.XLOOKUP(tbl_Ventes[[#This Row],[Cde_Prdt]], tbl_Produits[Cde_Prdt], tbl_Produits[Prix Menu]), 0)</f>
        <v>0</v>
      </c>
      <c r="H2772" s="7">
        <f>IFERROR(_xlfn.XLOOKUP(tbl_Ventes[[#This Row],[Cde_Prdt]], tbl_Produits[Cde_Prdt], tbl_Produits[Coût Moyen Portion]), 0)</f>
        <v>0</v>
      </c>
      <c r="I2772" s="7">
        <f>tbl_Ventes[[#This Row],[Qté Vendue]] * tbl_Ventes[[#This Row],[CMP_par_portion]]</f>
        <v>0</v>
      </c>
      <c r="J2772" s="7">
        <f>tbl_Ventes[[#This Row],[CA ligne]] - tbl_Ventes[[#This Row],[Coût matière ligne]]</f>
        <v>0</v>
      </c>
      <c r="K2772" s="7" t="str">
        <f>IFERROR(INDEX(tbl_ProduitsRef[Famille], MATCH(tbl_Ventes[[#This Row],[Cde_Prdt]], tbl_Produits[Cde_Prdt], 0)), "")</f>
        <v/>
      </c>
    </row>
    <row r="2773" spans="1:11" x14ac:dyDescent="0.25">
      <c r="A2773" s="5"/>
      <c r="B2773" s="63" t="str">
        <f>IFERROR(TEXT(tbl_Ventes[[#This Row],[Date]],"mm-aaaa"),"")</f>
        <v>01-1900</v>
      </c>
      <c r="D2773" s="10" t="str">
        <f>IFERROR(
   INDEX(tbl_ProduitsRef[Cde_Prdt],MATCH(tbl_Ventes[[#This Row],[Produit]],tbl_ProduitsRef[Produit],0)),
   ""
)</f>
        <v/>
      </c>
      <c r="E2773" s="7">
        <v>0</v>
      </c>
      <c r="F2773" s="7" t="str">
        <f>IFERROR(
   INDEX(tbl_ProduitsRef[Prix Menu],MATCH(tbl_Ventes[[#This Row],[Produit]],tbl_ProduitsRef[Produit],0)),
   ""
)</f>
        <v/>
      </c>
      <c r="G2773" s="7">
        <f>tbl_Ventes[[#This Row],[Qté Vendue]] * IFERROR(_xlfn.XLOOKUP(tbl_Ventes[[#This Row],[Cde_Prdt]], tbl_Produits[Cde_Prdt], tbl_Produits[Prix Menu]), 0)</f>
        <v>0</v>
      </c>
      <c r="H2773" s="7">
        <f>IFERROR(_xlfn.XLOOKUP(tbl_Ventes[[#This Row],[Cde_Prdt]], tbl_Produits[Cde_Prdt], tbl_Produits[Coût Moyen Portion]), 0)</f>
        <v>0</v>
      </c>
      <c r="I2773" s="7">
        <f>tbl_Ventes[[#This Row],[Qté Vendue]] * tbl_Ventes[[#This Row],[CMP_par_portion]]</f>
        <v>0</v>
      </c>
      <c r="J2773" s="7">
        <f>tbl_Ventes[[#This Row],[CA ligne]] - tbl_Ventes[[#This Row],[Coût matière ligne]]</f>
        <v>0</v>
      </c>
      <c r="K2773" s="7" t="str">
        <f>IFERROR(INDEX(tbl_ProduitsRef[Famille], MATCH(tbl_Ventes[[#This Row],[Cde_Prdt]], tbl_Produits[Cde_Prdt], 0)), "")</f>
        <v/>
      </c>
    </row>
    <row r="2774" spans="1:11" x14ac:dyDescent="0.25">
      <c r="A2774" s="5"/>
      <c r="B2774" s="63" t="str">
        <f>IFERROR(TEXT(tbl_Ventes[[#This Row],[Date]],"mm-aaaa"),"")</f>
        <v>01-1900</v>
      </c>
      <c r="D2774" s="10" t="str">
        <f>IFERROR(
   INDEX(tbl_ProduitsRef[Cde_Prdt],MATCH(tbl_Ventes[[#This Row],[Produit]],tbl_ProduitsRef[Produit],0)),
   ""
)</f>
        <v/>
      </c>
      <c r="E2774" s="7">
        <v>0</v>
      </c>
      <c r="F2774" s="7" t="str">
        <f>IFERROR(
   INDEX(tbl_ProduitsRef[Prix Menu],MATCH(tbl_Ventes[[#This Row],[Produit]],tbl_ProduitsRef[Produit],0)),
   ""
)</f>
        <v/>
      </c>
      <c r="G2774" s="7">
        <f>tbl_Ventes[[#This Row],[Qté Vendue]] * IFERROR(_xlfn.XLOOKUP(tbl_Ventes[[#This Row],[Cde_Prdt]], tbl_Produits[Cde_Prdt], tbl_Produits[Prix Menu]), 0)</f>
        <v>0</v>
      </c>
      <c r="H2774" s="7">
        <f>IFERROR(_xlfn.XLOOKUP(tbl_Ventes[[#This Row],[Cde_Prdt]], tbl_Produits[Cde_Prdt], tbl_Produits[Coût Moyen Portion]), 0)</f>
        <v>0</v>
      </c>
      <c r="I2774" s="7">
        <f>tbl_Ventes[[#This Row],[Qté Vendue]] * tbl_Ventes[[#This Row],[CMP_par_portion]]</f>
        <v>0</v>
      </c>
      <c r="J2774" s="7">
        <f>tbl_Ventes[[#This Row],[CA ligne]] - tbl_Ventes[[#This Row],[Coût matière ligne]]</f>
        <v>0</v>
      </c>
      <c r="K2774" s="7" t="str">
        <f>IFERROR(INDEX(tbl_ProduitsRef[Famille], MATCH(tbl_Ventes[[#This Row],[Cde_Prdt]], tbl_Produits[Cde_Prdt], 0)), "")</f>
        <v/>
      </c>
    </row>
    <row r="2775" spans="1:11" x14ac:dyDescent="0.25">
      <c r="A2775" s="5"/>
      <c r="B2775" s="63" t="str">
        <f>IFERROR(TEXT(tbl_Ventes[[#This Row],[Date]],"mm-aaaa"),"")</f>
        <v>01-1900</v>
      </c>
      <c r="D2775" s="10" t="str">
        <f>IFERROR(
   INDEX(tbl_ProduitsRef[Cde_Prdt],MATCH(tbl_Ventes[[#This Row],[Produit]],tbl_ProduitsRef[Produit],0)),
   ""
)</f>
        <v/>
      </c>
      <c r="E2775" s="7">
        <v>0</v>
      </c>
      <c r="F2775" s="7" t="str">
        <f>IFERROR(
   INDEX(tbl_ProduitsRef[Prix Menu],MATCH(tbl_Ventes[[#This Row],[Produit]],tbl_ProduitsRef[Produit],0)),
   ""
)</f>
        <v/>
      </c>
      <c r="G2775" s="7">
        <f>tbl_Ventes[[#This Row],[Qté Vendue]] * IFERROR(_xlfn.XLOOKUP(tbl_Ventes[[#This Row],[Cde_Prdt]], tbl_Produits[Cde_Prdt], tbl_Produits[Prix Menu]), 0)</f>
        <v>0</v>
      </c>
      <c r="H2775" s="7">
        <f>IFERROR(_xlfn.XLOOKUP(tbl_Ventes[[#This Row],[Cde_Prdt]], tbl_Produits[Cde_Prdt], tbl_Produits[Coût Moyen Portion]), 0)</f>
        <v>0</v>
      </c>
      <c r="I2775" s="7">
        <f>tbl_Ventes[[#This Row],[Qté Vendue]] * tbl_Ventes[[#This Row],[CMP_par_portion]]</f>
        <v>0</v>
      </c>
      <c r="J2775" s="7">
        <f>tbl_Ventes[[#This Row],[CA ligne]] - tbl_Ventes[[#This Row],[Coût matière ligne]]</f>
        <v>0</v>
      </c>
      <c r="K2775" s="7" t="str">
        <f>IFERROR(INDEX(tbl_ProduitsRef[Famille], MATCH(tbl_Ventes[[#This Row],[Cde_Prdt]], tbl_Produits[Cde_Prdt], 0)), "")</f>
        <v/>
      </c>
    </row>
    <row r="2776" spans="1:11" x14ac:dyDescent="0.25">
      <c r="A2776" s="5"/>
      <c r="B2776" s="63" t="str">
        <f>IFERROR(TEXT(tbl_Ventes[[#This Row],[Date]],"mm-aaaa"),"")</f>
        <v>01-1900</v>
      </c>
      <c r="D2776" s="10" t="str">
        <f>IFERROR(
   INDEX(tbl_ProduitsRef[Cde_Prdt],MATCH(tbl_Ventes[[#This Row],[Produit]],tbl_ProduitsRef[Produit],0)),
   ""
)</f>
        <v/>
      </c>
      <c r="E2776" s="7">
        <v>0</v>
      </c>
      <c r="F2776" s="7" t="str">
        <f>IFERROR(
   INDEX(tbl_ProduitsRef[Prix Menu],MATCH(tbl_Ventes[[#This Row],[Produit]],tbl_ProduitsRef[Produit],0)),
   ""
)</f>
        <v/>
      </c>
      <c r="G2776" s="7">
        <f>tbl_Ventes[[#This Row],[Qté Vendue]] * IFERROR(_xlfn.XLOOKUP(tbl_Ventes[[#This Row],[Cde_Prdt]], tbl_Produits[Cde_Prdt], tbl_Produits[Prix Menu]), 0)</f>
        <v>0</v>
      </c>
      <c r="H2776" s="7">
        <f>IFERROR(_xlfn.XLOOKUP(tbl_Ventes[[#This Row],[Cde_Prdt]], tbl_Produits[Cde_Prdt], tbl_Produits[Coût Moyen Portion]), 0)</f>
        <v>0</v>
      </c>
      <c r="I2776" s="7">
        <f>tbl_Ventes[[#This Row],[Qté Vendue]] * tbl_Ventes[[#This Row],[CMP_par_portion]]</f>
        <v>0</v>
      </c>
      <c r="J2776" s="7">
        <f>tbl_Ventes[[#This Row],[CA ligne]] - tbl_Ventes[[#This Row],[Coût matière ligne]]</f>
        <v>0</v>
      </c>
      <c r="K2776" s="7" t="str">
        <f>IFERROR(INDEX(tbl_ProduitsRef[Famille], MATCH(tbl_Ventes[[#This Row],[Cde_Prdt]], tbl_Produits[Cde_Prdt], 0)), "")</f>
        <v/>
      </c>
    </row>
    <row r="2777" spans="1:11" x14ac:dyDescent="0.25">
      <c r="A2777" s="5"/>
      <c r="B2777" s="63" t="str">
        <f>IFERROR(TEXT(tbl_Ventes[[#This Row],[Date]],"mm-aaaa"),"")</f>
        <v>01-1900</v>
      </c>
      <c r="D2777" s="10" t="str">
        <f>IFERROR(
   INDEX(tbl_ProduitsRef[Cde_Prdt],MATCH(tbl_Ventes[[#This Row],[Produit]],tbl_ProduitsRef[Produit],0)),
   ""
)</f>
        <v/>
      </c>
      <c r="E2777" s="7">
        <v>0</v>
      </c>
      <c r="F2777" s="7" t="str">
        <f>IFERROR(
   INDEX(tbl_ProduitsRef[Prix Menu],MATCH(tbl_Ventes[[#This Row],[Produit]],tbl_ProduitsRef[Produit],0)),
   ""
)</f>
        <v/>
      </c>
      <c r="G2777" s="7">
        <f>tbl_Ventes[[#This Row],[Qté Vendue]] * IFERROR(_xlfn.XLOOKUP(tbl_Ventes[[#This Row],[Cde_Prdt]], tbl_Produits[Cde_Prdt], tbl_Produits[Prix Menu]), 0)</f>
        <v>0</v>
      </c>
      <c r="H2777" s="7">
        <f>IFERROR(_xlfn.XLOOKUP(tbl_Ventes[[#This Row],[Cde_Prdt]], tbl_Produits[Cde_Prdt], tbl_Produits[Coût Moyen Portion]), 0)</f>
        <v>0</v>
      </c>
      <c r="I2777" s="7">
        <f>tbl_Ventes[[#This Row],[Qté Vendue]] * tbl_Ventes[[#This Row],[CMP_par_portion]]</f>
        <v>0</v>
      </c>
      <c r="J2777" s="7">
        <f>tbl_Ventes[[#This Row],[CA ligne]] - tbl_Ventes[[#This Row],[Coût matière ligne]]</f>
        <v>0</v>
      </c>
      <c r="K2777" s="7" t="str">
        <f>IFERROR(INDEX(tbl_ProduitsRef[Famille], MATCH(tbl_Ventes[[#This Row],[Cde_Prdt]], tbl_Produits[Cde_Prdt], 0)), "")</f>
        <v/>
      </c>
    </row>
    <row r="2778" spans="1:11" x14ac:dyDescent="0.25">
      <c r="A2778" s="5"/>
      <c r="B2778" s="63" t="str">
        <f>IFERROR(TEXT(tbl_Ventes[[#This Row],[Date]],"mm-aaaa"),"")</f>
        <v>01-1900</v>
      </c>
      <c r="D2778" s="10" t="str">
        <f>IFERROR(
   INDEX(tbl_ProduitsRef[Cde_Prdt],MATCH(tbl_Ventes[[#This Row],[Produit]],tbl_ProduitsRef[Produit],0)),
   ""
)</f>
        <v/>
      </c>
      <c r="E2778" s="7">
        <v>0</v>
      </c>
      <c r="F2778" s="7" t="str">
        <f>IFERROR(
   INDEX(tbl_ProduitsRef[Prix Menu],MATCH(tbl_Ventes[[#This Row],[Produit]],tbl_ProduitsRef[Produit],0)),
   ""
)</f>
        <v/>
      </c>
      <c r="G2778" s="7">
        <f>tbl_Ventes[[#This Row],[Qté Vendue]] * IFERROR(_xlfn.XLOOKUP(tbl_Ventes[[#This Row],[Cde_Prdt]], tbl_Produits[Cde_Prdt], tbl_Produits[Prix Menu]), 0)</f>
        <v>0</v>
      </c>
      <c r="H2778" s="7">
        <f>IFERROR(_xlfn.XLOOKUP(tbl_Ventes[[#This Row],[Cde_Prdt]], tbl_Produits[Cde_Prdt], tbl_Produits[Coût Moyen Portion]), 0)</f>
        <v>0</v>
      </c>
      <c r="I2778" s="7">
        <f>tbl_Ventes[[#This Row],[Qté Vendue]] * tbl_Ventes[[#This Row],[CMP_par_portion]]</f>
        <v>0</v>
      </c>
      <c r="J2778" s="7">
        <f>tbl_Ventes[[#This Row],[CA ligne]] - tbl_Ventes[[#This Row],[Coût matière ligne]]</f>
        <v>0</v>
      </c>
      <c r="K2778" s="7" t="str">
        <f>IFERROR(INDEX(tbl_ProduitsRef[Famille], MATCH(tbl_Ventes[[#This Row],[Cde_Prdt]], tbl_Produits[Cde_Prdt], 0)), "")</f>
        <v/>
      </c>
    </row>
    <row r="2779" spans="1:11" x14ac:dyDescent="0.25">
      <c r="A2779" s="5"/>
      <c r="B2779" s="63" t="str">
        <f>IFERROR(TEXT(tbl_Ventes[[#This Row],[Date]],"mm-aaaa"),"")</f>
        <v>01-1900</v>
      </c>
      <c r="D2779" s="10" t="str">
        <f>IFERROR(
   INDEX(tbl_ProduitsRef[Cde_Prdt],MATCH(tbl_Ventes[[#This Row],[Produit]],tbl_ProduitsRef[Produit],0)),
   ""
)</f>
        <v/>
      </c>
      <c r="E2779" s="7">
        <v>0</v>
      </c>
      <c r="F2779" s="7" t="str">
        <f>IFERROR(
   INDEX(tbl_ProduitsRef[Prix Menu],MATCH(tbl_Ventes[[#This Row],[Produit]],tbl_ProduitsRef[Produit],0)),
   ""
)</f>
        <v/>
      </c>
      <c r="G2779" s="7">
        <f>tbl_Ventes[[#This Row],[Qté Vendue]] * IFERROR(_xlfn.XLOOKUP(tbl_Ventes[[#This Row],[Cde_Prdt]], tbl_Produits[Cde_Prdt], tbl_Produits[Prix Menu]), 0)</f>
        <v>0</v>
      </c>
      <c r="H2779" s="7">
        <f>IFERROR(_xlfn.XLOOKUP(tbl_Ventes[[#This Row],[Cde_Prdt]], tbl_Produits[Cde_Prdt], tbl_Produits[Coût Moyen Portion]), 0)</f>
        <v>0</v>
      </c>
      <c r="I2779" s="7">
        <f>tbl_Ventes[[#This Row],[Qté Vendue]] * tbl_Ventes[[#This Row],[CMP_par_portion]]</f>
        <v>0</v>
      </c>
      <c r="J2779" s="7">
        <f>tbl_Ventes[[#This Row],[CA ligne]] - tbl_Ventes[[#This Row],[Coût matière ligne]]</f>
        <v>0</v>
      </c>
      <c r="K2779" s="7" t="str">
        <f>IFERROR(INDEX(tbl_ProduitsRef[Famille], MATCH(tbl_Ventes[[#This Row],[Cde_Prdt]], tbl_Produits[Cde_Prdt], 0)), "")</f>
        <v/>
      </c>
    </row>
    <row r="2780" spans="1:11" x14ac:dyDescent="0.25">
      <c r="A2780" s="5"/>
      <c r="B2780" s="63" t="str">
        <f>IFERROR(TEXT(tbl_Ventes[[#This Row],[Date]],"mm-aaaa"),"")</f>
        <v>01-1900</v>
      </c>
      <c r="D2780" s="10" t="str">
        <f>IFERROR(
   INDEX(tbl_ProduitsRef[Cde_Prdt],MATCH(tbl_Ventes[[#This Row],[Produit]],tbl_ProduitsRef[Produit],0)),
   ""
)</f>
        <v/>
      </c>
      <c r="E2780" s="7">
        <v>0</v>
      </c>
      <c r="F2780" s="7" t="str">
        <f>IFERROR(
   INDEX(tbl_ProduitsRef[Prix Menu],MATCH(tbl_Ventes[[#This Row],[Produit]],tbl_ProduitsRef[Produit],0)),
   ""
)</f>
        <v/>
      </c>
      <c r="G2780" s="7">
        <f>tbl_Ventes[[#This Row],[Qté Vendue]] * IFERROR(_xlfn.XLOOKUP(tbl_Ventes[[#This Row],[Cde_Prdt]], tbl_Produits[Cde_Prdt], tbl_Produits[Prix Menu]), 0)</f>
        <v>0</v>
      </c>
      <c r="H2780" s="7">
        <f>IFERROR(_xlfn.XLOOKUP(tbl_Ventes[[#This Row],[Cde_Prdt]], tbl_Produits[Cde_Prdt], tbl_Produits[Coût Moyen Portion]), 0)</f>
        <v>0</v>
      </c>
      <c r="I2780" s="7">
        <f>tbl_Ventes[[#This Row],[Qté Vendue]] * tbl_Ventes[[#This Row],[CMP_par_portion]]</f>
        <v>0</v>
      </c>
      <c r="J2780" s="7">
        <f>tbl_Ventes[[#This Row],[CA ligne]] - tbl_Ventes[[#This Row],[Coût matière ligne]]</f>
        <v>0</v>
      </c>
      <c r="K2780" s="7" t="str">
        <f>IFERROR(INDEX(tbl_ProduitsRef[Famille], MATCH(tbl_Ventes[[#This Row],[Cde_Prdt]], tbl_Produits[Cde_Prdt], 0)), "")</f>
        <v/>
      </c>
    </row>
    <row r="2781" spans="1:11" x14ac:dyDescent="0.25">
      <c r="A2781" s="5"/>
      <c r="B2781" s="63" t="str">
        <f>IFERROR(TEXT(tbl_Ventes[[#This Row],[Date]],"mm-aaaa"),"")</f>
        <v>01-1900</v>
      </c>
      <c r="D2781" s="10" t="str">
        <f>IFERROR(
   INDEX(tbl_ProduitsRef[Cde_Prdt],MATCH(tbl_Ventes[[#This Row],[Produit]],tbl_ProduitsRef[Produit],0)),
   ""
)</f>
        <v/>
      </c>
      <c r="E2781" s="7">
        <v>0</v>
      </c>
      <c r="F2781" s="7" t="str">
        <f>IFERROR(
   INDEX(tbl_ProduitsRef[Prix Menu],MATCH(tbl_Ventes[[#This Row],[Produit]],tbl_ProduitsRef[Produit],0)),
   ""
)</f>
        <v/>
      </c>
      <c r="G2781" s="7">
        <f>tbl_Ventes[[#This Row],[Qté Vendue]] * IFERROR(_xlfn.XLOOKUP(tbl_Ventes[[#This Row],[Cde_Prdt]], tbl_Produits[Cde_Prdt], tbl_Produits[Prix Menu]), 0)</f>
        <v>0</v>
      </c>
      <c r="H2781" s="7">
        <f>IFERROR(_xlfn.XLOOKUP(tbl_Ventes[[#This Row],[Cde_Prdt]], tbl_Produits[Cde_Prdt], tbl_Produits[Coût Moyen Portion]), 0)</f>
        <v>0</v>
      </c>
      <c r="I2781" s="7">
        <f>tbl_Ventes[[#This Row],[Qté Vendue]] * tbl_Ventes[[#This Row],[CMP_par_portion]]</f>
        <v>0</v>
      </c>
      <c r="J2781" s="7">
        <f>tbl_Ventes[[#This Row],[CA ligne]] - tbl_Ventes[[#This Row],[Coût matière ligne]]</f>
        <v>0</v>
      </c>
      <c r="K2781" s="7" t="str">
        <f>IFERROR(INDEX(tbl_ProduitsRef[Famille], MATCH(tbl_Ventes[[#This Row],[Cde_Prdt]], tbl_Produits[Cde_Prdt], 0)), "")</f>
        <v/>
      </c>
    </row>
    <row r="2782" spans="1:11" x14ac:dyDescent="0.25">
      <c r="A2782" s="5"/>
      <c r="B2782" s="63" t="str">
        <f>IFERROR(TEXT(tbl_Ventes[[#This Row],[Date]],"mm-aaaa"),"")</f>
        <v>01-1900</v>
      </c>
      <c r="D2782" s="10" t="str">
        <f>IFERROR(
   INDEX(tbl_ProduitsRef[Cde_Prdt],MATCH(tbl_Ventes[[#This Row],[Produit]],tbl_ProduitsRef[Produit],0)),
   ""
)</f>
        <v/>
      </c>
      <c r="E2782" s="7">
        <v>0</v>
      </c>
      <c r="F2782" s="7" t="str">
        <f>IFERROR(
   INDEX(tbl_ProduitsRef[Prix Menu],MATCH(tbl_Ventes[[#This Row],[Produit]],tbl_ProduitsRef[Produit],0)),
   ""
)</f>
        <v/>
      </c>
      <c r="G2782" s="7">
        <f>tbl_Ventes[[#This Row],[Qté Vendue]] * IFERROR(_xlfn.XLOOKUP(tbl_Ventes[[#This Row],[Cde_Prdt]], tbl_Produits[Cde_Prdt], tbl_Produits[Prix Menu]), 0)</f>
        <v>0</v>
      </c>
      <c r="H2782" s="7">
        <f>IFERROR(_xlfn.XLOOKUP(tbl_Ventes[[#This Row],[Cde_Prdt]], tbl_Produits[Cde_Prdt], tbl_Produits[Coût Moyen Portion]), 0)</f>
        <v>0</v>
      </c>
      <c r="I2782" s="7">
        <f>tbl_Ventes[[#This Row],[Qté Vendue]] * tbl_Ventes[[#This Row],[CMP_par_portion]]</f>
        <v>0</v>
      </c>
      <c r="J2782" s="7">
        <f>tbl_Ventes[[#This Row],[CA ligne]] - tbl_Ventes[[#This Row],[Coût matière ligne]]</f>
        <v>0</v>
      </c>
      <c r="K2782" s="7" t="str">
        <f>IFERROR(INDEX(tbl_ProduitsRef[Famille], MATCH(tbl_Ventes[[#This Row],[Cde_Prdt]], tbl_Produits[Cde_Prdt], 0)), "")</f>
        <v/>
      </c>
    </row>
    <row r="2783" spans="1:11" x14ac:dyDescent="0.25">
      <c r="A2783" s="5"/>
      <c r="B2783" s="63" t="str">
        <f>IFERROR(TEXT(tbl_Ventes[[#This Row],[Date]],"mm-aaaa"),"")</f>
        <v>01-1900</v>
      </c>
      <c r="D2783" s="10" t="str">
        <f>IFERROR(
   INDEX(tbl_ProduitsRef[Cde_Prdt],MATCH(tbl_Ventes[[#This Row],[Produit]],tbl_ProduitsRef[Produit],0)),
   ""
)</f>
        <v/>
      </c>
      <c r="E2783" s="7">
        <v>0</v>
      </c>
      <c r="F2783" s="7" t="str">
        <f>IFERROR(
   INDEX(tbl_ProduitsRef[Prix Menu],MATCH(tbl_Ventes[[#This Row],[Produit]],tbl_ProduitsRef[Produit],0)),
   ""
)</f>
        <v/>
      </c>
      <c r="G2783" s="7">
        <f>tbl_Ventes[[#This Row],[Qté Vendue]] * IFERROR(_xlfn.XLOOKUP(tbl_Ventes[[#This Row],[Cde_Prdt]], tbl_Produits[Cde_Prdt], tbl_Produits[Prix Menu]), 0)</f>
        <v>0</v>
      </c>
      <c r="H2783" s="7">
        <f>IFERROR(_xlfn.XLOOKUP(tbl_Ventes[[#This Row],[Cde_Prdt]], tbl_Produits[Cde_Prdt], tbl_Produits[Coût Moyen Portion]), 0)</f>
        <v>0</v>
      </c>
      <c r="I2783" s="7">
        <f>tbl_Ventes[[#This Row],[Qté Vendue]] * tbl_Ventes[[#This Row],[CMP_par_portion]]</f>
        <v>0</v>
      </c>
      <c r="J2783" s="7">
        <f>tbl_Ventes[[#This Row],[CA ligne]] - tbl_Ventes[[#This Row],[Coût matière ligne]]</f>
        <v>0</v>
      </c>
      <c r="K2783" s="7" t="str">
        <f>IFERROR(INDEX(tbl_ProduitsRef[Famille], MATCH(tbl_Ventes[[#This Row],[Cde_Prdt]], tbl_Produits[Cde_Prdt], 0)), "")</f>
        <v/>
      </c>
    </row>
    <row r="2784" spans="1:11" x14ac:dyDescent="0.25">
      <c r="A2784" s="5"/>
      <c r="B2784" s="63" t="str">
        <f>IFERROR(TEXT(tbl_Ventes[[#This Row],[Date]],"mm-aaaa"),"")</f>
        <v>01-1900</v>
      </c>
      <c r="D2784" s="10" t="str">
        <f>IFERROR(
   INDEX(tbl_ProduitsRef[Cde_Prdt],MATCH(tbl_Ventes[[#This Row],[Produit]],tbl_ProduitsRef[Produit],0)),
   ""
)</f>
        <v/>
      </c>
      <c r="E2784" s="7">
        <v>0</v>
      </c>
      <c r="F2784" s="7" t="str">
        <f>IFERROR(
   INDEX(tbl_ProduitsRef[Prix Menu],MATCH(tbl_Ventes[[#This Row],[Produit]],tbl_ProduitsRef[Produit],0)),
   ""
)</f>
        <v/>
      </c>
      <c r="G2784" s="7">
        <f>tbl_Ventes[[#This Row],[Qté Vendue]] * IFERROR(_xlfn.XLOOKUP(tbl_Ventes[[#This Row],[Cde_Prdt]], tbl_Produits[Cde_Prdt], tbl_Produits[Prix Menu]), 0)</f>
        <v>0</v>
      </c>
      <c r="H2784" s="7">
        <f>IFERROR(_xlfn.XLOOKUP(tbl_Ventes[[#This Row],[Cde_Prdt]], tbl_Produits[Cde_Prdt], tbl_Produits[Coût Moyen Portion]), 0)</f>
        <v>0</v>
      </c>
      <c r="I2784" s="7">
        <f>tbl_Ventes[[#This Row],[Qté Vendue]] * tbl_Ventes[[#This Row],[CMP_par_portion]]</f>
        <v>0</v>
      </c>
      <c r="J2784" s="7">
        <f>tbl_Ventes[[#This Row],[CA ligne]] - tbl_Ventes[[#This Row],[Coût matière ligne]]</f>
        <v>0</v>
      </c>
      <c r="K2784" s="7" t="str">
        <f>IFERROR(INDEX(tbl_ProduitsRef[Famille], MATCH(tbl_Ventes[[#This Row],[Cde_Prdt]], tbl_Produits[Cde_Prdt], 0)), "")</f>
        <v/>
      </c>
    </row>
    <row r="2785" spans="1:11" x14ac:dyDescent="0.25">
      <c r="A2785" s="5"/>
      <c r="B2785" s="63" t="str">
        <f>IFERROR(TEXT(tbl_Ventes[[#This Row],[Date]],"mm-aaaa"),"")</f>
        <v>01-1900</v>
      </c>
      <c r="D2785" s="10" t="str">
        <f>IFERROR(
   INDEX(tbl_ProduitsRef[Cde_Prdt],MATCH(tbl_Ventes[[#This Row],[Produit]],tbl_ProduitsRef[Produit],0)),
   ""
)</f>
        <v/>
      </c>
      <c r="E2785" s="7">
        <v>0</v>
      </c>
      <c r="F2785" s="7" t="str">
        <f>IFERROR(
   INDEX(tbl_ProduitsRef[Prix Menu],MATCH(tbl_Ventes[[#This Row],[Produit]],tbl_ProduitsRef[Produit],0)),
   ""
)</f>
        <v/>
      </c>
      <c r="G2785" s="7">
        <f>tbl_Ventes[[#This Row],[Qté Vendue]] * IFERROR(_xlfn.XLOOKUP(tbl_Ventes[[#This Row],[Cde_Prdt]], tbl_Produits[Cde_Prdt], tbl_Produits[Prix Menu]), 0)</f>
        <v>0</v>
      </c>
      <c r="H2785" s="7">
        <f>IFERROR(_xlfn.XLOOKUP(tbl_Ventes[[#This Row],[Cde_Prdt]], tbl_Produits[Cde_Prdt], tbl_Produits[Coût Moyen Portion]), 0)</f>
        <v>0</v>
      </c>
      <c r="I2785" s="7">
        <f>tbl_Ventes[[#This Row],[Qté Vendue]] * tbl_Ventes[[#This Row],[CMP_par_portion]]</f>
        <v>0</v>
      </c>
      <c r="J2785" s="7">
        <f>tbl_Ventes[[#This Row],[CA ligne]] - tbl_Ventes[[#This Row],[Coût matière ligne]]</f>
        <v>0</v>
      </c>
      <c r="K2785" s="7" t="str">
        <f>IFERROR(INDEX(tbl_ProduitsRef[Famille], MATCH(tbl_Ventes[[#This Row],[Cde_Prdt]], tbl_Produits[Cde_Prdt], 0)), "")</f>
        <v/>
      </c>
    </row>
    <row r="2786" spans="1:11" x14ac:dyDescent="0.25">
      <c r="A2786" s="5"/>
      <c r="B2786" s="63" t="str">
        <f>IFERROR(TEXT(tbl_Ventes[[#This Row],[Date]],"mm-aaaa"),"")</f>
        <v>01-1900</v>
      </c>
      <c r="D2786" s="10" t="str">
        <f>IFERROR(
   INDEX(tbl_ProduitsRef[Cde_Prdt],MATCH(tbl_Ventes[[#This Row],[Produit]],tbl_ProduitsRef[Produit],0)),
   ""
)</f>
        <v/>
      </c>
      <c r="E2786" s="7">
        <v>0</v>
      </c>
      <c r="F2786" s="7" t="str">
        <f>IFERROR(
   INDEX(tbl_ProduitsRef[Prix Menu],MATCH(tbl_Ventes[[#This Row],[Produit]],tbl_ProduitsRef[Produit],0)),
   ""
)</f>
        <v/>
      </c>
      <c r="G2786" s="7">
        <f>tbl_Ventes[[#This Row],[Qté Vendue]] * IFERROR(_xlfn.XLOOKUP(tbl_Ventes[[#This Row],[Cde_Prdt]], tbl_Produits[Cde_Prdt], tbl_Produits[Prix Menu]), 0)</f>
        <v>0</v>
      </c>
      <c r="H2786" s="7">
        <f>IFERROR(_xlfn.XLOOKUP(tbl_Ventes[[#This Row],[Cde_Prdt]], tbl_Produits[Cde_Prdt], tbl_Produits[Coût Moyen Portion]), 0)</f>
        <v>0</v>
      </c>
      <c r="I2786" s="7">
        <f>tbl_Ventes[[#This Row],[Qté Vendue]] * tbl_Ventes[[#This Row],[CMP_par_portion]]</f>
        <v>0</v>
      </c>
      <c r="J2786" s="7">
        <f>tbl_Ventes[[#This Row],[CA ligne]] - tbl_Ventes[[#This Row],[Coût matière ligne]]</f>
        <v>0</v>
      </c>
      <c r="K2786" s="7" t="str">
        <f>IFERROR(INDEX(tbl_ProduitsRef[Famille], MATCH(tbl_Ventes[[#This Row],[Cde_Prdt]], tbl_Produits[Cde_Prdt], 0)), "")</f>
        <v/>
      </c>
    </row>
    <row r="2787" spans="1:11" x14ac:dyDescent="0.25">
      <c r="A2787" s="5"/>
      <c r="B2787" s="63" t="str">
        <f>IFERROR(TEXT(tbl_Ventes[[#This Row],[Date]],"mm-aaaa"),"")</f>
        <v>01-1900</v>
      </c>
      <c r="D2787" s="10" t="str">
        <f>IFERROR(
   INDEX(tbl_ProduitsRef[Cde_Prdt],MATCH(tbl_Ventes[[#This Row],[Produit]],tbl_ProduitsRef[Produit],0)),
   ""
)</f>
        <v/>
      </c>
      <c r="E2787" s="7">
        <v>0</v>
      </c>
      <c r="F2787" s="7" t="str">
        <f>IFERROR(
   INDEX(tbl_ProduitsRef[Prix Menu],MATCH(tbl_Ventes[[#This Row],[Produit]],tbl_ProduitsRef[Produit],0)),
   ""
)</f>
        <v/>
      </c>
      <c r="G2787" s="7">
        <f>tbl_Ventes[[#This Row],[Qté Vendue]] * IFERROR(_xlfn.XLOOKUP(tbl_Ventes[[#This Row],[Cde_Prdt]], tbl_Produits[Cde_Prdt], tbl_Produits[Prix Menu]), 0)</f>
        <v>0</v>
      </c>
      <c r="H2787" s="7">
        <f>IFERROR(_xlfn.XLOOKUP(tbl_Ventes[[#This Row],[Cde_Prdt]], tbl_Produits[Cde_Prdt], tbl_Produits[Coût Moyen Portion]), 0)</f>
        <v>0</v>
      </c>
      <c r="I2787" s="7">
        <f>tbl_Ventes[[#This Row],[Qté Vendue]] * tbl_Ventes[[#This Row],[CMP_par_portion]]</f>
        <v>0</v>
      </c>
      <c r="J2787" s="7">
        <f>tbl_Ventes[[#This Row],[CA ligne]] - tbl_Ventes[[#This Row],[Coût matière ligne]]</f>
        <v>0</v>
      </c>
      <c r="K2787" s="7" t="str">
        <f>IFERROR(INDEX(tbl_ProduitsRef[Famille], MATCH(tbl_Ventes[[#This Row],[Cde_Prdt]], tbl_Produits[Cde_Prdt], 0)), "")</f>
        <v/>
      </c>
    </row>
    <row r="2788" spans="1:11" x14ac:dyDescent="0.25">
      <c r="A2788" s="5"/>
      <c r="B2788" s="63" t="str">
        <f>IFERROR(TEXT(tbl_Ventes[[#This Row],[Date]],"mm-aaaa"),"")</f>
        <v>01-1900</v>
      </c>
      <c r="D2788" s="10" t="str">
        <f>IFERROR(
   INDEX(tbl_ProduitsRef[Cde_Prdt],MATCH(tbl_Ventes[[#This Row],[Produit]],tbl_ProduitsRef[Produit],0)),
   ""
)</f>
        <v/>
      </c>
      <c r="E2788" s="7">
        <v>0</v>
      </c>
      <c r="F2788" s="7" t="str">
        <f>IFERROR(
   INDEX(tbl_ProduitsRef[Prix Menu],MATCH(tbl_Ventes[[#This Row],[Produit]],tbl_ProduitsRef[Produit],0)),
   ""
)</f>
        <v/>
      </c>
      <c r="G2788" s="7">
        <f>tbl_Ventes[[#This Row],[Qté Vendue]] * IFERROR(_xlfn.XLOOKUP(tbl_Ventes[[#This Row],[Cde_Prdt]], tbl_Produits[Cde_Prdt], tbl_Produits[Prix Menu]), 0)</f>
        <v>0</v>
      </c>
      <c r="H2788" s="7">
        <f>IFERROR(_xlfn.XLOOKUP(tbl_Ventes[[#This Row],[Cde_Prdt]], tbl_Produits[Cde_Prdt], tbl_Produits[Coût Moyen Portion]), 0)</f>
        <v>0</v>
      </c>
      <c r="I2788" s="7">
        <f>tbl_Ventes[[#This Row],[Qté Vendue]] * tbl_Ventes[[#This Row],[CMP_par_portion]]</f>
        <v>0</v>
      </c>
      <c r="J2788" s="7">
        <f>tbl_Ventes[[#This Row],[CA ligne]] - tbl_Ventes[[#This Row],[Coût matière ligne]]</f>
        <v>0</v>
      </c>
      <c r="K2788" s="7" t="str">
        <f>IFERROR(INDEX(tbl_ProduitsRef[Famille], MATCH(tbl_Ventes[[#This Row],[Cde_Prdt]], tbl_Produits[Cde_Prdt], 0)), "")</f>
        <v/>
      </c>
    </row>
    <row r="2789" spans="1:11" x14ac:dyDescent="0.25">
      <c r="A2789" s="5"/>
      <c r="B2789" s="63" t="str">
        <f>IFERROR(TEXT(tbl_Ventes[[#This Row],[Date]],"mm-aaaa"),"")</f>
        <v>01-1900</v>
      </c>
      <c r="D2789" s="10" t="str">
        <f>IFERROR(
   INDEX(tbl_ProduitsRef[Cde_Prdt],MATCH(tbl_Ventes[[#This Row],[Produit]],tbl_ProduitsRef[Produit],0)),
   ""
)</f>
        <v/>
      </c>
      <c r="E2789" s="7">
        <v>0</v>
      </c>
      <c r="F2789" s="7" t="str">
        <f>IFERROR(
   INDEX(tbl_ProduitsRef[Prix Menu],MATCH(tbl_Ventes[[#This Row],[Produit]],tbl_ProduitsRef[Produit],0)),
   ""
)</f>
        <v/>
      </c>
      <c r="G2789" s="7">
        <f>tbl_Ventes[[#This Row],[Qté Vendue]] * IFERROR(_xlfn.XLOOKUP(tbl_Ventes[[#This Row],[Cde_Prdt]], tbl_Produits[Cde_Prdt], tbl_Produits[Prix Menu]), 0)</f>
        <v>0</v>
      </c>
      <c r="H2789" s="7">
        <f>IFERROR(_xlfn.XLOOKUP(tbl_Ventes[[#This Row],[Cde_Prdt]], tbl_Produits[Cde_Prdt], tbl_Produits[Coût Moyen Portion]), 0)</f>
        <v>0</v>
      </c>
      <c r="I2789" s="7">
        <f>tbl_Ventes[[#This Row],[Qté Vendue]] * tbl_Ventes[[#This Row],[CMP_par_portion]]</f>
        <v>0</v>
      </c>
      <c r="J2789" s="7">
        <f>tbl_Ventes[[#This Row],[CA ligne]] - tbl_Ventes[[#This Row],[Coût matière ligne]]</f>
        <v>0</v>
      </c>
      <c r="K2789" s="7" t="str">
        <f>IFERROR(INDEX(tbl_ProduitsRef[Famille], MATCH(tbl_Ventes[[#This Row],[Cde_Prdt]], tbl_Produits[Cde_Prdt], 0)), "")</f>
        <v/>
      </c>
    </row>
    <row r="2790" spans="1:11" x14ac:dyDescent="0.25">
      <c r="A2790" s="5"/>
      <c r="B2790" s="63" t="str">
        <f>IFERROR(TEXT(tbl_Ventes[[#This Row],[Date]],"mm-aaaa"),"")</f>
        <v>01-1900</v>
      </c>
      <c r="D2790" s="10" t="str">
        <f>IFERROR(
   INDEX(tbl_ProduitsRef[Cde_Prdt],MATCH(tbl_Ventes[[#This Row],[Produit]],tbl_ProduitsRef[Produit],0)),
   ""
)</f>
        <v/>
      </c>
      <c r="E2790" s="7">
        <v>0</v>
      </c>
      <c r="F2790" s="7" t="str">
        <f>IFERROR(
   INDEX(tbl_ProduitsRef[Prix Menu],MATCH(tbl_Ventes[[#This Row],[Produit]],tbl_ProduitsRef[Produit],0)),
   ""
)</f>
        <v/>
      </c>
      <c r="G2790" s="7">
        <f>tbl_Ventes[[#This Row],[Qté Vendue]] * IFERROR(_xlfn.XLOOKUP(tbl_Ventes[[#This Row],[Cde_Prdt]], tbl_Produits[Cde_Prdt], tbl_Produits[Prix Menu]), 0)</f>
        <v>0</v>
      </c>
      <c r="H2790" s="7">
        <f>IFERROR(_xlfn.XLOOKUP(tbl_Ventes[[#This Row],[Cde_Prdt]], tbl_Produits[Cde_Prdt], tbl_Produits[Coût Moyen Portion]), 0)</f>
        <v>0</v>
      </c>
      <c r="I2790" s="7">
        <f>tbl_Ventes[[#This Row],[Qté Vendue]] * tbl_Ventes[[#This Row],[CMP_par_portion]]</f>
        <v>0</v>
      </c>
      <c r="J2790" s="7">
        <f>tbl_Ventes[[#This Row],[CA ligne]] - tbl_Ventes[[#This Row],[Coût matière ligne]]</f>
        <v>0</v>
      </c>
      <c r="K2790" s="7" t="str">
        <f>IFERROR(INDEX(tbl_ProduitsRef[Famille], MATCH(tbl_Ventes[[#This Row],[Cde_Prdt]], tbl_Produits[Cde_Prdt], 0)), "")</f>
        <v/>
      </c>
    </row>
    <row r="2791" spans="1:11" x14ac:dyDescent="0.25">
      <c r="A2791" s="5"/>
      <c r="B2791" s="63" t="str">
        <f>IFERROR(TEXT(tbl_Ventes[[#This Row],[Date]],"mm-aaaa"),"")</f>
        <v>01-1900</v>
      </c>
      <c r="D2791" s="10" t="str">
        <f>IFERROR(
   INDEX(tbl_ProduitsRef[Cde_Prdt],MATCH(tbl_Ventes[[#This Row],[Produit]],tbl_ProduitsRef[Produit],0)),
   ""
)</f>
        <v/>
      </c>
      <c r="E2791" s="7">
        <v>0</v>
      </c>
      <c r="F2791" s="7" t="str">
        <f>IFERROR(
   INDEX(tbl_ProduitsRef[Prix Menu],MATCH(tbl_Ventes[[#This Row],[Produit]],tbl_ProduitsRef[Produit],0)),
   ""
)</f>
        <v/>
      </c>
      <c r="G2791" s="7">
        <f>tbl_Ventes[[#This Row],[Qté Vendue]] * IFERROR(_xlfn.XLOOKUP(tbl_Ventes[[#This Row],[Cde_Prdt]], tbl_Produits[Cde_Prdt], tbl_Produits[Prix Menu]), 0)</f>
        <v>0</v>
      </c>
      <c r="H2791" s="7">
        <f>IFERROR(_xlfn.XLOOKUP(tbl_Ventes[[#This Row],[Cde_Prdt]], tbl_Produits[Cde_Prdt], tbl_Produits[Coût Moyen Portion]), 0)</f>
        <v>0</v>
      </c>
      <c r="I2791" s="7">
        <f>tbl_Ventes[[#This Row],[Qté Vendue]] * tbl_Ventes[[#This Row],[CMP_par_portion]]</f>
        <v>0</v>
      </c>
      <c r="J2791" s="7">
        <f>tbl_Ventes[[#This Row],[CA ligne]] - tbl_Ventes[[#This Row],[Coût matière ligne]]</f>
        <v>0</v>
      </c>
      <c r="K2791" s="7" t="str">
        <f>IFERROR(INDEX(tbl_ProduitsRef[Famille], MATCH(tbl_Ventes[[#This Row],[Cde_Prdt]], tbl_Produits[Cde_Prdt], 0)), "")</f>
        <v/>
      </c>
    </row>
    <row r="2792" spans="1:11" x14ac:dyDescent="0.25">
      <c r="A2792" s="5"/>
      <c r="B2792" s="63" t="str">
        <f>IFERROR(TEXT(tbl_Ventes[[#This Row],[Date]],"mm-aaaa"),"")</f>
        <v>01-1900</v>
      </c>
      <c r="D2792" s="10" t="str">
        <f>IFERROR(
   INDEX(tbl_ProduitsRef[Cde_Prdt],MATCH(tbl_Ventes[[#This Row],[Produit]],tbl_ProduitsRef[Produit],0)),
   ""
)</f>
        <v/>
      </c>
      <c r="E2792" s="7">
        <v>0</v>
      </c>
      <c r="F2792" s="7" t="str">
        <f>IFERROR(
   INDEX(tbl_ProduitsRef[Prix Menu],MATCH(tbl_Ventes[[#This Row],[Produit]],tbl_ProduitsRef[Produit],0)),
   ""
)</f>
        <v/>
      </c>
      <c r="G2792" s="7">
        <f>tbl_Ventes[[#This Row],[Qté Vendue]] * IFERROR(_xlfn.XLOOKUP(tbl_Ventes[[#This Row],[Cde_Prdt]], tbl_Produits[Cde_Prdt], tbl_Produits[Prix Menu]), 0)</f>
        <v>0</v>
      </c>
      <c r="H2792" s="7">
        <f>IFERROR(_xlfn.XLOOKUP(tbl_Ventes[[#This Row],[Cde_Prdt]], tbl_Produits[Cde_Prdt], tbl_Produits[Coût Moyen Portion]), 0)</f>
        <v>0</v>
      </c>
      <c r="I2792" s="7">
        <f>tbl_Ventes[[#This Row],[Qté Vendue]] * tbl_Ventes[[#This Row],[CMP_par_portion]]</f>
        <v>0</v>
      </c>
      <c r="J2792" s="7">
        <f>tbl_Ventes[[#This Row],[CA ligne]] - tbl_Ventes[[#This Row],[Coût matière ligne]]</f>
        <v>0</v>
      </c>
      <c r="K2792" s="7" t="str">
        <f>IFERROR(INDEX(tbl_ProduitsRef[Famille], MATCH(tbl_Ventes[[#This Row],[Cde_Prdt]], tbl_Produits[Cde_Prdt], 0)), "")</f>
        <v/>
      </c>
    </row>
    <row r="2793" spans="1:11" x14ac:dyDescent="0.25">
      <c r="A2793" s="5"/>
      <c r="B2793" s="63" t="str">
        <f>IFERROR(TEXT(tbl_Ventes[[#This Row],[Date]],"mm-aaaa"),"")</f>
        <v>01-1900</v>
      </c>
      <c r="D2793" s="10" t="str">
        <f>IFERROR(
   INDEX(tbl_ProduitsRef[Cde_Prdt],MATCH(tbl_Ventes[[#This Row],[Produit]],tbl_ProduitsRef[Produit],0)),
   ""
)</f>
        <v/>
      </c>
      <c r="E2793" s="7">
        <v>0</v>
      </c>
      <c r="F2793" s="7" t="str">
        <f>IFERROR(
   INDEX(tbl_ProduitsRef[Prix Menu],MATCH(tbl_Ventes[[#This Row],[Produit]],tbl_ProduitsRef[Produit],0)),
   ""
)</f>
        <v/>
      </c>
      <c r="G2793" s="7">
        <f>tbl_Ventes[[#This Row],[Qté Vendue]] * IFERROR(_xlfn.XLOOKUP(tbl_Ventes[[#This Row],[Cde_Prdt]], tbl_Produits[Cde_Prdt], tbl_Produits[Prix Menu]), 0)</f>
        <v>0</v>
      </c>
      <c r="H2793" s="7">
        <f>IFERROR(_xlfn.XLOOKUP(tbl_Ventes[[#This Row],[Cde_Prdt]], tbl_Produits[Cde_Prdt], tbl_Produits[Coût Moyen Portion]), 0)</f>
        <v>0</v>
      </c>
      <c r="I2793" s="7">
        <f>tbl_Ventes[[#This Row],[Qté Vendue]] * tbl_Ventes[[#This Row],[CMP_par_portion]]</f>
        <v>0</v>
      </c>
      <c r="J2793" s="7">
        <f>tbl_Ventes[[#This Row],[CA ligne]] - tbl_Ventes[[#This Row],[Coût matière ligne]]</f>
        <v>0</v>
      </c>
      <c r="K2793" s="7" t="str">
        <f>IFERROR(INDEX(tbl_ProduitsRef[Famille], MATCH(tbl_Ventes[[#This Row],[Cde_Prdt]], tbl_Produits[Cde_Prdt], 0)), "")</f>
        <v/>
      </c>
    </row>
    <row r="2794" spans="1:11" x14ac:dyDescent="0.25">
      <c r="A2794" s="5"/>
      <c r="B2794" s="63" t="str">
        <f>IFERROR(TEXT(tbl_Ventes[[#This Row],[Date]],"mm-aaaa"),"")</f>
        <v>01-1900</v>
      </c>
      <c r="D2794" s="10" t="str">
        <f>IFERROR(
   INDEX(tbl_ProduitsRef[Cde_Prdt],MATCH(tbl_Ventes[[#This Row],[Produit]],tbl_ProduitsRef[Produit],0)),
   ""
)</f>
        <v/>
      </c>
      <c r="E2794" s="7">
        <v>0</v>
      </c>
      <c r="F2794" s="7" t="str">
        <f>IFERROR(
   INDEX(tbl_ProduitsRef[Prix Menu],MATCH(tbl_Ventes[[#This Row],[Produit]],tbl_ProduitsRef[Produit],0)),
   ""
)</f>
        <v/>
      </c>
      <c r="G2794" s="7">
        <f>tbl_Ventes[[#This Row],[Qté Vendue]] * IFERROR(_xlfn.XLOOKUP(tbl_Ventes[[#This Row],[Cde_Prdt]], tbl_Produits[Cde_Prdt], tbl_Produits[Prix Menu]), 0)</f>
        <v>0</v>
      </c>
      <c r="H2794" s="7">
        <f>IFERROR(_xlfn.XLOOKUP(tbl_Ventes[[#This Row],[Cde_Prdt]], tbl_Produits[Cde_Prdt], tbl_Produits[Coût Moyen Portion]), 0)</f>
        <v>0</v>
      </c>
      <c r="I2794" s="7">
        <f>tbl_Ventes[[#This Row],[Qté Vendue]] * tbl_Ventes[[#This Row],[CMP_par_portion]]</f>
        <v>0</v>
      </c>
      <c r="J2794" s="7">
        <f>tbl_Ventes[[#This Row],[CA ligne]] - tbl_Ventes[[#This Row],[Coût matière ligne]]</f>
        <v>0</v>
      </c>
      <c r="K2794" s="7" t="str">
        <f>IFERROR(INDEX(tbl_ProduitsRef[Famille], MATCH(tbl_Ventes[[#This Row],[Cde_Prdt]], tbl_Produits[Cde_Prdt], 0)), "")</f>
        <v/>
      </c>
    </row>
    <row r="2795" spans="1:11" x14ac:dyDescent="0.25">
      <c r="A2795" s="5"/>
      <c r="B2795" s="63" t="str">
        <f>IFERROR(TEXT(tbl_Ventes[[#This Row],[Date]],"mm-aaaa"),"")</f>
        <v>01-1900</v>
      </c>
      <c r="D2795" s="10" t="str">
        <f>IFERROR(
   INDEX(tbl_ProduitsRef[Cde_Prdt],MATCH(tbl_Ventes[[#This Row],[Produit]],tbl_ProduitsRef[Produit],0)),
   ""
)</f>
        <v/>
      </c>
      <c r="E2795" s="7">
        <v>0</v>
      </c>
      <c r="F2795" s="7" t="str">
        <f>IFERROR(
   INDEX(tbl_ProduitsRef[Prix Menu],MATCH(tbl_Ventes[[#This Row],[Produit]],tbl_ProduitsRef[Produit],0)),
   ""
)</f>
        <v/>
      </c>
      <c r="G2795" s="7">
        <f>tbl_Ventes[[#This Row],[Qté Vendue]] * IFERROR(_xlfn.XLOOKUP(tbl_Ventes[[#This Row],[Cde_Prdt]], tbl_Produits[Cde_Prdt], tbl_Produits[Prix Menu]), 0)</f>
        <v>0</v>
      </c>
      <c r="H2795" s="7">
        <f>IFERROR(_xlfn.XLOOKUP(tbl_Ventes[[#This Row],[Cde_Prdt]], tbl_Produits[Cde_Prdt], tbl_Produits[Coût Moyen Portion]), 0)</f>
        <v>0</v>
      </c>
      <c r="I2795" s="7">
        <f>tbl_Ventes[[#This Row],[Qté Vendue]] * tbl_Ventes[[#This Row],[CMP_par_portion]]</f>
        <v>0</v>
      </c>
      <c r="J2795" s="7">
        <f>tbl_Ventes[[#This Row],[CA ligne]] - tbl_Ventes[[#This Row],[Coût matière ligne]]</f>
        <v>0</v>
      </c>
      <c r="K2795" s="7" t="str">
        <f>IFERROR(INDEX(tbl_ProduitsRef[Famille], MATCH(tbl_Ventes[[#This Row],[Cde_Prdt]], tbl_Produits[Cde_Prdt], 0)), "")</f>
        <v/>
      </c>
    </row>
    <row r="2796" spans="1:11" x14ac:dyDescent="0.25">
      <c r="A2796" s="5"/>
      <c r="B2796" s="63" t="str">
        <f>IFERROR(TEXT(tbl_Ventes[[#This Row],[Date]],"mm-aaaa"),"")</f>
        <v>01-1900</v>
      </c>
      <c r="D2796" s="10" t="str">
        <f>IFERROR(
   INDEX(tbl_ProduitsRef[Cde_Prdt],MATCH(tbl_Ventes[[#This Row],[Produit]],tbl_ProduitsRef[Produit],0)),
   ""
)</f>
        <v/>
      </c>
      <c r="E2796" s="7">
        <v>0</v>
      </c>
      <c r="F2796" s="7" t="str">
        <f>IFERROR(
   INDEX(tbl_ProduitsRef[Prix Menu],MATCH(tbl_Ventes[[#This Row],[Produit]],tbl_ProduitsRef[Produit],0)),
   ""
)</f>
        <v/>
      </c>
      <c r="G2796" s="7">
        <f>tbl_Ventes[[#This Row],[Qté Vendue]] * IFERROR(_xlfn.XLOOKUP(tbl_Ventes[[#This Row],[Cde_Prdt]], tbl_Produits[Cde_Prdt], tbl_Produits[Prix Menu]), 0)</f>
        <v>0</v>
      </c>
      <c r="H2796" s="7">
        <f>IFERROR(_xlfn.XLOOKUP(tbl_Ventes[[#This Row],[Cde_Prdt]], tbl_Produits[Cde_Prdt], tbl_Produits[Coût Moyen Portion]), 0)</f>
        <v>0</v>
      </c>
      <c r="I2796" s="7">
        <f>tbl_Ventes[[#This Row],[Qté Vendue]] * tbl_Ventes[[#This Row],[CMP_par_portion]]</f>
        <v>0</v>
      </c>
      <c r="J2796" s="7">
        <f>tbl_Ventes[[#This Row],[CA ligne]] - tbl_Ventes[[#This Row],[Coût matière ligne]]</f>
        <v>0</v>
      </c>
      <c r="K2796" s="7" t="str">
        <f>IFERROR(INDEX(tbl_ProduitsRef[Famille], MATCH(tbl_Ventes[[#This Row],[Cde_Prdt]], tbl_Produits[Cde_Prdt], 0)), "")</f>
        <v/>
      </c>
    </row>
    <row r="2797" spans="1:11" x14ac:dyDescent="0.25">
      <c r="A2797" s="5"/>
      <c r="B2797" s="63" t="str">
        <f>IFERROR(TEXT(tbl_Ventes[[#This Row],[Date]],"mm-aaaa"),"")</f>
        <v>01-1900</v>
      </c>
      <c r="D2797" s="10" t="str">
        <f>IFERROR(
   INDEX(tbl_ProduitsRef[Cde_Prdt],MATCH(tbl_Ventes[[#This Row],[Produit]],tbl_ProduitsRef[Produit],0)),
   ""
)</f>
        <v/>
      </c>
      <c r="E2797" s="7">
        <v>0</v>
      </c>
      <c r="F2797" s="7" t="str">
        <f>IFERROR(
   INDEX(tbl_ProduitsRef[Prix Menu],MATCH(tbl_Ventes[[#This Row],[Produit]],tbl_ProduitsRef[Produit],0)),
   ""
)</f>
        <v/>
      </c>
      <c r="G2797" s="7">
        <f>tbl_Ventes[[#This Row],[Qté Vendue]] * IFERROR(_xlfn.XLOOKUP(tbl_Ventes[[#This Row],[Cde_Prdt]], tbl_Produits[Cde_Prdt], tbl_Produits[Prix Menu]), 0)</f>
        <v>0</v>
      </c>
      <c r="H2797" s="7">
        <f>IFERROR(_xlfn.XLOOKUP(tbl_Ventes[[#This Row],[Cde_Prdt]], tbl_Produits[Cde_Prdt], tbl_Produits[Coût Moyen Portion]), 0)</f>
        <v>0</v>
      </c>
      <c r="I2797" s="7">
        <f>tbl_Ventes[[#This Row],[Qté Vendue]] * tbl_Ventes[[#This Row],[CMP_par_portion]]</f>
        <v>0</v>
      </c>
      <c r="J2797" s="7">
        <f>tbl_Ventes[[#This Row],[CA ligne]] - tbl_Ventes[[#This Row],[Coût matière ligne]]</f>
        <v>0</v>
      </c>
      <c r="K2797" s="7" t="str">
        <f>IFERROR(INDEX(tbl_ProduitsRef[Famille], MATCH(tbl_Ventes[[#This Row],[Cde_Prdt]], tbl_Produits[Cde_Prdt], 0)), "")</f>
        <v/>
      </c>
    </row>
    <row r="2798" spans="1:11" x14ac:dyDescent="0.25">
      <c r="A2798" s="5"/>
      <c r="B2798" s="63" t="str">
        <f>IFERROR(TEXT(tbl_Ventes[[#This Row],[Date]],"mm-aaaa"),"")</f>
        <v>01-1900</v>
      </c>
      <c r="D2798" s="10" t="str">
        <f>IFERROR(
   INDEX(tbl_ProduitsRef[Cde_Prdt],MATCH(tbl_Ventes[[#This Row],[Produit]],tbl_ProduitsRef[Produit],0)),
   ""
)</f>
        <v/>
      </c>
      <c r="E2798" s="7">
        <v>0</v>
      </c>
      <c r="F2798" s="7" t="str">
        <f>IFERROR(
   INDEX(tbl_ProduitsRef[Prix Menu],MATCH(tbl_Ventes[[#This Row],[Produit]],tbl_ProduitsRef[Produit],0)),
   ""
)</f>
        <v/>
      </c>
      <c r="G2798" s="7">
        <f>tbl_Ventes[[#This Row],[Qté Vendue]] * IFERROR(_xlfn.XLOOKUP(tbl_Ventes[[#This Row],[Cde_Prdt]], tbl_Produits[Cde_Prdt], tbl_Produits[Prix Menu]), 0)</f>
        <v>0</v>
      </c>
      <c r="H2798" s="7">
        <f>IFERROR(_xlfn.XLOOKUP(tbl_Ventes[[#This Row],[Cde_Prdt]], tbl_Produits[Cde_Prdt], tbl_Produits[Coût Moyen Portion]), 0)</f>
        <v>0</v>
      </c>
      <c r="I2798" s="7">
        <f>tbl_Ventes[[#This Row],[Qté Vendue]] * tbl_Ventes[[#This Row],[CMP_par_portion]]</f>
        <v>0</v>
      </c>
      <c r="J2798" s="7">
        <f>tbl_Ventes[[#This Row],[CA ligne]] - tbl_Ventes[[#This Row],[Coût matière ligne]]</f>
        <v>0</v>
      </c>
      <c r="K2798" s="7" t="str">
        <f>IFERROR(INDEX(tbl_ProduitsRef[Famille], MATCH(tbl_Ventes[[#This Row],[Cde_Prdt]], tbl_Produits[Cde_Prdt], 0)), "")</f>
        <v/>
      </c>
    </row>
    <row r="2799" spans="1:11" x14ac:dyDescent="0.25">
      <c r="A2799" s="5"/>
      <c r="B2799" s="63" t="str">
        <f>IFERROR(TEXT(tbl_Ventes[[#This Row],[Date]],"mm-aaaa"),"")</f>
        <v>01-1900</v>
      </c>
      <c r="D2799" s="10" t="str">
        <f>IFERROR(
   INDEX(tbl_ProduitsRef[Cde_Prdt],MATCH(tbl_Ventes[[#This Row],[Produit]],tbl_ProduitsRef[Produit],0)),
   ""
)</f>
        <v/>
      </c>
      <c r="E2799" s="7">
        <v>0</v>
      </c>
      <c r="F2799" s="7" t="str">
        <f>IFERROR(
   INDEX(tbl_ProduitsRef[Prix Menu],MATCH(tbl_Ventes[[#This Row],[Produit]],tbl_ProduitsRef[Produit],0)),
   ""
)</f>
        <v/>
      </c>
      <c r="G2799" s="7">
        <f>tbl_Ventes[[#This Row],[Qté Vendue]] * IFERROR(_xlfn.XLOOKUP(tbl_Ventes[[#This Row],[Cde_Prdt]], tbl_Produits[Cde_Prdt], tbl_Produits[Prix Menu]), 0)</f>
        <v>0</v>
      </c>
      <c r="H2799" s="7">
        <f>IFERROR(_xlfn.XLOOKUP(tbl_Ventes[[#This Row],[Cde_Prdt]], tbl_Produits[Cde_Prdt], tbl_Produits[Coût Moyen Portion]), 0)</f>
        <v>0</v>
      </c>
      <c r="I2799" s="7">
        <f>tbl_Ventes[[#This Row],[Qté Vendue]] * tbl_Ventes[[#This Row],[CMP_par_portion]]</f>
        <v>0</v>
      </c>
      <c r="J2799" s="7">
        <f>tbl_Ventes[[#This Row],[CA ligne]] - tbl_Ventes[[#This Row],[Coût matière ligne]]</f>
        <v>0</v>
      </c>
      <c r="K2799" s="7" t="str">
        <f>IFERROR(INDEX(tbl_ProduitsRef[Famille], MATCH(tbl_Ventes[[#This Row],[Cde_Prdt]], tbl_Produits[Cde_Prdt], 0)), "")</f>
        <v/>
      </c>
    </row>
    <row r="2800" spans="1:11" x14ac:dyDescent="0.25">
      <c r="A2800" s="5"/>
      <c r="B2800" s="63" t="str">
        <f>IFERROR(TEXT(tbl_Ventes[[#This Row],[Date]],"mm-aaaa"),"")</f>
        <v>01-1900</v>
      </c>
      <c r="D2800" s="10" t="str">
        <f>IFERROR(
   INDEX(tbl_ProduitsRef[Cde_Prdt],MATCH(tbl_Ventes[[#This Row],[Produit]],tbl_ProduitsRef[Produit],0)),
   ""
)</f>
        <v/>
      </c>
      <c r="E2800" s="7">
        <v>0</v>
      </c>
      <c r="F2800" s="7" t="str">
        <f>IFERROR(
   INDEX(tbl_ProduitsRef[Prix Menu],MATCH(tbl_Ventes[[#This Row],[Produit]],tbl_ProduitsRef[Produit],0)),
   ""
)</f>
        <v/>
      </c>
      <c r="G2800" s="7">
        <f>tbl_Ventes[[#This Row],[Qté Vendue]] * IFERROR(_xlfn.XLOOKUP(tbl_Ventes[[#This Row],[Cde_Prdt]], tbl_Produits[Cde_Prdt], tbl_Produits[Prix Menu]), 0)</f>
        <v>0</v>
      </c>
      <c r="H2800" s="7">
        <f>IFERROR(_xlfn.XLOOKUP(tbl_Ventes[[#This Row],[Cde_Prdt]], tbl_Produits[Cde_Prdt], tbl_Produits[Coût Moyen Portion]), 0)</f>
        <v>0</v>
      </c>
      <c r="I2800" s="7">
        <f>tbl_Ventes[[#This Row],[Qté Vendue]] * tbl_Ventes[[#This Row],[CMP_par_portion]]</f>
        <v>0</v>
      </c>
      <c r="J2800" s="7">
        <f>tbl_Ventes[[#This Row],[CA ligne]] - tbl_Ventes[[#This Row],[Coût matière ligne]]</f>
        <v>0</v>
      </c>
      <c r="K2800" s="7" t="str">
        <f>IFERROR(INDEX(tbl_ProduitsRef[Famille], MATCH(tbl_Ventes[[#This Row],[Cde_Prdt]], tbl_Produits[Cde_Prdt], 0)), "")</f>
        <v/>
      </c>
    </row>
    <row r="2801" spans="1:11" x14ac:dyDescent="0.25">
      <c r="A2801" s="5"/>
      <c r="B2801" s="63" t="str">
        <f>IFERROR(TEXT(tbl_Ventes[[#This Row],[Date]],"mm-aaaa"),"")</f>
        <v>01-1900</v>
      </c>
      <c r="D2801" s="10" t="str">
        <f>IFERROR(
   INDEX(tbl_ProduitsRef[Cde_Prdt],MATCH(tbl_Ventes[[#This Row],[Produit]],tbl_ProduitsRef[Produit],0)),
   ""
)</f>
        <v/>
      </c>
      <c r="E2801" s="7">
        <v>0</v>
      </c>
      <c r="F2801" s="7" t="str">
        <f>IFERROR(
   INDEX(tbl_ProduitsRef[Prix Menu],MATCH(tbl_Ventes[[#This Row],[Produit]],tbl_ProduitsRef[Produit],0)),
   ""
)</f>
        <v/>
      </c>
      <c r="G2801" s="7">
        <f>tbl_Ventes[[#This Row],[Qté Vendue]] * IFERROR(_xlfn.XLOOKUP(tbl_Ventes[[#This Row],[Cde_Prdt]], tbl_Produits[Cde_Prdt], tbl_Produits[Prix Menu]), 0)</f>
        <v>0</v>
      </c>
      <c r="H2801" s="7">
        <f>IFERROR(_xlfn.XLOOKUP(tbl_Ventes[[#This Row],[Cde_Prdt]], tbl_Produits[Cde_Prdt], tbl_Produits[Coût Moyen Portion]), 0)</f>
        <v>0</v>
      </c>
      <c r="I2801" s="7">
        <f>tbl_Ventes[[#This Row],[Qté Vendue]] * tbl_Ventes[[#This Row],[CMP_par_portion]]</f>
        <v>0</v>
      </c>
      <c r="J2801" s="7">
        <f>tbl_Ventes[[#This Row],[CA ligne]] - tbl_Ventes[[#This Row],[Coût matière ligne]]</f>
        <v>0</v>
      </c>
      <c r="K2801" s="7" t="str">
        <f>IFERROR(INDEX(tbl_ProduitsRef[Famille], MATCH(tbl_Ventes[[#This Row],[Cde_Prdt]], tbl_Produits[Cde_Prdt], 0)), "")</f>
        <v/>
      </c>
    </row>
    <row r="2802" spans="1:11" x14ac:dyDescent="0.25">
      <c r="A2802" s="5"/>
      <c r="B2802" s="63" t="str">
        <f>IFERROR(TEXT(tbl_Ventes[[#This Row],[Date]],"mm-aaaa"),"")</f>
        <v>01-1900</v>
      </c>
      <c r="D2802" s="10" t="str">
        <f>IFERROR(
   INDEX(tbl_ProduitsRef[Cde_Prdt],MATCH(tbl_Ventes[[#This Row],[Produit]],tbl_ProduitsRef[Produit],0)),
   ""
)</f>
        <v/>
      </c>
      <c r="E2802" s="7">
        <v>0</v>
      </c>
      <c r="F2802" s="7" t="str">
        <f>IFERROR(
   INDEX(tbl_ProduitsRef[Prix Menu],MATCH(tbl_Ventes[[#This Row],[Produit]],tbl_ProduitsRef[Produit],0)),
   ""
)</f>
        <v/>
      </c>
      <c r="G2802" s="7">
        <f>tbl_Ventes[[#This Row],[Qté Vendue]] * IFERROR(_xlfn.XLOOKUP(tbl_Ventes[[#This Row],[Cde_Prdt]], tbl_Produits[Cde_Prdt], tbl_Produits[Prix Menu]), 0)</f>
        <v>0</v>
      </c>
      <c r="H2802" s="7">
        <f>IFERROR(_xlfn.XLOOKUP(tbl_Ventes[[#This Row],[Cde_Prdt]], tbl_Produits[Cde_Prdt], tbl_Produits[Coût Moyen Portion]), 0)</f>
        <v>0</v>
      </c>
      <c r="I2802" s="7">
        <f>tbl_Ventes[[#This Row],[Qté Vendue]] * tbl_Ventes[[#This Row],[CMP_par_portion]]</f>
        <v>0</v>
      </c>
      <c r="J2802" s="7">
        <f>tbl_Ventes[[#This Row],[CA ligne]] - tbl_Ventes[[#This Row],[Coût matière ligne]]</f>
        <v>0</v>
      </c>
      <c r="K2802" s="7" t="str">
        <f>IFERROR(INDEX(tbl_ProduitsRef[Famille], MATCH(tbl_Ventes[[#This Row],[Cde_Prdt]], tbl_Produits[Cde_Prdt], 0)), "")</f>
        <v/>
      </c>
    </row>
    <row r="2803" spans="1:11" x14ac:dyDescent="0.25">
      <c r="A2803" s="5"/>
      <c r="B2803" s="63" t="str">
        <f>IFERROR(TEXT(tbl_Ventes[[#This Row],[Date]],"mm-aaaa"),"")</f>
        <v>01-1900</v>
      </c>
      <c r="D2803" s="10" t="str">
        <f>IFERROR(
   INDEX(tbl_ProduitsRef[Cde_Prdt],MATCH(tbl_Ventes[[#This Row],[Produit]],tbl_ProduitsRef[Produit],0)),
   ""
)</f>
        <v/>
      </c>
      <c r="E2803" s="7">
        <v>0</v>
      </c>
      <c r="F2803" s="7" t="str">
        <f>IFERROR(
   INDEX(tbl_ProduitsRef[Prix Menu],MATCH(tbl_Ventes[[#This Row],[Produit]],tbl_ProduitsRef[Produit],0)),
   ""
)</f>
        <v/>
      </c>
      <c r="G2803" s="7">
        <f>tbl_Ventes[[#This Row],[Qté Vendue]] * IFERROR(_xlfn.XLOOKUP(tbl_Ventes[[#This Row],[Cde_Prdt]], tbl_Produits[Cde_Prdt], tbl_Produits[Prix Menu]), 0)</f>
        <v>0</v>
      </c>
      <c r="H2803" s="7">
        <f>IFERROR(_xlfn.XLOOKUP(tbl_Ventes[[#This Row],[Cde_Prdt]], tbl_Produits[Cde_Prdt], tbl_Produits[Coût Moyen Portion]), 0)</f>
        <v>0</v>
      </c>
      <c r="I2803" s="7">
        <f>tbl_Ventes[[#This Row],[Qté Vendue]] * tbl_Ventes[[#This Row],[CMP_par_portion]]</f>
        <v>0</v>
      </c>
      <c r="J2803" s="7">
        <f>tbl_Ventes[[#This Row],[CA ligne]] - tbl_Ventes[[#This Row],[Coût matière ligne]]</f>
        <v>0</v>
      </c>
      <c r="K2803" s="7" t="str">
        <f>IFERROR(INDEX(tbl_ProduitsRef[Famille], MATCH(tbl_Ventes[[#This Row],[Cde_Prdt]], tbl_Produits[Cde_Prdt], 0)), "")</f>
        <v/>
      </c>
    </row>
    <row r="2804" spans="1:11" x14ac:dyDescent="0.25">
      <c r="A2804" s="5"/>
      <c r="B2804" s="63" t="str">
        <f>IFERROR(TEXT(tbl_Ventes[[#This Row],[Date]],"mm-aaaa"),"")</f>
        <v>01-1900</v>
      </c>
      <c r="D2804" s="10" t="str">
        <f>IFERROR(
   INDEX(tbl_ProduitsRef[Cde_Prdt],MATCH(tbl_Ventes[[#This Row],[Produit]],tbl_ProduitsRef[Produit],0)),
   ""
)</f>
        <v/>
      </c>
      <c r="E2804" s="7">
        <v>0</v>
      </c>
      <c r="F2804" s="7" t="str">
        <f>IFERROR(
   INDEX(tbl_ProduitsRef[Prix Menu],MATCH(tbl_Ventes[[#This Row],[Produit]],tbl_ProduitsRef[Produit],0)),
   ""
)</f>
        <v/>
      </c>
      <c r="G2804" s="7">
        <f>tbl_Ventes[[#This Row],[Qté Vendue]] * IFERROR(_xlfn.XLOOKUP(tbl_Ventes[[#This Row],[Cde_Prdt]], tbl_Produits[Cde_Prdt], tbl_Produits[Prix Menu]), 0)</f>
        <v>0</v>
      </c>
      <c r="H2804" s="7">
        <f>IFERROR(_xlfn.XLOOKUP(tbl_Ventes[[#This Row],[Cde_Prdt]], tbl_Produits[Cde_Prdt], tbl_Produits[Coût Moyen Portion]), 0)</f>
        <v>0</v>
      </c>
      <c r="I2804" s="7">
        <f>tbl_Ventes[[#This Row],[Qté Vendue]] * tbl_Ventes[[#This Row],[CMP_par_portion]]</f>
        <v>0</v>
      </c>
      <c r="J2804" s="7">
        <f>tbl_Ventes[[#This Row],[CA ligne]] - tbl_Ventes[[#This Row],[Coût matière ligne]]</f>
        <v>0</v>
      </c>
      <c r="K2804" s="7" t="str">
        <f>IFERROR(INDEX(tbl_ProduitsRef[Famille], MATCH(tbl_Ventes[[#This Row],[Cde_Prdt]], tbl_Produits[Cde_Prdt], 0)), "")</f>
        <v/>
      </c>
    </row>
    <row r="2805" spans="1:11" x14ac:dyDescent="0.25">
      <c r="A2805" s="5"/>
      <c r="B2805" s="63" t="str">
        <f>IFERROR(TEXT(tbl_Ventes[[#This Row],[Date]],"mm-aaaa"),"")</f>
        <v>01-1900</v>
      </c>
      <c r="D2805" s="10" t="str">
        <f>IFERROR(
   INDEX(tbl_ProduitsRef[Cde_Prdt],MATCH(tbl_Ventes[[#This Row],[Produit]],tbl_ProduitsRef[Produit],0)),
   ""
)</f>
        <v/>
      </c>
      <c r="E2805" s="7">
        <v>0</v>
      </c>
      <c r="F2805" s="7" t="str">
        <f>IFERROR(
   INDEX(tbl_ProduitsRef[Prix Menu],MATCH(tbl_Ventes[[#This Row],[Produit]],tbl_ProduitsRef[Produit],0)),
   ""
)</f>
        <v/>
      </c>
      <c r="G2805" s="7">
        <f>tbl_Ventes[[#This Row],[Qté Vendue]] * IFERROR(_xlfn.XLOOKUP(tbl_Ventes[[#This Row],[Cde_Prdt]], tbl_Produits[Cde_Prdt], tbl_Produits[Prix Menu]), 0)</f>
        <v>0</v>
      </c>
      <c r="H2805" s="7">
        <f>IFERROR(_xlfn.XLOOKUP(tbl_Ventes[[#This Row],[Cde_Prdt]], tbl_Produits[Cde_Prdt], tbl_Produits[Coût Moyen Portion]), 0)</f>
        <v>0</v>
      </c>
      <c r="I2805" s="7">
        <f>tbl_Ventes[[#This Row],[Qté Vendue]] * tbl_Ventes[[#This Row],[CMP_par_portion]]</f>
        <v>0</v>
      </c>
      <c r="J2805" s="7">
        <f>tbl_Ventes[[#This Row],[CA ligne]] - tbl_Ventes[[#This Row],[Coût matière ligne]]</f>
        <v>0</v>
      </c>
      <c r="K2805" s="7" t="str">
        <f>IFERROR(INDEX(tbl_ProduitsRef[Famille], MATCH(tbl_Ventes[[#This Row],[Cde_Prdt]], tbl_Produits[Cde_Prdt], 0)), "")</f>
        <v/>
      </c>
    </row>
    <row r="2806" spans="1:11" x14ac:dyDescent="0.25">
      <c r="A2806" s="5"/>
      <c r="B2806" s="63" t="str">
        <f>IFERROR(TEXT(tbl_Ventes[[#This Row],[Date]],"mm-aaaa"),"")</f>
        <v>01-1900</v>
      </c>
      <c r="D2806" s="10" t="str">
        <f>IFERROR(
   INDEX(tbl_ProduitsRef[Cde_Prdt],MATCH(tbl_Ventes[[#This Row],[Produit]],tbl_ProduitsRef[Produit],0)),
   ""
)</f>
        <v/>
      </c>
      <c r="E2806" s="7">
        <v>0</v>
      </c>
      <c r="F2806" s="7" t="str">
        <f>IFERROR(
   INDEX(tbl_ProduitsRef[Prix Menu],MATCH(tbl_Ventes[[#This Row],[Produit]],tbl_ProduitsRef[Produit],0)),
   ""
)</f>
        <v/>
      </c>
      <c r="G2806" s="7">
        <f>tbl_Ventes[[#This Row],[Qté Vendue]] * IFERROR(_xlfn.XLOOKUP(tbl_Ventes[[#This Row],[Cde_Prdt]], tbl_Produits[Cde_Prdt], tbl_Produits[Prix Menu]), 0)</f>
        <v>0</v>
      </c>
      <c r="H2806" s="7">
        <f>IFERROR(_xlfn.XLOOKUP(tbl_Ventes[[#This Row],[Cde_Prdt]], tbl_Produits[Cde_Prdt], tbl_Produits[Coût Moyen Portion]), 0)</f>
        <v>0</v>
      </c>
      <c r="I2806" s="7">
        <f>tbl_Ventes[[#This Row],[Qté Vendue]] * tbl_Ventes[[#This Row],[CMP_par_portion]]</f>
        <v>0</v>
      </c>
      <c r="J2806" s="7">
        <f>tbl_Ventes[[#This Row],[CA ligne]] - tbl_Ventes[[#This Row],[Coût matière ligne]]</f>
        <v>0</v>
      </c>
      <c r="K2806" s="7" t="str">
        <f>IFERROR(INDEX(tbl_ProduitsRef[Famille], MATCH(tbl_Ventes[[#This Row],[Cde_Prdt]], tbl_Produits[Cde_Prdt], 0)), "")</f>
        <v/>
      </c>
    </row>
    <row r="2807" spans="1:11" x14ac:dyDescent="0.25">
      <c r="A2807" s="5"/>
      <c r="B2807" s="63" t="str">
        <f>IFERROR(TEXT(tbl_Ventes[[#This Row],[Date]],"mm-aaaa"),"")</f>
        <v>01-1900</v>
      </c>
      <c r="D2807" s="10" t="str">
        <f>IFERROR(
   INDEX(tbl_ProduitsRef[Cde_Prdt],MATCH(tbl_Ventes[[#This Row],[Produit]],tbl_ProduitsRef[Produit],0)),
   ""
)</f>
        <v/>
      </c>
      <c r="E2807" s="7">
        <v>0</v>
      </c>
      <c r="F2807" s="7" t="str">
        <f>IFERROR(
   INDEX(tbl_ProduitsRef[Prix Menu],MATCH(tbl_Ventes[[#This Row],[Produit]],tbl_ProduitsRef[Produit],0)),
   ""
)</f>
        <v/>
      </c>
      <c r="G2807" s="7">
        <f>tbl_Ventes[[#This Row],[Qté Vendue]] * IFERROR(_xlfn.XLOOKUP(tbl_Ventes[[#This Row],[Cde_Prdt]], tbl_Produits[Cde_Prdt], tbl_Produits[Prix Menu]), 0)</f>
        <v>0</v>
      </c>
      <c r="H2807" s="7">
        <f>IFERROR(_xlfn.XLOOKUP(tbl_Ventes[[#This Row],[Cde_Prdt]], tbl_Produits[Cde_Prdt], tbl_Produits[Coût Moyen Portion]), 0)</f>
        <v>0</v>
      </c>
      <c r="I2807" s="7">
        <f>tbl_Ventes[[#This Row],[Qté Vendue]] * tbl_Ventes[[#This Row],[CMP_par_portion]]</f>
        <v>0</v>
      </c>
      <c r="J2807" s="7">
        <f>tbl_Ventes[[#This Row],[CA ligne]] - tbl_Ventes[[#This Row],[Coût matière ligne]]</f>
        <v>0</v>
      </c>
      <c r="K2807" s="7" t="str">
        <f>IFERROR(INDEX(tbl_ProduitsRef[Famille], MATCH(tbl_Ventes[[#This Row],[Cde_Prdt]], tbl_Produits[Cde_Prdt], 0)), "")</f>
        <v/>
      </c>
    </row>
    <row r="2808" spans="1:11" x14ac:dyDescent="0.25">
      <c r="A2808" s="5"/>
      <c r="B2808" s="63" t="str">
        <f>IFERROR(TEXT(tbl_Ventes[[#This Row],[Date]],"mm-aaaa"),"")</f>
        <v>01-1900</v>
      </c>
      <c r="D2808" s="10" t="str">
        <f>IFERROR(
   INDEX(tbl_ProduitsRef[Cde_Prdt],MATCH(tbl_Ventes[[#This Row],[Produit]],tbl_ProduitsRef[Produit],0)),
   ""
)</f>
        <v/>
      </c>
      <c r="E2808" s="7">
        <v>0</v>
      </c>
      <c r="F2808" s="7" t="str">
        <f>IFERROR(
   INDEX(tbl_ProduitsRef[Prix Menu],MATCH(tbl_Ventes[[#This Row],[Produit]],tbl_ProduitsRef[Produit],0)),
   ""
)</f>
        <v/>
      </c>
      <c r="G2808" s="7">
        <f>tbl_Ventes[[#This Row],[Qté Vendue]] * IFERROR(_xlfn.XLOOKUP(tbl_Ventes[[#This Row],[Cde_Prdt]], tbl_Produits[Cde_Prdt], tbl_Produits[Prix Menu]), 0)</f>
        <v>0</v>
      </c>
      <c r="H2808" s="7">
        <f>IFERROR(_xlfn.XLOOKUP(tbl_Ventes[[#This Row],[Cde_Prdt]], tbl_Produits[Cde_Prdt], tbl_Produits[Coût Moyen Portion]), 0)</f>
        <v>0</v>
      </c>
      <c r="I2808" s="7">
        <f>tbl_Ventes[[#This Row],[Qté Vendue]] * tbl_Ventes[[#This Row],[CMP_par_portion]]</f>
        <v>0</v>
      </c>
      <c r="J2808" s="7">
        <f>tbl_Ventes[[#This Row],[CA ligne]] - tbl_Ventes[[#This Row],[Coût matière ligne]]</f>
        <v>0</v>
      </c>
      <c r="K2808" s="7" t="str">
        <f>IFERROR(INDEX(tbl_ProduitsRef[Famille], MATCH(tbl_Ventes[[#This Row],[Cde_Prdt]], tbl_Produits[Cde_Prdt], 0)), "")</f>
        <v/>
      </c>
    </row>
    <row r="2809" spans="1:11" x14ac:dyDescent="0.25">
      <c r="A2809" s="5"/>
      <c r="B2809" s="63" t="str">
        <f>IFERROR(TEXT(tbl_Ventes[[#This Row],[Date]],"mm-aaaa"),"")</f>
        <v>01-1900</v>
      </c>
      <c r="D2809" s="10" t="str">
        <f>IFERROR(
   INDEX(tbl_ProduitsRef[Cde_Prdt],MATCH(tbl_Ventes[[#This Row],[Produit]],tbl_ProduitsRef[Produit],0)),
   ""
)</f>
        <v/>
      </c>
      <c r="E2809" s="7">
        <v>0</v>
      </c>
      <c r="F2809" s="7" t="str">
        <f>IFERROR(
   INDEX(tbl_ProduitsRef[Prix Menu],MATCH(tbl_Ventes[[#This Row],[Produit]],tbl_ProduitsRef[Produit],0)),
   ""
)</f>
        <v/>
      </c>
      <c r="G2809" s="7">
        <f>tbl_Ventes[[#This Row],[Qté Vendue]] * IFERROR(_xlfn.XLOOKUP(tbl_Ventes[[#This Row],[Cde_Prdt]], tbl_Produits[Cde_Prdt], tbl_Produits[Prix Menu]), 0)</f>
        <v>0</v>
      </c>
      <c r="H2809" s="7">
        <f>IFERROR(_xlfn.XLOOKUP(tbl_Ventes[[#This Row],[Cde_Prdt]], tbl_Produits[Cde_Prdt], tbl_Produits[Coût Moyen Portion]), 0)</f>
        <v>0</v>
      </c>
      <c r="I2809" s="7">
        <f>tbl_Ventes[[#This Row],[Qté Vendue]] * tbl_Ventes[[#This Row],[CMP_par_portion]]</f>
        <v>0</v>
      </c>
      <c r="J2809" s="7">
        <f>tbl_Ventes[[#This Row],[CA ligne]] - tbl_Ventes[[#This Row],[Coût matière ligne]]</f>
        <v>0</v>
      </c>
      <c r="K2809" s="7" t="str">
        <f>IFERROR(INDEX(tbl_ProduitsRef[Famille], MATCH(tbl_Ventes[[#This Row],[Cde_Prdt]], tbl_Produits[Cde_Prdt], 0)), "")</f>
        <v/>
      </c>
    </row>
    <row r="2810" spans="1:11" x14ac:dyDescent="0.25">
      <c r="A2810" s="5"/>
      <c r="B2810" s="63" t="str">
        <f>IFERROR(TEXT(tbl_Ventes[[#This Row],[Date]],"mm-aaaa"),"")</f>
        <v>01-1900</v>
      </c>
      <c r="D2810" s="10" t="str">
        <f>IFERROR(
   INDEX(tbl_ProduitsRef[Cde_Prdt],MATCH(tbl_Ventes[[#This Row],[Produit]],tbl_ProduitsRef[Produit],0)),
   ""
)</f>
        <v/>
      </c>
      <c r="E2810" s="7">
        <v>0</v>
      </c>
      <c r="F2810" s="7" t="str">
        <f>IFERROR(
   INDEX(tbl_ProduitsRef[Prix Menu],MATCH(tbl_Ventes[[#This Row],[Produit]],tbl_ProduitsRef[Produit],0)),
   ""
)</f>
        <v/>
      </c>
      <c r="G2810" s="7">
        <f>tbl_Ventes[[#This Row],[Qté Vendue]] * IFERROR(_xlfn.XLOOKUP(tbl_Ventes[[#This Row],[Cde_Prdt]], tbl_Produits[Cde_Prdt], tbl_Produits[Prix Menu]), 0)</f>
        <v>0</v>
      </c>
      <c r="H2810" s="7">
        <f>IFERROR(_xlfn.XLOOKUP(tbl_Ventes[[#This Row],[Cde_Prdt]], tbl_Produits[Cde_Prdt], tbl_Produits[Coût Moyen Portion]), 0)</f>
        <v>0</v>
      </c>
      <c r="I2810" s="7">
        <f>tbl_Ventes[[#This Row],[Qté Vendue]] * tbl_Ventes[[#This Row],[CMP_par_portion]]</f>
        <v>0</v>
      </c>
      <c r="J2810" s="7">
        <f>tbl_Ventes[[#This Row],[CA ligne]] - tbl_Ventes[[#This Row],[Coût matière ligne]]</f>
        <v>0</v>
      </c>
      <c r="K2810" s="7" t="str">
        <f>IFERROR(INDEX(tbl_ProduitsRef[Famille], MATCH(tbl_Ventes[[#This Row],[Cde_Prdt]], tbl_Produits[Cde_Prdt], 0)), "")</f>
        <v/>
      </c>
    </row>
    <row r="2811" spans="1:11" x14ac:dyDescent="0.25">
      <c r="A2811" s="5"/>
      <c r="B2811" s="63" t="str">
        <f>IFERROR(TEXT(tbl_Ventes[[#This Row],[Date]],"mm-aaaa"),"")</f>
        <v>01-1900</v>
      </c>
      <c r="D2811" s="10" t="str">
        <f>IFERROR(
   INDEX(tbl_ProduitsRef[Cde_Prdt],MATCH(tbl_Ventes[[#This Row],[Produit]],tbl_ProduitsRef[Produit],0)),
   ""
)</f>
        <v/>
      </c>
      <c r="E2811" s="7">
        <v>0</v>
      </c>
      <c r="F2811" s="7" t="str">
        <f>IFERROR(
   INDEX(tbl_ProduitsRef[Prix Menu],MATCH(tbl_Ventes[[#This Row],[Produit]],tbl_ProduitsRef[Produit],0)),
   ""
)</f>
        <v/>
      </c>
      <c r="G2811" s="7">
        <f>tbl_Ventes[[#This Row],[Qté Vendue]] * IFERROR(_xlfn.XLOOKUP(tbl_Ventes[[#This Row],[Cde_Prdt]], tbl_Produits[Cde_Prdt], tbl_Produits[Prix Menu]), 0)</f>
        <v>0</v>
      </c>
      <c r="H2811" s="7">
        <f>IFERROR(_xlfn.XLOOKUP(tbl_Ventes[[#This Row],[Cde_Prdt]], tbl_Produits[Cde_Prdt], tbl_Produits[Coût Moyen Portion]), 0)</f>
        <v>0</v>
      </c>
      <c r="I2811" s="7">
        <f>tbl_Ventes[[#This Row],[Qté Vendue]] * tbl_Ventes[[#This Row],[CMP_par_portion]]</f>
        <v>0</v>
      </c>
      <c r="J2811" s="7">
        <f>tbl_Ventes[[#This Row],[CA ligne]] - tbl_Ventes[[#This Row],[Coût matière ligne]]</f>
        <v>0</v>
      </c>
      <c r="K2811" s="7" t="str">
        <f>IFERROR(INDEX(tbl_ProduitsRef[Famille], MATCH(tbl_Ventes[[#This Row],[Cde_Prdt]], tbl_Produits[Cde_Prdt], 0)), "")</f>
        <v/>
      </c>
    </row>
    <row r="2812" spans="1:11" x14ac:dyDescent="0.25">
      <c r="A2812" s="5"/>
      <c r="B2812" s="63" t="str">
        <f>IFERROR(TEXT(tbl_Ventes[[#This Row],[Date]],"mm-aaaa"),"")</f>
        <v>01-1900</v>
      </c>
      <c r="D2812" s="10" t="str">
        <f>IFERROR(
   INDEX(tbl_ProduitsRef[Cde_Prdt],MATCH(tbl_Ventes[[#This Row],[Produit]],tbl_ProduitsRef[Produit],0)),
   ""
)</f>
        <v/>
      </c>
      <c r="E2812" s="7">
        <v>0</v>
      </c>
      <c r="F2812" s="7" t="str">
        <f>IFERROR(
   INDEX(tbl_ProduitsRef[Prix Menu],MATCH(tbl_Ventes[[#This Row],[Produit]],tbl_ProduitsRef[Produit],0)),
   ""
)</f>
        <v/>
      </c>
      <c r="G2812" s="7">
        <f>tbl_Ventes[[#This Row],[Qté Vendue]] * IFERROR(_xlfn.XLOOKUP(tbl_Ventes[[#This Row],[Cde_Prdt]], tbl_Produits[Cde_Prdt], tbl_Produits[Prix Menu]), 0)</f>
        <v>0</v>
      </c>
      <c r="H2812" s="7">
        <f>IFERROR(_xlfn.XLOOKUP(tbl_Ventes[[#This Row],[Cde_Prdt]], tbl_Produits[Cde_Prdt], tbl_Produits[Coût Moyen Portion]), 0)</f>
        <v>0</v>
      </c>
      <c r="I2812" s="7">
        <f>tbl_Ventes[[#This Row],[Qté Vendue]] * tbl_Ventes[[#This Row],[CMP_par_portion]]</f>
        <v>0</v>
      </c>
      <c r="J2812" s="7">
        <f>tbl_Ventes[[#This Row],[CA ligne]] - tbl_Ventes[[#This Row],[Coût matière ligne]]</f>
        <v>0</v>
      </c>
      <c r="K2812" s="7" t="str">
        <f>IFERROR(INDEX(tbl_ProduitsRef[Famille], MATCH(tbl_Ventes[[#This Row],[Cde_Prdt]], tbl_Produits[Cde_Prdt], 0)), "")</f>
        <v/>
      </c>
    </row>
    <row r="2813" spans="1:11" x14ac:dyDescent="0.25">
      <c r="A2813" s="5"/>
      <c r="B2813" s="63" t="str">
        <f>IFERROR(TEXT(tbl_Ventes[[#This Row],[Date]],"mm-aaaa"),"")</f>
        <v>01-1900</v>
      </c>
      <c r="D2813" s="10" t="str">
        <f>IFERROR(
   INDEX(tbl_ProduitsRef[Cde_Prdt],MATCH(tbl_Ventes[[#This Row],[Produit]],tbl_ProduitsRef[Produit],0)),
   ""
)</f>
        <v/>
      </c>
      <c r="E2813" s="7">
        <v>0</v>
      </c>
      <c r="F2813" s="7" t="str">
        <f>IFERROR(
   INDEX(tbl_ProduitsRef[Prix Menu],MATCH(tbl_Ventes[[#This Row],[Produit]],tbl_ProduitsRef[Produit],0)),
   ""
)</f>
        <v/>
      </c>
      <c r="G2813" s="7">
        <f>tbl_Ventes[[#This Row],[Qté Vendue]] * IFERROR(_xlfn.XLOOKUP(tbl_Ventes[[#This Row],[Cde_Prdt]], tbl_Produits[Cde_Prdt], tbl_Produits[Prix Menu]), 0)</f>
        <v>0</v>
      </c>
      <c r="H2813" s="7">
        <f>IFERROR(_xlfn.XLOOKUP(tbl_Ventes[[#This Row],[Cde_Prdt]], tbl_Produits[Cde_Prdt], tbl_Produits[Coût Moyen Portion]), 0)</f>
        <v>0</v>
      </c>
      <c r="I2813" s="7">
        <f>tbl_Ventes[[#This Row],[Qté Vendue]] * tbl_Ventes[[#This Row],[CMP_par_portion]]</f>
        <v>0</v>
      </c>
      <c r="J2813" s="7">
        <f>tbl_Ventes[[#This Row],[CA ligne]] - tbl_Ventes[[#This Row],[Coût matière ligne]]</f>
        <v>0</v>
      </c>
      <c r="K2813" s="7" t="str">
        <f>IFERROR(INDEX(tbl_ProduitsRef[Famille], MATCH(tbl_Ventes[[#This Row],[Cde_Prdt]], tbl_Produits[Cde_Prdt], 0)), "")</f>
        <v/>
      </c>
    </row>
    <row r="2814" spans="1:11" x14ac:dyDescent="0.25">
      <c r="A2814" s="5"/>
      <c r="B2814" s="63" t="str">
        <f>IFERROR(TEXT(tbl_Ventes[[#This Row],[Date]],"mm-aaaa"),"")</f>
        <v>01-1900</v>
      </c>
      <c r="D2814" s="10" t="str">
        <f>IFERROR(
   INDEX(tbl_ProduitsRef[Cde_Prdt],MATCH(tbl_Ventes[[#This Row],[Produit]],tbl_ProduitsRef[Produit],0)),
   ""
)</f>
        <v/>
      </c>
      <c r="E2814" s="7">
        <v>0</v>
      </c>
      <c r="F2814" s="7" t="str">
        <f>IFERROR(
   INDEX(tbl_ProduitsRef[Prix Menu],MATCH(tbl_Ventes[[#This Row],[Produit]],tbl_ProduitsRef[Produit],0)),
   ""
)</f>
        <v/>
      </c>
      <c r="G2814" s="7">
        <f>tbl_Ventes[[#This Row],[Qté Vendue]] * IFERROR(_xlfn.XLOOKUP(tbl_Ventes[[#This Row],[Cde_Prdt]], tbl_Produits[Cde_Prdt], tbl_Produits[Prix Menu]), 0)</f>
        <v>0</v>
      </c>
      <c r="H2814" s="7">
        <f>IFERROR(_xlfn.XLOOKUP(tbl_Ventes[[#This Row],[Cde_Prdt]], tbl_Produits[Cde_Prdt], tbl_Produits[Coût Moyen Portion]), 0)</f>
        <v>0</v>
      </c>
      <c r="I2814" s="7">
        <f>tbl_Ventes[[#This Row],[Qté Vendue]] * tbl_Ventes[[#This Row],[CMP_par_portion]]</f>
        <v>0</v>
      </c>
      <c r="J2814" s="7">
        <f>tbl_Ventes[[#This Row],[CA ligne]] - tbl_Ventes[[#This Row],[Coût matière ligne]]</f>
        <v>0</v>
      </c>
      <c r="K2814" s="7" t="str">
        <f>IFERROR(INDEX(tbl_ProduitsRef[Famille], MATCH(tbl_Ventes[[#This Row],[Cde_Prdt]], tbl_Produits[Cde_Prdt], 0)), "")</f>
        <v/>
      </c>
    </row>
    <row r="2815" spans="1:11" x14ac:dyDescent="0.25">
      <c r="A2815" s="5"/>
      <c r="B2815" s="63" t="str">
        <f>IFERROR(TEXT(tbl_Ventes[[#This Row],[Date]],"mm-aaaa"),"")</f>
        <v>01-1900</v>
      </c>
      <c r="D2815" s="10" t="str">
        <f>IFERROR(
   INDEX(tbl_ProduitsRef[Cde_Prdt],MATCH(tbl_Ventes[[#This Row],[Produit]],tbl_ProduitsRef[Produit],0)),
   ""
)</f>
        <v/>
      </c>
      <c r="E2815" s="7">
        <v>0</v>
      </c>
      <c r="F2815" s="7" t="str">
        <f>IFERROR(
   INDEX(tbl_ProduitsRef[Prix Menu],MATCH(tbl_Ventes[[#This Row],[Produit]],tbl_ProduitsRef[Produit],0)),
   ""
)</f>
        <v/>
      </c>
      <c r="G2815" s="7">
        <f>tbl_Ventes[[#This Row],[Qté Vendue]] * IFERROR(_xlfn.XLOOKUP(tbl_Ventes[[#This Row],[Cde_Prdt]], tbl_Produits[Cde_Prdt], tbl_Produits[Prix Menu]), 0)</f>
        <v>0</v>
      </c>
      <c r="H2815" s="7">
        <f>IFERROR(_xlfn.XLOOKUP(tbl_Ventes[[#This Row],[Cde_Prdt]], tbl_Produits[Cde_Prdt], tbl_Produits[Coût Moyen Portion]), 0)</f>
        <v>0</v>
      </c>
      <c r="I2815" s="7">
        <f>tbl_Ventes[[#This Row],[Qté Vendue]] * tbl_Ventes[[#This Row],[CMP_par_portion]]</f>
        <v>0</v>
      </c>
      <c r="J2815" s="7">
        <f>tbl_Ventes[[#This Row],[CA ligne]] - tbl_Ventes[[#This Row],[Coût matière ligne]]</f>
        <v>0</v>
      </c>
      <c r="K2815" s="7" t="str">
        <f>IFERROR(INDEX(tbl_ProduitsRef[Famille], MATCH(tbl_Ventes[[#This Row],[Cde_Prdt]], tbl_Produits[Cde_Prdt], 0)), "")</f>
        <v/>
      </c>
    </row>
    <row r="2816" spans="1:11" x14ac:dyDescent="0.25">
      <c r="A2816" s="5"/>
      <c r="B2816" s="63" t="str">
        <f>IFERROR(TEXT(tbl_Ventes[[#This Row],[Date]],"mm-aaaa"),"")</f>
        <v>01-1900</v>
      </c>
      <c r="D2816" s="10" t="str">
        <f>IFERROR(
   INDEX(tbl_ProduitsRef[Cde_Prdt],MATCH(tbl_Ventes[[#This Row],[Produit]],tbl_ProduitsRef[Produit],0)),
   ""
)</f>
        <v/>
      </c>
      <c r="E2816" s="7">
        <v>0</v>
      </c>
      <c r="F2816" s="7" t="str">
        <f>IFERROR(
   INDEX(tbl_ProduitsRef[Prix Menu],MATCH(tbl_Ventes[[#This Row],[Produit]],tbl_ProduitsRef[Produit],0)),
   ""
)</f>
        <v/>
      </c>
      <c r="G2816" s="7">
        <f>tbl_Ventes[[#This Row],[Qté Vendue]] * IFERROR(_xlfn.XLOOKUP(tbl_Ventes[[#This Row],[Cde_Prdt]], tbl_Produits[Cde_Prdt], tbl_Produits[Prix Menu]), 0)</f>
        <v>0</v>
      </c>
      <c r="H2816" s="7">
        <f>IFERROR(_xlfn.XLOOKUP(tbl_Ventes[[#This Row],[Cde_Prdt]], tbl_Produits[Cde_Prdt], tbl_Produits[Coût Moyen Portion]), 0)</f>
        <v>0</v>
      </c>
      <c r="I2816" s="7">
        <f>tbl_Ventes[[#This Row],[Qté Vendue]] * tbl_Ventes[[#This Row],[CMP_par_portion]]</f>
        <v>0</v>
      </c>
      <c r="J2816" s="7">
        <f>tbl_Ventes[[#This Row],[CA ligne]] - tbl_Ventes[[#This Row],[Coût matière ligne]]</f>
        <v>0</v>
      </c>
      <c r="K2816" s="7" t="str">
        <f>IFERROR(INDEX(tbl_ProduitsRef[Famille], MATCH(tbl_Ventes[[#This Row],[Cde_Prdt]], tbl_Produits[Cde_Prdt], 0)), "")</f>
        <v/>
      </c>
    </row>
    <row r="2817" spans="1:11" x14ac:dyDescent="0.25">
      <c r="A2817" s="5"/>
      <c r="B2817" s="63" t="str">
        <f>IFERROR(TEXT(tbl_Ventes[[#This Row],[Date]],"mm-aaaa"),"")</f>
        <v>01-1900</v>
      </c>
      <c r="D2817" s="10" t="str">
        <f>IFERROR(
   INDEX(tbl_ProduitsRef[Cde_Prdt],MATCH(tbl_Ventes[[#This Row],[Produit]],tbl_ProduitsRef[Produit],0)),
   ""
)</f>
        <v/>
      </c>
      <c r="E2817" s="7">
        <v>0</v>
      </c>
      <c r="F2817" s="7" t="str">
        <f>IFERROR(
   INDEX(tbl_ProduitsRef[Prix Menu],MATCH(tbl_Ventes[[#This Row],[Produit]],tbl_ProduitsRef[Produit],0)),
   ""
)</f>
        <v/>
      </c>
      <c r="G2817" s="7">
        <f>tbl_Ventes[[#This Row],[Qté Vendue]] * IFERROR(_xlfn.XLOOKUP(tbl_Ventes[[#This Row],[Cde_Prdt]], tbl_Produits[Cde_Prdt], tbl_Produits[Prix Menu]), 0)</f>
        <v>0</v>
      </c>
      <c r="H2817" s="7">
        <f>IFERROR(_xlfn.XLOOKUP(tbl_Ventes[[#This Row],[Cde_Prdt]], tbl_Produits[Cde_Prdt], tbl_Produits[Coût Moyen Portion]), 0)</f>
        <v>0</v>
      </c>
      <c r="I2817" s="7">
        <f>tbl_Ventes[[#This Row],[Qté Vendue]] * tbl_Ventes[[#This Row],[CMP_par_portion]]</f>
        <v>0</v>
      </c>
      <c r="J2817" s="7">
        <f>tbl_Ventes[[#This Row],[CA ligne]] - tbl_Ventes[[#This Row],[Coût matière ligne]]</f>
        <v>0</v>
      </c>
      <c r="K2817" s="7" t="str">
        <f>IFERROR(INDEX(tbl_ProduitsRef[Famille], MATCH(tbl_Ventes[[#This Row],[Cde_Prdt]], tbl_Produits[Cde_Prdt], 0)), "")</f>
        <v/>
      </c>
    </row>
    <row r="2818" spans="1:11" x14ac:dyDescent="0.25">
      <c r="A2818" s="5"/>
      <c r="B2818" s="63" t="str">
        <f>IFERROR(TEXT(tbl_Ventes[[#This Row],[Date]],"mm-aaaa"),"")</f>
        <v>01-1900</v>
      </c>
      <c r="D2818" s="10" t="str">
        <f>IFERROR(
   INDEX(tbl_ProduitsRef[Cde_Prdt],MATCH(tbl_Ventes[[#This Row],[Produit]],tbl_ProduitsRef[Produit],0)),
   ""
)</f>
        <v/>
      </c>
      <c r="E2818" s="7">
        <v>0</v>
      </c>
      <c r="F2818" s="7" t="str">
        <f>IFERROR(
   INDEX(tbl_ProduitsRef[Prix Menu],MATCH(tbl_Ventes[[#This Row],[Produit]],tbl_ProduitsRef[Produit],0)),
   ""
)</f>
        <v/>
      </c>
      <c r="G2818" s="7">
        <f>tbl_Ventes[[#This Row],[Qté Vendue]] * IFERROR(_xlfn.XLOOKUP(tbl_Ventes[[#This Row],[Cde_Prdt]], tbl_Produits[Cde_Prdt], tbl_Produits[Prix Menu]), 0)</f>
        <v>0</v>
      </c>
      <c r="H2818" s="7">
        <f>IFERROR(_xlfn.XLOOKUP(tbl_Ventes[[#This Row],[Cde_Prdt]], tbl_Produits[Cde_Prdt], tbl_Produits[Coût Moyen Portion]), 0)</f>
        <v>0</v>
      </c>
      <c r="I2818" s="7">
        <f>tbl_Ventes[[#This Row],[Qté Vendue]] * tbl_Ventes[[#This Row],[CMP_par_portion]]</f>
        <v>0</v>
      </c>
      <c r="J2818" s="7">
        <f>tbl_Ventes[[#This Row],[CA ligne]] - tbl_Ventes[[#This Row],[Coût matière ligne]]</f>
        <v>0</v>
      </c>
      <c r="K2818" s="7" t="str">
        <f>IFERROR(INDEX(tbl_ProduitsRef[Famille], MATCH(tbl_Ventes[[#This Row],[Cde_Prdt]], tbl_Produits[Cde_Prdt], 0)), "")</f>
        <v/>
      </c>
    </row>
    <row r="2819" spans="1:11" x14ac:dyDescent="0.25">
      <c r="A2819" s="5"/>
      <c r="B2819" s="63" t="str">
        <f>IFERROR(TEXT(tbl_Ventes[[#This Row],[Date]],"mm-aaaa"),"")</f>
        <v>01-1900</v>
      </c>
      <c r="D2819" s="10" t="str">
        <f>IFERROR(
   INDEX(tbl_ProduitsRef[Cde_Prdt],MATCH(tbl_Ventes[[#This Row],[Produit]],tbl_ProduitsRef[Produit],0)),
   ""
)</f>
        <v/>
      </c>
      <c r="E2819" s="7">
        <v>0</v>
      </c>
      <c r="F2819" s="7" t="str">
        <f>IFERROR(
   INDEX(tbl_ProduitsRef[Prix Menu],MATCH(tbl_Ventes[[#This Row],[Produit]],tbl_ProduitsRef[Produit],0)),
   ""
)</f>
        <v/>
      </c>
      <c r="G2819" s="7">
        <f>tbl_Ventes[[#This Row],[Qté Vendue]] * IFERROR(_xlfn.XLOOKUP(tbl_Ventes[[#This Row],[Cde_Prdt]], tbl_Produits[Cde_Prdt], tbl_Produits[Prix Menu]), 0)</f>
        <v>0</v>
      </c>
      <c r="H2819" s="7">
        <f>IFERROR(_xlfn.XLOOKUP(tbl_Ventes[[#This Row],[Cde_Prdt]], tbl_Produits[Cde_Prdt], tbl_Produits[Coût Moyen Portion]), 0)</f>
        <v>0</v>
      </c>
      <c r="I2819" s="7">
        <f>tbl_Ventes[[#This Row],[Qté Vendue]] * tbl_Ventes[[#This Row],[CMP_par_portion]]</f>
        <v>0</v>
      </c>
      <c r="J2819" s="7">
        <f>tbl_Ventes[[#This Row],[CA ligne]] - tbl_Ventes[[#This Row],[Coût matière ligne]]</f>
        <v>0</v>
      </c>
      <c r="K2819" s="7" t="str">
        <f>IFERROR(INDEX(tbl_ProduitsRef[Famille], MATCH(tbl_Ventes[[#This Row],[Cde_Prdt]], tbl_Produits[Cde_Prdt], 0)), "")</f>
        <v/>
      </c>
    </row>
    <row r="2820" spans="1:11" x14ac:dyDescent="0.25">
      <c r="A2820" s="5"/>
      <c r="B2820" s="63" t="str">
        <f>IFERROR(TEXT(tbl_Ventes[[#This Row],[Date]],"mm-aaaa"),"")</f>
        <v>01-1900</v>
      </c>
      <c r="D2820" s="10" t="str">
        <f>IFERROR(
   INDEX(tbl_ProduitsRef[Cde_Prdt],MATCH(tbl_Ventes[[#This Row],[Produit]],tbl_ProduitsRef[Produit],0)),
   ""
)</f>
        <v/>
      </c>
      <c r="E2820" s="7">
        <v>0</v>
      </c>
      <c r="F2820" s="7" t="str">
        <f>IFERROR(
   INDEX(tbl_ProduitsRef[Prix Menu],MATCH(tbl_Ventes[[#This Row],[Produit]],tbl_ProduitsRef[Produit],0)),
   ""
)</f>
        <v/>
      </c>
      <c r="G2820" s="7">
        <f>tbl_Ventes[[#This Row],[Qté Vendue]] * IFERROR(_xlfn.XLOOKUP(tbl_Ventes[[#This Row],[Cde_Prdt]], tbl_Produits[Cde_Prdt], tbl_Produits[Prix Menu]), 0)</f>
        <v>0</v>
      </c>
      <c r="H2820" s="7">
        <f>IFERROR(_xlfn.XLOOKUP(tbl_Ventes[[#This Row],[Cde_Prdt]], tbl_Produits[Cde_Prdt], tbl_Produits[Coût Moyen Portion]), 0)</f>
        <v>0</v>
      </c>
      <c r="I2820" s="7">
        <f>tbl_Ventes[[#This Row],[Qté Vendue]] * tbl_Ventes[[#This Row],[CMP_par_portion]]</f>
        <v>0</v>
      </c>
      <c r="J2820" s="7">
        <f>tbl_Ventes[[#This Row],[CA ligne]] - tbl_Ventes[[#This Row],[Coût matière ligne]]</f>
        <v>0</v>
      </c>
      <c r="K2820" s="7" t="str">
        <f>IFERROR(INDEX(tbl_ProduitsRef[Famille], MATCH(tbl_Ventes[[#This Row],[Cde_Prdt]], tbl_Produits[Cde_Prdt], 0)), "")</f>
        <v/>
      </c>
    </row>
    <row r="2821" spans="1:11" x14ac:dyDescent="0.25">
      <c r="A2821" s="5"/>
      <c r="B2821" s="63" t="str">
        <f>IFERROR(TEXT(tbl_Ventes[[#This Row],[Date]],"mm-aaaa"),"")</f>
        <v>01-1900</v>
      </c>
      <c r="D2821" s="10" t="str">
        <f>IFERROR(
   INDEX(tbl_ProduitsRef[Cde_Prdt],MATCH(tbl_Ventes[[#This Row],[Produit]],tbl_ProduitsRef[Produit],0)),
   ""
)</f>
        <v/>
      </c>
      <c r="E2821" s="7">
        <v>0</v>
      </c>
      <c r="F2821" s="7" t="str">
        <f>IFERROR(
   INDEX(tbl_ProduitsRef[Prix Menu],MATCH(tbl_Ventes[[#This Row],[Produit]],tbl_ProduitsRef[Produit],0)),
   ""
)</f>
        <v/>
      </c>
      <c r="G2821" s="7">
        <f>tbl_Ventes[[#This Row],[Qté Vendue]] * IFERROR(_xlfn.XLOOKUP(tbl_Ventes[[#This Row],[Cde_Prdt]], tbl_Produits[Cde_Prdt], tbl_Produits[Prix Menu]), 0)</f>
        <v>0</v>
      </c>
      <c r="H2821" s="7">
        <f>IFERROR(_xlfn.XLOOKUP(tbl_Ventes[[#This Row],[Cde_Prdt]], tbl_Produits[Cde_Prdt], tbl_Produits[Coût Moyen Portion]), 0)</f>
        <v>0</v>
      </c>
      <c r="I2821" s="7">
        <f>tbl_Ventes[[#This Row],[Qté Vendue]] * tbl_Ventes[[#This Row],[CMP_par_portion]]</f>
        <v>0</v>
      </c>
      <c r="J2821" s="7">
        <f>tbl_Ventes[[#This Row],[CA ligne]] - tbl_Ventes[[#This Row],[Coût matière ligne]]</f>
        <v>0</v>
      </c>
      <c r="K2821" s="7" t="str">
        <f>IFERROR(INDEX(tbl_ProduitsRef[Famille], MATCH(tbl_Ventes[[#This Row],[Cde_Prdt]], tbl_Produits[Cde_Prdt], 0)), "")</f>
        <v/>
      </c>
    </row>
    <row r="2822" spans="1:11" x14ac:dyDescent="0.25">
      <c r="A2822" s="5"/>
      <c r="B2822" s="63" t="str">
        <f>IFERROR(TEXT(tbl_Ventes[[#This Row],[Date]],"mm-aaaa"),"")</f>
        <v>01-1900</v>
      </c>
      <c r="D2822" s="10" t="str">
        <f>IFERROR(
   INDEX(tbl_ProduitsRef[Cde_Prdt],MATCH(tbl_Ventes[[#This Row],[Produit]],tbl_ProduitsRef[Produit],0)),
   ""
)</f>
        <v/>
      </c>
      <c r="E2822" s="7">
        <v>0</v>
      </c>
      <c r="F2822" s="7" t="str">
        <f>IFERROR(
   INDEX(tbl_ProduitsRef[Prix Menu],MATCH(tbl_Ventes[[#This Row],[Produit]],tbl_ProduitsRef[Produit],0)),
   ""
)</f>
        <v/>
      </c>
      <c r="G2822" s="7">
        <f>tbl_Ventes[[#This Row],[Qté Vendue]] * IFERROR(_xlfn.XLOOKUP(tbl_Ventes[[#This Row],[Cde_Prdt]], tbl_Produits[Cde_Prdt], tbl_Produits[Prix Menu]), 0)</f>
        <v>0</v>
      </c>
      <c r="H2822" s="7">
        <f>IFERROR(_xlfn.XLOOKUP(tbl_Ventes[[#This Row],[Cde_Prdt]], tbl_Produits[Cde_Prdt], tbl_Produits[Coût Moyen Portion]), 0)</f>
        <v>0</v>
      </c>
      <c r="I2822" s="7">
        <f>tbl_Ventes[[#This Row],[Qté Vendue]] * tbl_Ventes[[#This Row],[CMP_par_portion]]</f>
        <v>0</v>
      </c>
      <c r="J2822" s="7">
        <f>tbl_Ventes[[#This Row],[CA ligne]] - tbl_Ventes[[#This Row],[Coût matière ligne]]</f>
        <v>0</v>
      </c>
      <c r="K2822" s="7" t="str">
        <f>IFERROR(INDEX(tbl_ProduitsRef[Famille], MATCH(tbl_Ventes[[#This Row],[Cde_Prdt]], tbl_Produits[Cde_Prdt], 0)), "")</f>
        <v/>
      </c>
    </row>
    <row r="2823" spans="1:11" x14ac:dyDescent="0.25">
      <c r="A2823" s="5"/>
      <c r="B2823" s="63" t="str">
        <f>IFERROR(TEXT(tbl_Ventes[[#This Row],[Date]],"mm-aaaa"),"")</f>
        <v>01-1900</v>
      </c>
      <c r="D2823" s="10" t="str">
        <f>IFERROR(
   INDEX(tbl_ProduitsRef[Cde_Prdt],MATCH(tbl_Ventes[[#This Row],[Produit]],tbl_ProduitsRef[Produit],0)),
   ""
)</f>
        <v/>
      </c>
      <c r="E2823" s="7">
        <v>0</v>
      </c>
      <c r="F2823" s="7" t="str">
        <f>IFERROR(
   INDEX(tbl_ProduitsRef[Prix Menu],MATCH(tbl_Ventes[[#This Row],[Produit]],tbl_ProduitsRef[Produit],0)),
   ""
)</f>
        <v/>
      </c>
      <c r="G2823" s="7">
        <f>tbl_Ventes[[#This Row],[Qté Vendue]] * IFERROR(_xlfn.XLOOKUP(tbl_Ventes[[#This Row],[Cde_Prdt]], tbl_Produits[Cde_Prdt], tbl_Produits[Prix Menu]), 0)</f>
        <v>0</v>
      </c>
      <c r="H2823" s="7">
        <f>IFERROR(_xlfn.XLOOKUP(tbl_Ventes[[#This Row],[Cde_Prdt]], tbl_Produits[Cde_Prdt], tbl_Produits[Coût Moyen Portion]), 0)</f>
        <v>0</v>
      </c>
      <c r="I2823" s="7">
        <f>tbl_Ventes[[#This Row],[Qté Vendue]] * tbl_Ventes[[#This Row],[CMP_par_portion]]</f>
        <v>0</v>
      </c>
      <c r="J2823" s="7">
        <f>tbl_Ventes[[#This Row],[CA ligne]] - tbl_Ventes[[#This Row],[Coût matière ligne]]</f>
        <v>0</v>
      </c>
      <c r="K2823" s="7" t="str">
        <f>IFERROR(INDEX(tbl_ProduitsRef[Famille], MATCH(tbl_Ventes[[#This Row],[Cde_Prdt]], tbl_Produits[Cde_Prdt], 0)), "")</f>
        <v/>
      </c>
    </row>
    <row r="2824" spans="1:11" x14ac:dyDescent="0.25">
      <c r="A2824" s="5"/>
      <c r="B2824" s="63" t="str">
        <f>IFERROR(TEXT(tbl_Ventes[[#This Row],[Date]],"mm-aaaa"),"")</f>
        <v>01-1900</v>
      </c>
      <c r="D2824" s="10" t="str">
        <f>IFERROR(
   INDEX(tbl_ProduitsRef[Cde_Prdt],MATCH(tbl_Ventes[[#This Row],[Produit]],tbl_ProduitsRef[Produit],0)),
   ""
)</f>
        <v/>
      </c>
      <c r="E2824" s="7">
        <v>0</v>
      </c>
      <c r="F2824" s="7" t="str">
        <f>IFERROR(
   INDEX(tbl_ProduitsRef[Prix Menu],MATCH(tbl_Ventes[[#This Row],[Produit]],tbl_ProduitsRef[Produit],0)),
   ""
)</f>
        <v/>
      </c>
      <c r="G2824" s="7">
        <f>tbl_Ventes[[#This Row],[Qté Vendue]] * IFERROR(_xlfn.XLOOKUP(tbl_Ventes[[#This Row],[Cde_Prdt]], tbl_Produits[Cde_Prdt], tbl_Produits[Prix Menu]), 0)</f>
        <v>0</v>
      </c>
      <c r="H2824" s="7">
        <f>IFERROR(_xlfn.XLOOKUP(tbl_Ventes[[#This Row],[Cde_Prdt]], tbl_Produits[Cde_Prdt], tbl_Produits[Coût Moyen Portion]), 0)</f>
        <v>0</v>
      </c>
      <c r="I2824" s="7">
        <f>tbl_Ventes[[#This Row],[Qté Vendue]] * tbl_Ventes[[#This Row],[CMP_par_portion]]</f>
        <v>0</v>
      </c>
      <c r="J2824" s="7">
        <f>tbl_Ventes[[#This Row],[CA ligne]] - tbl_Ventes[[#This Row],[Coût matière ligne]]</f>
        <v>0</v>
      </c>
      <c r="K2824" s="7" t="str">
        <f>IFERROR(INDEX(tbl_ProduitsRef[Famille], MATCH(tbl_Ventes[[#This Row],[Cde_Prdt]], tbl_Produits[Cde_Prdt], 0)), "")</f>
        <v/>
      </c>
    </row>
    <row r="2825" spans="1:11" x14ac:dyDescent="0.25">
      <c r="A2825" s="5"/>
      <c r="B2825" s="63" t="str">
        <f>IFERROR(TEXT(tbl_Ventes[[#This Row],[Date]],"mm-aaaa"),"")</f>
        <v>01-1900</v>
      </c>
      <c r="D2825" s="10" t="str">
        <f>IFERROR(
   INDEX(tbl_ProduitsRef[Cde_Prdt],MATCH(tbl_Ventes[[#This Row],[Produit]],tbl_ProduitsRef[Produit],0)),
   ""
)</f>
        <v/>
      </c>
      <c r="E2825" s="7">
        <v>0</v>
      </c>
      <c r="F2825" s="7" t="str">
        <f>IFERROR(
   INDEX(tbl_ProduitsRef[Prix Menu],MATCH(tbl_Ventes[[#This Row],[Produit]],tbl_ProduitsRef[Produit],0)),
   ""
)</f>
        <v/>
      </c>
      <c r="G2825" s="7">
        <f>tbl_Ventes[[#This Row],[Qté Vendue]] * IFERROR(_xlfn.XLOOKUP(tbl_Ventes[[#This Row],[Cde_Prdt]], tbl_Produits[Cde_Prdt], tbl_Produits[Prix Menu]), 0)</f>
        <v>0</v>
      </c>
      <c r="H2825" s="7">
        <f>IFERROR(_xlfn.XLOOKUP(tbl_Ventes[[#This Row],[Cde_Prdt]], tbl_Produits[Cde_Prdt], tbl_Produits[Coût Moyen Portion]), 0)</f>
        <v>0</v>
      </c>
      <c r="I2825" s="7">
        <f>tbl_Ventes[[#This Row],[Qté Vendue]] * tbl_Ventes[[#This Row],[CMP_par_portion]]</f>
        <v>0</v>
      </c>
      <c r="J2825" s="7">
        <f>tbl_Ventes[[#This Row],[CA ligne]] - tbl_Ventes[[#This Row],[Coût matière ligne]]</f>
        <v>0</v>
      </c>
      <c r="K2825" s="7" t="str">
        <f>IFERROR(INDEX(tbl_ProduitsRef[Famille], MATCH(tbl_Ventes[[#This Row],[Cde_Prdt]], tbl_Produits[Cde_Prdt], 0)), "")</f>
        <v/>
      </c>
    </row>
    <row r="2826" spans="1:11" x14ac:dyDescent="0.25">
      <c r="A2826" s="5"/>
      <c r="B2826" s="63" t="str">
        <f>IFERROR(TEXT(tbl_Ventes[[#This Row],[Date]],"mm-aaaa"),"")</f>
        <v>01-1900</v>
      </c>
      <c r="D2826" s="10" t="str">
        <f>IFERROR(
   INDEX(tbl_ProduitsRef[Cde_Prdt],MATCH(tbl_Ventes[[#This Row],[Produit]],tbl_ProduitsRef[Produit],0)),
   ""
)</f>
        <v/>
      </c>
      <c r="E2826" s="7">
        <v>0</v>
      </c>
      <c r="F2826" s="7" t="str">
        <f>IFERROR(
   INDEX(tbl_ProduitsRef[Prix Menu],MATCH(tbl_Ventes[[#This Row],[Produit]],tbl_ProduitsRef[Produit],0)),
   ""
)</f>
        <v/>
      </c>
      <c r="G2826" s="7">
        <f>tbl_Ventes[[#This Row],[Qté Vendue]] * IFERROR(_xlfn.XLOOKUP(tbl_Ventes[[#This Row],[Cde_Prdt]], tbl_Produits[Cde_Prdt], tbl_Produits[Prix Menu]), 0)</f>
        <v>0</v>
      </c>
      <c r="H2826" s="7">
        <f>IFERROR(_xlfn.XLOOKUP(tbl_Ventes[[#This Row],[Cde_Prdt]], tbl_Produits[Cde_Prdt], tbl_Produits[Coût Moyen Portion]), 0)</f>
        <v>0</v>
      </c>
      <c r="I2826" s="7">
        <f>tbl_Ventes[[#This Row],[Qté Vendue]] * tbl_Ventes[[#This Row],[CMP_par_portion]]</f>
        <v>0</v>
      </c>
      <c r="J2826" s="7">
        <f>tbl_Ventes[[#This Row],[CA ligne]] - tbl_Ventes[[#This Row],[Coût matière ligne]]</f>
        <v>0</v>
      </c>
      <c r="K2826" s="7" t="str">
        <f>IFERROR(INDEX(tbl_ProduitsRef[Famille], MATCH(tbl_Ventes[[#This Row],[Cde_Prdt]], tbl_Produits[Cde_Prdt], 0)), "")</f>
        <v/>
      </c>
    </row>
    <row r="2827" spans="1:11" x14ac:dyDescent="0.25">
      <c r="A2827" s="5"/>
      <c r="B2827" s="63" t="str">
        <f>IFERROR(TEXT(tbl_Ventes[[#This Row],[Date]],"mm-aaaa"),"")</f>
        <v>01-1900</v>
      </c>
      <c r="D2827" s="10" t="str">
        <f>IFERROR(
   INDEX(tbl_ProduitsRef[Cde_Prdt],MATCH(tbl_Ventes[[#This Row],[Produit]],tbl_ProduitsRef[Produit],0)),
   ""
)</f>
        <v/>
      </c>
      <c r="E2827" s="7">
        <v>0</v>
      </c>
      <c r="F2827" s="7" t="str">
        <f>IFERROR(
   INDEX(tbl_ProduitsRef[Prix Menu],MATCH(tbl_Ventes[[#This Row],[Produit]],tbl_ProduitsRef[Produit],0)),
   ""
)</f>
        <v/>
      </c>
      <c r="G2827" s="7">
        <f>tbl_Ventes[[#This Row],[Qté Vendue]] * IFERROR(_xlfn.XLOOKUP(tbl_Ventes[[#This Row],[Cde_Prdt]], tbl_Produits[Cde_Prdt], tbl_Produits[Prix Menu]), 0)</f>
        <v>0</v>
      </c>
      <c r="H2827" s="7">
        <f>IFERROR(_xlfn.XLOOKUP(tbl_Ventes[[#This Row],[Cde_Prdt]], tbl_Produits[Cde_Prdt], tbl_Produits[Coût Moyen Portion]), 0)</f>
        <v>0</v>
      </c>
      <c r="I2827" s="7">
        <f>tbl_Ventes[[#This Row],[Qté Vendue]] * tbl_Ventes[[#This Row],[CMP_par_portion]]</f>
        <v>0</v>
      </c>
      <c r="J2827" s="7">
        <f>tbl_Ventes[[#This Row],[CA ligne]] - tbl_Ventes[[#This Row],[Coût matière ligne]]</f>
        <v>0</v>
      </c>
      <c r="K2827" s="7" t="str">
        <f>IFERROR(INDEX(tbl_ProduitsRef[Famille], MATCH(tbl_Ventes[[#This Row],[Cde_Prdt]], tbl_Produits[Cde_Prdt], 0)), "")</f>
        <v/>
      </c>
    </row>
    <row r="2828" spans="1:11" x14ac:dyDescent="0.25">
      <c r="A2828" s="5"/>
      <c r="B2828" s="63" t="str">
        <f>IFERROR(TEXT(tbl_Ventes[[#This Row],[Date]],"mm-aaaa"),"")</f>
        <v>01-1900</v>
      </c>
      <c r="D2828" s="10" t="str">
        <f>IFERROR(
   INDEX(tbl_ProduitsRef[Cde_Prdt],MATCH(tbl_Ventes[[#This Row],[Produit]],tbl_ProduitsRef[Produit],0)),
   ""
)</f>
        <v/>
      </c>
      <c r="E2828" s="7">
        <v>0</v>
      </c>
      <c r="F2828" s="7" t="str">
        <f>IFERROR(
   INDEX(tbl_ProduitsRef[Prix Menu],MATCH(tbl_Ventes[[#This Row],[Produit]],tbl_ProduitsRef[Produit],0)),
   ""
)</f>
        <v/>
      </c>
      <c r="G2828" s="7">
        <f>tbl_Ventes[[#This Row],[Qté Vendue]] * IFERROR(_xlfn.XLOOKUP(tbl_Ventes[[#This Row],[Cde_Prdt]], tbl_Produits[Cde_Prdt], tbl_Produits[Prix Menu]), 0)</f>
        <v>0</v>
      </c>
      <c r="H2828" s="7">
        <f>IFERROR(_xlfn.XLOOKUP(tbl_Ventes[[#This Row],[Cde_Prdt]], tbl_Produits[Cde_Prdt], tbl_Produits[Coût Moyen Portion]), 0)</f>
        <v>0</v>
      </c>
      <c r="I2828" s="7">
        <f>tbl_Ventes[[#This Row],[Qté Vendue]] * tbl_Ventes[[#This Row],[CMP_par_portion]]</f>
        <v>0</v>
      </c>
      <c r="J2828" s="7">
        <f>tbl_Ventes[[#This Row],[CA ligne]] - tbl_Ventes[[#This Row],[Coût matière ligne]]</f>
        <v>0</v>
      </c>
      <c r="K2828" s="7" t="str">
        <f>IFERROR(INDEX(tbl_ProduitsRef[Famille], MATCH(tbl_Ventes[[#This Row],[Cde_Prdt]], tbl_Produits[Cde_Prdt], 0)), "")</f>
        <v/>
      </c>
    </row>
    <row r="2829" spans="1:11" x14ac:dyDescent="0.25">
      <c r="A2829" s="5"/>
      <c r="B2829" s="63" t="str">
        <f>IFERROR(TEXT(tbl_Ventes[[#This Row],[Date]],"mm-aaaa"),"")</f>
        <v>01-1900</v>
      </c>
      <c r="D2829" s="10" t="str">
        <f>IFERROR(
   INDEX(tbl_ProduitsRef[Cde_Prdt],MATCH(tbl_Ventes[[#This Row],[Produit]],tbl_ProduitsRef[Produit],0)),
   ""
)</f>
        <v/>
      </c>
      <c r="E2829" s="7">
        <v>0</v>
      </c>
      <c r="F2829" s="7" t="str">
        <f>IFERROR(
   INDEX(tbl_ProduitsRef[Prix Menu],MATCH(tbl_Ventes[[#This Row],[Produit]],tbl_ProduitsRef[Produit],0)),
   ""
)</f>
        <v/>
      </c>
      <c r="G2829" s="7">
        <f>tbl_Ventes[[#This Row],[Qté Vendue]] * IFERROR(_xlfn.XLOOKUP(tbl_Ventes[[#This Row],[Cde_Prdt]], tbl_Produits[Cde_Prdt], tbl_Produits[Prix Menu]), 0)</f>
        <v>0</v>
      </c>
      <c r="H2829" s="7">
        <f>IFERROR(_xlfn.XLOOKUP(tbl_Ventes[[#This Row],[Cde_Prdt]], tbl_Produits[Cde_Prdt], tbl_Produits[Coût Moyen Portion]), 0)</f>
        <v>0</v>
      </c>
      <c r="I2829" s="7">
        <f>tbl_Ventes[[#This Row],[Qté Vendue]] * tbl_Ventes[[#This Row],[CMP_par_portion]]</f>
        <v>0</v>
      </c>
      <c r="J2829" s="7">
        <f>tbl_Ventes[[#This Row],[CA ligne]] - tbl_Ventes[[#This Row],[Coût matière ligne]]</f>
        <v>0</v>
      </c>
      <c r="K2829" s="7" t="str">
        <f>IFERROR(INDEX(tbl_ProduitsRef[Famille], MATCH(tbl_Ventes[[#This Row],[Cde_Prdt]], tbl_Produits[Cde_Prdt], 0)), "")</f>
        <v/>
      </c>
    </row>
    <row r="2830" spans="1:11" x14ac:dyDescent="0.25">
      <c r="A2830" s="5"/>
      <c r="B2830" s="63" t="str">
        <f>IFERROR(TEXT(tbl_Ventes[[#This Row],[Date]],"mm-aaaa"),"")</f>
        <v>01-1900</v>
      </c>
      <c r="D2830" s="10" t="str">
        <f>IFERROR(
   INDEX(tbl_ProduitsRef[Cde_Prdt],MATCH(tbl_Ventes[[#This Row],[Produit]],tbl_ProduitsRef[Produit],0)),
   ""
)</f>
        <v/>
      </c>
      <c r="E2830" s="7">
        <v>0</v>
      </c>
      <c r="F2830" s="7" t="str">
        <f>IFERROR(
   INDEX(tbl_ProduitsRef[Prix Menu],MATCH(tbl_Ventes[[#This Row],[Produit]],tbl_ProduitsRef[Produit],0)),
   ""
)</f>
        <v/>
      </c>
      <c r="G2830" s="7">
        <f>tbl_Ventes[[#This Row],[Qté Vendue]] * IFERROR(_xlfn.XLOOKUP(tbl_Ventes[[#This Row],[Cde_Prdt]], tbl_Produits[Cde_Prdt], tbl_Produits[Prix Menu]), 0)</f>
        <v>0</v>
      </c>
      <c r="H2830" s="7">
        <f>IFERROR(_xlfn.XLOOKUP(tbl_Ventes[[#This Row],[Cde_Prdt]], tbl_Produits[Cde_Prdt], tbl_Produits[Coût Moyen Portion]), 0)</f>
        <v>0</v>
      </c>
      <c r="I2830" s="7">
        <f>tbl_Ventes[[#This Row],[Qté Vendue]] * tbl_Ventes[[#This Row],[CMP_par_portion]]</f>
        <v>0</v>
      </c>
      <c r="J2830" s="7">
        <f>tbl_Ventes[[#This Row],[CA ligne]] - tbl_Ventes[[#This Row],[Coût matière ligne]]</f>
        <v>0</v>
      </c>
      <c r="K2830" s="7" t="str">
        <f>IFERROR(INDEX(tbl_ProduitsRef[Famille], MATCH(tbl_Ventes[[#This Row],[Cde_Prdt]], tbl_Produits[Cde_Prdt], 0)), "")</f>
        <v/>
      </c>
    </row>
    <row r="2831" spans="1:11" x14ac:dyDescent="0.25">
      <c r="A2831" s="5"/>
      <c r="B2831" s="63" t="str">
        <f>IFERROR(TEXT(tbl_Ventes[[#This Row],[Date]],"mm-aaaa"),"")</f>
        <v>01-1900</v>
      </c>
      <c r="D2831" s="10" t="str">
        <f>IFERROR(
   INDEX(tbl_ProduitsRef[Cde_Prdt],MATCH(tbl_Ventes[[#This Row],[Produit]],tbl_ProduitsRef[Produit],0)),
   ""
)</f>
        <v/>
      </c>
      <c r="E2831" s="7">
        <v>0</v>
      </c>
      <c r="F2831" s="7" t="str">
        <f>IFERROR(
   INDEX(tbl_ProduitsRef[Prix Menu],MATCH(tbl_Ventes[[#This Row],[Produit]],tbl_ProduitsRef[Produit],0)),
   ""
)</f>
        <v/>
      </c>
      <c r="G2831" s="7">
        <f>tbl_Ventes[[#This Row],[Qté Vendue]] * IFERROR(_xlfn.XLOOKUP(tbl_Ventes[[#This Row],[Cde_Prdt]], tbl_Produits[Cde_Prdt], tbl_Produits[Prix Menu]), 0)</f>
        <v>0</v>
      </c>
      <c r="H2831" s="7">
        <f>IFERROR(_xlfn.XLOOKUP(tbl_Ventes[[#This Row],[Cde_Prdt]], tbl_Produits[Cde_Prdt], tbl_Produits[Coût Moyen Portion]), 0)</f>
        <v>0</v>
      </c>
      <c r="I2831" s="7">
        <f>tbl_Ventes[[#This Row],[Qté Vendue]] * tbl_Ventes[[#This Row],[CMP_par_portion]]</f>
        <v>0</v>
      </c>
      <c r="J2831" s="7">
        <f>tbl_Ventes[[#This Row],[CA ligne]] - tbl_Ventes[[#This Row],[Coût matière ligne]]</f>
        <v>0</v>
      </c>
      <c r="K2831" s="7" t="str">
        <f>IFERROR(INDEX(tbl_ProduitsRef[Famille], MATCH(tbl_Ventes[[#This Row],[Cde_Prdt]], tbl_Produits[Cde_Prdt], 0)), "")</f>
        <v/>
      </c>
    </row>
    <row r="2832" spans="1:11" x14ac:dyDescent="0.25">
      <c r="A2832" s="5"/>
      <c r="B2832" s="63" t="str">
        <f>IFERROR(TEXT(tbl_Ventes[[#This Row],[Date]],"mm-aaaa"),"")</f>
        <v>01-1900</v>
      </c>
      <c r="D2832" s="10" t="str">
        <f>IFERROR(
   INDEX(tbl_ProduitsRef[Cde_Prdt],MATCH(tbl_Ventes[[#This Row],[Produit]],tbl_ProduitsRef[Produit],0)),
   ""
)</f>
        <v/>
      </c>
      <c r="E2832" s="7">
        <v>0</v>
      </c>
      <c r="F2832" s="7" t="str">
        <f>IFERROR(
   INDEX(tbl_ProduitsRef[Prix Menu],MATCH(tbl_Ventes[[#This Row],[Produit]],tbl_ProduitsRef[Produit],0)),
   ""
)</f>
        <v/>
      </c>
      <c r="G2832" s="7">
        <f>tbl_Ventes[[#This Row],[Qté Vendue]] * IFERROR(_xlfn.XLOOKUP(tbl_Ventes[[#This Row],[Cde_Prdt]], tbl_Produits[Cde_Prdt], tbl_Produits[Prix Menu]), 0)</f>
        <v>0</v>
      </c>
      <c r="H2832" s="7">
        <f>IFERROR(_xlfn.XLOOKUP(tbl_Ventes[[#This Row],[Cde_Prdt]], tbl_Produits[Cde_Prdt], tbl_Produits[Coût Moyen Portion]), 0)</f>
        <v>0</v>
      </c>
      <c r="I2832" s="7">
        <f>tbl_Ventes[[#This Row],[Qté Vendue]] * tbl_Ventes[[#This Row],[CMP_par_portion]]</f>
        <v>0</v>
      </c>
      <c r="J2832" s="7">
        <f>tbl_Ventes[[#This Row],[CA ligne]] - tbl_Ventes[[#This Row],[Coût matière ligne]]</f>
        <v>0</v>
      </c>
      <c r="K2832" s="7" t="str">
        <f>IFERROR(INDEX(tbl_ProduitsRef[Famille], MATCH(tbl_Ventes[[#This Row],[Cde_Prdt]], tbl_Produits[Cde_Prdt], 0)), "")</f>
        <v/>
      </c>
    </row>
    <row r="2833" spans="1:11" x14ac:dyDescent="0.25">
      <c r="A2833" s="5"/>
      <c r="B2833" s="63" t="str">
        <f>IFERROR(TEXT(tbl_Ventes[[#This Row],[Date]],"mm-aaaa"),"")</f>
        <v>01-1900</v>
      </c>
      <c r="D2833" s="10" t="str">
        <f>IFERROR(
   INDEX(tbl_ProduitsRef[Cde_Prdt],MATCH(tbl_Ventes[[#This Row],[Produit]],tbl_ProduitsRef[Produit],0)),
   ""
)</f>
        <v/>
      </c>
      <c r="E2833" s="7">
        <v>0</v>
      </c>
      <c r="F2833" s="7" t="str">
        <f>IFERROR(
   INDEX(tbl_ProduitsRef[Prix Menu],MATCH(tbl_Ventes[[#This Row],[Produit]],tbl_ProduitsRef[Produit],0)),
   ""
)</f>
        <v/>
      </c>
      <c r="G2833" s="7">
        <f>tbl_Ventes[[#This Row],[Qté Vendue]] * IFERROR(_xlfn.XLOOKUP(tbl_Ventes[[#This Row],[Cde_Prdt]], tbl_Produits[Cde_Prdt], tbl_Produits[Prix Menu]), 0)</f>
        <v>0</v>
      </c>
      <c r="H2833" s="7">
        <f>IFERROR(_xlfn.XLOOKUP(tbl_Ventes[[#This Row],[Cde_Prdt]], tbl_Produits[Cde_Prdt], tbl_Produits[Coût Moyen Portion]), 0)</f>
        <v>0</v>
      </c>
      <c r="I2833" s="7">
        <f>tbl_Ventes[[#This Row],[Qté Vendue]] * tbl_Ventes[[#This Row],[CMP_par_portion]]</f>
        <v>0</v>
      </c>
      <c r="J2833" s="7">
        <f>tbl_Ventes[[#This Row],[CA ligne]] - tbl_Ventes[[#This Row],[Coût matière ligne]]</f>
        <v>0</v>
      </c>
      <c r="K2833" s="7" t="str">
        <f>IFERROR(INDEX(tbl_ProduitsRef[Famille], MATCH(tbl_Ventes[[#This Row],[Cde_Prdt]], tbl_Produits[Cde_Prdt], 0)), "")</f>
        <v/>
      </c>
    </row>
    <row r="2834" spans="1:11" x14ac:dyDescent="0.25">
      <c r="A2834" s="5"/>
      <c r="B2834" s="63" t="str">
        <f>IFERROR(TEXT(tbl_Ventes[[#This Row],[Date]],"mm-aaaa"),"")</f>
        <v>01-1900</v>
      </c>
      <c r="D2834" s="10" t="str">
        <f>IFERROR(
   INDEX(tbl_ProduitsRef[Cde_Prdt],MATCH(tbl_Ventes[[#This Row],[Produit]],tbl_ProduitsRef[Produit],0)),
   ""
)</f>
        <v/>
      </c>
      <c r="E2834" s="7">
        <v>0</v>
      </c>
      <c r="F2834" s="7" t="str">
        <f>IFERROR(
   INDEX(tbl_ProduitsRef[Prix Menu],MATCH(tbl_Ventes[[#This Row],[Produit]],tbl_ProduitsRef[Produit],0)),
   ""
)</f>
        <v/>
      </c>
      <c r="G2834" s="7">
        <f>tbl_Ventes[[#This Row],[Qté Vendue]] * IFERROR(_xlfn.XLOOKUP(tbl_Ventes[[#This Row],[Cde_Prdt]], tbl_Produits[Cde_Prdt], tbl_Produits[Prix Menu]), 0)</f>
        <v>0</v>
      </c>
      <c r="H2834" s="7">
        <f>IFERROR(_xlfn.XLOOKUP(tbl_Ventes[[#This Row],[Cde_Prdt]], tbl_Produits[Cde_Prdt], tbl_Produits[Coût Moyen Portion]), 0)</f>
        <v>0</v>
      </c>
      <c r="I2834" s="7">
        <f>tbl_Ventes[[#This Row],[Qté Vendue]] * tbl_Ventes[[#This Row],[CMP_par_portion]]</f>
        <v>0</v>
      </c>
      <c r="J2834" s="7">
        <f>tbl_Ventes[[#This Row],[CA ligne]] - tbl_Ventes[[#This Row],[Coût matière ligne]]</f>
        <v>0</v>
      </c>
      <c r="K2834" s="7" t="str">
        <f>IFERROR(INDEX(tbl_ProduitsRef[Famille], MATCH(tbl_Ventes[[#This Row],[Cde_Prdt]], tbl_Produits[Cde_Prdt], 0)), "")</f>
        <v/>
      </c>
    </row>
    <row r="2835" spans="1:11" x14ac:dyDescent="0.25">
      <c r="A2835" s="5"/>
      <c r="B2835" s="63" t="str">
        <f>IFERROR(TEXT(tbl_Ventes[[#This Row],[Date]],"mm-aaaa"),"")</f>
        <v>01-1900</v>
      </c>
      <c r="D2835" s="10" t="str">
        <f>IFERROR(
   INDEX(tbl_ProduitsRef[Cde_Prdt],MATCH(tbl_Ventes[[#This Row],[Produit]],tbl_ProduitsRef[Produit],0)),
   ""
)</f>
        <v/>
      </c>
      <c r="E2835" s="7">
        <v>0</v>
      </c>
      <c r="F2835" s="7" t="str">
        <f>IFERROR(
   INDEX(tbl_ProduitsRef[Prix Menu],MATCH(tbl_Ventes[[#This Row],[Produit]],tbl_ProduitsRef[Produit],0)),
   ""
)</f>
        <v/>
      </c>
      <c r="G2835" s="7">
        <f>tbl_Ventes[[#This Row],[Qté Vendue]] * IFERROR(_xlfn.XLOOKUP(tbl_Ventes[[#This Row],[Cde_Prdt]], tbl_Produits[Cde_Prdt], tbl_Produits[Prix Menu]), 0)</f>
        <v>0</v>
      </c>
      <c r="H2835" s="7">
        <f>IFERROR(_xlfn.XLOOKUP(tbl_Ventes[[#This Row],[Cde_Prdt]], tbl_Produits[Cde_Prdt], tbl_Produits[Coût Moyen Portion]), 0)</f>
        <v>0</v>
      </c>
      <c r="I2835" s="7">
        <f>tbl_Ventes[[#This Row],[Qté Vendue]] * tbl_Ventes[[#This Row],[CMP_par_portion]]</f>
        <v>0</v>
      </c>
      <c r="J2835" s="7">
        <f>tbl_Ventes[[#This Row],[CA ligne]] - tbl_Ventes[[#This Row],[Coût matière ligne]]</f>
        <v>0</v>
      </c>
      <c r="K2835" s="7" t="str">
        <f>IFERROR(INDEX(tbl_ProduitsRef[Famille], MATCH(tbl_Ventes[[#This Row],[Cde_Prdt]], tbl_Produits[Cde_Prdt], 0)), "")</f>
        <v/>
      </c>
    </row>
    <row r="2836" spans="1:11" x14ac:dyDescent="0.25">
      <c r="A2836" s="5"/>
      <c r="B2836" s="63" t="str">
        <f>IFERROR(TEXT(tbl_Ventes[[#This Row],[Date]],"mm-aaaa"),"")</f>
        <v>01-1900</v>
      </c>
      <c r="D2836" s="10" t="str">
        <f>IFERROR(
   INDEX(tbl_ProduitsRef[Cde_Prdt],MATCH(tbl_Ventes[[#This Row],[Produit]],tbl_ProduitsRef[Produit],0)),
   ""
)</f>
        <v/>
      </c>
      <c r="E2836" s="7">
        <v>0</v>
      </c>
      <c r="F2836" s="7" t="str">
        <f>IFERROR(
   INDEX(tbl_ProduitsRef[Prix Menu],MATCH(tbl_Ventes[[#This Row],[Produit]],tbl_ProduitsRef[Produit],0)),
   ""
)</f>
        <v/>
      </c>
      <c r="G2836" s="7">
        <f>tbl_Ventes[[#This Row],[Qté Vendue]] * IFERROR(_xlfn.XLOOKUP(tbl_Ventes[[#This Row],[Cde_Prdt]], tbl_Produits[Cde_Prdt], tbl_Produits[Prix Menu]), 0)</f>
        <v>0</v>
      </c>
      <c r="H2836" s="7">
        <f>IFERROR(_xlfn.XLOOKUP(tbl_Ventes[[#This Row],[Cde_Prdt]], tbl_Produits[Cde_Prdt], tbl_Produits[Coût Moyen Portion]), 0)</f>
        <v>0</v>
      </c>
      <c r="I2836" s="7">
        <f>tbl_Ventes[[#This Row],[Qté Vendue]] * tbl_Ventes[[#This Row],[CMP_par_portion]]</f>
        <v>0</v>
      </c>
      <c r="J2836" s="7">
        <f>tbl_Ventes[[#This Row],[CA ligne]] - tbl_Ventes[[#This Row],[Coût matière ligne]]</f>
        <v>0</v>
      </c>
      <c r="K2836" s="7" t="str">
        <f>IFERROR(INDEX(tbl_ProduitsRef[Famille], MATCH(tbl_Ventes[[#This Row],[Cde_Prdt]], tbl_Produits[Cde_Prdt], 0)), "")</f>
        <v/>
      </c>
    </row>
    <row r="2837" spans="1:11" x14ac:dyDescent="0.25">
      <c r="A2837" s="5"/>
      <c r="B2837" s="63" t="str">
        <f>IFERROR(TEXT(tbl_Ventes[[#This Row],[Date]],"mm-aaaa"),"")</f>
        <v>01-1900</v>
      </c>
      <c r="D2837" s="10" t="str">
        <f>IFERROR(
   INDEX(tbl_ProduitsRef[Cde_Prdt],MATCH(tbl_Ventes[[#This Row],[Produit]],tbl_ProduitsRef[Produit],0)),
   ""
)</f>
        <v/>
      </c>
      <c r="E2837" s="7">
        <v>0</v>
      </c>
      <c r="F2837" s="7" t="str">
        <f>IFERROR(
   INDEX(tbl_ProduitsRef[Prix Menu],MATCH(tbl_Ventes[[#This Row],[Produit]],tbl_ProduitsRef[Produit],0)),
   ""
)</f>
        <v/>
      </c>
      <c r="G2837" s="7">
        <f>tbl_Ventes[[#This Row],[Qté Vendue]] * IFERROR(_xlfn.XLOOKUP(tbl_Ventes[[#This Row],[Cde_Prdt]], tbl_Produits[Cde_Prdt], tbl_Produits[Prix Menu]), 0)</f>
        <v>0</v>
      </c>
      <c r="H2837" s="7">
        <f>IFERROR(_xlfn.XLOOKUP(tbl_Ventes[[#This Row],[Cde_Prdt]], tbl_Produits[Cde_Prdt], tbl_Produits[Coût Moyen Portion]), 0)</f>
        <v>0</v>
      </c>
      <c r="I2837" s="7">
        <f>tbl_Ventes[[#This Row],[Qté Vendue]] * tbl_Ventes[[#This Row],[CMP_par_portion]]</f>
        <v>0</v>
      </c>
      <c r="J2837" s="7">
        <f>tbl_Ventes[[#This Row],[CA ligne]] - tbl_Ventes[[#This Row],[Coût matière ligne]]</f>
        <v>0</v>
      </c>
      <c r="K2837" s="7" t="str">
        <f>IFERROR(INDEX(tbl_ProduitsRef[Famille], MATCH(tbl_Ventes[[#This Row],[Cde_Prdt]], tbl_Produits[Cde_Prdt], 0)), "")</f>
        <v/>
      </c>
    </row>
    <row r="2838" spans="1:11" x14ac:dyDescent="0.25">
      <c r="A2838" s="5"/>
      <c r="B2838" s="63" t="str">
        <f>IFERROR(TEXT(tbl_Ventes[[#This Row],[Date]],"mm-aaaa"),"")</f>
        <v>01-1900</v>
      </c>
      <c r="D2838" s="10" t="str">
        <f>IFERROR(
   INDEX(tbl_ProduitsRef[Cde_Prdt],MATCH(tbl_Ventes[[#This Row],[Produit]],tbl_ProduitsRef[Produit],0)),
   ""
)</f>
        <v/>
      </c>
      <c r="E2838" s="7">
        <v>0</v>
      </c>
      <c r="F2838" s="7" t="str">
        <f>IFERROR(
   INDEX(tbl_ProduitsRef[Prix Menu],MATCH(tbl_Ventes[[#This Row],[Produit]],tbl_ProduitsRef[Produit],0)),
   ""
)</f>
        <v/>
      </c>
      <c r="G2838" s="7">
        <f>tbl_Ventes[[#This Row],[Qté Vendue]] * IFERROR(_xlfn.XLOOKUP(tbl_Ventes[[#This Row],[Cde_Prdt]], tbl_Produits[Cde_Prdt], tbl_Produits[Prix Menu]), 0)</f>
        <v>0</v>
      </c>
      <c r="H2838" s="7">
        <f>IFERROR(_xlfn.XLOOKUP(tbl_Ventes[[#This Row],[Cde_Prdt]], tbl_Produits[Cde_Prdt], tbl_Produits[Coût Moyen Portion]), 0)</f>
        <v>0</v>
      </c>
      <c r="I2838" s="7">
        <f>tbl_Ventes[[#This Row],[Qté Vendue]] * tbl_Ventes[[#This Row],[CMP_par_portion]]</f>
        <v>0</v>
      </c>
      <c r="J2838" s="7">
        <f>tbl_Ventes[[#This Row],[CA ligne]] - tbl_Ventes[[#This Row],[Coût matière ligne]]</f>
        <v>0</v>
      </c>
      <c r="K2838" s="7" t="str">
        <f>IFERROR(INDEX(tbl_ProduitsRef[Famille], MATCH(tbl_Ventes[[#This Row],[Cde_Prdt]], tbl_Produits[Cde_Prdt], 0)), "")</f>
        <v/>
      </c>
    </row>
    <row r="2839" spans="1:11" x14ac:dyDescent="0.25">
      <c r="A2839" s="5"/>
      <c r="B2839" s="63" t="str">
        <f>IFERROR(TEXT(tbl_Ventes[[#This Row],[Date]],"mm-aaaa"),"")</f>
        <v>01-1900</v>
      </c>
      <c r="D2839" s="10" t="str">
        <f>IFERROR(
   INDEX(tbl_ProduitsRef[Cde_Prdt],MATCH(tbl_Ventes[[#This Row],[Produit]],tbl_ProduitsRef[Produit],0)),
   ""
)</f>
        <v/>
      </c>
      <c r="E2839" s="7">
        <v>0</v>
      </c>
      <c r="F2839" s="7" t="str">
        <f>IFERROR(
   INDEX(tbl_ProduitsRef[Prix Menu],MATCH(tbl_Ventes[[#This Row],[Produit]],tbl_ProduitsRef[Produit],0)),
   ""
)</f>
        <v/>
      </c>
      <c r="G2839" s="7">
        <f>tbl_Ventes[[#This Row],[Qté Vendue]] * IFERROR(_xlfn.XLOOKUP(tbl_Ventes[[#This Row],[Cde_Prdt]], tbl_Produits[Cde_Prdt], tbl_Produits[Prix Menu]), 0)</f>
        <v>0</v>
      </c>
      <c r="H2839" s="7">
        <f>IFERROR(_xlfn.XLOOKUP(tbl_Ventes[[#This Row],[Cde_Prdt]], tbl_Produits[Cde_Prdt], tbl_Produits[Coût Moyen Portion]), 0)</f>
        <v>0</v>
      </c>
      <c r="I2839" s="7">
        <f>tbl_Ventes[[#This Row],[Qté Vendue]] * tbl_Ventes[[#This Row],[CMP_par_portion]]</f>
        <v>0</v>
      </c>
      <c r="J2839" s="7">
        <f>tbl_Ventes[[#This Row],[CA ligne]] - tbl_Ventes[[#This Row],[Coût matière ligne]]</f>
        <v>0</v>
      </c>
      <c r="K2839" s="7" t="str">
        <f>IFERROR(INDEX(tbl_ProduitsRef[Famille], MATCH(tbl_Ventes[[#This Row],[Cde_Prdt]], tbl_Produits[Cde_Prdt], 0)), "")</f>
        <v/>
      </c>
    </row>
    <row r="2840" spans="1:11" x14ac:dyDescent="0.25">
      <c r="A2840" s="5"/>
      <c r="B2840" s="63" t="str">
        <f>IFERROR(TEXT(tbl_Ventes[[#This Row],[Date]],"mm-aaaa"),"")</f>
        <v>01-1900</v>
      </c>
      <c r="D2840" s="10" t="str">
        <f>IFERROR(
   INDEX(tbl_ProduitsRef[Cde_Prdt],MATCH(tbl_Ventes[[#This Row],[Produit]],tbl_ProduitsRef[Produit],0)),
   ""
)</f>
        <v/>
      </c>
      <c r="E2840" s="7">
        <v>0</v>
      </c>
      <c r="F2840" s="7" t="str">
        <f>IFERROR(
   INDEX(tbl_ProduitsRef[Prix Menu],MATCH(tbl_Ventes[[#This Row],[Produit]],tbl_ProduitsRef[Produit],0)),
   ""
)</f>
        <v/>
      </c>
      <c r="G2840" s="7">
        <f>tbl_Ventes[[#This Row],[Qté Vendue]] * IFERROR(_xlfn.XLOOKUP(tbl_Ventes[[#This Row],[Cde_Prdt]], tbl_Produits[Cde_Prdt], tbl_Produits[Prix Menu]), 0)</f>
        <v>0</v>
      </c>
      <c r="H2840" s="7">
        <f>IFERROR(_xlfn.XLOOKUP(tbl_Ventes[[#This Row],[Cde_Prdt]], tbl_Produits[Cde_Prdt], tbl_Produits[Coût Moyen Portion]), 0)</f>
        <v>0</v>
      </c>
      <c r="I2840" s="7">
        <f>tbl_Ventes[[#This Row],[Qté Vendue]] * tbl_Ventes[[#This Row],[CMP_par_portion]]</f>
        <v>0</v>
      </c>
      <c r="J2840" s="7">
        <f>tbl_Ventes[[#This Row],[CA ligne]] - tbl_Ventes[[#This Row],[Coût matière ligne]]</f>
        <v>0</v>
      </c>
      <c r="K2840" s="7" t="str">
        <f>IFERROR(INDEX(tbl_ProduitsRef[Famille], MATCH(tbl_Ventes[[#This Row],[Cde_Prdt]], tbl_Produits[Cde_Prdt], 0)), "")</f>
        <v/>
      </c>
    </row>
    <row r="2841" spans="1:11" x14ac:dyDescent="0.25">
      <c r="A2841" s="5"/>
      <c r="B2841" s="63" t="str">
        <f>IFERROR(TEXT(tbl_Ventes[[#This Row],[Date]],"mm-aaaa"),"")</f>
        <v>01-1900</v>
      </c>
      <c r="D2841" s="10" t="str">
        <f>IFERROR(
   INDEX(tbl_ProduitsRef[Cde_Prdt],MATCH(tbl_Ventes[[#This Row],[Produit]],tbl_ProduitsRef[Produit],0)),
   ""
)</f>
        <v/>
      </c>
      <c r="E2841" s="7">
        <v>0</v>
      </c>
      <c r="F2841" s="7" t="str">
        <f>IFERROR(
   INDEX(tbl_ProduitsRef[Prix Menu],MATCH(tbl_Ventes[[#This Row],[Produit]],tbl_ProduitsRef[Produit],0)),
   ""
)</f>
        <v/>
      </c>
      <c r="G2841" s="7">
        <f>tbl_Ventes[[#This Row],[Qté Vendue]] * IFERROR(_xlfn.XLOOKUP(tbl_Ventes[[#This Row],[Cde_Prdt]], tbl_Produits[Cde_Prdt], tbl_Produits[Prix Menu]), 0)</f>
        <v>0</v>
      </c>
      <c r="H2841" s="7">
        <f>IFERROR(_xlfn.XLOOKUP(tbl_Ventes[[#This Row],[Cde_Prdt]], tbl_Produits[Cde_Prdt], tbl_Produits[Coût Moyen Portion]), 0)</f>
        <v>0</v>
      </c>
      <c r="I2841" s="7">
        <f>tbl_Ventes[[#This Row],[Qté Vendue]] * tbl_Ventes[[#This Row],[CMP_par_portion]]</f>
        <v>0</v>
      </c>
      <c r="J2841" s="7">
        <f>tbl_Ventes[[#This Row],[CA ligne]] - tbl_Ventes[[#This Row],[Coût matière ligne]]</f>
        <v>0</v>
      </c>
      <c r="K2841" s="7" t="str">
        <f>IFERROR(INDEX(tbl_ProduitsRef[Famille], MATCH(tbl_Ventes[[#This Row],[Cde_Prdt]], tbl_Produits[Cde_Prdt], 0)), "")</f>
        <v/>
      </c>
    </row>
    <row r="2842" spans="1:11" x14ac:dyDescent="0.25">
      <c r="A2842" s="5"/>
      <c r="B2842" s="63" t="str">
        <f>IFERROR(TEXT(tbl_Ventes[[#This Row],[Date]],"mm-aaaa"),"")</f>
        <v>01-1900</v>
      </c>
      <c r="D2842" s="10" t="str">
        <f>IFERROR(
   INDEX(tbl_ProduitsRef[Cde_Prdt],MATCH(tbl_Ventes[[#This Row],[Produit]],tbl_ProduitsRef[Produit],0)),
   ""
)</f>
        <v/>
      </c>
      <c r="E2842" s="7">
        <v>0</v>
      </c>
      <c r="F2842" s="7" t="str">
        <f>IFERROR(
   INDEX(tbl_ProduitsRef[Prix Menu],MATCH(tbl_Ventes[[#This Row],[Produit]],tbl_ProduitsRef[Produit],0)),
   ""
)</f>
        <v/>
      </c>
      <c r="G2842" s="7">
        <f>tbl_Ventes[[#This Row],[Qté Vendue]] * IFERROR(_xlfn.XLOOKUP(tbl_Ventes[[#This Row],[Cde_Prdt]], tbl_Produits[Cde_Prdt], tbl_Produits[Prix Menu]), 0)</f>
        <v>0</v>
      </c>
      <c r="H2842" s="7">
        <f>IFERROR(_xlfn.XLOOKUP(tbl_Ventes[[#This Row],[Cde_Prdt]], tbl_Produits[Cde_Prdt], tbl_Produits[Coût Moyen Portion]), 0)</f>
        <v>0</v>
      </c>
      <c r="I2842" s="7">
        <f>tbl_Ventes[[#This Row],[Qté Vendue]] * tbl_Ventes[[#This Row],[CMP_par_portion]]</f>
        <v>0</v>
      </c>
      <c r="J2842" s="7">
        <f>tbl_Ventes[[#This Row],[CA ligne]] - tbl_Ventes[[#This Row],[Coût matière ligne]]</f>
        <v>0</v>
      </c>
      <c r="K2842" s="7" t="str">
        <f>IFERROR(INDEX(tbl_ProduitsRef[Famille], MATCH(tbl_Ventes[[#This Row],[Cde_Prdt]], tbl_Produits[Cde_Prdt], 0)), "")</f>
        <v/>
      </c>
    </row>
    <row r="2843" spans="1:11" x14ac:dyDescent="0.25">
      <c r="A2843" s="5"/>
      <c r="B2843" s="63" t="str">
        <f>IFERROR(TEXT(tbl_Ventes[[#This Row],[Date]],"mm-aaaa"),"")</f>
        <v>01-1900</v>
      </c>
      <c r="D2843" s="10" t="str">
        <f>IFERROR(
   INDEX(tbl_ProduitsRef[Cde_Prdt],MATCH(tbl_Ventes[[#This Row],[Produit]],tbl_ProduitsRef[Produit],0)),
   ""
)</f>
        <v/>
      </c>
      <c r="E2843" s="7">
        <v>0</v>
      </c>
      <c r="F2843" s="7" t="str">
        <f>IFERROR(
   INDEX(tbl_ProduitsRef[Prix Menu],MATCH(tbl_Ventes[[#This Row],[Produit]],tbl_ProduitsRef[Produit],0)),
   ""
)</f>
        <v/>
      </c>
      <c r="G2843" s="7">
        <f>tbl_Ventes[[#This Row],[Qté Vendue]] * IFERROR(_xlfn.XLOOKUP(tbl_Ventes[[#This Row],[Cde_Prdt]], tbl_Produits[Cde_Prdt], tbl_Produits[Prix Menu]), 0)</f>
        <v>0</v>
      </c>
      <c r="H2843" s="7">
        <f>IFERROR(_xlfn.XLOOKUP(tbl_Ventes[[#This Row],[Cde_Prdt]], tbl_Produits[Cde_Prdt], tbl_Produits[Coût Moyen Portion]), 0)</f>
        <v>0</v>
      </c>
      <c r="I2843" s="7">
        <f>tbl_Ventes[[#This Row],[Qté Vendue]] * tbl_Ventes[[#This Row],[CMP_par_portion]]</f>
        <v>0</v>
      </c>
      <c r="J2843" s="7">
        <f>tbl_Ventes[[#This Row],[CA ligne]] - tbl_Ventes[[#This Row],[Coût matière ligne]]</f>
        <v>0</v>
      </c>
      <c r="K2843" s="7" t="str">
        <f>IFERROR(INDEX(tbl_ProduitsRef[Famille], MATCH(tbl_Ventes[[#This Row],[Cde_Prdt]], tbl_Produits[Cde_Prdt], 0)), "")</f>
        <v/>
      </c>
    </row>
    <row r="2844" spans="1:11" x14ac:dyDescent="0.25">
      <c r="A2844" s="5"/>
      <c r="B2844" s="63" t="str">
        <f>IFERROR(TEXT(tbl_Ventes[[#This Row],[Date]],"mm-aaaa"),"")</f>
        <v>01-1900</v>
      </c>
      <c r="D2844" s="10" t="str">
        <f>IFERROR(
   INDEX(tbl_ProduitsRef[Cde_Prdt],MATCH(tbl_Ventes[[#This Row],[Produit]],tbl_ProduitsRef[Produit],0)),
   ""
)</f>
        <v/>
      </c>
      <c r="E2844" s="7">
        <v>0</v>
      </c>
      <c r="F2844" s="7" t="str">
        <f>IFERROR(
   INDEX(tbl_ProduitsRef[Prix Menu],MATCH(tbl_Ventes[[#This Row],[Produit]],tbl_ProduitsRef[Produit],0)),
   ""
)</f>
        <v/>
      </c>
      <c r="G2844" s="7">
        <f>tbl_Ventes[[#This Row],[Qté Vendue]] * IFERROR(_xlfn.XLOOKUP(tbl_Ventes[[#This Row],[Cde_Prdt]], tbl_Produits[Cde_Prdt], tbl_Produits[Prix Menu]), 0)</f>
        <v>0</v>
      </c>
      <c r="H2844" s="7">
        <f>IFERROR(_xlfn.XLOOKUP(tbl_Ventes[[#This Row],[Cde_Prdt]], tbl_Produits[Cde_Prdt], tbl_Produits[Coût Moyen Portion]), 0)</f>
        <v>0</v>
      </c>
      <c r="I2844" s="7">
        <f>tbl_Ventes[[#This Row],[Qté Vendue]] * tbl_Ventes[[#This Row],[CMP_par_portion]]</f>
        <v>0</v>
      </c>
      <c r="J2844" s="7">
        <f>tbl_Ventes[[#This Row],[CA ligne]] - tbl_Ventes[[#This Row],[Coût matière ligne]]</f>
        <v>0</v>
      </c>
      <c r="K2844" s="7" t="str">
        <f>IFERROR(INDEX(tbl_ProduitsRef[Famille], MATCH(tbl_Ventes[[#This Row],[Cde_Prdt]], tbl_Produits[Cde_Prdt], 0)), "")</f>
        <v/>
      </c>
    </row>
    <row r="2845" spans="1:11" x14ac:dyDescent="0.25">
      <c r="A2845" s="5"/>
      <c r="B2845" s="63" t="str">
        <f>IFERROR(TEXT(tbl_Ventes[[#This Row],[Date]],"mm-aaaa"),"")</f>
        <v>01-1900</v>
      </c>
      <c r="D2845" s="10" t="str">
        <f>IFERROR(
   INDEX(tbl_ProduitsRef[Cde_Prdt],MATCH(tbl_Ventes[[#This Row],[Produit]],tbl_ProduitsRef[Produit],0)),
   ""
)</f>
        <v/>
      </c>
      <c r="E2845" s="7">
        <v>0</v>
      </c>
      <c r="F2845" s="7" t="str">
        <f>IFERROR(
   INDEX(tbl_ProduitsRef[Prix Menu],MATCH(tbl_Ventes[[#This Row],[Produit]],tbl_ProduitsRef[Produit],0)),
   ""
)</f>
        <v/>
      </c>
      <c r="G2845" s="7">
        <f>tbl_Ventes[[#This Row],[Qté Vendue]] * IFERROR(_xlfn.XLOOKUP(tbl_Ventes[[#This Row],[Cde_Prdt]], tbl_Produits[Cde_Prdt], tbl_Produits[Prix Menu]), 0)</f>
        <v>0</v>
      </c>
      <c r="H2845" s="7">
        <f>IFERROR(_xlfn.XLOOKUP(tbl_Ventes[[#This Row],[Cde_Prdt]], tbl_Produits[Cde_Prdt], tbl_Produits[Coût Moyen Portion]), 0)</f>
        <v>0</v>
      </c>
      <c r="I2845" s="7">
        <f>tbl_Ventes[[#This Row],[Qté Vendue]] * tbl_Ventes[[#This Row],[CMP_par_portion]]</f>
        <v>0</v>
      </c>
      <c r="J2845" s="7">
        <f>tbl_Ventes[[#This Row],[CA ligne]] - tbl_Ventes[[#This Row],[Coût matière ligne]]</f>
        <v>0</v>
      </c>
      <c r="K2845" s="7" t="str">
        <f>IFERROR(INDEX(tbl_ProduitsRef[Famille], MATCH(tbl_Ventes[[#This Row],[Cde_Prdt]], tbl_Produits[Cde_Prdt], 0)), "")</f>
        <v/>
      </c>
    </row>
    <row r="2846" spans="1:11" x14ac:dyDescent="0.25">
      <c r="A2846" s="5"/>
      <c r="B2846" s="63" t="str">
        <f>IFERROR(TEXT(tbl_Ventes[[#This Row],[Date]],"mm-aaaa"),"")</f>
        <v>01-1900</v>
      </c>
      <c r="D2846" s="10" t="str">
        <f>IFERROR(
   INDEX(tbl_ProduitsRef[Cde_Prdt],MATCH(tbl_Ventes[[#This Row],[Produit]],tbl_ProduitsRef[Produit],0)),
   ""
)</f>
        <v/>
      </c>
      <c r="E2846" s="7">
        <v>0</v>
      </c>
      <c r="F2846" s="7" t="str">
        <f>IFERROR(
   INDEX(tbl_ProduitsRef[Prix Menu],MATCH(tbl_Ventes[[#This Row],[Produit]],tbl_ProduitsRef[Produit],0)),
   ""
)</f>
        <v/>
      </c>
      <c r="G2846" s="7">
        <f>tbl_Ventes[[#This Row],[Qté Vendue]] * IFERROR(_xlfn.XLOOKUP(tbl_Ventes[[#This Row],[Cde_Prdt]], tbl_Produits[Cde_Prdt], tbl_Produits[Prix Menu]), 0)</f>
        <v>0</v>
      </c>
      <c r="H2846" s="7">
        <f>IFERROR(_xlfn.XLOOKUP(tbl_Ventes[[#This Row],[Cde_Prdt]], tbl_Produits[Cde_Prdt], tbl_Produits[Coût Moyen Portion]), 0)</f>
        <v>0</v>
      </c>
      <c r="I2846" s="7">
        <f>tbl_Ventes[[#This Row],[Qté Vendue]] * tbl_Ventes[[#This Row],[CMP_par_portion]]</f>
        <v>0</v>
      </c>
      <c r="J2846" s="7">
        <f>tbl_Ventes[[#This Row],[CA ligne]] - tbl_Ventes[[#This Row],[Coût matière ligne]]</f>
        <v>0</v>
      </c>
      <c r="K2846" s="7" t="str">
        <f>IFERROR(INDEX(tbl_ProduitsRef[Famille], MATCH(tbl_Ventes[[#This Row],[Cde_Prdt]], tbl_Produits[Cde_Prdt], 0)), "")</f>
        <v/>
      </c>
    </row>
    <row r="2847" spans="1:11" x14ac:dyDescent="0.25">
      <c r="A2847" s="5"/>
      <c r="B2847" s="63" t="str">
        <f>IFERROR(TEXT(tbl_Ventes[[#This Row],[Date]],"mm-aaaa"),"")</f>
        <v>01-1900</v>
      </c>
      <c r="D2847" s="10" t="str">
        <f>IFERROR(
   INDEX(tbl_ProduitsRef[Cde_Prdt],MATCH(tbl_Ventes[[#This Row],[Produit]],tbl_ProduitsRef[Produit],0)),
   ""
)</f>
        <v/>
      </c>
      <c r="E2847" s="7">
        <v>0</v>
      </c>
      <c r="F2847" s="7" t="str">
        <f>IFERROR(
   INDEX(tbl_ProduitsRef[Prix Menu],MATCH(tbl_Ventes[[#This Row],[Produit]],tbl_ProduitsRef[Produit],0)),
   ""
)</f>
        <v/>
      </c>
      <c r="G2847" s="7">
        <f>tbl_Ventes[[#This Row],[Qté Vendue]] * IFERROR(_xlfn.XLOOKUP(tbl_Ventes[[#This Row],[Cde_Prdt]], tbl_Produits[Cde_Prdt], tbl_Produits[Prix Menu]), 0)</f>
        <v>0</v>
      </c>
      <c r="H2847" s="7">
        <f>IFERROR(_xlfn.XLOOKUP(tbl_Ventes[[#This Row],[Cde_Prdt]], tbl_Produits[Cde_Prdt], tbl_Produits[Coût Moyen Portion]), 0)</f>
        <v>0</v>
      </c>
      <c r="I2847" s="7">
        <f>tbl_Ventes[[#This Row],[Qté Vendue]] * tbl_Ventes[[#This Row],[CMP_par_portion]]</f>
        <v>0</v>
      </c>
      <c r="J2847" s="7">
        <f>tbl_Ventes[[#This Row],[CA ligne]] - tbl_Ventes[[#This Row],[Coût matière ligne]]</f>
        <v>0</v>
      </c>
      <c r="K2847" s="7" t="str">
        <f>IFERROR(INDEX(tbl_ProduitsRef[Famille], MATCH(tbl_Ventes[[#This Row],[Cde_Prdt]], tbl_Produits[Cde_Prdt], 0)), "")</f>
        <v/>
      </c>
    </row>
    <row r="2848" spans="1:11" x14ac:dyDescent="0.25">
      <c r="A2848" s="5"/>
      <c r="B2848" s="63" t="str">
        <f>IFERROR(TEXT(tbl_Ventes[[#This Row],[Date]],"mm-aaaa"),"")</f>
        <v>01-1900</v>
      </c>
      <c r="D2848" s="10" t="str">
        <f>IFERROR(
   INDEX(tbl_ProduitsRef[Cde_Prdt],MATCH(tbl_Ventes[[#This Row],[Produit]],tbl_ProduitsRef[Produit],0)),
   ""
)</f>
        <v/>
      </c>
      <c r="E2848" s="7">
        <v>0</v>
      </c>
      <c r="F2848" s="7" t="str">
        <f>IFERROR(
   INDEX(tbl_ProduitsRef[Prix Menu],MATCH(tbl_Ventes[[#This Row],[Produit]],tbl_ProduitsRef[Produit],0)),
   ""
)</f>
        <v/>
      </c>
      <c r="G2848" s="7">
        <f>tbl_Ventes[[#This Row],[Qté Vendue]] * IFERROR(_xlfn.XLOOKUP(tbl_Ventes[[#This Row],[Cde_Prdt]], tbl_Produits[Cde_Prdt], tbl_Produits[Prix Menu]), 0)</f>
        <v>0</v>
      </c>
      <c r="H2848" s="7">
        <f>IFERROR(_xlfn.XLOOKUP(tbl_Ventes[[#This Row],[Cde_Prdt]], tbl_Produits[Cde_Prdt], tbl_Produits[Coût Moyen Portion]), 0)</f>
        <v>0</v>
      </c>
      <c r="I2848" s="7">
        <f>tbl_Ventes[[#This Row],[Qté Vendue]] * tbl_Ventes[[#This Row],[CMP_par_portion]]</f>
        <v>0</v>
      </c>
      <c r="J2848" s="7">
        <f>tbl_Ventes[[#This Row],[CA ligne]] - tbl_Ventes[[#This Row],[Coût matière ligne]]</f>
        <v>0</v>
      </c>
      <c r="K2848" s="7" t="str">
        <f>IFERROR(INDEX(tbl_ProduitsRef[Famille], MATCH(tbl_Ventes[[#This Row],[Cde_Prdt]], tbl_Produits[Cde_Prdt], 0)), "")</f>
        <v/>
      </c>
    </row>
    <row r="2849" spans="1:11" x14ac:dyDescent="0.25">
      <c r="A2849" s="5"/>
      <c r="B2849" s="63" t="str">
        <f>IFERROR(TEXT(tbl_Ventes[[#This Row],[Date]],"mm-aaaa"),"")</f>
        <v>01-1900</v>
      </c>
      <c r="D2849" s="10" t="str">
        <f>IFERROR(
   INDEX(tbl_ProduitsRef[Cde_Prdt],MATCH(tbl_Ventes[[#This Row],[Produit]],tbl_ProduitsRef[Produit],0)),
   ""
)</f>
        <v/>
      </c>
      <c r="E2849" s="7">
        <v>0</v>
      </c>
      <c r="F2849" s="7" t="str">
        <f>IFERROR(
   INDEX(tbl_ProduitsRef[Prix Menu],MATCH(tbl_Ventes[[#This Row],[Produit]],tbl_ProduitsRef[Produit],0)),
   ""
)</f>
        <v/>
      </c>
      <c r="G2849" s="7">
        <f>tbl_Ventes[[#This Row],[Qté Vendue]] * IFERROR(_xlfn.XLOOKUP(tbl_Ventes[[#This Row],[Cde_Prdt]], tbl_Produits[Cde_Prdt], tbl_Produits[Prix Menu]), 0)</f>
        <v>0</v>
      </c>
      <c r="H2849" s="7">
        <f>IFERROR(_xlfn.XLOOKUP(tbl_Ventes[[#This Row],[Cde_Prdt]], tbl_Produits[Cde_Prdt], tbl_Produits[Coût Moyen Portion]), 0)</f>
        <v>0</v>
      </c>
      <c r="I2849" s="7">
        <f>tbl_Ventes[[#This Row],[Qté Vendue]] * tbl_Ventes[[#This Row],[CMP_par_portion]]</f>
        <v>0</v>
      </c>
      <c r="J2849" s="7">
        <f>tbl_Ventes[[#This Row],[CA ligne]] - tbl_Ventes[[#This Row],[Coût matière ligne]]</f>
        <v>0</v>
      </c>
      <c r="K2849" s="7" t="str">
        <f>IFERROR(INDEX(tbl_ProduitsRef[Famille], MATCH(tbl_Ventes[[#This Row],[Cde_Prdt]], tbl_Produits[Cde_Prdt], 0)), "")</f>
        <v/>
      </c>
    </row>
    <row r="2850" spans="1:11" x14ac:dyDescent="0.25">
      <c r="A2850" s="5"/>
      <c r="B2850" s="63" t="str">
        <f>IFERROR(TEXT(tbl_Ventes[[#This Row],[Date]],"mm-aaaa"),"")</f>
        <v>01-1900</v>
      </c>
      <c r="D2850" s="10" t="str">
        <f>IFERROR(
   INDEX(tbl_ProduitsRef[Cde_Prdt],MATCH(tbl_Ventes[[#This Row],[Produit]],tbl_ProduitsRef[Produit],0)),
   ""
)</f>
        <v/>
      </c>
      <c r="E2850" s="7">
        <v>0</v>
      </c>
      <c r="F2850" s="7" t="str">
        <f>IFERROR(
   INDEX(tbl_ProduitsRef[Prix Menu],MATCH(tbl_Ventes[[#This Row],[Produit]],tbl_ProduitsRef[Produit],0)),
   ""
)</f>
        <v/>
      </c>
      <c r="G2850" s="7">
        <f>tbl_Ventes[[#This Row],[Qté Vendue]] * IFERROR(_xlfn.XLOOKUP(tbl_Ventes[[#This Row],[Cde_Prdt]], tbl_Produits[Cde_Prdt], tbl_Produits[Prix Menu]), 0)</f>
        <v>0</v>
      </c>
      <c r="H2850" s="7">
        <f>IFERROR(_xlfn.XLOOKUP(tbl_Ventes[[#This Row],[Cde_Prdt]], tbl_Produits[Cde_Prdt], tbl_Produits[Coût Moyen Portion]), 0)</f>
        <v>0</v>
      </c>
      <c r="I2850" s="7">
        <f>tbl_Ventes[[#This Row],[Qté Vendue]] * tbl_Ventes[[#This Row],[CMP_par_portion]]</f>
        <v>0</v>
      </c>
      <c r="J2850" s="7">
        <f>tbl_Ventes[[#This Row],[CA ligne]] - tbl_Ventes[[#This Row],[Coût matière ligne]]</f>
        <v>0</v>
      </c>
      <c r="K2850" s="7" t="str">
        <f>IFERROR(INDEX(tbl_ProduitsRef[Famille], MATCH(tbl_Ventes[[#This Row],[Cde_Prdt]], tbl_Produits[Cde_Prdt], 0)), "")</f>
        <v/>
      </c>
    </row>
    <row r="2851" spans="1:11" x14ac:dyDescent="0.25">
      <c r="A2851" s="5"/>
      <c r="B2851" s="63" t="str">
        <f>IFERROR(TEXT(tbl_Ventes[[#This Row],[Date]],"mm-aaaa"),"")</f>
        <v>01-1900</v>
      </c>
      <c r="D2851" s="10" t="str">
        <f>IFERROR(
   INDEX(tbl_ProduitsRef[Cde_Prdt],MATCH(tbl_Ventes[[#This Row],[Produit]],tbl_ProduitsRef[Produit],0)),
   ""
)</f>
        <v/>
      </c>
      <c r="E2851" s="7">
        <v>0</v>
      </c>
      <c r="F2851" s="7" t="str">
        <f>IFERROR(
   INDEX(tbl_ProduitsRef[Prix Menu],MATCH(tbl_Ventes[[#This Row],[Produit]],tbl_ProduitsRef[Produit],0)),
   ""
)</f>
        <v/>
      </c>
      <c r="G2851" s="7">
        <f>tbl_Ventes[[#This Row],[Qté Vendue]] * IFERROR(_xlfn.XLOOKUP(tbl_Ventes[[#This Row],[Cde_Prdt]], tbl_Produits[Cde_Prdt], tbl_Produits[Prix Menu]), 0)</f>
        <v>0</v>
      </c>
      <c r="H2851" s="7">
        <f>IFERROR(_xlfn.XLOOKUP(tbl_Ventes[[#This Row],[Cde_Prdt]], tbl_Produits[Cde_Prdt], tbl_Produits[Coût Moyen Portion]), 0)</f>
        <v>0</v>
      </c>
      <c r="I2851" s="7">
        <f>tbl_Ventes[[#This Row],[Qté Vendue]] * tbl_Ventes[[#This Row],[CMP_par_portion]]</f>
        <v>0</v>
      </c>
      <c r="J2851" s="7">
        <f>tbl_Ventes[[#This Row],[CA ligne]] - tbl_Ventes[[#This Row],[Coût matière ligne]]</f>
        <v>0</v>
      </c>
      <c r="K2851" s="7" t="str">
        <f>IFERROR(INDEX(tbl_ProduitsRef[Famille], MATCH(tbl_Ventes[[#This Row],[Cde_Prdt]], tbl_Produits[Cde_Prdt], 0)), "")</f>
        <v/>
      </c>
    </row>
    <row r="2852" spans="1:11" x14ac:dyDescent="0.25">
      <c r="A2852" s="5"/>
      <c r="B2852" s="63" t="str">
        <f>IFERROR(TEXT(tbl_Ventes[[#This Row],[Date]],"mm-aaaa"),"")</f>
        <v>01-1900</v>
      </c>
      <c r="D2852" s="10" t="str">
        <f>IFERROR(
   INDEX(tbl_ProduitsRef[Cde_Prdt],MATCH(tbl_Ventes[[#This Row],[Produit]],tbl_ProduitsRef[Produit],0)),
   ""
)</f>
        <v/>
      </c>
      <c r="E2852" s="7">
        <v>0</v>
      </c>
      <c r="F2852" s="7" t="str">
        <f>IFERROR(
   INDEX(tbl_ProduitsRef[Prix Menu],MATCH(tbl_Ventes[[#This Row],[Produit]],tbl_ProduitsRef[Produit],0)),
   ""
)</f>
        <v/>
      </c>
      <c r="G2852" s="7">
        <f>tbl_Ventes[[#This Row],[Qté Vendue]] * IFERROR(_xlfn.XLOOKUP(tbl_Ventes[[#This Row],[Cde_Prdt]], tbl_Produits[Cde_Prdt], tbl_Produits[Prix Menu]), 0)</f>
        <v>0</v>
      </c>
      <c r="H2852" s="7">
        <f>IFERROR(_xlfn.XLOOKUP(tbl_Ventes[[#This Row],[Cde_Prdt]], tbl_Produits[Cde_Prdt], tbl_Produits[Coût Moyen Portion]), 0)</f>
        <v>0</v>
      </c>
      <c r="I2852" s="7">
        <f>tbl_Ventes[[#This Row],[Qté Vendue]] * tbl_Ventes[[#This Row],[CMP_par_portion]]</f>
        <v>0</v>
      </c>
      <c r="J2852" s="7">
        <f>tbl_Ventes[[#This Row],[CA ligne]] - tbl_Ventes[[#This Row],[Coût matière ligne]]</f>
        <v>0</v>
      </c>
      <c r="K2852" s="7" t="str">
        <f>IFERROR(INDEX(tbl_ProduitsRef[Famille], MATCH(tbl_Ventes[[#This Row],[Cde_Prdt]], tbl_Produits[Cde_Prdt], 0)), "")</f>
        <v/>
      </c>
    </row>
    <row r="2853" spans="1:11" x14ac:dyDescent="0.25">
      <c r="A2853" s="5"/>
      <c r="B2853" s="63" t="str">
        <f>IFERROR(TEXT(tbl_Ventes[[#This Row],[Date]],"mm-aaaa"),"")</f>
        <v>01-1900</v>
      </c>
      <c r="D2853" s="10" t="str">
        <f>IFERROR(
   INDEX(tbl_ProduitsRef[Cde_Prdt],MATCH(tbl_Ventes[[#This Row],[Produit]],tbl_ProduitsRef[Produit],0)),
   ""
)</f>
        <v/>
      </c>
      <c r="E2853" s="7">
        <v>0</v>
      </c>
      <c r="F2853" s="7" t="str">
        <f>IFERROR(
   INDEX(tbl_ProduitsRef[Prix Menu],MATCH(tbl_Ventes[[#This Row],[Produit]],tbl_ProduitsRef[Produit],0)),
   ""
)</f>
        <v/>
      </c>
      <c r="G2853" s="7">
        <f>tbl_Ventes[[#This Row],[Qté Vendue]] * IFERROR(_xlfn.XLOOKUP(tbl_Ventes[[#This Row],[Cde_Prdt]], tbl_Produits[Cde_Prdt], tbl_Produits[Prix Menu]), 0)</f>
        <v>0</v>
      </c>
      <c r="H2853" s="7">
        <f>IFERROR(_xlfn.XLOOKUP(tbl_Ventes[[#This Row],[Cde_Prdt]], tbl_Produits[Cde_Prdt], tbl_Produits[Coût Moyen Portion]), 0)</f>
        <v>0</v>
      </c>
      <c r="I2853" s="7">
        <f>tbl_Ventes[[#This Row],[Qté Vendue]] * tbl_Ventes[[#This Row],[CMP_par_portion]]</f>
        <v>0</v>
      </c>
      <c r="J2853" s="7">
        <f>tbl_Ventes[[#This Row],[CA ligne]] - tbl_Ventes[[#This Row],[Coût matière ligne]]</f>
        <v>0</v>
      </c>
      <c r="K2853" s="7" t="str">
        <f>IFERROR(INDEX(tbl_ProduitsRef[Famille], MATCH(tbl_Ventes[[#This Row],[Cde_Prdt]], tbl_Produits[Cde_Prdt], 0)), "")</f>
        <v/>
      </c>
    </row>
    <row r="2854" spans="1:11" x14ac:dyDescent="0.25">
      <c r="A2854" s="5"/>
      <c r="B2854" s="63" t="str">
        <f>IFERROR(TEXT(tbl_Ventes[[#This Row],[Date]],"mm-aaaa"),"")</f>
        <v>01-1900</v>
      </c>
      <c r="D2854" s="10" t="str">
        <f>IFERROR(
   INDEX(tbl_ProduitsRef[Cde_Prdt],MATCH(tbl_Ventes[[#This Row],[Produit]],tbl_ProduitsRef[Produit],0)),
   ""
)</f>
        <v/>
      </c>
      <c r="E2854" s="7">
        <v>0</v>
      </c>
      <c r="F2854" s="7" t="str">
        <f>IFERROR(
   INDEX(tbl_ProduitsRef[Prix Menu],MATCH(tbl_Ventes[[#This Row],[Produit]],tbl_ProduitsRef[Produit],0)),
   ""
)</f>
        <v/>
      </c>
      <c r="G2854" s="7">
        <f>tbl_Ventes[[#This Row],[Qté Vendue]] * IFERROR(_xlfn.XLOOKUP(tbl_Ventes[[#This Row],[Cde_Prdt]], tbl_Produits[Cde_Prdt], tbl_Produits[Prix Menu]), 0)</f>
        <v>0</v>
      </c>
      <c r="H2854" s="7">
        <f>IFERROR(_xlfn.XLOOKUP(tbl_Ventes[[#This Row],[Cde_Prdt]], tbl_Produits[Cde_Prdt], tbl_Produits[Coût Moyen Portion]), 0)</f>
        <v>0</v>
      </c>
      <c r="I2854" s="7">
        <f>tbl_Ventes[[#This Row],[Qté Vendue]] * tbl_Ventes[[#This Row],[CMP_par_portion]]</f>
        <v>0</v>
      </c>
      <c r="J2854" s="7">
        <f>tbl_Ventes[[#This Row],[CA ligne]] - tbl_Ventes[[#This Row],[Coût matière ligne]]</f>
        <v>0</v>
      </c>
      <c r="K2854" s="7" t="str">
        <f>IFERROR(INDEX(tbl_ProduitsRef[Famille], MATCH(tbl_Ventes[[#This Row],[Cde_Prdt]], tbl_Produits[Cde_Prdt], 0)), "")</f>
        <v/>
      </c>
    </row>
    <row r="2855" spans="1:11" x14ac:dyDescent="0.25">
      <c r="A2855" s="5"/>
      <c r="B2855" s="63" t="str">
        <f>IFERROR(TEXT(tbl_Ventes[[#This Row],[Date]],"mm-aaaa"),"")</f>
        <v>01-1900</v>
      </c>
      <c r="D2855" s="10" t="str">
        <f>IFERROR(
   INDEX(tbl_ProduitsRef[Cde_Prdt],MATCH(tbl_Ventes[[#This Row],[Produit]],tbl_ProduitsRef[Produit],0)),
   ""
)</f>
        <v/>
      </c>
      <c r="E2855" s="7">
        <v>0</v>
      </c>
      <c r="F2855" s="7" t="str">
        <f>IFERROR(
   INDEX(tbl_ProduitsRef[Prix Menu],MATCH(tbl_Ventes[[#This Row],[Produit]],tbl_ProduitsRef[Produit],0)),
   ""
)</f>
        <v/>
      </c>
      <c r="G2855" s="7">
        <f>tbl_Ventes[[#This Row],[Qté Vendue]] * IFERROR(_xlfn.XLOOKUP(tbl_Ventes[[#This Row],[Cde_Prdt]], tbl_Produits[Cde_Prdt], tbl_Produits[Prix Menu]), 0)</f>
        <v>0</v>
      </c>
      <c r="H2855" s="7">
        <f>IFERROR(_xlfn.XLOOKUP(tbl_Ventes[[#This Row],[Cde_Prdt]], tbl_Produits[Cde_Prdt], tbl_Produits[Coût Moyen Portion]), 0)</f>
        <v>0</v>
      </c>
      <c r="I2855" s="7">
        <f>tbl_Ventes[[#This Row],[Qté Vendue]] * tbl_Ventes[[#This Row],[CMP_par_portion]]</f>
        <v>0</v>
      </c>
      <c r="J2855" s="7">
        <f>tbl_Ventes[[#This Row],[CA ligne]] - tbl_Ventes[[#This Row],[Coût matière ligne]]</f>
        <v>0</v>
      </c>
      <c r="K2855" s="7" t="str">
        <f>IFERROR(INDEX(tbl_ProduitsRef[Famille], MATCH(tbl_Ventes[[#This Row],[Cde_Prdt]], tbl_Produits[Cde_Prdt], 0)), "")</f>
        <v/>
      </c>
    </row>
    <row r="2856" spans="1:11" x14ac:dyDescent="0.25">
      <c r="A2856" s="5"/>
      <c r="B2856" s="63" t="str">
        <f>IFERROR(TEXT(tbl_Ventes[[#This Row],[Date]],"mm-aaaa"),"")</f>
        <v>01-1900</v>
      </c>
      <c r="D2856" s="10" t="str">
        <f>IFERROR(
   INDEX(tbl_ProduitsRef[Cde_Prdt],MATCH(tbl_Ventes[[#This Row],[Produit]],tbl_ProduitsRef[Produit],0)),
   ""
)</f>
        <v/>
      </c>
      <c r="E2856" s="7">
        <v>0</v>
      </c>
      <c r="F2856" s="7" t="str">
        <f>IFERROR(
   INDEX(tbl_ProduitsRef[Prix Menu],MATCH(tbl_Ventes[[#This Row],[Produit]],tbl_ProduitsRef[Produit],0)),
   ""
)</f>
        <v/>
      </c>
      <c r="G2856" s="7">
        <f>tbl_Ventes[[#This Row],[Qté Vendue]] * IFERROR(_xlfn.XLOOKUP(tbl_Ventes[[#This Row],[Cde_Prdt]], tbl_Produits[Cde_Prdt], tbl_Produits[Prix Menu]), 0)</f>
        <v>0</v>
      </c>
      <c r="H2856" s="7">
        <f>IFERROR(_xlfn.XLOOKUP(tbl_Ventes[[#This Row],[Cde_Prdt]], tbl_Produits[Cde_Prdt], tbl_Produits[Coût Moyen Portion]), 0)</f>
        <v>0</v>
      </c>
      <c r="I2856" s="7">
        <f>tbl_Ventes[[#This Row],[Qté Vendue]] * tbl_Ventes[[#This Row],[CMP_par_portion]]</f>
        <v>0</v>
      </c>
      <c r="J2856" s="7">
        <f>tbl_Ventes[[#This Row],[CA ligne]] - tbl_Ventes[[#This Row],[Coût matière ligne]]</f>
        <v>0</v>
      </c>
      <c r="K2856" s="7" t="str">
        <f>IFERROR(INDEX(tbl_ProduitsRef[Famille], MATCH(tbl_Ventes[[#This Row],[Cde_Prdt]], tbl_Produits[Cde_Prdt], 0)), "")</f>
        <v/>
      </c>
    </row>
    <row r="2857" spans="1:11" x14ac:dyDescent="0.25">
      <c r="A2857" s="5"/>
      <c r="B2857" s="63" t="str">
        <f>IFERROR(TEXT(tbl_Ventes[[#This Row],[Date]],"mm-aaaa"),"")</f>
        <v>01-1900</v>
      </c>
      <c r="D2857" s="10" t="str">
        <f>IFERROR(
   INDEX(tbl_ProduitsRef[Cde_Prdt],MATCH(tbl_Ventes[[#This Row],[Produit]],tbl_ProduitsRef[Produit],0)),
   ""
)</f>
        <v/>
      </c>
      <c r="E2857" s="7">
        <v>0</v>
      </c>
      <c r="F2857" s="7" t="str">
        <f>IFERROR(
   INDEX(tbl_ProduitsRef[Prix Menu],MATCH(tbl_Ventes[[#This Row],[Produit]],tbl_ProduitsRef[Produit],0)),
   ""
)</f>
        <v/>
      </c>
      <c r="G2857" s="7">
        <f>tbl_Ventes[[#This Row],[Qté Vendue]] * IFERROR(_xlfn.XLOOKUP(tbl_Ventes[[#This Row],[Cde_Prdt]], tbl_Produits[Cde_Prdt], tbl_Produits[Prix Menu]), 0)</f>
        <v>0</v>
      </c>
      <c r="H2857" s="7">
        <f>IFERROR(_xlfn.XLOOKUP(tbl_Ventes[[#This Row],[Cde_Prdt]], tbl_Produits[Cde_Prdt], tbl_Produits[Coût Moyen Portion]), 0)</f>
        <v>0</v>
      </c>
      <c r="I2857" s="7">
        <f>tbl_Ventes[[#This Row],[Qté Vendue]] * tbl_Ventes[[#This Row],[CMP_par_portion]]</f>
        <v>0</v>
      </c>
      <c r="J2857" s="7">
        <f>tbl_Ventes[[#This Row],[CA ligne]] - tbl_Ventes[[#This Row],[Coût matière ligne]]</f>
        <v>0</v>
      </c>
      <c r="K2857" s="7" t="str">
        <f>IFERROR(INDEX(tbl_ProduitsRef[Famille], MATCH(tbl_Ventes[[#This Row],[Cde_Prdt]], tbl_Produits[Cde_Prdt], 0)), "")</f>
        <v/>
      </c>
    </row>
    <row r="2858" spans="1:11" x14ac:dyDescent="0.25">
      <c r="A2858" s="5"/>
      <c r="B2858" s="63" t="str">
        <f>IFERROR(TEXT(tbl_Ventes[[#This Row],[Date]],"mm-aaaa"),"")</f>
        <v>01-1900</v>
      </c>
      <c r="D2858" s="10" t="str">
        <f>IFERROR(
   INDEX(tbl_ProduitsRef[Cde_Prdt],MATCH(tbl_Ventes[[#This Row],[Produit]],tbl_ProduitsRef[Produit],0)),
   ""
)</f>
        <v/>
      </c>
      <c r="E2858" s="7">
        <v>0</v>
      </c>
      <c r="F2858" s="7" t="str">
        <f>IFERROR(
   INDEX(tbl_ProduitsRef[Prix Menu],MATCH(tbl_Ventes[[#This Row],[Produit]],tbl_ProduitsRef[Produit],0)),
   ""
)</f>
        <v/>
      </c>
      <c r="G2858" s="7">
        <f>tbl_Ventes[[#This Row],[Qté Vendue]] * IFERROR(_xlfn.XLOOKUP(tbl_Ventes[[#This Row],[Cde_Prdt]], tbl_Produits[Cde_Prdt], tbl_Produits[Prix Menu]), 0)</f>
        <v>0</v>
      </c>
      <c r="H2858" s="7">
        <f>IFERROR(_xlfn.XLOOKUP(tbl_Ventes[[#This Row],[Cde_Prdt]], tbl_Produits[Cde_Prdt], tbl_Produits[Coût Moyen Portion]), 0)</f>
        <v>0</v>
      </c>
      <c r="I2858" s="7">
        <f>tbl_Ventes[[#This Row],[Qté Vendue]] * tbl_Ventes[[#This Row],[CMP_par_portion]]</f>
        <v>0</v>
      </c>
      <c r="J2858" s="7">
        <f>tbl_Ventes[[#This Row],[CA ligne]] - tbl_Ventes[[#This Row],[Coût matière ligne]]</f>
        <v>0</v>
      </c>
      <c r="K2858" s="7" t="str">
        <f>IFERROR(INDEX(tbl_ProduitsRef[Famille], MATCH(tbl_Ventes[[#This Row],[Cde_Prdt]], tbl_Produits[Cde_Prdt], 0)), "")</f>
        <v/>
      </c>
    </row>
    <row r="2859" spans="1:11" x14ac:dyDescent="0.25">
      <c r="A2859" s="5"/>
      <c r="B2859" s="63" t="str">
        <f>IFERROR(TEXT(tbl_Ventes[[#This Row],[Date]],"mm-aaaa"),"")</f>
        <v>01-1900</v>
      </c>
      <c r="D2859" s="10" t="str">
        <f>IFERROR(
   INDEX(tbl_ProduitsRef[Cde_Prdt],MATCH(tbl_Ventes[[#This Row],[Produit]],tbl_ProduitsRef[Produit],0)),
   ""
)</f>
        <v/>
      </c>
      <c r="E2859" s="7">
        <v>0</v>
      </c>
      <c r="F2859" s="7" t="str">
        <f>IFERROR(
   INDEX(tbl_ProduitsRef[Prix Menu],MATCH(tbl_Ventes[[#This Row],[Produit]],tbl_ProduitsRef[Produit],0)),
   ""
)</f>
        <v/>
      </c>
      <c r="G2859" s="7">
        <f>tbl_Ventes[[#This Row],[Qté Vendue]] * IFERROR(_xlfn.XLOOKUP(tbl_Ventes[[#This Row],[Cde_Prdt]], tbl_Produits[Cde_Prdt], tbl_Produits[Prix Menu]), 0)</f>
        <v>0</v>
      </c>
      <c r="H2859" s="7">
        <f>IFERROR(_xlfn.XLOOKUP(tbl_Ventes[[#This Row],[Cde_Prdt]], tbl_Produits[Cde_Prdt], tbl_Produits[Coût Moyen Portion]), 0)</f>
        <v>0</v>
      </c>
      <c r="I2859" s="7">
        <f>tbl_Ventes[[#This Row],[Qté Vendue]] * tbl_Ventes[[#This Row],[CMP_par_portion]]</f>
        <v>0</v>
      </c>
      <c r="J2859" s="7">
        <f>tbl_Ventes[[#This Row],[CA ligne]] - tbl_Ventes[[#This Row],[Coût matière ligne]]</f>
        <v>0</v>
      </c>
      <c r="K2859" s="7" t="str">
        <f>IFERROR(INDEX(tbl_ProduitsRef[Famille], MATCH(tbl_Ventes[[#This Row],[Cde_Prdt]], tbl_Produits[Cde_Prdt], 0)), "")</f>
        <v/>
      </c>
    </row>
    <row r="2860" spans="1:11" x14ac:dyDescent="0.25">
      <c r="A2860" s="5"/>
      <c r="B2860" s="63" t="str">
        <f>IFERROR(TEXT(tbl_Ventes[[#This Row],[Date]],"mm-aaaa"),"")</f>
        <v>01-1900</v>
      </c>
      <c r="D2860" s="10" t="str">
        <f>IFERROR(
   INDEX(tbl_ProduitsRef[Cde_Prdt],MATCH(tbl_Ventes[[#This Row],[Produit]],tbl_ProduitsRef[Produit],0)),
   ""
)</f>
        <v/>
      </c>
      <c r="E2860" s="7">
        <v>0</v>
      </c>
      <c r="F2860" s="7" t="str">
        <f>IFERROR(
   INDEX(tbl_ProduitsRef[Prix Menu],MATCH(tbl_Ventes[[#This Row],[Produit]],tbl_ProduitsRef[Produit],0)),
   ""
)</f>
        <v/>
      </c>
      <c r="G2860" s="7">
        <f>tbl_Ventes[[#This Row],[Qté Vendue]] * IFERROR(_xlfn.XLOOKUP(tbl_Ventes[[#This Row],[Cde_Prdt]], tbl_Produits[Cde_Prdt], tbl_Produits[Prix Menu]), 0)</f>
        <v>0</v>
      </c>
      <c r="H2860" s="7">
        <f>IFERROR(_xlfn.XLOOKUP(tbl_Ventes[[#This Row],[Cde_Prdt]], tbl_Produits[Cde_Prdt], tbl_Produits[Coût Moyen Portion]), 0)</f>
        <v>0</v>
      </c>
      <c r="I2860" s="7">
        <f>tbl_Ventes[[#This Row],[Qté Vendue]] * tbl_Ventes[[#This Row],[CMP_par_portion]]</f>
        <v>0</v>
      </c>
      <c r="J2860" s="7">
        <f>tbl_Ventes[[#This Row],[CA ligne]] - tbl_Ventes[[#This Row],[Coût matière ligne]]</f>
        <v>0</v>
      </c>
      <c r="K2860" s="7" t="str">
        <f>IFERROR(INDEX(tbl_ProduitsRef[Famille], MATCH(tbl_Ventes[[#This Row],[Cde_Prdt]], tbl_Produits[Cde_Prdt], 0)), "")</f>
        <v/>
      </c>
    </row>
    <row r="2861" spans="1:11" x14ac:dyDescent="0.25">
      <c r="A2861" s="5"/>
      <c r="B2861" s="63" t="str">
        <f>IFERROR(TEXT(tbl_Ventes[[#This Row],[Date]],"mm-aaaa"),"")</f>
        <v>01-1900</v>
      </c>
      <c r="D2861" s="10" t="str">
        <f>IFERROR(
   INDEX(tbl_ProduitsRef[Cde_Prdt],MATCH(tbl_Ventes[[#This Row],[Produit]],tbl_ProduitsRef[Produit],0)),
   ""
)</f>
        <v/>
      </c>
      <c r="E2861" s="7">
        <v>0</v>
      </c>
      <c r="F2861" s="7" t="str">
        <f>IFERROR(
   INDEX(tbl_ProduitsRef[Prix Menu],MATCH(tbl_Ventes[[#This Row],[Produit]],tbl_ProduitsRef[Produit],0)),
   ""
)</f>
        <v/>
      </c>
      <c r="G2861" s="7">
        <f>tbl_Ventes[[#This Row],[Qté Vendue]] * IFERROR(_xlfn.XLOOKUP(tbl_Ventes[[#This Row],[Cde_Prdt]], tbl_Produits[Cde_Prdt], tbl_Produits[Prix Menu]), 0)</f>
        <v>0</v>
      </c>
      <c r="H2861" s="7">
        <f>IFERROR(_xlfn.XLOOKUP(tbl_Ventes[[#This Row],[Cde_Prdt]], tbl_Produits[Cde_Prdt], tbl_Produits[Coût Moyen Portion]), 0)</f>
        <v>0</v>
      </c>
      <c r="I2861" s="7">
        <f>tbl_Ventes[[#This Row],[Qté Vendue]] * tbl_Ventes[[#This Row],[CMP_par_portion]]</f>
        <v>0</v>
      </c>
      <c r="J2861" s="7">
        <f>tbl_Ventes[[#This Row],[CA ligne]] - tbl_Ventes[[#This Row],[Coût matière ligne]]</f>
        <v>0</v>
      </c>
      <c r="K2861" s="7" t="str">
        <f>IFERROR(INDEX(tbl_ProduitsRef[Famille], MATCH(tbl_Ventes[[#This Row],[Cde_Prdt]], tbl_Produits[Cde_Prdt], 0)), "")</f>
        <v/>
      </c>
    </row>
    <row r="2862" spans="1:11" x14ac:dyDescent="0.25">
      <c r="A2862" s="5"/>
      <c r="B2862" s="63" t="str">
        <f>IFERROR(TEXT(tbl_Ventes[[#This Row],[Date]],"mm-aaaa"),"")</f>
        <v>01-1900</v>
      </c>
      <c r="D2862" s="10" t="str">
        <f>IFERROR(
   INDEX(tbl_ProduitsRef[Cde_Prdt],MATCH(tbl_Ventes[[#This Row],[Produit]],tbl_ProduitsRef[Produit],0)),
   ""
)</f>
        <v/>
      </c>
      <c r="E2862" s="7">
        <v>0</v>
      </c>
      <c r="F2862" s="7" t="str">
        <f>IFERROR(
   INDEX(tbl_ProduitsRef[Prix Menu],MATCH(tbl_Ventes[[#This Row],[Produit]],tbl_ProduitsRef[Produit],0)),
   ""
)</f>
        <v/>
      </c>
      <c r="G2862" s="7">
        <f>tbl_Ventes[[#This Row],[Qté Vendue]] * IFERROR(_xlfn.XLOOKUP(tbl_Ventes[[#This Row],[Cde_Prdt]], tbl_Produits[Cde_Prdt], tbl_Produits[Prix Menu]), 0)</f>
        <v>0</v>
      </c>
      <c r="H2862" s="7">
        <f>IFERROR(_xlfn.XLOOKUP(tbl_Ventes[[#This Row],[Cde_Prdt]], tbl_Produits[Cde_Prdt], tbl_Produits[Coût Moyen Portion]), 0)</f>
        <v>0</v>
      </c>
      <c r="I2862" s="7">
        <f>tbl_Ventes[[#This Row],[Qté Vendue]] * tbl_Ventes[[#This Row],[CMP_par_portion]]</f>
        <v>0</v>
      </c>
      <c r="J2862" s="7">
        <f>tbl_Ventes[[#This Row],[CA ligne]] - tbl_Ventes[[#This Row],[Coût matière ligne]]</f>
        <v>0</v>
      </c>
      <c r="K2862" s="7" t="str">
        <f>IFERROR(INDEX(tbl_ProduitsRef[Famille], MATCH(tbl_Ventes[[#This Row],[Cde_Prdt]], tbl_Produits[Cde_Prdt], 0)), "")</f>
        <v/>
      </c>
    </row>
    <row r="2863" spans="1:11" x14ac:dyDescent="0.25">
      <c r="A2863" s="5"/>
      <c r="B2863" s="63" t="str">
        <f>IFERROR(TEXT(tbl_Ventes[[#This Row],[Date]],"mm-aaaa"),"")</f>
        <v>01-1900</v>
      </c>
      <c r="D2863" s="10" t="str">
        <f>IFERROR(
   INDEX(tbl_ProduitsRef[Cde_Prdt],MATCH(tbl_Ventes[[#This Row],[Produit]],tbl_ProduitsRef[Produit],0)),
   ""
)</f>
        <v/>
      </c>
      <c r="E2863" s="7">
        <v>0</v>
      </c>
      <c r="F2863" s="7" t="str">
        <f>IFERROR(
   INDEX(tbl_ProduitsRef[Prix Menu],MATCH(tbl_Ventes[[#This Row],[Produit]],tbl_ProduitsRef[Produit],0)),
   ""
)</f>
        <v/>
      </c>
      <c r="G2863" s="7">
        <f>tbl_Ventes[[#This Row],[Qté Vendue]] * IFERROR(_xlfn.XLOOKUP(tbl_Ventes[[#This Row],[Cde_Prdt]], tbl_Produits[Cde_Prdt], tbl_Produits[Prix Menu]), 0)</f>
        <v>0</v>
      </c>
      <c r="H2863" s="7">
        <f>IFERROR(_xlfn.XLOOKUP(tbl_Ventes[[#This Row],[Cde_Prdt]], tbl_Produits[Cde_Prdt], tbl_Produits[Coût Moyen Portion]), 0)</f>
        <v>0</v>
      </c>
      <c r="I2863" s="7">
        <f>tbl_Ventes[[#This Row],[Qté Vendue]] * tbl_Ventes[[#This Row],[CMP_par_portion]]</f>
        <v>0</v>
      </c>
      <c r="J2863" s="7">
        <f>tbl_Ventes[[#This Row],[CA ligne]] - tbl_Ventes[[#This Row],[Coût matière ligne]]</f>
        <v>0</v>
      </c>
      <c r="K2863" s="7" t="str">
        <f>IFERROR(INDEX(tbl_ProduitsRef[Famille], MATCH(tbl_Ventes[[#This Row],[Cde_Prdt]], tbl_Produits[Cde_Prdt], 0)), "")</f>
        <v/>
      </c>
    </row>
    <row r="2864" spans="1:11" x14ac:dyDescent="0.25">
      <c r="A2864" s="5"/>
      <c r="B2864" s="63" t="str">
        <f>IFERROR(TEXT(tbl_Ventes[[#This Row],[Date]],"mm-aaaa"),"")</f>
        <v>01-1900</v>
      </c>
      <c r="D2864" s="10" t="str">
        <f>IFERROR(
   INDEX(tbl_ProduitsRef[Cde_Prdt],MATCH(tbl_Ventes[[#This Row],[Produit]],tbl_ProduitsRef[Produit],0)),
   ""
)</f>
        <v/>
      </c>
      <c r="E2864" s="7">
        <v>0</v>
      </c>
      <c r="F2864" s="7" t="str">
        <f>IFERROR(
   INDEX(tbl_ProduitsRef[Prix Menu],MATCH(tbl_Ventes[[#This Row],[Produit]],tbl_ProduitsRef[Produit],0)),
   ""
)</f>
        <v/>
      </c>
      <c r="G2864" s="7">
        <f>tbl_Ventes[[#This Row],[Qté Vendue]] * IFERROR(_xlfn.XLOOKUP(tbl_Ventes[[#This Row],[Cde_Prdt]], tbl_Produits[Cde_Prdt], tbl_Produits[Prix Menu]), 0)</f>
        <v>0</v>
      </c>
      <c r="H2864" s="7">
        <f>IFERROR(_xlfn.XLOOKUP(tbl_Ventes[[#This Row],[Cde_Prdt]], tbl_Produits[Cde_Prdt], tbl_Produits[Coût Moyen Portion]), 0)</f>
        <v>0</v>
      </c>
      <c r="I2864" s="7">
        <f>tbl_Ventes[[#This Row],[Qté Vendue]] * tbl_Ventes[[#This Row],[CMP_par_portion]]</f>
        <v>0</v>
      </c>
      <c r="J2864" s="7">
        <f>tbl_Ventes[[#This Row],[CA ligne]] - tbl_Ventes[[#This Row],[Coût matière ligne]]</f>
        <v>0</v>
      </c>
      <c r="K2864" s="7" t="str">
        <f>IFERROR(INDEX(tbl_ProduitsRef[Famille], MATCH(tbl_Ventes[[#This Row],[Cde_Prdt]], tbl_Produits[Cde_Prdt], 0)), "")</f>
        <v/>
      </c>
    </row>
    <row r="2865" spans="1:11" x14ac:dyDescent="0.25">
      <c r="A2865" s="5"/>
      <c r="B2865" s="63" t="str">
        <f>IFERROR(TEXT(tbl_Ventes[[#This Row],[Date]],"mm-aaaa"),"")</f>
        <v>01-1900</v>
      </c>
      <c r="D2865" s="10" t="str">
        <f>IFERROR(
   INDEX(tbl_ProduitsRef[Cde_Prdt],MATCH(tbl_Ventes[[#This Row],[Produit]],tbl_ProduitsRef[Produit],0)),
   ""
)</f>
        <v/>
      </c>
      <c r="E2865" s="7">
        <v>0</v>
      </c>
      <c r="F2865" s="7" t="str">
        <f>IFERROR(
   INDEX(tbl_ProduitsRef[Prix Menu],MATCH(tbl_Ventes[[#This Row],[Produit]],tbl_ProduitsRef[Produit],0)),
   ""
)</f>
        <v/>
      </c>
      <c r="G2865" s="7">
        <f>tbl_Ventes[[#This Row],[Qté Vendue]] * IFERROR(_xlfn.XLOOKUP(tbl_Ventes[[#This Row],[Cde_Prdt]], tbl_Produits[Cde_Prdt], tbl_Produits[Prix Menu]), 0)</f>
        <v>0</v>
      </c>
      <c r="H2865" s="7">
        <f>IFERROR(_xlfn.XLOOKUP(tbl_Ventes[[#This Row],[Cde_Prdt]], tbl_Produits[Cde_Prdt], tbl_Produits[Coût Moyen Portion]), 0)</f>
        <v>0</v>
      </c>
      <c r="I2865" s="7">
        <f>tbl_Ventes[[#This Row],[Qté Vendue]] * tbl_Ventes[[#This Row],[CMP_par_portion]]</f>
        <v>0</v>
      </c>
      <c r="J2865" s="7">
        <f>tbl_Ventes[[#This Row],[CA ligne]] - tbl_Ventes[[#This Row],[Coût matière ligne]]</f>
        <v>0</v>
      </c>
      <c r="K2865" s="7" t="str">
        <f>IFERROR(INDEX(tbl_ProduitsRef[Famille], MATCH(tbl_Ventes[[#This Row],[Cde_Prdt]], tbl_Produits[Cde_Prdt], 0)), "")</f>
        <v/>
      </c>
    </row>
    <row r="2866" spans="1:11" x14ac:dyDescent="0.25">
      <c r="A2866" s="5"/>
      <c r="B2866" s="63" t="str">
        <f>IFERROR(TEXT(tbl_Ventes[[#This Row],[Date]],"mm-aaaa"),"")</f>
        <v>01-1900</v>
      </c>
      <c r="D2866" s="10" t="str">
        <f>IFERROR(
   INDEX(tbl_ProduitsRef[Cde_Prdt],MATCH(tbl_Ventes[[#This Row],[Produit]],tbl_ProduitsRef[Produit],0)),
   ""
)</f>
        <v/>
      </c>
      <c r="E2866" s="7">
        <v>0</v>
      </c>
      <c r="F2866" s="7" t="str">
        <f>IFERROR(
   INDEX(tbl_ProduitsRef[Prix Menu],MATCH(tbl_Ventes[[#This Row],[Produit]],tbl_ProduitsRef[Produit],0)),
   ""
)</f>
        <v/>
      </c>
      <c r="G2866" s="7">
        <f>tbl_Ventes[[#This Row],[Qté Vendue]] * IFERROR(_xlfn.XLOOKUP(tbl_Ventes[[#This Row],[Cde_Prdt]], tbl_Produits[Cde_Prdt], tbl_Produits[Prix Menu]), 0)</f>
        <v>0</v>
      </c>
      <c r="H2866" s="7">
        <f>IFERROR(_xlfn.XLOOKUP(tbl_Ventes[[#This Row],[Cde_Prdt]], tbl_Produits[Cde_Prdt], tbl_Produits[Coût Moyen Portion]), 0)</f>
        <v>0</v>
      </c>
      <c r="I2866" s="7">
        <f>tbl_Ventes[[#This Row],[Qté Vendue]] * tbl_Ventes[[#This Row],[CMP_par_portion]]</f>
        <v>0</v>
      </c>
      <c r="J2866" s="7">
        <f>tbl_Ventes[[#This Row],[CA ligne]] - tbl_Ventes[[#This Row],[Coût matière ligne]]</f>
        <v>0</v>
      </c>
      <c r="K2866" s="7" t="str">
        <f>IFERROR(INDEX(tbl_ProduitsRef[Famille], MATCH(tbl_Ventes[[#This Row],[Cde_Prdt]], tbl_Produits[Cde_Prdt], 0)), "")</f>
        <v/>
      </c>
    </row>
    <row r="2867" spans="1:11" x14ac:dyDescent="0.25">
      <c r="A2867" s="5"/>
      <c r="B2867" s="63" t="str">
        <f>IFERROR(TEXT(tbl_Ventes[[#This Row],[Date]],"mm-aaaa"),"")</f>
        <v>01-1900</v>
      </c>
      <c r="D2867" s="10" t="str">
        <f>IFERROR(
   INDEX(tbl_ProduitsRef[Cde_Prdt],MATCH(tbl_Ventes[[#This Row],[Produit]],tbl_ProduitsRef[Produit],0)),
   ""
)</f>
        <v/>
      </c>
      <c r="E2867" s="7">
        <v>0</v>
      </c>
      <c r="F2867" s="7" t="str">
        <f>IFERROR(
   INDEX(tbl_ProduitsRef[Prix Menu],MATCH(tbl_Ventes[[#This Row],[Produit]],tbl_ProduitsRef[Produit],0)),
   ""
)</f>
        <v/>
      </c>
      <c r="G2867" s="7">
        <f>tbl_Ventes[[#This Row],[Qté Vendue]] * IFERROR(_xlfn.XLOOKUP(tbl_Ventes[[#This Row],[Cde_Prdt]], tbl_Produits[Cde_Prdt], tbl_Produits[Prix Menu]), 0)</f>
        <v>0</v>
      </c>
      <c r="H2867" s="7">
        <f>IFERROR(_xlfn.XLOOKUP(tbl_Ventes[[#This Row],[Cde_Prdt]], tbl_Produits[Cde_Prdt], tbl_Produits[Coût Moyen Portion]), 0)</f>
        <v>0</v>
      </c>
      <c r="I2867" s="7">
        <f>tbl_Ventes[[#This Row],[Qté Vendue]] * tbl_Ventes[[#This Row],[CMP_par_portion]]</f>
        <v>0</v>
      </c>
      <c r="J2867" s="7">
        <f>tbl_Ventes[[#This Row],[CA ligne]] - tbl_Ventes[[#This Row],[Coût matière ligne]]</f>
        <v>0</v>
      </c>
      <c r="K2867" s="7" t="str">
        <f>IFERROR(INDEX(tbl_ProduitsRef[Famille], MATCH(tbl_Ventes[[#This Row],[Cde_Prdt]], tbl_Produits[Cde_Prdt], 0)), "")</f>
        <v/>
      </c>
    </row>
    <row r="2868" spans="1:11" x14ac:dyDescent="0.25">
      <c r="A2868" s="5"/>
      <c r="B2868" s="63" t="str">
        <f>IFERROR(TEXT(tbl_Ventes[[#This Row],[Date]],"mm-aaaa"),"")</f>
        <v>01-1900</v>
      </c>
      <c r="D2868" s="10" t="str">
        <f>IFERROR(
   INDEX(tbl_ProduitsRef[Cde_Prdt],MATCH(tbl_Ventes[[#This Row],[Produit]],tbl_ProduitsRef[Produit],0)),
   ""
)</f>
        <v/>
      </c>
      <c r="E2868" s="7">
        <v>0</v>
      </c>
      <c r="F2868" s="7" t="str">
        <f>IFERROR(
   INDEX(tbl_ProduitsRef[Prix Menu],MATCH(tbl_Ventes[[#This Row],[Produit]],tbl_ProduitsRef[Produit],0)),
   ""
)</f>
        <v/>
      </c>
      <c r="G2868" s="7">
        <f>tbl_Ventes[[#This Row],[Qté Vendue]] * IFERROR(_xlfn.XLOOKUP(tbl_Ventes[[#This Row],[Cde_Prdt]], tbl_Produits[Cde_Prdt], tbl_Produits[Prix Menu]), 0)</f>
        <v>0</v>
      </c>
      <c r="H2868" s="7">
        <f>IFERROR(_xlfn.XLOOKUP(tbl_Ventes[[#This Row],[Cde_Prdt]], tbl_Produits[Cde_Prdt], tbl_Produits[Coût Moyen Portion]), 0)</f>
        <v>0</v>
      </c>
      <c r="I2868" s="7">
        <f>tbl_Ventes[[#This Row],[Qté Vendue]] * tbl_Ventes[[#This Row],[CMP_par_portion]]</f>
        <v>0</v>
      </c>
      <c r="J2868" s="7">
        <f>tbl_Ventes[[#This Row],[CA ligne]] - tbl_Ventes[[#This Row],[Coût matière ligne]]</f>
        <v>0</v>
      </c>
      <c r="K2868" s="7" t="str">
        <f>IFERROR(INDEX(tbl_ProduitsRef[Famille], MATCH(tbl_Ventes[[#This Row],[Cde_Prdt]], tbl_Produits[Cde_Prdt], 0)), "")</f>
        <v/>
      </c>
    </row>
    <row r="2869" spans="1:11" x14ac:dyDescent="0.25">
      <c r="A2869" s="5"/>
      <c r="B2869" s="63" t="str">
        <f>IFERROR(TEXT(tbl_Ventes[[#This Row],[Date]],"mm-aaaa"),"")</f>
        <v>01-1900</v>
      </c>
      <c r="D2869" s="10" t="str">
        <f>IFERROR(
   INDEX(tbl_ProduitsRef[Cde_Prdt],MATCH(tbl_Ventes[[#This Row],[Produit]],tbl_ProduitsRef[Produit],0)),
   ""
)</f>
        <v/>
      </c>
      <c r="E2869" s="7">
        <v>0</v>
      </c>
      <c r="F2869" s="7" t="str">
        <f>IFERROR(
   INDEX(tbl_ProduitsRef[Prix Menu],MATCH(tbl_Ventes[[#This Row],[Produit]],tbl_ProduitsRef[Produit],0)),
   ""
)</f>
        <v/>
      </c>
      <c r="G2869" s="7">
        <f>tbl_Ventes[[#This Row],[Qté Vendue]] * IFERROR(_xlfn.XLOOKUP(tbl_Ventes[[#This Row],[Cde_Prdt]], tbl_Produits[Cde_Prdt], tbl_Produits[Prix Menu]), 0)</f>
        <v>0</v>
      </c>
      <c r="H2869" s="7">
        <f>IFERROR(_xlfn.XLOOKUP(tbl_Ventes[[#This Row],[Cde_Prdt]], tbl_Produits[Cde_Prdt], tbl_Produits[Coût Moyen Portion]), 0)</f>
        <v>0</v>
      </c>
      <c r="I2869" s="7">
        <f>tbl_Ventes[[#This Row],[Qté Vendue]] * tbl_Ventes[[#This Row],[CMP_par_portion]]</f>
        <v>0</v>
      </c>
      <c r="J2869" s="7">
        <f>tbl_Ventes[[#This Row],[CA ligne]] - tbl_Ventes[[#This Row],[Coût matière ligne]]</f>
        <v>0</v>
      </c>
      <c r="K2869" s="7" t="str">
        <f>IFERROR(INDEX(tbl_ProduitsRef[Famille], MATCH(tbl_Ventes[[#This Row],[Cde_Prdt]], tbl_Produits[Cde_Prdt], 0)), "")</f>
        <v/>
      </c>
    </row>
    <row r="2870" spans="1:11" x14ac:dyDescent="0.25">
      <c r="A2870" s="5"/>
      <c r="B2870" s="63" t="str">
        <f>IFERROR(TEXT(tbl_Ventes[[#This Row],[Date]],"mm-aaaa"),"")</f>
        <v>01-1900</v>
      </c>
      <c r="D2870" s="10" t="str">
        <f>IFERROR(
   INDEX(tbl_ProduitsRef[Cde_Prdt],MATCH(tbl_Ventes[[#This Row],[Produit]],tbl_ProduitsRef[Produit],0)),
   ""
)</f>
        <v/>
      </c>
      <c r="E2870" s="7">
        <v>0</v>
      </c>
      <c r="F2870" s="7" t="str">
        <f>IFERROR(
   INDEX(tbl_ProduitsRef[Prix Menu],MATCH(tbl_Ventes[[#This Row],[Produit]],tbl_ProduitsRef[Produit],0)),
   ""
)</f>
        <v/>
      </c>
      <c r="G2870" s="7">
        <f>tbl_Ventes[[#This Row],[Qté Vendue]] * IFERROR(_xlfn.XLOOKUP(tbl_Ventes[[#This Row],[Cde_Prdt]], tbl_Produits[Cde_Prdt], tbl_Produits[Prix Menu]), 0)</f>
        <v>0</v>
      </c>
      <c r="H2870" s="7">
        <f>IFERROR(_xlfn.XLOOKUP(tbl_Ventes[[#This Row],[Cde_Prdt]], tbl_Produits[Cde_Prdt], tbl_Produits[Coût Moyen Portion]), 0)</f>
        <v>0</v>
      </c>
      <c r="I2870" s="7">
        <f>tbl_Ventes[[#This Row],[Qté Vendue]] * tbl_Ventes[[#This Row],[CMP_par_portion]]</f>
        <v>0</v>
      </c>
      <c r="J2870" s="7">
        <f>tbl_Ventes[[#This Row],[CA ligne]] - tbl_Ventes[[#This Row],[Coût matière ligne]]</f>
        <v>0</v>
      </c>
      <c r="K2870" s="7" t="str">
        <f>IFERROR(INDEX(tbl_ProduitsRef[Famille], MATCH(tbl_Ventes[[#This Row],[Cde_Prdt]], tbl_Produits[Cde_Prdt], 0)), "")</f>
        <v/>
      </c>
    </row>
    <row r="2871" spans="1:11" x14ac:dyDescent="0.25">
      <c r="A2871" s="5"/>
      <c r="B2871" s="63" t="str">
        <f>IFERROR(TEXT(tbl_Ventes[[#This Row],[Date]],"mm-aaaa"),"")</f>
        <v>01-1900</v>
      </c>
      <c r="D2871" s="10" t="str">
        <f>IFERROR(
   INDEX(tbl_ProduitsRef[Cde_Prdt],MATCH(tbl_Ventes[[#This Row],[Produit]],tbl_ProduitsRef[Produit],0)),
   ""
)</f>
        <v/>
      </c>
      <c r="E2871" s="7">
        <v>0</v>
      </c>
      <c r="F2871" s="7" t="str">
        <f>IFERROR(
   INDEX(tbl_ProduitsRef[Prix Menu],MATCH(tbl_Ventes[[#This Row],[Produit]],tbl_ProduitsRef[Produit],0)),
   ""
)</f>
        <v/>
      </c>
      <c r="G2871" s="7">
        <f>tbl_Ventes[[#This Row],[Qté Vendue]] * IFERROR(_xlfn.XLOOKUP(tbl_Ventes[[#This Row],[Cde_Prdt]], tbl_Produits[Cde_Prdt], tbl_Produits[Prix Menu]), 0)</f>
        <v>0</v>
      </c>
      <c r="H2871" s="7">
        <f>IFERROR(_xlfn.XLOOKUP(tbl_Ventes[[#This Row],[Cde_Prdt]], tbl_Produits[Cde_Prdt], tbl_Produits[Coût Moyen Portion]), 0)</f>
        <v>0</v>
      </c>
      <c r="I2871" s="7">
        <f>tbl_Ventes[[#This Row],[Qté Vendue]] * tbl_Ventes[[#This Row],[CMP_par_portion]]</f>
        <v>0</v>
      </c>
      <c r="J2871" s="7">
        <f>tbl_Ventes[[#This Row],[CA ligne]] - tbl_Ventes[[#This Row],[Coût matière ligne]]</f>
        <v>0</v>
      </c>
      <c r="K2871" s="7" t="str">
        <f>IFERROR(INDEX(tbl_ProduitsRef[Famille], MATCH(tbl_Ventes[[#This Row],[Cde_Prdt]], tbl_Produits[Cde_Prdt], 0)), "")</f>
        <v/>
      </c>
    </row>
    <row r="2872" spans="1:11" x14ac:dyDescent="0.25">
      <c r="A2872" s="5"/>
      <c r="B2872" s="63" t="str">
        <f>IFERROR(TEXT(tbl_Ventes[[#This Row],[Date]],"mm-aaaa"),"")</f>
        <v>01-1900</v>
      </c>
      <c r="D2872" s="10" t="str">
        <f>IFERROR(
   INDEX(tbl_ProduitsRef[Cde_Prdt],MATCH(tbl_Ventes[[#This Row],[Produit]],tbl_ProduitsRef[Produit],0)),
   ""
)</f>
        <v/>
      </c>
      <c r="E2872" s="7">
        <v>0</v>
      </c>
      <c r="F2872" s="7" t="str">
        <f>IFERROR(
   INDEX(tbl_ProduitsRef[Prix Menu],MATCH(tbl_Ventes[[#This Row],[Produit]],tbl_ProduitsRef[Produit],0)),
   ""
)</f>
        <v/>
      </c>
      <c r="G2872" s="7">
        <f>tbl_Ventes[[#This Row],[Qté Vendue]] * IFERROR(_xlfn.XLOOKUP(tbl_Ventes[[#This Row],[Cde_Prdt]], tbl_Produits[Cde_Prdt], tbl_Produits[Prix Menu]), 0)</f>
        <v>0</v>
      </c>
      <c r="H2872" s="7">
        <f>IFERROR(_xlfn.XLOOKUP(tbl_Ventes[[#This Row],[Cde_Prdt]], tbl_Produits[Cde_Prdt], tbl_Produits[Coût Moyen Portion]), 0)</f>
        <v>0</v>
      </c>
      <c r="I2872" s="7">
        <f>tbl_Ventes[[#This Row],[Qté Vendue]] * tbl_Ventes[[#This Row],[CMP_par_portion]]</f>
        <v>0</v>
      </c>
      <c r="J2872" s="7">
        <f>tbl_Ventes[[#This Row],[CA ligne]] - tbl_Ventes[[#This Row],[Coût matière ligne]]</f>
        <v>0</v>
      </c>
      <c r="K2872" s="7" t="str">
        <f>IFERROR(INDEX(tbl_ProduitsRef[Famille], MATCH(tbl_Ventes[[#This Row],[Cde_Prdt]], tbl_Produits[Cde_Prdt], 0)), "")</f>
        <v/>
      </c>
    </row>
    <row r="2873" spans="1:11" x14ac:dyDescent="0.25">
      <c r="A2873" s="5"/>
      <c r="B2873" s="63" t="str">
        <f>IFERROR(TEXT(tbl_Ventes[[#This Row],[Date]],"mm-aaaa"),"")</f>
        <v>01-1900</v>
      </c>
      <c r="D2873" s="10" t="str">
        <f>IFERROR(
   INDEX(tbl_ProduitsRef[Cde_Prdt],MATCH(tbl_Ventes[[#This Row],[Produit]],tbl_ProduitsRef[Produit],0)),
   ""
)</f>
        <v/>
      </c>
      <c r="E2873" s="7">
        <v>0</v>
      </c>
      <c r="F2873" s="7" t="str">
        <f>IFERROR(
   INDEX(tbl_ProduitsRef[Prix Menu],MATCH(tbl_Ventes[[#This Row],[Produit]],tbl_ProduitsRef[Produit],0)),
   ""
)</f>
        <v/>
      </c>
      <c r="G2873" s="7">
        <f>tbl_Ventes[[#This Row],[Qté Vendue]] * IFERROR(_xlfn.XLOOKUP(tbl_Ventes[[#This Row],[Cde_Prdt]], tbl_Produits[Cde_Prdt], tbl_Produits[Prix Menu]), 0)</f>
        <v>0</v>
      </c>
      <c r="H2873" s="7">
        <f>IFERROR(_xlfn.XLOOKUP(tbl_Ventes[[#This Row],[Cde_Prdt]], tbl_Produits[Cde_Prdt], tbl_Produits[Coût Moyen Portion]), 0)</f>
        <v>0</v>
      </c>
      <c r="I2873" s="7">
        <f>tbl_Ventes[[#This Row],[Qté Vendue]] * tbl_Ventes[[#This Row],[CMP_par_portion]]</f>
        <v>0</v>
      </c>
      <c r="J2873" s="7">
        <f>tbl_Ventes[[#This Row],[CA ligne]] - tbl_Ventes[[#This Row],[Coût matière ligne]]</f>
        <v>0</v>
      </c>
      <c r="K2873" s="7" t="str">
        <f>IFERROR(INDEX(tbl_ProduitsRef[Famille], MATCH(tbl_Ventes[[#This Row],[Cde_Prdt]], tbl_Produits[Cde_Prdt], 0)), "")</f>
        <v/>
      </c>
    </row>
    <row r="2874" spans="1:11" x14ac:dyDescent="0.25">
      <c r="A2874" s="5"/>
      <c r="B2874" s="63" t="str">
        <f>IFERROR(TEXT(tbl_Ventes[[#This Row],[Date]],"mm-aaaa"),"")</f>
        <v>01-1900</v>
      </c>
      <c r="D2874" s="10" t="str">
        <f>IFERROR(
   INDEX(tbl_ProduitsRef[Cde_Prdt],MATCH(tbl_Ventes[[#This Row],[Produit]],tbl_ProduitsRef[Produit],0)),
   ""
)</f>
        <v/>
      </c>
      <c r="E2874" s="7">
        <v>0</v>
      </c>
      <c r="F2874" s="7" t="str">
        <f>IFERROR(
   INDEX(tbl_ProduitsRef[Prix Menu],MATCH(tbl_Ventes[[#This Row],[Produit]],tbl_ProduitsRef[Produit],0)),
   ""
)</f>
        <v/>
      </c>
      <c r="G2874" s="7">
        <f>tbl_Ventes[[#This Row],[Qté Vendue]] * IFERROR(_xlfn.XLOOKUP(tbl_Ventes[[#This Row],[Cde_Prdt]], tbl_Produits[Cde_Prdt], tbl_Produits[Prix Menu]), 0)</f>
        <v>0</v>
      </c>
      <c r="H2874" s="7">
        <f>IFERROR(_xlfn.XLOOKUP(tbl_Ventes[[#This Row],[Cde_Prdt]], tbl_Produits[Cde_Prdt], tbl_Produits[Coût Moyen Portion]), 0)</f>
        <v>0</v>
      </c>
      <c r="I2874" s="7">
        <f>tbl_Ventes[[#This Row],[Qté Vendue]] * tbl_Ventes[[#This Row],[CMP_par_portion]]</f>
        <v>0</v>
      </c>
      <c r="J2874" s="7">
        <f>tbl_Ventes[[#This Row],[CA ligne]] - tbl_Ventes[[#This Row],[Coût matière ligne]]</f>
        <v>0</v>
      </c>
      <c r="K2874" s="7" t="str">
        <f>IFERROR(INDEX(tbl_ProduitsRef[Famille], MATCH(tbl_Ventes[[#This Row],[Cde_Prdt]], tbl_Produits[Cde_Prdt], 0)), "")</f>
        <v/>
      </c>
    </row>
    <row r="2875" spans="1:11" x14ac:dyDescent="0.25">
      <c r="A2875" s="5"/>
      <c r="B2875" s="63" t="str">
        <f>IFERROR(TEXT(tbl_Ventes[[#This Row],[Date]],"mm-aaaa"),"")</f>
        <v>01-1900</v>
      </c>
      <c r="D2875" s="10" t="str">
        <f>IFERROR(
   INDEX(tbl_ProduitsRef[Cde_Prdt],MATCH(tbl_Ventes[[#This Row],[Produit]],tbl_ProduitsRef[Produit],0)),
   ""
)</f>
        <v/>
      </c>
      <c r="E2875" s="7">
        <v>0</v>
      </c>
      <c r="F2875" s="7" t="str">
        <f>IFERROR(
   INDEX(tbl_ProduitsRef[Prix Menu],MATCH(tbl_Ventes[[#This Row],[Produit]],tbl_ProduitsRef[Produit],0)),
   ""
)</f>
        <v/>
      </c>
      <c r="G2875" s="7">
        <f>tbl_Ventes[[#This Row],[Qté Vendue]] * IFERROR(_xlfn.XLOOKUP(tbl_Ventes[[#This Row],[Cde_Prdt]], tbl_Produits[Cde_Prdt], tbl_Produits[Prix Menu]), 0)</f>
        <v>0</v>
      </c>
      <c r="H2875" s="7">
        <f>IFERROR(_xlfn.XLOOKUP(tbl_Ventes[[#This Row],[Cde_Prdt]], tbl_Produits[Cde_Prdt], tbl_Produits[Coût Moyen Portion]), 0)</f>
        <v>0</v>
      </c>
      <c r="I2875" s="7">
        <f>tbl_Ventes[[#This Row],[Qté Vendue]] * tbl_Ventes[[#This Row],[CMP_par_portion]]</f>
        <v>0</v>
      </c>
      <c r="J2875" s="7">
        <f>tbl_Ventes[[#This Row],[CA ligne]] - tbl_Ventes[[#This Row],[Coût matière ligne]]</f>
        <v>0</v>
      </c>
      <c r="K2875" s="7" t="str">
        <f>IFERROR(INDEX(tbl_ProduitsRef[Famille], MATCH(tbl_Ventes[[#This Row],[Cde_Prdt]], tbl_Produits[Cde_Prdt], 0)), "")</f>
        <v/>
      </c>
    </row>
    <row r="2876" spans="1:11" x14ac:dyDescent="0.25">
      <c r="A2876" s="5"/>
      <c r="B2876" s="63" t="str">
        <f>IFERROR(TEXT(tbl_Ventes[[#This Row],[Date]],"mm-aaaa"),"")</f>
        <v>01-1900</v>
      </c>
      <c r="D2876" s="10" t="str">
        <f>IFERROR(
   INDEX(tbl_ProduitsRef[Cde_Prdt],MATCH(tbl_Ventes[[#This Row],[Produit]],tbl_ProduitsRef[Produit],0)),
   ""
)</f>
        <v/>
      </c>
      <c r="E2876" s="7">
        <v>0</v>
      </c>
      <c r="F2876" s="7" t="str">
        <f>IFERROR(
   INDEX(tbl_ProduitsRef[Prix Menu],MATCH(tbl_Ventes[[#This Row],[Produit]],tbl_ProduitsRef[Produit],0)),
   ""
)</f>
        <v/>
      </c>
      <c r="G2876" s="7">
        <f>tbl_Ventes[[#This Row],[Qté Vendue]] * IFERROR(_xlfn.XLOOKUP(tbl_Ventes[[#This Row],[Cde_Prdt]], tbl_Produits[Cde_Prdt], tbl_Produits[Prix Menu]), 0)</f>
        <v>0</v>
      </c>
      <c r="H2876" s="7">
        <f>IFERROR(_xlfn.XLOOKUP(tbl_Ventes[[#This Row],[Cde_Prdt]], tbl_Produits[Cde_Prdt], tbl_Produits[Coût Moyen Portion]), 0)</f>
        <v>0</v>
      </c>
      <c r="I2876" s="7">
        <f>tbl_Ventes[[#This Row],[Qté Vendue]] * tbl_Ventes[[#This Row],[CMP_par_portion]]</f>
        <v>0</v>
      </c>
      <c r="J2876" s="7">
        <f>tbl_Ventes[[#This Row],[CA ligne]] - tbl_Ventes[[#This Row],[Coût matière ligne]]</f>
        <v>0</v>
      </c>
      <c r="K2876" s="7" t="str">
        <f>IFERROR(INDEX(tbl_ProduitsRef[Famille], MATCH(tbl_Ventes[[#This Row],[Cde_Prdt]], tbl_Produits[Cde_Prdt], 0)), "")</f>
        <v/>
      </c>
    </row>
    <row r="2877" spans="1:11" x14ac:dyDescent="0.25">
      <c r="A2877" s="5"/>
      <c r="B2877" s="63" t="str">
        <f>IFERROR(TEXT(tbl_Ventes[[#This Row],[Date]],"mm-aaaa"),"")</f>
        <v>01-1900</v>
      </c>
      <c r="D2877" s="10" t="str">
        <f>IFERROR(
   INDEX(tbl_ProduitsRef[Cde_Prdt],MATCH(tbl_Ventes[[#This Row],[Produit]],tbl_ProduitsRef[Produit],0)),
   ""
)</f>
        <v/>
      </c>
      <c r="E2877" s="7">
        <v>0</v>
      </c>
      <c r="F2877" s="7" t="str">
        <f>IFERROR(
   INDEX(tbl_ProduitsRef[Prix Menu],MATCH(tbl_Ventes[[#This Row],[Produit]],tbl_ProduitsRef[Produit],0)),
   ""
)</f>
        <v/>
      </c>
      <c r="G2877" s="7">
        <f>tbl_Ventes[[#This Row],[Qté Vendue]] * IFERROR(_xlfn.XLOOKUP(tbl_Ventes[[#This Row],[Cde_Prdt]], tbl_Produits[Cde_Prdt], tbl_Produits[Prix Menu]), 0)</f>
        <v>0</v>
      </c>
      <c r="H2877" s="7">
        <f>IFERROR(_xlfn.XLOOKUP(tbl_Ventes[[#This Row],[Cde_Prdt]], tbl_Produits[Cde_Prdt], tbl_Produits[Coût Moyen Portion]), 0)</f>
        <v>0</v>
      </c>
      <c r="I2877" s="7">
        <f>tbl_Ventes[[#This Row],[Qté Vendue]] * tbl_Ventes[[#This Row],[CMP_par_portion]]</f>
        <v>0</v>
      </c>
      <c r="J2877" s="7">
        <f>tbl_Ventes[[#This Row],[CA ligne]] - tbl_Ventes[[#This Row],[Coût matière ligne]]</f>
        <v>0</v>
      </c>
      <c r="K2877" s="7" t="str">
        <f>IFERROR(INDEX(tbl_ProduitsRef[Famille], MATCH(tbl_Ventes[[#This Row],[Cde_Prdt]], tbl_Produits[Cde_Prdt], 0)), "")</f>
        <v/>
      </c>
    </row>
    <row r="2878" spans="1:11" x14ac:dyDescent="0.25">
      <c r="A2878" s="5"/>
      <c r="B2878" s="63" t="str">
        <f>IFERROR(TEXT(tbl_Ventes[[#This Row],[Date]],"mm-aaaa"),"")</f>
        <v>01-1900</v>
      </c>
      <c r="D2878" s="10" t="str">
        <f>IFERROR(
   INDEX(tbl_ProduitsRef[Cde_Prdt],MATCH(tbl_Ventes[[#This Row],[Produit]],tbl_ProduitsRef[Produit],0)),
   ""
)</f>
        <v/>
      </c>
      <c r="E2878" s="7">
        <v>0</v>
      </c>
      <c r="F2878" s="7" t="str">
        <f>IFERROR(
   INDEX(tbl_ProduitsRef[Prix Menu],MATCH(tbl_Ventes[[#This Row],[Produit]],tbl_ProduitsRef[Produit],0)),
   ""
)</f>
        <v/>
      </c>
      <c r="G2878" s="7">
        <f>tbl_Ventes[[#This Row],[Qté Vendue]] * IFERROR(_xlfn.XLOOKUP(tbl_Ventes[[#This Row],[Cde_Prdt]], tbl_Produits[Cde_Prdt], tbl_Produits[Prix Menu]), 0)</f>
        <v>0</v>
      </c>
      <c r="H2878" s="7">
        <f>IFERROR(_xlfn.XLOOKUP(tbl_Ventes[[#This Row],[Cde_Prdt]], tbl_Produits[Cde_Prdt], tbl_Produits[Coût Moyen Portion]), 0)</f>
        <v>0</v>
      </c>
      <c r="I2878" s="7">
        <f>tbl_Ventes[[#This Row],[Qté Vendue]] * tbl_Ventes[[#This Row],[CMP_par_portion]]</f>
        <v>0</v>
      </c>
      <c r="J2878" s="7">
        <f>tbl_Ventes[[#This Row],[CA ligne]] - tbl_Ventes[[#This Row],[Coût matière ligne]]</f>
        <v>0</v>
      </c>
      <c r="K2878" s="7" t="str">
        <f>IFERROR(INDEX(tbl_ProduitsRef[Famille], MATCH(tbl_Ventes[[#This Row],[Cde_Prdt]], tbl_Produits[Cde_Prdt], 0)), "")</f>
        <v/>
      </c>
    </row>
    <row r="2879" spans="1:11" x14ac:dyDescent="0.25">
      <c r="A2879" s="5"/>
      <c r="B2879" s="63" t="str">
        <f>IFERROR(TEXT(tbl_Ventes[[#This Row],[Date]],"mm-aaaa"),"")</f>
        <v>01-1900</v>
      </c>
      <c r="D2879" s="10" t="str">
        <f>IFERROR(
   INDEX(tbl_ProduitsRef[Cde_Prdt],MATCH(tbl_Ventes[[#This Row],[Produit]],tbl_ProduitsRef[Produit],0)),
   ""
)</f>
        <v/>
      </c>
      <c r="E2879" s="7">
        <v>0</v>
      </c>
      <c r="F2879" s="7" t="str">
        <f>IFERROR(
   INDEX(tbl_ProduitsRef[Prix Menu],MATCH(tbl_Ventes[[#This Row],[Produit]],tbl_ProduitsRef[Produit],0)),
   ""
)</f>
        <v/>
      </c>
      <c r="G2879" s="7">
        <f>tbl_Ventes[[#This Row],[Qté Vendue]] * IFERROR(_xlfn.XLOOKUP(tbl_Ventes[[#This Row],[Cde_Prdt]], tbl_Produits[Cde_Prdt], tbl_Produits[Prix Menu]), 0)</f>
        <v>0</v>
      </c>
      <c r="H2879" s="7">
        <f>IFERROR(_xlfn.XLOOKUP(tbl_Ventes[[#This Row],[Cde_Prdt]], tbl_Produits[Cde_Prdt], tbl_Produits[Coût Moyen Portion]), 0)</f>
        <v>0</v>
      </c>
      <c r="I2879" s="7">
        <f>tbl_Ventes[[#This Row],[Qté Vendue]] * tbl_Ventes[[#This Row],[CMP_par_portion]]</f>
        <v>0</v>
      </c>
      <c r="J2879" s="7">
        <f>tbl_Ventes[[#This Row],[CA ligne]] - tbl_Ventes[[#This Row],[Coût matière ligne]]</f>
        <v>0</v>
      </c>
      <c r="K2879" s="7" t="str">
        <f>IFERROR(INDEX(tbl_ProduitsRef[Famille], MATCH(tbl_Ventes[[#This Row],[Cde_Prdt]], tbl_Produits[Cde_Prdt], 0)), "")</f>
        <v/>
      </c>
    </row>
    <row r="2880" spans="1:11" x14ac:dyDescent="0.25">
      <c r="A2880" s="5"/>
      <c r="B2880" s="63" t="str">
        <f>IFERROR(TEXT(tbl_Ventes[[#This Row],[Date]],"mm-aaaa"),"")</f>
        <v>01-1900</v>
      </c>
      <c r="D2880" s="10" t="str">
        <f>IFERROR(
   INDEX(tbl_ProduitsRef[Cde_Prdt],MATCH(tbl_Ventes[[#This Row],[Produit]],tbl_ProduitsRef[Produit],0)),
   ""
)</f>
        <v/>
      </c>
      <c r="E2880" s="7">
        <v>0</v>
      </c>
      <c r="F2880" s="7" t="str">
        <f>IFERROR(
   INDEX(tbl_ProduitsRef[Prix Menu],MATCH(tbl_Ventes[[#This Row],[Produit]],tbl_ProduitsRef[Produit],0)),
   ""
)</f>
        <v/>
      </c>
      <c r="G2880" s="7">
        <f>tbl_Ventes[[#This Row],[Qté Vendue]] * IFERROR(_xlfn.XLOOKUP(tbl_Ventes[[#This Row],[Cde_Prdt]], tbl_Produits[Cde_Prdt], tbl_Produits[Prix Menu]), 0)</f>
        <v>0</v>
      </c>
      <c r="H2880" s="7">
        <f>IFERROR(_xlfn.XLOOKUP(tbl_Ventes[[#This Row],[Cde_Prdt]], tbl_Produits[Cde_Prdt], tbl_Produits[Coût Moyen Portion]), 0)</f>
        <v>0</v>
      </c>
      <c r="I2880" s="7">
        <f>tbl_Ventes[[#This Row],[Qté Vendue]] * tbl_Ventes[[#This Row],[CMP_par_portion]]</f>
        <v>0</v>
      </c>
      <c r="J2880" s="7">
        <f>tbl_Ventes[[#This Row],[CA ligne]] - tbl_Ventes[[#This Row],[Coût matière ligne]]</f>
        <v>0</v>
      </c>
      <c r="K2880" s="7" t="str">
        <f>IFERROR(INDEX(tbl_ProduitsRef[Famille], MATCH(tbl_Ventes[[#This Row],[Cde_Prdt]], tbl_Produits[Cde_Prdt], 0)), "")</f>
        <v/>
      </c>
    </row>
    <row r="2881" spans="1:11" x14ac:dyDescent="0.25">
      <c r="A2881" s="5"/>
      <c r="B2881" s="63" t="str">
        <f>IFERROR(TEXT(tbl_Ventes[[#This Row],[Date]],"mm-aaaa"),"")</f>
        <v>01-1900</v>
      </c>
      <c r="D2881" s="10" t="str">
        <f>IFERROR(
   INDEX(tbl_ProduitsRef[Cde_Prdt],MATCH(tbl_Ventes[[#This Row],[Produit]],tbl_ProduitsRef[Produit],0)),
   ""
)</f>
        <v/>
      </c>
      <c r="E2881" s="7">
        <v>0</v>
      </c>
      <c r="F2881" s="7" t="str">
        <f>IFERROR(
   INDEX(tbl_ProduitsRef[Prix Menu],MATCH(tbl_Ventes[[#This Row],[Produit]],tbl_ProduitsRef[Produit],0)),
   ""
)</f>
        <v/>
      </c>
      <c r="G2881" s="7">
        <f>tbl_Ventes[[#This Row],[Qté Vendue]] * IFERROR(_xlfn.XLOOKUP(tbl_Ventes[[#This Row],[Cde_Prdt]], tbl_Produits[Cde_Prdt], tbl_Produits[Prix Menu]), 0)</f>
        <v>0</v>
      </c>
      <c r="H2881" s="7">
        <f>IFERROR(_xlfn.XLOOKUP(tbl_Ventes[[#This Row],[Cde_Prdt]], tbl_Produits[Cde_Prdt], tbl_Produits[Coût Moyen Portion]), 0)</f>
        <v>0</v>
      </c>
      <c r="I2881" s="7">
        <f>tbl_Ventes[[#This Row],[Qté Vendue]] * tbl_Ventes[[#This Row],[CMP_par_portion]]</f>
        <v>0</v>
      </c>
      <c r="J2881" s="7">
        <f>tbl_Ventes[[#This Row],[CA ligne]] - tbl_Ventes[[#This Row],[Coût matière ligne]]</f>
        <v>0</v>
      </c>
      <c r="K2881" s="7" t="str">
        <f>IFERROR(INDEX(tbl_ProduitsRef[Famille], MATCH(tbl_Ventes[[#This Row],[Cde_Prdt]], tbl_Produits[Cde_Prdt], 0)), "")</f>
        <v/>
      </c>
    </row>
    <row r="2882" spans="1:11" x14ac:dyDescent="0.25">
      <c r="A2882" s="5"/>
      <c r="B2882" s="63" t="str">
        <f>IFERROR(TEXT(tbl_Ventes[[#This Row],[Date]],"mm-aaaa"),"")</f>
        <v>01-1900</v>
      </c>
      <c r="D2882" s="10" t="str">
        <f>IFERROR(
   INDEX(tbl_ProduitsRef[Cde_Prdt],MATCH(tbl_Ventes[[#This Row],[Produit]],tbl_ProduitsRef[Produit],0)),
   ""
)</f>
        <v/>
      </c>
      <c r="E2882" s="7">
        <v>0</v>
      </c>
      <c r="F2882" s="7" t="str">
        <f>IFERROR(
   INDEX(tbl_ProduitsRef[Prix Menu],MATCH(tbl_Ventes[[#This Row],[Produit]],tbl_ProduitsRef[Produit],0)),
   ""
)</f>
        <v/>
      </c>
      <c r="G2882" s="7">
        <f>tbl_Ventes[[#This Row],[Qté Vendue]] * IFERROR(_xlfn.XLOOKUP(tbl_Ventes[[#This Row],[Cde_Prdt]], tbl_Produits[Cde_Prdt], tbl_Produits[Prix Menu]), 0)</f>
        <v>0</v>
      </c>
      <c r="H2882" s="7">
        <f>IFERROR(_xlfn.XLOOKUP(tbl_Ventes[[#This Row],[Cde_Prdt]], tbl_Produits[Cde_Prdt], tbl_Produits[Coût Moyen Portion]), 0)</f>
        <v>0</v>
      </c>
      <c r="I2882" s="7">
        <f>tbl_Ventes[[#This Row],[Qté Vendue]] * tbl_Ventes[[#This Row],[CMP_par_portion]]</f>
        <v>0</v>
      </c>
      <c r="J2882" s="7">
        <f>tbl_Ventes[[#This Row],[CA ligne]] - tbl_Ventes[[#This Row],[Coût matière ligne]]</f>
        <v>0</v>
      </c>
      <c r="K2882" s="7" t="str">
        <f>IFERROR(INDEX(tbl_ProduitsRef[Famille], MATCH(tbl_Ventes[[#This Row],[Cde_Prdt]], tbl_Produits[Cde_Prdt], 0)), "")</f>
        <v/>
      </c>
    </row>
    <row r="2883" spans="1:11" x14ac:dyDescent="0.25">
      <c r="A2883" s="5"/>
      <c r="B2883" s="63" t="str">
        <f>IFERROR(TEXT(tbl_Ventes[[#This Row],[Date]],"mm-aaaa"),"")</f>
        <v>01-1900</v>
      </c>
      <c r="D2883" s="10" t="str">
        <f>IFERROR(
   INDEX(tbl_ProduitsRef[Cde_Prdt],MATCH(tbl_Ventes[[#This Row],[Produit]],tbl_ProduitsRef[Produit],0)),
   ""
)</f>
        <v/>
      </c>
      <c r="E2883" s="7">
        <v>0</v>
      </c>
      <c r="F2883" s="7" t="str">
        <f>IFERROR(
   INDEX(tbl_ProduitsRef[Prix Menu],MATCH(tbl_Ventes[[#This Row],[Produit]],tbl_ProduitsRef[Produit],0)),
   ""
)</f>
        <v/>
      </c>
      <c r="G2883" s="7">
        <f>tbl_Ventes[[#This Row],[Qté Vendue]] * IFERROR(_xlfn.XLOOKUP(tbl_Ventes[[#This Row],[Cde_Prdt]], tbl_Produits[Cde_Prdt], tbl_Produits[Prix Menu]), 0)</f>
        <v>0</v>
      </c>
      <c r="H2883" s="7">
        <f>IFERROR(_xlfn.XLOOKUP(tbl_Ventes[[#This Row],[Cde_Prdt]], tbl_Produits[Cde_Prdt], tbl_Produits[Coût Moyen Portion]), 0)</f>
        <v>0</v>
      </c>
      <c r="I2883" s="7">
        <f>tbl_Ventes[[#This Row],[Qté Vendue]] * tbl_Ventes[[#This Row],[CMP_par_portion]]</f>
        <v>0</v>
      </c>
      <c r="J2883" s="7">
        <f>tbl_Ventes[[#This Row],[CA ligne]] - tbl_Ventes[[#This Row],[Coût matière ligne]]</f>
        <v>0</v>
      </c>
      <c r="K2883" s="7" t="str">
        <f>IFERROR(INDEX(tbl_ProduitsRef[Famille], MATCH(tbl_Ventes[[#This Row],[Cde_Prdt]], tbl_Produits[Cde_Prdt], 0)), "")</f>
        <v/>
      </c>
    </row>
    <row r="2884" spans="1:11" x14ac:dyDescent="0.25">
      <c r="A2884" s="5"/>
      <c r="B2884" s="63" t="str">
        <f>IFERROR(TEXT(tbl_Ventes[[#This Row],[Date]],"mm-aaaa"),"")</f>
        <v>01-1900</v>
      </c>
      <c r="D2884" s="10" t="str">
        <f>IFERROR(
   INDEX(tbl_ProduitsRef[Cde_Prdt],MATCH(tbl_Ventes[[#This Row],[Produit]],tbl_ProduitsRef[Produit],0)),
   ""
)</f>
        <v/>
      </c>
      <c r="E2884" s="7">
        <v>0</v>
      </c>
      <c r="F2884" s="7" t="str">
        <f>IFERROR(
   INDEX(tbl_ProduitsRef[Prix Menu],MATCH(tbl_Ventes[[#This Row],[Produit]],tbl_ProduitsRef[Produit],0)),
   ""
)</f>
        <v/>
      </c>
      <c r="G2884" s="7">
        <f>tbl_Ventes[[#This Row],[Qté Vendue]] * IFERROR(_xlfn.XLOOKUP(tbl_Ventes[[#This Row],[Cde_Prdt]], tbl_Produits[Cde_Prdt], tbl_Produits[Prix Menu]), 0)</f>
        <v>0</v>
      </c>
      <c r="H2884" s="7">
        <f>IFERROR(_xlfn.XLOOKUP(tbl_Ventes[[#This Row],[Cde_Prdt]], tbl_Produits[Cde_Prdt], tbl_Produits[Coût Moyen Portion]), 0)</f>
        <v>0</v>
      </c>
      <c r="I2884" s="7">
        <f>tbl_Ventes[[#This Row],[Qté Vendue]] * tbl_Ventes[[#This Row],[CMP_par_portion]]</f>
        <v>0</v>
      </c>
      <c r="J2884" s="7">
        <f>tbl_Ventes[[#This Row],[CA ligne]] - tbl_Ventes[[#This Row],[Coût matière ligne]]</f>
        <v>0</v>
      </c>
      <c r="K2884" s="7" t="str">
        <f>IFERROR(INDEX(tbl_ProduitsRef[Famille], MATCH(tbl_Ventes[[#This Row],[Cde_Prdt]], tbl_Produits[Cde_Prdt], 0)), "")</f>
        <v/>
      </c>
    </row>
    <row r="2885" spans="1:11" x14ac:dyDescent="0.25">
      <c r="A2885" s="5"/>
      <c r="B2885" s="63" t="str">
        <f>IFERROR(TEXT(tbl_Ventes[[#This Row],[Date]],"mm-aaaa"),"")</f>
        <v>01-1900</v>
      </c>
      <c r="D2885" s="10" t="str">
        <f>IFERROR(
   INDEX(tbl_ProduitsRef[Cde_Prdt],MATCH(tbl_Ventes[[#This Row],[Produit]],tbl_ProduitsRef[Produit],0)),
   ""
)</f>
        <v/>
      </c>
      <c r="E2885" s="7">
        <v>0</v>
      </c>
      <c r="F2885" s="7" t="str">
        <f>IFERROR(
   INDEX(tbl_ProduitsRef[Prix Menu],MATCH(tbl_Ventes[[#This Row],[Produit]],tbl_ProduitsRef[Produit],0)),
   ""
)</f>
        <v/>
      </c>
      <c r="G2885" s="7">
        <f>tbl_Ventes[[#This Row],[Qté Vendue]] * IFERROR(_xlfn.XLOOKUP(tbl_Ventes[[#This Row],[Cde_Prdt]], tbl_Produits[Cde_Prdt], tbl_Produits[Prix Menu]), 0)</f>
        <v>0</v>
      </c>
      <c r="H2885" s="7">
        <f>IFERROR(_xlfn.XLOOKUP(tbl_Ventes[[#This Row],[Cde_Prdt]], tbl_Produits[Cde_Prdt], tbl_Produits[Coût Moyen Portion]), 0)</f>
        <v>0</v>
      </c>
      <c r="I2885" s="7">
        <f>tbl_Ventes[[#This Row],[Qté Vendue]] * tbl_Ventes[[#This Row],[CMP_par_portion]]</f>
        <v>0</v>
      </c>
      <c r="J2885" s="7">
        <f>tbl_Ventes[[#This Row],[CA ligne]] - tbl_Ventes[[#This Row],[Coût matière ligne]]</f>
        <v>0</v>
      </c>
      <c r="K2885" s="7" t="str">
        <f>IFERROR(INDEX(tbl_ProduitsRef[Famille], MATCH(tbl_Ventes[[#This Row],[Cde_Prdt]], tbl_Produits[Cde_Prdt], 0)), "")</f>
        <v/>
      </c>
    </row>
    <row r="2886" spans="1:11" x14ac:dyDescent="0.25">
      <c r="A2886" s="5"/>
      <c r="B2886" s="63" t="str">
        <f>IFERROR(TEXT(tbl_Ventes[[#This Row],[Date]],"mm-aaaa"),"")</f>
        <v>01-1900</v>
      </c>
      <c r="D2886" s="10" t="str">
        <f>IFERROR(
   INDEX(tbl_ProduitsRef[Cde_Prdt],MATCH(tbl_Ventes[[#This Row],[Produit]],tbl_ProduitsRef[Produit],0)),
   ""
)</f>
        <v/>
      </c>
      <c r="E2886" s="7">
        <v>0</v>
      </c>
      <c r="F2886" s="7" t="str">
        <f>IFERROR(
   INDEX(tbl_ProduitsRef[Prix Menu],MATCH(tbl_Ventes[[#This Row],[Produit]],tbl_ProduitsRef[Produit],0)),
   ""
)</f>
        <v/>
      </c>
      <c r="G2886" s="7">
        <f>tbl_Ventes[[#This Row],[Qté Vendue]] * IFERROR(_xlfn.XLOOKUP(tbl_Ventes[[#This Row],[Cde_Prdt]], tbl_Produits[Cde_Prdt], tbl_Produits[Prix Menu]), 0)</f>
        <v>0</v>
      </c>
      <c r="H2886" s="7">
        <f>IFERROR(_xlfn.XLOOKUP(tbl_Ventes[[#This Row],[Cde_Prdt]], tbl_Produits[Cde_Prdt], tbl_Produits[Coût Moyen Portion]), 0)</f>
        <v>0</v>
      </c>
      <c r="I2886" s="7">
        <f>tbl_Ventes[[#This Row],[Qté Vendue]] * tbl_Ventes[[#This Row],[CMP_par_portion]]</f>
        <v>0</v>
      </c>
      <c r="J2886" s="7">
        <f>tbl_Ventes[[#This Row],[CA ligne]] - tbl_Ventes[[#This Row],[Coût matière ligne]]</f>
        <v>0</v>
      </c>
      <c r="K2886" s="7" t="str">
        <f>IFERROR(INDEX(tbl_ProduitsRef[Famille], MATCH(tbl_Ventes[[#This Row],[Cde_Prdt]], tbl_Produits[Cde_Prdt], 0)), "")</f>
        <v/>
      </c>
    </row>
    <row r="2887" spans="1:11" x14ac:dyDescent="0.25">
      <c r="A2887" s="5"/>
      <c r="B2887" s="63" t="str">
        <f>IFERROR(TEXT(tbl_Ventes[[#This Row],[Date]],"mm-aaaa"),"")</f>
        <v>01-1900</v>
      </c>
      <c r="D2887" s="10" t="str">
        <f>IFERROR(
   INDEX(tbl_ProduitsRef[Cde_Prdt],MATCH(tbl_Ventes[[#This Row],[Produit]],tbl_ProduitsRef[Produit],0)),
   ""
)</f>
        <v/>
      </c>
      <c r="E2887" s="7">
        <v>0</v>
      </c>
      <c r="F2887" s="7" t="str">
        <f>IFERROR(
   INDEX(tbl_ProduitsRef[Prix Menu],MATCH(tbl_Ventes[[#This Row],[Produit]],tbl_ProduitsRef[Produit],0)),
   ""
)</f>
        <v/>
      </c>
      <c r="G2887" s="7">
        <f>tbl_Ventes[[#This Row],[Qté Vendue]] * IFERROR(_xlfn.XLOOKUP(tbl_Ventes[[#This Row],[Cde_Prdt]], tbl_Produits[Cde_Prdt], tbl_Produits[Prix Menu]), 0)</f>
        <v>0</v>
      </c>
      <c r="H2887" s="7">
        <f>IFERROR(_xlfn.XLOOKUP(tbl_Ventes[[#This Row],[Cde_Prdt]], tbl_Produits[Cde_Prdt], tbl_Produits[Coût Moyen Portion]), 0)</f>
        <v>0</v>
      </c>
      <c r="I2887" s="7">
        <f>tbl_Ventes[[#This Row],[Qté Vendue]] * tbl_Ventes[[#This Row],[CMP_par_portion]]</f>
        <v>0</v>
      </c>
      <c r="J2887" s="7">
        <f>tbl_Ventes[[#This Row],[CA ligne]] - tbl_Ventes[[#This Row],[Coût matière ligne]]</f>
        <v>0</v>
      </c>
      <c r="K2887" s="7" t="str">
        <f>IFERROR(INDEX(tbl_ProduitsRef[Famille], MATCH(tbl_Ventes[[#This Row],[Cde_Prdt]], tbl_Produits[Cde_Prdt], 0)), "")</f>
        <v/>
      </c>
    </row>
    <row r="2888" spans="1:11" x14ac:dyDescent="0.25">
      <c r="A2888" s="5"/>
      <c r="B2888" s="63" t="str">
        <f>IFERROR(TEXT(tbl_Ventes[[#This Row],[Date]],"mm-aaaa"),"")</f>
        <v>01-1900</v>
      </c>
      <c r="D2888" s="10" t="str">
        <f>IFERROR(
   INDEX(tbl_ProduitsRef[Cde_Prdt],MATCH(tbl_Ventes[[#This Row],[Produit]],tbl_ProduitsRef[Produit],0)),
   ""
)</f>
        <v/>
      </c>
      <c r="E2888" s="7">
        <v>0</v>
      </c>
      <c r="F2888" s="7" t="str">
        <f>IFERROR(
   INDEX(tbl_ProduitsRef[Prix Menu],MATCH(tbl_Ventes[[#This Row],[Produit]],tbl_ProduitsRef[Produit],0)),
   ""
)</f>
        <v/>
      </c>
      <c r="G2888" s="7">
        <f>tbl_Ventes[[#This Row],[Qté Vendue]] * IFERROR(_xlfn.XLOOKUP(tbl_Ventes[[#This Row],[Cde_Prdt]], tbl_Produits[Cde_Prdt], tbl_Produits[Prix Menu]), 0)</f>
        <v>0</v>
      </c>
      <c r="H2888" s="7">
        <f>IFERROR(_xlfn.XLOOKUP(tbl_Ventes[[#This Row],[Cde_Prdt]], tbl_Produits[Cde_Prdt], tbl_Produits[Coût Moyen Portion]), 0)</f>
        <v>0</v>
      </c>
      <c r="I2888" s="7">
        <f>tbl_Ventes[[#This Row],[Qté Vendue]] * tbl_Ventes[[#This Row],[CMP_par_portion]]</f>
        <v>0</v>
      </c>
      <c r="J2888" s="7">
        <f>tbl_Ventes[[#This Row],[CA ligne]] - tbl_Ventes[[#This Row],[Coût matière ligne]]</f>
        <v>0</v>
      </c>
      <c r="K2888" s="7" t="str">
        <f>IFERROR(INDEX(tbl_ProduitsRef[Famille], MATCH(tbl_Ventes[[#This Row],[Cde_Prdt]], tbl_Produits[Cde_Prdt], 0)), "")</f>
        <v/>
      </c>
    </row>
    <row r="2889" spans="1:11" x14ac:dyDescent="0.25">
      <c r="A2889" s="5"/>
      <c r="B2889" s="63" t="str">
        <f>IFERROR(TEXT(tbl_Ventes[[#This Row],[Date]],"mm-aaaa"),"")</f>
        <v>01-1900</v>
      </c>
      <c r="D2889" s="10" t="str">
        <f>IFERROR(
   INDEX(tbl_ProduitsRef[Cde_Prdt],MATCH(tbl_Ventes[[#This Row],[Produit]],tbl_ProduitsRef[Produit],0)),
   ""
)</f>
        <v/>
      </c>
      <c r="E2889" s="7">
        <v>0</v>
      </c>
      <c r="F2889" s="7" t="str">
        <f>IFERROR(
   INDEX(tbl_ProduitsRef[Prix Menu],MATCH(tbl_Ventes[[#This Row],[Produit]],tbl_ProduitsRef[Produit],0)),
   ""
)</f>
        <v/>
      </c>
      <c r="G2889" s="7">
        <f>tbl_Ventes[[#This Row],[Qté Vendue]] * IFERROR(_xlfn.XLOOKUP(tbl_Ventes[[#This Row],[Cde_Prdt]], tbl_Produits[Cde_Prdt], tbl_Produits[Prix Menu]), 0)</f>
        <v>0</v>
      </c>
      <c r="H2889" s="7">
        <f>IFERROR(_xlfn.XLOOKUP(tbl_Ventes[[#This Row],[Cde_Prdt]], tbl_Produits[Cde_Prdt], tbl_Produits[Coût Moyen Portion]), 0)</f>
        <v>0</v>
      </c>
      <c r="I2889" s="7">
        <f>tbl_Ventes[[#This Row],[Qté Vendue]] * tbl_Ventes[[#This Row],[CMP_par_portion]]</f>
        <v>0</v>
      </c>
      <c r="J2889" s="7">
        <f>tbl_Ventes[[#This Row],[CA ligne]] - tbl_Ventes[[#This Row],[Coût matière ligne]]</f>
        <v>0</v>
      </c>
      <c r="K2889" s="7" t="str">
        <f>IFERROR(INDEX(tbl_ProduitsRef[Famille], MATCH(tbl_Ventes[[#This Row],[Cde_Prdt]], tbl_Produits[Cde_Prdt], 0)), "")</f>
        <v/>
      </c>
    </row>
    <row r="2890" spans="1:11" x14ac:dyDescent="0.25">
      <c r="A2890" s="5"/>
      <c r="B2890" s="63" t="str">
        <f>IFERROR(TEXT(tbl_Ventes[[#This Row],[Date]],"mm-aaaa"),"")</f>
        <v>01-1900</v>
      </c>
      <c r="D2890" s="10" t="str">
        <f>IFERROR(
   INDEX(tbl_ProduitsRef[Cde_Prdt],MATCH(tbl_Ventes[[#This Row],[Produit]],tbl_ProduitsRef[Produit],0)),
   ""
)</f>
        <v/>
      </c>
      <c r="E2890" s="7">
        <v>0</v>
      </c>
      <c r="F2890" s="7" t="str">
        <f>IFERROR(
   INDEX(tbl_ProduitsRef[Prix Menu],MATCH(tbl_Ventes[[#This Row],[Produit]],tbl_ProduitsRef[Produit],0)),
   ""
)</f>
        <v/>
      </c>
      <c r="G2890" s="7">
        <f>tbl_Ventes[[#This Row],[Qté Vendue]] * IFERROR(_xlfn.XLOOKUP(tbl_Ventes[[#This Row],[Cde_Prdt]], tbl_Produits[Cde_Prdt], tbl_Produits[Prix Menu]), 0)</f>
        <v>0</v>
      </c>
      <c r="H2890" s="7">
        <f>IFERROR(_xlfn.XLOOKUP(tbl_Ventes[[#This Row],[Cde_Prdt]], tbl_Produits[Cde_Prdt], tbl_Produits[Coût Moyen Portion]), 0)</f>
        <v>0</v>
      </c>
      <c r="I2890" s="7">
        <f>tbl_Ventes[[#This Row],[Qté Vendue]] * tbl_Ventes[[#This Row],[CMP_par_portion]]</f>
        <v>0</v>
      </c>
      <c r="J2890" s="7">
        <f>tbl_Ventes[[#This Row],[CA ligne]] - tbl_Ventes[[#This Row],[Coût matière ligne]]</f>
        <v>0</v>
      </c>
      <c r="K2890" s="7" t="str">
        <f>IFERROR(INDEX(tbl_ProduitsRef[Famille], MATCH(tbl_Ventes[[#This Row],[Cde_Prdt]], tbl_Produits[Cde_Prdt], 0)), "")</f>
        <v/>
      </c>
    </row>
    <row r="2891" spans="1:11" x14ac:dyDescent="0.25">
      <c r="A2891" s="5"/>
      <c r="B2891" s="63" t="str">
        <f>IFERROR(TEXT(tbl_Ventes[[#This Row],[Date]],"mm-aaaa"),"")</f>
        <v>01-1900</v>
      </c>
      <c r="D2891" s="10" t="str">
        <f>IFERROR(
   INDEX(tbl_ProduitsRef[Cde_Prdt],MATCH(tbl_Ventes[[#This Row],[Produit]],tbl_ProduitsRef[Produit],0)),
   ""
)</f>
        <v/>
      </c>
      <c r="E2891" s="7">
        <v>0</v>
      </c>
      <c r="F2891" s="7" t="str">
        <f>IFERROR(
   INDEX(tbl_ProduitsRef[Prix Menu],MATCH(tbl_Ventes[[#This Row],[Produit]],tbl_ProduitsRef[Produit],0)),
   ""
)</f>
        <v/>
      </c>
      <c r="G2891" s="7">
        <f>tbl_Ventes[[#This Row],[Qté Vendue]] * IFERROR(_xlfn.XLOOKUP(tbl_Ventes[[#This Row],[Cde_Prdt]], tbl_Produits[Cde_Prdt], tbl_Produits[Prix Menu]), 0)</f>
        <v>0</v>
      </c>
      <c r="H2891" s="7">
        <f>IFERROR(_xlfn.XLOOKUP(tbl_Ventes[[#This Row],[Cde_Prdt]], tbl_Produits[Cde_Prdt], tbl_Produits[Coût Moyen Portion]), 0)</f>
        <v>0</v>
      </c>
      <c r="I2891" s="7">
        <f>tbl_Ventes[[#This Row],[Qté Vendue]] * tbl_Ventes[[#This Row],[CMP_par_portion]]</f>
        <v>0</v>
      </c>
      <c r="J2891" s="7">
        <f>tbl_Ventes[[#This Row],[CA ligne]] - tbl_Ventes[[#This Row],[Coût matière ligne]]</f>
        <v>0</v>
      </c>
      <c r="K2891" s="7" t="str">
        <f>IFERROR(INDEX(tbl_ProduitsRef[Famille], MATCH(tbl_Ventes[[#This Row],[Cde_Prdt]], tbl_Produits[Cde_Prdt], 0)), "")</f>
        <v/>
      </c>
    </row>
    <row r="2892" spans="1:11" x14ac:dyDescent="0.25">
      <c r="A2892" s="5"/>
      <c r="B2892" s="63" t="str">
        <f>IFERROR(TEXT(tbl_Ventes[[#This Row],[Date]],"mm-aaaa"),"")</f>
        <v>01-1900</v>
      </c>
      <c r="D2892" s="10" t="str">
        <f>IFERROR(
   INDEX(tbl_ProduitsRef[Cde_Prdt],MATCH(tbl_Ventes[[#This Row],[Produit]],tbl_ProduitsRef[Produit],0)),
   ""
)</f>
        <v/>
      </c>
      <c r="E2892" s="7">
        <v>0</v>
      </c>
      <c r="F2892" s="7" t="str">
        <f>IFERROR(
   INDEX(tbl_ProduitsRef[Prix Menu],MATCH(tbl_Ventes[[#This Row],[Produit]],tbl_ProduitsRef[Produit],0)),
   ""
)</f>
        <v/>
      </c>
      <c r="G2892" s="7">
        <f>tbl_Ventes[[#This Row],[Qté Vendue]] * IFERROR(_xlfn.XLOOKUP(tbl_Ventes[[#This Row],[Cde_Prdt]], tbl_Produits[Cde_Prdt], tbl_Produits[Prix Menu]), 0)</f>
        <v>0</v>
      </c>
      <c r="H2892" s="7">
        <f>IFERROR(_xlfn.XLOOKUP(tbl_Ventes[[#This Row],[Cde_Prdt]], tbl_Produits[Cde_Prdt], tbl_Produits[Coût Moyen Portion]), 0)</f>
        <v>0</v>
      </c>
      <c r="I2892" s="7">
        <f>tbl_Ventes[[#This Row],[Qté Vendue]] * tbl_Ventes[[#This Row],[CMP_par_portion]]</f>
        <v>0</v>
      </c>
      <c r="J2892" s="7">
        <f>tbl_Ventes[[#This Row],[CA ligne]] - tbl_Ventes[[#This Row],[Coût matière ligne]]</f>
        <v>0</v>
      </c>
      <c r="K2892" s="7" t="str">
        <f>IFERROR(INDEX(tbl_ProduitsRef[Famille], MATCH(tbl_Ventes[[#This Row],[Cde_Prdt]], tbl_Produits[Cde_Prdt], 0)), "")</f>
        <v/>
      </c>
    </row>
    <row r="2893" spans="1:11" x14ac:dyDescent="0.25">
      <c r="A2893" s="5"/>
      <c r="B2893" s="63" t="str">
        <f>IFERROR(TEXT(tbl_Ventes[[#This Row],[Date]],"mm-aaaa"),"")</f>
        <v>01-1900</v>
      </c>
      <c r="D2893" s="10" t="str">
        <f>IFERROR(
   INDEX(tbl_ProduitsRef[Cde_Prdt],MATCH(tbl_Ventes[[#This Row],[Produit]],tbl_ProduitsRef[Produit],0)),
   ""
)</f>
        <v/>
      </c>
      <c r="E2893" s="7">
        <v>0</v>
      </c>
      <c r="F2893" s="7" t="str">
        <f>IFERROR(
   INDEX(tbl_ProduitsRef[Prix Menu],MATCH(tbl_Ventes[[#This Row],[Produit]],tbl_ProduitsRef[Produit],0)),
   ""
)</f>
        <v/>
      </c>
      <c r="G2893" s="7">
        <f>tbl_Ventes[[#This Row],[Qté Vendue]] * IFERROR(_xlfn.XLOOKUP(tbl_Ventes[[#This Row],[Cde_Prdt]], tbl_Produits[Cde_Prdt], tbl_Produits[Prix Menu]), 0)</f>
        <v>0</v>
      </c>
      <c r="H2893" s="7">
        <f>IFERROR(_xlfn.XLOOKUP(tbl_Ventes[[#This Row],[Cde_Prdt]], tbl_Produits[Cde_Prdt], tbl_Produits[Coût Moyen Portion]), 0)</f>
        <v>0</v>
      </c>
      <c r="I2893" s="7">
        <f>tbl_Ventes[[#This Row],[Qté Vendue]] * tbl_Ventes[[#This Row],[CMP_par_portion]]</f>
        <v>0</v>
      </c>
      <c r="J2893" s="7">
        <f>tbl_Ventes[[#This Row],[CA ligne]] - tbl_Ventes[[#This Row],[Coût matière ligne]]</f>
        <v>0</v>
      </c>
      <c r="K2893" s="7" t="str">
        <f>IFERROR(INDEX(tbl_ProduitsRef[Famille], MATCH(tbl_Ventes[[#This Row],[Cde_Prdt]], tbl_Produits[Cde_Prdt], 0)), "")</f>
        <v/>
      </c>
    </row>
    <row r="2894" spans="1:11" x14ac:dyDescent="0.25">
      <c r="A2894" s="5"/>
      <c r="B2894" s="63" t="str">
        <f>IFERROR(TEXT(tbl_Ventes[[#This Row],[Date]],"mm-aaaa"),"")</f>
        <v>01-1900</v>
      </c>
      <c r="D2894" s="10" t="str">
        <f>IFERROR(
   INDEX(tbl_ProduitsRef[Cde_Prdt],MATCH(tbl_Ventes[[#This Row],[Produit]],tbl_ProduitsRef[Produit],0)),
   ""
)</f>
        <v/>
      </c>
      <c r="E2894" s="7">
        <v>0</v>
      </c>
      <c r="F2894" s="7" t="str">
        <f>IFERROR(
   INDEX(tbl_ProduitsRef[Prix Menu],MATCH(tbl_Ventes[[#This Row],[Produit]],tbl_ProduitsRef[Produit],0)),
   ""
)</f>
        <v/>
      </c>
      <c r="G2894" s="7">
        <f>tbl_Ventes[[#This Row],[Qté Vendue]] * IFERROR(_xlfn.XLOOKUP(tbl_Ventes[[#This Row],[Cde_Prdt]], tbl_Produits[Cde_Prdt], tbl_Produits[Prix Menu]), 0)</f>
        <v>0</v>
      </c>
      <c r="H2894" s="7">
        <f>IFERROR(_xlfn.XLOOKUP(tbl_Ventes[[#This Row],[Cde_Prdt]], tbl_Produits[Cde_Prdt], tbl_Produits[Coût Moyen Portion]), 0)</f>
        <v>0</v>
      </c>
      <c r="I2894" s="7">
        <f>tbl_Ventes[[#This Row],[Qté Vendue]] * tbl_Ventes[[#This Row],[CMP_par_portion]]</f>
        <v>0</v>
      </c>
      <c r="J2894" s="7">
        <f>tbl_Ventes[[#This Row],[CA ligne]] - tbl_Ventes[[#This Row],[Coût matière ligne]]</f>
        <v>0</v>
      </c>
      <c r="K2894" s="7" t="str">
        <f>IFERROR(INDEX(tbl_ProduitsRef[Famille], MATCH(tbl_Ventes[[#This Row],[Cde_Prdt]], tbl_Produits[Cde_Prdt], 0)), "")</f>
        <v/>
      </c>
    </row>
    <row r="2895" spans="1:11" x14ac:dyDescent="0.25">
      <c r="A2895" s="5"/>
      <c r="B2895" s="63" t="str">
        <f>IFERROR(TEXT(tbl_Ventes[[#This Row],[Date]],"mm-aaaa"),"")</f>
        <v>01-1900</v>
      </c>
      <c r="D2895" s="10" t="str">
        <f>IFERROR(
   INDEX(tbl_ProduitsRef[Cde_Prdt],MATCH(tbl_Ventes[[#This Row],[Produit]],tbl_ProduitsRef[Produit],0)),
   ""
)</f>
        <v/>
      </c>
      <c r="E2895" s="7">
        <v>0</v>
      </c>
      <c r="F2895" s="7" t="str">
        <f>IFERROR(
   INDEX(tbl_ProduitsRef[Prix Menu],MATCH(tbl_Ventes[[#This Row],[Produit]],tbl_ProduitsRef[Produit],0)),
   ""
)</f>
        <v/>
      </c>
      <c r="G2895" s="7">
        <f>tbl_Ventes[[#This Row],[Qté Vendue]] * IFERROR(_xlfn.XLOOKUP(tbl_Ventes[[#This Row],[Cde_Prdt]], tbl_Produits[Cde_Prdt], tbl_Produits[Prix Menu]), 0)</f>
        <v>0</v>
      </c>
      <c r="H2895" s="7">
        <f>IFERROR(_xlfn.XLOOKUP(tbl_Ventes[[#This Row],[Cde_Prdt]], tbl_Produits[Cde_Prdt], tbl_Produits[Coût Moyen Portion]), 0)</f>
        <v>0</v>
      </c>
      <c r="I2895" s="7">
        <f>tbl_Ventes[[#This Row],[Qté Vendue]] * tbl_Ventes[[#This Row],[CMP_par_portion]]</f>
        <v>0</v>
      </c>
      <c r="J2895" s="7">
        <f>tbl_Ventes[[#This Row],[CA ligne]] - tbl_Ventes[[#This Row],[Coût matière ligne]]</f>
        <v>0</v>
      </c>
      <c r="K2895" s="7" t="str">
        <f>IFERROR(INDEX(tbl_ProduitsRef[Famille], MATCH(tbl_Ventes[[#This Row],[Cde_Prdt]], tbl_Produits[Cde_Prdt], 0)), "")</f>
        <v/>
      </c>
    </row>
    <row r="2896" spans="1:11" x14ac:dyDescent="0.25">
      <c r="A2896" s="5"/>
      <c r="B2896" s="63" t="str">
        <f>IFERROR(TEXT(tbl_Ventes[[#This Row],[Date]],"mm-aaaa"),"")</f>
        <v>01-1900</v>
      </c>
      <c r="D2896" s="10" t="str">
        <f>IFERROR(
   INDEX(tbl_ProduitsRef[Cde_Prdt],MATCH(tbl_Ventes[[#This Row],[Produit]],tbl_ProduitsRef[Produit],0)),
   ""
)</f>
        <v/>
      </c>
      <c r="E2896" s="7">
        <v>0</v>
      </c>
      <c r="F2896" s="7" t="str">
        <f>IFERROR(
   INDEX(tbl_ProduitsRef[Prix Menu],MATCH(tbl_Ventes[[#This Row],[Produit]],tbl_ProduitsRef[Produit],0)),
   ""
)</f>
        <v/>
      </c>
      <c r="G2896" s="7">
        <f>tbl_Ventes[[#This Row],[Qté Vendue]] * IFERROR(_xlfn.XLOOKUP(tbl_Ventes[[#This Row],[Cde_Prdt]], tbl_Produits[Cde_Prdt], tbl_Produits[Prix Menu]), 0)</f>
        <v>0</v>
      </c>
      <c r="H2896" s="7">
        <f>IFERROR(_xlfn.XLOOKUP(tbl_Ventes[[#This Row],[Cde_Prdt]], tbl_Produits[Cde_Prdt], tbl_Produits[Coût Moyen Portion]), 0)</f>
        <v>0</v>
      </c>
      <c r="I2896" s="7">
        <f>tbl_Ventes[[#This Row],[Qté Vendue]] * tbl_Ventes[[#This Row],[CMP_par_portion]]</f>
        <v>0</v>
      </c>
      <c r="J2896" s="7">
        <f>tbl_Ventes[[#This Row],[CA ligne]] - tbl_Ventes[[#This Row],[Coût matière ligne]]</f>
        <v>0</v>
      </c>
      <c r="K2896" s="7" t="str">
        <f>IFERROR(INDEX(tbl_ProduitsRef[Famille], MATCH(tbl_Ventes[[#This Row],[Cde_Prdt]], tbl_Produits[Cde_Prdt], 0)), "")</f>
        <v/>
      </c>
    </row>
    <row r="2897" spans="1:11" x14ac:dyDescent="0.25">
      <c r="A2897" s="5"/>
      <c r="B2897" s="63" t="str">
        <f>IFERROR(TEXT(tbl_Ventes[[#This Row],[Date]],"mm-aaaa"),"")</f>
        <v>01-1900</v>
      </c>
      <c r="D2897" s="10" t="str">
        <f>IFERROR(
   INDEX(tbl_ProduitsRef[Cde_Prdt],MATCH(tbl_Ventes[[#This Row],[Produit]],tbl_ProduitsRef[Produit],0)),
   ""
)</f>
        <v/>
      </c>
      <c r="E2897" s="7">
        <v>0</v>
      </c>
      <c r="F2897" s="7" t="str">
        <f>IFERROR(
   INDEX(tbl_ProduitsRef[Prix Menu],MATCH(tbl_Ventes[[#This Row],[Produit]],tbl_ProduitsRef[Produit],0)),
   ""
)</f>
        <v/>
      </c>
      <c r="G2897" s="7">
        <f>tbl_Ventes[[#This Row],[Qté Vendue]] * IFERROR(_xlfn.XLOOKUP(tbl_Ventes[[#This Row],[Cde_Prdt]], tbl_Produits[Cde_Prdt], tbl_Produits[Prix Menu]), 0)</f>
        <v>0</v>
      </c>
      <c r="H2897" s="7">
        <f>IFERROR(_xlfn.XLOOKUP(tbl_Ventes[[#This Row],[Cde_Prdt]], tbl_Produits[Cde_Prdt], tbl_Produits[Coût Moyen Portion]), 0)</f>
        <v>0</v>
      </c>
      <c r="I2897" s="7">
        <f>tbl_Ventes[[#This Row],[Qté Vendue]] * tbl_Ventes[[#This Row],[CMP_par_portion]]</f>
        <v>0</v>
      </c>
      <c r="J2897" s="7">
        <f>tbl_Ventes[[#This Row],[CA ligne]] - tbl_Ventes[[#This Row],[Coût matière ligne]]</f>
        <v>0</v>
      </c>
      <c r="K2897" s="7" t="str">
        <f>IFERROR(INDEX(tbl_ProduitsRef[Famille], MATCH(tbl_Ventes[[#This Row],[Cde_Prdt]], tbl_Produits[Cde_Prdt], 0)), "")</f>
        <v/>
      </c>
    </row>
    <row r="2898" spans="1:11" x14ac:dyDescent="0.25">
      <c r="A2898" s="5"/>
      <c r="B2898" s="63" t="str">
        <f>IFERROR(TEXT(tbl_Ventes[[#This Row],[Date]],"mm-aaaa"),"")</f>
        <v>01-1900</v>
      </c>
      <c r="D2898" s="10" t="str">
        <f>IFERROR(
   INDEX(tbl_ProduitsRef[Cde_Prdt],MATCH(tbl_Ventes[[#This Row],[Produit]],tbl_ProduitsRef[Produit],0)),
   ""
)</f>
        <v/>
      </c>
      <c r="E2898" s="7">
        <v>0</v>
      </c>
      <c r="F2898" s="7" t="str">
        <f>IFERROR(
   INDEX(tbl_ProduitsRef[Prix Menu],MATCH(tbl_Ventes[[#This Row],[Produit]],tbl_ProduitsRef[Produit],0)),
   ""
)</f>
        <v/>
      </c>
      <c r="G2898" s="7">
        <f>tbl_Ventes[[#This Row],[Qté Vendue]] * IFERROR(_xlfn.XLOOKUP(tbl_Ventes[[#This Row],[Cde_Prdt]], tbl_Produits[Cde_Prdt], tbl_Produits[Prix Menu]), 0)</f>
        <v>0</v>
      </c>
      <c r="H2898" s="7">
        <f>IFERROR(_xlfn.XLOOKUP(tbl_Ventes[[#This Row],[Cde_Prdt]], tbl_Produits[Cde_Prdt], tbl_Produits[Coût Moyen Portion]), 0)</f>
        <v>0</v>
      </c>
      <c r="I2898" s="7">
        <f>tbl_Ventes[[#This Row],[Qté Vendue]] * tbl_Ventes[[#This Row],[CMP_par_portion]]</f>
        <v>0</v>
      </c>
      <c r="J2898" s="7">
        <f>tbl_Ventes[[#This Row],[CA ligne]] - tbl_Ventes[[#This Row],[Coût matière ligne]]</f>
        <v>0</v>
      </c>
      <c r="K2898" s="7" t="str">
        <f>IFERROR(INDEX(tbl_ProduitsRef[Famille], MATCH(tbl_Ventes[[#This Row],[Cde_Prdt]], tbl_Produits[Cde_Prdt], 0)), "")</f>
        <v/>
      </c>
    </row>
    <row r="2899" spans="1:11" x14ac:dyDescent="0.25">
      <c r="A2899" s="5"/>
      <c r="B2899" s="63" t="str">
        <f>IFERROR(TEXT(tbl_Ventes[[#This Row],[Date]],"mm-aaaa"),"")</f>
        <v>01-1900</v>
      </c>
      <c r="D2899" s="10" t="str">
        <f>IFERROR(
   INDEX(tbl_ProduitsRef[Cde_Prdt],MATCH(tbl_Ventes[[#This Row],[Produit]],tbl_ProduitsRef[Produit],0)),
   ""
)</f>
        <v/>
      </c>
      <c r="E2899" s="7">
        <v>0</v>
      </c>
      <c r="F2899" s="7" t="str">
        <f>IFERROR(
   INDEX(tbl_ProduitsRef[Prix Menu],MATCH(tbl_Ventes[[#This Row],[Produit]],tbl_ProduitsRef[Produit],0)),
   ""
)</f>
        <v/>
      </c>
      <c r="G2899" s="7">
        <f>tbl_Ventes[[#This Row],[Qté Vendue]] * IFERROR(_xlfn.XLOOKUP(tbl_Ventes[[#This Row],[Cde_Prdt]], tbl_Produits[Cde_Prdt], tbl_Produits[Prix Menu]), 0)</f>
        <v>0</v>
      </c>
      <c r="H2899" s="7">
        <f>IFERROR(_xlfn.XLOOKUP(tbl_Ventes[[#This Row],[Cde_Prdt]], tbl_Produits[Cde_Prdt], tbl_Produits[Coût Moyen Portion]), 0)</f>
        <v>0</v>
      </c>
      <c r="I2899" s="7">
        <f>tbl_Ventes[[#This Row],[Qté Vendue]] * tbl_Ventes[[#This Row],[CMP_par_portion]]</f>
        <v>0</v>
      </c>
      <c r="J2899" s="7">
        <f>tbl_Ventes[[#This Row],[CA ligne]] - tbl_Ventes[[#This Row],[Coût matière ligne]]</f>
        <v>0</v>
      </c>
      <c r="K2899" s="7" t="str">
        <f>IFERROR(INDEX(tbl_ProduitsRef[Famille], MATCH(tbl_Ventes[[#This Row],[Cde_Prdt]], tbl_Produits[Cde_Prdt], 0)), "")</f>
        <v/>
      </c>
    </row>
    <row r="2900" spans="1:11" x14ac:dyDescent="0.25">
      <c r="A2900" s="5"/>
      <c r="B2900" s="63" t="str">
        <f>IFERROR(TEXT(tbl_Ventes[[#This Row],[Date]],"mm-aaaa"),"")</f>
        <v>01-1900</v>
      </c>
      <c r="D2900" s="10" t="str">
        <f>IFERROR(
   INDEX(tbl_ProduitsRef[Cde_Prdt],MATCH(tbl_Ventes[[#This Row],[Produit]],tbl_ProduitsRef[Produit],0)),
   ""
)</f>
        <v/>
      </c>
      <c r="E2900" s="7">
        <v>0</v>
      </c>
      <c r="F2900" s="7" t="str">
        <f>IFERROR(
   INDEX(tbl_ProduitsRef[Prix Menu],MATCH(tbl_Ventes[[#This Row],[Produit]],tbl_ProduitsRef[Produit],0)),
   ""
)</f>
        <v/>
      </c>
      <c r="G2900" s="7">
        <f>tbl_Ventes[[#This Row],[Qté Vendue]] * IFERROR(_xlfn.XLOOKUP(tbl_Ventes[[#This Row],[Cde_Prdt]], tbl_Produits[Cde_Prdt], tbl_Produits[Prix Menu]), 0)</f>
        <v>0</v>
      </c>
      <c r="H2900" s="7">
        <f>IFERROR(_xlfn.XLOOKUP(tbl_Ventes[[#This Row],[Cde_Prdt]], tbl_Produits[Cde_Prdt], tbl_Produits[Coût Moyen Portion]), 0)</f>
        <v>0</v>
      </c>
      <c r="I2900" s="7">
        <f>tbl_Ventes[[#This Row],[Qté Vendue]] * tbl_Ventes[[#This Row],[CMP_par_portion]]</f>
        <v>0</v>
      </c>
      <c r="J2900" s="7">
        <f>tbl_Ventes[[#This Row],[CA ligne]] - tbl_Ventes[[#This Row],[Coût matière ligne]]</f>
        <v>0</v>
      </c>
      <c r="K2900" s="7" t="str">
        <f>IFERROR(INDEX(tbl_ProduitsRef[Famille], MATCH(tbl_Ventes[[#This Row],[Cde_Prdt]], tbl_Produits[Cde_Prdt], 0)), "")</f>
        <v/>
      </c>
    </row>
    <row r="2901" spans="1:11" x14ac:dyDescent="0.25">
      <c r="A2901" s="5"/>
      <c r="B2901" s="63" t="str">
        <f>IFERROR(TEXT(tbl_Ventes[[#This Row],[Date]],"mm-aaaa"),"")</f>
        <v>01-1900</v>
      </c>
      <c r="D2901" s="10" t="str">
        <f>IFERROR(
   INDEX(tbl_ProduitsRef[Cde_Prdt],MATCH(tbl_Ventes[[#This Row],[Produit]],tbl_ProduitsRef[Produit],0)),
   ""
)</f>
        <v/>
      </c>
      <c r="E2901" s="7">
        <v>0</v>
      </c>
      <c r="F2901" s="7" t="str">
        <f>IFERROR(
   INDEX(tbl_ProduitsRef[Prix Menu],MATCH(tbl_Ventes[[#This Row],[Produit]],tbl_ProduitsRef[Produit],0)),
   ""
)</f>
        <v/>
      </c>
      <c r="G2901" s="7">
        <f>tbl_Ventes[[#This Row],[Qté Vendue]] * IFERROR(_xlfn.XLOOKUP(tbl_Ventes[[#This Row],[Cde_Prdt]], tbl_Produits[Cde_Prdt], tbl_Produits[Prix Menu]), 0)</f>
        <v>0</v>
      </c>
      <c r="H2901" s="7">
        <f>IFERROR(_xlfn.XLOOKUP(tbl_Ventes[[#This Row],[Cde_Prdt]], tbl_Produits[Cde_Prdt], tbl_Produits[Coût Moyen Portion]), 0)</f>
        <v>0</v>
      </c>
      <c r="I2901" s="7">
        <f>tbl_Ventes[[#This Row],[Qté Vendue]] * tbl_Ventes[[#This Row],[CMP_par_portion]]</f>
        <v>0</v>
      </c>
      <c r="J2901" s="7">
        <f>tbl_Ventes[[#This Row],[CA ligne]] - tbl_Ventes[[#This Row],[Coût matière ligne]]</f>
        <v>0</v>
      </c>
      <c r="K2901" s="7" t="str">
        <f>IFERROR(INDEX(tbl_ProduitsRef[Famille], MATCH(tbl_Ventes[[#This Row],[Cde_Prdt]], tbl_Produits[Cde_Prdt], 0)), "")</f>
        <v/>
      </c>
    </row>
    <row r="2902" spans="1:11" x14ac:dyDescent="0.25">
      <c r="A2902" s="5"/>
      <c r="B2902" s="63" t="str">
        <f>IFERROR(TEXT(tbl_Ventes[[#This Row],[Date]],"mm-aaaa"),"")</f>
        <v>01-1900</v>
      </c>
      <c r="D2902" s="10" t="str">
        <f>IFERROR(
   INDEX(tbl_ProduitsRef[Cde_Prdt],MATCH(tbl_Ventes[[#This Row],[Produit]],tbl_ProduitsRef[Produit],0)),
   ""
)</f>
        <v/>
      </c>
      <c r="E2902" s="7">
        <v>0</v>
      </c>
      <c r="F2902" s="7" t="str">
        <f>IFERROR(
   INDEX(tbl_ProduitsRef[Prix Menu],MATCH(tbl_Ventes[[#This Row],[Produit]],tbl_ProduitsRef[Produit],0)),
   ""
)</f>
        <v/>
      </c>
      <c r="G2902" s="7">
        <f>tbl_Ventes[[#This Row],[Qté Vendue]] * IFERROR(_xlfn.XLOOKUP(tbl_Ventes[[#This Row],[Cde_Prdt]], tbl_Produits[Cde_Prdt], tbl_Produits[Prix Menu]), 0)</f>
        <v>0</v>
      </c>
      <c r="H2902" s="7">
        <f>IFERROR(_xlfn.XLOOKUP(tbl_Ventes[[#This Row],[Cde_Prdt]], tbl_Produits[Cde_Prdt], tbl_Produits[Coût Moyen Portion]), 0)</f>
        <v>0</v>
      </c>
      <c r="I2902" s="7">
        <f>tbl_Ventes[[#This Row],[Qté Vendue]] * tbl_Ventes[[#This Row],[CMP_par_portion]]</f>
        <v>0</v>
      </c>
      <c r="J2902" s="7">
        <f>tbl_Ventes[[#This Row],[CA ligne]] - tbl_Ventes[[#This Row],[Coût matière ligne]]</f>
        <v>0</v>
      </c>
      <c r="K2902" s="7" t="str">
        <f>IFERROR(INDEX(tbl_ProduitsRef[Famille], MATCH(tbl_Ventes[[#This Row],[Cde_Prdt]], tbl_Produits[Cde_Prdt], 0)), "")</f>
        <v/>
      </c>
    </row>
    <row r="2903" spans="1:11" x14ac:dyDescent="0.25">
      <c r="A2903" s="5"/>
      <c r="B2903" s="63" t="str">
        <f>IFERROR(TEXT(tbl_Ventes[[#This Row],[Date]],"mm-aaaa"),"")</f>
        <v>01-1900</v>
      </c>
      <c r="D2903" s="10" t="str">
        <f>IFERROR(
   INDEX(tbl_ProduitsRef[Cde_Prdt],MATCH(tbl_Ventes[[#This Row],[Produit]],tbl_ProduitsRef[Produit],0)),
   ""
)</f>
        <v/>
      </c>
      <c r="E2903" s="7">
        <v>0</v>
      </c>
      <c r="F2903" s="7" t="str">
        <f>IFERROR(
   INDEX(tbl_ProduitsRef[Prix Menu],MATCH(tbl_Ventes[[#This Row],[Produit]],tbl_ProduitsRef[Produit],0)),
   ""
)</f>
        <v/>
      </c>
      <c r="G2903" s="7">
        <f>tbl_Ventes[[#This Row],[Qté Vendue]] * IFERROR(_xlfn.XLOOKUP(tbl_Ventes[[#This Row],[Cde_Prdt]], tbl_Produits[Cde_Prdt], tbl_Produits[Prix Menu]), 0)</f>
        <v>0</v>
      </c>
      <c r="H2903" s="7">
        <f>IFERROR(_xlfn.XLOOKUP(tbl_Ventes[[#This Row],[Cde_Prdt]], tbl_Produits[Cde_Prdt], tbl_Produits[Coût Moyen Portion]), 0)</f>
        <v>0</v>
      </c>
      <c r="I2903" s="7">
        <f>tbl_Ventes[[#This Row],[Qté Vendue]] * tbl_Ventes[[#This Row],[CMP_par_portion]]</f>
        <v>0</v>
      </c>
      <c r="J2903" s="7">
        <f>tbl_Ventes[[#This Row],[CA ligne]] - tbl_Ventes[[#This Row],[Coût matière ligne]]</f>
        <v>0</v>
      </c>
      <c r="K2903" s="7" t="str">
        <f>IFERROR(INDEX(tbl_ProduitsRef[Famille], MATCH(tbl_Ventes[[#This Row],[Cde_Prdt]], tbl_Produits[Cde_Prdt], 0)), "")</f>
        <v/>
      </c>
    </row>
    <row r="2904" spans="1:11" x14ac:dyDescent="0.25">
      <c r="A2904" s="5"/>
      <c r="B2904" s="63" t="str">
        <f>IFERROR(TEXT(tbl_Ventes[[#This Row],[Date]],"mm-aaaa"),"")</f>
        <v>01-1900</v>
      </c>
      <c r="D2904" s="10" t="str">
        <f>IFERROR(
   INDEX(tbl_ProduitsRef[Cde_Prdt],MATCH(tbl_Ventes[[#This Row],[Produit]],tbl_ProduitsRef[Produit],0)),
   ""
)</f>
        <v/>
      </c>
      <c r="E2904" s="7">
        <v>0</v>
      </c>
      <c r="F2904" s="7" t="str">
        <f>IFERROR(
   INDEX(tbl_ProduitsRef[Prix Menu],MATCH(tbl_Ventes[[#This Row],[Produit]],tbl_ProduitsRef[Produit],0)),
   ""
)</f>
        <v/>
      </c>
      <c r="G2904" s="7">
        <f>tbl_Ventes[[#This Row],[Qté Vendue]] * IFERROR(_xlfn.XLOOKUP(tbl_Ventes[[#This Row],[Cde_Prdt]], tbl_Produits[Cde_Prdt], tbl_Produits[Prix Menu]), 0)</f>
        <v>0</v>
      </c>
      <c r="H2904" s="7">
        <f>IFERROR(_xlfn.XLOOKUP(tbl_Ventes[[#This Row],[Cde_Prdt]], tbl_Produits[Cde_Prdt], tbl_Produits[Coût Moyen Portion]), 0)</f>
        <v>0</v>
      </c>
      <c r="I2904" s="7">
        <f>tbl_Ventes[[#This Row],[Qté Vendue]] * tbl_Ventes[[#This Row],[CMP_par_portion]]</f>
        <v>0</v>
      </c>
      <c r="J2904" s="7">
        <f>tbl_Ventes[[#This Row],[CA ligne]] - tbl_Ventes[[#This Row],[Coût matière ligne]]</f>
        <v>0</v>
      </c>
      <c r="K2904" s="7" t="str">
        <f>IFERROR(INDEX(tbl_ProduitsRef[Famille], MATCH(tbl_Ventes[[#This Row],[Cde_Prdt]], tbl_Produits[Cde_Prdt], 0)), "")</f>
        <v/>
      </c>
    </row>
    <row r="2905" spans="1:11" x14ac:dyDescent="0.25">
      <c r="A2905" s="5"/>
      <c r="B2905" s="63" t="str">
        <f>IFERROR(TEXT(tbl_Ventes[[#This Row],[Date]],"mm-aaaa"),"")</f>
        <v>01-1900</v>
      </c>
      <c r="D2905" s="10" t="str">
        <f>IFERROR(
   INDEX(tbl_ProduitsRef[Cde_Prdt],MATCH(tbl_Ventes[[#This Row],[Produit]],tbl_ProduitsRef[Produit],0)),
   ""
)</f>
        <v/>
      </c>
      <c r="E2905" s="7">
        <v>0</v>
      </c>
      <c r="F2905" s="7" t="str">
        <f>IFERROR(
   INDEX(tbl_ProduitsRef[Prix Menu],MATCH(tbl_Ventes[[#This Row],[Produit]],tbl_ProduitsRef[Produit],0)),
   ""
)</f>
        <v/>
      </c>
      <c r="G2905" s="7">
        <f>tbl_Ventes[[#This Row],[Qté Vendue]] * IFERROR(_xlfn.XLOOKUP(tbl_Ventes[[#This Row],[Cde_Prdt]], tbl_Produits[Cde_Prdt], tbl_Produits[Prix Menu]), 0)</f>
        <v>0</v>
      </c>
      <c r="H2905" s="7">
        <f>IFERROR(_xlfn.XLOOKUP(tbl_Ventes[[#This Row],[Cde_Prdt]], tbl_Produits[Cde_Prdt], tbl_Produits[Coût Moyen Portion]), 0)</f>
        <v>0</v>
      </c>
      <c r="I2905" s="7">
        <f>tbl_Ventes[[#This Row],[Qté Vendue]] * tbl_Ventes[[#This Row],[CMP_par_portion]]</f>
        <v>0</v>
      </c>
      <c r="J2905" s="7">
        <f>tbl_Ventes[[#This Row],[CA ligne]] - tbl_Ventes[[#This Row],[Coût matière ligne]]</f>
        <v>0</v>
      </c>
      <c r="K2905" s="7" t="str">
        <f>IFERROR(INDEX(tbl_ProduitsRef[Famille], MATCH(tbl_Ventes[[#This Row],[Cde_Prdt]], tbl_Produits[Cde_Prdt], 0)), "")</f>
        <v/>
      </c>
    </row>
    <row r="2906" spans="1:11" x14ac:dyDescent="0.25">
      <c r="A2906" s="5"/>
      <c r="B2906" s="63" t="str">
        <f>IFERROR(TEXT(tbl_Ventes[[#This Row],[Date]],"mm-aaaa"),"")</f>
        <v>01-1900</v>
      </c>
      <c r="D2906" s="10" t="str">
        <f>IFERROR(
   INDEX(tbl_ProduitsRef[Cde_Prdt],MATCH(tbl_Ventes[[#This Row],[Produit]],tbl_ProduitsRef[Produit],0)),
   ""
)</f>
        <v/>
      </c>
      <c r="E2906" s="7">
        <v>0</v>
      </c>
      <c r="F2906" s="7" t="str">
        <f>IFERROR(
   INDEX(tbl_ProduitsRef[Prix Menu],MATCH(tbl_Ventes[[#This Row],[Produit]],tbl_ProduitsRef[Produit],0)),
   ""
)</f>
        <v/>
      </c>
      <c r="G2906" s="7">
        <f>tbl_Ventes[[#This Row],[Qté Vendue]] * IFERROR(_xlfn.XLOOKUP(tbl_Ventes[[#This Row],[Cde_Prdt]], tbl_Produits[Cde_Prdt], tbl_Produits[Prix Menu]), 0)</f>
        <v>0</v>
      </c>
      <c r="H2906" s="7">
        <f>IFERROR(_xlfn.XLOOKUP(tbl_Ventes[[#This Row],[Cde_Prdt]], tbl_Produits[Cde_Prdt], tbl_Produits[Coût Moyen Portion]), 0)</f>
        <v>0</v>
      </c>
      <c r="I2906" s="7">
        <f>tbl_Ventes[[#This Row],[Qté Vendue]] * tbl_Ventes[[#This Row],[CMP_par_portion]]</f>
        <v>0</v>
      </c>
      <c r="J2906" s="7">
        <f>tbl_Ventes[[#This Row],[CA ligne]] - tbl_Ventes[[#This Row],[Coût matière ligne]]</f>
        <v>0</v>
      </c>
      <c r="K2906" s="7" t="str">
        <f>IFERROR(INDEX(tbl_ProduitsRef[Famille], MATCH(tbl_Ventes[[#This Row],[Cde_Prdt]], tbl_Produits[Cde_Prdt], 0)), "")</f>
        <v/>
      </c>
    </row>
    <row r="2907" spans="1:11" x14ac:dyDescent="0.25">
      <c r="A2907" s="5"/>
      <c r="B2907" s="63" t="str">
        <f>IFERROR(TEXT(tbl_Ventes[[#This Row],[Date]],"mm-aaaa"),"")</f>
        <v>01-1900</v>
      </c>
      <c r="D2907" s="10" t="str">
        <f>IFERROR(
   INDEX(tbl_ProduitsRef[Cde_Prdt],MATCH(tbl_Ventes[[#This Row],[Produit]],tbl_ProduitsRef[Produit],0)),
   ""
)</f>
        <v/>
      </c>
      <c r="E2907" s="7">
        <v>0</v>
      </c>
      <c r="F2907" s="7" t="str">
        <f>IFERROR(
   INDEX(tbl_ProduitsRef[Prix Menu],MATCH(tbl_Ventes[[#This Row],[Produit]],tbl_ProduitsRef[Produit],0)),
   ""
)</f>
        <v/>
      </c>
      <c r="G2907" s="7">
        <f>tbl_Ventes[[#This Row],[Qté Vendue]] * IFERROR(_xlfn.XLOOKUP(tbl_Ventes[[#This Row],[Cde_Prdt]], tbl_Produits[Cde_Prdt], tbl_Produits[Prix Menu]), 0)</f>
        <v>0</v>
      </c>
      <c r="H2907" s="7">
        <f>IFERROR(_xlfn.XLOOKUP(tbl_Ventes[[#This Row],[Cde_Prdt]], tbl_Produits[Cde_Prdt], tbl_Produits[Coût Moyen Portion]), 0)</f>
        <v>0</v>
      </c>
      <c r="I2907" s="7">
        <f>tbl_Ventes[[#This Row],[Qté Vendue]] * tbl_Ventes[[#This Row],[CMP_par_portion]]</f>
        <v>0</v>
      </c>
      <c r="J2907" s="7">
        <f>tbl_Ventes[[#This Row],[CA ligne]] - tbl_Ventes[[#This Row],[Coût matière ligne]]</f>
        <v>0</v>
      </c>
      <c r="K2907" s="7" t="str">
        <f>IFERROR(INDEX(tbl_ProduitsRef[Famille], MATCH(tbl_Ventes[[#This Row],[Cde_Prdt]], tbl_Produits[Cde_Prdt], 0)), "")</f>
        <v/>
      </c>
    </row>
    <row r="2908" spans="1:11" x14ac:dyDescent="0.25">
      <c r="A2908" s="5"/>
      <c r="B2908" s="63" t="str">
        <f>IFERROR(TEXT(tbl_Ventes[[#This Row],[Date]],"mm-aaaa"),"")</f>
        <v>01-1900</v>
      </c>
      <c r="D2908" s="10" t="str">
        <f>IFERROR(
   INDEX(tbl_ProduitsRef[Cde_Prdt],MATCH(tbl_Ventes[[#This Row],[Produit]],tbl_ProduitsRef[Produit],0)),
   ""
)</f>
        <v/>
      </c>
      <c r="E2908" s="7">
        <v>0</v>
      </c>
      <c r="F2908" s="7" t="str">
        <f>IFERROR(
   INDEX(tbl_ProduitsRef[Prix Menu],MATCH(tbl_Ventes[[#This Row],[Produit]],tbl_ProduitsRef[Produit],0)),
   ""
)</f>
        <v/>
      </c>
      <c r="G2908" s="7">
        <f>tbl_Ventes[[#This Row],[Qté Vendue]] * IFERROR(_xlfn.XLOOKUP(tbl_Ventes[[#This Row],[Cde_Prdt]], tbl_Produits[Cde_Prdt], tbl_Produits[Prix Menu]), 0)</f>
        <v>0</v>
      </c>
      <c r="H2908" s="7">
        <f>IFERROR(_xlfn.XLOOKUP(tbl_Ventes[[#This Row],[Cde_Prdt]], tbl_Produits[Cde_Prdt], tbl_Produits[Coût Moyen Portion]), 0)</f>
        <v>0</v>
      </c>
      <c r="I2908" s="7">
        <f>tbl_Ventes[[#This Row],[Qté Vendue]] * tbl_Ventes[[#This Row],[CMP_par_portion]]</f>
        <v>0</v>
      </c>
      <c r="J2908" s="7">
        <f>tbl_Ventes[[#This Row],[CA ligne]] - tbl_Ventes[[#This Row],[Coût matière ligne]]</f>
        <v>0</v>
      </c>
      <c r="K2908" s="7" t="str">
        <f>IFERROR(INDEX(tbl_ProduitsRef[Famille], MATCH(tbl_Ventes[[#This Row],[Cde_Prdt]], tbl_Produits[Cde_Prdt], 0)), "")</f>
        <v/>
      </c>
    </row>
    <row r="2909" spans="1:11" x14ac:dyDescent="0.25">
      <c r="A2909" s="5"/>
      <c r="B2909" s="63" t="str">
        <f>IFERROR(TEXT(tbl_Ventes[[#This Row],[Date]],"mm-aaaa"),"")</f>
        <v>01-1900</v>
      </c>
      <c r="D2909" s="10" t="str">
        <f>IFERROR(
   INDEX(tbl_ProduitsRef[Cde_Prdt],MATCH(tbl_Ventes[[#This Row],[Produit]],tbl_ProduitsRef[Produit],0)),
   ""
)</f>
        <v/>
      </c>
      <c r="E2909" s="7">
        <v>0</v>
      </c>
      <c r="F2909" s="7" t="str">
        <f>IFERROR(
   INDEX(tbl_ProduitsRef[Prix Menu],MATCH(tbl_Ventes[[#This Row],[Produit]],tbl_ProduitsRef[Produit],0)),
   ""
)</f>
        <v/>
      </c>
      <c r="G2909" s="7">
        <f>tbl_Ventes[[#This Row],[Qté Vendue]] * IFERROR(_xlfn.XLOOKUP(tbl_Ventes[[#This Row],[Cde_Prdt]], tbl_Produits[Cde_Prdt], tbl_Produits[Prix Menu]), 0)</f>
        <v>0</v>
      </c>
      <c r="H2909" s="7">
        <f>IFERROR(_xlfn.XLOOKUP(tbl_Ventes[[#This Row],[Cde_Prdt]], tbl_Produits[Cde_Prdt], tbl_Produits[Coût Moyen Portion]), 0)</f>
        <v>0</v>
      </c>
      <c r="I2909" s="7">
        <f>tbl_Ventes[[#This Row],[Qté Vendue]] * tbl_Ventes[[#This Row],[CMP_par_portion]]</f>
        <v>0</v>
      </c>
      <c r="J2909" s="7">
        <f>tbl_Ventes[[#This Row],[CA ligne]] - tbl_Ventes[[#This Row],[Coût matière ligne]]</f>
        <v>0</v>
      </c>
      <c r="K2909" s="7" t="str">
        <f>IFERROR(INDEX(tbl_ProduitsRef[Famille], MATCH(tbl_Ventes[[#This Row],[Cde_Prdt]], tbl_Produits[Cde_Prdt], 0)), "")</f>
        <v/>
      </c>
    </row>
    <row r="2910" spans="1:11" x14ac:dyDescent="0.25">
      <c r="A2910" s="5"/>
      <c r="B2910" s="63" t="str">
        <f>IFERROR(TEXT(tbl_Ventes[[#This Row],[Date]],"mm-aaaa"),"")</f>
        <v>01-1900</v>
      </c>
      <c r="D2910" s="10" t="str">
        <f>IFERROR(
   INDEX(tbl_ProduitsRef[Cde_Prdt],MATCH(tbl_Ventes[[#This Row],[Produit]],tbl_ProduitsRef[Produit],0)),
   ""
)</f>
        <v/>
      </c>
      <c r="E2910" s="7">
        <v>0</v>
      </c>
      <c r="F2910" s="7" t="str">
        <f>IFERROR(
   INDEX(tbl_ProduitsRef[Prix Menu],MATCH(tbl_Ventes[[#This Row],[Produit]],tbl_ProduitsRef[Produit],0)),
   ""
)</f>
        <v/>
      </c>
      <c r="G2910" s="7">
        <f>tbl_Ventes[[#This Row],[Qté Vendue]] * IFERROR(_xlfn.XLOOKUP(tbl_Ventes[[#This Row],[Cde_Prdt]], tbl_Produits[Cde_Prdt], tbl_Produits[Prix Menu]), 0)</f>
        <v>0</v>
      </c>
      <c r="H2910" s="7">
        <f>IFERROR(_xlfn.XLOOKUP(tbl_Ventes[[#This Row],[Cde_Prdt]], tbl_Produits[Cde_Prdt], tbl_Produits[Coût Moyen Portion]), 0)</f>
        <v>0</v>
      </c>
      <c r="I2910" s="7">
        <f>tbl_Ventes[[#This Row],[Qté Vendue]] * tbl_Ventes[[#This Row],[CMP_par_portion]]</f>
        <v>0</v>
      </c>
      <c r="J2910" s="7">
        <f>tbl_Ventes[[#This Row],[CA ligne]] - tbl_Ventes[[#This Row],[Coût matière ligne]]</f>
        <v>0</v>
      </c>
      <c r="K2910" s="7" t="str">
        <f>IFERROR(INDEX(tbl_ProduitsRef[Famille], MATCH(tbl_Ventes[[#This Row],[Cde_Prdt]], tbl_Produits[Cde_Prdt], 0)), "")</f>
        <v/>
      </c>
    </row>
    <row r="2911" spans="1:11" x14ac:dyDescent="0.25">
      <c r="A2911" s="5"/>
      <c r="B2911" s="63" t="str">
        <f>IFERROR(TEXT(tbl_Ventes[[#This Row],[Date]],"mm-aaaa"),"")</f>
        <v>01-1900</v>
      </c>
      <c r="D2911" s="10" t="str">
        <f>IFERROR(
   INDEX(tbl_ProduitsRef[Cde_Prdt],MATCH(tbl_Ventes[[#This Row],[Produit]],tbl_ProduitsRef[Produit],0)),
   ""
)</f>
        <v/>
      </c>
      <c r="E2911" s="7">
        <v>0</v>
      </c>
      <c r="F2911" s="7" t="str">
        <f>IFERROR(
   INDEX(tbl_ProduitsRef[Prix Menu],MATCH(tbl_Ventes[[#This Row],[Produit]],tbl_ProduitsRef[Produit],0)),
   ""
)</f>
        <v/>
      </c>
      <c r="G2911" s="7">
        <f>tbl_Ventes[[#This Row],[Qté Vendue]] * IFERROR(_xlfn.XLOOKUP(tbl_Ventes[[#This Row],[Cde_Prdt]], tbl_Produits[Cde_Prdt], tbl_Produits[Prix Menu]), 0)</f>
        <v>0</v>
      </c>
      <c r="H2911" s="7">
        <f>IFERROR(_xlfn.XLOOKUP(tbl_Ventes[[#This Row],[Cde_Prdt]], tbl_Produits[Cde_Prdt], tbl_Produits[Coût Moyen Portion]), 0)</f>
        <v>0</v>
      </c>
      <c r="I2911" s="7">
        <f>tbl_Ventes[[#This Row],[Qté Vendue]] * tbl_Ventes[[#This Row],[CMP_par_portion]]</f>
        <v>0</v>
      </c>
      <c r="J2911" s="7">
        <f>tbl_Ventes[[#This Row],[CA ligne]] - tbl_Ventes[[#This Row],[Coût matière ligne]]</f>
        <v>0</v>
      </c>
      <c r="K2911" s="7" t="str">
        <f>IFERROR(INDEX(tbl_ProduitsRef[Famille], MATCH(tbl_Ventes[[#This Row],[Cde_Prdt]], tbl_Produits[Cde_Prdt], 0)), "")</f>
        <v/>
      </c>
    </row>
    <row r="2912" spans="1:11" x14ac:dyDescent="0.25">
      <c r="A2912" s="5"/>
      <c r="B2912" s="63" t="str">
        <f>IFERROR(TEXT(tbl_Ventes[[#This Row],[Date]],"mm-aaaa"),"")</f>
        <v>01-1900</v>
      </c>
      <c r="D2912" s="10" t="str">
        <f>IFERROR(
   INDEX(tbl_ProduitsRef[Cde_Prdt],MATCH(tbl_Ventes[[#This Row],[Produit]],tbl_ProduitsRef[Produit],0)),
   ""
)</f>
        <v/>
      </c>
      <c r="E2912" s="7">
        <v>0</v>
      </c>
      <c r="F2912" s="7" t="str">
        <f>IFERROR(
   INDEX(tbl_ProduitsRef[Prix Menu],MATCH(tbl_Ventes[[#This Row],[Produit]],tbl_ProduitsRef[Produit],0)),
   ""
)</f>
        <v/>
      </c>
      <c r="G2912" s="7">
        <f>tbl_Ventes[[#This Row],[Qté Vendue]] * IFERROR(_xlfn.XLOOKUP(tbl_Ventes[[#This Row],[Cde_Prdt]], tbl_Produits[Cde_Prdt], tbl_Produits[Prix Menu]), 0)</f>
        <v>0</v>
      </c>
      <c r="H2912" s="7">
        <f>IFERROR(_xlfn.XLOOKUP(tbl_Ventes[[#This Row],[Cde_Prdt]], tbl_Produits[Cde_Prdt], tbl_Produits[Coût Moyen Portion]), 0)</f>
        <v>0</v>
      </c>
      <c r="I2912" s="7">
        <f>tbl_Ventes[[#This Row],[Qté Vendue]] * tbl_Ventes[[#This Row],[CMP_par_portion]]</f>
        <v>0</v>
      </c>
      <c r="J2912" s="7">
        <f>tbl_Ventes[[#This Row],[CA ligne]] - tbl_Ventes[[#This Row],[Coût matière ligne]]</f>
        <v>0</v>
      </c>
      <c r="K2912" s="7" t="str">
        <f>IFERROR(INDEX(tbl_ProduitsRef[Famille], MATCH(tbl_Ventes[[#This Row],[Cde_Prdt]], tbl_Produits[Cde_Prdt], 0)), "")</f>
        <v/>
      </c>
    </row>
    <row r="2913" spans="1:11" x14ac:dyDescent="0.25">
      <c r="A2913" s="5"/>
      <c r="B2913" s="63" t="str">
        <f>IFERROR(TEXT(tbl_Ventes[[#This Row],[Date]],"mm-aaaa"),"")</f>
        <v>01-1900</v>
      </c>
      <c r="D2913" s="10" t="str">
        <f>IFERROR(
   INDEX(tbl_ProduitsRef[Cde_Prdt],MATCH(tbl_Ventes[[#This Row],[Produit]],tbl_ProduitsRef[Produit],0)),
   ""
)</f>
        <v/>
      </c>
      <c r="E2913" s="7">
        <v>0</v>
      </c>
      <c r="F2913" s="7" t="str">
        <f>IFERROR(
   INDEX(tbl_ProduitsRef[Prix Menu],MATCH(tbl_Ventes[[#This Row],[Produit]],tbl_ProduitsRef[Produit],0)),
   ""
)</f>
        <v/>
      </c>
      <c r="G2913" s="7">
        <f>tbl_Ventes[[#This Row],[Qté Vendue]] * IFERROR(_xlfn.XLOOKUP(tbl_Ventes[[#This Row],[Cde_Prdt]], tbl_Produits[Cde_Prdt], tbl_Produits[Prix Menu]), 0)</f>
        <v>0</v>
      </c>
      <c r="H2913" s="7">
        <f>IFERROR(_xlfn.XLOOKUP(tbl_Ventes[[#This Row],[Cde_Prdt]], tbl_Produits[Cde_Prdt], tbl_Produits[Coût Moyen Portion]), 0)</f>
        <v>0</v>
      </c>
      <c r="I2913" s="7">
        <f>tbl_Ventes[[#This Row],[Qté Vendue]] * tbl_Ventes[[#This Row],[CMP_par_portion]]</f>
        <v>0</v>
      </c>
      <c r="J2913" s="7">
        <f>tbl_Ventes[[#This Row],[CA ligne]] - tbl_Ventes[[#This Row],[Coût matière ligne]]</f>
        <v>0</v>
      </c>
      <c r="K2913" s="7" t="str">
        <f>IFERROR(INDEX(tbl_ProduitsRef[Famille], MATCH(tbl_Ventes[[#This Row],[Cde_Prdt]], tbl_Produits[Cde_Prdt], 0)), "")</f>
        <v/>
      </c>
    </row>
    <row r="2914" spans="1:11" x14ac:dyDescent="0.25">
      <c r="A2914" s="5"/>
      <c r="B2914" s="63" t="str">
        <f>IFERROR(TEXT(tbl_Ventes[[#This Row],[Date]],"mm-aaaa"),"")</f>
        <v>01-1900</v>
      </c>
      <c r="D2914" s="10" t="str">
        <f>IFERROR(
   INDEX(tbl_ProduitsRef[Cde_Prdt],MATCH(tbl_Ventes[[#This Row],[Produit]],tbl_ProduitsRef[Produit],0)),
   ""
)</f>
        <v/>
      </c>
      <c r="E2914" s="7">
        <v>0</v>
      </c>
      <c r="F2914" s="7" t="str">
        <f>IFERROR(
   INDEX(tbl_ProduitsRef[Prix Menu],MATCH(tbl_Ventes[[#This Row],[Produit]],tbl_ProduitsRef[Produit],0)),
   ""
)</f>
        <v/>
      </c>
      <c r="G2914" s="7">
        <f>tbl_Ventes[[#This Row],[Qté Vendue]] * IFERROR(_xlfn.XLOOKUP(tbl_Ventes[[#This Row],[Cde_Prdt]], tbl_Produits[Cde_Prdt], tbl_Produits[Prix Menu]), 0)</f>
        <v>0</v>
      </c>
      <c r="H2914" s="7">
        <f>IFERROR(_xlfn.XLOOKUP(tbl_Ventes[[#This Row],[Cde_Prdt]], tbl_Produits[Cde_Prdt], tbl_Produits[Coût Moyen Portion]), 0)</f>
        <v>0</v>
      </c>
      <c r="I2914" s="7">
        <f>tbl_Ventes[[#This Row],[Qté Vendue]] * tbl_Ventes[[#This Row],[CMP_par_portion]]</f>
        <v>0</v>
      </c>
      <c r="J2914" s="7">
        <f>tbl_Ventes[[#This Row],[CA ligne]] - tbl_Ventes[[#This Row],[Coût matière ligne]]</f>
        <v>0</v>
      </c>
      <c r="K2914" s="7" t="str">
        <f>IFERROR(INDEX(tbl_ProduitsRef[Famille], MATCH(tbl_Ventes[[#This Row],[Cde_Prdt]], tbl_Produits[Cde_Prdt], 0)), "")</f>
        <v/>
      </c>
    </row>
    <row r="2915" spans="1:11" x14ac:dyDescent="0.25">
      <c r="A2915" s="5"/>
      <c r="B2915" s="63" t="str">
        <f>IFERROR(TEXT(tbl_Ventes[[#This Row],[Date]],"mm-aaaa"),"")</f>
        <v>01-1900</v>
      </c>
      <c r="D2915" s="10" t="str">
        <f>IFERROR(
   INDEX(tbl_ProduitsRef[Cde_Prdt],MATCH(tbl_Ventes[[#This Row],[Produit]],tbl_ProduitsRef[Produit],0)),
   ""
)</f>
        <v/>
      </c>
      <c r="E2915" s="7">
        <v>0</v>
      </c>
      <c r="F2915" s="7" t="str">
        <f>IFERROR(
   INDEX(tbl_ProduitsRef[Prix Menu],MATCH(tbl_Ventes[[#This Row],[Produit]],tbl_ProduitsRef[Produit],0)),
   ""
)</f>
        <v/>
      </c>
      <c r="G2915" s="7">
        <f>tbl_Ventes[[#This Row],[Qté Vendue]] * IFERROR(_xlfn.XLOOKUP(tbl_Ventes[[#This Row],[Cde_Prdt]], tbl_Produits[Cde_Prdt], tbl_Produits[Prix Menu]), 0)</f>
        <v>0</v>
      </c>
      <c r="H2915" s="7">
        <f>IFERROR(_xlfn.XLOOKUP(tbl_Ventes[[#This Row],[Cde_Prdt]], tbl_Produits[Cde_Prdt], tbl_Produits[Coût Moyen Portion]), 0)</f>
        <v>0</v>
      </c>
      <c r="I2915" s="7">
        <f>tbl_Ventes[[#This Row],[Qté Vendue]] * tbl_Ventes[[#This Row],[CMP_par_portion]]</f>
        <v>0</v>
      </c>
      <c r="J2915" s="7">
        <f>tbl_Ventes[[#This Row],[CA ligne]] - tbl_Ventes[[#This Row],[Coût matière ligne]]</f>
        <v>0</v>
      </c>
      <c r="K2915" s="7" t="str">
        <f>IFERROR(INDEX(tbl_ProduitsRef[Famille], MATCH(tbl_Ventes[[#This Row],[Cde_Prdt]], tbl_Produits[Cde_Prdt], 0)), "")</f>
        <v/>
      </c>
    </row>
    <row r="2916" spans="1:11" x14ac:dyDescent="0.25">
      <c r="A2916" s="5"/>
      <c r="B2916" s="63" t="str">
        <f>IFERROR(TEXT(tbl_Ventes[[#This Row],[Date]],"mm-aaaa"),"")</f>
        <v>01-1900</v>
      </c>
      <c r="D2916" s="10" t="str">
        <f>IFERROR(
   INDEX(tbl_ProduitsRef[Cde_Prdt],MATCH(tbl_Ventes[[#This Row],[Produit]],tbl_ProduitsRef[Produit],0)),
   ""
)</f>
        <v/>
      </c>
      <c r="E2916" s="7">
        <v>0</v>
      </c>
      <c r="F2916" s="7" t="str">
        <f>IFERROR(
   INDEX(tbl_ProduitsRef[Prix Menu],MATCH(tbl_Ventes[[#This Row],[Produit]],tbl_ProduitsRef[Produit],0)),
   ""
)</f>
        <v/>
      </c>
      <c r="G2916" s="7">
        <f>tbl_Ventes[[#This Row],[Qté Vendue]] * IFERROR(_xlfn.XLOOKUP(tbl_Ventes[[#This Row],[Cde_Prdt]], tbl_Produits[Cde_Prdt], tbl_Produits[Prix Menu]), 0)</f>
        <v>0</v>
      </c>
      <c r="H2916" s="7">
        <f>IFERROR(_xlfn.XLOOKUP(tbl_Ventes[[#This Row],[Cde_Prdt]], tbl_Produits[Cde_Prdt], tbl_Produits[Coût Moyen Portion]), 0)</f>
        <v>0</v>
      </c>
      <c r="I2916" s="7">
        <f>tbl_Ventes[[#This Row],[Qté Vendue]] * tbl_Ventes[[#This Row],[CMP_par_portion]]</f>
        <v>0</v>
      </c>
      <c r="J2916" s="7">
        <f>tbl_Ventes[[#This Row],[CA ligne]] - tbl_Ventes[[#This Row],[Coût matière ligne]]</f>
        <v>0</v>
      </c>
      <c r="K2916" s="7" t="str">
        <f>IFERROR(INDEX(tbl_ProduitsRef[Famille], MATCH(tbl_Ventes[[#This Row],[Cde_Prdt]], tbl_Produits[Cde_Prdt], 0)), "")</f>
        <v/>
      </c>
    </row>
    <row r="2917" spans="1:11" x14ac:dyDescent="0.25">
      <c r="A2917" s="5"/>
      <c r="B2917" s="63" t="str">
        <f>IFERROR(TEXT(tbl_Ventes[[#This Row],[Date]],"mm-aaaa"),"")</f>
        <v>01-1900</v>
      </c>
      <c r="D2917" s="10" t="str">
        <f>IFERROR(
   INDEX(tbl_ProduitsRef[Cde_Prdt],MATCH(tbl_Ventes[[#This Row],[Produit]],tbl_ProduitsRef[Produit],0)),
   ""
)</f>
        <v/>
      </c>
      <c r="E2917" s="7">
        <v>0</v>
      </c>
      <c r="F2917" s="7" t="str">
        <f>IFERROR(
   INDEX(tbl_ProduitsRef[Prix Menu],MATCH(tbl_Ventes[[#This Row],[Produit]],tbl_ProduitsRef[Produit],0)),
   ""
)</f>
        <v/>
      </c>
      <c r="G2917" s="7">
        <f>tbl_Ventes[[#This Row],[Qté Vendue]] * IFERROR(_xlfn.XLOOKUP(tbl_Ventes[[#This Row],[Cde_Prdt]], tbl_Produits[Cde_Prdt], tbl_Produits[Prix Menu]), 0)</f>
        <v>0</v>
      </c>
      <c r="H2917" s="7">
        <f>IFERROR(_xlfn.XLOOKUP(tbl_Ventes[[#This Row],[Cde_Prdt]], tbl_Produits[Cde_Prdt], tbl_Produits[Coût Moyen Portion]), 0)</f>
        <v>0</v>
      </c>
      <c r="I2917" s="7">
        <f>tbl_Ventes[[#This Row],[Qté Vendue]] * tbl_Ventes[[#This Row],[CMP_par_portion]]</f>
        <v>0</v>
      </c>
      <c r="J2917" s="7">
        <f>tbl_Ventes[[#This Row],[CA ligne]] - tbl_Ventes[[#This Row],[Coût matière ligne]]</f>
        <v>0</v>
      </c>
      <c r="K2917" s="7" t="str">
        <f>IFERROR(INDEX(tbl_ProduitsRef[Famille], MATCH(tbl_Ventes[[#This Row],[Cde_Prdt]], tbl_Produits[Cde_Prdt], 0)), "")</f>
        <v/>
      </c>
    </row>
    <row r="2918" spans="1:11" x14ac:dyDescent="0.25">
      <c r="A2918" s="5"/>
      <c r="B2918" s="63" t="str">
        <f>IFERROR(TEXT(tbl_Ventes[[#This Row],[Date]],"mm-aaaa"),"")</f>
        <v>01-1900</v>
      </c>
      <c r="D2918" s="10" t="str">
        <f>IFERROR(
   INDEX(tbl_ProduitsRef[Cde_Prdt],MATCH(tbl_Ventes[[#This Row],[Produit]],tbl_ProduitsRef[Produit],0)),
   ""
)</f>
        <v/>
      </c>
      <c r="E2918" s="7">
        <v>0</v>
      </c>
      <c r="F2918" s="7" t="str">
        <f>IFERROR(
   INDEX(tbl_ProduitsRef[Prix Menu],MATCH(tbl_Ventes[[#This Row],[Produit]],tbl_ProduitsRef[Produit],0)),
   ""
)</f>
        <v/>
      </c>
      <c r="G2918" s="7">
        <f>tbl_Ventes[[#This Row],[Qté Vendue]] * IFERROR(_xlfn.XLOOKUP(tbl_Ventes[[#This Row],[Cde_Prdt]], tbl_Produits[Cde_Prdt], tbl_Produits[Prix Menu]), 0)</f>
        <v>0</v>
      </c>
      <c r="H2918" s="7">
        <f>IFERROR(_xlfn.XLOOKUP(tbl_Ventes[[#This Row],[Cde_Prdt]], tbl_Produits[Cde_Prdt], tbl_Produits[Coût Moyen Portion]), 0)</f>
        <v>0</v>
      </c>
      <c r="I2918" s="7">
        <f>tbl_Ventes[[#This Row],[Qté Vendue]] * tbl_Ventes[[#This Row],[CMP_par_portion]]</f>
        <v>0</v>
      </c>
      <c r="J2918" s="7">
        <f>tbl_Ventes[[#This Row],[CA ligne]] - tbl_Ventes[[#This Row],[Coût matière ligne]]</f>
        <v>0</v>
      </c>
      <c r="K2918" s="7" t="str">
        <f>IFERROR(INDEX(tbl_ProduitsRef[Famille], MATCH(tbl_Ventes[[#This Row],[Cde_Prdt]], tbl_Produits[Cde_Prdt], 0)), "")</f>
        <v/>
      </c>
    </row>
    <row r="2919" spans="1:11" x14ac:dyDescent="0.25">
      <c r="A2919" s="5"/>
      <c r="B2919" s="63" t="str">
        <f>IFERROR(TEXT(tbl_Ventes[[#This Row],[Date]],"mm-aaaa"),"")</f>
        <v>01-1900</v>
      </c>
      <c r="D2919" s="10" t="str">
        <f>IFERROR(
   INDEX(tbl_ProduitsRef[Cde_Prdt],MATCH(tbl_Ventes[[#This Row],[Produit]],tbl_ProduitsRef[Produit],0)),
   ""
)</f>
        <v/>
      </c>
      <c r="E2919" s="7">
        <v>0</v>
      </c>
      <c r="F2919" s="7" t="str">
        <f>IFERROR(
   INDEX(tbl_ProduitsRef[Prix Menu],MATCH(tbl_Ventes[[#This Row],[Produit]],tbl_ProduitsRef[Produit],0)),
   ""
)</f>
        <v/>
      </c>
      <c r="G2919" s="7">
        <f>tbl_Ventes[[#This Row],[Qté Vendue]] * IFERROR(_xlfn.XLOOKUP(tbl_Ventes[[#This Row],[Cde_Prdt]], tbl_Produits[Cde_Prdt], tbl_Produits[Prix Menu]), 0)</f>
        <v>0</v>
      </c>
      <c r="H2919" s="7">
        <f>IFERROR(_xlfn.XLOOKUP(tbl_Ventes[[#This Row],[Cde_Prdt]], tbl_Produits[Cde_Prdt], tbl_Produits[Coût Moyen Portion]), 0)</f>
        <v>0</v>
      </c>
      <c r="I2919" s="7">
        <f>tbl_Ventes[[#This Row],[Qté Vendue]] * tbl_Ventes[[#This Row],[CMP_par_portion]]</f>
        <v>0</v>
      </c>
      <c r="J2919" s="7">
        <f>tbl_Ventes[[#This Row],[CA ligne]] - tbl_Ventes[[#This Row],[Coût matière ligne]]</f>
        <v>0</v>
      </c>
      <c r="K2919" s="7" t="str">
        <f>IFERROR(INDEX(tbl_ProduitsRef[Famille], MATCH(tbl_Ventes[[#This Row],[Cde_Prdt]], tbl_Produits[Cde_Prdt], 0)), "")</f>
        <v/>
      </c>
    </row>
    <row r="2920" spans="1:11" x14ac:dyDescent="0.25">
      <c r="A2920" s="5"/>
      <c r="B2920" s="63" t="str">
        <f>IFERROR(TEXT(tbl_Ventes[[#This Row],[Date]],"mm-aaaa"),"")</f>
        <v>01-1900</v>
      </c>
      <c r="D2920" s="10" t="str">
        <f>IFERROR(
   INDEX(tbl_ProduitsRef[Cde_Prdt],MATCH(tbl_Ventes[[#This Row],[Produit]],tbl_ProduitsRef[Produit],0)),
   ""
)</f>
        <v/>
      </c>
      <c r="E2920" s="7">
        <v>0</v>
      </c>
      <c r="F2920" s="7" t="str">
        <f>IFERROR(
   INDEX(tbl_ProduitsRef[Prix Menu],MATCH(tbl_Ventes[[#This Row],[Produit]],tbl_ProduitsRef[Produit],0)),
   ""
)</f>
        <v/>
      </c>
      <c r="G2920" s="7">
        <f>tbl_Ventes[[#This Row],[Qté Vendue]] * IFERROR(_xlfn.XLOOKUP(tbl_Ventes[[#This Row],[Cde_Prdt]], tbl_Produits[Cde_Prdt], tbl_Produits[Prix Menu]), 0)</f>
        <v>0</v>
      </c>
      <c r="H2920" s="7">
        <f>IFERROR(_xlfn.XLOOKUP(tbl_Ventes[[#This Row],[Cde_Prdt]], tbl_Produits[Cde_Prdt], tbl_Produits[Coût Moyen Portion]), 0)</f>
        <v>0</v>
      </c>
      <c r="I2920" s="7">
        <f>tbl_Ventes[[#This Row],[Qté Vendue]] * tbl_Ventes[[#This Row],[CMP_par_portion]]</f>
        <v>0</v>
      </c>
      <c r="J2920" s="7">
        <f>tbl_Ventes[[#This Row],[CA ligne]] - tbl_Ventes[[#This Row],[Coût matière ligne]]</f>
        <v>0</v>
      </c>
      <c r="K2920" s="7" t="str">
        <f>IFERROR(INDEX(tbl_ProduitsRef[Famille], MATCH(tbl_Ventes[[#This Row],[Cde_Prdt]], tbl_Produits[Cde_Prdt], 0)), "")</f>
        <v/>
      </c>
    </row>
    <row r="2921" spans="1:11" x14ac:dyDescent="0.25">
      <c r="A2921" s="5"/>
      <c r="B2921" s="63" t="str">
        <f>IFERROR(TEXT(tbl_Ventes[[#This Row],[Date]],"mm-aaaa"),"")</f>
        <v>01-1900</v>
      </c>
      <c r="D2921" s="10" t="str">
        <f>IFERROR(
   INDEX(tbl_ProduitsRef[Cde_Prdt],MATCH(tbl_Ventes[[#This Row],[Produit]],tbl_ProduitsRef[Produit],0)),
   ""
)</f>
        <v/>
      </c>
      <c r="E2921" s="7">
        <v>0</v>
      </c>
      <c r="F2921" s="7" t="str">
        <f>IFERROR(
   INDEX(tbl_ProduitsRef[Prix Menu],MATCH(tbl_Ventes[[#This Row],[Produit]],tbl_ProduitsRef[Produit],0)),
   ""
)</f>
        <v/>
      </c>
      <c r="G2921" s="7">
        <f>tbl_Ventes[[#This Row],[Qté Vendue]] * IFERROR(_xlfn.XLOOKUP(tbl_Ventes[[#This Row],[Cde_Prdt]], tbl_Produits[Cde_Prdt], tbl_Produits[Prix Menu]), 0)</f>
        <v>0</v>
      </c>
      <c r="H2921" s="7">
        <f>IFERROR(_xlfn.XLOOKUP(tbl_Ventes[[#This Row],[Cde_Prdt]], tbl_Produits[Cde_Prdt], tbl_Produits[Coût Moyen Portion]), 0)</f>
        <v>0</v>
      </c>
      <c r="I2921" s="7">
        <f>tbl_Ventes[[#This Row],[Qté Vendue]] * tbl_Ventes[[#This Row],[CMP_par_portion]]</f>
        <v>0</v>
      </c>
      <c r="J2921" s="7">
        <f>tbl_Ventes[[#This Row],[CA ligne]] - tbl_Ventes[[#This Row],[Coût matière ligne]]</f>
        <v>0</v>
      </c>
      <c r="K2921" s="7" t="str">
        <f>IFERROR(INDEX(tbl_ProduitsRef[Famille], MATCH(tbl_Ventes[[#This Row],[Cde_Prdt]], tbl_Produits[Cde_Prdt], 0)), "")</f>
        <v/>
      </c>
    </row>
    <row r="2922" spans="1:11" x14ac:dyDescent="0.25">
      <c r="A2922" s="5"/>
      <c r="B2922" s="63" t="str">
        <f>IFERROR(TEXT(tbl_Ventes[[#This Row],[Date]],"mm-aaaa"),"")</f>
        <v>01-1900</v>
      </c>
      <c r="D2922" s="10" t="str">
        <f>IFERROR(
   INDEX(tbl_ProduitsRef[Cde_Prdt],MATCH(tbl_Ventes[[#This Row],[Produit]],tbl_ProduitsRef[Produit],0)),
   ""
)</f>
        <v/>
      </c>
      <c r="E2922" s="7">
        <v>0</v>
      </c>
      <c r="F2922" s="7" t="str">
        <f>IFERROR(
   INDEX(tbl_ProduitsRef[Prix Menu],MATCH(tbl_Ventes[[#This Row],[Produit]],tbl_ProduitsRef[Produit],0)),
   ""
)</f>
        <v/>
      </c>
      <c r="G2922" s="7">
        <f>tbl_Ventes[[#This Row],[Qté Vendue]] * IFERROR(_xlfn.XLOOKUP(tbl_Ventes[[#This Row],[Cde_Prdt]], tbl_Produits[Cde_Prdt], tbl_Produits[Prix Menu]), 0)</f>
        <v>0</v>
      </c>
      <c r="H2922" s="7">
        <f>IFERROR(_xlfn.XLOOKUP(tbl_Ventes[[#This Row],[Cde_Prdt]], tbl_Produits[Cde_Prdt], tbl_Produits[Coût Moyen Portion]), 0)</f>
        <v>0</v>
      </c>
      <c r="I2922" s="7">
        <f>tbl_Ventes[[#This Row],[Qté Vendue]] * tbl_Ventes[[#This Row],[CMP_par_portion]]</f>
        <v>0</v>
      </c>
      <c r="J2922" s="7">
        <f>tbl_Ventes[[#This Row],[CA ligne]] - tbl_Ventes[[#This Row],[Coût matière ligne]]</f>
        <v>0</v>
      </c>
      <c r="K2922" s="7" t="str">
        <f>IFERROR(INDEX(tbl_ProduitsRef[Famille], MATCH(tbl_Ventes[[#This Row],[Cde_Prdt]], tbl_Produits[Cde_Prdt], 0)), "")</f>
        <v/>
      </c>
    </row>
    <row r="2923" spans="1:11" x14ac:dyDescent="0.25">
      <c r="A2923" s="5"/>
      <c r="B2923" s="63" t="str">
        <f>IFERROR(TEXT(tbl_Ventes[[#This Row],[Date]],"mm-aaaa"),"")</f>
        <v>01-1900</v>
      </c>
      <c r="D2923" s="10" t="str">
        <f>IFERROR(
   INDEX(tbl_ProduitsRef[Cde_Prdt],MATCH(tbl_Ventes[[#This Row],[Produit]],tbl_ProduitsRef[Produit],0)),
   ""
)</f>
        <v/>
      </c>
      <c r="E2923" s="7">
        <v>0</v>
      </c>
      <c r="F2923" s="7" t="str">
        <f>IFERROR(
   INDEX(tbl_ProduitsRef[Prix Menu],MATCH(tbl_Ventes[[#This Row],[Produit]],tbl_ProduitsRef[Produit],0)),
   ""
)</f>
        <v/>
      </c>
      <c r="G2923" s="7">
        <f>tbl_Ventes[[#This Row],[Qté Vendue]] * IFERROR(_xlfn.XLOOKUP(tbl_Ventes[[#This Row],[Cde_Prdt]], tbl_Produits[Cde_Prdt], tbl_Produits[Prix Menu]), 0)</f>
        <v>0</v>
      </c>
      <c r="H2923" s="7">
        <f>IFERROR(_xlfn.XLOOKUP(tbl_Ventes[[#This Row],[Cde_Prdt]], tbl_Produits[Cde_Prdt], tbl_Produits[Coût Moyen Portion]), 0)</f>
        <v>0</v>
      </c>
      <c r="I2923" s="7">
        <f>tbl_Ventes[[#This Row],[Qté Vendue]] * tbl_Ventes[[#This Row],[CMP_par_portion]]</f>
        <v>0</v>
      </c>
      <c r="J2923" s="7">
        <f>tbl_Ventes[[#This Row],[CA ligne]] - tbl_Ventes[[#This Row],[Coût matière ligne]]</f>
        <v>0</v>
      </c>
      <c r="K2923" s="7" t="str">
        <f>IFERROR(INDEX(tbl_ProduitsRef[Famille], MATCH(tbl_Ventes[[#This Row],[Cde_Prdt]], tbl_Produits[Cde_Prdt], 0)), "")</f>
        <v/>
      </c>
    </row>
    <row r="2924" spans="1:11" x14ac:dyDescent="0.25">
      <c r="A2924" s="5"/>
      <c r="B2924" s="63" t="str">
        <f>IFERROR(TEXT(tbl_Ventes[[#This Row],[Date]],"mm-aaaa"),"")</f>
        <v>01-1900</v>
      </c>
      <c r="D2924" s="10" t="str">
        <f>IFERROR(
   INDEX(tbl_ProduitsRef[Cde_Prdt],MATCH(tbl_Ventes[[#This Row],[Produit]],tbl_ProduitsRef[Produit],0)),
   ""
)</f>
        <v/>
      </c>
      <c r="E2924" s="7">
        <v>0</v>
      </c>
      <c r="F2924" s="7" t="str">
        <f>IFERROR(
   INDEX(tbl_ProduitsRef[Prix Menu],MATCH(tbl_Ventes[[#This Row],[Produit]],tbl_ProduitsRef[Produit],0)),
   ""
)</f>
        <v/>
      </c>
      <c r="G2924" s="7">
        <f>tbl_Ventes[[#This Row],[Qté Vendue]] * IFERROR(_xlfn.XLOOKUP(tbl_Ventes[[#This Row],[Cde_Prdt]], tbl_Produits[Cde_Prdt], tbl_Produits[Prix Menu]), 0)</f>
        <v>0</v>
      </c>
      <c r="H2924" s="7">
        <f>IFERROR(_xlfn.XLOOKUP(tbl_Ventes[[#This Row],[Cde_Prdt]], tbl_Produits[Cde_Prdt], tbl_Produits[Coût Moyen Portion]), 0)</f>
        <v>0</v>
      </c>
      <c r="I2924" s="7">
        <f>tbl_Ventes[[#This Row],[Qté Vendue]] * tbl_Ventes[[#This Row],[CMP_par_portion]]</f>
        <v>0</v>
      </c>
      <c r="J2924" s="7">
        <f>tbl_Ventes[[#This Row],[CA ligne]] - tbl_Ventes[[#This Row],[Coût matière ligne]]</f>
        <v>0</v>
      </c>
      <c r="K2924" s="7" t="str">
        <f>IFERROR(INDEX(tbl_ProduitsRef[Famille], MATCH(tbl_Ventes[[#This Row],[Cde_Prdt]], tbl_Produits[Cde_Prdt], 0)), "")</f>
        <v/>
      </c>
    </row>
    <row r="2925" spans="1:11" x14ac:dyDescent="0.25">
      <c r="A2925" s="5"/>
      <c r="B2925" s="63" t="str">
        <f>IFERROR(TEXT(tbl_Ventes[[#This Row],[Date]],"mm-aaaa"),"")</f>
        <v>01-1900</v>
      </c>
      <c r="D2925" s="10" t="str">
        <f>IFERROR(
   INDEX(tbl_ProduitsRef[Cde_Prdt],MATCH(tbl_Ventes[[#This Row],[Produit]],tbl_ProduitsRef[Produit],0)),
   ""
)</f>
        <v/>
      </c>
      <c r="E2925" s="7">
        <v>0</v>
      </c>
      <c r="F2925" s="7" t="str">
        <f>IFERROR(
   INDEX(tbl_ProduitsRef[Prix Menu],MATCH(tbl_Ventes[[#This Row],[Produit]],tbl_ProduitsRef[Produit],0)),
   ""
)</f>
        <v/>
      </c>
      <c r="G2925" s="7">
        <f>tbl_Ventes[[#This Row],[Qté Vendue]] * IFERROR(_xlfn.XLOOKUP(tbl_Ventes[[#This Row],[Cde_Prdt]], tbl_Produits[Cde_Prdt], tbl_Produits[Prix Menu]), 0)</f>
        <v>0</v>
      </c>
      <c r="H2925" s="7">
        <f>IFERROR(_xlfn.XLOOKUP(tbl_Ventes[[#This Row],[Cde_Prdt]], tbl_Produits[Cde_Prdt], tbl_Produits[Coût Moyen Portion]), 0)</f>
        <v>0</v>
      </c>
      <c r="I2925" s="7">
        <f>tbl_Ventes[[#This Row],[Qté Vendue]] * tbl_Ventes[[#This Row],[CMP_par_portion]]</f>
        <v>0</v>
      </c>
      <c r="J2925" s="7">
        <f>tbl_Ventes[[#This Row],[CA ligne]] - tbl_Ventes[[#This Row],[Coût matière ligne]]</f>
        <v>0</v>
      </c>
      <c r="K2925" s="7" t="str">
        <f>IFERROR(INDEX(tbl_ProduitsRef[Famille], MATCH(tbl_Ventes[[#This Row],[Cde_Prdt]], tbl_Produits[Cde_Prdt], 0)), "")</f>
        <v/>
      </c>
    </row>
    <row r="2926" spans="1:11" x14ac:dyDescent="0.25">
      <c r="A2926" s="5"/>
      <c r="B2926" s="63" t="str">
        <f>IFERROR(TEXT(tbl_Ventes[[#This Row],[Date]],"mm-aaaa"),"")</f>
        <v>01-1900</v>
      </c>
      <c r="D2926" s="10" t="str">
        <f>IFERROR(
   INDEX(tbl_ProduitsRef[Cde_Prdt],MATCH(tbl_Ventes[[#This Row],[Produit]],tbl_ProduitsRef[Produit],0)),
   ""
)</f>
        <v/>
      </c>
      <c r="E2926" s="7">
        <v>0</v>
      </c>
      <c r="F2926" s="7" t="str">
        <f>IFERROR(
   INDEX(tbl_ProduitsRef[Prix Menu],MATCH(tbl_Ventes[[#This Row],[Produit]],tbl_ProduitsRef[Produit],0)),
   ""
)</f>
        <v/>
      </c>
      <c r="G2926" s="7">
        <f>tbl_Ventes[[#This Row],[Qté Vendue]] * IFERROR(_xlfn.XLOOKUP(tbl_Ventes[[#This Row],[Cde_Prdt]], tbl_Produits[Cde_Prdt], tbl_Produits[Prix Menu]), 0)</f>
        <v>0</v>
      </c>
      <c r="H2926" s="7">
        <f>IFERROR(_xlfn.XLOOKUP(tbl_Ventes[[#This Row],[Cde_Prdt]], tbl_Produits[Cde_Prdt], tbl_Produits[Coût Moyen Portion]), 0)</f>
        <v>0</v>
      </c>
      <c r="I2926" s="7">
        <f>tbl_Ventes[[#This Row],[Qté Vendue]] * tbl_Ventes[[#This Row],[CMP_par_portion]]</f>
        <v>0</v>
      </c>
      <c r="J2926" s="7">
        <f>tbl_Ventes[[#This Row],[CA ligne]] - tbl_Ventes[[#This Row],[Coût matière ligne]]</f>
        <v>0</v>
      </c>
      <c r="K2926" s="7" t="str">
        <f>IFERROR(INDEX(tbl_ProduitsRef[Famille], MATCH(tbl_Ventes[[#This Row],[Cde_Prdt]], tbl_Produits[Cde_Prdt], 0)), "")</f>
        <v/>
      </c>
    </row>
    <row r="2927" spans="1:11" x14ac:dyDescent="0.25">
      <c r="A2927" s="5"/>
      <c r="B2927" s="63" t="str">
        <f>IFERROR(TEXT(tbl_Ventes[[#This Row],[Date]],"mm-aaaa"),"")</f>
        <v>01-1900</v>
      </c>
      <c r="D2927" s="10" t="str">
        <f>IFERROR(
   INDEX(tbl_ProduitsRef[Cde_Prdt],MATCH(tbl_Ventes[[#This Row],[Produit]],tbl_ProduitsRef[Produit],0)),
   ""
)</f>
        <v/>
      </c>
      <c r="E2927" s="7">
        <v>0</v>
      </c>
      <c r="F2927" s="7" t="str">
        <f>IFERROR(
   INDEX(tbl_ProduitsRef[Prix Menu],MATCH(tbl_Ventes[[#This Row],[Produit]],tbl_ProduitsRef[Produit],0)),
   ""
)</f>
        <v/>
      </c>
      <c r="G2927" s="7">
        <f>tbl_Ventes[[#This Row],[Qté Vendue]] * IFERROR(_xlfn.XLOOKUP(tbl_Ventes[[#This Row],[Cde_Prdt]], tbl_Produits[Cde_Prdt], tbl_Produits[Prix Menu]), 0)</f>
        <v>0</v>
      </c>
      <c r="H2927" s="7">
        <f>IFERROR(_xlfn.XLOOKUP(tbl_Ventes[[#This Row],[Cde_Prdt]], tbl_Produits[Cde_Prdt], tbl_Produits[Coût Moyen Portion]), 0)</f>
        <v>0</v>
      </c>
      <c r="I2927" s="7">
        <f>tbl_Ventes[[#This Row],[Qté Vendue]] * tbl_Ventes[[#This Row],[CMP_par_portion]]</f>
        <v>0</v>
      </c>
      <c r="J2927" s="7">
        <f>tbl_Ventes[[#This Row],[CA ligne]] - tbl_Ventes[[#This Row],[Coût matière ligne]]</f>
        <v>0</v>
      </c>
      <c r="K2927" s="7" t="str">
        <f>IFERROR(INDEX(tbl_ProduitsRef[Famille], MATCH(tbl_Ventes[[#This Row],[Cde_Prdt]], tbl_Produits[Cde_Prdt], 0)), "")</f>
        <v/>
      </c>
    </row>
    <row r="2928" spans="1:11" x14ac:dyDescent="0.25">
      <c r="A2928" s="5"/>
      <c r="B2928" s="63" t="str">
        <f>IFERROR(TEXT(tbl_Ventes[[#This Row],[Date]],"mm-aaaa"),"")</f>
        <v>01-1900</v>
      </c>
      <c r="D2928" s="10" t="str">
        <f>IFERROR(
   INDEX(tbl_ProduitsRef[Cde_Prdt],MATCH(tbl_Ventes[[#This Row],[Produit]],tbl_ProduitsRef[Produit],0)),
   ""
)</f>
        <v/>
      </c>
      <c r="E2928" s="7">
        <v>0</v>
      </c>
      <c r="F2928" s="7" t="str">
        <f>IFERROR(
   INDEX(tbl_ProduitsRef[Prix Menu],MATCH(tbl_Ventes[[#This Row],[Produit]],tbl_ProduitsRef[Produit],0)),
   ""
)</f>
        <v/>
      </c>
      <c r="G2928" s="7">
        <f>tbl_Ventes[[#This Row],[Qté Vendue]] * IFERROR(_xlfn.XLOOKUP(tbl_Ventes[[#This Row],[Cde_Prdt]], tbl_Produits[Cde_Prdt], tbl_Produits[Prix Menu]), 0)</f>
        <v>0</v>
      </c>
      <c r="H2928" s="7">
        <f>IFERROR(_xlfn.XLOOKUP(tbl_Ventes[[#This Row],[Cde_Prdt]], tbl_Produits[Cde_Prdt], tbl_Produits[Coût Moyen Portion]), 0)</f>
        <v>0</v>
      </c>
      <c r="I2928" s="7">
        <f>tbl_Ventes[[#This Row],[Qté Vendue]] * tbl_Ventes[[#This Row],[CMP_par_portion]]</f>
        <v>0</v>
      </c>
      <c r="J2928" s="7">
        <f>tbl_Ventes[[#This Row],[CA ligne]] - tbl_Ventes[[#This Row],[Coût matière ligne]]</f>
        <v>0</v>
      </c>
      <c r="K2928" s="7" t="str">
        <f>IFERROR(INDEX(tbl_ProduitsRef[Famille], MATCH(tbl_Ventes[[#This Row],[Cde_Prdt]], tbl_Produits[Cde_Prdt], 0)), "")</f>
        <v/>
      </c>
    </row>
    <row r="2929" spans="1:11" x14ac:dyDescent="0.25">
      <c r="A2929" s="5"/>
      <c r="B2929" s="63" t="str">
        <f>IFERROR(TEXT(tbl_Ventes[[#This Row],[Date]],"mm-aaaa"),"")</f>
        <v>01-1900</v>
      </c>
      <c r="D2929" s="10" t="str">
        <f>IFERROR(
   INDEX(tbl_ProduitsRef[Cde_Prdt],MATCH(tbl_Ventes[[#This Row],[Produit]],tbl_ProduitsRef[Produit],0)),
   ""
)</f>
        <v/>
      </c>
      <c r="E2929" s="7">
        <v>0</v>
      </c>
      <c r="F2929" s="7" t="str">
        <f>IFERROR(
   INDEX(tbl_ProduitsRef[Prix Menu],MATCH(tbl_Ventes[[#This Row],[Produit]],tbl_ProduitsRef[Produit],0)),
   ""
)</f>
        <v/>
      </c>
      <c r="G2929" s="7">
        <f>tbl_Ventes[[#This Row],[Qté Vendue]] * IFERROR(_xlfn.XLOOKUP(tbl_Ventes[[#This Row],[Cde_Prdt]], tbl_Produits[Cde_Prdt], tbl_Produits[Prix Menu]), 0)</f>
        <v>0</v>
      </c>
      <c r="H2929" s="7">
        <f>IFERROR(_xlfn.XLOOKUP(tbl_Ventes[[#This Row],[Cde_Prdt]], tbl_Produits[Cde_Prdt], tbl_Produits[Coût Moyen Portion]), 0)</f>
        <v>0</v>
      </c>
      <c r="I2929" s="7">
        <f>tbl_Ventes[[#This Row],[Qté Vendue]] * tbl_Ventes[[#This Row],[CMP_par_portion]]</f>
        <v>0</v>
      </c>
      <c r="J2929" s="7">
        <f>tbl_Ventes[[#This Row],[CA ligne]] - tbl_Ventes[[#This Row],[Coût matière ligne]]</f>
        <v>0</v>
      </c>
      <c r="K2929" s="7" t="str">
        <f>IFERROR(INDEX(tbl_ProduitsRef[Famille], MATCH(tbl_Ventes[[#This Row],[Cde_Prdt]], tbl_Produits[Cde_Prdt], 0)), "")</f>
        <v/>
      </c>
    </row>
    <row r="2930" spans="1:11" x14ac:dyDescent="0.25">
      <c r="A2930" s="5"/>
      <c r="B2930" s="63" t="str">
        <f>IFERROR(TEXT(tbl_Ventes[[#This Row],[Date]],"mm-aaaa"),"")</f>
        <v>01-1900</v>
      </c>
      <c r="D2930" s="10" t="str">
        <f>IFERROR(
   INDEX(tbl_ProduitsRef[Cde_Prdt],MATCH(tbl_Ventes[[#This Row],[Produit]],tbl_ProduitsRef[Produit],0)),
   ""
)</f>
        <v/>
      </c>
      <c r="E2930" s="7">
        <v>0</v>
      </c>
      <c r="F2930" s="7" t="str">
        <f>IFERROR(
   INDEX(tbl_ProduitsRef[Prix Menu],MATCH(tbl_Ventes[[#This Row],[Produit]],tbl_ProduitsRef[Produit],0)),
   ""
)</f>
        <v/>
      </c>
      <c r="G2930" s="7">
        <f>tbl_Ventes[[#This Row],[Qté Vendue]] * IFERROR(_xlfn.XLOOKUP(tbl_Ventes[[#This Row],[Cde_Prdt]], tbl_Produits[Cde_Prdt], tbl_Produits[Prix Menu]), 0)</f>
        <v>0</v>
      </c>
      <c r="H2930" s="7">
        <f>IFERROR(_xlfn.XLOOKUP(tbl_Ventes[[#This Row],[Cde_Prdt]], tbl_Produits[Cde_Prdt], tbl_Produits[Coût Moyen Portion]), 0)</f>
        <v>0</v>
      </c>
      <c r="I2930" s="7">
        <f>tbl_Ventes[[#This Row],[Qté Vendue]] * tbl_Ventes[[#This Row],[CMP_par_portion]]</f>
        <v>0</v>
      </c>
      <c r="J2930" s="7">
        <f>tbl_Ventes[[#This Row],[CA ligne]] - tbl_Ventes[[#This Row],[Coût matière ligne]]</f>
        <v>0</v>
      </c>
      <c r="K2930" s="7" t="str">
        <f>IFERROR(INDEX(tbl_ProduitsRef[Famille], MATCH(tbl_Ventes[[#This Row],[Cde_Prdt]], tbl_Produits[Cde_Prdt], 0)), "")</f>
        <v/>
      </c>
    </row>
    <row r="2931" spans="1:11" x14ac:dyDescent="0.25">
      <c r="A2931" s="5"/>
      <c r="B2931" s="63" t="str">
        <f>IFERROR(TEXT(tbl_Ventes[[#This Row],[Date]],"mm-aaaa"),"")</f>
        <v>01-1900</v>
      </c>
      <c r="D2931" s="10" t="str">
        <f>IFERROR(
   INDEX(tbl_ProduitsRef[Cde_Prdt],MATCH(tbl_Ventes[[#This Row],[Produit]],tbl_ProduitsRef[Produit],0)),
   ""
)</f>
        <v/>
      </c>
      <c r="E2931" s="7">
        <v>0</v>
      </c>
      <c r="F2931" s="7" t="str">
        <f>IFERROR(
   INDEX(tbl_ProduitsRef[Prix Menu],MATCH(tbl_Ventes[[#This Row],[Produit]],tbl_ProduitsRef[Produit],0)),
   ""
)</f>
        <v/>
      </c>
      <c r="G2931" s="7">
        <f>tbl_Ventes[[#This Row],[Qté Vendue]] * IFERROR(_xlfn.XLOOKUP(tbl_Ventes[[#This Row],[Cde_Prdt]], tbl_Produits[Cde_Prdt], tbl_Produits[Prix Menu]), 0)</f>
        <v>0</v>
      </c>
      <c r="H2931" s="7">
        <f>IFERROR(_xlfn.XLOOKUP(tbl_Ventes[[#This Row],[Cde_Prdt]], tbl_Produits[Cde_Prdt], tbl_Produits[Coût Moyen Portion]), 0)</f>
        <v>0</v>
      </c>
      <c r="I2931" s="7">
        <f>tbl_Ventes[[#This Row],[Qté Vendue]] * tbl_Ventes[[#This Row],[CMP_par_portion]]</f>
        <v>0</v>
      </c>
      <c r="J2931" s="7">
        <f>tbl_Ventes[[#This Row],[CA ligne]] - tbl_Ventes[[#This Row],[Coût matière ligne]]</f>
        <v>0</v>
      </c>
      <c r="K2931" s="7" t="str">
        <f>IFERROR(INDEX(tbl_ProduitsRef[Famille], MATCH(tbl_Ventes[[#This Row],[Cde_Prdt]], tbl_Produits[Cde_Prdt], 0)), "")</f>
        <v/>
      </c>
    </row>
    <row r="2932" spans="1:11" x14ac:dyDescent="0.25">
      <c r="A2932" s="5"/>
      <c r="B2932" s="63" t="str">
        <f>IFERROR(TEXT(tbl_Ventes[[#This Row],[Date]],"mm-aaaa"),"")</f>
        <v>01-1900</v>
      </c>
      <c r="D2932" s="10" t="str">
        <f>IFERROR(
   INDEX(tbl_ProduitsRef[Cde_Prdt],MATCH(tbl_Ventes[[#This Row],[Produit]],tbl_ProduitsRef[Produit],0)),
   ""
)</f>
        <v/>
      </c>
      <c r="E2932" s="7">
        <v>0</v>
      </c>
      <c r="F2932" s="7" t="str">
        <f>IFERROR(
   INDEX(tbl_ProduitsRef[Prix Menu],MATCH(tbl_Ventes[[#This Row],[Produit]],tbl_ProduitsRef[Produit],0)),
   ""
)</f>
        <v/>
      </c>
      <c r="G2932" s="7">
        <f>tbl_Ventes[[#This Row],[Qté Vendue]] * IFERROR(_xlfn.XLOOKUP(tbl_Ventes[[#This Row],[Cde_Prdt]], tbl_Produits[Cde_Prdt], tbl_Produits[Prix Menu]), 0)</f>
        <v>0</v>
      </c>
      <c r="H2932" s="7">
        <f>IFERROR(_xlfn.XLOOKUP(tbl_Ventes[[#This Row],[Cde_Prdt]], tbl_Produits[Cde_Prdt], tbl_Produits[Coût Moyen Portion]), 0)</f>
        <v>0</v>
      </c>
      <c r="I2932" s="7">
        <f>tbl_Ventes[[#This Row],[Qté Vendue]] * tbl_Ventes[[#This Row],[CMP_par_portion]]</f>
        <v>0</v>
      </c>
      <c r="J2932" s="7">
        <f>tbl_Ventes[[#This Row],[CA ligne]] - tbl_Ventes[[#This Row],[Coût matière ligne]]</f>
        <v>0</v>
      </c>
      <c r="K2932" s="7" t="str">
        <f>IFERROR(INDEX(tbl_ProduitsRef[Famille], MATCH(tbl_Ventes[[#This Row],[Cde_Prdt]], tbl_Produits[Cde_Prdt], 0)), "")</f>
        <v/>
      </c>
    </row>
    <row r="2933" spans="1:11" x14ac:dyDescent="0.25">
      <c r="A2933" s="5"/>
      <c r="B2933" s="63" t="str">
        <f>IFERROR(TEXT(tbl_Ventes[[#This Row],[Date]],"mm-aaaa"),"")</f>
        <v>01-1900</v>
      </c>
      <c r="D2933" s="10" t="str">
        <f>IFERROR(
   INDEX(tbl_ProduitsRef[Cde_Prdt],MATCH(tbl_Ventes[[#This Row],[Produit]],tbl_ProduitsRef[Produit],0)),
   ""
)</f>
        <v/>
      </c>
      <c r="E2933" s="7">
        <v>0</v>
      </c>
      <c r="F2933" s="7" t="str">
        <f>IFERROR(
   INDEX(tbl_ProduitsRef[Prix Menu],MATCH(tbl_Ventes[[#This Row],[Produit]],tbl_ProduitsRef[Produit],0)),
   ""
)</f>
        <v/>
      </c>
      <c r="G2933" s="7">
        <f>tbl_Ventes[[#This Row],[Qté Vendue]] * IFERROR(_xlfn.XLOOKUP(tbl_Ventes[[#This Row],[Cde_Prdt]], tbl_Produits[Cde_Prdt], tbl_Produits[Prix Menu]), 0)</f>
        <v>0</v>
      </c>
      <c r="H2933" s="7">
        <f>IFERROR(_xlfn.XLOOKUP(tbl_Ventes[[#This Row],[Cde_Prdt]], tbl_Produits[Cde_Prdt], tbl_Produits[Coût Moyen Portion]), 0)</f>
        <v>0</v>
      </c>
      <c r="I2933" s="7">
        <f>tbl_Ventes[[#This Row],[Qté Vendue]] * tbl_Ventes[[#This Row],[CMP_par_portion]]</f>
        <v>0</v>
      </c>
      <c r="J2933" s="7">
        <f>tbl_Ventes[[#This Row],[CA ligne]] - tbl_Ventes[[#This Row],[Coût matière ligne]]</f>
        <v>0</v>
      </c>
      <c r="K2933" s="7" t="str">
        <f>IFERROR(INDEX(tbl_ProduitsRef[Famille], MATCH(tbl_Ventes[[#This Row],[Cde_Prdt]], tbl_Produits[Cde_Prdt], 0)), "")</f>
        <v/>
      </c>
    </row>
    <row r="2934" spans="1:11" x14ac:dyDescent="0.25">
      <c r="A2934" s="5"/>
      <c r="B2934" s="63" t="str">
        <f>IFERROR(TEXT(tbl_Ventes[[#This Row],[Date]],"mm-aaaa"),"")</f>
        <v>01-1900</v>
      </c>
      <c r="D2934" s="10" t="str">
        <f>IFERROR(
   INDEX(tbl_ProduitsRef[Cde_Prdt],MATCH(tbl_Ventes[[#This Row],[Produit]],tbl_ProduitsRef[Produit],0)),
   ""
)</f>
        <v/>
      </c>
      <c r="E2934" s="7">
        <v>0</v>
      </c>
      <c r="F2934" s="7" t="str">
        <f>IFERROR(
   INDEX(tbl_ProduitsRef[Prix Menu],MATCH(tbl_Ventes[[#This Row],[Produit]],tbl_ProduitsRef[Produit],0)),
   ""
)</f>
        <v/>
      </c>
      <c r="G2934" s="7">
        <f>tbl_Ventes[[#This Row],[Qté Vendue]] * IFERROR(_xlfn.XLOOKUP(tbl_Ventes[[#This Row],[Cde_Prdt]], tbl_Produits[Cde_Prdt], tbl_Produits[Prix Menu]), 0)</f>
        <v>0</v>
      </c>
      <c r="H2934" s="7">
        <f>IFERROR(_xlfn.XLOOKUP(tbl_Ventes[[#This Row],[Cde_Prdt]], tbl_Produits[Cde_Prdt], tbl_Produits[Coût Moyen Portion]), 0)</f>
        <v>0</v>
      </c>
      <c r="I2934" s="7">
        <f>tbl_Ventes[[#This Row],[Qté Vendue]] * tbl_Ventes[[#This Row],[CMP_par_portion]]</f>
        <v>0</v>
      </c>
      <c r="J2934" s="7">
        <f>tbl_Ventes[[#This Row],[CA ligne]] - tbl_Ventes[[#This Row],[Coût matière ligne]]</f>
        <v>0</v>
      </c>
      <c r="K2934" s="7" t="str">
        <f>IFERROR(INDEX(tbl_ProduitsRef[Famille], MATCH(tbl_Ventes[[#This Row],[Cde_Prdt]], tbl_Produits[Cde_Prdt], 0)), "")</f>
        <v/>
      </c>
    </row>
    <row r="2935" spans="1:11" x14ac:dyDescent="0.25">
      <c r="A2935" s="5"/>
      <c r="B2935" s="63" t="str">
        <f>IFERROR(TEXT(tbl_Ventes[[#This Row],[Date]],"mm-aaaa"),"")</f>
        <v>01-1900</v>
      </c>
      <c r="D2935" s="10" t="str">
        <f>IFERROR(
   INDEX(tbl_ProduitsRef[Cde_Prdt],MATCH(tbl_Ventes[[#This Row],[Produit]],tbl_ProduitsRef[Produit],0)),
   ""
)</f>
        <v/>
      </c>
      <c r="E2935" s="7">
        <v>0</v>
      </c>
      <c r="F2935" s="7" t="str">
        <f>IFERROR(
   INDEX(tbl_ProduitsRef[Prix Menu],MATCH(tbl_Ventes[[#This Row],[Produit]],tbl_ProduitsRef[Produit],0)),
   ""
)</f>
        <v/>
      </c>
      <c r="G2935" s="7">
        <f>tbl_Ventes[[#This Row],[Qté Vendue]] * IFERROR(_xlfn.XLOOKUP(tbl_Ventes[[#This Row],[Cde_Prdt]], tbl_Produits[Cde_Prdt], tbl_Produits[Prix Menu]), 0)</f>
        <v>0</v>
      </c>
      <c r="H2935" s="7">
        <f>IFERROR(_xlfn.XLOOKUP(tbl_Ventes[[#This Row],[Cde_Prdt]], tbl_Produits[Cde_Prdt], tbl_Produits[Coût Moyen Portion]), 0)</f>
        <v>0</v>
      </c>
      <c r="I2935" s="7">
        <f>tbl_Ventes[[#This Row],[Qté Vendue]] * tbl_Ventes[[#This Row],[CMP_par_portion]]</f>
        <v>0</v>
      </c>
      <c r="J2935" s="7">
        <f>tbl_Ventes[[#This Row],[CA ligne]] - tbl_Ventes[[#This Row],[Coût matière ligne]]</f>
        <v>0</v>
      </c>
      <c r="K2935" s="7" t="str">
        <f>IFERROR(INDEX(tbl_ProduitsRef[Famille], MATCH(tbl_Ventes[[#This Row],[Cde_Prdt]], tbl_Produits[Cde_Prdt], 0)), "")</f>
        <v/>
      </c>
    </row>
    <row r="2936" spans="1:11" x14ac:dyDescent="0.25">
      <c r="A2936" s="5"/>
      <c r="B2936" s="63" t="str">
        <f>IFERROR(TEXT(tbl_Ventes[[#This Row],[Date]],"mm-aaaa"),"")</f>
        <v>01-1900</v>
      </c>
      <c r="D2936" s="10" t="str">
        <f>IFERROR(
   INDEX(tbl_ProduitsRef[Cde_Prdt],MATCH(tbl_Ventes[[#This Row],[Produit]],tbl_ProduitsRef[Produit],0)),
   ""
)</f>
        <v/>
      </c>
      <c r="E2936" s="7">
        <v>0</v>
      </c>
      <c r="F2936" s="7" t="str">
        <f>IFERROR(
   INDEX(tbl_ProduitsRef[Prix Menu],MATCH(tbl_Ventes[[#This Row],[Produit]],tbl_ProduitsRef[Produit],0)),
   ""
)</f>
        <v/>
      </c>
      <c r="G2936" s="7">
        <f>tbl_Ventes[[#This Row],[Qté Vendue]] * IFERROR(_xlfn.XLOOKUP(tbl_Ventes[[#This Row],[Cde_Prdt]], tbl_Produits[Cde_Prdt], tbl_Produits[Prix Menu]), 0)</f>
        <v>0</v>
      </c>
      <c r="H2936" s="7">
        <f>IFERROR(_xlfn.XLOOKUP(tbl_Ventes[[#This Row],[Cde_Prdt]], tbl_Produits[Cde_Prdt], tbl_Produits[Coût Moyen Portion]), 0)</f>
        <v>0</v>
      </c>
      <c r="I2936" s="7">
        <f>tbl_Ventes[[#This Row],[Qté Vendue]] * tbl_Ventes[[#This Row],[CMP_par_portion]]</f>
        <v>0</v>
      </c>
      <c r="J2936" s="7">
        <f>tbl_Ventes[[#This Row],[CA ligne]] - tbl_Ventes[[#This Row],[Coût matière ligne]]</f>
        <v>0</v>
      </c>
      <c r="K2936" s="7" t="str">
        <f>IFERROR(INDEX(tbl_ProduitsRef[Famille], MATCH(tbl_Ventes[[#This Row],[Cde_Prdt]], tbl_Produits[Cde_Prdt], 0)), "")</f>
        <v/>
      </c>
    </row>
    <row r="2937" spans="1:11" x14ac:dyDescent="0.25">
      <c r="A2937" s="5"/>
      <c r="B2937" s="63" t="str">
        <f>IFERROR(TEXT(tbl_Ventes[[#This Row],[Date]],"mm-aaaa"),"")</f>
        <v>01-1900</v>
      </c>
      <c r="D2937" s="10" t="str">
        <f>IFERROR(
   INDEX(tbl_ProduitsRef[Cde_Prdt],MATCH(tbl_Ventes[[#This Row],[Produit]],tbl_ProduitsRef[Produit],0)),
   ""
)</f>
        <v/>
      </c>
      <c r="E2937" s="7">
        <v>0</v>
      </c>
      <c r="F2937" s="7" t="str">
        <f>IFERROR(
   INDEX(tbl_ProduitsRef[Prix Menu],MATCH(tbl_Ventes[[#This Row],[Produit]],tbl_ProduitsRef[Produit],0)),
   ""
)</f>
        <v/>
      </c>
      <c r="G2937" s="7">
        <f>tbl_Ventes[[#This Row],[Qté Vendue]] * IFERROR(_xlfn.XLOOKUP(tbl_Ventes[[#This Row],[Cde_Prdt]], tbl_Produits[Cde_Prdt], tbl_Produits[Prix Menu]), 0)</f>
        <v>0</v>
      </c>
      <c r="H2937" s="7">
        <f>IFERROR(_xlfn.XLOOKUP(tbl_Ventes[[#This Row],[Cde_Prdt]], tbl_Produits[Cde_Prdt], tbl_Produits[Coût Moyen Portion]), 0)</f>
        <v>0</v>
      </c>
      <c r="I2937" s="7">
        <f>tbl_Ventes[[#This Row],[Qté Vendue]] * tbl_Ventes[[#This Row],[CMP_par_portion]]</f>
        <v>0</v>
      </c>
      <c r="J2937" s="7">
        <f>tbl_Ventes[[#This Row],[CA ligne]] - tbl_Ventes[[#This Row],[Coût matière ligne]]</f>
        <v>0</v>
      </c>
      <c r="K2937" s="7" t="str">
        <f>IFERROR(INDEX(tbl_ProduitsRef[Famille], MATCH(tbl_Ventes[[#This Row],[Cde_Prdt]], tbl_Produits[Cde_Prdt], 0)), "")</f>
        <v/>
      </c>
    </row>
    <row r="2938" spans="1:11" x14ac:dyDescent="0.25">
      <c r="A2938" s="5"/>
      <c r="B2938" s="63" t="str">
        <f>IFERROR(TEXT(tbl_Ventes[[#This Row],[Date]],"mm-aaaa"),"")</f>
        <v>01-1900</v>
      </c>
      <c r="D2938" s="10" t="str">
        <f>IFERROR(
   INDEX(tbl_ProduitsRef[Cde_Prdt],MATCH(tbl_Ventes[[#This Row],[Produit]],tbl_ProduitsRef[Produit],0)),
   ""
)</f>
        <v/>
      </c>
      <c r="E2938" s="7">
        <v>0</v>
      </c>
      <c r="F2938" s="7" t="str">
        <f>IFERROR(
   INDEX(tbl_ProduitsRef[Prix Menu],MATCH(tbl_Ventes[[#This Row],[Produit]],tbl_ProduitsRef[Produit],0)),
   ""
)</f>
        <v/>
      </c>
      <c r="G2938" s="7">
        <f>tbl_Ventes[[#This Row],[Qté Vendue]] * IFERROR(_xlfn.XLOOKUP(tbl_Ventes[[#This Row],[Cde_Prdt]], tbl_Produits[Cde_Prdt], tbl_Produits[Prix Menu]), 0)</f>
        <v>0</v>
      </c>
      <c r="H2938" s="7">
        <f>IFERROR(_xlfn.XLOOKUP(tbl_Ventes[[#This Row],[Cde_Prdt]], tbl_Produits[Cde_Prdt], tbl_Produits[Coût Moyen Portion]), 0)</f>
        <v>0</v>
      </c>
      <c r="I2938" s="7">
        <f>tbl_Ventes[[#This Row],[Qté Vendue]] * tbl_Ventes[[#This Row],[CMP_par_portion]]</f>
        <v>0</v>
      </c>
      <c r="J2938" s="7">
        <f>tbl_Ventes[[#This Row],[CA ligne]] - tbl_Ventes[[#This Row],[Coût matière ligne]]</f>
        <v>0</v>
      </c>
      <c r="K2938" s="7" t="str">
        <f>IFERROR(INDEX(tbl_ProduitsRef[Famille], MATCH(tbl_Ventes[[#This Row],[Cde_Prdt]], tbl_Produits[Cde_Prdt], 0)), "")</f>
        <v/>
      </c>
    </row>
    <row r="2939" spans="1:11" x14ac:dyDescent="0.25">
      <c r="A2939" s="5"/>
      <c r="B2939" s="63" t="str">
        <f>IFERROR(TEXT(tbl_Ventes[[#This Row],[Date]],"mm-aaaa"),"")</f>
        <v>01-1900</v>
      </c>
      <c r="D2939" s="10" t="str">
        <f>IFERROR(
   INDEX(tbl_ProduitsRef[Cde_Prdt],MATCH(tbl_Ventes[[#This Row],[Produit]],tbl_ProduitsRef[Produit],0)),
   ""
)</f>
        <v/>
      </c>
      <c r="E2939" s="7">
        <v>0</v>
      </c>
      <c r="F2939" s="7" t="str">
        <f>IFERROR(
   INDEX(tbl_ProduitsRef[Prix Menu],MATCH(tbl_Ventes[[#This Row],[Produit]],tbl_ProduitsRef[Produit],0)),
   ""
)</f>
        <v/>
      </c>
      <c r="G2939" s="7">
        <f>tbl_Ventes[[#This Row],[Qté Vendue]] * IFERROR(_xlfn.XLOOKUP(tbl_Ventes[[#This Row],[Cde_Prdt]], tbl_Produits[Cde_Prdt], tbl_Produits[Prix Menu]), 0)</f>
        <v>0</v>
      </c>
      <c r="H2939" s="7">
        <f>IFERROR(_xlfn.XLOOKUP(tbl_Ventes[[#This Row],[Cde_Prdt]], tbl_Produits[Cde_Prdt], tbl_Produits[Coût Moyen Portion]), 0)</f>
        <v>0</v>
      </c>
      <c r="I2939" s="7">
        <f>tbl_Ventes[[#This Row],[Qté Vendue]] * tbl_Ventes[[#This Row],[CMP_par_portion]]</f>
        <v>0</v>
      </c>
      <c r="J2939" s="7">
        <f>tbl_Ventes[[#This Row],[CA ligne]] - tbl_Ventes[[#This Row],[Coût matière ligne]]</f>
        <v>0</v>
      </c>
      <c r="K2939" s="7" t="str">
        <f>IFERROR(INDEX(tbl_ProduitsRef[Famille], MATCH(tbl_Ventes[[#This Row],[Cde_Prdt]], tbl_Produits[Cde_Prdt], 0)), "")</f>
        <v/>
      </c>
    </row>
    <row r="2940" spans="1:11" x14ac:dyDescent="0.25">
      <c r="A2940" s="5"/>
      <c r="B2940" s="63" t="str">
        <f>IFERROR(TEXT(tbl_Ventes[[#This Row],[Date]],"mm-aaaa"),"")</f>
        <v>01-1900</v>
      </c>
      <c r="D2940" s="10" t="str">
        <f>IFERROR(
   INDEX(tbl_ProduitsRef[Cde_Prdt],MATCH(tbl_Ventes[[#This Row],[Produit]],tbl_ProduitsRef[Produit],0)),
   ""
)</f>
        <v/>
      </c>
      <c r="E2940" s="7">
        <v>0</v>
      </c>
      <c r="F2940" s="7" t="str">
        <f>IFERROR(
   INDEX(tbl_ProduitsRef[Prix Menu],MATCH(tbl_Ventes[[#This Row],[Produit]],tbl_ProduitsRef[Produit],0)),
   ""
)</f>
        <v/>
      </c>
      <c r="G2940" s="7">
        <f>tbl_Ventes[[#This Row],[Qté Vendue]] * IFERROR(_xlfn.XLOOKUP(tbl_Ventes[[#This Row],[Cde_Prdt]], tbl_Produits[Cde_Prdt], tbl_Produits[Prix Menu]), 0)</f>
        <v>0</v>
      </c>
      <c r="H2940" s="7">
        <f>IFERROR(_xlfn.XLOOKUP(tbl_Ventes[[#This Row],[Cde_Prdt]], tbl_Produits[Cde_Prdt], tbl_Produits[Coût Moyen Portion]), 0)</f>
        <v>0</v>
      </c>
      <c r="I2940" s="7">
        <f>tbl_Ventes[[#This Row],[Qté Vendue]] * tbl_Ventes[[#This Row],[CMP_par_portion]]</f>
        <v>0</v>
      </c>
      <c r="J2940" s="7">
        <f>tbl_Ventes[[#This Row],[CA ligne]] - tbl_Ventes[[#This Row],[Coût matière ligne]]</f>
        <v>0</v>
      </c>
      <c r="K2940" s="7" t="str">
        <f>IFERROR(INDEX(tbl_ProduitsRef[Famille], MATCH(tbl_Ventes[[#This Row],[Cde_Prdt]], tbl_Produits[Cde_Prdt], 0)), "")</f>
        <v/>
      </c>
    </row>
    <row r="2941" spans="1:11" x14ac:dyDescent="0.25">
      <c r="A2941" s="5"/>
      <c r="B2941" s="63" t="str">
        <f>IFERROR(TEXT(tbl_Ventes[[#This Row],[Date]],"mm-aaaa"),"")</f>
        <v>01-1900</v>
      </c>
      <c r="D2941" s="10" t="str">
        <f>IFERROR(
   INDEX(tbl_ProduitsRef[Cde_Prdt],MATCH(tbl_Ventes[[#This Row],[Produit]],tbl_ProduitsRef[Produit],0)),
   ""
)</f>
        <v/>
      </c>
      <c r="E2941" s="7">
        <v>0</v>
      </c>
      <c r="F2941" s="7" t="str">
        <f>IFERROR(
   INDEX(tbl_ProduitsRef[Prix Menu],MATCH(tbl_Ventes[[#This Row],[Produit]],tbl_ProduitsRef[Produit],0)),
   ""
)</f>
        <v/>
      </c>
      <c r="G2941" s="7">
        <f>tbl_Ventes[[#This Row],[Qté Vendue]] * IFERROR(_xlfn.XLOOKUP(tbl_Ventes[[#This Row],[Cde_Prdt]], tbl_Produits[Cde_Prdt], tbl_Produits[Prix Menu]), 0)</f>
        <v>0</v>
      </c>
      <c r="H2941" s="7">
        <f>IFERROR(_xlfn.XLOOKUP(tbl_Ventes[[#This Row],[Cde_Prdt]], tbl_Produits[Cde_Prdt], tbl_Produits[Coût Moyen Portion]), 0)</f>
        <v>0</v>
      </c>
      <c r="I2941" s="7">
        <f>tbl_Ventes[[#This Row],[Qté Vendue]] * tbl_Ventes[[#This Row],[CMP_par_portion]]</f>
        <v>0</v>
      </c>
      <c r="J2941" s="7">
        <f>tbl_Ventes[[#This Row],[CA ligne]] - tbl_Ventes[[#This Row],[Coût matière ligne]]</f>
        <v>0</v>
      </c>
      <c r="K2941" s="7" t="str">
        <f>IFERROR(INDEX(tbl_ProduitsRef[Famille], MATCH(tbl_Ventes[[#This Row],[Cde_Prdt]], tbl_Produits[Cde_Prdt], 0)), "")</f>
        <v/>
      </c>
    </row>
    <row r="2942" spans="1:11" x14ac:dyDescent="0.25">
      <c r="A2942" s="5"/>
      <c r="B2942" s="63" t="str">
        <f>IFERROR(TEXT(tbl_Ventes[[#This Row],[Date]],"mm-aaaa"),"")</f>
        <v>01-1900</v>
      </c>
      <c r="D2942" s="10" t="str">
        <f>IFERROR(
   INDEX(tbl_ProduitsRef[Cde_Prdt],MATCH(tbl_Ventes[[#This Row],[Produit]],tbl_ProduitsRef[Produit],0)),
   ""
)</f>
        <v/>
      </c>
      <c r="E2942" s="7">
        <v>0</v>
      </c>
      <c r="F2942" s="7" t="str">
        <f>IFERROR(
   INDEX(tbl_ProduitsRef[Prix Menu],MATCH(tbl_Ventes[[#This Row],[Produit]],tbl_ProduitsRef[Produit],0)),
   ""
)</f>
        <v/>
      </c>
      <c r="G2942" s="7">
        <f>tbl_Ventes[[#This Row],[Qté Vendue]] * IFERROR(_xlfn.XLOOKUP(tbl_Ventes[[#This Row],[Cde_Prdt]], tbl_Produits[Cde_Prdt], tbl_Produits[Prix Menu]), 0)</f>
        <v>0</v>
      </c>
      <c r="H2942" s="7">
        <f>IFERROR(_xlfn.XLOOKUP(tbl_Ventes[[#This Row],[Cde_Prdt]], tbl_Produits[Cde_Prdt], tbl_Produits[Coût Moyen Portion]), 0)</f>
        <v>0</v>
      </c>
      <c r="I2942" s="7">
        <f>tbl_Ventes[[#This Row],[Qté Vendue]] * tbl_Ventes[[#This Row],[CMP_par_portion]]</f>
        <v>0</v>
      </c>
      <c r="J2942" s="7">
        <f>tbl_Ventes[[#This Row],[CA ligne]] - tbl_Ventes[[#This Row],[Coût matière ligne]]</f>
        <v>0</v>
      </c>
      <c r="K2942" s="7" t="str">
        <f>IFERROR(INDEX(tbl_ProduitsRef[Famille], MATCH(tbl_Ventes[[#This Row],[Cde_Prdt]], tbl_Produits[Cde_Prdt], 0)), "")</f>
        <v/>
      </c>
    </row>
    <row r="2943" spans="1:11" x14ac:dyDescent="0.25">
      <c r="A2943" s="5"/>
      <c r="B2943" s="63" t="str">
        <f>IFERROR(TEXT(tbl_Ventes[[#This Row],[Date]],"mm-aaaa"),"")</f>
        <v>01-1900</v>
      </c>
      <c r="D2943" s="10" t="str">
        <f>IFERROR(
   INDEX(tbl_ProduitsRef[Cde_Prdt],MATCH(tbl_Ventes[[#This Row],[Produit]],tbl_ProduitsRef[Produit],0)),
   ""
)</f>
        <v/>
      </c>
      <c r="E2943" s="7">
        <v>0</v>
      </c>
      <c r="F2943" s="7" t="str">
        <f>IFERROR(
   INDEX(tbl_ProduitsRef[Prix Menu],MATCH(tbl_Ventes[[#This Row],[Produit]],tbl_ProduitsRef[Produit],0)),
   ""
)</f>
        <v/>
      </c>
      <c r="G2943" s="7">
        <f>tbl_Ventes[[#This Row],[Qté Vendue]] * IFERROR(_xlfn.XLOOKUP(tbl_Ventes[[#This Row],[Cde_Prdt]], tbl_Produits[Cde_Prdt], tbl_Produits[Prix Menu]), 0)</f>
        <v>0</v>
      </c>
      <c r="H2943" s="7">
        <f>IFERROR(_xlfn.XLOOKUP(tbl_Ventes[[#This Row],[Cde_Prdt]], tbl_Produits[Cde_Prdt], tbl_Produits[Coût Moyen Portion]), 0)</f>
        <v>0</v>
      </c>
      <c r="I2943" s="7">
        <f>tbl_Ventes[[#This Row],[Qté Vendue]] * tbl_Ventes[[#This Row],[CMP_par_portion]]</f>
        <v>0</v>
      </c>
      <c r="J2943" s="7">
        <f>tbl_Ventes[[#This Row],[CA ligne]] - tbl_Ventes[[#This Row],[Coût matière ligne]]</f>
        <v>0</v>
      </c>
      <c r="K2943" s="7" t="str">
        <f>IFERROR(INDEX(tbl_ProduitsRef[Famille], MATCH(tbl_Ventes[[#This Row],[Cde_Prdt]], tbl_Produits[Cde_Prdt], 0)), "")</f>
        <v/>
      </c>
    </row>
    <row r="2944" spans="1:11" x14ac:dyDescent="0.25">
      <c r="A2944" s="5"/>
      <c r="B2944" s="63" t="str">
        <f>IFERROR(TEXT(tbl_Ventes[[#This Row],[Date]],"mm-aaaa"),"")</f>
        <v>01-1900</v>
      </c>
      <c r="D2944" s="10" t="str">
        <f>IFERROR(
   INDEX(tbl_ProduitsRef[Cde_Prdt],MATCH(tbl_Ventes[[#This Row],[Produit]],tbl_ProduitsRef[Produit],0)),
   ""
)</f>
        <v/>
      </c>
      <c r="E2944" s="7">
        <v>0</v>
      </c>
      <c r="F2944" s="7" t="str">
        <f>IFERROR(
   INDEX(tbl_ProduitsRef[Prix Menu],MATCH(tbl_Ventes[[#This Row],[Produit]],tbl_ProduitsRef[Produit],0)),
   ""
)</f>
        <v/>
      </c>
      <c r="G2944" s="7">
        <f>tbl_Ventes[[#This Row],[Qté Vendue]] * IFERROR(_xlfn.XLOOKUP(tbl_Ventes[[#This Row],[Cde_Prdt]], tbl_Produits[Cde_Prdt], tbl_Produits[Prix Menu]), 0)</f>
        <v>0</v>
      </c>
      <c r="H2944" s="7">
        <f>IFERROR(_xlfn.XLOOKUP(tbl_Ventes[[#This Row],[Cde_Prdt]], tbl_Produits[Cde_Prdt], tbl_Produits[Coût Moyen Portion]), 0)</f>
        <v>0</v>
      </c>
      <c r="I2944" s="7">
        <f>tbl_Ventes[[#This Row],[Qté Vendue]] * tbl_Ventes[[#This Row],[CMP_par_portion]]</f>
        <v>0</v>
      </c>
      <c r="J2944" s="7">
        <f>tbl_Ventes[[#This Row],[CA ligne]] - tbl_Ventes[[#This Row],[Coût matière ligne]]</f>
        <v>0</v>
      </c>
      <c r="K2944" s="7" t="str">
        <f>IFERROR(INDEX(tbl_ProduitsRef[Famille], MATCH(tbl_Ventes[[#This Row],[Cde_Prdt]], tbl_Produits[Cde_Prdt], 0)), "")</f>
        <v/>
      </c>
    </row>
    <row r="2945" spans="1:11" x14ac:dyDescent="0.25">
      <c r="A2945" s="5"/>
      <c r="B2945" s="63" t="str">
        <f>IFERROR(TEXT(tbl_Ventes[[#This Row],[Date]],"mm-aaaa"),"")</f>
        <v>01-1900</v>
      </c>
      <c r="D2945" s="10" t="str">
        <f>IFERROR(
   INDEX(tbl_ProduitsRef[Cde_Prdt],MATCH(tbl_Ventes[[#This Row],[Produit]],tbl_ProduitsRef[Produit],0)),
   ""
)</f>
        <v/>
      </c>
      <c r="E2945" s="7">
        <v>0</v>
      </c>
      <c r="F2945" s="7" t="str">
        <f>IFERROR(
   INDEX(tbl_ProduitsRef[Prix Menu],MATCH(tbl_Ventes[[#This Row],[Produit]],tbl_ProduitsRef[Produit],0)),
   ""
)</f>
        <v/>
      </c>
      <c r="G2945" s="7">
        <f>tbl_Ventes[[#This Row],[Qté Vendue]] * IFERROR(_xlfn.XLOOKUP(tbl_Ventes[[#This Row],[Cde_Prdt]], tbl_Produits[Cde_Prdt], tbl_Produits[Prix Menu]), 0)</f>
        <v>0</v>
      </c>
      <c r="H2945" s="7">
        <f>IFERROR(_xlfn.XLOOKUP(tbl_Ventes[[#This Row],[Cde_Prdt]], tbl_Produits[Cde_Prdt], tbl_Produits[Coût Moyen Portion]), 0)</f>
        <v>0</v>
      </c>
      <c r="I2945" s="7">
        <f>tbl_Ventes[[#This Row],[Qté Vendue]] * tbl_Ventes[[#This Row],[CMP_par_portion]]</f>
        <v>0</v>
      </c>
      <c r="J2945" s="7">
        <f>tbl_Ventes[[#This Row],[CA ligne]] - tbl_Ventes[[#This Row],[Coût matière ligne]]</f>
        <v>0</v>
      </c>
      <c r="K2945" s="7" t="str">
        <f>IFERROR(INDEX(tbl_ProduitsRef[Famille], MATCH(tbl_Ventes[[#This Row],[Cde_Prdt]], tbl_Produits[Cde_Prdt], 0)), "")</f>
        <v/>
      </c>
    </row>
    <row r="2946" spans="1:11" x14ac:dyDescent="0.25">
      <c r="A2946" s="5"/>
      <c r="B2946" s="63" t="str">
        <f>IFERROR(TEXT(tbl_Ventes[[#This Row],[Date]],"mm-aaaa"),"")</f>
        <v>01-1900</v>
      </c>
      <c r="D2946" s="10" t="str">
        <f>IFERROR(
   INDEX(tbl_ProduitsRef[Cde_Prdt],MATCH(tbl_Ventes[[#This Row],[Produit]],tbl_ProduitsRef[Produit],0)),
   ""
)</f>
        <v/>
      </c>
      <c r="E2946" s="7">
        <v>0</v>
      </c>
      <c r="F2946" s="7" t="str">
        <f>IFERROR(
   INDEX(tbl_ProduitsRef[Prix Menu],MATCH(tbl_Ventes[[#This Row],[Produit]],tbl_ProduitsRef[Produit],0)),
   ""
)</f>
        <v/>
      </c>
      <c r="G2946" s="7">
        <f>tbl_Ventes[[#This Row],[Qté Vendue]] * IFERROR(_xlfn.XLOOKUP(tbl_Ventes[[#This Row],[Cde_Prdt]], tbl_Produits[Cde_Prdt], tbl_Produits[Prix Menu]), 0)</f>
        <v>0</v>
      </c>
      <c r="H2946" s="7">
        <f>IFERROR(_xlfn.XLOOKUP(tbl_Ventes[[#This Row],[Cde_Prdt]], tbl_Produits[Cde_Prdt], tbl_Produits[Coût Moyen Portion]), 0)</f>
        <v>0</v>
      </c>
      <c r="I2946" s="7">
        <f>tbl_Ventes[[#This Row],[Qté Vendue]] * tbl_Ventes[[#This Row],[CMP_par_portion]]</f>
        <v>0</v>
      </c>
      <c r="J2946" s="7">
        <f>tbl_Ventes[[#This Row],[CA ligne]] - tbl_Ventes[[#This Row],[Coût matière ligne]]</f>
        <v>0</v>
      </c>
      <c r="K2946" s="7" t="str">
        <f>IFERROR(INDEX(tbl_ProduitsRef[Famille], MATCH(tbl_Ventes[[#This Row],[Cde_Prdt]], tbl_Produits[Cde_Prdt], 0)), "")</f>
        <v/>
      </c>
    </row>
    <row r="2947" spans="1:11" x14ac:dyDescent="0.25">
      <c r="A2947" s="5"/>
      <c r="B2947" s="63" t="str">
        <f>IFERROR(TEXT(tbl_Ventes[[#This Row],[Date]],"mm-aaaa"),"")</f>
        <v>01-1900</v>
      </c>
      <c r="D2947" s="10" t="str">
        <f>IFERROR(
   INDEX(tbl_ProduitsRef[Cde_Prdt],MATCH(tbl_Ventes[[#This Row],[Produit]],tbl_ProduitsRef[Produit],0)),
   ""
)</f>
        <v/>
      </c>
      <c r="E2947" s="7">
        <v>0</v>
      </c>
      <c r="F2947" s="7" t="str">
        <f>IFERROR(
   INDEX(tbl_ProduitsRef[Prix Menu],MATCH(tbl_Ventes[[#This Row],[Produit]],tbl_ProduitsRef[Produit],0)),
   ""
)</f>
        <v/>
      </c>
      <c r="G2947" s="7">
        <f>tbl_Ventes[[#This Row],[Qté Vendue]] * IFERROR(_xlfn.XLOOKUP(tbl_Ventes[[#This Row],[Cde_Prdt]], tbl_Produits[Cde_Prdt], tbl_Produits[Prix Menu]), 0)</f>
        <v>0</v>
      </c>
      <c r="H2947" s="7">
        <f>IFERROR(_xlfn.XLOOKUP(tbl_Ventes[[#This Row],[Cde_Prdt]], tbl_Produits[Cde_Prdt], tbl_Produits[Coût Moyen Portion]), 0)</f>
        <v>0</v>
      </c>
      <c r="I2947" s="7">
        <f>tbl_Ventes[[#This Row],[Qté Vendue]] * tbl_Ventes[[#This Row],[CMP_par_portion]]</f>
        <v>0</v>
      </c>
      <c r="J2947" s="7">
        <f>tbl_Ventes[[#This Row],[CA ligne]] - tbl_Ventes[[#This Row],[Coût matière ligne]]</f>
        <v>0</v>
      </c>
      <c r="K2947" s="7" t="str">
        <f>IFERROR(INDEX(tbl_ProduitsRef[Famille], MATCH(tbl_Ventes[[#This Row],[Cde_Prdt]], tbl_Produits[Cde_Prdt], 0)), "")</f>
        <v/>
      </c>
    </row>
    <row r="2948" spans="1:11" x14ac:dyDescent="0.25">
      <c r="A2948" s="5"/>
      <c r="B2948" s="63" t="str">
        <f>IFERROR(TEXT(tbl_Ventes[[#This Row],[Date]],"mm-aaaa"),"")</f>
        <v>01-1900</v>
      </c>
      <c r="D2948" s="10" t="str">
        <f>IFERROR(
   INDEX(tbl_ProduitsRef[Cde_Prdt],MATCH(tbl_Ventes[[#This Row],[Produit]],tbl_ProduitsRef[Produit],0)),
   ""
)</f>
        <v/>
      </c>
      <c r="E2948" s="7">
        <v>0</v>
      </c>
      <c r="F2948" s="7" t="str">
        <f>IFERROR(
   INDEX(tbl_ProduitsRef[Prix Menu],MATCH(tbl_Ventes[[#This Row],[Produit]],tbl_ProduitsRef[Produit],0)),
   ""
)</f>
        <v/>
      </c>
      <c r="G2948" s="7">
        <f>tbl_Ventes[[#This Row],[Qté Vendue]] * IFERROR(_xlfn.XLOOKUP(tbl_Ventes[[#This Row],[Cde_Prdt]], tbl_Produits[Cde_Prdt], tbl_Produits[Prix Menu]), 0)</f>
        <v>0</v>
      </c>
      <c r="H2948" s="7">
        <f>IFERROR(_xlfn.XLOOKUP(tbl_Ventes[[#This Row],[Cde_Prdt]], tbl_Produits[Cde_Prdt], tbl_Produits[Coût Moyen Portion]), 0)</f>
        <v>0</v>
      </c>
      <c r="I2948" s="7">
        <f>tbl_Ventes[[#This Row],[Qté Vendue]] * tbl_Ventes[[#This Row],[CMP_par_portion]]</f>
        <v>0</v>
      </c>
      <c r="J2948" s="7">
        <f>tbl_Ventes[[#This Row],[CA ligne]] - tbl_Ventes[[#This Row],[Coût matière ligne]]</f>
        <v>0</v>
      </c>
      <c r="K2948" s="7" t="str">
        <f>IFERROR(INDEX(tbl_ProduitsRef[Famille], MATCH(tbl_Ventes[[#This Row],[Cde_Prdt]], tbl_Produits[Cde_Prdt], 0)), "")</f>
        <v/>
      </c>
    </row>
    <row r="2949" spans="1:11" x14ac:dyDescent="0.25">
      <c r="A2949" s="5"/>
      <c r="B2949" s="63" t="str">
        <f>IFERROR(TEXT(tbl_Ventes[[#This Row],[Date]],"mm-aaaa"),"")</f>
        <v>01-1900</v>
      </c>
      <c r="D2949" s="10" t="str">
        <f>IFERROR(
   INDEX(tbl_ProduitsRef[Cde_Prdt],MATCH(tbl_Ventes[[#This Row],[Produit]],tbl_ProduitsRef[Produit],0)),
   ""
)</f>
        <v/>
      </c>
      <c r="E2949" s="7">
        <v>0</v>
      </c>
      <c r="F2949" s="7" t="str">
        <f>IFERROR(
   INDEX(tbl_ProduitsRef[Prix Menu],MATCH(tbl_Ventes[[#This Row],[Produit]],tbl_ProduitsRef[Produit],0)),
   ""
)</f>
        <v/>
      </c>
      <c r="G2949" s="7">
        <f>tbl_Ventes[[#This Row],[Qté Vendue]] * IFERROR(_xlfn.XLOOKUP(tbl_Ventes[[#This Row],[Cde_Prdt]], tbl_Produits[Cde_Prdt], tbl_Produits[Prix Menu]), 0)</f>
        <v>0</v>
      </c>
      <c r="H2949" s="7">
        <f>IFERROR(_xlfn.XLOOKUP(tbl_Ventes[[#This Row],[Cde_Prdt]], tbl_Produits[Cde_Prdt], tbl_Produits[Coût Moyen Portion]), 0)</f>
        <v>0</v>
      </c>
      <c r="I2949" s="7">
        <f>tbl_Ventes[[#This Row],[Qté Vendue]] * tbl_Ventes[[#This Row],[CMP_par_portion]]</f>
        <v>0</v>
      </c>
      <c r="J2949" s="7">
        <f>tbl_Ventes[[#This Row],[CA ligne]] - tbl_Ventes[[#This Row],[Coût matière ligne]]</f>
        <v>0</v>
      </c>
      <c r="K2949" s="7" t="str">
        <f>IFERROR(INDEX(tbl_ProduitsRef[Famille], MATCH(tbl_Ventes[[#This Row],[Cde_Prdt]], tbl_Produits[Cde_Prdt], 0)), "")</f>
        <v/>
      </c>
    </row>
    <row r="2950" spans="1:11" x14ac:dyDescent="0.25">
      <c r="A2950" s="5"/>
      <c r="B2950" s="63" t="str">
        <f>IFERROR(TEXT(tbl_Ventes[[#This Row],[Date]],"mm-aaaa"),"")</f>
        <v>01-1900</v>
      </c>
      <c r="D2950" s="10" t="str">
        <f>IFERROR(
   INDEX(tbl_ProduitsRef[Cde_Prdt],MATCH(tbl_Ventes[[#This Row],[Produit]],tbl_ProduitsRef[Produit],0)),
   ""
)</f>
        <v/>
      </c>
      <c r="E2950" s="7">
        <v>0</v>
      </c>
      <c r="F2950" s="7" t="str">
        <f>IFERROR(
   INDEX(tbl_ProduitsRef[Prix Menu],MATCH(tbl_Ventes[[#This Row],[Produit]],tbl_ProduitsRef[Produit],0)),
   ""
)</f>
        <v/>
      </c>
      <c r="G2950" s="7">
        <f>tbl_Ventes[[#This Row],[Qté Vendue]] * IFERROR(_xlfn.XLOOKUP(tbl_Ventes[[#This Row],[Cde_Prdt]], tbl_Produits[Cde_Prdt], tbl_Produits[Prix Menu]), 0)</f>
        <v>0</v>
      </c>
      <c r="H2950" s="7">
        <f>IFERROR(_xlfn.XLOOKUP(tbl_Ventes[[#This Row],[Cde_Prdt]], tbl_Produits[Cde_Prdt], tbl_Produits[Coût Moyen Portion]), 0)</f>
        <v>0</v>
      </c>
      <c r="I2950" s="7">
        <f>tbl_Ventes[[#This Row],[Qté Vendue]] * tbl_Ventes[[#This Row],[CMP_par_portion]]</f>
        <v>0</v>
      </c>
      <c r="J2950" s="7">
        <f>tbl_Ventes[[#This Row],[CA ligne]] - tbl_Ventes[[#This Row],[Coût matière ligne]]</f>
        <v>0</v>
      </c>
      <c r="K2950" s="7" t="str">
        <f>IFERROR(INDEX(tbl_ProduitsRef[Famille], MATCH(tbl_Ventes[[#This Row],[Cde_Prdt]], tbl_Produits[Cde_Prdt], 0)), "")</f>
        <v/>
      </c>
    </row>
    <row r="2951" spans="1:11" x14ac:dyDescent="0.25">
      <c r="A2951" s="5"/>
      <c r="B2951" s="63" t="str">
        <f>IFERROR(TEXT(tbl_Ventes[[#This Row],[Date]],"mm-aaaa"),"")</f>
        <v>01-1900</v>
      </c>
      <c r="D2951" s="10" t="str">
        <f>IFERROR(
   INDEX(tbl_ProduitsRef[Cde_Prdt],MATCH(tbl_Ventes[[#This Row],[Produit]],tbl_ProduitsRef[Produit],0)),
   ""
)</f>
        <v/>
      </c>
      <c r="E2951" s="7">
        <v>0</v>
      </c>
      <c r="F2951" s="7" t="str">
        <f>IFERROR(
   INDEX(tbl_ProduitsRef[Prix Menu],MATCH(tbl_Ventes[[#This Row],[Produit]],tbl_ProduitsRef[Produit],0)),
   ""
)</f>
        <v/>
      </c>
      <c r="G2951" s="7">
        <f>tbl_Ventes[[#This Row],[Qté Vendue]] * IFERROR(_xlfn.XLOOKUP(tbl_Ventes[[#This Row],[Cde_Prdt]], tbl_Produits[Cde_Prdt], tbl_Produits[Prix Menu]), 0)</f>
        <v>0</v>
      </c>
      <c r="H2951" s="7">
        <f>IFERROR(_xlfn.XLOOKUP(tbl_Ventes[[#This Row],[Cde_Prdt]], tbl_Produits[Cde_Prdt], tbl_Produits[Coût Moyen Portion]), 0)</f>
        <v>0</v>
      </c>
      <c r="I2951" s="7">
        <f>tbl_Ventes[[#This Row],[Qté Vendue]] * tbl_Ventes[[#This Row],[CMP_par_portion]]</f>
        <v>0</v>
      </c>
      <c r="J2951" s="7">
        <f>tbl_Ventes[[#This Row],[CA ligne]] - tbl_Ventes[[#This Row],[Coût matière ligne]]</f>
        <v>0</v>
      </c>
      <c r="K2951" s="7" t="str">
        <f>IFERROR(INDEX(tbl_ProduitsRef[Famille], MATCH(tbl_Ventes[[#This Row],[Cde_Prdt]], tbl_Produits[Cde_Prdt], 0)), "")</f>
        <v/>
      </c>
    </row>
    <row r="2952" spans="1:11" x14ac:dyDescent="0.25">
      <c r="A2952" s="5"/>
      <c r="B2952" s="63" t="str">
        <f>IFERROR(TEXT(tbl_Ventes[[#This Row],[Date]],"mm-aaaa"),"")</f>
        <v>01-1900</v>
      </c>
      <c r="D2952" s="10" t="str">
        <f>IFERROR(
   INDEX(tbl_ProduitsRef[Cde_Prdt],MATCH(tbl_Ventes[[#This Row],[Produit]],tbl_ProduitsRef[Produit],0)),
   ""
)</f>
        <v/>
      </c>
      <c r="E2952" s="7">
        <v>0</v>
      </c>
      <c r="F2952" s="7" t="str">
        <f>IFERROR(
   INDEX(tbl_ProduitsRef[Prix Menu],MATCH(tbl_Ventes[[#This Row],[Produit]],tbl_ProduitsRef[Produit],0)),
   ""
)</f>
        <v/>
      </c>
      <c r="G2952" s="7">
        <f>tbl_Ventes[[#This Row],[Qté Vendue]] * IFERROR(_xlfn.XLOOKUP(tbl_Ventes[[#This Row],[Cde_Prdt]], tbl_Produits[Cde_Prdt], tbl_Produits[Prix Menu]), 0)</f>
        <v>0</v>
      </c>
      <c r="H2952" s="7">
        <f>IFERROR(_xlfn.XLOOKUP(tbl_Ventes[[#This Row],[Cde_Prdt]], tbl_Produits[Cde_Prdt], tbl_Produits[Coût Moyen Portion]), 0)</f>
        <v>0</v>
      </c>
      <c r="I2952" s="7">
        <f>tbl_Ventes[[#This Row],[Qté Vendue]] * tbl_Ventes[[#This Row],[CMP_par_portion]]</f>
        <v>0</v>
      </c>
      <c r="J2952" s="7">
        <f>tbl_Ventes[[#This Row],[CA ligne]] - tbl_Ventes[[#This Row],[Coût matière ligne]]</f>
        <v>0</v>
      </c>
      <c r="K2952" s="7" t="str">
        <f>IFERROR(INDEX(tbl_ProduitsRef[Famille], MATCH(tbl_Ventes[[#This Row],[Cde_Prdt]], tbl_Produits[Cde_Prdt], 0)), "")</f>
        <v/>
      </c>
    </row>
    <row r="2953" spans="1:11" x14ac:dyDescent="0.25">
      <c r="A2953" s="5"/>
      <c r="B2953" s="63" t="str">
        <f>IFERROR(TEXT(tbl_Ventes[[#This Row],[Date]],"mm-aaaa"),"")</f>
        <v>01-1900</v>
      </c>
      <c r="D2953" s="10" t="str">
        <f>IFERROR(
   INDEX(tbl_ProduitsRef[Cde_Prdt],MATCH(tbl_Ventes[[#This Row],[Produit]],tbl_ProduitsRef[Produit],0)),
   ""
)</f>
        <v/>
      </c>
      <c r="E2953" s="7">
        <v>0</v>
      </c>
      <c r="F2953" s="7" t="str">
        <f>IFERROR(
   INDEX(tbl_ProduitsRef[Prix Menu],MATCH(tbl_Ventes[[#This Row],[Produit]],tbl_ProduitsRef[Produit],0)),
   ""
)</f>
        <v/>
      </c>
      <c r="G2953" s="7">
        <f>tbl_Ventes[[#This Row],[Qté Vendue]] * IFERROR(_xlfn.XLOOKUP(tbl_Ventes[[#This Row],[Cde_Prdt]], tbl_Produits[Cde_Prdt], tbl_Produits[Prix Menu]), 0)</f>
        <v>0</v>
      </c>
      <c r="H2953" s="7">
        <f>IFERROR(_xlfn.XLOOKUP(tbl_Ventes[[#This Row],[Cde_Prdt]], tbl_Produits[Cde_Prdt], tbl_Produits[Coût Moyen Portion]), 0)</f>
        <v>0</v>
      </c>
      <c r="I2953" s="7">
        <f>tbl_Ventes[[#This Row],[Qté Vendue]] * tbl_Ventes[[#This Row],[CMP_par_portion]]</f>
        <v>0</v>
      </c>
      <c r="J2953" s="7">
        <f>tbl_Ventes[[#This Row],[CA ligne]] - tbl_Ventes[[#This Row],[Coût matière ligne]]</f>
        <v>0</v>
      </c>
      <c r="K2953" s="7" t="str">
        <f>IFERROR(INDEX(tbl_ProduitsRef[Famille], MATCH(tbl_Ventes[[#This Row],[Cde_Prdt]], tbl_Produits[Cde_Prdt], 0)), "")</f>
        <v/>
      </c>
    </row>
    <row r="2954" spans="1:11" x14ac:dyDescent="0.25">
      <c r="A2954" s="5"/>
      <c r="B2954" s="63" t="str">
        <f>IFERROR(TEXT(tbl_Ventes[[#This Row],[Date]],"mm-aaaa"),"")</f>
        <v>01-1900</v>
      </c>
      <c r="D2954" s="10" t="str">
        <f>IFERROR(
   INDEX(tbl_ProduitsRef[Cde_Prdt],MATCH(tbl_Ventes[[#This Row],[Produit]],tbl_ProduitsRef[Produit],0)),
   ""
)</f>
        <v/>
      </c>
      <c r="E2954" s="7">
        <v>0</v>
      </c>
      <c r="F2954" s="7" t="str">
        <f>IFERROR(
   INDEX(tbl_ProduitsRef[Prix Menu],MATCH(tbl_Ventes[[#This Row],[Produit]],tbl_ProduitsRef[Produit],0)),
   ""
)</f>
        <v/>
      </c>
      <c r="G2954" s="7">
        <f>tbl_Ventes[[#This Row],[Qté Vendue]] * IFERROR(_xlfn.XLOOKUP(tbl_Ventes[[#This Row],[Cde_Prdt]], tbl_Produits[Cde_Prdt], tbl_Produits[Prix Menu]), 0)</f>
        <v>0</v>
      </c>
      <c r="H2954" s="7">
        <f>IFERROR(_xlfn.XLOOKUP(tbl_Ventes[[#This Row],[Cde_Prdt]], tbl_Produits[Cde_Prdt], tbl_Produits[Coût Moyen Portion]), 0)</f>
        <v>0</v>
      </c>
      <c r="I2954" s="7">
        <f>tbl_Ventes[[#This Row],[Qté Vendue]] * tbl_Ventes[[#This Row],[CMP_par_portion]]</f>
        <v>0</v>
      </c>
      <c r="J2954" s="7">
        <f>tbl_Ventes[[#This Row],[CA ligne]] - tbl_Ventes[[#This Row],[Coût matière ligne]]</f>
        <v>0</v>
      </c>
      <c r="K2954" s="7" t="str">
        <f>IFERROR(INDEX(tbl_ProduitsRef[Famille], MATCH(tbl_Ventes[[#This Row],[Cde_Prdt]], tbl_Produits[Cde_Prdt], 0)), "")</f>
        <v/>
      </c>
    </row>
    <row r="2955" spans="1:11" x14ac:dyDescent="0.25">
      <c r="A2955" s="5"/>
      <c r="B2955" s="63" t="str">
        <f>IFERROR(TEXT(tbl_Ventes[[#This Row],[Date]],"mm-aaaa"),"")</f>
        <v>01-1900</v>
      </c>
      <c r="D2955" s="10" t="str">
        <f>IFERROR(
   INDEX(tbl_ProduitsRef[Cde_Prdt],MATCH(tbl_Ventes[[#This Row],[Produit]],tbl_ProduitsRef[Produit],0)),
   ""
)</f>
        <v/>
      </c>
      <c r="E2955" s="7">
        <v>0</v>
      </c>
      <c r="F2955" s="7" t="str">
        <f>IFERROR(
   INDEX(tbl_ProduitsRef[Prix Menu],MATCH(tbl_Ventes[[#This Row],[Produit]],tbl_ProduitsRef[Produit],0)),
   ""
)</f>
        <v/>
      </c>
      <c r="G2955" s="7">
        <f>tbl_Ventes[[#This Row],[Qté Vendue]] * IFERROR(_xlfn.XLOOKUP(tbl_Ventes[[#This Row],[Cde_Prdt]], tbl_Produits[Cde_Prdt], tbl_Produits[Prix Menu]), 0)</f>
        <v>0</v>
      </c>
      <c r="H2955" s="7">
        <f>IFERROR(_xlfn.XLOOKUP(tbl_Ventes[[#This Row],[Cde_Prdt]], tbl_Produits[Cde_Prdt], tbl_Produits[Coût Moyen Portion]), 0)</f>
        <v>0</v>
      </c>
      <c r="I2955" s="7">
        <f>tbl_Ventes[[#This Row],[Qté Vendue]] * tbl_Ventes[[#This Row],[CMP_par_portion]]</f>
        <v>0</v>
      </c>
      <c r="J2955" s="7">
        <f>tbl_Ventes[[#This Row],[CA ligne]] - tbl_Ventes[[#This Row],[Coût matière ligne]]</f>
        <v>0</v>
      </c>
      <c r="K2955" s="7" t="str">
        <f>IFERROR(INDEX(tbl_ProduitsRef[Famille], MATCH(tbl_Ventes[[#This Row],[Cde_Prdt]], tbl_Produits[Cde_Prdt], 0)), "")</f>
        <v/>
      </c>
    </row>
    <row r="2956" spans="1:11" x14ac:dyDescent="0.25">
      <c r="A2956" s="5"/>
      <c r="B2956" s="63" t="str">
        <f>IFERROR(TEXT(tbl_Ventes[[#This Row],[Date]],"mm-aaaa"),"")</f>
        <v>01-1900</v>
      </c>
      <c r="D2956" s="10" t="str">
        <f>IFERROR(
   INDEX(tbl_ProduitsRef[Cde_Prdt],MATCH(tbl_Ventes[[#This Row],[Produit]],tbl_ProduitsRef[Produit],0)),
   ""
)</f>
        <v/>
      </c>
      <c r="E2956" s="7">
        <v>0</v>
      </c>
      <c r="F2956" s="7" t="str">
        <f>IFERROR(
   INDEX(tbl_ProduitsRef[Prix Menu],MATCH(tbl_Ventes[[#This Row],[Produit]],tbl_ProduitsRef[Produit],0)),
   ""
)</f>
        <v/>
      </c>
      <c r="G2956" s="7">
        <f>tbl_Ventes[[#This Row],[Qté Vendue]] * IFERROR(_xlfn.XLOOKUP(tbl_Ventes[[#This Row],[Cde_Prdt]], tbl_Produits[Cde_Prdt], tbl_Produits[Prix Menu]), 0)</f>
        <v>0</v>
      </c>
      <c r="H2956" s="7">
        <f>IFERROR(_xlfn.XLOOKUP(tbl_Ventes[[#This Row],[Cde_Prdt]], tbl_Produits[Cde_Prdt], tbl_Produits[Coût Moyen Portion]), 0)</f>
        <v>0</v>
      </c>
      <c r="I2956" s="7">
        <f>tbl_Ventes[[#This Row],[Qté Vendue]] * tbl_Ventes[[#This Row],[CMP_par_portion]]</f>
        <v>0</v>
      </c>
      <c r="J2956" s="7">
        <f>tbl_Ventes[[#This Row],[CA ligne]] - tbl_Ventes[[#This Row],[Coût matière ligne]]</f>
        <v>0</v>
      </c>
      <c r="K2956" s="7" t="str">
        <f>IFERROR(INDEX(tbl_ProduitsRef[Famille], MATCH(tbl_Ventes[[#This Row],[Cde_Prdt]], tbl_Produits[Cde_Prdt], 0)), "")</f>
        <v/>
      </c>
    </row>
    <row r="2957" spans="1:11" x14ac:dyDescent="0.25">
      <c r="A2957" s="5"/>
      <c r="B2957" s="63" t="str">
        <f>IFERROR(TEXT(tbl_Ventes[[#This Row],[Date]],"mm-aaaa"),"")</f>
        <v>01-1900</v>
      </c>
      <c r="D2957" s="10" t="str">
        <f>IFERROR(
   INDEX(tbl_ProduitsRef[Cde_Prdt],MATCH(tbl_Ventes[[#This Row],[Produit]],tbl_ProduitsRef[Produit],0)),
   ""
)</f>
        <v/>
      </c>
      <c r="E2957" s="7">
        <v>0</v>
      </c>
      <c r="F2957" s="7" t="str">
        <f>IFERROR(
   INDEX(tbl_ProduitsRef[Prix Menu],MATCH(tbl_Ventes[[#This Row],[Produit]],tbl_ProduitsRef[Produit],0)),
   ""
)</f>
        <v/>
      </c>
      <c r="G2957" s="7">
        <f>tbl_Ventes[[#This Row],[Qté Vendue]] * IFERROR(_xlfn.XLOOKUP(tbl_Ventes[[#This Row],[Cde_Prdt]], tbl_Produits[Cde_Prdt], tbl_Produits[Prix Menu]), 0)</f>
        <v>0</v>
      </c>
      <c r="H2957" s="7">
        <f>IFERROR(_xlfn.XLOOKUP(tbl_Ventes[[#This Row],[Cde_Prdt]], tbl_Produits[Cde_Prdt], tbl_Produits[Coût Moyen Portion]), 0)</f>
        <v>0</v>
      </c>
      <c r="I2957" s="7">
        <f>tbl_Ventes[[#This Row],[Qté Vendue]] * tbl_Ventes[[#This Row],[CMP_par_portion]]</f>
        <v>0</v>
      </c>
      <c r="J2957" s="7">
        <f>tbl_Ventes[[#This Row],[CA ligne]] - tbl_Ventes[[#This Row],[Coût matière ligne]]</f>
        <v>0</v>
      </c>
      <c r="K2957" s="7" t="str">
        <f>IFERROR(INDEX(tbl_ProduitsRef[Famille], MATCH(tbl_Ventes[[#This Row],[Cde_Prdt]], tbl_Produits[Cde_Prdt], 0)), "")</f>
        <v/>
      </c>
    </row>
    <row r="2958" spans="1:11" x14ac:dyDescent="0.25">
      <c r="A2958" s="5"/>
      <c r="B2958" s="63" t="str">
        <f>IFERROR(TEXT(tbl_Ventes[[#This Row],[Date]],"mm-aaaa"),"")</f>
        <v>01-1900</v>
      </c>
      <c r="D2958" s="10" t="str">
        <f>IFERROR(
   INDEX(tbl_ProduitsRef[Cde_Prdt],MATCH(tbl_Ventes[[#This Row],[Produit]],tbl_ProduitsRef[Produit],0)),
   ""
)</f>
        <v/>
      </c>
      <c r="E2958" s="7">
        <v>0</v>
      </c>
      <c r="F2958" s="7" t="str">
        <f>IFERROR(
   INDEX(tbl_ProduitsRef[Prix Menu],MATCH(tbl_Ventes[[#This Row],[Produit]],tbl_ProduitsRef[Produit],0)),
   ""
)</f>
        <v/>
      </c>
      <c r="G2958" s="7">
        <f>tbl_Ventes[[#This Row],[Qté Vendue]] * IFERROR(_xlfn.XLOOKUP(tbl_Ventes[[#This Row],[Cde_Prdt]], tbl_Produits[Cde_Prdt], tbl_Produits[Prix Menu]), 0)</f>
        <v>0</v>
      </c>
      <c r="H2958" s="7">
        <f>IFERROR(_xlfn.XLOOKUP(tbl_Ventes[[#This Row],[Cde_Prdt]], tbl_Produits[Cde_Prdt], tbl_Produits[Coût Moyen Portion]), 0)</f>
        <v>0</v>
      </c>
      <c r="I2958" s="7">
        <f>tbl_Ventes[[#This Row],[Qté Vendue]] * tbl_Ventes[[#This Row],[CMP_par_portion]]</f>
        <v>0</v>
      </c>
      <c r="J2958" s="7">
        <f>tbl_Ventes[[#This Row],[CA ligne]] - tbl_Ventes[[#This Row],[Coût matière ligne]]</f>
        <v>0</v>
      </c>
      <c r="K2958" s="7" t="str">
        <f>IFERROR(INDEX(tbl_ProduitsRef[Famille], MATCH(tbl_Ventes[[#This Row],[Cde_Prdt]], tbl_Produits[Cde_Prdt], 0)), "")</f>
        <v/>
      </c>
    </row>
    <row r="2959" spans="1:11" x14ac:dyDescent="0.25">
      <c r="A2959" s="5"/>
      <c r="B2959" s="63" t="str">
        <f>IFERROR(TEXT(tbl_Ventes[[#This Row],[Date]],"mm-aaaa"),"")</f>
        <v>01-1900</v>
      </c>
      <c r="D2959" s="10" t="str">
        <f>IFERROR(
   INDEX(tbl_ProduitsRef[Cde_Prdt],MATCH(tbl_Ventes[[#This Row],[Produit]],tbl_ProduitsRef[Produit],0)),
   ""
)</f>
        <v/>
      </c>
      <c r="E2959" s="7">
        <v>0</v>
      </c>
      <c r="F2959" s="7" t="str">
        <f>IFERROR(
   INDEX(tbl_ProduitsRef[Prix Menu],MATCH(tbl_Ventes[[#This Row],[Produit]],tbl_ProduitsRef[Produit],0)),
   ""
)</f>
        <v/>
      </c>
      <c r="G2959" s="7">
        <f>tbl_Ventes[[#This Row],[Qté Vendue]] * IFERROR(_xlfn.XLOOKUP(tbl_Ventes[[#This Row],[Cde_Prdt]], tbl_Produits[Cde_Prdt], tbl_Produits[Prix Menu]), 0)</f>
        <v>0</v>
      </c>
      <c r="H2959" s="7">
        <f>IFERROR(_xlfn.XLOOKUP(tbl_Ventes[[#This Row],[Cde_Prdt]], tbl_Produits[Cde_Prdt], tbl_Produits[Coût Moyen Portion]), 0)</f>
        <v>0</v>
      </c>
      <c r="I2959" s="7">
        <f>tbl_Ventes[[#This Row],[Qté Vendue]] * tbl_Ventes[[#This Row],[CMP_par_portion]]</f>
        <v>0</v>
      </c>
      <c r="J2959" s="7">
        <f>tbl_Ventes[[#This Row],[CA ligne]] - tbl_Ventes[[#This Row],[Coût matière ligne]]</f>
        <v>0</v>
      </c>
      <c r="K2959" s="7" t="str">
        <f>IFERROR(INDEX(tbl_ProduitsRef[Famille], MATCH(tbl_Ventes[[#This Row],[Cde_Prdt]], tbl_Produits[Cde_Prdt], 0)), "")</f>
        <v/>
      </c>
    </row>
    <row r="2960" spans="1:11" x14ac:dyDescent="0.25">
      <c r="A2960" s="5"/>
      <c r="B2960" s="63" t="str">
        <f>IFERROR(TEXT(tbl_Ventes[[#This Row],[Date]],"mm-aaaa"),"")</f>
        <v>01-1900</v>
      </c>
      <c r="D2960" s="10" t="str">
        <f>IFERROR(
   INDEX(tbl_ProduitsRef[Cde_Prdt],MATCH(tbl_Ventes[[#This Row],[Produit]],tbl_ProduitsRef[Produit],0)),
   ""
)</f>
        <v/>
      </c>
      <c r="E2960" s="7">
        <v>0</v>
      </c>
      <c r="F2960" s="7" t="str">
        <f>IFERROR(
   INDEX(tbl_ProduitsRef[Prix Menu],MATCH(tbl_Ventes[[#This Row],[Produit]],tbl_ProduitsRef[Produit],0)),
   ""
)</f>
        <v/>
      </c>
      <c r="G2960" s="7">
        <f>tbl_Ventes[[#This Row],[Qté Vendue]] * IFERROR(_xlfn.XLOOKUP(tbl_Ventes[[#This Row],[Cde_Prdt]], tbl_Produits[Cde_Prdt], tbl_Produits[Prix Menu]), 0)</f>
        <v>0</v>
      </c>
      <c r="H2960" s="7">
        <f>IFERROR(_xlfn.XLOOKUP(tbl_Ventes[[#This Row],[Cde_Prdt]], tbl_Produits[Cde_Prdt], tbl_Produits[Coût Moyen Portion]), 0)</f>
        <v>0</v>
      </c>
      <c r="I2960" s="7">
        <f>tbl_Ventes[[#This Row],[Qté Vendue]] * tbl_Ventes[[#This Row],[CMP_par_portion]]</f>
        <v>0</v>
      </c>
      <c r="J2960" s="7">
        <f>tbl_Ventes[[#This Row],[CA ligne]] - tbl_Ventes[[#This Row],[Coût matière ligne]]</f>
        <v>0</v>
      </c>
      <c r="K2960" s="7" t="str">
        <f>IFERROR(INDEX(tbl_ProduitsRef[Famille], MATCH(tbl_Ventes[[#This Row],[Cde_Prdt]], tbl_Produits[Cde_Prdt], 0)), "")</f>
        <v/>
      </c>
    </row>
    <row r="2961" spans="1:11" x14ac:dyDescent="0.25">
      <c r="A2961" s="5"/>
      <c r="B2961" s="63" t="str">
        <f>IFERROR(TEXT(tbl_Ventes[[#This Row],[Date]],"mm-aaaa"),"")</f>
        <v>01-1900</v>
      </c>
      <c r="D2961" s="10" t="str">
        <f>IFERROR(
   INDEX(tbl_ProduitsRef[Cde_Prdt],MATCH(tbl_Ventes[[#This Row],[Produit]],tbl_ProduitsRef[Produit],0)),
   ""
)</f>
        <v/>
      </c>
      <c r="E2961" s="7">
        <v>0</v>
      </c>
      <c r="F2961" s="7" t="str">
        <f>IFERROR(
   INDEX(tbl_ProduitsRef[Prix Menu],MATCH(tbl_Ventes[[#This Row],[Produit]],tbl_ProduitsRef[Produit],0)),
   ""
)</f>
        <v/>
      </c>
      <c r="G2961" s="7">
        <f>tbl_Ventes[[#This Row],[Qté Vendue]] * IFERROR(_xlfn.XLOOKUP(tbl_Ventes[[#This Row],[Cde_Prdt]], tbl_Produits[Cde_Prdt], tbl_Produits[Prix Menu]), 0)</f>
        <v>0</v>
      </c>
      <c r="H2961" s="7">
        <f>IFERROR(_xlfn.XLOOKUP(tbl_Ventes[[#This Row],[Cde_Prdt]], tbl_Produits[Cde_Prdt], tbl_Produits[Coût Moyen Portion]), 0)</f>
        <v>0</v>
      </c>
      <c r="I2961" s="7">
        <f>tbl_Ventes[[#This Row],[Qté Vendue]] * tbl_Ventes[[#This Row],[CMP_par_portion]]</f>
        <v>0</v>
      </c>
      <c r="J2961" s="7">
        <f>tbl_Ventes[[#This Row],[CA ligne]] - tbl_Ventes[[#This Row],[Coût matière ligne]]</f>
        <v>0</v>
      </c>
      <c r="K2961" s="7" t="str">
        <f>IFERROR(INDEX(tbl_ProduitsRef[Famille], MATCH(tbl_Ventes[[#This Row],[Cde_Prdt]], tbl_Produits[Cde_Prdt], 0)), "")</f>
        <v/>
      </c>
    </row>
    <row r="2962" spans="1:11" x14ac:dyDescent="0.25">
      <c r="A2962" s="5"/>
      <c r="B2962" s="63" t="str">
        <f>IFERROR(TEXT(tbl_Ventes[[#This Row],[Date]],"mm-aaaa"),"")</f>
        <v>01-1900</v>
      </c>
      <c r="D2962" s="10" t="str">
        <f>IFERROR(
   INDEX(tbl_ProduitsRef[Cde_Prdt],MATCH(tbl_Ventes[[#This Row],[Produit]],tbl_ProduitsRef[Produit],0)),
   ""
)</f>
        <v/>
      </c>
      <c r="E2962" s="7">
        <v>0</v>
      </c>
      <c r="F2962" s="7" t="str">
        <f>IFERROR(
   INDEX(tbl_ProduitsRef[Prix Menu],MATCH(tbl_Ventes[[#This Row],[Produit]],tbl_ProduitsRef[Produit],0)),
   ""
)</f>
        <v/>
      </c>
      <c r="G2962" s="7">
        <f>tbl_Ventes[[#This Row],[Qté Vendue]] * IFERROR(_xlfn.XLOOKUP(tbl_Ventes[[#This Row],[Cde_Prdt]], tbl_Produits[Cde_Prdt], tbl_Produits[Prix Menu]), 0)</f>
        <v>0</v>
      </c>
      <c r="H2962" s="7">
        <f>IFERROR(_xlfn.XLOOKUP(tbl_Ventes[[#This Row],[Cde_Prdt]], tbl_Produits[Cde_Prdt], tbl_Produits[Coût Moyen Portion]), 0)</f>
        <v>0</v>
      </c>
      <c r="I2962" s="7">
        <f>tbl_Ventes[[#This Row],[Qté Vendue]] * tbl_Ventes[[#This Row],[CMP_par_portion]]</f>
        <v>0</v>
      </c>
      <c r="J2962" s="7">
        <f>tbl_Ventes[[#This Row],[CA ligne]] - tbl_Ventes[[#This Row],[Coût matière ligne]]</f>
        <v>0</v>
      </c>
      <c r="K2962" s="7" t="str">
        <f>IFERROR(INDEX(tbl_ProduitsRef[Famille], MATCH(tbl_Ventes[[#This Row],[Cde_Prdt]], tbl_Produits[Cde_Prdt], 0)), "")</f>
        <v/>
      </c>
    </row>
    <row r="2963" spans="1:11" x14ac:dyDescent="0.25">
      <c r="A2963" s="5"/>
      <c r="B2963" s="63" t="str">
        <f>IFERROR(TEXT(tbl_Ventes[[#This Row],[Date]],"mm-aaaa"),"")</f>
        <v>01-1900</v>
      </c>
      <c r="D2963" s="10" t="str">
        <f>IFERROR(
   INDEX(tbl_ProduitsRef[Cde_Prdt],MATCH(tbl_Ventes[[#This Row],[Produit]],tbl_ProduitsRef[Produit],0)),
   ""
)</f>
        <v/>
      </c>
      <c r="E2963" s="7">
        <v>0</v>
      </c>
      <c r="F2963" s="7" t="str">
        <f>IFERROR(
   INDEX(tbl_ProduitsRef[Prix Menu],MATCH(tbl_Ventes[[#This Row],[Produit]],tbl_ProduitsRef[Produit],0)),
   ""
)</f>
        <v/>
      </c>
      <c r="G2963" s="7">
        <f>tbl_Ventes[[#This Row],[Qté Vendue]] * IFERROR(_xlfn.XLOOKUP(tbl_Ventes[[#This Row],[Cde_Prdt]], tbl_Produits[Cde_Prdt], tbl_Produits[Prix Menu]), 0)</f>
        <v>0</v>
      </c>
      <c r="H2963" s="7">
        <f>IFERROR(_xlfn.XLOOKUP(tbl_Ventes[[#This Row],[Cde_Prdt]], tbl_Produits[Cde_Prdt], tbl_Produits[Coût Moyen Portion]), 0)</f>
        <v>0</v>
      </c>
      <c r="I2963" s="7">
        <f>tbl_Ventes[[#This Row],[Qté Vendue]] * tbl_Ventes[[#This Row],[CMP_par_portion]]</f>
        <v>0</v>
      </c>
      <c r="J2963" s="7">
        <f>tbl_Ventes[[#This Row],[CA ligne]] - tbl_Ventes[[#This Row],[Coût matière ligne]]</f>
        <v>0</v>
      </c>
      <c r="K2963" s="7" t="str">
        <f>IFERROR(INDEX(tbl_ProduitsRef[Famille], MATCH(tbl_Ventes[[#This Row],[Cde_Prdt]], tbl_Produits[Cde_Prdt], 0)), "")</f>
        <v/>
      </c>
    </row>
    <row r="2964" spans="1:11" x14ac:dyDescent="0.25">
      <c r="A2964" s="5"/>
      <c r="B2964" s="63" t="str">
        <f>IFERROR(TEXT(tbl_Ventes[[#This Row],[Date]],"mm-aaaa"),"")</f>
        <v>01-1900</v>
      </c>
      <c r="D2964" s="10" t="str">
        <f>IFERROR(
   INDEX(tbl_ProduitsRef[Cde_Prdt],MATCH(tbl_Ventes[[#This Row],[Produit]],tbl_ProduitsRef[Produit],0)),
   ""
)</f>
        <v/>
      </c>
      <c r="E2964" s="7">
        <v>0</v>
      </c>
      <c r="F2964" s="7" t="str">
        <f>IFERROR(
   INDEX(tbl_ProduitsRef[Prix Menu],MATCH(tbl_Ventes[[#This Row],[Produit]],tbl_ProduitsRef[Produit],0)),
   ""
)</f>
        <v/>
      </c>
      <c r="G2964" s="7">
        <f>tbl_Ventes[[#This Row],[Qté Vendue]] * IFERROR(_xlfn.XLOOKUP(tbl_Ventes[[#This Row],[Cde_Prdt]], tbl_Produits[Cde_Prdt], tbl_Produits[Prix Menu]), 0)</f>
        <v>0</v>
      </c>
      <c r="H2964" s="7">
        <f>IFERROR(_xlfn.XLOOKUP(tbl_Ventes[[#This Row],[Cde_Prdt]], tbl_Produits[Cde_Prdt], tbl_Produits[Coût Moyen Portion]), 0)</f>
        <v>0</v>
      </c>
      <c r="I2964" s="7">
        <f>tbl_Ventes[[#This Row],[Qté Vendue]] * tbl_Ventes[[#This Row],[CMP_par_portion]]</f>
        <v>0</v>
      </c>
      <c r="J2964" s="7">
        <f>tbl_Ventes[[#This Row],[CA ligne]] - tbl_Ventes[[#This Row],[Coût matière ligne]]</f>
        <v>0</v>
      </c>
      <c r="K2964" s="7" t="str">
        <f>IFERROR(INDEX(tbl_ProduitsRef[Famille], MATCH(tbl_Ventes[[#This Row],[Cde_Prdt]], tbl_Produits[Cde_Prdt], 0)), "")</f>
        <v/>
      </c>
    </row>
    <row r="2965" spans="1:11" x14ac:dyDescent="0.25">
      <c r="A2965" s="5"/>
      <c r="B2965" s="63" t="str">
        <f>IFERROR(TEXT(tbl_Ventes[[#This Row],[Date]],"mm-aaaa"),"")</f>
        <v>01-1900</v>
      </c>
      <c r="D2965" s="10" t="str">
        <f>IFERROR(
   INDEX(tbl_ProduitsRef[Cde_Prdt],MATCH(tbl_Ventes[[#This Row],[Produit]],tbl_ProduitsRef[Produit],0)),
   ""
)</f>
        <v/>
      </c>
      <c r="E2965" s="7">
        <v>0</v>
      </c>
      <c r="F2965" s="7" t="str">
        <f>IFERROR(
   INDEX(tbl_ProduitsRef[Prix Menu],MATCH(tbl_Ventes[[#This Row],[Produit]],tbl_ProduitsRef[Produit],0)),
   ""
)</f>
        <v/>
      </c>
      <c r="G2965" s="7">
        <f>tbl_Ventes[[#This Row],[Qté Vendue]] * IFERROR(_xlfn.XLOOKUP(tbl_Ventes[[#This Row],[Cde_Prdt]], tbl_Produits[Cde_Prdt], tbl_Produits[Prix Menu]), 0)</f>
        <v>0</v>
      </c>
      <c r="H2965" s="7">
        <f>IFERROR(_xlfn.XLOOKUP(tbl_Ventes[[#This Row],[Cde_Prdt]], tbl_Produits[Cde_Prdt], tbl_Produits[Coût Moyen Portion]), 0)</f>
        <v>0</v>
      </c>
      <c r="I2965" s="7">
        <f>tbl_Ventes[[#This Row],[Qté Vendue]] * tbl_Ventes[[#This Row],[CMP_par_portion]]</f>
        <v>0</v>
      </c>
      <c r="J2965" s="7">
        <f>tbl_Ventes[[#This Row],[CA ligne]] - tbl_Ventes[[#This Row],[Coût matière ligne]]</f>
        <v>0</v>
      </c>
      <c r="K2965" s="7" t="str">
        <f>IFERROR(INDEX(tbl_ProduitsRef[Famille], MATCH(tbl_Ventes[[#This Row],[Cde_Prdt]], tbl_Produits[Cde_Prdt], 0)), "")</f>
        <v/>
      </c>
    </row>
    <row r="2966" spans="1:11" x14ac:dyDescent="0.25">
      <c r="A2966" s="5"/>
      <c r="B2966" s="63" t="str">
        <f>IFERROR(TEXT(tbl_Ventes[[#This Row],[Date]],"mm-aaaa"),"")</f>
        <v>01-1900</v>
      </c>
      <c r="D2966" s="10" t="str">
        <f>IFERROR(
   INDEX(tbl_ProduitsRef[Cde_Prdt],MATCH(tbl_Ventes[[#This Row],[Produit]],tbl_ProduitsRef[Produit],0)),
   ""
)</f>
        <v/>
      </c>
      <c r="E2966" s="7">
        <v>0</v>
      </c>
      <c r="F2966" s="7" t="str">
        <f>IFERROR(
   INDEX(tbl_ProduitsRef[Prix Menu],MATCH(tbl_Ventes[[#This Row],[Produit]],tbl_ProduitsRef[Produit],0)),
   ""
)</f>
        <v/>
      </c>
      <c r="G2966" s="7">
        <f>tbl_Ventes[[#This Row],[Qté Vendue]] * IFERROR(_xlfn.XLOOKUP(tbl_Ventes[[#This Row],[Cde_Prdt]], tbl_Produits[Cde_Prdt], tbl_Produits[Prix Menu]), 0)</f>
        <v>0</v>
      </c>
      <c r="H2966" s="7">
        <f>IFERROR(_xlfn.XLOOKUP(tbl_Ventes[[#This Row],[Cde_Prdt]], tbl_Produits[Cde_Prdt], tbl_Produits[Coût Moyen Portion]), 0)</f>
        <v>0</v>
      </c>
      <c r="I2966" s="7">
        <f>tbl_Ventes[[#This Row],[Qté Vendue]] * tbl_Ventes[[#This Row],[CMP_par_portion]]</f>
        <v>0</v>
      </c>
      <c r="J2966" s="7">
        <f>tbl_Ventes[[#This Row],[CA ligne]] - tbl_Ventes[[#This Row],[Coût matière ligne]]</f>
        <v>0</v>
      </c>
      <c r="K2966" s="7" t="str">
        <f>IFERROR(INDEX(tbl_ProduitsRef[Famille], MATCH(tbl_Ventes[[#This Row],[Cde_Prdt]], tbl_Produits[Cde_Prdt], 0)), "")</f>
        <v/>
      </c>
    </row>
    <row r="2967" spans="1:11" x14ac:dyDescent="0.25">
      <c r="A2967" s="5"/>
      <c r="B2967" s="63" t="str">
        <f>IFERROR(TEXT(tbl_Ventes[[#This Row],[Date]],"mm-aaaa"),"")</f>
        <v>01-1900</v>
      </c>
      <c r="D2967" s="10" t="str">
        <f>IFERROR(
   INDEX(tbl_ProduitsRef[Cde_Prdt],MATCH(tbl_Ventes[[#This Row],[Produit]],tbl_ProduitsRef[Produit],0)),
   ""
)</f>
        <v/>
      </c>
      <c r="E2967" s="7">
        <v>0</v>
      </c>
      <c r="F2967" s="7" t="str">
        <f>IFERROR(
   INDEX(tbl_ProduitsRef[Prix Menu],MATCH(tbl_Ventes[[#This Row],[Produit]],tbl_ProduitsRef[Produit],0)),
   ""
)</f>
        <v/>
      </c>
      <c r="G2967" s="7">
        <f>tbl_Ventes[[#This Row],[Qté Vendue]] * IFERROR(_xlfn.XLOOKUP(tbl_Ventes[[#This Row],[Cde_Prdt]], tbl_Produits[Cde_Prdt], tbl_Produits[Prix Menu]), 0)</f>
        <v>0</v>
      </c>
      <c r="H2967" s="7">
        <f>IFERROR(_xlfn.XLOOKUP(tbl_Ventes[[#This Row],[Cde_Prdt]], tbl_Produits[Cde_Prdt], tbl_Produits[Coût Moyen Portion]), 0)</f>
        <v>0</v>
      </c>
      <c r="I2967" s="7">
        <f>tbl_Ventes[[#This Row],[Qté Vendue]] * tbl_Ventes[[#This Row],[CMP_par_portion]]</f>
        <v>0</v>
      </c>
      <c r="J2967" s="7">
        <f>tbl_Ventes[[#This Row],[CA ligne]] - tbl_Ventes[[#This Row],[Coût matière ligne]]</f>
        <v>0</v>
      </c>
      <c r="K2967" s="7" t="str">
        <f>IFERROR(INDEX(tbl_ProduitsRef[Famille], MATCH(tbl_Ventes[[#This Row],[Cde_Prdt]], tbl_Produits[Cde_Prdt], 0)), "")</f>
        <v/>
      </c>
    </row>
    <row r="2968" spans="1:11" x14ac:dyDescent="0.25">
      <c r="A2968" s="5"/>
      <c r="B2968" s="63" t="str">
        <f>IFERROR(TEXT(tbl_Ventes[[#This Row],[Date]],"mm-aaaa"),"")</f>
        <v>01-1900</v>
      </c>
      <c r="D2968" s="10" t="str">
        <f>IFERROR(
   INDEX(tbl_ProduitsRef[Cde_Prdt],MATCH(tbl_Ventes[[#This Row],[Produit]],tbl_ProduitsRef[Produit],0)),
   ""
)</f>
        <v/>
      </c>
      <c r="E2968" s="7">
        <v>0</v>
      </c>
      <c r="F2968" s="7" t="str">
        <f>IFERROR(
   INDEX(tbl_ProduitsRef[Prix Menu],MATCH(tbl_Ventes[[#This Row],[Produit]],tbl_ProduitsRef[Produit],0)),
   ""
)</f>
        <v/>
      </c>
      <c r="G2968" s="7">
        <f>tbl_Ventes[[#This Row],[Qté Vendue]] * IFERROR(_xlfn.XLOOKUP(tbl_Ventes[[#This Row],[Cde_Prdt]], tbl_Produits[Cde_Prdt], tbl_Produits[Prix Menu]), 0)</f>
        <v>0</v>
      </c>
      <c r="H2968" s="7">
        <f>IFERROR(_xlfn.XLOOKUP(tbl_Ventes[[#This Row],[Cde_Prdt]], tbl_Produits[Cde_Prdt], tbl_Produits[Coût Moyen Portion]), 0)</f>
        <v>0</v>
      </c>
      <c r="I2968" s="7">
        <f>tbl_Ventes[[#This Row],[Qté Vendue]] * tbl_Ventes[[#This Row],[CMP_par_portion]]</f>
        <v>0</v>
      </c>
      <c r="J2968" s="7">
        <f>tbl_Ventes[[#This Row],[CA ligne]] - tbl_Ventes[[#This Row],[Coût matière ligne]]</f>
        <v>0</v>
      </c>
      <c r="K2968" s="7" t="str">
        <f>IFERROR(INDEX(tbl_ProduitsRef[Famille], MATCH(tbl_Ventes[[#This Row],[Cde_Prdt]], tbl_Produits[Cde_Prdt], 0)), "")</f>
        <v/>
      </c>
    </row>
    <row r="2969" spans="1:11" x14ac:dyDescent="0.25">
      <c r="A2969" s="5"/>
      <c r="B2969" s="63" t="str">
        <f>IFERROR(TEXT(tbl_Ventes[[#This Row],[Date]],"mm-aaaa"),"")</f>
        <v>01-1900</v>
      </c>
      <c r="D2969" s="10" t="str">
        <f>IFERROR(
   INDEX(tbl_ProduitsRef[Cde_Prdt],MATCH(tbl_Ventes[[#This Row],[Produit]],tbl_ProduitsRef[Produit],0)),
   ""
)</f>
        <v/>
      </c>
      <c r="E2969" s="7">
        <v>0</v>
      </c>
      <c r="F2969" s="7" t="str">
        <f>IFERROR(
   INDEX(tbl_ProduitsRef[Prix Menu],MATCH(tbl_Ventes[[#This Row],[Produit]],tbl_ProduitsRef[Produit],0)),
   ""
)</f>
        <v/>
      </c>
      <c r="G2969" s="7">
        <f>tbl_Ventes[[#This Row],[Qté Vendue]] * IFERROR(_xlfn.XLOOKUP(tbl_Ventes[[#This Row],[Cde_Prdt]], tbl_Produits[Cde_Prdt], tbl_Produits[Prix Menu]), 0)</f>
        <v>0</v>
      </c>
      <c r="H2969" s="7">
        <f>IFERROR(_xlfn.XLOOKUP(tbl_Ventes[[#This Row],[Cde_Prdt]], tbl_Produits[Cde_Prdt], tbl_Produits[Coût Moyen Portion]), 0)</f>
        <v>0</v>
      </c>
      <c r="I2969" s="7">
        <f>tbl_Ventes[[#This Row],[Qté Vendue]] * tbl_Ventes[[#This Row],[CMP_par_portion]]</f>
        <v>0</v>
      </c>
      <c r="J2969" s="7">
        <f>tbl_Ventes[[#This Row],[CA ligne]] - tbl_Ventes[[#This Row],[Coût matière ligne]]</f>
        <v>0</v>
      </c>
      <c r="K2969" s="7" t="str">
        <f>IFERROR(INDEX(tbl_ProduitsRef[Famille], MATCH(tbl_Ventes[[#This Row],[Cde_Prdt]], tbl_Produits[Cde_Prdt], 0)), "")</f>
        <v/>
      </c>
    </row>
    <row r="2970" spans="1:11" x14ac:dyDescent="0.25">
      <c r="A2970" s="5"/>
      <c r="B2970" s="63" t="str">
        <f>IFERROR(TEXT(tbl_Ventes[[#This Row],[Date]],"mm-aaaa"),"")</f>
        <v>01-1900</v>
      </c>
      <c r="D2970" s="10" t="str">
        <f>IFERROR(
   INDEX(tbl_ProduitsRef[Cde_Prdt],MATCH(tbl_Ventes[[#This Row],[Produit]],tbl_ProduitsRef[Produit],0)),
   ""
)</f>
        <v/>
      </c>
      <c r="E2970" s="7">
        <v>0</v>
      </c>
      <c r="F2970" s="7" t="str">
        <f>IFERROR(
   INDEX(tbl_ProduitsRef[Prix Menu],MATCH(tbl_Ventes[[#This Row],[Produit]],tbl_ProduitsRef[Produit],0)),
   ""
)</f>
        <v/>
      </c>
      <c r="G2970" s="7">
        <f>tbl_Ventes[[#This Row],[Qté Vendue]] * IFERROR(_xlfn.XLOOKUP(tbl_Ventes[[#This Row],[Cde_Prdt]], tbl_Produits[Cde_Prdt], tbl_Produits[Prix Menu]), 0)</f>
        <v>0</v>
      </c>
      <c r="H2970" s="7">
        <f>IFERROR(_xlfn.XLOOKUP(tbl_Ventes[[#This Row],[Cde_Prdt]], tbl_Produits[Cde_Prdt], tbl_Produits[Coût Moyen Portion]), 0)</f>
        <v>0</v>
      </c>
      <c r="I2970" s="7">
        <f>tbl_Ventes[[#This Row],[Qté Vendue]] * tbl_Ventes[[#This Row],[CMP_par_portion]]</f>
        <v>0</v>
      </c>
      <c r="J2970" s="7">
        <f>tbl_Ventes[[#This Row],[CA ligne]] - tbl_Ventes[[#This Row],[Coût matière ligne]]</f>
        <v>0</v>
      </c>
      <c r="K2970" s="7" t="str">
        <f>IFERROR(INDEX(tbl_ProduitsRef[Famille], MATCH(tbl_Ventes[[#This Row],[Cde_Prdt]], tbl_Produits[Cde_Prdt], 0)), "")</f>
        <v/>
      </c>
    </row>
    <row r="2971" spans="1:11" x14ac:dyDescent="0.25">
      <c r="A2971" s="5"/>
      <c r="B2971" s="63" t="str">
        <f>IFERROR(TEXT(tbl_Ventes[[#This Row],[Date]],"mm-aaaa"),"")</f>
        <v>01-1900</v>
      </c>
      <c r="D2971" s="10" t="str">
        <f>IFERROR(
   INDEX(tbl_ProduitsRef[Cde_Prdt],MATCH(tbl_Ventes[[#This Row],[Produit]],tbl_ProduitsRef[Produit],0)),
   ""
)</f>
        <v/>
      </c>
      <c r="E2971" s="7">
        <v>0</v>
      </c>
      <c r="F2971" s="7" t="str">
        <f>IFERROR(
   INDEX(tbl_ProduitsRef[Prix Menu],MATCH(tbl_Ventes[[#This Row],[Produit]],tbl_ProduitsRef[Produit],0)),
   ""
)</f>
        <v/>
      </c>
      <c r="G2971" s="7">
        <f>tbl_Ventes[[#This Row],[Qté Vendue]] * IFERROR(_xlfn.XLOOKUP(tbl_Ventes[[#This Row],[Cde_Prdt]], tbl_Produits[Cde_Prdt], tbl_Produits[Prix Menu]), 0)</f>
        <v>0</v>
      </c>
      <c r="H2971" s="7">
        <f>IFERROR(_xlfn.XLOOKUP(tbl_Ventes[[#This Row],[Cde_Prdt]], tbl_Produits[Cde_Prdt], tbl_Produits[Coût Moyen Portion]), 0)</f>
        <v>0</v>
      </c>
      <c r="I2971" s="7">
        <f>tbl_Ventes[[#This Row],[Qté Vendue]] * tbl_Ventes[[#This Row],[CMP_par_portion]]</f>
        <v>0</v>
      </c>
      <c r="J2971" s="7">
        <f>tbl_Ventes[[#This Row],[CA ligne]] - tbl_Ventes[[#This Row],[Coût matière ligne]]</f>
        <v>0</v>
      </c>
      <c r="K2971" s="7" t="str">
        <f>IFERROR(INDEX(tbl_ProduitsRef[Famille], MATCH(tbl_Ventes[[#This Row],[Cde_Prdt]], tbl_Produits[Cde_Prdt], 0)), "")</f>
        <v/>
      </c>
    </row>
    <row r="2972" spans="1:11" x14ac:dyDescent="0.25">
      <c r="A2972" s="5"/>
      <c r="B2972" s="63" t="str">
        <f>IFERROR(TEXT(tbl_Ventes[[#This Row],[Date]],"mm-aaaa"),"")</f>
        <v>01-1900</v>
      </c>
      <c r="D2972" s="10" t="str">
        <f>IFERROR(
   INDEX(tbl_ProduitsRef[Cde_Prdt],MATCH(tbl_Ventes[[#This Row],[Produit]],tbl_ProduitsRef[Produit],0)),
   ""
)</f>
        <v/>
      </c>
      <c r="E2972" s="7">
        <v>0</v>
      </c>
      <c r="F2972" s="7" t="str">
        <f>IFERROR(
   INDEX(tbl_ProduitsRef[Prix Menu],MATCH(tbl_Ventes[[#This Row],[Produit]],tbl_ProduitsRef[Produit],0)),
   ""
)</f>
        <v/>
      </c>
      <c r="G2972" s="7">
        <f>tbl_Ventes[[#This Row],[Qté Vendue]] * IFERROR(_xlfn.XLOOKUP(tbl_Ventes[[#This Row],[Cde_Prdt]], tbl_Produits[Cde_Prdt], tbl_Produits[Prix Menu]), 0)</f>
        <v>0</v>
      </c>
      <c r="H2972" s="7">
        <f>IFERROR(_xlfn.XLOOKUP(tbl_Ventes[[#This Row],[Cde_Prdt]], tbl_Produits[Cde_Prdt], tbl_Produits[Coût Moyen Portion]), 0)</f>
        <v>0</v>
      </c>
      <c r="I2972" s="7">
        <f>tbl_Ventes[[#This Row],[Qté Vendue]] * tbl_Ventes[[#This Row],[CMP_par_portion]]</f>
        <v>0</v>
      </c>
      <c r="J2972" s="7">
        <f>tbl_Ventes[[#This Row],[CA ligne]] - tbl_Ventes[[#This Row],[Coût matière ligne]]</f>
        <v>0</v>
      </c>
      <c r="K2972" s="7" t="str">
        <f>IFERROR(INDEX(tbl_ProduitsRef[Famille], MATCH(tbl_Ventes[[#This Row],[Cde_Prdt]], tbl_Produits[Cde_Prdt], 0)), "")</f>
        <v/>
      </c>
    </row>
    <row r="2973" spans="1:11" x14ac:dyDescent="0.25">
      <c r="A2973" s="5"/>
      <c r="B2973" s="63" t="str">
        <f>IFERROR(TEXT(tbl_Ventes[[#This Row],[Date]],"mm-aaaa"),"")</f>
        <v>01-1900</v>
      </c>
      <c r="D2973" s="10" t="str">
        <f>IFERROR(
   INDEX(tbl_ProduitsRef[Cde_Prdt],MATCH(tbl_Ventes[[#This Row],[Produit]],tbl_ProduitsRef[Produit],0)),
   ""
)</f>
        <v/>
      </c>
      <c r="E2973" s="7">
        <v>0</v>
      </c>
      <c r="F2973" s="7" t="str">
        <f>IFERROR(
   INDEX(tbl_ProduitsRef[Prix Menu],MATCH(tbl_Ventes[[#This Row],[Produit]],tbl_ProduitsRef[Produit],0)),
   ""
)</f>
        <v/>
      </c>
      <c r="G2973" s="7">
        <f>tbl_Ventes[[#This Row],[Qté Vendue]] * IFERROR(_xlfn.XLOOKUP(tbl_Ventes[[#This Row],[Cde_Prdt]], tbl_Produits[Cde_Prdt], tbl_Produits[Prix Menu]), 0)</f>
        <v>0</v>
      </c>
      <c r="H2973" s="7">
        <f>IFERROR(_xlfn.XLOOKUP(tbl_Ventes[[#This Row],[Cde_Prdt]], tbl_Produits[Cde_Prdt], tbl_Produits[Coût Moyen Portion]), 0)</f>
        <v>0</v>
      </c>
      <c r="I2973" s="7">
        <f>tbl_Ventes[[#This Row],[Qté Vendue]] * tbl_Ventes[[#This Row],[CMP_par_portion]]</f>
        <v>0</v>
      </c>
      <c r="J2973" s="7">
        <f>tbl_Ventes[[#This Row],[CA ligne]] - tbl_Ventes[[#This Row],[Coût matière ligne]]</f>
        <v>0</v>
      </c>
      <c r="K2973" s="7" t="str">
        <f>IFERROR(INDEX(tbl_ProduitsRef[Famille], MATCH(tbl_Ventes[[#This Row],[Cde_Prdt]], tbl_Produits[Cde_Prdt], 0)), "")</f>
        <v/>
      </c>
    </row>
    <row r="2974" spans="1:11" x14ac:dyDescent="0.25">
      <c r="A2974" s="5"/>
      <c r="B2974" s="63" t="str">
        <f>IFERROR(TEXT(tbl_Ventes[[#This Row],[Date]],"mm-aaaa"),"")</f>
        <v>01-1900</v>
      </c>
      <c r="D2974" s="10" t="str">
        <f>IFERROR(
   INDEX(tbl_ProduitsRef[Cde_Prdt],MATCH(tbl_Ventes[[#This Row],[Produit]],tbl_ProduitsRef[Produit],0)),
   ""
)</f>
        <v/>
      </c>
      <c r="E2974" s="7">
        <v>0</v>
      </c>
      <c r="F2974" s="7" t="str">
        <f>IFERROR(
   INDEX(tbl_ProduitsRef[Prix Menu],MATCH(tbl_Ventes[[#This Row],[Produit]],tbl_ProduitsRef[Produit],0)),
   ""
)</f>
        <v/>
      </c>
      <c r="G2974" s="7">
        <f>tbl_Ventes[[#This Row],[Qté Vendue]] * IFERROR(_xlfn.XLOOKUP(tbl_Ventes[[#This Row],[Cde_Prdt]], tbl_Produits[Cde_Prdt], tbl_Produits[Prix Menu]), 0)</f>
        <v>0</v>
      </c>
      <c r="H2974" s="7">
        <f>IFERROR(_xlfn.XLOOKUP(tbl_Ventes[[#This Row],[Cde_Prdt]], tbl_Produits[Cde_Prdt], tbl_Produits[Coût Moyen Portion]), 0)</f>
        <v>0</v>
      </c>
      <c r="I2974" s="7">
        <f>tbl_Ventes[[#This Row],[Qté Vendue]] * tbl_Ventes[[#This Row],[CMP_par_portion]]</f>
        <v>0</v>
      </c>
      <c r="J2974" s="7">
        <f>tbl_Ventes[[#This Row],[CA ligne]] - tbl_Ventes[[#This Row],[Coût matière ligne]]</f>
        <v>0</v>
      </c>
      <c r="K2974" s="7" t="str">
        <f>IFERROR(INDEX(tbl_ProduitsRef[Famille], MATCH(tbl_Ventes[[#This Row],[Cde_Prdt]], tbl_Produits[Cde_Prdt], 0)), "")</f>
        <v/>
      </c>
    </row>
    <row r="2975" spans="1:11" x14ac:dyDescent="0.25">
      <c r="A2975" s="5"/>
      <c r="B2975" s="63" t="str">
        <f>IFERROR(TEXT(tbl_Ventes[[#This Row],[Date]],"mm-aaaa"),"")</f>
        <v>01-1900</v>
      </c>
      <c r="D2975" s="10" t="str">
        <f>IFERROR(
   INDEX(tbl_ProduitsRef[Cde_Prdt],MATCH(tbl_Ventes[[#This Row],[Produit]],tbl_ProduitsRef[Produit],0)),
   ""
)</f>
        <v/>
      </c>
      <c r="E2975" s="7">
        <v>0</v>
      </c>
      <c r="F2975" s="7" t="str">
        <f>IFERROR(
   INDEX(tbl_ProduitsRef[Prix Menu],MATCH(tbl_Ventes[[#This Row],[Produit]],tbl_ProduitsRef[Produit],0)),
   ""
)</f>
        <v/>
      </c>
      <c r="G2975" s="7">
        <f>tbl_Ventes[[#This Row],[Qté Vendue]] * IFERROR(_xlfn.XLOOKUP(tbl_Ventes[[#This Row],[Cde_Prdt]], tbl_Produits[Cde_Prdt], tbl_Produits[Prix Menu]), 0)</f>
        <v>0</v>
      </c>
      <c r="H2975" s="7">
        <f>IFERROR(_xlfn.XLOOKUP(tbl_Ventes[[#This Row],[Cde_Prdt]], tbl_Produits[Cde_Prdt], tbl_Produits[Coût Moyen Portion]), 0)</f>
        <v>0</v>
      </c>
      <c r="I2975" s="7">
        <f>tbl_Ventes[[#This Row],[Qté Vendue]] * tbl_Ventes[[#This Row],[CMP_par_portion]]</f>
        <v>0</v>
      </c>
      <c r="J2975" s="7">
        <f>tbl_Ventes[[#This Row],[CA ligne]] - tbl_Ventes[[#This Row],[Coût matière ligne]]</f>
        <v>0</v>
      </c>
      <c r="K2975" s="7" t="str">
        <f>IFERROR(INDEX(tbl_ProduitsRef[Famille], MATCH(tbl_Ventes[[#This Row],[Cde_Prdt]], tbl_Produits[Cde_Prdt], 0)), "")</f>
        <v/>
      </c>
    </row>
    <row r="2976" spans="1:11" x14ac:dyDescent="0.25">
      <c r="A2976" s="5"/>
      <c r="B2976" s="63" t="str">
        <f>IFERROR(TEXT(tbl_Ventes[[#This Row],[Date]],"mm-aaaa"),"")</f>
        <v>01-1900</v>
      </c>
      <c r="D2976" s="10" t="str">
        <f>IFERROR(
   INDEX(tbl_ProduitsRef[Cde_Prdt],MATCH(tbl_Ventes[[#This Row],[Produit]],tbl_ProduitsRef[Produit],0)),
   ""
)</f>
        <v/>
      </c>
      <c r="E2976" s="7">
        <v>0</v>
      </c>
      <c r="F2976" s="7" t="str">
        <f>IFERROR(
   INDEX(tbl_ProduitsRef[Prix Menu],MATCH(tbl_Ventes[[#This Row],[Produit]],tbl_ProduitsRef[Produit],0)),
   ""
)</f>
        <v/>
      </c>
      <c r="G2976" s="7">
        <f>tbl_Ventes[[#This Row],[Qté Vendue]] * IFERROR(_xlfn.XLOOKUP(tbl_Ventes[[#This Row],[Cde_Prdt]], tbl_Produits[Cde_Prdt], tbl_Produits[Prix Menu]), 0)</f>
        <v>0</v>
      </c>
      <c r="H2976" s="7">
        <f>IFERROR(_xlfn.XLOOKUP(tbl_Ventes[[#This Row],[Cde_Prdt]], tbl_Produits[Cde_Prdt], tbl_Produits[Coût Moyen Portion]), 0)</f>
        <v>0</v>
      </c>
      <c r="I2976" s="7">
        <f>tbl_Ventes[[#This Row],[Qté Vendue]] * tbl_Ventes[[#This Row],[CMP_par_portion]]</f>
        <v>0</v>
      </c>
      <c r="J2976" s="7">
        <f>tbl_Ventes[[#This Row],[CA ligne]] - tbl_Ventes[[#This Row],[Coût matière ligne]]</f>
        <v>0</v>
      </c>
      <c r="K2976" s="7" t="str">
        <f>IFERROR(INDEX(tbl_ProduitsRef[Famille], MATCH(tbl_Ventes[[#This Row],[Cde_Prdt]], tbl_Produits[Cde_Prdt], 0)), "")</f>
        <v/>
      </c>
    </row>
    <row r="2977" spans="1:11" x14ac:dyDescent="0.25">
      <c r="A2977" s="5"/>
      <c r="B2977" s="63" t="str">
        <f>IFERROR(TEXT(tbl_Ventes[[#This Row],[Date]],"mm-aaaa"),"")</f>
        <v>01-1900</v>
      </c>
      <c r="D2977" s="10" t="str">
        <f>IFERROR(
   INDEX(tbl_ProduitsRef[Cde_Prdt],MATCH(tbl_Ventes[[#This Row],[Produit]],tbl_ProduitsRef[Produit],0)),
   ""
)</f>
        <v/>
      </c>
      <c r="E2977" s="7">
        <v>0</v>
      </c>
      <c r="F2977" s="7" t="str">
        <f>IFERROR(
   INDEX(tbl_ProduitsRef[Prix Menu],MATCH(tbl_Ventes[[#This Row],[Produit]],tbl_ProduitsRef[Produit],0)),
   ""
)</f>
        <v/>
      </c>
      <c r="G2977" s="7">
        <f>tbl_Ventes[[#This Row],[Qté Vendue]] * IFERROR(_xlfn.XLOOKUP(tbl_Ventes[[#This Row],[Cde_Prdt]], tbl_Produits[Cde_Prdt], tbl_Produits[Prix Menu]), 0)</f>
        <v>0</v>
      </c>
      <c r="H2977" s="7">
        <f>IFERROR(_xlfn.XLOOKUP(tbl_Ventes[[#This Row],[Cde_Prdt]], tbl_Produits[Cde_Prdt], tbl_Produits[Coût Moyen Portion]), 0)</f>
        <v>0</v>
      </c>
      <c r="I2977" s="7">
        <f>tbl_Ventes[[#This Row],[Qté Vendue]] * tbl_Ventes[[#This Row],[CMP_par_portion]]</f>
        <v>0</v>
      </c>
      <c r="J2977" s="7">
        <f>tbl_Ventes[[#This Row],[CA ligne]] - tbl_Ventes[[#This Row],[Coût matière ligne]]</f>
        <v>0</v>
      </c>
      <c r="K2977" s="7" t="str">
        <f>IFERROR(INDEX(tbl_ProduitsRef[Famille], MATCH(tbl_Ventes[[#This Row],[Cde_Prdt]], tbl_Produits[Cde_Prdt], 0)), "")</f>
        <v/>
      </c>
    </row>
    <row r="2978" spans="1:11" x14ac:dyDescent="0.25">
      <c r="A2978" s="5"/>
      <c r="B2978" s="63" t="str">
        <f>IFERROR(TEXT(tbl_Ventes[[#This Row],[Date]],"mm-aaaa"),"")</f>
        <v>01-1900</v>
      </c>
      <c r="D2978" s="10" t="str">
        <f>IFERROR(
   INDEX(tbl_ProduitsRef[Cde_Prdt],MATCH(tbl_Ventes[[#This Row],[Produit]],tbl_ProduitsRef[Produit],0)),
   ""
)</f>
        <v/>
      </c>
      <c r="E2978" s="7">
        <v>0</v>
      </c>
      <c r="F2978" s="7" t="str">
        <f>IFERROR(
   INDEX(tbl_ProduitsRef[Prix Menu],MATCH(tbl_Ventes[[#This Row],[Produit]],tbl_ProduitsRef[Produit],0)),
   ""
)</f>
        <v/>
      </c>
      <c r="G2978" s="7">
        <f>tbl_Ventes[[#This Row],[Qté Vendue]] * IFERROR(_xlfn.XLOOKUP(tbl_Ventes[[#This Row],[Cde_Prdt]], tbl_Produits[Cde_Prdt], tbl_Produits[Prix Menu]), 0)</f>
        <v>0</v>
      </c>
      <c r="H2978" s="7">
        <f>IFERROR(_xlfn.XLOOKUP(tbl_Ventes[[#This Row],[Cde_Prdt]], tbl_Produits[Cde_Prdt], tbl_Produits[Coût Moyen Portion]), 0)</f>
        <v>0</v>
      </c>
      <c r="I2978" s="7">
        <f>tbl_Ventes[[#This Row],[Qté Vendue]] * tbl_Ventes[[#This Row],[CMP_par_portion]]</f>
        <v>0</v>
      </c>
      <c r="J2978" s="7">
        <f>tbl_Ventes[[#This Row],[CA ligne]] - tbl_Ventes[[#This Row],[Coût matière ligne]]</f>
        <v>0</v>
      </c>
      <c r="K2978" s="7" t="str">
        <f>IFERROR(INDEX(tbl_ProduitsRef[Famille], MATCH(tbl_Ventes[[#This Row],[Cde_Prdt]], tbl_Produits[Cde_Prdt], 0)), "")</f>
        <v/>
      </c>
    </row>
    <row r="2979" spans="1:11" x14ac:dyDescent="0.25">
      <c r="A2979" s="5"/>
      <c r="B2979" s="63" t="str">
        <f>IFERROR(TEXT(tbl_Ventes[[#This Row],[Date]],"mm-aaaa"),"")</f>
        <v>01-1900</v>
      </c>
      <c r="D2979" s="10" t="str">
        <f>IFERROR(
   INDEX(tbl_ProduitsRef[Cde_Prdt],MATCH(tbl_Ventes[[#This Row],[Produit]],tbl_ProduitsRef[Produit],0)),
   ""
)</f>
        <v/>
      </c>
      <c r="E2979" s="7">
        <v>0</v>
      </c>
      <c r="F2979" s="7" t="str">
        <f>IFERROR(
   INDEX(tbl_ProduitsRef[Prix Menu],MATCH(tbl_Ventes[[#This Row],[Produit]],tbl_ProduitsRef[Produit],0)),
   ""
)</f>
        <v/>
      </c>
      <c r="G2979" s="7">
        <f>tbl_Ventes[[#This Row],[Qté Vendue]] * IFERROR(_xlfn.XLOOKUP(tbl_Ventes[[#This Row],[Cde_Prdt]], tbl_Produits[Cde_Prdt], tbl_Produits[Prix Menu]), 0)</f>
        <v>0</v>
      </c>
      <c r="H2979" s="7">
        <f>IFERROR(_xlfn.XLOOKUP(tbl_Ventes[[#This Row],[Cde_Prdt]], tbl_Produits[Cde_Prdt], tbl_Produits[Coût Moyen Portion]), 0)</f>
        <v>0</v>
      </c>
      <c r="I2979" s="7">
        <f>tbl_Ventes[[#This Row],[Qté Vendue]] * tbl_Ventes[[#This Row],[CMP_par_portion]]</f>
        <v>0</v>
      </c>
      <c r="J2979" s="7">
        <f>tbl_Ventes[[#This Row],[CA ligne]] - tbl_Ventes[[#This Row],[Coût matière ligne]]</f>
        <v>0</v>
      </c>
      <c r="K2979" s="7" t="str">
        <f>IFERROR(INDEX(tbl_ProduitsRef[Famille], MATCH(tbl_Ventes[[#This Row],[Cde_Prdt]], tbl_Produits[Cde_Prdt], 0)), "")</f>
        <v/>
      </c>
    </row>
    <row r="2980" spans="1:11" x14ac:dyDescent="0.25">
      <c r="A2980" s="5"/>
      <c r="B2980" s="63" t="str">
        <f>IFERROR(TEXT(tbl_Ventes[[#This Row],[Date]],"mm-aaaa"),"")</f>
        <v>01-1900</v>
      </c>
      <c r="D2980" s="10" t="str">
        <f>IFERROR(
   INDEX(tbl_ProduitsRef[Cde_Prdt],MATCH(tbl_Ventes[[#This Row],[Produit]],tbl_ProduitsRef[Produit],0)),
   ""
)</f>
        <v/>
      </c>
      <c r="E2980" s="7">
        <v>0</v>
      </c>
      <c r="F2980" s="7" t="str">
        <f>IFERROR(
   INDEX(tbl_ProduitsRef[Prix Menu],MATCH(tbl_Ventes[[#This Row],[Produit]],tbl_ProduitsRef[Produit],0)),
   ""
)</f>
        <v/>
      </c>
      <c r="G2980" s="7">
        <f>tbl_Ventes[[#This Row],[Qté Vendue]] * IFERROR(_xlfn.XLOOKUP(tbl_Ventes[[#This Row],[Cde_Prdt]], tbl_Produits[Cde_Prdt], tbl_Produits[Prix Menu]), 0)</f>
        <v>0</v>
      </c>
      <c r="H2980" s="7">
        <f>IFERROR(_xlfn.XLOOKUP(tbl_Ventes[[#This Row],[Cde_Prdt]], tbl_Produits[Cde_Prdt], tbl_Produits[Coût Moyen Portion]), 0)</f>
        <v>0</v>
      </c>
      <c r="I2980" s="7">
        <f>tbl_Ventes[[#This Row],[Qté Vendue]] * tbl_Ventes[[#This Row],[CMP_par_portion]]</f>
        <v>0</v>
      </c>
      <c r="J2980" s="7">
        <f>tbl_Ventes[[#This Row],[CA ligne]] - tbl_Ventes[[#This Row],[Coût matière ligne]]</f>
        <v>0</v>
      </c>
      <c r="K2980" s="7" t="str">
        <f>IFERROR(INDEX(tbl_ProduitsRef[Famille], MATCH(tbl_Ventes[[#This Row],[Cde_Prdt]], tbl_Produits[Cde_Prdt], 0)), "")</f>
        <v/>
      </c>
    </row>
    <row r="2981" spans="1:11" x14ac:dyDescent="0.25">
      <c r="A2981" s="5"/>
      <c r="B2981" s="63" t="str">
        <f>IFERROR(TEXT(tbl_Ventes[[#This Row],[Date]],"mm-aaaa"),"")</f>
        <v>01-1900</v>
      </c>
      <c r="D2981" s="10" t="str">
        <f>IFERROR(
   INDEX(tbl_ProduitsRef[Cde_Prdt],MATCH(tbl_Ventes[[#This Row],[Produit]],tbl_ProduitsRef[Produit],0)),
   ""
)</f>
        <v/>
      </c>
      <c r="E2981" s="7">
        <v>0</v>
      </c>
      <c r="F2981" s="7" t="str">
        <f>IFERROR(
   INDEX(tbl_ProduitsRef[Prix Menu],MATCH(tbl_Ventes[[#This Row],[Produit]],tbl_ProduitsRef[Produit],0)),
   ""
)</f>
        <v/>
      </c>
      <c r="G2981" s="7">
        <f>tbl_Ventes[[#This Row],[Qté Vendue]] * IFERROR(_xlfn.XLOOKUP(tbl_Ventes[[#This Row],[Cde_Prdt]], tbl_Produits[Cde_Prdt], tbl_Produits[Prix Menu]), 0)</f>
        <v>0</v>
      </c>
      <c r="H2981" s="7">
        <f>IFERROR(_xlfn.XLOOKUP(tbl_Ventes[[#This Row],[Cde_Prdt]], tbl_Produits[Cde_Prdt], tbl_Produits[Coût Moyen Portion]), 0)</f>
        <v>0</v>
      </c>
      <c r="I2981" s="7">
        <f>tbl_Ventes[[#This Row],[Qté Vendue]] * tbl_Ventes[[#This Row],[CMP_par_portion]]</f>
        <v>0</v>
      </c>
      <c r="J2981" s="7">
        <f>tbl_Ventes[[#This Row],[CA ligne]] - tbl_Ventes[[#This Row],[Coût matière ligne]]</f>
        <v>0</v>
      </c>
      <c r="K2981" s="7" t="str">
        <f>IFERROR(INDEX(tbl_ProduitsRef[Famille], MATCH(tbl_Ventes[[#This Row],[Cde_Prdt]], tbl_Produits[Cde_Prdt], 0)), "")</f>
        <v/>
      </c>
    </row>
    <row r="2982" spans="1:11" x14ac:dyDescent="0.25">
      <c r="A2982" s="5"/>
      <c r="B2982" s="63" t="str">
        <f>IFERROR(TEXT(tbl_Ventes[[#This Row],[Date]],"mm-aaaa"),"")</f>
        <v>01-1900</v>
      </c>
      <c r="D2982" s="10" t="str">
        <f>IFERROR(
   INDEX(tbl_ProduitsRef[Cde_Prdt],MATCH(tbl_Ventes[[#This Row],[Produit]],tbl_ProduitsRef[Produit],0)),
   ""
)</f>
        <v/>
      </c>
      <c r="E2982" s="7">
        <v>0</v>
      </c>
      <c r="F2982" s="7" t="str">
        <f>IFERROR(
   INDEX(tbl_ProduitsRef[Prix Menu],MATCH(tbl_Ventes[[#This Row],[Produit]],tbl_ProduitsRef[Produit],0)),
   ""
)</f>
        <v/>
      </c>
      <c r="G2982" s="7">
        <f>tbl_Ventes[[#This Row],[Qté Vendue]] * IFERROR(_xlfn.XLOOKUP(tbl_Ventes[[#This Row],[Cde_Prdt]], tbl_Produits[Cde_Prdt], tbl_Produits[Prix Menu]), 0)</f>
        <v>0</v>
      </c>
      <c r="H2982" s="7">
        <f>IFERROR(_xlfn.XLOOKUP(tbl_Ventes[[#This Row],[Cde_Prdt]], tbl_Produits[Cde_Prdt], tbl_Produits[Coût Moyen Portion]), 0)</f>
        <v>0</v>
      </c>
      <c r="I2982" s="7">
        <f>tbl_Ventes[[#This Row],[Qté Vendue]] * tbl_Ventes[[#This Row],[CMP_par_portion]]</f>
        <v>0</v>
      </c>
      <c r="J2982" s="7">
        <f>tbl_Ventes[[#This Row],[CA ligne]] - tbl_Ventes[[#This Row],[Coût matière ligne]]</f>
        <v>0</v>
      </c>
      <c r="K2982" s="7" t="str">
        <f>IFERROR(INDEX(tbl_ProduitsRef[Famille], MATCH(tbl_Ventes[[#This Row],[Cde_Prdt]], tbl_Produits[Cde_Prdt], 0)), "")</f>
        <v/>
      </c>
    </row>
    <row r="2983" spans="1:11" x14ac:dyDescent="0.25">
      <c r="A2983" s="5"/>
      <c r="B2983" s="63" t="str">
        <f>IFERROR(TEXT(tbl_Ventes[[#This Row],[Date]],"mm-aaaa"),"")</f>
        <v>01-1900</v>
      </c>
      <c r="D2983" s="10" t="str">
        <f>IFERROR(
   INDEX(tbl_ProduitsRef[Cde_Prdt],MATCH(tbl_Ventes[[#This Row],[Produit]],tbl_ProduitsRef[Produit],0)),
   ""
)</f>
        <v/>
      </c>
      <c r="E2983" s="7">
        <v>0</v>
      </c>
      <c r="F2983" s="7" t="str">
        <f>IFERROR(
   INDEX(tbl_ProduitsRef[Prix Menu],MATCH(tbl_Ventes[[#This Row],[Produit]],tbl_ProduitsRef[Produit],0)),
   ""
)</f>
        <v/>
      </c>
      <c r="G2983" s="7">
        <f>tbl_Ventes[[#This Row],[Qté Vendue]] * IFERROR(_xlfn.XLOOKUP(tbl_Ventes[[#This Row],[Cde_Prdt]], tbl_Produits[Cde_Prdt], tbl_Produits[Prix Menu]), 0)</f>
        <v>0</v>
      </c>
      <c r="H2983" s="7">
        <f>IFERROR(_xlfn.XLOOKUP(tbl_Ventes[[#This Row],[Cde_Prdt]], tbl_Produits[Cde_Prdt], tbl_Produits[Coût Moyen Portion]), 0)</f>
        <v>0</v>
      </c>
      <c r="I2983" s="7">
        <f>tbl_Ventes[[#This Row],[Qté Vendue]] * tbl_Ventes[[#This Row],[CMP_par_portion]]</f>
        <v>0</v>
      </c>
      <c r="J2983" s="7">
        <f>tbl_Ventes[[#This Row],[CA ligne]] - tbl_Ventes[[#This Row],[Coût matière ligne]]</f>
        <v>0</v>
      </c>
      <c r="K2983" s="7" t="str">
        <f>IFERROR(INDEX(tbl_ProduitsRef[Famille], MATCH(tbl_Ventes[[#This Row],[Cde_Prdt]], tbl_Produits[Cde_Prdt], 0)), "")</f>
        <v/>
      </c>
    </row>
    <row r="2984" spans="1:11" x14ac:dyDescent="0.25">
      <c r="A2984" s="5"/>
      <c r="B2984" s="63" t="str">
        <f>IFERROR(TEXT(tbl_Ventes[[#This Row],[Date]],"mm-aaaa"),"")</f>
        <v>01-1900</v>
      </c>
      <c r="D2984" s="10" t="str">
        <f>IFERROR(
   INDEX(tbl_ProduitsRef[Cde_Prdt],MATCH(tbl_Ventes[[#This Row],[Produit]],tbl_ProduitsRef[Produit],0)),
   ""
)</f>
        <v/>
      </c>
      <c r="E2984" s="7">
        <v>0</v>
      </c>
      <c r="F2984" s="7" t="str">
        <f>IFERROR(
   INDEX(tbl_ProduitsRef[Prix Menu],MATCH(tbl_Ventes[[#This Row],[Produit]],tbl_ProduitsRef[Produit],0)),
   ""
)</f>
        <v/>
      </c>
      <c r="G2984" s="7">
        <f>tbl_Ventes[[#This Row],[Qté Vendue]] * IFERROR(_xlfn.XLOOKUP(tbl_Ventes[[#This Row],[Cde_Prdt]], tbl_Produits[Cde_Prdt], tbl_Produits[Prix Menu]), 0)</f>
        <v>0</v>
      </c>
      <c r="H2984" s="7">
        <f>IFERROR(_xlfn.XLOOKUP(tbl_Ventes[[#This Row],[Cde_Prdt]], tbl_Produits[Cde_Prdt], tbl_Produits[Coût Moyen Portion]), 0)</f>
        <v>0</v>
      </c>
      <c r="I2984" s="7">
        <f>tbl_Ventes[[#This Row],[Qté Vendue]] * tbl_Ventes[[#This Row],[CMP_par_portion]]</f>
        <v>0</v>
      </c>
      <c r="J2984" s="7">
        <f>tbl_Ventes[[#This Row],[CA ligne]] - tbl_Ventes[[#This Row],[Coût matière ligne]]</f>
        <v>0</v>
      </c>
      <c r="K2984" s="7" t="str">
        <f>IFERROR(INDEX(tbl_ProduitsRef[Famille], MATCH(tbl_Ventes[[#This Row],[Cde_Prdt]], tbl_Produits[Cde_Prdt], 0)), "")</f>
        <v/>
      </c>
    </row>
    <row r="2985" spans="1:11" x14ac:dyDescent="0.25">
      <c r="A2985" s="5"/>
      <c r="B2985" s="63" t="str">
        <f>IFERROR(TEXT(tbl_Ventes[[#This Row],[Date]],"mm-aaaa"),"")</f>
        <v>01-1900</v>
      </c>
      <c r="D2985" s="10" t="str">
        <f>IFERROR(
   INDEX(tbl_ProduitsRef[Cde_Prdt],MATCH(tbl_Ventes[[#This Row],[Produit]],tbl_ProduitsRef[Produit],0)),
   ""
)</f>
        <v/>
      </c>
      <c r="E2985" s="7">
        <v>0</v>
      </c>
      <c r="F2985" s="7" t="str">
        <f>IFERROR(
   INDEX(tbl_ProduitsRef[Prix Menu],MATCH(tbl_Ventes[[#This Row],[Produit]],tbl_ProduitsRef[Produit],0)),
   ""
)</f>
        <v/>
      </c>
      <c r="G2985" s="7">
        <f>tbl_Ventes[[#This Row],[Qté Vendue]] * IFERROR(_xlfn.XLOOKUP(tbl_Ventes[[#This Row],[Cde_Prdt]], tbl_Produits[Cde_Prdt], tbl_Produits[Prix Menu]), 0)</f>
        <v>0</v>
      </c>
      <c r="H2985" s="7">
        <f>IFERROR(_xlfn.XLOOKUP(tbl_Ventes[[#This Row],[Cde_Prdt]], tbl_Produits[Cde_Prdt], tbl_Produits[Coût Moyen Portion]), 0)</f>
        <v>0</v>
      </c>
      <c r="I2985" s="7">
        <f>tbl_Ventes[[#This Row],[Qté Vendue]] * tbl_Ventes[[#This Row],[CMP_par_portion]]</f>
        <v>0</v>
      </c>
      <c r="J2985" s="7">
        <f>tbl_Ventes[[#This Row],[CA ligne]] - tbl_Ventes[[#This Row],[Coût matière ligne]]</f>
        <v>0</v>
      </c>
      <c r="K2985" s="7" t="str">
        <f>IFERROR(INDEX(tbl_ProduitsRef[Famille], MATCH(tbl_Ventes[[#This Row],[Cde_Prdt]], tbl_Produits[Cde_Prdt], 0)), "")</f>
        <v/>
      </c>
    </row>
    <row r="2986" spans="1:11" x14ac:dyDescent="0.25">
      <c r="A2986" s="5"/>
      <c r="B2986" s="63" t="str">
        <f>IFERROR(TEXT(tbl_Ventes[[#This Row],[Date]],"mm-aaaa"),"")</f>
        <v>01-1900</v>
      </c>
      <c r="D2986" s="10" t="str">
        <f>IFERROR(
   INDEX(tbl_ProduitsRef[Cde_Prdt],MATCH(tbl_Ventes[[#This Row],[Produit]],tbl_ProduitsRef[Produit],0)),
   ""
)</f>
        <v/>
      </c>
      <c r="E2986" s="7">
        <v>0</v>
      </c>
      <c r="F2986" s="7" t="str">
        <f>IFERROR(
   INDEX(tbl_ProduitsRef[Prix Menu],MATCH(tbl_Ventes[[#This Row],[Produit]],tbl_ProduitsRef[Produit],0)),
   ""
)</f>
        <v/>
      </c>
      <c r="G2986" s="7">
        <f>tbl_Ventes[[#This Row],[Qté Vendue]] * IFERROR(_xlfn.XLOOKUP(tbl_Ventes[[#This Row],[Cde_Prdt]], tbl_Produits[Cde_Prdt], tbl_Produits[Prix Menu]), 0)</f>
        <v>0</v>
      </c>
      <c r="H2986" s="7">
        <f>IFERROR(_xlfn.XLOOKUP(tbl_Ventes[[#This Row],[Cde_Prdt]], tbl_Produits[Cde_Prdt], tbl_Produits[Coût Moyen Portion]), 0)</f>
        <v>0</v>
      </c>
      <c r="I2986" s="7">
        <f>tbl_Ventes[[#This Row],[Qté Vendue]] * tbl_Ventes[[#This Row],[CMP_par_portion]]</f>
        <v>0</v>
      </c>
      <c r="J2986" s="7">
        <f>tbl_Ventes[[#This Row],[CA ligne]] - tbl_Ventes[[#This Row],[Coût matière ligne]]</f>
        <v>0</v>
      </c>
      <c r="K2986" s="7" t="str">
        <f>IFERROR(INDEX(tbl_ProduitsRef[Famille], MATCH(tbl_Ventes[[#This Row],[Cde_Prdt]], tbl_Produits[Cde_Prdt], 0)), "")</f>
        <v/>
      </c>
    </row>
    <row r="2987" spans="1:11" x14ac:dyDescent="0.25">
      <c r="A2987" s="5"/>
      <c r="B2987" s="63" t="str">
        <f>IFERROR(TEXT(tbl_Ventes[[#This Row],[Date]],"mm-aaaa"),"")</f>
        <v>01-1900</v>
      </c>
      <c r="D2987" s="10" t="str">
        <f>IFERROR(
   INDEX(tbl_ProduitsRef[Cde_Prdt],MATCH(tbl_Ventes[[#This Row],[Produit]],tbl_ProduitsRef[Produit],0)),
   ""
)</f>
        <v/>
      </c>
      <c r="E2987" s="7">
        <v>0</v>
      </c>
      <c r="F2987" s="7" t="str">
        <f>IFERROR(
   INDEX(tbl_ProduitsRef[Prix Menu],MATCH(tbl_Ventes[[#This Row],[Produit]],tbl_ProduitsRef[Produit],0)),
   ""
)</f>
        <v/>
      </c>
      <c r="G2987" s="7">
        <f>tbl_Ventes[[#This Row],[Qté Vendue]] * IFERROR(_xlfn.XLOOKUP(tbl_Ventes[[#This Row],[Cde_Prdt]], tbl_Produits[Cde_Prdt], tbl_Produits[Prix Menu]), 0)</f>
        <v>0</v>
      </c>
      <c r="H2987" s="7">
        <f>IFERROR(_xlfn.XLOOKUP(tbl_Ventes[[#This Row],[Cde_Prdt]], tbl_Produits[Cde_Prdt], tbl_Produits[Coût Moyen Portion]), 0)</f>
        <v>0</v>
      </c>
      <c r="I2987" s="7">
        <f>tbl_Ventes[[#This Row],[Qté Vendue]] * tbl_Ventes[[#This Row],[CMP_par_portion]]</f>
        <v>0</v>
      </c>
      <c r="J2987" s="7">
        <f>tbl_Ventes[[#This Row],[CA ligne]] - tbl_Ventes[[#This Row],[Coût matière ligne]]</f>
        <v>0</v>
      </c>
      <c r="K2987" s="7" t="str">
        <f>IFERROR(INDEX(tbl_ProduitsRef[Famille], MATCH(tbl_Ventes[[#This Row],[Cde_Prdt]], tbl_Produits[Cde_Prdt], 0)), "")</f>
        <v/>
      </c>
    </row>
    <row r="2988" spans="1:11" x14ac:dyDescent="0.25">
      <c r="A2988" s="5"/>
      <c r="B2988" s="63" t="str">
        <f>IFERROR(TEXT(tbl_Ventes[[#This Row],[Date]],"mm-aaaa"),"")</f>
        <v>01-1900</v>
      </c>
      <c r="D2988" s="10" t="str">
        <f>IFERROR(
   INDEX(tbl_ProduitsRef[Cde_Prdt],MATCH(tbl_Ventes[[#This Row],[Produit]],tbl_ProduitsRef[Produit],0)),
   ""
)</f>
        <v/>
      </c>
      <c r="E2988" s="7">
        <v>0</v>
      </c>
      <c r="F2988" s="7" t="str">
        <f>IFERROR(
   INDEX(tbl_ProduitsRef[Prix Menu],MATCH(tbl_Ventes[[#This Row],[Produit]],tbl_ProduitsRef[Produit],0)),
   ""
)</f>
        <v/>
      </c>
      <c r="G2988" s="7">
        <f>tbl_Ventes[[#This Row],[Qté Vendue]] * IFERROR(_xlfn.XLOOKUP(tbl_Ventes[[#This Row],[Cde_Prdt]], tbl_Produits[Cde_Prdt], tbl_Produits[Prix Menu]), 0)</f>
        <v>0</v>
      </c>
      <c r="H2988" s="7">
        <f>IFERROR(_xlfn.XLOOKUP(tbl_Ventes[[#This Row],[Cde_Prdt]], tbl_Produits[Cde_Prdt], tbl_Produits[Coût Moyen Portion]), 0)</f>
        <v>0</v>
      </c>
      <c r="I2988" s="7">
        <f>tbl_Ventes[[#This Row],[Qté Vendue]] * tbl_Ventes[[#This Row],[CMP_par_portion]]</f>
        <v>0</v>
      </c>
      <c r="J2988" s="7">
        <f>tbl_Ventes[[#This Row],[CA ligne]] - tbl_Ventes[[#This Row],[Coût matière ligne]]</f>
        <v>0</v>
      </c>
      <c r="K2988" s="7" t="str">
        <f>IFERROR(INDEX(tbl_ProduitsRef[Famille], MATCH(tbl_Ventes[[#This Row],[Cde_Prdt]], tbl_Produits[Cde_Prdt], 0)), "")</f>
        <v/>
      </c>
    </row>
    <row r="2989" spans="1:11" x14ac:dyDescent="0.25">
      <c r="A2989" s="5"/>
      <c r="B2989" s="63" t="str">
        <f>IFERROR(TEXT(tbl_Ventes[[#This Row],[Date]],"mm-aaaa"),"")</f>
        <v>01-1900</v>
      </c>
      <c r="D2989" s="10" t="str">
        <f>IFERROR(
   INDEX(tbl_ProduitsRef[Cde_Prdt],MATCH(tbl_Ventes[[#This Row],[Produit]],tbl_ProduitsRef[Produit],0)),
   ""
)</f>
        <v/>
      </c>
      <c r="E2989" s="7">
        <v>0</v>
      </c>
      <c r="F2989" s="7" t="str">
        <f>IFERROR(
   INDEX(tbl_ProduitsRef[Prix Menu],MATCH(tbl_Ventes[[#This Row],[Produit]],tbl_ProduitsRef[Produit],0)),
   ""
)</f>
        <v/>
      </c>
      <c r="G2989" s="7">
        <f>tbl_Ventes[[#This Row],[Qté Vendue]] * IFERROR(_xlfn.XLOOKUP(tbl_Ventes[[#This Row],[Cde_Prdt]], tbl_Produits[Cde_Prdt], tbl_Produits[Prix Menu]), 0)</f>
        <v>0</v>
      </c>
      <c r="H2989" s="7">
        <f>IFERROR(_xlfn.XLOOKUP(tbl_Ventes[[#This Row],[Cde_Prdt]], tbl_Produits[Cde_Prdt], tbl_Produits[Coût Moyen Portion]), 0)</f>
        <v>0</v>
      </c>
      <c r="I2989" s="7">
        <f>tbl_Ventes[[#This Row],[Qté Vendue]] * tbl_Ventes[[#This Row],[CMP_par_portion]]</f>
        <v>0</v>
      </c>
      <c r="J2989" s="7">
        <f>tbl_Ventes[[#This Row],[CA ligne]] - tbl_Ventes[[#This Row],[Coût matière ligne]]</f>
        <v>0</v>
      </c>
      <c r="K2989" s="7" t="str">
        <f>IFERROR(INDEX(tbl_ProduitsRef[Famille], MATCH(tbl_Ventes[[#This Row],[Cde_Prdt]], tbl_Produits[Cde_Prdt], 0)), "")</f>
        <v/>
      </c>
    </row>
    <row r="2990" spans="1:11" x14ac:dyDescent="0.25">
      <c r="A2990" s="5"/>
      <c r="B2990" s="63" t="str">
        <f>IFERROR(TEXT(tbl_Ventes[[#This Row],[Date]],"mm-aaaa"),"")</f>
        <v>01-1900</v>
      </c>
      <c r="D2990" s="10" t="str">
        <f>IFERROR(
   INDEX(tbl_ProduitsRef[Cde_Prdt],MATCH(tbl_Ventes[[#This Row],[Produit]],tbl_ProduitsRef[Produit],0)),
   ""
)</f>
        <v/>
      </c>
      <c r="E2990" s="7">
        <v>0</v>
      </c>
      <c r="F2990" s="7" t="str">
        <f>IFERROR(
   INDEX(tbl_ProduitsRef[Prix Menu],MATCH(tbl_Ventes[[#This Row],[Produit]],tbl_ProduitsRef[Produit],0)),
   ""
)</f>
        <v/>
      </c>
      <c r="G2990" s="7">
        <f>tbl_Ventes[[#This Row],[Qté Vendue]] * IFERROR(_xlfn.XLOOKUP(tbl_Ventes[[#This Row],[Cde_Prdt]], tbl_Produits[Cde_Prdt], tbl_Produits[Prix Menu]), 0)</f>
        <v>0</v>
      </c>
      <c r="H2990" s="7">
        <f>IFERROR(_xlfn.XLOOKUP(tbl_Ventes[[#This Row],[Cde_Prdt]], tbl_Produits[Cde_Prdt], tbl_Produits[Coût Moyen Portion]), 0)</f>
        <v>0</v>
      </c>
      <c r="I2990" s="7">
        <f>tbl_Ventes[[#This Row],[Qté Vendue]] * tbl_Ventes[[#This Row],[CMP_par_portion]]</f>
        <v>0</v>
      </c>
      <c r="J2990" s="7">
        <f>tbl_Ventes[[#This Row],[CA ligne]] - tbl_Ventes[[#This Row],[Coût matière ligne]]</f>
        <v>0</v>
      </c>
      <c r="K2990" s="7" t="str">
        <f>IFERROR(INDEX(tbl_ProduitsRef[Famille], MATCH(tbl_Ventes[[#This Row],[Cde_Prdt]], tbl_Produits[Cde_Prdt], 0)), "")</f>
        <v/>
      </c>
    </row>
    <row r="2991" spans="1:11" x14ac:dyDescent="0.25">
      <c r="A2991" s="5"/>
      <c r="B2991" s="63" t="str">
        <f>IFERROR(TEXT(tbl_Ventes[[#This Row],[Date]],"mm-aaaa"),"")</f>
        <v>01-1900</v>
      </c>
      <c r="D2991" s="10" t="str">
        <f>IFERROR(
   INDEX(tbl_ProduitsRef[Cde_Prdt],MATCH(tbl_Ventes[[#This Row],[Produit]],tbl_ProduitsRef[Produit],0)),
   ""
)</f>
        <v/>
      </c>
      <c r="E2991" s="7">
        <v>0</v>
      </c>
      <c r="F2991" s="7" t="str">
        <f>IFERROR(
   INDEX(tbl_ProduitsRef[Prix Menu],MATCH(tbl_Ventes[[#This Row],[Produit]],tbl_ProduitsRef[Produit],0)),
   ""
)</f>
        <v/>
      </c>
      <c r="G2991" s="7">
        <f>tbl_Ventes[[#This Row],[Qté Vendue]] * IFERROR(_xlfn.XLOOKUP(tbl_Ventes[[#This Row],[Cde_Prdt]], tbl_Produits[Cde_Prdt], tbl_Produits[Prix Menu]), 0)</f>
        <v>0</v>
      </c>
      <c r="H2991" s="7">
        <f>IFERROR(_xlfn.XLOOKUP(tbl_Ventes[[#This Row],[Cde_Prdt]], tbl_Produits[Cde_Prdt], tbl_Produits[Coût Moyen Portion]), 0)</f>
        <v>0</v>
      </c>
      <c r="I2991" s="7">
        <f>tbl_Ventes[[#This Row],[Qté Vendue]] * tbl_Ventes[[#This Row],[CMP_par_portion]]</f>
        <v>0</v>
      </c>
      <c r="J2991" s="7">
        <f>tbl_Ventes[[#This Row],[CA ligne]] - tbl_Ventes[[#This Row],[Coût matière ligne]]</f>
        <v>0</v>
      </c>
      <c r="K2991" s="7" t="str">
        <f>IFERROR(INDEX(tbl_ProduitsRef[Famille], MATCH(tbl_Ventes[[#This Row],[Cde_Prdt]], tbl_Produits[Cde_Prdt], 0)), "")</f>
        <v/>
      </c>
    </row>
    <row r="2992" spans="1:11" x14ac:dyDescent="0.25">
      <c r="A2992" s="5"/>
      <c r="B2992" s="63" t="str">
        <f>IFERROR(TEXT(tbl_Ventes[[#This Row],[Date]],"mm-aaaa"),"")</f>
        <v>01-1900</v>
      </c>
      <c r="D2992" s="10" t="str">
        <f>IFERROR(
   INDEX(tbl_ProduitsRef[Cde_Prdt],MATCH(tbl_Ventes[[#This Row],[Produit]],tbl_ProduitsRef[Produit],0)),
   ""
)</f>
        <v/>
      </c>
      <c r="E2992" s="7">
        <v>0</v>
      </c>
      <c r="F2992" s="7" t="str">
        <f>IFERROR(
   INDEX(tbl_ProduitsRef[Prix Menu],MATCH(tbl_Ventes[[#This Row],[Produit]],tbl_ProduitsRef[Produit],0)),
   ""
)</f>
        <v/>
      </c>
      <c r="G2992" s="7">
        <f>tbl_Ventes[[#This Row],[Qté Vendue]] * IFERROR(_xlfn.XLOOKUP(tbl_Ventes[[#This Row],[Cde_Prdt]], tbl_Produits[Cde_Prdt], tbl_Produits[Prix Menu]), 0)</f>
        <v>0</v>
      </c>
      <c r="H2992" s="7">
        <f>IFERROR(_xlfn.XLOOKUP(tbl_Ventes[[#This Row],[Cde_Prdt]], tbl_Produits[Cde_Prdt], tbl_Produits[Coût Moyen Portion]), 0)</f>
        <v>0</v>
      </c>
      <c r="I2992" s="7">
        <f>tbl_Ventes[[#This Row],[Qté Vendue]] * tbl_Ventes[[#This Row],[CMP_par_portion]]</f>
        <v>0</v>
      </c>
      <c r="J2992" s="7">
        <f>tbl_Ventes[[#This Row],[CA ligne]] - tbl_Ventes[[#This Row],[Coût matière ligne]]</f>
        <v>0</v>
      </c>
      <c r="K2992" s="7" t="str">
        <f>IFERROR(INDEX(tbl_ProduitsRef[Famille], MATCH(tbl_Ventes[[#This Row],[Cde_Prdt]], tbl_Produits[Cde_Prdt], 0)), "")</f>
        <v/>
      </c>
    </row>
    <row r="2993" spans="1:11" x14ac:dyDescent="0.25">
      <c r="A2993" s="5"/>
      <c r="B2993" s="63" t="str">
        <f>IFERROR(TEXT(tbl_Ventes[[#This Row],[Date]],"mm-aaaa"),"")</f>
        <v>01-1900</v>
      </c>
      <c r="D2993" s="10" t="str">
        <f>IFERROR(
   INDEX(tbl_ProduitsRef[Cde_Prdt],MATCH(tbl_Ventes[[#This Row],[Produit]],tbl_ProduitsRef[Produit],0)),
   ""
)</f>
        <v/>
      </c>
      <c r="E2993" s="7">
        <v>0</v>
      </c>
      <c r="F2993" s="7" t="str">
        <f>IFERROR(
   INDEX(tbl_ProduitsRef[Prix Menu],MATCH(tbl_Ventes[[#This Row],[Produit]],tbl_ProduitsRef[Produit],0)),
   ""
)</f>
        <v/>
      </c>
      <c r="G2993" s="7">
        <f>tbl_Ventes[[#This Row],[Qté Vendue]] * IFERROR(_xlfn.XLOOKUP(tbl_Ventes[[#This Row],[Cde_Prdt]], tbl_Produits[Cde_Prdt], tbl_Produits[Prix Menu]), 0)</f>
        <v>0</v>
      </c>
      <c r="H2993" s="7">
        <f>IFERROR(_xlfn.XLOOKUP(tbl_Ventes[[#This Row],[Cde_Prdt]], tbl_Produits[Cde_Prdt], tbl_Produits[Coût Moyen Portion]), 0)</f>
        <v>0</v>
      </c>
      <c r="I2993" s="7">
        <f>tbl_Ventes[[#This Row],[Qté Vendue]] * tbl_Ventes[[#This Row],[CMP_par_portion]]</f>
        <v>0</v>
      </c>
      <c r="J2993" s="7">
        <f>tbl_Ventes[[#This Row],[CA ligne]] - tbl_Ventes[[#This Row],[Coût matière ligne]]</f>
        <v>0</v>
      </c>
      <c r="K2993" s="7" t="str">
        <f>IFERROR(INDEX(tbl_ProduitsRef[Famille], MATCH(tbl_Ventes[[#This Row],[Cde_Prdt]], tbl_Produits[Cde_Prdt], 0)), "")</f>
        <v/>
      </c>
    </row>
    <row r="2994" spans="1:11" x14ac:dyDescent="0.25">
      <c r="A2994" s="5"/>
      <c r="B2994" s="63" t="str">
        <f>IFERROR(TEXT(tbl_Ventes[[#This Row],[Date]],"mm-aaaa"),"")</f>
        <v>01-1900</v>
      </c>
      <c r="D2994" s="10" t="str">
        <f>IFERROR(
   INDEX(tbl_ProduitsRef[Cde_Prdt],MATCH(tbl_Ventes[[#This Row],[Produit]],tbl_ProduitsRef[Produit],0)),
   ""
)</f>
        <v/>
      </c>
      <c r="E2994" s="7">
        <v>0</v>
      </c>
      <c r="F2994" s="7" t="str">
        <f>IFERROR(
   INDEX(tbl_ProduitsRef[Prix Menu],MATCH(tbl_Ventes[[#This Row],[Produit]],tbl_ProduitsRef[Produit],0)),
   ""
)</f>
        <v/>
      </c>
      <c r="G2994" s="7">
        <f>tbl_Ventes[[#This Row],[Qté Vendue]] * IFERROR(_xlfn.XLOOKUP(tbl_Ventes[[#This Row],[Cde_Prdt]], tbl_Produits[Cde_Prdt], tbl_Produits[Prix Menu]), 0)</f>
        <v>0</v>
      </c>
      <c r="H2994" s="7">
        <f>IFERROR(_xlfn.XLOOKUP(tbl_Ventes[[#This Row],[Cde_Prdt]], tbl_Produits[Cde_Prdt], tbl_Produits[Coût Moyen Portion]), 0)</f>
        <v>0</v>
      </c>
      <c r="I2994" s="7">
        <f>tbl_Ventes[[#This Row],[Qté Vendue]] * tbl_Ventes[[#This Row],[CMP_par_portion]]</f>
        <v>0</v>
      </c>
      <c r="J2994" s="7">
        <f>tbl_Ventes[[#This Row],[CA ligne]] - tbl_Ventes[[#This Row],[Coût matière ligne]]</f>
        <v>0</v>
      </c>
      <c r="K2994" s="7" t="str">
        <f>IFERROR(INDEX(tbl_ProduitsRef[Famille], MATCH(tbl_Ventes[[#This Row],[Cde_Prdt]], tbl_Produits[Cde_Prdt], 0)), "")</f>
        <v/>
      </c>
    </row>
    <row r="2995" spans="1:11" x14ac:dyDescent="0.25">
      <c r="A2995" s="5"/>
      <c r="B2995" s="63" t="str">
        <f>IFERROR(TEXT(tbl_Ventes[[#This Row],[Date]],"mm-aaaa"),"")</f>
        <v>01-1900</v>
      </c>
      <c r="D2995" s="10" t="str">
        <f>IFERROR(
   INDEX(tbl_ProduitsRef[Cde_Prdt],MATCH(tbl_Ventes[[#This Row],[Produit]],tbl_ProduitsRef[Produit],0)),
   ""
)</f>
        <v/>
      </c>
      <c r="E2995" s="7">
        <v>0</v>
      </c>
      <c r="F2995" s="7" t="str">
        <f>IFERROR(
   INDEX(tbl_ProduitsRef[Prix Menu],MATCH(tbl_Ventes[[#This Row],[Produit]],tbl_ProduitsRef[Produit],0)),
   ""
)</f>
        <v/>
      </c>
      <c r="G2995" s="7">
        <f>tbl_Ventes[[#This Row],[Qté Vendue]] * IFERROR(_xlfn.XLOOKUP(tbl_Ventes[[#This Row],[Cde_Prdt]], tbl_Produits[Cde_Prdt], tbl_Produits[Prix Menu]), 0)</f>
        <v>0</v>
      </c>
      <c r="H2995" s="7">
        <f>IFERROR(_xlfn.XLOOKUP(tbl_Ventes[[#This Row],[Cde_Prdt]], tbl_Produits[Cde_Prdt], tbl_Produits[Coût Moyen Portion]), 0)</f>
        <v>0</v>
      </c>
      <c r="I2995" s="7">
        <f>tbl_Ventes[[#This Row],[Qté Vendue]] * tbl_Ventes[[#This Row],[CMP_par_portion]]</f>
        <v>0</v>
      </c>
      <c r="J2995" s="7">
        <f>tbl_Ventes[[#This Row],[CA ligne]] - tbl_Ventes[[#This Row],[Coût matière ligne]]</f>
        <v>0</v>
      </c>
      <c r="K2995" s="7" t="str">
        <f>IFERROR(INDEX(tbl_ProduitsRef[Famille], MATCH(tbl_Ventes[[#This Row],[Cde_Prdt]], tbl_Produits[Cde_Prdt], 0)), "")</f>
        <v/>
      </c>
    </row>
    <row r="2996" spans="1:11" x14ac:dyDescent="0.25">
      <c r="A2996" s="5"/>
      <c r="B2996" s="63" t="str">
        <f>IFERROR(TEXT(tbl_Ventes[[#This Row],[Date]],"mm-aaaa"),"")</f>
        <v>01-1900</v>
      </c>
      <c r="D2996" s="10" t="str">
        <f>IFERROR(
   INDEX(tbl_ProduitsRef[Cde_Prdt],MATCH(tbl_Ventes[[#This Row],[Produit]],tbl_ProduitsRef[Produit],0)),
   ""
)</f>
        <v/>
      </c>
      <c r="E2996" s="7">
        <v>0</v>
      </c>
      <c r="F2996" s="7" t="str">
        <f>IFERROR(
   INDEX(tbl_ProduitsRef[Prix Menu],MATCH(tbl_Ventes[[#This Row],[Produit]],tbl_ProduitsRef[Produit],0)),
   ""
)</f>
        <v/>
      </c>
      <c r="G2996" s="7">
        <f>tbl_Ventes[[#This Row],[Qté Vendue]] * IFERROR(_xlfn.XLOOKUP(tbl_Ventes[[#This Row],[Cde_Prdt]], tbl_Produits[Cde_Prdt], tbl_Produits[Prix Menu]), 0)</f>
        <v>0</v>
      </c>
      <c r="H2996" s="7">
        <f>IFERROR(_xlfn.XLOOKUP(tbl_Ventes[[#This Row],[Cde_Prdt]], tbl_Produits[Cde_Prdt], tbl_Produits[Coût Moyen Portion]), 0)</f>
        <v>0</v>
      </c>
      <c r="I2996" s="7">
        <f>tbl_Ventes[[#This Row],[Qté Vendue]] * tbl_Ventes[[#This Row],[CMP_par_portion]]</f>
        <v>0</v>
      </c>
      <c r="J2996" s="7">
        <f>tbl_Ventes[[#This Row],[CA ligne]] - tbl_Ventes[[#This Row],[Coût matière ligne]]</f>
        <v>0</v>
      </c>
      <c r="K2996" s="7" t="str">
        <f>IFERROR(INDEX(tbl_ProduitsRef[Famille], MATCH(tbl_Ventes[[#This Row],[Cde_Prdt]], tbl_Produits[Cde_Prdt], 0)), "")</f>
        <v/>
      </c>
    </row>
    <row r="2997" spans="1:11" x14ac:dyDescent="0.25">
      <c r="A2997" s="5"/>
      <c r="B2997" s="63" t="str">
        <f>IFERROR(TEXT(tbl_Ventes[[#This Row],[Date]],"mm-aaaa"),"")</f>
        <v>01-1900</v>
      </c>
      <c r="D2997" s="10" t="str">
        <f>IFERROR(
   INDEX(tbl_ProduitsRef[Cde_Prdt],MATCH(tbl_Ventes[[#This Row],[Produit]],tbl_ProduitsRef[Produit],0)),
   ""
)</f>
        <v/>
      </c>
      <c r="E2997" s="7">
        <v>0</v>
      </c>
      <c r="F2997" s="7" t="str">
        <f>IFERROR(
   INDEX(tbl_ProduitsRef[Prix Menu],MATCH(tbl_Ventes[[#This Row],[Produit]],tbl_ProduitsRef[Produit],0)),
   ""
)</f>
        <v/>
      </c>
      <c r="G2997" s="7">
        <f>tbl_Ventes[[#This Row],[Qté Vendue]] * IFERROR(_xlfn.XLOOKUP(tbl_Ventes[[#This Row],[Cde_Prdt]], tbl_Produits[Cde_Prdt], tbl_Produits[Prix Menu]), 0)</f>
        <v>0</v>
      </c>
      <c r="H2997" s="7">
        <f>IFERROR(_xlfn.XLOOKUP(tbl_Ventes[[#This Row],[Cde_Prdt]], tbl_Produits[Cde_Prdt], tbl_Produits[Coût Moyen Portion]), 0)</f>
        <v>0</v>
      </c>
      <c r="I2997" s="7">
        <f>tbl_Ventes[[#This Row],[Qté Vendue]] * tbl_Ventes[[#This Row],[CMP_par_portion]]</f>
        <v>0</v>
      </c>
      <c r="J2997" s="7">
        <f>tbl_Ventes[[#This Row],[CA ligne]] - tbl_Ventes[[#This Row],[Coût matière ligne]]</f>
        <v>0</v>
      </c>
      <c r="K2997" s="7" t="str">
        <f>IFERROR(INDEX(tbl_ProduitsRef[Famille], MATCH(tbl_Ventes[[#This Row],[Cde_Prdt]], tbl_Produits[Cde_Prdt], 0)), "")</f>
        <v/>
      </c>
    </row>
    <row r="2998" spans="1:11" x14ac:dyDescent="0.25">
      <c r="A2998" s="5"/>
      <c r="B2998" s="63" t="str">
        <f>IFERROR(TEXT(tbl_Ventes[[#This Row],[Date]],"mm-aaaa"),"")</f>
        <v>01-1900</v>
      </c>
      <c r="D2998" s="10" t="str">
        <f>IFERROR(
   INDEX(tbl_ProduitsRef[Cde_Prdt],MATCH(tbl_Ventes[[#This Row],[Produit]],tbl_ProduitsRef[Produit],0)),
   ""
)</f>
        <v/>
      </c>
      <c r="E2998" s="7">
        <v>0</v>
      </c>
      <c r="F2998" s="7" t="str">
        <f>IFERROR(
   INDEX(tbl_ProduitsRef[Prix Menu],MATCH(tbl_Ventes[[#This Row],[Produit]],tbl_ProduitsRef[Produit],0)),
   ""
)</f>
        <v/>
      </c>
      <c r="G2998" s="7">
        <f>tbl_Ventes[[#This Row],[Qté Vendue]] * IFERROR(_xlfn.XLOOKUP(tbl_Ventes[[#This Row],[Cde_Prdt]], tbl_Produits[Cde_Prdt], tbl_Produits[Prix Menu]), 0)</f>
        <v>0</v>
      </c>
      <c r="H2998" s="7">
        <f>IFERROR(_xlfn.XLOOKUP(tbl_Ventes[[#This Row],[Cde_Prdt]], tbl_Produits[Cde_Prdt], tbl_Produits[Coût Moyen Portion]), 0)</f>
        <v>0</v>
      </c>
      <c r="I2998" s="7">
        <f>tbl_Ventes[[#This Row],[Qté Vendue]] * tbl_Ventes[[#This Row],[CMP_par_portion]]</f>
        <v>0</v>
      </c>
      <c r="J2998" s="7">
        <f>tbl_Ventes[[#This Row],[CA ligne]] - tbl_Ventes[[#This Row],[Coût matière ligne]]</f>
        <v>0</v>
      </c>
      <c r="K2998" s="7" t="str">
        <f>IFERROR(INDEX(tbl_ProduitsRef[Famille], MATCH(tbl_Ventes[[#This Row],[Cde_Prdt]], tbl_Produits[Cde_Prdt], 0)), "")</f>
        <v/>
      </c>
    </row>
    <row r="2999" spans="1:11" x14ac:dyDescent="0.25">
      <c r="A2999" s="5"/>
      <c r="B2999" s="63" t="str">
        <f>IFERROR(TEXT(tbl_Ventes[[#This Row],[Date]],"mm-aaaa"),"")</f>
        <v>01-1900</v>
      </c>
      <c r="D2999" s="10" t="str">
        <f>IFERROR(
   INDEX(tbl_ProduitsRef[Cde_Prdt],MATCH(tbl_Ventes[[#This Row],[Produit]],tbl_ProduitsRef[Produit],0)),
   ""
)</f>
        <v/>
      </c>
      <c r="E2999" s="7">
        <v>0</v>
      </c>
      <c r="F2999" s="7" t="str">
        <f>IFERROR(
   INDEX(tbl_ProduitsRef[Prix Menu],MATCH(tbl_Ventes[[#This Row],[Produit]],tbl_ProduitsRef[Produit],0)),
   ""
)</f>
        <v/>
      </c>
      <c r="G2999" s="7">
        <f>tbl_Ventes[[#This Row],[Qté Vendue]] * IFERROR(_xlfn.XLOOKUP(tbl_Ventes[[#This Row],[Cde_Prdt]], tbl_Produits[Cde_Prdt], tbl_Produits[Prix Menu]), 0)</f>
        <v>0</v>
      </c>
      <c r="H2999" s="7">
        <f>IFERROR(_xlfn.XLOOKUP(tbl_Ventes[[#This Row],[Cde_Prdt]], tbl_Produits[Cde_Prdt], tbl_Produits[Coût Moyen Portion]), 0)</f>
        <v>0</v>
      </c>
      <c r="I2999" s="7">
        <f>tbl_Ventes[[#This Row],[Qté Vendue]] * tbl_Ventes[[#This Row],[CMP_par_portion]]</f>
        <v>0</v>
      </c>
      <c r="J2999" s="7">
        <f>tbl_Ventes[[#This Row],[CA ligne]] - tbl_Ventes[[#This Row],[Coût matière ligne]]</f>
        <v>0</v>
      </c>
      <c r="K2999" s="7" t="str">
        <f>IFERROR(INDEX(tbl_ProduitsRef[Famille], MATCH(tbl_Ventes[[#This Row],[Cde_Prdt]], tbl_Produits[Cde_Prdt], 0)), "")</f>
        <v/>
      </c>
    </row>
    <row r="3000" spans="1:11" x14ac:dyDescent="0.25">
      <c r="A3000" s="5"/>
      <c r="B3000" s="63" t="str">
        <f>IFERROR(TEXT(tbl_Ventes[[#This Row],[Date]],"mm-aaaa"),"")</f>
        <v>01-1900</v>
      </c>
      <c r="D3000" s="10" t="str">
        <f>IFERROR(
   INDEX(tbl_ProduitsRef[Cde_Prdt],MATCH(tbl_Ventes[[#This Row],[Produit]],tbl_ProduitsRef[Produit],0)),
   ""
)</f>
        <v/>
      </c>
      <c r="E3000" s="7">
        <v>0</v>
      </c>
      <c r="F3000" s="7" t="str">
        <f>IFERROR(
   INDEX(tbl_ProduitsRef[Prix Menu],MATCH(tbl_Ventes[[#This Row],[Produit]],tbl_ProduitsRef[Produit],0)),
   ""
)</f>
        <v/>
      </c>
      <c r="G3000" s="7">
        <f>tbl_Ventes[[#This Row],[Qté Vendue]] * IFERROR(_xlfn.XLOOKUP(tbl_Ventes[[#This Row],[Cde_Prdt]], tbl_Produits[Cde_Prdt], tbl_Produits[Prix Menu]), 0)</f>
        <v>0</v>
      </c>
      <c r="H3000" s="7">
        <f>IFERROR(_xlfn.XLOOKUP(tbl_Ventes[[#This Row],[Cde_Prdt]], tbl_Produits[Cde_Prdt], tbl_Produits[Coût Moyen Portion]), 0)</f>
        <v>0</v>
      </c>
      <c r="I3000" s="7">
        <f>tbl_Ventes[[#This Row],[Qté Vendue]] * tbl_Ventes[[#This Row],[CMP_par_portion]]</f>
        <v>0</v>
      </c>
      <c r="J3000" s="7">
        <f>tbl_Ventes[[#This Row],[CA ligne]] - tbl_Ventes[[#This Row],[Coût matière ligne]]</f>
        <v>0</v>
      </c>
      <c r="K3000" s="7" t="str">
        <f>IFERROR(INDEX(tbl_ProduitsRef[Famille], MATCH(tbl_Ventes[[#This Row],[Cde_Prdt]], tbl_Produits[Cde_Prdt], 0)), "")</f>
        <v/>
      </c>
    </row>
    <row r="3001" spans="1:11" x14ac:dyDescent="0.25">
      <c r="A3001" s="5"/>
      <c r="B3001" s="63" t="str">
        <f>IFERROR(TEXT(tbl_Ventes[[#This Row],[Date]],"mm-aaaa"),"")</f>
        <v>01-1900</v>
      </c>
      <c r="D3001" s="10" t="str">
        <f>IFERROR(
   INDEX(tbl_ProduitsRef[Cde_Prdt],MATCH(tbl_Ventes[[#This Row],[Produit]],tbl_ProduitsRef[Produit],0)),
   ""
)</f>
        <v/>
      </c>
      <c r="E3001" s="7">
        <v>0</v>
      </c>
      <c r="F3001" s="7" t="str">
        <f>IFERROR(
   INDEX(tbl_ProduitsRef[Prix Menu],MATCH(tbl_Ventes[[#This Row],[Produit]],tbl_ProduitsRef[Produit],0)),
   ""
)</f>
        <v/>
      </c>
      <c r="G3001" s="7">
        <f>tbl_Ventes[[#This Row],[Qté Vendue]] * IFERROR(_xlfn.XLOOKUP(tbl_Ventes[[#This Row],[Cde_Prdt]], tbl_Produits[Cde_Prdt], tbl_Produits[Prix Menu]), 0)</f>
        <v>0</v>
      </c>
      <c r="H3001" s="7">
        <f>IFERROR(_xlfn.XLOOKUP(tbl_Ventes[[#This Row],[Cde_Prdt]], tbl_Produits[Cde_Prdt], tbl_Produits[Coût Moyen Portion]), 0)</f>
        <v>0</v>
      </c>
      <c r="I3001" s="7">
        <f>tbl_Ventes[[#This Row],[Qté Vendue]] * tbl_Ventes[[#This Row],[CMP_par_portion]]</f>
        <v>0</v>
      </c>
      <c r="J3001" s="7">
        <f>tbl_Ventes[[#This Row],[CA ligne]] - tbl_Ventes[[#This Row],[Coût matière ligne]]</f>
        <v>0</v>
      </c>
      <c r="K3001" s="7" t="str">
        <f>IFERROR(INDEX(tbl_ProduitsRef[Famille], MATCH(tbl_Ventes[[#This Row],[Cde_Prdt]], tbl_Produits[Cde_Prdt], 0)), "")</f>
        <v/>
      </c>
    </row>
    <row r="3002" spans="1:11" x14ac:dyDescent="0.25">
      <c r="A3002" s="5"/>
      <c r="B3002" s="63" t="str">
        <f>IFERROR(TEXT(tbl_Ventes[[#This Row],[Date]],"mm-aaaa"),"")</f>
        <v>01-1900</v>
      </c>
      <c r="D3002" s="10" t="str">
        <f>IFERROR(
   INDEX(tbl_ProduitsRef[Cde_Prdt],MATCH(tbl_Ventes[[#This Row],[Produit]],tbl_ProduitsRef[Produit],0)),
   ""
)</f>
        <v/>
      </c>
      <c r="E3002" s="7">
        <v>0</v>
      </c>
      <c r="F3002" s="7" t="str">
        <f>IFERROR(
   INDEX(tbl_ProduitsRef[Prix Menu],MATCH(tbl_Ventes[[#This Row],[Produit]],tbl_ProduitsRef[Produit],0)),
   ""
)</f>
        <v/>
      </c>
      <c r="G3002" s="7">
        <f>tbl_Ventes[[#This Row],[Qté Vendue]] * IFERROR(_xlfn.XLOOKUP(tbl_Ventes[[#This Row],[Cde_Prdt]], tbl_Produits[Cde_Prdt], tbl_Produits[Prix Menu]), 0)</f>
        <v>0</v>
      </c>
      <c r="H3002" s="7">
        <f>IFERROR(_xlfn.XLOOKUP(tbl_Ventes[[#This Row],[Cde_Prdt]], tbl_Produits[Cde_Prdt], tbl_Produits[Coût Moyen Portion]), 0)</f>
        <v>0</v>
      </c>
      <c r="I3002" s="7">
        <f>tbl_Ventes[[#This Row],[Qté Vendue]] * tbl_Ventes[[#This Row],[CMP_par_portion]]</f>
        <v>0</v>
      </c>
      <c r="J3002" s="7">
        <f>tbl_Ventes[[#This Row],[CA ligne]] - tbl_Ventes[[#This Row],[Coût matière ligne]]</f>
        <v>0</v>
      </c>
      <c r="K3002" s="7" t="str">
        <f>IFERROR(INDEX(tbl_ProduitsRef[Famille], MATCH(tbl_Ventes[[#This Row],[Cde_Prdt]], tbl_Produits[Cde_Prdt], 0)), "")</f>
        <v/>
      </c>
    </row>
    <row r="3003" spans="1:11" x14ac:dyDescent="0.25">
      <c r="A3003" s="5"/>
      <c r="B3003" s="63" t="str">
        <f>IFERROR(TEXT(tbl_Ventes[[#This Row],[Date]],"mm-aaaa"),"")</f>
        <v>01-1900</v>
      </c>
      <c r="D3003" s="10" t="str">
        <f>IFERROR(
   INDEX(tbl_ProduitsRef[Cde_Prdt],MATCH(tbl_Ventes[[#This Row],[Produit]],tbl_ProduitsRef[Produit],0)),
   ""
)</f>
        <v/>
      </c>
      <c r="E3003" s="7">
        <v>0</v>
      </c>
      <c r="F3003" s="7" t="str">
        <f>IFERROR(
   INDEX(tbl_ProduitsRef[Prix Menu],MATCH(tbl_Ventes[[#This Row],[Produit]],tbl_ProduitsRef[Produit],0)),
   ""
)</f>
        <v/>
      </c>
      <c r="G3003" s="7">
        <f>tbl_Ventes[[#This Row],[Qté Vendue]] * IFERROR(_xlfn.XLOOKUP(tbl_Ventes[[#This Row],[Cde_Prdt]], tbl_Produits[Cde_Prdt], tbl_Produits[Prix Menu]), 0)</f>
        <v>0</v>
      </c>
      <c r="H3003" s="7">
        <f>IFERROR(_xlfn.XLOOKUP(tbl_Ventes[[#This Row],[Cde_Prdt]], tbl_Produits[Cde_Prdt], tbl_Produits[Coût Moyen Portion]), 0)</f>
        <v>0</v>
      </c>
      <c r="I3003" s="7">
        <f>tbl_Ventes[[#This Row],[Qté Vendue]] * tbl_Ventes[[#This Row],[CMP_par_portion]]</f>
        <v>0</v>
      </c>
      <c r="J3003" s="7">
        <f>tbl_Ventes[[#This Row],[CA ligne]] - tbl_Ventes[[#This Row],[Coût matière ligne]]</f>
        <v>0</v>
      </c>
      <c r="K3003" s="7" t="str">
        <f>IFERROR(INDEX(tbl_ProduitsRef[Famille], MATCH(tbl_Ventes[[#This Row],[Cde_Prdt]], tbl_Produits[Cde_Prdt], 0)), "")</f>
        <v/>
      </c>
    </row>
    <row r="3004" spans="1:11" x14ac:dyDescent="0.25">
      <c r="A3004" s="5"/>
      <c r="B3004" s="63" t="str">
        <f>IFERROR(TEXT(tbl_Ventes[[#This Row],[Date]],"mm-aaaa"),"")</f>
        <v>01-1900</v>
      </c>
      <c r="D3004" s="10" t="str">
        <f>IFERROR(
   INDEX(tbl_ProduitsRef[Cde_Prdt],MATCH(tbl_Ventes[[#This Row],[Produit]],tbl_ProduitsRef[Produit],0)),
   ""
)</f>
        <v/>
      </c>
      <c r="E3004" s="7">
        <v>0</v>
      </c>
      <c r="F3004" s="7" t="str">
        <f>IFERROR(
   INDEX(tbl_ProduitsRef[Prix Menu],MATCH(tbl_Ventes[[#This Row],[Produit]],tbl_ProduitsRef[Produit],0)),
   ""
)</f>
        <v/>
      </c>
      <c r="G3004" s="7">
        <f>tbl_Ventes[[#This Row],[Qté Vendue]] * IFERROR(_xlfn.XLOOKUP(tbl_Ventes[[#This Row],[Cde_Prdt]], tbl_Produits[Cde_Prdt], tbl_Produits[Prix Menu]), 0)</f>
        <v>0</v>
      </c>
      <c r="H3004" s="7">
        <f>IFERROR(_xlfn.XLOOKUP(tbl_Ventes[[#This Row],[Cde_Prdt]], tbl_Produits[Cde_Prdt], tbl_Produits[Coût Moyen Portion]), 0)</f>
        <v>0</v>
      </c>
      <c r="I3004" s="7">
        <f>tbl_Ventes[[#This Row],[Qté Vendue]] * tbl_Ventes[[#This Row],[CMP_par_portion]]</f>
        <v>0</v>
      </c>
      <c r="J3004" s="7">
        <f>tbl_Ventes[[#This Row],[CA ligne]] - tbl_Ventes[[#This Row],[Coût matière ligne]]</f>
        <v>0</v>
      </c>
      <c r="K3004" s="7" t="str">
        <f>IFERROR(INDEX(tbl_ProduitsRef[Famille], MATCH(tbl_Ventes[[#This Row],[Cde_Prdt]], tbl_Produits[Cde_Prdt], 0)), "")</f>
        <v/>
      </c>
    </row>
    <row r="3005" spans="1:11" x14ac:dyDescent="0.25">
      <c r="A3005" s="5"/>
      <c r="B3005" s="63" t="str">
        <f>IFERROR(TEXT(tbl_Ventes[[#This Row],[Date]],"mm-aaaa"),"")</f>
        <v>01-1900</v>
      </c>
      <c r="D3005" s="10" t="str">
        <f>IFERROR(
   INDEX(tbl_ProduitsRef[Cde_Prdt],MATCH(tbl_Ventes[[#This Row],[Produit]],tbl_ProduitsRef[Produit],0)),
   ""
)</f>
        <v/>
      </c>
      <c r="E3005" s="7">
        <v>0</v>
      </c>
      <c r="F3005" s="7" t="str">
        <f>IFERROR(
   INDEX(tbl_ProduitsRef[Prix Menu],MATCH(tbl_Ventes[[#This Row],[Produit]],tbl_ProduitsRef[Produit],0)),
   ""
)</f>
        <v/>
      </c>
      <c r="G3005" s="7">
        <f>tbl_Ventes[[#This Row],[Qté Vendue]] * IFERROR(_xlfn.XLOOKUP(tbl_Ventes[[#This Row],[Cde_Prdt]], tbl_Produits[Cde_Prdt], tbl_Produits[Prix Menu]), 0)</f>
        <v>0</v>
      </c>
      <c r="H3005" s="7">
        <f>IFERROR(_xlfn.XLOOKUP(tbl_Ventes[[#This Row],[Cde_Prdt]], tbl_Produits[Cde_Prdt], tbl_Produits[Coût Moyen Portion]), 0)</f>
        <v>0</v>
      </c>
      <c r="I3005" s="7">
        <f>tbl_Ventes[[#This Row],[Qté Vendue]] * tbl_Ventes[[#This Row],[CMP_par_portion]]</f>
        <v>0</v>
      </c>
      <c r="J3005" s="7">
        <f>tbl_Ventes[[#This Row],[CA ligne]] - tbl_Ventes[[#This Row],[Coût matière ligne]]</f>
        <v>0</v>
      </c>
      <c r="K3005" s="7" t="str">
        <f>IFERROR(INDEX(tbl_ProduitsRef[Famille], MATCH(tbl_Ventes[[#This Row],[Cde_Prdt]], tbl_Produits[Cde_Prdt], 0)), "")</f>
        <v/>
      </c>
    </row>
    <row r="3006" spans="1:11" x14ac:dyDescent="0.25">
      <c r="A3006" s="5"/>
      <c r="B3006" s="63" t="str">
        <f>IFERROR(TEXT(tbl_Ventes[[#This Row],[Date]],"mm-aaaa"),"")</f>
        <v>01-1900</v>
      </c>
      <c r="D3006" s="10" t="str">
        <f>IFERROR(
   INDEX(tbl_ProduitsRef[Cde_Prdt],MATCH(tbl_Ventes[[#This Row],[Produit]],tbl_ProduitsRef[Produit],0)),
   ""
)</f>
        <v/>
      </c>
      <c r="E3006" s="7">
        <v>0</v>
      </c>
      <c r="F3006" s="7" t="str">
        <f>IFERROR(
   INDEX(tbl_ProduitsRef[Prix Menu],MATCH(tbl_Ventes[[#This Row],[Produit]],tbl_ProduitsRef[Produit],0)),
   ""
)</f>
        <v/>
      </c>
      <c r="G3006" s="7">
        <f>tbl_Ventes[[#This Row],[Qté Vendue]] * IFERROR(_xlfn.XLOOKUP(tbl_Ventes[[#This Row],[Cde_Prdt]], tbl_Produits[Cde_Prdt], tbl_Produits[Prix Menu]), 0)</f>
        <v>0</v>
      </c>
      <c r="H3006" s="7">
        <f>IFERROR(_xlfn.XLOOKUP(tbl_Ventes[[#This Row],[Cde_Prdt]], tbl_Produits[Cde_Prdt], tbl_Produits[Coût Moyen Portion]), 0)</f>
        <v>0</v>
      </c>
      <c r="I3006" s="7">
        <f>tbl_Ventes[[#This Row],[Qté Vendue]] * tbl_Ventes[[#This Row],[CMP_par_portion]]</f>
        <v>0</v>
      </c>
      <c r="J3006" s="7">
        <f>tbl_Ventes[[#This Row],[CA ligne]] - tbl_Ventes[[#This Row],[Coût matière ligne]]</f>
        <v>0</v>
      </c>
      <c r="K3006" s="7" t="str">
        <f>IFERROR(INDEX(tbl_ProduitsRef[Famille], MATCH(tbl_Ventes[[#This Row],[Cde_Prdt]], tbl_Produits[Cde_Prdt], 0)), "")</f>
        <v/>
      </c>
    </row>
    <row r="3007" spans="1:11" x14ac:dyDescent="0.25">
      <c r="A3007" s="5"/>
      <c r="B3007" s="63" t="str">
        <f>IFERROR(TEXT(tbl_Ventes[[#This Row],[Date]],"mm-aaaa"),"")</f>
        <v>01-1900</v>
      </c>
      <c r="D3007" s="10" t="str">
        <f>IFERROR(
   INDEX(tbl_ProduitsRef[Cde_Prdt],MATCH(tbl_Ventes[[#This Row],[Produit]],tbl_ProduitsRef[Produit],0)),
   ""
)</f>
        <v/>
      </c>
      <c r="E3007" s="7">
        <v>0</v>
      </c>
      <c r="F3007" s="7" t="str">
        <f>IFERROR(
   INDEX(tbl_ProduitsRef[Prix Menu],MATCH(tbl_Ventes[[#This Row],[Produit]],tbl_ProduitsRef[Produit],0)),
   ""
)</f>
        <v/>
      </c>
      <c r="G3007" s="7">
        <f>tbl_Ventes[[#This Row],[Qté Vendue]] * IFERROR(_xlfn.XLOOKUP(tbl_Ventes[[#This Row],[Cde_Prdt]], tbl_Produits[Cde_Prdt], tbl_Produits[Prix Menu]), 0)</f>
        <v>0</v>
      </c>
      <c r="H3007" s="7">
        <f>IFERROR(_xlfn.XLOOKUP(tbl_Ventes[[#This Row],[Cde_Prdt]], tbl_Produits[Cde_Prdt], tbl_Produits[Coût Moyen Portion]), 0)</f>
        <v>0</v>
      </c>
      <c r="I3007" s="7">
        <f>tbl_Ventes[[#This Row],[Qté Vendue]] * tbl_Ventes[[#This Row],[CMP_par_portion]]</f>
        <v>0</v>
      </c>
      <c r="J3007" s="7">
        <f>tbl_Ventes[[#This Row],[CA ligne]] - tbl_Ventes[[#This Row],[Coût matière ligne]]</f>
        <v>0</v>
      </c>
      <c r="K3007" s="7" t="str">
        <f>IFERROR(INDEX(tbl_ProduitsRef[Famille], MATCH(tbl_Ventes[[#This Row],[Cde_Prdt]], tbl_Produits[Cde_Prdt], 0)), "")</f>
        <v/>
      </c>
    </row>
    <row r="3008" spans="1:11" x14ac:dyDescent="0.25">
      <c r="A3008" s="5"/>
      <c r="B3008" s="63" t="str">
        <f>IFERROR(TEXT(tbl_Ventes[[#This Row],[Date]],"mm-aaaa"),"")</f>
        <v>01-1900</v>
      </c>
      <c r="D3008" s="10" t="str">
        <f>IFERROR(
   INDEX(tbl_ProduitsRef[Cde_Prdt],MATCH(tbl_Ventes[[#This Row],[Produit]],tbl_ProduitsRef[Produit],0)),
   ""
)</f>
        <v/>
      </c>
      <c r="E3008" s="7">
        <v>0</v>
      </c>
      <c r="F3008" s="7" t="str">
        <f>IFERROR(
   INDEX(tbl_ProduitsRef[Prix Menu],MATCH(tbl_Ventes[[#This Row],[Produit]],tbl_ProduitsRef[Produit],0)),
   ""
)</f>
        <v/>
      </c>
      <c r="G3008" s="7">
        <f>tbl_Ventes[[#This Row],[Qté Vendue]] * IFERROR(_xlfn.XLOOKUP(tbl_Ventes[[#This Row],[Cde_Prdt]], tbl_Produits[Cde_Prdt], tbl_Produits[Prix Menu]), 0)</f>
        <v>0</v>
      </c>
      <c r="H3008" s="7">
        <f>IFERROR(_xlfn.XLOOKUP(tbl_Ventes[[#This Row],[Cde_Prdt]], tbl_Produits[Cde_Prdt], tbl_Produits[Coût Moyen Portion]), 0)</f>
        <v>0</v>
      </c>
      <c r="I3008" s="7">
        <f>tbl_Ventes[[#This Row],[Qté Vendue]] * tbl_Ventes[[#This Row],[CMP_par_portion]]</f>
        <v>0</v>
      </c>
      <c r="J3008" s="7">
        <f>tbl_Ventes[[#This Row],[CA ligne]] - tbl_Ventes[[#This Row],[Coût matière ligne]]</f>
        <v>0</v>
      </c>
      <c r="K3008" s="7" t="str">
        <f>IFERROR(INDEX(tbl_ProduitsRef[Famille], MATCH(tbl_Ventes[[#This Row],[Cde_Prdt]], tbl_Produits[Cde_Prdt], 0)), "")</f>
        <v/>
      </c>
    </row>
    <row r="3009" spans="1:11" x14ac:dyDescent="0.25">
      <c r="A3009" s="5"/>
      <c r="B3009" s="63" t="str">
        <f>IFERROR(TEXT(tbl_Ventes[[#This Row],[Date]],"mm-aaaa"),"")</f>
        <v>01-1900</v>
      </c>
      <c r="D3009" s="10" t="str">
        <f>IFERROR(
   INDEX(tbl_ProduitsRef[Cde_Prdt],MATCH(tbl_Ventes[[#This Row],[Produit]],tbl_ProduitsRef[Produit],0)),
   ""
)</f>
        <v/>
      </c>
      <c r="E3009" s="7">
        <v>0</v>
      </c>
      <c r="F3009" s="7" t="str">
        <f>IFERROR(
   INDEX(tbl_ProduitsRef[Prix Menu],MATCH(tbl_Ventes[[#This Row],[Produit]],tbl_ProduitsRef[Produit],0)),
   ""
)</f>
        <v/>
      </c>
      <c r="G3009" s="7">
        <f>tbl_Ventes[[#This Row],[Qté Vendue]] * IFERROR(_xlfn.XLOOKUP(tbl_Ventes[[#This Row],[Cde_Prdt]], tbl_Produits[Cde_Prdt], tbl_Produits[Prix Menu]), 0)</f>
        <v>0</v>
      </c>
      <c r="H3009" s="7">
        <f>IFERROR(_xlfn.XLOOKUP(tbl_Ventes[[#This Row],[Cde_Prdt]], tbl_Produits[Cde_Prdt], tbl_Produits[Coût Moyen Portion]), 0)</f>
        <v>0</v>
      </c>
      <c r="I3009" s="7">
        <f>tbl_Ventes[[#This Row],[Qté Vendue]] * tbl_Ventes[[#This Row],[CMP_par_portion]]</f>
        <v>0</v>
      </c>
      <c r="J3009" s="7">
        <f>tbl_Ventes[[#This Row],[CA ligne]] - tbl_Ventes[[#This Row],[Coût matière ligne]]</f>
        <v>0</v>
      </c>
      <c r="K3009" s="7" t="str">
        <f>IFERROR(INDEX(tbl_ProduitsRef[Famille], MATCH(tbl_Ventes[[#This Row],[Cde_Prdt]], tbl_Produits[Cde_Prdt], 0)), "")</f>
        <v/>
      </c>
    </row>
    <row r="3010" spans="1:11" x14ac:dyDescent="0.25">
      <c r="A3010" s="5"/>
      <c r="B3010" s="63" t="str">
        <f>IFERROR(TEXT(tbl_Ventes[[#This Row],[Date]],"mm-aaaa"),"")</f>
        <v>01-1900</v>
      </c>
      <c r="D3010" s="10" t="str">
        <f>IFERROR(
   INDEX(tbl_ProduitsRef[Cde_Prdt],MATCH(tbl_Ventes[[#This Row],[Produit]],tbl_ProduitsRef[Produit],0)),
   ""
)</f>
        <v/>
      </c>
      <c r="E3010" s="7">
        <v>0</v>
      </c>
      <c r="F3010" s="7" t="str">
        <f>IFERROR(
   INDEX(tbl_ProduitsRef[Prix Menu],MATCH(tbl_Ventes[[#This Row],[Produit]],tbl_ProduitsRef[Produit],0)),
   ""
)</f>
        <v/>
      </c>
      <c r="G3010" s="7">
        <f>tbl_Ventes[[#This Row],[Qté Vendue]] * IFERROR(_xlfn.XLOOKUP(tbl_Ventes[[#This Row],[Cde_Prdt]], tbl_Produits[Cde_Prdt], tbl_Produits[Prix Menu]), 0)</f>
        <v>0</v>
      </c>
      <c r="H3010" s="7">
        <f>IFERROR(_xlfn.XLOOKUP(tbl_Ventes[[#This Row],[Cde_Prdt]], tbl_Produits[Cde_Prdt], tbl_Produits[Coût Moyen Portion]), 0)</f>
        <v>0</v>
      </c>
      <c r="I3010" s="7">
        <f>tbl_Ventes[[#This Row],[Qté Vendue]] * tbl_Ventes[[#This Row],[CMP_par_portion]]</f>
        <v>0</v>
      </c>
      <c r="J3010" s="7">
        <f>tbl_Ventes[[#This Row],[CA ligne]] - tbl_Ventes[[#This Row],[Coût matière ligne]]</f>
        <v>0</v>
      </c>
      <c r="K3010" s="7" t="str">
        <f>IFERROR(INDEX(tbl_ProduitsRef[Famille], MATCH(tbl_Ventes[[#This Row],[Cde_Prdt]], tbl_Produits[Cde_Prdt], 0)), "")</f>
        <v/>
      </c>
    </row>
    <row r="3011" spans="1:11" x14ac:dyDescent="0.25">
      <c r="A3011" s="5"/>
      <c r="B3011" s="63" t="str">
        <f>IFERROR(TEXT(tbl_Ventes[[#This Row],[Date]],"mm-aaaa"),"")</f>
        <v>01-1900</v>
      </c>
      <c r="D3011" s="10" t="str">
        <f>IFERROR(
   INDEX(tbl_ProduitsRef[Cde_Prdt],MATCH(tbl_Ventes[[#This Row],[Produit]],tbl_ProduitsRef[Produit],0)),
   ""
)</f>
        <v/>
      </c>
      <c r="E3011" s="7">
        <v>0</v>
      </c>
      <c r="F3011" s="7" t="str">
        <f>IFERROR(
   INDEX(tbl_ProduitsRef[Prix Menu],MATCH(tbl_Ventes[[#This Row],[Produit]],tbl_ProduitsRef[Produit],0)),
   ""
)</f>
        <v/>
      </c>
      <c r="G3011" s="7">
        <f>tbl_Ventes[[#This Row],[Qté Vendue]] * IFERROR(_xlfn.XLOOKUP(tbl_Ventes[[#This Row],[Cde_Prdt]], tbl_Produits[Cde_Prdt], tbl_Produits[Prix Menu]), 0)</f>
        <v>0</v>
      </c>
      <c r="H3011" s="7">
        <f>IFERROR(_xlfn.XLOOKUP(tbl_Ventes[[#This Row],[Cde_Prdt]], tbl_Produits[Cde_Prdt], tbl_Produits[Coût Moyen Portion]), 0)</f>
        <v>0</v>
      </c>
      <c r="I3011" s="7">
        <f>tbl_Ventes[[#This Row],[Qté Vendue]] * tbl_Ventes[[#This Row],[CMP_par_portion]]</f>
        <v>0</v>
      </c>
      <c r="J3011" s="7">
        <f>tbl_Ventes[[#This Row],[CA ligne]] - tbl_Ventes[[#This Row],[Coût matière ligne]]</f>
        <v>0</v>
      </c>
      <c r="K3011" s="7" t="str">
        <f>IFERROR(INDEX(tbl_ProduitsRef[Famille], MATCH(tbl_Ventes[[#This Row],[Cde_Prdt]], tbl_Produits[Cde_Prdt], 0)), "")</f>
        <v/>
      </c>
    </row>
    <row r="3012" spans="1:11" x14ac:dyDescent="0.25">
      <c r="A3012" s="5"/>
      <c r="B3012" s="63" t="str">
        <f>IFERROR(TEXT(tbl_Ventes[[#This Row],[Date]],"mm-aaaa"),"")</f>
        <v>01-1900</v>
      </c>
      <c r="D3012" s="10" t="str">
        <f>IFERROR(
   INDEX(tbl_ProduitsRef[Cde_Prdt],MATCH(tbl_Ventes[[#This Row],[Produit]],tbl_ProduitsRef[Produit],0)),
   ""
)</f>
        <v/>
      </c>
      <c r="E3012" s="7">
        <v>0</v>
      </c>
      <c r="F3012" s="7" t="str">
        <f>IFERROR(
   INDEX(tbl_ProduitsRef[Prix Menu],MATCH(tbl_Ventes[[#This Row],[Produit]],tbl_ProduitsRef[Produit],0)),
   ""
)</f>
        <v/>
      </c>
      <c r="G3012" s="7">
        <f>tbl_Ventes[[#This Row],[Qté Vendue]] * IFERROR(_xlfn.XLOOKUP(tbl_Ventes[[#This Row],[Cde_Prdt]], tbl_Produits[Cde_Prdt], tbl_Produits[Prix Menu]), 0)</f>
        <v>0</v>
      </c>
      <c r="H3012" s="7">
        <f>IFERROR(_xlfn.XLOOKUP(tbl_Ventes[[#This Row],[Cde_Prdt]], tbl_Produits[Cde_Prdt], tbl_Produits[Coût Moyen Portion]), 0)</f>
        <v>0</v>
      </c>
      <c r="I3012" s="7">
        <f>tbl_Ventes[[#This Row],[Qté Vendue]] * tbl_Ventes[[#This Row],[CMP_par_portion]]</f>
        <v>0</v>
      </c>
      <c r="J3012" s="7">
        <f>tbl_Ventes[[#This Row],[CA ligne]] - tbl_Ventes[[#This Row],[Coût matière ligne]]</f>
        <v>0</v>
      </c>
      <c r="K3012" s="7" t="str">
        <f>IFERROR(INDEX(tbl_ProduitsRef[Famille], MATCH(tbl_Ventes[[#This Row],[Cde_Prdt]], tbl_Produits[Cde_Prdt], 0)), "")</f>
        <v/>
      </c>
    </row>
    <row r="3013" spans="1:11" x14ac:dyDescent="0.25">
      <c r="A3013" s="5"/>
      <c r="B3013" s="63" t="str">
        <f>IFERROR(TEXT(tbl_Ventes[[#This Row],[Date]],"mm-aaaa"),"")</f>
        <v>01-1900</v>
      </c>
      <c r="D3013" s="10" t="str">
        <f>IFERROR(
   INDEX(tbl_ProduitsRef[Cde_Prdt],MATCH(tbl_Ventes[[#This Row],[Produit]],tbl_ProduitsRef[Produit],0)),
   ""
)</f>
        <v/>
      </c>
      <c r="E3013" s="7">
        <v>0</v>
      </c>
      <c r="F3013" s="7" t="str">
        <f>IFERROR(
   INDEX(tbl_ProduitsRef[Prix Menu],MATCH(tbl_Ventes[[#This Row],[Produit]],tbl_ProduitsRef[Produit],0)),
   ""
)</f>
        <v/>
      </c>
      <c r="G3013" s="7">
        <f>tbl_Ventes[[#This Row],[Qté Vendue]] * IFERROR(_xlfn.XLOOKUP(tbl_Ventes[[#This Row],[Cde_Prdt]], tbl_Produits[Cde_Prdt], tbl_Produits[Prix Menu]), 0)</f>
        <v>0</v>
      </c>
      <c r="H3013" s="7">
        <f>IFERROR(_xlfn.XLOOKUP(tbl_Ventes[[#This Row],[Cde_Prdt]], tbl_Produits[Cde_Prdt], tbl_Produits[Coût Moyen Portion]), 0)</f>
        <v>0</v>
      </c>
      <c r="I3013" s="7">
        <f>tbl_Ventes[[#This Row],[Qté Vendue]] * tbl_Ventes[[#This Row],[CMP_par_portion]]</f>
        <v>0</v>
      </c>
      <c r="J3013" s="7">
        <f>tbl_Ventes[[#This Row],[CA ligne]] - tbl_Ventes[[#This Row],[Coût matière ligne]]</f>
        <v>0</v>
      </c>
      <c r="K3013" s="7" t="str">
        <f>IFERROR(INDEX(tbl_ProduitsRef[Famille], MATCH(tbl_Ventes[[#This Row],[Cde_Prdt]], tbl_Produits[Cde_Prdt], 0)), "")</f>
        <v/>
      </c>
    </row>
    <row r="3014" spans="1:11" x14ac:dyDescent="0.25">
      <c r="A3014" s="5"/>
      <c r="B3014" s="63" t="str">
        <f>IFERROR(TEXT(tbl_Ventes[[#This Row],[Date]],"mm-aaaa"),"")</f>
        <v>01-1900</v>
      </c>
      <c r="D3014" s="10" t="str">
        <f>IFERROR(
   INDEX(tbl_ProduitsRef[Cde_Prdt],MATCH(tbl_Ventes[[#This Row],[Produit]],tbl_ProduitsRef[Produit],0)),
   ""
)</f>
        <v/>
      </c>
      <c r="E3014" s="7">
        <v>0</v>
      </c>
      <c r="F3014" s="7" t="str">
        <f>IFERROR(
   INDEX(tbl_ProduitsRef[Prix Menu],MATCH(tbl_Ventes[[#This Row],[Produit]],tbl_ProduitsRef[Produit],0)),
   ""
)</f>
        <v/>
      </c>
      <c r="G3014" s="7">
        <f>tbl_Ventes[[#This Row],[Qté Vendue]] * IFERROR(_xlfn.XLOOKUP(tbl_Ventes[[#This Row],[Cde_Prdt]], tbl_Produits[Cde_Prdt], tbl_Produits[Prix Menu]), 0)</f>
        <v>0</v>
      </c>
      <c r="H3014" s="7">
        <f>IFERROR(_xlfn.XLOOKUP(tbl_Ventes[[#This Row],[Cde_Prdt]], tbl_Produits[Cde_Prdt], tbl_Produits[Coût Moyen Portion]), 0)</f>
        <v>0</v>
      </c>
      <c r="I3014" s="7">
        <f>tbl_Ventes[[#This Row],[Qté Vendue]] * tbl_Ventes[[#This Row],[CMP_par_portion]]</f>
        <v>0</v>
      </c>
      <c r="J3014" s="7">
        <f>tbl_Ventes[[#This Row],[CA ligne]] - tbl_Ventes[[#This Row],[Coût matière ligne]]</f>
        <v>0</v>
      </c>
      <c r="K3014" s="7" t="str">
        <f>IFERROR(INDEX(tbl_ProduitsRef[Famille], MATCH(tbl_Ventes[[#This Row],[Cde_Prdt]], tbl_Produits[Cde_Prdt], 0)), "")</f>
        <v/>
      </c>
    </row>
    <row r="3015" spans="1:11" x14ac:dyDescent="0.25">
      <c r="A3015" s="5"/>
      <c r="B3015" s="63" t="str">
        <f>IFERROR(TEXT(tbl_Ventes[[#This Row],[Date]],"mm-aaaa"),"")</f>
        <v>01-1900</v>
      </c>
      <c r="D3015" s="10" t="str">
        <f>IFERROR(
   INDEX(tbl_ProduitsRef[Cde_Prdt],MATCH(tbl_Ventes[[#This Row],[Produit]],tbl_ProduitsRef[Produit],0)),
   ""
)</f>
        <v/>
      </c>
      <c r="E3015" s="7">
        <v>0</v>
      </c>
      <c r="F3015" s="7" t="str">
        <f>IFERROR(
   INDEX(tbl_ProduitsRef[Prix Menu],MATCH(tbl_Ventes[[#This Row],[Produit]],tbl_ProduitsRef[Produit],0)),
   ""
)</f>
        <v/>
      </c>
      <c r="G3015" s="7">
        <f>tbl_Ventes[[#This Row],[Qté Vendue]] * IFERROR(_xlfn.XLOOKUP(tbl_Ventes[[#This Row],[Cde_Prdt]], tbl_Produits[Cde_Prdt], tbl_Produits[Prix Menu]), 0)</f>
        <v>0</v>
      </c>
      <c r="H3015" s="7">
        <f>IFERROR(_xlfn.XLOOKUP(tbl_Ventes[[#This Row],[Cde_Prdt]], tbl_Produits[Cde_Prdt], tbl_Produits[Coût Moyen Portion]), 0)</f>
        <v>0</v>
      </c>
      <c r="I3015" s="7">
        <f>tbl_Ventes[[#This Row],[Qté Vendue]] * tbl_Ventes[[#This Row],[CMP_par_portion]]</f>
        <v>0</v>
      </c>
      <c r="J3015" s="7">
        <f>tbl_Ventes[[#This Row],[CA ligne]] - tbl_Ventes[[#This Row],[Coût matière ligne]]</f>
        <v>0</v>
      </c>
      <c r="K3015" s="7" t="str">
        <f>IFERROR(INDEX(tbl_ProduitsRef[Famille], MATCH(tbl_Ventes[[#This Row],[Cde_Prdt]], tbl_Produits[Cde_Prdt], 0)), "")</f>
        <v/>
      </c>
    </row>
    <row r="3016" spans="1:11" x14ac:dyDescent="0.25">
      <c r="A3016" s="5"/>
      <c r="B3016" s="63" t="str">
        <f>IFERROR(TEXT(tbl_Ventes[[#This Row],[Date]],"mm-aaaa"),"")</f>
        <v>01-1900</v>
      </c>
      <c r="D3016" s="10" t="str">
        <f>IFERROR(
   INDEX(tbl_ProduitsRef[Cde_Prdt],MATCH(tbl_Ventes[[#This Row],[Produit]],tbl_ProduitsRef[Produit],0)),
   ""
)</f>
        <v/>
      </c>
      <c r="E3016" s="7">
        <v>0</v>
      </c>
      <c r="F3016" s="7" t="str">
        <f>IFERROR(
   INDEX(tbl_ProduitsRef[Prix Menu],MATCH(tbl_Ventes[[#This Row],[Produit]],tbl_ProduitsRef[Produit],0)),
   ""
)</f>
        <v/>
      </c>
      <c r="G3016" s="7">
        <f>tbl_Ventes[[#This Row],[Qté Vendue]] * IFERROR(_xlfn.XLOOKUP(tbl_Ventes[[#This Row],[Cde_Prdt]], tbl_Produits[Cde_Prdt], tbl_Produits[Prix Menu]), 0)</f>
        <v>0</v>
      </c>
      <c r="H3016" s="7">
        <f>IFERROR(_xlfn.XLOOKUP(tbl_Ventes[[#This Row],[Cde_Prdt]], tbl_Produits[Cde_Prdt], tbl_Produits[Coût Moyen Portion]), 0)</f>
        <v>0</v>
      </c>
      <c r="I3016" s="7">
        <f>tbl_Ventes[[#This Row],[Qté Vendue]] * tbl_Ventes[[#This Row],[CMP_par_portion]]</f>
        <v>0</v>
      </c>
      <c r="J3016" s="7">
        <f>tbl_Ventes[[#This Row],[CA ligne]] - tbl_Ventes[[#This Row],[Coût matière ligne]]</f>
        <v>0</v>
      </c>
      <c r="K3016" s="7" t="str">
        <f>IFERROR(INDEX(tbl_ProduitsRef[Famille], MATCH(tbl_Ventes[[#This Row],[Cde_Prdt]], tbl_Produits[Cde_Prdt], 0)), "")</f>
        <v/>
      </c>
    </row>
    <row r="3017" spans="1:11" x14ac:dyDescent="0.25">
      <c r="A3017" s="5"/>
      <c r="B3017" s="63" t="str">
        <f>IFERROR(TEXT(tbl_Ventes[[#This Row],[Date]],"mm-aaaa"),"")</f>
        <v>01-1900</v>
      </c>
      <c r="D3017" s="10" t="str">
        <f>IFERROR(
   INDEX(tbl_ProduitsRef[Cde_Prdt],MATCH(tbl_Ventes[[#This Row],[Produit]],tbl_ProduitsRef[Produit],0)),
   ""
)</f>
        <v/>
      </c>
      <c r="E3017" s="7">
        <v>0</v>
      </c>
      <c r="F3017" s="7" t="str">
        <f>IFERROR(
   INDEX(tbl_ProduitsRef[Prix Menu],MATCH(tbl_Ventes[[#This Row],[Produit]],tbl_ProduitsRef[Produit],0)),
   ""
)</f>
        <v/>
      </c>
      <c r="G3017" s="7">
        <f>tbl_Ventes[[#This Row],[Qté Vendue]] * IFERROR(_xlfn.XLOOKUP(tbl_Ventes[[#This Row],[Cde_Prdt]], tbl_Produits[Cde_Prdt], tbl_Produits[Prix Menu]), 0)</f>
        <v>0</v>
      </c>
      <c r="H3017" s="7">
        <f>IFERROR(_xlfn.XLOOKUP(tbl_Ventes[[#This Row],[Cde_Prdt]], tbl_Produits[Cde_Prdt], tbl_Produits[Coût Moyen Portion]), 0)</f>
        <v>0</v>
      </c>
      <c r="I3017" s="7">
        <f>tbl_Ventes[[#This Row],[Qté Vendue]] * tbl_Ventes[[#This Row],[CMP_par_portion]]</f>
        <v>0</v>
      </c>
      <c r="J3017" s="7">
        <f>tbl_Ventes[[#This Row],[CA ligne]] - tbl_Ventes[[#This Row],[Coût matière ligne]]</f>
        <v>0</v>
      </c>
      <c r="K3017" s="7" t="str">
        <f>IFERROR(INDEX(tbl_ProduitsRef[Famille], MATCH(tbl_Ventes[[#This Row],[Cde_Prdt]], tbl_Produits[Cde_Prdt], 0)), "")</f>
        <v/>
      </c>
    </row>
    <row r="3018" spans="1:11" x14ac:dyDescent="0.25">
      <c r="A3018" s="5"/>
      <c r="B3018" s="63" t="str">
        <f>IFERROR(TEXT(tbl_Ventes[[#This Row],[Date]],"mm-aaaa"),"")</f>
        <v>01-1900</v>
      </c>
      <c r="D3018" s="10" t="str">
        <f>IFERROR(
   INDEX(tbl_ProduitsRef[Cde_Prdt],MATCH(tbl_Ventes[[#This Row],[Produit]],tbl_ProduitsRef[Produit],0)),
   ""
)</f>
        <v/>
      </c>
      <c r="E3018" s="7">
        <v>0</v>
      </c>
      <c r="F3018" s="7" t="str">
        <f>IFERROR(
   INDEX(tbl_ProduitsRef[Prix Menu],MATCH(tbl_Ventes[[#This Row],[Produit]],tbl_ProduitsRef[Produit],0)),
   ""
)</f>
        <v/>
      </c>
      <c r="G3018" s="7">
        <f>tbl_Ventes[[#This Row],[Qté Vendue]] * IFERROR(_xlfn.XLOOKUP(tbl_Ventes[[#This Row],[Cde_Prdt]], tbl_Produits[Cde_Prdt], tbl_Produits[Prix Menu]), 0)</f>
        <v>0</v>
      </c>
      <c r="H3018" s="7">
        <f>IFERROR(_xlfn.XLOOKUP(tbl_Ventes[[#This Row],[Cde_Prdt]], tbl_Produits[Cde_Prdt], tbl_Produits[Coût Moyen Portion]), 0)</f>
        <v>0</v>
      </c>
      <c r="I3018" s="7">
        <f>tbl_Ventes[[#This Row],[Qté Vendue]] * tbl_Ventes[[#This Row],[CMP_par_portion]]</f>
        <v>0</v>
      </c>
      <c r="J3018" s="7">
        <f>tbl_Ventes[[#This Row],[CA ligne]] - tbl_Ventes[[#This Row],[Coût matière ligne]]</f>
        <v>0</v>
      </c>
      <c r="K3018" s="7" t="str">
        <f>IFERROR(INDEX(tbl_ProduitsRef[Famille], MATCH(tbl_Ventes[[#This Row],[Cde_Prdt]], tbl_Produits[Cde_Prdt], 0)), "")</f>
        <v/>
      </c>
    </row>
    <row r="3019" spans="1:11" x14ac:dyDescent="0.25">
      <c r="A3019" s="5"/>
      <c r="B3019" s="63" t="str">
        <f>IFERROR(TEXT(tbl_Ventes[[#This Row],[Date]],"mm-aaaa"),"")</f>
        <v>01-1900</v>
      </c>
      <c r="D3019" s="10" t="str">
        <f>IFERROR(
   INDEX(tbl_ProduitsRef[Cde_Prdt],MATCH(tbl_Ventes[[#This Row],[Produit]],tbl_ProduitsRef[Produit],0)),
   ""
)</f>
        <v/>
      </c>
      <c r="E3019" s="7">
        <v>0</v>
      </c>
      <c r="F3019" s="7" t="str">
        <f>IFERROR(
   INDEX(tbl_ProduitsRef[Prix Menu],MATCH(tbl_Ventes[[#This Row],[Produit]],tbl_ProduitsRef[Produit],0)),
   ""
)</f>
        <v/>
      </c>
      <c r="G3019" s="7">
        <f>tbl_Ventes[[#This Row],[Qté Vendue]] * IFERROR(_xlfn.XLOOKUP(tbl_Ventes[[#This Row],[Cde_Prdt]], tbl_Produits[Cde_Prdt], tbl_Produits[Prix Menu]), 0)</f>
        <v>0</v>
      </c>
      <c r="H3019" s="7">
        <f>IFERROR(_xlfn.XLOOKUP(tbl_Ventes[[#This Row],[Cde_Prdt]], tbl_Produits[Cde_Prdt], tbl_Produits[Coût Moyen Portion]), 0)</f>
        <v>0</v>
      </c>
      <c r="I3019" s="7">
        <f>tbl_Ventes[[#This Row],[Qté Vendue]] * tbl_Ventes[[#This Row],[CMP_par_portion]]</f>
        <v>0</v>
      </c>
      <c r="J3019" s="7">
        <f>tbl_Ventes[[#This Row],[CA ligne]] - tbl_Ventes[[#This Row],[Coût matière ligne]]</f>
        <v>0</v>
      </c>
      <c r="K3019" s="7" t="str">
        <f>IFERROR(INDEX(tbl_ProduitsRef[Famille], MATCH(tbl_Ventes[[#This Row],[Cde_Prdt]], tbl_Produits[Cde_Prdt], 0)), "")</f>
        <v/>
      </c>
    </row>
    <row r="3020" spans="1:11" x14ac:dyDescent="0.25">
      <c r="A3020" s="5"/>
      <c r="B3020" s="63" t="str">
        <f>IFERROR(TEXT(tbl_Ventes[[#This Row],[Date]],"mm-aaaa"),"")</f>
        <v>01-1900</v>
      </c>
      <c r="D3020" s="10" t="str">
        <f>IFERROR(
   INDEX(tbl_ProduitsRef[Cde_Prdt],MATCH(tbl_Ventes[[#This Row],[Produit]],tbl_ProduitsRef[Produit],0)),
   ""
)</f>
        <v/>
      </c>
      <c r="E3020" s="7">
        <v>0</v>
      </c>
      <c r="F3020" s="7" t="str">
        <f>IFERROR(
   INDEX(tbl_ProduitsRef[Prix Menu],MATCH(tbl_Ventes[[#This Row],[Produit]],tbl_ProduitsRef[Produit],0)),
   ""
)</f>
        <v/>
      </c>
      <c r="G3020" s="7">
        <f>tbl_Ventes[[#This Row],[Qté Vendue]] * IFERROR(_xlfn.XLOOKUP(tbl_Ventes[[#This Row],[Cde_Prdt]], tbl_Produits[Cde_Prdt], tbl_Produits[Prix Menu]), 0)</f>
        <v>0</v>
      </c>
      <c r="H3020" s="7">
        <f>IFERROR(_xlfn.XLOOKUP(tbl_Ventes[[#This Row],[Cde_Prdt]], tbl_Produits[Cde_Prdt], tbl_Produits[Coût Moyen Portion]), 0)</f>
        <v>0</v>
      </c>
      <c r="I3020" s="7">
        <f>tbl_Ventes[[#This Row],[Qté Vendue]] * tbl_Ventes[[#This Row],[CMP_par_portion]]</f>
        <v>0</v>
      </c>
      <c r="J3020" s="7">
        <f>tbl_Ventes[[#This Row],[CA ligne]] - tbl_Ventes[[#This Row],[Coût matière ligne]]</f>
        <v>0</v>
      </c>
      <c r="K3020" s="7" t="str">
        <f>IFERROR(INDEX(tbl_ProduitsRef[Famille], MATCH(tbl_Ventes[[#This Row],[Cde_Prdt]], tbl_Produits[Cde_Prdt], 0)), "")</f>
        <v/>
      </c>
    </row>
    <row r="3021" spans="1:11" x14ac:dyDescent="0.25">
      <c r="A3021" s="5"/>
      <c r="B3021" s="63" t="str">
        <f>IFERROR(TEXT(tbl_Ventes[[#This Row],[Date]],"mm-aaaa"),"")</f>
        <v>01-1900</v>
      </c>
      <c r="D3021" s="10" t="str">
        <f>IFERROR(
   INDEX(tbl_ProduitsRef[Cde_Prdt],MATCH(tbl_Ventes[[#This Row],[Produit]],tbl_ProduitsRef[Produit],0)),
   ""
)</f>
        <v/>
      </c>
      <c r="E3021" s="7">
        <v>0</v>
      </c>
      <c r="F3021" s="7" t="str">
        <f>IFERROR(
   INDEX(tbl_ProduitsRef[Prix Menu],MATCH(tbl_Ventes[[#This Row],[Produit]],tbl_ProduitsRef[Produit],0)),
   ""
)</f>
        <v/>
      </c>
      <c r="G3021" s="7">
        <f>tbl_Ventes[[#This Row],[Qté Vendue]] * IFERROR(_xlfn.XLOOKUP(tbl_Ventes[[#This Row],[Cde_Prdt]], tbl_Produits[Cde_Prdt], tbl_Produits[Prix Menu]), 0)</f>
        <v>0</v>
      </c>
      <c r="H3021" s="7">
        <f>IFERROR(_xlfn.XLOOKUP(tbl_Ventes[[#This Row],[Cde_Prdt]], tbl_Produits[Cde_Prdt], tbl_Produits[Coût Moyen Portion]), 0)</f>
        <v>0</v>
      </c>
      <c r="I3021" s="7">
        <f>tbl_Ventes[[#This Row],[Qté Vendue]] * tbl_Ventes[[#This Row],[CMP_par_portion]]</f>
        <v>0</v>
      </c>
      <c r="J3021" s="7">
        <f>tbl_Ventes[[#This Row],[CA ligne]] - tbl_Ventes[[#This Row],[Coût matière ligne]]</f>
        <v>0</v>
      </c>
      <c r="K3021" s="7" t="str">
        <f>IFERROR(INDEX(tbl_ProduitsRef[Famille], MATCH(tbl_Ventes[[#This Row],[Cde_Prdt]], tbl_Produits[Cde_Prdt], 0)), "")</f>
        <v/>
      </c>
    </row>
    <row r="3022" spans="1:11" x14ac:dyDescent="0.25">
      <c r="A3022" s="5"/>
      <c r="B3022" s="63" t="str">
        <f>IFERROR(TEXT(tbl_Ventes[[#This Row],[Date]],"mm-aaaa"),"")</f>
        <v>01-1900</v>
      </c>
      <c r="D3022" s="10" t="str">
        <f>IFERROR(
   INDEX(tbl_ProduitsRef[Cde_Prdt],MATCH(tbl_Ventes[[#This Row],[Produit]],tbl_ProduitsRef[Produit],0)),
   ""
)</f>
        <v/>
      </c>
      <c r="E3022" s="7">
        <v>0</v>
      </c>
      <c r="F3022" s="7" t="str">
        <f>IFERROR(
   INDEX(tbl_ProduitsRef[Prix Menu],MATCH(tbl_Ventes[[#This Row],[Produit]],tbl_ProduitsRef[Produit],0)),
   ""
)</f>
        <v/>
      </c>
      <c r="G3022" s="7">
        <f>tbl_Ventes[[#This Row],[Qté Vendue]] * IFERROR(_xlfn.XLOOKUP(tbl_Ventes[[#This Row],[Cde_Prdt]], tbl_Produits[Cde_Prdt], tbl_Produits[Prix Menu]), 0)</f>
        <v>0</v>
      </c>
      <c r="H3022" s="7">
        <f>IFERROR(_xlfn.XLOOKUP(tbl_Ventes[[#This Row],[Cde_Prdt]], tbl_Produits[Cde_Prdt], tbl_Produits[Coût Moyen Portion]), 0)</f>
        <v>0</v>
      </c>
      <c r="I3022" s="7">
        <f>tbl_Ventes[[#This Row],[Qté Vendue]] * tbl_Ventes[[#This Row],[CMP_par_portion]]</f>
        <v>0</v>
      </c>
      <c r="J3022" s="7">
        <f>tbl_Ventes[[#This Row],[CA ligne]] - tbl_Ventes[[#This Row],[Coût matière ligne]]</f>
        <v>0</v>
      </c>
      <c r="K3022" s="7" t="str">
        <f>IFERROR(INDEX(tbl_ProduitsRef[Famille], MATCH(tbl_Ventes[[#This Row],[Cde_Prdt]], tbl_Produits[Cde_Prdt], 0)), "")</f>
        <v/>
      </c>
    </row>
    <row r="3023" spans="1:11" x14ac:dyDescent="0.25">
      <c r="A3023" s="5"/>
      <c r="B3023" s="63" t="str">
        <f>IFERROR(TEXT(tbl_Ventes[[#This Row],[Date]],"mm-aaaa"),"")</f>
        <v>01-1900</v>
      </c>
      <c r="D3023" s="10" t="str">
        <f>IFERROR(
   INDEX(tbl_ProduitsRef[Cde_Prdt],MATCH(tbl_Ventes[[#This Row],[Produit]],tbl_ProduitsRef[Produit],0)),
   ""
)</f>
        <v/>
      </c>
      <c r="E3023" s="7">
        <v>0</v>
      </c>
      <c r="F3023" s="7" t="str">
        <f>IFERROR(
   INDEX(tbl_ProduitsRef[Prix Menu],MATCH(tbl_Ventes[[#This Row],[Produit]],tbl_ProduitsRef[Produit],0)),
   ""
)</f>
        <v/>
      </c>
      <c r="G3023" s="7">
        <f>tbl_Ventes[[#This Row],[Qté Vendue]] * IFERROR(_xlfn.XLOOKUP(tbl_Ventes[[#This Row],[Cde_Prdt]], tbl_Produits[Cde_Prdt], tbl_Produits[Prix Menu]), 0)</f>
        <v>0</v>
      </c>
      <c r="H3023" s="7">
        <f>IFERROR(_xlfn.XLOOKUP(tbl_Ventes[[#This Row],[Cde_Prdt]], tbl_Produits[Cde_Prdt], tbl_Produits[Coût Moyen Portion]), 0)</f>
        <v>0</v>
      </c>
      <c r="I3023" s="7">
        <f>tbl_Ventes[[#This Row],[Qté Vendue]] * tbl_Ventes[[#This Row],[CMP_par_portion]]</f>
        <v>0</v>
      </c>
      <c r="J3023" s="7">
        <f>tbl_Ventes[[#This Row],[CA ligne]] - tbl_Ventes[[#This Row],[Coût matière ligne]]</f>
        <v>0</v>
      </c>
      <c r="K3023" s="7" t="str">
        <f>IFERROR(INDEX(tbl_ProduitsRef[Famille], MATCH(tbl_Ventes[[#This Row],[Cde_Prdt]], tbl_Produits[Cde_Prdt], 0)), "")</f>
        <v/>
      </c>
    </row>
    <row r="3024" spans="1:11" x14ac:dyDescent="0.25">
      <c r="A3024" s="5"/>
      <c r="B3024" s="63" t="str">
        <f>IFERROR(TEXT(tbl_Ventes[[#This Row],[Date]],"mm-aaaa"),"")</f>
        <v>01-1900</v>
      </c>
      <c r="D3024" s="10" t="str">
        <f>IFERROR(
   INDEX(tbl_ProduitsRef[Cde_Prdt],MATCH(tbl_Ventes[[#This Row],[Produit]],tbl_ProduitsRef[Produit],0)),
   ""
)</f>
        <v/>
      </c>
      <c r="E3024" s="7">
        <v>0</v>
      </c>
      <c r="F3024" s="7" t="str">
        <f>IFERROR(
   INDEX(tbl_ProduitsRef[Prix Menu],MATCH(tbl_Ventes[[#This Row],[Produit]],tbl_ProduitsRef[Produit],0)),
   ""
)</f>
        <v/>
      </c>
      <c r="G3024" s="7">
        <f>tbl_Ventes[[#This Row],[Qté Vendue]] * IFERROR(_xlfn.XLOOKUP(tbl_Ventes[[#This Row],[Cde_Prdt]], tbl_Produits[Cde_Prdt], tbl_Produits[Prix Menu]), 0)</f>
        <v>0</v>
      </c>
      <c r="H3024" s="7">
        <f>IFERROR(_xlfn.XLOOKUP(tbl_Ventes[[#This Row],[Cde_Prdt]], tbl_Produits[Cde_Prdt], tbl_Produits[Coût Moyen Portion]), 0)</f>
        <v>0</v>
      </c>
      <c r="I3024" s="7">
        <f>tbl_Ventes[[#This Row],[Qté Vendue]] * tbl_Ventes[[#This Row],[CMP_par_portion]]</f>
        <v>0</v>
      </c>
      <c r="J3024" s="7">
        <f>tbl_Ventes[[#This Row],[CA ligne]] - tbl_Ventes[[#This Row],[Coût matière ligne]]</f>
        <v>0</v>
      </c>
      <c r="K3024" s="7" t="str">
        <f>IFERROR(INDEX(tbl_ProduitsRef[Famille], MATCH(tbl_Ventes[[#This Row],[Cde_Prdt]], tbl_Produits[Cde_Prdt], 0)), "")</f>
        <v/>
      </c>
    </row>
    <row r="3025" spans="1:11" x14ac:dyDescent="0.25">
      <c r="A3025" s="5"/>
      <c r="B3025" s="63" t="str">
        <f>IFERROR(TEXT(tbl_Ventes[[#This Row],[Date]],"mm-aaaa"),"")</f>
        <v>01-1900</v>
      </c>
      <c r="D3025" s="10" t="str">
        <f>IFERROR(
   INDEX(tbl_ProduitsRef[Cde_Prdt],MATCH(tbl_Ventes[[#This Row],[Produit]],tbl_ProduitsRef[Produit],0)),
   ""
)</f>
        <v/>
      </c>
      <c r="E3025" s="7">
        <v>0</v>
      </c>
      <c r="F3025" s="7" t="str">
        <f>IFERROR(
   INDEX(tbl_ProduitsRef[Prix Menu],MATCH(tbl_Ventes[[#This Row],[Produit]],tbl_ProduitsRef[Produit],0)),
   ""
)</f>
        <v/>
      </c>
      <c r="G3025" s="7">
        <f>tbl_Ventes[[#This Row],[Qté Vendue]] * IFERROR(_xlfn.XLOOKUP(tbl_Ventes[[#This Row],[Cde_Prdt]], tbl_Produits[Cde_Prdt], tbl_Produits[Prix Menu]), 0)</f>
        <v>0</v>
      </c>
      <c r="H3025" s="7">
        <f>IFERROR(_xlfn.XLOOKUP(tbl_Ventes[[#This Row],[Cde_Prdt]], tbl_Produits[Cde_Prdt], tbl_Produits[Coût Moyen Portion]), 0)</f>
        <v>0</v>
      </c>
      <c r="I3025" s="7">
        <f>tbl_Ventes[[#This Row],[Qté Vendue]] * tbl_Ventes[[#This Row],[CMP_par_portion]]</f>
        <v>0</v>
      </c>
      <c r="J3025" s="7">
        <f>tbl_Ventes[[#This Row],[CA ligne]] - tbl_Ventes[[#This Row],[Coût matière ligne]]</f>
        <v>0</v>
      </c>
      <c r="K3025" s="7" t="str">
        <f>IFERROR(INDEX(tbl_ProduitsRef[Famille], MATCH(tbl_Ventes[[#This Row],[Cde_Prdt]], tbl_Produits[Cde_Prdt], 0)), "")</f>
        <v/>
      </c>
    </row>
    <row r="3026" spans="1:11" x14ac:dyDescent="0.25">
      <c r="A3026" s="5"/>
      <c r="B3026" s="63" t="str">
        <f>IFERROR(TEXT(tbl_Ventes[[#This Row],[Date]],"mm-aaaa"),"")</f>
        <v>01-1900</v>
      </c>
      <c r="D3026" s="10" t="str">
        <f>IFERROR(
   INDEX(tbl_ProduitsRef[Cde_Prdt],MATCH(tbl_Ventes[[#This Row],[Produit]],tbl_ProduitsRef[Produit],0)),
   ""
)</f>
        <v/>
      </c>
      <c r="E3026" s="7">
        <v>0</v>
      </c>
      <c r="F3026" s="7" t="str">
        <f>IFERROR(
   INDEX(tbl_ProduitsRef[Prix Menu],MATCH(tbl_Ventes[[#This Row],[Produit]],tbl_ProduitsRef[Produit],0)),
   ""
)</f>
        <v/>
      </c>
      <c r="G3026" s="7">
        <f>tbl_Ventes[[#This Row],[Qté Vendue]] * IFERROR(_xlfn.XLOOKUP(tbl_Ventes[[#This Row],[Cde_Prdt]], tbl_Produits[Cde_Prdt], tbl_Produits[Prix Menu]), 0)</f>
        <v>0</v>
      </c>
      <c r="H3026" s="7">
        <f>IFERROR(_xlfn.XLOOKUP(tbl_Ventes[[#This Row],[Cde_Prdt]], tbl_Produits[Cde_Prdt], tbl_Produits[Coût Moyen Portion]), 0)</f>
        <v>0</v>
      </c>
      <c r="I3026" s="7">
        <f>tbl_Ventes[[#This Row],[Qté Vendue]] * tbl_Ventes[[#This Row],[CMP_par_portion]]</f>
        <v>0</v>
      </c>
      <c r="J3026" s="7">
        <f>tbl_Ventes[[#This Row],[CA ligne]] - tbl_Ventes[[#This Row],[Coût matière ligne]]</f>
        <v>0</v>
      </c>
      <c r="K3026" s="7" t="str">
        <f>IFERROR(INDEX(tbl_ProduitsRef[Famille], MATCH(tbl_Ventes[[#This Row],[Cde_Prdt]], tbl_Produits[Cde_Prdt], 0)), "")</f>
        <v/>
      </c>
    </row>
    <row r="3027" spans="1:11" x14ac:dyDescent="0.25">
      <c r="A3027" s="5"/>
      <c r="B3027" s="63" t="str">
        <f>IFERROR(TEXT(tbl_Ventes[[#This Row],[Date]],"mm-aaaa"),"")</f>
        <v>01-1900</v>
      </c>
      <c r="D3027" s="10" t="str">
        <f>IFERROR(
   INDEX(tbl_ProduitsRef[Cde_Prdt],MATCH(tbl_Ventes[[#This Row],[Produit]],tbl_ProduitsRef[Produit],0)),
   ""
)</f>
        <v/>
      </c>
      <c r="E3027" s="7">
        <v>0</v>
      </c>
      <c r="F3027" s="7" t="str">
        <f>IFERROR(
   INDEX(tbl_ProduitsRef[Prix Menu],MATCH(tbl_Ventes[[#This Row],[Produit]],tbl_ProduitsRef[Produit],0)),
   ""
)</f>
        <v/>
      </c>
      <c r="G3027" s="7">
        <f>tbl_Ventes[[#This Row],[Qté Vendue]] * IFERROR(_xlfn.XLOOKUP(tbl_Ventes[[#This Row],[Cde_Prdt]], tbl_Produits[Cde_Prdt], tbl_Produits[Prix Menu]), 0)</f>
        <v>0</v>
      </c>
      <c r="H3027" s="7">
        <f>IFERROR(_xlfn.XLOOKUP(tbl_Ventes[[#This Row],[Cde_Prdt]], tbl_Produits[Cde_Prdt], tbl_Produits[Coût Moyen Portion]), 0)</f>
        <v>0</v>
      </c>
      <c r="I3027" s="7">
        <f>tbl_Ventes[[#This Row],[Qté Vendue]] * tbl_Ventes[[#This Row],[CMP_par_portion]]</f>
        <v>0</v>
      </c>
      <c r="J3027" s="7">
        <f>tbl_Ventes[[#This Row],[CA ligne]] - tbl_Ventes[[#This Row],[Coût matière ligne]]</f>
        <v>0</v>
      </c>
      <c r="K3027" s="7" t="str">
        <f>IFERROR(INDEX(tbl_ProduitsRef[Famille], MATCH(tbl_Ventes[[#This Row],[Cde_Prdt]], tbl_Produits[Cde_Prdt], 0)), "")</f>
        <v/>
      </c>
    </row>
    <row r="3028" spans="1:11" x14ac:dyDescent="0.25">
      <c r="A3028" s="5"/>
      <c r="B3028" s="63" t="str">
        <f>IFERROR(TEXT(tbl_Ventes[[#This Row],[Date]],"mm-aaaa"),"")</f>
        <v>01-1900</v>
      </c>
      <c r="D3028" s="10" t="str">
        <f>IFERROR(
   INDEX(tbl_ProduitsRef[Cde_Prdt],MATCH(tbl_Ventes[[#This Row],[Produit]],tbl_ProduitsRef[Produit],0)),
   ""
)</f>
        <v/>
      </c>
      <c r="E3028" s="7">
        <v>0</v>
      </c>
      <c r="F3028" s="7" t="str">
        <f>IFERROR(
   INDEX(tbl_ProduitsRef[Prix Menu],MATCH(tbl_Ventes[[#This Row],[Produit]],tbl_ProduitsRef[Produit],0)),
   ""
)</f>
        <v/>
      </c>
      <c r="G3028" s="7">
        <f>tbl_Ventes[[#This Row],[Qté Vendue]] * IFERROR(_xlfn.XLOOKUP(tbl_Ventes[[#This Row],[Cde_Prdt]], tbl_Produits[Cde_Prdt], tbl_Produits[Prix Menu]), 0)</f>
        <v>0</v>
      </c>
      <c r="H3028" s="7">
        <f>IFERROR(_xlfn.XLOOKUP(tbl_Ventes[[#This Row],[Cde_Prdt]], tbl_Produits[Cde_Prdt], tbl_Produits[Coût Moyen Portion]), 0)</f>
        <v>0</v>
      </c>
      <c r="I3028" s="7">
        <f>tbl_Ventes[[#This Row],[Qté Vendue]] * tbl_Ventes[[#This Row],[CMP_par_portion]]</f>
        <v>0</v>
      </c>
      <c r="J3028" s="7">
        <f>tbl_Ventes[[#This Row],[CA ligne]] - tbl_Ventes[[#This Row],[Coût matière ligne]]</f>
        <v>0</v>
      </c>
      <c r="K3028" s="7" t="str">
        <f>IFERROR(INDEX(tbl_ProduitsRef[Famille], MATCH(tbl_Ventes[[#This Row],[Cde_Prdt]], tbl_Produits[Cde_Prdt], 0)), "")</f>
        <v/>
      </c>
    </row>
    <row r="3029" spans="1:11" x14ac:dyDescent="0.25">
      <c r="A3029" s="5"/>
      <c r="B3029" s="63" t="str">
        <f>IFERROR(TEXT(tbl_Ventes[[#This Row],[Date]],"mm-aaaa"),"")</f>
        <v>01-1900</v>
      </c>
      <c r="D3029" s="10" t="str">
        <f>IFERROR(
   INDEX(tbl_ProduitsRef[Cde_Prdt],MATCH(tbl_Ventes[[#This Row],[Produit]],tbl_ProduitsRef[Produit],0)),
   ""
)</f>
        <v/>
      </c>
      <c r="E3029" s="7">
        <v>0</v>
      </c>
      <c r="F3029" s="7" t="str">
        <f>IFERROR(
   INDEX(tbl_ProduitsRef[Prix Menu],MATCH(tbl_Ventes[[#This Row],[Produit]],tbl_ProduitsRef[Produit],0)),
   ""
)</f>
        <v/>
      </c>
      <c r="G3029" s="7">
        <f>tbl_Ventes[[#This Row],[Qté Vendue]] * IFERROR(_xlfn.XLOOKUP(tbl_Ventes[[#This Row],[Cde_Prdt]], tbl_Produits[Cde_Prdt], tbl_Produits[Prix Menu]), 0)</f>
        <v>0</v>
      </c>
      <c r="H3029" s="7">
        <f>IFERROR(_xlfn.XLOOKUP(tbl_Ventes[[#This Row],[Cde_Prdt]], tbl_Produits[Cde_Prdt], tbl_Produits[Coût Moyen Portion]), 0)</f>
        <v>0</v>
      </c>
      <c r="I3029" s="7">
        <f>tbl_Ventes[[#This Row],[Qté Vendue]] * tbl_Ventes[[#This Row],[CMP_par_portion]]</f>
        <v>0</v>
      </c>
      <c r="J3029" s="7">
        <f>tbl_Ventes[[#This Row],[CA ligne]] - tbl_Ventes[[#This Row],[Coût matière ligne]]</f>
        <v>0</v>
      </c>
      <c r="K3029" s="7" t="str">
        <f>IFERROR(INDEX(tbl_ProduitsRef[Famille], MATCH(tbl_Ventes[[#This Row],[Cde_Prdt]], tbl_Produits[Cde_Prdt], 0)), "")</f>
        <v/>
      </c>
    </row>
    <row r="3030" spans="1:11" x14ac:dyDescent="0.25">
      <c r="A3030" s="5"/>
      <c r="B3030" s="63" t="str">
        <f>IFERROR(TEXT(tbl_Ventes[[#This Row],[Date]],"mm-aaaa"),"")</f>
        <v>01-1900</v>
      </c>
      <c r="D3030" s="10" t="str">
        <f>IFERROR(
   INDEX(tbl_ProduitsRef[Cde_Prdt],MATCH(tbl_Ventes[[#This Row],[Produit]],tbl_ProduitsRef[Produit],0)),
   ""
)</f>
        <v/>
      </c>
      <c r="E3030" s="7">
        <v>0</v>
      </c>
      <c r="F3030" s="7" t="str">
        <f>IFERROR(
   INDEX(tbl_ProduitsRef[Prix Menu],MATCH(tbl_Ventes[[#This Row],[Produit]],tbl_ProduitsRef[Produit],0)),
   ""
)</f>
        <v/>
      </c>
      <c r="G3030" s="7">
        <f>tbl_Ventes[[#This Row],[Qté Vendue]] * IFERROR(_xlfn.XLOOKUP(tbl_Ventes[[#This Row],[Cde_Prdt]], tbl_Produits[Cde_Prdt], tbl_Produits[Prix Menu]), 0)</f>
        <v>0</v>
      </c>
      <c r="H3030" s="7">
        <f>IFERROR(_xlfn.XLOOKUP(tbl_Ventes[[#This Row],[Cde_Prdt]], tbl_Produits[Cde_Prdt], tbl_Produits[Coût Moyen Portion]), 0)</f>
        <v>0</v>
      </c>
      <c r="I3030" s="7">
        <f>tbl_Ventes[[#This Row],[Qté Vendue]] * tbl_Ventes[[#This Row],[CMP_par_portion]]</f>
        <v>0</v>
      </c>
      <c r="J3030" s="7">
        <f>tbl_Ventes[[#This Row],[CA ligne]] - tbl_Ventes[[#This Row],[Coût matière ligne]]</f>
        <v>0</v>
      </c>
      <c r="K3030" s="7" t="str">
        <f>IFERROR(INDEX(tbl_ProduitsRef[Famille], MATCH(tbl_Ventes[[#This Row],[Cde_Prdt]], tbl_Produits[Cde_Prdt], 0)), "")</f>
        <v/>
      </c>
    </row>
    <row r="3031" spans="1:11" x14ac:dyDescent="0.25">
      <c r="A3031" s="5"/>
      <c r="B3031" s="63" t="str">
        <f>IFERROR(TEXT(tbl_Ventes[[#This Row],[Date]],"mm-aaaa"),"")</f>
        <v>01-1900</v>
      </c>
      <c r="D3031" s="10" t="str">
        <f>IFERROR(
   INDEX(tbl_ProduitsRef[Cde_Prdt],MATCH(tbl_Ventes[[#This Row],[Produit]],tbl_ProduitsRef[Produit],0)),
   ""
)</f>
        <v/>
      </c>
      <c r="E3031" s="7">
        <v>0</v>
      </c>
      <c r="F3031" s="7" t="str">
        <f>IFERROR(
   INDEX(tbl_ProduitsRef[Prix Menu],MATCH(tbl_Ventes[[#This Row],[Produit]],tbl_ProduitsRef[Produit],0)),
   ""
)</f>
        <v/>
      </c>
      <c r="G3031" s="7">
        <f>tbl_Ventes[[#This Row],[Qté Vendue]] * IFERROR(_xlfn.XLOOKUP(tbl_Ventes[[#This Row],[Cde_Prdt]], tbl_Produits[Cde_Prdt], tbl_Produits[Prix Menu]), 0)</f>
        <v>0</v>
      </c>
      <c r="H3031" s="7">
        <f>IFERROR(_xlfn.XLOOKUP(tbl_Ventes[[#This Row],[Cde_Prdt]], tbl_Produits[Cde_Prdt], tbl_Produits[Coût Moyen Portion]), 0)</f>
        <v>0</v>
      </c>
      <c r="I3031" s="7">
        <f>tbl_Ventes[[#This Row],[Qté Vendue]] * tbl_Ventes[[#This Row],[CMP_par_portion]]</f>
        <v>0</v>
      </c>
      <c r="J3031" s="7">
        <f>tbl_Ventes[[#This Row],[CA ligne]] - tbl_Ventes[[#This Row],[Coût matière ligne]]</f>
        <v>0</v>
      </c>
      <c r="K3031" s="7" t="str">
        <f>IFERROR(INDEX(tbl_ProduitsRef[Famille], MATCH(tbl_Ventes[[#This Row],[Cde_Prdt]], tbl_Produits[Cde_Prdt], 0)), "")</f>
        <v/>
      </c>
    </row>
    <row r="3032" spans="1:11" x14ac:dyDescent="0.25">
      <c r="A3032" s="5"/>
      <c r="B3032" s="63" t="str">
        <f>IFERROR(TEXT(tbl_Ventes[[#This Row],[Date]],"mm-aaaa"),"")</f>
        <v>01-1900</v>
      </c>
      <c r="D3032" s="10" t="str">
        <f>IFERROR(
   INDEX(tbl_ProduitsRef[Cde_Prdt],MATCH(tbl_Ventes[[#This Row],[Produit]],tbl_ProduitsRef[Produit],0)),
   ""
)</f>
        <v/>
      </c>
      <c r="E3032" s="7">
        <v>0</v>
      </c>
      <c r="F3032" s="7" t="str">
        <f>IFERROR(
   INDEX(tbl_ProduitsRef[Prix Menu],MATCH(tbl_Ventes[[#This Row],[Produit]],tbl_ProduitsRef[Produit],0)),
   ""
)</f>
        <v/>
      </c>
      <c r="G3032" s="7">
        <f>tbl_Ventes[[#This Row],[Qté Vendue]] * IFERROR(_xlfn.XLOOKUP(tbl_Ventes[[#This Row],[Cde_Prdt]], tbl_Produits[Cde_Prdt], tbl_Produits[Prix Menu]), 0)</f>
        <v>0</v>
      </c>
      <c r="H3032" s="7">
        <f>IFERROR(_xlfn.XLOOKUP(tbl_Ventes[[#This Row],[Cde_Prdt]], tbl_Produits[Cde_Prdt], tbl_Produits[Coût Moyen Portion]), 0)</f>
        <v>0</v>
      </c>
      <c r="I3032" s="7">
        <f>tbl_Ventes[[#This Row],[Qté Vendue]] * tbl_Ventes[[#This Row],[CMP_par_portion]]</f>
        <v>0</v>
      </c>
      <c r="J3032" s="7">
        <f>tbl_Ventes[[#This Row],[CA ligne]] - tbl_Ventes[[#This Row],[Coût matière ligne]]</f>
        <v>0</v>
      </c>
      <c r="K3032" s="7" t="str">
        <f>IFERROR(INDEX(tbl_ProduitsRef[Famille], MATCH(tbl_Ventes[[#This Row],[Cde_Prdt]], tbl_Produits[Cde_Prdt], 0)), "")</f>
        <v/>
      </c>
    </row>
    <row r="3033" spans="1:11" x14ac:dyDescent="0.25">
      <c r="A3033" s="5"/>
      <c r="B3033" s="63" t="str">
        <f>IFERROR(TEXT(tbl_Ventes[[#This Row],[Date]],"mm-aaaa"),"")</f>
        <v>01-1900</v>
      </c>
      <c r="D3033" s="10" t="str">
        <f>IFERROR(
   INDEX(tbl_ProduitsRef[Cde_Prdt],MATCH(tbl_Ventes[[#This Row],[Produit]],tbl_ProduitsRef[Produit],0)),
   ""
)</f>
        <v/>
      </c>
      <c r="E3033" s="7">
        <v>0</v>
      </c>
      <c r="F3033" s="7" t="str">
        <f>IFERROR(
   INDEX(tbl_ProduitsRef[Prix Menu],MATCH(tbl_Ventes[[#This Row],[Produit]],tbl_ProduitsRef[Produit],0)),
   ""
)</f>
        <v/>
      </c>
      <c r="G3033" s="7">
        <f>tbl_Ventes[[#This Row],[Qté Vendue]] * IFERROR(_xlfn.XLOOKUP(tbl_Ventes[[#This Row],[Cde_Prdt]], tbl_Produits[Cde_Prdt], tbl_Produits[Prix Menu]), 0)</f>
        <v>0</v>
      </c>
      <c r="H3033" s="7">
        <f>IFERROR(_xlfn.XLOOKUP(tbl_Ventes[[#This Row],[Cde_Prdt]], tbl_Produits[Cde_Prdt], tbl_Produits[Coût Moyen Portion]), 0)</f>
        <v>0</v>
      </c>
      <c r="I3033" s="7">
        <f>tbl_Ventes[[#This Row],[Qté Vendue]] * tbl_Ventes[[#This Row],[CMP_par_portion]]</f>
        <v>0</v>
      </c>
      <c r="J3033" s="7">
        <f>tbl_Ventes[[#This Row],[CA ligne]] - tbl_Ventes[[#This Row],[Coût matière ligne]]</f>
        <v>0</v>
      </c>
      <c r="K3033" s="7" t="str">
        <f>IFERROR(INDEX(tbl_ProduitsRef[Famille], MATCH(tbl_Ventes[[#This Row],[Cde_Prdt]], tbl_Produits[Cde_Prdt], 0)), "")</f>
        <v/>
      </c>
    </row>
    <row r="3034" spans="1:11" x14ac:dyDescent="0.25">
      <c r="A3034" s="5"/>
      <c r="B3034" s="63" t="str">
        <f>IFERROR(TEXT(tbl_Ventes[[#This Row],[Date]],"mm-aaaa"),"")</f>
        <v>01-1900</v>
      </c>
      <c r="D3034" s="10" t="str">
        <f>IFERROR(
   INDEX(tbl_ProduitsRef[Cde_Prdt],MATCH(tbl_Ventes[[#This Row],[Produit]],tbl_ProduitsRef[Produit],0)),
   ""
)</f>
        <v/>
      </c>
      <c r="E3034" s="7">
        <v>0</v>
      </c>
      <c r="F3034" s="7" t="str">
        <f>IFERROR(
   INDEX(tbl_ProduitsRef[Prix Menu],MATCH(tbl_Ventes[[#This Row],[Produit]],tbl_ProduitsRef[Produit],0)),
   ""
)</f>
        <v/>
      </c>
      <c r="G3034" s="7">
        <f>tbl_Ventes[[#This Row],[Qté Vendue]] * IFERROR(_xlfn.XLOOKUP(tbl_Ventes[[#This Row],[Cde_Prdt]], tbl_Produits[Cde_Prdt], tbl_Produits[Prix Menu]), 0)</f>
        <v>0</v>
      </c>
      <c r="H3034" s="7">
        <f>IFERROR(_xlfn.XLOOKUP(tbl_Ventes[[#This Row],[Cde_Prdt]], tbl_Produits[Cde_Prdt], tbl_Produits[Coût Moyen Portion]), 0)</f>
        <v>0</v>
      </c>
      <c r="I3034" s="7">
        <f>tbl_Ventes[[#This Row],[Qté Vendue]] * tbl_Ventes[[#This Row],[CMP_par_portion]]</f>
        <v>0</v>
      </c>
      <c r="J3034" s="7">
        <f>tbl_Ventes[[#This Row],[CA ligne]] - tbl_Ventes[[#This Row],[Coût matière ligne]]</f>
        <v>0</v>
      </c>
      <c r="K3034" s="7" t="str">
        <f>IFERROR(INDEX(tbl_ProduitsRef[Famille], MATCH(tbl_Ventes[[#This Row],[Cde_Prdt]], tbl_Produits[Cde_Prdt], 0)), "")</f>
        <v/>
      </c>
    </row>
    <row r="3035" spans="1:11" x14ac:dyDescent="0.25">
      <c r="A3035" s="5"/>
      <c r="B3035" s="63" t="str">
        <f>IFERROR(TEXT(tbl_Ventes[[#This Row],[Date]],"mm-aaaa"),"")</f>
        <v>01-1900</v>
      </c>
      <c r="D3035" s="10" t="str">
        <f>IFERROR(
   INDEX(tbl_ProduitsRef[Cde_Prdt],MATCH(tbl_Ventes[[#This Row],[Produit]],tbl_ProduitsRef[Produit],0)),
   ""
)</f>
        <v/>
      </c>
      <c r="E3035" s="7">
        <v>0</v>
      </c>
      <c r="F3035" s="7" t="str">
        <f>IFERROR(
   INDEX(tbl_ProduitsRef[Prix Menu],MATCH(tbl_Ventes[[#This Row],[Produit]],tbl_ProduitsRef[Produit],0)),
   ""
)</f>
        <v/>
      </c>
      <c r="G3035" s="7">
        <f>tbl_Ventes[[#This Row],[Qté Vendue]] * IFERROR(_xlfn.XLOOKUP(tbl_Ventes[[#This Row],[Cde_Prdt]], tbl_Produits[Cde_Prdt], tbl_Produits[Prix Menu]), 0)</f>
        <v>0</v>
      </c>
      <c r="H3035" s="7">
        <f>IFERROR(_xlfn.XLOOKUP(tbl_Ventes[[#This Row],[Cde_Prdt]], tbl_Produits[Cde_Prdt], tbl_Produits[Coût Moyen Portion]), 0)</f>
        <v>0</v>
      </c>
      <c r="I3035" s="7">
        <f>tbl_Ventes[[#This Row],[Qté Vendue]] * tbl_Ventes[[#This Row],[CMP_par_portion]]</f>
        <v>0</v>
      </c>
      <c r="J3035" s="7">
        <f>tbl_Ventes[[#This Row],[CA ligne]] - tbl_Ventes[[#This Row],[Coût matière ligne]]</f>
        <v>0</v>
      </c>
      <c r="K3035" s="7" t="str">
        <f>IFERROR(INDEX(tbl_ProduitsRef[Famille], MATCH(tbl_Ventes[[#This Row],[Cde_Prdt]], tbl_Produits[Cde_Prdt], 0)), "")</f>
        <v/>
      </c>
    </row>
    <row r="3036" spans="1:11" x14ac:dyDescent="0.25">
      <c r="A3036" s="5"/>
      <c r="B3036" s="63" t="str">
        <f>IFERROR(TEXT(tbl_Ventes[[#This Row],[Date]],"mm-aaaa"),"")</f>
        <v>01-1900</v>
      </c>
      <c r="D3036" s="10" t="str">
        <f>IFERROR(
   INDEX(tbl_ProduitsRef[Cde_Prdt],MATCH(tbl_Ventes[[#This Row],[Produit]],tbl_ProduitsRef[Produit],0)),
   ""
)</f>
        <v/>
      </c>
      <c r="E3036" s="7">
        <v>0</v>
      </c>
      <c r="F3036" s="7" t="str">
        <f>IFERROR(
   INDEX(tbl_ProduitsRef[Prix Menu],MATCH(tbl_Ventes[[#This Row],[Produit]],tbl_ProduitsRef[Produit],0)),
   ""
)</f>
        <v/>
      </c>
      <c r="G3036" s="7">
        <f>tbl_Ventes[[#This Row],[Qté Vendue]] * IFERROR(_xlfn.XLOOKUP(tbl_Ventes[[#This Row],[Cde_Prdt]], tbl_Produits[Cde_Prdt], tbl_Produits[Prix Menu]), 0)</f>
        <v>0</v>
      </c>
      <c r="H3036" s="7">
        <f>IFERROR(_xlfn.XLOOKUP(tbl_Ventes[[#This Row],[Cde_Prdt]], tbl_Produits[Cde_Prdt], tbl_Produits[Coût Moyen Portion]), 0)</f>
        <v>0</v>
      </c>
      <c r="I3036" s="7">
        <f>tbl_Ventes[[#This Row],[Qté Vendue]] * tbl_Ventes[[#This Row],[CMP_par_portion]]</f>
        <v>0</v>
      </c>
      <c r="J3036" s="7">
        <f>tbl_Ventes[[#This Row],[CA ligne]] - tbl_Ventes[[#This Row],[Coût matière ligne]]</f>
        <v>0</v>
      </c>
      <c r="K3036" s="7" t="str">
        <f>IFERROR(INDEX(tbl_ProduitsRef[Famille], MATCH(tbl_Ventes[[#This Row],[Cde_Prdt]], tbl_Produits[Cde_Prdt], 0)), "")</f>
        <v/>
      </c>
    </row>
    <row r="3037" spans="1:11" x14ac:dyDescent="0.25">
      <c r="A3037" s="5"/>
      <c r="B3037" s="63" t="str">
        <f>IFERROR(TEXT(tbl_Ventes[[#This Row],[Date]],"mm-aaaa"),"")</f>
        <v>01-1900</v>
      </c>
      <c r="D3037" s="10" t="str">
        <f>IFERROR(
   INDEX(tbl_ProduitsRef[Cde_Prdt],MATCH(tbl_Ventes[[#This Row],[Produit]],tbl_ProduitsRef[Produit],0)),
   ""
)</f>
        <v/>
      </c>
      <c r="E3037" s="7">
        <v>0</v>
      </c>
      <c r="F3037" s="7" t="str">
        <f>IFERROR(
   INDEX(tbl_ProduitsRef[Prix Menu],MATCH(tbl_Ventes[[#This Row],[Produit]],tbl_ProduitsRef[Produit],0)),
   ""
)</f>
        <v/>
      </c>
      <c r="G3037" s="7">
        <f>tbl_Ventes[[#This Row],[Qté Vendue]] * IFERROR(_xlfn.XLOOKUP(tbl_Ventes[[#This Row],[Cde_Prdt]], tbl_Produits[Cde_Prdt], tbl_Produits[Prix Menu]), 0)</f>
        <v>0</v>
      </c>
      <c r="H3037" s="7">
        <f>IFERROR(_xlfn.XLOOKUP(tbl_Ventes[[#This Row],[Cde_Prdt]], tbl_Produits[Cde_Prdt], tbl_Produits[Coût Moyen Portion]), 0)</f>
        <v>0</v>
      </c>
      <c r="I3037" s="7">
        <f>tbl_Ventes[[#This Row],[Qté Vendue]] * tbl_Ventes[[#This Row],[CMP_par_portion]]</f>
        <v>0</v>
      </c>
      <c r="J3037" s="7">
        <f>tbl_Ventes[[#This Row],[CA ligne]] - tbl_Ventes[[#This Row],[Coût matière ligne]]</f>
        <v>0</v>
      </c>
      <c r="K3037" s="7" t="str">
        <f>IFERROR(INDEX(tbl_ProduitsRef[Famille], MATCH(tbl_Ventes[[#This Row],[Cde_Prdt]], tbl_Produits[Cde_Prdt], 0)), "")</f>
        <v/>
      </c>
    </row>
    <row r="3038" spans="1:11" x14ac:dyDescent="0.25">
      <c r="A3038" s="5"/>
      <c r="B3038" s="63" t="str">
        <f>IFERROR(TEXT(tbl_Ventes[[#This Row],[Date]],"mm-aaaa"),"")</f>
        <v>01-1900</v>
      </c>
      <c r="D3038" s="10" t="str">
        <f>IFERROR(
   INDEX(tbl_ProduitsRef[Cde_Prdt],MATCH(tbl_Ventes[[#This Row],[Produit]],tbl_ProduitsRef[Produit],0)),
   ""
)</f>
        <v/>
      </c>
      <c r="E3038" s="7">
        <v>0</v>
      </c>
      <c r="F3038" s="7" t="str">
        <f>IFERROR(
   INDEX(tbl_ProduitsRef[Prix Menu],MATCH(tbl_Ventes[[#This Row],[Produit]],tbl_ProduitsRef[Produit],0)),
   ""
)</f>
        <v/>
      </c>
      <c r="G3038" s="7">
        <f>tbl_Ventes[[#This Row],[Qté Vendue]] * IFERROR(_xlfn.XLOOKUP(tbl_Ventes[[#This Row],[Cde_Prdt]], tbl_Produits[Cde_Prdt], tbl_Produits[Prix Menu]), 0)</f>
        <v>0</v>
      </c>
      <c r="H3038" s="7">
        <f>IFERROR(_xlfn.XLOOKUP(tbl_Ventes[[#This Row],[Cde_Prdt]], tbl_Produits[Cde_Prdt], tbl_Produits[Coût Moyen Portion]), 0)</f>
        <v>0</v>
      </c>
      <c r="I3038" s="7">
        <f>tbl_Ventes[[#This Row],[Qté Vendue]] * tbl_Ventes[[#This Row],[CMP_par_portion]]</f>
        <v>0</v>
      </c>
      <c r="J3038" s="7">
        <f>tbl_Ventes[[#This Row],[CA ligne]] - tbl_Ventes[[#This Row],[Coût matière ligne]]</f>
        <v>0</v>
      </c>
      <c r="K3038" s="7" t="str">
        <f>IFERROR(INDEX(tbl_ProduitsRef[Famille], MATCH(tbl_Ventes[[#This Row],[Cde_Prdt]], tbl_Produits[Cde_Prdt], 0)), "")</f>
        <v/>
      </c>
    </row>
    <row r="3039" spans="1:11" x14ac:dyDescent="0.25">
      <c r="A3039" s="5"/>
      <c r="B3039" s="63" t="str">
        <f>IFERROR(TEXT(tbl_Ventes[[#This Row],[Date]],"mm-aaaa"),"")</f>
        <v>01-1900</v>
      </c>
      <c r="D3039" s="10" t="str">
        <f>IFERROR(
   INDEX(tbl_ProduitsRef[Cde_Prdt],MATCH(tbl_Ventes[[#This Row],[Produit]],tbl_ProduitsRef[Produit],0)),
   ""
)</f>
        <v/>
      </c>
      <c r="E3039" s="7">
        <v>0</v>
      </c>
      <c r="F3039" s="7" t="str">
        <f>IFERROR(
   INDEX(tbl_ProduitsRef[Prix Menu],MATCH(tbl_Ventes[[#This Row],[Produit]],tbl_ProduitsRef[Produit],0)),
   ""
)</f>
        <v/>
      </c>
      <c r="G3039" s="7">
        <f>tbl_Ventes[[#This Row],[Qté Vendue]] * IFERROR(_xlfn.XLOOKUP(tbl_Ventes[[#This Row],[Cde_Prdt]], tbl_Produits[Cde_Prdt], tbl_Produits[Prix Menu]), 0)</f>
        <v>0</v>
      </c>
      <c r="H3039" s="7">
        <f>IFERROR(_xlfn.XLOOKUP(tbl_Ventes[[#This Row],[Cde_Prdt]], tbl_Produits[Cde_Prdt], tbl_Produits[Coût Moyen Portion]), 0)</f>
        <v>0</v>
      </c>
      <c r="I3039" s="7">
        <f>tbl_Ventes[[#This Row],[Qté Vendue]] * tbl_Ventes[[#This Row],[CMP_par_portion]]</f>
        <v>0</v>
      </c>
      <c r="J3039" s="7">
        <f>tbl_Ventes[[#This Row],[CA ligne]] - tbl_Ventes[[#This Row],[Coût matière ligne]]</f>
        <v>0</v>
      </c>
      <c r="K3039" s="7" t="str">
        <f>IFERROR(INDEX(tbl_ProduitsRef[Famille], MATCH(tbl_Ventes[[#This Row],[Cde_Prdt]], tbl_Produits[Cde_Prdt], 0)), "")</f>
        <v/>
      </c>
    </row>
    <row r="3040" spans="1:11" x14ac:dyDescent="0.25">
      <c r="A3040" s="5"/>
      <c r="B3040" s="63" t="str">
        <f>IFERROR(TEXT(tbl_Ventes[[#This Row],[Date]],"mm-aaaa"),"")</f>
        <v>01-1900</v>
      </c>
      <c r="D3040" s="10" t="str">
        <f>IFERROR(
   INDEX(tbl_ProduitsRef[Cde_Prdt],MATCH(tbl_Ventes[[#This Row],[Produit]],tbl_ProduitsRef[Produit],0)),
   ""
)</f>
        <v/>
      </c>
      <c r="E3040" s="7">
        <v>0</v>
      </c>
      <c r="F3040" s="7" t="str">
        <f>IFERROR(
   INDEX(tbl_ProduitsRef[Prix Menu],MATCH(tbl_Ventes[[#This Row],[Produit]],tbl_ProduitsRef[Produit],0)),
   ""
)</f>
        <v/>
      </c>
      <c r="G3040" s="7">
        <f>tbl_Ventes[[#This Row],[Qté Vendue]] * IFERROR(_xlfn.XLOOKUP(tbl_Ventes[[#This Row],[Cde_Prdt]], tbl_Produits[Cde_Prdt], tbl_Produits[Prix Menu]), 0)</f>
        <v>0</v>
      </c>
      <c r="H3040" s="7">
        <f>IFERROR(_xlfn.XLOOKUP(tbl_Ventes[[#This Row],[Cde_Prdt]], tbl_Produits[Cde_Prdt], tbl_Produits[Coût Moyen Portion]), 0)</f>
        <v>0</v>
      </c>
      <c r="I3040" s="7">
        <f>tbl_Ventes[[#This Row],[Qté Vendue]] * tbl_Ventes[[#This Row],[CMP_par_portion]]</f>
        <v>0</v>
      </c>
      <c r="J3040" s="7">
        <f>tbl_Ventes[[#This Row],[CA ligne]] - tbl_Ventes[[#This Row],[Coût matière ligne]]</f>
        <v>0</v>
      </c>
      <c r="K3040" s="7" t="str">
        <f>IFERROR(INDEX(tbl_ProduitsRef[Famille], MATCH(tbl_Ventes[[#This Row],[Cde_Prdt]], tbl_Produits[Cde_Prdt], 0)), "")</f>
        <v/>
      </c>
    </row>
    <row r="3041" spans="1:11" x14ac:dyDescent="0.25">
      <c r="A3041" s="5"/>
      <c r="B3041" s="63" t="str">
        <f>IFERROR(TEXT(tbl_Ventes[[#This Row],[Date]],"mm-aaaa"),"")</f>
        <v>01-1900</v>
      </c>
      <c r="D3041" s="10" t="str">
        <f>IFERROR(
   INDEX(tbl_ProduitsRef[Cde_Prdt],MATCH(tbl_Ventes[[#This Row],[Produit]],tbl_ProduitsRef[Produit],0)),
   ""
)</f>
        <v/>
      </c>
      <c r="E3041" s="7">
        <v>0</v>
      </c>
      <c r="F3041" s="7" t="str">
        <f>IFERROR(
   INDEX(tbl_ProduitsRef[Prix Menu],MATCH(tbl_Ventes[[#This Row],[Produit]],tbl_ProduitsRef[Produit],0)),
   ""
)</f>
        <v/>
      </c>
      <c r="G3041" s="7">
        <f>tbl_Ventes[[#This Row],[Qté Vendue]] * IFERROR(_xlfn.XLOOKUP(tbl_Ventes[[#This Row],[Cde_Prdt]], tbl_Produits[Cde_Prdt], tbl_Produits[Prix Menu]), 0)</f>
        <v>0</v>
      </c>
      <c r="H3041" s="7">
        <f>IFERROR(_xlfn.XLOOKUP(tbl_Ventes[[#This Row],[Cde_Prdt]], tbl_Produits[Cde_Prdt], tbl_Produits[Coût Moyen Portion]), 0)</f>
        <v>0</v>
      </c>
      <c r="I3041" s="7">
        <f>tbl_Ventes[[#This Row],[Qté Vendue]] * tbl_Ventes[[#This Row],[CMP_par_portion]]</f>
        <v>0</v>
      </c>
      <c r="J3041" s="7">
        <f>tbl_Ventes[[#This Row],[CA ligne]] - tbl_Ventes[[#This Row],[Coût matière ligne]]</f>
        <v>0</v>
      </c>
      <c r="K3041" s="7" t="str">
        <f>IFERROR(INDEX(tbl_ProduitsRef[Famille], MATCH(tbl_Ventes[[#This Row],[Cde_Prdt]], tbl_Produits[Cde_Prdt], 0)), "")</f>
        <v/>
      </c>
    </row>
    <row r="3042" spans="1:11" x14ac:dyDescent="0.25">
      <c r="A3042" s="5"/>
      <c r="B3042" s="63" t="str">
        <f>IFERROR(TEXT(tbl_Ventes[[#This Row],[Date]],"mm-aaaa"),"")</f>
        <v>01-1900</v>
      </c>
      <c r="D3042" s="10" t="str">
        <f>IFERROR(
   INDEX(tbl_ProduitsRef[Cde_Prdt],MATCH(tbl_Ventes[[#This Row],[Produit]],tbl_ProduitsRef[Produit],0)),
   ""
)</f>
        <v/>
      </c>
      <c r="E3042" s="7">
        <v>0</v>
      </c>
      <c r="F3042" s="7" t="str">
        <f>IFERROR(
   INDEX(tbl_ProduitsRef[Prix Menu],MATCH(tbl_Ventes[[#This Row],[Produit]],tbl_ProduitsRef[Produit],0)),
   ""
)</f>
        <v/>
      </c>
      <c r="G3042" s="7">
        <f>tbl_Ventes[[#This Row],[Qté Vendue]] * IFERROR(_xlfn.XLOOKUP(tbl_Ventes[[#This Row],[Cde_Prdt]], tbl_Produits[Cde_Prdt], tbl_Produits[Prix Menu]), 0)</f>
        <v>0</v>
      </c>
      <c r="H3042" s="7">
        <f>IFERROR(_xlfn.XLOOKUP(tbl_Ventes[[#This Row],[Cde_Prdt]], tbl_Produits[Cde_Prdt], tbl_Produits[Coût Moyen Portion]), 0)</f>
        <v>0</v>
      </c>
      <c r="I3042" s="7">
        <f>tbl_Ventes[[#This Row],[Qté Vendue]] * tbl_Ventes[[#This Row],[CMP_par_portion]]</f>
        <v>0</v>
      </c>
      <c r="J3042" s="7">
        <f>tbl_Ventes[[#This Row],[CA ligne]] - tbl_Ventes[[#This Row],[Coût matière ligne]]</f>
        <v>0</v>
      </c>
      <c r="K3042" s="7" t="str">
        <f>IFERROR(INDEX(tbl_ProduitsRef[Famille], MATCH(tbl_Ventes[[#This Row],[Cde_Prdt]], tbl_Produits[Cde_Prdt], 0)), "")</f>
        <v/>
      </c>
    </row>
    <row r="3043" spans="1:11" x14ac:dyDescent="0.25">
      <c r="A3043" s="5"/>
      <c r="B3043" s="63" t="str">
        <f>IFERROR(TEXT(tbl_Ventes[[#This Row],[Date]],"mm-aaaa"),"")</f>
        <v>01-1900</v>
      </c>
      <c r="D3043" s="10" t="str">
        <f>IFERROR(
   INDEX(tbl_ProduitsRef[Cde_Prdt],MATCH(tbl_Ventes[[#This Row],[Produit]],tbl_ProduitsRef[Produit],0)),
   ""
)</f>
        <v/>
      </c>
      <c r="E3043" s="7">
        <v>0</v>
      </c>
      <c r="F3043" s="7" t="str">
        <f>IFERROR(
   INDEX(tbl_ProduitsRef[Prix Menu],MATCH(tbl_Ventes[[#This Row],[Produit]],tbl_ProduitsRef[Produit],0)),
   ""
)</f>
        <v/>
      </c>
      <c r="G3043" s="7">
        <f>tbl_Ventes[[#This Row],[Qté Vendue]] * IFERROR(_xlfn.XLOOKUP(tbl_Ventes[[#This Row],[Cde_Prdt]], tbl_Produits[Cde_Prdt], tbl_Produits[Prix Menu]), 0)</f>
        <v>0</v>
      </c>
      <c r="H3043" s="7">
        <f>IFERROR(_xlfn.XLOOKUP(tbl_Ventes[[#This Row],[Cde_Prdt]], tbl_Produits[Cde_Prdt], tbl_Produits[Coût Moyen Portion]), 0)</f>
        <v>0</v>
      </c>
      <c r="I3043" s="7">
        <f>tbl_Ventes[[#This Row],[Qté Vendue]] * tbl_Ventes[[#This Row],[CMP_par_portion]]</f>
        <v>0</v>
      </c>
      <c r="J3043" s="7">
        <f>tbl_Ventes[[#This Row],[CA ligne]] - tbl_Ventes[[#This Row],[Coût matière ligne]]</f>
        <v>0</v>
      </c>
      <c r="K3043" s="7" t="str">
        <f>IFERROR(INDEX(tbl_ProduitsRef[Famille], MATCH(tbl_Ventes[[#This Row],[Cde_Prdt]], tbl_Produits[Cde_Prdt], 0)), "")</f>
        <v/>
      </c>
    </row>
    <row r="3044" spans="1:11" x14ac:dyDescent="0.25">
      <c r="A3044" s="5"/>
      <c r="B3044" s="63" t="str">
        <f>IFERROR(TEXT(tbl_Ventes[[#This Row],[Date]],"mm-aaaa"),"")</f>
        <v>01-1900</v>
      </c>
      <c r="D3044" s="10" t="str">
        <f>IFERROR(
   INDEX(tbl_ProduitsRef[Cde_Prdt],MATCH(tbl_Ventes[[#This Row],[Produit]],tbl_ProduitsRef[Produit],0)),
   ""
)</f>
        <v/>
      </c>
      <c r="E3044" s="7">
        <v>0</v>
      </c>
      <c r="F3044" s="7" t="str">
        <f>IFERROR(
   INDEX(tbl_ProduitsRef[Prix Menu],MATCH(tbl_Ventes[[#This Row],[Produit]],tbl_ProduitsRef[Produit],0)),
   ""
)</f>
        <v/>
      </c>
      <c r="G3044" s="7">
        <f>tbl_Ventes[[#This Row],[Qté Vendue]] * IFERROR(_xlfn.XLOOKUP(tbl_Ventes[[#This Row],[Cde_Prdt]], tbl_Produits[Cde_Prdt], tbl_Produits[Prix Menu]), 0)</f>
        <v>0</v>
      </c>
      <c r="H3044" s="7">
        <f>IFERROR(_xlfn.XLOOKUP(tbl_Ventes[[#This Row],[Cde_Prdt]], tbl_Produits[Cde_Prdt], tbl_Produits[Coût Moyen Portion]), 0)</f>
        <v>0</v>
      </c>
      <c r="I3044" s="7">
        <f>tbl_Ventes[[#This Row],[Qté Vendue]] * tbl_Ventes[[#This Row],[CMP_par_portion]]</f>
        <v>0</v>
      </c>
      <c r="J3044" s="7">
        <f>tbl_Ventes[[#This Row],[CA ligne]] - tbl_Ventes[[#This Row],[Coût matière ligne]]</f>
        <v>0</v>
      </c>
      <c r="K3044" s="7" t="str">
        <f>IFERROR(INDEX(tbl_ProduitsRef[Famille], MATCH(tbl_Ventes[[#This Row],[Cde_Prdt]], tbl_Produits[Cde_Prdt], 0)), "")</f>
        <v/>
      </c>
    </row>
    <row r="3045" spans="1:11" x14ac:dyDescent="0.25">
      <c r="A3045" s="5"/>
      <c r="B3045" s="63" t="str">
        <f>IFERROR(TEXT(tbl_Ventes[[#This Row],[Date]],"mm-aaaa"),"")</f>
        <v>01-1900</v>
      </c>
      <c r="D3045" s="10" t="str">
        <f>IFERROR(
   INDEX(tbl_ProduitsRef[Cde_Prdt],MATCH(tbl_Ventes[[#This Row],[Produit]],tbl_ProduitsRef[Produit],0)),
   ""
)</f>
        <v/>
      </c>
      <c r="E3045" s="7">
        <v>0</v>
      </c>
      <c r="F3045" s="7" t="str">
        <f>IFERROR(
   INDEX(tbl_ProduitsRef[Prix Menu],MATCH(tbl_Ventes[[#This Row],[Produit]],tbl_ProduitsRef[Produit],0)),
   ""
)</f>
        <v/>
      </c>
      <c r="G3045" s="7">
        <f>tbl_Ventes[[#This Row],[Qté Vendue]] * IFERROR(_xlfn.XLOOKUP(tbl_Ventes[[#This Row],[Cde_Prdt]], tbl_Produits[Cde_Prdt], tbl_Produits[Prix Menu]), 0)</f>
        <v>0</v>
      </c>
      <c r="H3045" s="7">
        <f>IFERROR(_xlfn.XLOOKUP(tbl_Ventes[[#This Row],[Cde_Prdt]], tbl_Produits[Cde_Prdt], tbl_Produits[Coût Moyen Portion]), 0)</f>
        <v>0</v>
      </c>
      <c r="I3045" s="7">
        <f>tbl_Ventes[[#This Row],[Qté Vendue]] * tbl_Ventes[[#This Row],[CMP_par_portion]]</f>
        <v>0</v>
      </c>
      <c r="J3045" s="7">
        <f>tbl_Ventes[[#This Row],[CA ligne]] - tbl_Ventes[[#This Row],[Coût matière ligne]]</f>
        <v>0</v>
      </c>
      <c r="K3045" s="7" t="str">
        <f>IFERROR(INDEX(tbl_ProduitsRef[Famille], MATCH(tbl_Ventes[[#This Row],[Cde_Prdt]], tbl_Produits[Cde_Prdt], 0)), "")</f>
        <v/>
      </c>
    </row>
    <row r="3046" spans="1:11" x14ac:dyDescent="0.25">
      <c r="A3046" s="5"/>
      <c r="B3046" s="63" t="str">
        <f>IFERROR(TEXT(tbl_Ventes[[#This Row],[Date]],"mm-aaaa"),"")</f>
        <v>01-1900</v>
      </c>
      <c r="D3046" s="10" t="str">
        <f>IFERROR(
   INDEX(tbl_ProduitsRef[Cde_Prdt],MATCH(tbl_Ventes[[#This Row],[Produit]],tbl_ProduitsRef[Produit],0)),
   ""
)</f>
        <v/>
      </c>
      <c r="E3046" s="7">
        <v>0</v>
      </c>
      <c r="F3046" s="7" t="str">
        <f>IFERROR(
   INDEX(tbl_ProduitsRef[Prix Menu],MATCH(tbl_Ventes[[#This Row],[Produit]],tbl_ProduitsRef[Produit],0)),
   ""
)</f>
        <v/>
      </c>
      <c r="G3046" s="7">
        <f>tbl_Ventes[[#This Row],[Qté Vendue]] * IFERROR(_xlfn.XLOOKUP(tbl_Ventes[[#This Row],[Cde_Prdt]], tbl_Produits[Cde_Prdt], tbl_Produits[Prix Menu]), 0)</f>
        <v>0</v>
      </c>
      <c r="H3046" s="7">
        <f>IFERROR(_xlfn.XLOOKUP(tbl_Ventes[[#This Row],[Cde_Prdt]], tbl_Produits[Cde_Prdt], tbl_Produits[Coût Moyen Portion]), 0)</f>
        <v>0</v>
      </c>
      <c r="I3046" s="7">
        <f>tbl_Ventes[[#This Row],[Qté Vendue]] * tbl_Ventes[[#This Row],[CMP_par_portion]]</f>
        <v>0</v>
      </c>
      <c r="J3046" s="7">
        <f>tbl_Ventes[[#This Row],[CA ligne]] - tbl_Ventes[[#This Row],[Coût matière ligne]]</f>
        <v>0</v>
      </c>
      <c r="K3046" s="7" t="str">
        <f>IFERROR(INDEX(tbl_ProduitsRef[Famille], MATCH(tbl_Ventes[[#This Row],[Cde_Prdt]], tbl_Produits[Cde_Prdt], 0)), "")</f>
        <v/>
      </c>
    </row>
    <row r="3047" spans="1:11" x14ac:dyDescent="0.25">
      <c r="A3047" s="5"/>
      <c r="B3047" s="63" t="str">
        <f>IFERROR(TEXT(tbl_Ventes[[#This Row],[Date]],"mm-aaaa"),"")</f>
        <v>01-1900</v>
      </c>
      <c r="D3047" s="10" t="str">
        <f>IFERROR(
   INDEX(tbl_ProduitsRef[Cde_Prdt],MATCH(tbl_Ventes[[#This Row],[Produit]],tbl_ProduitsRef[Produit],0)),
   ""
)</f>
        <v/>
      </c>
      <c r="E3047" s="7">
        <v>0</v>
      </c>
      <c r="F3047" s="7" t="str">
        <f>IFERROR(
   INDEX(tbl_ProduitsRef[Prix Menu],MATCH(tbl_Ventes[[#This Row],[Produit]],tbl_ProduitsRef[Produit],0)),
   ""
)</f>
        <v/>
      </c>
      <c r="G3047" s="7">
        <f>tbl_Ventes[[#This Row],[Qté Vendue]] * IFERROR(_xlfn.XLOOKUP(tbl_Ventes[[#This Row],[Cde_Prdt]], tbl_Produits[Cde_Prdt], tbl_Produits[Prix Menu]), 0)</f>
        <v>0</v>
      </c>
      <c r="H3047" s="7">
        <f>IFERROR(_xlfn.XLOOKUP(tbl_Ventes[[#This Row],[Cde_Prdt]], tbl_Produits[Cde_Prdt], tbl_Produits[Coût Moyen Portion]), 0)</f>
        <v>0</v>
      </c>
      <c r="I3047" s="7">
        <f>tbl_Ventes[[#This Row],[Qté Vendue]] * tbl_Ventes[[#This Row],[CMP_par_portion]]</f>
        <v>0</v>
      </c>
      <c r="J3047" s="7">
        <f>tbl_Ventes[[#This Row],[CA ligne]] - tbl_Ventes[[#This Row],[Coût matière ligne]]</f>
        <v>0</v>
      </c>
      <c r="K3047" s="7" t="str">
        <f>IFERROR(INDEX(tbl_ProduitsRef[Famille], MATCH(tbl_Ventes[[#This Row],[Cde_Prdt]], tbl_Produits[Cde_Prdt], 0)), "")</f>
        <v/>
      </c>
    </row>
    <row r="3048" spans="1:11" x14ac:dyDescent="0.25">
      <c r="A3048" s="5"/>
      <c r="B3048" s="63" t="str">
        <f>IFERROR(TEXT(tbl_Ventes[[#This Row],[Date]],"mm-aaaa"),"")</f>
        <v>01-1900</v>
      </c>
      <c r="D3048" s="10" t="str">
        <f>IFERROR(
   INDEX(tbl_ProduitsRef[Cde_Prdt],MATCH(tbl_Ventes[[#This Row],[Produit]],tbl_ProduitsRef[Produit],0)),
   ""
)</f>
        <v/>
      </c>
      <c r="E3048" s="7">
        <v>0</v>
      </c>
      <c r="F3048" s="7" t="str">
        <f>IFERROR(
   INDEX(tbl_ProduitsRef[Prix Menu],MATCH(tbl_Ventes[[#This Row],[Produit]],tbl_ProduitsRef[Produit],0)),
   ""
)</f>
        <v/>
      </c>
      <c r="G3048" s="7">
        <f>tbl_Ventes[[#This Row],[Qté Vendue]] * IFERROR(_xlfn.XLOOKUP(tbl_Ventes[[#This Row],[Cde_Prdt]], tbl_Produits[Cde_Prdt], tbl_Produits[Prix Menu]), 0)</f>
        <v>0</v>
      </c>
      <c r="H3048" s="7">
        <f>IFERROR(_xlfn.XLOOKUP(tbl_Ventes[[#This Row],[Cde_Prdt]], tbl_Produits[Cde_Prdt], tbl_Produits[Coût Moyen Portion]), 0)</f>
        <v>0</v>
      </c>
      <c r="I3048" s="7">
        <f>tbl_Ventes[[#This Row],[Qté Vendue]] * tbl_Ventes[[#This Row],[CMP_par_portion]]</f>
        <v>0</v>
      </c>
      <c r="J3048" s="7">
        <f>tbl_Ventes[[#This Row],[CA ligne]] - tbl_Ventes[[#This Row],[Coût matière ligne]]</f>
        <v>0</v>
      </c>
      <c r="K3048" s="7" t="str">
        <f>IFERROR(INDEX(tbl_ProduitsRef[Famille], MATCH(tbl_Ventes[[#This Row],[Cde_Prdt]], tbl_Produits[Cde_Prdt], 0)), "")</f>
        <v/>
      </c>
    </row>
    <row r="3049" spans="1:11" x14ac:dyDescent="0.25">
      <c r="A3049" s="5"/>
      <c r="B3049" s="63" t="str">
        <f>IFERROR(TEXT(tbl_Ventes[[#This Row],[Date]],"mm-aaaa"),"")</f>
        <v>01-1900</v>
      </c>
      <c r="D3049" s="10" t="str">
        <f>IFERROR(
   INDEX(tbl_ProduitsRef[Cde_Prdt],MATCH(tbl_Ventes[[#This Row],[Produit]],tbl_ProduitsRef[Produit],0)),
   ""
)</f>
        <v/>
      </c>
      <c r="E3049" s="7">
        <v>0</v>
      </c>
      <c r="F3049" s="7" t="str">
        <f>IFERROR(
   INDEX(tbl_ProduitsRef[Prix Menu],MATCH(tbl_Ventes[[#This Row],[Produit]],tbl_ProduitsRef[Produit],0)),
   ""
)</f>
        <v/>
      </c>
      <c r="G3049" s="7">
        <f>tbl_Ventes[[#This Row],[Qté Vendue]] * IFERROR(_xlfn.XLOOKUP(tbl_Ventes[[#This Row],[Cde_Prdt]], tbl_Produits[Cde_Prdt], tbl_Produits[Prix Menu]), 0)</f>
        <v>0</v>
      </c>
      <c r="H3049" s="7">
        <f>IFERROR(_xlfn.XLOOKUP(tbl_Ventes[[#This Row],[Cde_Prdt]], tbl_Produits[Cde_Prdt], tbl_Produits[Coût Moyen Portion]), 0)</f>
        <v>0</v>
      </c>
      <c r="I3049" s="7">
        <f>tbl_Ventes[[#This Row],[Qté Vendue]] * tbl_Ventes[[#This Row],[CMP_par_portion]]</f>
        <v>0</v>
      </c>
      <c r="J3049" s="7">
        <f>tbl_Ventes[[#This Row],[CA ligne]] - tbl_Ventes[[#This Row],[Coût matière ligne]]</f>
        <v>0</v>
      </c>
      <c r="K3049" s="7" t="str">
        <f>IFERROR(INDEX(tbl_ProduitsRef[Famille], MATCH(tbl_Ventes[[#This Row],[Cde_Prdt]], tbl_Produits[Cde_Prdt], 0)), "")</f>
        <v/>
      </c>
    </row>
    <row r="3050" spans="1:11" x14ac:dyDescent="0.25">
      <c r="A3050" s="5"/>
      <c r="B3050" s="63" t="str">
        <f>IFERROR(TEXT(tbl_Ventes[[#This Row],[Date]],"mm-aaaa"),"")</f>
        <v>01-1900</v>
      </c>
      <c r="D3050" s="10" t="str">
        <f>IFERROR(
   INDEX(tbl_ProduitsRef[Cde_Prdt],MATCH(tbl_Ventes[[#This Row],[Produit]],tbl_ProduitsRef[Produit],0)),
   ""
)</f>
        <v/>
      </c>
      <c r="E3050" s="7">
        <v>0</v>
      </c>
      <c r="F3050" s="7" t="str">
        <f>IFERROR(
   INDEX(tbl_ProduitsRef[Prix Menu],MATCH(tbl_Ventes[[#This Row],[Produit]],tbl_ProduitsRef[Produit],0)),
   ""
)</f>
        <v/>
      </c>
      <c r="G3050" s="7">
        <f>tbl_Ventes[[#This Row],[Qté Vendue]] * IFERROR(_xlfn.XLOOKUP(tbl_Ventes[[#This Row],[Cde_Prdt]], tbl_Produits[Cde_Prdt], tbl_Produits[Prix Menu]), 0)</f>
        <v>0</v>
      </c>
      <c r="H3050" s="7">
        <f>IFERROR(_xlfn.XLOOKUP(tbl_Ventes[[#This Row],[Cde_Prdt]], tbl_Produits[Cde_Prdt], tbl_Produits[Coût Moyen Portion]), 0)</f>
        <v>0</v>
      </c>
      <c r="I3050" s="7">
        <f>tbl_Ventes[[#This Row],[Qté Vendue]] * tbl_Ventes[[#This Row],[CMP_par_portion]]</f>
        <v>0</v>
      </c>
      <c r="J3050" s="7">
        <f>tbl_Ventes[[#This Row],[CA ligne]] - tbl_Ventes[[#This Row],[Coût matière ligne]]</f>
        <v>0</v>
      </c>
      <c r="K3050" s="7" t="str">
        <f>IFERROR(INDEX(tbl_ProduitsRef[Famille], MATCH(tbl_Ventes[[#This Row],[Cde_Prdt]], tbl_Produits[Cde_Prdt], 0)), "")</f>
        <v/>
      </c>
    </row>
    <row r="3051" spans="1:11" x14ac:dyDescent="0.25">
      <c r="A3051" s="5"/>
      <c r="B3051" s="63" t="str">
        <f>IFERROR(TEXT(tbl_Ventes[[#This Row],[Date]],"mm-aaaa"),"")</f>
        <v>01-1900</v>
      </c>
      <c r="D3051" s="10" t="str">
        <f>IFERROR(
   INDEX(tbl_ProduitsRef[Cde_Prdt],MATCH(tbl_Ventes[[#This Row],[Produit]],tbl_ProduitsRef[Produit],0)),
   ""
)</f>
        <v/>
      </c>
      <c r="E3051" s="7">
        <v>0</v>
      </c>
      <c r="F3051" s="7" t="str">
        <f>IFERROR(
   INDEX(tbl_ProduitsRef[Prix Menu],MATCH(tbl_Ventes[[#This Row],[Produit]],tbl_ProduitsRef[Produit],0)),
   ""
)</f>
        <v/>
      </c>
      <c r="G3051" s="7">
        <f>tbl_Ventes[[#This Row],[Qté Vendue]] * IFERROR(_xlfn.XLOOKUP(tbl_Ventes[[#This Row],[Cde_Prdt]], tbl_Produits[Cde_Prdt], tbl_Produits[Prix Menu]), 0)</f>
        <v>0</v>
      </c>
      <c r="H3051" s="7">
        <f>IFERROR(_xlfn.XLOOKUP(tbl_Ventes[[#This Row],[Cde_Prdt]], tbl_Produits[Cde_Prdt], tbl_Produits[Coût Moyen Portion]), 0)</f>
        <v>0</v>
      </c>
      <c r="I3051" s="7">
        <f>tbl_Ventes[[#This Row],[Qté Vendue]] * tbl_Ventes[[#This Row],[CMP_par_portion]]</f>
        <v>0</v>
      </c>
      <c r="J3051" s="7">
        <f>tbl_Ventes[[#This Row],[CA ligne]] - tbl_Ventes[[#This Row],[Coût matière ligne]]</f>
        <v>0</v>
      </c>
      <c r="K3051" s="7" t="str">
        <f>IFERROR(INDEX(tbl_ProduitsRef[Famille], MATCH(tbl_Ventes[[#This Row],[Cde_Prdt]], tbl_Produits[Cde_Prdt], 0)), "")</f>
        <v/>
      </c>
    </row>
    <row r="3052" spans="1:11" x14ac:dyDescent="0.25">
      <c r="A3052" s="5"/>
      <c r="B3052" s="63" t="str">
        <f>IFERROR(TEXT(tbl_Ventes[[#This Row],[Date]],"mm-aaaa"),"")</f>
        <v>01-1900</v>
      </c>
      <c r="D3052" s="10" t="str">
        <f>IFERROR(
   INDEX(tbl_ProduitsRef[Cde_Prdt],MATCH(tbl_Ventes[[#This Row],[Produit]],tbl_ProduitsRef[Produit],0)),
   ""
)</f>
        <v/>
      </c>
      <c r="E3052" s="7">
        <v>0</v>
      </c>
      <c r="F3052" s="7" t="str">
        <f>IFERROR(
   INDEX(tbl_ProduitsRef[Prix Menu],MATCH(tbl_Ventes[[#This Row],[Produit]],tbl_ProduitsRef[Produit],0)),
   ""
)</f>
        <v/>
      </c>
      <c r="G3052" s="7">
        <f>tbl_Ventes[[#This Row],[Qté Vendue]] * IFERROR(_xlfn.XLOOKUP(tbl_Ventes[[#This Row],[Cde_Prdt]], tbl_Produits[Cde_Prdt], tbl_Produits[Prix Menu]), 0)</f>
        <v>0</v>
      </c>
      <c r="H3052" s="7">
        <f>IFERROR(_xlfn.XLOOKUP(tbl_Ventes[[#This Row],[Cde_Prdt]], tbl_Produits[Cde_Prdt], tbl_Produits[Coût Moyen Portion]), 0)</f>
        <v>0</v>
      </c>
      <c r="I3052" s="7">
        <f>tbl_Ventes[[#This Row],[Qté Vendue]] * tbl_Ventes[[#This Row],[CMP_par_portion]]</f>
        <v>0</v>
      </c>
      <c r="J3052" s="7">
        <f>tbl_Ventes[[#This Row],[CA ligne]] - tbl_Ventes[[#This Row],[Coût matière ligne]]</f>
        <v>0</v>
      </c>
      <c r="K3052" s="7" t="str">
        <f>IFERROR(INDEX(tbl_ProduitsRef[Famille], MATCH(tbl_Ventes[[#This Row],[Cde_Prdt]], tbl_Produits[Cde_Prdt], 0)), "")</f>
        <v/>
      </c>
    </row>
    <row r="3053" spans="1:11" x14ac:dyDescent="0.25">
      <c r="A3053" s="5"/>
      <c r="B3053" s="63" t="str">
        <f>IFERROR(TEXT(tbl_Ventes[[#This Row],[Date]],"mm-aaaa"),"")</f>
        <v>01-1900</v>
      </c>
      <c r="D3053" s="10" t="str">
        <f>IFERROR(
   INDEX(tbl_ProduitsRef[Cde_Prdt],MATCH(tbl_Ventes[[#This Row],[Produit]],tbl_ProduitsRef[Produit],0)),
   ""
)</f>
        <v/>
      </c>
      <c r="E3053" s="7">
        <v>0</v>
      </c>
      <c r="F3053" s="7" t="str">
        <f>IFERROR(
   INDEX(tbl_ProduitsRef[Prix Menu],MATCH(tbl_Ventes[[#This Row],[Produit]],tbl_ProduitsRef[Produit],0)),
   ""
)</f>
        <v/>
      </c>
      <c r="G3053" s="7">
        <f>tbl_Ventes[[#This Row],[Qté Vendue]] * IFERROR(_xlfn.XLOOKUP(tbl_Ventes[[#This Row],[Cde_Prdt]], tbl_Produits[Cde_Prdt], tbl_Produits[Prix Menu]), 0)</f>
        <v>0</v>
      </c>
      <c r="H3053" s="7">
        <f>IFERROR(_xlfn.XLOOKUP(tbl_Ventes[[#This Row],[Cde_Prdt]], tbl_Produits[Cde_Prdt], tbl_Produits[Coût Moyen Portion]), 0)</f>
        <v>0</v>
      </c>
      <c r="I3053" s="7">
        <f>tbl_Ventes[[#This Row],[Qté Vendue]] * tbl_Ventes[[#This Row],[CMP_par_portion]]</f>
        <v>0</v>
      </c>
      <c r="J3053" s="7">
        <f>tbl_Ventes[[#This Row],[CA ligne]] - tbl_Ventes[[#This Row],[Coût matière ligne]]</f>
        <v>0</v>
      </c>
      <c r="K3053" s="7" t="str">
        <f>IFERROR(INDEX(tbl_ProduitsRef[Famille], MATCH(tbl_Ventes[[#This Row],[Cde_Prdt]], tbl_Produits[Cde_Prdt], 0)), "")</f>
        <v/>
      </c>
    </row>
    <row r="3054" spans="1:11" x14ac:dyDescent="0.25">
      <c r="A3054" s="5"/>
      <c r="B3054" s="63" t="str">
        <f>IFERROR(TEXT(tbl_Ventes[[#This Row],[Date]],"mm-aaaa"),"")</f>
        <v>01-1900</v>
      </c>
      <c r="D3054" s="10" t="str">
        <f>IFERROR(
   INDEX(tbl_ProduitsRef[Cde_Prdt],MATCH(tbl_Ventes[[#This Row],[Produit]],tbl_ProduitsRef[Produit],0)),
   ""
)</f>
        <v/>
      </c>
      <c r="E3054" s="7">
        <v>0</v>
      </c>
      <c r="F3054" s="7" t="str">
        <f>IFERROR(
   INDEX(tbl_ProduitsRef[Prix Menu],MATCH(tbl_Ventes[[#This Row],[Produit]],tbl_ProduitsRef[Produit],0)),
   ""
)</f>
        <v/>
      </c>
      <c r="G3054" s="7">
        <f>tbl_Ventes[[#This Row],[Qté Vendue]] * IFERROR(_xlfn.XLOOKUP(tbl_Ventes[[#This Row],[Cde_Prdt]], tbl_Produits[Cde_Prdt], tbl_Produits[Prix Menu]), 0)</f>
        <v>0</v>
      </c>
      <c r="H3054" s="7">
        <f>IFERROR(_xlfn.XLOOKUP(tbl_Ventes[[#This Row],[Cde_Prdt]], tbl_Produits[Cde_Prdt], tbl_Produits[Coût Moyen Portion]), 0)</f>
        <v>0</v>
      </c>
      <c r="I3054" s="7">
        <f>tbl_Ventes[[#This Row],[Qté Vendue]] * tbl_Ventes[[#This Row],[CMP_par_portion]]</f>
        <v>0</v>
      </c>
      <c r="J3054" s="7">
        <f>tbl_Ventes[[#This Row],[CA ligne]] - tbl_Ventes[[#This Row],[Coût matière ligne]]</f>
        <v>0</v>
      </c>
      <c r="K3054" s="7" t="str">
        <f>IFERROR(INDEX(tbl_ProduitsRef[Famille], MATCH(tbl_Ventes[[#This Row],[Cde_Prdt]], tbl_Produits[Cde_Prdt], 0)), "")</f>
        <v/>
      </c>
    </row>
    <row r="3055" spans="1:11" x14ac:dyDescent="0.25">
      <c r="A3055" s="5"/>
      <c r="B3055" s="63" t="str">
        <f>IFERROR(TEXT(tbl_Ventes[[#This Row],[Date]],"mm-aaaa"),"")</f>
        <v>01-1900</v>
      </c>
      <c r="D3055" s="10" t="str">
        <f>IFERROR(
   INDEX(tbl_ProduitsRef[Cde_Prdt],MATCH(tbl_Ventes[[#This Row],[Produit]],tbl_ProduitsRef[Produit],0)),
   ""
)</f>
        <v/>
      </c>
      <c r="E3055" s="7">
        <v>0</v>
      </c>
      <c r="F3055" s="7" t="str">
        <f>IFERROR(
   INDEX(tbl_ProduitsRef[Prix Menu],MATCH(tbl_Ventes[[#This Row],[Produit]],tbl_ProduitsRef[Produit],0)),
   ""
)</f>
        <v/>
      </c>
      <c r="G3055" s="7">
        <f>tbl_Ventes[[#This Row],[Qté Vendue]] * IFERROR(_xlfn.XLOOKUP(tbl_Ventes[[#This Row],[Cde_Prdt]], tbl_Produits[Cde_Prdt], tbl_Produits[Prix Menu]), 0)</f>
        <v>0</v>
      </c>
      <c r="H3055" s="7">
        <f>IFERROR(_xlfn.XLOOKUP(tbl_Ventes[[#This Row],[Cde_Prdt]], tbl_Produits[Cde_Prdt], tbl_Produits[Coût Moyen Portion]), 0)</f>
        <v>0</v>
      </c>
      <c r="I3055" s="7">
        <f>tbl_Ventes[[#This Row],[Qté Vendue]] * tbl_Ventes[[#This Row],[CMP_par_portion]]</f>
        <v>0</v>
      </c>
      <c r="J3055" s="7">
        <f>tbl_Ventes[[#This Row],[CA ligne]] - tbl_Ventes[[#This Row],[Coût matière ligne]]</f>
        <v>0</v>
      </c>
      <c r="K3055" s="7" t="str">
        <f>IFERROR(INDEX(tbl_ProduitsRef[Famille], MATCH(tbl_Ventes[[#This Row],[Cde_Prdt]], tbl_Produits[Cde_Prdt], 0)), "")</f>
        <v/>
      </c>
    </row>
    <row r="3056" spans="1:11" x14ac:dyDescent="0.25">
      <c r="A3056" s="5"/>
      <c r="B3056" s="63" t="str">
        <f>IFERROR(TEXT(tbl_Ventes[[#This Row],[Date]],"mm-aaaa"),"")</f>
        <v>01-1900</v>
      </c>
      <c r="D3056" s="10" t="str">
        <f>IFERROR(
   INDEX(tbl_ProduitsRef[Cde_Prdt],MATCH(tbl_Ventes[[#This Row],[Produit]],tbl_ProduitsRef[Produit],0)),
   ""
)</f>
        <v/>
      </c>
      <c r="E3056" s="7">
        <v>0</v>
      </c>
      <c r="F3056" s="7" t="str">
        <f>IFERROR(
   INDEX(tbl_ProduitsRef[Prix Menu],MATCH(tbl_Ventes[[#This Row],[Produit]],tbl_ProduitsRef[Produit],0)),
   ""
)</f>
        <v/>
      </c>
      <c r="G3056" s="7">
        <f>tbl_Ventes[[#This Row],[Qté Vendue]] * IFERROR(_xlfn.XLOOKUP(tbl_Ventes[[#This Row],[Cde_Prdt]], tbl_Produits[Cde_Prdt], tbl_Produits[Prix Menu]), 0)</f>
        <v>0</v>
      </c>
      <c r="H3056" s="7">
        <f>IFERROR(_xlfn.XLOOKUP(tbl_Ventes[[#This Row],[Cde_Prdt]], tbl_Produits[Cde_Prdt], tbl_Produits[Coût Moyen Portion]), 0)</f>
        <v>0</v>
      </c>
      <c r="I3056" s="7">
        <f>tbl_Ventes[[#This Row],[Qté Vendue]] * tbl_Ventes[[#This Row],[CMP_par_portion]]</f>
        <v>0</v>
      </c>
      <c r="J3056" s="7">
        <f>tbl_Ventes[[#This Row],[CA ligne]] - tbl_Ventes[[#This Row],[Coût matière ligne]]</f>
        <v>0</v>
      </c>
      <c r="K3056" s="7" t="str">
        <f>IFERROR(INDEX(tbl_ProduitsRef[Famille], MATCH(tbl_Ventes[[#This Row],[Cde_Prdt]], tbl_Produits[Cde_Prdt], 0)), "")</f>
        <v/>
      </c>
    </row>
    <row r="3057" spans="1:11" x14ac:dyDescent="0.25">
      <c r="A3057" s="5"/>
      <c r="B3057" s="63" t="str">
        <f>IFERROR(TEXT(tbl_Ventes[[#This Row],[Date]],"mm-aaaa"),"")</f>
        <v>01-1900</v>
      </c>
      <c r="D3057" s="10" t="str">
        <f>IFERROR(
   INDEX(tbl_ProduitsRef[Cde_Prdt],MATCH(tbl_Ventes[[#This Row],[Produit]],tbl_ProduitsRef[Produit],0)),
   ""
)</f>
        <v/>
      </c>
      <c r="E3057" s="7">
        <v>0</v>
      </c>
      <c r="F3057" s="7" t="str">
        <f>IFERROR(
   INDEX(tbl_ProduitsRef[Prix Menu],MATCH(tbl_Ventes[[#This Row],[Produit]],tbl_ProduitsRef[Produit],0)),
   ""
)</f>
        <v/>
      </c>
      <c r="G3057" s="7">
        <f>tbl_Ventes[[#This Row],[Qté Vendue]] * IFERROR(_xlfn.XLOOKUP(tbl_Ventes[[#This Row],[Cde_Prdt]], tbl_Produits[Cde_Prdt], tbl_Produits[Prix Menu]), 0)</f>
        <v>0</v>
      </c>
      <c r="H3057" s="7">
        <f>IFERROR(_xlfn.XLOOKUP(tbl_Ventes[[#This Row],[Cde_Prdt]], tbl_Produits[Cde_Prdt], tbl_Produits[Coût Moyen Portion]), 0)</f>
        <v>0</v>
      </c>
      <c r="I3057" s="7">
        <f>tbl_Ventes[[#This Row],[Qté Vendue]] * tbl_Ventes[[#This Row],[CMP_par_portion]]</f>
        <v>0</v>
      </c>
      <c r="J3057" s="7">
        <f>tbl_Ventes[[#This Row],[CA ligne]] - tbl_Ventes[[#This Row],[Coût matière ligne]]</f>
        <v>0</v>
      </c>
      <c r="K3057" s="7" t="str">
        <f>IFERROR(INDEX(tbl_ProduitsRef[Famille], MATCH(tbl_Ventes[[#This Row],[Cde_Prdt]], tbl_Produits[Cde_Prdt], 0)), "")</f>
        <v/>
      </c>
    </row>
    <row r="3058" spans="1:11" x14ac:dyDescent="0.25">
      <c r="A3058" s="5"/>
      <c r="B3058" s="63" t="str">
        <f>IFERROR(TEXT(tbl_Ventes[[#This Row],[Date]],"mm-aaaa"),"")</f>
        <v>01-1900</v>
      </c>
      <c r="D3058" s="10" t="str">
        <f>IFERROR(
   INDEX(tbl_ProduitsRef[Cde_Prdt],MATCH(tbl_Ventes[[#This Row],[Produit]],tbl_ProduitsRef[Produit],0)),
   ""
)</f>
        <v/>
      </c>
      <c r="E3058" s="7">
        <v>0</v>
      </c>
      <c r="F3058" s="7" t="str">
        <f>IFERROR(
   INDEX(tbl_ProduitsRef[Prix Menu],MATCH(tbl_Ventes[[#This Row],[Produit]],tbl_ProduitsRef[Produit],0)),
   ""
)</f>
        <v/>
      </c>
      <c r="G3058" s="7">
        <f>tbl_Ventes[[#This Row],[Qté Vendue]] * IFERROR(_xlfn.XLOOKUP(tbl_Ventes[[#This Row],[Cde_Prdt]], tbl_Produits[Cde_Prdt], tbl_Produits[Prix Menu]), 0)</f>
        <v>0</v>
      </c>
      <c r="H3058" s="7">
        <f>IFERROR(_xlfn.XLOOKUP(tbl_Ventes[[#This Row],[Cde_Prdt]], tbl_Produits[Cde_Prdt], tbl_Produits[Coût Moyen Portion]), 0)</f>
        <v>0</v>
      </c>
      <c r="I3058" s="7">
        <f>tbl_Ventes[[#This Row],[Qté Vendue]] * tbl_Ventes[[#This Row],[CMP_par_portion]]</f>
        <v>0</v>
      </c>
      <c r="J3058" s="7">
        <f>tbl_Ventes[[#This Row],[CA ligne]] - tbl_Ventes[[#This Row],[Coût matière ligne]]</f>
        <v>0</v>
      </c>
      <c r="K3058" s="7" t="str">
        <f>IFERROR(INDEX(tbl_ProduitsRef[Famille], MATCH(tbl_Ventes[[#This Row],[Cde_Prdt]], tbl_Produits[Cde_Prdt], 0)), "")</f>
        <v/>
      </c>
    </row>
    <row r="3059" spans="1:11" x14ac:dyDescent="0.25">
      <c r="A3059" s="5"/>
      <c r="B3059" s="63" t="str">
        <f>IFERROR(TEXT(tbl_Ventes[[#This Row],[Date]],"mm-aaaa"),"")</f>
        <v>01-1900</v>
      </c>
      <c r="D3059" s="10" t="str">
        <f>IFERROR(
   INDEX(tbl_ProduitsRef[Cde_Prdt],MATCH(tbl_Ventes[[#This Row],[Produit]],tbl_ProduitsRef[Produit],0)),
   ""
)</f>
        <v/>
      </c>
      <c r="E3059" s="7">
        <v>0</v>
      </c>
      <c r="F3059" s="7" t="str">
        <f>IFERROR(
   INDEX(tbl_ProduitsRef[Prix Menu],MATCH(tbl_Ventes[[#This Row],[Produit]],tbl_ProduitsRef[Produit],0)),
   ""
)</f>
        <v/>
      </c>
      <c r="G3059" s="7">
        <f>tbl_Ventes[[#This Row],[Qté Vendue]] * IFERROR(_xlfn.XLOOKUP(tbl_Ventes[[#This Row],[Cde_Prdt]], tbl_Produits[Cde_Prdt], tbl_Produits[Prix Menu]), 0)</f>
        <v>0</v>
      </c>
      <c r="H3059" s="7">
        <f>IFERROR(_xlfn.XLOOKUP(tbl_Ventes[[#This Row],[Cde_Prdt]], tbl_Produits[Cde_Prdt], tbl_Produits[Coût Moyen Portion]), 0)</f>
        <v>0</v>
      </c>
      <c r="I3059" s="7">
        <f>tbl_Ventes[[#This Row],[Qté Vendue]] * tbl_Ventes[[#This Row],[CMP_par_portion]]</f>
        <v>0</v>
      </c>
      <c r="J3059" s="7">
        <f>tbl_Ventes[[#This Row],[CA ligne]] - tbl_Ventes[[#This Row],[Coût matière ligne]]</f>
        <v>0</v>
      </c>
      <c r="K3059" s="7" t="str">
        <f>IFERROR(INDEX(tbl_ProduitsRef[Famille], MATCH(tbl_Ventes[[#This Row],[Cde_Prdt]], tbl_Produits[Cde_Prdt], 0)), "")</f>
        <v/>
      </c>
    </row>
    <row r="3060" spans="1:11" x14ac:dyDescent="0.25">
      <c r="A3060" s="5"/>
      <c r="B3060" s="63" t="str">
        <f>IFERROR(TEXT(tbl_Ventes[[#This Row],[Date]],"mm-aaaa"),"")</f>
        <v>01-1900</v>
      </c>
      <c r="D3060" s="10" t="str">
        <f>IFERROR(
   INDEX(tbl_ProduitsRef[Cde_Prdt],MATCH(tbl_Ventes[[#This Row],[Produit]],tbl_ProduitsRef[Produit],0)),
   ""
)</f>
        <v/>
      </c>
      <c r="E3060" s="7">
        <v>0</v>
      </c>
      <c r="F3060" s="7" t="str">
        <f>IFERROR(
   INDEX(tbl_ProduitsRef[Prix Menu],MATCH(tbl_Ventes[[#This Row],[Produit]],tbl_ProduitsRef[Produit],0)),
   ""
)</f>
        <v/>
      </c>
      <c r="G3060" s="7">
        <f>tbl_Ventes[[#This Row],[Qté Vendue]] * IFERROR(_xlfn.XLOOKUP(tbl_Ventes[[#This Row],[Cde_Prdt]], tbl_Produits[Cde_Prdt], tbl_Produits[Prix Menu]), 0)</f>
        <v>0</v>
      </c>
      <c r="H3060" s="7">
        <f>IFERROR(_xlfn.XLOOKUP(tbl_Ventes[[#This Row],[Cde_Prdt]], tbl_Produits[Cde_Prdt], tbl_Produits[Coût Moyen Portion]), 0)</f>
        <v>0</v>
      </c>
      <c r="I3060" s="7">
        <f>tbl_Ventes[[#This Row],[Qté Vendue]] * tbl_Ventes[[#This Row],[CMP_par_portion]]</f>
        <v>0</v>
      </c>
      <c r="J3060" s="7">
        <f>tbl_Ventes[[#This Row],[CA ligne]] - tbl_Ventes[[#This Row],[Coût matière ligne]]</f>
        <v>0</v>
      </c>
      <c r="K3060" s="7" t="str">
        <f>IFERROR(INDEX(tbl_ProduitsRef[Famille], MATCH(tbl_Ventes[[#This Row],[Cde_Prdt]], tbl_Produits[Cde_Prdt], 0)), "")</f>
        <v/>
      </c>
    </row>
    <row r="3061" spans="1:11" x14ac:dyDescent="0.25">
      <c r="A3061" s="5"/>
      <c r="B3061" s="63" t="str">
        <f>IFERROR(TEXT(tbl_Ventes[[#This Row],[Date]],"mm-aaaa"),"")</f>
        <v>01-1900</v>
      </c>
      <c r="D3061" s="10" t="str">
        <f>IFERROR(
   INDEX(tbl_ProduitsRef[Cde_Prdt],MATCH(tbl_Ventes[[#This Row],[Produit]],tbl_ProduitsRef[Produit],0)),
   ""
)</f>
        <v/>
      </c>
      <c r="E3061" s="7">
        <v>0</v>
      </c>
      <c r="F3061" s="7" t="str">
        <f>IFERROR(
   INDEX(tbl_ProduitsRef[Prix Menu],MATCH(tbl_Ventes[[#This Row],[Produit]],tbl_ProduitsRef[Produit],0)),
   ""
)</f>
        <v/>
      </c>
      <c r="G3061" s="7">
        <f>tbl_Ventes[[#This Row],[Qté Vendue]] * IFERROR(_xlfn.XLOOKUP(tbl_Ventes[[#This Row],[Cde_Prdt]], tbl_Produits[Cde_Prdt], tbl_Produits[Prix Menu]), 0)</f>
        <v>0</v>
      </c>
      <c r="H3061" s="7">
        <f>IFERROR(_xlfn.XLOOKUP(tbl_Ventes[[#This Row],[Cde_Prdt]], tbl_Produits[Cde_Prdt], tbl_Produits[Coût Moyen Portion]), 0)</f>
        <v>0</v>
      </c>
      <c r="I3061" s="7">
        <f>tbl_Ventes[[#This Row],[Qté Vendue]] * tbl_Ventes[[#This Row],[CMP_par_portion]]</f>
        <v>0</v>
      </c>
      <c r="J3061" s="7">
        <f>tbl_Ventes[[#This Row],[CA ligne]] - tbl_Ventes[[#This Row],[Coût matière ligne]]</f>
        <v>0</v>
      </c>
      <c r="K3061" s="7" t="str">
        <f>IFERROR(INDEX(tbl_ProduitsRef[Famille], MATCH(tbl_Ventes[[#This Row],[Cde_Prdt]], tbl_Produits[Cde_Prdt], 0)), "")</f>
        <v/>
      </c>
    </row>
    <row r="3062" spans="1:11" x14ac:dyDescent="0.25">
      <c r="A3062" s="5"/>
      <c r="B3062" s="63" t="str">
        <f>IFERROR(TEXT(tbl_Ventes[[#This Row],[Date]],"mm-aaaa"),"")</f>
        <v>01-1900</v>
      </c>
      <c r="D3062" s="10" t="str">
        <f>IFERROR(
   INDEX(tbl_ProduitsRef[Cde_Prdt],MATCH(tbl_Ventes[[#This Row],[Produit]],tbl_ProduitsRef[Produit],0)),
   ""
)</f>
        <v/>
      </c>
      <c r="E3062" s="7">
        <v>0</v>
      </c>
      <c r="F3062" s="7" t="str">
        <f>IFERROR(
   INDEX(tbl_ProduitsRef[Prix Menu],MATCH(tbl_Ventes[[#This Row],[Produit]],tbl_ProduitsRef[Produit],0)),
   ""
)</f>
        <v/>
      </c>
      <c r="G3062" s="7">
        <f>tbl_Ventes[[#This Row],[Qté Vendue]] * IFERROR(_xlfn.XLOOKUP(tbl_Ventes[[#This Row],[Cde_Prdt]], tbl_Produits[Cde_Prdt], tbl_Produits[Prix Menu]), 0)</f>
        <v>0</v>
      </c>
      <c r="H3062" s="7">
        <f>IFERROR(_xlfn.XLOOKUP(tbl_Ventes[[#This Row],[Cde_Prdt]], tbl_Produits[Cde_Prdt], tbl_Produits[Coût Moyen Portion]), 0)</f>
        <v>0</v>
      </c>
      <c r="I3062" s="7">
        <f>tbl_Ventes[[#This Row],[Qté Vendue]] * tbl_Ventes[[#This Row],[CMP_par_portion]]</f>
        <v>0</v>
      </c>
      <c r="J3062" s="7">
        <f>tbl_Ventes[[#This Row],[CA ligne]] - tbl_Ventes[[#This Row],[Coût matière ligne]]</f>
        <v>0</v>
      </c>
      <c r="K3062" s="7" t="str">
        <f>IFERROR(INDEX(tbl_ProduitsRef[Famille], MATCH(tbl_Ventes[[#This Row],[Cde_Prdt]], tbl_Produits[Cde_Prdt], 0)), "")</f>
        <v/>
      </c>
    </row>
    <row r="3063" spans="1:11" x14ac:dyDescent="0.25">
      <c r="A3063" s="5"/>
      <c r="B3063" s="63" t="str">
        <f>IFERROR(TEXT(tbl_Ventes[[#This Row],[Date]],"mm-aaaa"),"")</f>
        <v>01-1900</v>
      </c>
      <c r="D3063" s="10" t="str">
        <f>IFERROR(
   INDEX(tbl_ProduitsRef[Cde_Prdt],MATCH(tbl_Ventes[[#This Row],[Produit]],tbl_ProduitsRef[Produit],0)),
   ""
)</f>
        <v/>
      </c>
      <c r="E3063" s="7">
        <v>0</v>
      </c>
      <c r="F3063" s="7" t="str">
        <f>IFERROR(
   INDEX(tbl_ProduitsRef[Prix Menu],MATCH(tbl_Ventes[[#This Row],[Produit]],tbl_ProduitsRef[Produit],0)),
   ""
)</f>
        <v/>
      </c>
      <c r="G3063" s="7">
        <f>tbl_Ventes[[#This Row],[Qté Vendue]] * IFERROR(_xlfn.XLOOKUP(tbl_Ventes[[#This Row],[Cde_Prdt]], tbl_Produits[Cde_Prdt], tbl_Produits[Prix Menu]), 0)</f>
        <v>0</v>
      </c>
      <c r="H3063" s="7">
        <f>IFERROR(_xlfn.XLOOKUP(tbl_Ventes[[#This Row],[Cde_Prdt]], tbl_Produits[Cde_Prdt], tbl_Produits[Coût Moyen Portion]), 0)</f>
        <v>0</v>
      </c>
      <c r="I3063" s="7">
        <f>tbl_Ventes[[#This Row],[Qté Vendue]] * tbl_Ventes[[#This Row],[CMP_par_portion]]</f>
        <v>0</v>
      </c>
      <c r="J3063" s="7">
        <f>tbl_Ventes[[#This Row],[CA ligne]] - tbl_Ventes[[#This Row],[Coût matière ligne]]</f>
        <v>0</v>
      </c>
      <c r="K3063" s="7" t="str">
        <f>IFERROR(INDEX(tbl_ProduitsRef[Famille], MATCH(tbl_Ventes[[#This Row],[Cde_Prdt]], tbl_Produits[Cde_Prdt], 0)), "")</f>
        <v/>
      </c>
    </row>
    <row r="3064" spans="1:11" x14ac:dyDescent="0.25">
      <c r="A3064" s="5"/>
      <c r="B3064" s="63" t="str">
        <f>IFERROR(TEXT(tbl_Ventes[[#This Row],[Date]],"mm-aaaa"),"")</f>
        <v>01-1900</v>
      </c>
      <c r="D3064" s="10" t="str">
        <f>IFERROR(
   INDEX(tbl_ProduitsRef[Cde_Prdt],MATCH(tbl_Ventes[[#This Row],[Produit]],tbl_ProduitsRef[Produit],0)),
   ""
)</f>
        <v/>
      </c>
      <c r="E3064" s="7">
        <v>0</v>
      </c>
      <c r="F3064" s="7" t="str">
        <f>IFERROR(
   INDEX(tbl_ProduitsRef[Prix Menu],MATCH(tbl_Ventes[[#This Row],[Produit]],tbl_ProduitsRef[Produit],0)),
   ""
)</f>
        <v/>
      </c>
      <c r="G3064" s="7">
        <f>tbl_Ventes[[#This Row],[Qté Vendue]] * IFERROR(_xlfn.XLOOKUP(tbl_Ventes[[#This Row],[Cde_Prdt]], tbl_Produits[Cde_Prdt], tbl_Produits[Prix Menu]), 0)</f>
        <v>0</v>
      </c>
      <c r="H3064" s="7">
        <f>IFERROR(_xlfn.XLOOKUP(tbl_Ventes[[#This Row],[Cde_Prdt]], tbl_Produits[Cde_Prdt], tbl_Produits[Coût Moyen Portion]), 0)</f>
        <v>0</v>
      </c>
      <c r="I3064" s="7">
        <f>tbl_Ventes[[#This Row],[Qté Vendue]] * tbl_Ventes[[#This Row],[CMP_par_portion]]</f>
        <v>0</v>
      </c>
      <c r="J3064" s="7">
        <f>tbl_Ventes[[#This Row],[CA ligne]] - tbl_Ventes[[#This Row],[Coût matière ligne]]</f>
        <v>0</v>
      </c>
      <c r="K3064" s="7" t="str">
        <f>IFERROR(INDEX(tbl_ProduitsRef[Famille], MATCH(tbl_Ventes[[#This Row],[Cde_Prdt]], tbl_Produits[Cde_Prdt], 0)), "")</f>
        <v/>
      </c>
    </row>
    <row r="3065" spans="1:11" x14ac:dyDescent="0.25">
      <c r="A3065" s="5"/>
      <c r="B3065" s="63" t="str">
        <f>IFERROR(TEXT(tbl_Ventes[[#This Row],[Date]],"mm-aaaa"),"")</f>
        <v>01-1900</v>
      </c>
      <c r="D3065" s="10" t="str">
        <f>IFERROR(
   INDEX(tbl_ProduitsRef[Cde_Prdt],MATCH(tbl_Ventes[[#This Row],[Produit]],tbl_ProduitsRef[Produit],0)),
   ""
)</f>
        <v/>
      </c>
      <c r="E3065" s="7">
        <v>0</v>
      </c>
      <c r="F3065" s="7" t="str">
        <f>IFERROR(
   INDEX(tbl_ProduitsRef[Prix Menu],MATCH(tbl_Ventes[[#This Row],[Produit]],tbl_ProduitsRef[Produit],0)),
   ""
)</f>
        <v/>
      </c>
      <c r="G3065" s="7">
        <f>tbl_Ventes[[#This Row],[Qté Vendue]] * IFERROR(_xlfn.XLOOKUP(tbl_Ventes[[#This Row],[Cde_Prdt]], tbl_Produits[Cde_Prdt], tbl_Produits[Prix Menu]), 0)</f>
        <v>0</v>
      </c>
      <c r="H3065" s="7">
        <f>IFERROR(_xlfn.XLOOKUP(tbl_Ventes[[#This Row],[Cde_Prdt]], tbl_Produits[Cde_Prdt], tbl_Produits[Coût Moyen Portion]), 0)</f>
        <v>0</v>
      </c>
      <c r="I3065" s="7">
        <f>tbl_Ventes[[#This Row],[Qté Vendue]] * tbl_Ventes[[#This Row],[CMP_par_portion]]</f>
        <v>0</v>
      </c>
      <c r="J3065" s="7">
        <f>tbl_Ventes[[#This Row],[CA ligne]] - tbl_Ventes[[#This Row],[Coût matière ligne]]</f>
        <v>0</v>
      </c>
      <c r="K3065" s="7" t="str">
        <f>IFERROR(INDEX(tbl_ProduitsRef[Famille], MATCH(tbl_Ventes[[#This Row],[Cde_Prdt]], tbl_Produits[Cde_Prdt], 0)), "")</f>
        <v/>
      </c>
    </row>
    <row r="3066" spans="1:11" x14ac:dyDescent="0.25">
      <c r="A3066" s="5"/>
      <c r="B3066" s="63" t="str">
        <f>IFERROR(TEXT(tbl_Ventes[[#This Row],[Date]],"mm-aaaa"),"")</f>
        <v>01-1900</v>
      </c>
      <c r="D3066" s="10" t="str">
        <f>IFERROR(
   INDEX(tbl_ProduitsRef[Cde_Prdt],MATCH(tbl_Ventes[[#This Row],[Produit]],tbl_ProduitsRef[Produit],0)),
   ""
)</f>
        <v/>
      </c>
      <c r="E3066" s="7">
        <v>0</v>
      </c>
      <c r="F3066" s="7" t="str">
        <f>IFERROR(
   INDEX(tbl_ProduitsRef[Prix Menu],MATCH(tbl_Ventes[[#This Row],[Produit]],tbl_ProduitsRef[Produit],0)),
   ""
)</f>
        <v/>
      </c>
      <c r="G3066" s="7">
        <f>tbl_Ventes[[#This Row],[Qté Vendue]] * IFERROR(_xlfn.XLOOKUP(tbl_Ventes[[#This Row],[Cde_Prdt]], tbl_Produits[Cde_Prdt], tbl_Produits[Prix Menu]), 0)</f>
        <v>0</v>
      </c>
      <c r="H3066" s="7">
        <f>IFERROR(_xlfn.XLOOKUP(tbl_Ventes[[#This Row],[Cde_Prdt]], tbl_Produits[Cde_Prdt], tbl_Produits[Coût Moyen Portion]), 0)</f>
        <v>0</v>
      </c>
      <c r="I3066" s="7">
        <f>tbl_Ventes[[#This Row],[Qté Vendue]] * tbl_Ventes[[#This Row],[CMP_par_portion]]</f>
        <v>0</v>
      </c>
      <c r="J3066" s="7">
        <f>tbl_Ventes[[#This Row],[CA ligne]] - tbl_Ventes[[#This Row],[Coût matière ligne]]</f>
        <v>0</v>
      </c>
      <c r="K3066" s="7" t="str">
        <f>IFERROR(INDEX(tbl_ProduitsRef[Famille], MATCH(tbl_Ventes[[#This Row],[Cde_Prdt]], tbl_Produits[Cde_Prdt], 0)), "")</f>
        <v/>
      </c>
    </row>
    <row r="3067" spans="1:11" x14ac:dyDescent="0.25">
      <c r="A3067" s="5"/>
      <c r="B3067" s="63" t="str">
        <f>IFERROR(TEXT(tbl_Ventes[[#This Row],[Date]],"mm-aaaa"),"")</f>
        <v>01-1900</v>
      </c>
      <c r="D3067" s="10" t="str">
        <f>IFERROR(
   INDEX(tbl_ProduitsRef[Cde_Prdt],MATCH(tbl_Ventes[[#This Row],[Produit]],tbl_ProduitsRef[Produit],0)),
   ""
)</f>
        <v/>
      </c>
      <c r="E3067" s="7">
        <v>0</v>
      </c>
      <c r="F3067" s="7" t="str">
        <f>IFERROR(
   INDEX(tbl_ProduitsRef[Prix Menu],MATCH(tbl_Ventes[[#This Row],[Produit]],tbl_ProduitsRef[Produit],0)),
   ""
)</f>
        <v/>
      </c>
      <c r="G3067" s="7">
        <f>tbl_Ventes[[#This Row],[Qté Vendue]] * IFERROR(_xlfn.XLOOKUP(tbl_Ventes[[#This Row],[Cde_Prdt]], tbl_Produits[Cde_Prdt], tbl_Produits[Prix Menu]), 0)</f>
        <v>0</v>
      </c>
      <c r="H3067" s="7">
        <f>IFERROR(_xlfn.XLOOKUP(tbl_Ventes[[#This Row],[Cde_Prdt]], tbl_Produits[Cde_Prdt], tbl_Produits[Coût Moyen Portion]), 0)</f>
        <v>0</v>
      </c>
      <c r="I3067" s="7">
        <f>tbl_Ventes[[#This Row],[Qté Vendue]] * tbl_Ventes[[#This Row],[CMP_par_portion]]</f>
        <v>0</v>
      </c>
      <c r="J3067" s="7">
        <f>tbl_Ventes[[#This Row],[CA ligne]] - tbl_Ventes[[#This Row],[Coût matière ligne]]</f>
        <v>0</v>
      </c>
      <c r="K3067" s="7" t="str">
        <f>IFERROR(INDEX(tbl_ProduitsRef[Famille], MATCH(tbl_Ventes[[#This Row],[Cde_Prdt]], tbl_Produits[Cde_Prdt], 0)), "")</f>
        <v/>
      </c>
    </row>
    <row r="3068" spans="1:11" x14ac:dyDescent="0.25">
      <c r="A3068" s="5"/>
      <c r="B3068" s="63" t="str">
        <f>IFERROR(TEXT(tbl_Ventes[[#This Row],[Date]],"mm-aaaa"),"")</f>
        <v>01-1900</v>
      </c>
      <c r="D3068" s="10" t="str">
        <f>IFERROR(
   INDEX(tbl_ProduitsRef[Cde_Prdt],MATCH(tbl_Ventes[[#This Row],[Produit]],tbl_ProduitsRef[Produit],0)),
   ""
)</f>
        <v/>
      </c>
      <c r="E3068" s="7">
        <v>0</v>
      </c>
      <c r="F3068" s="7" t="str">
        <f>IFERROR(
   INDEX(tbl_ProduitsRef[Prix Menu],MATCH(tbl_Ventes[[#This Row],[Produit]],tbl_ProduitsRef[Produit],0)),
   ""
)</f>
        <v/>
      </c>
      <c r="G3068" s="7">
        <f>tbl_Ventes[[#This Row],[Qté Vendue]] * IFERROR(_xlfn.XLOOKUP(tbl_Ventes[[#This Row],[Cde_Prdt]], tbl_Produits[Cde_Prdt], tbl_Produits[Prix Menu]), 0)</f>
        <v>0</v>
      </c>
      <c r="H3068" s="7">
        <f>IFERROR(_xlfn.XLOOKUP(tbl_Ventes[[#This Row],[Cde_Prdt]], tbl_Produits[Cde_Prdt], tbl_Produits[Coût Moyen Portion]), 0)</f>
        <v>0</v>
      </c>
      <c r="I3068" s="7">
        <f>tbl_Ventes[[#This Row],[Qté Vendue]] * tbl_Ventes[[#This Row],[CMP_par_portion]]</f>
        <v>0</v>
      </c>
      <c r="J3068" s="7">
        <f>tbl_Ventes[[#This Row],[CA ligne]] - tbl_Ventes[[#This Row],[Coût matière ligne]]</f>
        <v>0</v>
      </c>
      <c r="K3068" s="7" t="str">
        <f>IFERROR(INDEX(tbl_ProduitsRef[Famille], MATCH(tbl_Ventes[[#This Row],[Cde_Prdt]], tbl_Produits[Cde_Prdt], 0)), "")</f>
        <v/>
      </c>
    </row>
    <row r="3069" spans="1:11" x14ac:dyDescent="0.25">
      <c r="A3069" s="5"/>
      <c r="B3069" s="63" t="str">
        <f>IFERROR(TEXT(tbl_Ventes[[#This Row],[Date]],"mm-aaaa"),"")</f>
        <v>01-1900</v>
      </c>
      <c r="D3069" s="10" t="str">
        <f>IFERROR(
   INDEX(tbl_ProduitsRef[Cde_Prdt],MATCH(tbl_Ventes[[#This Row],[Produit]],tbl_ProduitsRef[Produit],0)),
   ""
)</f>
        <v/>
      </c>
      <c r="E3069" s="7">
        <v>0</v>
      </c>
      <c r="F3069" s="7" t="str">
        <f>IFERROR(
   INDEX(tbl_ProduitsRef[Prix Menu],MATCH(tbl_Ventes[[#This Row],[Produit]],tbl_ProduitsRef[Produit],0)),
   ""
)</f>
        <v/>
      </c>
      <c r="G3069" s="7">
        <f>tbl_Ventes[[#This Row],[Qté Vendue]] * IFERROR(_xlfn.XLOOKUP(tbl_Ventes[[#This Row],[Cde_Prdt]], tbl_Produits[Cde_Prdt], tbl_Produits[Prix Menu]), 0)</f>
        <v>0</v>
      </c>
      <c r="H3069" s="7">
        <f>IFERROR(_xlfn.XLOOKUP(tbl_Ventes[[#This Row],[Cde_Prdt]], tbl_Produits[Cde_Prdt], tbl_Produits[Coût Moyen Portion]), 0)</f>
        <v>0</v>
      </c>
      <c r="I3069" s="7">
        <f>tbl_Ventes[[#This Row],[Qté Vendue]] * tbl_Ventes[[#This Row],[CMP_par_portion]]</f>
        <v>0</v>
      </c>
      <c r="J3069" s="7">
        <f>tbl_Ventes[[#This Row],[CA ligne]] - tbl_Ventes[[#This Row],[Coût matière ligne]]</f>
        <v>0</v>
      </c>
      <c r="K3069" s="7" t="str">
        <f>IFERROR(INDEX(tbl_ProduitsRef[Famille], MATCH(tbl_Ventes[[#This Row],[Cde_Prdt]], tbl_Produits[Cde_Prdt], 0)), "")</f>
        <v/>
      </c>
    </row>
    <row r="3070" spans="1:11" x14ac:dyDescent="0.25">
      <c r="A3070" s="5"/>
      <c r="B3070" s="63" t="str">
        <f>IFERROR(TEXT(tbl_Ventes[[#This Row],[Date]],"mm-aaaa"),"")</f>
        <v>01-1900</v>
      </c>
      <c r="D3070" s="10" t="str">
        <f>IFERROR(
   INDEX(tbl_ProduitsRef[Cde_Prdt],MATCH(tbl_Ventes[[#This Row],[Produit]],tbl_ProduitsRef[Produit],0)),
   ""
)</f>
        <v/>
      </c>
      <c r="E3070" s="7">
        <v>0</v>
      </c>
      <c r="F3070" s="7" t="str">
        <f>IFERROR(
   INDEX(tbl_ProduitsRef[Prix Menu],MATCH(tbl_Ventes[[#This Row],[Produit]],tbl_ProduitsRef[Produit],0)),
   ""
)</f>
        <v/>
      </c>
      <c r="G3070" s="7">
        <f>tbl_Ventes[[#This Row],[Qté Vendue]] * IFERROR(_xlfn.XLOOKUP(tbl_Ventes[[#This Row],[Cde_Prdt]], tbl_Produits[Cde_Prdt], tbl_Produits[Prix Menu]), 0)</f>
        <v>0</v>
      </c>
      <c r="H3070" s="7">
        <f>IFERROR(_xlfn.XLOOKUP(tbl_Ventes[[#This Row],[Cde_Prdt]], tbl_Produits[Cde_Prdt], tbl_Produits[Coût Moyen Portion]), 0)</f>
        <v>0</v>
      </c>
      <c r="I3070" s="7">
        <f>tbl_Ventes[[#This Row],[Qté Vendue]] * tbl_Ventes[[#This Row],[CMP_par_portion]]</f>
        <v>0</v>
      </c>
      <c r="J3070" s="7">
        <f>tbl_Ventes[[#This Row],[CA ligne]] - tbl_Ventes[[#This Row],[Coût matière ligne]]</f>
        <v>0</v>
      </c>
      <c r="K3070" s="7" t="str">
        <f>IFERROR(INDEX(tbl_ProduitsRef[Famille], MATCH(tbl_Ventes[[#This Row],[Cde_Prdt]], tbl_Produits[Cde_Prdt], 0)), "")</f>
        <v/>
      </c>
    </row>
    <row r="3071" spans="1:11" x14ac:dyDescent="0.25">
      <c r="A3071" s="5"/>
      <c r="B3071" s="63" t="str">
        <f>IFERROR(TEXT(tbl_Ventes[[#This Row],[Date]],"mm-aaaa"),"")</f>
        <v>01-1900</v>
      </c>
      <c r="D3071" s="10" t="str">
        <f>IFERROR(
   INDEX(tbl_ProduitsRef[Cde_Prdt],MATCH(tbl_Ventes[[#This Row],[Produit]],tbl_ProduitsRef[Produit],0)),
   ""
)</f>
        <v/>
      </c>
      <c r="E3071" s="7">
        <v>0</v>
      </c>
      <c r="F3071" s="7" t="str">
        <f>IFERROR(
   INDEX(tbl_ProduitsRef[Prix Menu],MATCH(tbl_Ventes[[#This Row],[Produit]],tbl_ProduitsRef[Produit],0)),
   ""
)</f>
        <v/>
      </c>
      <c r="G3071" s="7">
        <f>tbl_Ventes[[#This Row],[Qté Vendue]] * IFERROR(_xlfn.XLOOKUP(tbl_Ventes[[#This Row],[Cde_Prdt]], tbl_Produits[Cde_Prdt], tbl_Produits[Prix Menu]), 0)</f>
        <v>0</v>
      </c>
      <c r="H3071" s="7">
        <f>IFERROR(_xlfn.XLOOKUP(tbl_Ventes[[#This Row],[Cde_Prdt]], tbl_Produits[Cde_Prdt], tbl_Produits[Coût Moyen Portion]), 0)</f>
        <v>0</v>
      </c>
      <c r="I3071" s="7">
        <f>tbl_Ventes[[#This Row],[Qté Vendue]] * tbl_Ventes[[#This Row],[CMP_par_portion]]</f>
        <v>0</v>
      </c>
      <c r="J3071" s="7">
        <f>tbl_Ventes[[#This Row],[CA ligne]] - tbl_Ventes[[#This Row],[Coût matière ligne]]</f>
        <v>0</v>
      </c>
      <c r="K3071" s="7" t="str">
        <f>IFERROR(INDEX(tbl_ProduitsRef[Famille], MATCH(tbl_Ventes[[#This Row],[Cde_Prdt]], tbl_Produits[Cde_Prdt], 0)), "")</f>
        <v/>
      </c>
    </row>
    <row r="3072" spans="1:11" x14ac:dyDescent="0.25">
      <c r="A3072" s="5"/>
      <c r="B3072" s="63" t="str">
        <f>IFERROR(TEXT(tbl_Ventes[[#This Row],[Date]],"mm-aaaa"),"")</f>
        <v>01-1900</v>
      </c>
      <c r="D3072" s="10" t="str">
        <f>IFERROR(
   INDEX(tbl_ProduitsRef[Cde_Prdt],MATCH(tbl_Ventes[[#This Row],[Produit]],tbl_ProduitsRef[Produit],0)),
   ""
)</f>
        <v/>
      </c>
      <c r="E3072" s="7">
        <v>0</v>
      </c>
      <c r="F3072" s="7" t="str">
        <f>IFERROR(
   INDEX(tbl_ProduitsRef[Prix Menu],MATCH(tbl_Ventes[[#This Row],[Produit]],tbl_ProduitsRef[Produit],0)),
   ""
)</f>
        <v/>
      </c>
      <c r="G3072" s="7">
        <f>tbl_Ventes[[#This Row],[Qté Vendue]] * IFERROR(_xlfn.XLOOKUP(tbl_Ventes[[#This Row],[Cde_Prdt]], tbl_Produits[Cde_Prdt], tbl_Produits[Prix Menu]), 0)</f>
        <v>0</v>
      </c>
      <c r="H3072" s="7">
        <f>IFERROR(_xlfn.XLOOKUP(tbl_Ventes[[#This Row],[Cde_Prdt]], tbl_Produits[Cde_Prdt], tbl_Produits[Coût Moyen Portion]), 0)</f>
        <v>0</v>
      </c>
      <c r="I3072" s="7">
        <f>tbl_Ventes[[#This Row],[Qté Vendue]] * tbl_Ventes[[#This Row],[CMP_par_portion]]</f>
        <v>0</v>
      </c>
      <c r="J3072" s="7">
        <f>tbl_Ventes[[#This Row],[CA ligne]] - tbl_Ventes[[#This Row],[Coût matière ligne]]</f>
        <v>0</v>
      </c>
      <c r="K3072" s="7" t="str">
        <f>IFERROR(INDEX(tbl_ProduitsRef[Famille], MATCH(tbl_Ventes[[#This Row],[Cde_Prdt]], tbl_Produits[Cde_Prdt], 0)), "")</f>
        <v/>
      </c>
    </row>
    <row r="3073" spans="1:11" x14ac:dyDescent="0.25">
      <c r="A3073" s="5"/>
      <c r="B3073" s="63" t="str">
        <f>IFERROR(TEXT(tbl_Ventes[[#This Row],[Date]],"mm-aaaa"),"")</f>
        <v>01-1900</v>
      </c>
      <c r="D3073" s="10" t="str">
        <f>IFERROR(
   INDEX(tbl_ProduitsRef[Cde_Prdt],MATCH(tbl_Ventes[[#This Row],[Produit]],tbl_ProduitsRef[Produit],0)),
   ""
)</f>
        <v/>
      </c>
      <c r="E3073" s="7">
        <v>0</v>
      </c>
      <c r="F3073" s="7" t="str">
        <f>IFERROR(
   INDEX(tbl_ProduitsRef[Prix Menu],MATCH(tbl_Ventes[[#This Row],[Produit]],tbl_ProduitsRef[Produit],0)),
   ""
)</f>
        <v/>
      </c>
      <c r="G3073" s="7">
        <f>tbl_Ventes[[#This Row],[Qté Vendue]] * IFERROR(_xlfn.XLOOKUP(tbl_Ventes[[#This Row],[Cde_Prdt]], tbl_Produits[Cde_Prdt], tbl_Produits[Prix Menu]), 0)</f>
        <v>0</v>
      </c>
      <c r="H3073" s="7">
        <f>IFERROR(_xlfn.XLOOKUP(tbl_Ventes[[#This Row],[Cde_Prdt]], tbl_Produits[Cde_Prdt], tbl_Produits[Coût Moyen Portion]), 0)</f>
        <v>0</v>
      </c>
      <c r="I3073" s="7">
        <f>tbl_Ventes[[#This Row],[Qté Vendue]] * tbl_Ventes[[#This Row],[CMP_par_portion]]</f>
        <v>0</v>
      </c>
      <c r="J3073" s="7">
        <f>tbl_Ventes[[#This Row],[CA ligne]] - tbl_Ventes[[#This Row],[Coût matière ligne]]</f>
        <v>0</v>
      </c>
      <c r="K3073" s="7" t="str">
        <f>IFERROR(INDEX(tbl_ProduitsRef[Famille], MATCH(tbl_Ventes[[#This Row],[Cde_Prdt]], tbl_Produits[Cde_Prdt], 0)), "")</f>
        <v/>
      </c>
    </row>
    <row r="3074" spans="1:11" x14ac:dyDescent="0.25">
      <c r="A3074" s="5"/>
      <c r="B3074" s="63" t="str">
        <f>IFERROR(TEXT(tbl_Ventes[[#This Row],[Date]],"mm-aaaa"),"")</f>
        <v>01-1900</v>
      </c>
      <c r="D3074" s="10" t="str">
        <f>IFERROR(
   INDEX(tbl_ProduitsRef[Cde_Prdt],MATCH(tbl_Ventes[[#This Row],[Produit]],tbl_ProduitsRef[Produit],0)),
   ""
)</f>
        <v/>
      </c>
      <c r="E3074" s="7">
        <v>0</v>
      </c>
      <c r="F3074" s="7" t="str">
        <f>IFERROR(
   INDEX(tbl_ProduitsRef[Prix Menu],MATCH(tbl_Ventes[[#This Row],[Produit]],tbl_ProduitsRef[Produit],0)),
   ""
)</f>
        <v/>
      </c>
      <c r="G3074" s="7">
        <f>tbl_Ventes[[#This Row],[Qté Vendue]] * IFERROR(_xlfn.XLOOKUP(tbl_Ventes[[#This Row],[Cde_Prdt]], tbl_Produits[Cde_Prdt], tbl_Produits[Prix Menu]), 0)</f>
        <v>0</v>
      </c>
      <c r="H3074" s="7">
        <f>IFERROR(_xlfn.XLOOKUP(tbl_Ventes[[#This Row],[Cde_Prdt]], tbl_Produits[Cde_Prdt], tbl_Produits[Coût Moyen Portion]), 0)</f>
        <v>0</v>
      </c>
      <c r="I3074" s="7">
        <f>tbl_Ventes[[#This Row],[Qté Vendue]] * tbl_Ventes[[#This Row],[CMP_par_portion]]</f>
        <v>0</v>
      </c>
      <c r="J3074" s="7">
        <f>tbl_Ventes[[#This Row],[CA ligne]] - tbl_Ventes[[#This Row],[Coût matière ligne]]</f>
        <v>0</v>
      </c>
      <c r="K3074" s="7" t="str">
        <f>IFERROR(INDEX(tbl_ProduitsRef[Famille], MATCH(tbl_Ventes[[#This Row],[Cde_Prdt]], tbl_Produits[Cde_Prdt], 0)), "")</f>
        <v/>
      </c>
    </row>
    <row r="3075" spans="1:11" x14ac:dyDescent="0.25">
      <c r="A3075" s="5"/>
      <c r="B3075" s="63" t="str">
        <f>IFERROR(TEXT(tbl_Ventes[[#This Row],[Date]],"mm-aaaa"),"")</f>
        <v>01-1900</v>
      </c>
      <c r="D3075" s="10" t="str">
        <f>IFERROR(
   INDEX(tbl_ProduitsRef[Cde_Prdt],MATCH(tbl_Ventes[[#This Row],[Produit]],tbl_ProduitsRef[Produit],0)),
   ""
)</f>
        <v/>
      </c>
      <c r="E3075" s="7">
        <v>0</v>
      </c>
      <c r="F3075" s="7" t="str">
        <f>IFERROR(
   INDEX(tbl_ProduitsRef[Prix Menu],MATCH(tbl_Ventes[[#This Row],[Produit]],tbl_ProduitsRef[Produit],0)),
   ""
)</f>
        <v/>
      </c>
      <c r="G3075" s="7">
        <f>tbl_Ventes[[#This Row],[Qté Vendue]] * IFERROR(_xlfn.XLOOKUP(tbl_Ventes[[#This Row],[Cde_Prdt]], tbl_Produits[Cde_Prdt], tbl_Produits[Prix Menu]), 0)</f>
        <v>0</v>
      </c>
      <c r="H3075" s="7">
        <f>IFERROR(_xlfn.XLOOKUP(tbl_Ventes[[#This Row],[Cde_Prdt]], tbl_Produits[Cde_Prdt], tbl_Produits[Coût Moyen Portion]), 0)</f>
        <v>0</v>
      </c>
      <c r="I3075" s="7">
        <f>tbl_Ventes[[#This Row],[Qté Vendue]] * tbl_Ventes[[#This Row],[CMP_par_portion]]</f>
        <v>0</v>
      </c>
      <c r="J3075" s="7">
        <f>tbl_Ventes[[#This Row],[CA ligne]] - tbl_Ventes[[#This Row],[Coût matière ligne]]</f>
        <v>0</v>
      </c>
      <c r="K3075" s="7" t="str">
        <f>IFERROR(INDEX(tbl_ProduitsRef[Famille], MATCH(tbl_Ventes[[#This Row],[Cde_Prdt]], tbl_Produits[Cde_Prdt], 0)), "")</f>
        <v/>
      </c>
    </row>
    <row r="3076" spans="1:11" x14ac:dyDescent="0.25">
      <c r="A3076" s="5"/>
      <c r="B3076" s="63" t="str">
        <f>IFERROR(TEXT(tbl_Ventes[[#This Row],[Date]],"mm-aaaa"),"")</f>
        <v>01-1900</v>
      </c>
      <c r="D3076" s="10" t="str">
        <f>IFERROR(
   INDEX(tbl_ProduitsRef[Cde_Prdt],MATCH(tbl_Ventes[[#This Row],[Produit]],tbl_ProduitsRef[Produit],0)),
   ""
)</f>
        <v/>
      </c>
      <c r="E3076" s="7">
        <v>0</v>
      </c>
      <c r="F3076" s="7" t="str">
        <f>IFERROR(
   INDEX(tbl_ProduitsRef[Prix Menu],MATCH(tbl_Ventes[[#This Row],[Produit]],tbl_ProduitsRef[Produit],0)),
   ""
)</f>
        <v/>
      </c>
      <c r="G3076" s="7">
        <f>tbl_Ventes[[#This Row],[Qté Vendue]] * IFERROR(_xlfn.XLOOKUP(tbl_Ventes[[#This Row],[Cde_Prdt]], tbl_Produits[Cde_Prdt], tbl_Produits[Prix Menu]), 0)</f>
        <v>0</v>
      </c>
      <c r="H3076" s="7">
        <f>IFERROR(_xlfn.XLOOKUP(tbl_Ventes[[#This Row],[Cde_Prdt]], tbl_Produits[Cde_Prdt], tbl_Produits[Coût Moyen Portion]), 0)</f>
        <v>0</v>
      </c>
      <c r="I3076" s="7">
        <f>tbl_Ventes[[#This Row],[Qté Vendue]] * tbl_Ventes[[#This Row],[CMP_par_portion]]</f>
        <v>0</v>
      </c>
      <c r="J3076" s="7">
        <f>tbl_Ventes[[#This Row],[CA ligne]] - tbl_Ventes[[#This Row],[Coût matière ligne]]</f>
        <v>0</v>
      </c>
      <c r="K3076" s="7" t="str">
        <f>IFERROR(INDEX(tbl_ProduitsRef[Famille], MATCH(tbl_Ventes[[#This Row],[Cde_Prdt]], tbl_Produits[Cde_Prdt], 0)), "")</f>
        <v/>
      </c>
    </row>
    <row r="3077" spans="1:11" x14ac:dyDescent="0.25">
      <c r="A3077" s="5"/>
      <c r="B3077" s="63" t="str">
        <f>IFERROR(TEXT(tbl_Ventes[[#This Row],[Date]],"mm-aaaa"),"")</f>
        <v>01-1900</v>
      </c>
      <c r="D3077" s="10" t="str">
        <f>IFERROR(
   INDEX(tbl_ProduitsRef[Cde_Prdt],MATCH(tbl_Ventes[[#This Row],[Produit]],tbl_ProduitsRef[Produit],0)),
   ""
)</f>
        <v/>
      </c>
      <c r="E3077" s="7">
        <v>0</v>
      </c>
      <c r="F3077" s="7" t="str">
        <f>IFERROR(
   INDEX(tbl_ProduitsRef[Prix Menu],MATCH(tbl_Ventes[[#This Row],[Produit]],tbl_ProduitsRef[Produit],0)),
   ""
)</f>
        <v/>
      </c>
      <c r="G3077" s="7">
        <f>tbl_Ventes[[#This Row],[Qté Vendue]] * IFERROR(_xlfn.XLOOKUP(tbl_Ventes[[#This Row],[Cde_Prdt]], tbl_Produits[Cde_Prdt], tbl_Produits[Prix Menu]), 0)</f>
        <v>0</v>
      </c>
      <c r="H3077" s="7">
        <f>IFERROR(_xlfn.XLOOKUP(tbl_Ventes[[#This Row],[Cde_Prdt]], tbl_Produits[Cde_Prdt], tbl_Produits[Coût Moyen Portion]), 0)</f>
        <v>0</v>
      </c>
      <c r="I3077" s="7">
        <f>tbl_Ventes[[#This Row],[Qté Vendue]] * tbl_Ventes[[#This Row],[CMP_par_portion]]</f>
        <v>0</v>
      </c>
      <c r="J3077" s="7">
        <f>tbl_Ventes[[#This Row],[CA ligne]] - tbl_Ventes[[#This Row],[Coût matière ligne]]</f>
        <v>0</v>
      </c>
      <c r="K3077" s="7" t="str">
        <f>IFERROR(INDEX(tbl_ProduitsRef[Famille], MATCH(tbl_Ventes[[#This Row],[Cde_Prdt]], tbl_Produits[Cde_Prdt], 0)), "")</f>
        <v/>
      </c>
    </row>
    <row r="3078" spans="1:11" x14ac:dyDescent="0.25">
      <c r="A3078" s="5"/>
      <c r="B3078" s="63" t="str">
        <f>IFERROR(TEXT(tbl_Ventes[[#This Row],[Date]],"mm-aaaa"),"")</f>
        <v>01-1900</v>
      </c>
      <c r="D3078" s="10" t="str">
        <f>IFERROR(
   INDEX(tbl_ProduitsRef[Cde_Prdt],MATCH(tbl_Ventes[[#This Row],[Produit]],tbl_ProduitsRef[Produit],0)),
   ""
)</f>
        <v/>
      </c>
      <c r="E3078" s="7">
        <v>0</v>
      </c>
      <c r="F3078" s="7" t="str">
        <f>IFERROR(
   INDEX(tbl_ProduitsRef[Prix Menu],MATCH(tbl_Ventes[[#This Row],[Produit]],tbl_ProduitsRef[Produit],0)),
   ""
)</f>
        <v/>
      </c>
      <c r="G3078" s="7">
        <f>tbl_Ventes[[#This Row],[Qté Vendue]] * IFERROR(_xlfn.XLOOKUP(tbl_Ventes[[#This Row],[Cde_Prdt]], tbl_Produits[Cde_Prdt], tbl_Produits[Prix Menu]), 0)</f>
        <v>0</v>
      </c>
      <c r="H3078" s="7">
        <f>IFERROR(_xlfn.XLOOKUP(tbl_Ventes[[#This Row],[Cde_Prdt]], tbl_Produits[Cde_Prdt], tbl_Produits[Coût Moyen Portion]), 0)</f>
        <v>0</v>
      </c>
      <c r="I3078" s="7">
        <f>tbl_Ventes[[#This Row],[Qté Vendue]] * tbl_Ventes[[#This Row],[CMP_par_portion]]</f>
        <v>0</v>
      </c>
      <c r="J3078" s="7">
        <f>tbl_Ventes[[#This Row],[CA ligne]] - tbl_Ventes[[#This Row],[Coût matière ligne]]</f>
        <v>0</v>
      </c>
      <c r="K3078" s="7" t="str">
        <f>IFERROR(INDEX(tbl_ProduitsRef[Famille], MATCH(tbl_Ventes[[#This Row],[Cde_Prdt]], tbl_Produits[Cde_Prdt], 0)), "")</f>
        <v/>
      </c>
    </row>
    <row r="3079" spans="1:11" x14ac:dyDescent="0.25">
      <c r="A3079" s="5"/>
      <c r="B3079" s="63" t="str">
        <f>IFERROR(TEXT(tbl_Ventes[[#This Row],[Date]],"mm-aaaa"),"")</f>
        <v>01-1900</v>
      </c>
      <c r="D3079" s="10" t="str">
        <f>IFERROR(
   INDEX(tbl_ProduitsRef[Cde_Prdt],MATCH(tbl_Ventes[[#This Row],[Produit]],tbl_ProduitsRef[Produit],0)),
   ""
)</f>
        <v/>
      </c>
      <c r="E3079" s="7">
        <v>0</v>
      </c>
      <c r="F3079" s="7" t="str">
        <f>IFERROR(
   INDEX(tbl_ProduitsRef[Prix Menu],MATCH(tbl_Ventes[[#This Row],[Produit]],tbl_ProduitsRef[Produit],0)),
   ""
)</f>
        <v/>
      </c>
      <c r="G3079" s="7">
        <f>tbl_Ventes[[#This Row],[Qté Vendue]] * IFERROR(_xlfn.XLOOKUP(tbl_Ventes[[#This Row],[Cde_Prdt]], tbl_Produits[Cde_Prdt], tbl_Produits[Prix Menu]), 0)</f>
        <v>0</v>
      </c>
      <c r="H3079" s="7">
        <f>IFERROR(_xlfn.XLOOKUP(tbl_Ventes[[#This Row],[Cde_Prdt]], tbl_Produits[Cde_Prdt], tbl_Produits[Coût Moyen Portion]), 0)</f>
        <v>0</v>
      </c>
      <c r="I3079" s="7">
        <f>tbl_Ventes[[#This Row],[Qté Vendue]] * tbl_Ventes[[#This Row],[CMP_par_portion]]</f>
        <v>0</v>
      </c>
      <c r="J3079" s="7">
        <f>tbl_Ventes[[#This Row],[CA ligne]] - tbl_Ventes[[#This Row],[Coût matière ligne]]</f>
        <v>0</v>
      </c>
      <c r="K3079" s="7" t="str">
        <f>IFERROR(INDEX(tbl_ProduitsRef[Famille], MATCH(tbl_Ventes[[#This Row],[Cde_Prdt]], tbl_Produits[Cde_Prdt], 0)), "")</f>
        <v/>
      </c>
    </row>
    <row r="3080" spans="1:11" x14ac:dyDescent="0.25">
      <c r="A3080" s="5"/>
      <c r="B3080" s="63" t="str">
        <f>IFERROR(TEXT(tbl_Ventes[[#This Row],[Date]],"mm-aaaa"),"")</f>
        <v>01-1900</v>
      </c>
      <c r="D3080" s="10" t="str">
        <f>IFERROR(
   INDEX(tbl_ProduitsRef[Cde_Prdt],MATCH(tbl_Ventes[[#This Row],[Produit]],tbl_ProduitsRef[Produit],0)),
   ""
)</f>
        <v/>
      </c>
      <c r="E3080" s="7">
        <v>0</v>
      </c>
      <c r="F3080" s="7" t="str">
        <f>IFERROR(
   INDEX(tbl_ProduitsRef[Prix Menu],MATCH(tbl_Ventes[[#This Row],[Produit]],tbl_ProduitsRef[Produit],0)),
   ""
)</f>
        <v/>
      </c>
      <c r="G3080" s="7">
        <f>tbl_Ventes[[#This Row],[Qté Vendue]] * IFERROR(_xlfn.XLOOKUP(tbl_Ventes[[#This Row],[Cde_Prdt]], tbl_Produits[Cde_Prdt], tbl_Produits[Prix Menu]), 0)</f>
        <v>0</v>
      </c>
      <c r="H3080" s="7">
        <f>IFERROR(_xlfn.XLOOKUP(tbl_Ventes[[#This Row],[Cde_Prdt]], tbl_Produits[Cde_Prdt], tbl_Produits[Coût Moyen Portion]), 0)</f>
        <v>0</v>
      </c>
      <c r="I3080" s="7">
        <f>tbl_Ventes[[#This Row],[Qté Vendue]] * tbl_Ventes[[#This Row],[CMP_par_portion]]</f>
        <v>0</v>
      </c>
      <c r="J3080" s="7">
        <f>tbl_Ventes[[#This Row],[CA ligne]] - tbl_Ventes[[#This Row],[Coût matière ligne]]</f>
        <v>0</v>
      </c>
      <c r="K3080" s="7" t="str">
        <f>IFERROR(INDEX(tbl_ProduitsRef[Famille], MATCH(tbl_Ventes[[#This Row],[Cde_Prdt]], tbl_Produits[Cde_Prdt], 0)), "")</f>
        <v/>
      </c>
    </row>
    <row r="3081" spans="1:11" x14ac:dyDescent="0.25">
      <c r="A3081" s="5"/>
      <c r="B3081" s="63" t="str">
        <f>IFERROR(TEXT(tbl_Ventes[[#This Row],[Date]],"mm-aaaa"),"")</f>
        <v>01-1900</v>
      </c>
      <c r="D3081" s="10" t="str">
        <f>IFERROR(
   INDEX(tbl_ProduitsRef[Cde_Prdt],MATCH(tbl_Ventes[[#This Row],[Produit]],tbl_ProduitsRef[Produit],0)),
   ""
)</f>
        <v/>
      </c>
      <c r="E3081" s="7">
        <v>0</v>
      </c>
      <c r="F3081" s="7" t="str">
        <f>IFERROR(
   INDEX(tbl_ProduitsRef[Prix Menu],MATCH(tbl_Ventes[[#This Row],[Produit]],tbl_ProduitsRef[Produit],0)),
   ""
)</f>
        <v/>
      </c>
      <c r="G3081" s="7">
        <f>tbl_Ventes[[#This Row],[Qté Vendue]] * IFERROR(_xlfn.XLOOKUP(tbl_Ventes[[#This Row],[Cde_Prdt]], tbl_Produits[Cde_Prdt], tbl_Produits[Prix Menu]), 0)</f>
        <v>0</v>
      </c>
      <c r="H3081" s="7">
        <f>IFERROR(_xlfn.XLOOKUP(tbl_Ventes[[#This Row],[Cde_Prdt]], tbl_Produits[Cde_Prdt], tbl_Produits[Coût Moyen Portion]), 0)</f>
        <v>0</v>
      </c>
      <c r="I3081" s="7">
        <f>tbl_Ventes[[#This Row],[Qté Vendue]] * tbl_Ventes[[#This Row],[CMP_par_portion]]</f>
        <v>0</v>
      </c>
      <c r="J3081" s="7">
        <f>tbl_Ventes[[#This Row],[CA ligne]] - tbl_Ventes[[#This Row],[Coût matière ligne]]</f>
        <v>0</v>
      </c>
      <c r="K3081" s="7" t="str">
        <f>IFERROR(INDEX(tbl_ProduitsRef[Famille], MATCH(tbl_Ventes[[#This Row],[Cde_Prdt]], tbl_Produits[Cde_Prdt], 0)), "")</f>
        <v/>
      </c>
    </row>
    <row r="3082" spans="1:11" x14ac:dyDescent="0.25">
      <c r="A3082" s="5"/>
      <c r="B3082" s="63" t="str">
        <f>IFERROR(TEXT(tbl_Ventes[[#This Row],[Date]],"mm-aaaa"),"")</f>
        <v>01-1900</v>
      </c>
      <c r="D3082" s="10" t="str">
        <f>IFERROR(
   INDEX(tbl_ProduitsRef[Cde_Prdt],MATCH(tbl_Ventes[[#This Row],[Produit]],tbl_ProduitsRef[Produit],0)),
   ""
)</f>
        <v/>
      </c>
      <c r="E3082" s="7">
        <v>0</v>
      </c>
      <c r="F3082" s="7" t="str">
        <f>IFERROR(
   INDEX(tbl_ProduitsRef[Prix Menu],MATCH(tbl_Ventes[[#This Row],[Produit]],tbl_ProduitsRef[Produit],0)),
   ""
)</f>
        <v/>
      </c>
      <c r="G3082" s="7">
        <f>tbl_Ventes[[#This Row],[Qté Vendue]] * IFERROR(_xlfn.XLOOKUP(tbl_Ventes[[#This Row],[Cde_Prdt]], tbl_Produits[Cde_Prdt], tbl_Produits[Prix Menu]), 0)</f>
        <v>0</v>
      </c>
      <c r="H3082" s="7">
        <f>IFERROR(_xlfn.XLOOKUP(tbl_Ventes[[#This Row],[Cde_Prdt]], tbl_Produits[Cde_Prdt], tbl_Produits[Coût Moyen Portion]), 0)</f>
        <v>0</v>
      </c>
      <c r="I3082" s="7">
        <f>tbl_Ventes[[#This Row],[Qté Vendue]] * tbl_Ventes[[#This Row],[CMP_par_portion]]</f>
        <v>0</v>
      </c>
      <c r="J3082" s="7">
        <f>tbl_Ventes[[#This Row],[CA ligne]] - tbl_Ventes[[#This Row],[Coût matière ligne]]</f>
        <v>0</v>
      </c>
      <c r="K3082" s="7" t="str">
        <f>IFERROR(INDEX(tbl_ProduitsRef[Famille], MATCH(tbl_Ventes[[#This Row],[Cde_Prdt]], tbl_Produits[Cde_Prdt], 0)), "")</f>
        <v/>
      </c>
    </row>
    <row r="3083" spans="1:11" x14ac:dyDescent="0.25">
      <c r="A3083" s="5"/>
      <c r="B3083" s="63" t="str">
        <f>IFERROR(TEXT(tbl_Ventes[[#This Row],[Date]],"mm-aaaa"),"")</f>
        <v>01-1900</v>
      </c>
      <c r="D3083" s="10" t="str">
        <f>IFERROR(
   INDEX(tbl_ProduitsRef[Cde_Prdt],MATCH(tbl_Ventes[[#This Row],[Produit]],tbl_ProduitsRef[Produit],0)),
   ""
)</f>
        <v/>
      </c>
      <c r="E3083" s="7">
        <v>0</v>
      </c>
      <c r="F3083" s="7" t="str">
        <f>IFERROR(
   INDEX(tbl_ProduitsRef[Prix Menu],MATCH(tbl_Ventes[[#This Row],[Produit]],tbl_ProduitsRef[Produit],0)),
   ""
)</f>
        <v/>
      </c>
      <c r="G3083" s="7">
        <f>tbl_Ventes[[#This Row],[Qté Vendue]] * IFERROR(_xlfn.XLOOKUP(tbl_Ventes[[#This Row],[Cde_Prdt]], tbl_Produits[Cde_Prdt], tbl_Produits[Prix Menu]), 0)</f>
        <v>0</v>
      </c>
      <c r="H3083" s="7">
        <f>IFERROR(_xlfn.XLOOKUP(tbl_Ventes[[#This Row],[Cde_Prdt]], tbl_Produits[Cde_Prdt], tbl_Produits[Coût Moyen Portion]), 0)</f>
        <v>0</v>
      </c>
      <c r="I3083" s="7">
        <f>tbl_Ventes[[#This Row],[Qté Vendue]] * tbl_Ventes[[#This Row],[CMP_par_portion]]</f>
        <v>0</v>
      </c>
      <c r="J3083" s="7">
        <f>tbl_Ventes[[#This Row],[CA ligne]] - tbl_Ventes[[#This Row],[Coût matière ligne]]</f>
        <v>0</v>
      </c>
      <c r="K3083" s="7" t="str">
        <f>IFERROR(INDEX(tbl_ProduitsRef[Famille], MATCH(tbl_Ventes[[#This Row],[Cde_Prdt]], tbl_Produits[Cde_Prdt], 0)), "")</f>
        <v/>
      </c>
    </row>
    <row r="3084" spans="1:11" x14ac:dyDescent="0.25">
      <c r="A3084" s="5"/>
      <c r="B3084" s="63" t="str">
        <f>IFERROR(TEXT(tbl_Ventes[[#This Row],[Date]],"mm-aaaa"),"")</f>
        <v>01-1900</v>
      </c>
      <c r="D3084" s="10" t="str">
        <f>IFERROR(
   INDEX(tbl_ProduitsRef[Cde_Prdt],MATCH(tbl_Ventes[[#This Row],[Produit]],tbl_ProduitsRef[Produit],0)),
   ""
)</f>
        <v/>
      </c>
      <c r="E3084" s="7">
        <v>0</v>
      </c>
      <c r="F3084" s="7" t="str">
        <f>IFERROR(
   INDEX(tbl_ProduitsRef[Prix Menu],MATCH(tbl_Ventes[[#This Row],[Produit]],tbl_ProduitsRef[Produit],0)),
   ""
)</f>
        <v/>
      </c>
      <c r="G3084" s="7">
        <f>tbl_Ventes[[#This Row],[Qté Vendue]] * IFERROR(_xlfn.XLOOKUP(tbl_Ventes[[#This Row],[Cde_Prdt]], tbl_Produits[Cde_Prdt], tbl_Produits[Prix Menu]), 0)</f>
        <v>0</v>
      </c>
      <c r="H3084" s="7">
        <f>IFERROR(_xlfn.XLOOKUP(tbl_Ventes[[#This Row],[Cde_Prdt]], tbl_Produits[Cde_Prdt], tbl_Produits[Coût Moyen Portion]), 0)</f>
        <v>0</v>
      </c>
      <c r="I3084" s="7">
        <f>tbl_Ventes[[#This Row],[Qté Vendue]] * tbl_Ventes[[#This Row],[CMP_par_portion]]</f>
        <v>0</v>
      </c>
      <c r="J3084" s="7">
        <f>tbl_Ventes[[#This Row],[CA ligne]] - tbl_Ventes[[#This Row],[Coût matière ligne]]</f>
        <v>0</v>
      </c>
      <c r="K3084" s="7" t="str">
        <f>IFERROR(INDEX(tbl_ProduitsRef[Famille], MATCH(tbl_Ventes[[#This Row],[Cde_Prdt]], tbl_Produits[Cde_Prdt], 0)), "")</f>
        <v/>
      </c>
    </row>
    <row r="3085" spans="1:11" x14ac:dyDescent="0.25">
      <c r="A3085" s="5"/>
      <c r="B3085" s="63" t="str">
        <f>IFERROR(TEXT(tbl_Ventes[[#This Row],[Date]],"mm-aaaa"),"")</f>
        <v>01-1900</v>
      </c>
      <c r="D3085" s="10" t="str">
        <f>IFERROR(
   INDEX(tbl_ProduitsRef[Cde_Prdt],MATCH(tbl_Ventes[[#This Row],[Produit]],tbl_ProduitsRef[Produit],0)),
   ""
)</f>
        <v/>
      </c>
      <c r="E3085" s="7">
        <v>0</v>
      </c>
      <c r="F3085" s="7" t="str">
        <f>IFERROR(
   INDEX(tbl_ProduitsRef[Prix Menu],MATCH(tbl_Ventes[[#This Row],[Produit]],tbl_ProduitsRef[Produit],0)),
   ""
)</f>
        <v/>
      </c>
      <c r="G3085" s="7">
        <f>tbl_Ventes[[#This Row],[Qté Vendue]] * IFERROR(_xlfn.XLOOKUP(tbl_Ventes[[#This Row],[Cde_Prdt]], tbl_Produits[Cde_Prdt], tbl_Produits[Prix Menu]), 0)</f>
        <v>0</v>
      </c>
      <c r="H3085" s="7">
        <f>IFERROR(_xlfn.XLOOKUP(tbl_Ventes[[#This Row],[Cde_Prdt]], tbl_Produits[Cde_Prdt], tbl_Produits[Coût Moyen Portion]), 0)</f>
        <v>0</v>
      </c>
      <c r="I3085" s="7">
        <f>tbl_Ventes[[#This Row],[Qté Vendue]] * tbl_Ventes[[#This Row],[CMP_par_portion]]</f>
        <v>0</v>
      </c>
      <c r="J3085" s="7">
        <f>tbl_Ventes[[#This Row],[CA ligne]] - tbl_Ventes[[#This Row],[Coût matière ligne]]</f>
        <v>0</v>
      </c>
      <c r="K3085" s="7" t="str">
        <f>IFERROR(INDEX(tbl_ProduitsRef[Famille], MATCH(tbl_Ventes[[#This Row],[Cde_Prdt]], tbl_Produits[Cde_Prdt], 0)), "")</f>
        <v/>
      </c>
    </row>
    <row r="3086" spans="1:11" x14ac:dyDescent="0.25">
      <c r="A3086" s="5"/>
      <c r="B3086" s="63" t="str">
        <f>IFERROR(TEXT(tbl_Ventes[[#This Row],[Date]],"mm-aaaa"),"")</f>
        <v>01-1900</v>
      </c>
      <c r="D3086" s="10" t="str">
        <f>IFERROR(
   INDEX(tbl_ProduitsRef[Cde_Prdt],MATCH(tbl_Ventes[[#This Row],[Produit]],tbl_ProduitsRef[Produit],0)),
   ""
)</f>
        <v/>
      </c>
      <c r="E3086" s="7">
        <v>0</v>
      </c>
      <c r="F3086" s="7" t="str">
        <f>IFERROR(
   INDEX(tbl_ProduitsRef[Prix Menu],MATCH(tbl_Ventes[[#This Row],[Produit]],tbl_ProduitsRef[Produit],0)),
   ""
)</f>
        <v/>
      </c>
      <c r="G3086" s="7">
        <f>tbl_Ventes[[#This Row],[Qté Vendue]] * IFERROR(_xlfn.XLOOKUP(tbl_Ventes[[#This Row],[Cde_Prdt]], tbl_Produits[Cde_Prdt], tbl_Produits[Prix Menu]), 0)</f>
        <v>0</v>
      </c>
      <c r="H3086" s="7">
        <f>IFERROR(_xlfn.XLOOKUP(tbl_Ventes[[#This Row],[Cde_Prdt]], tbl_Produits[Cde_Prdt], tbl_Produits[Coût Moyen Portion]), 0)</f>
        <v>0</v>
      </c>
      <c r="I3086" s="7">
        <f>tbl_Ventes[[#This Row],[Qté Vendue]] * tbl_Ventes[[#This Row],[CMP_par_portion]]</f>
        <v>0</v>
      </c>
      <c r="J3086" s="7">
        <f>tbl_Ventes[[#This Row],[CA ligne]] - tbl_Ventes[[#This Row],[Coût matière ligne]]</f>
        <v>0</v>
      </c>
      <c r="K3086" s="7" t="str">
        <f>IFERROR(INDEX(tbl_ProduitsRef[Famille], MATCH(tbl_Ventes[[#This Row],[Cde_Prdt]], tbl_Produits[Cde_Prdt], 0)), "")</f>
        <v/>
      </c>
    </row>
    <row r="3087" spans="1:11" x14ac:dyDescent="0.25">
      <c r="A3087" s="5"/>
      <c r="B3087" s="63" t="str">
        <f>IFERROR(TEXT(tbl_Ventes[[#This Row],[Date]],"mm-aaaa"),"")</f>
        <v>01-1900</v>
      </c>
      <c r="D3087" s="10" t="str">
        <f>IFERROR(
   INDEX(tbl_ProduitsRef[Cde_Prdt],MATCH(tbl_Ventes[[#This Row],[Produit]],tbl_ProduitsRef[Produit],0)),
   ""
)</f>
        <v/>
      </c>
      <c r="E3087" s="7">
        <v>0</v>
      </c>
      <c r="F3087" s="7" t="str">
        <f>IFERROR(
   INDEX(tbl_ProduitsRef[Prix Menu],MATCH(tbl_Ventes[[#This Row],[Produit]],tbl_ProduitsRef[Produit],0)),
   ""
)</f>
        <v/>
      </c>
      <c r="G3087" s="7">
        <f>tbl_Ventes[[#This Row],[Qté Vendue]] * IFERROR(_xlfn.XLOOKUP(tbl_Ventes[[#This Row],[Cde_Prdt]], tbl_Produits[Cde_Prdt], tbl_Produits[Prix Menu]), 0)</f>
        <v>0</v>
      </c>
      <c r="H3087" s="7">
        <f>IFERROR(_xlfn.XLOOKUP(tbl_Ventes[[#This Row],[Cde_Prdt]], tbl_Produits[Cde_Prdt], tbl_Produits[Coût Moyen Portion]), 0)</f>
        <v>0</v>
      </c>
      <c r="I3087" s="7">
        <f>tbl_Ventes[[#This Row],[Qté Vendue]] * tbl_Ventes[[#This Row],[CMP_par_portion]]</f>
        <v>0</v>
      </c>
      <c r="J3087" s="7">
        <f>tbl_Ventes[[#This Row],[CA ligne]] - tbl_Ventes[[#This Row],[Coût matière ligne]]</f>
        <v>0</v>
      </c>
      <c r="K3087" s="7" t="str">
        <f>IFERROR(INDEX(tbl_ProduitsRef[Famille], MATCH(tbl_Ventes[[#This Row],[Cde_Prdt]], tbl_Produits[Cde_Prdt], 0)), "")</f>
        <v/>
      </c>
    </row>
    <row r="3088" spans="1:11" x14ac:dyDescent="0.25">
      <c r="A3088" s="5"/>
      <c r="B3088" s="63" t="str">
        <f>IFERROR(TEXT(tbl_Ventes[[#This Row],[Date]],"mm-aaaa"),"")</f>
        <v>01-1900</v>
      </c>
      <c r="D3088" s="10" t="str">
        <f>IFERROR(
   INDEX(tbl_ProduitsRef[Cde_Prdt],MATCH(tbl_Ventes[[#This Row],[Produit]],tbl_ProduitsRef[Produit],0)),
   ""
)</f>
        <v/>
      </c>
      <c r="E3088" s="7">
        <v>0</v>
      </c>
      <c r="F3088" s="7" t="str">
        <f>IFERROR(
   INDEX(tbl_ProduitsRef[Prix Menu],MATCH(tbl_Ventes[[#This Row],[Produit]],tbl_ProduitsRef[Produit],0)),
   ""
)</f>
        <v/>
      </c>
      <c r="G3088" s="7">
        <f>tbl_Ventes[[#This Row],[Qté Vendue]] * IFERROR(_xlfn.XLOOKUP(tbl_Ventes[[#This Row],[Cde_Prdt]], tbl_Produits[Cde_Prdt], tbl_Produits[Prix Menu]), 0)</f>
        <v>0</v>
      </c>
      <c r="H3088" s="7">
        <f>IFERROR(_xlfn.XLOOKUP(tbl_Ventes[[#This Row],[Cde_Prdt]], tbl_Produits[Cde_Prdt], tbl_Produits[Coût Moyen Portion]), 0)</f>
        <v>0</v>
      </c>
      <c r="I3088" s="7">
        <f>tbl_Ventes[[#This Row],[Qté Vendue]] * tbl_Ventes[[#This Row],[CMP_par_portion]]</f>
        <v>0</v>
      </c>
      <c r="J3088" s="7">
        <f>tbl_Ventes[[#This Row],[CA ligne]] - tbl_Ventes[[#This Row],[Coût matière ligne]]</f>
        <v>0</v>
      </c>
      <c r="K3088" s="7" t="str">
        <f>IFERROR(INDEX(tbl_ProduitsRef[Famille], MATCH(tbl_Ventes[[#This Row],[Cde_Prdt]], tbl_Produits[Cde_Prdt], 0)), "")</f>
        <v/>
      </c>
    </row>
    <row r="3089" spans="1:11" x14ac:dyDescent="0.25">
      <c r="A3089" s="5"/>
      <c r="B3089" s="63" t="str">
        <f>IFERROR(TEXT(tbl_Ventes[[#This Row],[Date]],"mm-aaaa"),"")</f>
        <v>01-1900</v>
      </c>
      <c r="D3089" s="10" t="str">
        <f>IFERROR(
   INDEX(tbl_ProduitsRef[Cde_Prdt],MATCH(tbl_Ventes[[#This Row],[Produit]],tbl_ProduitsRef[Produit],0)),
   ""
)</f>
        <v/>
      </c>
      <c r="E3089" s="7">
        <v>0</v>
      </c>
      <c r="F3089" s="7" t="str">
        <f>IFERROR(
   INDEX(tbl_ProduitsRef[Prix Menu],MATCH(tbl_Ventes[[#This Row],[Produit]],tbl_ProduitsRef[Produit],0)),
   ""
)</f>
        <v/>
      </c>
      <c r="G3089" s="7">
        <f>tbl_Ventes[[#This Row],[Qté Vendue]] * IFERROR(_xlfn.XLOOKUP(tbl_Ventes[[#This Row],[Cde_Prdt]], tbl_Produits[Cde_Prdt], tbl_Produits[Prix Menu]), 0)</f>
        <v>0</v>
      </c>
      <c r="H3089" s="7">
        <f>IFERROR(_xlfn.XLOOKUP(tbl_Ventes[[#This Row],[Cde_Prdt]], tbl_Produits[Cde_Prdt], tbl_Produits[Coût Moyen Portion]), 0)</f>
        <v>0</v>
      </c>
      <c r="I3089" s="7">
        <f>tbl_Ventes[[#This Row],[Qté Vendue]] * tbl_Ventes[[#This Row],[CMP_par_portion]]</f>
        <v>0</v>
      </c>
      <c r="J3089" s="7">
        <f>tbl_Ventes[[#This Row],[CA ligne]] - tbl_Ventes[[#This Row],[Coût matière ligne]]</f>
        <v>0</v>
      </c>
      <c r="K3089" s="7" t="str">
        <f>IFERROR(INDEX(tbl_ProduitsRef[Famille], MATCH(tbl_Ventes[[#This Row],[Cde_Prdt]], tbl_Produits[Cde_Prdt], 0)), "")</f>
        <v/>
      </c>
    </row>
    <row r="3090" spans="1:11" x14ac:dyDescent="0.25">
      <c r="A3090" s="5"/>
      <c r="B3090" s="63" t="str">
        <f>IFERROR(TEXT(tbl_Ventes[[#This Row],[Date]],"mm-aaaa"),"")</f>
        <v>01-1900</v>
      </c>
      <c r="D3090" s="10" t="str">
        <f>IFERROR(
   INDEX(tbl_ProduitsRef[Cde_Prdt],MATCH(tbl_Ventes[[#This Row],[Produit]],tbl_ProduitsRef[Produit],0)),
   ""
)</f>
        <v/>
      </c>
      <c r="E3090" s="7">
        <v>0</v>
      </c>
      <c r="F3090" s="7" t="str">
        <f>IFERROR(
   INDEX(tbl_ProduitsRef[Prix Menu],MATCH(tbl_Ventes[[#This Row],[Produit]],tbl_ProduitsRef[Produit],0)),
   ""
)</f>
        <v/>
      </c>
      <c r="G3090" s="7">
        <f>tbl_Ventes[[#This Row],[Qté Vendue]] * IFERROR(_xlfn.XLOOKUP(tbl_Ventes[[#This Row],[Cde_Prdt]], tbl_Produits[Cde_Prdt], tbl_Produits[Prix Menu]), 0)</f>
        <v>0</v>
      </c>
      <c r="H3090" s="7">
        <f>IFERROR(_xlfn.XLOOKUP(tbl_Ventes[[#This Row],[Cde_Prdt]], tbl_Produits[Cde_Prdt], tbl_Produits[Coût Moyen Portion]), 0)</f>
        <v>0</v>
      </c>
      <c r="I3090" s="7">
        <f>tbl_Ventes[[#This Row],[Qté Vendue]] * tbl_Ventes[[#This Row],[CMP_par_portion]]</f>
        <v>0</v>
      </c>
      <c r="J3090" s="7">
        <f>tbl_Ventes[[#This Row],[CA ligne]] - tbl_Ventes[[#This Row],[Coût matière ligne]]</f>
        <v>0</v>
      </c>
      <c r="K3090" s="7" t="str">
        <f>IFERROR(INDEX(tbl_ProduitsRef[Famille], MATCH(tbl_Ventes[[#This Row],[Cde_Prdt]], tbl_Produits[Cde_Prdt], 0)), "")</f>
        <v/>
      </c>
    </row>
    <row r="3091" spans="1:11" x14ac:dyDescent="0.25">
      <c r="A3091" s="5"/>
      <c r="B3091" s="63" t="str">
        <f>IFERROR(TEXT(tbl_Ventes[[#This Row],[Date]],"mm-aaaa"),"")</f>
        <v>01-1900</v>
      </c>
      <c r="D3091" s="10" t="str">
        <f>IFERROR(
   INDEX(tbl_ProduitsRef[Cde_Prdt],MATCH(tbl_Ventes[[#This Row],[Produit]],tbl_ProduitsRef[Produit],0)),
   ""
)</f>
        <v/>
      </c>
      <c r="E3091" s="7">
        <v>0</v>
      </c>
      <c r="F3091" s="7" t="str">
        <f>IFERROR(
   INDEX(tbl_ProduitsRef[Prix Menu],MATCH(tbl_Ventes[[#This Row],[Produit]],tbl_ProduitsRef[Produit],0)),
   ""
)</f>
        <v/>
      </c>
      <c r="G3091" s="7">
        <f>tbl_Ventes[[#This Row],[Qté Vendue]] * IFERROR(_xlfn.XLOOKUP(tbl_Ventes[[#This Row],[Cde_Prdt]], tbl_Produits[Cde_Prdt], tbl_Produits[Prix Menu]), 0)</f>
        <v>0</v>
      </c>
      <c r="H3091" s="7">
        <f>IFERROR(_xlfn.XLOOKUP(tbl_Ventes[[#This Row],[Cde_Prdt]], tbl_Produits[Cde_Prdt], tbl_Produits[Coût Moyen Portion]), 0)</f>
        <v>0</v>
      </c>
      <c r="I3091" s="7">
        <f>tbl_Ventes[[#This Row],[Qté Vendue]] * tbl_Ventes[[#This Row],[CMP_par_portion]]</f>
        <v>0</v>
      </c>
      <c r="J3091" s="7">
        <f>tbl_Ventes[[#This Row],[CA ligne]] - tbl_Ventes[[#This Row],[Coût matière ligne]]</f>
        <v>0</v>
      </c>
      <c r="K3091" s="7" t="str">
        <f>IFERROR(INDEX(tbl_ProduitsRef[Famille], MATCH(tbl_Ventes[[#This Row],[Cde_Prdt]], tbl_Produits[Cde_Prdt], 0)), "")</f>
        <v/>
      </c>
    </row>
    <row r="3092" spans="1:11" x14ac:dyDescent="0.25">
      <c r="A3092" s="5"/>
      <c r="B3092" s="63" t="str">
        <f>IFERROR(TEXT(tbl_Ventes[[#This Row],[Date]],"mm-aaaa"),"")</f>
        <v>01-1900</v>
      </c>
      <c r="D3092" s="10" t="str">
        <f>IFERROR(
   INDEX(tbl_ProduitsRef[Cde_Prdt],MATCH(tbl_Ventes[[#This Row],[Produit]],tbl_ProduitsRef[Produit],0)),
   ""
)</f>
        <v/>
      </c>
      <c r="E3092" s="7">
        <v>0</v>
      </c>
      <c r="F3092" s="7" t="str">
        <f>IFERROR(
   INDEX(tbl_ProduitsRef[Prix Menu],MATCH(tbl_Ventes[[#This Row],[Produit]],tbl_ProduitsRef[Produit],0)),
   ""
)</f>
        <v/>
      </c>
      <c r="G3092" s="7">
        <f>tbl_Ventes[[#This Row],[Qté Vendue]] * IFERROR(_xlfn.XLOOKUP(tbl_Ventes[[#This Row],[Cde_Prdt]], tbl_Produits[Cde_Prdt], tbl_Produits[Prix Menu]), 0)</f>
        <v>0</v>
      </c>
      <c r="H3092" s="7">
        <f>IFERROR(_xlfn.XLOOKUP(tbl_Ventes[[#This Row],[Cde_Prdt]], tbl_Produits[Cde_Prdt], tbl_Produits[Coût Moyen Portion]), 0)</f>
        <v>0</v>
      </c>
      <c r="I3092" s="7">
        <f>tbl_Ventes[[#This Row],[Qté Vendue]] * tbl_Ventes[[#This Row],[CMP_par_portion]]</f>
        <v>0</v>
      </c>
      <c r="J3092" s="7">
        <f>tbl_Ventes[[#This Row],[CA ligne]] - tbl_Ventes[[#This Row],[Coût matière ligne]]</f>
        <v>0</v>
      </c>
      <c r="K3092" s="7" t="str">
        <f>IFERROR(INDEX(tbl_ProduitsRef[Famille], MATCH(tbl_Ventes[[#This Row],[Cde_Prdt]], tbl_Produits[Cde_Prdt], 0)), "")</f>
        <v/>
      </c>
    </row>
    <row r="3093" spans="1:11" x14ac:dyDescent="0.25">
      <c r="A3093" s="5"/>
      <c r="B3093" s="63" t="str">
        <f>IFERROR(TEXT(tbl_Ventes[[#This Row],[Date]],"mm-aaaa"),"")</f>
        <v>01-1900</v>
      </c>
      <c r="D3093" s="10" t="str">
        <f>IFERROR(
   INDEX(tbl_ProduitsRef[Cde_Prdt],MATCH(tbl_Ventes[[#This Row],[Produit]],tbl_ProduitsRef[Produit],0)),
   ""
)</f>
        <v/>
      </c>
      <c r="E3093" s="7">
        <v>0</v>
      </c>
      <c r="F3093" s="7" t="str">
        <f>IFERROR(
   INDEX(tbl_ProduitsRef[Prix Menu],MATCH(tbl_Ventes[[#This Row],[Produit]],tbl_ProduitsRef[Produit],0)),
   ""
)</f>
        <v/>
      </c>
      <c r="G3093" s="7">
        <f>tbl_Ventes[[#This Row],[Qté Vendue]] * IFERROR(_xlfn.XLOOKUP(tbl_Ventes[[#This Row],[Cde_Prdt]], tbl_Produits[Cde_Prdt], tbl_Produits[Prix Menu]), 0)</f>
        <v>0</v>
      </c>
      <c r="H3093" s="7">
        <f>IFERROR(_xlfn.XLOOKUP(tbl_Ventes[[#This Row],[Cde_Prdt]], tbl_Produits[Cde_Prdt], tbl_Produits[Coût Moyen Portion]), 0)</f>
        <v>0</v>
      </c>
      <c r="I3093" s="7">
        <f>tbl_Ventes[[#This Row],[Qté Vendue]] * tbl_Ventes[[#This Row],[CMP_par_portion]]</f>
        <v>0</v>
      </c>
      <c r="J3093" s="7">
        <f>tbl_Ventes[[#This Row],[CA ligne]] - tbl_Ventes[[#This Row],[Coût matière ligne]]</f>
        <v>0</v>
      </c>
      <c r="K3093" s="7" t="str">
        <f>IFERROR(INDEX(tbl_ProduitsRef[Famille], MATCH(tbl_Ventes[[#This Row],[Cde_Prdt]], tbl_Produits[Cde_Prdt], 0)), "")</f>
        <v/>
      </c>
    </row>
    <row r="3094" spans="1:11" x14ac:dyDescent="0.25">
      <c r="A3094" s="5"/>
      <c r="B3094" s="63" t="str">
        <f>IFERROR(TEXT(tbl_Ventes[[#This Row],[Date]],"mm-aaaa"),"")</f>
        <v>01-1900</v>
      </c>
      <c r="D3094" s="10" t="str">
        <f>IFERROR(
   INDEX(tbl_ProduitsRef[Cde_Prdt],MATCH(tbl_Ventes[[#This Row],[Produit]],tbl_ProduitsRef[Produit],0)),
   ""
)</f>
        <v/>
      </c>
      <c r="E3094" s="7">
        <v>0</v>
      </c>
      <c r="F3094" s="7" t="str">
        <f>IFERROR(
   INDEX(tbl_ProduitsRef[Prix Menu],MATCH(tbl_Ventes[[#This Row],[Produit]],tbl_ProduitsRef[Produit],0)),
   ""
)</f>
        <v/>
      </c>
      <c r="G3094" s="7">
        <f>tbl_Ventes[[#This Row],[Qté Vendue]] * IFERROR(_xlfn.XLOOKUP(tbl_Ventes[[#This Row],[Cde_Prdt]], tbl_Produits[Cde_Prdt], tbl_Produits[Prix Menu]), 0)</f>
        <v>0</v>
      </c>
      <c r="H3094" s="7">
        <f>IFERROR(_xlfn.XLOOKUP(tbl_Ventes[[#This Row],[Cde_Prdt]], tbl_Produits[Cde_Prdt], tbl_Produits[Coût Moyen Portion]), 0)</f>
        <v>0</v>
      </c>
      <c r="I3094" s="7">
        <f>tbl_Ventes[[#This Row],[Qté Vendue]] * tbl_Ventes[[#This Row],[CMP_par_portion]]</f>
        <v>0</v>
      </c>
      <c r="J3094" s="7">
        <f>tbl_Ventes[[#This Row],[CA ligne]] - tbl_Ventes[[#This Row],[Coût matière ligne]]</f>
        <v>0</v>
      </c>
      <c r="K3094" s="7" t="str">
        <f>IFERROR(INDEX(tbl_ProduitsRef[Famille], MATCH(tbl_Ventes[[#This Row],[Cde_Prdt]], tbl_Produits[Cde_Prdt], 0)), "")</f>
        <v/>
      </c>
    </row>
    <row r="3095" spans="1:11" x14ac:dyDescent="0.25">
      <c r="A3095" s="5"/>
      <c r="B3095" s="63" t="str">
        <f>IFERROR(TEXT(tbl_Ventes[[#This Row],[Date]],"mm-aaaa"),"")</f>
        <v>01-1900</v>
      </c>
      <c r="D3095" s="10" t="str">
        <f>IFERROR(
   INDEX(tbl_ProduitsRef[Cde_Prdt],MATCH(tbl_Ventes[[#This Row],[Produit]],tbl_ProduitsRef[Produit],0)),
   ""
)</f>
        <v/>
      </c>
      <c r="E3095" s="7">
        <v>0</v>
      </c>
      <c r="F3095" s="7" t="str">
        <f>IFERROR(
   INDEX(tbl_ProduitsRef[Prix Menu],MATCH(tbl_Ventes[[#This Row],[Produit]],tbl_ProduitsRef[Produit],0)),
   ""
)</f>
        <v/>
      </c>
      <c r="G3095" s="7">
        <f>tbl_Ventes[[#This Row],[Qté Vendue]] * IFERROR(_xlfn.XLOOKUP(tbl_Ventes[[#This Row],[Cde_Prdt]], tbl_Produits[Cde_Prdt], tbl_Produits[Prix Menu]), 0)</f>
        <v>0</v>
      </c>
      <c r="H3095" s="7">
        <f>IFERROR(_xlfn.XLOOKUP(tbl_Ventes[[#This Row],[Cde_Prdt]], tbl_Produits[Cde_Prdt], tbl_Produits[Coût Moyen Portion]), 0)</f>
        <v>0</v>
      </c>
      <c r="I3095" s="7">
        <f>tbl_Ventes[[#This Row],[Qté Vendue]] * tbl_Ventes[[#This Row],[CMP_par_portion]]</f>
        <v>0</v>
      </c>
      <c r="J3095" s="7">
        <f>tbl_Ventes[[#This Row],[CA ligne]] - tbl_Ventes[[#This Row],[Coût matière ligne]]</f>
        <v>0</v>
      </c>
      <c r="K3095" s="7" t="str">
        <f>IFERROR(INDEX(tbl_ProduitsRef[Famille], MATCH(tbl_Ventes[[#This Row],[Cde_Prdt]], tbl_Produits[Cde_Prdt], 0)), "")</f>
        <v/>
      </c>
    </row>
    <row r="3096" spans="1:11" x14ac:dyDescent="0.25">
      <c r="A3096" s="5"/>
      <c r="B3096" s="63" t="str">
        <f>IFERROR(TEXT(tbl_Ventes[[#This Row],[Date]],"mm-aaaa"),"")</f>
        <v>01-1900</v>
      </c>
      <c r="D3096" s="10" t="str">
        <f>IFERROR(
   INDEX(tbl_ProduitsRef[Cde_Prdt],MATCH(tbl_Ventes[[#This Row],[Produit]],tbl_ProduitsRef[Produit],0)),
   ""
)</f>
        <v/>
      </c>
      <c r="E3096" s="7">
        <v>0</v>
      </c>
      <c r="F3096" s="7" t="str">
        <f>IFERROR(
   INDEX(tbl_ProduitsRef[Prix Menu],MATCH(tbl_Ventes[[#This Row],[Produit]],tbl_ProduitsRef[Produit],0)),
   ""
)</f>
        <v/>
      </c>
      <c r="G3096" s="7">
        <f>tbl_Ventes[[#This Row],[Qté Vendue]] * IFERROR(_xlfn.XLOOKUP(tbl_Ventes[[#This Row],[Cde_Prdt]], tbl_Produits[Cde_Prdt], tbl_Produits[Prix Menu]), 0)</f>
        <v>0</v>
      </c>
      <c r="H3096" s="7">
        <f>IFERROR(_xlfn.XLOOKUP(tbl_Ventes[[#This Row],[Cde_Prdt]], tbl_Produits[Cde_Prdt], tbl_Produits[Coût Moyen Portion]), 0)</f>
        <v>0</v>
      </c>
      <c r="I3096" s="7">
        <f>tbl_Ventes[[#This Row],[Qté Vendue]] * tbl_Ventes[[#This Row],[CMP_par_portion]]</f>
        <v>0</v>
      </c>
      <c r="J3096" s="7">
        <f>tbl_Ventes[[#This Row],[CA ligne]] - tbl_Ventes[[#This Row],[Coût matière ligne]]</f>
        <v>0</v>
      </c>
      <c r="K3096" s="7" t="str">
        <f>IFERROR(INDEX(tbl_ProduitsRef[Famille], MATCH(tbl_Ventes[[#This Row],[Cde_Prdt]], tbl_Produits[Cde_Prdt], 0)), "")</f>
        <v/>
      </c>
    </row>
    <row r="3097" spans="1:11" x14ac:dyDescent="0.25">
      <c r="A3097" s="5"/>
      <c r="B3097" s="63" t="str">
        <f>IFERROR(TEXT(tbl_Ventes[[#This Row],[Date]],"mm-aaaa"),"")</f>
        <v>01-1900</v>
      </c>
      <c r="D3097" s="10" t="str">
        <f>IFERROR(
   INDEX(tbl_ProduitsRef[Cde_Prdt],MATCH(tbl_Ventes[[#This Row],[Produit]],tbl_ProduitsRef[Produit],0)),
   ""
)</f>
        <v/>
      </c>
      <c r="E3097" s="7">
        <v>0</v>
      </c>
      <c r="F3097" s="7" t="str">
        <f>IFERROR(
   INDEX(tbl_ProduitsRef[Prix Menu],MATCH(tbl_Ventes[[#This Row],[Produit]],tbl_ProduitsRef[Produit],0)),
   ""
)</f>
        <v/>
      </c>
      <c r="G3097" s="7">
        <f>tbl_Ventes[[#This Row],[Qté Vendue]] * IFERROR(_xlfn.XLOOKUP(tbl_Ventes[[#This Row],[Cde_Prdt]], tbl_Produits[Cde_Prdt], tbl_Produits[Prix Menu]), 0)</f>
        <v>0</v>
      </c>
      <c r="H3097" s="7">
        <f>IFERROR(_xlfn.XLOOKUP(tbl_Ventes[[#This Row],[Cde_Prdt]], tbl_Produits[Cde_Prdt], tbl_Produits[Coût Moyen Portion]), 0)</f>
        <v>0</v>
      </c>
      <c r="I3097" s="7">
        <f>tbl_Ventes[[#This Row],[Qté Vendue]] * tbl_Ventes[[#This Row],[CMP_par_portion]]</f>
        <v>0</v>
      </c>
      <c r="J3097" s="7">
        <f>tbl_Ventes[[#This Row],[CA ligne]] - tbl_Ventes[[#This Row],[Coût matière ligne]]</f>
        <v>0</v>
      </c>
      <c r="K3097" s="7" t="str">
        <f>IFERROR(INDEX(tbl_ProduitsRef[Famille], MATCH(tbl_Ventes[[#This Row],[Cde_Prdt]], tbl_Produits[Cde_Prdt], 0)), "")</f>
        <v/>
      </c>
    </row>
    <row r="3098" spans="1:11" x14ac:dyDescent="0.25">
      <c r="A3098" s="5"/>
      <c r="B3098" s="63" t="str">
        <f>IFERROR(TEXT(tbl_Ventes[[#This Row],[Date]],"mm-aaaa"),"")</f>
        <v>01-1900</v>
      </c>
      <c r="D3098" s="10" t="str">
        <f>IFERROR(
   INDEX(tbl_ProduitsRef[Cde_Prdt],MATCH(tbl_Ventes[[#This Row],[Produit]],tbl_ProduitsRef[Produit],0)),
   ""
)</f>
        <v/>
      </c>
      <c r="E3098" s="7">
        <v>0</v>
      </c>
      <c r="F3098" s="7" t="str">
        <f>IFERROR(
   INDEX(tbl_ProduitsRef[Prix Menu],MATCH(tbl_Ventes[[#This Row],[Produit]],tbl_ProduitsRef[Produit],0)),
   ""
)</f>
        <v/>
      </c>
      <c r="G3098" s="7">
        <f>tbl_Ventes[[#This Row],[Qté Vendue]] * IFERROR(_xlfn.XLOOKUP(tbl_Ventes[[#This Row],[Cde_Prdt]], tbl_Produits[Cde_Prdt], tbl_Produits[Prix Menu]), 0)</f>
        <v>0</v>
      </c>
      <c r="H3098" s="7">
        <f>IFERROR(_xlfn.XLOOKUP(tbl_Ventes[[#This Row],[Cde_Prdt]], tbl_Produits[Cde_Prdt], tbl_Produits[Coût Moyen Portion]), 0)</f>
        <v>0</v>
      </c>
      <c r="I3098" s="7">
        <f>tbl_Ventes[[#This Row],[Qté Vendue]] * tbl_Ventes[[#This Row],[CMP_par_portion]]</f>
        <v>0</v>
      </c>
      <c r="J3098" s="7">
        <f>tbl_Ventes[[#This Row],[CA ligne]] - tbl_Ventes[[#This Row],[Coût matière ligne]]</f>
        <v>0</v>
      </c>
      <c r="K3098" s="7" t="str">
        <f>IFERROR(INDEX(tbl_ProduitsRef[Famille], MATCH(tbl_Ventes[[#This Row],[Cde_Prdt]], tbl_Produits[Cde_Prdt], 0)), "")</f>
        <v/>
      </c>
    </row>
    <row r="3099" spans="1:11" x14ac:dyDescent="0.25">
      <c r="A3099" s="5"/>
      <c r="B3099" s="63" t="str">
        <f>IFERROR(TEXT(tbl_Ventes[[#This Row],[Date]],"mm-aaaa"),"")</f>
        <v>01-1900</v>
      </c>
      <c r="D3099" s="10" t="str">
        <f>IFERROR(
   INDEX(tbl_ProduitsRef[Cde_Prdt],MATCH(tbl_Ventes[[#This Row],[Produit]],tbl_ProduitsRef[Produit],0)),
   ""
)</f>
        <v/>
      </c>
      <c r="E3099" s="7">
        <v>0</v>
      </c>
      <c r="F3099" s="7" t="str">
        <f>IFERROR(
   INDEX(tbl_ProduitsRef[Prix Menu],MATCH(tbl_Ventes[[#This Row],[Produit]],tbl_ProduitsRef[Produit],0)),
   ""
)</f>
        <v/>
      </c>
      <c r="G3099" s="7">
        <f>tbl_Ventes[[#This Row],[Qté Vendue]] * IFERROR(_xlfn.XLOOKUP(tbl_Ventes[[#This Row],[Cde_Prdt]], tbl_Produits[Cde_Prdt], tbl_Produits[Prix Menu]), 0)</f>
        <v>0</v>
      </c>
      <c r="H3099" s="7">
        <f>IFERROR(_xlfn.XLOOKUP(tbl_Ventes[[#This Row],[Cde_Prdt]], tbl_Produits[Cde_Prdt], tbl_Produits[Coût Moyen Portion]), 0)</f>
        <v>0</v>
      </c>
      <c r="I3099" s="7">
        <f>tbl_Ventes[[#This Row],[Qté Vendue]] * tbl_Ventes[[#This Row],[CMP_par_portion]]</f>
        <v>0</v>
      </c>
      <c r="J3099" s="7">
        <f>tbl_Ventes[[#This Row],[CA ligne]] - tbl_Ventes[[#This Row],[Coût matière ligne]]</f>
        <v>0</v>
      </c>
      <c r="K3099" s="7" t="str">
        <f>IFERROR(INDEX(tbl_ProduitsRef[Famille], MATCH(tbl_Ventes[[#This Row],[Cde_Prdt]], tbl_Produits[Cde_Prdt], 0)), "")</f>
        <v/>
      </c>
    </row>
    <row r="3100" spans="1:11" x14ac:dyDescent="0.25">
      <c r="A3100" s="5"/>
      <c r="B3100" s="63" t="str">
        <f>IFERROR(TEXT(tbl_Ventes[[#This Row],[Date]],"mm-aaaa"),"")</f>
        <v>01-1900</v>
      </c>
      <c r="D3100" s="10" t="str">
        <f>IFERROR(
   INDEX(tbl_ProduitsRef[Cde_Prdt],MATCH(tbl_Ventes[[#This Row],[Produit]],tbl_ProduitsRef[Produit],0)),
   ""
)</f>
        <v/>
      </c>
      <c r="E3100" s="7">
        <v>0</v>
      </c>
      <c r="F3100" s="7" t="str">
        <f>IFERROR(
   INDEX(tbl_ProduitsRef[Prix Menu],MATCH(tbl_Ventes[[#This Row],[Produit]],tbl_ProduitsRef[Produit],0)),
   ""
)</f>
        <v/>
      </c>
      <c r="G3100" s="7">
        <f>tbl_Ventes[[#This Row],[Qté Vendue]] * IFERROR(_xlfn.XLOOKUP(tbl_Ventes[[#This Row],[Cde_Prdt]], tbl_Produits[Cde_Prdt], tbl_Produits[Prix Menu]), 0)</f>
        <v>0</v>
      </c>
      <c r="H3100" s="7">
        <f>IFERROR(_xlfn.XLOOKUP(tbl_Ventes[[#This Row],[Cde_Prdt]], tbl_Produits[Cde_Prdt], tbl_Produits[Coût Moyen Portion]), 0)</f>
        <v>0</v>
      </c>
      <c r="I3100" s="7">
        <f>tbl_Ventes[[#This Row],[Qté Vendue]] * tbl_Ventes[[#This Row],[CMP_par_portion]]</f>
        <v>0</v>
      </c>
      <c r="J3100" s="7">
        <f>tbl_Ventes[[#This Row],[CA ligne]] - tbl_Ventes[[#This Row],[Coût matière ligne]]</f>
        <v>0</v>
      </c>
      <c r="K3100" s="7" t="str">
        <f>IFERROR(INDEX(tbl_ProduitsRef[Famille], MATCH(tbl_Ventes[[#This Row],[Cde_Prdt]], tbl_Produits[Cde_Prdt], 0)), "")</f>
        <v/>
      </c>
    </row>
    <row r="3101" spans="1:11" x14ac:dyDescent="0.25">
      <c r="A3101" s="5"/>
      <c r="B3101" s="63" t="str">
        <f>IFERROR(TEXT(tbl_Ventes[[#This Row],[Date]],"mm-aaaa"),"")</f>
        <v>01-1900</v>
      </c>
      <c r="D3101" s="10" t="str">
        <f>IFERROR(
   INDEX(tbl_ProduitsRef[Cde_Prdt],MATCH(tbl_Ventes[[#This Row],[Produit]],tbl_ProduitsRef[Produit],0)),
   ""
)</f>
        <v/>
      </c>
      <c r="E3101" s="7">
        <v>0</v>
      </c>
      <c r="F3101" s="7" t="str">
        <f>IFERROR(
   INDEX(tbl_ProduitsRef[Prix Menu],MATCH(tbl_Ventes[[#This Row],[Produit]],tbl_ProduitsRef[Produit],0)),
   ""
)</f>
        <v/>
      </c>
      <c r="G3101" s="7">
        <f>tbl_Ventes[[#This Row],[Qté Vendue]] * IFERROR(_xlfn.XLOOKUP(tbl_Ventes[[#This Row],[Cde_Prdt]], tbl_Produits[Cde_Prdt], tbl_Produits[Prix Menu]), 0)</f>
        <v>0</v>
      </c>
      <c r="H3101" s="7">
        <f>IFERROR(_xlfn.XLOOKUP(tbl_Ventes[[#This Row],[Cde_Prdt]], tbl_Produits[Cde_Prdt], tbl_Produits[Coût Moyen Portion]), 0)</f>
        <v>0</v>
      </c>
      <c r="I3101" s="7">
        <f>tbl_Ventes[[#This Row],[Qté Vendue]] * tbl_Ventes[[#This Row],[CMP_par_portion]]</f>
        <v>0</v>
      </c>
      <c r="J3101" s="7">
        <f>tbl_Ventes[[#This Row],[CA ligne]] - tbl_Ventes[[#This Row],[Coût matière ligne]]</f>
        <v>0</v>
      </c>
      <c r="K3101" s="7" t="str">
        <f>IFERROR(INDEX(tbl_ProduitsRef[Famille], MATCH(tbl_Ventes[[#This Row],[Cde_Prdt]], tbl_Produits[Cde_Prdt], 0)), "")</f>
        <v/>
      </c>
    </row>
    <row r="3102" spans="1:11" x14ac:dyDescent="0.25">
      <c r="A3102" s="5"/>
      <c r="B3102" s="63" t="str">
        <f>IFERROR(TEXT(tbl_Ventes[[#This Row],[Date]],"mm-aaaa"),"")</f>
        <v>01-1900</v>
      </c>
      <c r="D3102" s="10" t="str">
        <f>IFERROR(
   INDEX(tbl_ProduitsRef[Cde_Prdt],MATCH(tbl_Ventes[[#This Row],[Produit]],tbl_ProduitsRef[Produit],0)),
   ""
)</f>
        <v/>
      </c>
      <c r="E3102" s="7">
        <v>0</v>
      </c>
      <c r="F3102" s="7" t="str">
        <f>IFERROR(
   INDEX(tbl_ProduitsRef[Prix Menu],MATCH(tbl_Ventes[[#This Row],[Produit]],tbl_ProduitsRef[Produit],0)),
   ""
)</f>
        <v/>
      </c>
      <c r="G3102" s="7">
        <f>tbl_Ventes[[#This Row],[Qté Vendue]] * IFERROR(_xlfn.XLOOKUP(tbl_Ventes[[#This Row],[Cde_Prdt]], tbl_Produits[Cde_Prdt], tbl_Produits[Prix Menu]), 0)</f>
        <v>0</v>
      </c>
      <c r="H3102" s="7">
        <f>IFERROR(_xlfn.XLOOKUP(tbl_Ventes[[#This Row],[Cde_Prdt]], tbl_Produits[Cde_Prdt], tbl_Produits[Coût Moyen Portion]), 0)</f>
        <v>0</v>
      </c>
      <c r="I3102" s="7">
        <f>tbl_Ventes[[#This Row],[Qté Vendue]] * tbl_Ventes[[#This Row],[CMP_par_portion]]</f>
        <v>0</v>
      </c>
      <c r="J3102" s="7">
        <f>tbl_Ventes[[#This Row],[CA ligne]] - tbl_Ventes[[#This Row],[Coût matière ligne]]</f>
        <v>0</v>
      </c>
      <c r="K3102" s="7" t="str">
        <f>IFERROR(INDEX(tbl_ProduitsRef[Famille], MATCH(tbl_Ventes[[#This Row],[Cde_Prdt]], tbl_Produits[Cde_Prdt], 0)), "")</f>
        <v/>
      </c>
    </row>
    <row r="3103" spans="1:11" x14ac:dyDescent="0.25">
      <c r="A3103" s="5"/>
      <c r="B3103" s="63" t="str">
        <f>IFERROR(TEXT(tbl_Ventes[[#This Row],[Date]],"mm-aaaa"),"")</f>
        <v>01-1900</v>
      </c>
      <c r="D3103" s="10" t="str">
        <f>IFERROR(
   INDEX(tbl_ProduitsRef[Cde_Prdt],MATCH(tbl_Ventes[[#This Row],[Produit]],tbl_ProduitsRef[Produit],0)),
   ""
)</f>
        <v/>
      </c>
      <c r="E3103" s="7">
        <v>0</v>
      </c>
      <c r="F3103" s="7" t="str">
        <f>IFERROR(
   INDEX(tbl_ProduitsRef[Prix Menu],MATCH(tbl_Ventes[[#This Row],[Produit]],tbl_ProduitsRef[Produit],0)),
   ""
)</f>
        <v/>
      </c>
      <c r="G3103" s="7">
        <f>tbl_Ventes[[#This Row],[Qté Vendue]] * IFERROR(_xlfn.XLOOKUP(tbl_Ventes[[#This Row],[Cde_Prdt]], tbl_Produits[Cde_Prdt], tbl_Produits[Prix Menu]), 0)</f>
        <v>0</v>
      </c>
      <c r="H3103" s="7">
        <f>IFERROR(_xlfn.XLOOKUP(tbl_Ventes[[#This Row],[Cde_Prdt]], tbl_Produits[Cde_Prdt], tbl_Produits[Coût Moyen Portion]), 0)</f>
        <v>0</v>
      </c>
      <c r="I3103" s="7">
        <f>tbl_Ventes[[#This Row],[Qté Vendue]] * tbl_Ventes[[#This Row],[CMP_par_portion]]</f>
        <v>0</v>
      </c>
      <c r="J3103" s="7">
        <f>tbl_Ventes[[#This Row],[CA ligne]] - tbl_Ventes[[#This Row],[Coût matière ligne]]</f>
        <v>0</v>
      </c>
      <c r="K3103" s="7" t="str">
        <f>IFERROR(INDEX(tbl_ProduitsRef[Famille], MATCH(tbl_Ventes[[#This Row],[Cde_Prdt]], tbl_Produits[Cde_Prdt], 0)), "")</f>
        <v/>
      </c>
    </row>
    <row r="3104" spans="1:11" x14ac:dyDescent="0.25">
      <c r="A3104" s="5"/>
      <c r="B3104" s="63" t="str">
        <f>IFERROR(TEXT(tbl_Ventes[[#This Row],[Date]],"mm-aaaa"),"")</f>
        <v>01-1900</v>
      </c>
      <c r="D3104" s="10" t="str">
        <f>IFERROR(
   INDEX(tbl_ProduitsRef[Cde_Prdt],MATCH(tbl_Ventes[[#This Row],[Produit]],tbl_ProduitsRef[Produit],0)),
   ""
)</f>
        <v/>
      </c>
      <c r="E3104" s="7">
        <v>0</v>
      </c>
      <c r="F3104" s="7" t="str">
        <f>IFERROR(
   INDEX(tbl_ProduitsRef[Prix Menu],MATCH(tbl_Ventes[[#This Row],[Produit]],tbl_ProduitsRef[Produit],0)),
   ""
)</f>
        <v/>
      </c>
      <c r="G3104" s="7">
        <f>tbl_Ventes[[#This Row],[Qté Vendue]] * IFERROR(_xlfn.XLOOKUP(tbl_Ventes[[#This Row],[Cde_Prdt]], tbl_Produits[Cde_Prdt], tbl_Produits[Prix Menu]), 0)</f>
        <v>0</v>
      </c>
      <c r="H3104" s="7">
        <f>IFERROR(_xlfn.XLOOKUP(tbl_Ventes[[#This Row],[Cde_Prdt]], tbl_Produits[Cde_Prdt], tbl_Produits[Coût Moyen Portion]), 0)</f>
        <v>0</v>
      </c>
      <c r="I3104" s="7">
        <f>tbl_Ventes[[#This Row],[Qté Vendue]] * tbl_Ventes[[#This Row],[CMP_par_portion]]</f>
        <v>0</v>
      </c>
      <c r="J3104" s="7">
        <f>tbl_Ventes[[#This Row],[CA ligne]] - tbl_Ventes[[#This Row],[Coût matière ligne]]</f>
        <v>0</v>
      </c>
      <c r="K3104" s="7" t="str">
        <f>IFERROR(INDEX(tbl_ProduitsRef[Famille], MATCH(tbl_Ventes[[#This Row],[Cde_Prdt]], tbl_Produits[Cde_Prdt], 0)), "")</f>
        <v/>
      </c>
    </row>
    <row r="3105" spans="1:11" x14ac:dyDescent="0.25">
      <c r="A3105" s="5"/>
      <c r="B3105" s="63" t="str">
        <f>IFERROR(TEXT(tbl_Ventes[[#This Row],[Date]],"mm-aaaa"),"")</f>
        <v>01-1900</v>
      </c>
      <c r="D3105" s="10" t="str">
        <f>IFERROR(
   INDEX(tbl_ProduitsRef[Cde_Prdt],MATCH(tbl_Ventes[[#This Row],[Produit]],tbl_ProduitsRef[Produit],0)),
   ""
)</f>
        <v/>
      </c>
      <c r="E3105" s="7">
        <v>0</v>
      </c>
      <c r="F3105" s="7" t="str">
        <f>IFERROR(
   INDEX(tbl_ProduitsRef[Prix Menu],MATCH(tbl_Ventes[[#This Row],[Produit]],tbl_ProduitsRef[Produit],0)),
   ""
)</f>
        <v/>
      </c>
      <c r="G3105" s="7">
        <f>tbl_Ventes[[#This Row],[Qté Vendue]] * IFERROR(_xlfn.XLOOKUP(tbl_Ventes[[#This Row],[Cde_Prdt]], tbl_Produits[Cde_Prdt], tbl_Produits[Prix Menu]), 0)</f>
        <v>0</v>
      </c>
      <c r="H3105" s="7">
        <f>IFERROR(_xlfn.XLOOKUP(tbl_Ventes[[#This Row],[Cde_Prdt]], tbl_Produits[Cde_Prdt], tbl_Produits[Coût Moyen Portion]), 0)</f>
        <v>0</v>
      </c>
      <c r="I3105" s="7">
        <f>tbl_Ventes[[#This Row],[Qté Vendue]] * tbl_Ventes[[#This Row],[CMP_par_portion]]</f>
        <v>0</v>
      </c>
      <c r="J3105" s="7">
        <f>tbl_Ventes[[#This Row],[CA ligne]] - tbl_Ventes[[#This Row],[Coût matière ligne]]</f>
        <v>0</v>
      </c>
      <c r="K3105" s="7" t="str">
        <f>IFERROR(INDEX(tbl_ProduitsRef[Famille], MATCH(tbl_Ventes[[#This Row],[Cde_Prdt]], tbl_Produits[Cde_Prdt], 0)), "")</f>
        <v/>
      </c>
    </row>
    <row r="3106" spans="1:11" x14ac:dyDescent="0.25">
      <c r="A3106" s="5"/>
      <c r="B3106" s="63" t="str">
        <f>IFERROR(TEXT(tbl_Ventes[[#This Row],[Date]],"mm-aaaa"),"")</f>
        <v>01-1900</v>
      </c>
      <c r="D3106" s="10" t="str">
        <f>IFERROR(
   INDEX(tbl_ProduitsRef[Cde_Prdt],MATCH(tbl_Ventes[[#This Row],[Produit]],tbl_ProduitsRef[Produit],0)),
   ""
)</f>
        <v/>
      </c>
      <c r="E3106" s="7">
        <v>0</v>
      </c>
      <c r="F3106" s="7" t="str">
        <f>IFERROR(
   INDEX(tbl_ProduitsRef[Prix Menu],MATCH(tbl_Ventes[[#This Row],[Produit]],tbl_ProduitsRef[Produit],0)),
   ""
)</f>
        <v/>
      </c>
      <c r="G3106" s="7">
        <f>tbl_Ventes[[#This Row],[Qté Vendue]] * IFERROR(_xlfn.XLOOKUP(tbl_Ventes[[#This Row],[Cde_Prdt]], tbl_Produits[Cde_Prdt], tbl_Produits[Prix Menu]), 0)</f>
        <v>0</v>
      </c>
      <c r="H3106" s="7">
        <f>IFERROR(_xlfn.XLOOKUP(tbl_Ventes[[#This Row],[Cde_Prdt]], tbl_Produits[Cde_Prdt], tbl_Produits[Coût Moyen Portion]), 0)</f>
        <v>0</v>
      </c>
      <c r="I3106" s="7">
        <f>tbl_Ventes[[#This Row],[Qté Vendue]] * tbl_Ventes[[#This Row],[CMP_par_portion]]</f>
        <v>0</v>
      </c>
      <c r="J3106" s="7">
        <f>tbl_Ventes[[#This Row],[CA ligne]] - tbl_Ventes[[#This Row],[Coût matière ligne]]</f>
        <v>0</v>
      </c>
      <c r="K3106" s="7" t="str">
        <f>IFERROR(INDEX(tbl_ProduitsRef[Famille], MATCH(tbl_Ventes[[#This Row],[Cde_Prdt]], tbl_Produits[Cde_Prdt], 0)), "")</f>
        <v/>
      </c>
    </row>
    <row r="3107" spans="1:11" x14ac:dyDescent="0.25">
      <c r="A3107" s="5"/>
      <c r="B3107" s="63" t="str">
        <f>IFERROR(TEXT(tbl_Ventes[[#This Row],[Date]],"mm-aaaa"),"")</f>
        <v>01-1900</v>
      </c>
      <c r="D3107" s="10" t="str">
        <f>IFERROR(
   INDEX(tbl_ProduitsRef[Cde_Prdt],MATCH(tbl_Ventes[[#This Row],[Produit]],tbl_ProduitsRef[Produit],0)),
   ""
)</f>
        <v/>
      </c>
      <c r="E3107" s="7">
        <v>0</v>
      </c>
      <c r="F3107" s="7" t="str">
        <f>IFERROR(
   INDEX(tbl_ProduitsRef[Prix Menu],MATCH(tbl_Ventes[[#This Row],[Produit]],tbl_ProduitsRef[Produit],0)),
   ""
)</f>
        <v/>
      </c>
      <c r="G3107" s="7">
        <f>tbl_Ventes[[#This Row],[Qté Vendue]] * IFERROR(_xlfn.XLOOKUP(tbl_Ventes[[#This Row],[Cde_Prdt]], tbl_Produits[Cde_Prdt], tbl_Produits[Prix Menu]), 0)</f>
        <v>0</v>
      </c>
      <c r="H3107" s="7">
        <f>IFERROR(_xlfn.XLOOKUP(tbl_Ventes[[#This Row],[Cde_Prdt]], tbl_Produits[Cde_Prdt], tbl_Produits[Coût Moyen Portion]), 0)</f>
        <v>0</v>
      </c>
      <c r="I3107" s="7">
        <f>tbl_Ventes[[#This Row],[Qté Vendue]] * tbl_Ventes[[#This Row],[CMP_par_portion]]</f>
        <v>0</v>
      </c>
      <c r="J3107" s="7">
        <f>tbl_Ventes[[#This Row],[CA ligne]] - tbl_Ventes[[#This Row],[Coût matière ligne]]</f>
        <v>0</v>
      </c>
      <c r="K3107" s="7" t="str">
        <f>IFERROR(INDEX(tbl_ProduitsRef[Famille], MATCH(tbl_Ventes[[#This Row],[Cde_Prdt]], tbl_Produits[Cde_Prdt], 0)), "")</f>
        <v/>
      </c>
    </row>
    <row r="3108" spans="1:11" x14ac:dyDescent="0.25">
      <c r="A3108" s="5"/>
      <c r="B3108" s="63" t="str">
        <f>IFERROR(TEXT(tbl_Ventes[[#This Row],[Date]],"mm-aaaa"),"")</f>
        <v>01-1900</v>
      </c>
      <c r="D3108" s="10" t="str">
        <f>IFERROR(
   INDEX(tbl_ProduitsRef[Cde_Prdt],MATCH(tbl_Ventes[[#This Row],[Produit]],tbl_ProduitsRef[Produit],0)),
   ""
)</f>
        <v/>
      </c>
      <c r="E3108" s="7">
        <v>0</v>
      </c>
      <c r="F3108" s="7" t="str">
        <f>IFERROR(
   INDEX(tbl_ProduitsRef[Prix Menu],MATCH(tbl_Ventes[[#This Row],[Produit]],tbl_ProduitsRef[Produit],0)),
   ""
)</f>
        <v/>
      </c>
      <c r="G3108" s="7">
        <f>tbl_Ventes[[#This Row],[Qté Vendue]] * IFERROR(_xlfn.XLOOKUP(tbl_Ventes[[#This Row],[Cde_Prdt]], tbl_Produits[Cde_Prdt], tbl_Produits[Prix Menu]), 0)</f>
        <v>0</v>
      </c>
      <c r="H3108" s="7">
        <f>IFERROR(_xlfn.XLOOKUP(tbl_Ventes[[#This Row],[Cde_Prdt]], tbl_Produits[Cde_Prdt], tbl_Produits[Coût Moyen Portion]), 0)</f>
        <v>0</v>
      </c>
      <c r="I3108" s="7">
        <f>tbl_Ventes[[#This Row],[Qté Vendue]] * tbl_Ventes[[#This Row],[CMP_par_portion]]</f>
        <v>0</v>
      </c>
      <c r="J3108" s="7">
        <f>tbl_Ventes[[#This Row],[CA ligne]] - tbl_Ventes[[#This Row],[Coût matière ligne]]</f>
        <v>0</v>
      </c>
      <c r="K3108" s="7" t="str">
        <f>IFERROR(INDEX(tbl_ProduitsRef[Famille], MATCH(tbl_Ventes[[#This Row],[Cde_Prdt]], tbl_Produits[Cde_Prdt], 0)), "")</f>
        <v/>
      </c>
    </row>
    <row r="3109" spans="1:11" x14ac:dyDescent="0.25">
      <c r="A3109" s="5"/>
      <c r="B3109" s="63" t="str">
        <f>IFERROR(TEXT(tbl_Ventes[[#This Row],[Date]],"mm-aaaa"),"")</f>
        <v>01-1900</v>
      </c>
      <c r="D3109" s="10" t="str">
        <f>IFERROR(
   INDEX(tbl_ProduitsRef[Cde_Prdt],MATCH(tbl_Ventes[[#This Row],[Produit]],tbl_ProduitsRef[Produit],0)),
   ""
)</f>
        <v/>
      </c>
      <c r="E3109" s="7">
        <v>0</v>
      </c>
      <c r="F3109" s="7" t="str">
        <f>IFERROR(
   INDEX(tbl_ProduitsRef[Prix Menu],MATCH(tbl_Ventes[[#This Row],[Produit]],tbl_ProduitsRef[Produit],0)),
   ""
)</f>
        <v/>
      </c>
      <c r="G3109" s="7">
        <f>tbl_Ventes[[#This Row],[Qté Vendue]] * IFERROR(_xlfn.XLOOKUP(tbl_Ventes[[#This Row],[Cde_Prdt]], tbl_Produits[Cde_Prdt], tbl_Produits[Prix Menu]), 0)</f>
        <v>0</v>
      </c>
      <c r="H3109" s="7">
        <f>IFERROR(_xlfn.XLOOKUP(tbl_Ventes[[#This Row],[Cde_Prdt]], tbl_Produits[Cde_Prdt], tbl_Produits[Coût Moyen Portion]), 0)</f>
        <v>0</v>
      </c>
      <c r="I3109" s="7">
        <f>tbl_Ventes[[#This Row],[Qté Vendue]] * tbl_Ventes[[#This Row],[CMP_par_portion]]</f>
        <v>0</v>
      </c>
      <c r="J3109" s="7">
        <f>tbl_Ventes[[#This Row],[CA ligne]] - tbl_Ventes[[#This Row],[Coût matière ligne]]</f>
        <v>0</v>
      </c>
      <c r="K3109" s="7" t="str">
        <f>IFERROR(INDEX(tbl_ProduitsRef[Famille], MATCH(tbl_Ventes[[#This Row],[Cde_Prdt]], tbl_Produits[Cde_Prdt], 0)), "")</f>
        <v/>
      </c>
    </row>
    <row r="3110" spans="1:11" x14ac:dyDescent="0.25">
      <c r="A3110" s="5"/>
      <c r="B3110" s="63" t="str">
        <f>IFERROR(TEXT(tbl_Ventes[[#This Row],[Date]],"mm-aaaa"),"")</f>
        <v>01-1900</v>
      </c>
      <c r="D3110" s="10" t="str">
        <f>IFERROR(
   INDEX(tbl_ProduitsRef[Cde_Prdt],MATCH(tbl_Ventes[[#This Row],[Produit]],tbl_ProduitsRef[Produit],0)),
   ""
)</f>
        <v/>
      </c>
      <c r="E3110" s="7">
        <v>0</v>
      </c>
      <c r="F3110" s="7" t="str">
        <f>IFERROR(
   INDEX(tbl_ProduitsRef[Prix Menu],MATCH(tbl_Ventes[[#This Row],[Produit]],tbl_ProduitsRef[Produit],0)),
   ""
)</f>
        <v/>
      </c>
      <c r="G3110" s="7">
        <f>tbl_Ventes[[#This Row],[Qté Vendue]] * IFERROR(_xlfn.XLOOKUP(tbl_Ventes[[#This Row],[Cde_Prdt]], tbl_Produits[Cde_Prdt], tbl_Produits[Prix Menu]), 0)</f>
        <v>0</v>
      </c>
      <c r="H3110" s="7">
        <f>IFERROR(_xlfn.XLOOKUP(tbl_Ventes[[#This Row],[Cde_Prdt]], tbl_Produits[Cde_Prdt], tbl_Produits[Coût Moyen Portion]), 0)</f>
        <v>0</v>
      </c>
      <c r="I3110" s="7">
        <f>tbl_Ventes[[#This Row],[Qté Vendue]] * tbl_Ventes[[#This Row],[CMP_par_portion]]</f>
        <v>0</v>
      </c>
      <c r="J3110" s="7">
        <f>tbl_Ventes[[#This Row],[CA ligne]] - tbl_Ventes[[#This Row],[Coût matière ligne]]</f>
        <v>0</v>
      </c>
      <c r="K3110" s="7" t="str">
        <f>IFERROR(INDEX(tbl_ProduitsRef[Famille], MATCH(tbl_Ventes[[#This Row],[Cde_Prdt]], tbl_Produits[Cde_Prdt], 0)), "")</f>
        <v/>
      </c>
    </row>
    <row r="3111" spans="1:11" x14ac:dyDescent="0.25">
      <c r="A3111" s="5"/>
      <c r="B3111" s="63" t="str">
        <f>IFERROR(TEXT(tbl_Ventes[[#This Row],[Date]],"mm-aaaa"),"")</f>
        <v>01-1900</v>
      </c>
      <c r="D3111" s="10" t="str">
        <f>IFERROR(
   INDEX(tbl_ProduitsRef[Cde_Prdt],MATCH(tbl_Ventes[[#This Row],[Produit]],tbl_ProduitsRef[Produit],0)),
   ""
)</f>
        <v/>
      </c>
      <c r="E3111" s="7">
        <v>0</v>
      </c>
      <c r="F3111" s="7" t="str">
        <f>IFERROR(
   INDEX(tbl_ProduitsRef[Prix Menu],MATCH(tbl_Ventes[[#This Row],[Produit]],tbl_ProduitsRef[Produit],0)),
   ""
)</f>
        <v/>
      </c>
      <c r="G3111" s="7">
        <f>tbl_Ventes[[#This Row],[Qté Vendue]] * IFERROR(_xlfn.XLOOKUP(tbl_Ventes[[#This Row],[Cde_Prdt]], tbl_Produits[Cde_Prdt], tbl_Produits[Prix Menu]), 0)</f>
        <v>0</v>
      </c>
      <c r="H3111" s="7">
        <f>IFERROR(_xlfn.XLOOKUP(tbl_Ventes[[#This Row],[Cde_Prdt]], tbl_Produits[Cde_Prdt], tbl_Produits[Coût Moyen Portion]), 0)</f>
        <v>0</v>
      </c>
      <c r="I3111" s="7">
        <f>tbl_Ventes[[#This Row],[Qté Vendue]] * tbl_Ventes[[#This Row],[CMP_par_portion]]</f>
        <v>0</v>
      </c>
      <c r="J3111" s="7">
        <f>tbl_Ventes[[#This Row],[CA ligne]] - tbl_Ventes[[#This Row],[Coût matière ligne]]</f>
        <v>0</v>
      </c>
      <c r="K3111" s="7" t="str">
        <f>IFERROR(INDEX(tbl_ProduitsRef[Famille], MATCH(tbl_Ventes[[#This Row],[Cde_Prdt]], tbl_Produits[Cde_Prdt], 0)), "")</f>
        <v/>
      </c>
    </row>
    <row r="3112" spans="1:11" x14ac:dyDescent="0.25">
      <c r="A3112" s="5"/>
      <c r="B3112" s="63" t="str">
        <f>IFERROR(TEXT(tbl_Ventes[[#This Row],[Date]],"mm-aaaa"),"")</f>
        <v>01-1900</v>
      </c>
      <c r="D3112" s="10" t="str">
        <f>IFERROR(
   INDEX(tbl_ProduitsRef[Cde_Prdt],MATCH(tbl_Ventes[[#This Row],[Produit]],tbl_ProduitsRef[Produit],0)),
   ""
)</f>
        <v/>
      </c>
      <c r="E3112" s="7">
        <v>0</v>
      </c>
      <c r="F3112" s="7" t="str">
        <f>IFERROR(
   INDEX(tbl_ProduitsRef[Prix Menu],MATCH(tbl_Ventes[[#This Row],[Produit]],tbl_ProduitsRef[Produit],0)),
   ""
)</f>
        <v/>
      </c>
      <c r="G3112" s="7">
        <f>tbl_Ventes[[#This Row],[Qté Vendue]] * IFERROR(_xlfn.XLOOKUP(tbl_Ventes[[#This Row],[Cde_Prdt]], tbl_Produits[Cde_Prdt], tbl_Produits[Prix Menu]), 0)</f>
        <v>0</v>
      </c>
      <c r="H3112" s="7">
        <f>IFERROR(_xlfn.XLOOKUP(tbl_Ventes[[#This Row],[Cde_Prdt]], tbl_Produits[Cde_Prdt], tbl_Produits[Coût Moyen Portion]), 0)</f>
        <v>0</v>
      </c>
      <c r="I3112" s="7">
        <f>tbl_Ventes[[#This Row],[Qté Vendue]] * tbl_Ventes[[#This Row],[CMP_par_portion]]</f>
        <v>0</v>
      </c>
      <c r="J3112" s="7">
        <f>tbl_Ventes[[#This Row],[CA ligne]] - tbl_Ventes[[#This Row],[Coût matière ligne]]</f>
        <v>0</v>
      </c>
      <c r="K3112" s="7" t="str">
        <f>IFERROR(INDEX(tbl_ProduitsRef[Famille], MATCH(tbl_Ventes[[#This Row],[Cde_Prdt]], tbl_Produits[Cde_Prdt], 0)), "")</f>
        <v/>
      </c>
    </row>
    <row r="3113" spans="1:11" x14ac:dyDescent="0.25">
      <c r="A3113" s="5"/>
      <c r="B3113" s="63" t="str">
        <f>IFERROR(TEXT(tbl_Ventes[[#This Row],[Date]],"mm-aaaa"),"")</f>
        <v>01-1900</v>
      </c>
      <c r="D3113" s="10" t="str">
        <f>IFERROR(
   INDEX(tbl_ProduitsRef[Cde_Prdt],MATCH(tbl_Ventes[[#This Row],[Produit]],tbl_ProduitsRef[Produit],0)),
   ""
)</f>
        <v/>
      </c>
      <c r="E3113" s="7">
        <v>0</v>
      </c>
      <c r="F3113" s="7" t="str">
        <f>IFERROR(
   INDEX(tbl_ProduitsRef[Prix Menu],MATCH(tbl_Ventes[[#This Row],[Produit]],tbl_ProduitsRef[Produit],0)),
   ""
)</f>
        <v/>
      </c>
      <c r="G3113" s="7">
        <f>tbl_Ventes[[#This Row],[Qté Vendue]] * IFERROR(_xlfn.XLOOKUP(tbl_Ventes[[#This Row],[Cde_Prdt]], tbl_Produits[Cde_Prdt], tbl_Produits[Prix Menu]), 0)</f>
        <v>0</v>
      </c>
      <c r="H3113" s="7">
        <f>IFERROR(_xlfn.XLOOKUP(tbl_Ventes[[#This Row],[Cde_Prdt]], tbl_Produits[Cde_Prdt], tbl_Produits[Coût Moyen Portion]), 0)</f>
        <v>0</v>
      </c>
      <c r="I3113" s="7">
        <f>tbl_Ventes[[#This Row],[Qté Vendue]] * tbl_Ventes[[#This Row],[CMP_par_portion]]</f>
        <v>0</v>
      </c>
      <c r="J3113" s="7">
        <f>tbl_Ventes[[#This Row],[CA ligne]] - tbl_Ventes[[#This Row],[Coût matière ligne]]</f>
        <v>0</v>
      </c>
      <c r="K3113" s="7" t="str">
        <f>IFERROR(INDEX(tbl_ProduitsRef[Famille], MATCH(tbl_Ventes[[#This Row],[Cde_Prdt]], tbl_Produits[Cde_Prdt], 0)), "")</f>
        <v/>
      </c>
    </row>
    <row r="3114" spans="1:11" x14ac:dyDescent="0.25">
      <c r="A3114" s="5"/>
      <c r="B3114" s="63" t="str">
        <f>IFERROR(TEXT(tbl_Ventes[[#This Row],[Date]],"mm-aaaa"),"")</f>
        <v>01-1900</v>
      </c>
      <c r="D3114" s="10" t="str">
        <f>IFERROR(
   INDEX(tbl_ProduitsRef[Cde_Prdt],MATCH(tbl_Ventes[[#This Row],[Produit]],tbl_ProduitsRef[Produit],0)),
   ""
)</f>
        <v/>
      </c>
      <c r="E3114" s="7">
        <v>0</v>
      </c>
      <c r="F3114" s="7" t="str">
        <f>IFERROR(
   INDEX(tbl_ProduitsRef[Prix Menu],MATCH(tbl_Ventes[[#This Row],[Produit]],tbl_ProduitsRef[Produit],0)),
   ""
)</f>
        <v/>
      </c>
      <c r="G3114" s="7">
        <f>tbl_Ventes[[#This Row],[Qté Vendue]] * IFERROR(_xlfn.XLOOKUP(tbl_Ventes[[#This Row],[Cde_Prdt]], tbl_Produits[Cde_Prdt], tbl_Produits[Prix Menu]), 0)</f>
        <v>0</v>
      </c>
      <c r="H3114" s="7">
        <f>IFERROR(_xlfn.XLOOKUP(tbl_Ventes[[#This Row],[Cde_Prdt]], tbl_Produits[Cde_Prdt], tbl_Produits[Coût Moyen Portion]), 0)</f>
        <v>0</v>
      </c>
      <c r="I3114" s="7">
        <f>tbl_Ventes[[#This Row],[Qté Vendue]] * tbl_Ventes[[#This Row],[CMP_par_portion]]</f>
        <v>0</v>
      </c>
      <c r="J3114" s="7">
        <f>tbl_Ventes[[#This Row],[CA ligne]] - tbl_Ventes[[#This Row],[Coût matière ligne]]</f>
        <v>0</v>
      </c>
      <c r="K3114" s="7" t="str">
        <f>IFERROR(INDEX(tbl_ProduitsRef[Famille], MATCH(tbl_Ventes[[#This Row],[Cde_Prdt]], tbl_Produits[Cde_Prdt], 0)), "")</f>
        <v/>
      </c>
    </row>
    <row r="3115" spans="1:11" x14ac:dyDescent="0.25">
      <c r="A3115" s="5"/>
      <c r="B3115" s="63" t="str">
        <f>IFERROR(TEXT(tbl_Ventes[[#This Row],[Date]],"mm-aaaa"),"")</f>
        <v>01-1900</v>
      </c>
      <c r="D3115" s="10" t="str">
        <f>IFERROR(
   INDEX(tbl_ProduitsRef[Cde_Prdt],MATCH(tbl_Ventes[[#This Row],[Produit]],tbl_ProduitsRef[Produit],0)),
   ""
)</f>
        <v/>
      </c>
      <c r="E3115" s="7">
        <v>0</v>
      </c>
      <c r="F3115" s="7" t="str">
        <f>IFERROR(
   INDEX(tbl_ProduitsRef[Prix Menu],MATCH(tbl_Ventes[[#This Row],[Produit]],tbl_ProduitsRef[Produit],0)),
   ""
)</f>
        <v/>
      </c>
      <c r="G3115" s="7">
        <f>tbl_Ventes[[#This Row],[Qté Vendue]] * IFERROR(_xlfn.XLOOKUP(tbl_Ventes[[#This Row],[Cde_Prdt]], tbl_Produits[Cde_Prdt], tbl_Produits[Prix Menu]), 0)</f>
        <v>0</v>
      </c>
      <c r="H3115" s="7">
        <f>IFERROR(_xlfn.XLOOKUP(tbl_Ventes[[#This Row],[Cde_Prdt]], tbl_Produits[Cde_Prdt], tbl_Produits[Coût Moyen Portion]), 0)</f>
        <v>0</v>
      </c>
      <c r="I3115" s="7">
        <f>tbl_Ventes[[#This Row],[Qté Vendue]] * tbl_Ventes[[#This Row],[CMP_par_portion]]</f>
        <v>0</v>
      </c>
      <c r="J3115" s="7">
        <f>tbl_Ventes[[#This Row],[CA ligne]] - tbl_Ventes[[#This Row],[Coût matière ligne]]</f>
        <v>0</v>
      </c>
      <c r="K3115" s="7" t="str">
        <f>IFERROR(INDEX(tbl_ProduitsRef[Famille], MATCH(tbl_Ventes[[#This Row],[Cde_Prdt]], tbl_Produits[Cde_Prdt], 0)), "")</f>
        <v/>
      </c>
    </row>
    <row r="3116" spans="1:11" x14ac:dyDescent="0.25">
      <c r="A3116" s="5"/>
      <c r="B3116" s="63" t="str">
        <f>IFERROR(TEXT(tbl_Ventes[[#This Row],[Date]],"mm-aaaa"),"")</f>
        <v>01-1900</v>
      </c>
      <c r="D3116" s="10" t="str">
        <f>IFERROR(
   INDEX(tbl_ProduitsRef[Cde_Prdt],MATCH(tbl_Ventes[[#This Row],[Produit]],tbl_ProduitsRef[Produit],0)),
   ""
)</f>
        <v/>
      </c>
      <c r="E3116" s="7">
        <v>0</v>
      </c>
      <c r="F3116" s="7" t="str">
        <f>IFERROR(
   INDEX(tbl_ProduitsRef[Prix Menu],MATCH(tbl_Ventes[[#This Row],[Produit]],tbl_ProduitsRef[Produit],0)),
   ""
)</f>
        <v/>
      </c>
      <c r="G3116" s="7">
        <f>tbl_Ventes[[#This Row],[Qté Vendue]] * IFERROR(_xlfn.XLOOKUP(tbl_Ventes[[#This Row],[Cde_Prdt]], tbl_Produits[Cde_Prdt], tbl_Produits[Prix Menu]), 0)</f>
        <v>0</v>
      </c>
      <c r="H3116" s="7">
        <f>IFERROR(_xlfn.XLOOKUP(tbl_Ventes[[#This Row],[Cde_Prdt]], tbl_Produits[Cde_Prdt], tbl_Produits[Coût Moyen Portion]), 0)</f>
        <v>0</v>
      </c>
      <c r="I3116" s="7">
        <f>tbl_Ventes[[#This Row],[Qté Vendue]] * tbl_Ventes[[#This Row],[CMP_par_portion]]</f>
        <v>0</v>
      </c>
      <c r="J3116" s="7">
        <f>tbl_Ventes[[#This Row],[CA ligne]] - tbl_Ventes[[#This Row],[Coût matière ligne]]</f>
        <v>0</v>
      </c>
      <c r="K3116" s="7" t="str">
        <f>IFERROR(INDEX(tbl_ProduitsRef[Famille], MATCH(tbl_Ventes[[#This Row],[Cde_Prdt]], tbl_Produits[Cde_Prdt], 0)), "")</f>
        <v/>
      </c>
    </row>
    <row r="3117" spans="1:11" x14ac:dyDescent="0.25">
      <c r="A3117" s="5"/>
      <c r="B3117" s="63" t="str">
        <f>IFERROR(TEXT(tbl_Ventes[[#This Row],[Date]],"mm-aaaa"),"")</f>
        <v>01-1900</v>
      </c>
      <c r="D3117" s="10" t="str">
        <f>IFERROR(
   INDEX(tbl_ProduitsRef[Cde_Prdt],MATCH(tbl_Ventes[[#This Row],[Produit]],tbl_ProduitsRef[Produit],0)),
   ""
)</f>
        <v/>
      </c>
      <c r="E3117" s="7">
        <v>0</v>
      </c>
      <c r="F3117" s="7" t="str">
        <f>IFERROR(
   INDEX(tbl_ProduitsRef[Prix Menu],MATCH(tbl_Ventes[[#This Row],[Produit]],tbl_ProduitsRef[Produit],0)),
   ""
)</f>
        <v/>
      </c>
      <c r="G3117" s="7">
        <f>tbl_Ventes[[#This Row],[Qté Vendue]] * IFERROR(_xlfn.XLOOKUP(tbl_Ventes[[#This Row],[Cde_Prdt]], tbl_Produits[Cde_Prdt], tbl_Produits[Prix Menu]), 0)</f>
        <v>0</v>
      </c>
      <c r="H3117" s="7">
        <f>IFERROR(_xlfn.XLOOKUP(tbl_Ventes[[#This Row],[Cde_Prdt]], tbl_Produits[Cde_Prdt], tbl_Produits[Coût Moyen Portion]), 0)</f>
        <v>0</v>
      </c>
      <c r="I3117" s="7">
        <f>tbl_Ventes[[#This Row],[Qté Vendue]] * tbl_Ventes[[#This Row],[CMP_par_portion]]</f>
        <v>0</v>
      </c>
      <c r="J3117" s="7">
        <f>tbl_Ventes[[#This Row],[CA ligne]] - tbl_Ventes[[#This Row],[Coût matière ligne]]</f>
        <v>0</v>
      </c>
      <c r="K3117" s="7" t="str">
        <f>IFERROR(INDEX(tbl_ProduitsRef[Famille], MATCH(tbl_Ventes[[#This Row],[Cde_Prdt]], tbl_Produits[Cde_Prdt], 0)), "")</f>
        <v/>
      </c>
    </row>
    <row r="3118" spans="1:11" x14ac:dyDescent="0.25">
      <c r="A3118" s="5"/>
      <c r="B3118" s="63" t="str">
        <f>IFERROR(TEXT(tbl_Ventes[[#This Row],[Date]],"mm-aaaa"),"")</f>
        <v>01-1900</v>
      </c>
      <c r="D3118" s="10" t="str">
        <f>IFERROR(
   INDEX(tbl_ProduitsRef[Cde_Prdt],MATCH(tbl_Ventes[[#This Row],[Produit]],tbl_ProduitsRef[Produit],0)),
   ""
)</f>
        <v/>
      </c>
      <c r="E3118" s="7">
        <v>0</v>
      </c>
      <c r="F3118" s="7" t="str">
        <f>IFERROR(
   INDEX(tbl_ProduitsRef[Prix Menu],MATCH(tbl_Ventes[[#This Row],[Produit]],tbl_ProduitsRef[Produit],0)),
   ""
)</f>
        <v/>
      </c>
      <c r="G3118" s="7">
        <f>tbl_Ventes[[#This Row],[Qté Vendue]] * IFERROR(_xlfn.XLOOKUP(tbl_Ventes[[#This Row],[Cde_Prdt]], tbl_Produits[Cde_Prdt], tbl_Produits[Prix Menu]), 0)</f>
        <v>0</v>
      </c>
      <c r="H3118" s="7">
        <f>IFERROR(_xlfn.XLOOKUP(tbl_Ventes[[#This Row],[Cde_Prdt]], tbl_Produits[Cde_Prdt], tbl_Produits[Coût Moyen Portion]), 0)</f>
        <v>0</v>
      </c>
      <c r="I3118" s="7">
        <f>tbl_Ventes[[#This Row],[Qté Vendue]] * tbl_Ventes[[#This Row],[CMP_par_portion]]</f>
        <v>0</v>
      </c>
      <c r="J3118" s="7">
        <f>tbl_Ventes[[#This Row],[CA ligne]] - tbl_Ventes[[#This Row],[Coût matière ligne]]</f>
        <v>0</v>
      </c>
      <c r="K3118" s="7" t="str">
        <f>IFERROR(INDEX(tbl_ProduitsRef[Famille], MATCH(tbl_Ventes[[#This Row],[Cde_Prdt]], tbl_Produits[Cde_Prdt], 0)), "")</f>
        <v/>
      </c>
    </row>
    <row r="3119" spans="1:11" x14ac:dyDescent="0.25">
      <c r="A3119" s="5"/>
      <c r="B3119" s="63" t="str">
        <f>IFERROR(TEXT(tbl_Ventes[[#This Row],[Date]],"mm-aaaa"),"")</f>
        <v>01-1900</v>
      </c>
      <c r="D3119" s="10" t="str">
        <f>IFERROR(
   INDEX(tbl_ProduitsRef[Cde_Prdt],MATCH(tbl_Ventes[[#This Row],[Produit]],tbl_ProduitsRef[Produit],0)),
   ""
)</f>
        <v/>
      </c>
      <c r="E3119" s="7">
        <v>0</v>
      </c>
      <c r="F3119" s="7" t="str">
        <f>IFERROR(
   INDEX(tbl_ProduitsRef[Prix Menu],MATCH(tbl_Ventes[[#This Row],[Produit]],tbl_ProduitsRef[Produit],0)),
   ""
)</f>
        <v/>
      </c>
      <c r="G3119" s="7">
        <f>tbl_Ventes[[#This Row],[Qté Vendue]] * IFERROR(_xlfn.XLOOKUP(tbl_Ventes[[#This Row],[Cde_Prdt]], tbl_Produits[Cde_Prdt], tbl_Produits[Prix Menu]), 0)</f>
        <v>0</v>
      </c>
      <c r="H3119" s="7">
        <f>IFERROR(_xlfn.XLOOKUP(tbl_Ventes[[#This Row],[Cde_Prdt]], tbl_Produits[Cde_Prdt], tbl_Produits[Coût Moyen Portion]), 0)</f>
        <v>0</v>
      </c>
      <c r="I3119" s="7">
        <f>tbl_Ventes[[#This Row],[Qté Vendue]] * tbl_Ventes[[#This Row],[CMP_par_portion]]</f>
        <v>0</v>
      </c>
      <c r="J3119" s="7">
        <f>tbl_Ventes[[#This Row],[CA ligne]] - tbl_Ventes[[#This Row],[Coût matière ligne]]</f>
        <v>0</v>
      </c>
      <c r="K3119" s="7" t="str">
        <f>IFERROR(INDEX(tbl_ProduitsRef[Famille], MATCH(tbl_Ventes[[#This Row],[Cde_Prdt]], tbl_Produits[Cde_Prdt], 0)), "")</f>
        <v/>
      </c>
    </row>
    <row r="3120" spans="1:11" x14ac:dyDescent="0.25">
      <c r="A3120" s="5"/>
      <c r="B3120" s="63" t="str">
        <f>IFERROR(TEXT(tbl_Ventes[[#This Row],[Date]],"mm-aaaa"),"")</f>
        <v>01-1900</v>
      </c>
      <c r="D3120" s="10" t="str">
        <f>IFERROR(
   INDEX(tbl_ProduitsRef[Cde_Prdt],MATCH(tbl_Ventes[[#This Row],[Produit]],tbl_ProduitsRef[Produit],0)),
   ""
)</f>
        <v/>
      </c>
      <c r="E3120" s="7">
        <v>0</v>
      </c>
      <c r="F3120" s="7" t="str">
        <f>IFERROR(
   INDEX(tbl_ProduitsRef[Prix Menu],MATCH(tbl_Ventes[[#This Row],[Produit]],tbl_ProduitsRef[Produit],0)),
   ""
)</f>
        <v/>
      </c>
      <c r="G3120" s="7">
        <f>tbl_Ventes[[#This Row],[Qté Vendue]] * IFERROR(_xlfn.XLOOKUP(tbl_Ventes[[#This Row],[Cde_Prdt]], tbl_Produits[Cde_Prdt], tbl_Produits[Prix Menu]), 0)</f>
        <v>0</v>
      </c>
      <c r="H3120" s="7">
        <f>IFERROR(_xlfn.XLOOKUP(tbl_Ventes[[#This Row],[Cde_Prdt]], tbl_Produits[Cde_Prdt], tbl_Produits[Coût Moyen Portion]), 0)</f>
        <v>0</v>
      </c>
      <c r="I3120" s="7">
        <f>tbl_Ventes[[#This Row],[Qté Vendue]] * tbl_Ventes[[#This Row],[CMP_par_portion]]</f>
        <v>0</v>
      </c>
      <c r="J3120" s="7">
        <f>tbl_Ventes[[#This Row],[CA ligne]] - tbl_Ventes[[#This Row],[Coût matière ligne]]</f>
        <v>0</v>
      </c>
      <c r="K3120" s="7" t="str">
        <f>IFERROR(INDEX(tbl_ProduitsRef[Famille], MATCH(tbl_Ventes[[#This Row],[Cde_Prdt]], tbl_Produits[Cde_Prdt], 0)), "")</f>
        <v/>
      </c>
    </row>
    <row r="3121" spans="1:11" x14ac:dyDescent="0.25">
      <c r="A3121" s="5"/>
      <c r="B3121" s="63" t="str">
        <f>IFERROR(TEXT(tbl_Ventes[[#This Row],[Date]],"mm-aaaa"),"")</f>
        <v>01-1900</v>
      </c>
      <c r="D3121" s="10" t="str">
        <f>IFERROR(
   INDEX(tbl_ProduitsRef[Cde_Prdt],MATCH(tbl_Ventes[[#This Row],[Produit]],tbl_ProduitsRef[Produit],0)),
   ""
)</f>
        <v/>
      </c>
      <c r="E3121" s="7">
        <v>0</v>
      </c>
      <c r="F3121" s="7" t="str">
        <f>IFERROR(
   INDEX(tbl_ProduitsRef[Prix Menu],MATCH(tbl_Ventes[[#This Row],[Produit]],tbl_ProduitsRef[Produit],0)),
   ""
)</f>
        <v/>
      </c>
      <c r="G3121" s="7">
        <f>tbl_Ventes[[#This Row],[Qté Vendue]] * IFERROR(_xlfn.XLOOKUP(tbl_Ventes[[#This Row],[Cde_Prdt]], tbl_Produits[Cde_Prdt], tbl_Produits[Prix Menu]), 0)</f>
        <v>0</v>
      </c>
      <c r="H3121" s="7">
        <f>IFERROR(_xlfn.XLOOKUP(tbl_Ventes[[#This Row],[Cde_Prdt]], tbl_Produits[Cde_Prdt], tbl_Produits[Coût Moyen Portion]), 0)</f>
        <v>0</v>
      </c>
      <c r="I3121" s="7">
        <f>tbl_Ventes[[#This Row],[Qté Vendue]] * tbl_Ventes[[#This Row],[CMP_par_portion]]</f>
        <v>0</v>
      </c>
      <c r="J3121" s="7">
        <f>tbl_Ventes[[#This Row],[CA ligne]] - tbl_Ventes[[#This Row],[Coût matière ligne]]</f>
        <v>0</v>
      </c>
      <c r="K3121" s="7" t="str">
        <f>IFERROR(INDEX(tbl_ProduitsRef[Famille], MATCH(tbl_Ventes[[#This Row],[Cde_Prdt]], tbl_Produits[Cde_Prdt], 0)), "")</f>
        <v/>
      </c>
    </row>
    <row r="3122" spans="1:11" x14ac:dyDescent="0.25">
      <c r="A3122" s="5"/>
      <c r="B3122" s="63" t="str">
        <f>IFERROR(TEXT(tbl_Ventes[[#This Row],[Date]],"mm-aaaa"),"")</f>
        <v>01-1900</v>
      </c>
      <c r="D3122" s="10" t="str">
        <f>IFERROR(
   INDEX(tbl_ProduitsRef[Cde_Prdt],MATCH(tbl_Ventes[[#This Row],[Produit]],tbl_ProduitsRef[Produit],0)),
   ""
)</f>
        <v/>
      </c>
      <c r="E3122" s="7">
        <v>0</v>
      </c>
      <c r="F3122" s="7" t="str">
        <f>IFERROR(
   INDEX(tbl_ProduitsRef[Prix Menu],MATCH(tbl_Ventes[[#This Row],[Produit]],tbl_ProduitsRef[Produit],0)),
   ""
)</f>
        <v/>
      </c>
      <c r="G3122" s="7">
        <f>tbl_Ventes[[#This Row],[Qté Vendue]] * IFERROR(_xlfn.XLOOKUP(tbl_Ventes[[#This Row],[Cde_Prdt]], tbl_Produits[Cde_Prdt], tbl_Produits[Prix Menu]), 0)</f>
        <v>0</v>
      </c>
      <c r="H3122" s="7">
        <f>IFERROR(_xlfn.XLOOKUP(tbl_Ventes[[#This Row],[Cde_Prdt]], tbl_Produits[Cde_Prdt], tbl_Produits[Coût Moyen Portion]), 0)</f>
        <v>0</v>
      </c>
      <c r="I3122" s="7">
        <f>tbl_Ventes[[#This Row],[Qté Vendue]] * tbl_Ventes[[#This Row],[CMP_par_portion]]</f>
        <v>0</v>
      </c>
      <c r="J3122" s="7">
        <f>tbl_Ventes[[#This Row],[CA ligne]] - tbl_Ventes[[#This Row],[Coût matière ligne]]</f>
        <v>0</v>
      </c>
      <c r="K3122" s="7" t="str">
        <f>IFERROR(INDEX(tbl_ProduitsRef[Famille], MATCH(tbl_Ventes[[#This Row],[Cde_Prdt]], tbl_Produits[Cde_Prdt], 0)), "")</f>
        <v/>
      </c>
    </row>
    <row r="3123" spans="1:11" x14ac:dyDescent="0.25">
      <c r="A3123" s="5"/>
      <c r="B3123" s="63" t="str">
        <f>IFERROR(TEXT(tbl_Ventes[[#This Row],[Date]],"mm-aaaa"),"")</f>
        <v>01-1900</v>
      </c>
      <c r="D3123" s="10" t="str">
        <f>IFERROR(
   INDEX(tbl_ProduitsRef[Cde_Prdt],MATCH(tbl_Ventes[[#This Row],[Produit]],tbl_ProduitsRef[Produit],0)),
   ""
)</f>
        <v/>
      </c>
      <c r="E3123" s="7">
        <v>0</v>
      </c>
      <c r="F3123" s="7" t="str">
        <f>IFERROR(
   INDEX(tbl_ProduitsRef[Prix Menu],MATCH(tbl_Ventes[[#This Row],[Produit]],tbl_ProduitsRef[Produit],0)),
   ""
)</f>
        <v/>
      </c>
      <c r="G3123" s="7">
        <f>tbl_Ventes[[#This Row],[Qté Vendue]] * IFERROR(_xlfn.XLOOKUP(tbl_Ventes[[#This Row],[Cde_Prdt]], tbl_Produits[Cde_Prdt], tbl_Produits[Prix Menu]), 0)</f>
        <v>0</v>
      </c>
      <c r="H3123" s="7">
        <f>IFERROR(_xlfn.XLOOKUP(tbl_Ventes[[#This Row],[Cde_Prdt]], tbl_Produits[Cde_Prdt], tbl_Produits[Coût Moyen Portion]), 0)</f>
        <v>0</v>
      </c>
      <c r="I3123" s="7">
        <f>tbl_Ventes[[#This Row],[Qté Vendue]] * tbl_Ventes[[#This Row],[CMP_par_portion]]</f>
        <v>0</v>
      </c>
      <c r="J3123" s="7">
        <f>tbl_Ventes[[#This Row],[CA ligne]] - tbl_Ventes[[#This Row],[Coût matière ligne]]</f>
        <v>0</v>
      </c>
      <c r="K3123" s="7" t="str">
        <f>IFERROR(INDEX(tbl_ProduitsRef[Famille], MATCH(tbl_Ventes[[#This Row],[Cde_Prdt]], tbl_Produits[Cde_Prdt], 0)), "")</f>
        <v/>
      </c>
    </row>
    <row r="3124" spans="1:11" x14ac:dyDescent="0.25">
      <c r="A3124" s="5"/>
      <c r="B3124" s="63" t="str">
        <f>IFERROR(TEXT(tbl_Ventes[[#This Row],[Date]],"mm-aaaa"),"")</f>
        <v>01-1900</v>
      </c>
      <c r="D3124" s="10" t="str">
        <f>IFERROR(
   INDEX(tbl_ProduitsRef[Cde_Prdt],MATCH(tbl_Ventes[[#This Row],[Produit]],tbl_ProduitsRef[Produit],0)),
   ""
)</f>
        <v/>
      </c>
      <c r="E3124" s="7">
        <v>0</v>
      </c>
      <c r="F3124" s="7" t="str">
        <f>IFERROR(
   INDEX(tbl_ProduitsRef[Prix Menu],MATCH(tbl_Ventes[[#This Row],[Produit]],tbl_ProduitsRef[Produit],0)),
   ""
)</f>
        <v/>
      </c>
      <c r="G3124" s="7">
        <f>tbl_Ventes[[#This Row],[Qté Vendue]] * IFERROR(_xlfn.XLOOKUP(tbl_Ventes[[#This Row],[Cde_Prdt]], tbl_Produits[Cde_Prdt], tbl_Produits[Prix Menu]), 0)</f>
        <v>0</v>
      </c>
      <c r="H3124" s="7">
        <f>IFERROR(_xlfn.XLOOKUP(tbl_Ventes[[#This Row],[Cde_Prdt]], tbl_Produits[Cde_Prdt], tbl_Produits[Coût Moyen Portion]), 0)</f>
        <v>0</v>
      </c>
      <c r="I3124" s="7">
        <f>tbl_Ventes[[#This Row],[Qté Vendue]] * tbl_Ventes[[#This Row],[CMP_par_portion]]</f>
        <v>0</v>
      </c>
      <c r="J3124" s="7">
        <f>tbl_Ventes[[#This Row],[CA ligne]] - tbl_Ventes[[#This Row],[Coût matière ligne]]</f>
        <v>0</v>
      </c>
      <c r="K3124" s="7" t="str">
        <f>IFERROR(INDEX(tbl_ProduitsRef[Famille], MATCH(tbl_Ventes[[#This Row],[Cde_Prdt]], tbl_Produits[Cde_Prdt], 0)), "")</f>
        <v/>
      </c>
    </row>
    <row r="3125" spans="1:11" x14ac:dyDescent="0.25">
      <c r="A3125" s="5"/>
      <c r="B3125" s="63" t="str">
        <f>IFERROR(TEXT(tbl_Ventes[[#This Row],[Date]],"mm-aaaa"),"")</f>
        <v>01-1900</v>
      </c>
      <c r="D3125" s="10" t="str">
        <f>IFERROR(
   INDEX(tbl_ProduitsRef[Cde_Prdt],MATCH(tbl_Ventes[[#This Row],[Produit]],tbl_ProduitsRef[Produit],0)),
   ""
)</f>
        <v/>
      </c>
      <c r="E3125" s="7">
        <v>0</v>
      </c>
      <c r="F3125" s="7" t="str">
        <f>IFERROR(
   INDEX(tbl_ProduitsRef[Prix Menu],MATCH(tbl_Ventes[[#This Row],[Produit]],tbl_ProduitsRef[Produit],0)),
   ""
)</f>
        <v/>
      </c>
      <c r="G3125" s="7">
        <f>tbl_Ventes[[#This Row],[Qté Vendue]] * IFERROR(_xlfn.XLOOKUP(tbl_Ventes[[#This Row],[Cde_Prdt]], tbl_Produits[Cde_Prdt], tbl_Produits[Prix Menu]), 0)</f>
        <v>0</v>
      </c>
      <c r="H3125" s="7">
        <f>IFERROR(_xlfn.XLOOKUP(tbl_Ventes[[#This Row],[Cde_Prdt]], tbl_Produits[Cde_Prdt], tbl_Produits[Coût Moyen Portion]), 0)</f>
        <v>0</v>
      </c>
      <c r="I3125" s="7">
        <f>tbl_Ventes[[#This Row],[Qté Vendue]] * tbl_Ventes[[#This Row],[CMP_par_portion]]</f>
        <v>0</v>
      </c>
      <c r="J3125" s="7">
        <f>tbl_Ventes[[#This Row],[CA ligne]] - tbl_Ventes[[#This Row],[Coût matière ligne]]</f>
        <v>0</v>
      </c>
      <c r="K3125" s="7" t="str">
        <f>IFERROR(INDEX(tbl_ProduitsRef[Famille], MATCH(tbl_Ventes[[#This Row],[Cde_Prdt]], tbl_Produits[Cde_Prdt], 0)), "")</f>
        <v/>
      </c>
    </row>
    <row r="3126" spans="1:11" x14ac:dyDescent="0.25">
      <c r="A3126" s="5"/>
      <c r="B3126" s="63" t="str">
        <f>IFERROR(TEXT(tbl_Ventes[[#This Row],[Date]],"mm-aaaa"),"")</f>
        <v>01-1900</v>
      </c>
      <c r="D3126" s="10" t="str">
        <f>IFERROR(
   INDEX(tbl_ProduitsRef[Cde_Prdt],MATCH(tbl_Ventes[[#This Row],[Produit]],tbl_ProduitsRef[Produit],0)),
   ""
)</f>
        <v/>
      </c>
      <c r="E3126" s="7">
        <v>0</v>
      </c>
      <c r="F3126" s="7" t="str">
        <f>IFERROR(
   INDEX(tbl_ProduitsRef[Prix Menu],MATCH(tbl_Ventes[[#This Row],[Produit]],tbl_ProduitsRef[Produit],0)),
   ""
)</f>
        <v/>
      </c>
      <c r="G3126" s="7">
        <f>tbl_Ventes[[#This Row],[Qté Vendue]] * IFERROR(_xlfn.XLOOKUP(tbl_Ventes[[#This Row],[Cde_Prdt]], tbl_Produits[Cde_Prdt], tbl_Produits[Prix Menu]), 0)</f>
        <v>0</v>
      </c>
      <c r="H3126" s="7">
        <f>IFERROR(_xlfn.XLOOKUP(tbl_Ventes[[#This Row],[Cde_Prdt]], tbl_Produits[Cde_Prdt], tbl_Produits[Coût Moyen Portion]), 0)</f>
        <v>0</v>
      </c>
      <c r="I3126" s="7">
        <f>tbl_Ventes[[#This Row],[Qté Vendue]] * tbl_Ventes[[#This Row],[CMP_par_portion]]</f>
        <v>0</v>
      </c>
      <c r="J3126" s="7">
        <f>tbl_Ventes[[#This Row],[CA ligne]] - tbl_Ventes[[#This Row],[Coût matière ligne]]</f>
        <v>0</v>
      </c>
      <c r="K3126" s="7" t="str">
        <f>IFERROR(INDEX(tbl_ProduitsRef[Famille], MATCH(tbl_Ventes[[#This Row],[Cde_Prdt]], tbl_Produits[Cde_Prdt], 0)), "")</f>
        <v/>
      </c>
    </row>
    <row r="3127" spans="1:11" x14ac:dyDescent="0.25">
      <c r="A3127" s="5"/>
      <c r="B3127" s="63" t="str">
        <f>IFERROR(TEXT(tbl_Ventes[[#This Row],[Date]],"mm-aaaa"),"")</f>
        <v>01-1900</v>
      </c>
      <c r="D3127" s="10" t="str">
        <f>IFERROR(
   INDEX(tbl_ProduitsRef[Cde_Prdt],MATCH(tbl_Ventes[[#This Row],[Produit]],tbl_ProduitsRef[Produit],0)),
   ""
)</f>
        <v/>
      </c>
      <c r="E3127" s="7">
        <v>0</v>
      </c>
      <c r="F3127" s="7" t="str">
        <f>IFERROR(
   INDEX(tbl_ProduitsRef[Prix Menu],MATCH(tbl_Ventes[[#This Row],[Produit]],tbl_ProduitsRef[Produit],0)),
   ""
)</f>
        <v/>
      </c>
      <c r="G3127" s="7">
        <f>tbl_Ventes[[#This Row],[Qté Vendue]] * IFERROR(_xlfn.XLOOKUP(tbl_Ventes[[#This Row],[Cde_Prdt]], tbl_Produits[Cde_Prdt], tbl_Produits[Prix Menu]), 0)</f>
        <v>0</v>
      </c>
      <c r="H3127" s="7">
        <f>IFERROR(_xlfn.XLOOKUP(tbl_Ventes[[#This Row],[Cde_Prdt]], tbl_Produits[Cde_Prdt], tbl_Produits[Coût Moyen Portion]), 0)</f>
        <v>0</v>
      </c>
      <c r="I3127" s="7">
        <f>tbl_Ventes[[#This Row],[Qté Vendue]] * tbl_Ventes[[#This Row],[CMP_par_portion]]</f>
        <v>0</v>
      </c>
      <c r="J3127" s="7">
        <f>tbl_Ventes[[#This Row],[CA ligne]] - tbl_Ventes[[#This Row],[Coût matière ligne]]</f>
        <v>0</v>
      </c>
      <c r="K3127" s="7" t="str">
        <f>IFERROR(INDEX(tbl_ProduitsRef[Famille], MATCH(tbl_Ventes[[#This Row],[Cde_Prdt]], tbl_Produits[Cde_Prdt], 0)), "")</f>
        <v/>
      </c>
    </row>
    <row r="3128" spans="1:11" x14ac:dyDescent="0.25">
      <c r="A3128" s="5"/>
      <c r="B3128" s="63" t="str">
        <f>IFERROR(TEXT(tbl_Ventes[[#This Row],[Date]],"mm-aaaa"),"")</f>
        <v>01-1900</v>
      </c>
      <c r="D3128" s="10" t="str">
        <f>IFERROR(
   INDEX(tbl_ProduitsRef[Cde_Prdt],MATCH(tbl_Ventes[[#This Row],[Produit]],tbl_ProduitsRef[Produit],0)),
   ""
)</f>
        <v/>
      </c>
      <c r="E3128" s="7">
        <v>0</v>
      </c>
      <c r="F3128" s="7" t="str">
        <f>IFERROR(
   INDEX(tbl_ProduitsRef[Prix Menu],MATCH(tbl_Ventes[[#This Row],[Produit]],tbl_ProduitsRef[Produit],0)),
   ""
)</f>
        <v/>
      </c>
      <c r="G3128" s="7">
        <f>tbl_Ventes[[#This Row],[Qté Vendue]] * IFERROR(_xlfn.XLOOKUP(tbl_Ventes[[#This Row],[Cde_Prdt]], tbl_Produits[Cde_Prdt], tbl_Produits[Prix Menu]), 0)</f>
        <v>0</v>
      </c>
      <c r="H3128" s="7">
        <f>IFERROR(_xlfn.XLOOKUP(tbl_Ventes[[#This Row],[Cde_Prdt]], tbl_Produits[Cde_Prdt], tbl_Produits[Coût Moyen Portion]), 0)</f>
        <v>0</v>
      </c>
      <c r="I3128" s="7">
        <f>tbl_Ventes[[#This Row],[Qté Vendue]] * tbl_Ventes[[#This Row],[CMP_par_portion]]</f>
        <v>0</v>
      </c>
      <c r="J3128" s="7">
        <f>tbl_Ventes[[#This Row],[CA ligne]] - tbl_Ventes[[#This Row],[Coût matière ligne]]</f>
        <v>0</v>
      </c>
      <c r="K3128" s="7" t="str">
        <f>IFERROR(INDEX(tbl_ProduitsRef[Famille], MATCH(tbl_Ventes[[#This Row],[Cde_Prdt]], tbl_Produits[Cde_Prdt], 0)), "")</f>
        <v/>
      </c>
    </row>
    <row r="3129" spans="1:11" x14ac:dyDescent="0.25">
      <c r="A3129" s="5"/>
      <c r="B3129" s="63" t="str">
        <f>IFERROR(TEXT(tbl_Ventes[[#This Row],[Date]],"mm-aaaa"),"")</f>
        <v>01-1900</v>
      </c>
      <c r="D3129" s="10" t="str">
        <f>IFERROR(
   INDEX(tbl_ProduitsRef[Cde_Prdt],MATCH(tbl_Ventes[[#This Row],[Produit]],tbl_ProduitsRef[Produit],0)),
   ""
)</f>
        <v/>
      </c>
      <c r="E3129" s="7">
        <v>0</v>
      </c>
      <c r="F3129" s="7" t="str">
        <f>IFERROR(
   INDEX(tbl_ProduitsRef[Prix Menu],MATCH(tbl_Ventes[[#This Row],[Produit]],tbl_ProduitsRef[Produit],0)),
   ""
)</f>
        <v/>
      </c>
      <c r="G3129" s="7">
        <f>tbl_Ventes[[#This Row],[Qté Vendue]] * IFERROR(_xlfn.XLOOKUP(tbl_Ventes[[#This Row],[Cde_Prdt]], tbl_Produits[Cde_Prdt], tbl_Produits[Prix Menu]), 0)</f>
        <v>0</v>
      </c>
      <c r="H3129" s="7">
        <f>IFERROR(_xlfn.XLOOKUP(tbl_Ventes[[#This Row],[Cde_Prdt]], tbl_Produits[Cde_Prdt], tbl_Produits[Coût Moyen Portion]), 0)</f>
        <v>0</v>
      </c>
      <c r="I3129" s="7">
        <f>tbl_Ventes[[#This Row],[Qté Vendue]] * tbl_Ventes[[#This Row],[CMP_par_portion]]</f>
        <v>0</v>
      </c>
      <c r="J3129" s="7">
        <f>tbl_Ventes[[#This Row],[CA ligne]] - tbl_Ventes[[#This Row],[Coût matière ligne]]</f>
        <v>0</v>
      </c>
      <c r="K3129" s="7" t="str">
        <f>IFERROR(INDEX(tbl_ProduitsRef[Famille], MATCH(tbl_Ventes[[#This Row],[Cde_Prdt]], tbl_Produits[Cde_Prdt], 0)), "")</f>
        <v/>
      </c>
    </row>
    <row r="3130" spans="1:11" x14ac:dyDescent="0.25">
      <c r="A3130" s="5"/>
      <c r="B3130" s="63" t="str">
        <f>IFERROR(TEXT(tbl_Ventes[[#This Row],[Date]],"mm-aaaa"),"")</f>
        <v>01-1900</v>
      </c>
      <c r="D3130" s="10" t="str">
        <f>IFERROR(
   INDEX(tbl_ProduitsRef[Cde_Prdt],MATCH(tbl_Ventes[[#This Row],[Produit]],tbl_ProduitsRef[Produit],0)),
   ""
)</f>
        <v/>
      </c>
      <c r="E3130" s="7">
        <v>0</v>
      </c>
      <c r="F3130" s="7" t="str">
        <f>IFERROR(
   INDEX(tbl_ProduitsRef[Prix Menu],MATCH(tbl_Ventes[[#This Row],[Produit]],tbl_ProduitsRef[Produit],0)),
   ""
)</f>
        <v/>
      </c>
      <c r="G3130" s="7">
        <f>tbl_Ventes[[#This Row],[Qté Vendue]] * IFERROR(_xlfn.XLOOKUP(tbl_Ventes[[#This Row],[Cde_Prdt]], tbl_Produits[Cde_Prdt], tbl_Produits[Prix Menu]), 0)</f>
        <v>0</v>
      </c>
      <c r="H3130" s="7">
        <f>IFERROR(_xlfn.XLOOKUP(tbl_Ventes[[#This Row],[Cde_Prdt]], tbl_Produits[Cde_Prdt], tbl_Produits[Coût Moyen Portion]), 0)</f>
        <v>0</v>
      </c>
      <c r="I3130" s="7">
        <f>tbl_Ventes[[#This Row],[Qté Vendue]] * tbl_Ventes[[#This Row],[CMP_par_portion]]</f>
        <v>0</v>
      </c>
      <c r="J3130" s="7">
        <f>tbl_Ventes[[#This Row],[CA ligne]] - tbl_Ventes[[#This Row],[Coût matière ligne]]</f>
        <v>0</v>
      </c>
      <c r="K3130" s="7" t="str">
        <f>IFERROR(INDEX(tbl_ProduitsRef[Famille], MATCH(tbl_Ventes[[#This Row],[Cde_Prdt]], tbl_Produits[Cde_Prdt], 0)), "")</f>
        <v/>
      </c>
    </row>
    <row r="3131" spans="1:11" x14ac:dyDescent="0.25">
      <c r="A3131" s="5"/>
      <c r="B3131" s="63" t="str">
        <f>IFERROR(TEXT(tbl_Ventes[[#This Row],[Date]],"mm-aaaa"),"")</f>
        <v>01-1900</v>
      </c>
      <c r="D3131" s="10" t="str">
        <f>IFERROR(
   INDEX(tbl_ProduitsRef[Cde_Prdt],MATCH(tbl_Ventes[[#This Row],[Produit]],tbl_ProduitsRef[Produit],0)),
   ""
)</f>
        <v/>
      </c>
      <c r="E3131" s="7">
        <v>0</v>
      </c>
      <c r="F3131" s="7" t="str">
        <f>IFERROR(
   INDEX(tbl_ProduitsRef[Prix Menu],MATCH(tbl_Ventes[[#This Row],[Produit]],tbl_ProduitsRef[Produit],0)),
   ""
)</f>
        <v/>
      </c>
      <c r="G3131" s="7">
        <f>tbl_Ventes[[#This Row],[Qté Vendue]] * IFERROR(_xlfn.XLOOKUP(tbl_Ventes[[#This Row],[Cde_Prdt]], tbl_Produits[Cde_Prdt], tbl_Produits[Prix Menu]), 0)</f>
        <v>0</v>
      </c>
      <c r="H3131" s="7">
        <f>IFERROR(_xlfn.XLOOKUP(tbl_Ventes[[#This Row],[Cde_Prdt]], tbl_Produits[Cde_Prdt], tbl_Produits[Coût Moyen Portion]), 0)</f>
        <v>0</v>
      </c>
      <c r="I3131" s="7">
        <f>tbl_Ventes[[#This Row],[Qté Vendue]] * tbl_Ventes[[#This Row],[CMP_par_portion]]</f>
        <v>0</v>
      </c>
      <c r="J3131" s="7">
        <f>tbl_Ventes[[#This Row],[CA ligne]] - tbl_Ventes[[#This Row],[Coût matière ligne]]</f>
        <v>0</v>
      </c>
      <c r="K3131" s="7" t="str">
        <f>IFERROR(INDEX(tbl_ProduitsRef[Famille], MATCH(tbl_Ventes[[#This Row],[Cde_Prdt]], tbl_Produits[Cde_Prdt], 0)), "")</f>
        <v/>
      </c>
    </row>
    <row r="3132" spans="1:11" x14ac:dyDescent="0.25">
      <c r="A3132" s="5"/>
      <c r="B3132" s="63" t="str">
        <f>IFERROR(TEXT(tbl_Ventes[[#This Row],[Date]],"mm-aaaa"),"")</f>
        <v>01-1900</v>
      </c>
      <c r="D3132" s="10" t="str">
        <f>IFERROR(
   INDEX(tbl_ProduitsRef[Cde_Prdt],MATCH(tbl_Ventes[[#This Row],[Produit]],tbl_ProduitsRef[Produit],0)),
   ""
)</f>
        <v/>
      </c>
      <c r="E3132" s="7">
        <v>0</v>
      </c>
      <c r="F3132" s="7" t="str">
        <f>IFERROR(
   INDEX(tbl_ProduitsRef[Prix Menu],MATCH(tbl_Ventes[[#This Row],[Produit]],tbl_ProduitsRef[Produit],0)),
   ""
)</f>
        <v/>
      </c>
      <c r="G3132" s="7">
        <f>tbl_Ventes[[#This Row],[Qté Vendue]] * IFERROR(_xlfn.XLOOKUP(tbl_Ventes[[#This Row],[Cde_Prdt]], tbl_Produits[Cde_Prdt], tbl_Produits[Prix Menu]), 0)</f>
        <v>0</v>
      </c>
      <c r="H3132" s="7">
        <f>IFERROR(_xlfn.XLOOKUP(tbl_Ventes[[#This Row],[Cde_Prdt]], tbl_Produits[Cde_Prdt], tbl_Produits[Coût Moyen Portion]), 0)</f>
        <v>0</v>
      </c>
      <c r="I3132" s="7">
        <f>tbl_Ventes[[#This Row],[Qté Vendue]] * tbl_Ventes[[#This Row],[CMP_par_portion]]</f>
        <v>0</v>
      </c>
      <c r="J3132" s="7">
        <f>tbl_Ventes[[#This Row],[CA ligne]] - tbl_Ventes[[#This Row],[Coût matière ligne]]</f>
        <v>0</v>
      </c>
      <c r="K3132" s="7" t="str">
        <f>IFERROR(INDEX(tbl_ProduitsRef[Famille], MATCH(tbl_Ventes[[#This Row],[Cde_Prdt]], tbl_Produits[Cde_Prdt], 0)), "")</f>
        <v/>
      </c>
    </row>
    <row r="3133" spans="1:11" x14ac:dyDescent="0.25">
      <c r="A3133" s="5"/>
      <c r="B3133" s="63" t="str">
        <f>IFERROR(TEXT(tbl_Ventes[[#This Row],[Date]],"mm-aaaa"),"")</f>
        <v>01-1900</v>
      </c>
      <c r="D3133" s="10" t="str">
        <f>IFERROR(
   INDEX(tbl_ProduitsRef[Cde_Prdt],MATCH(tbl_Ventes[[#This Row],[Produit]],tbl_ProduitsRef[Produit],0)),
   ""
)</f>
        <v/>
      </c>
      <c r="E3133" s="7">
        <v>0</v>
      </c>
      <c r="F3133" s="7" t="str">
        <f>IFERROR(
   INDEX(tbl_ProduitsRef[Prix Menu],MATCH(tbl_Ventes[[#This Row],[Produit]],tbl_ProduitsRef[Produit],0)),
   ""
)</f>
        <v/>
      </c>
      <c r="G3133" s="7">
        <f>tbl_Ventes[[#This Row],[Qté Vendue]] * IFERROR(_xlfn.XLOOKUP(tbl_Ventes[[#This Row],[Cde_Prdt]], tbl_Produits[Cde_Prdt], tbl_Produits[Prix Menu]), 0)</f>
        <v>0</v>
      </c>
      <c r="H3133" s="7">
        <f>IFERROR(_xlfn.XLOOKUP(tbl_Ventes[[#This Row],[Cde_Prdt]], tbl_Produits[Cde_Prdt], tbl_Produits[Coût Moyen Portion]), 0)</f>
        <v>0</v>
      </c>
      <c r="I3133" s="7">
        <f>tbl_Ventes[[#This Row],[Qté Vendue]] * tbl_Ventes[[#This Row],[CMP_par_portion]]</f>
        <v>0</v>
      </c>
      <c r="J3133" s="7">
        <f>tbl_Ventes[[#This Row],[CA ligne]] - tbl_Ventes[[#This Row],[Coût matière ligne]]</f>
        <v>0</v>
      </c>
      <c r="K3133" s="7" t="str">
        <f>IFERROR(INDEX(tbl_ProduitsRef[Famille], MATCH(tbl_Ventes[[#This Row],[Cde_Prdt]], tbl_Produits[Cde_Prdt], 0)), "")</f>
        <v/>
      </c>
    </row>
    <row r="3134" spans="1:11" x14ac:dyDescent="0.25">
      <c r="A3134" s="5"/>
      <c r="B3134" s="63" t="str">
        <f>IFERROR(TEXT(tbl_Ventes[[#This Row],[Date]],"mm-aaaa"),"")</f>
        <v>01-1900</v>
      </c>
      <c r="D3134" s="10" t="str">
        <f>IFERROR(
   INDEX(tbl_ProduitsRef[Cde_Prdt],MATCH(tbl_Ventes[[#This Row],[Produit]],tbl_ProduitsRef[Produit],0)),
   ""
)</f>
        <v/>
      </c>
      <c r="E3134" s="7">
        <v>0</v>
      </c>
      <c r="F3134" s="7" t="str">
        <f>IFERROR(
   INDEX(tbl_ProduitsRef[Prix Menu],MATCH(tbl_Ventes[[#This Row],[Produit]],tbl_ProduitsRef[Produit],0)),
   ""
)</f>
        <v/>
      </c>
      <c r="G3134" s="7">
        <f>tbl_Ventes[[#This Row],[Qté Vendue]] * IFERROR(_xlfn.XLOOKUP(tbl_Ventes[[#This Row],[Cde_Prdt]], tbl_Produits[Cde_Prdt], tbl_Produits[Prix Menu]), 0)</f>
        <v>0</v>
      </c>
      <c r="H3134" s="7">
        <f>IFERROR(_xlfn.XLOOKUP(tbl_Ventes[[#This Row],[Cde_Prdt]], tbl_Produits[Cde_Prdt], tbl_Produits[Coût Moyen Portion]), 0)</f>
        <v>0</v>
      </c>
      <c r="I3134" s="7">
        <f>tbl_Ventes[[#This Row],[Qté Vendue]] * tbl_Ventes[[#This Row],[CMP_par_portion]]</f>
        <v>0</v>
      </c>
      <c r="J3134" s="7">
        <f>tbl_Ventes[[#This Row],[CA ligne]] - tbl_Ventes[[#This Row],[Coût matière ligne]]</f>
        <v>0</v>
      </c>
      <c r="K3134" s="7" t="str">
        <f>IFERROR(INDEX(tbl_ProduitsRef[Famille], MATCH(tbl_Ventes[[#This Row],[Cde_Prdt]], tbl_Produits[Cde_Prdt], 0)), "")</f>
        <v/>
      </c>
    </row>
    <row r="3135" spans="1:11" x14ac:dyDescent="0.25">
      <c r="A3135" s="5"/>
      <c r="B3135" s="63" t="str">
        <f>IFERROR(TEXT(tbl_Ventes[[#This Row],[Date]],"mm-aaaa"),"")</f>
        <v>01-1900</v>
      </c>
      <c r="D3135" s="10" t="str">
        <f>IFERROR(
   INDEX(tbl_ProduitsRef[Cde_Prdt],MATCH(tbl_Ventes[[#This Row],[Produit]],tbl_ProduitsRef[Produit],0)),
   ""
)</f>
        <v/>
      </c>
      <c r="E3135" s="7">
        <v>0</v>
      </c>
      <c r="F3135" s="7" t="str">
        <f>IFERROR(
   INDEX(tbl_ProduitsRef[Prix Menu],MATCH(tbl_Ventes[[#This Row],[Produit]],tbl_ProduitsRef[Produit],0)),
   ""
)</f>
        <v/>
      </c>
      <c r="G3135" s="7">
        <f>tbl_Ventes[[#This Row],[Qté Vendue]] * IFERROR(_xlfn.XLOOKUP(tbl_Ventes[[#This Row],[Cde_Prdt]], tbl_Produits[Cde_Prdt], tbl_Produits[Prix Menu]), 0)</f>
        <v>0</v>
      </c>
      <c r="H3135" s="7">
        <f>IFERROR(_xlfn.XLOOKUP(tbl_Ventes[[#This Row],[Cde_Prdt]], tbl_Produits[Cde_Prdt], tbl_Produits[Coût Moyen Portion]), 0)</f>
        <v>0</v>
      </c>
      <c r="I3135" s="7">
        <f>tbl_Ventes[[#This Row],[Qté Vendue]] * tbl_Ventes[[#This Row],[CMP_par_portion]]</f>
        <v>0</v>
      </c>
      <c r="J3135" s="7">
        <f>tbl_Ventes[[#This Row],[CA ligne]] - tbl_Ventes[[#This Row],[Coût matière ligne]]</f>
        <v>0</v>
      </c>
      <c r="K3135" s="7" t="str">
        <f>IFERROR(INDEX(tbl_ProduitsRef[Famille], MATCH(tbl_Ventes[[#This Row],[Cde_Prdt]], tbl_Produits[Cde_Prdt], 0)), "")</f>
        <v/>
      </c>
    </row>
    <row r="3136" spans="1:11" x14ac:dyDescent="0.25">
      <c r="A3136" s="5"/>
      <c r="B3136" s="63" t="str">
        <f>IFERROR(TEXT(tbl_Ventes[[#This Row],[Date]],"mm-aaaa"),"")</f>
        <v>01-1900</v>
      </c>
      <c r="D3136" s="10" t="str">
        <f>IFERROR(
   INDEX(tbl_ProduitsRef[Cde_Prdt],MATCH(tbl_Ventes[[#This Row],[Produit]],tbl_ProduitsRef[Produit],0)),
   ""
)</f>
        <v/>
      </c>
      <c r="E3136" s="7">
        <v>0</v>
      </c>
      <c r="F3136" s="7" t="str">
        <f>IFERROR(
   INDEX(tbl_ProduitsRef[Prix Menu],MATCH(tbl_Ventes[[#This Row],[Produit]],tbl_ProduitsRef[Produit],0)),
   ""
)</f>
        <v/>
      </c>
      <c r="G3136" s="7">
        <f>tbl_Ventes[[#This Row],[Qté Vendue]] * IFERROR(_xlfn.XLOOKUP(tbl_Ventes[[#This Row],[Cde_Prdt]], tbl_Produits[Cde_Prdt], tbl_Produits[Prix Menu]), 0)</f>
        <v>0</v>
      </c>
      <c r="H3136" s="7">
        <f>IFERROR(_xlfn.XLOOKUP(tbl_Ventes[[#This Row],[Cde_Prdt]], tbl_Produits[Cde_Prdt], tbl_Produits[Coût Moyen Portion]), 0)</f>
        <v>0</v>
      </c>
      <c r="I3136" s="7">
        <f>tbl_Ventes[[#This Row],[Qté Vendue]] * tbl_Ventes[[#This Row],[CMP_par_portion]]</f>
        <v>0</v>
      </c>
      <c r="J3136" s="7">
        <f>tbl_Ventes[[#This Row],[CA ligne]] - tbl_Ventes[[#This Row],[Coût matière ligne]]</f>
        <v>0</v>
      </c>
      <c r="K3136" s="7" t="str">
        <f>IFERROR(INDEX(tbl_ProduitsRef[Famille], MATCH(tbl_Ventes[[#This Row],[Cde_Prdt]], tbl_Produits[Cde_Prdt], 0)), "")</f>
        <v/>
      </c>
    </row>
    <row r="3137" spans="1:11" x14ac:dyDescent="0.25">
      <c r="A3137" s="5"/>
      <c r="B3137" s="63" t="str">
        <f>IFERROR(TEXT(tbl_Ventes[[#This Row],[Date]],"mm-aaaa"),"")</f>
        <v>01-1900</v>
      </c>
      <c r="D3137" s="10" t="str">
        <f>IFERROR(
   INDEX(tbl_ProduitsRef[Cde_Prdt],MATCH(tbl_Ventes[[#This Row],[Produit]],tbl_ProduitsRef[Produit],0)),
   ""
)</f>
        <v/>
      </c>
      <c r="E3137" s="7">
        <v>0</v>
      </c>
      <c r="F3137" s="7" t="str">
        <f>IFERROR(
   INDEX(tbl_ProduitsRef[Prix Menu],MATCH(tbl_Ventes[[#This Row],[Produit]],tbl_ProduitsRef[Produit],0)),
   ""
)</f>
        <v/>
      </c>
      <c r="G3137" s="7">
        <f>tbl_Ventes[[#This Row],[Qté Vendue]] * IFERROR(_xlfn.XLOOKUP(tbl_Ventes[[#This Row],[Cde_Prdt]], tbl_Produits[Cde_Prdt], tbl_Produits[Prix Menu]), 0)</f>
        <v>0</v>
      </c>
      <c r="H3137" s="7">
        <f>IFERROR(_xlfn.XLOOKUP(tbl_Ventes[[#This Row],[Cde_Prdt]], tbl_Produits[Cde_Prdt], tbl_Produits[Coût Moyen Portion]), 0)</f>
        <v>0</v>
      </c>
      <c r="I3137" s="7">
        <f>tbl_Ventes[[#This Row],[Qté Vendue]] * tbl_Ventes[[#This Row],[CMP_par_portion]]</f>
        <v>0</v>
      </c>
      <c r="J3137" s="7">
        <f>tbl_Ventes[[#This Row],[CA ligne]] - tbl_Ventes[[#This Row],[Coût matière ligne]]</f>
        <v>0</v>
      </c>
      <c r="K3137" s="7" t="str">
        <f>IFERROR(INDEX(tbl_ProduitsRef[Famille], MATCH(tbl_Ventes[[#This Row],[Cde_Prdt]], tbl_Produits[Cde_Prdt], 0)), "")</f>
        <v/>
      </c>
    </row>
    <row r="3138" spans="1:11" x14ac:dyDescent="0.25">
      <c r="A3138" s="5"/>
      <c r="B3138" s="63" t="str">
        <f>IFERROR(TEXT(tbl_Ventes[[#This Row],[Date]],"mm-aaaa"),"")</f>
        <v>01-1900</v>
      </c>
      <c r="D3138" s="10" t="str">
        <f>IFERROR(
   INDEX(tbl_ProduitsRef[Cde_Prdt],MATCH(tbl_Ventes[[#This Row],[Produit]],tbl_ProduitsRef[Produit],0)),
   ""
)</f>
        <v/>
      </c>
      <c r="E3138" s="7">
        <v>0</v>
      </c>
      <c r="F3138" s="7" t="str">
        <f>IFERROR(
   INDEX(tbl_ProduitsRef[Prix Menu],MATCH(tbl_Ventes[[#This Row],[Produit]],tbl_ProduitsRef[Produit],0)),
   ""
)</f>
        <v/>
      </c>
      <c r="G3138" s="7">
        <f>tbl_Ventes[[#This Row],[Qté Vendue]] * IFERROR(_xlfn.XLOOKUP(tbl_Ventes[[#This Row],[Cde_Prdt]], tbl_Produits[Cde_Prdt], tbl_Produits[Prix Menu]), 0)</f>
        <v>0</v>
      </c>
      <c r="H3138" s="7">
        <f>IFERROR(_xlfn.XLOOKUP(tbl_Ventes[[#This Row],[Cde_Prdt]], tbl_Produits[Cde_Prdt], tbl_Produits[Coût Moyen Portion]), 0)</f>
        <v>0</v>
      </c>
      <c r="I3138" s="7">
        <f>tbl_Ventes[[#This Row],[Qté Vendue]] * tbl_Ventes[[#This Row],[CMP_par_portion]]</f>
        <v>0</v>
      </c>
      <c r="J3138" s="7">
        <f>tbl_Ventes[[#This Row],[CA ligne]] - tbl_Ventes[[#This Row],[Coût matière ligne]]</f>
        <v>0</v>
      </c>
      <c r="K3138" s="7" t="str">
        <f>IFERROR(INDEX(tbl_ProduitsRef[Famille], MATCH(tbl_Ventes[[#This Row],[Cde_Prdt]], tbl_Produits[Cde_Prdt], 0)), "")</f>
        <v/>
      </c>
    </row>
    <row r="3139" spans="1:11" x14ac:dyDescent="0.25">
      <c r="A3139" s="5"/>
      <c r="B3139" s="63" t="str">
        <f>IFERROR(TEXT(tbl_Ventes[[#This Row],[Date]],"mm-aaaa"),"")</f>
        <v>01-1900</v>
      </c>
      <c r="D3139" s="10" t="str">
        <f>IFERROR(
   INDEX(tbl_ProduitsRef[Cde_Prdt],MATCH(tbl_Ventes[[#This Row],[Produit]],tbl_ProduitsRef[Produit],0)),
   ""
)</f>
        <v/>
      </c>
      <c r="E3139" s="7">
        <v>0</v>
      </c>
      <c r="F3139" s="7" t="str">
        <f>IFERROR(
   INDEX(tbl_ProduitsRef[Prix Menu],MATCH(tbl_Ventes[[#This Row],[Produit]],tbl_ProduitsRef[Produit],0)),
   ""
)</f>
        <v/>
      </c>
      <c r="G3139" s="7">
        <f>tbl_Ventes[[#This Row],[Qté Vendue]] * IFERROR(_xlfn.XLOOKUP(tbl_Ventes[[#This Row],[Cde_Prdt]], tbl_Produits[Cde_Prdt], tbl_Produits[Prix Menu]), 0)</f>
        <v>0</v>
      </c>
      <c r="H3139" s="7">
        <f>IFERROR(_xlfn.XLOOKUP(tbl_Ventes[[#This Row],[Cde_Prdt]], tbl_Produits[Cde_Prdt], tbl_Produits[Coût Moyen Portion]), 0)</f>
        <v>0</v>
      </c>
      <c r="I3139" s="7">
        <f>tbl_Ventes[[#This Row],[Qté Vendue]] * tbl_Ventes[[#This Row],[CMP_par_portion]]</f>
        <v>0</v>
      </c>
      <c r="J3139" s="7">
        <f>tbl_Ventes[[#This Row],[CA ligne]] - tbl_Ventes[[#This Row],[Coût matière ligne]]</f>
        <v>0</v>
      </c>
      <c r="K3139" s="7" t="str">
        <f>IFERROR(INDEX(tbl_ProduitsRef[Famille], MATCH(tbl_Ventes[[#This Row],[Cde_Prdt]], tbl_Produits[Cde_Prdt], 0)), "")</f>
        <v/>
      </c>
    </row>
    <row r="3140" spans="1:11" x14ac:dyDescent="0.25">
      <c r="A3140" s="5"/>
      <c r="B3140" s="63" t="str">
        <f>IFERROR(TEXT(tbl_Ventes[[#This Row],[Date]],"mm-aaaa"),"")</f>
        <v>01-1900</v>
      </c>
      <c r="D3140" s="10" t="str">
        <f>IFERROR(
   INDEX(tbl_ProduitsRef[Cde_Prdt],MATCH(tbl_Ventes[[#This Row],[Produit]],tbl_ProduitsRef[Produit],0)),
   ""
)</f>
        <v/>
      </c>
      <c r="E3140" s="7">
        <v>0</v>
      </c>
      <c r="F3140" s="7" t="str">
        <f>IFERROR(
   INDEX(tbl_ProduitsRef[Prix Menu],MATCH(tbl_Ventes[[#This Row],[Produit]],tbl_ProduitsRef[Produit],0)),
   ""
)</f>
        <v/>
      </c>
      <c r="G3140" s="7">
        <f>tbl_Ventes[[#This Row],[Qté Vendue]] * IFERROR(_xlfn.XLOOKUP(tbl_Ventes[[#This Row],[Cde_Prdt]], tbl_Produits[Cde_Prdt], tbl_Produits[Prix Menu]), 0)</f>
        <v>0</v>
      </c>
      <c r="H3140" s="7">
        <f>IFERROR(_xlfn.XLOOKUP(tbl_Ventes[[#This Row],[Cde_Prdt]], tbl_Produits[Cde_Prdt], tbl_Produits[Coût Moyen Portion]), 0)</f>
        <v>0</v>
      </c>
      <c r="I3140" s="7">
        <f>tbl_Ventes[[#This Row],[Qté Vendue]] * tbl_Ventes[[#This Row],[CMP_par_portion]]</f>
        <v>0</v>
      </c>
      <c r="J3140" s="7">
        <f>tbl_Ventes[[#This Row],[CA ligne]] - tbl_Ventes[[#This Row],[Coût matière ligne]]</f>
        <v>0</v>
      </c>
      <c r="K3140" s="7" t="str">
        <f>IFERROR(INDEX(tbl_ProduitsRef[Famille], MATCH(tbl_Ventes[[#This Row],[Cde_Prdt]], tbl_Produits[Cde_Prdt], 0)), "")</f>
        <v/>
      </c>
    </row>
    <row r="3141" spans="1:11" x14ac:dyDescent="0.25">
      <c r="A3141" s="5"/>
      <c r="B3141" s="63" t="str">
        <f>IFERROR(TEXT(tbl_Ventes[[#This Row],[Date]],"mm-aaaa"),"")</f>
        <v>01-1900</v>
      </c>
      <c r="D3141" s="10" t="str">
        <f>IFERROR(
   INDEX(tbl_ProduitsRef[Cde_Prdt],MATCH(tbl_Ventes[[#This Row],[Produit]],tbl_ProduitsRef[Produit],0)),
   ""
)</f>
        <v/>
      </c>
      <c r="E3141" s="7">
        <v>0</v>
      </c>
      <c r="F3141" s="7" t="str">
        <f>IFERROR(
   INDEX(tbl_ProduitsRef[Prix Menu],MATCH(tbl_Ventes[[#This Row],[Produit]],tbl_ProduitsRef[Produit],0)),
   ""
)</f>
        <v/>
      </c>
      <c r="G3141" s="7">
        <f>tbl_Ventes[[#This Row],[Qté Vendue]] * IFERROR(_xlfn.XLOOKUP(tbl_Ventes[[#This Row],[Cde_Prdt]], tbl_Produits[Cde_Prdt], tbl_Produits[Prix Menu]), 0)</f>
        <v>0</v>
      </c>
      <c r="H3141" s="7">
        <f>IFERROR(_xlfn.XLOOKUP(tbl_Ventes[[#This Row],[Cde_Prdt]], tbl_Produits[Cde_Prdt], tbl_Produits[Coût Moyen Portion]), 0)</f>
        <v>0</v>
      </c>
      <c r="I3141" s="7">
        <f>tbl_Ventes[[#This Row],[Qté Vendue]] * tbl_Ventes[[#This Row],[CMP_par_portion]]</f>
        <v>0</v>
      </c>
      <c r="J3141" s="7">
        <f>tbl_Ventes[[#This Row],[CA ligne]] - tbl_Ventes[[#This Row],[Coût matière ligne]]</f>
        <v>0</v>
      </c>
      <c r="K3141" s="7" t="str">
        <f>IFERROR(INDEX(tbl_ProduitsRef[Famille], MATCH(tbl_Ventes[[#This Row],[Cde_Prdt]], tbl_Produits[Cde_Prdt], 0)), "")</f>
        <v/>
      </c>
    </row>
    <row r="3142" spans="1:11" x14ac:dyDescent="0.25">
      <c r="A3142" s="5"/>
      <c r="B3142" s="63" t="str">
        <f>IFERROR(TEXT(tbl_Ventes[[#This Row],[Date]],"mm-aaaa"),"")</f>
        <v>01-1900</v>
      </c>
      <c r="D3142" s="10" t="str">
        <f>IFERROR(
   INDEX(tbl_ProduitsRef[Cde_Prdt],MATCH(tbl_Ventes[[#This Row],[Produit]],tbl_ProduitsRef[Produit],0)),
   ""
)</f>
        <v/>
      </c>
      <c r="E3142" s="7">
        <v>0</v>
      </c>
      <c r="F3142" s="7" t="str">
        <f>IFERROR(
   INDEX(tbl_ProduitsRef[Prix Menu],MATCH(tbl_Ventes[[#This Row],[Produit]],tbl_ProduitsRef[Produit],0)),
   ""
)</f>
        <v/>
      </c>
      <c r="G3142" s="7">
        <f>tbl_Ventes[[#This Row],[Qté Vendue]] * IFERROR(_xlfn.XLOOKUP(tbl_Ventes[[#This Row],[Cde_Prdt]], tbl_Produits[Cde_Prdt], tbl_Produits[Prix Menu]), 0)</f>
        <v>0</v>
      </c>
      <c r="H3142" s="7">
        <f>IFERROR(_xlfn.XLOOKUP(tbl_Ventes[[#This Row],[Cde_Prdt]], tbl_Produits[Cde_Prdt], tbl_Produits[Coût Moyen Portion]), 0)</f>
        <v>0</v>
      </c>
      <c r="I3142" s="7">
        <f>tbl_Ventes[[#This Row],[Qté Vendue]] * tbl_Ventes[[#This Row],[CMP_par_portion]]</f>
        <v>0</v>
      </c>
      <c r="J3142" s="7">
        <f>tbl_Ventes[[#This Row],[CA ligne]] - tbl_Ventes[[#This Row],[Coût matière ligne]]</f>
        <v>0</v>
      </c>
      <c r="K3142" s="7" t="str">
        <f>IFERROR(INDEX(tbl_ProduitsRef[Famille], MATCH(tbl_Ventes[[#This Row],[Cde_Prdt]], tbl_Produits[Cde_Prdt], 0)), "")</f>
        <v/>
      </c>
    </row>
    <row r="3143" spans="1:11" x14ac:dyDescent="0.25">
      <c r="A3143" s="5"/>
      <c r="B3143" s="63" t="str">
        <f>IFERROR(TEXT(tbl_Ventes[[#This Row],[Date]],"mm-aaaa"),"")</f>
        <v>01-1900</v>
      </c>
      <c r="D3143" s="10" t="str">
        <f>IFERROR(
   INDEX(tbl_ProduitsRef[Cde_Prdt],MATCH(tbl_Ventes[[#This Row],[Produit]],tbl_ProduitsRef[Produit],0)),
   ""
)</f>
        <v/>
      </c>
      <c r="E3143" s="7">
        <v>0</v>
      </c>
      <c r="F3143" s="7" t="str">
        <f>IFERROR(
   INDEX(tbl_ProduitsRef[Prix Menu],MATCH(tbl_Ventes[[#This Row],[Produit]],tbl_ProduitsRef[Produit],0)),
   ""
)</f>
        <v/>
      </c>
      <c r="G3143" s="7">
        <f>tbl_Ventes[[#This Row],[Qté Vendue]] * IFERROR(_xlfn.XLOOKUP(tbl_Ventes[[#This Row],[Cde_Prdt]], tbl_Produits[Cde_Prdt], tbl_Produits[Prix Menu]), 0)</f>
        <v>0</v>
      </c>
      <c r="H3143" s="7">
        <f>IFERROR(_xlfn.XLOOKUP(tbl_Ventes[[#This Row],[Cde_Prdt]], tbl_Produits[Cde_Prdt], tbl_Produits[Coût Moyen Portion]), 0)</f>
        <v>0</v>
      </c>
      <c r="I3143" s="7">
        <f>tbl_Ventes[[#This Row],[Qté Vendue]] * tbl_Ventes[[#This Row],[CMP_par_portion]]</f>
        <v>0</v>
      </c>
      <c r="J3143" s="7">
        <f>tbl_Ventes[[#This Row],[CA ligne]] - tbl_Ventes[[#This Row],[Coût matière ligne]]</f>
        <v>0</v>
      </c>
      <c r="K3143" s="7" t="str">
        <f>IFERROR(INDEX(tbl_ProduitsRef[Famille], MATCH(tbl_Ventes[[#This Row],[Cde_Prdt]], tbl_Produits[Cde_Prdt], 0)), "")</f>
        <v/>
      </c>
    </row>
    <row r="3144" spans="1:11" x14ac:dyDescent="0.25">
      <c r="A3144" s="5"/>
      <c r="B3144" s="63" t="str">
        <f>IFERROR(TEXT(tbl_Ventes[[#This Row],[Date]],"mm-aaaa"),"")</f>
        <v>01-1900</v>
      </c>
      <c r="D3144" s="10" t="str">
        <f>IFERROR(
   INDEX(tbl_ProduitsRef[Cde_Prdt],MATCH(tbl_Ventes[[#This Row],[Produit]],tbl_ProduitsRef[Produit],0)),
   ""
)</f>
        <v/>
      </c>
      <c r="E3144" s="7">
        <v>0</v>
      </c>
      <c r="F3144" s="7" t="str">
        <f>IFERROR(
   INDEX(tbl_ProduitsRef[Prix Menu],MATCH(tbl_Ventes[[#This Row],[Produit]],tbl_ProduitsRef[Produit],0)),
   ""
)</f>
        <v/>
      </c>
      <c r="G3144" s="7">
        <f>tbl_Ventes[[#This Row],[Qté Vendue]] * IFERROR(_xlfn.XLOOKUP(tbl_Ventes[[#This Row],[Cde_Prdt]], tbl_Produits[Cde_Prdt], tbl_Produits[Prix Menu]), 0)</f>
        <v>0</v>
      </c>
      <c r="H3144" s="7">
        <f>IFERROR(_xlfn.XLOOKUP(tbl_Ventes[[#This Row],[Cde_Prdt]], tbl_Produits[Cde_Prdt], tbl_Produits[Coût Moyen Portion]), 0)</f>
        <v>0</v>
      </c>
      <c r="I3144" s="7">
        <f>tbl_Ventes[[#This Row],[Qté Vendue]] * tbl_Ventes[[#This Row],[CMP_par_portion]]</f>
        <v>0</v>
      </c>
      <c r="J3144" s="7">
        <f>tbl_Ventes[[#This Row],[CA ligne]] - tbl_Ventes[[#This Row],[Coût matière ligne]]</f>
        <v>0</v>
      </c>
      <c r="K3144" s="7" t="str">
        <f>IFERROR(INDEX(tbl_ProduitsRef[Famille], MATCH(tbl_Ventes[[#This Row],[Cde_Prdt]], tbl_Produits[Cde_Prdt], 0)), "")</f>
        <v/>
      </c>
    </row>
    <row r="3145" spans="1:11" x14ac:dyDescent="0.25">
      <c r="A3145" s="5"/>
      <c r="B3145" s="63" t="str">
        <f>IFERROR(TEXT(tbl_Ventes[[#This Row],[Date]],"mm-aaaa"),"")</f>
        <v>01-1900</v>
      </c>
      <c r="D3145" s="10" t="str">
        <f>IFERROR(
   INDEX(tbl_ProduitsRef[Cde_Prdt],MATCH(tbl_Ventes[[#This Row],[Produit]],tbl_ProduitsRef[Produit],0)),
   ""
)</f>
        <v/>
      </c>
      <c r="E3145" s="7">
        <v>0</v>
      </c>
      <c r="F3145" s="7" t="str">
        <f>IFERROR(
   INDEX(tbl_ProduitsRef[Prix Menu],MATCH(tbl_Ventes[[#This Row],[Produit]],tbl_ProduitsRef[Produit],0)),
   ""
)</f>
        <v/>
      </c>
      <c r="G3145" s="7">
        <f>tbl_Ventes[[#This Row],[Qté Vendue]] * IFERROR(_xlfn.XLOOKUP(tbl_Ventes[[#This Row],[Cde_Prdt]], tbl_Produits[Cde_Prdt], tbl_Produits[Prix Menu]), 0)</f>
        <v>0</v>
      </c>
      <c r="H3145" s="7">
        <f>IFERROR(_xlfn.XLOOKUP(tbl_Ventes[[#This Row],[Cde_Prdt]], tbl_Produits[Cde_Prdt], tbl_Produits[Coût Moyen Portion]), 0)</f>
        <v>0</v>
      </c>
      <c r="I3145" s="7">
        <f>tbl_Ventes[[#This Row],[Qté Vendue]] * tbl_Ventes[[#This Row],[CMP_par_portion]]</f>
        <v>0</v>
      </c>
      <c r="J3145" s="7">
        <f>tbl_Ventes[[#This Row],[CA ligne]] - tbl_Ventes[[#This Row],[Coût matière ligne]]</f>
        <v>0</v>
      </c>
      <c r="K3145" s="7" t="str">
        <f>IFERROR(INDEX(tbl_ProduitsRef[Famille], MATCH(tbl_Ventes[[#This Row],[Cde_Prdt]], tbl_Produits[Cde_Prdt], 0)), "")</f>
        <v/>
      </c>
    </row>
    <row r="3146" spans="1:11" x14ac:dyDescent="0.25">
      <c r="A3146" s="5"/>
      <c r="B3146" s="63" t="str">
        <f>IFERROR(TEXT(tbl_Ventes[[#This Row],[Date]],"mm-aaaa"),"")</f>
        <v>01-1900</v>
      </c>
      <c r="D3146" s="10" t="str">
        <f>IFERROR(
   INDEX(tbl_ProduitsRef[Cde_Prdt],MATCH(tbl_Ventes[[#This Row],[Produit]],tbl_ProduitsRef[Produit],0)),
   ""
)</f>
        <v/>
      </c>
      <c r="E3146" s="7">
        <v>0</v>
      </c>
      <c r="F3146" s="7" t="str">
        <f>IFERROR(
   INDEX(tbl_ProduitsRef[Prix Menu],MATCH(tbl_Ventes[[#This Row],[Produit]],tbl_ProduitsRef[Produit],0)),
   ""
)</f>
        <v/>
      </c>
      <c r="G3146" s="7">
        <f>tbl_Ventes[[#This Row],[Qté Vendue]] * IFERROR(_xlfn.XLOOKUP(tbl_Ventes[[#This Row],[Cde_Prdt]], tbl_Produits[Cde_Prdt], tbl_Produits[Prix Menu]), 0)</f>
        <v>0</v>
      </c>
      <c r="H3146" s="7">
        <f>IFERROR(_xlfn.XLOOKUP(tbl_Ventes[[#This Row],[Cde_Prdt]], tbl_Produits[Cde_Prdt], tbl_Produits[Coût Moyen Portion]), 0)</f>
        <v>0</v>
      </c>
      <c r="I3146" s="7">
        <f>tbl_Ventes[[#This Row],[Qté Vendue]] * tbl_Ventes[[#This Row],[CMP_par_portion]]</f>
        <v>0</v>
      </c>
      <c r="J3146" s="7">
        <f>tbl_Ventes[[#This Row],[CA ligne]] - tbl_Ventes[[#This Row],[Coût matière ligne]]</f>
        <v>0</v>
      </c>
      <c r="K3146" s="7" t="str">
        <f>IFERROR(INDEX(tbl_ProduitsRef[Famille], MATCH(tbl_Ventes[[#This Row],[Cde_Prdt]], tbl_Produits[Cde_Prdt], 0)), "")</f>
        <v/>
      </c>
    </row>
    <row r="3147" spans="1:11" x14ac:dyDescent="0.25">
      <c r="A3147" s="5"/>
      <c r="B3147" s="63" t="str">
        <f>IFERROR(TEXT(tbl_Ventes[[#This Row],[Date]],"mm-aaaa"),"")</f>
        <v>01-1900</v>
      </c>
      <c r="D3147" s="10" t="str">
        <f>IFERROR(
   INDEX(tbl_ProduitsRef[Cde_Prdt],MATCH(tbl_Ventes[[#This Row],[Produit]],tbl_ProduitsRef[Produit],0)),
   ""
)</f>
        <v/>
      </c>
      <c r="E3147" s="7">
        <v>0</v>
      </c>
      <c r="F3147" s="7" t="str">
        <f>IFERROR(
   INDEX(tbl_ProduitsRef[Prix Menu],MATCH(tbl_Ventes[[#This Row],[Produit]],tbl_ProduitsRef[Produit],0)),
   ""
)</f>
        <v/>
      </c>
      <c r="G3147" s="7">
        <f>tbl_Ventes[[#This Row],[Qté Vendue]] * IFERROR(_xlfn.XLOOKUP(tbl_Ventes[[#This Row],[Cde_Prdt]], tbl_Produits[Cde_Prdt], tbl_Produits[Prix Menu]), 0)</f>
        <v>0</v>
      </c>
      <c r="H3147" s="7">
        <f>IFERROR(_xlfn.XLOOKUP(tbl_Ventes[[#This Row],[Cde_Prdt]], tbl_Produits[Cde_Prdt], tbl_Produits[Coût Moyen Portion]), 0)</f>
        <v>0</v>
      </c>
      <c r="I3147" s="7">
        <f>tbl_Ventes[[#This Row],[Qté Vendue]] * tbl_Ventes[[#This Row],[CMP_par_portion]]</f>
        <v>0</v>
      </c>
      <c r="J3147" s="7">
        <f>tbl_Ventes[[#This Row],[CA ligne]] - tbl_Ventes[[#This Row],[Coût matière ligne]]</f>
        <v>0</v>
      </c>
      <c r="K3147" s="7" t="str">
        <f>IFERROR(INDEX(tbl_ProduitsRef[Famille], MATCH(tbl_Ventes[[#This Row],[Cde_Prdt]], tbl_Produits[Cde_Prdt], 0)), "")</f>
        <v/>
      </c>
    </row>
    <row r="3148" spans="1:11" x14ac:dyDescent="0.25">
      <c r="A3148" s="5"/>
      <c r="B3148" s="63" t="str">
        <f>IFERROR(TEXT(tbl_Ventes[[#This Row],[Date]],"mm-aaaa"),"")</f>
        <v>01-1900</v>
      </c>
      <c r="D3148" s="10" t="str">
        <f>IFERROR(
   INDEX(tbl_ProduitsRef[Cde_Prdt],MATCH(tbl_Ventes[[#This Row],[Produit]],tbl_ProduitsRef[Produit],0)),
   ""
)</f>
        <v/>
      </c>
      <c r="E3148" s="7">
        <v>0</v>
      </c>
      <c r="F3148" s="7" t="str">
        <f>IFERROR(
   INDEX(tbl_ProduitsRef[Prix Menu],MATCH(tbl_Ventes[[#This Row],[Produit]],tbl_ProduitsRef[Produit],0)),
   ""
)</f>
        <v/>
      </c>
      <c r="G3148" s="7">
        <f>tbl_Ventes[[#This Row],[Qté Vendue]] * IFERROR(_xlfn.XLOOKUP(tbl_Ventes[[#This Row],[Cde_Prdt]], tbl_Produits[Cde_Prdt], tbl_Produits[Prix Menu]), 0)</f>
        <v>0</v>
      </c>
      <c r="H3148" s="7">
        <f>IFERROR(_xlfn.XLOOKUP(tbl_Ventes[[#This Row],[Cde_Prdt]], tbl_Produits[Cde_Prdt], tbl_Produits[Coût Moyen Portion]), 0)</f>
        <v>0</v>
      </c>
      <c r="I3148" s="7">
        <f>tbl_Ventes[[#This Row],[Qté Vendue]] * tbl_Ventes[[#This Row],[CMP_par_portion]]</f>
        <v>0</v>
      </c>
      <c r="J3148" s="7">
        <f>tbl_Ventes[[#This Row],[CA ligne]] - tbl_Ventes[[#This Row],[Coût matière ligne]]</f>
        <v>0</v>
      </c>
      <c r="K3148" s="7" t="str">
        <f>IFERROR(INDEX(tbl_ProduitsRef[Famille], MATCH(tbl_Ventes[[#This Row],[Cde_Prdt]], tbl_Produits[Cde_Prdt], 0)), "")</f>
        <v/>
      </c>
    </row>
    <row r="3149" spans="1:11" x14ac:dyDescent="0.25">
      <c r="A3149" s="5"/>
      <c r="B3149" s="63" t="str">
        <f>IFERROR(TEXT(tbl_Ventes[[#This Row],[Date]],"mm-aaaa"),"")</f>
        <v>01-1900</v>
      </c>
      <c r="D3149" s="10" t="str">
        <f>IFERROR(
   INDEX(tbl_ProduitsRef[Cde_Prdt],MATCH(tbl_Ventes[[#This Row],[Produit]],tbl_ProduitsRef[Produit],0)),
   ""
)</f>
        <v/>
      </c>
      <c r="E3149" s="7">
        <v>0</v>
      </c>
      <c r="F3149" s="7" t="str">
        <f>IFERROR(
   INDEX(tbl_ProduitsRef[Prix Menu],MATCH(tbl_Ventes[[#This Row],[Produit]],tbl_ProduitsRef[Produit],0)),
   ""
)</f>
        <v/>
      </c>
      <c r="G3149" s="7">
        <f>tbl_Ventes[[#This Row],[Qté Vendue]] * IFERROR(_xlfn.XLOOKUP(tbl_Ventes[[#This Row],[Cde_Prdt]], tbl_Produits[Cde_Prdt], tbl_Produits[Prix Menu]), 0)</f>
        <v>0</v>
      </c>
      <c r="H3149" s="7">
        <f>IFERROR(_xlfn.XLOOKUP(tbl_Ventes[[#This Row],[Cde_Prdt]], tbl_Produits[Cde_Prdt], tbl_Produits[Coût Moyen Portion]), 0)</f>
        <v>0</v>
      </c>
      <c r="I3149" s="7">
        <f>tbl_Ventes[[#This Row],[Qté Vendue]] * tbl_Ventes[[#This Row],[CMP_par_portion]]</f>
        <v>0</v>
      </c>
      <c r="J3149" s="7">
        <f>tbl_Ventes[[#This Row],[CA ligne]] - tbl_Ventes[[#This Row],[Coût matière ligne]]</f>
        <v>0</v>
      </c>
      <c r="K3149" s="7" t="str">
        <f>IFERROR(INDEX(tbl_ProduitsRef[Famille], MATCH(tbl_Ventes[[#This Row],[Cde_Prdt]], tbl_Produits[Cde_Prdt], 0)), "")</f>
        <v/>
      </c>
    </row>
    <row r="3150" spans="1:11" x14ac:dyDescent="0.25">
      <c r="A3150" s="5"/>
      <c r="B3150" s="63" t="str">
        <f>IFERROR(TEXT(tbl_Ventes[[#This Row],[Date]],"mm-aaaa"),"")</f>
        <v>01-1900</v>
      </c>
      <c r="D3150" s="10" t="str">
        <f>IFERROR(
   INDEX(tbl_ProduitsRef[Cde_Prdt],MATCH(tbl_Ventes[[#This Row],[Produit]],tbl_ProduitsRef[Produit],0)),
   ""
)</f>
        <v/>
      </c>
      <c r="E3150" s="7">
        <v>0</v>
      </c>
      <c r="F3150" s="7" t="str">
        <f>IFERROR(
   INDEX(tbl_ProduitsRef[Prix Menu],MATCH(tbl_Ventes[[#This Row],[Produit]],tbl_ProduitsRef[Produit],0)),
   ""
)</f>
        <v/>
      </c>
      <c r="G3150" s="7">
        <f>tbl_Ventes[[#This Row],[Qté Vendue]] * IFERROR(_xlfn.XLOOKUP(tbl_Ventes[[#This Row],[Cde_Prdt]], tbl_Produits[Cde_Prdt], tbl_Produits[Prix Menu]), 0)</f>
        <v>0</v>
      </c>
      <c r="H3150" s="7">
        <f>IFERROR(_xlfn.XLOOKUP(tbl_Ventes[[#This Row],[Cde_Prdt]], tbl_Produits[Cde_Prdt], tbl_Produits[Coût Moyen Portion]), 0)</f>
        <v>0</v>
      </c>
      <c r="I3150" s="7">
        <f>tbl_Ventes[[#This Row],[Qté Vendue]] * tbl_Ventes[[#This Row],[CMP_par_portion]]</f>
        <v>0</v>
      </c>
      <c r="J3150" s="7">
        <f>tbl_Ventes[[#This Row],[CA ligne]] - tbl_Ventes[[#This Row],[Coût matière ligne]]</f>
        <v>0</v>
      </c>
      <c r="K3150" s="7" t="str">
        <f>IFERROR(INDEX(tbl_ProduitsRef[Famille], MATCH(tbl_Ventes[[#This Row],[Cde_Prdt]], tbl_Produits[Cde_Prdt], 0)), "")</f>
        <v/>
      </c>
    </row>
    <row r="3151" spans="1:11" x14ac:dyDescent="0.25">
      <c r="A3151" s="5"/>
      <c r="B3151" s="63" t="str">
        <f>IFERROR(TEXT(tbl_Ventes[[#This Row],[Date]],"mm-aaaa"),"")</f>
        <v>01-1900</v>
      </c>
      <c r="D3151" s="10" t="str">
        <f>IFERROR(
   INDEX(tbl_ProduitsRef[Cde_Prdt],MATCH(tbl_Ventes[[#This Row],[Produit]],tbl_ProduitsRef[Produit],0)),
   ""
)</f>
        <v/>
      </c>
      <c r="E3151" s="7">
        <v>0</v>
      </c>
      <c r="F3151" s="7" t="str">
        <f>IFERROR(
   INDEX(tbl_ProduitsRef[Prix Menu],MATCH(tbl_Ventes[[#This Row],[Produit]],tbl_ProduitsRef[Produit],0)),
   ""
)</f>
        <v/>
      </c>
      <c r="G3151" s="7">
        <f>tbl_Ventes[[#This Row],[Qté Vendue]] * IFERROR(_xlfn.XLOOKUP(tbl_Ventes[[#This Row],[Cde_Prdt]], tbl_Produits[Cde_Prdt], tbl_Produits[Prix Menu]), 0)</f>
        <v>0</v>
      </c>
      <c r="H3151" s="7">
        <f>IFERROR(_xlfn.XLOOKUP(tbl_Ventes[[#This Row],[Cde_Prdt]], tbl_Produits[Cde_Prdt], tbl_Produits[Coût Moyen Portion]), 0)</f>
        <v>0</v>
      </c>
      <c r="I3151" s="7">
        <f>tbl_Ventes[[#This Row],[Qté Vendue]] * tbl_Ventes[[#This Row],[CMP_par_portion]]</f>
        <v>0</v>
      </c>
      <c r="J3151" s="7">
        <f>tbl_Ventes[[#This Row],[CA ligne]] - tbl_Ventes[[#This Row],[Coût matière ligne]]</f>
        <v>0</v>
      </c>
      <c r="K3151" s="7" t="str">
        <f>IFERROR(INDEX(tbl_ProduitsRef[Famille], MATCH(tbl_Ventes[[#This Row],[Cde_Prdt]], tbl_Produits[Cde_Prdt], 0)), "")</f>
        <v/>
      </c>
    </row>
    <row r="3152" spans="1:11" x14ac:dyDescent="0.25">
      <c r="A3152" s="5"/>
      <c r="B3152" s="63" t="str">
        <f>IFERROR(TEXT(tbl_Ventes[[#This Row],[Date]],"mm-aaaa"),"")</f>
        <v>01-1900</v>
      </c>
      <c r="D3152" s="10" t="str">
        <f>IFERROR(
   INDEX(tbl_ProduitsRef[Cde_Prdt],MATCH(tbl_Ventes[[#This Row],[Produit]],tbl_ProduitsRef[Produit],0)),
   ""
)</f>
        <v/>
      </c>
      <c r="E3152" s="7">
        <v>0</v>
      </c>
      <c r="F3152" s="7" t="str">
        <f>IFERROR(
   INDEX(tbl_ProduitsRef[Prix Menu],MATCH(tbl_Ventes[[#This Row],[Produit]],tbl_ProduitsRef[Produit],0)),
   ""
)</f>
        <v/>
      </c>
      <c r="G3152" s="7">
        <f>tbl_Ventes[[#This Row],[Qté Vendue]] * IFERROR(_xlfn.XLOOKUP(tbl_Ventes[[#This Row],[Cde_Prdt]], tbl_Produits[Cde_Prdt], tbl_Produits[Prix Menu]), 0)</f>
        <v>0</v>
      </c>
      <c r="H3152" s="7">
        <f>IFERROR(_xlfn.XLOOKUP(tbl_Ventes[[#This Row],[Cde_Prdt]], tbl_Produits[Cde_Prdt], tbl_Produits[Coût Moyen Portion]), 0)</f>
        <v>0</v>
      </c>
      <c r="I3152" s="7">
        <f>tbl_Ventes[[#This Row],[Qté Vendue]] * tbl_Ventes[[#This Row],[CMP_par_portion]]</f>
        <v>0</v>
      </c>
      <c r="J3152" s="7">
        <f>tbl_Ventes[[#This Row],[CA ligne]] - tbl_Ventes[[#This Row],[Coût matière ligne]]</f>
        <v>0</v>
      </c>
      <c r="K3152" s="7" t="str">
        <f>IFERROR(INDEX(tbl_ProduitsRef[Famille], MATCH(tbl_Ventes[[#This Row],[Cde_Prdt]], tbl_Produits[Cde_Prdt], 0)), "")</f>
        <v/>
      </c>
    </row>
    <row r="3153" spans="1:11" x14ac:dyDescent="0.25">
      <c r="A3153" s="5"/>
      <c r="B3153" s="63" t="str">
        <f>IFERROR(TEXT(tbl_Ventes[[#This Row],[Date]],"mm-aaaa"),"")</f>
        <v>01-1900</v>
      </c>
      <c r="D3153" s="10" t="str">
        <f>IFERROR(
   INDEX(tbl_ProduitsRef[Cde_Prdt],MATCH(tbl_Ventes[[#This Row],[Produit]],tbl_ProduitsRef[Produit],0)),
   ""
)</f>
        <v/>
      </c>
      <c r="E3153" s="7">
        <v>0</v>
      </c>
      <c r="F3153" s="7" t="str">
        <f>IFERROR(
   INDEX(tbl_ProduitsRef[Prix Menu],MATCH(tbl_Ventes[[#This Row],[Produit]],tbl_ProduitsRef[Produit],0)),
   ""
)</f>
        <v/>
      </c>
      <c r="G3153" s="7">
        <f>tbl_Ventes[[#This Row],[Qté Vendue]] * IFERROR(_xlfn.XLOOKUP(tbl_Ventes[[#This Row],[Cde_Prdt]], tbl_Produits[Cde_Prdt], tbl_Produits[Prix Menu]), 0)</f>
        <v>0</v>
      </c>
      <c r="H3153" s="7">
        <f>IFERROR(_xlfn.XLOOKUP(tbl_Ventes[[#This Row],[Cde_Prdt]], tbl_Produits[Cde_Prdt], tbl_Produits[Coût Moyen Portion]), 0)</f>
        <v>0</v>
      </c>
      <c r="I3153" s="7">
        <f>tbl_Ventes[[#This Row],[Qté Vendue]] * tbl_Ventes[[#This Row],[CMP_par_portion]]</f>
        <v>0</v>
      </c>
      <c r="J3153" s="7">
        <f>tbl_Ventes[[#This Row],[CA ligne]] - tbl_Ventes[[#This Row],[Coût matière ligne]]</f>
        <v>0</v>
      </c>
      <c r="K3153" s="7" t="str">
        <f>IFERROR(INDEX(tbl_ProduitsRef[Famille], MATCH(tbl_Ventes[[#This Row],[Cde_Prdt]], tbl_Produits[Cde_Prdt], 0)), "")</f>
        <v/>
      </c>
    </row>
    <row r="3154" spans="1:11" x14ac:dyDescent="0.25">
      <c r="A3154" s="5"/>
      <c r="B3154" s="63" t="str">
        <f>IFERROR(TEXT(tbl_Ventes[[#This Row],[Date]],"mm-aaaa"),"")</f>
        <v>01-1900</v>
      </c>
      <c r="D3154" s="10" t="str">
        <f>IFERROR(
   INDEX(tbl_ProduitsRef[Cde_Prdt],MATCH(tbl_Ventes[[#This Row],[Produit]],tbl_ProduitsRef[Produit],0)),
   ""
)</f>
        <v/>
      </c>
      <c r="E3154" s="7">
        <v>0</v>
      </c>
      <c r="F3154" s="7" t="str">
        <f>IFERROR(
   INDEX(tbl_ProduitsRef[Prix Menu],MATCH(tbl_Ventes[[#This Row],[Produit]],tbl_ProduitsRef[Produit],0)),
   ""
)</f>
        <v/>
      </c>
      <c r="G3154" s="7">
        <f>tbl_Ventes[[#This Row],[Qté Vendue]] * IFERROR(_xlfn.XLOOKUP(tbl_Ventes[[#This Row],[Cde_Prdt]], tbl_Produits[Cde_Prdt], tbl_Produits[Prix Menu]), 0)</f>
        <v>0</v>
      </c>
      <c r="H3154" s="7">
        <f>IFERROR(_xlfn.XLOOKUP(tbl_Ventes[[#This Row],[Cde_Prdt]], tbl_Produits[Cde_Prdt], tbl_Produits[Coût Moyen Portion]), 0)</f>
        <v>0</v>
      </c>
      <c r="I3154" s="7">
        <f>tbl_Ventes[[#This Row],[Qté Vendue]] * tbl_Ventes[[#This Row],[CMP_par_portion]]</f>
        <v>0</v>
      </c>
      <c r="J3154" s="7">
        <f>tbl_Ventes[[#This Row],[CA ligne]] - tbl_Ventes[[#This Row],[Coût matière ligne]]</f>
        <v>0</v>
      </c>
      <c r="K3154" s="7" t="str">
        <f>IFERROR(INDEX(tbl_ProduitsRef[Famille], MATCH(tbl_Ventes[[#This Row],[Cde_Prdt]], tbl_Produits[Cde_Prdt], 0)), "")</f>
        <v/>
      </c>
    </row>
    <row r="3155" spans="1:11" x14ac:dyDescent="0.25">
      <c r="A3155" s="5"/>
      <c r="B3155" s="63" t="str">
        <f>IFERROR(TEXT(tbl_Ventes[[#This Row],[Date]],"mm-aaaa"),"")</f>
        <v>01-1900</v>
      </c>
      <c r="D3155" s="10" t="str">
        <f>IFERROR(
   INDEX(tbl_ProduitsRef[Cde_Prdt],MATCH(tbl_Ventes[[#This Row],[Produit]],tbl_ProduitsRef[Produit],0)),
   ""
)</f>
        <v/>
      </c>
      <c r="E3155" s="7">
        <v>0</v>
      </c>
      <c r="F3155" s="7" t="str">
        <f>IFERROR(
   INDEX(tbl_ProduitsRef[Prix Menu],MATCH(tbl_Ventes[[#This Row],[Produit]],tbl_ProduitsRef[Produit],0)),
   ""
)</f>
        <v/>
      </c>
      <c r="G3155" s="7">
        <f>tbl_Ventes[[#This Row],[Qté Vendue]] * IFERROR(_xlfn.XLOOKUP(tbl_Ventes[[#This Row],[Cde_Prdt]], tbl_Produits[Cde_Prdt], tbl_Produits[Prix Menu]), 0)</f>
        <v>0</v>
      </c>
      <c r="H3155" s="7">
        <f>IFERROR(_xlfn.XLOOKUP(tbl_Ventes[[#This Row],[Cde_Prdt]], tbl_Produits[Cde_Prdt], tbl_Produits[Coût Moyen Portion]), 0)</f>
        <v>0</v>
      </c>
      <c r="I3155" s="7">
        <f>tbl_Ventes[[#This Row],[Qté Vendue]] * tbl_Ventes[[#This Row],[CMP_par_portion]]</f>
        <v>0</v>
      </c>
      <c r="J3155" s="7">
        <f>tbl_Ventes[[#This Row],[CA ligne]] - tbl_Ventes[[#This Row],[Coût matière ligne]]</f>
        <v>0</v>
      </c>
      <c r="K3155" s="7" t="str">
        <f>IFERROR(INDEX(tbl_ProduitsRef[Famille], MATCH(tbl_Ventes[[#This Row],[Cde_Prdt]], tbl_Produits[Cde_Prdt], 0)), "")</f>
        <v/>
      </c>
    </row>
    <row r="3156" spans="1:11" x14ac:dyDescent="0.25">
      <c r="A3156" s="5"/>
      <c r="B3156" s="63" t="str">
        <f>IFERROR(TEXT(tbl_Ventes[[#This Row],[Date]],"mm-aaaa"),"")</f>
        <v>01-1900</v>
      </c>
      <c r="D3156" s="10" t="str">
        <f>IFERROR(
   INDEX(tbl_ProduitsRef[Cde_Prdt],MATCH(tbl_Ventes[[#This Row],[Produit]],tbl_ProduitsRef[Produit],0)),
   ""
)</f>
        <v/>
      </c>
      <c r="E3156" s="7">
        <v>0</v>
      </c>
      <c r="F3156" s="7" t="str">
        <f>IFERROR(
   INDEX(tbl_ProduitsRef[Prix Menu],MATCH(tbl_Ventes[[#This Row],[Produit]],tbl_ProduitsRef[Produit],0)),
   ""
)</f>
        <v/>
      </c>
      <c r="G3156" s="7">
        <f>tbl_Ventes[[#This Row],[Qté Vendue]] * IFERROR(_xlfn.XLOOKUP(tbl_Ventes[[#This Row],[Cde_Prdt]], tbl_Produits[Cde_Prdt], tbl_Produits[Prix Menu]), 0)</f>
        <v>0</v>
      </c>
      <c r="H3156" s="7">
        <f>IFERROR(_xlfn.XLOOKUP(tbl_Ventes[[#This Row],[Cde_Prdt]], tbl_Produits[Cde_Prdt], tbl_Produits[Coût Moyen Portion]), 0)</f>
        <v>0</v>
      </c>
      <c r="I3156" s="7">
        <f>tbl_Ventes[[#This Row],[Qté Vendue]] * tbl_Ventes[[#This Row],[CMP_par_portion]]</f>
        <v>0</v>
      </c>
      <c r="J3156" s="7">
        <f>tbl_Ventes[[#This Row],[CA ligne]] - tbl_Ventes[[#This Row],[Coût matière ligne]]</f>
        <v>0</v>
      </c>
      <c r="K3156" s="7" t="str">
        <f>IFERROR(INDEX(tbl_ProduitsRef[Famille], MATCH(tbl_Ventes[[#This Row],[Cde_Prdt]], tbl_Produits[Cde_Prdt], 0)), "")</f>
        <v/>
      </c>
    </row>
    <row r="3157" spans="1:11" x14ac:dyDescent="0.25">
      <c r="A3157" s="5"/>
      <c r="B3157" s="63" t="str">
        <f>IFERROR(TEXT(tbl_Ventes[[#This Row],[Date]],"mm-aaaa"),"")</f>
        <v>01-1900</v>
      </c>
      <c r="D3157" s="10" t="str">
        <f>IFERROR(
   INDEX(tbl_ProduitsRef[Cde_Prdt],MATCH(tbl_Ventes[[#This Row],[Produit]],tbl_ProduitsRef[Produit],0)),
   ""
)</f>
        <v/>
      </c>
      <c r="E3157" s="7">
        <v>0</v>
      </c>
      <c r="F3157" s="7" t="str">
        <f>IFERROR(
   INDEX(tbl_ProduitsRef[Prix Menu],MATCH(tbl_Ventes[[#This Row],[Produit]],tbl_ProduitsRef[Produit],0)),
   ""
)</f>
        <v/>
      </c>
      <c r="G3157" s="7">
        <f>tbl_Ventes[[#This Row],[Qté Vendue]] * IFERROR(_xlfn.XLOOKUP(tbl_Ventes[[#This Row],[Cde_Prdt]], tbl_Produits[Cde_Prdt], tbl_Produits[Prix Menu]), 0)</f>
        <v>0</v>
      </c>
      <c r="H3157" s="7">
        <f>IFERROR(_xlfn.XLOOKUP(tbl_Ventes[[#This Row],[Cde_Prdt]], tbl_Produits[Cde_Prdt], tbl_Produits[Coût Moyen Portion]), 0)</f>
        <v>0</v>
      </c>
      <c r="I3157" s="7">
        <f>tbl_Ventes[[#This Row],[Qté Vendue]] * tbl_Ventes[[#This Row],[CMP_par_portion]]</f>
        <v>0</v>
      </c>
      <c r="J3157" s="7">
        <f>tbl_Ventes[[#This Row],[CA ligne]] - tbl_Ventes[[#This Row],[Coût matière ligne]]</f>
        <v>0</v>
      </c>
      <c r="K3157" s="7" t="str">
        <f>IFERROR(INDEX(tbl_ProduitsRef[Famille], MATCH(tbl_Ventes[[#This Row],[Cde_Prdt]], tbl_Produits[Cde_Prdt], 0)), "")</f>
        <v/>
      </c>
    </row>
    <row r="3158" spans="1:11" x14ac:dyDescent="0.25">
      <c r="A3158" s="5"/>
      <c r="B3158" s="63" t="str">
        <f>IFERROR(TEXT(tbl_Ventes[[#This Row],[Date]],"mm-aaaa"),"")</f>
        <v>01-1900</v>
      </c>
      <c r="D3158" s="10" t="str">
        <f>IFERROR(
   INDEX(tbl_ProduitsRef[Cde_Prdt],MATCH(tbl_Ventes[[#This Row],[Produit]],tbl_ProduitsRef[Produit],0)),
   ""
)</f>
        <v/>
      </c>
      <c r="E3158" s="7">
        <v>0</v>
      </c>
      <c r="F3158" s="7" t="str">
        <f>IFERROR(
   INDEX(tbl_ProduitsRef[Prix Menu],MATCH(tbl_Ventes[[#This Row],[Produit]],tbl_ProduitsRef[Produit],0)),
   ""
)</f>
        <v/>
      </c>
      <c r="G3158" s="7">
        <f>tbl_Ventes[[#This Row],[Qté Vendue]] * IFERROR(_xlfn.XLOOKUP(tbl_Ventes[[#This Row],[Cde_Prdt]], tbl_Produits[Cde_Prdt], tbl_Produits[Prix Menu]), 0)</f>
        <v>0</v>
      </c>
      <c r="H3158" s="7">
        <f>IFERROR(_xlfn.XLOOKUP(tbl_Ventes[[#This Row],[Cde_Prdt]], tbl_Produits[Cde_Prdt], tbl_Produits[Coût Moyen Portion]), 0)</f>
        <v>0</v>
      </c>
      <c r="I3158" s="7">
        <f>tbl_Ventes[[#This Row],[Qté Vendue]] * tbl_Ventes[[#This Row],[CMP_par_portion]]</f>
        <v>0</v>
      </c>
      <c r="J3158" s="7">
        <f>tbl_Ventes[[#This Row],[CA ligne]] - tbl_Ventes[[#This Row],[Coût matière ligne]]</f>
        <v>0</v>
      </c>
      <c r="K3158" s="7" t="str">
        <f>IFERROR(INDEX(tbl_ProduitsRef[Famille], MATCH(tbl_Ventes[[#This Row],[Cde_Prdt]], tbl_Produits[Cde_Prdt], 0)), "")</f>
        <v/>
      </c>
    </row>
    <row r="3159" spans="1:11" x14ac:dyDescent="0.25">
      <c r="A3159" s="5"/>
      <c r="B3159" s="63" t="str">
        <f>IFERROR(TEXT(tbl_Ventes[[#This Row],[Date]],"mm-aaaa"),"")</f>
        <v>01-1900</v>
      </c>
      <c r="D3159" s="10" t="str">
        <f>IFERROR(
   INDEX(tbl_ProduitsRef[Cde_Prdt],MATCH(tbl_Ventes[[#This Row],[Produit]],tbl_ProduitsRef[Produit],0)),
   ""
)</f>
        <v/>
      </c>
      <c r="E3159" s="7">
        <v>0</v>
      </c>
      <c r="F3159" s="7" t="str">
        <f>IFERROR(
   INDEX(tbl_ProduitsRef[Prix Menu],MATCH(tbl_Ventes[[#This Row],[Produit]],tbl_ProduitsRef[Produit],0)),
   ""
)</f>
        <v/>
      </c>
      <c r="G3159" s="7">
        <f>tbl_Ventes[[#This Row],[Qté Vendue]] * IFERROR(_xlfn.XLOOKUP(tbl_Ventes[[#This Row],[Cde_Prdt]], tbl_Produits[Cde_Prdt], tbl_Produits[Prix Menu]), 0)</f>
        <v>0</v>
      </c>
      <c r="H3159" s="7">
        <f>IFERROR(_xlfn.XLOOKUP(tbl_Ventes[[#This Row],[Cde_Prdt]], tbl_Produits[Cde_Prdt], tbl_Produits[Coût Moyen Portion]), 0)</f>
        <v>0</v>
      </c>
      <c r="I3159" s="7">
        <f>tbl_Ventes[[#This Row],[Qté Vendue]] * tbl_Ventes[[#This Row],[CMP_par_portion]]</f>
        <v>0</v>
      </c>
      <c r="J3159" s="7">
        <f>tbl_Ventes[[#This Row],[CA ligne]] - tbl_Ventes[[#This Row],[Coût matière ligne]]</f>
        <v>0</v>
      </c>
      <c r="K3159" s="7" t="str">
        <f>IFERROR(INDEX(tbl_ProduitsRef[Famille], MATCH(tbl_Ventes[[#This Row],[Cde_Prdt]], tbl_Produits[Cde_Prdt], 0)), "")</f>
        <v/>
      </c>
    </row>
    <row r="3160" spans="1:11" x14ac:dyDescent="0.25">
      <c r="A3160" s="5"/>
      <c r="B3160" s="63" t="str">
        <f>IFERROR(TEXT(tbl_Ventes[[#This Row],[Date]],"mm-aaaa"),"")</f>
        <v>01-1900</v>
      </c>
      <c r="D3160" s="10" t="str">
        <f>IFERROR(
   INDEX(tbl_ProduitsRef[Cde_Prdt],MATCH(tbl_Ventes[[#This Row],[Produit]],tbl_ProduitsRef[Produit],0)),
   ""
)</f>
        <v/>
      </c>
      <c r="E3160" s="7">
        <v>0</v>
      </c>
      <c r="F3160" s="7" t="str">
        <f>IFERROR(
   INDEX(tbl_ProduitsRef[Prix Menu],MATCH(tbl_Ventes[[#This Row],[Produit]],tbl_ProduitsRef[Produit],0)),
   ""
)</f>
        <v/>
      </c>
      <c r="G3160" s="7">
        <f>tbl_Ventes[[#This Row],[Qté Vendue]] * IFERROR(_xlfn.XLOOKUP(tbl_Ventes[[#This Row],[Cde_Prdt]], tbl_Produits[Cde_Prdt], tbl_Produits[Prix Menu]), 0)</f>
        <v>0</v>
      </c>
      <c r="H3160" s="7">
        <f>IFERROR(_xlfn.XLOOKUP(tbl_Ventes[[#This Row],[Cde_Prdt]], tbl_Produits[Cde_Prdt], tbl_Produits[Coût Moyen Portion]), 0)</f>
        <v>0</v>
      </c>
      <c r="I3160" s="7">
        <f>tbl_Ventes[[#This Row],[Qté Vendue]] * tbl_Ventes[[#This Row],[CMP_par_portion]]</f>
        <v>0</v>
      </c>
      <c r="J3160" s="7">
        <f>tbl_Ventes[[#This Row],[CA ligne]] - tbl_Ventes[[#This Row],[Coût matière ligne]]</f>
        <v>0</v>
      </c>
      <c r="K3160" s="7" t="str">
        <f>IFERROR(INDEX(tbl_ProduitsRef[Famille], MATCH(tbl_Ventes[[#This Row],[Cde_Prdt]], tbl_Produits[Cde_Prdt], 0)), "")</f>
        <v/>
      </c>
    </row>
    <row r="3161" spans="1:11" x14ac:dyDescent="0.25">
      <c r="A3161" s="5"/>
      <c r="B3161" s="63" t="str">
        <f>IFERROR(TEXT(tbl_Ventes[[#This Row],[Date]],"mm-aaaa"),"")</f>
        <v>01-1900</v>
      </c>
      <c r="D3161" s="10" t="str">
        <f>IFERROR(
   INDEX(tbl_ProduitsRef[Cde_Prdt],MATCH(tbl_Ventes[[#This Row],[Produit]],tbl_ProduitsRef[Produit],0)),
   ""
)</f>
        <v/>
      </c>
      <c r="E3161" s="7">
        <v>0</v>
      </c>
      <c r="F3161" s="7" t="str">
        <f>IFERROR(
   INDEX(tbl_ProduitsRef[Prix Menu],MATCH(tbl_Ventes[[#This Row],[Produit]],tbl_ProduitsRef[Produit],0)),
   ""
)</f>
        <v/>
      </c>
      <c r="G3161" s="7">
        <f>tbl_Ventes[[#This Row],[Qté Vendue]] * IFERROR(_xlfn.XLOOKUP(tbl_Ventes[[#This Row],[Cde_Prdt]], tbl_Produits[Cde_Prdt], tbl_Produits[Prix Menu]), 0)</f>
        <v>0</v>
      </c>
      <c r="H3161" s="7">
        <f>IFERROR(_xlfn.XLOOKUP(tbl_Ventes[[#This Row],[Cde_Prdt]], tbl_Produits[Cde_Prdt], tbl_Produits[Coût Moyen Portion]), 0)</f>
        <v>0</v>
      </c>
      <c r="I3161" s="7">
        <f>tbl_Ventes[[#This Row],[Qté Vendue]] * tbl_Ventes[[#This Row],[CMP_par_portion]]</f>
        <v>0</v>
      </c>
      <c r="J3161" s="7">
        <f>tbl_Ventes[[#This Row],[CA ligne]] - tbl_Ventes[[#This Row],[Coût matière ligne]]</f>
        <v>0</v>
      </c>
      <c r="K3161" s="7" t="str">
        <f>IFERROR(INDEX(tbl_ProduitsRef[Famille], MATCH(tbl_Ventes[[#This Row],[Cde_Prdt]], tbl_Produits[Cde_Prdt], 0)), "")</f>
        <v/>
      </c>
    </row>
    <row r="3162" spans="1:11" x14ac:dyDescent="0.25">
      <c r="A3162" s="5"/>
      <c r="B3162" s="63" t="str">
        <f>IFERROR(TEXT(tbl_Ventes[[#This Row],[Date]],"mm-aaaa"),"")</f>
        <v>01-1900</v>
      </c>
      <c r="D3162" s="10" t="str">
        <f>IFERROR(
   INDEX(tbl_ProduitsRef[Cde_Prdt],MATCH(tbl_Ventes[[#This Row],[Produit]],tbl_ProduitsRef[Produit],0)),
   ""
)</f>
        <v/>
      </c>
      <c r="E3162" s="7">
        <v>0</v>
      </c>
      <c r="F3162" s="7" t="str">
        <f>IFERROR(
   INDEX(tbl_ProduitsRef[Prix Menu],MATCH(tbl_Ventes[[#This Row],[Produit]],tbl_ProduitsRef[Produit],0)),
   ""
)</f>
        <v/>
      </c>
      <c r="G3162" s="7">
        <f>tbl_Ventes[[#This Row],[Qté Vendue]] * IFERROR(_xlfn.XLOOKUP(tbl_Ventes[[#This Row],[Cde_Prdt]], tbl_Produits[Cde_Prdt], tbl_Produits[Prix Menu]), 0)</f>
        <v>0</v>
      </c>
      <c r="H3162" s="7">
        <f>IFERROR(_xlfn.XLOOKUP(tbl_Ventes[[#This Row],[Cde_Prdt]], tbl_Produits[Cde_Prdt], tbl_Produits[Coût Moyen Portion]), 0)</f>
        <v>0</v>
      </c>
      <c r="I3162" s="7">
        <f>tbl_Ventes[[#This Row],[Qté Vendue]] * tbl_Ventes[[#This Row],[CMP_par_portion]]</f>
        <v>0</v>
      </c>
      <c r="J3162" s="7">
        <f>tbl_Ventes[[#This Row],[CA ligne]] - tbl_Ventes[[#This Row],[Coût matière ligne]]</f>
        <v>0</v>
      </c>
      <c r="K3162" s="7" t="str">
        <f>IFERROR(INDEX(tbl_ProduitsRef[Famille], MATCH(tbl_Ventes[[#This Row],[Cde_Prdt]], tbl_Produits[Cde_Prdt], 0)), "")</f>
        <v/>
      </c>
    </row>
    <row r="3163" spans="1:11" x14ac:dyDescent="0.25">
      <c r="A3163" s="5"/>
      <c r="B3163" s="63" t="str">
        <f>IFERROR(TEXT(tbl_Ventes[[#This Row],[Date]],"mm-aaaa"),"")</f>
        <v>01-1900</v>
      </c>
      <c r="D3163" s="10" t="str">
        <f>IFERROR(
   INDEX(tbl_ProduitsRef[Cde_Prdt],MATCH(tbl_Ventes[[#This Row],[Produit]],tbl_ProduitsRef[Produit],0)),
   ""
)</f>
        <v/>
      </c>
      <c r="E3163" s="7">
        <v>0</v>
      </c>
      <c r="F3163" s="7" t="str">
        <f>IFERROR(
   INDEX(tbl_ProduitsRef[Prix Menu],MATCH(tbl_Ventes[[#This Row],[Produit]],tbl_ProduitsRef[Produit],0)),
   ""
)</f>
        <v/>
      </c>
      <c r="G3163" s="7">
        <f>tbl_Ventes[[#This Row],[Qté Vendue]] * IFERROR(_xlfn.XLOOKUP(tbl_Ventes[[#This Row],[Cde_Prdt]], tbl_Produits[Cde_Prdt], tbl_Produits[Prix Menu]), 0)</f>
        <v>0</v>
      </c>
      <c r="H3163" s="7">
        <f>IFERROR(_xlfn.XLOOKUP(tbl_Ventes[[#This Row],[Cde_Prdt]], tbl_Produits[Cde_Prdt], tbl_Produits[Coût Moyen Portion]), 0)</f>
        <v>0</v>
      </c>
      <c r="I3163" s="7">
        <f>tbl_Ventes[[#This Row],[Qté Vendue]] * tbl_Ventes[[#This Row],[CMP_par_portion]]</f>
        <v>0</v>
      </c>
      <c r="J3163" s="7">
        <f>tbl_Ventes[[#This Row],[CA ligne]] - tbl_Ventes[[#This Row],[Coût matière ligne]]</f>
        <v>0</v>
      </c>
      <c r="K3163" s="7" t="str">
        <f>IFERROR(INDEX(tbl_ProduitsRef[Famille], MATCH(tbl_Ventes[[#This Row],[Cde_Prdt]], tbl_Produits[Cde_Prdt], 0)), "")</f>
        <v/>
      </c>
    </row>
    <row r="3164" spans="1:11" x14ac:dyDescent="0.25">
      <c r="A3164" s="5"/>
      <c r="B3164" s="63" t="str">
        <f>IFERROR(TEXT(tbl_Ventes[[#This Row],[Date]],"mm-aaaa"),"")</f>
        <v>01-1900</v>
      </c>
      <c r="D3164" s="10" t="str">
        <f>IFERROR(
   INDEX(tbl_ProduitsRef[Cde_Prdt],MATCH(tbl_Ventes[[#This Row],[Produit]],tbl_ProduitsRef[Produit],0)),
   ""
)</f>
        <v/>
      </c>
      <c r="E3164" s="7">
        <v>0</v>
      </c>
      <c r="F3164" s="7" t="str">
        <f>IFERROR(
   INDEX(tbl_ProduitsRef[Prix Menu],MATCH(tbl_Ventes[[#This Row],[Produit]],tbl_ProduitsRef[Produit],0)),
   ""
)</f>
        <v/>
      </c>
      <c r="G3164" s="7">
        <f>tbl_Ventes[[#This Row],[Qté Vendue]] * IFERROR(_xlfn.XLOOKUP(tbl_Ventes[[#This Row],[Cde_Prdt]], tbl_Produits[Cde_Prdt], tbl_Produits[Prix Menu]), 0)</f>
        <v>0</v>
      </c>
      <c r="H3164" s="7">
        <f>IFERROR(_xlfn.XLOOKUP(tbl_Ventes[[#This Row],[Cde_Prdt]], tbl_Produits[Cde_Prdt], tbl_Produits[Coût Moyen Portion]), 0)</f>
        <v>0</v>
      </c>
      <c r="I3164" s="7">
        <f>tbl_Ventes[[#This Row],[Qté Vendue]] * tbl_Ventes[[#This Row],[CMP_par_portion]]</f>
        <v>0</v>
      </c>
      <c r="J3164" s="7">
        <f>tbl_Ventes[[#This Row],[CA ligne]] - tbl_Ventes[[#This Row],[Coût matière ligne]]</f>
        <v>0</v>
      </c>
      <c r="K3164" s="7" t="str">
        <f>IFERROR(INDEX(tbl_ProduitsRef[Famille], MATCH(tbl_Ventes[[#This Row],[Cde_Prdt]], tbl_Produits[Cde_Prdt], 0)), "")</f>
        <v/>
      </c>
    </row>
    <row r="3165" spans="1:11" x14ac:dyDescent="0.25">
      <c r="A3165" s="5"/>
      <c r="B3165" s="63" t="str">
        <f>IFERROR(TEXT(tbl_Ventes[[#This Row],[Date]],"mm-aaaa"),"")</f>
        <v>01-1900</v>
      </c>
      <c r="D3165" s="10" t="str">
        <f>IFERROR(
   INDEX(tbl_ProduitsRef[Cde_Prdt],MATCH(tbl_Ventes[[#This Row],[Produit]],tbl_ProduitsRef[Produit],0)),
   ""
)</f>
        <v/>
      </c>
      <c r="E3165" s="7">
        <v>0</v>
      </c>
      <c r="F3165" s="7" t="str">
        <f>IFERROR(
   INDEX(tbl_ProduitsRef[Prix Menu],MATCH(tbl_Ventes[[#This Row],[Produit]],tbl_ProduitsRef[Produit],0)),
   ""
)</f>
        <v/>
      </c>
      <c r="G3165" s="7">
        <f>tbl_Ventes[[#This Row],[Qté Vendue]] * IFERROR(_xlfn.XLOOKUP(tbl_Ventes[[#This Row],[Cde_Prdt]], tbl_Produits[Cde_Prdt], tbl_Produits[Prix Menu]), 0)</f>
        <v>0</v>
      </c>
      <c r="H3165" s="7">
        <f>IFERROR(_xlfn.XLOOKUP(tbl_Ventes[[#This Row],[Cde_Prdt]], tbl_Produits[Cde_Prdt], tbl_Produits[Coût Moyen Portion]), 0)</f>
        <v>0</v>
      </c>
      <c r="I3165" s="7">
        <f>tbl_Ventes[[#This Row],[Qté Vendue]] * tbl_Ventes[[#This Row],[CMP_par_portion]]</f>
        <v>0</v>
      </c>
      <c r="J3165" s="7">
        <f>tbl_Ventes[[#This Row],[CA ligne]] - tbl_Ventes[[#This Row],[Coût matière ligne]]</f>
        <v>0</v>
      </c>
      <c r="K3165" s="7" t="str">
        <f>IFERROR(INDEX(tbl_ProduitsRef[Famille], MATCH(tbl_Ventes[[#This Row],[Cde_Prdt]], tbl_Produits[Cde_Prdt], 0)), "")</f>
        <v/>
      </c>
    </row>
    <row r="3166" spans="1:11" x14ac:dyDescent="0.25">
      <c r="A3166" s="5"/>
      <c r="B3166" s="63" t="str">
        <f>IFERROR(TEXT(tbl_Ventes[[#This Row],[Date]],"mm-aaaa"),"")</f>
        <v>01-1900</v>
      </c>
      <c r="D3166" s="10" t="str">
        <f>IFERROR(
   INDEX(tbl_ProduitsRef[Cde_Prdt],MATCH(tbl_Ventes[[#This Row],[Produit]],tbl_ProduitsRef[Produit],0)),
   ""
)</f>
        <v/>
      </c>
      <c r="E3166" s="7">
        <v>0</v>
      </c>
      <c r="F3166" s="7" t="str">
        <f>IFERROR(
   INDEX(tbl_ProduitsRef[Prix Menu],MATCH(tbl_Ventes[[#This Row],[Produit]],tbl_ProduitsRef[Produit],0)),
   ""
)</f>
        <v/>
      </c>
      <c r="G3166" s="7">
        <f>tbl_Ventes[[#This Row],[Qté Vendue]] * IFERROR(_xlfn.XLOOKUP(tbl_Ventes[[#This Row],[Cde_Prdt]], tbl_Produits[Cde_Prdt], tbl_Produits[Prix Menu]), 0)</f>
        <v>0</v>
      </c>
      <c r="H3166" s="7">
        <f>IFERROR(_xlfn.XLOOKUP(tbl_Ventes[[#This Row],[Cde_Prdt]], tbl_Produits[Cde_Prdt], tbl_Produits[Coût Moyen Portion]), 0)</f>
        <v>0</v>
      </c>
      <c r="I3166" s="7">
        <f>tbl_Ventes[[#This Row],[Qté Vendue]] * tbl_Ventes[[#This Row],[CMP_par_portion]]</f>
        <v>0</v>
      </c>
      <c r="J3166" s="7">
        <f>tbl_Ventes[[#This Row],[CA ligne]] - tbl_Ventes[[#This Row],[Coût matière ligne]]</f>
        <v>0</v>
      </c>
      <c r="K3166" s="7" t="str">
        <f>IFERROR(INDEX(tbl_ProduitsRef[Famille], MATCH(tbl_Ventes[[#This Row],[Cde_Prdt]], tbl_Produits[Cde_Prdt], 0)), "")</f>
        <v/>
      </c>
    </row>
    <row r="3167" spans="1:11" x14ac:dyDescent="0.25">
      <c r="A3167" s="5"/>
      <c r="B3167" s="63" t="str">
        <f>IFERROR(TEXT(tbl_Ventes[[#This Row],[Date]],"mm-aaaa"),"")</f>
        <v>01-1900</v>
      </c>
      <c r="D3167" s="10" t="str">
        <f>IFERROR(
   INDEX(tbl_ProduitsRef[Cde_Prdt],MATCH(tbl_Ventes[[#This Row],[Produit]],tbl_ProduitsRef[Produit],0)),
   ""
)</f>
        <v/>
      </c>
      <c r="E3167" s="7">
        <v>0</v>
      </c>
      <c r="F3167" s="7" t="str">
        <f>IFERROR(
   INDEX(tbl_ProduitsRef[Prix Menu],MATCH(tbl_Ventes[[#This Row],[Produit]],tbl_ProduitsRef[Produit],0)),
   ""
)</f>
        <v/>
      </c>
      <c r="G3167" s="7">
        <f>tbl_Ventes[[#This Row],[Qté Vendue]] * IFERROR(_xlfn.XLOOKUP(tbl_Ventes[[#This Row],[Cde_Prdt]], tbl_Produits[Cde_Prdt], tbl_Produits[Prix Menu]), 0)</f>
        <v>0</v>
      </c>
      <c r="H3167" s="7">
        <f>IFERROR(_xlfn.XLOOKUP(tbl_Ventes[[#This Row],[Cde_Prdt]], tbl_Produits[Cde_Prdt], tbl_Produits[Coût Moyen Portion]), 0)</f>
        <v>0</v>
      </c>
      <c r="I3167" s="7">
        <f>tbl_Ventes[[#This Row],[Qté Vendue]] * tbl_Ventes[[#This Row],[CMP_par_portion]]</f>
        <v>0</v>
      </c>
      <c r="J3167" s="7">
        <f>tbl_Ventes[[#This Row],[CA ligne]] - tbl_Ventes[[#This Row],[Coût matière ligne]]</f>
        <v>0</v>
      </c>
      <c r="K3167" s="7" t="str">
        <f>IFERROR(INDEX(tbl_ProduitsRef[Famille], MATCH(tbl_Ventes[[#This Row],[Cde_Prdt]], tbl_Produits[Cde_Prdt], 0)), "")</f>
        <v/>
      </c>
    </row>
    <row r="3168" spans="1:11" x14ac:dyDescent="0.25">
      <c r="A3168" s="5"/>
      <c r="B3168" s="63" t="str">
        <f>IFERROR(TEXT(tbl_Ventes[[#This Row],[Date]],"mm-aaaa"),"")</f>
        <v>01-1900</v>
      </c>
      <c r="D3168" s="10" t="str">
        <f>IFERROR(
   INDEX(tbl_ProduitsRef[Cde_Prdt],MATCH(tbl_Ventes[[#This Row],[Produit]],tbl_ProduitsRef[Produit],0)),
   ""
)</f>
        <v/>
      </c>
      <c r="E3168" s="7">
        <v>0</v>
      </c>
      <c r="F3168" s="7" t="str">
        <f>IFERROR(
   INDEX(tbl_ProduitsRef[Prix Menu],MATCH(tbl_Ventes[[#This Row],[Produit]],tbl_ProduitsRef[Produit],0)),
   ""
)</f>
        <v/>
      </c>
      <c r="G3168" s="7">
        <f>tbl_Ventes[[#This Row],[Qté Vendue]] * IFERROR(_xlfn.XLOOKUP(tbl_Ventes[[#This Row],[Cde_Prdt]], tbl_Produits[Cde_Prdt], tbl_Produits[Prix Menu]), 0)</f>
        <v>0</v>
      </c>
      <c r="H3168" s="7">
        <f>IFERROR(_xlfn.XLOOKUP(tbl_Ventes[[#This Row],[Cde_Prdt]], tbl_Produits[Cde_Prdt], tbl_Produits[Coût Moyen Portion]), 0)</f>
        <v>0</v>
      </c>
      <c r="I3168" s="7">
        <f>tbl_Ventes[[#This Row],[Qté Vendue]] * tbl_Ventes[[#This Row],[CMP_par_portion]]</f>
        <v>0</v>
      </c>
      <c r="J3168" s="7">
        <f>tbl_Ventes[[#This Row],[CA ligne]] - tbl_Ventes[[#This Row],[Coût matière ligne]]</f>
        <v>0</v>
      </c>
      <c r="K3168" s="7" t="str">
        <f>IFERROR(INDEX(tbl_ProduitsRef[Famille], MATCH(tbl_Ventes[[#This Row],[Cde_Prdt]], tbl_Produits[Cde_Prdt], 0)), "")</f>
        <v/>
      </c>
    </row>
    <row r="3169" spans="1:11" x14ac:dyDescent="0.25">
      <c r="A3169" s="5"/>
      <c r="B3169" s="63" t="str">
        <f>IFERROR(TEXT(tbl_Ventes[[#This Row],[Date]],"mm-aaaa"),"")</f>
        <v>01-1900</v>
      </c>
      <c r="D3169" s="10" t="str">
        <f>IFERROR(
   INDEX(tbl_ProduitsRef[Cde_Prdt],MATCH(tbl_Ventes[[#This Row],[Produit]],tbl_ProduitsRef[Produit],0)),
   ""
)</f>
        <v/>
      </c>
      <c r="E3169" s="7">
        <v>0</v>
      </c>
      <c r="F3169" s="7" t="str">
        <f>IFERROR(
   INDEX(tbl_ProduitsRef[Prix Menu],MATCH(tbl_Ventes[[#This Row],[Produit]],tbl_ProduitsRef[Produit],0)),
   ""
)</f>
        <v/>
      </c>
      <c r="G3169" s="7">
        <f>tbl_Ventes[[#This Row],[Qté Vendue]] * IFERROR(_xlfn.XLOOKUP(tbl_Ventes[[#This Row],[Cde_Prdt]], tbl_Produits[Cde_Prdt], tbl_Produits[Prix Menu]), 0)</f>
        <v>0</v>
      </c>
      <c r="H3169" s="7">
        <f>IFERROR(_xlfn.XLOOKUP(tbl_Ventes[[#This Row],[Cde_Prdt]], tbl_Produits[Cde_Prdt], tbl_Produits[Coût Moyen Portion]), 0)</f>
        <v>0</v>
      </c>
      <c r="I3169" s="7">
        <f>tbl_Ventes[[#This Row],[Qté Vendue]] * tbl_Ventes[[#This Row],[CMP_par_portion]]</f>
        <v>0</v>
      </c>
      <c r="J3169" s="7">
        <f>tbl_Ventes[[#This Row],[CA ligne]] - tbl_Ventes[[#This Row],[Coût matière ligne]]</f>
        <v>0</v>
      </c>
      <c r="K3169" s="7" t="str">
        <f>IFERROR(INDEX(tbl_ProduitsRef[Famille], MATCH(tbl_Ventes[[#This Row],[Cde_Prdt]], tbl_Produits[Cde_Prdt], 0)), "")</f>
        <v/>
      </c>
    </row>
    <row r="3170" spans="1:11" x14ac:dyDescent="0.25">
      <c r="A3170" s="5"/>
      <c r="B3170" s="63" t="str">
        <f>IFERROR(TEXT(tbl_Ventes[[#This Row],[Date]],"mm-aaaa"),"")</f>
        <v>01-1900</v>
      </c>
      <c r="D3170" s="10" t="str">
        <f>IFERROR(
   INDEX(tbl_ProduitsRef[Cde_Prdt],MATCH(tbl_Ventes[[#This Row],[Produit]],tbl_ProduitsRef[Produit],0)),
   ""
)</f>
        <v/>
      </c>
      <c r="E3170" s="7">
        <v>0</v>
      </c>
      <c r="F3170" s="7" t="str">
        <f>IFERROR(
   INDEX(tbl_ProduitsRef[Prix Menu],MATCH(tbl_Ventes[[#This Row],[Produit]],tbl_ProduitsRef[Produit],0)),
   ""
)</f>
        <v/>
      </c>
      <c r="G3170" s="7">
        <f>tbl_Ventes[[#This Row],[Qté Vendue]] * IFERROR(_xlfn.XLOOKUP(tbl_Ventes[[#This Row],[Cde_Prdt]], tbl_Produits[Cde_Prdt], tbl_Produits[Prix Menu]), 0)</f>
        <v>0</v>
      </c>
      <c r="H3170" s="7">
        <f>IFERROR(_xlfn.XLOOKUP(tbl_Ventes[[#This Row],[Cde_Prdt]], tbl_Produits[Cde_Prdt], tbl_Produits[Coût Moyen Portion]), 0)</f>
        <v>0</v>
      </c>
      <c r="I3170" s="7">
        <f>tbl_Ventes[[#This Row],[Qté Vendue]] * tbl_Ventes[[#This Row],[CMP_par_portion]]</f>
        <v>0</v>
      </c>
      <c r="J3170" s="7">
        <f>tbl_Ventes[[#This Row],[CA ligne]] - tbl_Ventes[[#This Row],[Coût matière ligne]]</f>
        <v>0</v>
      </c>
      <c r="K3170" s="7" t="str">
        <f>IFERROR(INDEX(tbl_ProduitsRef[Famille], MATCH(tbl_Ventes[[#This Row],[Cde_Prdt]], tbl_Produits[Cde_Prdt], 0)), "")</f>
        <v/>
      </c>
    </row>
    <row r="3171" spans="1:11" x14ac:dyDescent="0.25">
      <c r="A3171" s="5"/>
      <c r="B3171" s="63" t="str">
        <f>IFERROR(TEXT(tbl_Ventes[[#This Row],[Date]],"mm-aaaa"),"")</f>
        <v>01-1900</v>
      </c>
      <c r="D3171" s="10" t="str">
        <f>IFERROR(
   INDEX(tbl_ProduitsRef[Cde_Prdt],MATCH(tbl_Ventes[[#This Row],[Produit]],tbl_ProduitsRef[Produit],0)),
   ""
)</f>
        <v/>
      </c>
      <c r="E3171" s="7">
        <v>0</v>
      </c>
      <c r="F3171" s="7" t="str">
        <f>IFERROR(
   INDEX(tbl_ProduitsRef[Prix Menu],MATCH(tbl_Ventes[[#This Row],[Produit]],tbl_ProduitsRef[Produit],0)),
   ""
)</f>
        <v/>
      </c>
      <c r="G3171" s="7">
        <f>tbl_Ventes[[#This Row],[Qté Vendue]] * IFERROR(_xlfn.XLOOKUP(tbl_Ventes[[#This Row],[Cde_Prdt]], tbl_Produits[Cde_Prdt], tbl_Produits[Prix Menu]), 0)</f>
        <v>0</v>
      </c>
      <c r="H3171" s="7">
        <f>IFERROR(_xlfn.XLOOKUP(tbl_Ventes[[#This Row],[Cde_Prdt]], tbl_Produits[Cde_Prdt], tbl_Produits[Coût Moyen Portion]), 0)</f>
        <v>0</v>
      </c>
      <c r="I3171" s="7">
        <f>tbl_Ventes[[#This Row],[Qté Vendue]] * tbl_Ventes[[#This Row],[CMP_par_portion]]</f>
        <v>0</v>
      </c>
      <c r="J3171" s="7">
        <f>tbl_Ventes[[#This Row],[CA ligne]] - tbl_Ventes[[#This Row],[Coût matière ligne]]</f>
        <v>0</v>
      </c>
      <c r="K3171" s="7" t="str">
        <f>IFERROR(INDEX(tbl_ProduitsRef[Famille], MATCH(tbl_Ventes[[#This Row],[Cde_Prdt]], tbl_Produits[Cde_Prdt], 0)), "")</f>
        <v/>
      </c>
    </row>
    <row r="3172" spans="1:11" x14ac:dyDescent="0.25">
      <c r="A3172" s="5"/>
      <c r="B3172" s="63" t="str">
        <f>IFERROR(TEXT(tbl_Ventes[[#This Row],[Date]],"mm-aaaa"),"")</f>
        <v>01-1900</v>
      </c>
      <c r="D3172" s="10" t="str">
        <f>IFERROR(
   INDEX(tbl_ProduitsRef[Cde_Prdt],MATCH(tbl_Ventes[[#This Row],[Produit]],tbl_ProduitsRef[Produit],0)),
   ""
)</f>
        <v/>
      </c>
      <c r="E3172" s="7">
        <v>0</v>
      </c>
      <c r="F3172" s="7" t="str">
        <f>IFERROR(
   INDEX(tbl_ProduitsRef[Prix Menu],MATCH(tbl_Ventes[[#This Row],[Produit]],tbl_ProduitsRef[Produit],0)),
   ""
)</f>
        <v/>
      </c>
      <c r="G3172" s="7">
        <f>tbl_Ventes[[#This Row],[Qté Vendue]] * IFERROR(_xlfn.XLOOKUP(tbl_Ventes[[#This Row],[Cde_Prdt]], tbl_Produits[Cde_Prdt], tbl_Produits[Prix Menu]), 0)</f>
        <v>0</v>
      </c>
      <c r="H3172" s="7">
        <f>IFERROR(_xlfn.XLOOKUP(tbl_Ventes[[#This Row],[Cde_Prdt]], tbl_Produits[Cde_Prdt], tbl_Produits[Coût Moyen Portion]), 0)</f>
        <v>0</v>
      </c>
      <c r="I3172" s="7">
        <f>tbl_Ventes[[#This Row],[Qté Vendue]] * tbl_Ventes[[#This Row],[CMP_par_portion]]</f>
        <v>0</v>
      </c>
      <c r="J3172" s="7">
        <f>tbl_Ventes[[#This Row],[CA ligne]] - tbl_Ventes[[#This Row],[Coût matière ligne]]</f>
        <v>0</v>
      </c>
      <c r="K3172" s="7" t="str">
        <f>IFERROR(INDEX(tbl_ProduitsRef[Famille], MATCH(tbl_Ventes[[#This Row],[Cde_Prdt]], tbl_Produits[Cde_Prdt], 0)), "")</f>
        <v/>
      </c>
    </row>
    <row r="3173" spans="1:11" x14ac:dyDescent="0.25">
      <c r="A3173" s="5"/>
      <c r="B3173" s="63" t="str">
        <f>IFERROR(TEXT(tbl_Ventes[[#This Row],[Date]],"mm-aaaa"),"")</f>
        <v>01-1900</v>
      </c>
      <c r="D3173" s="10" t="str">
        <f>IFERROR(
   INDEX(tbl_ProduitsRef[Cde_Prdt],MATCH(tbl_Ventes[[#This Row],[Produit]],tbl_ProduitsRef[Produit],0)),
   ""
)</f>
        <v/>
      </c>
      <c r="E3173" s="7">
        <v>0</v>
      </c>
      <c r="F3173" s="7" t="str">
        <f>IFERROR(
   INDEX(tbl_ProduitsRef[Prix Menu],MATCH(tbl_Ventes[[#This Row],[Produit]],tbl_ProduitsRef[Produit],0)),
   ""
)</f>
        <v/>
      </c>
      <c r="G3173" s="7">
        <f>tbl_Ventes[[#This Row],[Qté Vendue]] * IFERROR(_xlfn.XLOOKUP(tbl_Ventes[[#This Row],[Cde_Prdt]], tbl_Produits[Cde_Prdt], tbl_Produits[Prix Menu]), 0)</f>
        <v>0</v>
      </c>
      <c r="H3173" s="7">
        <f>IFERROR(_xlfn.XLOOKUP(tbl_Ventes[[#This Row],[Cde_Prdt]], tbl_Produits[Cde_Prdt], tbl_Produits[Coût Moyen Portion]), 0)</f>
        <v>0</v>
      </c>
      <c r="I3173" s="7">
        <f>tbl_Ventes[[#This Row],[Qté Vendue]] * tbl_Ventes[[#This Row],[CMP_par_portion]]</f>
        <v>0</v>
      </c>
      <c r="J3173" s="7">
        <f>tbl_Ventes[[#This Row],[CA ligne]] - tbl_Ventes[[#This Row],[Coût matière ligne]]</f>
        <v>0</v>
      </c>
      <c r="K3173" s="7" t="str">
        <f>IFERROR(INDEX(tbl_ProduitsRef[Famille], MATCH(tbl_Ventes[[#This Row],[Cde_Prdt]], tbl_Produits[Cde_Prdt], 0)), "")</f>
        <v/>
      </c>
    </row>
    <row r="3174" spans="1:11" x14ac:dyDescent="0.25">
      <c r="A3174" s="5"/>
      <c r="B3174" s="63" t="str">
        <f>IFERROR(TEXT(tbl_Ventes[[#This Row],[Date]],"mm-aaaa"),"")</f>
        <v>01-1900</v>
      </c>
      <c r="D3174" s="10" t="str">
        <f>IFERROR(
   INDEX(tbl_ProduitsRef[Cde_Prdt],MATCH(tbl_Ventes[[#This Row],[Produit]],tbl_ProduitsRef[Produit],0)),
   ""
)</f>
        <v/>
      </c>
      <c r="E3174" s="7">
        <v>0</v>
      </c>
      <c r="F3174" s="7" t="str">
        <f>IFERROR(
   INDEX(tbl_ProduitsRef[Prix Menu],MATCH(tbl_Ventes[[#This Row],[Produit]],tbl_ProduitsRef[Produit],0)),
   ""
)</f>
        <v/>
      </c>
      <c r="G3174" s="7">
        <f>tbl_Ventes[[#This Row],[Qté Vendue]] * IFERROR(_xlfn.XLOOKUP(tbl_Ventes[[#This Row],[Cde_Prdt]], tbl_Produits[Cde_Prdt], tbl_Produits[Prix Menu]), 0)</f>
        <v>0</v>
      </c>
      <c r="H3174" s="7">
        <f>IFERROR(_xlfn.XLOOKUP(tbl_Ventes[[#This Row],[Cde_Prdt]], tbl_Produits[Cde_Prdt], tbl_Produits[Coût Moyen Portion]), 0)</f>
        <v>0</v>
      </c>
      <c r="I3174" s="7">
        <f>tbl_Ventes[[#This Row],[Qté Vendue]] * tbl_Ventes[[#This Row],[CMP_par_portion]]</f>
        <v>0</v>
      </c>
      <c r="J3174" s="7">
        <f>tbl_Ventes[[#This Row],[CA ligne]] - tbl_Ventes[[#This Row],[Coût matière ligne]]</f>
        <v>0</v>
      </c>
      <c r="K3174" s="7" t="str">
        <f>IFERROR(INDEX(tbl_ProduitsRef[Famille], MATCH(tbl_Ventes[[#This Row],[Cde_Prdt]], tbl_Produits[Cde_Prdt], 0)), "")</f>
        <v/>
      </c>
    </row>
    <row r="3175" spans="1:11" x14ac:dyDescent="0.25">
      <c r="A3175" s="5"/>
      <c r="B3175" s="63" t="str">
        <f>IFERROR(TEXT(tbl_Ventes[[#This Row],[Date]],"mm-aaaa"),"")</f>
        <v>01-1900</v>
      </c>
      <c r="D3175" s="10" t="str">
        <f>IFERROR(
   INDEX(tbl_ProduitsRef[Cde_Prdt],MATCH(tbl_Ventes[[#This Row],[Produit]],tbl_ProduitsRef[Produit],0)),
   ""
)</f>
        <v/>
      </c>
      <c r="E3175" s="7">
        <v>0</v>
      </c>
      <c r="F3175" s="7" t="str">
        <f>IFERROR(
   INDEX(tbl_ProduitsRef[Prix Menu],MATCH(tbl_Ventes[[#This Row],[Produit]],tbl_ProduitsRef[Produit],0)),
   ""
)</f>
        <v/>
      </c>
      <c r="G3175" s="7">
        <f>tbl_Ventes[[#This Row],[Qté Vendue]] * IFERROR(_xlfn.XLOOKUP(tbl_Ventes[[#This Row],[Cde_Prdt]], tbl_Produits[Cde_Prdt], tbl_Produits[Prix Menu]), 0)</f>
        <v>0</v>
      </c>
      <c r="H3175" s="7">
        <f>IFERROR(_xlfn.XLOOKUP(tbl_Ventes[[#This Row],[Cde_Prdt]], tbl_Produits[Cde_Prdt], tbl_Produits[Coût Moyen Portion]), 0)</f>
        <v>0</v>
      </c>
      <c r="I3175" s="7">
        <f>tbl_Ventes[[#This Row],[Qté Vendue]] * tbl_Ventes[[#This Row],[CMP_par_portion]]</f>
        <v>0</v>
      </c>
      <c r="J3175" s="7">
        <f>tbl_Ventes[[#This Row],[CA ligne]] - tbl_Ventes[[#This Row],[Coût matière ligne]]</f>
        <v>0</v>
      </c>
      <c r="K3175" s="7" t="str">
        <f>IFERROR(INDEX(tbl_ProduitsRef[Famille], MATCH(tbl_Ventes[[#This Row],[Cde_Prdt]], tbl_Produits[Cde_Prdt], 0)), "")</f>
        <v/>
      </c>
    </row>
    <row r="3176" spans="1:11" x14ac:dyDescent="0.25">
      <c r="A3176" s="5"/>
      <c r="B3176" s="63" t="str">
        <f>IFERROR(TEXT(tbl_Ventes[[#This Row],[Date]],"mm-aaaa"),"")</f>
        <v>01-1900</v>
      </c>
      <c r="D3176" s="10" t="str">
        <f>IFERROR(
   INDEX(tbl_ProduitsRef[Cde_Prdt],MATCH(tbl_Ventes[[#This Row],[Produit]],tbl_ProduitsRef[Produit],0)),
   ""
)</f>
        <v/>
      </c>
      <c r="E3176" s="7">
        <v>0</v>
      </c>
      <c r="F3176" s="7" t="str">
        <f>IFERROR(
   INDEX(tbl_ProduitsRef[Prix Menu],MATCH(tbl_Ventes[[#This Row],[Produit]],tbl_ProduitsRef[Produit],0)),
   ""
)</f>
        <v/>
      </c>
      <c r="G3176" s="7">
        <f>tbl_Ventes[[#This Row],[Qté Vendue]] * IFERROR(_xlfn.XLOOKUP(tbl_Ventes[[#This Row],[Cde_Prdt]], tbl_Produits[Cde_Prdt], tbl_Produits[Prix Menu]), 0)</f>
        <v>0</v>
      </c>
      <c r="H3176" s="7">
        <f>IFERROR(_xlfn.XLOOKUP(tbl_Ventes[[#This Row],[Cde_Prdt]], tbl_Produits[Cde_Prdt], tbl_Produits[Coût Moyen Portion]), 0)</f>
        <v>0</v>
      </c>
      <c r="I3176" s="7">
        <f>tbl_Ventes[[#This Row],[Qté Vendue]] * tbl_Ventes[[#This Row],[CMP_par_portion]]</f>
        <v>0</v>
      </c>
      <c r="J3176" s="7">
        <f>tbl_Ventes[[#This Row],[CA ligne]] - tbl_Ventes[[#This Row],[Coût matière ligne]]</f>
        <v>0</v>
      </c>
      <c r="K3176" s="7" t="str">
        <f>IFERROR(INDEX(tbl_ProduitsRef[Famille], MATCH(tbl_Ventes[[#This Row],[Cde_Prdt]], tbl_Produits[Cde_Prdt], 0)), "")</f>
        <v/>
      </c>
    </row>
    <row r="3177" spans="1:11" x14ac:dyDescent="0.25">
      <c r="A3177" s="5"/>
      <c r="B3177" s="63" t="str">
        <f>IFERROR(TEXT(tbl_Ventes[[#This Row],[Date]],"mm-aaaa"),"")</f>
        <v>01-1900</v>
      </c>
      <c r="D3177" s="10" t="str">
        <f>IFERROR(
   INDEX(tbl_ProduitsRef[Cde_Prdt],MATCH(tbl_Ventes[[#This Row],[Produit]],tbl_ProduitsRef[Produit],0)),
   ""
)</f>
        <v/>
      </c>
      <c r="E3177" s="7">
        <v>0</v>
      </c>
      <c r="F3177" s="7" t="str">
        <f>IFERROR(
   INDEX(tbl_ProduitsRef[Prix Menu],MATCH(tbl_Ventes[[#This Row],[Produit]],tbl_ProduitsRef[Produit],0)),
   ""
)</f>
        <v/>
      </c>
      <c r="G3177" s="7">
        <f>tbl_Ventes[[#This Row],[Qté Vendue]] * IFERROR(_xlfn.XLOOKUP(tbl_Ventes[[#This Row],[Cde_Prdt]], tbl_Produits[Cde_Prdt], tbl_Produits[Prix Menu]), 0)</f>
        <v>0</v>
      </c>
      <c r="H3177" s="7">
        <f>IFERROR(_xlfn.XLOOKUP(tbl_Ventes[[#This Row],[Cde_Prdt]], tbl_Produits[Cde_Prdt], tbl_Produits[Coût Moyen Portion]), 0)</f>
        <v>0</v>
      </c>
      <c r="I3177" s="7">
        <f>tbl_Ventes[[#This Row],[Qté Vendue]] * tbl_Ventes[[#This Row],[CMP_par_portion]]</f>
        <v>0</v>
      </c>
      <c r="J3177" s="7">
        <f>tbl_Ventes[[#This Row],[CA ligne]] - tbl_Ventes[[#This Row],[Coût matière ligne]]</f>
        <v>0</v>
      </c>
      <c r="K3177" s="7" t="str">
        <f>IFERROR(INDEX(tbl_ProduitsRef[Famille], MATCH(tbl_Ventes[[#This Row],[Cde_Prdt]], tbl_Produits[Cde_Prdt], 0)), "")</f>
        <v/>
      </c>
    </row>
    <row r="3178" spans="1:11" x14ac:dyDescent="0.25">
      <c r="A3178" s="5"/>
      <c r="B3178" s="63" t="str">
        <f>IFERROR(TEXT(tbl_Ventes[[#This Row],[Date]],"mm-aaaa"),"")</f>
        <v>01-1900</v>
      </c>
      <c r="D3178" s="10" t="str">
        <f>IFERROR(
   INDEX(tbl_ProduitsRef[Cde_Prdt],MATCH(tbl_Ventes[[#This Row],[Produit]],tbl_ProduitsRef[Produit],0)),
   ""
)</f>
        <v/>
      </c>
      <c r="E3178" s="7">
        <v>0</v>
      </c>
      <c r="F3178" s="7" t="str">
        <f>IFERROR(
   INDEX(tbl_ProduitsRef[Prix Menu],MATCH(tbl_Ventes[[#This Row],[Produit]],tbl_ProduitsRef[Produit],0)),
   ""
)</f>
        <v/>
      </c>
      <c r="G3178" s="7">
        <f>tbl_Ventes[[#This Row],[Qté Vendue]] * IFERROR(_xlfn.XLOOKUP(tbl_Ventes[[#This Row],[Cde_Prdt]], tbl_Produits[Cde_Prdt], tbl_Produits[Prix Menu]), 0)</f>
        <v>0</v>
      </c>
      <c r="H3178" s="7">
        <f>IFERROR(_xlfn.XLOOKUP(tbl_Ventes[[#This Row],[Cde_Prdt]], tbl_Produits[Cde_Prdt], tbl_Produits[Coût Moyen Portion]), 0)</f>
        <v>0</v>
      </c>
      <c r="I3178" s="7">
        <f>tbl_Ventes[[#This Row],[Qté Vendue]] * tbl_Ventes[[#This Row],[CMP_par_portion]]</f>
        <v>0</v>
      </c>
      <c r="J3178" s="7">
        <f>tbl_Ventes[[#This Row],[CA ligne]] - tbl_Ventes[[#This Row],[Coût matière ligne]]</f>
        <v>0</v>
      </c>
      <c r="K3178" s="7" t="str">
        <f>IFERROR(INDEX(tbl_ProduitsRef[Famille], MATCH(tbl_Ventes[[#This Row],[Cde_Prdt]], tbl_Produits[Cde_Prdt], 0)), "")</f>
        <v/>
      </c>
    </row>
    <row r="3179" spans="1:11" x14ac:dyDescent="0.25">
      <c r="A3179" s="5"/>
      <c r="B3179" s="63" t="str">
        <f>IFERROR(TEXT(tbl_Ventes[[#This Row],[Date]],"mm-aaaa"),"")</f>
        <v>01-1900</v>
      </c>
      <c r="D3179" s="10" t="str">
        <f>IFERROR(
   INDEX(tbl_ProduitsRef[Cde_Prdt],MATCH(tbl_Ventes[[#This Row],[Produit]],tbl_ProduitsRef[Produit],0)),
   ""
)</f>
        <v/>
      </c>
      <c r="E3179" s="7">
        <v>0</v>
      </c>
      <c r="F3179" s="7" t="str">
        <f>IFERROR(
   INDEX(tbl_ProduitsRef[Prix Menu],MATCH(tbl_Ventes[[#This Row],[Produit]],tbl_ProduitsRef[Produit],0)),
   ""
)</f>
        <v/>
      </c>
      <c r="G3179" s="7">
        <f>tbl_Ventes[[#This Row],[Qté Vendue]] * IFERROR(_xlfn.XLOOKUP(tbl_Ventes[[#This Row],[Cde_Prdt]], tbl_Produits[Cde_Prdt], tbl_Produits[Prix Menu]), 0)</f>
        <v>0</v>
      </c>
      <c r="H3179" s="7">
        <f>IFERROR(_xlfn.XLOOKUP(tbl_Ventes[[#This Row],[Cde_Prdt]], tbl_Produits[Cde_Prdt], tbl_Produits[Coût Moyen Portion]), 0)</f>
        <v>0</v>
      </c>
      <c r="I3179" s="7">
        <f>tbl_Ventes[[#This Row],[Qté Vendue]] * tbl_Ventes[[#This Row],[CMP_par_portion]]</f>
        <v>0</v>
      </c>
      <c r="J3179" s="7">
        <f>tbl_Ventes[[#This Row],[CA ligne]] - tbl_Ventes[[#This Row],[Coût matière ligne]]</f>
        <v>0</v>
      </c>
      <c r="K3179" s="7" t="str">
        <f>IFERROR(INDEX(tbl_ProduitsRef[Famille], MATCH(tbl_Ventes[[#This Row],[Cde_Prdt]], tbl_Produits[Cde_Prdt], 0)), "")</f>
        <v/>
      </c>
    </row>
    <row r="3180" spans="1:11" x14ac:dyDescent="0.25">
      <c r="A3180" s="5"/>
      <c r="B3180" s="63" t="str">
        <f>IFERROR(TEXT(tbl_Ventes[[#This Row],[Date]],"mm-aaaa"),"")</f>
        <v>01-1900</v>
      </c>
      <c r="D3180" s="10" t="str">
        <f>IFERROR(
   INDEX(tbl_ProduitsRef[Cde_Prdt],MATCH(tbl_Ventes[[#This Row],[Produit]],tbl_ProduitsRef[Produit],0)),
   ""
)</f>
        <v/>
      </c>
      <c r="E3180" s="7">
        <v>0</v>
      </c>
      <c r="F3180" s="7" t="str">
        <f>IFERROR(
   INDEX(tbl_ProduitsRef[Prix Menu],MATCH(tbl_Ventes[[#This Row],[Produit]],tbl_ProduitsRef[Produit],0)),
   ""
)</f>
        <v/>
      </c>
      <c r="G3180" s="7">
        <f>tbl_Ventes[[#This Row],[Qté Vendue]] * IFERROR(_xlfn.XLOOKUP(tbl_Ventes[[#This Row],[Cde_Prdt]], tbl_Produits[Cde_Prdt], tbl_Produits[Prix Menu]), 0)</f>
        <v>0</v>
      </c>
      <c r="H3180" s="7">
        <f>IFERROR(_xlfn.XLOOKUP(tbl_Ventes[[#This Row],[Cde_Prdt]], tbl_Produits[Cde_Prdt], tbl_Produits[Coût Moyen Portion]), 0)</f>
        <v>0</v>
      </c>
      <c r="I3180" s="7">
        <f>tbl_Ventes[[#This Row],[Qté Vendue]] * tbl_Ventes[[#This Row],[CMP_par_portion]]</f>
        <v>0</v>
      </c>
      <c r="J3180" s="7">
        <f>tbl_Ventes[[#This Row],[CA ligne]] - tbl_Ventes[[#This Row],[Coût matière ligne]]</f>
        <v>0</v>
      </c>
      <c r="K3180" s="7" t="str">
        <f>IFERROR(INDEX(tbl_ProduitsRef[Famille], MATCH(tbl_Ventes[[#This Row],[Cde_Prdt]], tbl_Produits[Cde_Prdt], 0)), "")</f>
        <v/>
      </c>
    </row>
    <row r="3181" spans="1:11" x14ac:dyDescent="0.25">
      <c r="A3181" s="5"/>
      <c r="B3181" s="63" t="str">
        <f>IFERROR(TEXT(tbl_Ventes[[#This Row],[Date]],"mm-aaaa"),"")</f>
        <v>01-1900</v>
      </c>
      <c r="D3181" s="10" t="str">
        <f>IFERROR(
   INDEX(tbl_ProduitsRef[Cde_Prdt],MATCH(tbl_Ventes[[#This Row],[Produit]],tbl_ProduitsRef[Produit],0)),
   ""
)</f>
        <v/>
      </c>
      <c r="E3181" s="7">
        <v>0</v>
      </c>
      <c r="F3181" s="7" t="str">
        <f>IFERROR(
   INDEX(tbl_ProduitsRef[Prix Menu],MATCH(tbl_Ventes[[#This Row],[Produit]],tbl_ProduitsRef[Produit],0)),
   ""
)</f>
        <v/>
      </c>
      <c r="G3181" s="7">
        <f>tbl_Ventes[[#This Row],[Qté Vendue]] * IFERROR(_xlfn.XLOOKUP(tbl_Ventes[[#This Row],[Cde_Prdt]], tbl_Produits[Cde_Prdt], tbl_Produits[Prix Menu]), 0)</f>
        <v>0</v>
      </c>
      <c r="H3181" s="7">
        <f>IFERROR(_xlfn.XLOOKUP(tbl_Ventes[[#This Row],[Cde_Prdt]], tbl_Produits[Cde_Prdt], tbl_Produits[Coût Moyen Portion]), 0)</f>
        <v>0</v>
      </c>
      <c r="I3181" s="7">
        <f>tbl_Ventes[[#This Row],[Qté Vendue]] * tbl_Ventes[[#This Row],[CMP_par_portion]]</f>
        <v>0</v>
      </c>
      <c r="J3181" s="7">
        <f>tbl_Ventes[[#This Row],[CA ligne]] - tbl_Ventes[[#This Row],[Coût matière ligne]]</f>
        <v>0</v>
      </c>
      <c r="K3181" s="7" t="str">
        <f>IFERROR(INDEX(tbl_ProduitsRef[Famille], MATCH(tbl_Ventes[[#This Row],[Cde_Prdt]], tbl_Produits[Cde_Prdt], 0)), "")</f>
        <v/>
      </c>
    </row>
    <row r="3182" spans="1:11" x14ac:dyDescent="0.25">
      <c r="A3182" s="5"/>
      <c r="B3182" s="63" t="str">
        <f>IFERROR(TEXT(tbl_Ventes[[#This Row],[Date]],"mm-aaaa"),"")</f>
        <v>01-1900</v>
      </c>
      <c r="D3182" s="10" t="str">
        <f>IFERROR(
   INDEX(tbl_ProduitsRef[Cde_Prdt],MATCH(tbl_Ventes[[#This Row],[Produit]],tbl_ProduitsRef[Produit],0)),
   ""
)</f>
        <v/>
      </c>
      <c r="E3182" s="7">
        <v>0</v>
      </c>
      <c r="F3182" s="7" t="str">
        <f>IFERROR(
   INDEX(tbl_ProduitsRef[Prix Menu],MATCH(tbl_Ventes[[#This Row],[Produit]],tbl_ProduitsRef[Produit],0)),
   ""
)</f>
        <v/>
      </c>
      <c r="G3182" s="7">
        <f>tbl_Ventes[[#This Row],[Qté Vendue]] * IFERROR(_xlfn.XLOOKUP(tbl_Ventes[[#This Row],[Cde_Prdt]], tbl_Produits[Cde_Prdt], tbl_Produits[Prix Menu]), 0)</f>
        <v>0</v>
      </c>
      <c r="H3182" s="7">
        <f>IFERROR(_xlfn.XLOOKUP(tbl_Ventes[[#This Row],[Cde_Prdt]], tbl_Produits[Cde_Prdt], tbl_Produits[Coût Moyen Portion]), 0)</f>
        <v>0</v>
      </c>
      <c r="I3182" s="7">
        <f>tbl_Ventes[[#This Row],[Qté Vendue]] * tbl_Ventes[[#This Row],[CMP_par_portion]]</f>
        <v>0</v>
      </c>
      <c r="J3182" s="7">
        <f>tbl_Ventes[[#This Row],[CA ligne]] - tbl_Ventes[[#This Row],[Coût matière ligne]]</f>
        <v>0</v>
      </c>
      <c r="K3182" s="7" t="str">
        <f>IFERROR(INDEX(tbl_ProduitsRef[Famille], MATCH(tbl_Ventes[[#This Row],[Cde_Prdt]], tbl_Produits[Cde_Prdt], 0)), "")</f>
        <v/>
      </c>
    </row>
    <row r="3183" spans="1:11" x14ac:dyDescent="0.25">
      <c r="A3183" s="5"/>
      <c r="B3183" s="63" t="str">
        <f>IFERROR(TEXT(tbl_Ventes[[#This Row],[Date]],"mm-aaaa"),"")</f>
        <v>01-1900</v>
      </c>
      <c r="D3183" s="10" t="str">
        <f>IFERROR(
   INDEX(tbl_ProduitsRef[Cde_Prdt],MATCH(tbl_Ventes[[#This Row],[Produit]],tbl_ProduitsRef[Produit],0)),
   ""
)</f>
        <v/>
      </c>
      <c r="E3183" s="7">
        <v>0</v>
      </c>
      <c r="F3183" s="7" t="str">
        <f>IFERROR(
   INDEX(tbl_ProduitsRef[Prix Menu],MATCH(tbl_Ventes[[#This Row],[Produit]],tbl_ProduitsRef[Produit],0)),
   ""
)</f>
        <v/>
      </c>
      <c r="G3183" s="7">
        <f>tbl_Ventes[[#This Row],[Qté Vendue]] * IFERROR(_xlfn.XLOOKUP(tbl_Ventes[[#This Row],[Cde_Prdt]], tbl_Produits[Cde_Prdt], tbl_Produits[Prix Menu]), 0)</f>
        <v>0</v>
      </c>
      <c r="H3183" s="7">
        <f>IFERROR(_xlfn.XLOOKUP(tbl_Ventes[[#This Row],[Cde_Prdt]], tbl_Produits[Cde_Prdt], tbl_Produits[Coût Moyen Portion]), 0)</f>
        <v>0</v>
      </c>
      <c r="I3183" s="7">
        <f>tbl_Ventes[[#This Row],[Qté Vendue]] * tbl_Ventes[[#This Row],[CMP_par_portion]]</f>
        <v>0</v>
      </c>
      <c r="J3183" s="7">
        <f>tbl_Ventes[[#This Row],[CA ligne]] - tbl_Ventes[[#This Row],[Coût matière ligne]]</f>
        <v>0</v>
      </c>
      <c r="K3183" s="7" t="str">
        <f>IFERROR(INDEX(tbl_ProduitsRef[Famille], MATCH(tbl_Ventes[[#This Row],[Cde_Prdt]], tbl_Produits[Cde_Prdt], 0)), "")</f>
        <v/>
      </c>
    </row>
    <row r="3184" spans="1:11" x14ac:dyDescent="0.25">
      <c r="A3184" s="5"/>
      <c r="B3184" s="63" t="str">
        <f>IFERROR(TEXT(tbl_Ventes[[#This Row],[Date]],"mm-aaaa"),"")</f>
        <v>01-1900</v>
      </c>
      <c r="D3184" s="10" t="str">
        <f>IFERROR(
   INDEX(tbl_ProduitsRef[Cde_Prdt],MATCH(tbl_Ventes[[#This Row],[Produit]],tbl_ProduitsRef[Produit],0)),
   ""
)</f>
        <v/>
      </c>
      <c r="E3184" s="7">
        <v>0</v>
      </c>
      <c r="F3184" s="7" t="str">
        <f>IFERROR(
   INDEX(tbl_ProduitsRef[Prix Menu],MATCH(tbl_Ventes[[#This Row],[Produit]],tbl_ProduitsRef[Produit],0)),
   ""
)</f>
        <v/>
      </c>
      <c r="G3184" s="7">
        <f>tbl_Ventes[[#This Row],[Qté Vendue]] * IFERROR(_xlfn.XLOOKUP(tbl_Ventes[[#This Row],[Cde_Prdt]], tbl_Produits[Cde_Prdt], tbl_Produits[Prix Menu]), 0)</f>
        <v>0</v>
      </c>
      <c r="H3184" s="7">
        <f>IFERROR(_xlfn.XLOOKUP(tbl_Ventes[[#This Row],[Cde_Prdt]], tbl_Produits[Cde_Prdt], tbl_Produits[Coût Moyen Portion]), 0)</f>
        <v>0</v>
      </c>
      <c r="I3184" s="7">
        <f>tbl_Ventes[[#This Row],[Qté Vendue]] * tbl_Ventes[[#This Row],[CMP_par_portion]]</f>
        <v>0</v>
      </c>
      <c r="J3184" s="7">
        <f>tbl_Ventes[[#This Row],[CA ligne]] - tbl_Ventes[[#This Row],[Coût matière ligne]]</f>
        <v>0</v>
      </c>
      <c r="K3184" s="7" t="str">
        <f>IFERROR(INDEX(tbl_ProduitsRef[Famille], MATCH(tbl_Ventes[[#This Row],[Cde_Prdt]], tbl_Produits[Cde_Prdt], 0)), "")</f>
        <v/>
      </c>
    </row>
    <row r="3185" spans="1:11" x14ac:dyDescent="0.25">
      <c r="A3185" s="5"/>
      <c r="B3185" s="63" t="str">
        <f>IFERROR(TEXT(tbl_Ventes[[#This Row],[Date]],"mm-aaaa"),"")</f>
        <v>01-1900</v>
      </c>
      <c r="D3185" s="10" t="str">
        <f>IFERROR(
   INDEX(tbl_ProduitsRef[Cde_Prdt],MATCH(tbl_Ventes[[#This Row],[Produit]],tbl_ProduitsRef[Produit],0)),
   ""
)</f>
        <v/>
      </c>
      <c r="E3185" s="7">
        <v>0</v>
      </c>
      <c r="F3185" s="7" t="str">
        <f>IFERROR(
   INDEX(tbl_ProduitsRef[Prix Menu],MATCH(tbl_Ventes[[#This Row],[Produit]],tbl_ProduitsRef[Produit],0)),
   ""
)</f>
        <v/>
      </c>
      <c r="G3185" s="7">
        <f>tbl_Ventes[[#This Row],[Qté Vendue]] * IFERROR(_xlfn.XLOOKUP(tbl_Ventes[[#This Row],[Cde_Prdt]], tbl_Produits[Cde_Prdt], tbl_Produits[Prix Menu]), 0)</f>
        <v>0</v>
      </c>
      <c r="H3185" s="7">
        <f>IFERROR(_xlfn.XLOOKUP(tbl_Ventes[[#This Row],[Cde_Prdt]], tbl_Produits[Cde_Prdt], tbl_Produits[Coût Moyen Portion]), 0)</f>
        <v>0</v>
      </c>
      <c r="I3185" s="7">
        <f>tbl_Ventes[[#This Row],[Qté Vendue]] * tbl_Ventes[[#This Row],[CMP_par_portion]]</f>
        <v>0</v>
      </c>
      <c r="J3185" s="7">
        <f>tbl_Ventes[[#This Row],[CA ligne]] - tbl_Ventes[[#This Row],[Coût matière ligne]]</f>
        <v>0</v>
      </c>
      <c r="K3185" s="7" t="str">
        <f>IFERROR(INDEX(tbl_ProduitsRef[Famille], MATCH(tbl_Ventes[[#This Row],[Cde_Prdt]], tbl_Produits[Cde_Prdt], 0)), "")</f>
        <v/>
      </c>
    </row>
    <row r="3186" spans="1:11" x14ac:dyDescent="0.25">
      <c r="A3186" s="5"/>
      <c r="B3186" s="63" t="str">
        <f>IFERROR(TEXT(tbl_Ventes[[#This Row],[Date]],"mm-aaaa"),"")</f>
        <v>01-1900</v>
      </c>
      <c r="D3186" s="10" t="str">
        <f>IFERROR(
   INDEX(tbl_ProduitsRef[Cde_Prdt],MATCH(tbl_Ventes[[#This Row],[Produit]],tbl_ProduitsRef[Produit],0)),
   ""
)</f>
        <v/>
      </c>
      <c r="E3186" s="7">
        <v>0</v>
      </c>
      <c r="F3186" s="7" t="str">
        <f>IFERROR(
   INDEX(tbl_ProduitsRef[Prix Menu],MATCH(tbl_Ventes[[#This Row],[Produit]],tbl_ProduitsRef[Produit],0)),
   ""
)</f>
        <v/>
      </c>
      <c r="G3186" s="7">
        <f>tbl_Ventes[[#This Row],[Qté Vendue]] * IFERROR(_xlfn.XLOOKUP(tbl_Ventes[[#This Row],[Cde_Prdt]], tbl_Produits[Cde_Prdt], tbl_Produits[Prix Menu]), 0)</f>
        <v>0</v>
      </c>
      <c r="H3186" s="7">
        <f>IFERROR(_xlfn.XLOOKUP(tbl_Ventes[[#This Row],[Cde_Prdt]], tbl_Produits[Cde_Prdt], tbl_Produits[Coût Moyen Portion]), 0)</f>
        <v>0</v>
      </c>
      <c r="I3186" s="7">
        <f>tbl_Ventes[[#This Row],[Qté Vendue]] * tbl_Ventes[[#This Row],[CMP_par_portion]]</f>
        <v>0</v>
      </c>
      <c r="J3186" s="7">
        <f>tbl_Ventes[[#This Row],[CA ligne]] - tbl_Ventes[[#This Row],[Coût matière ligne]]</f>
        <v>0</v>
      </c>
      <c r="K3186" s="7" t="str">
        <f>IFERROR(INDEX(tbl_ProduitsRef[Famille], MATCH(tbl_Ventes[[#This Row],[Cde_Prdt]], tbl_Produits[Cde_Prdt], 0)), "")</f>
        <v/>
      </c>
    </row>
    <row r="3187" spans="1:11" x14ac:dyDescent="0.25">
      <c r="A3187" s="5"/>
      <c r="B3187" s="63" t="str">
        <f>IFERROR(TEXT(tbl_Ventes[[#This Row],[Date]],"mm-aaaa"),"")</f>
        <v>01-1900</v>
      </c>
      <c r="D3187" s="10" t="str">
        <f>IFERROR(
   INDEX(tbl_ProduitsRef[Cde_Prdt],MATCH(tbl_Ventes[[#This Row],[Produit]],tbl_ProduitsRef[Produit],0)),
   ""
)</f>
        <v/>
      </c>
      <c r="E3187" s="7">
        <v>0</v>
      </c>
      <c r="F3187" s="7" t="str">
        <f>IFERROR(
   INDEX(tbl_ProduitsRef[Prix Menu],MATCH(tbl_Ventes[[#This Row],[Produit]],tbl_ProduitsRef[Produit],0)),
   ""
)</f>
        <v/>
      </c>
      <c r="G3187" s="7">
        <f>tbl_Ventes[[#This Row],[Qté Vendue]] * IFERROR(_xlfn.XLOOKUP(tbl_Ventes[[#This Row],[Cde_Prdt]], tbl_Produits[Cde_Prdt], tbl_Produits[Prix Menu]), 0)</f>
        <v>0</v>
      </c>
      <c r="H3187" s="7">
        <f>IFERROR(_xlfn.XLOOKUP(tbl_Ventes[[#This Row],[Cde_Prdt]], tbl_Produits[Cde_Prdt], tbl_Produits[Coût Moyen Portion]), 0)</f>
        <v>0</v>
      </c>
      <c r="I3187" s="7">
        <f>tbl_Ventes[[#This Row],[Qté Vendue]] * tbl_Ventes[[#This Row],[CMP_par_portion]]</f>
        <v>0</v>
      </c>
      <c r="J3187" s="7">
        <f>tbl_Ventes[[#This Row],[CA ligne]] - tbl_Ventes[[#This Row],[Coût matière ligne]]</f>
        <v>0</v>
      </c>
      <c r="K3187" s="7" t="str">
        <f>IFERROR(INDEX(tbl_ProduitsRef[Famille], MATCH(tbl_Ventes[[#This Row],[Cde_Prdt]], tbl_Produits[Cde_Prdt], 0)), "")</f>
        <v/>
      </c>
    </row>
    <row r="3188" spans="1:11" x14ac:dyDescent="0.25">
      <c r="A3188" s="5"/>
      <c r="B3188" s="63" t="str">
        <f>IFERROR(TEXT(tbl_Ventes[[#This Row],[Date]],"mm-aaaa"),"")</f>
        <v>01-1900</v>
      </c>
      <c r="D3188" s="10" t="str">
        <f>IFERROR(
   INDEX(tbl_ProduitsRef[Cde_Prdt],MATCH(tbl_Ventes[[#This Row],[Produit]],tbl_ProduitsRef[Produit],0)),
   ""
)</f>
        <v/>
      </c>
      <c r="E3188" s="7">
        <v>0</v>
      </c>
      <c r="F3188" s="7" t="str">
        <f>IFERROR(
   INDEX(tbl_ProduitsRef[Prix Menu],MATCH(tbl_Ventes[[#This Row],[Produit]],tbl_ProduitsRef[Produit],0)),
   ""
)</f>
        <v/>
      </c>
      <c r="G3188" s="7">
        <f>tbl_Ventes[[#This Row],[Qté Vendue]] * IFERROR(_xlfn.XLOOKUP(tbl_Ventes[[#This Row],[Cde_Prdt]], tbl_Produits[Cde_Prdt], tbl_Produits[Prix Menu]), 0)</f>
        <v>0</v>
      </c>
      <c r="H3188" s="7">
        <f>IFERROR(_xlfn.XLOOKUP(tbl_Ventes[[#This Row],[Cde_Prdt]], tbl_Produits[Cde_Prdt], tbl_Produits[Coût Moyen Portion]), 0)</f>
        <v>0</v>
      </c>
      <c r="I3188" s="7">
        <f>tbl_Ventes[[#This Row],[Qté Vendue]] * tbl_Ventes[[#This Row],[CMP_par_portion]]</f>
        <v>0</v>
      </c>
      <c r="J3188" s="7">
        <f>tbl_Ventes[[#This Row],[CA ligne]] - tbl_Ventes[[#This Row],[Coût matière ligne]]</f>
        <v>0</v>
      </c>
      <c r="K3188" s="7" t="str">
        <f>IFERROR(INDEX(tbl_ProduitsRef[Famille], MATCH(tbl_Ventes[[#This Row],[Cde_Prdt]], tbl_Produits[Cde_Prdt], 0)), "")</f>
        <v/>
      </c>
    </row>
    <row r="3189" spans="1:11" x14ac:dyDescent="0.25">
      <c r="A3189" s="5"/>
      <c r="B3189" s="63" t="str">
        <f>IFERROR(TEXT(tbl_Ventes[[#This Row],[Date]],"mm-aaaa"),"")</f>
        <v>01-1900</v>
      </c>
      <c r="D3189" s="10" t="str">
        <f>IFERROR(
   INDEX(tbl_ProduitsRef[Cde_Prdt],MATCH(tbl_Ventes[[#This Row],[Produit]],tbl_ProduitsRef[Produit],0)),
   ""
)</f>
        <v/>
      </c>
      <c r="E3189" s="7">
        <v>0</v>
      </c>
      <c r="F3189" s="7" t="str">
        <f>IFERROR(
   INDEX(tbl_ProduitsRef[Prix Menu],MATCH(tbl_Ventes[[#This Row],[Produit]],tbl_ProduitsRef[Produit],0)),
   ""
)</f>
        <v/>
      </c>
      <c r="G3189" s="7">
        <f>tbl_Ventes[[#This Row],[Qté Vendue]] * IFERROR(_xlfn.XLOOKUP(tbl_Ventes[[#This Row],[Cde_Prdt]], tbl_Produits[Cde_Prdt], tbl_Produits[Prix Menu]), 0)</f>
        <v>0</v>
      </c>
      <c r="H3189" s="7">
        <f>IFERROR(_xlfn.XLOOKUP(tbl_Ventes[[#This Row],[Cde_Prdt]], tbl_Produits[Cde_Prdt], tbl_Produits[Coût Moyen Portion]), 0)</f>
        <v>0</v>
      </c>
      <c r="I3189" s="7">
        <f>tbl_Ventes[[#This Row],[Qté Vendue]] * tbl_Ventes[[#This Row],[CMP_par_portion]]</f>
        <v>0</v>
      </c>
      <c r="J3189" s="7">
        <f>tbl_Ventes[[#This Row],[CA ligne]] - tbl_Ventes[[#This Row],[Coût matière ligne]]</f>
        <v>0</v>
      </c>
      <c r="K3189" s="7" t="str">
        <f>IFERROR(INDEX(tbl_ProduitsRef[Famille], MATCH(tbl_Ventes[[#This Row],[Cde_Prdt]], tbl_Produits[Cde_Prdt], 0)), "")</f>
        <v/>
      </c>
    </row>
    <row r="3190" spans="1:11" x14ac:dyDescent="0.25">
      <c r="A3190" s="5"/>
      <c r="B3190" s="63" t="str">
        <f>IFERROR(TEXT(tbl_Ventes[[#This Row],[Date]],"mm-aaaa"),"")</f>
        <v>01-1900</v>
      </c>
      <c r="D3190" s="10" t="str">
        <f>IFERROR(
   INDEX(tbl_ProduitsRef[Cde_Prdt],MATCH(tbl_Ventes[[#This Row],[Produit]],tbl_ProduitsRef[Produit],0)),
   ""
)</f>
        <v/>
      </c>
      <c r="E3190" s="7">
        <v>0</v>
      </c>
      <c r="F3190" s="7" t="str">
        <f>IFERROR(
   INDEX(tbl_ProduitsRef[Prix Menu],MATCH(tbl_Ventes[[#This Row],[Produit]],tbl_ProduitsRef[Produit],0)),
   ""
)</f>
        <v/>
      </c>
      <c r="G3190" s="7">
        <f>tbl_Ventes[[#This Row],[Qté Vendue]] * IFERROR(_xlfn.XLOOKUP(tbl_Ventes[[#This Row],[Cde_Prdt]], tbl_Produits[Cde_Prdt], tbl_Produits[Prix Menu]), 0)</f>
        <v>0</v>
      </c>
      <c r="H3190" s="7">
        <f>IFERROR(_xlfn.XLOOKUP(tbl_Ventes[[#This Row],[Cde_Prdt]], tbl_Produits[Cde_Prdt], tbl_Produits[Coût Moyen Portion]), 0)</f>
        <v>0</v>
      </c>
      <c r="I3190" s="7">
        <f>tbl_Ventes[[#This Row],[Qté Vendue]] * tbl_Ventes[[#This Row],[CMP_par_portion]]</f>
        <v>0</v>
      </c>
      <c r="J3190" s="7">
        <f>tbl_Ventes[[#This Row],[CA ligne]] - tbl_Ventes[[#This Row],[Coût matière ligne]]</f>
        <v>0</v>
      </c>
      <c r="K3190" s="7" t="str">
        <f>IFERROR(INDEX(tbl_ProduitsRef[Famille], MATCH(tbl_Ventes[[#This Row],[Cde_Prdt]], tbl_Produits[Cde_Prdt], 0)), "")</f>
        <v/>
      </c>
    </row>
    <row r="3191" spans="1:11" x14ac:dyDescent="0.25">
      <c r="A3191" s="5"/>
      <c r="B3191" s="63" t="str">
        <f>IFERROR(TEXT(tbl_Ventes[[#This Row],[Date]],"mm-aaaa"),"")</f>
        <v>01-1900</v>
      </c>
      <c r="D3191" s="10" t="str">
        <f>IFERROR(
   INDEX(tbl_ProduitsRef[Cde_Prdt],MATCH(tbl_Ventes[[#This Row],[Produit]],tbl_ProduitsRef[Produit],0)),
   ""
)</f>
        <v/>
      </c>
      <c r="E3191" s="7">
        <v>0</v>
      </c>
      <c r="F3191" s="7" t="str">
        <f>IFERROR(
   INDEX(tbl_ProduitsRef[Prix Menu],MATCH(tbl_Ventes[[#This Row],[Produit]],tbl_ProduitsRef[Produit],0)),
   ""
)</f>
        <v/>
      </c>
      <c r="G3191" s="7">
        <f>tbl_Ventes[[#This Row],[Qté Vendue]] * IFERROR(_xlfn.XLOOKUP(tbl_Ventes[[#This Row],[Cde_Prdt]], tbl_Produits[Cde_Prdt], tbl_Produits[Prix Menu]), 0)</f>
        <v>0</v>
      </c>
      <c r="H3191" s="7">
        <f>IFERROR(_xlfn.XLOOKUP(tbl_Ventes[[#This Row],[Cde_Prdt]], tbl_Produits[Cde_Prdt], tbl_Produits[Coût Moyen Portion]), 0)</f>
        <v>0</v>
      </c>
      <c r="I3191" s="7">
        <f>tbl_Ventes[[#This Row],[Qté Vendue]] * tbl_Ventes[[#This Row],[CMP_par_portion]]</f>
        <v>0</v>
      </c>
      <c r="J3191" s="7">
        <f>tbl_Ventes[[#This Row],[CA ligne]] - tbl_Ventes[[#This Row],[Coût matière ligne]]</f>
        <v>0</v>
      </c>
      <c r="K3191" s="7" t="str">
        <f>IFERROR(INDEX(tbl_ProduitsRef[Famille], MATCH(tbl_Ventes[[#This Row],[Cde_Prdt]], tbl_Produits[Cde_Prdt], 0)), "")</f>
        <v/>
      </c>
    </row>
    <row r="3192" spans="1:11" x14ac:dyDescent="0.25">
      <c r="A3192" s="5"/>
      <c r="B3192" s="63" t="str">
        <f>IFERROR(TEXT(tbl_Ventes[[#This Row],[Date]],"mm-aaaa"),"")</f>
        <v>01-1900</v>
      </c>
      <c r="D3192" s="10" t="str">
        <f>IFERROR(
   INDEX(tbl_ProduitsRef[Cde_Prdt],MATCH(tbl_Ventes[[#This Row],[Produit]],tbl_ProduitsRef[Produit],0)),
   ""
)</f>
        <v/>
      </c>
      <c r="E3192" s="7">
        <v>0</v>
      </c>
      <c r="F3192" s="7" t="str">
        <f>IFERROR(
   INDEX(tbl_ProduitsRef[Prix Menu],MATCH(tbl_Ventes[[#This Row],[Produit]],tbl_ProduitsRef[Produit],0)),
   ""
)</f>
        <v/>
      </c>
      <c r="G3192" s="7">
        <f>tbl_Ventes[[#This Row],[Qté Vendue]] * IFERROR(_xlfn.XLOOKUP(tbl_Ventes[[#This Row],[Cde_Prdt]], tbl_Produits[Cde_Prdt], tbl_Produits[Prix Menu]), 0)</f>
        <v>0</v>
      </c>
      <c r="H3192" s="7">
        <f>IFERROR(_xlfn.XLOOKUP(tbl_Ventes[[#This Row],[Cde_Prdt]], tbl_Produits[Cde_Prdt], tbl_Produits[Coût Moyen Portion]), 0)</f>
        <v>0</v>
      </c>
      <c r="I3192" s="7">
        <f>tbl_Ventes[[#This Row],[Qté Vendue]] * tbl_Ventes[[#This Row],[CMP_par_portion]]</f>
        <v>0</v>
      </c>
      <c r="J3192" s="7">
        <f>tbl_Ventes[[#This Row],[CA ligne]] - tbl_Ventes[[#This Row],[Coût matière ligne]]</f>
        <v>0</v>
      </c>
      <c r="K3192" s="7" t="str">
        <f>IFERROR(INDEX(tbl_ProduitsRef[Famille], MATCH(tbl_Ventes[[#This Row],[Cde_Prdt]], tbl_Produits[Cde_Prdt], 0)), "")</f>
        <v/>
      </c>
    </row>
    <row r="3193" spans="1:11" x14ac:dyDescent="0.25">
      <c r="A3193" s="5"/>
      <c r="B3193" s="63" t="str">
        <f>IFERROR(TEXT(tbl_Ventes[[#This Row],[Date]],"mm-aaaa"),"")</f>
        <v>01-1900</v>
      </c>
      <c r="D3193" s="10" t="str">
        <f>IFERROR(
   INDEX(tbl_ProduitsRef[Cde_Prdt],MATCH(tbl_Ventes[[#This Row],[Produit]],tbl_ProduitsRef[Produit],0)),
   ""
)</f>
        <v/>
      </c>
      <c r="E3193" s="7">
        <v>0</v>
      </c>
      <c r="F3193" s="7" t="str">
        <f>IFERROR(
   INDEX(tbl_ProduitsRef[Prix Menu],MATCH(tbl_Ventes[[#This Row],[Produit]],tbl_ProduitsRef[Produit],0)),
   ""
)</f>
        <v/>
      </c>
      <c r="G3193" s="7">
        <f>tbl_Ventes[[#This Row],[Qté Vendue]] * IFERROR(_xlfn.XLOOKUP(tbl_Ventes[[#This Row],[Cde_Prdt]], tbl_Produits[Cde_Prdt], tbl_Produits[Prix Menu]), 0)</f>
        <v>0</v>
      </c>
      <c r="H3193" s="7">
        <f>IFERROR(_xlfn.XLOOKUP(tbl_Ventes[[#This Row],[Cde_Prdt]], tbl_Produits[Cde_Prdt], tbl_Produits[Coût Moyen Portion]), 0)</f>
        <v>0</v>
      </c>
      <c r="I3193" s="7">
        <f>tbl_Ventes[[#This Row],[Qté Vendue]] * tbl_Ventes[[#This Row],[CMP_par_portion]]</f>
        <v>0</v>
      </c>
      <c r="J3193" s="7">
        <f>tbl_Ventes[[#This Row],[CA ligne]] - tbl_Ventes[[#This Row],[Coût matière ligne]]</f>
        <v>0</v>
      </c>
      <c r="K3193" s="7" t="str">
        <f>IFERROR(INDEX(tbl_ProduitsRef[Famille], MATCH(tbl_Ventes[[#This Row],[Cde_Prdt]], tbl_Produits[Cde_Prdt], 0)), "")</f>
        <v/>
      </c>
    </row>
    <row r="3194" spans="1:11" x14ac:dyDescent="0.25">
      <c r="A3194" s="5"/>
      <c r="B3194" s="63" t="str">
        <f>IFERROR(TEXT(tbl_Ventes[[#This Row],[Date]],"mm-aaaa"),"")</f>
        <v>01-1900</v>
      </c>
      <c r="D3194" s="10" t="str">
        <f>IFERROR(
   INDEX(tbl_ProduitsRef[Cde_Prdt],MATCH(tbl_Ventes[[#This Row],[Produit]],tbl_ProduitsRef[Produit],0)),
   ""
)</f>
        <v/>
      </c>
      <c r="E3194" s="7">
        <v>0</v>
      </c>
      <c r="F3194" s="7" t="str">
        <f>IFERROR(
   INDEX(tbl_ProduitsRef[Prix Menu],MATCH(tbl_Ventes[[#This Row],[Produit]],tbl_ProduitsRef[Produit],0)),
   ""
)</f>
        <v/>
      </c>
      <c r="G3194" s="7">
        <f>tbl_Ventes[[#This Row],[Qté Vendue]] * IFERROR(_xlfn.XLOOKUP(tbl_Ventes[[#This Row],[Cde_Prdt]], tbl_Produits[Cde_Prdt], tbl_Produits[Prix Menu]), 0)</f>
        <v>0</v>
      </c>
      <c r="H3194" s="7">
        <f>IFERROR(_xlfn.XLOOKUP(tbl_Ventes[[#This Row],[Cde_Prdt]], tbl_Produits[Cde_Prdt], tbl_Produits[Coût Moyen Portion]), 0)</f>
        <v>0</v>
      </c>
      <c r="I3194" s="7">
        <f>tbl_Ventes[[#This Row],[Qté Vendue]] * tbl_Ventes[[#This Row],[CMP_par_portion]]</f>
        <v>0</v>
      </c>
      <c r="J3194" s="7">
        <f>tbl_Ventes[[#This Row],[CA ligne]] - tbl_Ventes[[#This Row],[Coût matière ligne]]</f>
        <v>0</v>
      </c>
      <c r="K3194" s="7" t="str">
        <f>IFERROR(INDEX(tbl_ProduitsRef[Famille], MATCH(tbl_Ventes[[#This Row],[Cde_Prdt]], tbl_Produits[Cde_Prdt], 0)), "")</f>
        <v/>
      </c>
    </row>
    <row r="3195" spans="1:11" x14ac:dyDescent="0.25">
      <c r="A3195" s="5"/>
      <c r="B3195" s="63" t="str">
        <f>IFERROR(TEXT(tbl_Ventes[[#This Row],[Date]],"mm-aaaa"),"")</f>
        <v>01-1900</v>
      </c>
      <c r="D3195" s="10" t="str">
        <f>IFERROR(
   INDEX(tbl_ProduitsRef[Cde_Prdt],MATCH(tbl_Ventes[[#This Row],[Produit]],tbl_ProduitsRef[Produit],0)),
   ""
)</f>
        <v/>
      </c>
      <c r="E3195" s="7">
        <v>0</v>
      </c>
      <c r="F3195" s="7" t="str">
        <f>IFERROR(
   INDEX(tbl_ProduitsRef[Prix Menu],MATCH(tbl_Ventes[[#This Row],[Produit]],tbl_ProduitsRef[Produit],0)),
   ""
)</f>
        <v/>
      </c>
      <c r="G3195" s="7">
        <f>tbl_Ventes[[#This Row],[Qté Vendue]] * IFERROR(_xlfn.XLOOKUP(tbl_Ventes[[#This Row],[Cde_Prdt]], tbl_Produits[Cde_Prdt], tbl_Produits[Prix Menu]), 0)</f>
        <v>0</v>
      </c>
      <c r="H3195" s="7">
        <f>IFERROR(_xlfn.XLOOKUP(tbl_Ventes[[#This Row],[Cde_Prdt]], tbl_Produits[Cde_Prdt], tbl_Produits[Coût Moyen Portion]), 0)</f>
        <v>0</v>
      </c>
      <c r="I3195" s="7">
        <f>tbl_Ventes[[#This Row],[Qté Vendue]] * tbl_Ventes[[#This Row],[CMP_par_portion]]</f>
        <v>0</v>
      </c>
      <c r="J3195" s="7">
        <f>tbl_Ventes[[#This Row],[CA ligne]] - tbl_Ventes[[#This Row],[Coût matière ligne]]</f>
        <v>0</v>
      </c>
      <c r="K3195" s="7" t="str">
        <f>IFERROR(INDEX(tbl_ProduitsRef[Famille], MATCH(tbl_Ventes[[#This Row],[Cde_Prdt]], tbl_Produits[Cde_Prdt], 0)), "")</f>
        <v/>
      </c>
    </row>
    <row r="3196" spans="1:11" x14ac:dyDescent="0.25">
      <c r="A3196" s="5"/>
      <c r="B3196" s="63" t="str">
        <f>IFERROR(TEXT(tbl_Ventes[[#This Row],[Date]],"mm-aaaa"),"")</f>
        <v>01-1900</v>
      </c>
      <c r="D3196" s="10" t="str">
        <f>IFERROR(
   INDEX(tbl_ProduitsRef[Cde_Prdt],MATCH(tbl_Ventes[[#This Row],[Produit]],tbl_ProduitsRef[Produit],0)),
   ""
)</f>
        <v/>
      </c>
      <c r="E3196" s="7">
        <v>0</v>
      </c>
      <c r="F3196" s="7" t="str">
        <f>IFERROR(
   INDEX(tbl_ProduitsRef[Prix Menu],MATCH(tbl_Ventes[[#This Row],[Produit]],tbl_ProduitsRef[Produit],0)),
   ""
)</f>
        <v/>
      </c>
      <c r="G3196" s="7">
        <f>tbl_Ventes[[#This Row],[Qté Vendue]] * IFERROR(_xlfn.XLOOKUP(tbl_Ventes[[#This Row],[Cde_Prdt]], tbl_Produits[Cde_Prdt], tbl_Produits[Prix Menu]), 0)</f>
        <v>0</v>
      </c>
      <c r="H3196" s="7">
        <f>IFERROR(_xlfn.XLOOKUP(tbl_Ventes[[#This Row],[Cde_Prdt]], tbl_Produits[Cde_Prdt], tbl_Produits[Coût Moyen Portion]), 0)</f>
        <v>0</v>
      </c>
      <c r="I3196" s="7">
        <f>tbl_Ventes[[#This Row],[Qté Vendue]] * tbl_Ventes[[#This Row],[CMP_par_portion]]</f>
        <v>0</v>
      </c>
      <c r="J3196" s="7">
        <f>tbl_Ventes[[#This Row],[CA ligne]] - tbl_Ventes[[#This Row],[Coût matière ligne]]</f>
        <v>0</v>
      </c>
      <c r="K3196" s="7" t="str">
        <f>IFERROR(INDEX(tbl_ProduitsRef[Famille], MATCH(tbl_Ventes[[#This Row],[Cde_Prdt]], tbl_Produits[Cde_Prdt], 0)), "")</f>
        <v/>
      </c>
    </row>
    <row r="3197" spans="1:11" x14ac:dyDescent="0.25">
      <c r="A3197" s="5"/>
      <c r="B3197" s="63" t="str">
        <f>IFERROR(TEXT(tbl_Ventes[[#This Row],[Date]],"mm-aaaa"),"")</f>
        <v>01-1900</v>
      </c>
      <c r="D3197" s="10" t="str">
        <f>IFERROR(
   INDEX(tbl_ProduitsRef[Cde_Prdt],MATCH(tbl_Ventes[[#This Row],[Produit]],tbl_ProduitsRef[Produit],0)),
   ""
)</f>
        <v/>
      </c>
      <c r="E3197" s="7">
        <v>0</v>
      </c>
      <c r="F3197" s="7" t="str">
        <f>IFERROR(
   INDEX(tbl_ProduitsRef[Prix Menu],MATCH(tbl_Ventes[[#This Row],[Produit]],tbl_ProduitsRef[Produit],0)),
   ""
)</f>
        <v/>
      </c>
      <c r="G3197" s="7">
        <f>tbl_Ventes[[#This Row],[Qté Vendue]] * IFERROR(_xlfn.XLOOKUP(tbl_Ventes[[#This Row],[Cde_Prdt]], tbl_Produits[Cde_Prdt], tbl_Produits[Prix Menu]), 0)</f>
        <v>0</v>
      </c>
      <c r="H3197" s="7">
        <f>IFERROR(_xlfn.XLOOKUP(tbl_Ventes[[#This Row],[Cde_Prdt]], tbl_Produits[Cde_Prdt], tbl_Produits[Coût Moyen Portion]), 0)</f>
        <v>0</v>
      </c>
      <c r="I3197" s="7">
        <f>tbl_Ventes[[#This Row],[Qté Vendue]] * tbl_Ventes[[#This Row],[CMP_par_portion]]</f>
        <v>0</v>
      </c>
      <c r="J3197" s="7">
        <f>tbl_Ventes[[#This Row],[CA ligne]] - tbl_Ventes[[#This Row],[Coût matière ligne]]</f>
        <v>0</v>
      </c>
      <c r="K3197" s="7" t="str">
        <f>IFERROR(INDEX(tbl_ProduitsRef[Famille], MATCH(tbl_Ventes[[#This Row],[Cde_Prdt]], tbl_Produits[Cde_Prdt], 0)), "")</f>
        <v/>
      </c>
    </row>
    <row r="3198" spans="1:11" x14ac:dyDescent="0.25">
      <c r="A3198" s="5"/>
      <c r="B3198" s="63" t="str">
        <f>IFERROR(TEXT(tbl_Ventes[[#This Row],[Date]],"mm-aaaa"),"")</f>
        <v>01-1900</v>
      </c>
      <c r="D3198" s="10" t="str">
        <f>IFERROR(
   INDEX(tbl_ProduitsRef[Cde_Prdt],MATCH(tbl_Ventes[[#This Row],[Produit]],tbl_ProduitsRef[Produit],0)),
   ""
)</f>
        <v/>
      </c>
      <c r="E3198" s="7">
        <v>0</v>
      </c>
      <c r="F3198" s="7" t="str">
        <f>IFERROR(
   INDEX(tbl_ProduitsRef[Prix Menu],MATCH(tbl_Ventes[[#This Row],[Produit]],tbl_ProduitsRef[Produit],0)),
   ""
)</f>
        <v/>
      </c>
      <c r="G3198" s="7">
        <f>tbl_Ventes[[#This Row],[Qté Vendue]] * IFERROR(_xlfn.XLOOKUP(tbl_Ventes[[#This Row],[Cde_Prdt]], tbl_Produits[Cde_Prdt], tbl_Produits[Prix Menu]), 0)</f>
        <v>0</v>
      </c>
      <c r="H3198" s="7">
        <f>IFERROR(_xlfn.XLOOKUP(tbl_Ventes[[#This Row],[Cde_Prdt]], tbl_Produits[Cde_Prdt], tbl_Produits[Coût Moyen Portion]), 0)</f>
        <v>0</v>
      </c>
      <c r="I3198" s="7">
        <f>tbl_Ventes[[#This Row],[Qté Vendue]] * tbl_Ventes[[#This Row],[CMP_par_portion]]</f>
        <v>0</v>
      </c>
      <c r="J3198" s="7">
        <f>tbl_Ventes[[#This Row],[CA ligne]] - tbl_Ventes[[#This Row],[Coût matière ligne]]</f>
        <v>0</v>
      </c>
      <c r="K3198" s="7" t="str">
        <f>IFERROR(INDEX(tbl_ProduitsRef[Famille], MATCH(tbl_Ventes[[#This Row],[Cde_Prdt]], tbl_Produits[Cde_Prdt], 0)), "")</f>
        <v/>
      </c>
    </row>
    <row r="3199" spans="1:11" x14ac:dyDescent="0.25">
      <c r="A3199" s="5"/>
      <c r="B3199" s="63" t="str">
        <f>IFERROR(TEXT(tbl_Ventes[[#This Row],[Date]],"mm-aaaa"),"")</f>
        <v>01-1900</v>
      </c>
      <c r="D3199" s="10" t="str">
        <f>IFERROR(
   INDEX(tbl_ProduitsRef[Cde_Prdt],MATCH(tbl_Ventes[[#This Row],[Produit]],tbl_ProduitsRef[Produit],0)),
   ""
)</f>
        <v/>
      </c>
      <c r="E3199" s="7">
        <v>0</v>
      </c>
      <c r="F3199" s="7" t="str">
        <f>IFERROR(
   INDEX(tbl_ProduitsRef[Prix Menu],MATCH(tbl_Ventes[[#This Row],[Produit]],tbl_ProduitsRef[Produit],0)),
   ""
)</f>
        <v/>
      </c>
      <c r="G3199" s="7">
        <f>tbl_Ventes[[#This Row],[Qté Vendue]] * IFERROR(_xlfn.XLOOKUP(tbl_Ventes[[#This Row],[Cde_Prdt]], tbl_Produits[Cde_Prdt], tbl_Produits[Prix Menu]), 0)</f>
        <v>0</v>
      </c>
      <c r="H3199" s="7">
        <f>IFERROR(_xlfn.XLOOKUP(tbl_Ventes[[#This Row],[Cde_Prdt]], tbl_Produits[Cde_Prdt], tbl_Produits[Coût Moyen Portion]), 0)</f>
        <v>0</v>
      </c>
      <c r="I3199" s="7">
        <f>tbl_Ventes[[#This Row],[Qté Vendue]] * tbl_Ventes[[#This Row],[CMP_par_portion]]</f>
        <v>0</v>
      </c>
      <c r="J3199" s="7">
        <f>tbl_Ventes[[#This Row],[CA ligne]] - tbl_Ventes[[#This Row],[Coût matière ligne]]</f>
        <v>0</v>
      </c>
      <c r="K3199" s="7" t="str">
        <f>IFERROR(INDEX(tbl_ProduitsRef[Famille], MATCH(tbl_Ventes[[#This Row],[Cde_Prdt]], tbl_Produits[Cde_Prdt], 0)), "")</f>
        <v/>
      </c>
    </row>
    <row r="3200" spans="1:11" x14ac:dyDescent="0.25">
      <c r="A3200" s="5"/>
      <c r="B3200" s="63" t="str">
        <f>IFERROR(TEXT(tbl_Ventes[[#This Row],[Date]],"mm-aaaa"),"")</f>
        <v>01-1900</v>
      </c>
      <c r="D3200" s="10" t="str">
        <f>IFERROR(
   INDEX(tbl_ProduitsRef[Cde_Prdt],MATCH(tbl_Ventes[[#This Row],[Produit]],tbl_ProduitsRef[Produit],0)),
   ""
)</f>
        <v/>
      </c>
      <c r="E3200" s="7">
        <v>0</v>
      </c>
      <c r="F3200" s="7" t="str">
        <f>IFERROR(
   INDEX(tbl_ProduitsRef[Prix Menu],MATCH(tbl_Ventes[[#This Row],[Produit]],tbl_ProduitsRef[Produit],0)),
   ""
)</f>
        <v/>
      </c>
      <c r="G3200" s="7">
        <f>tbl_Ventes[[#This Row],[Qté Vendue]] * IFERROR(_xlfn.XLOOKUP(tbl_Ventes[[#This Row],[Cde_Prdt]], tbl_Produits[Cde_Prdt], tbl_Produits[Prix Menu]), 0)</f>
        <v>0</v>
      </c>
      <c r="H3200" s="7">
        <f>IFERROR(_xlfn.XLOOKUP(tbl_Ventes[[#This Row],[Cde_Prdt]], tbl_Produits[Cde_Prdt], tbl_Produits[Coût Moyen Portion]), 0)</f>
        <v>0</v>
      </c>
      <c r="I3200" s="7">
        <f>tbl_Ventes[[#This Row],[Qté Vendue]] * tbl_Ventes[[#This Row],[CMP_par_portion]]</f>
        <v>0</v>
      </c>
      <c r="J3200" s="7">
        <f>tbl_Ventes[[#This Row],[CA ligne]] - tbl_Ventes[[#This Row],[Coût matière ligne]]</f>
        <v>0</v>
      </c>
      <c r="K3200" s="7" t="str">
        <f>IFERROR(INDEX(tbl_ProduitsRef[Famille], MATCH(tbl_Ventes[[#This Row],[Cde_Prdt]], tbl_Produits[Cde_Prdt], 0)), "")</f>
        <v/>
      </c>
    </row>
    <row r="3201" spans="1:11" x14ac:dyDescent="0.25">
      <c r="A3201" s="5"/>
      <c r="B3201" s="63" t="str">
        <f>IFERROR(TEXT(tbl_Ventes[[#This Row],[Date]],"mm-aaaa"),"")</f>
        <v>01-1900</v>
      </c>
      <c r="D3201" s="10" t="str">
        <f>IFERROR(
   INDEX(tbl_ProduitsRef[Cde_Prdt],MATCH(tbl_Ventes[[#This Row],[Produit]],tbl_ProduitsRef[Produit],0)),
   ""
)</f>
        <v/>
      </c>
      <c r="E3201" s="7">
        <v>0</v>
      </c>
      <c r="F3201" s="7" t="str">
        <f>IFERROR(
   INDEX(tbl_ProduitsRef[Prix Menu],MATCH(tbl_Ventes[[#This Row],[Produit]],tbl_ProduitsRef[Produit],0)),
   ""
)</f>
        <v/>
      </c>
      <c r="G3201" s="7">
        <f>tbl_Ventes[[#This Row],[Qté Vendue]] * IFERROR(_xlfn.XLOOKUP(tbl_Ventes[[#This Row],[Cde_Prdt]], tbl_Produits[Cde_Prdt], tbl_Produits[Prix Menu]), 0)</f>
        <v>0</v>
      </c>
      <c r="H3201" s="7">
        <f>IFERROR(_xlfn.XLOOKUP(tbl_Ventes[[#This Row],[Cde_Prdt]], tbl_Produits[Cde_Prdt], tbl_Produits[Coût Moyen Portion]), 0)</f>
        <v>0</v>
      </c>
      <c r="I3201" s="7">
        <f>tbl_Ventes[[#This Row],[Qté Vendue]] * tbl_Ventes[[#This Row],[CMP_par_portion]]</f>
        <v>0</v>
      </c>
      <c r="J3201" s="7">
        <f>tbl_Ventes[[#This Row],[CA ligne]] - tbl_Ventes[[#This Row],[Coût matière ligne]]</f>
        <v>0</v>
      </c>
      <c r="K3201" s="7" t="str">
        <f>IFERROR(INDEX(tbl_ProduitsRef[Famille], MATCH(tbl_Ventes[[#This Row],[Cde_Prdt]], tbl_Produits[Cde_Prdt], 0)), "")</f>
        <v/>
      </c>
    </row>
    <row r="3202" spans="1:11" x14ac:dyDescent="0.25">
      <c r="A3202" s="5"/>
      <c r="B3202" s="63" t="str">
        <f>IFERROR(TEXT(tbl_Ventes[[#This Row],[Date]],"mm-aaaa"),"")</f>
        <v>01-1900</v>
      </c>
      <c r="D3202" s="10" t="str">
        <f>IFERROR(
   INDEX(tbl_ProduitsRef[Cde_Prdt],MATCH(tbl_Ventes[[#This Row],[Produit]],tbl_ProduitsRef[Produit],0)),
   ""
)</f>
        <v/>
      </c>
      <c r="E3202" s="7">
        <v>0</v>
      </c>
      <c r="F3202" s="7" t="str">
        <f>IFERROR(
   INDEX(tbl_ProduitsRef[Prix Menu],MATCH(tbl_Ventes[[#This Row],[Produit]],tbl_ProduitsRef[Produit],0)),
   ""
)</f>
        <v/>
      </c>
      <c r="G3202" s="7">
        <f>tbl_Ventes[[#This Row],[Qté Vendue]] * IFERROR(_xlfn.XLOOKUP(tbl_Ventes[[#This Row],[Cde_Prdt]], tbl_Produits[Cde_Prdt], tbl_Produits[Prix Menu]), 0)</f>
        <v>0</v>
      </c>
      <c r="H3202" s="7">
        <f>IFERROR(_xlfn.XLOOKUP(tbl_Ventes[[#This Row],[Cde_Prdt]], tbl_Produits[Cde_Prdt], tbl_Produits[Coût Moyen Portion]), 0)</f>
        <v>0</v>
      </c>
      <c r="I3202" s="7">
        <f>tbl_Ventes[[#This Row],[Qté Vendue]] * tbl_Ventes[[#This Row],[CMP_par_portion]]</f>
        <v>0</v>
      </c>
      <c r="J3202" s="7">
        <f>tbl_Ventes[[#This Row],[CA ligne]] - tbl_Ventes[[#This Row],[Coût matière ligne]]</f>
        <v>0</v>
      </c>
      <c r="K3202" s="7" t="str">
        <f>IFERROR(INDEX(tbl_ProduitsRef[Famille], MATCH(tbl_Ventes[[#This Row],[Cde_Prdt]], tbl_Produits[Cde_Prdt], 0)), "")</f>
        <v/>
      </c>
    </row>
    <row r="3203" spans="1:11" x14ac:dyDescent="0.25">
      <c r="A3203" s="5"/>
      <c r="B3203" s="63" t="str">
        <f>IFERROR(TEXT(tbl_Ventes[[#This Row],[Date]],"mm-aaaa"),"")</f>
        <v>01-1900</v>
      </c>
      <c r="D3203" s="10" t="str">
        <f>IFERROR(
   INDEX(tbl_ProduitsRef[Cde_Prdt],MATCH(tbl_Ventes[[#This Row],[Produit]],tbl_ProduitsRef[Produit],0)),
   ""
)</f>
        <v/>
      </c>
      <c r="E3203" s="7">
        <v>0</v>
      </c>
      <c r="F3203" s="7" t="str">
        <f>IFERROR(
   INDEX(tbl_ProduitsRef[Prix Menu],MATCH(tbl_Ventes[[#This Row],[Produit]],tbl_ProduitsRef[Produit],0)),
   ""
)</f>
        <v/>
      </c>
      <c r="G3203" s="7">
        <f>tbl_Ventes[[#This Row],[Qté Vendue]] * IFERROR(_xlfn.XLOOKUP(tbl_Ventes[[#This Row],[Cde_Prdt]], tbl_Produits[Cde_Prdt], tbl_Produits[Prix Menu]), 0)</f>
        <v>0</v>
      </c>
      <c r="H3203" s="7">
        <f>IFERROR(_xlfn.XLOOKUP(tbl_Ventes[[#This Row],[Cde_Prdt]], tbl_Produits[Cde_Prdt], tbl_Produits[Coût Moyen Portion]), 0)</f>
        <v>0</v>
      </c>
      <c r="I3203" s="7">
        <f>tbl_Ventes[[#This Row],[Qté Vendue]] * tbl_Ventes[[#This Row],[CMP_par_portion]]</f>
        <v>0</v>
      </c>
      <c r="J3203" s="7">
        <f>tbl_Ventes[[#This Row],[CA ligne]] - tbl_Ventes[[#This Row],[Coût matière ligne]]</f>
        <v>0</v>
      </c>
      <c r="K3203" s="7" t="str">
        <f>IFERROR(INDEX(tbl_ProduitsRef[Famille], MATCH(tbl_Ventes[[#This Row],[Cde_Prdt]], tbl_Produits[Cde_Prdt], 0)), "")</f>
        <v/>
      </c>
    </row>
    <row r="3204" spans="1:11" x14ac:dyDescent="0.25">
      <c r="A3204" s="5"/>
      <c r="B3204" s="63" t="str">
        <f>IFERROR(TEXT(tbl_Ventes[[#This Row],[Date]],"mm-aaaa"),"")</f>
        <v>01-1900</v>
      </c>
      <c r="D3204" s="10" t="str">
        <f>IFERROR(
   INDEX(tbl_ProduitsRef[Cde_Prdt],MATCH(tbl_Ventes[[#This Row],[Produit]],tbl_ProduitsRef[Produit],0)),
   ""
)</f>
        <v/>
      </c>
      <c r="E3204" s="7">
        <v>0</v>
      </c>
      <c r="F3204" s="7" t="str">
        <f>IFERROR(
   INDEX(tbl_ProduitsRef[Prix Menu],MATCH(tbl_Ventes[[#This Row],[Produit]],tbl_ProduitsRef[Produit],0)),
   ""
)</f>
        <v/>
      </c>
      <c r="G3204" s="7">
        <f>tbl_Ventes[[#This Row],[Qté Vendue]] * IFERROR(_xlfn.XLOOKUP(tbl_Ventes[[#This Row],[Cde_Prdt]], tbl_Produits[Cde_Prdt], tbl_Produits[Prix Menu]), 0)</f>
        <v>0</v>
      </c>
      <c r="H3204" s="7">
        <f>IFERROR(_xlfn.XLOOKUP(tbl_Ventes[[#This Row],[Cde_Prdt]], tbl_Produits[Cde_Prdt], tbl_Produits[Coût Moyen Portion]), 0)</f>
        <v>0</v>
      </c>
      <c r="I3204" s="7">
        <f>tbl_Ventes[[#This Row],[Qté Vendue]] * tbl_Ventes[[#This Row],[CMP_par_portion]]</f>
        <v>0</v>
      </c>
      <c r="J3204" s="7">
        <f>tbl_Ventes[[#This Row],[CA ligne]] - tbl_Ventes[[#This Row],[Coût matière ligne]]</f>
        <v>0</v>
      </c>
      <c r="K3204" s="7" t="str">
        <f>IFERROR(INDEX(tbl_ProduitsRef[Famille], MATCH(tbl_Ventes[[#This Row],[Cde_Prdt]], tbl_Produits[Cde_Prdt], 0)), "")</f>
        <v/>
      </c>
    </row>
    <row r="3205" spans="1:11" x14ac:dyDescent="0.25">
      <c r="A3205" s="5"/>
      <c r="B3205" s="63" t="str">
        <f>IFERROR(TEXT(tbl_Ventes[[#This Row],[Date]],"mm-aaaa"),"")</f>
        <v>01-1900</v>
      </c>
      <c r="D3205" s="10" t="str">
        <f>IFERROR(
   INDEX(tbl_ProduitsRef[Cde_Prdt],MATCH(tbl_Ventes[[#This Row],[Produit]],tbl_ProduitsRef[Produit],0)),
   ""
)</f>
        <v/>
      </c>
      <c r="E3205" s="7">
        <v>0</v>
      </c>
      <c r="F3205" s="7" t="str">
        <f>IFERROR(
   INDEX(tbl_ProduitsRef[Prix Menu],MATCH(tbl_Ventes[[#This Row],[Produit]],tbl_ProduitsRef[Produit],0)),
   ""
)</f>
        <v/>
      </c>
      <c r="G3205" s="7">
        <f>tbl_Ventes[[#This Row],[Qté Vendue]] * IFERROR(_xlfn.XLOOKUP(tbl_Ventes[[#This Row],[Cde_Prdt]], tbl_Produits[Cde_Prdt], tbl_Produits[Prix Menu]), 0)</f>
        <v>0</v>
      </c>
      <c r="H3205" s="7">
        <f>IFERROR(_xlfn.XLOOKUP(tbl_Ventes[[#This Row],[Cde_Prdt]], tbl_Produits[Cde_Prdt], tbl_Produits[Coût Moyen Portion]), 0)</f>
        <v>0</v>
      </c>
      <c r="I3205" s="7">
        <f>tbl_Ventes[[#This Row],[Qté Vendue]] * tbl_Ventes[[#This Row],[CMP_par_portion]]</f>
        <v>0</v>
      </c>
      <c r="J3205" s="7">
        <f>tbl_Ventes[[#This Row],[CA ligne]] - tbl_Ventes[[#This Row],[Coût matière ligne]]</f>
        <v>0</v>
      </c>
      <c r="K3205" s="7" t="str">
        <f>IFERROR(INDEX(tbl_ProduitsRef[Famille], MATCH(tbl_Ventes[[#This Row],[Cde_Prdt]], tbl_Produits[Cde_Prdt], 0)), "")</f>
        <v/>
      </c>
    </row>
    <row r="3206" spans="1:11" x14ac:dyDescent="0.25">
      <c r="A3206" s="5"/>
      <c r="B3206" s="63" t="str">
        <f>IFERROR(TEXT(tbl_Ventes[[#This Row],[Date]],"mm-aaaa"),"")</f>
        <v>01-1900</v>
      </c>
      <c r="D3206" s="10" t="str">
        <f>IFERROR(
   INDEX(tbl_ProduitsRef[Cde_Prdt],MATCH(tbl_Ventes[[#This Row],[Produit]],tbl_ProduitsRef[Produit],0)),
   ""
)</f>
        <v/>
      </c>
      <c r="E3206" s="7">
        <v>0</v>
      </c>
      <c r="F3206" s="7" t="str">
        <f>IFERROR(
   INDEX(tbl_ProduitsRef[Prix Menu],MATCH(tbl_Ventes[[#This Row],[Produit]],tbl_ProduitsRef[Produit],0)),
   ""
)</f>
        <v/>
      </c>
      <c r="G3206" s="7">
        <f>tbl_Ventes[[#This Row],[Qté Vendue]] * IFERROR(_xlfn.XLOOKUP(tbl_Ventes[[#This Row],[Cde_Prdt]], tbl_Produits[Cde_Prdt], tbl_Produits[Prix Menu]), 0)</f>
        <v>0</v>
      </c>
      <c r="H3206" s="7">
        <f>IFERROR(_xlfn.XLOOKUP(tbl_Ventes[[#This Row],[Cde_Prdt]], tbl_Produits[Cde_Prdt], tbl_Produits[Coût Moyen Portion]), 0)</f>
        <v>0</v>
      </c>
      <c r="I3206" s="7">
        <f>tbl_Ventes[[#This Row],[Qté Vendue]] * tbl_Ventes[[#This Row],[CMP_par_portion]]</f>
        <v>0</v>
      </c>
      <c r="J3206" s="7">
        <f>tbl_Ventes[[#This Row],[CA ligne]] - tbl_Ventes[[#This Row],[Coût matière ligne]]</f>
        <v>0</v>
      </c>
      <c r="K3206" s="7" t="str">
        <f>IFERROR(INDEX(tbl_ProduitsRef[Famille], MATCH(tbl_Ventes[[#This Row],[Cde_Prdt]], tbl_Produits[Cde_Prdt], 0)), "")</f>
        <v/>
      </c>
    </row>
    <row r="3207" spans="1:11" x14ac:dyDescent="0.25">
      <c r="A3207" s="5"/>
      <c r="B3207" s="63" t="str">
        <f>IFERROR(TEXT(tbl_Ventes[[#This Row],[Date]],"mm-aaaa"),"")</f>
        <v>01-1900</v>
      </c>
      <c r="D3207" s="10" t="str">
        <f>IFERROR(
   INDEX(tbl_ProduitsRef[Cde_Prdt],MATCH(tbl_Ventes[[#This Row],[Produit]],tbl_ProduitsRef[Produit],0)),
   ""
)</f>
        <v/>
      </c>
      <c r="E3207" s="7">
        <v>0</v>
      </c>
      <c r="F3207" s="7" t="str">
        <f>IFERROR(
   INDEX(tbl_ProduitsRef[Prix Menu],MATCH(tbl_Ventes[[#This Row],[Produit]],tbl_ProduitsRef[Produit],0)),
   ""
)</f>
        <v/>
      </c>
      <c r="G3207" s="7">
        <f>tbl_Ventes[[#This Row],[Qté Vendue]] * IFERROR(_xlfn.XLOOKUP(tbl_Ventes[[#This Row],[Cde_Prdt]], tbl_Produits[Cde_Prdt], tbl_Produits[Prix Menu]), 0)</f>
        <v>0</v>
      </c>
      <c r="H3207" s="7">
        <f>IFERROR(_xlfn.XLOOKUP(tbl_Ventes[[#This Row],[Cde_Prdt]], tbl_Produits[Cde_Prdt], tbl_Produits[Coût Moyen Portion]), 0)</f>
        <v>0</v>
      </c>
      <c r="I3207" s="7">
        <f>tbl_Ventes[[#This Row],[Qté Vendue]] * tbl_Ventes[[#This Row],[CMP_par_portion]]</f>
        <v>0</v>
      </c>
      <c r="J3207" s="7">
        <f>tbl_Ventes[[#This Row],[CA ligne]] - tbl_Ventes[[#This Row],[Coût matière ligne]]</f>
        <v>0</v>
      </c>
      <c r="K3207" s="7" t="str">
        <f>IFERROR(INDEX(tbl_ProduitsRef[Famille], MATCH(tbl_Ventes[[#This Row],[Cde_Prdt]], tbl_Produits[Cde_Prdt], 0)), "")</f>
        <v/>
      </c>
    </row>
    <row r="3208" spans="1:11" x14ac:dyDescent="0.25">
      <c r="A3208" s="5"/>
      <c r="B3208" s="63" t="str">
        <f>IFERROR(TEXT(tbl_Ventes[[#This Row],[Date]],"mm-aaaa"),"")</f>
        <v>01-1900</v>
      </c>
      <c r="D3208" s="10" t="str">
        <f>IFERROR(
   INDEX(tbl_ProduitsRef[Cde_Prdt],MATCH(tbl_Ventes[[#This Row],[Produit]],tbl_ProduitsRef[Produit],0)),
   ""
)</f>
        <v/>
      </c>
      <c r="E3208" s="7">
        <v>0</v>
      </c>
      <c r="F3208" s="7" t="str">
        <f>IFERROR(
   INDEX(tbl_ProduitsRef[Prix Menu],MATCH(tbl_Ventes[[#This Row],[Produit]],tbl_ProduitsRef[Produit],0)),
   ""
)</f>
        <v/>
      </c>
      <c r="G3208" s="7">
        <f>tbl_Ventes[[#This Row],[Qté Vendue]] * IFERROR(_xlfn.XLOOKUP(tbl_Ventes[[#This Row],[Cde_Prdt]], tbl_Produits[Cde_Prdt], tbl_Produits[Prix Menu]), 0)</f>
        <v>0</v>
      </c>
      <c r="H3208" s="7">
        <f>IFERROR(_xlfn.XLOOKUP(tbl_Ventes[[#This Row],[Cde_Prdt]], tbl_Produits[Cde_Prdt], tbl_Produits[Coût Moyen Portion]), 0)</f>
        <v>0</v>
      </c>
      <c r="I3208" s="7">
        <f>tbl_Ventes[[#This Row],[Qté Vendue]] * tbl_Ventes[[#This Row],[CMP_par_portion]]</f>
        <v>0</v>
      </c>
      <c r="J3208" s="7">
        <f>tbl_Ventes[[#This Row],[CA ligne]] - tbl_Ventes[[#This Row],[Coût matière ligne]]</f>
        <v>0</v>
      </c>
      <c r="K3208" s="7" t="str">
        <f>IFERROR(INDEX(tbl_ProduitsRef[Famille], MATCH(tbl_Ventes[[#This Row],[Cde_Prdt]], tbl_Produits[Cde_Prdt], 0)), "")</f>
        <v/>
      </c>
    </row>
    <row r="3209" spans="1:11" x14ac:dyDescent="0.25">
      <c r="A3209" s="5"/>
      <c r="B3209" s="63" t="str">
        <f>IFERROR(TEXT(tbl_Ventes[[#This Row],[Date]],"mm-aaaa"),"")</f>
        <v>01-1900</v>
      </c>
      <c r="D3209" s="10" t="str">
        <f>IFERROR(
   INDEX(tbl_ProduitsRef[Cde_Prdt],MATCH(tbl_Ventes[[#This Row],[Produit]],tbl_ProduitsRef[Produit],0)),
   ""
)</f>
        <v/>
      </c>
      <c r="E3209" s="7">
        <v>0</v>
      </c>
      <c r="F3209" s="7" t="str">
        <f>IFERROR(
   INDEX(tbl_ProduitsRef[Prix Menu],MATCH(tbl_Ventes[[#This Row],[Produit]],tbl_ProduitsRef[Produit],0)),
   ""
)</f>
        <v/>
      </c>
      <c r="G3209" s="7">
        <f>tbl_Ventes[[#This Row],[Qté Vendue]] * IFERROR(_xlfn.XLOOKUP(tbl_Ventes[[#This Row],[Cde_Prdt]], tbl_Produits[Cde_Prdt], tbl_Produits[Prix Menu]), 0)</f>
        <v>0</v>
      </c>
      <c r="H3209" s="7">
        <f>IFERROR(_xlfn.XLOOKUP(tbl_Ventes[[#This Row],[Cde_Prdt]], tbl_Produits[Cde_Prdt], tbl_Produits[Coût Moyen Portion]), 0)</f>
        <v>0</v>
      </c>
      <c r="I3209" s="7">
        <f>tbl_Ventes[[#This Row],[Qté Vendue]] * tbl_Ventes[[#This Row],[CMP_par_portion]]</f>
        <v>0</v>
      </c>
      <c r="J3209" s="7">
        <f>tbl_Ventes[[#This Row],[CA ligne]] - tbl_Ventes[[#This Row],[Coût matière ligne]]</f>
        <v>0</v>
      </c>
      <c r="K3209" s="7" t="str">
        <f>IFERROR(INDEX(tbl_ProduitsRef[Famille], MATCH(tbl_Ventes[[#This Row],[Cde_Prdt]], tbl_Produits[Cde_Prdt], 0)), "")</f>
        <v/>
      </c>
    </row>
    <row r="3210" spans="1:11" x14ac:dyDescent="0.25">
      <c r="A3210" s="5"/>
      <c r="B3210" s="63" t="str">
        <f>IFERROR(TEXT(tbl_Ventes[[#This Row],[Date]],"mm-aaaa"),"")</f>
        <v>01-1900</v>
      </c>
      <c r="D3210" s="10" t="str">
        <f>IFERROR(
   INDEX(tbl_ProduitsRef[Cde_Prdt],MATCH(tbl_Ventes[[#This Row],[Produit]],tbl_ProduitsRef[Produit],0)),
   ""
)</f>
        <v/>
      </c>
      <c r="E3210" s="7">
        <v>0</v>
      </c>
      <c r="F3210" s="7" t="str">
        <f>IFERROR(
   INDEX(tbl_ProduitsRef[Prix Menu],MATCH(tbl_Ventes[[#This Row],[Produit]],tbl_ProduitsRef[Produit],0)),
   ""
)</f>
        <v/>
      </c>
      <c r="G3210" s="7">
        <f>tbl_Ventes[[#This Row],[Qté Vendue]] * IFERROR(_xlfn.XLOOKUP(tbl_Ventes[[#This Row],[Cde_Prdt]], tbl_Produits[Cde_Prdt], tbl_Produits[Prix Menu]), 0)</f>
        <v>0</v>
      </c>
      <c r="H3210" s="7">
        <f>IFERROR(_xlfn.XLOOKUP(tbl_Ventes[[#This Row],[Cde_Prdt]], tbl_Produits[Cde_Prdt], tbl_Produits[Coût Moyen Portion]), 0)</f>
        <v>0</v>
      </c>
      <c r="I3210" s="7">
        <f>tbl_Ventes[[#This Row],[Qté Vendue]] * tbl_Ventes[[#This Row],[CMP_par_portion]]</f>
        <v>0</v>
      </c>
      <c r="J3210" s="7">
        <f>tbl_Ventes[[#This Row],[CA ligne]] - tbl_Ventes[[#This Row],[Coût matière ligne]]</f>
        <v>0</v>
      </c>
      <c r="K3210" s="7" t="str">
        <f>IFERROR(INDEX(tbl_ProduitsRef[Famille], MATCH(tbl_Ventes[[#This Row],[Cde_Prdt]], tbl_Produits[Cde_Prdt], 0)), "")</f>
        <v/>
      </c>
    </row>
    <row r="3211" spans="1:11" x14ac:dyDescent="0.25">
      <c r="A3211" s="5"/>
      <c r="B3211" s="63" t="str">
        <f>IFERROR(TEXT(tbl_Ventes[[#This Row],[Date]],"mm-aaaa"),"")</f>
        <v>01-1900</v>
      </c>
      <c r="D3211" s="10" t="str">
        <f>IFERROR(
   INDEX(tbl_ProduitsRef[Cde_Prdt],MATCH(tbl_Ventes[[#This Row],[Produit]],tbl_ProduitsRef[Produit],0)),
   ""
)</f>
        <v/>
      </c>
      <c r="E3211" s="7">
        <v>0</v>
      </c>
      <c r="F3211" s="7" t="str">
        <f>IFERROR(
   INDEX(tbl_ProduitsRef[Prix Menu],MATCH(tbl_Ventes[[#This Row],[Produit]],tbl_ProduitsRef[Produit],0)),
   ""
)</f>
        <v/>
      </c>
      <c r="G3211" s="7">
        <f>tbl_Ventes[[#This Row],[Qté Vendue]] * IFERROR(_xlfn.XLOOKUP(tbl_Ventes[[#This Row],[Cde_Prdt]], tbl_Produits[Cde_Prdt], tbl_Produits[Prix Menu]), 0)</f>
        <v>0</v>
      </c>
      <c r="H3211" s="7">
        <f>IFERROR(_xlfn.XLOOKUP(tbl_Ventes[[#This Row],[Cde_Prdt]], tbl_Produits[Cde_Prdt], tbl_Produits[Coût Moyen Portion]), 0)</f>
        <v>0</v>
      </c>
      <c r="I3211" s="7">
        <f>tbl_Ventes[[#This Row],[Qté Vendue]] * tbl_Ventes[[#This Row],[CMP_par_portion]]</f>
        <v>0</v>
      </c>
      <c r="J3211" s="7">
        <f>tbl_Ventes[[#This Row],[CA ligne]] - tbl_Ventes[[#This Row],[Coût matière ligne]]</f>
        <v>0</v>
      </c>
      <c r="K3211" s="7" t="str">
        <f>IFERROR(INDEX(tbl_ProduitsRef[Famille], MATCH(tbl_Ventes[[#This Row],[Cde_Prdt]], tbl_Produits[Cde_Prdt], 0)), "")</f>
        <v/>
      </c>
    </row>
    <row r="3212" spans="1:11" x14ac:dyDescent="0.25">
      <c r="A3212" s="5"/>
      <c r="B3212" s="63" t="str">
        <f>IFERROR(TEXT(tbl_Ventes[[#This Row],[Date]],"mm-aaaa"),"")</f>
        <v>01-1900</v>
      </c>
      <c r="D3212" s="10" t="str">
        <f>IFERROR(
   INDEX(tbl_ProduitsRef[Cde_Prdt],MATCH(tbl_Ventes[[#This Row],[Produit]],tbl_ProduitsRef[Produit],0)),
   ""
)</f>
        <v/>
      </c>
      <c r="E3212" s="7">
        <v>0</v>
      </c>
      <c r="F3212" s="7" t="str">
        <f>IFERROR(
   INDEX(tbl_ProduitsRef[Prix Menu],MATCH(tbl_Ventes[[#This Row],[Produit]],tbl_ProduitsRef[Produit],0)),
   ""
)</f>
        <v/>
      </c>
      <c r="G3212" s="7">
        <f>tbl_Ventes[[#This Row],[Qté Vendue]] * IFERROR(_xlfn.XLOOKUP(tbl_Ventes[[#This Row],[Cde_Prdt]], tbl_Produits[Cde_Prdt], tbl_Produits[Prix Menu]), 0)</f>
        <v>0</v>
      </c>
      <c r="H3212" s="7">
        <f>IFERROR(_xlfn.XLOOKUP(tbl_Ventes[[#This Row],[Cde_Prdt]], tbl_Produits[Cde_Prdt], tbl_Produits[Coût Moyen Portion]), 0)</f>
        <v>0</v>
      </c>
      <c r="I3212" s="7">
        <f>tbl_Ventes[[#This Row],[Qté Vendue]] * tbl_Ventes[[#This Row],[CMP_par_portion]]</f>
        <v>0</v>
      </c>
      <c r="J3212" s="7">
        <f>tbl_Ventes[[#This Row],[CA ligne]] - tbl_Ventes[[#This Row],[Coût matière ligne]]</f>
        <v>0</v>
      </c>
      <c r="K3212" s="7" t="str">
        <f>IFERROR(INDEX(tbl_ProduitsRef[Famille], MATCH(tbl_Ventes[[#This Row],[Cde_Prdt]], tbl_Produits[Cde_Prdt], 0)), "")</f>
        <v/>
      </c>
    </row>
    <row r="3213" spans="1:11" x14ac:dyDescent="0.25">
      <c r="A3213" s="5"/>
      <c r="B3213" s="63" t="str">
        <f>IFERROR(TEXT(tbl_Ventes[[#This Row],[Date]],"mm-aaaa"),"")</f>
        <v>01-1900</v>
      </c>
      <c r="D3213" s="10" t="str">
        <f>IFERROR(
   INDEX(tbl_ProduitsRef[Cde_Prdt],MATCH(tbl_Ventes[[#This Row],[Produit]],tbl_ProduitsRef[Produit],0)),
   ""
)</f>
        <v/>
      </c>
      <c r="E3213" s="7">
        <v>0</v>
      </c>
      <c r="F3213" s="7" t="str">
        <f>IFERROR(
   INDEX(tbl_ProduitsRef[Prix Menu],MATCH(tbl_Ventes[[#This Row],[Produit]],tbl_ProduitsRef[Produit],0)),
   ""
)</f>
        <v/>
      </c>
      <c r="G3213" s="7">
        <f>tbl_Ventes[[#This Row],[Qté Vendue]] * IFERROR(_xlfn.XLOOKUP(tbl_Ventes[[#This Row],[Cde_Prdt]], tbl_Produits[Cde_Prdt], tbl_Produits[Prix Menu]), 0)</f>
        <v>0</v>
      </c>
      <c r="H3213" s="7">
        <f>IFERROR(_xlfn.XLOOKUP(tbl_Ventes[[#This Row],[Cde_Prdt]], tbl_Produits[Cde_Prdt], tbl_Produits[Coût Moyen Portion]), 0)</f>
        <v>0</v>
      </c>
      <c r="I3213" s="7">
        <f>tbl_Ventes[[#This Row],[Qté Vendue]] * tbl_Ventes[[#This Row],[CMP_par_portion]]</f>
        <v>0</v>
      </c>
      <c r="J3213" s="7">
        <f>tbl_Ventes[[#This Row],[CA ligne]] - tbl_Ventes[[#This Row],[Coût matière ligne]]</f>
        <v>0</v>
      </c>
      <c r="K3213" s="7" t="str">
        <f>IFERROR(INDEX(tbl_ProduitsRef[Famille], MATCH(tbl_Ventes[[#This Row],[Cde_Prdt]], tbl_Produits[Cde_Prdt], 0)), "")</f>
        <v/>
      </c>
    </row>
    <row r="3214" spans="1:11" x14ac:dyDescent="0.25">
      <c r="A3214" s="5"/>
      <c r="B3214" s="63" t="str">
        <f>IFERROR(TEXT(tbl_Ventes[[#This Row],[Date]],"mm-aaaa"),"")</f>
        <v>01-1900</v>
      </c>
      <c r="D3214" s="10" t="str">
        <f>IFERROR(
   INDEX(tbl_ProduitsRef[Cde_Prdt],MATCH(tbl_Ventes[[#This Row],[Produit]],tbl_ProduitsRef[Produit],0)),
   ""
)</f>
        <v/>
      </c>
      <c r="E3214" s="7">
        <v>0</v>
      </c>
      <c r="F3214" s="7" t="str">
        <f>IFERROR(
   INDEX(tbl_ProduitsRef[Prix Menu],MATCH(tbl_Ventes[[#This Row],[Produit]],tbl_ProduitsRef[Produit],0)),
   ""
)</f>
        <v/>
      </c>
      <c r="G3214" s="7">
        <f>tbl_Ventes[[#This Row],[Qté Vendue]] * IFERROR(_xlfn.XLOOKUP(tbl_Ventes[[#This Row],[Cde_Prdt]], tbl_Produits[Cde_Prdt], tbl_Produits[Prix Menu]), 0)</f>
        <v>0</v>
      </c>
      <c r="H3214" s="7">
        <f>IFERROR(_xlfn.XLOOKUP(tbl_Ventes[[#This Row],[Cde_Prdt]], tbl_Produits[Cde_Prdt], tbl_Produits[Coût Moyen Portion]), 0)</f>
        <v>0</v>
      </c>
      <c r="I3214" s="7">
        <f>tbl_Ventes[[#This Row],[Qté Vendue]] * tbl_Ventes[[#This Row],[CMP_par_portion]]</f>
        <v>0</v>
      </c>
      <c r="J3214" s="7">
        <f>tbl_Ventes[[#This Row],[CA ligne]] - tbl_Ventes[[#This Row],[Coût matière ligne]]</f>
        <v>0</v>
      </c>
      <c r="K3214" s="7" t="str">
        <f>IFERROR(INDEX(tbl_ProduitsRef[Famille], MATCH(tbl_Ventes[[#This Row],[Cde_Prdt]], tbl_Produits[Cde_Prdt], 0)), "")</f>
        <v/>
      </c>
    </row>
    <row r="3215" spans="1:11" x14ac:dyDescent="0.25">
      <c r="A3215" s="5"/>
      <c r="B3215" s="63" t="str">
        <f>IFERROR(TEXT(tbl_Ventes[[#This Row],[Date]],"mm-aaaa"),"")</f>
        <v>01-1900</v>
      </c>
      <c r="D3215" s="10" t="str">
        <f>IFERROR(
   INDEX(tbl_ProduitsRef[Cde_Prdt],MATCH(tbl_Ventes[[#This Row],[Produit]],tbl_ProduitsRef[Produit],0)),
   ""
)</f>
        <v/>
      </c>
      <c r="E3215" s="7">
        <v>0</v>
      </c>
      <c r="F3215" s="7" t="str">
        <f>IFERROR(
   INDEX(tbl_ProduitsRef[Prix Menu],MATCH(tbl_Ventes[[#This Row],[Produit]],tbl_ProduitsRef[Produit],0)),
   ""
)</f>
        <v/>
      </c>
      <c r="G3215" s="7">
        <f>tbl_Ventes[[#This Row],[Qté Vendue]] * IFERROR(_xlfn.XLOOKUP(tbl_Ventes[[#This Row],[Cde_Prdt]], tbl_Produits[Cde_Prdt], tbl_Produits[Prix Menu]), 0)</f>
        <v>0</v>
      </c>
      <c r="H3215" s="7">
        <f>IFERROR(_xlfn.XLOOKUP(tbl_Ventes[[#This Row],[Cde_Prdt]], tbl_Produits[Cde_Prdt], tbl_Produits[Coût Moyen Portion]), 0)</f>
        <v>0</v>
      </c>
      <c r="I3215" s="7">
        <f>tbl_Ventes[[#This Row],[Qté Vendue]] * tbl_Ventes[[#This Row],[CMP_par_portion]]</f>
        <v>0</v>
      </c>
      <c r="J3215" s="7">
        <f>tbl_Ventes[[#This Row],[CA ligne]] - tbl_Ventes[[#This Row],[Coût matière ligne]]</f>
        <v>0</v>
      </c>
      <c r="K3215" s="7" t="str">
        <f>IFERROR(INDEX(tbl_ProduitsRef[Famille], MATCH(tbl_Ventes[[#This Row],[Cde_Prdt]], tbl_Produits[Cde_Prdt], 0)), "")</f>
        <v/>
      </c>
    </row>
    <row r="3216" spans="1:11" x14ac:dyDescent="0.25">
      <c r="A3216" s="5"/>
      <c r="B3216" s="63" t="str">
        <f>IFERROR(TEXT(tbl_Ventes[[#This Row],[Date]],"mm-aaaa"),"")</f>
        <v>01-1900</v>
      </c>
      <c r="D3216" s="10" t="str">
        <f>IFERROR(
   INDEX(tbl_ProduitsRef[Cde_Prdt],MATCH(tbl_Ventes[[#This Row],[Produit]],tbl_ProduitsRef[Produit],0)),
   ""
)</f>
        <v/>
      </c>
      <c r="E3216" s="7">
        <v>0</v>
      </c>
      <c r="F3216" s="7" t="str">
        <f>IFERROR(
   INDEX(tbl_ProduitsRef[Prix Menu],MATCH(tbl_Ventes[[#This Row],[Produit]],tbl_ProduitsRef[Produit],0)),
   ""
)</f>
        <v/>
      </c>
      <c r="G3216" s="7">
        <f>tbl_Ventes[[#This Row],[Qté Vendue]] * IFERROR(_xlfn.XLOOKUP(tbl_Ventes[[#This Row],[Cde_Prdt]], tbl_Produits[Cde_Prdt], tbl_Produits[Prix Menu]), 0)</f>
        <v>0</v>
      </c>
      <c r="H3216" s="7">
        <f>IFERROR(_xlfn.XLOOKUP(tbl_Ventes[[#This Row],[Cde_Prdt]], tbl_Produits[Cde_Prdt], tbl_Produits[Coût Moyen Portion]), 0)</f>
        <v>0</v>
      </c>
      <c r="I3216" s="7">
        <f>tbl_Ventes[[#This Row],[Qté Vendue]] * tbl_Ventes[[#This Row],[CMP_par_portion]]</f>
        <v>0</v>
      </c>
      <c r="J3216" s="7">
        <f>tbl_Ventes[[#This Row],[CA ligne]] - tbl_Ventes[[#This Row],[Coût matière ligne]]</f>
        <v>0</v>
      </c>
      <c r="K3216" s="7" t="str">
        <f>IFERROR(INDEX(tbl_ProduitsRef[Famille], MATCH(tbl_Ventes[[#This Row],[Cde_Prdt]], tbl_Produits[Cde_Prdt], 0)), "")</f>
        <v/>
      </c>
    </row>
    <row r="3217" spans="1:11" x14ac:dyDescent="0.25">
      <c r="A3217" s="5"/>
      <c r="B3217" s="63" t="str">
        <f>IFERROR(TEXT(tbl_Ventes[[#This Row],[Date]],"mm-aaaa"),"")</f>
        <v>01-1900</v>
      </c>
      <c r="D3217" s="10" t="str">
        <f>IFERROR(
   INDEX(tbl_ProduitsRef[Cde_Prdt],MATCH(tbl_Ventes[[#This Row],[Produit]],tbl_ProduitsRef[Produit],0)),
   ""
)</f>
        <v/>
      </c>
      <c r="E3217" s="7">
        <v>0</v>
      </c>
      <c r="F3217" s="7" t="str">
        <f>IFERROR(
   INDEX(tbl_ProduitsRef[Prix Menu],MATCH(tbl_Ventes[[#This Row],[Produit]],tbl_ProduitsRef[Produit],0)),
   ""
)</f>
        <v/>
      </c>
      <c r="G3217" s="7">
        <f>tbl_Ventes[[#This Row],[Qté Vendue]] * IFERROR(_xlfn.XLOOKUP(tbl_Ventes[[#This Row],[Cde_Prdt]], tbl_Produits[Cde_Prdt], tbl_Produits[Prix Menu]), 0)</f>
        <v>0</v>
      </c>
      <c r="H3217" s="7">
        <f>IFERROR(_xlfn.XLOOKUP(tbl_Ventes[[#This Row],[Cde_Prdt]], tbl_Produits[Cde_Prdt], tbl_Produits[Coût Moyen Portion]), 0)</f>
        <v>0</v>
      </c>
      <c r="I3217" s="7">
        <f>tbl_Ventes[[#This Row],[Qté Vendue]] * tbl_Ventes[[#This Row],[CMP_par_portion]]</f>
        <v>0</v>
      </c>
      <c r="J3217" s="7">
        <f>tbl_Ventes[[#This Row],[CA ligne]] - tbl_Ventes[[#This Row],[Coût matière ligne]]</f>
        <v>0</v>
      </c>
      <c r="K3217" s="7" t="str">
        <f>IFERROR(INDEX(tbl_ProduitsRef[Famille], MATCH(tbl_Ventes[[#This Row],[Cde_Prdt]], tbl_Produits[Cde_Prdt], 0)), "")</f>
        <v/>
      </c>
    </row>
    <row r="3218" spans="1:11" x14ac:dyDescent="0.25">
      <c r="A3218" s="5"/>
      <c r="B3218" s="63" t="str">
        <f>IFERROR(TEXT(tbl_Ventes[[#This Row],[Date]],"mm-aaaa"),"")</f>
        <v>01-1900</v>
      </c>
      <c r="D3218" s="10" t="str">
        <f>IFERROR(
   INDEX(tbl_ProduitsRef[Cde_Prdt],MATCH(tbl_Ventes[[#This Row],[Produit]],tbl_ProduitsRef[Produit],0)),
   ""
)</f>
        <v/>
      </c>
      <c r="E3218" s="7">
        <v>0</v>
      </c>
      <c r="F3218" s="7" t="str">
        <f>IFERROR(
   INDEX(tbl_ProduitsRef[Prix Menu],MATCH(tbl_Ventes[[#This Row],[Produit]],tbl_ProduitsRef[Produit],0)),
   ""
)</f>
        <v/>
      </c>
      <c r="G3218" s="7">
        <f>tbl_Ventes[[#This Row],[Qté Vendue]] * IFERROR(_xlfn.XLOOKUP(tbl_Ventes[[#This Row],[Cde_Prdt]], tbl_Produits[Cde_Prdt], tbl_Produits[Prix Menu]), 0)</f>
        <v>0</v>
      </c>
      <c r="H3218" s="7">
        <f>IFERROR(_xlfn.XLOOKUP(tbl_Ventes[[#This Row],[Cde_Prdt]], tbl_Produits[Cde_Prdt], tbl_Produits[Coût Moyen Portion]), 0)</f>
        <v>0</v>
      </c>
      <c r="I3218" s="7">
        <f>tbl_Ventes[[#This Row],[Qté Vendue]] * tbl_Ventes[[#This Row],[CMP_par_portion]]</f>
        <v>0</v>
      </c>
      <c r="J3218" s="7">
        <f>tbl_Ventes[[#This Row],[CA ligne]] - tbl_Ventes[[#This Row],[Coût matière ligne]]</f>
        <v>0</v>
      </c>
      <c r="K3218" s="7" t="str">
        <f>IFERROR(INDEX(tbl_ProduitsRef[Famille], MATCH(tbl_Ventes[[#This Row],[Cde_Prdt]], tbl_Produits[Cde_Prdt], 0)), "")</f>
        <v/>
      </c>
    </row>
    <row r="3219" spans="1:11" x14ac:dyDescent="0.25">
      <c r="A3219" s="5"/>
      <c r="B3219" s="63" t="str">
        <f>IFERROR(TEXT(tbl_Ventes[[#This Row],[Date]],"mm-aaaa"),"")</f>
        <v>01-1900</v>
      </c>
      <c r="D3219" s="10" t="str">
        <f>IFERROR(
   INDEX(tbl_ProduitsRef[Cde_Prdt],MATCH(tbl_Ventes[[#This Row],[Produit]],tbl_ProduitsRef[Produit],0)),
   ""
)</f>
        <v/>
      </c>
      <c r="E3219" s="7">
        <v>0</v>
      </c>
      <c r="F3219" s="7" t="str">
        <f>IFERROR(
   INDEX(tbl_ProduitsRef[Prix Menu],MATCH(tbl_Ventes[[#This Row],[Produit]],tbl_ProduitsRef[Produit],0)),
   ""
)</f>
        <v/>
      </c>
      <c r="G3219" s="7">
        <f>tbl_Ventes[[#This Row],[Qté Vendue]] * IFERROR(_xlfn.XLOOKUP(tbl_Ventes[[#This Row],[Cde_Prdt]], tbl_Produits[Cde_Prdt], tbl_Produits[Prix Menu]), 0)</f>
        <v>0</v>
      </c>
      <c r="H3219" s="7">
        <f>IFERROR(_xlfn.XLOOKUP(tbl_Ventes[[#This Row],[Cde_Prdt]], tbl_Produits[Cde_Prdt], tbl_Produits[Coût Moyen Portion]), 0)</f>
        <v>0</v>
      </c>
      <c r="I3219" s="7">
        <f>tbl_Ventes[[#This Row],[Qté Vendue]] * tbl_Ventes[[#This Row],[CMP_par_portion]]</f>
        <v>0</v>
      </c>
      <c r="J3219" s="7">
        <f>tbl_Ventes[[#This Row],[CA ligne]] - tbl_Ventes[[#This Row],[Coût matière ligne]]</f>
        <v>0</v>
      </c>
      <c r="K3219" s="7" t="str">
        <f>IFERROR(INDEX(tbl_ProduitsRef[Famille], MATCH(tbl_Ventes[[#This Row],[Cde_Prdt]], tbl_Produits[Cde_Prdt], 0)), "")</f>
        <v/>
      </c>
    </row>
    <row r="3220" spans="1:11" x14ac:dyDescent="0.25">
      <c r="A3220" s="5"/>
      <c r="B3220" s="63" t="str">
        <f>IFERROR(TEXT(tbl_Ventes[[#This Row],[Date]],"mm-aaaa"),"")</f>
        <v>01-1900</v>
      </c>
      <c r="D3220" s="10" t="str">
        <f>IFERROR(
   INDEX(tbl_ProduitsRef[Cde_Prdt],MATCH(tbl_Ventes[[#This Row],[Produit]],tbl_ProduitsRef[Produit],0)),
   ""
)</f>
        <v/>
      </c>
      <c r="E3220" s="7">
        <v>0</v>
      </c>
      <c r="F3220" s="7" t="str">
        <f>IFERROR(
   INDEX(tbl_ProduitsRef[Prix Menu],MATCH(tbl_Ventes[[#This Row],[Produit]],tbl_ProduitsRef[Produit],0)),
   ""
)</f>
        <v/>
      </c>
      <c r="G3220" s="7">
        <f>tbl_Ventes[[#This Row],[Qté Vendue]] * IFERROR(_xlfn.XLOOKUP(tbl_Ventes[[#This Row],[Cde_Prdt]], tbl_Produits[Cde_Prdt], tbl_Produits[Prix Menu]), 0)</f>
        <v>0</v>
      </c>
      <c r="H3220" s="7">
        <f>IFERROR(_xlfn.XLOOKUP(tbl_Ventes[[#This Row],[Cde_Prdt]], tbl_Produits[Cde_Prdt], tbl_Produits[Coût Moyen Portion]), 0)</f>
        <v>0</v>
      </c>
      <c r="I3220" s="7">
        <f>tbl_Ventes[[#This Row],[Qté Vendue]] * tbl_Ventes[[#This Row],[CMP_par_portion]]</f>
        <v>0</v>
      </c>
      <c r="J3220" s="7">
        <f>tbl_Ventes[[#This Row],[CA ligne]] - tbl_Ventes[[#This Row],[Coût matière ligne]]</f>
        <v>0</v>
      </c>
      <c r="K3220" s="7" t="str">
        <f>IFERROR(INDEX(tbl_ProduitsRef[Famille], MATCH(tbl_Ventes[[#This Row],[Cde_Prdt]], tbl_Produits[Cde_Prdt], 0)), "")</f>
        <v/>
      </c>
    </row>
    <row r="3221" spans="1:11" x14ac:dyDescent="0.25">
      <c r="A3221" s="5"/>
      <c r="B3221" s="63" t="str">
        <f>IFERROR(TEXT(tbl_Ventes[[#This Row],[Date]],"mm-aaaa"),"")</f>
        <v>01-1900</v>
      </c>
      <c r="D3221" s="10" t="str">
        <f>IFERROR(
   INDEX(tbl_ProduitsRef[Cde_Prdt],MATCH(tbl_Ventes[[#This Row],[Produit]],tbl_ProduitsRef[Produit],0)),
   ""
)</f>
        <v/>
      </c>
      <c r="E3221" s="7">
        <v>0</v>
      </c>
      <c r="F3221" s="7" t="str">
        <f>IFERROR(
   INDEX(tbl_ProduitsRef[Prix Menu],MATCH(tbl_Ventes[[#This Row],[Produit]],tbl_ProduitsRef[Produit],0)),
   ""
)</f>
        <v/>
      </c>
      <c r="G3221" s="7">
        <f>tbl_Ventes[[#This Row],[Qté Vendue]] * IFERROR(_xlfn.XLOOKUP(tbl_Ventes[[#This Row],[Cde_Prdt]], tbl_Produits[Cde_Prdt], tbl_Produits[Prix Menu]), 0)</f>
        <v>0</v>
      </c>
      <c r="H3221" s="7">
        <f>IFERROR(_xlfn.XLOOKUP(tbl_Ventes[[#This Row],[Cde_Prdt]], tbl_Produits[Cde_Prdt], tbl_Produits[Coût Moyen Portion]), 0)</f>
        <v>0</v>
      </c>
      <c r="I3221" s="7">
        <f>tbl_Ventes[[#This Row],[Qté Vendue]] * tbl_Ventes[[#This Row],[CMP_par_portion]]</f>
        <v>0</v>
      </c>
      <c r="J3221" s="7">
        <f>tbl_Ventes[[#This Row],[CA ligne]] - tbl_Ventes[[#This Row],[Coût matière ligne]]</f>
        <v>0</v>
      </c>
      <c r="K3221" s="7" t="str">
        <f>IFERROR(INDEX(tbl_ProduitsRef[Famille], MATCH(tbl_Ventes[[#This Row],[Cde_Prdt]], tbl_Produits[Cde_Prdt], 0)), "")</f>
        <v/>
      </c>
    </row>
    <row r="3222" spans="1:11" x14ac:dyDescent="0.25">
      <c r="A3222" s="5"/>
      <c r="B3222" s="63" t="str">
        <f>IFERROR(TEXT(tbl_Ventes[[#This Row],[Date]],"mm-aaaa"),"")</f>
        <v>01-1900</v>
      </c>
      <c r="D3222" s="10" t="str">
        <f>IFERROR(
   INDEX(tbl_ProduitsRef[Cde_Prdt],MATCH(tbl_Ventes[[#This Row],[Produit]],tbl_ProduitsRef[Produit],0)),
   ""
)</f>
        <v/>
      </c>
      <c r="E3222" s="7">
        <v>0</v>
      </c>
      <c r="F3222" s="7" t="str">
        <f>IFERROR(
   INDEX(tbl_ProduitsRef[Prix Menu],MATCH(tbl_Ventes[[#This Row],[Produit]],tbl_ProduitsRef[Produit],0)),
   ""
)</f>
        <v/>
      </c>
      <c r="G3222" s="7">
        <f>tbl_Ventes[[#This Row],[Qté Vendue]] * IFERROR(_xlfn.XLOOKUP(tbl_Ventes[[#This Row],[Cde_Prdt]], tbl_Produits[Cde_Prdt], tbl_Produits[Prix Menu]), 0)</f>
        <v>0</v>
      </c>
      <c r="H3222" s="7">
        <f>IFERROR(_xlfn.XLOOKUP(tbl_Ventes[[#This Row],[Cde_Prdt]], tbl_Produits[Cde_Prdt], tbl_Produits[Coût Moyen Portion]), 0)</f>
        <v>0</v>
      </c>
      <c r="I3222" s="7">
        <f>tbl_Ventes[[#This Row],[Qté Vendue]] * tbl_Ventes[[#This Row],[CMP_par_portion]]</f>
        <v>0</v>
      </c>
      <c r="J3222" s="7">
        <f>tbl_Ventes[[#This Row],[CA ligne]] - tbl_Ventes[[#This Row],[Coût matière ligne]]</f>
        <v>0</v>
      </c>
      <c r="K3222" s="7" t="str">
        <f>IFERROR(INDEX(tbl_ProduitsRef[Famille], MATCH(tbl_Ventes[[#This Row],[Cde_Prdt]], tbl_Produits[Cde_Prdt], 0)), "")</f>
        <v/>
      </c>
    </row>
    <row r="3223" spans="1:11" x14ac:dyDescent="0.25">
      <c r="A3223" s="5"/>
      <c r="B3223" s="63" t="str">
        <f>IFERROR(TEXT(tbl_Ventes[[#This Row],[Date]],"mm-aaaa"),"")</f>
        <v>01-1900</v>
      </c>
      <c r="D3223" s="10" t="str">
        <f>IFERROR(
   INDEX(tbl_ProduitsRef[Cde_Prdt],MATCH(tbl_Ventes[[#This Row],[Produit]],tbl_ProduitsRef[Produit],0)),
   ""
)</f>
        <v/>
      </c>
      <c r="E3223" s="7">
        <v>0</v>
      </c>
      <c r="F3223" s="7" t="str">
        <f>IFERROR(
   INDEX(tbl_ProduitsRef[Prix Menu],MATCH(tbl_Ventes[[#This Row],[Produit]],tbl_ProduitsRef[Produit],0)),
   ""
)</f>
        <v/>
      </c>
      <c r="G3223" s="7">
        <f>tbl_Ventes[[#This Row],[Qté Vendue]] * IFERROR(_xlfn.XLOOKUP(tbl_Ventes[[#This Row],[Cde_Prdt]], tbl_Produits[Cde_Prdt], tbl_Produits[Prix Menu]), 0)</f>
        <v>0</v>
      </c>
      <c r="H3223" s="7">
        <f>IFERROR(_xlfn.XLOOKUP(tbl_Ventes[[#This Row],[Cde_Prdt]], tbl_Produits[Cde_Prdt], tbl_Produits[Coût Moyen Portion]), 0)</f>
        <v>0</v>
      </c>
      <c r="I3223" s="7">
        <f>tbl_Ventes[[#This Row],[Qté Vendue]] * tbl_Ventes[[#This Row],[CMP_par_portion]]</f>
        <v>0</v>
      </c>
      <c r="J3223" s="7">
        <f>tbl_Ventes[[#This Row],[CA ligne]] - tbl_Ventes[[#This Row],[Coût matière ligne]]</f>
        <v>0</v>
      </c>
      <c r="K3223" s="7" t="str">
        <f>IFERROR(INDEX(tbl_ProduitsRef[Famille], MATCH(tbl_Ventes[[#This Row],[Cde_Prdt]], tbl_Produits[Cde_Prdt], 0)), "")</f>
        <v/>
      </c>
    </row>
    <row r="3224" spans="1:11" x14ac:dyDescent="0.25">
      <c r="A3224" s="5"/>
      <c r="B3224" s="63" t="str">
        <f>IFERROR(TEXT(tbl_Ventes[[#This Row],[Date]],"mm-aaaa"),"")</f>
        <v>01-1900</v>
      </c>
      <c r="D3224" s="10" t="str">
        <f>IFERROR(
   INDEX(tbl_ProduitsRef[Cde_Prdt],MATCH(tbl_Ventes[[#This Row],[Produit]],tbl_ProduitsRef[Produit],0)),
   ""
)</f>
        <v/>
      </c>
      <c r="E3224" s="7">
        <v>0</v>
      </c>
      <c r="F3224" s="7" t="str">
        <f>IFERROR(
   INDEX(tbl_ProduitsRef[Prix Menu],MATCH(tbl_Ventes[[#This Row],[Produit]],tbl_ProduitsRef[Produit],0)),
   ""
)</f>
        <v/>
      </c>
      <c r="G3224" s="7">
        <f>tbl_Ventes[[#This Row],[Qté Vendue]] * IFERROR(_xlfn.XLOOKUP(tbl_Ventes[[#This Row],[Cde_Prdt]], tbl_Produits[Cde_Prdt], tbl_Produits[Prix Menu]), 0)</f>
        <v>0</v>
      </c>
      <c r="H3224" s="7">
        <f>IFERROR(_xlfn.XLOOKUP(tbl_Ventes[[#This Row],[Cde_Prdt]], tbl_Produits[Cde_Prdt], tbl_Produits[Coût Moyen Portion]), 0)</f>
        <v>0</v>
      </c>
      <c r="I3224" s="7">
        <f>tbl_Ventes[[#This Row],[Qté Vendue]] * tbl_Ventes[[#This Row],[CMP_par_portion]]</f>
        <v>0</v>
      </c>
      <c r="J3224" s="7">
        <f>tbl_Ventes[[#This Row],[CA ligne]] - tbl_Ventes[[#This Row],[Coût matière ligne]]</f>
        <v>0</v>
      </c>
      <c r="K3224" s="7" t="str">
        <f>IFERROR(INDEX(tbl_ProduitsRef[Famille], MATCH(tbl_Ventes[[#This Row],[Cde_Prdt]], tbl_Produits[Cde_Prdt], 0)), "")</f>
        <v/>
      </c>
    </row>
    <row r="3225" spans="1:11" x14ac:dyDescent="0.25">
      <c r="A3225" s="5"/>
      <c r="B3225" s="63" t="str">
        <f>IFERROR(TEXT(tbl_Ventes[[#This Row],[Date]],"mm-aaaa"),"")</f>
        <v>01-1900</v>
      </c>
      <c r="D3225" s="10" t="str">
        <f>IFERROR(
   INDEX(tbl_ProduitsRef[Cde_Prdt],MATCH(tbl_Ventes[[#This Row],[Produit]],tbl_ProduitsRef[Produit],0)),
   ""
)</f>
        <v/>
      </c>
      <c r="E3225" s="7">
        <v>0</v>
      </c>
      <c r="F3225" s="7" t="str">
        <f>IFERROR(
   INDEX(tbl_ProduitsRef[Prix Menu],MATCH(tbl_Ventes[[#This Row],[Produit]],tbl_ProduitsRef[Produit],0)),
   ""
)</f>
        <v/>
      </c>
      <c r="G3225" s="7">
        <f>tbl_Ventes[[#This Row],[Qté Vendue]] * IFERROR(_xlfn.XLOOKUP(tbl_Ventes[[#This Row],[Cde_Prdt]], tbl_Produits[Cde_Prdt], tbl_Produits[Prix Menu]), 0)</f>
        <v>0</v>
      </c>
      <c r="H3225" s="7">
        <f>IFERROR(_xlfn.XLOOKUP(tbl_Ventes[[#This Row],[Cde_Prdt]], tbl_Produits[Cde_Prdt], tbl_Produits[Coût Moyen Portion]), 0)</f>
        <v>0</v>
      </c>
      <c r="I3225" s="7">
        <f>tbl_Ventes[[#This Row],[Qté Vendue]] * tbl_Ventes[[#This Row],[CMP_par_portion]]</f>
        <v>0</v>
      </c>
      <c r="J3225" s="7">
        <f>tbl_Ventes[[#This Row],[CA ligne]] - tbl_Ventes[[#This Row],[Coût matière ligne]]</f>
        <v>0</v>
      </c>
      <c r="K3225" s="7" t="str">
        <f>IFERROR(INDEX(tbl_ProduitsRef[Famille], MATCH(tbl_Ventes[[#This Row],[Cde_Prdt]], tbl_Produits[Cde_Prdt], 0)), "")</f>
        <v/>
      </c>
    </row>
    <row r="3226" spans="1:11" x14ac:dyDescent="0.25">
      <c r="A3226" s="5"/>
      <c r="B3226" s="63" t="str">
        <f>IFERROR(TEXT(tbl_Ventes[[#This Row],[Date]],"mm-aaaa"),"")</f>
        <v>01-1900</v>
      </c>
      <c r="D3226" s="10" t="str">
        <f>IFERROR(
   INDEX(tbl_ProduitsRef[Cde_Prdt],MATCH(tbl_Ventes[[#This Row],[Produit]],tbl_ProduitsRef[Produit],0)),
   ""
)</f>
        <v/>
      </c>
      <c r="E3226" s="7">
        <v>0</v>
      </c>
      <c r="F3226" s="7" t="str">
        <f>IFERROR(
   INDEX(tbl_ProduitsRef[Prix Menu],MATCH(tbl_Ventes[[#This Row],[Produit]],tbl_ProduitsRef[Produit],0)),
   ""
)</f>
        <v/>
      </c>
      <c r="G3226" s="7">
        <f>tbl_Ventes[[#This Row],[Qté Vendue]] * IFERROR(_xlfn.XLOOKUP(tbl_Ventes[[#This Row],[Cde_Prdt]], tbl_Produits[Cde_Prdt], tbl_Produits[Prix Menu]), 0)</f>
        <v>0</v>
      </c>
      <c r="H3226" s="7">
        <f>IFERROR(_xlfn.XLOOKUP(tbl_Ventes[[#This Row],[Cde_Prdt]], tbl_Produits[Cde_Prdt], tbl_Produits[Coût Moyen Portion]), 0)</f>
        <v>0</v>
      </c>
      <c r="I3226" s="7">
        <f>tbl_Ventes[[#This Row],[Qté Vendue]] * tbl_Ventes[[#This Row],[CMP_par_portion]]</f>
        <v>0</v>
      </c>
      <c r="J3226" s="7">
        <f>tbl_Ventes[[#This Row],[CA ligne]] - tbl_Ventes[[#This Row],[Coût matière ligne]]</f>
        <v>0</v>
      </c>
      <c r="K3226" s="7" t="str">
        <f>IFERROR(INDEX(tbl_ProduitsRef[Famille], MATCH(tbl_Ventes[[#This Row],[Cde_Prdt]], tbl_Produits[Cde_Prdt], 0)), "")</f>
        <v/>
      </c>
    </row>
    <row r="3227" spans="1:11" x14ac:dyDescent="0.25">
      <c r="A3227" s="5"/>
      <c r="B3227" s="63" t="str">
        <f>IFERROR(TEXT(tbl_Ventes[[#This Row],[Date]],"mm-aaaa"),"")</f>
        <v>01-1900</v>
      </c>
      <c r="D3227" s="10" t="str">
        <f>IFERROR(
   INDEX(tbl_ProduitsRef[Cde_Prdt],MATCH(tbl_Ventes[[#This Row],[Produit]],tbl_ProduitsRef[Produit],0)),
   ""
)</f>
        <v/>
      </c>
      <c r="E3227" s="7">
        <v>0</v>
      </c>
      <c r="F3227" s="7" t="str">
        <f>IFERROR(
   INDEX(tbl_ProduitsRef[Prix Menu],MATCH(tbl_Ventes[[#This Row],[Produit]],tbl_ProduitsRef[Produit],0)),
   ""
)</f>
        <v/>
      </c>
      <c r="G3227" s="7">
        <f>tbl_Ventes[[#This Row],[Qté Vendue]] * IFERROR(_xlfn.XLOOKUP(tbl_Ventes[[#This Row],[Cde_Prdt]], tbl_Produits[Cde_Prdt], tbl_Produits[Prix Menu]), 0)</f>
        <v>0</v>
      </c>
      <c r="H3227" s="7">
        <f>IFERROR(_xlfn.XLOOKUP(tbl_Ventes[[#This Row],[Cde_Prdt]], tbl_Produits[Cde_Prdt], tbl_Produits[Coût Moyen Portion]), 0)</f>
        <v>0</v>
      </c>
      <c r="I3227" s="7">
        <f>tbl_Ventes[[#This Row],[Qté Vendue]] * tbl_Ventes[[#This Row],[CMP_par_portion]]</f>
        <v>0</v>
      </c>
      <c r="J3227" s="7">
        <f>tbl_Ventes[[#This Row],[CA ligne]] - tbl_Ventes[[#This Row],[Coût matière ligne]]</f>
        <v>0</v>
      </c>
      <c r="K3227" s="7" t="str">
        <f>IFERROR(INDEX(tbl_ProduitsRef[Famille], MATCH(tbl_Ventes[[#This Row],[Cde_Prdt]], tbl_Produits[Cde_Prdt], 0)), "")</f>
        <v/>
      </c>
    </row>
    <row r="3228" spans="1:11" x14ac:dyDescent="0.25">
      <c r="A3228" s="5"/>
      <c r="B3228" s="63" t="str">
        <f>IFERROR(TEXT(tbl_Ventes[[#This Row],[Date]],"mm-aaaa"),"")</f>
        <v>01-1900</v>
      </c>
      <c r="D3228" s="10" t="str">
        <f>IFERROR(
   INDEX(tbl_ProduitsRef[Cde_Prdt],MATCH(tbl_Ventes[[#This Row],[Produit]],tbl_ProduitsRef[Produit],0)),
   ""
)</f>
        <v/>
      </c>
      <c r="E3228" s="7">
        <v>0</v>
      </c>
      <c r="F3228" s="7" t="str">
        <f>IFERROR(
   INDEX(tbl_ProduitsRef[Prix Menu],MATCH(tbl_Ventes[[#This Row],[Produit]],tbl_ProduitsRef[Produit],0)),
   ""
)</f>
        <v/>
      </c>
      <c r="G3228" s="7">
        <f>tbl_Ventes[[#This Row],[Qté Vendue]] * IFERROR(_xlfn.XLOOKUP(tbl_Ventes[[#This Row],[Cde_Prdt]], tbl_Produits[Cde_Prdt], tbl_Produits[Prix Menu]), 0)</f>
        <v>0</v>
      </c>
      <c r="H3228" s="7">
        <f>IFERROR(_xlfn.XLOOKUP(tbl_Ventes[[#This Row],[Cde_Prdt]], tbl_Produits[Cde_Prdt], tbl_Produits[Coût Moyen Portion]), 0)</f>
        <v>0</v>
      </c>
      <c r="I3228" s="7">
        <f>tbl_Ventes[[#This Row],[Qté Vendue]] * tbl_Ventes[[#This Row],[CMP_par_portion]]</f>
        <v>0</v>
      </c>
      <c r="J3228" s="7">
        <f>tbl_Ventes[[#This Row],[CA ligne]] - tbl_Ventes[[#This Row],[Coût matière ligne]]</f>
        <v>0</v>
      </c>
      <c r="K3228" s="7" t="str">
        <f>IFERROR(INDEX(tbl_ProduitsRef[Famille], MATCH(tbl_Ventes[[#This Row],[Cde_Prdt]], tbl_Produits[Cde_Prdt], 0)), "")</f>
        <v/>
      </c>
    </row>
    <row r="3229" spans="1:11" x14ac:dyDescent="0.25">
      <c r="A3229" s="5"/>
      <c r="B3229" s="63" t="str">
        <f>IFERROR(TEXT(tbl_Ventes[[#This Row],[Date]],"mm-aaaa"),"")</f>
        <v>01-1900</v>
      </c>
      <c r="D3229" s="10" t="str">
        <f>IFERROR(
   INDEX(tbl_ProduitsRef[Cde_Prdt],MATCH(tbl_Ventes[[#This Row],[Produit]],tbl_ProduitsRef[Produit],0)),
   ""
)</f>
        <v/>
      </c>
      <c r="E3229" s="7">
        <v>0</v>
      </c>
      <c r="F3229" s="7" t="str">
        <f>IFERROR(
   INDEX(tbl_ProduitsRef[Prix Menu],MATCH(tbl_Ventes[[#This Row],[Produit]],tbl_ProduitsRef[Produit],0)),
   ""
)</f>
        <v/>
      </c>
      <c r="G3229" s="7">
        <f>tbl_Ventes[[#This Row],[Qté Vendue]] * IFERROR(_xlfn.XLOOKUP(tbl_Ventes[[#This Row],[Cde_Prdt]], tbl_Produits[Cde_Prdt], tbl_Produits[Prix Menu]), 0)</f>
        <v>0</v>
      </c>
      <c r="H3229" s="7">
        <f>IFERROR(_xlfn.XLOOKUP(tbl_Ventes[[#This Row],[Cde_Prdt]], tbl_Produits[Cde_Prdt], tbl_Produits[Coût Moyen Portion]), 0)</f>
        <v>0</v>
      </c>
      <c r="I3229" s="7">
        <f>tbl_Ventes[[#This Row],[Qté Vendue]] * tbl_Ventes[[#This Row],[CMP_par_portion]]</f>
        <v>0</v>
      </c>
      <c r="J3229" s="7">
        <f>tbl_Ventes[[#This Row],[CA ligne]] - tbl_Ventes[[#This Row],[Coût matière ligne]]</f>
        <v>0</v>
      </c>
      <c r="K3229" s="7" t="str">
        <f>IFERROR(INDEX(tbl_ProduitsRef[Famille], MATCH(tbl_Ventes[[#This Row],[Cde_Prdt]], tbl_Produits[Cde_Prdt], 0)), "")</f>
        <v/>
      </c>
    </row>
    <row r="3230" spans="1:11" x14ac:dyDescent="0.25">
      <c r="A3230" s="5"/>
      <c r="B3230" s="63" t="str">
        <f>IFERROR(TEXT(tbl_Ventes[[#This Row],[Date]],"mm-aaaa"),"")</f>
        <v>01-1900</v>
      </c>
      <c r="D3230" s="10" t="str">
        <f>IFERROR(
   INDEX(tbl_ProduitsRef[Cde_Prdt],MATCH(tbl_Ventes[[#This Row],[Produit]],tbl_ProduitsRef[Produit],0)),
   ""
)</f>
        <v/>
      </c>
      <c r="E3230" s="7">
        <v>0</v>
      </c>
      <c r="F3230" s="7" t="str">
        <f>IFERROR(
   INDEX(tbl_ProduitsRef[Prix Menu],MATCH(tbl_Ventes[[#This Row],[Produit]],tbl_ProduitsRef[Produit],0)),
   ""
)</f>
        <v/>
      </c>
      <c r="G3230" s="7">
        <f>tbl_Ventes[[#This Row],[Qté Vendue]] * IFERROR(_xlfn.XLOOKUP(tbl_Ventes[[#This Row],[Cde_Prdt]], tbl_Produits[Cde_Prdt], tbl_Produits[Prix Menu]), 0)</f>
        <v>0</v>
      </c>
      <c r="H3230" s="7">
        <f>IFERROR(_xlfn.XLOOKUP(tbl_Ventes[[#This Row],[Cde_Prdt]], tbl_Produits[Cde_Prdt], tbl_Produits[Coût Moyen Portion]), 0)</f>
        <v>0</v>
      </c>
      <c r="I3230" s="7">
        <f>tbl_Ventes[[#This Row],[Qté Vendue]] * tbl_Ventes[[#This Row],[CMP_par_portion]]</f>
        <v>0</v>
      </c>
      <c r="J3230" s="7">
        <f>tbl_Ventes[[#This Row],[CA ligne]] - tbl_Ventes[[#This Row],[Coût matière ligne]]</f>
        <v>0</v>
      </c>
      <c r="K3230" s="7" t="str">
        <f>IFERROR(INDEX(tbl_ProduitsRef[Famille], MATCH(tbl_Ventes[[#This Row],[Cde_Prdt]], tbl_Produits[Cde_Prdt], 0)), "")</f>
        <v/>
      </c>
    </row>
    <row r="3231" spans="1:11" x14ac:dyDescent="0.25">
      <c r="A3231" s="5"/>
      <c r="B3231" s="63" t="str">
        <f>IFERROR(TEXT(tbl_Ventes[[#This Row],[Date]],"mm-aaaa"),"")</f>
        <v>01-1900</v>
      </c>
      <c r="D3231" s="10" t="str">
        <f>IFERROR(
   INDEX(tbl_ProduitsRef[Cde_Prdt],MATCH(tbl_Ventes[[#This Row],[Produit]],tbl_ProduitsRef[Produit],0)),
   ""
)</f>
        <v/>
      </c>
      <c r="E3231" s="7">
        <v>0</v>
      </c>
      <c r="F3231" s="7" t="str">
        <f>IFERROR(
   INDEX(tbl_ProduitsRef[Prix Menu],MATCH(tbl_Ventes[[#This Row],[Produit]],tbl_ProduitsRef[Produit],0)),
   ""
)</f>
        <v/>
      </c>
      <c r="G3231" s="7">
        <f>tbl_Ventes[[#This Row],[Qté Vendue]] * IFERROR(_xlfn.XLOOKUP(tbl_Ventes[[#This Row],[Cde_Prdt]], tbl_Produits[Cde_Prdt], tbl_Produits[Prix Menu]), 0)</f>
        <v>0</v>
      </c>
      <c r="H3231" s="7">
        <f>IFERROR(_xlfn.XLOOKUP(tbl_Ventes[[#This Row],[Cde_Prdt]], tbl_Produits[Cde_Prdt], tbl_Produits[Coût Moyen Portion]), 0)</f>
        <v>0</v>
      </c>
      <c r="I3231" s="7">
        <f>tbl_Ventes[[#This Row],[Qté Vendue]] * tbl_Ventes[[#This Row],[CMP_par_portion]]</f>
        <v>0</v>
      </c>
      <c r="J3231" s="7">
        <f>tbl_Ventes[[#This Row],[CA ligne]] - tbl_Ventes[[#This Row],[Coût matière ligne]]</f>
        <v>0</v>
      </c>
      <c r="K3231" s="7" t="str">
        <f>IFERROR(INDEX(tbl_ProduitsRef[Famille], MATCH(tbl_Ventes[[#This Row],[Cde_Prdt]], tbl_Produits[Cde_Prdt], 0)), "")</f>
        <v/>
      </c>
    </row>
    <row r="3232" spans="1:11" x14ac:dyDescent="0.25">
      <c r="A3232" s="5"/>
      <c r="B3232" s="63" t="str">
        <f>IFERROR(TEXT(tbl_Ventes[[#This Row],[Date]],"mm-aaaa"),"")</f>
        <v>01-1900</v>
      </c>
      <c r="D3232" s="10" t="str">
        <f>IFERROR(
   INDEX(tbl_ProduitsRef[Cde_Prdt],MATCH(tbl_Ventes[[#This Row],[Produit]],tbl_ProduitsRef[Produit],0)),
   ""
)</f>
        <v/>
      </c>
      <c r="E3232" s="7">
        <v>0</v>
      </c>
      <c r="F3232" s="7" t="str">
        <f>IFERROR(
   INDEX(tbl_ProduitsRef[Prix Menu],MATCH(tbl_Ventes[[#This Row],[Produit]],tbl_ProduitsRef[Produit],0)),
   ""
)</f>
        <v/>
      </c>
      <c r="G3232" s="7">
        <f>tbl_Ventes[[#This Row],[Qté Vendue]] * IFERROR(_xlfn.XLOOKUP(tbl_Ventes[[#This Row],[Cde_Prdt]], tbl_Produits[Cde_Prdt], tbl_Produits[Prix Menu]), 0)</f>
        <v>0</v>
      </c>
      <c r="H3232" s="7">
        <f>IFERROR(_xlfn.XLOOKUP(tbl_Ventes[[#This Row],[Cde_Prdt]], tbl_Produits[Cde_Prdt], tbl_Produits[Coût Moyen Portion]), 0)</f>
        <v>0</v>
      </c>
      <c r="I3232" s="7">
        <f>tbl_Ventes[[#This Row],[Qté Vendue]] * tbl_Ventes[[#This Row],[CMP_par_portion]]</f>
        <v>0</v>
      </c>
      <c r="J3232" s="7">
        <f>tbl_Ventes[[#This Row],[CA ligne]] - tbl_Ventes[[#This Row],[Coût matière ligne]]</f>
        <v>0</v>
      </c>
      <c r="K3232" s="7" t="str">
        <f>IFERROR(INDEX(tbl_ProduitsRef[Famille], MATCH(tbl_Ventes[[#This Row],[Cde_Prdt]], tbl_Produits[Cde_Prdt], 0)), "")</f>
        <v/>
      </c>
    </row>
    <row r="3233" spans="1:11" x14ac:dyDescent="0.25">
      <c r="A3233" s="5"/>
      <c r="B3233" s="63" t="str">
        <f>IFERROR(TEXT(tbl_Ventes[[#This Row],[Date]],"mm-aaaa"),"")</f>
        <v>01-1900</v>
      </c>
      <c r="D3233" s="10" t="str">
        <f>IFERROR(
   INDEX(tbl_ProduitsRef[Cde_Prdt],MATCH(tbl_Ventes[[#This Row],[Produit]],tbl_ProduitsRef[Produit],0)),
   ""
)</f>
        <v/>
      </c>
      <c r="E3233" s="7">
        <v>0</v>
      </c>
      <c r="F3233" s="7" t="str">
        <f>IFERROR(
   INDEX(tbl_ProduitsRef[Prix Menu],MATCH(tbl_Ventes[[#This Row],[Produit]],tbl_ProduitsRef[Produit],0)),
   ""
)</f>
        <v/>
      </c>
      <c r="G3233" s="7">
        <f>tbl_Ventes[[#This Row],[Qté Vendue]] * IFERROR(_xlfn.XLOOKUP(tbl_Ventes[[#This Row],[Cde_Prdt]], tbl_Produits[Cde_Prdt], tbl_Produits[Prix Menu]), 0)</f>
        <v>0</v>
      </c>
      <c r="H3233" s="7">
        <f>IFERROR(_xlfn.XLOOKUP(tbl_Ventes[[#This Row],[Cde_Prdt]], tbl_Produits[Cde_Prdt], tbl_Produits[Coût Moyen Portion]), 0)</f>
        <v>0</v>
      </c>
      <c r="I3233" s="7">
        <f>tbl_Ventes[[#This Row],[Qté Vendue]] * tbl_Ventes[[#This Row],[CMP_par_portion]]</f>
        <v>0</v>
      </c>
      <c r="J3233" s="7">
        <f>tbl_Ventes[[#This Row],[CA ligne]] - tbl_Ventes[[#This Row],[Coût matière ligne]]</f>
        <v>0</v>
      </c>
      <c r="K3233" s="7" t="str">
        <f>IFERROR(INDEX(tbl_ProduitsRef[Famille], MATCH(tbl_Ventes[[#This Row],[Cde_Prdt]], tbl_Produits[Cde_Prdt], 0)), "")</f>
        <v/>
      </c>
    </row>
    <row r="3234" spans="1:11" x14ac:dyDescent="0.25">
      <c r="A3234" s="5"/>
      <c r="B3234" s="63" t="str">
        <f>IFERROR(TEXT(tbl_Ventes[[#This Row],[Date]],"mm-aaaa"),"")</f>
        <v>01-1900</v>
      </c>
      <c r="D3234" s="10" t="str">
        <f>IFERROR(
   INDEX(tbl_ProduitsRef[Cde_Prdt],MATCH(tbl_Ventes[[#This Row],[Produit]],tbl_ProduitsRef[Produit],0)),
   ""
)</f>
        <v/>
      </c>
      <c r="E3234" s="7">
        <v>0</v>
      </c>
      <c r="F3234" s="7" t="str">
        <f>IFERROR(
   INDEX(tbl_ProduitsRef[Prix Menu],MATCH(tbl_Ventes[[#This Row],[Produit]],tbl_ProduitsRef[Produit],0)),
   ""
)</f>
        <v/>
      </c>
      <c r="G3234" s="7">
        <f>tbl_Ventes[[#This Row],[Qté Vendue]] * IFERROR(_xlfn.XLOOKUP(tbl_Ventes[[#This Row],[Cde_Prdt]], tbl_Produits[Cde_Prdt], tbl_Produits[Prix Menu]), 0)</f>
        <v>0</v>
      </c>
      <c r="H3234" s="7">
        <f>IFERROR(_xlfn.XLOOKUP(tbl_Ventes[[#This Row],[Cde_Prdt]], tbl_Produits[Cde_Prdt], tbl_Produits[Coût Moyen Portion]), 0)</f>
        <v>0</v>
      </c>
      <c r="I3234" s="7">
        <f>tbl_Ventes[[#This Row],[Qté Vendue]] * tbl_Ventes[[#This Row],[CMP_par_portion]]</f>
        <v>0</v>
      </c>
      <c r="J3234" s="7">
        <f>tbl_Ventes[[#This Row],[CA ligne]] - tbl_Ventes[[#This Row],[Coût matière ligne]]</f>
        <v>0</v>
      </c>
      <c r="K3234" s="7" t="str">
        <f>IFERROR(INDEX(tbl_ProduitsRef[Famille], MATCH(tbl_Ventes[[#This Row],[Cde_Prdt]], tbl_Produits[Cde_Prdt], 0)), "")</f>
        <v/>
      </c>
    </row>
    <row r="3235" spans="1:11" x14ac:dyDescent="0.25">
      <c r="A3235" s="5"/>
      <c r="B3235" s="63" t="str">
        <f>IFERROR(TEXT(tbl_Ventes[[#This Row],[Date]],"mm-aaaa"),"")</f>
        <v>01-1900</v>
      </c>
      <c r="D3235" s="10" t="str">
        <f>IFERROR(
   INDEX(tbl_ProduitsRef[Cde_Prdt],MATCH(tbl_Ventes[[#This Row],[Produit]],tbl_ProduitsRef[Produit],0)),
   ""
)</f>
        <v/>
      </c>
      <c r="E3235" s="7">
        <v>0</v>
      </c>
      <c r="F3235" s="7" t="str">
        <f>IFERROR(
   INDEX(tbl_ProduitsRef[Prix Menu],MATCH(tbl_Ventes[[#This Row],[Produit]],tbl_ProduitsRef[Produit],0)),
   ""
)</f>
        <v/>
      </c>
      <c r="G3235" s="7">
        <f>tbl_Ventes[[#This Row],[Qté Vendue]] * IFERROR(_xlfn.XLOOKUP(tbl_Ventes[[#This Row],[Cde_Prdt]], tbl_Produits[Cde_Prdt], tbl_Produits[Prix Menu]), 0)</f>
        <v>0</v>
      </c>
      <c r="H3235" s="7">
        <f>IFERROR(_xlfn.XLOOKUP(tbl_Ventes[[#This Row],[Cde_Prdt]], tbl_Produits[Cde_Prdt], tbl_Produits[Coût Moyen Portion]), 0)</f>
        <v>0</v>
      </c>
      <c r="I3235" s="7">
        <f>tbl_Ventes[[#This Row],[Qté Vendue]] * tbl_Ventes[[#This Row],[CMP_par_portion]]</f>
        <v>0</v>
      </c>
      <c r="J3235" s="7">
        <f>tbl_Ventes[[#This Row],[CA ligne]] - tbl_Ventes[[#This Row],[Coût matière ligne]]</f>
        <v>0</v>
      </c>
      <c r="K3235" s="7" t="str">
        <f>IFERROR(INDEX(tbl_ProduitsRef[Famille], MATCH(tbl_Ventes[[#This Row],[Cde_Prdt]], tbl_Produits[Cde_Prdt], 0)), "")</f>
        <v/>
      </c>
    </row>
    <row r="3236" spans="1:11" x14ac:dyDescent="0.25">
      <c r="A3236" s="5"/>
      <c r="B3236" s="63" t="str">
        <f>IFERROR(TEXT(tbl_Ventes[[#This Row],[Date]],"mm-aaaa"),"")</f>
        <v>01-1900</v>
      </c>
      <c r="D3236" s="10" t="str">
        <f>IFERROR(
   INDEX(tbl_ProduitsRef[Cde_Prdt],MATCH(tbl_Ventes[[#This Row],[Produit]],tbl_ProduitsRef[Produit],0)),
   ""
)</f>
        <v/>
      </c>
      <c r="E3236" s="7">
        <v>0</v>
      </c>
      <c r="F3236" s="7" t="str">
        <f>IFERROR(
   INDEX(tbl_ProduitsRef[Prix Menu],MATCH(tbl_Ventes[[#This Row],[Produit]],tbl_ProduitsRef[Produit],0)),
   ""
)</f>
        <v/>
      </c>
      <c r="G3236" s="7">
        <f>tbl_Ventes[[#This Row],[Qté Vendue]] * IFERROR(_xlfn.XLOOKUP(tbl_Ventes[[#This Row],[Cde_Prdt]], tbl_Produits[Cde_Prdt], tbl_Produits[Prix Menu]), 0)</f>
        <v>0</v>
      </c>
      <c r="H3236" s="7">
        <f>IFERROR(_xlfn.XLOOKUP(tbl_Ventes[[#This Row],[Cde_Prdt]], tbl_Produits[Cde_Prdt], tbl_Produits[Coût Moyen Portion]), 0)</f>
        <v>0</v>
      </c>
      <c r="I3236" s="7">
        <f>tbl_Ventes[[#This Row],[Qté Vendue]] * tbl_Ventes[[#This Row],[CMP_par_portion]]</f>
        <v>0</v>
      </c>
      <c r="J3236" s="7">
        <f>tbl_Ventes[[#This Row],[CA ligne]] - tbl_Ventes[[#This Row],[Coût matière ligne]]</f>
        <v>0</v>
      </c>
      <c r="K3236" s="7" t="str">
        <f>IFERROR(INDEX(tbl_ProduitsRef[Famille], MATCH(tbl_Ventes[[#This Row],[Cde_Prdt]], tbl_Produits[Cde_Prdt], 0)), "")</f>
        <v/>
      </c>
    </row>
    <row r="3237" spans="1:11" x14ac:dyDescent="0.25">
      <c r="A3237" s="5"/>
      <c r="B3237" s="63" t="str">
        <f>IFERROR(TEXT(tbl_Ventes[[#This Row],[Date]],"mm-aaaa"),"")</f>
        <v>01-1900</v>
      </c>
      <c r="D3237" s="10" t="str">
        <f>IFERROR(
   INDEX(tbl_ProduitsRef[Cde_Prdt],MATCH(tbl_Ventes[[#This Row],[Produit]],tbl_ProduitsRef[Produit],0)),
   ""
)</f>
        <v/>
      </c>
      <c r="E3237" s="7">
        <v>0</v>
      </c>
      <c r="F3237" s="7" t="str">
        <f>IFERROR(
   INDEX(tbl_ProduitsRef[Prix Menu],MATCH(tbl_Ventes[[#This Row],[Produit]],tbl_ProduitsRef[Produit],0)),
   ""
)</f>
        <v/>
      </c>
      <c r="G3237" s="7">
        <f>tbl_Ventes[[#This Row],[Qté Vendue]] * IFERROR(_xlfn.XLOOKUP(tbl_Ventes[[#This Row],[Cde_Prdt]], tbl_Produits[Cde_Prdt], tbl_Produits[Prix Menu]), 0)</f>
        <v>0</v>
      </c>
      <c r="H3237" s="7">
        <f>IFERROR(_xlfn.XLOOKUP(tbl_Ventes[[#This Row],[Cde_Prdt]], tbl_Produits[Cde_Prdt], tbl_Produits[Coût Moyen Portion]), 0)</f>
        <v>0</v>
      </c>
      <c r="I3237" s="7">
        <f>tbl_Ventes[[#This Row],[Qté Vendue]] * tbl_Ventes[[#This Row],[CMP_par_portion]]</f>
        <v>0</v>
      </c>
      <c r="J3237" s="7">
        <f>tbl_Ventes[[#This Row],[CA ligne]] - tbl_Ventes[[#This Row],[Coût matière ligne]]</f>
        <v>0</v>
      </c>
      <c r="K3237" s="7" t="str">
        <f>IFERROR(INDEX(tbl_ProduitsRef[Famille], MATCH(tbl_Ventes[[#This Row],[Cde_Prdt]], tbl_Produits[Cde_Prdt], 0)), "")</f>
        <v/>
      </c>
    </row>
    <row r="3238" spans="1:11" x14ac:dyDescent="0.25">
      <c r="A3238" s="5"/>
      <c r="B3238" s="63" t="str">
        <f>IFERROR(TEXT(tbl_Ventes[[#This Row],[Date]],"mm-aaaa"),"")</f>
        <v>01-1900</v>
      </c>
      <c r="D3238" s="10" t="str">
        <f>IFERROR(
   INDEX(tbl_ProduitsRef[Cde_Prdt],MATCH(tbl_Ventes[[#This Row],[Produit]],tbl_ProduitsRef[Produit],0)),
   ""
)</f>
        <v/>
      </c>
      <c r="E3238" s="7">
        <v>0</v>
      </c>
      <c r="F3238" s="7" t="str">
        <f>IFERROR(
   INDEX(tbl_ProduitsRef[Prix Menu],MATCH(tbl_Ventes[[#This Row],[Produit]],tbl_ProduitsRef[Produit],0)),
   ""
)</f>
        <v/>
      </c>
      <c r="G3238" s="7">
        <f>tbl_Ventes[[#This Row],[Qté Vendue]] * IFERROR(_xlfn.XLOOKUP(tbl_Ventes[[#This Row],[Cde_Prdt]], tbl_Produits[Cde_Prdt], tbl_Produits[Prix Menu]), 0)</f>
        <v>0</v>
      </c>
      <c r="H3238" s="7">
        <f>IFERROR(_xlfn.XLOOKUP(tbl_Ventes[[#This Row],[Cde_Prdt]], tbl_Produits[Cde_Prdt], tbl_Produits[Coût Moyen Portion]), 0)</f>
        <v>0</v>
      </c>
      <c r="I3238" s="7">
        <f>tbl_Ventes[[#This Row],[Qté Vendue]] * tbl_Ventes[[#This Row],[CMP_par_portion]]</f>
        <v>0</v>
      </c>
      <c r="J3238" s="7">
        <f>tbl_Ventes[[#This Row],[CA ligne]] - tbl_Ventes[[#This Row],[Coût matière ligne]]</f>
        <v>0</v>
      </c>
      <c r="K3238" s="7" t="str">
        <f>IFERROR(INDEX(tbl_ProduitsRef[Famille], MATCH(tbl_Ventes[[#This Row],[Cde_Prdt]], tbl_Produits[Cde_Prdt], 0)), "")</f>
        <v/>
      </c>
    </row>
    <row r="3239" spans="1:11" x14ac:dyDescent="0.25">
      <c r="A3239" s="5"/>
      <c r="B3239" s="63" t="str">
        <f>IFERROR(TEXT(tbl_Ventes[[#This Row],[Date]],"mm-aaaa"),"")</f>
        <v>01-1900</v>
      </c>
      <c r="D3239" s="10" t="str">
        <f>IFERROR(
   INDEX(tbl_ProduitsRef[Cde_Prdt],MATCH(tbl_Ventes[[#This Row],[Produit]],tbl_ProduitsRef[Produit],0)),
   ""
)</f>
        <v/>
      </c>
      <c r="E3239" s="7">
        <v>0</v>
      </c>
      <c r="F3239" s="7" t="str">
        <f>IFERROR(
   INDEX(tbl_ProduitsRef[Prix Menu],MATCH(tbl_Ventes[[#This Row],[Produit]],tbl_ProduitsRef[Produit],0)),
   ""
)</f>
        <v/>
      </c>
      <c r="G3239" s="7">
        <f>tbl_Ventes[[#This Row],[Qté Vendue]] * IFERROR(_xlfn.XLOOKUP(tbl_Ventes[[#This Row],[Cde_Prdt]], tbl_Produits[Cde_Prdt], tbl_Produits[Prix Menu]), 0)</f>
        <v>0</v>
      </c>
      <c r="H3239" s="7">
        <f>IFERROR(_xlfn.XLOOKUP(tbl_Ventes[[#This Row],[Cde_Prdt]], tbl_Produits[Cde_Prdt], tbl_Produits[Coût Moyen Portion]), 0)</f>
        <v>0</v>
      </c>
      <c r="I3239" s="7">
        <f>tbl_Ventes[[#This Row],[Qté Vendue]] * tbl_Ventes[[#This Row],[CMP_par_portion]]</f>
        <v>0</v>
      </c>
      <c r="J3239" s="7">
        <f>tbl_Ventes[[#This Row],[CA ligne]] - tbl_Ventes[[#This Row],[Coût matière ligne]]</f>
        <v>0</v>
      </c>
      <c r="K3239" s="7" t="str">
        <f>IFERROR(INDEX(tbl_ProduitsRef[Famille], MATCH(tbl_Ventes[[#This Row],[Cde_Prdt]], tbl_Produits[Cde_Prdt], 0)), "")</f>
        <v/>
      </c>
    </row>
    <row r="3240" spans="1:11" x14ac:dyDescent="0.25">
      <c r="A3240" s="5"/>
      <c r="B3240" s="63" t="str">
        <f>IFERROR(TEXT(tbl_Ventes[[#This Row],[Date]],"mm-aaaa"),"")</f>
        <v>01-1900</v>
      </c>
      <c r="D3240" s="10" t="str">
        <f>IFERROR(
   INDEX(tbl_ProduitsRef[Cde_Prdt],MATCH(tbl_Ventes[[#This Row],[Produit]],tbl_ProduitsRef[Produit],0)),
   ""
)</f>
        <v/>
      </c>
      <c r="E3240" s="7">
        <v>0</v>
      </c>
      <c r="F3240" s="7" t="str">
        <f>IFERROR(
   INDEX(tbl_ProduitsRef[Prix Menu],MATCH(tbl_Ventes[[#This Row],[Produit]],tbl_ProduitsRef[Produit],0)),
   ""
)</f>
        <v/>
      </c>
      <c r="G3240" s="7">
        <f>tbl_Ventes[[#This Row],[Qté Vendue]] * IFERROR(_xlfn.XLOOKUP(tbl_Ventes[[#This Row],[Cde_Prdt]], tbl_Produits[Cde_Prdt], tbl_Produits[Prix Menu]), 0)</f>
        <v>0</v>
      </c>
      <c r="H3240" s="7">
        <f>IFERROR(_xlfn.XLOOKUP(tbl_Ventes[[#This Row],[Cde_Prdt]], tbl_Produits[Cde_Prdt], tbl_Produits[Coût Moyen Portion]), 0)</f>
        <v>0</v>
      </c>
      <c r="I3240" s="7">
        <f>tbl_Ventes[[#This Row],[Qté Vendue]] * tbl_Ventes[[#This Row],[CMP_par_portion]]</f>
        <v>0</v>
      </c>
      <c r="J3240" s="7">
        <f>tbl_Ventes[[#This Row],[CA ligne]] - tbl_Ventes[[#This Row],[Coût matière ligne]]</f>
        <v>0</v>
      </c>
      <c r="K3240" s="7" t="str">
        <f>IFERROR(INDEX(tbl_ProduitsRef[Famille], MATCH(tbl_Ventes[[#This Row],[Cde_Prdt]], tbl_Produits[Cde_Prdt], 0)), "")</f>
        <v/>
      </c>
    </row>
    <row r="3241" spans="1:11" x14ac:dyDescent="0.25">
      <c r="A3241" s="5"/>
      <c r="B3241" s="63" t="str">
        <f>IFERROR(TEXT(tbl_Ventes[[#This Row],[Date]],"mm-aaaa"),"")</f>
        <v>01-1900</v>
      </c>
      <c r="D3241" s="10" t="str">
        <f>IFERROR(
   INDEX(tbl_ProduitsRef[Cde_Prdt],MATCH(tbl_Ventes[[#This Row],[Produit]],tbl_ProduitsRef[Produit],0)),
   ""
)</f>
        <v/>
      </c>
      <c r="E3241" s="7">
        <v>0</v>
      </c>
      <c r="F3241" s="7" t="str">
        <f>IFERROR(
   INDEX(tbl_ProduitsRef[Prix Menu],MATCH(tbl_Ventes[[#This Row],[Produit]],tbl_ProduitsRef[Produit],0)),
   ""
)</f>
        <v/>
      </c>
      <c r="G3241" s="7">
        <f>tbl_Ventes[[#This Row],[Qté Vendue]] * IFERROR(_xlfn.XLOOKUP(tbl_Ventes[[#This Row],[Cde_Prdt]], tbl_Produits[Cde_Prdt], tbl_Produits[Prix Menu]), 0)</f>
        <v>0</v>
      </c>
      <c r="H3241" s="7">
        <f>IFERROR(_xlfn.XLOOKUP(tbl_Ventes[[#This Row],[Cde_Prdt]], tbl_Produits[Cde_Prdt], tbl_Produits[Coût Moyen Portion]), 0)</f>
        <v>0</v>
      </c>
      <c r="I3241" s="7">
        <f>tbl_Ventes[[#This Row],[Qté Vendue]] * tbl_Ventes[[#This Row],[CMP_par_portion]]</f>
        <v>0</v>
      </c>
      <c r="J3241" s="7">
        <f>tbl_Ventes[[#This Row],[CA ligne]] - tbl_Ventes[[#This Row],[Coût matière ligne]]</f>
        <v>0</v>
      </c>
      <c r="K3241" s="7" t="str">
        <f>IFERROR(INDEX(tbl_ProduitsRef[Famille], MATCH(tbl_Ventes[[#This Row],[Cde_Prdt]], tbl_Produits[Cde_Prdt], 0)), "")</f>
        <v/>
      </c>
    </row>
    <row r="3242" spans="1:11" x14ac:dyDescent="0.25">
      <c r="A3242" s="5"/>
      <c r="B3242" s="63" t="str">
        <f>IFERROR(TEXT(tbl_Ventes[[#This Row],[Date]],"mm-aaaa"),"")</f>
        <v>01-1900</v>
      </c>
      <c r="D3242" s="10" t="str">
        <f>IFERROR(
   INDEX(tbl_ProduitsRef[Cde_Prdt],MATCH(tbl_Ventes[[#This Row],[Produit]],tbl_ProduitsRef[Produit],0)),
   ""
)</f>
        <v/>
      </c>
      <c r="E3242" s="7">
        <v>0</v>
      </c>
      <c r="F3242" s="7" t="str">
        <f>IFERROR(
   INDEX(tbl_ProduitsRef[Prix Menu],MATCH(tbl_Ventes[[#This Row],[Produit]],tbl_ProduitsRef[Produit],0)),
   ""
)</f>
        <v/>
      </c>
      <c r="G3242" s="7">
        <f>tbl_Ventes[[#This Row],[Qté Vendue]] * IFERROR(_xlfn.XLOOKUP(tbl_Ventes[[#This Row],[Cde_Prdt]], tbl_Produits[Cde_Prdt], tbl_Produits[Prix Menu]), 0)</f>
        <v>0</v>
      </c>
      <c r="H3242" s="7">
        <f>IFERROR(_xlfn.XLOOKUP(tbl_Ventes[[#This Row],[Cde_Prdt]], tbl_Produits[Cde_Prdt], tbl_Produits[Coût Moyen Portion]), 0)</f>
        <v>0</v>
      </c>
      <c r="I3242" s="7">
        <f>tbl_Ventes[[#This Row],[Qté Vendue]] * tbl_Ventes[[#This Row],[CMP_par_portion]]</f>
        <v>0</v>
      </c>
      <c r="J3242" s="7">
        <f>tbl_Ventes[[#This Row],[CA ligne]] - tbl_Ventes[[#This Row],[Coût matière ligne]]</f>
        <v>0</v>
      </c>
      <c r="K3242" s="7" t="str">
        <f>IFERROR(INDEX(tbl_ProduitsRef[Famille], MATCH(tbl_Ventes[[#This Row],[Cde_Prdt]], tbl_Produits[Cde_Prdt], 0)), "")</f>
        <v/>
      </c>
    </row>
    <row r="3243" spans="1:11" x14ac:dyDescent="0.25">
      <c r="A3243" s="5"/>
      <c r="B3243" s="63" t="str">
        <f>IFERROR(TEXT(tbl_Ventes[[#This Row],[Date]],"mm-aaaa"),"")</f>
        <v>01-1900</v>
      </c>
      <c r="D3243" s="10" t="str">
        <f>IFERROR(
   INDEX(tbl_ProduitsRef[Cde_Prdt],MATCH(tbl_Ventes[[#This Row],[Produit]],tbl_ProduitsRef[Produit],0)),
   ""
)</f>
        <v/>
      </c>
      <c r="E3243" s="7">
        <v>0</v>
      </c>
      <c r="F3243" s="7" t="str">
        <f>IFERROR(
   INDEX(tbl_ProduitsRef[Prix Menu],MATCH(tbl_Ventes[[#This Row],[Produit]],tbl_ProduitsRef[Produit],0)),
   ""
)</f>
        <v/>
      </c>
      <c r="G3243" s="7">
        <f>tbl_Ventes[[#This Row],[Qté Vendue]] * IFERROR(_xlfn.XLOOKUP(tbl_Ventes[[#This Row],[Cde_Prdt]], tbl_Produits[Cde_Prdt], tbl_Produits[Prix Menu]), 0)</f>
        <v>0</v>
      </c>
      <c r="H3243" s="7">
        <f>IFERROR(_xlfn.XLOOKUP(tbl_Ventes[[#This Row],[Cde_Prdt]], tbl_Produits[Cde_Prdt], tbl_Produits[Coût Moyen Portion]), 0)</f>
        <v>0</v>
      </c>
      <c r="I3243" s="7">
        <f>tbl_Ventes[[#This Row],[Qté Vendue]] * tbl_Ventes[[#This Row],[CMP_par_portion]]</f>
        <v>0</v>
      </c>
      <c r="J3243" s="7">
        <f>tbl_Ventes[[#This Row],[CA ligne]] - tbl_Ventes[[#This Row],[Coût matière ligne]]</f>
        <v>0</v>
      </c>
      <c r="K3243" s="7" t="str">
        <f>IFERROR(INDEX(tbl_ProduitsRef[Famille], MATCH(tbl_Ventes[[#This Row],[Cde_Prdt]], tbl_Produits[Cde_Prdt], 0)), "")</f>
        <v/>
      </c>
    </row>
    <row r="3244" spans="1:11" x14ac:dyDescent="0.25">
      <c r="A3244" s="5"/>
      <c r="B3244" s="63" t="str">
        <f>IFERROR(TEXT(tbl_Ventes[[#This Row],[Date]],"mm-aaaa"),"")</f>
        <v>01-1900</v>
      </c>
      <c r="D3244" s="10" t="str">
        <f>IFERROR(
   INDEX(tbl_ProduitsRef[Cde_Prdt],MATCH(tbl_Ventes[[#This Row],[Produit]],tbl_ProduitsRef[Produit],0)),
   ""
)</f>
        <v/>
      </c>
      <c r="E3244" s="7">
        <v>0</v>
      </c>
      <c r="F3244" s="7" t="str">
        <f>IFERROR(
   INDEX(tbl_ProduitsRef[Prix Menu],MATCH(tbl_Ventes[[#This Row],[Produit]],tbl_ProduitsRef[Produit],0)),
   ""
)</f>
        <v/>
      </c>
      <c r="G3244" s="7">
        <f>tbl_Ventes[[#This Row],[Qté Vendue]] * IFERROR(_xlfn.XLOOKUP(tbl_Ventes[[#This Row],[Cde_Prdt]], tbl_Produits[Cde_Prdt], tbl_Produits[Prix Menu]), 0)</f>
        <v>0</v>
      </c>
      <c r="H3244" s="7">
        <f>IFERROR(_xlfn.XLOOKUP(tbl_Ventes[[#This Row],[Cde_Prdt]], tbl_Produits[Cde_Prdt], tbl_Produits[Coût Moyen Portion]), 0)</f>
        <v>0</v>
      </c>
      <c r="I3244" s="7">
        <f>tbl_Ventes[[#This Row],[Qté Vendue]] * tbl_Ventes[[#This Row],[CMP_par_portion]]</f>
        <v>0</v>
      </c>
      <c r="J3244" s="7">
        <f>tbl_Ventes[[#This Row],[CA ligne]] - tbl_Ventes[[#This Row],[Coût matière ligne]]</f>
        <v>0</v>
      </c>
      <c r="K3244" s="7" t="str">
        <f>IFERROR(INDEX(tbl_ProduitsRef[Famille], MATCH(tbl_Ventes[[#This Row],[Cde_Prdt]], tbl_Produits[Cde_Prdt], 0)), "")</f>
        <v/>
      </c>
    </row>
    <row r="3245" spans="1:11" x14ac:dyDescent="0.25">
      <c r="A3245" s="5"/>
      <c r="B3245" s="63" t="str">
        <f>IFERROR(TEXT(tbl_Ventes[[#This Row],[Date]],"mm-aaaa"),"")</f>
        <v>01-1900</v>
      </c>
      <c r="D3245" s="10" t="str">
        <f>IFERROR(
   INDEX(tbl_ProduitsRef[Cde_Prdt],MATCH(tbl_Ventes[[#This Row],[Produit]],tbl_ProduitsRef[Produit],0)),
   ""
)</f>
        <v/>
      </c>
      <c r="E3245" s="7">
        <v>0</v>
      </c>
      <c r="F3245" s="7" t="str">
        <f>IFERROR(
   INDEX(tbl_ProduitsRef[Prix Menu],MATCH(tbl_Ventes[[#This Row],[Produit]],tbl_ProduitsRef[Produit],0)),
   ""
)</f>
        <v/>
      </c>
      <c r="G3245" s="7">
        <f>tbl_Ventes[[#This Row],[Qté Vendue]] * IFERROR(_xlfn.XLOOKUP(tbl_Ventes[[#This Row],[Cde_Prdt]], tbl_Produits[Cde_Prdt], tbl_Produits[Prix Menu]), 0)</f>
        <v>0</v>
      </c>
      <c r="H3245" s="7">
        <f>IFERROR(_xlfn.XLOOKUP(tbl_Ventes[[#This Row],[Cde_Prdt]], tbl_Produits[Cde_Prdt], tbl_Produits[Coût Moyen Portion]), 0)</f>
        <v>0</v>
      </c>
      <c r="I3245" s="7">
        <f>tbl_Ventes[[#This Row],[Qté Vendue]] * tbl_Ventes[[#This Row],[CMP_par_portion]]</f>
        <v>0</v>
      </c>
      <c r="J3245" s="7">
        <f>tbl_Ventes[[#This Row],[CA ligne]] - tbl_Ventes[[#This Row],[Coût matière ligne]]</f>
        <v>0</v>
      </c>
      <c r="K3245" s="7" t="str">
        <f>IFERROR(INDEX(tbl_ProduitsRef[Famille], MATCH(tbl_Ventes[[#This Row],[Cde_Prdt]], tbl_Produits[Cde_Prdt], 0)), "")</f>
        <v/>
      </c>
    </row>
    <row r="3246" spans="1:11" x14ac:dyDescent="0.25">
      <c r="A3246" s="5"/>
      <c r="B3246" s="63" t="str">
        <f>IFERROR(TEXT(tbl_Ventes[[#This Row],[Date]],"mm-aaaa"),"")</f>
        <v>01-1900</v>
      </c>
      <c r="D3246" s="10" t="str">
        <f>IFERROR(
   INDEX(tbl_ProduitsRef[Cde_Prdt],MATCH(tbl_Ventes[[#This Row],[Produit]],tbl_ProduitsRef[Produit],0)),
   ""
)</f>
        <v/>
      </c>
      <c r="E3246" s="7">
        <v>0</v>
      </c>
      <c r="F3246" s="7" t="str">
        <f>IFERROR(
   INDEX(tbl_ProduitsRef[Prix Menu],MATCH(tbl_Ventes[[#This Row],[Produit]],tbl_ProduitsRef[Produit],0)),
   ""
)</f>
        <v/>
      </c>
      <c r="G3246" s="7">
        <f>tbl_Ventes[[#This Row],[Qté Vendue]] * IFERROR(_xlfn.XLOOKUP(tbl_Ventes[[#This Row],[Cde_Prdt]], tbl_Produits[Cde_Prdt], tbl_Produits[Prix Menu]), 0)</f>
        <v>0</v>
      </c>
      <c r="H3246" s="7">
        <f>IFERROR(_xlfn.XLOOKUP(tbl_Ventes[[#This Row],[Cde_Prdt]], tbl_Produits[Cde_Prdt], tbl_Produits[Coût Moyen Portion]), 0)</f>
        <v>0</v>
      </c>
      <c r="I3246" s="7">
        <f>tbl_Ventes[[#This Row],[Qté Vendue]] * tbl_Ventes[[#This Row],[CMP_par_portion]]</f>
        <v>0</v>
      </c>
      <c r="J3246" s="7">
        <f>tbl_Ventes[[#This Row],[CA ligne]] - tbl_Ventes[[#This Row],[Coût matière ligne]]</f>
        <v>0</v>
      </c>
      <c r="K3246" s="7" t="str">
        <f>IFERROR(INDEX(tbl_ProduitsRef[Famille], MATCH(tbl_Ventes[[#This Row],[Cde_Prdt]], tbl_Produits[Cde_Prdt], 0)), "")</f>
        <v/>
      </c>
    </row>
    <row r="3247" spans="1:11" x14ac:dyDescent="0.25">
      <c r="A3247" s="5"/>
      <c r="B3247" s="63" t="str">
        <f>IFERROR(TEXT(tbl_Ventes[[#This Row],[Date]],"mm-aaaa"),"")</f>
        <v>01-1900</v>
      </c>
      <c r="D3247" s="10" t="str">
        <f>IFERROR(
   INDEX(tbl_ProduitsRef[Cde_Prdt],MATCH(tbl_Ventes[[#This Row],[Produit]],tbl_ProduitsRef[Produit],0)),
   ""
)</f>
        <v/>
      </c>
      <c r="E3247" s="7">
        <v>0</v>
      </c>
      <c r="F3247" s="7" t="str">
        <f>IFERROR(
   INDEX(tbl_ProduitsRef[Prix Menu],MATCH(tbl_Ventes[[#This Row],[Produit]],tbl_ProduitsRef[Produit],0)),
   ""
)</f>
        <v/>
      </c>
      <c r="G3247" s="7">
        <f>tbl_Ventes[[#This Row],[Qté Vendue]] * IFERROR(_xlfn.XLOOKUP(tbl_Ventes[[#This Row],[Cde_Prdt]], tbl_Produits[Cde_Prdt], tbl_Produits[Prix Menu]), 0)</f>
        <v>0</v>
      </c>
      <c r="H3247" s="7">
        <f>IFERROR(_xlfn.XLOOKUP(tbl_Ventes[[#This Row],[Cde_Prdt]], tbl_Produits[Cde_Prdt], tbl_Produits[Coût Moyen Portion]), 0)</f>
        <v>0</v>
      </c>
      <c r="I3247" s="7">
        <f>tbl_Ventes[[#This Row],[Qté Vendue]] * tbl_Ventes[[#This Row],[CMP_par_portion]]</f>
        <v>0</v>
      </c>
      <c r="J3247" s="7">
        <f>tbl_Ventes[[#This Row],[CA ligne]] - tbl_Ventes[[#This Row],[Coût matière ligne]]</f>
        <v>0</v>
      </c>
      <c r="K3247" s="7" t="str">
        <f>IFERROR(INDEX(tbl_ProduitsRef[Famille], MATCH(tbl_Ventes[[#This Row],[Cde_Prdt]], tbl_Produits[Cde_Prdt], 0)), "")</f>
        <v/>
      </c>
    </row>
    <row r="3248" spans="1:11" x14ac:dyDescent="0.25">
      <c r="A3248" s="5"/>
      <c r="B3248" s="63" t="str">
        <f>IFERROR(TEXT(tbl_Ventes[[#This Row],[Date]],"mm-aaaa"),"")</f>
        <v>01-1900</v>
      </c>
      <c r="D3248" s="10" t="str">
        <f>IFERROR(
   INDEX(tbl_ProduitsRef[Cde_Prdt],MATCH(tbl_Ventes[[#This Row],[Produit]],tbl_ProduitsRef[Produit],0)),
   ""
)</f>
        <v/>
      </c>
      <c r="E3248" s="7">
        <v>0</v>
      </c>
      <c r="F3248" s="7" t="str">
        <f>IFERROR(
   INDEX(tbl_ProduitsRef[Prix Menu],MATCH(tbl_Ventes[[#This Row],[Produit]],tbl_ProduitsRef[Produit],0)),
   ""
)</f>
        <v/>
      </c>
      <c r="G3248" s="7">
        <f>tbl_Ventes[[#This Row],[Qté Vendue]] * IFERROR(_xlfn.XLOOKUP(tbl_Ventes[[#This Row],[Cde_Prdt]], tbl_Produits[Cde_Prdt], tbl_Produits[Prix Menu]), 0)</f>
        <v>0</v>
      </c>
      <c r="H3248" s="7">
        <f>IFERROR(_xlfn.XLOOKUP(tbl_Ventes[[#This Row],[Cde_Prdt]], tbl_Produits[Cde_Prdt], tbl_Produits[Coût Moyen Portion]), 0)</f>
        <v>0</v>
      </c>
      <c r="I3248" s="7">
        <f>tbl_Ventes[[#This Row],[Qté Vendue]] * tbl_Ventes[[#This Row],[CMP_par_portion]]</f>
        <v>0</v>
      </c>
      <c r="J3248" s="7">
        <f>tbl_Ventes[[#This Row],[CA ligne]] - tbl_Ventes[[#This Row],[Coût matière ligne]]</f>
        <v>0</v>
      </c>
      <c r="K3248" s="7" t="str">
        <f>IFERROR(INDEX(tbl_ProduitsRef[Famille], MATCH(tbl_Ventes[[#This Row],[Cde_Prdt]], tbl_Produits[Cde_Prdt], 0)), "")</f>
        <v/>
      </c>
    </row>
    <row r="3249" spans="1:11" x14ac:dyDescent="0.25">
      <c r="A3249" s="5"/>
      <c r="B3249" s="63" t="str">
        <f>IFERROR(TEXT(tbl_Ventes[[#This Row],[Date]],"mm-aaaa"),"")</f>
        <v>01-1900</v>
      </c>
      <c r="D3249" s="10" t="str">
        <f>IFERROR(
   INDEX(tbl_ProduitsRef[Cde_Prdt],MATCH(tbl_Ventes[[#This Row],[Produit]],tbl_ProduitsRef[Produit],0)),
   ""
)</f>
        <v/>
      </c>
      <c r="E3249" s="7">
        <v>0</v>
      </c>
      <c r="F3249" s="7" t="str">
        <f>IFERROR(
   INDEX(tbl_ProduitsRef[Prix Menu],MATCH(tbl_Ventes[[#This Row],[Produit]],tbl_ProduitsRef[Produit],0)),
   ""
)</f>
        <v/>
      </c>
      <c r="G3249" s="7">
        <f>tbl_Ventes[[#This Row],[Qté Vendue]] * IFERROR(_xlfn.XLOOKUP(tbl_Ventes[[#This Row],[Cde_Prdt]], tbl_Produits[Cde_Prdt], tbl_Produits[Prix Menu]), 0)</f>
        <v>0</v>
      </c>
      <c r="H3249" s="7">
        <f>IFERROR(_xlfn.XLOOKUP(tbl_Ventes[[#This Row],[Cde_Prdt]], tbl_Produits[Cde_Prdt], tbl_Produits[Coût Moyen Portion]), 0)</f>
        <v>0</v>
      </c>
      <c r="I3249" s="7">
        <f>tbl_Ventes[[#This Row],[Qté Vendue]] * tbl_Ventes[[#This Row],[CMP_par_portion]]</f>
        <v>0</v>
      </c>
      <c r="J3249" s="7">
        <f>tbl_Ventes[[#This Row],[CA ligne]] - tbl_Ventes[[#This Row],[Coût matière ligne]]</f>
        <v>0</v>
      </c>
      <c r="K3249" s="7" t="str">
        <f>IFERROR(INDEX(tbl_ProduitsRef[Famille], MATCH(tbl_Ventes[[#This Row],[Cde_Prdt]], tbl_Produits[Cde_Prdt], 0)), "")</f>
        <v/>
      </c>
    </row>
    <row r="3250" spans="1:11" x14ac:dyDescent="0.25">
      <c r="A3250" s="5"/>
      <c r="B3250" s="63" t="str">
        <f>IFERROR(TEXT(tbl_Ventes[[#This Row],[Date]],"mm-aaaa"),"")</f>
        <v>01-1900</v>
      </c>
      <c r="D3250" s="10" t="str">
        <f>IFERROR(
   INDEX(tbl_ProduitsRef[Cde_Prdt],MATCH(tbl_Ventes[[#This Row],[Produit]],tbl_ProduitsRef[Produit],0)),
   ""
)</f>
        <v/>
      </c>
      <c r="E3250" s="7">
        <v>0</v>
      </c>
      <c r="F3250" s="7" t="str">
        <f>IFERROR(
   INDEX(tbl_ProduitsRef[Prix Menu],MATCH(tbl_Ventes[[#This Row],[Produit]],tbl_ProduitsRef[Produit],0)),
   ""
)</f>
        <v/>
      </c>
      <c r="G3250" s="7">
        <f>tbl_Ventes[[#This Row],[Qté Vendue]] * IFERROR(_xlfn.XLOOKUP(tbl_Ventes[[#This Row],[Cde_Prdt]], tbl_Produits[Cde_Prdt], tbl_Produits[Prix Menu]), 0)</f>
        <v>0</v>
      </c>
      <c r="H3250" s="7">
        <f>IFERROR(_xlfn.XLOOKUP(tbl_Ventes[[#This Row],[Cde_Prdt]], tbl_Produits[Cde_Prdt], tbl_Produits[Coût Moyen Portion]), 0)</f>
        <v>0</v>
      </c>
      <c r="I3250" s="7">
        <f>tbl_Ventes[[#This Row],[Qté Vendue]] * tbl_Ventes[[#This Row],[CMP_par_portion]]</f>
        <v>0</v>
      </c>
      <c r="J3250" s="7">
        <f>tbl_Ventes[[#This Row],[CA ligne]] - tbl_Ventes[[#This Row],[Coût matière ligne]]</f>
        <v>0</v>
      </c>
      <c r="K3250" s="7" t="str">
        <f>IFERROR(INDEX(tbl_ProduitsRef[Famille], MATCH(tbl_Ventes[[#This Row],[Cde_Prdt]], tbl_Produits[Cde_Prdt], 0)), "")</f>
        <v/>
      </c>
    </row>
    <row r="3251" spans="1:11" x14ac:dyDescent="0.25">
      <c r="A3251" s="5"/>
      <c r="B3251" s="63" t="str">
        <f>IFERROR(TEXT(tbl_Ventes[[#This Row],[Date]],"mm-aaaa"),"")</f>
        <v>01-1900</v>
      </c>
      <c r="D3251" s="10" t="str">
        <f>IFERROR(
   INDEX(tbl_ProduitsRef[Cde_Prdt],MATCH(tbl_Ventes[[#This Row],[Produit]],tbl_ProduitsRef[Produit],0)),
   ""
)</f>
        <v/>
      </c>
      <c r="E3251" s="7">
        <v>0</v>
      </c>
      <c r="F3251" s="7" t="str">
        <f>IFERROR(
   INDEX(tbl_ProduitsRef[Prix Menu],MATCH(tbl_Ventes[[#This Row],[Produit]],tbl_ProduitsRef[Produit],0)),
   ""
)</f>
        <v/>
      </c>
      <c r="G3251" s="7">
        <f>tbl_Ventes[[#This Row],[Qté Vendue]] * IFERROR(_xlfn.XLOOKUP(tbl_Ventes[[#This Row],[Cde_Prdt]], tbl_Produits[Cde_Prdt], tbl_Produits[Prix Menu]), 0)</f>
        <v>0</v>
      </c>
      <c r="H3251" s="7">
        <f>IFERROR(_xlfn.XLOOKUP(tbl_Ventes[[#This Row],[Cde_Prdt]], tbl_Produits[Cde_Prdt], tbl_Produits[Coût Moyen Portion]), 0)</f>
        <v>0</v>
      </c>
      <c r="I3251" s="7">
        <f>tbl_Ventes[[#This Row],[Qté Vendue]] * tbl_Ventes[[#This Row],[CMP_par_portion]]</f>
        <v>0</v>
      </c>
      <c r="J3251" s="7">
        <f>tbl_Ventes[[#This Row],[CA ligne]] - tbl_Ventes[[#This Row],[Coût matière ligne]]</f>
        <v>0</v>
      </c>
      <c r="K3251" s="7" t="str">
        <f>IFERROR(INDEX(tbl_ProduitsRef[Famille], MATCH(tbl_Ventes[[#This Row],[Cde_Prdt]], tbl_Produits[Cde_Prdt], 0)), "")</f>
        <v/>
      </c>
    </row>
    <row r="3252" spans="1:11" x14ac:dyDescent="0.25">
      <c r="A3252" s="5"/>
      <c r="B3252" s="63" t="str">
        <f>IFERROR(TEXT(tbl_Ventes[[#This Row],[Date]],"mm-aaaa"),"")</f>
        <v>01-1900</v>
      </c>
      <c r="D3252" s="10" t="str">
        <f>IFERROR(
   INDEX(tbl_ProduitsRef[Cde_Prdt],MATCH(tbl_Ventes[[#This Row],[Produit]],tbl_ProduitsRef[Produit],0)),
   ""
)</f>
        <v/>
      </c>
      <c r="E3252" s="7">
        <v>0</v>
      </c>
      <c r="F3252" s="7" t="str">
        <f>IFERROR(
   INDEX(tbl_ProduitsRef[Prix Menu],MATCH(tbl_Ventes[[#This Row],[Produit]],tbl_ProduitsRef[Produit],0)),
   ""
)</f>
        <v/>
      </c>
      <c r="G3252" s="7">
        <f>tbl_Ventes[[#This Row],[Qté Vendue]] * IFERROR(_xlfn.XLOOKUP(tbl_Ventes[[#This Row],[Cde_Prdt]], tbl_Produits[Cde_Prdt], tbl_Produits[Prix Menu]), 0)</f>
        <v>0</v>
      </c>
      <c r="H3252" s="7">
        <f>IFERROR(_xlfn.XLOOKUP(tbl_Ventes[[#This Row],[Cde_Prdt]], tbl_Produits[Cde_Prdt], tbl_Produits[Coût Moyen Portion]), 0)</f>
        <v>0</v>
      </c>
      <c r="I3252" s="7">
        <f>tbl_Ventes[[#This Row],[Qté Vendue]] * tbl_Ventes[[#This Row],[CMP_par_portion]]</f>
        <v>0</v>
      </c>
      <c r="J3252" s="7">
        <f>tbl_Ventes[[#This Row],[CA ligne]] - tbl_Ventes[[#This Row],[Coût matière ligne]]</f>
        <v>0</v>
      </c>
      <c r="K3252" s="7" t="str">
        <f>IFERROR(INDEX(tbl_ProduitsRef[Famille], MATCH(tbl_Ventes[[#This Row],[Cde_Prdt]], tbl_Produits[Cde_Prdt], 0)), "")</f>
        <v/>
      </c>
    </row>
    <row r="3253" spans="1:11" x14ac:dyDescent="0.25">
      <c r="A3253" s="5"/>
      <c r="B3253" s="63" t="str">
        <f>IFERROR(TEXT(tbl_Ventes[[#This Row],[Date]],"mm-aaaa"),"")</f>
        <v>01-1900</v>
      </c>
      <c r="D3253" s="10" t="str">
        <f>IFERROR(
   INDEX(tbl_ProduitsRef[Cde_Prdt],MATCH(tbl_Ventes[[#This Row],[Produit]],tbl_ProduitsRef[Produit],0)),
   ""
)</f>
        <v/>
      </c>
      <c r="E3253" s="7">
        <v>0</v>
      </c>
      <c r="F3253" s="7" t="str">
        <f>IFERROR(
   INDEX(tbl_ProduitsRef[Prix Menu],MATCH(tbl_Ventes[[#This Row],[Produit]],tbl_ProduitsRef[Produit],0)),
   ""
)</f>
        <v/>
      </c>
      <c r="G3253" s="7">
        <f>tbl_Ventes[[#This Row],[Qté Vendue]] * IFERROR(_xlfn.XLOOKUP(tbl_Ventes[[#This Row],[Cde_Prdt]], tbl_Produits[Cde_Prdt], tbl_Produits[Prix Menu]), 0)</f>
        <v>0</v>
      </c>
      <c r="H3253" s="7">
        <f>IFERROR(_xlfn.XLOOKUP(tbl_Ventes[[#This Row],[Cde_Prdt]], tbl_Produits[Cde_Prdt], tbl_Produits[Coût Moyen Portion]), 0)</f>
        <v>0</v>
      </c>
      <c r="I3253" s="7">
        <f>tbl_Ventes[[#This Row],[Qté Vendue]] * tbl_Ventes[[#This Row],[CMP_par_portion]]</f>
        <v>0</v>
      </c>
      <c r="J3253" s="7">
        <f>tbl_Ventes[[#This Row],[CA ligne]] - tbl_Ventes[[#This Row],[Coût matière ligne]]</f>
        <v>0</v>
      </c>
      <c r="K3253" s="7" t="str">
        <f>IFERROR(INDEX(tbl_ProduitsRef[Famille], MATCH(tbl_Ventes[[#This Row],[Cde_Prdt]], tbl_Produits[Cde_Prdt], 0)), "")</f>
        <v/>
      </c>
    </row>
    <row r="3254" spans="1:11" x14ac:dyDescent="0.25">
      <c r="A3254" s="5"/>
      <c r="B3254" s="63" t="str">
        <f>IFERROR(TEXT(tbl_Ventes[[#This Row],[Date]],"mm-aaaa"),"")</f>
        <v>01-1900</v>
      </c>
      <c r="D3254" s="10" t="str">
        <f>IFERROR(
   INDEX(tbl_ProduitsRef[Cde_Prdt],MATCH(tbl_Ventes[[#This Row],[Produit]],tbl_ProduitsRef[Produit],0)),
   ""
)</f>
        <v/>
      </c>
      <c r="E3254" s="7">
        <v>0</v>
      </c>
      <c r="F3254" s="7" t="str">
        <f>IFERROR(
   INDEX(tbl_ProduitsRef[Prix Menu],MATCH(tbl_Ventes[[#This Row],[Produit]],tbl_ProduitsRef[Produit],0)),
   ""
)</f>
        <v/>
      </c>
      <c r="G3254" s="7">
        <f>tbl_Ventes[[#This Row],[Qté Vendue]] * IFERROR(_xlfn.XLOOKUP(tbl_Ventes[[#This Row],[Cde_Prdt]], tbl_Produits[Cde_Prdt], tbl_Produits[Prix Menu]), 0)</f>
        <v>0</v>
      </c>
      <c r="H3254" s="7">
        <f>IFERROR(_xlfn.XLOOKUP(tbl_Ventes[[#This Row],[Cde_Prdt]], tbl_Produits[Cde_Prdt], tbl_Produits[Coût Moyen Portion]), 0)</f>
        <v>0</v>
      </c>
      <c r="I3254" s="7">
        <f>tbl_Ventes[[#This Row],[Qté Vendue]] * tbl_Ventes[[#This Row],[CMP_par_portion]]</f>
        <v>0</v>
      </c>
      <c r="J3254" s="7">
        <f>tbl_Ventes[[#This Row],[CA ligne]] - tbl_Ventes[[#This Row],[Coût matière ligne]]</f>
        <v>0</v>
      </c>
      <c r="K3254" s="7" t="str">
        <f>IFERROR(INDEX(tbl_ProduitsRef[Famille], MATCH(tbl_Ventes[[#This Row],[Cde_Prdt]], tbl_Produits[Cde_Prdt], 0)), "")</f>
        <v/>
      </c>
    </row>
    <row r="3255" spans="1:11" x14ac:dyDescent="0.25">
      <c r="A3255" s="5"/>
      <c r="B3255" s="63" t="str">
        <f>IFERROR(TEXT(tbl_Ventes[[#This Row],[Date]],"mm-aaaa"),"")</f>
        <v>01-1900</v>
      </c>
      <c r="D3255" s="10" t="str">
        <f>IFERROR(
   INDEX(tbl_ProduitsRef[Cde_Prdt],MATCH(tbl_Ventes[[#This Row],[Produit]],tbl_ProduitsRef[Produit],0)),
   ""
)</f>
        <v/>
      </c>
      <c r="E3255" s="7">
        <v>0</v>
      </c>
      <c r="F3255" s="7" t="str">
        <f>IFERROR(
   INDEX(tbl_ProduitsRef[Prix Menu],MATCH(tbl_Ventes[[#This Row],[Produit]],tbl_ProduitsRef[Produit],0)),
   ""
)</f>
        <v/>
      </c>
      <c r="G3255" s="7">
        <f>tbl_Ventes[[#This Row],[Qté Vendue]] * IFERROR(_xlfn.XLOOKUP(tbl_Ventes[[#This Row],[Cde_Prdt]], tbl_Produits[Cde_Prdt], tbl_Produits[Prix Menu]), 0)</f>
        <v>0</v>
      </c>
      <c r="H3255" s="7">
        <f>IFERROR(_xlfn.XLOOKUP(tbl_Ventes[[#This Row],[Cde_Prdt]], tbl_Produits[Cde_Prdt], tbl_Produits[Coût Moyen Portion]), 0)</f>
        <v>0</v>
      </c>
      <c r="I3255" s="7">
        <f>tbl_Ventes[[#This Row],[Qté Vendue]] * tbl_Ventes[[#This Row],[CMP_par_portion]]</f>
        <v>0</v>
      </c>
      <c r="J3255" s="7">
        <f>tbl_Ventes[[#This Row],[CA ligne]] - tbl_Ventes[[#This Row],[Coût matière ligne]]</f>
        <v>0</v>
      </c>
      <c r="K3255" s="7" t="str">
        <f>IFERROR(INDEX(tbl_ProduitsRef[Famille], MATCH(tbl_Ventes[[#This Row],[Cde_Prdt]], tbl_Produits[Cde_Prdt], 0)), "")</f>
        <v/>
      </c>
    </row>
    <row r="3256" spans="1:11" x14ac:dyDescent="0.25">
      <c r="A3256" s="5"/>
      <c r="B3256" s="63" t="str">
        <f>IFERROR(TEXT(tbl_Ventes[[#This Row],[Date]],"mm-aaaa"),"")</f>
        <v>01-1900</v>
      </c>
      <c r="D3256" s="10" t="str">
        <f>IFERROR(
   INDEX(tbl_ProduitsRef[Cde_Prdt],MATCH(tbl_Ventes[[#This Row],[Produit]],tbl_ProduitsRef[Produit],0)),
   ""
)</f>
        <v/>
      </c>
      <c r="E3256" s="7">
        <v>0</v>
      </c>
      <c r="F3256" s="7" t="str">
        <f>IFERROR(
   INDEX(tbl_ProduitsRef[Prix Menu],MATCH(tbl_Ventes[[#This Row],[Produit]],tbl_ProduitsRef[Produit],0)),
   ""
)</f>
        <v/>
      </c>
      <c r="G3256" s="7">
        <f>tbl_Ventes[[#This Row],[Qté Vendue]] * IFERROR(_xlfn.XLOOKUP(tbl_Ventes[[#This Row],[Cde_Prdt]], tbl_Produits[Cde_Prdt], tbl_Produits[Prix Menu]), 0)</f>
        <v>0</v>
      </c>
      <c r="H3256" s="7">
        <f>IFERROR(_xlfn.XLOOKUP(tbl_Ventes[[#This Row],[Cde_Prdt]], tbl_Produits[Cde_Prdt], tbl_Produits[Coût Moyen Portion]), 0)</f>
        <v>0</v>
      </c>
      <c r="I3256" s="7">
        <f>tbl_Ventes[[#This Row],[Qté Vendue]] * tbl_Ventes[[#This Row],[CMP_par_portion]]</f>
        <v>0</v>
      </c>
      <c r="J3256" s="7">
        <f>tbl_Ventes[[#This Row],[CA ligne]] - tbl_Ventes[[#This Row],[Coût matière ligne]]</f>
        <v>0</v>
      </c>
      <c r="K3256" s="7" t="str">
        <f>IFERROR(INDEX(tbl_ProduitsRef[Famille], MATCH(tbl_Ventes[[#This Row],[Cde_Prdt]], tbl_Produits[Cde_Prdt], 0)), "")</f>
        <v/>
      </c>
    </row>
    <row r="3257" spans="1:11" x14ac:dyDescent="0.25">
      <c r="A3257" s="5"/>
      <c r="B3257" s="63" t="str">
        <f>IFERROR(TEXT(tbl_Ventes[[#This Row],[Date]],"mm-aaaa"),"")</f>
        <v>01-1900</v>
      </c>
      <c r="D3257" s="10" t="str">
        <f>IFERROR(
   INDEX(tbl_ProduitsRef[Cde_Prdt],MATCH(tbl_Ventes[[#This Row],[Produit]],tbl_ProduitsRef[Produit],0)),
   ""
)</f>
        <v/>
      </c>
      <c r="E3257" s="7">
        <v>0</v>
      </c>
      <c r="F3257" s="7" t="str">
        <f>IFERROR(
   INDEX(tbl_ProduitsRef[Prix Menu],MATCH(tbl_Ventes[[#This Row],[Produit]],tbl_ProduitsRef[Produit],0)),
   ""
)</f>
        <v/>
      </c>
      <c r="G3257" s="7">
        <f>tbl_Ventes[[#This Row],[Qté Vendue]] * IFERROR(_xlfn.XLOOKUP(tbl_Ventes[[#This Row],[Cde_Prdt]], tbl_Produits[Cde_Prdt], tbl_Produits[Prix Menu]), 0)</f>
        <v>0</v>
      </c>
      <c r="H3257" s="7">
        <f>IFERROR(_xlfn.XLOOKUP(tbl_Ventes[[#This Row],[Cde_Prdt]], tbl_Produits[Cde_Prdt], tbl_Produits[Coût Moyen Portion]), 0)</f>
        <v>0</v>
      </c>
      <c r="I3257" s="7">
        <f>tbl_Ventes[[#This Row],[Qté Vendue]] * tbl_Ventes[[#This Row],[CMP_par_portion]]</f>
        <v>0</v>
      </c>
      <c r="J3257" s="7">
        <f>tbl_Ventes[[#This Row],[CA ligne]] - tbl_Ventes[[#This Row],[Coût matière ligne]]</f>
        <v>0</v>
      </c>
      <c r="K3257" s="7" t="str">
        <f>IFERROR(INDEX(tbl_ProduitsRef[Famille], MATCH(tbl_Ventes[[#This Row],[Cde_Prdt]], tbl_Produits[Cde_Prdt], 0)), "")</f>
        <v/>
      </c>
    </row>
    <row r="3258" spans="1:11" x14ac:dyDescent="0.25">
      <c r="A3258" s="5"/>
      <c r="B3258" s="63" t="str">
        <f>IFERROR(TEXT(tbl_Ventes[[#This Row],[Date]],"mm-aaaa"),"")</f>
        <v>01-1900</v>
      </c>
      <c r="D3258" s="10" t="str">
        <f>IFERROR(
   INDEX(tbl_ProduitsRef[Cde_Prdt],MATCH(tbl_Ventes[[#This Row],[Produit]],tbl_ProduitsRef[Produit],0)),
   ""
)</f>
        <v/>
      </c>
      <c r="E3258" s="7">
        <v>0</v>
      </c>
      <c r="F3258" s="7" t="str">
        <f>IFERROR(
   INDEX(tbl_ProduitsRef[Prix Menu],MATCH(tbl_Ventes[[#This Row],[Produit]],tbl_ProduitsRef[Produit],0)),
   ""
)</f>
        <v/>
      </c>
      <c r="G3258" s="7">
        <f>tbl_Ventes[[#This Row],[Qté Vendue]] * IFERROR(_xlfn.XLOOKUP(tbl_Ventes[[#This Row],[Cde_Prdt]], tbl_Produits[Cde_Prdt], tbl_Produits[Prix Menu]), 0)</f>
        <v>0</v>
      </c>
      <c r="H3258" s="7">
        <f>IFERROR(_xlfn.XLOOKUP(tbl_Ventes[[#This Row],[Cde_Prdt]], tbl_Produits[Cde_Prdt], tbl_Produits[Coût Moyen Portion]), 0)</f>
        <v>0</v>
      </c>
      <c r="I3258" s="7">
        <f>tbl_Ventes[[#This Row],[Qté Vendue]] * tbl_Ventes[[#This Row],[CMP_par_portion]]</f>
        <v>0</v>
      </c>
      <c r="J3258" s="7">
        <f>tbl_Ventes[[#This Row],[CA ligne]] - tbl_Ventes[[#This Row],[Coût matière ligne]]</f>
        <v>0</v>
      </c>
      <c r="K3258" s="7" t="str">
        <f>IFERROR(INDEX(tbl_ProduitsRef[Famille], MATCH(tbl_Ventes[[#This Row],[Cde_Prdt]], tbl_Produits[Cde_Prdt], 0)), "")</f>
        <v/>
      </c>
    </row>
    <row r="3259" spans="1:11" x14ac:dyDescent="0.25">
      <c r="A3259" s="5"/>
      <c r="B3259" s="63" t="str">
        <f>IFERROR(TEXT(tbl_Ventes[[#This Row],[Date]],"mm-aaaa"),"")</f>
        <v>01-1900</v>
      </c>
      <c r="D3259" s="10" t="str">
        <f>IFERROR(
   INDEX(tbl_ProduitsRef[Cde_Prdt],MATCH(tbl_Ventes[[#This Row],[Produit]],tbl_ProduitsRef[Produit],0)),
   ""
)</f>
        <v/>
      </c>
      <c r="E3259" s="7">
        <v>0</v>
      </c>
      <c r="F3259" s="7" t="str">
        <f>IFERROR(
   INDEX(tbl_ProduitsRef[Prix Menu],MATCH(tbl_Ventes[[#This Row],[Produit]],tbl_ProduitsRef[Produit],0)),
   ""
)</f>
        <v/>
      </c>
      <c r="G3259" s="7">
        <f>tbl_Ventes[[#This Row],[Qté Vendue]] * IFERROR(_xlfn.XLOOKUP(tbl_Ventes[[#This Row],[Cde_Prdt]], tbl_Produits[Cde_Prdt], tbl_Produits[Prix Menu]), 0)</f>
        <v>0</v>
      </c>
      <c r="H3259" s="7">
        <f>IFERROR(_xlfn.XLOOKUP(tbl_Ventes[[#This Row],[Cde_Prdt]], tbl_Produits[Cde_Prdt], tbl_Produits[Coût Moyen Portion]), 0)</f>
        <v>0</v>
      </c>
      <c r="I3259" s="7">
        <f>tbl_Ventes[[#This Row],[Qté Vendue]] * tbl_Ventes[[#This Row],[CMP_par_portion]]</f>
        <v>0</v>
      </c>
      <c r="J3259" s="7">
        <f>tbl_Ventes[[#This Row],[CA ligne]] - tbl_Ventes[[#This Row],[Coût matière ligne]]</f>
        <v>0</v>
      </c>
      <c r="K3259" s="7" t="str">
        <f>IFERROR(INDEX(tbl_ProduitsRef[Famille], MATCH(tbl_Ventes[[#This Row],[Cde_Prdt]], tbl_Produits[Cde_Prdt], 0)), "")</f>
        <v/>
      </c>
    </row>
    <row r="3260" spans="1:11" x14ac:dyDescent="0.25">
      <c r="A3260" s="5"/>
      <c r="B3260" s="63" t="str">
        <f>IFERROR(TEXT(tbl_Ventes[[#This Row],[Date]],"mm-aaaa"),"")</f>
        <v>01-1900</v>
      </c>
      <c r="D3260" s="10" t="str">
        <f>IFERROR(
   INDEX(tbl_ProduitsRef[Cde_Prdt],MATCH(tbl_Ventes[[#This Row],[Produit]],tbl_ProduitsRef[Produit],0)),
   ""
)</f>
        <v/>
      </c>
      <c r="E3260" s="7">
        <v>0</v>
      </c>
      <c r="F3260" s="7" t="str">
        <f>IFERROR(
   INDEX(tbl_ProduitsRef[Prix Menu],MATCH(tbl_Ventes[[#This Row],[Produit]],tbl_ProduitsRef[Produit],0)),
   ""
)</f>
        <v/>
      </c>
      <c r="G3260" s="7">
        <f>tbl_Ventes[[#This Row],[Qté Vendue]] * IFERROR(_xlfn.XLOOKUP(tbl_Ventes[[#This Row],[Cde_Prdt]], tbl_Produits[Cde_Prdt], tbl_Produits[Prix Menu]), 0)</f>
        <v>0</v>
      </c>
      <c r="H3260" s="7">
        <f>IFERROR(_xlfn.XLOOKUP(tbl_Ventes[[#This Row],[Cde_Prdt]], tbl_Produits[Cde_Prdt], tbl_Produits[Coût Moyen Portion]), 0)</f>
        <v>0</v>
      </c>
      <c r="I3260" s="7">
        <f>tbl_Ventes[[#This Row],[Qté Vendue]] * tbl_Ventes[[#This Row],[CMP_par_portion]]</f>
        <v>0</v>
      </c>
      <c r="J3260" s="7">
        <f>tbl_Ventes[[#This Row],[CA ligne]] - tbl_Ventes[[#This Row],[Coût matière ligne]]</f>
        <v>0</v>
      </c>
      <c r="K3260" s="7" t="str">
        <f>IFERROR(INDEX(tbl_ProduitsRef[Famille], MATCH(tbl_Ventes[[#This Row],[Cde_Prdt]], tbl_Produits[Cde_Prdt], 0)), "")</f>
        <v/>
      </c>
    </row>
    <row r="3261" spans="1:11" x14ac:dyDescent="0.25">
      <c r="A3261" s="5"/>
      <c r="B3261" s="63" t="str">
        <f>IFERROR(TEXT(tbl_Ventes[[#This Row],[Date]],"mm-aaaa"),"")</f>
        <v>01-1900</v>
      </c>
      <c r="D3261" s="10" t="str">
        <f>IFERROR(
   INDEX(tbl_ProduitsRef[Cde_Prdt],MATCH(tbl_Ventes[[#This Row],[Produit]],tbl_ProduitsRef[Produit],0)),
   ""
)</f>
        <v/>
      </c>
      <c r="E3261" s="7">
        <v>0</v>
      </c>
      <c r="F3261" s="7" t="str">
        <f>IFERROR(
   INDEX(tbl_ProduitsRef[Prix Menu],MATCH(tbl_Ventes[[#This Row],[Produit]],tbl_ProduitsRef[Produit],0)),
   ""
)</f>
        <v/>
      </c>
      <c r="G3261" s="7">
        <f>tbl_Ventes[[#This Row],[Qté Vendue]] * IFERROR(_xlfn.XLOOKUP(tbl_Ventes[[#This Row],[Cde_Prdt]], tbl_Produits[Cde_Prdt], tbl_Produits[Prix Menu]), 0)</f>
        <v>0</v>
      </c>
      <c r="H3261" s="7">
        <f>IFERROR(_xlfn.XLOOKUP(tbl_Ventes[[#This Row],[Cde_Prdt]], tbl_Produits[Cde_Prdt], tbl_Produits[Coût Moyen Portion]), 0)</f>
        <v>0</v>
      </c>
      <c r="I3261" s="7">
        <f>tbl_Ventes[[#This Row],[Qté Vendue]] * tbl_Ventes[[#This Row],[CMP_par_portion]]</f>
        <v>0</v>
      </c>
      <c r="J3261" s="7">
        <f>tbl_Ventes[[#This Row],[CA ligne]] - tbl_Ventes[[#This Row],[Coût matière ligne]]</f>
        <v>0</v>
      </c>
      <c r="K3261" s="7" t="str">
        <f>IFERROR(INDEX(tbl_ProduitsRef[Famille], MATCH(tbl_Ventes[[#This Row],[Cde_Prdt]], tbl_Produits[Cde_Prdt], 0)), "")</f>
        <v/>
      </c>
    </row>
    <row r="3262" spans="1:11" x14ac:dyDescent="0.25">
      <c r="A3262" s="5"/>
      <c r="B3262" s="63" t="str">
        <f>IFERROR(TEXT(tbl_Ventes[[#This Row],[Date]],"mm-aaaa"),"")</f>
        <v>01-1900</v>
      </c>
      <c r="D3262" s="10" t="str">
        <f>IFERROR(
   INDEX(tbl_ProduitsRef[Cde_Prdt],MATCH(tbl_Ventes[[#This Row],[Produit]],tbl_ProduitsRef[Produit],0)),
   ""
)</f>
        <v/>
      </c>
      <c r="E3262" s="7">
        <v>0</v>
      </c>
      <c r="F3262" s="7" t="str">
        <f>IFERROR(
   INDEX(tbl_ProduitsRef[Prix Menu],MATCH(tbl_Ventes[[#This Row],[Produit]],tbl_ProduitsRef[Produit],0)),
   ""
)</f>
        <v/>
      </c>
      <c r="G3262" s="7">
        <f>tbl_Ventes[[#This Row],[Qté Vendue]] * IFERROR(_xlfn.XLOOKUP(tbl_Ventes[[#This Row],[Cde_Prdt]], tbl_Produits[Cde_Prdt], tbl_Produits[Prix Menu]), 0)</f>
        <v>0</v>
      </c>
      <c r="H3262" s="7">
        <f>IFERROR(_xlfn.XLOOKUP(tbl_Ventes[[#This Row],[Cde_Prdt]], tbl_Produits[Cde_Prdt], tbl_Produits[Coût Moyen Portion]), 0)</f>
        <v>0</v>
      </c>
      <c r="I3262" s="7">
        <f>tbl_Ventes[[#This Row],[Qté Vendue]] * tbl_Ventes[[#This Row],[CMP_par_portion]]</f>
        <v>0</v>
      </c>
      <c r="J3262" s="7">
        <f>tbl_Ventes[[#This Row],[CA ligne]] - tbl_Ventes[[#This Row],[Coût matière ligne]]</f>
        <v>0</v>
      </c>
      <c r="K3262" s="7" t="str">
        <f>IFERROR(INDEX(tbl_ProduitsRef[Famille], MATCH(tbl_Ventes[[#This Row],[Cde_Prdt]], tbl_Produits[Cde_Prdt], 0)), "")</f>
        <v/>
      </c>
    </row>
    <row r="3263" spans="1:11" x14ac:dyDescent="0.25">
      <c r="A3263" s="5"/>
      <c r="B3263" s="63" t="str">
        <f>IFERROR(TEXT(tbl_Ventes[[#This Row],[Date]],"mm-aaaa"),"")</f>
        <v>01-1900</v>
      </c>
      <c r="D3263" s="10" t="str">
        <f>IFERROR(
   INDEX(tbl_ProduitsRef[Cde_Prdt],MATCH(tbl_Ventes[[#This Row],[Produit]],tbl_ProduitsRef[Produit],0)),
   ""
)</f>
        <v/>
      </c>
      <c r="E3263" s="7">
        <v>0</v>
      </c>
      <c r="F3263" s="7" t="str">
        <f>IFERROR(
   INDEX(tbl_ProduitsRef[Prix Menu],MATCH(tbl_Ventes[[#This Row],[Produit]],tbl_ProduitsRef[Produit],0)),
   ""
)</f>
        <v/>
      </c>
      <c r="G3263" s="7">
        <f>tbl_Ventes[[#This Row],[Qté Vendue]] * IFERROR(_xlfn.XLOOKUP(tbl_Ventes[[#This Row],[Cde_Prdt]], tbl_Produits[Cde_Prdt], tbl_Produits[Prix Menu]), 0)</f>
        <v>0</v>
      </c>
      <c r="H3263" s="7">
        <f>IFERROR(_xlfn.XLOOKUP(tbl_Ventes[[#This Row],[Cde_Prdt]], tbl_Produits[Cde_Prdt], tbl_Produits[Coût Moyen Portion]), 0)</f>
        <v>0</v>
      </c>
      <c r="I3263" s="7">
        <f>tbl_Ventes[[#This Row],[Qté Vendue]] * tbl_Ventes[[#This Row],[CMP_par_portion]]</f>
        <v>0</v>
      </c>
      <c r="J3263" s="7">
        <f>tbl_Ventes[[#This Row],[CA ligne]] - tbl_Ventes[[#This Row],[Coût matière ligne]]</f>
        <v>0</v>
      </c>
      <c r="K3263" s="7" t="str">
        <f>IFERROR(INDEX(tbl_ProduitsRef[Famille], MATCH(tbl_Ventes[[#This Row],[Cde_Prdt]], tbl_Produits[Cde_Prdt], 0)), "")</f>
        <v/>
      </c>
    </row>
    <row r="3264" spans="1:11" x14ac:dyDescent="0.25">
      <c r="A3264" s="5"/>
      <c r="B3264" s="63" t="str">
        <f>IFERROR(TEXT(tbl_Ventes[[#This Row],[Date]],"mm-aaaa"),"")</f>
        <v>01-1900</v>
      </c>
      <c r="D3264" s="10" t="str">
        <f>IFERROR(
   INDEX(tbl_ProduitsRef[Cde_Prdt],MATCH(tbl_Ventes[[#This Row],[Produit]],tbl_ProduitsRef[Produit],0)),
   ""
)</f>
        <v/>
      </c>
      <c r="E3264" s="7">
        <v>0</v>
      </c>
      <c r="F3264" s="7" t="str">
        <f>IFERROR(
   INDEX(tbl_ProduitsRef[Prix Menu],MATCH(tbl_Ventes[[#This Row],[Produit]],tbl_ProduitsRef[Produit],0)),
   ""
)</f>
        <v/>
      </c>
      <c r="G3264" s="7">
        <f>tbl_Ventes[[#This Row],[Qté Vendue]] * IFERROR(_xlfn.XLOOKUP(tbl_Ventes[[#This Row],[Cde_Prdt]], tbl_Produits[Cde_Prdt], tbl_Produits[Prix Menu]), 0)</f>
        <v>0</v>
      </c>
      <c r="H3264" s="7">
        <f>IFERROR(_xlfn.XLOOKUP(tbl_Ventes[[#This Row],[Cde_Prdt]], tbl_Produits[Cde_Prdt], tbl_Produits[Coût Moyen Portion]), 0)</f>
        <v>0</v>
      </c>
      <c r="I3264" s="7">
        <f>tbl_Ventes[[#This Row],[Qté Vendue]] * tbl_Ventes[[#This Row],[CMP_par_portion]]</f>
        <v>0</v>
      </c>
      <c r="J3264" s="7">
        <f>tbl_Ventes[[#This Row],[CA ligne]] - tbl_Ventes[[#This Row],[Coût matière ligne]]</f>
        <v>0</v>
      </c>
      <c r="K3264" s="7" t="str">
        <f>IFERROR(INDEX(tbl_ProduitsRef[Famille], MATCH(tbl_Ventes[[#This Row],[Cde_Prdt]], tbl_Produits[Cde_Prdt], 0)), "")</f>
        <v/>
      </c>
    </row>
    <row r="3265" spans="1:11" x14ac:dyDescent="0.25">
      <c r="A3265" s="5"/>
      <c r="B3265" s="63" t="str">
        <f>IFERROR(TEXT(tbl_Ventes[[#This Row],[Date]],"mm-aaaa"),"")</f>
        <v>01-1900</v>
      </c>
      <c r="D3265" s="10" t="str">
        <f>IFERROR(
   INDEX(tbl_ProduitsRef[Cde_Prdt],MATCH(tbl_Ventes[[#This Row],[Produit]],tbl_ProduitsRef[Produit],0)),
   ""
)</f>
        <v/>
      </c>
      <c r="E3265" s="7">
        <v>0</v>
      </c>
      <c r="F3265" s="7" t="str">
        <f>IFERROR(
   INDEX(tbl_ProduitsRef[Prix Menu],MATCH(tbl_Ventes[[#This Row],[Produit]],tbl_ProduitsRef[Produit],0)),
   ""
)</f>
        <v/>
      </c>
      <c r="G3265" s="7">
        <f>tbl_Ventes[[#This Row],[Qté Vendue]] * IFERROR(_xlfn.XLOOKUP(tbl_Ventes[[#This Row],[Cde_Prdt]], tbl_Produits[Cde_Prdt], tbl_Produits[Prix Menu]), 0)</f>
        <v>0</v>
      </c>
      <c r="H3265" s="7">
        <f>IFERROR(_xlfn.XLOOKUP(tbl_Ventes[[#This Row],[Cde_Prdt]], tbl_Produits[Cde_Prdt], tbl_Produits[Coût Moyen Portion]), 0)</f>
        <v>0</v>
      </c>
      <c r="I3265" s="7">
        <f>tbl_Ventes[[#This Row],[Qté Vendue]] * tbl_Ventes[[#This Row],[CMP_par_portion]]</f>
        <v>0</v>
      </c>
      <c r="J3265" s="7">
        <f>tbl_Ventes[[#This Row],[CA ligne]] - tbl_Ventes[[#This Row],[Coût matière ligne]]</f>
        <v>0</v>
      </c>
      <c r="K3265" s="7" t="str">
        <f>IFERROR(INDEX(tbl_ProduitsRef[Famille], MATCH(tbl_Ventes[[#This Row],[Cde_Prdt]], tbl_Produits[Cde_Prdt], 0)), "")</f>
        <v/>
      </c>
    </row>
    <row r="3266" spans="1:11" x14ac:dyDescent="0.25">
      <c r="A3266" s="5"/>
      <c r="B3266" s="63" t="str">
        <f>IFERROR(TEXT(tbl_Ventes[[#This Row],[Date]],"mm-aaaa"),"")</f>
        <v>01-1900</v>
      </c>
      <c r="D3266" s="10" t="str">
        <f>IFERROR(
   INDEX(tbl_ProduitsRef[Cde_Prdt],MATCH(tbl_Ventes[[#This Row],[Produit]],tbl_ProduitsRef[Produit],0)),
   ""
)</f>
        <v/>
      </c>
      <c r="E3266" s="7">
        <v>0</v>
      </c>
      <c r="F3266" s="7" t="str">
        <f>IFERROR(
   INDEX(tbl_ProduitsRef[Prix Menu],MATCH(tbl_Ventes[[#This Row],[Produit]],tbl_ProduitsRef[Produit],0)),
   ""
)</f>
        <v/>
      </c>
      <c r="G3266" s="7">
        <f>tbl_Ventes[[#This Row],[Qté Vendue]] * IFERROR(_xlfn.XLOOKUP(tbl_Ventes[[#This Row],[Cde_Prdt]], tbl_Produits[Cde_Prdt], tbl_Produits[Prix Menu]), 0)</f>
        <v>0</v>
      </c>
      <c r="H3266" s="7">
        <f>IFERROR(_xlfn.XLOOKUP(tbl_Ventes[[#This Row],[Cde_Prdt]], tbl_Produits[Cde_Prdt], tbl_Produits[Coût Moyen Portion]), 0)</f>
        <v>0</v>
      </c>
      <c r="I3266" s="7">
        <f>tbl_Ventes[[#This Row],[Qté Vendue]] * tbl_Ventes[[#This Row],[CMP_par_portion]]</f>
        <v>0</v>
      </c>
      <c r="J3266" s="7">
        <f>tbl_Ventes[[#This Row],[CA ligne]] - tbl_Ventes[[#This Row],[Coût matière ligne]]</f>
        <v>0</v>
      </c>
      <c r="K3266" s="7" t="str">
        <f>IFERROR(INDEX(tbl_ProduitsRef[Famille], MATCH(tbl_Ventes[[#This Row],[Cde_Prdt]], tbl_Produits[Cde_Prdt], 0)), "")</f>
        <v/>
      </c>
    </row>
    <row r="3267" spans="1:11" x14ac:dyDescent="0.25">
      <c r="A3267" s="5"/>
      <c r="B3267" s="63" t="str">
        <f>IFERROR(TEXT(tbl_Ventes[[#This Row],[Date]],"mm-aaaa"),"")</f>
        <v>01-1900</v>
      </c>
      <c r="D3267" s="10" t="str">
        <f>IFERROR(
   INDEX(tbl_ProduitsRef[Cde_Prdt],MATCH(tbl_Ventes[[#This Row],[Produit]],tbl_ProduitsRef[Produit],0)),
   ""
)</f>
        <v/>
      </c>
      <c r="E3267" s="7">
        <v>0</v>
      </c>
      <c r="F3267" s="7" t="str">
        <f>IFERROR(
   INDEX(tbl_ProduitsRef[Prix Menu],MATCH(tbl_Ventes[[#This Row],[Produit]],tbl_ProduitsRef[Produit],0)),
   ""
)</f>
        <v/>
      </c>
      <c r="G3267" s="7">
        <f>tbl_Ventes[[#This Row],[Qté Vendue]] * IFERROR(_xlfn.XLOOKUP(tbl_Ventes[[#This Row],[Cde_Prdt]], tbl_Produits[Cde_Prdt], tbl_Produits[Prix Menu]), 0)</f>
        <v>0</v>
      </c>
      <c r="H3267" s="7">
        <f>IFERROR(_xlfn.XLOOKUP(tbl_Ventes[[#This Row],[Cde_Prdt]], tbl_Produits[Cde_Prdt], tbl_Produits[Coût Moyen Portion]), 0)</f>
        <v>0</v>
      </c>
      <c r="I3267" s="7">
        <f>tbl_Ventes[[#This Row],[Qté Vendue]] * tbl_Ventes[[#This Row],[CMP_par_portion]]</f>
        <v>0</v>
      </c>
      <c r="J3267" s="7">
        <f>tbl_Ventes[[#This Row],[CA ligne]] - tbl_Ventes[[#This Row],[Coût matière ligne]]</f>
        <v>0</v>
      </c>
      <c r="K3267" s="7" t="str">
        <f>IFERROR(INDEX(tbl_ProduitsRef[Famille], MATCH(tbl_Ventes[[#This Row],[Cde_Prdt]], tbl_Produits[Cde_Prdt], 0)), "")</f>
        <v/>
      </c>
    </row>
    <row r="3268" spans="1:11" x14ac:dyDescent="0.25">
      <c r="A3268" s="5"/>
      <c r="B3268" s="63" t="str">
        <f>IFERROR(TEXT(tbl_Ventes[[#This Row],[Date]],"mm-aaaa"),"")</f>
        <v>01-1900</v>
      </c>
      <c r="D3268" s="10" t="str">
        <f>IFERROR(
   INDEX(tbl_ProduitsRef[Cde_Prdt],MATCH(tbl_Ventes[[#This Row],[Produit]],tbl_ProduitsRef[Produit],0)),
   ""
)</f>
        <v/>
      </c>
      <c r="E3268" s="7">
        <v>0</v>
      </c>
      <c r="F3268" s="7" t="str">
        <f>IFERROR(
   INDEX(tbl_ProduitsRef[Prix Menu],MATCH(tbl_Ventes[[#This Row],[Produit]],tbl_ProduitsRef[Produit],0)),
   ""
)</f>
        <v/>
      </c>
      <c r="G3268" s="7">
        <f>tbl_Ventes[[#This Row],[Qté Vendue]] * IFERROR(_xlfn.XLOOKUP(tbl_Ventes[[#This Row],[Cde_Prdt]], tbl_Produits[Cde_Prdt], tbl_Produits[Prix Menu]), 0)</f>
        <v>0</v>
      </c>
      <c r="H3268" s="7">
        <f>IFERROR(_xlfn.XLOOKUP(tbl_Ventes[[#This Row],[Cde_Prdt]], tbl_Produits[Cde_Prdt], tbl_Produits[Coût Moyen Portion]), 0)</f>
        <v>0</v>
      </c>
      <c r="I3268" s="7">
        <f>tbl_Ventes[[#This Row],[Qté Vendue]] * tbl_Ventes[[#This Row],[CMP_par_portion]]</f>
        <v>0</v>
      </c>
      <c r="J3268" s="7">
        <f>tbl_Ventes[[#This Row],[CA ligne]] - tbl_Ventes[[#This Row],[Coût matière ligne]]</f>
        <v>0</v>
      </c>
      <c r="K3268" s="7" t="str">
        <f>IFERROR(INDEX(tbl_ProduitsRef[Famille], MATCH(tbl_Ventes[[#This Row],[Cde_Prdt]], tbl_Produits[Cde_Prdt], 0)), "")</f>
        <v/>
      </c>
    </row>
    <row r="3269" spans="1:11" x14ac:dyDescent="0.25">
      <c r="A3269" s="5"/>
      <c r="B3269" s="63" t="str">
        <f>IFERROR(TEXT(tbl_Ventes[[#This Row],[Date]],"mm-aaaa"),"")</f>
        <v>01-1900</v>
      </c>
      <c r="D3269" s="10" t="str">
        <f>IFERROR(
   INDEX(tbl_ProduitsRef[Cde_Prdt],MATCH(tbl_Ventes[[#This Row],[Produit]],tbl_ProduitsRef[Produit],0)),
   ""
)</f>
        <v/>
      </c>
      <c r="E3269" s="7">
        <v>0</v>
      </c>
      <c r="F3269" s="7" t="str">
        <f>IFERROR(
   INDEX(tbl_ProduitsRef[Prix Menu],MATCH(tbl_Ventes[[#This Row],[Produit]],tbl_ProduitsRef[Produit],0)),
   ""
)</f>
        <v/>
      </c>
      <c r="G3269" s="7">
        <f>tbl_Ventes[[#This Row],[Qté Vendue]] * IFERROR(_xlfn.XLOOKUP(tbl_Ventes[[#This Row],[Cde_Prdt]], tbl_Produits[Cde_Prdt], tbl_Produits[Prix Menu]), 0)</f>
        <v>0</v>
      </c>
      <c r="H3269" s="7">
        <f>IFERROR(_xlfn.XLOOKUP(tbl_Ventes[[#This Row],[Cde_Prdt]], tbl_Produits[Cde_Prdt], tbl_Produits[Coût Moyen Portion]), 0)</f>
        <v>0</v>
      </c>
      <c r="I3269" s="7">
        <f>tbl_Ventes[[#This Row],[Qté Vendue]] * tbl_Ventes[[#This Row],[CMP_par_portion]]</f>
        <v>0</v>
      </c>
      <c r="J3269" s="7">
        <f>tbl_Ventes[[#This Row],[CA ligne]] - tbl_Ventes[[#This Row],[Coût matière ligne]]</f>
        <v>0</v>
      </c>
      <c r="K3269" s="7" t="str">
        <f>IFERROR(INDEX(tbl_ProduitsRef[Famille], MATCH(tbl_Ventes[[#This Row],[Cde_Prdt]], tbl_Produits[Cde_Prdt], 0)), "")</f>
        <v/>
      </c>
    </row>
    <row r="3270" spans="1:11" x14ac:dyDescent="0.25">
      <c r="A3270" s="5"/>
      <c r="B3270" s="63" t="str">
        <f>IFERROR(TEXT(tbl_Ventes[[#This Row],[Date]],"mm-aaaa"),"")</f>
        <v>01-1900</v>
      </c>
      <c r="D3270" s="10" t="str">
        <f>IFERROR(
   INDEX(tbl_ProduitsRef[Cde_Prdt],MATCH(tbl_Ventes[[#This Row],[Produit]],tbl_ProduitsRef[Produit],0)),
   ""
)</f>
        <v/>
      </c>
      <c r="E3270" s="7">
        <v>0</v>
      </c>
      <c r="F3270" s="7" t="str">
        <f>IFERROR(
   INDEX(tbl_ProduitsRef[Prix Menu],MATCH(tbl_Ventes[[#This Row],[Produit]],tbl_ProduitsRef[Produit],0)),
   ""
)</f>
        <v/>
      </c>
      <c r="G3270" s="7">
        <f>tbl_Ventes[[#This Row],[Qté Vendue]] * IFERROR(_xlfn.XLOOKUP(tbl_Ventes[[#This Row],[Cde_Prdt]], tbl_Produits[Cde_Prdt], tbl_Produits[Prix Menu]), 0)</f>
        <v>0</v>
      </c>
      <c r="H3270" s="7">
        <f>IFERROR(_xlfn.XLOOKUP(tbl_Ventes[[#This Row],[Cde_Prdt]], tbl_Produits[Cde_Prdt], tbl_Produits[Coût Moyen Portion]), 0)</f>
        <v>0</v>
      </c>
      <c r="I3270" s="7">
        <f>tbl_Ventes[[#This Row],[Qté Vendue]] * tbl_Ventes[[#This Row],[CMP_par_portion]]</f>
        <v>0</v>
      </c>
      <c r="J3270" s="7">
        <f>tbl_Ventes[[#This Row],[CA ligne]] - tbl_Ventes[[#This Row],[Coût matière ligne]]</f>
        <v>0</v>
      </c>
      <c r="K3270" s="7" t="str">
        <f>IFERROR(INDEX(tbl_ProduitsRef[Famille], MATCH(tbl_Ventes[[#This Row],[Cde_Prdt]], tbl_Produits[Cde_Prdt], 0)), "")</f>
        <v/>
      </c>
    </row>
    <row r="3271" spans="1:11" x14ac:dyDescent="0.25">
      <c r="A3271" s="5"/>
      <c r="B3271" s="63" t="str">
        <f>IFERROR(TEXT(tbl_Ventes[[#This Row],[Date]],"mm-aaaa"),"")</f>
        <v>01-1900</v>
      </c>
      <c r="D3271" s="10" t="str">
        <f>IFERROR(
   INDEX(tbl_ProduitsRef[Cde_Prdt],MATCH(tbl_Ventes[[#This Row],[Produit]],tbl_ProduitsRef[Produit],0)),
   ""
)</f>
        <v/>
      </c>
      <c r="E3271" s="7">
        <v>0</v>
      </c>
      <c r="F3271" s="7" t="str">
        <f>IFERROR(
   INDEX(tbl_ProduitsRef[Prix Menu],MATCH(tbl_Ventes[[#This Row],[Produit]],tbl_ProduitsRef[Produit],0)),
   ""
)</f>
        <v/>
      </c>
      <c r="G3271" s="7">
        <f>tbl_Ventes[[#This Row],[Qté Vendue]] * IFERROR(_xlfn.XLOOKUP(tbl_Ventes[[#This Row],[Cde_Prdt]], tbl_Produits[Cde_Prdt], tbl_Produits[Prix Menu]), 0)</f>
        <v>0</v>
      </c>
      <c r="H3271" s="7">
        <f>IFERROR(_xlfn.XLOOKUP(tbl_Ventes[[#This Row],[Cde_Prdt]], tbl_Produits[Cde_Prdt], tbl_Produits[Coût Moyen Portion]), 0)</f>
        <v>0</v>
      </c>
      <c r="I3271" s="7">
        <f>tbl_Ventes[[#This Row],[Qté Vendue]] * tbl_Ventes[[#This Row],[CMP_par_portion]]</f>
        <v>0</v>
      </c>
      <c r="J3271" s="7">
        <f>tbl_Ventes[[#This Row],[CA ligne]] - tbl_Ventes[[#This Row],[Coût matière ligne]]</f>
        <v>0</v>
      </c>
      <c r="K3271" s="7" t="str">
        <f>IFERROR(INDEX(tbl_ProduitsRef[Famille], MATCH(tbl_Ventes[[#This Row],[Cde_Prdt]], tbl_Produits[Cde_Prdt], 0)), "")</f>
        <v/>
      </c>
    </row>
    <row r="3272" spans="1:11" x14ac:dyDescent="0.25">
      <c r="A3272" s="5"/>
      <c r="B3272" s="63" t="str">
        <f>IFERROR(TEXT(tbl_Ventes[[#This Row],[Date]],"mm-aaaa"),"")</f>
        <v>01-1900</v>
      </c>
      <c r="D3272" s="10" t="str">
        <f>IFERROR(
   INDEX(tbl_ProduitsRef[Cde_Prdt],MATCH(tbl_Ventes[[#This Row],[Produit]],tbl_ProduitsRef[Produit],0)),
   ""
)</f>
        <v/>
      </c>
      <c r="E3272" s="7">
        <v>0</v>
      </c>
      <c r="F3272" s="7" t="str">
        <f>IFERROR(
   INDEX(tbl_ProduitsRef[Prix Menu],MATCH(tbl_Ventes[[#This Row],[Produit]],tbl_ProduitsRef[Produit],0)),
   ""
)</f>
        <v/>
      </c>
      <c r="G3272" s="7">
        <f>tbl_Ventes[[#This Row],[Qté Vendue]] * IFERROR(_xlfn.XLOOKUP(tbl_Ventes[[#This Row],[Cde_Prdt]], tbl_Produits[Cde_Prdt], tbl_Produits[Prix Menu]), 0)</f>
        <v>0</v>
      </c>
      <c r="H3272" s="7">
        <f>IFERROR(_xlfn.XLOOKUP(tbl_Ventes[[#This Row],[Cde_Prdt]], tbl_Produits[Cde_Prdt], tbl_Produits[Coût Moyen Portion]), 0)</f>
        <v>0</v>
      </c>
      <c r="I3272" s="7">
        <f>tbl_Ventes[[#This Row],[Qté Vendue]] * tbl_Ventes[[#This Row],[CMP_par_portion]]</f>
        <v>0</v>
      </c>
      <c r="J3272" s="7">
        <f>tbl_Ventes[[#This Row],[CA ligne]] - tbl_Ventes[[#This Row],[Coût matière ligne]]</f>
        <v>0</v>
      </c>
      <c r="K3272" s="7" t="str">
        <f>IFERROR(INDEX(tbl_ProduitsRef[Famille], MATCH(tbl_Ventes[[#This Row],[Cde_Prdt]], tbl_Produits[Cde_Prdt], 0)), "")</f>
        <v/>
      </c>
    </row>
    <row r="3273" spans="1:11" x14ac:dyDescent="0.25">
      <c r="A3273" s="5"/>
      <c r="B3273" s="63" t="str">
        <f>IFERROR(TEXT(tbl_Ventes[[#This Row],[Date]],"mm-aaaa"),"")</f>
        <v>01-1900</v>
      </c>
      <c r="D3273" s="10" t="str">
        <f>IFERROR(
   INDEX(tbl_ProduitsRef[Cde_Prdt],MATCH(tbl_Ventes[[#This Row],[Produit]],tbl_ProduitsRef[Produit],0)),
   ""
)</f>
        <v/>
      </c>
      <c r="E3273" s="7">
        <v>0</v>
      </c>
      <c r="F3273" s="7" t="str">
        <f>IFERROR(
   INDEX(tbl_ProduitsRef[Prix Menu],MATCH(tbl_Ventes[[#This Row],[Produit]],tbl_ProduitsRef[Produit],0)),
   ""
)</f>
        <v/>
      </c>
      <c r="G3273" s="7">
        <f>tbl_Ventes[[#This Row],[Qté Vendue]] * IFERROR(_xlfn.XLOOKUP(tbl_Ventes[[#This Row],[Cde_Prdt]], tbl_Produits[Cde_Prdt], tbl_Produits[Prix Menu]), 0)</f>
        <v>0</v>
      </c>
      <c r="H3273" s="7">
        <f>IFERROR(_xlfn.XLOOKUP(tbl_Ventes[[#This Row],[Cde_Prdt]], tbl_Produits[Cde_Prdt], tbl_Produits[Coût Moyen Portion]), 0)</f>
        <v>0</v>
      </c>
      <c r="I3273" s="7">
        <f>tbl_Ventes[[#This Row],[Qté Vendue]] * tbl_Ventes[[#This Row],[CMP_par_portion]]</f>
        <v>0</v>
      </c>
      <c r="J3273" s="7">
        <f>tbl_Ventes[[#This Row],[CA ligne]] - tbl_Ventes[[#This Row],[Coût matière ligne]]</f>
        <v>0</v>
      </c>
      <c r="K3273" s="7" t="str">
        <f>IFERROR(INDEX(tbl_ProduitsRef[Famille], MATCH(tbl_Ventes[[#This Row],[Cde_Prdt]], tbl_Produits[Cde_Prdt], 0)), "")</f>
        <v/>
      </c>
    </row>
    <row r="3274" spans="1:11" x14ac:dyDescent="0.25">
      <c r="A3274" s="5"/>
      <c r="B3274" s="63" t="str">
        <f>IFERROR(TEXT(tbl_Ventes[[#This Row],[Date]],"mm-aaaa"),"")</f>
        <v>01-1900</v>
      </c>
      <c r="D3274" s="10" t="str">
        <f>IFERROR(
   INDEX(tbl_ProduitsRef[Cde_Prdt],MATCH(tbl_Ventes[[#This Row],[Produit]],tbl_ProduitsRef[Produit],0)),
   ""
)</f>
        <v/>
      </c>
      <c r="E3274" s="7">
        <v>0</v>
      </c>
      <c r="F3274" s="7" t="str">
        <f>IFERROR(
   INDEX(tbl_ProduitsRef[Prix Menu],MATCH(tbl_Ventes[[#This Row],[Produit]],tbl_ProduitsRef[Produit],0)),
   ""
)</f>
        <v/>
      </c>
      <c r="G3274" s="7">
        <f>tbl_Ventes[[#This Row],[Qté Vendue]] * IFERROR(_xlfn.XLOOKUP(tbl_Ventes[[#This Row],[Cde_Prdt]], tbl_Produits[Cde_Prdt], tbl_Produits[Prix Menu]), 0)</f>
        <v>0</v>
      </c>
      <c r="H3274" s="7">
        <f>IFERROR(_xlfn.XLOOKUP(tbl_Ventes[[#This Row],[Cde_Prdt]], tbl_Produits[Cde_Prdt], tbl_Produits[Coût Moyen Portion]), 0)</f>
        <v>0</v>
      </c>
      <c r="I3274" s="7">
        <f>tbl_Ventes[[#This Row],[Qté Vendue]] * tbl_Ventes[[#This Row],[CMP_par_portion]]</f>
        <v>0</v>
      </c>
      <c r="J3274" s="7">
        <f>tbl_Ventes[[#This Row],[CA ligne]] - tbl_Ventes[[#This Row],[Coût matière ligne]]</f>
        <v>0</v>
      </c>
      <c r="K3274" s="7" t="str">
        <f>IFERROR(INDEX(tbl_ProduitsRef[Famille], MATCH(tbl_Ventes[[#This Row],[Cde_Prdt]], tbl_Produits[Cde_Prdt], 0)), "")</f>
        <v/>
      </c>
    </row>
    <row r="3275" spans="1:11" x14ac:dyDescent="0.25">
      <c r="A3275" s="5"/>
      <c r="B3275" s="63" t="str">
        <f>IFERROR(TEXT(tbl_Ventes[[#This Row],[Date]],"mm-aaaa"),"")</f>
        <v>01-1900</v>
      </c>
      <c r="D3275" s="10" t="str">
        <f>IFERROR(
   INDEX(tbl_ProduitsRef[Cde_Prdt],MATCH(tbl_Ventes[[#This Row],[Produit]],tbl_ProduitsRef[Produit],0)),
   ""
)</f>
        <v/>
      </c>
      <c r="E3275" s="7">
        <v>0</v>
      </c>
      <c r="F3275" s="7" t="str">
        <f>IFERROR(
   INDEX(tbl_ProduitsRef[Prix Menu],MATCH(tbl_Ventes[[#This Row],[Produit]],tbl_ProduitsRef[Produit],0)),
   ""
)</f>
        <v/>
      </c>
      <c r="G3275" s="7">
        <f>tbl_Ventes[[#This Row],[Qté Vendue]] * IFERROR(_xlfn.XLOOKUP(tbl_Ventes[[#This Row],[Cde_Prdt]], tbl_Produits[Cde_Prdt], tbl_Produits[Prix Menu]), 0)</f>
        <v>0</v>
      </c>
      <c r="H3275" s="7">
        <f>IFERROR(_xlfn.XLOOKUP(tbl_Ventes[[#This Row],[Cde_Prdt]], tbl_Produits[Cde_Prdt], tbl_Produits[Coût Moyen Portion]), 0)</f>
        <v>0</v>
      </c>
      <c r="I3275" s="7">
        <f>tbl_Ventes[[#This Row],[Qté Vendue]] * tbl_Ventes[[#This Row],[CMP_par_portion]]</f>
        <v>0</v>
      </c>
      <c r="J3275" s="7">
        <f>tbl_Ventes[[#This Row],[CA ligne]] - tbl_Ventes[[#This Row],[Coût matière ligne]]</f>
        <v>0</v>
      </c>
      <c r="K3275" s="7" t="str">
        <f>IFERROR(INDEX(tbl_ProduitsRef[Famille], MATCH(tbl_Ventes[[#This Row],[Cde_Prdt]], tbl_Produits[Cde_Prdt], 0)), "")</f>
        <v/>
      </c>
    </row>
    <row r="3276" spans="1:11" x14ac:dyDescent="0.25">
      <c r="A3276" s="5"/>
      <c r="B3276" s="63" t="str">
        <f>IFERROR(TEXT(tbl_Ventes[[#This Row],[Date]],"mm-aaaa"),"")</f>
        <v>01-1900</v>
      </c>
      <c r="D3276" s="10" t="str">
        <f>IFERROR(
   INDEX(tbl_ProduitsRef[Cde_Prdt],MATCH(tbl_Ventes[[#This Row],[Produit]],tbl_ProduitsRef[Produit],0)),
   ""
)</f>
        <v/>
      </c>
      <c r="E3276" s="7">
        <v>0</v>
      </c>
      <c r="F3276" s="7" t="str">
        <f>IFERROR(
   INDEX(tbl_ProduitsRef[Prix Menu],MATCH(tbl_Ventes[[#This Row],[Produit]],tbl_ProduitsRef[Produit],0)),
   ""
)</f>
        <v/>
      </c>
      <c r="G3276" s="7">
        <f>tbl_Ventes[[#This Row],[Qté Vendue]] * IFERROR(_xlfn.XLOOKUP(tbl_Ventes[[#This Row],[Cde_Prdt]], tbl_Produits[Cde_Prdt], tbl_Produits[Prix Menu]), 0)</f>
        <v>0</v>
      </c>
      <c r="H3276" s="7">
        <f>IFERROR(_xlfn.XLOOKUP(tbl_Ventes[[#This Row],[Cde_Prdt]], tbl_Produits[Cde_Prdt], tbl_Produits[Coût Moyen Portion]), 0)</f>
        <v>0</v>
      </c>
      <c r="I3276" s="7">
        <f>tbl_Ventes[[#This Row],[Qté Vendue]] * tbl_Ventes[[#This Row],[CMP_par_portion]]</f>
        <v>0</v>
      </c>
      <c r="J3276" s="7">
        <f>tbl_Ventes[[#This Row],[CA ligne]] - tbl_Ventes[[#This Row],[Coût matière ligne]]</f>
        <v>0</v>
      </c>
      <c r="K3276" s="7" t="str">
        <f>IFERROR(INDEX(tbl_ProduitsRef[Famille], MATCH(tbl_Ventes[[#This Row],[Cde_Prdt]], tbl_Produits[Cde_Prdt], 0)), "")</f>
        <v/>
      </c>
    </row>
    <row r="3277" spans="1:11" x14ac:dyDescent="0.25">
      <c r="A3277" s="5"/>
      <c r="B3277" s="63" t="str">
        <f>IFERROR(TEXT(tbl_Ventes[[#This Row],[Date]],"mm-aaaa"),"")</f>
        <v>01-1900</v>
      </c>
      <c r="D3277" s="10" t="str">
        <f>IFERROR(
   INDEX(tbl_ProduitsRef[Cde_Prdt],MATCH(tbl_Ventes[[#This Row],[Produit]],tbl_ProduitsRef[Produit],0)),
   ""
)</f>
        <v/>
      </c>
      <c r="E3277" s="7">
        <v>0</v>
      </c>
      <c r="F3277" s="7" t="str">
        <f>IFERROR(
   INDEX(tbl_ProduitsRef[Prix Menu],MATCH(tbl_Ventes[[#This Row],[Produit]],tbl_ProduitsRef[Produit],0)),
   ""
)</f>
        <v/>
      </c>
      <c r="G3277" s="7">
        <f>tbl_Ventes[[#This Row],[Qté Vendue]] * IFERROR(_xlfn.XLOOKUP(tbl_Ventes[[#This Row],[Cde_Prdt]], tbl_Produits[Cde_Prdt], tbl_Produits[Prix Menu]), 0)</f>
        <v>0</v>
      </c>
      <c r="H3277" s="7">
        <f>IFERROR(_xlfn.XLOOKUP(tbl_Ventes[[#This Row],[Cde_Prdt]], tbl_Produits[Cde_Prdt], tbl_Produits[Coût Moyen Portion]), 0)</f>
        <v>0</v>
      </c>
      <c r="I3277" s="7">
        <f>tbl_Ventes[[#This Row],[Qté Vendue]] * tbl_Ventes[[#This Row],[CMP_par_portion]]</f>
        <v>0</v>
      </c>
      <c r="J3277" s="7">
        <f>tbl_Ventes[[#This Row],[CA ligne]] - tbl_Ventes[[#This Row],[Coût matière ligne]]</f>
        <v>0</v>
      </c>
      <c r="K3277" s="7" t="str">
        <f>IFERROR(INDEX(tbl_ProduitsRef[Famille], MATCH(tbl_Ventes[[#This Row],[Cde_Prdt]], tbl_Produits[Cde_Prdt], 0)), "")</f>
        <v/>
      </c>
    </row>
    <row r="3278" spans="1:11" x14ac:dyDescent="0.25">
      <c r="A3278" s="5"/>
      <c r="B3278" s="63" t="str">
        <f>IFERROR(TEXT(tbl_Ventes[[#This Row],[Date]],"mm-aaaa"),"")</f>
        <v>01-1900</v>
      </c>
      <c r="D3278" s="10" t="str">
        <f>IFERROR(
   INDEX(tbl_ProduitsRef[Cde_Prdt],MATCH(tbl_Ventes[[#This Row],[Produit]],tbl_ProduitsRef[Produit],0)),
   ""
)</f>
        <v/>
      </c>
      <c r="E3278" s="7">
        <v>0</v>
      </c>
      <c r="F3278" s="7" t="str">
        <f>IFERROR(
   INDEX(tbl_ProduitsRef[Prix Menu],MATCH(tbl_Ventes[[#This Row],[Produit]],tbl_ProduitsRef[Produit],0)),
   ""
)</f>
        <v/>
      </c>
      <c r="G3278" s="7">
        <f>tbl_Ventes[[#This Row],[Qté Vendue]] * IFERROR(_xlfn.XLOOKUP(tbl_Ventes[[#This Row],[Cde_Prdt]], tbl_Produits[Cde_Prdt], tbl_Produits[Prix Menu]), 0)</f>
        <v>0</v>
      </c>
      <c r="H3278" s="7">
        <f>IFERROR(_xlfn.XLOOKUP(tbl_Ventes[[#This Row],[Cde_Prdt]], tbl_Produits[Cde_Prdt], tbl_Produits[Coût Moyen Portion]), 0)</f>
        <v>0</v>
      </c>
      <c r="I3278" s="7">
        <f>tbl_Ventes[[#This Row],[Qté Vendue]] * tbl_Ventes[[#This Row],[CMP_par_portion]]</f>
        <v>0</v>
      </c>
      <c r="J3278" s="7">
        <f>tbl_Ventes[[#This Row],[CA ligne]] - tbl_Ventes[[#This Row],[Coût matière ligne]]</f>
        <v>0</v>
      </c>
      <c r="K3278" s="7" t="str">
        <f>IFERROR(INDEX(tbl_ProduitsRef[Famille], MATCH(tbl_Ventes[[#This Row],[Cde_Prdt]], tbl_Produits[Cde_Prdt], 0)), "")</f>
        <v/>
      </c>
    </row>
    <row r="3279" spans="1:11" x14ac:dyDescent="0.25">
      <c r="A3279" s="5"/>
      <c r="B3279" s="63" t="str">
        <f>IFERROR(TEXT(tbl_Ventes[[#This Row],[Date]],"mm-aaaa"),"")</f>
        <v>01-1900</v>
      </c>
      <c r="D3279" s="10" t="str">
        <f>IFERROR(
   INDEX(tbl_ProduitsRef[Cde_Prdt],MATCH(tbl_Ventes[[#This Row],[Produit]],tbl_ProduitsRef[Produit],0)),
   ""
)</f>
        <v/>
      </c>
      <c r="E3279" s="7">
        <v>0</v>
      </c>
      <c r="F3279" s="7" t="str">
        <f>IFERROR(
   INDEX(tbl_ProduitsRef[Prix Menu],MATCH(tbl_Ventes[[#This Row],[Produit]],tbl_ProduitsRef[Produit],0)),
   ""
)</f>
        <v/>
      </c>
      <c r="G3279" s="7">
        <f>tbl_Ventes[[#This Row],[Qté Vendue]] * IFERROR(_xlfn.XLOOKUP(tbl_Ventes[[#This Row],[Cde_Prdt]], tbl_Produits[Cde_Prdt], tbl_Produits[Prix Menu]), 0)</f>
        <v>0</v>
      </c>
      <c r="H3279" s="7">
        <f>IFERROR(_xlfn.XLOOKUP(tbl_Ventes[[#This Row],[Cde_Prdt]], tbl_Produits[Cde_Prdt], tbl_Produits[Coût Moyen Portion]), 0)</f>
        <v>0</v>
      </c>
      <c r="I3279" s="7">
        <f>tbl_Ventes[[#This Row],[Qté Vendue]] * tbl_Ventes[[#This Row],[CMP_par_portion]]</f>
        <v>0</v>
      </c>
      <c r="J3279" s="7">
        <f>tbl_Ventes[[#This Row],[CA ligne]] - tbl_Ventes[[#This Row],[Coût matière ligne]]</f>
        <v>0</v>
      </c>
      <c r="K3279" s="7" t="str">
        <f>IFERROR(INDEX(tbl_ProduitsRef[Famille], MATCH(tbl_Ventes[[#This Row],[Cde_Prdt]], tbl_Produits[Cde_Prdt], 0)), "")</f>
        <v/>
      </c>
    </row>
    <row r="3280" spans="1:11" x14ac:dyDescent="0.25">
      <c r="A3280" s="5"/>
      <c r="B3280" s="63" t="str">
        <f>IFERROR(TEXT(tbl_Ventes[[#This Row],[Date]],"mm-aaaa"),"")</f>
        <v>01-1900</v>
      </c>
      <c r="D3280" s="10" t="str">
        <f>IFERROR(
   INDEX(tbl_ProduitsRef[Cde_Prdt],MATCH(tbl_Ventes[[#This Row],[Produit]],tbl_ProduitsRef[Produit],0)),
   ""
)</f>
        <v/>
      </c>
      <c r="E3280" s="7">
        <v>0</v>
      </c>
      <c r="F3280" s="7" t="str">
        <f>IFERROR(
   INDEX(tbl_ProduitsRef[Prix Menu],MATCH(tbl_Ventes[[#This Row],[Produit]],tbl_ProduitsRef[Produit],0)),
   ""
)</f>
        <v/>
      </c>
      <c r="G3280" s="7">
        <f>tbl_Ventes[[#This Row],[Qté Vendue]] * IFERROR(_xlfn.XLOOKUP(tbl_Ventes[[#This Row],[Cde_Prdt]], tbl_Produits[Cde_Prdt], tbl_Produits[Prix Menu]), 0)</f>
        <v>0</v>
      </c>
      <c r="H3280" s="7">
        <f>IFERROR(_xlfn.XLOOKUP(tbl_Ventes[[#This Row],[Cde_Prdt]], tbl_Produits[Cde_Prdt], tbl_Produits[Coût Moyen Portion]), 0)</f>
        <v>0</v>
      </c>
      <c r="I3280" s="7">
        <f>tbl_Ventes[[#This Row],[Qté Vendue]] * tbl_Ventes[[#This Row],[CMP_par_portion]]</f>
        <v>0</v>
      </c>
      <c r="J3280" s="7">
        <f>tbl_Ventes[[#This Row],[CA ligne]] - tbl_Ventes[[#This Row],[Coût matière ligne]]</f>
        <v>0</v>
      </c>
      <c r="K3280" s="7" t="str">
        <f>IFERROR(INDEX(tbl_ProduitsRef[Famille], MATCH(tbl_Ventes[[#This Row],[Cde_Prdt]], tbl_Produits[Cde_Prdt], 0)), "")</f>
        <v/>
      </c>
    </row>
    <row r="3281" spans="1:11" x14ac:dyDescent="0.25">
      <c r="A3281" s="5"/>
      <c r="B3281" s="63" t="str">
        <f>IFERROR(TEXT(tbl_Ventes[[#This Row],[Date]],"mm-aaaa"),"")</f>
        <v>01-1900</v>
      </c>
      <c r="D3281" s="10" t="str">
        <f>IFERROR(
   INDEX(tbl_ProduitsRef[Cde_Prdt],MATCH(tbl_Ventes[[#This Row],[Produit]],tbl_ProduitsRef[Produit],0)),
   ""
)</f>
        <v/>
      </c>
      <c r="E3281" s="7">
        <v>0</v>
      </c>
      <c r="F3281" s="7" t="str">
        <f>IFERROR(
   INDEX(tbl_ProduitsRef[Prix Menu],MATCH(tbl_Ventes[[#This Row],[Produit]],tbl_ProduitsRef[Produit],0)),
   ""
)</f>
        <v/>
      </c>
      <c r="G3281" s="7">
        <f>tbl_Ventes[[#This Row],[Qté Vendue]] * IFERROR(_xlfn.XLOOKUP(tbl_Ventes[[#This Row],[Cde_Prdt]], tbl_Produits[Cde_Prdt], tbl_Produits[Prix Menu]), 0)</f>
        <v>0</v>
      </c>
      <c r="H3281" s="7">
        <f>IFERROR(_xlfn.XLOOKUP(tbl_Ventes[[#This Row],[Cde_Prdt]], tbl_Produits[Cde_Prdt], tbl_Produits[Coût Moyen Portion]), 0)</f>
        <v>0</v>
      </c>
      <c r="I3281" s="7">
        <f>tbl_Ventes[[#This Row],[Qté Vendue]] * tbl_Ventes[[#This Row],[CMP_par_portion]]</f>
        <v>0</v>
      </c>
      <c r="J3281" s="7">
        <f>tbl_Ventes[[#This Row],[CA ligne]] - tbl_Ventes[[#This Row],[Coût matière ligne]]</f>
        <v>0</v>
      </c>
      <c r="K3281" s="7" t="str">
        <f>IFERROR(INDEX(tbl_ProduitsRef[Famille], MATCH(tbl_Ventes[[#This Row],[Cde_Prdt]], tbl_Produits[Cde_Prdt], 0)), "")</f>
        <v/>
      </c>
    </row>
    <row r="3282" spans="1:11" x14ac:dyDescent="0.25">
      <c r="A3282" s="5"/>
      <c r="B3282" s="63" t="str">
        <f>IFERROR(TEXT(tbl_Ventes[[#This Row],[Date]],"mm-aaaa"),"")</f>
        <v>01-1900</v>
      </c>
      <c r="D3282" s="10" t="str">
        <f>IFERROR(
   INDEX(tbl_ProduitsRef[Cde_Prdt],MATCH(tbl_Ventes[[#This Row],[Produit]],tbl_ProduitsRef[Produit],0)),
   ""
)</f>
        <v/>
      </c>
      <c r="E3282" s="7">
        <v>0</v>
      </c>
      <c r="F3282" s="7" t="str">
        <f>IFERROR(
   INDEX(tbl_ProduitsRef[Prix Menu],MATCH(tbl_Ventes[[#This Row],[Produit]],tbl_ProduitsRef[Produit],0)),
   ""
)</f>
        <v/>
      </c>
      <c r="G3282" s="7">
        <f>tbl_Ventes[[#This Row],[Qté Vendue]] * IFERROR(_xlfn.XLOOKUP(tbl_Ventes[[#This Row],[Cde_Prdt]], tbl_Produits[Cde_Prdt], tbl_Produits[Prix Menu]), 0)</f>
        <v>0</v>
      </c>
      <c r="H3282" s="7">
        <f>IFERROR(_xlfn.XLOOKUP(tbl_Ventes[[#This Row],[Cde_Prdt]], tbl_Produits[Cde_Prdt], tbl_Produits[Coût Moyen Portion]), 0)</f>
        <v>0</v>
      </c>
      <c r="I3282" s="7">
        <f>tbl_Ventes[[#This Row],[Qté Vendue]] * tbl_Ventes[[#This Row],[CMP_par_portion]]</f>
        <v>0</v>
      </c>
      <c r="J3282" s="7">
        <f>tbl_Ventes[[#This Row],[CA ligne]] - tbl_Ventes[[#This Row],[Coût matière ligne]]</f>
        <v>0</v>
      </c>
      <c r="K3282" s="7" t="str">
        <f>IFERROR(INDEX(tbl_ProduitsRef[Famille], MATCH(tbl_Ventes[[#This Row],[Cde_Prdt]], tbl_Produits[Cde_Prdt], 0)), "")</f>
        <v/>
      </c>
    </row>
    <row r="3283" spans="1:11" x14ac:dyDescent="0.25">
      <c r="A3283" s="5"/>
      <c r="B3283" s="63" t="str">
        <f>IFERROR(TEXT(tbl_Ventes[[#This Row],[Date]],"mm-aaaa"),"")</f>
        <v>01-1900</v>
      </c>
      <c r="D3283" s="10" t="str">
        <f>IFERROR(
   INDEX(tbl_ProduitsRef[Cde_Prdt],MATCH(tbl_Ventes[[#This Row],[Produit]],tbl_ProduitsRef[Produit],0)),
   ""
)</f>
        <v/>
      </c>
      <c r="E3283" s="7">
        <v>0</v>
      </c>
      <c r="F3283" s="7" t="str">
        <f>IFERROR(
   INDEX(tbl_ProduitsRef[Prix Menu],MATCH(tbl_Ventes[[#This Row],[Produit]],tbl_ProduitsRef[Produit],0)),
   ""
)</f>
        <v/>
      </c>
      <c r="G3283" s="7">
        <f>tbl_Ventes[[#This Row],[Qté Vendue]] * IFERROR(_xlfn.XLOOKUP(tbl_Ventes[[#This Row],[Cde_Prdt]], tbl_Produits[Cde_Prdt], tbl_Produits[Prix Menu]), 0)</f>
        <v>0</v>
      </c>
      <c r="H3283" s="7">
        <f>IFERROR(_xlfn.XLOOKUP(tbl_Ventes[[#This Row],[Cde_Prdt]], tbl_Produits[Cde_Prdt], tbl_Produits[Coût Moyen Portion]), 0)</f>
        <v>0</v>
      </c>
      <c r="I3283" s="7">
        <f>tbl_Ventes[[#This Row],[Qté Vendue]] * tbl_Ventes[[#This Row],[CMP_par_portion]]</f>
        <v>0</v>
      </c>
      <c r="J3283" s="7">
        <f>tbl_Ventes[[#This Row],[CA ligne]] - tbl_Ventes[[#This Row],[Coût matière ligne]]</f>
        <v>0</v>
      </c>
      <c r="K3283" s="7" t="str">
        <f>IFERROR(INDEX(tbl_ProduitsRef[Famille], MATCH(tbl_Ventes[[#This Row],[Cde_Prdt]], tbl_Produits[Cde_Prdt], 0)), "")</f>
        <v/>
      </c>
    </row>
    <row r="3284" spans="1:11" x14ac:dyDescent="0.25">
      <c r="A3284" s="5"/>
      <c r="B3284" s="63" t="str">
        <f>IFERROR(TEXT(tbl_Ventes[[#This Row],[Date]],"mm-aaaa"),"")</f>
        <v>01-1900</v>
      </c>
      <c r="D3284" s="10" t="str">
        <f>IFERROR(
   INDEX(tbl_ProduitsRef[Cde_Prdt],MATCH(tbl_Ventes[[#This Row],[Produit]],tbl_ProduitsRef[Produit],0)),
   ""
)</f>
        <v/>
      </c>
      <c r="E3284" s="7">
        <v>0</v>
      </c>
      <c r="F3284" s="7" t="str">
        <f>IFERROR(
   INDEX(tbl_ProduitsRef[Prix Menu],MATCH(tbl_Ventes[[#This Row],[Produit]],tbl_ProduitsRef[Produit],0)),
   ""
)</f>
        <v/>
      </c>
      <c r="G3284" s="7">
        <f>tbl_Ventes[[#This Row],[Qté Vendue]] * IFERROR(_xlfn.XLOOKUP(tbl_Ventes[[#This Row],[Cde_Prdt]], tbl_Produits[Cde_Prdt], tbl_Produits[Prix Menu]), 0)</f>
        <v>0</v>
      </c>
      <c r="H3284" s="7">
        <f>IFERROR(_xlfn.XLOOKUP(tbl_Ventes[[#This Row],[Cde_Prdt]], tbl_Produits[Cde_Prdt], tbl_Produits[Coût Moyen Portion]), 0)</f>
        <v>0</v>
      </c>
      <c r="I3284" s="7">
        <f>tbl_Ventes[[#This Row],[Qté Vendue]] * tbl_Ventes[[#This Row],[CMP_par_portion]]</f>
        <v>0</v>
      </c>
      <c r="J3284" s="7">
        <f>tbl_Ventes[[#This Row],[CA ligne]] - tbl_Ventes[[#This Row],[Coût matière ligne]]</f>
        <v>0</v>
      </c>
      <c r="K3284" s="7" t="str">
        <f>IFERROR(INDEX(tbl_ProduitsRef[Famille], MATCH(tbl_Ventes[[#This Row],[Cde_Prdt]], tbl_Produits[Cde_Prdt], 0)), "")</f>
        <v/>
      </c>
    </row>
    <row r="3285" spans="1:11" x14ac:dyDescent="0.25">
      <c r="A3285" s="5"/>
      <c r="B3285" s="63" t="str">
        <f>IFERROR(TEXT(tbl_Ventes[[#This Row],[Date]],"mm-aaaa"),"")</f>
        <v>01-1900</v>
      </c>
      <c r="D3285" s="10" t="str">
        <f>IFERROR(
   INDEX(tbl_ProduitsRef[Cde_Prdt],MATCH(tbl_Ventes[[#This Row],[Produit]],tbl_ProduitsRef[Produit],0)),
   ""
)</f>
        <v/>
      </c>
      <c r="E3285" s="7">
        <v>0</v>
      </c>
      <c r="F3285" s="7" t="str">
        <f>IFERROR(
   INDEX(tbl_ProduitsRef[Prix Menu],MATCH(tbl_Ventes[[#This Row],[Produit]],tbl_ProduitsRef[Produit],0)),
   ""
)</f>
        <v/>
      </c>
      <c r="G3285" s="7">
        <f>tbl_Ventes[[#This Row],[Qté Vendue]] * IFERROR(_xlfn.XLOOKUP(tbl_Ventes[[#This Row],[Cde_Prdt]], tbl_Produits[Cde_Prdt], tbl_Produits[Prix Menu]), 0)</f>
        <v>0</v>
      </c>
      <c r="H3285" s="7">
        <f>IFERROR(_xlfn.XLOOKUP(tbl_Ventes[[#This Row],[Cde_Prdt]], tbl_Produits[Cde_Prdt], tbl_Produits[Coût Moyen Portion]), 0)</f>
        <v>0</v>
      </c>
      <c r="I3285" s="7">
        <f>tbl_Ventes[[#This Row],[Qté Vendue]] * tbl_Ventes[[#This Row],[CMP_par_portion]]</f>
        <v>0</v>
      </c>
      <c r="J3285" s="7">
        <f>tbl_Ventes[[#This Row],[CA ligne]] - tbl_Ventes[[#This Row],[Coût matière ligne]]</f>
        <v>0</v>
      </c>
      <c r="K3285" s="7" t="str">
        <f>IFERROR(INDEX(tbl_ProduitsRef[Famille], MATCH(tbl_Ventes[[#This Row],[Cde_Prdt]], tbl_Produits[Cde_Prdt], 0)), "")</f>
        <v/>
      </c>
    </row>
    <row r="3286" spans="1:11" x14ac:dyDescent="0.25">
      <c r="A3286" s="5"/>
      <c r="B3286" s="63" t="str">
        <f>IFERROR(TEXT(tbl_Ventes[[#This Row],[Date]],"mm-aaaa"),"")</f>
        <v>01-1900</v>
      </c>
      <c r="D3286" s="10" t="str">
        <f>IFERROR(
   INDEX(tbl_ProduitsRef[Cde_Prdt],MATCH(tbl_Ventes[[#This Row],[Produit]],tbl_ProduitsRef[Produit],0)),
   ""
)</f>
        <v/>
      </c>
      <c r="E3286" s="7">
        <v>0</v>
      </c>
      <c r="F3286" s="7" t="str">
        <f>IFERROR(
   INDEX(tbl_ProduitsRef[Prix Menu],MATCH(tbl_Ventes[[#This Row],[Produit]],tbl_ProduitsRef[Produit],0)),
   ""
)</f>
        <v/>
      </c>
      <c r="G3286" s="7">
        <f>tbl_Ventes[[#This Row],[Qté Vendue]] * IFERROR(_xlfn.XLOOKUP(tbl_Ventes[[#This Row],[Cde_Prdt]], tbl_Produits[Cde_Prdt], tbl_Produits[Prix Menu]), 0)</f>
        <v>0</v>
      </c>
      <c r="H3286" s="7">
        <f>IFERROR(_xlfn.XLOOKUP(tbl_Ventes[[#This Row],[Cde_Prdt]], tbl_Produits[Cde_Prdt], tbl_Produits[Coût Moyen Portion]), 0)</f>
        <v>0</v>
      </c>
      <c r="I3286" s="7">
        <f>tbl_Ventes[[#This Row],[Qté Vendue]] * tbl_Ventes[[#This Row],[CMP_par_portion]]</f>
        <v>0</v>
      </c>
      <c r="J3286" s="7">
        <f>tbl_Ventes[[#This Row],[CA ligne]] - tbl_Ventes[[#This Row],[Coût matière ligne]]</f>
        <v>0</v>
      </c>
      <c r="K3286" s="7" t="str">
        <f>IFERROR(INDEX(tbl_ProduitsRef[Famille], MATCH(tbl_Ventes[[#This Row],[Cde_Prdt]], tbl_Produits[Cde_Prdt], 0)), "")</f>
        <v/>
      </c>
    </row>
    <row r="3287" spans="1:11" x14ac:dyDescent="0.25">
      <c r="A3287" s="5"/>
      <c r="B3287" s="63" t="str">
        <f>IFERROR(TEXT(tbl_Ventes[[#This Row],[Date]],"mm-aaaa"),"")</f>
        <v>01-1900</v>
      </c>
      <c r="D3287" s="10" t="str">
        <f>IFERROR(
   INDEX(tbl_ProduitsRef[Cde_Prdt],MATCH(tbl_Ventes[[#This Row],[Produit]],tbl_ProduitsRef[Produit],0)),
   ""
)</f>
        <v/>
      </c>
      <c r="E3287" s="7">
        <v>0</v>
      </c>
      <c r="F3287" s="7" t="str">
        <f>IFERROR(
   INDEX(tbl_ProduitsRef[Prix Menu],MATCH(tbl_Ventes[[#This Row],[Produit]],tbl_ProduitsRef[Produit],0)),
   ""
)</f>
        <v/>
      </c>
      <c r="G3287" s="7">
        <f>tbl_Ventes[[#This Row],[Qté Vendue]] * IFERROR(_xlfn.XLOOKUP(tbl_Ventes[[#This Row],[Cde_Prdt]], tbl_Produits[Cde_Prdt], tbl_Produits[Prix Menu]), 0)</f>
        <v>0</v>
      </c>
      <c r="H3287" s="7">
        <f>IFERROR(_xlfn.XLOOKUP(tbl_Ventes[[#This Row],[Cde_Prdt]], tbl_Produits[Cde_Prdt], tbl_Produits[Coût Moyen Portion]), 0)</f>
        <v>0</v>
      </c>
      <c r="I3287" s="7">
        <f>tbl_Ventes[[#This Row],[Qté Vendue]] * tbl_Ventes[[#This Row],[CMP_par_portion]]</f>
        <v>0</v>
      </c>
      <c r="J3287" s="7">
        <f>tbl_Ventes[[#This Row],[CA ligne]] - tbl_Ventes[[#This Row],[Coût matière ligne]]</f>
        <v>0</v>
      </c>
      <c r="K3287" s="7" t="str">
        <f>IFERROR(INDEX(tbl_ProduitsRef[Famille], MATCH(tbl_Ventes[[#This Row],[Cde_Prdt]], tbl_Produits[Cde_Prdt], 0)), "")</f>
        <v/>
      </c>
    </row>
    <row r="3288" spans="1:11" x14ac:dyDescent="0.25">
      <c r="A3288" s="5"/>
      <c r="B3288" s="63" t="str">
        <f>IFERROR(TEXT(tbl_Ventes[[#This Row],[Date]],"mm-aaaa"),"")</f>
        <v>01-1900</v>
      </c>
      <c r="D3288" s="10" t="str">
        <f>IFERROR(
   INDEX(tbl_ProduitsRef[Cde_Prdt],MATCH(tbl_Ventes[[#This Row],[Produit]],tbl_ProduitsRef[Produit],0)),
   ""
)</f>
        <v/>
      </c>
      <c r="E3288" s="7">
        <v>0</v>
      </c>
      <c r="F3288" s="7" t="str">
        <f>IFERROR(
   INDEX(tbl_ProduitsRef[Prix Menu],MATCH(tbl_Ventes[[#This Row],[Produit]],tbl_ProduitsRef[Produit],0)),
   ""
)</f>
        <v/>
      </c>
      <c r="G3288" s="7">
        <f>tbl_Ventes[[#This Row],[Qté Vendue]] * IFERROR(_xlfn.XLOOKUP(tbl_Ventes[[#This Row],[Cde_Prdt]], tbl_Produits[Cde_Prdt], tbl_Produits[Prix Menu]), 0)</f>
        <v>0</v>
      </c>
      <c r="H3288" s="7">
        <f>IFERROR(_xlfn.XLOOKUP(tbl_Ventes[[#This Row],[Cde_Prdt]], tbl_Produits[Cde_Prdt], tbl_Produits[Coût Moyen Portion]), 0)</f>
        <v>0</v>
      </c>
      <c r="I3288" s="7">
        <f>tbl_Ventes[[#This Row],[Qté Vendue]] * tbl_Ventes[[#This Row],[CMP_par_portion]]</f>
        <v>0</v>
      </c>
      <c r="J3288" s="7">
        <f>tbl_Ventes[[#This Row],[CA ligne]] - tbl_Ventes[[#This Row],[Coût matière ligne]]</f>
        <v>0</v>
      </c>
      <c r="K3288" s="7" t="str">
        <f>IFERROR(INDEX(tbl_ProduitsRef[Famille], MATCH(tbl_Ventes[[#This Row],[Cde_Prdt]], tbl_Produits[Cde_Prdt], 0)), "")</f>
        <v/>
      </c>
    </row>
    <row r="3289" spans="1:11" x14ac:dyDescent="0.25">
      <c r="A3289" s="5"/>
      <c r="B3289" s="63" t="str">
        <f>IFERROR(TEXT(tbl_Ventes[[#This Row],[Date]],"mm-aaaa"),"")</f>
        <v>01-1900</v>
      </c>
      <c r="D3289" s="10" t="str">
        <f>IFERROR(
   INDEX(tbl_ProduitsRef[Cde_Prdt],MATCH(tbl_Ventes[[#This Row],[Produit]],tbl_ProduitsRef[Produit],0)),
   ""
)</f>
        <v/>
      </c>
      <c r="E3289" s="7">
        <v>0</v>
      </c>
      <c r="F3289" s="7" t="str">
        <f>IFERROR(
   INDEX(tbl_ProduitsRef[Prix Menu],MATCH(tbl_Ventes[[#This Row],[Produit]],tbl_ProduitsRef[Produit],0)),
   ""
)</f>
        <v/>
      </c>
      <c r="G3289" s="7">
        <f>tbl_Ventes[[#This Row],[Qté Vendue]] * IFERROR(_xlfn.XLOOKUP(tbl_Ventes[[#This Row],[Cde_Prdt]], tbl_Produits[Cde_Prdt], tbl_Produits[Prix Menu]), 0)</f>
        <v>0</v>
      </c>
      <c r="H3289" s="7">
        <f>IFERROR(_xlfn.XLOOKUP(tbl_Ventes[[#This Row],[Cde_Prdt]], tbl_Produits[Cde_Prdt], tbl_Produits[Coût Moyen Portion]), 0)</f>
        <v>0</v>
      </c>
      <c r="I3289" s="7">
        <f>tbl_Ventes[[#This Row],[Qté Vendue]] * tbl_Ventes[[#This Row],[CMP_par_portion]]</f>
        <v>0</v>
      </c>
      <c r="J3289" s="7">
        <f>tbl_Ventes[[#This Row],[CA ligne]] - tbl_Ventes[[#This Row],[Coût matière ligne]]</f>
        <v>0</v>
      </c>
      <c r="K3289" s="7" t="str">
        <f>IFERROR(INDEX(tbl_ProduitsRef[Famille], MATCH(tbl_Ventes[[#This Row],[Cde_Prdt]], tbl_Produits[Cde_Prdt], 0)), "")</f>
        <v/>
      </c>
    </row>
    <row r="3290" spans="1:11" x14ac:dyDescent="0.25">
      <c r="A3290" s="5"/>
      <c r="B3290" s="63" t="str">
        <f>IFERROR(TEXT(tbl_Ventes[[#This Row],[Date]],"mm-aaaa"),"")</f>
        <v>01-1900</v>
      </c>
      <c r="D3290" s="10" t="str">
        <f>IFERROR(
   INDEX(tbl_ProduitsRef[Cde_Prdt],MATCH(tbl_Ventes[[#This Row],[Produit]],tbl_ProduitsRef[Produit],0)),
   ""
)</f>
        <v/>
      </c>
      <c r="E3290" s="7">
        <v>0</v>
      </c>
      <c r="F3290" s="7" t="str">
        <f>IFERROR(
   INDEX(tbl_ProduitsRef[Prix Menu],MATCH(tbl_Ventes[[#This Row],[Produit]],tbl_ProduitsRef[Produit],0)),
   ""
)</f>
        <v/>
      </c>
      <c r="G3290" s="7">
        <f>tbl_Ventes[[#This Row],[Qté Vendue]] * IFERROR(_xlfn.XLOOKUP(tbl_Ventes[[#This Row],[Cde_Prdt]], tbl_Produits[Cde_Prdt], tbl_Produits[Prix Menu]), 0)</f>
        <v>0</v>
      </c>
      <c r="H3290" s="7">
        <f>IFERROR(_xlfn.XLOOKUP(tbl_Ventes[[#This Row],[Cde_Prdt]], tbl_Produits[Cde_Prdt], tbl_Produits[Coût Moyen Portion]), 0)</f>
        <v>0</v>
      </c>
      <c r="I3290" s="7">
        <f>tbl_Ventes[[#This Row],[Qté Vendue]] * tbl_Ventes[[#This Row],[CMP_par_portion]]</f>
        <v>0</v>
      </c>
      <c r="J3290" s="7">
        <f>tbl_Ventes[[#This Row],[CA ligne]] - tbl_Ventes[[#This Row],[Coût matière ligne]]</f>
        <v>0</v>
      </c>
      <c r="K3290" s="7" t="str">
        <f>IFERROR(INDEX(tbl_ProduitsRef[Famille], MATCH(tbl_Ventes[[#This Row],[Cde_Prdt]], tbl_Produits[Cde_Prdt], 0)), "")</f>
        <v/>
      </c>
    </row>
    <row r="3291" spans="1:11" x14ac:dyDescent="0.25">
      <c r="A3291" s="5"/>
      <c r="B3291" s="63" t="str">
        <f>IFERROR(TEXT(tbl_Ventes[[#This Row],[Date]],"mm-aaaa"),"")</f>
        <v>01-1900</v>
      </c>
      <c r="D3291" s="10" t="str">
        <f>IFERROR(
   INDEX(tbl_ProduitsRef[Cde_Prdt],MATCH(tbl_Ventes[[#This Row],[Produit]],tbl_ProduitsRef[Produit],0)),
   ""
)</f>
        <v/>
      </c>
      <c r="E3291" s="7">
        <v>0</v>
      </c>
      <c r="F3291" s="7" t="str">
        <f>IFERROR(
   INDEX(tbl_ProduitsRef[Prix Menu],MATCH(tbl_Ventes[[#This Row],[Produit]],tbl_ProduitsRef[Produit],0)),
   ""
)</f>
        <v/>
      </c>
      <c r="G3291" s="7">
        <f>tbl_Ventes[[#This Row],[Qté Vendue]] * IFERROR(_xlfn.XLOOKUP(tbl_Ventes[[#This Row],[Cde_Prdt]], tbl_Produits[Cde_Prdt], tbl_Produits[Prix Menu]), 0)</f>
        <v>0</v>
      </c>
      <c r="H3291" s="7">
        <f>IFERROR(_xlfn.XLOOKUP(tbl_Ventes[[#This Row],[Cde_Prdt]], tbl_Produits[Cde_Prdt], tbl_Produits[Coût Moyen Portion]), 0)</f>
        <v>0</v>
      </c>
      <c r="I3291" s="7">
        <f>tbl_Ventes[[#This Row],[Qté Vendue]] * tbl_Ventes[[#This Row],[CMP_par_portion]]</f>
        <v>0</v>
      </c>
      <c r="J3291" s="7">
        <f>tbl_Ventes[[#This Row],[CA ligne]] - tbl_Ventes[[#This Row],[Coût matière ligne]]</f>
        <v>0</v>
      </c>
      <c r="K3291" s="7" t="str">
        <f>IFERROR(INDEX(tbl_ProduitsRef[Famille], MATCH(tbl_Ventes[[#This Row],[Cde_Prdt]], tbl_Produits[Cde_Prdt], 0)), "")</f>
        <v/>
      </c>
    </row>
    <row r="3292" spans="1:11" x14ac:dyDescent="0.25">
      <c r="A3292" s="5"/>
      <c r="B3292" s="63" t="str">
        <f>IFERROR(TEXT(tbl_Ventes[[#This Row],[Date]],"mm-aaaa"),"")</f>
        <v>01-1900</v>
      </c>
      <c r="D3292" s="10" t="str">
        <f>IFERROR(
   INDEX(tbl_ProduitsRef[Cde_Prdt],MATCH(tbl_Ventes[[#This Row],[Produit]],tbl_ProduitsRef[Produit],0)),
   ""
)</f>
        <v/>
      </c>
      <c r="E3292" s="7">
        <v>0</v>
      </c>
      <c r="F3292" s="7" t="str">
        <f>IFERROR(
   INDEX(tbl_ProduitsRef[Prix Menu],MATCH(tbl_Ventes[[#This Row],[Produit]],tbl_ProduitsRef[Produit],0)),
   ""
)</f>
        <v/>
      </c>
      <c r="G3292" s="7">
        <f>tbl_Ventes[[#This Row],[Qté Vendue]] * IFERROR(_xlfn.XLOOKUP(tbl_Ventes[[#This Row],[Cde_Prdt]], tbl_Produits[Cde_Prdt], tbl_Produits[Prix Menu]), 0)</f>
        <v>0</v>
      </c>
      <c r="H3292" s="7">
        <f>IFERROR(_xlfn.XLOOKUP(tbl_Ventes[[#This Row],[Cde_Prdt]], tbl_Produits[Cde_Prdt], tbl_Produits[Coût Moyen Portion]), 0)</f>
        <v>0</v>
      </c>
      <c r="I3292" s="7">
        <f>tbl_Ventes[[#This Row],[Qté Vendue]] * tbl_Ventes[[#This Row],[CMP_par_portion]]</f>
        <v>0</v>
      </c>
      <c r="J3292" s="7">
        <f>tbl_Ventes[[#This Row],[CA ligne]] - tbl_Ventes[[#This Row],[Coût matière ligne]]</f>
        <v>0</v>
      </c>
      <c r="K3292" s="7" t="str">
        <f>IFERROR(INDEX(tbl_ProduitsRef[Famille], MATCH(tbl_Ventes[[#This Row],[Cde_Prdt]], tbl_Produits[Cde_Prdt], 0)), "")</f>
        <v/>
      </c>
    </row>
    <row r="3293" spans="1:11" x14ac:dyDescent="0.25">
      <c r="A3293" s="5"/>
      <c r="B3293" s="63" t="str">
        <f>IFERROR(TEXT(tbl_Ventes[[#This Row],[Date]],"mm-aaaa"),"")</f>
        <v>01-1900</v>
      </c>
      <c r="D3293" s="10" t="str">
        <f>IFERROR(
   INDEX(tbl_ProduitsRef[Cde_Prdt],MATCH(tbl_Ventes[[#This Row],[Produit]],tbl_ProduitsRef[Produit],0)),
   ""
)</f>
        <v/>
      </c>
      <c r="E3293" s="7">
        <v>0</v>
      </c>
      <c r="F3293" s="7" t="str">
        <f>IFERROR(
   INDEX(tbl_ProduitsRef[Prix Menu],MATCH(tbl_Ventes[[#This Row],[Produit]],tbl_ProduitsRef[Produit],0)),
   ""
)</f>
        <v/>
      </c>
      <c r="G3293" s="7">
        <f>tbl_Ventes[[#This Row],[Qté Vendue]] * IFERROR(_xlfn.XLOOKUP(tbl_Ventes[[#This Row],[Cde_Prdt]], tbl_Produits[Cde_Prdt], tbl_Produits[Prix Menu]), 0)</f>
        <v>0</v>
      </c>
      <c r="H3293" s="7">
        <f>IFERROR(_xlfn.XLOOKUP(tbl_Ventes[[#This Row],[Cde_Prdt]], tbl_Produits[Cde_Prdt], tbl_Produits[Coût Moyen Portion]), 0)</f>
        <v>0</v>
      </c>
      <c r="I3293" s="7">
        <f>tbl_Ventes[[#This Row],[Qté Vendue]] * tbl_Ventes[[#This Row],[CMP_par_portion]]</f>
        <v>0</v>
      </c>
      <c r="J3293" s="7">
        <f>tbl_Ventes[[#This Row],[CA ligne]] - tbl_Ventes[[#This Row],[Coût matière ligne]]</f>
        <v>0</v>
      </c>
      <c r="K3293" s="7" t="str">
        <f>IFERROR(INDEX(tbl_ProduitsRef[Famille], MATCH(tbl_Ventes[[#This Row],[Cde_Prdt]], tbl_Produits[Cde_Prdt], 0)), "")</f>
        <v/>
      </c>
    </row>
    <row r="3294" spans="1:11" x14ac:dyDescent="0.25">
      <c r="A3294" s="5"/>
      <c r="B3294" s="63" t="str">
        <f>IFERROR(TEXT(tbl_Ventes[[#This Row],[Date]],"mm-aaaa"),"")</f>
        <v>01-1900</v>
      </c>
      <c r="D3294" s="10" t="str">
        <f>IFERROR(
   INDEX(tbl_ProduitsRef[Cde_Prdt],MATCH(tbl_Ventes[[#This Row],[Produit]],tbl_ProduitsRef[Produit],0)),
   ""
)</f>
        <v/>
      </c>
      <c r="E3294" s="7">
        <v>0</v>
      </c>
      <c r="F3294" s="7" t="str">
        <f>IFERROR(
   INDEX(tbl_ProduitsRef[Prix Menu],MATCH(tbl_Ventes[[#This Row],[Produit]],tbl_ProduitsRef[Produit],0)),
   ""
)</f>
        <v/>
      </c>
      <c r="G3294" s="7">
        <f>tbl_Ventes[[#This Row],[Qté Vendue]] * IFERROR(_xlfn.XLOOKUP(tbl_Ventes[[#This Row],[Cde_Prdt]], tbl_Produits[Cde_Prdt], tbl_Produits[Prix Menu]), 0)</f>
        <v>0</v>
      </c>
      <c r="H3294" s="7">
        <f>IFERROR(_xlfn.XLOOKUP(tbl_Ventes[[#This Row],[Cde_Prdt]], tbl_Produits[Cde_Prdt], tbl_Produits[Coût Moyen Portion]), 0)</f>
        <v>0</v>
      </c>
      <c r="I3294" s="7">
        <f>tbl_Ventes[[#This Row],[Qté Vendue]] * tbl_Ventes[[#This Row],[CMP_par_portion]]</f>
        <v>0</v>
      </c>
      <c r="J3294" s="7">
        <f>tbl_Ventes[[#This Row],[CA ligne]] - tbl_Ventes[[#This Row],[Coût matière ligne]]</f>
        <v>0</v>
      </c>
      <c r="K3294" s="7" t="str">
        <f>IFERROR(INDEX(tbl_ProduitsRef[Famille], MATCH(tbl_Ventes[[#This Row],[Cde_Prdt]], tbl_Produits[Cde_Prdt], 0)), "")</f>
        <v/>
      </c>
    </row>
    <row r="3295" spans="1:11" x14ac:dyDescent="0.25">
      <c r="A3295" s="5"/>
      <c r="B3295" s="63" t="str">
        <f>IFERROR(TEXT(tbl_Ventes[[#This Row],[Date]],"mm-aaaa"),"")</f>
        <v>01-1900</v>
      </c>
      <c r="D3295" s="10" t="str">
        <f>IFERROR(
   INDEX(tbl_ProduitsRef[Cde_Prdt],MATCH(tbl_Ventes[[#This Row],[Produit]],tbl_ProduitsRef[Produit],0)),
   ""
)</f>
        <v/>
      </c>
      <c r="E3295" s="7">
        <v>0</v>
      </c>
      <c r="F3295" s="7" t="str">
        <f>IFERROR(
   INDEX(tbl_ProduitsRef[Prix Menu],MATCH(tbl_Ventes[[#This Row],[Produit]],tbl_ProduitsRef[Produit],0)),
   ""
)</f>
        <v/>
      </c>
      <c r="G3295" s="7">
        <f>tbl_Ventes[[#This Row],[Qté Vendue]] * IFERROR(_xlfn.XLOOKUP(tbl_Ventes[[#This Row],[Cde_Prdt]], tbl_Produits[Cde_Prdt], tbl_Produits[Prix Menu]), 0)</f>
        <v>0</v>
      </c>
      <c r="H3295" s="7">
        <f>IFERROR(_xlfn.XLOOKUP(tbl_Ventes[[#This Row],[Cde_Prdt]], tbl_Produits[Cde_Prdt], tbl_Produits[Coût Moyen Portion]), 0)</f>
        <v>0</v>
      </c>
      <c r="I3295" s="7">
        <f>tbl_Ventes[[#This Row],[Qté Vendue]] * tbl_Ventes[[#This Row],[CMP_par_portion]]</f>
        <v>0</v>
      </c>
      <c r="J3295" s="7">
        <f>tbl_Ventes[[#This Row],[CA ligne]] - tbl_Ventes[[#This Row],[Coût matière ligne]]</f>
        <v>0</v>
      </c>
      <c r="K3295" s="7" t="str">
        <f>IFERROR(INDEX(tbl_ProduitsRef[Famille], MATCH(tbl_Ventes[[#This Row],[Cde_Prdt]], tbl_Produits[Cde_Prdt], 0)), "")</f>
        <v/>
      </c>
    </row>
    <row r="3296" spans="1:11" x14ac:dyDescent="0.25">
      <c r="A3296" s="5"/>
      <c r="B3296" s="63" t="str">
        <f>IFERROR(TEXT(tbl_Ventes[[#This Row],[Date]],"mm-aaaa"),"")</f>
        <v>01-1900</v>
      </c>
      <c r="D3296" s="10" t="str">
        <f>IFERROR(
   INDEX(tbl_ProduitsRef[Cde_Prdt],MATCH(tbl_Ventes[[#This Row],[Produit]],tbl_ProduitsRef[Produit],0)),
   ""
)</f>
        <v/>
      </c>
      <c r="E3296" s="7">
        <v>0</v>
      </c>
      <c r="F3296" s="7" t="str">
        <f>IFERROR(
   INDEX(tbl_ProduitsRef[Prix Menu],MATCH(tbl_Ventes[[#This Row],[Produit]],tbl_ProduitsRef[Produit],0)),
   ""
)</f>
        <v/>
      </c>
      <c r="G3296" s="7">
        <f>tbl_Ventes[[#This Row],[Qté Vendue]] * IFERROR(_xlfn.XLOOKUP(tbl_Ventes[[#This Row],[Cde_Prdt]], tbl_Produits[Cde_Prdt], tbl_Produits[Prix Menu]), 0)</f>
        <v>0</v>
      </c>
      <c r="H3296" s="7">
        <f>IFERROR(_xlfn.XLOOKUP(tbl_Ventes[[#This Row],[Cde_Prdt]], tbl_Produits[Cde_Prdt], tbl_Produits[Coût Moyen Portion]), 0)</f>
        <v>0</v>
      </c>
      <c r="I3296" s="7">
        <f>tbl_Ventes[[#This Row],[Qté Vendue]] * tbl_Ventes[[#This Row],[CMP_par_portion]]</f>
        <v>0</v>
      </c>
      <c r="J3296" s="7">
        <f>tbl_Ventes[[#This Row],[CA ligne]] - tbl_Ventes[[#This Row],[Coût matière ligne]]</f>
        <v>0</v>
      </c>
      <c r="K3296" s="7" t="str">
        <f>IFERROR(INDEX(tbl_ProduitsRef[Famille], MATCH(tbl_Ventes[[#This Row],[Cde_Prdt]], tbl_Produits[Cde_Prdt], 0)), "")</f>
        <v/>
      </c>
    </row>
    <row r="3297" spans="1:11" x14ac:dyDescent="0.25">
      <c r="A3297" s="5"/>
      <c r="B3297" s="63" t="str">
        <f>IFERROR(TEXT(tbl_Ventes[[#This Row],[Date]],"mm-aaaa"),"")</f>
        <v>01-1900</v>
      </c>
      <c r="D3297" s="10" t="str">
        <f>IFERROR(
   INDEX(tbl_ProduitsRef[Cde_Prdt],MATCH(tbl_Ventes[[#This Row],[Produit]],tbl_ProduitsRef[Produit],0)),
   ""
)</f>
        <v/>
      </c>
      <c r="E3297" s="7">
        <v>0</v>
      </c>
      <c r="F3297" s="7" t="str">
        <f>IFERROR(
   INDEX(tbl_ProduitsRef[Prix Menu],MATCH(tbl_Ventes[[#This Row],[Produit]],tbl_ProduitsRef[Produit],0)),
   ""
)</f>
        <v/>
      </c>
      <c r="G3297" s="7">
        <f>tbl_Ventes[[#This Row],[Qté Vendue]] * IFERROR(_xlfn.XLOOKUP(tbl_Ventes[[#This Row],[Cde_Prdt]], tbl_Produits[Cde_Prdt], tbl_Produits[Prix Menu]), 0)</f>
        <v>0</v>
      </c>
      <c r="H3297" s="7">
        <f>IFERROR(_xlfn.XLOOKUP(tbl_Ventes[[#This Row],[Cde_Prdt]], tbl_Produits[Cde_Prdt], tbl_Produits[Coût Moyen Portion]), 0)</f>
        <v>0</v>
      </c>
      <c r="I3297" s="7">
        <f>tbl_Ventes[[#This Row],[Qté Vendue]] * tbl_Ventes[[#This Row],[CMP_par_portion]]</f>
        <v>0</v>
      </c>
      <c r="J3297" s="7">
        <f>tbl_Ventes[[#This Row],[CA ligne]] - tbl_Ventes[[#This Row],[Coût matière ligne]]</f>
        <v>0</v>
      </c>
      <c r="K3297" s="7" t="str">
        <f>IFERROR(INDEX(tbl_ProduitsRef[Famille], MATCH(tbl_Ventes[[#This Row],[Cde_Prdt]], tbl_Produits[Cde_Prdt], 0)), "")</f>
        <v/>
      </c>
    </row>
    <row r="3298" spans="1:11" x14ac:dyDescent="0.25">
      <c r="A3298" s="5"/>
      <c r="B3298" s="63" t="str">
        <f>IFERROR(TEXT(tbl_Ventes[[#This Row],[Date]],"mm-aaaa"),"")</f>
        <v>01-1900</v>
      </c>
      <c r="D3298" s="10" t="str">
        <f>IFERROR(
   INDEX(tbl_ProduitsRef[Cde_Prdt],MATCH(tbl_Ventes[[#This Row],[Produit]],tbl_ProduitsRef[Produit],0)),
   ""
)</f>
        <v/>
      </c>
      <c r="E3298" s="7">
        <v>0</v>
      </c>
      <c r="F3298" s="7" t="str">
        <f>IFERROR(
   INDEX(tbl_ProduitsRef[Prix Menu],MATCH(tbl_Ventes[[#This Row],[Produit]],tbl_ProduitsRef[Produit],0)),
   ""
)</f>
        <v/>
      </c>
      <c r="G3298" s="7">
        <f>tbl_Ventes[[#This Row],[Qté Vendue]] * IFERROR(_xlfn.XLOOKUP(tbl_Ventes[[#This Row],[Cde_Prdt]], tbl_Produits[Cde_Prdt], tbl_Produits[Prix Menu]), 0)</f>
        <v>0</v>
      </c>
      <c r="H3298" s="7">
        <f>IFERROR(_xlfn.XLOOKUP(tbl_Ventes[[#This Row],[Cde_Prdt]], tbl_Produits[Cde_Prdt], tbl_Produits[Coût Moyen Portion]), 0)</f>
        <v>0</v>
      </c>
      <c r="I3298" s="7">
        <f>tbl_Ventes[[#This Row],[Qté Vendue]] * tbl_Ventes[[#This Row],[CMP_par_portion]]</f>
        <v>0</v>
      </c>
      <c r="J3298" s="7">
        <f>tbl_Ventes[[#This Row],[CA ligne]] - tbl_Ventes[[#This Row],[Coût matière ligne]]</f>
        <v>0</v>
      </c>
      <c r="K3298" s="7" t="str">
        <f>IFERROR(INDEX(tbl_ProduitsRef[Famille], MATCH(tbl_Ventes[[#This Row],[Cde_Prdt]], tbl_Produits[Cde_Prdt], 0)), "")</f>
        <v/>
      </c>
    </row>
    <row r="3299" spans="1:11" x14ac:dyDescent="0.25">
      <c r="A3299" s="5"/>
      <c r="B3299" s="63" t="str">
        <f>IFERROR(TEXT(tbl_Ventes[[#This Row],[Date]],"mm-aaaa"),"")</f>
        <v>01-1900</v>
      </c>
      <c r="D3299" s="10" t="str">
        <f>IFERROR(
   INDEX(tbl_ProduitsRef[Cde_Prdt],MATCH(tbl_Ventes[[#This Row],[Produit]],tbl_ProduitsRef[Produit],0)),
   ""
)</f>
        <v/>
      </c>
      <c r="E3299" s="7">
        <v>0</v>
      </c>
      <c r="F3299" s="7" t="str">
        <f>IFERROR(
   INDEX(tbl_ProduitsRef[Prix Menu],MATCH(tbl_Ventes[[#This Row],[Produit]],tbl_ProduitsRef[Produit],0)),
   ""
)</f>
        <v/>
      </c>
      <c r="G3299" s="7">
        <f>tbl_Ventes[[#This Row],[Qté Vendue]] * IFERROR(_xlfn.XLOOKUP(tbl_Ventes[[#This Row],[Cde_Prdt]], tbl_Produits[Cde_Prdt], tbl_Produits[Prix Menu]), 0)</f>
        <v>0</v>
      </c>
      <c r="H3299" s="7">
        <f>IFERROR(_xlfn.XLOOKUP(tbl_Ventes[[#This Row],[Cde_Prdt]], tbl_Produits[Cde_Prdt], tbl_Produits[Coût Moyen Portion]), 0)</f>
        <v>0</v>
      </c>
      <c r="I3299" s="7">
        <f>tbl_Ventes[[#This Row],[Qté Vendue]] * tbl_Ventes[[#This Row],[CMP_par_portion]]</f>
        <v>0</v>
      </c>
      <c r="J3299" s="7">
        <f>tbl_Ventes[[#This Row],[CA ligne]] - tbl_Ventes[[#This Row],[Coût matière ligne]]</f>
        <v>0</v>
      </c>
      <c r="K3299" s="7" t="str">
        <f>IFERROR(INDEX(tbl_ProduitsRef[Famille], MATCH(tbl_Ventes[[#This Row],[Cde_Prdt]], tbl_Produits[Cde_Prdt], 0)), "")</f>
        <v/>
      </c>
    </row>
    <row r="3300" spans="1:11" x14ac:dyDescent="0.25">
      <c r="A3300" s="5"/>
      <c r="B3300" s="63" t="str">
        <f>IFERROR(TEXT(tbl_Ventes[[#This Row],[Date]],"mm-aaaa"),"")</f>
        <v>01-1900</v>
      </c>
      <c r="D3300" s="10" t="str">
        <f>IFERROR(
   INDEX(tbl_ProduitsRef[Cde_Prdt],MATCH(tbl_Ventes[[#This Row],[Produit]],tbl_ProduitsRef[Produit],0)),
   ""
)</f>
        <v/>
      </c>
      <c r="E3300" s="7">
        <v>0</v>
      </c>
      <c r="F3300" s="7" t="str">
        <f>IFERROR(
   INDEX(tbl_ProduitsRef[Prix Menu],MATCH(tbl_Ventes[[#This Row],[Produit]],tbl_ProduitsRef[Produit],0)),
   ""
)</f>
        <v/>
      </c>
      <c r="G3300" s="7">
        <f>tbl_Ventes[[#This Row],[Qté Vendue]] * IFERROR(_xlfn.XLOOKUP(tbl_Ventes[[#This Row],[Cde_Prdt]], tbl_Produits[Cde_Prdt], tbl_Produits[Prix Menu]), 0)</f>
        <v>0</v>
      </c>
      <c r="H3300" s="7">
        <f>IFERROR(_xlfn.XLOOKUP(tbl_Ventes[[#This Row],[Cde_Prdt]], tbl_Produits[Cde_Prdt], tbl_Produits[Coût Moyen Portion]), 0)</f>
        <v>0</v>
      </c>
      <c r="I3300" s="7">
        <f>tbl_Ventes[[#This Row],[Qté Vendue]] * tbl_Ventes[[#This Row],[CMP_par_portion]]</f>
        <v>0</v>
      </c>
      <c r="J3300" s="7">
        <f>tbl_Ventes[[#This Row],[CA ligne]] - tbl_Ventes[[#This Row],[Coût matière ligne]]</f>
        <v>0</v>
      </c>
      <c r="K3300" s="7" t="str">
        <f>IFERROR(INDEX(tbl_ProduitsRef[Famille], MATCH(tbl_Ventes[[#This Row],[Cde_Prdt]], tbl_Produits[Cde_Prdt], 0)), "")</f>
        <v/>
      </c>
    </row>
    <row r="3301" spans="1:11" x14ac:dyDescent="0.25">
      <c r="A3301" s="5"/>
      <c r="B3301" s="63" t="str">
        <f>IFERROR(TEXT(tbl_Ventes[[#This Row],[Date]],"mm-aaaa"),"")</f>
        <v>01-1900</v>
      </c>
      <c r="D3301" s="10" t="str">
        <f>IFERROR(
   INDEX(tbl_ProduitsRef[Cde_Prdt],MATCH(tbl_Ventes[[#This Row],[Produit]],tbl_ProduitsRef[Produit],0)),
   ""
)</f>
        <v/>
      </c>
      <c r="E3301" s="7">
        <v>0</v>
      </c>
      <c r="F3301" s="7" t="str">
        <f>IFERROR(
   INDEX(tbl_ProduitsRef[Prix Menu],MATCH(tbl_Ventes[[#This Row],[Produit]],tbl_ProduitsRef[Produit],0)),
   ""
)</f>
        <v/>
      </c>
      <c r="G3301" s="7">
        <f>tbl_Ventes[[#This Row],[Qté Vendue]] * IFERROR(_xlfn.XLOOKUP(tbl_Ventes[[#This Row],[Cde_Prdt]], tbl_Produits[Cde_Prdt], tbl_Produits[Prix Menu]), 0)</f>
        <v>0</v>
      </c>
      <c r="H3301" s="7">
        <f>IFERROR(_xlfn.XLOOKUP(tbl_Ventes[[#This Row],[Cde_Prdt]], tbl_Produits[Cde_Prdt], tbl_Produits[Coût Moyen Portion]), 0)</f>
        <v>0</v>
      </c>
      <c r="I3301" s="7">
        <f>tbl_Ventes[[#This Row],[Qté Vendue]] * tbl_Ventes[[#This Row],[CMP_par_portion]]</f>
        <v>0</v>
      </c>
      <c r="J3301" s="7">
        <f>tbl_Ventes[[#This Row],[CA ligne]] - tbl_Ventes[[#This Row],[Coût matière ligne]]</f>
        <v>0</v>
      </c>
      <c r="K3301" s="7" t="str">
        <f>IFERROR(INDEX(tbl_ProduitsRef[Famille], MATCH(tbl_Ventes[[#This Row],[Cde_Prdt]], tbl_Produits[Cde_Prdt], 0)), "")</f>
        <v/>
      </c>
    </row>
    <row r="3302" spans="1:11" x14ac:dyDescent="0.25">
      <c r="A3302" s="5"/>
      <c r="B3302" s="63" t="str">
        <f>IFERROR(TEXT(tbl_Ventes[[#This Row],[Date]],"mm-aaaa"),"")</f>
        <v>01-1900</v>
      </c>
      <c r="D3302" s="10" t="str">
        <f>IFERROR(
   INDEX(tbl_ProduitsRef[Cde_Prdt],MATCH(tbl_Ventes[[#This Row],[Produit]],tbl_ProduitsRef[Produit],0)),
   ""
)</f>
        <v/>
      </c>
      <c r="E3302" s="7">
        <v>0</v>
      </c>
      <c r="F3302" s="7" t="str">
        <f>IFERROR(
   INDEX(tbl_ProduitsRef[Prix Menu],MATCH(tbl_Ventes[[#This Row],[Produit]],tbl_ProduitsRef[Produit],0)),
   ""
)</f>
        <v/>
      </c>
      <c r="G3302" s="7">
        <f>tbl_Ventes[[#This Row],[Qté Vendue]] * IFERROR(_xlfn.XLOOKUP(tbl_Ventes[[#This Row],[Cde_Prdt]], tbl_Produits[Cde_Prdt], tbl_Produits[Prix Menu]), 0)</f>
        <v>0</v>
      </c>
      <c r="H3302" s="7">
        <f>IFERROR(_xlfn.XLOOKUP(tbl_Ventes[[#This Row],[Cde_Prdt]], tbl_Produits[Cde_Prdt], tbl_Produits[Coût Moyen Portion]), 0)</f>
        <v>0</v>
      </c>
      <c r="I3302" s="7">
        <f>tbl_Ventes[[#This Row],[Qté Vendue]] * tbl_Ventes[[#This Row],[CMP_par_portion]]</f>
        <v>0</v>
      </c>
      <c r="J3302" s="7">
        <f>tbl_Ventes[[#This Row],[CA ligne]] - tbl_Ventes[[#This Row],[Coût matière ligne]]</f>
        <v>0</v>
      </c>
      <c r="K3302" s="7" t="str">
        <f>IFERROR(INDEX(tbl_ProduitsRef[Famille], MATCH(tbl_Ventes[[#This Row],[Cde_Prdt]], tbl_Produits[Cde_Prdt], 0)), "")</f>
        <v/>
      </c>
    </row>
    <row r="3303" spans="1:11" x14ac:dyDescent="0.25">
      <c r="A3303" s="5"/>
      <c r="B3303" s="63" t="str">
        <f>IFERROR(TEXT(tbl_Ventes[[#This Row],[Date]],"mm-aaaa"),"")</f>
        <v>01-1900</v>
      </c>
      <c r="D3303" s="10" t="str">
        <f>IFERROR(
   INDEX(tbl_ProduitsRef[Cde_Prdt],MATCH(tbl_Ventes[[#This Row],[Produit]],tbl_ProduitsRef[Produit],0)),
   ""
)</f>
        <v/>
      </c>
      <c r="E3303" s="7">
        <v>0</v>
      </c>
      <c r="F3303" s="7" t="str">
        <f>IFERROR(
   INDEX(tbl_ProduitsRef[Prix Menu],MATCH(tbl_Ventes[[#This Row],[Produit]],tbl_ProduitsRef[Produit],0)),
   ""
)</f>
        <v/>
      </c>
      <c r="G3303" s="7">
        <f>tbl_Ventes[[#This Row],[Qté Vendue]] * IFERROR(_xlfn.XLOOKUP(tbl_Ventes[[#This Row],[Cde_Prdt]], tbl_Produits[Cde_Prdt], tbl_Produits[Prix Menu]), 0)</f>
        <v>0</v>
      </c>
      <c r="H3303" s="7">
        <f>IFERROR(_xlfn.XLOOKUP(tbl_Ventes[[#This Row],[Cde_Prdt]], tbl_Produits[Cde_Prdt], tbl_Produits[Coût Moyen Portion]), 0)</f>
        <v>0</v>
      </c>
      <c r="I3303" s="7">
        <f>tbl_Ventes[[#This Row],[Qté Vendue]] * tbl_Ventes[[#This Row],[CMP_par_portion]]</f>
        <v>0</v>
      </c>
      <c r="J3303" s="7">
        <f>tbl_Ventes[[#This Row],[CA ligne]] - tbl_Ventes[[#This Row],[Coût matière ligne]]</f>
        <v>0</v>
      </c>
      <c r="K3303" s="7" t="str">
        <f>IFERROR(INDEX(tbl_ProduitsRef[Famille], MATCH(tbl_Ventes[[#This Row],[Cde_Prdt]], tbl_Produits[Cde_Prdt], 0)), "")</f>
        <v/>
      </c>
    </row>
    <row r="3304" spans="1:11" x14ac:dyDescent="0.25">
      <c r="A3304" s="5"/>
      <c r="B3304" s="63" t="str">
        <f>IFERROR(TEXT(tbl_Ventes[[#This Row],[Date]],"mm-aaaa"),"")</f>
        <v>01-1900</v>
      </c>
      <c r="D3304" s="10" t="str">
        <f>IFERROR(
   INDEX(tbl_ProduitsRef[Cde_Prdt],MATCH(tbl_Ventes[[#This Row],[Produit]],tbl_ProduitsRef[Produit],0)),
   ""
)</f>
        <v/>
      </c>
      <c r="E3304" s="7">
        <v>0</v>
      </c>
      <c r="F3304" s="7" t="str">
        <f>IFERROR(
   INDEX(tbl_ProduitsRef[Prix Menu],MATCH(tbl_Ventes[[#This Row],[Produit]],tbl_ProduitsRef[Produit],0)),
   ""
)</f>
        <v/>
      </c>
      <c r="G3304" s="7">
        <f>tbl_Ventes[[#This Row],[Qté Vendue]] * IFERROR(_xlfn.XLOOKUP(tbl_Ventes[[#This Row],[Cde_Prdt]], tbl_Produits[Cde_Prdt], tbl_Produits[Prix Menu]), 0)</f>
        <v>0</v>
      </c>
      <c r="H3304" s="7">
        <f>IFERROR(_xlfn.XLOOKUP(tbl_Ventes[[#This Row],[Cde_Prdt]], tbl_Produits[Cde_Prdt], tbl_Produits[Coût Moyen Portion]), 0)</f>
        <v>0</v>
      </c>
      <c r="I3304" s="7">
        <f>tbl_Ventes[[#This Row],[Qté Vendue]] * tbl_Ventes[[#This Row],[CMP_par_portion]]</f>
        <v>0</v>
      </c>
      <c r="J3304" s="7">
        <f>tbl_Ventes[[#This Row],[CA ligne]] - tbl_Ventes[[#This Row],[Coût matière ligne]]</f>
        <v>0</v>
      </c>
      <c r="K3304" s="7" t="str">
        <f>IFERROR(INDEX(tbl_ProduitsRef[Famille], MATCH(tbl_Ventes[[#This Row],[Cde_Prdt]], tbl_Produits[Cde_Prdt], 0)), "")</f>
        <v/>
      </c>
    </row>
    <row r="3305" spans="1:11" x14ac:dyDescent="0.25">
      <c r="A3305" s="5"/>
      <c r="B3305" s="63" t="str">
        <f>IFERROR(TEXT(tbl_Ventes[[#This Row],[Date]],"mm-aaaa"),"")</f>
        <v>01-1900</v>
      </c>
      <c r="D3305" s="10" t="str">
        <f>IFERROR(
   INDEX(tbl_ProduitsRef[Cde_Prdt],MATCH(tbl_Ventes[[#This Row],[Produit]],tbl_ProduitsRef[Produit],0)),
   ""
)</f>
        <v/>
      </c>
      <c r="E3305" s="7">
        <v>0</v>
      </c>
      <c r="F3305" s="7" t="str">
        <f>IFERROR(
   INDEX(tbl_ProduitsRef[Prix Menu],MATCH(tbl_Ventes[[#This Row],[Produit]],tbl_ProduitsRef[Produit],0)),
   ""
)</f>
        <v/>
      </c>
      <c r="G3305" s="7">
        <f>tbl_Ventes[[#This Row],[Qté Vendue]] * IFERROR(_xlfn.XLOOKUP(tbl_Ventes[[#This Row],[Cde_Prdt]], tbl_Produits[Cde_Prdt], tbl_Produits[Prix Menu]), 0)</f>
        <v>0</v>
      </c>
      <c r="H3305" s="7">
        <f>IFERROR(_xlfn.XLOOKUP(tbl_Ventes[[#This Row],[Cde_Prdt]], tbl_Produits[Cde_Prdt], tbl_Produits[Coût Moyen Portion]), 0)</f>
        <v>0</v>
      </c>
      <c r="I3305" s="7">
        <f>tbl_Ventes[[#This Row],[Qté Vendue]] * tbl_Ventes[[#This Row],[CMP_par_portion]]</f>
        <v>0</v>
      </c>
      <c r="J3305" s="7">
        <f>tbl_Ventes[[#This Row],[CA ligne]] - tbl_Ventes[[#This Row],[Coût matière ligne]]</f>
        <v>0</v>
      </c>
      <c r="K3305" s="7" t="str">
        <f>IFERROR(INDEX(tbl_ProduitsRef[Famille], MATCH(tbl_Ventes[[#This Row],[Cde_Prdt]], tbl_Produits[Cde_Prdt], 0)), "")</f>
        <v/>
      </c>
    </row>
    <row r="3306" spans="1:11" x14ac:dyDescent="0.25">
      <c r="A3306" s="5"/>
      <c r="B3306" s="63" t="str">
        <f>IFERROR(TEXT(tbl_Ventes[[#This Row],[Date]],"mm-aaaa"),"")</f>
        <v>01-1900</v>
      </c>
      <c r="D3306" s="10" t="str">
        <f>IFERROR(
   INDEX(tbl_ProduitsRef[Cde_Prdt],MATCH(tbl_Ventes[[#This Row],[Produit]],tbl_ProduitsRef[Produit],0)),
   ""
)</f>
        <v/>
      </c>
      <c r="E3306" s="7">
        <v>0</v>
      </c>
      <c r="F3306" s="7" t="str">
        <f>IFERROR(
   INDEX(tbl_ProduitsRef[Prix Menu],MATCH(tbl_Ventes[[#This Row],[Produit]],tbl_ProduitsRef[Produit],0)),
   ""
)</f>
        <v/>
      </c>
      <c r="G3306" s="7">
        <f>tbl_Ventes[[#This Row],[Qté Vendue]] * IFERROR(_xlfn.XLOOKUP(tbl_Ventes[[#This Row],[Cde_Prdt]], tbl_Produits[Cde_Prdt], tbl_Produits[Prix Menu]), 0)</f>
        <v>0</v>
      </c>
      <c r="H3306" s="7">
        <f>IFERROR(_xlfn.XLOOKUP(tbl_Ventes[[#This Row],[Cde_Prdt]], tbl_Produits[Cde_Prdt], tbl_Produits[Coût Moyen Portion]), 0)</f>
        <v>0</v>
      </c>
      <c r="I3306" s="7">
        <f>tbl_Ventes[[#This Row],[Qté Vendue]] * tbl_Ventes[[#This Row],[CMP_par_portion]]</f>
        <v>0</v>
      </c>
      <c r="J3306" s="7">
        <f>tbl_Ventes[[#This Row],[CA ligne]] - tbl_Ventes[[#This Row],[Coût matière ligne]]</f>
        <v>0</v>
      </c>
      <c r="K3306" s="7" t="str">
        <f>IFERROR(INDEX(tbl_ProduitsRef[Famille], MATCH(tbl_Ventes[[#This Row],[Cde_Prdt]], tbl_Produits[Cde_Prdt], 0)), "")</f>
        <v/>
      </c>
    </row>
    <row r="3307" spans="1:11" x14ac:dyDescent="0.25">
      <c r="A3307" s="5"/>
      <c r="B3307" s="63" t="str">
        <f>IFERROR(TEXT(tbl_Ventes[[#This Row],[Date]],"mm-aaaa"),"")</f>
        <v>01-1900</v>
      </c>
      <c r="D3307" s="10" t="str">
        <f>IFERROR(
   INDEX(tbl_ProduitsRef[Cde_Prdt],MATCH(tbl_Ventes[[#This Row],[Produit]],tbl_ProduitsRef[Produit],0)),
   ""
)</f>
        <v/>
      </c>
      <c r="E3307" s="7">
        <v>0</v>
      </c>
      <c r="F3307" s="7" t="str">
        <f>IFERROR(
   INDEX(tbl_ProduitsRef[Prix Menu],MATCH(tbl_Ventes[[#This Row],[Produit]],tbl_ProduitsRef[Produit],0)),
   ""
)</f>
        <v/>
      </c>
      <c r="G3307" s="7">
        <f>tbl_Ventes[[#This Row],[Qté Vendue]] * IFERROR(_xlfn.XLOOKUP(tbl_Ventes[[#This Row],[Cde_Prdt]], tbl_Produits[Cde_Prdt], tbl_Produits[Prix Menu]), 0)</f>
        <v>0</v>
      </c>
      <c r="H3307" s="7">
        <f>IFERROR(_xlfn.XLOOKUP(tbl_Ventes[[#This Row],[Cde_Prdt]], tbl_Produits[Cde_Prdt], tbl_Produits[Coût Moyen Portion]), 0)</f>
        <v>0</v>
      </c>
      <c r="I3307" s="7">
        <f>tbl_Ventes[[#This Row],[Qté Vendue]] * tbl_Ventes[[#This Row],[CMP_par_portion]]</f>
        <v>0</v>
      </c>
      <c r="J3307" s="7">
        <f>tbl_Ventes[[#This Row],[CA ligne]] - tbl_Ventes[[#This Row],[Coût matière ligne]]</f>
        <v>0</v>
      </c>
      <c r="K3307" s="7" t="str">
        <f>IFERROR(INDEX(tbl_ProduitsRef[Famille], MATCH(tbl_Ventes[[#This Row],[Cde_Prdt]], tbl_Produits[Cde_Prdt], 0)), "")</f>
        <v/>
      </c>
    </row>
    <row r="3308" spans="1:11" x14ac:dyDescent="0.25">
      <c r="A3308" s="5"/>
      <c r="B3308" s="63" t="str">
        <f>IFERROR(TEXT(tbl_Ventes[[#This Row],[Date]],"mm-aaaa"),"")</f>
        <v>01-1900</v>
      </c>
      <c r="D3308" s="10" t="str">
        <f>IFERROR(
   INDEX(tbl_ProduitsRef[Cde_Prdt],MATCH(tbl_Ventes[[#This Row],[Produit]],tbl_ProduitsRef[Produit],0)),
   ""
)</f>
        <v/>
      </c>
      <c r="E3308" s="7">
        <v>0</v>
      </c>
      <c r="F3308" s="7" t="str">
        <f>IFERROR(
   INDEX(tbl_ProduitsRef[Prix Menu],MATCH(tbl_Ventes[[#This Row],[Produit]],tbl_ProduitsRef[Produit],0)),
   ""
)</f>
        <v/>
      </c>
      <c r="G3308" s="7">
        <f>tbl_Ventes[[#This Row],[Qté Vendue]] * IFERROR(_xlfn.XLOOKUP(tbl_Ventes[[#This Row],[Cde_Prdt]], tbl_Produits[Cde_Prdt], tbl_Produits[Prix Menu]), 0)</f>
        <v>0</v>
      </c>
      <c r="H3308" s="7">
        <f>IFERROR(_xlfn.XLOOKUP(tbl_Ventes[[#This Row],[Cde_Prdt]], tbl_Produits[Cde_Prdt], tbl_Produits[Coût Moyen Portion]), 0)</f>
        <v>0</v>
      </c>
      <c r="I3308" s="7">
        <f>tbl_Ventes[[#This Row],[Qté Vendue]] * tbl_Ventes[[#This Row],[CMP_par_portion]]</f>
        <v>0</v>
      </c>
      <c r="J3308" s="7">
        <f>tbl_Ventes[[#This Row],[CA ligne]] - tbl_Ventes[[#This Row],[Coût matière ligne]]</f>
        <v>0</v>
      </c>
      <c r="K3308" s="7" t="str">
        <f>IFERROR(INDEX(tbl_ProduitsRef[Famille], MATCH(tbl_Ventes[[#This Row],[Cde_Prdt]], tbl_Produits[Cde_Prdt], 0)), "")</f>
        <v/>
      </c>
    </row>
    <row r="3309" spans="1:11" x14ac:dyDescent="0.25">
      <c r="A3309" s="5"/>
      <c r="B3309" s="63" t="str">
        <f>IFERROR(TEXT(tbl_Ventes[[#This Row],[Date]],"mm-aaaa"),"")</f>
        <v>01-1900</v>
      </c>
      <c r="D3309" s="10" t="str">
        <f>IFERROR(
   INDEX(tbl_ProduitsRef[Cde_Prdt],MATCH(tbl_Ventes[[#This Row],[Produit]],tbl_ProduitsRef[Produit],0)),
   ""
)</f>
        <v/>
      </c>
      <c r="E3309" s="7">
        <v>0</v>
      </c>
      <c r="F3309" s="7" t="str">
        <f>IFERROR(
   INDEX(tbl_ProduitsRef[Prix Menu],MATCH(tbl_Ventes[[#This Row],[Produit]],tbl_ProduitsRef[Produit],0)),
   ""
)</f>
        <v/>
      </c>
      <c r="G3309" s="7">
        <f>tbl_Ventes[[#This Row],[Qté Vendue]] * IFERROR(_xlfn.XLOOKUP(tbl_Ventes[[#This Row],[Cde_Prdt]], tbl_Produits[Cde_Prdt], tbl_Produits[Prix Menu]), 0)</f>
        <v>0</v>
      </c>
      <c r="H3309" s="7">
        <f>IFERROR(_xlfn.XLOOKUP(tbl_Ventes[[#This Row],[Cde_Prdt]], tbl_Produits[Cde_Prdt], tbl_Produits[Coût Moyen Portion]), 0)</f>
        <v>0</v>
      </c>
      <c r="I3309" s="7">
        <f>tbl_Ventes[[#This Row],[Qté Vendue]] * tbl_Ventes[[#This Row],[CMP_par_portion]]</f>
        <v>0</v>
      </c>
      <c r="J3309" s="7">
        <f>tbl_Ventes[[#This Row],[CA ligne]] - tbl_Ventes[[#This Row],[Coût matière ligne]]</f>
        <v>0</v>
      </c>
      <c r="K3309" s="7" t="str">
        <f>IFERROR(INDEX(tbl_ProduitsRef[Famille], MATCH(tbl_Ventes[[#This Row],[Cde_Prdt]], tbl_Produits[Cde_Prdt], 0)), "")</f>
        <v/>
      </c>
    </row>
    <row r="3310" spans="1:11" x14ac:dyDescent="0.25">
      <c r="A3310" s="5"/>
      <c r="B3310" s="63" t="str">
        <f>IFERROR(TEXT(tbl_Ventes[[#This Row],[Date]],"mm-aaaa"),"")</f>
        <v>01-1900</v>
      </c>
      <c r="D3310" s="10" t="str">
        <f>IFERROR(
   INDEX(tbl_ProduitsRef[Cde_Prdt],MATCH(tbl_Ventes[[#This Row],[Produit]],tbl_ProduitsRef[Produit],0)),
   ""
)</f>
        <v/>
      </c>
      <c r="E3310" s="7">
        <v>0</v>
      </c>
      <c r="F3310" s="7" t="str">
        <f>IFERROR(
   INDEX(tbl_ProduitsRef[Prix Menu],MATCH(tbl_Ventes[[#This Row],[Produit]],tbl_ProduitsRef[Produit],0)),
   ""
)</f>
        <v/>
      </c>
      <c r="G3310" s="7">
        <f>tbl_Ventes[[#This Row],[Qté Vendue]] * IFERROR(_xlfn.XLOOKUP(tbl_Ventes[[#This Row],[Cde_Prdt]], tbl_Produits[Cde_Prdt], tbl_Produits[Prix Menu]), 0)</f>
        <v>0</v>
      </c>
      <c r="H3310" s="7">
        <f>IFERROR(_xlfn.XLOOKUP(tbl_Ventes[[#This Row],[Cde_Prdt]], tbl_Produits[Cde_Prdt], tbl_Produits[Coût Moyen Portion]), 0)</f>
        <v>0</v>
      </c>
      <c r="I3310" s="7">
        <f>tbl_Ventes[[#This Row],[Qté Vendue]] * tbl_Ventes[[#This Row],[CMP_par_portion]]</f>
        <v>0</v>
      </c>
      <c r="J3310" s="7">
        <f>tbl_Ventes[[#This Row],[CA ligne]] - tbl_Ventes[[#This Row],[Coût matière ligne]]</f>
        <v>0</v>
      </c>
      <c r="K3310" s="7" t="str">
        <f>IFERROR(INDEX(tbl_ProduitsRef[Famille], MATCH(tbl_Ventes[[#This Row],[Cde_Prdt]], tbl_Produits[Cde_Prdt], 0)), "")</f>
        <v/>
      </c>
    </row>
    <row r="3311" spans="1:11" x14ac:dyDescent="0.25">
      <c r="A3311" s="5"/>
      <c r="B3311" s="63" t="str">
        <f>IFERROR(TEXT(tbl_Ventes[[#This Row],[Date]],"mm-aaaa"),"")</f>
        <v>01-1900</v>
      </c>
      <c r="D3311" s="10" t="str">
        <f>IFERROR(
   INDEX(tbl_ProduitsRef[Cde_Prdt],MATCH(tbl_Ventes[[#This Row],[Produit]],tbl_ProduitsRef[Produit],0)),
   ""
)</f>
        <v/>
      </c>
      <c r="E3311" s="7">
        <v>0</v>
      </c>
      <c r="F3311" s="7" t="str">
        <f>IFERROR(
   INDEX(tbl_ProduitsRef[Prix Menu],MATCH(tbl_Ventes[[#This Row],[Produit]],tbl_ProduitsRef[Produit],0)),
   ""
)</f>
        <v/>
      </c>
      <c r="G3311" s="7">
        <f>tbl_Ventes[[#This Row],[Qté Vendue]] * IFERROR(_xlfn.XLOOKUP(tbl_Ventes[[#This Row],[Cde_Prdt]], tbl_Produits[Cde_Prdt], tbl_Produits[Prix Menu]), 0)</f>
        <v>0</v>
      </c>
      <c r="H3311" s="7">
        <f>IFERROR(_xlfn.XLOOKUP(tbl_Ventes[[#This Row],[Cde_Prdt]], tbl_Produits[Cde_Prdt], tbl_Produits[Coût Moyen Portion]), 0)</f>
        <v>0</v>
      </c>
      <c r="I3311" s="7">
        <f>tbl_Ventes[[#This Row],[Qté Vendue]] * tbl_Ventes[[#This Row],[CMP_par_portion]]</f>
        <v>0</v>
      </c>
      <c r="J3311" s="7">
        <f>tbl_Ventes[[#This Row],[CA ligne]] - tbl_Ventes[[#This Row],[Coût matière ligne]]</f>
        <v>0</v>
      </c>
      <c r="K3311" s="7" t="str">
        <f>IFERROR(INDEX(tbl_ProduitsRef[Famille], MATCH(tbl_Ventes[[#This Row],[Cde_Prdt]], tbl_Produits[Cde_Prdt], 0)), "")</f>
        <v/>
      </c>
    </row>
    <row r="3312" spans="1:11" x14ac:dyDescent="0.25">
      <c r="A3312" s="5"/>
      <c r="B3312" s="63" t="str">
        <f>IFERROR(TEXT(tbl_Ventes[[#This Row],[Date]],"mm-aaaa"),"")</f>
        <v>01-1900</v>
      </c>
      <c r="D3312" s="10" t="str">
        <f>IFERROR(
   INDEX(tbl_ProduitsRef[Cde_Prdt],MATCH(tbl_Ventes[[#This Row],[Produit]],tbl_ProduitsRef[Produit],0)),
   ""
)</f>
        <v/>
      </c>
      <c r="E3312" s="7">
        <v>0</v>
      </c>
      <c r="F3312" s="7" t="str">
        <f>IFERROR(
   INDEX(tbl_ProduitsRef[Prix Menu],MATCH(tbl_Ventes[[#This Row],[Produit]],tbl_ProduitsRef[Produit],0)),
   ""
)</f>
        <v/>
      </c>
      <c r="G3312" s="7">
        <f>tbl_Ventes[[#This Row],[Qté Vendue]] * IFERROR(_xlfn.XLOOKUP(tbl_Ventes[[#This Row],[Cde_Prdt]], tbl_Produits[Cde_Prdt], tbl_Produits[Prix Menu]), 0)</f>
        <v>0</v>
      </c>
      <c r="H3312" s="7">
        <f>IFERROR(_xlfn.XLOOKUP(tbl_Ventes[[#This Row],[Cde_Prdt]], tbl_Produits[Cde_Prdt], tbl_Produits[Coût Moyen Portion]), 0)</f>
        <v>0</v>
      </c>
      <c r="I3312" s="7">
        <f>tbl_Ventes[[#This Row],[Qté Vendue]] * tbl_Ventes[[#This Row],[CMP_par_portion]]</f>
        <v>0</v>
      </c>
      <c r="J3312" s="7">
        <f>tbl_Ventes[[#This Row],[CA ligne]] - tbl_Ventes[[#This Row],[Coût matière ligne]]</f>
        <v>0</v>
      </c>
      <c r="K3312" s="7" t="str">
        <f>IFERROR(INDEX(tbl_ProduitsRef[Famille], MATCH(tbl_Ventes[[#This Row],[Cde_Prdt]], tbl_Produits[Cde_Prdt], 0)), "")</f>
        <v/>
      </c>
    </row>
    <row r="3313" spans="1:11" x14ac:dyDescent="0.25">
      <c r="A3313" s="5"/>
      <c r="B3313" s="63" t="str">
        <f>IFERROR(TEXT(tbl_Ventes[[#This Row],[Date]],"mm-aaaa"),"")</f>
        <v>01-1900</v>
      </c>
      <c r="D3313" s="10" t="str">
        <f>IFERROR(
   INDEX(tbl_ProduitsRef[Cde_Prdt],MATCH(tbl_Ventes[[#This Row],[Produit]],tbl_ProduitsRef[Produit],0)),
   ""
)</f>
        <v/>
      </c>
      <c r="E3313" s="7">
        <v>0</v>
      </c>
      <c r="F3313" s="7" t="str">
        <f>IFERROR(
   INDEX(tbl_ProduitsRef[Prix Menu],MATCH(tbl_Ventes[[#This Row],[Produit]],tbl_ProduitsRef[Produit],0)),
   ""
)</f>
        <v/>
      </c>
      <c r="G3313" s="7">
        <f>tbl_Ventes[[#This Row],[Qté Vendue]] * IFERROR(_xlfn.XLOOKUP(tbl_Ventes[[#This Row],[Cde_Prdt]], tbl_Produits[Cde_Prdt], tbl_Produits[Prix Menu]), 0)</f>
        <v>0</v>
      </c>
      <c r="H3313" s="7">
        <f>IFERROR(_xlfn.XLOOKUP(tbl_Ventes[[#This Row],[Cde_Prdt]], tbl_Produits[Cde_Prdt], tbl_Produits[Coût Moyen Portion]), 0)</f>
        <v>0</v>
      </c>
      <c r="I3313" s="7">
        <f>tbl_Ventes[[#This Row],[Qté Vendue]] * tbl_Ventes[[#This Row],[CMP_par_portion]]</f>
        <v>0</v>
      </c>
      <c r="J3313" s="7">
        <f>tbl_Ventes[[#This Row],[CA ligne]] - tbl_Ventes[[#This Row],[Coût matière ligne]]</f>
        <v>0</v>
      </c>
      <c r="K3313" s="7" t="str">
        <f>IFERROR(INDEX(tbl_ProduitsRef[Famille], MATCH(tbl_Ventes[[#This Row],[Cde_Prdt]], tbl_Produits[Cde_Prdt], 0)), "")</f>
        <v/>
      </c>
    </row>
    <row r="3314" spans="1:11" x14ac:dyDescent="0.25">
      <c r="A3314" s="5"/>
      <c r="B3314" s="63" t="str">
        <f>IFERROR(TEXT(tbl_Ventes[[#This Row],[Date]],"mm-aaaa"),"")</f>
        <v>01-1900</v>
      </c>
      <c r="D3314" s="10" t="str">
        <f>IFERROR(
   INDEX(tbl_ProduitsRef[Cde_Prdt],MATCH(tbl_Ventes[[#This Row],[Produit]],tbl_ProduitsRef[Produit],0)),
   ""
)</f>
        <v/>
      </c>
      <c r="E3314" s="7">
        <v>0</v>
      </c>
      <c r="F3314" s="7" t="str">
        <f>IFERROR(
   INDEX(tbl_ProduitsRef[Prix Menu],MATCH(tbl_Ventes[[#This Row],[Produit]],tbl_ProduitsRef[Produit],0)),
   ""
)</f>
        <v/>
      </c>
      <c r="G3314" s="7">
        <f>tbl_Ventes[[#This Row],[Qté Vendue]] * IFERROR(_xlfn.XLOOKUP(tbl_Ventes[[#This Row],[Cde_Prdt]], tbl_Produits[Cde_Prdt], tbl_Produits[Prix Menu]), 0)</f>
        <v>0</v>
      </c>
      <c r="H3314" s="7">
        <f>IFERROR(_xlfn.XLOOKUP(tbl_Ventes[[#This Row],[Cde_Prdt]], tbl_Produits[Cde_Prdt], tbl_Produits[Coût Moyen Portion]), 0)</f>
        <v>0</v>
      </c>
      <c r="I3314" s="7">
        <f>tbl_Ventes[[#This Row],[Qté Vendue]] * tbl_Ventes[[#This Row],[CMP_par_portion]]</f>
        <v>0</v>
      </c>
      <c r="J3314" s="7">
        <f>tbl_Ventes[[#This Row],[CA ligne]] - tbl_Ventes[[#This Row],[Coût matière ligne]]</f>
        <v>0</v>
      </c>
      <c r="K3314" s="7" t="str">
        <f>IFERROR(INDEX(tbl_ProduitsRef[Famille], MATCH(tbl_Ventes[[#This Row],[Cde_Prdt]], tbl_Produits[Cde_Prdt], 0)), "")</f>
        <v/>
      </c>
    </row>
    <row r="3315" spans="1:11" x14ac:dyDescent="0.25">
      <c r="A3315" s="5"/>
      <c r="B3315" s="63" t="str">
        <f>IFERROR(TEXT(tbl_Ventes[[#This Row],[Date]],"mm-aaaa"),"")</f>
        <v>01-1900</v>
      </c>
      <c r="D3315" s="10" t="str">
        <f>IFERROR(
   INDEX(tbl_ProduitsRef[Cde_Prdt],MATCH(tbl_Ventes[[#This Row],[Produit]],tbl_ProduitsRef[Produit],0)),
   ""
)</f>
        <v/>
      </c>
      <c r="E3315" s="7">
        <v>0</v>
      </c>
      <c r="F3315" s="7" t="str">
        <f>IFERROR(
   INDEX(tbl_ProduitsRef[Prix Menu],MATCH(tbl_Ventes[[#This Row],[Produit]],tbl_ProduitsRef[Produit],0)),
   ""
)</f>
        <v/>
      </c>
      <c r="G3315" s="7">
        <f>tbl_Ventes[[#This Row],[Qté Vendue]] * IFERROR(_xlfn.XLOOKUP(tbl_Ventes[[#This Row],[Cde_Prdt]], tbl_Produits[Cde_Prdt], tbl_Produits[Prix Menu]), 0)</f>
        <v>0</v>
      </c>
      <c r="H3315" s="7">
        <f>IFERROR(_xlfn.XLOOKUP(tbl_Ventes[[#This Row],[Cde_Prdt]], tbl_Produits[Cde_Prdt], tbl_Produits[Coût Moyen Portion]), 0)</f>
        <v>0</v>
      </c>
      <c r="I3315" s="7">
        <f>tbl_Ventes[[#This Row],[Qté Vendue]] * tbl_Ventes[[#This Row],[CMP_par_portion]]</f>
        <v>0</v>
      </c>
      <c r="J3315" s="7">
        <f>tbl_Ventes[[#This Row],[CA ligne]] - tbl_Ventes[[#This Row],[Coût matière ligne]]</f>
        <v>0</v>
      </c>
      <c r="K3315" s="7" t="str">
        <f>IFERROR(INDEX(tbl_ProduitsRef[Famille], MATCH(tbl_Ventes[[#This Row],[Cde_Prdt]], tbl_Produits[Cde_Prdt], 0)), "")</f>
        <v/>
      </c>
    </row>
    <row r="3316" spans="1:11" x14ac:dyDescent="0.25">
      <c r="A3316" s="5"/>
      <c r="B3316" s="63" t="str">
        <f>IFERROR(TEXT(tbl_Ventes[[#This Row],[Date]],"mm-aaaa"),"")</f>
        <v>01-1900</v>
      </c>
      <c r="D3316" s="10" t="str">
        <f>IFERROR(
   INDEX(tbl_ProduitsRef[Cde_Prdt],MATCH(tbl_Ventes[[#This Row],[Produit]],tbl_ProduitsRef[Produit],0)),
   ""
)</f>
        <v/>
      </c>
      <c r="E3316" s="7">
        <v>0</v>
      </c>
      <c r="F3316" s="7" t="str">
        <f>IFERROR(
   INDEX(tbl_ProduitsRef[Prix Menu],MATCH(tbl_Ventes[[#This Row],[Produit]],tbl_ProduitsRef[Produit],0)),
   ""
)</f>
        <v/>
      </c>
      <c r="G3316" s="7">
        <f>tbl_Ventes[[#This Row],[Qté Vendue]] * IFERROR(_xlfn.XLOOKUP(tbl_Ventes[[#This Row],[Cde_Prdt]], tbl_Produits[Cde_Prdt], tbl_Produits[Prix Menu]), 0)</f>
        <v>0</v>
      </c>
      <c r="H3316" s="7">
        <f>IFERROR(_xlfn.XLOOKUP(tbl_Ventes[[#This Row],[Cde_Prdt]], tbl_Produits[Cde_Prdt], tbl_Produits[Coût Moyen Portion]), 0)</f>
        <v>0</v>
      </c>
      <c r="I3316" s="7">
        <f>tbl_Ventes[[#This Row],[Qté Vendue]] * tbl_Ventes[[#This Row],[CMP_par_portion]]</f>
        <v>0</v>
      </c>
      <c r="J3316" s="7">
        <f>tbl_Ventes[[#This Row],[CA ligne]] - tbl_Ventes[[#This Row],[Coût matière ligne]]</f>
        <v>0</v>
      </c>
      <c r="K3316" s="7" t="str">
        <f>IFERROR(INDEX(tbl_ProduitsRef[Famille], MATCH(tbl_Ventes[[#This Row],[Cde_Prdt]], tbl_Produits[Cde_Prdt], 0)), "")</f>
        <v/>
      </c>
    </row>
    <row r="3317" spans="1:11" x14ac:dyDescent="0.25">
      <c r="A3317" s="5"/>
      <c r="B3317" s="63" t="str">
        <f>IFERROR(TEXT(tbl_Ventes[[#This Row],[Date]],"mm-aaaa"),"")</f>
        <v>01-1900</v>
      </c>
      <c r="D3317" s="10" t="str">
        <f>IFERROR(
   INDEX(tbl_ProduitsRef[Cde_Prdt],MATCH(tbl_Ventes[[#This Row],[Produit]],tbl_ProduitsRef[Produit],0)),
   ""
)</f>
        <v/>
      </c>
      <c r="E3317" s="7">
        <v>0</v>
      </c>
      <c r="F3317" s="7" t="str">
        <f>IFERROR(
   INDEX(tbl_ProduitsRef[Prix Menu],MATCH(tbl_Ventes[[#This Row],[Produit]],tbl_ProduitsRef[Produit],0)),
   ""
)</f>
        <v/>
      </c>
      <c r="G3317" s="7">
        <f>tbl_Ventes[[#This Row],[Qté Vendue]] * IFERROR(_xlfn.XLOOKUP(tbl_Ventes[[#This Row],[Cde_Prdt]], tbl_Produits[Cde_Prdt], tbl_Produits[Prix Menu]), 0)</f>
        <v>0</v>
      </c>
      <c r="H3317" s="7">
        <f>IFERROR(_xlfn.XLOOKUP(tbl_Ventes[[#This Row],[Cde_Prdt]], tbl_Produits[Cde_Prdt], tbl_Produits[Coût Moyen Portion]), 0)</f>
        <v>0</v>
      </c>
      <c r="I3317" s="7">
        <f>tbl_Ventes[[#This Row],[Qté Vendue]] * tbl_Ventes[[#This Row],[CMP_par_portion]]</f>
        <v>0</v>
      </c>
      <c r="J3317" s="7">
        <f>tbl_Ventes[[#This Row],[CA ligne]] - tbl_Ventes[[#This Row],[Coût matière ligne]]</f>
        <v>0</v>
      </c>
      <c r="K3317" s="7" t="str">
        <f>IFERROR(INDEX(tbl_ProduitsRef[Famille], MATCH(tbl_Ventes[[#This Row],[Cde_Prdt]], tbl_Produits[Cde_Prdt], 0)), "")</f>
        <v/>
      </c>
    </row>
    <row r="3318" spans="1:11" x14ac:dyDescent="0.25">
      <c r="A3318" s="5"/>
      <c r="B3318" s="63" t="str">
        <f>IFERROR(TEXT(tbl_Ventes[[#This Row],[Date]],"mm-aaaa"),"")</f>
        <v>01-1900</v>
      </c>
      <c r="D3318" s="10" t="str">
        <f>IFERROR(
   INDEX(tbl_ProduitsRef[Cde_Prdt],MATCH(tbl_Ventes[[#This Row],[Produit]],tbl_ProduitsRef[Produit],0)),
   ""
)</f>
        <v/>
      </c>
      <c r="E3318" s="7">
        <v>0</v>
      </c>
      <c r="F3318" s="7" t="str">
        <f>IFERROR(
   INDEX(tbl_ProduitsRef[Prix Menu],MATCH(tbl_Ventes[[#This Row],[Produit]],tbl_ProduitsRef[Produit],0)),
   ""
)</f>
        <v/>
      </c>
      <c r="G3318" s="7">
        <f>tbl_Ventes[[#This Row],[Qté Vendue]] * IFERROR(_xlfn.XLOOKUP(tbl_Ventes[[#This Row],[Cde_Prdt]], tbl_Produits[Cde_Prdt], tbl_Produits[Prix Menu]), 0)</f>
        <v>0</v>
      </c>
      <c r="H3318" s="7">
        <f>IFERROR(_xlfn.XLOOKUP(tbl_Ventes[[#This Row],[Cde_Prdt]], tbl_Produits[Cde_Prdt], tbl_Produits[Coût Moyen Portion]), 0)</f>
        <v>0</v>
      </c>
      <c r="I3318" s="7">
        <f>tbl_Ventes[[#This Row],[Qté Vendue]] * tbl_Ventes[[#This Row],[CMP_par_portion]]</f>
        <v>0</v>
      </c>
      <c r="J3318" s="7">
        <f>tbl_Ventes[[#This Row],[CA ligne]] - tbl_Ventes[[#This Row],[Coût matière ligne]]</f>
        <v>0</v>
      </c>
      <c r="K3318" s="7" t="str">
        <f>IFERROR(INDEX(tbl_ProduitsRef[Famille], MATCH(tbl_Ventes[[#This Row],[Cde_Prdt]], tbl_Produits[Cde_Prdt], 0)), "")</f>
        <v/>
      </c>
    </row>
    <row r="3319" spans="1:11" x14ac:dyDescent="0.25">
      <c r="A3319" s="5"/>
      <c r="B3319" s="63" t="str">
        <f>IFERROR(TEXT(tbl_Ventes[[#This Row],[Date]],"mm-aaaa"),"")</f>
        <v>01-1900</v>
      </c>
      <c r="D3319" s="10" t="str">
        <f>IFERROR(
   INDEX(tbl_ProduitsRef[Cde_Prdt],MATCH(tbl_Ventes[[#This Row],[Produit]],tbl_ProduitsRef[Produit],0)),
   ""
)</f>
        <v/>
      </c>
      <c r="E3319" s="7">
        <v>0</v>
      </c>
      <c r="F3319" s="7" t="str">
        <f>IFERROR(
   INDEX(tbl_ProduitsRef[Prix Menu],MATCH(tbl_Ventes[[#This Row],[Produit]],tbl_ProduitsRef[Produit],0)),
   ""
)</f>
        <v/>
      </c>
      <c r="G3319" s="7">
        <f>tbl_Ventes[[#This Row],[Qté Vendue]] * IFERROR(_xlfn.XLOOKUP(tbl_Ventes[[#This Row],[Cde_Prdt]], tbl_Produits[Cde_Prdt], tbl_Produits[Prix Menu]), 0)</f>
        <v>0</v>
      </c>
      <c r="H3319" s="7">
        <f>IFERROR(_xlfn.XLOOKUP(tbl_Ventes[[#This Row],[Cde_Prdt]], tbl_Produits[Cde_Prdt], tbl_Produits[Coût Moyen Portion]), 0)</f>
        <v>0</v>
      </c>
      <c r="I3319" s="7">
        <f>tbl_Ventes[[#This Row],[Qté Vendue]] * tbl_Ventes[[#This Row],[CMP_par_portion]]</f>
        <v>0</v>
      </c>
      <c r="J3319" s="7">
        <f>tbl_Ventes[[#This Row],[CA ligne]] - tbl_Ventes[[#This Row],[Coût matière ligne]]</f>
        <v>0</v>
      </c>
      <c r="K3319" s="7" t="str">
        <f>IFERROR(INDEX(tbl_ProduitsRef[Famille], MATCH(tbl_Ventes[[#This Row],[Cde_Prdt]], tbl_Produits[Cde_Prdt], 0)), "")</f>
        <v/>
      </c>
    </row>
    <row r="3320" spans="1:11" x14ac:dyDescent="0.25">
      <c r="A3320" s="5"/>
      <c r="B3320" s="63" t="str">
        <f>IFERROR(TEXT(tbl_Ventes[[#This Row],[Date]],"mm-aaaa"),"")</f>
        <v>01-1900</v>
      </c>
      <c r="D3320" s="10" t="str">
        <f>IFERROR(
   INDEX(tbl_ProduitsRef[Cde_Prdt],MATCH(tbl_Ventes[[#This Row],[Produit]],tbl_ProduitsRef[Produit],0)),
   ""
)</f>
        <v/>
      </c>
      <c r="E3320" s="7">
        <v>0</v>
      </c>
      <c r="F3320" s="7" t="str">
        <f>IFERROR(
   INDEX(tbl_ProduitsRef[Prix Menu],MATCH(tbl_Ventes[[#This Row],[Produit]],tbl_ProduitsRef[Produit],0)),
   ""
)</f>
        <v/>
      </c>
      <c r="G3320" s="7">
        <f>tbl_Ventes[[#This Row],[Qté Vendue]] * IFERROR(_xlfn.XLOOKUP(tbl_Ventes[[#This Row],[Cde_Prdt]], tbl_Produits[Cde_Prdt], tbl_Produits[Prix Menu]), 0)</f>
        <v>0</v>
      </c>
      <c r="H3320" s="7">
        <f>IFERROR(_xlfn.XLOOKUP(tbl_Ventes[[#This Row],[Cde_Prdt]], tbl_Produits[Cde_Prdt], tbl_Produits[Coût Moyen Portion]), 0)</f>
        <v>0</v>
      </c>
      <c r="I3320" s="7">
        <f>tbl_Ventes[[#This Row],[Qté Vendue]] * tbl_Ventes[[#This Row],[CMP_par_portion]]</f>
        <v>0</v>
      </c>
      <c r="J3320" s="7">
        <f>tbl_Ventes[[#This Row],[CA ligne]] - tbl_Ventes[[#This Row],[Coût matière ligne]]</f>
        <v>0</v>
      </c>
      <c r="K3320" s="7" t="str">
        <f>IFERROR(INDEX(tbl_ProduitsRef[Famille], MATCH(tbl_Ventes[[#This Row],[Cde_Prdt]], tbl_Produits[Cde_Prdt], 0)), "")</f>
        <v/>
      </c>
    </row>
    <row r="3321" spans="1:11" x14ac:dyDescent="0.25">
      <c r="A3321" s="5"/>
      <c r="B3321" s="63" t="str">
        <f>IFERROR(TEXT(tbl_Ventes[[#This Row],[Date]],"mm-aaaa"),"")</f>
        <v>01-1900</v>
      </c>
      <c r="D3321" s="10" t="str">
        <f>IFERROR(
   INDEX(tbl_ProduitsRef[Cde_Prdt],MATCH(tbl_Ventes[[#This Row],[Produit]],tbl_ProduitsRef[Produit],0)),
   ""
)</f>
        <v/>
      </c>
      <c r="E3321" s="7">
        <v>0</v>
      </c>
      <c r="F3321" s="7" t="str">
        <f>IFERROR(
   INDEX(tbl_ProduitsRef[Prix Menu],MATCH(tbl_Ventes[[#This Row],[Produit]],tbl_ProduitsRef[Produit],0)),
   ""
)</f>
        <v/>
      </c>
      <c r="G3321" s="7">
        <f>tbl_Ventes[[#This Row],[Qté Vendue]] * IFERROR(_xlfn.XLOOKUP(tbl_Ventes[[#This Row],[Cde_Prdt]], tbl_Produits[Cde_Prdt], tbl_Produits[Prix Menu]), 0)</f>
        <v>0</v>
      </c>
      <c r="H3321" s="7">
        <f>IFERROR(_xlfn.XLOOKUP(tbl_Ventes[[#This Row],[Cde_Prdt]], tbl_Produits[Cde_Prdt], tbl_Produits[Coût Moyen Portion]), 0)</f>
        <v>0</v>
      </c>
      <c r="I3321" s="7">
        <f>tbl_Ventes[[#This Row],[Qté Vendue]] * tbl_Ventes[[#This Row],[CMP_par_portion]]</f>
        <v>0</v>
      </c>
      <c r="J3321" s="7">
        <f>tbl_Ventes[[#This Row],[CA ligne]] - tbl_Ventes[[#This Row],[Coût matière ligne]]</f>
        <v>0</v>
      </c>
      <c r="K3321" s="7" t="str">
        <f>IFERROR(INDEX(tbl_ProduitsRef[Famille], MATCH(tbl_Ventes[[#This Row],[Cde_Prdt]], tbl_Produits[Cde_Prdt], 0)), "")</f>
        <v/>
      </c>
    </row>
    <row r="3322" spans="1:11" x14ac:dyDescent="0.25">
      <c r="A3322" s="5"/>
      <c r="B3322" s="63" t="str">
        <f>IFERROR(TEXT(tbl_Ventes[[#This Row],[Date]],"mm-aaaa"),"")</f>
        <v>01-1900</v>
      </c>
      <c r="D3322" s="10" t="str">
        <f>IFERROR(
   INDEX(tbl_ProduitsRef[Cde_Prdt],MATCH(tbl_Ventes[[#This Row],[Produit]],tbl_ProduitsRef[Produit],0)),
   ""
)</f>
        <v/>
      </c>
      <c r="E3322" s="7">
        <v>0</v>
      </c>
      <c r="F3322" s="7" t="str">
        <f>IFERROR(
   INDEX(tbl_ProduitsRef[Prix Menu],MATCH(tbl_Ventes[[#This Row],[Produit]],tbl_ProduitsRef[Produit],0)),
   ""
)</f>
        <v/>
      </c>
      <c r="G3322" s="7">
        <f>tbl_Ventes[[#This Row],[Qté Vendue]] * IFERROR(_xlfn.XLOOKUP(tbl_Ventes[[#This Row],[Cde_Prdt]], tbl_Produits[Cde_Prdt], tbl_Produits[Prix Menu]), 0)</f>
        <v>0</v>
      </c>
      <c r="H3322" s="7">
        <f>IFERROR(_xlfn.XLOOKUP(tbl_Ventes[[#This Row],[Cde_Prdt]], tbl_Produits[Cde_Prdt], tbl_Produits[Coût Moyen Portion]), 0)</f>
        <v>0</v>
      </c>
      <c r="I3322" s="7">
        <f>tbl_Ventes[[#This Row],[Qté Vendue]] * tbl_Ventes[[#This Row],[CMP_par_portion]]</f>
        <v>0</v>
      </c>
      <c r="J3322" s="7">
        <f>tbl_Ventes[[#This Row],[CA ligne]] - tbl_Ventes[[#This Row],[Coût matière ligne]]</f>
        <v>0</v>
      </c>
      <c r="K3322" s="7" t="str">
        <f>IFERROR(INDEX(tbl_ProduitsRef[Famille], MATCH(tbl_Ventes[[#This Row],[Cde_Prdt]], tbl_Produits[Cde_Prdt], 0)), "")</f>
        <v/>
      </c>
    </row>
    <row r="3323" spans="1:11" x14ac:dyDescent="0.25">
      <c r="A3323" s="5"/>
      <c r="B3323" s="63" t="str">
        <f>IFERROR(TEXT(tbl_Ventes[[#This Row],[Date]],"mm-aaaa"),"")</f>
        <v>01-1900</v>
      </c>
      <c r="D3323" s="10" t="str">
        <f>IFERROR(
   INDEX(tbl_ProduitsRef[Cde_Prdt],MATCH(tbl_Ventes[[#This Row],[Produit]],tbl_ProduitsRef[Produit],0)),
   ""
)</f>
        <v/>
      </c>
      <c r="E3323" s="7">
        <v>0</v>
      </c>
      <c r="F3323" s="7" t="str">
        <f>IFERROR(
   INDEX(tbl_ProduitsRef[Prix Menu],MATCH(tbl_Ventes[[#This Row],[Produit]],tbl_ProduitsRef[Produit],0)),
   ""
)</f>
        <v/>
      </c>
      <c r="G3323" s="7">
        <f>tbl_Ventes[[#This Row],[Qté Vendue]] * IFERROR(_xlfn.XLOOKUP(tbl_Ventes[[#This Row],[Cde_Prdt]], tbl_Produits[Cde_Prdt], tbl_Produits[Prix Menu]), 0)</f>
        <v>0</v>
      </c>
      <c r="H3323" s="7">
        <f>IFERROR(_xlfn.XLOOKUP(tbl_Ventes[[#This Row],[Cde_Prdt]], tbl_Produits[Cde_Prdt], tbl_Produits[Coût Moyen Portion]), 0)</f>
        <v>0</v>
      </c>
      <c r="I3323" s="7">
        <f>tbl_Ventes[[#This Row],[Qté Vendue]] * tbl_Ventes[[#This Row],[CMP_par_portion]]</f>
        <v>0</v>
      </c>
      <c r="J3323" s="7">
        <f>tbl_Ventes[[#This Row],[CA ligne]] - tbl_Ventes[[#This Row],[Coût matière ligne]]</f>
        <v>0</v>
      </c>
      <c r="K3323" s="7" t="str">
        <f>IFERROR(INDEX(tbl_ProduitsRef[Famille], MATCH(tbl_Ventes[[#This Row],[Cde_Prdt]], tbl_Produits[Cde_Prdt], 0)), "")</f>
        <v/>
      </c>
    </row>
    <row r="3324" spans="1:11" x14ac:dyDescent="0.25">
      <c r="A3324" s="5"/>
      <c r="B3324" s="63" t="str">
        <f>IFERROR(TEXT(tbl_Ventes[[#This Row],[Date]],"mm-aaaa"),"")</f>
        <v>01-1900</v>
      </c>
      <c r="D3324" s="10" t="str">
        <f>IFERROR(
   INDEX(tbl_ProduitsRef[Cde_Prdt],MATCH(tbl_Ventes[[#This Row],[Produit]],tbl_ProduitsRef[Produit],0)),
   ""
)</f>
        <v/>
      </c>
      <c r="E3324" s="7">
        <v>0</v>
      </c>
      <c r="F3324" s="7" t="str">
        <f>IFERROR(
   INDEX(tbl_ProduitsRef[Prix Menu],MATCH(tbl_Ventes[[#This Row],[Produit]],tbl_ProduitsRef[Produit],0)),
   ""
)</f>
        <v/>
      </c>
      <c r="G3324" s="7">
        <f>tbl_Ventes[[#This Row],[Qté Vendue]] * IFERROR(_xlfn.XLOOKUP(tbl_Ventes[[#This Row],[Cde_Prdt]], tbl_Produits[Cde_Prdt], tbl_Produits[Prix Menu]), 0)</f>
        <v>0</v>
      </c>
      <c r="H3324" s="7">
        <f>IFERROR(_xlfn.XLOOKUP(tbl_Ventes[[#This Row],[Cde_Prdt]], tbl_Produits[Cde_Prdt], tbl_Produits[Coût Moyen Portion]), 0)</f>
        <v>0</v>
      </c>
      <c r="I3324" s="7">
        <f>tbl_Ventes[[#This Row],[Qté Vendue]] * tbl_Ventes[[#This Row],[CMP_par_portion]]</f>
        <v>0</v>
      </c>
      <c r="J3324" s="7">
        <f>tbl_Ventes[[#This Row],[CA ligne]] - tbl_Ventes[[#This Row],[Coût matière ligne]]</f>
        <v>0</v>
      </c>
      <c r="K3324" s="7" t="str">
        <f>IFERROR(INDEX(tbl_ProduitsRef[Famille], MATCH(tbl_Ventes[[#This Row],[Cde_Prdt]], tbl_Produits[Cde_Prdt], 0)), "")</f>
        <v/>
      </c>
    </row>
    <row r="3325" spans="1:11" x14ac:dyDescent="0.25">
      <c r="A3325" s="5"/>
      <c r="B3325" s="63" t="str">
        <f>IFERROR(TEXT(tbl_Ventes[[#This Row],[Date]],"mm-aaaa"),"")</f>
        <v>01-1900</v>
      </c>
      <c r="D3325" s="10" t="str">
        <f>IFERROR(
   INDEX(tbl_ProduitsRef[Cde_Prdt],MATCH(tbl_Ventes[[#This Row],[Produit]],tbl_ProduitsRef[Produit],0)),
   ""
)</f>
        <v/>
      </c>
      <c r="E3325" s="7">
        <v>0</v>
      </c>
      <c r="F3325" s="7" t="str">
        <f>IFERROR(
   INDEX(tbl_ProduitsRef[Prix Menu],MATCH(tbl_Ventes[[#This Row],[Produit]],tbl_ProduitsRef[Produit],0)),
   ""
)</f>
        <v/>
      </c>
      <c r="G3325" s="7">
        <f>tbl_Ventes[[#This Row],[Qté Vendue]] * IFERROR(_xlfn.XLOOKUP(tbl_Ventes[[#This Row],[Cde_Prdt]], tbl_Produits[Cde_Prdt], tbl_Produits[Prix Menu]), 0)</f>
        <v>0</v>
      </c>
      <c r="H3325" s="7">
        <f>IFERROR(_xlfn.XLOOKUP(tbl_Ventes[[#This Row],[Cde_Prdt]], tbl_Produits[Cde_Prdt], tbl_Produits[Coût Moyen Portion]), 0)</f>
        <v>0</v>
      </c>
      <c r="I3325" s="7">
        <f>tbl_Ventes[[#This Row],[Qté Vendue]] * tbl_Ventes[[#This Row],[CMP_par_portion]]</f>
        <v>0</v>
      </c>
      <c r="J3325" s="7">
        <f>tbl_Ventes[[#This Row],[CA ligne]] - tbl_Ventes[[#This Row],[Coût matière ligne]]</f>
        <v>0</v>
      </c>
      <c r="K3325" s="7" t="str">
        <f>IFERROR(INDEX(tbl_ProduitsRef[Famille], MATCH(tbl_Ventes[[#This Row],[Cde_Prdt]], tbl_Produits[Cde_Prdt], 0)), "")</f>
        <v/>
      </c>
    </row>
    <row r="3326" spans="1:11" x14ac:dyDescent="0.25">
      <c r="A3326" s="5"/>
      <c r="B3326" s="63" t="str">
        <f>IFERROR(TEXT(tbl_Ventes[[#This Row],[Date]],"mm-aaaa"),"")</f>
        <v>01-1900</v>
      </c>
      <c r="D3326" s="10" t="str">
        <f>IFERROR(
   INDEX(tbl_ProduitsRef[Cde_Prdt],MATCH(tbl_Ventes[[#This Row],[Produit]],tbl_ProduitsRef[Produit],0)),
   ""
)</f>
        <v/>
      </c>
      <c r="E3326" s="7">
        <v>0</v>
      </c>
      <c r="F3326" s="7" t="str">
        <f>IFERROR(
   INDEX(tbl_ProduitsRef[Prix Menu],MATCH(tbl_Ventes[[#This Row],[Produit]],tbl_ProduitsRef[Produit],0)),
   ""
)</f>
        <v/>
      </c>
      <c r="G3326" s="7">
        <f>tbl_Ventes[[#This Row],[Qté Vendue]] * IFERROR(_xlfn.XLOOKUP(tbl_Ventes[[#This Row],[Cde_Prdt]], tbl_Produits[Cde_Prdt], tbl_Produits[Prix Menu]), 0)</f>
        <v>0</v>
      </c>
      <c r="H3326" s="7">
        <f>IFERROR(_xlfn.XLOOKUP(tbl_Ventes[[#This Row],[Cde_Prdt]], tbl_Produits[Cde_Prdt], tbl_Produits[Coût Moyen Portion]), 0)</f>
        <v>0</v>
      </c>
      <c r="I3326" s="7">
        <f>tbl_Ventes[[#This Row],[Qté Vendue]] * tbl_Ventes[[#This Row],[CMP_par_portion]]</f>
        <v>0</v>
      </c>
      <c r="J3326" s="7">
        <f>tbl_Ventes[[#This Row],[CA ligne]] - tbl_Ventes[[#This Row],[Coût matière ligne]]</f>
        <v>0</v>
      </c>
      <c r="K3326" s="7" t="str">
        <f>IFERROR(INDEX(tbl_ProduitsRef[Famille], MATCH(tbl_Ventes[[#This Row],[Cde_Prdt]], tbl_Produits[Cde_Prdt], 0)), "")</f>
        <v/>
      </c>
    </row>
    <row r="3327" spans="1:11" x14ac:dyDescent="0.25">
      <c r="A3327" s="5"/>
      <c r="B3327" s="63" t="str">
        <f>IFERROR(TEXT(tbl_Ventes[[#This Row],[Date]],"mm-aaaa"),"")</f>
        <v>01-1900</v>
      </c>
      <c r="D3327" s="10" t="str">
        <f>IFERROR(
   INDEX(tbl_ProduitsRef[Cde_Prdt],MATCH(tbl_Ventes[[#This Row],[Produit]],tbl_ProduitsRef[Produit],0)),
   ""
)</f>
        <v/>
      </c>
      <c r="E3327" s="7">
        <v>0</v>
      </c>
      <c r="F3327" s="7" t="str">
        <f>IFERROR(
   INDEX(tbl_ProduitsRef[Prix Menu],MATCH(tbl_Ventes[[#This Row],[Produit]],tbl_ProduitsRef[Produit],0)),
   ""
)</f>
        <v/>
      </c>
      <c r="G3327" s="7">
        <f>tbl_Ventes[[#This Row],[Qté Vendue]] * IFERROR(_xlfn.XLOOKUP(tbl_Ventes[[#This Row],[Cde_Prdt]], tbl_Produits[Cde_Prdt], tbl_Produits[Prix Menu]), 0)</f>
        <v>0</v>
      </c>
      <c r="H3327" s="7">
        <f>IFERROR(_xlfn.XLOOKUP(tbl_Ventes[[#This Row],[Cde_Prdt]], tbl_Produits[Cde_Prdt], tbl_Produits[Coût Moyen Portion]), 0)</f>
        <v>0</v>
      </c>
      <c r="I3327" s="7">
        <f>tbl_Ventes[[#This Row],[Qté Vendue]] * tbl_Ventes[[#This Row],[CMP_par_portion]]</f>
        <v>0</v>
      </c>
      <c r="J3327" s="7">
        <f>tbl_Ventes[[#This Row],[CA ligne]] - tbl_Ventes[[#This Row],[Coût matière ligne]]</f>
        <v>0</v>
      </c>
      <c r="K3327" s="7" t="str">
        <f>IFERROR(INDEX(tbl_ProduitsRef[Famille], MATCH(tbl_Ventes[[#This Row],[Cde_Prdt]], tbl_Produits[Cde_Prdt], 0)), "")</f>
        <v/>
      </c>
    </row>
    <row r="3328" spans="1:11" x14ac:dyDescent="0.25">
      <c r="A3328" s="5"/>
      <c r="B3328" s="63" t="str">
        <f>IFERROR(TEXT(tbl_Ventes[[#This Row],[Date]],"mm-aaaa"),"")</f>
        <v>01-1900</v>
      </c>
      <c r="D3328" s="10" t="str">
        <f>IFERROR(
   INDEX(tbl_ProduitsRef[Cde_Prdt],MATCH(tbl_Ventes[[#This Row],[Produit]],tbl_ProduitsRef[Produit],0)),
   ""
)</f>
        <v/>
      </c>
      <c r="E3328" s="7">
        <v>0</v>
      </c>
      <c r="F3328" s="7" t="str">
        <f>IFERROR(
   INDEX(tbl_ProduitsRef[Prix Menu],MATCH(tbl_Ventes[[#This Row],[Produit]],tbl_ProduitsRef[Produit],0)),
   ""
)</f>
        <v/>
      </c>
      <c r="G3328" s="7">
        <f>tbl_Ventes[[#This Row],[Qté Vendue]] * IFERROR(_xlfn.XLOOKUP(tbl_Ventes[[#This Row],[Cde_Prdt]], tbl_Produits[Cde_Prdt], tbl_Produits[Prix Menu]), 0)</f>
        <v>0</v>
      </c>
      <c r="H3328" s="7">
        <f>IFERROR(_xlfn.XLOOKUP(tbl_Ventes[[#This Row],[Cde_Prdt]], tbl_Produits[Cde_Prdt], tbl_Produits[Coût Moyen Portion]), 0)</f>
        <v>0</v>
      </c>
      <c r="I3328" s="7">
        <f>tbl_Ventes[[#This Row],[Qté Vendue]] * tbl_Ventes[[#This Row],[CMP_par_portion]]</f>
        <v>0</v>
      </c>
      <c r="J3328" s="7">
        <f>tbl_Ventes[[#This Row],[CA ligne]] - tbl_Ventes[[#This Row],[Coût matière ligne]]</f>
        <v>0</v>
      </c>
      <c r="K3328" s="7" t="str">
        <f>IFERROR(INDEX(tbl_ProduitsRef[Famille], MATCH(tbl_Ventes[[#This Row],[Cde_Prdt]], tbl_Produits[Cde_Prdt], 0)), "")</f>
        <v/>
      </c>
    </row>
    <row r="3329" spans="1:11" x14ac:dyDescent="0.25">
      <c r="A3329" s="5"/>
      <c r="B3329" s="63" t="str">
        <f>IFERROR(TEXT(tbl_Ventes[[#This Row],[Date]],"mm-aaaa"),"")</f>
        <v>01-1900</v>
      </c>
      <c r="D3329" s="10" t="str">
        <f>IFERROR(
   INDEX(tbl_ProduitsRef[Cde_Prdt],MATCH(tbl_Ventes[[#This Row],[Produit]],tbl_ProduitsRef[Produit],0)),
   ""
)</f>
        <v/>
      </c>
      <c r="E3329" s="7">
        <v>0</v>
      </c>
      <c r="F3329" s="7" t="str">
        <f>IFERROR(
   INDEX(tbl_ProduitsRef[Prix Menu],MATCH(tbl_Ventes[[#This Row],[Produit]],tbl_ProduitsRef[Produit],0)),
   ""
)</f>
        <v/>
      </c>
      <c r="G3329" s="7">
        <f>tbl_Ventes[[#This Row],[Qté Vendue]] * IFERROR(_xlfn.XLOOKUP(tbl_Ventes[[#This Row],[Cde_Prdt]], tbl_Produits[Cde_Prdt], tbl_Produits[Prix Menu]), 0)</f>
        <v>0</v>
      </c>
      <c r="H3329" s="7">
        <f>IFERROR(_xlfn.XLOOKUP(tbl_Ventes[[#This Row],[Cde_Prdt]], tbl_Produits[Cde_Prdt], tbl_Produits[Coût Moyen Portion]), 0)</f>
        <v>0</v>
      </c>
      <c r="I3329" s="7">
        <f>tbl_Ventes[[#This Row],[Qté Vendue]] * tbl_Ventes[[#This Row],[CMP_par_portion]]</f>
        <v>0</v>
      </c>
      <c r="J3329" s="7">
        <f>tbl_Ventes[[#This Row],[CA ligne]] - tbl_Ventes[[#This Row],[Coût matière ligne]]</f>
        <v>0</v>
      </c>
      <c r="K3329" s="7" t="str">
        <f>IFERROR(INDEX(tbl_ProduitsRef[Famille], MATCH(tbl_Ventes[[#This Row],[Cde_Prdt]], tbl_Produits[Cde_Prdt], 0)), "")</f>
        <v/>
      </c>
    </row>
    <row r="3330" spans="1:11" x14ac:dyDescent="0.25">
      <c r="A3330" s="5"/>
      <c r="B3330" s="63" t="str">
        <f>IFERROR(TEXT(tbl_Ventes[[#This Row],[Date]],"mm-aaaa"),"")</f>
        <v>01-1900</v>
      </c>
      <c r="D3330" s="10" t="str">
        <f>IFERROR(
   INDEX(tbl_ProduitsRef[Cde_Prdt],MATCH(tbl_Ventes[[#This Row],[Produit]],tbl_ProduitsRef[Produit],0)),
   ""
)</f>
        <v/>
      </c>
      <c r="E3330" s="7">
        <v>0</v>
      </c>
      <c r="F3330" s="7" t="str">
        <f>IFERROR(
   INDEX(tbl_ProduitsRef[Prix Menu],MATCH(tbl_Ventes[[#This Row],[Produit]],tbl_ProduitsRef[Produit],0)),
   ""
)</f>
        <v/>
      </c>
      <c r="G3330" s="7">
        <f>tbl_Ventes[[#This Row],[Qté Vendue]] * IFERROR(_xlfn.XLOOKUP(tbl_Ventes[[#This Row],[Cde_Prdt]], tbl_Produits[Cde_Prdt], tbl_Produits[Prix Menu]), 0)</f>
        <v>0</v>
      </c>
      <c r="H3330" s="7">
        <f>IFERROR(_xlfn.XLOOKUP(tbl_Ventes[[#This Row],[Cde_Prdt]], tbl_Produits[Cde_Prdt], tbl_Produits[Coût Moyen Portion]), 0)</f>
        <v>0</v>
      </c>
      <c r="I3330" s="7">
        <f>tbl_Ventes[[#This Row],[Qté Vendue]] * tbl_Ventes[[#This Row],[CMP_par_portion]]</f>
        <v>0</v>
      </c>
      <c r="J3330" s="7">
        <f>tbl_Ventes[[#This Row],[CA ligne]] - tbl_Ventes[[#This Row],[Coût matière ligne]]</f>
        <v>0</v>
      </c>
      <c r="K3330" s="7" t="str">
        <f>IFERROR(INDEX(tbl_ProduitsRef[Famille], MATCH(tbl_Ventes[[#This Row],[Cde_Prdt]], tbl_Produits[Cde_Prdt], 0)), "")</f>
        <v/>
      </c>
    </row>
    <row r="3331" spans="1:11" x14ac:dyDescent="0.25">
      <c r="A3331" s="5"/>
      <c r="B3331" s="63" t="str">
        <f>IFERROR(TEXT(tbl_Ventes[[#This Row],[Date]],"mm-aaaa"),"")</f>
        <v>01-1900</v>
      </c>
      <c r="D3331" s="10" t="str">
        <f>IFERROR(
   INDEX(tbl_ProduitsRef[Cde_Prdt],MATCH(tbl_Ventes[[#This Row],[Produit]],tbl_ProduitsRef[Produit],0)),
   ""
)</f>
        <v/>
      </c>
      <c r="E3331" s="7">
        <v>0</v>
      </c>
      <c r="F3331" s="7" t="str">
        <f>IFERROR(
   INDEX(tbl_ProduitsRef[Prix Menu],MATCH(tbl_Ventes[[#This Row],[Produit]],tbl_ProduitsRef[Produit],0)),
   ""
)</f>
        <v/>
      </c>
      <c r="G3331" s="7">
        <f>tbl_Ventes[[#This Row],[Qté Vendue]] * IFERROR(_xlfn.XLOOKUP(tbl_Ventes[[#This Row],[Cde_Prdt]], tbl_Produits[Cde_Prdt], tbl_Produits[Prix Menu]), 0)</f>
        <v>0</v>
      </c>
      <c r="H3331" s="7">
        <f>IFERROR(_xlfn.XLOOKUP(tbl_Ventes[[#This Row],[Cde_Prdt]], tbl_Produits[Cde_Prdt], tbl_Produits[Coût Moyen Portion]), 0)</f>
        <v>0</v>
      </c>
      <c r="I3331" s="7">
        <f>tbl_Ventes[[#This Row],[Qté Vendue]] * tbl_Ventes[[#This Row],[CMP_par_portion]]</f>
        <v>0</v>
      </c>
      <c r="J3331" s="7">
        <f>tbl_Ventes[[#This Row],[CA ligne]] - tbl_Ventes[[#This Row],[Coût matière ligne]]</f>
        <v>0</v>
      </c>
      <c r="K3331" s="7" t="str">
        <f>IFERROR(INDEX(tbl_ProduitsRef[Famille], MATCH(tbl_Ventes[[#This Row],[Cde_Prdt]], tbl_Produits[Cde_Prdt], 0)), "")</f>
        <v/>
      </c>
    </row>
    <row r="3332" spans="1:11" x14ac:dyDescent="0.25">
      <c r="A3332" s="5"/>
      <c r="B3332" s="63" t="str">
        <f>IFERROR(TEXT(tbl_Ventes[[#This Row],[Date]],"mm-aaaa"),"")</f>
        <v>01-1900</v>
      </c>
      <c r="D3332" s="10" t="str">
        <f>IFERROR(
   INDEX(tbl_ProduitsRef[Cde_Prdt],MATCH(tbl_Ventes[[#This Row],[Produit]],tbl_ProduitsRef[Produit],0)),
   ""
)</f>
        <v/>
      </c>
      <c r="E3332" s="7">
        <v>0</v>
      </c>
      <c r="F3332" s="7" t="str">
        <f>IFERROR(
   INDEX(tbl_ProduitsRef[Prix Menu],MATCH(tbl_Ventes[[#This Row],[Produit]],tbl_ProduitsRef[Produit],0)),
   ""
)</f>
        <v/>
      </c>
      <c r="G3332" s="7">
        <f>tbl_Ventes[[#This Row],[Qté Vendue]] * IFERROR(_xlfn.XLOOKUP(tbl_Ventes[[#This Row],[Cde_Prdt]], tbl_Produits[Cde_Prdt], tbl_Produits[Prix Menu]), 0)</f>
        <v>0</v>
      </c>
      <c r="H3332" s="7">
        <f>IFERROR(_xlfn.XLOOKUP(tbl_Ventes[[#This Row],[Cde_Prdt]], tbl_Produits[Cde_Prdt], tbl_Produits[Coût Moyen Portion]), 0)</f>
        <v>0</v>
      </c>
      <c r="I3332" s="7">
        <f>tbl_Ventes[[#This Row],[Qté Vendue]] * tbl_Ventes[[#This Row],[CMP_par_portion]]</f>
        <v>0</v>
      </c>
      <c r="J3332" s="7">
        <f>tbl_Ventes[[#This Row],[CA ligne]] - tbl_Ventes[[#This Row],[Coût matière ligne]]</f>
        <v>0</v>
      </c>
      <c r="K3332" s="7" t="str">
        <f>IFERROR(INDEX(tbl_ProduitsRef[Famille], MATCH(tbl_Ventes[[#This Row],[Cde_Prdt]], tbl_Produits[Cde_Prdt], 0)), "")</f>
        <v/>
      </c>
    </row>
    <row r="3333" spans="1:11" x14ac:dyDescent="0.25">
      <c r="A3333" s="5"/>
      <c r="B3333" s="63" t="str">
        <f>IFERROR(TEXT(tbl_Ventes[[#This Row],[Date]],"mm-aaaa"),"")</f>
        <v>01-1900</v>
      </c>
      <c r="D3333" s="10" t="str">
        <f>IFERROR(
   INDEX(tbl_ProduitsRef[Cde_Prdt],MATCH(tbl_Ventes[[#This Row],[Produit]],tbl_ProduitsRef[Produit],0)),
   ""
)</f>
        <v/>
      </c>
      <c r="E3333" s="7">
        <v>0</v>
      </c>
      <c r="F3333" s="7" t="str">
        <f>IFERROR(
   INDEX(tbl_ProduitsRef[Prix Menu],MATCH(tbl_Ventes[[#This Row],[Produit]],tbl_ProduitsRef[Produit],0)),
   ""
)</f>
        <v/>
      </c>
      <c r="G3333" s="7">
        <f>tbl_Ventes[[#This Row],[Qté Vendue]] * IFERROR(_xlfn.XLOOKUP(tbl_Ventes[[#This Row],[Cde_Prdt]], tbl_Produits[Cde_Prdt], tbl_Produits[Prix Menu]), 0)</f>
        <v>0</v>
      </c>
      <c r="H3333" s="7">
        <f>IFERROR(_xlfn.XLOOKUP(tbl_Ventes[[#This Row],[Cde_Prdt]], tbl_Produits[Cde_Prdt], tbl_Produits[Coût Moyen Portion]), 0)</f>
        <v>0</v>
      </c>
      <c r="I3333" s="7">
        <f>tbl_Ventes[[#This Row],[Qté Vendue]] * tbl_Ventes[[#This Row],[CMP_par_portion]]</f>
        <v>0</v>
      </c>
      <c r="J3333" s="7">
        <f>tbl_Ventes[[#This Row],[CA ligne]] - tbl_Ventes[[#This Row],[Coût matière ligne]]</f>
        <v>0</v>
      </c>
      <c r="K3333" s="7" t="str">
        <f>IFERROR(INDEX(tbl_ProduitsRef[Famille], MATCH(tbl_Ventes[[#This Row],[Cde_Prdt]], tbl_Produits[Cde_Prdt], 0)), "")</f>
        <v/>
      </c>
    </row>
    <row r="3334" spans="1:11" x14ac:dyDescent="0.25">
      <c r="A3334" s="5"/>
      <c r="B3334" s="63" t="str">
        <f>IFERROR(TEXT(tbl_Ventes[[#This Row],[Date]],"mm-aaaa"),"")</f>
        <v>01-1900</v>
      </c>
      <c r="D3334" s="10" t="str">
        <f>IFERROR(
   INDEX(tbl_ProduitsRef[Cde_Prdt],MATCH(tbl_Ventes[[#This Row],[Produit]],tbl_ProduitsRef[Produit],0)),
   ""
)</f>
        <v/>
      </c>
      <c r="E3334" s="7">
        <v>0</v>
      </c>
      <c r="F3334" s="7" t="str">
        <f>IFERROR(
   INDEX(tbl_ProduitsRef[Prix Menu],MATCH(tbl_Ventes[[#This Row],[Produit]],tbl_ProduitsRef[Produit],0)),
   ""
)</f>
        <v/>
      </c>
      <c r="G3334" s="7">
        <f>tbl_Ventes[[#This Row],[Qté Vendue]] * IFERROR(_xlfn.XLOOKUP(tbl_Ventes[[#This Row],[Cde_Prdt]], tbl_Produits[Cde_Prdt], tbl_Produits[Prix Menu]), 0)</f>
        <v>0</v>
      </c>
      <c r="H3334" s="7">
        <f>IFERROR(_xlfn.XLOOKUP(tbl_Ventes[[#This Row],[Cde_Prdt]], tbl_Produits[Cde_Prdt], tbl_Produits[Coût Moyen Portion]), 0)</f>
        <v>0</v>
      </c>
      <c r="I3334" s="7">
        <f>tbl_Ventes[[#This Row],[Qté Vendue]] * tbl_Ventes[[#This Row],[CMP_par_portion]]</f>
        <v>0</v>
      </c>
      <c r="J3334" s="7">
        <f>tbl_Ventes[[#This Row],[CA ligne]] - tbl_Ventes[[#This Row],[Coût matière ligne]]</f>
        <v>0</v>
      </c>
      <c r="K3334" s="7" t="str">
        <f>IFERROR(INDEX(tbl_ProduitsRef[Famille], MATCH(tbl_Ventes[[#This Row],[Cde_Prdt]], tbl_Produits[Cde_Prdt], 0)), "")</f>
        <v/>
      </c>
    </row>
    <row r="3335" spans="1:11" x14ac:dyDescent="0.25">
      <c r="A3335" s="5"/>
      <c r="B3335" s="63" t="str">
        <f>IFERROR(TEXT(tbl_Ventes[[#This Row],[Date]],"mm-aaaa"),"")</f>
        <v>01-1900</v>
      </c>
      <c r="D3335" s="10" t="str">
        <f>IFERROR(
   INDEX(tbl_ProduitsRef[Cde_Prdt],MATCH(tbl_Ventes[[#This Row],[Produit]],tbl_ProduitsRef[Produit],0)),
   ""
)</f>
        <v/>
      </c>
      <c r="E3335" s="7">
        <v>0</v>
      </c>
      <c r="F3335" s="7" t="str">
        <f>IFERROR(
   INDEX(tbl_ProduitsRef[Prix Menu],MATCH(tbl_Ventes[[#This Row],[Produit]],tbl_ProduitsRef[Produit],0)),
   ""
)</f>
        <v/>
      </c>
      <c r="G3335" s="7">
        <f>tbl_Ventes[[#This Row],[Qté Vendue]] * IFERROR(_xlfn.XLOOKUP(tbl_Ventes[[#This Row],[Cde_Prdt]], tbl_Produits[Cde_Prdt], tbl_Produits[Prix Menu]), 0)</f>
        <v>0</v>
      </c>
      <c r="H3335" s="7">
        <f>IFERROR(_xlfn.XLOOKUP(tbl_Ventes[[#This Row],[Cde_Prdt]], tbl_Produits[Cde_Prdt], tbl_Produits[Coût Moyen Portion]), 0)</f>
        <v>0</v>
      </c>
      <c r="I3335" s="7">
        <f>tbl_Ventes[[#This Row],[Qté Vendue]] * tbl_Ventes[[#This Row],[CMP_par_portion]]</f>
        <v>0</v>
      </c>
      <c r="J3335" s="7">
        <f>tbl_Ventes[[#This Row],[CA ligne]] - tbl_Ventes[[#This Row],[Coût matière ligne]]</f>
        <v>0</v>
      </c>
      <c r="K3335" s="7" t="str">
        <f>IFERROR(INDEX(tbl_ProduitsRef[Famille], MATCH(tbl_Ventes[[#This Row],[Cde_Prdt]], tbl_Produits[Cde_Prdt], 0)), "")</f>
        <v/>
      </c>
    </row>
    <row r="3336" spans="1:11" x14ac:dyDescent="0.25">
      <c r="A3336" s="5"/>
      <c r="B3336" s="63" t="str">
        <f>IFERROR(TEXT(tbl_Ventes[[#This Row],[Date]],"mm-aaaa"),"")</f>
        <v>01-1900</v>
      </c>
      <c r="D3336" s="10" t="str">
        <f>IFERROR(
   INDEX(tbl_ProduitsRef[Cde_Prdt],MATCH(tbl_Ventes[[#This Row],[Produit]],tbl_ProduitsRef[Produit],0)),
   ""
)</f>
        <v/>
      </c>
      <c r="E3336" s="7">
        <v>0</v>
      </c>
      <c r="F3336" s="7" t="str">
        <f>IFERROR(
   INDEX(tbl_ProduitsRef[Prix Menu],MATCH(tbl_Ventes[[#This Row],[Produit]],tbl_ProduitsRef[Produit],0)),
   ""
)</f>
        <v/>
      </c>
      <c r="G3336" s="7">
        <f>tbl_Ventes[[#This Row],[Qté Vendue]] * IFERROR(_xlfn.XLOOKUP(tbl_Ventes[[#This Row],[Cde_Prdt]], tbl_Produits[Cde_Prdt], tbl_Produits[Prix Menu]), 0)</f>
        <v>0</v>
      </c>
      <c r="H3336" s="7">
        <f>IFERROR(_xlfn.XLOOKUP(tbl_Ventes[[#This Row],[Cde_Prdt]], tbl_Produits[Cde_Prdt], tbl_Produits[Coût Moyen Portion]), 0)</f>
        <v>0</v>
      </c>
      <c r="I3336" s="7">
        <f>tbl_Ventes[[#This Row],[Qté Vendue]] * tbl_Ventes[[#This Row],[CMP_par_portion]]</f>
        <v>0</v>
      </c>
      <c r="J3336" s="7">
        <f>tbl_Ventes[[#This Row],[CA ligne]] - tbl_Ventes[[#This Row],[Coût matière ligne]]</f>
        <v>0</v>
      </c>
      <c r="K3336" s="7" t="str">
        <f>IFERROR(INDEX(tbl_ProduitsRef[Famille], MATCH(tbl_Ventes[[#This Row],[Cde_Prdt]], tbl_Produits[Cde_Prdt], 0)), "")</f>
        <v/>
      </c>
    </row>
    <row r="3337" spans="1:11" x14ac:dyDescent="0.25">
      <c r="A3337" s="5"/>
      <c r="B3337" s="63" t="str">
        <f>IFERROR(TEXT(tbl_Ventes[[#This Row],[Date]],"mm-aaaa"),"")</f>
        <v>01-1900</v>
      </c>
      <c r="D3337" s="10" t="str">
        <f>IFERROR(
   INDEX(tbl_ProduitsRef[Cde_Prdt],MATCH(tbl_Ventes[[#This Row],[Produit]],tbl_ProduitsRef[Produit],0)),
   ""
)</f>
        <v/>
      </c>
      <c r="E3337" s="7">
        <v>0</v>
      </c>
      <c r="F3337" s="7" t="str">
        <f>IFERROR(
   INDEX(tbl_ProduitsRef[Prix Menu],MATCH(tbl_Ventes[[#This Row],[Produit]],tbl_ProduitsRef[Produit],0)),
   ""
)</f>
        <v/>
      </c>
      <c r="G3337" s="7">
        <f>tbl_Ventes[[#This Row],[Qté Vendue]] * IFERROR(_xlfn.XLOOKUP(tbl_Ventes[[#This Row],[Cde_Prdt]], tbl_Produits[Cde_Prdt], tbl_Produits[Prix Menu]), 0)</f>
        <v>0</v>
      </c>
      <c r="H3337" s="7">
        <f>IFERROR(_xlfn.XLOOKUP(tbl_Ventes[[#This Row],[Cde_Prdt]], tbl_Produits[Cde_Prdt], tbl_Produits[Coût Moyen Portion]), 0)</f>
        <v>0</v>
      </c>
      <c r="I3337" s="7">
        <f>tbl_Ventes[[#This Row],[Qté Vendue]] * tbl_Ventes[[#This Row],[CMP_par_portion]]</f>
        <v>0</v>
      </c>
      <c r="J3337" s="7">
        <f>tbl_Ventes[[#This Row],[CA ligne]] - tbl_Ventes[[#This Row],[Coût matière ligne]]</f>
        <v>0</v>
      </c>
      <c r="K3337" s="7" t="str">
        <f>IFERROR(INDEX(tbl_ProduitsRef[Famille], MATCH(tbl_Ventes[[#This Row],[Cde_Prdt]], tbl_Produits[Cde_Prdt], 0)), "")</f>
        <v/>
      </c>
    </row>
    <row r="3338" spans="1:11" x14ac:dyDescent="0.25">
      <c r="A3338" s="5"/>
      <c r="B3338" s="63" t="str">
        <f>IFERROR(TEXT(tbl_Ventes[[#This Row],[Date]],"mm-aaaa"),"")</f>
        <v>01-1900</v>
      </c>
      <c r="D3338" s="10" t="str">
        <f>IFERROR(
   INDEX(tbl_ProduitsRef[Cde_Prdt],MATCH(tbl_Ventes[[#This Row],[Produit]],tbl_ProduitsRef[Produit],0)),
   ""
)</f>
        <v/>
      </c>
      <c r="E3338" s="7">
        <v>0</v>
      </c>
      <c r="F3338" s="7" t="str">
        <f>IFERROR(
   INDEX(tbl_ProduitsRef[Prix Menu],MATCH(tbl_Ventes[[#This Row],[Produit]],tbl_ProduitsRef[Produit],0)),
   ""
)</f>
        <v/>
      </c>
      <c r="G3338" s="7">
        <f>tbl_Ventes[[#This Row],[Qté Vendue]] * IFERROR(_xlfn.XLOOKUP(tbl_Ventes[[#This Row],[Cde_Prdt]], tbl_Produits[Cde_Prdt], tbl_Produits[Prix Menu]), 0)</f>
        <v>0</v>
      </c>
      <c r="H3338" s="7">
        <f>IFERROR(_xlfn.XLOOKUP(tbl_Ventes[[#This Row],[Cde_Prdt]], tbl_Produits[Cde_Prdt], tbl_Produits[Coût Moyen Portion]), 0)</f>
        <v>0</v>
      </c>
      <c r="I3338" s="7">
        <f>tbl_Ventes[[#This Row],[Qté Vendue]] * tbl_Ventes[[#This Row],[CMP_par_portion]]</f>
        <v>0</v>
      </c>
      <c r="J3338" s="7">
        <f>tbl_Ventes[[#This Row],[CA ligne]] - tbl_Ventes[[#This Row],[Coût matière ligne]]</f>
        <v>0</v>
      </c>
      <c r="K3338" s="7" t="str">
        <f>IFERROR(INDEX(tbl_ProduitsRef[Famille], MATCH(tbl_Ventes[[#This Row],[Cde_Prdt]], tbl_Produits[Cde_Prdt], 0)), "")</f>
        <v/>
      </c>
    </row>
    <row r="3339" spans="1:11" x14ac:dyDescent="0.25">
      <c r="A3339" s="5"/>
      <c r="B3339" s="63" t="str">
        <f>IFERROR(TEXT(tbl_Ventes[[#This Row],[Date]],"mm-aaaa"),"")</f>
        <v>01-1900</v>
      </c>
      <c r="D3339" s="10" t="str">
        <f>IFERROR(
   INDEX(tbl_ProduitsRef[Cde_Prdt],MATCH(tbl_Ventes[[#This Row],[Produit]],tbl_ProduitsRef[Produit],0)),
   ""
)</f>
        <v/>
      </c>
      <c r="E3339" s="7">
        <v>0</v>
      </c>
      <c r="F3339" s="7" t="str">
        <f>IFERROR(
   INDEX(tbl_ProduitsRef[Prix Menu],MATCH(tbl_Ventes[[#This Row],[Produit]],tbl_ProduitsRef[Produit],0)),
   ""
)</f>
        <v/>
      </c>
      <c r="G3339" s="7">
        <f>tbl_Ventes[[#This Row],[Qté Vendue]] * IFERROR(_xlfn.XLOOKUP(tbl_Ventes[[#This Row],[Cde_Prdt]], tbl_Produits[Cde_Prdt], tbl_Produits[Prix Menu]), 0)</f>
        <v>0</v>
      </c>
      <c r="H3339" s="7">
        <f>IFERROR(_xlfn.XLOOKUP(tbl_Ventes[[#This Row],[Cde_Prdt]], tbl_Produits[Cde_Prdt], tbl_Produits[Coût Moyen Portion]), 0)</f>
        <v>0</v>
      </c>
      <c r="I3339" s="7">
        <f>tbl_Ventes[[#This Row],[Qté Vendue]] * tbl_Ventes[[#This Row],[CMP_par_portion]]</f>
        <v>0</v>
      </c>
      <c r="J3339" s="7">
        <f>tbl_Ventes[[#This Row],[CA ligne]] - tbl_Ventes[[#This Row],[Coût matière ligne]]</f>
        <v>0</v>
      </c>
      <c r="K3339" s="7" t="str">
        <f>IFERROR(INDEX(tbl_ProduitsRef[Famille], MATCH(tbl_Ventes[[#This Row],[Cde_Prdt]], tbl_Produits[Cde_Prdt], 0)), "")</f>
        <v/>
      </c>
    </row>
    <row r="3340" spans="1:11" x14ac:dyDescent="0.25">
      <c r="A3340" s="5"/>
      <c r="B3340" s="63" t="str">
        <f>IFERROR(TEXT(tbl_Ventes[[#This Row],[Date]],"mm-aaaa"),"")</f>
        <v>01-1900</v>
      </c>
      <c r="D3340" s="10" t="str">
        <f>IFERROR(
   INDEX(tbl_ProduitsRef[Cde_Prdt],MATCH(tbl_Ventes[[#This Row],[Produit]],tbl_ProduitsRef[Produit],0)),
   ""
)</f>
        <v/>
      </c>
      <c r="E3340" s="7">
        <v>0</v>
      </c>
      <c r="F3340" s="7" t="str">
        <f>IFERROR(
   INDEX(tbl_ProduitsRef[Prix Menu],MATCH(tbl_Ventes[[#This Row],[Produit]],tbl_ProduitsRef[Produit],0)),
   ""
)</f>
        <v/>
      </c>
      <c r="G3340" s="7">
        <f>tbl_Ventes[[#This Row],[Qté Vendue]] * IFERROR(_xlfn.XLOOKUP(tbl_Ventes[[#This Row],[Cde_Prdt]], tbl_Produits[Cde_Prdt], tbl_Produits[Prix Menu]), 0)</f>
        <v>0</v>
      </c>
      <c r="H3340" s="7">
        <f>IFERROR(_xlfn.XLOOKUP(tbl_Ventes[[#This Row],[Cde_Prdt]], tbl_Produits[Cde_Prdt], tbl_Produits[Coût Moyen Portion]), 0)</f>
        <v>0</v>
      </c>
      <c r="I3340" s="7">
        <f>tbl_Ventes[[#This Row],[Qté Vendue]] * tbl_Ventes[[#This Row],[CMP_par_portion]]</f>
        <v>0</v>
      </c>
      <c r="J3340" s="7">
        <f>tbl_Ventes[[#This Row],[CA ligne]] - tbl_Ventes[[#This Row],[Coût matière ligne]]</f>
        <v>0</v>
      </c>
      <c r="K3340" s="7" t="str">
        <f>IFERROR(INDEX(tbl_ProduitsRef[Famille], MATCH(tbl_Ventes[[#This Row],[Cde_Prdt]], tbl_Produits[Cde_Prdt], 0)), "")</f>
        <v/>
      </c>
    </row>
    <row r="3341" spans="1:11" x14ac:dyDescent="0.25">
      <c r="A3341" s="5"/>
      <c r="B3341" s="63" t="str">
        <f>IFERROR(TEXT(tbl_Ventes[[#This Row],[Date]],"mm-aaaa"),"")</f>
        <v>01-1900</v>
      </c>
      <c r="D3341" s="10" t="str">
        <f>IFERROR(
   INDEX(tbl_ProduitsRef[Cde_Prdt],MATCH(tbl_Ventes[[#This Row],[Produit]],tbl_ProduitsRef[Produit],0)),
   ""
)</f>
        <v/>
      </c>
      <c r="E3341" s="7">
        <v>0</v>
      </c>
      <c r="F3341" s="7" t="str">
        <f>IFERROR(
   INDEX(tbl_ProduitsRef[Prix Menu],MATCH(tbl_Ventes[[#This Row],[Produit]],tbl_ProduitsRef[Produit],0)),
   ""
)</f>
        <v/>
      </c>
      <c r="G3341" s="7">
        <f>tbl_Ventes[[#This Row],[Qté Vendue]] * IFERROR(_xlfn.XLOOKUP(tbl_Ventes[[#This Row],[Cde_Prdt]], tbl_Produits[Cde_Prdt], tbl_Produits[Prix Menu]), 0)</f>
        <v>0</v>
      </c>
      <c r="H3341" s="7">
        <f>IFERROR(_xlfn.XLOOKUP(tbl_Ventes[[#This Row],[Cde_Prdt]], tbl_Produits[Cde_Prdt], tbl_Produits[Coût Moyen Portion]), 0)</f>
        <v>0</v>
      </c>
      <c r="I3341" s="7">
        <f>tbl_Ventes[[#This Row],[Qté Vendue]] * tbl_Ventes[[#This Row],[CMP_par_portion]]</f>
        <v>0</v>
      </c>
      <c r="J3341" s="7">
        <f>tbl_Ventes[[#This Row],[CA ligne]] - tbl_Ventes[[#This Row],[Coût matière ligne]]</f>
        <v>0</v>
      </c>
      <c r="K3341" s="7" t="str">
        <f>IFERROR(INDEX(tbl_ProduitsRef[Famille], MATCH(tbl_Ventes[[#This Row],[Cde_Prdt]], tbl_Produits[Cde_Prdt], 0)), "")</f>
        <v/>
      </c>
    </row>
    <row r="3342" spans="1:11" x14ac:dyDescent="0.25">
      <c r="A3342" s="5"/>
      <c r="B3342" s="63" t="str">
        <f>IFERROR(TEXT(tbl_Ventes[[#This Row],[Date]],"mm-aaaa"),"")</f>
        <v>01-1900</v>
      </c>
      <c r="D3342" s="10" t="str">
        <f>IFERROR(
   INDEX(tbl_ProduitsRef[Cde_Prdt],MATCH(tbl_Ventes[[#This Row],[Produit]],tbl_ProduitsRef[Produit],0)),
   ""
)</f>
        <v/>
      </c>
      <c r="E3342" s="7">
        <v>0</v>
      </c>
      <c r="F3342" s="7" t="str">
        <f>IFERROR(
   INDEX(tbl_ProduitsRef[Prix Menu],MATCH(tbl_Ventes[[#This Row],[Produit]],tbl_ProduitsRef[Produit],0)),
   ""
)</f>
        <v/>
      </c>
      <c r="G3342" s="7">
        <f>tbl_Ventes[[#This Row],[Qté Vendue]] * IFERROR(_xlfn.XLOOKUP(tbl_Ventes[[#This Row],[Cde_Prdt]], tbl_Produits[Cde_Prdt], tbl_Produits[Prix Menu]), 0)</f>
        <v>0</v>
      </c>
      <c r="H3342" s="7">
        <f>IFERROR(_xlfn.XLOOKUP(tbl_Ventes[[#This Row],[Cde_Prdt]], tbl_Produits[Cde_Prdt], tbl_Produits[Coût Moyen Portion]), 0)</f>
        <v>0</v>
      </c>
      <c r="I3342" s="7">
        <f>tbl_Ventes[[#This Row],[Qté Vendue]] * tbl_Ventes[[#This Row],[CMP_par_portion]]</f>
        <v>0</v>
      </c>
      <c r="J3342" s="7">
        <f>tbl_Ventes[[#This Row],[CA ligne]] - tbl_Ventes[[#This Row],[Coût matière ligne]]</f>
        <v>0</v>
      </c>
      <c r="K3342" s="7" t="str">
        <f>IFERROR(INDEX(tbl_ProduitsRef[Famille], MATCH(tbl_Ventes[[#This Row],[Cde_Prdt]], tbl_Produits[Cde_Prdt], 0)), "")</f>
        <v/>
      </c>
    </row>
    <row r="3343" spans="1:11" x14ac:dyDescent="0.25">
      <c r="A3343" s="5"/>
      <c r="B3343" s="63" t="str">
        <f>IFERROR(TEXT(tbl_Ventes[[#This Row],[Date]],"mm-aaaa"),"")</f>
        <v>01-1900</v>
      </c>
      <c r="D3343" s="10" t="str">
        <f>IFERROR(
   INDEX(tbl_ProduitsRef[Cde_Prdt],MATCH(tbl_Ventes[[#This Row],[Produit]],tbl_ProduitsRef[Produit],0)),
   ""
)</f>
        <v/>
      </c>
      <c r="E3343" s="7">
        <v>0</v>
      </c>
      <c r="F3343" s="7" t="str">
        <f>IFERROR(
   INDEX(tbl_ProduitsRef[Prix Menu],MATCH(tbl_Ventes[[#This Row],[Produit]],tbl_ProduitsRef[Produit],0)),
   ""
)</f>
        <v/>
      </c>
      <c r="G3343" s="7">
        <f>tbl_Ventes[[#This Row],[Qté Vendue]] * IFERROR(_xlfn.XLOOKUP(tbl_Ventes[[#This Row],[Cde_Prdt]], tbl_Produits[Cde_Prdt], tbl_Produits[Prix Menu]), 0)</f>
        <v>0</v>
      </c>
      <c r="H3343" s="7">
        <f>IFERROR(_xlfn.XLOOKUP(tbl_Ventes[[#This Row],[Cde_Prdt]], tbl_Produits[Cde_Prdt], tbl_Produits[Coût Moyen Portion]), 0)</f>
        <v>0</v>
      </c>
      <c r="I3343" s="7">
        <f>tbl_Ventes[[#This Row],[Qté Vendue]] * tbl_Ventes[[#This Row],[CMP_par_portion]]</f>
        <v>0</v>
      </c>
      <c r="J3343" s="7">
        <f>tbl_Ventes[[#This Row],[CA ligne]] - tbl_Ventes[[#This Row],[Coût matière ligne]]</f>
        <v>0</v>
      </c>
      <c r="K3343" s="7" t="str">
        <f>IFERROR(INDEX(tbl_ProduitsRef[Famille], MATCH(tbl_Ventes[[#This Row],[Cde_Prdt]], tbl_Produits[Cde_Prdt], 0)), "")</f>
        <v/>
      </c>
    </row>
    <row r="3344" spans="1:11" x14ac:dyDescent="0.25">
      <c r="A3344" s="5"/>
      <c r="B3344" s="63" t="str">
        <f>IFERROR(TEXT(tbl_Ventes[[#This Row],[Date]],"mm-aaaa"),"")</f>
        <v>01-1900</v>
      </c>
      <c r="D3344" s="10" t="str">
        <f>IFERROR(
   INDEX(tbl_ProduitsRef[Cde_Prdt],MATCH(tbl_Ventes[[#This Row],[Produit]],tbl_ProduitsRef[Produit],0)),
   ""
)</f>
        <v/>
      </c>
      <c r="E3344" s="7">
        <v>0</v>
      </c>
      <c r="F3344" s="7" t="str">
        <f>IFERROR(
   INDEX(tbl_ProduitsRef[Prix Menu],MATCH(tbl_Ventes[[#This Row],[Produit]],tbl_ProduitsRef[Produit],0)),
   ""
)</f>
        <v/>
      </c>
      <c r="G3344" s="7">
        <f>tbl_Ventes[[#This Row],[Qté Vendue]] * IFERROR(_xlfn.XLOOKUP(tbl_Ventes[[#This Row],[Cde_Prdt]], tbl_Produits[Cde_Prdt], tbl_Produits[Prix Menu]), 0)</f>
        <v>0</v>
      </c>
      <c r="H3344" s="7">
        <f>IFERROR(_xlfn.XLOOKUP(tbl_Ventes[[#This Row],[Cde_Prdt]], tbl_Produits[Cde_Prdt], tbl_Produits[Coût Moyen Portion]), 0)</f>
        <v>0</v>
      </c>
      <c r="I3344" s="7">
        <f>tbl_Ventes[[#This Row],[Qté Vendue]] * tbl_Ventes[[#This Row],[CMP_par_portion]]</f>
        <v>0</v>
      </c>
      <c r="J3344" s="7">
        <f>tbl_Ventes[[#This Row],[CA ligne]] - tbl_Ventes[[#This Row],[Coût matière ligne]]</f>
        <v>0</v>
      </c>
      <c r="K3344" s="7" t="str">
        <f>IFERROR(INDEX(tbl_ProduitsRef[Famille], MATCH(tbl_Ventes[[#This Row],[Cde_Prdt]], tbl_Produits[Cde_Prdt], 0)), "")</f>
        <v/>
      </c>
    </row>
    <row r="3345" spans="1:11" x14ac:dyDescent="0.25">
      <c r="A3345" s="5"/>
      <c r="B3345" s="63" t="str">
        <f>IFERROR(TEXT(tbl_Ventes[[#This Row],[Date]],"mm-aaaa"),"")</f>
        <v>01-1900</v>
      </c>
      <c r="D3345" s="10" t="str">
        <f>IFERROR(
   INDEX(tbl_ProduitsRef[Cde_Prdt],MATCH(tbl_Ventes[[#This Row],[Produit]],tbl_ProduitsRef[Produit],0)),
   ""
)</f>
        <v/>
      </c>
      <c r="E3345" s="7">
        <v>0</v>
      </c>
      <c r="F3345" s="7" t="str">
        <f>IFERROR(
   INDEX(tbl_ProduitsRef[Prix Menu],MATCH(tbl_Ventes[[#This Row],[Produit]],tbl_ProduitsRef[Produit],0)),
   ""
)</f>
        <v/>
      </c>
      <c r="G3345" s="7">
        <f>tbl_Ventes[[#This Row],[Qté Vendue]] * IFERROR(_xlfn.XLOOKUP(tbl_Ventes[[#This Row],[Cde_Prdt]], tbl_Produits[Cde_Prdt], tbl_Produits[Prix Menu]), 0)</f>
        <v>0</v>
      </c>
      <c r="H3345" s="7">
        <f>IFERROR(_xlfn.XLOOKUP(tbl_Ventes[[#This Row],[Cde_Prdt]], tbl_Produits[Cde_Prdt], tbl_Produits[Coût Moyen Portion]), 0)</f>
        <v>0</v>
      </c>
      <c r="I3345" s="7">
        <f>tbl_Ventes[[#This Row],[Qté Vendue]] * tbl_Ventes[[#This Row],[CMP_par_portion]]</f>
        <v>0</v>
      </c>
      <c r="J3345" s="7">
        <f>tbl_Ventes[[#This Row],[CA ligne]] - tbl_Ventes[[#This Row],[Coût matière ligne]]</f>
        <v>0</v>
      </c>
      <c r="K3345" s="7" t="str">
        <f>IFERROR(INDEX(tbl_ProduitsRef[Famille], MATCH(tbl_Ventes[[#This Row],[Cde_Prdt]], tbl_Produits[Cde_Prdt], 0)), "")</f>
        <v/>
      </c>
    </row>
    <row r="3346" spans="1:11" x14ac:dyDescent="0.25">
      <c r="A3346" s="5"/>
      <c r="B3346" s="63" t="str">
        <f>IFERROR(TEXT(tbl_Ventes[[#This Row],[Date]],"mm-aaaa"),"")</f>
        <v>01-1900</v>
      </c>
      <c r="D3346" s="10" t="str">
        <f>IFERROR(
   INDEX(tbl_ProduitsRef[Cde_Prdt],MATCH(tbl_Ventes[[#This Row],[Produit]],tbl_ProduitsRef[Produit],0)),
   ""
)</f>
        <v/>
      </c>
      <c r="E3346" s="7">
        <v>0</v>
      </c>
      <c r="F3346" s="7" t="str">
        <f>IFERROR(
   INDEX(tbl_ProduitsRef[Prix Menu],MATCH(tbl_Ventes[[#This Row],[Produit]],tbl_ProduitsRef[Produit],0)),
   ""
)</f>
        <v/>
      </c>
      <c r="G3346" s="7">
        <f>tbl_Ventes[[#This Row],[Qté Vendue]] * IFERROR(_xlfn.XLOOKUP(tbl_Ventes[[#This Row],[Cde_Prdt]], tbl_Produits[Cde_Prdt], tbl_Produits[Prix Menu]), 0)</f>
        <v>0</v>
      </c>
      <c r="H3346" s="7">
        <f>IFERROR(_xlfn.XLOOKUP(tbl_Ventes[[#This Row],[Cde_Prdt]], tbl_Produits[Cde_Prdt], tbl_Produits[Coût Moyen Portion]), 0)</f>
        <v>0</v>
      </c>
      <c r="I3346" s="7">
        <f>tbl_Ventes[[#This Row],[Qté Vendue]] * tbl_Ventes[[#This Row],[CMP_par_portion]]</f>
        <v>0</v>
      </c>
      <c r="J3346" s="7">
        <f>tbl_Ventes[[#This Row],[CA ligne]] - tbl_Ventes[[#This Row],[Coût matière ligne]]</f>
        <v>0</v>
      </c>
      <c r="K3346" s="7" t="str">
        <f>IFERROR(INDEX(tbl_ProduitsRef[Famille], MATCH(tbl_Ventes[[#This Row],[Cde_Prdt]], tbl_Produits[Cde_Prdt], 0)), "")</f>
        <v/>
      </c>
    </row>
    <row r="3347" spans="1:11" x14ac:dyDescent="0.25">
      <c r="A3347" s="5"/>
      <c r="B3347" s="63" t="str">
        <f>IFERROR(TEXT(tbl_Ventes[[#This Row],[Date]],"mm-aaaa"),"")</f>
        <v>01-1900</v>
      </c>
      <c r="D3347" s="10" t="str">
        <f>IFERROR(
   INDEX(tbl_ProduitsRef[Cde_Prdt],MATCH(tbl_Ventes[[#This Row],[Produit]],tbl_ProduitsRef[Produit],0)),
   ""
)</f>
        <v/>
      </c>
      <c r="E3347" s="7">
        <v>0</v>
      </c>
      <c r="F3347" s="7" t="str">
        <f>IFERROR(
   INDEX(tbl_ProduitsRef[Prix Menu],MATCH(tbl_Ventes[[#This Row],[Produit]],tbl_ProduitsRef[Produit],0)),
   ""
)</f>
        <v/>
      </c>
      <c r="G3347" s="7">
        <f>tbl_Ventes[[#This Row],[Qté Vendue]] * IFERROR(_xlfn.XLOOKUP(tbl_Ventes[[#This Row],[Cde_Prdt]], tbl_Produits[Cde_Prdt], tbl_Produits[Prix Menu]), 0)</f>
        <v>0</v>
      </c>
      <c r="H3347" s="7">
        <f>IFERROR(_xlfn.XLOOKUP(tbl_Ventes[[#This Row],[Cde_Prdt]], tbl_Produits[Cde_Prdt], tbl_Produits[Coût Moyen Portion]), 0)</f>
        <v>0</v>
      </c>
      <c r="I3347" s="7">
        <f>tbl_Ventes[[#This Row],[Qté Vendue]] * tbl_Ventes[[#This Row],[CMP_par_portion]]</f>
        <v>0</v>
      </c>
      <c r="J3347" s="7">
        <f>tbl_Ventes[[#This Row],[CA ligne]] - tbl_Ventes[[#This Row],[Coût matière ligne]]</f>
        <v>0</v>
      </c>
      <c r="K3347" s="7" t="str">
        <f>IFERROR(INDEX(tbl_ProduitsRef[Famille], MATCH(tbl_Ventes[[#This Row],[Cde_Prdt]], tbl_Produits[Cde_Prdt], 0)), "")</f>
        <v/>
      </c>
    </row>
    <row r="3348" spans="1:11" x14ac:dyDescent="0.25">
      <c r="A3348" s="5"/>
      <c r="B3348" s="63" t="str">
        <f>IFERROR(TEXT(tbl_Ventes[[#This Row],[Date]],"mm-aaaa"),"")</f>
        <v>01-1900</v>
      </c>
      <c r="D3348" s="10" t="str">
        <f>IFERROR(
   INDEX(tbl_ProduitsRef[Cde_Prdt],MATCH(tbl_Ventes[[#This Row],[Produit]],tbl_ProduitsRef[Produit],0)),
   ""
)</f>
        <v/>
      </c>
      <c r="E3348" s="7">
        <v>0</v>
      </c>
      <c r="F3348" s="7" t="str">
        <f>IFERROR(
   INDEX(tbl_ProduitsRef[Prix Menu],MATCH(tbl_Ventes[[#This Row],[Produit]],tbl_ProduitsRef[Produit],0)),
   ""
)</f>
        <v/>
      </c>
      <c r="G3348" s="7">
        <f>tbl_Ventes[[#This Row],[Qté Vendue]] * IFERROR(_xlfn.XLOOKUP(tbl_Ventes[[#This Row],[Cde_Prdt]], tbl_Produits[Cde_Prdt], tbl_Produits[Prix Menu]), 0)</f>
        <v>0</v>
      </c>
      <c r="H3348" s="7">
        <f>IFERROR(_xlfn.XLOOKUP(tbl_Ventes[[#This Row],[Cde_Prdt]], tbl_Produits[Cde_Prdt], tbl_Produits[Coût Moyen Portion]), 0)</f>
        <v>0</v>
      </c>
      <c r="I3348" s="7">
        <f>tbl_Ventes[[#This Row],[Qté Vendue]] * tbl_Ventes[[#This Row],[CMP_par_portion]]</f>
        <v>0</v>
      </c>
      <c r="J3348" s="7">
        <f>tbl_Ventes[[#This Row],[CA ligne]] - tbl_Ventes[[#This Row],[Coût matière ligne]]</f>
        <v>0</v>
      </c>
      <c r="K3348" s="7" t="str">
        <f>IFERROR(INDEX(tbl_ProduitsRef[Famille], MATCH(tbl_Ventes[[#This Row],[Cde_Prdt]], tbl_Produits[Cde_Prdt], 0)), "")</f>
        <v/>
      </c>
    </row>
    <row r="3349" spans="1:11" x14ac:dyDescent="0.25">
      <c r="A3349" s="5"/>
      <c r="B3349" s="63" t="str">
        <f>IFERROR(TEXT(tbl_Ventes[[#This Row],[Date]],"mm-aaaa"),"")</f>
        <v>01-1900</v>
      </c>
      <c r="D3349" s="10" t="str">
        <f>IFERROR(
   INDEX(tbl_ProduitsRef[Cde_Prdt],MATCH(tbl_Ventes[[#This Row],[Produit]],tbl_ProduitsRef[Produit],0)),
   ""
)</f>
        <v/>
      </c>
      <c r="E3349" s="7">
        <v>0</v>
      </c>
      <c r="F3349" s="7" t="str">
        <f>IFERROR(
   INDEX(tbl_ProduitsRef[Prix Menu],MATCH(tbl_Ventes[[#This Row],[Produit]],tbl_ProduitsRef[Produit],0)),
   ""
)</f>
        <v/>
      </c>
      <c r="G3349" s="7">
        <f>tbl_Ventes[[#This Row],[Qté Vendue]] * IFERROR(_xlfn.XLOOKUP(tbl_Ventes[[#This Row],[Cde_Prdt]], tbl_Produits[Cde_Prdt], tbl_Produits[Prix Menu]), 0)</f>
        <v>0</v>
      </c>
      <c r="H3349" s="7">
        <f>IFERROR(_xlfn.XLOOKUP(tbl_Ventes[[#This Row],[Cde_Prdt]], tbl_Produits[Cde_Prdt], tbl_Produits[Coût Moyen Portion]), 0)</f>
        <v>0</v>
      </c>
      <c r="I3349" s="7">
        <f>tbl_Ventes[[#This Row],[Qté Vendue]] * tbl_Ventes[[#This Row],[CMP_par_portion]]</f>
        <v>0</v>
      </c>
      <c r="J3349" s="7">
        <f>tbl_Ventes[[#This Row],[CA ligne]] - tbl_Ventes[[#This Row],[Coût matière ligne]]</f>
        <v>0</v>
      </c>
      <c r="K3349" s="7" t="str">
        <f>IFERROR(INDEX(tbl_ProduitsRef[Famille], MATCH(tbl_Ventes[[#This Row],[Cde_Prdt]], tbl_Produits[Cde_Prdt], 0)), "")</f>
        <v/>
      </c>
    </row>
    <row r="3350" spans="1:11" x14ac:dyDescent="0.25">
      <c r="A3350" s="5"/>
      <c r="B3350" s="63" t="str">
        <f>IFERROR(TEXT(tbl_Ventes[[#This Row],[Date]],"mm-aaaa"),"")</f>
        <v>01-1900</v>
      </c>
      <c r="D3350" s="10" t="str">
        <f>IFERROR(
   INDEX(tbl_ProduitsRef[Cde_Prdt],MATCH(tbl_Ventes[[#This Row],[Produit]],tbl_ProduitsRef[Produit],0)),
   ""
)</f>
        <v/>
      </c>
      <c r="E3350" s="7">
        <v>0</v>
      </c>
      <c r="F3350" s="7" t="str">
        <f>IFERROR(
   INDEX(tbl_ProduitsRef[Prix Menu],MATCH(tbl_Ventes[[#This Row],[Produit]],tbl_ProduitsRef[Produit],0)),
   ""
)</f>
        <v/>
      </c>
      <c r="G3350" s="7">
        <f>tbl_Ventes[[#This Row],[Qté Vendue]] * IFERROR(_xlfn.XLOOKUP(tbl_Ventes[[#This Row],[Cde_Prdt]], tbl_Produits[Cde_Prdt], tbl_Produits[Prix Menu]), 0)</f>
        <v>0</v>
      </c>
      <c r="H3350" s="7">
        <f>IFERROR(_xlfn.XLOOKUP(tbl_Ventes[[#This Row],[Cde_Prdt]], tbl_Produits[Cde_Prdt], tbl_Produits[Coût Moyen Portion]), 0)</f>
        <v>0</v>
      </c>
      <c r="I3350" s="7">
        <f>tbl_Ventes[[#This Row],[Qté Vendue]] * tbl_Ventes[[#This Row],[CMP_par_portion]]</f>
        <v>0</v>
      </c>
      <c r="J3350" s="7">
        <f>tbl_Ventes[[#This Row],[CA ligne]] - tbl_Ventes[[#This Row],[Coût matière ligne]]</f>
        <v>0</v>
      </c>
      <c r="K3350" s="7" t="str">
        <f>IFERROR(INDEX(tbl_ProduitsRef[Famille], MATCH(tbl_Ventes[[#This Row],[Cde_Prdt]], tbl_Produits[Cde_Prdt], 0)), "")</f>
        <v/>
      </c>
    </row>
    <row r="3351" spans="1:11" x14ac:dyDescent="0.25">
      <c r="A3351" s="5"/>
      <c r="B3351" s="63" t="str">
        <f>IFERROR(TEXT(tbl_Ventes[[#This Row],[Date]],"mm-aaaa"),"")</f>
        <v>01-1900</v>
      </c>
      <c r="D3351" s="10" t="str">
        <f>IFERROR(
   INDEX(tbl_ProduitsRef[Cde_Prdt],MATCH(tbl_Ventes[[#This Row],[Produit]],tbl_ProduitsRef[Produit],0)),
   ""
)</f>
        <v/>
      </c>
      <c r="E3351" s="7">
        <v>0</v>
      </c>
      <c r="F3351" s="7" t="str">
        <f>IFERROR(
   INDEX(tbl_ProduitsRef[Prix Menu],MATCH(tbl_Ventes[[#This Row],[Produit]],tbl_ProduitsRef[Produit],0)),
   ""
)</f>
        <v/>
      </c>
      <c r="G3351" s="7">
        <f>tbl_Ventes[[#This Row],[Qté Vendue]] * IFERROR(_xlfn.XLOOKUP(tbl_Ventes[[#This Row],[Cde_Prdt]], tbl_Produits[Cde_Prdt], tbl_Produits[Prix Menu]), 0)</f>
        <v>0</v>
      </c>
      <c r="H3351" s="7">
        <f>IFERROR(_xlfn.XLOOKUP(tbl_Ventes[[#This Row],[Cde_Prdt]], tbl_Produits[Cde_Prdt], tbl_Produits[Coût Moyen Portion]), 0)</f>
        <v>0</v>
      </c>
      <c r="I3351" s="7">
        <f>tbl_Ventes[[#This Row],[Qté Vendue]] * tbl_Ventes[[#This Row],[CMP_par_portion]]</f>
        <v>0</v>
      </c>
      <c r="J3351" s="7">
        <f>tbl_Ventes[[#This Row],[CA ligne]] - tbl_Ventes[[#This Row],[Coût matière ligne]]</f>
        <v>0</v>
      </c>
      <c r="K3351" s="7" t="str">
        <f>IFERROR(INDEX(tbl_ProduitsRef[Famille], MATCH(tbl_Ventes[[#This Row],[Cde_Prdt]], tbl_Produits[Cde_Prdt], 0)), "")</f>
        <v/>
      </c>
    </row>
    <row r="3352" spans="1:11" x14ac:dyDescent="0.25">
      <c r="A3352" s="5"/>
      <c r="B3352" s="63" t="str">
        <f>IFERROR(TEXT(tbl_Ventes[[#This Row],[Date]],"mm-aaaa"),"")</f>
        <v>01-1900</v>
      </c>
      <c r="D3352" s="10" t="str">
        <f>IFERROR(
   INDEX(tbl_ProduitsRef[Cde_Prdt],MATCH(tbl_Ventes[[#This Row],[Produit]],tbl_ProduitsRef[Produit],0)),
   ""
)</f>
        <v/>
      </c>
      <c r="E3352" s="7">
        <v>0</v>
      </c>
      <c r="F3352" s="7" t="str">
        <f>IFERROR(
   INDEX(tbl_ProduitsRef[Prix Menu],MATCH(tbl_Ventes[[#This Row],[Produit]],tbl_ProduitsRef[Produit],0)),
   ""
)</f>
        <v/>
      </c>
      <c r="G3352" s="7">
        <f>tbl_Ventes[[#This Row],[Qté Vendue]] * IFERROR(_xlfn.XLOOKUP(tbl_Ventes[[#This Row],[Cde_Prdt]], tbl_Produits[Cde_Prdt], tbl_Produits[Prix Menu]), 0)</f>
        <v>0</v>
      </c>
      <c r="H3352" s="7">
        <f>IFERROR(_xlfn.XLOOKUP(tbl_Ventes[[#This Row],[Cde_Prdt]], tbl_Produits[Cde_Prdt], tbl_Produits[Coût Moyen Portion]), 0)</f>
        <v>0</v>
      </c>
      <c r="I3352" s="7">
        <f>tbl_Ventes[[#This Row],[Qté Vendue]] * tbl_Ventes[[#This Row],[CMP_par_portion]]</f>
        <v>0</v>
      </c>
      <c r="J3352" s="7">
        <f>tbl_Ventes[[#This Row],[CA ligne]] - tbl_Ventes[[#This Row],[Coût matière ligne]]</f>
        <v>0</v>
      </c>
      <c r="K3352" s="7" t="str">
        <f>IFERROR(INDEX(tbl_ProduitsRef[Famille], MATCH(tbl_Ventes[[#This Row],[Cde_Prdt]], tbl_Produits[Cde_Prdt], 0)), "")</f>
        <v/>
      </c>
    </row>
    <row r="3353" spans="1:11" x14ac:dyDescent="0.25">
      <c r="A3353" s="5"/>
      <c r="B3353" s="63" t="str">
        <f>IFERROR(TEXT(tbl_Ventes[[#This Row],[Date]],"mm-aaaa"),"")</f>
        <v>01-1900</v>
      </c>
      <c r="D3353" s="10" t="str">
        <f>IFERROR(
   INDEX(tbl_ProduitsRef[Cde_Prdt],MATCH(tbl_Ventes[[#This Row],[Produit]],tbl_ProduitsRef[Produit],0)),
   ""
)</f>
        <v/>
      </c>
      <c r="E3353" s="7">
        <v>0</v>
      </c>
      <c r="F3353" s="7" t="str">
        <f>IFERROR(
   INDEX(tbl_ProduitsRef[Prix Menu],MATCH(tbl_Ventes[[#This Row],[Produit]],tbl_ProduitsRef[Produit],0)),
   ""
)</f>
        <v/>
      </c>
      <c r="G3353" s="7">
        <f>tbl_Ventes[[#This Row],[Qté Vendue]] * IFERROR(_xlfn.XLOOKUP(tbl_Ventes[[#This Row],[Cde_Prdt]], tbl_Produits[Cde_Prdt], tbl_Produits[Prix Menu]), 0)</f>
        <v>0</v>
      </c>
      <c r="H3353" s="7">
        <f>IFERROR(_xlfn.XLOOKUP(tbl_Ventes[[#This Row],[Cde_Prdt]], tbl_Produits[Cde_Prdt], tbl_Produits[Coût Moyen Portion]), 0)</f>
        <v>0</v>
      </c>
      <c r="I3353" s="7">
        <f>tbl_Ventes[[#This Row],[Qté Vendue]] * tbl_Ventes[[#This Row],[CMP_par_portion]]</f>
        <v>0</v>
      </c>
      <c r="J3353" s="7">
        <f>tbl_Ventes[[#This Row],[CA ligne]] - tbl_Ventes[[#This Row],[Coût matière ligne]]</f>
        <v>0</v>
      </c>
      <c r="K3353" s="7" t="str">
        <f>IFERROR(INDEX(tbl_ProduitsRef[Famille], MATCH(tbl_Ventes[[#This Row],[Cde_Prdt]], tbl_Produits[Cde_Prdt], 0)), "")</f>
        <v/>
      </c>
    </row>
    <row r="3354" spans="1:11" x14ac:dyDescent="0.25">
      <c r="A3354" s="5"/>
      <c r="B3354" s="63" t="str">
        <f>IFERROR(TEXT(tbl_Ventes[[#This Row],[Date]],"mm-aaaa"),"")</f>
        <v>01-1900</v>
      </c>
      <c r="D3354" s="10" t="str">
        <f>IFERROR(
   INDEX(tbl_ProduitsRef[Cde_Prdt],MATCH(tbl_Ventes[[#This Row],[Produit]],tbl_ProduitsRef[Produit],0)),
   ""
)</f>
        <v/>
      </c>
      <c r="E3354" s="7">
        <v>0</v>
      </c>
      <c r="F3354" s="7" t="str">
        <f>IFERROR(
   INDEX(tbl_ProduitsRef[Prix Menu],MATCH(tbl_Ventes[[#This Row],[Produit]],tbl_ProduitsRef[Produit],0)),
   ""
)</f>
        <v/>
      </c>
      <c r="G3354" s="7">
        <f>tbl_Ventes[[#This Row],[Qté Vendue]] * IFERROR(_xlfn.XLOOKUP(tbl_Ventes[[#This Row],[Cde_Prdt]], tbl_Produits[Cde_Prdt], tbl_Produits[Prix Menu]), 0)</f>
        <v>0</v>
      </c>
      <c r="H3354" s="7">
        <f>IFERROR(_xlfn.XLOOKUP(tbl_Ventes[[#This Row],[Cde_Prdt]], tbl_Produits[Cde_Prdt], tbl_Produits[Coût Moyen Portion]), 0)</f>
        <v>0</v>
      </c>
      <c r="I3354" s="7">
        <f>tbl_Ventes[[#This Row],[Qté Vendue]] * tbl_Ventes[[#This Row],[CMP_par_portion]]</f>
        <v>0</v>
      </c>
      <c r="J3354" s="7">
        <f>tbl_Ventes[[#This Row],[CA ligne]] - tbl_Ventes[[#This Row],[Coût matière ligne]]</f>
        <v>0</v>
      </c>
      <c r="K3354" s="7" t="str">
        <f>IFERROR(INDEX(tbl_ProduitsRef[Famille], MATCH(tbl_Ventes[[#This Row],[Cde_Prdt]], tbl_Produits[Cde_Prdt], 0)), "")</f>
        <v/>
      </c>
    </row>
    <row r="3355" spans="1:11" x14ac:dyDescent="0.25">
      <c r="A3355" s="5"/>
      <c r="B3355" s="63" t="str">
        <f>IFERROR(TEXT(tbl_Ventes[[#This Row],[Date]],"mm-aaaa"),"")</f>
        <v>01-1900</v>
      </c>
      <c r="D3355" s="10" t="str">
        <f>IFERROR(
   INDEX(tbl_ProduitsRef[Cde_Prdt],MATCH(tbl_Ventes[[#This Row],[Produit]],tbl_ProduitsRef[Produit],0)),
   ""
)</f>
        <v/>
      </c>
      <c r="E3355" s="7">
        <v>0</v>
      </c>
      <c r="F3355" s="7" t="str">
        <f>IFERROR(
   INDEX(tbl_ProduitsRef[Prix Menu],MATCH(tbl_Ventes[[#This Row],[Produit]],tbl_ProduitsRef[Produit],0)),
   ""
)</f>
        <v/>
      </c>
      <c r="G3355" s="7">
        <f>tbl_Ventes[[#This Row],[Qté Vendue]] * IFERROR(_xlfn.XLOOKUP(tbl_Ventes[[#This Row],[Cde_Prdt]], tbl_Produits[Cde_Prdt], tbl_Produits[Prix Menu]), 0)</f>
        <v>0</v>
      </c>
      <c r="H3355" s="7">
        <f>IFERROR(_xlfn.XLOOKUP(tbl_Ventes[[#This Row],[Cde_Prdt]], tbl_Produits[Cde_Prdt], tbl_Produits[Coût Moyen Portion]), 0)</f>
        <v>0</v>
      </c>
      <c r="I3355" s="7">
        <f>tbl_Ventes[[#This Row],[Qté Vendue]] * tbl_Ventes[[#This Row],[CMP_par_portion]]</f>
        <v>0</v>
      </c>
      <c r="J3355" s="7">
        <f>tbl_Ventes[[#This Row],[CA ligne]] - tbl_Ventes[[#This Row],[Coût matière ligne]]</f>
        <v>0</v>
      </c>
      <c r="K3355" s="7" t="str">
        <f>IFERROR(INDEX(tbl_ProduitsRef[Famille], MATCH(tbl_Ventes[[#This Row],[Cde_Prdt]], tbl_Produits[Cde_Prdt], 0)), "")</f>
        <v/>
      </c>
    </row>
    <row r="3356" spans="1:11" x14ac:dyDescent="0.25">
      <c r="A3356" s="5"/>
      <c r="B3356" s="63" t="str">
        <f>IFERROR(TEXT(tbl_Ventes[[#This Row],[Date]],"mm-aaaa"),"")</f>
        <v>01-1900</v>
      </c>
      <c r="D3356" s="10" t="str">
        <f>IFERROR(
   INDEX(tbl_ProduitsRef[Cde_Prdt],MATCH(tbl_Ventes[[#This Row],[Produit]],tbl_ProduitsRef[Produit],0)),
   ""
)</f>
        <v/>
      </c>
      <c r="E3356" s="7">
        <v>0</v>
      </c>
      <c r="F3356" s="7" t="str">
        <f>IFERROR(
   INDEX(tbl_ProduitsRef[Prix Menu],MATCH(tbl_Ventes[[#This Row],[Produit]],tbl_ProduitsRef[Produit],0)),
   ""
)</f>
        <v/>
      </c>
      <c r="G3356" s="7">
        <f>tbl_Ventes[[#This Row],[Qté Vendue]] * IFERROR(_xlfn.XLOOKUP(tbl_Ventes[[#This Row],[Cde_Prdt]], tbl_Produits[Cde_Prdt], tbl_Produits[Prix Menu]), 0)</f>
        <v>0</v>
      </c>
      <c r="H3356" s="7">
        <f>IFERROR(_xlfn.XLOOKUP(tbl_Ventes[[#This Row],[Cde_Prdt]], tbl_Produits[Cde_Prdt], tbl_Produits[Coût Moyen Portion]), 0)</f>
        <v>0</v>
      </c>
      <c r="I3356" s="7">
        <f>tbl_Ventes[[#This Row],[Qté Vendue]] * tbl_Ventes[[#This Row],[CMP_par_portion]]</f>
        <v>0</v>
      </c>
      <c r="J3356" s="7">
        <f>tbl_Ventes[[#This Row],[CA ligne]] - tbl_Ventes[[#This Row],[Coût matière ligne]]</f>
        <v>0</v>
      </c>
      <c r="K3356" s="7" t="str">
        <f>IFERROR(INDEX(tbl_ProduitsRef[Famille], MATCH(tbl_Ventes[[#This Row],[Cde_Prdt]], tbl_Produits[Cde_Prdt], 0)), "")</f>
        <v/>
      </c>
    </row>
    <row r="3357" spans="1:11" x14ac:dyDescent="0.25">
      <c r="A3357" s="5"/>
      <c r="B3357" s="63" t="str">
        <f>IFERROR(TEXT(tbl_Ventes[[#This Row],[Date]],"mm-aaaa"),"")</f>
        <v>01-1900</v>
      </c>
      <c r="D3357" s="10" t="str">
        <f>IFERROR(
   INDEX(tbl_ProduitsRef[Cde_Prdt],MATCH(tbl_Ventes[[#This Row],[Produit]],tbl_ProduitsRef[Produit],0)),
   ""
)</f>
        <v/>
      </c>
      <c r="E3357" s="7">
        <v>0</v>
      </c>
      <c r="F3357" s="7" t="str">
        <f>IFERROR(
   INDEX(tbl_ProduitsRef[Prix Menu],MATCH(tbl_Ventes[[#This Row],[Produit]],tbl_ProduitsRef[Produit],0)),
   ""
)</f>
        <v/>
      </c>
      <c r="G3357" s="7">
        <f>tbl_Ventes[[#This Row],[Qté Vendue]] * IFERROR(_xlfn.XLOOKUP(tbl_Ventes[[#This Row],[Cde_Prdt]], tbl_Produits[Cde_Prdt], tbl_Produits[Prix Menu]), 0)</f>
        <v>0</v>
      </c>
      <c r="H3357" s="7">
        <f>IFERROR(_xlfn.XLOOKUP(tbl_Ventes[[#This Row],[Cde_Prdt]], tbl_Produits[Cde_Prdt], tbl_Produits[Coût Moyen Portion]), 0)</f>
        <v>0</v>
      </c>
      <c r="I3357" s="7">
        <f>tbl_Ventes[[#This Row],[Qté Vendue]] * tbl_Ventes[[#This Row],[CMP_par_portion]]</f>
        <v>0</v>
      </c>
      <c r="J3357" s="7">
        <f>tbl_Ventes[[#This Row],[CA ligne]] - tbl_Ventes[[#This Row],[Coût matière ligne]]</f>
        <v>0</v>
      </c>
      <c r="K3357" s="7" t="str">
        <f>IFERROR(INDEX(tbl_ProduitsRef[Famille], MATCH(tbl_Ventes[[#This Row],[Cde_Prdt]], tbl_Produits[Cde_Prdt], 0)), "")</f>
        <v/>
      </c>
    </row>
    <row r="3358" spans="1:11" x14ac:dyDescent="0.25">
      <c r="A3358" s="5"/>
      <c r="B3358" s="63" t="str">
        <f>IFERROR(TEXT(tbl_Ventes[[#This Row],[Date]],"mm-aaaa"),"")</f>
        <v>01-1900</v>
      </c>
      <c r="D3358" s="10" t="str">
        <f>IFERROR(
   INDEX(tbl_ProduitsRef[Cde_Prdt],MATCH(tbl_Ventes[[#This Row],[Produit]],tbl_ProduitsRef[Produit],0)),
   ""
)</f>
        <v/>
      </c>
      <c r="E3358" s="7">
        <v>0</v>
      </c>
      <c r="F3358" s="7" t="str">
        <f>IFERROR(
   INDEX(tbl_ProduitsRef[Prix Menu],MATCH(tbl_Ventes[[#This Row],[Produit]],tbl_ProduitsRef[Produit],0)),
   ""
)</f>
        <v/>
      </c>
      <c r="G3358" s="7">
        <f>tbl_Ventes[[#This Row],[Qté Vendue]] * IFERROR(_xlfn.XLOOKUP(tbl_Ventes[[#This Row],[Cde_Prdt]], tbl_Produits[Cde_Prdt], tbl_Produits[Prix Menu]), 0)</f>
        <v>0</v>
      </c>
      <c r="H3358" s="7">
        <f>IFERROR(_xlfn.XLOOKUP(tbl_Ventes[[#This Row],[Cde_Prdt]], tbl_Produits[Cde_Prdt], tbl_Produits[Coût Moyen Portion]), 0)</f>
        <v>0</v>
      </c>
      <c r="I3358" s="7">
        <f>tbl_Ventes[[#This Row],[Qté Vendue]] * tbl_Ventes[[#This Row],[CMP_par_portion]]</f>
        <v>0</v>
      </c>
      <c r="J3358" s="7">
        <f>tbl_Ventes[[#This Row],[CA ligne]] - tbl_Ventes[[#This Row],[Coût matière ligne]]</f>
        <v>0</v>
      </c>
      <c r="K3358" s="7" t="str">
        <f>IFERROR(INDEX(tbl_ProduitsRef[Famille], MATCH(tbl_Ventes[[#This Row],[Cde_Prdt]], tbl_Produits[Cde_Prdt], 0)), "")</f>
        <v/>
      </c>
    </row>
    <row r="3359" spans="1:11" x14ac:dyDescent="0.25">
      <c r="A3359" s="5"/>
      <c r="B3359" s="63" t="str">
        <f>IFERROR(TEXT(tbl_Ventes[[#This Row],[Date]],"mm-aaaa"),"")</f>
        <v>01-1900</v>
      </c>
      <c r="D3359" s="10" t="str">
        <f>IFERROR(
   INDEX(tbl_ProduitsRef[Cde_Prdt],MATCH(tbl_Ventes[[#This Row],[Produit]],tbl_ProduitsRef[Produit],0)),
   ""
)</f>
        <v/>
      </c>
      <c r="E3359" s="7">
        <v>0</v>
      </c>
      <c r="F3359" s="7" t="str">
        <f>IFERROR(
   INDEX(tbl_ProduitsRef[Prix Menu],MATCH(tbl_Ventes[[#This Row],[Produit]],tbl_ProduitsRef[Produit],0)),
   ""
)</f>
        <v/>
      </c>
      <c r="G3359" s="7">
        <f>tbl_Ventes[[#This Row],[Qté Vendue]] * IFERROR(_xlfn.XLOOKUP(tbl_Ventes[[#This Row],[Cde_Prdt]], tbl_Produits[Cde_Prdt], tbl_Produits[Prix Menu]), 0)</f>
        <v>0</v>
      </c>
      <c r="H3359" s="7">
        <f>IFERROR(_xlfn.XLOOKUP(tbl_Ventes[[#This Row],[Cde_Prdt]], tbl_Produits[Cde_Prdt], tbl_Produits[Coût Moyen Portion]), 0)</f>
        <v>0</v>
      </c>
      <c r="I3359" s="7">
        <f>tbl_Ventes[[#This Row],[Qté Vendue]] * tbl_Ventes[[#This Row],[CMP_par_portion]]</f>
        <v>0</v>
      </c>
      <c r="J3359" s="7">
        <f>tbl_Ventes[[#This Row],[CA ligne]] - tbl_Ventes[[#This Row],[Coût matière ligne]]</f>
        <v>0</v>
      </c>
      <c r="K3359" s="7" t="str">
        <f>IFERROR(INDEX(tbl_ProduitsRef[Famille], MATCH(tbl_Ventes[[#This Row],[Cde_Prdt]], tbl_Produits[Cde_Prdt], 0)), "")</f>
        <v/>
      </c>
    </row>
    <row r="3360" spans="1:11" x14ac:dyDescent="0.25">
      <c r="A3360" s="5"/>
      <c r="B3360" s="63" t="str">
        <f>IFERROR(TEXT(tbl_Ventes[[#This Row],[Date]],"mm-aaaa"),"")</f>
        <v>01-1900</v>
      </c>
      <c r="D3360" s="10" t="str">
        <f>IFERROR(
   INDEX(tbl_ProduitsRef[Cde_Prdt],MATCH(tbl_Ventes[[#This Row],[Produit]],tbl_ProduitsRef[Produit],0)),
   ""
)</f>
        <v/>
      </c>
      <c r="E3360" s="7">
        <v>0</v>
      </c>
      <c r="F3360" s="7" t="str">
        <f>IFERROR(
   INDEX(tbl_ProduitsRef[Prix Menu],MATCH(tbl_Ventes[[#This Row],[Produit]],tbl_ProduitsRef[Produit],0)),
   ""
)</f>
        <v/>
      </c>
      <c r="G3360" s="7">
        <f>tbl_Ventes[[#This Row],[Qté Vendue]] * IFERROR(_xlfn.XLOOKUP(tbl_Ventes[[#This Row],[Cde_Prdt]], tbl_Produits[Cde_Prdt], tbl_Produits[Prix Menu]), 0)</f>
        <v>0</v>
      </c>
      <c r="H3360" s="7">
        <f>IFERROR(_xlfn.XLOOKUP(tbl_Ventes[[#This Row],[Cde_Prdt]], tbl_Produits[Cde_Prdt], tbl_Produits[Coût Moyen Portion]), 0)</f>
        <v>0</v>
      </c>
      <c r="I3360" s="7">
        <f>tbl_Ventes[[#This Row],[Qté Vendue]] * tbl_Ventes[[#This Row],[CMP_par_portion]]</f>
        <v>0</v>
      </c>
      <c r="J3360" s="7">
        <f>tbl_Ventes[[#This Row],[CA ligne]] - tbl_Ventes[[#This Row],[Coût matière ligne]]</f>
        <v>0</v>
      </c>
      <c r="K3360" s="7" t="str">
        <f>IFERROR(INDEX(tbl_ProduitsRef[Famille], MATCH(tbl_Ventes[[#This Row],[Cde_Prdt]], tbl_Produits[Cde_Prdt], 0)), "")</f>
        <v/>
      </c>
    </row>
    <row r="3361" spans="1:11" x14ac:dyDescent="0.25">
      <c r="A3361" s="5"/>
      <c r="B3361" s="63" t="str">
        <f>IFERROR(TEXT(tbl_Ventes[[#This Row],[Date]],"mm-aaaa"),"")</f>
        <v>01-1900</v>
      </c>
      <c r="D3361" s="10" t="str">
        <f>IFERROR(
   INDEX(tbl_ProduitsRef[Cde_Prdt],MATCH(tbl_Ventes[[#This Row],[Produit]],tbl_ProduitsRef[Produit],0)),
   ""
)</f>
        <v/>
      </c>
      <c r="E3361" s="7">
        <v>0</v>
      </c>
      <c r="F3361" s="7" t="str">
        <f>IFERROR(
   INDEX(tbl_ProduitsRef[Prix Menu],MATCH(tbl_Ventes[[#This Row],[Produit]],tbl_ProduitsRef[Produit],0)),
   ""
)</f>
        <v/>
      </c>
      <c r="G3361" s="7">
        <f>tbl_Ventes[[#This Row],[Qté Vendue]] * IFERROR(_xlfn.XLOOKUP(tbl_Ventes[[#This Row],[Cde_Prdt]], tbl_Produits[Cde_Prdt], tbl_Produits[Prix Menu]), 0)</f>
        <v>0</v>
      </c>
      <c r="H3361" s="7">
        <f>IFERROR(_xlfn.XLOOKUP(tbl_Ventes[[#This Row],[Cde_Prdt]], tbl_Produits[Cde_Prdt], tbl_Produits[Coût Moyen Portion]), 0)</f>
        <v>0</v>
      </c>
      <c r="I3361" s="7">
        <f>tbl_Ventes[[#This Row],[Qté Vendue]] * tbl_Ventes[[#This Row],[CMP_par_portion]]</f>
        <v>0</v>
      </c>
      <c r="J3361" s="7">
        <f>tbl_Ventes[[#This Row],[CA ligne]] - tbl_Ventes[[#This Row],[Coût matière ligne]]</f>
        <v>0</v>
      </c>
      <c r="K3361" s="7" t="str">
        <f>IFERROR(INDEX(tbl_ProduitsRef[Famille], MATCH(tbl_Ventes[[#This Row],[Cde_Prdt]], tbl_Produits[Cde_Prdt], 0)), "")</f>
        <v/>
      </c>
    </row>
    <row r="3362" spans="1:11" x14ac:dyDescent="0.25">
      <c r="A3362" s="5"/>
      <c r="B3362" s="63" t="str">
        <f>IFERROR(TEXT(tbl_Ventes[[#This Row],[Date]],"mm-aaaa"),"")</f>
        <v>01-1900</v>
      </c>
      <c r="D3362" s="10" t="str">
        <f>IFERROR(
   INDEX(tbl_ProduitsRef[Cde_Prdt],MATCH(tbl_Ventes[[#This Row],[Produit]],tbl_ProduitsRef[Produit],0)),
   ""
)</f>
        <v/>
      </c>
      <c r="E3362" s="7">
        <v>0</v>
      </c>
      <c r="F3362" s="7" t="str">
        <f>IFERROR(
   INDEX(tbl_ProduitsRef[Prix Menu],MATCH(tbl_Ventes[[#This Row],[Produit]],tbl_ProduitsRef[Produit],0)),
   ""
)</f>
        <v/>
      </c>
      <c r="G3362" s="7">
        <f>tbl_Ventes[[#This Row],[Qté Vendue]] * IFERROR(_xlfn.XLOOKUP(tbl_Ventes[[#This Row],[Cde_Prdt]], tbl_Produits[Cde_Prdt], tbl_Produits[Prix Menu]), 0)</f>
        <v>0</v>
      </c>
      <c r="H3362" s="7">
        <f>IFERROR(_xlfn.XLOOKUP(tbl_Ventes[[#This Row],[Cde_Prdt]], tbl_Produits[Cde_Prdt], tbl_Produits[Coût Moyen Portion]), 0)</f>
        <v>0</v>
      </c>
      <c r="I3362" s="7">
        <f>tbl_Ventes[[#This Row],[Qté Vendue]] * tbl_Ventes[[#This Row],[CMP_par_portion]]</f>
        <v>0</v>
      </c>
      <c r="J3362" s="7">
        <f>tbl_Ventes[[#This Row],[CA ligne]] - tbl_Ventes[[#This Row],[Coût matière ligne]]</f>
        <v>0</v>
      </c>
      <c r="K3362" s="7" t="str">
        <f>IFERROR(INDEX(tbl_ProduitsRef[Famille], MATCH(tbl_Ventes[[#This Row],[Cde_Prdt]], tbl_Produits[Cde_Prdt], 0)), "")</f>
        <v/>
      </c>
    </row>
    <row r="3363" spans="1:11" x14ac:dyDescent="0.25">
      <c r="A3363" s="5"/>
      <c r="B3363" s="63" t="str">
        <f>IFERROR(TEXT(tbl_Ventes[[#This Row],[Date]],"mm-aaaa"),"")</f>
        <v>01-1900</v>
      </c>
      <c r="D3363" s="10" t="str">
        <f>IFERROR(
   INDEX(tbl_ProduitsRef[Cde_Prdt],MATCH(tbl_Ventes[[#This Row],[Produit]],tbl_ProduitsRef[Produit],0)),
   ""
)</f>
        <v/>
      </c>
      <c r="E3363" s="7">
        <v>0</v>
      </c>
      <c r="F3363" s="7" t="str">
        <f>IFERROR(
   INDEX(tbl_ProduitsRef[Prix Menu],MATCH(tbl_Ventes[[#This Row],[Produit]],tbl_ProduitsRef[Produit],0)),
   ""
)</f>
        <v/>
      </c>
      <c r="G3363" s="7">
        <f>tbl_Ventes[[#This Row],[Qté Vendue]] * IFERROR(_xlfn.XLOOKUP(tbl_Ventes[[#This Row],[Cde_Prdt]], tbl_Produits[Cde_Prdt], tbl_Produits[Prix Menu]), 0)</f>
        <v>0</v>
      </c>
      <c r="H3363" s="7">
        <f>IFERROR(_xlfn.XLOOKUP(tbl_Ventes[[#This Row],[Cde_Prdt]], tbl_Produits[Cde_Prdt], tbl_Produits[Coût Moyen Portion]), 0)</f>
        <v>0</v>
      </c>
      <c r="I3363" s="7">
        <f>tbl_Ventes[[#This Row],[Qté Vendue]] * tbl_Ventes[[#This Row],[CMP_par_portion]]</f>
        <v>0</v>
      </c>
      <c r="J3363" s="7">
        <f>tbl_Ventes[[#This Row],[CA ligne]] - tbl_Ventes[[#This Row],[Coût matière ligne]]</f>
        <v>0</v>
      </c>
      <c r="K3363" s="7" t="str">
        <f>IFERROR(INDEX(tbl_ProduitsRef[Famille], MATCH(tbl_Ventes[[#This Row],[Cde_Prdt]], tbl_Produits[Cde_Prdt], 0)), "")</f>
        <v/>
      </c>
    </row>
    <row r="3364" spans="1:11" x14ac:dyDescent="0.25">
      <c r="A3364" s="5"/>
      <c r="B3364" s="63" t="str">
        <f>IFERROR(TEXT(tbl_Ventes[[#This Row],[Date]],"mm-aaaa"),"")</f>
        <v>01-1900</v>
      </c>
      <c r="D3364" s="10" t="str">
        <f>IFERROR(
   INDEX(tbl_ProduitsRef[Cde_Prdt],MATCH(tbl_Ventes[[#This Row],[Produit]],tbl_ProduitsRef[Produit],0)),
   ""
)</f>
        <v/>
      </c>
      <c r="E3364" s="7">
        <v>0</v>
      </c>
      <c r="F3364" s="7" t="str">
        <f>IFERROR(
   INDEX(tbl_ProduitsRef[Prix Menu],MATCH(tbl_Ventes[[#This Row],[Produit]],tbl_ProduitsRef[Produit],0)),
   ""
)</f>
        <v/>
      </c>
      <c r="G3364" s="7">
        <f>tbl_Ventes[[#This Row],[Qté Vendue]] * IFERROR(_xlfn.XLOOKUP(tbl_Ventes[[#This Row],[Cde_Prdt]], tbl_Produits[Cde_Prdt], tbl_Produits[Prix Menu]), 0)</f>
        <v>0</v>
      </c>
      <c r="H3364" s="7">
        <f>IFERROR(_xlfn.XLOOKUP(tbl_Ventes[[#This Row],[Cde_Prdt]], tbl_Produits[Cde_Prdt], tbl_Produits[Coût Moyen Portion]), 0)</f>
        <v>0</v>
      </c>
      <c r="I3364" s="7">
        <f>tbl_Ventes[[#This Row],[Qté Vendue]] * tbl_Ventes[[#This Row],[CMP_par_portion]]</f>
        <v>0</v>
      </c>
      <c r="J3364" s="7">
        <f>tbl_Ventes[[#This Row],[CA ligne]] - tbl_Ventes[[#This Row],[Coût matière ligne]]</f>
        <v>0</v>
      </c>
      <c r="K3364" s="7" t="str">
        <f>IFERROR(INDEX(tbl_ProduitsRef[Famille], MATCH(tbl_Ventes[[#This Row],[Cde_Prdt]], tbl_Produits[Cde_Prdt], 0)), "")</f>
        <v/>
      </c>
    </row>
    <row r="3365" spans="1:11" x14ac:dyDescent="0.25">
      <c r="A3365" s="5"/>
      <c r="B3365" s="63" t="str">
        <f>IFERROR(TEXT(tbl_Ventes[[#This Row],[Date]],"mm-aaaa"),"")</f>
        <v>01-1900</v>
      </c>
      <c r="D3365" s="10" t="str">
        <f>IFERROR(
   INDEX(tbl_ProduitsRef[Cde_Prdt],MATCH(tbl_Ventes[[#This Row],[Produit]],tbl_ProduitsRef[Produit],0)),
   ""
)</f>
        <v/>
      </c>
      <c r="E3365" s="7">
        <v>0</v>
      </c>
      <c r="F3365" s="7" t="str">
        <f>IFERROR(
   INDEX(tbl_ProduitsRef[Prix Menu],MATCH(tbl_Ventes[[#This Row],[Produit]],tbl_ProduitsRef[Produit],0)),
   ""
)</f>
        <v/>
      </c>
      <c r="G3365" s="7">
        <f>tbl_Ventes[[#This Row],[Qté Vendue]] * IFERROR(_xlfn.XLOOKUP(tbl_Ventes[[#This Row],[Cde_Prdt]], tbl_Produits[Cde_Prdt], tbl_Produits[Prix Menu]), 0)</f>
        <v>0</v>
      </c>
      <c r="H3365" s="7">
        <f>IFERROR(_xlfn.XLOOKUP(tbl_Ventes[[#This Row],[Cde_Prdt]], tbl_Produits[Cde_Prdt], tbl_Produits[Coût Moyen Portion]), 0)</f>
        <v>0</v>
      </c>
      <c r="I3365" s="7">
        <f>tbl_Ventes[[#This Row],[Qté Vendue]] * tbl_Ventes[[#This Row],[CMP_par_portion]]</f>
        <v>0</v>
      </c>
      <c r="J3365" s="7">
        <f>tbl_Ventes[[#This Row],[CA ligne]] - tbl_Ventes[[#This Row],[Coût matière ligne]]</f>
        <v>0</v>
      </c>
      <c r="K3365" s="7" t="str">
        <f>IFERROR(INDEX(tbl_ProduitsRef[Famille], MATCH(tbl_Ventes[[#This Row],[Cde_Prdt]], tbl_Produits[Cde_Prdt], 0)), "")</f>
        <v/>
      </c>
    </row>
    <row r="3366" spans="1:11" x14ac:dyDescent="0.25">
      <c r="A3366" s="5"/>
      <c r="B3366" s="63" t="str">
        <f>IFERROR(TEXT(tbl_Ventes[[#This Row],[Date]],"mm-aaaa"),"")</f>
        <v>01-1900</v>
      </c>
      <c r="D3366" s="10" t="str">
        <f>IFERROR(
   INDEX(tbl_ProduitsRef[Cde_Prdt],MATCH(tbl_Ventes[[#This Row],[Produit]],tbl_ProduitsRef[Produit],0)),
   ""
)</f>
        <v/>
      </c>
      <c r="E3366" s="7">
        <v>0</v>
      </c>
      <c r="F3366" s="7" t="str">
        <f>IFERROR(
   INDEX(tbl_ProduitsRef[Prix Menu],MATCH(tbl_Ventes[[#This Row],[Produit]],tbl_ProduitsRef[Produit],0)),
   ""
)</f>
        <v/>
      </c>
      <c r="G3366" s="7">
        <f>tbl_Ventes[[#This Row],[Qté Vendue]] * IFERROR(_xlfn.XLOOKUP(tbl_Ventes[[#This Row],[Cde_Prdt]], tbl_Produits[Cde_Prdt], tbl_Produits[Prix Menu]), 0)</f>
        <v>0</v>
      </c>
      <c r="H3366" s="7">
        <f>IFERROR(_xlfn.XLOOKUP(tbl_Ventes[[#This Row],[Cde_Prdt]], tbl_Produits[Cde_Prdt], tbl_Produits[Coût Moyen Portion]), 0)</f>
        <v>0</v>
      </c>
      <c r="I3366" s="7">
        <f>tbl_Ventes[[#This Row],[Qté Vendue]] * tbl_Ventes[[#This Row],[CMP_par_portion]]</f>
        <v>0</v>
      </c>
      <c r="J3366" s="7">
        <f>tbl_Ventes[[#This Row],[CA ligne]] - tbl_Ventes[[#This Row],[Coût matière ligne]]</f>
        <v>0</v>
      </c>
      <c r="K3366" s="7" t="str">
        <f>IFERROR(INDEX(tbl_ProduitsRef[Famille], MATCH(tbl_Ventes[[#This Row],[Cde_Prdt]], tbl_Produits[Cde_Prdt], 0)), "")</f>
        <v/>
      </c>
    </row>
    <row r="3367" spans="1:11" x14ac:dyDescent="0.25">
      <c r="A3367" s="5"/>
      <c r="B3367" s="63" t="str">
        <f>IFERROR(TEXT(tbl_Ventes[[#This Row],[Date]],"mm-aaaa"),"")</f>
        <v>01-1900</v>
      </c>
      <c r="D3367" s="10" t="str">
        <f>IFERROR(
   INDEX(tbl_ProduitsRef[Cde_Prdt],MATCH(tbl_Ventes[[#This Row],[Produit]],tbl_ProduitsRef[Produit],0)),
   ""
)</f>
        <v/>
      </c>
      <c r="E3367" s="7">
        <v>0</v>
      </c>
      <c r="F3367" s="7" t="str">
        <f>IFERROR(
   INDEX(tbl_ProduitsRef[Prix Menu],MATCH(tbl_Ventes[[#This Row],[Produit]],tbl_ProduitsRef[Produit],0)),
   ""
)</f>
        <v/>
      </c>
      <c r="G3367" s="7">
        <f>tbl_Ventes[[#This Row],[Qté Vendue]] * IFERROR(_xlfn.XLOOKUP(tbl_Ventes[[#This Row],[Cde_Prdt]], tbl_Produits[Cde_Prdt], tbl_Produits[Prix Menu]), 0)</f>
        <v>0</v>
      </c>
      <c r="H3367" s="7">
        <f>IFERROR(_xlfn.XLOOKUP(tbl_Ventes[[#This Row],[Cde_Prdt]], tbl_Produits[Cde_Prdt], tbl_Produits[Coût Moyen Portion]), 0)</f>
        <v>0</v>
      </c>
      <c r="I3367" s="7">
        <f>tbl_Ventes[[#This Row],[Qté Vendue]] * tbl_Ventes[[#This Row],[CMP_par_portion]]</f>
        <v>0</v>
      </c>
      <c r="J3367" s="7">
        <f>tbl_Ventes[[#This Row],[CA ligne]] - tbl_Ventes[[#This Row],[Coût matière ligne]]</f>
        <v>0</v>
      </c>
      <c r="K3367" s="7" t="str">
        <f>IFERROR(INDEX(tbl_ProduitsRef[Famille], MATCH(tbl_Ventes[[#This Row],[Cde_Prdt]], tbl_Produits[Cde_Prdt], 0)), "")</f>
        <v/>
      </c>
    </row>
    <row r="3368" spans="1:11" x14ac:dyDescent="0.25">
      <c r="A3368" s="5"/>
      <c r="B3368" s="63" t="str">
        <f>IFERROR(TEXT(tbl_Ventes[[#This Row],[Date]],"mm-aaaa"),"")</f>
        <v>01-1900</v>
      </c>
      <c r="D3368" s="10" t="str">
        <f>IFERROR(
   INDEX(tbl_ProduitsRef[Cde_Prdt],MATCH(tbl_Ventes[[#This Row],[Produit]],tbl_ProduitsRef[Produit],0)),
   ""
)</f>
        <v/>
      </c>
      <c r="E3368" s="7">
        <v>0</v>
      </c>
      <c r="F3368" s="7" t="str">
        <f>IFERROR(
   INDEX(tbl_ProduitsRef[Prix Menu],MATCH(tbl_Ventes[[#This Row],[Produit]],tbl_ProduitsRef[Produit],0)),
   ""
)</f>
        <v/>
      </c>
      <c r="G3368" s="7">
        <f>tbl_Ventes[[#This Row],[Qté Vendue]] * IFERROR(_xlfn.XLOOKUP(tbl_Ventes[[#This Row],[Cde_Prdt]], tbl_Produits[Cde_Prdt], tbl_Produits[Prix Menu]), 0)</f>
        <v>0</v>
      </c>
      <c r="H3368" s="7">
        <f>IFERROR(_xlfn.XLOOKUP(tbl_Ventes[[#This Row],[Cde_Prdt]], tbl_Produits[Cde_Prdt], tbl_Produits[Coût Moyen Portion]), 0)</f>
        <v>0</v>
      </c>
      <c r="I3368" s="7">
        <f>tbl_Ventes[[#This Row],[Qté Vendue]] * tbl_Ventes[[#This Row],[CMP_par_portion]]</f>
        <v>0</v>
      </c>
      <c r="J3368" s="7">
        <f>tbl_Ventes[[#This Row],[CA ligne]] - tbl_Ventes[[#This Row],[Coût matière ligne]]</f>
        <v>0</v>
      </c>
      <c r="K3368" s="7" t="str">
        <f>IFERROR(INDEX(tbl_ProduitsRef[Famille], MATCH(tbl_Ventes[[#This Row],[Cde_Prdt]], tbl_Produits[Cde_Prdt], 0)), "")</f>
        <v/>
      </c>
    </row>
    <row r="3369" spans="1:11" x14ac:dyDescent="0.25">
      <c r="A3369" s="5"/>
      <c r="B3369" s="63" t="str">
        <f>IFERROR(TEXT(tbl_Ventes[[#This Row],[Date]],"mm-aaaa"),"")</f>
        <v>01-1900</v>
      </c>
      <c r="D3369" s="10" t="str">
        <f>IFERROR(
   INDEX(tbl_ProduitsRef[Cde_Prdt],MATCH(tbl_Ventes[[#This Row],[Produit]],tbl_ProduitsRef[Produit],0)),
   ""
)</f>
        <v/>
      </c>
      <c r="E3369" s="7">
        <v>0</v>
      </c>
      <c r="F3369" s="7" t="str">
        <f>IFERROR(
   INDEX(tbl_ProduitsRef[Prix Menu],MATCH(tbl_Ventes[[#This Row],[Produit]],tbl_ProduitsRef[Produit],0)),
   ""
)</f>
        <v/>
      </c>
      <c r="G3369" s="7">
        <f>tbl_Ventes[[#This Row],[Qté Vendue]] * IFERROR(_xlfn.XLOOKUP(tbl_Ventes[[#This Row],[Cde_Prdt]], tbl_Produits[Cde_Prdt], tbl_Produits[Prix Menu]), 0)</f>
        <v>0</v>
      </c>
      <c r="H3369" s="7">
        <f>IFERROR(_xlfn.XLOOKUP(tbl_Ventes[[#This Row],[Cde_Prdt]], tbl_Produits[Cde_Prdt], tbl_Produits[Coût Moyen Portion]), 0)</f>
        <v>0</v>
      </c>
      <c r="I3369" s="7">
        <f>tbl_Ventes[[#This Row],[Qté Vendue]] * tbl_Ventes[[#This Row],[CMP_par_portion]]</f>
        <v>0</v>
      </c>
      <c r="J3369" s="7">
        <f>tbl_Ventes[[#This Row],[CA ligne]] - tbl_Ventes[[#This Row],[Coût matière ligne]]</f>
        <v>0</v>
      </c>
      <c r="K3369" s="7" t="str">
        <f>IFERROR(INDEX(tbl_ProduitsRef[Famille], MATCH(tbl_Ventes[[#This Row],[Cde_Prdt]], tbl_Produits[Cde_Prdt], 0)), "")</f>
        <v/>
      </c>
    </row>
    <row r="3370" spans="1:11" x14ac:dyDescent="0.25">
      <c r="A3370" s="5"/>
      <c r="B3370" s="63" t="str">
        <f>IFERROR(TEXT(tbl_Ventes[[#This Row],[Date]],"mm-aaaa"),"")</f>
        <v>01-1900</v>
      </c>
      <c r="D3370" s="10" t="str">
        <f>IFERROR(
   INDEX(tbl_ProduitsRef[Cde_Prdt],MATCH(tbl_Ventes[[#This Row],[Produit]],tbl_ProduitsRef[Produit],0)),
   ""
)</f>
        <v/>
      </c>
      <c r="E3370" s="7">
        <v>0</v>
      </c>
      <c r="F3370" s="7" t="str">
        <f>IFERROR(
   INDEX(tbl_ProduitsRef[Prix Menu],MATCH(tbl_Ventes[[#This Row],[Produit]],tbl_ProduitsRef[Produit],0)),
   ""
)</f>
        <v/>
      </c>
      <c r="G3370" s="7">
        <f>tbl_Ventes[[#This Row],[Qté Vendue]] * IFERROR(_xlfn.XLOOKUP(tbl_Ventes[[#This Row],[Cde_Prdt]], tbl_Produits[Cde_Prdt], tbl_Produits[Prix Menu]), 0)</f>
        <v>0</v>
      </c>
      <c r="H3370" s="7">
        <f>IFERROR(_xlfn.XLOOKUP(tbl_Ventes[[#This Row],[Cde_Prdt]], tbl_Produits[Cde_Prdt], tbl_Produits[Coût Moyen Portion]), 0)</f>
        <v>0</v>
      </c>
      <c r="I3370" s="7">
        <f>tbl_Ventes[[#This Row],[Qté Vendue]] * tbl_Ventes[[#This Row],[CMP_par_portion]]</f>
        <v>0</v>
      </c>
      <c r="J3370" s="7">
        <f>tbl_Ventes[[#This Row],[CA ligne]] - tbl_Ventes[[#This Row],[Coût matière ligne]]</f>
        <v>0</v>
      </c>
      <c r="K3370" s="7" t="str">
        <f>IFERROR(INDEX(tbl_ProduitsRef[Famille], MATCH(tbl_Ventes[[#This Row],[Cde_Prdt]], tbl_Produits[Cde_Prdt], 0)), "")</f>
        <v/>
      </c>
    </row>
    <row r="3371" spans="1:11" x14ac:dyDescent="0.25">
      <c r="A3371" s="5"/>
      <c r="B3371" s="63" t="str">
        <f>IFERROR(TEXT(tbl_Ventes[[#This Row],[Date]],"mm-aaaa"),"")</f>
        <v>01-1900</v>
      </c>
      <c r="D3371" s="10" t="str">
        <f>IFERROR(
   INDEX(tbl_ProduitsRef[Cde_Prdt],MATCH(tbl_Ventes[[#This Row],[Produit]],tbl_ProduitsRef[Produit],0)),
   ""
)</f>
        <v/>
      </c>
      <c r="E3371" s="7">
        <v>0</v>
      </c>
      <c r="F3371" s="7" t="str">
        <f>IFERROR(
   INDEX(tbl_ProduitsRef[Prix Menu],MATCH(tbl_Ventes[[#This Row],[Produit]],tbl_ProduitsRef[Produit],0)),
   ""
)</f>
        <v/>
      </c>
      <c r="G3371" s="7">
        <f>tbl_Ventes[[#This Row],[Qté Vendue]] * IFERROR(_xlfn.XLOOKUP(tbl_Ventes[[#This Row],[Cde_Prdt]], tbl_Produits[Cde_Prdt], tbl_Produits[Prix Menu]), 0)</f>
        <v>0</v>
      </c>
      <c r="H3371" s="7">
        <f>IFERROR(_xlfn.XLOOKUP(tbl_Ventes[[#This Row],[Cde_Prdt]], tbl_Produits[Cde_Prdt], tbl_Produits[Coût Moyen Portion]), 0)</f>
        <v>0</v>
      </c>
      <c r="I3371" s="7">
        <f>tbl_Ventes[[#This Row],[Qté Vendue]] * tbl_Ventes[[#This Row],[CMP_par_portion]]</f>
        <v>0</v>
      </c>
      <c r="J3371" s="7">
        <f>tbl_Ventes[[#This Row],[CA ligne]] - tbl_Ventes[[#This Row],[Coût matière ligne]]</f>
        <v>0</v>
      </c>
      <c r="K3371" s="7" t="str">
        <f>IFERROR(INDEX(tbl_ProduitsRef[Famille], MATCH(tbl_Ventes[[#This Row],[Cde_Prdt]], tbl_Produits[Cde_Prdt], 0)), "")</f>
        <v/>
      </c>
    </row>
    <row r="3372" spans="1:11" x14ac:dyDescent="0.25">
      <c r="A3372" s="5"/>
      <c r="B3372" s="63" t="str">
        <f>IFERROR(TEXT(tbl_Ventes[[#This Row],[Date]],"mm-aaaa"),"")</f>
        <v>01-1900</v>
      </c>
      <c r="D3372" s="10" t="str">
        <f>IFERROR(
   INDEX(tbl_ProduitsRef[Cde_Prdt],MATCH(tbl_Ventes[[#This Row],[Produit]],tbl_ProduitsRef[Produit],0)),
   ""
)</f>
        <v/>
      </c>
      <c r="E3372" s="7">
        <v>0</v>
      </c>
      <c r="F3372" s="7" t="str">
        <f>IFERROR(
   INDEX(tbl_ProduitsRef[Prix Menu],MATCH(tbl_Ventes[[#This Row],[Produit]],tbl_ProduitsRef[Produit],0)),
   ""
)</f>
        <v/>
      </c>
      <c r="G3372" s="7">
        <f>tbl_Ventes[[#This Row],[Qté Vendue]] * IFERROR(_xlfn.XLOOKUP(tbl_Ventes[[#This Row],[Cde_Prdt]], tbl_Produits[Cde_Prdt], tbl_Produits[Prix Menu]), 0)</f>
        <v>0</v>
      </c>
      <c r="H3372" s="7">
        <f>IFERROR(_xlfn.XLOOKUP(tbl_Ventes[[#This Row],[Cde_Prdt]], tbl_Produits[Cde_Prdt], tbl_Produits[Coût Moyen Portion]), 0)</f>
        <v>0</v>
      </c>
      <c r="I3372" s="7">
        <f>tbl_Ventes[[#This Row],[Qté Vendue]] * tbl_Ventes[[#This Row],[CMP_par_portion]]</f>
        <v>0</v>
      </c>
      <c r="J3372" s="7">
        <f>tbl_Ventes[[#This Row],[CA ligne]] - tbl_Ventes[[#This Row],[Coût matière ligne]]</f>
        <v>0</v>
      </c>
      <c r="K3372" s="7" t="str">
        <f>IFERROR(INDEX(tbl_ProduitsRef[Famille], MATCH(tbl_Ventes[[#This Row],[Cde_Prdt]], tbl_Produits[Cde_Prdt], 0)), "")</f>
        <v/>
      </c>
    </row>
    <row r="3373" spans="1:11" x14ac:dyDescent="0.25">
      <c r="A3373" s="5"/>
      <c r="B3373" s="63" t="str">
        <f>IFERROR(TEXT(tbl_Ventes[[#This Row],[Date]],"mm-aaaa"),"")</f>
        <v>01-1900</v>
      </c>
      <c r="D3373" s="10" t="str">
        <f>IFERROR(
   INDEX(tbl_ProduitsRef[Cde_Prdt],MATCH(tbl_Ventes[[#This Row],[Produit]],tbl_ProduitsRef[Produit],0)),
   ""
)</f>
        <v/>
      </c>
      <c r="E3373" s="7">
        <v>0</v>
      </c>
      <c r="F3373" s="7" t="str">
        <f>IFERROR(
   INDEX(tbl_ProduitsRef[Prix Menu],MATCH(tbl_Ventes[[#This Row],[Produit]],tbl_ProduitsRef[Produit],0)),
   ""
)</f>
        <v/>
      </c>
      <c r="G3373" s="7">
        <f>tbl_Ventes[[#This Row],[Qté Vendue]] * IFERROR(_xlfn.XLOOKUP(tbl_Ventes[[#This Row],[Cde_Prdt]], tbl_Produits[Cde_Prdt], tbl_Produits[Prix Menu]), 0)</f>
        <v>0</v>
      </c>
      <c r="H3373" s="7">
        <f>IFERROR(_xlfn.XLOOKUP(tbl_Ventes[[#This Row],[Cde_Prdt]], tbl_Produits[Cde_Prdt], tbl_Produits[Coût Moyen Portion]), 0)</f>
        <v>0</v>
      </c>
      <c r="I3373" s="7">
        <f>tbl_Ventes[[#This Row],[Qté Vendue]] * tbl_Ventes[[#This Row],[CMP_par_portion]]</f>
        <v>0</v>
      </c>
      <c r="J3373" s="7">
        <f>tbl_Ventes[[#This Row],[CA ligne]] - tbl_Ventes[[#This Row],[Coût matière ligne]]</f>
        <v>0</v>
      </c>
      <c r="K3373" s="7" t="str">
        <f>IFERROR(INDEX(tbl_ProduitsRef[Famille], MATCH(tbl_Ventes[[#This Row],[Cde_Prdt]], tbl_Produits[Cde_Prdt], 0)), "")</f>
        <v/>
      </c>
    </row>
    <row r="3374" spans="1:11" x14ac:dyDescent="0.25">
      <c r="A3374" s="5"/>
      <c r="B3374" s="63" t="str">
        <f>IFERROR(TEXT(tbl_Ventes[[#This Row],[Date]],"mm-aaaa"),"")</f>
        <v>01-1900</v>
      </c>
      <c r="D3374" s="10" t="str">
        <f>IFERROR(
   INDEX(tbl_ProduitsRef[Cde_Prdt],MATCH(tbl_Ventes[[#This Row],[Produit]],tbl_ProduitsRef[Produit],0)),
   ""
)</f>
        <v/>
      </c>
      <c r="E3374" s="7">
        <v>0</v>
      </c>
      <c r="F3374" s="7" t="str">
        <f>IFERROR(
   INDEX(tbl_ProduitsRef[Prix Menu],MATCH(tbl_Ventes[[#This Row],[Produit]],tbl_ProduitsRef[Produit],0)),
   ""
)</f>
        <v/>
      </c>
      <c r="G3374" s="7">
        <f>tbl_Ventes[[#This Row],[Qté Vendue]] * IFERROR(_xlfn.XLOOKUP(tbl_Ventes[[#This Row],[Cde_Prdt]], tbl_Produits[Cde_Prdt], tbl_Produits[Prix Menu]), 0)</f>
        <v>0</v>
      </c>
      <c r="H3374" s="7">
        <f>IFERROR(_xlfn.XLOOKUP(tbl_Ventes[[#This Row],[Cde_Prdt]], tbl_Produits[Cde_Prdt], tbl_Produits[Coût Moyen Portion]), 0)</f>
        <v>0</v>
      </c>
      <c r="I3374" s="7">
        <f>tbl_Ventes[[#This Row],[Qté Vendue]] * tbl_Ventes[[#This Row],[CMP_par_portion]]</f>
        <v>0</v>
      </c>
      <c r="J3374" s="7">
        <f>tbl_Ventes[[#This Row],[CA ligne]] - tbl_Ventes[[#This Row],[Coût matière ligne]]</f>
        <v>0</v>
      </c>
      <c r="K3374" s="7" t="str">
        <f>IFERROR(INDEX(tbl_ProduitsRef[Famille], MATCH(tbl_Ventes[[#This Row],[Cde_Prdt]], tbl_Produits[Cde_Prdt], 0)), "")</f>
        <v/>
      </c>
    </row>
    <row r="3375" spans="1:11" x14ac:dyDescent="0.25">
      <c r="A3375" s="5"/>
      <c r="B3375" s="63" t="str">
        <f>IFERROR(TEXT(tbl_Ventes[[#This Row],[Date]],"mm-aaaa"),"")</f>
        <v>01-1900</v>
      </c>
      <c r="D3375" s="10" t="str">
        <f>IFERROR(
   INDEX(tbl_ProduitsRef[Cde_Prdt],MATCH(tbl_Ventes[[#This Row],[Produit]],tbl_ProduitsRef[Produit],0)),
   ""
)</f>
        <v/>
      </c>
      <c r="E3375" s="7">
        <v>0</v>
      </c>
      <c r="F3375" s="7" t="str">
        <f>IFERROR(
   INDEX(tbl_ProduitsRef[Prix Menu],MATCH(tbl_Ventes[[#This Row],[Produit]],tbl_ProduitsRef[Produit],0)),
   ""
)</f>
        <v/>
      </c>
      <c r="G3375" s="7">
        <f>tbl_Ventes[[#This Row],[Qté Vendue]] * IFERROR(_xlfn.XLOOKUP(tbl_Ventes[[#This Row],[Cde_Prdt]], tbl_Produits[Cde_Prdt], tbl_Produits[Prix Menu]), 0)</f>
        <v>0</v>
      </c>
      <c r="H3375" s="7">
        <f>IFERROR(_xlfn.XLOOKUP(tbl_Ventes[[#This Row],[Cde_Prdt]], tbl_Produits[Cde_Prdt], tbl_Produits[Coût Moyen Portion]), 0)</f>
        <v>0</v>
      </c>
      <c r="I3375" s="7">
        <f>tbl_Ventes[[#This Row],[Qté Vendue]] * tbl_Ventes[[#This Row],[CMP_par_portion]]</f>
        <v>0</v>
      </c>
      <c r="J3375" s="7">
        <f>tbl_Ventes[[#This Row],[CA ligne]] - tbl_Ventes[[#This Row],[Coût matière ligne]]</f>
        <v>0</v>
      </c>
      <c r="K3375" s="7" t="str">
        <f>IFERROR(INDEX(tbl_ProduitsRef[Famille], MATCH(tbl_Ventes[[#This Row],[Cde_Prdt]], tbl_Produits[Cde_Prdt], 0)), "")</f>
        <v/>
      </c>
    </row>
    <row r="3376" spans="1:11" x14ac:dyDescent="0.25">
      <c r="A3376" s="5"/>
      <c r="B3376" s="63" t="str">
        <f>IFERROR(TEXT(tbl_Ventes[[#This Row],[Date]],"mm-aaaa"),"")</f>
        <v>01-1900</v>
      </c>
      <c r="D3376" s="10" t="str">
        <f>IFERROR(
   INDEX(tbl_ProduitsRef[Cde_Prdt],MATCH(tbl_Ventes[[#This Row],[Produit]],tbl_ProduitsRef[Produit],0)),
   ""
)</f>
        <v/>
      </c>
      <c r="E3376" s="7">
        <v>0</v>
      </c>
      <c r="F3376" s="7" t="str">
        <f>IFERROR(
   INDEX(tbl_ProduitsRef[Prix Menu],MATCH(tbl_Ventes[[#This Row],[Produit]],tbl_ProduitsRef[Produit],0)),
   ""
)</f>
        <v/>
      </c>
      <c r="G3376" s="7">
        <f>tbl_Ventes[[#This Row],[Qté Vendue]] * IFERROR(_xlfn.XLOOKUP(tbl_Ventes[[#This Row],[Cde_Prdt]], tbl_Produits[Cde_Prdt], tbl_Produits[Prix Menu]), 0)</f>
        <v>0</v>
      </c>
      <c r="H3376" s="7">
        <f>IFERROR(_xlfn.XLOOKUP(tbl_Ventes[[#This Row],[Cde_Prdt]], tbl_Produits[Cde_Prdt], tbl_Produits[Coût Moyen Portion]), 0)</f>
        <v>0</v>
      </c>
      <c r="I3376" s="7">
        <f>tbl_Ventes[[#This Row],[Qté Vendue]] * tbl_Ventes[[#This Row],[CMP_par_portion]]</f>
        <v>0</v>
      </c>
      <c r="J3376" s="7">
        <f>tbl_Ventes[[#This Row],[CA ligne]] - tbl_Ventes[[#This Row],[Coût matière ligne]]</f>
        <v>0</v>
      </c>
      <c r="K3376" s="7" t="str">
        <f>IFERROR(INDEX(tbl_ProduitsRef[Famille], MATCH(tbl_Ventes[[#This Row],[Cde_Prdt]], tbl_Produits[Cde_Prdt], 0)), "")</f>
        <v/>
      </c>
    </row>
    <row r="3377" spans="1:11" x14ac:dyDescent="0.25">
      <c r="A3377" s="5"/>
      <c r="B3377" s="63" t="str">
        <f>IFERROR(TEXT(tbl_Ventes[[#This Row],[Date]],"mm-aaaa"),"")</f>
        <v>01-1900</v>
      </c>
      <c r="D3377" s="10" t="str">
        <f>IFERROR(
   INDEX(tbl_ProduitsRef[Cde_Prdt],MATCH(tbl_Ventes[[#This Row],[Produit]],tbl_ProduitsRef[Produit],0)),
   ""
)</f>
        <v/>
      </c>
      <c r="E3377" s="7">
        <v>0</v>
      </c>
      <c r="F3377" s="7" t="str">
        <f>IFERROR(
   INDEX(tbl_ProduitsRef[Prix Menu],MATCH(tbl_Ventes[[#This Row],[Produit]],tbl_ProduitsRef[Produit],0)),
   ""
)</f>
        <v/>
      </c>
      <c r="G3377" s="7">
        <f>tbl_Ventes[[#This Row],[Qté Vendue]] * IFERROR(_xlfn.XLOOKUP(tbl_Ventes[[#This Row],[Cde_Prdt]], tbl_Produits[Cde_Prdt], tbl_Produits[Prix Menu]), 0)</f>
        <v>0</v>
      </c>
      <c r="H3377" s="7">
        <f>IFERROR(_xlfn.XLOOKUP(tbl_Ventes[[#This Row],[Cde_Prdt]], tbl_Produits[Cde_Prdt], tbl_Produits[Coût Moyen Portion]), 0)</f>
        <v>0</v>
      </c>
      <c r="I3377" s="7">
        <f>tbl_Ventes[[#This Row],[Qté Vendue]] * tbl_Ventes[[#This Row],[CMP_par_portion]]</f>
        <v>0</v>
      </c>
      <c r="J3377" s="7">
        <f>tbl_Ventes[[#This Row],[CA ligne]] - tbl_Ventes[[#This Row],[Coût matière ligne]]</f>
        <v>0</v>
      </c>
      <c r="K3377" s="7" t="str">
        <f>IFERROR(INDEX(tbl_ProduitsRef[Famille], MATCH(tbl_Ventes[[#This Row],[Cde_Prdt]], tbl_Produits[Cde_Prdt], 0)), "")</f>
        <v/>
      </c>
    </row>
    <row r="3378" spans="1:11" x14ac:dyDescent="0.25">
      <c r="A3378" s="5"/>
      <c r="B3378" s="63" t="str">
        <f>IFERROR(TEXT(tbl_Ventes[[#This Row],[Date]],"mm-aaaa"),"")</f>
        <v>01-1900</v>
      </c>
      <c r="D3378" s="10" t="str">
        <f>IFERROR(
   INDEX(tbl_ProduitsRef[Cde_Prdt],MATCH(tbl_Ventes[[#This Row],[Produit]],tbl_ProduitsRef[Produit],0)),
   ""
)</f>
        <v/>
      </c>
      <c r="E3378" s="7">
        <v>0</v>
      </c>
      <c r="F3378" s="7" t="str">
        <f>IFERROR(
   INDEX(tbl_ProduitsRef[Prix Menu],MATCH(tbl_Ventes[[#This Row],[Produit]],tbl_ProduitsRef[Produit],0)),
   ""
)</f>
        <v/>
      </c>
      <c r="G3378" s="7">
        <f>tbl_Ventes[[#This Row],[Qté Vendue]] * IFERROR(_xlfn.XLOOKUP(tbl_Ventes[[#This Row],[Cde_Prdt]], tbl_Produits[Cde_Prdt], tbl_Produits[Prix Menu]), 0)</f>
        <v>0</v>
      </c>
      <c r="H3378" s="7">
        <f>IFERROR(_xlfn.XLOOKUP(tbl_Ventes[[#This Row],[Cde_Prdt]], tbl_Produits[Cde_Prdt], tbl_Produits[Coût Moyen Portion]), 0)</f>
        <v>0</v>
      </c>
      <c r="I3378" s="7">
        <f>tbl_Ventes[[#This Row],[Qté Vendue]] * tbl_Ventes[[#This Row],[CMP_par_portion]]</f>
        <v>0</v>
      </c>
      <c r="J3378" s="7">
        <f>tbl_Ventes[[#This Row],[CA ligne]] - tbl_Ventes[[#This Row],[Coût matière ligne]]</f>
        <v>0</v>
      </c>
      <c r="K3378" s="7" t="str">
        <f>IFERROR(INDEX(tbl_ProduitsRef[Famille], MATCH(tbl_Ventes[[#This Row],[Cde_Prdt]], tbl_Produits[Cde_Prdt], 0)), "")</f>
        <v/>
      </c>
    </row>
    <row r="3379" spans="1:11" x14ac:dyDescent="0.25">
      <c r="A3379" s="5"/>
      <c r="B3379" s="63" t="str">
        <f>IFERROR(TEXT(tbl_Ventes[[#This Row],[Date]],"mm-aaaa"),"")</f>
        <v>01-1900</v>
      </c>
      <c r="D3379" s="10" t="str">
        <f>IFERROR(
   INDEX(tbl_ProduitsRef[Cde_Prdt],MATCH(tbl_Ventes[[#This Row],[Produit]],tbl_ProduitsRef[Produit],0)),
   ""
)</f>
        <v/>
      </c>
      <c r="E3379" s="7">
        <v>0</v>
      </c>
      <c r="F3379" s="7" t="str">
        <f>IFERROR(
   INDEX(tbl_ProduitsRef[Prix Menu],MATCH(tbl_Ventes[[#This Row],[Produit]],tbl_ProduitsRef[Produit],0)),
   ""
)</f>
        <v/>
      </c>
      <c r="G3379" s="7">
        <f>tbl_Ventes[[#This Row],[Qté Vendue]] * IFERROR(_xlfn.XLOOKUP(tbl_Ventes[[#This Row],[Cde_Prdt]], tbl_Produits[Cde_Prdt], tbl_Produits[Prix Menu]), 0)</f>
        <v>0</v>
      </c>
      <c r="H3379" s="7">
        <f>IFERROR(_xlfn.XLOOKUP(tbl_Ventes[[#This Row],[Cde_Prdt]], tbl_Produits[Cde_Prdt], tbl_Produits[Coût Moyen Portion]), 0)</f>
        <v>0</v>
      </c>
      <c r="I3379" s="7">
        <f>tbl_Ventes[[#This Row],[Qté Vendue]] * tbl_Ventes[[#This Row],[CMP_par_portion]]</f>
        <v>0</v>
      </c>
      <c r="J3379" s="7">
        <f>tbl_Ventes[[#This Row],[CA ligne]] - tbl_Ventes[[#This Row],[Coût matière ligne]]</f>
        <v>0</v>
      </c>
      <c r="K3379" s="7" t="str">
        <f>IFERROR(INDEX(tbl_ProduitsRef[Famille], MATCH(tbl_Ventes[[#This Row],[Cde_Prdt]], tbl_Produits[Cde_Prdt], 0)), "")</f>
        <v/>
      </c>
    </row>
    <row r="3380" spans="1:11" x14ac:dyDescent="0.25">
      <c r="A3380" s="5"/>
      <c r="B3380" s="63" t="str">
        <f>IFERROR(TEXT(tbl_Ventes[[#This Row],[Date]],"mm-aaaa"),"")</f>
        <v>01-1900</v>
      </c>
      <c r="D3380" s="10" t="str">
        <f>IFERROR(
   INDEX(tbl_ProduitsRef[Cde_Prdt],MATCH(tbl_Ventes[[#This Row],[Produit]],tbl_ProduitsRef[Produit],0)),
   ""
)</f>
        <v/>
      </c>
      <c r="E3380" s="7">
        <v>0</v>
      </c>
      <c r="F3380" s="7" t="str">
        <f>IFERROR(
   INDEX(tbl_ProduitsRef[Prix Menu],MATCH(tbl_Ventes[[#This Row],[Produit]],tbl_ProduitsRef[Produit],0)),
   ""
)</f>
        <v/>
      </c>
      <c r="G3380" s="7">
        <f>tbl_Ventes[[#This Row],[Qté Vendue]] * IFERROR(_xlfn.XLOOKUP(tbl_Ventes[[#This Row],[Cde_Prdt]], tbl_Produits[Cde_Prdt], tbl_Produits[Prix Menu]), 0)</f>
        <v>0</v>
      </c>
      <c r="H3380" s="7">
        <f>IFERROR(_xlfn.XLOOKUP(tbl_Ventes[[#This Row],[Cde_Prdt]], tbl_Produits[Cde_Prdt], tbl_Produits[Coût Moyen Portion]), 0)</f>
        <v>0</v>
      </c>
      <c r="I3380" s="7">
        <f>tbl_Ventes[[#This Row],[Qté Vendue]] * tbl_Ventes[[#This Row],[CMP_par_portion]]</f>
        <v>0</v>
      </c>
      <c r="J3380" s="7">
        <f>tbl_Ventes[[#This Row],[CA ligne]] - tbl_Ventes[[#This Row],[Coût matière ligne]]</f>
        <v>0</v>
      </c>
      <c r="K3380" s="7" t="str">
        <f>IFERROR(INDEX(tbl_ProduitsRef[Famille], MATCH(tbl_Ventes[[#This Row],[Cde_Prdt]], tbl_Produits[Cde_Prdt], 0)), "")</f>
        <v/>
      </c>
    </row>
    <row r="3381" spans="1:11" x14ac:dyDescent="0.25">
      <c r="A3381" s="5"/>
      <c r="B3381" s="63" t="str">
        <f>IFERROR(TEXT(tbl_Ventes[[#This Row],[Date]],"mm-aaaa"),"")</f>
        <v>01-1900</v>
      </c>
      <c r="D3381" s="10" t="str">
        <f>IFERROR(
   INDEX(tbl_ProduitsRef[Cde_Prdt],MATCH(tbl_Ventes[[#This Row],[Produit]],tbl_ProduitsRef[Produit],0)),
   ""
)</f>
        <v/>
      </c>
      <c r="E3381" s="7">
        <v>0</v>
      </c>
      <c r="F3381" s="7" t="str">
        <f>IFERROR(
   INDEX(tbl_ProduitsRef[Prix Menu],MATCH(tbl_Ventes[[#This Row],[Produit]],tbl_ProduitsRef[Produit],0)),
   ""
)</f>
        <v/>
      </c>
      <c r="G3381" s="7">
        <f>tbl_Ventes[[#This Row],[Qté Vendue]] * IFERROR(_xlfn.XLOOKUP(tbl_Ventes[[#This Row],[Cde_Prdt]], tbl_Produits[Cde_Prdt], tbl_Produits[Prix Menu]), 0)</f>
        <v>0</v>
      </c>
      <c r="H3381" s="7">
        <f>IFERROR(_xlfn.XLOOKUP(tbl_Ventes[[#This Row],[Cde_Prdt]], tbl_Produits[Cde_Prdt], tbl_Produits[Coût Moyen Portion]), 0)</f>
        <v>0</v>
      </c>
      <c r="I3381" s="7">
        <f>tbl_Ventes[[#This Row],[Qté Vendue]] * tbl_Ventes[[#This Row],[CMP_par_portion]]</f>
        <v>0</v>
      </c>
      <c r="J3381" s="7">
        <f>tbl_Ventes[[#This Row],[CA ligne]] - tbl_Ventes[[#This Row],[Coût matière ligne]]</f>
        <v>0</v>
      </c>
      <c r="K3381" s="7" t="str">
        <f>IFERROR(INDEX(tbl_ProduitsRef[Famille], MATCH(tbl_Ventes[[#This Row],[Cde_Prdt]], tbl_Produits[Cde_Prdt], 0)), "")</f>
        <v/>
      </c>
    </row>
    <row r="3382" spans="1:11" x14ac:dyDescent="0.25">
      <c r="A3382" s="5"/>
      <c r="B3382" s="63" t="str">
        <f>IFERROR(TEXT(tbl_Ventes[[#This Row],[Date]],"mm-aaaa"),"")</f>
        <v>01-1900</v>
      </c>
      <c r="D3382" s="10" t="str">
        <f>IFERROR(
   INDEX(tbl_ProduitsRef[Cde_Prdt],MATCH(tbl_Ventes[[#This Row],[Produit]],tbl_ProduitsRef[Produit],0)),
   ""
)</f>
        <v/>
      </c>
      <c r="E3382" s="7">
        <v>0</v>
      </c>
      <c r="F3382" s="7" t="str">
        <f>IFERROR(
   INDEX(tbl_ProduitsRef[Prix Menu],MATCH(tbl_Ventes[[#This Row],[Produit]],tbl_ProduitsRef[Produit],0)),
   ""
)</f>
        <v/>
      </c>
      <c r="G3382" s="7">
        <f>tbl_Ventes[[#This Row],[Qté Vendue]] * IFERROR(_xlfn.XLOOKUP(tbl_Ventes[[#This Row],[Cde_Prdt]], tbl_Produits[Cde_Prdt], tbl_Produits[Prix Menu]), 0)</f>
        <v>0</v>
      </c>
      <c r="H3382" s="7">
        <f>IFERROR(_xlfn.XLOOKUP(tbl_Ventes[[#This Row],[Cde_Prdt]], tbl_Produits[Cde_Prdt], tbl_Produits[Coût Moyen Portion]), 0)</f>
        <v>0</v>
      </c>
      <c r="I3382" s="7">
        <f>tbl_Ventes[[#This Row],[Qté Vendue]] * tbl_Ventes[[#This Row],[CMP_par_portion]]</f>
        <v>0</v>
      </c>
      <c r="J3382" s="7">
        <f>tbl_Ventes[[#This Row],[CA ligne]] - tbl_Ventes[[#This Row],[Coût matière ligne]]</f>
        <v>0</v>
      </c>
      <c r="K3382" s="7" t="str">
        <f>IFERROR(INDEX(tbl_ProduitsRef[Famille], MATCH(tbl_Ventes[[#This Row],[Cde_Prdt]], tbl_Produits[Cde_Prdt], 0)), "")</f>
        <v/>
      </c>
    </row>
    <row r="3383" spans="1:11" x14ac:dyDescent="0.25">
      <c r="A3383" s="5"/>
      <c r="B3383" s="63" t="str">
        <f>IFERROR(TEXT(tbl_Ventes[[#This Row],[Date]],"mm-aaaa"),"")</f>
        <v>01-1900</v>
      </c>
      <c r="D3383" s="10" t="str">
        <f>IFERROR(
   INDEX(tbl_ProduitsRef[Cde_Prdt],MATCH(tbl_Ventes[[#This Row],[Produit]],tbl_ProduitsRef[Produit],0)),
   ""
)</f>
        <v/>
      </c>
      <c r="E3383" s="7">
        <v>0</v>
      </c>
      <c r="F3383" s="7" t="str">
        <f>IFERROR(
   INDEX(tbl_ProduitsRef[Prix Menu],MATCH(tbl_Ventes[[#This Row],[Produit]],tbl_ProduitsRef[Produit],0)),
   ""
)</f>
        <v/>
      </c>
      <c r="G3383" s="7">
        <f>tbl_Ventes[[#This Row],[Qté Vendue]] * IFERROR(_xlfn.XLOOKUP(tbl_Ventes[[#This Row],[Cde_Prdt]], tbl_Produits[Cde_Prdt], tbl_Produits[Prix Menu]), 0)</f>
        <v>0</v>
      </c>
      <c r="H3383" s="7">
        <f>IFERROR(_xlfn.XLOOKUP(tbl_Ventes[[#This Row],[Cde_Prdt]], tbl_Produits[Cde_Prdt], tbl_Produits[Coût Moyen Portion]), 0)</f>
        <v>0</v>
      </c>
      <c r="I3383" s="7">
        <f>tbl_Ventes[[#This Row],[Qté Vendue]] * tbl_Ventes[[#This Row],[CMP_par_portion]]</f>
        <v>0</v>
      </c>
      <c r="J3383" s="7">
        <f>tbl_Ventes[[#This Row],[CA ligne]] - tbl_Ventes[[#This Row],[Coût matière ligne]]</f>
        <v>0</v>
      </c>
      <c r="K3383" s="7" t="str">
        <f>IFERROR(INDEX(tbl_ProduitsRef[Famille], MATCH(tbl_Ventes[[#This Row],[Cde_Prdt]], tbl_Produits[Cde_Prdt], 0)), "")</f>
        <v/>
      </c>
    </row>
    <row r="3384" spans="1:11" x14ac:dyDescent="0.25">
      <c r="A3384" s="5"/>
      <c r="B3384" s="63" t="str">
        <f>IFERROR(TEXT(tbl_Ventes[[#This Row],[Date]],"mm-aaaa"),"")</f>
        <v>01-1900</v>
      </c>
      <c r="D3384" s="10" t="str">
        <f>IFERROR(
   INDEX(tbl_ProduitsRef[Cde_Prdt],MATCH(tbl_Ventes[[#This Row],[Produit]],tbl_ProduitsRef[Produit],0)),
   ""
)</f>
        <v/>
      </c>
      <c r="E3384" s="7">
        <v>0</v>
      </c>
      <c r="F3384" s="7" t="str">
        <f>IFERROR(
   INDEX(tbl_ProduitsRef[Prix Menu],MATCH(tbl_Ventes[[#This Row],[Produit]],tbl_ProduitsRef[Produit],0)),
   ""
)</f>
        <v/>
      </c>
      <c r="G3384" s="7">
        <f>tbl_Ventes[[#This Row],[Qté Vendue]] * IFERROR(_xlfn.XLOOKUP(tbl_Ventes[[#This Row],[Cde_Prdt]], tbl_Produits[Cde_Prdt], tbl_Produits[Prix Menu]), 0)</f>
        <v>0</v>
      </c>
      <c r="H3384" s="7">
        <f>IFERROR(_xlfn.XLOOKUP(tbl_Ventes[[#This Row],[Cde_Prdt]], tbl_Produits[Cde_Prdt], tbl_Produits[Coût Moyen Portion]), 0)</f>
        <v>0</v>
      </c>
      <c r="I3384" s="7">
        <f>tbl_Ventes[[#This Row],[Qté Vendue]] * tbl_Ventes[[#This Row],[CMP_par_portion]]</f>
        <v>0</v>
      </c>
      <c r="J3384" s="7">
        <f>tbl_Ventes[[#This Row],[CA ligne]] - tbl_Ventes[[#This Row],[Coût matière ligne]]</f>
        <v>0</v>
      </c>
      <c r="K3384" s="7" t="str">
        <f>IFERROR(INDEX(tbl_ProduitsRef[Famille], MATCH(tbl_Ventes[[#This Row],[Cde_Prdt]], tbl_Produits[Cde_Prdt], 0)), "")</f>
        <v/>
      </c>
    </row>
    <row r="3385" spans="1:11" x14ac:dyDescent="0.25">
      <c r="A3385" s="5"/>
      <c r="B3385" s="63" t="str">
        <f>IFERROR(TEXT(tbl_Ventes[[#This Row],[Date]],"mm-aaaa"),"")</f>
        <v>01-1900</v>
      </c>
      <c r="D3385" s="10" t="str">
        <f>IFERROR(
   INDEX(tbl_ProduitsRef[Cde_Prdt],MATCH(tbl_Ventes[[#This Row],[Produit]],tbl_ProduitsRef[Produit],0)),
   ""
)</f>
        <v/>
      </c>
      <c r="E3385" s="7">
        <v>0</v>
      </c>
      <c r="F3385" s="7" t="str">
        <f>IFERROR(
   INDEX(tbl_ProduitsRef[Prix Menu],MATCH(tbl_Ventes[[#This Row],[Produit]],tbl_ProduitsRef[Produit],0)),
   ""
)</f>
        <v/>
      </c>
      <c r="G3385" s="7">
        <f>tbl_Ventes[[#This Row],[Qté Vendue]] * IFERROR(_xlfn.XLOOKUP(tbl_Ventes[[#This Row],[Cde_Prdt]], tbl_Produits[Cde_Prdt], tbl_Produits[Prix Menu]), 0)</f>
        <v>0</v>
      </c>
      <c r="H3385" s="7">
        <f>IFERROR(_xlfn.XLOOKUP(tbl_Ventes[[#This Row],[Cde_Prdt]], tbl_Produits[Cde_Prdt], tbl_Produits[Coût Moyen Portion]), 0)</f>
        <v>0</v>
      </c>
      <c r="I3385" s="7">
        <f>tbl_Ventes[[#This Row],[Qté Vendue]] * tbl_Ventes[[#This Row],[CMP_par_portion]]</f>
        <v>0</v>
      </c>
      <c r="J3385" s="7">
        <f>tbl_Ventes[[#This Row],[CA ligne]] - tbl_Ventes[[#This Row],[Coût matière ligne]]</f>
        <v>0</v>
      </c>
      <c r="K3385" s="7" t="str">
        <f>IFERROR(INDEX(tbl_ProduitsRef[Famille], MATCH(tbl_Ventes[[#This Row],[Cde_Prdt]], tbl_Produits[Cde_Prdt], 0)), "")</f>
        <v/>
      </c>
    </row>
    <row r="3386" spans="1:11" x14ac:dyDescent="0.25">
      <c r="A3386" s="5"/>
      <c r="B3386" s="63" t="str">
        <f>IFERROR(TEXT(tbl_Ventes[[#This Row],[Date]],"mm-aaaa"),"")</f>
        <v>01-1900</v>
      </c>
      <c r="D3386" s="10" t="str">
        <f>IFERROR(
   INDEX(tbl_ProduitsRef[Cde_Prdt],MATCH(tbl_Ventes[[#This Row],[Produit]],tbl_ProduitsRef[Produit],0)),
   ""
)</f>
        <v/>
      </c>
      <c r="E3386" s="7">
        <v>0</v>
      </c>
      <c r="F3386" s="7" t="str">
        <f>IFERROR(
   INDEX(tbl_ProduitsRef[Prix Menu],MATCH(tbl_Ventes[[#This Row],[Produit]],tbl_ProduitsRef[Produit],0)),
   ""
)</f>
        <v/>
      </c>
      <c r="G3386" s="7">
        <f>tbl_Ventes[[#This Row],[Qté Vendue]] * IFERROR(_xlfn.XLOOKUP(tbl_Ventes[[#This Row],[Cde_Prdt]], tbl_Produits[Cde_Prdt], tbl_Produits[Prix Menu]), 0)</f>
        <v>0</v>
      </c>
      <c r="H3386" s="7">
        <f>IFERROR(_xlfn.XLOOKUP(tbl_Ventes[[#This Row],[Cde_Prdt]], tbl_Produits[Cde_Prdt], tbl_Produits[Coût Moyen Portion]), 0)</f>
        <v>0</v>
      </c>
      <c r="I3386" s="7">
        <f>tbl_Ventes[[#This Row],[Qté Vendue]] * tbl_Ventes[[#This Row],[CMP_par_portion]]</f>
        <v>0</v>
      </c>
      <c r="J3386" s="7">
        <f>tbl_Ventes[[#This Row],[CA ligne]] - tbl_Ventes[[#This Row],[Coût matière ligne]]</f>
        <v>0</v>
      </c>
      <c r="K3386" s="7" t="str">
        <f>IFERROR(INDEX(tbl_ProduitsRef[Famille], MATCH(tbl_Ventes[[#This Row],[Cde_Prdt]], tbl_Produits[Cde_Prdt], 0)), "")</f>
        <v/>
      </c>
    </row>
    <row r="3387" spans="1:11" x14ac:dyDescent="0.25">
      <c r="A3387" s="5"/>
      <c r="B3387" s="63" t="str">
        <f>IFERROR(TEXT(tbl_Ventes[[#This Row],[Date]],"mm-aaaa"),"")</f>
        <v>01-1900</v>
      </c>
      <c r="D3387" s="10" t="str">
        <f>IFERROR(
   INDEX(tbl_ProduitsRef[Cde_Prdt],MATCH(tbl_Ventes[[#This Row],[Produit]],tbl_ProduitsRef[Produit],0)),
   ""
)</f>
        <v/>
      </c>
      <c r="E3387" s="7">
        <v>0</v>
      </c>
      <c r="F3387" s="7" t="str">
        <f>IFERROR(
   INDEX(tbl_ProduitsRef[Prix Menu],MATCH(tbl_Ventes[[#This Row],[Produit]],tbl_ProduitsRef[Produit],0)),
   ""
)</f>
        <v/>
      </c>
      <c r="G3387" s="7">
        <f>tbl_Ventes[[#This Row],[Qté Vendue]] * IFERROR(_xlfn.XLOOKUP(tbl_Ventes[[#This Row],[Cde_Prdt]], tbl_Produits[Cde_Prdt], tbl_Produits[Prix Menu]), 0)</f>
        <v>0</v>
      </c>
      <c r="H3387" s="7">
        <f>IFERROR(_xlfn.XLOOKUP(tbl_Ventes[[#This Row],[Cde_Prdt]], tbl_Produits[Cde_Prdt], tbl_Produits[Coût Moyen Portion]), 0)</f>
        <v>0</v>
      </c>
      <c r="I3387" s="7">
        <f>tbl_Ventes[[#This Row],[Qté Vendue]] * tbl_Ventes[[#This Row],[CMP_par_portion]]</f>
        <v>0</v>
      </c>
      <c r="J3387" s="7">
        <f>tbl_Ventes[[#This Row],[CA ligne]] - tbl_Ventes[[#This Row],[Coût matière ligne]]</f>
        <v>0</v>
      </c>
      <c r="K3387" s="7" t="str">
        <f>IFERROR(INDEX(tbl_ProduitsRef[Famille], MATCH(tbl_Ventes[[#This Row],[Cde_Prdt]], tbl_Produits[Cde_Prdt], 0)), "")</f>
        <v/>
      </c>
    </row>
    <row r="3388" spans="1:11" x14ac:dyDescent="0.25">
      <c r="A3388" s="5"/>
      <c r="B3388" s="63" t="str">
        <f>IFERROR(TEXT(tbl_Ventes[[#This Row],[Date]],"mm-aaaa"),"")</f>
        <v>01-1900</v>
      </c>
      <c r="D3388" s="10" t="str">
        <f>IFERROR(
   INDEX(tbl_ProduitsRef[Cde_Prdt],MATCH(tbl_Ventes[[#This Row],[Produit]],tbl_ProduitsRef[Produit],0)),
   ""
)</f>
        <v/>
      </c>
      <c r="E3388" s="7">
        <v>0</v>
      </c>
      <c r="F3388" s="7" t="str">
        <f>IFERROR(
   INDEX(tbl_ProduitsRef[Prix Menu],MATCH(tbl_Ventes[[#This Row],[Produit]],tbl_ProduitsRef[Produit],0)),
   ""
)</f>
        <v/>
      </c>
      <c r="G3388" s="7">
        <f>tbl_Ventes[[#This Row],[Qté Vendue]] * IFERROR(_xlfn.XLOOKUP(tbl_Ventes[[#This Row],[Cde_Prdt]], tbl_Produits[Cde_Prdt], tbl_Produits[Prix Menu]), 0)</f>
        <v>0</v>
      </c>
      <c r="H3388" s="7">
        <f>IFERROR(_xlfn.XLOOKUP(tbl_Ventes[[#This Row],[Cde_Prdt]], tbl_Produits[Cde_Prdt], tbl_Produits[Coût Moyen Portion]), 0)</f>
        <v>0</v>
      </c>
      <c r="I3388" s="7">
        <f>tbl_Ventes[[#This Row],[Qté Vendue]] * tbl_Ventes[[#This Row],[CMP_par_portion]]</f>
        <v>0</v>
      </c>
      <c r="J3388" s="7">
        <f>tbl_Ventes[[#This Row],[CA ligne]] - tbl_Ventes[[#This Row],[Coût matière ligne]]</f>
        <v>0</v>
      </c>
      <c r="K3388" s="7" t="str">
        <f>IFERROR(INDEX(tbl_ProduitsRef[Famille], MATCH(tbl_Ventes[[#This Row],[Cde_Prdt]], tbl_Produits[Cde_Prdt], 0)), "")</f>
        <v/>
      </c>
    </row>
    <row r="3389" spans="1:11" x14ac:dyDescent="0.25">
      <c r="A3389" s="5"/>
      <c r="B3389" s="63" t="str">
        <f>IFERROR(TEXT(tbl_Ventes[[#This Row],[Date]],"mm-aaaa"),"")</f>
        <v>01-1900</v>
      </c>
      <c r="D3389" s="10" t="str">
        <f>IFERROR(
   INDEX(tbl_ProduitsRef[Cde_Prdt],MATCH(tbl_Ventes[[#This Row],[Produit]],tbl_ProduitsRef[Produit],0)),
   ""
)</f>
        <v/>
      </c>
      <c r="E3389" s="7">
        <v>0</v>
      </c>
      <c r="F3389" s="7" t="str">
        <f>IFERROR(
   INDEX(tbl_ProduitsRef[Prix Menu],MATCH(tbl_Ventes[[#This Row],[Produit]],tbl_ProduitsRef[Produit],0)),
   ""
)</f>
        <v/>
      </c>
      <c r="G3389" s="7">
        <f>tbl_Ventes[[#This Row],[Qté Vendue]] * IFERROR(_xlfn.XLOOKUP(tbl_Ventes[[#This Row],[Cde_Prdt]], tbl_Produits[Cde_Prdt], tbl_Produits[Prix Menu]), 0)</f>
        <v>0</v>
      </c>
      <c r="H3389" s="7">
        <f>IFERROR(_xlfn.XLOOKUP(tbl_Ventes[[#This Row],[Cde_Prdt]], tbl_Produits[Cde_Prdt], tbl_Produits[Coût Moyen Portion]), 0)</f>
        <v>0</v>
      </c>
      <c r="I3389" s="7">
        <f>tbl_Ventes[[#This Row],[Qté Vendue]] * tbl_Ventes[[#This Row],[CMP_par_portion]]</f>
        <v>0</v>
      </c>
      <c r="J3389" s="7">
        <f>tbl_Ventes[[#This Row],[CA ligne]] - tbl_Ventes[[#This Row],[Coût matière ligne]]</f>
        <v>0</v>
      </c>
      <c r="K3389" s="7" t="str">
        <f>IFERROR(INDEX(tbl_ProduitsRef[Famille], MATCH(tbl_Ventes[[#This Row],[Cde_Prdt]], tbl_Produits[Cde_Prdt], 0)), "")</f>
        <v/>
      </c>
    </row>
    <row r="3390" spans="1:11" x14ac:dyDescent="0.25">
      <c r="A3390" s="5"/>
      <c r="B3390" s="63" t="str">
        <f>IFERROR(TEXT(tbl_Ventes[[#This Row],[Date]],"mm-aaaa"),"")</f>
        <v>01-1900</v>
      </c>
      <c r="D3390" s="10" t="str">
        <f>IFERROR(
   INDEX(tbl_ProduitsRef[Cde_Prdt],MATCH(tbl_Ventes[[#This Row],[Produit]],tbl_ProduitsRef[Produit],0)),
   ""
)</f>
        <v/>
      </c>
      <c r="E3390" s="7">
        <v>0</v>
      </c>
      <c r="F3390" s="7" t="str">
        <f>IFERROR(
   INDEX(tbl_ProduitsRef[Prix Menu],MATCH(tbl_Ventes[[#This Row],[Produit]],tbl_ProduitsRef[Produit],0)),
   ""
)</f>
        <v/>
      </c>
      <c r="G3390" s="7">
        <f>tbl_Ventes[[#This Row],[Qté Vendue]] * IFERROR(_xlfn.XLOOKUP(tbl_Ventes[[#This Row],[Cde_Prdt]], tbl_Produits[Cde_Prdt], tbl_Produits[Prix Menu]), 0)</f>
        <v>0</v>
      </c>
      <c r="H3390" s="7">
        <f>IFERROR(_xlfn.XLOOKUP(tbl_Ventes[[#This Row],[Cde_Prdt]], tbl_Produits[Cde_Prdt], tbl_Produits[Coût Moyen Portion]), 0)</f>
        <v>0</v>
      </c>
      <c r="I3390" s="7">
        <f>tbl_Ventes[[#This Row],[Qté Vendue]] * tbl_Ventes[[#This Row],[CMP_par_portion]]</f>
        <v>0</v>
      </c>
      <c r="J3390" s="7">
        <f>tbl_Ventes[[#This Row],[CA ligne]] - tbl_Ventes[[#This Row],[Coût matière ligne]]</f>
        <v>0</v>
      </c>
      <c r="K3390" s="7" t="str">
        <f>IFERROR(INDEX(tbl_ProduitsRef[Famille], MATCH(tbl_Ventes[[#This Row],[Cde_Prdt]], tbl_Produits[Cde_Prdt], 0)), "")</f>
        <v/>
      </c>
    </row>
    <row r="3391" spans="1:11" x14ac:dyDescent="0.25">
      <c r="A3391" s="5"/>
      <c r="B3391" s="63" t="str">
        <f>IFERROR(TEXT(tbl_Ventes[[#This Row],[Date]],"mm-aaaa"),"")</f>
        <v>01-1900</v>
      </c>
      <c r="D3391" s="10" t="str">
        <f>IFERROR(
   INDEX(tbl_ProduitsRef[Cde_Prdt],MATCH(tbl_Ventes[[#This Row],[Produit]],tbl_ProduitsRef[Produit],0)),
   ""
)</f>
        <v/>
      </c>
      <c r="E3391" s="7">
        <v>0</v>
      </c>
      <c r="F3391" s="7" t="str">
        <f>IFERROR(
   INDEX(tbl_ProduitsRef[Prix Menu],MATCH(tbl_Ventes[[#This Row],[Produit]],tbl_ProduitsRef[Produit],0)),
   ""
)</f>
        <v/>
      </c>
      <c r="G3391" s="7">
        <f>tbl_Ventes[[#This Row],[Qté Vendue]] * IFERROR(_xlfn.XLOOKUP(tbl_Ventes[[#This Row],[Cde_Prdt]], tbl_Produits[Cde_Prdt], tbl_Produits[Prix Menu]), 0)</f>
        <v>0</v>
      </c>
      <c r="H3391" s="7">
        <f>IFERROR(_xlfn.XLOOKUP(tbl_Ventes[[#This Row],[Cde_Prdt]], tbl_Produits[Cde_Prdt], tbl_Produits[Coût Moyen Portion]), 0)</f>
        <v>0</v>
      </c>
      <c r="I3391" s="7">
        <f>tbl_Ventes[[#This Row],[Qté Vendue]] * tbl_Ventes[[#This Row],[CMP_par_portion]]</f>
        <v>0</v>
      </c>
      <c r="J3391" s="7">
        <f>tbl_Ventes[[#This Row],[CA ligne]] - tbl_Ventes[[#This Row],[Coût matière ligne]]</f>
        <v>0</v>
      </c>
      <c r="K3391" s="7" t="str">
        <f>IFERROR(INDEX(tbl_ProduitsRef[Famille], MATCH(tbl_Ventes[[#This Row],[Cde_Prdt]], tbl_Produits[Cde_Prdt], 0)), "")</f>
        <v/>
      </c>
    </row>
    <row r="3392" spans="1:11" x14ac:dyDescent="0.25">
      <c r="A3392" s="5"/>
      <c r="B3392" s="63" t="str">
        <f>IFERROR(TEXT(tbl_Ventes[[#This Row],[Date]],"mm-aaaa"),"")</f>
        <v>01-1900</v>
      </c>
      <c r="D3392" s="10" t="str">
        <f>IFERROR(
   INDEX(tbl_ProduitsRef[Cde_Prdt],MATCH(tbl_Ventes[[#This Row],[Produit]],tbl_ProduitsRef[Produit],0)),
   ""
)</f>
        <v/>
      </c>
      <c r="E3392" s="7">
        <v>0</v>
      </c>
      <c r="F3392" s="7" t="str">
        <f>IFERROR(
   INDEX(tbl_ProduitsRef[Prix Menu],MATCH(tbl_Ventes[[#This Row],[Produit]],tbl_ProduitsRef[Produit],0)),
   ""
)</f>
        <v/>
      </c>
      <c r="G3392" s="7">
        <f>tbl_Ventes[[#This Row],[Qté Vendue]] * IFERROR(_xlfn.XLOOKUP(tbl_Ventes[[#This Row],[Cde_Prdt]], tbl_Produits[Cde_Prdt], tbl_Produits[Prix Menu]), 0)</f>
        <v>0</v>
      </c>
      <c r="H3392" s="7">
        <f>IFERROR(_xlfn.XLOOKUP(tbl_Ventes[[#This Row],[Cde_Prdt]], tbl_Produits[Cde_Prdt], tbl_Produits[Coût Moyen Portion]), 0)</f>
        <v>0</v>
      </c>
      <c r="I3392" s="7">
        <f>tbl_Ventes[[#This Row],[Qté Vendue]] * tbl_Ventes[[#This Row],[CMP_par_portion]]</f>
        <v>0</v>
      </c>
      <c r="J3392" s="7">
        <f>tbl_Ventes[[#This Row],[CA ligne]] - tbl_Ventes[[#This Row],[Coût matière ligne]]</f>
        <v>0</v>
      </c>
      <c r="K3392" s="7" t="str">
        <f>IFERROR(INDEX(tbl_ProduitsRef[Famille], MATCH(tbl_Ventes[[#This Row],[Cde_Prdt]], tbl_Produits[Cde_Prdt], 0)), "")</f>
        <v/>
      </c>
    </row>
    <row r="3393" spans="1:11" x14ac:dyDescent="0.25">
      <c r="A3393" s="5"/>
      <c r="B3393" s="63" t="str">
        <f>IFERROR(TEXT(tbl_Ventes[[#This Row],[Date]],"mm-aaaa"),"")</f>
        <v>01-1900</v>
      </c>
      <c r="D3393" s="10" t="str">
        <f>IFERROR(
   INDEX(tbl_ProduitsRef[Cde_Prdt],MATCH(tbl_Ventes[[#This Row],[Produit]],tbl_ProduitsRef[Produit],0)),
   ""
)</f>
        <v/>
      </c>
      <c r="E3393" s="7">
        <v>0</v>
      </c>
      <c r="F3393" s="7" t="str">
        <f>IFERROR(
   INDEX(tbl_ProduitsRef[Prix Menu],MATCH(tbl_Ventes[[#This Row],[Produit]],tbl_ProduitsRef[Produit],0)),
   ""
)</f>
        <v/>
      </c>
      <c r="G3393" s="7">
        <f>tbl_Ventes[[#This Row],[Qté Vendue]] * IFERROR(_xlfn.XLOOKUP(tbl_Ventes[[#This Row],[Cde_Prdt]], tbl_Produits[Cde_Prdt], tbl_Produits[Prix Menu]), 0)</f>
        <v>0</v>
      </c>
      <c r="H3393" s="7">
        <f>IFERROR(_xlfn.XLOOKUP(tbl_Ventes[[#This Row],[Cde_Prdt]], tbl_Produits[Cde_Prdt], tbl_Produits[Coût Moyen Portion]), 0)</f>
        <v>0</v>
      </c>
      <c r="I3393" s="7">
        <f>tbl_Ventes[[#This Row],[Qté Vendue]] * tbl_Ventes[[#This Row],[CMP_par_portion]]</f>
        <v>0</v>
      </c>
      <c r="J3393" s="7">
        <f>tbl_Ventes[[#This Row],[CA ligne]] - tbl_Ventes[[#This Row],[Coût matière ligne]]</f>
        <v>0</v>
      </c>
      <c r="K3393" s="7" t="str">
        <f>IFERROR(INDEX(tbl_ProduitsRef[Famille], MATCH(tbl_Ventes[[#This Row],[Cde_Prdt]], tbl_Produits[Cde_Prdt], 0)), "")</f>
        <v/>
      </c>
    </row>
    <row r="3394" spans="1:11" x14ac:dyDescent="0.25">
      <c r="A3394" s="5"/>
      <c r="B3394" s="63" t="str">
        <f>IFERROR(TEXT(tbl_Ventes[[#This Row],[Date]],"mm-aaaa"),"")</f>
        <v>01-1900</v>
      </c>
      <c r="D3394" s="10" t="str">
        <f>IFERROR(
   INDEX(tbl_ProduitsRef[Cde_Prdt],MATCH(tbl_Ventes[[#This Row],[Produit]],tbl_ProduitsRef[Produit],0)),
   ""
)</f>
        <v/>
      </c>
      <c r="E3394" s="7">
        <v>0</v>
      </c>
      <c r="F3394" s="7" t="str">
        <f>IFERROR(
   INDEX(tbl_ProduitsRef[Prix Menu],MATCH(tbl_Ventes[[#This Row],[Produit]],tbl_ProduitsRef[Produit],0)),
   ""
)</f>
        <v/>
      </c>
      <c r="G3394" s="7">
        <f>tbl_Ventes[[#This Row],[Qté Vendue]] * IFERROR(_xlfn.XLOOKUP(tbl_Ventes[[#This Row],[Cde_Prdt]], tbl_Produits[Cde_Prdt], tbl_Produits[Prix Menu]), 0)</f>
        <v>0</v>
      </c>
      <c r="H3394" s="7">
        <f>IFERROR(_xlfn.XLOOKUP(tbl_Ventes[[#This Row],[Cde_Prdt]], tbl_Produits[Cde_Prdt], tbl_Produits[Coût Moyen Portion]), 0)</f>
        <v>0</v>
      </c>
      <c r="I3394" s="7">
        <f>tbl_Ventes[[#This Row],[Qté Vendue]] * tbl_Ventes[[#This Row],[CMP_par_portion]]</f>
        <v>0</v>
      </c>
      <c r="J3394" s="7">
        <f>tbl_Ventes[[#This Row],[CA ligne]] - tbl_Ventes[[#This Row],[Coût matière ligne]]</f>
        <v>0</v>
      </c>
      <c r="K3394" s="7" t="str">
        <f>IFERROR(INDEX(tbl_ProduitsRef[Famille], MATCH(tbl_Ventes[[#This Row],[Cde_Prdt]], tbl_Produits[Cde_Prdt], 0)), "")</f>
        <v/>
      </c>
    </row>
    <row r="3395" spans="1:11" x14ac:dyDescent="0.25">
      <c r="A3395" s="5"/>
      <c r="B3395" s="63" t="str">
        <f>IFERROR(TEXT(tbl_Ventes[[#This Row],[Date]],"mm-aaaa"),"")</f>
        <v>01-1900</v>
      </c>
      <c r="D3395" s="10" t="str">
        <f>IFERROR(
   INDEX(tbl_ProduitsRef[Cde_Prdt],MATCH(tbl_Ventes[[#This Row],[Produit]],tbl_ProduitsRef[Produit],0)),
   ""
)</f>
        <v/>
      </c>
      <c r="E3395" s="7">
        <v>0</v>
      </c>
      <c r="F3395" s="7" t="str">
        <f>IFERROR(
   INDEX(tbl_ProduitsRef[Prix Menu],MATCH(tbl_Ventes[[#This Row],[Produit]],tbl_ProduitsRef[Produit],0)),
   ""
)</f>
        <v/>
      </c>
      <c r="G3395" s="7">
        <f>tbl_Ventes[[#This Row],[Qté Vendue]] * IFERROR(_xlfn.XLOOKUP(tbl_Ventes[[#This Row],[Cde_Prdt]], tbl_Produits[Cde_Prdt], tbl_Produits[Prix Menu]), 0)</f>
        <v>0</v>
      </c>
      <c r="H3395" s="7">
        <f>IFERROR(_xlfn.XLOOKUP(tbl_Ventes[[#This Row],[Cde_Prdt]], tbl_Produits[Cde_Prdt], tbl_Produits[Coût Moyen Portion]), 0)</f>
        <v>0</v>
      </c>
      <c r="I3395" s="7">
        <f>tbl_Ventes[[#This Row],[Qté Vendue]] * tbl_Ventes[[#This Row],[CMP_par_portion]]</f>
        <v>0</v>
      </c>
      <c r="J3395" s="7">
        <f>tbl_Ventes[[#This Row],[CA ligne]] - tbl_Ventes[[#This Row],[Coût matière ligne]]</f>
        <v>0</v>
      </c>
      <c r="K3395" s="7" t="str">
        <f>IFERROR(INDEX(tbl_ProduitsRef[Famille], MATCH(tbl_Ventes[[#This Row],[Cde_Prdt]], tbl_Produits[Cde_Prdt], 0)), "")</f>
        <v/>
      </c>
    </row>
    <row r="3396" spans="1:11" x14ac:dyDescent="0.25">
      <c r="A3396" s="5"/>
      <c r="B3396" s="63" t="str">
        <f>IFERROR(TEXT(tbl_Ventes[[#This Row],[Date]],"mm-aaaa"),"")</f>
        <v>01-1900</v>
      </c>
      <c r="D3396" s="10" t="str">
        <f>IFERROR(
   INDEX(tbl_ProduitsRef[Cde_Prdt],MATCH(tbl_Ventes[[#This Row],[Produit]],tbl_ProduitsRef[Produit],0)),
   ""
)</f>
        <v/>
      </c>
      <c r="E3396" s="7">
        <v>0</v>
      </c>
      <c r="F3396" s="7" t="str">
        <f>IFERROR(
   INDEX(tbl_ProduitsRef[Prix Menu],MATCH(tbl_Ventes[[#This Row],[Produit]],tbl_ProduitsRef[Produit],0)),
   ""
)</f>
        <v/>
      </c>
      <c r="G3396" s="7">
        <f>tbl_Ventes[[#This Row],[Qté Vendue]] * IFERROR(_xlfn.XLOOKUP(tbl_Ventes[[#This Row],[Cde_Prdt]], tbl_Produits[Cde_Prdt], tbl_Produits[Prix Menu]), 0)</f>
        <v>0</v>
      </c>
      <c r="H3396" s="7">
        <f>IFERROR(_xlfn.XLOOKUP(tbl_Ventes[[#This Row],[Cde_Prdt]], tbl_Produits[Cde_Prdt], tbl_Produits[Coût Moyen Portion]), 0)</f>
        <v>0</v>
      </c>
      <c r="I3396" s="7">
        <f>tbl_Ventes[[#This Row],[Qté Vendue]] * tbl_Ventes[[#This Row],[CMP_par_portion]]</f>
        <v>0</v>
      </c>
      <c r="J3396" s="7">
        <f>tbl_Ventes[[#This Row],[CA ligne]] - tbl_Ventes[[#This Row],[Coût matière ligne]]</f>
        <v>0</v>
      </c>
      <c r="K3396" s="7" t="str">
        <f>IFERROR(INDEX(tbl_ProduitsRef[Famille], MATCH(tbl_Ventes[[#This Row],[Cde_Prdt]], tbl_Produits[Cde_Prdt], 0)), "")</f>
        <v/>
      </c>
    </row>
    <row r="3397" spans="1:11" x14ac:dyDescent="0.25">
      <c r="A3397" s="5"/>
      <c r="B3397" s="63" t="str">
        <f>IFERROR(TEXT(tbl_Ventes[[#This Row],[Date]],"mm-aaaa"),"")</f>
        <v>01-1900</v>
      </c>
      <c r="D3397" s="10" t="str">
        <f>IFERROR(
   INDEX(tbl_ProduitsRef[Cde_Prdt],MATCH(tbl_Ventes[[#This Row],[Produit]],tbl_ProduitsRef[Produit],0)),
   ""
)</f>
        <v/>
      </c>
      <c r="E3397" s="7">
        <v>0</v>
      </c>
      <c r="F3397" s="7" t="str">
        <f>IFERROR(
   INDEX(tbl_ProduitsRef[Prix Menu],MATCH(tbl_Ventes[[#This Row],[Produit]],tbl_ProduitsRef[Produit],0)),
   ""
)</f>
        <v/>
      </c>
      <c r="G3397" s="7">
        <f>tbl_Ventes[[#This Row],[Qté Vendue]] * IFERROR(_xlfn.XLOOKUP(tbl_Ventes[[#This Row],[Cde_Prdt]], tbl_Produits[Cde_Prdt], tbl_Produits[Prix Menu]), 0)</f>
        <v>0</v>
      </c>
      <c r="H3397" s="7">
        <f>IFERROR(_xlfn.XLOOKUP(tbl_Ventes[[#This Row],[Cde_Prdt]], tbl_Produits[Cde_Prdt], tbl_Produits[Coût Moyen Portion]), 0)</f>
        <v>0</v>
      </c>
      <c r="I3397" s="7">
        <f>tbl_Ventes[[#This Row],[Qté Vendue]] * tbl_Ventes[[#This Row],[CMP_par_portion]]</f>
        <v>0</v>
      </c>
      <c r="J3397" s="7">
        <f>tbl_Ventes[[#This Row],[CA ligne]] - tbl_Ventes[[#This Row],[Coût matière ligne]]</f>
        <v>0</v>
      </c>
      <c r="K3397" s="7" t="str">
        <f>IFERROR(INDEX(tbl_ProduitsRef[Famille], MATCH(tbl_Ventes[[#This Row],[Cde_Prdt]], tbl_Produits[Cde_Prdt], 0)), "")</f>
        <v/>
      </c>
    </row>
    <row r="3398" spans="1:11" x14ac:dyDescent="0.25">
      <c r="A3398" s="5"/>
      <c r="B3398" s="63" t="str">
        <f>IFERROR(TEXT(tbl_Ventes[[#This Row],[Date]],"mm-aaaa"),"")</f>
        <v>01-1900</v>
      </c>
      <c r="D3398" s="10" t="str">
        <f>IFERROR(
   INDEX(tbl_ProduitsRef[Cde_Prdt],MATCH(tbl_Ventes[[#This Row],[Produit]],tbl_ProduitsRef[Produit],0)),
   ""
)</f>
        <v/>
      </c>
      <c r="E3398" s="7">
        <v>0</v>
      </c>
      <c r="F3398" s="7" t="str">
        <f>IFERROR(
   INDEX(tbl_ProduitsRef[Prix Menu],MATCH(tbl_Ventes[[#This Row],[Produit]],tbl_ProduitsRef[Produit],0)),
   ""
)</f>
        <v/>
      </c>
      <c r="G3398" s="7">
        <f>tbl_Ventes[[#This Row],[Qté Vendue]] * IFERROR(_xlfn.XLOOKUP(tbl_Ventes[[#This Row],[Cde_Prdt]], tbl_Produits[Cde_Prdt], tbl_Produits[Prix Menu]), 0)</f>
        <v>0</v>
      </c>
      <c r="H3398" s="7">
        <f>IFERROR(_xlfn.XLOOKUP(tbl_Ventes[[#This Row],[Cde_Prdt]], tbl_Produits[Cde_Prdt], tbl_Produits[Coût Moyen Portion]), 0)</f>
        <v>0</v>
      </c>
      <c r="I3398" s="7">
        <f>tbl_Ventes[[#This Row],[Qté Vendue]] * tbl_Ventes[[#This Row],[CMP_par_portion]]</f>
        <v>0</v>
      </c>
      <c r="J3398" s="7">
        <f>tbl_Ventes[[#This Row],[CA ligne]] - tbl_Ventes[[#This Row],[Coût matière ligne]]</f>
        <v>0</v>
      </c>
      <c r="K3398" s="7" t="str">
        <f>IFERROR(INDEX(tbl_ProduitsRef[Famille], MATCH(tbl_Ventes[[#This Row],[Cde_Prdt]], tbl_Produits[Cde_Prdt], 0)), "")</f>
        <v/>
      </c>
    </row>
    <row r="3399" spans="1:11" x14ac:dyDescent="0.25">
      <c r="A3399" s="5"/>
      <c r="B3399" s="63" t="str">
        <f>IFERROR(TEXT(tbl_Ventes[[#This Row],[Date]],"mm-aaaa"),"")</f>
        <v>01-1900</v>
      </c>
      <c r="D3399" s="10" t="str">
        <f>IFERROR(
   INDEX(tbl_ProduitsRef[Cde_Prdt],MATCH(tbl_Ventes[[#This Row],[Produit]],tbl_ProduitsRef[Produit],0)),
   ""
)</f>
        <v/>
      </c>
      <c r="E3399" s="7">
        <v>0</v>
      </c>
      <c r="F3399" s="7" t="str">
        <f>IFERROR(
   INDEX(tbl_ProduitsRef[Prix Menu],MATCH(tbl_Ventes[[#This Row],[Produit]],tbl_ProduitsRef[Produit],0)),
   ""
)</f>
        <v/>
      </c>
      <c r="G3399" s="7">
        <f>tbl_Ventes[[#This Row],[Qté Vendue]] * IFERROR(_xlfn.XLOOKUP(tbl_Ventes[[#This Row],[Cde_Prdt]], tbl_Produits[Cde_Prdt], tbl_Produits[Prix Menu]), 0)</f>
        <v>0</v>
      </c>
      <c r="H3399" s="7">
        <f>IFERROR(_xlfn.XLOOKUP(tbl_Ventes[[#This Row],[Cde_Prdt]], tbl_Produits[Cde_Prdt], tbl_Produits[Coût Moyen Portion]), 0)</f>
        <v>0</v>
      </c>
      <c r="I3399" s="7">
        <f>tbl_Ventes[[#This Row],[Qté Vendue]] * tbl_Ventes[[#This Row],[CMP_par_portion]]</f>
        <v>0</v>
      </c>
      <c r="J3399" s="7">
        <f>tbl_Ventes[[#This Row],[CA ligne]] - tbl_Ventes[[#This Row],[Coût matière ligne]]</f>
        <v>0</v>
      </c>
      <c r="K3399" s="7" t="str">
        <f>IFERROR(INDEX(tbl_ProduitsRef[Famille], MATCH(tbl_Ventes[[#This Row],[Cde_Prdt]], tbl_Produits[Cde_Prdt], 0)), "")</f>
        <v/>
      </c>
    </row>
    <row r="3400" spans="1:11" x14ac:dyDescent="0.25">
      <c r="A3400" s="5"/>
      <c r="B3400" s="63" t="str">
        <f>IFERROR(TEXT(tbl_Ventes[[#This Row],[Date]],"mm-aaaa"),"")</f>
        <v>01-1900</v>
      </c>
      <c r="D3400" s="10" t="str">
        <f>IFERROR(
   INDEX(tbl_ProduitsRef[Cde_Prdt],MATCH(tbl_Ventes[[#This Row],[Produit]],tbl_ProduitsRef[Produit],0)),
   ""
)</f>
        <v/>
      </c>
      <c r="E3400" s="7">
        <v>0</v>
      </c>
      <c r="F3400" s="7" t="str">
        <f>IFERROR(
   INDEX(tbl_ProduitsRef[Prix Menu],MATCH(tbl_Ventes[[#This Row],[Produit]],tbl_ProduitsRef[Produit],0)),
   ""
)</f>
        <v/>
      </c>
      <c r="G3400" s="7">
        <f>tbl_Ventes[[#This Row],[Qté Vendue]] * IFERROR(_xlfn.XLOOKUP(tbl_Ventes[[#This Row],[Cde_Prdt]], tbl_Produits[Cde_Prdt], tbl_Produits[Prix Menu]), 0)</f>
        <v>0</v>
      </c>
      <c r="H3400" s="7">
        <f>IFERROR(_xlfn.XLOOKUP(tbl_Ventes[[#This Row],[Cde_Prdt]], tbl_Produits[Cde_Prdt], tbl_Produits[Coût Moyen Portion]), 0)</f>
        <v>0</v>
      </c>
      <c r="I3400" s="7">
        <f>tbl_Ventes[[#This Row],[Qté Vendue]] * tbl_Ventes[[#This Row],[CMP_par_portion]]</f>
        <v>0</v>
      </c>
      <c r="J3400" s="7">
        <f>tbl_Ventes[[#This Row],[CA ligne]] - tbl_Ventes[[#This Row],[Coût matière ligne]]</f>
        <v>0</v>
      </c>
      <c r="K3400" s="7" t="str">
        <f>IFERROR(INDEX(tbl_ProduitsRef[Famille], MATCH(tbl_Ventes[[#This Row],[Cde_Prdt]], tbl_Produits[Cde_Prdt], 0)), "")</f>
        <v/>
      </c>
    </row>
    <row r="3401" spans="1:11" x14ac:dyDescent="0.25">
      <c r="A3401" s="5"/>
      <c r="B3401" s="63" t="str">
        <f>IFERROR(TEXT(tbl_Ventes[[#This Row],[Date]],"mm-aaaa"),"")</f>
        <v>01-1900</v>
      </c>
      <c r="D3401" s="10" t="str">
        <f>IFERROR(
   INDEX(tbl_ProduitsRef[Cde_Prdt],MATCH(tbl_Ventes[[#This Row],[Produit]],tbl_ProduitsRef[Produit],0)),
   ""
)</f>
        <v/>
      </c>
      <c r="E3401" s="7">
        <v>0</v>
      </c>
      <c r="F3401" s="7" t="str">
        <f>IFERROR(
   INDEX(tbl_ProduitsRef[Prix Menu],MATCH(tbl_Ventes[[#This Row],[Produit]],tbl_ProduitsRef[Produit],0)),
   ""
)</f>
        <v/>
      </c>
      <c r="G3401" s="7">
        <f>tbl_Ventes[[#This Row],[Qté Vendue]] * IFERROR(_xlfn.XLOOKUP(tbl_Ventes[[#This Row],[Cde_Prdt]], tbl_Produits[Cde_Prdt], tbl_Produits[Prix Menu]), 0)</f>
        <v>0</v>
      </c>
      <c r="H3401" s="7">
        <f>IFERROR(_xlfn.XLOOKUP(tbl_Ventes[[#This Row],[Cde_Prdt]], tbl_Produits[Cde_Prdt], tbl_Produits[Coût Moyen Portion]), 0)</f>
        <v>0</v>
      </c>
      <c r="I3401" s="7">
        <f>tbl_Ventes[[#This Row],[Qté Vendue]] * tbl_Ventes[[#This Row],[CMP_par_portion]]</f>
        <v>0</v>
      </c>
      <c r="J3401" s="7">
        <f>tbl_Ventes[[#This Row],[CA ligne]] - tbl_Ventes[[#This Row],[Coût matière ligne]]</f>
        <v>0</v>
      </c>
      <c r="K3401" s="7" t="str">
        <f>IFERROR(INDEX(tbl_ProduitsRef[Famille], MATCH(tbl_Ventes[[#This Row],[Cde_Prdt]], tbl_Produits[Cde_Prdt], 0)), "")</f>
        <v/>
      </c>
    </row>
    <row r="3402" spans="1:11" x14ac:dyDescent="0.25">
      <c r="A3402" s="5"/>
      <c r="B3402" s="63" t="str">
        <f>IFERROR(TEXT(tbl_Ventes[[#This Row],[Date]],"mm-aaaa"),"")</f>
        <v>01-1900</v>
      </c>
      <c r="D3402" s="10" t="str">
        <f>IFERROR(
   INDEX(tbl_ProduitsRef[Cde_Prdt],MATCH(tbl_Ventes[[#This Row],[Produit]],tbl_ProduitsRef[Produit],0)),
   ""
)</f>
        <v/>
      </c>
      <c r="E3402" s="7">
        <v>0</v>
      </c>
      <c r="F3402" s="7" t="str">
        <f>IFERROR(
   INDEX(tbl_ProduitsRef[Prix Menu],MATCH(tbl_Ventes[[#This Row],[Produit]],tbl_ProduitsRef[Produit],0)),
   ""
)</f>
        <v/>
      </c>
      <c r="G3402" s="7">
        <f>tbl_Ventes[[#This Row],[Qté Vendue]] * IFERROR(_xlfn.XLOOKUP(tbl_Ventes[[#This Row],[Cde_Prdt]], tbl_Produits[Cde_Prdt], tbl_Produits[Prix Menu]), 0)</f>
        <v>0</v>
      </c>
      <c r="H3402" s="7">
        <f>IFERROR(_xlfn.XLOOKUP(tbl_Ventes[[#This Row],[Cde_Prdt]], tbl_Produits[Cde_Prdt], tbl_Produits[Coût Moyen Portion]), 0)</f>
        <v>0</v>
      </c>
      <c r="I3402" s="7">
        <f>tbl_Ventes[[#This Row],[Qté Vendue]] * tbl_Ventes[[#This Row],[CMP_par_portion]]</f>
        <v>0</v>
      </c>
      <c r="J3402" s="7">
        <f>tbl_Ventes[[#This Row],[CA ligne]] - tbl_Ventes[[#This Row],[Coût matière ligne]]</f>
        <v>0</v>
      </c>
      <c r="K3402" s="7" t="str">
        <f>IFERROR(INDEX(tbl_ProduitsRef[Famille], MATCH(tbl_Ventes[[#This Row],[Cde_Prdt]], tbl_Produits[Cde_Prdt], 0)), "")</f>
        <v/>
      </c>
    </row>
    <row r="3403" spans="1:11" x14ac:dyDescent="0.25">
      <c r="A3403" s="5"/>
      <c r="B3403" s="63" t="str">
        <f>IFERROR(TEXT(tbl_Ventes[[#This Row],[Date]],"mm-aaaa"),"")</f>
        <v>01-1900</v>
      </c>
      <c r="D3403" s="10" t="str">
        <f>IFERROR(
   INDEX(tbl_ProduitsRef[Cde_Prdt],MATCH(tbl_Ventes[[#This Row],[Produit]],tbl_ProduitsRef[Produit],0)),
   ""
)</f>
        <v/>
      </c>
      <c r="E3403" s="7">
        <v>0</v>
      </c>
      <c r="F3403" s="7" t="str">
        <f>IFERROR(
   INDEX(tbl_ProduitsRef[Prix Menu],MATCH(tbl_Ventes[[#This Row],[Produit]],tbl_ProduitsRef[Produit],0)),
   ""
)</f>
        <v/>
      </c>
      <c r="G3403" s="7">
        <f>tbl_Ventes[[#This Row],[Qté Vendue]] * IFERROR(_xlfn.XLOOKUP(tbl_Ventes[[#This Row],[Cde_Prdt]], tbl_Produits[Cde_Prdt], tbl_Produits[Prix Menu]), 0)</f>
        <v>0</v>
      </c>
      <c r="H3403" s="7">
        <f>IFERROR(_xlfn.XLOOKUP(tbl_Ventes[[#This Row],[Cde_Prdt]], tbl_Produits[Cde_Prdt], tbl_Produits[Coût Moyen Portion]), 0)</f>
        <v>0</v>
      </c>
      <c r="I3403" s="7">
        <f>tbl_Ventes[[#This Row],[Qté Vendue]] * tbl_Ventes[[#This Row],[CMP_par_portion]]</f>
        <v>0</v>
      </c>
      <c r="J3403" s="7">
        <f>tbl_Ventes[[#This Row],[CA ligne]] - tbl_Ventes[[#This Row],[Coût matière ligne]]</f>
        <v>0</v>
      </c>
      <c r="K3403" s="7" t="str">
        <f>IFERROR(INDEX(tbl_ProduitsRef[Famille], MATCH(tbl_Ventes[[#This Row],[Cde_Prdt]], tbl_Produits[Cde_Prdt], 0)), "")</f>
        <v/>
      </c>
    </row>
    <row r="3404" spans="1:11" x14ac:dyDescent="0.25">
      <c r="A3404" s="5"/>
      <c r="B3404" s="63" t="str">
        <f>IFERROR(TEXT(tbl_Ventes[[#This Row],[Date]],"mm-aaaa"),"")</f>
        <v>01-1900</v>
      </c>
      <c r="D3404" s="10" t="str">
        <f>IFERROR(
   INDEX(tbl_ProduitsRef[Cde_Prdt],MATCH(tbl_Ventes[[#This Row],[Produit]],tbl_ProduitsRef[Produit],0)),
   ""
)</f>
        <v/>
      </c>
      <c r="E3404" s="7">
        <v>0</v>
      </c>
      <c r="F3404" s="7" t="str">
        <f>IFERROR(
   INDEX(tbl_ProduitsRef[Prix Menu],MATCH(tbl_Ventes[[#This Row],[Produit]],tbl_ProduitsRef[Produit],0)),
   ""
)</f>
        <v/>
      </c>
      <c r="G3404" s="7">
        <f>tbl_Ventes[[#This Row],[Qté Vendue]] * IFERROR(_xlfn.XLOOKUP(tbl_Ventes[[#This Row],[Cde_Prdt]], tbl_Produits[Cde_Prdt], tbl_Produits[Prix Menu]), 0)</f>
        <v>0</v>
      </c>
      <c r="H3404" s="7">
        <f>IFERROR(_xlfn.XLOOKUP(tbl_Ventes[[#This Row],[Cde_Prdt]], tbl_Produits[Cde_Prdt], tbl_Produits[Coût Moyen Portion]), 0)</f>
        <v>0</v>
      </c>
      <c r="I3404" s="7">
        <f>tbl_Ventes[[#This Row],[Qté Vendue]] * tbl_Ventes[[#This Row],[CMP_par_portion]]</f>
        <v>0</v>
      </c>
      <c r="J3404" s="7">
        <f>tbl_Ventes[[#This Row],[CA ligne]] - tbl_Ventes[[#This Row],[Coût matière ligne]]</f>
        <v>0</v>
      </c>
      <c r="K3404" s="7" t="str">
        <f>IFERROR(INDEX(tbl_ProduitsRef[Famille], MATCH(tbl_Ventes[[#This Row],[Cde_Prdt]], tbl_Produits[Cde_Prdt], 0)), "")</f>
        <v/>
      </c>
    </row>
    <row r="3405" spans="1:11" x14ac:dyDescent="0.25">
      <c r="A3405" s="5"/>
      <c r="B3405" s="63" t="str">
        <f>IFERROR(TEXT(tbl_Ventes[[#This Row],[Date]],"mm-aaaa"),"")</f>
        <v>01-1900</v>
      </c>
      <c r="D3405" s="10" t="str">
        <f>IFERROR(
   INDEX(tbl_ProduitsRef[Cde_Prdt],MATCH(tbl_Ventes[[#This Row],[Produit]],tbl_ProduitsRef[Produit],0)),
   ""
)</f>
        <v/>
      </c>
      <c r="E3405" s="7">
        <v>0</v>
      </c>
      <c r="F3405" s="7" t="str">
        <f>IFERROR(
   INDEX(tbl_ProduitsRef[Prix Menu],MATCH(tbl_Ventes[[#This Row],[Produit]],tbl_ProduitsRef[Produit],0)),
   ""
)</f>
        <v/>
      </c>
      <c r="G3405" s="7">
        <f>tbl_Ventes[[#This Row],[Qté Vendue]] * IFERROR(_xlfn.XLOOKUP(tbl_Ventes[[#This Row],[Cde_Prdt]], tbl_Produits[Cde_Prdt], tbl_Produits[Prix Menu]), 0)</f>
        <v>0</v>
      </c>
      <c r="H3405" s="7">
        <f>IFERROR(_xlfn.XLOOKUP(tbl_Ventes[[#This Row],[Cde_Prdt]], tbl_Produits[Cde_Prdt], tbl_Produits[Coût Moyen Portion]), 0)</f>
        <v>0</v>
      </c>
      <c r="I3405" s="7">
        <f>tbl_Ventes[[#This Row],[Qté Vendue]] * tbl_Ventes[[#This Row],[CMP_par_portion]]</f>
        <v>0</v>
      </c>
      <c r="J3405" s="7">
        <f>tbl_Ventes[[#This Row],[CA ligne]] - tbl_Ventes[[#This Row],[Coût matière ligne]]</f>
        <v>0</v>
      </c>
      <c r="K3405" s="7" t="str">
        <f>IFERROR(INDEX(tbl_ProduitsRef[Famille], MATCH(tbl_Ventes[[#This Row],[Cde_Prdt]], tbl_Produits[Cde_Prdt], 0)), "")</f>
        <v/>
      </c>
    </row>
    <row r="3406" spans="1:11" x14ac:dyDescent="0.25">
      <c r="A3406" s="5"/>
      <c r="B3406" s="63" t="str">
        <f>IFERROR(TEXT(tbl_Ventes[[#This Row],[Date]],"mm-aaaa"),"")</f>
        <v>01-1900</v>
      </c>
      <c r="D3406" s="10" t="str">
        <f>IFERROR(
   INDEX(tbl_ProduitsRef[Cde_Prdt],MATCH(tbl_Ventes[[#This Row],[Produit]],tbl_ProduitsRef[Produit],0)),
   ""
)</f>
        <v/>
      </c>
      <c r="E3406" s="7">
        <v>0</v>
      </c>
      <c r="F3406" s="7" t="str">
        <f>IFERROR(
   INDEX(tbl_ProduitsRef[Prix Menu],MATCH(tbl_Ventes[[#This Row],[Produit]],tbl_ProduitsRef[Produit],0)),
   ""
)</f>
        <v/>
      </c>
      <c r="G3406" s="7">
        <f>tbl_Ventes[[#This Row],[Qté Vendue]] * IFERROR(_xlfn.XLOOKUP(tbl_Ventes[[#This Row],[Cde_Prdt]], tbl_Produits[Cde_Prdt], tbl_Produits[Prix Menu]), 0)</f>
        <v>0</v>
      </c>
      <c r="H3406" s="7">
        <f>IFERROR(_xlfn.XLOOKUP(tbl_Ventes[[#This Row],[Cde_Prdt]], tbl_Produits[Cde_Prdt], tbl_Produits[Coût Moyen Portion]), 0)</f>
        <v>0</v>
      </c>
      <c r="I3406" s="7">
        <f>tbl_Ventes[[#This Row],[Qté Vendue]] * tbl_Ventes[[#This Row],[CMP_par_portion]]</f>
        <v>0</v>
      </c>
      <c r="J3406" s="7">
        <f>tbl_Ventes[[#This Row],[CA ligne]] - tbl_Ventes[[#This Row],[Coût matière ligne]]</f>
        <v>0</v>
      </c>
      <c r="K3406" s="7" t="str">
        <f>IFERROR(INDEX(tbl_ProduitsRef[Famille], MATCH(tbl_Ventes[[#This Row],[Cde_Prdt]], tbl_Produits[Cde_Prdt], 0)), "")</f>
        <v/>
      </c>
    </row>
    <row r="3407" spans="1:11" x14ac:dyDescent="0.25">
      <c r="A3407" s="5"/>
      <c r="B3407" s="63" t="str">
        <f>IFERROR(TEXT(tbl_Ventes[[#This Row],[Date]],"mm-aaaa"),"")</f>
        <v>01-1900</v>
      </c>
      <c r="D3407" s="10" t="str">
        <f>IFERROR(
   INDEX(tbl_ProduitsRef[Cde_Prdt],MATCH(tbl_Ventes[[#This Row],[Produit]],tbl_ProduitsRef[Produit],0)),
   ""
)</f>
        <v/>
      </c>
      <c r="E3407" s="7">
        <v>0</v>
      </c>
      <c r="F3407" s="7" t="str">
        <f>IFERROR(
   INDEX(tbl_ProduitsRef[Prix Menu],MATCH(tbl_Ventes[[#This Row],[Produit]],tbl_ProduitsRef[Produit],0)),
   ""
)</f>
        <v/>
      </c>
      <c r="G3407" s="7">
        <f>tbl_Ventes[[#This Row],[Qté Vendue]] * IFERROR(_xlfn.XLOOKUP(tbl_Ventes[[#This Row],[Cde_Prdt]], tbl_Produits[Cde_Prdt], tbl_Produits[Prix Menu]), 0)</f>
        <v>0</v>
      </c>
      <c r="H3407" s="7">
        <f>IFERROR(_xlfn.XLOOKUP(tbl_Ventes[[#This Row],[Cde_Prdt]], tbl_Produits[Cde_Prdt], tbl_Produits[Coût Moyen Portion]), 0)</f>
        <v>0</v>
      </c>
      <c r="I3407" s="7">
        <f>tbl_Ventes[[#This Row],[Qté Vendue]] * tbl_Ventes[[#This Row],[CMP_par_portion]]</f>
        <v>0</v>
      </c>
      <c r="J3407" s="7">
        <f>tbl_Ventes[[#This Row],[CA ligne]] - tbl_Ventes[[#This Row],[Coût matière ligne]]</f>
        <v>0</v>
      </c>
      <c r="K3407" s="7" t="str">
        <f>IFERROR(INDEX(tbl_ProduitsRef[Famille], MATCH(tbl_Ventes[[#This Row],[Cde_Prdt]], tbl_Produits[Cde_Prdt], 0)), "")</f>
        <v/>
      </c>
    </row>
    <row r="3408" spans="1:11" x14ac:dyDescent="0.25">
      <c r="A3408" s="5"/>
      <c r="B3408" s="63" t="str">
        <f>IFERROR(TEXT(tbl_Ventes[[#This Row],[Date]],"mm-aaaa"),"")</f>
        <v>01-1900</v>
      </c>
      <c r="D3408" s="10" t="str">
        <f>IFERROR(
   INDEX(tbl_ProduitsRef[Cde_Prdt],MATCH(tbl_Ventes[[#This Row],[Produit]],tbl_ProduitsRef[Produit],0)),
   ""
)</f>
        <v/>
      </c>
      <c r="E3408" s="7">
        <v>0</v>
      </c>
      <c r="F3408" s="7" t="str">
        <f>IFERROR(
   INDEX(tbl_ProduitsRef[Prix Menu],MATCH(tbl_Ventes[[#This Row],[Produit]],tbl_ProduitsRef[Produit],0)),
   ""
)</f>
        <v/>
      </c>
      <c r="G3408" s="7">
        <f>tbl_Ventes[[#This Row],[Qté Vendue]] * IFERROR(_xlfn.XLOOKUP(tbl_Ventes[[#This Row],[Cde_Prdt]], tbl_Produits[Cde_Prdt], tbl_Produits[Prix Menu]), 0)</f>
        <v>0</v>
      </c>
      <c r="H3408" s="7">
        <f>IFERROR(_xlfn.XLOOKUP(tbl_Ventes[[#This Row],[Cde_Prdt]], tbl_Produits[Cde_Prdt], tbl_Produits[Coût Moyen Portion]), 0)</f>
        <v>0</v>
      </c>
      <c r="I3408" s="7">
        <f>tbl_Ventes[[#This Row],[Qté Vendue]] * tbl_Ventes[[#This Row],[CMP_par_portion]]</f>
        <v>0</v>
      </c>
      <c r="J3408" s="7">
        <f>tbl_Ventes[[#This Row],[CA ligne]] - tbl_Ventes[[#This Row],[Coût matière ligne]]</f>
        <v>0</v>
      </c>
      <c r="K3408" s="7" t="str">
        <f>IFERROR(INDEX(tbl_ProduitsRef[Famille], MATCH(tbl_Ventes[[#This Row],[Cde_Prdt]], tbl_Produits[Cde_Prdt], 0)), "")</f>
        <v/>
      </c>
    </row>
    <row r="3409" spans="1:11" x14ac:dyDescent="0.25">
      <c r="A3409" s="5"/>
      <c r="B3409" s="63" t="str">
        <f>IFERROR(TEXT(tbl_Ventes[[#This Row],[Date]],"mm-aaaa"),"")</f>
        <v>01-1900</v>
      </c>
      <c r="D3409" s="10" t="str">
        <f>IFERROR(
   INDEX(tbl_ProduitsRef[Cde_Prdt],MATCH(tbl_Ventes[[#This Row],[Produit]],tbl_ProduitsRef[Produit],0)),
   ""
)</f>
        <v/>
      </c>
      <c r="E3409" s="7">
        <v>0</v>
      </c>
      <c r="F3409" s="7" t="str">
        <f>IFERROR(
   INDEX(tbl_ProduitsRef[Prix Menu],MATCH(tbl_Ventes[[#This Row],[Produit]],tbl_ProduitsRef[Produit],0)),
   ""
)</f>
        <v/>
      </c>
      <c r="G3409" s="7">
        <f>tbl_Ventes[[#This Row],[Qté Vendue]] * IFERROR(_xlfn.XLOOKUP(tbl_Ventes[[#This Row],[Cde_Prdt]], tbl_Produits[Cde_Prdt], tbl_Produits[Prix Menu]), 0)</f>
        <v>0</v>
      </c>
      <c r="H3409" s="7">
        <f>IFERROR(_xlfn.XLOOKUP(tbl_Ventes[[#This Row],[Cde_Prdt]], tbl_Produits[Cde_Prdt], tbl_Produits[Coût Moyen Portion]), 0)</f>
        <v>0</v>
      </c>
      <c r="I3409" s="7">
        <f>tbl_Ventes[[#This Row],[Qté Vendue]] * tbl_Ventes[[#This Row],[CMP_par_portion]]</f>
        <v>0</v>
      </c>
      <c r="J3409" s="7">
        <f>tbl_Ventes[[#This Row],[CA ligne]] - tbl_Ventes[[#This Row],[Coût matière ligne]]</f>
        <v>0</v>
      </c>
      <c r="K3409" s="7" t="str">
        <f>IFERROR(INDEX(tbl_ProduitsRef[Famille], MATCH(tbl_Ventes[[#This Row],[Cde_Prdt]], tbl_Produits[Cde_Prdt], 0)), "")</f>
        <v/>
      </c>
    </row>
    <row r="3410" spans="1:11" x14ac:dyDescent="0.25">
      <c r="A3410" s="5"/>
      <c r="B3410" s="63" t="str">
        <f>IFERROR(TEXT(tbl_Ventes[[#This Row],[Date]],"mm-aaaa"),"")</f>
        <v>01-1900</v>
      </c>
      <c r="D3410" s="10" t="str">
        <f>IFERROR(
   INDEX(tbl_ProduitsRef[Cde_Prdt],MATCH(tbl_Ventes[[#This Row],[Produit]],tbl_ProduitsRef[Produit],0)),
   ""
)</f>
        <v/>
      </c>
      <c r="E3410" s="7">
        <v>0</v>
      </c>
      <c r="F3410" s="7" t="str">
        <f>IFERROR(
   INDEX(tbl_ProduitsRef[Prix Menu],MATCH(tbl_Ventes[[#This Row],[Produit]],tbl_ProduitsRef[Produit],0)),
   ""
)</f>
        <v/>
      </c>
      <c r="G3410" s="7">
        <f>tbl_Ventes[[#This Row],[Qté Vendue]] * IFERROR(_xlfn.XLOOKUP(tbl_Ventes[[#This Row],[Cde_Prdt]], tbl_Produits[Cde_Prdt], tbl_Produits[Prix Menu]), 0)</f>
        <v>0</v>
      </c>
      <c r="H3410" s="7">
        <f>IFERROR(_xlfn.XLOOKUP(tbl_Ventes[[#This Row],[Cde_Prdt]], tbl_Produits[Cde_Prdt], tbl_Produits[Coût Moyen Portion]), 0)</f>
        <v>0</v>
      </c>
      <c r="I3410" s="7">
        <f>tbl_Ventes[[#This Row],[Qté Vendue]] * tbl_Ventes[[#This Row],[CMP_par_portion]]</f>
        <v>0</v>
      </c>
      <c r="J3410" s="7">
        <f>tbl_Ventes[[#This Row],[CA ligne]] - tbl_Ventes[[#This Row],[Coût matière ligne]]</f>
        <v>0</v>
      </c>
      <c r="K3410" s="7" t="str">
        <f>IFERROR(INDEX(tbl_ProduitsRef[Famille], MATCH(tbl_Ventes[[#This Row],[Cde_Prdt]], tbl_Produits[Cde_Prdt], 0)), "")</f>
        <v/>
      </c>
    </row>
    <row r="3411" spans="1:11" x14ac:dyDescent="0.25">
      <c r="A3411" s="5"/>
      <c r="B3411" s="63" t="str">
        <f>IFERROR(TEXT(tbl_Ventes[[#This Row],[Date]],"mm-aaaa"),"")</f>
        <v>01-1900</v>
      </c>
      <c r="D3411" s="10" t="str">
        <f>IFERROR(
   INDEX(tbl_ProduitsRef[Cde_Prdt],MATCH(tbl_Ventes[[#This Row],[Produit]],tbl_ProduitsRef[Produit],0)),
   ""
)</f>
        <v/>
      </c>
      <c r="E3411" s="7">
        <v>0</v>
      </c>
      <c r="F3411" s="7" t="str">
        <f>IFERROR(
   INDEX(tbl_ProduitsRef[Prix Menu],MATCH(tbl_Ventes[[#This Row],[Produit]],tbl_ProduitsRef[Produit],0)),
   ""
)</f>
        <v/>
      </c>
      <c r="G3411" s="7">
        <f>tbl_Ventes[[#This Row],[Qté Vendue]] * IFERROR(_xlfn.XLOOKUP(tbl_Ventes[[#This Row],[Cde_Prdt]], tbl_Produits[Cde_Prdt], tbl_Produits[Prix Menu]), 0)</f>
        <v>0</v>
      </c>
      <c r="H3411" s="7">
        <f>IFERROR(_xlfn.XLOOKUP(tbl_Ventes[[#This Row],[Cde_Prdt]], tbl_Produits[Cde_Prdt], tbl_Produits[Coût Moyen Portion]), 0)</f>
        <v>0</v>
      </c>
      <c r="I3411" s="7">
        <f>tbl_Ventes[[#This Row],[Qté Vendue]] * tbl_Ventes[[#This Row],[CMP_par_portion]]</f>
        <v>0</v>
      </c>
      <c r="J3411" s="7">
        <f>tbl_Ventes[[#This Row],[CA ligne]] - tbl_Ventes[[#This Row],[Coût matière ligne]]</f>
        <v>0</v>
      </c>
      <c r="K3411" s="7" t="str">
        <f>IFERROR(INDEX(tbl_ProduitsRef[Famille], MATCH(tbl_Ventes[[#This Row],[Cde_Prdt]], tbl_Produits[Cde_Prdt], 0)), "")</f>
        <v/>
      </c>
    </row>
    <row r="3412" spans="1:11" x14ac:dyDescent="0.25">
      <c r="A3412" s="5"/>
      <c r="B3412" s="63" t="str">
        <f>IFERROR(TEXT(tbl_Ventes[[#This Row],[Date]],"mm-aaaa"),"")</f>
        <v>01-1900</v>
      </c>
      <c r="D3412" s="10" t="str">
        <f>IFERROR(
   INDEX(tbl_ProduitsRef[Cde_Prdt],MATCH(tbl_Ventes[[#This Row],[Produit]],tbl_ProduitsRef[Produit],0)),
   ""
)</f>
        <v/>
      </c>
      <c r="E3412" s="7">
        <v>0</v>
      </c>
      <c r="F3412" s="7" t="str">
        <f>IFERROR(
   INDEX(tbl_ProduitsRef[Prix Menu],MATCH(tbl_Ventes[[#This Row],[Produit]],tbl_ProduitsRef[Produit],0)),
   ""
)</f>
        <v/>
      </c>
      <c r="G3412" s="7">
        <f>tbl_Ventes[[#This Row],[Qté Vendue]] * IFERROR(_xlfn.XLOOKUP(tbl_Ventes[[#This Row],[Cde_Prdt]], tbl_Produits[Cde_Prdt], tbl_Produits[Prix Menu]), 0)</f>
        <v>0</v>
      </c>
      <c r="H3412" s="7">
        <f>IFERROR(_xlfn.XLOOKUP(tbl_Ventes[[#This Row],[Cde_Prdt]], tbl_Produits[Cde_Prdt], tbl_Produits[Coût Moyen Portion]), 0)</f>
        <v>0</v>
      </c>
      <c r="I3412" s="7">
        <f>tbl_Ventes[[#This Row],[Qté Vendue]] * tbl_Ventes[[#This Row],[CMP_par_portion]]</f>
        <v>0</v>
      </c>
      <c r="J3412" s="7">
        <f>tbl_Ventes[[#This Row],[CA ligne]] - tbl_Ventes[[#This Row],[Coût matière ligne]]</f>
        <v>0</v>
      </c>
      <c r="K3412" s="7" t="str">
        <f>IFERROR(INDEX(tbl_ProduitsRef[Famille], MATCH(tbl_Ventes[[#This Row],[Cde_Prdt]], tbl_Produits[Cde_Prdt], 0)), "")</f>
        <v/>
      </c>
    </row>
    <row r="3413" spans="1:11" x14ac:dyDescent="0.25">
      <c r="A3413" s="5"/>
      <c r="B3413" s="63" t="str">
        <f>IFERROR(TEXT(tbl_Ventes[[#This Row],[Date]],"mm-aaaa"),"")</f>
        <v>01-1900</v>
      </c>
      <c r="D3413" s="10" t="str">
        <f>IFERROR(
   INDEX(tbl_ProduitsRef[Cde_Prdt],MATCH(tbl_Ventes[[#This Row],[Produit]],tbl_ProduitsRef[Produit],0)),
   ""
)</f>
        <v/>
      </c>
      <c r="E3413" s="7">
        <v>0</v>
      </c>
      <c r="F3413" s="7" t="str">
        <f>IFERROR(
   INDEX(tbl_ProduitsRef[Prix Menu],MATCH(tbl_Ventes[[#This Row],[Produit]],tbl_ProduitsRef[Produit],0)),
   ""
)</f>
        <v/>
      </c>
      <c r="G3413" s="7">
        <f>tbl_Ventes[[#This Row],[Qté Vendue]] * IFERROR(_xlfn.XLOOKUP(tbl_Ventes[[#This Row],[Cde_Prdt]], tbl_Produits[Cde_Prdt], tbl_Produits[Prix Menu]), 0)</f>
        <v>0</v>
      </c>
      <c r="H3413" s="7">
        <f>IFERROR(_xlfn.XLOOKUP(tbl_Ventes[[#This Row],[Cde_Prdt]], tbl_Produits[Cde_Prdt], tbl_Produits[Coût Moyen Portion]), 0)</f>
        <v>0</v>
      </c>
      <c r="I3413" s="7">
        <f>tbl_Ventes[[#This Row],[Qté Vendue]] * tbl_Ventes[[#This Row],[CMP_par_portion]]</f>
        <v>0</v>
      </c>
      <c r="J3413" s="7">
        <f>tbl_Ventes[[#This Row],[CA ligne]] - tbl_Ventes[[#This Row],[Coût matière ligne]]</f>
        <v>0</v>
      </c>
      <c r="K3413" s="7" t="str">
        <f>IFERROR(INDEX(tbl_ProduitsRef[Famille], MATCH(tbl_Ventes[[#This Row],[Cde_Prdt]], tbl_Produits[Cde_Prdt], 0)), "")</f>
        <v/>
      </c>
    </row>
    <row r="3414" spans="1:11" x14ac:dyDescent="0.25">
      <c r="A3414" s="5"/>
      <c r="B3414" s="63" t="str">
        <f>IFERROR(TEXT(tbl_Ventes[[#This Row],[Date]],"mm-aaaa"),"")</f>
        <v>01-1900</v>
      </c>
      <c r="D3414" s="10" t="str">
        <f>IFERROR(
   INDEX(tbl_ProduitsRef[Cde_Prdt],MATCH(tbl_Ventes[[#This Row],[Produit]],tbl_ProduitsRef[Produit],0)),
   ""
)</f>
        <v/>
      </c>
      <c r="E3414" s="7">
        <v>0</v>
      </c>
      <c r="F3414" s="7" t="str">
        <f>IFERROR(
   INDEX(tbl_ProduitsRef[Prix Menu],MATCH(tbl_Ventes[[#This Row],[Produit]],tbl_ProduitsRef[Produit],0)),
   ""
)</f>
        <v/>
      </c>
      <c r="G3414" s="7">
        <f>tbl_Ventes[[#This Row],[Qté Vendue]] * IFERROR(_xlfn.XLOOKUP(tbl_Ventes[[#This Row],[Cde_Prdt]], tbl_Produits[Cde_Prdt], tbl_Produits[Prix Menu]), 0)</f>
        <v>0</v>
      </c>
      <c r="H3414" s="7">
        <f>IFERROR(_xlfn.XLOOKUP(tbl_Ventes[[#This Row],[Cde_Prdt]], tbl_Produits[Cde_Prdt], tbl_Produits[Coût Moyen Portion]), 0)</f>
        <v>0</v>
      </c>
      <c r="I3414" s="7">
        <f>tbl_Ventes[[#This Row],[Qté Vendue]] * tbl_Ventes[[#This Row],[CMP_par_portion]]</f>
        <v>0</v>
      </c>
      <c r="J3414" s="7">
        <f>tbl_Ventes[[#This Row],[CA ligne]] - tbl_Ventes[[#This Row],[Coût matière ligne]]</f>
        <v>0</v>
      </c>
      <c r="K3414" s="7" t="str">
        <f>IFERROR(INDEX(tbl_ProduitsRef[Famille], MATCH(tbl_Ventes[[#This Row],[Cde_Prdt]], tbl_Produits[Cde_Prdt], 0)), "")</f>
        <v/>
      </c>
    </row>
    <row r="3415" spans="1:11" x14ac:dyDescent="0.25">
      <c r="A3415" s="5"/>
      <c r="B3415" s="63" t="str">
        <f>IFERROR(TEXT(tbl_Ventes[[#This Row],[Date]],"mm-aaaa"),"")</f>
        <v>01-1900</v>
      </c>
      <c r="D3415" s="10" t="str">
        <f>IFERROR(
   INDEX(tbl_ProduitsRef[Cde_Prdt],MATCH(tbl_Ventes[[#This Row],[Produit]],tbl_ProduitsRef[Produit],0)),
   ""
)</f>
        <v/>
      </c>
      <c r="E3415" s="7">
        <v>0</v>
      </c>
      <c r="F3415" s="7" t="str">
        <f>IFERROR(
   INDEX(tbl_ProduitsRef[Prix Menu],MATCH(tbl_Ventes[[#This Row],[Produit]],tbl_ProduitsRef[Produit],0)),
   ""
)</f>
        <v/>
      </c>
      <c r="G3415" s="7">
        <f>tbl_Ventes[[#This Row],[Qté Vendue]] * IFERROR(_xlfn.XLOOKUP(tbl_Ventes[[#This Row],[Cde_Prdt]], tbl_Produits[Cde_Prdt], tbl_Produits[Prix Menu]), 0)</f>
        <v>0</v>
      </c>
      <c r="H3415" s="7">
        <f>IFERROR(_xlfn.XLOOKUP(tbl_Ventes[[#This Row],[Cde_Prdt]], tbl_Produits[Cde_Prdt], tbl_Produits[Coût Moyen Portion]), 0)</f>
        <v>0</v>
      </c>
      <c r="I3415" s="7">
        <f>tbl_Ventes[[#This Row],[Qté Vendue]] * tbl_Ventes[[#This Row],[CMP_par_portion]]</f>
        <v>0</v>
      </c>
      <c r="J3415" s="7">
        <f>tbl_Ventes[[#This Row],[CA ligne]] - tbl_Ventes[[#This Row],[Coût matière ligne]]</f>
        <v>0</v>
      </c>
      <c r="K3415" s="7" t="str">
        <f>IFERROR(INDEX(tbl_ProduitsRef[Famille], MATCH(tbl_Ventes[[#This Row],[Cde_Prdt]], tbl_Produits[Cde_Prdt], 0)), "")</f>
        <v/>
      </c>
    </row>
    <row r="3416" spans="1:11" x14ac:dyDescent="0.25">
      <c r="A3416" s="5"/>
      <c r="B3416" s="63" t="str">
        <f>IFERROR(TEXT(tbl_Ventes[[#This Row],[Date]],"mm-aaaa"),"")</f>
        <v>01-1900</v>
      </c>
      <c r="D3416" s="10" t="str">
        <f>IFERROR(
   INDEX(tbl_ProduitsRef[Cde_Prdt],MATCH(tbl_Ventes[[#This Row],[Produit]],tbl_ProduitsRef[Produit],0)),
   ""
)</f>
        <v/>
      </c>
      <c r="E3416" s="7">
        <v>0</v>
      </c>
      <c r="F3416" s="7" t="str">
        <f>IFERROR(
   INDEX(tbl_ProduitsRef[Prix Menu],MATCH(tbl_Ventes[[#This Row],[Produit]],tbl_ProduitsRef[Produit],0)),
   ""
)</f>
        <v/>
      </c>
      <c r="G3416" s="7">
        <f>tbl_Ventes[[#This Row],[Qté Vendue]] * IFERROR(_xlfn.XLOOKUP(tbl_Ventes[[#This Row],[Cde_Prdt]], tbl_Produits[Cde_Prdt], tbl_Produits[Prix Menu]), 0)</f>
        <v>0</v>
      </c>
      <c r="H3416" s="7">
        <f>IFERROR(_xlfn.XLOOKUP(tbl_Ventes[[#This Row],[Cde_Prdt]], tbl_Produits[Cde_Prdt], tbl_Produits[Coût Moyen Portion]), 0)</f>
        <v>0</v>
      </c>
      <c r="I3416" s="7">
        <f>tbl_Ventes[[#This Row],[Qté Vendue]] * tbl_Ventes[[#This Row],[CMP_par_portion]]</f>
        <v>0</v>
      </c>
      <c r="J3416" s="7">
        <f>tbl_Ventes[[#This Row],[CA ligne]] - tbl_Ventes[[#This Row],[Coût matière ligne]]</f>
        <v>0</v>
      </c>
      <c r="K3416" s="7" t="str">
        <f>IFERROR(INDEX(tbl_ProduitsRef[Famille], MATCH(tbl_Ventes[[#This Row],[Cde_Prdt]], tbl_Produits[Cde_Prdt], 0)), "")</f>
        <v/>
      </c>
    </row>
    <row r="3417" spans="1:11" x14ac:dyDescent="0.25">
      <c r="A3417" s="5"/>
      <c r="B3417" s="63" t="str">
        <f>IFERROR(TEXT(tbl_Ventes[[#This Row],[Date]],"mm-aaaa"),"")</f>
        <v>01-1900</v>
      </c>
      <c r="D3417" s="10" t="str">
        <f>IFERROR(
   INDEX(tbl_ProduitsRef[Cde_Prdt],MATCH(tbl_Ventes[[#This Row],[Produit]],tbl_ProduitsRef[Produit],0)),
   ""
)</f>
        <v/>
      </c>
      <c r="E3417" s="7">
        <v>0</v>
      </c>
      <c r="F3417" s="7" t="str">
        <f>IFERROR(
   INDEX(tbl_ProduitsRef[Prix Menu],MATCH(tbl_Ventes[[#This Row],[Produit]],tbl_ProduitsRef[Produit],0)),
   ""
)</f>
        <v/>
      </c>
      <c r="G3417" s="7">
        <f>tbl_Ventes[[#This Row],[Qté Vendue]] * IFERROR(_xlfn.XLOOKUP(tbl_Ventes[[#This Row],[Cde_Prdt]], tbl_Produits[Cde_Prdt], tbl_Produits[Prix Menu]), 0)</f>
        <v>0</v>
      </c>
      <c r="H3417" s="7">
        <f>IFERROR(_xlfn.XLOOKUP(tbl_Ventes[[#This Row],[Cde_Prdt]], tbl_Produits[Cde_Prdt], tbl_Produits[Coût Moyen Portion]), 0)</f>
        <v>0</v>
      </c>
      <c r="I3417" s="7">
        <f>tbl_Ventes[[#This Row],[Qté Vendue]] * tbl_Ventes[[#This Row],[CMP_par_portion]]</f>
        <v>0</v>
      </c>
      <c r="J3417" s="7">
        <f>tbl_Ventes[[#This Row],[CA ligne]] - tbl_Ventes[[#This Row],[Coût matière ligne]]</f>
        <v>0</v>
      </c>
      <c r="K3417" s="7" t="str">
        <f>IFERROR(INDEX(tbl_ProduitsRef[Famille], MATCH(tbl_Ventes[[#This Row],[Cde_Prdt]], tbl_Produits[Cde_Prdt], 0)), "")</f>
        <v/>
      </c>
    </row>
    <row r="3418" spans="1:11" x14ac:dyDescent="0.25">
      <c r="A3418" s="5"/>
      <c r="B3418" s="63" t="str">
        <f>IFERROR(TEXT(tbl_Ventes[[#This Row],[Date]],"mm-aaaa"),"")</f>
        <v>01-1900</v>
      </c>
      <c r="D3418" s="10" t="str">
        <f>IFERROR(
   INDEX(tbl_ProduitsRef[Cde_Prdt],MATCH(tbl_Ventes[[#This Row],[Produit]],tbl_ProduitsRef[Produit],0)),
   ""
)</f>
        <v/>
      </c>
      <c r="E3418" s="7">
        <v>0</v>
      </c>
      <c r="F3418" s="7" t="str">
        <f>IFERROR(
   INDEX(tbl_ProduitsRef[Prix Menu],MATCH(tbl_Ventes[[#This Row],[Produit]],tbl_ProduitsRef[Produit],0)),
   ""
)</f>
        <v/>
      </c>
      <c r="G3418" s="7">
        <f>tbl_Ventes[[#This Row],[Qté Vendue]] * IFERROR(_xlfn.XLOOKUP(tbl_Ventes[[#This Row],[Cde_Prdt]], tbl_Produits[Cde_Prdt], tbl_Produits[Prix Menu]), 0)</f>
        <v>0</v>
      </c>
      <c r="H3418" s="7">
        <f>IFERROR(_xlfn.XLOOKUP(tbl_Ventes[[#This Row],[Cde_Prdt]], tbl_Produits[Cde_Prdt], tbl_Produits[Coût Moyen Portion]), 0)</f>
        <v>0</v>
      </c>
      <c r="I3418" s="7">
        <f>tbl_Ventes[[#This Row],[Qté Vendue]] * tbl_Ventes[[#This Row],[CMP_par_portion]]</f>
        <v>0</v>
      </c>
      <c r="J3418" s="7">
        <f>tbl_Ventes[[#This Row],[CA ligne]] - tbl_Ventes[[#This Row],[Coût matière ligne]]</f>
        <v>0</v>
      </c>
      <c r="K3418" s="7" t="str">
        <f>IFERROR(INDEX(tbl_ProduitsRef[Famille], MATCH(tbl_Ventes[[#This Row],[Cde_Prdt]], tbl_Produits[Cde_Prdt], 0)), "")</f>
        <v/>
      </c>
    </row>
    <row r="3419" spans="1:11" x14ac:dyDescent="0.25">
      <c r="A3419" s="5"/>
      <c r="B3419" s="63" t="str">
        <f>IFERROR(TEXT(tbl_Ventes[[#This Row],[Date]],"mm-aaaa"),"")</f>
        <v>01-1900</v>
      </c>
      <c r="D3419" s="10" t="str">
        <f>IFERROR(
   INDEX(tbl_ProduitsRef[Cde_Prdt],MATCH(tbl_Ventes[[#This Row],[Produit]],tbl_ProduitsRef[Produit],0)),
   ""
)</f>
        <v/>
      </c>
      <c r="E3419" s="7">
        <v>0</v>
      </c>
      <c r="F3419" s="7" t="str">
        <f>IFERROR(
   INDEX(tbl_ProduitsRef[Prix Menu],MATCH(tbl_Ventes[[#This Row],[Produit]],tbl_ProduitsRef[Produit],0)),
   ""
)</f>
        <v/>
      </c>
      <c r="G3419" s="7">
        <f>tbl_Ventes[[#This Row],[Qté Vendue]] * IFERROR(_xlfn.XLOOKUP(tbl_Ventes[[#This Row],[Cde_Prdt]], tbl_Produits[Cde_Prdt], tbl_Produits[Prix Menu]), 0)</f>
        <v>0</v>
      </c>
      <c r="H3419" s="7">
        <f>IFERROR(_xlfn.XLOOKUP(tbl_Ventes[[#This Row],[Cde_Prdt]], tbl_Produits[Cde_Prdt], tbl_Produits[Coût Moyen Portion]), 0)</f>
        <v>0</v>
      </c>
      <c r="I3419" s="7">
        <f>tbl_Ventes[[#This Row],[Qté Vendue]] * tbl_Ventes[[#This Row],[CMP_par_portion]]</f>
        <v>0</v>
      </c>
      <c r="J3419" s="7">
        <f>tbl_Ventes[[#This Row],[CA ligne]] - tbl_Ventes[[#This Row],[Coût matière ligne]]</f>
        <v>0</v>
      </c>
      <c r="K3419" s="7" t="str">
        <f>IFERROR(INDEX(tbl_ProduitsRef[Famille], MATCH(tbl_Ventes[[#This Row],[Cde_Prdt]], tbl_Produits[Cde_Prdt], 0)), "")</f>
        <v/>
      </c>
    </row>
    <row r="3420" spans="1:11" x14ac:dyDescent="0.25">
      <c r="A3420" s="5"/>
      <c r="B3420" s="63" t="str">
        <f>IFERROR(TEXT(tbl_Ventes[[#This Row],[Date]],"mm-aaaa"),"")</f>
        <v>01-1900</v>
      </c>
      <c r="D3420" s="10" t="str">
        <f>IFERROR(
   INDEX(tbl_ProduitsRef[Cde_Prdt],MATCH(tbl_Ventes[[#This Row],[Produit]],tbl_ProduitsRef[Produit],0)),
   ""
)</f>
        <v/>
      </c>
      <c r="E3420" s="7">
        <v>0</v>
      </c>
      <c r="F3420" s="7" t="str">
        <f>IFERROR(
   INDEX(tbl_ProduitsRef[Prix Menu],MATCH(tbl_Ventes[[#This Row],[Produit]],tbl_ProduitsRef[Produit],0)),
   ""
)</f>
        <v/>
      </c>
      <c r="G3420" s="7">
        <f>tbl_Ventes[[#This Row],[Qté Vendue]] * IFERROR(_xlfn.XLOOKUP(tbl_Ventes[[#This Row],[Cde_Prdt]], tbl_Produits[Cde_Prdt], tbl_Produits[Prix Menu]), 0)</f>
        <v>0</v>
      </c>
      <c r="H3420" s="7">
        <f>IFERROR(_xlfn.XLOOKUP(tbl_Ventes[[#This Row],[Cde_Prdt]], tbl_Produits[Cde_Prdt], tbl_Produits[Coût Moyen Portion]), 0)</f>
        <v>0</v>
      </c>
      <c r="I3420" s="7">
        <f>tbl_Ventes[[#This Row],[Qté Vendue]] * tbl_Ventes[[#This Row],[CMP_par_portion]]</f>
        <v>0</v>
      </c>
      <c r="J3420" s="7">
        <f>tbl_Ventes[[#This Row],[CA ligne]] - tbl_Ventes[[#This Row],[Coût matière ligne]]</f>
        <v>0</v>
      </c>
      <c r="K3420" s="7" t="str">
        <f>IFERROR(INDEX(tbl_ProduitsRef[Famille], MATCH(tbl_Ventes[[#This Row],[Cde_Prdt]], tbl_Produits[Cde_Prdt], 0)), "")</f>
        <v/>
      </c>
    </row>
    <row r="3421" spans="1:11" x14ac:dyDescent="0.25">
      <c r="A3421" s="5"/>
      <c r="B3421" s="63" t="str">
        <f>IFERROR(TEXT(tbl_Ventes[[#This Row],[Date]],"mm-aaaa"),"")</f>
        <v>01-1900</v>
      </c>
      <c r="D3421" s="10" t="str">
        <f>IFERROR(
   INDEX(tbl_ProduitsRef[Cde_Prdt],MATCH(tbl_Ventes[[#This Row],[Produit]],tbl_ProduitsRef[Produit],0)),
   ""
)</f>
        <v/>
      </c>
      <c r="E3421" s="7">
        <v>0</v>
      </c>
      <c r="F3421" s="7" t="str">
        <f>IFERROR(
   INDEX(tbl_ProduitsRef[Prix Menu],MATCH(tbl_Ventes[[#This Row],[Produit]],tbl_ProduitsRef[Produit],0)),
   ""
)</f>
        <v/>
      </c>
      <c r="G3421" s="7">
        <f>tbl_Ventes[[#This Row],[Qté Vendue]] * IFERROR(_xlfn.XLOOKUP(tbl_Ventes[[#This Row],[Cde_Prdt]], tbl_Produits[Cde_Prdt], tbl_Produits[Prix Menu]), 0)</f>
        <v>0</v>
      </c>
      <c r="H3421" s="7">
        <f>IFERROR(_xlfn.XLOOKUP(tbl_Ventes[[#This Row],[Cde_Prdt]], tbl_Produits[Cde_Prdt], tbl_Produits[Coût Moyen Portion]), 0)</f>
        <v>0</v>
      </c>
      <c r="I3421" s="7">
        <f>tbl_Ventes[[#This Row],[Qté Vendue]] * tbl_Ventes[[#This Row],[CMP_par_portion]]</f>
        <v>0</v>
      </c>
      <c r="J3421" s="7">
        <f>tbl_Ventes[[#This Row],[CA ligne]] - tbl_Ventes[[#This Row],[Coût matière ligne]]</f>
        <v>0</v>
      </c>
      <c r="K3421" s="7" t="str">
        <f>IFERROR(INDEX(tbl_ProduitsRef[Famille], MATCH(tbl_Ventes[[#This Row],[Cde_Prdt]], tbl_Produits[Cde_Prdt], 0)), "")</f>
        <v/>
      </c>
    </row>
    <row r="3422" spans="1:11" x14ac:dyDescent="0.25">
      <c r="A3422" s="5"/>
      <c r="B3422" s="63" t="str">
        <f>IFERROR(TEXT(tbl_Ventes[[#This Row],[Date]],"mm-aaaa"),"")</f>
        <v>01-1900</v>
      </c>
      <c r="D3422" s="10" t="str">
        <f>IFERROR(
   INDEX(tbl_ProduitsRef[Cde_Prdt],MATCH(tbl_Ventes[[#This Row],[Produit]],tbl_ProduitsRef[Produit],0)),
   ""
)</f>
        <v/>
      </c>
      <c r="E3422" s="7">
        <v>0</v>
      </c>
      <c r="F3422" s="7" t="str">
        <f>IFERROR(
   INDEX(tbl_ProduitsRef[Prix Menu],MATCH(tbl_Ventes[[#This Row],[Produit]],tbl_ProduitsRef[Produit],0)),
   ""
)</f>
        <v/>
      </c>
      <c r="G3422" s="7">
        <f>tbl_Ventes[[#This Row],[Qté Vendue]] * IFERROR(_xlfn.XLOOKUP(tbl_Ventes[[#This Row],[Cde_Prdt]], tbl_Produits[Cde_Prdt], tbl_Produits[Prix Menu]), 0)</f>
        <v>0</v>
      </c>
      <c r="H3422" s="7">
        <f>IFERROR(_xlfn.XLOOKUP(tbl_Ventes[[#This Row],[Cde_Prdt]], tbl_Produits[Cde_Prdt], tbl_Produits[Coût Moyen Portion]), 0)</f>
        <v>0</v>
      </c>
      <c r="I3422" s="7">
        <f>tbl_Ventes[[#This Row],[Qté Vendue]] * tbl_Ventes[[#This Row],[CMP_par_portion]]</f>
        <v>0</v>
      </c>
      <c r="J3422" s="7">
        <f>tbl_Ventes[[#This Row],[CA ligne]] - tbl_Ventes[[#This Row],[Coût matière ligne]]</f>
        <v>0</v>
      </c>
      <c r="K3422" s="7" t="str">
        <f>IFERROR(INDEX(tbl_ProduitsRef[Famille], MATCH(tbl_Ventes[[#This Row],[Cde_Prdt]], tbl_Produits[Cde_Prdt], 0)), "")</f>
        <v/>
      </c>
    </row>
    <row r="3423" spans="1:11" x14ac:dyDescent="0.25">
      <c r="A3423" s="5"/>
      <c r="B3423" s="63" t="str">
        <f>IFERROR(TEXT(tbl_Ventes[[#This Row],[Date]],"mm-aaaa"),"")</f>
        <v>01-1900</v>
      </c>
      <c r="D3423" s="10" t="str">
        <f>IFERROR(
   INDEX(tbl_ProduitsRef[Cde_Prdt],MATCH(tbl_Ventes[[#This Row],[Produit]],tbl_ProduitsRef[Produit],0)),
   ""
)</f>
        <v/>
      </c>
      <c r="E3423" s="7">
        <v>0</v>
      </c>
      <c r="F3423" s="7" t="str">
        <f>IFERROR(
   INDEX(tbl_ProduitsRef[Prix Menu],MATCH(tbl_Ventes[[#This Row],[Produit]],tbl_ProduitsRef[Produit],0)),
   ""
)</f>
        <v/>
      </c>
      <c r="G3423" s="7">
        <f>tbl_Ventes[[#This Row],[Qté Vendue]] * IFERROR(_xlfn.XLOOKUP(tbl_Ventes[[#This Row],[Cde_Prdt]], tbl_Produits[Cde_Prdt], tbl_Produits[Prix Menu]), 0)</f>
        <v>0</v>
      </c>
      <c r="H3423" s="7">
        <f>IFERROR(_xlfn.XLOOKUP(tbl_Ventes[[#This Row],[Cde_Prdt]], tbl_Produits[Cde_Prdt], tbl_Produits[Coût Moyen Portion]), 0)</f>
        <v>0</v>
      </c>
      <c r="I3423" s="7">
        <f>tbl_Ventes[[#This Row],[Qté Vendue]] * tbl_Ventes[[#This Row],[CMP_par_portion]]</f>
        <v>0</v>
      </c>
      <c r="J3423" s="7">
        <f>tbl_Ventes[[#This Row],[CA ligne]] - tbl_Ventes[[#This Row],[Coût matière ligne]]</f>
        <v>0</v>
      </c>
      <c r="K3423" s="7" t="str">
        <f>IFERROR(INDEX(tbl_ProduitsRef[Famille], MATCH(tbl_Ventes[[#This Row],[Cde_Prdt]], tbl_Produits[Cde_Prdt], 0)), "")</f>
        <v/>
      </c>
    </row>
    <row r="3424" spans="1:11" x14ac:dyDescent="0.25">
      <c r="A3424" s="5"/>
      <c r="B3424" s="63" t="str">
        <f>IFERROR(TEXT(tbl_Ventes[[#This Row],[Date]],"mm-aaaa"),"")</f>
        <v>01-1900</v>
      </c>
      <c r="D3424" s="10" t="str">
        <f>IFERROR(
   INDEX(tbl_ProduitsRef[Cde_Prdt],MATCH(tbl_Ventes[[#This Row],[Produit]],tbl_ProduitsRef[Produit],0)),
   ""
)</f>
        <v/>
      </c>
      <c r="E3424" s="7">
        <v>0</v>
      </c>
      <c r="F3424" s="7" t="str">
        <f>IFERROR(
   INDEX(tbl_ProduitsRef[Prix Menu],MATCH(tbl_Ventes[[#This Row],[Produit]],tbl_ProduitsRef[Produit],0)),
   ""
)</f>
        <v/>
      </c>
      <c r="G3424" s="7">
        <f>tbl_Ventes[[#This Row],[Qté Vendue]] * IFERROR(_xlfn.XLOOKUP(tbl_Ventes[[#This Row],[Cde_Prdt]], tbl_Produits[Cde_Prdt], tbl_Produits[Prix Menu]), 0)</f>
        <v>0</v>
      </c>
      <c r="H3424" s="7">
        <f>IFERROR(_xlfn.XLOOKUP(tbl_Ventes[[#This Row],[Cde_Prdt]], tbl_Produits[Cde_Prdt], tbl_Produits[Coût Moyen Portion]), 0)</f>
        <v>0</v>
      </c>
      <c r="I3424" s="7">
        <f>tbl_Ventes[[#This Row],[Qté Vendue]] * tbl_Ventes[[#This Row],[CMP_par_portion]]</f>
        <v>0</v>
      </c>
      <c r="J3424" s="7">
        <f>tbl_Ventes[[#This Row],[CA ligne]] - tbl_Ventes[[#This Row],[Coût matière ligne]]</f>
        <v>0</v>
      </c>
      <c r="K3424" s="7" t="str">
        <f>IFERROR(INDEX(tbl_ProduitsRef[Famille], MATCH(tbl_Ventes[[#This Row],[Cde_Prdt]], tbl_Produits[Cde_Prdt], 0)), "")</f>
        <v/>
      </c>
    </row>
    <row r="3425" spans="1:11" x14ac:dyDescent="0.25">
      <c r="A3425" s="5"/>
      <c r="B3425" s="63" t="str">
        <f>IFERROR(TEXT(tbl_Ventes[[#This Row],[Date]],"mm-aaaa"),"")</f>
        <v>01-1900</v>
      </c>
      <c r="D3425" s="10" t="str">
        <f>IFERROR(
   INDEX(tbl_ProduitsRef[Cde_Prdt],MATCH(tbl_Ventes[[#This Row],[Produit]],tbl_ProduitsRef[Produit],0)),
   ""
)</f>
        <v/>
      </c>
      <c r="E3425" s="7">
        <v>0</v>
      </c>
      <c r="F3425" s="7" t="str">
        <f>IFERROR(
   INDEX(tbl_ProduitsRef[Prix Menu],MATCH(tbl_Ventes[[#This Row],[Produit]],tbl_ProduitsRef[Produit],0)),
   ""
)</f>
        <v/>
      </c>
      <c r="G3425" s="7">
        <f>tbl_Ventes[[#This Row],[Qté Vendue]] * IFERROR(_xlfn.XLOOKUP(tbl_Ventes[[#This Row],[Cde_Prdt]], tbl_Produits[Cde_Prdt], tbl_Produits[Prix Menu]), 0)</f>
        <v>0</v>
      </c>
      <c r="H3425" s="7">
        <f>IFERROR(_xlfn.XLOOKUP(tbl_Ventes[[#This Row],[Cde_Prdt]], tbl_Produits[Cde_Prdt], tbl_Produits[Coût Moyen Portion]), 0)</f>
        <v>0</v>
      </c>
      <c r="I3425" s="7">
        <f>tbl_Ventes[[#This Row],[Qté Vendue]] * tbl_Ventes[[#This Row],[CMP_par_portion]]</f>
        <v>0</v>
      </c>
      <c r="J3425" s="7">
        <f>tbl_Ventes[[#This Row],[CA ligne]] - tbl_Ventes[[#This Row],[Coût matière ligne]]</f>
        <v>0</v>
      </c>
      <c r="K3425" s="7" t="str">
        <f>IFERROR(INDEX(tbl_ProduitsRef[Famille], MATCH(tbl_Ventes[[#This Row],[Cde_Prdt]], tbl_Produits[Cde_Prdt], 0)), "")</f>
        <v/>
      </c>
    </row>
    <row r="3426" spans="1:11" x14ac:dyDescent="0.25">
      <c r="A3426" s="5"/>
      <c r="B3426" s="63" t="str">
        <f>IFERROR(TEXT(tbl_Ventes[[#This Row],[Date]],"mm-aaaa"),"")</f>
        <v>01-1900</v>
      </c>
      <c r="D3426" s="10" t="str">
        <f>IFERROR(
   INDEX(tbl_ProduitsRef[Cde_Prdt],MATCH(tbl_Ventes[[#This Row],[Produit]],tbl_ProduitsRef[Produit],0)),
   ""
)</f>
        <v/>
      </c>
      <c r="E3426" s="7">
        <v>0</v>
      </c>
      <c r="F3426" s="7" t="str">
        <f>IFERROR(
   INDEX(tbl_ProduitsRef[Prix Menu],MATCH(tbl_Ventes[[#This Row],[Produit]],tbl_ProduitsRef[Produit],0)),
   ""
)</f>
        <v/>
      </c>
      <c r="G3426" s="7">
        <f>tbl_Ventes[[#This Row],[Qté Vendue]] * IFERROR(_xlfn.XLOOKUP(tbl_Ventes[[#This Row],[Cde_Prdt]], tbl_Produits[Cde_Prdt], tbl_Produits[Prix Menu]), 0)</f>
        <v>0</v>
      </c>
      <c r="H3426" s="7">
        <f>IFERROR(_xlfn.XLOOKUP(tbl_Ventes[[#This Row],[Cde_Prdt]], tbl_Produits[Cde_Prdt], tbl_Produits[Coût Moyen Portion]), 0)</f>
        <v>0</v>
      </c>
      <c r="I3426" s="7">
        <f>tbl_Ventes[[#This Row],[Qté Vendue]] * tbl_Ventes[[#This Row],[CMP_par_portion]]</f>
        <v>0</v>
      </c>
      <c r="J3426" s="7">
        <f>tbl_Ventes[[#This Row],[CA ligne]] - tbl_Ventes[[#This Row],[Coût matière ligne]]</f>
        <v>0</v>
      </c>
      <c r="K3426" s="7" t="str">
        <f>IFERROR(INDEX(tbl_ProduitsRef[Famille], MATCH(tbl_Ventes[[#This Row],[Cde_Prdt]], tbl_Produits[Cde_Prdt], 0)), "")</f>
        <v/>
      </c>
    </row>
    <row r="3427" spans="1:11" x14ac:dyDescent="0.25">
      <c r="A3427" s="5"/>
      <c r="B3427" s="63" t="str">
        <f>IFERROR(TEXT(tbl_Ventes[[#This Row],[Date]],"mm-aaaa"),"")</f>
        <v>01-1900</v>
      </c>
      <c r="D3427" s="10" t="str">
        <f>IFERROR(
   INDEX(tbl_ProduitsRef[Cde_Prdt],MATCH(tbl_Ventes[[#This Row],[Produit]],tbl_ProduitsRef[Produit],0)),
   ""
)</f>
        <v/>
      </c>
      <c r="E3427" s="7">
        <v>0</v>
      </c>
      <c r="F3427" s="7" t="str">
        <f>IFERROR(
   INDEX(tbl_ProduitsRef[Prix Menu],MATCH(tbl_Ventes[[#This Row],[Produit]],tbl_ProduitsRef[Produit],0)),
   ""
)</f>
        <v/>
      </c>
      <c r="G3427" s="7">
        <f>tbl_Ventes[[#This Row],[Qté Vendue]] * IFERROR(_xlfn.XLOOKUP(tbl_Ventes[[#This Row],[Cde_Prdt]], tbl_Produits[Cde_Prdt], tbl_Produits[Prix Menu]), 0)</f>
        <v>0</v>
      </c>
      <c r="H3427" s="7">
        <f>IFERROR(_xlfn.XLOOKUP(tbl_Ventes[[#This Row],[Cde_Prdt]], tbl_Produits[Cde_Prdt], tbl_Produits[Coût Moyen Portion]), 0)</f>
        <v>0</v>
      </c>
      <c r="I3427" s="7">
        <f>tbl_Ventes[[#This Row],[Qté Vendue]] * tbl_Ventes[[#This Row],[CMP_par_portion]]</f>
        <v>0</v>
      </c>
      <c r="J3427" s="7">
        <f>tbl_Ventes[[#This Row],[CA ligne]] - tbl_Ventes[[#This Row],[Coût matière ligne]]</f>
        <v>0</v>
      </c>
      <c r="K3427" s="7" t="str">
        <f>IFERROR(INDEX(tbl_ProduitsRef[Famille], MATCH(tbl_Ventes[[#This Row],[Cde_Prdt]], tbl_Produits[Cde_Prdt], 0)), "")</f>
        <v/>
      </c>
    </row>
    <row r="3428" spans="1:11" x14ac:dyDescent="0.25">
      <c r="A3428" s="5"/>
      <c r="B3428" s="63" t="str">
        <f>IFERROR(TEXT(tbl_Ventes[[#This Row],[Date]],"mm-aaaa"),"")</f>
        <v>01-1900</v>
      </c>
      <c r="D3428" s="10" t="str">
        <f>IFERROR(
   INDEX(tbl_ProduitsRef[Cde_Prdt],MATCH(tbl_Ventes[[#This Row],[Produit]],tbl_ProduitsRef[Produit],0)),
   ""
)</f>
        <v/>
      </c>
      <c r="E3428" s="7">
        <v>0</v>
      </c>
      <c r="F3428" s="7" t="str">
        <f>IFERROR(
   INDEX(tbl_ProduitsRef[Prix Menu],MATCH(tbl_Ventes[[#This Row],[Produit]],tbl_ProduitsRef[Produit],0)),
   ""
)</f>
        <v/>
      </c>
      <c r="G3428" s="7">
        <f>tbl_Ventes[[#This Row],[Qté Vendue]] * IFERROR(_xlfn.XLOOKUP(tbl_Ventes[[#This Row],[Cde_Prdt]], tbl_Produits[Cde_Prdt], tbl_Produits[Prix Menu]), 0)</f>
        <v>0</v>
      </c>
      <c r="H3428" s="7">
        <f>IFERROR(_xlfn.XLOOKUP(tbl_Ventes[[#This Row],[Cde_Prdt]], tbl_Produits[Cde_Prdt], tbl_Produits[Coût Moyen Portion]), 0)</f>
        <v>0</v>
      </c>
      <c r="I3428" s="7">
        <f>tbl_Ventes[[#This Row],[Qté Vendue]] * tbl_Ventes[[#This Row],[CMP_par_portion]]</f>
        <v>0</v>
      </c>
      <c r="J3428" s="7">
        <f>tbl_Ventes[[#This Row],[CA ligne]] - tbl_Ventes[[#This Row],[Coût matière ligne]]</f>
        <v>0</v>
      </c>
      <c r="K3428" s="7" t="str">
        <f>IFERROR(INDEX(tbl_ProduitsRef[Famille], MATCH(tbl_Ventes[[#This Row],[Cde_Prdt]], tbl_Produits[Cde_Prdt], 0)), "")</f>
        <v/>
      </c>
    </row>
    <row r="3429" spans="1:11" x14ac:dyDescent="0.25">
      <c r="A3429" s="5"/>
      <c r="B3429" s="63" t="str">
        <f>IFERROR(TEXT(tbl_Ventes[[#This Row],[Date]],"mm-aaaa"),"")</f>
        <v>01-1900</v>
      </c>
      <c r="D3429" s="10" t="str">
        <f>IFERROR(
   INDEX(tbl_ProduitsRef[Cde_Prdt],MATCH(tbl_Ventes[[#This Row],[Produit]],tbl_ProduitsRef[Produit],0)),
   ""
)</f>
        <v/>
      </c>
      <c r="E3429" s="7">
        <v>0</v>
      </c>
      <c r="F3429" s="7" t="str">
        <f>IFERROR(
   INDEX(tbl_ProduitsRef[Prix Menu],MATCH(tbl_Ventes[[#This Row],[Produit]],tbl_ProduitsRef[Produit],0)),
   ""
)</f>
        <v/>
      </c>
      <c r="G3429" s="7">
        <f>tbl_Ventes[[#This Row],[Qté Vendue]] * IFERROR(_xlfn.XLOOKUP(tbl_Ventes[[#This Row],[Cde_Prdt]], tbl_Produits[Cde_Prdt], tbl_Produits[Prix Menu]), 0)</f>
        <v>0</v>
      </c>
      <c r="H3429" s="7">
        <f>IFERROR(_xlfn.XLOOKUP(tbl_Ventes[[#This Row],[Cde_Prdt]], tbl_Produits[Cde_Prdt], tbl_Produits[Coût Moyen Portion]), 0)</f>
        <v>0</v>
      </c>
      <c r="I3429" s="7">
        <f>tbl_Ventes[[#This Row],[Qté Vendue]] * tbl_Ventes[[#This Row],[CMP_par_portion]]</f>
        <v>0</v>
      </c>
      <c r="J3429" s="7">
        <f>tbl_Ventes[[#This Row],[CA ligne]] - tbl_Ventes[[#This Row],[Coût matière ligne]]</f>
        <v>0</v>
      </c>
      <c r="K3429" s="7" t="str">
        <f>IFERROR(INDEX(tbl_ProduitsRef[Famille], MATCH(tbl_Ventes[[#This Row],[Cde_Prdt]], tbl_Produits[Cde_Prdt], 0)), "")</f>
        <v/>
      </c>
    </row>
    <row r="3430" spans="1:11" x14ac:dyDescent="0.25">
      <c r="A3430" s="5"/>
      <c r="B3430" s="63" t="str">
        <f>IFERROR(TEXT(tbl_Ventes[[#This Row],[Date]],"mm-aaaa"),"")</f>
        <v>01-1900</v>
      </c>
      <c r="D3430" s="10" t="str">
        <f>IFERROR(
   INDEX(tbl_ProduitsRef[Cde_Prdt],MATCH(tbl_Ventes[[#This Row],[Produit]],tbl_ProduitsRef[Produit],0)),
   ""
)</f>
        <v/>
      </c>
      <c r="E3430" s="7">
        <v>0</v>
      </c>
      <c r="F3430" s="7" t="str">
        <f>IFERROR(
   INDEX(tbl_ProduitsRef[Prix Menu],MATCH(tbl_Ventes[[#This Row],[Produit]],tbl_ProduitsRef[Produit],0)),
   ""
)</f>
        <v/>
      </c>
      <c r="G3430" s="7">
        <f>tbl_Ventes[[#This Row],[Qté Vendue]] * IFERROR(_xlfn.XLOOKUP(tbl_Ventes[[#This Row],[Cde_Prdt]], tbl_Produits[Cde_Prdt], tbl_Produits[Prix Menu]), 0)</f>
        <v>0</v>
      </c>
      <c r="H3430" s="7">
        <f>IFERROR(_xlfn.XLOOKUP(tbl_Ventes[[#This Row],[Cde_Prdt]], tbl_Produits[Cde_Prdt], tbl_Produits[Coût Moyen Portion]), 0)</f>
        <v>0</v>
      </c>
      <c r="I3430" s="7">
        <f>tbl_Ventes[[#This Row],[Qté Vendue]] * tbl_Ventes[[#This Row],[CMP_par_portion]]</f>
        <v>0</v>
      </c>
      <c r="J3430" s="7">
        <f>tbl_Ventes[[#This Row],[CA ligne]] - tbl_Ventes[[#This Row],[Coût matière ligne]]</f>
        <v>0</v>
      </c>
      <c r="K3430" s="7" t="str">
        <f>IFERROR(INDEX(tbl_ProduitsRef[Famille], MATCH(tbl_Ventes[[#This Row],[Cde_Prdt]], tbl_Produits[Cde_Prdt], 0)), "")</f>
        <v/>
      </c>
    </row>
    <row r="3431" spans="1:11" x14ac:dyDescent="0.25">
      <c r="A3431" s="5"/>
      <c r="B3431" s="63" t="str">
        <f>IFERROR(TEXT(tbl_Ventes[[#This Row],[Date]],"mm-aaaa"),"")</f>
        <v>01-1900</v>
      </c>
      <c r="D3431" s="10" t="str">
        <f>IFERROR(
   INDEX(tbl_ProduitsRef[Cde_Prdt],MATCH(tbl_Ventes[[#This Row],[Produit]],tbl_ProduitsRef[Produit],0)),
   ""
)</f>
        <v/>
      </c>
      <c r="E3431" s="7">
        <v>0</v>
      </c>
      <c r="F3431" s="7" t="str">
        <f>IFERROR(
   INDEX(tbl_ProduitsRef[Prix Menu],MATCH(tbl_Ventes[[#This Row],[Produit]],tbl_ProduitsRef[Produit],0)),
   ""
)</f>
        <v/>
      </c>
      <c r="G3431" s="7">
        <f>tbl_Ventes[[#This Row],[Qté Vendue]] * IFERROR(_xlfn.XLOOKUP(tbl_Ventes[[#This Row],[Cde_Prdt]], tbl_Produits[Cde_Prdt], tbl_Produits[Prix Menu]), 0)</f>
        <v>0</v>
      </c>
      <c r="H3431" s="7">
        <f>IFERROR(_xlfn.XLOOKUP(tbl_Ventes[[#This Row],[Cde_Prdt]], tbl_Produits[Cde_Prdt], tbl_Produits[Coût Moyen Portion]), 0)</f>
        <v>0</v>
      </c>
      <c r="I3431" s="7">
        <f>tbl_Ventes[[#This Row],[Qté Vendue]] * tbl_Ventes[[#This Row],[CMP_par_portion]]</f>
        <v>0</v>
      </c>
      <c r="J3431" s="7">
        <f>tbl_Ventes[[#This Row],[CA ligne]] - tbl_Ventes[[#This Row],[Coût matière ligne]]</f>
        <v>0</v>
      </c>
      <c r="K3431" s="7" t="str">
        <f>IFERROR(INDEX(tbl_ProduitsRef[Famille], MATCH(tbl_Ventes[[#This Row],[Cde_Prdt]], tbl_Produits[Cde_Prdt], 0)), "")</f>
        <v/>
      </c>
    </row>
    <row r="3432" spans="1:11" x14ac:dyDescent="0.25">
      <c r="A3432" s="5"/>
      <c r="B3432" s="63" t="str">
        <f>IFERROR(TEXT(tbl_Ventes[[#This Row],[Date]],"mm-aaaa"),"")</f>
        <v>01-1900</v>
      </c>
      <c r="D3432" s="10" t="str">
        <f>IFERROR(
   INDEX(tbl_ProduitsRef[Cde_Prdt],MATCH(tbl_Ventes[[#This Row],[Produit]],tbl_ProduitsRef[Produit],0)),
   ""
)</f>
        <v/>
      </c>
      <c r="E3432" s="7">
        <v>0</v>
      </c>
      <c r="F3432" s="7" t="str">
        <f>IFERROR(
   INDEX(tbl_ProduitsRef[Prix Menu],MATCH(tbl_Ventes[[#This Row],[Produit]],tbl_ProduitsRef[Produit],0)),
   ""
)</f>
        <v/>
      </c>
      <c r="G3432" s="7">
        <f>tbl_Ventes[[#This Row],[Qté Vendue]] * IFERROR(_xlfn.XLOOKUP(tbl_Ventes[[#This Row],[Cde_Prdt]], tbl_Produits[Cde_Prdt], tbl_Produits[Prix Menu]), 0)</f>
        <v>0</v>
      </c>
      <c r="H3432" s="7">
        <f>IFERROR(_xlfn.XLOOKUP(tbl_Ventes[[#This Row],[Cde_Prdt]], tbl_Produits[Cde_Prdt], tbl_Produits[Coût Moyen Portion]), 0)</f>
        <v>0</v>
      </c>
      <c r="I3432" s="7">
        <f>tbl_Ventes[[#This Row],[Qté Vendue]] * tbl_Ventes[[#This Row],[CMP_par_portion]]</f>
        <v>0</v>
      </c>
      <c r="J3432" s="7">
        <f>tbl_Ventes[[#This Row],[CA ligne]] - tbl_Ventes[[#This Row],[Coût matière ligne]]</f>
        <v>0</v>
      </c>
      <c r="K3432" s="7" t="str">
        <f>IFERROR(INDEX(tbl_ProduitsRef[Famille], MATCH(tbl_Ventes[[#This Row],[Cde_Prdt]], tbl_Produits[Cde_Prdt], 0)), "")</f>
        <v/>
      </c>
    </row>
    <row r="3433" spans="1:11" x14ac:dyDescent="0.25">
      <c r="A3433" s="5"/>
      <c r="B3433" s="63" t="str">
        <f>IFERROR(TEXT(tbl_Ventes[[#This Row],[Date]],"mm-aaaa"),"")</f>
        <v>01-1900</v>
      </c>
      <c r="D3433" s="10" t="str">
        <f>IFERROR(
   INDEX(tbl_ProduitsRef[Cde_Prdt],MATCH(tbl_Ventes[[#This Row],[Produit]],tbl_ProduitsRef[Produit],0)),
   ""
)</f>
        <v/>
      </c>
      <c r="E3433" s="7">
        <v>0</v>
      </c>
      <c r="F3433" s="7" t="str">
        <f>IFERROR(
   INDEX(tbl_ProduitsRef[Prix Menu],MATCH(tbl_Ventes[[#This Row],[Produit]],tbl_ProduitsRef[Produit],0)),
   ""
)</f>
        <v/>
      </c>
      <c r="G3433" s="7">
        <f>tbl_Ventes[[#This Row],[Qté Vendue]] * IFERROR(_xlfn.XLOOKUP(tbl_Ventes[[#This Row],[Cde_Prdt]], tbl_Produits[Cde_Prdt], tbl_Produits[Prix Menu]), 0)</f>
        <v>0</v>
      </c>
      <c r="H3433" s="7">
        <f>IFERROR(_xlfn.XLOOKUP(tbl_Ventes[[#This Row],[Cde_Prdt]], tbl_Produits[Cde_Prdt], tbl_Produits[Coût Moyen Portion]), 0)</f>
        <v>0</v>
      </c>
      <c r="I3433" s="7">
        <f>tbl_Ventes[[#This Row],[Qté Vendue]] * tbl_Ventes[[#This Row],[CMP_par_portion]]</f>
        <v>0</v>
      </c>
      <c r="J3433" s="7">
        <f>tbl_Ventes[[#This Row],[CA ligne]] - tbl_Ventes[[#This Row],[Coût matière ligne]]</f>
        <v>0</v>
      </c>
      <c r="K3433" s="7" t="str">
        <f>IFERROR(INDEX(tbl_ProduitsRef[Famille], MATCH(tbl_Ventes[[#This Row],[Cde_Prdt]], tbl_Produits[Cde_Prdt], 0)), "")</f>
        <v/>
      </c>
    </row>
    <row r="3434" spans="1:11" x14ac:dyDescent="0.25">
      <c r="A3434" s="5"/>
      <c r="B3434" s="63" t="str">
        <f>IFERROR(TEXT(tbl_Ventes[[#This Row],[Date]],"mm-aaaa"),"")</f>
        <v>01-1900</v>
      </c>
      <c r="D3434" s="10" t="str">
        <f>IFERROR(
   INDEX(tbl_ProduitsRef[Cde_Prdt],MATCH(tbl_Ventes[[#This Row],[Produit]],tbl_ProduitsRef[Produit],0)),
   ""
)</f>
        <v/>
      </c>
      <c r="E3434" s="7">
        <v>0</v>
      </c>
      <c r="F3434" s="7" t="str">
        <f>IFERROR(
   INDEX(tbl_ProduitsRef[Prix Menu],MATCH(tbl_Ventes[[#This Row],[Produit]],tbl_ProduitsRef[Produit],0)),
   ""
)</f>
        <v/>
      </c>
      <c r="G3434" s="7">
        <f>tbl_Ventes[[#This Row],[Qté Vendue]] * IFERROR(_xlfn.XLOOKUP(tbl_Ventes[[#This Row],[Cde_Prdt]], tbl_Produits[Cde_Prdt], tbl_Produits[Prix Menu]), 0)</f>
        <v>0</v>
      </c>
      <c r="H3434" s="7">
        <f>IFERROR(_xlfn.XLOOKUP(tbl_Ventes[[#This Row],[Cde_Prdt]], tbl_Produits[Cde_Prdt], tbl_Produits[Coût Moyen Portion]), 0)</f>
        <v>0</v>
      </c>
      <c r="I3434" s="7">
        <f>tbl_Ventes[[#This Row],[Qté Vendue]] * tbl_Ventes[[#This Row],[CMP_par_portion]]</f>
        <v>0</v>
      </c>
      <c r="J3434" s="7">
        <f>tbl_Ventes[[#This Row],[CA ligne]] - tbl_Ventes[[#This Row],[Coût matière ligne]]</f>
        <v>0</v>
      </c>
      <c r="K3434" s="7" t="str">
        <f>IFERROR(INDEX(tbl_ProduitsRef[Famille], MATCH(tbl_Ventes[[#This Row],[Cde_Prdt]], tbl_Produits[Cde_Prdt], 0)), "")</f>
        <v/>
      </c>
    </row>
    <row r="3435" spans="1:11" x14ac:dyDescent="0.25">
      <c r="A3435" s="5"/>
      <c r="B3435" s="63" t="str">
        <f>IFERROR(TEXT(tbl_Ventes[[#This Row],[Date]],"mm-aaaa"),"")</f>
        <v>01-1900</v>
      </c>
      <c r="D3435" s="10" t="str">
        <f>IFERROR(
   INDEX(tbl_ProduitsRef[Cde_Prdt],MATCH(tbl_Ventes[[#This Row],[Produit]],tbl_ProduitsRef[Produit],0)),
   ""
)</f>
        <v/>
      </c>
      <c r="E3435" s="7">
        <v>0</v>
      </c>
      <c r="F3435" s="7" t="str">
        <f>IFERROR(
   INDEX(tbl_ProduitsRef[Prix Menu],MATCH(tbl_Ventes[[#This Row],[Produit]],tbl_ProduitsRef[Produit],0)),
   ""
)</f>
        <v/>
      </c>
      <c r="G3435" s="7">
        <f>tbl_Ventes[[#This Row],[Qté Vendue]] * IFERROR(_xlfn.XLOOKUP(tbl_Ventes[[#This Row],[Cde_Prdt]], tbl_Produits[Cde_Prdt], tbl_Produits[Prix Menu]), 0)</f>
        <v>0</v>
      </c>
      <c r="H3435" s="7">
        <f>IFERROR(_xlfn.XLOOKUP(tbl_Ventes[[#This Row],[Cde_Prdt]], tbl_Produits[Cde_Prdt], tbl_Produits[Coût Moyen Portion]), 0)</f>
        <v>0</v>
      </c>
      <c r="I3435" s="7">
        <f>tbl_Ventes[[#This Row],[Qté Vendue]] * tbl_Ventes[[#This Row],[CMP_par_portion]]</f>
        <v>0</v>
      </c>
      <c r="J3435" s="7">
        <f>tbl_Ventes[[#This Row],[CA ligne]] - tbl_Ventes[[#This Row],[Coût matière ligne]]</f>
        <v>0</v>
      </c>
      <c r="K3435" s="7" t="str">
        <f>IFERROR(INDEX(tbl_ProduitsRef[Famille], MATCH(tbl_Ventes[[#This Row],[Cde_Prdt]], tbl_Produits[Cde_Prdt], 0)), "")</f>
        <v/>
      </c>
    </row>
    <row r="3436" spans="1:11" x14ac:dyDescent="0.25">
      <c r="A3436" s="5"/>
      <c r="B3436" s="63" t="str">
        <f>IFERROR(TEXT(tbl_Ventes[[#This Row],[Date]],"mm-aaaa"),"")</f>
        <v>01-1900</v>
      </c>
      <c r="D3436" s="10" t="str">
        <f>IFERROR(
   INDEX(tbl_ProduitsRef[Cde_Prdt],MATCH(tbl_Ventes[[#This Row],[Produit]],tbl_ProduitsRef[Produit],0)),
   ""
)</f>
        <v/>
      </c>
      <c r="E3436" s="7">
        <v>0</v>
      </c>
      <c r="F3436" s="7" t="str">
        <f>IFERROR(
   INDEX(tbl_ProduitsRef[Prix Menu],MATCH(tbl_Ventes[[#This Row],[Produit]],tbl_ProduitsRef[Produit],0)),
   ""
)</f>
        <v/>
      </c>
      <c r="G3436" s="7">
        <f>tbl_Ventes[[#This Row],[Qté Vendue]] * IFERROR(_xlfn.XLOOKUP(tbl_Ventes[[#This Row],[Cde_Prdt]], tbl_Produits[Cde_Prdt], tbl_Produits[Prix Menu]), 0)</f>
        <v>0</v>
      </c>
      <c r="H3436" s="7">
        <f>IFERROR(_xlfn.XLOOKUP(tbl_Ventes[[#This Row],[Cde_Prdt]], tbl_Produits[Cde_Prdt], tbl_Produits[Coût Moyen Portion]), 0)</f>
        <v>0</v>
      </c>
      <c r="I3436" s="7">
        <f>tbl_Ventes[[#This Row],[Qté Vendue]] * tbl_Ventes[[#This Row],[CMP_par_portion]]</f>
        <v>0</v>
      </c>
      <c r="J3436" s="7">
        <f>tbl_Ventes[[#This Row],[CA ligne]] - tbl_Ventes[[#This Row],[Coût matière ligne]]</f>
        <v>0</v>
      </c>
      <c r="K3436" s="7" t="str">
        <f>IFERROR(INDEX(tbl_ProduitsRef[Famille], MATCH(tbl_Ventes[[#This Row],[Cde_Prdt]], tbl_Produits[Cde_Prdt], 0)), "")</f>
        <v/>
      </c>
    </row>
    <row r="3437" spans="1:11" x14ac:dyDescent="0.25">
      <c r="A3437" s="5"/>
      <c r="B3437" s="63" t="str">
        <f>IFERROR(TEXT(tbl_Ventes[[#This Row],[Date]],"mm-aaaa"),"")</f>
        <v>01-1900</v>
      </c>
      <c r="D3437" s="10" t="str">
        <f>IFERROR(
   INDEX(tbl_ProduitsRef[Cde_Prdt],MATCH(tbl_Ventes[[#This Row],[Produit]],tbl_ProduitsRef[Produit],0)),
   ""
)</f>
        <v/>
      </c>
      <c r="E3437" s="7">
        <v>0</v>
      </c>
      <c r="F3437" s="7" t="str">
        <f>IFERROR(
   INDEX(tbl_ProduitsRef[Prix Menu],MATCH(tbl_Ventes[[#This Row],[Produit]],tbl_ProduitsRef[Produit],0)),
   ""
)</f>
        <v/>
      </c>
      <c r="G3437" s="7">
        <f>tbl_Ventes[[#This Row],[Qté Vendue]] * IFERROR(_xlfn.XLOOKUP(tbl_Ventes[[#This Row],[Cde_Prdt]], tbl_Produits[Cde_Prdt], tbl_Produits[Prix Menu]), 0)</f>
        <v>0</v>
      </c>
      <c r="H3437" s="7">
        <f>IFERROR(_xlfn.XLOOKUP(tbl_Ventes[[#This Row],[Cde_Prdt]], tbl_Produits[Cde_Prdt], tbl_Produits[Coût Moyen Portion]), 0)</f>
        <v>0</v>
      </c>
      <c r="I3437" s="7">
        <f>tbl_Ventes[[#This Row],[Qté Vendue]] * tbl_Ventes[[#This Row],[CMP_par_portion]]</f>
        <v>0</v>
      </c>
      <c r="J3437" s="7">
        <f>tbl_Ventes[[#This Row],[CA ligne]] - tbl_Ventes[[#This Row],[Coût matière ligne]]</f>
        <v>0</v>
      </c>
      <c r="K3437" s="7" t="str">
        <f>IFERROR(INDEX(tbl_ProduitsRef[Famille], MATCH(tbl_Ventes[[#This Row],[Cde_Prdt]], tbl_Produits[Cde_Prdt], 0)), "")</f>
        <v/>
      </c>
    </row>
    <row r="3438" spans="1:11" x14ac:dyDescent="0.25">
      <c r="A3438" s="5"/>
      <c r="B3438" s="63" t="str">
        <f>IFERROR(TEXT(tbl_Ventes[[#This Row],[Date]],"mm-aaaa"),"")</f>
        <v>01-1900</v>
      </c>
      <c r="D3438" s="10" t="str">
        <f>IFERROR(
   INDEX(tbl_ProduitsRef[Cde_Prdt],MATCH(tbl_Ventes[[#This Row],[Produit]],tbl_ProduitsRef[Produit],0)),
   ""
)</f>
        <v/>
      </c>
      <c r="E3438" s="7">
        <v>0</v>
      </c>
      <c r="F3438" s="7" t="str">
        <f>IFERROR(
   INDEX(tbl_ProduitsRef[Prix Menu],MATCH(tbl_Ventes[[#This Row],[Produit]],tbl_ProduitsRef[Produit],0)),
   ""
)</f>
        <v/>
      </c>
      <c r="G3438" s="7">
        <f>tbl_Ventes[[#This Row],[Qté Vendue]] * IFERROR(_xlfn.XLOOKUP(tbl_Ventes[[#This Row],[Cde_Prdt]], tbl_Produits[Cde_Prdt], tbl_Produits[Prix Menu]), 0)</f>
        <v>0</v>
      </c>
      <c r="H3438" s="7">
        <f>IFERROR(_xlfn.XLOOKUP(tbl_Ventes[[#This Row],[Cde_Prdt]], tbl_Produits[Cde_Prdt], tbl_Produits[Coût Moyen Portion]), 0)</f>
        <v>0</v>
      </c>
      <c r="I3438" s="7">
        <f>tbl_Ventes[[#This Row],[Qté Vendue]] * tbl_Ventes[[#This Row],[CMP_par_portion]]</f>
        <v>0</v>
      </c>
      <c r="J3438" s="7">
        <f>tbl_Ventes[[#This Row],[CA ligne]] - tbl_Ventes[[#This Row],[Coût matière ligne]]</f>
        <v>0</v>
      </c>
      <c r="K3438" s="7" t="str">
        <f>IFERROR(INDEX(tbl_ProduitsRef[Famille], MATCH(tbl_Ventes[[#This Row],[Cde_Prdt]], tbl_Produits[Cde_Prdt], 0)), "")</f>
        <v/>
      </c>
    </row>
    <row r="3439" spans="1:11" x14ac:dyDescent="0.25">
      <c r="A3439" s="5"/>
      <c r="B3439" s="63" t="str">
        <f>IFERROR(TEXT(tbl_Ventes[[#This Row],[Date]],"mm-aaaa"),"")</f>
        <v>01-1900</v>
      </c>
      <c r="D3439" s="10" t="str">
        <f>IFERROR(
   INDEX(tbl_ProduitsRef[Cde_Prdt],MATCH(tbl_Ventes[[#This Row],[Produit]],tbl_ProduitsRef[Produit],0)),
   ""
)</f>
        <v/>
      </c>
      <c r="E3439" s="7">
        <v>0</v>
      </c>
      <c r="F3439" s="7" t="str">
        <f>IFERROR(
   INDEX(tbl_ProduitsRef[Prix Menu],MATCH(tbl_Ventes[[#This Row],[Produit]],tbl_ProduitsRef[Produit],0)),
   ""
)</f>
        <v/>
      </c>
      <c r="G3439" s="7">
        <f>tbl_Ventes[[#This Row],[Qté Vendue]] * IFERROR(_xlfn.XLOOKUP(tbl_Ventes[[#This Row],[Cde_Prdt]], tbl_Produits[Cde_Prdt], tbl_Produits[Prix Menu]), 0)</f>
        <v>0</v>
      </c>
      <c r="H3439" s="7">
        <f>IFERROR(_xlfn.XLOOKUP(tbl_Ventes[[#This Row],[Cde_Prdt]], tbl_Produits[Cde_Prdt], tbl_Produits[Coût Moyen Portion]), 0)</f>
        <v>0</v>
      </c>
      <c r="I3439" s="7">
        <f>tbl_Ventes[[#This Row],[Qté Vendue]] * tbl_Ventes[[#This Row],[CMP_par_portion]]</f>
        <v>0</v>
      </c>
      <c r="J3439" s="7">
        <f>tbl_Ventes[[#This Row],[CA ligne]] - tbl_Ventes[[#This Row],[Coût matière ligne]]</f>
        <v>0</v>
      </c>
      <c r="K3439" s="7" t="str">
        <f>IFERROR(INDEX(tbl_ProduitsRef[Famille], MATCH(tbl_Ventes[[#This Row],[Cde_Prdt]], tbl_Produits[Cde_Prdt], 0)), "")</f>
        <v/>
      </c>
    </row>
    <row r="3440" spans="1:11" x14ac:dyDescent="0.25">
      <c r="A3440" s="5"/>
      <c r="B3440" s="63" t="str">
        <f>IFERROR(TEXT(tbl_Ventes[[#This Row],[Date]],"mm-aaaa"),"")</f>
        <v>01-1900</v>
      </c>
      <c r="D3440" s="10" t="str">
        <f>IFERROR(
   INDEX(tbl_ProduitsRef[Cde_Prdt],MATCH(tbl_Ventes[[#This Row],[Produit]],tbl_ProduitsRef[Produit],0)),
   ""
)</f>
        <v/>
      </c>
      <c r="E3440" s="7">
        <v>0</v>
      </c>
      <c r="F3440" s="7" t="str">
        <f>IFERROR(
   INDEX(tbl_ProduitsRef[Prix Menu],MATCH(tbl_Ventes[[#This Row],[Produit]],tbl_ProduitsRef[Produit],0)),
   ""
)</f>
        <v/>
      </c>
      <c r="G3440" s="7">
        <f>tbl_Ventes[[#This Row],[Qté Vendue]] * IFERROR(_xlfn.XLOOKUP(tbl_Ventes[[#This Row],[Cde_Prdt]], tbl_Produits[Cde_Prdt], tbl_Produits[Prix Menu]), 0)</f>
        <v>0</v>
      </c>
      <c r="H3440" s="7">
        <f>IFERROR(_xlfn.XLOOKUP(tbl_Ventes[[#This Row],[Cde_Prdt]], tbl_Produits[Cde_Prdt], tbl_Produits[Coût Moyen Portion]), 0)</f>
        <v>0</v>
      </c>
      <c r="I3440" s="7">
        <f>tbl_Ventes[[#This Row],[Qté Vendue]] * tbl_Ventes[[#This Row],[CMP_par_portion]]</f>
        <v>0</v>
      </c>
      <c r="J3440" s="7">
        <f>tbl_Ventes[[#This Row],[CA ligne]] - tbl_Ventes[[#This Row],[Coût matière ligne]]</f>
        <v>0</v>
      </c>
      <c r="K3440" s="7" t="str">
        <f>IFERROR(INDEX(tbl_ProduitsRef[Famille], MATCH(tbl_Ventes[[#This Row],[Cde_Prdt]], tbl_Produits[Cde_Prdt], 0)), "")</f>
        <v/>
      </c>
    </row>
    <row r="3441" spans="1:11" x14ac:dyDescent="0.25">
      <c r="A3441" s="5"/>
      <c r="B3441" s="63" t="str">
        <f>IFERROR(TEXT(tbl_Ventes[[#This Row],[Date]],"mm-aaaa"),"")</f>
        <v>01-1900</v>
      </c>
      <c r="D3441" s="10" t="str">
        <f>IFERROR(
   INDEX(tbl_ProduitsRef[Cde_Prdt],MATCH(tbl_Ventes[[#This Row],[Produit]],tbl_ProduitsRef[Produit],0)),
   ""
)</f>
        <v/>
      </c>
      <c r="E3441" s="7">
        <v>0</v>
      </c>
      <c r="F3441" s="7" t="str">
        <f>IFERROR(
   INDEX(tbl_ProduitsRef[Prix Menu],MATCH(tbl_Ventes[[#This Row],[Produit]],tbl_ProduitsRef[Produit],0)),
   ""
)</f>
        <v/>
      </c>
      <c r="G3441" s="7">
        <f>tbl_Ventes[[#This Row],[Qté Vendue]] * IFERROR(_xlfn.XLOOKUP(tbl_Ventes[[#This Row],[Cde_Prdt]], tbl_Produits[Cde_Prdt], tbl_Produits[Prix Menu]), 0)</f>
        <v>0</v>
      </c>
      <c r="H3441" s="7">
        <f>IFERROR(_xlfn.XLOOKUP(tbl_Ventes[[#This Row],[Cde_Prdt]], tbl_Produits[Cde_Prdt], tbl_Produits[Coût Moyen Portion]), 0)</f>
        <v>0</v>
      </c>
      <c r="I3441" s="7">
        <f>tbl_Ventes[[#This Row],[Qté Vendue]] * tbl_Ventes[[#This Row],[CMP_par_portion]]</f>
        <v>0</v>
      </c>
      <c r="J3441" s="7">
        <f>tbl_Ventes[[#This Row],[CA ligne]] - tbl_Ventes[[#This Row],[Coût matière ligne]]</f>
        <v>0</v>
      </c>
      <c r="K3441" s="7" t="str">
        <f>IFERROR(INDEX(tbl_ProduitsRef[Famille], MATCH(tbl_Ventes[[#This Row],[Cde_Prdt]], tbl_Produits[Cde_Prdt], 0)), "")</f>
        <v/>
      </c>
    </row>
    <row r="3442" spans="1:11" x14ac:dyDescent="0.25">
      <c r="A3442" s="5"/>
      <c r="B3442" s="63" t="str">
        <f>IFERROR(TEXT(tbl_Ventes[[#This Row],[Date]],"mm-aaaa"),"")</f>
        <v>01-1900</v>
      </c>
      <c r="D3442" s="10" t="str">
        <f>IFERROR(
   INDEX(tbl_ProduitsRef[Cde_Prdt],MATCH(tbl_Ventes[[#This Row],[Produit]],tbl_ProduitsRef[Produit],0)),
   ""
)</f>
        <v/>
      </c>
      <c r="E3442" s="7">
        <v>0</v>
      </c>
      <c r="F3442" s="7" t="str">
        <f>IFERROR(
   INDEX(tbl_ProduitsRef[Prix Menu],MATCH(tbl_Ventes[[#This Row],[Produit]],tbl_ProduitsRef[Produit],0)),
   ""
)</f>
        <v/>
      </c>
      <c r="G3442" s="7">
        <f>tbl_Ventes[[#This Row],[Qté Vendue]] * IFERROR(_xlfn.XLOOKUP(tbl_Ventes[[#This Row],[Cde_Prdt]], tbl_Produits[Cde_Prdt], tbl_Produits[Prix Menu]), 0)</f>
        <v>0</v>
      </c>
      <c r="H3442" s="7">
        <f>IFERROR(_xlfn.XLOOKUP(tbl_Ventes[[#This Row],[Cde_Prdt]], tbl_Produits[Cde_Prdt], tbl_Produits[Coût Moyen Portion]), 0)</f>
        <v>0</v>
      </c>
      <c r="I3442" s="7">
        <f>tbl_Ventes[[#This Row],[Qté Vendue]] * tbl_Ventes[[#This Row],[CMP_par_portion]]</f>
        <v>0</v>
      </c>
      <c r="J3442" s="7">
        <f>tbl_Ventes[[#This Row],[CA ligne]] - tbl_Ventes[[#This Row],[Coût matière ligne]]</f>
        <v>0</v>
      </c>
      <c r="K3442" s="7" t="str">
        <f>IFERROR(INDEX(tbl_ProduitsRef[Famille], MATCH(tbl_Ventes[[#This Row],[Cde_Prdt]], tbl_Produits[Cde_Prdt], 0)), "")</f>
        <v/>
      </c>
    </row>
    <row r="3443" spans="1:11" x14ac:dyDescent="0.25">
      <c r="A3443" s="5"/>
      <c r="B3443" s="63" t="str">
        <f>IFERROR(TEXT(tbl_Ventes[[#This Row],[Date]],"mm-aaaa"),"")</f>
        <v>01-1900</v>
      </c>
      <c r="D3443" s="10" t="str">
        <f>IFERROR(
   INDEX(tbl_ProduitsRef[Cde_Prdt],MATCH(tbl_Ventes[[#This Row],[Produit]],tbl_ProduitsRef[Produit],0)),
   ""
)</f>
        <v/>
      </c>
      <c r="E3443" s="7">
        <v>0</v>
      </c>
      <c r="F3443" s="7" t="str">
        <f>IFERROR(
   INDEX(tbl_ProduitsRef[Prix Menu],MATCH(tbl_Ventes[[#This Row],[Produit]],tbl_ProduitsRef[Produit],0)),
   ""
)</f>
        <v/>
      </c>
      <c r="G3443" s="7">
        <f>tbl_Ventes[[#This Row],[Qté Vendue]] * IFERROR(_xlfn.XLOOKUP(tbl_Ventes[[#This Row],[Cde_Prdt]], tbl_Produits[Cde_Prdt], tbl_Produits[Prix Menu]), 0)</f>
        <v>0</v>
      </c>
      <c r="H3443" s="7">
        <f>IFERROR(_xlfn.XLOOKUP(tbl_Ventes[[#This Row],[Cde_Prdt]], tbl_Produits[Cde_Prdt], tbl_Produits[Coût Moyen Portion]), 0)</f>
        <v>0</v>
      </c>
      <c r="I3443" s="7">
        <f>tbl_Ventes[[#This Row],[Qté Vendue]] * tbl_Ventes[[#This Row],[CMP_par_portion]]</f>
        <v>0</v>
      </c>
      <c r="J3443" s="7">
        <f>tbl_Ventes[[#This Row],[CA ligne]] - tbl_Ventes[[#This Row],[Coût matière ligne]]</f>
        <v>0</v>
      </c>
      <c r="K3443" s="7" t="str">
        <f>IFERROR(INDEX(tbl_ProduitsRef[Famille], MATCH(tbl_Ventes[[#This Row],[Cde_Prdt]], tbl_Produits[Cde_Prdt], 0)), "")</f>
        <v/>
      </c>
    </row>
    <row r="3444" spans="1:11" x14ac:dyDescent="0.25">
      <c r="A3444" s="5"/>
      <c r="B3444" s="63" t="str">
        <f>IFERROR(TEXT(tbl_Ventes[[#This Row],[Date]],"mm-aaaa"),"")</f>
        <v>01-1900</v>
      </c>
      <c r="D3444" s="10" t="str">
        <f>IFERROR(
   INDEX(tbl_ProduitsRef[Cde_Prdt],MATCH(tbl_Ventes[[#This Row],[Produit]],tbl_ProduitsRef[Produit],0)),
   ""
)</f>
        <v/>
      </c>
      <c r="E3444" s="7">
        <v>0</v>
      </c>
      <c r="F3444" s="7" t="str">
        <f>IFERROR(
   INDEX(tbl_ProduitsRef[Prix Menu],MATCH(tbl_Ventes[[#This Row],[Produit]],tbl_ProduitsRef[Produit],0)),
   ""
)</f>
        <v/>
      </c>
      <c r="G3444" s="7">
        <f>tbl_Ventes[[#This Row],[Qté Vendue]] * IFERROR(_xlfn.XLOOKUP(tbl_Ventes[[#This Row],[Cde_Prdt]], tbl_Produits[Cde_Prdt], tbl_Produits[Prix Menu]), 0)</f>
        <v>0</v>
      </c>
      <c r="H3444" s="7">
        <f>IFERROR(_xlfn.XLOOKUP(tbl_Ventes[[#This Row],[Cde_Prdt]], tbl_Produits[Cde_Prdt], tbl_Produits[Coût Moyen Portion]), 0)</f>
        <v>0</v>
      </c>
      <c r="I3444" s="7">
        <f>tbl_Ventes[[#This Row],[Qté Vendue]] * tbl_Ventes[[#This Row],[CMP_par_portion]]</f>
        <v>0</v>
      </c>
      <c r="J3444" s="7">
        <f>tbl_Ventes[[#This Row],[CA ligne]] - tbl_Ventes[[#This Row],[Coût matière ligne]]</f>
        <v>0</v>
      </c>
      <c r="K3444" s="7" t="str">
        <f>IFERROR(INDEX(tbl_ProduitsRef[Famille], MATCH(tbl_Ventes[[#This Row],[Cde_Prdt]], tbl_Produits[Cde_Prdt], 0)), "")</f>
        <v/>
      </c>
    </row>
    <row r="3445" spans="1:11" x14ac:dyDescent="0.25">
      <c r="A3445" s="5"/>
      <c r="B3445" s="63" t="str">
        <f>IFERROR(TEXT(tbl_Ventes[[#This Row],[Date]],"mm-aaaa"),"")</f>
        <v>01-1900</v>
      </c>
      <c r="D3445" s="10" t="str">
        <f>IFERROR(
   INDEX(tbl_ProduitsRef[Cde_Prdt],MATCH(tbl_Ventes[[#This Row],[Produit]],tbl_ProduitsRef[Produit],0)),
   ""
)</f>
        <v/>
      </c>
      <c r="E3445" s="7">
        <v>0</v>
      </c>
      <c r="F3445" s="7" t="str">
        <f>IFERROR(
   INDEX(tbl_ProduitsRef[Prix Menu],MATCH(tbl_Ventes[[#This Row],[Produit]],tbl_ProduitsRef[Produit],0)),
   ""
)</f>
        <v/>
      </c>
      <c r="G3445" s="7">
        <f>tbl_Ventes[[#This Row],[Qté Vendue]] * IFERROR(_xlfn.XLOOKUP(tbl_Ventes[[#This Row],[Cde_Prdt]], tbl_Produits[Cde_Prdt], tbl_Produits[Prix Menu]), 0)</f>
        <v>0</v>
      </c>
      <c r="H3445" s="7">
        <f>IFERROR(_xlfn.XLOOKUP(tbl_Ventes[[#This Row],[Cde_Prdt]], tbl_Produits[Cde_Prdt], tbl_Produits[Coût Moyen Portion]), 0)</f>
        <v>0</v>
      </c>
      <c r="I3445" s="7">
        <f>tbl_Ventes[[#This Row],[Qté Vendue]] * tbl_Ventes[[#This Row],[CMP_par_portion]]</f>
        <v>0</v>
      </c>
      <c r="J3445" s="7">
        <f>tbl_Ventes[[#This Row],[CA ligne]] - tbl_Ventes[[#This Row],[Coût matière ligne]]</f>
        <v>0</v>
      </c>
      <c r="K3445" s="7" t="str">
        <f>IFERROR(INDEX(tbl_ProduitsRef[Famille], MATCH(tbl_Ventes[[#This Row],[Cde_Prdt]], tbl_Produits[Cde_Prdt], 0)), "")</f>
        <v/>
      </c>
    </row>
    <row r="3446" spans="1:11" x14ac:dyDescent="0.25">
      <c r="A3446" s="5"/>
      <c r="B3446" s="63" t="str">
        <f>IFERROR(TEXT(tbl_Ventes[[#This Row],[Date]],"mm-aaaa"),"")</f>
        <v>01-1900</v>
      </c>
      <c r="D3446" s="10" t="str">
        <f>IFERROR(
   INDEX(tbl_ProduitsRef[Cde_Prdt],MATCH(tbl_Ventes[[#This Row],[Produit]],tbl_ProduitsRef[Produit],0)),
   ""
)</f>
        <v/>
      </c>
      <c r="E3446" s="7">
        <v>0</v>
      </c>
      <c r="F3446" s="7" t="str">
        <f>IFERROR(
   INDEX(tbl_ProduitsRef[Prix Menu],MATCH(tbl_Ventes[[#This Row],[Produit]],tbl_ProduitsRef[Produit],0)),
   ""
)</f>
        <v/>
      </c>
      <c r="G3446" s="7">
        <f>tbl_Ventes[[#This Row],[Qté Vendue]] * IFERROR(_xlfn.XLOOKUP(tbl_Ventes[[#This Row],[Cde_Prdt]], tbl_Produits[Cde_Prdt], tbl_Produits[Prix Menu]), 0)</f>
        <v>0</v>
      </c>
      <c r="H3446" s="7">
        <f>IFERROR(_xlfn.XLOOKUP(tbl_Ventes[[#This Row],[Cde_Prdt]], tbl_Produits[Cde_Prdt], tbl_Produits[Coût Moyen Portion]), 0)</f>
        <v>0</v>
      </c>
      <c r="I3446" s="7">
        <f>tbl_Ventes[[#This Row],[Qté Vendue]] * tbl_Ventes[[#This Row],[CMP_par_portion]]</f>
        <v>0</v>
      </c>
      <c r="J3446" s="7">
        <f>tbl_Ventes[[#This Row],[CA ligne]] - tbl_Ventes[[#This Row],[Coût matière ligne]]</f>
        <v>0</v>
      </c>
      <c r="K3446" s="7" t="str">
        <f>IFERROR(INDEX(tbl_ProduitsRef[Famille], MATCH(tbl_Ventes[[#This Row],[Cde_Prdt]], tbl_Produits[Cde_Prdt], 0)), "")</f>
        <v/>
      </c>
    </row>
    <row r="3447" spans="1:11" x14ac:dyDescent="0.25">
      <c r="A3447" s="5"/>
      <c r="B3447" s="63" t="str">
        <f>IFERROR(TEXT(tbl_Ventes[[#This Row],[Date]],"mm-aaaa"),"")</f>
        <v>01-1900</v>
      </c>
      <c r="D3447" s="10" t="str">
        <f>IFERROR(
   INDEX(tbl_ProduitsRef[Cde_Prdt],MATCH(tbl_Ventes[[#This Row],[Produit]],tbl_ProduitsRef[Produit],0)),
   ""
)</f>
        <v/>
      </c>
      <c r="E3447" s="7">
        <v>0</v>
      </c>
      <c r="F3447" s="7" t="str">
        <f>IFERROR(
   INDEX(tbl_ProduitsRef[Prix Menu],MATCH(tbl_Ventes[[#This Row],[Produit]],tbl_ProduitsRef[Produit],0)),
   ""
)</f>
        <v/>
      </c>
      <c r="G3447" s="7">
        <f>tbl_Ventes[[#This Row],[Qté Vendue]] * IFERROR(_xlfn.XLOOKUP(tbl_Ventes[[#This Row],[Cde_Prdt]], tbl_Produits[Cde_Prdt], tbl_Produits[Prix Menu]), 0)</f>
        <v>0</v>
      </c>
      <c r="H3447" s="7">
        <f>IFERROR(_xlfn.XLOOKUP(tbl_Ventes[[#This Row],[Cde_Prdt]], tbl_Produits[Cde_Prdt], tbl_Produits[Coût Moyen Portion]), 0)</f>
        <v>0</v>
      </c>
      <c r="I3447" s="7">
        <f>tbl_Ventes[[#This Row],[Qté Vendue]] * tbl_Ventes[[#This Row],[CMP_par_portion]]</f>
        <v>0</v>
      </c>
      <c r="J3447" s="7">
        <f>tbl_Ventes[[#This Row],[CA ligne]] - tbl_Ventes[[#This Row],[Coût matière ligne]]</f>
        <v>0</v>
      </c>
      <c r="K3447" s="7" t="str">
        <f>IFERROR(INDEX(tbl_ProduitsRef[Famille], MATCH(tbl_Ventes[[#This Row],[Cde_Prdt]], tbl_Produits[Cde_Prdt], 0)), "")</f>
        <v/>
      </c>
    </row>
    <row r="3448" spans="1:11" x14ac:dyDescent="0.25">
      <c r="A3448" s="5"/>
      <c r="B3448" s="63" t="str">
        <f>IFERROR(TEXT(tbl_Ventes[[#This Row],[Date]],"mm-aaaa"),"")</f>
        <v>01-1900</v>
      </c>
      <c r="D3448" s="10" t="str">
        <f>IFERROR(
   INDEX(tbl_ProduitsRef[Cde_Prdt],MATCH(tbl_Ventes[[#This Row],[Produit]],tbl_ProduitsRef[Produit],0)),
   ""
)</f>
        <v/>
      </c>
      <c r="E3448" s="7">
        <v>0</v>
      </c>
      <c r="F3448" s="7" t="str">
        <f>IFERROR(
   INDEX(tbl_ProduitsRef[Prix Menu],MATCH(tbl_Ventes[[#This Row],[Produit]],tbl_ProduitsRef[Produit],0)),
   ""
)</f>
        <v/>
      </c>
      <c r="G3448" s="7">
        <f>tbl_Ventes[[#This Row],[Qté Vendue]] * IFERROR(_xlfn.XLOOKUP(tbl_Ventes[[#This Row],[Cde_Prdt]], tbl_Produits[Cde_Prdt], tbl_Produits[Prix Menu]), 0)</f>
        <v>0</v>
      </c>
      <c r="H3448" s="7">
        <f>IFERROR(_xlfn.XLOOKUP(tbl_Ventes[[#This Row],[Cde_Prdt]], tbl_Produits[Cde_Prdt], tbl_Produits[Coût Moyen Portion]), 0)</f>
        <v>0</v>
      </c>
      <c r="I3448" s="7">
        <f>tbl_Ventes[[#This Row],[Qté Vendue]] * tbl_Ventes[[#This Row],[CMP_par_portion]]</f>
        <v>0</v>
      </c>
      <c r="J3448" s="7">
        <f>tbl_Ventes[[#This Row],[CA ligne]] - tbl_Ventes[[#This Row],[Coût matière ligne]]</f>
        <v>0</v>
      </c>
      <c r="K3448" s="7" t="str">
        <f>IFERROR(INDEX(tbl_ProduitsRef[Famille], MATCH(tbl_Ventes[[#This Row],[Cde_Prdt]], tbl_Produits[Cde_Prdt], 0)), "")</f>
        <v/>
      </c>
    </row>
    <row r="3449" spans="1:11" x14ac:dyDescent="0.25">
      <c r="A3449" s="5"/>
      <c r="B3449" s="63" t="str">
        <f>IFERROR(TEXT(tbl_Ventes[[#This Row],[Date]],"mm-aaaa"),"")</f>
        <v>01-1900</v>
      </c>
      <c r="D3449" s="10" t="str">
        <f>IFERROR(
   INDEX(tbl_ProduitsRef[Cde_Prdt],MATCH(tbl_Ventes[[#This Row],[Produit]],tbl_ProduitsRef[Produit],0)),
   ""
)</f>
        <v/>
      </c>
      <c r="E3449" s="7">
        <v>0</v>
      </c>
      <c r="F3449" s="7" t="str">
        <f>IFERROR(
   INDEX(tbl_ProduitsRef[Prix Menu],MATCH(tbl_Ventes[[#This Row],[Produit]],tbl_ProduitsRef[Produit],0)),
   ""
)</f>
        <v/>
      </c>
      <c r="G3449" s="7">
        <f>tbl_Ventes[[#This Row],[Qté Vendue]] * IFERROR(_xlfn.XLOOKUP(tbl_Ventes[[#This Row],[Cde_Prdt]], tbl_Produits[Cde_Prdt], tbl_Produits[Prix Menu]), 0)</f>
        <v>0</v>
      </c>
      <c r="H3449" s="7">
        <f>IFERROR(_xlfn.XLOOKUP(tbl_Ventes[[#This Row],[Cde_Prdt]], tbl_Produits[Cde_Prdt], tbl_Produits[Coût Moyen Portion]), 0)</f>
        <v>0</v>
      </c>
      <c r="I3449" s="7">
        <f>tbl_Ventes[[#This Row],[Qté Vendue]] * tbl_Ventes[[#This Row],[CMP_par_portion]]</f>
        <v>0</v>
      </c>
      <c r="J3449" s="7">
        <f>tbl_Ventes[[#This Row],[CA ligne]] - tbl_Ventes[[#This Row],[Coût matière ligne]]</f>
        <v>0</v>
      </c>
      <c r="K3449" s="7" t="str">
        <f>IFERROR(INDEX(tbl_ProduitsRef[Famille], MATCH(tbl_Ventes[[#This Row],[Cde_Prdt]], tbl_Produits[Cde_Prdt], 0)), "")</f>
        <v/>
      </c>
    </row>
    <row r="3450" spans="1:11" x14ac:dyDescent="0.25">
      <c r="A3450" s="5"/>
      <c r="B3450" s="63" t="str">
        <f>IFERROR(TEXT(tbl_Ventes[[#This Row],[Date]],"mm-aaaa"),"")</f>
        <v>01-1900</v>
      </c>
      <c r="D3450" s="10" t="str">
        <f>IFERROR(
   INDEX(tbl_ProduitsRef[Cde_Prdt],MATCH(tbl_Ventes[[#This Row],[Produit]],tbl_ProduitsRef[Produit],0)),
   ""
)</f>
        <v/>
      </c>
      <c r="E3450" s="7">
        <v>0</v>
      </c>
      <c r="F3450" s="7" t="str">
        <f>IFERROR(
   INDEX(tbl_ProduitsRef[Prix Menu],MATCH(tbl_Ventes[[#This Row],[Produit]],tbl_ProduitsRef[Produit],0)),
   ""
)</f>
        <v/>
      </c>
      <c r="G3450" s="7">
        <f>tbl_Ventes[[#This Row],[Qté Vendue]] * IFERROR(_xlfn.XLOOKUP(tbl_Ventes[[#This Row],[Cde_Prdt]], tbl_Produits[Cde_Prdt], tbl_Produits[Prix Menu]), 0)</f>
        <v>0</v>
      </c>
      <c r="H3450" s="7">
        <f>IFERROR(_xlfn.XLOOKUP(tbl_Ventes[[#This Row],[Cde_Prdt]], tbl_Produits[Cde_Prdt], tbl_Produits[Coût Moyen Portion]), 0)</f>
        <v>0</v>
      </c>
      <c r="I3450" s="7">
        <f>tbl_Ventes[[#This Row],[Qté Vendue]] * tbl_Ventes[[#This Row],[CMP_par_portion]]</f>
        <v>0</v>
      </c>
      <c r="J3450" s="7">
        <f>tbl_Ventes[[#This Row],[CA ligne]] - tbl_Ventes[[#This Row],[Coût matière ligne]]</f>
        <v>0</v>
      </c>
      <c r="K3450" s="7" t="str">
        <f>IFERROR(INDEX(tbl_ProduitsRef[Famille], MATCH(tbl_Ventes[[#This Row],[Cde_Prdt]], tbl_Produits[Cde_Prdt], 0)), "")</f>
        <v/>
      </c>
    </row>
    <row r="3451" spans="1:11" x14ac:dyDescent="0.25">
      <c r="A3451" s="5"/>
      <c r="B3451" s="63" t="str">
        <f>IFERROR(TEXT(tbl_Ventes[[#This Row],[Date]],"mm-aaaa"),"")</f>
        <v>01-1900</v>
      </c>
      <c r="D3451" s="10" t="str">
        <f>IFERROR(
   INDEX(tbl_ProduitsRef[Cde_Prdt],MATCH(tbl_Ventes[[#This Row],[Produit]],tbl_ProduitsRef[Produit],0)),
   ""
)</f>
        <v/>
      </c>
      <c r="E3451" s="7">
        <v>0</v>
      </c>
      <c r="F3451" s="7" t="str">
        <f>IFERROR(
   INDEX(tbl_ProduitsRef[Prix Menu],MATCH(tbl_Ventes[[#This Row],[Produit]],tbl_ProduitsRef[Produit],0)),
   ""
)</f>
        <v/>
      </c>
      <c r="G3451" s="7">
        <f>tbl_Ventes[[#This Row],[Qté Vendue]] * IFERROR(_xlfn.XLOOKUP(tbl_Ventes[[#This Row],[Cde_Prdt]], tbl_Produits[Cde_Prdt], tbl_Produits[Prix Menu]), 0)</f>
        <v>0</v>
      </c>
      <c r="H3451" s="7">
        <f>IFERROR(_xlfn.XLOOKUP(tbl_Ventes[[#This Row],[Cde_Prdt]], tbl_Produits[Cde_Prdt], tbl_Produits[Coût Moyen Portion]), 0)</f>
        <v>0</v>
      </c>
      <c r="I3451" s="7">
        <f>tbl_Ventes[[#This Row],[Qté Vendue]] * tbl_Ventes[[#This Row],[CMP_par_portion]]</f>
        <v>0</v>
      </c>
      <c r="J3451" s="7">
        <f>tbl_Ventes[[#This Row],[CA ligne]] - tbl_Ventes[[#This Row],[Coût matière ligne]]</f>
        <v>0</v>
      </c>
      <c r="K3451" s="7" t="str">
        <f>IFERROR(INDEX(tbl_ProduitsRef[Famille], MATCH(tbl_Ventes[[#This Row],[Cde_Prdt]], tbl_Produits[Cde_Prdt], 0)), "")</f>
        <v/>
      </c>
    </row>
    <row r="3452" spans="1:11" x14ac:dyDescent="0.25">
      <c r="A3452" s="5"/>
      <c r="B3452" s="63" t="str">
        <f>IFERROR(TEXT(tbl_Ventes[[#This Row],[Date]],"mm-aaaa"),"")</f>
        <v>01-1900</v>
      </c>
      <c r="D3452" s="10" t="str">
        <f>IFERROR(
   INDEX(tbl_ProduitsRef[Cde_Prdt],MATCH(tbl_Ventes[[#This Row],[Produit]],tbl_ProduitsRef[Produit],0)),
   ""
)</f>
        <v/>
      </c>
      <c r="E3452" s="7">
        <v>0</v>
      </c>
      <c r="F3452" s="7" t="str">
        <f>IFERROR(
   INDEX(tbl_ProduitsRef[Prix Menu],MATCH(tbl_Ventes[[#This Row],[Produit]],tbl_ProduitsRef[Produit],0)),
   ""
)</f>
        <v/>
      </c>
      <c r="G3452" s="7">
        <f>tbl_Ventes[[#This Row],[Qté Vendue]] * IFERROR(_xlfn.XLOOKUP(tbl_Ventes[[#This Row],[Cde_Prdt]], tbl_Produits[Cde_Prdt], tbl_Produits[Prix Menu]), 0)</f>
        <v>0</v>
      </c>
      <c r="H3452" s="7">
        <f>IFERROR(_xlfn.XLOOKUP(tbl_Ventes[[#This Row],[Cde_Prdt]], tbl_Produits[Cde_Prdt], tbl_Produits[Coût Moyen Portion]), 0)</f>
        <v>0</v>
      </c>
      <c r="I3452" s="7">
        <f>tbl_Ventes[[#This Row],[Qté Vendue]] * tbl_Ventes[[#This Row],[CMP_par_portion]]</f>
        <v>0</v>
      </c>
      <c r="J3452" s="7">
        <f>tbl_Ventes[[#This Row],[CA ligne]] - tbl_Ventes[[#This Row],[Coût matière ligne]]</f>
        <v>0</v>
      </c>
      <c r="K3452" s="7" t="str">
        <f>IFERROR(INDEX(tbl_ProduitsRef[Famille], MATCH(tbl_Ventes[[#This Row],[Cde_Prdt]], tbl_Produits[Cde_Prdt], 0)), "")</f>
        <v/>
      </c>
    </row>
    <row r="3453" spans="1:11" x14ac:dyDescent="0.25">
      <c r="A3453" s="5"/>
      <c r="B3453" s="63" t="str">
        <f>IFERROR(TEXT(tbl_Ventes[[#This Row],[Date]],"mm-aaaa"),"")</f>
        <v>01-1900</v>
      </c>
      <c r="D3453" s="10" t="str">
        <f>IFERROR(
   INDEX(tbl_ProduitsRef[Cde_Prdt],MATCH(tbl_Ventes[[#This Row],[Produit]],tbl_ProduitsRef[Produit],0)),
   ""
)</f>
        <v/>
      </c>
      <c r="E3453" s="7">
        <v>0</v>
      </c>
      <c r="F3453" s="7" t="str">
        <f>IFERROR(
   INDEX(tbl_ProduitsRef[Prix Menu],MATCH(tbl_Ventes[[#This Row],[Produit]],tbl_ProduitsRef[Produit],0)),
   ""
)</f>
        <v/>
      </c>
      <c r="G3453" s="7">
        <f>tbl_Ventes[[#This Row],[Qté Vendue]] * IFERROR(_xlfn.XLOOKUP(tbl_Ventes[[#This Row],[Cde_Prdt]], tbl_Produits[Cde_Prdt], tbl_Produits[Prix Menu]), 0)</f>
        <v>0</v>
      </c>
      <c r="H3453" s="7">
        <f>IFERROR(_xlfn.XLOOKUP(tbl_Ventes[[#This Row],[Cde_Prdt]], tbl_Produits[Cde_Prdt], tbl_Produits[Coût Moyen Portion]), 0)</f>
        <v>0</v>
      </c>
      <c r="I3453" s="7">
        <f>tbl_Ventes[[#This Row],[Qté Vendue]] * tbl_Ventes[[#This Row],[CMP_par_portion]]</f>
        <v>0</v>
      </c>
      <c r="J3453" s="7">
        <f>tbl_Ventes[[#This Row],[CA ligne]] - tbl_Ventes[[#This Row],[Coût matière ligne]]</f>
        <v>0</v>
      </c>
      <c r="K3453" s="7" t="str">
        <f>IFERROR(INDEX(tbl_ProduitsRef[Famille], MATCH(tbl_Ventes[[#This Row],[Cde_Prdt]], tbl_Produits[Cde_Prdt], 0)), "")</f>
        <v/>
      </c>
    </row>
    <row r="3454" spans="1:11" x14ac:dyDescent="0.25">
      <c r="A3454" s="5"/>
      <c r="B3454" s="63" t="str">
        <f>IFERROR(TEXT(tbl_Ventes[[#This Row],[Date]],"mm-aaaa"),"")</f>
        <v>01-1900</v>
      </c>
      <c r="D3454" s="10" t="str">
        <f>IFERROR(
   INDEX(tbl_ProduitsRef[Cde_Prdt],MATCH(tbl_Ventes[[#This Row],[Produit]],tbl_ProduitsRef[Produit],0)),
   ""
)</f>
        <v/>
      </c>
      <c r="E3454" s="7">
        <v>0</v>
      </c>
      <c r="F3454" s="7" t="str">
        <f>IFERROR(
   INDEX(tbl_ProduitsRef[Prix Menu],MATCH(tbl_Ventes[[#This Row],[Produit]],tbl_ProduitsRef[Produit],0)),
   ""
)</f>
        <v/>
      </c>
      <c r="G3454" s="7">
        <f>tbl_Ventes[[#This Row],[Qté Vendue]] * IFERROR(_xlfn.XLOOKUP(tbl_Ventes[[#This Row],[Cde_Prdt]], tbl_Produits[Cde_Prdt], tbl_Produits[Prix Menu]), 0)</f>
        <v>0</v>
      </c>
      <c r="H3454" s="7">
        <f>IFERROR(_xlfn.XLOOKUP(tbl_Ventes[[#This Row],[Cde_Prdt]], tbl_Produits[Cde_Prdt], tbl_Produits[Coût Moyen Portion]), 0)</f>
        <v>0</v>
      </c>
      <c r="I3454" s="7">
        <f>tbl_Ventes[[#This Row],[Qté Vendue]] * tbl_Ventes[[#This Row],[CMP_par_portion]]</f>
        <v>0</v>
      </c>
      <c r="J3454" s="7">
        <f>tbl_Ventes[[#This Row],[CA ligne]] - tbl_Ventes[[#This Row],[Coût matière ligne]]</f>
        <v>0</v>
      </c>
      <c r="K3454" s="7" t="str">
        <f>IFERROR(INDEX(tbl_ProduitsRef[Famille], MATCH(tbl_Ventes[[#This Row],[Cde_Prdt]], tbl_Produits[Cde_Prdt], 0)), "")</f>
        <v/>
      </c>
    </row>
    <row r="3455" spans="1:11" x14ac:dyDescent="0.25">
      <c r="A3455" s="5"/>
      <c r="B3455" s="63" t="str">
        <f>IFERROR(TEXT(tbl_Ventes[[#This Row],[Date]],"mm-aaaa"),"")</f>
        <v>01-1900</v>
      </c>
      <c r="D3455" s="10" t="str">
        <f>IFERROR(
   INDEX(tbl_ProduitsRef[Cde_Prdt],MATCH(tbl_Ventes[[#This Row],[Produit]],tbl_ProduitsRef[Produit],0)),
   ""
)</f>
        <v/>
      </c>
      <c r="E3455" s="7">
        <v>0</v>
      </c>
      <c r="F3455" s="7" t="str">
        <f>IFERROR(
   INDEX(tbl_ProduitsRef[Prix Menu],MATCH(tbl_Ventes[[#This Row],[Produit]],tbl_ProduitsRef[Produit],0)),
   ""
)</f>
        <v/>
      </c>
      <c r="G3455" s="7">
        <f>tbl_Ventes[[#This Row],[Qté Vendue]] * IFERROR(_xlfn.XLOOKUP(tbl_Ventes[[#This Row],[Cde_Prdt]], tbl_Produits[Cde_Prdt], tbl_Produits[Prix Menu]), 0)</f>
        <v>0</v>
      </c>
      <c r="H3455" s="7">
        <f>IFERROR(_xlfn.XLOOKUP(tbl_Ventes[[#This Row],[Cde_Prdt]], tbl_Produits[Cde_Prdt], tbl_Produits[Coût Moyen Portion]), 0)</f>
        <v>0</v>
      </c>
      <c r="I3455" s="7">
        <f>tbl_Ventes[[#This Row],[Qté Vendue]] * tbl_Ventes[[#This Row],[CMP_par_portion]]</f>
        <v>0</v>
      </c>
      <c r="J3455" s="7">
        <f>tbl_Ventes[[#This Row],[CA ligne]] - tbl_Ventes[[#This Row],[Coût matière ligne]]</f>
        <v>0</v>
      </c>
      <c r="K3455" s="7" t="str">
        <f>IFERROR(INDEX(tbl_ProduitsRef[Famille], MATCH(tbl_Ventes[[#This Row],[Cde_Prdt]], tbl_Produits[Cde_Prdt], 0)), "")</f>
        <v/>
      </c>
    </row>
    <row r="3456" spans="1:11" x14ac:dyDescent="0.25">
      <c r="A3456" s="5"/>
      <c r="B3456" s="63" t="str">
        <f>IFERROR(TEXT(tbl_Ventes[[#This Row],[Date]],"mm-aaaa"),"")</f>
        <v>01-1900</v>
      </c>
      <c r="D3456" s="10" t="str">
        <f>IFERROR(
   INDEX(tbl_ProduitsRef[Cde_Prdt],MATCH(tbl_Ventes[[#This Row],[Produit]],tbl_ProduitsRef[Produit],0)),
   ""
)</f>
        <v/>
      </c>
      <c r="E3456" s="7">
        <v>0</v>
      </c>
      <c r="F3456" s="7" t="str">
        <f>IFERROR(
   INDEX(tbl_ProduitsRef[Prix Menu],MATCH(tbl_Ventes[[#This Row],[Produit]],tbl_ProduitsRef[Produit],0)),
   ""
)</f>
        <v/>
      </c>
      <c r="G3456" s="7">
        <f>tbl_Ventes[[#This Row],[Qté Vendue]] * IFERROR(_xlfn.XLOOKUP(tbl_Ventes[[#This Row],[Cde_Prdt]], tbl_Produits[Cde_Prdt], tbl_Produits[Prix Menu]), 0)</f>
        <v>0</v>
      </c>
      <c r="H3456" s="7">
        <f>IFERROR(_xlfn.XLOOKUP(tbl_Ventes[[#This Row],[Cde_Prdt]], tbl_Produits[Cde_Prdt], tbl_Produits[Coût Moyen Portion]), 0)</f>
        <v>0</v>
      </c>
      <c r="I3456" s="7">
        <f>tbl_Ventes[[#This Row],[Qté Vendue]] * tbl_Ventes[[#This Row],[CMP_par_portion]]</f>
        <v>0</v>
      </c>
      <c r="J3456" s="7">
        <f>tbl_Ventes[[#This Row],[CA ligne]] - tbl_Ventes[[#This Row],[Coût matière ligne]]</f>
        <v>0</v>
      </c>
      <c r="K3456" s="7" t="str">
        <f>IFERROR(INDEX(tbl_ProduitsRef[Famille], MATCH(tbl_Ventes[[#This Row],[Cde_Prdt]], tbl_Produits[Cde_Prdt], 0)), "")</f>
        <v/>
      </c>
    </row>
    <row r="3457" spans="1:11" x14ac:dyDescent="0.25">
      <c r="A3457" s="5"/>
      <c r="B3457" s="63" t="str">
        <f>IFERROR(TEXT(tbl_Ventes[[#This Row],[Date]],"mm-aaaa"),"")</f>
        <v>01-1900</v>
      </c>
      <c r="D3457" s="10" t="str">
        <f>IFERROR(
   INDEX(tbl_ProduitsRef[Cde_Prdt],MATCH(tbl_Ventes[[#This Row],[Produit]],tbl_ProduitsRef[Produit],0)),
   ""
)</f>
        <v/>
      </c>
      <c r="E3457" s="7">
        <v>0</v>
      </c>
      <c r="F3457" s="7" t="str">
        <f>IFERROR(
   INDEX(tbl_ProduitsRef[Prix Menu],MATCH(tbl_Ventes[[#This Row],[Produit]],tbl_ProduitsRef[Produit],0)),
   ""
)</f>
        <v/>
      </c>
      <c r="G3457" s="7">
        <f>tbl_Ventes[[#This Row],[Qté Vendue]] * IFERROR(_xlfn.XLOOKUP(tbl_Ventes[[#This Row],[Cde_Prdt]], tbl_Produits[Cde_Prdt], tbl_Produits[Prix Menu]), 0)</f>
        <v>0</v>
      </c>
      <c r="H3457" s="7">
        <f>IFERROR(_xlfn.XLOOKUP(tbl_Ventes[[#This Row],[Cde_Prdt]], tbl_Produits[Cde_Prdt], tbl_Produits[Coût Moyen Portion]), 0)</f>
        <v>0</v>
      </c>
      <c r="I3457" s="7">
        <f>tbl_Ventes[[#This Row],[Qté Vendue]] * tbl_Ventes[[#This Row],[CMP_par_portion]]</f>
        <v>0</v>
      </c>
      <c r="J3457" s="7">
        <f>tbl_Ventes[[#This Row],[CA ligne]] - tbl_Ventes[[#This Row],[Coût matière ligne]]</f>
        <v>0</v>
      </c>
      <c r="K3457" s="7" t="str">
        <f>IFERROR(INDEX(tbl_ProduitsRef[Famille], MATCH(tbl_Ventes[[#This Row],[Cde_Prdt]], tbl_Produits[Cde_Prdt], 0)), "")</f>
        <v/>
      </c>
    </row>
    <row r="3458" spans="1:11" x14ac:dyDescent="0.25">
      <c r="A3458" s="5"/>
      <c r="B3458" s="63" t="str">
        <f>IFERROR(TEXT(tbl_Ventes[[#This Row],[Date]],"mm-aaaa"),"")</f>
        <v>01-1900</v>
      </c>
      <c r="D3458" s="10" t="str">
        <f>IFERROR(
   INDEX(tbl_ProduitsRef[Cde_Prdt],MATCH(tbl_Ventes[[#This Row],[Produit]],tbl_ProduitsRef[Produit],0)),
   ""
)</f>
        <v/>
      </c>
      <c r="E3458" s="7">
        <v>0</v>
      </c>
      <c r="F3458" s="7" t="str">
        <f>IFERROR(
   INDEX(tbl_ProduitsRef[Prix Menu],MATCH(tbl_Ventes[[#This Row],[Produit]],tbl_ProduitsRef[Produit],0)),
   ""
)</f>
        <v/>
      </c>
      <c r="G3458" s="7">
        <f>tbl_Ventes[[#This Row],[Qté Vendue]] * IFERROR(_xlfn.XLOOKUP(tbl_Ventes[[#This Row],[Cde_Prdt]], tbl_Produits[Cde_Prdt], tbl_Produits[Prix Menu]), 0)</f>
        <v>0</v>
      </c>
      <c r="H3458" s="7">
        <f>IFERROR(_xlfn.XLOOKUP(tbl_Ventes[[#This Row],[Cde_Prdt]], tbl_Produits[Cde_Prdt], tbl_Produits[Coût Moyen Portion]), 0)</f>
        <v>0</v>
      </c>
      <c r="I3458" s="7">
        <f>tbl_Ventes[[#This Row],[Qté Vendue]] * tbl_Ventes[[#This Row],[CMP_par_portion]]</f>
        <v>0</v>
      </c>
      <c r="J3458" s="7">
        <f>tbl_Ventes[[#This Row],[CA ligne]] - tbl_Ventes[[#This Row],[Coût matière ligne]]</f>
        <v>0</v>
      </c>
      <c r="K3458" s="7" t="str">
        <f>IFERROR(INDEX(tbl_ProduitsRef[Famille], MATCH(tbl_Ventes[[#This Row],[Cde_Prdt]], tbl_Produits[Cde_Prdt], 0)), "")</f>
        <v/>
      </c>
    </row>
    <row r="3459" spans="1:11" x14ac:dyDescent="0.25">
      <c r="A3459" s="5"/>
      <c r="B3459" s="63" t="str">
        <f>IFERROR(TEXT(tbl_Ventes[[#This Row],[Date]],"mm-aaaa"),"")</f>
        <v>01-1900</v>
      </c>
      <c r="D3459" s="10" t="str">
        <f>IFERROR(
   INDEX(tbl_ProduitsRef[Cde_Prdt],MATCH(tbl_Ventes[[#This Row],[Produit]],tbl_ProduitsRef[Produit],0)),
   ""
)</f>
        <v/>
      </c>
      <c r="E3459" s="7">
        <v>0</v>
      </c>
      <c r="F3459" s="7" t="str">
        <f>IFERROR(
   INDEX(tbl_ProduitsRef[Prix Menu],MATCH(tbl_Ventes[[#This Row],[Produit]],tbl_ProduitsRef[Produit],0)),
   ""
)</f>
        <v/>
      </c>
      <c r="G3459" s="7">
        <f>tbl_Ventes[[#This Row],[Qté Vendue]] * IFERROR(_xlfn.XLOOKUP(tbl_Ventes[[#This Row],[Cde_Prdt]], tbl_Produits[Cde_Prdt], tbl_Produits[Prix Menu]), 0)</f>
        <v>0</v>
      </c>
      <c r="H3459" s="7">
        <f>IFERROR(_xlfn.XLOOKUP(tbl_Ventes[[#This Row],[Cde_Prdt]], tbl_Produits[Cde_Prdt], tbl_Produits[Coût Moyen Portion]), 0)</f>
        <v>0</v>
      </c>
      <c r="I3459" s="7">
        <f>tbl_Ventes[[#This Row],[Qté Vendue]] * tbl_Ventes[[#This Row],[CMP_par_portion]]</f>
        <v>0</v>
      </c>
      <c r="J3459" s="7">
        <f>tbl_Ventes[[#This Row],[CA ligne]] - tbl_Ventes[[#This Row],[Coût matière ligne]]</f>
        <v>0</v>
      </c>
      <c r="K3459" s="7" t="str">
        <f>IFERROR(INDEX(tbl_ProduitsRef[Famille], MATCH(tbl_Ventes[[#This Row],[Cde_Prdt]], tbl_Produits[Cde_Prdt], 0)), "")</f>
        <v/>
      </c>
    </row>
    <row r="3460" spans="1:11" x14ac:dyDescent="0.25">
      <c r="A3460" s="5"/>
      <c r="B3460" s="63" t="str">
        <f>IFERROR(TEXT(tbl_Ventes[[#This Row],[Date]],"mm-aaaa"),"")</f>
        <v>01-1900</v>
      </c>
      <c r="D3460" s="10" t="str">
        <f>IFERROR(
   INDEX(tbl_ProduitsRef[Cde_Prdt],MATCH(tbl_Ventes[[#This Row],[Produit]],tbl_ProduitsRef[Produit],0)),
   ""
)</f>
        <v/>
      </c>
      <c r="E3460" s="7">
        <v>0</v>
      </c>
      <c r="F3460" s="7" t="str">
        <f>IFERROR(
   INDEX(tbl_ProduitsRef[Prix Menu],MATCH(tbl_Ventes[[#This Row],[Produit]],tbl_ProduitsRef[Produit],0)),
   ""
)</f>
        <v/>
      </c>
      <c r="G3460" s="7">
        <f>tbl_Ventes[[#This Row],[Qté Vendue]] * IFERROR(_xlfn.XLOOKUP(tbl_Ventes[[#This Row],[Cde_Prdt]], tbl_Produits[Cde_Prdt], tbl_Produits[Prix Menu]), 0)</f>
        <v>0</v>
      </c>
      <c r="H3460" s="7">
        <f>IFERROR(_xlfn.XLOOKUP(tbl_Ventes[[#This Row],[Cde_Prdt]], tbl_Produits[Cde_Prdt], tbl_Produits[Coût Moyen Portion]), 0)</f>
        <v>0</v>
      </c>
      <c r="I3460" s="7">
        <f>tbl_Ventes[[#This Row],[Qté Vendue]] * tbl_Ventes[[#This Row],[CMP_par_portion]]</f>
        <v>0</v>
      </c>
      <c r="J3460" s="7">
        <f>tbl_Ventes[[#This Row],[CA ligne]] - tbl_Ventes[[#This Row],[Coût matière ligne]]</f>
        <v>0</v>
      </c>
      <c r="K3460" s="7" t="str">
        <f>IFERROR(INDEX(tbl_ProduitsRef[Famille], MATCH(tbl_Ventes[[#This Row],[Cde_Prdt]], tbl_Produits[Cde_Prdt], 0)), "")</f>
        <v/>
      </c>
    </row>
    <row r="3461" spans="1:11" x14ac:dyDescent="0.25">
      <c r="A3461" s="5"/>
      <c r="B3461" s="63" t="str">
        <f>IFERROR(TEXT(tbl_Ventes[[#This Row],[Date]],"mm-aaaa"),"")</f>
        <v>01-1900</v>
      </c>
      <c r="D3461" s="10" t="str">
        <f>IFERROR(
   INDEX(tbl_ProduitsRef[Cde_Prdt],MATCH(tbl_Ventes[[#This Row],[Produit]],tbl_ProduitsRef[Produit],0)),
   ""
)</f>
        <v/>
      </c>
      <c r="E3461" s="7">
        <v>0</v>
      </c>
      <c r="F3461" s="7" t="str">
        <f>IFERROR(
   INDEX(tbl_ProduitsRef[Prix Menu],MATCH(tbl_Ventes[[#This Row],[Produit]],tbl_ProduitsRef[Produit],0)),
   ""
)</f>
        <v/>
      </c>
      <c r="G3461" s="7">
        <f>tbl_Ventes[[#This Row],[Qté Vendue]] * IFERROR(_xlfn.XLOOKUP(tbl_Ventes[[#This Row],[Cde_Prdt]], tbl_Produits[Cde_Prdt], tbl_Produits[Prix Menu]), 0)</f>
        <v>0</v>
      </c>
      <c r="H3461" s="7">
        <f>IFERROR(_xlfn.XLOOKUP(tbl_Ventes[[#This Row],[Cde_Prdt]], tbl_Produits[Cde_Prdt], tbl_Produits[Coût Moyen Portion]), 0)</f>
        <v>0</v>
      </c>
      <c r="I3461" s="7">
        <f>tbl_Ventes[[#This Row],[Qté Vendue]] * tbl_Ventes[[#This Row],[CMP_par_portion]]</f>
        <v>0</v>
      </c>
      <c r="J3461" s="7">
        <f>tbl_Ventes[[#This Row],[CA ligne]] - tbl_Ventes[[#This Row],[Coût matière ligne]]</f>
        <v>0</v>
      </c>
      <c r="K3461" s="7" t="str">
        <f>IFERROR(INDEX(tbl_ProduitsRef[Famille], MATCH(tbl_Ventes[[#This Row],[Cde_Prdt]], tbl_Produits[Cde_Prdt], 0)), "")</f>
        <v/>
      </c>
    </row>
    <row r="3462" spans="1:11" x14ac:dyDescent="0.25">
      <c r="A3462" s="5"/>
      <c r="B3462" s="63" t="str">
        <f>IFERROR(TEXT(tbl_Ventes[[#This Row],[Date]],"mm-aaaa"),"")</f>
        <v>01-1900</v>
      </c>
      <c r="D3462" s="10" t="str">
        <f>IFERROR(
   INDEX(tbl_ProduitsRef[Cde_Prdt],MATCH(tbl_Ventes[[#This Row],[Produit]],tbl_ProduitsRef[Produit],0)),
   ""
)</f>
        <v/>
      </c>
      <c r="E3462" s="7">
        <v>0</v>
      </c>
      <c r="F3462" s="7" t="str">
        <f>IFERROR(
   INDEX(tbl_ProduitsRef[Prix Menu],MATCH(tbl_Ventes[[#This Row],[Produit]],tbl_ProduitsRef[Produit],0)),
   ""
)</f>
        <v/>
      </c>
      <c r="G3462" s="7">
        <f>tbl_Ventes[[#This Row],[Qté Vendue]] * IFERROR(_xlfn.XLOOKUP(tbl_Ventes[[#This Row],[Cde_Prdt]], tbl_Produits[Cde_Prdt], tbl_Produits[Prix Menu]), 0)</f>
        <v>0</v>
      </c>
      <c r="H3462" s="7">
        <f>IFERROR(_xlfn.XLOOKUP(tbl_Ventes[[#This Row],[Cde_Prdt]], tbl_Produits[Cde_Prdt], tbl_Produits[Coût Moyen Portion]), 0)</f>
        <v>0</v>
      </c>
      <c r="I3462" s="7">
        <f>tbl_Ventes[[#This Row],[Qté Vendue]] * tbl_Ventes[[#This Row],[CMP_par_portion]]</f>
        <v>0</v>
      </c>
      <c r="J3462" s="7">
        <f>tbl_Ventes[[#This Row],[CA ligne]] - tbl_Ventes[[#This Row],[Coût matière ligne]]</f>
        <v>0</v>
      </c>
      <c r="K3462" s="7" t="str">
        <f>IFERROR(INDEX(tbl_ProduitsRef[Famille], MATCH(tbl_Ventes[[#This Row],[Cde_Prdt]], tbl_Produits[Cde_Prdt], 0)), "")</f>
        <v/>
      </c>
    </row>
    <row r="3463" spans="1:11" x14ac:dyDescent="0.25">
      <c r="A3463" s="5"/>
      <c r="B3463" s="63" t="str">
        <f>IFERROR(TEXT(tbl_Ventes[[#This Row],[Date]],"mm-aaaa"),"")</f>
        <v>01-1900</v>
      </c>
      <c r="D3463" s="10" t="str">
        <f>IFERROR(
   INDEX(tbl_ProduitsRef[Cde_Prdt],MATCH(tbl_Ventes[[#This Row],[Produit]],tbl_ProduitsRef[Produit],0)),
   ""
)</f>
        <v/>
      </c>
      <c r="E3463" s="7">
        <v>0</v>
      </c>
      <c r="F3463" s="7" t="str">
        <f>IFERROR(
   INDEX(tbl_ProduitsRef[Prix Menu],MATCH(tbl_Ventes[[#This Row],[Produit]],tbl_ProduitsRef[Produit],0)),
   ""
)</f>
        <v/>
      </c>
      <c r="G3463" s="7">
        <f>tbl_Ventes[[#This Row],[Qté Vendue]] * IFERROR(_xlfn.XLOOKUP(tbl_Ventes[[#This Row],[Cde_Prdt]], tbl_Produits[Cde_Prdt], tbl_Produits[Prix Menu]), 0)</f>
        <v>0</v>
      </c>
      <c r="H3463" s="7">
        <f>IFERROR(_xlfn.XLOOKUP(tbl_Ventes[[#This Row],[Cde_Prdt]], tbl_Produits[Cde_Prdt], tbl_Produits[Coût Moyen Portion]), 0)</f>
        <v>0</v>
      </c>
      <c r="I3463" s="7">
        <f>tbl_Ventes[[#This Row],[Qté Vendue]] * tbl_Ventes[[#This Row],[CMP_par_portion]]</f>
        <v>0</v>
      </c>
      <c r="J3463" s="7">
        <f>tbl_Ventes[[#This Row],[CA ligne]] - tbl_Ventes[[#This Row],[Coût matière ligne]]</f>
        <v>0</v>
      </c>
      <c r="K3463" s="7" t="str">
        <f>IFERROR(INDEX(tbl_ProduitsRef[Famille], MATCH(tbl_Ventes[[#This Row],[Cde_Prdt]], tbl_Produits[Cde_Prdt], 0)), "")</f>
        <v/>
      </c>
    </row>
    <row r="3464" spans="1:11" x14ac:dyDescent="0.25">
      <c r="A3464" s="5"/>
      <c r="B3464" s="63" t="str">
        <f>IFERROR(TEXT(tbl_Ventes[[#This Row],[Date]],"mm-aaaa"),"")</f>
        <v>01-1900</v>
      </c>
      <c r="D3464" s="10" t="str">
        <f>IFERROR(
   INDEX(tbl_ProduitsRef[Cde_Prdt],MATCH(tbl_Ventes[[#This Row],[Produit]],tbl_ProduitsRef[Produit],0)),
   ""
)</f>
        <v/>
      </c>
      <c r="E3464" s="7">
        <v>0</v>
      </c>
      <c r="F3464" s="7" t="str">
        <f>IFERROR(
   INDEX(tbl_ProduitsRef[Prix Menu],MATCH(tbl_Ventes[[#This Row],[Produit]],tbl_ProduitsRef[Produit],0)),
   ""
)</f>
        <v/>
      </c>
      <c r="G3464" s="7">
        <f>tbl_Ventes[[#This Row],[Qté Vendue]] * IFERROR(_xlfn.XLOOKUP(tbl_Ventes[[#This Row],[Cde_Prdt]], tbl_Produits[Cde_Prdt], tbl_Produits[Prix Menu]), 0)</f>
        <v>0</v>
      </c>
      <c r="H3464" s="7">
        <f>IFERROR(_xlfn.XLOOKUP(tbl_Ventes[[#This Row],[Cde_Prdt]], tbl_Produits[Cde_Prdt], tbl_Produits[Coût Moyen Portion]), 0)</f>
        <v>0</v>
      </c>
      <c r="I3464" s="7">
        <f>tbl_Ventes[[#This Row],[Qté Vendue]] * tbl_Ventes[[#This Row],[CMP_par_portion]]</f>
        <v>0</v>
      </c>
      <c r="J3464" s="7">
        <f>tbl_Ventes[[#This Row],[CA ligne]] - tbl_Ventes[[#This Row],[Coût matière ligne]]</f>
        <v>0</v>
      </c>
      <c r="K3464" s="7" t="str">
        <f>IFERROR(INDEX(tbl_ProduitsRef[Famille], MATCH(tbl_Ventes[[#This Row],[Cde_Prdt]], tbl_Produits[Cde_Prdt], 0)), "")</f>
        <v/>
      </c>
    </row>
    <row r="3465" spans="1:11" x14ac:dyDescent="0.25">
      <c r="A3465" s="5"/>
      <c r="B3465" s="63" t="str">
        <f>IFERROR(TEXT(tbl_Ventes[[#This Row],[Date]],"mm-aaaa"),"")</f>
        <v>01-1900</v>
      </c>
      <c r="D3465" s="10" t="str">
        <f>IFERROR(
   INDEX(tbl_ProduitsRef[Cde_Prdt],MATCH(tbl_Ventes[[#This Row],[Produit]],tbl_ProduitsRef[Produit],0)),
   ""
)</f>
        <v/>
      </c>
      <c r="E3465" s="7">
        <v>0</v>
      </c>
      <c r="F3465" s="7" t="str">
        <f>IFERROR(
   INDEX(tbl_ProduitsRef[Prix Menu],MATCH(tbl_Ventes[[#This Row],[Produit]],tbl_ProduitsRef[Produit],0)),
   ""
)</f>
        <v/>
      </c>
      <c r="G3465" s="7">
        <f>tbl_Ventes[[#This Row],[Qté Vendue]] * IFERROR(_xlfn.XLOOKUP(tbl_Ventes[[#This Row],[Cde_Prdt]], tbl_Produits[Cde_Prdt], tbl_Produits[Prix Menu]), 0)</f>
        <v>0</v>
      </c>
      <c r="H3465" s="7">
        <f>IFERROR(_xlfn.XLOOKUP(tbl_Ventes[[#This Row],[Cde_Prdt]], tbl_Produits[Cde_Prdt], tbl_Produits[Coût Moyen Portion]), 0)</f>
        <v>0</v>
      </c>
      <c r="I3465" s="7">
        <f>tbl_Ventes[[#This Row],[Qté Vendue]] * tbl_Ventes[[#This Row],[CMP_par_portion]]</f>
        <v>0</v>
      </c>
      <c r="J3465" s="7">
        <f>tbl_Ventes[[#This Row],[CA ligne]] - tbl_Ventes[[#This Row],[Coût matière ligne]]</f>
        <v>0</v>
      </c>
      <c r="K3465" s="7" t="str">
        <f>IFERROR(INDEX(tbl_ProduitsRef[Famille], MATCH(tbl_Ventes[[#This Row],[Cde_Prdt]], tbl_Produits[Cde_Prdt], 0)), "")</f>
        <v/>
      </c>
    </row>
    <row r="3466" spans="1:11" x14ac:dyDescent="0.25">
      <c r="A3466" s="5"/>
      <c r="B3466" s="63" t="str">
        <f>IFERROR(TEXT(tbl_Ventes[[#This Row],[Date]],"mm-aaaa"),"")</f>
        <v>01-1900</v>
      </c>
      <c r="D3466" s="10" t="str">
        <f>IFERROR(
   INDEX(tbl_ProduitsRef[Cde_Prdt],MATCH(tbl_Ventes[[#This Row],[Produit]],tbl_ProduitsRef[Produit],0)),
   ""
)</f>
        <v/>
      </c>
      <c r="E3466" s="7">
        <v>0</v>
      </c>
      <c r="F3466" s="7" t="str">
        <f>IFERROR(
   INDEX(tbl_ProduitsRef[Prix Menu],MATCH(tbl_Ventes[[#This Row],[Produit]],tbl_ProduitsRef[Produit],0)),
   ""
)</f>
        <v/>
      </c>
      <c r="G3466" s="7">
        <f>tbl_Ventes[[#This Row],[Qté Vendue]] * IFERROR(_xlfn.XLOOKUP(tbl_Ventes[[#This Row],[Cde_Prdt]], tbl_Produits[Cde_Prdt], tbl_Produits[Prix Menu]), 0)</f>
        <v>0</v>
      </c>
      <c r="H3466" s="7">
        <f>IFERROR(_xlfn.XLOOKUP(tbl_Ventes[[#This Row],[Cde_Prdt]], tbl_Produits[Cde_Prdt], tbl_Produits[Coût Moyen Portion]), 0)</f>
        <v>0</v>
      </c>
      <c r="I3466" s="7">
        <f>tbl_Ventes[[#This Row],[Qté Vendue]] * tbl_Ventes[[#This Row],[CMP_par_portion]]</f>
        <v>0</v>
      </c>
      <c r="J3466" s="7">
        <f>tbl_Ventes[[#This Row],[CA ligne]] - tbl_Ventes[[#This Row],[Coût matière ligne]]</f>
        <v>0</v>
      </c>
      <c r="K3466" s="7" t="str">
        <f>IFERROR(INDEX(tbl_ProduitsRef[Famille], MATCH(tbl_Ventes[[#This Row],[Cde_Prdt]], tbl_Produits[Cde_Prdt], 0)), "")</f>
        <v/>
      </c>
    </row>
    <row r="3467" spans="1:11" x14ac:dyDescent="0.25">
      <c r="A3467" s="5"/>
      <c r="B3467" s="63" t="str">
        <f>IFERROR(TEXT(tbl_Ventes[[#This Row],[Date]],"mm-aaaa"),"")</f>
        <v>01-1900</v>
      </c>
      <c r="D3467" s="10" t="str">
        <f>IFERROR(
   INDEX(tbl_ProduitsRef[Cde_Prdt],MATCH(tbl_Ventes[[#This Row],[Produit]],tbl_ProduitsRef[Produit],0)),
   ""
)</f>
        <v/>
      </c>
      <c r="E3467" s="7">
        <v>0</v>
      </c>
      <c r="F3467" s="7" t="str">
        <f>IFERROR(
   INDEX(tbl_ProduitsRef[Prix Menu],MATCH(tbl_Ventes[[#This Row],[Produit]],tbl_ProduitsRef[Produit],0)),
   ""
)</f>
        <v/>
      </c>
      <c r="G3467" s="7">
        <f>tbl_Ventes[[#This Row],[Qté Vendue]] * IFERROR(_xlfn.XLOOKUP(tbl_Ventes[[#This Row],[Cde_Prdt]], tbl_Produits[Cde_Prdt], tbl_Produits[Prix Menu]), 0)</f>
        <v>0</v>
      </c>
      <c r="H3467" s="7">
        <f>IFERROR(_xlfn.XLOOKUP(tbl_Ventes[[#This Row],[Cde_Prdt]], tbl_Produits[Cde_Prdt], tbl_Produits[Coût Moyen Portion]), 0)</f>
        <v>0</v>
      </c>
      <c r="I3467" s="7">
        <f>tbl_Ventes[[#This Row],[Qté Vendue]] * tbl_Ventes[[#This Row],[CMP_par_portion]]</f>
        <v>0</v>
      </c>
      <c r="J3467" s="7">
        <f>tbl_Ventes[[#This Row],[CA ligne]] - tbl_Ventes[[#This Row],[Coût matière ligne]]</f>
        <v>0</v>
      </c>
      <c r="K3467" s="7" t="str">
        <f>IFERROR(INDEX(tbl_ProduitsRef[Famille], MATCH(tbl_Ventes[[#This Row],[Cde_Prdt]], tbl_Produits[Cde_Prdt], 0)), "")</f>
        <v/>
      </c>
    </row>
    <row r="3468" spans="1:11" x14ac:dyDescent="0.25">
      <c r="A3468" s="5"/>
      <c r="B3468" s="63" t="str">
        <f>IFERROR(TEXT(tbl_Ventes[[#This Row],[Date]],"mm-aaaa"),"")</f>
        <v>01-1900</v>
      </c>
      <c r="D3468" s="10" t="str">
        <f>IFERROR(
   INDEX(tbl_ProduitsRef[Cde_Prdt],MATCH(tbl_Ventes[[#This Row],[Produit]],tbl_ProduitsRef[Produit],0)),
   ""
)</f>
        <v/>
      </c>
      <c r="E3468" s="7">
        <v>0</v>
      </c>
      <c r="F3468" s="7" t="str">
        <f>IFERROR(
   INDEX(tbl_ProduitsRef[Prix Menu],MATCH(tbl_Ventes[[#This Row],[Produit]],tbl_ProduitsRef[Produit],0)),
   ""
)</f>
        <v/>
      </c>
      <c r="G3468" s="7">
        <f>tbl_Ventes[[#This Row],[Qté Vendue]] * IFERROR(_xlfn.XLOOKUP(tbl_Ventes[[#This Row],[Cde_Prdt]], tbl_Produits[Cde_Prdt], tbl_Produits[Prix Menu]), 0)</f>
        <v>0</v>
      </c>
      <c r="H3468" s="7">
        <f>IFERROR(_xlfn.XLOOKUP(tbl_Ventes[[#This Row],[Cde_Prdt]], tbl_Produits[Cde_Prdt], tbl_Produits[Coût Moyen Portion]), 0)</f>
        <v>0</v>
      </c>
      <c r="I3468" s="7">
        <f>tbl_Ventes[[#This Row],[Qté Vendue]] * tbl_Ventes[[#This Row],[CMP_par_portion]]</f>
        <v>0</v>
      </c>
      <c r="J3468" s="7">
        <f>tbl_Ventes[[#This Row],[CA ligne]] - tbl_Ventes[[#This Row],[Coût matière ligne]]</f>
        <v>0</v>
      </c>
      <c r="K3468" s="7" t="str">
        <f>IFERROR(INDEX(tbl_ProduitsRef[Famille], MATCH(tbl_Ventes[[#This Row],[Cde_Prdt]], tbl_Produits[Cde_Prdt], 0)), "")</f>
        <v/>
      </c>
    </row>
    <row r="3469" spans="1:11" x14ac:dyDescent="0.25">
      <c r="A3469" s="5"/>
      <c r="B3469" s="63" t="str">
        <f>IFERROR(TEXT(tbl_Ventes[[#This Row],[Date]],"mm-aaaa"),"")</f>
        <v>01-1900</v>
      </c>
      <c r="D3469" s="10" t="str">
        <f>IFERROR(
   INDEX(tbl_ProduitsRef[Cde_Prdt],MATCH(tbl_Ventes[[#This Row],[Produit]],tbl_ProduitsRef[Produit],0)),
   ""
)</f>
        <v/>
      </c>
      <c r="E3469" s="7">
        <v>0</v>
      </c>
      <c r="F3469" s="7" t="str">
        <f>IFERROR(
   INDEX(tbl_ProduitsRef[Prix Menu],MATCH(tbl_Ventes[[#This Row],[Produit]],tbl_ProduitsRef[Produit],0)),
   ""
)</f>
        <v/>
      </c>
      <c r="G3469" s="7">
        <f>tbl_Ventes[[#This Row],[Qté Vendue]] * IFERROR(_xlfn.XLOOKUP(tbl_Ventes[[#This Row],[Cde_Prdt]], tbl_Produits[Cde_Prdt], tbl_Produits[Prix Menu]), 0)</f>
        <v>0</v>
      </c>
      <c r="H3469" s="7">
        <f>IFERROR(_xlfn.XLOOKUP(tbl_Ventes[[#This Row],[Cde_Prdt]], tbl_Produits[Cde_Prdt], tbl_Produits[Coût Moyen Portion]), 0)</f>
        <v>0</v>
      </c>
      <c r="I3469" s="7">
        <f>tbl_Ventes[[#This Row],[Qté Vendue]] * tbl_Ventes[[#This Row],[CMP_par_portion]]</f>
        <v>0</v>
      </c>
      <c r="J3469" s="7">
        <f>tbl_Ventes[[#This Row],[CA ligne]] - tbl_Ventes[[#This Row],[Coût matière ligne]]</f>
        <v>0</v>
      </c>
      <c r="K3469" s="7" t="str">
        <f>IFERROR(INDEX(tbl_ProduitsRef[Famille], MATCH(tbl_Ventes[[#This Row],[Cde_Prdt]], tbl_Produits[Cde_Prdt], 0)), "")</f>
        <v/>
      </c>
    </row>
    <row r="3470" spans="1:11" x14ac:dyDescent="0.25">
      <c r="A3470" s="5"/>
      <c r="B3470" s="63" t="str">
        <f>IFERROR(TEXT(tbl_Ventes[[#This Row],[Date]],"mm-aaaa"),"")</f>
        <v>01-1900</v>
      </c>
      <c r="D3470" s="10" t="str">
        <f>IFERROR(
   INDEX(tbl_ProduitsRef[Cde_Prdt],MATCH(tbl_Ventes[[#This Row],[Produit]],tbl_ProduitsRef[Produit],0)),
   ""
)</f>
        <v/>
      </c>
      <c r="E3470" s="7">
        <v>0</v>
      </c>
      <c r="F3470" s="7" t="str">
        <f>IFERROR(
   INDEX(tbl_ProduitsRef[Prix Menu],MATCH(tbl_Ventes[[#This Row],[Produit]],tbl_ProduitsRef[Produit],0)),
   ""
)</f>
        <v/>
      </c>
      <c r="G3470" s="7">
        <f>tbl_Ventes[[#This Row],[Qté Vendue]] * IFERROR(_xlfn.XLOOKUP(tbl_Ventes[[#This Row],[Cde_Prdt]], tbl_Produits[Cde_Prdt], tbl_Produits[Prix Menu]), 0)</f>
        <v>0</v>
      </c>
      <c r="H3470" s="7">
        <f>IFERROR(_xlfn.XLOOKUP(tbl_Ventes[[#This Row],[Cde_Prdt]], tbl_Produits[Cde_Prdt], tbl_Produits[Coût Moyen Portion]), 0)</f>
        <v>0</v>
      </c>
      <c r="I3470" s="7">
        <f>tbl_Ventes[[#This Row],[Qté Vendue]] * tbl_Ventes[[#This Row],[CMP_par_portion]]</f>
        <v>0</v>
      </c>
      <c r="J3470" s="7">
        <f>tbl_Ventes[[#This Row],[CA ligne]] - tbl_Ventes[[#This Row],[Coût matière ligne]]</f>
        <v>0</v>
      </c>
      <c r="K3470" s="7" t="str">
        <f>IFERROR(INDEX(tbl_ProduitsRef[Famille], MATCH(tbl_Ventes[[#This Row],[Cde_Prdt]], tbl_Produits[Cde_Prdt], 0)), "")</f>
        <v/>
      </c>
    </row>
    <row r="3471" spans="1:11" x14ac:dyDescent="0.25">
      <c r="A3471" s="5"/>
      <c r="B3471" s="63" t="str">
        <f>IFERROR(TEXT(tbl_Ventes[[#This Row],[Date]],"mm-aaaa"),"")</f>
        <v>01-1900</v>
      </c>
      <c r="D3471" s="10" t="str">
        <f>IFERROR(
   INDEX(tbl_ProduitsRef[Cde_Prdt],MATCH(tbl_Ventes[[#This Row],[Produit]],tbl_ProduitsRef[Produit],0)),
   ""
)</f>
        <v/>
      </c>
      <c r="E3471" s="7">
        <v>0</v>
      </c>
      <c r="F3471" s="7" t="str">
        <f>IFERROR(
   INDEX(tbl_ProduitsRef[Prix Menu],MATCH(tbl_Ventes[[#This Row],[Produit]],tbl_ProduitsRef[Produit],0)),
   ""
)</f>
        <v/>
      </c>
      <c r="G3471" s="7">
        <f>tbl_Ventes[[#This Row],[Qté Vendue]] * IFERROR(_xlfn.XLOOKUP(tbl_Ventes[[#This Row],[Cde_Prdt]], tbl_Produits[Cde_Prdt], tbl_Produits[Prix Menu]), 0)</f>
        <v>0</v>
      </c>
      <c r="H3471" s="7">
        <f>IFERROR(_xlfn.XLOOKUP(tbl_Ventes[[#This Row],[Cde_Prdt]], tbl_Produits[Cde_Prdt], tbl_Produits[Coût Moyen Portion]), 0)</f>
        <v>0</v>
      </c>
      <c r="I3471" s="7">
        <f>tbl_Ventes[[#This Row],[Qté Vendue]] * tbl_Ventes[[#This Row],[CMP_par_portion]]</f>
        <v>0</v>
      </c>
      <c r="J3471" s="7">
        <f>tbl_Ventes[[#This Row],[CA ligne]] - tbl_Ventes[[#This Row],[Coût matière ligne]]</f>
        <v>0</v>
      </c>
      <c r="K3471" s="7" t="str">
        <f>IFERROR(INDEX(tbl_ProduitsRef[Famille], MATCH(tbl_Ventes[[#This Row],[Cde_Prdt]], tbl_Produits[Cde_Prdt], 0)), "")</f>
        <v/>
      </c>
    </row>
    <row r="3472" spans="1:11" x14ac:dyDescent="0.25">
      <c r="A3472" s="5"/>
      <c r="B3472" s="63" t="str">
        <f>IFERROR(TEXT(tbl_Ventes[[#This Row],[Date]],"mm-aaaa"),"")</f>
        <v>01-1900</v>
      </c>
      <c r="D3472" s="10" t="str">
        <f>IFERROR(
   INDEX(tbl_ProduitsRef[Cde_Prdt],MATCH(tbl_Ventes[[#This Row],[Produit]],tbl_ProduitsRef[Produit],0)),
   ""
)</f>
        <v/>
      </c>
      <c r="E3472" s="7">
        <v>0</v>
      </c>
      <c r="F3472" s="7" t="str">
        <f>IFERROR(
   INDEX(tbl_ProduitsRef[Prix Menu],MATCH(tbl_Ventes[[#This Row],[Produit]],tbl_ProduitsRef[Produit],0)),
   ""
)</f>
        <v/>
      </c>
      <c r="G3472" s="7">
        <f>tbl_Ventes[[#This Row],[Qté Vendue]] * IFERROR(_xlfn.XLOOKUP(tbl_Ventes[[#This Row],[Cde_Prdt]], tbl_Produits[Cde_Prdt], tbl_Produits[Prix Menu]), 0)</f>
        <v>0</v>
      </c>
      <c r="H3472" s="7">
        <f>IFERROR(_xlfn.XLOOKUP(tbl_Ventes[[#This Row],[Cde_Prdt]], tbl_Produits[Cde_Prdt], tbl_Produits[Coût Moyen Portion]), 0)</f>
        <v>0</v>
      </c>
      <c r="I3472" s="7">
        <f>tbl_Ventes[[#This Row],[Qté Vendue]] * tbl_Ventes[[#This Row],[CMP_par_portion]]</f>
        <v>0</v>
      </c>
      <c r="J3472" s="7">
        <f>tbl_Ventes[[#This Row],[CA ligne]] - tbl_Ventes[[#This Row],[Coût matière ligne]]</f>
        <v>0</v>
      </c>
      <c r="K3472" s="7" t="str">
        <f>IFERROR(INDEX(tbl_ProduitsRef[Famille], MATCH(tbl_Ventes[[#This Row],[Cde_Prdt]], tbl_Produits[Cde_Prdt], 0)), "")</f>
        <v/>
      </c>
    </row>
    <row r="3473" spans="1:11" x14ac:dyDescent="0.25">
      <c r="A3473" s="5"/>
      <c r="B3473" s="63" t="str">
        <f>IFERROR(TEXT(tbl_Ventes[[#This Row],[Date]],"mm-aaaa"),"")</f>
        <v>01-1900</v>
      </c>
      <c r="D3473" s="10" t="str">
        <f>IFERROR(
   INDEX(tbl_ProduitsRef[Cde_Prdt],MATCH(tbl_Ventes[[#This Row],[Produit]],tbl_ProduitsRef[Produit],0)),
   ""
)</f>
        <v/>
      </c>
      <c r="E3473" s="7">
        <v>0</v>
      </c>
      <c r="F3473" s="7" t="str">
        <f>IFERROR(
   INDEX(tbl_ProduitsRef[Prix Menu],MATCH(tbl_Ventes[[#This Row],[Produit]],tbl_ProduitsRef[Produit],0)),
   ""
)</f>
        <v/>
      </c>
      <c r="G3473" s="7">
        <f>tbl_Ventes[[#This Row],[Qté Vendue]] * IFERROR(_xlfn.XLOOKUP(tbl_Ventes[[#This Row],[Cde_Prdt]], tbl_Produits[Cde_Prdt], tbl_Produits[Prix Menu]), 0)</f>
        <v>0</v>
      </c>
      <c r="H3473" s="7">
        <f>IFERROR(_xlfn.XLOOKUP(tbl_Ventes[[#This Row],[Cde_Prdt]], tbl_Produits[Cde_Prdt], tbl_Produits[Coût Moyen Portion]), 0)</f>
        <v>0</v>
      </c>
      <c r="I3473" s="7">
        <f>tbl_Ventes[[#This Row],[Qté Vendue]] * tbl_Ventes[[#This Row],[CMP_par_portion]]</f>
        <v>0</v>
      </c>
      <c r="J3473" s="7">
        <f>tbl_Ventes[[#This Row],[CA ligne]] - tbl_Ventes[[#This Row],[Coût matière ligne]]</f>
        <v>0</v>
      </c>
      <c r="K3473" s="7" t="str">
        <f>IFERROR(INDEX(tbl_ProduitsRef[Famille], MATCH(tbl_Ventes[[#This Row],[Cde_Prdt]], tbl_Produits[Cde_Prdt], 0)), "")</f>
        <v/>
      </c>
    </row>
    <row r="3474" spans="1:11" x14ac:dyDescent="0.25">
      <c r="A3474" s="5"/>
      <c r="B3474" s="63" t="str">
        <f>IFERROR(TEXT(tbl_Ventes[[#This Row],[Date]],"mm-aaaa"),"")</f>
        <v>01-1900</v>
      </c>
      <c r="D3474" s="10" t="str">
        <f>IFERROR(
   INDEX(tbl_ProduitsRef[Cde_Prdt],MATCH(tbl_Ventes[[#This Row],[Produit]],tbl_ProduitsRef[Produit],0)),
   ""
)</f>
        <v/>
      </c>
      <c r="E3474" s="7">
        <v>0</v>
      </c>
      <c r="F3474" s="7" t="str">
        <f>IFERROR(
   INDEX(tbl_ProduitsRef[Prix Menu],MATCH(tbl_Ventes[[#This Row],[Produit]],tbl_ProduitsRef[Produit],0)),
   ""
)</f>
        <v/>
      </c>
      <c r="G3474" s="7">
        <f>tbl_Ventes[[#This Row],[Qté Vendue]] * IFERROR(_xlfn.XLOOKUP(tbl_Ventes[[#This Row],[Cde_Prdt]], tbl_Produits[Cde_Prdt], tbl_Produits[Prix Menu]), 0)</f>
        <v>0</v>
      </c>
      <c r="H3474" s="7">
        <f>IFERROR(_xlfn.XLOOKUP(tbl_Ventes[[#This Row],[Cde_Prdt]], tbl_Produits[Cde_Prdt], tbl_Produits[Coût Moyen Portion]), 0)</f>
        <v>0</v>
      </c>
      <c r="I3474" s="7">
        <f>tbl_Ventes[[#This Row],[Qté Vendue]] * tbl_Ventes[[#This Row],[CMP_par_portion]]</f>
        <v>0</v>
      </c>
      <c r="J3474" s="7">
        <f>tbl_Ventes[[#This Row],[CA ligne]] - tbl_Ventes[[#This Row],[Coût matière ligne]]</f>
        <v>0</v>
      </c>
      <c r="K3474" s="7" t="str">
        <f>IFERROR(INDEX(tbl_ProduitsRef[Famille], MATCH(tbl_Ventes[[#This Row],[Cde_Prdt]], tbl_Produits[Cde_Prdt], 0)), "")</f>
        <v/>
      </c>
    </row>
    <row r="3475" spans="1:11" x14ac:dyDescent="0.25">
      <c r="A3475" s="5"/>
      <c r="B3475" s="63" t="str">
        <f>IFERROR(TEXT(tbl_Ventes[[#This Row],[Date]],"mm-aaaa"),"")</f>
        <v>01-1900</v>
      </c>
      <c r="D3475" s="10" t="str">
        <f>IFERROR(
   INDEX(tbl_ProduitsRef[Cde_Prdt],MATCH(tbl_Ventes[[#This Row],[Produit]],tbl_ProduitsRef[Produit],0)),
   ""
)</f>
        <v/>
      </c>
      <c r="E3475" s="7">
        <v>0</v>
      </c>
      <c r="F3475" s="7" t="str">
        <f>IFERROR(
   INDEX(tbl_ProduitsRef[Prix Menu],MATCH(tbl_Ventes[[#This Row],[Produit]],tbl_ProduitsRef[Produit],0)),
   ""
)</f>
        <v/>
      </c>
      <c r="G3475" s="7">
        <f>tbl_Ventes[[#This Row],[Qté Vendue]] * IFERROR(_xlfn.XLOOKUP(tbl_Ventes[[#This Row],[Cde_Prdt]], tbl_Produits[Cde_Prdt], tbl_Produits[Prix Menu]), 0)</f>
        <v>0</v>
      </c>
      <c r="H3475" s="7">
        <f>IFERROR(_xlfn.XLOOKUP(tbl_Ventes[[#This Row],[Cde_Prdt]], tbl_Produits[Cde_Prdt], tbl_Produits[Coût Moyen Portion]), 0)</f>
        <v>0</v>
      </c>
      <c r="I3475" s="7">
        <f>tbl_Ventes[[#This Row],[Qté Vendue]] * tbl_Ventes[[#This Row],[CMP_par_portion]]</f>
        <v>0</v>
      </c>
      <c r="J3475" s="7">
        <f>tbl_Ventes[[#This Row],[CA ligne]] - tbl_Ventes[[#This Row],[Coût matière ligne]]</f>
        <v>0</v>
      </c>
      <c r="K3475" s="7" t="str">
        <f>IFERROR(INDEX(tbl_ProduitsRef[Famille], MATCH(tbl_Ventes[[#This Row],[Cde_Prdt]], tbl_Produits[Cde_Prdt], 0)), "")</f>
        <v/>
      </c>
    </row>
    <row r="3476" spans="1:11" x14ac:dyDescent="0.25">
      <c r="A3476" s="5"/>
      <c r="B3476" s="63" t="str">
        <f>IFERROR(TEXT(tbl_Ventes[[#This Row],[Date]],"mm-aaaa"),"")</f>
        <v>01-1900</v>
      </c>
      <c r="D3476" s="10" t="str">
        <f>IFERROR(
   INDEX(tbl_ProduitsRef[Cde_Prdt],MATCH(tbl_Ventes[[#This Row],[Produit]],tbl_ProduitsRef[Produit],0)),
   ""
)</f>
        <v/>
      </c>
      <c r="E3476" s="7">
        <v>0</v>
      </c>
      <c r="F3476" s="7" t="str">
        <f>IFERROR(
   INDEX(tbl_ProduitsRef[Prix Menu],MATCH(tbl_Ventes[[#This Row],[Produit]],tbl_ProduitsRef[Produit],0)),
   ""
)</f>
        <v/>
      </c>
      <c r="G3476" s="7">
        <f>tbl_Ventes[[#This Row],[Qté Vendue]] * IFERROR(_xlfn.XLOOKUP(tbl_Ventes[[#This Row],[Cde_Prdt]], tbl_Produits[Cde_Prdt], tbl_Produits[Prix Menu]), 0)</f>
        <v>0</v>
      </c>
      <c r="H3476" s="7">
        <f>IFERROR(_xlfn.XLOOKUP(tbl_Ventes[[#This Row],[Cde_Prdt]], tbl_Produits[Cde_Prdt], tbl_Produits[Coût Moyen Portion]), 0)</f>
        <v>0</v>
      </c>
      <c r="I3476" s="7">
        <f>tbl_Ventes[[#This Row],[Qté Vendue]] * tbl_Ventes[[#This Row],[CMP_par_portion]]</f>
        <v>0</v>
      </c>
      <c r="J3476" s="7">
        <f>tbl_Ventes[[#This Row],[CA ligne]] - tbl_Ventes[[#This Row],[Coût matière ligne]]</f>
        <v>0</v>
      </c>
      <c r="K3476" s="7" t="str">
        <f>IFERROR(INDEX(tbl_ProduitsRef[Famille], MATCH(tbl_Ventes[[#This Row],[Cde_Prdt]], tbl_Produits[Cde_Prdt], 0)), "")</f>
        <v/>
      </c>
    </row>
    <row r="3477" spans="1:11" x14ac:dyDescent="0.25">
      <c r="A3477" s="5"/>
      <c r="B3477" s="63" t="str">
        <f>IFERROR(TEXT(tbl_Ventes[[#This Row],[Date]],"mm-aaaa"),"")</f>
        <v>01-1900</v>
      </c>
      <c r="D3477" s="10" t="str">
        <f>IFERROR(
   INDEX(tbl_ProduitsRef[Cde_Prdt],MATCH(tbl_Ventes[[#This Row],[Produit]],tbl_ProduitsRef[Produit],0)),
   ""
)</f>
        <v/>
      </c>
      <c r="E3477" s="7">
        <v>0</v>
      </c>
      <c r="F3477" s="7" t="str">
        <f>IFERROR(
   INDEX(tbl_ProduitsRef[Prix Menu],MATCH(tbl_Ventes[[#This Row],[Produit]],tbl_ProduitsRef[Produit],0)),
   ""
)</f>
        <v/>
      </c>
      <c r="G3477" s="7">
        <f>tbl_Ventes[[#This Row],[Qté Vendue]] * IFERROR(_xlfn.XLOOKUP(tbl_Ventes[[#This Row],[Cde_Prdt]], tbl_Produits[Cde_Prdt], tbl_Produits[Prix Menu]), 0)</f>
        <v>0</v>
      </c>
      <c r="H3477" s="7">
        <f>IFERROR(_xlfn.XLOOKUP(tbl_Ventes[[#This Row],[Cde_Prdt]], tbl_Produits[Cde_Prdt], tbl_Produits[Coût Moyen Portion]), 0)</f>
        <v>0</v>
      </c>
      <c r="I3477" s="7">
        <f>tbl_Ventes[[#This Row],[Qté Vendue]] * tbl_Ventes[[#This Row],[CMP_par_portion]]</f>
        <v>0</v>
      </c>
      <c r="J3477" s="7">
        <f>tbl_Ventes[[#This Row],[CA ligne]] - tbl_Ventes[[#This Row],[Coût matière ligne]]</f>
        <v>0</v>
      </c>
      <c r="K3477" s="7" t="str">
        <f>IFERROR(INDEX(tbl_ProduitsRef[Famille], MATCH(tbl_Ventes[[#This Row],[Cde_Prdt]], tbl_Produits[Cde_Prdt], 0)), "")</f>
        <v/>
      </c>
    </row>
    <row r="3478" spans="1:11" x14ac:dyDescent="0.25">
      <c r="A3478" s="5"/>
      <c r="B3478" s="63" t="str">
        <f>IFERROR(TEXT(tbl_Ventes[[#This Row],[Date]],"mm-aaaa"),"")</f>
        <v>01-1900</v>
      </c>
      <c r="D3478" s="10" t="str">
        <f>IFERROR(
   INDEX(tbl_ProduitsRef[Cde_Prdt],MATCH(tbl_Ventes[[#This Row],[Produit]],tbl_ProduitsRef[Produit],0)),
   ""
)</f>
        <v/>
      </c>
      <c r="E3478" s="7">
        <v>0</v>
      </c>
      <c r="F3478" s="7" t="str">
        <f>IFERROR(
   INDEX(tbl_ProduitsRef[Prix Menu],MATCH(tbl_Ventes[[#This Row],[Produit]],tbl_ProduitsRef[Produit],0)),
   ""
)</f>
        <v/>
      </c>
      <c r="G3478" s="7">
        <f>tbl_Ventes[[#This Row],[Qté Vendue]] * IFERROR(_xlfn.XLOOKUP(tbl_Ventes[[#This Row],[Cde_Prdt]], tbl_Produits[Cde_Prdt], tbl_Produits[Prix Menu]), 0)</f>
        <v>0</v>
      </c>
      <c r="H3478" s="7">
        <f>IFERROR(_xlfn.XLOOKUP(tbl_Ventes[[#This Row],[Cde_Prdt]], tbl_Produits[Cde_Prdt], tbl_Produits[Coût Moyen Portion]), 0)</f>
        <v>0</v>
      </c>
      <c r="I3478" s="7">
        <f>tbl_Ventes[[#This Row],[Qté Vendue]] * tbl_Ventes[[#This Row],[CMP_par_portion]]</f>
        <v>0</v>
      </c>
      <c r="J3478" s="7">
        <f>tbl_Ventes[[#This Row],[CA ligne]] - tbl_Ventes[[#This Row],[Coût matière ligne]]</f>
        <v>0</v>
      </c>
      <c r="K3478" s="7" t="str">
        <f>IFERROR(INDEX(tbl_ProduitsRef[Famille], MATCH(tbl_Ventes[[#This Row],[Cde_Prdt]], tbl_Produits[Cde_Prdt], 0)), "")</f>
        <v/>
      </c>
    </row>
    <row r="3479" spans="1:11" x14ac:dyDescent="0.25">
      <c r="A3479" s="5"/>
      <c r="B3479" s="63" t="str">
        <f>IFERROR(TEXT(tbl_Ventes[[#This Row],[Date]],"mm-aaaa"),"")</f>
        <v>01-1900</v>
      </c>
      <c r="D3479" s="10" t="str">
        <f>IFERROR(
   INDEX(tbl_ProduitsRef[Cde_Prdt],MATCH(tbl_Ventes[[#This Row],[Produit]],tbl_ProduitsRef[Produit],0)),
   ""
)</f>
        <v/>
      </c>
      <c r="E3479" s="7">
        <v>0</v>
      </c>
      <c r="F3479" s="7" t="str">
        <f>IFERROR(
   INDEX(tbl_ProduitsRef[Prix Menu],MATCH(tbl_Ventes[[#This Row],[Produit]],tbl_ProduitsRef[Produit],0)),
   ""
)</f>
        <v/>
      </c>
      <c r="G3479" s="7">
        <f>tbl_Ventes[[#This Row],[Qté Vendue]] * IFERROR(_xlfn.XLOOKUP(tbl_Ventes[[#This Row],[Cde_Prdt]], tbl_Produits[Cde_Prdt], tbl_Produits[Prix Menu]), 0)</f>
        <v>0</v>
      </c>
      <c r="H3479" s="7">
        <f>IFERROR(_xlfn.XLOOKUP(tbl_Ventes[[#This Row],[Cde_Prdt]], tbl_Produits[Cde_Prdt], tbl_Produits[Coût Moyen Portion]), 0)</f>
        <v>0</v>
      </c>
      <c r="I3479" s="7">
        <f>tbl_Ventes[[#This Row],[Qté Vendue]] * tbl_Ventes[[#This Row],[CMP_par_portion]]</f>
        <v>0</v>
      </c>
      <c r="J3479" s="7">
        <f>tbl_Ventes[[#This Row],[CA ligne]] - tbl_Ventes[[#This Row],[Coût matière ligne]]</f>
        <v>0</v>
      </c>
      <c r="K3479" s="7" t="str">
        <f>IFERROR(INDEX(tbl_ProduitsRef[Famille], MATCH(tbl_Ventes[[#This Row],[Cde_Prdt]], tbl_Produits[Cde_Prdt], 0)), "")</f>
        <v/>
      </c>
    </row>
    <row r="3480" spans="1:11" x14ac:dyDescent="0.25">
      <c r="A3480" s="5"/>
      <c r="B3480" s="63" t="str">
        <f>IFERROR(TEXT(tbl_Ventes[[#This Row],[Date]],"mm-aaaa"),"")</f>
        <v>01-1900</v>
      </c>
      <c r="D3480" s="10" t="str">
        <f>IFERROR(
   INDEX(tbl_ProduitsRef[Cde_Prdt],MATCH(tbl_Ventes[[#This Row],[Produit]],tbl_ProduitsRef[Produit],0)),
   ""
)</f>
        <v/>
      </c>
      <c r="E3480" s="7">
        <v>0</v>
      </c>
      <c r="F3480" s="7" t="str">
        <f>IFERROR(
   INDEX(tbl_ProduitsRef[Prix Menu],MATCH(tbl_Ventes[[#This Row],[Produit]],tbl_ProduitsRef[Produit],0)),
   ""
)</f>
        <v/>
      </c>
      <c r="G3480" s="7">
        <f>tbl_Ventes[[#This Row],[Qté Vendue]] * IFERROR(_xlfn.XLOOKUP(tbl_Ventes[[#This Row],[Cde_Prdt]], tbl_Produits[Cde_Prdt], tbl_Produits[Prix Menu]), 0)</f>
        <v>0</v>
      </c>
      <c r="H3480" s="7">
        <f>IFERROR(_xlfn.XLOOKUP(tbl_Ventes[[#This Row],[Cde_Prdt]], tbl_Produits[Cde_Prdt], tbl_Produits[Coût Moyen Portion]), 0)</f>
        <v>0</v>
      </c>
      <c r="I3480" s="7">
        <f>tbl_Ventes[[#This Row],[Qté Vendue]] * tbl_Ventes[[#This Row],[CMP_par_portion]]</f>
        <v>0</v>
      </c>
      <c r="J3480" s="7">
        <f>tbl_Ventes[[#This Row],[CA ligne]] - tbl_Ventes[[#This Row],[Coût matière ligne]]</f>
        <v>0</v>
      </c>
      <c r="K3480" s="7" t="str">
        <f>IFERROR(INDEX(tbl_ProduitsRef[Famille], MATCH(tbl_Ventes[[#This Row],[Cde_Prdt]], tbl_Produits[Cde_Prdt], 0)), "")</f>
        <v/>
      </c>
    </row>
    <row r="3481" spans="1:11" x14ac:dyDescent="0.25">
      <c r="A3481" s="5"/>
      <c r="B3481" s="63" t="str">
        <f>IFERROR(TEXT(tbl_Ventes[[#This Row],[Date]],"mm-aaaa"),"")</f>
        <v>01-1900</v>
      </c>
      <c r="D3481" s="10" t="str">
        <f>IFERROR(
   INDEX(tbl_ProduitsRef[Cde_Prdt],MATCH(tbl_Ventes[[#This Row],[Produit]],tbl_ProduitsRef[Produit],0)),
   ""
)</f>
        <v/>
      </c>
      <c r="E3481" s="7">
        <v>0</v>
      </c>
      <c r="F3481" s="7" t="str">
        <f>IFERROR(
   INDEX(tbl_ProduitsRef[Prix Menu],MATCH(tbl_Ventes[[#This Row],[Produit]],tbl_ProduitsRef[Produit],0)),
   ""
)</f>
        <v/>
      </c>
      <c r="G3481" s="7">
        <f>tbl_Ventes[[#This Row],[Qté Vendue]] * IFERROR(_xlfn.XLOOKUP(tbl_Ventes[[#This Row],[Cde_Prdt]], tbl_Produits[Cde_Prdt], tbl_Produits[Prix Menu]), 0)</f>
        <v>0</v>
      </c>
      <c r="H3481" s="7">
        <f>IFERROR(_xlfn.XLOOKUP(tbl_Ventes[[#This Row],[Cde_Prdt]], tbl_Produits[Cde_Prdt], tbl_Produits[Coût Moyen Portion]), 0)</f>
        <v>0</v>
      </c>
      <c r="I3481" s="7">
        <f>tbl_Ventes[[#This Row],[Qté Vendue]] * tbl_Ventes[[#This Row],[CMP_par_portion]]</f>
        <v>0</v>
      </c>
      <c r="J3481" s="7">
        <f>tbl_Ventes[[#This Row],[CA ligne]] - tbl_Ventes[[#This Row],[Coût matière ligne]]</f>
        <v>0</v>
      </c>
      <c r="K3481" s="7" t="str">
        <f>IFERROR(INDEX(tbl_ProduitsRef[Famille], MATCH(tbl_Ventes[[#This Row],[Cde_Prdt]], tbl_Produits[Cde_Prdt], 0)), "")</f>
        <v/>
      </c>
    </row>
    <row r="3482" spans="1:11" x14ac:dyDescent="0.25">
      <c r="A3482" s="5"/>
      <c r="B3482" s="63" t="str">
        <f>IFERROR(TEXT(tbl_Ventes[[#This Row],[Date]],"mm-aaaa"),"")</f>
        <v>01-1900</v>
      </c>
      <c r="D3482" s="10" t="str">
        <f>IFERROR(
   INDEX(tbl_ProduitsRef[Cde_Prdt],MATCH(tbl_Ventes[[#This Row],[Produit]],tbl_ProduitsRef[Produit],0)),
   ""
)</f>
        <v/>
      </c>
      <c r="E3482" s="7">
        <v>0</v>
      </c>
      <c r="F3482" s="7" t="str">
        <f>IFERROR(
   INDEX(tbl_ProduitsRef[Prix Menu],MATCH(tbl_Ventes[[#This Row],[Produit]],tbl_ProduitsRef[Produit],0)),
   ""
)</f>
        <v/>
      </c>
      <c r="G3482" s="7">
        <f>tbl_Ventes[[#This Row],[Qté Vendue]] * IFERROR(_xlfn.XLOOKUP(tbl_Ventes[[#This Row],[Cde_Prdt]], tbl_Produits[Cde_Prdt], tbl_Produits[Prix Menu]), 0)</f>
        <v>0</v>
      </c>
      <c r="H3482" s="7">
        <f>IFERROR(_xlfn.XLOOKUP(tbl_Ventes[[#This Row],[Cde_Prdt]], tbl_Produits[Cde_Prdt], tbl_Produits[Coût Moyen Portion]), 0)</f>
        <v>0</v>
      </c>
      <c r="I3482" s="7">
        <f>tbl_Ventes[[#This Row],[Qté Vendue]] * tbl_Ventes[[#This Row],[CMP_par_portion]]</f>
        <v>0</v>
      </c>
      <c r="J3482" s="7">
        <f>tbl_Ventes[[#This Row],[CA ligne]] - tbl_Ventes[[#This Row],[Coût matière ligne]]</f>
        <v>0</v>
      </c>
      <c r="K3482" s="7" t="str">
        <f>IFERROR(INDEX(tbl_ProduitsRef[Famille], MATCH(tbl_Ventes[[#This Row],[Cde_Prdt]], tbl_Produits[Cde_Prdt], 0)), "")</f>
        <v/>
      </c>
    </row>
    <row r="3483" spans="1:11" x14ac:dyDescent="0.25">
      <c r="A3483" s="5"/>
      <c r="B3483" s="63" t="str">
        <f>IFERROR(TEXT(tbl_Ventes[[#This Row],[Date]],"mm-aaaa"),"")</f>
        <v>01-1900</v>
      </c>
      <c r="D3483" s="10" t="str">
        <f>IFERROR(
   INDEX(tbl_ProduitsRef[Cde_Prdt],MATCH(tbl_Ventes[[#This Row],[Produit]],tbl_ProduitsRef[Produit],0)),
   ""
)</f>
        <v/>
      </c>
      <c r="E3483" s="7">
        <v>0</v>
      </c>
      <c r="F3483" s="7" t="str">
        <f>IFERROR(
   INDEX(tbl_ProduitsRef[Prix Menu],MATCH(tbl_Ventes[[#This Row],[Produit]],tbl_ProduitsRef[Produit],0)),
   ""
)</f>
        <v/>
      </c>
      <c r="G3483" s="7">
        <f>tbl_Ventes[[#This Row],[Qté Vendue]] * IFERROR(_xlfn.XLOOKUP(tbl_Ventes[[#This Row],[Cde_Prdt]], tbl_Produits[Cde_Prdt], tbl_Produits[Prix Menu]), 0)</f>
        <v>0</v>
      </c>
      <c r="H3483" s="7">
        <f>IFERROR(_xlfn.XLOOKUP(tbl_Ventes[[#This Row],[Cde_Prdt]], tbl_Produits[Cde_Prdt], tbl_Produits[Coût Moyen Portion]), 0)</f>
        <v>0</v>
      </c>
      <c r="I3483" s="7">
        <f>tbl_Ventes[[#This Row],[Qté Vendue]] * tbl_Ventes[[#This Row],[CMP_par_portion]]</f>
        <v>0</v>
      </c>
      <c r="J3483" s="7">
        <f>tbl_Ventes[[#This Row],[CA ligne]] - tbl_Ventes[[#This Row],[Coût matière ligne]]</f>
        <v>0</v>
      </c>
      <c r="K3483" s="7" t="str">
        <f>IFERROR(INDEX(tbl_ProduitsRef[Famille], MATCH(tbl_Ventes[[#This Row],[Cde_Prdt]], tbl_Produits[Cde_Prdt], 0)), "")</f>
        <v/>
      </c>
    </row>
    <row r="3484" spans="1:11" x14ac:dyDescent="0.25">
      <c r="A3484" s="5"/>
      <c r="B3484" s="63" t="str">
        <f>IFERROR(TEXT(tbl_Ventes[[#This Row],[Date]],"mm-aaaa"),"")</f>
        <v>01-1900</v>
      </c>
      <c r="D3484" s="10" t="str">
        <f>IFERROR(
   INDEX(tbl_ProduitsRef[Cde_Prdt],MATCH(tbl_Ventes[[#This Row],[Produit]],tbl_ProduitsRef[Produit],0)),
   ""
)</f>
        <v/>
      </c>
      <c r="E3484" s="7">
        <v>0</v>
      </c>
      <c r="F3484" s="7" t="str">
        <f>IFERROR(
   INDEX(tbl_ProduitsRef[Prix Menu],MATCH(tbl_Ventes[[#This Row],[Produit]],tbl_ProduitsRef[Produit],0)),
   ""
)</f>
        <v/>
      </c>
      <c r="G3484" s="7">
        <f>tbl_Ventes[[#This Row],[Qté Vendue]] * IFERROR(_xlfn.XLOOKUP(tbl_Ventes[[#This Row],[Cde_Prdt]], tbl_Produits[Cde_Prdt], tbl_Produits[Prix Menu]), 0)</f>
        <v>0</v>
      </c>
      <c r="H3484" s="7">
        <f>IFERROR(_xlfn.XLOOKUP(tbl_Ventes[[#This Row],[Cde_Prdt]], tbl_Produits[Cde_Prdt], tbl_Produits[Coût Moyen Portion]), 0)</f>
        <v>0</v>
      </c>
      <c r="I3484" s="7">
        <f>tbl_Ventes[[#This Row],[Qté Vendue]] * tbl_Ventes[[#This Row],[CMP_par_portion]]</f>
        <v>0</v>
      </c>
      <c r="J3484" s="7">
        <f>tbl_Ventes[[#This Row],[CA ligne]] - tbl_Ventes[[#This Row],[Coût matière ligne]]</f>
        <v>0</v>
      </c>
      <c r="K3484" s="7" t="str">
        <f>IFERROR(INDEX(tbl_ProduitsRef[Famille], MATCH(tbl_Ventes[[#This Row],[Cde_Prdt]], tbl_Produits[Cde_Prdt], 0)), "")</f>
        <v/>
      </c>
    </row>
    <row r="3485" spans="1:11" x14ac:dyDescent="0.25">
      <c r="A3485" s="5"/>
      <c r="B3485" s="63" t="str">
        <f>IFERROR(TEXT(tbl_Ventes[[#This Row],[Date]],"mm-aaaa"),"")</f>
        <v>01-1900</v>
      </c>
      <c r="D3485" s="10" t="str">
        <f>IFERROR(
   INDEX(tbl_ProduitsRef[Cde_Prdt],MATCH(tbl_Ventes[[#This Row],[Produit]],tbl_ProduitsRef[Produit],0)),
   ""
)</f>
        <v/>
      </c>
      <c r="E3485" s="7">
        <v>0</v>
      </c>
      <c r="F3485" s="7" t="str">
        <f>IFERROR(
   INDEX(tbl_ProduitsRef[Prix Menu],MATCH(tbl_Ventes[[#This Row],[Produit]],tbl_ProduitsRef[Produit],0)),
   ""
)</f>
        <v/>
      </c>
      <c r="G3485" s="7">
        <f>tbl_Ventes[[#This Row],[Qté Vendue]] * IFERROR(_xlfn.XLOOKUP(tbl_Ventes[[#This Row],[Cde_Prdt]], tbl_Produits[Cde_Prdt], tbl_Produits[Prix Menu]), 0)</f>
        <v>0</v>
      </c>
      <c r="H3485" s="7">
        <f>IFERROR(_xlfn.XLOOKUP(tbl_Ventes[[#This Row],[Cde_Prdt]], tbl_Produits[Cde_Prdt], tbl_Produits[Coût Moyen Portion]), 0)</f>
        <v>0</v>
      </c>
      <c r="I3485" s="7">
        <f>tbl_Ventes[[#This Row],[Qté Vendue]] * tbl_Ventes[[#This Row],[CMP_par_portion]]</f>
        <v>0</v>
      </c>
      <c r="J3485" s="7">
        <f>tbl_Ventes[[#This Row],[CA ligne]] - tbl_Ventes[[#This Row],[Coût matière ligne]]</f>
        <v>0</v>
      </c>
      <c r="K3485" s="7" t="str">
        <f>IFERROR(INDEX(tbl_ProduitsRef[Famille], MATCH(tbl_Ventes[[#This Row],[Cde_Prdt]], tbl_Produits[Cde_Prdt], 0)), "")</f>
        <v/>
      </c>
    </row>
    <row r="3486" spans="1:11" x14ac:dyDescent="0.25">
      <c r="A3486" s="5"/>
      <c r="B3486" s="63" t="str">
        <f>IFERROR(TEXT(tbl_Ventes[[#This Row],[Date]],"mm-aaaa"),"")</f>
        <v>01-1900</v>
      </c>
      <c r="D3486" s="10" t="str">
        <f>IFERROR(
   INDEX(tbl_ProduitsRef[Cde_Prdt],MATCH(tbl_Ventes[[#This Row],[Produit]],tbl_ProduitsRef[Produit],0)),
   ""
)</f>
        <v/>
      </c>
      <c r="E3486" s="7">
        <v>0</v>
      </c>
      <c r="F3486" s="7" t="str">
        <f>IFERROR(
   INDEX(tbl_ProduitsRef[Prix Menu],MATCH(tbl_Ventes[[#This Row],[Produit]],tbl_ProduitsRef[Produit],0)),
   ""
)</f>
        <v/>
      </c>
      <c r="G3486" s="7">
        <f>tbl_Ventes[[#This Row],[Qté Vendue]] * IFERROR(_xlfn.XLOOKUP(tbl_Ventes[[#This Row],[Cde_Prdt]], tbl_Produits[Cde_Prdt], tbl_Produits[Prix Menu]), 0)</f>
        <v>0</v>
      </c>
      <c r="H3486" s="7">
        <f>IFERROR(_xlfn.XLOOKUP(tbl_Ventes[[#This Row],[Cde_Prdt]], tbl_Produits[Cde_Prdt], tbl_Produits[Coût Moyen Portion]), 0)</f>
        <v>0</v>
      </c>
      <c r="I3486" s="7">
        <f>tbl_Ventes[[#This Row],[Qté Vendue]] * tbl_Ventes[[#This Row],[CMP_par_portion]]</f>
        <v>0</v>
      </c>
      <c r="J3486" s="7">
        <f>tbl_Ventes[[#This Row],[CA ligne]] - tbl_Ventes[[#This Row],[Coût matière ligne]]</f>
        <v>0</v>
      </c>
      <c r="K3486" s="7" t="str">
        <f>IFERROR(INDEX(tbl_ProduitsRef[Famille], MATCH(tbl_Ventes[[#This Row],[Cde_Prdt]], tbl_Produits[Cde_Prdt], 0)), "")</f>
        <v/>
      </c>
    </row>
    <row r="3487" spans="1:11" x14ac:dyDescent="0.25">
      <c r="A3487" s="5"/>
      <c r="B3487" s="63" t="str">
        <f>IFERROR(TEXT(tbl_Ventes[[#This Row],[Date]],"mm-aaaa"),"")</f>
        <v>01-1900</v>
      </c>
      <c r="D3487" s="10" t="str">
        <f>IFERROR(
   INDEX(tbl_ProduitsRef[Cde_Prdt],MATCH(tbl_Ventes[[#This Row],[Produit]],tbl_ProduitsRef[Produit],0)),
   ""
)</f>
        <v/>
      </c>
      <c r="E3487" s="7">
        <v>0</v>
      </c>
      <c r="F3487" s="7" t="str">
        <f>IFERROR(
   INDEX(tbl_ProduitsRef[Prix Menu],MATCH(tbl_Ventes[[#This Row],[Produit]],tbl_ProduitsRef[Produit],0)),
   ""
)</f>
        <v/>
      </c>
      <c r="G3487" s="7">
        <f>tbl_Ventes[[#This Row],[Qté Vendue]] * IFERROR(_xlfn.XLOOKUP(tbl_Ventes[[#This Row],[Cde_Prdt]], tbl_Produits[Cde_Prdt], tbl_Produits[Prix Menu]), 0)</f>
        <v>0</v>
      </c>
      <c r="H3487" s="7">
        <f>IFERROR(_xlfn.XLOOKUP(tbl_Ventes[[#This Row],[Cde_Prdt]], tbl_Produits[Cde_Prdt], tbl_Produits[Coût Moyen Portion]), 0)</f>
        <v>0</v>
      </c>
      <c r="I3487" s="7">
        <f>tbl_Ventes[[#This Row],[Qté Vendue]] * tbl_Ventes[[#This Row],[CMP_par_portion]]</f>
        <v>0</v>
      </c>
      <c r="J3487" s="7">
        <f>tbl_Ventes[[#This Row],[CA ligne]] - tbl_Ventes[[#This Row],[Coût matière ligne]]</f>
        <v>0</v>
      </c>
      <c r="K3487" s="7" t="str">
        <f>IFERROR(INDEX(tbl_ProduitsRef[Famille], MATCH(tbl_Ventes[[#This Row],[Cde_Prdt]], tbl_Produits[Cde_Prdt], 0)), "")</f>
        <v/>
      </c>
    </row>
    <row r="3488" spans="1:11" x14ac:dyDescent="0.25">
      <c r="A3488" s="5"/>
      <c r="B3488" s="63" t="str">
        <f>IFERROR(TEXT(tbl_Ventes[[#This Row],[Date]],"mm-aaaa"),"")</f>
        <v>01-1900</v>
      </c>
      <c r="D3488" s="10" t="str">
        <f>IFERROR(
   INDEX(tbl_ProduitsRef[Cde_Prdt],MATCH(tbl_Ventes[[#This Row],[Produit]],tbl_ProduitsRef[Produit],0)),
   ""
)</f>
        <v/>
      </c>
      <c r="E3488" s="7">
        <v>0</v>
      </c>
      <c r="F3488" s="7" t="str">
        <f>IFERROR(
   INDEX(tbl_ProduitsRef[Prix Menu],MATCH(tbl_Ventes[[#This Row],[Produit]],tbl_ProduitsRef[Produit],0)),
   ""
)</f>
        <v/>
      </c>
      <c r="G3488" s="7">
        <f>tbl_Ventes[[#This Row],[Qté Vendue]] * IFERROR(_xlfn.XLOOKUP(tbl_Ventes[[#This Row],[Cde_Prdt]], tbl_Produits[Cde_Prdt], tbl_Produits[Prix Menu]), 0)</f>
        <v>0</v>
      </c>
      <c r="H3488" s="7">
        <f>IFERROR(_xlfn.XLOOKUP(tbl_Ventes[[#This Row],[Cde_Prdt]], tbl_Produits[Cde_Prdt], tbl_Produits[Coût Moyen Portion]), 0)</f>
        <v>0</v>
      </c>
      <c r="I3488" s="7">
        <f>tbl_Ventes[[#This Row],[Qté Vendue]] * tbl_Ventes[[#This Row],[CMP_par_portion]]</f>
        <v>0</v>
      </c>
      <c r="J3488" s="7">
        <f>tbl_Ventes[[#This Row],[CA ligne]] - tbl_Ventes[[#This Row],[Coût matière ligne]]</f>
        <v>0</v>
      </c>
      <c r="K3488" s="7" t="str">
        <f>IFERROR(INDEX(tbl_ProduitsRef[Famille], MATCH(tbl_Ventes[[#This Row],[Cde_Prdt]], tbl_Produits[Cde_Prdt], 0)), "")</f>
        <v/>
      </c>
    </row>
    <row r="3489" spans="1:11" x14ac:dyDescent="0.25">
      <c r="A3489" s="5"/>
      <c r="B3489" s="63" t="str">
        <f>IFERROR(TEXT(tbl_Ventes[[#This Row],[Date]],"mm-aaaa"),"")</f>
        <v>01-1900</v>
      </c>
      <c r="D3489" s="10" t="str">
        <f>IFERROR(
   INDEX(tbl_ProduitsRef[Cde_Prdt],MATCH(tbl_Ventes[[#This Row],[Produit]],tbl_ProduitsRef[Produit],0)),
   ""
)</f>
        <v/>
      </c>
      <c r="E3489" s="7">
        <v>0</v>
      </c>
      <c r="F3489" s="7" t="str">
        <f>IFERROR(
   INDEX(tbl_ProduitsRef[Prix Menu],MATCH(tbl_Ventes[[#This Row],[Produit]],tbl_ProduitsRef[Produit],0)),
   ""
)</f>
        <v/>
      </c>
      <c r="G3489" s="7">
        <f>tbl_Ventes[[#This Row],[Qté Vendue]] * IFERROR(_xlfn.XLOOKUP(tbl_Ventes[[#This Row],[Cde_Prdt]], tbl_Produits[Cde_Prdt], tbl_Produits[Prix Menu]), 0)</f>
        <v>0</v>
      </c>
      <c r="H3489" s="7">
        <f>IFERROR(_xlfn.XLOOKUP(tbl_Ventes[[#This Row],[Cde_Prdt]], tbl_Produits[Cde_Prdt], tbl_Produits[Coût Moyen Portion]), 0)</f>
        <v>0</v>
      </c>
      <c r="I3489" s="7">
        <f>tbl_Ventes[[#This Row],[Qté Vendue]] * tbl_Ventes[[#This Row],[CMP_par_portion]]</f>
        <v>0</v>
      </c>
      <c r="J3489" s="7">
        <f>tbl_Ventes[[#This Row],[CA ligne]] - tbl_Ventes[[#This Row],[Coût matière ligne]]</f>
        <v>0</v>
      </c>
      <c r="K3489" s="7" t="str">
        <f>IFERROR(INDEX(tbl_ProduitsRef[Famille], MATCH(tbl_Ventes[[#This Row],[Cde_Prdt]], tbl_Produits[Cde_Prdt], 0)), "")</f>
        <v/>
      </c>
    </row>
    <row r="3490" spans="1:11" x14ac:dyDescent="0.25">
      <c r="A3490" s="5"/>
      <c r="B3490" s="63" t="str">
        <f>IFERROR(TEXT(tbl_Ventes[[#This Row],[Date]],"mm-aaaa"),"")</f>
        <v>01-1900</v>
      </c>
      <c r="D3490" s="10" t="str">
        <f>IFERROR(
   INDEX(tbl_ProduitsRef[Cde_Prdt],MATCH(tbl_Ventes[[#This Row],[Produit]],tbl_ProduitsRef[Produit],0)),
   ""
)</f>
        <v/>
      </c>
      <c r="E3490" s="7">
        <v>0</v>
      </c>
      <c r="F3490" s="7" t="str">
        <f>IFERROR(
   INDEX(tbl_ProduitsRef[Prix Menu],MATCH(tbl_Ventes[[#This Row],[Produit]],tbl_ProduitsRef[Produit],0)),
   ""
)</f>
        <v/>
      </c>
      <c r="G3490" s="7">
        <f>tbl_Ventes[[#This Row],[Qté Vendue]] * IFERROR(_xlfn.XLOOKUP(tbl_Ventes[[#This Row],[Cde_Prdt]], tbl_Produits[Cde_Prdt], tbl_Produits[Prix Menu]), 0)</f>
        <v>0</v>
      </c>
      <c r="H3490" s="7">
        <f>IFERROR(_xlfn.XLOOKUP(tbl_Ventes[[#This Row],[Cde_Prdt]], tbl_Produits[Cde_Prdt], tbl_Produits[Coût Moyen Portion]), 0)</f>
        <v>0</v>
      </c>
      <c r="I3490" s="7">
        <f>tbl_Ventes[[#This Row],[Qté Vendue]] * tbl_Ventes[[#This Row],[CMP_par_portion]]</f>
        <v>0</v>
      </c>
      <c r="J3490" s="7">
        <f>tbl_Ventes[[#This Row],[CA ligne]] - tbl_Ventes[[#This Row],[Coût matière ligne]]</f>
        <v>0</v>
      </c>
      <c r="K3490" s="7" t="str">
        <f>IFERROR(INDEX(tbl_ProduitsRef[Famille], MATCH(tbl_Ventes[[#This Row],[Cde_Prdt]], tbl_Produits[Cde_Prdt], 0)), "")</f>
        <v/>
      </c>
    </row>
    <row r="3491" spans="1:11" x14ac:dyDescent="0.25">
      <c r="A3491" s="5"/>
      <c r="B3491" s="63" t="str">
        <f>IFERROR(TEXT(tbl_Ventes[[#This Row],[Date]],"mm-aaaa"),"")</f>
        <v>01-1900</v>
      </c>
      <c r="D3491" s="10" t="str">
        <f>IFERROR(
   INDEX(tbl_ProduitsRef[Cde_Prdt],MATCH(tbl_Ventes[[#This Row],[Produit]],tbl_ProduitsRef[Produit],0)),
   ""
)</f>
        <v/>
      </c>
      <c r="E3491" s="7">
        <v>0</v>
      </c>
      <c r="F3491" s="7" t="str">
        <f>IFERROR(
   INDEX(tbl_ProduitsRef[Prix Menu],MATCH(tbl_Ventes[[#This Row],[Produit]],tbl_ProduitsRef[Produit],0)),
   ""
)</f>
        <v/>
      </c>
      <c r="G3491" s="7">
        <f>tbl_Ventes[[#This Row],[Qté Vendue]] * IFERROR(_xlfn.XLOOKUP(tbl_Ventes[[#This Row],[Cde_Prdt]], tbl_Produits[Cde_Prdt], tbl_Produits[Prix Menu]), 0)</f>
        <v>0</v>
      </c>
      <c r="H3491" s="7">
        <f>IFERROR(_xlfn.XLOOKUP(tbl_Ventes[[#This Row],[Cde_Prdt]], tbl_Produits[Cde_Prdt], tbl_Produits[Coût Moyen Portion]), 0)</f>
        <v>0</v>
      </c>
      <c r="I3491" s="7">
        <f>tbl_Ventes[[#This Row],[Qté Vendue]] * tbl_Ventes[[#This Row],[CMP_par_portion]]</f>
        <v>0</v>
      </c>
      <c r="J3491" s="7">
        <f>tbl_Ventes[[#This Row],[CA ligne]] - tbl_Ventes[[#This Row],[Coût matière ligne]]</f>
        <v>0</v>
      </c>
      <c r="K3491" s="7" t="str">
        <f>IFERROR(INDEX(tbl_ProduitsRef[Famille], MATCH(tbl_Ventes[[#This Row],[Cde_Prdt]], tbl_Produits[Cde_Prdt], 0)), "")</f>
        <v/>
      </c>
    </row>
    <row r="3492" spans="1:11" x14ac:dyDescent="0.25">
      <c r="A3492" s="5"/>
      <c r="B3492" s="63" t="str">
        <f>IFERROR(TEXT(tbl_Ventes[[#This Row],[Date]],"mm-aaaa"),"")</f>
        <v>01-1900</v>
      </c>
      <c r="D3492" s="10" t="str">
        <f>IFERROR(
   INDEX(tbl_ProduitsRef[Cde_Prdt],MATCH(tbl_Ventes[[#This Row],[Produit]],tbl_ProduitsRef[Produit],0)),
   ""
)</f>
        <v/>
      </c>
      <c r="E3492" s="7">
        <v>0</v>
      </c>
      <c r="F3492" s="7" t="str">
        <f>IFERROR(
   INDEX(tbl_ProduitsRef[Prix Menu],MATCH(tbl_Ventes[[#This Row],[Produit]],tbl_ProduitsRef[Produit],0)),
   ""
)</f>
        <v/>
      </c>
      <c r="G3492" s="7">
        <f>tbl_Ventes[[#This Row],[Qté Vendue]] * IFERROR(_xlfn.XLOOKUP(tbl_Ventes[[#This Row],[Cde_Prdt]], tbl_Produits[Cde_Prdt], tbl_Produits[Prix Menu]), 0)</f>
        <v>0</v>
      </c>
      <c r="H3492" s="7">
        <f>IFERROR(_xlfn.XLOOKUP(tbl_Ventes[[#This Row],[Cde_Prdt]], tbl_Produits[Cde_Prdt], tbl_Produits[Coût Moyen Portion]), 0)</f>
        <v>0</v>
      </c>
      <c r="I3492" s="7">
        <f>tbl_Ventes[[#This Row],[Qté Vendue]] * tbl_Ventes[[#This Row],[CMP_par_portion]]</f>
        <v>0</v>
      </c>
      <c r="J3492" s="7">
        <f>tbl_Ventes[[#This Row],[CA ligne]] - tbl_Ventes[[#This Row],[Coût matière ligne]]</f>
        <v>0</v>
      </c>
      <c r="K3492" s="7" t="str">
        <f>IFERROR(INDEX(tbl_ProduitsRef[Famille], MATCH(tbl_Ventes[[#This Row],[Cde_Prdt]], tbl_Produits[Cde_Prdt], 0)), "")</f>
        <v/>
      </c>
    </row>
    <row r="3493" spans="1:11" x14ac:dyDescent="0.25">
      <c r="A3493" s="5"/>
      <c r="B3493" s="63" t="str">
        <f>IFERROR(TEXT(tbl_Ventes[[#This Row],[Date]],"mm-aaaa"),"")</f>
        <v>01-1900</v>
      </c>
      <c r="D3493" s="10" t="str">
        <f>IFERROR(
   INDEX(tbl_ProduitsRef[Cde_Prdt],MATCH(tbl_Ventes[[#This Row],[Produit]],tbl_ProduitsRef[Produit],0)),
   ""
)</f>
        <v/>
      </c>
      <c r="E3493" s="7">
        <v>0</v>
      </c>
      <c r="F3493" s="7" t="str">
        <f>IFERROR(
   INDEX(tbl_ProduitsRef[Prix Menu],MATCH(tbl_Ventes[[#This Row],[Produit]],tbl_ProduitsRef[Produit],0)),
   ""
)</f>
        <v/>
      </c>
      <c r="G3493" s="7">
        <f>tbl_Ventes[[#This Row],[Qté Vendue]] * IFERROR(_xlfn.XLOOKUP(tbl_Ventes[[#This Row],[Cde_Prdt]], tbl_Produits[Cde_Prdt], tbl_Produits[Prix Menu]), 0)</f>
        <v>0</v>
      </c>
      <c r="H3493" s="7">
        <f>IFERROR(_xlfn.XLOOKUP(tbl_Ventes[[#This Row],[Cde_Prdt]], tbl_Produits[Cde_Prdt], tbl_Produits[Coût Moyen Portion]), 0)</f>
        <v>0</v>
      </c>
      <c r="I3493" s="7">
        <f>tbl_Ventes[[#This Row],[Qté Vendue]] * tbl_Ventes[[#This Row],[CMP_par_portion]]</f>
        <v>0</v>
      </c>
      <c r="J3493" s="7">
        <f>tbl_Ventes[[#This Row],[CA ligne]] - tbl_Ventes[[#This Row],[Coût matière ligne]]</f>
        <v>0</v>
      </c>
      <c r="K3493" s="7" t="str">
        <f>IFERROR(INDEX(tbl_ProduitsRef[Famille], MATCH(tbl_Ventes[[#This Row],[Cde_Prdt]], tbl_Produits[Cde_Prdt], 0)), "")</f>
        <v/>
      </c>
    </row>
    <row r="3494" spans="1:11" x14ac:dyDescent="0.25">
      <c r="A3494" s="5"/>
      <c r="B3494" s="63" t="str">
        <f>IFERROR(TEXT(tbl_Ventes[[#This Row],[Date]],"mm-aaaa"),"")</f>
        <v>01-1900</v>
      </c>
      <c r="D3494" s="10" t="str">
        <f>IFERROR(
   INDEX(tbl_ProduitsRef[Cde_Prdt],MATCH(tbl_Ventes[[#This Row],[Produit]],tbl_ProduitsRef[Produit],0)),
   ""
)</f>
        <v/>
      </c>
      <c r="E3494" s="7">
        <v>0</v>
      </c>
      <c r="F3494" s="7" t="str">
        <f>IFERROR(
   INDEX(tbl_ProduitsRef[Prix Menu],MATCH(tbl_Ventes[[#This Row],[Produit]],tbl_ProduitsRef[Produit],0)),
   ""
)</f>
        <v/>
      </c>
      <c r="G3494" s="7">
        <f>tbl_Ventes[[#This Row],[Qté Vendue]] * IFERROR(_xlfn.XLOOKUP(tbl_Ventes[[#This Row],[Cde_Prdt]], tbl_Produits[Cde_Prdt], tbl_Produits[Prix Menu]), 0)</f>
        <v>0</v>
      </c>
      <c r="H3494" s="7">
        <f>IFERROR(_xlfn.XLOOKUP(tbl_Ventes[[#This Row],[Cde_Prdt]], tbl_Produits[Cde_Prdt], tbl_Produits[Coût Moyen Portion]), 0)</f>
        <v>0</v>
      </c>
      <c r="I3494" s="7">
        <f>tbl_Ventes[[#This Row],[Qté Vendue]] * tbl_Ventes[[#This Row],[CMP_par_portion]]</f>
        <v>0</v>
      </c>
      <c r="J3494" s="7">
        <f>tbl_Ventes[[#This Row],[CA ligne]] - tbl_Ventes[[#This Row],[Coût matière ligne]]</f>
        <v>0</v>
      </c>
      <c r="K3494" s="7" t="str">
        <f>IFERROR(INDEX(tbl_ProduitsRef[Famille], MATCH(tbl_Ventes[[#This Row],[Cde_Prdt]], tbl_Produits[Cde_Prdt], 0)), "")</f>
        <v/>
      </c>
    </row>
    <row r="3495" spans="1:11" x14ac:dyDescent="0.25">
      <c r="A3495" s="5"/>
      <c r="B3495" s="63" t="str">
        <f>IFERROR(TEXT(tbl_Ventes[[#This Row],[Date]],"mm-aaaa"),"")</f>
        <v>01-1900</v>
      </c>
      <c r="D3495" s="10" t="str">
        <f>IFERROR(
   INDEX(tbl_ProduitsRef[Cde_Prdt],MATCH(tbl_Ventes[[#This Row],[Produit]],tbl_ProduitsRef[Produit],0)),
   ""
)</f>
        <v/>
      </c>
      <c r="E3495" s="7">
        <v>0</v>
      </c>
      <c r="F3495" s="7" t="str">
        <f>IFERROR(
   INDEX(tbl_ProduitsRef[Prix Menu],MATCH(tbl_Ventes[[#This Row],[Produit]],tbl_ProduitsRef[Produit],0)),
   ""
)</f>
        <v/>
      </c>
      <c r="G3495" s="7">
        <f>tbl_Ventes[[#This Row],[Qté Vendue]] * IFERROR(_xlfn.XLOOKUP(tbl_Ventes[[#This Row],[Cde_Prdt]], tbl_Produits[Cde_Prdt], tbl_Produits[Prix Menu]), 0)</f>
        <v>0</v>
      </c>
      <c r="H3495" s="7">
        <f>IFERROR(_xlfn.XLOOKUP(tbl_Ventes[[#This Row],[Cde_Prdt]], tbl_Produits[Cde_Prdt], tbl_Produits[Coût Moyen Portion]), 0)</f>
        <v>0</v>
      </c>
      <c r="I3495" s="7">
        <f>tbl_Ventes[[#This Row],[Qté Vendue]] * tbl_Ventes[[#This Row],[CMP_par_portion]]</f>
        <v>0</v>
      </c>
      <c r="J3495" s="7">
        <f>tbl_Ventes[[#This Row],[CA ligne]] - tbl_Ventes[[#This Row],[Coût matière ligne]]</f>
        <v>0</v>
      </c>
      <c r="K3495" s="7" t="str">
        <f>IFERROR(INDEX(tbl_ProduitsRef[Famille], MATCH(tbl_Ventes[[#This Row],[Cde_Prdt]], tbl_Produits[Cde_Prdt], 0)), "")</f>
        <v/>
      </c>
    </row>
    <row r="3496" spans="1:11" x14ac:dyDescent="0.25">
      <c r="A3496" s="5"/>
      <c r="B3496" s="63" t="str">
        <f>IFERROR(TEXT(tbl_Ventes[[#This Row],[Date]],"mm-aaaa"),"")</f>
        <v>01-1900</v>
      </c>
      <c r="D3496" s="10" t="str">
        <f>IFERROR(
   INDEX(tbl_ProduitsRef[Cde_Prdt],MATCH(tbl_Ventes[[#This Row],[Produit]],tbl_ProduitsRef[Produit],0)),
   ""
)</f>
        <v/>
      </c>
      <c r="E3496" s="7">
        <v>0</v>
      </c>
      <c r="F3496" s="7" t="str">
        <f>IFERROR(
   INDEX(tbl_ProduitsRef[Prix Menu],MATCH(tbl_Ventes[[#This Row],[Produit]],tbl_ProduitsRef[Produit],0)),
   ""
)</f>
        <v/>
      </c>
      <c r="G3496" s="7">
        <f>tbl_Ventes[[#This Row],[Qté Vendue]] * IFERROR(_xlfn.XLOOKUP(tbl_Ventes[[#This Row],[Cde_Prdt]], tbl_Produits[Cde_Prdt], tbl_Produits[Prix Menu]), 0)</f>
        <v>0</v>
      </c>
      <c r="H3496" s="7">
        <f>IFERROR(_xlfn.XLOOKUP(tbl_Ventes[[#This Row],[Cde_Prdt]], tbl_Produits[Cde_Prdt], tbl_Produits[Coût Moyen Portion]), 0)</f>
        <v>0</v>
      </c>
      <c r="I3496" s="7">
        <f>tbl_Ventes[[#This Row],[Qté Vendue]] * tbl_Ventes[[#This Row],[CMP_par_portion]]</f>
        <v>0</v>
      </c>
      <c r="J3496" s="7">
        <f>tbl_Ventes[[#This Row],[CA ligne]] - tbl_Ventes[[#This Row],[Coût matière ligne]]</f>
        <v>0</v>
      </c>
      <c r="K3496" s="7" t="str">
        <f>IFERROR(INDEX(tbl_ProduitsRef[Famille], MATCH(tbl_Ventes[[#This Row],[Cde_Prdt]], tbl_Produits[Cde_Prdt], 0)), "")</f>
        <v/>
      </c>
    </row>
    <row r="3497" spans="1:11" x14ac:dyDescent="0.25">
      <c r="A3497" s="5"/>
      <c r="B3497" s="63" t="str">
        <f>IFERROR(TEXT(tbl_Ventes[[#This Row],[Date]],"mm-aaaa"),"")</f>
        <v>01-1900</v>
      </c>
      <c r="D3497" s="10" t="str">
        <f>IFERROR(
   INDEX(tbl_ProduitsRef[Cde_Prdt],MATCH(tbl_Ventes[[#This Row],[Produit]],tbl_ProduitsRef[Produit],0)),
   ""
)</f>
        <v/>
      </c>
      <c r="E3497" s="7">
        <v>0</v>
      </c>
      <c r="F3497" s="7" t="str">
        <f>IFERROR(
   INDEX(tbl_ProduitsRef[Prix Menu],MATCH(tbl_Ventes[[#This Row],[Produit]],tbl_ProduitsRef[Produit],0)),
   ""
)</f>
        <v/>
      </c>
      <c r="G3497" s="7">
        <f>tbl_Ventes[[#This Row],[Qté Vendue]] * IFERROR(_xlfn.XLOOKUP(tbl_Ventes[[#This Row],[Cde_Prdt]], tbl_Produits[Cde_Prdt], tbl_Produits[Prix Menu]), 0)</f>
        <v>0</v>
      </c>
      <c r="H3497" s="7">
        <f>IFERROR(_xlfn.XLOOKUP(tbl_Ventes[[#This Row],[Cde_Prdt]], tbl_Produits[Cde_Prdt], tbl_Produits[Coût Moyen Portion]), 0)</f>
        <v>0</v>
      </c>
      <c r="I3497" s="7">
        <f>tbl_Ventes[[#This Row],[Qté Vendue]] * tbl_Ventes[[#This Row],[CMP_par_portion]]</f>
        <v>0</v>
      </c>
      <c r="J3497" s="7">
        <f>tbl_Ventes[[#This Row],[CA ligne]] - tbl_Ventes[[#This Row],[Coût matière ligne]]</f>
        <v>0</v>
      </c>
      <c r="K3497" s="7" t="str">
        <f>IFERROR(INDEX(tbl_ProduitsRef[Famille], MATCH(tbl_Ventes[[#This Row],[Cde_Prdt]], tbl_Produits[Cde_Prdt], 0)), "")</f>
        <v/>
      </c>
    </row>
    <row r="3498" spans="1:11" x14ac:dyDescent="0.25">
      <c r="A3498" s="5"/>
      <c r="B3498" s="63" t="str">
        <f>IFERROR(TEXT(tbl_Ventes[[#This Row],[Date]],"mm-aaaa"),"")</f>
        <v>01-1900</v>
      </c>
      <c r="D3498" s="10" t="str">
        <f>IFERROR(
   INDEX(tbl_ProduitsRef[Cde_Prdt],MATCH(tbl_Ventes[[#This Row],[Produit]],tbl_ProduitsRef[Produit],0)),
   ""
)</f>
        <v/>
      </c>
      <c r="E3498" s="7">
        <v>0</v>
      </c>
      <c r="F3498" s="7" t="str">
        <f>IFERROR(
   INDEX(tbl_ProduitsRef[Prix Menu],MATCH(tbl_Ventes[[#This Row],[Produit]],tbl_ProduitsRef[Produit],0)),
   ""
)</f>
        <v/>
      </c>
      <c r="G3498" s="7">
        <f>tbl_Ventes[[#This Row],[Qté Vendue]] * IFERROR(_xlfn.XLOOKUP(tbl_Ventes[[#This Row],[Cde_Prdt]], tbl_Produits[Cde_Prdt], tbl_Produits[Prix Menu]), 0)</f>
        <v>0</v>
      </c>
      <c r="H3498" s="7">
        <f>IFERROR(_xlfn.XLOOKUP(tbl_Ventes[[#This Row],[Cde_Prdt]], tbl_Produits[Cde_Prdt], tbl_Produits[Coût Moyen Portion]), 0)</f>
        <v>0</v>
      </c>
      <c r="I3498" s="7">
        <f>tbl_Ventes[[#This Row],[Qté Vendue]] * tbl_Ventes[[#This Row],[CMP_par_portion]]</f>
        <v>0</v>
      </c>
      <c r="J3498" s="7">
        <f>tbl_Ventes[[#This Row],[CA ligne]] - tbl_Ventes[[#This Row],[Coût matière ligne]]</f>
        <v>0</v>
      </c>
      <c r="K3498" s="7" t="str">
        <f>IFERROR(INDEX(tbl_ProduitsRef[Famille], MATCH(tbl_Ventes[[#This Row],[Cde_Prdt]], tbl_Produits[Cde_Prdt], 0)), "")</f>
        <v/>
      </c>
    </row>
    <row r="3499" spans="1:11" x14ac:dyDescent="0.25">
      <c r="A3499" s="5"/>
      <c r="B3499" s="63" t="str">
        <f>IFERROR(TEXT(tbl_Ventes[[#This Row],[Date]],"mm-aaaa"),"")</f>
        <v>01-1900</v>
      </c>
      <c r="D3499" s="10" t="str">
        <f>IFERROR(
   INDEX(tbl_ProduitsRef[Cde_Prdt],MATCH(tbl_Ventes[[#This Row],[Produit]],tbl_ProduitsRef[Produit],0)),
   ""
)</f>
        <v/>
      </c>
      <c r="E3499" s="7">
        <v>0</v>
      </c>
      <c r="F3499" s="7" t="str">
        <f>IFERROR(
   INDEX(tbl_ProduitsRef[Prix Menu],MATCH(tbl_Ventes[[#This Row],[Produit]],tbl_ProduitsRef[Produit],0)),
   ""
)</f>
        <v/>
      </c>
      <c r="G3499" s="7">
        <f>tbl_Ventes[[#This Row],[Qté Vendue]] * IFERROR(_xlfn.XLOOKUP(tbl_Ventes[[#This Row],[Cde_Prdt]], tbl_Produits[Cde_Prdt], tbl_Produits[Prix Menu]), 0)</f>
        <v>0</v>
      </c>
      <c r="H3499" s="7">
        <f>IFERROR(_xlfn.XLOOKUP(tbl_Ventes[[#This Row],[Cde_Prdt]], tbl_Produits[Cde_Prdt], tbl_Produits[Coût Moyen Portion]), 0)</f>
        <v>0</v>
      </c>
      <c r="I3499" s="7">
        <f>tbl_Ventes[[#This Row],[Qté Vendue]] * tbl_Ventes[[#This Row],[CMP_par_portion]]</f>
        <v>0</v>
      </c>
      <c r="J3499" s="7">
        <f>tbl_Ventes[[#This Row],[CA ligne]] - tbl_Ventes[[#This Row],[Coût matière ligne]]</f>
        <v>0</v>
      </c>
      <c r="K3499" s="7" t="str">
        <f>IFERROR(INDEX(tbl_ProduitsRef[Famille], MATCH(tbl_Ventes[[#This Row],[Cde_Prdt]], tbl_Produits[Cde_Prdt], 0)), "")</f>
        <v/>
      </c>
    </row>
    <row r="3500" spans="1:11" x14ac:dyDescent="0.25">
      <c r="A3500" s="5"/>
      <c r="B3500" s="63" t="str">
        <f>IFERROR(TEXT(tbl_Ventes[[#This Row],[Date]],"mm-aaaa"),"")</f>
        <v>01-1900</v>
      </c>
      <c r="D3500" s="10" t="str">
        <f>IFERROR(
   INDEX(tbl_ProduitsRef[Cde_Prdt],MATCH(tbl_Ventes[[#This Row],[Produit]],tbl_ProduitsRef[Produit],0)),
   ""
)</f>
        <v/>
      </c>
      <c r="E3500" s="7">
        <v>0</v>
      </c>
      <c r="F3500" s="7" t="str">
        <f>IFERROR(
   INDEX(tbl_ProduitsRef[Prix Menu],MATCH(tbl_Ventes[[#This Row],[Produit]],tbl_ProduitsRef[Produit],0)),
   ""
)</f>
        <v/>
      </c>
      <c r="G3500" s="7">
        <f>tbl_Ventes[[#This Row],[Qté Vendue]] * IFERROR(_xlfn.XLOOKUP(tbl_Ventes[[#This Row],[Cde_Prdt]], tbl_Produits[Cde_Prdt], tbl_Produits[Prix Menu]), 0)</f>
        <v>0</v>
      </c>
      <c r="H3500" s="7">
        <f>IFERROR(_xlfn.XLOOKUP(tbl_Ventes[[#This Row],[Cde_Prdt]], tbl_Produits[Cde_Prdt], tbl_Produits[Coût Moyen Portion]), 0)</f>
        <v>0</v>
      </c>
      <c r="I3500" s="7">
        <f>tbl_Ventes[[#This Row],[Qté Vendue]] * tbl_Ventes[[#This Row],[CMP_par_portion]]</f>
        <v>0</v>
      </c>
      <c r="J3500" s="7">
        <f>tbl_Ventes[[#This Row],[CA ligne]] - tbl_Ventes[[#This Row],[Coût matière ligne]]</f>
        <v>0</v>
      </c>
      <c r="K3500" s="7" t="str">
        <f>IFERROR(INDEX(tbl_ProduitsRef[Famille], MATCH(tbl_Ventes[[#This Row],[Cde_Prdt]], tbl_Produits[Cde_Prdt], 0)), "")</f>
        <v/>
      </c>
    </row>
    <row r="3501" spans="1:11" x14ac:dyDescent="0.25">
      <c r="A3501" s="5"/>
      <c r="B3501" s="63" t="str">
        <f>IFERROR(TEXT(tbl_Ventes[[#This Row],[Date]],"mm-aaaa"),"")</f>
        <v>01-1900</v>
      </c>
      <c r="D3501" s="10" t="str">
        <f>IFERROR(
   INDEX(tbl_ProduitsRef[Cde_Prdt],MATCH(tbl_Ventes[[#This Row],[Produit]],tbl_ProduitsRef[Produit],0)),
   ""
)</f>
        <v/>
      </c>
      <c r="E3501" s="7">
        <v>0</v>
      </c>
      <c r="F3501" s="7" t="str">
        <f>IFERROR(
   INDEX(tbl_ProduitsRef[Prix Menu],MATCH(tbl_Ventes[[#This Row],[Produit]],tbl_ProduitsRef[Produit],0)),
   ""
)</f>
        <v/>
      </c>
      <c r="G3501" s="7">
        <f>tbl_Ventes[[#This Row],[Qté Vendue]] * IFERROR(_xlfn.XLOOKUP(tbl_Ventes[[#This Row],[Cde_Prdt]], tbl_Produits[Cde_Prdt], tbl_Produits[Prix Menu]), 0)</f>
        <v>0</v>
      </c>
      <c r="H3501" s="7">
        <f>IFERROR(_xlfn.XLOOKUP(tbl_Ventes[[#This Row],[Cde_Prdt]], tbl_Produits[Cde_Prdt], tbl_Produits[Coût Moyen Portion]), 0)</f>
        <v>0</v>
      </c>
      <c r="I3501" s="7">
        <f>tbl_Ventes[[#This Row],[Qté Vendue]] * tbl_Ventes[[#This Row],[CMP_par_portion]]</f>
        <v>0</v>
      </c>
      <c r="J3501" s="7">
        <f>tbl_Ventes[[#This Row],[CA ligne]] - tbl_Ventes[[#This Row],[Coût matière ligne]]</f>
        <v>0</v>
      </c>
      <c r="K3501" s="7" t="str">
        <f>IFERROR(INDEX(tbl_ProduitsRef[Famille], MATCH(tbl_Ventes[[#This Row],[Cde_Prdt]], tbl_Produits[Cde_Prdt], 0)), "")</f>
        <v/>
      </c>
    </row>
    <row r="3502" spans="1:11" x14ac:dyDescent="0.25">
      <c r="A3502" s="5"/>
      <c r="B3502" s="63" t="str">
        <f>IFERROR(TEXT(tbl_Ventes[[#This Row],[Date]],"mm-aaaa"),"")</f>
        <v>01-1900</v>
      </c>
      <c r="D3502" s="10" t="str">
        <f>IFERROR(
   INDEX(tbl_ProduitsRef[Cde_Prdt],MATCH(tbl_Ventes[[#This Row],[Produit]],tbl_ProduitsRef[Produit],0)),
   ""
)</f>
        <v/>
      </c>
      <c r="E3502" s="7">
        <v>0</v>
      </c>
      <c r="F3502" s="7" t="str">
        <f>IFERROR(
   INDEX(tbl_ProduitsRef[Prix Menu],MATCH(tbl_Ventes[[#This Row],[Produit]],tbl_ProduitsRef[Produit],0)),
   ""
)</f>
        <v/>
      </c>
      <c r="G3502" s="7">
        <f>tbl_Ventes[[#This Row],[Qté Vendue]] * IFERROR(_xlfn.XLOOKUP(tbl_Ventes[[#This Row],[Cde_Prdt]], tbl_Produits[Cde_Prdt], tbl_Produits[Prix Menu]), 0)</f>
        <v>0</v>
      </c>
      <c r="H3502" s="7">
        <f>IFERROR(_xlfn.XLOOKUP(tbl_Ventes[[#This Row],[Cde_Prdt]], tbl_Produits[Cde_Prdt], tbl_Produits[Coût Moyen Portion]), 0)</f>
        <v>0</v>
      </c>
      <c r="I3502" s="7">
        <f>tbl_Ventes[[#This Row],[Qté Vendue]] * tbl_Ventes[[#This Row],[CMP_par_portion]]</f>
        <v>0</v>
      </c>
      <c r="J3502" s="7">
        <f>tbl_Ventes[[#This Row],[CA ligne]] - tbl_Ventes[[#This Row],[Coût matière ligne]]</f>
        <v>0</v>
      </c>
      <c r="K3502" s="7" t="str">
        <f>IFERROR(INDEX(tbl_ProduitsRef[Famille], MATCH(tbl_Ventes[[#This Row],[Cde_Prdt]], tbl_Produits[Cde_Prdt], 0)), "")</f>
        <v/>
      </c>
    </row>
    <row r="3503" spans="1:11" x14ac:dyDescent="0.25">
      <c r="A3503" s="5"/>
      <c r="B3503" s="63" t="str">
        <f>IFERROR(TEXT(tbl_Ventes[[#This Row],[Date]],"mm-aaaa"),"")</f>
        <v>01-1900</v>
      </c>
      <c r="D3503" s="10" t="str">
        <f>IFERROR(
   INDEX(tbl_ProduitsRef[Cde_Prdt],MATCH(tbl_Ventes[[#This Row],[Produit]],tbl_ProduitsRef[Produit],0)),
   ""
)</f>
        <v/>
      </c>
      <c r="E3503" s="7">
        <v>0</v>
      </c>
      <c r="F3503" s="7" t="str">
        <f>IFERROR(
   INDEX(tbl_ProduitsRef[Prix Menu],MATCH(tbl_Ventes[[#This Row],[Produit]],tbl_ProduitsRef[Produit],0)),
   ""
)</f>
        <v/>
      </c>
      <c r="G3503" s="7">
        <f>tbl_Ventes[[#This Row],[Qté Vendue]] * IFERROR(_xlfn.XLOOKUP(tbl_Ventes[[#This Row],[Cde_Prdt]], tbl_Produits[Cde_Prdt], tbl_Produits[Prix Menu]), 0)</f>
        <v>0</v>
      </c>
      <c r="H3503" s="7">
        <f>IFERROR(_xlfn.XLOOKUP(tbl_Ventes[[#This Row],[Cde_Prdt]], tbl_Produits[Cde_Prdt], tbl_Produits[Coût Moyen Portion]), 0)</f>
        <v>0</v>
      </c>
      <c r="I3503" s="7">
        <f>tbl_Ventes[[#This Row],[Qté Vendue]] * tbl_Ventes[[#This Row],[CMP_par_portion]]</f>
        <v>0</v>
      </c>
      <c r="J3503" s="7">
        <f>tbl_Ventes[[#This Row],[CA ligne]] - tbl_Ventes[[#This Row],[Coût matière ligne]]</f>
        <v>0</v>
      </c>
      <c r="K3503" s="7" t="str">
        <f>IFERROR(INDEX(tbl_ProduitsRef[Famille], MATCH(tbl_Ventes[[#This Row],[Cde_Prdt]], tbl_Produits[Cde_Prdt], 0)), "")</f>
        <v/>
      </c>
    </row>
    <row r="3504" spans="1:11" x14ac:dyDescent="0.25">
      <c r="A3504" s="5"/>
      <c r="B3504" s="63" t="str">
        <f>IFERROR(TEXT(tbl_Ventes[[#This Row],[Date]],"mm-aaaa"),"")</f>
        <v>01-1900</v>
      </c>
      <c r="D3504" s="10" t="str">
        <f>IFERROR(
   INDEX(tbl_ProduitsRef[Cde_Prdt],MATCH(tbl_Ventes[[#This Row],[Produit]],tbl_ProduitsRef[Produit],0)),
   ""
)</f>
        <v/>
      </c>
      <c r="E3504" s="7">
        <v>0</v>
      </c>
      <c r="F3504" s="7" t="str">
        <f>IFERROR(
   INDEX(tbl_ProduitsRef[Prix Menu],MATCH(tbl_Ventes[[#This Row],[Produit]],tbl_ProduitsRef[Produit],0)),
   ""
)</f>
        <v/>
      </c>
      <c r="G3504" s="7">
        <f>tbl_Ventes[[#This Row],[Qté Vendue]] * IFERROR(_xlfn.XLOOKUP(tbl_Ventes[[#This Row],[Cde_Prdt]], tbl_Produits[Cde_Prdt], tbl_Produits[Prix Menu]), 0)</f>
        <v>0</v>
      </c>
      <c r="H3504" s="7">
        <f>IFERROR(_xlfn.XLOOKUP(tbl_Ventes[[#This Row],[Cde_Prdt]], tbl_Produits[Cde_Prdt], tbl_Produits[Coût Moyen Portion]), 0)</f>
        <v>0</v>
      </c>
      <c r="I3504" s="7">
        <f>tbl_Ventes[[#This Row],[Qté Vendue]] * tbl_Ventes[[#This Row],[CMP_par_portion]]</f>
        <v>0</v>
      </c>
      <c r="J3504" s="7">
        <f>tbl_Ventes[[#This Row],[CA ligne]] - tbl_Ventes[[#This Row],[Coût matière ligne]]</f>
        <v>0</v>
      </c>
      <c r="K3504" s="7" t="str">
        <f>IFERROR(INDEX(tbl_ProduitsRef[Famille], MATCH(tbl_Ventes[[#This Row],[Cde_Prdt]], tbl_Produits[Cde_Prdt], 0)), "")</f>
        <v/>
      </c>
    </row>
    <row r="3505" spans="1:11" x14ac:dyDescent="0.25">
      <c r="A3505" s="5"/>
      <c r="B3505" s="63" t="str">
        <f>IFERROR(TEXT(tbl_Ventes[[#This Row],[Date]],"mm-aaaa"),"")</f>
        <v>01-1900</v>
      </c>
      <c r="D3505" s="10" t="str">
        <f>IFERROR(
   INDEX(tbl_ProduitsRef[Cde_Prdt],MATCH(tbl_Ventes[[#This Row],[Produit]],tbl_ProduitsRef[Produit],0)),
   ""
)</f>
        <v/>
      </c>
      <c r="E3505" s="7">
        <v>0</v>
      </c>
      <c r="F3505" s="7" t="str">
        <f>IFERROR(
   INDEX(tbl_ProduitsRef[Prix Menu],MATCH(tbl_Ventes[[#This Row],[Produit]],tbl_ProduitsRef[Produit],0)),
   ""
)</f>
        <v/>
      </c>
      <c r="G3505" s="7">
        <f>tbl_Ventes[[#This Row],[Qté Vendue]] * IFERROR(_xlfn.XLOOKUP(tbl_Ventes[[#This Row],[Cde_Prdt]], tbl_Produits[Cde_Prdt], tbl_Produits[Prix Menu]), 0)</f>
        <v>0</v>
      </c>
      <c r="H3505" s="7">
        <f>IFERROR(_xlfn.XLOOKUP(tbl_Ventes[[#This Row],[Cde_Prdt]], tbl_Produits[Cde_Prdt], tbl_Produits[Coût Moyen Portion]), 0)</f>
        <v>0</v>
      </c>
      <c r="I3505" s="7">
        <f>tbl_Ventes[[#This Row],[Qté Vendue]] * tbl_Ventes[[#This Row],[CMP_par_portion]]</f>
        <v>0</v>
      </c>
      <c r="J3505" s="7">
        <f>tbl_Ventes[[#This Row],[CA ligne]] - tbl_Ventes[[#This Row],[Coût matière ligne]]</f>
        <v>0</v>
      </c>
      <c r="K3505" s="7" t="str">
        <f>IFERROR(INDEX(tbl_ProduitsRef[Famille], MATCH(tbl_Ventes[[#This Row],[Cde_Prdt]], tbl_Produits[Cde_Prdt], 0)), "")</f>
        <v/>
      </c>
    </row>
    <row r="3506" spans="1:11" x14ac:dyDescent="0.25">
      <c r="A3506" s="5"/>
      <c r="B3506" s="63" t="str">
        <f>IFERROR(TEXT(tbl_Ventes[[#This Row],[Date]],"mm-aaaa"),"")</f>
        <v>01-1900</v>
      </c>
      <c r="D3506" s="10" t="str">
        <f>IFERROR(
   INDEX(tbl_ProduitsRef[Cde_Prdt],MATCH(tbl_Ventes[[#This Row],[Produit]],tbl_ProduitsRef[Produit],0)),
   ""
)</f>
        <v/>
      </c>
      <c r="E3506" s="7">
        <v>0</v>
      </c>
      <c r="F3506" s="7" t="str">
        <f>IFERROR(
   INDEX(tbl_ProduitsRef[Prix Menu],MATCH(tbl_Ventes[[#This Row],[Produit]],tbl_ProduitsRef[Produit],0)),
   ""
)</f>
        <v/>
      </c>
      <c r="G3506" s="7">
        <f>tbl_Ventes[[#This Row],[Qté Vendue]] * IFERROR(_xlfn.XLOOKUP(tbl_Ventes[[#This Row],[Cde_Prdt]], tbl_Produits[Cde_Prdt], tbl_Produits[Prix Menu]), 0)</f>
        <v>0</v>
      </c>
      <c r="H3506" s="7">
        <f>IFERROR(_xlfn.XLOOKUP(tbl_Ventes[[#This Row],[Cde_Prdt]], tbl_Produits[Cde_Prdt], tbl_Produits[Coût Moyen Portion]), 0)</f>
        <v>0</v>
      </c>
      <c r="I3506" s="7">
        <f>tbl_Ventes[[#This Row],[Qté Vendue]] * tbl_Ventes[[#This Row],[CMP_par_portion]]</f>
        <v>0</v>
      </c>
      <c r="J3506" s="7">
        <f>tbl_Ventes[[#This Row],[CA ligne]] - tbl_Ventes[[#This Row],[Coût matière ligne]]</f>
        <v>0</v>
      </c>
      <c r="K3506" s="7" t="str">
        <f>IFERROR(INDEX(tbl_ProduitsRef[Famille], MATCH(tbl_Ventes[[#This Row],[Cde_Prdt]], tbl_Produits[Cde_Prdt], 0)), "")</f>
        <v/>
      </c>
    </row>
    <row r="3507" spans="1:11" x14ac:dyDescent="0.25">
      <c r="A3507" s="5"/>
      <c r="B3507" s="63" t="str">
        <f>IFERROR(TEXT(tbl_Ventes[[#This Row],[Date]],"mm-aaaa"),"")</f>
        <v>01-1900</v>
      </c>
      <c r="D3507" s="10" t="str">
        <f>IFERROR(
   INDEX(tbl_ProduitsRef[Cde_Prdt],MATCH(tbl_Ventes[[#This Row],[Produit]],tbl_ProduitsRef[Produit],0)),
   ""
)</f>
        <v/>
      </c>
      <c r="E3507" s="7">
        <v>0</v>
      </c>
      <c r="F3507" s="7" t="str">
        <f>IFERROR(
   INDEX(tbl_ProduitsRef[Prix Menu],MATCH(tbl_Ventes[[#This Row],[Produit]],tbl_ProduitsRef[Produit],0)),
   ""
)</f>
        <v/>
      </c>
      <c r="G3507" s="7">
        <f>tbl_Ventes[[#This Row],[Qté Vendue]] * IFERROR(_xlfn.XLOOKUP(tbl_Ventes[[#This Row],[Cde_Prdt]], tbl_Produits[Cde_Prdt], tbl_Produits[Prix Menu]), 0)</f>
        <v>0</v>
      </c>
      <c r="H3507" s="7">
        <f>IFERROR(_xlfn.XLOOKUP(tbl_Ventes[[#This Row],[Cde_Prdt]], tbl_Produits[Cde_Prdt], tbl_Produits[Coût Moyen Portion]), 0)</f>
        <v>0</v>
      </c>
      <c r="I3507" s="7">
        <f>tbl_Ventes[[#This Row],[Qté Vendue]] * tbl_Ventes[[#This Row],[CMP_par_portion]]</f>
        <v>0</v>
      </c>
      <c r="J3507" s="7">
        <f>tbl_Ventes[[#This Row],[CA ligne]] - tbl_Ventes[[#This Row],[Coût matière ligne]]</f>
        <v>0</v>
      </c>
      <c r="K3507" s="7" t="str">
        <f>IFERROR(INDEX(tbl_ProduitsRef[Famille], MATCH(tbl_Ventes[[#This Row],[Cde_Prdt]], tbl_Produits[Cde_Prdt], 0)), "")</f>
        <v/>
      </c>
    </row>
    <row r="3508" spans="1:11" x14ac:dyDescent="0.25">
      <c r="A3508" s="5"/>
      <c r="B3508" s="63" t="str">
        <f>IFERROR(TEXT(tbl_Ventes[[#This Row],[Date]],"mm-aaaa"),"")</f>
        <v>01-1900</v>
      </c>
      <c r="D3508" s="10" t="str">
        <f>IFERROR(
   INDEX(tbl_ProduitsRef[Cde_Prdt],MATCH(tbl_Ventes[[#This Row],[Produit]],tbl_ProduitsRef[Produit],0)),
   ""
)</f>
        <v/>
      </c>
      <c r="E3508" s="7">
        <v>0</v>
      </c>
      <c r="F3508" s="7" t="str">
        <f>IFERROR(
   INDEX(tbl_ProduitsRef[Prix Menu],MATCH(tbl_Ventes[[#This Row],[Produit]],tbl_ProduitsRef[Produit],0)),
   ""
)</f>
        <v/>
      </c>
      <c r="G3508" s="7">
        <f>tbl_Ventes[[#This Row],[Qté Vendue]] * IFERROR(_xlfn.XLOOKUP(tbl_Ventes[[#This Row],[Cde_Prdt]], tbl_Produits[Cde_Prdt], tbl_Produits[Prix Menu]), 0)</f>
        <v>0</v>
      </c>
      <c r="H3508" s="7">
        <f>IFERROR(_xlfn.XLOOKUP(tbl_Ventes[[#This Row],[Cde_Prdt]], tbl_Produits[Cde_Prdt], tbl_Produits[Coût Moyen Portion]), 0)</f>
        <v>0</v>
      </c>
      <c r="I3508" s="7">
        <f>tbl_Ventes[[#This Row],[Qté Vendue]] * tbl_Ventes[[#This Row],[CMP_par_portion]]</f>
        <v>0</v>
      </c>
      <c r="J3508" s="7">
        <f>tbl_Ventes[[#This Row],[CA ligne]] - tbl_Ventes[[#This Row],[Coût matière ligne]]</f>
        <v>0</v>
      </c>
      <c r="K3508" s="7" t="str">
        <f>IFERROR(INDEX(tbl_ProduitsRef[Famille], MATCH(tbl_Ventes[[#This Row],[Cde_Prdt]], tbl_Produits[Cde_Prdt], 0)), "")</f>
        <v/>
      </c>
    </row>
    <row r="3509" spans="1:11" x14ac:dyDescent="0.25">
      <c r="A3509" s="5"/>
      <c r="B3509" s="63" t="str">
        <f>IFERROR(TEXT(tbl_Ventes[[#This Row],[Date]],"mm-aaaa"),"")</f>
        <v>01-1900</v>
      </c>
      <c r="D3509" s="10" t="str">
        <f>IFERROR(
   INDEX(tbl_ProduitsRef[Cde_Prdt],MATCH(tbl_Ventes[[#This Row],[Produit]],tbl_ProduitsRef[Produit],0)),
   ""
)</f>
        <v/>
      </c>
      <c r="E3509" s="7">
        <v>0</v>
      </c>
      <c r="F3509" s="7" t="str">
        <f>IFERROR(
   INDEX(tbl_ProduitsRef[Prix Menu],MATCH(tbl_Ventes[[#This Row],[Produit]],tbl_ProduitsRef[Produit],0)),
   ""
)</f>
        <v/>
      </c>
      <c r="G3509" s="7">
        <f>tbl_Ventes[[#This Row],[Qté Vendue]] * IFERROR(_xlfn.XLOOKUP(tbl_Ventes[[#This Row],[Cde_Prdt]], tbl_Produits[Cde_Prdt], tbl_Produits[Prix Menu]), 0)</f>
        <v>0</v>
      </c>
      <c r="H3509" s="7">
        <f>IFERROR(_xlfn.XLOOKUP(tbl_Ventes[[#This Row],[Cde_Prdt]], tbl_Produits[Cde_Prdt], tbl_Produits[Coût Moyen Portion]), 0)</f>
        <v>0</v>
      </c>
      <c r="I3509" s="7">
        <f>tbl_Ventes[[#This Row],[Qté Vendue]] * tbl_Ventes[[#This Row],[CMP_par_portion]]</f>
        <v>0</v>
      </c>
      <c r="J3509" s="7">
        <f>tbl_Ventes[[#This Row],[CA ligne]] - tbl_Ventes[[#This Row],[Coût matière ligne]]</f>
        <v>0</v>
      </c>
      <c r="K3509" s="7" t="str">
        <f>IFERROR(INDEX(tbl_ProduitsRef[Famille], MATCH(tbl_Ventes[[#This Row],[Cde_Prdt]], tbl_Produits[Cde_Prdt], 0)), "")</f>
        <v/>
      </c>
    </row>
    <row r="3510" spans="1:11" x14ac:dyDescent="0.25">
      <c r="A3510" s="5"/>
      <c r="B3510" s="63" t="str">
        <f>IFERROR(TEXT(tbl_Ventes[[#This Row],[Date]],"mm-aaaa"),"")</f>
        <v>01-1900</v>
      </c>
      <c r="D3510" s="10" t="str">
        <f>IFERROR(
   INDEX(tbl_ProduitsRef[Cde_Prdt],MATCH(tbl_Ventes[[#This Row],[Produit]],tbl_ProduitsRef[Produit],0)),
   ""
)</f>
        <v/>
      </c>
      <c r="E3510" s="7">
        <v>0</v>
      </c>
      <c r="F3510" s="7" t="str">
        <f>IFERROR(
   INDEX(tbl_ProduitsRef[Prix Menu],MATCH(tbl_Ventes[[#This Row],[Produit]],tbl_ProduitsRef[Produit],0)),
   ""
)</f>
        <v/>
      </c>
      <c r="G3510" s="7">
        <f>tbl_Ventes[[#This Row],[Qté Vendue]] * IFERROR(_xlfn.XLOOKUP(tbl_Ventes[[#This Row],[Cde_Prdt]], tbl_Produits[Cde_Prdt], tbl_Produits[Prix Menu]), 0)</f>
        <v>0</v>
      </c>
      <c r="H3510" s="7">
        <f>IFERROR(_xlfn.XLOOKUP(tbl_Ventes[[#This Row],[Cde_Prdt]], tbl_Produits[Cde_Prdt], tbl_Produits[Coût Moyen Portion]), 0)</f>
        <v>0</v>
      </c>
      <c r="I3510" s="7">
        <f>tbl_Ventes[[#This Row],[Qté Vendue]] * tbl_Ventes[[#This Row],[CMP_par_portion]]</f>
        <v>0</v>
      </c>
      <c r="J3510" s="7">
        <f>tbl_Ventes[[#This Row],[CA ligne]] - tbl_Ventes[[#This Row],[Coût matière ligne]]</f>
        <v>0</v>
      </c>
      <c r="K3510" s="7" t="str">
        <f>IFERROR(INDEX(tbl_ProduitsRef[Famille], MATCH(tbl_Ventes[[#This Row],[Cde_Prdt]], tbl_Produits[Cde_Prdt], 0)), "")</f>
        <v/>
      </c>
    </row>
    <row r="3511" spans="1:11" x14ac:dyDescent="0.25">
      <c r="A3511" s="5"/>
      <c r="B3511" s="63" t="str">
        <f>IFERROR(TEXT(tbl_Ventes[[#This Row],[Date]],"mm-aaaa"),"")</f>
        <v>01-1900</v>
      </c>
      <c r="D3511" s="10" t="str">
        <f>IFERROR(
   INDEX(tbl_ProduitsRef[Cde_Prdt],MATCH(tbl_Ventes[[#This Row],[Produit]],tbl_ProduitsRef[Produit],0)),
   ""
)</f>
        <v/>
      </c>
      <c r="E3511" s="7">
        <v>0</v>
      </c>
      <c r="F3511" s="7" t="str">
        <f>IFERROR(
   INDEX(tbl_ProduitsRef[Prix Menu],MATCH(tbl_Ventes[[#This Row],[Produit]],tbl_ProduitsRef[Produit],0)),
   ""
)</f>
        <v/>
      </c>
      <c r="G3511" s="7">
        <f>tbl_Ventes[[#This Row],[Qté Vendue]] * IFERROR(_xlfn.XLOOKUP(tbl_Ventes[[#This Row],[Cde_Prdt]], tbl_Produits[Cde_Prdt], tbl_Produits[Prix Menu]), 0)</f>
        <v>0</v>
      </c>
      <c r="H3511" s="7">
        <f>IFERROR(_xlfn.XLOOKUP(tbl_Ventes[[#This Row],[Cde_Prdt]], tbl_Produits[Cde_Prdt], tbl_Produits[Coût Moyen Portion]), 0)</f>
        <v>0</v>
      </c>
      <c r="I3511" s="7">
        <f>tbl_Ventes[[#This Row],[Qté Vendue]] * tbl_Ventes[[#This Row],[CMP_par_portion]]</f>
        <v>0</v>
      </c>
      <c r="J3511" s="7">
        <f>tbl_Ventes[[#This Row],[CA ligne]] - tbl_Ventes[[#This Row],[Coût matière ligne]]</f>
        <v>0</v>
      </c>
      <c r="K3511" s="7" t="str">
        <f>IFERROR(INDEX(tbl_ProduitsRef[Famille], MATCH(tbl_Ventes[[#This Row],[Cde_Prdt]], tbl_Produits[Cde_Prdt], 0)), "")</f>
        <v/>
      </c>
    </row>
    <row r="3512" spans="1:11" x14ac:dyDescent="0.25">
      <c r="A3512" s="5"/>
      <c r="B3512" s="63" t="str">
        <f>IFERROR(TEXT(tbl_Ventes[[#This Row],[Date]],"mm-aaaa"),"")</f>
        <v>01-1900</v>
      </c>
      <c r="D3512" s="10" t="str">
        <f>IFERROR(
   INDEX(tbl_ProduitsRef[Cde_Prdt],MATCH(tbl_Ventes[[#This Row],[Produit]],tbl_ProduitsRef[Produit],0)),
   ""
)</f>
        <v/>
      </c>
      <c r="E3512" s="7">
        <v>0</v>
      </c>
      <c r="F3512" s="7" t="str">
        <f>IFERROR(
   INDEX(tbl_ProduitsRef[Prix Menu],MATCH(tbl_Ventes[[#This Row],[Produit]],tbl_ProduitsRef[Produit],0)),
   ""
)</f>
        <v/>
      </c>
      <c r="G3512" s="7">
        <f>tbl_Ventes[[#This Row],[Qté Vendue]] * IFERROR(_xlfn.XLOOKUP(tbl_Ventes[[#This Row],[Cde_Prdt]], tbl_Produits[Cde_Prdt], tbl_Produits[Prix Menu]), 0)</f>
        <v>0</v>
      </c>
      <c r="H3512" s="7">
        <f>IFERROR(_xlfn.XLOOKUP(tbl_Ventes[[#This Row],[Cde_Prdt]], tbl_Produits[Cde_Prdt], tbl_Produits[Coût Moyen Portion]), 0)</f>
        <v>0</v>
      </c>
      <c r="I3512" s="7">
        <f>tbl_Ventes[[#This Row],[Qté Vendue]] * tbl_Ventes[[#This Row],[CMP_par_portion]]</f>
        <v>0</v>
      </c>
      <c r="J3512" s="7">
        <f>tbl_Ventes[[#This Row],[CA ligne]] - tbl_Ventes[[#This Row],[Coût matière ligne]]</f>
        <v>0</v>
      </c>
      <c r="K3512" s="7" t="str">
        <f>IFERROR(INDEX(tbl_ProduitsRef[Famille], MATCH(tbl_Ventes[[#This Row],[Cde_Prdt]], tbl_Produits[Cde_Prdt], 0)), "")</f>
        <v/>
      </c>
    </row>
    <row r="3513" spans="1:11" x14ac:dyDescent="0.25">
      <c r="A3513" s="5"/>
      <c r="B3513" s="63" t="str">
        <f>IFERROR(TEXT(tbl_Ventes[[#This Row],[Date]],"mm-aaaa"),"")</f>
        <v>01-1900</v>
      </c>
      <c r="D3513" s="10" t="str">
        <f>IFERROR(
   INDEX(tbl_ProduitsRef[Cde_Prdt],MATCH(tbl_Ventes[[#This Row],[Produit]],tbl_ProduitsRef[Produit],0)),
   ""
)</f>
        <v/>
      </c>
      <c r="E3513" s="7">
        <v>0</v>
      </c>
      <c r="F3513" s="7" t="str">
        <f>IFERROR(
   INDEX(tbl_ProduitsRef[Prix Menu],MATCH(tbl_Ventes[[#This Row],[Produit]],tbl_ProduitsRef[Produit],0)),
   ""
)</f>
        <v/>
      </c>
      <c r="G3513" s="7">
        <f>tbl_Ventes[[#This Row],[Qté Vendue]] * IFERROR(_xlfn.XLOOKUP(tbl_Ventes[[#This Row],[Cde_Prdt]], tbl_Produits[Cde_Prdt], tbl_Produits[Prix Menu]), 0)</f>
        <v>0</v>
      </c>
      <c r="H3513" s="7">
        <f>IFERROR(_xlfn.XLOOKUP(tbl_Ventes[[#This Row],[Cde_Prdt]], tbl_Produits[Cde_Prdt], tbl_Produits[Coût Moyen Portion]), 0)</f>
        <v>0</v>
      </c>
      <c r="I3513" s="7">
        <f>tbl_Ventes[[#This Row],[Qté Vendue]] * tbl_Ventes[[#This Row],[CMP_par_portion]]</f>
        <v>0</v>
      </c>
      <c r="J3513" s="7">
        <f>tbl_Ventes[[#This Row],[CA ligne]] - tbl_Ventes[[#This Row],[Coût matière ligne]]</f>
        <v>0</v>
      </c>
      <c r="K3513" s="7" t="str">
        <f>IFERROR(INDEX(tbl_ProduitsRef[Famille], MATCH(tbl_Ventes[[#This Row],[Cde_Prdt]], tbl_Produits[Cde_Prdt], 0)), "")</f>
        <v/>
      </c>
    </row>
    <row r="3514" spans="1:11" x14ac:dyDescent="0.25">
      <c r="A3514" s="5"/>
      <c r="B3514" s="63" t="str">
        <f>IFERROR(TEXT(tbl_Ventes[[#This Row],[Date]],"mm-aaaa"),"")</f>
        <v>01-1900</v>
      </c>
      <c r="D3514" s="10" t="str">
        <f>IFERROR(
   INDEX(tbl_ProduitsRef[Cde_Prdt],MATCH(tbl_Ventes[[#This Row],[Produit]],tbl_ProduitsRef[Produit],0)),
   ""
)</f>
        <v/>
      </c>
      <c r="E3514" s="7">
        <v>0</v>
      </c>
      <c r="F3514" s="7" t="str">
        <f>IFERROR(
   INDEX(tbl_ProduitsRef[Prix Menu],MATCH(tbl_Ventes[[#This Row],[Produit]],tbl_ProduitsRef[Produit],0)),
   ""
)</f>
        <v/>
      </c>
      <c r="G3514" s="7">
        <f>tbl_Ventes[[#This Row],[Qté Vendue]] * IFERROR(_xlfn.XLOOKUP(tbl_Ventes[[#This Row],[Cde_Prdt]], tbl_Produits[Cde_Prdt], tbl_Produits[Prix Menu]), 0)</f>
        <v>0</v>
      </c>
      <c r="H3514" s="7">
        <f>IFERROR(_xlfn.XLOOKUP(tbl_Ventes[[#This Row],[Cde_Prdt]], tbl_Produits[Cde_Prdt], tbl_Produits[Coût Moyen Portion]), 0)</f>
        <v>0</v>
      </c>
      <c r="I3514" s="7">
        <f>tbl_Ventes[[#This Row],[Qté Vendue]] * tbl_Ventes[[#This Row],[CMP_par_portion]]</f>
        <v>0</v>
      </c>
      <c r="J3514" s="7">
        <f>tbl_Ventes[[#This Row],[CA ligne]] - tbl_Ventes[[#This Row],[Coût matière ligne]]</f>
        <v>0</v>
      </c>
      <c r="K3514" s="7" t="str">
        <f>IFERROR(INDEX(tbl_ProduitsRef[Famille], MATCH(tbl_Ventes[[#This Row],[Cde_Prdt]], tbl_Produits[Cde_Prdt], 0)), "")</f>
        <v/>
      </c>
    </row>
    <row r="3515" spans="1:11" x14ac:dyDescent="0.25">
      <c r="A3515" s="5"/>
      <c r="B3515" s="63" t="str">
        <f>IFERROR(TEXT(tbl_Ventes[[#This Row],[Date]],"mm-aaaa"),"")</f>
        <v>01-1900</v>
      </c>
      <c r="D3515" s="10" t="str">
        <f>IFERROR(
   INDEX(tbl_ProduitsRef[Cde_Prdt],MATCH(tbl_Ventes[[#This Row],[Produit]],tbl_ProduitsRef[Produit],0)),
   ""
)</f>
        <v/>
      </c>
      <c r="E3515" s="7">
        <v>0</v>
      </c>
      <c r="F3515" s="7" t="str">
        <f>IFERROR(
   INDEX(tbl_ProduitsRef[Prix Menu],MATCH(tbl_Ventes[[#This Row],[Produit]],tbl_ProduitsRef[Produit],0)),
   ""
)</f>
        <v/>
      </c>
      <c r="G3515" s="7">
        <f>tbl_Ventes[[#This Row],[Qté Vendue]] * IFERROR(_xlfn.XLOOKUP(tbl_Ventes[[#This Row],[Cde_Prdt]], tbl_Produits[Cde_Prdt], tbl_Produits[Prix Menu]), 0)</f>
        <v>0</v>
      </c>
      <c r="H3515" s="7">
        <f>IFERROR(_xlfn.XLOOKUP(tbl_Ventes[[#This Row],[Cde_Prdt]], tbl_Produits[Cde_Prdt], tbl_Produits[Coût Moyen Portion]), 0)</f>
        <v>0</v>
      </c>
      <c r="I3515" s="7">
        <f>tbl_Ventes[[#This Row],[Qté Vendue]] * tbl_Ventes[[#This Row],[CMP_par_portion]]</f>
        <v>0</v>
      </c>
      <c r="J3515" s="7">
        <f>tbl_Ventes[[#This Row],[CA ligne]] - tbl_Ventes[[#This Row],[Coût matière ligne]]</f>
        <v>0</v>
      </c>
      <c r="K3515" s="7" t="str">
        <f>IFERROR(INDEX(tbl_ProduitsRef[Famille], MATCH(tbl_Ventes[[#This Row],[Cde_Prdt]], tbl_Produits[Cde_Prdt], 0)), "")</f>
        <v/>
      </c>
    </row>
    <row r="3516" spans="1:11" x14ac:dyDescent="0.25">
      <c r="A3516" s="5"/>
      <c r="B3516" s="63" t="str">
        <f>IFERROR(TEXT(tbl_Ventes[[#This Row],[Date]],"mm-aaaa"),"")</f>
        <v>01-1900</v>
      </c>
      <c r="D3516" s="10" t="str">
        <f>IFERROR(
   INDEX(tbl_ProduitsRef[Cde_Prdt],MATCH(tbl_Ventes[[#This Row],[Produit]],tbl_ProduitsRef[Produit],0)),
   ""
)</f>
        <v/>
      </c>
      <c r="E3516" s="7">
        <v>0</v>
      </c>
      <c r="F3516" s="7" t="str">
        <f>IFERROR(
   INDEX(tbl_ProduitsRef[Prix Menu],MATCH(tbl_Ventes[[#This Row],[Produit]],tbl_ProduitsRef[Produit],0)),
   ""
)</f>
        <v/>
      </c>
      <c r="G3516" s="7">
        <f>tbl_Ventes[[#This Row],[Qté Vendue]] * IFERROR(_xlfn.XLOOKUP(tbl_Ventes[[#This Row],[Cde_Prdt]], tbl_Produits[Cde_Prdt], tbl_Produits[Prix Menu]), 0)</f>
        <v>0</v>
      </c>
      <c r="H3516" s="7">
        <f>IFERROR(_xlfn.XLOOKUP(tbl_Ventes[[#This Row],[Cde_Prdt]], tbl_Produits[Cde_Prdt], tbl_Produits[Coût Moyen Portion]), 0)</f>
        <v>0</v>
      </c>
      <c r="I3516" s="7">
        <f>tbl_Ventes[[#This Row],[Qté Vendue]] * tbl_Ventes[[#This Row],[CMP_par_portion]]</f>
        <v>0</v>
      </c>
      <c r="J3516" s="7">
        <f>tbl_Ventes[[#This Row],[CA ligne]] - tbl_Ventes[[#This Row],[Coût matière ligne]]</f>
        <v>0</v>
      </c>
      <c r="K3516" s="7" t="str">
        <f>IFERROR(INDEX(tbl_ProduitsRef[Famille], MATCH(tbl_Ventes[[#This Row],[Cde_Prdt]], tbl_Produits[Cde_Prdt], 0)), "")</f>
        <v/>
      </c>
    </row>
    <row r="3517" spans="1:11" x14ac:dyDescent="0.25">
      <c r="A3517" s="5"/>
      <c r="B3517" s="63" t="str">
        <f>IFERROR(TEXT(tbl_Ventes[[#This Row],[Date]],"mm-aaaa"),"")</f>
        <v>01-1900</v>
      </c>
      <c r="D3517" s="10" t="str">
        <f>IFERROR(
   INDEX(tbl_ProduitsRef[Cde_Prdt],MATCH(tbl_Ventes[[#This Row],[Produit]],tbl_ProduitsRef[Produit],0)),
   ""
)</f>
        <v/>
      </c>
      <c r="E3517" s="7">
        <v>0</v>
      </c>
      <c r="F3517" s="7" t="str">
        <f>IFERROR(
   INDEX(tbl_ProduitsRef[Prix Menu],MATCH(tbl_Ventes[[#This Row],[Produit]],tbl_ProduitsRef[Produit],0)),
   ""
)</f>
        <v/>
      </c>
      <c r="G3517" s="7">
        <f>tbl_Ventes[[#This Row],[Qté Vendue]] * IFERROR(_xlfn.XLOOKUP(tbl_Ventes[[#This Row],[Cde_Prdt]], tbl_Produits[Cde_Prdt], tbl_Produits[Prix Menu]), 0)</f>
        <v>0</v>
      </c>
      <c r="H3517" s="7">
        <f>IFERROR(_xlfn.XLOOKUP(tbl_Ventes[[#This Row],[Cde_Prdt]], tbl_Produits[Cde_Prdt], tbl_Produits[Coût Moyen Portion]), 0)</f>
        <v>0</v>
      </c>
      <c r="I3517" s="7">
        <f>tbl_Ventes[[#This Row],[Qté Vendue]] * tbl_Ventes[[#This Row],[CMP_par_portion]]</f>
        <v>0</v>
      </c>
      <c r="J3517" s="7">
        <f>tbl_Ventes[[#This Row],[CA ligne]] - tbl_Ventes[[#This Row],[Coût matière ligne]]</f>
        <v>0</v>
      </c>
      <c r="K3517" s="7" t="str">
        <f>IFERROR(INDEX(tbl_ProduitsRef[Famille], MATCH(tbl_Ventes[[#This Row],[Cde_Prdt]], tbl_Produits[Cde_Prdt], 0)), "")</f>
        <v/>
      </c>
    </row>
    <row r="3518" spans="1:11" x14ac:dyDescent="0.25">
      <c r="A3518" s="5"/>
      <c r="B3518" s="63" t="str">
        <f>IFERROR(TEXT(tbl_Ventes[[#This Row],[Date]],"mm-aaaa"),"")</f>
        <v>01-1900</v>
      </c>
      <c r="D3518" s="10" t="str">
        <f>IFERROR(
   INDEX(tbl_ProduitsRef[Cde_Prdt],MATCH(tbl_Ventes[[#This Row],[Produit]],tbl_ProduitsRef[Produit],0)),
   ""
)</f>
        <v/>
      </c>
      <c r="E3518" s="7">
        <v>0</v>
      </c>
      <c r="F3518" s="7" t="str">
        <f>IFERROR(
   INDEX(tbl_ProduitsRef[Prix Menu],MATCH(tbl_Ventes[[#This Row],[Produit]],tbl_ProduitsRef[Produit],0)),
   ""
)</f>
        <v/>
      </c>
      <c r="G3518" s="7">
        <f>tbl_Ventes[[#This Row],[Qté Vendue]] * IFERROR(_xlfn.XLOOKUP(tbl_Ventes[[#This Row],[Cde_Prdt]], tbl_Produits[Cde_Prdt], tbl_Produits[Prix Menu]), 0)</f>
        <v>0</v>
      </c>
      <c r="H3518" s="7">
        <f>IFERROR(_xlfn.XLOOKUP(tbl_Ventes[[#This Row],[Cde_Prdt]], tbl_Produits[Cde_Prdt], tbl_Produits[Coût Moyen Portion]), 0)</f>
        <v>0</v>
      </c>
      <c r="I3518" s="7">
        <f>tbl_Ventes[[#This Row],[Qté Vendue]] * tbl_Ventes[[#This Row],[CMP_par_portion]]</f>
        <v>0</v>
      </c>
      <c r="J3518" s="7">
        <f>tbl_Ventes[[#This Row],[CA ligne]] - tbl_Ventes[[#This Row],[Coût matière ligne]]</f>
        <v>0</v>
      </c>
      <c r="K3518" s="7" t="str">
        <f>IFERROR(INDEX(tbl_ProduitsRef[Famille], MATCH(tbl_Ventes[[#This Row],[Cde_Prdt]], tbl_Produits[Cde_Prdt], 0)), "")</f>
        <v/>
      </c>
    </row>
    <row r="3519" spans="1:11" x14ac:dyDescent="0.25">
      <c r="A3519" s="5"/>
      <c r="B3519" s="63" t="str">
        <f>IFERROR(TEXT(tbl_Ventes[[#This Row],[Date]],"mm-aaaa"),"")</f>
        <v>01-1900</v>
      </c>
      <c r="D3519" s="10" t="str">
        <f>IFERROR(
   INDEX(tbl_ProduitsRef[Cde_Prdt],MATCH(tbl_Ventes[[#This Row],[Produit]],tbl_ProduitsRef[Produit],0)),
   ""
)</f>
        <v/>
      </c>
      <c r="E3519" s="7">
        <v>0</v>
      </c>
      <c r="F3519" s="7" t="str">
        <f>IFERROR(
   INDEX(tbl_ProduitsRef[Prix Menu],MATCH(tbl_Ventes[[#This Row],[Produit]],tbl_ProduitsRef[Produit],0)),
   ""
)</f>
        <v/>
      </c>
      <c r="G3519" s="7">
        <f>tbl_Ventes[[#This Row],[Qté Vendue]] * IFERROR(_xlfn.XLOOKUP(tbl_Ventes[[#This Row],[Cde_Prdt]], tbl_Produits[Cde_Prdt], tbl_Produits[Prix Menu]), 0)</f>
        <v>0</v>
      </c>
      <c r="H3519" s="7">
        <f>IFERROR(_xlfn.XLOOKUP(tbl_Ventes[[#This Row],[Cde_Prdt]], tbl_Produits[Cde_Prdt], tbl_Produits[Coût Moyen Portion]), 0)</f>
        <v>0</v>
      </c>
      <c r="I3519" s="7">
        <f>tbl_Ventes[[#This Row],[Qté Vendue]] * tbl_Ventes[[#This Row],[CMP_par_portion]]</f>
        <v>0</v>
      </c>
      <c r="J3519" s="7">
        <f>tbl_Ventes[[#This Row],[CA ligne]] - tbl_Ventes[[#This Row],[Coût matière ligne]]</f>
        <v>0</v>
      </c>
      <c r="K3519" s="7" t="str">
        <f>IFERROR(INDEX(tbl_ProduitsRef[Famille], MATCH(tbl_Ventes[[#This Row],[Cde_Prdt]], tbl_Produits[Cde_Prdt], 0)), "")</f>
        <v/>
      </c>
    </row>
    <row r="3520" spans="1:11" x14ac:dyDescent="0.25">
      <c r="A3520" s="5"/>
      <c r="B3520" s="63" t="str">
        <f>IFERROR(TEXT(tbl_Ventes[[#This Row],[Date]],"mm-aaaa"),"")</f>
        <v>01-1900</v>
      </c>
      <c r="D3520" s="10" t="str">
        <f>IFERROR(
   INDEX(tbl_ProduitsRef[Cde_Prdt],MATCH(tbl_Ventes[[#This Row],[Produit]],tbl_ProduitsRef[Produit],0)),
   ""
)</f>
        <v/>
      </c>
      <c r="E3520" s="7">
        <v>0</v>
      </c>
      <c r="F3520" s="7" t="str">
        <f>IFERROR(
   INDEX(tbl_ProduitsRef[Prix Menu],MATCH(tbl_Ventes[[#This Row],[Produit]],tbl_ProduitsRef[Produit],0)),
   ""
)</f>
        <v/>
      </c>
      <c r="G3520" s="7">
        <f>tbl_Ventes[[#This Row],[Qté Vendue]] * IFERROR(_xlfn.XLOOKUP(tbl_Ventes[[#This Row],[Cde_Prdt]], tbl_Produits[Cde_Prdt], tbl_Produits[Prix Menu]), 0)</f>
        <v>0</v>
      </c>
      <c r="H3520" s="7">
        <f>IFERROR(_xlfn.XLOOKUP(tbl_Ventes[[#This Row],[Cde_Prdt]], tbl_Produits[Cde_Prdt], tbl_Produits[Coût Moyen Portion]), 0)</f>
        <v>0</v>
      </c>
      <c r="I3520" s="7">
        <f>tbl_Ventes[[#This Row],[Qté Vendue]] * tbl_Ventes[[#This Row],[CMP_par_portion]]</f>
        <v>0</v>
      </c>
      <c r="J3520" s="7">
        <f>tbl_Ventes[[#This Row],[CA ligne]] - tbl_Ventes[[#This Row],[Coût matière ligne]]</f>
        <v>0</v>
      </c>
      <c r="K3520" s="7" t="str">
        <f>IFERROR(INDEX(tbl_ProduitsRef[Famille], MATCH(tbl_Ventes[[#This Row],[Cde_Prdt]], tbl_Produits[Cde_Prdt], 0)), "")</f>
        <v/>
      </c>
    </row>
    <row r="3521" spans="1:11" x14ac:dyDescent="0.25">
      <c r="A3521" s="5"/>
      <c r="B3521" s="63" t="str">
        <f>IFERROR(TEXT(tbl_Ventes[[#This Row],[Date]],"mm-aaaa"),"")</f>
        <v>01-1900</v>
      </c>
      <c r="D3521" s="10" t="str">
        <f>IFERROR(
   INDEX(tbl_ProduitsRef[Cde_Prdt],MATCH(tbl_Ventes[[#This Row],[Produit]],tbl_ProduitsRef[Produit],0)),
   ""
)</f>
        <v/>
      </c>
      <c r="E3521" s="7">
        <v>0</v>
      </c>
      <c r="F3521" s="7" t="str">
        <f>IFERROR(
   INDEX(tbl_ProduitsRef[Prix Menu],MATCH(tbl_Ventes[[#This Row],[Produit]],tbl_ProduitsRef[Produit],0)),
   ""
)</f>
        <v/>
      </c>
      <c r="G3521" s="7">
        <f>tbl_Ventes[[#This Row],[Qté Vendue]] * IFERROR(_xlfn.XLOOKUP(tbl_Ventes[[#This Row],[Cde_Prdt]], tbl_Produits[Cde_Prdt], tbl_Produits[Prix Menu]), 0)</f>
        <v>0</v>
      </c>
      <c r="H3521" s="7">
        <f>IFERROR(_xlfn.XLOOKUP(tbl_Ventes[[#This Row],[Cde_Prdt]], tbl_Produits[Cde_Prdt], tbl_Produits[Coût Moyen Portion]), 0)</f>
        <v>0</v>
      </c>
      <c r="I3521" s="7">
        <f>tbl_Ventes[[#This Row],[Qté Vendue]] * tbl_Ventes[[#This Row],[CMP_par_portion]]</f>
        <v>0</v>
      </c>
      <c r="J3521" s="7">
        <f>tbl_Ventes[[#This Row],[CA ligne]] - tbl_Ventes[[#This Row],[Coût matière ligne]]</f>
        <v>0</v>
      </c>
      <c r="K3521" s="7" t="str">
        <f>IFERROR(INDEX(tbl_ProduitsRef[Famille], MATCH(tbl_Ventes[[#This Row],[Cde_Prdt]], tbl_Produits[Cde_Prdt], 0)), "")</f>
        <v/>
      </c>
    </row>
    <row r="3522" spans="1:11" x14ac:dyDescent="0.25">
      <c r="A3522" s="5"/>
      <c r="B3522" s="63" t="str">
        <f>IFERROR(TEXT(tbl_Ventes[[#This Row],[Date]],"mm-aaaa"),"")</f>
        <v>01-1900</v>
      </c>
      <c r="D3522" s="10" t="str">
        <f>IFERROR(
   INDEX(tbl_ProduitsRef[Cde_Prdt],MATCH(tbl_Ventes[[#This Row],[Produit]],tbl_ProduitsRef[Produit],0)),
   ""
)</f>
        <v/>
      </c>
      <c r="E3522" s="7">
        <v>0</v>
      </c>
      <c r="F3522" s="7" t="str">
        <f>IFERROR(
   INDEX(tbl_ProduitsRef[Prix Menu],MATCH(tbl_Ventes[[#This Row],[Produit]],tbl_ProduitsRef[Produit],0)),
   ""
)</f>
        <v/>
      </c>
      <c r="G3522" s="7">
        <f>tbl_Ventes[[#This Row],[Qté Vendue]] * IFERROR(_xlfn.XLOOKUP(tbl_Ventes[[#This Row],[Cde_Prdt]], tbl_Produits[Cde_Prdt], tbl_Produits[Prix Menu]), 0)</f>
        <v>0</v>
      </c>
      <c r="H3522" s="7">
        <f>IFERROR(_xlfn.XLOOKUP(tbl_Ventes[[#This Row],[Cde_Prdt]], tbl_Produits[Cde_Prdt], tbl_Produits[Coût Moyen Portion]), 0)</f>
        <v>0</v>
      </c>
      <c r="I3522" s="7">
        <f>tbl_Ventes[[#This Row],[Qté Vendue]] * tbl_Ventes[[#This Row],[CMP_par_portion]]</f>
        <v>0</v>
      </c>
      <c r="J3522" s="7">
        <f>tbl_Ventes[[#This Row],[CA ligne]] - tbl_Ventes[[#This Row],[Coût matière ligne]]</f>
        <v>0</v>
      </c>
      <c r="K3522" s="7" t="str">
        <f>IFERROR(INDEX(tbl_ProduitsRef[Famille], MATCH(tbl_Ventes[[#This Row],[Cde_Prdt]], tbl_Produits[Cde_Prdt], 0)), "")</f>
        <v/>
      </c>
    </row>
    <row r="3523" spans="1:11" x14ac:dyDescent="0.25">
      <c r="A3523" s="5"/>
      <c r="B3523" s="63" t="str">
        <f>IFERROR(TEXT(tbl_Ventes[[#This Row],[Date]],"mm-aaaa"),"")</f>
        <v>01-1900</v>
      </c>
      <c r="D3523" s="10" t="str">
        <f>IFERROR(
   INDEX(tbl_ProduitsRef[Cde_Prdt],MATCH(tbl_Ventes[[#This Row],[Produit]],tbl_ProduitsRef[Produit],0)),
   ""
)</f>
        <v/>
      </c>
      <c r="E3523" s="7">
        <v>0</v>
      </c>
      <c r="F3523" s="7" t="str">
        <f>IFERROR(
   INDEX(tbl_ProduitsRef[Prix Menu],MATCH(tbl_Ventes[[#This Row],[Produit]],tbl_ProduitsRef[Produit],0)),
   ""
)</f>
        <v/>
      </c>
      <c r="G3523" s="7">
        <f>tbl_Ventes[[#This Row],[Qté Vendue]] * IFERROR(_xlfn.XLOOKUP(tbl_Ventes[[#This Row],[Cde_Prdt]], tbl_Produits[Cde_Prdt], tbl_Produits[Prix Menu]), 0)</f>
        <v>0</v>
      </c>
      <c r="H3523" s="7">
        <f>IFERROR(_xlfn.XLOOKUP(tbl_Ventes[[#This Row],[Cde_Prdt]], tbl_Produits[Cde_Prdt], tbl_Produits[Coût Moyen Portion]), 0)</f>
        <v>0</v>
      </c>
      <c r="I3523" s="7">
        <f>tbl_Ventes[[#This Row],[Qté Vendue]] * tbl_Ventes[[#This Row],[CMP_par_portion]]</f>
        <v>0</v>
      </c>
      <c r="J3523" s="7">
        <f>tbl_Ventes[[#This Row],[CA ligne]] - tbl_Ventes[[#This Row],[Coût matière ligne]]</f>
        <v>0</v>
      </c>
      <c r="K3523" s="7" t="str">
        <f>IFERROR(INDEX(tbl_ProduitsRef[Famille], MATCH(tbl_Ventes[[#This Row],[Cde_Prdt]], tbl_Produits[Cde_Prdt], 0)), "")</f>
        <v/>
      </c>
    </row>
    <row r="3524" spans="1:11" x14ac:dyDescent="0.25">
      <c r="A3524" s="5"/>
      <c r="B3524" s="63" t="str">
        <f>IFERROR(TEXT(tbl_Ventes[[#This Row],[Date]],"mm-aaaa"),"")</f>
        <v>01-1900</v>
      </c>
      <c r="D3524" s="10" t="str">
        <f>IFERROR(
   INDEX(tbl_ProduitsRef[Cde_Prdt],MATCH(tbl_Ventes[[#This Row],[Produit]],tbl_ProduitsRef[Produit],0)),
   ""
)</f>
        <v/>
      </c>
      <c r="E3524" s="7">
        <v>0</v>
      </c>
      <c r="F3524" s="7" t="str">
        <f>IFERROR(
   INDEX(tbl_ProduitsRef[Prix Menu],MATCH(tbl_Ventes[[#This Row],[Produit]],tbl_ProduitsRef[Produit],0)),
   ""
)</f>
        <v/>
      </c>
      <c r="G3524" s="7">
        <f>tbl_Ventes[[#This Row],[Qté Vendue]] * IFERROR(_xlfn.XLOOKUP(tbl_Ventes[[#This Row],[Cde_Prdt]], tbl_Produits[Cde_Prdt], tbl_Produits[Prix Menu]), 0)</f>
        <v>0</v>
      </c>
      <c r="H3524" s="7">
        <f>IFERROR(_xlfn.XLOOKUP(tbl_Ventes[[#This Row],[Cde_Prdt]], tbl_Produits[Cde_Prdt], tbl_Produits[Coût Moyen Portion]), 0)</f>
        <v>0</v>
      </c>
      <c r="I3524" s="7">
        <f>tbl_Ventes[[#This Row],[Qté Vendue]] * tbl_Ventes[[#This Row],[CMP_par_portion]]</f>
        <v>0</v>
      </c>
      <c r="J3524" s="7">
        <f>tbl_Ventes[[#This Row],[CA ligne]] - tbl_Ventes[[#This Row],[Coût matière ligne]]</f>
        <v>0</v>
      </c>
      <c r="K3524" s="7" t="str">
        <f>IFERROR(INDEX(tbl_ProduitsRef[Famille], MATCH(tbl_Ventes[[#This Row],[Cde_Prdt]], tbl_Produits[Cde_Prdt], 0)), "")</f>
        <v/>
      </c>
    </row>
    <row r="3525" spans="1:11" x14ac:dyDescent="0.25">
      <c r="A3525" s="5"/>
      <c r="B3525" s="63" t="str">
        <f>IFERROR(TEXT(tbl_Ventes[[#This Row],[Date]],"mm-aaaa"),"")</f>
        <v>01-1900</v>
      </c>
      <c r="D3525" s="10" t="str">
        <f>IFERROR(
   INDEX(tbl_ProduitsRef[Cde_Prdt],MATCH(tbl_Ventes[[#This Row],[Produit]],tbl_ProduitsRef[Produit],0)),
   ""
)</f>
        <v/>
      </c>
      <c r="E3525" s="7">
        <v>0</v>
      </c>
      <c r="F3525" s="7" t="str">
        <f>IFERROR(
   INDEX(tbl_ProduitsRef[Prix Menu],MATCH(tbl_Ventes[[#This Row],[Produit]],tbl_ProduitsRef[Produit],0)),
   ""
)</f>
        <v/>
      </c>
      <c r="G3525" s="7">
        <f>tbl_Ventes[[#This Row],[Qté Vendue]] * IFERROR(_xlfn.XLOOKUP(tbl_Ventes[[#This Row],[Cde_Prdt]], tbl_Produits[Cde_Prdt], tbl_Produits[Prix Menu]), 0)</f>
        <v>0</v>
      </c>
      <c r="H3525" s="7">
        <f>IFERROR(_xlfn.XLOOKUP(tbl_Ventes[[#This Row],[Cde_Prdt]], tbl_Produits[Cde_Prdt], tbl_Produits[Coût Moyen Portion]), 0)</f>
        <v>0</v>
      </c>
      <c r="I3525" s="7">
        <f>tbl_Ventes[[#This Row],[Qté Vendue]] * tbl_Ventes[[#This Row],[CMP_par_portion]]</f>
        <v>0</v>
      </c>
      <c r="J3525" s="7">
        <f>tbl_Ventes[[#This Row],[CA ligne]] - tbl_Ventes[[#This Row],[Coût matière ligne]]</f>
        <v>0</v>
      </c>
      <c r="K3525" s="7" t="str">
        <f>IFERROR(INDEX(tbl_ProduitsRef[Famille], MATCH(tbl_Ventes[[#This Row],[Cde_Prdt]], tbl_Produits[Cde_Prdt], 0)), "")</f>
        <v/>
      </c>
    </row>
    <row r="3526" spans="1:11" x14ac:dyDescent="0.25">
      <c r="A3526" s="5"/>
      <c r="B3526" s="63" t="str">
        <f>IFERROR(TEXT(tbl_Ventes[[#This Row],[Date]],"mm-aaaa"),"")</f>
        <v>01-1900</v>
      </c>
      <c r="D3526" s="10" t="str">
        <f>IFERROR(
   INDEX(tbl_ProduitsRef[Cde_Prdt],MATCH(tbl_Ventes[[#This Row],[Produit]],tbl_ProduitsRef[Produit],0)),
   ""
)</f>
        <v/>
      </c>
      <c r="E3526" s="7">
        <v>0</v>
      </c>
      <c r="F3526" s="7" t="str">
        <f>IFERROR(
   INDEX(tbl_ProduitsRef[Prix Menu],MATCH(tbl_Ventes[[#This Row],[Produit]],tbl_ProduitsRef[Produit],0)),
   ""
)</f>
        <v/>
      </c>
      <c r="G3526" s="7">
        <f>tbl_Ventes[[#This Row],[Qté Vendue]] * IFERROR(_xlfn.XLOOKUP(tbl_Ventes[[#This Row],[Cde_Prdt]], tbl_Produits[Cde_Prdt], tbl_Produits[Prix Menu]), 0)</f>
        <v>0</v>
      </c>
      <c r="H3526" s="7">
        <f>IFERROR(_xlfn.XLOOKUP(tbl_Ventes[[#This Row],[Cde_Prdt]], tbl_Produits[Cde_Prdt], tbl_Produits[Coût Moyen Portion]), 0)</f>
        <v>0</v>
      </c>
      <c r="I3526" s="7">
        <f>tbl_Ventes[[#This Row],[Qté Vendue]] * tbl_Ventes[[#This Row],[CMP_par_portion]]</f>
        <v>0</v>
      </c>
      <c r="J3526" s="7">
        <f>tbl_Ventes[[#This Row],[CA ligne]] - tbl_Ventes[[#This Row],[Coût matière ligne]]</f>
        <v>0</v>
      </c>
      <c r="K3526" s="7" t="str">
        <f>IFERROR(INDEX(tbl_ProduitsRef[Famille], MATCH(tbl_Ventes[[#This Row],[Cde_Prdt]], tbl_Produits[Cde_Prdt], 0)), "")</f>
        <v/>
      </c>
    </row>
    <row r="3527" spans="1:11" x14ac:dyDescent="0.25">
      <c r="A3527" s="5"/>
      <c r="B3527" s="63" t="str">
        <f>IFERROR(TEXT(tbl_Ventes[[#This Row],[Date]],"mm-aaaa"),"")</f>
        <v>01-1900</v>
      </c>
      <c r="D3527" s="10" t="str">
        <f>IFERROR(
   INDEX(tbl_ProduitsRef[Cde_Prdt],MATCH(tbl_Ventes[[#This Row],[Produit]],tbl_ProduitsRef[Produit],0)),
   ""
)</f>
        <v/>
      </c>
      <c r="E3527" s="7">
        <v>0</v>
      </c>
      <c r="F3527" s="7" t="str">
        <f>IFERROR(
   INDEX(tbl_ProduitsRef[Prix Menu],MATCH(tbl_Ventes[[#This Row],[Produit]],tbl_ProduitsRef[Produit],0)),
   ""
)</f>
        <v/>
      </c>
      <c r="G3527" s="7">
        <f>tbl_Ventes[[#This Row],[Qté Vendue]] * IFERROR(_xlfn.XLOOKUP(tbl_Ventes[[#This Row],[Cde_Prdt]], tbl_Produits[Cde_Prdt], tbl_Produits[Prix Menu]), 0)</f>
        <v>0</v>
      </c>
      <c r="H3527" s="7">
        <f>IFERROR(_xlfn.XLOOKUP(tbl_Ventes[[#This Row],[Cde_Prdt]], tbl_Produits[Cde_Prdt], tbl_Produits[Coût Moyen Portion]), 0)</f>
        <v>0</v>
      </c>
      <c r="I3527" s="7">
        <f>tbl_Ventes[[#This Row],[Qté Vendue]] * tbl_Ventes[[#This Row],[CMP_par_portion]]</f>
        <v>0</v>
      </c>
      <c r="J3527" s="7">
        <f>tbl_Ventes[[#This Row],[CA ligne]] - tbl_Ventes[[#This Row],[Coût matière ligne]]</f>
        <v>0</v>
      </c>
      <c r="K3527" s="7" t="str">
        <f>IFERROR(INDEX(tbl_ProduitsRef[Famille], MATCH(tbl_Ventes[[#This Row],[Cde_Prdt]], tbl_Produits[Cde_Prdt], 0)), "")</f>
        <v/>
      </c>
    </row>
    <row r="3528" spans="1:11" x14ac:dyDescent="0.25">
      <c r="A3528" s="5"/>
      <c r="B3528" s="63" t="str">
        <f>IFERROR(TEXT(tbl_Ventes[[#This Row],[Date]],"mm-aaaa"),"")</f>
        <v>01-1900</v>
      </c>
      <c r="D3528" s="10" t="str">
        <f>IFERROR(
   INDEX(tbl_ProduitsRef[Cde_Prdt],MATCH(tbl_Ventes[[#This Row],[Produit]],tbl_ProduitsRef[Produit],0)),
   ""
)</f>
        <v/>
      </c>
      <c r="E3528" s="7">
        <v>0</v>
      </c>
      <c r="F3528" s="7" t="str">
        <f>IFERROR(
   INDEX(tbl_ProduitsRef[Prix Menu],MATCH(tbl_Ventes[[#This Row],[Produit]],tbl_ProduitsRef[Produit],0)),
   ""
)</f>
        <v/>
      </c>
      <c r="G3528" s="7">
        <f>tbl_Ventes[[#This Row],[Qté Vendue]] * IFERROR(_xlfn.XLOOKUP(tbl_Ventes[[#This Row],[Cde_Prdt]], tbl_Produits[Cde_Prdt], tbl_Produits[Prix Menu]), 0)</f>
        <v>0</v>
      </c>
      <c r="H3528" s="7">
        <f>IFERROR(_xlfn.XLOOKUP(tbl_Ventes[[#This Row],[Cde_Prdt]], tbl_Produits[Cde_Prdt], tbl_Produits[Coût Moyen Portion]), 0)</f>
        <v>0</v>
      </c>
      <c r="I3528" s="7">
        <f>tbl_Ventes[[#This Row],[Qté Vendue]] * tbl_Ventes[[#This Row],[CMP_par_portion]]</f>
        <v>0</v>
      </c>
      <c r="J3528" s="7">
        <f>tbl_Ventes[[#This Row],[CA ligne]] - tbl_Ventes[[#This Row],[Coût matière ligne]]</f>
        <v>0</v>
      </c>
      <c r="K3528" s="7" t="str">
        <f>IFERROR(INDEX(tbl_ProduitsRef[Famille], MATCH(tbl_Ventes[[#This Row],[Cde_Prdt]], tbl_Produits[Cde_Prdt], 0)), "")</f>
        <v/>
      </c>
    </row>
    <row r="3529" spans="1:11" x14ac:dyDescent="0.25">
      <c r="A3529" s="5"/>
      <c r="B3529" s="63" t="str">
        <f>IFERROR(TEXT(tbl_Ventes[[#This Row],[Date]],"mm-aaaa"),"")</f>
        <v>01-1900</v>
      </c>
      <c r="D3529" s="10" t="str">
        <f>IFERROR(
   INDEX(tbl_ProduitsRef[Cde_Prdt],MATCH(tbl_Ventes[[#This Row],[Produit]],tbl_ProduitsRef[Produit],0)),
   ""
)</f>
        <v/>
      </c>
      <c r="E3529" s="7">
        <v>0</v>
      </c>
      <c r="F3529" s="7" t="str">
        <f>IFERROR(
   INDEX(tbl_ProduitsRef[Prix Menu],MATCH(tbl_Ventes[[#This Row],[Produit]],tbl_ProduitsRef[Produit],0)),
   ""
)</f>
        <v/>
      </c>
      <c r="G3529" s="7">
        <f>tbl_Ventes[[#This Row],[Qté Vendue]] * IFERROR(_xlfn.XLOOKUP(tbl_Ventes[[#This Row],[Cde_Prdt]], tbl_Produits[Cde_Prdt], tbl_Produits[Prix Menu]), 0)</f>
        <v>0</v>
      </c>
      <c r="H3529" s="7">
        <f>IFERROR(_xlfn.XLOOKUP(tbl_Ventes[[#This Row],[Cde_Prdt]], tbl_Produits[Cde_Prdt], tbl_Produits[Coût Moyen Portion]), 0)</f>
        <v>0</v>
      </c>
      <c r="I3529" s="7">
        <f>tbl_Ventes[[#This Row],[Qté Vendue]] * tbl_Ventes[[#This Row],[CMP_par_portion]]</f>
        <v>0</v>
      </c>
      <c r="J3529" s="7">
        <f>tbl_Ventes[[#This Row],[CA ligne]] - tbl_Ventes[[#This Row],[Coût matière ligne]]</f>
        <v>0</v>
      </c>
      <c r="K3529" s="7" t="str">
        <f>IFERROR(INDEX(tbl_ProduitsRef[Famille], MATCH(tbl_Ventes[[#This Row],[Cde_Prdt]], tbl_Produits[Cde_Prdt], 0)), "")</f>
        <v/>
      </c>
    </row>
    <row r="3530" spans="1:11" x14ac:dyDescent="0.25">
      <c r="A3530" s="5"/>
      <c r="B3530" s="63" t="str">
        <f>IFERROR(TEXT(tbl_Ventes[[#This Row],[Date]],"mm-aaaa"),"")</f>
        <v>01-1900</v>
      </c>
      <c r="D3530" s="10" t="str">
        <f>IFERROR(
   INDEX(tbl_ProduitsRef[Cde_Prdt],MATCH(tbl_Ventes[[#This Row],[Produit]],tbl_ProduitsRef[Produit],0)),
   ""
)</f>
        <v/>
      </c>
      <c r="E3530" s="7">
        <v>0</v>
      </c>
      <c r="F3530" s="7" t="str">
        <f>IFERROR(
   INDEX(tbl_ProduitsRef[Prix Menu],MATCH(tbl_Ventes[[#This Row],[Produit]],tbl_ProduitsRef[Produit],0)),
   ""
)</f>
        <v/>
      </c>
      <c r="G3530" s="7">
        <f>tbl_Ventes[[#This Row],[Qté Vendue]] * IFERROR(_xlfn.XLOOKUP(tbl_Ventes[[#This Row],[Cde_Prdt]], tbl_Produits[Cde_Prdt], tbl_Produits[Prix Menu]), 0)</f>
        <v>0</v>
      </c>
      <c r="H3530" s="7">
        <f>IFERROR(_xlfn.XLOOKUP(tbl_Ventes[[#This Row],[Cde_Prdt]], tbl_Produits[Cde_Prdt], tbl_Produits[Coût Moyen Portion]), 0)</f>
        <v>0</v>
      </c>
      <c r="I3530" s="7">
        <f>tbl_Ventes[[#This Row],[Qté Vendue]] * tbl_Ventes[[#This Row],[CMP_par_portion]]</f>
        <v>0</v>
      </c>
      <c r="J3530" s="7">
        <f>tbl_Ventes[[#This Row],[CA ligne]] - tbl_Ventes[[#This Row],[Coût matière ligne]]</f>
        <v>0</v>
      </c>
      <c r="K3530" s="7" t="str">
        <f>IFERROR(INDEX(tbl_ProduitsRef[Famille], MATCH(tbl_Ventes[[#This Row],[Cde_Prdt]], tbl_Produits[Cde_Prdt], 0)), "")</f>
        <v/>
      </c>
    </row>
    <row r="3531" spans="1:11" x14ac:dyDescent="0.25">
      <c r="A3531" s="5"/>
      <c r="B3531" s="63" t="str">
        <f>IFERROR(TEXT(tbl_Ventes[[#This Row],[Date]],"mm-aaaa"),"")</f>
        <v>01-1900</v>
      </c>
      <c r="D3531" s="10" t="str">
        <f>IFERROR(
   INDEX(tbl_ProduitsRef[Cde_Prdt],MATCH(tbl_Ventes[[#This Row],[Produit]],tbl_ProduitsRef[Produit],0)),
   ""
)</f>
        <v/>
      </c>
      <c r="E3531" s="7">
        <v>0</v>
      </c>
      <c r="F3531" s="7" t="str">
        <f>IFERROR(
   INDEX(tbl_ProduitsRef[Prix Menu],MATCH(tbl_Ventes[[#This Row],[Produit]],tbl_ProduitsRef[Produit],0)),
   ""
)</f>
        <v/>
      </c>
      <c r="G3531" s="7">
        <f>tbl_Ventes[[#This Row],[Qté Vendue]] * IFERROR(_xlfn.XLOOKUP(tbl_Ventes[[#This Row],[Cde_Prdt]], tbl_Produits[Cde_Prdt], tbl_Produits[Prix Menu]), 0)</f>
        <v>0</v>
      </c>
      <c r="H3531" s="7">
        <f>IFERROR(_xlfn.XLOOKUP(tbl_Ventes[[#This Row],[Cde_Prdt]], tbl_Produits[Cde_Prdt], tbl_Produits[Coût Moyen Portion]), 0)</f>
        <v>0</v>
      </c>
      <c r="I3531" s="7">
        <f>tbl_Ventes[[#This Row],[Qté Vendue]] * tbl_Ventes[[#This Row],[CMP_par_portion]]</f>
        <v>0</v>
      </c>
      <c r="J3531" s="7">
        <f>tbl_Ventes[[#This Row],[CA ligne]] - tbl_Ventes[[#This Row],[Coût matière ligne]]</f>
        <v>0</v>
      </c>
      <c r="K3531" s="7" t="str">
        <f>IFERROR(INDEX(tbl_ProduitsRef[Famille], MATCH(tbl_Ventes[[#This Row],[Cde_Prdt]], tbl_Produits[Cde_Prdt], 0)), "")</f>
        <v/>
      </c>
    </row>
    <row r="3532" spans="1:11" x14ac:dyDescent="0.25">
      <c r="A3532" s="5"/>
      <c r="B3532" s="63" t="str">
        <f>IFERROR(TEXT(tbl_Ventes[[#This Row],[Date]],"mm-aaaa"),"")</f>
        <v>01-1900</v>
      </c>
      <c r="D3532" s="10" t="str">
        <f>IFERROR(
   INDEX(tbl_ProduitsRef[Cde_Prdt],MATCH(tbl_Ventes[[#This Row],[Produit]],tbl_ProduitsRef[Produit],0)),
   ""
)</f>
        <v/>
      </c>
      <c r="E3532" s="7">
        <v>0</v>
      </c>
      <c r="F3532" s="7" t="str">
        <f>IFERROR(
   INDEX(tbl_ProduitsRef[Prix Menu],MATCH(tbl_Ventes[[#This Row],[Produit]],tbl_ProduitsRef[Produit],0)),
   ""
)</f>
        <v/>
      </c>
      <c r="G3532" s="7">
        <f>tbl_Ventes[[#This Row],[Qté Vendue]] * IFERROR(_xlfn.XLOOKUP(tbl_Ventes[[#This Row],[Cde_Prdt]], tbl_Produits[Cde_Prdt], tbl_Produits[Prix Menu]), 0)</f>
        <v>0</v>
      </c>
      <c r="H3532" s="7">
        <f>IFERROR(_xlfn.XLOOKUP(tbl_Ventes[[#This Row],[Cde_Prdt]], tbl_Produits[Cde_Prdt], tbl_Produits[Coût Moyen Portion]), 0)</f>
        <v>0</v>
      </c>
      <c r="I3532" s="7">
        <f>tbl_Ventes[[#This Row],[Qté Vendue]] * tbl_Ventes[[#This Row],[CMP_par_portion]]</f>
        <v>0</v>
      </c>
      <c r="J3532" s="7">
        <f>tbl_Ventes[[#This Row],[CA ligne]] - tbl_Ventes[[#This Row],[Coût matière ligne]]</f>
        <v>0</v>
      </c>
      <c r="K3532" s="7" t="str">
        <f>IFERROR(INDEX(tbl_ProduitsRef[Famille], MATCH(tbl_Ventes[[#This Row],[Cde_Prdt]], tbl_Produits[Cde_Prdt], 0)), "")</f>
        <v/>
      </c>
    </row>
    <row r="3533" spans="1:11" x14ac:dyDescent="0.25">
      <c r="A3533" s="5"/>
      <c r="B3533" s="63" t="str">
        <f>IFERROR(TEXT(tbl_Ventes[[#This Row],[Date]],"mm-aaaa"),"")</f>
        <v>01-1900</v>
      </c>
      <c r="D3533" s="10" t="str">
        <f>IFERROR(
   INDEX(tbl_ProduitsRef[Cde_Prdt],MATCH(tbl_Ventes[[#This Row],[Produit]],tbl_ProduitsRef[Produit],0)),
   ""
)</f>
        <v/>
      </c>
      <c r="E3533" s="7">
        <v>0</v>
      </c>
      <c r="F3533" s="7" t="str">
        <f>IFERROR(
   INDEX(tbl_ProduitsRef[Prix Menu],MATCH(tbl_Ventes[[#This Row],[Produit]],tbl_ProduitsRef[Produit],0)),
   ""
)</f>
        <v/>
      </c>
      <c r="G3533" s="7">
        <f>tbl_Ventes[[#This Row],[Qté Vendue]] * IFERROR(_xlfn.XLOOKUP(tbl_Ventes[[#This Row],[Cde_Prdt]], tbl_Produits[Cde_Prdt], tbl_Produits[Prix Menu]), 0)</f>
        <v>0</v>
      </c>
      <c r="H3533" s="7">
        <f>IFERROR(_xlfn.XLOOKUP(tbl_Ventes[[#This Row],[Cde_Prdt]], tbl_Produits[Cde_Prdt], tbl_Produits[Coût Moyen Portion]), 0)</f>
        <v>0</v>
      </c>
      <c r="I3533" s="7">
        <f>tbl_Ventes[[#This Row],[Qté Vendue]] * tbl_Ventes[[#This Row],[CMP_par_portion]]</f>
        <v>0</v>
      </c>
      <c r="J3533" s="7">
        <f>tbl_Ventes[[#This Row],[CA ligne]] - tbl_Ventes[[#This Row],[Coût matière ligne]]</f>
        <v>0</v>
      </c>
      <c r="K3533" s="7" t="str">
        <f>IFERROR(INDEX(tbl_ProduitsRef[Famille], MATCH(tbl_Ventes[[#This Row],[Cde_Prdt]], tbl_Produits[Cde_Prdt], 0)), "")</f>
        <v/>
      </c>
    </row>
    <row r="3534" spans="1:11" x14ac:dyDescent="0.25">
      <c r="A3534" s="5"/>
      <c r="B3534" s="63" t="str">
        <f>IFERROR(TEXT(tbl_Ventes[[#This Row],[Date]],"mm-aaaa"),"")</f>
        <v>01-1900</v>
      </c>
      <c r="D3534" s="10" t="str">
        <f>IFERROR(
   INDEX(tbl_ProduitsRef[Cde_Prdt],MATCH(tbl_Ventes[[#This Row],[Produit]],tbl_ProduitsRef[Produit],0)),
   ""
)</f>
        <v/>
      </c>
      <c r="E3534" s="7">
        <v>0</v>
      </c>
      <c r="F3534" s="7" t="str">
        <f>IFERROR(
   INDEX(tbl_ProduitsRef[Prix Menu],MATCH(tbl_Ventes[[#This Row],[Produit]],tbl_ProduitsRef[Produit],0)),
   ""
)</f>
        <v/>
      </c>
      <c r="G3534" s="7">
        <f>tbl_Ventes[[#This Row],[Qté Vendue]] * IFERROR(_xlfn.XLOOKUP(tbl_Ventes[[#This Row],[Cde_Prdt]], tbl_Produits[Cde_Prdt], tbl_Produits[Prix Menu]), 0)</f>
        <v>0</v>
      </c>
      <c r="H3534" s="7">
        <f>IFERROR(_xlfn.XLOOKUP(tbl_Ventes[[#This Row],[Cde_Prdt]], tbl_Produits[Cde_Prdt], tbl_Produits[Coût Moyen Portion]), 0)</f>
        <v>0</v>
      </c>
      <c r="I3534" s="7">
        <f>tbl_Ventes[[#This Row],[Qté Vendue]] * tbl_Ventes[[#This Row],[CMP_par_portion]]</f>
        <v>0</v>
      </c>
      <c r="J3534" s="7">
        <f>tbl_Ventes[[#This Row],[CA ligne]] - tbl_Ventes[[#This Row],[Coût matière ligne]]</f>
        <v>0</v>
      </c>
      <c r="K3534" s="7" t="str">
        <f>IFERROR(INDEX(tbl_ProduitsRef[Famille], MATCH(tbl_Ventes[[#This Row],[Cde_Prdt]], tbl_Produits[Cde_Prdt], 0)), "")</f>
        <v/>
      </c>
    </row>
    <row r="3535" spans="1:11" x14ac:dyDescent="0.25">
      <c r="A3535" s="5"/>
      <c r="B3535" s="63" t="str">
        <f>IFERROR(TEXT(tbl_Ventes[[#This Row],[Date]],"mm-aaaa"),"")</f>
        <v>01-1900</v>
      </c>
      <c r="D3535" s="10" t="str">
        <f>IFERROR(
   INDEX(tbl_ProduitsRef[Cde_Prdt],MATCH(tbl_Ventes[[#This Row],[Produit]],tbl_ProduitsRef[Produit],0)),
   ""
)</f>
        <v/>
      </c>
      <c r="E3535" s="7">
        <v>0</v>
      </c>
      <c r="F3535" s="7" t="str">
        <f>IFERROR(
   INDEX(tbl_ProduitsRef[Prix Menu],MATCH(tbl_Ventes[[#This Row],[Produit]],tbl_ProduitsRef[Produit],0)),
   ""
)</f>
        <v/>
      </c>
      <c r="G3535" s="7">
        <f>tbl_Ventes[[#This Row],[Qté Vendue]] * IFERROR(_xlfn.XLOOKUP(tbl_Ventes[[#This Row],[Cde_Prdt]], tbl_Produits[Cde_Prdt], tbl_Produits[Prix Menu]), 0)</f>
        <v>0</v>
      </c>
      <c r="H3535" s="7">
        <f>IFERROR(_xlfn.XLOOKUP(tbl_Ventes[[#This Row],[Cde_Prdt]], tbl_Produits[Cde_Prdt], tbl_Produits[Coût Moyen Portion]), 0)</f>
        <v>0</v>
      </c>
      <c r="I3535" s="7">
        <f>tbl_Ventes[[#This Row],[Qté Vendue]] * tbl_Ventes[[#This Row],[CMP_par_portion]]</f>
        <v>0</v>
      </c>
      <c r="J3535" s="7">
        <f>tbl_Ventes[[#This Row],[CA ligne]] - tbl_Ventes[[#This Row],[Coût matière ligne]]</f>
        <v>0</v>
      </c>
      <c r="K3535" s="7" t="str">
        <f>IFERROR(INDEX(tbl_ProduitsRef[Famille], MATCH(tbl_Ventes[[#This Row],[Cde_Prdt]], tbl_Produits[Cde_Prdt], 0)), "")</f>
        <v/>
      </c>
    </row>
    <row r="3536" spans="1:11" x14ac:dyDescent="0.25">
      <c r="A3536" s="5"/>
      <c r="B3536" s="63" t="str">
        <f>IFERROR(TEXT(tbl_Ventes[[#This Row],[Date]],"mm-aaaa"),"")</f>
        <v>01-1900</v>
      </c>
      <c r="D3536" s="10" t="str">
        <f>IFERROR(
   INDEX(tbl_ProduitsRef[Cde_Prdt],MATCH(tbl_Ventes[[#This Row],[Produit]],tbl_ProduitsRef[Produit],0)),
   ""
)</f>
        <v/>
      </c>
      <c r="E3536" s="7">
        <v>0</v>
      </c>
      <c r="F3536" s="7" t="str">
        <f>IFERROR(
   INDEX(tbl_ProduitsRef[Prix Menu],MATCH(tbl_Ventes[[#This Row],[Produit]],tbl_ProduitsRef[Produit],0)),
   ""
)</f>
        <v/>
      </c>
      <c r="G3536" s="7">
        <f>tbl_Ventes[[#This Row],[Qté Vendue]] * IFERROR(_xlfn.XLOOKUP(tbl_Ventes[[#This Row],[Cde_Prdt]], tbl_Produits[Cde_Prdt], tbl_Produits[Prix Menu]), 0)</f>
        <v>0</v>
      </c>
      <c r="H3536" s="7">
        <f>IFERROR(_xlfn.XLOOKUP(tbl_Ventes[[#This Row],[Cde_Prdt]], tbl_Produits[Cde_Prdt], tbl_Produits[Coût Moyen Portion]), 0)</f>
        <v>0</v>
      </c>
      <c r="I3536" s="7">
        <f>tbl_Ventes[[#This Row],[Qté Vendue]] * tbl_Ventes[[#This Row],[CMP_par_portion]]</f>
        <v>0</v>
      </c>
      <c r="J3536" s="7">
        <f>tbl_Ventes[[#This Row],[CA ligne]] - tbl_Ventes[[#This Row],[Coût matière ligne]]</f>
        <v>0</v>
      </c>
      <c r="K3536" s="7" t="str">
        <f>IFERROR(INDEX(tbl_ProduitsRef[Famille], MATCH(tbl_Ventes[[#This Row],[Cde_Prdt]], tbl_Produits[Cde_Prdt], 0)), "")</f>
        <v/>
      </c>
    </row>
    <row r="3537" spans="1:11" x14ac:dyDescent="0.25">
      <c r="A3537" s="5"/>
      <c r="B3537" s="63" t="str">
        <f>IFERROR(TEXT(tbl_Ventes[[#This Row],[Date]],"mm-aaaa"),"")</f>
        <v>01-1900</v>
      </c>
      <c r="D3537" s="10" t="str">
        <f>IFERROR(
   INDEX(tbl_ProduitsRef[Cde_Prdt],MATCH(tbl_Ventes[[#This Row],[Produit]],tbl_ProduitsRef[Produit],0)),
   ""
)</f>
        <v/>
      </c>
      <c r="E3537" s="7">
        <v>0</v>
      </c>
      <c r="F3537" s="7" t="str">
        <f>IFERROR(
   INDEX(tbl_ProduitsRef[Prix Menu],MATCH(tbl_Ventes[[#This Row],[Produit]],tbl_ProduitsRef[Produit],0)),
   ""
)</f>
        <v/>
      </c>
      <c r="G3537" s="7">
        <f>tbl_Ventes[[#This Row],[Qté Vendue]] * IFERROR(_xlfn.XLOOKUP(tbl_Ventes[[#This Row],[Cde_Prdt]], tbl_Produits[Cde_Prdt], tbl_Produits[Prix Menu]), 0)</f>
        <v>0</v>
      </c>
      <c r="H3537" s="7">
        <f>IFERROR(_xlfn.XLOOKUP(tbl_Ventes[[#This Row],[Cde_Prdt]], tbl_Produits[Cde_Prdt], tbl_Produits[Coût Moyen Portion]), 0)</f>
        <v>0</v>
      </c>
      <c r="I3537" s="7">
        <f>tbl_Ventes[[#This Row],[Qté Vendue]] * tbl_Ventes[[#This Row],[CMP_par_portion]]</f>
        <v>0</v>
      </c>
      <c r="J3537" s="7">
        <f>tbl_Ventes[[#This Row],[CA ligne]] - tbl_Ventes[[#This Row],[Coût matière ligne]]</f>
        <v>0</v>
      </c>
      <c r="K3537" s="7" t="str">
        <f>IFERROR(INDEX(tbl_ProduitsRef[Famille], MATCH(tbl_Ventes[[#This Row],[Cde_Prdt]], tbl_Produits[Cde_Prdt], 0)), "")</f>
        <v/>
      </c>
    </row>
    <row r="3538" spans="1:11" x14ac:dyDescent="0.25">
      <c r="A3538" s="5"/>
      <c r="B3538" s="63" t="str">
        <f>IFERROR(TEXT(tbl_Ventes[[#This Row],[Date]],"mm-aaaa"),"")</f>
        <v>01-1900</v>
      </c>
      <c r="D3538" s="10" t="str">
        <f>IFERROR(
   INDEX(tbl_ProduitsRef[Cde_Prdt],MATCH(tbl_Ventes[[#This Row],[Produit]],tbl_ProduitsRef[Produit],0)),
   ""
)</f>
        <v/>
      </c>
      <c r="E3538" s="7">
        <v>0</v>
      </c>
      <c r="F3538" s="7" t="str">
        <f>IFERROR(
   INDEX(tbl_ProduitsRef[Prix Menu],MATCH(tbl_Ventes[[#This Row],[Produit]],tbl_ProduitsRef[Produit],0)),
   ""
)</f>
        <v/>
      </c>
      <c r="G3538" s="7">
        <f>tbl_Ventes[[#This Row],[Qté Vendue]] * IFERROR(_xlfn.XLOOKUP(tbl_Ventes[[#This Row],[Cde_Prdt]], tbl_Produits[Cde_Prdt], tbl_Produits[Prix Menu]), 0)</f>
        <v>0</v>
      </c>
      <c r="H3538" s="7">
        <f>IFERROR(_xlfn.XLOOKUP(tbl_Ventes[[#This Row],[Cde_Prdt]], tbl_Produits[Cde_Prdt], tbl_Produits[Coût Moyen Portion]), 0)</f>
        <v>0</v>
      </c>
      <c r="I3538" s="7">
        <f>tbl_Ventes[[#This Row],[Qté Vendue]] * tbl_Ventes[[#This Row],[CMP_par_portion]]</f>
        <v>0</v>
      </c>
      <c r="J3538" s="7">
        <f>tbl_Ventes[[#This Row],[CA ligne]] - tbl_Ventes[[#This Row],[Coût matière ligne]]</f>
        <v>0</v>
      </c>
      <c r="K3538" s="7" t="str">
        <f>IFERROR(INDEX(tbl_ProduitsRef[Famille], MATCH(tbl_Ventes[[#This Row],[Cde_Prdt]], tbl_Produits[Cde_Prdt], 0)), "")</f>
        <v/>
      </c>
    </row>
    <row r="3539" spans="1:11" x14ac:dyDescent="0.25">
      <c r="A3539" s="5"/>
      <c r="B3539" s="63" t="str">
        <f>IFERROR(TEXT(tbl_Ventes[[#This Row],[Date]],"mm-aaaa"),"")</f>
        <v>01-1900</v>
      </c>
      <c r="D3539" s="10" t="str">
        <f>IFERROR(
   INDEX(tbl_ProduitsRef[Cde_Prdt],MATCH(tbl_Ventes[[#This Row],[Produit]],tbl_ProduitsRef[Produit],0)),
   ""
)</f>
        <v/>
      </c>
      <c r="E3539" s="7">
        <v>0</v>
      </c>
      <c r="F3539" s="7" t="str">
        <f>IFERROR(
   INDEX(tbl_ProduitsRef[Prix Menu],MATCH(tbl_Ventes[[#This Row],[Produit]],tbl_ProduitsRef[Produit],0)),
   ""
)</f>
        <v/>
      </c>
      <c r="G3539" s="7">
        <f>tbl_Ventes[[#This Row],[Qté Vendue]] * IFERROR(_xlfn.XLOOKUP(tbl_Ventes[[#This Row],[Cde_Prdt]], tbl_Produits[Cde_Prdt], tbl_Produits[Prix Menu]), 0)</f>
        <v>0</v>
      </c>
      <c r="H3539" s="7">
        <f>IFERROR(_xlfn.XLOOKUP(tbl_Ventes[[#This Row],[Cde_Prdt]], tbl_Produits[Cde_Prdt], tbl_Produits[Coût Moyen Portion]), 0)</f>
        <v>0</v>
      </c>
      <c r="I3539" s="7">
        <f>tbl_Ventes[[#This Row],[Qté Vendue]] * tbl_Ventes[[#This Row],[CMP_par_portion]]</f>
        <v>0</v>
      </c>
      <c r="J3539" s="7">
        <f>tbl_Ventes[[#This Row],[CA ligne]] - tbl_Ventes[[#This Row],[Coût matière ligne]]</f>
        <v>0</v>
      </c>
      <c r="K3539" s="7" t="str">
        <f>IFERROR(INDEX(tbl_ProduitsRef[Famille], MATCH(tbl_Ventes[[#This Row],[Cde_Prdt]], tbl_Produits[Cde_Prdt], 0)), "")</f>
        <v/>
      </c>
    </row>
    <row r="3540" spans="1:11" x14ac:dyDescent="0.25">
      <c r="A3540" s="5"/>
      <c r="B3540" s="63" t="str">
        <f>IFERROR(TEXT(tbl_Ventes[[#This Row],[Date]],"mm-aaaa"),"")</f>
        <v>01-1900</v>
      </c>
      <c r="D3540" s="10" t="str">
        <f>IFERROR(
   INDEX(tbl_ProduitsRef[Cde_Prdt],MATCH(tbl_Ventes[[#This Row],[Produit]],tbl_ProduitsRef[Produit],0)),
   ""
)</f>
        <v/>
      </c>
      <c r="E3540" s="7">
        <v>0</v>
      </c>
      <c r="F3540" s="7" t="str">
        <f>IFERROR(
   INDEX(tbl_ProduitsRef[Prix Menu],MATCH(tbl_Ventes[[#This Row],[Produit]],tbl_ProduitsRef[Produit],0)),
   ""
)</f>
        <v/>
      </c>
      <c r="G3540" s="7">
        <f>tbl_Ventes[[#This Row],[Qté Vendue]] * IFERROR(_xlfn.XLOOKUP(tbl_Ventes[[#This Row],[Cde_Prdt]], tbl_Produits[Cde_Prdt], tbl_Produits[Prix Menu]), 0)</f>
        <v>0</v>
      </c>
      <c r="H3540" s="7">
        <f>IFERROR(_xlfn.XLOOKUP(tbl_Ventes[[#This Row],[Cde_Prdt]], tbl_Produits[Cde_Prdt], tbl_Produits[Coût Moyen Portion]), 0)</f>
        <v>0</v>
      </c>
      <c r="I3540" s="7">
        <f>tbl_Ventes[[#This Row],[Qté Vendue]] * tbl_Ventes[[#This Row],[CMP_par_portion]]</f>
        <v>0</v>
      </c>
      <c r="J3540" s="7">
        <f>tbl_Ventes[[#This Row],[CA ligne]] - tbl_Ventes[[#This Row],[Coût matière ligne]]</f>
        <v>0</v>
      </c>
      <c r="K3540" s="7" t="str">
        <f>IFERROR(INDEX(tbl_ProduitsRef[Famille], MATCH(tbl_Ventes[[#This Row],[Cde_Prdt]], tbl_Produits[Cde_Prdt], 0)), "")</f>
        <v/>
      </c>
    </row>
    <row r="3541" spans="1:11" x14ac:dyDescent="0.25">
      <c r="A3541" s="5"/>
      <c r="B3541" s="63" t="str">
        <f>IFERROR(TEXT(tbl_Ventes[[#This Row],[Date]],"mm-aaaa"),"")</f>
        <v>01-1900</v>
      </c>
      <c r="D3541" s="10" t="str">
        <f>IFERROR(
   INDEX(tbl_ProduitsRef[Cde_Prdt],MATCH(tbl_Ventes[[#This Row],[Produit]],tbl_ProduitsRef[Produit],0)),
   ""
)</f>
        <v/>
      </c>
      <c r="E3541" s="7">
        <v>0</v>
      </c>
      <c r="F3541" s="7" t="str">
        <f>IFERROR(
   INDEX(tbl_ProduitsRef[Prix Menu],MATCH(tbl_Ventes[[#This Row],[Produit]],tbl_ProduitsRef[Produit],0)),
   ""
)</f>
        <v/>
      </c>
      <c r="G3541" s="7">
        <f>tbl_Ventes[[#This Row],[Qté Vendue]] * IFERROR(_xlfn.XLOOKUP(tbl_Ventes[[#This Row],[Cde_Prdt]], tbl_Produits[Cde_Prdt], tbl_Produits[Prix Menu]), 0)</f>
        <v>0</v>
      </c>
      <c r="H3541" s="7">
        <f>IFERROR(_xlfn.XLOOKUP(tbl_Ventes[[#This Row],[Cde_Prdt]], tbl_Produits[Cde_Prdt], tbl_Produits[Coût Moyen Portion]), 0)</f>
        <v>0</v>
      </c>
      <c r="I3541" s="7">
        <f>tbl_Ventes[[#This Row],[Qté Vendue]] * tbl_Ventes[[#This Row],[CMP_par_portion]]</f>
        <v>0</v>
      </c>
      <c r="J3541" s="7">
        <f>tbl_Ventes[[#This Row],[CA ligne]] - tbl_Ventes[[#This Row],[Coût matière ligne]]</f>
        <v>0</v>
      </c>
      <c r="K3541" s="7" t="str">
        <f>IFERROR(INDEX(tbl_ProduitsRef[Famille], MATCH(tbl_Ventes[[#This Row],[Cde_Prdt]], tbl_Produits[Cde_Prdt], 0)), "")</f>
        <v/>
      </c>
    </row>
    <row r="3542" spans="1:11" x14ac:dyDescent="0.25">
      <c r="A3542" s="5"/>
      <c r="B3542" s="63" t="str">
        <f>IFERROR(TEXT(tbl_Ventes[[#This Row],[Date]],"mm-aaaa"),"")</f>
        <v>01-1900</v>
      </c>
      <c r="D3542" s="10" t="str">
        <f>IFERROR(
   INDEX(tbl_ProduitsRef[Cde_Prdt],MATCH(tbl_Ventes[[#This Row],[Produit]],tbl_ProduitsRef[Produit],0)),
   ""
)</f>
        <v/>
      </c>
      <c r="E3542" s="7">
        <v>0</v>
      </c>
      <c r="F3542" s="7" t="str">
        <f>IFERROR(
   INDEX(tbl_ProduitsRef[Prix Menu],MATCH(tbl_Ventes[[#This Row],[Produit]],tbl_ProduitsRef[Produit],0)),
   ""
)</f>
        <v/>
      </c>
      <c r="G3542" s="7">
        <f>tbl_Ventes[[#This Row],[Qté Vendue]] * IFERROR(_xlfn.XLOOKUP(tbl_Ventes[[#This Row],[Cde_Prdt]], tbl_Produits[Cde_Prdt], tbl_Produits[Prix Menu]), 0)</f>
        <v>0</v>
      </c>
      <c r="H3542" s="7">
        <f>IFERROR(_xlfn.XLOOKUP(tbl_Ventes[[#This Row],[Cde_Prdt]], tbl_Produits[Cde_Prdt], tbl_Produits[Coût Moyen Portion]), 0)</f>
        <v>0</v>
      </c>
      <c r="I3542" s="7">
        <f>tbl_Ventes[[#This Row],[Qté Vendue]] * tbl_Ventes[[#This Row],[CMP_par_portion]]</f>
        <v>0</v>
      </c>
      <c r="J3542" s="7">
        <f>tbl_Ventes[[#This Row],[CA ligne]] - tbl_Ventes[[#This Row],[Coût matière ligne]]</f>
        <v>0</v>
      </c>
      <c r="K3542" s="7" t="str">
        <f>IFERROR(INDEX(tbl_ProduitsRef[Famille], MATCH(tbl_Ventes[[#This Row],[Cde_Prdt]], tbl_Produits[Cde_Prdt], 0)), "")</f>
        <v/>
      </c>
    </row>
    <row r="3543" spans="1:11" x14ac:dyDescent="0.25">
      <c r="A3543" s="5"/>
      <c r="B3543" s="63" t="str">
        <f>IFERROR(TEXT(tbl_Ventes[[#This Row],[Date]],"mm-aaaa"),"")</f>
        <v>01-1900</v>
      </c>
      <c r="D3543" s="10" t="str">
        <f>IFERROR(
   INDEX(tbl_ProduitsRef[Cde_Prdt],MATCH(tbl_Ventes[[#This Row],[Produit]],tbl_ProduitsRef[Produit],0)),
   ""
)</f>
        <v/>
      </c>
      <c r="E3543" s="7">
        <v>0</v>
      </c>
      <c r="F3543" s="7" t="str">
        <f>IFERROR(
   INDEX(tbl_ProduitsRef[Prix Menu],MATCH(tbl_Ventes[[#This Row],[Produit]],tbl_ProduitsRef[Produit],0)),
   ""
)</f>
        <v/>
      </c>
      <c r="G3543" s="7">
        <f>tbl_Ventes[[#This Row],[Qté Vendue]] * IFERROR(_xlfn.XLOOKUP(tbl_Ventes[[#This Row],[Cde_Prdt]], tbl_Produits[Cde_Prdt], tbl_Produits[Prix Menu]), 0)</f>
        <v>0</v>
      </c>
      <c r="H3543" s="7">
        <f>IFERROR(_xlfn.XLOOKUP(tbl_Ventes[[#This Row],[Cde_Prdt]], tbl_Produits[Cde_Prdt], tbl_Produits[Coût Moyen Portion]), 0)</f>
        <v>0</v>
      </c>
      <c r="I3543" s="7">
        <f>tbl_Ventes[[#This Row],[Qté Vendue]] * tbl_Ventes[[#This Row],[CMP_par_portion]]</f>
        <v>0</v>
      </c>
      <c r="J3543" s="7">
        <f>tbl_Ventes[[#This Row],[CA ligne]] - tbl_Ventes[[#This Row],[Coût matière ligne]]</f>
        <v>0</v>
      </c>
      <c r="K3543" s="7" t="str">
        <f>IFERROR(INDEX(tbl_ProduitsRef[Famille], MATCH(tbl_Ventes[[#This Row],[Cde_Prdt]], tbl_Produits[Cde_Prdt], 0)), "")</f>
        <v/>
      </c>
    </row>
    <row r="3544" spans="1:11" x14ac:dyDescent="0.25">
      <c r="A3544" s="5"/>
      <c r="B3544" s="63" t="str">
        <f>IFERROR(TEXT(tbl_Ventes[[#This Row],[Date]],"mm-aaaa"),"")</f>
        <v>01-1900</v>
      </c>
      <c r="D3544" s="10" t="str">
        <f>IFERROR(
   INDEX(tbl_ProduitsRef[Cde_Prdt],MATCH(tbl_Ventes[[#This Row],[Produit]],tbl_ProduitsRef[Produit],0)),
   ""
)</f>
        <v/>
      </c>
      <c r="E3544" s="7">
        <v>0</v>
      </c>
      <c r="F3544" s="7" t="str">
        <f>IFERROR(
   INDEX(tbl_ProduitsRef[Prix Menu],MATCH(tbl_Ventes[[#This Row],[Produit]],tbl_ProduitsRef[Produit],0)),
   ""
)</f>
        <v/>
      </c>
      <c r="G3544" s="7">
        <f>tbl_Ventes[[#This Row],[Qté Vendue]] * IFERROR(_xlfn.XLOOKUP(tbl_Ventes[[#This Row],[Cde_Prdt]], tbl_Produits[Cde_Prdt], tbl_Produits[Prix Menu]), 0)</f>
        <v>0</v>
      </c>
      <c r="H3544" s="7">
        <f>IFERROR(_xlfn.XLOOKUP(tbl_Ventes[[#This Row],[Cde_Prdt]], tbl_Produits[Cde_Prdt], tbl_Produits[Coût Moyen Portion]), 0)</f>
        <v>0</v>
      </c>
      <c r="I3544" s="7">
        <f>tbl_Ventes[[#This Row],[Qté Vendue]] * tbl_Ventes[[#This Row],[CMP_par_portion]]</f>
        <v>0</v>
      </c>
      <c r="J3544" s="7">
        <f>tbl_Ventes[[#This Row],[CA ligne]] - tbl_Ventes[[#This Row],[Coût matière ligne]]</f>
        <v>0</v>
      </c>
      <c r="K3544" s="7" t="str">
        <f>IFERROR(INDEX(tbl_ProduitsRef[Famille], MATCH(tbl_Ventes[[#This Row],[Cde_Prdt]], tbl_Produits[Cde_Prdt], 0)), "")</f>
        <v/>
      </c>
    </row>
    <row r="3545" spans="1:11" x14ac:dyDescent="0.25">
      <c r="A3545" s="5"/>
      <c r="B3545" s="63" t="str">
        <f>IFERROR(TEXT(tbl_Ventes[[#This Row],[Date]],"mm-aaaa"),"")</f>
        <v>01-1900</v>
      </c>
      <c r="D3545" s="10" t="str">
        <f>IFERROR(
   INDEX(tbl_ProduitsRef[Cde_Prdt],MATCH(tbl_Ventes[[#This Row],[Produit]],tbl_ProduitsRef[Produit],0)),
   ""
)</f>
        <v/>
      </c>
      <c r="E3545" s="7">
        <v>0</v>
      </c>
      <c r="F3545" s="7" t="str">
        <f>IFERROR(
   INDEX(tbl_ProduitsRef[Prix Menu],MATCH(tbl_Ventes[[#This Row],[Produit]],tbl_ProduitsRef[Produit],0)),
   ""
)</f>
        <v/>
      </c>
      <c r="G3545" s="7">
        <f>tbl_Ventes[[#This Row],[Qté Vendue]] * IFERROR(_xlfn.XLOOKUP(tbl_Ventes[[#This Row],[Cde_Prdt]], tbl_Produits[Cde_Prdt], tbl_Produits[Prix Menu]), 0)</f>
        <v>0</v>
      </c>
      <c r="H3545" s="7">
        <f>IFERROR(_xlfn.XLOOKUP(tbl_Ventes[[#This Row],[Cde_Prdt]], tbl_Produits[Cde_Prdt], tbl_Produits[Coût Moyen Portion]), 0)</f>
        <v>0</v>
      </c>
      <c r="I3545" s="7">
        <f>tbl_Ventes[[#This Row],[Qté Vendue]] * tbl_Ventes[[#This Row],[CMP_par_portion]]</f>
        <v>0</v>
      </c>
      <c r="J3545" s="7">
        <f>tbl_Ventes[[#This Row],[CA ligne]] - tbl_Ventes[[#This Row],[Coût matière ligne]]</f>
        <v>0</v>
      </c>
      <c r="K3545" s="7" t="str">
        <f>IFERROR(INDEX(tbl_ProduitsRef[Famille], MATCH(tbl_Ventes[[#This Row],[Cde_Prdt]], tbl_Produits[Cde_Prdt], 0)), "")</f>
        <v/>
      </c>
    </row>
    <row r="3546" spans="1:11" x14ac:dyDescent="0.25">
      <c r="A3546" s="5"/>
      <c r="B3546" s="63" t="str">
        <f>IFERROR(TEXT(tbl_Ventes[[#This Row],[Date]],"mm-aaaa"),"")</f>
        <v>01-1900</v>
      </c>
      <c r="D3546" s="10" t="str">
        <f>IFERROR(
   INDEX(tbl_ProduitsRef[Cde_Prdt],MATCH(tbl_Ventes[[#This Row],[Produit]],tbl_ProduitsRef[Produit],0)),
   ""
)</f>
        <v/>
      </c>
      <c r="E3546" s="7">
        <v>0</v>
      </c>
      <c r="F3546" s="7" t="str">
        <f>IFERROR(
   INDEX(tbl_ProduitsRef[Prix Menu],MATCH(tbl_Ventes[[#This Row],[Produit]],tbl_ProduitsRef[Produit],0)),
   ""
)</f>
        <v/>
      </c>
      <c r="G3546" s="7">
        <f>tbl_Ventes[[#This Row],[Qté Vendue]] * IFERROR(_xlfn.XLOOKUP(tbl_Ventes[[#This Row],[Cde_Prdt]], tbl_Produits[Cde_Prdt], tbl_Produits[Prix Menu]), 0)</f>
        <v>0</v>
      </c>
      <c r="H3546" s="7">
        <f>IFERROR(_xlfn.XLOOKUP(tbl_Ventes[[#This Row],[Cde_Prdt]], tbl_Produits[Cde_Prdt], tbl_Produits[Coût Moyen Portion]), 0)</f>
        <v>0</v>
      </c>
      <c r="I3546" s="7">
        <f>tbl_Ventes[[#This Row],[Qté Vendue]] * tbl_Ventes[[#This Row],[CMP_par_portion]]</f>
        <v>0</v>
      </c>
      <c r="J3546" s="7">
        <f>tbl_Ventes[[#This Row],[CA ligne]] - tbl_Ventes[[#This Row],[Coût matière ligne]]</f>
        <v>0</v>
      </c>
      <c r="K3546" s="7" t="str">
        <f>IFERROR(INDEX(tbl_ProduitsRef[Famille], MATCH(tbl_Ventes[[#This Row],[Cde_Prdt]], tbl_Produits[Cde_Prdt], 0)), "")</f>
        <v/>
      </c>
    </row>
    <row r="3547" spans="1:11" x14ac:dyDescent="0.25">
      <c r="A3547" s="5"/>
      <c r="B3547" s="63" t="str">
        <f>IFERROR(TEXT(tbl_Ventes[[#This Row],[Date]],"mm-aaaa"),"")</f>
        <v>01-1900</v>
      </c>
      <c r="D3547" s="10" t="str">
        <f>IFERROR(
   INDEX(tbl_ProduitsRef[Cde_Prdt],MATCH(tbl_Ventes[[#This Row],[Produit]],tbl_ProduitsRef[Produit],0)),
   ""
)</f>
        <v/>
      </c>
      <c r="E3547" s="7">
        <v>0</v>
      </c>
      <c r="F3547" s="7" t="str">
        <f>IFERROR(
   INDEX(tbl_ProduitsRef[Prix Menu],MATCH(tbl_Ventes[[#This Row],[Produit]],tbl_ProduitsRef[Produit],0)),
   ""
)</f>
        <v/>
      </c>
      <c r="G3547" s="7">
        <f>tbl_Ventes[[#This Row],[Qté Vendue]] * IFERROR(_xlfn.XLOOKUP(tbl_Ventes[[#This Row],[Cde_Prdt]], tbl_Produits[Cde_Prdt], tbl_Produits[Prix Menu]), 0)</f>
        <v>0</v>
      </c>
      <c r="H3547" s="7">
        <f>IFERROR(_xlfn.XLOOKUP(tbl_Ventes[[#This Row],[Cde_Prdt]], tbl_Produits[Cde_Prdt], tbl_Produits[Coût Moyen Portion]), 0)</f>
        <v>0</v>
      </c>
      <c r="I3547" s="7">
        <f>tbl_Ventes[[#This Row],[Qté Vendue]] * tbl_Ventes[[#This Row],[CMP_par_portion]]</f>
        <v>0</v>
      </c>
      <c r="J3547" s="7">
        <f>tbl_Ventes[[#This Row],[CA ligne]] - tbl_Ventes[[#This Row],[Coût matière ligne]]</f>
        <v>0</v>
      </c>
      <c r="K3547" s="7" t="str">
        <f>IFERROR(INDEX(tbl_ProduitsRef[Famille], MATCH(tbl_Ventes[[#This Row],[Cde_Prdt]], tbl_Produits[Cde_Prdt], 0)), "")</f>
        <v/>
      </c>
    </row>
    <row r="3548" spans="1:11" x14ac:dyDescent="0.25">
      <c r="A3548" s="5"/>
      <c r="B3548" s="63" t="str">
        <f>IFERROR(TEXT(tbl_Ventes[[#This Row],[Date]],"mm-aaaa"),"")</f>
        <v>01-1900</v>
      </c>
      <c r="D3548" s="10" t="str">
        <f>IFERROR(
   INDEX(tbl_ProduitsRef[Cde_Prdt],MATCH(tbl_Ventes[[#This Row],[Produit]],tbl_ProduitsRef[Produit],0)),
   ""
)</f>
        <v/>
      </c>
      <c r="E3548" s="7">
        <v>0</v>
      </c>
      <c r="F3548" s="7" t="str">
        <f>IFERROR(
   INDEX(tbl_ProduitsRef[Prix Menu],MATCH(tbl_Ventes[[#This Row],[Produit]],tbl_ProduitsRef[Produit],0)),
   ""
)</f>
        <v/>
      </c>
      <c r="G3548" s="7">
        <f>tbl_Ventes[[#This Row],[Qté Vendue]] * IFERROR(_xlfn.XLOOKUP(tbl_Ventes[[#This Row],[Cde_Prdt]], tbl_Produits[Cde_Prdt], tbl_Produits[Prix Menu]), 0)</f>
        <v>0</v>
      </c>
      <c r="H3548" s="7">
        <f>IFERROR(_xlfn.XLOOKUP(tbl_Ventes[[#This Row],[Cde_Prdt]], tbl_Produits[Cde_Prdt], tbl_Produits[Coût Moyen Portion]), 0)</f>
        <v>0</v>
      </c>
      <c r="I3548" s="7">
        <f>tbl_Ventes[[#This Row],[Qté Vendue]] * tbl_Ventes[[#This Row],[CMP_par_portion]]</f>
        <v>0</v>
      </c>
      <c r="J3548" s="7">
        <f>tbl_Ventes[[#This Row],[CA ligne]] - tbl_Ventes[[#This Row],[Coût matière ligne]]</f>
        <v>0</v>
      </c>
      <c r="K3548" s="7" t="str">
        <f>IFERROR(INDEX(tbl_ProduitsRef[Famille], MATCH(tbl_Ventes[[#This Row],[Cde_Prdt]], tbl_Produits[Cde_Prdt], 0)), "")</f>
        <v/>
      </c>
    </row>
    <row r="3549" spans="1:11" x14ac:dyDescent="0.25">
      <c r="A3549" s="5"/>
      <c r="B3549" s="63" t="str">
        <f>IFERROR(TEXT(tbl_Ventes[[#This Row],[Date]],"mm-aaaa"),"")</f>
        <v>01-1900</v>
      </c>
      <c r="D3549" s="10" t="str">
        <f>IFERROR(
   INDEX(tbl_ProduitsRef[Cde_Prdt],MATCH(tbl_Ventes[[#This Row],[Produit]],tbl_ProduitsRef[Produit],0)),
   ""
)</f>
        <v/>
      </c>
      <c r="E3549" s="7">
        <v>0</v>
      </c>
      <c r="F3549" s="7" t="str">
        <f>IFERROR(
   INDEX(tbl_ProduitsRef[Prix Menu],MATCH(tbl_Ventes[[#This Row],[Produit]],tbl_ProduitsRef[Produit],0)),
   ""
)</f>
        <v/>
      </c>
      <c r="G3549" s="7">
        <f>tbl_Ventes[[#This Row],[Qté Vendue]] * IFERROR(_xlfn.XLOOKUP(tbl_Ventes[[#This Row],[Cde_Prdt]], tbl_Produits[Cde_Prdt], tbl_Produits[Prix Menu]), 0)</f>
        <v>0</v>
      </c>
      <c r="H3549" s="7">
        <f>IFERROR(_xlfn.XLOOKUP(tbl_Ventes[[#This Row],[Cde_Prdt]], tbl_Produits[Cde_Prdt], tbl_Produits[Coût Moyen Portion]), 0)</f>
        <v>0</v>
      </c>
      <c r="I3549" s="7">
        <f>tbl_Ventes[[#This Row],[Qté Vendue]] * tbl_Ventes[[#This Row],[CMP_par_portion]]</f>
        <v>0</v>
      </c>
      <c r="J3549" s="7">
        <f>tbl_Ventes[[#This Row],[CA ligne]] - tbl_Ventes[[#This Row],[Coût matière ligne]]</f>
        <v>0</v>
      </c>
      <c r="K3549" s="7" t="str">
        <f>IFERROR(INDEX(tbl_ProduitsRef[Famille], MATCH(tbl_Ventes[[#This Row],[Cde_Prdt]], tbl_Produits[Cde_Prdt], 0)), "")</f>
        <v/>
      </c>
    </row>
    <row r="3550" spans="1:11" x14ac:dyDescent="0.25">
      <c r="A3550" s="5"/>
      <c r="B3550" s="63" t="str">
        <f>IFERROR(TEXT(tbl_Ventes[[#This Row],[Date]],"mm-aaaa"),"")</f>
        <v>01-1900</v>
      </c>
      <c r="D3550" s="10" t="str">
        <f>IFERROR(
   INDEX(tbl_ProduitsRef[Cde_Prdt],MATCH(tbl_Ventes[[#This Row],[Produit]],tbl_ProduitsRef[Produit],0)),
   ""
)</f>
        <v/>
      </c>
      <c r="E3550" s="7">
        <v>0</v>
      </c>
      <c r="F3550" s="7" t="str">
        <f>IFERROR(
   INDEX(tbl_ProduitsRef[Prix Menu],MATCH(tbl_Ventes[[#This Row],[Produit]],tbl_ProduitsRef[Produit],0)),
   ""
)</f>
        <v/>
      </c>
      <c r="G3550" s="7">
        <f>tbl_Ventes[[#This Row],[Qté Vendue]] * IFERROR(_xlfn.XLOOKUP(tbl_Ventes[[#This Row],[Cde_Prdt]], tbl_Produits[Cde_Prdt], tbl_Produits[Prix Menu]), 0)</f>
        <v>0</v>
      </c>
      <c r="H3550" s="7">
        <f>IFERROR(_xlfn.XLOOKUP(tbl_Ventes[[#This Row],[Cde_Prdt]], tbl_Produits[Cde_Prdt], tbl_Produits[Coût Moyen Portion]), 0)</f>
        <v>0</v>
      </c>
      <c r="I3550" s="7">
        <f>tbl_Ventes[[#This Row],[Qté Vendue]] * tbl_Ventes[[#This Row],[CMP_par_portion]]</f>
        <v>0</v>
      </c>
      <c r="J3550" s="7">
        <f>tbl_Ventes[[#This Row],[CA ligne]] - tbl_Ventes[[#This Row],[Coût matière ligne]]</f>
        <v>0</v>
      </c>
      <c r="K3550" s="7" t="str">
        <f>IFERROR(INDEX(tbl_ProduitsRef[Famille], MATCH(tbl_Ventes[[#This Row],[Cde_Prdt]], tbl_Produits[Cde_Prdt], 0)), "")</f>
        <v/>
      </c>
    </row>
    <row r="3551" spans="1:11" x14ac:dyDescent="0.25">
      <c r="A3551" s="5"/>
      <c r="B3551" s="63" t="str">
        <f>IFERROR(TEXT(tbl_Ventes[[#This Row],[Date]],"mm-aaaa"),"")</f>
        <v>01-1900</v>
      </c>
      <c r="D3551" s="10" t="str">
        <f>IFERROR(
   INDEX(tbl_ProduitsRef[Cde_Prdt],MATCH(tbl_Ventes[[#This Row],[Produit]],tbl_ProduitsRef[Produit],0)),
   ""
)</f>
        <v/>
      </c>
      <c r="E3551" s="7">
        <v>0</v>
      </c>
      <c r="F3551" s="7" t="str">
        <f>IFERROR(
   INDEX(tbl_ProduitsRef[Prix Menu],MATCH(tbl_Ventes[[#This Row],[Produit]],tbl_ProduitsRef[Produit],0)),
   ""
)</f>
        <v/>
      </c>
      <c r="G3551" s="7">
        <f>tbl_Ventes[[#This Row],[Qté Vendue]] * IFERROR(_xlfn.XLOOKUP(tbl_Ventes[[#This Row],[Cde_Prdt]], tbl_Produits[Cde_Prdt], tbl_Produits[Prix Menu]), 0)</f>
        <v>0</v>
      </c>
      <c r="H3551" s="7">
        <f>IFERROR(_xlfn.XLOOKUP(tbl_Ventes[[#This Row],[Cde_Prdt]], tbl_Produits[Cde_Prdt], tbl_Produits[Coût Moyen Portion]), 0)</f>
        <v>0</v>
      </c>
      <c r="I3551" s="7">
        <f>tbl_Ventes[[#This Row],[Qté Vendue]] * tbl_Ventes[[#This Row],[CMP_par_portion]]</f>
        <v>0</v>
      </c>
      <c r="J3551" s="7">
        <f>tbl_Ventes[[#This Row],[CA ligne]] - tbl_Ventes[[#This Row],[Coût matière ligne]]</f>
        <v>0</v>
      </c>
      <c r="K3551" s="7" t="str">
        <f>IFERROR(INDEX(tbl_ProduitsRef[Famille], MATCH(tbl_Ventes[[#This Row],[Cde_Prdt]], tbl_Produits[Cde_Prdt], 0)), "")</f>
        <v/>
      </c>
    </row>
    <row r="3552" spans="1:11" x14ac:dyDescent="0.25">
      <c r="A3552" s="5"/>
      <c r="B3552" s="63" t="str">
        <f>IFERROR(TEXT(tbl_Ventes[[#This Row],[Date]],"mm-aaaa"),"")</f>
        <v>01-1900</v>
      </c>
      <c r="D3552" s="10" t="str">
        <f>IFERROR(
   INDEX(tbl_ProduitsRef[Cde_Prdt],MATCH(tbl_Ventes[[#This Row],[Produit]],tbl_ProduitsRef[Produit],0)),
   ""
)</f>
        <v/>
      </c>
      <c r="E3552" s="7">
        <v>0</v>
      </c>
      <c r="F3552" s="7" t="str">
        <f>IFERROR(
   INDEX(tbl_ProduitsRef[Prix Menu],MATCH(tbl_Ventes[[#This Row],[Produit]],tbl_ProduitsRef[Produit],0)),
   ""
)</f>
        <v/>
      </c>
      <c r="G3552" s="7">
        <f>tbl_Ventes[[#This Row],[Qté Vendue]] * IFERROR(_xlfn.XLOOKUP(tbl_Ventes[[#This Row],[Cde_Prdt]], tbl_Produits[Cde_Prdt], tbl_Produits[Prix Menu]), 0)</f>
        <v>0</v>
      </c>
      <c r="H3552" s="7">
        <f>IFERROR(_xlfn.XLOOKUP(tbl_Ventes[[#This Row],[Cde_Prdt]], tbl_Produits[Cde_Prdt], tbl_Produits[Coût Moyen Portion]), 0)</f>
        <v>0</v>
      </c>
      <c r="I3552" s="7">
        <f>tbl_Ventes[[#This Row],[Qté Vendue]] * tbl_Ventes[[#This Row],[CMP_par_portion]]</f>
        <v>0</v>
      </c>
      <c r="J3552" s="7">
        <f>tbl_Ventes[[#This Row],[CA ligne]] - tbl_Ventes[[#This Row],[Coût matière ligne]]</f>
        <v>0</v>
      </c>
      <c r="K3552" s="7" t="str">
        <f>IFERROR(INDEX(tbl_ProduitsRef[Famille], MATCH(tbl_Ventes[[#This Row],[Cde_Prdt]], tbl_Produits[Cde_Prdt], 0)), "")</f>
        <v/>
      </c>
    </row>
    <row r="3553" spans="1:11" x14ac:dyDescent="0.25">
      <c r="A3553" s="5"/>
      <c r="B3553" s="63" t="str">
        <f>IFERROR(TEXT(tbl_Ventes[[#This Row],[Date]],"mm-aaaa"),"")</f>
        <v>01-1900</v>
      </c>
      <c r="D3553" s="10" t="str">
        <f>IFERROR(
   INDEX(tbl_ProduitsRef[Cde_Prdt],MATCH(tbl_Ventes[[#This Row],[Produit]],tbl_ProduitsRef[Produit],0)),
   ""
)</f>
        <v/>
      </c>
      <c r="E3553" s="7">
        <v>0</v>
      </c>
      <c r="F3553" s="7" t="str">
        <f>IFERROR(
   INDEX(tbl_ProduitsRef[Prix Menu],MATCH(tbl_Ventes[[#This Row],[Produit]],tbl_ProduitsRef[Produit],0)),
   ""
)</f>
        <v/>
      </c>
      <c r="G3553" s="7">
        <f>tbl_Ventes[[#This Row],[Qté Vendue]] * IFERROR(_xlfn.XLOOKUP(tbl_Ventes[[#This Row],[Cde_Prdt]], tbl_Produits[Cde_Prdt], tbl_Produits[Prix Menu]), 0)</f>
        <v>0</v>
      </c>
      <c r="H3553" s="7">
        <f>IFERROR(_xlfn.XLOOKUP(tbl_Ventes[[#This Row],[Cde_Prdt]], tbl_Produits[Cde_Prdt], tbl_Produits[Coût Moyen Portion]), 0)</f>
        <v>0</v>
      </c>
      <c r="I3553" s="7">
        <f>tbl_Ventes[[#This Row],[Qté Vendue]] * tbl_Ventes[[#This Row],[CMP_par_portion]]</f>
        <v>0</v>
      </c>
      <c r="J3553" s="7">
        <f>tbl_Ventes[[#This Row],[CA ligne]] - tbl_Ventes[[#This Row],[Coût matière ligne]]</f>
        <v>0</v>
      </c>
      <c r="K3553" s="7" t="str">
        <f>IFERROR(INDEX(tbl_ProduitsRef[Famille], MATCH(tbl_Ventes[[#This Row],[Cde_Prdt]], tbl_Produits[Cde_Prdt], 0)), "")</f>
        <v/>
      </c>
    </row>
    <row r="3554" spans="1:11" x14ac:dyDescent="0.25">
      <c r="A3554" s="5"/>
      <c r="B3554" s="63" t="str">
        <f>IFERROR(TEXT(tbl_Ventes[[#This Row],[Date]],"mm-aaaa"),"")</f>
        <v>01-1900</v>
      </c>
      <c r="D3554" s="10" t="str">
        <f>IFERROR(
   INDEX(tbl_ProduitsRef[Cde_Prdt],MATCH(tbl_Ventes[[#This Row],[Produit]],tbl_ProduitsRef[Produit],0)),
   ""
)</f>
        <v/>
      </c>
      <c r="E3554" s="7">
        <v>0</v>
      </c>
      <c r="F3554" s="7" t="str">
        <f>IFERROR(
   INDEX(tbl_ProduitsRef[Prix Menu],MATCH(tbl_Ventes[[#This Row],[Produit]],tbl_ProduitsRef[Produit],0)),
   ""
)</f>
        <v/>
      </c>
      <c r="G3554" s="7">
        <f>tbl_Ventes[[#This Row],[Qté Vendue]] * IFERROR(_xlfn.XLOOKUP(tbl_Ventes[[#This Row],[Cde_Prdt]], tbl_Produits[Cde_Prdt], tbl_Produits[Prix Menu]), 0)</f>
        <v>0</v>
      </c>
      <c r="H3554" s="7">
        <f>IFERROR(_xlfn.XLOOKUP(tbl_Ventes[[#This Row],[Cde_Prdt]], tbl_Produits[Cde_Prdt], tbl_Produits[Coût Moyen Portion]), 0)</f>
        <v>0</v>
      </c>
      <c r="I3554" s="7">
        <f>tbl_Ventes[[#This Row],[Qté Vendue]] * tbl_Ventes[[#This Row],[CMP_par_portion]]</f>
        <v>0</v>
      </c>
      <c r="J3554" s="7">
        <f>tbl_Ventes[[#This Row],[CA ligne]] - tbl_Ventes[[#This Row],[Coût matière ligne]]</f>
        <v>0</v>
      </c>
      <c r="K3554" s="7" t="str">
        <f>IFERROR(INDEX(tbl_ProduitsRef[Famille], MATCH(tbl_Ventes[[#This Row],[Cde_Prdt]], tbl_Produits[Cde_Prdt], 0)), "")</f>
        <v/>
      </c>
    </row>
    <row r="3555" spans="1:11" x14ac:dyDescent="0.25">
      <c r="A3555" s="5"/>
      <c r="B3555" s="63" t="str">
        <f>IFERROR(TEXT(tbl_Ventes[[#This Row],[Date]],"mm-aaaa"),"")</f>
        <v>01-1900</v>
      </c>
      <c r="D3555" s="10" t="str">
        <f>IFERROR(
   INDEX(tbl_ProduitsRef[Cde_Prdt],MATCH(tbl_Ventes[[#This Row],[Produit]],tbl_ProduitsRef[Produit],0)),
   ""
)</f>
        <v/>
      </c>
      <c r="E3555" s="7">
        <v>0</v>
      </c>
      <c r="F3555" s="7" t="str">
        <f>IFERROR(
   INDEX(tbl_ProduitsRef[Prix Menu],MATCH(tbl_Ventes[[#This Row],[Produit]],tbl_ProduitsRef[Produit],0)),
   ""
)</f>
        <v/>
      </c>
      <c r="G3555" s="7">
        <f>tbl_Ventes[[#This Row],[Qté Vendue]] * IFERROR(_xlfn.XLOOKUP(tbl_Ventes[[#This Row],[Cde_Prdt]], tbl_Produits[Cde_Prdt], tbl_Produits[Prix Menu]), 0)</f>
        <v>0</v>
      </c>
      <c r="H3555" s="7">
        <f>IFERROR(_xlfn.XLOOKUP(tbl_Ventes[[#This Row],[Cde_Prdt]], tbl_Produits[Cde_Prdt], tbl_Produits[Coût Moyen Portion]), 0)</f>
        <v>0</v>
      </c>
      <c r="I3555" s="7">
        <f>tbl_Ventes[[#This Row],[Qté Vendue]] * tbl_Ventes[[#This Row],[CMP_par_portion]]</f>
        <v>0</v>
      </c>
      <c r="J3555" s="7">
        <f>tbl_Ventes[[#This Row],[CA ligne]] - tbl_Ventes[[#This Row],[Coût matière ligne]]</f>
        <v>0</v>
      </c>
      <c r="K3555" s="7" t="str">
        <f>IFERROR(INDEX(tbl_ProduitsRef[Famille], MATCH(tbl_Ventes[[#This Row],[Cde_Prdt]], tbl_Produits[Cde_Prdt], 0)), "")</f>
        <v/>
      </c>
    </row>
    <row r="3556" spans="1:11" x14ac:dyDescent="0.25">
      <c r="A3556" s="5"/>
      <c r="B3556" s="63" t="str">
        <f>IFERROR(TEXT(tbl_Ventes[[#This Row],[Date]],"mm-aaaa"),"")</f>
        <v>01-1900</v>
      </c>
      <c r="D3556" s="10" t="str">
        <f>IFERROR(
   INDEX(tbl_ProduitsRef[Cde_Prdt],MATCH(tbl_Ventes[[#This Row],[Produit]],tbl_ProduitsRef[Produit],0)),
   ""
)</f>
        <v/>
      </c>
      <c r="E3556" s="7">
        <v>0</v>
      </c>
      <c r="F3556" s="7" t="str">
        <f>IFERROR(
   INDEX(tbl_ProduitsRef[Prix Menu],MATCH(tbl_Ventes[[#This Row],[Produit]],tbl_ProduitsRef[Produit],0)),
   ""
)</f>
        <v/>
      </c>
      <c r="G3556" s="7">
        <f>tbl_Ventes[[#This Row],[Qté Vendue]] * IFERROR(_xlfn.XLOOKUP(tbl_Ventes[[#This Row],[Cde_Prdt]], tbl_Produits[Cde_Prdt], tbl_Produits[Prix Menu]), 0)</f>
        <v>0</v>
      </c>
      <c r="H3556" s="7">
        <f>IFERROR(_xlfn.XLOOKUP(tbl_Ventes[[#This Row],[Cde_Prdt]], tbl_Produits[Cde_Prdt], tbl_Produits[Coût Moyen Portion]), 0)</f>
        <v>0</v>
      </c>
      <c r="I3556" s="7">
        <f>tbl_Ventes[[#This Row],[Qté Vendue]] * tbl_Ventes[[#This Row],[CMP_par_portion]]</f>
        <v>0</v>
      </c>
      <c r="J3556" s="7">
        <f>tbl_Ventes[[#This Row],[CA ligne]] - tbl_Ventes[[#This Row],[Coût matière ligne]]</f>
        <v>0</v>
      </c>
      <c r="K3556" s="7" t="str">
        <f>IFERROR(INDEX(tbl_ProduitsRef[Famille], MATCH(tbl_Ventes[[#This Row],[Cde_Prdt]], tbl_Produits[Cde_Prdt], 0)), "")</f>
        <v/>
      </c>
    </row>
    <row r="3557" spans="1:11" x14ac:dyDescent="0.25">
      <c r="A3557" s="5"/>
      <c r="B3557" s="63" t="str">
        <f>IFERROR(TEXT(tbl_Ventes[[#This Row],[Date]],"mm-aaaa"),"")</f>
        <v>01-1900</v>
      </c>
      <c r="D3557" s="10" t="str">
        <f>IFERROR(
   INDEX(tbl_ProduitsRef[Cde_Prdt],MATCH(tbl_Ventes[[#This Row],[Produit]],tbl_ProduitsRef[Produit],0)),
   ""
)</f>
        <v/>
      </c>
      <c r="E3557" s="7">
        <v>0</v>
      </c>
      <c r="F3557" s="7" t="str">
        <f>IFERROR(
   INDEX(tbl_ProduitsRef[Prix Menu],MATCH(tbl_Ventes[[#This Row],[Produit]],tbl_ProduitsRef[Produit],0)),
   ""
)</f>
        <v/>
      </c>
      <c r="G3557" s="7">
        <f>tbl_Ventes[[#This Row],[Qté Vendue]] * IFERROR(_xlfn.XLOOKUP(tbl_Ventes[[#This Row],[Cde_Prdt]], tbl_Produits[Cde_Prdt], tbl_Produits[Prix Menu]), 0)</f>
        <v>0</v>
      </c>
      <c r="H3557" s="7">
        <f>IFERROR(_xlfn.XLOOKUP(tbl_Ventes[[#This Row],[Cde_Prdt]], tbl_Produits[Cde_Prdt], tbl_Produits[Coût Moyen Portion]), 0)</f>
        <v>0</v>
      </c>
      <c r="I3557" s="7">
        <f>tbl_Ventes[[#This Row],[Qté Vendue]] * tbl_Ventes[[#This Row],[CMP_par_portion]]</f>
        <v>0</v>
      </c>
      <c r="J3557" s="7">
        <f>tbl_Ventes[[#This Row],[CA ligne]] - tbl_Ventes[[#This Row],[Coût matière ligne]]</f>
        <v>0</v>
      </c>
      <c r="K3557" s="7" t="str">
        <f>IFERROR(INDEX(tbl_ProduitsRef[Famille], MATCH(tbl_Ventes[[#This Row],[Cde_Prdt]], tbl_Produits[Cde_Prdt], 0)), "")</f>
        <v/>
      </c>
    </row>
    <row r="3558" spans="1:11" x14ac:dyDescent="0.25">
      <c r="A3558" s="5"/>
      <c r="B3558" s="63" t="str">
        <f>IFERROR(TEXT(tbl_Ventes[[#This Row],[Date]],"mm-aaaa"),"")</f>
        <v>01-1900</v>
      </c>
      <c r="D3558" s="10" t="str">
        <f>IFERROR(
   INDEX(tbl_ProduitsRef[Cde_Prdt],MATCH(tbl_Ventes[[#This Row],[Produit]],tbl_ProduitsRef[Produit],0)),
   ""
)</f>
        <v/>
      </c>
      <c r="E3558" s="7">
        <v>0</v>
      </c>
      <c r="F3558" s="7" t="str">
        <f>IFERROR(
   INDEX(tbl_ProduitsRef[Prix Menu],MATCH(tbl_Ventes[[#This Row],[Produit]],tbl_ProduitsRef[Produit],0)),
   ""
)</f>
        <v/>
      </c>
      <c r="G3558" s="7">
        <f>tbl_Ventes[[#This Row],[Qté Vendue]] * IFERROR(_xlfn.XLOOKUP(tbl_Ventes[[#This Row],[Cde_Prdt]], tbl_Produits[Cde_Prdt], tbl_Produits[Prix Menu]), 0)</f>
        <v>0</v>
      </c>
      <c r="H3558" s="7">
        <f>IFERROR(_xlfn.XLOOKUP(tbl_Ventes[[#This Row],[Cde_Prdt]], tbl_Produits[Cde_Prdt], tbl_Produits[Coût Moyen Portion]), 0)</f>
        <v>0</v>
      </c>
      <c r="I3558" s="7">
        <f>tbl_Ventes[[#This Row],[Qté Vendue]] * tbl_Ventes[[#This Row],[CMP_par_portion]]</f>
        <v>0</v>
      </c>
      <c r="J3558" s="7">
        <f>tbl_Ventes[[#This Row],[CA ligne]] - tbl_Ventes[[#This Row],[Coût matière ligne]]</f>
        <v>0</v>
      </c>
      <c r="K3558" s="7" t="str">
        <f>IFERROR(INDEX(tbl_ProduitsRef[Famille], MATCH(tbl_Ventes[[#This Row],[Cde_Prdt]], tbl_Produits[Cde_Prdt], 0)), "")</f>
        <v/>
      </c>
    </row>
    <row r="3559" spans="1:11" x14ac:dyDescent="0.25">
      <c r="A3559" s="5"/>
      <c r="B3559" s="63" t="str">
        <f>IFERROR(TEXT(tbl_Ventes[[#This Row],[Date]],"mm-aaaa"),"")</f>
        <v>01-1900</v>
      </c>
      <c r="D3559" s="10" t="str">
        <f>IFERROR(
   INDEX(tbl_ProduitsRef[Cde_Prdt],MATCH(tbl_Ventes[[#This Row],[Produit]],tbl_ProduitsRef[Produit],0)),
   ""
)</f>
        <v/>
      </c>
      <c r="E3559" s="7">
        <v>0</v>
      </c>
      <c r="F3559" s="7" t="str">
        <f>IFERROR(
   INDEX(tbl_ProduitsRef[Prix Menu],MATCH(tbl_Ventes[[#This Row],[Produit]],tbl_ProduitsRef[Produit],0)),
   ""
)</f>
        <v/>
      </c>
      <c r="G3559" s="7">
        <f>tbl_Ventes[[#This Row],[Qté Vendue]] * IFERROR(_xlfn.XLOOKUP(tbl_Ventes[[#This Row],[Cde_Prdt]], tbl_Produits[Cde_Prdt], tbl_Produits[Prix Menu]), 0)</f>
        <v>0</v>
      </c>
      <c r="H3559" s="7">
        <f>IFERROR(_xlfn.XLOOKUP(tbl_Ventes[[#This Row],[Cde_Prdt]], tbl_Produits[Cde_Prdt], tbl_Produits[Coût Moyen Portion]), 0)</f>
        <v>0</v>
      </c>
      <c r="I3559" s="7">
        <f>tbl_Ventes[[#This Row],[Qté Vendue]] * tbl_Ventes[[#This Row],[CMP_par_portion]]</f>
        <v>0</v>
      </c>
      <c r="J3559" s="7">
        <f>tbl_Ventes[[#This Row],[CA ligne]] - tbl_Ventes[[#This Row],[Coût matière ligne]]</f>
        <v>0</v>
      </c>
      <c r="K3559" s="7" t="str">
        <f>IFERROR(INDEX(tbl_ProduitsRef[Famille], MATCH(tbl_Ventes[[#This Row],[Cde_Prdt]], tbl_Produits[Cde_Prdt], 0)), "")</f>
        <v/>
      </c>
    </row>
    <row r="3560" spans="1:11" x14ac:dyDescent="0.25">
      <c r="A3560" s="5"/>
      <c r="B3560" s="63" t="str">
        <f>IFERROR(TEXT(tbl_Ventes[[#This Row],[Date]],"mm-aaaa"),"")</f>
        <v>01-1900</v>
      </c>
      <c r="D3560" s="10" t="str">
        <f>IFERROR(
   INDEX(tbl_ProduitsRef[Cde_Prdt],MATCH(tbl_Ventes[[#This Row],[Produit]],tbl_ProduitsRef[Produit],0)),
   ""
)</f>
        <v/>
      </c>
      <c r="E3560" s="7">
        <v>0</v>
      </c>
      <c r="F3560" s="7" t="str">
        <f>IFERROR(
   INDEX(tbl_ProduitsRef[Prix Menu],MATCH(tbl_Ventes[[#This Row],[Produit]],tbl_ProduitsRef[Produit],0)),
   ""
)</f>
        <v/>
      </c>
      <c r="G3560" s="7">
        <f>tbl_Ventes[[#This Row],[Qté Vendue]] * IFERROR(_xlfn.XLOOKUP(tbl_Ventes[[#This Row],[Cde_Prdt]], tbl_Produits[Cde_Prdt], tbl_Produits[Prix Menu]), 0)</f>
        <v>0</v>
      </c>
      <c r="H3560" s="7">
        <f>IFERROR(_xlfn.XLOOKUP(tbl_Ventes[[#This Row],[Cde_Prdt]], tbl_Produits[Cde_Prdt], tbl_Produits[Coût Moyen Portion]), 0)</f>
        <v>0</v>
      </c>
      <c r="I3560" s="7">
        <f>tbl_Ventes[[#This Row],[Qté Vendue]] * tbl_Ventes[[#This Row],[CMP_par_portion]]</f>
        <v>0</v>
      </c>
      <c r="J3560" s="7">
        <f>tbl_Ventes[[#This Row],[CA ligne]] - tbl_Ventes[[#This Row],[Coût matière ligne]]</f>
        <v>0</v>
      </c>
      <c r="K3560" s="7" t="str">
        <f>IFERROR(INDEX(tbl_ProduitsRef[Famille], MATCH(tbl_Ventes[[#This Row],[Cde_Prdt]], tbl_Produits[Cde_Prdt], 0)), "")</f>
        <v/>
      </c>
    </row>
    <row r="3561" spans="1:11" x14ac:dyDescent="0.25">
      <c r="A3561" s="5"/>
      <c r="B3561" s="63" t="str">
        <f>IFERROR(TEXT(tbl_Ventes[[#This Row],[Date]],"mm-aaaa"),"")</f>
        <v>01-1900</v>
      </c>
      <c r="D3561" s="10" t="str">
        <f>IFERROR(
   INDEX(tbl_ProduitsRef[Cde_Prdt],MATCH(tbl_Ventes[[#This Row],[Produit]],tbl_ProduitsRef[Produit],0)),
   ""
)</f>
        <v/>
      </c>
      <c r="E3561" s="7">
        <v>0</v>
      </c>
      <c r="F3561" s="7" t="str">
        <f>IFERROR(
   INDEX(tbl_ProduitsRef[Prix Menu],MATCH(tbl_Ventes[[#This Row],[Produit]],tbl_ProduitsRef[Produit],0)),
   ""
)</f>
        <v/>
      </c>
      <c r="G3561" s="7">
        <f>tbl_Ventes[[#This Row],[Qté Vendue]] * IFERROR(_xlfn.XLOOKUP(tbl_Ventes[[#This Row],[Cde_Prdt]], tbl_Produits[Cde_Prdt], tbl_Produits[Prix Menu]), 0)</f>
        <v>0</v>
      </c>
      <c r="H3561" s="7">
        <f>IFERROR(_xlfn.XLOOKUP(tbl_Ventes[[#This Row],[Cde_Prdt]], tbl_Produits[Cde_Prdt], tbl_Produits[Coût Moyen Portion]), 0)</f>
        <v>0</v>
      </c>
      <c r="I3561" s="7">
        <f>tbl_Ventes[[#This Row],[Qté Vendue]] * tbl_Ventes[[#This Row],[CMP_par_portion]]</f>
        <v>0</v>
      </c>
      <c r="J3561" s="7">
        <f>tbl_Ventes[[#This Row],[CA ligne]] - tbl_Ventes[[#This Row],[Coût matière ligne]]</f>
        <v>0</v>
      </c>
      <c r="K3561" s="7" t="str">
        <f>IFERROR(INDEX(tbl_ProduitsRef[Famille], MATCH(tbl_Ventes[[#This Row],[Cde_Prdt]], tbl_Produits[Cde_Prdt], 0)), "")</f>
        <v/>
      </c>
    </row>
    <row r="3562" spans="1:11" x14ac:dyDescent="0.25">
      <c r="A3562" s="5"/>
      <c r="B3562" s="63" t="str">
        <f>IFERROR(TEXT(tbl_Ventes[[#This Row],[Date]],"mm-aaaa"),"")</f>
        <v>01-1900</v>
      </c>
      <c r="D3562" s="10" t="str">
        <f>IFERROR(
   INDEX(tbl_ProduitsRef[Cde_Prdt],MATCH(tbl_Ventes[[#This Row],[Produit]],tbl_ProduitsRef[Produit],0)),
   ""
)</f>
        <v/>
      </c>
      <c r="E3562" s="7">
        <v>0</v>
      </c>
      <c r="F3562" s="7" t="str">
        <f>IFERROR(
   INDEX(tbl_ProduitsRef[Prix Menu],MATCH(tbl_Ventes[[#This Row],[Produit]],tbl_ProduitsRef[Produit],0)),
   ""
)</f>
        <v/>
      </c>
      <c r="G3562" s="7">
        <f>tbl_Ventes[[#This Row],[Qté Vendue]] * IFERROR(_xlfn.XLOOKUP(tbl_Ventes[[#This Row],[Cde_Prdt]], tbl_Produits[Cde_Prdt], tbl_Produits[Prix Menu]), 0)</f>
        <v>0</v>
      </c>
      <c r="H3562" s="7">
        <f>IFERROR(_xlfn.XLOOKUP(tbl_Ventes[[#This Row],[Cde_Prdt]], tbl_Produits[Cde_Prdt], tbl_Produits[Coût Moyen Portion]), 0)</f>
        <v>0</v>
      </c>
      <c r="I3562" s="7">
        <f>tbl_Ventes[[#This Row],[Qté Vendue]] * tbl_Ventes[[#This Row],[CMP_par_portion]]</f>
        <v>0</v>
      </c>
      <c r="J3562" s="7">
        <f>tbl_Ventes[[#This Row],[CA ligne]] - tbl_Ventes[[#This Row],[Coût matière ligne]]</f>
        <v>0</v>
      </c>
      <c r="K3562" s="7" t="str">
        <f>IFERROR(INDEX(tbl_ProduitsRef[Famille], MATCH(tbl_Ventes[[#This Row],[Cde_Prdt]], tbl_Produits[Cde_Prdt], 0)), "")</f>
        <v/>
      </c>
    </row>
    <row r="3563" spans="1:11" x14ac:dyDescent="0.25">
      <c r="A3563" s="5"/>
      <c r="B3563" s="63" t="str">
        <f>IFERROR(TEXT(tbl_Ventes[[#This Row],[Date]],"mm-aaaa"),"")</f>
        <v>01-1900</v>
      </c>
      <c r="D3563" s="10" t="str">
        <f>IFERROR(
   INDEX(tbl_ProduitsRef[Cde_Prdt],MATCH(tbl_Ventes[[#This Row],[Produit]],tbl_ProduitsRef[Produit],0)),
   ""
)</f>
        <v/>
      </c>
      <c r="E3563" s="7">
        <v>0</v>
      </c>
      <c r="F3563" s="7" t="str">
        <f>IFERROR(
   INDEX(tbl_ProduitsRef[Prix Menu],MATCH(tbl_Ventes[[#This Row],[Produit]],tbl_ProduitsRef[Produit],0)),
   ""
)</f>
        <v/>
      </c>
      <c r="G3563" s="7">
        <f>tbl_Ventes[[#This Row],[Qté Vendue]] * IFERROR(_xlfn.XLOOKUP(tbl_Ventes[[#This Row],[Cde_Prdt]], tbl_Produits[Cde_Prdt], tbl_Produits[Prix Menu]), 0)</f>
        <v>0</v>
      </c>
      <c r="H3563" s="7">
        <f>IFERROR(_xlfn.XLOOKUP(tbl_Ventes[[#This Row],[Cde_Prdt]], tbl_Produits[Cde_Prdt], tbl_Produits[Coût Moyen Portion]), 0)</f>
        <v>0</v>
      </c>
      <c r="I3563" s="7">
        <f>tbl_Ventes[[#This Row],[Qté Vendue]] * tbl_Ventes[[#This Row],[CMP_par_portion]]</f>
        <v>0</v>
      </c>
      <c r="J3563" s="7">
        <f>tbl_Ventes[[#This Row],[CA ligne]] - tbl_Ventes[[#This Row],[Coût matière ligne]]</f>
        <v>0</v>
      </c>
      <c r="K3563" s="7" t="str">
        <f>IFERROR(INDEX(tbl_ProduitsRef[Famille], MATCH(tbl_Ventes[[#This Row],[Cde_Prdt]], tbl_Produits[Cde_Prdt], 0)), "")</f>
        <v/>
      </c>
    </row>
    <row r="3564" spans="1:11" x14ac:dyDescent="0.25">
      <c r="A3564" s="5"/>
      <c r="B3564" s="63" t="str">
        <f>IFERROR(TEXT(tbl_Ventes[[#This Row],[Date]],"mm-aaaa"),"")</f>
        <v>01-1900</v>
      </c>
      <c r="D3564" s="10" t="str">
        <f>IFERROR(
   INDEX(tbl_ProduitsRef[Cde_Prdt],MATCH(tbl_Ventes[[#This Row],[Produit]],tbl_ProduitsRef[Produit],0)),
   ""
)</f>
        <v/>
      </c>
      <c r="E3564" s="7">
        <v>0</v>
      </c>
      <c r="F3564" s="7" t="str">
        <f>IFERROR(
   INDEX(tbl_ProduitsRef[Prix Menu],MATCH(tbl_Ventes[[#This Row],[Produit]],tbl_ProduitsRef[Produit],0)),
   ""
)</f>
        <v/>
      </c>
      <c r="G3564" s="7">
        <f>tbl_Ventes[[#This Row],[Qté Vendue]] * IFERROR(_xlfn.XLOOKUP(tbl_Ventes[[#This Row],[Cde_Prdt]], tbl_Produits[Cde_Prdt], tbl_Produits[Prix Menu]), 0)</f>
        <v>0</v>
      </c>
      <c r="H3564" s="7">
        <f>IFERROR(_xlfn.XLOOKUP(tbl_Ventes[[#This Row],[Cde_Prdt]], tbl_Produits[Cde_Prdt], tbl_Produits[Coût Moyen Portion]), 0)</f>
        <v>0</v>
      </c>
      <c r="I3564" s="7">
        <f>tbl_Ventes[[#This Row],[Qté Vendue]] * tbl_Ventes[[#This Row],[CMP_par_portion]]</f>
        <v>0</v>
      </c>
      <c r="J3564" s="7">
        <f>tbl_Ventes[[#This Row],[CA ligne]] - tbl_Ventes[[#This Row],[Coût matière ligne]]</f>
        <v>0</v>
      </c>
      <c r="K3564" s="7" t="str">
        <f>IFERROR(INDEX(tbl_ProduitsRef[Famille], MATCH(tbl_Ventes[[#This Row],[Cde_Prdt]], tbl_Produits[Cde_Prdt], 0)), "")</f>
        <v/>
      </c>
    </row>
    <row r="3565" spans="1:11" x14ac:dyDescent="0.25">
      <c r="A3565" s="5"/>
      <c r="B3565" s="63" t="str">
        <f>IFERROR(TEXT(tbl_Ventes[[#This Row],[Date]],"mm-aaaa"),"")</f>
        <v>01-1900</v>
      </c>
      <c r="D3565" s="10" t="str">
        <f>IFERROR(
   INDEX(tbl_ProduitsRef[Cde_Prdt],MATCH(tbl_Ventes[[#This Row],[Produit]],tbl_ProduitsRef[Produit],0)),
   ""
)</f>
        <v/>
      </c>
      <c r="E3565" s="7">
        <v>0</v>
      </c>
      <c r="F3565" s="7" t="str">
        <f>IFERROR(
   INDEX(tbl_ProduitsRef[Prix Menu],MATCH(tbl_Ventes[[#This Row],[Produit]],tbl_ProduitsRef[Produit],0)),
   ""
)</f>
        <v/>
      </c>
      <c r="G3565" s="7">
        <f>tbl_Ventes[[#This Row],[Qté Vendue]] * IFERROR(_xlfn.XLOOKUP(tbl_Ventes[[#This Row],[Cde_Prdt]], tbl_Produits[Cde_Prdt], tbl_Produits[Prix Menu]), 0)</f>
        <v>0</v>
      </c>
      <c r="H3565" s="7">
        <f>IFERROR(_xlfn.XLOOKUP(tbl_Ventes[[#This Row],[Cde_Prdt]], tbl_Produits[Cde_Prdt], tbl_Produits[Coût Moyen Portion]), 0)</f>
        <v>0</v>
      </c>
      <c r="I3565" s="7">
        <f>tbl_Ventes[[#This Row],[Qté Vendue]] * tbl_Ventes[[#This Row],[CMP_par_portion]]</f>
        <v>0</v>
      </c>
      <c r="J3565" s="7">
        <f>tbl_Ventes[[#This Row],[CA ligne]] - tbl_Ventes[[#This Row],[Coût matière ligne]]</f>
        <v>0</v>
      </c>
      <c r="K3565" s="7" t="str">
        <f>IFERROR(INDEX(tbl_ProduitsRef[Famille], MATCH(tbl_Ventes[[#This Row],[Cde_Prdt]], tbl_Produits[Cde_Prdt], 0)), "")</f>
        <v/>
      </c>
    </row>
    <row r="3566" spans="1:11" x14ac:dyDescent="0.25">
      <c r="A3566" s="5"/>
      <c r="B3566" s="63" t="str">
        <f>IFERROR(TEXT(tbl_Ventes[[#This Row],[Date]],"mm-aaaa"),"")</f>
        <v>01-1900</v>
      </c>
      <c r="D3566" s="10" t="str">
        <f>IFERROR(
   INDEX(tbl_ProduitsRef[Cde_Prdt],MATCH(tbl_Ventes[[#This Row],[Produit]],tbl_ProduitsRef[Produit],0)),
   ""
)</f>
        <v/>
      </c>
      <c r="E3566" s="7">
        <v>0</v>
      </c>
      <c r="F3566" s="7" t="str">
        <f>IFERROR(
   INDEX(tbl_ProduitsRef[Prix Menu],MATCH(tbl_Ventes[[#This Row],[Produit]],tbl_ProduitsRef[Produit],0)),
   ""
)</f>
        <v/>
      </c>
      <c r="G3566" s="7">
        <f>tbl_Ventes[[#This Row],[Qté Vendue]] * IFERROR(_xlfn.XLOOKUP(tbl_Ventes[[#This Row],[Cde_Prdt]], tbl_Produits[Cde_Prdt], tbl_Produits[Prix Menu]), 0)</f>
        <v>0</v>
      </c>
      <c r="H3566" s="7">
        <f>IFERROR(_xlfn.XLOOKUP(tbl_Ventes[[#This Row],[Cde_Prdt]], tbl_Produits[Cde_Prdt], tbl_Produits[Coût Moyen Portion]), 0)</f>
        <v>0</v>
      </c>
      <c r="I3566" s="7">
        <f>tbl_Ventes[[#This Row],[Qté Vendue]] * tbl_Ventes[[#This Row],[CMP_par_portion]]</f>
        <v>0</v>
      </c>
      <c r="J3566" s="7">
        <f>tbl_Ventes[[#This Row],[CA ligne]] - tbl_Ventes[[#This Row],[Coût matière ligne]]</f>
        <v>0</v>
      </c>
      <c r="K3566" s="7" t="str">
        <f>IFERROR(INDEX(tbl_ProduitsRef[Famille], MATCH(tbl_Ventes[[#This Row],[Cde_Prdt]], tbl_Produits[Cde_Prdt], 0)), "")</f>
        <v/>
      </c>
    </row>
    <row r="3567" spans="1:11" x14ac:dyDescent="0.25">
      <c r="A3567" s="5"/>
      <c r="B3567" s="63" t="str">
        <f>IFERROR(TEXT(tbl_Ventes[[#This Row],[Date]],"mm-aaaa"),"")</f>
        <v>01-1900</v>
      </c>
      <c r="D3567" s="10" t="str">
        <f>IFERROR(
   INDEX(tbl_ProduitsRef[Cde_Prdt],MATCH(tbl_Ventes[[#This Row],[Produit]],tbl_ProduitsRef[Produit],0)),
   ""
)</f>
        <v/>
      </c>
      <c r="E3567" s="7">
        <v>0</v>
      </c>
      <c r="F3567" s="7" t="str">
        <f>IFERROR(
   INDEX(tbl_ProduitsRef[Prix Menu],MATCH(tbl_Ventes[[#This Row],[Produit]],tbl_ProduitsRef[Produit],0)),
   ""
)</f>
        <v/>
      </c>
      <c r="G3567" s="7">
        <f>tbl_Ventes[[#This Row],[Qté Vendue]] * IFERROR(_xlfn.XLOOKUP(tbl_Ventes[[#This Row],[Cde_Prdt]], tbl_Produits[Cde_Prdt], tbl_Produits[Prix Menu]), 0)</f>
        <v>0</v>
      </c>
      <c r="H3567" s="7">
        <f>IFERROR(_xlfn.XLOOKUP(tbl_Ventes[[#This Row],[Cde_Prdt]], tbl_Produits[Cde_Prdt], tbl_Produits[Coût Moyen Portion]), 0)</f>
        <v>0</v>
      </c>
      <c r="I3567" s="7">
        <f>tbl_Ventes[[#This Row],[Qté Vendue]] * tbl_Ventes[[#This Row],[CMP_par_portion]]</f>
        <v>0</v>
      </c>
      <c r="J3567" s="7">
        <f>tbl_Ventes[[#This Row],[CA ligne]] - tbl_Ventes[[#This Row],[Coût matière ligne]]</f>
        <v>0</v>
      </c>
      <c r="K3567" s="7" t="str">
        <f>IFERROR(INDEX(tbl_ProduitsRef[Famille], MATCH(tbl_Ventes[[#This Row],[Cde_Prdt]], tbl_Produits[Cde_Prdt], 0)), "")</f>
        <v/>
      </c>
    </row>
    <row r="3568" spans="1:11" x14ac:dyDescent="0.25">
      <c r="A3568" s="5"/>
      <c r="B3568" s="63" t="str">
        <f>IFERROR(TEXT(tbl_Ventes[[#This Row],[Date]],"mm-aaaa"),"")</f>
        <v>01-1900</v>
      </c>
      <c r="D3568" s="10" t="str">
        <f>IFERROR(
   INDEX(tbl_ProduitsRef[Cde_Prdt],MATCH(tbl_Ventes[[#This Row],[Produit]],tbl_ProduitsRef[Produit],0)),
   ""
)</f>
        <v/>
      </c>
      <c r="E3568" s="7">
        <v>0</v>
      </c>
      <c r="F3568" s="7" t="str">
        <f>IFERROR(
   INDEX(tbl_ProduitsRef[Prix Menu],MATCH(tbl_Ventes[[#This Row],[Produit]],tbl_ProduitsRef[Produit],0)),
   ""
)</f>
        <v/>
      </c>
      <c r="G3568" s="7">
        <f>tbl_Ventes[[#This Row],[Qté Vendue]] * IFERROR(_xlfn.XLOOKUP(tbl_Ventes[[#This Row],[Cde_Prdt]], tbl_Produits[Cde_Prdt], tbl_Produits[Prix Menu]), 0)</f>
        <v>0</v>
      </c>
      <c r="H3568" s="7">
        <f>IFERROR(_xlfn.XLOOKUP(tbl_Ventes[[#This Row],[Cde_Prdt]], tbl_Produits[Cde_Prdt], tbl_Produits[Coût Moyen Portion]), 0)</f>
        <v>0</v>
      </c>
      <c r="I3568" s="7">
        <f>tbl_Ventes[[#This Row],[Qté Vendue]] * tbl_Ventes[[#This Row],[CMP_par_portion]]</f>
        <v>0</v>
      </c>
      <c r="J3568" s="7">
        <f>tbl_Ventes[[#This Row],[CA ligne]] - tbl_Ventes[[#This Row],[Coût matière ligne]]</f>
        <v>0</v>
      </c>
      <c r="K3568" s="7" t="str">
        <f>IFERROR(INDEX(tbl_ProduitsRef[Famille], MATCH(tbl_Ventes[[#This Row],[Cde_Prdt]], tbl_Produits[Cde_Prdt], 0)), "")</f>
        <v/>
      </c>
    </row>
    <row r="3569" spans="1:11" x14ac:dyDescent="0.25">
      <c r="A3569" s="5"/>
      <c r="B3569" s="63" t="str">
        <f>IFERROR(TEXT(tbl_Ventes[[#This Row],[Date]],"mm-aaaa"),"")</f>
        <v>01-1900</v>
      </c>
      <c r="D3569" s="10" t="str">
        <f>IFERROR(
   INDEX(tbl_ProduitsRef[Cde_Prdt],MATCH(tbl_Ventes[[#This Row],[Produit]],tbl_ProduitsRef[Produit],0)),
   ""
)</f>
        <v/>
      </c>
      <c r="E3569" s="7">
        <v>0</v>
      </c>
      <c r="F3569" s="7" t="str">
        <f>IFERROR(
   INDEX(tbl_ProduitsRef[Prix Menu],MATCH(tbl_Ventes[[#This Row],[Produit]],tbl_ProduitsRef[Produit],0)),
   ""
)</f>
        <v/>
      </c>
      <c r="G3569" s="7">
        <f>tbl_Ventes[[#This Row],[Qté Vendue]] * IFERROR(_xlfn.XLOOKUP(tbl_Ventes[[#This Row],[Cde_Prdt]], tbl_Produits[Cde_Prdt], tbl_Produits[Prix Menu]), 0)</f>
        <v>0</v>
      </c>
      <c r="H3569" s="7">
        <f>IFERROR(_xlfn.XLOOKUP(tbl_Ventes[[#This Row],[Cde_Prdt]], tbl_Produits[Cde_Prdt], tbl_Produits[Coût Moyen Portion]), 0)</f>
        <v>0</v>
      </c>
      <c r="I3569" s="7">
        <f>tbl_Ventes[[#This Row],[Qté Vendue]] * tbl_Ventes[[#This Row],[CMP_par_portion]]</f>
        <v>0</v>
      </c>
      <c r="J3569" s="7">
        <f>tbl_Ventes[[#This Row],[CA ligne]] - tbl_Ventes[[#This Row],[Coût matière ligne]]</f>
        <v>0</v>
      </c>
      <c r="K3569" s="7" t="str">
        <f>IFERROR(INDEX(tbl_ProduitsRef[Famille], MATCH(tbl_Ventes[[#This Row],[Cde_Prdt]], tbl_Produits[Cde_Prdt], 0)), "")</f>
        <v/>
      </c>
    </row>
    <row r="3570" spans="1:11" x14ac:dyDescent="0.25">
      <c r="A3570" s="5"/>
      <c r="B3570" s="63" t="str">
        <f>IFERROR(TEXT(tbl_Ventes[[#This Row],[Date]],"mm-aaaa"),"")</f>
        <v>01-1900</v>
      </c>
      <c r="D3570" s="10" t="str">
        <f>IFERROR(
   INDEX(tbl_ProduitsRef[Cde_Prdt],MATCH(tbl_Ventes[[#This Row],[Produit]],tbl_ProduitsRef[Produit],0)),
   ""
)</f>
        <v/>
      </c>
      <c r="E3570" s="7">
        <v>0</v>
      </c>
      <c r="F3570" s="7" t="str">
        <f>IFERROR(
   INDEX(tbl_ProduitsRef[Prix Menu],MATCH(tbl_Ventes[[#This Row],[Produit]],tbl_ProduitsRef[Produit],0)),
   ""
)</f>
        <v/>
      </c>
      <c r="G3570" s="7">
        <f>tbl_Ventes[[#This Row],[Qté Vendue]] * IFERROR(_xlfn.XLOOKUP(tbl_Ventes[[#This Row],[Cde_Prdt]], tbl_Produits[Cde_Prdt], tbl_Produits[Prix Menu]), 0)</f>
        <v>0</v>
      </c>
      <c r="H3570" s="7">
        <f>IFERROR(_xlfn.XLOOKUP(tbl_Ventes[[#This Row],[Cde_Prdt]], tbl_Produits[Cde_Prdt], tbl_Produits[Coût Moyen Portion]), 0)</f>
        <v>0</v>
      </c>
      <c r="I3570" s="7">
        <f>tbl_Ventes[[#This Row],[Qté Vendue]] * tbl_Ventes[[#This Row],[CMP_par_portion]]</f>
        <v>0</v>
      </c>
      <c r="J3570" s="7">
        <f>tbl_Ventes[[#This Row],[CA ligne]] - tbl_Ventes[[#This Row],[Coût matière ligne]]</f>
        <v>0</v>
      </c>
      <c r="K3570" s="7" t="str">
        <f>IFERROR(INDEX(tbl_ProduitsRef[Famille], MATCH(tbl_Ventes[[#This Row],[Cde_Prdt]], tbl_Produits[Cde_Prdt], 0)), "")</f>
        <v/>
      </c>
    </row>
    <row r="3571" spans="1:11" x14ac:dyDescent="0.25">
      <c r="A3571" s="5"/>
      <c r="B3571" s="63" t="str">
        <f>IFERROR(TEXT(tbl_Ventes[[#This Row],[Date]],"mm-aaaa"),"")</f>
        <v>01-1900</v>
      </c>
      <c r="D3571" s="10" t="str">
        <f>IFERROR(
   INDEX(tbl_ProduitsRef[Cde_Prdt],MATCH(tbl_Ventes[[#This Row],[Produit]],tbl_ProduitsRef[Produit],0)),
   ""
)</f>
        <v/>
      </c>
      <c r="E3571" s="7">
        <v>0</v>
      </c>
      <c r="F3571" s="7" t="str">
        <f>IFERROR(
   INDEX(tbl_ProduitsRef[Prix Menu],MATCH(tbl_Ventes[[#This Row],[Produit]],tbl_ProduitsRef[Produit],0)),
   ""
)</f>
        <v/>
      </c>
      <c r="G3571" s="7">
        <f>tbl_Ventes[[#This Row],[Qté Vendue]] * IFERROR(_xlfn.XLOOKUP(tbl_Ventes[[#This Row],[Cde_Prdt]], tbl_Produits[Cde_Prdt], tbl_Produits[Prix Menu]), 0)</f>
        <v>0</v>
      </c>
      <c r="H3571" s="7">
        <f>IFERROR(_xlfn.XLOOKUP(tbl_Ventes[[#This Row],[Cde_Prdt]], tbl_Produits[Cde_Prdt], tbl_Produits[Coût Moyen Portion]), 0)</f>
        <v>0</v>
      </c>
      <c r="I3571" s="7">
        <f>tbl_Ventes[[#This Row],[Qté Vendue]] * tbl_Ventes[[#This Row],[CMP_par_portion]]</f>
        <v>0</v>
      </c>
      <c r="J3571" s="7">
        <f>tbl_Ventes[[#This Row],[CA ligne]] - tbl_Ventes[[#This Row],[Coût matière ligne]]</f>
        <v>0</v>
      </c>
      <c r="K3571" s="7" t="str">
        <f>IFERROR(INDEX(tbl_ProduitsRef[Famille], MATCH(tbl_Ventes[[#This Row],[Cde_Prdt]], tbl_Produits[Cde_Prdt], 0)), "")</f>
        <v/>
      </c>
    </row>
    <row r="3572" spans="1:11" x14ac:dyDescent="0.25">
      <c r="A3572" s="5"/>
      <c r="B3572" s="63" t="str">
        <f>IFERROR(TEXT(tbl_Ventes[[#This Row],[Date]],"mm-aaaa"),"")</f>
        <v>01-1900</v>
      </c>
      <c r="D3572" s="10" t="str">
        <f>IFERROR(
   INDEX(tbl_ProduitsRef[Cde_Prdt],MATCH(tbl_Ventes[[#This Row],[Produit]],tbl_ProduitsRef[Produit],0)),
   ""
)</f>
        <v/>
      </c>
      <c r="E3572" s="7">
        <v>0</v>
      </c>
      <c r="F3572" s="7" t="str">
        <f>IFERROR(
   INDEX(tbl_ProduitsRef[Prix Menu],MATCH(tbl_Ventes[[#This Row],[Produit]],tbl_ProduitsRef[Produit],0)),
   ""
)</f>
        <v/>
      </c>
      <c r="G3572" s="7">
        <f>tbl_Ventes[[#This Row],[Qté Vendue]] * IFERROR(_xlfn.XLOOKUP(tbl_Ventes[[#This Row],[Cde_Prdt]], tbl_Produits[Cde_Prdt], tbl_Produits[Prix Menu]), 0)</f>
        <v>0</v>
      </c>
      <c r="H3572" s="7">
        <f>IFERROR(_xlfn.XLOOKUP(tbl_Ventes[[#This Row],[Cde_Prdt]], tbl_Produits[Cde_Prdt], tbl_Produits[Coût Moyen Portion]), 0)</f>
        <v>0</v>
      </c>
      <c r="I3572" s="7">
        <f>tbl_Ventes[[#This Row],[Qté Vendue]] * tbl_Ventes[[#This Row],[CMP_par_portion]]</f>
        <v>0</v>
      </c>
      <c r="J3572" s="7">
        <f>tbl_Ventes[[#This Row],[CA ligne]] - tbl_Ventes[[#This Row],[Coût matière ligne]]</f>
        <v>0</v>
      </c>
      <c r="K3572" s="7" t="str">
        <f>IFERROR(INDEX(tbl_ProduitsRef[Famille], MATCH(tbl_Ventes[[#This Row],[Cde_Prdt]], tbl_Produits[Cde_Prdt], 0)), "")</f>
        <v/>
      </c>
    </row>
    <row r="3573" spans="1:11" x14ac:dyDescent="0.25">
      <c r="A3573" s="5"/>
      <c r="B3573" s="63" t="str">
        <f>IFERROR(TEXT(tbl_Ventes[[#This Row],[Date]],"mm-aaaa"),"")</f>
        <v>01-1900</v>
      </c>
      <c r="D3573" s="10" t="str">
        <f>IFERROR(
   INDEX(tbl_ProduitsRef[Cde_Prdt],MATCH(tbl_Ventes[[#This Row],[Produit]],tbl_ProduitsRef[Produit],0)),
   ""
)</f>
        <v/>
      </c>
      <c r="E3573" s="7">
        <v>0</v>
      </c>
      <c r="F3573" s="7" t="str">
        <f>IFERROR(
   INDEX(tbl_ProduitsRef[Prix Menu],MATCH(tbl_Ventes[[#This Row],[Produit]],tbl_ProduitsRef[Produit],0)),
   ""
)</f>
        <v/>
      </c>
      <c r="G3573" s="7">
        <f>tbl_Ventes[[#This Row],[Qté Vendue]] * IFERROR(_xlfn.XLOOKUP(tbl_Ventes[[#This Row],[Cde_Prdt]], tbl_Produits[Cde_Prdt], tbl_Produits[Prix Menu]), 0)</f>
        <v>0</v>
      </c>
      <c r="H3573" s="7">
        <f>IFERROR(_xlfn.XLOOKUP(tbl_Ventes[[#This Row],[Cde_Prdt]], tbl_Produits[Cde_Prdt], tbl_Produits[Coût Moyen Portion]), 0)</f>
        <v>0</v>
      </c>
      <c r="I3573" s="7">
        <f>tbl_Ventes[[#This Row],[Qté Vendue]] * tbl_Ventes[[#This Row],[CMP_par_portion]]</f>
        <v>0</v>
      </c>
      <c r="J3573" s="7">
        <f>tbl_Ventes[[#This Row],[CA ligne]] - tbl_Ventes[[#This Row],[Coût matière ligne]]</f>
        <v>0</v>
      </c>
      <c r="K3573" s="7" t="str">
        <f>IFERROR(INDEX(tbl_ProduitsRef[Famille], MATCH(tbl_Ventes[[#This Row],[Cde_Prdt]], tbl_Produits[Cde_Prdt], 0)), "")</f>
        <v/>
      </c>
    </row>
    <row r="3574" spans="1:11" x14ac:dyDescent="0.25">
      <c r="A3574" s="5"/>
      <c r="B3574" s="63" t="str">
        <f>IFERROR(TEXT(tbl_Ventes[[#This Row],[Date]],"mm-aaaa"),"")</f>
        <v>01-1900</v>
      </c>
      <c r="D3574" s="10" t="str">
        <f>IFERROR(
   INDEX(tbl_ProduitsRef[Cde_Prdt],MATCH(tbl_Ventes[[#This Row],[Produit]],tbl_ProduitsRef[Produit],0)),
   ""
)</f>
        <v/>
      </c>
      <c r="E3574" s="7">
        <v>0</v>
      </c>
      <c r="F3574" s="7" t="str">
        <f>IFERROR(
   INDEX(tbl_ProduitsRef[Prix Menu],MATCH(tbl_Ventes[[#This Row],[Produit]],tbl_ProduitsRef[Produit],0)),
   ""
)</f>
        <v/>
      </c>
      <c r="G3574" s="7">
        <f>tbl_Ventes[[#This Row],[Qté Vendue]] * IFERROR(_xlfn.XLOOKUP(tbl_Ventes[[#This Row],[Cde_Prdt]], tbl_Produits[Cde_Prdt], tbl_Produits[Prix Menu]), 0)</f>
        <v>0</v>
      </c>
      <c r="H3574" s="7">
        <f>IFERROR(_xlfn.XLOOKUP(tbl_Ventes[[#This Row],[Cde_Prdt]], tbl_Produits[Cde_Prdt], tbl_Produits[Coût Moyen Portion]), 0)</f>
        <v>0</v>
      </c>
      <c r="I3574" s="7">
        <f>tbl_Ventes[[#This Row],[Qté Vendue]] * tbl_Ventes[[#This Row],[CMP_par_portion]]</f>
        <v>0</v>
      </c>
      <c r="J3574" s="7">
        <f>tbl_Ventes[[#This Row],[CA ligne]] - tbl_Ventes[[#This Row],[Coût matière ligne]]</f>
        <v>0</v>
      </c>
      <c r="K3574" s="7" t="str">
        <f>IFERROR(INDEX(tbl_ProduitsRef[Famille], MATCH(tbl_Ventes[[#This Row],[Cde_Prdt]], tbl_Produits[Cde_Prdt], 0)), "")</f>
        <v/>
      </c>
    </row>
    <row r="3575" spans="1:11" x14ac:dyDescent="0.25">
      <c r="A3575" s="5"/>
      <c r="B3575" s="63" t="str">
        <f>IFERROR(TEXT(tbl_Ventes[[#This Row],[Date]],"mm-aaaa"),"")</f>
        <v>01-1900</v>
      </c>
      <c r="D3575" s="10" t="str">
        <f>IFERROR(
   INDEX(tbl_ProduitsRef[Cde_Prdt],MATCH(tbl_Ventes[[#This Row],[Produit]],tbl_ProduitsRef[Produit],0)),
   ""
)</f>
        <v/>
      </c>
      <c r="E3575" s="7">
        <v>0</v>
      </c>
      <c r="F3575" s="7" t="str">
        <f>IFERROR(
   INDEX(tbl_ProduitsRef[Prix Menu],MATCH(tbl_Ventes[[#This Row],[Produit]],tbl_ProduitsRef[Produit],0)),
   ""
)</f>
        <v/>
      </c>
      <c r="G3575" s="7">
        <f>tbl_Ventes[[#This Row],[Qté Vendue]] * IFERROR(_xlfn.XLOOKUP(tbl_Ventes[[#This Row],[Cde_Prdt]], tbl_Produits[Cde_Prdt], tbl_Produits[Prix Menu]), 0)</f>
        <v>0</v>
      </c>
      <c r="H3575" s="7">
        <f>IFERROR(_xlfn.XLOOKUP(tbl_Ventes[[#This Row],[Cde_Prdt]], tbl_Produits[Cde_Prdt], tbl_Produits[Coût Moyen Portion]), 0)</f>
        <v>0</v>
      </c>
      <c r="I3575" s="7">
        <f>tbl_Ventes[[#This Row],[Qté Vendue]] * tbl_Ventes[[#This Row],[CMP_par_portion]]</f>
        <v>0</v>
      </c>
      <c r="J3575" s="7">
        <f>tbl_Ventes[[#This Row],[CA ligne]] - tbl_Ventes[[#This Row],[Coût matière ligne]]</f>
        <v>0</v>
      </c>
      <c r="K3575" s="7" t="str">
        <f>IFERROR(INDEX(tbl_ProduitsRef[Famille], MATCH(tbl_Ventes[[#This Row],[Cde_Prdt]], tbl_Produits[Cde_Prdt], 0)), "")</f>
        <v/>
      </c>
    </row>
    <row r="3576" spans="1:11" x14ac:dyDescent="0.25">
      <c r="A3576" s="5"/>
      <c r="B3576" s="63" t="str">
        <f>IFERROR(TEXT(tbl_Ventes[[#This Row],[Date]],"mm-aaaa"),"")</f>
        <v>01-1900</v>
      </c>
      <c r="D3576" s="10" t="str">
        <f>IFERROR(
   INDEX(tbl_ProduitsRef[Cde_Prdt],MATCH(tbl_Ventes[[#This Row],[Produit]],tbl_ProduitsRef[Produit],0)),
   ""
)</f>
        <v/>
      </c>
      <c r="E3576" s="7">
        <v>0</v>
      </c>
      <c r="F3576" s="7" t="str">
        <f>IFERROR(
   INDEX(tbl_ProduitsRef[Prix Menu],MATCH(tbl_Ventes[[#This Row],[Produit]],tbl_ProduitsRef[Produit],0)),
   ""
)</f>
        <v/>
      </c>
      <c r="G3576" s="7">
        <f>tbl_Ventes[[#This Row],[Qté Vendue]] * IFERROR(_xlfn.XLOOKUP(tbl_Ventes[[#This Row],[Cde_Prdt]], tbl_Produits[Cde_Prdt], tbl_Produits[Prix Menu]), 0)</f>
        <v>0</v>
      </c>
      <c r="H3576" s="7">
        <f>IFERROR(_xlfn.XLOOKUP(tbl_Ventes[[#This Row],[Cde_Prdt]], tbl_Produits[Cde_Prdt], tbl_Produits[Coût Moyen Portion]), 0)</f>
        <v>0</v>
      </c>
      <c r="I3576" s="7">
        <f>tbl_Ventes[[#This Row],[Qté Vendue]] * tbl_Ventes[[#This Row],[CMP_par_portion]]</f>
        <v>0</v>
      </c>
      <c r="J3576" s="7">
        <f>tbl_Ventes[[#This Row],[CA ligne]] - tbl_Ventes[[#This Row],[Coût matière ligne]]</f>
        <v>0</v>
      </c>
      <c r="K3576" s="7" t="str">
        <f>IFERROR(INDEX(tbl_ProduitsRef[Famille], MATCH(tbl_Ventes[[#This Row],[Cde_Prdt]], tbl_Produits[Cde_Prdt], 0)), "")</f>
        <v/>
      </c>
    </row>
    <row r="3577" spans="1:11" x14ac:dyDescent="0.25">
      <c r="A3577" s="5"/>
      <c r="B3577" s="63" t="str">
        <f>IFERROR(TEXT(tbl_Ventes[[#This Row],[Date]],"mm-aaaa"),"")</f>
        <v>01-1900</v>
      </c>
      <c r="D3577" s="10" t="str">
        <f>IFERROR(
   INDEX(tbl_ProduitsRef[Cde_Prdt],MATCH(tbl_Ventes[[#This Row],[Produit]],tbl_ProduitsRef[Produit],0)),
   ""
)</f>
        <v/>
      </c>
      <c r="E3577" s="7">
        <v>0</v>
      </c>
      <c r="F3577" s="7" t="str">
        <f>IFERROR(
   INDEX(tbl_ProduitsRef[Prix Menu],MATCH(tbl_Ventes[[#This Row],[Produit]],tbl_ProduitsRef[Produit],0)),
   ""
)</f>
        <v/>
      </c>
      <c r="G3577" s="7">
        <f>tbl_Ventes[[#This Row],[Qté Vendue]] * IFERROR(_xlfn.XLOOKUP(tbl_Ventes[[#This Row],[Cde_Prdt]], tbl_Produits[Cde_Prdt], tbl_Produits[Prix Menu]), 0)</f>
        <v>0</v>
      </c>
      <c r="H3577" s="7">
        <f>IFERROR(_xlfn.XLOOKUP(tbl_Ventes[[#This Row],[Cde_Prdt]], tbl_Produits[Cde_Prdt], tbl_Produits[Coût Moyen Portion]), 0)</f>
        <v>0</v>
      </c>
      <c r="I3577" s="7">
        <f>tbl_Ventes[[#This Row],[Qté Vendue]] * tbl_Ventes[[#This Row],[CMP_par_portion]]</f>
        <v>0</v>
      </c>
      <c r="J3577" s="7">
        <f>tbl_Ventes[[#This Row],[CA ligne]] - tbl_Ventes[[#This Row],[Coût matière ligne]]</f>
        <v>0</v>
      </c>
      <c r="K3577" s="7" t="str">
        <f>IFERROR(INDEX(tbl_ProduitsRef[Famille], MATCH(tbl_Ventes[[#This Row],[Cde_Prdt]], tbl_Produits[Cde_Prdt], 0)), "")</f>
        <v/>
      </c>
    </row>
    <row r="3578" spans="1:11" x14ac:dyDescent="0.25">
      <c r="A3578" s="5"/>
      <c r="B3578" s="63" t="str">
        <f>IFERROR(TEXT(tbl_Ventes[[#This Row],[Date]],"mm-aaaa"),"")</f>
        <v>01-1900</v>
      </c>
      <c r="D3578" s="10" t="str">
        <f>IFERROR(
   INDEX(tbl_ProduitsRef[Cde_Prdt],MATCH(tbl_Ventes[[#This Row],[Produit]],tbl_ProduitsRef[Produit],0)),
   ""
)</f>
        <v/>
      </c>
      <c r="E3578" s="7">
        <v>0</v>
      </c>
      <c r="F3578" s="7" t="str">
        <f>IFERROR(
   INDEX(tbl_ProduitsRef[Prix Menu],MATCH(tbl_Ventes[[#This Row],[Produit]],tbl_ProduitsRef[Produit],0)),
   ""
)</f>
        <v/>
      </c>
      <c r="G3578" s="7">
        <f>tbl_Ventes[[#This Row],[Qté Vendue]] * IFERROR(_xlfn.XLOOKUP(tbl_Ventes[[#This Row],[Cde_Prdt]], tbl_Produits[Cde_Prdt], tbl_Produits[Prix Menu]), 0)</f>
        <v>0</v>
      </c>
      <c r="H3578" s="7">
        <f>IFERROR(_xlfn.XLOOKUP(tbl_Ventes[[#This Row],[Cde_Prdt]], tbl_Produits[Cde_Prdt], tbl_Produits[Coût Moyen Portion]), 0)</f>
        <v>0</v>
      </c>
      <c r="I3578" s="7">
        <f>tbl_Ventes[[#This Row],[Qté Vendue]] * tbl_Ventes[[#This Row],[CMP_par_portion]]</f>
        <v>0</v>
      </c>
      <c r="J3578" s="7">
        <f>tbl_Ventes[[#This Row],[CA ligne]] - tbl_Ventes[[#This Row],[Coût matière ligne]]</f>
        <v>0</v>
      </c>
      <c r="K3578" s="7" t="str">
        <f>IFERROR(INDEX(tbl_ProduitsRef[Famille], MATCH(tbl_Ventes[[#This Row],[Cde_Prdt]], tbl_Produits[Cde_Prdt], 0)), "")</f>
        <v/>
      </c>
    </row>
    <row r="3579" spans="1:11" x14ac:dyDescent="0.25">
      <c r="A3579" s="5"/>
      <c r="B3579" s="63" t="str">
        <f>IFERROR(TEXT(tbl_Ventes[[#This Row],[Date]],"mm-aaaa"),"")</f>
        <v>01-1900</v>
      </c>
      <c r="D3579" s="10" t="str">
        <f>IFERROR(
   INDEX(tbl_ProduitsRef[Cde_Prdt],MATCH(tbl_Ventes[[#This Row],[Produit]],tbl_ProduitsRef[Produit],0)),
   ""
)</f>
        <v/>
      </c>
      <c r="E3579" s="7">
        <v>0</v>
      </c>
      <c r="F3579" s="7" t="str">
        <f>IFERROR(
   INDEX(tbl_ProduitsRef[Prix Menu],MATCH(tbl_Ventes[[#This Row],[Produit]],tbl_ProduitsRef[Produit],0)),
   ""
)</f>
        <v/>
      </c>
      <c r="G3579" s="7">
        <f>tbl_Ventes[[#This Row],[Qté Vendue]] * IFERROR(_xlfn.XLOOKUP(tbl_Ventes[[#This Row],[Cde_Prdt]], tbl_Produits[Cde_Prdt], tbl_Produits[Prix Menu]), 0)</f>
        <v>0</v>
      </c>
      <c r="H3579" s="7">
        <f>IFERROR(_xlfn.XLOOKUP(tbl_Ventes[[#This Row],[Cde_Prdt]], tbl_Produits[Cde_Prdt], tbl_Produits[Coût Moyen Portion]), 0)</f>
        <v>0</v>
      </c>
      <c r="I3579" s="7">
        <f>tbl_Ventes[[#This Row],[Qté Vendue]] * tbl_Ventes[[#This Row],[CMP_par_portion]]</f>
        <v>0</v>
      </c>
      <c r="J3579" s="7">
        <f>tbl_Ventes[[#This Row],[CA ligne]] - tbl_Ventes[[#This Row],[Coût matière ligne]]</f>
        <v>0</v>
      </c>
      <c r="K3579" s="7" t="str">
        <f>IFERROR(INDEX(tbl_ProduitsRef[Famille], MATCH(tbl_Ventes[[#This Row],[Cde_Prdt]], tbl_Produits[Cde_Prdt], 0)), "")</f>
        <v/>
      </c>
    </row>
    <row r="3580" spans="1:11" x14ac:dyDescent="0.25">
      <c r="A3580" s="5"/>
      <c r="B3580" s="63" t="str">
        <f>IFERROR(TEXT(tbl_Ventes[[#This Row],[Date]],"mm-aaaa"),"")</f>
        <v>01-1900</v>
      </c>
      <c r="D3580" s="10" t="str">
        <f>IFERROR(
   INDEX(tbl_ProduitsRef[Cde_Prdt],MATCH(tbl_Ventes[[#This Row],[Produit]],tbl_ProduitsRef[Produit],0)),
   ""
)</f>
        <v/>
      </c>
      <c r="E3580" s="7">
        <v>0</v>
      </c>
      <c r="F3580" s="7" t="str">
        <f>IFERROR(
   INDEX(tbl_ProduitsRef[Prix Menu],MATCH(tbl_Ventes[[#This Row],[Produit]],tbl_ProduitsRef[Produit],0)),
   ""
)</f>
        <v/>
      </c>
      <c r="G3580" s="7">
        <f>tbl_Ventes[[#This Row],[Qté Vendue]] * IFERROR(_xlfn.XLOOKUP(tbl_Ventes[[#This Row],[Cde_Prdt]], tbl_Produits[Cde_Prdt], tbl_Produits[Prix Menu]), 0)</f>
        <v>0</v>
      </c>
      <c r="H3580" s="7">
        <f>IFERROR(_xlfn.XLOOKUP(tbl_Ventes[[#This Row],[Cde_Prdt]], tbl_Produits[Cde_Prdt], tbl_Produits[Coût Moyen Portion]), 0)</f>
        <v>0</v>
      </c>
      <c r="I3580" s="7">
        <f>tbl_Ventes[[#This Row],[Qté Vendue]] * tbl_Ventes[[#This Row],[CMP_par_portion]]</f>
        <v>0</v>
      </c>
      <c r="J3580" s="7">
        <f>tbl_Ventes[[#This Row],[CA ligne]] - tbl_Ventes[[#This Row],[Coût matière ligne]]</f>
        <v>0</v>
      </c>
      <c r="K3580" s="7" t="str">
        <f>IFERROR(INDEX(tbl_ProduitsRef[Famille], MATCH(tbl_Ventes[[#This Row],[Cde_Prdt]], tbl_Produits[Cde_Prdt], 0)), "")</f>
        <v/>
      </c>
    </row>
    <row r="3581" spans="1:11" x14ac:dyDescent="0.25">
      <c r="A3581" s="5"/>
      <c r="B3581" s="63" t="str">
        <f>IFERROR(TEXT(tbl_Ventes[[#This Row],[Date]],"mm-aaaa"),"")</f>
        <v>01-1900</v>
      </c>
      <c r="D3581" s="10" t="str">
        <f>IFERROR(
   INDEX(tbl_ProduitsRef[Cde_Prdt],MATCH(tbl_Ventes[[#This Row],[Produit]],tbl_ProduitsRef[Produit],0)),
   ""
)</f>
        <v/>
      </c>
      <c r="E3581" s="7">
        <v>0</v>
      </c>
      <c r="F3581" s="7" t="str">
        <f>IFERROR(
   INDEX(tbl_ProduitsRef[Prix Menu],MATCH(tbl_Ventes[[#This Row],[Produit]],tbl_ProduitsRef[Produit],0)),
   ""
)</f>
        <v/>
      </c>
      <c r="G3581" s="7">
        <f>tbl_Ventes[[#This Row],[Qté Vendue]] * IFERROR(_xlfn.XLOOKUP(tbl_Ventes[[#This Row],[Cde_Prdt]], tbl_Produits[Cde_Prdt], tbl_Produits[Prix Menu]), 0)</f>
        <v>0</v>
      </c>
      <c r="H3581" s="7">
        <f>IFERROR(_xlfn.XLOOKUP(tbl_Ventes[[#This Row],[Cde_Prdt]], tbl_Produits[Cde_Prdt], tbl_Produits[Coût Moyen Portion]), 0)</f>
        <v>0</v>
      </c>
      <c r="I3581" s="7">
        <f>tbl_Ventes[[#This Row],[Qté Vendue]] * tbl_Ventes[[#This Row],[CMP_par_portion]]</f>
        <v>0</v>
      </c>
      <c r="J3581" s="7">
        <f>tbl_Ventes[[#This Row],[CA ligne]] - tbl_Ventes[[#This Row],[Coût matière ligne]]</f>
        <v>0</v>
      </c>
      <c r="K3581" s="7" t="str">
        <f>IFERROR(INDEX(tbl_ProduitsRef[Famille], MATCH(tbl_Ventes[[#This Row],[Cde_Prdt]], tbl_Produits[Cde_Prdt], 0)), "")</f>
        <v/>
      </c>
    </row>
    <row r="3582" spans="1:11" x14ac:dyDescent="0.25">
      <c r="A3582" s="5"/>
      <c r="B3582" s="63" t="str">
        <f>IFERROR(TEXT(tbl_Ventes[[#This Row],[Date]],"mm-aaaa"),"")</f>
        <v>01-1900</v>
      </c>
      <c r="D3582" s="10" t="str">
        <f>IFERROR(
   INDEX(tbl_ProduitsRef[Cde_Prdt],MATCH(tbl_Ventes[[#This Row],[Produit]],tbl_ProduitsRef[Produit],0)),
   ""
)</f>
        <v/>
      </c>
      <c r="E3582" s="7">
        <v>0</v>
      </c>
      <c r="F3582" s="7" t="str">
        <f>IFERROR(
   INDEX(tbl_ProduitsRef[Prix Menu],MATCH(tbl_Ventes[[#This Row],[Produit]],tbl_ProduitsRef[Produit],0)),
   ""
)</f>
        <v/>
      </c>
      <c r="G3582" s="7">
        <f>tbl_Ventes[[#This Row],[Qté Vendue]] * IFERROR(_xlfn.XLOOKUP(tbl_Ventes[[#This Row],[Cde_Prdt]], tbl_Produits[Cde_Prdt], tbl_Produits[Prix Menu]), 0)</f>
        <v>0</v>
      </c>
      <c r="H3582" s="7">
        <f>IFERROR(_xlfn.XLOOKUP(tbl_Ventes[[#This Row],[Cde_Prdt]], tbl_Produits[Cde_Prdt], tbl_Produits[Coût Moyen Portion]), 0)</f>
        <v>0</v>
      </c>
      <c r="I3582" s="7">
        <f>tbl_Ventes[[#This Row],[Qté Vendue]] * tbl_Ventes[[#This Row],[CMP_par_portion]]</f>
        <v>0</v>
      </c>
      <c r="J3582" s="7">
        <f>tbl_Ventes[[#This Row],[CA ligne]] - tbl_Ventes[[#This Row],[Coût matière ligne]]</f>
        <v>0</v>
      </c>
      <c r="K3582" s="7" t="str">
        <f>IFERROR(INDEX(tbl_ProduitsRef[Famille], MATCH(tbl_Ventes[[#This Row],[Cde_Prdt]], tbl_Produits[Cde_Prdt], 0)), "")</f>
        <v/>
      </c>
    </row>
    <row r="3583" spans="1:11" x14ac:dyDescent="0.25">
      <c r="A3583" s="5"/>
      <c r="B3583" s="63" t="str">
        <f>IFERROR(TEXT(tbl_Ventes[[#This Row],[Date]],"mm-aaaa"),"")</f>
        <v>01-1900</v>
      </c>
      <c r="D3583" s="10" t="str">
        <f>IFERROR(
   INDEX(tbl_ProduitsRef[Cde_Prdt],MATCH(tbl_Ventes[[#This Row],[Produit]],tbl_ProduitsRef[Produit],0)),
   ""
)</f>
        <v/>
      </c>
      <c r="E3583" s="7">
        <v>0</v>
      </c>
      <c r="F3583" s="7" t="str">
        <f>IFERROR(
   INDEX(tbl_ProduitsRef[Prix Menu],MATCH(tbl_Ventes[[#This Row],[Produit]],tbl_ProduitsRef[Produit],0)),
   ""
)</f>
        <v/>
      </c>
      <c r="G3583" s="7">
        <f>tbl_Ventes[[#This Row],[Qté Vendue]] * IFERROR(_xlfn.XLOOKUP(tbl_Ventes[[#This Row],[Cde_Prdt]], tbl_Produits[Cde_Prdt], tbl_Produits[Prix Menu]), 0)</f>
        <v>0</v>
      </c>
      <c r="H3583" s="7">
        <f>IFERROR(_xlfn.XLOOKUP(tbl_Ventes[[#This Row],[Cde_Prdt]], tbl_Produits[Cde_Prdt], tbl_Produits[Coût Moyen Portion]), 0)</f>
        <v>0</v>
      </c>
      <c r="I3583" s="7">
        <f>tbl_Ventes[[#This Row],[Qté Vendue]] * tbl_Ventes[[#This Row],[CMP_par_portion]]</f>
        <v>0</v>
      </c>
      <c r="J3583" s="7">
        <f>tbl_Ventes[[#This Row],[CA ligne]] - tbl_Ventes[[#This Row],[Coût matière ligne]]</f>
        <v>0</v>
      </c>
      <c r="K3583" s="7" t="str">
        <f>IFERROR(INDEX(tbl_ProduitsRef[Famille], MATCH(tbl_Ventes[[#This Row],[Cde_Prdt]], tbl_Produits[Cde_Prdt], 0)), "")</f>
        <v/>
      </c>
    </row>
    <row r="3584" spans="1:11" x14ac:dyDescent="0.25">
      <c r="A3584" s="5"/>
      <c r="B3584" s="63" t="str">
        <f>IFERROR(TEXT(tbl_Ventes[[#This Row],[Date]],"mm-aaaa"),"")</f>
        <v>01-1900</v>
      </c>
      <c r="D3584" s="10" t="str">
        <f>IFERROR(
   INDEX(tbl_ProduitsRef[Cde_Prdt],MATCH(tbl_Ventes[[#This Row],[Produit]],tbl_ProduitsRef[Produit],0)),
   ""
)</f>
        <v/>
      </c>
      <c r="E3584" s="7">
        <v>0</v>
      </c>
      <c r="F3584" s="7" t="str">
        <f>IFERROR(
   INDEX(tbl_ProduitsRef[Prix Menu],MATCH(tbl_Ventes[[#This Row],[Produit]],tbl_ProduitsRef[Produit],0)),
   ""
)</f>
        <v/>
      </c>
      <c r="G3584" s="7">
        <f>tbl_Ventes[[#This Row],[Qté Vendue]] * IFERROR(_xlfn.XLOOKUP(tbl_Ventes[[#This Row],[Cde_Prdt]], tbl_Produits[Cde_Prdt], tbl_Produits[Prix Menu]), 0)</f>
        <v>0</v>
      </c>
      <c r="H3584" s="7">
        <f>IFERROR(_xlfn.XLOOKUP(tbl_Ventes[[#This Row],[Cde_Prdt]], tbl_Produits[Cde_Prdt], tbl_Produits[Coût Moyen Portion]), 0)</f>
        <v>0</v>
      </c>
      <c r="I3584" s="7">
        <f>tbl_Ventes[[#This Row],[Qté Vendue]] * tbl_Ventes[[#This Row],[CMP_par_portion]]</f>
        <v>0</v>
      </c>
      <c r="J3584" s="7">
        <f>tbl_Ventes[[#This Row],[CA ligne]] - tbl_Ventes[[#This Row],[Coût matière ligne]]</f>
        <v>0</v>
      </c>
      <c r="K3584" s="7" t="str">
        <f>IFERROR(INDEX(tbl_ProduitsRef[Famille], MATCH(tbl_Ventes[[#This Row],[Cde_Prdt]], tbl_Produits[Cde_Prdt], 0)), "")</f>
        <v/>
      </c>
    </row>
    <row r="3585" spans="1:11" x14ac:dyDescent="0.25">
      <c r="A3585" s="5"/>
      <c r="B3585" s="63" t="str">
        <f>IFERROR(TEXT(tbl_Ventes[[#This Row],[Date]],"mm-aaaa"),"")</f>
        <v>01-1900</v>
      </c>
      <c r="D3585" s="10" t="str">
        <f>IFERROR(
   INDEX(tbl_ProduitsRef[Cde_Prdt],MATCH(tbl_Ventes[[#This Row],[Produit]],tbl_ProduitsRef[Produit],0)),
   ""
)</f>
        <v/>
      </c>
      <c r="E3585" s="7">
        <v>0</v>
      </c>
      <c r="F3585" s="7" t="str">
        <f>IFERROR(
   INDEX(tbl_ProduitsRef[Prix Menu],MATCH(tbl_Ventes[[#This Row],[Produit]],tbl_ProduitsRef[Produit],0)),
   ""
)</f>
        <v/>
      </c>
      <c r="G3585" s="7">
        <f>tbl_Ventes[[#This Row],[Qté Vendue]] * IFERROR(_xlfn.XLOOKUP(tbl_Ventes[[#This Row],[Cde_Prdt]], tbl_Produits[Cde_Prdt], tbl_Produits[Prix Menu]), 0)</f>
        <v>0</v>
      </c>
      <c r="H3585" s="7">
        <f>IFERROR(_xlfn.XLOOKUP(tbl_Ventes[[#This Row],[Cde_Prdt]], tbl_Produits[Cde_Prdt], tbl_Produits[Coût Moyen Portion]), 0)</f>
        <v>0</v>
      </c>
      <c r="I3585" s="7">
        <f>tbl_Ventes[[#This Row],[Qté Vendue]] * tbl_Ventes[[#This Row],[CMP_par_portion]]</f>
        <v>0</v>
      </c>
      <c r="J3585" s="7">
        <f>tbl_Ventes[[#This Row],[CA ligne]] - tbl_Ventes[[#This Row],[Coût matière ligne]]</f>
        <v>0</v>
      </c>
      <c r="K3585" s="7" t="str">
        <f>IFERROR(INDEX(tbl_ProduitsRef[Famille], MATCH(tbl_Ventes[[#This Row],[Cde_Prdt]], tbl_Produits[Cde_Prdt], 0)), "")</f>
        <v/>
      </c>
    </row>
    <row r="3586" spans="1:11" x14ac:dyDescent="0.25">
      <c r="A3586" s="5"/>
      <c r="B3586" s="63" t="str">
        <f>IFERROR(TEXT(tbl_Ventes[[#This Row],[Date]],"mm-aaaa"),"")</f>
        <v>01-1900</v>
      </c>
      <c r="D3586" s="10" t="str">
        <f>IFERROR(
   INDEX(tbl_ProduitsRef[Cde_Prdt],MATCH(tbl_Ventes[[#This Row],[Produit]],tbl_ProduitsRef[Produit],0)),
   ""
)</f>
        <v/>
      </c>
      <c r="E3586" s="7">
        <v>0</v>
      </c>
      <c r="F3586" s="7" t="str">
        <f>IFERROR(
   INDEX(tbl_ProduitsRef[Prix Menu],MATCH(tbl_Ventes[[#This Row],[Produit]],tbl_ProduitsRef[Produit],0)),
   ""
)</f>
        <v/>
      </c>
      <c r="G3586" s="7">
        <f>tbl_Ventes[[#This Row],[Qté Vendue]] * IFERROR(_xlfn.XLOOKUP(tbl_Ventes[[#This Row],[Cde_Prdt]], tbl_Produits[Cde_Prdt], tbl_Produits[Prix Menu]), 0)</f>
        <v>0</v>
      </c>
      <c r="H3586" s="7">
        <f>IFERROR(_xlfn.XLOOKUP(tbl_Ventes[[#This Row],[Cde_Prdt]], tbl_Produits[Cde_Prdt], tbl_Produits[Coût Moyen Portion]), 0)</f>
        <v>0</v>
      </c>
      <c r="I3586" s="7">
        <f>tbl_Ventes[[#This Row],[Qté Vendue]] * tbl_Ventes[[#This Row],[CMP_par_portion]]</f>
        <v>0</v>
      </c>
      <c r="J3586" s="7">
        <f>tbl_Ventes[[#This Row],[CA ligne]] - tbl_Ventes[[#This Row],[Coût matière ligne]]</f>
        <v>0</v>
      </c>
      <c r="K3586" s="7" t="str">
        <f>IFERROR(INDEX(tbl_ProduitsRef[Famille], MATCH(tbl_Ventes[[#This Row],[Cde_Prdt]], tbl_Produits[Cde_Prdt], 0)), "")</f>
        <v/>
      </c>
    </row>
    <row r="3587" spans="1:11" x14ac:dyDescent="0.25">
      <c r="A3587" s="5"/>
      <c r="B3587" s="63" t="str">
        <f>IFERROR(TEXT(tbl_Ventes[[#This Row],[Date]],"mm-aaaa"),"")</f>
        <v>01-1900</v>
      </c>
      <c r="D3587" s="10" t="str">
        <f>IFERROR(
   INDEX(tbl_ProduitsRef[Cde_Prdt],MATCH(tbl_Ventes[[#This Row],[Produit]],tbl_ProduitsRef[Produit],0)),
   ""
)</f>
        <v/>
      </c>
      <c r="E3587" s="7">
        <v>0</v>
      </c>
      <c r="F3587" s="7" t="str">
        <f>IFERROR(
   INDEX(tbl_ProduitsRef[Prix Menu],MATCH(tbl_Ventes[[#This Row],[Produit]],tbl_ProduitsRef[Produit],0)),
   ""
)</f>
        <v/>
      </c>
      <c r="G3587" s="7">
        <f>tbl_Ventes[[#This Row],[Qté Vendue]] * IFERROR(_xlfn.XLOOKUP(tbl_Ventes[[#This Row],[Cde_Prdt]], tbl_Produits[Cde_Prdt], tbl_Produits[Prix Menu]), 0)</f>
        <v>0</v>
      </c>
      <c r="H3587" s="7">
        <f>IFERROR(_xlfn.XLOOKUP(tbl_Ventes[[#This Row],[Cde_Prdt]], tbl_Produits[Cde_Prdt], tbl_Produits[Coût Moyen Portion]), 0)</f>
        <v>0</v>
      </c>
      <c r="I3587" s="7">
        <f>tbl_Ventes[[#This Row],[Qté Vendue]] * tbl_Ventes[[#This Row],[CMP_par_portion]]</f>
        <v>0</v>
      </c>
      <c r="J3587" s="7">
        <f>tbl_Ventes[[#This Row],[CA ligne]] - tbl_Ventes[[#This Row],[Coût matière ligne]]</f>
        <v>0</v>
      </c>
      <c r="K3587" s="7" t="str">
        <f>IFERROR(INDEX(tbl_ProduitsRef[Famille], MATCH(tbl_Ventes[[#This Row],[Cde_Prdt]], tbl_Produits[Cde_Prdt], 0)), "")</f>
        <v/>
      </c>
    </row>
    <row r="3588" spans="1:11" x14ac:dyDescent="0.25">
      <c r="A3588" s="5"/>
      <c r="B3588" s="63" t="str">
        <f>IFERROR(TEXT(tbl_Ventes[[#This Row],[Date]],"mm-aaaa"),"")</f>
        <v>01-1900</v>
      </c>
      <c r="D3588" s="10" t="str">
        <f>IFERROR(
   INDEX(tbl_ProduitsRef[Cde_Prdt],MATCH(tbl_Ventes[[#This Row],[Produit]],tbl_ProduitsRef[Produit],0)),
   ""
)</f>
        <v/>
      </c>
      <c r="E3588" s="7">
        <v>0</v>
      </c>
      <c r="F3588" s="7" t="str">
        <f>IFERROR(
   INDEX(tbl_ProduitsRef[Prix Menu],MATCH(tbl_Ventes[[#This Row],[Produit]],tbl_ProduitsRef[Produit],0)),
   ""
)</f>
        <v/>
      </c>
      <c r="G3588" s="7">
        <f>tbl_Ventes[[#This Row],[Qté Vendue]] * IFERROR(_xlfn.XLOOKUP(tbl_Ventes[[#This Row],[Cde_Prdt]], tbl_Produits[Cde_Prdt], tbl_Produits[Prix Menu]), 0)</f>
        <v>0</v>
      </c>
      <c r="H3588" s="7">
        <f>IFERROR(_xlfn.XLOOKUP(tbl_Ventes[[#This Row],[Cde_Prdt]], tbl_Produits[Cde_Prdt], tbl_Produits[Coût Moyen Portion]), 0)</f>
        <v>0</v>
      </c>
      <c r="I3588" s="7">
        <f>tbl_Ventes[[#This Row],[Qté Vendue]] * tbl_Ventes[[#This Row],[CMP_par_portion]]</f>
        <v>0</v>
      </c>
      <c r="J3588" s="7">
        <f>tbl_Ventes[[#This Row],[CA ligne]] - tbl_Ventes[[#This Row],[Coût matière ligne]]</f>
        <v>0</v>
      </c>
      <c r="K3588" s="7" t="str">
        <f>IFERROR(INDEX(tbl_ProduitsRef[Famille], MATCH(tbl_Ventes[[#This Row],[Cde_Prdt]], tbl_Produits[Cde_Prdt], 0)), "")</f>
        <v/>
      </c>
    </row>
    <row r="3589" spans="1:11" x14ac:dyDescent="0.25">
      <c r="A3589" s="5"/>
      <c r="B3589" s="63" t="str">
        <f>IFERROR(TEXT(tbl_Ventes[[#This Row],[Date]],"mm-aaaa"),"")</f>
        <v>01-1900</v>
      </c>
      <c r="D3589" s="10" t="str">
        <f>IFERROR(
   INDEX(tbl_ProduitsRef[Cde_Prdt],MATCH(tbl_Ventes[[#This Row],[Produit]],tbl_ProduitsRef[Produit],0)),
   ""
)</f>
        <v/>
      </c>
      <c r="E3589" s="7">
        <v>0</v>
      </c>
      <c r="F3589" s="7" t="str">
        <f>IFERROR(
   INDEX(tbl_ProduitsRef[Prix Menu],MATCH(tbl_Ventes[[#This Row],[Produit]],tbl_ProduitsRef[Produit],0)),
   ""
)</f>
        <v/>
      </c>
      <c r="G3589" s="7">
        <f>tbl_Ventes[[#This Row],[Qté Vendue]] * IFERROR(_xlfn.XLOOKUP(tbl_Ventes[[#This Row],[Cde_Prdt]], tbl_Produits[Cde_Prdt], tbl_Produits[Prix Menu]), 0)</f>
        <v>0</v>
      </c>
      <c r="H3589" s="7">
        <f>IFERROR(_xlfn.XLOOKUP(tbl_Ventes[[#This Row],[Cde_Prdt]], tbl_Produits[Cde_Prdt], tbl_Produits[Coût Moyen Portion]), 0)</f>
        <v>0</v>
      </c>
      <c r="I3589" s="7">
        <f>tbl_Ventes[[#This Row],[Qté Vendue]] * tbl_Ventes[[#This Row],[CMP_par_portion]]</f>
        <v>0</v>
      </c>
      <c r="J3589" s="7">
        <f>tbl_Ventes[[#This Row],[CA ligne]] - tbl_Ventes[[#This Row],[Coût matière ligne]]</f>
        <v>0</v>
      </c>
      <c r="K3589" s="7" t="str">
        <f>IFERROR(INDEX(tbl_ProduitsRef[Famille], MATCH(tbl_Ventes[[#This Row],[Cde_Prdt]], tbl_Produits[Cde_Prdt], 0)), "")</f>
        <v/>
      </c>
    </row>
    <row r="3590" spans="1:11" x14ac:dyDescent="0.25">
      <c r="A3590" s="5"/>
      <c r="B3590" s="63" t="str">
        <f>IFERROR(TEXT(tbl_Ventes[[#This Row],[Date]],"mm-aaaa"),"")</f>
        <v>01-1900</v>
      </c>
      <c r="D3590" s="10" t="str">
        <f>IFERROR(
   INDEX(tbl_ProduitsRef[Cde_Prdt],MATCH(tbl_Ventes[[#This Row],[Produit]],tbl_ProduitsRef[Produit],0)),
   ""
)</f>
        <v/>
      </c>
      <c r="E3590" s="7">
        <v>0</v>
      </c>
      <c r="F3590" s="7" t="str">
        <f>IFERROR(
   INDEX(tbl_ProduitsRef[Prix Menu],MATCH(tbl_Ventes[[#This Row],[Produit]],tbl_ProduitsRef[Produit],0)),
   ""
)</f>
        <v/>
      </c>
      <c r="G3590" s="7">
        <f>tbl_Ventes[[#This Row],[Qté Vendue]] * IFERROR(_xlfn.XLOOKUP(tbl_Ventes[[#This Row],[Cde_Prdt]], tbl_Produits[Cde_Prdt], tbl_Produits[Prix Menu]), 0)</f>
        <v>0</v>
      </c>
      <c r="H3590" s="7">
        <f>IFERROR(_xlfn.XLOOKUP(tbl_Ventes[[#This Row],[Cde_Prdt]], tbl_Produits[Cde_Prdt], tbl_Produits[Coût Moyen Portion]), 0)</f>
        <v>0</v>
      </c>
      <c r="I3590" s="7">
        <f>tbl_Ventes[[#This Row],[Qté Vendue]] * tbl_Ventes[[#This Row],[CMP_par_portion]]</f>
        <v>0</v>
      </c>
      <c r="J3590" s="7">
        <f>tbl_Ventes[[#This Row],[CA ligne]] - tbl_Ventes[[#This Row],[Coût matière ligne]]</f>
        <v>0</v>
      </c>
      <c r="K3590" s="7" t="str">
        <f>IFERROR(INDEX(tbl_ProduitsRef[Famille], MATCH(tbl_Ventes[[#This Row],[Cde_Prdt]], tbl_Produits[Cde_Prdt], 0)), "")</f>
        <v/>
      </c>
    </row>
    <row r="3591" spans="1:11" x14ac:dyDescent="0.25">
      <c r="A3591" s="5"/>
      <c r="B3591" s="63" t="str">
        <f>IFERROR(TEXT(tbl_Ventes[[#This Row],[Date]],"mm-aaaa"),"")</f>
        <v>01-1900</v>
      </c>
      <c r="D3591" s="10" t="str">
        <f>IFERROR(
   INDEX(tbl_ProduitsRef[Cde_Prdt],MATCH(tbl_Ventes[[#This Row],[Produit]],tbl_ProduitsRef[Produit],0)),
   ""
)</f>
        <v/>
      </c>
      <c r="E3591" s="7">
        <v>0</v>
      </c>
      <c r="F3591" s="7" t="str">
        <f>IFERROR(
   INDEX(tbl_ProduitsRef[Prix Menu],MATCH(tbl_Ventes[[#This Row],[Produit]],tbl_ProduitsRef[Produit],0)),
   ""
)</f>
        <v/>
      </c>
      <c r="G3591" s="7">
        <f>tbl_Ventes[[#This Row],[Qté Vendue]] * IFERROR(_xlfn.XLOOKUP(tbl_Ventes[[#This Row],[Cde_Prdt]], tbl_Produits[Cde_Prdt], tbl_Produits[Prix Menu]), 0)</f>
        <v>0</v>
      </c>
      <c r="H3591" s="7">
        <f>IFERROR(_xlfn.XLOOKUP(tbl_Ventes[[#This Row],[Cde_Prdt]], tbl_Produits[Cde_Prdt], tbl_Produits[Coût Moyen Portion]), 0)</f>
        <v>0</v>
      </c>
      <c r="I3591" s="7">
        <f>tbl_Ventes[[#This Row],[Qté Vendue]] * tbl_Ventes[[#This Row],[CMP_par_portion]]</f>
        <v>0</v>
      </c>
      <c r="J3591" s="7">
        <f>tbl_Ventes[[#This Row],[CA ligne]] - tbl_Ventes[[#This Row],[Coût matière ligne]]</f>
        <v>0</v>
      </c>
      <c r="K3591" s="7" t="str">
        <f>IFERROR(INDEX(tbl_ProduitsRef[Famille], MATCH(tbl_Ventes[[#This Row],[Cde_Prdt]], tbl_Produits[Cde_Prdt], 0)), "")</f>
        <v/>
      </c>
    </row>
    <row r="3592" spans="1:11" x14ac:dyDescent="0.25">
      <c r="A3592" s="5"/>
      <c r="B3592" s="63" t="str">
        <f>IFERROR(TEXT(tbl_Ventes[[#This Row],[Date]],"mm-aaaa"),"")</f>
        <v>01-1900</v>
      </c>
      <c r="D3592" s="10" t="str">
        <f>IFERROR(
   INDEX(tbl_ProduitsRef[Cde_Prdt],MATCH(tbl_Ventes[[#This Row],[Produit]],tbl_ProduitsRef[Produit],0)),
   ""
)</f>
        <v/>
      </c>
      <c r="E3592" s="7">
        <v>0</v>
      </c>
      <c r="F3592" s="7" t="str">
        <f>IFERROR(
   INDEX(tbl_ProduitsRef[Prix Menu],MATCH(tbl_Ventes[[#This Row],[Produit]],tbl_ProduitsRef[Produit],0)),
   ""
)</f>
        <v/>
      </c>
      <c r="G3592" s="7">
        <f>tbl_Ventes[[#This Row],[Qté Vendue]] * IFERROR(_xlfn.XLOOKUP(tbl_Ventes[[#This Row],[Cde_Prdt]], tbl_Produits[Cde_Prdt], tbl_Produits[Prix Menu]), 0)</f>
        <v>0</v>
      </c>
      <c r="H3592" s="7">
        <f>IFERROR(_xlfn.XLOOKUP(tbl_Ventes[[#This Row],[Cde_Prdt]], tbl_Produits[Cde_Prdt], tbl_Produits[Coût Moyen Portion]), 0)</f>
        <v>0</v>
      </c>
      <c r="I3592" s="7">
        <f>tbl_Ventes[[#This Row],[Qté Vendue]] * tbl_Ventes[[#This Row],[CMP_par_portion]]</f>
        <v>0</v>
      </c>
      <c r="J3592" s="7">
        <f>tbl_Ventes[[#This Row],[CA ligne]] - tbl_Ventes[[#This Row],[Coût matière ligne]]</f>
        <v>0</v>
      </c>
      <c r="K3592" s="7" t="str">
        <f>IFERROR(INDEX(tbl_ProduitsRef[Famille], MATCH(tbl_Ventes[[#This Row],[Cde_Prdt]], tbl_Produits[Cde_Prdt], 0)), "")</f>
        <v/>
      </c>
    </row>
    <row r="3593" spans="1:11" x14ac:dyDescent="0.25">
      <c r="A3593" s="5"/>
      <c r="B3593" s="63" t="str">
        <f>IFERROR(TEXT(tbl_Ventes[[#This Row],[Date]],"mm-aaaa"),"")</f>
        <v>01-1900</v>
      </c>
      <c r="D3593" s="10" t="str">
        <f>IFERROR(
   INDEX(tbl_ProduitsRef[Cde_Prdt],MATCH(tbl_Ventes[[#This Row],[Produit]],tbl_ProduitsRef[Produit],0)),
   ""
)</f>
        <v/>
      </c>
      <c r="E3593" s="7">
        <v>0</v>
      </c>
      <c r="F3593" s="7" t="str">
        <f>IFERROR(
   INDEX(tbl_ProduitsRef[Prix Menu],MATCH(tbl_Ventes[[#This Row],[Produit]],tbl_ProduitsRef[Produit],0)),
   ""
)</f>
        <v/>
      </c>
      <c r="G3593" s="7">
        <f>tbl_Ventes[[#This Row],[Qté Vendue]] * IFERROR(_xlfn.XLOOKUP(tbl_Ventes[[#This Row],[Cde_Prdt]], tbl_Produits[Cde_Prdt], tbl_Produits[Prix Menu]), 0)</f>
        <v>0</v>
      </c>
      <c r="H3593" s="7">
        <f>IFERROR(_xlfn.XLOOKUP(tbl_Ventes[[#This Row],[Cde_Prdt]], tbl_Produits[Cde_Prdt], tbl_Produits[Coût Moyen Portion]), 0)</f>
        <v>0</v>
      </c>
      <c r="I3593" s="7">
        <f>tbl_Ventes[[#This Row],[Qté Vendue]] * tbl_Ventes[[#This Row],[CMP_par_portion]]</f>
        <v>0</v>
      </c>
      <c r="J3593" s="7">
        <f>tbl_Ventes[[#This Row],[CA ligne]] - tbl_Ventes[[#This Row],[Coût matière ligne]]</f>
        <v>0</v>
      </c>
      <c r="K3593" s="7" t="str">
        <f>IFERROR(INDEX(tbl_ProduitsRef[Famille], MATCH(tbl_Ventes[[#This Row],[Cde_Prdt]], tbl_Produits[Cde_Prdt], 0)), "")</f>
        <v/>
      </c>
    </row>
    <row r="3594" spans="1:11" x14ac:dyDescent="0.25">
      <c r="A3594" s="5"/>
      <c r="B3594" s="63" t="str">
        <f>IFERROR(TEXT(tbl_Ventes[[#This Row],[Date]],"mm-aaaa"),"")</f>
        <v>01-1900</v>
      </c>
      <c r="D3594" s="10" t="str">
        <f>IFERROR(
   INDEX(tbl_ProduitsRef[Cde_Prdt],MATCH(tbl_Ventes[[#This Row],[Produit]],tbl_ProduitsRef[Produit],0)),
   ""
)</f>
        <v/>
      </c>
      <c r="E3594" s="7">
        <v>0</v>
      </c>
      <c r="F3594" s="7" t="str">
        <f>IFERROR(
   INDEX(tbl_ProduitsRef[Prix Menu],MATCH(tbl_Ventes[[#This Row],[Produit]],tbl_ProduitsRef[Produit],0)),
   ""
)</f>
        <v/>
      </c>
      <c r="G3594" s="7">
        <f>tbl_Ventes[[#This Row],[Qté Vendue]] * IFERROR(_xlfn.XLOOKUP(tbl_Ventes[[#This Row],[Cde_Prdt]], tbl_Produits[Cde_Prdt], tbl_Produits[Prix Menu]), 0)</f>
        <v>0</v>
      </c>
      <c r="H3594" s="7">
        <f>IFERROR(_xlfn.XLOOKUP(tbl_Ventes[[#This Row],[Cde_Prdt]], tbl_Produits[Cde_Prdt], tbl_Produits[Coût Moyen Portion]), 0)</f>
        <v>0</v>
      </c>
      <c r="I3594" s="7">
        <f>tbl_Ventes[[#This Row],[Qté Vendue]] * tbl_Ventes[[#This Row],[CMP_par_portion]]</f>
        <v>0</v>
      </c>
      <c r="J3594" s="7">
        <f>tbl_Ventes[[#This Row],[CA ligne]] - tbl_Ventes[[#This Row],[Coût matière ligne]]</f>
        <v>0</v>
      </c>
      <c r="K3594" s="7" t="str">
        <f>IFERROR(INDEX(tbl_ProduitsRef[Famille], MATCH(tbl_Ventes[[#This Row],[Cde_Prdt]], tbl_Produits[Cde_Prdt], 0)), "")</f>
        <v/>
      </c>
    </row>
    <row r="3595" spans="1:11" x14ac:dyDescent="0.25">
      <c r="A3595" s="5"/>
      <c r="B3595" s="63" t="str">
        <f>IFERROR(TEXT(tbl_Ventes[[#This Row],[Date]],"mm-aaaa"),"")</f>
        <v>01-1900</v>
      </c>
      <c r="D3595" s="10" t="str">
        <f>IFERROR(
   INDEX(tbl_ProduitsRef[Cde_Prdt],MATCH(tbl_Ventes[[#This Row],[Produit]],tbl_ProduitsRef[Produit],0)),
   ""
)</f>
        <v/>
      </c>
      <c r="E3595" s="7">
        <v>0</v>
      </c>
      <c r="F3595" s="7" t="str">
        <f>IFERROR(
   INDEX(tbl_ProduitsRef[Prix Menu],MATCH(tbl_Ventes[[#This Row],[Produit]],tbl_ProduitsRef[Produit],0)),
   ""
)</f>
        <v/>
      </c>
      <c r="G3595" s="7">
        <f>tbl_Ventes[[#This Row],[Qté Vendue]] * IFERROR(_xlfn.XLOOKUP(tbl_Ventes[[#This Row],[Cde_Prdt]], tbl_Produits[Cde_Prdt], tbl_Produits[Prix Menu]), 0)</f>
        <v>0</v>
      </c>
      <c r="H3595" s="7">
        <f>IFERROR(_xlfn.XLOOKUP(tbl_Ventes[[#This Row],[Cde_Prdt]], tbl_Produits[Cde_Prdt], tbl_Produits[Coût Moyen Portion]), 0)</f>
        <v>0</v>
      </c>
      <c r="I3595" s="7">
        <f>tbl_Ventes[[#This Row],[Qté Vendue]] * tbl_Ventes[[#This Row],[CMP_par_portion]]</f>
        <v>0</v>
      </c>
      <c r="J3595" s="7">
        <f>tbl_Ventes[[#This Row],[CA ligne]] - tbl_Ventes[[#This Row],[Coût matière ligne]]</f>
        <v>0</v>
      </c>
      <c r="K3595" s="7" t="str">
        <f>IFERROR(INDEX(tbl_ProduitsRef[Famille], MATCH(tbl_Ventes[[#This Row],[Cde_Prdt]], tbl_Produits[Cde_Prdt], 0)), "")</f>
        <v/>
      </c>
    </row>
    <row r="3596" spans="1:11" x14ac:dyDescent="0.25">
      <c r="A3596" s="5"/>
      <c r="B3596" s="63" t="str">
        <f>IFERROR(TEXT(tbl_Ventes[[#This Row],[Date]],"mm-aaaa"),"")</f>
        <v>01-1900</v>
      </c>
      <c r="D3596" s="10" t="str">
        <f>IFERROR(
   INDEX(tbl_ProduitsRef[Cde_Prdt],MATCH(tbl_Ventes[[#This Row],[Produit]],tbl_ProduitsRef[Produit],0)),
   ""
)</f>
        <v/>
      </c>
      <c r="E3596" s="7">
        <v>0</v>
      </c>
      <c r="F3596" s="7" t="str">
        <f>IFERROR(
   INDEX(tbl_ProduitsRef[Prix Menu],MATCH(tbl_Ventes[[#This Row],[Produit]],tbl_ProduitsRef[Produit],0)),
   ""
)</f>
        <v/>
      </c>
      <c r="G3596" s="7">
        <f>tbl_Ventes[[#This Row],[Qté Vendue]] * IFERROR(_xlfn.XLOOKUP(tbl_Ventes[[#This Row],[Cde_Prdt]], tbl_Produits[Cde_Prdt], tbl_Produits[Prix Menu]), 0)</f>
        <v>0</v>
      </c>
      <c r="H3596" s="7">
        <f>IFERROR(_xlfn.XLOOKUP(tbl_Ventes[[#This Row],[Cde_Prdt]], tbl_Produits[Cde_Prdt], tbl_Produits[Coût Moyen Portion]), 0)</f>
        <v>0</v>
      </c>
      <c r="I3596" s="7">
        <f>tbl_Ventes[[#This Row],[Qté Vendue]] * tbl_Ventes[[#This Row],[CMP_par_portion]]</f>
        <v>0</v>
      </c>
      <c r="J3596" s="7">
        <f>tbl_Ventes[[#This Row],[CA ligne]] - tbl_Ventes[[#This Row],[Coût matière ligne]]</f>
        <v>0</v>
      </c>
      <c r="K3596" s="7" t="str">
        <f>IFERROR(INDEX(tbl_ProduitsRef[Famille], MATCH(tbl_Ventes[[#This Row],[Cde_Prdt]], tbl_Produits[Cde_Prdt], 0)), "")</f>
        <v/>
      </c>
    </row>
    <row r="3597" spans="1:11" x14ac:dyDescent="0.25">
      <c r="A3597" s="5"/>
      <c r="B3597" s="63" t="str">
        <f>IFERROR(TEXT(tbl_Ventes[[#This Row],[Date]],"mm-aaaa"),"")</f>
        <v>01-1900</v>
      </c>
      <c r="D3597" s="10" t="str">
        <f>IFERROR(
   INDEX(tbl_ProduitsRef[Cde_Prdt],MATCH(tbl_Ventes[[#This Row],[Produit]],tbl_ProduitsRef[Produit],0)),
   ""
)</f>
        <v/>
      </c>
      <c r="E3597" s="7">
        <v>0</v>
      </c>
      <c r="F3597" s="7" t="str">
        <f>IFERROR(
   INDEX(tbl_ProduitsRef[Prix Menu],MATCH(tbl_Ventes[[#This Row],[Produit]],tbl_ProduitsRef[Produit],0)),
   ""
)</f>
        <v/>
      </c>
      <c r="G3597" s="7">
        <f>tbl_Ventes[[#This Row],[Qté Vendue]] * IFERROR(_xlfn.XLOOKUP(tbl_Ventes[[#This Row],[Cde_Prdt]], tbl_Produits[Cde_Prdt], tbl_Produits[Prix Menu]), 0)</f>
        <v>0</v>
      </c>
      <c r="H3597" s="7">
        <f>IFERROR(_xlfn.XLOOKUP(tbl_Ventes[[#This Row],[Cde_Prdt]], tbl_Produits[Cde_Prdt], tbl_Produits[Coût Moyen Portion]), 0)</f>
        <v>0</v>
      </c>
      <c r="I3597" s="7">
        <f>tbl_Ventes[[#This Row],[Qté Vendue]] * tbl_Ventes[[#This Row],[CMP_par_portion]]</f>
        <v>0</v>
      </c>
      <c r="J3597" s="7">
        <f>tbl_Ventes[[#This Row],[CA ligne]] - tbl_Ventes[[#This Row],[Coût matière ligne]]</f>
        <v>0</v>
      </c>
      <c r="K3597" s="7" t="str">
        <f>IFERROR(INDEX(tbl_ProduitsRef[Famille], MATCH(tbl_Ventes[[#This Row],[Cde_Prdt]], tbl_Produits[Cde_Prdt], 0)), "")</f>
        <v/>
      </c>
    </row>
    <row r="3598" spans="1:11" x14ac:dyDescent="0.25">
      <c r="A3598" s="5"/>
      <c r="B3598" s="63" t="str">
        <f>IFERROR(TEXT(tbl_Ventes[[#This Row],[Date]],"mm-aaaa"),"")</f>
        <v>01-1900</v>
      </c>
      <c r="D3598" s="10" t="str">
        <f>IFERROR(
   INDEX(tbl_ProduitsRef[Cde_Prdt],MATCH(tbl_Ventes[[#This Row],[Produit]],tbl_ProduitsRef[Produit],0)),
   ""
)</f>
        <v/>
      </c>
      <c r="E3598" s="7">
        <v>0</v>
      </c>
      <c r="F3598" s="7" t="str">
        <f>IFERROR(
   INDEX(tbl_ProduitsRef[Prix Menu],MATCH(tbl_Ventes[[#This Row],[Produit]],tbl_ProduitsRef[Produit],0)),
   ""
)</f>
        <v/>
      </c>
      <c r="G3598" s="7">
        <f>tbl_Ventes[[#This Row],[Qté Vendue]] * IFERROR(_xlfn.XLOOKUP(tbl_Ventes[[#This Row],[Cde_Prdt]], tbl_Produits[Cde_Prdt], tbl_Produits[Prix Menu]), 0)</f>
        <v>0</v>
      </c>
      <c r="H3598" s="7">
        <f>IFERROR(_xlfn.XLOOKUP(tbl_Ventes[[#This Row],[Cde_Prdt]], tbl_Produits[Cde_Prdt], tbl_Produits[Coût Moyen Portion]), 0)</f>
        <v>0</v>
      </c>
      <c r="I3598" s="7">
        <f>tbl_Ventes[[#This Row],[Qté Vendue]] * tbl_Ventes[[#This Row],[CMP_par_portion]]</f>
        <v>0</v>
      </c>
      <c r="J3598" s="7">
        <f>tbl_Ventes[[#This Row],[CA ligne]] - tbl_Ventes[[#This Row],[Coût matière ligne]]</f>
        <v>0</v>
      </c>
      <c r="K3598" s="7" t="str">
        <f>IFERROR(INDEX(tbl_ProduitsRef[Famille], MATCH(tbl_Ventes[[#This Row],[Cde_Prdt]], tbl_Produits[Cde_Prdt], 0)), "")</f>
        <v/>
      </c>
    </row>
    <row r="3599" spans="1:11" x14ac:dyDescent="0.25">
      <c r="A3599" s="5"/>
      <c r="B3599" s="63" t="str">
        <f>IFERROR(TEXT(tbl_Ventes[[#This Row],[Date]],"mm-aaaa"),"")</f>
        <v>01-1900</v>
      </c>
      <c r="D3599" s="10" t="str">
        <f>IFERROR(
   INDEX(tbl_ProduitsRef[Cde_Prdt],MATCH(tbl_Ventes[[#This Row],[Produit]],tbl_ProduitsRef[Produit],0)),
   ""
)</f>
        <v/>
      </c>
      <c r="E3599" s="7">
        <v>0</v>
      </c>
      <c r="F3599" s="7" t="str">
        <f>IFERROR(
   INDEX(tbl_ProduitsRef[Prix Menu],MATCH(tbl_Ventes[[#This Row],[Produit]],tbl_ProduitsRef[Produit],0)),
   ""
)</f>
        <v/>
      </c>
      <c r="G3599" s="7">
        <f>tbl_Ventes[[#This Row],[Qté Vendue]] * IFERROR(_xlfn.XLOOKUP(tbl_Ventes[[#This Row],[Cde_Prdt]], tbl_Produits[Cde_Prdt], tbl_Produits[Prix Menu]), 0)</f>
        <v>0</v>
      </c>
      <c r="H3599" s="7">
        <f>IFERROR(_xlfn.XLOOKUP(tbl_Ventes[[#This Row],[Cde_Prdt]], tbl_Produits[Cde_Prdt], tbl_Produits[Coût Moyen Portion]), 0)</f>
        <v>0</v>
      </c>
      <c r="I3599" s="7">
        <f>tbl_Ventes[[#This Row],[Qté Vendue]] * tbl_Ventes[[#This Row],[CMP_par_portion]]</f>
        <v>0</v>
      </c>
      <c r="J3599" s="7">
        <f>tbl_Ventes[[#This Row],[CA ligne]] - tbl_Ventes[[#This Row],[Coût matière ligne]]</f>
        <v>0</v>
      </c>
      <c r="K3599" s="7" t="str">
        <f>IFERROR(INDEX(tbl_ProduitsRef[Famille], MATCH(tbl_Ventes[[#This Row],[Cde_Prdt]], tbl_Produits[Cde_Prdt], 0)), "")</f>
        <v/>
      </c>
    </row>
    <row r="3600" spans="1:11" x14ac:dyDescent="0.25">
      <c r="A3600" s="5"/>
      <c r="B3600" s="63" t="str">
        <f>IFERROR(TEXT(tbl_Ventes[[#This Row],[Date]],"mm-aaaa"),"")</f>
        <v>01-1900</v>
      </c>
      <c r="D3600" s="10" t="str">
        <f>IFERROR(
   INDEX(tbl_ProduitsRef[Cde_Prdt],MATCH(tbl_Ventes[[#This Row],[Produit]],tbl_ProduitsRef[Produit],0)),
   ""
)</f>
        <v/>
      </c>
      <c r="E3600" s="7">
        <v>0</v>
      </c>
      <c r="F3600" s="7" t="str">
        <f>IFERROR(
   INDEX(tbl_ProduitsRef[Prix Menu],MATCH(tbl_Ventes[[#This Row],[Produit]],tbl_ProduitsRef[Produit],0)),
   ""
)</f>
        <v/>
      </c>
      <c r="G3600" s="7">
        <f>tbl_Ventes[[#This Row],[Qté Vendue]] * IFERROR(_xlfn.XLOOKUP(tbl_Ventes[[#This Row],[Cde_Prdt]], tbl_Produits[Cde_Prdt], tbl_Produits[Prix Menu]), 0)</f>
        <v>0</v>
      </c>
      <c r="H3600" s="7">
        <f>IFERROR(_xlfn.XLOOKUP(tbl_Ventes[[#This Row],[Cde_Prdt]], tbl_Produits[Cde_Prdt], tbl_Produits[Coût Moyen Portion]), 0)</f>
        <v>0</v>
      </c>
      <c r="I3600" s="7">
        <f>tbl_Ventes[[#This Row],[Qté Vendue]] * tbl_Ventes[[#This Row],[CMP_par_portion]]</f>
        <v>0</v>
      </c>
      <c r="J3600" s="7">
        <f>tbl_Ventes[[#This Row],[CA ligne]] - tbl_Ventes[[#This Row],[Coût matière ligne]]</f>
        <v>0</v>
      </c>
      <c r="K3600" s="7" t="str">
        <f>IFERROR(INDEX(tbl_ProduitsRef[Famille], MATCH(tbl_Ventes[[#This Row],[Cde_Prdt]], tbl_Produits[Cde_Prdt], 0)), "")</f>
        <v/>
      </c>
    </row>
    <row r="3601" spans="1:11" x14ac:dyDescent="0.25">
      <c r="A3601" s="5"/>
      <c r="B3601" s="63" t="str">
        <f>IFERROR(TEXT(tbl_Ventes[[#This Row],[Date]],"mm-aaaa"),"")</f>
        <v>01-1900</v>
      </c>
      <c r="D3601" s="10" t="str">
        <f>IFERROR(
   INDEX(tbl_ProduitsRef[Cde_Prdt],MATCH(tbl_Ventes[[#This Row],[Produit]],tbl_ProduitsRef[Produit],0)),
   ""
)</f>
        <v/>
      </c>
      <c r="E3601" s="7">
        <v>0</v>
      </c>
      <c r="F3601" s="7" t="str">
        <f>IFERROR(
   INDEX(tbl_ProduitsRef[Prix Menu],MATCH(tbl_Ventes[[#This Row],[Produit]],tbl_ProduitsRef[Produit],0)),
   ""
)</f>
        <v/>
      </c>
      <c r="G3601" s="7">
        <f>tbl_Ventes[[#This Row],[Qté Vendue]] * IFERROR(_xlfn.XLOOKUP(tbl_Ventes[[#This Row],[Cde_Prdt]], tbl_Produits[Cde_Prdt], tbl_Produits[Prix Menu]), 0)</f>
        <v>0</v>
      </c>
      <c r="H3601" s="7">
        <f>IFERROR(_xlfn.XLOOKUP(tbl_Ventes[[#This Row],[Cde_Prdt]], tbl_Produits[Cde_Prdt], tbl_Produits[Coût Moyen Portion]), 0)</f>
        <v>0</v>
      </c>
      <c r="I3601" s="7">
        <f>tbl_Ventes[[#This Row],[Qté Vendue]] * tbl_Ventes[[#This Row],[CMP_par_portion]]</f>
        <v>0</v>
      </c>
      <c r="J3601" s="7">
        <f>tbl_Ventes[[#This Row],[CA ligne]] - tbl_Ventes[[#This Row],[Coût matière ligne]]</f>
        <v>0</v>
      </c>
      <c r="K3601" s="7" t="str">
        <f>IFERROR(INDEX(tbl_ProduitsRef[Famille], MATCH(tbl_Ventes[[#This Row],[Cde_Prdt]], tbl_Produits[Cde_Prdt], 0)), "")</f>
        <v/>
      </c>
    </row>
    <row r="3602" spans="1:11" x14ac:dyDescent="0.25">
      <c r="A3602" s="5"/>
      <c r="B3602" s="63" t="str">
        <f>IFERROR(TEXT(tbl_Ventes[[#This Row],[Date]],"mm-aaaa"),"")</f>
        <v>01-1900</v>
      </c>
      <c r="D3602" s="10" t="str">
        <f>IFERROR(
   INDEX(tbl_ProduitsRef[Cde_Prdt],MATCH(tbl_Ventes[[#This Row],[Produit]],tbl_ProduitsRef[Produit],0)),
   ""
)</f>
        <v/>
      </c>
      <c r="E3602" s="7">
        <v>0</v>
      </c>
      <c r="F3602" s="7" t="str">
        <f>IFERROR(
   INDEX(tbl_ProduitsRef[Prix Menu],MATCH(tbl_Ventes[[#This Row],[Produit]],tbl_ProduitsRef[Produit],0)),
   ""
)</f>
        <v/>
      </c>
      <c r="G3602" s="7">
        <f>tbl_Ventes[[#This Row],[Qté Vendue]] * IFERROR(_xlfn.XLOOKUP(tbl_Ventes[[#This Row],[Cde_Prdt]], tbl_Produits[Cde_Prdt], tbl_Produits[Prix Menu]), 0)</f>
        <v>0</v>
      </c>
      <c r="H3602" s="7">
        <f>IFERROR(_xlfn.XLOOKUP(tbl_Ventes[[#This Row],[Cde_Prdt]], tbl_Produits[Cde_Prdt], tbl_Produits[Coût Moyen Portion]), 0)</f>
        <v>0</v>
      </c>
      <c r="I3602" s="7">
        <f>tbl_Ventes[[#This Row],[Qté Vendue]] * tbl_Ventes[[#This Row],[CMP_par_portion]]</f>
        <v>0</v>
      </c>
      <c r="J3602" s="7">
        <f>tbl_Ventes[[#This Row],[CA ligne]] - tbl_Ventes[[#This Row],[Coût matière ligne]]</f>
        <v>0</v>
      </c>
      <c r="K3602" s="7" t="str">
        <f>IFERROR(INDEX(tbl_ProduitsRef[Famille], MATCH(tbl_Ventes[[#This Row],[Cde_Prdt]], tbl_Produits[Cde_Prdt], 0)), "")</f>
        <v/>
      </c>
    </row>
    <row r="3603" spans="1:11" x14ac:dyDescent="0.25">
      <c r="A3603" s="5"/>
      <c r="B3603" s="63" t="str">
        <f>IFERROR(TEXT(tbl_Ventes[[#This Row],[Date]],"mm-aaaa"),"")</f>
        <v>01-1900</v>
      </c>
      <c r="D3603" s="10" t="str">
        <f>IFERROR(
   INDEX(tbl_ProduitsRef[Cde_Prdt],MATCH(tbl_Ventes[[#This Row],[Produit]],tbl_ProduitsRef[Produit],0)),
   ""
)</f>
        <v/>
      </c>
      <c r="E3603" s="7">
        <v>0</v>
      </c>
      <c r="F3603" s="7" t="str">
        <f>IFERROR(
   INDEX(tbl_ProduitsRef[Prix Menu],MATCH(tbl_Ventes[[#This Row],[Produit]],tbl_ProduitsRef[Produit],0)),
   ""
)</f>
        <v/>
      </c>
      <c r="G3603" s="7">
        <f>tbl_Ventes[[#This Row],[Qté Vendue]] * IFERROR(_xlfn.XLOOKUP(tbl_Ventes[[#This Row],[Cde_Prdt]], tbl_Produits[Cde_Prdt], tbl_Produits[Prix Menu]), 0)</f>
        <v>0</v>
      </c>
      <c r="H3603" s="7">
        <f>IFERROR(_xlfn.XLOOKUP(tbl_Ventes[[#This Row],[Cde_Prdt]], tbl_Produits[Cde_Prdt], tbl_Produits[Coût Moyen Portion]), 0)</f>
        <v>0</v>
      </c>
      <c r="I3603" s="7">
        <f>tbl_Ventes[[#This Row],[Qté Vendue]] * tbl_Ventes[[#This Row],[CMP_par_portion]]</f>
        <v>0</v>
      </c>
      <c r="J3603" s="7">
        <f>tbl_Ventes[[#This Row],[CA ligne]] - tbl_Ventes[[#This Row],[Coût matière ligne]]</f>
        <v>0</v>
      </c>
      <c r="K3603" s="7" t="str">
        <f>IFERROR(INDEX(tbl_ProduitsRef[Famille], MATCH(tbl_Ventes[[#This Row],[Cde_Prdt]], tbl_Produits[Cde_Prdt], 0)), "")</f>
        <v/>
      </c>
    </row>
    <row r="3604" spans="1:11" x14ac:dyDescent="0.25">
      <c r="A3604" s="5"/>
      <c r="B3604" s="63" t="str">
        <f>IFERROR(TEXT(tbl_Ventes[[#This Row],[Date]],"mm-aaaa"),"")</f>
        <v>01-1900</v>
      </c>
      <c r="D3604" s="10" t="str">
        <f>IFERROR(
   INDEX(tbl_ProduitsRef[Cde_Prdt],MATCH(tbl_Ventes[[#This Row],[Produit]],tbl_ProduitsRef[Produit],0)),
   ""
)</f>
        <v/>
      </c>
      <c r="E3604" s="7">
        <v>0</v>
      </c>
      <c r="F3604" s="7" t="str">
        <f>IFERROR(
   INDEX(tbl_ProduitsRef[Prix Menu],MATCH(tbl_Ventes[[#This Row],[Produit]],tbl_ProduitsRef[Produit],0)),
   ""
)</f>
        <v/>
      </c>
      <c r="G3604" s="7">
        <f>tbl_Ventes[[#This Row],[Qté Vendue]] * IFERROR(_xlfn.XLOOKUP(tbl_Ventes[[#This Row],[Cde_Prdt]], tbl_Produits[Cde_Prdt], tbl_Produits[Prix Menu]), 0)</f>
        <v>0</v>
      </c>
      <c r="H3604" s="7">
        <f>IFERROR(_xlfn.XLOOKUP(tbl_Ventes[[#This Row],[Cde_Prdt]], tbl_Produits[Cde_Prdt], tbl_Produits[Coût Moyen Portion]), 0)</f>
        <v>0</v>
      </c>
      <c r="I3604" s="7">
        <f>tbl_Ventes[[#This Row],[Qté Vendue]] * tbl_Ventes[[#This Row],[CMP_par_portion]]</f>
        <v>0</v>
      </c>
      <c r="J3604" s="7">
        <f>tbl_Ventes[[#This Row],[CA ligne]] - tbl_Ventes[[#This Row],[Coût matière ligne]]</f>
        <v>0</v>
      </c>
      <c r="K3604" s="7" t="str">
        <f>IFERROR(INDEX(tbl_ProduitsRef[Famille], MATCH(tbl_Ventes[[#This Row],[Cde_Prdt]], tbl_Produits[Cde_Prdt], 0)), "")</f>
        <v/>
      </c>
    </row>
    <row r="3605" spans="1:11" x14ac:dyDescent="0.25">
      <c r="A3605" s="5"/>
      <c r="B3605" s="63" t="str">
        <f>IFERROR(TEXT(tbl_Ventes[[#This Row],[Date]],"mm-aaaa"),"")</f>
        <v>01-1900</v>
      </c>
      <c r="D3605" s="10" t="str">
        <f>IFERROR(
   INDEX(tbl_ProduitsRef[Cde_Prdt],MATCH(tbl_Ventes[[#This Row],[Produit]],tbl_ProduitsRef[Produit],0)),
   ""
)</f>
        <v/>
      </c>
      <c r="E3605" s="7">
        <v>0</v>
      </c>
      <c r="F3605" s="7" t="str">
        <f>IFERROR(
   INDEX(tbl_ProduitsRef[Prix Menu],MATCH(tbl_Ventes[[#This Row],[Produit]],tbl_ProduitsRef[Produit],0)),
   ""
)</f>
        <v/>
      </c>
      <c r="G3605" s="7">
        <f>tbl_Ventes[[#This Row],[Qté Vendue]] * IFERROR(_xlfn.XLOOKUP(tbl_Ventes[[#This Row],[Cde_Prdt]], tbl_Produits[Cde_Prdt], tbl_Produits[Prix Menu]), 0)</f>
        <v>0</v>
      </c>
      <c r="H3605" s="7">
        <f>IFERROR(_xlfn.XLOOKUP(tbl_Ventes[[#This Row],[Cde_Prdt]], tbl_Produits[Cde_Prdt], tbl_Produits[Coût Moyen Portion]), 0)</f>
        <v>0</v>
      </c>
      <c r="I3605" s="7">
        <f>tbl_Ventes[[#This Row],[Qté Vendue]] * tbl_Ventes[[#This Row],[CMP_par_portion]]</f>
        <v>0</v>
      </c>
      <c r="J3605" s="7">
        <f>tbl_Ventes[[#This Row],[CA ligne]] - tbl_Ventes[[#This Row],[Coût matière ligne]]</f>
        <v>0</v>
      </c>
      <c r="K3605" s="7" t="str">
        <f>IFERROR(INDEX(tbl_ProduitsRef[Famille], MATCH(tbl_Ventes[[#This Row],[Cde_Prdt]], tbl_Produits[Cde_Prdt], 0)), "")</f>
        <v/>
      </c>
    </row>
    <row r="3606" spans="1:11" x14ac:dyDescent="0.25">
      <c r="A3606" s="5"/>
      <c r="B3606" s="63" t="str">
        <f>IFERROR(TEXT(tbl_Ventes[[#This Row],[Date]],"mm-aaaa"),"")</f>
        <v>01-1900</v>
      </c>
      <c r="D3606" s="10" t="str">
        <f>IFERROR(
   INDEX(tbl_ProduitsRef[Cde_Prdt],MATCH(tbl_Ventes[[#This Row],[Produit]],tbl_ProduitsRef[Produit],0)),
   ""
)</f>
        <v/>
      </c>
      <c r="E3606" s="7">
        <v>0</v>
      </c>
      <c r="F3606" s="7" t="str">
        <f>IFERROR(
   INDEX(tbl_ProduitsRef[Prix Menu],MATCH(tbl_Ventes[[#This Row],[Produit]],tbl_ProduitsRef[Produit],0)),
   ""
)</f>
        <v/>
      </c>
      <c r="G3606" s="7">
        <f>tbl_Ventes[[#This Row],[Qté Vendue]] * IFERROR(_xlfn.XLOOKUP(tbl_Ventes[[#This Row],[Cde_Prdt]], tbl_Produits[Cde_Prdt], tbl_Produits[Prix Menu]), 0)</f>
        <v>0</v>
      </c>
      <c r="H3606" s="7">
        <f>IFERROR(_xlfn.XLOOKUP(tbl_Ventes[[#This Row],[Cde_Prdt]], tbl_Produits[Cde_Prdt], tbl_Produits[Coût Moyen Portion]), 0)</f>
        <v>0</v>
      </c>
      <c r="I3606" s="7">
        <f>tbl_Ventes[[#This Row],[Qté Vendue]] * tbl_Ventes[[#This Row],[CMP_par_portion]]</f>
        <v>0</v>
      </c>
      <c r="J3606" s="7">
        <f>tbl_Ventes[[#This Row],[CA ligne]] - tbl_Ventes[[#This Row],[Coût matière ligne]]</f>
        <v>0</v>
      </c>
      <c r="K3606" s="7" t="str">
        <f>IFERROR(INDEX(tbl_ProduitsRef[Famille], MATCH(tbl_Ventes[[#This Row],[Cde_Prdt]], tbl_Produits[Cde_Prdt], 0)), "")</f>
        <v/>
      </c>
    </row>
    <row r="3607" spans="1:11" x14ac:dyDescent="0.25">
      <c r="A3607" s="5"/>
      <c r="B3607" s="63" t="str">
        <f>IFERROR(TEXT(tbl_Ventes[[#This Row],[Date]],"mm-aaaa"),"")</f>
        <v>01-1900</v>
      </c>
      <c r="D3607" s="10" t="str">
        <f>IFERROR(
   INDEX(tbl_ProduitsRef[Cde_Prdt],MATCH(tbl_Ventes[[#This Row],[Produit]],tbl_ProduitsRef[Produit],0)),
   ""
)</f>
        <v/>
      </c>
      <c r="E3607" s="7">
        <v>0</v>
      </c>
      <c r="F3607" s="7" t="str">
        <f>IFERROR(
   INDEX(tbl_ProduitsRef[Prix Menu],MATCH(tbl_Ventes[[#This Row],[Produit]],tbl_ProduitsRef[Produit],0)),
   ""
)</f>
        <v/>
      </c>
      <c r="G3607" s="7">
        <f>tbl_Ventes[[#This Row],[Qté Vendue]] * IFERROR(_xlfn.XLOOKUP(tbl_Ventes[[#This Row],[Cde_Prdt]], tbl_Produits[Cde_Prdt], tbl_Produits[Prix Menu]), 0)</f>
        <v>0</v>
      </c>
      <c r="H3607" s="7">
        <f>IFERROR(_xlfn.XLOOKUP(tbl_Ventes[[#This Row],[Cde_Prdt]], tbl_Produits[Cde_Prdt], tbl_Produits[Coût Moyen Portion]), 0)</f>
        <v>0</v>
      </c>
      <c r="I3607" s="7">
        <f>tbl_Ventes[[#This Row],[Qté Vendue]] * tbl_Ventes[[#This Row],[CMP_par_portion]]</f>
        <v>0</v>
      </c>
      <c r="J3607" s="7">
        <f>tbl_Ventes[[#This Row],[CA ligne]] - tbl_Ventes[[#This Row],[Coût matière ligne]]</f>
        <v>0</v>
      </c>
      <c r="K3607" s="7" t="str">
        <f>IFERROR(INDEX(tbl_ProduitsRef[Famille], MATCH(tbl_Ventes[[#This Row],[Cde_Prdt]], tbl_Produits[Cde_Prdt], 0)), "")</f>
        <v/>
      </c>
    </row>
    <row r="3608" spans="1:11" x14ac:dyDescent="0.25">
      <c r="A3608" s="5"/>
      <c r="B3608" s="63" t="str">
        <f>IFERROR(TEXT(tbl_Ventes[[#This Row],[Date]],"mm-aaaa"),"")</f>
        <v>01-1900</v>
      </c>
      <c r="D3608" s="10" t="str">
        <f>IFERROR(
   INDEX(tbl_ProduitsRef[Cde_Prdt],MATCH(tbl_Ventes[[#This Row],[Produit]],tbl_ProduitsRef[Produit],0)),
   ""
)</f>
        <v/>
      </c>
      <c r="E3608" s="7">
        <v>0</v>
      </c>
      <c r="F3608" s="7" t="str">
        <f>IFERROR(
   INDEX(tbl_ProduitsRef[Prix Menu],MATCH(tbl_Ventes[[#This Row],[Produit]],tbl_ProduitsRef[Produit],0)),
   ""
)</f>
        <v/>
      </c>
      <c r="G3608" s="7">
        <f>tbl_Ventes[[#This Row],[Qté Vendue]] * IFERROR(_xlfn.XLOOKUP(tbl_Ventes[[#This Row],[Cde_Prdt]], tbl_Produits[Cde_Prdt], tbl_Produits[Prix Menu]), 0)</f>
        <v>0</v>
      </c>
      <c r="H3608" s="7">
        <f>IFERROR(_xlfn.XLOOKUP(tbl_Ventes[[#This Row],[Cde_Prdt]], tbl_Produits[Cde_Prdt], tbl_Produits[Coût Moyen Portion]), 0)</f>
        <v>0</v>
      </c>
      <c r="I3608" s="7">
        <f>tbl_Ventes[[#This Row],[Qté Vendue]] * tbl_Ventes[[#This Row],[CMP_par_portion]]</f>
        <v>0</v>
      </c>
      <c r="J3608" s="7">
        <f>tbl_Ventes[[#This Row],[CA ligne]] - tbl_Ventes[[#This Row],[Coût matière ligne]]</f>
        <v>0</v>
      </c>
      <c r="K3608" s="7" t="str">
        <f>IFERROR(INDEX(tbl_ProduitsRef[Famille], MATCH(tbl_Ventes[[#This Row],[Cde_Prdt]], tbl_Produits[Cde_Prdt], 0)), "")</f>
        <v/>
      </c>
    </row>
    <row r="3609" spans="1:11" x14ac:dyDescent="0.25">
      <c r="A3609" s="5"/>
      <c r="B3609" s="63" t="str">
        <f>IFERROR(TEXT(tbl_Ventes[[#This Row],[Date]],"mm-aaaa"),"")</f>
        <v>01-1900</v>
      </c>
      <c r="D3609" s="10" t="str">
        <f>IFERROR(
   INDEX(tbl_ProduitsRef[Cde_Prdt],MATCH(tbl_Ventes[[#This Row],[Produit]],tbl_ProduitsRef[Produit],0)),
   ""
)</f>
        <v/>
      </c>
      <c r="E3609" s="7">
        <v>0</v>
      </c>
      <c r="F3609" s="7" t="str">
        <f>IFERROR(
   INDEX(tbl_ProduitsRef[Prix Menu],MATCH(tbl_Ventes[[#This Row],[Produit]],tbl_ProduitsRef[Produit],0)),
   ""
)</f>
        <v/>
      </c>
      <c r="G3609" s="7">
        <f>tbl_Ventes[[#This Row],[Qté Vendue]] * IFERROR(_xlfn.XLOOKUP(tbl_Ventes[[#This Row],[Cde_Prdt]], tbl_Produits[Cde_Prdt], tbl_Produits[Prix Menu]), 0)</f>
        <v>0</v>
      </c>
      <c r="H3609" s="7">
        <f>IFERROR(_xlfn.XLOOKUP(tbl_Ventes[[#This Row],[Cde_Prdt]], tbl_Produits[Cde_Prdt], tbl_Produits[Coût Moyen Portion]), 0)</f>
        <v>0</v>
      </c>
      <c r="I3609" s="7">
        <f>tbl_Ventes[[#This Row],[Qté Vendue]] * tbl_Ventes[[#This Row],[CMP_par_portion]]</f>
        <v>0</v>
      </c>
      <c r="J3609" s="7">
        <f>tbl_Ventes[[#This Row],[CA ligne]] - tbl_Ventes[[#This Row],[Coût matière ligne]]</f>
        <v>0</v>
      </c>
      <c r="K3609" s="7" t="str">
        <f>IFERROR(INDEX(tbl_ProduitsRef[Famille], MATCH(tbl_Ventes[[#This Row],[Cde_Prdt]], tbl_Produits[Cde_Prdt], 0)), "")</f>
        <v/>
      </c>
    </row>
    <row r="3610" spans="1:11" x14ac:dyDescent="0.25">
      <c r="A3610" s="5"/>
      <c r="B3610" s="63" t="str">
        <f>IFERROR(TEXT(tbl_Ventes[[#This Row],[Date]],"mm-aaaa"),"")</f>
        <v>01-1900</v>
      </c>
      <c r="D3610" s="10" t="str">
        <f>IFERROR(
   INDEX(tbl_ProduitsRef[Cde_Prdt],MATCH(tbl_Ventes[[#This Row],[Produit]],tbl_ProduitsRef[Produit],0)),
   ""
)</f>
        <v/>
      </c>
      <c r="E3610" s="7">
        <v>0</v>
      </c>
      <c r="F3610" s="7" t="str">
        <f>IFERROR(
   INDEX(tbl_ProduitsRef[Prix Menu],MATCH(tbl_Ventes[[#This Row],[Produit]],tbl_ProduitsRef[Produit],0)),
   ""
)</f>
        <v/>
      </c>
      <c r="G3610" s="7">
        <f>tbl_Ventes[[#This Row],[Qté Vendue]] * IFERROR(_xlfn.XLOOKUP(tbl_Ventes[[#This Row],[Cde_Prdt]], tbl_Produits[Cde_Prdt], tbl_Produits[Prix Menu]), 0)</f>
        <v>0</v>
      </c>
      <c r="H3610" s="7">
        <f>IFERROR(_xlfn.XLOOKUP(tbl_Ventes[[#This Row],[Cde_Prdt]], tbl_Produits[Cde_Prdt], tbl_Produits[Coût Moyen Portion]), 0)</f>
        <v>0</v>
      </c>
      <c r="I3610" s="7">
        <f>tbl_Ventes[[#This Row],[Qté Vendue]] * tbl_Ventes[[#This Row],[CMP_par_portion]]</f>
        <v>0</v>
      </c>
      <c r="J3610" s="7">
        <f>tbl_Ventes[[#This Row],[CA ligne]] - tbl_Ventes[[#This Row],[Coût matière ligne]]</f>
        <v>0</v>
      </c>
      <c r="K3610" s="7" t="str">
        <f>IFERROR(INDEX(tbl_ProduitsRef[Famille], MATCH(tbl_Ventes[[#This Row],[Cde_Prdt]], tbl_Produits[Cde_Prdt], 0)), "")</f>
        <v/>
      </c>
    </row>
    <row r="3611" spans="1:11" x14ac:dyDescent="0.25">
      <c r="A3611" s="5"/>
      <c r="B3611" s="63" t="str">
        <f>IFERROR(TEXT(tbl_Ventes[[#This Row],[Date]],"mm-aaaa"),"")</f>
        <v>01-1900</v>
      </c>
      <c r="D3611" s="10" t="str">
        <f>IFERROR(
   INDEX(tbl_ProduitsRef[Cde_Prdt],MATCH(tbl_Ventes[[#This Row],[Produit]],tbl_ProduitsRef[Produit],0)),
   ""
)</f>
        <v/>
      </c>
      <c r="E3611" s="7">
        <v>0</v>
      </c>
      <c r="F3611" s="7" t="str">
        <f>IFERROR(
   INDEX(tbl_ProduitsRef[Prix Menu],MATCH(tbl_Ventes[[#This Row],[Produit]],tbl_ProduitsRef[Produit],0)),
   ""
)</f>
        <v/>
      </c>
      <c r="G3611" s="7">
        <f>tbl_Ventes[[#This Row],[Qté Vendue]] * IFERROR(_xlfn.XLOOKUP(tbl_Ventes[[#This Row],[Cde_Prdt]], tbl_Produits[Cde_Prdt], tbl_Produits[Prix Menu]), 0)</f>
        <v>0</v>
      </c>
      <c r="H3611" s="7">
        <f>IFERROR(_xlfn.XLOOKUP(tbl_Ventes[[#This Row],[Cde_Prdt]], tbl_Produits[Cde_Prdt], tbl_Produits[Coût Moyen Portion]), 0)</f>
        <v>0</v>
      </c>
      <c r="I3611" s="7">
        <f>tbl_Ventes[[#This Row],[Qté Vendue]] * tbl_Ventes[[#This Row],[CMP_par_portion]]</f>
        <v>0</v>
      </c>
      <c r="J3611" s="7">
        <f>tbl_Ventes[[#This Row],[CA ligne]] - tbl_Ventes[[#This Row],[Coût matière ligne]]</f>
        <v>0</v>
      </c>
      <c r="K3611" s="7" t="str">
        <f>IFERROR(INDEX(tbl_ProduitsRef[Famille], MATCH(tbl_Ventes[[#This Row],[Cde_Prdt]], tbl_Produits[Cde_Prdt], 0)), "")</f>
        <v/>
      </c>
    </row>
    <row r="3612" spans="1:11" x14ac:dyDescent="0.25">
      <c r="A3612" s="5"/>
      <c r="B3612" s="63" t="str">
        <f>IFERROR(TEXT(tbl_Ventes[[#This Row],[Date]],"mm-aaaa"),"")</f>
        <v>01-1900</v>
      </c>
      <c r="D3612" s="10" t="str">
        <f>IFERROR(
   INDEX(tbl_ProduitsRef[Cde_Prdt],MATCH(tbl_Ventes[[#This Row],[Produit]],tbl_ProduitsRef[Produit],0)),
   ""
)</f>
        <v/>
      </c>
      <c r="E3612" s="7">
        <v>0</v>
      </c>
      <c r="F3612" s="7" t="str">
        <f>IFERROR(
   INDEX(tbl_ProduitsRef[Prix Menu],MATCH(tbl_Ventes[[#This Row],[Produit]],tbl_ProduitsRef[Produit],0)),
   ""
)</f>
        <v/>
      </c>
      <c r="G3612" s="7">
        <f>tbl_Ventes[[#This Row],[Qté Vendue]] * IFERROR(_xlfn.XLOOKUP(tbl_Ventes[[#This Row],[Cde_Prdt]], tbl_Produits[Cde_Prdt], tbl_Produits[Prix Menu]), 0)</f>
        <v>0</v>
      </c>
      <c r="H3612" s="7">
        <f>IFERROR(_xlfn.XLOOKUP(tbl_Ventes[[#This Row],[Cde_Prdt]], tbl_Produits[Cde_Prdt], tbl_Produits[Coût Moyen Portion]), 0)</f>
        <v>0</v>
      </c>
      <c r="I3612" s="7">
        <f>tbl_Ventes[[#This Row],[Qté Vendue]] * tbl_Ventes[[#This Row],[CMP_par_portion]]</f>
        <v>0</v>
      </c>
      <c r="J3612" s="7">
        <f>tbl_Ventes[[#This Row],[CA ligne]] - tbl_Ventes[[#This Row],[Coût matière ligne]]</f>
        <v>0</v>
      </c>
      <c r="K3612" s="7" t="str">
        <f>IFERROR(INDEX(tbl_ProduitsRef[Famille], MATCH(tbl_Ventes[[#This Row],[Cde_Prdt]], tbl_Produits[Cde_Prdt], 0)), "")</f>
        <v/>
      </c>
    </row>
    <row r="3613" spans="1:11" x14ac:dyDescent="0.25">
      <c r="A3613" s="5"/>
      <c r="B3613" s="63" t="str">
        <f>IFERROR(TEXT(tbl_Ventes[[#This Row],[Date]],"mm-aaaa"),"")</f>
        <v>01-1900</v>
      </c>
      <c r="D3613" s="10" t="str">
        <f>IFERROR(
   INDEX(tbl_ProduitsRef[Cde_Prdt],MATCH(tbl_Ventes[[#This Row],[Produit]],tbl_ProduitsRef[Produit],0)),
   ""
)</f>
        <v/>
      </c>
      <c r="E3613" s="7">
        <v>0</v>
      </c>
      <c r="F3613" s="7" t="str">
        <f>IFERROR(
   INDEX(tbl_ProduitsRef[Prix Menu],MATCH(tbl_Ventes[[#This Row],[Produit]],tbl_ProduitsRef[Produit],0)),
   ""
)</f>
        <v/>
      </c>
      <c r="G3613" s="7">
        <f>tbl_Ventes[[#This Row],[Qté Vendue]] * IFERROR(_xlfn.XLOOKUP(tbl_Ventes[[#This Row],[Cde_Prdt]], tbl_Produits[Cde_Prdt], tbl_Produits[Prix Menu]), 0)</f>
        <v>0</v>
      </c>
      <c r="H3613" s="7">
        <f>IFERROR(_xlfn.XLOOKUP(tbl_Ventes[[#This Row],[Cde_Prdt]], tbl_Produits[Cde_Prdt], tbl_Produits[Coût Moyen Portion]), 0)</f>
        <v>0</v>
      </c>
      <c r="I3613" s="7">
        <f>tbl_Ventes[[#This Row],[Qté Vendue]] * tbl_Ventes[[#This Row],[CMP_par_portion]]</f>
        <v>0</v>
      </c>
      <c r="J3613" s="7">
        <f>tbl_Ventes[[#This Row],[CA ligne]] - tbl_Ventes[[#This Row],[Coût matière ligne]]</f>
        <v>0</v>
      </c>
      <c r="K3613" s="7" t="str">
        <f>IFERROR(INDEX(tbl_ProduitsRef[Famille], MATCH(tbl_Ventes[[#This Row],[Cde_Prdt]], tbl_Produits[Cde_Prdt], 0)), "")</f>
        <v/>
      </c>
    </row>
    <row r="3614" spans="1:11" x14ac:dyDescent="0.25">
      <c r="A3614" s="5"/>
      <c r="B3614" s="63" t="str">
        <f>IFERROR(TEXT(tbl_Ventes[[#This Row],[Date]],"mm-aaaa"),"")</f>
        <v>01-1900</v>
      </c>
      <c r="D3614" s="10" t="str">
        <f>IFERROR(
   INDEX(tbl_ProduitsRef[Cde_Prdt],MATCH(tbl_Ventes[[#This Row],[Produit]],tbl_ProduitsRef[Produit],0)),
   ""
)</f>
        <v/>
      </c>
      <c r="E3614" s="7">
        <v>0</v>
      </c>
      <c r="F3614" s="7" t="str">
        <f>IFERROR(
   INDEX(tbl_ProduitsRef[Prix Menu],MATCH(tbl_Ventes[[#This Row],[Produit]],tbl_ProduitsRef[Produit],0)),
   ""
)</f>
        <v/>
      </c>
      <c r="G3614" s="7">
        <f>tbl_Ventes[[#This Row],[Qté Vendue]] * IFERROR(_xlfn.XLOOKUP(tbl_Ventes[[#This Row],[Cde_Prdt]], tbl_Produits[Cde_Prdt], tbl_Produits[Prix Menu]), 0)</f>
        <v>0</v>
      </c>
      <c r="H3614" s="7">
        <f>IFERROR(_xlfn.XLOOKUP(tbl_Ventes[[#This Row],[Cde_Prdt]], tbl_Produits[Cde_Prdt], tbl_Produits[Coût Moyen Portion]), 0)</f>
        <v>0</v>
      </c>
      <c r="I3614" s="7">
        <f>tbl_Ventes[[#This Row],[Qté Vendue]] * tbl_Ventes[[#This Row],[CMP_par_portion]]</f>
        <v>0</v>
      </c>
      <c r="J3614" s="7">
        <f>tbl_Ventes[[#This Row],[CA ligne]] - tbl_Ventes[[#This Row],[Coût matière ligne]]</f>
        <v>0</v>
      </c>
      <c r="K3614" s="7" t="str">
        <f>IFERROR(INDEX(tbl_ProduitsRef[Famille], MATCH(tbl_Ventes[[#This Row],[Cde_Prdt]], tbl_Produits[Cde_Prdt], 0)), "")</f>
        <v/>
      </c>
    </row>
    <row r="3615" spans="1:11" x14ac:dyDescent="0.25">
      <c r="A3615" s="5"/>
      <c r="B3615" s="63" t="str">
        <f>IFERROR(TEXT(tbl_Ventes[[#This Row],[Date]],"mm-aaaa"),"")</f>
        <v>01-1900</v>
      </c>
      <c r="D3615" s="10" t="str">
        <f>IFERROR(
   INDEX(tbl_ProduitsRef[Cde_Prdt],MATCH(tbl_Ventes[[#This Row],[Produit]],tbl_ProduitsRef[Produit],0)),
   ""
)</f>
        <v/>
      </c>
      <c r="E3615" s="7">
        <v>0</v>
      </c>
      <c r="F3615" s="7" t="str">
        <f>IFERROR(
   INDEX(tbl_ProduitsRef[Prix Menu],MATCH(tbl_Ventes[[#This Row],[Produit]],tbl_ProduitsRef[Produit],0)),
   ""
)</f>
        <v/>
      </c>
      <c r="G3615" s="7">
        <f>tbl_Ventes[[#This Row],[Qté Vendue]] * IFERROR(_xlfn.XLOOKUP(tbl_Ventes[[#This Row],[Cde_Prdt]], tbl_Produits[Cde_Prdt], tbl_Produits[Prix Menu]), 0)</f>
        <v>0</v>
      </c>
      <c r="H3615" s="7">
        <f>IFERROR(_xlfn.XLOOKUP(tbl_Ventes[[#This Row],[Cde_Prdt]], tbl_Produits[Cde_Prdt], tbl_Produits[Coût Moyen Portion]), 0)</f>
        <v>0</v>
      </c>
      <c r="I3615" s="7">
        <f>tbl_Ventes[[#This Row],[Qté Vendue]] * tbl_Ventes[[#This Row],[CMP_par_portion]]</f>
        <v>0</v>
      </c>
      <c r="J3615" s="7">
        <f>tbl_Ventes[[#This Row],[CA ligne]] - tbl_Ventes[[#This Row],[Coût matière ligne]]</f>
        <v>0</v>
      </c>
      <c r="K3615" s="7" t="str">
        <f>IFERROR(INDEX(tbl_ProduitsRef[Famille], MATCH(tbl_Ventes[[#This Row],[Cde_Prdt]], tbl_Produits[Cde_Prdt], 0)), "")</f>
        <v/>
      </c>
    </row>
    <row r="3616" spans="1:11" x14ac:dyDescent="0.25">
      <c r="A3616" s="5"/>
      <c r="B3616" s="63" t="str">
        <f>IFERROR(TEXT(tbl_Ventes[[#This Row],[Date]],"mm-aaaa"),"")</f>
        <v>01-1900</v>
      </c>
      <c r="D3616" s="10" t="str">
        <f>IFERROR(
   INDEX(tbl_ProduitsRef[Cde_Prdt],MATCH(tbl_Ventes[[#This Row],[Produit]],tbl_ProduitsRef[Produit],0)),
   ""
)</f>
        <v/>
      </c>
      <c r="E3616" s="7">
        <v>0</v>
      </c>
      <c r="F3616" s="7" t="str">
        <f>IFERROR(
   INDEX(tbl_ProduitsRef[Prix Menu],MATCH(tbl_Ventes[[#This Row],[Produit]],tbl_ProduitsRef[Produit],0)),
   ""
)</f>
        <v/>
      </c>
      <c r="G3616" s="7">
        <f>tbl_Ventes[[#This Row],[Qté Vendue]] * IFERROR(_xlfn.XLOOKUP(tbl_Ventes[[#This Row],[Cde_Prdt]], tbl_Produits[Cde_Prdt], tbl_Produits[Prix Menu]), 0)</f>
        <v>0</v>
      </c>
      <c r="H3616" s="7">
        <f>IFERROR(_xlfn.XLOOKUP(tbl_Ventes[[#This Row],[Cde_Prdt]], tbl_Produits[Cde_Prdt], tbl_Produits[Coût Moyen Portion]), 0)</f>
        <v>0</v>
      </c>
      <c r="I3616" s="7">
        <f>tbl_Ventes[[#This Row],[Qté Vendue]] * tbl_Ventes[[#This Row],[CMP_par_portion]]</f>
        <v>0</v>
      </c>
      <c r="J3616" s="7">
        <f>tbl_Ventes[[#This Row],[CA ligne]] - tbl_Ventes[[#This Row],[Coût matière ligne]]</f>
        <v>0</v>
      </c>
      <c r="K3616" s="7" t="str">
        <f>IFERROR(INDEX(tbl_ProduitsRef[Famille], MATCH(tbl_Ventes[[#This Row],[Cde_Prdt]], tbl_Produits[Cde_Prdt], 0)), "")</f>
        <v/>
      </c>
    </row>
    <row r="3617" spans="1:11" x14ac:dyDescent="0.25">
      <c r="A3617" s="5"/>
      <c r="B3617" s="63" t="str">
        <f>IFERROR(TEXT(tbl_Ventes[[#This Row],[Date]],"mm-aaaa"),"")</f>
        <v>01-1900</v>
      </c>
      <c r="D3617" s="10" t="str">
        <f>IFERROR(
   INDEX(tbl_ProduitsRef[Cde_Prdt],MATCH(tbl_Ventes[[#This Row],[Produit]],tbl_ProduitsRef[Produit],0)),
   ""
)</f>
        <v/>
      </c>
      <c r="E3617" s="7">
        <v>0</v>
      </c>
      <c r="F3617" s="7" t="str">
        <f>IFERROR(
   INDEX(tbl_ProduitsRef[Prix Menu],MATCH(tbl_Ventes[[#This Row],[Produit]],tbl_ProduitsRef[Produit],0)),
   ""
)</f>
        <v/>
      </c>
      <c r="G3617" s="7">
        <f>tbl_Ventes[[#This Row],[Qté Vendue]] * IFERROR(_xlfn.XLOOKUP(tbl_Ventes[[#This Row],[Cde_Prdt]], tbl_Produits[Cde_Prdt], tbl_Produits[Prix Menu]), 0)</f>
        <v>0</v>
      </c>
      <c r="H3617" s="7">
        <f>IFERROR(_xlfn.XLOOKUP(tbl_Ventes[[#This Row],[Cde_Prdt]], tbl_Produits[Cde_Prdt], tbl_Produits[Coût Moyen Portion]), 0)</f>
        <v>0</v>
      </c>
      <c r="I3617" s="7">
        <f>tbl_Ventes[[#This Row],[Qté Vendue]] * tbl_Ventes[[#This Row],[CMP_par_portion]]</f>
        <v>0</v>
      </c>
      <c r="J3617" s="7">
        <f>tbl_Ventes[[#This Row],[CA ligne]] - tbl_Ventes[[#This Row],[Coût matière ligne]]</f>
        <v>0</v>
      </c>
      <c r="K3617" s="7" t="str">
        <f>IFERROR(INDEX(tbl_ProduitsRef[Famille], MATCH(tbl_Ventes[[#This Row],[Cde_Prdt]], tbl_Produits[Cde_Prdt], 0)), "")</f>
        <v/>
      </c>
    </row>
    <row r="3618" spans="1:11" x14ac:dyDescent="0.25">
      <c r="A3618" s="5"/>
      <c r="B3618" s="63" t="str">
        <f>IFERROR(TEXT(tbl_Ventes[[#This Row],[Date]],"mm-aaaa"),"")</f>
        <v>01-1900</v>
      </c>
      <c r="D3618" s="10" t="str">
        <f>IFERROR(
   INDEX(tbl_ProduitsRef[Cde_Prdt],MATCH(tbl_Ventes[[#This Row],[Produit]],tbl_ProduitsRef[Produit],0)),
   ""
)</f>
        <v/>
      </c>
      <c r="E3618" s="7">
        <v>0</v>
      </c>
      <c r="F3618" s="7" t="str">
        <f>IFERROR(
   INDEX(tbl_ProduitsRef[Prix Menu],MATCH(tbl_Ventes[[#This Row],[Produit]],tbl_ProduitsRef[Produit],0)),
   ""
)</f>
        <v/>
      </c>
      <c r="G3618" s="7">
        <f>tbl_Ventes[[#This Row],[Qté Vendue]] * IFERROR(_xlfn.XLOOKUP(tbl_Ventes[[#This Row],[Cde_Prdt]], tbl_Produits[Cde_Prdt], tbl_Produits[Prix Menu]), 0)</f>
        <v>0</v>
      </c>
      <c r="H3618" s="7">
        <f>IFERROR(_xlfn.XLOOKUP(tbl_Ventes[[#This Row],[Cde_Prdt]], tbl_Produits[Cde_Prdt], tbl_Produits[Coût Moyen Portion]), 0)</f>
        <v>0</v>
      </c>
      <c r="I3618" s="7">
        <f>tbl_Ventes[[#This Row],[Qté Vendue]] * tbl_Ventes[[#This Row],[CMP_par_portion]]</f>
        <v>0</v>
      </c>
      <c r="J3618" s="7">
        <f>tbl_Ventes[[#This Row],[CA ligne]] - tbl_Ventes[[#This Row],[Coût matière ligne]]</f>
        <v>0</v>
      </c>
      <c r="K3618" s="7" t="str">
        <f>IFERROR(INDEX(tbl_ProduitsRef[Famille], MATCH(tbl_Ventes[[#This Row],[Cde_Prdt]], tbl_Produits[Cde_Prdt], 0)), "")</f>
        <v/>
      </c>
    </row>
    <row r="3619" spans="1:11" x14ac:dyDescent="0.25">
      <c r="A3619" s="5"/>
      <c r="B3619" s="63" t="str">
        <f>IFERROR(TEXT(tbl_Ventes[[#This Row],[Date]],"mm-aaaa"),"")</f>
        <v>01-1900</v>
      </c>
      <c r="D3619" s="10" t="str">
        <f>IFERROR(
   INDEX(tbl_ProduitsRef[Cde_Prdt],MATCH(tbl_Ventes[[#This Row],[Produit]],tbl_ProduitsRef[Produit],0)),
   ""
)</f>
        <v/>
      </c>
      <c r="E3619" s="7">
        <v>0</v>
      </c>
      <c r="F3619" s="7" t="str">
        <f>IFERROR(
   INDEX(tbl_ProduitsRef[Prix Menu],MATCH(tbl_Ventes[[#This Row],[Produit]],tbl_ProduitsRef[Produit],0)),
   ""
)</f>
        <v/>
      </c>
      <c r="G3619" s="7">
        <f>tbl_Ventes[[#This Row],[Qté Vendue]] * IFERROR(_xlfn.XLOOKUP(tbl_Ventes[[#This Row],[Cde_Prdt]], tbl_Produits[Cde_Prdt], tbl_Produits[Prix Menu]), 0)</f>
        <v>0</v>
      </c>
      <c r="H3619" s="7">
        <f>IFERROR(_xlfn.XLOOKUP(tbl_Ventes[[#This Row],[Cde_Prdt]], tbl_Produits[Cde_Prdt], tbl_Produits[Coût Moyen Portion]), 0)</f>
        <v>0</v>
      </c>
      <c r="I3619" s="7">
        <f>tbl_Ventes[[#This Row],[Qté Vendue]] * tbl_Ventes[[#This Row],[CMP_par_portion]]</f>
        <v>0</v>
      </c>
      <c r="J3619" s="7">
        <f>tbl_Ventes[[#This Row],[CA ligne]] - tbl_Ventes[[#This Row],[Coût matière ligne]]</f>
        <v>0</v>
      </c>
      <c r="K3619" s="7" t="str">
        <f>IFERROR(INDEX(tbl_ProduitsRef[Famille], MATCH(tbl_Ventes[[#This Row],[Cde_Prdt]], tbl_Produits[Cde_Prdt], 0)), "")</f>
        <v/>
      </c>
    </row>
    <row r="3620" spans="1:11" x14ac:dyDescent="0.25">
      <c r="A3620" s="5"/>
      <c r="B3620" s="63" t="str">
        <f>IFERROR(TEXT(tbl_Ventes[[#This Row],[Date]],"mm-aaaa"),"")</f>
        <v>01-1900</v>
      </c>
      <c r="D3620" s="10" t="str">
        <f>IFERROR(
   INDEX(tbl_ProduitsRef[Cde_Prdt],MATCH(tbl_Ventes[[#This Row],[Produit]],tbl_ProduitsRef[Produit],0)),
   ""
)</f>
        <v/>
      </c>
      <c r="E3620" s="7">
        <v>0</v>
      </c>
      <c r="F3620" s="7" t="str">
        <f>IFERROR(
   INDEX(tbl_ProduitsRef[Prix Menu],MATCH(tbl_Ventes[[#This Row],[Produit]],tbl_ProduitsRef[Produit],0)),
   ""
)</f>
        <v/>
      </c>
      <c r="G3620" s="7">
        <f>tbl_Ventes[[#This Row],[Qté Vendue]] * IFERROR(_xlfn.XLOOKUP(tbl_Ventes[[#This Row],[Cde_Prdt]], tbl_Produits[Cde_Prdt], tbl_Produits[Prix Menu]), 0)</f>
        <v>0</v>
      </c>
      <c r="H3620" s="7">
        <f>IFERROR(_xlfn.XLOOKUP(tbl_Ventes[[#This Row],[Cde_Prdt]], tbl_Produits[Cde_Prdt], tbl_Produits[Coût Moyen Portion]), 0)</f>
        <v>0</v>
      </c>
      <c r="I3620" s="7">
        <f>tbl_Ventes[[#This Row],[Qté Vendue]] * tbl_Ventes[[#This Row],[CMP_par_portion]]</f>
        <v>0</v>
      </c>
      <c r="J3620" s="7">
        <f>tbl_Ventes[[#This Row],[CA ligne]] - tbl_Ventes[[#This Row],[Coût matière ligne]]</f>
        <v>0</v>
      </c>
      <c r="K3620" s="7" t="str">
        <f>IFERROR(INDEX(tbl_ProduitsRef[Famille], MATCH(tbl_Ventes[[#This Row],[Cde_Prdt]], tbl_Produits[Cde_Prdt], 0)), "")</f>
        <v/>
      </c>
    </row>
    <row r="3621" spans="1:11" x14ac:dyDescent="0.25">
      <c r="A3621" s="5"/>
      <c r="B3621" s="63" t="str">
        <f>IFERROR(TEXT(tbl_Ventes[[#This Row],[Date]],"mm-aaaa"),"")</f>
        <v>01-1900</v>
      </c>
      <c r="D3621" s="10" t="str">
        <f>IFERROR(
   INDEX(tbl_ProduitsRef[Cde_Prdt],MATCH(tbl_Ventes[[#This Row],[Produit]],tbl_ProduitsRef[Produit],0)),
   ""
)</f>
        <v/>
      </c>
      <c r="E3621" s="7">
        <v>0</v>
      </c>
      <c r="F3621" s="7" t="str">
        <f>IFERROR(
   INDEX(tbl_ProduitsRef[Prix Menu],MATCH(tbl_Ventes[[#This Row],[Produit]],tbl_ProduitsRef[Produit],0)),
   ""
)</f>
        <v/>
      </c>
      <c r="G3621" s="7">
        <f>tbl_Ventes[[#This Row],[Qté Vendue]] * IFERROR(_xlfn.XLOOKUP(tbl_Ventes[[#This Row],[Cde_Prdt]], tbl_Produits[Cde_Prdt], tbl_Produits[Prix Menu]), 0)</f>
        <v>0</v>
      </c>
      <c r="H3621" s="7">
        <f>IFERROR(_xlfn.XLOOKUP(tbl_Ventes[[#This Row],[Cde_Prdt]], tbl_Produits[Cde_Prdt], tbl_Produits[Coût Moyen Portion]), 0)</f>
        <v>0</v>
      </c>
      <c r="I3621" s="7">
        <f>tbl_Ventes[[#This Row],[Qté Vendue]] * tbl_Ventes[[#This Row],[CMP_par_portion]]</f>
        <v>0</v>
      </c>
      <c r="J3621" s="7">
        <f>tbl_Ventes[[#This Row],[CA ligne]] - tbl_Ventes[[#This Row],[Coût matière ligne]]</f>
        <v>0</v>
      </c>
      <c r="K3621" s="7" t="str">
        <f>IFERROR(INDEX(tbl_ProduitsRef[Famille], MATCH(tbl_Ventes[[#This Row],[Cde_Prdt]], tbl_Produits[Cde_Prdt], 0)), "")</f>
        <v/>
      </c>
    </row>
    <row r="3622" spans="1:11" x14ac:dyDescent="0.25">
      <c r="A3622" s="5"/>
      <c r="B3622" s="63" t="str">
        <f>IFERROR(TEXT(tbl_Ventes[[#This Row],[Date]],"mm-aaaa"),"")</f>
        <v>01-1900</v>
      </c>
      <c r="D3622" s="10" t="str">
        <f>IFERROR(
   INDEX(tbl_ProduitsRef[Cde_Prdt],MATCH(tbl_Ventes[[#This Row],[Produit]],tbl_ProduitsRef[Produit],0)),
   ""
)</f>
        <v/>
      </c>
      <c r="E3622" s="7">
        <v>0</v>
      </c>
      <c r="F3622" s="7" t="str">
        <f>IFERROR(
   INDEX(tbl_ProduitsRef[Prix Menu],MATCH(tbl_Ventes[[#This Row],[Produit]],tbl_ProduitsRef[Produit],0)),
   ""
)</f>
        <v/>
      </c>
      <c r="G3622" s="7">
        <f>tbl_Ventes[[#This Row],[Qté Vendue]] * IFERROR(_xlfn.XLOOKUP(tbl_Ventes[[#This Row],[Cde_Prdt]], tbl_Produits[Cde_Prdt], tbl_Produits[Prix Menu]), 0)</f>
        <v>0</v>
      </c>
      <c r="H3622" s="7">
        <f>IFERROR(_xlfn.XLOOKUP(tbl_Ventes[[#This Row],[Cde_Prdt]], tbl_Produits[Cde_Prdt], tbl_Produits[Coût Moyen Portion]), 0)</f>
        <v>0</v>
      </c>
      <c r="I3622" s="7">
        <f>tbl_Ventes[[#This Row],[Qté Vendue]] * tbl_Ventes[[#This Row],[CMP_par_portion]]</f>
        <v>0</v>
      </c>
      <c r="J3622" s="7">
        <f>tbl_Ventes[[#This Row],[CA ligne]] - tbl_Ventes[[#This Row],[Coût matière ligne]]</f>
        <v>0</v>
      </c>
      <c r="K3622" s="7" t="str">
        <f>IFERROR(INDEX(tbl_ProduitsRef[Famille], MATCH(tbl_Ventes[[#This Row],[Cde_Prdt]], tbl_Produits[Cde_Prdt], 0)), "")</f>
        <v/>
      </c>
    </row>
    <row r="3623" spans="1:11" x14ac:dyDescent="0.25">
      <c r="A3623" s="5"/>
      <c r="B3623" s="63" t="str">
        <f>IFERROR(TEXT(tbl_Ventes[[#This Row],[Date]],"mm-aaaa"),"")</f>
        <v>01-1900</v>
      </c>
      <c r="D3623" s="10" t="str">
        <f>IFERROR(
   INDEX(tbl_ProduitsRef[Cde_Prdt],MATCH(tbl_Ventes[[#This Row],[Produit]],tbl_ProduitsRef[Produit],0)),
   ""
)</f>
        <v/>
      </c>
      <c r="E3623" s="7">
        <v>0</v>
      </c>
      <c r="F3623" s="7" t="str">
        <f>IFERROR(
   INDEX(tbl_ProduitsRef[Prix Menu],MATCH(tbl_Ventes[[#This Row],[Produit]],tbl_ProduitsRef[Produit],0)),
   ""
)</f>
        <v/>
      </c>
      <c r="G3623" s="7">
        <f>tbl_Ventes[[#This Row],[Qté Vendue]] * IFERROR(_xlfn.XLOOKUP(tbl_Ventes[[#This Row],[Cde_Prdt]], tbl_Produits[Cde_Prdt], tbl_Produits[Prix Menu]), 0)</f>
        <v>0</v>
      </c>
      <c r="H3623" s="7">
        <f>IFERROR(_xlfn.XLOOKUP(tbl_Ventes[[#This Row],[Cde_Prdt]], tbl_Produits[Cde_Prdt], tbl_Produits[Coût Moyen Portion]), 0)</f>
        <v>0</v>
      </c>
      <c r="I3623" s="7">
        <f>tbl_Ventes[[#This Row],[Qté Vendue]] * tbl_Ventes[[#This Row],[CMP_par_portion]]</f>
        <v>0</v>
      </c>
      <c r="J3623" s="7">
        <f>tbl_Ventes[[#This Row],[CA ligne]] - tbl_Ventes[[#This Row],[Coût matière ligne]]</f>
        <v>0</v>
      </c>
      <c r="K3623" s="7" t="str">
        <f>IFERROR(INDEX(tbl_ProduitsRef[Famille], MATCH(tbl_Ventes[[#This Row],[Cde_Prdt]], tbl_Produits[Cde_Prdt], 0)), "")</f>
        <v/>
      </c>
    </row>
    <row r="3624" spans="1:11" x14ac:dyDescent="0.25">
      <c r="A3624" s="5"/>
      <c r="B3624" s="63" t="str">
        <f>IFERROR(TEXT(tbl_Ventes[[#This Row],[Date]],"mm-aaaa"),"")</f>
        <v>01-1900</v>
      </c>
      <c r="D3624" s="10" t="str">
        <f>IFERROR(
   INDEX(tbl_ProduitsRef[Cde_Prdt],MATCH(tbl_Ventes[[#This Row],[Produit]],tbl_ProduitsRef[Produit],0)),
   ""
)</f>
        <v/>
      </c>
      <c r="E3624" s="7">
        <v>0</v>
      </c>
      <c r="F3624" s="7" t="str">
        <f>IFERROR(
   INDEX(tbl_ProduitsRef[Prix Menu],MATCH(tbl_Ventes[[#This Row],[Produit]],tbl_ProduitsRef[Produit],0)),
   ""
)</f>
        <v/>
      </c>
      <c r="G3624" s="7">
        <f>tbl_Ventes[[#This Row],[Qté Vendue]] * IFERROR(_xlfn.XLOOKUP(tbl_Ventes[[#This Row],[Cde_Prdt]], tbl_Produits[Cde_Prdt], tbl_Produits[Prix Menu]), 0)</f>
        <v>0</v>
      </c>
      <c r="H3624" s="7">
        <f>IFERROR(_xlfn.XLOOKUP(tbl_Ventes[[#This Row],[Cde_Prdt]], tbl_Produits[Cde_Prdt], tbl_Produits[Coût Moyen Portion]), 0)</f>
        <v>0</v>
      </c>
      <c r="I3624" s="7">
        <f>tbl_Ventes[[#This Row],[Qté Vendue]] * tbl_Ventes[[#This Row],[CMP_par_portion]]</f>
        <v>0</v>
      </c>
      <c r="J3624" s="7">
        <f>tbl_Ventes[[#This Row],[CA ligne]] - tbl_Ventes[[#This Row],[Coût matière ligne]]</f>
        <v>0</v>
      </c>
      <c r="K3624" s="7" t="str">
        <f>IFERROR(INDEX(tbl_ProduitsRef[Famille], MATCH(tbl_Ventes[[#This Row],[Cde_Prdt]], tbl_Produits[Cde_Prdt], 0)), "")</f>
        <v/>
      </c>
    </row>
    <row r="3625" spans="1:11" x14ac:dyDescent="0.25">
      <c r="A3625" s="5"/>
      <c r="B3625" s="63" t="str">
        <f>IFERROR(TEXT(tbl_Ventes[[#This Row],[Date]],"mm-aaaa"),"")</f>
        <v>01-1900</v>
      </c>
      <c r="D3625" s="10" t="str">
        <f>IFERROR(
   INDEX(tbl_ProduitsRef[Cde_Prdt],MATCH(tbl_Ventes[[#This Row],[Produit]],tbl_ProduitsRef[Produit],0)),
   ""
)</f>
        <v/>
      </c>
      <c r="E3625" s="7">
        <v>0</v>
      </c>
      <c r="F3625" s="7" t="str">
        <f>IFERROR(
   INDEX(tbl_ProduitsRef[Prix Menu],MATCH(tbl_Ventes[[#This Row],[Produit]],tbl_ProduitsRef[Produit],0)),
   ""
)</f>
        <v/>
      </c>
      <c r="G3625" s="7">
        <f>tbl_Ventes[[#This Row],[Qté Vendue]] * IFERROR(_xlfn.XLOOKUP(tbl_Ventes[[#This Row],[Cde_Prdt]], tbl_Produits[Cde_Prdt], tbl_Produits[Prix Menu]), 0)</f>
        <v>0</v>
      </c>
      <c r="H3625" s="7">
        <f>IFERROR(_xlfn.XLOOKUP(tbl_Ventes[[#This Row],[Cde_Prdt]], tbl_Produits[Cde_Prdt], tbl_Produits[Coût Moyen Portion]), 0)</f>
        <v>0</v>
      </c>
      <c r="I3625" s="7">
        <f>tbl_Ventes[[#This Row],[Qté Vendue]] * tbl_Ventes[[#This Row],[CMP_par_portion]]</f>
        <v>0</v>
      </c>
      <c r="J3625" s="7">
        <f>tbl_Ventes[[#This Row],[CA ligne]] - tbl_Ventes[[#This Row],[Coût matière ligne]]</f>
        <v>0</v>
      </c>
      <c r="K3625" s="7" t="str">
        <f>IFERROR(INDEX(tbl_ProduitsRef[Famille], MATCH(tbl_Ventes[[#This Row],[Cde_Prdt]], tbl_Produits[Cde_Prdt], 0)), "")</f>
        <v/>
      </c>
    </row>
    <row r="3626" spans="1:11" x14ac:dyDescent="0.25">
      <c r="A3626" s="5"/>
      <c r="B3626" s="63" t="str">
        <f>IFERROR(TEXT(tbl_Ventes[[#This Row],[Date]],"mm-aaaa"),"")</f>
        <v>01-1900</v>
      </c>
      <c r="D3626" s="10" t="str">
        <f>IFERROR(
   INDEX(tbl_ProduitsRef[Cde_Prdt],MATCH(tbl_Ventes[[#This Row],[Produit]],tbl_ProduitsRef[Produit],0)),
   ""
)</f>
        <v/>
      </c>
      <c r="E3626" s="7">
        <v>0</v>
      </c>
      <c r="F3626" s="7" t="str">
        <f>IFERROR(
   INDEX(tbl_ProduitsRef[Prix Menu],MATCH(tbl_Ventes[[#This Row],[Produit]],tbl_ProduitsRef[Produit],0)),
   ""
)</f>
        <v/>
      </c>
      <c r="G3626" s="7">
        <f>tbl_Ventes[[#This Row],[Qté Vendue]] * IFERROR(_xlfn.XLOOKUP(tbl_Ventes[[#This Row],[Cde_Prdt]], tbl_Produits[Cde_Prdt], tbl_Produits[Prix Menu]), 0)</f>
        <v>0</v>
      </c>
      <c r="H3626" s="7">
        <f>IFERROR(_xlfn.XLOOKUP(tbl_Ventes[[#This Row],[Cde_Prdt]], tbl_Produits[Cde_Prdt], tbl_Produits[Coût Moyen Portion]), 0)</f>
        <v>0</v>
      </c>
      <c r="I3626" s="7">
        <f>tbl_Ventes[[#This Row],[Qté Vendue]] * tbl_Ventes[[#This Row],[CMP_par_portion]]</f>
        <v>0</v>
      </c>
      <c r="J3626" s="7">
        <f>tbl_Ventes[[#This Row],[CA ligne]] - tbl_Ventes[[#This Row],[Coût matière ligne]]</f>
        <v>0</v>
      </c>
      <c r="K3626" s="7" t="str">
        <f>IFERROR(INDEX(tbl_ProduitsRef[Famille], MATCH(tbl_Ventes[[#This Row],[Cde_Prdt]], tbl_Produits[Cde_Prdt], 0)), "")</f>
        <v/>
      </c>
    </row>
    <row r="3627" spans="1:11" x14ac:dyDescent="0.25">
      <c r="A3627" s="5"/>
      <c r="B3627" s="63" t="str">
        <f>IFERROR(TEXT(tbl_Ventes[[#This Row],[Date]],"mm-aaaa"),"")</f>
        <v>01-1900</v>
      </c>
      <c r="D3627" s="10" t="str">
        <f>IFERROR(
   INDEX(tbl_ProduitsRef[Cde_Prdt],MATCH(tbl_Ventes[[#This Row],[Produit]],tbl_ProduitsRef[Produit],0)),
   ""
)</f>
        <v/>
      </c>
      <c r="E3627" s="7">
        <v>0</v>
      </c>
      <c r="F3627" s="7" t="str">
        <f>IFERROR(
   INDEX(tbl_ProduitsRef[Prix Menu],MATCH(tbl_Ventes[[#This Row],[Produit]],tbl_ProduitsRef[Produit],0)),
   ""
)</f>
        <v/>
      </c>
      <c r="G3627" s="7">
        <f>tbl_Ventes[[#This Row],[Qté Vendue]] * IFERROR(_xlfn.XLOOKUP(tbl_Ventes[[#This Row],[Cde_Prdt]], tbl_Produits[Cde_Prdt], tbl_Produits[Prix Menu]), 0)</f>
        <v>0</v>
      </c>
      <c r="H3627" s="7">
        <f>IFERROR(_xlfn.XLOOKUP(tbl_Ventes[[#This Row],[Cde_Prdt]], tbl_Produits[Cde_Prdt], tbl_Produits[Coût Moyen Portion]), 0)</f>
        <v>0</v>
      </c>
      <c r="I3627" s="7">
        <f>tbl_Ventes[[#This Row],[Qté Vendue]] * tbl_Ventes[[#This Row],[CMP_par_portion]]</f>
        <v>0</v>
      </c>
      <c r="J3627" s="7">
        <f>tbl_Ventes[[#This Row],[CA ligne]] - tbl_Ventes[[#This Row],[Coût matière ligne]]</f>
        <v>0</v>
      </c>
      <c r="K3627" s="7" t="str">
        <f>IFERROR(INDEX(tbl_ProduitsRef[Famille], MATCH(tbl_Ventes[[#This Row],[Cde_Prdt]], tbl_Produits[Cde_Prdt], 0)), "")</f>
        <v/>
      </c>
    </row>
    <row r="3628" spans="1:11" x14ac:dyDescent="0.25">
      <c r="A3628" s="5"/>
      <c r="B3628" s="63" t="str">
        <f>IFERROR(TEXT(tbl_Ventes[[#This Row],[Date]],"mm-aaaa"),"")</f>
        <v>01-1900</v>
      </c>
      <c r="D3628" s="10" t="str">
        <f>IFERROR(
   INDEX(tbl_ProduitsRef[Cde_Prdt],MATCH(tbl_Ventes[[#This Row],[Produit]],tbl_ProduitsRef[Produit],0)),
   ""
)</f>
        <v/>
      </c>
      <c r="E3628" s="7">
        <v>0</v>
      </c>
      <c r="F3628" s="7" t="str">
        <f>IFERROR(
   INDEX(tbl_ProduitsRef[Prix Menu],MATCH(tbl_Ventes[[#This Row],[Produit]],tbl_ProduitsRef[Produit],0)),
   ""
)</f>
        <v/>
      </c>
      <c r="G3628" s="7">
        <f>tbl_Ventes[[#This Row],[Qté Vendue]] * IFERROR(_xlfn.XLOOKUP(tbl_Ventes[[#This Row],[Cde_Prdt]], tbl_Produits[Cde_Prdt], tbl_Produits[Prix Menu]), 0)</f>
        <v>0</v>
      </c>
      <c r="H3628" s="7">
        <f>IFERROR(_xlfn.XLOOKUP(tbl_Ventes[[#This Row],[Cde_Prdt]], tbl_Produits[Cde_Prdt], tbl_Produits[Coût Moyen Portion]), 0)</f>
        <v>0</v>
      </c>
      <c r="I3628" s="7">
        <f>tbl_Ventes[[#This Row],[Qté Vendue]] * tbl_Ventes[[#This Row],[CMP_par_portion]]</f>
        <v>0</v>
      </c>
      <c r="J3628" s="7">
        <f>tbl_Ventes[[#This Row],[CA ligne]] - tbl_Ventes[[#This Row],[Coût matière ligne]]</f>
        <v>0</v>
      </c>
      <c r="K3628" s="7" t="str">
        <f>IFERROR(INDEX(tbl_ProduitsRef[Famille], MATCH(tbl_Ventes[[#This Row],[Cde_Prdt]], tbl_Produits[Cde_Prdt], 0)), "")</f>
        <v/>
      </c>
    </row>
    <row r="3629" spans="1:11" x14ac:dyDescent="0.25">
      <c r="A3629" s="5"/>
      <c r="B3629" s="63" t="str">
        <f>IFERROR(TEXT(tbl_Ventes[[#This Row],[Date]],"mm-aaaa"),"")</f>
        <v>01-1900</v>
      </c>
      <c r="D3629" s="10" t="str">
        <f>IFERROR(
   INDEX(tbl_ProduitsRef[Cde_Prdt],MATCH(tbl_Ventes[[#This Row],[Produit]],tbl_ProduitsRef[Produit],0)),
   ""
)</f>
        <v/>
      </c>
      <c r="E3629" s="7">
        <v>0</v>
      </c>
      <c r="F3629" s="7" t="str">
        <f>IFERROR(
   INDEX(tbl_ProduitsRef[Prix Menu],MATCH(tbl_Ventes[[#This Row],[Produit]],tbl_ProduitsRef[Produit],0)),
   ""
)</f>
        <v/>
      </c>
      <c r="G3629" s="7">
        <f>tbl_Ventes[[#This Row],[Qté Vendue]] * IFERROR(_xlfn.XLOOKUP(tbl_Ventes[[#This Row],[Cde_Prdt]], tbl_Produits[Cde_Prdt], tbl_Produits[Prix Menu]), 0)</f>
        <v>0</v>
      </c>
      <c r="H3629" s="7">
        <f>IFERROR(_xlfn.XLOOKUP(tbl_Ventes[[#This Row],[Cde_Prdt]], tbl_Produits[Cde_Prdt], tbl_Produits[Coût Moyen Portion]), 0)</f>
        <v>0</v>
      </c>
      <c r="I3629" s="7">
        <f>tbl_Ventes[[#This Row],[Qté Vendue]] * tbl_Ventes[[#This Row],[CMP_par_portion]]</f>
        <v>0</v>
      </c>
      <c r="J3629" s="7">
        <f>tbl_Ventes[[#This Row],[CA ligne]] - tbl_Ventes[[#This Row],[Coût matière ligne]]</f>
        <v>0</v>
      </c>
      <c r="K3629" s="7" t="str">
        <f>IFERROR(INDEX(tbl_ProduitsRef[Famille], MATCH(tbl_Ventes[[#This Row],[Cde_Prdt]], tbl_Produits[Cde_Prdt], 0)), "")</f>
        <v/>
      </c>
    </row>
    <row r="3630" spans="1:11" x14ac:dyDescent="0.25">
      <c r="A3630" s="5"/>
      <c r="B3630" s="63" t="str">
        <f>IFERROR(TEXT(tbl_Ventes[[#This Row],[Date]],"mm-aaaa"),"")</f>
        <v>01-1900</v>
      </c>
      <c r="D3630" s="10" t="str">
        <f>IFERROR(
   INDEX(tbl_ProduitsRef[Cde_Prdt],MATCH(tbl_Ventes[[#This Row],[Produit]],tbl_ProduitsRef[Produit],0)),
   ""
)</f>
        <v/>
      </c>
      <c r="E3630" s="7">
        <v>0</v>
      </c>
      <c r="F3630" s="7" t="str">
        <f>IFERROR(
   INDEX(tbl_ProduitsRef[Prix Menu],MATCH(tbl_Ventes[[#This Row],[Produit]],tbl_ProduitsRef[Produit],0)),
   ""
)</f>
        <v/>
      </c>
      <c r="G3630" s="7">
        <f>tbl_Ventes[[#This Row],[Qté Vendue]] * IFERROR(_xlfn.XLOOKUP(tbl_Ventes[[#This Row],[Cde_Prdt]], tbl_Produits[Cde_Prdt], tbl_Produits[Prix Menu]), 0)</f>
        <v>0</v>
      </c>
      <c r="H3630" s="7">
        <f>IFERROR(_xlfn.XLOOKUP(tbl_Ventes[[#This Row],[Cde_Prdt]], tbl_Produits[Cde_Prdt], tbl_Produits[Coût Moyen Portion]), 0)</f>
        <v>0</v>
      </c>
      <c r="I3630" s="7">
        <f>tbl_Ventes[[#This Row],[Qté Vendue]] * tbl_Ventes[[#This Row],[CMP_par_portion]]</f>
        <v>0</v>
      </c>
      <c r="J3630" s="7">
        <f>tbl_Ventes[[#This Row],[CA ligne]] - tbl_Ventes[[#This Row],[Coût matière ligne]]</f>
        <v>0</v>
      </c>
      <c r="K3630" s="7" t="str">
        <f>IFERROR(INDEX(tbl_ProduitsRef[Famille], MATCH(tbl_Ventes[[#This Row],[Cde_Prdt]], tbl_Produits[Cde_Prdt], 0)), "")</f>
        <v/>
      </c>
    </row>
    <row r="3631" spans="1:11" x14ac:dyDescent="0.25">
      <c r="A3631" s="5"/>
      <c r="B3631" s="63" t="str">
        <f>IFERROR(TEXT(tbl_Ventes[[#This Row],[Date]],"mm-aaaa"),"")</f>
        <v>01-1900</v>
      </c>
      <c r="D3631" s="10" t="str">
        <f>IFERROR(
   INDEX(tbl_ProduitsRef[Cde_Prdt],MATCH(tbl_Ventes[[#This Row],[Produit]],tbl_ProduitsRef[Produit],0)),
   ""
)</f>
        <v/>
      </c>
      <c r="E3631" s="7">
        <v>0</v>
      </c>
      <c r="F3631" s="7" t="str">
        <f>IFERROR(
   INDEX(tbl_ProduitsRef[Prix Menu],MATCH(tbl_Ventes[[#This Row],[Produit]],tbl_ProduitsRef[Produit],0)),
   ""
)</f>
        <v/>
      </c>
      <c r="G3631" s="7">
        <f>tbl_Ventes[[#This Row],[Qté Vendue]] * IFERROR(_xlfn.XLOOKUP(tbl_Ventes[[#This Row],[Cde_Prdt]], tbl_Produits[Cde_Prdt], tbl_Produits[Prix Menu]), 0)</f>
        <v>0</v>
      </c>
      <c r="H3631" s="7">
        <f>IFERROR(_xlfn.XLOOKUP(tbl_Ventes[[#This Row],[Cde_Prdt]], tbl_Produits[Cde_Prdt], tbl_Produits[Coût Moyen Portion]), 0)</f>
        <v>0</v>
      </c>
      <c r="I3631" s="7">
        <f>tbl_Ventes[[#This Row],[Qté Vendue]] * tbl_Ventes[[#This Row],[CMP_par_portion]]</f>
        <v>0</v>
      </c>
      <c r="J3631" s="7">
        <f>tbl_Ventes[[#This Row],[CA ligne]] - tbl_Ventes[[#This Row],[Coût matière ligne]]</f>
        <v>0</v>
      </c>
      <c r="K3631" s="7" t="str">
        <f>IFERROR(INDEX(tbl_ProduitsRef[Famille], MATCH(tbl_Ventes[[#This Row],[Cde_Prdt]], tbl_Produits[Cde_Prdt], 0)), "")</f>
        <v/>
      </c>
    </row>
    <row r="3632" spans="1:11" x14ac:dyDescent="0.25">
      <c r="A3632" s="5"/>
      <c r="B3632" s="63" t="str">
        <f>IFERROR(TEXT(tbl_Ventes[[#This Row],[Date]],"mm-aaaa"),"")</f>
        <v>01-1900</v>
      </c>
      <c r="D3632" s="10" t="str">
        <f>IFERROR(
   INDEX(tbl_ProduitsRef[Cde_Prdt],MATCH(tbl_Ventes[[#This Row],[Produit]],tbl_ProduitsRef[Produit],0)),
   ""
)</f>
        <v/>
      </c>
      <c r="E3632" s="7">
        <v>0</v>
      </c>
      <c r="F3632" s="7" t="str">
        <f>IFERROR(
   INDEX(tbl_ProduitsRef[Prix Menu],MATCH(tbl_Ventes[[#This Row],[Produit]],tbl_ProduitsRef[Produit],0)),
   ""
)</f>
        <v/>
      </c>
      <c r="G3632" s="7">
        <f>tbl_Ventes[[#This Row],[Qté Vendue]] * IFERROR(_xlfn.XLOOKUP(tbl_Ventes[[#This Row],[Cde_Prdt]], tbl_Produits[Cde_Prdt], tbl_Produits[Prix Menu]), 0)</f>
        <v>0</v>
      </c>
      <c r="H3632" s="7">
        <f>IFERROR(_xlfn.XLOOKUP(tbl_Ventes[[#This Row],[Cde_Prdt]], tbl_Produits[Cde_Prdt], tbl_Produits[Coût Moyen Portion]), 0)</f>
        <v>0</v>
      </c>
      <c r="I3632" s="7">
        <f>tbl_Ventes[[#This Row],[Qté Vendue]] * tbl_Ventes[[#This Row],[CMP_par_portion]]</f>
        <v>0</v>
      </c>
      <c r="J3632" s="7">
        <f>tbl_Ventes[[#This Row],[CA ligne]] - tbl_Ventes[[#This Row],[Coût matière ligne]]</f>
        <v>0</v>
      </c>
      <c r="K3632" s="7" t="str">
        <f>IFERROR(INDEX(tbl_ProduitsRef[Famille], MATCH(tbl_Ventes[[#This Row],[Cde_Prdt]], tbl_Produits[Cde_Prdt], 0)), "")</f>
        <v/>
      </c>
    </row>
    <row r="3633" spans="1:11" x14ac:dyDescent="0.25">
      <c r="A3633" s="5"/>
      <c r="B3633" s="63" t="str">
        <f>IFERROR(TEXT(tbl_Ventes[[#This Row],[Date]],"mm-aaaa"),"")</f>
        <v>01-1900</v>
      </c>
      <c r="D3633" s="10" t="str">
        <f>IFERROR(
   INDEX(tbl_ProduitsRef[Cde_Prdt],MATCH(tbl_Ventes[[#This Row],[Produit]],tbl_ProduitsRef[Produit],0)),
   ""
)</f>
        <v/>
      </c>
      <c r="E3633" s="7">
        <v>0</v>
      </c>
      <c r="F3633" s="7" t="str">
        <f>IFERROR(
   INDEX(tbl_ProduitsRef[Prix Menu],MATCH(tbl_Ventes[[#This Row],[Produit]],tbl_ProduitsRef[Produit],0)),
   ""
)</f>
        <v/>
      </c>
      <c r="G3633" s="7">
        <f>tbl_Ventes[[#This Row],[Qté Vendue]] * IFERROR(_xlfn.XLOOKUP(tbl_Ventes[[#This Row],[Cde_Prdt]], tbl_Produits[Cde_Prdt], tbl_Produits[Prix Menu]), 0)</f>
        <v>0</v>
      </c>
      <c r="H3633" s="7">
        <f>IFERROR(_xlfn.XLOOKUP(tbl_Ventes[[#This Row],[Cde_Prdt]], tbl_Produits[Cde_Prdt], tbl_Produits[Coût Moyen Portion]), 0)</f>
        <v>0</v>
      </c>
      <c r="I3633" s="7">
        <f>tbl_Ventes[[#This Row],[Qté Vendue]] * tbl_Ventes[[#This Row],[CMP_par_portion]]</f>
        <v>0</v>
      </c>
      <c r="J3633" s="7">
        <f>tbl_Ventes[[#This Row],[CA ligne]] - tbl_Ventes[[#This Row],[Coût matière ligne]]</f>
        <v>0</v>
      </c>
      <c r="K3633" s="7" t="str">
        <f>IFERROR(INDEX(tbl_ProduitsRef[Famille], MATCH(tbl_Ventes[[#This Row],[Cde_Prdt]], tbl_Produits[Cde_Prdt], 0)), "")</f>
        <v/>
      </c>
    </row>
    <row r="3634" spans="1:11" x14ac:dyDescent="0.25">
      <c r="A3634" s="5"/>
      <c r="B3634" s="63" t="str">
        <f>IFERROR(TEXT(tbl_Ventes[[#This Row],[Date]],"mm-aaaa"),"")</f>
        <v>01-1900</v>
      </c>
      <c r="D3634" s="10" t="str">
        <f>IFERROR(
   INDEX(tbl_ProduitsRef[Cde_Prdt],MATCH(tbl_Ventes[[#This Row],[Produit]],tbl_ProduitsRef[Produit],0)),
   ""
)</f>
        <v/>
      </c>
      <c r="E3634" s="7">
        <v>0</v>
      </c>
      <c r="F3634" s="7" t="str">
        <f>IFERROR(
   INDEX(tbl_ProduitsRef[Prix Menu],MATCH(tbl_Ventes[[#This Row],[Produit]],tbl_ProduitsRef[Produit],0)),
   ""
)</f>
        <v/>
      </c>
      <c r="G3634" s="7">
        <f>tbl_Ventes[[#This Row],[Qté Vendue]] * IFERROR(_xlfn.XLOOKUP(tbl_Ventes[[#This Row],[Cde_Prdt]], tbl_Produits[Cde_Prdt], tbl_Produits[Prix Menu]), 0)</f>
        <v>0</v>
      </c>
      <c r="H3634" s="7">
        <f>IFERROR(_xlfn.XLOOKUP(tbl_Ventes[[#This Row],[Cde_Prdt]], tbl_Produits[Cde_Prdt], tbl_Produits[Coût Moyen Portion]), 0)</f>
        <v>0</v>
      </c>
      <c r="I3634" s="7">
        <f>tbl_Ventes[[#This Row],[Qté Vendue]] * tbl_Ventes[[#This Row],[CMP_par_portion]]</f>
        <v>0</v>
      </c>
      <c r="J3634" s="7">
        <f>tbl_Ventes[[#This Row],[CA ligne]] - tbl_Ventes[[#This Row],[Coût matière ligne]]</f>
        <v>0</v>
      </c>
      <c r="K3634" s="7" t="str">
        <f>IFERROR(INDEX(tbl_ProduitsRef[Famille], MATCH(tbl_Ventes[[#This Row],[Cde_Prdt]], tbl_Produits[Cde_Prdt], 0)), "")</f>
        <v/>
      </c>
    </row>
    <row r="3635" spans="1:11" x14ac:dyDescent="0.25">
      <c r="A3635" s="5"/>
      <c r="B3635" s="63" t="str">
        <f>IFERROR(TEXT(tbl_Ventes[[#This Row],[Date]],"mm-aaaa"),"")</f>
        <v>01-1900</v>
      </c>
      <c r="D3635" s="10" t="str">
        <f>IFERROR(
   INDEX(tbl_ProduitsRef[Cde_Prdt],MATCH(tbl_Ventes[[#This Row],[Produit]],tbl_ProduitsRef[Produit],0)),
   ""
)</f>
        <v/>
      </c>
      <c r="E3635" s="7">
        <v>0</v>
      </c>
      <c r="F3635" s="7" t="str">
        <f>IFERROR(
   INDEX(tbl_ProduitsRef[Prix Menu],MATCH(tbl_Ventes[[#This Row],[Produit]],tbl_ProduitsRef[Produit],0)),
   ""
)</f>
        <v/>
      </c>
      <c r="G3635" s="7">
        <f>tbl_Ventes[[#This Row],[Qté Vendue]] * IFERROR(_xlfn.XLOOKUP(tbl_Ventes[[#This Row],[Cde_Prdt]], tbl_Produits[Cde_Prdt], tbl_Produits[Prix Menu]), 0)</f>
        <v>0</v>
      </c>
      <c r="H3635" s="7">
        <f>IFERROR(_xlfn.XLOOKUP(tbl_Ventes[[#This Row],[Cde_Prdt]], tbl_Produits[Cde_Prdt], tbl_Produits[Coût Moyen Portion]), 0)</f>
        <v>0</v>
      </c>
      <c r="I3635" s="7">
        <f>tbl_Ventes[[#This Row],[Qté Vendue]] * tbl_Ventes[[#This Row],[CMP_par_portion]]</f>
        <v>0</v>
      </c>
      <c r="J3635" s="7">
        <f>tbl_Ventes[[#This Row],[CA ligne]] - tbl_Ventes[[#This Row],[Coût matière ligne]]</f>
        <v>0</v>
      </c>
      <c r="K3635" s="7" t="str">
        <f>IFERROR(INDEX(tbl_ProduitsRef[Famille], MATCH(tbl_Ventes[[#This Row],[Cde_Prdt]], tbl_Produits[Cde_Prdt], 0)), "")</f>
        <v/>
      </c>
    </row>
    <row r="3636" spans="1:11" x14ac:dyDescent="0.25">
      <c r="A3636" s="5"/>
      <c r="B3636" s="63" t="str">
        <f>IFERROR(TEXT(tbl_Ventes[[#This Row],[Date]],"mm-aaaa"),"")</f>
        <v>01-1900</v>
      </c>
      <c r="D3636" s="10" t="str">
        <f>IFERROR(
   INDEX(tbl_ProduitsRef[Cde_Prdt],MATCH(tbl_Ventes[[#This Row],[Produit]],tbl_ProduitsRef[Produit],0)),
   ""
)</f>
        <v/>
      </c>
      <c r="E3636" s="7">
        <v>0</v>
      </c>
      <c r="F3636" s="7" t="str">
        <f>IFERROR(
   INDEX(tbl_ProduitsRef[Prix Menu],MATCH(tbl_Ventes[[#This Row],[Produit]],tbl_ProduitsRef[Produit],0)),
   ""
)</f>
        <v/>
      </c>
      <c r="G3636" s="7">
        <f>tbl_Ventes[[#This Row],[Qté Vendue]] * IFERROR(_xlfn.XLOOKUP(tbl_Ventes[[#This Row],[Cde_Prdt]], tbl_Produits[Cde_Prdt], tbl_Produits[Prix Menu]), 0)</f>
        <v>0</v>
      </c>
      <c r="H3636" s="7">
        <f>IFERROR(_xlfn.XLOOKUP(tbl_Ventes[[#This Row],[Cde_Prdt]], tbl_Produits[Cde_Prdt], tbl_Produits[Coût Moyen Portion]), 0)</f>
        <v>0</v>
      </c>
      <c r="I3636" s="7">
        <f>tbl_Ventes[[#This Row],[Qté Vendue]] * tbl_Ventes[[#This Row],[CMP_par_portion]]</f>
        <v>0</v>
      </c>
      <c r="J3636" s="7">
        <f>tbl_Ventes[[#This Row],[CA ligne]] - tbl_Ventes[[#This Row],[Coût matière ligne]]</f>
        <v>0</v>
      </c>
      <c r="K3636" s="7" t="str">
        <f>IFERROR(INDEX(tbl_ProduitsRef[Famille], MATCH(tbl_Ventes[[#This Row],[Cde_Prdt]], tbl_Produits[Cde_Prdt], 0)), "")</f>
        <v/>
      </c>
    </row>
    <row r="3637" spans="1:11" x14ac:dyDescent="0.25">
      <c r="A3637" s="5"/>
      <c r="B3637" s="63" t="str">
        <f>IFERROR(TEXT(tbl_Ventes[[#This Row],[Date]],"mm-aaaa"),"")</f>
        <v>01-1900</v>
      </c>
      <c r="D3637" s="10" t="str">
        <f>IFERROR(
   INDEX(tbl_ProduitsRef[Cde_Prdt],MATCH(tbl_Ventes[[#This Row],[Produit]],tbl_ProduitsRef[Produit],0)),
   ""
)</f>
        <v/>
      </c>
      <c r="E3637" s="7">
        <v>0</v>
      </c>
      <c r="F3637" s="7" t="str">
        <f>IFERROR(
   INDEX(tbl_ProduitsRef[Prix Menu],MATCH(tbl_Ventes[[#This Row],[Produit]],tbl_ProduitsRef[Produit],0)),
   ""
)</f>
        <v/>
      </c>
      <c r="G3637" s="7">
        <f>tbl_Ventes[[#This Row],[Qté Vendue]] * IFERROR(_xlfn.XLOOKUP(tbl_Ventes[[#This Row],[Cde_Prdt]], tbl_Produits[Cde_Prdt], tbl_Produits[Prix Menu]), 0)</f>
        <v>0</v>
      </c>
      <c r="H3637" s="7">
        <f>IFERROR(_xlfn.XLOOKUP(tbl_Ventes[[#This Row],[Cde_Prdt]], tbl_Produits[Cde_Prdt], tbl_Produits[Coût Moyen Portion]), 0)</f>
        <v>0</v>
      </c>
      <c r="I3637" s="7">
        <f>tbl_Ventes[[#This Row],[Qté Vendue]] * tbl_Ventes[[#This Row],[CMP_par_portion]]</f>
        <v>0</v>
      </c>
      <c r="J3637" s="7">
        <f>tbl_Ventes[[#This Row],[CA ligne]] - tbl_Ventes[[#This Row],[Coût matière ligne]]</f>
        <v>0</v>
      </c>
      <c r="K3637" s="7" t="str">
        <f>IFERROR(INDEX(tbl_ProduitsRef[Famille], MATCH(tbl_Ventes[[#This Row],[Cde_Prdt]], tbl_Produits[Cde_Prdt], 0)), "")</f>
        <v/>
      </c>
    </row>
    <row r="3638" spans="1:11" x14ac:dyDescent="0.25">
      <c r="A3638" s="5"/>
      <c r="B3638" s="63" t="str">
        <f>IFERROR(TEXT(tbl_Ventes[[#This Row],[Date]],"mm-aaaa"),"")</f>
        <v>01-1900</v>
      </c>
      <c r="D3638" s="10" t="str">
        <f>IFERROR(
   INDEX(tbl_ProduitsRef[Cde_Prdt],MATCH(tbl_Ventes[[#This Row],[Produit]],tbl_ProduitsRef[Produit],0)),
   ""
)</f>
        <v/>
      </c>
      <c r="E3638" s="7">
        <v>0</v>
      </c>
      <c r="F3638" s="7" t="str">
        <f>IFERROR(
   INDEX(tbl_ProduitsRef[Prix Menu],MATCH(tbl_Ventes[[#This Row],[Produit]],tbl_ProduitsRef[Produit],0)),
   ""
)</f>
        <v/>
      </c>
      <c r="G3638" s="7">
        <f>tbl_Ventes[[#This Row],[Qté Vendue]] * IFERROR(_xlfn.XLOOKUP(tbl_Ventes[[#This Row],[Cde_Prdt]], tbl_Produits[Cde_Prdt], tbl_Produits[Prix Menu]), 0)</f>
        <v>0</v>
      </c>
      <c r="H3638" s="7">
        <f>IFERROR(_xlfn.XLOOKUP(tbl_Ventes[[#This Row],[Cde_Prdt]], tbl_Produits[Cde_Prdt], tbl_Produits[Coût Moyen Portion]), 0)</f>
        <v>0</v>
      </c>
      <c r="I3638" s="7">
        <f>tbl_Ventes[[#This Row],[Qté Vendue]] * tbl_Ventes[[#This Row],[CMP_par_portion]]</f>
        <v>0</v>
      </c>
      <c r="J3638" s="7">
        <f>tbl_Ventes[[#This Row],[CA ligne]] - tbl_Ventes[[#This Row],[Coût matière ligne]]</f>
        <v>0</v>
      </c>
      <c r="K3638" s="7" t="str">
        <f>IFERROR(INDEX(tbl_ProduitsRef[Famille], MATCH(tbl_Ventes[[#This Row],[Cde_Prdt]], tbl_Produits[Cde_Prdt], 0)), "")</f>
        <v/>
      </c>
    </row>
    <row r="3639" spans="1:11" x14ac:dyDescent="0.25">
      <c r="A3639" s="5"/>
      <c r="B3639" s="63" t="str">
        <f>IFERROR(TEXT(tbl_Ventes[[#This Row],[Date]],"mm-aaaa"),"")</f>
        <v>01-1900</v>
      </c>
      <c r="D3639" s="10" t="str">
        <f>IFERROR(
   INDEX(tbl_ProduitsRef[Cde_Prdt],MATCH(tbl_Ventes[[#This Row],[Produit]],tbl_ProduitsRef[Produit],0)),
   ""
)</f>
        <v/>
      </c>
      <c r="E3639" s="7">
        <v>0</v>
      </c>
      <c r="F3639" s="7" t="str">
        <f>IFERROR(
   INDEX(tbl_ProduitsRef[Prix Menu],MATCH(tbl_Ventes[[#This Row],[Produit]],tbl_ProduitsRef[Produit],0)),
   ""
)</f>
        <v/>
      </c>
      <c r="G3639" s="7">
        <f>tbl_Ventes[[#This Row],[Qté Vendue]] * IFERROR(_xlfn.XLOOKUP(tbl_Ventes[[#This Row],[Cde_Prdt]], tbl_Produits[Cde_Prdt], tbl_Produits[Prix Menu]), 0)</f>
        <v>0</v>
      </c>
      <c r="H3639" s="7">
        <f>IFERROR(_xlfn.XLOOKUP(tbl_Ventes[[#This Row],[Cde_Prdt]], tbl_Produits[Cde_Prdt], tbl_Produits[Coût Moyen Portion]), 0)</f>
        <v>0</v>
      </c>
      <c r="I3639" s="7">
        <f>tbl_Ventes[[#This Row],[Qté Vendue]] * tbl_Ventes[[#This Row],[CMP_par_portion]]</f>
        <v>0</v>
      </c>
      <c r="J3639" s="7">
        <f>tbl_Ventes[[#This Row],[CA ligne]] - tbl_Ventes[[#This Row],[Coût matière ligne]]</f>
        <v>0</v>
      </c>
      <c r="K3639" s="7" t="str">
        <f>IFERROR(INDEX(tbl_ProduitsRef[Famille], MATCH(tbl_Ventes[[#This Row],[Cde_Prdt]], tbl_Produits[Cde_Prdt], 0)), "")</f>
        <v/>
      </c>
    </row>
    <row r="3640" spans="1:11" x14ac:dyDescent="0.25">
      <c r="A3640" s="5"/>
      <c r="B3640" s="63" t="str">
        <f>IFERROR(TEXT(tbl_Ventes[[#This Row],[Date]],"mm-aaaa"),"")</f>
        <v>01-1900</v>
      </c>
      <c r="D3640" s="10" t="str">
        <f>IFERROR(
   INDEX(tbl_ProduitsRef[Cde_Prdt],MATCH(tbl_Ventes[[#This Row],[Produit]],tbl_ProduitsRef[Produit],0)),
   ""
)</f>
        <v/>
      </c>
      <c r="E3640" s="7">
        <v>0</v>
      </c>
      <c r="F3640" s="7" t="str">
        <f>IFERROR(
   INDEX(tbl_ProduitsRef[Prix Menu],MATCH(tbl_Ventes[[#This Row],[Produit]],tbl_ProduitsRef[Produit],0)),
   ""
)</f>
        <v/>
      </c>
      <c r="G3640" s="7">
        <f>tbl_Ventes[[#This Row],[Qté Vendue]] * IFERROR(_xlfn.XLOOKUP(tbl_Ventes[[#This Row],[Cde_Prdt]], tbl_Produits[Cde_Prdt], tbl_Produits[Prix Menu]), 0)</f>
        <v>0</v>
      </c>
      <c r="H3640" s="7">
        <f>IFERROR(_xlfn.XLOOKUP(tbl_Ventes[[#This Row],[Cde_Prdt]], tbl_Produits[Cde_Prdt], tbl_Produits[Coût Moyen Portion]), 0)</f>
        <v>0</v>
      </c>
      <c r="I3640" s="7">
        <f>tbl_Ventes[[#This Row],[Qté Vendue]] * tbl_Ventes[[#This Row],[CMP_par_portion]]</f>
        <v>0</v>
      </c>
      <c r="J3640" s="7">
        <f>tbl_Ventes[[#This Row],[CA ligne]] - tbl_Ventes[[#This Row],[Coût matière ligne]]</f>
        <v>0</v>
      </c>
      <c r="K3640" s="7" t="str">
        <f>IFERROR(INDEX(tbl_ProduitsRef[Famille], MATCH(tbl_Ventes[[#This Row],[Cde_Prdt]], tbl_Produits[Cde_Prdt], 0)), "")</f>
        <v/>
      </c>
    </row>
    <row r="3641" spans="1:11" x14ac:dyDescent="0.25">
      <c r="A3641" s="5"/>
      <c r="B3641" s="63" t="str">
        <f>IFERROR(TEXT(tbl_Ventes[[#This Row],[Date]],"mm-aaaa"),"")</f>
        <v>01-1900</v>
      </c>
      <c r="D3641" s="10" t="str">
        <f>IFERROR(
   INDEX(tbl_ProduitsRef[Cde_Prdt],MATCH(tbl_Ventes[[#This Row],[Produit]],tbl_ProduitsRef[Produit],0)),
   ""
)</f>
        <v/>
      </c>
      <c r="E3641" s="7">
        <v>0</v>
      </c>
      <c r="F3641" s="7" t="str">
        <f>IFERROR(
   INDEX(tbl_ProduitsRef[Prix Menu],MATCH(tbl_Ventes[[#This Row],[Produit]],tbl_ProduitsRef[Produit],0)),
   ""
)</f>
        <v/>
      </c>
      <c r="G3641" s="7">
        <f>tbl_Ventes[[#This Row],[Qté Vendue]] * IFERROR(_xlfn.XLOOKUP(tbl_Ventes[[#This Row],[Cde_Prdt]], tbl_Produits[Cde_Prdt], tbl_Produits[Prix Menu]), 0)</f>
        <v>0</v>
      </c>
      <c r="H3641" s="7">
        <f>IFERROR(_xlfn.XLOOKUP(tbl_Ventes[[#This Row],[Cde_Prdt]], tbl_Produits[Cde_Prdt], tbl_Produits[Coût Moyen Portion]), 0)</f>
        <v>0</v>
      </c>
      <c r="I3641" s="7">
        <f>tbl_Ventes[[#This Row],[Qté Vendue]] * tbl_Ventes[[#This Row],[CMP_par_portion]]</f>
        <v>0</v>
      </c>
      <c r="J3641" s="7">
        <f>tbl_Ventes[[#This Row],[CA ligne]] - tbl_Ventes[[#This Row],[Coût matière ligne]]</f>
        <v>0</v>
      </c>
      <c r="K3641" s="7" t="str">
        <f>IFERROR(INDEX(tbl_ProduitsRef[Famille], MATCH(tbl_Ventes[[#This Row],[Cde_Prdt]], tbl_Produits[Cde_Prdt], 0)), "")</f>
        <v/>
      </c>
    </row>
    <row r="3642" spans="1:11" x14ac:dyDescent="0.25">
      <c r="A3642" s="5"/>
      <c r="B3642" s="63" t="str">
        <f>IFERROR(TEXT(tbl_Ventes[[#This Row],[Date]],"mm-aaaa"),"")</f>
        <v>01-1900</v>
      </c>
      <c r="D3642" s="10" t="str">
        <f>IFERROR(
   INDEX(tbl_ProduitsRef[Cde_Prdt],MATCH(tbl_Ventes[[#This Row],[Produit]],tbl_ProduitsRef[Produit],0)),
   ""
)</f>
        <v/>
      </c>
      <c r="E3642" s="7">
        <v>0</v>
      </c>
      <c r="F3642" s="7" t="str">
        <f>IFERROR(
   INDEX(tbl_ProduitsRef[Prix Menu],MATCH(tbl_Ventes[[#This Row],[Produit]],tbl_ProduitsRef[Produit],0)),
   ""
)</f>
        <v/>
      </c>
      <c r="G3642" s="7">
        <f>tbl_Ventes[[#This Row],[Qté Vendue]] * IFERROR(_xlfn.XLOOKUP(tbl_Ventes[[#This Row],[Cde_Prdt]], tbl_Produits[Cde_Prdt], tbl_Produits[Prix Menu]), 0)</f>
        <v>0</v>
      </c>
      <c r="H3642" s="7">
        <f>IFERROR(_xlfn.XLOOKUP(tbl_Ventes[[#This Row],[Cde_Prdt]], tbl_Produits[Cde_Prdt], tbl_Produits[Coût Moyen Portion]), 0)</f>
        <v>0</v>
      </c>
      <c r="I3642" s="7">
        <f>tbl_Ventes[[#This Row],[Qté Vendue]] * tbl_Ventes[[#This Row],[CMP_par_portion]]</f>
        <v>0</v>
      </c>
      <c r="J3642" s="7">
        <f>tbl_Ventes[[#This Row],[CA ligne]] - tbl_Ventes[[#This Row],[Coût matière ligne]]</f>
        <v>0</v>
      </c>
      <c r="K3642" s="7" t="str">
        <f>IFERROR(INDEX(tbl_ProduitsRef[Famille], MATCH(tbl_Ventes[[#This Row],[Cde_Prdt]], tbl_Produits[Cde_Prdt], 0)), "")</f>
        <v/>
      </c>
    </row>
    <row r="3643" spans="1:11" x14ac:dyDescent="0.25">
      <c r="A3643" s="5"/>
      <c r="B3643" s="63" t="str">
        <f>IFERROR(TEXT(tbl_Ventes[[#This Row],[Date]],"mm-aaaa"),"")</f>
        <v>01-1900</v>
      </c>
      <c r="D3643" s="10" t="str">
        <f>IFERROR(
   INDEX(tbl_ProduitsRef[Cde_Prdt],MATCH(tbl_Ventes[[#This Row],[Produit]],tbl_ProduitsRef[Produit],0)),
   ""
)</f>
        <v/>
      </c>
      <c r="E3643" s="7">
        <v>0</v>
      </c>
      <c r="F3643" s="7" t="str">
        <f>IFERROR(
   INDEX(tbl_ProduitsRef[Prix Menu],MATCH(tbl_Ventes[[#This Row],[Produit]],tbl_ProduitsRef[Produit],0)),
   ""
)</f>
        <v/>
      </c>
      <c r="G3643" s="7">
        <f>tbl_Ventes[[#This Row],[Qté Vendue]] * IFERROR(_xlfn.XLOOKUP(tbl_Ventes[[#This Row],[Cde_Prdt]], tbl_Produits[Cde_Prdt], tbl_Produits[Prix Menu]), 0)</f>
        <v>0</v>
      </c>
      <c r="H3643" s="7">
        <f>IFERROR(_xlfn.XLOOKUP(tbl_Ventes[[#This Row],[Cde_Prdt]], tbl_Produits[Cde_Prdt], tbl_Produits[Coût Moyen Portion]), 0)</f>
        <v>0</v>
      </c>
      <c r="I3643" s="7">
        <f>tbl_Ventes[[#This Row],[Qté Vendue]] * tbl_Ventes[[#This Row],[CMP_par_portion]]</f>
        <v>0</v>
      </c>
      <c r="J3643" s="7">
        <f>tbl_Ventes[[#This Row],[CA ligne]] - tbl_Ventes[[#This Row],[Coût matière ligne]]</f>
        <v>0</v>
      </c>
      <c r="K3643" s="7" t="str">
        <f>IFERROR(INDEX(tbl_ProduitsRef[Famille], MATCH(tbl_Ventes[[#This Row],[Cde_Prdt]], tbl_Produits[Cde_Prdt], 0)), "")</f>
        <v/>
      </c>
    </row>
    <row r="3644" spans="1:11" x14ac:dyDescent="0.25">
      <c r="A3644" s="5"/>
      <c r="B3644" s="63" t="str">
        <f>IFERROR(TEXT(tbl_Ventes[[#This Row],[Date]],"mm-aaaa"),"")</f>
        <v>01-1900</v>
      </c>
      <c r="D3644" s="10" t="str">
        <f>IFERROR(
   INDEX(tbl_ProduitsRef[Cde_Prdt],MATCH(tbl_Ventes[[#This Row],[Produit]],tbl_ProduitsRef[Produit],0)),
   ""
)</f>
        <v/>
      </c>
      <c r="E3644" s="7">
        <v>0</v>
      </c>
      <c r="F3644" s="7" t="str">
        <f>IFERROR(
   INDEX(tbl_ProduitsRef[Prix Menu],MATCH(tbl_Ventes[[#This Row],[Produit]],tbl_ProduitsRef[Produit],0)),
   ""
)</f>
        <v/>
      </c>
      <c r="G3644" s="7">
        <f>tbl_Ventes[[#This Row],[Qté Vendue]] * IFERROR(_xlfn.XLOOKUP(tbl_Ventes[[#This Row],[Cde_Prdt]], tbl_Produits[Cde_Prdt], tbl_Produits[Prix Menu]), 0)</f>
        <v>0</v>
      </c>
      <c r="H3644" s="7">
        <f>IFERROR(_xlfn.XLOOKUP(tbl_Ventes[[#This Row],[Cde_Prdt]], tbl_Produits[Cde_Prdt], tbl_Produits[Coût Moyen Portion]), 0)</f>
        <v>0</v>
      </c>
      <c r="I3644" s="7">
        <f>tbl_Ventes[[#This Row],[Qté Vendue]] * tbl_Ventes[[#This Row],[CMP_par_portion]]</f>
        <v>0</v>
      </c>
      <c r="J3644" s="7">
        <f>tbl_Ventes[[#This Row],[CA ligne]] - tbl_Ventes[[#This Row],[Coût matière ligne]]</f>
        <v>0</v>
      </c>
      <c r="K3644" s="7" t="str">
        <f>IFERROR(INDEX(tbl_ProduitsRef[Famille], MATCH(tbl_Ventes[[#This Row],[Cde_Prdt]], tbl_Produits[Cde_Prdt], 0)), "")</f>
        <v/>
      </c>
    </row>
    <row r="3645" spans="1:11" x14ac:dyDescent="0.25">
      <c r="A3645" s="5"/>
      <c r="B3645" s="63" t="str">
        <f>IFERROR(TEXT(tbl_Ventes[[#This Row],[Date]],"mm-aaaa"),"")</f>
        <v>01-1900</v>
      </c>
      <c r="D3645" s="10" t="str">
        <f>IFERROR(
   INDEX(tbl_ProduitsRef[Cde_Prdt],MATCH(tbl_Ventes[[#This Row],[Produit]],tbl_ProduitsRef[Produit],0)),
   ""
)</f>
        <v/>
      </c>
      <c r="E3645" s="7">
        <v>0</v>
      </c>
      <c r="F3645" s="7" t="str">
        <f>IFERROR(
   INDEX(tbl_ProduitsRef[Prix Menu],MATCH(tbl_Ventes[[#This Row],[Produit]],tbl_ProduitsRef[Produit],0)),
   ""
)</f>
        <v/>
      </c>
      <c r="G3645" s="7">
        <f>tbl_Ventes[[#This Row],[Qté Vendue]] * IFERROR(_xlfn.XLOOKUP(tbl_Ventes[[#This Row],[Cde_Prdt]], tbl_Produits[Cde_Prdt], tbl_Produits[Prix Menu]), 0)</f>
        <v>0</v>
      </c>
      <c r="H3645" s="7">
        <f>IFERROR(_xlfn.XLOOKUP(tbl_Ventes[[#This Row],[Cde_Prdt]], tbl_Produits[Cde_Prdt], tbl_Produits[Coût Moyen Portion]), 0)</f>
        <v>0</v>
      </c>
      <c r="I3645" s="7">
        <f>tbl_Ventes[[#This Row],[Qté Vendue]] * tbl_Ventes[[#This Row],[CMP_par_portion]]</f>
        <v>0</v>
      </c>
      <c r="J3645" s="7">
        <f>tbl_Ventes[[#This Row],[CA ligne]] - tbl_Ventes[[#This Row],[Coût matière ligne]]</f>
        <v>0</v>
      </c>
      <c r="K3645" s="7" t="str">
        <f>IFERROR(INDEX(tbl_ProduitsRef[Famille], MATCH(tbl_Ventes[[#This Row],[Cde_Prdt]], tbl_Produits[Cde_Prdt], 0)), "")</f>
        <v/>
      </c>
    </row>
    <row r="3646" spans="1:11" x14ac:dyDescent="0.25">
      <c r="A3646" s="5"/>
      <c r="B3646" s="63" t="str">
        <f>IFERROR(TEXT(tbl_Ventes[[#This Row],[Date]],"mm-aaaa"),"")</f>
        <v>01-1900</v>
      </c>
      <c r="D3646" s="10" t="str">
        <f>IFERROR(
   INDEX(tbl_ProduitsRef[Cde_Prdt],MATCH(tbl_Ventes[[#This Row],[Produit]],tbl_ProduitsRef[Produit],0)),
   ""
)</f>
        <v/>
      </c>
      <c r="E3646" s="7">
        <v>0</v>
      </c>
      <c r="F3646" s="7" t="str">
        <f>IFERROR(
   INDEX(tbl_ProduitsRef[Prix Menu],MATCH(tbl_Ventes[[#This Row],[Produit]],tbl_ProduitsRef[Produit],0)),
   ""
)</f>
        <v/>
      </c>
      <c r="G3646" s="7">
        <f>tbl_Ventes[[#This Row],[Qté Vendue]] * IFERROR(_xlfn.XLOOKUP(tbl_Ventes[[#This Row],[Cde_Prdt]], tbl_Produits[Cde_Prdt], tbl_Produits[Prix Menu]), 0)</f>
        <v>0</v>
      </c>
      <c r="H3646" s="7">
        <f>IFERROR(_xlfn.XLOOKUP(tbl_Ventes[[#This Row],[Cde_Prdt]], tbl_Produits[Cde_Prdt], tbl_Produits[Coût Moyen Portion]), 0)</f>
        <v>0</v>
      </c>
      <c r="I3646" s="7">
        <f>tbl_Ventes[[#This Row],[Qté Vendue]] * tbl_Ventes[[#This Row],[CMP_par_portion]]</f>
        <v>0</v>
      </c>
      <c r="J3646" s="7">
        <f>tbl_Ventes[[#This Row],[CA ligne]] - tbl_Ventes[[#This Row],[Coût matière ligne]]</f>
        <v>0</v>
      </c>
      <c r="K3646" s="7" t="str">
        <f>IFERROR(INDEX(tbl_ProduitsRef[Famille], MATCH(tbl_Ventes[[#This Row],[Cde_Prdt]], tbl_Produits[Cde_Prdt], 0)), "")</f>
        <v/>
      </c>
    </row>
    <row r="3647" spans="1:11" x14ac:dyDescent="0.25">
      <c r="A3647" s="5"/>
      <c r="B3647" s="63" t="str">
        <f>IFERROR(TEXT(tbl_Ventes[[#This Row],[Date]],"mm-aaaa"),"")</f>
        <v>01-1900</v>
      </c>
      <c r="D3647" s="10" t="str">
        <f>IFERROR(
   INDEX(tbl_ProduitsRef[Cde_Prdt],MATCH(tbl_Ventes[[#This Row],[Produit]],tbl_ProduitsRef[Produit],0)),
   ""
)</f>
        <v/>
      </c>
      <c r="E3647" s="7">
        <v>0</v>
      </c>
      <c r="F3647" s="7" t="str">
        <f>IFERROR(
   INDEX(tbl_ProduitsRef[Prix Menu],MATCH(tbl_Ventes[[#This Row],[Produit]],tbl_ProduitsRef[Produit],0)),
   ""
)</f>
        <v/>
      </c>
      <c r="G3647" s="7">
        <f>tbl_Ventes[[#This Row],[Qté Vendue]] * IFERROR(_xlfn.XLOOKUP(tbl_Ventes[[#This Row],[Cde_Prdt]], tbl_Produits[Cde_Prdt], tbl_Produits[Prix Menu]), 0)</f>
        <v>0</v>
      </c>
      <c r="H3647" s="7">
        <f>IFERROR(_xlfn.XLOOKUP(tbl_Ventes[[#This Row],[Cde_Prdt]], tbl_Produits[Cde_Prdt], tbl_Produits[Coût Moyen Portion]), 0)</f>
        <v>0</v>
      </c>
      <c r="I3647" s="7">
        <f>tbl_Ventes[[#This Row],[Qté Vendue]] * tbl_Ventes[[#This Row],[CMP_par_portion]]</f>
        <v>0</v>
      </c>
      <c r="J3647" s="7">
        <f>tbl_Ventes[[#This Row],[CA ligne]] - tbl_Ventes[[#This Row],[Coût matière ligne]]</f>
        <v>0</v>
      </c>
      <c r="K3647" s="7" t="str">
        <f>IFERROR(INDEX(tbl_ProduitsRef[Famille], MATCH(tbl_Ventes[[#This Row],[Cde_Prdt]], tbl_Produits[Cde_Prdt], 0)), "")</f>
        <v/>
      </c>
    </row>
    <row r="3648" spans="1:11" x14ac:dyDescent="0.25">
      <c r="A3648" s="5"/>
      <c r="B3648" s="63" t="str">
        <f>IFERROR(TEXT(tbl_Ventes[[#This Row],[Date]],"mm-aaaa"),"")</f>
        <v>01-1900</v>
      </c>
      <c r="D3648" s="10" t="str">
        <f>IFERROR(
   INDEX(tbl_ProduitsRef[Cde_Prdt],MATCH(tbl_Ventes[[#This Row],[Produit]],tbl_ProduitsRef[Produit],0)),
   ""
)</f>
        <v/>
      </c>
      <c r="E3648" s="7">
        <v>0</v>
      </c>
      <c r="F3648" s="7" t="str">
        <f>IFERROR(
   INDEX(tbl_ProduitsRef[Prix Menu],MATCH(tbl_Ventes[[#This Row],[Produit]],tbl_ProduitsRef[Produit],0)),
   ""
)</f>
        <v/>
      </c>
      <c r="G3648" s="7">
        <f>tbl_Ventes[[#This Row],[Qté Vendue]] * IFERROR(_xlfn.XLOOKUP(tbl_Ventes[[#This Row],[Cde_Prdt]], tbl_Produits[Cde_Prdt], tbl_Produits[Prix Menu]), 0)</f>
        <v>0</v>
      </c>
      <c r="H3648" s="7">
        <f>IFERROR(_xlfn.XLOOKUP(tbl_Ventes[[#This Row],[Cde_Prdt]], tbl_Produits[Cde_Prdt], tbl_Produits[Coût Moyen Portion]), 0)</f>
        <v>0</v>
      </c>
      <c r="I3648" s="7">
        <f>tbl_Ventes[[#This Row],[Qté Vendue]] * tbl_Ventes[[#This Row],[CMP_par_portion]]</f>
        <v>0</v>
      </c>
      <c r="J3648" s="7">
        <f>tbl_Ventes[[#This Row],[CA ligne]] - tbl_Ventes[[#This Row],[Coût matière ligne]]</f>
        <v>0</v>
      </c>
      <c r="K3648" s="7" t="str">
        <f>IFERROR(INDEX(tbl_ProduitsRef[Famille], MATCH(tbl_Ventes[[#This Row],[Cde_Prdt]], tbl_Produits[Cde_Prdt], 0)), "")</f>
        <v/>
      </c>
    </row>
    <row r="3649" spans="1:11" x14ac:dyDescent="0.25">
      <c r="A3649" s="5"/>
      <c r="B3649" s="63" t="str">
        <f>IFERROR(TEXT(tbl_Ventes[[#This Row],[Date]],"mm-aaaa"),"")</f>
        <v>01-1900</v>
      </c>
      <c r="D3649" s="10" t="str">
        <f>IFERROR(
   INDEX(tbl_ProduitsRef[Cde_Prdt],MATCH(tbl_Ventes[[#This Row],[Produit]],tbl_ProduitsRef[Produit],0)),
   ""
)</f>
        <v/>
      </c>
      <c r="E3649" s="7">
        <v>0</v>
      </c>
      <c r="F3649" s="7" t="str">
        <f>IFERROR(
   INDEX(tbl_ProduitsRef[Prix Menu],MATCH(tbl_Ventes[[#This Row],[Produit]],tbl_ProduitsRef[Produit],0)),
   ""
)</f>
        <v/>
      </c>
      <c r="G3649" s="7">
        <f>tbl_Ventes[[#This Row],[Qté Vendue]] * IFERROR(_xlfn.XLOOKUP(tbl_Ventes[[#This Row],[Cde_Prdt]], tbl_Produits[Cde_Prdt], tbl_Produits[Prix Menu]), 0)</f>
        <v>0</v>
      </c>
      <c r="H3649" s="7">
        <f>IFERROR(_xlfn.XLOOKUP(tbl_Ventes[[#This Row],[Cde_Prdt]], tbl_Produits[Cde_Prdt], tbl_Produits[Coût Moyen Portion]), 0)</f>
        <v>0</v>
      </c>
      <c r="I3649" s="7">
        <f>tbl_Ventes[[#This Row],[Qté Vendue]] * tbl_Ventes[[#This Row],[CMP_par_portion]]</f>
        <v>0</v>
      </c>
      <c r="J3649" s="7">
        <f>tbl_Ventes[[#This Row],[CA ligne]] - tbl_Ventes[[#This Row],[Coût matière ligne]]</f>
        <v>0</v>
      </c>
      <c r="K3649" s="7" t="str">
        <f>IFERROR(INDEX(tbl_ProduitsRef[Famille], MATCH(tbl_Ventes[[#This Row],[Cde_Prdt]], tbl_Produits[Cde_Prdt], 0)), "")</f>
        <v/>
      </c>
    </row>
    <row r="3650" spans="1:11" x14ac:dyDescent="0.25">
      <c r="A3650" s="5"/>
      <c r="B3650" s="63" t="str">
        <f>IFERROR(TEXT(tbl_Ventes[[#This Row],[Date]],"mm-aaaa"),"")</f>
        <v>01-1900</v>
      </c>
      <c r="D3650" s="10" t="str">
        <f>IFERROR(
   INDEX(tbl_ProduitsRef[Cde_Prdt],MATCH(tbl_Ventes[[#This Row],[Produit]],tbl_ProduitsRef[Produit],0)),
   ""
)</f>
        <v/>
      </c>
      <c r="E3650" s="7">
        <v>0</v>
      </c>
      <c r="F3650" s="7" t="str">
        <f>IFERROR(
   INDEX(tbl_ProduitsRef[Prix Menu],MATCH(tbl_Ventes[[#This Row],[Produit]],tbl_ProduitsRef[Produit],0)),
   ""
)</f>
        <v/>
      </c>
      <c r="G3650" s="7">
        <f>tbl_Ventes[[#This Row],[Qté Vendue]] * IFERROR(_xlfn.XLOOKUP(tbl_Ventes[[#This Row],[Cde_Prdt]], tbl_Produits[Cde_Prdt], tbl_Produits[Prix Menu]), 0)</f>
        <v>0</v>
      </c>
      <c r="H3650" s="7">
        <f>IFERROR(_xlfn.XLOOKUP(tbl_Ventes[[#This Row],[Cde_Prdt]], tbl_Produits[Cde_Prdt], tbl_Produits[Coût Moyen Portion]), 0)</f>
        <v>0</v>
      </c>
      <c r="I3650" s="7">
        <f>tbl_Ventes[[#This Row],[Qté Vendue]] * tbl_Ventes[[#This Row],[CMP_par_portion]]</f>
        <v>0</v>
      </c>
      <c r="J3650" s="7">
        <f>tbl_Ventes[[#This Row],[CA ligne]] - tbl_Ventes[[#This Row],[Coût matière ligne]]</f>
        <v>0</v>
      </c>
      <c r="K3650" s="7" t="str">
        <f>IFERROR(INDEX(tbl_ProduitsRef[Famille], MATCH(tbl_Ventes[[#This Row],[Cde_Prdt]], tbl_Produits[Cde_Prdt], 0)), "")</f>
        <v/>
      </c>
    </row>
    <row r="3651" spans="1:11" x14ac:dyDescent="0.25">
      <c r="A3651" s="5"/>
      <c r="B3651" s="63" t="str">
        <f>IFERROR(TEXT(tbl_Ventes[[#This Row],[Date]],"mm-aaaa"),"")</f>
        <v>01-1900</v>
      </c>
      <c r="D3651" s="10" t="str">
        <f>IFERROR(
   INDEX(tbl_ProduitsRef[Cde_Prdt],MATCH(tbl_Ventes[[#This Row],[Produit]],tbl_ProduitsRef[Produit],0)),
   ""
)</f>
        <v/>
      </c>
      <c r="E3651" s="7">
        <v>0</v>
      </c>
      <c r="F3651" s="7" t="str">
        <f>IFERROR(
   INDEX(tbl_ProduitsRef[Prix Menu],MATCH(tbl_Ventes[[#This Row],[Produit]],tbl_ProduitsRef[Produit],0)),
   ""
)</f>
        <v/>
      </c>
      <c r="G3651" s="7">
        <f>tbl_Ventes[[#This Row],[Qté Vendue]] * IFERROR(_xlfn.XLOOKUP(tbl_Ventes[[#This Row],[Cde_Prdt]], tbl_Produits[Cde_Prdt], tbl_Produits[Prix Menu]), 0)</f>
        <v>0</v>
      </c>
      <c r="H3651" s="7">
        <f>IFERROR(_xlfn.XLOOKUP(tbl_Ventes[[#This Row],[Cde_Prdt]], tbl_Produits[Cde_Prdt], tbl_Produits[Coût Moyen Portion]), 0)</f>
        <v>0</v>
      </c>
      <c r="I3651" s="7">
        <f>tbl_Ventes[[#This Row],[Qté Vendue]] * tbl_Ventes[[#This Row],[CMP_par_portion]]</f>
        <v>0</v>
      </c>
      <c r="J3651" s="7">
        <f>tbl_Ventes[[#This Row],[CA ligne]] - tbl_Ventes[[#This Row],[Coût matière ligne]]</f>
        <v>0</v>
      </c>
      <c r="K3651" s="7" t="str">
        <f>IFERROR(INDEX(tbl_ProduitsRef[Famille], MATCH(tbl_Ventes[[#This Row],[Cde_Prdt]], tbl_Produits[Cde_Prdt], 0)), "")</f>
        <v/>
      </c>
    </row>
    <row r="3652" spans="1:11" x14ac:dyDescent="0.25">
      <c r="A3652" s="5"/>
      <c r="B3652" s="63" t="str">
        <f>IFERROR(TEXT(tbl_Ventes[[#This Row],[Date]],"mm-aaaa"),"")</f>
        <v>01-1900</v>
      </c>
      <c r="D3652" s="10" t="str">
        <f>IFERROR(
   INDEX(tbl_ProduitsRef[Cde_Prdt],MATCH(tbl_Ventes[[#This Row],[Produit]],tbl_ProduitsRef[Produit],0)),
   ""
)</f>
        <v/>
      </c>
      <c r="E3652" s="7">
        <v>0</v>
      </c>
      <c r="F3652" s="7" t="str">
        <f>IFERROR(
   INDEX(tbl_ProduitsRef[Prix Menu],MATCH(tbl_Ventes[[#This Row],[Produit]],tbl_ProduitsRef[Produit],0)),
   ""
)</f>
        <v/>
      </c>
      <c r="G3652" s="7">
        <f>tbl_Ventes[[#This Row],[Qté Vendue]] * IFERROR(_xlfn.XLOOKUP(tbl_Ventes[[#This Row],[Cde_Prdt]], tbl_Produits[Cde_Prdt], tbl_Produits[Prix Menu]), 0)</f>
        <v>0</v>
      </c>
      <c r="H3652" s="7">
        <f>IFERROR(_xlfn.XLOOKUP(tbl_Ventes[[#This Row],[Cde_Prdt]], tbl_Produits[Cde_Prdt], tbl_Produits[Coût Moyen Portion]), 0)</f>
        <v>0</v>
      </c>
      <c r="I3652" s="7">
        <f>tbl_Ventes[[#This Row],[Qté Vendue]] * tbl_Ventes[[#This Row],[CMP_par_portion]]</f>
        <v>0</v>
      </c>
      <c r="J3652" s="7">
        <f>tbl_Ventes[[#This Row],[CA ligne]] - tbl_Ventes[[#This Row],[Coût matière ligne]]</f>
        <v>0</v>
      </c>
      <c r="K3652" s="7" t="str">
        <f>IFERROR(INDEX(tbl_ProduitsRef[Famille], MATCH(tbl_Ventes[[#This Row],[Cde_Prdt]], tbl_Produits[Cde_Prdt], 0)), "")</f>
        <v/>
      </c>
    </row>
    <row r="3653" spans="1:11" x14ac:dyDescent="0.25">
      <c r="A3653" s="5"/>
      <c r="B3653" s="63" t="str">
        <f>IFERROR(TEXT(tbl_Ventes[[#This Row],[Date]],"mm-aaaa"),"")</f>
        <v>01-1900</v>
      </c>
      <c r="D3653" s="10" t="str">
        <f>IFERROR(
   INDEX(tbl_ProduitsRef[Cde_Prdt],MATCH(tbl_Ventes[[#This Row],[Produit]],tbl_ProduitsRef[Produit],0)),
   ""
)</f>
        <v/>
      </c>
      <c r="E3653" s="7">
        <v>0</v>
      </c>
      <c r="F3653" s="7" t="str">
        <f>IFERROR(
   INDEX(tbl_ProduitsRef[Prix Menu],MATCH(tbl_Ventes[[#This Row],[Produit]],tbl_ProduitsRef[Produit],0)),
   ""
)</f>
        <v/>
      </c>
      <c r="G3653" s="7">
        <f>tbl_Ventes[[#This Row],[Qté Vendue]] * IFERROR(_xlfn.XLOOKUP(tbl_Ventes[[#This Row],[Cde_Prdt]], tbl_Produits[Cde_Prdt], tbl_Produits[Prix Menu]), 0)</f>
        <v>0</v>
      </c>
      <c r="H3653" s="7">
        <f>IFERROR(_xlfn.XLOOKUP(tbl_Ventes[[#This Row],[Cde_Prdt]], tbl_Produits[Cde_Prdt], tbl_Produits[Coût Moyen Portion]), 0)</f>
        <v>0</v>
      </c>
      <c r="I3653" s="7">
        <f>tbl_Ventes[[#This Row],[Qté Vendue]] * tbl_Ventes[[#This Row],[CMP_par_portion]]</f>
        <v>0</v>
      </c>
      <c r="J3653" s="7">
        <f>tbl_Ventes[[#This Row],[CA ligne]] - tbl_Ventes[[#This Row],[Coût matière ligne]]</f>
        <v>0</v>
      </c>
      <c r="K3653" s="7" t="str">
        <f>IFERROR(INDEX(tbl_ProduitsRef[Famille], MATCH(tbl_Ventes[[#This Row],[Cde_Prdt]], tbl_Produits[Cde_Prdt], 0)), "")</f>
        <v/>
      </c>
    </row>
    <row r="3654" spans="1:11" x14ac:dyDescent="0.25">
      <c r="A3654" s="5"/>
      <c r="B3654" s="63" t="str">
        <f>IFERROR(TEXT(tbl_Ventes[[#This Row],[Date]],"mm-aaaa"),"")</f>
        <v>01-1900</v>
      </c>
      <c r="D3654" s="10" t="str">
        <f>IFERROR(
   INDEX(tbl_ProduitsRef[Cde_Prdt],MATCH(tbl_Ventes[[#This Row],[Produit]],tbl_ProduitsRef[Produit],0)),
   ""
)</f>
        <v/>
      </c>
      <c r="E3654" s="7">
        <v>0</v>
      </c>
      <c r="F3654" s="7" t="str">
        <f>IFERROR(
   INDEX(tbl_ProduitsRef[Prix Menu],MATCH(tbl_Ventes[[#This Row],[Produit]],tbl_ProduitsRef[Produit],0)),
   ""
)</f>
        <v/>
      </c>
      <c r="G3654" s="7">
        <f>tbl_Ventes[[#This Row],[Qté Vendue]] * IFERROR(_xlfn.XLOOKUP(tbl_Ventes[[#This Row],[Cde_Prdt]], tbl_Produits[Cde_Prdt], tbl_Produits[Prix Menu]), 0)</f>
        <v>0</v>
      </c>
      <c r="H3654" s="7">
        <f>IFERROR(_xlfn.XLOOKUP(tbl_Ventes[[#This Row],[Cde_Prdt]], tbl_Produits[Cde_Prdt], tbl_Produits[Coût Moyen Portion]), 0)</f>
        <v>0</v>
      </c>
      <c r="I3654" s="7">
        <f>tbl_Ventes[[#This Row],[Qté Vendue]] * tbl_Ventes[[#This Row],[CMP_par_portion]]</f>
        <v>0</v>
      </c>
      <c r="J3654" s="7">
        <f>tbl_Ventes[[#This Row],[CA ligne]] - tbl_Ventes[[#This Row],[Coût matière ligne]]</f>
        <v>0</v>
      </c>
      <c r="K3654" s="7" t="str">
        <f>IFERROR(INDEX(tbl_ProduitsRef[Famille], MATCH(tbl_Ventes[[#This Row],[Cde_Prdt]], tbl_Produits[Cde_Prdt], 0)), "")</f>
        <v/>
      </c>
    </row>
    <row r="3655" spans="1:11" x14ac:dyDescent="0.25">
      <c r="A3655" s="5"/>
      <c r="B3655" s="63" t="str">
        <f>IFERROR(TEXT(tbl_Ventes[[#This Row],[Date]],"mm-aaaa"),"")</f>
        <v>01-1900</v>
      </c>
      <c r="D3655" s="10" t="str">
        <f>IFERROR(
   INDEX(tbl_ProduitsRef[Cde_Prdt],MATCH(tbl_Ventes[[#This Row],[Produit]],tbl_ProduitsRef[Produit],0)),
   ""
)</f>
        <v/>
      </c>
      <c r="E3655" s="7">
        <v>0</v>
      </c>
      <c r="F3655" s="7" t="str">
        <f>IFERROR(
   INDEX(tbl_ProduitsRef[Prix Menu],MATCH(tbl_Ventes[[#This Row],[Produit]],tbl_ProduitsRef[Produit],0)),
   ""
)</f>
        <v/>
      </c>
      <c r="G3655" s="7">
        <f>tbl_Ventes[[#This Row],[Qté Vendue]] * IFERROR(_xlfn.XLOOKUP(tbl_Ventes[[#This Row],[Cde_Prdt]], tbl_Produits[Cde_Prdt], tbl_Produits[Prix Menu]), 0)</f>
        <v>0</v>
      </c>
      <c r="H3655" s="7">
        <f>IFERROR(_xlfn.XLOOKUP(tbl_Ventes[[#This Row],[Cde_Prdt]], tbl_Produits[Cde_Prdt], tbl_Produits[Coût Moyen Portion]), 0)</f>
        <v>0</v>
      </c>
      <c r="I3655" s="7">
        <f>tbl_Ventes[[#This Row],[Qté Vendue]] * tbl_Ventes[[#This Row],[CMP_par_portion]]</f>
        <v>0</v>
      </c>
      <c r="J3655" s="7">
        <f>tbl_Ventes[[#This Row],[CA ligne]] - tbl_Ventes[[#This Row],[Coût matière ligne]]</f>
        <v>0</v>
      </c>
      <c r="K3655" s="7" t="str">
        <f>IFERROR(INDEX(tbl_ProduitsRef[Famille], MATCH(tbl_Ventes[[#This Row],[Cde_Prdt]], tbl_Produits[Cde_Prdt], 0)), "")</f>
        <v/>
      </c>
    </row>
    <row r="3656" spans="1:11" x14ac:dyDescent="0.25">
      <c r="A3656" s="5"/>
      <c r="B3656" s="63" t="str">
        <f>IFERROR(TEXT(tbl_Ventes[[#This Row],[Date]],"mm-aaaa"),"")</f>
        <v>01-1900</v>
      </c>
      <c r="D3656" s="10" t="str">
        <f>IFERROR(
   INDEX(tbl_ProduitsRef[Cde_Prdt],MATCH(tbl_Ventes[[#This Row],[Produit]],tbl_ProduitsRef[Produit],0)),
   ""
)</f>
        <v/>
      </c>
      <c r="E3656" s="7">
        <v>0</v>
      </c>
      <c r="F3656" s="7" t="str">
        <f>IFERROR(
   INDEX(tbl_ProduitsRef[Prix Menu],MATCH(tbl_Ventes[[#This Row],[Produit]],tbl_ProduitsRef[Produit],0)),
   ""
)</f>
        <v/>
      </c>
      <c r="G3656" s="7">
        <f>tbl_Ventes[[#This Row],[Qté Vendue]] * IFERROR(_xlfn.XLOOKUP(tbl_Ventes[[#This Row],[Cde_Prdt]], tbl_Produits[Cde_Prdt], tbl_Produits[Prix Menu]), 0)</f>
        <v>0</v>
      </c>
      <c r="H3656" s="7">
        <f>IFERROR(_xlfn.XLOOKUP(tbl_Ventes[[#This Row],[Cde_Prdt]], tbl_Produits[Cde_Prdt], tbl_Produits[Coût Moyen Portion]), 0)</f>
        <v>0</v>
      </c>
      <c r="I3656" s="7">
        <f>tbl_Ventes[[#This Row],[Qté Vendue]] * tbl_Ventes[[#This Row],[CMP_par_portion]]</f>
        <v>0</v>
      </c>
      <c r="J3656" s="7">
        <f>tbl_Ventes[[#This Row],[CA ligne]] - tbl_Ventes[[#This Row],[Coût matière ligne]]</f>
        <v>0</v>
      </c>
      <c r="K3656" s="7" t="str">
        <f>IFERROR(INDEX(tbl_ProduitsRef[Famille], MATCH(tbl_Ventes[[#This Row],[Cde_Prdt]], tbl_Produits[Cde_Prdt], 0)), "")</f>
        <v/>
      </c>
    </row>
    <row r="3657" spans="1:11" x14ac:dyDescent="0.25">
      <c r="A3657" s="5"/>
      <c r="B3657" s="63" t="str">
        <f>IFERROR(TEXT(tbl_Ventes[[#This Row],[Date]],"mm-aaaa"),"")</f>
        <v>01-1900</v>
      </c>
      <c r="D3657" s="10" t="str">
        <f>IFERROR(
   INDEX(tbl_ProduitsRef[Cde_Prdt],MATCH(tbl_Ventes[[#This Row],[Produit]],tbl_ProduitsRef[Produit],0)),
   ""
)</f>
        <v/>
      </c>
      <c r="E3657" s="7">
        <v>0</v>
      </c>
      <c r="F3657" s="7" t="str">
        <f>IFERROR(
   INDEX(tbl_ProduitsRef[Prix Menu],MATCH(tbl_Ventes[[#This Row],[Produit]],tbl_ProduitsRef[Produit],0)),
   ""
)</f>
        <v/>
      </c>
      <c r="G3657" s="7">
        <f>tbl_Ventes[[#This Row],[Qté Vendue]] * IFERROR(_xlfn.XLOOKUP(tbl_Ventes[[#This Row],[Cde_Prdt]], tbl_Produits[Cde_Prdt], tbl_Produits[Prix Menu]), 0)</f>
        <v>0</v>
      </c>
      <c r="H3657" s="7">
        <f>IFERROR(_xlfn.XLOOKUP(tbl_Ventes[[#This Row],[Cde_Prdt]], tbl_Produits[Cde_Prdt], tbl_Produits[Coût Moyen Portion]), 0)</f>
        <v>0</v>
      </c>
      <c r="I3657" s="7">
        <f>tbl_Ventes[[#This Row],[Qté Vendue]] * tbl_Ventes[[#This Row],[CMP_par_portion]]</f>
        <v>0</v>
      </c>
      <c r="J3657" s="7">
        <f>tbl_Ventes[[#This Row],[CA ligne]] - tbl_Ventes[[#This Row],[Coût matière ligne]]</f>
        <v>0</v>
      </c>
      <c r="K3657" s="7" t="str">
        <f>IFERROR(INDEX(tbl_ProduitsRef[Famille], MATCH(tbl_Ventes[[#This Row],[Cde_Prdt]], tbl_Produits[Cde_Prdt], 0)), "")</f>
        <v/>
      </c>
    </row>
    <row r="3658" spans="1:11" x14ac:dyDescent="0.25">
      <c r="A3658" s="5"/>
      <c r="B3658" s="63" t="str">
        <f>IFERROR(TEXT(tbl_Ventes[[#This Row],[Date]],"mm-aaaa"),"")</f>
        <v>01-1900</v>
      </c>
      <c r="D3658" s="10" t="str">
        <f>IFERROR(
   INDEX(tbl_ProduitsRef[Cde_Prdt],MATCH(tbl_Ventes[[#This Row],[Produit]],tbl_ProduitsRef[Produit],0)),
   ""
)</f>
        <v/>
      </c>
      <c r="E3658" s="7">
        <v>0</v>
      </c>
      <c r="F3658" s="7" t="str">
        <f>IFERROR(
   INDEX(tbl_ProduitsRef[Prix Menu],MATCH(tbl_Ventes[[#This Row],[Produit]],tbl_ProduitsRef[Produit],0)),
   ""
)</f>
        <v/>
      </c>
      <c r="G3658" s="7">
        <f>tbl_Ventes[[#This Row],[Qté Vendue]] * IFERROR(_xlfn.XLOOKUP(tbl_Ventes[[#This Row],[Cde_Prdt]], tbl_Produits[Cde_Prdt], tbl_Produits[Prix Menu]), 0)</f>
        <v>0</v>
      </c>
      <c r="H3658" s="7">
        <f>IFERROR(_xlfn.XLOOKUP(tbl_Ventes[[#This Row],[Cde_Prdt]], tbl_Produits[Cde_Prdt], tbl_Produits[Coût Moyen Portion]), 0)</f>
        <v>0</v>
      </c>
      <c r="I3658" s="7">
        <f>tbl_Ventes[[#This Row],[Qté Vendue]] * tbl_Ventes[[#This Row],[CMP_par_portion]]</f>
        <v>0</v>
      </c>
      <c r="J3658" s="7">
        <f>tbl_Ventes[[#This Row],[CA ligne]] - tbl_Ventes[[#This Row],[Coût matière ligne]]</f>
        <v>0</v>
      </c>
      <c r="K3658" s="7" t="str">
        <f>IFERROR(INDEX(tbl_ProduitsRef[Famille], MATCH(tbl_Ventes[[#This Row],[Cde_Prdt]], tbl_Produits[Cde_Prdt], 0)), "")</f>
        <v/>
      </c>
    </row>
    <row r="3659" spans="1:11" x14ac:dyDescent="0.25">
      <c r="A3659" s="5"/>
      <c r="B3659" s="63" t="str">
        <f>IFERROR(TEXT(tbl_Ventes[[#This Row],[Date]],"mm-aaaa"),"")</f>
        <v>01-1900</v>
      </c>
      <c r="D3659" s="10" t="str">
        <f>IFERROR(
   INDEX(tbl_ProduitsRef[Cde_Prdt],MATCH(tbl_Ventes[[#This Row],[Produit]],tbl_ProduitsRef[Produit],0)),
   ""
)</f>
        <v/>
      </c>
      <c r="E3659" s="7">
        <v>0</v>
      </c>
      <c r="F3659" s="7" t="str">
        <f>IFERROR(
   INDEX(tbl_ProduitsRef[Prix Menu],MATCH(tbl_Ventes[[#This Row],[Produit]],tbl_ProduitsRef[Produit],0)),
   ""
)</f>
        <v/>
      </c>
      <c r="G3659" s="7">
        <f>tbl_Ventes[[#This Row],[Qté Vendue]] * IFERROR(_xlfn.XLOOKUP(tbl_Ventes[[#This Row],[Cde_Prdt]], tbl_Produits[Cde_Prdt], tbl_Produits[Prix Menu]), 0)</f>
        <v>0</v>
      </c>
      <c r="H3659" s="7">
        <f>IFERROR(_xlfn.XLOOKUP(tbl_Ventes[[#This Row],[Cde_Prdt]], tbl_Produits[Cde_Prdt], tbl_Produits[Coût Moyen Portion]), 0)</f>
        <v>0</v>
      </c>
      <c r="I3659" s="7">
        <f>tbl_Ventes[[#This Row],[Qté Vendue]] * tbl_Ventes[[#This Row],[CMP_par_portion]]</f>
        <v>0</v>
      </c>
      <c r="J3659" s="7">
        <f>tbl_Ventes[[#This Row],[CA ligne]] - tbl_Ventes[[#This Row],[Coût matière ligne]]</f>
        <v>0</v>
      </c>
      <c r="K3659" s="7" t="str">
        <f>IFERROR(INDEX(tbl_ProduitsRef[Famille], MATCH(tbl_Ventes[[#This Row],[Cde_Prdt]], tbl_Produits[Cde_Prdt], 0)), "")</f>
        <v/>
      </c>
    </row>
    <row r="3660" spans="1:11" x14ac:dyDescent="0.25">
      <c r="A3660" s="5"/>
      <c r="B3660" s="63" t="str">
        <f>IFERROR(TEXT(tbl_Ventes[[#This Row],[Date]],"mm-aaaa"),"")</f>
        <v>01-1900</v>
      </c>
      <c r="D3660" s="10" t="str">
        <f>IFERROR(
   INDEX(tbl_ProduitsRef[Cde_Prdt],MATCH(tbl_Ventes[[#This Row],[Produit]],tbl_ProduitsRef[Produit],0)),
   ""
)</f>
        <v/>
      </c>
      <c r="E3660" s="7">
        <v>0</v>
      </c>
      <c r="F3660" s="7" t="str">
        <f>IFERROR(
   INDEX(tbl_ProduitsRef[Prix Menu],MATCH(tbl_Ventes[[#This Row],[Produit]],tbl_ProduitsRef[Produit],0)),
   ""
)</f>
        <v/>
      </c>
      <c r="G3660" s="7">
        <f>tbl_Ventes[[#This Row],[Qté Vendue]] * IFERROR(_xlfn.XLOOKUP(tbl_Ventes[[#This Row],[Cde_Prdt]], tbl_Produits[Cde_Prdt], tbl_Produits[Prix Menu]), 0)</f>
        <v>0</v>
      </c>
      <c r="H3660" s="7">
        <f>IFERROR(_xlfn.XLOOKUP(tbl_Ventes[[#This Row],[Cde_Prdt]], tbl_Produits[Cde_Prdt], tbl_Produits[Coût Moyen Portion]), 0)</f>
        <v>0</v>
      </c>
      <c r="I3660" s="7">
        <f>tbl_Ventes[[#This Row],[Qté Vendue]] * tbl_Ventes[[#This Row],[CMP_par_portion]]</f>
        <v>0</v>
      </c>
      <c r="J3660" s="7">
        <f>tbl_Ventes[[#This Row],[CA ligne]] - tbl_Ventes[[#This Row],[Coût matière ligne]]</f>
        <v>0</v>
      </c>
      <c r="K3660" s="7" t="str">
        <f>IFERROR(INDEX(tbl_ProduitsRef[Famille], MATCH(tbl_Ventes[[#This Row],[Cde_Prdt]], tbl_Produits[Cde_Prdt], 0)), "")</f>
        <v/>
      </c>
    </row>
    <row r="3661" spans="1:11" x14ac:dyDescent="0.25">
      <c r="A3661" s="5"/>
      <c r="B3661" s="63" t="str">
        <f>IFERROR(TEXT(tbl_Ventes[[#This Row],[Date]],"mm-aaaa"),"")</f>
        <v>01-1900</v>
      </c>
      <c r="D3661" s="10" t="str">
        <f>IFERROR(
   INDEX(tbl_ProduitsRef[Cde_Prdt],MATCH(tbl_Ventes[[#This Row],[Produit]],tbl_ProduitsRef[Produit],0)),
   ""
)</f>
        <v/>
      </c>
      <c r="E3661" s="7">
        <v>0</v>
      </c>
      <c r="F3661" s="7" t="str">
        <f>IFERROR(
   INDEX(tbl_ProduitsRef[Prix Menu],MATCH(tbl_Ventes[[#This Row],[Produit]],tbl_ProduitsRef[Produit],0)),
   ""
)</f>
        <v/>
      </c>
      <c r="G3661" s="7">
        <f>tbl_Ventes[[#This Row],[Qté Vendue]] * IFERROR(_xlfn.XLOOKUP(tbl_Ventes[[#This Row],[Cde_Prdt]], tbl_Produits[Cde_Prdt], tbl_Produits[Prix Menu]), 0)</f>
        <v>0</v>
      </c>
      <c r="H3661" s="7">
        <f>IFERROR(_xlfn.XLOOKUP(tbl_Ventes[[#This Row],[Cde_Prdt]], tbl_Produits[Cde_Prdt], tbl_Produits[Coût Moyen Portion]), 0)</f>
        <v>0</v>
      </c>
      <c r="I3661" s="7">
        <f>tbl_Ventes[[#This Row],[Qté Vendue]] * tbl_Ventes[[#This Row],[CMP_par_portion]]</f>
        <v>0</v>
      </c>
      <c r="J3661" s="7">
        <f>tbl_Ventes[[#This Row],[CA ligne]] - tbl_Ventes[[#This Row],[Coût matière ligne]]</f>
        <v>0</v>
      </c>
      <c r="K3661" s="7" t="str">
        <f>IFERROR(INDEX(tbl_ProduitsRef[Famille], MATCH(tbl_Ventes[[#This Row],[Cde_Prdt]], tbl_Produits[Cde_Prdt], 0)), "")</f>
        <v/>
      </c>
    </row>
    <row r="3662" spans="1:11" x14ac:dyDescent="0.25">
      <c r="A3662" s="5"/>
      <c r="B3662" s="63" t="str">
        <f>IFERROR(TEXT(tbl_Ventes[[#This Row],[Date]],"mm-aaaa"),"")</f>
        <v>01-1900</v>
      </c>
      <c r="D3662" s="10" t="str">
        <f>IFERROR(
   INDEX(tbl_ProduitsRef[Cde_Prdt],MATCH(tbl_Ventes[[#This Row],[Produit]],tbl_ProduitsRef[Produit],0)),
   ""
)</f>
        <v/>
      </c>
      <c r="E3662" s="7">
        <v>0</v>
      </c>
      <c r="F3662" s="7" t="str">
        <f>IFERROR(
   INDEX(tbl_ProduitsRef[Prix Menu],MATCH(tbl_Ventes[[#This Row],[Produit]],tbl_ProduitsRef[Produit],0)),
   ""
)</f>
        <v/>
      </c>
      <c r="G3662" s="7">
        <f>tbl_Ventes[[#This Row],[Qté Vendue]] * IFERROR(_xlfn.XLOOKUP(tbl_Ventes[[#This Row],[Cde_Prdt]], tbl_Produits[Cde_Prdt], tbl_Produits[Prix Menu]), 0)</f>
        <v>0</v>
      </c>
      <c r="H3662" s="7">
        <f>IFERROR(_xlfn.XLOOKUP(tbl_Ventes[[#This Row],[Cde_Prdt]], tbl_Produits[Cde_Prdt], tbl_Produits[Coût Moyen Portion]), 0)</f>
        <v>0</v>
      </c>
      <c r="I3662" s="7">
        <f>tbl_Ventes[[#This Row],[Qté Vendue]] * tbl_Ventes[[#This Row],[CMP_par_portion]]</f>
        <v>0</v>
      </c>
      <c r="J3662" s="7">
        <f>tbl_Ventes[[#This Row],[CA ligne]] - tbl_Ventes[[#This Row],[Coût matière ligne]]</f>
        <v>0</v>
      </c>
      <c r="K3662" s="7" t="str">
        <f>IFERROR(INDEX(tbl_ProduitsRef[Famille], MATCH(tbl_Ventes[[#This Row],[Cde_Prdt]], tbl_Produits[Cde_Prdt], 0)), "")</f>
        <v/>
      </c>
    </row>
    <row r="3663" spans="1:11" x14ac:dyDescent="0.25">
      <c r="A3663" s="5"/>
      <c r="B3663" s="63" t="str">
        <f>IFERROR(TEXT(tbl_Ventes[[#This Row],[Date]],"mm-aaaa"),"")</f>
        <v>01-1900</v>
      </c>
      <c r="D3663" s="10" t="str">
        <f>IFERROR(
   INDEX(tbl_ProduitsRef[Cde_Prdt],MATCH(tbl_Ventes[[#This Row],[Produit]],tbl_ProduitsRef[Produit],0)),
   ""
)</f>
        <v/>
      </c>
      <c r="E3663" s="7">
        <v>0</v>
      </c>
      <c r="F3663" s="7" t="str">
        <f>IFERROR(
   INDEX(tbl_ProduitsRef[Prix Menu],MATCH(tbl_Ventes[[#This Row],[Produit]],tbl_ProduitsRef[Produit],0)),
   ""
)</f>
        <v/>
      </c>
      <c r="G3663" s="7">
        <f>tbl_Ventes[[#This Row],[Qté Vendue]] * IFERROR(_xlfn.XLOOKUP(tbl_Ventes[[#This Row],[Cde_Prdt]], tbl_Produits[Cde_Prdt], tbl_Produits[Prix Menu]), 0)</f>
        <v>0</v>
      </c>
      <c r="H3663" s="7">
        <f>IFERROR(_xlfn.XLOOKUP(tbl_Ventes[[#This Row],[Cde_Prdt]], tbl_Produits[Cde_Prdt], tbl_Produits[Coût Moyen Portion]), 0)</f>
        <v>0</v>
      </c>
      <c r="I3663" s="7">
        <f>tbl_Ventes[[#This Row],[Qté Vendue]] * tbl_Ventes[[#This Row],[CMP_par_portion]]</f>
        <v>0</v>
      </c>
      <c r="J3663" s="7">
        <f>tbl_Ventes[[#This Row],[CA ligne]] - tbl_Ventes[[#This Row],[Coût matière ligne]]</f>
        <v>0</v>
      </c>
      <c r="K3663" s="7" t="str">
        <f>IFERROR(INDEX(tbl_ProduitsRef[Famille], MATCH(tbl_Ventes[[#This Row],[Cde_Prdt]], tbl_Produits[Cde_Prdt], 0)), "")</f>
        <v/>
      </c>
    </row>
    <row r="3664" spans="1:11" x14ac:dyDescent="0.25">
      <c r="A3664" s="5"/>
      <c r="B3664" s="63" t="str">
        <f>IFERROR(TEXT(tbl_Ventes[[#This Row],[Date]],"mm-aaaa"),"")</f>
        <v>01-1900</v>
      </c>
      <c r="D3664" s="10" t="str">
        <f>IFERROR(
   INDEX(tbl_ProduitsRef[Cde_Prdt],MATCH(tbl_Ventes[[#This Row],[Produit]],tbl_ProduitsRef[Produit],0)),
   ""
)</f>
        <v/>
      </c>
      <c r="E3664" s="7">
        <v>0</v>
      </c>
      <c r="F3664" s="7" t="str">
        <f>IFERROR(
   INDEX(tbl_ProduitsRef[Prix Menu],MATCH(tbl_Ventes[[#This Row],[Produit]],tbl_ProduitsRef[Produit],0)),
   ""
)</f>
        <v/>
      </c>
      <c r="G3664" s="7">
        <f>tbl_Ventes[[#This Row],[Qté Vendue]] * IFERROR(_xlfn.XLOOKUP(tbl_Ventes[[#This Row],[Cde_Prdt]], tbl_Produits[Cde_Prdt], tbl_Produits[Prix Menu]), 0)</f>
        <v>0</v>
      </c>
      <c r="H3664" s="7">
        <f>IFERROR(_xlfn.XLOOKUP(tbl_Ventes[[#This Row],[Cde_Prdt]], tbl_Produits[Cde_Prdt], tbl_Produits[Coût Moyen Portion]), 0)</f>
        <v>0</v>
      </c>
      <c r="I3664" s="7">
        <f>tbl_Ventes[[#This Row],[Qté Vendue]] * tbl_Ventes[[#This Row],[CMP_par_portion]]</f>
        <v>0</v>
      </c>
      <c r="J3664" s="7">
        <f>tbl_Ventes[[#This Row],[CA ligne]] - tbl_Ventes[[#This Row],[Coût matière ligne]]</f>
        <v>0</v>
      </c>
      <c r="K3664" s="7" t="str">
        <f>IFERROR(INDEX(tbl_ProduitsRef[Famille], MATCH(tbl_Ventes[[#This Row],[Cde_Prdt]], tbl_Produits[Cde_Prdt], 0)), "")</f>
        <v/>
      </c>
    </row>
    <row r="3665" spans="1:11" x14ac:dyDescent="0.25">
      <c r="A3665" s="5"/>
      <c r="B3665" s="63" t="str">
        <f>IFERROR(TEXT(tbl_Ventes[[#This Row],[Date]],"mm-aaaa"),"")</f>
        <v>01-1900</v>
      </c>
      <c r="D3665" s="10" t="str">
        <f>IFERROR(
   INDEX(tbl_ProduitsRef[Cde_Prdt],MATCH(tbl_Ventes[[#This Row],[Produit]],tbl_ProduitsRef[Produit],0)),
   ""
)</f>
        <v/>
      </c>
      <c r="E3665" s="7">
        <v>0</v>
      </c>
      <c r="F3665" s="7" t="str">
        <f>IFERROR(
   INDEX(tbl_ProduitsRef[Prix Menu],MATCH(tbl_Ventes[[#This Row],[Produit]],tbl_ProduitsRef[Produit],0)),
   ""
)</f>
        <v/>
      </c>
      <c r="G3665" s="7">
        <f>tbl_Ventes[[#This Row],[Qté Vendue]] * IFERROR(_xlfn.XLOOKUP(tbl_Ventes[[#This Row],[Cde_Prdt]], tbl_Produits[Cde_Prdt], tbl_Produits[Prix Menu]), 0)</f>
        <v>0</v>
      </c>
      <c r="H3665" s="7">
        <f>IFERROR(_xlfn.XLOOKUP(tbl_Ventes[[#This Row],[Cde_Prdt]], tbl_Produits[Cde_Prdt], tbl_Produits[Coût Moyen Portion]), 0)</f>
        <v>0</v>
      </c>
      <c r="I3665" s="7">
        <f>tbl_Ventes[[#This Row],[Qté Vendue]] * tbl_Ventes[[#This Row],[CMP_par_portion]]</f>
        <v>0</v>
      </c>
      <c r="J3665" s="7">
        <f>tbl_Ventes[[#This Row],[CA ligne]] - tbl_Ventes[[#This Row],[Coût matière ligne]]</f>
        <v>0</v>
      </c>
      <c r="K3665" s="7" t="str">
        <f>IFERROR(INDEX(tbl_ProduitsRef[Famille], MATCH(tbl_Ventes[[#This Row],[Cde_Prdt]], tbl_Produits[Cde_Prdt], 0)), "")</f>
        <v/>
      </c>
    </row>
    <row r="3666" spans="1:11" x14ac:dyDescent="0.25">
      <c r="A3666" s="5"/>
      <c r="B3666" s="63" t="str">
        <f>IFERROR(TEXT(tbl_Ventes[[#This Row],[Date]],"mm-aaaa"),"")</f>
        <v>01-1900</v>
      </c>
      <c r="D3666" s="10" t="str">
        <f>IFERROR(
   INDEX(tbl_ProduitsRef[Cde_Prdt],MATCH(tbl_Ventes[[#This Row],[Produit]],tbl_ProduitsRef[Produit],0)),
   ""
)</f>
        <v/>
      </c>
      <c r="E3666" s="7">
        <v>0</v>
      </c>
      <c r="F3666" s="7" t="str">
        <f>IFERROR(
   INDEX(tbl_ProduitsRef[Prix Menu],MATCH(tbl_Ventes[[#This Row],[Produit]],tbl_ProduitsRef[Produit],0)),
   ""
)</f>
        <v/>
      </c>
      <c r="G3666" s="7">
        <f>tbl_Ventes[[#This Row],[Qté Vendue]] * IFERROR(_xlfn.XLOOKUP(tbl_Ventes[[#This Row],[Cde_Prdt]], tbl_Produits[Cde_Prdt], tbl_Produits[Prix Menu]), 0)</f>
        <v>0</v>
      </c>
      <c r="H3666" s="7">
        <f>IFERROR(_xlfn.XLOOKUP(tbl_Ventes[[#This Row],[Cde_Prdt]], tbl_Produits[Cde_Prdt], tbl_Produits[Coût Moyen Portion]), 0)</f>
        <v>0</v>
      </c>
      <c r="I3666" s="7">
        <f>tbl_Ventes[[#This Row],[Qté Vendue]] * tbl_Ventes[[#This Row],[CMP_par_portion]]</f>
        <v>0</v>
      </c>
      <c r="J3666" s="7">
        <f>tbl_Ventes[[#This Row],[CA ligne]] - tbl_Ventes[[#This Row],[Coût matière ligne]]</f>
        <v>0</v>
      </c>
      <c r="K3666" s="7" t="str">
        <f>IFERROR(INDEX(tbl_ProduitsRef[Famille], MATCH(tbl_Ventes[[#This Row],[Cde_Prdt]], tbl_Produits[Cde_Prdt], 0)), "")</f>
        <v/>
      </c>
    </row>
    <row r="3667" spans="1:11" x14ac:dyDescent="0.25">
      <c r="A3667" s="5"/>
      <c r="B3667" s="63" t="str">
        <f>IFERROR(TEXT(tbl_Ventes[[#This Row],[Date]],"mm-aaaa"),"")</f>
        <v>01-1900</v>
      </c>
      <c r="D3667" s="10" t="str">
        <f>IFERROR(
   INDEX(tbl_ProduitsRef[Cde_Prdt],MATCH(tbl_Ventes[[#This Row],[Produit]],tbl_ProduitsRef[Produit],0)),
   ""
)</f>
        <v/>
      </c>
      <c r="E3667" s="7">
        <v>0</v>
      </c>
      <c r="F3667" s="7" t="str">
        <f>IFERROR(
   INDEX(tbl_ProduitsRef[Prix Menu],MATCH(tbl_Ventes[[#This Row],[Produit]],tbl_ProduitsRef[Produit],0)),
   ""
)</f>
        <v/>
      </c>
      <c r="G3667" s="7">
        <f>tbl_Ventes[[#This Row],[Qté Vendue]] * IFERROR(_xlfn.XLOOKUP(tbl_Ventes[[#This Row],[Cde_Prdt]], tbl_Produits[Cde_Prdt], tbl_Produits[Prix Menu]), 0)</f>
        <v>0</v>
      </c>
      <c r="H3667" s="7">
        <f>IFERROR(_xlfn.XLOOKUP(tbl_Ventes[[#This Row],[Cde_Prdt]], tbl_Produits[Cde_Prdt], tbl_Produits[Coût Moyen Portion]), 0)</f>
        <v>0</v>
      </c>
      <c r="I3667" s="7">
        <f>tbl_Ventes[[#This Row],[Qté Vendue]] * tbl_Ventes[[#This Row],[CMP_par_portion]]</f>
        <v>0</v>
      </c>
      <c r="J3667" s="7">
        <f>tbl_Ventes[[#This Row],[CA ligne]] - tbl_Ventes[[#This Row],[Coût matière ligne]]</f>
        <v>0</v>
      </c>
      <c r="K3667" s="7" t="str">
        <f>IFERROR(INDEX(tbl_ProduitsRef[Famille], MATCH(tbl_Ventes[[#This Row],[Cde_Prdt]], tbl_Produits[Cde_Prdt], 0)), "")</f>
        <v/>
      </c>
    </row>
    <row r="3668" spans="1:11" x14ac:dyDescent="0.25">
      <c r="A3668" s="5"/>
      <c r="B3668" s="63" t="str">
        <f>IFERROR(TEXT(tbl_Ventes[[#This Row],[Date]],"mm-aaaa"),"")</f>
        <v>01-1900</v>
      </c>
      <c r="D3668" s="10" t="str">
        <f>IFERROR(
   INDEX(tbl_ProduitsRef[Cde_Prdt],MATCH(tbl_Ventes[[#This Row],[Produit]],tbl_ProduitsRef[Produit],0)),
   ""
)</f>
        <v/>
      </c>
      <c r="E3668" s="7">
        <v>0</v>
      </c>
      <c r="F3668" s="7" t="str">
        <f>IFERROR(
   INDEX(tbl_ProduitsRef[Prix Menu],MATCH(tbl_Ventes[[#This Row],[Produit]],tbl_ProduitsRef[Produit],0)),
   ""
)</f>
        <v/>
      </c>
      <c r="G3668" s="7">
        <f>tbl_Ventes[[#This Row],[Qté Vendue]] * IFERROR(_xlfn.XLOOKUP(tbl_Ventes[[#This Row],[Cde_Prdt]], tbl_Produits[Cde_Prdt], tbl_Produits[Prix Menu]), 0)</f>
        <v>0</v>
      </c>
      <c r="H3668" s="7">
        <f>IFERROR(_xlfn.XLOOKUP(tbl_Ventes[[#This Row],[Cde_Prdt]], tbl_Produits[Cde_Prdt], tbl_Produits[Coût Moyen Portion]), 0)</f>
        <v>0</v>
      </c>
      <c r="I3668" s="7">
        <f>tbl_Ventes[[#This Row],[Qté Vendue]] * tbl_Ventes[[#This Row],[CMP_par_portion]]</f>
        <v>0</v>
      </c>
      <c r="J3668" s="7">
        <f>tbl_Ventes[[#This Row],[CA ligne]] - tbl_Ventes[[#This Row],[Coût matière ligne]]</f>
        <v>0</v>
      </c>
      <c r="K3668" s="7" t="str">
        <f>IFERROR(INDEX(tbl_ProduitsRef[Famille], MATCH(tbl_Ventes[[#This Row],[Cde_Prdt]], tbl_Produits[Cde_Prdt], 0)), "")</f>
        <v/>
      </c>
    </row>
    <row r="3669" spans="1:11" x14ac:dyDescent="0.25">
      <c r="A3669" s="5"/>
      <c r="B3669" s="63" t="str">
        <f>IFERROR(TEXT(tbl_Ventes[[#This Row],[Date]],"mm-aaaa"),"")</f>
        <v>01-1900</v>
      </c>
      <c r="D3669" s="10" t="str">
        <f>IFERROR(
   INDEX(tbl_ProduitsRef[Cde_Prdt],MATCH(tbl_Ventes[[#This Row],[Produit]],tbl_ProduitsRef[Produit],0)),
   ""
)</f>
        <v/>
      </c>
      <c r="E3669" s="7">
        <v>0</v>
      </c>
      <c r="F3669" s="7" t="str">
        <f>IFERROR(
   INDEX(tbl_ProduitsRef[Prix Menu],MATCH(tbl_Ventes[[#This Row],[Produit]],tbl_ProduitsRef[Produit],0)),
   ""
)</f>
        <v/>
      </c>
      <c r="G3669" s="7">
        <f>tbl_Ventes[[#This Row],[Qté Vendue]] * IFERROR(_xlfn.XLOOKUP(tbl_Ventes[[#This Row],[Cde_Prdt]], tbl_Produits[Cde_Prdt], tbl_Produits[Prix Menu]), 0)</f>
        <v>0</v>
      </c>
      <c r="H3669" s="7">
        <f>IFERROR(_xlfn.XLOOKUP(tbl_Ventes[[#This Row],[Cde_Prdt]], tbl_Produits[Cde_Prdt], tbl_Produits[Coût Moyen Portion]), 0)</f>
        <v>0</v>
      </c>
      <c r="I3669" s="7">
        <f>tbl_Ventes[[#This Row],[Qté Vendue]] * tbl_Ventes[[#This Row],[CMP_par_portion]]</f>
        <v>0</v>
      </c>
      <c r="J3669" s="7">
        <f>tbl_Ventes[[#This Row],[CA ligne]] - tbl_Ventes[[#This Row],[Coût matière ligne]]</f>
        <v>0</v>
      </c>
      <c r="K3669" s="7" t="str">
        <f>IFERROR(INDEX(tbl_ProduitsRef[Famille], MATCH(tbl_Ventes[[#This Row],[Cde_Prdt]], tbl_Produits[Cde_Prdt], 0)), "")</f>
        <v/>
      </c>
    </row>
    <row r="3670" spans="1:11" x14ac:dyDescent="0.25">
      <c r="A3670" s="5"/>
      <c r="B3670" s="63" t="str">
        <f>IFERROR(TEXT(tbl_Ventes[[#This Row],[Date]],"mm-aaaa"),"")</f>
        <v>01-1900</v>
      </c>
      <c r="D3670" s="10" t="str">
        <f>IFERROR(
   INDEX(tbl_ProduitsRef[Cde_Prdt],MATCH(tbl_Ventes[[#This Row],[Produit]],tbl_ProduitsRef[Produit],0)),
   ""
)</f>
        <v/>
      </c>
      <c r="E3670" s="7">
        <v>0</v>
      </c>
      <c r="F3670" s="7" t="str">
        <f>IFERROR(
   INDEX(tbl_ProduitsRef[Prix Menu],MATCH(tbl_Ventes[[#This Row],[Produit]],tbl_ProduitsRef[Produit],0)),
   ""
)</f>
        <v/>
      </c>
      <c r="G3670" s="7">
        <f>tbl_Ventes[[#This Row],[Qté Vendue]] * IFERROR(_xlfn.XLOOKUP(tbl_Ventes[[#This Row],[Cde_Prdt]], tbl_Produits[Cde_Prdt], tbl_Produits[Prix Menu]), 0)</f>
        <v>0</v>
      </c>
      <c r="H3670" s="7">
        <f>IFERROR(_xlfn.XLOOKUP(tbl_Ventes[[#This Row],[Cde_Prdt]], tbl_Produits[Cde_Prdt], tbl_Produits[Coût Moyen Portion]), 0)</f>
        <v>0</v>
      </c>
      <c r="I3670" s="7">
        <f>tbl_Ventes[[#This Row],[Qté Vendue]] * tbl_Ventes[[#This Row],[CMP_par_portion]]</f>
        <v>0</v>
      </c>
      <c r="J3670" s="7">
        <f>tbl_Ventes[[#This Row],[CA ligne]] - tbl_Ventes[[#This Row],[Coût matière ligne]]</f>
        <v>0</v>
      </c>
      <c r="K3670" s="7" t="str">
        <f>IFERROR(INDEX(tbl_ProduitsRef[Famille], MATCH(tbl_Ventes[[#This Row],[Cde_Prdt]], tbl_Produits[Cde_Prdt], 0)), "")</f>
        <v/>
      </c>
    </row>
    <row r="3671" spans="1:11" x14ac:dyDescent="0.25">
      <c r="A3671" s="5"/>
      <c r="B3671" s="63" t="str">
        <f>IFERROR(TEXT(tbl_Ventes[[#This Row],[Date]],"mm-aaaa"),"")</f>
        <v>01-1900</v>
      </c>
      <c r="D3671" s="10" t="str">
        <f>IFERROR(
   INDEX(tbl_ProduitsRef[Cde_Prdt],MATCH(tbl_Ventes[[#This Row],[Produit]],tbl_ProduitsRef[Produit],0)),
   ""
)</f>
        <v/>
      </c>
      <c r="E3671" s="7">
        <v>0</v>
      </c>
      <c r="F3671" s="7" t="str">
        <f>IFERROR(
   INDEX(tbl_ProduitsRef[Prix Menu],MATCH(tbl_Ventes[[#This Row],[Produit]],tbl_ProduitsRef[Produit],0)),
   ""
)</f>
        <v/>
      </c>
      <c r="G3671" s="7">
        <f>tbl_Ventes[[#This Row],[Qté Vendue]] * IFERROR(_xlfn.XLOOKUP(tbl_Ventes[[#This Row],[Cde_Prdt]], tbl_Produits[Cde_Prdt], tbl_Produits[Prix Menu]), 0)</f>
        <v>0</v>
      </c>
      <c r="H3671" s="7">
        <f>IFERROR(_xlfn.XLOOKUP(tbl_Ventes[[#This Row],[Cde_Prdt]], tbl_Produits[Cde_Prdt], tbl_Produits[Coût Moyen Portion]), 0)</f>
        <v>0</v>
      </c>
      <c r="I3671" s="7">
        <f>tbl_Ventes[[#This Row],[Qté Vendue]] * tbl_Ventes[[#This Row],[CMP_par_portion]]</f>
        <v>0</v>
      </c>
      <c r="J3671" s="7">
        <f>tbl_Ventes[[#This Row],[CA ligne]] - tbl_Ventes[[#This Row],[Coût matière ligne]]</f>
        <v>0</v>
      </c>
      <c r="K3671" s="7" t="str">
        <f>IFERROR(INDEX(tbl_ProduitsRef[Famille], MATCH(tbl_Ventes[[#This Row],[Cde_Prdt]], tbl_Produits[Cde_Prdt], 0)), "")</f>
        <v/>
      </c>
    </row>
    <row r="3672" spans="1:11" x14ac:dyDescent="0.25">
      <c r="A3672" s="5"/>
      <c r="B3672" s="63" t="str">
        <f>IFERROR(TEXT(tbl_Ventes[[#This Row],[Date]],"mm-aaaa"),"")</f>
        <v>01-1900</v>
      </c>
      <c r="D3672" s="10" t="str">
        <f>IFERROR(
   INDEX(tbl_ProduitsRef[Cde_Prdt],MATCH(tbl_Ventes[[#This Row],[Produit]],tbl_ProduitsRef[Produit],0)),
   ""
)</f>
        <v/>
      </c>
      <c r="E3672" s="7">
        <v>0</v>
      </c>
      <c r="F3672" s="7" t="str">
        <f>IFERROR(
   INDEX(tbl_ProduitsRef[Prix Menu],MATCH(tbl_Ventes[[#This Row],[Produit]],tbl_ProduitsRef[Produit],0)),
   ""
)</f>
        <v/>
      </c>
      <c r="G3672" s="7">
        <f>tbl_Ventes[[#This Row],[Qté Vendue]] * IFERROR(_xlfn.XLOOKUP(tbl_Ventes[[#This Row],[Cde_Prdt]], tbl_Produits[Cde_Prdt], tbl_Produits[Prix Menu]), 0)</f>
        <v>0</v>
      </c>
      <c r="H3672" s="7">
        <f>IFERROR(_xlfn.XLOOKUP(tbl_Ventes[[#This Row],[Cde_Prdt]], tbl_Produits[Cde_Prdt], tbl_Produits[Coût Moyen Portion]), 0)</f>
        <v>0</v>
      </c>
      <c r="I3672" s="7">
        <f>tbl_Ventes[[#This Row],[Qté Vendue]] * tbl_Ventes[[#This Row],[CMP_par_portion]]</f>
        <v>0</v>
      </c>
      <c r="J3672" s="7">
        <f>tbl_Ventes[[#This Row],[CA ligne]] - tbl_Ventes[[#This Row],[Coût matière ligne]]</f>
        <v>0</v>
      </c>
      <c r="K3672" s="7" t="str">
        <f>IFERROR(INDEX(tbl_ProduitsRef[Famille], MATCH(tbl_Ventes[[#This Row],[Cde_Prdt]], tbl_Produits[Cde_Prdt], 0)), "")</f>
        <v/>
      </c>
    </row>
    <row r="3673" spans="1:11" x14ac:dyDescent="0.25">
      <c r="A3673" s="5"/>
      <c r="B3673" s="63" t="str">
        <f>IFERROR(TEXT(tbl_Ventes[[#This Row],[Date]],"mm-aaaa"),"")</f>
        <v>01-1900</v>
      </c>
      <c r="D3673" s="10" t="str">
        <f>IFERROR(
   INDEX(tbl_ProduitsRef[Cde_Prdt],MATCH(tbl_Ventes[[#This Row],[Produit]],tbl_ProduitsRef[Produit],0)),
   ""
)</f>
        <v/>
      </c>
      <c r="E3673" s="7">
        <v>0</v>
      </c>
      <c r="F3673" s="7" t="str">
        <f>IFERROR(
   INDEX(tbl_ProduitsRef[Prix Menu],MATCH(tbl_Ventes[[#This Row],[Produit]],tbl_ProduitsRef[Produit],0)),
   ""
)</f>
        <v/>
      </c>
      <c r="G3673" s="7">
        <f>tbl_Ventes[[#This Row],[Qté Vendue]] * IFERROR(_xlfn.XLOOKUP(tbl_Ventes[[#This Row],[Cde_Prdt]], tbl_Produits[Cde_Prdt], tbl_Produits[Prix Menu]), 0)</f>
        <v>0</v>
      </c>
      <c r="H3673" s="7">
        <f>IFERROR(_xlfn.XLOOKUP(tbl_Ventes[[#This Row],[Cde_Prdt]], tbl_Produits[Cde_Prdt], tbl_Produits[Coût Moyen Portion]), 0)</f>
        <v>0</v>
      </c>
      <c r="I3673" s="7">
        <f>tbl_Ventes[[#This Row],[Qté Vendue]] * tbl_Ventes[[#This Row],[CMP_par_portion]]</f>
        <v>0</v>
      </c>
      <c r="J3673" s="7">
        <f>tbl_Ventes[[#This Row],[CA ligne]] - tbl_Ventes[[#This Row],[Coût matière ligne]]</f>
        <v>0</v>
      </c>
      <c r="K3673" s="7" t="str">
        <f>IFERROR(INDEX(tbl_ProduitsRef[Famille], MATCH(tbl_Ventes[[#This Row],[Cde_Prdt]], tbl_Produits[Cde_Prdt], 0)), "")</f>
        <v/>
      </c>
    </row>
    <row r="3674" spans="1:11" x14ac:dyDescent="0.25">
      <c r="A3674" s="5"/>
      <c r="B3674" s="63" t="str">
        <f>IFERROR(TEXT(tbl_Ventes[[#This Row],[Date]],"mm-aaaa"),"")</f>
        <v>01-1900</v>
      </c>
      <c r="D3674" s="10" t="str">
        <f>IFERROR(
   INDEX(tbl_ProduitsRef[Cde_Prdt],MATCH(tbl_Ventes[[#This Row],[Produit]],tbl_ProduitsRef[Produit],0)),
   ""
)</f>
        <v/>
      </c>
      <c r="E3674" s="7">
        <v>0</v>
      </c>
      <c r="F3674" s="7" t="str">
        <f>IFERROR(
   INDEX(tbl_ProduitsRef[Prix Menu],MATCH(tbl_Ventes[[#This Row],[Produit]],tbl_ProduitsRef[Produit],0)),
   ""
)</f>
        <v/>
      </c>
      <c r="G3674" s="7">
        <f>tbl_Ventes[[#This Row],[Qté Vendue]] * IFERROR(_xlfn.XLOOKUP(tbl_Ventes[[#This Row],[Cde_Prdt]], tbl_Produits[Cde_Prdt], tbl_Produits[Prix Menu]), 0)</f>
        <v>0</v>
      </c>
      <c r="H3674" s="7">
        <f>IFERROR(_xlfn.XLOOKUP(tbl_Ventes[[#This Row],[Cde_Prdt]], tbl_Produits[Cde_Prdt], tbl_Produits[Coût Moyen Portion]), 0)</f>
        <v>0</v>
      </c>
      <c r="I3674" s="7">
        <f>tbl_Ventes[[#This Row],[Qté Vendue]] * tbl_Ventes[[#This Row],[CMP_par_portion]]</f>
        <v>0</v>
      </c>
      <c r="J3674" s="7">
        <f>tbl_Ventes[[#This Row],[CA ligne]] - tbl_Ventes[[#This Row],[Coût matière ligne]]</f>
        <v>0</v>
      </c>
      <c r="K3674" s="7" t="str">
        <f>IFERROR(INDEX(tbl_ProduitsRef[Famille], MATCH(tbl_Ventes[[#This Row],[Cde_Prdt]], tbl_Produits[Cde_Prdt], 0)), "")</f>
        <v/>
      </c>
    </row>
    <row r="3675" spans="1:11" x14ac:dyDescent="0.25">
      <c r="A3675" s="5"/>
      <c r="B3675" s="63" t="str">
        <f>IFERROR(TEXT(tbl_Ventes[[#This Row],[Date]],"mm-aaaa"),"")</f>
        <v>01-1900</v>
      </c>
      <c r="D3675" s="10" t="str">
        <f>IFERROR(
   INDEX(tbl_ProduitsRef[Cde_Prdt],MATCH(tbl_Ventes[[#This Row],[Produit]],tbl_ProduitsRef[Produit],0)),
   ""
)</f>
        <v/>
      </c>
      <c r="E3675" s="7">
        <v>0</v>
      </c>
      <c r="F3675" s="7" t="str">
        <f>IFERROR(
   INDEX(tbl_ProduitsRef[Prix Menu],MATCH(tbl_Ventes[[#This Row],[Produit]],tbl_ProduitsRef[Produit],0)),
   ""
)</f>
        <v/>
      </c>
      <c r="G3675" s="7">
        <f>tbl_Ventes[[#This Row],[Qté Vendue]] * IFERROR(_xlfn.XLOOKUP(tbl_Ventes[[#This Row],[Cde_Prdt]], tbl_Produits[Cde_Prdt], tbl_Produits[Prix Menu]), 0)</f>
        <v>0</v>
      </c>
      <c r="H3675" s="7">
        <f>IFERROR(_xlfn.XLOOKUP(tbl_Ventes[[#This Row],[Cde_Prdt]], tbl_Produits[Cde_Prdt], tbl_Produits[Coût Moyen Portion]), 0)</f>
        <v>0</v>
      </c>
      <c r="I3675" s="7">
        <f>tbl_Ventes[[#This Row],[Qté Vendue]] * tbl_Ventes[[#This Row],[CMP_par_portion]]</f>
        <v>0</v>
      </c>
      <c r="J3675" s="7">
        <f>tbl_Ventes[[#This Row],[CA ligne]] - tbl_Ventes[[#This Row],[Coût matière ligne]]</f>
        <v>0</v>
      </c>
      <c r="K3675" s="7" t="str">
        <f>IFERROR(INDEX(tbl_ProduitsRef[Famille], MATCH(tbl_Ventes[[#This Row],[Cde_Prdt]], tbl_Produits[Cde_Prdt], 0)), "")</f>
        <v/>
      </c>
    </row>
    <row r="3676" spans="1:11" x14ac:dyDescent="0.25">
      <c r="A3676" s="5"/>
      <c r="B3676" s="63" t="str">
        <f>IFERROR(TEXT(tbl_Ventes[[#This Row],[Date]],"mm-aaaa"),"")</f>
        <v>01-1900</v>
      </c>
      <c r="D3676" s="10" t="str">
        <f>IFERROR(
   INDEX(tbl_ProduitsRef[Cde_Prdt],MATCH(tbl_Ventes[[#This Row],[Produit]],tbl_ProduitsRef[Produit],0)),
   ""
)</f>
        <v/>
      </c>
      <c r="E3676" s="7">
        <v>0</v>
      </c>
      <c r="F3676" s="7" t="str">
        <f>IFERROR(
   INDEX(tbl_ProduitsRef[Prix Menu],MATCH(tbl_Ventes[[#This Row],[Produit]],tbl_ProduitsRef[Produit],0)),
   ""
)</f>
        <v/>
      </c>
      <c r="G3676" s="7">
        <f>tbl_Ventes[[#This Row],[Qté Vendue]] * IFERROR(_xlfn.XLOOKUP(tbl_Ventes[[#This Row],[Cde_Prdt]], tbl_Produits[Cde_Prdt], tbl_Produits[Prix Menu]), 0)</f>
        <v>0</v>
      </c>
      <c r="H3676" s="7">
        <f>IFERROR(_xlfn.XLOOKUP(tbl_Ventes[[#This Row],[Cde_Prdt]], tbl_Produits[Cde_Prdt], tbl_Produits[Coût Moyen Portion]), 0)</f>
        <v>0</v>
      </c>
      <c r="I3676" s="7">
        <f>tbl_Ventes[[#This Row],[Qté Vendue]] * tbl_Ventes[[#This Row],[CMP_par_portion]]</f>
        <v>0</v>
      </c>
      <c r="J3676" s="7">
        <f>tbl_Ventes[[#This Row],[CA ligne]] - tbl_Ventes[[#This Row],[Coût matière ligne]]</f>
        <v>0</v>
      </c>
      <c r="K3676" s="7" t="str">
        <f>IFERROR(INDEX(tbl_ProduitsRef[Famille], MATCH(tbl_Ventes[[#This Row],[Cde_Prdt]], tbl_Produits[Cde_Prdt], 0)), "")</f>
        <v/>
      </c>
    </row>
    <row r="3677" spans="1:11" x14ac:dyDescent="0.25">
      <c r="A3677" s="5"/>
      <c r="B3677" s="63" t="str">
        <f>IFERROR(TEXT(tbl_Ventes[[#This Row],[Date]],"mm-aaaa"),"")</f>
        <v>01-1900</v>
      </c>
      <c r="D3677" s="10" t="str">
        <f>IFERROR(
   INDEX(tbl_ProduitsRef[Cde_Prdt],MATCH(tbl_Ventes[[#This Row],[Produit]],tbl_ProduitsRef[Produit],0)),
   ""
)</f>
        <v/>
      </c>
      <c r="E3677" s="7">
        <v>0</v>
      </c>
      <c r="F3677" s="7" t="str">
        <f>IFERROR(
   INDEX(tbl_ProduitsRef[Prix Menu],MATCH(tbl_Ventes[[#This Row],[Produit]],tbl_ProduitsRef[Produit],0)),
   ""
)</f>
        <v/>
      </c>
      <c r="G3677" s="7">
        <f>tbl_Ventes[[#This Row],[Qté Vendue]] * IFERROR(_xlfn.XLOOKUP(tbl_Ventes[[#This Row],[Cde_Prdt]], tbl_Produits[Cde_Prdt], tbl_Produits[Prix Menu]), 0)</f>
        <v>0</v>
      </c>
      <c r="H3677" s="7">
        <f>IFERROR(_xlfn.XLOOKUP(tbl_Ventes[[#This Row],[Cde_Prdt]], tbl_Produits[Cde_Prdt], tbl_Produits[Coût Moyen Portion]), 0)</f>
        <v>0</v>
      </c>
      <c r="I3677" s="7">
        <f>tbl_Ventes[[#This Row],[Qté Vendue]] * tbl_Ventes[[#This Row],[CMP_par_portion]]</f>
        <v>0</v>
      </c>
      <c r="J3677" s="7">
        <f>tbl_Ventes[[#This Row],[CA ligne]] - tbl_Ventes[[#This Row],[Coût matière ligne]]</f>
        <v>0</v>
      </c>
      <c r="K3677" s="7" t="str">
        <f>IFERROR(INDEX(tbl_ProduitsRef[Famille], MATCH(tbl_Ventes[[#This Row],[Cde_Prdt]], tbl_Produits[Cde_Prdt], 0)), "")</f>
        <v/>
      </c>
    </row>
    <row r="3678" spans="1:11" x14ac:dyDescent="0.25">
      <c r="A3678" s="5"/>
      <c r="B3678" s="63" t="str">
        <f>IFERROR(TEXT(tbl_Ventes[[#This Row],[Date]],"mm-aaaa"),"")</f>
        <v>01-1900</v>
      </c>
      <c r="D3678" s="10" t="str">
        <f>IFERROR(
   INDEX(tbl_ProduitsRef[Cde_Prdt],MATCH(tbl_Ventes[[#This Row],[Produit]],tbl_ProduitsRef[Produit],0)),
   ""
)</f>
        <v/>
      </c>
      <c r="E3678" s="7">
        <v>0</v>
      </c>
      <c r="F3678" s="7" t="str">
        <f>IFERROR(
   INDEX(tbl_ProduitsRef[Prix Menu],MATCH(tbl_Ventes[[#This Row],[Produit]],tbl_ProduitsRef[Produit],0)),
   ""
)</f>
        <v/>
      </c>
      <c r="G3678" s="7">
        <f>tbl_Ventes[[#This Row],[Qté Vendue]] * IFERROR(_xlfn.XLOOKUP(tbl_Ventes[[#This Row],[Cde_Prdt]], tbl_Produits[Cde_Prdt], tbl_Produits[Prix Menu]), 0)</f>
        <v>0</v>
      </c>
      <c r="H3678" s="7">
        <f>IFERROR(_xlfn.XLOOKUP(tbl_Ventes[[#This Row],[Cde_Prdt]], tbl_Produits[Cde_Prdt], tbl_Produits[Coût Moyen Portion]), 0)</f>
        <v>0</v>
      </c>
      <c r="I3678" s="7">
        <f>tbl_Ventes[[#This Row],[Qté Vendue]] * tbl_Ventes[[#This Row],[CMP_par_portion]]</f>
        <v>0</v>
      </c>
      <c r="J3678" s="7">
        <f>tbl_Ventes[[#This Row],[CA ligne]] - tbl_Ventes[[#This Row],[Coût matière ligne]]</f>
        <v>0</v>
      </c>
      <c r="K3678" s="7" t="str">
        <f>IFERROR(INDEX(tbl_ProduitsRef[Famille], MATCH(tbl_Ventes[[#This Row],[Cde_Prdt]], tbl_Produits[Cde_Prdt], 0)), "")</f>
        <v/>
      </c>
    </row>
    <row r="3679" spans="1:11" x14ac:dyDescent="0.25">
      <c r="A3679" s="5"/>
      <c r="B3679" s="63" t="str">
        <f>IFERROR(TEXT(tbl_Ventes[[#This Row],[Date]],"mm-aaaa"),"")</f>
        <v>01-1900</v>
      </c>
      <c r="D3679" s="10" t="str">
        <f>IFERROR(
   INDEX(tbl_ProduitsRef[Cde_Prdt],MATCH(tbl_Ventes[[#This Row],[Produit]],tbl_ProduitsRef[Produit],0)),
   ""
)</f>
        <v/>
      </c>
      <c r="E3679" s="7">
        <v>0</v>
      </c>
      <c r="F3679" s="7" t="str">
        <f>IFERROR(
   INDEX(tbl_ProduitsRef[Prix Menu],MATCH(tbl_Ventes[[#This Row],[Produit]],tbl_ProduitsRef[Produit],0)),
   ""
)</f>
        <v/>
      </c>
      <c r="G3679" s="7">
        <f>tbl_Ventes[[#This Row],[Qté Vendue]] * IFERROR(_xlfn.XLOOKUP(tbl_Ventes[[#This Row],[Cde_Prdt]], tbl_Produits[Cde_Prdt], tbl_Produits[Prix Menu]), 0)</f>
        <v>0</v>
      </c>
      <c r="H3679" s="7">
        <f>IFERROR(_xlfn.XLOOKUP(tbl_Ventes[[#This Row],[Cde_Prdt]], tbl_Produits[Cde_Prdt], tbl_Produits[Coût Moyen Portion]), 0)</f>
        <v>0</v>
      </c>
      <c r="I3679" s="7">
        <f>tbl_Ventes[[#This Row],[Qté Vendue]] * tbl_Ventes[[#This Row],[CMP_par_portion]]</f>
        <v>0</v>
      </c>
      <c r="J3679" s="7">
        <f>tbl_Ventes[[#This Row],[CA ligne]] - tbl_Ventes[[#This Row],[Coût matière ligne]]</f>
        <v>0</v>
      </c>
      <c r="K3679" s="7" t="str">
        <f>IFERROR(INDEX(tbl_ProduitsRef[Famille], MATCH(tbl_Ventes[[#This Row],[Cde_Prdt]], tbl_Produits[Cde_Prdt], 0)), "")</f>
        <v/>
      </c>
    </row>
    <row r="3680" spans="1:11" x14ac:dyDescent="0.25">
      <c r="A3680" s="5"/>
      <c r="B3680" s="63" t="str">
        <f>IFERROR(TEXT(tbl_Ventes[[#This Row],[Date]],"mm-aaaa"),"")</f>
        <v>01-1900</v>
      </c>
      <c r="D3680" s="10" t="str">
        <f>IFERROR(
   INDEX(tbl_ProduitsRef[Cde_Prdt],MATCH(tbl_Ventes[[#This Row],[Produit]],tbl_ProduitsRef[Produit],0)),
   ""
)</f>
        <v/>
      </c>
      <c r="E3680" s="7">
        <v>0</v>
      </c>
      <c r="F3680" s="7" t="str">
        <f>IFERROR(
   INDEX(tbl_ProduitsRef[Prix Menu],MATCH(tbl_Ventes[[#This Row],[Produit]],tbl_ProduitsRef[Produit],0)),
   ""
)</f>
        <v/>
      </c>
      <c r="G3680" s="7">
        <f>tbl_Ventes[[#This Row],[Qté Vendue]] * IFERROR(_xlfn.XLOOKUP(tbl_Ventes[[#This Row],[Cde_Prdt]], tbl_Produits[Cde_Prdt], tbl_Produits[Prix Menu]), 0)</f>
        <v>0</v>
      </c>
      <c r="H3680" s="7">
        <f>IFERROR(_xlfn.XLOOKUP(tbl_Ventes[[#This Row],[Cde_Prdt]], tbl_Produits[Cde_Prdt], tbl_Produits[Coût Moyen Portion]), 0)</f>
        <v>0</v>
      </c>
      <c r="I3680" s="7">
        <f>tbl_Ventes[[#This Row],[Qté Vendue]] * tbl_Ventes[[#This Row],[CMP_par_portion]]</f>
        <v>0</v>
      </c>
      <c r="J3680" s="7">
        <f>tbl_Ventes[[#This Row],[CA ligne]] - tbl_Ventes[[#This Row],[Coût matière ligne]]</f>
        <v>0</v>
      </c>
      <c r="K3680" s="7" t="str">
        <f>IFERROR(INDEX(tbl_ProduitsRef[Famille], MATCH(tbl_Ventes[[#This Row],[Cde_Prdt]], tbl_Produits[Cde_Prdt], 0)), "")</f>
        <v/>
      </c>
    </row>
    <row r="3681" spans="1:11" x14ac:dyDescent="0.25">
      <c r="A3681" s="5"/>
      <c r="B3681" s="63" t="str">
        <f>IFERROR(TEXT(tbl_Ventes[[#This Row],[Date]],"mm-aaaa"),"")</f>
        <v>01-1900</v>
      </c>
      <c r="D3681" s="10" t="str">
        <f>IFERROR(
   INDEX(tbl_ProduitsRef[Cde_Prdt],MATCH(tbl_Ventes[[#This Row],[Produit]],tbl_ProduitsRef[Produit],0)),
   ""
)</f>
        <v/>
      </c>
      <c r="E3681" s="7">
        <v>0</v>
      </c>
      <c r="F3681" s="7" t="str">
        <f>IFERROR(
   INDEX(tbl_ProduitsRef[Prix Menu],MATCH(tbl_Ventes[[#This Row],[Produit]],tbl_ProduitsRef[Produit],0)),
   ""
)</f>
        <v/>
      </c>
      <c r="G3681" s="7">
        <f>tbl_Ventes[[#This Row],[Qté Vendue]] * IFERROR(_xlfn.XLOOKUP(tbl_Ventes[[#This Row],[Cde_Prdt]], tbl_Produits[Cde_Prdt], tbl_Produits[Prix Menu]), 0)</f>
        <v>0</v>
      </c>
      <c r="H3681" s="7">
        <f>IFERROR(_xlfn.XLOOKUP(tbl_Ventes[[#This Row],[Cde_Prdt]], tbl_Produits[Cde_Prdt], tbl_Produits[Coût Moyen Portion]), 0)</f>
        <v>0</v>
      </c>
      <c r="I3681" s="7">
        <f>tbl_Ventes[[#This Row],[Qté Vendue]] * tbl_Ventes[[#This Row],[CMP_par_portion]]</f>
        <v>0</v>
      </c>
      <c r="J3681" s="7">
        <f>tbl_Ventes[[#This Row],[CA ligne]] - tbl_Ventes[[#This Row],[Coût matière ligne]]</f>
        <v>0</v>
      </c>
      <c r="K3681" s="7" t="str">
        <f>IFERROR(INDEX(tbl_ProduitsRef[Famille], MATCH(tbl_Ventes[[#This Row],[Cde_Prdt]], tbl_Produits[Cde_Prdt], 0)), "")</f>
        <v/>
      </c>
    </row>
    <row r="3682" spans="1:11" x14ac:dyDescent="0.25">
      <c r="A3682" s="5"/>
      <c r="B3682" s="63" t="str">
        <f>IFERROR(TEXT(tbl_Ventes[[#This Row],[Date]],"mm-aaaa"),"")</f>
        <v>01-1900</v>
      </c>
      <c r="D3682" s="10" t="str">
        <f>IFERROR(
   INDEX(tbl_ProduitsRef[Cde_Prdt],MATCH(tbl_Ventes[[#This Row],[Produit]],tbl_ProduitsRef[Produit],0)),
   ""
)</f>
        <v/>
      </c>
      <c r="E3682" s="7">
        <v>0</v>
      </c>
      <c r="F3682" s="7" t="str">
        <f>IFERROR(
   INDEX(tbl_ProduitsRef[Prix Menu],MATCH(tbl_Ventes[[#This Row],[Produit]],tbl_ProduitsRef[Produit],0)),
   ""
)</f>
        <v/>
      </c>
      <c r="G3682" s="7">
        <f>tbl_Ventes[[#This Row],[Qté Vendue]] * IFERROR(_xlfn.XLOOKUP(tbl_Ventes[[#This Row],[Cde_Prdt]], tbl_Produits[Cde_Prdt], tbl_Produits[Prix Menu]), 0)</f>
        <v>0</v>
      </c>
      <c r="H3682" s="7">
        <f>IFERROR(_xlfn.XLOOKUP(tbl_Ventes[[#This Row],[Cde_Prdt]], tbl_Produits[Cde_Prdt], tbl_Produits[Coût Moyen Portion]), 0)</f>
        <v>0</v>
      </c>
      <c r="I3682" s="7">
        <f>tbl_Ventes[[#This Row],[Qté Vendue]] * tbl_Ventes[[#This Row],[CMP_par_portion]]</f>
        <v>0</v>
      </c>
      <c r="J3682" s="7">
        <f>tbl_Ventes[[#This Row],[CA ligne]] - tbl_Ventes[[#This Row],[Coût matière ligne]]</f>
        <v>0</v>
      </c>
      <c r="K3682" s="7" t="str">
        <f>IFERROR(INDEX(tbl_ProduitsRef[Famille], MATCH(tbl_Ventes[[#This Row],[Cde_Prdt]], tbl_Produits[Cde_Prdt], 0)), "")</f>
        <v/>
      </c>
    </row>
    <row r="3683" spans="1:11" x14ac:dyDescent="0.25">
      <c r="A3683" s="5"/>
      <c r="B3683" s="63" t="str">
        <f>IFERROR(TEXT(tbl_Ventes[[#This Row],[Date]],"mm-aaaa"),"")</f>
        <v>01-1900</v>
      </c>
      <c r="D3683" s="10" t="str">
        <f>IFERROR(
   INDEX(tbl_ProduitsRef[Cde_Prdt],MATCH(tbl_Ventes[[#This Row],[Produit]],tbl_ProduitsRef[Produit],0)),
   ""
)</f>
        <v/>
      </c>
      <c r="E3683" s="7">
        <v>0</v>
      </c>
      <c r="F3683" s="7" t="str">
        <f>IFERROR(
   INDEX(tbl_ProduitsRef[Prix Menu],MATCH(tbl_Ventes[[#This Row],[Produit]],tbl_ProduitsRef[Produit],0)),
   ""
)</f>
        <v/>
      </c>
      <c r="G3683" s="7">
        <f>tbl_Ventes[[#This Row],[Qté Vendue]] * IFERROR(_xlfn.XLOOKUP(tbl_Ventes[[#This Row],[Cde_Prdt]], tbl_Produits[Cde_Prdt], tbl_Produits[Prix Menu]), 0)</f>
        <v>0</v>
      </c>
      <c r="H3683" s="7">
        <f>IFERROR(_xlfn.XLOOKUP(tbl_Ventes[[#This Row],[Cde_Prdt]], tbl_Produits[Cde_Prdt], tbl_Produits[Coût Moyen Portion]), 0)</f>
        <v>0</v>
      </c>
      <c r="I3683" s="7">
        <f>tbl_Ventes[[#This Row],[Qté Vendue]] * tbl_Ventes[[#This Row],[CMP_par_portion]]</f>
        <v>0</v>
      </c>
      <c r="J3683" s="7">
        <f>tbl_Ventes[[#This Row],[CA ligne]] - tbl_Ventes[[#This Row],[Coût matière ligne]]</f>
        <v>0</v>
      </c>
      <c r="K3683" s="7" t="str">
        <f>IFERROR(INDEX(tbl_ProduitsRef[Famille], MATCH(tbl_Ventes[[#This Row],[Cde_Prdt]], tbl_Produits[Cde_Prdt], 0)), "")</f>
        <v/>
      </c>
    </row>
    <row r="3684" spans="1:11" x14ac:dyDescent="0.25">
      <c r="A3684" s="5"/>
      <c r="B3684" s="63" t="str">
        <f>IFERROR(TEXT(tbl_Ventes[[#This Row],[Date]],"mm-aaaa"),"")</f>
        <v>01-1900</v>
      </c>
      <c r="D3684" s="10" t="str">
        <f>IFERROR(
   INDEX(tbl_ProduitsRef[Cde_Prdt],MATCH(tbl_Ventes[[#This Row],[Produit]],tbl_ProduitsRef[Produit],0)),
   ""
)</f>
        <v/>
      </c>
      <c r="E3684" s="7">
        <v>0</v>
      </c>
      <c r="F3684" s="7" t="str">
        <f>IFERROR(
   INDEX(tbl_ProduitsRef[Prix Menu],MATCH(tbl_Ventes[[#This Row],[Produit]],tbl_ProduitsRef[Produit],0)),
   ""
)</f>
        <v/>
      </c>
      <c r="G3684" s="7">
        <f>tbl_Ventes[[#This Row],[Qté Vendue]] * IFERROR(_xlfn.XLOOKUP(tbl_Ventes[[#This Row],[Cde_Prdt]], tbl_Produits[Cde_Prdt], tbl_Produits[Prix Menu]), 0)</f>
        <v>0</v>
      </c>
      <c r="H3684" s="7">
        <f>IFERROR(_xlfn.XLOOKUP(tbl_Ventes[[#This Row],[Cde_Prdt]], tbl_Produits[Cde_Prdt], tbl_Produits[Coût Moyen Portion]), 0)</f>
        <v>0</v>
      </c>
      <c r="I3684" s="7">
        <f>tbl_Ventes[[#This Row],[Qté Vendue]] * tbl_Ventes[[#This Row],[CMP_par_portion]]</f>
        <v>0</v>
      </c>
      <c r="J3684" s="7">
        <f>tbl_Ventes[[#This Row],[CA ligne]] - tbl_Ventes[[#This Row],[Coût matière ligne]]</f>
        <v>0</v>
      </c>
      <c r="K3684" s="7" t="str">
        <f>IFERROR(INDEX(tbl_ProduitsRef[Famille], MATCH(tbl_Ventes[[#This Row],[Cde_Prdt]], tbl_Produits[Cde_Prdt], 0)), "")</f>
        <v/>
      </c>
    </row>
    <row r="3685" spans="1:11" x14ac:dyDescent="0.25">
      <c r="A3685" s="5"/>
      <c r="B3685" s="63" t="str">
        <f>IFERROR(TEXT(tbl_Ventes[[#This Row],[Date]],"mm-aaaa"),"")</f>
        <v>01-1900</v>
      </c>
      <c r="D3685" s="10" t="str">
        <f>IFERROR(
   INDEX(tbl_ProduitsRef[Cde_Prdt],MATCH(tbl_Ventes[[#This Row],[Produit]],tbl_ProduitsRef[Produit],0)),
   ""
)</f>
        <v/>
      </c>
      <c r="E3685" s="7">
        <v>0</v>
      </c>
      <c r="F3685" s="7" t="str">
        <f>IFERROR(
   INDEX(tbl_ProduitsRef[Prix Menu],MATCH(tbl_Ventes[[#This Row],[Produit]],tbl_ProduitsRef[Produit],0)),
   ""
)</f>
        <v/>
      </c>
      <c r="G3685" s="7">
        <f>tbl_Ventes[[#This Row],[Qté Vendue]] * IFERROR(_xlfn.XLOOKUP(tbl_Ventes[[#This Row],[Cde_Prdt]], tbl_Produits[Cde_Prdt], tbl_Produits[Prix Menu]), 0)</f>
        <v>0</v>
      </c>
      <c r="H3685" s="7">
        <f>IFERROR(_xlfn.XLOOKUP(tbl_Ventes[[#This Row],[Cde_Prdt]], tbl_Produits[Cde_Prdt], tbl_Produits[Coût Moyen Portion]), 0)</f>
        <v>0</v>
      </c>
      <c r="I3685" s="7">
        <f>tbl_Ventes[[#This Row],[Qté Vendue]] * tbl_Ventes[[#This Row],[CMP_par_portion]]</f>
        <v>0</v>
      </c>
      <c r="J3685" s="7">
        <f>tbl_Ventes[[#This Row],[CA ligne]] - tbl_Ventes[[#This Row],[Coût matière ligne]]</f>
        <v>0</v>
      </c>
      <c r="K3685" s="7" t="str">
        <f>IFERROR(INDEX(tbl_ProduitsRef[Famille], MATCH(tbl_Ventes[[#This Row],[Cde_Prdt]], tbl_Produits[Cde_Prdt], 0)), "")</f>
        <v/>
      </c>
    </row>
    <row r="3686" spans="1:11" x14ac:dyDescent="0.25">
      <c r="A3686" s="5"/>
      <c r="B3686" s="63" t="str">
        <f>IFERROR(TEXT(tbl_Ventes[[#This Row],[Date]],"mm-aaaa"),"")</f>
        <v>01-1900</v>
      </c>
      <c r="D3686" s="10" t="str">
        <f>IFERROR(
   INDEX(tbl_ProduitsRef[Cde_Prdt],MATCH(tbl_Ventes[[#This Row],[Produit]],tbl_ProduitsRef[Produit],0)),
   ""
)</f>
        <v/>
      </c>
      <c r="E3686" s="7">
        <v>0</v>
      </c>
      <c r="F3686" s="7" t="str">
        <f>IFERROR(
   INDEX(tbl_ProduitsRef[Prix Menu],MATCH(tbl_Ventes[[#This Row],[Produit]],tbl_ProduitsRef[Produit],0)),
   ""
)</f>
        <v/>
      </c>
      <c r="G3686" s="7">
        <f>tbl_Ventes[[#This Row],[Qté Vendue]] * IFERROR(_xlfn.XLOOKUP(tbl_Ventes[[#This Row],[Cde_Prdt]], tbl_Produits[Cde_Prdt], tbl_Produits[Prix Menu]), 0)</f>
        <v>0</v>
      </c>
      <c r="H3686" s="7">
        <f>IFERROR(_xlfn.XLOOKUP(tbl_Ventes[[#This Row],[Cde_Prdt]], tbl_Produits[Cde_Prdt], tbl_Produits[Coût Moyen Portion]), 0)</f>
        <v>0</v>
      </c>
      <c r="I3686" s="7">
        <f>tbl_Ventes[[#This Row],[Qté Vendue]] * tbl_Ventes[[#This Row],[CMP_par_portion]]</f>
        <v>0</v>
      </c>
      <c r="J3686" s="7">
        <f>tbl_Ventes[[#This Row],[CA ligne]] - tbl_Ventes[[#This Row],[Coût matière ligne]]</f>
        <v>0</v>
      </c>
      <c r="K3686" s="7" t="str">
        <f>IFERROR(INDEX(tbl_ProduitsRef[Famille], MATCH(tbl_Ventes[[#This Row],[Cde_Prdt]], tbl_Produits[Cde_Prdt], 0)), "")</f>
        <v/>
      </c>
    </row>
    <row r="3687" spans="1:11" x14ac:dyDescent="0.25">
      <c r="A3687" s="5"/>
      <c r="B3687" s="63" t="str">
        <f>IFERROR(TEXT(tbl_Ventes[[#This Row],[Date]],"mm-aaaa"),"")</f>
        <v>01-1900</v>
      </c>
      <c r="D3687" s="10" t="str">
        <f>IFERROR(
   INDEX(tbl_ProduitsRef[Cde_Prdt],MATCH(tbl_Ventes[[#This Row],[Produit]],tbl_ProduitsRef[Produit],0)),
   ""
)</f>
        <v/>
      </c>
      <c r="E3687" s="7">
        <v>0</v>
      </c>
      <c r="F3687" s="7" t="str">
        <f>IFERROR(
   INDEX(tbl_ProduitsRef[Prix Menu],MATCH(tbl_Ventes[[#This Row],[Produit]],tbl_ProduitsRef[Produit],0)),
   ""
)</f>
        <v/>
      </c>
      <c r="G3687" s="7">
        <f>tbl_Ventes[[#This Row],[Qté Vendue]] * IFERROR(_xlfn.XLOOKUP(tbl_Ventes[[#This Row],[Cde_Prdt]], tbl_Produits[Cde_Prdt], tbl_Produits[Prix Menu]), 0)</f>
        <v>0</v>
      </c>
      <c r="H3687" s="7">
        <f>IFERROR(_xlfn.XLOOKUP(tbl_Ventes[[#This Row],[Cde_Prdt]], tbl_Produits[Cde_Prdt], tbl_Produits[Coût Moyen Portion]), 0)</f>
        <v>0</v>
      </c>
      <c r="I3687" s="7">
        <f>tbl_Ventes[[#This Row],[Qté Vendue]] * tbl_Ventes[[#This Row],[CMP_par_portion]]</f>
        <v>0</v>
      </c>
      <c r="J3687" s="7">
        <f>tbl_Ventes[[#This Row],[CA ligne]] - tbl_Ventes[[#This Row],[Coût matière ligne]]</f>
        <v>0</v>
      </c>
      <c r="K3687" s="7" t="str">
        <f>IFERROR(INDEX(tbl_ProduitsRef[Famille], MATCH(tbl_Ventes[[#This Row],[Cde_Prdt]], tbl_Produits[Cde_Prdt], 0)), "")</f>
        <v/>
      </c>
    </row>
    <row r="3688" spans="1:11" x14ac:dyDescent="0.25">
      <c r="A3688" s="5"/>
      <c r="B3688" s="63" t="str">
        <f>IFERROR(TEXT(tbl_Ventes[[#This Row],[Date]],"mm-aaaa"),"")</f>
        <v>01-1900</v>
      </c>
      <c r="D3688" s="10" t="str">
        <f>IFERROR(
   INDEX(tbl_ProduitsRef[Cde_Prdt],MATCH(tbl_Ventes[[#This Row],[Produit]],tbl_ProduitsRef[Produit],0)),
   ""
)</f>
        <v/>
      </c>
      <c r="E3688" s="7">
        <v>0</v>
      </c>
      <c r="F3688" s="7" t="str">
        <f>IFERROR(
   INDEX(tbl_ProduitsRef[Prix Menu],MATCH(tbl_Ventes[[#This Row],[Produit]],tbl_ProduitsRef[Produit],0)),
   ""
)</f>
        <v/>
      </c>
      <c r="G3688" s="7">
        <f>tbl_Ventes[[#This Row],[Qté Vendue]] * IFERROR(_xlfn.XLOOKUP(tbl_Ventes[[#This Row],[Cde_Prdt]], tbl_Produits[Cde_Prdt], tbl_Produits[Prix Menu]), 0)</f>
        <v>0</v>
      </c>
      <c r="H3688" s="7">
        <f>IFERROR(_xlfn.XLOOKUP(tbl_Ventes[[#This Row],[Cde_Prdt]], tbl_Produits[Cde_Prdt], tbl_Produits[Coût Moyen Portion]), 0)</f>
        <v>0</v>
      </c>
      <c r="I3688" s="7">
        <f>tbl_Ventes[[#This Row],[Qté Vendue]] * tbl_Ventes[[#This Row],[CMP_par_portion]]</f>
        <v>0</v>
      </c>
      <c r="J3688" s="7">
        <f>tbl_Ventes[[#This Row],[CA ligne]] - tbl_Ventes[[#This Row],[Coût matière ligne]]</f>
        <v>0</v>
      </c>
      <c r="K3688" s="7" t="str">
        <f>IFERROR(INDEX(tbl_ProduitsRef[Famille], MATCH(tbl_Ventes[[#This Row],[Cde_Prdt]], tbl_Produits[Cde_Prdt], 0)), "")</f>
        <v/>
      </c>
    </row>
    <row r="3689" spans="1:11" x14ac:dyDescent="0.25">
      <c r="A3689" s="5"/>
      <c r="B3689" s="63" t="str">
        <f>IFERROR(TEXT(tbl_Ventes[[#This Row],[Date]],"mm-aaaa"),"")</f>
        <v>01-1900</v>
      </c>
      <c r="D3689" s="10" t="str">
        <f>IFERROR(
   INDEX(tbl_ProduitsRef[Cde_Prdt],MATCH(tbl_Ventes[[#This Row],[Produit]],tbl_ProduitsRef[Produit],0)),
   ""
)</f>
        <v/>
      </c>
      <c r="E3689" s="7">
        <v>0</v>
      </c>
      <c r="F3689" s="7" t="str">
        <f>IFERROR(
   INDEX(tbl_ProduitsRef[Prix Menu],MATCH(tbl_Ventes[[#This Row],[Produit]],tbl_ProduitsRef[Produit],0)),
   ""
)</f>
        <v/>
      </c>
      <c r="G3689" s="7">
        <f>tbl_Ventes[[#This Row],[Qté Vendue]] * IFERROR(_xlfn.XLOOKUP(tbl_Ventes[[#This Row],[Cde_Prdt]], tbl_Produits[Cde_Prdt], tbl_Produits[Prix Menu]), 0)</f>
        <v>0</v>
      </c>
      <c r="H3689" s="7">
        <f>IFERROR(_xlfn.XLOOKUP(tbl_Ventes[[#This Row],[Cde_Prdt]], tbl_Produits[Cde_Prdt], tbl_Produits[Coût Moyen Portion]), 0)</f>
        <v>0</v>
      </c>
      <c r="I3689" s="7">
        <f>tbl_Ventes[[#This Row],[Qté Vendue]] * tbl_Ventes[[#This Row],[CMP_par_portion]]</f>
        <v>0</v>
      </c>
      <c r="J3689" s="7">
        <f>tbl_Ventes[[#This Row],[CA ligne]] - tbl_Ventes[[#This Row],[Coût matière ligne]]</f>
        <v>0</v>
      </c>
      <c r="K3689" s="7" t="str">
        <f>IFERROR(INDEX(tbl_ProduitsRef[Famille], MATCH(tbl_Ventes[[#This Row],[Cde_Prdt]], tbl_Produits[Cde_Prdt], 0)), "")</f>
        <v/>
      </c>
    </row>
    <row r="3690" spans="1:11" x14ac:dyDescent="0.25">
      <c r="A3690" s="5"/>
      <c r="B3690" s="63" t="str">
        <f>IFERROR(TEXT(tbl_Ventes[[#This Row],[Date]],"mm-aaaa"),"")</f>
        <v>01-1900</v>
      </c>
      <c r="D3690" s="10" t="str">
        <f>IFERROR(
   INDEX(tbl_ProduitsRef[Cde_Prdt],MATCH(tbl_Ventes[[#This Row],[Produit]],tbl_ProduitsRef[Produit],0)),
   ""
)</f>
        <v/>
      </c>
      <c r="E3690" s="7">
        <v>0</v>
      </c>
      <c r="F3690" s="7" t="str">
        <f>IFERROR(
   INDEX(tbl_ProduitsRef[Prix Menu],MATCH(tbl_Ventes[[#This Row],[Produit]],tbl_ProduitsRef[Produit],0)),
   ""
)</f>
        <v/>
      </c>
      <c r="G3690" s="7">
        <f>tbl_Ventes[[#This Row],[Qté Vendue]] * IFERROR(_xlfn.XLOOKUP(tbl_Ventes[[#This Row],[Cde_Prdt]], tbl_Produits[Cde_Prdt], tbl_Produits[Prix Menu]), 0)</f>
        <v>0</v>
      </c>
      <c r="H3690" s="7">
        <f>IFERROR(_xlfn.XLOOKUP(tbl_Ventes[[#This Row],[Cde_Prdt]], tbl_Produits[Cde_Prdt], tbl_Produits[Coût Moyen Portion]), 0)</f>
        <v>0</v>
      </c>
      <c r="I3690" s="7">
        <f>tbl_Ventes[[#This Row],[Qté Vendue]] * tbl_Ventes[[#This Row],[CMP_par_portion]]</f>
        <v>0</v>
      </c>
      <c r="J3690" s="7">
        <f>tbl_Ventes[[#This Row],[CA ligne]] - tbl_Ventes[[#This Row],[Coût matière ligne]]</f>
        <v>0</v>
      </c>
      <c r="K3690" s="7" t="str">
        <f>IFERROR(INDEX(tbl_ProduitsRef[Famille], MATCH(tbl_Ventes[[#This Row],[Cde_Prdt]], tbl_Produits[Cde_Prdt], 0)), "")</f>
        <v/>
      </c>
    </row>
    <row r="3691" spans="1:11" x14ac:dyDescent="0.25">
      <c r="A3691" s="5"/>
      <c r="B3691" s="63" t="str">
        <f>IFERROR(TEXT(tbl_Ventes[[#This Row],[Date]],"mm-aaaa"),"")</f>
        <v>01-1900</v>
      </c>
      <c r="D3691" s="10" t="str">
        <f>IFERROR(
   INDEX(tbl_ProduitsRef[Cde_Prdt],MATCH(tbl_Ventes[[#This Row],[Produit]],tbl_ProduitsRef[Produit],0)),
   ""
)</f>
        <v/>
      </c>
      <c r="E3691" s="7">
        <v>0</v>
      </c>
      <c r="F3691" s="7" t="str">
        <f>IFERROR(
   INDEX(tbl_ProduitsRef[Prix Menu],MATCH(tbl_Ventes[[#This Row],[Produit]],tbl_ProduitsRef[Produit],0)),
   ""
)</f>
        <v/>
      </c>
      <c r="G3691" s="7">
        <f>tbl_Ventes[[#This Row],[Qté Vendue]] * IFERROR(_xlfn.XLOOKUP(tbl_Ventes[[#This Row],[Cde_Prdt]], tbl_Produits[Cde_Prdt], tbl_Produits[Prix Menu]), 0)</f>
        <v>0</v>
      </c>
      <c r="H3691" s="7">
        <f>IFERROR(_xlfn.XLOOKUP(tbl_Ventes[[#This Row],[Cde_Prdt]], tbl_Produits[Cde_Prdt], tbl_Produits[Coût Moyen Portion]), 0)</f>
        <v>0</v>
      </c>
      <c r="I3691" s="7">
        <f>tbl_Ventes[[#This Row],[Qté Vendue]] * tbl_Ventes[[#This Row],[CMP_par_portion]]</f>
        <v>0</v>
      </c>
      <c r="J3691" s="7">
        <f>tbl_Ventes[[#This Row],[CA ligne]] - tbl_Ventes[[#This Row],[Coût matière ligne]]</f>
        <v>0</v>
      </c>
      <c r="K3691" s="7" t="str">
        <f>IFERROR(INDEX(tbl_ProduitsRef[Famille], MATCH(tbl_Ventes[[#This Row],[Cde_Prdt]], tbl_Produits[Cde_Prdt], 0)), "")</f>
        <v/>
      </c>
    </row>
    <row r="3692" spans="1:11" x14ac:dyDescent="0.25">
      <c r="A3692" s="5"/>
      <c r="B3692" s="63" t="str">
        <f>IFERROR(TEXT(tbl_Ventes[[#This Row],[Date]],"mm-aaaa"),"")</f>
        <v>01-1900</v>
      </c>
      <c r="D3692" s="10" t="str">
        <f>IFERROR(
   INDEX(tbl_ProduitsRef[Cde_Prdt],MATCH(tbl_Ventes[[#This Row],[Produit]],tbl_ProduitsRef[Produit],0)),
   ""
)</f>
        <v/>
      </c>
      <c r="E3692" s="7">
        <v>0</v>
      </c>
      <c r="F3692" s="7" t="str">
        <f>IFERROR(
   INDEX(tbl_ProduitsRef[Prix Menu],MATCH(tbl_Ventes[[#This Row],[Produit]],tbl_ProduitsRef[Produit],0)),
   ""
)</f>
        <v/>
      </c>
      <c r="G3692" s="7">
        <f>tbl_Ventes[[#This Row],[Qté Vendue]] * IFERROR(_xlfn.XLOOKUP(tbl_Ventes[[#This Row],[Cde_Prdt]], tbl_Produits[Cde_Prdt], tbl_Produits[Prix Menu]), 0)</f>
        <v>0</v>
      </c>
      <c r="H3692" s="7">
        <f>IFERROR(_xlfn.XLOOKUP(tbl_Ventes[[#This Row],[Cde_Prdt]], tbl_Produits[Cde_Prdt], tbl_Produits[Coût Moyen Portion]), 0)</f>
        <v>0</v>
      </c>
      <c r="I3692" s="7">
        <f>tbl_Ventes[[#This Row],[Qté Vendue]] * tbl_Ventes[[#This Row],[CMP_par_portion]]</f>
        <v>0</v>
      </c>
      <c r="J3692" s="7">
        <f>tbl_Ventes[[#This Row],[CA ligne]] - tbl_Ventes[[#This Row],[Coût matière ligne]]</f>
        <v>0</v>
      </c>
      <c r="K3692" s="7" t="str">
        <f>IFERROR(INDEX(tbl_ProduitsRef[Famille], MATCH(tbl_Ventes[[#This Row],[Cde_Prdt]], tbl_Produits[Cde_Prdt], 0)), "")</f>
        <v/>
      </c>
    </row>
    <row r="3693" spans="1:11" x14ac:dyDescent="0.25">
      <c r="A3693" s="5"/>
      <c r="B3693" s="63" t="str">
        <f>IFERROR(TEXT(tbl_Ventes[[#This Row],[Date]],"mm-aaaa"),"")</f>
        <v>01-1900</v>
      </c>
      <c r="D3693" s="10" t="str">
        <f>IFERROR(
   INDEX(tbl_ProduitsRef[Cde_Prdt],MATCH(tbl_Ventes[[#This Row],[Produit]],tbl_ProduitsRef[Produit],0)),
   ""
)</f>
        <v/>
      </c>
      <c r="E3693" s="7">
        <v>0</v>
      </c>
      <c r="F3693" s="7" t="str">
        <f>IFERROR(
   INDEX(tbl_ProduitsRef[Prix Menu],MATCH(tbl_Ventes[[#This Row],[Produit]],tbl_ProduitsRef[Produit],0)),
   ""
)</f>
        <v/>
      </c>
      <c r="G3693" s="7">
        <f>tbl_Ventes[[#This Row],[Qté Vendue]] * IFERROR(_xlfn.XLOOKUP(tbl_Ventes[[#This Row],[Cde_Prdt]], tbl_Produits[Cde_Prdt], tbl_Produits[Prix Menu]), 0)</f>
        <v>0</v>
      </c>
      <c r="H3693" s="7">
        <f>IFERROR(_xlfn.XLOOKUP(tbl_Ventes[[#This Row],[Cde_Prdt]], tbl_Produits[Cde_Prdt], tbl_Produits[Coût Moyen Portion]), 0)</f>
        <v>0</v>
      </c>
      <c r="I3693" s="7">
        <f>tbl_Ventes[[#This Row],[Qté Vendue]] * tbl_Ventes[[#This Row],[CMP_par_portion]]</f>
        <v>0</v>
      </c>
      <c r="J3693" s="7">
        <f>tbl_Ventes[[#This Row],[CA ligne]] - tbl_Ventes[[#This Row],[Coût matière ligne]]</f>
        <v>0</v>
      </c>
      <c r="K3693" s="7" t="str">
        <f>IFERROR(INDEX(tbl_ProduitsRef[Famille], MATCH(tbl_Ventes[[#This Row],[Cde_Prdt]], tbl_Produits[Cde_Prdt], 0)), "")</f>
        <v/>
      </c>
    </row>
    <row r="3694" spans="1:11" x14ac:dyDescent="0.25">
      <c r="A3694" s="5"/>
      <c r="B3694" s="63" t="str">
        <f>IFERROR(TEXT(tbl_Ventes[[#This Row],[Date]],"mm-aaaa"),"")</f>
        <v>01-1900</v>
      </c>
      <c r="D3694" s="10" t="str">
        <f>IFERROR(
   INDEX(tbl_ProduitsRef[Cde_Prdt],MATCH(tbl_Ventes[[#This Row],[Produit]],tbl_ProduitsRef[Produit],0)),
   ""
)</f>
        <v/>
      </c>
      <c r="E3694" s="7">
        <v>0</v>
      </c>
      <c r="F3694" s="7" t="str">
        <f>IFERROR(
   INDEX(tbl_ProduitsRef[Prix Menu],MATCH(tbl_Ventes[[#This Row],[Produit]],tbl_ProduitsRef[Produit],0)),
   ""
)</f>
        <v/>
      </c>
      <c r="G3694" s="7">
        <f>tbl_Ventes[[#This Row],[Qté Vendue]] * IFERROR(_xlfn.XLOOKUP(tbl_Ventes[[#This Row],[Cde_Prdt]], tbl_Produits[Cde_Prdt], tbl_Produits[Prix Menu]), 0)</f>
        <v>0</v>
      </c>
      <c r="H3694" s="7">
        <f>IFERROR(_xlfn.XLOOKUP(tbl_Ventes[[#This Row],[Cde_Prdt]], tbl_Produits[Cde_Prdt], tbl_Produits[Coût Moyen Portion]), 0)</f>
        <v>0</v>
      </c>
      <c r="I3694" s="7">
        <f>tbl_Ventes[[#This Row],[Qté Vendue]] * tbl_Ventes[[#This Row],[CMP_par_portion]]</f>
        <v>0</v>
      </c>
      <c r="J3694" s="7">
        <f>tbl_Ventes[[#This Row],[CA ligne]] - tbl_Ventes[[#This Row],[Coût matière ligne]]</f>
        <v>0</v>
      </c>
      <c r="K3694" s="7" t="str">
        <f>IFERROR(INDEX(tbl_ProduitsRef[Famille], MATCH(tbl_Ventes[[#This Row],[Cde_Prdt]], tbl_Produits[Cde_Prdt], 0)), "")</f>
        <v/>
      </c>
    </row>
    <row r="3695" spans="1:11" x14ac:dyDescent="0.25">
      <c r="A3695" s="5"/>
      <c r="B3695" s="63" t="str">
        <f>IFERROR(TEXT(tbl_Ventes[[#This Row],[Date]],"mm-aaaa"),"")</f>
        <v>01-1900</v>
      </c>
      <c r="D3695" s="10" t="str">
        <f>IFERROR(
   INDEX(tbl_ProduitsRef[Cde_Prdt],MATCH(tbl_Ventes[[#This Row],[Produit]],tbl_ProduitsRef[Produit],0)),
   ""
)</f>
        <v/>
      </c>
      <c r="E3695" s="7">
        <v>0</v>
      </c>
      <c r="F3695" s="7" t="str">
        <f>IFERROR(
   INDEX(tbl_ProduitsRef[Prix Menu],MATCH(tbl_Ventes[[#This Row],[Produit]],tbl_ProduitsRef[Produit],0)),
   ""
)</f>
        <v/>
      </c>
      <c r="G3695" s="7">
        <f>tbl_Ventes[[#This Row],[Qté Vendue]] * IFERROR(_xlfn.XLOOKUP(tbl_Ventes[[#This Row],[Cde_Prdt]], tbl_Produits[Cde_Prdt], tbl_Produits[Prix Menu]), 0)</f>
        <v>0</v>
      </c>
      <c r="H3695" s="7">
        <f>IFERROR(_xlfn.XLOOKUP(tbl_Ventes[[#This Row],[Cde_Prdt]], tbl_Produits[Cde_Prdt], tbl_Produits[Coût Moyen Portion]), 0)</f>
        <v>0</v>
      </c>
      <c r="I3695" s="7">
        <f>tbl_Ventes[[#This Row],[Qté Vendue]] * tbl_Ventes[[#This Row],[CMP_par_portion]]</f>
        <v>0</v>
      </c>
      <c r="J3695" s="7">
        <f>tbl_Ventes[[#This Row],[CA ligne]] - tbl_Ventes[[#This Row],[Coût matière ligne]]</f>
        <v>0</v>
      </c>
      <c r="K3695" s="7" t="str">
        <f>IFERROR(INDEX(tbl_ProduitsRef[Famille], MATCH(tbl_Ventes[[#This Row],[Cde_Prdt]], tbl_Produits[Cde_Prdt], 0)), "")</f>
        <v/>
      </c>
    </row>
    <row r="3696" spans="1:11" x14ac:dyDescent="0.25">
      <c r="A3696" s="5"/>
      <c r="B3696" s="63" t="str">
        <f>IFERROR(TEXT(tbl_Ventes[[#This Row],[Date]],"mm-aaaa"),"")</f>
        <v>01-1900</v>
      </c>
      <c r="D3696" s="10" t="str">
        <f>IFERROR(
   INDEX(tbl_ProduitsRef[Cde_Prdt],MATCH(tbl_Ventes[[#This Row],[Produit]],tbl_ProduitsRef[Produit],0)),
   ""
)</f>
        <v/>
      </c>
      <c r="E3696" s="7">
        <v>0</v>
      </c>
      <c r="F3696" s="7" t="str">
        <f>IFERROR(
   INDEX(tbl_ProduitsRef[Prix Menu],MATCH(tbl_Ventes[[#This Row],[Produit]],tbl_ProduitsRef[Produit],0)),
   ""
)</f>
        <v/>
      </c>
      <c r="G3696" s="7">
        <f>tbl_Ventes[[#This Row],[Qté Vendue]] * IFERROR(_xlfn.XLOOKUP(tbl_Ventes[[#This Row],[Cde_Prdt]], tbl_Produits[Cde_Prdt], tbl_Produits[Prix Menu]), 0)</f>
        <v>0</v>
      </c>
      <c r="H3696" s="7">
        <f>IFERROR(_xlfn.XLOOKUP(tbl_Ventes[[#This Row],[Cde_Prdt]], tbl_Produits[Cde_Prdt], tbl_Produits[Coût Moyen Portion]), 0)</f>
        <v>0</v>
      </c>
      <c r="I3696" s="7">
        <f>tbl_Ventes[[#This Row],[Qté Vendue]] * tbl_Ventes[[#This Row],[CMP_par_portion]]</f>
        <v>0</v>
      </c>
      <c r="J3696" s="7">
        <f>tbl_Ventes[[#This Row],[CA ligne]] - tbl_Ventes[[#This Row],[Coût matière ligne]]</f>
        <v>0</v>
      </c>
      <c r="K3696" s="7" t="str">
        <f>IFERROR(INDEX(tbl_ProduitsRef[Famille], MATCH(tbl_Ventes[[#This Row],[Cde_Prdt]], tbl_Produits[Cde_Prdt], 0)), "")</f>
        <v/>
      </c>
    </row>
    <row r="3697" spans="1:11" x14ac:dyDescent="0.25">
      <c r="A3697" s="5"/>
      <c r="B3697" s="63" t="str">
        <f>IFERROR(TEXT(tbl_Ventes[[#This Row],[Date]],"mm-aaaa"),"")</f>
        <v>01-1900</v>
      </c>
      <c r="D3697" s="10" t="str">
        <f>IFERROR(
   INDEX(tbl_ProduitsRef[Cde_Prdt],MATCH(tbl_Ventes[[#This Row],[Produit]],tbl_ProduitsRef[Produit],0)),
   ""
)</f>
        <v/>
      </c>
      <c r="E3697" s="7">
        <v>0</v>
      </c>
      <c r="F3697" s="7" t="str">
        <f>IFERROR(
   INDEX(tbl_ProduitsRef[Prix Menu],MATCH(tbl_Ventes[[#This Row],[Produit]],tbl_ProduitsRef[Produit],0)),
   ""
)</f>
        <v/>
      </c>
      <c r="G3697" s="7">
        <f>tbl_Ventes[[#This Row],[Qté Vendue]] * IFERROR(_xlfn.XLOOKUP(tbl_Ventes[[#This Row],[Cde_Prdt]], tbl_Produits[Cde_Prdt], tbl_Produits[Prix Menu]), 0)</f>
        <v>0</v>
      </c>
      <c r="H3697" s="7">
        <f>IFERROR(_xlfn.XLOOKUP(tbl_Ventes[[#This Row],[Cde_Prdt]], tbl_Produits[Cde_Prdt], tbl_Produits[Coût Moyen Portion]), 0)</f>
        <v>0</v>
      </c>
      <c r="I3697" s="7">
        <f>tbl_Ventes[[#This Row],[Qté Vendue]] * tbl_Ventes[[#This Row],[CMP_par_portion]]</f>
        <v>0</v>
      </c>
      <c r="J3697" s="7">
        <f>tbl_Ventes[[#This Row],[CA ligne]] - tbl_Ventes[[#This Row],[Coût matière ligne]]</f>
        <v>0</v>
      </c>
      <c r="K3697" s="7" t="str">
        <f>IFERROR(INDEX(tbl_ProduitsRef[Famille], MATCH(tbl_Ventes[[#This Row],[Cde_Prdt]], tbl_Produits[Cde_Prdt], 0)), "")</f>
        <v/>
      </c>
    </row>
    <row r="3698" spans="1:11" x14ac:dyDescent="0.25">
      <c r="A3698" s="5"/>
      <c r="B3698" s="63" t="str">
        <f>IFERROR(TEXT(tbl_Ventes[[#This Row],[Date]],"mm-aaaa"),"")</f>
        <v>01-1900</v>
      </c>
      <c r="D3698" s="10" t="str">
        <f>IFERROR(
   INDEX(tbl_ProduitsRef[Cde_Prdt],MATCH(tbl_Ventes[[#This Row],[Produit]],tbl_ProduitsRef[Produit],0)),
   ""
)</f>
        <v/>
      </c>
      <c r="E3698" s="7">
        <v>0</v>
      </c>
      <c r="F3698" s="7" t="str">
        <f>IFERROR(
   INDEX(tbl_ProduitsRef[Prix Menu],MATCH(tbl_Ventes[[#This Row],[Produit]],tbl_ProduitsRef[Produit],0)),
   ""
)</f>
        <v/>
      </c>
      <c r="G3698" s="7">
        <f>tbl_Ventes[[#This Row],[Qté Vendue]] * IFERROR(_xlfn.XLOOKUP(tbl_Ventes[[#This Row],[Cde_Prdt]], tbl_Produits[Cde_Prdt], tbl_Produits[Prix Menu]), 0)</f>
        <v>0</v>
      </c>
      <c r="H3698" s="7">
        <f>IFERROR(_xlfn.XLOOKUP(tbl_Ventes[[#This Row],[Cde_Prdt]], tbl_Produits[Cde_Prdt], tbl_Produits[Coût Moyen Portion]), 0)</f>
        <v>0</v>
      </c>
      <c r="I3698" s="7">
        <f>tbl_Ventes[[#This Row],[Qté Vendue]] * tbl_Ventes[[#This Row],[CMP_par_portion]]</f>
        <v>0</v>
      </c>
      <c r="J3698" s="7">
        <f>tbl_Ventes[[#This Row],[CA ligne]] - tbl_Ventes[[#This Row],[Coût matière ligne]]</f>
        <v>0</v>
      </c>
      <c r="K3698" s="7" t="str">
        <f>IFERROR(INDEX(tbl_ProduitsRef[Famille], MATCH(tbl_Ventes[[#This Row],[Cde_Prdt]], tbl_Produits[Cde_Prdt], 0)), "")</f>
        <v/>
      </c>
    </row>
    <row r="3699" spans="1:11" x14ac:dyDescent="0.25">
      <c r="A3699" s="5"/>
      <c r="B3699" s="63" t="str">
        <f>IFERROR(TEXT(tbl_Ventes[[#This Row],[Date]],"mm-aaaa"),"")</f>
        <v>01-1900</v>
      </c>
      <c r="D3699" s="10" t="str">
        <f>IFERROR(
   INDEX(tbl_ProduitsRef[Cde_Prdt],MATCH(tbl_Ventes[[#This Row],[Produit]],tbl_ProduitsRef[Produit],0)),
   ""
)</f>
        <v/>
      </c>
      <c r="E3699" s="7">
        <v>0</v>
      </c>
      <c r="F3699" s="7" t="str">
        <f>IFERROR(
   INDEX(tbl_ProduitsRef[Prix Menu],MATCH(tbl_Ventes[[#This Row],[Produit]],tbl_ProduitsRef[Produit],0)),
   ""
)</f>
        <v/>
      </c>
      <c r="G3699" s="7">
        <f>tbl_Ventes[[#This Row],[Qté Vendue]] * IFERROR(_xlfn.XLOOKUP(tbl_Ventes[[#This Row],[Cde_Prdt]], tbl_Produits[Cde_Prdt], tbl_Produits[Prix Menu]), 0)</f>
        <v>0</v>
      </c>
      <c r="H3699" s="7">
        <f>IFERROR(_xlfn.XLOOKUP(tbl_Ventes[[#This Row],[Cde_Prdt]], tbl_Produits[Cde_Prdt], tbl_Produits[Coût Moyen Portion]), 0)</f>
        <v>0</v>
      </c>
      <c r="I3699" s="7">
        <f>tbl_Ventes[[#This Row],[Qté Vendue]] * tbl_Ventes[[#This Row],[CMP_par_portion]]</f>
        <v>0</v>
      </c>
      <c r="J3699" s="7">
        <f>tbl_Ventes[[#This Row],[CA ligne]] - tbl_Ventes[[#This Row],[Coût matière ligne]]</f>
        <v>0</v>
      </c>
      <c r="K3699" s="7" t="str">
        <f>IFERROR(INDEX(tbl_ProduitsRef[Famille], MATCH(tbl_Ventes[[#This Row],[Cde_Prdt]], tbl_Produits[Cde_Prdt], 0)), "")</f>
        <v/>
      </c>
    </row>
    <row r="3700" spans="1:11" x14ac:dyDescent="0.25">
      <c r="A3700" s="5"/>
      <c r="B3700" s="63" t="str">
        <f>IFERROR(TEXT(tbl_Ventes[[#This Row],[Date]],"mm-aaaa"),"")</f>
        <v>01-1900</v>
      </c>
      <c r="D3700" s="10" t="str">
        <f>IFERROR(
   INDEX(tbl_ProduitsRef[Cde_Prdt],MATCH(tbl_Ventes[[#This Row],[Produit]],tbl_ProduitsRef[Produit],0)),
   ""
)</f>
        <v/>
      </c>
      <c r="E3700" s="7">
        <v>0</v>
      </c>
      <c r="F3700" s="7" t="str">
        <f>IFERROR(
   INDEX(tbl_ProduitsRef[Prix Menu],MATCH(tbl_Ventes[[#This Row],[Produit]],tbl_ProduitsRef[Produit],0)),
   ""
)</f>
        <v/>
      </c>
      <c r="G3700" s="7">
        <f>tbl_Ventes[[#This Row],[Qté Vendue]] * IFERROR(_xlfn.XLOOKUP(tbl_Ventes[[#This Row],[Cde_Prdt]], tbl_Produits[Cde_Prdt], tbl_Produits[Prix Menu]), 0)</f>
        <v>0</v>
      </c>
      <c r="H3700" s="7">
        <f>IFERROR(_xlfn.XLOOKUP(tbl_Ventes[[#This Row],[Cde_Prdt]], tbl_Produits[Cde_Prdt], tbl_Produits[Coût Moyen Portion]), 0)</f>
        <v>0</v>
      </c>
      <c r="I3700" s="7">
        <f>tbl_Ventes[[#This Row],[Qté Vendue]] * tbl_Ventes[[#This Row],[CMP_par_portion]]</f>
        <v>0</v>
      </c>
      <c r="J3700" s="7">
        <f>tbl_Ventes[[#This Row],[CA ligne]] - tbl_Ventes[[#This Row],[Coût matière ligne]]</f>
        <v>0</v>
      </c>
      <c r="K3700" s="7" t="str">
        <f>IFERROR(INDEX(tbl_ProduitsRef[Famille], MATCH(tbl_Ventes[[#This Row],[Cde_Prdt]], tbl_Produits[Cde_Prdt], 0)), "")</f>
        <v/>
      </c>
    </row>
    <row r="3701" spans="1:11" x14ac:dyDescent="0.25">
      <c r="A3701" s="5"/>
      <c r="B3701" s="63" t="str">
        <f>IFERROR(TEXT(tbl_Ventes[[#This Row],[Date]],"mm-aaaa"),"")</f>
        <v>01-1900</v>
      </c>
      <c r="D3701" s="10" t="str">
        <f>IFERROR(
   INDEX(tbl_ProduitsRef[Cde_Prdt],MATCH(tbl_Ventes[[#This Row],[Produit]],tbl_ProduitsRef[Produit],0)),
   ""
)</f>
        <v/>
      </c>
      <c r="E3701" s="7">
        <v>0</v>
      </c>
      <c r="F3701" s="7" t="str">
        <f>IFERROR(
   INDEX(tbl_ProduitsRef[Prix Menu],MATCH(tbl_Ventes[[#This Row],[Produit]],tbl_ProduitsRef[Produit],0)),
   ""
)</f>
        <v/>
      </c>
      <c r="G3701" s="7">
        <f>tbl_Ventes[[#This Row],[Qté Vendue]] * IFERROR(_xlfn.XLOOKUP(tbl_Ventes[[#This Row],[Cde_Prdt]], tbl_Produits[Cde_Prdt], tbl_Produits[Prix Menu]), 0)</f>
        <v>0</v>
      </c>
      <c r="H3701" s="7">
        <f>IFERROR(_xlfn.XLOOKUP(tbl_Ventes[[#This Row],[Cde_Prdt]], tbl_Produits[Cde_Prdt], tbl_Produits[Coût Moyen Portion]), 0)</f>
        <v>0</v>
      </c>
      <c r="I3701" s="7">
        <f>tbl_Ventes[[#This Row],[Qté Vendue]] * tbl_Ventes[[#This Row],[CMP_par_portion]]</f>
        <v>0</v>
      </c>
      <c r="J3701" s="7">
        <f>tbl_Ventes[[#This Row],[CA ligne]] - tbl_Ventes[[#This Row],[Coût matière ligne]]</f>
        <v>0</v>
      </c>
      <c r="K3701" s="7" t="str">
        <f>IFERROR(INDEX(tbl_ProduitsRef[Famille], MATCH(tbl_Ventes[[#This Row],[Cde_Prdt]], tbl_Produits[Cde_Prdt], 0)), "")</f>
        <v/>
      </c>
    </row>
    <row r="3702" spans="1:11" x14ac:dyDescent="0.25">
      <c r="A3702" s="5"/>
      <c r="B3702" s="63" t="str">
        <f>IFERROR(TEXT(tbl_Ventes[[#This Row],[Date]],"mm-aaaa"),"")</f>
        <v>01-1900</v>
      </c>
      <c r="D3702" s="10" t="str">
        <f>IFERROR(
   INDEX(tbl_ProduitsRef[Cde_Prdt],MATCH(tbl_Ventes[[#This Row],[Produit]],tbl_ProduitsRef[Produit],0)),
   ""
)</f>
        <v/>
      </c>
      <c r="E3702" s="7">
        <v>0</v>
      </c>
      <c r="F3702" s="7" t="str">
        <f>IFERROR(
   INDEX(tbl_ProduitsRef[Prix Menu],MATCH(tbl_Ventes[[#This Row],[Produit]],tbl_ProduitsRef[Produit],0)),
   ""
)</f>
        <v/>
      </c>
      <c r="G3702" s="7">
        <f>tbl_Ventes[[#This Row],[Qté Vendue]] * IFERROR(_xlfn.XLOOKUP(tbl_Ventes[[#This Row],[Cde_Prdt]], tbl_Produits[Cde_Prdt], tbl_Produits[Prix Menu]), 0)</f>
        <v>0</v>
      </c>
      <c r="H3702" s="7">
        <f>IFERROR(_xlfn.XLOOKUP(tbl_Ventes[[#This Row],[Cde_Prdt]], tbl_Produits[Cde_Prdt], tbl_Produits[Coût Moyen Portion]), 0)</f>
        <v>0</v>
      </c>
      <c r="I3702" s="7">
        <f>tbl_Ventes[[#This Row],[Qté Vendue]] * tbl_Ventes[[#This Row],[CMP_par_portion]]</f>
        <v>0</v>
      </c>
      <c r="J3702" s="7">
        <f>tbl_Ventes[[#This Row],[CA ligne]] - tbl_Ventes[[#This Row],[Coût matière ligne]]</f>
        <v>0</v>
      </c>
      <c r="K3702" s="7" t="str">
        <f>IFERROR(INDEX(tbl_ProduitsRef[Famille], MATCH(tbl_Ventes[[#This Row],[Cde_Prdt]], tbl_Produits[Cde_Prdt], 0)), "")</f>
        <v/>
      </c>
    </row>
    <row r="3703" spans="1:11" x14ac:dyDescent="0.25">
      <c r="A3703" s="5"/>
      <c r="B3703" s="63" t="str">
        <f>IFERROR(TEXT(tbl_Ventes[[#This Row],[Date]],"mm-aaaa"),"")</f>
        <v>01-1900</v>
      </c>
      <c r="D3703" s="10" t="str">
        <f>IFERROR(
   INDEX(tbl_ProduitsRef[Cde_Prdt],MATCH(tbl_Ventes[[#This Row],[Produit]],tbl_ProduitsRef[Produit],0)),
   ""
)</f>
        <v/>
      </c>
      <c r="E3703" s="7">
        <v>0</v>
      </c>
      <c r="F3703" s="7" t="str">
        <f>IFERROR(
   INDEX(tbl_ProduitsRef[Prix Menu],MATCH(tbl_Ventes[[#This Row],[Produit]],tbl_ProduitsRef[Produit],0)),
   ""
)</f>
        <v/>
      </c>
      <c r="G3703" s="7">
        <f>tbl_Ventes[[#This Row],[Qté Vendue]] * IFERROR(_xlfn.XLOOKUP(tbl_Ventes[[#This Row],[Cde_Prdt]], tbl_Produits[Cde_Prdt], tbl_Produits[Prix Menu]), 0)</f>
        <v>0</v>
      </c>
      <c r="H3703" s="7">
        <f>IFERROR(_xlfn.XLOOKUP(tbl_Ventes[[#This Row],[Cde_Prdt]], tbl_Produits[Cde_Prdt], tbl_Produits[Coût Moyen Portion]), 0)</f>
        <v>0</v>
      </c>
      <c r="I3703" s="7">
        <f>tbl_Ventes[[#This Row],[Qté Vendue]] * tbl_Ventes[[#This Row],[CMP_par_portion]]</f>
        <v>0</v>
      </c>
      <c r="J3703" s="7">
        <f>tbl_Ventes[[#This Row],[CA ligne]] - tbl_Ventes[[#This Row],[Coût matière ligne]]</f>
        <v>0</v>
      </c>
      <c r="K3703" s="7" t="str">
        <f>IFERROR(INDEX(tbl_ProduitsRef[Famille], MATCH(tbl_Ventes[[#This Row],[Cde_Prdt]], tbl_Produits[Cde_Prdt], 0)), "")</f>
        <v/>
      </c>
    </row>
    <row r="3704" spans="1:11" x14ac:dyDescent="0.25">
      <c r="A3704" s="5"/>
      <c r="B3704" s="63" t="str">
        <f>IFERROR(TEXT(tbl_Ventes[[#This Row],[Date]],"mm-aaaa"),"")</f>
        <v>01-1900</v>
      </c>
      <c r="D3704" s="10" t="str">
        <f>IFERROR(
   INDEX(tbl_ProduitsRef[Cde_Prdt],MATCH(tbl_Ventes[[#This Row],[Produit]],tbl_ProduitsRef[Produit],0)),
   ""
)</f>
        <v/>
      </c>
      <c r="E3704" s="7">
        <v>0</v>
      </c>
      <c r="F3704" s="7" t="str">
        <f>IFERROR(
   INDEX(tbl_ProduitsRef[Prix Menu],MATCH(tbl_Ventes[[#This Row],[Produit]],tbl_ProduitsRef[Produit],0)),
   ""
)</f>
        <v/>
      </c>
      <c r="G3704" s="7">
        <f>tbl_Ventes[[#This Row],[Qté Vendue]] * IFERROR(_xlfn.XLOOKUP(tbl_Ventes[[#This Row],[Cde_Prdt]], tbl_Produits[Cde_Prdt], tbl_Produits[Prix Menu]), 0)</f>
        <v>0</v>
      </c>
      <c r="H3704" s="7">
        <f>IFERROR(_xlfn.XLOOKUP(tbl_Ventes[[#This Row],[Cde_Prdt]], tbl_Produits[Cde_Prdt], tbl_Produits[Coût Moyen Portion]), 0)</f>
        <v>0</v>
      </c>
      <c r="I3704" s="7">
        <f>tbl_Ventes[[#This Row],[Qté Vendue]] * tbl_Ventes[[#This Row],[CMP_par_portion]]</f>
        <v>0</v>
      </c>
      <c r="J3704" s="7">
        <f>tbl_Ventes[[#This Row],[CA ligne]] - tbl_Ventes[[#This Row],[Coût matière ligne]]</f>
        <v>0</v>
      </c>
      <c r="K3704" s="7" t="str">
        <f>IFERROR(INDEX(tbl_ProduitsRef[Famille], MATCH(tbl_Ventes[[#This Row],[Cde_Prdt]], tbl_Produits[Cde_Prdt], 0)), "")</f>
        <v/>
      </c>
    </row>
    <row r="3705" spans="1:11" x14ac:dyDescent="0.25">
      <c r="A3705" s="5"/>
      <c r="B3705" s="63" t="str">
        <f>IFERROR(TEXT(tbl_Ventes[[#This Row],[Date]],"mm-aaaa"),"")</f>
        <v>01-1900</v>
      </c>
      <c r="D3705" s="10" t="str">
        <f>IFERROR(
   INDEX(tbl_ProduitsRef[Cde_Prdt],MATCH(tbl_Ventes[[#This Row],[Produit]],tbl_ProduitsRef[Produit],0)),
   ""
)</f>
        <v/>
      </c>
      <c r="E3705" s="7">
        <v>0</v>
      </c>
      <c r="F3705" s="7" t="str">
        <f>IFERROR(
   INDEX(tbl_ProduitsRef[Prix Menu],MATCH(tbl_Ventes[[#This Row],[Produit]],tbl_ProduitsRef[Produit],0)),
   ""
)</f>
        <v/>
      </c>
      <c r="G3705" s="7">
        <f>tbl_Ventes[[#This Row],[Qté Vendue]] * IFERROR(_xlfn.XLOOKUP(tbl_Ventes[[#This Row],[Cde_Prdt]], tbl_Produits[Cde_Prdt], tbl_Produits[Prix Menu]), 0)</f>
        <v>0</v>
      </c>
      <c r="H3705" s="7">
        <f>IFERROR(_xlfn.XLOOKUP(tbl_Ventes[[#This Row],[Cde_Prdt]], tbl_Produits[Cde_Prdt], tbl_Produits[Coût Moyen Portion]), 0)</f>
        <v>0</v>
      </c>
      <c r="I3705" s="7">
        <f>tbl_Ventes[[#This Row],[Qté Vendue]] * tbl_Ventes[[#This Row],[CMP_par_portion]]</f>
        <v>0</v>
      </c>
      <c r="J3705" s="7">
        <f>tbl_Ventes[[#This Row],[CA ligne]] - tbl_Ventes[[#This Row],[Coût matière ligne]]</f>
        <v>0</v>
      </c>
      <c r="K3705" s="7" t="str">
        <f>IFERROR(INDEX(tbl_ProduitsRef[Famille], MATCH(tbl_Ventes[[#This Row],[Cde_Prdt]], tbl_Produits[Cde_Prdt], 0)), "")</f>
        <v/>
      </c>
    </row>
    <row r="3706" spans="1:11" x14ac:dyDescent="0.25">
      <c r="A3706" s="5"/>
      <c r="B3706" s="63" t="str">
        <f>IFERROR(TEXT(tbl_Ventes[[#This Row],[Date]],"mm-aaaa"),"")</f>
        <v>01-1900</v>
      </c>
      <c r="D3706" s="10" t="str">
        <f>IFERROR(
   INDEX(tbl_ProduitsRef[Cde_Prdt],MATCH(tbl_Ventes[[#This Row],[Produit]],tbl_ProduitsRef[Produit],0)),
   ""
)</f>
        <v/>
      </c>
      <c r="E3706" s="7">
        <v>0</v>
      </c>
      <c r="F3706" s="7" t="str">
        <f>IFERROR(
   INDEX(tbl_ProduitsRef[Prix Menu],MATCH(tbl_Ventes[[#This Row],[Produit]],tbl_ProduitsRef[Produit],0)),
   ""
)</f>
        <v/>
      </c>
      <c r="G3706" s="7">
        <f>tbl_Ventes[[#This Row],[Qté Vendue]] * IFERROR(_xlfn.XLOOKUP(tbl_Ventes[[#This Row],[Cde_Prdt]], tbl_Produits[Cde_Prdt], tbl_Produits[Prix Menu]), 0)</f>
        <v>0</v>
      </c>
      <c r="H3706" s="7">
        <f>IFERROR(_xlfn.XLOOKUP(tbl_Ventes[[#This Row],[Cde_Prdt]], tbl_Produits[Cde_Prdt], tbl_Produits[Coût Moyen Portion]), 0)</f>
        <v>0</v>
      </c>
      <c r="I3706" s="7">
        <f>tbl_Ventes[[#This Row],[Qté Vendue]] * tbl_Ventes[[#This Row],[CMP_par_portion]]</f>
        <v>0</v>
      </c>
      <c r="J3706" s="7">
        <f>tbl_Ventes[[#This Row],[CA ligne]] - tbl_Ventes[[#This Row],[Coût matière ligne]]</f>
        <v>0</v>
      </c>
      <c r="K3706" s="7" t="str">
        <f>IFERROR(INDEX(tbl_ProduitsRef[Famille], MATCH(tbl_Ventes[[#This Row],[Cde_Prdt]], tbl_Produits[Cde_Prdt], 0)), "")</f>
        <v/>
      </c>
    </row>
    <row r="3707" spans="1:11" x14ac:dyDescent="0.25">
      <c r="A3707" s="5"/>
      <c r="B3707" s="63" t="str">
        <f>IFERROR(TEXT(tbl_Ventes[[#This Row],[Date]],"mm-aaaa"),"")</f>
        <v>01-1900</v>
      </c>
      <c r="D3707" s="10" t="str">
        <f>IFERROR(
   INDEX(tbl_ProduitsRef[Cde_Prdt],MATCH(tbl_Ventes[[#This Row],[Produit]],tbl_ProduitsRef[Produit],0)),
   ""
)</f>
        <v/>
      </c>
      <c r="E3707" s="7">
        <v>0</v>
      </c>
      <c r="F3707" s="7" t="str">
        <f>IFERROR(
   INDEX(tbl_ProduitsRef[Prix Menu],MATCH(tbl_Ventes[[#This Row],[Produit]],tbl_ProduitsRef[Produit],0)),
   ""
)</f>
        <v/>
      </c>
      <c r="G3707" s="7">
        <f>tbl_Ventes[[#This Row],[Qté Vendue]] * IFERROR(_xlfn.XLOOKUP(tbl_Ventes[[#This Row],[Cde_Prdt]], tbl_Produits[Cde_Prdt], tbl_Produits[Prix Menu]), 0)</f>
        <v>0</v>
      </c>
      <c r="H3707" s="7">
        <f>IFERROR(_xlfn.XLOOKUP(tbl_Ventes[[#This Row],[Cde_Prdt]], tbl_Produits[Cde_Prdt], tbl_Produits[Coût Moyen Portion]), 0)</f>
        <v>0</v>
      </c>
      <c r="I3707" s="7">
        <f>tbl_Ventes[[#This Row],[Qté Vendue]] * tbl_Ventes[[#This Row],[CMP_par_portion]]</f>
        <v>0</v>
      </c>
      <c r="J3707" s="7">
        <f>tbl_Ventes[[#This Row],[CA ligne]] - tbl_Ventes[[#This Row],[Coût matière ligne]]</f>
        <v>0</v>
      </c>
      <c r="K3707" s="7" t="str">
        <f>IFERROR(INDEX(tbl_ProduitsRef[Famille], MATCH(tbl_Ventes[[#This Row],[Cde_Prdt]], tbl_Produits[Cde_Prdt], 0)), "")</f>
        <v/>
      </c>
    </row>
    <row r="3708" spans="1:11" x14ac:dyDescent="0.25">
      <c r="A3708" s="5"/>
      <c r="B3708" s="63" t="str">
        <f>IFERROR(TEXT(tbl_Ventes[[#This Row],[Date]],"mm-aaaa"),"")</f>
        <v>01-1900</v>
      </c>
      <c r="D3708" s="10" t="str">
        <f>IFERROR(
   INDEX(tbl_ProduitsRef[Cde_Prdt],MATCH(tbl_Ventes[[#This Row],[Produit]],tbl_ProduitsRef[Produit],0)),
   ""
)</f>
        <v/>
      </c>
      <c r="E3708" s="7">
        <v>0</v>
      </c>
      <c r="F3708" s="7" t="str">
        <f>IFERROR(
   INDEX(tbl_ProduitsRef[Prix Menu],MATCH(tbl_Ventes[[#This Row],[Produit]],tbl_ProduitsRef[Produit],0)),
   ""
)</f>
        <v/>
      </c>
      <c r="G3708" s="7">
        <f>tbl_Ventes[[#This Row],[Qté Vendue]] * IFERROR(_xlfn.XLOOKUP(tbl_Ventes[[#This Row],[Cde_Prdt]], tbl_Produits[Cde_Prdt], tbl_Produits[Prix Menu]), 0)</f>
        <v>0</v>
      </c>
      <c r="H3708" s="7">
        <f>IFERROR(_xlfn.XLOOKUP(tbl_Ventes[[#This Row],[Cde_Prdt]], tbl_Produits[Cde_Prdt], tbl_Produits[Coût Moyen Portion]), 0)</f>
        <v>0</v>
      </c>
      <c r="I3708" s="7">
        <f>tbl_Ventes[[#This Row],[Qté Vendue]] * tbl_Ventes[[#This Row],[CMP_par_portion]]</f>
        <v>0</v>
      </c>
      <c r="J3708" s="7">
        <f>tbl_Ventes[[#This Row],[CA ligne]] - tbl_Ventes[[#This Row],[Coût matière ligne]]</f>
        <v>0</v>
      </c>
      <c r="K3708" s="7" t="str">
        <f>IFERROR(INDEX(tbl_ProduitsRef[Famille], MATCH(tbl_Ventes[[#This Row],[Cde_Prdt]], tbl_Produits[Cde_Prdt], 0)), "")</f>
        <v/>
      </c>
    </row>
    <row r="3709" spans="1:11" x14ac:dyDescent="0.25">
      <c r="A3709" s="5"/>
      <c r="B3709" s="63" t="str">
        <f>IFERROR(TEXT(tbl_Ventes[[#This Row],[Date]],"mm-aaaa"),"")</f>
        <v>01-1900</v>
      </c>
      <c r="D3709" s="10" t="str">
        <f>IFERROR(
   INDEX(tbl_ProduitsRef[Cde_Prdt],MATCH(tbl_Ventes[[#This Row],[Produit]],tbl_ProduitsRef[Produit],0)),
   ""
)</f>
        <v/>
      </c>
      <c r="E3709" s="7">
        <v>0</v>
      </c>
      <c r="F3709" s="7" t="str">
        <f>IFERROR(
   INDEX(tbl_ProduitsRef[Prix Menu],MATCH(tbl_Ventes[[#This Row],[Produit]],tbl_ProduitsRef[Produit],0)),
   ""
)</f>
        <v/>
      </c>
      <c r="G3709" s="7">
        <f>tbl_Ventes[[#This Row],[Qté Vendue]] * IFERROR(_xlfn.XLOOKUP(tbl_Ventes[[#This Row],[Cde_Prdt]], tbl_Produits[Cde_Prdt], tbl_Produits[Prix Menu]), 0)</f>
        <v>0</v>
      </c>
      <c r="H3709" s="7">
        <f>IFERROR(_xlfn.XLOOKUP(tbl_Ventes[[#This Row],[Cde_Prdt]], tbl_Produits[Cde_Prdt], tbl_Produits[Coût Moyen Portion]), 0)</f>
        <v>0</v>
      </c>
      <c r="I3709" s="7">
        <f>tbl_Ventes[[#This Row],[Qté Vendue]] * tbl_Ventes[[#This Row],[CMP_par_portion]]</f>
        <v>0</v>
      </c>
      <c r="J3709" s="7">
        <f>tbl_Ventes[[#This Row],[CA ligne]] - tbl_Ventes[[#This Row],[Coût matière ligne]]</f>
        <v>0</v>
      </c>
      <c r="K3709" s="7" t="str">
        <f>IFERROR(INDEX(tbl_ProduitsRef[Famille], MATCH(tbl_Ventes[[#This Row],[Cde_Prdt]], tbl_Produits[Cde_Prdt], 0)), "")</f>
        <v/>
      </c>
    </row>
    <row r="3710" spans="1:11" x14ac:dyDescent="0.25">
      <c r="A3710" s="5"/>
      <c r="B3710" s="63" t="str">
        <f>IFERROR(TEXT(tbl_Ventes[[#This Row],[Date]],"mm-aaaa"),"")</f>
        <v>01-1900</v>
      </c>
      <c r="D3710" s="10" t="str">
        <f>IFERROR(
   INDEX(tbl_ProduitsRef[Cde_Prdt],MATCH(tbl_Ventes[[#This Row],[Produit]],tbl_ProduitsRef[Produit],0)),
   ""
)</f>
        <v/>
      </c>
      <c r="E3710" s="7">
        <v>0</v>
      </c>
      <c r="F3710" s="7" t="str">
        <f>IFERROR(
   INDEX(tbl_ProduitsRef[Prix Menu],MATCH(tbl_Ventes[[#This Row],[Produit]],tbl_ProduitsRef[Produit],0)),
   ""
)</f>
        <v/>
      </c>
      <c r="G3710" s="7">
        <f>tbl_Ventes[[#This Row],[Qté Vendue]] * IFERROR(_xlfn.XLOOKUP(tbl_Ventes[[#This Row],[Cde_Prdt]], tbl_Produits[Cde_Prdt], tbl_Produits[Prix Menu]), 0)</f>
        <v>0</v>
      </c>
      <c r="H3710" s="7">
        <f>IFERROR(_xlfn.XLOOKUP(tbl_Ventes[[#This Row],[Cde_Prdt]], tbl_Produits[Cde_Prdt], tbl_Produits[Coût Moyen Portion]), 0)</f>
        <v>0</v>
      </c>
      <c r="I3710" s="7">
        <f>tbl_Ventes[[#This Row],[Qté Vendue]] * tbl_Ventes[[#This Row],[CMP_par_portion]]</f>
        <v>0</v>
      </c>
      <c r="J3710" s="7">
        <f>tbl_Ventes[[#This Row],[CA ligne]] - tbl_Ventes[[#This Row],[Coût matière ligne]]</f>
        <v>0</v>
      </c>
      <c r="K3710" s="7" t="str">
        <f>IFERROR(INDEX(tbl_ProduitsRef[Famille], MATCH(tbl_Ventes[[#This Row],[Cde_Prdt]], tbl_Produits[Cde_Prdt], 0)), "")</f>
        <v/>
      </c>
    </row>
    <row r="3711" spans="1:11" x14ac:dyDescent="0.25">
      <c r="A3711" s="5"/>
      <c r="B3711" s="63" t="str">
        <f>IFERROR(TEXT(tbl_Ventes[[#This Row],[Date]],"mm-aaaa"),"")</f>
        <v>01-1900</v>
      </c>
      <c r="D3711" s="10" t="str">
        <f>IFERROR(
   INDEX(tbl_ProduitsRef[Cde_Prdt],MATCH(tbl_Ventes[[#This Row],[Produit]],tbl_ProduitsRef[Produit],0)),
   ""
)</f>
        <v/>
      </c>
      <c r="E3711" s="7">
        <v>0</v>
      </c>
      <c r="F3711" s="7" t="str">
        <f>IFERROR(
   INDEX(tbl_ProduitsRef[Prix Menu],MATCH(tbl_Ventes[[#This Row],[Produit]],tbl_ProduitsRef[Produit],0)),
   ""
)</f>
        <v/>
      </c>
      <c r="G3711" s="7">
        <f>tbl_Ventes[[#This Row],[Qté Vendue]] * IFERROR(_xlfn.XLOOKUP(tbl_Ventes[[#This Row],[Cde_Prdt]], tbl_Produits[Cde_Prdt], tbl_Produits[Prix Menu]), 0)</f>
        <v>0</v>
      </c>
      <c r="H3711" s="7">
        <f>IFERROR(_xlfn.XLOOKUP(tbl_Ventes[[#This Row],[Cde_Prdt]], tbl_Produits[Cde_Prdt], tbl_Produits[Coût Moyen Portion]), 0)</f>
        <v>0</v>
      </c>
      <c r="I3711" s="7">
        <f>tbl_Ventes[[#This Row],[Qté Vendue]] * tbl_Ventes[[#This Row],[CMP_par_portion]]</f>
        <v>0</v>
      </c>
      <c r="J3711" s="7">
        <f>tbl_Ventes[[#This Row],[CA ligne]] - tbl_Ventes[[#This Row],[Coût matière ligne]]</f>
        <v>0</v>
      </c>
      <c r="K3711" s="7" t="str">
        <f>IFERROR(INDEX(tbl_ProduitsRef[Famille], MATCH(tbl_Ventes[[#This Row],[Cde_Prdt]], tbl_Produits[Cde_Prdt], 0)), "")</f>
        <v/>
      </c>
    </row>
    <row r="3712" spans="1:11" x14ac:dyDescent="0.25">
      <c r="A3712" s="5"/>
      <c r="B3712" s="63" t="str">
        <f>IFERROR(TEXT(tbl_Ventes[[#This Row],[Date]],"mm-aaaa"),"")</f>
        <v>01-1900</v>
      </c>
      <c r="D3712" s="10" t="str">
        <f>IFERROR(
   INDEX(tbl_ProduitsRef[Cde_Prdt],MATCH(tbl_Ventes[[#This Row],[Produit]],tbl_ProduitsRef[Produit],0)),
   ""
)</f>
        <v/>
      </c>
      <c r="E3712" s="7">
        <v>0</v>
      </c>
      <c r="F3712" s="7" t="str">
        <f>IFERROR(
   INDEX(tbl_ProduitsRef[Prix Menu],MATCH(tbl_Ventes[[#This Row],[Produit]],tbl_ProduitsRef[Produit],0)),
   ""
)</f>
        <v/>
      </c>
      <c r="G3712" s="7">
        <f>tbl_Ventes[[#This Row],[Qté Vendue]] * IFERROR(_xlfn.XLOOKUP(tbl_Ventes[[#This Row],[Cde_Prdt]], tbl_Produits[Cde_Prdt], tbl_Produits[Prix Menu]), 0)</f>
        <v>0</v>
      </c>
      <c r="H3712" s="7">
        <f>IFERROR(_xlfn.XLOOKUP(tbl_Ventes[[#This Row],[Cde_Prdt]], tbl_Produits[Cde_Prdt], tbl_Produits[Coût Moyen Portion]), 0)</f>
        <v>0</v>
      </c>
      <c r="I3712" s="7">
        <f>tbl_Ventes[[#This Row],[Qté Vendue]] * tbl_Ventes[[#This Row],[CMP_par_portion]]</f>
        <v>0</v>
      </c>
      <c r="J3712" s="7">
        <f>tbl_Ventes[[#This Row],[CA ligne]] - tbl_Ventes[[#This Row],[Coût matière ligne]]</f>
        <v>0</v>
      </c>
      <c r="K3712" s="7" t="str">
        <f>IFERROR(INDEX(tbl_ProduitsRef[Famille], MATCH(tbl_Ventes[[#This Row],[Cde_Prdt]], tbl_Produits[Cde_Prdt], 0)), "")</f>
        <v/>
      </c>
    </row>
    <row r="3713" spans="1:11" x14ac:dyDescent="0.25">
      <c r="A3713" s="5"/>
      <c r="B3713" s="63" t="str">
        <f>IFERROR(TEXT(tbl_Ventes[[#This Row],[Date]],"mm-aaaa"),"")</f>
        <v>01-1900</v>
      </c>
      <c r="D3713" s="10" t="str">
        <f>IFERROR(
   INDEX(tbl_ProduitsRef[Cde_Prdt],MATCH(tbl_Ventes[[#This Row],[Produit]],tbl_ProduitsRef[Produit],0)),
   ""
)</f>
        <v/>
      </c>
      <c r="E3713" s="7">
        <v>0</v>
      </c>
      <c r="F3713" s="7" t="str">
        <f>IFERROR(
   INDEX(tbl_ProduitsRef[Prix Menu],MATCH(tbl_Ventes[[#This Row],[Produit]],tbl_ProduitsRef[Produit],0)),
   ""
)</f>
        <v/>
      </c>
      <c r="G3713" s="7">
        <f>tbl_Ventes[[#This Row],[Qté Vendue]] * IFERROR(_xlfn.XLOOKUP(tbl_Ventes[[#This Row],[Cde_Prdt]], tbl_Produits[Cde_Prdt], tbl_Produits[Prix Menu]), 0)</f>
        <v>0</v>
      </c>
      <c r="H3713" s="7">
        <f>IFERROR(_xlfn.XLOOKUP(tbl_Ventes[[#This Row],[Cde_Prdt]], tbl_Produits[Cde_Prdt], tbl_Produits[Coût Moyen Portion]), 0)</f>
        <v>0</v>
      </c>
      <c r="I3713" s="7">
        <f>tbl_Ventes[[#This Row],[Qté Vendue]] * tbl_Ventes[[#This Row],[CMP_par_portion]]</f>
        <v>0</v>
      </c>
      <c r="J3713" s="7">
        <f>tbl_Ventes[[#This Row],[CA ligne]] - tbl_Ventes[[#This Row],[Coût matière ligne]]</f>
        <v>0</v>
      </c>
      <c r="K3713" s="7" t="str">
        <f>IFERROR(INDEX(tbl_ProduitsRef[Famille], MATCH(tbl_Ventes[[#This Row],[Cde_Prdt]], tbl_Produits[Cde_Prdt], 0)), "")</f>
        <v/>
      </c>
    </row>
    <row r="3714" spans="1:11" x14ac:dyDescent="0.25">
      <c r="A3714" s="5"/>
      <c r="B3714" s="63" t="str">
        <f>IFERROR(TEXT(tbl_Ventes[[#This Row],[Date]],"mm-aaaa"),"")</f>
        <v>01-1900</v>
      </c>
      <c r="D3714" s="10" t="str">
        <f>IFERROR(
   INDEX(tbl_ProduitsRef[Cde_Prdt],MATCH(tbl_Ventes[[#This Row],[Produit]],tbl_ProduitsRef[Produit],0)),
   ""
)</f>
        <v/>
      </c>
      <c r="E3714" s="7">
        <v>0</v>
      </c>
      <c r="F3714" s="7" t="str">
        <f>IFERROR(
   INDEX(tbl_ProduitsRef[Prix Menu],MATCH(tbl_Ventes[[#This Row],[Produit]],tbl_ProduitsRef[Produit],0)),
   ""
)</f>
        <v/>
      </c>
      <c r="G3714" s="7">
        <f>tbl_Ventes[[#This Row],[Qté Vendue]] * IFERROR(_xlfn.XLOOKUP(tbl_Ventes[[#This Row],[Cde_Prdt]], tbl_Produits[Cde_Prdt], tbl_Produits[Prix Menu]), 0)</f>
        <v>0</v>
      </c>
      <c r="H3714" s="7">
        <f>IFERROR(_xlfn.XLOOKUP(tbl_Ventes[[#This Row],[Cde_Prdt]], tbl_Produits[Cde_Prdt], tbl_Produits[Coût Moyen Portion]), 0)</f>
        <v>0</v>
      </c>
      <c r="I3714" s="7">
        <f>tbl_Ventes[[#This Row],[Qté Vendue]] * tbl_Ventes[[#This Row],[CMP_par_portion]]</f>
        <v>0</v>
      </c>
      <c r="J3714" s="7">
        <f>tbl_Ventes[[#This Row],[CA ligne]] - tbl_Ventes[[#This Row],[Coût matière ligne]]</f>
        <v>0</v>
      </c>
      <c r="K3714" s="7" t="str">
        <f>IFERROR(INDEX(tbl_ProduitsRef[Famille], MATCH(tbl_Ventes[[#This Row],[Cde_Prdt]], tbl_Produits[Cde_Prdt], 0)), "")</f>
        <v/>
      </c>
    </row>
    <row r="3715" spans="1:11" x14ac:dyDescent="0.25">
      <c r="A3715" s="5"/>
      <c r="B3715" s="63" t="str">
        <f>IFERROR(TEXT(tbl_Ventes[[#This Row],[Date]],"mm-aaaa"),"")</f>
        <v>01-1900</v>
      </c>
      <c r="D3715" s="10" t="str">
        <f>IFERROR(
   INDEX(tbl_ProduitsRef[Cde_Prdt],MATCH(tbl_Ventes[[#This Row],[Produit]],tbl_ProduitsRef[Produit],0)),
   ""
)</f>
        <v/>
      </c>
      <c r="E3715" s="7">
        <v>0</v>
      </c>
      <c r="F3715" s="7" t="str">
        <f>IFERROR(
   INDEX(tbl_ProduitsRef[Prix Menu],MATCH(tbl_Ventes[[#This Row],[Produit]],tbl_ProduitsRef[Produit],0)),
   ""
)</f>
        <v/>
      </c>
      <c r="G3715" s="7">
        <f>tbl_Ventes[[#This Row],[Qté Vendue]] * IFERROR(_xlfn.XLOOKUP(tbl_Ventes[[#This Row],[Cde_Prdt]], tbl_Produits[Cde_Prdt], tbl_Produits[Prix Menu]), 0)</f>
        <v>0</v>
      </c>
      <c r="H3715" s="7">
        <f>IFERROR(_xlfn.XLOOKUP(tbl_Ventes[[#This Row],[Cde_Prdt]], tbl_Produits[Cde_Prdt], tbl_Produits[Coût Moyen Portion]), 0)</f>
        <v>0</v>
      </c>
      <c r="I3715" s="7">
        <f>tbl_Ventes[[#This Row],[Qté Vendue]] * tbl_Ventes[[#This Row],[CMP_par_portion]]</f>
        <v>0</v>
      </c>
      <c r="J3715" s="7">
        <f>tbl_Ventes[[#This Row],[CA ligne]] - tbl_Ventes[[#This Row],[Coût matière ligne]]</f>
        <v>0</v>
      </c>
      <c r="K3715" s="7" t="str">
        <f>IFERROR(INDEX(tbl_ProduitsRef[Famille], MATCH(tbl_Ventes[[#This Row],[Cde_Prdt]], tbl_Produits[Cde_Prdt], 0)), "")</f>
        <v/>
      </c>
    </row>
    <row r="3716" spans="1:11" x14ac:dyDescent="0.25">
      <c r="A3716" s="5"/>
      <c r="B3716" s="63" t="str">
        <f>IFERROR(TEXT(tbl_Ventes[[#This Row],[Date]],"mm-aaaa"),"")</f>
        <v>01-1900</v>
      </c>
      <c r="D3716" s="10" t="str">
        <f>IFERROR(
   INDEX(tbl_ProduitsRef[Cde_Prdt],MATCH(tbl_Ventes[[#This Row],[Produit]],tbl_ProduitsRef[Produit],0)),
   ""
)</f>
        <v/>
      </c>
      <c r="E3716" s="7">
        <v>0</v>
      </c>
      <c r="F3716" s="7" t="str">
        <f>IFERROR(
   INDEX(tbl_ProduitsRef[Prix Menu],MATCH(tbl_Ventes[[#This Row],[Produit]],tbl_ProduitsRef[Produit],0)),
   ""
)</f>
        <v/>
      </c>
      <c r="G3716" s="7">
        <f>tbl_Ventes[[#This Row],[Qté Vendue]] * IFERROR(_xlfn.XLOOKUP(tbl_Ventes[[#This Row],[Cde_Prdt]], tbl_Produits[Cde_Prdt], tbl_Produits[Prix Menu]), 0)</f>
        <v>0</v>
      </c>
      <c r="H3716" s="7">
        <f>IFERROR(_xlfn.XLOOKUP(tbl_Ventes[[#This Row],[Cde_Prdt]], tbl_Produits[Cde_Prdt], tbl_Produits[Coût Moyen Portion]), 0)</f>
        <v>0</v>
      </c>
      <c r="I3716" s="7">
        <f>tbl_Ventes[[#This Row],[Qté Vendue]] * tbl_Ventes[[#This Row],[CMP_par_portion]]</f>
        <v>0</v>
      </c>
      <c r="J3716" s="7">
        <f>tbl_Ventes[[#This Row],[CA ligne]] - tbl_Ventes[[#This Row],[Coût matière ligne]]</f>
        <v>0</v>
      </c>
      <c r="K3716" s="7" t="str">
        <f>IFERROR(INDEX(tbl_ProduitsRef[Famille], MATCH(tbl_Ventes[[#This Row],[Cde_Prdt]], tbl_Produits[Cde_Prdt], 0)), "")</f>
        <v/>
      </c>
    </row>
    <row r="3717" spans="1:11" x14ac:dyDescent="0.25">
      <c r="A3717" s="5"/>
      <c r="B3717" s="63" t="str">
        <f>IFERROR(TEXT(tbl_Ventes[[#This Row],[Date]],"mm-aaaa"),"")</f>
        <v>01-1900</v>
      </c>
      <c r="D3717" s="10" t="str">
        <f>IFERROR(
   INDEX(tbl_ProduitsRef[Cde_Prdt],MATCH(tbl_Ventes[[#This Row],[Produit]],tbl_ProduitsRef[Produit],0)),
   ""
)</f>
        <v/>
      </c>
      <c r="E3717" s="7">
        <v>0</v>
      </c>
      <c r="F3717" s="7" t="str">
        <f>IFERROR(
   INDEX(tbl_ProduitsRef[Prix Menu],MATCH(tbl_Ventes[[#This Row],[Produit]],tbl_ProduitsRef[Produit],0)),
   ""
)</f>
        <v/>
      </c>
      <c r="G3717" s="7">
        <f>tbl_Ventes[[#This Row],[Qté Vendue]] * IFERROR(_xlfn.XLOOKUP(tbl_Ventes[[#This Row],[Cde_Prdt]], tbl_Produits[Cde_Prdt], tbl_Produits[Prix Menu]), 0)</f>
        <v>0</v>
      </c>
      <c r="H3717" s="7">
        <f>IFERROR(_xlfn.XLOOKUP(tbl_Ventes[[#This Row],[Cde_Prdt]], tbl_Produits[Cde_Prdt], tbl_Produits[Coût Moyen Portion]), 0)</f>
        <v>0</v>
      </c>
      <c r="I3717" s="7">
        <f>tbl_Ventes[[#This Row],[Qté Vendue]] * tbl_Ventes[[#This Row],[CMP_par_portion]]</f>
        <v>0</v>
      </c>
      <c r="J3717" s="7">
        <f>tbl_Ventes[[#This Row],[CA ligne]] - tbl_Ventes[[#This Row],[Coût matière ligne]]</f>
        <v>0</v>
      </c>
      <c r="K3717" s="7" t="str">
        <f>IFERROR(INDEX(tbl_ProduitsRef[Famille], MATCH(tbl_Ventes[[#This Row],[Cde_Prdt]], tbl_Produits[Cde_Prdt], 0)), "")</f>
        <v/>
      </c>
    </row>
    <row r="3718" spans="1:11" x14ac:dyDescent="0.25">
      <c r="A3718" s="5"/>
      <c r="B3718" s="63" t="str">
        <f>IFERROR(TEXT(tbl_Ventes[[#This Row],[Date]],"mm-aaaa"),"")</f>
        <v>01-1900</v>
      </c>
      <c r="D3718" s="10" t="str">
        <f>IFERROR(
   INDEX(tbl_ProduitsRef[Cde_Prdt],MATCH(tbl_Ventes[[#This Row],[Produit]],tbl_ProduitsRef[Produit],0)),
   ""
)</f>
        <v/>
      </c>
      <c r="E3718" s="7">
        <v>0</v>
      </c>
      <c r="F3718" s="7" t="str">
        <f>IFERROR(
   INDEX(tbl_ProduitsRef[Prix Menu],MATCH(tbl_Ventes[[#This Row],[Produit]],tbl_ProduitsRef[Produit],0)),
   ""
)</f>
        <v/>
      </c>
      <c r="G3718" s="7">
        <f>tbl_Ventes[[#This Row],[Qté Vendue]] * IFERROR(_xlfn.XLOOKUP(tbl_Ventes[[#This Row],[Cde_Prdt]], tbl_Produits[Cde_Prdt], tbl_Produits[Prix Menu]), 0)</f>
        <v>0</v>
      </c>
      <c r="H3718" s="7">
        <f>IFERROR(_xlfn.XLOOKUP(tbl_Ventes[[#This Row],[Cde_Prdt]], tbl_Produits[Cde_Prdt], tbl_Produits[Coût Moyen Portion]), 0)</f>
        <v>0</v>
      </c>
      <c r="I3718" s="7">
        <f>tbl_Ventes[[#This Row],[Qté Vendue]] * tbl_Ventes[[#This Row],[CMP_par_portion]]</f>
        <v>0</v>
      </c>
      <c r="J3718" s="7">
        <f>tbl_Ventes[[#This Row],[CA ligne]] - tbl_Ventes[[#This Row],[Coût matière ligne]]</f>
        <v>0</v>
      </c>
      <c r="K3718" s="7" t="str">
        <f>IFERROR(INDEX(tbl_ProduitsRef[Famille], MATCH(tbl_Ventes[[#This Row],[Cde_Prdt]], tbl_Produits[Cde_Prdt], 0)), "")</f>
        <v/>
      </c>
    </row>
    <row r="3719" spans="1:11" x14ac:dyDescent="0.25">
      <c r="A3719" s="5"/>
      <c r="B3719" s="63" t="str">
        <f>IFERROR(TEXT(tbl_Ventes[[#This Row],[Date]],"mm-aaaa"),"")</f>
        <v>01-1900</v>
      </c>
      <c r="D3719" s="10" t="str">
        <f>IFERROR(
   INDEX(tbl_ProduitsRef[Cde_Prdt],MATCH(tbl_Ventes[[#This Row],[Produit]],tbl_ProduitsRef[Produit],0)),
   ""
)</f>
        <v/>
      </c>
      <c r="E3719" s="7">
        <v>0</v>
      </c>
      <c r="F3719" s="7" t="str">
        <f>IFERROR(
   INDEX(tbl_ProduitsRef[Prix Menu],MATCH(tbl_Ventes[[#This Row],[Produit]],tbl_ProduitsRef[Produit],0)),
   ""
)</f>
        <v/>
      </c>
      <c r="G3719" s="7">
        <f>tbl_Ventes[[#This Row],[Qté Vendue]] * IFERROR(_xlfn.XLOOKUP(tbl_Ventes[[#This Row],[Cde_Prdt]], tbl_Produits[Cde_Prdt], tbl_Produits[Prix Menu]), 0)</f>
        <v>0</v>
      </c>
      <c r="H3719" s="7">
        <f>IFERROR(_xlfn.XLOOKUP(tbl_Ventes[[#This Row],[Cde_Prdt]], tbl_Produits[Cde_Prdt], tbl_Produits[Coût Moyen Portion]), 0)</f>
        <v>0</v>
      </c>
      <c r="I3719" s="7">
        <f>tbl_Ventes[[#This Row],[Qté Vendue]] * tbl_Ventes[[#This Row],[CMP_par_portion]]</f>
        <v>0</v>
      </c>
      <c r="J3719" s="7">
        <f>tbl_Ventes[[#This Row],[CA ligne]] - tbl_Ventes[[#This Row],[Coût matière ligne]]</f>
        <v>0</v>
      </c>
      <c r="K3719" s="7" t="str">
        <f>IFERROR(INDEX(tbl_ProduitsRef[Famille], MATCH(tbl_Ventes[[#This Row],[Cde_Prdt]], tbl_Produits[Cde_Prdt], 0)), "")</f>
        <v/>
      </c>
    </row>
    <row r="3720" spans="1:11" x14ac:dyDescent="0.25">
      <c r="A3720" s="5"/>
      <c r="B3720" s="63" t="str">
        <f>IFERROR(TEXT(tbl_Ventes[[#This Row],[Date]],"mm-aaaa"),"")</f>
        <v>01-1900</v>
      </c>
      <c r="D3720" s="10" t="str">
        <f>IFERROR(
   INDEX(tbl_ProduitsRef[Cde_Prdt],MATCH(tbl_Ventes[[#This Row],[Produit]],tbl_ProduitsRef[Produit],0)),
   ""
)</f>
        <v/>
      </c>
      <c r="E3720" s="7">
        <v>0</v>
      </c>
      <c r="F3720" s="7" t="str">
        <f>IFERROR(
   INDEX(tbl_ProduitsRef[Prix Menu],MATCH(tbl_Ventes[[#This Row],[Produit]],tbl_ProduitsRef[Produit],0)),
   ""
)</f>
        <v/>
      </c>
      <c r="G3720" s="7">
        <f>tbl_Ventes[[#This Row],[Qté Vendue]] * IFERROR(_xlfn.XLOOKUP(tbl_Ventes[[#This Row],[Cde_Prdt]], tbl_Produits[Cde_Prdt], tbl_Produits[Prix Menu]), 0)</f>
        <v>0</v>
      </c>
      <c r="H3720" s="7">
        <f>IFERROR(_xlfn.XLOOKUP(tbl_Ventes[[#This Row],[Cde_Prdt]], tbl_Produits[Cde_Prdt], tbl_Produits[Coût Moyen Portion]), 0)</f>
        <v>0</v>
      </c>
      <c r="I3720" s="7">
        <f>tbl_Ventes[[#This Row],[Qté Vendue]] * tbl_Ventes[[#This Row],[CMP_par_portion]]</f>
        <v>0</v>
      </c>
      <c r="J3720" s="7">
        <f>tbl_Ventes[[#This Row],[CA ligne]] - tbl_Ventes[[#This Row],[Coût matière ligne]]</f>
        <v>0</v>
      </c>
      <c r="K3720" s="7" t="str">
        <f>IFERROR(INDEX(tbl_ProduitsRef[Famille], MATCH(tbl_Ventes[[#This Row],[Cde_Prdt]], tbl_Produits[Cde_Prdt], 0)), "")</f>
        <v/>
      </c>
    </row>
    <row r="3721" spans="1:11" x14ac:dyDescent="0.25">
      <c r="A3721" s="5"/>
      <c r="B3721" s="63" t="str">
        <f>IFERROR(TEXT(tbl_Ventes[[#This Row],[Date]],"mm-aaaa"),"")</f>
        <v>01-1900</v>
      </c>
      <c r="D3721" s="10" t="str">
        <f>IFERROR(
   INDEX(tbl_ProduitsRef[Cde_Prdt],MATCH(tbl_Ventes[[#This Row],[Produit]],tbl_ProduitsRef[Produit],0)),
   ""
)</f>
        <v/>
      </c>
      <c r="E3721" s="7">
        <v>0</v>
      </c>
      <c r="F3721" s="7" t="str">
        <f>IFERROR(
   INDEX(tbl_ProduitsRef[Prix Menu],MATCH(tbl_Ventes[[#This Row],[Produit]],tbl_ProduitsRef[Produit],0)),
   ""
)</f>
        <v/>
      </c>
      <c r="G3721" s="7">
        <f>tbl_Ventes[[#This Row],[Qté Vendue]] * IFERROR(_xlfn.XLOOKUP(tbl_Ventes[[#This Row],[Cde_Prdt]], tbl_Produits[Cde_Prdt], tbl_Produits[Prix Menu]), 0)</f>
        <v>0</v>
      </c>
      <c r="H3721" s="7">
        <f>IFERROR(_xlfn.XLOOKUP(tbl_Ventes[[#This Row],[Cde_Prdt]], tbl_Produits[Cde_Prdt], tbl_Produits[Coût Moyen Portion]), 0)</f>
        <v>0</v>
      </c>
      <c r="I3721" s="7">
        <f>tbl_Ventes[[#This Row],[Qté Vendue]] * tbl_Ventes[[#This Row],[CMP_par_portion]]</f>
        <v>0</v>
      </c>
      <c r="J3721" s="7">
        <f>tbl_Ventes[[#This Row],[CA ligne]] - tbl_Ventes[[#This Row],[Coût matière ligne]]</f>
        <v>0</v>
      </c>
      <c r="K3721" s="7" t="str">
        <f>IFERROR(INDEX(tbl_ProduitsRef[Famille], MATCH(tbl_Ventes[[#This Row],[Cde_Prdt]], tbl_Produits[Cde_Prdt], 0)), "")</f>
        <v/>
      </c>
    </row>
    <row r="3722" spans="1:11" x14ac:dyDescent="0.25">
      <c r="A3722" s="5"/>
      <c r="B3722" s="63" t="str">
        <f>IFERROR(TEXT(tbl_Ventes[[#This Row],[Date]],"mm-aaaa"),"")</f>
        <v>01-1900</v>
      </c>
      <c r="D3722" s="10" t="str">
        <f>IFERROR(
   INDEX(tbl_ProduitsRef[Cde_Prdt],MATCH(tbl_Ventes[[#This Row],[Produit]],tbl_ProduitsRef[Produit],0)),
   ""
)</f>
        <v/>
      </c>
      <c r="E3722" s="7">
        <v>0</v>
      </c>
      <c r="F3722" s="7" t="str">
        <f>IFERROR(
   INDEX(tbl_ProduitsRef[Prix Menu],MATCH(tbl_Ventes[[#This Row],[Produit]],tbl_ProduitsRef[Produit],0)),
   ""
)</f>
        <v/>
      </c>
      <c r="G3722" s="7">
        <f>tbl_Ventes[[#This Row],[Qté Vendue]] * IFERROR(_xlfn.XLOOKUP(tbl_Ventes[[#This Row],[Cde_Prdt]], tbl_Produits[Cde_Prdt], tbl_Produits[Prix Menu]), 0)</f>
        <v>0</v>
      </c>
      <c r="H3722" s="7">
        <f>IFERROR(_xlfn.XLOOKUP(tbl_Ventes[[#This Row],[Cde_Prdt]], tbl_Produits[Cde_Prdt], tbl_Produits[Coût Moyen Portion]), 0)</f>
        <v>0</v>
      </c>
      <c r="I3722" s="7">
        <f>tbl_Ventes[[#This Row],[Qté Vendue]] * tbl_Ventes[[#This Row],[CMP_par_portion]]</f>
        <v>0</v>
      </c>
      <c r="J3722" s="7">
        <f>tbl_Ventes[[#This Row],[CA ligne]] - tbl_Ventes[[#This Row],[Coût matière ligne]]</f>
        <v>0</v>
      </c>
      <c r="K3722" s="7" t="str">
        <f>IFERROR(INDEX(tbl_ProduitsRef[Famille], MATCH(tbl_Ventes[[#This Row],[Cde_Prdt]], tbl_Produits[Cde_Prdt], 0)), "")</f>
        <v/>
      </c>
    </row>
    <row r="3723" spans="1:11" x14ac:dyDescent="0.25">
      <c r="A3723" s="5"/>
      <c r="B3723" s="63" t="str">
        <f>IFERROR(TEXT(tbl_Ventes[[#This Row],[Date]],"mm-aaaa"),"")</f>
        <v>01-1900</v>
      </c>
      <c r="D3723" s="10" t="str">
        <f>IFERROR(
   INDEX(tbl_ProduitsRef[Cde_Prdt],MATCH(tbl_Ventes[[#This Row],[Produit]],tbl_ProduitsRef[Produit],0)),
   ""
)</f>
        <v/>
      </c>
      <c r="E3723" s="7">
        <v>0</v>
      </c>
      <c r="F3723" s="7" t="str">
        <f>IFERROR(
   INDEX(tbl_ProduitsRef[Prix Menu],MATCH(tbl_Ventes[[#This Row],[Produit]],tbl_ProduitsRef[Produit],0)),
   ""
)</f>
        <v/>
      </c>
      <c r="G3723" s="7">
        <f>tbl_Ventes[[#This Row],[Qté Vendue]] * IFERROR(_xlfn.XLOOKUP(tbl_Ventes[[#This Row],[Cde_Prdt]], tbl_Produits[Cde_Prdt], tbl_Produits[Prix Menu]), 0)</f>
        <v>0</v>
      </c>
      <c r="H3723" s="7">
        <f>IFERROR(_xlfn.XLOOKUP(tbl_Ventes[[#This Row],[Cde_Prdt]], tbl_Produits[Cde_Prdt], tbl_Produits[Coût Moyen Portion]), 0)</f>
        <v>0</v>
      </c>
      <c r="I3723" s="7">
        <f>tbl_Ventes[[#This Row],[Qté Vendue]] * tbl_Ventes[[#This Row],[CMP_par_portion]]</f>
        <v>0</v>
      </c>
      <c r="J3723" s="7">
        <f>tbl_Ventes[[#This Row],[CA ligne]] - tbl_Ventes[[#This Row],[Coût matière ligne]]</f>
        <v>0</v>
      </c>
      <c r="K3723" s="7" t="str">
        <f>IFERROR(INDEX(tbl_ProduitsRef[Famille], MATCH(tbl_Ventes[[#This Row],[Cde_Prdt]], tbl_Produits[Cde_Prdt], 0)), "")</f>
        <v/>
      </c>
    </row>
    <row r="3724" spans="1:11" x14ac:dyDescent="0.25">
      <c r="A3724" s="5"/>
      <c r="B3724" s="63" t="str">
        <f>IFERROR(TEXT(tbl_Ventes[[#This Row],[Date]],"mm-aaaa"),"")</f>
        <v>01-1900</v>
      </c>
      <c r="D3724" s="10" t="str">
        <f>IFERROR(
   INDEX(tbl_ProduitsRef[Cde_Prdt],MATCH(tbl_Ventes[[#This Row],[Produit]],tbl_ProduitsRef[Produit],0)),
   ""
)</f>
        <v/>
      </c>
      <c r="E3724" s="7">
        <v>0</v>
      </c>
      <c r="F3724" s="7" t="str">
        <f>IFERROR(
   INDEX(tbl_ProduitsRef[Prix Menu],MATCH(tbl_Ventes[[#This Row],[Produit]],tbl_ProduitsRef[Produit],0)),
   ""
)</f>
        <v/>
      </c>
      <c r="G3724" s="7">
        <f>tbl_Ventes[[#This Row],[Qté Vendue]] * IFERROR(_xlfn.XLOOKUP(tbl_Ventes[[#This Row],[Cde_Prdt]], tbl_Produits[Cde_Prdt], tbl_Produits[Prix Menu]), 0)</f>
        <v>0</v>
      </c>
      <c r="H3724" s="7">
        <f>IFERROR(_xlfn.XLOOKUP(tbl_Ventes[[#This Row],[Cde_Prdt]], tbl_Produits[Cde_Prdt], tbl_Produits[Coût Moyen Portion]), 0)</f>
        <v>0</v>
      </c>
      <c r="I3724" s="7">
        <f>tbl_Ventes[[#This Row],[Qté Vendue]] * tbl_Ventes[[#This Row],[CMP_par_portion]]</f>
        <v>0</v>
      </c>
      <c r="J3724" s="7">
        <f>tbl_Ventes[[#This Row],[CA ligne]] - tbl_Ventes[[#This Row],[Coût matière ligne]]</f>
        <v>0</v>
      </c>
      <c r="K3724" s="7" t="str">
        <f>IFERROR(INDEX(tbl_ProduitsRef[Famille], MATCH(tbl_Ventes[[#This Row],[Cde_Prdt]], tbl_Produits[Cde_Prdt], 0)), "")</f>
        <v/>
      </c>
    </row>
    <row r="3725" spans="1:11" x14ac:dyDescent="0.25">
      <c r="A3725" s="5"/>
      <c r="B3725" s="63" t="str">
        <f>IFERROR(TEXT(tbl_Ventes[[#This Row],[Date]],"mm-aaaa"),"")</f>
        <v>01-1900</v>
      </c>
      <c r="D3725" s="10" t="str">
        <f>IFERROR(
   INDEX(tbl_ProduitsRef[Cde_Prdt],MATCH(tbl_Ventes[[#This Row],[Produit]],tbl_ProduitsRef[Produit],0)),
   ""
)</f>
        <v/>
      </c>
      <c r="E3725" s="7">
        <v>0</v>
      </c>
      <c r="F3725" s="7" t="str">
        <f>IFERROR(
   INDEX(tbl_ProduitsRef[Prix Menu],MATCH(tbl_Ventes[[#This Row],[Produit]],tbl_ProduitsRef[Produit],0)),
   ""
)</f>
        <v/>
      </c>
      <c r="G3725" s="7">
        <f>tbl_Ventes[[#This Row],[Qté Vendue]] * IFERROR(_xlfn.XLOOKUP(tbl_Ventes[[#This Row],[Cde_Prdt]], tbl_Produits[Cde_Prdt], tbl_Produits[Prix Menu]), 0)</f>
        <v>0</v>
      </c>
      <c r="H3725" s="7">
        <f>IFERROR(_xlfn.XLOOKUP(tbl_Ventes[[#This Row],[Cde_Prdt]], tbl_Produits[Cde_Prdt], tbl_Produits[Coût Moyen Portion]), 0)</f>
        <v>0</v>
      </c>
      <c r="I3725" s="7">
        <f>tbl_Ventes[[#This Row],[Qté Vendue]] * tbl_Ventes[[#This Row],[CMP_par_portion]]</f>
        <v>0</v>
      </c>
      <c r="J3725" s="7">
        <f>tbl_Ventes[[#This Row],[CA ligne]] - tbl_Ventes[[#This Row],[Coût matière ligne]]</f>
        <v>0</v>
      </c>
      <c r="K3725" s="7" t="str">
        <f>IFERROR(INDEX(tbl_ProduitsRef[Famille], MATCH(tbl_Ventes[[#This Row],[Cde_Prdt]], tbl_Produits[Cde_Prdt], 0)), "")</f>
        <v/>
      </c>
    </row>
    <row r="3726" spans="1:11" x14ac:dyDescent="0.25">
      <c r="A3726" s="5"/>
      <c r="B3726" s="63" t="str">
        <f>IFERROR(TEXT(tbl_Ventes[[#This Row],[Date]],"mm-aaaa"),"")</f>
        <v>01-1900</v>
      </c>
      <c r="D3726" s="10" t="str">
        <f>IFERROR(
   INDEX(tbl_ProduitsRef[Cde_Prdt],MATCH(tbl_Ventes[[#This Row],[Produit]],tbl_ProduitsRef[Produit],0)),
   ""
)</f>
        <v/>
      </c>
      <c r="E3726" s="7">
        <v>0</v>
      </c>
      <c r="F3726" s="7" t="str">
        <f>IFERROR(
   INDEX(tbl_ProduitsRef[Prix Menu],MATCH(tbl_Ventes[[#This Row],[Produit]],tbl_ProduitsRef[Produit],0)),
   ""
)</f>
        <v/>
      </c>
      <c r="G3726" s="7">
        <f>tbl_Ventes[[#This Row],[Qté Vendue]] * IFERROR(_xlfn.XLOOKUP(tbl_Ventes[[#This Row],[Cde_Prdt]], tbl_Produits[Cde_Prdt], tbl_Produits[Prix Menu]), 0)</f>
        <v>0</v>
      </c>
      <c r="H3726" s="7">
        <f>IFERROR(_xlfn.XLOOKUP(tbl_Ventes[[#This Row],[Cde_Prdt]], tbl_Produits[Cde_Prdt], tbl_Produits[Coût Moyen Portion]), 0)</f>
        <v>0</v>
      </c>
      <c r="I3726" s="7">
        <f>tbl_Ventes[[#This Row],[Qté Vendue]] * tbl_Ventes[[#This Row],[CMP_par_portion]]</f>
        <v>0</v>
      </c>
      <c r="J3726" s="7">
        <f>tbl_Ventes[[#This Row],[CA ligne]] - tbl_Ventes[[#This Row],[Coût matière ligne]]</f>
        <v>0</v>
      </c>
      <c r="K3726" s="7" t="str">
        <f>IFERROR(INDEX(tbl_ProduitsRef[Famille], MATCH(tbl_Ventes[[#This Row],[Cde_Prdt]], tbl_Produits[Cde_Prdt], 0)), "")</f>
        <v/>
      </c>
    </row>
    <row r="3727" spans="1:11" x14ac:dyDescent="0.25">
      <c r="A3727" s="5"/>
      <c r="B3727" s="63" t="str">
        <f>IFERROR(TEXT(tbl_Ventes[[#This Row],[Date]],"mm-aaaa"),"")</f>
        <v>01-1900</v>
      </c>
      <c r="D3727" s="10" t="str">
        <f>IFERROR(
   INDEX(tbl_ProduitsRef[Cde_Prdt],MATCH(tbl_Ventes[[#This Row],[Produit]],tbl_ProduitsRef[Produit],0)),
   ""
)</f>
        <v/>
      </c>
      <c r="E3727" s="7">
        <v>0</v>
      </c>
      <c r="F3727" s="7" t="str">
        <f>IFERROR(
   INDEX(tbl_ProduitsRef[Prix Menu],MATCH(tbl_Ventes[[#This Row],[Produit]],tbl_ProduitsRef[Produit],0)),
   ""
)</f>
        <v/>
      </c>
      <c r="G3727" s="7">
        <f>tbl_Ventes[[#This Row],[Qté Vendue]] * IFERROR(_xlfn.XLOOKUP(tbl_Ventes[[#This Row],[Cde_Prdt]], tbl_Produits[Cde_Prdt], tbl_Produits[Prix Menu]), 0)</f>
        <v>0</v>
      </c>
      <c r="H3727" s="7">
        <f>IFERROR(_xlfn.XLOOKUP(tbl_Ventes[[#This Row],[Cde_Prdt]], tbl_Produits[Cde_Prdt], tbl_Produits[Coût Moyen Portion]), 0)</f>
        <v>0</v>
      </c>
      <c r="I3727" s="7">
        <f>tbl_Ventes[[#This Row],[Qté Vendue]] * tbl_Ventes[[#This Row],[CMP_par_portion]]</f>
        <v>0</v>
      </c>
      <c r="J3727" s="7">
        <f>tbl_Ventes[[#This Row],[CA ligne]] - tbl_Ventes[[#This Row],[Coût matière ligne]]</f>
        <v>0</v>
      </c>
      <c r="K3727" s="7" t="str">
        <f>IFERROR(INDEX(tbl_ProduitsRef[Famille], MATCH(tbl_Ventes[[#This Row],[Cde_Prdt]], tbl_Produits[Cde_Prdt], 0)), "")</f>
        <v/>
      </c>
    </row>
    <row r="3728" spans="1:11" x14ac:dyDescent="0.25">
      <c r="A3728" s="5"/>
      <c r="B3728" s="63" t="str">
        <f>IFERROR(TEXT(tbl_Ventes[[#This Row],[Date]],"mm-aaaa"),"")</f>
        <v>01-1900</v>
      </c>
      <c r="D3728" s="10" t="str">
        <f>IFERROR(
   INDEX(tbl_ProduitsRef[Cde_Prdt],MATCH(tbl_Ventes[[#This Row],[Produit]],tbl_ProduitsRef[Produit],0)),
   ""
)</f>
        <v/>
      </c>
      <c r="E3728" s="7">
        <v>0</v>
      </c>
      <c r="F3728" s="7" t="str">
        <f>IFERROR(
   INDEX(tbl_ProduitsRef[Prix Menu],MATCH(tbl_Ventes[[#This Row],[Produit]],tbl_ProduitsRef[Produit],0)),
   ""
)</f>
        <v/>
      </c>
      <c r="G3728" s="7">
        <f>tbl_Ventes[[#This Row],[Qté Vendue]] * IFERROR(_xlfn.XLOOKUP(tbl_Ventes[[#This Row],[Cde_Prdt]], tbl_Produits[Cde_Prdt], tbl_Produits[Prix Menu]), 0)</f>
        <v>0</v>
      </c>
      <c r="H3728" s="7">
        <f>IFERROR(_xlfn.XLOOKUP(tbl_Ventes[[#This Row],[Cde_Prdt]], tbl_Produits[Cde_Prdt], tbl_Produits[Coût Moyen Portion]), 0)</f>
        <v>0</v>
      </c>
      <c r="I3728" s="7">
        <f>tbl_Ventes[[#This Row],[Qté Vendue]] * tbl_Ventes[[#This Row],[CMP_par_portion]]</f>
        <v>0</v>
      </c>
      <c r="J3728" s="7">
        <f>tbl_Ventes[[#This Row],[CA ligne]] - tbl_Ventes[[#This Row],[Coût matière ligne]]</f>
        <v>0</v>
      </c>
      <c r="K3728" s="7" t="str">
        <f>IFERROR(INDEX(tbl_ProduitsRef[Famille], MATCH(tbl_Ventes[[#This Row],[Cde_Prdt]], tbl_Produits[Cde_Prdt], 0)), "")</f>
        <v/>
      </c>
    </row>
    <row r="3729" spans="1:11" x14ac:dyDescent="0.25">
      <c r="A3729" s="5"/>
      <c r="B3729" s="63" t="str">
        <f>IFERROR(TEXT(tbl_Ventes[[#This Row],[Date]],"mm-aaaa"),"")</f>
        <v>01-1900</v>
      </c>
      <c r="D3729" s="10" t="str">
        <f>IFERROR(
   INDEX(tbl_ProduitsRef[Cde_Prdt],MATCH(tbl_Ventes[[#This Row],[Produit]],tbl_ProduitsRef[Produit],0)),
   ""
)</f>
        <v/>
      </c>
      <c r="E3729" s="7">
        <v>0</v>
      </c>
      <c r="F3729" s="7" t="str">
        <f>IFERROR(
   INDEX(tbl_ProduitsRef[Prix Menu],MATCH(tbl_Ventes[[#This Row],[Produit]],tbl_ProduitsRef[Produit],0)),
   ""
)</f>
        <v/>
      </c>
      <c r="G3729" s="7">
        <f>tbl_Ventes[[#This Row],[Qté Vendue]] * IFERROR(_xlfn.XLOOKUP(tbl_Ventes[[#This Row],[Cde_Prdt]], tbl_Produits[Cde_Prdt], tbl_Produits[Prix Menu]), 0)</f>
        <v>0</v>
      </c>
      <c r="H3729" s="7">
        <f>IFERROR(_xlfn.XLOOKUP(tbl_Ventes[[#This Row],[Cde_Prdt]], tbl_Produits[Cde_Prdt], tbl_Produits[Coût Moyen Portion]), 0)</f>
        <v>0</v>
      </c>
      <c r="I3729" s="7">
        <f>tbl_Ventes[[#This Row],[Qté Vendue]] * tbl_Ventes[[#This Row],[CMP_par_portion]]</f>
        <v>0</v>
      </c>
      <c r="J3729" s="7">
        <f>tbl_Ventes[[#This Row],[CA ligne]] - tbl_Ventes[[#This Row],[Coût matière ligne]]</f>
        <v>0</v>
      </c>
      <c r="K3729" s="7" t="str">
        <f>IFERROR(INDEX(tbl_ProduitsRef[Famille], MATCH(tbl_Ventes[[#This Row],[Cde_Prdt]], tbl_Produits[Cde_Prdt], 0)), "")</f>
        <v/>
      </c>
    </row>
    <row r="3730" spans="1:11" x14ac:dyDescent="0.25">
      <c r="A3730" s="5"/>
      <c r="B3730" s="63" t="str">
        <f>IFERROR(TEXT(tbl_Ventes[[#This Row],[Date]],"mm-aaaa"),"")</f>
        <v>01-1900</v>
      </c>
      <c r="D3730" s="10" t="str">
        <f>IFERROR(
   INDEX(tbl_ProduitsRef[Cde_Prdt],MATCH(tbl_Ventes[[#This Row],[Produit]],tbl_ProduitsRef[Produit],0)),
   ""
)</f>
        <v/>
      </c>
      <c r="E3730" s="7">
        <v>0</v>
      </c>
      <c r="F3730" s="7" t="str">
        <f>IFERROR(
   INDEX(tbl_ProduitsRef[Prix Menu],MATCH(tbl_Ventes[[#This Row],[Produit]],tbl_ProduitsRef[Produit],0)),
   ""
)</f>
        <v/>
      </c>
      <c r="G3730" s="7">
        <f>tbl_Ventes[[#This Row],[Qté Vendue]] * IFERROR(_xlfn.XLOOKUP(tbl_Ventes[[#This Row],[Cde_Prdt]], tbl_Produits[Cde_Prdt], tbl_Produits[Prix Menu]), 0)</f>
        <v>0</v>
      </c>
      <c r="H3730" s="7">
        <f>IFERROR(_xlfn.XLOOKUP(tbl_Ventes[[#This Row],[Cde_Prdt]], tbl_Produits[Cde_Prdt], tbl_Produits[Coût Moyen Portion]), 0)</f>
        <v>0</v>
      </c>
      <c r="I3730" s="7">
        <f>tbl_Ventes[[#This Row],[Qté Vendue]] * tbl_Ventes[[#This Row],[CMP_par_portion]]</f>
        <v>0</v>
      </c>
      <c r="J3730" s="7">
        <f>tbl_Ventes[[#This Row],[CA ligne]] - tbl_Ventes[[#This Row],[Coût matière ligne]]</f>
        <v>0</v>
      </c>
      <c r="K3730" s="7" t="str">
        <f>IFERROR(INDEX(tbl_ProduitsRef[Famille], MATCH(tbl_Ventes[[#This Row],[Cde_Prdt]], tbl_Produits[Cde_Prdt], 0)), "")</f>
        <v/>
      </c>
    </row>
    <row r="3731" spans="1:11" x14ac:dyDescent="0.25">
      <c r="A3731" s="5"/>
      <c r="B3731" s="63" t="str">
        <f>IFERROR(TEXT(tbl_Ventes[[#This Row],[Date]],"mm-aaaa"),"")</f>
        <v>01-1900</v>
      </c>
      <c r="D3731" s="10" t="str">
        <f>IFERROR(
   INDEX(tbl_ProduitsRef[Cde_Prdt],MATCH(tbl_Ventes[[#This Row],[Produit]],tbl_ProduitsRef[Produit],0)),
   ""
)</f>
        <v/>
      </c>
      <c r="E3731" s="7">
        <v>0</v>
      </c>
      <c r="F3731" s="7" t="str">
        <f>IFERROR(
   INDEX(tbl_ProduitsRef[Prix Menu],MATCH(tbl_Ventes[[#This Row],[Produit]],tbl_ProduitsRef[Produit],0)),
   ""
)</f>
        <v/>
      </c>
      <c r="G3731" s="7">
        <f>tbl_Ventes[[#This Row],[Qté Vendue]] * IFERROR(_xlfn.XLOOKUP(tbl_Ventes[[#This Row],[Cde_Prdt]], tbl_Produits[Cde_Prdt], tbl_Produits[Prix Menu]), 0)</f>
        <v>0</v>
      </c>
      <c r="H3731" s="7">
        <f>IFERROR(_xlfn.XLOOKUP(tbl_Ventes[[#This Row],[Cde_Prdt]], tbl_Produits[Cde_Prdt], tbl_Produits[Coût Moyen Portion]), 0)</f>
        <v>0</v>
      </c>
      <c r="I3731" s="7">
        <f>tbl_Ventes[[#This Row],[Qté Vendue]] * tbl_Ventes[[#This Row],[CMP_par_portion]]</f>
        <v>0</v>
      </c>
      <c r="J3731" s="7">
        <f>tbl_Ventes[[#This Row],[CA ligne]] - tbl_Ventes[[#This Row],[Coût matière ligne]]</f>
        <v>0</v>
      </c>
      <c r="K3731" s="7" t="str">
        <f>IFERROR(INDEX(tbl_ProduitsRef[Famille], MATCH(tbl_Ventes[[#This Row],[Cde_Prdt]], tbl_Produits[Cde_Prdt], 0)), "")</f>
        <v/>
      </c>
    </row>
    <row r="3732" spans="1:11" x14ac:dyDescent="0.25">
      <c r="A3732" s="5"/>
      <c r="B3732" s="63" t="str">
        <f>IFERROR(TEXT(tbl_Ventes[[#This Row],[Date]],"mm-aaaa"),"")</f>
        <v>01-1900</v>
      </c>
      <c r="D3732" s="10" t="str">
        <f>IFERROR(
   INDEX(tbl_ProduitsRef[Cde_Prdt],MATCH(tbl_Ventes[[#This Row],[Produit]],tbl_ProduitsRef[Produit],0)),
   ""
)</f>
        <v/>
      </c>
      <c r="E3732" s="7">
        <v>0</v>
      </c>
      <c r="F3732" s="7" t="str">
        <f>IFERROR(
   INDEX(tbl_ProduitsRef[Prix Menu],MATCH(tbl_Ventes[[#This Row],[Produit]],tbl_ProduitsRef[Produit],0)),
   ""
)</f>
        <v/>
      </c>
      <c r="G3732" s="7">
        <f>tbl_Ventes[[#This Row],[Qté Vendue]] * IFERROR(_xlfn.XLOOKUP(tbl_Ventes[[#This Row],[Cde_Prdt]], tbl_Produits[Cde_Prdt], tbl_Produits[Prix Menu]), 0)</f>
        <v>0</v>
      </c>
      <c r="H3732" s="7">
        <f>IFERROR(_xlfn.XLOOKUP(tbl_Ventes[[#This Row],[Cde_Prdt]], tbl_Produits[Cde_Prdt], tbl_Produits[Coût Moyen Portion]), 0)</f>
        <v>0</v>
      </c>
      <c r="I3732" s="7">
        <f>tbl_Ventes[[#This Row],[Qté Vendue]] * tbl_Ventes[[#This Row],[CMP_par_portion]]</f>
        <v>0</v>
      </c>
      <c r="J3732" s="7">
        <f>tbl_Ventes[[#This Row],[CA ligne]] - tbl_Ventes[[#This Row],[Coût matière ligne]]</f>
        <v>0</v>
      </c>
      <c r="K3732" s="7" t="str">
        <f>IFERROR(INDEX(tbl_ProduitsRef[Famille], MATCH(tbl_Ventes[[#This Row],[Cde_Prdt]], tbl_Produits[Cde_Prdt], 0)), "")</f>
        <v/>
      </c>
    </row>
    <row r="3733" spans="1:11" x14ac:dyDescent="0.25">
      <c r="A3733" s="5"/>
      <c r="B3733" s="63" t="str">
        <f>IFERROR(TEXT(tbl_Ventes[[#This Row],[Date]],"mm-aaaa"),"")</f>
        <v>01-1900</v>
      </c>
      <c r="D3733" s="10" t="str">
        <f>IFERROR(
   INDEX(tbl_ProduitsRef[Cde_Prdt],MATCH(tbl_Ventes[[#This Row],[Produit]],tbl_ProduitsRef[Produit],0)),
   ""
)</f>
        <v/>
      </c>
      <c r="E3733" s="7">
        <v>0</v>
      </c>
      <c r="F3733" s="7" t="str">
        <f>IFERROR(
   INDEX(tbl_ProduitsRef[Prix Menu],MATCH(tbl_Ventes[[#This Row],[Produit]],tbl_ProduitsRef[Produit],0)),
   ""
)</f>
        <v/>
      </c>
      <c r="G3733" s="7">
        <f>tbl_Ventes[[#This Row],[Qté Vendue]] * IFERROR(_xlfn.XLOOKUP(tbl_Ventes[[#This Row],[Cde_Prdt]], tbl_Produits[Cde_Prdt], tbl_Produits[Prix Menu]), 0)</f>
        <v>0</v>
      </c>
      <c r="H3733" s="7">
        <f>IFERROR(_xlfn.XLOOKUP(tbl_Ventes[[#This Row],[Cde_Prdt]], tbl_Produits[Cde_Prdt], tbl_Produits[Coût Moyen Portion]), 0)</f>
        <v>0</v>
      </c>
      <c r="I3733" s="7">
        <f>tbl_Ventes[[#This Row],[Qté Vendue]] * tbl_Ventes[[#This Row],[CMP_par_portion]]</f>
        <v>0</v>
      </c>
      <c r="J3733" s="7">
        <f>tbl_Ventes[[#This Row],[CA ligne]] - tbl_Ventes[[#This Row],[Coût matière ligne]]</f>
        <v>0</v>
      </c>
      <c r="K3733" s="7" t="str">
        <f>IFERROR(INDEX(tbl_ProduitsRef[Famille], MATCH(tbl_Ventes[[#This Row],[Cde_Prdt]], tbl_Produits[Cde_Prdt], 0)), "")</f>
        <v/>
      </c>
    </row>
    <row r="3734" spans="1:11" x14ac:dyDescent="0.25">
      <c r="A3734" s="5"/>
      <c r="B3734" s="63" t="str">
        <f>IFERROR(TEXT(tbl_Ventes[[#This Row],[Date]],"mm-aaaa"),"")</f>
        <v>01-1900</v>
      </c>
      <c r="D3734" s="10" t="str">
        <f>IFERROR(
   INDEX(tbl_ProduitsRef[Cde_Prdt],MATCH(tbl_Ventes[[#This Row],[Produit]],tbl_ProduitsRef[Produit],0)),
   ""
)</f>
        <v/>
      </c>
      <c r="E3734" s="7">
        <v>0</v>
      </c>
      <c r="F3734" s="7" t="str">
        <f>IFERROR(
   INDEX(tbl_ProduitsRef[Prix Menu],MATCH(tbl_Ventes[[#This Row],[Produit]],tbl_ProduitsRef[Produit],0)),
   ""
)</f>
        <v/>
      </c>
      <c r="G3734" s="7">
        <f>tbl_Ventes[[#This Row],[Qté Vendue]] * IFERROR(_xlfn.XLOOKUP(tbl_Ventes[[#This Row],[Cde_Prdt]], tbl_Produits[Cde_Prdt], tbl_Produits[Prix Menu]), 0)</f>
        <v>0</v>
      </c>
      <c r="H3734" s="7">
        <f>IFERROR(_xlfn.XLOOKUP(tbl_Ventes[[#This Row],[Cde_Prdt]], tbl_Produits[Cde_Prdt], tbl_Produits[Coût Moyen Portion]), 0)</f>
        <v>0</v>
      </c>
      <c r="I3734" s="7">
        <f>tbl_Ventes[[#This Row],[Qté Vendue]] * tbl_Ventes[[#This Row],[CMP_par_portion]]</f>
        <v>0</v>
      </c>
      <c r="J3734" s="7">
        <f>tbl_Ventes[[#This Row],[CA ligne]] - tbl_Ventes[[#This Row],[Coût matière ligne]]</f>
        <v>0</v>
      </c>
      <c r="K3734" s="7" t="str">
        <f>IFERROR(INDEX(tbl_ProduitsRef[Famille], MATCH(tbl_Ventes[[#This Row],[Cde_Prdt]], tbl_Produits[Cde_Prdt], 0)), "")</f>
        <v/>
      </c>
    </row>
    <row r="3735" spans="1:11" x14ac:dyDescent="0.25">
      <c r="A3735" s="5"/>
      <c r="B3735" s="63" t="str">
        <f>IFERROR(TEXT(tbl_Ventes[[#This Row],[Date]],"mm-aaaa"),"")</f>
        <v>01-1900</v>
      </c>
      <c r="D3735" s="10" t="str">
        <f>IFERROR(
   INDEX(tbl_ProduitsRef[Cde_Prdt],MATCH(tbl_Ventes[[#This Row],[Produit]],tbl_ProduitsRef[Produit],0)),
   ""
)</f>
        <v/>
      </c>
      <c r="E3735" s="7">
        <v>0</v>
      </c>
      <c r="F3735" s="7" t="str">
        <f>IFERROR(
   INDEX(tbl_ProduitsRef[Prix Menu],MATCH(tbl_Ventes[[#This Row],[Produit]],tbl_ProduitsRef[Produit],0)),
   ""
)</f>
        <v/>
      </c>
      <c r="G3735" s="7">
        <f>tbl_Ventes[[#This Row],[Qté Vendue]] * IFERROR(_xlfn.XLOOKUP(tbl_Ventes[[#This Row],[Cde_Prdt]], tbl_Produits[Cde_Prdt], tbl_Produits[Prix Menu]), 0)</f>
        <v>0</v>
      </c>
      <c r="H3735" s="7">
        <f>IFERROR(_xlfn.XLOOKUP(tbl_Ventes[[#This Row],[Cde_Prdt]], tbl_Produits[Cde_Prdt], tbl_Produits[Coût Moyen Portion]), 0)</f>
        <v>0</v>
      </c>
      <c r="I3735" s="7">
        <f>tbl_Ventes[[#This Row],[Qté Vendue]] * tbl_Ventes[[#This Row],[CMP_par_portion]]</f>
        <v>0</v>
      </c>
      <c r="J3735" s="7">
        <f>tbl_Ventes[[#This Row],[CA ligne]] - tbl_Ventes[[#This Row],[Coût matière ligne]]</f>
        <v>0</v>
      </c>
      <c r="K3735" s="7" t="str">
        <f>IFERROR(INDEX(tbl_ProduitsRef[Famille], MATCH(tbl_Ventes[[#This Row],[Cde_Prdt]], tbl_Produits[Cde_Prdt], 0)), "")</f>
        <v/>
      </c>
    </row>
    <row r="3736" spans="1:11" x14ac:dyDescent="0.25">
      <c r="A3736" s="5"/>
      <c r="B3736" s="63" t="str">
        <f>IFERROR(TEXT(tbl_Ventes[[#This Row],[Date]],"mm-aaaa"),"")</f>
        <v>01-1900</v>
      </c>
      <c r="D3736" s="10" t="str">
        <f>IFERROR(
   INDEX(tbl_ProduitsRef[Cde_Prdt],MATCH(tbl_Ventes[[#This Row],[Produit]],tbl_ProduitsRef[Produit],0)),
   ""
)</f>
        <v/>
      </c>
      <c r="E3736" s="7">
        <v>0</v>
      </c>
      <c r="F3736" s="7" t="str">
        <f>IFERROR(
   INDEX(tbl_ProduitsRef[Prix Menu],MATCH(tbl_Ventes[[#This Row],[Produit]],tbl_ProduitsRef[Produit],0)),
   ""
)</f>
        <v/>
      </c>
      <c r="G3736" s="7">
        <f>tbl_Ventes[[#This Row],[Qté Vendue]] * IFERROR(_xlfn.XLOOKUP(tbl_Ventes[[#This Row],[Cde_Prdt]], tbl_Produits[Cde_Prdt], tbl_Produits[Prix Menu]), 0)</f>
        <v>0</v>
      </c>
      <c r="H3736" s="7">
        <f>IFERROR(_xlfn.XLOOKUP(tbl_Ventes[[#This Row],[Cde_Prdt]], tbl_Produits[Cde_Prdt], tbl_Produits[Coût Moyen Portion]), 0)</f>
        <v>0</v>
      </c>
      <c r="I3736" s="7">
        <f>tbl_Ventes[[#This Row],[Qté Vendue]] * tbl_Ventes[[#This Row],[CMP_par_portion]]</f>
        <v>0</v>
      </c>
      <c r="J3736" s="7">
        <f>tbl_Ventes[[#This Row],[CA ligne]] - tbl_Ventes[[#This Row],[Coût matière ligne]]</f>
        <v>0</v>
      </c>
      <c r="K3736" s="7" t="str">
        <f>IFERROR(INDEX(tbl_ProduitsRef[Famille], MATCH(tbl_Ventes[[#This Row],[Cde_Prdt]], tbl_Produits[Cde_Prdt], 0)), "")</f>
        <v/>
      </c>
    </row>
    <row r="3737" spans="1:11" x14ac:dyDescent="0.25">
      <c r="A3737" s="5"/>
      <c r="B3737" s="63" t="str">
        <f>IFERROR(TEXT(tbl_Ventes[[#This Row],[Date]],"mm-aaaa"),"")</f>
        <v>01-1900</v>
      </c>
      <c r="D3737" s="10" t="str">
        <f>IFERROR(
   INDEX(tbl_ProduitsRef[Cde_Prdt],MATCH(tbl_Ventes[[#This Row],[Produit]],tbl_ProduitsRef[Produit],0)),
   ""
)</f>
        <v/>
      </c>
      <c r="E3737" s="7">
        <v>0</v>
      </c>
      <c r="F3737" s="7" t="str">
        <f>IFERROR(
   INDEX(tbl_ProduitsRef[Prix Menu],MATCH(tbl_Ventes[[#This Row],[Produit]],tbl_ProduitsRef[Produit],0)),
   ""
)</f>
        <v/>
      </c>
      <c r="G3737" s="7">
        <f>tbl_Ventes[[#This Row],[Qté Vendue]] * IFERROR(_xlfn.XLOOKUP(tbl_Ventes[[#This Row],[Cde_Prdt]], tbl_Produits[Cde_Prdt], tbl_Produits[Prix Menu]), 0)</f>
        <v>0</v>
      </c>
      <c r="H3737" s="7">
        <f>IFERROR(_xlfn.XLOOKUP(tbl_Ventes[[#This Row],[Cde_Prdt]], tbl_Produits[Cde_Prdt], tbl_Produits[Coût Moyen Portion]), 0)</f>
        <v>0</v>
      </c>
      <c r="I3737" s="7">
        <f>tbl_Ventes[[#This Row],[Qté Vendue]] * tbl_Ventes[[#This Row],[CMP_par_portion]]</f>
        <v>0</v>
      </c>
      <c r="J3737" s="7">
        <f>tbl_Ventes[[#This Row],[CA ligne]] - tbl_Ventes[[#This Row],[Coût matière ligne]]</f>
        <v>0</v>
      </c>
      <c r="K3737" s="7" t="str">
        <f>IFERROR(INDEX(tbl_ProduitsRef[Famille], MATCH(tbl_Ventes[[#This Row],[Cde_Prdt]], tbl_Produits[Cde_Prdt], 0)), "")</f>
        <v/>
      </c>
    </row>
    <row r="3738" spans="1:11" x14ac:dyDescent="0.25">
      <c r="A3738" s="5"/>
      <c r="B3738" s="63" t="str">
        <f>IFERROR(TEXT(tbl_Ventes[[#This Row],[Date]],"mm-aaaa"),"")</f>
        <v>01-1900</v>
      </c>
      <c r="D3738" s="10" t="str">
        <f>IFERROR(
   INDEX(tbl_ProduitsRef[Cde_Prdt],MATCH(tbl_Ventes[[#This Row],[Produit]],tbl_ProduitsRef[Produit],0)),
   ""
)</f>
        <v/>
      </c>
      <c r="E3738" s="7">
        <v>0</v>
      </c>
      <c r="F3738" s="7" t="str">
        <f>IFERROR(
   INDEX(tbl_ProduitsRef[Prix Menu],MATCH(tbl_Ventes[[#This Row],[Produit]],tbl_ProduitsRef[Produit],0)),
   ""
)</f>
        <v/>
      </c>
      <c r="G3738" s="7">
        <f>tbl_Ventes[[#This Row],[Qté Vendue]] * IFERROR(_xlfn.XLOOKUP(tbl_Ventes[[#This Row],[Cde_Prdt]], tbl_Produits[Cde_Prdt], tbl_Produits[Prix Menu]), 0)</f>
        <v>0</v>
      </c>
      <c r="H3738" s="7">
        <f>IFERROR(_xlfn.XLOOKUP(tbl_Ventes[[#This Row],[Cde_Prdt]], tbl_Produits[Cde_Prdt], tbl_Produits[Coût Moyen Portion]), 0)</f>
        <v>0</v>
      </c>
      <c r="I3738" s="7">
        <f>tbl_Ventes[[#This Row],[Qté Vendue]] * tbl_Ventes[[#This Row],[CMP_par_portion]]</f>
        <v>0</v>
      </c>
      <c r="J3738" s="7">
        <f>tbl_Ventes[[#This Row],[CA ligne]] - tbl_Ventes[[#This Row],[Coût matière ligne]]</f>
        <v>0</v>
      </c>
      <c r="K3738" s="7" t="str">
        <f>IFERROR(INDEX(tbl_ProduitsRef[Famille], MATCH(tbl_Ventes[[#This Row],[Cde_Prdt]], tbl_Produits[Cde_Prdt], 0)), "")</f>
        <v/>
      </c>
    </row>
    <row r="3739" spans="1:11" x14ac:dyDescent="0.25">
      <c r="A3739" s="5"/>
      <c r="B3739" s="63" t="str">
        <f>IFERROR(TEXT(tbl_Ventes[[#This Row],[Date]],"mm-aaaa"),"")</f>
        <v>01-1900</v>
      </c>
      <c r="D3739" s="10" t="str">
        <f>IFERROR(
   INDEX(tbl_ProduitsRef[Cde_Prdt],MATCH(tbl_Ventes[[#This Row],[Produit]],tbl_ProduitsRef[Produit],0)),
   ""
)</f>
        <v/>
      </c>
      <c r="E3739" s="7">
        <v>0</v>
      </c>
      <c r="F3739" s="7" t="str">
        <f>IFERROR(
   INDEX(tbl_ProduitsRef[Prix Menu],MATCH(tbl_Ventes[[#This Row],[Produit]],tbl_ProduitsRef[Produit],0)),
   ""
)</f>
        <v/>
      </c>
      <c r="G3739" s="7">
        <f>tbl_Ventes[[#This Row],[Qté Vendue]] * IFERROR(_xlfn.XLOOKUP(tbl_Ventes[[#This Row],[Cde_Prdt]], tbl_Produits[Cde_Prdt], tbl_Produits[Prix Menu]), 0)</f>
        <v>0</v>
      </c>
      <c r="H3739" s="7">
        <f>IFERROR(_xlfn.XLOOKUP(tbl_Ventes[[#This Row],[Cde_Prdt]], tbl_Produits[Cde_Prdt], tbl_Produits[Coût Moyen Portion]), 0)</f>
        <v>0</v>
      </c>
      <c r="I3739" s="7">
        <f>tbl_Ventes[[#This Row],[Qté Vendue]] * tbl_Ventes[[#This Row],[CMP_par_portion]]</f>
        <v>0</v>
      </c>
      <c r="J3739" s="7">
        <f>tbl_Ventes[[#This Row],[CA ligne]] - tbl_Ventes[[#This Row],[Coût matière ligne]]</f>
        <v>0</v>
      </c>
      <c r="K3739" s="7" t="str">
        <f>IFERROR(INDEX(tbl_ProduitsRef[Famille], MATCH(tbl_Ventes[[#This Row],[Cde_Prdt]], tbl_Produits[Cde_Prdt], 0)), "")</f>
        <v/>
      </c>
    </row>
    <row r="3740" spans="1:11" x14ac:dyDescent="0.25">
      <c r="A3740" s="5"/>
      <c r="B3740" s="63" t="str">
        <f>IFERROR(TEXT(tbl_Ventes[[#This Row],[Date]],"mm-aaaa"),"")</f>
        <v>01-1900</v>
      </c>
      <c r="D3740" s="10" t="str">
        <f>IFERROR(
   INDEX(tbl_ProduitsRef[Cde_Prdt],MATCH(tbl_Ventes[[#This Row],[Produit]],tbl_ProduitsRef[Produit],0)),
   ""
)</f>
        <v/>
      </c>
      <c r="E3740" s="7">
        <v>0</v>
      </c>
      <c r="F3740" s="7" t="str">
        <f>IFERROR(
   INDEX(tbl_ProduitsRef[Prix Menu],MATCH(tbl_Ventes[[#This Row],[Produit]],tbl_ProduitsRef[Produit],0)),
   ""
)</f>
        <v/>
      </c>
      <c r="G3740" s="7">
        <f>tbl_Ventes[[#This Row],[Qté Vendue]] * IFERROR(_xlfn.XLOOKUP(tbl_Ventes[[#This Row],[Cde_Prdt]], tbl_Produits[Cde_Prdt], tbl_Produits[Prix Menu]), 0)</f>
        <v>0</v>
      </c>
      <c r="H3740" s="7">
        <f>IFERROR(_xlfn.XLOOKUP(tbl_Ventes[[#This Row],[Cde_Prdt]], tbl_Produits[Cde_Prdt], tbl_Produits[Coût Moyen Portion]), 0)</f>
        <v>0</v>
      </c>
      <c r="I3740" s="7">
        <f>tbl_Ventes[[#This Row],[Qté Vendue]] * tbl_Ventes[[#This Row],[CMP_par_portion]]</f>
        <v>0</v>
      </c>
      <c r="J3740" s="7">
        <f>tbl_Ventes[[#This Row],[CA ligne]] - tbl_Ventes[[#This Row],[Coût matière ligne]]</f>
        <v>0</v>
      </c>
      <c r="K3740" s="7" t="str">
        <f>IFERROR(INDEX(tbl_ProduitsRef[Famille], MATCH(tbl_Ventes[[#This Row],[Cde_Prdt]], tbl_Produits[Cde_Prdt], 0)), "")</f>
        <v/>
      </c>
    </row>
    <row r="3741" spans="1:11" x14ac:dyDescent="0.25">
      <c r="A3741" s="5"/>
      <c r="B3741" s="63" t="str">
        <f>IFERROR(TEXT(tbl_Ventes[[#This Row],[Date]],"mm-aaaa"),"")</f>
        <v>01-1900</v>
      </c>
      <c r="D3741" s="10" t="str">
        <f>IFERROR(
   INDEX(tbl_ProduitsRef[Cde_Prdt],MATCH(tbl_Ventes[[#This Row],[Produit]],tbl_ProduitsRef[Produit],0)),
   ""
)</f>
        <v/>
      </c>
      <c r="E3741" s="7">
        <v>0</v>
      </c>
      <c r="F3741" s="7" t="str">
        <f>IFERROR(
   INDEX(tbl_ProduitsRef[Prix Menu],MATCH(tbl_Ventes[[#This Row],[Produit]],tbl_ProduitsRef[Produit],0)),
   ""
)</f>
        <v/>
      </c>
      <c r="G3741" s="7">
        <f>tbl_Ventes[[#This Row],[Qté Vendue]] * IFERROR(_xlfn.XLOOKUP(tbl_Ventes[[#This Row],[Cde_Prdt]], tbl_Produits[Cde_Prdt], tbl_Produits[Prix Menu]), 0)</f>
        <v>0</v>
      </c>
      <c r="H3741" s="7">
        <f>IFERROR(_xlfn.XLOOKUP(tbl_Ventes[[#This Row],[Cde_Prdt]], tbl_Produits[Cde_Prdt], tbl_Produits[Coût Moyen Portion]), 0)</f>
        <v>0</v>
      </c>
      <c r="I3741" s="7">
        <f>tbl_Ventes[[#This Row],[Qté Vendue]] * tbl_Ventes[[#This Row],[CMP_par_portion]]</f>
        <v>0</v>
      </c>
      <c r="J3741" s="7">
        <f>tbl_Ventes[[#This Row],[CA ligne]] - tbl_Ventes[[#This Row],[Coût matière ligne]]</f>
        <v>0</v>
      </c>
      <c r="K3741" s="7" t="str">
        <f>IFERROR(INDEX(tbl_ProduitsRef[Famille], MATCH(tbl_Ventes[[#This Row],[Cde_Prdt]], tbl_Produits[Cde_Prdt], 0)), "")</f>
        <v/>
      </c>
    </row>
    <row r="3742" spans="1:11" x14ac:dyDescent="0.25">
      <c r="A3742" s="5"/>
      <c r="B3742" s="63" t="str">
        <f>IFERROR(TEXT(tbl_Ventes[[#This Row],[Date]],"mm-aaaa"),"")</f>
        <v>01-1900</v>
      </c>
      <c r="D3742" s="10" t="str">
        <f>IFERROR(
   INDEX(tbl_ProduitsRef[Cde_Prdt],MATCH(tbl_Ventes[[#This Row],[Produit]],tbl_ProduitsRef[Produit],0)),
   ""
)</f>
        <v/>
      </c>
      <c r="E3742" s="7">
        <v>0</v>
      </c>
      <c r="F3742" s="7" t="str">
        <f>IFERROR(
   INDEX(tbl_ProduitsRef[Prix Menu],MATCH(tbl_Ventes[[#This Row],[Produit]],tbl_ProduitsRef[Produit],0)),
   ""
)</f>
        <v/>
      </c>
      <c r="G3742" s="7">
        <f>tbl_Ventes[[#This Row],[Qté Vendue]] * IFERROR(_xlfn.XLOOKUP(tbl_Ventes[[#This Row],[Cde_Prdt]], tbl_Produits[Cde_Prdt], tbl_Produits[Prix Menu]), 0)</f>
        <v>0</v>
      </c>
      <c r="H3742" s="7">
        <f>IFERROR(_xlfn.XLOOKUP(tbl_Ventes[[#This Row],[Cde_Prdt]], tbl_Produits[Cde_Prdt], tbl_Produits[Coût Moyen Portion]), 0)</f>
        <v>0</v>
      </c>
      <c r="I3742" s="7">
        <f>tbl_Ventes[[#This Row],[Qté Vendue]] * tbl_Ventes[[#This Row],[CMP_par_portion]]</f>
        <v>0</v>
      </c>
      <c r="J3742" s="7">
        <f>tbl_Ventes[[#This Row],[CA ligne]] - tbl_Ventes[[#This Row],[Coût matière ligne]]</f>
        <v>0</v>
      </c>
      <c r="K3742" s="7" t="str">
        <f>IFERROR(INDEX(tbl_ProduitsRef[Famille], MATCH(tbl_Ventes[[#This Row],[Cde_Prdt]], tbl_Produits[Cde_Prdt], 0)), "")</f>
        <v/>
      </c>
    </row>
    <row r="3743" spans="1:11" x14ac:dyDescent="0.25">
      <c r="A3743" s="5"/>
      <c r="B3743" s="63" t="str">
        <f>IFERROR(TEXT(tbl_Ventes[[#This Row],[Date]],"mm-aaaa"),"")</f>
        <v>01-1900</v>
      </c>
      <c r="D3743" s="10" t="str">
        <f>IFERROR(
   INDEX(tbl_ProduitsRef[Cde_Prdt],MATCH(tbl_Ventes[[#This Row],[Produit]],tbl_ProduitsRef[Produit],0)),
   ""
)</f>
        <v/>
      </c>
      <c r="E3743" s="7">
        <v>0</v>
      </c>
      <c r="F3743" s="7" t="str">
        <f>IFERROR(
   INDEX(tbl_ProduitsRef[Prix Menu],MATCH(tbl_Ventes[[#This Row],[Produit]],tbl_ProduitsRef[Produit],0)),
   ""
)</f>
        <v/>
      </c>
      <c r="G3743" s="7">
        <f>tbl_Ventes[[#This Row],[Qté Vendue]] * IFERROR(_xlfn.XLOOKUP(tbl_Ventes[[#This Row],[Cde_Prdt]], tbl_Produits[Cde_Prdt], tbl_Produits[Prix Menu]), 0)</f>
        <v>0</v>
      </c>
      <c r="H3743" s="7">
        <f>IFERROR(_xlfn.XLOOKUP(tbl_Ventes[[#This Row],[Cde_Prdt]], tbl_Produits[Cde_Prdt], tbl_Produits[Coût Moyen Portion]), 0)</f>
        <v>0</v>
      </c>
      <c r="I3743" s="7">
        <f>tbl_Ventes[[#This Row],[Qté Vendue]] * tbl_Ventes[[#This Row],[CMP_par_portion]]</f>
        <v>0</v>
      </c>
      <c r="J3743" s="7">
        <f>tbl_Ventes[[#This Row],[CA ligne]] - tbl_Ventes[[#This Row],[Coût matière ligne]]</f>
        <v>0</v>
      </c>
      <c r="K3743" s="7" t="str">
        <f>IFERROR(INDEX(tbl_ProduitsRef[Famille], MATCH(tbl_Ventes[[#This Row],[Cde_Prdt]], tbl_Produits[Cde_Prdt], 0)), "")</f>
        <v/>
      </c>
    </row>
    <row r="3744" spans="1:11" x14ac:dyDescent="0.25">
      <c r="A3744" s="5"/>
      <c r="B3744" s="63" t="str">
        <f>IFERROR(TEXT(tbl_Ventes[[#This Row],[Date]],"mm-aaaa"),"")</f>
        <v>01-1900</v>
      </c>
      <c r="D3744" s="10" t="str">
        <f>IFERROR(
   INDEX(tbl_ProduitsRef[Cde_Prdt],MATCH(tbl_Ventes[[#This Row],[Produit]],tbl_ProduitsRef[Produit],0)),
   ""
)</f>
        <v/>
      </c>
      <c r="E3744" s="7">
        <v>0</v>
      </c>
      <c r="F3744" s="7" t="str">
        <f>IFERROR(
   INDEX(tbl_ProduitsRef[Prix Menu],MATCH(tbl_Ventes[[#This Row],[Produit]],tbl_ProduitsRef[Produit],0)),
   ""
)</f>
        <v/>
      </c>
      <c r="G3744" s="7">
        <f>tbl_Ventes[[#This Row],[Qté Vendue]] * IFERROR(_xlfn.XLOOKUP(tbl_Ventes[[#This Row],[Cde_Prdt]], tbl_Produits[Cde_Prdt], tbl_Produits[Prix Menu]), 0)</f>
        <v>0</v>
      </c>
      <c r="H3744" s="7">
        <f>IFERROR(_xlfn.XLOOKUP(tbl_Ventes[[#This Row],[Cde_Prdt]], tbl_Produits[Cde_Prdt], tbl_Produits[Coût Moyen Portion]), 0)</f>
        <v>0</v>
      </c>
      <c r="I3744" s="7">
        <f>tbl_Ventes[[#This Row],[Qté Vendue]] * tbl_Ventes[[#This Row],[CMP_par_portion]]</f>
        <v>0</v>
      </c>
      <c r="J3744" s="7">
        <f>tbl_Ventes[[#This Row],[CA ligne]] - tbl_Ventes[[#This Row],[Coût matière ligne]]</f>
        <v>0</v>
      </c>
      <c r="K3744" s="7" t="str">
        <f>IFERROR(INDEX(tbl_ProduitsRef[Famille], MATCH(tbl_Ventes[[#This Row],[Cde_Prdt]], tbl_Produits[Cde_Prdt], 0)), "")</f>
        <v/>
      </c>
    </row>
    <row r="3745" spans="1:11" x14ac:dyDescent="0.25">
      <c r="A3745" s="5"/>
      <c r="B3745" s="63" t="str">
        <f>IFERROR(TEXT(tbl_Ventes[[#This Row],[Date]],"mm-aaaa"),"")</f>
        <v>01-1900</v>
      </c>
      <c r="D3745" s="10" t="str">
        <f>IFERROR(
   INDEX(tbl_ProduitsRef[Cde_Prdt],MATCH(tbl_Ventes[[#This Row],[Produit]],tbl_ProduitsRef[Produit],0)),
   ""
)</f>
        <v/>
      </c>
      <c r="E3745" s="7">
        <v>0</v>
      </c>
      <c r="F3745" s="7" t="str">
        <f>IFERROR(
   INDEX(tbl_ProduitsRef[Prix Menu],MATCH(tbl_Ventes[[#This Row],[Produit]],tbl_ProduitsRef[Produit],0)),
   ""
)</f>
        <v/>
      </c>
      <c r="G3745" s="7">
        <f>tbl_Ventes[[#This Row],[Qté Vendue]] * IFERROR(_xlfn.XLOOKUP(tbl_Ventes[[#This Row],[Cde_Prdt]], tbl_Produits[Cde_Prdt], tbl_Produits[Prix Menu]), 0)</f>
        <v>0</v>
      </c>
      <c r="H3745" s="7">
        <f>IFERROR(_xlfn.XLOOKUP(tbl_Ventes[[#This Row],[Cde_Prdt]], tbl_Produits[Cde_Prdt], tbl_Produits[Coût Moyen Portion]), 0)</f>
        <v>0</v>
      </c>
      <c r="I3745" s="7">
        <f>tbl_Ventes[[#This Row],[Qté Vendue]] * tbl_Ventes[[#This Row],[CMP_par_portion]]</f>
        <v>0</v>
      </c>
      <c r="J3745" s="7">
        <f>tbl_Ventes[[#This Row],[CA ligne]] - tbl_Ventes[[#This Row],[Coût matière ligne]]</f>
        <v>0</v>
      </c>
      <c r="K3745" s="7" t="str">
        <f>IFERROR(INDEX(tbl_ProduitsRef[Famille], MATCH(tbl_Ventes[[#This Row],[Cde_Prdt]], tbl_Produits[Cde_Prdt], 0)), "")</f>
        <v/>
      </c>
    </row>
    <row r="3746" spans="1:11" x14ac:dyDescent="0.25">
      <c r="A3746" s="5"/>
      <c r="B3746" s="63" t="str">
        <f>IFERROR(TEXT(tbl_Ventes[[#This Row],[Date]],"mm-aaaa"),"")</f>
        <v>01-1900</v>
      </c>
      <c r="D3746" s="10" t="str">
        <f>IFERROR(
   INDEX(tbl_ProduitsRef[Cde_Prdt],MATCH(tbl_Ventes[[#This Row],[Produit]],tbl_ProduitsRef[Produit],0)),
   ""
)</f>
        <v/>
      </c>
      <c r="E3746" s="7">
        <v>0</v>
      </c>
      <c r="F3746" s="7" t="str">
        <f>IFERROR(
   INDEX(tbl_ProduitsRef[Prix Menu],MATCH(tbl_Ventes[[#This Row],[Produit]],tbl_ProduitsRef[Produit],0)),
   ""
)</f>
        <v/>
      </c>
      <c r="G3746" s="7">
        <f>tbl_Ventes[[#This Row],[Qté Vendue]] * IFERROR(_xlfn.XLOOKUP(tbl_Ventes[[#This Row],[Cde_Prdt]], tbl_Produits[Cde_Prdt], tbl_Produits[Prix Menu]), 0)</f>
        <v>0</v>
      </c>
      <c r="H3746" s="7">
        <f>IFERROR(_xlfn.XLOOKUP(tbl_Ventes[[#This Row],[Cde_Prdt]], tbl_Produits[Cde_Prdt], tbl_Produits[Coût Moyen Portion]), 0)</f>
        <v>0</v>
      </c>
      <c r="I3746" s="7">
        <f>tbl_Ventes[[#This Row],[Qté Vendue]] * tbl_Ventes[[#This Row],[CMP_par_portion]]</f>
        <v>0</v>
      </c>
      <c r="J3746" s="7">
        <f>tbl_Ventes[[#This Row],[CA ligne]] - tbl_Ventes[[#This Row],[Coût matière ligne]]</f>
        <v>0</v>
      </c>
      <c r="K3746" s="7" t="str">
        <f>IFERROR(INDEX(tbl_ProduitsRef[Famille], MATCH(tbl_Ventes[[#This Row],[Cde_Prdt]], tbl_Produits[Cde_Prdt], 0)), "")</f>
        <v/>
      </c>
    </row>
    <row r="3747" spans="1:11" x14ac:dyDescent="0.25">
      <c r="A3747" s="5"/>
      <c r="B3747" s="63" t="str">
        <f>IFERROR(TEXT(tbl_Ventes[[#This Row],[Date]],"mm-aaaa"),"")</f>
        <v>01-1900</v>
      </c>
      <c r="D3747" s="10" t="str">
        <f>IFERROR(
   INDEX(tbl_ProduitsRef[Cde_Prdt],MATCH(tbl_Ventes[[#This Row],[Produit]],tbl_ProduitsRef[Produit],0)),
   ""
)</f>
        <v/>
      </c>
      <c r="E3747" s="7">
        <v>0</v>
      </c>
      <c r="F3747" s="7" t="str">
        <f>IFERROR(
   INDEX(tbl_ProduitsRef[Prix Menu],MATCH(tbl_Ventes[[#This Row],[Produit]],tbl_ProduitsRef[Produit],0)),
   ""
)</f>
        <v/>
      </c>
      <c r="G3747" s="7">
        <f>tbl_Ventes[[#This Row],[Qté Vendue]] * IFERROR(_xlfn.XLOOKUP(tbl_Ventes[[#This Row],[Cde_Prdt]], tbl_Produits[Cde_Prdt], tbl_Produits[Prix Menu]), 0)</f>
        <v>0</v>
      </c>
      <c r="H3747" s="7">
        <f>IFERROR(_xlfn.XLOOKUP(tbl_Ventes[[#This Row],[Cde_Prdt]], tbl_Produits[Cde_Prdt], tbl_Produits[Coût Moyen Portion]), 0)</f>
        <v>0</v>
      </c>
      <c r="I3747" s="7">
        <f>tbl_Ventes[[#This Row],[Qté Vendue]] * tbl_Ventes[[#This Row],[CMP_par_portion]]</f>
        <v>0</v>
      </c>
      <c r="J3747" s="7">
        <f>tbl_Ventes[[#This Row],[CA ligne]] - tbl_Ventes[[#This Row],[Coût matière ligne]]</f>
        <v>0</v>
      </c>
      <c r="K3747" s="7" t="str">
        <f>IFERROR(INDEX(tbl_ProduitsRef[Famille], MATCH(tbl_Ventes[[#This Row],[Cde_Prdt]], tbl_Produits[Cde_Prdt], 0)), "")</f>
        <v/>
      </c>
    </row>
    <row r="3748" spans="1:11" x14ac:dyDescent="0.25">
      <c r="A3748" s="5"/>
      <c r="B3748" s="63" t="str">
        <f>IFERROR(TEXT(tbl_Ventes[[#This Row],[Date]],"mm-aaaa"),"")</f>
        <v>01-1900</v>
      </c>
      <c r="D3748" s="10" t="str">
        <f>IFERROR(
   INDEX(tbl_ProduitsRef[Cde_Prdt],MATCH(tbl_Ventes[[#This Row],[Produit]],tbl_ProduitsRef[Produit],0)),
   ""
)</f>
        <v/>
      </c>
      <c r="E3748" s="7">
        <v>0</v>
      </c>
      <c r="F3748" s="7" t="str">
        <f>IFERROR(
   INDEX(tbl_ProduitsRef[Prix Menu],MATCH(tbl_Ventes[[#This Row],[Produit]],tbl_ProduitsRef[Produit],0)),
   ""
)</f>
        <v/>
      </c>
      <c r="G3748" s="7">
        <f>tbl_Ventes[[#This Row],[Qté Vendue]] * IFERROR(_xlfn.XLOOKUP(tbl_Ventes[[#This Row],[Cde_Prdt]], tbl_Produits[Cde_Prdt], tbl_Produits[Prix Menu]), 0)</f>
        <v>0</v>
      </c>
      <c r="H3748" s="7">
        <f>IFERROR(_xlfn.XLOOKUP(tbl_Ventes[[#This Row],[Cde_Prdt]], tbl_Produits[Cde_Prdt], tbl_Produits[Coût Moyen Portion]), 0)</f>
        <v>0</v>
      </c>
      <c r="I3748" s="7">
        <f>tbl_Ventes[[#This Row],[Qté Vendue]] * tbl_Ventes[[#This Row],[CMP_par_portion]]</f>
        <v>0</v>
      </c>
      <c r="J3748" s="7">
        <f>tbl_Ventes[[#This Row],[CA ligne]] - tbl_Ventes[[#This Row],[Coût matière ligne]]</f>
        <v>0</v>
      </c>
      <c r="K3748" s="7" t="str">
        <f>IFERROR(INDEX(tbl_ProduitsRef[Famille], MATCH(tbl_Ventes[[#This Row],[Cde_Prdt]], tbl_Produits[Cde_Prdt], 0)), "")</f>
        <v/>
      </c>
    </row>
    <row r="3749" spans="1:11" x14ac:dyDescent="0.25">
      <c r="A3749" s="5"/>
      <c r="B3749" s="63" t="str">
        <f>IFERROR(TEXT(tbl_Ventes[[#This Row],[Date]],"mm-aaaa"),"")</f>
        <v>01-1900</v>
      </c>
      <c r="D3749" s="10" t="str">
        <f>IFERROR(
   INDEX(tbl_ProduitsRef[Cde_Prdt],MATCH(tbl_Ventes[[#This Row],[Produit]],tbl_ProduitsRef[Produit],0)),
   ""
)</f>
        <v/>
      </c>
      <c r="E3749" s="7">
        <v>0</v>
      </c>
      <c r="F3749" s="7" t="str">
        <f>IFERROR(
   INDEX(tbl_ProduitsRef[Prix Menu],MATCH(tbl_Ventes[[#This Row],[Produit]],tbl_ProduitsRef[Produit],0)),
   ""
)</f>
        <v/>
      </c>
      <c r="G3749" s="7">
        <f>tbl_Ventes[[#This Row],[Qté Vendue]] * IFERROR(_xlfn.XLOOKUP(tbl_Ventes[[#This Row],[Cde_Prdt]], tbl_Produits[Cde_Prdt], tbl_Produits[Prix Menu]), 0)</f>
        <v>0</v>
      </c>
      <c r="H3749" s="7">
        <f>IFERROR(_xlfn.XLOOKUP(tbl_Ventes[[#This Row],[Cde_Prdt]], tbl_Produits[Cde_Prdt], tbl_Produits[Coût Moyen Portion]), 0)</f>
        <v>0</v>
      </c>
      <c r="I3749" s="7">
        <f>tbl_Ventes[[#This Row],[Qté Vendue]] * tbl_Ventes[[#This Row],[CMP_par_portion]]</f>
        <v>0</v>
      </c>
      <c r="J3749" s="7">
        <f>tbl_Ventes[[#This Row],[CA ligne]] - tbl_Ventes[[#This Row],[Coût matière ligne]]</f>
        <v>0</v>
      </c>
      <c r="K3749" s="7" t="str">
        <f>IFERROR(INDEX(tbl_ProduitsRef[Famille], MATCH(tbl_Ventes[[#This Row],[Cde_Prdt]], tbl_Produits[Cde_Prdt], 0)), "")</f>
        <v/>
      </c>
    </row>
    <row r="3750" spans="1:11" x14ac:dyDescent="0.25">
      <c r="A3750" s="5"/>
      <c r="B3750" s="63" t="str">
        <f>IFERROR(TEXT(tbl_Ventes[[#This Row],[Date]],"mm-aaaa"),"")</f>
        <v>01-1900</v>
      </c>
      <c r="D3750" s="10" t="str">
        <f>IFERROR(
   INDEX(tbl_ProduitsRef[Cde_Prdt],MATCH(tbl_Ventes[[#This Row],[Produit]],tbl_ProduitsRef[Produit],0)),
   ""
)</f>
        <v/>
      </c>
      <c r="E3750" s="7">
        <v>0</v>
      </c>
      <c r="F3750" s="7" t="str">
        <f>IFERROR(
   INDEX(tbl_ProduitsRef[Prix Menu],MATCH(tbl_Ventes[[#This Row],[Produit]],tbl_ProduitsRef[Produit],0)),
   ""
)</f>
        <v/>
      </c>
      <c r="G3750" s="7">
        <f>tbl_Ventes[[#This Row],[Qté Vendue]] * IFERROR(_xlfn.XLOOKUP(tbl_Ventes[[#This Row],[Cde_Prdt]], tbl_Produits[Cde_Prdt], tbl_Produits[Prix Menu]), 0)</f>
        <v>0</v>
      </c>
      <c r="H3750" s="7">
        <f>IFERROR(_xlfn.XLOOKUP(tbl_Ventes[[#This Row],[Cde_Prdt]], tbl_Produits[Cde_Prdt], tbl_Produits[Coût Moyen Portion]), 0)</f>
        <v>0</v>
      </c>
      <c r="I3750" s="7">
        <f>tbl_Ventes[[#This Row],[Qté Vendue]] * tbl_Ventes[[#This Row],[CMP_par_portion]]</f>
        <v>0</v>
      </c>
      <c r="J3750" s="7">
        <f>tbl_Ventes[[#This Row],[CA ligne]] - tbl_Ventes[[#This Row],[Coût matière ligne]]</f>
        <v>0</v>
      </c>
      <c r="K3750" s="7" t="str">
        <f>IFERROR(INDEX(tbl_ProduitsRef[Famille], MATCH(tbl_Ventes[[#This Row],[Cde_Prdt]], tbl_Produits[Cde_Prdt], 0)), "")</f>
        <v/>
      </c>
    </row>
    <row r="3751" spans="1:11" x14ac:dyDescent="0.25">
      <c r="A3751" s="5"/>
      <c r="B3751" s="63" t="str">
        <f>IFERROR(TEXT(tbl_Ventes[[#This Row],[Date]],"mm-aaaa"),"")</f>
        <v>01-1900</v>
      </c>
      <c r="D3751" s="10" t="str">
        <f>IFERROR(
   INDEX(tbl_ProduitsRef[Cde_Prdt],MATCH(tbl_Ventes[[#This Row],[Produit]],tbl_ProduitsRef[Produit],0)),
   ""
)</f>
        <v/>
      </c>
      <c r="E3751" s="7">
        <v>0</v>
      </c>
      <c r="F3751" s="7" t="str">
        <f>IFERROR(
   INDEX(tbl_ProduitsRef[Prix Menu],MATCH(tbl_Ventes[[#This Row],[Produit]],tbl_ProduitsRef[Produit],0)),
   ""
)</f>
        <v/>
      </c>
      <c r="G3751" s="7">
        <f>tbl_Ventes[[#This Row],[Qté Vendue]] * IFERROR(_xlfn.XLOOKUP(tbl_Ventes[[#This Row],[Cde_Prdt]], tbl_Produits[Cde_Prdt], tbl_Produits[Prix Menu]), 0)</f>
        <v>0</v>
      </c>
      <c r="H3751" s="7">
        <f>IFERROR(_xlfn.XLOOKUP(tbl_Ventes[[#This Row],[Cde_Prdt]], tbl_Produits[Cde_Prdt], tbl_Produits[Coût Moyen Portion]), 0)</f>
        <v>0</v>
      </c>
      <c r="I3751" s="7">
        <f>tbl_Ventes[[#This Row],[Qté Vendue]] * tbl_Ventes[[#This Row],[CMP_par_portion]]</f>
        <v>0</v>
      </c>
      <c r="J3751" s="7">
        <f>tbl_Ventes[[#This Row],[CA ligne]] - tbl_Ventes[[#This Row],[Coût matière ligne]]</f>
        <v>0</v>
      </c>
      <c r="K3751" s="7" t="str">
        <f>IFERROR(INDEX(tbl_ProduitsRef[Famille], MATCH(tbl_Ventes[[#This Row],[Cde_Prdt]], tbl_Produits[Cde_Prdt], 0)), "")</f>
        <v/>
      </c>
    </row>
    <row r="3752" spans="1:11" x14ac:dyDescent="0.25">
      <c r="A3752" s="5"/>
      <c r="B3752" s="63" t="str">
        <f>IFERROR(TEXT(tbl_Ventes[[#This Row],[Date]],"mm-aaaa"),"")</f>
        <v>01-1900</v>
      </c>
      <c r="D3752" s="10" t="str">
        <f>IFERROR(
   INDEX(tbl_ProduitsRef[Cde_Prdt],MATCH(tbl_Ventes[[#This Row],[Produit]],tbl_ProduitsRef[Produit],0)),
   ""
)</f>
        <v/>
      </c>
      <c r="E3752" s="7">
        <v>0</v>
      </c>
      <c r="F3752" s="7" t="str">
        <f>IFERROR(
   INDEX(tbl_ProduitsRef[Prix Menu],MATCH(tbl_Ventes[[#This Row],[Produit]],tbl_ProduitsRef[Produit],0)),
   ""
)</f>
        <v/>
      </c>
      <c r="G3752" s="7">
        <f>tbl_Ventes[[#This Row],[Qté Vendue]] * IFERROR(_xlfn.XLOOKUP(tbl_Ventes[[#This Row],[Cde_Prdt]], tbl_Produits[Cde_Prdt], tbl_Produits[Prix Menu]), 0)</f>
        <v>0</v>
      </c>
      <c r="H3752" s="7">
        <f>IFERROR(_xlfn.XLOOKUP(tbl_Ventes[[#This Row],[Cde_Prdt]], tbl_Produits[Cde_Prdt], tbl_Produits[Coût Moyen Portion]), 0)</f>
        <v>0</v>
      </c>
      <c r="I3752" s="7">
        <f>tbl_Ventes[[#This Row],[Qté Vendue]] * tbl_Ventes[[#This Row],[CMP_par_portion]]</f>
        <v>0</v>
      </c>
      <c r="J3752" s="7">
        <f>tbl_Ventes[[#This Row],[CA ligne]] - tbl_Ventes[[#This Row],[Coût matière ligne]]</f>
        <v>0</v>
      </c>
      <c r="K3752" s="7" t="str">
        <f>IFERROR(INDEX(tbl_ProduitsRef[Famille], MATCH(tbl_Ventes[[#This Row],[Cde_Prdt]], tbl_Produits[Cde_Prdt], 0)), "")</f>
        <v/>
      </c>
    </row>
    <row r="3753" spans="1:11" x14ac:dyDescent="0.25">
      <c r="A3753" s="5"/>
      <c r="B3753" s="63" t="str">
        <f>IFERROR(TEXT(tbl_Ventes[[#This Row],[Date]],"mm-aaaa"),"")</f>
        <v>01-1900</v>
      </c>
      <c r="D3753" s="10" t="str">
        <f>IFERROR(
   INDEX(tbl_ProduitsRef[Cde_Prdt],MATCH(tbl_Ventes[[#This Row],[Produit]],tbl_ProduitsRef[Produit],0)),
   ""
)</f>
        <v/>
      </c>
      <c r="E3753" s="7">
        <v>0</v>
      </c>
      <c r="F3753" s="7" t="str">
        <f>IFERROR(
   INDEX(tbl_ProduitsRef[Prix Menu],MATCH(tbl_Ventes[[#This Row],[Produit]],tbl_ProduitsRef[Produit],0)),
   ""
)</f>
        <v/>
      </c>
      <c r="G3753" s="7">
        <f>tbl_Ventes[[#This Row],[Qté Vendue]] * IFERROR(_xlfn.XLOOKUP(tbl_Ventes[[#This Row],[Cde_Prdt]], tbl_Produits[Cde_Prdt], tbl_Produits[Prix Menu]), 0)</f>
        <v>0</v>
      </c>
      <c r="H3753" s="7">
        <f>IFERROR(_xlfn.XLOOKUP(tbl_Ventes[[#This Row],[Cde_Prdt]], tbl_Produits[Cde_Prdt], tbl_Produits[Coût Moyen Portion]), 0)</f>
        <v>0</v>
      </c>
      <c r="I3753" s="7">
        <f>tbl_Ventes[[#This Row],[Qté Vendue]] * tbl_Ventes[[#This Row],[CMP_par_portion]]</f>
        <v>0</v>
      </c>
      <c r="J3753" s="7">
        <f>tbl_Ventes[[#This Row],[CA ligne]] - tbl_Ventes[[#This Row],[Coût matière ligne]]</f>
        <v>0</v>
      </c>
      <c r="K3753" s="7" t="str">
        <f>IFERROR(INDEX(tbl_ProduitsRef[Famille], MATCH(tbl_Ventes[[#This Row],[Cde_Prdt]], tbl_Produits[Cde_Prdt], 0)), "")</f>
        <v/>
      </c>
    </row>
    <row r="3754" spans="1:11" x14ac:dyDescent="0.25">
      <c r="A3754" s="5"/>
      <c r="B3754" s="63" t="str">
        <f>IFERROR(TEXT(tbl_Ventes[[#This Row],[Date]],"mm-aaaa"),"")</f>
        <v>01-1900</v>
      </c>
      <c r="D3754" s="10" t="str">
        <f>IFERROR(
   INDEX(tbl_ProduitsRef[Cde_Prdt],MATCH(tbl_Ventes[[#This Row],[Produit]],tbl_ProduitsRef[Produit],0)),
   ""
)</f>
        <v/>
      </c>
      <c r="E3754" s="7">
        <v>0</v>
      </c>
      <c r="F3754" s="7" t="str">
        <f>IFERROR(
   INDEX(tbl_ProduitsRef[Prix Menu],MATCH(tbl_Ventes[[#This Row],[Produit]],tbl_ProduitsRef[Produit],0)),
   ""
)</f>
        <v/>
      </c>
      <c r="G3754" s="7">
        <f>tbl_Ventes[[#This Row],[Qté Vendue]] * IFERROR(_xlfn.XLOOKUP(tbl_Ventes[[#This Row],[Cde_Prdt]], tbl_Produits[Cde_Prdt], tbl_Produits[Prix Menu]), 0)</f>
        <v>0</v>
      </c>
      <c r="H3754" s="7">
        <f>IFERROR(_xlfn.XLOOKUP(tbl_Ventes[[#This Row],[Cde_Prdt]], tbl_Produits[Cde_Prdt], tbl_Produits[Coût Moyen Portion]), 0)</f>
        <v>0</v>
      </c>
      <c r="I3754" s="7">
        <f>tbl_Ventes[[#This Row],[Qté Vendue]] * tbl_Ventes[[#This Row],[CMP_par_portion]]</f>
        <v>0</v>
      </c>
      <c r="J3754" s="7">
        <f>tbl_Ventes[[#This Row],[CA ligne]] - tbl_Ventes[[#This Row],[Coût matière ligne]]</f>
        <v>0</v>
      </c>
      <c r="K3754" s="7" t="str">
        <f>IFERROR(INDEX(tbl_ProduitsRef[Famille], MATCH(tbl_Ventes[[#This Row],[Cde_Prdt]], tbl_Produits[Cde_Prdt], 0)), "")</f>
        <v/>
      </c>
    </row>
    <row r="3755" spans="1:11" x14ac:dyDescent="0.25">
      <c r="A3755" s="5"/>
      <c r="B3755" s="63" t="str">
        <f>IFERROR(TEXT(tbl_Ventes[[#This Row],[Date]],"mm-aaaa"),"")</f>
        <v>01-1900</v>
      </c>
      <c r="D3755" s="10" t="str">
        <f>IFERROR(
   INDEX(tbl_ProduitsRef[Cde_Prdt],MATCH(tbl_Ventes[[#This Row],[Produit]],tbl_ProduitsRef[Produit],0)),
   ""
)</f>
        <v/>
      </c>
      <c r="E3755" s="7">
        <v>0</v>
      </c>
      <c r="F3755" s="7" t="str">
        <f>IFERROR(
   INDEX(tbl_ProduitsRef[Prix Menu],MATCH(tbl_Ventes[[#This Row],[Produit]],tbl_ProduitsRef[Produit],0)),
   ""
)</f>
        <v/>
      </c>
      <c r="G3755" s="7">
        <f>tbl_Ventes[[#This Row],[Qté Vendue]] * IFERROR(_xlfn.XLOOKUP(tbl_Ventes[[#This Row],[Cde_Prdt]], tbl_Produits[Cde_Prdt], tbl_Produits[Prix Menu]), 0)</f>
        <v>0</v>
      </c>
      <c r="H3755" s="7">
        <f>IFERROR(_xlfn.XLOOKUP(tbl_Ventes[[#This Row],[Cde_Prdt]], tbl_Produits[Cde_Prdt], tbl_Produits[Coût Moyen Portion]), 0)</f>
        <v>0</v>
      </c>
      <c r="I3755" s="7">
        <f>tbl_Ventes[[#This Row],[Qté Vendue]] * tbl_Ventes[[#This Row],[CMP_par_portion]]</f>
        <v>0</v>
      </c>
      <c r="J3755" s="7">
        <f>tbl_Ventes[[#This Row],[CA ligne]] - tbl_Ventes[[#This Row],[Coût matière ligne]]</f>
        <v>0</v>
      </c>
      <c r="K3755" s="7" t="str">
        <f>IFERROR(INDEX(tbl_ProduitsRef[Famille], MATCH(tbl_Ventes[[#This Row],[Cde_Prdt]], tbl_Produits[Cde_Prdt], 0)), "")</f>
        <v/>
      </c>
    </row>
    <row r="3756" spans="1:11" x14ac:dyDescent="0.25">
      <c r="A3756" s="5"/>
      <c r="B3756" s="63" t="str">
        <f>IFERROR(TEXT(tbl_Ventes[[#This Row],[Date]],"mm-aaaa"),"")</f>
        <v>01-1900</v>
      </c>
      <c r="D3756" s="10" t="str">
        <f>IFERROR(
   INDEX(tbl_ProduitsRef[Cde_Prdt],MATCH(tbl_Ventes[[#This Row],[Produit]],tbl_ProduitsRef[Produit],0)),
   ""
)</f>
        <v/>
      </c>
      <c r="E3756" s="7">
        <v>0</v>
      </c>
      <c r="F3756" s="7" t="str">
        <f>IFERROR(
   INDEX(tbl_ProduitsRef[Prix Menu],MATCH(tbl_Ventes[[#This Row],[Produit]],tbl_ProduitsRef[Produit],0)),
   ""
)</f>
        <v/>
      </c>
      <c r="G3756" s="7">
        <f>tbl_Ventes[[#This Row],[Qté Vendue]] * IFERROR(_xlfn.XLOOKUP(tbl_Ventes[[#This Row],[Cde_Prdt]], tbl_Produits[Cde_Prdt], tbl_Produits[Prix Menu]), 0)</f>
        <v>0</v>
      </c>
      <c r="H3756" s="7">
        <f>IFERROR(_xlfn.XLOOKUP(tbl_Ventes[[#This Row],[Cde_Prdt]], tbl_Produits[Cde_Prdt], tbl_Produits[Coût Moyen Portion]), 0)</f>
        <v>0</v>
      </c>
      <c r="I3756" s="7">
        <f>tbl_Ventes[[#This Row],[Qté Vendue]] * tbl_Ventes[[#This Row],[CMP_par_portion]]</f>
        <v>0</v>
      </c>
      <c r="J3756" s="7">
        <f>tbl_Ventes[[#This Row],[CA ligne]] - tbl_Ventes[[#This Row],[Coût matière ligne]]</f>
        <v>0</v>
      </c>
      <c r="K3756" s="7" t="str">
        <f>IFERROR(INDEX(tbl_ProduitsRef[Famille], MATCH(tbl_Ventes[[#This Row],[Cde_Prdt]], tbl_Produits[Cde_Prdt], 0)), "")</f>
        <v/>
      </c>
    </row>
    <row r="3757" spans="1:11" x14ac:dyDescent="0.25">
      <c r="A3757" s="5"/>
      <c r="B3757" s="63" t="str">
        <f>IFERROR(TEXT(tbl_Ventes[[#This Row],[Date]],"mm-aaaa"),"")</f>
        <v>01-1900</v>
      </c>
      <c r="D3757" s="10" t="str">
        <f>IFERROR(
   INDEX(tbl_ProduitsRef[Cde_Prdt],MATCH(tbl_Ventes[[#This Row],[Produit]],tbl_ProduitsRef[Produit],0)),
   ""
)</f>
        <v/>
      </c>
      <c r="E3757" s="7">
        <v>0</v>
      </c>
      <c r="F3757" s="7" t="str">
        <f>IFERROR(
   INDEX(tbl_ProduitsRef[Prix Menu],MATCH(tbl_Ventes[[#This Row],[Produit]],tbl_ProduitsRef[Produit],0)),
   ""
)</f>
        <v/>
      </c>
      <c r="G3757" s="7">
        <f>tbl_Ventes[[#This Row],[Qté Vendue]] * IFERROR(_xlfn.XLOOKUP(tbl_Ventes[[#This Row],[Cde_Prdt]], tbl_Produits[Cde_Prdt], tbl_Produits[Prix Menu]), 0)</f>
        <v>0</v>
      </c>
      <c r="H3757" s="7">
        <f>IFERROR(_xlfn.XLOOKUP(tbl_Ventes[[#This Row],[Cde_Prdt]], tbl_Produits[Cde_Prdt], tbl_Produits[Coût Moyen Portion]), 0)</f>
        <v>0</v>
      </c>
      <c r="I3757" s="7">
        <f>tbl_Ventes[[#This Row],[Qté Vendue]] * tbl_Ventes[[#This Row],[CMP_par_portion]]</f>
        <v>0</v>
      </c>
      <c r="J3757" s="7">
        <f>tbl_Ventes[[#This Row],[CA ligne]] - tbl_Ventes[[#This Row],[Coût matière ligne]]</f>
        <v>0</v>
      </c>
      <c r="K3757" s="7" t="str">
        <f>IFERROR(INDEX(tbl_ProduitsRef[Famille], MATCH(tbl_Ventes[[#This Row],[Cde_Prdt]], tbl_Produits[Cde_Prdt], 0)), "")</f>
        <v/>
      </c>
    </row>
    <row r="3758" spans="1:11" x14ac:dyDescent="0.25">
      <c r="A3758" s="5"/>
      <c r="B3758" s="63" t="str">
        <f>IFERROR(TEXT(tbl_Ventes[[#This Row],[Date]],"mm-aaaa"),"")</f>
        <v>01-1900</v>
      </c>
      <c r="D3758" s="10" t="str">
        <f>IFERROR(
   INDEX(tbl_ProduitsRef[Cde_Prdt],MATCH(tbl_Ventes[[#This Row],[Produit]],tbl_ProduitsRef[Produit],0)),
   ""
)</f>
        <v/>
      </c>
      <c r="E3758" s="7">
        <v>0</v>
      </c>
      <c r="F3758" s="7" t="str">
        <f>IFERROR(
   INDEX(tbl_ProduitsRef[Prix Menu],MATCH(tbl_Ventes[[#This Row],[Produit]],tbl_ProduitsRef[Produit],0)),
   ""
)</f>
        <v/>
      </c>
      <c r="G3758" s="7">
        <f>tbl_Ventes[[#This Row],[Qté Vendue]] * IFERROR(_xlfn.XLOOKUP(tbl_Ventes[[#This Row],[Cde_Prdt]], tbl_Produits[Cde_Prdt], tbl_Produits[Prix Menu]), 0)</f>
        <v>0</v>
      </c>
      <c r="H3758" s="7">
        <f>IFERROR(_xlfn.XLOOKUP(tbl_Ventes[[#This Row],[Cde_Prdt]], tbl_Produits[Cde_Prdt], tbl_Produits[Coût Moyen Portion]), 0)</f>
        <v>0</v>
      </c>
      <c r="I3758" s="7">
        <f>tbl_Ventes[[#This Row],[Qté Vendue]] * tbl_Ventes[[#This Row],[CMP_par_portion]]</f>
        <v>0</v>
      </c>
      <c r="J3758" s="7">
        <f>tbl_Ventes[[#This Row],[CA ligne]] - tbl_Ventes[[#This Row],[Coût matière ligne]]</f>
        <v>0</v>
      </c>
      <c r="K3758" s="7" t="str">
        <f>IFERROR(INDEX(tbl_ProduitsRef[Famille], MATCH(tbl_Ventes[[#This Row],[Cde_Prdt]], tbl_Produits[Cde_Prdt], 0)), "")</f>
        <v/>
      </c>
    </row>
    <row r="3759" spans="1:11" x14ac:dyDescent="0.25">
      <c r="A3759" s="5"/>
      <c r="B3759" s="63" t="str">
        <f>IFERROR(TEXT(tbl_Ventes[[#This Row],[Date]],"mm-aaaa"),"")</f>
        <v>01-1900</v>
      </c>
      <c r="D3759" s="10" t="str">
        <f>IFERROR(
   INDEX(tbl_ProduitsRef[Cde_Prdt],MATCH(tbl_Ventes[[#This Row],[Produit]],tbl_ProduitsRef[Produit],0)),
   ""
)</f>
        <v/>
      </c>
      <c r="E3759" s="7">
        <v>0</v>
      </c>
      <c r="F3759" s="7" t="str">
        <f>IFERROR(
   INDEX(tbl_ProduitsRef[Prix Menu],MATCH(tbl_Ventes[[#This Row],[Produit]],tbl_ProduitsRef[Produit],0)),
   ""
)</f>
        <v/>
      </c>
      <c r="G3759" s="7">
        <f>tbl_Ventes[[#This Row],[Qté Vendue]] * IFERROR(_xlfn.XLOOKUP(tbl_Ventes[[#This Row],[Cde_Prdt]], tbl_Produits[Cde_Prdt], tbl_Produits[Prix Menu]), 0)</f>
        <v>0</v>
      </c>
      <c r="H3759" s="7">
        <f>IFERROR(_xlfn.XLOOKUP(tbl_Ventes[[#This Row],[Cde_Prdt]], tbl_Produits[Cde_Prdt], tbl_Produits[Coût Moyen Portion]), 0)</f>
        <v>0</v>
      </c>
      <c r="I3759" s="7">
        <f>tbl_Ventes[[#This Row],[Qté Vendue]] * tbl_Ventes[[#This Row],[CMP_par_portion]]</f>
        <v>0</v>
      </c>
      <c r="J3759" s="7">
        <f>tbl_Ventes[[#This Row],[CA ligne]] - tbl_Ventes[[#This Row],[Coût matière ligne]]</f>
        <v>0</v>
      </c>
      <c r="K3759" s="7" t="str">
        <f>IFERROR(INDEX(tbl_ProduitsRef[Famille], MATCH(tbl_Ventes[[#This Row],[Cde_Prdt]], tbl_Produits[Cde_Prdt], 0)), "")</f>
        <v/>
      </c>
    </row>
    <row r="3760" spans="1:11" x14ac:dyDescent="0.25">
      <c r="A3760" s="5"/>
      <c r="B3760" s="63" t="str">
        <f>IFERROR(TEXT(tbl_Ventes[[#This Row],[Date]],"mm-aaaa"),"")</f>
        <v>01-1900</v>
      </c>
      <c r="D3760" s="10" t="str">
        <f>IFERROR(
   INDEX(tbl_ProduitsRef[Cde_Prdt],MATCH(tbl_Ventes[[#This Row],[Produit]],tbl_ProduitsRef[Produit],0)),
   ""
)</f>
        <v/>
      </c>
      <c r="E3760" s="7">
        <v>0</v>
      </c>
      <c r="F3760" s="7" t="str">
        <f>IFERROR(
   INDEX(tbl_ProduitsRef[Prix Menu],MATCH(tbl_Ventes[[#This Row],[Produit]],tbl_ProduitsRef[Produit],0)),
   ""
)</f>
        <v/>
      </c>
      <c r="G3760" s="7">
        <f>tbl_Ventes[[#This Row],[Qté Vendue]] * IFERROR(_xlfn.XLOOKUP(tbl_Ventes[[#This Row],[Cde_Prdt]], tbl_Produits[Cde_Prdt], tbl_Produits[Prix Menu]), 0)</f>
        <v>0</v>
      </c>
      <c r="H3760" s="7">
        <f>IFERROR(_xlfn.XLOOKUP(tbl_Ventes[[#This Row],[Cde_Prdt]], tbl_Produits[Cde_Prdt], tbl_Produits[Coût Moyen Portion]), 0)</f>
        <v>0</v>
      </c>
      <c r="I3760" s="7">
        <f>tbl_Ventes[[#This Row],[Qté Vendue]] * tbl_Ventes[[#This Row],[CMP_par_portion]]</f>
        <v>0</v>
      </c>
      <c r="J3760" s="7">
        <f>tbl_Ventes[[#This Row],[CA ligne]] - tbl_Ventes[[#This Row],[Coût matière ligne]]</f>
        <v>0</v>
      </c>
      <c r="K3760" s="7" t="str">
        <f>IFERROR(INDEX(tbl_ProduitsRef[Famille], MATCH(tbl_Ventes[[#This Row],[Cde_Prdt]], tbl_Produits[Cde_Prdt], 0)), "")</f>
        <v/>
      </c>
    </row>
    <row r="3761" spans="1:11" x14ac:dyDescent="0.25">
      <c r="A3761" s="5"/>
      <c r="B3761" s="63" t="str">
        <f>IFERROR(TEXT(tbl_Ventes[[#This Row],[Date]],"mm-aaaa"),"")</f>
        <v>01-1900</v>
      </c>
      <c r="D3761" s="10" t="str">
        <f>IFERROR(
   INDEX(tbl_ProduitsRef[Cde_Prdt],MATCH(tbl_Ventes[[#This Row],[Produit]],tbl_ProduitsRef[Produit],0)),
   ""
)</f>
        <v/>
      </c>
      <c r="E3761" s="7">
        <v>0</v>
      </c>
      <c r="F3761" s="7" t="str">
        <f>IFERROR(
   INDEX(tbl_ProduitsRef[Prix Menu],MATCH(tbl_Ventes[[#This Row],[Produit]],tbl_ProduitsRef[Produit],0)),
   ""
)</f>
        <v/>
      </c>
      <c r="G3761" s="7">
        <f>tbl_Ventes[[#This Row],[Qté Vendue]] * IFERROR(_xlfn.XLOOKUP(tbl_Ventes[[#This Row],[Cde_Prdt]], tbl_Produits[Cde_Prdt], tbl_Produits[Prix Menu]), 0)</f>
        <v>0</v>
      </c>
      <c r="H3761" s="7">
        <f>IFERROR(_xlfn.XLOOKUP(tbl_Ventes[[#This Row],[Cde_Prdt]], tbl_Produits[Cde_Prdt], tbl_Produits[Coût Moyen Portion]), 0)</f>
        <v>0</v>
      </c>
      <c r="I3761" s="7">
        <f>tbl_Ventes[[#This Row],[Qté Vendue]] * tbl_Ventes[[#This Row],[CMP_par_portion]]</f>
        <v>0</v>
      </c>
      <c r="J3761" s="7">
        <f>tbl_Ventes[[#This Row],[CA ligne]] - tbl_Ventes[[#This Row],[Coût matière ligne]]</f>
        <v>0</v>
      </c>
      <c r="K3761" s="7" t="str">
        <f>IFERROR(INDEX(tbl_ProduitsRef[Famille], MATCH(tbl_Ventes[[#This Row],[Cde_Prdt]], tbl_Produits[Cde_Prdt], 0)), "")</f>
        <v/>
      </c>
    </row>
    <row r="3762" spans="1:11" x14ac:dyDescent="0.25">
      <c r="A3762" s="5"/>
      <c r="B3762" s="63" t="str">
        <f>IFERROR(TEXT(tbl_Ventes[[#This Row],[Date]],"mm-aaaa"),"")</f>
        <v>01-1900</v>
      </c>
      <c r="D3762" s="10" t="str">
        <f>IFERROR(
   INDEX(tbl_ProduitsRef[Cde_Prdt],MATCH(tbl_Ventes[[#This Row],[Produit]],tbl_ProduitsRef[Produit],0)),
   ""
)</f>
        <v/>
      </c>
      <c r="E3762" s="7">
        <v>0</v>
      </c>
      <c r="F3762" s="7" t="str">
        <f>IFERROR(
   INDEX(tbl_ProduitsRef[Prix Menu],MATCH(tbl_Ventes[[#This Row],[Produit]],tbl_ProduitsRef[Produit],0)),
   ""
)</f>
        <v/>
      </c>
      <c r="G3762" s="7">
        <f>tbl_Ventes[[#This Row],[Qté Vendue]] * IFERROR(_xlfn.XLOOKUP(tbl_Ventes[[#This Row],[Cde_Prdt]], tbl_Produits[Cde_Prdt], tbl_Produits[Prix Menu]), 0)</f>
        <v>0</v>
      </c>
      <c r="H3762" s="7">
        <f>IFERROR(_xlfn.XLOOKUP(tbl_Ventes[[#This Row],[Cde_Prdt]], tbl_Produits[Cde_Prdt], tbl_Produits[Coût Moyen Portion]), 0)</f>
        <v>0</v>
      </c>
      <c r="I3762" s="7">
        <f>tbl_Ventes[[#This Row],[Qté Vendue]] * tbl_Ventes[[#This Row],[CMP_par_portion]]</f>
        <v>0</v>
      </c>
      <c r="J3762" s="7">
        <f>tbl_Ventes[[#This Row],[CA ligne]] - tbl_Ventes[[#This Row],[Coût matière ligne]]</f>
        <v>0</v>
      </c>
      <c r="K3762" s="7" t="str">
        <f>IFERROR(INDEX(tbl_ProduitsRef[Famille], MATCH(tbl_Ventes[[#This Row],[Cde_Prdt]], tbl_Produits[Cde_Prdt], 0)), "")</f>
        <v/>
      </c>
    </row>
    <row r="3763" spans="1:11" x14ac:dyDescent="0.25">
      <c r="A3763" s="5"/>
      <c r="B3763" s="63" t="str">
        <f>IFERROR(TEXT(tbl_Ventes[[#This Row],[Date]],"mm-aaaa"),"")</f>
        <v>01-1900</v>
      </c>
      <c r="D3763" s="10" t="str">
        <f>IFERROR(
   INDEX(tbl_ProduitsRef[Cde_Prdt],MATCH(tbl_Ventes[[#This Row],[Produit]],tbl_ProduitsRef[Produit],0)),
   ""
)</f>
        <v/>
      </c>
      <c r="E3763" s="7">
        <v>0</v>
      </c>
      <c r="F3763" s="7" t="str">
        <f>IFERROR(
   INDEX(tbl_ProduitsRef[Prix Menu],MATCH(tbl_Ventes[[#This Row],[Produit]],tbl_ProduitsRef[Produit],0)),
   ""
)</f>
        <v/>
      </c>
      <c r="G3763" s="7">
        <f>tbl_Ventes[[#This Row],[Qté Vendue]] * IFERROR(_xlfn.XLOOKUP(tbl_Ventes[[#This Row],[Cde_Prdt]], tbl_Produits[Cde_Prdt], tbl_Produits[Prix Menu]), 0)</f>
        <v>0</v>
      </c>
      <c r="H3763" s="7">
        <f>IFERROR(_xlfn.XLOOKUP(tbl_Ventes[[#This Row],[Cde_Prdt]], tbl_Produits[Cde_Prdt], tbl_Produits[Coût Moyen Portion]), 0)</f>
        <v>0</v>
      </c>
      <c r="I3763" s="7">
        <f>tbl_Ventes[[#This Row],[Qté Vendue]] * tbl_Ventes[[#This Row],[CMP_par_portion]]</f>
        <v>0</v>
      </c>
      <c r="J3763" s="7">
        <f>tbl_Ventes[[#This Row],[CA ligne]] - tbl_Ventes[[#This Row],[Coût matière ligne]]</f>
        <v>0</v>
      </c>
      <c r="K3763" s="7" t="str">
        <f>IFERROR(INDEX(tbl_ProduitsRef[Famille], MATCH(tbl_Ventes[[#This Row],[Cde_Prdt]], tbl_Produits[Cde_Prdt], 0)), "")</f>
        <v/>
      </c>
    </row>
    <row r="3764" spans="1:11" x14ac:dyDescent="0.25">
      <c r="A3764" s="5"/>
      <c r="B3764" s="63" t="str">
        <f>IFERROR(TEXT(tbl_Ventes[[#This Row],[Date]],"mm-aaaa"),"")</f>
        <v>01-1900</v>
      </c>
      <c r="D3764" s="10" t="str">
        <f>IFERROR(
   INDEX(tbl_ProduitsRef[Cde_Prdt],MATCH(tbl_Ventes[[#This Row],[Produit]],tbl_ProduitsRef[Produit],0)),
   ""
)</f>
        <v/>
      </c>
      <c r="E3764" s="7">
        <v>0</v>
      </c>
      <c r="F3764" s="7" t="str">
        <f>IFERROR(
   INDEX(tbl_ProduitsRef[Prix Menu],MATCH(tbl_Ventes[[#This Row],[Produit]],tbl_ProduitsRef[Produit],0)),
   ""
)</f>
        <v/>
      </c>
      <c r="G3764" s="7">
        <f>tbl_Ventes[[#This Row],[Qté Vendue]] * IFERROR(_xlfn.XLOOKUP(tbl_Ventes[[#This Row],[Cde_Prdt]], tbl_Produits[Cde_Prdt], tbl_Produits[Prix Menu]), 0)</f>
        <v>0</v>
      </c>
      <c r="H3764" s="7">
        <f>IFERROR(_xlfn.XLOOKUP(tbl_Ventes[[#This Row],[Cde_Prdt]], tbl_Produits[Cde_Prdt], tbl_Produits[Coût Moyen Portion]), 0)</f>
        <v>0</v>
      </c>
      <c r="I3764" s="7">
        <f>tbl_Ventes[[#This Row],[Qté Vendue]] * tbl_Ventes[[#This Row],[CMP_par_portion]]</f>
        <v>0</v>
      </c>
      <c r="J3764" s="7">
        <f>tbl_Ventes[[#This Row],[CA ligne]] - tbl_Ventes[[#This Row],[Coût matière ligne]]</f>
        <v>0</v>
      </c>
      <c r="K3764" s="7" t="str">
        <f>IFERROR(INDEX(tbl_ProduitsRef[Famille], MATCH(tbl_Ventes[[#This Row],[Cde_Prdt]], tbl_Produits[Cde_Prdt], 0)), "")</f>
        <v/>
      </c>
    </row>
    <row r="3765" spans="1:11" x14ac:dyDescent="0.25">
      <c r="A3765" s="5"/>
      <c r="B3765" s="63" t="str">
        <f>IFERROR(TEXT(tbl_Ventes[[#This Row],[Date]],"mm-aaaa"),"")</f>
        <v>01-1900</v>
      </c>
      <c r="D3765" s="10" t="str">
        <f>IFERROR(
   INDEX(tbl_ProduitsRef[Cde_Prdt],MATCH(tbl_Ventes[[#This Row],[Produit]],tbl_ProduitsRef[Produit],0)),
   ""
)</f>
        <v/>
      </c>
      <c r="E3765" s="7">
        <v>0</v>
      </c>
      <c r="F3765" s="7" t="str">
        <f>IFERROR(
   INDEX(tbl_ProduitsRef[Prix Menu],MATCH(tbl_Ventes[[#This Row],[Produit]],tbl_ProduitsRef[Produit],0)),
   ""
)</f>
        <v/>
      </c>
      <c r="G3765" s="7">
        <f>tbl_Ventes[[#This Row],[Qté Vendue]] * IFERROR(_xlfn.XLOOKUP(tbl_Ventes[[#This Row],[Cde_Prdt]], tbl_Produits[Cde_Prdt], tbl_Produits[Prix Menu]), 0)</f>
        <v>0</v>
      </c>
      <c r="H3765" s="7">
        <f>IFERROR(_xlfn.XLOOKUP(tbl_Ventes[[#This Row],[Cde_Prdt]], tbl_Produits[Cde_Prdt], tbl_Produits[Coût Moyen Portion]), 0)</f>
        <v>0</v>
      </c>
      <c r="I3765" s="7">
        <f>tbl_Ventes[[#This Row],[Qté Vendue]] * tbl_Ventes[[#This Row],[CMP_par_portion]]</f>
        <v>0</v>
      </c>
      <c r="J3765" s="7">
        <f>tbl_Ventes[[#This Row],[CA ligne]] - tbl_Ventes[[#This Row],[Coût matière ligne]]</f>
        <v>0</v>
      </c>
      <c r="K3765" s="7" t="str">
        <f>IFERROR(INDEX(tbl_ProduitsRef[Famille], MATCH(tbl_Ventes[[#This Row],[Cde_Prdt]], tbl_Produits[Cde_Prdt], 0)), "")</f>
        <v/>
      </c>
    </row>
    <row r="3766" spans="1:11" x14ac:dyDescent="0.25">
      <c r="A3766" s="5"/>
      <c r="B3766" s="63" t="str">
        <f>IFERROR(TEXT(tbl_Ventes[[#This Row],[Date]],"mm-aaaa"),"")</f>
        <v>01-1900</v>
      </c>
      <c r="D3766" s="10" t="str">
        <f>IFERROR(
   INDEX(tbl_ProduitsRef[Cde_Prdt],MATCH(tbl_Ventes[[#This Row],[Produit]],tbl_ProduitsRef[Produit],0)),
   ""
)</f>
        <v/>
      </c>
      <c r="E3766" s="7">
        <v>0</v>
      </c>
      <c r="F3766" s="7" t="str">
        <f>IFERROR(
   INDEX(tbl_ProduitsRef[Prix Menu],MATCH(tbl_Ventes[[#This Row],[Produit]],tbl_ProduitsRef[Produit],0)),
   ""
)</f>
        <v/>
      </c>
      <c r="G3766" s="7">
        <f>tbl_Ventes[[#This Row],[Qté Vendue]] * IFERROR(_xlfn.XLOOKUP(tbl_Ventes[[#This Row],[Cde_Prdt]], tbl_Produits[Cde_Prdt], tbl_Produits[Prix Menu]), 0)</f>
        <v>0</v>
      </c>
      <c r="H3766" s="7">
        <f>IFERROR(_xlfn.XLOOKUP(tbl_Ventes[[#This Row],[Cde_Prdt]], tbl_Produits[Cde_Prdt], tbl_Produits[Coût Moyen Portion]), 0)</f>
        <v>0</v>
      </c>
      <c r="I3766" s="7">
        <f>tbl_Ventes[[#This Row],[Qté Vendue]] * tbl_Ventes[[#This Row],[CMP_par_portion]]</f>
        <v>0</v>
      </c>
      <c r="J3766" s="7">
        <f>tbl_Ventes[[#This Row],[CA ligne]] - tbl_Ventes[[#This Row],[Coût matière ligne]]</f>
        <v>0</v>
      </c>
      <c r="K3766" s="7" t="str">
        <f>IFERROR(INDEX(tbl_ProduitsRef[Famille], MATCH(tbl_Ventes[[#This Row],[Cde_Prdt]], tbl_Produits[Cde_Prdt], 0)), "")</f>
        <v/>
      </c>
    </row>
    <row r="3767" spans="1:11" x14ac:dyDescent="0.25">
      <c r="A3767" s="5"/>
      <c r="B3767" s="63" t="str">
        <f>IFERROR(TEXT(tbl_Ventes[[#This Row],[Date]],"mm-aaaa"),"")</f>
        <v>01-1900</v>
      </c>
      <c r="D3767" s="10" t="str">
        <f>IFERROR(
   INDEX(tbl_ProduitsRef[Cde_Prdt],MATCH(tbl_Ventes[[#This Row],[Produit]],tbl_ProduitsRef[Produit],0)),
   ""
)</f>
        <v/>
      </c>
      <c r="E3767" s="7">
        <v>0</v>
      </c>
      <c r="F3767" s="7" t="str">
        <f>IFERROR(
   INDEX(tbl_ProduitsRef[Prix Menu],MATCH(tbl_Ventes[[#This Row],[Produit]],tbl_ProduitsRef[Produit],0)),
   ""
)</f>
        <v/>
      </c>
      <c r="G3767" s="7">
        <f>tbl_Ventes[[#This Row],[Qté Vendue]] * IFERROR(_xlfn.XLOOKUP(tbl_Ventes[[#This Row],[Cde_Prdt]], tbl_Produits[Cde_Prdt], tbl_Produits[Prix Menu]), 0)</f>
        <v>0</v>
      </c>
      <c r="H3767" s="7">
        <f>IFERROR(_xlfn.XLOOKUP(tbl_Ventes[[#This Row],[Cde_Prdt]], tbl_Produits[Cde_Prdt], tbl_Produits[Coût Moyen Portion]), 0)</f>
        <v>0</v>
      </c>
      <c r="I3767" s="7">
        <f>tbl_Ventes[[#This Row],[Qté Vendue]] * tbl_Ventes[[#This Row],[CMP_par_portion]]</f>
        <v>0</v>
      </c>
      <c r="J3767" s="7">
        <f>tbl_Ventes[[#This Row],[CA ligne]] - tbl_Ventes[[#This Row],[Coût matière ligne]]</f>
        <v>0</v>
      </c>
      <c r="K3767" s="7" t="str">
        <f>IFERROR(INDEX(tbl_ProduitsRef[Famille], MATCH(tbl_Ventes[[#This Row],[Cde_Prdt]], tbl_Produits[Cde_Prdt], 0)), "")</f>
        <v/>
      </c>
    </row>
    <row r="3768" spans="1:11" x14ac:dyDescent="0.25">
      <c r="A3768" s="5"/>
      <c r="B3768" s="63" t="str">
        <f>IFERROR(TEXT(tbl_Ventes[[#This Row],[Date]],"mm-aaaa"),"")</f>
        <v>01-1900</v>
      </c>
      <c r="D3768" s="10" t="str">
        <f>IFERROR(
   INDEX(tbl_ProduitsRef[Cde_Prdt],MATCH(tbl_Ventes[[#This Row],[Produit]],tbl_ProduitsRef[Produit],0)),
   ""
)</f>
        <v/>
      </c>
      <c r="E3768" s="7">
        <v>0</v>
      </c>
      <c r="F3768" s="7" t="str">
        <f>IFERROR(
   INDEX(tbl_ProduitsRef[Prix Menu],MATCH(tbl_Ventes[[#This Row],[Produit]],tbl_ProduitsRef[Produit],0)),
   ""
)</f>
        <v/>
      </c>
      <c r="G3768" s="7">
        <f>tbl_Ventes[[#This Row],[Qté Vendue]] * IFERROR(_xlfn.XLOOKUP(tbl_Ventes[[#This Row],[Cde_Prdt]], tbl_Produits[Cde_Prdt], tbl_Produits[Prix Menu]), 0)</f>
        <v>0</v>
      </c>
      <c r="H3768" s="7">
        <f>IFERROR(_xlfn.XLOOKUP(tbl_Ventes[[#This Row],[Cde_Prdt]], tbl_Produits[Cde_Prdt], tbl_Produits[Coût Moyen Portion]), 0)</f>
        <v>0</v>
      </c>
      <c r="I3768" s="7">
        <f>tbl_Ventes[[#This Row],[Qté Vendue]] * tbl_Ventes[[#This Row],[CMP_par_portion]]</f>
        <v>0</v>
      </c>
      <c r="J3768" s="7">
        <f>tbl_Ventes[[#This Row],[CA ligne]] - tbl_Ventes[[#This Row],[Coût matière ligne]]</f>
        <v>0</v>
      </c>
      <c r="K3768" s="7" t="str">
        <f>IFERROR(INDEX(tbl_ProduitsRef[Famille], MATCH(tbl_Ventes[[#This Row],[Cde_Prdt]], tbl_Produits[Cde_Prdt], 0)), "")</f>
        <v/>
      </c>
    </row>
    <row r="3769" spans="1:11" x14ac:dyDescent="0.25">
      <c r="A3769" s="5"/>
      <c r="B3769" s="63" t="str">
        <f>IFERROR(TEXT(tbl_Ventes[[#This Row],[Date]],"mm-aaaa"),"")</f>
        <v>01-1900</v>
      </c>
      <c r="D3769" s="10" t="str">
        <f>IFERROR(
   INDEX(tbl_ProduitsRef[Cde_Prdt],MATCH(tbl_Ventes[[#This Row],[Produit]],tbl_ProduitsRef[Produit],0)),
   ""
)</f>
        <v/>
      </c>
      <c r="E3769" s="7">
        <v>0</v>
      </c>
      <c r="F3769" s="7" t="str">
        <f>IFERROR(
   INDEX(tbl_ProduitsRef[Prix Menu],MATCH(tbl_Ventes[[#This Row],[Produit]],tbl_ProduitsRef[Produit],0)),
   ""
)</f>
        <v/>
      </c>
      <c r="G3769" s="7">
        <f>tbl_Ventes[[#This Row],[Qté Vendue]] * IFERROR(_xlfn.XLOOKUP(tbl_Ventes[[#This Row],[Cde_Prdt]], tbl_Produits[Cde_Prdt], tbl_Produits[Prix Menu]), 0)</f>
        <v>0</v>
      </c>
      <c r="H3769" s="7">
        <f>IFERROR(_xlfn.XLOOKUP(tbl_Ventes[[#This Row],[Cde_Prdt]], tbl_Produits[Cde_Prdt], tbl_Produits[Coût Moyen Portion]), 0)</f>
        <v>0</v>
      </c>
      <c r="I3769" s="7">
        <f>tbl_Ventes[[#This Row],[Qté Vendue]] * tbl_Ventes[[#This Row],[CMP_par_portion]]</f>
        <v>0</v>
      </c>
      <c r="J3769" s="7">
        <f>tbl_Ventes[[#This Row],[CA ligne]] - tbl_Ventes[[#This Row],[Coût matière ligne]]</f>
        <v>0</v>
      </c>
      <c r="K3769" s="7" t="str">
        <f>IFERROR(INDEX(tbl_ProduitsRef[Famille], MATCH(tbl_Ventes[[#This Row],[Cde_Prdt]], tbl_Produits[Cde_Prdt], 0)), "")</f>
        <v/>
      </c>
    </row>
    <row r="3770" spans="1:11" x14ac:dyDescent="0.25">
      <c r="A3770" s="5"/>
      <c r="B3770" s="63" t="str">
        <f>IFERROR(TEXT(tbl_Ventes[[#This Row],[Date]],"mm-aaaa"),"")</f>
        <v>01-1900</v>
      </c>
      <c r="D3770" s="10" t="str">
        <f>IFERROR(
   INDEX(tbl_ProduitsRef[Cde_Prdt],MATCH(tbl_Ventes[[#This Row],[Produit]],tbl_ProduitsRef[Produit],0)),
   ""
)</f>
        <v/>
      </c>
      <c r="E3770" s="7">
        <v>0</v>
      </c>
      <c r="F3770" s="7" t="str">
        <f>IFERROR(
   INDEX(tbl_ProduitsRef[Prix Menu],MATCH(tbl_Ventes[[#This Row],[Produit]],tbl_ProduitsRef[Produit],0)),
   ""
)</f>
        <v/>
      </c>
      <c r="G3770" s="7">
        <f>tbl_Ventes[[#This Row],[Qté Vendue]] * IFERROR(_xlfn.XLOOKUP(tbl_Ventes[[#This Row],[Cde_Prdt]], tbl_Produits[Cde_Prdt], tbl_Produits[Prix Menu]), 0)</f>
        <v>0</v>
      </c>
      <c r="H3770" s="7">
        <f>IFERROR(_xlfn.XLOOKUP(tbl_Ventes[[#This Row],[Cde_Prdt]], tbl_Produits[Cde_Prdt], tbl_Produits[Coût Moyen Portion]), 0)</f>
        <v>0</v>
      </c>
      <c r="I3770" s="7">
        <f>tbl_Ventes[[#This Row],[Qté Vendue]] * tbl_Ventes[[#This Row],[CMP_par_portion]]</f>
        <v>0</v>
      </c>
      <c r="J3770" s="7">
        <f>tbl_Ventes[[#This Row],[CA ligne]] - tbl_Ventes[[#This Row],[Coût matière ligne]]</f>
        <v>0</v>
      </c>
      <c r="K3770" s="7" t="str">
        <f>IFERROR(INDEX(tbl_ProduitsRef[Famille], MATCH(tbl_Ventes[[#This Row],[Cde_Prdt]], tbl_Produits[Cde_Prdt], 0)), "")</f>
        <v/>
      </c>
    </row>
    <row r="3771" spans="1:11" x14ac:dyDescent="0.25">
      <c r="A3771" s="5"/>
      <c r="B3771" s="63" t="str">
        <f>IFERROR(TEXT(tbl_Ventes[[#This Row],[Date]],"mm-aaaa"),"")</f>
        <v>01-1900</v>
      </c>
      <c r="D3771" s="10" t="str">
        <f>IFERROR(
   INDEX(tbl_ProduitsRef[Cde_Prdt],MATCH(tbl_Ventes[[#This Row],[Produit]],tbl_ProduitsRef[Produit],0)),
   ""
)</f>
        <v/>
      </c>
      <c r="E3771" s="7">
        <v>0</v>
      </c>
      <c r="F3771" s="7" t="str">
        <f>IFERROR(
   INDEX(tbl_ProduitsRef[Prix Menu],MATCH(tbl_Ventes[[#This Row],[Produit]],tbl_ProduitsRef[Produit],0)),
   ""
)</f>
        <v/>
      </c>
      <c r="G3771" s="7">
        <f>tbl_Ventes[[#This Row],[Qté Vendue]] * IFERROR(_xlfn.XLOOKUP(tbl_Ventes[[#This Row],[Cde_Prdt]], tbl_Produits[Cde_Prdt], tbl_Produits[Prix Menu]), 0)</f>
        <v>0</v>
      </c>
      <c r="H3771" s="7">
        <f>IFERROR(_xlfn.XLOOKUP(tbl_Ventes[[#This Row],[Cde_Prdt]], tbl_Produits[Cde_Prdt], tbl_Produits[Coût Moyen Portion]), 0)</f>
        <v>0</v>
      </c>
      <c r="I3771" s="7">
        <f>tbl_Ventes[[#This Row],[Qté Vendue]] * tbl_Ventes[[#This Row],[CMP_par_portion]]</f>
        <v>0</v>
      </c>
      <c r="J3771" s="7">
        <f>tbl_Ventes[[#This Row],[CA ligne]] - tbl_Ventes[[#This Row],[Coût matière ligne]]</f>
        <v>0</v>
      </c>
      <c r="K3771" s="7" t="str">
        <f>IFERROR(INDEX(tbl_ProduitsRef[Famille], MATCH(tbl_Ventes[[#This Row],[Cde_Prdt]], tbl_Produits[Cde_Prdt], 0)), "")</f>
        <v/>
      </c>
    </row>
    <row r="3772" spans="1:11" x14ac:dyDescent="0.25">
      <c r="A3772" s="5"/>
      <c r="B3772" s="63" t="str">
        <f>IFERROR(TEXT(tbl_Ventes[[#This Row],[Date]],"mm-aaaa"),"")</f>
        <v>01-1900</v>
      </c>
      <c r="D3772" s="10" t="str">
        <f>IFERROR(
   INDEX(tbl_ProduitsRef[Cde_Prdt],MATCH(tbl_Ventes[[#This Row],[Produit]],tbl_ProduitsRef[Produit],0)),
   ""
)</f>
        <v/>
      </c>
      <c r="E3772" s="7">
        <v>0</v>
      </c>
      <c r="F3772" s="7" t="str">
        <f>IFERROR(
   INDEX(tbl_ProduitsRef[Prix Menu],MATCH(tbl_Ventes[[#This Row],[Produit]],tbl_ProduitsRef[Produit],0)),
   ""
)</f>
        <v/>
      </c>
      <c r="G3772" s="7">
        <f>tbl_Ventes[[#This Row],[Qté Vendue]] * IFERROR(_xlfn.XLOOKUP(tbl_Ventes[[#This Row],[Cde_Prdt]], tbl_Produits[Cde_Prdt], tbl_Produits[Prix Menu]), 0)</f>
        <v>0</v>
      </c>
      <c r="H3772" s="7">
        <f>IFERROR(_xlfn.XLOOKUP(tbl_Ventes[[#This Row],[Cde_Prdt]], tbl_Produits[Cde_Prdt], tbl_Produits[Coût Moyen Portion]), 0)</f>
        <v>0</v>
      </c>
      <c r="I3772" s="7">
        <f>tbl_Ventes[[#This Row],[Qté Vendue]] * tbl_Ventes[[#This Row],[CMP_par_portion]]</f>
        <v>0</v>
      </c>
      <c r="J3772" s="7">
        <f>tbl_Ventes[[#This Row],[CA ligne]] - tbl_Ventes[[#This Row],[Coût matière ligne]]</f>
        <v>0</v>
      </c>
      <c r="K3772" s="7" t="str">
        <f>IFERROR(INDEX(tbl_ProduitsRef[Famille], MATCH(tbl_Ventes[[#This Row],[Cde_Prdt]], tbl_Produits[Cde_Prdt], 0)), "")</f>
        <v/>
      </c>
    </row>
    <row r="3773" spans="1:11" x14ac:dyDescent="0.25">
      <c r="A3773" s="5"/>
      <c r="B3773" s="63" t="str">
        <f>IFERROR(TEXT(tbl_Ventes[[#This Row],[Date]],"mm-aaaa"),"")</f>
        <v>01-1900</v>
      </c>
      <c r="D3773" s="10" t="str">
        <f>IFERROR(
   INDEX(tbl_ProduitsRef[Cde_Prdt],MATCH(tbl_Ventes[[#This Row],[Produit]],tbl_ProduitsRef[Produit],0)),
   ""
)</f>
        <v/>
      </c>
      <c r="E3773" s="7">
        <v>0</v>
      </c>
      <c r="F3773" s="7" t="str">
        <f>IFERROR(
   INDEX(tbl_ProduitsRef[Prix Menu],MATCH(tbl_Ventes[[#This Row],[Produit]],tbl_ProduitsRef[Produit],0)),
   ""
)</f>
        <v/>
      </c>
      <c r="G3773" s="7">
        <f>tbl_Ventes[[#This Row],[Qté Vendue]] * IFERROR(_xlfn.XLOOKUP(tbl_Ventes[[#This Row],[Cde_Prdt]], tbl_Produits[Cde_Prdt], tbl_Produits[Prix Menu]), 0)</f>
        <v>0</v>
      </c>
      <c r="H3773" s="7">
        <f>IFERROR(_xlfn.XLOOKUP(tbl_Ventes[[#This Row],[Cde_Prdt]], tbl_Produits[Cde_Prdt], tbl_Produits[Coût Moyen Portion]), 0)</f>
        <v>0</v>
      </c>
      <c r="I3773" s="7">
        <f>tbl_Ventes[[#This Row],[Qté Vendue]] * tbl_Ventes[[#This Row],[CMP_par_portion]]</f>
        <v>0</v>
      </c>
      <c r="J3773" s="7">
        <f>tbl_Ventes[[#This Row],[CA ligne]] - tbl_Ventes[[#This Row],[Coût matière ligne]]</f>
        <v>0</v>
      </c>
      <c r="K3773" s="7" t="str">
        <f>IFERROR(INDEX(tbl_ProduitsRef[Famille], MATCH(tbl_Ventes[[#This Row],[Cde_Prdt]], tbl_Produits[Cde_Prdt], 0)), "")</f>
        <v/>
      </c>
    </row>
    <row r="3774" spans="1:11" x14ac:dyDescent="0.25">
      <c r="A3774" s="5"/>
      <c r="B3774" s="63" t="str">
        <f>IFERROR(TEXT(tbl_Ventes[[#This Row],[Date]],"mm-aaaa"),"")</f>
        <v>01-1900</v>
      </c>
      <c r="D3774" s="10" t="str">
        <f>IFERROR(
   INDEX(tbl_ProduitsRef[Cde_Prdt],MATCH(tbl_Ventes[[#This Row],[Produit]],tbl_ProduitsRef[Produit],0)),
   ""
)</f>
        <v/>
      </c>
      <c r="E3774" s="7">
        <v>0</v>
      </c>
      <c r="F3774" s="7" t="str">
        <f>IFERROR(
   INDEX(tbl_ProduitsRef[Prix Menu],MATCH(tbl_Ventes[[#This Row],[Produit]],tbl_ProduitsRef[Produit],0)),
   ""
)</f>
        <v/>
      </c>
      <c r="G3774" s="7">
        <f>tbl_Ventes[[#This Row],[Qté Vendue]] * IFERROR(_xlfn.XLOOKUP(tbl_Ventes[[#This Row],[Cde_Prdt]], tbl_Produits[Cde_Prdt], tbl_Produits[Prix Menu]), 0)</f>
        <v>0</v>
      </c>
      <c r="H3774" s="7">
        <f>IFERROR(_xlfn.XLOOKUP(tbl_Ventes[[#This Row],[Cde_Prdt]], tbl_Produits[Cde_Prdt], tbl_Produits[Coût Moyen Portion]), 0)</f>
        <v>0</v>
      </c>
      <c r="I3774" s="7">
        <f>tbl_Ventes[[#This Row],[Qté Vendue]] * tbl_Ventes[[#This Row],[CMP_par_portion]]</f>
        <v>0</v>
      </c>
      <c r="J3774" s="7">
        <f>tbl_Ventes[[#This Row],[CA ligne]] - tbl_Ventes[[#This Row],[Coût matière ligne]]</f>
        <v>0</v>
      </c>
      <c r="K3774" s="7" t="str">
        <f>IFERROR(INDEX(tbl_ProduitsRef[Famille], MATCH(tbl_Ventes[[#This Row],[Cde_Prdt]], tbl_Produits[Cde_Prdt], 0)), "")</f>
        <v/>
      </c>
    </row>
    <row r="3775" spans="1:11" x14ac:dyDescent="0.25">
      <c r="A3775" s="5"/>
      <c r="B3775" s="63" t="str">
        <f>IFERROR(TEXT(tbl_Ventes[[#This Row],[Date]],"mm-aaaa"),"")</f>
        <v>01-1900</v>
      </c>
      <c r="D3775" s="10" t="str">
        <f>IFERROR(
   INDEX(tbl_ProduitsRef[Cde_Prdt],MATCH(tbl_Ventes[[#This Row],[Produit]],tbl_ProduitsRef[Produit],0)),
   ""
)</f>
        <v/>
      </c>
      <c r="E3775" s="7">
        <v>0</v>
      </c>
      <c r="F3775" s="7" t="str">
        <f>IFERROR(
   INDEX(tbl_ProduitsRef[Prix Menu],MATCH(tbl_Ventes[[#This Row],[Produit]],tbl_ProduitsRef[Produit],0)),
   ""
)</f>
        <v/>
      </c>
      <c r="G3775" s="7">
        <f>tbl_Ventes[[#This Row],[Qté Vendue]] * IFERROR(_xlfn.XLOOKUP(tbl_Ventes[[#This Row],[Cde_Prdt]], tbl_Produits[Cde_Prdt], tbl_Produits[Prix Menu]), 0)</f>
        <v>0</v>
      </c>
      <c r="H3775" s="7">
        <f>IFERROR(_xlfn.XLOOKUP(tbl_Ventes[[#This Row],[Cde_Prdt]], tbl_Produits[Cde_Prdt], tbl_Produits[Coût Moyen Portion]), 0)</f>
        <v>0</v>
      </c>
      <c r="I3775" s="7">
        <f>tbl_Ventes[[#This Row],[Qté Vendue]] * tbl_Ventes[[#This Row],[CMP_par_portion]]</f>
        <v>0</v>
      </c>
      <c r="J3775" s="7">
        <f>tbl_Ventes[[#This Row],[CA ligne]] - tbl_Ventes[[#This Row],[Coût matière ligne]]</f>
        <v>0</v>
      </c>
      <c r="K3775" s="7" t="str">
        <f>IFERROR(INDEX(tbl_ProduitsRef[Famille], MATCH(tbl_Ventes[[#This Row],[Cde_Prdt]], tbl_Produits[Cde_Prdt], 0)), "")</f>
        <v/>
      </c>
    </row>
    <row r="3776" spans="1:11" x14ac:dyDescent="0.25">
      <c r="A3776" s="5"/>
      <c r="B3776" s="63" t="str">
        <f>IFERROR(TEXT(tbl_Ventes[[#This Row],[Date]],"mm-aaaa"),"")</f>
        <v>01-1900</v>
      </c>
      <c r="D3776" s="10" t="str">
        <f>IFERROR(
   INDEX(tbl_ProduitsRef[Cde_Prdt],MATCH(tbl_Ventes[[#This Row],[Produit]],tbl_ProduitsRef[Produit],0)),
   ""
)</f>
        <v/>
      </c>
      <c r="E3776" s="7">
        <v>0</v>
      </c>
      <c r="F3776" s="7" t="str">
        <f>IFERROR(
   INDEX(tbl_ProduitsRef[Prix Menu],MATCH(tbl_Ventes[[#This Row],[Produit]],tbl_ProduitsRef[Produit],0)),
   ""
)</f>
        <v/>
      </c>
      <c r="G3776" s="7">
        <f>tbl_Ventes[[#This Row],[Qté Vendue]] * IFERROR(_xlfn.XLOOKUP(tbl_Ventes[[#This Row],[Cde_Prdt]], tbl_Produits[Cde_Prdt], tbl_Produits[Prix Menu]), 0)</f>
        <v>0</v>
      </c>
      <c r="H3776" s="7">
        <f>IFERROR(_xlfn.XLOOKUP(tbl_Ventes[[#This Row],[Cde_Prdt]], tbl_Produits[Cde_Prdt], tbl_Produits[Coût Moyen Portion]), 0)</f>
        <v>0</v>
      </c>
      <c r="I3776" s="7">
        <f>tbl_Ventes[[#This Row],[Qté Vendue]] * tbl_Ventes[[#This Row],[CMP_par_portion]]</f>
        <v>0</v>
      </c>
      <c r="J3776" s="7">
        <f>tbl_Ventes[[#This Row],[CA ligne]] - tbl_Ventes[[#This Row],[Coût matière ligne]]</f>
        <v>0</v>
      </c>
      <c r="K3776" s="7" t="str">
        <f>IFERROR(INDEX(tbl_ProduitsRef[Famille], MATCH(tbl_Ventes[[#This Row],[Cde_Prdt]], tbl_Produits[Cde_Prdt], 0)), "")</f>
        <v/>
      </c>
    </row>
    <row r="3777" spans="1:11" x14ac:dyDescent="0.25">
      <c r="A3777" s="5"/>
      <c r="B3777" s="63" t="str">
        <f>IFERROR(TEXT(tbl_Ventes[[#This Row],[Date]],"mm-aaaa"),"")</f>
        <v>01-1900</v>
      </c>
      <c r="D3777" s="10" t="str">
        <f>IFERROR(
   INDEX(tbl_ProduitsRef[Cde_Prdt],MATCH(tbl_Ventes[[#This Row],[Produit]],tbl_ProduitsRef[Produit],0)),
   ""
)</f>
        <v/>
      </c>
      <c r="E3777" s="7">
        <v>0</v>
      </c>
      <c r="F3777" s="7" t="str">
        <f>IFERROR(
   INDEX(tbl_ProduitsRef[Prix Menu],MATCH(tbl_Ventes[[#This Row],[Produit]],tbl_ProduitsRef[Produit],0)),
   ""
)</f>
        <v/>
      </c>
      <c r="G3777" s="7">
        <f>tbl_Ventes[[#This Row],[Qté Vendue]] * IFERROR(_xlfn.XLOOKUP(tbl_Ventes[[#This Row],[Cde_Prdt]], tbl_Produits[Cde_Prdt], tbl_Produits[Prix Menu]), 0)</f>
        <v>0</v>
      </c>
      <c r="H3777" s="7">
        <f>IFERROR(_xlfn.XLOOKUP(tbl_Ventes[[#This Row],[Cde_Prdt]], tbl_Produits[Cde_Prdt], tbl_Produits[Coût Moyen Portion]), 0)</f>
        <v>0</v>
      </c>
      <c r="I3777" s="7">
        <f>tbl_Ventes[[#This Row],[Qté Vendue]] * tbl_Ventes[[#This Row],[CMP_par_portion]]</f>
        <v>0</v>
      </c>
      <c r="J3777" s="7">
        <f>tbl_Ventes[[#This Row],[CA ligne]] - tbl_Ventes[[#This Row],[Coût matière ligne]]</f>
        <v>0</v>
      </c>
      <c r="K3777" s="7" t="str">
        <f>IFERROR(INDEX(tbl_ProduitsRef[Famille], MATCH(tbl_Ventes[[#This Row],[Cde_Prdt]], tbl_Produits[Cde_Prdt], 0)), "")</f>
        <v/>
      </c>
    </row>
    <row r="3778" spans="1:11" x14ac:dyDescent="0.25">
      <c r="A3778" s="5"/>
      <c r="B3778" s="63" t="str">
        <f>IFERROR(TEXT(tbl_Ventes[[#This Row],[Date]],"mm-aaaa"),"")</f>
        <v>01-1900</v>
      </c>
      <c r="D3778" s="10" t="str">
        <f>IFERROR(
   INDEX(tbl_ProduitsRef[Cde_Prdt],MATCH(tbl_Ventes[[#This Row],[Produit]],tbl_ProduitsRef[Produit],0)),
   ""
)</f>
        <v/>
      </c>
      <c r="E3778" s="7">
        <v>0</v>
      </c>
      <c r="F3778" s="7" t="str">
        <f>IFERROR(
   INDEX(tbl_ProduitsRef[Prix Menu],MATCH(tbl_Ventes[[#This Row],[Produit]],tbl_ProduitsRef[Produit],0)),
   ""
)</f>
        <v/>
      </c>
      <c r="G3778" s="7">
        <f>tbl_Ventes[[#This Row],[Qté Vendue]] * IFERROR(_xlfn.XLOOKUP(tbl_Ventes[[#This Row],[Cde_Prdt]], tbl_Produits[Cde_Prdt], tbl_Produits[Prix Menu]), 0)</f>
        <v>0</v>
      </c>
      <c r="H3778" s="7">
        <f>IFERROR(_xlfn.XLOOKUP(tbl_Ventes[[#This Row],[Cde_Prdt]], tbl_Produits[Cde_Prdt], tbl_Produits[Coût Moyen Portion]), 0)</f>
        <v>0</v>
      </c>
      <c r="I3778" s="7">
        <f>tbl_Ventes[[#This Row],[Qté Vendue]] * tbl_Ventes[[#This Row],[CMP_par_portion]]</f>
        <v>0</v>
      </c>
      <c r="J3778" s="7">
        <f>tbl_Ventes[[#This Row],[CA ligne]] - tbl_Ventes[[#This Row],[Coût matière ligne]]</f>
        <v>0</v>
      </c>
      <c r="K3778" s="7" t="str">
        <f>IFERROR(INDEX(tbl_ProduitsRef[Famille], MATCH(tbl_Ventes[[#This Row],[Cde_Prdt]], tbl_Produits[Cde_Prdt], 0)), "")</f>
        <v/>
      </c>
    </row>
    <row r="3779" spans="1:11" x14ac:dyDescent="0.25">
      <c r="A3779" s="5"/>
      <c r="B3779" s="63" t="str">
        <f>IFERROR(TEXT(tbl_Ventes[[#This Row],[Date]],"mm-aaaa"),"")</f>
        <v>01-1900</v>
      </c>
      <c r="D3779" s="10" t="str">
        <f>IFERROR(
   INDEX(tbl_ProduitsRef[Cde_Prdt],MATCH(tbl_Ventes[[#This Row],[Produit]],tbl_ProduitsRef[Produit],0)),
   ""
)</f>
        <v/>
      </c>
      <c r="E3779" s="7">
        <v>0</v>
      </c>
      <c r="F3779" s="7" t="str">
        <f>IFERROR(
   INDEX(tbl_ProduitsRef[Prix Menu],MATCH(tbl_Ventes[[#This Row],[Produit]],tbl_ProduitsRef[Produit],0)),
   ""
)</f>
        <v/>
      </c>
      <c r="G3779" s="7">
        <f>tbl_Ventes[[#This Row],[Qté Vendue]] * IFERROR(_xlfn.XLOOKUP(tbl_Ventes[[#This Row],[Cde_Prdt]], tbl_Produits[Cde_Prdt], tbl_Produits[Prix Menu]), 0)</f>
        <v>0</v>
      </c>
      <c r="H3779" s="7">
        <f>IFERROR(_xlfn.XLOOKUP(tbl_Ventes[[#This Row],[Cde_Prdt]], tbl_Produits[Cde_Prdt], tbl_Produits[Coût Moyen Portion]), 0)</f>
        <v>0</v>
      </c>
      <c r="I3779" s="7">
        <f>tbl_Ventes[[#This Row],[Qté Vendue]] * tbl_Ventes[[#This Row],[CMP_par_portion]]</f>
        <v>0</v>
      </c>
      <c r="J3779" s="7">
        <f>tbl_Ventes[[#This Row],[CA ligne]] - tbl_Ventes[[#This Row],[Coût matière ligne]]</f>
        <v>0</v>
      </c>
      <c r="K3779" s="7" t="str">
        <f>IFERROR(INDEX(tbl_ProduitsRef[Famille], MATCH(tbl_Ventes[[#This Row],[Cde_Prdt]], tbl_Produits[Cde_Prdt], 0)), "")</f>
        <v/>
      </c>
    </row>
    <row r="3780" spans="1:11" x14ac:dyDescent="0.25">
      <c r="A3780" s="5"/>
      <c r="B3780" s="63" t="str">
        <f>IFERROR(TEXT(tbl_Ventes[[#This Row],[Date]],"mm-aaaa"),"")</f>
        <v>01-1900</v>
      </c>
      <c r="D3780" s="10" t="str">
        <f>IFERROR(
   INDEX(tbl_ProduitsRef[Cde_Prdt],MATCH(tbl_Ventes[[#This Row],[Produit]],tbl_ProduitsRef[Produit],0)),
   ""
)</f>
        <v/>
      </c>
      <c r="E3780" s="7">
        <v>0</v>
      </c>
      <c r="F3780" s="7" t="str">
        <f>IFERROR(
   INDEX(tbl_ProduitsRef[Prix Menu],MATCH(tbl_Ventes[[#This Row],[Produit]],tbl_ProduitsRef[Produit],0)),
   ""
)</f>
        <v/>
      </c>
      <c r="G3780" s="7">
        <f>tbl_Ventes[[#This Row],[Qté Vendue]] * IFERROR(_xlfn.XLOOKUP(tbl_Ventes[[#This Row],[Cde_Prdt]], tbl_Produits[Cde_Prdt], tbl_Produits[Prix Menu]), 0)</f>
        <v>0</v>
      </c>
      <c r="H3780" s="7">
        <f>IFERROR(_xlfn.XLOOKUP(tbl_Ventes[[#This Row],[Cde_Prdt]], tbl_Produits[Cde_Prdt], tbl_Produits[Coût Moyen Portion]), 0)</f>
        <v>0</v>
      </c>
      <c r="I3780" s="7">
        <f>tbl_Ventes[[#This Row],[Qté Vendue]] * tbl_Ventes[[#This Row],[CMP_par_portion]]</f>
        <v>0</v>
      </c>
      <c r="J3780" s="7">
        <f>tbl_Ventes[[#This Row],[CA ligne]] - tbl_Ventes[[#This Row],[Coût matière ligne]]</f>
        <v>0</v>
      </c>
      <c r="K3780" s="7" t="str">
        <f>IFERROR(INDEX(tbl_ProduitsRef[Famille], MATCH(tbl_Ventes[[#This Row],[Cde_Prdt]], tbl_Produits[Cde_Prdt], 0)), "")</f>
        <v/>
      </c>
    </row>
    <row r="3781" spans="1:11" x14ac:dyDescent="0.25">
      <c r="A3781" s="5"/>
      <c r="B3781" s="63" t="str">
        <f>IFERROR(TEXT(tbl_Ventes[[#This Row],[Date]],"mm-aaaa"),"")</f>
        <v>01-1900</v>
      </c>
      <c r="D3781" s="10" t="str">
        <f>IFERROR(
   INDEX(tbl_ProduitsRef[Cde_Prdt],MATCH(tbl_Ventes[[#This Row],[Produit]],tbl_ProduitsRef[Produit],0)),
   ""
)</f>
        <v/>
      </c>
      <c r="E3781" s="7">
        <v>0</v>
      </c>
      <c r="F3781" s="7" t="str">
        <f>IFERROR(
   INDEX(tbl_ProduitsRef[Prix Menu],MATCH(tbl_Ventes[[#This Row],[Produit]],tbl_ProduitsRef[Produit],0)),
   ""
)</f>
        <v/>
      </c>
      <c r="G3781" s="7">
        <f>tbl_Ventes[[#This Row],[Qté Vendue]] * IFERROR(_xlfn.XLOOKUP(tbl_Ventes[[#This Row],[Cde_Prdt]], tbl_Produits[Cde_Prdt], tbl_Produits[Prix Menu]), 0)</f>
        <v>0</v>
      </c>
      <c r="H3781" s="7">
        <f>IFERROR(_xlfn.XLOOKUP(tbl_Ventes[[#This Row],[Cde_Prdt]], tbl_Produits[Cde_Prdt], tbl_Produits[Coût Moyen Portion]), 0)</f>
        <v>0</v>
      </c>
      <c r="I3781" s="7">
        <f>tbl_Ventes[[#This Row],[Qté Vendue]] * tbl_Ventes[[#This Row],[CMP_par_portion]]</f>
        <v>0</v>
      </c>
      <c r="J3781" s="7">
        <f>tbl_Ventes[[#This Row],[CA ligne]] - tbl_Ventes[[#This Row],[Coût matière ligne]]</f>
        <v>0</v>
      </c>
      <c r="K3781" s="7" t="str">
        <f>IFERROR(INDEX(tbl_ProduitsRef[Famille], MATCH(tbl_Ventes[[#This Row],[Cde_Prdt]], tbl_Produits[Cde_Prdt], 0)), "")</f>
        <v/>
      </c>
    </row>
    <row r="3782" spans="1:11" x14ac:dyDescent="0.25">
      <c r="A3782" s="5"/>
      <c r="B3782" s="63" t="str">
        <f>IFERROR(TEXT(tbl_Ventes[[#This Row],[Date]],"mm-aaaa"),"")</f>
        <v>01-1900</v>
      </c>
      <c r="D3782" s="10" t="str">
        <f>IFERROR(
   INDEX(tbl_ProduitsRef[Cde_Prdt],MATCH(tbl_Ventes[[#This Row],[Produit]],tbl_ProduitsRef[Produit],0)),
   ""
)</f>
        <v/>
      </c>
      <c r="E3782" s="7">
        <v>0</v>
      </c>
      <c r="F3782" s="7" t="str">
        <f>IFERROR(
   INDEX(tbl_ProduitsRef[Prix Menu],MATCH(tbl_Ventes[[#This Row],[Produit]],tbl_ProduitsRef[Produit],0)),
   ""
)</f>
        <v/>
      </c>
      <c r="G3782" s="7">
        <f>tbl_Ventes[[#This Row],[Qté Vendue]] * IFERROR(_xlfn.XLOOKUP(tbl_Ventes[[#This Row],[Cde_Prdt]], tbl_Produits[Cde_Prdt], tbl_Produits[Prix Menu]), 0)</f>
        <v>0</v>
      </c>
      <c r="H3782" s="7">
        <f>IFERROR(_xlfn.XLOOKUP(tbl_Ventes[[#This Row],[Cde_Prdt]], tbl_Produits[Cde_Prdt], tbl_Produits[Coût Moyen Portion]), 0)</f>
        <v>0</v>
      </c>
      <c r="I3782" s="7">
        <f>tbl_Ventes[[#This Row],[Qté Vendue]] * tbl_Ventes[[#This Row],[CMP_par_portion]]</f>
        <v>0</v>
      </c>
      <c r="J3782" s="7">
        <f>tbl_Ventes[[#This Row],[CA ligne]] - tbl_Ventes[[#This Row],[Coût matière ligne]]</f>
        <v>0</v>
      </c>
      <c r="K3782" s="7" t="str">
        <f>IFERROR(INDEX(tbl_ProduitsRef[Famille], MATCH(tbl_Ventes[[#This Row],[Cde_Prdt]], tbl_Produits[Cde_Prdt], 0)), "")</f>
        <v/>
      </c>
    </row>
    <row r="3783" spans="1:11" x14ac:dyDescent="0.25">
      <c r="A3783" s="5"/>
      <c r="B3783" s="63" t="str">
        <f>IFERROR(TEXT(tbl_Ventes[[#This Row],[Date]],"mm-aaaa"),"")</f>
        <v>01-1900</v>
      </c>
      <c r="D3783" s="10" t="str">
        <f>IFERROR(
   INDEX(tbl_ProduitsRef[Cde_Prdt],MATCH(tbl_Ventes[[#This Row],[Produit]],tbl_ProduitsRef[Produit],0)),
   ""
)</f>
        <v/>
      </c>
      <c r="E3783" s="7">
        <v>0</v>
      </c>
      <c r="F3783" s="7" t="str">
        <f>IFERROR(
   INDEX(tbl_ProduitsRef[Prix Menu],MATCH(tbl_Ventes[[#This Row],[Produit]],tbl_ProduitsRef[Produit],0)),
   ""
)</f>
        <v/>
      </c>
      <c r="G3783" s="7">
        <f>tbl_Ventes[[#This Row],[Qté Vendue]] * IFERROR(_xlfn.XLOOKUP(tbl_Ventes[[#This Row],[Cde_Prdt]], tbl_Produits[Cde_Prdt], tbl_Produits[Prix Menu]), 0)</f>
        <v>0</v>
      </c>
      <c r="H3783" s="7">
        <f>IFERROR(_xlfn.XLOOKUP(tbl_Ventes[[#This Row],[Cde_Prdt]], tbl_Produits[Cde_Prdt], tbl_Produits[Coût Moyen Portion]), 0)</f>
        <v>0</v>
      </c>
      <c r="I3783" s="7">
        <f>tbl_Ventes[[#This Row],[Qté Vendue]] * tbl_Ventes[[#This Row],[CMP_par_portion]]</f>
        <v>0</v>
      </c>
      <c r="J3783" s="7">
        <f>tbl_Ventes[[#This Row],[CA ligne]] - tbl_Ventes[[#This Row],[Coût matière ligne]]</f>
        <v>0</v>
      </c>
      <c r="K3783" s="7" t="str">
        <f>IFERROR(INDEX(tbl_ProduitsRef[Famille], MATCH(tbl_Ventes[[#This Row],[Cde_Prdt]], tbl_Produits[Cde_Prdt], 0)), "")</f>
        <v/>
      </c>
    </row>
    <row r="3784" spans="1:11" x14ac:dyDescent="0.25">
      <c r="A3784" s="5"/>
      <c r="B3784" s="63" t="str">
        <f>IFERROR(TEXT(tbl_Ventes[[#This Row],[Date]],"mm-aaaa"),"")</f>
        <v>01-1900</v>
      </c>
      <c r="D3784" s="10" t="str">
        <f>IFERROR(
   INDEX(tbl_ProduitsRef[Cde_Prdt],MATCH(tbl_Ventes[[#This Row],[Produit]],tbl_ProduitsRef[Produit],0)),
   ""
)</f>
        <v/>
      </c>
      <c r="E3784" s="7">
        <v>0</v>
      </c>
      <c r="F3784" s="7" t="str">
        <f>IFERROR(
   INDEX(tbl_ProduitsRef[Prix Menu],MATCH(tbl_Ventes[[#This Row],[Produit]],tbl_ProduitsRef[Produit],0)),
   ""
)</f>
        <v/>
      </c>
      <c r="G3784" s="7">
        <f>tbl_Ventes[[#This Row],[Qté Vendue]] * IFERROR(_xlfn.XLOOKUP(tbl_Ventes[[#This Row],[Cde_Prdt]], tbl_Produits[Cde_Prdt], tbl_Produits[Prix Menu]), 0)</f>
        <v>0</v>
      </c>
      <c r="H3784" s="7">
        <f>IFERROR(_xlfn.XLOOKUP(tbl_Ventes[[#This Row],[Cde_Prdt]], tbl_Produits[Cde_Prdt], tbl_Produits[Coût Moyen Portion]), 0)</f>
        <v>0</v>
      </c>
      <c r="I3784" s="7">
        <f>tbl_Ventes[[#This Row],[Qté Vendue]] * tbl_Ventes[[#This Row],[CMP_par_portion]]</f>
        <v>0</v>
      </c>
      <c r="J3784" s="7">
        <f>tbl_Ventes[[#This Row],[CA ligne]] - tbl_Ventes[[#This Row],[Coût matière ligne]]</f>
        <v>0</v>
      </c>
      <c r="K3784" s="7" t="str">
        <f>IFERROR(INDEX(tbl_ProduitsRef[Famille], MATCH(tbl_Ventes[[#This Row],[Cde_Prdt]], tbl_Produits[Cde_Prdt], 0)), "")</f>
        <v/>
      </c>
    </row>
    <row r="3785" spans="1:11" x14ac:dyDescent="0.25">
      <c r="A3785" s="5"/>
      <c r="B3785" s="63" t="str">
        <f>IFERROR(TEXT(tbl_Ventes[[#This Row],[Date]],"mm-aaaa"),"")</f>
        <v>01-1900</v>
      </c>
      <c r="D3785" s="10" t="str">
        <f>IFERROR(
   INDEX(tbl_ProduitsRef[Cde_Prdt],MATCH(tbl_Ventes[[#This Row],[Produit]],tbl_ProduitsRef[Produit],0)),
   ""
)</f>
        <v/>
      </c>
      <c r="E3785" s="7">
        <v>0</v>
      </c>
      <c r="F3785" s="7" t="str">
        <f>IFERROR(
   INDEX(tbl_ProduitsRef[Prix Menu],MATCH(tbl_Ventes[[#This Row],[Produit]],tbl_ProduitsRef[Produit],0)),
   ""
)</f>
        <v/>
      </c>
      <c r="G3785" s="7">
        <f>tbl_Ventes[[#This Row],[Qté Vendue]] * IFERROR(_xlfn.XLOOKUP(tbl_Ventes[[#This Row],[Cde_Prdt]], tbl_Produits[Cde_Prdt], tbl_Produits[Prix Menu]), 0)</f>
        <v>0</v>
      </c>
      <c r="H3785" s="7">
        <f>IFERROR(_xlfn.XLOOKUP(tbl_Ventes[[#This Row],[Cde_Prdt]], tbl_Produits[Cde_Prdt], tbl_Produits[Coût Moyen Portion]), 0)</f>
        <v>0</v>
      </c>
      <c r="I3785" s="7">
        <f>tbl_Ventes[[#This Row],[Qté Vendue]] * tbl_Ventes[[#This Row],[CMP_par_portion]]</f>
        <v>0</v>
      </c>
      <c r="J3785" s="7">
        <f>tbl_Ventes[[#This Row],[CA ligne]] - tbl_Ventes[[#This Row],[Coût matière ligne]]</f>
        <v>0</v>
      </c>
      <c r="K3785" s="7" t="str">
        <f>IFERROR(INDEX(tbl_ProduitsRef[Famille], MATCH(tbl_Ventes[[#This Row],[Cde_Prdt]], tbl_Produits[Cde_Prdt], 0)), "")</f>
        <v/>
      </c>
    </row>
    <row r="3786" spans="1:11" x14ac:dyDescent="0.25">
      <c r="A3786" s="5"/>
      <c r="B3786" s="63" t="str">
        <f>IFERROR(TEXT(tbl_Ventes[[#This Row],[Date]],"mm-aaaa"),"")</f>
        <v>01-1900</v>
      </c>
      <c r="D3786" s="10" t="str">
        <f>IFERROR(
   INDEX(tbl_ProduitsRef[Cde_Prdt],MATCH(tbl_Ventes[[#This Row],[Produit]],tbl_ProduitsRef[Produit],0)),
   ""
)</f>
        <v/>
      </c>
      <c r="E3786" s="7">
        <v>0</v>
      </c>
      <c r="F3786" s="7" t="str">
        <f>IFERROR(
   INDEX(tbl_ProduitsRef[Prix Menu],MATCH(tbl_Ventes[[#This Row],[Produit]],tbl_ProduitsRef[Produit],0)),
   ""
)</f>
        <v/>
      </c>
      <c r="G3786" s="7">
        <f>tbl_Ventes[[#This Row],[Qté Vendue]] * IFERROR(_xlfn.XLOOKUP(tbl_Ventes[[#This Row],[Cde_Prdt]], tbl_Produits[Cde_Prdt], tbl_Produits[Prix Menu]), 0)</f>
        <v>0</v>
      </c>
      <c r="H3786" s="7">
        <f>IFERROR(_xlfn.XLOOKUP(tbl_Ventes[[#This Row],[Cde_Prdt]], tbl_Produits[Cde_Prdt], tbl_Produits[Coût Moyen Portion]), 0)</f>
        <v>0</v>
      </c>
      <c r="I3786" s="7">
        <f>tbl_Ventes[[#This Row],[Qté Vendue]] * tbl_Ventes[[#This Row],[CMP_par_portion]]</f>
        <v>0</v>
      </c>
      <c r="J3786" s="7">
        <f>tbl_Ventes[[#This Row],[CA ligne]] - tbl_Ventes[[#This Row],[Coût matière ligne]]</f>
        <v>0</v>
      </c>
      <c r="K3786" s="7" t="str">
        <f>IFERROR(INDEX(tbl_ProduitsRef[Famille], MATCH(tbl_Ventes[[#This Row],[Cde_Prdt]], tbl_Produits[Cde_Prdt], 0)), "")</f>
        <v/>
      </c>
    </row>
    <row r="3787" spans="1:11" x14ac:dyDescent="0.25">
      <c r="A3787" s="5"/>
      <c r="B3787" s="63" t="str">
        <f>IFERROR(TEXT(tbl_Ventes[[#This Row],[Date]],"mm-aaaa"),"")</f>
        <v>01-1900</v>
      </c>
      <c r="D3787" s="10" t="str">
        <f>IFERROR(
   INDEX(tbl_ProduitsRef[Cde_Prdt],MATCH(tbl_Ventes[[#This Row],[Produit]],tbl_ProduitsRef[Produit],0)),
   ""
)</f>
        <v/>
      </c>
      <c r="E3787" s="7">
        <v>0</v>
      </c>
      <c r="F3787" s="7" t="str">
        <f>IFERROR(
   INDEX(tbl_ProduitsRef[Prix Menu],MATCH(tbl_Ventes[[#This Row],[Produit]],tbl_ProduitsRef[Produit],0)),
   ""
)</f>
        <v/>
      </c>
      <c r="G3787" s="7">
        <f>tbl_Ventes[[#This Row],[Qté Vendue]] * IFERROR(_xlfn.XLOOKUP(tbl_Ventes[[#This Row],[Cde_Prdt]], tbl_Produits[Cde_Prdt], tbl_Produits[Prix Menu]), 0)</f>
        <v>0</v>
      </c>
      <c r="H3787" s="7">
        <f>IFERROR(_xlfn.XLOOKUP(tbl_Ventes[[#This Row],[Cde_Prdt]], tbl_Produits[Cde_Prdt], tbl_Produits[Coût Moyen Portion]), 0)</f>
        <v>0</v>
      </c>
      <c r="I3787" s="7">
        <f>tbl_Ventes[[#This Row],[Qté Vendue]] * tbl_Ventes[[#This Row],[CMP_par_portion]]</f>
        <v>0</v>
      </c>
      <c r="J3787" s="7">
        <f>tbl_Ventes[[#This Row],[CA ligne]] - tbl_Ventes[[#This Row],[Coût matière ligne]]</f>
        <v>0</v>
      </c>
      <c r="K3787" s="7" t="str">
        <f>IFERROR(INDEX(tbl_ProduitsRef[Famille], MATCH(tbl_Ventes[[#This Row],[Cde_Prdt]], tbl_Produits[Cde_Prdt], 0)), "")</f>
        <v/>
      </c>
    </row>
    <row r="3788" spans="1:11" x14ac:dyDescent="0.25">
      <c r="A3788" s="5"/>
      <c r="B3788" s="63" t="str">
        <f>IFERROR(TEXT(tbl_Ventes[[#This Row],[Date]],"mm-aaaa"),"")</f>
        <v>01-1900</v>
      </c>
      <c r="D3788" s="10" t="str">
        <f>IFERROR(
   INDEX(tbl_ProduitsRef[Cde_Prdt],MATCH(tbl_Ventes[[#This Row],[Produit]],tbl_ProduitsRef[Produit],0)),
   ""
)</f>
        <v/>
      </c>
      <c r="E3788" s="7">
        <v>0</v>
      </c>
      <c r="F3788" s="7" t="str">
        <f>IFERROR(
   INDEX(tbl_ProduitsRef[Prix Menu],MATCH(tbl_Ventes[[#This Row],[Produit]],tbl_ProduitsRef[Produit],0)),
   ""
)</f>
        <v/>
      </c>
      <c r="G3788" s="7">
        <f>tbl_Ventes[[#This Row],[Qté Vendue]] * IFERROR(_xlfn.XLOOKUP(tbl_Ventes[[#This Row],[Cde_Prdt]], tbl_Produits[Cde_Prdt], tbl_Produits[Prix Menu]), 0)</f>
        <v>0</v>
      </c>
      <c r="H3788" s="7">
        <f>IFERROR(_xlfn.XLOOKUP(tbl_Ventes[[#This Row],[Cde_Prdt]], tbl_Produits[Cde_Prdt], tbl_Produits[Coût Moyen Portion]), 0)</f>
        <v>0</v>
      </c>
      <c r="I3788" s="7">
        <f>tbl_Ventes[[#This Row],[Qté Vendue]] * tbl_Ventes[[#This Row],[CMP_par_portion]]</f>
        <v>0</v>
      </c>
      <c r="J3788" s="7">
        <f>tbl_Ventes[[#This Row],[CA ligne]] - tbl_Ventes[[#This Row],[Coût matière ligne]]</f>
        <v>0</v>
      </c>
      <c r="K3788" s="7" t="str">
        <f>IFERROR(INDEX(tbl_ProduitsRef[Famille], MATCH(tbl_Ventes[[#This Row],[Cde_Prdt]], tbl_Produits[Cde_Prdt], 0)), "")</f>
        <v/>
      </c>
    </row>
    <row r="3789" spans="1:11" x14ac:dyDescent="0.25">
      <c r="A3789" s="5"/>
      <c r="B3789" s="63" t="str">
        <f>IFERROR(TEXT(tbl_Ventes[[#This Row],[Date]],"mm-aaaa"),"")</f>
        <v>01-1900</v>
      </c>
      <c r="D3789" s="10" t="str">
        <f>IFERROR(
   INDEX(tbl_ProduitsRef[Cde_Prdt],MATCH(tbl_Ventes[[#This Row],[Produit]],tbl_ProduitsRef[Produit],0)),
   ""
)</f>
        <v/>
      </c>
      <c r="E3789" s="7">
        <v>0</v>
      </c>
      <c r="F3789" s="7" t="str">
        <f>IFERROR(
   INDEX(tbl_ProduitsRef[Prix Menu],MATCH(tbl_Ventes[[#This Row],[Produit]],tbl_ProduitsRef[Produit],0)),
   ""
)</f>
        <v/>
      </c>
      <c r="G3789" s="7">
        <f>tbl_Ventes[[#This Row],[Qté Vendue]] * IFERROR(_xlfn.XLOOKUP(tbl_Ventes[[#This Row],[Cde_Prdt]], tbl_Produits[Cde_Prdt], tbl_Produits[Prix Menu]), 0)</f>
        <v>0</v>
      </c>
      <c r="H3789" s="7">
        <f>IFERROR(_xlfn.XLOOKUP(tbl_Ventes[[#This Row],[Cde_Prdt]], tbl_Produits[Cde_Prdt], tbl_Produits[Coût Moyen Portion]), 0)</f>
        <v>0</v>
      </c>
      <c r="I3789" s="7">
        <f>tbl_Ventes[[#This Row],[Qté Vendue]] * tbl_Ventes[[#This Row],[CMP_par_portion]]</f>
        <v>0</v>
      </c>
      <c r="J3789" s="7">
        <f>tbl_Ventes[[#This Row],[CA ligne]] - tbl_Ventes[[#This Row],[Coût matière ligne]]</f>
        <v>0</v>
      </c>
      <c r="K3789" s="7" t="str">
        <f>IFERROR(INDEX(tbl_ProduitsRef[Famille], MATCH(tbl_Ventes[[#This Row],[Cde_Prdt]], tbl_Produits[Cde_Prdt], 0)), "")</f>
        <v/>
      </c>
    </row>
    <row r="3790" spans="1:11" x14ac:dyDescent="0.25">
      <c r="A3790" s="5"/>
      <c r="B3790" s="63" t="str">
        <f>IFERROR(TEXT(tbl_Ventes[[#This Row],[Date]],"mm-aaaa"),"")</f>
        <v>01-1900</v>
      </c>
      <c r="D3790" s="10" t="str">
        <f>IFERROR(
   INDEX(tbl_ProduitsRef[Cde_Prdt],MATCH(tbl_Ventes[[#This Row],[Produit]],tbl_ProduitsRef[Produit],0)),
   ""
)</f>
        <v/>
      </c>
      <c r="E3790" s="7">
        <v>0</v>
      </c>
      <c r="F3790" s="7" t="str">
        <f>IFERROR(
   INDEX(tbl_ProduitsRef[Prix Menu],MATCH(tbl_Ventes[[#This Row],[Produit]],tbl_ProduitsRef[Produit],0)),
   ""
)</f>
        <v/>
      </c>
      <c r="G3790" s="7">
        <f>tbl_Ventes[[#This Row],[Qté Vendue]] * IFERROR(_xlfn.XLOOKUP(tbl_Ventes[[#This Row],[Cde_Prdt]], tbl_Produits[Cde_Prdt], tbl_Produits[Prix Menu]), 0)</f>
        <v>0</v>
      </c>
      <c r="H3790" s="7">
        <f>IFERROR(_xlfn.XLOOKUP(tbl_Ventes[[#This Row],[Cde_Prdt]], tbl_Produits[Cde_Prdt], tbl_Produits[Coût Moyen Portion]), 0)</f>
        <v>0</v>
      </c>
      <c r="I3790" s="7">
        <f>tbl_Ventes[[#This Row],[Qté Vendue]] * tbl_Ventes[[#This Row],[CMP_par_portion]]</f>
        <v>0</v>
      </c>
      <c r="J3790" s="7">
        <f>tbl_Ventes[[#This Row],[CA ligne]] - tbl_Ventes[[#This Row],[Coût matière ligne]]</f>
        <v>0</v>
      </c>
      <c r="K3790" s="7" t="str">
        <f>IFERROR(INDEX(tbl_ProduitsRef[Famille], MATCH(tbl_Ventes[[#This Row],[Cde_Prdt]], tbl_Produits[Cde_Prdt], 0)), "")</f>
        <v/>
      </c>
    </row>
    <row r="3791" spans="1:11" x14ac:dyDescent="0.25">
      <c r="A3791" s="5"/>
      <c r="B3791" s="63" t="str">
        <f>IFERROR(TEXT(tbl_Ventes[[#This Row],[Date]],"mm-aaaa"),"")</f>
        <v>01-1900</v>
      </c>
      <c r="D3791" s="10" t="str">
        <f>IFERROR(
   INDEX(tbl_ProduitsRef[Cde_Prdt],MATCH(tbl_Ventes[[#This Row],[Produit]],tbl_ProduitsRef[Produit],0)),
   ""
)</f>
        <v/>
      </c>
      <c r="E3791" s="7">
        <v>0</v>
      </c>
      <c r="F3791" s="7" t="str">
        <f>IFERROR(
   INDEX(tbl_ProduitsRef[Prix Menu],MATCH(tbl_Ventes[[#This Row],[Produit]],tbl_ProduitsRef[Produit],0)),
   ""
)</f>
        <v/>
      </c>
      <c r="G3791" s="7">
        <f>tbl_Ventes[[#This Row],[Qté Vendue]] * IFERROR(_xlfn.XLOOKUP(tbl_Ventes[[#This Row],[Cde_Prdt]], tbl_Produits[Cde_Prdt], tbl_Produits[Prix Menu]), 0)</f>
        <v>0</v>
      </c>
      <c r="H3791" s="7">
        <f>IFERROR(_xlfn.XLOOKUP(tbl_Ventes[[#This Row],[Cde_Prdt]], tbl_Produits[Cde_Prdt], tbl_Produits[Coût Moyen Portion]), 0)</f>
        <v>0</v>
      </c>
      <c r="I3791" s="7">
        <f>tbl_Ventes[[#This Row],[Qté Vendue]] * tbl_Ventes[[#This Row],[CMP_par_portion]]</f>
        <v>0</v>
      </c>
      <c r="J3791" s="7">
        <f>tbl_Ventes[[#This Row],[CA ligne]] - tbl_Ventes[[#This Row],[Coût matière ligne]]</f>
        <v>0</v>
      </c>
      <c r="K3791" s="7" t="str">
        <f>IFERROR(INDEX(tbl_ProduitsRef[Famille], MATCH(tbl_Ventes[[#This Row],[Cde_Prdt]], tbl_Produits[Cde_Prdt], 0)), "")</f>
        <v/>
      </c>
    </row>
    <row r="3792" spans="1:11" x14ac:dyDescent="0.25">
      <c r="A3792" s="5"/>
      <c r="B3792" s="63" t="str">
        <f>IFERROR(TEXT(tbl_Ventes[[#This Row],[Date]],"mm-aaaa"),"")</f>
        <v>01-1900</v>
      </c>
      <c r="D3792" s="10" t="str">
        <f>IFERROR(
   INDEX(tbl_ProduitsRef[Cde_Prdt],MATCH(tbl_Ventes[[#This Row],[Produit]],tbl_ProduitsRef[Produit],0)),
   ""
)</f>
        <v/>
      </c>
      <c r="E3792" s="7">
        <v>0</v>
      </c>
      <c r="F3792" s="7" t="str">
        <f>IFERROR(
   INDEX(tbl_ProduitsRef[Prix Menu],MATCH(tbl_Ventes[[#This Row],[Produit]],tbl_ProduitsRef[Produit],0)),
   ""
)</f>
        <v/>
      </c>
      <c r="G3792" s="7">
        <f>tbl_Ventes[[#This Row],[Qté Vendue]] * IFERROR(_xlfn.XLOOKUP(tbl_Ventes[[#This Row],[Cde_Prdt]], tbl_Produits[Cde_Prdt], tbl_Produits[Prix Menu]), 0)</f>
        <v>0</v>
      </c>
      <c r="H3792" s="7">
        <f>IFERROR(_xlfn.XLOOKUP(tbl_Ventes[[#This Row],[Cde_Prdt]], tbl_Produits[Cde_Prdt], tbl_Produits[Coût Moyen Portion]), 0)</f>
        <v>0</v>
      </c>
      <c r="I3792" s="7">
        <f>tbl_Ventes[[#This Row],[Qté Vendue]] * tbl_Ventes[[#This Row],[CMP_par_portion]]</f>
        <v>0</v>
      </c>
      <c r="J3792" s="7">
        <f>tbl_Ventes[[#This Row],[CA ligne]] - tbl_Ventes[[#This Row],[Coût matière ligne]]</f>
        <v>0</v>
      </c>
      <c r="K3792" s="7" t="str">
        <f>IFERROR(INDEX(tbl_ProduitsRef[Famille], MATCH(tbl_Ventes[[#This Row],[Cde_Prdt]], tbl_Produits[Cde_Prdt], 0)), "")</f>
        <v/>
      </c>
    </row>
    <row r="3793" spans="1:11" x14ac:dyDescent="0.25">
      <c r="A3793" s="5"/>
      <c r="B3793" s="63" t="str">
        <f>IFERROR(TEXT(tbl_Ventes[[#This Row],[Date]],"mm-aaaa"),"")</f>
        <v>01-1900</v>
      </c>
      <c r="D3793" s="10" t="str">
        <f>IFERROR(
   INDEX(tbl_ProduitsRef[Cde_Prdt],MATCH(tbl_Ventes[[#This Row],[Produit]],tbl_ProduitsRef[Produit],0)),
   ""
)</f>
        <v/>
      </c>
      <c r="E3793" s="7">
        <v>0</v>
      </c>
      <c r="F3793" s="7" t="str">
        <f>IFERROR(
   INDEX(tbl_ProduitsRef[Prix Menu],MATCH(tbl_Ventes[[#This Row],[Produit]],tbl_ProduitsRef[Produit],0)),
   ""
)</f>
        <v/>
      </c>
      <c r="G3793" s="7">
        <f>tbl_Ventes[[#This Row],[Qté Vendue]] * IFERROR(_xlfn.XLOOKUP(tbl_Ventes[[#This Row],[Cde_Prdt]], tbl_Produits[Cde_Prdt], tbl_Produits[Prix Menu]), 0)</f>
        <v>0</v>
      </c>
      <c r="H3793" s="7">
        <f>IFERROR(_xlfn.XLOOKUP(tbl_Ventes[[#This Row],[Cde_Prdt]], tbl_Produits[Cde_Prdt], tbl_Produits[Coût Moyen Portion]), 0)</f>
        <v>0</v>
      </c>
      <c r="I3793" s="7">
        <f>tbl_Ventes[[#This Row],[Qté Vendue]] * tbl_Ventes[[#This Row],[CMP_par_portion]]</f>
        <v>0</v>
      </c>
      <c r="J3793" s="7">
        <f>tbl_Ventes[[#This Row],[CA ligne]] - tbl_Ventes[[#This Row],[Coût matière ligne]]</f>
        <v>0</v>
      </c>
      <c r="K3793" s="7" t="str">
        <f>IFERROR(INDEX(tbl_ProduitsRef[Famille], MATCH(tbl_Ventes[[#This Row],[Cde_Prdt]], tbl_Produits[Cde_Prdt], 0)), "")</f>
        <v/>
      </c>
    </row>
    <row r="3794" spans="1:11" x14ac:dyDescent="0.25">
      <c r="A3794" s="5"/>
      <c r="B3794" s="63" t="str">
        <f>IFERROR(TEXT(tbl_Ventes[[#This Row],[Date]],"mm-aaaa"),"")</f>
        <v>01-1900</v>
      </c>
      <c r="D3794" s="10" t="str">
        <f>IFERROR(
   INDEX(tbl_ProduitsRef[Cde_Prdt],MATCH(tbl_Ventes[[#This Row],[Produit]],tbl_ProduitsRef[Produit],0)),
   ""
)</f>
        <v/>
      </c>
      <c r="E3794" s="7">
        <v>0</v>
      </c>
      <c r="F3794" s="7" t="str">
        <f>IFERROR(
   INDEX(tbl_ProduitsRef[Prix Menu],MATCH(tbl_Ventes[[#This Row],[Produit]],tbl_ProduitsRef[Produit],0)),
   ""
)</f>
        <v/>
      </c>
      <c r="G3794" s="7">
        <f>tbl_Ventes[[#This Row],[Qté Vendue]] * IFERROR(_xlfn.XLOOKUP(tbl_Ventes[[#This Row],[Cde_Prdt]], tbl_Produits[Cde_Prdt], tbl_Produits[Prix Menu]), 0)</f>
        <v>0</v>
      </c>
      <c r="H3794" s="7">
        <f>IFERROR(_xlfn.XLOOKUP(tbl_Ventes[[#This Row],[Cde_Prdt]], tbl_Produits[Cde_Prdt], tbl_Produits[Coût Moyen Portion]), 0)</f>
        <v>0</v>
      </c>
      <c r="I3794" s="7">
        <f>tbl_Ventes[[#This Row],[Qté Vendue]] * tbl_Ventes[[#This Row],[CMP_par_portion]]</f>
        <v>0</v>
      </c>
      <c r="J3794" s="7">
        <f>tbl_Ventes[[#This Row],[CA ligne]] - tbl_Ventes[[#This Row],[Coût matière ligne]]</f>
        <v>0</v>
      </c>
      <c r="K3794" s="7" t="str">
        <f>IFERROR(INDEX(tbl_ProduitsRef[Famille], MATCH(tbl_Ventes[[#This Row],[Cde_Prdt]], tbl_Produits[Cde_Prdt], 0)), "")</f>
        <v/>
      </c>
    </row>
    <row r="3795" spans="1:11" x14ac:dyDescent="0.25">
      <c r="A3795" s="5"/>
      <c r="B3795" s="63" t="str">
        <f>IFERROR(TEXT(tbl_Ventes[[#This Row],[Date]],"mm-aaaa"),"")</f>
        <v>01-1900</v>
      </c>
      <c r="D3795" s="10" t="str">
        <f>IFERROR(
   INDEX(tbl_ProduitsRef[Cde_Prdt],MATCH(tbl_Ventes[[#This Row],[Produit]],tbl_ProduitsRef[Produit],0)),
   ""
)</f>
        <v/>
      </c>
      <c r="E3795" s="7">
        <v>0</v>
      </c>
      <c r="F3795" s="7" t="str">
        <f>IFERROR(
   INDEX(tbl_ProduitsRef[Prix Menu],MATCH(tbl_Ventes[[#This Row],[Produit]],tbl_ProduitsRef[Produit],0)),
   ""
)</f>
        <v/>
      </c>
      <c r="G3795" s="7">
        <f>tbl_Ventes[[#This Row],[Qté Vendue]] * IFERROR(_xlfn.XLOOKUP(tbl_Ventes[[#This Row],[Cde_Prdt]], tbl_Produits[Cde_Prdt], tbl_Produits[Prix Menu]), 0)</f>
        <v>0</v>
      </c>
      <c r="H3795" s="7">
        <f>IFERROR(_xlfn.XLOOKUP(tbl_Ventes[[#This Row],[Cde_Prdt]], tbl_Produits[Cde_Prdt], tbl_Produits[Coût Moyen Portion]), 0)</f>
        <v>0</v>
      </c>
      <c r="I3795" s="7">
        <f>tbl_Ventes[[#This Row],[Qté Vendue]] * tbl_Ventes[[#This Row],[CMP_par_portion]]</f>
        <v>0</v>
      </c>
      <c r="J3795" s="7">
        <f>tbl_Ventes[[#This Row],[CA ligne]] - tbl_Ventes[[#This Row],[Coût matière ligne]]</f>
        <v>0</v>
      </c>
      <c r="K3795" s="7" t="str">
        <f>IFERROR(INDEX(tbl_ProduitsRef[Famille], MATCH(tbl_Ventes[[#This Row],[Cde_Prdt]], tbl_Produits[Cde_Prdt], 0)), "")</f>
        <v/>
      </c>
    </row>
    <row r="3796" spans="1:11" x14ac:dyDescent="0.25">
      <c r="A3796" s="5"/>
      <c r="B3796" s="63" t="str">
        <f>IFERROR(TEXT(tbl_Ventes[[#This Row],[Date]],"mm-aaaa"),"")</f>
        <v>01-1900</v>
      </c>
      <c r="D3796" s="10" t="str">
        <f>IFERROR(
   INDEX(tbl_ProduitsRef[Cde_Prdt],MATCH(tbl_Ventes[[#This Row],[Produit]],tbl_ProduitsRef[Produit],0)),
   ""
)</f>
        <v/>
      </c>
      <c r="E3796" s="7">
        <v>0</v>
      </c>
      <c r="F3796" s="7" t="str">
        <f>IFERROR(
   INDEX(tbl_ProduitsRef[Prix Menu],MATCH(tbl_Ventes[[#This Row],[Produit]],tbl_ProduitsRef[Produit],0)),
   ""
)</f>
        <v/>
      </c>
      <c r="G3796" s="7">
        <f>tbl_Ventes[[#This Row],[Qté Vendue]] * IFERROR(_xlfn.XLOOKUP(tbl_Ventes[[#This Row],[Cde_Prdt]], tbl_Produits[Cde_Prdt], tbl_Produits[Prix Menu]), 0)</f>
        <v>0</v>
      </c>
      <c r="H3796" s="7">
        <f>IFERROR(_xlfn.XLOOKUP(tbl_Ventes[[#This Row],[Cde_Prdt]], tbl_Produits[Cde_Prdt], tbl_Produits[Coût Moyen Portion]), 0)</f>
        <v>0</v>
      </c>
      <c r="I3796" s="7">
        <f>tbl_Ventes[[#This Row],[Qté Vendue]] * tbl_Ventes[[#This Row],[CMP_par_portion]]</f>
        <v>0</v>
      </c>
      <c r="J3796" s="7">
        <f>tbl_Ventes[[#This Row],[CA ligne]] - tbl_Ventes[[#This Row],[Coût matière ligne]]</f>
        <v>0</v>
      </c>
      <c r="K3796" s="7" t="str">
        <f>IFERROR(INDEX(tbl_ProduitsRef[Famille], MATCH(tbl_Ventes[[#This Row],[Cde_Prdt]], tbl_Produits[Cde_Prdt], 0)), "")</f>
        <v/>
      </c>
    </row>
    <row r="3797" spans="1:11" x14ac:dyDescent="0.25">
      <c r="A3797" s="5"/>
      <c r="B3797" s="63" t="str">
        <f>IFERROR(TEXT(tbl_Ventes[[#This Row],[Date]],"mm-aaaa"),"")</f>
        <v>01-1900</v>
      </c>
      <c r="D3797" s="10" t="str">
        <f>IFERROR(
   INDEX(tbl_ProduitsRef[Cde_Prdt],MATCH(tbl_Ventes[[#This Row],[Produit]],tbl_ProduitsRef[Produit],0)),
   ""
)</f>
        <v/>
      </c>
      <c r="E3797" s="7">
        <v>0</v>
      </c>
      <c r="F3797" s="7" t="str">
        <f>IFERROR(
   INDEX(tbl_ProduitsRef[Prix Menu],MATCH(tbl_Ventes[[#This Row],[Produit]],tbl_ProduitsRef[Produit],0)),
   ""
)</f>
        <v/>
      </c>
      <c r="G3797" s="7">
        <f>tbl_Ventes[[#This Row],[Qté Vendue]] * IFERROR(_xlfn.XLOOKUP(tbl_Ventes[[#This Row],[Cde_Prdt]], tbl_Produits[Cde_Prdt], tbl_Produits[Prix Menu]), 0)</f>
        <v>0</v>
      </c>
      <c r="H3797" s="7">
        <f>IFERROR(_xlfn.XLOOKUP(tbl_Ventes[[#This Row],[Cde_Prdt]], tbl_Produits[Cde_Prdt], tbl_Produits[Coût Moyen Portion]), 0)</f>
        <v>0</v>
      </c>
      <c r="I3797" s="7">
        <f>tbl_Ventes[[#This Row],[Qté Vendue]] * tbl_Ventes[[#This Row],[CMP_par_portion]]</f>
        <v>0</v>
      </c>
      <c r="J3797" s="7">
        <f>tbl_Ventes[[#This Row],[CA ligne]] - tbl_Ventes[[#This Row],[Coût matière ligne]]</f>
        <v>0</v>
      </c>
      <c r="K3797" s="7" t="str">
        <f>IFERROR(INDEX(tbl_ProduitsRef[Famille], MATCH(tbl_Ventes[[#This Row],[Cde_Prdt]], tbl_Produits[Cde_Prdt], 0)), "")</f>
        <v/>
      </c>
    </row>
    <row r="3798" spans="1:11" x14ac:dyDescent="0.25">
      <c r="A3798" s="5"/>
      <c r="B3798" s="63" t="str">
        <f>IFERROR(TEXT(tbl_Ventes[[#This Row],[Date]],"mm-aaaa"),"")</f>
        <v>01-1900</v>
      </c>
      <c r="D3798" s="10" t="str">
        <f>IFERROR(
   INDEX(tbl_ProduitsRef[Cde_Prdt],MATCH(tbl_Ventes[[#This Row],[Produit]],tbl_ProduitsRef[Produit],0)),
   ""
)</f>
        <v/>
      </c>
      <c r="E3798" s="7">
        <v>0</v>
      </c>
      <c r="F3798" s="7" t="str">
        <f>IFERROR(
   INDEX(tbl_ProduitsRef[Prix Menu],MATCH(tbl_Ventes[[#This Row],[Produit]],tbl_ProduitsRef[Produit],0)),
   ""
)</f>
        <v/>
      </c>
      <c r="G3798" s="7">
        <f>tbl_Ventes[[#This Row],[Qté Vendue]] * IFERROR(_xlfn.XLOOKUP(tbl_Ventes[[#This Row],[Cde_Prdt]], tbl_Produits[Cde_Prdt], tbl_Produits[Prix Menu]), 0)</f>
        <v>0</v>
      </c>
      <c r="H3798" s="7">
        <f>IFERROR(_xlfn.XLOOKUP(tbl_Ventes[[#This Row],[Cde_Prdt]], tbl_Produits[Cde_Prdt], tbl_Produits[Coût Moyen Portion]), 0)</f>
        <v>0</v>
      </c>
      <c r="I3798" s="7">
        <f>tbl_Ventes[[#This Row],[Qté Vendue]] * tbl_Ventes[[#This Row],[CMP_par_portion]]</f>
        <v>0</v>
      </c>
      <c r="J3798" s="7">
        <f>tbl_Ventes[[#This Row],[CA ligne]] - tbl_Ventes[[#This Row],[Coût matière ligne]]</f>
        <v>0</v>
      </c>
      <c r="K3798" s="7" t="str">
        <f>IFERROR(INDEX(tbl_ProduitsRef[Famille], MATCH(tbl_Ventes[[#This Row],[Cde_Prdt]], tbl_Produits[Cde_Prdt], 0)), "")</f>
        <v/>
      </c>
    </row>
    <row r="3799" spans="1:11" x14ac:dyDescent="0.25">
      <c r="A3799" s="5"/>
      <c r="B3799" s="63" t="str">
        <f>IFERROR(TEXT(tbl_Ventes[[#This Row],[Date]],"mm-aaaa"),"")</f>
        <v>01-1900</v>
      </c>
      <c r="D3799" s="10" t="str">
        <f>IFERROR(
   INDEX(tbl_ProduitsRef[Cde_Prdt],MATCH(tbl_Ventes[[#This Row],[Produit]],tbl_ProduitsRef[Produit],0)),
   ""
)</f>
        <v/>
      </c>
      <c r="E3799" s="7">
        <v>0</v>
      </c>
      <c r="F3799" s="7" t="str">
        <f>IFERROR(
   INDEX(tbl_ProduitsRef[Prix Menu],MATCH(tbl_Ventes[[#This Row],[Produit]],tbl_ProduitsRef[Produit],0)),
   ""
)</f>
        <v/>
      </c>
      <c r="G3799" s="7">
        <f>tbl_Ventes[[#This Row],[Qté Vendue]] * IFERROR(_xlfn.XLOOKUP(tbl_Ventes[[#This Row],[Cde_Prdt]], tbl_Produits[Cde_Prdt], tbl_Produits[Prix Menu]), 0)</f>
        <v>0</v>
      </c>
      <c r="H3799" s="7">
        <f>IFERROR(_xlfn.XLOOKUP(tbl_Ventes[[#This Row],[Cde_Prdt]], tbl_Produits[Cde_Prdt], tbl_Produits[Coût Moyen Portion]), 0)</f>
        <v>0</v>
      </c>
      <c r="I3799" s="7">
        <f>tbl_Ventes[[#This Row],[Qté Vendue]] * tbl_Ventes[[#This Row],[CMP_par_portion]]</f>
        <v>0</v>
      </c>
      <c r="J3799" s="7">
        <f>tbl_Ventes[[#This Row],[CA ligne]] - tbl_Ventes[[#This Row],[Coût matière ligne]]</f>
        <v>0</v>
      </c>
      <c r="K3799" s="7" t="str">
        <f>IFERROR(INDEX(tbl_ProduitsRef[Famille], MATCH(tbl_Ventes[[#This Row],[Cde_Prdt]], tbl_Produits[Cde_Prdt], 0)), "")</f>
        <v/>
      </c>
    </row>
    <row r="3800" spans="1:11" x14ac:dyDescent="0.25">
      <c r="A3800" s="5"/>
      <c r="B3800" s="63" t="str">
        <f>IFERROR(TEXT(tbl_Ventes[[#This Row],[Date]],"mm-aaaa"),"")</f>
        <v>01-1900</v>
      </c>
      <c r="D3800" s="10" t="str">
        <f>IFERROR(
   INDEX(tbl_ProduitsRef[Cde_Prdt],MATCH(tbl_Ventes[[#This Row],[Produit]],tbl_ProduitsRef[Produit],0)),
   ""
)</f>
        <v/>
      </c>
      <c r="E3800" s="7">
        <v>0</v>
      </c>
      <c r="F3800" s="7" t="str">
        <f>IFERROR(
   INDEX(tbl_ProduitsRef[Prix Menu],MATCH(tbl_Ventes[[#This Row],[Produit]],tbl_ProduitsRef[Produit],0)),
   ""
)</f>
        <v/>
      </c>
      <c r="G3800" s="7">
        <f>tbl_Ventes[[#This Row],[Qté Vendue]] * IFERROR(_xlfn.XLOOKUP(tbl_Ventes[[#This Row],[Cde_Prdt]], tbl_Produits[Cde_Prdt], tbl_Produits[Prix Menu]), 0)</f>
        <v>0</v>
      </c>
      <c r="H3800" s="7">
        <f>IFERROR(_xlfn.XLOOKUP(tbl_Ventes[[#This Row],[Cde_Prdt]], tbl_Produits[Cde_Prdt], tbl_Produits[Coût Moyen Portion]), 0)</f>
        <v>0</v>
      </c>
      <c r="I3800" s="7">
        <f>tbl_Ventes[[#This Row],[Qté Vendue]] * tbl_Ventes[[#This Row],[CMP_par_portion]]</f>
        <v>0</v>
      </c>
      <c r="J3800" s="7">
        <f>tbl_Ventes[[#This Row],[CA ligne]] - tbl_Ventes[[#This Row],[Coût matière ligne]]</f>
        <v>0</v>
      </c>
      <c r="K3800" s="7" t="str">
        <f>IFERROR(INDEX(tbl_ProduitsRef[Famille], MATCH(tbl_Ventes[[#This Row],[Cde_Prdt]], tbl_Produits[Cde_Prdt], 0)), "")</f>
        <v/>
      </c>
    </row>
    <row r="3801" spans="1:11" x14ac:dyDescent="0.25">
      <c r="A3801" s="5"/>
      <c r="B3801" s="63" t="str">
        <f>IFERROR(TEXT(tbl_Ventes[[#This Row],[Date]],"mm-aaaa"),"")</f>
        <v>01-1900</v>
      </c>
      <c r="D3801" s="10" t="str">
        <f>IFERROR(
   INDEX(tbl_ProduitsRef[Cde_Prdt],MATCH(tbl_Ventes[[#This Row],[Produit]],tbl_ProduitsRef[Produit],0)),
   ""
)</f>
        <v/>
      </c>
      <c r="E3801" s="7">
        <v>0</v>
      </c>
      <c r="F3801" s="7" t="str">
        <f>IFERROR(
   INDEX(tbl_ProduitsRef[Prix Menu],MATCH(tbl_Ventes[[#This Row],[Produit]],tbl_ProduitsRef[Produit],0)),
   ""
)</f>
        <v/>
      </c>
      <c r="G3801" s="7">
        <f>tbl_Ventes[[#This Row],[Qté Vendue]] * IFERROR(_xlfn.XLOOKUP(tbl_Ventes[[#This Row],[Cde_Prdt]], tbl_Produits[Cde_Prdt], tbl_Produits[Prix Menu]), 0)</f>
        <v>0</v>
      </c>
      <c r="H3801" s="7">
        <f>IFERROR(_xlfn.XLOOKUP(tbl_Ventes[[#This Row],[Cde_Prdt]], tbl_Produits[Cde_Prdt], tbl_Produits[Coût Moyen Portion]), 0)</f>
        <v>0</v>
      </c>
      <c r="I3801" s="7">
        <f>tbl_Ventes[[#This Row],[Qté Vendue]] * tbl_Ventes[[#This Row],[CMP_par_portion]]</f>
        <v>0</v>
      </c>
      <c r="J3801" s="7">
        <f>tbl_Ventes[[#This Row],[CA ligne]] - tbl_Ventes[[#This Row],[Coût matière ligne]]</f>
        <v>0</v>
      </c>
      <c r="K3801" s="7" t="str">
        <f>IFERROR(INDEX(tbl_ProduitsRef[Famille], MATCH(tbl_Ventes[[#This Row],[Cde_Prdt]], tbl_Produits[Cde_Prdt], 0)), "")</f>
        <v/>
      </c>
    </row>
    <row r="3802" spans="1:11" x14ac:dyDescent="0.25">
      <c r="A3802" s="5"/>
      <c r="B3802" s="63" t="str">
        <f>IFERROR(TEXT(tbl_Ventes[[#This Row],[Date]],"mm-aaaa"),"")</f>
        <v>01-1900</v>
      </c>
      <c r="D3802" s="10" t="str">
        <f>IFERROR(
   INDEX(tbl_ProduitsRef[Cde_Prdt],MATCH(tbl_Ventes[[#This Row],[Produit]],tbl_ProduitsRef[Produit],0)),
   ""
)</f>
        <v/>
      </c>
      <c r="E3802" s="7">
        <v>0</v>
      </c>
      <c r="F3802" s="7" t="str">
        <f>IFERROR(
   INDEX(tbl_ProduitsRef[Prix Menu],MATCH(tbl_Ventes[[#This Row],[Produit]],tbl_ProduitsRef[Produit],0)),
   ""
)</f>
        <v/>
      </c>
      <c r="G3802" s="7">
        <f>tbl_Ventes[[#This Row],[Qté Vendue]] * IFERROR(_xlfn.XLOOKUP(tbl_Ventes[[#This Row],[Cde_Prdt]], tbl_Produits[Cde_Prdt], tbl_Produits[Prix Menu]), 0)</f>
        <v>0</v>
      </c>
      <c r="H3802" s="7">
        <f>IFERROR(_xlfn.XLOOKUP(tbl_Ventes[[#This Row],[Cde_Prdt]], tbl_Produits[Cde_Prdt], tbl_Produits[Coût Moyen Portion]), 0)</f>
        <v>0</v>
      </c>
      <c r="I3802" s="7">
        <f>tbl_Ventes[[#This Row],[Qté Vendue]] * tbl_Ventes[[#This Row],[CMP_par_portion]]</f>
        <v>0</v>
      </c>
      <c r="J3802" s="7">
        <f>tbl_Ventes[[#This Row],[CA ligne]] - tbl_Ventes[[#This Row],[Coût matière ligne]]</f>
        <v>0</v>
      </c>
      <c r="K3802" s="7" t="str">
        <f>IFERROR(INDEX(tbl_ProduitsRef[Famille], MATCH(tbl_Ventes[[#This Row],[Cde_Prdt]], tbl_Produits[Cde_Prdt], 0)), "")</f>
        <v/>
      </c>
    </row>
    <row r="3803" spans="1:11" x14ac:dyDescent="0.25">
      <c r="A3803" s="5"/>
      <c r="B3803" s="63" t="str">
        <f>IFERROR(TEXT(tbl_Ventes[[#This Row],[Date]],"mm-aaaa"),"")</f>
        <v>01-1900</v>
      </c>
      <c r="D3803" s="10" t="str">
        <f>IFERROR(
   INDEX(tbl_ProduitsRef[Cde_Prdt],MATCH(tbl_Ventes[[#This Row],[Produit]],tbl_ProduitsRef[Produit],0)),
   ""
)</f>
        <v/>
      </c>
      <c r="E3803" s="7">
        <v>0</v>
      </c>
      <c r="F3803" s="7" t="str">
        <f>IFERROR(
   INDEX(tbl_ProduitsRef[Prix Menu],MATCH(tbl_Ventes[[#This Row],[Produit]],tbl_ProduitsRef[Produit],0)),
   ""
)</f>
        <v/>
      </c>
      <c r="G3803" s="7">
        <f>tbl_Ventes[[#This Row],[Qté Vendue]] * IFERROR(_xlfn.XLOOKUP(tbl_Ventes[[#This Row],[Cde_Prdt]], tbl_Produits[Cde_Prdt], tbl_Produits[Prix Menu]), 0)</f>
        <v>0</v>
      </c>
      <c r="H3803" s="7">
        <f>IFERROR(_xlfn.XLOOKUP(tbl_Ventes[[#This Row],[Cde_Prdt]], tbl_Produits[Cde_Prdt], tbl_Produits[Coût Moyen Portion]), 0)</f>
        <v>0</v>
      </c>
      <c r="I3803" s="7">
        <f>tbl_Ventes[[#This Row],[Qté Vendue]] * tbl_Ventes[[#This Row],[CMP_par_portion]]</f>
        <v>0</v>
      </c>
      <c r="J3803" s="7">
        <f>tbl_Ventes[[#This Row],[CA ligne]] - tbl_Ventes[[#This Row],[Coût matière ligne]]</f>
        <v>0</v>
      </c>
      <c r="K3803" s="7" t="str">
        <f>IFERROR(INDEX(tbl_ProduitsRef[Famille], MATCH(tbl_Ventes[[#This Row],[Cde_Prdt]], tbl_Produits[Cde_Prdt], 0)), "")</f>
        <v/>
      </c>
    </row>
    <row r="3804" spans="1:11" x14ac:dyDescent="0.25">
      <c r="A3804" s="5"/>
      <c r="B3804" s="63" t="str">
        <f>IFERROR(TEXT(tbl_Ventes[[#This Row],[Date]],"mm-aaaa"),"")</f>
        <v>01-1900</v>
      </c>
      <c r="D3804" s="10" t="str">
        <f>IFERROR(
   INDEX(tbl_ProduitsRef[Cde_Prdt],MATCH(tbl_Ventes[[#This Row],[Produit]],tbl_ProduitsRef[Produit],0)),
   ""
)</f>
        <v/>
      </c>
      <c r="E3804" s="7">
        <v>0</v>
      </c>
      <c r="F3804" s="7" t="str">
        <f>IFERROR(
   INDEX(tbl_ProduitsRef[Prix Menu],MATCH(tbl_Ventes[[#This Row],[Produit]],tbl_ProduitsRef[Produit],0)),
   ""
)</f>
        <v/>
      </c>
      <c r="G3804" s="7">
        <f>tbl_Ventes[[#This Row],[Qté Vendue]] * IFERROR(_xlfn.XLOOKUP(tbl_Ventes[[#This Row],[Cde_Prdt]], tbl_Produits[Cde_Prdt], tbl_Produits[Prix Menu]), 0)</f>
        <v>0</v>
      </c>
      <c r="H3804" s="7">
        <f>IFERROR(_xlfn.XLOOKUP(tbl_Ventes[[#This Row],[Cde_Prdt]], tbl_Produits[Cde_Prdt], tbl_Produits[Coût Moyen Portion]), 0)</f>
        <v>0</v>
      </c>
      <c r="I3804" s="7">
        <f>tbl_Ventes[[#This Row],[Qté Vendue]] * tbl_Ventes[[#This Row],[CMP_par_portion]]</f>
        <v>0</v>
      </c>
      <c r="J3804" s="7">
        <f>tbl_Ventes[[#This Row],[CA ligne]] - tbl_Ventes[[#This Row],[Coût matière ligne]]</f>
        <v>0</v>
      </c>
      <c r="K3804" s="7" t="str">
        <f>IFERROR(INDEX(tbl_ProduitsRef[Famille], MATCH(tbl_Ventes[[#This Row],[Cde_Prdt]], tbl_Produits[Cde_Prdt], 0)), "")</f>
        <v/>
      </c>
    </row>
    <row r="3805" spans="1:11" x14ac:dyDescent="0.25">
      <c r="A3805" s="5"/>
      <c r="B3805" s="63" t="str">
        <f>IFERROR(TEXT(tbl_Ventes[[#This Row],[Date]],"mm-aaaa"),"")</f>
        <v>01-1900</v>
      </c>
      <c r="D3805" s="10" t="str">
        <f>IFERROR(
   INDEX(tbl_ProduitsRef[Cde_Prdt],MATCH(tbl_Ventes[[#This Row],[Produit]],tbl_ProduitsRef[Produit],0)),
   ""
)</f>
        <v/>
      </c>
      <c r="E3805" s="7">
        <v>0</v>
      </c>
      <c r="F3805" s="7" t="str">
        <f>IFERROR(
   INDEX(tbl_ProduitsRef[Prix Menu],MATCH(tbl_Ventes[[#This Row],[Produit]],tbl_ProduitsRef[Produit],0)),
   ""
)</f>
        <v/>
      </c>
      <c r="G3805" s="7">
        <f>tbl_Ventes[[#This Row],[Qté Vendue]] * IFERROR(_xlfn.XLOOKUP(tbl_Ventes[[#This Row],[Cde_Prdt]], tbl_Produits[Cde_Prdt], tbl_Produits[Prix Menu]), 0)</f>
        <v>0</v>
      </c>
      <c r="H3805" s="7">
        <f>IFERROR(_xlfn.XLOOKUP(tbl_Ventes[[#This Row],[Cde_Prdt]], tbl_Produits[Cde_Prdt], tbl_Produits[Coût Moyen Portion]), 0)</f>
        <v>0</v>
      </c>
      <c r="I3805" s="7">
        <f>tbl_Ventes[[#This Row],[Qté Vendue]] * tbl_Ventes[[#This Row],[CMP_par_portion]]</f>
        <v>0</v>
      </c>
      <c r="J3805" s="7">
        <f>tbl_Ventes[[#This Row],[CA ligne]] - tbl_Ventes[[#This Row],[Coût matière ligne]]</f>
        <v>0</v>
      </c>
      <c r="K3805" s="7" t="str">
        <f>IFERROR(INDEX(tbl_ProduitsRef[Famille], MATCH(tbl_Ventes[[#This Row],[Cde_Prdt]], tbl_Produits[Cde_Prdt], 0)), "")</f>
        <v/>
      </c>
    </row>
    <row r="3806" spans="1:11" x14ac:dyDescent="0.25">
      <c r="A3806" s="5"/>
      <c r="B3806" s="63" t="str">
        <f>IFERROR(TEXT(tbl_Ventes[[#This Row],[Date]],"mm-aaaa"),"")</f>
        <v>01-1900</v>
      </c>
      <c r="D3806" s="10" t="str">
        <f>IFERROR(
   INDEX(tbl_ProduitsRef[Cde_Prdt],MATCH(tbl_Ventes[[#This Row],[Produit]],tbl_ProduitsRef[Produit],0)),
   ""
)</f>
        <v/>
      </c>
      <c r="E3806" s="7">
        <v>0</v>
      </c>
      <c r="F3806" s="7" t="str">
        <f>IFERROR(
   INDEX(tbl_ProduitsRef[Prix Menu],MATCH(tbl_Ventes[[#This Row],[Produit]],tbl_ProduitsRef[Produit],0)),
   ""
)</f>
        <v/>
      </c>
      <c r="G3806" s="7">
        <f>tbl_Ventes[[#This Row],[Qté Vendue]] * IFERROR(_xlfn.XLOOKUP(tbl_Ventes[[#This Row],[Cde_Prdt]], tbl_Produits[Cde_Prdt], tbl_Produits[Prix Menu]), 0)</f>
        <v>0</v>
      </c>
      <c r="H3806" s="7">
        <f>IFERROR(_xlfn.XLOOKUP(tbl_Ventes[[#This Row],[Cde_Prdt]], tbl_Produits[Cde_Prdt], tbl_Produits[Coût Moyen Portion]), 0)</f>
        <v>0</v>
      </c>
      <c r="I3806" s="7">
        <f>tbl_Ventes[[#This Row],[Qté Vendue]] * tbl_Ventes[[#This Row],[CMP_par_portion]]</f>
        <v>0</v>
      </c>
      <c r="J3806" s="7">
        <f>tbl_Ventes[[#This Row],[CA ligne]] - tbl_Ventes[[#This Row],[Coût matière ligne]]</f>
        <v>0</v>
      </c>
      <c r="K3806" s="7" t="str">
        <f>IFERROR(INDEX(tbl_ProduitsRef[Famille], MATCH(tbl_Ventes[[#This Row],[Cde_Prdt]], tbl_Produits[Cde_Prdt], 0)), "")</f>
        <v/>
      </c>
    </row>
    <row r="3807" spans="1:11" x14ac:dyDescent="0.25">
      <c r="A3807" s="5"/>
      <c r="B3807" s="63" t="str">
        <f>IFERROR(TEXT(tbl_Ventes[[#This Row],[Date]],"mm-aaaa"),"")</f>
        <v>01-1900</v>
      </c>
      <c r="D3807" s="10" t="str">
        <f>IFERROR(
   INDEX(tbl_ProduitsRef[Cde_Prdt],MATCH(tbl_Ventes[[#This Row],[Produit]],tbl_ProduitsRef[Produit],0)),
   ""
)</f>
        <v/>
      </c>
      <c r="E3807" s="7">
        <v>0</v>
      </c>
      <c r="F3807" s="7" t="str">
        <f>IFERROR(
   INDEX(tbl_ProduitsRef[Prix Menu],MATCH(tbl_Ventes[[#This Row],[Produit]],tbl_ProduitsRef[Produit],0)),
   ""
)</f>
        <v/>
      </c>
      <c r="G3807" s="7">
        <f>tbl_Ventes[[#This Row],[Qté Vendue]] * IFERROR(_xlfn.XLOOKUP(tbl_Ventes[[#This Row],[Cde_Prdt]], tbl_Produits[Cde_Prdt], tbl_Produits[Prix Menu]), 0)</f>
        <v>0</v>
      </c>
      <c r="H3807" s="7">
        <f>IFERROR(_xlfn.XLOOKUP(tbl_Ventes[[#This Row],[Cde_Prdt]], tbl_Produits[Cde_Prdt], tbl_Produits[Coût Moyen Portion]), 0)</f>
        <v>0</v>
      </c>
      <c r="I3807" s="7">
        <f>tbl_Ventes[[#This Row],[Qté Vendue]] * tbl_Ventes[[#This Row],[CMP_par_portion]]</f>
        <v>0</v>
      </c>
      <c r="J3807" s="7">
        <f>tbl_Ventes[[#This Row],[CA ligne]] - tbl_Ventes[[#This Row],[Coût matière ligne]]</f>
        <v>0</v>
      </c>
      <c r="K3807" s="7" t="str">
        <f>IFERROR(INDEX(tbl_ProduitsRef[Famille], MATCH(tbl_Ventes[[#This Row],[Cde_Prdt]], tbl_Produits[Cde_Prdt], 0)), "")</f>
        <v/>
      </c>
    </row>
    <row r="3808" spans="1:11" x14ac:dyDescent="0.25">
      <c r="A3808" s="5"/>
      <c r="B3808" s="63" t="str">
        <f>IFERROR(TEXT(tbl_Ventes[[#This Row],[Date]],"mm-aaaa"),"")</f>
        <v>01-1900</v>
      </c>
      <c r="D3808" s="10" t="str">
        <f>IFERROR(
   INDEX(tbl_ProduitsRef[Cde_Prdt],MATCH(tbl_Ventes[[#This Row],[Produit]],tbl_ProduitsRef[Produit],0)),
   ""
)</f>
        <v/>
      </c>
      <c r="E3808" s="7">
        <v>0</v>
      </c>
      <c r="F3808" s="7" t="str">
        <f>IFERROR(
   INDEX(tbl_ProduitsRef[Prix Menu],MATCH(tbl_Ventes[[#This Row],[Produit]],tbl_ProduitsRef[Produit],0)),
   ""
)</f>
        <v/>
      </c>
      <c r="G3808" s="7">
        <f>tbl_Ventes[[#This Row],[Qté Vendue]] * IFERROR(_xlfn.XLOOKUP(tbl_Ventes[[#This Row],[Cde_Prdt]], tbl_Produits[Cde_Prdt], tbl_Produits[Prix Menu]), 0)</f>
        <v>0</v>
      </c>
      <c r="H3808" s="7">
        <f>IFERROR(_xlfn.XLOOKUP(tbl_Ventes[[#This Row],[Cde_Prdt]], tbl_Produits[Cde_Prdt], tbl_Produits[Coût Moyen Portion]), 0)</f>
        <v>0</v>
      </c>
      <c r="I3808" s="7">
        <f>tbl_Ventes[[#This Row],[Qté Vendue]] * tbl_Ventes[[#This Row],[CMP_par_portion]]</f>
        <v>0</v>
      </c>
      <c r="J3808" s="7">
        <f>tbl_Ventes[[#This Row],[CA ligne]] - tbl_Ventes[[#This Row],[Coût matière ligne]]</f>
        <v>0</v>
      </c>
      <c r="K3808" s="7" t="str">
        <f>IFERROR(INDEX(tbl_ProduitsRef[Famille], MATCH(tbl_Ventes[[#This Row],[Cde_Prdt]], tbl_Produits[Cde_Prdt], 0)), "")</f>
        <v/>
      </c>
    </row>
    <row r="3809" spans="1:11" x14ac:dyDescent="0.25">
      <c r="A3809" s="5"/>
      <c r="B3809" s="63" t="str">
        <f>IFERROR(TEXT(tbl_Ventes[[#This Row],[Date]],"mm-aaaa"),"")</f>
        <v>01-1900</v>
      </c>
      <c r="D3809" s="10" t="str">
        <f>IFERROR(
   INDEX(tbl_ProduitsRef[Cde_Prdt],MATCH(tbl_Ventes[[#This Row],[Produit]],tbl_ProduitsRef[Produit],0)),
   ""
)</f>
        <v/>
      </c>
      <c r="E3809" s="7">
        <v>0</v>
      </c>
      <c r="F3809" s="7" t="str">
        <f>IFERROR(
   INDEX(tbl_ProduitsRef[Prix Menu],MATCH(tbl_Ventes[[#This Row],[Produit]],tbl_ProduitsRef[Produit],0)),
   ""
)</f>
        <v/>
      </c>
      <c r="G3809" s="7">
        <f>tbl_Ventes[[#This Row],[Qté Vendue]] * IFERROR(_xlfn.XLOOKUP(tbl_Ventes[[#This Row],[Cde_Prdt]], tbl_Produits[Cde_Prdt], tbl_Produits[Prix Menu]), 0)</f>
        <v>0</v>
      </c>
      <c r="H3809" s="7">
        <f>IFERROR(_xlfn.XLOOKUP(tbl_Ventes[[#This Row],[Cde_Prdt]], tbl_Produits[Cde_Prdt], tbl_Produits[Coût Moyen Portion]), 0)</f>
        <v>0</v>
      </c>
      <c r="I3809" s="7">
        <f>tbl_Ventes[[#This Row],[Qté Vendue]] * tbl_Ventes[[#This Row],[CMP_par_portion]]</f>
        <v>0</v>
      </c>
      <c r="J3809" s="7">
        <f>tbl_Ventes[[#This Row],[CA ligne]] - tbl_Ventes[[#This Row],[Coût matière ligne]]</f>
        <v>0</v>
      </c>
      <c r="K3809" s="7" t="str">
        <f>IFERROR(INDEX(tbl_ProduitsRef[Famille], MATCH(tbl_Ventes[[#This Row],[Cde_Prdt]], tbl_Produits[Cde_Prdt], 0)), "")</f>
        <v/>
      </c>
    </row>
    <row r="3810" spans="1:11" x14ac:dyDescent="0.25">
      <c r="A3810" s="5"/>
      <c r="B3810" s="63" t="str">
        <f>IFERROR(TEXT(tbl_Ventes[[#This Row],[Date]],"mm-aaaa"),"")</f>
        <v>01-1900</v>
      </c>
      <c r="D3810" s="10" t="str">
        <f>IFERROR(
   INDEX(tbl_ProduitsRef[Cde_Prdt],MATCH(tbl_Ventes[[#This Row],[Produit]],tbl_ProduitsRef[Produit],0)),
   ""
)</f>
        <v/>
      </c>
      <c r="E3810" s="7">
        <v>0</v>
      </c>
      <c r="F3810" s="7" t="str">
        <f>IFERROR(
   INDEX(tbl_ProduitsRef[Prix Menu],MATCH(tbl_Ventes[[#This Row],[Produit]],tbl_ProduitsRef[Produit],0)),
   ""
)</f>
        <v/>
      </c>
      <c r="G3810" s="7">
        <f>tbl_Ventes[[#This Row],[Qté Vendue]] * IFERROR(_xlfn.XLOOKUP(tbl_Ventes[[#This Row],[Cde_Prdt]], tbl_Produits[Cde_Prdt], tbl_Produits[Prix Menu]), 0)</f>
        <v>0</v>
      </c>
      <c r="H3810" s="7">
        <f>IFERROR(_xlfn.XLOOKUP(tbl_Ventes[[#This Row],[Cde_Prdt]], tbl_Produits[Cde_Prdt], tbl_Produits[Coût Moyen Portion]), 0)</f>
        <v>0</v>
      </c>
      <c r="I3810" s="7">
        <f>tbl_Ventes[[#This Row],[Qté Vendue]] * tbl_Ventes[[#This Row],[CMP_par_portion]]</f>
        <v>0</v>
      </c>
      <c r="J3810" s="7">
        <f>tbl_Ventes[[#This Row],[CA ligne]] - tbl_Ventes[[#This Row],[Coût matière ligne]]</f>
        <v>0</v>
      </c>
      <c r="K3810" s="7" t="str">
        <f>IFERROR(INDEX(tbl_ProduitsRef[Famille], MATCH(tbl_Ventes[[#This Row],[Cde_Prdt]], tbl_Produits[Cde_Prdt], 0)), "")</f>
        <v/>
      </c>
    </row>
    <row r="3811" spans="1:11" x14ac:dyDescent="0.25">
      <c r="A3811" s="5"/>
      <c r="B3811" s="63" t="str">
        <f>IFERROR(TEXT(tbl_Ventes[[#This Row],[Date]],"mm-aaaa"),"")</f>
        <v>01-1900</v>
      </c>
      <c r="D3811" s="10" t="str">
        <f>IFERROR(
   INDEX(tbl_ProduitsRef[Cde_Prdt],MATCH(tbl_Ventes[[#This Row],[Produit]],tbl_ProduitsRef[Produit],0)),
   ""
)</f>
        <v/>
      </c>
      <c r="E3811" s="7">
        <v>0</v>
      </c>
      <c r="F3811" s="7" t="str">
        <f>IFERROR(
   INDEX(tbl_ProduitsRef[Prix Menu],MATCH(tbl_Ventes[[#This Row],[Produit]],tbl_ProduitsRef[Produit],0)),
   ""
)</f>
        <v/>
      </c>
      <c r="G3811" s="7">
        <f>tbl_Ventes[[#This Row],[Qté Vendue]] * IFERROR(_xlfn.XLOOKUP(tbl_Ventes[[#This Row],[Cde_Prdt]], tbl_Produits[Cde_Prdt], tbl_Produits[Prix Menu]), 0)</f>
        <v>0</v>
      </c>
      <c r="H3811" s="7">
        <f>IFERROR(_xlfn.XLOOKUP(tbl_Ventes[[#This Row],[Cde_Prdt]], tbl_Produits[Cde_Prdt], tbl_Produits[Coût Moyen Portion]), 0)</f>
        <v>0</v>
      </c>
      <c r="I3811" s="7">
        <f>tbl_Ventes[[#This Row],[Qté Vendue]] * tbl_Ventes[[#This Row],[CMP_par_portion]]</f>
        <v>0</v>
      </c>
      <c r="J3811" s="7">
        <f>tbl_Ventes[[#This Row],[CA ligne]] - tbl_Ventes[[#This Row],[Coût matière ligne]]</f>
        <v>0</v>
      </c>
      <c r="K3811" s="7" t="str">
        <f>IFERROR(INDEX(tbl_ProduitsRef[Famille], MATCH(tbl_Ventes[[#This Row],[Cde_Prdt]], tbl_Produits[Cde_Prdt], 0)), "")</f>
        <v/>
      </c>
    </row>
    <row r="3812" spans="1:11" x14ac:dyDescent="0.25">
      <c r="A3812" s="5"/>
      <c r="B3812" s="63" t="str">
        <f>IFERROR(TEXT(tbl_Ventes[[#This Row],[Date]],"mm-aaaa"),"")</f>
        <v>01-1900</v>
      </c>
      <c r="D3812" s="10" t="str">
        <f>IFERROR(
   INDEX(tbl_ProduitsRef[Cde_Prdt],MATCH(tbl_Ventes[[#This Row],[Produit]],tbl_ProduitsRef[Produit],0)),
   ""
)</f>
        <v/>
      </c>
      <c r="E3812" s="7">
        <v>0</v>
      </c>
      <c r="F3812" s="7" t="str">
        <f>IFERROR(
   INDEX(tbl_ProduitsRef[Prix Menu],MATCH(tbl_Ventes[[#This Row],[Produit]],tbl_ProduitsRef[Produit],0)),
   ""
)</f>
        <v/>
      </c>
      <c r="G3812" s="7">
        <f>tbl_Ventes[[#This Row],[Qté Vendue]] * IFERROR(_xlfn.XLOOKUP(tbl_Ventes[[#This Row],[Cde_Prdt]], tbl_Produits[Cde_Prdt], tbl_Produits[Prix Menu]), 0)</f>
        <v>0</v>
      </c>
      <c r="H3812" s="7">
        <f>IFERROR(_xlfn.XLOOKUP(tbl_Ventes[[#This Row],[Cde_Prdt]], tbl_Produits[Cde_Prdt], tbl_Produits[Coût Moyen Portion]), 0)</f>
        <v>0</v>
      </c>
      <c r="I3812" s="7">
        <f>tbl_Ventes[[#This Row],[Qté Vendue]] * tbl_Ventes[[#This Row],[CMP_par_portion]]</f>
        <v>0</v>
      </c>
      <c r="J3812" s="7">
        <f>tbl_Ventes[[#This Row],[CA ligne]] - tbl_Ventes[[#This Row],[Coût matière ligne]]</f>
        <v>0</v>
      </c>
      <c r="K3812" s="7" t="str">
        <f>IFERROR(INDEX(tbl_ProduitsRef[Famille], MATCH(tbl_Ventes[[#This Row],[Cde_Prdt]], tbl_Produits[Cde_Prdt], 0)), "")</f>
        <v/>
      </c>
    </row>
    <row r="3813" spans="1:11" x14ac:dyDescent="0.25">
      <c r="A3813" s="5"/>
      <c r="B3813" s="63" t="str">
        <f>IFERROR(TEXT(tbl_Ventes[[#This Row],[Date]],"mm-aaaa"),"")</f>
        <v>01-1900</v>
      </c>
      <c r="D3813" s="10" t="str">
        <f>IFERROR(
   INDEX(tbl_ProduitsRef[Cde_Prdt],MATCH(tbl_Ventes[[#This Row],[Produit]],tbl_ProduitsRef[Produit],0)),
   ""
)</f>
        <v/>
      </c>
      <c r="E3813" s="7">
        <v>0</v>
      </c>
      <c r="F3813" s="7" t="str">
        <f>IFERROR(
   INDEX(tbl_ProduitsRef[Prix Menu],MATCH(tbl_Ventes[[#This Row],[Produit]],tbl_ProduitsRef[Produit],0)),
   ""
)</f>
        <v/>
      </c>
      <c r="G3813" s="7">
        <f>tbl_Ventes[[#This Row],[Qté Vendue]] * IFERROR(_xlfn.XLOOKUP(tbl_Ventes[[#This Row],[Cde_Prdt]], tbl_Produits[Cde_Prdt], tbl_Produits[Prix Menu]), 0)</f>
        <v>0</v>
      </c>
      <c r="H3813" s="7">
        <f>IFERROR(_xlfn.XLOOKUP(tbl_Ventes[[#This Row],[Cde_Prdt]], tbl_Produits[Cde_Prdt], tbl_Produits[Coût Moyen Portion]), 0)</f>
        <v>0</v>
      </c>
      <c r="I3813" s="7">
        <f>tbl_Ventes[[#This Row],[Qté Vendue]] * tbl_Ventes[[#This Row],[CMP_par_portion]]</f>
        <v>0</v>
      </c>
      <c r="J3813" s="7">
        <f>tbl_Ventes[[#This Row],[CA ligne]] - tbl_Ventes[[#This Row],[Coût matière ligne]]</f>
        <v>0</v>
      </c>
      <c r="K3813" s="7" t="str">
        <f>IFERROR(INDEX(tbl_ProduitsRef[Famille], MATCH(tbl_Ventes[[#This Row],[Cde_Prdt]], tbl_Produits[Cde_Prdt], 0)), "")</f>
        <v/>
      </c>
    </row>
    <row r="3814" spans="1:11" x14ac:dyDescent="0.25">
      <c r="A3814" s="5"/>
      <c r="B3814" s="63" t="str">
        <f>IFERROR(TEXT(tbl_Ventes[[#This Row],[Date]],"mm-aaaa"),"")</f>
        <v>01-1900</v>
      </c>
      <c r="D3814" s="10" t="str">
        <f>IFERROR(
   INDEX(tbl_ProduitsRef[Cde_Prdt],MATCH(tbl_Ventes[[#This Row],[Produit]],tbl_ProduitsRef[Produit],0)),
   ""
)</f>
        <v/>
      </c>
      <c r="E3814" s="7">
        <v>0</v>
      </c>
      <c r="F3814" s="7" t="str">
        <f>IFERROR(
   INDEX(tbl_ProduitsRef[Prix Menu],MATCH(tbl_Ventes[[#This Row],[Produit]],tbl_ProduitsRef[Produit],0)),
   ""
)</f>
        <v/>
      </c>
      <c r="G3814" s="7">
        <f>tbl_Ventes[[#This Row],[Qté Vendue]] * IFERROR(_xlfn.XLOOKUP(tbl_Ventes[[#This Row],[Cde_Prdt]], tbl_Produits[Cde_Prdt], tbl_Produits[Prix Menu]), 0)</f>
        <v>0</v>
      </c>
      <c r="H3814" s="7">
        <f>IFERROR(_xlfn.XLOOKUP(tbl_Ventes[[#This Row],[Cde_Prdt]], tbl_Produits[Cde_Prdt], tbl_Produits[Coût Moyen Portion]), 0)</f>
        <v>0</v>
      </c>
      <c r="I3814" s="7">
        <f>tbl_Ventes[[#This Row],[Qté Vendue]] * tbl_Ventes[[#This Row],[CMP_par_portion]]</f>
        <v>0</v>
      </c>
      <c r="J3814" s="7">
        <f>tbl_Ventes[[#This Row],[CA ligne]] - tbl_Ventes[[#This Row],[Coût matière ligne]]</f>
        <v>0</v>
      </c>
      <c r="K3814" s="7" t="str">
        <f>IFERROR(INDEX(tbl_ProduitsRef[Famille], MATCH(tbl_Ventes[[#This Row],[Cde_Prdt]], tbl_Produits[Cde_Prdt], 0)), "")</f>
        <v/>
      </c>
    </row>
    <row r="3815" spans="1:11" x14ac:dyDescent="0.25">
      <c r="A3815" s="5"/>
      <c r="B3815" s="63" t="str">
        <f>IFERROR(TEXT(tbl_Ventes[[#This Row],[Date]],"mm-aaaa"),"")</f>
        <v>01-1900</v>
      </c>
      <c r="D3815" s="10" t="str">
        <f>IFERROR(
   INDEX(tbl_ProduitsRef[Cde_Prdt],MATCH(tbl_Ventes[[#This Row],[Produit]],tbl_ProduitsRef[Produit],0)),
   ""
)</f>
        <v/>
      </c>
      <c r="E3815" s="7">
        <v>0</v>
      </c>
      <c r="F3815" s="7" t="str">
        <f>IFERROR(
   INDEX(tbl_ProduitsRef[Prix Menu],MATCH(tbl_Ventes[[#This Row],[Produit]],tbl_ProduitsRef[Produit],0)),
   ""
)</f>
        <v/>
      </c>
      <c r="G3815" s="7">
        <f>tbl_Ventes[[#This Row],[Qté Vendue]] * IFERROR(_xlfn.XLOOKUP(tbl_Ventes[[#This Row],[Cde_Prdt]], tbl_Produits[Cde_Prdt], tbl_Produits[Prix Menu]), 0)</f>
        <v>0</v>
      </c>
      <c r="H3815" s="7">
        <f>IFERROR(_xlfn.XLOOKUP(tbl_Ventes[[#This Row],[Cde_Prdt]], tbl_Produits[Cde_Prdt], tbl_Produits[Coût Moyen Portion]), 0)</f>
        <v>0</v>
      </c>
      <c r="I3815" s="7">
        <f>tbl_Ventes[[#This Row],[Qté Vendue]] * tbl_Ventes[[#This Row],[CMP_par_portion]]</f>
        <v>0</v>
      </c>
      <c r="J3815" s="7">
        <f>tbl_Ventes[[#This Row],[CA ligne]] - tbl_Ventes[[#This Row],[Coût matière ligne]]</f>
        <v>0</v>
      </c>
      <c r="K3815" s="7" t="str">
        <f>IFERROR(INDEX(tbl_ProduitsRef[Famille], MATCH(tbl_Ventes[[#This Row],[Cde_Prdt]], tbl_Produits[Cde_Prdt], 0)), "")</f>
        <v/>
      </c>
    </row>
    <row r="3816" spans="1:11" x14ac:dyDescent="0.25">
      <c r="A3816" s="5"/>
      <c r="B3816" s="63" t="str">
        <f>IFERROR(TEXT(tbl_Ventes[[#This Row],[Date]],"mm-aaaa"),"")</f>
        <v>01-1900</v>
      </c>
      <c r="D3816" s="10" t="str">
        <f>IFERROR(
   INDEX(tbl_ProduitsRef[Cde_Prdt],MATCH(tbl_Ventes[[#This Row],[Produit]],tbl_ProduitsRef[Produit],0)),
   ""
)</f>
        <v/>
      </c>
      <c r="E3816" s="7">
        <v>0</v>
      </c>
      <c r="F3816" s="7" t="str">
        <f>IFERROR(
   INDEX(tbl_ProduitsRef[Prix Menu],MATCH(tbl_Ventes[[#This Row],[Produit]],tbl_ProduitsRef[Produit],0)),
   ""
)</f>
        <v/>
      </c>
      <c r="G3816" s="7">
        <f>tbl_Ventes[[#This Row],[Qté Vendue]] * IFERROR(_xlfn.XLOOKUP(tbl_Ventes[[#This Row],[Cde_Prdt]], tbl_Produits[Cde_Prdt], tbl_Produits[Prix Menu]), 0)</f>
        <v>0</v>
      </c>
      <c r="H3816" s="7">
        <f>IFERROR(_xlfn.XLOOKUP(tbl_Ventes[[#This Row],[Cde_Prdt]], tbl_Produits[Cde_Prdt], tbl_Produits[Coût Moyen Portion]), 0)</f>
        <v>0</v>
      </c>
      <c r="I3816" s="7">
        <f>tbl_Ventes[[#This Row],[Qté Vendue]] * tbl_Ventes[[#This Row],[CMP_par_portion]]</f>
        <v>0</v>
      </c>
      <c r="J3816" s="7">
        <f>tbl_Ventes[[#This Row],[CA ligne]] - tbl_Ventes[[#This Row],[Coût matière ligne]]</f>
        <v>0</v>
      </c>
      <c r="K3816" s="7" t="str">
        <f>IFERROR(INDEX(tbl_ProduitsRef[Famille], MATCH(tbl_Ventes[[#This Row],[Cde_Prdt]], tbl_Produits[Cde_Prdt], 0)), "")</f>
        <v/>
      </c>
    </row>
    <row r="3817" spans="1:11" x14ac:dyDescent="0.25">
      <c r="A3817" s="5"/>
      <c r="B3817" s="63" t="str">
        <f>IFERROR(TEXT(tbl_Ventes[[#This Row],[Date]],"mm-aaaa"),"")</f>
        <v>01-1900</v>
      </c>
      <c r="D3817" s="10" t="str">
        <f>IFERROR(
   INDEX(tbl_ProduitsRef[Cde_Prdt],MATCH(tbl_Ventes[[#This Row],[Produit]],tbl_ProduitsRef[Produit],0)),
   ""
)</f>
        <v/>
      </c>
      <c r="E3817" s="7">
        <v>0</v>
      </c>
      <c r="F3817" s="7" t="str">
        <f>IFERROR(
   INDEX(tbl_ProduitsRef[Prix Menu],MATCH(tbl_Ventes[[#This Row],[Produit]],tbl_ProduitsRef[Produit],0)),
   ""
)</f>
        <v/>
      </c>
      <c r="G3817" s="7">
        <f>tbl_Ventes[[#This Row],[Qté Vendue]] * IFERROR(_xlfn.XLOOKUP(tbl_Ventes[[#This Row],[Cde_Prdt]], tbl_Produits[Cde_Prdt], tbl_Produits[Prix Menu]), 0)</f>
        <v>0</v>
      </c>
      <c r="H3817" s="7">
        <f>IFERROR(_xlfn.XLOOKUP(tbl_Ventes[[#This Row],[Cde_Prdt]], tbl_Produits[Cde_Prdt], tbl_Produits[Coût Moyen Portion]), 0)</f>
        <v>0</v>
      </c>
      <c r="I3817" s="7">
        <f>tbl_Ventes[[#This Row],[Qté Vendue]] * tbl_Ventes[[#This Row],[CMP_par_portion]]</f>
        <v>0</v>
      </c>
      <c r="J3817" s="7">
        <f>tbl_Ventes[[#This Row],[CA ligne]] - tbl_Ventes[[#This Row],[Coût matière ligne]]</f>
        <v>0</v>
      </c>
      <c r="K3817" s="7" t="str">
        <f>IFERROR(INDEX(tbl_ProduitsRef[Famille], MATCH(tbl_Ventes[[#This Row],[Cde_Prdt]], tbl_Produits[Cde_Prdt], 0)), "")</f>
        <v/>
      </c>
    </row>
    <row r="3818" spans="1:11" x14ac:dyDescent="0.25">
      <c r="A3818" s="5"/>
      <c r="B3818" s="63" t="str">
        <f>IFERROR(TEXT(tbl_Ventes[[#This Row],[Date]],"mm-aaaa"),"")</f>
        <v>01-1900</v>
      </c>
      <c r="D3818" s="10" t="str">
        <f>IFERROR(
   INDEX(tbl_ProduitsRef[Cde_Prdt],MATCH(tbl_Ventes[[#This Row],[Produit]],tbl_ProduitsRef[Produit],0)),
   ""
)</f>
        <v/>
      </c>
      <c r="E3818" s="7">
        <v>0</v>
      </c>
      <c r="F3818" s="7" t="str">
        <f>IFERROR(
   INDEX(tbl_ProduitsRef[Prix Menu],MATCH(tbl_Ventes[[#This Row],[Produit]],tbl_ProduitsRef[Produit],0)),
   ""
)</f>
        <v/>
      </c>
      <c r="G3818" s="7">
        <f>tbl_Ventes[[#This Row],[Qté Vendue]] * IFERROR(_xlfn.XLOOKUP(tbl_Ventes[[#This Row],[Cde_Prdt]], tbl_Produits[Cde_Prdt], tbl_Produits[Prix Menu]), 0)</f>
        <v>0</v>
      </c>
      <c r="H3818" s="7">
        <f>IFERROR(_xlfn.XLOOKUP(tbl_Ventes[[#This Row],[Cde_Prdt]], tbl_Produits[Cde_Prdt], tbl_Produits[Coût Moyen Portion]), 0)</f>
        <v>0</v>
      </c>
      <c r="I3818" s="7">
        <f>tbl_Ventes[[#This Row],[Qté Vendue]] * tbl_Ventes[[#This Row],[CMP_par_portion]]</f>
        <v>0</v>
      </c>
      <c r="J3818" s="7">
        <f>tbl_Ventes[[#This Row],[CA ligne]] - tbl_Ventes[[#This Row],[Coût matière ligne]]</f>
        <v>0</v>
      </c>
      <c r="K3818" s="7" t="str">
        <f>IFERROR(INDEX(tbl_ProduitsRef[Famille], MATCH(tbl_Ventes[[#This Row],[Cde_Prdt]], tbl_Produits[Cde_Prdt], 0)), "")</f>
        <v/>
      </c>
    </row>
    <row r="3819" spans="1:11" x14ac:dyDescent="0.25">
      <c r="A3819" s="5"/>
      <c r="B3819" s="63" t="str">
        <f>IFERROR(TEXT(tbl_Ventes[[#This Row],[Date]],"mm-aaaa"),"")</f>
        <v>01-1900</v>
      </c>
      <c r="D3819" s="10" t="str">
        <f>IFERROR(
   INDEX(tbl_ProduitsRef[Cde_Prdt],MATCH(tbl_Ventes[[#This Row],[Produit]],tbl_ProduitsRef[Produit],0)),
   ""
)</f>
        <v/>
      </c>
      <c r="E3819" s="7">
        <v>0</v>
      </c>
      <c r="F3819" s="7" t="str">
        <f>IFERROR(
   INDEX(tbl_ProduitsRef[Prix Menu],MATCH(tbl_Ventes[[#This Row],[Produit]],tbl_ProduitsRef[Produit],0)),
   ""
)</f>
        <v/>
      </c>
      <c r="G3819" s="7">
        <f>tbl_Ventes[[#This Row],[Qté Vendue]] * IFERROR(_xlfn.XLOOKUP(tbl_Ventes[[#This Row],[Cde_Prdt]], tbl_Produits[Cde_Prdt], tbl_Produits[Prix Menu]), 0)</f>
        <v>0</v>
      </c>
      <c r="H3819" s="7">
        <f>IFERROR(_xlfn.XLOOKUP(tbl_Ventes[[#This Row],[Cde_Prdt]], tbl_Produits[Cde_Prdt], tbl_Produits[Coût Moyen Portion]), 0)</f>
        <v>0</v>
      </c>
      <c r="I3819" s="7">
        <f>tbl_Ventes[[#This Row],[Qté Vendue]] * tbl_Ventes[[#This Row],[CMP_par_portion]]</f>
        <v>0</v>
      </c>
      <c r="J3819" s="7">
        <f>tbl_Ventes[[#This Row],[CA ligne]] - tbl_Ventes[[#This Row],[Coût matière ligne]]</f>
        <v>0</v>
      </c>
      <c r="K3819" s="7" t="str">
        <f>IFERROR(INDEX(tbl_ProduitsRef[Famille], MATCH(tbl_Ventes[[#This Row],[Cde_Prdt]], tbl_Produits[Cde_Prdt], 0)), "")</f>
        <v/>
      </c>
    </row>
    <row r="3820" spans="1:11" x14ac:dyDescent="0.25">
      <c r="A3820" s="5"/>
      <c r="B3820" s="63" t="str">
        <f>IFERROR(TEXT(tbl_Ventes[[#This Row],[Date]],"mm-aaaa"),"")</f>
        <v>01-1900</v>
      </c>
      <c r="D3820" s="10" t="str">
        <f>IFERROR(
   INDEX(tbl_ProduitsRef[Cde_Prdt],MATCH(tbl_Ventes[[#This Row],[Produit]],tbl_ProduitsRef[Produit],0)),
   ""
)</f>
        <v/>
      </c>
      <c r="E3820" s="7">
        <v>0</v>
      </c>
      <c r="F3820" s="7" t="str">
        <f>IFERROR(
   INDEX(tbl_ProduitsRef[Prix Menu],MATCH(tbl_Ventes[[#This Row],[Produit]],tbl_ProduitsRef[Produit],0)),
   ""
)</f>
        <v/>
      </c>
      <c r="G3820" s="7">
        <f>tbl_Ventes[[#This Row],[Qté Vendue]] * IFERROR(_xlfn.XLOOKUP(tbl_Ventes[[#This Row],[Cde_Prdt]], tbl_Produits[Cde_Prdt], tbl_Produits[Prix Menu]), 0)</f>
        <v>0</v>
      </c>
      <c r="H3820" s="7">
        <f>IFERROR(_xlfn.XLOOKUP(tbl_Ventes[[#This Row],[Cde_Prdt]], tbl_Produits[Cde_Prdt], tbl_Produits[Coût Moyen Portion]), 0)</f>
        <v>0</v>
      </c>
      <c r="I3820" s="7">
        <f>tbl_Ventes[[#This Row],[Qté Vendue]] * tbl_Ventes[[#This Row],[CMP_par_portion]]</f>
        <v>0</v>
      </c>
      <c r="J3820" s="7">
        <f>tbl_Ventes[[#This Row],[CA ligne]] - tbl_Ventes[[#This Row],[Coût matière ligne]]</f>
        <v>0</v>
      </c>
      <c r="K3820" s="7" t="str">
        <f>IFERROR(INDEX(tbl_ProduitsRef[Famille], MATCH(tbl_Ventes[[#This Row],[Cde_Prdt]], tbl_Produits[Cde_Prdt], 0)), "")</f>
        <v/>
      </c>
    </row>
    <row r="3821" spans="1:11" x14ac:dyDescent="0.25">
      <c r="A3821" s="5"/>
      <c r="B3821" s="63" t="str">
        <f>IFERROR(TEXT(tbl_Ventes[[#This Row],[Date]],"mm-aaaa"),"")</f>
        <v>01-1900</v>
      </c>
      <c r="D3821" s="10" t="str">
        <f>IFERROR(
   INDEX(tbl_ProduitsRef[Cde_Prdt],MATCH(tbl_Ventes[[#This Row],[Produit]],tbl_ProduitsRef[Produit],0)),
   ""
)</f>
        <v/>
      </c>
      <c r="E3821" s="7">
        <v>0</v>
      </c>
      <c r="F3821" s="7" t="str">
        <f>IFERROR(
   INDEX(tbl_ProduitsRef[Prix Menu],MATCH(tbl_Ventes[[#This Row],[Produit]],tbl_ProduitsRef[Produit],0)),
   ""
)</f>
        <v/>
      </c>
      <c r="G3821" s="7">
        <f>tbl_Ventes[[#This Row],[Qté Vendue]] * IFERROR(_xlfn.XLOOKUP(tbl_Ventes[[#This Row],[Cde_Prdt]], tbl_Produits[Cde_Prdt], tbl_Produits[Prix Menu]), 0)</f>
        <v>0</v>
      </c>
      <c r="H3821" s="7">
        <f>IFERROR(_xlfn.XLOOKUP(tbl_Ventes[[#This Row],[Cde_Prdt]], tbl_Produits[Cde_Prdt], tbl_Produits[Coût Moyen Portion]), 0)</f>
        <v>0</v>
      </c>
      <c r="I3821" s="7">
        <f>tbl_Ventes[[#This Row],[Qté Vendue]] * tbl_Ventes[[#This Row],[CMP_par_portion]]</f>
        <v>0</v>
      </c>
      <c r="J3821" s="7">
        <f>tbl_Ventes[[#This Row],[CA ligne]] - tbl_Ventes[[#This Row],[Coût matière ligne]]</f>
        <v>0</v>
      </c>
      <c r="K3821" s="7" t="str">
        <f>IFERROR(INDEX(tbl_ProduitsRef[Famille], MATCH(tbl_Ventes[[#This Row],[Cde_Prdt]], tbl_Produits[Cde_Prdt], 0)), "")</f>
        <v/>
      </c>
    </row>
    <row r="3822" spans="1:11" x14ac:dyDescent="0.25">
      <c r="A3822" s="5"/>
      <c r="B3822" s="63" t="str">
        <f>IFERROR(TEXT(tbl_Ventes[[#This Row],[Date]],"mm-aaaa"),"")</f>
        <v>01-1900</v>
      </c>
      <c r="D3822" s="10" t="str">
        <f>IFERROR(
   INDEX(tbl_ProduitsRef[Cde_Prdt],MATCH(tbl_Ventes[[#This Row],[Produit]],tbl_ProduitsRef[Produit],0)),
   ""
)</f>
        <v/>
      </c>
      <c r="E3822" s="7">
        <v>0</v>
      </c>
      <c r="F3822" s="7" t="str">
        <f>IFERROR(
   INDEX(tbl_ProduitsRef[Prix Menu],MATCH(tbl_Ventes[[#This Row],[Produit]],tbl_ProduitsRef[Produit],0)),
   ""
)</f>
        <v/>
      </c>
      <c r="G3822" s="7">
        <f>tbl_Ventes[[#This Row],[Qté Vendue]] * IFERROR(_xlfn.XLOOKUP(tbl_Ventes[[#This Row],[Cde_Prdt]], tbl_Produits[Cde_Prdt], tbl_Produits[Prix Menu]), 0)</f>
        <v>0</v>
      </c>
      <c r="H3822" s="7">
        <f>IFERROR(_xlfn.XLOOKUP(tbl_Ventes[[#This Row],[Cde_Prdt]], tbl_Produits[Cde_Prdt], tbl_Produits[Coût Moyen Portion]), 0)</f>
        <v>0</v>
      </c>
      <c r="I3822" s="7">
        <f>tbl_Ventes[[#This Row],[Qté Vendue]] * tbl_Ventes[[#This Row],[CMP_par_portion]]</f>
        <v>0</v>
      </c>
      <c r="J3822" s="7">
        <f>tbl_Ventes[[#This Row],[CA ligne]] - tbl_Ventes[[#This Row],[Coût matière ligne]]</f>
        <v>0</v>
      </c>
      <c r="K3822" s="7" t="str">
        <f>IFERROR(INDEX(tbl_ProduitsRef[Famille], MATCH(tbl_Ventes[[#This Row],[Cde_Prdt]], tbl_Produits[Cde_Prdt], 0)), "")</f>
        <v/>
      </c>
    </row>
    <row r="3823" spans="1:11" x14ac:dyDescent="0.25">
      <c r="A3823" s="5"/>
      <c r="B3823" s="63" t="str">
        <f>IFERROR(TEXT(tbl_Ventes[[#This Row],[Date]],"mm-aaaa"),"")</f>
        <v>01-1900</v>
      </c>
      <c r="D3823" s="10" t="str">
        <f>IFERROR(
   INDEX(tbl_ProduitsRef[Cde_Prdt],MATCH(tbl_Ventes[[#This Row],[Produit]],tbl_ProduitsRef[Produit],0)),
   ""
)</f>
        <v/>
      </c>
      <c r="E3823" s="7">
        <v>0</v>
      </c>
      <c r="F3823" s="7" t="str">
        <f>IFERROR(
   INDEX(tbl_ProduitsRef[Prix Menu],MATCH(tbl_Ventes[[#This Row],[Produit]],tbl_ProduitsRef[Produit],0)),
   ""
)</f>
        <v/>
      </c>
      <c r="G3823" s="7">
        <f>tbl_Ventes[[#This Row],[Qté Vendue]] * IFERROR(_xlfn.XLOOKUP(tbl_Ventes[[#This Row],[Cde_Prdt]], tbl_Produits[Cde_Prdt], tbl_Produits[Prix Menu]), 0)</f>
        <v>0</v>
      </c>
      <c r="H3823" s="7">
        <f>IFERROR(_xlfn.XLOOKUP(tbl_Ventes[[#This Row],[Cde_Prdt]], tbl_Produits[Cde_Prdt], tbl_Produits[Coût Moyen Portion]), 0)</f>
        <v>0</v>
      </c>
      <c r="I3823" s="7">
        <f>tbl_Ventes[[#This Row],[Qté Vendue]] * tbl_Ventes[[#This Row],[CMP_par_portion]]</f>
        <v>0</v>
      </c>
      <c r="J3823" s="7">
        <f>tbl_Ventes[[#This Row],[CA ligne]] - tbl_Ventes[[#This Row],[Coût matière ligne]]</f>
        <v>0</v>
      </c>
      <c r="K3823" s="7" t="str">
        <f>IFERROR(INDEX(tbl_ProduitsRef[Famille], MATCH(tbl_Ventes[[#This Row],[Cde_Prdt]], tbl_Produits[Cde_Prdt], 0)), "")</f>
        <v/>
      </c>
    </row>
    <row r="3824" spans="1:11" x14ac:dyDescent="0.25">
      <c r="A3824" s="5"/>
      <c r="B3824" s="63" t="str">
        <f>IFERROR(TEXT(tbl_Ventes[[#This Row],[Date]],"mm-aaaa"),"")</f>
        <v>01-1900</v>
      </c>
      <c r="D3824" s="10" t="str">
        <f>IFERROR(
   INDEX(tbl_ProduitsRef[Cde_Prdt],MATCH(tbl_Ventes[[#This Row],[Produit]],tbl_ProduitsRef[Produit],0)),
   ""
)</f>
        <v/>
      </c>
      <c r="E3824" s="7">
        <v>0</v>
      </c>
      <c r="F3824" s="7" t="str">
        <f>IFERROR(
   INDEX(tbl_ProduitsRef[Prix Menu],MATCH(tbl_Ventes[[#This Row],[Produit]],tbl_ProduitsRef[Produit],0)),
   ""
)</f>
        <v/>
      </c>
      <c r="G3824" s="7">
        <f>tbl_Ventes[[#This Row],[Qté Vendue]] * IFERROR(_xlfn.XLOOKUP(tbl_Ventes[[#This Row],[Cde_Prdt]], tbl_Produits[Cde_Prdt], tbl_Produits[Prix Menu]), 0)</f>
        <v>0</v>
      </c>
      <c r="H3824" s="7">
        <f>IFERROR(_xlfn.XLOOKUP(tbl_Ventes[[#This Row],[Cde_Prdt]], tbl_Produits[Cde_Prdt], tbl_Produits[Coût Moyen Portion]), 0)</f>
        <v>0</v>
      </c>
      <c r="I3824" s="7">
        <f>tbl_Ventes[[#This Row],[Qté Vendue]] * tbl_Ventes[[#This Row],[CMP_par_portion]]</f>
        <v>0</v>
      </c>
      <c r="J3824" s="7">
        <f>tbl_Ventes[[#This Row],[CA ligne]] - tbl_Ventes[[#This Row],[Coût matière ligne]]</f>
        <v>0</v>
      </c>
      <c r="K3824" s="7" t="str">
        <f>IFERROR(INDEX(tbl_ProduitsRef[Famille], MATCH(tbl_Ventes[[#This Row],[Cde_Prdt]], tbl_Produits[Cde_Prdt], 0)), "")</f>
        <v/>
      </c>
    </row>
    <row r="3825" spans="1:11" x14ac:dyDescent="0.25">
      <c r="A3825" s="5"/>
      <c r="B3825" s="63" t="str">
        <f>IFERROR(TEXT(tbl_Ventes[[#This Row],[Date]],"mm-aaaa"),"")</f>
        <v>01-1900</v>
      </c>
      <c r="D3825" s="10" t="str">
        <f>IFERROR(
   INDEX(tbl_ProduitsRef[Cde_Prdt],MATCH(tbl_Ventes[[#This Row],[Produit]],tbl_ProduitsRef[Produit],0)),
   ""
)</f>
        <v/>
      </c>
      <c r="E3825" s="7">
        <v>0</v>
      </c>
      <c r="F3825" s="7" t="str">
        <f>IFERROR(
   INDEX(tbl_ProduitsRef[Prix Menu],MATCH(tbl_Ventes[[#This Row],[Produit]],tbl_ProduitsRef[Produit],0)),
   ""
)</f>
        <v/>
      </c>
      <c r="G3825" s="7">
        <f>tbl_Ventes[[#This Row],[Qté Vendue]] * IFERROR(_xlfn.XLOOKUP(tbl_Ventes[[#This Row],[Cde_Prdt]], tbl_Produits[Cde_Prdt], tbl_Produits[Prix Menu]), 0)</f>
        <v>0</v>
      </c>
      <c r="H3825" s="7">
        <f>IFERROR(_xlfn.XLOOKUP(tbl_Ventes[[#This Row],[Cde_Prdt]], tbl_Produits[Cde_Prdt], tbl_Produits[Coût Moyen Portion]), 0)</f>
        <v>0</v>
      </c>
      <c r="I3825" s="7">
        <f>tbl_Ventes[[#This Row],[Qté Vendue]] * tbl_Ventes[[#This Row],[CMP_par_portion]]</f>
        <v>0</v>
      </c>
      <c r="J3825" s="7">
        <f>tbl_Ventes[[#This Row],[CA ligne]] - tbl_Ventes[[#This Row],[Coût matière ligne]]</f>
        <v>0</v>
      </c>
      <c r="K3825" s="7" t="str">
        <f>IFERROR(INDEX(tbl_ProduitsRef[Famille], MATCH(tbl_Ventes[[#This Row],[Cde_Prdt]], tbl_Produits[Cde_Prdt], 0)), "")</f>
        <v/>
      </c>
    </row>
    <row r="3826" spans="1:11" x14ac:dyDescent="0.25">
      <c r="A3826" s="5"/>
      <c r="B3826" s="63" t="str">
        <f>IFERROR(TEXT(tbl_Ventes[[#This Row],[Date]],"mm-aaaa"),"")</f>
        <v>01-1900</v>
      </c>
      <c r="D3826" s="10" t="str">
        <f>IFERROR(
   INDEX(tbl_ProduitsRef[Cde_Prdt],MATCH(tbl_Ventes[[#This Row],[Produit]],tbl_ProduitsRef[Produit],0)),
   ""
)</f>
        <v/>
      </c>
      <c r="E3826" s="7">
        <v>0</v>
      </c>
      <c r="F3826" s="7" t="str">
        <f>IFERROR(
   INDEX(tbl_ProduitsRef[Prix Menu],MATCH(tbl_Ventes[[#This Row],[Produit]],tbl_ProduitsRef[Produit],0)),
   ""
)</f>
        <v/>
      </c>
      <c r="G3826" s="7">
        <f>tbl_Ventes[[#This Row],[Qté Vendue]] * IFERROR(_xlfn.XLOOKUP(tbl_Ventes[[#This Row],[Cde_Prdt]], tbl_Produits[Cde_Prdt], tbl_Produits[Prix Menu]), 0)</f>
        <v>0</v>
      </c>
      <c r="H3826" s="7">
        <f>IFERROR(_xlfn.XLOOKUP(tbl_Ventes[[#This Row],[Cde_Prdt]], tbl_Produits[Cde_Prdt], tbl_Produits[Coût Moyen Portion]), 0)</f>
        <v>0</v>
      </c>
      <c r="I3826" s="7">
        <f>tbl_Ventes[[#This Row],[Qté Vendue]] * tbl_Ventes[[#This Row],[CMP_par_portion]]</f>
        <v>0</v>
      </c>
      <c r="J3826" s="7">
        <f>tbl_Ventes[[#This Row],[CA ligne]] - tbl_Ventes[[#This Row],[Coût matière ligne]]</f>
        <v>0</v>
      </c>
      <c r="K3826" s="7" t="str">
        <f>IFERROR(INDEX(tbl_ProduitsRef[Famille], MATCH(tbl_Ventes[[#This Row],[Cde_Prdt]], tbl_Produits[Cde_Prdt], 0)), "")</f>
        <v/>
      </c>
    </row>
    <row r="3827" spans="1:11" x14ac:dyDescent="0.25">
      <c r="A3827" s="5"/>
      <c r="B3827" s="63" t="str">
        <f>IFERROR(TEXT(tbl_Ventes[[#This Row],[Date]],"mm-aaaa"),"")</f>
        <v>01-1900</v>
      </c>
      <c r="D3827" s="10" t="str">
        <f>IFERROR(
   INDEX(tbl_ProduitsRef[Cde_Prdt],MATCH(tbl_Ventes[[#This Row],[Produit]],tbl_ProduitsRef[Produit],0)),
   ""
)</f>
        <v/>
      </c>
      <c r="E3827" s="7">
        <v>0</v>
      </c>
      <c r="F3827" s="7" t="str">
        <f>IFERROR(
   INDEX(tbl_ProduitsRef[Prix Menu],MATCH(tbl_Ventes[[#This Row],[Produit]],tbl_ProduitsRef[Produit],0)),
   ""
)</f>
        <v/>
      </c>
      <c r="G3827" s="7">
        <f>tbl_Ventes[[#This Row],[Qté Vendue]] * IFERROR(_xlfn.XLOOKUP(tbl_Ventes[[#This Row],[Cde_Prdt]], tbl_Produits[Cde_Prdt], tbl_Produits[Prix Menu]), 0)</f>
        <v>0</v>
      </c>
      <c r="H3827" s="7">
        <f>IFERROR(_xlfn.XLOOKUP(tbl_Ventes[[#This Row],[Cde_Prdt]], tbl_Produits[Cde_Prdt], tbl_Produits[Coût Moyen Portion]), 0)</f>
        <v>0</v>
      </c>
      <c r="I3827" s="7">
        <f>tbl_Ventes[[#This Row],[Qté Vendue]] * tbl_Ventes[[#This Row],[CMP_par_portion]]</f>
        <v>0</v>
      </c>
      <c r="J3827" s="7">
        <f>tbl_Ventes[[#This Row],[CA ligne]] - tbl_Ventes[[#This Row],[Coût matière ligne]]</f>
        <v>0</v>
      </c>
      <c r="K3827" s="7" t="str">
        <f>IFERROR(INDEX(tbl_ProduitsRef[Famille], MATCH(tbl_Ventes[[#This Row],[Cde_Prdt]], tbl_Produits[Cde_Prdt], 0)), "")</f>
        <v/>
      </c>
    </row>
    <row r="3828" spans="1:11" x14ac:dyDescent="0.25">
      <c r="A3828" s="5"/>
      <c r="B3828" s="63" t="str">
        <f>IFERROR(TEXT(tbl_Ventes[[#This Row],[Date]],"mm-aaaa"),"")</f>
        <v>01-1900</v>
      </c>
      <c r="D3828" s="10" t="str">
        <f>IFERROR(
   INDEX(tbl_ProduitsRef[Cde_Prdt],MATCH(tbl_Ventes[[#This Row],[Produit]],tbl_ProduitsRef[Produit],0)),
   ""
)</f>
        <v/>
      </c>
      <c r="E3828" s="7">
        <v>0</v>
      </c>
      <c r="F3828" s="7" t="str">
        <f>IFERROR(
   INDEX(tbl_ProduitsRef[Prix Menu],MATCH(tbl_Ventes[[#This Row],[Produit]],tbl_ProduitsRef[Produit],0)),
   ""
)</f>
        <v/>
      </c>
      <c r="G3828" s="7">
        <f>tbl_Ventes[[#This Row],[Qté Vendue]] * IFERROR(_xlfn.XLOOKUP(tbl_Ventes[[#This Row],[Cde_Prdt]], tbl_Produits[Cde_Prdt], tbl_Produits[Prix Menu]), 0)</f>
        <v>0</v>
      </c>
      <c r="H3828" s="7">
        <f>IFERROR(_xlfn.XLOOKUP(tbl_Ventes[[#This Row],[Cde_Prdt]], tbl_Produits[Cde_Prdt], tbl_Produits[Coût Moyen Portion]), 0)</f>
        <v>0</v>
      </c>
      <c r="I3828" s="7">
        <f>tbl_Ventes[[#This Row],[Qté Vendue]] * tbl_Ventes[[#This Row],[CMP_par_portion]]</f>
        <v>0</v>
      </c>
      <c r="J3828" s="7">
        <f>tbl_Ventes[[#This Row],[CA ligne]] - tbl_Ventes[[#This Row],[Coût matière ligne]]</f>
        <v>0</v>
      </c>
      <c r="K3828" s="7" t="str">
        <f>IFERROR(INDEX(tbl_ProduitsRef[Famille], MATCH(tbl_Ventes[[#This Row],[Cde_Prdt]], tbl_Produits[Cde_Prdt], 0)), "")</f>
        <v/>
      </c>
    </row>
    <row r="3829" spans="1:11" x14ac:dyDescent="0.25">
      <c r="A3829" s="5"/>
      <c r="B3829" s="63" t="str">
        <f>IFERROR(TEXT(tbl_Ventes[[#This Row],[Date]],"mm-aaaa"),"")</f>
        <v>01-1900</v>
      </c>
      <c r="D3829" s="10" t="str">
        <f>IFERROR(
   INDEX(tbl_ProduitsRef[Cde_Prdt],MATCH(tbl_Ventes[[#This Row],[Produit]],tbl_ProduitsRef[Produit],0)),
   ""
)</f>
        <v/>
      </c>
      <c r="E3829" s="7">
        <v>0</v>
      </c>
      <c r="F3829" s="7" t="str">
        <f>IFERROR(
   INDEX(tbl_ProduitsRef[Prix Menu],MATCH(tbl_Ventes[[#This Row],[Produit]],tbl_ProduitsRef[Produit],0)),
   ""
)</f>
        <v/>
      </c>
      <c r="G3829" s="7">
        <f>tbl_Ventes[[#This Row],[Qté Vendue]] * IFERROR(_xlfn.XLOOKUP(tbl_Ventes[[#This Row],[Cde_Prdt]], tbl_Produits[Cde_Prdt], tbl_Produits[Prix Menu]), 0)</f>
        <v>0</v>
      </c>
      <c r="H3829" s="7">
        <f>IFERROR(_xlfn.XLOOKUP(tbl_Ventes[[#This Row],[Cde_Prdt]], tbl_Produits[Cde_Prdt], tbl_Produits[Coût Moyen Portion]), 0)</f>
        <v>0</v>
      </c>
      <c r="I3829" s="7">
        <f>tbl_Ventes[[#This Row],[Qté Vendue]] * tbl_Ventes[[#This Row],[CMP_par_portion]]</f>
        <v>0</v>
      </c>
      <c r="J3829" s="7">
        <f>tbl_Ventes[[#This Row],[CA ligne]] - tbl_Ventes[[#This Row],[Coût matière ligne]]</f>
        <v>0</v>
      </c>
      <c r="K3829" s="7" t="str">
        <f>IFERROR(INDEX(tbl_ProduitsRef[Famille], MATCH(tbl_Ventes[[#This Row],[Cde_Prdt]], tbl_Produits[Cde_Prdt], 0)), "")</f>
        <v/>
      </c>
    </row>
    <row r="3830" spans="1:11" x14ac:dyDescent="0.25">
      <c r="A3830" s="5"/>
      <c r="B3830" s="63" t="str">
        <f>IFERROR(TEXT(tbl_Ventes[[#This Row],[Date]],"mm-aaaa"),"")</f>
        <v>01-1900</v>
      </c>
      <c r="D3830" s="10" t="str">
        <f>IFERROR(
   INDEX(tbl_ProduitsRef[Cde_Prdt],MATCH(tbl_Ventes[[#This Row],[Produit]],tbl_ProduitsRef[Produit],0)),
   ""
)</f>
        <v/>
      </c>
      <c r="E3830" s="7">
        <v>0</v>
      </c>
      <c r="F3830" s="7" t="str">
        <f>IFERROR(
   INDEX(tbl_ProduitsRef[Prix Menu],MATCH(tbl_Ventes[[#This Row],[Produit]],tbl_ProduitsRef[Produit],0)),
   ""
)</f>
        <v/>
      </c>
      <c r="G3830" s="7">
        <f>tbl_Ventes[[#This Row],[Qté Vendue]] * IFERROR(_xlfn.XLOOKUP(tbl_Ventes[[#This Row],[Cde_Prdt]], tbl_Produits[Cde_Prdt], tbl_Produits[Prix Menu]), 0)</f>
        <v>0</v>
      </c>
      <c r="H3830" s="7">
        <f>IFERROR(_xlfn.XLOOKUP(tbl_Ventes[[#This Row],[Cde_Prdt]], tbl_Produits[Cde_Prdt], tbl_Produits[Coût Moyen Portion]), 0)</f>
        <v>0</v>
      </c>
      <c r="I3830" s="7">
        <f>tbl_Ventes[[#This Row],[Qté Vendue]] * tbl_Ventes[[#This Row],[CMP_par_portion]]</f>
        <v>0</v>
      </c>
      <c r="J3830" s="7">
        <f>tbl_Ventes[[#This Row],[CA ligne]] - tbl_Ventes[[#This Row],[Coût matière ligne]]</f>
        <v>0</v>
      </c>
      <c r="K3830" s="7" t="str">
        <f>IFERROR(INDEX(tbl_ProduitsRef[Famille], MATCH(tbl_Ventes[[#This Row],[Cde_Prdt]], tbl_Produits[Cde_Prdt], 0)), "")</f>
        <v/>
      </c>
    </row>
    <row r="3831" spans="1:11" x14ac:dyDescent="0.25">
      <c r="A3831" s="5"/>
      <c r="B3831" s="63" t="str">
        <f>IFERROR(TEXT(tbl_Ventes[[#This Row],[Date]],"mm-aaaa"),"")</f>
        <v>01-1900</v>
      </c>
      <c r="D3831" s="10" t="str">
        <f>IFERROR(
   INDEX(tbl_ProduitsRef[Cde_Prdt],MATCH(tbl_Ventes[[#This Row],[Produit]],tbl_ProduitsRef[Produit],0)),
   ""
)</f>
        <v/>
      </c>
      <c r="E3831" s="7">
        <v>0</v>
      </c>
      <c r="F3831" s="7" t="str">
        <f>IFERROR(
   INDEX(tbl_ProduitsRef[Prix Menu],MATCH(tbl_Ventes[[#This Row],[Produit]],tbl_ProduitsRef[Produit],0)),
   ""
)</f>
        <v/>
      </c>
      <c r="G3831" s="7">
        <f>tbl_Ventes[[#This Row],[Qté Vendue]] * IFERROR(_xlfn.XLOOKUP(tbl_Ventes[[#This Row],[Cde_Prdt]], tbl_Produits[Cde_Prdt], tbl_Produits[Prix Menu]), 0)</f>
        <v>0</v>
      </c>
      <c r="H3831" s="7">
        <f>IFERROR(_xlfn.XLOOKUP(tbl_Ventes[[#This Row],[Cde_Prdt]], tbl_Produits[Cde_Prdt], tbl_Produits[Coût Moyen Portion]), 0)</f>
        <v>0</v>
      </c>
      <c r="I3831" s="7">
        <f>tbl_Ventes[[#This Row],[Qté Vendue]] * tbl_Ventes[[#This Row],[CMP_par_portion]]</f>
        <v>0</v>
      </c>
      <c r="J3831" s="7">
        <f>tbl_Ventes[[#This Row],[CA ligne]] - tbl_Ventes[[#This Row],[Coût matière ligne]]</f>
        <v>0</v>
      </c>
      <c r="K3831" s="7" t="str">
        <f>IFERROR(INDEX(tbl_ProduitsRef[Famille], MATCH(tbl_Ventes[[#This Row],[Cde_Prdt]], tbl_Produits[Cde_Prdt], 0)), "")</f>
        <v/>
      </c>
    </row>
    <row r="3832" spans="1:11" x14ac:dyDescent="0.25">
      <c r="A3832" s="5"/>
      <c r="B3832" s="63" t="str">
        <f>IFERROR(TEXT(tbl_Ventes[[#This Row],[Date]],"mm-aaaa"),"")</f>
        <v>01-1900</v>
      </c>
      <c r="D3832" s="10" t="str">
        <f>IFERROR(
   INDEX(tbl_ProduitsRef[Cde_Prdt],MATCH(tbl_Ventes[[#This Row],[Produit]],tbl_ProduitsRef[Produit],0)),
   ""
)</f>
        <v/>
      </c>
      <c r="E3832" s="7">
        <v>0</v>
      </c>
      <c r="F3832" s="7" t="str">
        <f>IFERROR(
   INDEX(tbl_ProduitsRef[Prix Menu],MATCH(tbl_Ventes[[#This Row],[Produit]],tbl_ProduitsRef[Produit],0)),
   ""
)</f>
        <v/>
      </c>
      <c r="G3832" s="7">
        <f>tbl_Ventes[[#This Row],[Qté Vendue]] * IFERROR(_xlfn.XLOOKUP(tbl_Ventes[[#This Row],[Cde_Prdt]], tbl_Produits[Cde_Prdt], tbl_Produits[Prix Menu]), 0)</f>
        <v>0</v>
      </c>
      <c r="H3832" s="7">
        <f>IFERROR(_xlfn.XLOOKUP(tbl_Ventes[[#This Row],[Cde_Prdt]], tbl_Produits[Cde_Prdt], tbl_Produits[Coût Moyen Portion]), 0)</f>
        <v>0</v>
      </c>
      <c r="I3832" s="7">
        <f>tbl_Ventes[[#This Row],[Qté Vendue]] * tbl_Ventes[[#This Row],[CMP_par_portion]]</f>
        <v>0</v>
      </c>
      <c r="J3832" s="7">
        <f>tbl_Ventes[[#This Row],[CA ligne]] - tbl_Ventes[[#This Row],[Coût matière ligne]]</f>
        <v>0</v>
      </c>
      <c r="K3832" s="7" t="str">
        <f>IFERROR(INDEX(tbl_ProduitsRef[Famille], MATCH(tbl_Ventes[[#This Row],[Cde_Prdt]], tbl_Produits[Cde_Prdt], 0)), "")</f>
        <v/>
      </c>
    </row>
    <row r="3833" spans="1:11" x14ac:dyDescent="0.25">
      <c r="A3833" s="5"/>
      <c r="B3833" s="63" t="str">
        <f>IFERROR(TEXT(tbl_Ventes[[#This Row],[Date]],"mm-aaaa"),"")</f>
        <v>01-1900</v>
      </c>
      <c r="D3833" s="10" t="str">
        <f>IFERROR(
   INDEX(tbl_ProduitsRef[Cde_Prdt],MATCH(tbl_Ventes[[#This Row],[Produit]],tbl_ProduitsRef[Produit],0)),
   ""
)</f>
        <v/>
      </c>
      <c r="E3833" s="7">
        <v>0</v>
      </c>
      <c r="F3833" s="7" t="str">
        <f>IFERROR(
   INDEX(tbl_ProduitsRef[Prix Menu],MATCH(tbl_Ventes[[#This Row],[Produit]],tbl_ProduitsRef[Produit],0)),
   ""
)</f>
        <v/>
      </c>
      <c r="G3833" s="7">
        <f>tbl_Ventes[[#This Row],[Qté Vendue]] * IFERROR(_xlfn.XLOOKUP(tbl_Ventes[[#This Row],[Cde_Prdt]], tbl_Produits[Cde_Prdt], tbl_Produits[Prix Menu]), 0)</f>
        <v>0</v>
      </c>
      <c r="H3833" s="7">
        <f>IFERROR(_xlfn.XLOOKUP(tbl_Ventes[[#This Row],[Cde_Prdt]], tbl_Produits[Cde_Prdt], tbl_Produits[Coût Moyen Portion]), 0)</f>
        <v>0</v>
      </c>
      <c r="I3833" s="7">
        <f>tbl_Ventes[[#This Row],[Qté Vendue]] * tbl_Ventes[[#This Row],[CMP_par_portion]]</f>
        <v>0</v>
      </c>
      <c r="J3833" s="7">
        <f>tbl_Ventes[[#This Row],[CA ligne]] - tbl_Ventes[[#This Row],[Coût matière ligne]]</f>
        <v>0</v>
      </c>
      <c r="K3833" s="7" t="str">
        <f>IFERROR(INDEX(tbl_ProduitsRef[Famille], MATCH(tbl_Ventes[[#This Row],[Cde_Prdt]], tbl_Produits[Cde_Prdt], 0)), "")</f>
        <v/>
      </c>
    </row>
    <row r="3834" spans="1:11" x14ac:dyDescent="0.25">
      <c r="A3834" s="5"/>
      <c r="B3834" s="63" t="str">
        <f>IFERROR(TEXT(tbl_Ventes[[#This Row],[Date]],"mm-aaaa"),"")</f>
        <v>01-1900</v>
      </c>
      <c r="D3834" s="10" t="str">
        <f>IFERROR(
   INDEX(tbl_ProduitsRef[Cde_Prdt],MATCH(tbl_Ventes[[#This Row],[Produit]],tbl_ProduitsRef[Produit],0)),
   ""
)</f>
        <v/>
      </c>
      <c r="E3834" s="7">
        <v>0</v>
      </c>
      <c r="F3834" s="7" t="str">
        <f>IFERROR(
   INDEX(tbl_ProduitsRef[Prix Menu],MATCH(tbl_Ventes[[#This Row],[Produit]],tbl_ProduitsRef[Produit],0)),
   ""
)</f>
        <v/>
      </c>
      <c r="G3834" s="7">
        <f>tbl_Ventes[[#This Row],[Qté Vendue]] * IFERROR(_xlfn.XLOOKUP(tbl_Ventes[[#This Row],[Cde_Prdt]], tbl_Produits[Cde_Prdt], tbl_Produits[Prix Menu]), 0)</f>
        <v>0</v>
      </c>
      <c r="H3834" s="7">
        <f>IFERROR(_xlfn.XLOOKUP(tbl_Ventes[[#This Row],[Cde_Prdt]], tbl_Produits[Cde_Prdt], tbl_Produits[Coût Moyen Portion]), 0)</f>
        <v>0</v>
      </c>
      <c r="I3834" s="7">
        <f>tbl_Ventes[[#This Row],[Qté Vendue]] * tbl_Ventes[[#This Row],[CMP_par_portion]]</f>
        <v>0</v>
      </c>
      <c r="J3834" s="7">
        <f>tbl_Ventes[[#This Row],[CA ligne]] - tbl_Ventes[[#This Row],[Coût matière ligne]]</f>
        <v>0</v>
      </c>
      <c r="K3834" s="7" t="str">
        <f>IFERROR(INDEX(tbl_ProduitsRef[Famille], MATCH(tbl_Ventes[[#This Row],[Cde_Prdt]], tbl_Produits[Cde_Prdt], 0)), "")</f>
        <v/>
      </c>
    </row>
    <row r="3835" spans="1:11" x14ac:dyDescent="0.25">
      <c r="A3835" s="5"/>
      <c r="B3835" s="63" t="str">
        <f>IFERROR(TEXT(tbl_Ventes[[#This Row],[Date]],"mm-aaaa"),"")</f>
        <v>01-1900</v>
      </c>
      <c r="D3835" s="10" t="str">
        <f>IFERROR(
   INDEX(tbl_ProduitsRef[Cde_Prdt],MATCH(tbl_Ventes[[#This Row],[Produit]],tbl_ProduitsRef[Produit],0)),
   ""
)</f>
        <v/>
      </c>
      <c r="E3835" s="7">
        <v>0</v>
      </c>
      <c r="F3835" s="7" t="str">
        <f>IFERROR(
   INDEX(tbl_ProduitsRef[Prix Menu],MATCH(tbl_Ventes[[#This Row],[Produit]],tbl_ProduitsRef[Produit],0)),
   ""
)</f>
        <v/>
      </c>
      <c r="G3835" s="7">
        <f>tbl_Ventes[[#This Row],[Qté Vendue]] * IFERROR(_xlfn.XLOOKUP(tbl_Ventes[[#This Row],[Cde_Prdt]], tbl_Produits[Cde_Prdt], tbl_Produits[Prix Menu]), 0)</f>
        <v>0</v>
      </c>
      <c r="H3835" s="7">
        <f>IFERROR(_xlfn.XLOOKUP(tbl_Ventes[[#This Row],[Cde_Prdt]], tbl_Produits[Cde_Prdt], tbl_Produits[Coût Moyen Portion]), 0)</f>
        <v>0</v>
      </c>
      <c r="I3835" s="7">
        <f>tbl_Ventes[[#This Row],[Qté Vendue]] * tbl_Ventes[[#This Row],[CMP_par_portion]]</f>
        <v>0</v>
      </c>
      <c r="J3835" s="7">
        <f>tbl_Ventes[[#This Row],[CA ligne]] - tbl_Ventes[[#This Row],[Coût matière ligne]]</f>
        <v>0</v>
      </c>
      <c r="K3835" s="7" t="str">
        <f>IFERROR(INDEX(tbl_ProduitsRef[Famille], MATCH(tbl_Ventes[[#This Row],[Cde_Prdt]], tbl_Produits[Cde_Prdt], 0)), "")</f>
        <v/>
      </c>
    </row>
    <row r="3836" spans="1:11" x14ac:dyDescent="0.25">
      <c r="A3836" s="5"/>
      <c r="B3836" s="63" t="str">
        <f>IFERROR(TEXT(tbl_Ventes[[#This Row],[Date]],"mm-aaaa"),"")</f>
        <v>01-1900</v>
      </c>
      <c r="D3836" s="10" t="str">
        <f>IFERROR(
   INDEX(tbl_ProduitsRef[Cde_Prdt],MATCH(tbl_Ventes[[#This Row],[Produit]],tbl_ProduitsRef[Produit],0)),
   ""
)</f>
        <v/>
      </c>
      <c r="E3836" s="7">
        <v>0</v>
      </c>
      <c r="F3836" s="7" t="str">
        <f>IFERROR(
   INDEX(tbl_ProduitsRef[Prix Menu],MATCH(tbl_Ventes[[#This Row],[Produit]],tbl_ProduitsRef[Produit],0)),
   ""
)</f>
        <v/>
      </c>
      <c r="G3836" s="7">
        <f>tbl_Ventes[[#This Row],[Qté Vendue]] * IFERROR(_xlfn.XLOOKUP(tbl_Ventes[[#This Row],[Cde_Prdt]], tbl_Produits[Cde_Prdt], tbl_Produits[Prix Menu]), 0)</f>
        <v>0</v>
      </c>
      <c r="H3836" s="7">
        <f>IFERROR(_xlfn.XLOOKUP(tbl_Ventes[[#This Row],[Cde_Prdt]], tbl_Produits[Cde_Prdt], tbl_Produits[Coût Moyen Portion]), 0)</f>
        <v>0</v>
      </c>
      <c r="I3836" s="7">
        <f>tbl_Ventes[[#This Row],[Qté Vendue]] * tbl_Ventes[[#This Row],[CMP_par_portion]]</f>
        <v>0</v>
      </c>
      <c r="J3836" s="7">
        <f>tbl_Ventes[[#This Row],[CA ligne]] - tbl_Ventes[[#This Row],[Coût matière ligne]]</f>
        <v>0</v>
      </c>
      <c r="K3836" s="7" t="str">
        <f>IFERROR(INDEX(tbl_ProduitsRef[Famille], MATCH(tbl_Ventes[[#This Row],[Cde_Prdt]], tbl_Produits[Cde_Prdt], 0)), "")</f>
        <v/>
      </c>
    </row>
    <row r="3837" spans="1:11" x14ac:dyDescent="0.25">
      <c r="A3837" s="5"/>
      <c r="B3837" s="63" t="str">
        <f>IFERROR(TEXT(tbl_Ventes[[#This Row],[Date]],"mm-aaaa"),"")</f>
        <v>01-1900</v>
      </c>
      <c r="D3837" s="10" t="str">
        <f>IFERROR(
   INDEX(tbl_ProduitsRef[Cde_Prdt],MATCH(tbl_Ventes[[#This Row],[Produit]],tbl_ProduitsRef[Produit],0)),
   ""
)</f>
        <v/>
      </c>
      <c r="E3837" s="7">
        <v>0</v>
      </c>
      <c r="F3837" s="7" t="str">
        <f>IFERROR(
   INDEX(tbl_ProduitsRef[Prix Menu],MATCH(tbl_Ventes[[#This Row],[Produit]],tbl_ProduitsRef[Produit],0)),
   ""
)</f>
        <v/>
      </c>
      <c r="G3837" s="7">
        <f>tbl_Ventes[[#This Row],[Qté Vendue]] * IFERROR(_xlfn.XLOOKUP(tbl_Ventes[[#This Row],[Cde_Prdt]], tbl_Produits[Cde_Prdt], tbl_Produits[Prix Menu]), 0)</f>
        <v>0</v>
      </c>
      <c r="H3837" s="7">
        <f>IFERROR(_xlfn.XLOOKUP(tbl_Ventes[[#This Row],[Cde_Prdt]], tbl_Produits[Cde_Prdt], tbl_Produits[Coût Moyen Portion]), 0)</f>
        <v>0</v>
      </c>
      <c r="I3837" s="7">
        <f>tbl_Ventes[[#This Row],[Qté Vendue]] * tbl_Ventes[[#This Row],[CMP_par_portion]]</f>
        <v>0</v>
      </c>
      <c r="J3837" s="7">
        <f>tbl_Ventes[[#This Row],[CA ligne]] - tbl_Ventes[[#This Row],[Coût matière ligne]]</f>
        <v>0</v>
      </c>
      <c r="K3837" s="7" t="str">
        <f>IFERROR(INDEX(tbl_ProduitsRef[Famille], MATCH(tbl_Ventes[[#This Row],[Cde_Prdt]], tbl_Produits[Cde_Prdt], 0)), "")</f>
        <v/>
      </c>
    </row>
    <row r="3838" spans="1:11" x14ac:dyDescent="0.25">
      <c r="A3838" s="5"/>
      <c r="B3838" s="63" t="str">
        <f>IFERROR(TEXT(tbl_Ventes[[#This Row],[Date]],"mm-aaaa"),"")</f>
        <v>01-1900</v>
      </c>
      <c r="D3838" s="10" t="str">
        <f>IFERROR(
   INDEX(tbl_ProduitsRef[Cde_Prdt],MATCH(tbl_Ventes[[#This Row],[Produit]],tbl_ProduitsRef[Produit],0)),
   ""
)</f>
        <v/>
      </c>
      <c r="E3838" s="7">
        <v>0</v>
      </c>
      <c r="F3838" s="7" t="str">
        <f>IFERROR(
   INDEX(tbl_ProduitsRef[Prix Menu],MATCH(tbl_Ventes[[#This Row],[Produit]],tbl_ProduitsRef[Produit],0)),
   ""
)</f>
        <v/>
      </c>
      <c r="G3838" s="7">
        <f>tbl_Ventes[[#This Row],[Qté Vendue]] * IFERROR(_xlfn.XLOOKUP(tbl_Ventes[[#This Row],[Cde_Prdt]], tbl_Produits[Cde_Prdt], tbl_Produits[Prix Menu]), 0)</f>
        <v>0</v>
      </c>
      <c r="H3838" s="7">
        <f>IFERROR(_xlfn.XLOOKUP(tbl_Ventes[[#This Row],[Cde_Prdt]], tbl_Produits[Cde_Prdt], tbl_Produits[Coût Moyen Portion]), 0)</f>
        <v>0</v>
      </c>
      <c r="I3838" s="7">
        <f>tbl_Ventes[[#This Row],[Qté Vendue]] * tbl_Ventes[[#This Row],[CMP_par_portion]]</f>
        <v>0</v>
      </c>
      <c r="J3838" s="7">
        <f>tbl_Ventes[[#This Row],[CA ligne]] - tbl_Ventes[[#This Row],[Coût matière ligne]]</f>
        <v>0</v>
      </c>
      <c r="K3838" s="7" t="str">
        <f>IFERROR(INDEX(tbl_ProduitsRef[Famille], MATCH(tbl_Ventes[[#This Row],[Cde_Prdt]], tbl_Produits[Cde_Prdt], 0)), "")</f>
        <v/>
      </c>
    </row>
    <row r="3839" spans="1:11" x14ac:dyDescent="0.25">
      <c r="A3839" s="5"/>
      <c r="B3839" s="63" t="str">
        <f>IFERROR(TEXT(tbl_Ventes[[#This Row],[Date]],"mm-aaaa"),"")</f>
        <v>01-1900</v>
      </c>
      <c r="D3839" s="10" t="str">
        <f>IFERROR(
   INDEX(tbl_ProduitsRef[Cde_Prdt],MATCH(tbl_Ventes[[#This Row],[Produit]],tbl_ProduitsRef[Produit],0)),
   ""
)</f>
        <v/>
      </c>
      <c r="E3839" s="7">
        <v>0</v>
      </c>
      <c r="F3839" s="7" t="str">
        <f>IFERROR(
   INDEX(tbl_ProduitsRef[Prix Menu],MATCH(tbl_Ventes[[#This Row],[Produit]],tbl_ProduitsRef[Produit],0)),
   ""
)</f>
        <v/>
      </c>
      <c r="G3839" s="7">
        <f>tbl_Ventes[[#This Row],[Qté Vendue]] * IFERROR(_xlfn.XLOOKUP(tbl_Ventes[[#This Row],[Cde_Prdt]], tbl_Produits[Cde_Prdt], tbl_Produits[Prix Menu]), 0)</f>
        <v>0</v>
      </c>
      <c r="H3839" s="7">
        <f>IFERROR(_xlfn.XLOOKUP(tbl_Ventes[[#This Row],[Cde_Prdt]], tbl_Produits[Cde_Prdt], tbl_Produits[Coût Moyen Portion]), 0)</f>
        <v>0</v>
      </c>
      <c r="I3839" s="7">
        <f>tbl_Ventes[[#This Row],[Qté Vendue]] * tbl_Ventes[[#This Row],[CMP_par_portion]]</f>
        <v>0</v>
      </c>
      <c r="J3839" s="7">
        <f>tbl_Ventes[[#This Row],[CA ligne]] - tbl_Ventes[[#This Row],[Coût matière ligne]]</f>
        <v>0</v>
      </c>
      <c r="K3839" s="7" t="str">
        <f>IFERROR(INDEX(tbl_ProduitsRef[Famille], MATCH(tbl_Ventes[[#This Row],[Cde_Prdt]], tbl_Produits[Cde_Prdt], 0)), "")</f>
        <v/>
      </c>
    </row>
    <row r="3840" spans="1:11" x14ac:dyDescent="0.25">
      <c r="A3840" s="5"/>
      <c r="B3840" s="63" t="str">
        <f>IFERROR(TEXT(tbl_Ventes[[#This Row],[Date]],"mm-aaaa"),"")</f>
        <v>01-1900</v>
      </c>
      <c r="D3840" s="10" t="str">
        <f>IFERROR(
   INDEX(tbl_ProduitsRef[Cde_Prdt],MATCH(tbl_Ventes[[#This Row],[Produit]],tbl_ProduitsRef[Produit],0)),
   ""
)</f>
        <v/>
      </c>
      <c r="E3840" s="7">
        <v>0</v>
      </c>
      <c r="F3840" s="7" t="str">
        <f>IFERROR(
   INDEX(tbl_ProduitsRef[Prix Menu],MATCH(tbl_Ventes[[#This Row],[Produit]],tbl_ProduitsRef[Produit],0)),
   ""
)</f>
        <v/>
      </c>
      <c r="G3840" s="7">
        <f>tbl_Ventes[[#This Row],[Qté Vendue]] * IFERROR(_xlfn.XLOOKUP(tbl_Ventes[[#This Row],[Cde_Prdt]], tbl_Produits[Cde_Prdt], tbl_Produits[Prix Menu]), 0)</f>
        <v>0</v>
      </c>
      <c r="H3840" s="7">
        <f>IFERROR(_xlfn.XLOOKUP(tbl_Ventes[[#This Row],[Cde_Prdt]], tbl_Produits[Cde_Prdt], tbl_Produits[Coût Moyen Portion]), 0)</f>
        <v>0</v>
      </c>
      <c r="I3840" s="7">
        <f>tbl_Ventes[[#This Row],[Qté Vendue]] * tbl_Ventes[[#This Row],[CMP_par_portion]]</f>
        <v>0</v>
      </c>
      <c r="J3840" s="7">
        <f>tbl_Ventes[[#This Row],[CA ligne]] - tbl_Ventes[[#This Row],[Coût matière ligne]]</f>
        <v>0</v>
      </c>
      <c r="K3840" s="7" t="str">
        <f>IFERROR(INDEX(tbl_ProduitsRef[Famille], MATCH(tbl_Ventes[[#This Row],[Cde_Prdt]], tbl_Produits[Cde_Prdt], 0)), "")</f>
        <v/>
      </c>
    </row>
    <row r="3841" spans="1:11" x14ac:dyDescent="0.25">
      <c r="A3841" s="5"/>
      <c r="B3841" s="63" t="str">
        <f>IFERROR(TEXT(tbl_Ventes[[#This Row],[Date]],"mm-aaaa"),"")</f>
        <v>01-1900</v>
      </c>
      <c r="D3841" s="10" t="str">
        <f>IFERROR(
   INDEX(tbl_ProduitsRef[Cde_Prdt],MATCH(tbl_Ventes[[#This Row],[Produit]],tbl_ProduitsRef[Produit],0)),
   ""
)</f>
        <v/>
      </c>
      <c r="E3841" s="7">
        <v>0</v>
      </c>
      <c r="F3841" s="7" t="str">
        <f>IFERROR(
   INDEX(tbl_ProduitsRef[Prix Menu],MATCH(tbl_Ventes[[#This Row],[Produit]],tbl_ProduitsRef[Produit],0)),
   ""
)</f>
        <v/>
      </c>
      <c r="G3841" s="7">
        <f>tbl_Ventes[[#This Row],[Qté Vendue]] * IFERROR(_xlfn.XLOOKUP(tbl_Ventes[[#This Row],[Cde_Prdt]], tbl_Produits[Cde_Prdt], tbl_Produits[Prix Menu]), 0)</f>
        <v>0</v>
      </c>
      <c r="H3841" s="7">
        <f>IFERROR(_xlfn.XLOOKUP(tbl_Ventes[[#This Row],[Cde_Prdt]], tbl_Produits[Cde_Prdt], tbl_Produits[Coût Moyen Portion]), 0)</f>
        <v>0</v>
      </c>
      <c r="I3841" s="7">
        <f>tbl_Ventes[[#This Row],[Qté Vendue]] * tbl_Ventes[[#This Row],[CMP_par_portion]]</f>
        <v>0</v>
      </c>
      <c r="J3841" s="7">
        <f>tbl_Ventes[[#This Row],[CA ligne]] - tbl_Ventes[[#This Row],[Coût matière ligne]]</f>
        <v>0</v>
      </c>
      <c r="K3841" s="7" t="str">
        <f>IFERROR(INDEX(tbl_ProduitsRef[Famille], MATCH(tbl_Ventes[[#This Row],[Cde_Prdt]], tbl_Produits[Cde_Prdt], 0)), "")</f>
        <v/>
      </c>
    </row>
    <row r="3842" spans="1:11" x14ac:dyDescent="0.25">
      <c r="A3842" s="5"/>
      <c r="B3842" s="63" t="str">
        <f>IFERROR(TEXT(tbl_Ventes[[#This Row],[Date]],"mm-aaaa"),"")</f>
        <v>01-1900</v>
      </c>
      <c r="D3842" s="10" t="str">
        <f>IFERROR(
   INDEX(tbl_ProduitsRef[Cde_Prdt],MATCH(tbl_Ventes[[#This Row],[Produit]],tbl_ProduitsRef[Produit],0)),
   ""
)</f>
        <v/>
      </c>
      <c r="E3842" s="7">
        <v>0</v>
      </c>
      <c r="F3842" s="7" t="str">
        <f>IFERROR(
   INDEX(tbl_ProduitsRef[Prix Menu],MATCH(tbl_Ventes[[#This Row],[Produit]],tbl_ProduitsRef[Produit],0)),
   ""
)</f>
        <v/>
      </c>
      <c r="G3842" s="7">
        <f>tbl_Ventes[[#This Row],[Qté Vendue]] * IFERROR(_xlfn.XLOOKUP(tbl_Ventes[[#This Row],[Cde_Prdt]], tbl_Produits[Cde_Prdt], tbl_Produits[Prix Menu]), 0)</f>
        <v>0</v>
      </c>
      <c r="H3842" s="7">
        <f>IFERROR(_xlfn.XLOOKUP(tbl_Ventes[[#This Row],[Cde_Prdt]], tbl_Produits[Cde_Prdt], tbl_Produits[Coût Moyen Portion]), 0)</f>
        <v>0</v>
      </c>
      <c r="I3842" s="7">
        <f>tbl_Ventes[[#This Row],[Qté Vendue]] * tbl_Ventes[[#This Row],[CMP_par_portion]]</f>
        <v>0</v>
      </c>
      <c r="J3842" s="7">
        <f>tbl_Ventes[[#This Row],[CA ligne]] - tbl_Ventes[[#This Row],[Coût matière ligne]]</f>
        <v>0</v>
      </c>
      <c r="K3842" s="7" t="str">
        <f>IFERROR(INDEX(tbl_ProduitsRef[Famille], MATCH(tbl_Ventes[[#This Row],[Cde_Prdt]], tbl_Produits[Cde_Prdt], 0)), "")</f>
        <v/>
      </c>
    </row>
    <row r="3843" spans="1:11" x14ac:dyDescent="0.25">
      <c r="A3843" s="5"/>
      <c r="B3843" s="63" t="str">
        <f>IFERROR(TEXT(tbl_Ventes[[#This Row],[Date]],"mm-aaaa"),"")</f>
        <v>01-1900</v>
      </c>
      <c r="D3843" s="10" t="str">
        <f>IFERROR(
   INDEX(tbl_ProduitsRef[Cde_Prdt],MATCH(tbl_Ventes[[#This Row],[Produit]],tbl_ProduitsRef[Produit],0)),
   ""
)</f>
        <v/>
      </c>
      <c r="E3843" s="7">
        <v>0</v>
      </c>
      <c r="F3843" s="7" t="str">
        <f>IFERROR(
   INDEX(tbl_ProduitsRef[Prix Menu],MATCH(tbl_Ventes[[#This Row],[Produit]],tbl_ProduitsRef[Produit],0)),
   ""
)</f>
        <v/>
      </c>
      <c r="G3843" s="7">
        <f>tbl_Ventes[[#This Row],[Qté Vendue]] * IFERROR(_xlfn.XLOOKUP(tbl_Ventes[[#This Row],[Cde_Prdt]], tbl_Produits[Cde_Prdt], tbl_Produits[Prix Menu]), 0)</f>
        <v>0</v>
      </c>
      <c r="H3843" s="7">
        <f>IFERROR(_xlfn.XLOOKUP(tbl_Ventes[[#This Row],[Cde_Prdt]], tbl_Produits[Cde_Prdt], tbl_Produits[Coût Moyen Portion]), 0)</f>
        <v>0</v>
      </c>
      <c r="I3843" s="7">
        <f>tbl_Ventes[[#This Row],[Qté Vendue]] * tbl_Ventes[[#This Row],[CMP_par_portion]]</f>
        <v>0</v>
      </c>
      <c r="J3843" s="7">
        <f>tbl_Ventes[[#This Row],[CA ligne]] - tbl_Ventes[[#This Row],[Coût matière ligne]]</f>
        <v>0</v>
      </c>
      <c r="K3843" s="7" t="str">
        <f>IFERROR(INDEX(tbl_ProduitsRef[Famille], MATCH(tbl_Ventes[[#This Row],[Cde_Prdt]], tbl_Produits[Cde_Prdt], 0)), "")</f>
        <v/>
      </c>
    </row>
    <row r="3844" spans="1:11" x14ac:dyDescent="0.25">
      <c r="A3844" s="5"/>
      <c r="B3844" s="63" t="str">
        <f>IFERROR(TEXT(tbl_Ventes[[#This Row],[Date]],"mm-aaaa"),"")</f>
        <v>01-1900</v>
      </c>
      <c r="D3844" s="10" t="str">
        <f>IFERROR(
   INDEX(tbl_ProduitsRef[Cde_Prdt],MATCH(tbl_Ventes[[#This Row],[Produit]],tbl_ProduitsRef[Produit],0)),
   ""
)</f>
        <v/>
      </c>
      <c r="E3844" s="7">
        <v>0</v>
      </c>
      <c r="F3844" s="7" t="str">
        <f>IFERROR(
   INDEX(tbl_ProduitsRef[Prix Menu],MATCH(tbl_Ventes[[#This Row],[Produit]],tbl_ProduitsRef[Produit],0)),
   ""
)</f>
        <v/>
      </c>
      <c r="G3844" s="7">
        <f>tbl_Ventes[[#This Row],[Qté Vendue]] * IFERROR(_xlfn.XLOOKUP(tbl_Ventes[[#This Row],[Cde_Prdt]], tbl_Produits[Cde_Prdt], tbl_Produits[Prix Menu]), 0)</f>
        <v>0</v>
      </c>
      <c r="H3844" s="7">
        <f>IFERROR(_xlfn.XLOOKUP(tbl_Ventes[[#This Row],[Cde_Prdt]], tbl_Produits[Cde_Prdt], tbl_Produits[Coût Moyen Portion]), 0)</f>
        <v>0</v>
      </c>
      <c r="I3844" s="7">
        <f>tbl_Ventes[[#This Row],[Qté Vendue]] * tbl_Ventes[[#This Row],[CMP_par_portion]]</f>
        <v>0</v>
      </c>
      <c r="J3844" s="7">
        <f>tbl_Ventes[[#This Row],[CA ligne]] - tbl_Ventes[[#This Row],[Coût matière ligne]]</f>
        <v>0</v>
      </c>
      <c r="K3844" s="7" t="str">
        <f>IFERROR(INDEX(tbl_ProduitsRef[Famille], MATCH(tbl_Ventes[[#This Row],[Cde_Prdt]], tbl_Produits[Cde_Prdt], 0)), "")</f>
        <v/>
      </c>
    </row>
    <row r="3845" spans="1:11" x14ac:dyDescent="0.25">
      <c r="A3845" s="5"/>
      <c r="B3845" s="63" t="str">
        <f>IFERROR(TEXT(tbl_Ventes[[#This Row],[Date]],"mm-aaaa"),"")</f>
        <v>01-1900</v>
      </c>
      <c r="D3845" s="10" t="str">
        <f>IFERROR(
   INDEX(tbl_ProduitsRef[Cde_Prdt],MATCH(tbl_Ventes[[#This Row],[Produit]],tbl_ProduitsRef[Produit],0)),
   ""
)</f>
        <v/>
      </c>
      <c r="E3845" s="7">
        <v>0</v>
      </c>
      <c r="F3845" s="7" t="str">
        <f>IFERROR(
   INDEX(tbl_ProduitsRef[Prix Menu],MATCH(tbl_Ventes[[#This Row],[Produit]],tbl_ProduitsRef[Produit],0)),
   ""
)</f>
        <v/>
      </c>
      <c r="G3845" s="7">
        <f>tbl_Ventes[[#This Row],[Qté Vendue]] * IFERROR(_xlfn.XLOOKUP(tbl_Ventes[[#This Row],[Cde_Prdt]], tbl_Produits[Cde_Prdt], tbl_Produits[Prix Menu]), 0)</f>
        <v>0</v>
      </c>
      <c r="H3845" s="7">
        <f>IFERROR(_xlfn.XLOOKUP(tbl_Ventes[[#This Row],[Cde_Prdt]], tbl_Produits[Cde_Prdt], tbl_Produits[Coût Moyen Portion]), 0)</f>
        <v>0</v>
      </c>
      <c r="I3845" s="7">
        <f>tbl_Ventes[[#This Row],[Qté Vendue]] * tbl_Ventes[[#This Row],[CMP_par_portion]]</f>
        <v>0</v>
      </c>
      <c r="J3845" s="7">
        <f>tbl_Ventes[[#This Row],[CA ligne]] - tbl_Ventes[[#This Row],[Coût matière ligne]]</f>
        <v>0</v>
      </c>
      <c r="K3845" s="7" t="str">
        <f>IFERROR(INDEX(tbl_ProduitsRef[Famille], MATCH(tbl_Ventes[[#This Row],[Cde_Prdt]], tbl_Produits[Cde_Prdt], 0)), "")</f>
        <v/>
      </c>
    </row>
    <row r="3846" spans="1:11" x14ac:dyDescent="0.25">
      <c r="A3846" s="5"/>
      <c r="B3846" s="63" t="str">
        <f>IFERROR(TEXT(tbl_Ventes[[#This Row],[Date]],"mm-aaaa"),"")</f>
        <v>01-1900</v>
      </c>
      <c r="D3846" s="10" t="str">
        <f>IFERROR(
   INDEX(tbl_ProduitsRef[Cde_Prdt],MATCH(tbl_Ventes[[#This Row],[Produit]],tbl_ProduitsRef[Produit],0)),
   ""
)</f>
        <v/>
      </c>
      <c r="E3846" s="7">
        <v>0</v>
      </c>
      <c r="F3846" s="7" t="str">
        <f>IFERROR(
   INDEX(tbl_ProduitsRef[Prix Menu],MATCH(tbl_Ventes[[#This Row],[Produit]],tbl_ProduitsRef[Produit],0)),
   ""
)</f>
        <v/>
      </c>
      <c r="G3846" s="7">
        <f>tbl_Ventes[[#This Row],[Qté Vendue]] * IFERROR(_xlfn.XLOOKUP(tbl_Ventes[[#This Row],[Cde_Prdt]], tbl_Produits[Cde_Prdt], tbl_Produits[Prix Menu]), 0)</f>
        <v>0</v>
      </c>
      <c r="H3846" s="7">
        <f>IFERROR(_xlfn.XLOOKUP(tbl_Ventes[[#This Row],[Cde_Prdt]], tbl_Produits[Cde_Prdt], tbl_Produits[Coût Moyen Portion]), 0)</f>
        <v>0</v>
      </c>
      <c r="I3846" s="7">
        <f>tbl_Ventes[[#This Row],[Qté Vendue]] * tbl_Ventes[[#This Row],[CMP_par_portion]]</f>
        <v>0</v>
      </c>
      <c r="J3846" s="7">
        <f>tbl_Ventes[[#This Row],[CA ligne]] - tbl_Ventes[[#This Row],[Coût matière ligne]]</f>
        <v>0</v>
      </c>
      <c r="K3846" s="7" t="str">
        <f>IFERROR(INDEX(tbl_ProduitsRef[Famille], MATCH(tbl_Ventes[[#This Row],[Cde_Prdt]], tbl_Produits[Cde_Prdt], 0)), "")</f>
        <v/>
      </c>
    </row>
    <row r="3847" spans="1:11" x14ac:dyDescent="0.25">
      <c r="A3847" s="5"/>
      <c r="B3847" s="63" t="str">
        <f>IFERROR(TEXT(tbl_Ventes[[#This Row],[Date]],"mm-aaaa"),"")</f>
        <v>01-1900</v>
      </c>
      <c r="D3847" s="10" t="str">
        <f>IFERROR(
   INDEX(tbl_ProduitsRef[Cde_Prdt],MATCH(tbl_Ventes[[#This Row],[Produit]],tbl_ProduitsRef[Produit],0)),
   ""
)</f>
        <v/>
      </c>
      <c r="E3847" s="7">
        <v>0</v>
      </c>
      <c r="F3847" s="7" t="str">
        <f>IFERROR(
   INDEX(tbl_ProduitsRef[Prix Menu],MATCH(tbl_Ventes[[#This Row],[Produit]],tbl_ProduitsRef[Produit],0)),
   ""
)</f>
        <v/>
      </c>
      <c r="G3847" s="7">
        <f>tbl_Ventes[[#This Row],[Qté Vendue]] * IFERROR(_xlfn.XLOOKUP(tbl_Ventes[[#This Row],[Cde_Prdt]], tbl_Produits[Cde_Prdt], tbl_Produits[Prix Menu]), 0)</f>
        <v>0</v>
      </c>
      <c r="H3847" s="7">
        <f>IFERROR(_xlfn.XLOOKUP(tbl_Ventes[[#This Row],[Cde_Prdt]], tbl_Produits[Cde_Prdt], tbl_Produits[Coût Moyen Portion]), 0)</f>
        <v>0</v>
      </c>
      <c r="I3847" s="7">
        <f>tbl_Ventes[[#This Row],[Qté Vendue]] * tbl_Ventes[[#This Row],[CMP_par_portion]]</f>
        <v>0</v>
      </c>
      <c r="J3847" s="7">
        <f>tbl_Ventes[[#This Row],[CA ligne]] - tbl_Ventes[[#This Row],[Coût matière ligne]]</f>
        <v>0</v>
      </c>
      <c r="K3847" s="7" t="str">
        <f>IFERROR(INDEX(tbl_ProduitsRef[Famille], MATCH(tbl_Ventes[[#This Row],[Cde_Prdt]], tbl_Produits[Cde_Prdt], 0)), "")</f>
        <v/>
      </c>
    </row>
    <row r="3848" spans="1:11" x14ac:dyDescent="0.25">
      <c r="A3848" s="5"/>
      <c r="B3848" s="63" t="str">
        <f>IFERROR(TEXT(tbl_Ventes[[#This Row],[Date]],"mm-aaaa"),"")</f>
        <v>01-1900</v>
      </c>
      <c r="D3848" s="10" t="str">
        <f>IFERROR(
   INDEX(tbl_ProduitsRef[Cde_Prdt],MATCH(tbl_Ventes[[#This Row],[Produit]],tbl_ProduitsRef[Produit],0)),
   ""
)</f>
        <v/>
      </c>
      <c r="E3848" s="7">
        <v>0</v>
      </c>
      <c r="F3848" s="7" t="str">
        <f>IFERROR(
   INDEX(tbl_ProduitsRef[Prix Menu],MATCH(tbl_Ventes[[#This Row],[Produit]],tbl_ProduitsRef[Produit],0)),
   ""
)</f>
        <v/>
      </c>
      <c r="G3848" s="7">
        <f>tbl_Ventes[[#This Row],[Qté Vendue]] * IFERROR(_xlfn.XLOOKUP(tbl_Ventes[[#This Row],[Cde_Prdt]], tbl_Produits[Cde_Prdt], tbl_Produits[Prix Menu]), 0)</f>
        <v>0</v>
      </c>
      <c r="H3848" s="7">
        <f>IFERROR(_xlfn.XLOOKUP(tbl_Ventes[[#This Row],[Cde_Prdt]], tbl_Produits[Cde_Prdt], tbl_Produits[Coût Moyen Portion]), 0)</f>
        <v>0</v>
      </c>
      <c r="I3848" s="7">
        <f>tbl_Ventes[[#This Row],[Qté Vendue]] * tbl_Ventes[[#This Row],[CMP_par_portion]]</f>
        <v>0</v>
      </c>
      <c r="J3848" s="7">
        <f>tbl_Ventes[[#This Row],[CA ligne]] - tbl_Ventes[[#This Row],[Coût matière ligne]]</f>
        <v>0</v>
      </c>
      <c r="K3848" s="7" t="str">
        <f>IFERROR(INDEX(tbl_ProduitsRef[Famille], MATCH(tbl_Ventes[[#This Row],[Cde_Prdt]], tbl_Produits[Cde_Prdt], 0)), "")</f>
        <v/>
      </c>
    </row>
    <row r="3849" spans="1:11" x14ac:dyDescent="0.25">
      <c r="A3849" s="5"/>
      <c r="B3849" s="63" t="str">
        <f>IFERROR(TEXT(tbl_Ventes[[#This Row],[Date]],"mm-aaaa"),"")</f>
        <v>01-1900</v>
      </c>
      <c r="D3849" s="10" t="str">
        <f>IFERROR(
   INDEX(tbl_ProduitsRef[Cde_Prdt],MATCH(tbl_Ventes[[#This Row],[Produit]],tbl_ProduitsRef[Produit],0)),
   ""
)</f>
        <v/>
      </c>
      <c r="E3849" s="7">
        <v>0</v>
      </c>
      <c r="F3849" s="7" t="str">
        <f>IFERROR(
   INDEX(tbl_ProduitsRef[Prix Menu],MATCH(tbl_Ventes[[#This Row],[Produit]],tbl_ProduitsRef[Produit],0)),
   ""
)</f>
        <v/>
      </c>
      <c r="G3849" s="7">
        <f>tbl_Ventes[[#This Row],[Qté Vendue]] * IFERROR(_xlfn.XLOOKUP(tbl_Ventes[[#This Row],[Cde_Prdt]], tbl_Produits[Cde_Prdt], tbl_Produits[Prix Menu]), 0)</f>
        <v>0</v>
      </c>
      <c r="H3849" s="7">
        <f>IFERROR(_xlfn.XLOOKUP(tbl_Ventes[[#This Row],[Cde_Prdt]], tbl_Produits[Cde_Prdt], tbl_Produits[Coût Moyen Portion]), 0)</f>
        <v>0</v>
      </c>
      <c r="I3849" s="7">
        <f>tbl_Ventes[[#This Row],[Qté Vendue]] * tbl_Ventes[[#This Row],[CMP_par_portion]]</f>
        <v>0</v>
      </c>
      <c r="J3849" s="7">
        <f>tbl_Ventes[[#This Row],[CA ligne]] - tbl_Ventes[[#This Row],[Coût matière ligne]]</f>
        <v>0</v>
      </c>
      <c r="K3849" s="7" t="str">
        <f>IFERROR(INDEX(tbl_ProduitsRef[Famille], MATCH(tbl_Ventes[[#This Row],[Cde_Prdt]], tbl_Produits[Cde_Prdt], 0)), "")</f>
        <v/>
      </c>
    </row>
    <row r="3850" spans="1:11" x14ac:dyDescent="0.25">
      <c r="A3850" s="5"/>
      <c r="B3850" s="63" t="str">
        <f>IFERROR(TEXT(tbl_Ventes[[#This Row],[Date]],"mm-aaaa"),"")</f>
        <v>01-1900</v>
      </c>
      <c r="D3850" s="10" t="str">
        <f>IFERROR(
   INDEX(tbl_ProduitsRef[Cde_Prdt],MATCH(tbl_Ventes[[#This Row],[Produit]],tbl_ProduitsRef[Produit],0)),
   ""
)</f>
        <v/>
      </c>
      <c r="E3850" s="7">
        <v>0</v>
      </c>
      <c r="F3850" s="7" t="str">
        <f>IFERROR(
   INDEX(tbl_ProduitsRef[Prix Menu],MATCH(tbl_Ventes[[#This Row],[Produit]],tbl_ProduitsRef[Produit],0)),
   ""
)</f>
        <v/>
      </c>
      <c r="G3850" s="7">
        <f>tbl_Ventes[[#This Row],[Qté Vendue]] * IFERROR(_xlfn.XLOOKUP(tbl_Ventes[[#This Row],[Cde_Prdt]], tbl_Produits[Cde_Prdt], tbl_Produits[Prix Menu]), 0)</f>
        <v>0</v>
      </c>
      <c r="H3850" s="7">
        <f>IFERROR(_xlfn.XLOOKUP(tbl_Ventes[[#This Row],[Cde_Prdt]], tbl_Produits[Cde_Prdt], tbl_Produits[Coût Moyen Portion]), 0)</f>
        <v>0</v>
      </c>
      <c r="I3850" s="7">
        <f>tbl_Ventes[[#This Row],[Qté Vendue]] * tbl_Ventes[[#This Row],[CMP_par_portion]]</f>
        <v>0</v>
      </c>
      <c r="J3850" s="7">
        <f>tbl_Ventes[[#This Row],[CA ligne]] - tbl_Ventes[[#This Row],[Coût matière ligne]]</f>
        <v>0</v>
      </c>
      <c r="K3850" s="7" t="str">
        <f>IFERROR(INDEX(tbl_ProduitsRef[Famille], MATCH(tbl_Ventes[[#This Row],[Cde_Prdt]], tbl_Produits[Cde_Prdt], 0)), "")</f>
        <v/>
      </c>
    </row>
    <row r="3851" spans="1:11" x14ac:dyDescent="0.25">
      <c r="A3851" s="5"/>
      <c r="B3851" s="63" t="str">
        <f>IFERROR(TEXT(tbl_Ventes[[#This Row],[Date]],"mm-aaaa"),"")</f>
        <v>01-1900</v>
      </c>
      <c r="D3851" s="10" t="str">
        <f>IFERROR(
   INDEX(tbl_ProduitsRef[Cde_Prdt],MATCH(tbl_Ventes[[#This Row],[Produit]],tbl_ProduitsRef[Produit],0)),
   ""
)</f>
        <v/>
      </c>
      <c r="E3851" s="7">
        <v>0</v>
      </c>
      <c r="F3851" s="7" t="str">
        <f>IFERROR(
   INDEX(tbl_ProduitsRef[Prix Menu],MATCH(tbl_Ventes[[#This Row],[Produit]],tbl_ProduitsRef[Produit],0)),
   ""
)</f>
        <v/>
      </c>
      <c r="G3851" s="7">
        <f>tbl_Ventes[[#This Row],[Qté Vendue]] * IFERROR(_xlfn.XLOOKUP(tbl_Ventes[[#This Row],[Cde_Prdt]], tbl_Produits[Cde_Prdt], tbl_Produits[Prix Menu]), 0)</f>
        <v>0</v>
      </c>
      <c r="H3851" s="7">
        <f>IFERROR(_xlfn.XLOOKUP(tbl_Ventes[[#This Row],[Cde_Prdt]], tbl_Produits[Cde_Prdt], tbl_Produits[Coût Moyen Portion]), 0)</f>
        <v>0</v>
      </c>
      <c r="I3851" s="7">
        <f>tbl_Ventes[[#This Row],[Qté Vendue]] * tbl_Ventes[[#This Row],[CMP_par_portion]]</f>
        <v>0</v>
      </c>
      <c r="J3851" s="7">
        <f>tbl_Ventes[[#This Row],[CA ligne]] - tbl_Ventes[[#This Row],[Coût matière ligne]]</f>
        <v>0</v>
      </c>
      <c r="K3851" s="7" t="str">
        <f>IFERROR(INDEX(tbl_ProduitsRef[Famille], MATCH(tbl_Ventes[[#This Row],[Cde_Prdt]], tbl_Produits[Cde_Prdt], 0)), "")</f>
        <v/>
      </c>
    </row>
    <row r="3852" spans="1:11" x14ac:dyDescent="0.25">
      <c r="A3852" s="5"/>
      <c r="B3852" s="63" t="str">
        <f>IFERROR(TEXT(tbl_Ventes[[#This Row],[Date]],"mm-aaaa"),"")</f>
        <v>01-1900</v>
      </c>
      <c r="D3852" s="10" t="str">
        <f>IFERROR(
   INDEX(tbl_ProduitsRef[Cde_Prdt],MATCH(tbl_Ventes[[#This Row],[Produit]],tbl_ProduitsRef[Produit],0)),
   ""
)</f>
        <v/>
      </c>
      <c r="E3852" s="7">
        <v>0</v>
      </c>
      <c r="F3852" s="7" t="str">
        <f>IFERROR(
   INDEX(tbl_ProduitsRef[Prix Menu],MATCH(tbl_Ventes[[#This Row],[Produit]],tbl_ProduitsRef[Produit],0)),
   ""
)</f>
        <v/>
      </c>
      <c r="G3852" s="7">
        <f>tbl_Ventes[[#This Row],[Qté Vendue]] * IFERROR(_xlfn.XLOOKUP(tbl_Ventes[[#This Row],[Cde_Prdt]], tbl_Produits[Cde_Prdt], tbl_Produits[Prix Menu]), 0)</f>
        <v>0</v>
      </c>
      <c r="H3852" s="7">
        <f>IFERROR(_xlfn.XLOOKUP(tbl_Ventes[[#This Row],[Cde_Prdt]], tbl_Produits[Cde_Prdt], tbl_Produits[Coût Moyen Portion]), 0)</f>
        <v>0</v>
      </c>
      <c r="I3852" s="7">
        <f>tbl_Ventes[[#This Row],[Qté Vendue]] * tbl_Ventes[[#This Row],[CMP_par_portion]]</f>
        <v>0</v>
      </c>
      <c r="J3852" s="7">
        <f>tbl_Ventes[[#This Row],[CA ligne]] - tbl_Ventes[[#This Row],[Coût matière ligne]]</f>
        <v>0</v>
      </c>
      <c r="K3852" s="7" t="str">
        <f>IFERROR(INDEX(tbl_ProduitsRef[Famille], MATCH(tbl_Ventes[[#This Row],[Cde_Prdt]], tbl_Produits[Cde_Prdt], 0)), "")</f>
        <v/>
      </c>
    </row>
    <row r="3853" spans="1:11" x14ac:dyDescent="0.25">
      <c r="A3853" s="5"/>
      <c r="B3853" s="63" t="str">
        <f>IFERROR(TEXT(tbl_Ventes[[#This Row],[Date]],"mm-aaaa"),"")</f>
        <v>01-1900</v>
      </c>
      <c r="D3853" s="10" t="str">
        <f>IFERROR(
   INDEX(tbl_ProduitsRef[Cde_Prdt],MATCH(tbl_Ventes[[#This Row],[Produit]],tbl_ProduitsRef[Produit],0)),
   ""
)</f>
        <v/>
      </c>
      <c r="E3853" s="7">
        <v>0</v>
      </c>
      <c r="F3853" s="7" t="str">
        <f>IFERROR(
   INDEX(tbl_ProduitsRef[Prix Menu],MATCH(tbl_Ventes[[#This Row],[Produit]],tbl_ProduitsRef[Produit],0)),
   ""
)</f>
        <v/>
      </c>
      <c r="G3853" s="7">
        <f>tbl_Ventes[[#This Row],[Qté Vendue]] * IFERROR(_xlfn.XLOOKUP(tbl_Ventes[[#This Row],[Cde_Prdt]], tbl_Produits[Cde_Prdt], tbl_Produits[Prix Menu]), 0)</f>
        <v>0</v>
      </c>
      <c r="H3853" s="7">
        <f>IFERROR(_xlfn.XLOOKUP(tbl_Ventes[[#This Row],[Cde_Prdt]], tbl_Produits[Cde_Prdt], tbl_Produits[Coût Moyen Portion]), 0)</f>
        <v>0</v>
      </c>
      <c r="I3853" s="7">
        <f>tbl_Ventes[[#This Row],[Qté Vendue]] * tbl_Ventes[[#This Row],[CMP_par_portion]]</f>
        <v>0</v>
      </c>
      <c r="J3853" s="7">
        <f>tbl_Ventes[[#This Row],[CA ligne]] - tbl_Ventes[[#This Row],[Coût matière ligne]]</f>
        <v>0</v>
      </c>
      <c r="K3853" s="7" t="str">
        <f>IFERROR(INDEX(tbl_ProduitsRef[Famille], MATCH(tbl_Ventes[[#This Row],[Cde_Prdt]], tbl_Produits[Cde_Prdt], 0)), "")</f>
        <v/>
      </c>
    </row>
    <row r="3854" spans="1:11" x14ac:dyDescent="0.25">
      <c r="A3854" s="5"/>
      <c r="B3854" s="63" t="str">
        <f>IFERROR(TEXT(tbl_Ventes[[#This Row],[Date]],"mm-aaaa"),"")</f>
        <v>01-1900</v>
      </c>
      <c r="D3854" s="10" t="str">
        <f>IFERROR(
   INDEX(tbl_ProduitsRef[Cde_Prdt],MATCH(tbl_Ventes[[#This Row],[Produit]],tbl_ProduitsRef[Produit],0)),
   ""
)</f>
        <v/>
      </c>
      <c r="E3854" s="7">
        <v>0</v>
      </c>
      <c r="F3854" s="7" t="str">
        <f>IFERROR(
   INDEX(tbl_ProduitsRef[Prix Menu],MATCH(tbl_Ventes[[#This Row],[Produit]],tbl_ProduitsRef[Produit],0)),
   ""
)</f>
        <v/>
      </c>
      <c r="G3854" s="7">
        <f>tbl_Ventes[[#This Row],[Qté Vendue]] * IFERROR(_xlfn.XLOOKUP(tbl_Ventes[[#This Row],[Cde_Prdt]], tbl_Produits[Cde_Prdt], tbl_Produits[Prix Menu]), 0)</f>
        <v>0</v>
      </c>
      <c r="H3854" s="7">
        <f>IFERROR(_xlfn.XLOOKUP(tbl_Ventes[[#This Row],[Cde_Prdt]], tbl_Produits[Cde_Prdt], tbl_Produits[Coût Moyen Portion]), 0)</f>
        <v>0</v>
      </c>
      <c r="I3854" s="7">
        <f>tbl_Ventes[[#This Row],[Qté Vendue]] * tbl_Ventes[[#This Row],[CMP_par_portion]]</f>
        <v>0</v>
      </c>
      <c r="J3854" s="7">
        <f>tbl_Ventes[[#This Row],[CA ligne]] - tbl_Ventes[[#This Row],[Coût matière ligne]]</f>
        <v>0</v>
      </c>
      <c r="K3854" s="7" t="str">
        <f>IFERROR(INDEX(tbl_ProduitsRef[Famille], MATCH(tbl_Ventes[[#This Row],[Cde_Prdt]], tbl_Produits[Cde_Prdt], 0)), "")</f>
        <v/>
      </c>
    </row>
    <row r="3855" spans="1:11" x14ac:dyDescent="0.25">
      <c r="A3855" s="5"/>
      <c r="B3855" s="63" t="str">
        <f>IFERROR(TEXT(tbl_Ventes[[#This Row],[Date]],"mm-aaaa"),"")</f>
        <v>01-1900</v>
      </c>
      <c r="D3855" s="10" t="str">
        <f>IFERROR(
   INDEX(tbl_ProduitsRef[Cde_Prdt],MATCH(tbl_Ventes[[#This Row],[Produit]],tbl_ProduitsRef[Produit],0)),
   ""
)</f>
        <v/>
      </c>
      <c r="E3855" s="7">
        <v>0</v>
      </c>
      <c r="F3855" s="7" t="str">
        <f>IFERROR(
   INDEX(tbl_ProduitsRef[Prix Menu],MATCH(tbl_Ventes[[#This Row],[Produit]],tbl_ProduitsRef[Produit],0)),
   ""
)</f>
        <v/>
      </c>
      <c r="G3855" s="7">
        <f>tbl_Ventes[[#This Row],[Qté Vendue]] * IFERROR(_xlfn.XLOOKUP(tbl_Ventes[[#This Row],[Cde_Prdt]], tbl_Produits[Cde_Prdt], tbl_Produits[Prix Menu]), 0)</f>
        <v>0</v>
      </c>
      <c r="H3855" s="7">
        <f>IFERROR(_xlfn.XLOOKUP(tbl_Ventes[[#This Row],[Cde_Prdt]], tbl_Produits[Cde_Prdt], tbl_Produits[Coût Moyen Portion]), 0)</f>
        <v>0</v>
      </c>
      <c r="I3855" s="7">
        <f>tbl_Ventes[[#This Row],[Qté Vendue]] * tbl_Ventes[[#This Row],[CMP_par_portion]]</f>
        <v>0</v>
      </c>
      <c r="J3855" s="7">
        <f>tbl_Ventes[[#This Row],[CA ligne]] - tbl_Ventes[[#This Row],[Coût matière ligne]]</f>
        <v>0</v>
      </c>
      <c r="K3855" s="7" t="str">
        <f>IFERROR(INDEX(tbl_ProduitsRef[Famille], MATCH(tbl_Ventes[[#This Row],[Cde_Prdt]], tbl_Produits[Cde_Prdt], 0)), "")</f>
        <v/>
      </c>
    </row>
    <row r="3856" spans="1:11" x14ac:dyDescent="0.25">
      <c r="A3856" s="5"/>
      <c r="B3856" s="63" t="str">
        <f>IFERROR(TEXT(tbl_Ventes[[#This Row],[Date]],"mm-aaaa"),"")</f>
        <v>01-1900</v>
      </c>
      <c r="D3856" s="10" t="str">
        <f>IFERROR(
   INDEX(tbl_ProduitsRef[Cde_Prdt],MATCH(tbl_Ventes[[#This Row],[Produit]],tbl_ProduitsRef[Produit],0)),
   ""
)</f>
        <v/>
      </c>
      <c r="E3856" s="7">
        <v>0</v>
      </c>
      <c r="F3856" s="7" t="str">
        <f>IFERROR(
   INDEX(tbl_ProduitsRef[Prix Menu],MATCH(tbl_Ventes[[#This Row],[Produit]],tbl_ProduitsRef[Produit],0)),
   ""
)</f>
        <v/>
      </c>
      <c r="G3856" s="7">
        <f>tbl_Ventes[[#This Row],[Qté Vendue]] * IFERROR(_xlfn.XLOOKUP(tbl_Ventes[[#This Row],[Cde_Prdt]], tbl_Produits[Cde_Prdt], tbl_Produits[Prix Menu]), 0)</f>
        <v>0</v>
      </c>
      <c r="H3856" s="7">
        <f>IFERROR(_xlfn.XLOOKUP(tbl_Ventes[[#This Row],[Cde_Prdt]], tbl_Produits[Cde_Prdt], tbl_Produits[Coût Moyen Portion]), 0)</f>
        <v>0</v>
      </c>
      <c r="I3856" s="7">
        <f>tbl_Ventes[[#This Row],[Qté Vendue]] * tbl_Ventes[[#This Row],[CMP_par_portion]]</f>
        <v>0</v>
      </c>
      <c r="J3856" s="7">
        <f>tbl_Ventes[[#This Row],[CA ligne]] - tbl_Ventes[[#This Row],[Coût matière ligne]]</f>
        <v>0</v>
      </c>
      <c r="K3856" s="7" t="str">
        <f>IFERROR(INDEX(tbl_ProduitsRef[Famille], MATCH(tbl_Ventes[[#This Row],[Cde_Prdt]], tbl_Produits[Cde_Prdt], 0)), "")</f>
        <v/>
      </c>
    </row>
    <row r="3857" spans="1:11" x14ac:dyDescent="0.25">
      <c r="A3857" s="5"/>
      <c r="B3857" s="63" t="str">
        <f>IFERROR(TEXT(tbl_Ventes[[#This Row],[Date]],"mm-aaaa"),"")</f>
        <v>01-1900</v>
      </c>
      <c r="D3857" s="10" t="str">
        <f>IFERROR(
   INDEX(tbl_ProduitsRef[Cde_Prdt],MATCH(tbl_Ventes[[#This Row],[Produit]],tbl_ProduitsRef[Produit],0)),
   ""
)</f>
        <v/>
      </c>
      <c r="E3857" s="7">
        <v>0</v>
      </c>
      <c r="F3857" s="7" t="str">
        <f>IFERROR(
   INDEX(tbl_ProduitsRef[Prix Menu],MATCH(tbl_Ventes[[#This Row],[Produit]],tbl_ProduitsRef[Produit],0)),
   ""
)</f>
        <v/>
      </c>
      <c r="G3857" s="7">
        <f>tbl_Ventes[[#This Row],[Qté Vendue]] * IFERROR(_xlfn.XLOOKUP(tbl_Ventes[[#This Row],[Cde_Prdt]], tbl_Produits[Cde_Prdt], tbl_Produits[Prix Menu]), 0)</f>
        <v>0</v>
      </c>
      <c r="H3857" s="7">
        <f>IFERROR(_xlfn.XLOOKUP(tbl_Ventes[[#This Row],[Cde_Prdt]], tbl_Produits[Cde_Prdt], tbl_Produits[Coût Moyen Portion]), 0)</f>
        <v>0</v>
      </c>
      <c r="I3857" s="7">
        <f>tbl_Ventes[[#This Row],[Qté Vendue]] * tbl_Ventes[[#This Row],[CMP_par_portion]]</f>
        <v>0</v>
      </c>
      <c r="J3857" s="7">
        <f>tbl_Ventes[[#This Row],[CA ligne]] - tbl_Ventes[[#This Row],[Coût matière ligne]]</f>
        <v>0</v>
      </c>
      <c r="K3857" s="7" t="str">
        <f>IFERROR(INDEX(tbl_ProduitsRef[Famille], MATCH(tbl_Ventes[[#This Row],[Cde_Prdt]], tbl_Produits[Cde_Prdt], 0)), "")</f>
        <v/>
      </c>
    </row>
    <row r="3858" spans="1:11" x14ac:dyDescent="0.25">
      <c r="A3858" s="5"/>
      <c r="B3858" s="63" t="str">
        <f>IFERROR(TEXT(tbl_Ventes[[#This Row],[Date]],"mm-aaaa"),"")</f>
        <v>01-1900</v>
      </c>
      <c r="D3858" s="10" t="str">
        <f>IFERROR(
   INDEX(tbl_ProduitsRef[Cde_Prdt],MATCH(tbl_Ventes[[#This Row],[Produit]],tbl_ProduitsRef[Produit],0)),
   ""
)</f>
        <v/>
      </c>
      <c r="E3858" s="7">
        <v>0</v>
      </c>
      <c r="F3858" s="7" t="str">
        <f>IFERROR(
   INDEX(tbl_ProduitsRef[Prix Menu],MATCH(tbl_Ventes[[#This Row],[Produit]],tbl_ProduitsRef[Produit],0)),
   ""
)</f>
        <v/>
      </c>
      <c r="G3858" s="7">
        <f>tbl_Ventes[[#This Row],[Qté Vendue]] * IFERROR(_xlfn.XLOOKUP(tbl_Ventes[[#This Row],[Cde_Prdt]], tbl_Produits[Cde_Prdt], tbl_Produits[Prix Menu]), 0)</f>
        <v>0</v>
      </c>
      <c r="H3858" s="7">
        <f>IFERROR(_xlfn.XLOOKUP(tbl_Ventes[[#This Row],[Cde_Prdt]], tbl_Produits[Cde_Prdt], tbl_Produits[Coût Moyen Portion]), 0)</f>
        <v>0</v>
      </c>
      <c r="I3858" s="7">
        <f>tbl_Ventes[[#This Row],[Qté Vendue]] * tbl_Ventes[[#This Row],[CMP_par_portion]]</f>
        <v>0</v>
      </c>
      <c r="J3858" s="7">
        <f>tbl_Ventes[[#This Row],[CA ligne]] - tbl_Ventes[[#This Row],[Coût matière ligne]]</f>
        <v>0</v>
      </c>
      <c r="K3858" s="7" t="str">
        <f>IFERROR(INDEX(tbl_ProduitsRef[Famille], MATCH(tbl_Ventes[[#This Row],[Cde_Prdt]], tbl_Produits[Cde_Prdt], 0)), "")</f>
        <v/>
      </c>
    </row>
    <row r="3859" spans="1:11" x14ac:dyDescent="0.25">
      <c r="A3859" s="5"/>
      <c r="B3859" s="63" t="str">
        <f>IFERROR(TEXT(tbl_Ventes[[#This Row],[Date]],"mm-aaaa"),"")</f>
        <v>01-1900</v>
      </c>
      <c r="D3859" s="10" t="str">
        <f>IFERROR(
   INDEX(tbl_ProduitsRef[Cde_Prdt],MATCH(tbl_Ventes[[#This Row],[Produit]],tbl_ProduitsRef[Produit],0)),
   ""
)</f>
        <v/>
      </c>
      <c r="E3859" s="7">
        <v>0</v>
      </c>
      <c r="F3859" s="7" t="str">
        <f>IFERROR(
   INDEX(tbl_ProduitsRef[Prix Menu],MATCH(tbl_Ventes[[#This Row],[Produit]],tbl_ProduitsRef[Produit],0)),
   ""
)</f>
        <v/>
      </c>
      <c r="G3859" s="7">
        <f>tbl_Ventes[[#This Row],[Qté Vendue]] * IFERROR(_xlfn.XLOOKUP(tbl_Ventes[[#This Row],[Cde_Prdt]], tbl_Produits[Cde_Prdt], tbl_Produits[Prix Menu]), 0)</f>
        <v>0</v>
      </c>
      <c r="H3859" s="7">
        <f>IFERROR(_xlfn.XLOOKUP(tbl_Ventes[[#This Row],[Cde_Prdt]], tbl_Produits[Cde_Prdt], tbl_Produits[Coût Moyen Portion]), 0)</f>
        <v>0</v>
      </c>
      <c r="I3859" s="7">
        <f>tbl_Ventes[[#This Row],[Qté Vendue]] * tbl_Ventes[[#This Row],[CMP_par_portion]]</f>
        <v>0</v>
      </c>
      <c r="J3859" s="7">
        <f>tbl_Ventes[[#This Row],[CA ligne]] - tbl_Ventes[[#This Row],[Coût matière ligne]]</f>
        <v>0</v>
      </c>
      <c r="K3859" s="7" t="str">
        <f>IFERROR(INDEX(tbl_ProduitsRef[Famille], MATCH(tbl_Ventes[[#This Row],[Cde_Prdt]], tbl_Produits[Cde_Prdt], 0)), "")</f>
        <v/>
      </c>
    </row>
    <row r="3860" spans="1:11" x14ac:dyDescent="0.25">
      <c r="A3860" s="5"/>
      <c r="B3860" s="63" t="str">
        <f>IFERROR(TEXT(tbl_Ventes[[#This Row],[Date]],"mm-aaaa"),"")</f>
        <v>01-1900</v>
      </c>
      <c r="D3860" s="10" t="str">
        <f>IFERROR(
   INDEX(tbl_ProduitsRef[Cde_Prdt],MATCH(tbl_Ventes[[#This Row],[Produit]],tbl_ProduitsRef[Produit],0)),
   ""
)</f>
        <v/>
      </c>
      <c r="E3860" s="7">
        <v>0</v>
      </c>
      <c r="F3860" s="7" t="str">
        <f>IFERROR(
   INDEX(tbl_ProduitsRef[Prix Menu],MATCH(tbl_Ventes[[#This Row],[Produit]],tbl_ProduitsRef[Produit],0)),
   ""
)</f>
        <v/>
      </c>
      <c r="G3860" s="7">
        <f>tbl_Ventes[[#This Row],[Qté Vendue]] * IFERROR(_xlfn.XLOOKUP(tbl_Ventes[[#This Row],[Cde_Prdt]], tbl_Produits[Cde_Prdt], tbl_Produits[Prix Menu]), 0)</f>
        <v>0</v>
      </c>
      <c r="H3860" s="7">
        <f>IFERROR(_xlfn.XLOOKUP(tbl_Ventes[[#This Row],[Cde_Prdt]], tbl_Produits[Cde_Prdt], tbl_Produits[Coût Moyen Portion]), 0)</f>
        <v>0</v>
      </c>
      <c r="I3860" s="7">
        <f>tbl_Ventes[[#This Row],[Qté Vendue]] * tbl_Ventes[[#This Row],[CMP_par_portion]]</f>
        <v>0</v>
      </c>
      <c r="J3860" s="7">
        <f>tbl_Ventes[[#This Row],[CA ligne]] - tbl_Ventes[[#This Row],[Coût matière ligne]]</f>
        <v>0</v>
      </c>
      <c r="K3860" s="7" t="str">
        <f>IFERROR(INDEX(tbl_ProduitsRef[Famille], MATCH(tbl_Ventes[[#This Row],[Cde_Prdt]], tbl_Produits[Cde_Prdt], 0)), "")</f>
        <v/>
      </c>
    </row>
    <row r="3861" spans="1:11" x14ac:dyDescent="0.25">
      <c r="A3861" s="5"/>
      <c r="B3861" s="63" t="str">
        <f>IFERROR(TEXT(tbl_Ventes[[#This Row],[Date]],"mm-aaaa"),"")</f>
        <v>01-1900</v>
      </c>
      <c r="D3861" s="10" t="str">
        <f>IFERROR(
   INDEX(tbl_ProduitsRef[Cde_Prdt],MATCH(tbl_Ventes[[#This Row],[Produit]],tbl_ProduitsRef[Produit],0)),
   ""
)</f>
        <v/>
      </c>
      <c r="E3861" s="7">
        <v>0</v>
      </c>
      <c r="F3861" s="7" t="str">
        <f>IFERROR(
   INDEX(tbl_ProduitsRef[Prix Menu],MATCH(tbl_Ventes[[#This Row],[Produit]],tbl_ProduitsRef[Produit],0)),
   ""
)</f>
        <v/>
      </c>
      <c r="G3861" s="7">
        <f>tbl_Ventes[[#This Row],[Qté Vendue]] * IFERROR(_xlfn.XLOOKUP(tbl_Ventes[[#This Row],[Cde_Prdt]], tbl_Produits[Cde_Prdt], tbl_Produits[Prix Menu]), 0)</f>
        <v>0</v>
      </c>
      <c r="H3861" s="7">
        <f>IFERROR(_xlfn.XLOOKUP(tbl_Ventes[[#This Row],[Cde_Prdt]], tbl_Produits[Cde_Prdt], tbl_Produits[Coût Moyen Portion]), 0)</f>
        <v>0</v>
      </c>
      <c r="I3861" s="7">
        <f>tbl_Ventes[[#This Row],[Qté Vendue]] * tbl_Ventes[[#This Row],[CMP_par_portion]]</f>
        <v>0</v>
      </c>
      <c r="J3861" s="7">
        <f>tbl_Ventes[[#This Row],[CA ligne]] - tbl_Ventes[[#This Row],[Coût matière ligne]]</f>
        <v>0</v>
      </c>
      <c r="K3861" s="7" t="str">
        <f>IFERROR(INDEX(tbl_ProduitsRef[Famille], MATCH(tbl_Ventes[[#This Row],[Cde_Prdt]], tbl_Produits[Cde_Prdt], 0)), "")</f>
        <v/>
      </c>
    </row>
    <row r="3862" spans="1:11" x14ac:dyDescent="0.25">
      <c r="A3862" s="5"/>
      <c r="B3862" s="63" t="str">
        <f>IFERROR(TEXT(tbl_Ventes[[#This Row],[Date]],"mm-aaaa"),"")</f>
        <v>01-1900</v>
      </c>
      <c r="D3862" s="10" t="str">
        <f>IFERROR(
   INDEX(tbl_ProduitsRef[Cde_Prdt],MATCH(tbl_Ventes[[#This Row],[Produit]],tbl_ProduitsRef[Produit],0)),
   ""
)</f>
        <v/>
      </c>
      <c r="E3862" s="7">
        <v>0</v>
      </c>
      <c r="F3862" s="7" t="str">
        <f>IFERROR(
   INDEX(tbl_ProduitsRef[Prix Menu],MATCH(tbl_Ventes[[#This Row],[Produit]],tbl_ProduitsRef[Produit],0)),
   ""
)</f>
        <v/>
      </c>
      <c r="G3862" s="7">
        <f>tbl_Ventes[[#This Row],[Qté Vendue]] * IFERROR(_xlfn.XLOOKUP(tbl_Ventes[[#This Row],[Cde_Prdt]], tbl_Produits[Cde_Prdt], tbl_Produits[Prix Menu]), 0)</f>
        <v>0</v>
      </c>
      <c r="H3862" s="7">
        <f>IFERROR(_xlfn.XLOOKUP(tbl_Ventes[[#This Row],[Cde_Prdt]], tbl_Produits[Cde_Prdt], tbl_Produits[Coût Moyen Portion]), 0)</f>
        <v>0</v>
      </c>
      <c r="I3862" s="7">
        <f>tbl_Ventes[[#This Row],[Qté Vendue]] * tbl_Ventes[[#This Row],[CMP_par_portion]]</f>
        <v>0</v>
      </c>
      <c r="J3862" s="7">
        <f>tbl_Ventes[[#This Row],[CA ligne]] - tbl_Ventes[[#This Row],[Coût matière ligne]]</f>
        <v>0</v>
      </c>
      <c r="K3862" s="7" t="str">
        <f>IFERROR(INDEX(tbl_ProduitsRef[Famille], MATCH(tbl_Ventes[[#This Row],[Cde_Prdt]], tbl_Produits[Cde_Prdt], 0)), "")</f>
        <v/>
      </c>
    </row>
    <row r="3863" spans="1:11" x14ac:dyDescent="0.25">
      <c r="A3863" s="5"/>
      <c r="B3863" s="63" t="str">
        <f>IFERROR(TEXT(tbl_Ventes[[#This Row],[Date]],"mm-aaaa"),"")</f>
        <v>01-1900</v>
      </c>
      <c r="D3863" s="10" t="str">
        <f>IFERROR(
   INDEX(tbl_ProduitsRef[Cde_Prdt],MATCH(tbl_Ventes[[#This Row],[Produit]],tbl_ProduitsRef[Produit],0)),
   ""
)</f>
        <v/>
      </c>
      <c r="E3863" s="7">
        <v>0</v>
      </c>
      <c r="F3863" s="7" t="str">
        <f>IFERROR(
   INDEX(tbl_ProduitsRef[Prix Menu],MATCH(tbl_Ventes[[#This Row],[Produit]],tbl_ProduitsRef[Produit],0)),
   ""
)</f>
        <v/>
      </c>
      <c r="G3863" s="7">
        <f>tbl_Ventes[[#This Row],[Qté Vendue]] * IFERROR(_xlfn.XLOOKUP(tbl_Ventes[[#This Row],[Cde_Prdt]], tbl_Produits[Cde_Prdt], tbl_Produits[Prix Menu]), 0)</f>
        <v>0</v>
      </c>
      <c r="H3863" s="7">
        <f>IFERROR(_xlfn.XLOOKUP(tbl_Ventes[[#This Row],[Cde_Prdt]], tbl_Produits[Cde_Prdt], tbl_Produits[Coût Moyen Portion]), 0)</f>
        <v>0</v>
      </c>
      <c r="I3863" s="7">
        <f>tbl_Ventes[[#This Row],[Qté Vendue]] * tbl_Ventes[[#This Row],[CMP_par_portion]]</f>
        <v>0</v>
      </c>
      <c r="J3863" s="7">
        <f>tbl_Ventes[[#This Row],[CA ligne]] - tbl_Ventes[[#This Row],[Coût matière ligne]]</f>
        <v>0</v>
      </c>
      <c r="K3863" s="7" t="str">
        <f>IFERROR(INDEX(tbl_ProduitsRef[Famille], MATCH(tbl_Ventes[[#This Row],[Cde_Prdt]], tbl_Produits[Cde_Prdt], 0)), "")</f>
        <v/>
      </c>
    </row>
    <row r="3864" spans="1:11" x14ac:dyDescent="0.25">
      <c r="A3864" s="5"/>
      <c r="B3864" s="63" t="str">
        <f>IFERROR(TEXT(tbl_Ventes[[#This Row],[Date]],"mm-aaaa"),"")</f>
        <v>01-1900</v>
      </c>
      <c r="D3864" s="10" t="str">
        <f>IFERROR(
   INDEX(tbl_ProduitsRef[Cde_Prdt],MATCH(tbl_Ventes[[#This Row],[Produit]],tbl_ProduitsRef[Produit],0)),
   ""
)</f>
        <v/>
      </c>
      <c r="E3864" s="7">
        <v>0</v>
      </c>
      <c r="F3864" s="7" t="str">
        <f>IFERROR(
   INDEX(tbl_ProduitsRef[Prix Menu],MATCH(tbl_Ventes[[#This Row],[Produit]],tbl_ProduitsRef[Produit],0)),
   ""
)</f>
        <v/>
      </c>
      <c r="G3864" s="7">
        <f>tbl_Ventes[[#This Row],[Qté Vendue]] * IFERROR(_xlfn.XLOOKUP(tbl_Ventes[[#This Row],[Cde_Prdt]], tbl_Produits[Cde_Prdt], tbl_Produits[Prix Menu]), 0)</f>
        <v>0</v>
      </c>
      <c r="H3864" s="7">
        <f>IFERROR(_xlfn.XLOOKUP(tbl_Ventes[[#This Row],[Cde_Prdt]], tbl_Produits[Cde_Prdt], tbl_Produits[Coût Moyen Portion]), 0)</f>
        <v>0</v>
      </c>
      <c r="I3864" s="7">
        <f>tbl_Ventes[[#This Row],[Qté Vendue]] * tbl_Ventes[[#This Row],[CMP_par_portion]]</f>
        <v>0</v>
      </c>
      <c r="J3864" s="7">
        <f>tbl_Ventes[[#This Row],[CA ligne]] - tbl_Ventes[[#This Row],[Coût matière ligne]]</f>
        <v>0</v>
      </c>
      <c r="K3864" s="7" t="str">
        <f>IFERROR(INDEX(tbl_ProduitsRef[Famille], MATCH(tbl_Ventes[[#This Row],[Cde_Prdt]], tbl_Produits[Cde_Prdt], 0)), "")</f>
        <v/>
      </c>
    </row>
    <row r="3865" spans="1:11" x14ac:dyDescent="0.25">
      <c r="A3865" s="5"/>
      <c r="B3865" s="63" t="str">
        <f>IFERROR(TEXT(tbl_Ventes[[#This Row],[Date]],"mm-aaaa"),"")</f>
        <v>01-1900</v>
      </c>
      <c r="D3865" s="10" t="str">
        <f>IFERROR(
   INDEX(tbl_ProduitsRef[Cde_Prdt],MATCH(tbl_Ventes[[#This Row],[Produit]],tbl_ProduitsRef[Produit],0)),
   ""
)</f>
        <v/>
      </c>
      <c r="E3865" s="7">
        <v>0</v>
      </c>
      <c r="F3865" s="7" t="str">
        <f>IFERROR(
   INDEX(tbl_ProduitsRef[Prix Menu],MATCH(tbl_Ventes[[#This Row],[Produit]],tbl_ProduitsRef[Produit],0)),
   ""
)</f>
        <v/>
      </c>
      <c r="G3865" s="7">
        <f>tbl_Ventes[[#This Row],[Qté Vendue]] * IFERROR(_xlfn.XLOOKUP(tbl_Ventes[[#This Row],[Cde_Prdt]], tbl_Produits[Cde_Prdt], tbl_Produits[Prix Menu]), 0)</f>
        <v>0</v>
      </c>
      <c r="H3865" s="7">
        <f>IFERROR(_xlfn.XLOOKUP(tbl_Ventes[[#This Row],[Cde_Prdt]], tbl_Produits[Cde_Prdt], tbl_Produits[Coût Moyen Portion]), 0)</f>
        <v>0</v>
      </c>
      <c r="I3865" s="7">
        <f>tbl_Ventes[[#This Row],[Qté Vendue]] * tbl_Ventes[[#This Row],[CMP_par_portion]]</f>
        <v>0</v>
      </c>
      <c r="J3865" s="7">
        <f>tbl_Ventes[[#This Row],[CA ligne]] - tbl_Ventes[[#This Row],[Coût matière ligne]]</f>
        <v>0</v>
      </c>
      <c r="K3865" s="7" t="str">
        <f>IFERROR(INDEX(tbl_ProduitsRef[Famille], MATCH(tbl_Ventes[[#This Row],[Cde_Prdt]], tbl_Produits[Cde_Prdt], 0)), "")</f>
        <v/>
      </c>
    </row>
    <row r="3866" spans="1:11" x14ac:dyDescent="0.25">
      <c r="A3866" s="5"/>
      <c r="B3866" s="63" t="str">
        <f>IFERROR(TEXT(tbl_Ventes[[#This Row],[Date]],"mm-aaaa"),"")</f>
        <v>01-1900</v>
      </c>
      <c r="D3866" s="10" t="str">
        <f>IFERROR(
   INDEX(tbl_ProduitsRef[Cde_Prdt],MATCH(tbl_Ventes[[#This Row],[Produit]],tbl_ProduitsRef[Produit],0)),
   ""
)</f>
        <v/>
      </c>
      <c r="E3866" s="7">
        <v>0</v>
      </c>
      <c r="F3866" s="7" t="str">
        <f>IFERROR(
   INDEX(tbl_ProduitsRef[Prix Menu],MATCH(tbl_Ventes[[#This Row],[Produit]],tbl_ProduitsRef[Produit],0)),
   ""
)</f>
        <v/>
      </c>
      <c r="G3866" s="7">
        <f>tbl_Ventes[[#This Row],[Qté Vendue]] * IFERROR(_xlfn.XLOOKUP(tbl_Ventes[[#This Row],[Cde_Prdt]], tbl_Produits[Cde_Prdt], tbl_Produits[Prix Menu]), 0)</f>
        <v>0</v>
      </c>
      <c r="H3866" s="7">
        <f>IFERROR(_xlfn.XLOOKUP(tbl_Ventes[[#This Row],[Cde_Prdt]], tbl_Produits[Cde_Prdt], tbl_Produits[Coût Moyen Portion]), 0)</f>
        <v>0</v>
      </c>
      <c r="I3866" s="7">
        <f>tbl_Ventes[[#This Row],[Qté Vendue]] * tbl_Ventes[[#This Row],[CMP_par_portion]]</f>
        <v>0</v>
      </c>
      <c r="J3866" s="7">
        <f>tbl_Ventes[[#This Row],[CA ligne]] - tbl_Ventes[[#This Row],[Coût matière ligne]]</f>
        <v>0</v>
      </c>
      <c r="K3866" s="7" t="str">
        <f>IFERROR(INDEX(tbl_ProduitsRef[Famille], MATCH(tbl_Ventes[[#This Row],[Cde_Prdt]], tbl_Produits[Cde_Prdt], 0)), "")</f>
        <v/>
      </c>
    </row>
    <row r="3867" spans="1:11" x14ac:dyDescent="0.25">
      <c r="A3867" s="5"/>
      <c r="B3867" s="63" t="str">
        <f>IFERROR(TEXT(tbl_Ventes[[#This Row],[Date]],"mm-aaaa"),"")</f>
        <v>01-1900</v>
      </c>
      <c r="D3867" s="10" t="str">
        <f>IFERROR(
   INDEX(tbl_ProduitsRef[Cde_Prdt],MATCH(tbl_Ventes[[#This Row],[Produit]],tbl_ProduitsRef[Produit],0)),
   ""
)</f>
        <v/>
      </c>
      <c r="E3867" s="7">
        <v>0</v>
      </c>
      <c r="F3867" s="7" t="str">
        <f>IFERROR(
   INDEX(tbl_ProduitsRef[Prix Menu],MATCH(tbl_Ventes[[#This Row],[Produit]],tbl_ProduitsRef[Produit],0)),
   ""
)</f>
        <v/>
      </c>
      <c r="G3867" s="7">
        <f>tbl_Ventes[[#This Row],[Qté Vendue]] * IFERROR(_xlfn.XLOOKUP(tbl_Ventes[[#This Row],[Cde_Prdt]], tbl_Produits[Cde_Prdt], tbl_Produits[Prix Menu]), 0)</f>
        <v>0</v>
      </c>
      <c r="H3867" s="7">
        <f>IFERROR(_xlfn.XLOOKUP(tbl_Ventes[[#This Row],[Cde_Prdt]], tbl_Produits[Cde_Prdt], tbl_Produits[Coût Moyen Portion]), 0)</f>
        <v>0</v>
      </c>
      <c r="I3867" s="7">
        <f>tbl_Ventes[[#This Row],[Qté Vendue]] * tbl_Ventes[[#This Row],[CMP_par_portion]]</f>
        <v>0</v>
      </c>
      <c r="J3867" s="7">
        <f>tbl_Ventes[[#This Row],[CA ligne]] - tbl_Ventes[[#This Row],[Coût matière ligne]]</f>
        <v>0</v>
      </c>
      <c r="K3867" s="7" t="str">
        <f>IFERROR(INDEX(tbl_ProduitsRef[Famille], MATCH(tbl_Ventes[[#This Row],[Cde_Prdt]], tbl_Produits[Cde_Prdt], 0)), "")</f>
        <v/>
      </c>
    </row>
    <row r="3868" spans="1:11" x14ac:dyDescent="0.25">
      <c r="A3868" s="5"/>
      <c r="B3868" s="63" t="str">
        <f>IFERROR(TEXT(tbl_Ventes[[#This Row],[Date]],"mm-aaaa"),"")</f>
        <v>01-1900</v>
      </c>
      <c r="D3868" s="10" t="str">
        <f>IFERROR(
   INDEX(tbl_ProduitsRef[Cde_Prdt],MATCH(tbl_Ventes[[#This Row],[Produit]],tbl_ProduitsRef[Produit],0)),
   ""
)</f>
        <v/>
      </c>
      <c r="E3868" s="7">
        <v>0</v>
      </c>
      <c r="F3868" s="7" t="str">
        <f>IFERROR(
   INDEX(tbl_ProduitsRef[Prix Menu],MATCH(tbl_Ventes[[#This Row],[Produit]],tbl_ProduitsRef[Produit],0)),
   ""
)</f>
        <v/>
      </c>
      <c r="G3868" s="7">
        <f>tbl_Ventes[[#This Row],[Qté Vendue]] * IFERROR(_xlfn.XLOOKUP(tbl_Ventes[[#This Row],[Cde_Prdt]], tbl_Produits[Cde_Prdt], tbl_Produits[Prix Menu]), 0)</f>
        <v>0</v>
      </c>
      <c r="H3868" s="7">
        <f>IFERROR(_xlfn.XLOOKUP(tbl_Ventes[[#This Row],[Cde_Prdt]], tbl_Produits[Cde_Prdt], tbl_Produits[Coût Moyen Portion]), 0)</f>
        <v>0</v>
      </c>
      <c r="I3868" s="7">
        <f>tbl_Ventes[[#This Row],[Qté Vendue]] * tbl_Ventes[[#This Row],[CMP_par_portion]]</f>
        <v>0</v>
      </c>
      <c r="J3868" s="7">
        <f>tbl_Ventes[[#This Row],[CA ligne]] - tbl_Ventes[[#This Row],[Coût matière ligne]]</f>
        <v>0</v>
      </c>
      <c r="K3868" s="7" t="str">
        <f>IFERROR(INDEX(tbl_ProduitsRef[Famille], MATCH(tbl_Ventes[[#This Row],[Cde_Prdt]], tbl_Produits[Cde_Prdt], 0)), "")</f>
        <v/>
      </c>
    </row>
    <row r="3869" spans="1:11" x14ac:dyDescent="0.25">
      <c r="A3869" s="5"/>
      <c r="B3869" s="63" t="str">
        <f>IFERROR(TEXT(tbl_Ventes[[#This Row],[Date]],"mm-aaaa"),"")</f>
        <v>01-1900</v>
      </c>
      <c r="D3869" s="10" t="str">
        <f>IFERROR(
   INDEX(tbl_ProduitsRef[Cde_Prdt],MATCH(tbl_Ventes[[#This Row],[Produit]],tbl_ProduitsRef[Produit],0)),
   ""
)</f>
        <v/>
      </c>
      <c r="E3869" s="7">
        <v>0</v>
      </c>
      <c r="F3869" s="7" t="str">
        <f>IFERROR(
   INDEX(tbl_ProduitsRef[Prix Menu],MATCH(tbl_Ventes[[#This Row],[Produit]],tbl_ProduitsRef[Produit],0)),
   ""
)</f>
        <v/>
      </c>
      <c r="G3869" s="7">
        <f>tbl_Ventes[[#This Row],[Qté Vendue]] * IFERROR(_xlfn.XLOOKUP(tbl_Ventes[[#This Row],[Cde_Prdt]], tbl_Produits[Cde_Prdt], tbl_Produits[Prix Menu]), 0)</f>
        <v>0</v>
      </c>
      <c r="H3869" s="7">
        <f>IFERROR(_xlfn.XLOOKUP(tbl_Ventes[[#This Row],[Cde_Prdt]], tbl_Produits[Cde_Prdt], tbl_Produits[Coût Moyen Portion]), 0)</f>
        <v>0</v>
      </c>
      <c r="I3869" s="7">
        <f>tbl_Ventes[[#This Row],[Qté Vendue]] * tbl_Ventes[[#This Row],[CMP_par_portion]]</f>
        <v>0</v>
      </c>
      <c r="J3869" s="7">
        <f>tbl_Ventes[[#This Row],[CA ligne]] - tbl_Ventes[[#This Row],[Coût matière ligne]]</f>
        <v>0</v>
      </c>
      <c r="K3869" s="7" t="str">
        <f>IFERROR(INDEX(tbl_ProduitsRef[Famille], MATCH(tbl_Ventes[[#This Row],[Cde_Prdt]], tbl_Produits[Cde_Prdt], 0)), "")</f>
        <v/>
      </c>
    </row>
    <row r="3870" spans="1:11" x14ac:dyDescent="0.25">
      <c r="A3870" s="5"/>
      <c r="B3870" s="63" t="str">
        <f>IFERROR(TEXT(tbl_Ventes[[#This Row],[Date]],"mm-aaaa"),"")</f>
        <v>01-1900</v>
      </c>
      <c r="D3870" s="10" t="str">
        <f>IFERROR(
   INDEX(tbl_ProduitsRef[Cde_Prdt],MATCH(tbl_Ventes[[#This Row],[Produit]],tbl_ProduitsRef[Produit],0)),
   ""
)</f>
        <v/>
      </c>
      <c r="E3870" s="7">
        <v>0</v>
      </c>
      <c r="F3870" s="7" t="str">
        <f>IFERROR(
   INDEX(tbl_ProduitsRef[Prix Menu],MATCH(tbl_Ventes[[#This Row],[Produit]],tbl_ProduitsRef[Produit],0)),
   ""
)</f>
        <v/>
      </c>
      <c r="G3870" s="7">
        <f>tbl_Ventes[[#This Row],[Qté Vendue]] * IFERROR(_xlfn.XLOOKUP(tbl_Ventes[[#This Row],[Cde_Prdt]], tbl_Produits[Cde_Prdt], tbl_Produits[Prix Menu]), 0)</f>
        <v>0</v>
      </c>
      <c r="H3870" s="7">
        <f>IFERROR(_xlfn.XLOOKUP(tbl_Ventes[[#This Row],[Cde_Prdt]], tbl_Produits[Cde_Prdt], tbl_Produits[Coût Moyen Portion]), 0)</f>
        <v>0</v>
      </c>
      <c r="I3870" s="7">
        <f>tbl_Ventes[[#This Row],[Qté Vendue]] * tbl_Ventes[[#This Row],[CMP_par_portion]]</f>
        <v>0</v>
      </c>
      <c r="J3870" s="7">
        <f>tbl_Ventes[[#This Row],[CA ligne]] - tbl_Ventes[[#This Row],[Coût matière ligne]]</f>
        <v>0</v>
      </c>
      <c r="K3870" s="7" t="str">
        <f>IFERROR(INDEX(tbl_ProduitsRef[Famille], MATCH(tbl_Ventes[[#This Row],[Cde_Prdt]], tbl_Produits[Cde_Prdt], 0)), "")</f>
        <v/>
      </c>
    </row>
    <row r="3871" spans="1:11" x14ac:dyDescent="0.25">
      <c r="A3871" s="5"/>
      <c r="B3871" s="63" t="str">
        <f>IFERROR(TEXT(tbl_Ventes[[#This Row],[Date]],"mm-aaaa"),"")</f>
        <v>01-1900</v>
      </c>
      <c r="D3871" s="10" t="str">
        <f>IFERROR(
   INDEX(tbl_ProduitsRef[Cde_Prdt],MATCH(tbl_Ventes[[#This Row],[Produit]],tbl_ProduitsRef[Produit],0)),
   ""
)</f>
        <v/>
      </c>
      <c r="E3871" s="7">
        <v>0</v>
      </c>
      <c r="F3871" s="7" t="str">
        <f>IFERROR(
   INDEX(tbl_ProduitsRef[Prix Menu],MATCH(tbl_Ventes[[#This Row],[Produit]],tbl_ProduitsRef[Produit],0)),
   ""
)</f>
        <v/>
      </c>
      <c r="G3871" s="7">
        <f>tbl_Ventes[[#This Row],[Qté Vendue]] * IFERROR(_xlfn.XLOOKUP(tbl_Ventes[[#This Row],[Cde_Prdt]], tbl_Produits[Cde_Prdt], tbl_Produits[Prix Menu]), 0)</f>
        <v>0</v>
      </c>
      <c r="H3871" s="7">
        <f>IFERROR(_xlfn.XLOOKUP(tbl_Ventes[[#This Row],[Cde_Prdt]], tbl_Produits[Cde_Prdt], tbl_Produits[Coût Moyen Portion]), 0)</f>
        <v>0</v>
      </c>
      <c r="I3871" s="7">
        <f>tbl_Ventes[[#This Row],[Qté Vendue]] * tbl_Ventes[[#This Row],[CMP_par_portion]]</f>
        <v>0</v>
      </c>
      <c r="J3871" s="7">
        <f>tbl_Ventes[[#This Row],[CA ligne]] - tbl_Ventes[[#This Row],[Coût matière ligne]]</f>
        <v>0</v>
      </c>
      <c r="K3871" s="7" t="str">
        <f>IFERROR(INDEX(tbl_ProduitsRef[Famille], MATCH(tbl_Ventes[[#This Row],[Cde_Prdt]], tbl_Produits[Cde_Prdt], 0)), "")</f>
        <v/>
      </c>
    </row>
    <row r="3872" spans="1:11" x14ac:dyDescent="0.25">
      <c r="A3872" s="5"/>
      <c r="B3872" s="63" t="str">
        <f>IFERROR(TEXT(tbl_Ventes[[#This Row],[Date]],"mm-aaaa"),"")</f>
        <v>01-1900</v>
      </c>
      <c r="D3872" s="10" t="str">
        <f>IFERROR(
   INDEX(tbl_ProduitsRef[Cde_Prdt],MATCH(tbl_Ventes[[#This Row],[Produit]],tbl_ProduitsRef[Produit],0)),
   ""
)</f>
        <v/>
      </c>
      <c r="E3872" s="7">
        <v>0</v>
      </c>
      <c r="F3872" s="7" t="str">
        <f>IFERROR(
   INDEX(tbl_ProduitsRef[Prix Menu],MATCH(tbl_Ventes[[#This Row],[Produit]],tbl_ProduitsRef[Produit],0)),
   ""
)</f>
        <v/>
      </c>
      <c r="G3872" s="7">
        <f>tbl_Ventes[[#This Row],[Qté Vendue]] * IFERROR(_xlfn.XLOOKUP(tbl_Ventes[[#This Row],[Cde_Prdt]], tbl_Produits[Cde_Prdt], tbl_Produits[Prix Menu]), 0)</f>
        <v>0</v>
      </c>
      <c r="H3872" s="7">
        <f>IFERROR(_xlfn.XLOOKUP(tbl_Ventes[[#This Row],[Cde_Prdt]], tbl_Produits[Cde_Prdt], tbl_Produits[Coût Moyen Portion]), 0)</f>
        <v>0</v>
      </c>
      <c r="I3872" s="7">
        <f>tbl_Ventes[[#This Row],[Qté Vendue]] * tbl_Ventes[[#This Row],[CMP_par_portion]]</f>
        <v>0</v>
      </c>
      <c r="J3872" s="7">
        <f>tbl_Ventes[[#This Row],[CA ligne]] - tbl_Ventes[[#This Row],[Coût matière ligne]]</f>
        <v>0</v>
      </c>
      <c r="K3872" s="7" t="str">
        <f>IFERROR(INDEX(tbl_ProduitsRef[Famille], MATCH(tbl_Ventes[[#This Row],[Cde_Prdt]], tbl_Produits[Cde_Prdt], 0)), "")</f>
        <v/>
      </c>
    </row>
    <row r="3873" spans="1:11" x14ac:dyDescent="0.25">
      <c r="A3873" s="5"/>
      <c r="B3873" s="63" t="str">
        <f>IFERROR(TEXT(tbl_Ventes[[#This Row],[Date]],"mm-aaaa"),"")</f>
        <v>01-1900</v>
      </c>
      <c r="D3873" s="10" t="str">
        <f>IFERROR(
   INDEX(tbl_ProduitsRef[Cde_Prdt],MATCH(tbl_Ventes[[#This Row],[Produit]],tbl_ProduitsRef[Produit],0)),
   ""
)</f>
        <v/>
      </c>
      <c r="E3873" s="7">
        <v>0</v>
      </c>
      <c r="F3873" s="7" t="str">
        <f>IFERROR(
   INDEX(tbl_ProduitsRef[Prix Menu],MATCH(tbl_Ventes[[#This Row],[Produit]],tbl_ProduitsRef[Produit],0)),
   ""
)</f>
        <v/>
      </c>
      <c r="G3873" s="7">
        <f>tbl_Ventes[[#This Row],[Qté Vendue]] * IFERROR(_xlfn.XLOOKUP(tbl_Ventes[[#This Row],[Cde_Prdt]], tbl_Produits[Cde_Prdt], tbl_Produits[Prix Menu]), 0)</f>
        <v>0</v>
      </c>
      <c r="H3873" s="7">
        <f>IFERROR(_xlfn.XLOOKUP(tbl_Ventes[[#This Row],[Cde_Prdt]], tbl_Produits[Cde_Prdt], tbl_Produits[Coût Moyen Portion]), 0)</f>
        <v>0</v>
      </c>
      <c r="I3873" s="7">
        <f>tbl_Ventes[[#This Row],[Qté Vendue]] * tbl_Ventes[[#This Row],[CMP_par_portion]]</f>
        <v>0</v>
      </c>
      <c r="J3873" s="7">
        <f>tbl_Ventes[[#This Row],[CA ligne]] - tbl_Ventes[[#This Row],[Coût matière ligne]]</f>
        <v>0</v>
      </c>
      <c r="K3873" s="7" t="str">
        <f>IFERROR(INDEX(tbl_ProduitsRef[Famille], MATCH(tbl_Ventes[[#This Row],[Cde_Prdt]], tbl_Produits[Cde_Prdt], 0)), "")</f>
        <v/>
      </c>
    </row>
    <row r="3874" spans="1:11" x14ac:dyDescent="0.25">
      <c r="A3874" s="5"/>
      <c r="B3874" s="63" t="str">
        <f>IFERROR(TEXT(tbl_Ventes[[#This Row],[Date]],"mm-aaaa"),"")</f>
        <v>01-1900</v>
      </c>
      <c r="D3874" s="10" t="str">
        <f>IFERROR(
   INDEX(tbl_ProduitsRef[Cde_Prdt],MATCH(tbl_Ventes[[#This Row],[Produit]],tbl_ProduitsRef[Produit],0)),
   ""
)</f>
        <v/>
      </c>
      <c r="E3874" s="7">
        <v>0</v>
      </c>
      <c r="F3874" s="7" t="str">
        <f>IFERROR(
   INDEX(tbl_ProduitsRef[Prix Menu],MATCH(tbl_Ventes[[#This Row],[Produit]],tbl_ProduitsRef[Produit],0)),
   ""
)</f>
        <v/>
      </c>
      <c r="G3874" s="7">
        <f>tbl_Ventes[[#This Row],[Qté Vendue]] * IFERROR(_xlfn.XLOOKUP(tbl_Ventes[[#This Row],[Cde_Prdt]], tbl_Produits[Cde_Prdt], tbl_Produits[Prix Menu]), 0)</f>
        <v>0</v>
      </c>
      <c r="H3874" s="7">
        <f>IFERROR(_xlfn.XLOOKUP(tbl_Ventes[[#This Row],[Cde_Prdt]], tbl_Produits[Cde_Prdt], tbl_Produits[Coût Moyen Portion]), 0)</f>
        <v>0</v>
      </c>
      <c r="I3874" s="7">
        <f>tbl_Ventes[[#This Row],[Qté Vendue]] * tbl_Ventes[[#This Row],[CMP_par_portion]]</f>
        <v>0</v>
      </c>
      <c r="J3874" s="7">
        <f>tbl_Ventes[[#This Row],[CA ligne]] - tbl_Ventes[[#This Row],[Coût matière ligne]]</f>
        <v>0</v>
      </c>
      <c r="K3874" s="7" t="str">
        <f>IFERROR(INDEX(tbl_ProduitsRef[Famille], MATCH(tbl_Ventes[[#This Row],[Cde_Prdt]], tbl_Produits[Cde_Prdt], 0)), "")</f>
        <v/>
      </c>
    </row>
    <row r="3875" spans="1:11" x14ac:dyDescent="0.25">
      <c r="A3875" s="5"/>
      <c r="B3875" s="63" t="str">
        <f>IFERROR(TEXT(tbl_Ventes[[#This Row],[Date]],"mm-aaaa"),"")</f>
        <v>01-1900</v>
      </c>
      <c r="D3875" s="10" t="str">
        <f>IFERROR(
   INDEX(tbl_ProduitsRef[Cde_Prdt],MATCH(tbl_Ventes[[#This Row],[Produit]],tbl_ProduitsRef[Produit],0)),
   ""
)</f>
        <v/>
      </c>
      <c r="E3875" s="7">
        <v>0</v>
      </c>
      <c r="F3875" s="7" t="str">
        <f>IFERROR(
   INDEX(tbl_ProduitsRef[Prix Menu],MATCH(tbl_Ventes[[#This Row],[Produit]],tbl_ProduitsRef[Produit],0)),
   ""
)</f>
        <v/>
      </c>
      <c r="G3875" s="7">
        <f>tbl_Ventes[[#This Row],[Qté Vendue]] * IFERROR(_xlfn.XLOOKUP(tbl_Ventes[[#This Row],[Cde_Prdt]], tbl_Produits[Cde_Prdt], tbl_Produits[Prix Menu]), 0)</f>
        <v>0</v>
      </c>
      <c r="H3875" s="7">
        <f>IFERROR(_xlfn.XLOOKUP(tbl_Ventes[[#This Row],[Cde_Prdt]], tbl_Produits[Cde_Prdt], tbl_Produits[Coût Moyen Portion]), 0)</f>
        <v>0</v>
      </c>
      <c r="I3875" s="7">
        <f>tbl_Ventes[[#This Row],[Qté Vendue]] * tbl_Ventes[[#This Row],[CMP_par_portion]]</f>
        <v>0</v>
      </c>
      <c r="J3875" s="7">
        <f>tbl_Ventes[[#This Row],[CA ligne]] - tbl_Ventes[[#This Row],[Coût matière ligne]]</f>
        <v>0</v>
      </c>
      <c r="K3875" s="7" t="str">
        <f>IFERROR(INDEX(tbl_ProduitsRef[Famille], MATCH(tbl_Ventes[[#This Row],[Cde_Prdt]], tbl_Produits[Cde_Prdt], 0)), "")</f>
        <v/>
      </c>
    </row>
    <row r="3876" spans="1:11" x14ac:dyDescent="0.25">
      <c r="A3876" s="5"/>
      <c r="B3876" s="63" t="str">
        <f>IFERROR(TEXT(tbl_Ventes[[#This Row],[Date]],"mm-aaaa"),"")</f>
        <v>01-1900</v>
      </c>
      <c r="D3876" s="10" t="str">
        <f>IFERROR(
   INDEX(tbl_ProduitsRef[Cde_Prdt],MATCH(tbl_Ventes[[#This Row],[Produit]],tbl_ProduitsRef[Produit],0)),
   ""
)</f>
        <v/>
      </c>
      <c r="E3876" s="7">
        <v>0</v>
      </c>
      <c r="F3876" s="7" t="str">
        <f>IFERROR(
   INDEX(tbl_ProduitsRef[Prix Menu],MATCH(tbl_Ventes[[#This Row],[Produit]],tbl_ProduitsRef[Produit],0)),
   ""
)</f>
        <v/>
      </c>
      <c r="G3876" s="7">
        <f>tbl_Ventes[[#This Row],[Qté Vendue]] * IFERROR(_xlfn.XLOOKUP(tbl_Ventes[[#This Row],[Cde_Prdt]], tbl_Produits[Cde_Prdt], tbl_Produits[Prix Menu]), 0)</f>
        <v>0</v>
      </c>
      <c r="H3876" s="7">
        <f>IFERROR(_xlfn.XLOOKUP(tbl_Ventes[[#This Row],[Cde_Prdt]], tbl_Produits[Cde_Prdt], tbl_Produits[Coût Moyen Portion]), 0)</f>
        <v>0</v>
      </c>
      <c r="I3876" s="7">
        <f>tbl_Ventes[[#This Row],[Qté Vendue]] * tbl_Ventes[[#This Row],[CMP_par_portion]]</f>
        <v>0</v>
      </c>
      <c r="J3876" s="7">
        <f>tbl_Ventes[[#This Row],[CA ligne]] - tbl_Ventes[[#This Row],[Coût matière ligne]]</f>
        <v>0</v>
      </c>
      <c r="K3876" s="7" t="str">
        <f>IFERROR(INDEX(tbl_ProduitsRef[Famille], MATCH(tbl_Ventes[[#This Row],[Cde_Prdt]], tbl_Produits[Cde_Prdt], 0)), "")</f>
        <v/>
      </c>
    </row>
    <row r="3877" spans="1:11" x14ac:dyDescent="0.25">
      <c r="A3877" s="5"/>
      <c r="B3877" s="63" t="str">
        <f>IFERROR(TEXT(tbl_Ventes[[#This Row],[Date]],"mm-aaaa"),"")</f>
        <v>01-1900</v>
      </c>
      <c r="D3877" s="10" t="str">
        <f>IFERROR(
   INDEX(tbl_ProduitsRef[Cde_Prdt],MATCH(tbl_Ventes[[#This Row],[Produit]],tbl_ProduitsRef[Produit],0)),
   ""
)</f>
        <v/>
      </c>
      <c r="E3877" s="7">
        <v>0</v>
      </c>
      <c r="F3877" s="7" t="str">
        <f>IFERROR(
   INDEX(tbl_ProduitsRef[Prix Menu],MATCH(tbl_Ventes[[#This Row],[Produit]],tbl_ProduitsRef[Produit],0)),
   ""
)</f>
        <v/>
      </c>
      <c r="G3877" s="7">
        <f>tbl_Ventes[[#This Row],[Qté Vendue]] * IFERROR(_xlfn.XLOOKUP(tbl_Ventes[[#This Row],[Cde_Prdt]], tbl_Produits[Cde_Prdt], tbl_Produits[Prix Menu]), 0)</f>
        <v>0</v>
      </c>
      <c r="H3877" s="7">
        <f>IFERROR(_xlfn.XLOOKUP(tbl_Ventes[[#This Row],[Cde_Prdt]], tbl_Produits[Cde_Prdt], tbl_Produits[Coût Moyen Portion]), 0)</f>
        <v>0</v>
      </c>
      <c r="I3877" s="7">
        <f>tbl_Ventes[[#This Row],[Qté Vendue]] * tbl_Ventes[[#This Row],[CMP_par_portion]]</f>
        <v>0</v>
      </c>
      <c r="J3877" s="7">
        <f>tbl_Ventes[[#This Row],[CA ligne]] - tbl_Ventes[[#This Row],[Coût matière ligne]]</f>
        <v>0</v>
      </c>
      <c r="K3877" s="7" t="str">
        <f>IFERROR(INDEX(tbl_ProduitsRef[Famille], MATCH(tbl_Ventes[[#This Row],[Cde_Prdt]], tbl_Produits[Cde_Prdt], 0)), "")</f>
        <v/>
      </c>
    </row>
    <row r="3878" spans="1:11" x14ac:dyDescent="0.25">
      <c r="A3878" s="5"/>
      <c r="B3878" s="63" t="str">
        <f>IFERROR(TEXT(tbl_Ventes[[#This Row],[Date]],"mm-aaaa"),"")</f>
        <v>01-1900</v>
      </c>
      <c r="D3878" s="10" t="str">
        <f>IFERROR(
   INDEX(tbl_ProduitsRef[Cde_Prdt],MATCH(tbl_Ventes[[#This Row],[Produit]],tbl_ProduitsRef[Produit],0)),
   ""
)</f>
        <v/>
      </c>
      <c r="E3878" s="7">
        <v>0</v>
      </c>
      <c r="F3878" s="7" t="str">
        <f>IFERROR(
   INDEX(tbl_ProduitsRef[Prix Menu],MATCH(tbl_Ventes[[#This Row],[Produit]],tbl_ProduitsRef[Produit],0)),
   ""
)</f>
        <v/>
      </c>
      <c r="G3878" s="7">
        <f>tbl_Ventes[[#This Row],[Qté Vendue]] * IFERROR(_xlfn.XLOOKUP(tbl_Ventes[[#This Row],[Cde_Prdt]], tbl_Produits[Cde_Prdt], tbl_Produits[Prix Menu]), 0)</f>
        <v>0</v>
      </c>
      <c r="H3878" s="7">
        <f>IFERROR(_xlfn.XLOOKUP(tbl_Ventes[[#This Row],[Cde_Prdt]], tbl_Produits[Cde_Prdt], tbl_Produits[Coût Moyen Portion]), 0)</f>
        <v>0</v>
      </c>
      <c r="I3878" s="7">
        <f>tbl_Ventes[[#This Row],[Qté Vendue]] * tbl_Ventes[[#This Row],[CMP_par_portion]]</f>
        <v>0</v>
      </c>
      <c r="J3878" s="7">
        <f>tbl_Ventes[[#This Row],[CA ligne]] - tbl_Ventes[[#This Row],[Coût matière ligne]]</f>
        <v>0</v>
      </c>
      <c r="K3878" s="7" t="str">
        <f>IFERROR(INDEX(tbl_ProduitsRef[Famille], MATCH(tbl_Ventes[[#This Row],[Cde_Prdt]], tbl_Produits[Cde_Prdt], 0)), "")</f>
        <v/>
      </c>
    </row>
    <row r="3879" spans="1:11" x14ac:dyDescent="0.25">
      <c r="A3879" s="5"/>
      <c r="B3879" s="63" t="str">
        <f>IFERROR(TEXT(tbl_Ventes[[#This Row],[Date]],"mm-aaaa"),"")</f>
        <v>01-1900</v>
      </c>
      <c r="D3879" s="10" t="str">
        <f>IFERROR(
   INDEX(tbl_ProduitsRef[Cde_Prdt],MATCH(tbl_Ventes[[#This Row],[Produit]],tbl_ProduitsRef[Produit],0)),
   ""
)</f>
        <v/>
      </c>
      <c r="E3879" s="7">
        <v>0</v>
      </c>
      <c r="F3879" s="7" t="str">
        <f>IFERROR(
   INDEX(tbl_ProduitsRef[Prix Menu],MATCH(tbl_Ventes[[#This Row],[Produit]],tbl_ProduitsRef[Produit],0)),
   ""
)</f>
        <v/>
      </c>
      <c r="G3879" s="7">
        <f>tbl_Ventes[[#This Row],[Qté Vendue]] * IFERROR(_xlfn.XLOOKUP(tbl_Ventes[[#This Row],[Cde_Prdt]], tbl_Produits[Cde_Prdt], tbl_Produits[Prix Menu]), 0)</f>
        <v>0</v>
      </c>
      <c r="H3879" s="7">
        <f>IFERROR(_xlfn.XLOOKUP(tbl_Ventes[[#This Row],[Cde_Prdt]], tbl_Produits[Cde_Prdt], tbl_Produits[Coût Moyen Portion]), 0)</f>
        <v>0</v>
      </c>
      <c r="I3879" s="7">
        <f>tbl_Ventes[[#This Row],[Qté Vendue]] * tbl_Ventes[[#This Row],[CMP_par_portion]]</f>
        <v>0</v>
      </c>
      <c r="J3879" s="7">
        <f>tbl_Ventes[[#This Row],[CA ligne]] - tbl_Ventes[[#This Row],[Coût matière ligne]]</f>
        <v>0</v>
      </c>
      <c r="K3879" s="7" t="str">
        <f>IFERROR(INDEX(tbl_ProduitsRef[Famille], MATCH(tbl_Ventes[[#This Row],[Cde_Prdt]], tbl_Produits[Cde_Prdt], 0)), "")</f>
        <v/>
      </c>
    </row>
    <row r="3880" spans="1:11" x14ac:dyDescent="0.25">
      <c r="A3880" s="5"/>
      <c r="B3880" s="63" t="str">
        <f>IFERROR(TEXT(tbl_Ventes[[#This Row],[Date]],"mm-aaaa"),"")</f>
        <v>01-1900</v>
      </c>
      <c r="D3880" s="10" t="str">
        <f>IFERROR(
   INDEX(tbl_ProduitsRef[Cde_Prdt],MATCH(tbl_Ventes[[#This Row],[Produit]],tbl_ProduitsRef[Produit],0)),
   ""
)</f>
        <v/>
      </c>
      <c r="E3880" s="7">
        <v>0</v>
      </c>
      <c r="F3880" s="7" t="str">
        <f>IFERROR(
   INDEX(tbl_ProduitsRef[Prix Menu],MATCH(tbl_Ventes[[#This Row],[Produit]],tbl_ProduitsRef[Produit],0)),
   ""
)</f>
        <v/>
      </c>
      <c r="G3880" s="7">
        <f>tbl_Ventes[[#This Row],[Qté Vendue]] * IFERROR(_xlfn.XLOOKUP(tbl_Ventes[[#This Row],[Cde_Prdt]], tbl_Produits[Cde_Prdt], tbl_Produits[Prix Menu]), 0)</f>
        <v>0</v>
      </c>
      <c r="H3880" s="7">
        <f>IFERROR(_xlfn.XLOOKUP(tbl_Ventes[[#This Row],[Cde_Prdt]], tbl_Produits[Cde_Prdt], tbl_Produits[Coût Moyen Portion]), 0)</f>
        <v>0</v>
      </c>
      <c r="I3880" s="7">
        <f>tbl_Ventes[[#This Row],[Qté Vendue]] * tbl_Ventes[[#This Row],[CMP_par_portion]]</f>
        <v>0</v>
      </c>
      <c r="J3880" s="7">
        <f>tbl_Ventes[[#This Row],[CA ligne]] - tbl_Ventes[[#This Row],[Coût matière ligne]]</f>
        <v>0</v>
      </c>
      <c r="K3880" s="7" t="str">
        <f>IFERROR(INDEX(tbl_ProduitsRef[Famille], MATCH(tbl_Ventes[[#This Row],[Cde_Prdt]], tbl_Produits[Cde_Prdt], 0)), "")</f>
        <v/>
      </c>
    </row>
    <row r="3881" spans="1:11" x14ac:dyDescent="0.25">
      <c r="A3881" s="5"/>
      <c r="B3881" s="63" t="str">
        <f>IFERROR(TEXT(tbl_Ventes[[#This Row],[Date]],"mm-aaaa"),"")</f>
        <v>01-1900</v>
      </c>
      <c r="D3881" s="10" t="str">
        <f>IFERROR(
   INDEX(tbl_ProduitsRef[Cde_Prdt],MATCH(tbl_Ventes[[#This Row],[Produit]],tbl_ProduitsRef[Produit],0)),
   ""
)</f>
        <v/>
      </c>
      <c r="E3881" s="7">
        <v>0</v>
      </c>
      <c r="F3881" s="7" t="str">
        <f>IFERROR(
   INDEX(tbl_ProduitsRef[Prix Menu],MATCH(tbl_Ventes[[#This Row],[Produit]],tbl_ProduitsRef[Produit],0)),
   ""
)</f>
        <v/>
      </c>
      <c r="G3881" s="7">
        <f>tbl_Ventes[[#This Row],[Qté Vendue]] * IFERROR(_xlfn.XLOOKUP(tbl_Ventes[[#This Row],[Cde_Prdt]], tbl_Produits[Cde_Prdt], tbl_Produits[Prix Menu]), 0)</f>
        <v>0</v>
      </c>
      <c r="H3881" s="7">
        <f>IFERROR(_xlfn.XLOOKUP(tbl_Ventes[[#This Row],[Cde_Prdt]], tbl_Produits[Cde_Prdt], tbl_Produits[Coût Moyen Portion]), 0)</f>
        <v>0</v>
      </c>
      <c r="I3881" s="7">
        <f>tbl_Ventes[[#This Row],[Qté Vendue]] * tbl_Ventes[[#This Row],[CMP_par_portion]]</f>
        <v>0</v>
      </c>
      <c r="J3881" s="7">
        <f>tbl_Ventes[[#This Row],[CA ligne]] - tbl_Ventes[[#This Row],[Coût matière ligne]]</f>
        <v>0</v>
      </c>
      <c r="K3881" s="7" t="str">
        <f>IFERROR(INDEX(tbl_ProduitsRef[Famille], MATCH(tbl_Ventes[[#This Row],[Cde_Prdt]], tbl_Produits[Cde_Prdt], 0)), "")</f>
        <v/>
      </c>
    </row>
    <row r="3882" spans="1:11" x14ac:dyDescent="0.25">
      <c r="A3882" s="5"/>
      <c r="B3882" s="63" t="str">
        <f>IFERROR(TEXT(tbl_Ventes[[#This Row],[Date]],"mm-aaaa"),"")</f>
        <v>01-1900</v>
      </c>
      <c r="D3882" s="10" t="str">
        <f>IFERROR(
   INDEX(tbl_ProduitsRef[Cde_Prdt],MATCH(tbl_Ventes[[#This Row],[Produit]],tbl_ProduitsRef[Produit],0)),
   ""
)</f>
        <v/>
      </c>
      <c r="E3882" s="7">
        <v>0</v>
      </c>
      <c r="F3882" s="7" t="str">
        <f>IFERROR(
   INDEX(tbl_ProduitsRef[Prix Menu],MATCH(tbl_Ventes[[#This Row],[Produit]],tbl_ProduitsRef[Produit],0)),
   ""
)</f>
        <v/>
      </c>
      <c r="G3882" s="7">
        <f>tbl_Ventes[[#This Row],[Qté Vendue]] * IFERROR(_xlfn.XLOOKUP(tbl_Ventes[[#This Row],[Cde_Prdt]], tbl_Produits[Cde_Prdt], tbl_Produits[Prix Menu]), 0)</f>
        <v>0</v>
      </c>
      <c r="H3882" s="7">
        <f>IFERROR(_xlfn.XLOOKUP(tbl_Ventes[[#This Row],[Cde_Prdt]], tbl_Produits[Cde_Prdt], tbl_Produits[Coût Moyen Portion]), 0)</f>
        <v>0</v>
      </c>
      <c r="I3882" s="7">
        <f>tbl_Ventes[[#This Row],[Qté Vendue]] * tbl_Ventes[[#This Row],[CMP_par_portion]]</f>
        <v>0</v>
      </c>
      <c r="J3882" s="7">
        <f>tbl_Ventes[[#This Row],[CA ligne]] - tbl_Ventes[[#This Row],[Coût matière ligne]]</f>
        <v>0</v>
      </c>
      <c r="K3882" s="7" t="str">
        <f>IFERROR(INDEX(tbl_ProduitsRef[Famille], MATCH(tbl_Ventes[[#This Row],[Cde_Prdt]], tbl_Produits[Cde_Prdt], 0)), "")</f>
        <v/>
      </c>
    </row>
    <row r="3883" spans="1:11" x14ac:dyDescent="0.25">
      <c r="A3883" s="5"/>
      <c r="B3883" s="63" t="str">
        <f>IFERROR(TEXT(tbl_Ventes[[#This Row],[Date]],"mm-aaaa"),"")</f>
        <v>01-1900</v>
      </c>
      <c r="D3883" s="10" t="str">
        <f>IFERROR(
   INDEX(tbl_ProduitsRef[Cde_Prdt],MATCH(tbl_Ventes[[#This Row],[Produit]],tbl_ProduitsRef[Produit],0)),
   ""
)</f>
        <v/>
      </c>
      <c r="E3883" s="7">
        <v>0</v>
      </c>
      <c r="F3883" s="7" t="str">
        <f>IFERROR(
   INDEX(tbl_ProduitsRef[Prix Menu],MATCH(tbl_Ventes[[#This Row],[Produit]],tbl_ProduitsRef[Produit],0)),
   ""
)</f>
        <v/>
      </c>
      <c r="G3883" s="7">
        <f>tbl_Ventes[[#This Row],[Qté Vendue]] * IFERROR(_xlfn.XLOOKUP(tbl_Ventes[[#This Row],[Cde_Prdt]], tbl_Produits[Cde_Prdt], tbl_Produits[Prix Menu]), 0)</f>
        <v>0</v>
      </c>
      <c r="H3883" s="7">
        <f>IFERROR(_xlfn.XLOOKUP(tbl_Ventes[[#This Row],[Cde_Prdt]], tbl_Produits[Cde_Prdt], tbl_Produits[Coût Moyen Portion]), 0)</f>
        <v>0</v>
      </c>
      <c r="I3883" s="7">
        <f>tbl_Ventes[[#This Row],[Qté Vendue]] * tbl_Ventes[[#This Row],[CMP_par_portion]]</f>
        <v>0</v>
      </c>
      <c r="J3883" s="7">
        <f>tbl_Ventes[[#This Row],[CA ligne]] - tbl_Ventes[[#This Row],[Coût matière ligne]]</f>
        <v>0</v>
      </c>
      <c r="K3883" s="7" t="str">
        <f>IFERROR(INDEX(tbl_ProduitsRef[Famille], MATCH(tbl_Ventes[[#This Row],[Cde_Prdt]], tbl_Produits[Cde_Prdt], 0)), "")</f>
        <v/>
      </c>
    </row>
    <row r="3884" spans="1:11" x14ac:dyDescent="0.25">
      <c r="A3884" s="5"/>
      <c r="B3884" s="63" t="str">
        <f>IFERROR(TEXT(tbl_Ventes[[#This Row],[Date]],"mm-aaaa"),"")</f>
        <v>01-1900</v>
      </c>
      <c r="D3884" s="10" t="str">
        <f>IFERROR(
   INDEX(tbl_ProduitsRef[Cde_Prdt],MATCH(tbl_Ventes[[#This Row],[Produit]],tbl_ProduitsRef[Produit],0)),
   ""
)</f>
        <v/>
      </c>
      <c r="E3884" s="7">
        <v>0</v>
      </c>
      <c r="F3884" s="7" t="str">
        <f>IFERROR(
   INDEX(tbl_ProduitsRef[Prix Menu],MATCH(tbl_Ventes[[#This Row],[Produit]],tbl_ProduitsRef[Produit],0)),
   ""
)</f>
        <v/>
      </c>
      <c r="G3884" s="7">
        <f>tbl_Ventes[[#This Row],[Qté Vendue]] * IFERROR(_xlfn.XLOOKUP(tbl_Ventes[[#This Row],[Cde_Prdt]], tbl_Produits[Cde_Prdt], tbl_Produits[Prix Menu]), 0)</f>
        <v>0</v>
      </c>
      <c r="H3884" s="7">
        <f>IFERROR(_xlfn.XLOOKUP(tbl_Ventes[[#This Row],[Cde_Prdt]], tbl_Produits[Cde_Prdt], tbl_Produits[Coût Moyen Portion]), 0)</f>
        <v>0</v>
      </c>
      <c r="I3884" s="7">
        <f>tbl_Ventes[[#This Row],[Qté Vendue]] * tbl_Ventes[[#This Row],[CMP_par_portion]]</f>
        <v>0</v>
      </c>
      <c r="J3884" s="7">
        <f>tbl_Ventes[[#This Row],[CA ligne]] - tbl_Ventes[[#This Row],[Coût matière ligne]]</f>
        <v>0</v>
      </c>
      <c r="K3884" s="7" t="str">
        <f>IFERROR(INDEX(tbl_ProduitsRef[Famille], MATCH(tbl_Ventes[[#This Row],[Cde_Prdt]], tbl_Produits[Cde_Prdt], 0)), "")</f>
        <v/>
      </c>
    </row>
    <row r="3885" spans="1:11" x14ac:dyDescent="0.25">
      <c r="A3885" s="5"/>
      <c r="B3885" s="63" t="str">
        <f>IFERROR(TEXT(tbl_Ventes[[#This Row],[Date]],"mm-aaaa"),"")</f>
        <v>01-1900</v>
      </c>
      <c r="D3885" s="10" t="str">
        <f>IFERROR(
   INDEX(tbl_ProduitsRef[Cde_Prdt],MATCH(tbl_Ventes[[#This Row],[Produit]],tbl_ProduitsRef[Produit],0)),
   ""
)</f>
        <v/>
      </c>
      <c r="E3885" s="7">
        <v>0</v>
      </c>
      <c r="F3885" s="7" t="str">
        <f>IFERROR(
   INDEX(tbl_ProduitsRef[Prix Menu],MATCH(tbl_Ventes[[#This Row],[Produit]],tbl_ProduitsRef[Produit],0)),
   ""
)</f>
        <v/>
      </c>
      <c r="G3885" s="7">
        <f>tbl_Ventes[[#This Row],[Qté Vendue]] * IFERROR(_xlfn.XLOOKUP(tbl_Ventes[[#This Row],[Cde_Prdt]], tbl_Produits[Cde_Prdt], tbl_Produits[Prix Menu]), 0)</f>
        <v>0</v>
      </c>
      <c r="H3885" s="7">
        <f>IFERROR(_xlfn.XLOOKUP(tbl_Ventes[[#This Row],[Cde_Prdt]], tbl_Produits[Cde_Prdt], tbl_Produits[Coût Moyen Portion]), 0)</f>
        <v>0</v>
      </c>
      <c r="I3885" s="7">
        <f>tbl_Ventes[[#This Row],[Qté Vendue]] * tbl_Ventes[[#This Row],[CMP_par_portion]]</f>
        <v>0</v>
      </c>
      <c r="J3885" s="7">
        <f>tbl_Ventes[[#This Row],[CA ligne]] - tbl_Ventes[[#This Row],[Coût matière ligne]]</f>
        <v>0</v>
      </c>
      <c r="K3885" s="7" t="str">
        <f>IFERROR(INDEX(tbl_ProduitsRef[Famille], MATCH(tbl_Ventes[[#This Row],[Cde_Prdt]], tbl_Produits[Cde_Prdt], 0)), "")</f>
        <v/>
      </c>
    </row>
    <row r="3886" spans="1:11" x14ac:dyDescent="0.25">
      <c r="A3886" s="5"/>
      <c r="B3886" s="63" t="str">
        <f>IFERROR(TEXT(tbl_Ventes[[#This Row],[Date]],"mm-aaaa"),"")</f>
        <v>01-1900</v>
      </c>
      <c r="D3886" s="10" t="str">
        <f>IFERROR(
   INDEX(tbl_ProduitsRef[Cde_Prdt],MATCH(tbl_Ventes[[#This Row],[Produit]],tbl_ProduitsRef[Produit],0)),
   ""
)</f>
        <v/>
      </c>
      <c r="E3886" s="7">
        <v>0</v>
      </c>
      <c r="F3886" s="7" t="str">
        <f>IFERROR(
   INDEX(tbl_ProduitsRef[Prix Menu],MATCH(tbl_Ventes[[#This Row],[Produit]],tbl_ProduitsRef[Produit],0)),
   ""
)</f>
        <v/>
      </c>
      <c r="G3886" s="7">
        <f>tbl_Ventes[[#This Row],[Qté Vendue]] * IFERROR(_xlfn.XLOOKUP(tbl_Ventes[[#This Row],[Cde_Prdt]], tbl_Produits[Cde_Prdt], tbl_Produits[Prix Menu]), 0)</f>
        <v>0</v>
      </c>
      <c r="H3886" s="7">
        <f>IFERROR(_xlfn.XLOOKUP(tbl_Ventes[[#This Row],[Cde_Prdt]], tbl_Produits[Cde_Prdt], tbl_Produits[Coût Moyen Portion]), 0)</f>
        <v>0</v>
      </c>
      <c r="I3886" s="7">
        <f>tbl_Ventes[[#This Row],[Qté Vendue]] * tbl_Ventes[[#This Row],[CMP_par_portion]]</f>
        <v>0</v>
      </c>
      <c r="J3886" s="7">
        <f>tbl_Ventes[[#This Row],[CA ligne]] - tbl_Ventes[[#This Row],[Coût matière ligne]]</f>
        <v>0</v>
      </c>
      <c r="K3886" s="7" t="str">
        <f>IFERROR(INDEX(tbl_ProduitsRef[Famille], MATCH(tbl_Ventes[[#This Row],[Cde_Prdt]], tbl_Produits[Cde_Prdt], 0)), "")</f>
        <v/>
      </c>
    </row>
    <row r="3887" spans="1:11" x14ac:dyDescent="0.25">
      <c r="A3887" s="5"/>
      <c r="B3887" s="63" t="str">
        <f>IFERROR(TEXT(tbl_Ventes[[#This Row],[Date]],"mm-aaaa"),"")</f>
        <v>01-1900</v>
      </c>
      <c r="D3887" s="10" t="str">
        <f>IFERROR(
   INDEX(tbl_ProduitsRef[Cde_Prdt],MATCH(tbl_Ventes[[#This Row],[Produit]],tbl_ProduitsRef[Produit],0)),
   ""
)</f>
        <v/>
      </c>
      <c r="E3887" s="7">
        <v>0</v>
      </c>
      <c r="F3887" s="7" t="str">
        <f>IFERROR(
   INDEX(tbl_ProduitsRef[Prix Menu],MATCH(tbl_Ventes[[#This Row],[Produit]],tbl_ProduitsRef[Produit],0)),
   ""
)</f>
        <v/>
      </c>
      <c r="G3887" s="7">
        <f>tbl_Ventes[[#This Row],[Qté Vendue]] * IFERROR(_xlfn.XLOOKUP(tbl_Ventes[[#This Row],[Cde_Prdt]], tbl_Produits[Cde_Prdt], tbl_Produits[Prix Menu]), 0)</f>
        <v>0</v>
      </c>
      <c r="H3887" s="7">
        <f>IFERROR(_xlfn.XLOOKUP(tbl_Ventes[[#This Row],[Cde_Prdt]], tbl_Produits[Cde_Prdt], tbl_Produits[Coût Moyen Portion]), 0)</f>
        <v>0</v>
      </c>
      <c r="I3887" s="7">
        <f>tbl_Ventes[[#This Row],[Qté Vendue]] * tbl_Ventes[[#This Row],[CMP_par_portion]]</f>
        <v>0</v>
      </c>
      <c r="J3887" s="7">
        <f>tbl_Ventes[[#This Row],[CA ligne]] - tbl_Ventes[[#This Row],[Coût matière ligne]]</f>
        <v>0</v>
      </c>
      <c r="K3887" s="7" t="str">
        <f>IFERROR(INDEX(tbl_ProduitsRef[Famille], MATCH(tbl_Ventes[[#This Row],[Cde_Prdt]], tbl_Produits[Cde_Prdt], 0)), "")</f>
        <v/>
      </c>
    </row>
    <row r="3888" spans="1:11" x14ac:dyDescent="0.25">
      <c r="A3888" s="5"/>
      <c r="B3888" s="63" t="str">
        <f>IFERROR(TEXT(tbl_Ventes[[#This Row],[Date]],"mm-aaaa"),"")</f>
        <v>01-1900</v>
      </c>
      <c r="D3888" s="10" t="str">
        <f>IFERROR(
   INDEX(tbl_ProduitsRef[Cde_Prdt],MATCH(tbl_Ventes[[#This Row],[Produit]],tbl_ProduitsRef[Produit],0)),
   ""
)</f>
        <v/>
      </c>
      <c r="E3888" s="7">
        <v>0</v>
      </c>
      <c r="F3888" s="7" t="str">
        <f>IFERROR(
   INDEX(tbl_ProduitsRef[Prix Menu],MATCH(tbl_Ventes[[#This Row],[Produit]],tbl_ProduitsRef[Produit],0)),
   ""
)</f>
        <v/>
      </c>
      <c r="G3888" s="7">
        <f>tbl_Ventes[[#This Row],[Qté Vendue]] * IFERROR(_xlfn.XLOOKUP(tbl_Ventes[[#This Row],[Cde_Prdt]], tbl_Produits[Cde_Prdt], tbl_Produits[Prix Menu]), 0)</f>
        <v>0</v>
      </c>
      <c r="H3888" s="7">
        <f>IFERROR(_xlfn.XLOOKUP(tbl_Ventes[[#This Row],[Cde_Prdt]], tbl_Produits[Cde_Prdt], tbl_Produits[Coût Moyen Portion]), 0)</f>
        <v>0</v>
      </c>
      <c r="I3888" s="7">
        <f>tbl_Ventes[[#This Row],[Qté Vendue]] * tbl_Ventes[[#This Row],[CMP_par_portion]]</f>
        <v>0</v>
      </c>
      <c r="J3888" s="7">
        <f>tbl_Ventes[[#This Row],[CA ligne]] - tbl_Ventes[[#This Row],[Coût matière ligne]]</f>
        <v>0</v>
      </c>
      <c r="K3888" s="7" t="str">
        <f>IFERROR(INDEX(tbl_ProduitsRef[Famille], MATCH(tbl_Ventes[[#This Row],[Cde_Prdt]], tbl_Produits[Cde_Prdt], 0)), "")</f>
        <v/>
      </c>
    </row>
    <row r="3889" spans="1:11" x14ac:dyDescent="0.25">
      <c r="A3889" s="5"/>
      <c r="B3889" s="63" t="str">
        <f>IFERROR(TEXT(tbl_Ventes[[#This Row],[Date]],"mm-aaaa"),"")</f>
        <v>01-1900</v>
      </c>
      <c r="D3889" s="10" t="str">
        <f>IFERROR(
   INDEX(tbl_ProduitsRef[Cde_Prdt],MATCH(tbl_Ventes[[#This Row],[Produit]],tbl_ProduitsRef[Produit],0)),
   ""
)</f>
        <v/>
      </c>
      <c r="E3889" s="7">
        <v>0</v>
      </c>
      <c r="F3889" s="7" t="str">
        <f>IFERROR(
   INDEX(tbl_ProduitsRef[Prix Menu],MATCH(tbl_Ventes[[#This Row],[Produit]],tbl_ProduitsRef[Produit],0)),
   ""
)</f>
        <v/>
      </c>
      <c r="G3889" s="7">
        <f>tbl_Ventes[[#This Row],[Qté Vendue]] * IFERROR(_xlfn.XLOOKUP(tbl_Ventes[[#This Row],[Cde_Prdt]], tbl_Produits[Cde_Prdt], tbl_Produits[Prix Menu]), 0)</f>
        <v>0</v>
      </c>
      <c r="H3889" s="7">
        <f>IFERROR(_xlfn.XLOOKUP(tbl_Ventes[[#This Row],[Cde_Prdt]], tbl_Produits[Cde_Prdt], tbl_Produits[Coût Moyen Portion]), 0)</f>
        <v>0</v>
      </c>
      <c r="I3889" s="7">
        <f>tbl_Ventes[[#This Row],[Qté Vendue]] * tbl_Ventes[[#This Row],[CMP_par_portion]]</f>
        <v>0</v>
      </c>
      <c r="J3889" s="7">
        <f>tbl_Ventes[[#This Row],[CA ligne]] - tbl_Ventes[[#This Row],[Coût matière ligne]]</f>
        <v>0</v>
      </c>
      <c r="K3889" s="7" t="str">
        <f>IFERROR(INDEX(tbl_ProduitsRef[Famille], MATCH(tbl_Ventes[[#This Row],[Cde_Prdt]], tbl_Produits[Cde_Prdt], 0)), "")</f>
        <v/>
      </c>
    </row>
    <row r="3890" spans="1:11" x14ac:dyDescent="0.25">
      <c r="A3890" s="5"/>
      <c r="B3890" s="63" t="str">
        <f>IFERROR(TEXT(tbl_Ventes[[#This Row],[Date]],"mm-aaaa"),"")</f>
        <v>01-1900</v>
      </c>
      <c r="D3890" s="10" t="str">
        <f>IFERROR(
   INDEX(tbl_ProduitsRef[Cde_Prdt],MATCH(tbl_Ventes[[#This Row],[Produit]],tbl_ProduitsRef[Produit],0)),
   ""
)</f>
        <v/>
      </c>
      <c r="E3890" s="7">
        <v>0</v>
      </c>
      <c r="F3890" s="7" t="str">
        <f>IFERROR(
   INDEX(tbl_ProduitsRef[Prix Menu],MATCH(tbl_Ventes[[#This Row],[Produit]],tbl_ProduitsRef[Produit],0)),
   ""
)</f>
        <v/>
      </c>
      <c r="G3890" s="7">
        <f>tbl_Ventes[[#This Row],[Qté Vendue]] * IFERROR(_xlfn.XLOOKUP(tbl_Ventes[[#This Row],[Cde_Prdt]], tbl_Produits[Cde_Prdt], tbl_Produits[Prix Menu]), 0)</f>
        <v>0</v>
      </c>
      <c r="H3890" s="7">
        <f>IFERROR(_xlfn.XLOOKUP(tbl_Ventes[[#This Row],[Cde_Prdt]], tbl_Produits[Cde_Prdt], tbl_Produits[Coût Moyen Portion]), 0)</f>
        <v>0</v>
      </c>
      <c r="I3890" s="7">
        <f>tbl_Ventes[[#This Row],[Qté Vendue]] * tbl_Ventes[[#This Row],[CMP_par_portion]]</f>
        <v>0</v>
      </c>
      <c r="J3890" s="7">
        <f>tbl_Ventes[[#This Row],[CA ligne]] - tbl_Ventes[[#This Row],[Coût matière ligne]]</f>
        <v>0</v>
      </c>
      <c r="K3890" s="7" t="str">
        <f>IFERROR(INDEX(tbl_ProduitsRef[Famille], MATCH(tbl_Ventes[[#This Row],[Cde_Prdt]], tbl_Produits[Cde_Prdt], 0)), "")</f>
        <v/>
      </c>
    </row>
    <row r="3891" spans="1:11" x14ac:dyDescent="0.25">
      <c r="A3891" s="5"/>
      <c r="B3891" s="63" t="str">
        <f>IFERROR(TEXT(tbl_Ventes[[#This Row],[Date]],"mm-aaaa"),"")</f>
        <v>01-1900</v>
      </c>
      <c r="D3891" s="10" t="str">
        <f>IFERROR(
   INDEX(tbl_ProduitsRef[Cde_Prdt],MATCH(tbl_Ventes[[#This Row],[Produit]],tbl_ProduitsRef[Produit],0)),
   ""
)</f>
        <v/>
      </c>
      <c r="E3891" s="7">
        <v>0</v>
      </c>
      <c r="F3891" s="7" t="str">
        <f>IFERROR(
   INDEX(tbl_ProduitsRef[Prix Menu],MATCH(tbl_Ventes[[#This Row],[Produit]],tbl_ProduitsRef[Produit],0)),
   ""
)</f>
        <v/>
      </c>
      <c r="G3891" s="7">
        <f>tbl_Ventes[[#This Row],[Qté Vendue]] * IFERROR(_xlfn.XLOOKUP(tbl_Ventes[[#This Row],[Cde_Prdt]], tbl_Produits[Cde_Prdt], tbl_Produits[Prix Menu]), 0)</f>
        <v>0</v>
      </c>
      <c r="H3891" s="7">
        <f>IFERROR(_xlfn.XLOOKUP(tbl_Ventes[[#This Row],[Cde_Prdt]], tbl_Produits[Cde_Prdt], tbl_Produits[Coût Moyen Portion]), 0)</f>
        <v>0</v>
      </c>
      <c r="I3891" s="7">
        <f>tbl_Ventes[[#This Row],[Qté Vendue]] * tbl_Ventes[[#This Row],[CMP_par_portion]]</f>
        <v>0</v>
      </c>
      <c r="J3891" s="7">
        <f>tbl_Ventes[[#This Row],[CA ligne]] - tbl_Ventes[[#This Row],[Coût matière ligne]]</f>
        <v>0</v>
      </c>
      <c r="K3891" s="7" t="str">
        <f>IFERROR(INDEX(tbl_ProduitsRef[Famille], MATCH(tbl_Ventes[[#This Row],[Cde_Prdt]], tbl_Produits[Cde_Prdt], 0)), "")</f>
        <v/>
      </c>
    </row>
    <row r="3892" spans="1:11" x14ac:dyDescent="0.25">
      <c r="A3892" s="5"/>
      <c r="B3892" s="63" t="str">
        <f>IFERROR(TEXT(tbl_Ventes[[#This Row],[Date]],"mm-aaaa"),"")</f>
        <v>01-1900</v>
      </c>
      <c r="D3892" s="10" t="str">
        <f>IFERROR(
   INDEX(tbl_ProduitsRef[Cde_Prdt],MATCH(tbl_Ventes[[#This Row],[Produit]],tbl_ProduitsRef[Produit],0)),
   ""
)</f>
        <v/>
      </c>
      <c r="E3892" s="7">
        <v>0</v>
      </c>
      <c r="F3892" s="7" t="str">
        <f>IFERROR(
   INDEX(tbl_ProduitsRef[Prix Menu],MATCH(tbl_Ventes[[#This Row],[Produit]],tbl_ProduitsRef[Produit],0)),
   ""
)</f>
        <v/>
      </c>
      <c r="G3892" s="7">
        <f>tbl_Ventes[[#This Row],[Qté Vendue]] * IFERROR(_xlfn.XLOOKUP(tbl_Ventes[[#This Row],[Cde_Prdt]], tbl_Produits[Cde_Prdt], tbl_Produits[Prix Menu]), 0)</f>
        <v>0</v>
      </c>
      <c r="H3892" s="7">
        <f>IFERROR(_xlfn.XLOOKUP(tbl_Ventes[[#This Row],[Cde_Prdt]], tbl_Produits[Cde_Prdt], tbl_Produits[Coût Moyen Portion]), 0)</f>
        <v>0</v>
      </c>
      <c r="I3892" s="7">
        <f>tbl_Ventes[[#This Row],[Qté Vendue]] * tbl_Ventes[[#This Row],[CMP_par_portion]]</f>
        <v>0</v>
      </c>
      <c r="J3892" s="7">
        <f>tbl_Ventes[[#This Row],[CA ligne]] - tbl_Ventes[[#This Row],[Coût matière ligne]]</f>
        <v>0</v>
      </c>
      <c r="K3892" s="7" t="str">
        <f>IFERROR(INDEX(tbl_ProduitsRef[Famille], MATCH(tbl_Ventes[[#This Row],[Cde_Prdt]], tbl_Produits[Cde_Prdt], 0)), "")</f>
        <v/>
      </c>
    </row>
    <row r="3893" spans="1:11" x14ac:dyDescent="0.25">
      <c r="A3893" s="5"/>
      <c r="B3893" s="63" t="str">
        <f>IFERROR(TEXT(tbl_Ventes[[#This Row],[Date]],"mm-aaaa"),"")</f>
        <v>01-1900</v>
      </c>
      <c r="D3893" s="10" t="str">
        <f>IFERROR(
   INDEX(tbl_ProduitsRef[Cde_Prdt],MATCH(tbl_Ventes[[#This Row],[Produit]],tbl_ProduitsRef[Produit],0)),
   ""
)</f>
        <v/>
      </c>
      <c r="E3893" s="7">
        <v>0</v>
      </c>
      <c r="F3893" s="7" t="str">
        <f>IFERROR(
   INDEX(tbl_ProduitsRef[Prix Menu],MATCH(tbl_Ventes[[#This Row],[Produit]],tbl_ProduitsRef[Produit],0)),
   ""
)</f>
        <v/>
      </c>
      <c r="G3893" s="7">
        <f>tbl_Ventes[[#This Row],[Qté Vendue]] * IFERROR(_xlfn.XLOOKUP(tbl_Ventes[[#This Row],[Cde_Prdt]], tbl_Produits[Cde_Prdt], tbl_Produits[Prix Menu]), 0)</f>
        <v>0</v>
      </c>
      <c r="H3893" s="7">
        <f>IFERROR(_xlfn.XLOOKUP(tbl_Ventes[[#This Row],[Cde_Prdt]], tbl_Produits[Cde_Prdt], tbl_Produits[Coût Moyen Portion]), 0)</f>
        <v>0</v>
      </c>
      <c r="I3893" s="7">
        <f>tbl_Ventes[[#This Row],[Qté Vendue]] * tbl_Ventes[[#This Row],[CMP_par_portion]]</f>
        <v>0</v>
      </c>
      <c r="J3893" s="7">
        <f>tbl_Ventes[[#This Row],[CA ligne]] - tbl_Ventes[[#This Row],[Coût matière ligne]]</f>
        <v>0</v>
      </c>
      <c r="K3893" s="7" t="str">
        <f>IFERROR(INDEX(tbl_ProduitsRef[Famille], MATCH(tbl_Ventes[[#This Row],[Cde_Prdt]], tbl_Produits[Cde_Prdt], 0)), "")</f>
        <v/>
      </c>
    </row>
    <row r="3894" spans="1:11" x14ac:dyDescent="0.25">
      <c r="A3894" s="5"/>
      <c r="B3894" s="63" t="str">
        <f>IFERROR(TEXT(tbl_Ventes[[#This Row],[Date]],"mm-aaaa"),"")</f>
        <v>01-1900</v>
      </c>
      <c r="D3894" s="10" t="str">
        <f>IFERROR(
   INDEX(tbl_ProduitsRef[Cde_Prdt],MATCH(tbl_Ventes[[#This Row],[Produit]],tbl_ProduitsRef[Produit],0)),
   ""
)</f>
        <v/>
      </c>
      <c r="E3894" s="7">
        <v>0</v>
      </c>
      <c r="F3894" s="7" t="str">
        <f>IFERROR(
   INDEX(tbl_ProduitsRef[Prix Menu],MATCH(tbl_Ventes[[#This Row],[Produit]],tbl_ProduitsRef[Produit],0)),
   ""
)</f>
        <v/>
      </c>
      <c r="G3894" s="7">
        <f>tbl_Ventes[[#This Row],[Qté Vendue]] * IFERROR(_xlfn.XLOOKUP(tbl_Ventes[[#This Row],[Cde_Prdt]], tbl_Produits[Cde_Prdt], tbl_Produits[Prix Menu]), 0)</f>
        <v>0</v>
      </c>
      <c r="H3894" s="7">
        <f>IFERROR(_xlfn.XLOOKUP(tbl_Ventes[[#This Row],[Cde_Prdt]], tbl_Produits[Cde_Prdt], tbl_Produits[Coût Moyen Portion]), 0)</f>
        <v>0</v>
      </c>
      <c r="I3894" s="7">
        <f>tbl_Ventes[[#This Row],[Qté Vendue]] * tbl_Ventes[[#This Row],[CMP_par_portion]]</f>
        <v>0</v>
      </c>
      <c r="J3894" s="7">
        <f>tbl_Ventes[[#This Row],[CA ligne]] - tbl_Ventes[[#This Row],[Coût matière ligne]]</f>
        <v>0</v>
      </c>
      <c r="K3894" s="7" t="str">
        <f>IFERROR(INDEX(tbl_ProduitsRef[Famille], MATCH(tbl_Ventes[[#This Row],[Cde_Prdt]], tbl_Produits[Cde_Prdt], 0)), "")</f>
        <v/>
      </c>
    </row>
    <row r="3895" spans="1:11" x14ac:dyDescent="0.25">
      <c r="A3895" s="5"/>
      <c r="B3895" s="63" t="str">
        <f>IFERROR(TEXT(tbl_Ventes[[#This Row],[Date]],"mm-aaaa"),"")</f>
        <v>01-1900</v>
      </c>
      <c r="D3895" s="10" t="str">
        <f>IFERROR(
   INDEX(tbl_ProduitsRef[Cde_Prdt],MATCH(tbl_Ventes[[#This Row],[Produit]],tbl_ProduitsRef[Produit],0)),
   ""
)</f>
        <v/>
      </c>
      <c r="E3895" s="7">
        <v>0</v>
      </c>
      <c r="F3895" s="7" t="str">
        <f>IFERROR(
   INDEX(tbl_ProduitsRef[Prix Menu],MATCH(tbl_Ventes[[#This Row],[Produit]],tbl_ProduitsRef[Produit],0)),
   ""
)</f>
        <v/>
      </c>
      <c r="G3895" s="7">
        <f>tbl_Ventes[[#This Row],[Qté Vendue]] * IFERROR(_xlfn.XLOOKUP(tbl_Ventes[[#This Row],[Cde_Prdt]], tbl_Produits[Cde_Prdt], tbl_Produits[Prix Menu]), 0)</f>
        <v>0</v>
      </c>
      <c r="H3895" s="7">
        <f>IFERROR(_xlfn.XLOOKUP(tbl_Ventes[[#This Row],[Cde_Prdt]], tbl_Produits[Cde_Prdt], tbl_Produits[Coût Moyen Portion]), 0)</f>
        <v>0</v>
      </c>
      <c r="I3895" s="7">
        <f>tbl_Ventes[[#This Row],[Qté Vendue]] * tbl_Ventes[[#This Row],[CMP_par_portion]]</f>
        <v>0</v>
      </c>
      <c r="J3895" s="7">
        <f>tbl_Ventes[[#This Row],[CA ligne]] - tbl_Ventes[[#This Row],[Coût matière ligne]]</f>
        <v>0</v>
      </c>
      <c r="K3895" s="7" t="str">
        <f>IFERROR(INDEX(tbl_ProduitsRef[Famille], MATCH(tbl_Ventes[[#This Row],[Cde_Prdt]], tbl_Produits[Cde_Prdt], 0)), "")</f>
        <v/>
      </c>
    </row>
    <row r="3896" spans="1:11" x14ac:dyDescent="0.25">
      <c r="A3896" s="5"/>
      <c r="B3896" s="63" t="str">
        <f>IFERROR(TEXT(tbl_Ventes[[#This Row],[Date]],"mm-aaaa"),"")</f>
        <v>01-1900</v>
      </c>
      <c r="D3896" s="10" t="str">
        <f>IFERROR(
   INDEX(tbl_ProduitsRef[Cde_Prdt],MATCH(tbl_Ventes[[#This Row],[Produit]],tbl_ProduitsRef[Produit],0)),
   ""
)</f>
        <v/>
      </c>
      <c r="E3896" s="7">
        <v>0</v>
      </c>
      <c r="F3896" s="7" t="str">
        <f>IFERROR(
   INDEX(tbl_ProduitsRef[Prix Menu],MATCH(tbl_Ventes[[#This Row],[Produit]],tbl_ProduitsRef[Produit],0)),
   ""
)</f>
        <v/>
      </c>
      <c r="G3896" s="7">
        <f>tbl_Ventes[[#This Row],[Qté Vendue]] * IFERROR(_xlfn.XLOOKUP(tbl_Ventes[[#This Row],[Cde_Prdt]], tbl_Produits[Cde_Prdt], tbl_Produits[Prix Menu]), 0)</f>
        <v>0</v>
      </c>
      <c r="H3896" s="7">
        <f>IFERROR(_xlfn.XLOOKUP(tbl_Ventes[[#This Row],[Cde_Prdt]], tbl_Produits[Cde_Prdt], tbl_Produits[Coût Moyen Portion]), 0)</f>
        <v>0</v>
      </c>
      <c r="I3896" s="7">
        <f>tbl_Ventes[[#This Row],[Qté Vendue]] * tbl_Ventes[[#This Row],[CMP_par_portion]]</f>
        <v>0</v>
      </c>
      <c r="J3896" s="7">
        <f>tbl_Ventes[[#This Row],[CA ligne]] - tbl_Ventes[[#This Row],[Coût matière ligne]]</f>
        <v>0</v>
      </c>
      <c r="K3896" s="7" t="str">
        <f>IFERROR(INDEX(tbl_ProduitsRef[Famille], MATCH(tbl_Ventes[[#This Row],[Cde_Prdt]], tbl_Produits[Cde_Prdt], 0)), "")</f>
        <v/>
      </c>
    </row>
    <row r="3897" spans="1:11" x14ac:dyDescent="0.25">
      <c r="A3897" s="5"/>
      <c r="B3897" s="63" t="str">
        <f>IFERROR(TEXT(tbl_Ventes[[#This Row],[Date]],"mm-aaaa"),"")</f>
        <v>01-1900</v>
      </c>
      <c r="D3897" s="10" t="str">
        <f>IFERROR(
   INDEX(tbl_ProduitsRef[Cde_Prdt],MATCH(tbl_Ventes[[#This Row],[Produit]],tbl_ProduitsRef[Produit],0)),
   ""
)</f>
        <v/>
      </c>
      <c r="E3897" s="7">
        <v>0</v>
      </c>
      <c r="F3897" s="7" t="str">
        <f>IFERROR(
   INDEX(tbl_ProduitsRef[Prix Menu],MATCH(tbl_Ventes[[#This Row],[Produit]],tbl_ProduitsRef[Produit],0)),
   ""
)</f>
        <v/>
      </c>
      <c r="G3897" s="7">
        <f>tbl_Ventes[[#This Row],[Qté Vendue]] * IFERROR(_xlfn.XLOOKUP(tbl_Ventes[[#This Row],[Cde_Prdt]], tbl_Produits[Cde_Prdt], tbl_Produits[Prix Menu]), 0)</f>
        <v>0</v>
      </c>
      <c r="H3897" s="7">
        <f>IFERROR(_xlfn.XLOOKUP(tbl_Ventes[[#This Row],[Cde_Prdt]], tbl_Produits[Cde_Prdt], tbl_Produits[Coût Moyen Portion]), 0)</f>
        <v>0</v>
      </c>
      <c r="I3897" s="7">
        <f>tbl_Ventes[[#This Row],[Qté Vendue]] * tbl_Ventes[[#This Row],[CMP_par_portion]]</f>
        <v>0</v>
      </c>
      <c r="J3897" s="7">
        <f>tbl_Ventes[[#This Row],[CA ligne]] - tbl_Ventes[[#This Row],[Coût matière ligne]]</f>
        <v>0</v>
      </c>
      <c r="K3897" s="7" t="str">
        <f>IFERROR(INDEX(tbl_ProduitsRef[Famille], MATCH(tbl_Ventes[[#This Row],[Cde_Prdt]], tbl_Produits[Cde_Prdt], 0)), "")</f>
        <v/>
      </c>
    </row>
    <row r="3898" spans="1:11" x14ac:dyDescent="0.25">
      <c r="A3898" s="5"/>
      <c r="B3898" s="63" t="str">
        <f>IFERROR(TEXT(tbl_Ventes[[#This Row],[Date]],"mm-aaaa"),"")</f>
        <v>01-1900</v>
      </c>
      <c r="D3898" s="10" t="str">
        <f>IFERROR(
   INDEX(tbl_ProduitsRef[Cde_Prdt],MATCH(tbl_Ventes[[#This Row],[Produit]],tbl_ProduitsRef[Produit],0)),
   ""
)</f>
        <v/>
      </c>
      <c r="E3898" s="7">
        <v>0</v>
      </c>
      <c r="F3898" s="7" t="str">
        <f>IFERROR(
   INDEX(tbl_ProduitsRef[Prix Menu],MATCH(tbl_Ventes[[#This Row],[Produit]],tbl_ProduitsRef[Produit],0)),
   ""
)</f>
        <v/>
      </c>
      <c r="G3898" s="7">
        <f>tbl_Ventes[[#This Row],[Qté Vendue]] * IFERROR(_xlfn.XLOOKUP(tbl_Ventes[[#This Row],[Cde_Prdt]], tbl_Produits[Cde_Prdt], tbl_Produits[Prix Menu]), 0)</f>
        <v>0</v>
      </c>
      <c r="H3898" s="7">
        <f>IFERROR(_xlfn.XLOOKUP(tbl_Ventes[[#This Row],[Cde_Prdt]], tbl_Produits[Cde_Prdt], tbl_Produits[Coût Moyen Portion]), 0)</f>
        <v>0</v>
      </c>
      <c r="I3898" s="7">
        <f>tbl_Ventes[[#This Row],[Qté Vendue]] * tbl_Ventes[[#This Row],[CMP_par_portion]]</f>
        <v>0</v>
      </c>
      <c r="J3898" s="7">
        <f>tbl_Ventes[[#This Row],[CA ligne]] - tbl_Ventes[[#This Row],[Coût matière ligne]]</f>
        <v>0</v>
      </c>
      <c r="K3898" s="7" t="str">
        <f>IFERROR(INDEX(tbl_ProduitsRef[Famille], MATCH(tbl_Ventes[[#This Row],[Cde_Prdt]], tbl_Produits[Cde_Prdt], 0)), "")</f>
        <v/>
      </c>
    </row>
    <row r="3899" spans="1:11" x14ac:dyDescent="0.25">
      <c r="A3899" s="5"/>
      <c r="B3899" s="63" t="str">
        <f>IFERROR(TEXT(tbl_Ventes[[#This Row],[Date]],"mm-aaaa"),"")</f>
        <v>01-1900</v>
      </c>
      <c r="D3899" s="10" t="str">
        <f>IFERROR(
   INDEX(tbl_ProduitsRef[Cde_Prdt],MATCH(tbl_Ventes[[#This Row],[Produit]],tbl_ProduitsRef[Produit],0)),
   ""
)</f>
        <v/>
      </c>
      <c r="E3899" s="7">
        <v>0</v>
      </c>
      <c r="F3899" s="7" t="str">
        <f>IFERROR(
   INDEX(tbl_ProduitsRef[Prix Menu],MATCH(tbl_Ventes[[#This Row],[Produit]],tbl_ProduitsRef[Produit],0)),
   ""
)</f>
        <v/>
      </c>
      <c r="G3899" s="7">
        <f>tbl_Ventes[[#This Row],[Qté Vendue]] * IFERROR(_xlfn.XLOOKUP(tbl_Ventes[[#This Row],[Cde_Prdt]], tbl_Produits[Cde_Prdt], tbl_Produits[Prix Menu]), 0)</f>
        <v>0</v>
      </c>
      <c r="H3899" s="7">
        <f>IFERROR(_xlfn.XLOOKUP(tbl_Ventes[[#This Row],[Cde_Prdt]], tbl_Produits[Cde_Prdt], tbl_Produits[Coût Moyen Portion]), 0)</f>
        <v>0</v>
      </c>
      <c r="I3899" s="7">
        <f>tbl_Ventes[[#This Row],[Qté Vendue]] * tbl_Ventes[[#This Row],[CMP_par_portion]]</f>
        <v>0</v>
      </c>
      <c r="J3899" s="7">
        <f>tbl_Ventes[[#This Row],[CA ligne]] - tbl_Ventes[[#This Row],[Coût matière ligne]]</f>
        <v>0</v>
      </c>
      <c r="K3899" s="7" t="str">
        <f>IFERROR(INDEX(tbl_ProduitsRef[Famille], MATCH(tbl_Ventes[[#This Row],[Cde_Prdt]], tbl_Produits[Cde_Prdt], 0)), "")</f>
        <v/>
      </c>
    </row>
    <row r="3900" spans="1:11" x14ac:dyDescent="0.25">
      <c r="A3900" s="5"/>
      <c r="B3900" s="63" t="str">
        <f>IFERROR(TEXT(tbl_Ventes[[#This Row],[Date]],"mm-aaaa"),"")</f>
        <v>01-1900</v>
      </c>
      <c r="D3900" s="10" t="str">
        <f>IFERROR(
   INDEX(tbl_ProduitsRef[Cde_Prdt],MATCH(tbl_Ventes[[#This Row],[Produit]],tbl_ProduitsRef[Produit],0)),
   ""
)</f>
        <v/>
      </c>
      <c r="E3900" s="7">
        <v>0</v>
      </c>
      <c r="F3900" s="7" t="str">
        <f>IFERROR(
   INDEX(tbl_ProduitsRef[Prix Menu],MATCH(tbl_Ventes[[#This Row],[Produit]],tbl_ProduitsRef[Produit],0)),
   ""
)</f>
        <v/>
      </c>
      <c r="G3900" s="7">
        <f>tbl_Ventes[[#This Row],[Qté Vendue]] * IFERROR(_xlfn.XLOOKUP(tbl_Ventes[[#This Row],[Cde_Prdt]], tbl_Produits[Cde_Prdt], tbl_Produits[Prix Menu]), 0)</f>
        <v>0</v>
      </c>
      <c r="H3900" s="7">
        <f>IFERROR(_xlfn.XLOOKUP(tbl_Ventes[[#This Row],[Cde_Prdt]], tbl_Produits[Cde_Prdt], tbl_Produits[Coût Moyen Portion]), 0)</f>
        <v>0</v>
      </c>
      <c r="I3900" s="7">
        <f>tbl_Ventes[[#This Row],[Qté Vendue]] * tbl_Ventes[[#This Row],[CMP_par_portion]]</f>
        <v>0</v>
      </c>
      <c r="J3900" s="7">
        <f>tbl_Ventes[[#This Row],[CA ligne]] - tbl_Ventes[[#This Row],[Coût matière ligne]]</f>
        <v>0</v>
      </c>
      <c r="K3900" s="7" t="str">
        <f>IFERROR(INDEX(tbl_ProduitsRef[Famille], MATCH(tbl_Ventes[[#This Row],[Cde_Prdt]], tbl_Produits[Cde_Prdt], 0)), "")</f>
        <v/>
      </c>
    </row>
    <row r="3901" spans="1:11" x14ac:dyDescent="0.25">
      <c r="A3901" s="5"/>
      <c r="B3901" s="63" t="str">
        <f>IFERROR(TEXT(tbl_Ventes[[#This Row],[Date]],"mm-aaaa"),"")</f>
        <v>01-1900</v>
      </c>
      <c r="D3901" s="10" t="str">
        <f>IFERROR(
   INDEX(tbl_ProduitsRef[Cde_Prdt],MATCH(tbl_Ventes[[#This Row],[Produit]],tbl_ProduitsRef[Produit],0)),
   ""
)</f>
        <v/>
      </c>
      <c r="E3901" s="7">
        <v>0</v>
      </c>
      <c r="F3901" s="7" t="str">
        <f>IFERROR(
   INDEX(tbl_ProduitsRef[Prix Menu],MATCH(tbl_Ventes[[#This Row],[Produit]],tbl_ProduitsRef[Produit],0)),
   ""
)</f>
        <v/>
      </c>
      <c r="G3901" s="7">
        <f>tbl_Ventes[[#This Row],[Qté Vendue]] * IFERROR(_xlfn.XLOOKUP(tbl_Ventes[[#This Row],[Cde_Prdt]], tbl_Produits[Cde_Prdt], tbl_Produits[Prix Menu]), 0)</f>
        <v>0</v>
      </c>
      <c r="H3901" s="7">
        <f>IFERROR(_xlfn.XLOOKUP(tbl_Ventes[[#This Row],[Cde_Prdt]], tbl_Produits[Cde_Prdt], tbl_Produits[Coût Moyen Portion]), 0)</f>
        <v>0</v>
      </c>
      <c r="I3901" s="7">
        <f>tbl_Ventes[[#This Row],[Qté Vendue]] * tbl_Ventes[[#This Row],[CMP_par_portion]]</f>
        <v>0</v>
      </c>
      <c r="J3901" s="7">
        <f>tbl_Ventes[[#This Row],[CA ligne]] - tbl_Ventes[[#This Row],[Coût matière ligne]]</f>
        <v>0</v>
      </c>
      <c r="K3901" s="7" t="str">
        <f>IFERROR(INDEX(tbl_ProduitsRef[Famille], MATCH(tbl_Ventes[[#This Row],[Cde_Prdt]], tbl_Produits[Cde_Prdt], 0)), "")</f>
        <v/>
      </c>
    </row>
    <row r="3902" spans="1:11" x14ac:dyDescent="0.25">
      <c r="A3902" s="5"/>
      <c r="B3902" s="63" t="str">
        <f>IFERROR(TEXT(tbl_Ventes[[#This Row],[Date]],"mm-aaaa"),"")</f>
        <v>01-1900</v>
      </c>
      <c r="D3902" s="10" t="str">
        <f>IFERROR(
   INDEX(tbl_ProduitsRef[Cde_Prdt],MATCH(tbl_Ventes[[#This Row],[Produit]],tbl_ProduitsRef[Produit],0)),
   ""
)</f>
        <v/>
      </c>
      <c r="E3902" s="7">
        <v>0</v>
      </c>
      <c r="F3902" s="7" t="str">
        <f>IFERROR(
   INDEX(tbl_ProduitsRef[Prix Menu],MATCH(tbl_Ventes[[#This Row],[Produit]],tbl_ProduitsRef[Produit],0)),
   ""
)</f>
        <v/>
      </c>
      <c r="G3902" s="7">
        <f>tbl_Ventes[[#This Row],[Qté Vendue]] * IFERROR(_xlfn.XLOOKUP(tbl_Ventes[[#This Row],[Cde_Prdt]], tbl_Produits[Cde_Prdt], tbl_Produits[Prix Menu]), 0)</f>
        <v>0</v>
      </c>
      <c r="H3902" s="7">
        <f>IFERROR(_xlfn.XLOOKUP(tbl_Ventes[[#This Row],[Cde_Prdt]], tbl_Produits[Cde_Prdt], tbl_Produits[Coût Moyen Portion]), 0)</f>
        <v>0</v>
      </c>
      <c r="I3902" s="7">
        <f>tbl_Ventes[[#This Row],[Qté Vendue]] * tbl_Ventes[[#This Row],[CMP_par_portion]]</f>
        <v>0</v>
      </c>
      <c r="J3902" s="7">
        <f>tbl_Ventes[[#This Row],[CA ligne]] - tbl_Ventes[[#This Row],[Coût matière ligne]]</f>
        <v>0</v>
      </c>
      <c r="K3902" s="7" t="str">
        <f>IFERROR(INDEX(tbl_ProduitsRef[Famille], MATCH(tbl_Ventes[[#This Row],[Cde_Prdt]], tbl_Produits[Cde_Prdt], 0)), "")</f>
        <v/>
      </c>
    </row>
    <row r="3903" spans="1:11" x14ac:dyDescent="0.25">
      <c r="A3903" s="5"/>
      <c r="B3903" s="63" t="str">
        <f>IFERROR(TEXT(tbl_Ventes[[#This Row],[Date]],"mm-aaaa"),"")</f>
        <v>01-1900</v>
      </c>
      <c r="D3903" s="10" t="str">
        <f>IFERROR(
   INDEX(tbl_ProduitsRef[Cde_Prdt],MATCH(tbl_Ventes[[#This Row],[Produit]],tbl_ProduitsRef[Produit],0)),
   ""
)</f>
        <v/>
      </c>
      <c r="E3903" s="7">
        <v>0</v>
      </c>
      <c r="F3903" s="7" t="str">
        <f>IFERROR(
   INDEX(tbl_ProduitsRef[Prix Menu],MATCH(tbl_Ventes[[#This Row],[Produit]],tbl_ProduitsRef[Produit],0)),
   ""
)</f>
        <v/>
      </c>
      <c r="G3903" s="7">
        <f>tbl_Ventes[[#This Row],[Qté Vendue]] * IFERROR(_xlfn.XLOOKUP(tbl_Ventes[[#This Row],[Cde_Prdt]], tbl_Produits[Cde_Prdt], tbl_Produits[Prix Menu]), 0)</f>
        <v>0</v>
      </c>
      <c r="H3903" s="7">
        <f>IFERROR(_xlfn.XLOOKUP(tbl_Ventes[[#This Row],[Cde_Prdt]], tbl_Produits[Cde_Prdt], tbl_Produits[Coût Moyen Portion]), 0)</f>
        <v>0</v>
      </c>
      <c r="I3903" s="7">
        <f>tbl_Ventes[[#This Row],[Qté Vendue]] * tbl_Ventes[[#This Row],[CMP_par_portion]]</f>
        <v>0</v>
      </c>
      <c r="J3903" s="7">
        <f>tbl_Ventes[[#This Row],[CA ligne]] - tbl_Ventes[[#This Row],[Coût matière ligne]]</f>
        <v>0</v>
      </c>
      <c r="K3903" s="7" t="str">
        <f>IFERROR(INDEX(tbl_ProduitsRef[Famille], MATCH(tbl_Ventes[[#This Row],[Cde_Prdt]], tbl_Produits[Cde_Prdt], 0)), "")</f>
        <v/>
      </c>
    </row>
    <row r="3904" spans="1:11" x14ac:dyDescent="0.25">
      <c r="A3904" s="5"/>
      <c r="B3904" s="63" t="str">
        <f>IFERROR(TEXT(tbl_Ventes[[#This Row],[Date]],"mm-aaaa"),"")</f>
        <v>01-1900</v>
      </c>
      <c r="D3904" s="10" t="str">
        <f>IFERROR(
   INDEX(tbl_ProduitsRef[Cde_Prdt],MATCH(tbl_Ventes[[#This Row],[Produit]],tbl_ProduitsRef[Produit],0)),
   ""
)</f>
        <v/>
      </c>
      <c r="E3904" s="7">
        <v>0</v>
      </c>
      <c r="F3904" s="7" t="str">
        <f>IFERROR(
   INDEX(tbl_ProduitsRef[Prix Menu],MATCH(tbl_Ventes[[#This Row],[Produit]],tbl_ProduitsRef[Produit],0)),
   ""
)</f>
        <v/>
      </c>
      <c r="G3904" s="7">
        <f>tbl_Ventes[[#This Row],[Qté Vendue]] * IFERROR(_xlfn.XLOOKUP(tbl_Ventes[[#This Row],[Cde_Prdt]], tbl_Produits[Cde_Prdt], tbl_Produits[Prix Menu]), 0)</f>
        <v>0</v>
      </c>
      <c r="H3904" s="7">
        <f>IFERROR(_xlfn.XLOOKUP(tbl_Ventes[[#This Row],[Cde_Prdt]], tbl_Produits[Cde_Prdt], tbl_Produits[Coût Moyen Portion]), 0)</f>
        <v>0</v>
      </c>
      <c r="I3904" s="7">
        <f>tbl_Ventes[[#This Row],[Qté Vendue]] * tbl_Ventes[[#This Row],[CMP_par_portion]]</f>
        <v>0</v>
      </c>
      <c r="J3904" s="7">
        <f>tbl_Ventes[[#This Row],[CA ligne]] - tbl_Ventes[[#This Row],[Coût matière ligne]]</f>
        <v>0</v>
      </c>
      <c r="K3904" s="7" t="str">
        <f>IFERROR(INDEX(tbl_ProduitsRef[Famille], MATCH(tbl_Ventes[[#This Row],[Cde_Prdt]], tbl_Produits[Cde_Prdt], 0)), "")</f>
        <v/>
      </c>
    </row>
    <row r="3905" spans="1:11" x14ac:dyDescent="0.25">
      <c r="A3905" s="5"/>
      <c r="B3905" s="63" t="str">
        <f>IFERROR(TEXT(tbl_Ventes[[#This Row],[Date]],"mm-aaaa"),"")</f>
        <v>01-1900</v>
      </c>
      <c r="D3905" s="10" t="str">
        <f>IFERROR(
   INDEX(tbl_ProduitsRef[Cde_Prdt],MATCH(tbl_Ventes[[#This Row],[Produit]],tbl_ProduitsRef[Produit],0)),
   ""
)</f>
        <v/>
      </c>
      <c r="E3905" s="7">
        <v>0</v>
      </c>
      <c r="F3905" s="7" t="str">
        <f>IFERROR(
   INDEX(tbl_ProduitsRef[Prix Menu],MATCH(tbl_Ventes[[#This Row],[Produit]],tbl_ProduitsRef[Produit],0)),
   ""
)</f>
        <v/>
      </c>
      <c r="G3905" s="7">
        <f>tbl_Ventes[[#This Row],[Qté Vendue]] * IFERROR(_xlfn.XLOOKUP(tbl_Ventes[[#This Row],[Cde_Prdt]], tbl_Produits[Cde_Prdt], tbl_Produits[Prix Menu]), 0)</f>
        <v>0</v>
      </c>
      <c r="H3905" s="7">
        <f>IFERROR(_xlfn.XLOOKUP(tbl_Ventes[[#This Row],[Cde_Prdt]], tbl_Produits[Cde_Prdt], tbl_Produits[Coût Moyen Portion]), 0)</f>
        <v>0</v>
      </c>
      <c r="I3905" s="7">
        <f>tbl_Ventes[[#This Row],[Qté Vendue]] * tbl_Ventes[[#This Row],[CMP_par_portion]]</f>
        <v>0</v>
      </c>
      <c r="J3905" s="7">
        <f>tbl_Ventes[[#This Row],[CA ligne]] - tbl_Ventes[[#This Row],[Coût matière ligne]]</f>
        <v>0</v>
      </c>
      <c r="K3905" s="7" t="str">
        <f>IFERROR(INDEX(tbl_ProduitsRef[Famille], MATCH(tbl_Ventes[[#This Row],[Cde_Prdt]], tbl_Produits[Cde_Prdt], 0)), "")</f>
        <v/>
      </c>
    </row>
    <row r="3906" spans="1:11" x14ac:dyDescent="0.25">
      <c r="A3906" s="5"/>
      <c r="B3906" s="63" t="str">
        <f>IFERROR(TEXT(tbl_Ventes[[#This Row],[Date]],"mm-aaaa"),"")</f>
        <v>01-1900</v>
      </c>
      <c r="D3906" s="10" t="str">
        <f>IFERROR(
   INDEX(tbl_ProduitsRef[Cde_Prdt],MATCH(tbl_Ventes[[#This Row],[Produit]],tbl_ProduitsRef[Produit],0)),
   ""
)</f>
        <v/>
      </c>
      <c r="E3906" s="7">
        <v>0</v>
      </c>
      <c r="F3906" s="7" t="str">
        <f>IFERROR(
   INDEX(tbl_ProduitsRef[Prix Menu],MATCH(tbl_Ventes[[#This Row],[Produit]],tbl_ProduitsRef[Produit],0)),
   ""
)</f>
        <v/>
      </c>
      <c r="G3906" s="7">
        <f>tbl_Ventes[[#This Row],[Qté Vendue]] * IFERROR(_xlfn.XLOOKUP(tbl_Ventes[[#This Row],[Cde_Prdt]], tbl_Produits[Cde_Prdt], tbl_Produits[Prix Menu]), 0)</f>
        <v>0</v>
      </c>
      <c r="H3906" s="7">
        <f>IFERROR(_xlfn.XLOOKUP(tbl_Ventes[[#This Row],[Cde_Prdt]], tbl_Produits[Cde_Prdt], tbl_Produits[Coût Moyen Portion]), 0)</f>
        <v>0</v>
      </c>
      <c r="I3906" s="7">
        <f>tbl_Ventes[[#This Row],[Qté Vendue]] * tbl_Ventes[[#This Row],[CMP_par_portion]]</f>
        <v>0</v>
      </c>
      <c r="J3906" s="7">
        <f>tbl_Ventes[[#This Row],[CA ligne]] - tbl_Ventes[[#This Row],[Coût matière ligne]]</f>
        <v>0</v>
      </c>
      <c r="K3906" s="7" t="str">
        <f>IFERROR(INDEX(tbl_ProduitsRef[Famille], MATCH(tbl_Ventes[[#This Row],[Cde_Prdt]], tbl_Produits[Cde_Prdt], 0)), "")</f>
        <v/>
      </c>
    </row>
    <row r="3907" spans="1:11" x14ac:dyDescent="0.25">
      <c r="A3907" s="5"/>
      <c r="B3907" s="63" t="str">
        <f>IFERROR(TEXT(tbl_Ventes[[#This Row],[Date]],"mm-aaaa"),"")</f>
        <v>01-1900</v>
      </c>
      <c r="D3907" s="10" t="str">
        <f>IFERROR(
   INDEX(tbl_ProduitsRef[Cde_Prdt],MATCH(tbl_Ventes[[#This Row],[Produit]],tbl_ProduitsRef[Produit],0)),
   ""
)</f>
        <v/>
      </c>
      <c r="E3907" s="7">
        <v>0</v>
      </c>
      <c r="F3907" s="7" t="str">
        <f>IFERROR(
   INDEX(tbl_ProduitsRef[Prix Menu],MATCH(tbl_Ventes[[#This Row],[Produit]],tbl_ProduitsRef[Produit],0)),
   ""
)</f>
        <v/>
      </c>
      <c r="G3907" s="7">
        <f>tbl_Ventes[[#This Row],[Qté Vendue]] * IFERROR(_xlfn.XLOOKUP(tbl_Ventes[[#This Row],[Cde_Prdt]], tbl_Produits[Cde_Prdt], tbl_Produits[Prix Menu]), 0)</f>
        <v>0</v>
      </c>
      <c r="H3907" s="7">
        <f>IFERROR(_xlfn.XLOOKUP(tbl_Ventes[[#This Row],[Cde_Prdt]], tbl_Produits[Cde_Prdt], tbl_Produits[Coût Moyen Portion]), 0)</f>
        <v>0</v>
      </c>
      <c r="I3907" s="7">
        <f>tbl_Ventes[[#This Row],[Qté Vendue]] * tbl_Ventes[[#This Row],[CMP_par_portion]]</f>
        <v>0</v>
      </c>
      <c r="J3907" s="7">
        <f>tbl_Ventes[[#This Row],[CA ligne]] - tbl_Ventes[[#This Row],[Coût matière ligne]]</f>
        <v>0</v>
      </c>
      <c r="K3907" s="7" t="str">
        <f>IFERROR(INDEX(tbl_ProduitsRef[Famille], MATCH(tbl_Ventes[[#This Row],[Cde_Prdt]], tbl_Produits[Cde_Prdt], 0)), "")</f>
        <v/>
      </c>
    </row>
    <row r="3908" spans="1:11" x14ac:dyDescent="0.25">
      <c r="A3908" s="5"/>
      <c r="B3908" s="63" t="str">
        <f>IFERROR(TEXT(tbl_Ventes[[#This Row],[Date]],"mm-aaaa"),"")</f>
        <v>01-1900</v>
      </c>
      <c r="D3908" s="10" t="str">
        <f>IFERROR(
   INDEX(tbl_ProduitsRef[Cde_Prdt],MATCH(tbl_Ventes[[#This Row],[Produit]],tbl_ProduitsRef[Produit],0)),
   ""
)</f>
        <v/>
      </c>
      <c r="E3908" s="7">
        <v>0</v>
      </c>
      <c r="F3908" s="7" t="str">
        <f>IFERROR(
   INDEX(tbl_ProduitsRef[Prix Menu],MATCH(tbl_Ventes[[#This Row],[Produit]],tbl_ProduitsRef[Produit],0)),
   ""
)</f>
        <v/>
      </c>
      <c r="G3908" s="7">
        <f>tbl_Ventes[[#This Row],[Qté Vendue]] * IFERROR(_xlfn.XLOOKUP(tbl_Ventes[[#This Row],[Cde_Prdt]], tbl_Produits[Cde_Prdt], tbl_Produits[Prix Menu]), 0)</f>
        <v>0</v>
      </c>
      <c r="H3908" s="7">
        <f>IFERROR(_xlfn.XLOOKUP(tbl_Ventes[[#This Row],[Cde_Prdt]], tbl_Produits[Cde_Prdt], tbl_Produits[Coût Moyen Portion]), 0)</f>
        <v>0</v>
      </c>
      <c r="I3908" s="7">
        <f>tbl_Ventes[[#This Row],[Qté Vendue]] * tbl_Ventes[[#This Row],[CMP_par_portion]]</f>
        <v>0</v>
      </c>
      <c r="J3908" s="7">
        <f>tbl_Ventes[[#This Row],[CA ligne]] - tbl_Ventes[[#This Row],[Coût matière ligne]]</f>
        <v>0</v>
      </c>
      <c r="K3908" s="7" t="str">
        <f>IFERROR(INDEX(tbl_ProduitsRef[Famille], MATCH(tbl_Ventes[[#This Row],[Cde_Prdt]], tbl_Produits[Cde_Prdt], 0)), "")</f>
        <v/>
      </c>
    </row>
    <row r="3909" spans="1:11" x14ac:dyDescent="0.25">
      <c r="A3909" s="5"/>
      <c r="B3909" s="63" t="str">
        <f>IFERROR(TEXT(tbl_Ventes[[#This Row],[Date]],"mm-aaaa"),"")</f>
        <v>01-1900</v>
      </c>
      <c r="D3909" s="10" t="str">
        <f>IFERROR(
   INDEX(tbl_ProduitsRef[Cde_Prdt],MATCH(tbl_Ventes[[#This Row],[Produit]],tbl_ProduitsRef[Produit],0)),
   ""
)</f>
        <v/>
      </c>
      <c r="E3909" s="7">
        <v>0</v>
      </c>
      <c r="F3909" s="7" t="str">
        <f>IFERROR(
   INDEX(tbl_ProduitsRef[Prix Menu],MATCH(tbl_Ventes[[#This Row],[Produit]],tbl_ProduitsRef[Produit],0)),
   ""
)</f>
        <v/>
      </c>
      <c r="G3909" s="7">
        <f>tbl_Ventes[[#This Row],[Qté Vendue]] * IFERROR(_xlfn.XLOOKUP(tbl_Ventes[[#This Row],[Cde_Prdt]], tbl_Produits[Cde_Prdt], tbl_Produits[Prix Menu]), 0)</f>
        <v>0</v>
      </c>
      <c r="H3909" s="7">
        <f>IFERROR(_xlfn.XLOOKUP(tbl_Ventes[[#This Row],[Cde_Prdt]], tbl_Produits[Cde_Prdt], tbl_Produits[Coût Moyen Portion]), 0)</f>
        <v>0</v>
      </c>
      <c r="I3909" s="7">
        <f>tbl_Ventes[[#This Row],[Qté Vendue]] * tbl_Ventes[[#This Row],[CMP_par_portion]]</f>
        <v>0</v>
      </c>
      <c r="J3909" s="7">
        <f>tbl_Ventes[[#This Row],[CA ligne]] - tbl_Ventes[[#This Row],[Coût matière ligne]]</f>
        <v>0</v>
      </c>
      <c r="K3909" s="7" t="str">
        <f>IFERROR(INDEX(tbl_ProduitsRef[Famille], MATCH(tbl_Ventes[[#This Row],[Cde_Prdt]], tbl_Produits[Cde_Prdt], 0)), "")</f>
        <v/>
      </c>
    </row>
    <row r="3910" spans="1:11" x14ac:dyDescent="0.25">
      <c r="A3910" s="5"/>
      <c r="B3910" s="63" t="str">
        <f>IFERROR(TEXT(tbl_Ventes[[#This Row],[Date]],"mm-aaaa"),"")</f>
        <v>01-1900</v>
      </c>
      <c r="D3910" s="10" t="str">
        <f>IFERROR(
   INDEX(tbl_ProduitsRef[Cde_Prdt],MATCH(tbl_Ventes[[#This Row],[Produit]],tbl_ProduitsRef[Produit],0)),
   ""
)</f>
        <v/>
      </c>
      <c r="E3910" s="7">
        <v>0</v>
      </c>
      <c r="F3910" s="7" t="str">
        <f>IFERROR(
   INDEX(tbl_ProduitsRef[Prix Menu],MATCH(tbl_Ventes[[#This Row],[Produit]],tbl_ProduitsRef[Produit],0)),
   ""
)</f>
        <v/>
      </c>
      <c r="G3910" s="7">
        <f>tbl_Ventes[[#This Row],[Qté Vendue]] * IFERROR(_xlfn.XLOOKUP(tbl_Ventes[[#This Row],[Cde_Prdt]], tbl_Produits[Cde_Prdt], tbl_Produits[Prix Menu]), 0)</f>
        <v>0</v>
      </c>
      <c r="H3910" s="7">
        <f>IFERROR(_xlfn.XLOOKUP(tbl_Ventes[[#This Row],[Cde_Prdt]], tbl_Produits[Cde_Prdt], tbl_Produits[Coût Moyen Portion]), 0)</f>
        <v>0</v>
      </c>
      <c r="I3910" s="7">
        <f>tbl_Ventes[[#This Row],[Qté Vendue]] * tbl_Ventes[[#This Row],[CMP_par_portion]]</f>
        <v>0</v>
      </c>
      <c r="J3910" s="7">
        <f>tbl_Ventes[[#This Row],[CA ligne]] - tbl_Ventes[[#This Row],[Coût matière ligne]]</f>
        <v>0</v>
      </c>
      <c r="K3910" s="7" t="str">
        <f>IFERROR(INDEX(tbl_ProduitsRef[Famille], MATCH(tbl_Ventes[[#This Row],[Cde_Prdt]], tbl_Produits[Cde_Prdt], 0)), "")</f>
        <v/>
      </c>
    </row>
    <row r="3911" spans="1:11" x14ac:dyDescent="0.25">
      <c r="A3911" s="5"/>
      <c r="B3911" s="63" t="str">
        <f>IFERROR(TEXT(tbl_Ventes[[#This Row],[Date]],"mm-aaaa"),"")</f>
        <v>01-1900</v>
      </c>
      <c r="D3911" s="10" t="str">
        <f>IFERROR(
   INDEX(tbl_ProduitsRef[Cde_Prdt],MATCH(tbl_Ventes[[#This Row],[Produit]],tbl_ProduitsRef[Produit],0)),
   ""
)</f>
        <v/>
      </c>
      <c r="E3911" s="7">
        <v>0</v>
      </c>
      <c r="F3911" s="7" t="str">
        <f>IFERROR(
   INDEX(tbl_ProduitsRef[Prix Menu],MATCH(tbl_Ventes[[#This Row],[Produit]],tbl_ProduitsRef[Produit],0)),
   ""
)</f>
        <v/>
      </c>
      <c r="G3911" s="7">
        <f>tbl_Ventes[[#This Row],[Qté Vendue]] * IFERROR(_xlfn.XLOOKUP(tbl_Ventes[[#This Row],[Cde_Prdt]], tbl_Produits[Cde_Prdt], tbl_Produits[Prix Menu]), 0)</f>
        <v>0</v>
      </c>
      <c r="H3911" s="7">
        <f>IFERROR(_xlfn.XLOOKUP(tbl_Ventes[[#This Row],[Cde_Prdt]], tbl_Produits[Cde_Prdt], tbl_Produits[Coût Moyen Portion]), 0)</f>
        <v>0</v>
      </c>
      <c r="I3911" s="7">
        <f>tbl_Ventes[[#This Row],[Qté Vendue]] * tbl_Ventes[[#This Row],[CMP_par_portion]]</f>
        <v>0</v>
      </c>
      <c r="J3911" s="7">
        <f>tbl_Ventes[[#This Row],[CA ligne]] - tbl_Ventes[[#This Row],[Coût matière ligne]]</f>
        <v>0</v>
      </c>
      <c r="K3911" s="7" t="str">
        <f>IFERROR(INDEX(tbl_ProduitsRef[Famille], MATCH(tbl_Ventes[[#This Row],[Cde_Prdt]], tbl_Produits[Cde_Prdt], 0)), "")</f>
        <v/>
      </c>
    </row>
    <row r="3912" spans="1:11" x14ac:dyDescent="0.25">
      <c r="A3912" s="5"/>
      <c r="B3912" s="63" t="str">
        <f>IFERROR(TEXT(tbl_Ventes[[#This Row],[Date]],"mm-aaaa"),"")</f>
        <v>01-1900</v>
      </c>
      <c r="D3912" s="10" t="str">
        <f>IFERROR(
   INDEX(tbl_ProduitsRef[Cde_Prdt],MATCH(tbl_Ventes[[#This Row],[Produit]],tbl_ProduitsRef[Produit],0)),
   ""
)</f>
        <v/>
      </c>
      <c r="E3912" s="7">
        <v>0</v>
      </c>
      <c r="F3912" s="7" t="str">
        <f>IFERROR(
   INDEX(tbl_ProduitsRef[Prix Menu],MATCH(tbl_Ventes[[#This Row],[Produit]],tbl_ProduitsRef[Produit],0)),
   ""
)</f>
        <v/>
      </c>
      <c r="G3912" s="7">
        <f>tbl_Ventes[[#This Row],[Qté Vendue]] * IFERROR(_xlfn.XLOOKUP(tbl_Ventes[[#This Row],[Cde_Prdt]], tbl_Produits[Cde_Prdt], tbl_Produits[Prix Menu]), 0)</f>
        <v>0</v>
      </c>
      <c r="H3912" s="7">
        <f>IFERROR(_xlfn.XLOOKUP(tbl_Ventes[[#This Row],[Cde_Prdt]], tbl_Produits[Cde_Prdt], tbl_Produits[Coût Moyen Portion]), 0)</f>
        <v>0</v>
      </c>
      <c r="I3912" s="7">
        <f>tbl_Ventes[[#This Row],[Qté Vendue]] * tbl_Ventes[[#This Row],[CMP_par_portion]]</f>
        <v>0</v>
      </c>
      <c r="J3912" s="7">
        <f>tbl_Ventes[[#This Row],[CA ligne]] - tbl_Ventes[[#This Row],[Coût matière ligne]]</f>
        <v>0</v>
      </c>
      <c r="K3912" s="7" t="str">
        <f>IFERROR(INDEX(tbl_ProduitsRef[Famille], MATCH(tbl_Ventes[[#This Row],[Cde_Prdt]], tbl_Produits[Cde_Prdt], 0)), "")</f>
        <v/>
      </c>
    </row>
    <row r="3913" spans="1:11" x14ac:dyDescent="0.25">
      <c r="A3913" s="5"/>
      <c r="B3913" s="63" t="str">
        <f>IFERROR(TEXT(tbl_Ventes[[#This Row],[Date]],"mm-aaaa"),"")</f>
        <v>01-1900</v>
      </c>
      <c r="D3913" s="10" t="str">
        <f>IFERROR(
   INDEX(tbl_ProduitsRef[Cde_Prdt],MATCH(tbl_Ventes[[#This Row],[Produit]],tbl_ProduitsRef[Produit],0)),
   ""
)</f>
        <v/>
      </c>
      <c r="E3913" s="7">
        <v>0</v>
      </c>
      <c r="F3913" s="7" t="str">
        <f>IFERROR(
   INDEX(tbl_ProduitsRef[Prix Menu],MATCH(tbl_Ventes[[#This Row],[Produit]],tbl_ProduitsRef[Produit],0)),
   ""
)</f>
        <v/>
      </c>
      <c r="G3913" s="7">
        <f>tbl_Ventes[[#This Row],[Qté Vendue]] * IFERROR(_xlfn.XLOOKUP(tbl_Ventes[[#This Row],[Cde_Prdt]], tbl_Produits[Cde_Prdt], tbl_Produits[Prix Menu]), 0)</f>
        <v>0</v>
      </c>
      <c r="H3913" s="7">
        <f>IFERROR(_xlfn.XLOOKUP(tbl_Ventes[[#This Row],[Cde_Prdt]], tbl_Produits[Cde_Prdt], tbl_Produits[Coût Moyen Portion]), 0)</f>
        <v>0</v>
      </c>
      <c r="I3913" s="7">
        <f>tbl_Ventes[[#This Row],[Qté Vendue]] * tbl_Ventes[[#This Row],[CMP_par_portion]]</f>
        <v>0</v>
      </c>
      <c r="J3913" s="7">
        <f>tbl_Ventes[[#This Row],[CA ligne]] - tbl_Ventes[[#This Row],[Coût matière ligne]]</f>
        <v>0</v>
      </c>
      <c r="K3913" s="7" t="str">
        <f>IFERROR(INDEX(tbl_ProduitsRef[Famille], MATCH(tbl_Ventes[[#This Row],[Cde_Prdt]], tbl_Produits[Cde_Prdt], 0)), "")</f>
        <v/>
      </c>
    </row>
    <row r="3914" spans="1:11" x14ac:dyDescent="0.25">
      <c r="A3914" s="5"/>
      <c r="B3914" s="63" t="str">
        <f>IFERROR(TEXT(tbl_Ventes[[#This Row],[Date]],"mm-aaaa"),"")</f>
        <v>01-1900</v>
      </c>
      <c r="D3914" s="10" t="str">
        <f>IFERROR(
   INDEX(tbl_ProduitsRef[Cde_Prdt],MATCH(tbl_Ventes[[#This Row],[Produit]],tbl_ProduitsRef[Produit],0)),
   ""
)</f>
        <v/>
      </c>
      <c r="E3914" s="7">
        <v>0</v>
      </c>
      <c r="F3914" s="7" t="str">
        <f>IFERROR(
   INDEX(tbl_ProduitsRef[Prix Menu],MATCH(tbl_Ventes[[#This Row],[Produit]],tbl_ProduitsRef[Produit],0)),
   ""
)</f>
        <v/>
      </c>
      <c r="G3914" s="7">
        <f>tbl_Ventes[[#This Row],[Qté Vendue]] * IFERROR(_xlfn.XLOOKUP(tbl_Ventes[[#This Row],[Cde_Prdt]], tbl_Produits[Cde_Prdt], tbl_Produits[Prix Menu]), 0)</f>
        <v>0</v>
      </c>
      <c r="H3914" s="7">
        <f>IFERROR(_xlfn.XLOOKUP(tbl_Ventes[[#This Row],[Cde_Prdt]], tbl_Produits[Cde_Prdt], tbl_Produits[Coût Moyen Portion]), 0)</f>
        <v>0</v>
      </c>
      <c r="I3914" s="7">
        <f>tbl_Ventes[[#This Row],[Qté Vendue]] * tbl_Ventes[[#This Row],[CMP_par_portion]]</f>
        <v>0</v>
      </c>
      <c r="J3914" s="7">
        <f>tbl_Ventes[[#This Row],[CA ligne]] - tbl_Ventes[[#This Row],[Coût matière ligne]]</f>
        <v>0</v>
      </c>
      <c r="K3914" s="7" t="str">
        <f>IFERROR(INDEX(tbl_ProduitsRef[Famille], MATCH(tbl_Ventes[[#This Row],[Cde_Prdt]], tbl_Produits[Cde_Prdt], 0)), "")</f>
        <v/>
      </c>
    </row>
    <row r="3915" spans="1:11" x14ac:dyDescent="0.25">
      <c r="A3915" s="5"/>
      <c r="B3915" s="63" t="str">
        <f>IFERROR(TEXT(tbl_Ventes[[#This Row],[Date]],"mm-aaaa"),"")</f>
        <v>01-1900</v>
      </c>
      <c r="D3915" s="10" t="str">
        <f>IFERROR(
   INDEX(tbl_ProduitsRef[Cde_Prdt],MATCH(tbl_Ventes[[#This Row],[Produit]],tbl_ProduitsRef[Produit],0)),
   ""
)</f>
        <v/>
      </c>
      <c r="E3915" s="7">
        <v>0</v>
      </c>
      <c r="F3915" s="7" t="str">
        <f>IFERROR(
   INDEX(tbl_ProduitsRef[Prix Menu],MATCH(tbl_Ventes[[#This Row],[Produit]],tbl_ProduitsRef[Produit],0)),
   ""
)</f>
        <v/>
      </c>
      <c r="G3915" s="7">
        <f>tbl_Ventes[[#This Row],[Qté Vendue]] * IFERROR(_xlfn.XLOOKUP(tbl_Ventes[[#This Row],[Cde_Prdt]], tbl_Produits[Cde_Prdt], tbl_Produits[Prix Menu]), 0)</f>
        <v>0</v>
      </c>
      <c r="H3915" s="7">
        <f>IFERROR(_xlfn.XLOOKUP(tbl_Ventes[[#This Row],[Cde_Prdt]], tbl_Produits[Cde_Prdt], tbl_Produits[Coût Moyen Portion]), 0)</f>
        <v>0</v>
      </c>
      <c r="I3915" s="7">
        <f>tbl_Ventes[[#This Row],[Qté Vendue]] * tbl_Ventes[[#This Row],[CMP_par_portion]]</f>
        <v>0</v>
      </c>
      <c r="J3915" s="7">
        <f>tbl_Ventes[[#This Row],[CA ligne]] - tbl_Ventes[[#This Row],[Coût matière ligne]]</f>
        <v>0</v>
      </c>
      <c r="K3915" s="7" t="str">
        <f>IFERROR(INDEX(tbl_ProduitsRef[Famille], MATCH(tbl_Ventes[[#This Row],[Cde_Prdt]], tbl_Produits[Cde_Prdt], 0)), "")</f>
        <v/>
      </c>
    </row>
    <row r="3916" spans="1:11" x14ac:dyDescent="0.25">
      <c r="A3916" s="5"/>
      <c r="B3916" s="63" t="str">
        <f>IFERROR(TEXT(tbl_Ventes[[#This Row],[Date]],"mm-aaaa"),"")</f>
        <v>01-1900</v>
      </c>
      <c r="D3916" s="10" t="str">
        <f>IFERROR(
   INDEX(tbl_ProduitsRef[Cde_Prdt],MATCH(tbl_Ventes[[#This Row],[Produit]],tbl_ProduitsRef[Produit],0)),
   ""
)</f>
        <v/>
      </c>
      <c r="E3916" s="7">
        <v>0</v>
      </c>
      <c r="F3916" s="7" t="str">
        <f>IFERROR(
   INDEX(tbl_ProduitsRef[Prix Menu],MATCH(tbl_Ventes[[#This Row],[Produit]],tbl_ProduitsRef[Produit],0)),
   ""
)</f>
        <v/>
      </c>
      <c r="G3916" s="7">
        <f>tbl_Ventes[[#This Row],[Qté Vendue]] * IFERROR(_xlfn.XLOOKUP(tbl_Ventes[[#This Row],[Cde_Prdt]], tbl_Produits[Cde_Prdt], tbl_Produits[Prix Menu]), 0)</f>
        <v>0</v>
      </c>
      <c r="H3916" s="7">
        <f>IFERROR(_xlfn.XLOOKUP(tbl_Ventes[[#This Row],[Cde_Prdt]], tbl_Produits[Cde_Prdt], tbl_Produits[Coût Moyen Portion]), 0)</f>
        <v>0</v>
      </c>
      <c r="I3916" s="7">
        <f>tbl_Ventes[[#This Row],[Qté Vendue]] * tbl_Ventes[[#This Row],[CMP_par_portion]]</f>
        <v>0</v>
      </c>
      <c r="J3916" s="7">
        <f>tbl_Ventes[[#This Row],[CA ligne]] - tbl_Ventes[[#This Row],[Coût matière ligne]]</f>
        <v>0</v>
      </c>
      <c r="K3916" s="7" t="str">
        <f>IFERROR(INDEX(tbl_ProduitsRef[Famille], MATCH(tbl_Ventes[[#This Row],[Cde_Prdt]], tbl_Produits[Cde_Prdt], 0)), "")</f>
        <v/>
      </c>
    </row>
    <row r="3917" spans="1:11" x14ac:dyDescent="0.25">
      <c r="A3917" s="5"/>
      <c r="B3917" s="63" t="str">
        <f>IFERROR(TEXT(tbl_Ventes[[#This Row],[Date]],"mm-aaaa"),"")</f>
        <v>01-1900</v>
      </c>
      <c r="D3917" s="10" t="str">
        <f>IFERROR(
   INDEX(tbl_ProduitsRef[Cde_Prdt],MATCH(tbl_Ventes[[#This Row],[Produit]],tbl_ProduitsRef[Produit],0)),
   ""
)</f>
        <v/>
      </c>
      <c r="E3917" s="7">
        <v>0</v>
      </c>
      <c r="F3917" s="7" t="str">
        <f>IFERROR(
   INDEX(tbl_ProduitsRef[Prix Menu],MATCH(tbl_Ventes[[#This Row],[Produit]],tbl_ProduitsRef[Produit],0)),
   ""
)</f>
        <v/>
      </c>
      <c r="G3917" s="7">
        <f>tbl_Ventes[[#This Row],[Qté Vendue]] * IFERROR(_xlfn.XLOOKUP(tbl_Ventes[[#This Row],[Cde_Prdt]], tbl_Produits[Cde_Prdt], tbl_Produits[Prix Menu]), 0)</f>
        <v>0</v>
      </c>
      <c r="H3917" s="7">
        <f>IFERROR(_xlfn.XLOOKUP(tbl_Ventes[[#This Row],[Cde_Prdt]], tbl_Produits[Cde_Prdt], tbl_Produits[Coût Moyen Portion]), 0)</f>
        <v>0</v>
      </c>
      <c r="I3917" s="7">
        <f>tbl_Ventes[[#This Row],[Qté Vendue]] * tbl_Ventes[[#This Row],[CMP_par_portion]]</f>
        <v>0</v>
      </c>
      <c r="J3917" s="7">
        <f>tbl_Ventes[[#This Row],[CA ligne]] - tbl_Ventes[[#This Row],[Coût matière ligne]]</f>
        <v>0</v>
      </c>
      <c r="K3917" s="7" t="str">
        <f>IFERROR(INDEX(tbl_ProduitsRef[Famille], MATCH(tbl_Ventes[[#This Row],[Cde_Prdt]], tbl_Produits[Cde_Prdt], 0)), "")</f>
        <v/>
      </c>
    </row>
    <row r="3918" spans="1:11" x14ac:dyDescent="0.25">
      <c r="A3918" s="5"/>
      <c r="B3918" s="63" t="str">
        <f>IFERROR(TEXT(tbl_Ventes[[#This Row],[Date]],"mm-aaaa"),"")</f>
        <v>01-1900</v>
      </c>
      <c r="D3918" s="10" t="str">
        <f>IFERROR(
   INDEX(tbl_ProduitsRef[Cde_Prdt],MATCH(tbl_Ventes[[#This Row],[Produit]],tbl_ProduitsRef[Produit],0)),
   ""
)</f>
        <v/>
      </c>
      <c r="E3918" s="7">
        <v>0</v>
      </c>
      <c r="F3918" s="7" t="str">
        <f>IFERROR(
   INDEX(tbl_ProduitsRef[Prix Menu],MATCH(tbl_Ventes[[#This Row],[Produit]],tbl_ProduitsRef[Produit],0)),
   ""
)</f>
        <v/>
      </c>
      <c r="G3918" s="7">
        <f>tbl_Ventes[[#This Row],[Qté Vendue]] * IFERROR(_xlfn.XLOOKUP(tbl_Ventes[[#This Row],[Cde_Prdt]], tbl_Produits[Cde_Prdt], tbl_Produits[Prix Menu]), 0)</f>
        <v>0</v>
      </c>
      <c r="H3918" s="7">
        <f>IFERROR(_xlfn.XLOOKUP(tbl_Ventes[[#This Row],[Cde_Prdt]], tbl_Produits[Cde_Prdt], tbl_Produits[Coût Moyen Portion]), 0)</f>
        <v>0</v>
      </c>
      <c r="I3918" s="7">
        <f>tbl_Ventes[[#This Row],[Qté Vendue]] * tbl_Ventes[[#This Row],[CMP_par_portion]]</f>
        <v>0</v>
      </c>
      <c r="J3918" s="7">
        <f>tbl_Ventes[[#This Row],[CA ligne]] - tbl_Ventes[[#This Row],[Coût matière ligne]]</f>
        <v>0</v>
      </c>
      <c r="K3918" s="7" t="str">
        <f>IFERROR(INDEX(tbl_ProduitsRef[Famille], MATCH(tbl_Ventes[[#This Row],[Cde_Prdt]], tbl_Produits[Cde_Prdt], 0)), "")</f>
        <v/>
      </c>
    </row>
    <row r="3919" spans="1:11" x14ac:dyDescent="0.25">
      <c r="A3919" s="5"/>
      <c r="B3919" s="63" t="str">
        <f>IFERROR(TEXT(tbl_Ventes[[#This Row],[Date]],"mm-aaaa"),"")</f>
        <v>01-1900</v>
      </c>
      <c r="D3919" s="10" t="str">
        <f>IFERROR(
   INDEX(tbl_ProduitsRef[Cde_Prdt],MATCH(tbl_Ventes[[#This Row],[Produit]],tbl_ProduitsRef[Produit],0)),
   ""
)</f>
        <v/>
      </c>
      <c r="E3919" s="7">
        <v>0</v>
      </c>
      <c r="F3919" s="7" t="str">
        <f>IFERROR(
   INDEX(tbl_ProduitsRef[Prix Menu],MATCH(tbl_Ventes[[#This Row],[Produit]],tbl_ProduitsRef[Produit],0)),
   ""
)</f>
        <v/>
      </c>
      <c r="G3919" s="7">
        <f>tbl_Ventes[[#This Row],[Qté Vendue]] * IFERROR(_xlfn.XLOOKUP(tbl_Ventes[[#This Row],[Cde_Prdt]], tbl_Produits[Cde_Prdt], tbl_Produits[Prix Menu]), 0)</f>
        <v>0</v>
      </c>
      <c r="H3919" s="7">
        <f>IFERROR(_xlfn.XLOOKUP(tbl_Ventes[[#This Row],[Cde_Prdt]], tbl_Produits[Cde_Prdt], tbl_Produits[Coût Moyen Portion]), 0)</f>
        <v>0</v>
      </c>
      <c r="I3919" s="7">
        <f>tbl_Ventes[[#This Row],[Qté Vendue]] * tbl_Ventes[[#This Row],[CMP_par_portion]]</f>
        <v>0</v>
      </c>
      <c r="J3919" s="7">
        <f>tbl_Ventes[[#This Row],[CA ligne]] - tbl_Ventes[[#This Row],[Coût matière ligne]]</f>
        <v>0</v>
      </c>
      <c r="K3919" s="7" t="str">
        <f>IFERROR(INDEX(tbl_ProduitsRef[Famille], MATCH(tbl_Ventes[[#This Row],[Cde_Prdt]], tbl_Produits[Cde_Prdt], 0)), "")</f>
        <v/>
      </c>
    </row>
    <row r="3920" spans="1:11" x14ac:dyDescent="0.25">
      <c r="A3920" s="5"/>
      <c r="B3920" s="63" t="str">
        <f>IFERROR(TEXT(tbl_Ventes[[#This Row],[Date]],"mm-aaaa"),"")</f>
        <v>01-1900</v>
      </c>
      <c r="D3920" s="10" t="str">
        <f>IFERROR(
   INDEX(tbl_ProduitsRef[Cde_Prdt],MATCH(tbl_Ventes[[#This Row],[Produit]],tbl_ProduitsRef[Produit],0)),
   ""
)</f>
        <v/>
      </c>
      <c r="E3920" s="7">
        <v>0</v>
      </c>
      <c r="F3920" s="7" t="str">
        <f>IFERROR(
   INDEX(tbl_ProduitsRef[Prix Menu],MATCH(tbl_Ventes[[#This Row],[Produit]],tbl_ProduitsRef[Produit],0)),
   ""
)</f>
        <v/>
      </c>
      <c r="G3920" s="7">
        <f>tbl_Ventes[[#This Row],[Qté Vendue]] * IFERROR(_xlfn.XLOOKUP(tbl_Ventes[[#This Row],[Cde_Prdt]], tbl_Produits[Cde_Prdt], tbl_Produits[Prix Menu]), 0)</f>
        <v>0</v>
      </c>
      <c r="H3920" s="7">
        <f>IFERROR(_xlfn.XLOOKUP(tbl_Ventes[[#This Row],[Cde_Prdt]], tbl_Produits[Cde_Prdt], tbl_Produits[Coût Moyen Portion]), 0)</f>
        <v>0</v>
      </c>
      <c r="I3920" s="7">
        <f>tbl_Ventes[[#This Row],[Qté Vendue]] * tbl_Ventes[[#This Row],[CMP_par_portion]]</f>
        <v>0</v>
      </c>
      <c r="J3920" s="7">
        <f>tbl_Ventes[[#This Row],[CA ligne]] - tbl_Ventes[[#This Row],[Coût matière ligne]]</f>
        <v>0</v>
      </c>
      <c r="K3920" s="7" t="str">
        <f>IFERROR(INDEX(tbl_ProduitsRef[Famille], MATCH(tbl_Ventes[[#This Row],[Cde_Prdt]], tbl_Produits[Cde_Prdt], 0)), "")</f>
        <v/>
      </c>
    </row>
    <row r="3921" spans="1:11" x14ac:dyDescent="0.25">
      <c r="A3921" s="5"/>
      <c r="B3921" s="63" t="str">
        <f>IFERROR(TEXT(tbl_Ventes[[#This Row],[Date]],"mm-aaaa"),"")</f>
        <v>01-1900</v>
      </c>
      <c r="D3921" s="10" t="str">
        <f>IFERROR(
   INDEX(tbl_ProduitsRef[Cde_Prdt],MATCH(tbl_Ventes[[#This Row],[Produit]],tbl_ProduitsRef[Produit],0)),
   ""
)</f>
        <v/>
      </c>
      <c r="E3921" s="7">
        <v>0</v>
      </c>
      <c r="F3921" s="7" t="str">
        <f>IFERROR(
   INDEX(tbl_ProduitsRef[Prix Menu],MATCH(tbl_Ventes[[#This Row],[Produit]],tbl_ProduitsRef[Produit],0)),
   ""
)</f>
        <v/>
      </c>
      <c r="G3921" s="7">
        <f>tbl_Ventes[[#This Row],[Qté Vendue]] * IFERROR(_xlfn.XLOOKUP(tbl_Ventes[[#This Row],[Cde_Prdt]], tbl_Produits[Cde_Prdt], tbl_Produits[Prix Menu]), 0)</f>
        <v>0</v>
      </c>
      <c r="H3921" s="7">
        <f>IFERROR(_xlfn.XLOOKUP(tbl_Ventes[[#This Row],[Cde_Prdt]], tbl_Produits[Cde_Prdt], tbl_Produits[Coût Moyen Portion]), 0)</f>
        <v>0</v>
      </c>
      <c r="I3921" s="7">
        <f>tbl_Ventes[[#This Row],[Qté Vendue]] * tbl_Ventes[[#This Row],[CMP_par_portion]]</f>
        <v>0</v>
      </c>
      <c r="J3921" s="7">
        <f>tbl_Ventes[[#This Row],[CA ligne]] - tbl_Ventes[[#This Row],[Coût matière ligne]]</f>
        <v>0</v>
      </c>
      <c r="K3921" s="7" t="str">
        <f>IFERROR(INDEX(tbl_ProduitsRef[Famille], MATCH(tbl_Ventes[[#This Row],[Cde_Prdt]], tbl_Produits[Cde_Prdt], 0)), "")</f>
        <v/>
      </c>
    </row>
    <row r="3922" spans="1:11" x14ac:dyDescent="0.25">
      <c r="A3922" s="5"/>
      <c r="B3922" s="63" t="str">
        <f>IFERROR(TEXT(tbl_Ventes[[#This Row],[Date]],"mm-aaaa"),"")</f>
        <v>01-1900</v>
      </c>
      <c r="D3922" s="10" t="str">
        <f>IFERROR(
   INDEX(tbl_ProduitsRef[Cde_Prdt],MATCH(tbl_Ventes[[#This Row],[Produit]],tbl_ProduitsRef[Produit],0)),
   ""
)</f>
        <v/>
      </c>
      <c r="E3922" s="7">
        <v>0</v>
      </c>
      <c r="F3922" s="7" t="str">
        <f>IFERROR(
   INDEX(tbl_ProduitsRef[Prix Menu],MATCH(tbl_Ventes[[#This Row],[Produit]],tbl_ProduitsRef[Produit],0)),
   ""
)</f>
        <v/>
      </c>
      <c r="G3922" s="7">
        <f>tbl_Ventes[[#This Row],[Qté Vendue]] * IFERROR(_xlfn.XLOOKUP(tbl_Ventes[[#This Row],[Cde_Prdt]], tbl_Produits[Cde_Prdt], tbl_Produits[Prix Menu]), 0)</f>
        <v>0</v>
      </c>
      <c r="H3922" s="7">
        <f>IFERROR(_xlfn.XLOOKUP(tbl_Ventes[[#This Row],[Cde_Prdt]], tbl_Produits[Cde_Prdt], tbl_Produits[Coût Moyen Portion]), 0)</f>
        <v>0</v>
      </c>
      <c r="I3922" s="7">
        <f>tbl_Ventes[[#This Row],[Qté Vendue]] * tbl_Ventes[[#This Row],[CMP_par_portion]]</f>
        <v>0</v>
      </c>
      <c r="J3922" s="7">
        <f>tbl_Ventes[[#This Row],[CA ligne]] - tbl_Ventes[[#This Row],[Coût matière ligne]]</f>
        <v>0</v>
      </c>
      <c r="K3922" s="7" t="str">
        <f>IFERROR(INDEX(tbl_ProduitsRef[Famille], MATCH(tbl_Ventes[[#This Row],[Cde_Prdt]], tbl_Produits[Cde_Prdt], 0)), "")</f>
        <v/>
      </c>
    </row>
    <row r="3923" spans="1:11" x14ac:dyDescent="0.25">
      <c r="A3923" s="5"/>
      <c r="B3923" s="63" t="str">
        <f>IFERROR(TEXT(tbl_Ventes[[#This Row],[Date]],"mm-aaaa"),"")</f>
        <v>01-1900</v>
      </c>
      <c r="D3923" s="10" t="str">
        <f>IFERROR(
   INDEX(tbl_ProduitsRef[Cde_Prdt],MATCH(tbl_Ventes[[#This Row],[Produit]],tbl_ProduitsRef[Produit],0)),
   ""
)</f>
        <v/>
      </c>
      <c r="E3923" s="7">
        <v>0</v>
      </c>
      <c r="F3923" s="7" t="str">
        <f>IFERROR(
   INDEX(tbl_ProduitsRef[Prix Menu],MATCH(tbl_Ventes[[#This Row],[Produit]],tbl_ProduitsRef[Produit],0)),
   ""
)</f>
        <v/>
      </c>
      <c r="G3923" s="7">
        <f>tbl_Ventes[[#This Row],[Qté Vendue]] * IFERROR(_xlfn.XLOOKUP(tbl_Ventes[[#This Row],[Cde_Prdt]], tbl_Produits[Cde_Prdt], tbl_Produits[Prix Menu]), 0)</f>
        <v>0</v>
      </c>
      <c r="H3923" s="7">
        <f>IFERROR(_xlfn.XLOOKUP(tbl_Ventes[[#This Row],[Cde_Prdt]], tbl_Produits[Cde_Prdt], tbl_Produits[Coût Moyen Portion]), 0)</f>
        <v>0</v>
      </c>
      <c r="I3923" s="7">
        <f>tbl_Ventes[[#This Row],[Qté Vendue]] * tbl_Ventes[[#This Row],[CMP_par_portion]]</f>
        <v>0</v>
      </c>
      <c r="J3923" s="7">
        <f>tbl_Ventes[[#This Row],[CA ligne]] - tbl_Ventes[[#This Row],[Coût matière ligne]]</f>
        <v>0</v>
      </c>
      <c r="K3923" s="7" t="str">
        <f>IFERROR(INDEX(tbl_ProduitsRef[Famille], MATCH(tbl_Ventes[[#This Row],[Cde_Prdt]], tbl_Produits[Cde_Prdt], 0)), "")</f>
        <v/>
      </c>
    </row>
    <row r="3924" spans="1:11" x14ac:dyDescent="0.25">
      <c r="A3924" s="5"/>
      <c r="B3924" s="63" t="str">
        <f>IFERROR(TEXT(tbl_Ventes[[#This Row],[Date]],"mm-aaaa"),"")</f>
        <v>01-1900</v>
      </c>
      <c r="D3924" s="10" t="str">
        <f>IFERROR(
   INDEX(tbl_ProduitsRef[Cde_Prdt],MATCH(tbl_Ventes[[#This Row],[Produit]],tbl_ProduitsRef[Produit],0)),
   ""
)</f>
        <v/>
      </c>
      <c r="E3924" s="7">
        <v>0</v>
      </c>
      <c r="F3924" s="7" t="str">
        <f>IFERROR(
   INDEX(tbl_ProduitsRef[Prix Menu],MATCH(tbl_Ventes[[#This Row],[Produit]],tbl_ProduitsRef[Produit],0)),
   ""
)</f>
        <v/>
      </c>
      <c r="G3924" s="7">
        <f>tbl_Ventes[[#This Row],[Qté Vendue]] * IFERROR(_xlfn.XLOOKUP(tbl_Ventes[[#This Row],[Cde_Prdt]], tbl_Produits[Cde_Prdt], tbl_Produits[Prix Menu]), 0)</f>
        <v>0</v>
      </c>
      <c r="H3924" s="7">
        <f>IFERROR(_xlfn.XLOOKUP(tbl_Ventes[[#This Row],[Cde_Prdt]], tbl_Produits[Cde_Prdt], tbl_Produits[Coût Moyen Portion]), 0)</f>
        <v>0</v>
      </c>
      <c r="I3924" s="7">
        <f>tbl_Ventes[[#This Row],[Qté Vendue]] * tbl_Ventes[[#This Row],[CMP_par_portion]]</f>
        <v>0</v>
      </c>
      <c r="J3924" s="7">
        <f>tbl_Ventes[[#This Row],[CA ligne]] - tbl_Ventes[[#This Row],[Coût matière ligne]]</f>
        <v>0</v>
      </c>
      <c r="K3924" s="7" t="str">
        <f>IFERROR(INDEX(tbl_ProduitsRef[Famille], MATCH(tbl_Ventes[[#This Row],[Cde_Prdt]], tbl_Produits[Cde_Prdt], 0)), "")</f>
        <v/>
      </c>
    </row>
    <row r="3925" spans="1:11" x14ac:dyDescent="0.25">
      <c r="A3925" s="5"/>
      <c r="B3925" s="63" t="str">
        <f>IFERROR(TEXT(tbl_Ventes[[#This Row],[Date]],"mm-aaaa"),"")</f>
        <v>01-1900</v>
      </c>
      <c r="D3925" s="10" t="str">
        <f>IFERROR(
   INDEX(tbl_ProduitsRef[Cde_Prdt],MATCH(tbl_Ventes[[#This Row],[Produit]],tbl_ProduitsRef[Produit],0)),
   ""
)</f>
        <v/>
      </c>
      <c r="E3925" s="7">
        <v>0</v>
      </c>
      <c r="F3925" s="7" t="str">
        <f>IFERROR(
   INDEX(tbl_ProduitsRef[Prix Menu],MATCH(tbl_Ventes[[#This Row],[Produit]],tbl_ProduitsRef[Produit],0)),
   ""
)</f>
        <v/>
      </c>
      <c r="G3925" s="7">
        <f>tbl_Ventes[[#This Row],[Qté Vendue]] * IFERROR(_xlfn.XLOOKUP(tbl_Ventes[[#This Row],[Cde_Prdt]], tbl_Produits[Cde_Prdt], tbl_Produits[Prix Menu]), 0)</f>
        <v>0</v>
      </c>
      <c r="H3925" s="7">
        <f>IFERROR(_xlfn.XLOOKUP(tbl_Ventes[[#This Row],[Cde_Prdt]], tbl_Produits[Cde_Prdt], tbl_Produits[Coût Moyen Portion]), 0)</f>
        <v>0</v>
      </c>
      <c r="I3925" s="7">
        <f>tbl_Ventes[[#This Row],[Qté Vendue]] * tbl_Ventes[[#This Row],[CMP_par_portion]]</f>
        <v>0</v>
      </c>
      <c r="J3925" s="7">
        <f>tbl_Ventes[[#This Row],[CA ligne]] - tbl_Ventes[[#This Row],[Coût matière ligne]]</f>
        <v>0</v>
      </c>
      <c r="K3925" s="7" t="str">
        <f>IFERROR(INDEX(tbl_ProduitsRef[Famille], MATCH(tbl_Ventes[[#This Row],[Cde_Prdt]], tbl_Produits[Cde_Prdt], 0)), "")</f>
        <v/>
      </c>
    </row>
    <row r="3926" spans="1:11" x14ac:dyDescent="0.25">
      <c r="A3926" s="5"/>
      <c r="B3926" s="63" t="str">
        <f>IFERROR(TEXT(tbl_Ventes[[#This Row],[Date]],"mm-aaaa"),"")</f>
        <v>01-1900</v>
      </c>
      <c r="D3926" s="10" t="str">
        <f>IFERROR(
   INDEX(tbl_ProduitsRef[Cde_Prdt],MATCH(tbl_Ventes[[#This Row],[Produit]],tbl_ProduitsRef[Produit],0)),
   ""
)</f>
        <v/>
      </c>
      <c r="E3926" s="7">
        <v>0</v>
      </c>
      <c r="F3926" s="7" t="str">
        <f>IFERROR(
   INDEX(tbl_ProduitsRef[Prix Menu],MATCH(tbl_Ventes[[#This Row],[Produit]],tbl_ProduitsRef[Produit],0)),
   ""
)</f>
        <v/>
      </c>
      <c r="G3926" s="7">
        <f>tbl_Ventes[[#This Row],[Qté Vendue]] * IFERROR(_xlfn.XLOOKUP(tbl_Ventes[[#This Row],[Cde_Prdt]], tbl_Produits[Cde_Prdt], tbl_Produits[Prix Menu]), 0)</f>
        <v>0</v>
      </c>
      <c r="H3926" s="7">
        <f>IFERROR(_xlfn.XLOOKUP(tbl_Ventes[[#This Row],[Cde_Prdt]], tbl_Produits[Cde_Prdt], tbl_Produits[Coût Moyen Portion]), 0)</f>
        <v>0</v>
      </c>
      <c r="I3926" s="7">
        <f>tbl_Ventes[[#This Row],[Qté Vendue]] * tbl_Ventes[[#This Row],[CMP_par_portion]]</f>
        <v>0</v>
      </c>
      <c r="J3926" s="7">
        <f>tbl_Ventes[[#This Row],[CA ligne]] - tbl_Ventes[[#This Row],[Coût matière ligne]]</f>
        <v>0</v>
      </c>
      <c r="K3926" s="7" t="str">
        <f>IFERROR(INDEX(tbl_ProduitsRef[Famille], MATCH(tbl_Ventes[[#This Row],[Cde_Prdt]], tbl_Produits[Cde_Prdt], 0)), "")</f>
        <v/>
      </c>
    </row>
    <row r="3927" spans="1:11" x14ac:dyDescent="0.25">
      <c r="A3927" s="5"/>
      <c r="B3927" s="63" t="str">
        <f>IFERROR(TEXT(tbl_Ventes[[#This Row],[Date]],"mm-aaaa"),"")</f>
        <v>01-1900</v>
      </c>
      <c r="D3927" s="10" t="str">
        <f>IFERROR(
   INDEX(tbl_ProduitsRef[Cde_Prdt],MATCH(tbl_Ventes[[#This Row],[Produit]],tbl_ProduitsRef[Produit],0)),
   ""
)</f>
        <v/>
      </c>
      <c r="E3927" s="7">
        <v>0</v>
      </c>
      <c r="F3927" s="7" t="str">
        <f>IFERROR(
   INDEX(tbl_ProduitsRef[Prix Menu],MATCH(tbl_Ventes[[#This Row],[Produit]],tbl_ProduitsRef[Produit],0)),
   ""
)</f>
        <v/>
      </c>
      <c r="G3927" s="7">
        <f>tbl_Ventes[[#This Row],[Qté Vendue]] * IFERROR(_xlfn.XLOOKUP(tbl_Ventes[[#This Row],[Cde_Prdt]], tbl_Produits[Cde_Prdt], tbl_Produits[Prix Menu]), 0)</f>
        <v>0</v>
      </c>
      <c r="H3927" s="7">
        <f>IFERROR(_xlfn.XLOOKUP(tbl_Ventes[[#This Row],[Cde_Prdt]], tbl_Produits[Cde_Prdt], tbl_Produits[Coût Moyen Portion]), 0)</f>
        <v>0</v>
      </c>
      <c r="I3927" s="7">
        <f>tbl_Ventes[[#This Row],[Qté Vendue]] * tbl_Ventes[[#This Row],[CMP_par_portion]]</f>
        <v>0</v>
      </c>
      <c r="J3927" s="7">
        <f>tbl_Ventes[[#This Row],[CA ligne]] - tbl_Ventes[[#This Row],[Coût matière ligne]]</f>
        <v>0</v>
      </c>
      <c r="K3927" s="7" t="str">
        <f>IFERROR(INDEX(tbl_ProduitsRef[Famille], MATCH(tbl_Ventes[[#This Row],[Cde_Prdt]], tbl_Produits[Cde_Prdt], 0)), "")</f>
        <v/>
      </c>
    </row>
    <row r="3928" spans="1:11" x14ac:dyDescent="0.25">
      <c r="A3928" s="5"/>
      <c r="B3928" s="63" t="str">
        <f>IFERROR(TEXT(tbl_Ventes[[#This Row],[Date]],"mm-aaaa"),"")</f>
        <v>01-1900</v>
      </c>
      <c r="D3928" s="10" t="str">
        <f>IFERROR(
   INDEX(tbl_ProduitsRef[Cde_Prdt],MATCH(tbl_Ventes[[#This Row],[Produit]],tbl_ProduitsRef[Produit],0)),
   ""
)</f>
        <v/>
      </c>
      <c r="E3928" s="7">
        <v>0</v>
      </c>
      <c r="F3928" s="7" t="str">
        <f>IFERROR(
   INDEX(tbl_ProduitsRef[Prix Menu],MATCH(tbl_Ventes[[#This Row],[Produit]],tbl_ProduitsRef[Produit],0)),
   ""
)</f>
        <v/>
      </c>
      <c r="G3928" s="7">
        <f>tbl_Ventes[[#This Row],[Qté Vendue]] * IFERROR(_xlfn.XLOOKUP(tbl_Ventes[[#This Row],[Cde_Prdt]], tbl_Produits[Cde_Prdt], tbl_Produits[Prix Menu]), 0)</f>
        <v>0</v>
      </c>
      <c r="H3928" s="7">
        <f>IFERROR(_xlfn.XLOOKUP(tbl_Ventes[[#This Row],[Cde_Prdt]], tbl_Produits[Cde_Prdt], tbl_Produits[Coût Moyen Portion]), 0)</f>
        <v>0</v>
      </c>
      <c r="I3928" s="7">
        <f>tbl_Ventes[[#This Row],[Qté Vendue]] * tbl_Ventes[[#This Row],[CMP_par_portion]]</f>
        <v>0</v>
      </c>
      <c r="J3928" s="7">
        <f>tbl_Ventes[[#This Row],[CA ligne]] - tbl_Ventes[[#This Row],[Coût matière ligne]]</f>
        <v>0</v>
      </c>
      <c r="K3928" s="7" t="str">
        <f>IFERROR(INDEX(tbl_ProduitsRef[Famille], MATCH(tbl_Ventes[[#This Row],[Cde_Prdt]], tbl_Produits[Cde_Prdt], 0)), "")</f>
        <v/>
      </c>
    </row>
    <row r="3929" spans="1:11" x14ac:dyDescent="0.25">
      <c r="A3929" s="5"/>
      <c r="B3929" s="63" t="str">
        <f>IFERROR(TEXT(tbl_Ventes[[#This Row],[Date]],"mm-aaaa"),"")</f>
        <v>01-1900</v>
      </c>
      <c r="D3929" s="10" t="str">
        <f>IFERROR(
   INDEX(tbl_ProduitsRef[Cde_Prdt],MATCH(tbl_Ventes[[#This Row],[Produit]],tbl_ProduitsRef[Produit],0)),
   ""
)</f>
        <v/>
      </c>
      <c r="E3929" s="7">
        <v>0</v>
      </c>
      <c r="F3929" s="7" t="str">
        <f>IFERROR(
   INDEX(tbl_ProduitsRef[Prix Menu],MATCH(tbl_Ventes[[#This Row],[Produit]],tbl_ProduitsRef[Produit],0)),
   ""
)</f>
        <v/>
      </c>
      <c r="G3929" s="7">
        <f>tbl_Ventes[[#This Row],[Qté Vendue]] * IFERROR(_xlfn.XLOOKUP(tbl_Ventes[[#This Row],[Cde_Prdt]], tbl_Produits[Cde_Prdt], tbl_Produits[Prix Menu]), 0)</f>
        <v>0</v>
      </c>
      <c r="H3929" s="7">
        <f>IFERROR(_xlfn.XLOOKUP(tbl_Ventes[[#This Row],[Cde_Prdt]], tbl_Produits[Cde_Prdt], tbl_Produits[Coût Moyen Portion]), 0)</f>
        <v>0</v>
      </c>
      <c r="I3929" s="7">
        <f>tbl_Ventes[[#This Row],[Qté Vendue]] * tbl_Ventes[[#This Row],[CMP_par_portion]]</f>
        <v>0</v>
      </c>
      <c r="J3929" s="7">
        <f>tbl_Ventes[[#This Row],[CA ligne]] - tbl_Ventes[[#This Row],[Coût matière ligne]]</f>
        <v>0</v>
      </c>
      <c r="K3929" s="7" t="str">
        <f>IFERROR(INDEX(tbl_ProduitsRef[Famille], MATCH(tbl_Ventes[[#This Row],[Cde_Prdt]], tbl_Produits[Cde_Prdt], 0)), "")</f>
        <v/>
      </c>
    </row>
    <row r="3930" spans="1:11" x14ac:dyDescent="0.25">
      <c r="A3930" s="5"/>
      <c r="B3930" s="63" t="str">
        <f>IFERROR(TEXT(tbl_Ventes[[#This Row],[Date]],"mm-aaaa"),"")</f>
        <v>01-1900</v>
      </c>
      <c r="D3930" s="10" t="str">
        <f>IFERROR(
   INDEX(tbl_ProduitsRef[Cde_Prdt],MATCH(tbl_Ventes[[#This Row],[Produit]],tbl_ProduitsRef[Produit],0)),
   ""
)</f>
        <v/>
      </c>
      <c r="E3930" s="7">
        <v>0</v>
      </c>
      <c r="F3930" s="7" t="str">
        <f>IFERROR(
   INDEX(tbl_ProduitsRef[Prix Menu],MATCH(tbl_Ventes[[#This Row],[Produit]],tbl_ProduitsRef[Produit],0)),
   ""
)</f>
        <v/>
      </c>
      <c r="G3930" s="7">
        <f>tbl_Ventes[[#This Row],[Qté Vendue]] * IFERROR(_xlfn.XLOOKUP(tbl_Ventes[[#This Row],[Cde_Prdt]], tbl_Produits[Cde_Prdt], tbl_Produits[Prix Menu]), 0)</f>
        <v>0</v>
      </c>
      <c r="H3930" s="7">
        <f>IFERROR(_xlfn.XLOOKUP(tbl_Ventes[[#This Row],[Cde_Prdt]], tbl_Produits[Cde_Prdt], tbl_Produits[Coût Moyen Portion]), 0)</f>
        <v>0</v>
      </c>
      <c r="I3930" s="7">
        <f>tbl_Ventes[[#This Row],[Qté Vendue]] * tbl_Ventes[[#This Row],[CMP_par_portion]]</f>
        <v>0</v>
      </c>
      <c r="J3930" s="7">
        <f>tbl_Ventes[[#This Row],[CA ligne]] - tbl_Ventes[[#This Row],[Coût matière ligne]]</f>
        <v>0</v>
      </c>
      <c r="K3930" s="7" t="str">
        <f>IFERROR(INDEX(tbl_ProduitsRef[Famille], MATCH(tbl_Ventes[[#This Row],[Cde_Prdt]], tbl_Produits[Cde_Prdt], 0)), "")</f>
        <v/>
      </c>
    </row>
    <row r="3931" spans="1:11" x14ac:dyDescent="0.25">
      <c r="A3931" s="5"/>
      <c r="B3931" s="63" t="str">
        <f>IFERROR(TEXT(tbl_Ventes[[#This Row],[Date]],"mm-aaaa"),"")</f>
        <v>01-1900</v>
      </c>
      <c r="D3931" s="10" t="str">
        <f>IFERROR(
   INDEX(tbl_ProduitsRef[Cde_Prdt],MATCH(tbl_Ventes[[#This Row],[Produit]],tbl_ProduitsRef[Produit],0)),
   ""
)</f>
        <v/>
      </c>
      <c r="E3931" s="7">
        <v>0</v>
      </c>
      <c r="F3931" s="7" t="str">
        <f>IFERROR(
   INDEX(tbl_ProduitsRef[Prix Menu],MATCH(tbl_Ventes[[#This Row],[Produit]],tbl_ProduitsRef[Produit],0)),
   ""
)</f>
        <v/>
      </c>
      <c r="G3931" s="7">
        <f>tbl_Ventes[[#This Row],[Qté Vendue]] * IFERROR(_xlfn.XLOOKUP(tbl_Ventes[[#This Row],[Cde_Prdt]], tbl_Produits[Cde_Prdt], tbl_Produits[Prix Menu]), 0)</f>
        <v>0</v>
      </c>
      <c r="H3931" s="7">
        <f>IFERROR(_xlfn.XLOOKUP(tbl_Ventes[[#This Row],[Cde_Prdt]], tbl_Produits[Cde_Prdt], tbl_Produits[Coût Moyen Portion]), 0)</f>
        <v>0</v>
      </c>
      <c r="I3931" s="7">
        <f>tbl_Ventes[[#This Row],[Qté Vendue]] * tbl_Ventes[[#This Row],[CMP_par_portion]]</f>
        <v>0</v>
      </c>
      <c r="J3931" s="7">
        <f>tbl_Ventes[[#This Row],[CA ligne]] - tbl_Ventes[[#This Row],[Coût matière ligne]]</f>
        <v>0</v>
      </c>
      <c r="K3931" s="7" t="str">
        <f>IFERROR(INDEX(tbl_ProduitsRef[Famille], MATCH(tbl_Ventes[[#This Row],[Cde_Prdt]], tbl_Produits[Cde_Prdt], 0)), "")</f>
        <v/>
      </c>
    </row>
    <row r="3932" spans="1:11" x14ac:dyDescent="0.25">
      <c r="A3932" s="5"/>
      <c r="B3932" s="63" t="str">
        <f>IFERROR(TEXT(tbl_Ventes[[#This Row],[Date]],"mm-aaaa"),"")</f>
        <v>01-1900</v>
      </c>
      <c r="D3932" s="10" t="str">
        <f>IFERROR(
   INDEX(tbl_ProduitsRef[Cde_Prdt],MATCH(tbl_Ventes[[#This Row],[Produit]],tbl_ProduitsRef[Produit],0)),
   ""
)</f>
        <v/>
      </c>
      <c r="E3932" s="7">
        <v>0</v>
      </c>
      <c r="F3932" s="7" t="str">
        <f>IFERROR(
   INDEX(tbl_ProduitsRef[Prix Menu],MATCH(tbl_Ventes[[#This Row],[Produit]],tbl_ProduitsRef[Produit],0)),
   ""
)</f>
        <v/>
      </c>
      <c r="G3932" s="7">
        <f>tbl_Ventes[[#This Row],[Qté Vendue]] * IFERROR(_xlfn.XLOOKUP(tbl_Ventes[[#This Row],[Cde_Prdt]], tbl_Produits[Cde_Prdt], tbl_Produits[Prix Menu]), 0)</f>
        <v>0</v>
      </c>
      <c r="H3932" s="7">
        <f>IFERROR(_xlfn.XLOOKUP(tbl_Ventes[[#This Row],[Cde_Prdt]], tbl_Produits[Cde_Prdt], tbl_Produits[Coût Moyen Portion]), 0)</f>
        <v>0</v>
      </c>
      <c r="I3932" s="7">
        <f>tbl_Ventes[[#This Row],[Qté Vendue]] * tbl_Ventes[[#This Row],[CMP_par_portion]]</f>
        <v>0</v>
      </c>
      <c r="J3932" s="7">
        <f>tbl_Ventes[[#This Row],[CA ligne]] - tbl_Ventes[[#This Row],[Coût matière ligne]]</f>
        <v>0</v>
      </c>
      <c r="K3932" s="7" t="str">
        <f>IFERROR(INDEX(tbl_ProduitsRef[Famille], MATCH(tbl_Ventes[[#This Row],[Cde_Prdt]], tbl_Produits[Cde_Prdt], 0)), "")</f>
        <v/>
      </c>
    </row>
    <row r="3933" spans="1:11" x14ac:dyDescent="0.25">
      <c r="A3933" s="5"/>
      <c r="B3933" s="63" t="str">
        <f>IFERROR(TEXT(tbl_Ventes[[#This Row],[Date]],"mm-aaaa"),"")</f>
        <v>01-1900</v>
      </c>
      <c r="D3933" s="10" t="str">
        <f>IFERROR(
   INDEX(tbl_ProduitsRef[Cde_Prdt],MATCH(tbl_Ventes[[#This Row],[Produit]],tbl_ProduitsRef[Produit],0)),
   ""
)</f>
        <v/>
      </c>
      <c r="E3933" s="7">
        <v>0</v>
      </c>
      <c r="F3933" s="7" t="str">
        <f>IFERROR(
   INDEX(tbl_ProduitsRef[Prix Menu],MATCH(tbl_Ventes[[#This Row],[Produit]],tbl_ProduitsRef[Produit],0)),
   ""
)</f>
        <v/>
      </c>
      <c r="G3933" s="7">
        <f>tbl_Ventes[[#This Row],[Qté Vendue]] * IFERROR(_xlfn.XLOOKUP(tbl_Ventes[[#This Row],[Cde_Prdt]], tbl_Produits[Cde_Prdt], tbl_Produits[Prix Menu]), 0)</f>
        <v>0</v>
      </c>
      <c r="H3933" s="7">
        <f>IFERROR(_xlfn.XLOOKUP(tbl_Ventes[[#This Row],[Cde_Prdt]], tbl_Produits[Cde_Prdt], tbl_Produits[Coût Moyen Portion]), 0)</f>
        <v>0</v>
      </c>
      <c r="I3933" s="7">
        <f>tbl_Ventes[[#This Row],[Qté Vendue]] * tbl_Ventes[[#This Row],[CMP_par_portion]]</f>
        <v>0</v>
      </c>
      <c r="J3933" s="7">
        <f>tbl_Ventes[[#This Row],[CA ligne]] - tbl_Ventes[[#This Row],[Coût matière ligne]]</f>
        <v>0</v>
      </c>
      <c r="K3933" s="7" t="str">
        <f>IFERROR(INDEX(tbl_ProduitsRef[Famille], MATCH(tbl_Ventes[[#This Row],[Cde_Prdt]], tbl_Produits[Cde_Prdt], 0)), "")</f>
        <v/>
      </c>
    </row>
    <row r="3934" spans="1:11" x14ac:dyDescent="0.25">
      <c r="A3934" s="5"/>
      <c r="B3934" s="63" t="str">
        <f>IFERROR(TEXT(tbl_Ventes[[#This Row],[Date]],"mm-aaaa"),"")</f>
        <v>01-1900</v>
      </c>
      <c r="D3934" s="10" t="str">
        <f>IFERROR(
   INDEX(tbl_ProduitsRef[Cde_Prdt],MATCH(tbl_Ventes[[#This Row],[Produit]],tbl_ProduitsRef[Produit],0)),
   ""
)</f>
        <v/>
      </c>
      <c r="E3934" s="7">
        <v>0</v>
      </c>
      <c r="F3934" s="7" t="str">
        <f>IFERROR(
   INDEX(tbl_ProduitsRef[Prix Menu],MATCH(tbl_Ventes[[#This Row],[Produit]],tbl_ProduitsRef[Produit],0)),
   ""
)</f>
        <v/>
      </c>
      <c r="G3934" s="7">
        <f>tbl_Ventes[[#This Row],[Qté Vendue]] * IFERROR(_xlfn.XLOOKUP(tbl_Ventes[[#This Row],[Cde_Prdt]], tbl_Produits[Cde_Prdt], tbl_Produits[Prix Menu]), 0)</f>
        <v>0</v>
      </c>
      <c r="H3934" s="7">
        <f>IFERROR(_xlfn.XLOOKUP(tbl_Ventes[[#This Row],[Cde_Prdt]], tbl_Produits[Cde_Prdt], tbl_Produits[Coût Moyen Portion]), 0)</f>
        <v>0</v>
      </c>
      <c r="I3934" s="7">
        <f>tbl_Ventes[[#This Row],[Qté Vendue]] * tbl_Ventes[[#This Row],[CMP_par_portion]]</f>
        <v>0</v>
      </c>
      <c r="J3934" s="7">
        <f>tbl_Ventes[[#This Row],[CA ligne]] - tbl_Ventes[[#This Row],[Coût matière ligne]]</f>
        <v>0</v>
      </c>
      <c r="K3934" s="7" t="str">
        <f>IFERROR(INDEX(tbl_ProduitsRef[Famille], MATCH(tbl_Ventes[[#This Row],[Cde_Prdt]], tbl_Produits[Cde_Prdt], 0)), "")</f>
        <v/>
      </c>
    </row>
    <row r="3935" spans="1:11" x14ac:dyDescent="0.25">
      <c r="A3935" s="5"/>
      <c r="B3935" s="63" t="str">
        <f>IFERROR(TEXT(tbl_Ventes[[#This Row],[Date]],"mm-aaaa"),"")</f>
        <v>01-1900</v>
      </c>
      <c r="D3935" s="10" t="str">
        <f>IFERROR(
   INDEX(tbl_ProduitsRef[Cde_Prdt],MATCH(tbl_Ventes[[#This Row],[Produit]],tbl_ProduitsRef[Produit],0)),
   ""
)</f>
        <v/>
      </c>
      <c r="E3935" s="7">
        <v>0</v>
      </c>
      <c r="F3935" s="7" t="str">
        <f>IFERROR(
   INDEX(tbl_ProduitsRef[Prix Menu],MATCH(tbl_Ventes[[#This Row],[Produit]],tbl_ProduitsRef[Produit],0)),
   ""
)</f>
        <v/>
      </c>
      <c r="G3935" s="7">
        <f>tbl_Ventes[[#This Row],[Qté Vendue]] * IFERROR(_xlfn.XLOOKUP(tbl_Ventes[[#This Row],[Cde_Prdt]], tbl_Produits[Cde_Prdt], tbl_Produits[Prix Menu]), 0)</f>
        <v>0</v>
      </c>
      <c r="H3935" s="7">
        <f>IFERROR(_xlfn.XLOOKUP(tbl_Ventes[[#This Row],[Cde_Prdt]], tbl_Produits[Cde_Prdt], tbl_Produits[Coût Moyen Portion]), 0)</f>
        <v>0</v>
      </c>
      <c r="I3935" s="7">
        <f>tbl_Ventes[[#This Row],[Qté Vendue]] * tbl_Ventes[[#This Row],[CMP_par_portion]]</f>
        <v>0</v>
      </c>
      <c r="J3935" s="7">
        <f>tbl_Ventes[[#This Row],[CA ligne]] - tbl_Ventes[[#This Row],[Coût matière ligne]]</f>
        <v>0</v>
      </c>
      <c r="K3935" s="7" t="str">
        <f>IFERROR(INDEX(tbl_ProduitsRef[Famille], MATCH(tbl_Ventes[[#This Row],[Cde_Prdt]], tbl_Produits[Cde_Prdt], 0)), "")</f>
        <v/>
      </c>
    </row>
    <row r="3936" spans="1:11" x14ac:dyDescent="0.25">
      <c r="A3936" s="5"/>
      <c r="B3936" s="63" t="str">
        <f>IFERROR(TEXT(tbl_Ventes[[#This Row],[Date]],"mm-aaaa"),"")</f>
        <v>01-1900</v>
      </c>
      <c r="D3936" s="10" t="str">
        <f>IFERROR(
   INDEX(tbl_ProduitsRef[Cde_Prdt],MATCH(tbl_Ventes[[#This Row],[Produit]],tbl_ProduitsRef[Produit],0)),
   ""
)</f>
        <v/>
      </c>
      <c r="E3936" s="7">
        <v>0</v>
      </c>
      <c r="F3936" s="7" t="str">
        <f>IFERROR(
   INDEX(tbl_ProduitsRef[Prix Menu],MATCH(tbl_Ventes[[#This Row],[Produit]],tbl_ProduitsRef[Produit],0)),
   ""
)</f>
        <v/>
      </c>
      <c r="G3936" s="7">
        <f>tbl_Ventes[[#This Row],[Qté Vendue]] * IFERROR(_xlfn.XLOOKUP(tbl_Ventes[[#This Row],[Cde_Prdt]], tbl_Produits[Cde_Prdt], tbl_Produits[Prix Menu]), 0)</f>
        <v>0</v>
      </c>
      <c r="H3936" s="7">
        <f>IFERROR(_xlfn.XLOOKUP(tbl_Ventes[[#This Row],[Cde_Prdt]], tbl_Produits[Cde_Prdt], tbl_Produits[Coût Moyen Portion]), 0)</f>
        <v>0</v>
      </c>
      <c r="I3936" s="7">
        <f>tbl_Ventes[[#This Row],[Qté Vendue]] * tbl_Ventes[[#This Row],[CMP_par_portion]]</f>
        <v>0</v>
      </c>
      <c r="J3936" s="7">
        <f>tbl_Ventes[[#This Row],[CA ligne]] - tbl_Ventes[[#This Row],[Coût matière ligne]]</f>
        <v>0</v>
      </c>
      <c r="K3936" s="7" t="str">
        <f>IFERROR(INDEX(tbl_ProduitsRef[Famille], MATCH(tbl_Ventes[[#This Row],[Cde_Prdt]], tbl_Produits[Cde_Prdt], 0)), "")</f>
        <v/>
      </c>
    </row>
    <row r="3937" spans="1:11" x14ac:dyDescent="0.25">
      <c r="A3937" s="5"/>
      <c r="B3937" s="63" t="str">
        <f>IFERROR(TEXT(tbl_Ventes[[#This Row],[Date]],"mm-aaaa"),"")</f>
        <v>01-1900</v>
      </c>
      <c r="D3937" s="10" t="str">
        <f>IFERROR(
   INDEX(tbl_ProduitsRef[Cde_Prdt],MATCH(tbl_Ventes[[#This Row],[Produit]],tbl_ProduitsRef[Produit],0)),
   ""
)</f>
        <v/>
      </c>
      <c r="E3937" s="7">
        <v>0</v>
      </c>
      <c r="F3937" s="7" t="str">
        <f>IFERROR(
   INDEX(tbl_ProduitsRef[Prix Menu],MATCH(tbl_Ventes[[#This Row],[Produit]],tbl_ProduitsRef[Produit],0)),
   ""
)</f>
        <v/>
      </c>
      <c r="G3937" s="7">
        <f>tbl_Ventes[[#This Row],[Qté Vendue]] * IFERROR(_xlfn.XLOOKUP(tbl_Ventes[[#This Row],[Cde_Prdt]], tbl_Produits[Cde_Prdt], tbl_Produits[Prix Menu]), 0)</f>
        <v>0</v>
      </c>
      <c r="H3937" s="7">
        <f>IFERROR(_xlfn.XLOOKUP(tbl_Ventes[[#This Row],[Cde_Prdt]], tbl_Produits[Cde_Prdt], tbl_Produits[Coût Moyen Portion]), 0)</f>
        <v>0</v>
      </c>
      <c r="I3937" s="7">
        <f>tbl_Ventes[[#This Row],[Qté Vendue]] * tbl_Ventes[[#This Row],[CMP_par_portion]]</f>
        <v>0</v>
      </c>
      <c r="J3937" s="7">
        <f>tbl_Ventes[[#This Row],[CA ligne]] - tbl_Ventes[[#This Row],[Coût matière ligne]]</f>
        <v>0</v>
      </c>
      <c r="K3937" s="7" t="str">
        <f>IFERROR(INDEX(tbl_ProduitsRef[Famille], MATCH(tbl_Ventes[[#This Row],[Cde_Prdt]], tbl_Produits[Cde_Prdt], 0)), "")</f>
        <v/>
      </c>
    </row>
    <row r="3938" spans="1:11" x14ac:dyDescent="0.25">
      <c r="A3938" s="5"/>
      <c r="B3938" s="63" t="str">
        <f>IFERROR(TEXT(tbl_Ventes[[#This Row],[Date]],"mm-aaaa"),"")</f>
        <v>01-1900</v>
      </c>
      <c r="D3938" s="10" t="str">
        <f>IFERROR(
   INDEX(tbl_ProduitsRef[Cde_Prdt],MATCH(tbl_Ventes[[#This Row],[Produit]],tbl_ProduitsRef[Produit],0)),
   ""
)</f>
        <v/>
      </c>
      <c r="E3938" s="7">
        <v>0</v>
      </c>
      <c r="F3938" s="7" t="str">
        <f>IFERROR(
   INDEX(tbl_ProduitsRef[Prix Menu],MATCH(tbl_Ventes[[#This Row],[Produit]],tbl_ProduitsRef[Produit],0)),
   ""
)</f>
        <v/>
      </c>
      <c r="G3938" s="7">
        <f>tbl_Ventes[[#This Row],[Qté Vendue]] * IFERROR(_xlfn.XLOOKUP(tbl_Ventes[[#This Row],[Cde_Prdt]], tbl_Produits[Cde_Prdt], tbl_Produits[Prix Menu]), 0)</f>
        <v>0</v>
      </c>
      <c r="H3938" s="7">
        <f>IFERROR(_xlfn.XLOOKUP(tbl_Ventes[[#This Row],[Cde_Prdt]], tbl_Produits[Cde_Prdt], tbl_Produits[Coût Moyen Portion]), 0)</f>
        <v>0</v>
      </c>
      <c r="I3938" s="7">
        <f>tbl_Ventes[[#This Row],[Qté Vendue]] * tbl_Ventes[[#This Row],[CMP_par_portion]]</f>
        <v>0</v>
      </c>
      <c r="J3938" s="7">
        <f>tbl_Ventes[[#This Row],[CA ligne]] - tbl_Ventes[[#This Row],[Coût matière ligne]]</f>
        <v>0</v>
      </c>
      <c r="K3938" s="7" t="str">
        <f>IFERROR(INDEX(tbl_ProduitsRef[Famille], MATCH(tbl_Ventes[[#This Row],[Cde_Prdt]], tbl_Produits[Cde_Prdt], 0)), "")</f>
        <v/>
      </c>
    </row>
    <row r="3939" spans="1:11" x14ac:dyDescent="0.25">
      <c r="A3939" s="5"/>
      <c r="B3939" s="63" t="str">
        <f>IFERROR(TEXT(tbl_Ventes[[#This Row],[Date]],"mm-aaaa"),"")</f>
        <v>01-1900</v>
      </c>
      <c r="D3939" s="10" t="str">
        <f>IFERROR(
   INDEX(tbl_ProduitsRef[Cde_Prdt],MATCH(tbl_Ventes[[#This Row],[Produit]],tbl_ProduitsRef[Produit],0)),
   ""
)</f>
        <v/>
      </c>
      <c r="E3939" s="7">
        <v>0</v>
      </c>
      <c r="F3939" s="7" t="str">
        <f>IFERROR(
   INDEX(tbl_ProduitsRef[Prix Menu],MATCH(tbl_Ventes[[#This Row],[Produit]],tbl_ProduitsRef[Produit],0)),
   ""
)</f>
        <v/>
      </c>
      <c r="G3939" s="7">
        <f>tbl_Ventes[[#This Row],[Qté Vendue]] * IFERROR(_xlfn.XLOOKUP(tbl_Ventes[[#This Row],[Cde_Prdt]], tbl_Produits[Cde_Prdt], tbl_Produits[Prix Menu]), 0)</f>
        <v>0</v>
      </c>
      <c r="H3939" s="7">
        <f>IFERROR(_xlfn.XLOOKUP(tbl_Ventes[[#This Row],[Cde_Prdt]], tbl_Produits[Cde_Prdt], tbl_Produits[Coût Moyen Portion]), 0)</f>
        <v>0</v>
      </c>
      <c r="I3939" s="7">
        <f>tbl_Ventes[[#This Row],[Qté Vendue]] * tbl_Ventes[[#This Row],[CMP_par_portion]]</f>
        <v>0</v>
      </c>
      <c r="J3939" s="7">
        <f>tbl_Ventes[[#This Row],[CA ligne]] - tbl_Ventes[[#This Row],[Coût matière ligne]]</f>
        <v>0</v>
      </c>
      <c r="K3939" s="7" t="str">
        <f>IFERROR(INDEX(tbl_ProduitsRef[Famille], MATCH(tbl_Ventes[[#This Row],[Cde_Prdt]], tbl_Produits[Cde_Prdt], 0)), "")</f>
        <v/>
      </c>
    </row>
    <row r="3940" spans="1:11" x14ac:dyDescent="0.25">
      <c r="A3940" s="5"/>
      <c r="B3940" s="63" t="str">
        <f>IFERROR(TEXT(tbl_Ventes[[#This Row],[Date]],"mm-aaaa"),"")</f>
        <v>01-1900</v>
      </c>
      <c r="D3940" s="10" t="str">
        <f>IFERROR(
   INDEX(tbl_ProduitsRef[Cde_Prdt],MATCH(tbl_Ventes[[#This Row],[Produit]],tbl_ProduitsRef[Produit],0)),
   ""
)</f>
        <v/>
      </c>
      <c r="E3940" s="7">
        <v>0</v>
      </c>
      <c r="F3940" s="7" t="str">
        <f>IFERROR(
   INDEX(tbl_ProduitsRef[Prix Menu],MATCH(tbl_Ventes[[#This Row],[Produit]],tbl_ProduitsRef[Produit],0)),
   ""
)</f>
        <v/>
      </c>
      <c r="G3940" s="7">
        <f>tbl_Ventes[[#This Row],[Qté Vendue]] * IFERROR(_xlfn.XLOOKUP(tbl_Ventes[[#This Row],[Cde_Prdt]], tbl_Produits[Cde_Prdt], tbl_Produits[Prix Menu]), 0)</f>
        <v>0</v>
      </c>
      <c r="H3940" s="7">
        <f>IFERROR(_xlfn.XLOOKUP(tbl_Ventes[[#This Row],[Cde_Prdt]], tbl_Produits[Cde_Prdt], tbl_Produits[Coût Moyen Portion]), 0)</f>
        <v>0</v>
      </c>
      <c r="I3940" s="7">
        <f>tbl_Ventes[[#This Row],[Qté Vendue]] * tbl_Ventes[[#This Row],[CMP_par_portion]]</f>
        <v>0</v>
      </c>
      <c r="J3940" s="7">
        <f>tbl_Ventes[[#This Row],[CA ligne]] - tbl_Ventes[[#This Row],[Coût matière ligne]]</f>
        <v>0</v>
      </c>
      <c r="K3940" s="7" t="str">
        <f>IFERROR(INDEX(tbl_ProduitsRef[Famille], MATCH(tbl_Ventes[[#This Row],[Cde_Prdt]], tbl_Produits[Cde_Prdt], 0)), "")</f>
        <v/>
      </c>
    </row>
    <row r="3941" spans="1:11" x14ac:dyDescent="0.25">
      <c r="A3941" s="5"/>
      <c r="B3941" s="63" t="str">
        <f>IFERROR(TEXT(tbl_Ventes[[#This Row],[Date]],"mm-aaaa"),"")</f>
        <v>01-1900</v>
      </c>
      <c r="D3941" s="10" t="str">
        <f>IFERROR(
   INDEX(tbl_ProduitsRef[Cde_Prdt],MATCH(tbl_Ventes[[#This Row],[Produit]],tbl_ProduitsRef[Produit],0)),
   ""
)</f>
        <v/>
      </c>
      <c r="E3941" s="7">
        <v>0</v>
      </c>
      <c r="F3941" s="7" t="str">
        <f>IFERROR(
   INDEX(tbl_ProduitsRef[Prix Menu],MATCH(tbl_Ventes[[#This Row],[Produit]],tbl_ProduitsRef[Produit],0)),
   ""
)</f>
        <v/>
      </c>
      <c r="G3941" s="7">
        <f>tbl_Ventes[[#This Row],[Qté Vendue]] * IFERROR(_xlfn.XLOOKUP(tbl_Ventes[[#This Row],[Cde_Prdt]], tbl_Produits[Cde_Prdt], tbl_Produits[Prix Menu]), 0)</f>
        <v>0</v>
      </c>
      <c r="H3941" s="7">
        <f>IFERROR(_xlfn.XLOOKUP(tbl_Ventes[[#This Row],[Cde_Prdt]], tbl_Produits[Cde_Prdt], tbl_Produits[Coût Moyen Portion]), 0)</f>
        <v>0</v>
      </c>
      <c r="I3941" s="7">
        <f>tbl_Ventes[[#This Row],[Qté Vendue]] * tbl_Ventes[[#This Row],[CMP_par_portion]]</f>
        <v>0</v>
      </c>
      <c r="J3941" s="7">
        <f>tbl_Ventes[[#This Row],[CA ligne]] - tbl_Ventes[[#This Row],[Coût matière ligne]]</f>
        <v>0</v>
      </c>
      <c r="K3941" s="7" t="str">
        <f>IFERROR(INDEX(tbl_ProduitsRef[Famille], MATCH(tbl_Ventes[[#This Row],[Cde_Prdt]], tbl_Produits[Cde_Prdt], 0)), "")</f>
        <v/>
      </c>
    </row>
    <row r="3942" spans="1:11" x14ac:dyDescent="0.25">
      <c r="A3942" s="5"/>
      <c r="B3942" s="63" t="str">
        <f>IFERROR(TEXT(tbl_Ventes[[#This Row],[Date]],"mm-aaaa"),"")</f>
        <v>01-1900</v>
      </c>
      <c r="D3942" s="10" t="str">
        <f>IFERROR(
   INDEX(tbl_ProduitsRef[Cde_Prdt],MATCH(tbl_Ventes[[#This Row],[Produit]],tbl_ProduitsRef[Produit],0)),
   ""
)</f>
        <v/>
      </c>
      <c r="E3942" s="7">
        <v>0</v>
      </c>
      <c r="F3942" s="7" t="str">
        <f>IFERROR(
   INDEX(tbl_ProduitsRef[Prix Menu],MATCH(tbl_Ventes[[#This Row],[Produit]],tbl_ProduitsRef[Produit],0)),
   ""
)</f>
        <v/>
      </c>
      <c r="G3942" s="7">
        <f>tbl_Ventes[[#This Row],[Qté Vendue]] * IFERROR(_xlfn.XLOOKUP(tbl_Ventes[[#This Row],[Cde_Prdt]], tbl_Produits[Cde_Prdt], tbl_Produits[Prix Menu]), 0)</f>
        <v>0</v>
      </c>
      <c r="H3942" s="7">
        <f>IFERROR(_xlfn.XLOOKUP(tbl_Ventes[[#This Row],[Cde_Prdt]], tbl_Produits[Cde_Prdt], tbl_Produits[Coût Moyen Portion]), 0)</f>
        <v>0</v>
      </c>
      <c r="I3942" s="7">
        <f>tbl_Ventes[[#This Row],[Qté Vendue]] * tbl_Ventes[[#This Row],[CMP_par_portion]]</f>
        <v>0</v>
      </c>
      <c r="J3942" s="7">
        <f>tbl_Ventes[[#This Row],[CA ligne]] - tbl_Ventes[[#This Row],[Coût matière ligne]]</f>
        <v>0</v>
      </c>
      <c r="K3942" s="7" t="str">
        <f>IFERROR(INDEX(tbl_ProduitsRef[Famille], MATCH(tbl_Ventes[[#This Row],[Cde_Prdt]], tbl_Produits[Cde_Prdt], 0)), "")</f>
        <v/>
      </c>
    </row>
    <row r="3943" spans="1:11" x14ac:dyDescent="0.25">
      <c r="A3943" s="5"/>
      <c r="B3943" s="63" t="str">
        <f>IFERROR(TEXT(tbl_Ventes[[#This Row],[Date]],"mm-aaaa"),"")</f>
        <v>01-1900</v>
      </c>
      <c r="D3943" s="10" t="str">
        <f>IFERROR(
   INDEX(tbl_ProduitsRef[Cde_Prdt],MATCH(tbl_Ventes[[#This Row],[Produit]],tbl_ProduitsRef[Produit],0)),
   ""
)</f>
        <v/>
      </c>
      <c r="E3943" s="7">
        <v>0</v>
      </c>
      <c r="F3943" s="7" t="str">
        <f>IFERROR(
   INDEX(tbl_ProduitsRef[Prix Menu],MATCH(tbl_Ventes[[#This Row],[Produit]],tbl_ProduitsRef[Produit],0)),
   ""
)</f>
        <v/>
      </c>
      <c r="G3943" s="7">
        <f>tbl_Ventes[[#This Row],[Qté Vendue]] * IFERROR(_xlfn.XLOOKUP(tbl_Ventes[[#This Row],[Cde_Prdt]], tbl_Produits[Cde_Prdt], tbl_Produits[Prix Menu]), 0)</f>
        <v>0</v>
      </c>
      <c r="H3943" s="7">
        <f>IFERROR(_xlfn.XLOOKUP(tbl_Ventes[[#This Row],[Cde_Prdt]], tbl_Produits[Cde_Prdt], tbl_Produits[Coût Moyen Portion]), 0)</f>
        <v>0</v>
      </c>
      <c r="I3943" s="7">
        <f>tbl_Ventes[[#This Row],[Qté Vendue]] * tbl_Ventes[[#This Row],[CMP_par_portion]]</f>
        <v>0</v>
      </c>
      <c r="J3943" s="7">
        <f>tbl_Ventes[[#This Row],[CA ligne]] - tbl_Ventes[[#This Row],[Coût matière ligne]]</f>
        <v>0</v>
      </c>
      <c r="K3943" s="7" t="str">
        <f>IFERROR(INDEX(tbl_ProduitsRef[Famille], MATCH(tbl_Ventes[[#This Row],[Cde_Prdt]], tbl_Produits[Cde_Prdt], 0)), "")</f>
        <v/>
      </c>
    </row>
    <row r="3944" spans="1:11" x14ac:dyDescent="0.25">
      <c r="A3944" s="5"/>
      <c r="B3944" s="63" t="str">
        <f>IFERROR(TEXT(tbl_Ventes[[#This Row],[Date]],"mm-aaaa"),"")</f>
        <v>01-1900</v>
      </c>
      <c r="D3944" s="10" t="str">
        <f>IFERROR(
   INDEX(tbl_ProduitsRef[Cde_Prdt],MATCH(tbl_Ventes[[#This Row],[Produit]],tbl_ProduitsRef[Produit],0)),
   ""
)</f>
        <v/>
      </c>
      <c r="E3944" s="7">
        <v>0</v>
      </c>
      <c r="F3944" s="7" t="str">
        <f>IFERROR(
   INDEX(tbl_ProduitsRef[Prix Menu],MATCH(tbl_Ventes[[#This Row],[Produit]],tbl_ProduitsRef[Produit],0)),
   ""
)</f>
        <v/>
      </c>
      <c r="G3944" s="7">
        <f>tbl_Ventes[[#This Row],[Qté Vendue]] * IFERROR(_xlfn.XLOOKUP(tbl_Ventes[[#This Row],[Cde_Prdt]], tbl_Produits[Cde_Prdt], tbl_Produits[Prix Menu]), 0)</f>
        <v>0</v>
      </c>
      <c r="H3944" s="7">
        <f>IFERROR(_xlfn.XLOOKUP(tbl_Ventes[[#This Row],[Cde_Prdt]], tbl_Produits[Cde_Prdt], tbl_Produits[Coût Moyen Portion]), 0)</f>
        <v>0</v>
      </c>
      <c r="I3944" s="7">
        <f>tbl_Ventes[[#This Row],[Qté Vendue]] * tbl_Ventes[[#This Row],[CMP_par_portion]]</f>
        <v>0</v>
      </c>
      <c r="J3944" s="7">
        <f>tbl_Ventes[[#This Row],[CA ligne]] - tbl_Ventes[[#This Row],[Coût matière ligne]]</f>
        <v>0</v>
      </c>
      <c r="K3944" s="7" t="str">
        <f>IFERROR(INDEX(tbl_ProduitsRef[Famille], MATCH(tbl_Ventes[[#This Row],[Cde_Prdt]], tbl_Produits[Cde_Prdt], 0)), "")</f>
        <v/>
      </c>
    </row>
    <row r="3945" spans="1:11" x14ac:dyDescent="0.25">
      <c r="A3945" s="5"/>
      <c r="B3945" s="63" t="str">
        <f>IFERROR(TEXT(tbl_Ventes[[#This Row],[Date]],"mm-aaaa"),"")</f>
        <v>01-1900</v>
      </c>
      <c r="D3945" s="10" t="str">
        <f>IFERROR(
   INDEX(tbl_ProduitsRef[Cde_Prdt],MATCH(tbl_Ventes[[#This Row],[Produit]],tbl_ProduitsRef[Produit],0)),
   ""
)</f>
        <v/>
      </c>
      <c r="E3945" s="7">
        <v>0</v>
      </c>
      <c r="F3945" s="7" t="str">
        <f>IFERROR(
   INDEX(tbl_ProduitsRef[Prix Menu],MATCH(tbl_Ventes[[#This Row],[Produit]],tbl_ProduitsRef[Produit],0)),
   ""
)</f>
        <v/>
      </c>
      <c r="G3945" s="7">
        <f>tbl_Ventes[[#This Row],[Qté Vendue]] * IFERROR(_xlfn.XLOOKUP(tbl_Ventes[[#This Row],[Cde_Prdt]], tbl_Produits[Cde_Prdt], tbl_Produits[Prix Menu]), 0)</f>
        <v>0</v>
      </c>
      <c r="H3945" s="7">
        <f>IFERROR(_xlfn.XLOOKUP(tbl_Ventes[[#This Row],[Cde_Prdt]], tbl_Produits[Cde_Prdt], tbl_Produits[Coût Moyen Portion]), 0)</f>
        <v>0</v>
      </c>
      <c r="I3945" s="7">
        <f>tbl_Ventes[[#This Row],[Qté Vendue]] * tbl_Ventes[[#This Row],[CMP_par_portion]]</f>
        <v>0</v>
      </c>
      <c r="J3945" s="7">
        <f>tbl_Ventes[[#This Row],[CA ligne]] - tbl_Ventes[[#This Row],[Coût matière ligne]]</f>
        <v>0</v>
      </c>
      <c r="K3945" s="7" t="str">
        <f>IFERROR(INDEX(tbl_ProduitsRef[Famille], MATCH(tbl_Ventes[[#This Row],[Cde_Prdt]], tbl_Produits[Cde_Prdt], 0)), "")</f>
        <v/>
      </c>
    </row>
    <row r="3946" spans="1:11" x14ac:dyDescent="0.25">
      <c r="A3946" s="5"/>
      <c r="B3946" s="63" t="str">
        <f>IFERROR(TEXT(tbl_Ventes[[#This Row],[Date]],"mm-aaaa"),"")</f>
        <v>01-1900</v>
      </c>
      <c r="D3946" s="10" t="str">
        <f>IFERROR(
   INDEX(tbl_ProduitsRef[Cde_Prdt],MATCH(tbl_Ventes[[#This Row],[Produit]],tbl_ProduitsRef[Produit],0)),
   ""
)</f>
        <v/>
      </c>
      <c r="E3946" s="7">
        <v>0</v>
      </c>
      <c r="F3946" s="7" t="str">
        <f>IFERROR(
   INDEX(tbl_ProduitsRef[Prix Menu],MATCH(tbl_Ventes[[#This Row],[Produit]],tbl_ProduitsRef[Produit],0)),
   ""
)</f>
        <v/>
      </c>
      <c r="G3946" s="7">
        <f>tbl_Ventes[[#This Row],[Qté Vendue]] * IFERROR(_xlfn.XLOOKUP(tbl_Ventes[[#This Row],[Cde_Prdt]], tbl_Produits[Cde_Prdt], tbl_Produits[Prix Menu]), 0)</f>
        <v>0</v>
      </c>
      <c r="H3946" s="7">
        <f>IFERROR(_xlfn.XLOOKUP(tbl_Ventes[[#This Row],[Cde_Prdt]], tbl_Produits[Cde_Prdt], tbl_Produits[Coût Moyen Portion]), 0)</f>
        <v>0</v>
      </c>
      <c r="I3946" s="7">
        <f>tbl_Ventes[[#This Row],[Qté Vendue]] * tbl_Ventes[[#This Row],[CMP_par_portion]]</f>
        <v>0</v>
      </c>
      <c r="J3946" s="7">
        <f>tbl_Ventes[[#This Row],[CA ligne]] - tbl_Ventes[[#This Row],[Coût matière ligne]]</f>
        <v>0</v>
      </c>
      <c r="K3946" s="7" t="str">
        <f>IFERROR(INDEX(tbl_ProduitsRef[Famille], MATCH(tbl_Ventes[[#This Row],[Cde_Prdt]], tbl_Produits[Cde_Prdt], 0)), "")</f>
        <v/>
      </c>
    </row>
    <row r="3947" spans="1:11" x14ac:dyDescent="0.25">
      <c r="A3947" s="5"/>
      <c r="B3947" s="63" t="str">
        <f>IFERROR(TEXT(tbl_Ventes[[#This Row],[Date]],"mm-aaaa"),"")</f>
        <v>01-1900</v>
      </c>
      <c r="D3947" s="10" t="str">
        <f>IFERROR(
   INDEX(tbl_ProduitsRef[Cde_Prdt],MATCH(tbl_Ventes[[#This Row],[Produit]],tbl_ProduitsRef[Produit],0)),
   ""
)</f>
        <v/>
      </c>
      <c r="E3947" s="7">
        <v>0</v>
      </c>
      <c r="F3947" s="7" t="str">
        <f>IFERROR(
   INDEX(tbl_ProduitsRef[Prix Menu],MATCH(tbl_Ventes[[#This Row],[Produit]],tbl_ProduitsRef[Produit],0)),
   ""
)</f>
        <v/>
      </c>
      <c r="G3947" s="7">
        <f>tbl_Ventes[[#This Row],[Qté Vendue]] * IFERROR(_xlfn.XLOOKUP(tbl_Ventes[[#This Row],[Cde_Prdt]], tbl_Produits[Cde_Prdt], tbl_Produits[Prix Menu]), 0)</f>
        <v>0</v>
      </c>
      <c r="H3947" s="7">
        <f>IFERROR(_xlfn.XLOOKUP(tbl_Ventes[[#This Row],[Cde_Prdt]], tbl_Produits[Cde_Prdt], tbl_Produits[Coût Moyen Portion]), 0)</f>
        <v>0</v>
      </c>
      <c r="I3947" s="7">
        <f>tbl_Ventes[[#This Row],[Qté Vendue]] * tbl_Ventes[[#This Row],[CMP_par_portion]]</f>
        <v>0</v>
      </c>
      <c r="J3947" s="7">
        <f>tbl_Ventes[[#This Row],[CA ligne]] - tbl_Ventes[[#This Row],[Coût matière ligne]]</f>
        <v>0</v>
      </c>
      <c r="K3947" s="7" t="str">
        <f>IFERROR(INDEX(tbl_ProduitsRef[Famille], MATCH(tbl_Ventes[[#This Row],[Cde_Prdt]], tbl_Produits[Cde_Prdt], 0)), "")</f>
        <v/>
      </c>
    </row>
    <row r="3948" spans="1:11" x14ac:dyDescent="0.25">
      <c r="A3948" s="5"/>
      <c r="B3948" s="63" t="str">
        <f>IFERROR(TEXT(tbl_Ventes[[#This Row],[Date]],"mm-aaaa"),"")</f>
        <v>01-1900</v>
      </c>
      <c r="D3948" s="10" t="str">
        <f>IFERROR(
   INDEX(tbl_ProduitsRef[Cde_Prdt],MATCH(tbl_Ventes[[#This Row],[Produit]],tbl_ProduitsRef[Produit],0)),
   ""
)</f>
        <v/>
      </c>
      <c r="E3948" s="7">
        <v>0</v>
      </c>
      <c r="F3948" s="7" t="str">
        <f>IFERROR(
   INDEX(tbl_ProduitsRef[Prix Menu],MATCH(tbl_Ventes[[#This Row],[Produit]],tbl_ProduitsRef[Produit],0)),
   ""
)</f>
        <v/>
      </c>
      <c r="G3948" s="7">
        <f>tbl_Ventes[[#This Row],[Qté Vendue]] * IFERROR(_xlfn.XLOOKUP(tbl_Ventes[[#This Row],[Cde_Prdt]], tbl_Produits[Cde_Prdt], tbl_Produits[Prix Menu]), 0)</f>
        <v>0</v>
      </c>
      <c r="H3948" s="7">
        <f>IFERROR(_xlfn.XLOOKUP(tbl_Ventes[[#This Row],[Cde_Prdt]], tbl_Produits[Cde_Prdt], tbl_Produits[Coût Moyen Portion]), 0)</f>
        <v>0</v>
      </c>
      <c r="I3948" s="7">
        <f>tbl_Ventes[[#This Row],[Qté Vendue]] * tbl_Ventes[[#This Row],[CMP_par_portion]]</f>
        <v>0</v>
      </c>
      <c r="J3948" s="7">
        <f>tbl_Ventes[[#This Row],[CA ligne]] - tbl_Ventes[[#This Row],[Coût matière ligne]]</f>
        <v>0</v>
      </c>
      <c r="K3948" s="7" t="str">
        <f>IFERROR(INDEX(tbl_ProduitsRef[Famille], MATCH(tbl_Ventes[[#This Row],[Cde_Prdt]], tbl_Produits[Cde_Prdt], 0)), "")</f>
        <v/>
      </c>
    </row>
    <row r="3949" spans="1:11" x14ac:dyDescent="0.25">
      <c r="A3949" s="5"/>
      <c r="B3949" s="63" t="str">
        <f>IFERROR(TEXT(tbl_Ventes[[#This Row],[Date]],"mm-aaaa"),"")</f>
        <v>01-1900</v>
      </c>
      <c r="D3949" s="10" t="str">
        <f>IFERROR(
   INDEX(tbl_ProduitsRef[Cde_Prdt],MATCH(tbl_Ventes[[#This Row],[Produit]],tbl_ProduitsRef[Produit],0)),
   ""
)</f>
        <v/>
      </c>
      <c r="E3949" s="7">
        <v>0</v>
      </c>
      <c r="F3949" s="7" t="str">
        <f>IFERROR(
   INDEX(tbl_ProduitsRef[Prix Menu],MATCH(tbl_Ventes[[#This Row],[Produit]],tbl_ProduitsRef[Produit],0)),
   ""
)</f>
        <v/>
      </c>
      <c r="G3949" s="7">
        <f>tbl_Ventes[[#This Row],[Qté Vendue]] * IFERROR(_xlfn.XLOOKUP(tbl_Ventes[[#This Row],[Cde_Prdt]], tbl_Produits[Cde_Prdt], tbl_Produits[Prix Menu]), 0)</f>
        <v>0</v>
      </c>
      <c r="H3949" s="7">
        <f>IFERROR(_xlfn.XLOOKUP(tbl_Ventes[[#This Row],[Cde_Prdt]], tbl_Produits[Cde_Prdt], tbl_Produits[Coût Moyen Portion]), 0)</f>
        <v>0</v>
      </c>
      <c r="I3949" s="7">
        <f>tbl_Ventes[[#This Row],[Qté Vendue]] * tbl_Ventes[[#This Row],[CMP_par_portion]]</f>
        <v>0</v>
      </c>
      <c r="J3949" s="7">
        <f>tbl_Ventes[[#This Row],[CA ligne]] - tbl_Ventes[[#This Row],[Coût matière ligne]]</f>
        <v>0</v>
      </c>
      <c r="K3949" s="7" t="str">
        <f>IFERROR(INDEX(tbl_ProduitsRef[Famille], MATCH(tbl_Ventes[[#This Row],[Cde_Prdt]], tbl_Produits[Cde_Prdt], 0)), "")</f>
        <v/>
      </c>
    </row>
    <row r="3950" spans="1:11" x14ac:dyDescent="0.25">
      <c r="A3950" s="5"/>
      <c r="B3950" s="63" t="str">
        <f>IFERROR(TEXT(tbl_Ventes[[#This Row],[Date]],"mm-aaaa"),"")</f>
        <v>01-1900</v>
      </c>
      <c r="D3950" s="10" t="str">
        <f>IFERROR(
   INDEX(tbl_ProduitsRef[Cde_Prdt],MATCH(tbl_Ventes[[#This Row],[Produit]],tbl_ProduitsRef[Produit],0)),
   ""
)</f>
        <v/>
      </c>
      <c r="E3950" s="7">
        <v>0</v>
      </c>
      <c r="F3950" s="7" t="str">
        <f>IFERROR(
   INDEX(tbl_ProduitsRef[Prix Menu],MATCH(tbl_Ventes[[#This Row],[Produit]],tbl_ProduitsRef[Produit],0)),
   ""
)</f>
        <v/>
      </c>
      <c r="G3950" s="7">
        <f>tbl_Ventes[[#This Row],[Qté Vendue]] * IFERROR(_xlfn.XLOOKUP(tbl_Ventes[[#This Row],[Cde_Prdt]], tbl_Produits[Cde_Prdt], tbl_Produits[Prix Menu]), 0)</f>
        <v>0</v>
      </c>
      <c r="H3950" s="7">
        <f>IFERROR(_xlfn.XLOOKUP(tbl_Ventes[[#This Row],[Cde_Prdt]], tbl_Produits[Cde_Prdt], tbl_Produits[Coût Moyen Portion]), 0)</f>
        <v>0</v>
      </c>
      <c r="I3950" s="7">
        <f>tbl_Ventes[[#This Row],[Qté Vendue]] * tbl_Ventes[[#This Row],[CMP_par_portion]]</f>
        <v>0</v>
      </c>
      <c r="J3950" s="7">
        <f>tbl_Ventes[[#This Row],[CA ligne]] - tbl_Ventes[[#This Row],[Coût matière ligne]]</f>
        <v>0</v>
      </c>
      <c r="K3950" s="7" t="str">
        <f>IFERROR(INDEX(tbl_ProduitsRef[Famille], MATCH(tbl_Ventes[[#This Row],[Cde_Prdt]], tbl_Produits[Cde_Prdt], 0)), "")</f>
        <v/>
      </c>
    </row>
    <row r="3951" spans="1:11" x14ac:dyDescent="0.25">
      <c r="A3951" s="5"/>
      <c r="B3951" s="63" t="str">
        <f>IFERROR(TEXT(tbl_Ventes[[#This Row],[Date]],"mm-aaaa"),"")</f>
        <v>01-1900</v>
      </c>
      <c r="D3951" s="10" t="str">
        <f>IFERROR(
   INDEX(tbl_ProduitsRef[Cde_Prdt],MATCH(tbl_Ventes[[#This Row],[Produit]],tbl_ProduitsRef[Produit],0)),
   ""
)</f>
        <v/>
      </c>
      <c r="E3951" s="7">
        <v>0</v>
      </c>
      <c r="F3951" s="7" t="str">
        <f>IFERROR(
   INDEX(tbl_ProduitsRef[Prix Menu],MATCH(tbl_Ventes[[#This Row],[Produit]],tbl_ProduitsRef[Produit],0)),
   ""
)</f>
        <v/>
      </c>
      <c r="G3951" s="7">
        <f>tbl_Ventes[[#This Row],[Qté Vendue]] * IFERROR(_xlfn.XLOOKUP(tbl_Ventes[[#This Row],[Cde_Prdt]], tbl_Produits[Cde_Prdt], tbl_Produits[Prix Menu]), 0)</f>
        <v>0</v>
      </c>
      <c r="H3951" s="7">
        <f>IFERROR(_xlfn.XLOOKUP(tbl_Ventes[[#This Row],[Cde_Prdt]], tbl_Produits[Cde_Prdt], tbl_Produits[Coût Moyen Portion]), 0)</f>
        <v>0</v>
      </c>
      <c r="I3951" s="7">
        <f>tbl_Ventes[[#This Row],[Qté Vendue]] * tbl_Ventes[[#This Row],[CMP_par_portion]]</f>
        <v>0</v>
      </c>
      <c r="J3951" s="7">
        <f>tbl_Ventes[[#This Row],[CA ligne]] - tbl_Ventes[[#This Row],[Coût matière ligne]]</f>
        <v>0</v>
      </c>
      <c r="K3951" s="7" t="str">
        <f>IFERROR(INDEX(tbl_ProduitsRef[Famille], MATCH(tbl_Ventes[[#This Row],[Cde_Prdt]], tbl_Produits[Cde_Prdt], 0)), "")</f>
        <v/>
      </c>
    </row>
    <row r="3952" spans="1:11" x14ac:dyDescent="0.25">
      <c r="A3952" s="5"/>
      <c r="B3952" s="63" t="str">
        <f>IFERROR(TEXT(tbl_Ventes[[#This Row],[Date]],"mm-aaaa"),"")</f>
        <v>01-1900</v>
      </c>
      <c r="D3952" s="10" t="str">
        <f>IFERROR(
   INDEX(tbl_ProduitsRef[Cde_Prdt],MATCH(tbl_Ventes[[#This Row],[Produit]],tbl_ProduitsRef[Produit],0)),
   ""
)</f>
        <v/>
      </c>
      <c r="E3952" s="7">
        <v>0</v>
      </c>
      <c r="F3952" s="7" t="str">
        <f>IFERROR(
   INDEX(tbl_ProduitsRef[Prix Menu],MATCH(tbl_Ventes[[#This Row],[Produit]],tbl_ProduitsRef[Produit],0)),
   ""
)</f>
        <v/>
      </c>
      <c r="G3952" s="7">
        <f>tbl_Ventes[[#This Row],[Qté Vendue]] * IFERROR(_xlfn.XLOOKUP(tbl_Ventes[[#This Row],[Cde_Prdt]], tbl_Produits[Cde_Prdt], tbl_Produits[Prix Menu]), 0)</f>
        <v>0</v>
      </c>
      <c r="H3952" s="7">
        <f>IFERROR(_xlfn.XLOOKUP(tbl_Ventes[[#This Row],[Cde_Prdt]], tbl_Produits[Cde_Prdt], tbl_Produits[Coût Moyen Portion]), 0)</f>
        <v>0</v>
      </c>
      <c r="I3952" s="7">
        <f>tbl_Ventes[[#This Row],[Qté Vendue]] * tbl_Ventes[[#This Row],[CMP_par_portion]]</f>
        <v>0</v>
      </c>
      <c r="J3952" s="7">
        <f>tbl_Ventes[[#This Row],[CA ligne]] - tbl_Ventes[[#This Row],[Coût matière ligne]]</f>
        <v>0</v>
      </c>
      <c r="K3952" s="7" t="str">
        <f>IFERROR(INDEX(tbl_ProduitsRef[Famille], MATCH(tbl_Ventes[[#This Row],[Cde_Prdt]], tbl_Produits[Cde_Prdt], 0)), "")</f>
        <v/>
      </c>
    </row>
    <row r="3953" spans="1:11" x14ac:dyDescent="0.25">
      <c r="A3953" s="5"/>
      <c r="B3953" s="63" t="str">
        <f>IFERROR(TEXT(tbl_Ventes[[#This Row],[Date]],"mm-aaaa"),"")</f>
        <v>01-1900</v>
      </c>
      <c r="D3953" s="10" t="str">
        <f>IFERROR(
   INDEX(tbl_ProduitsRef[Cde_Prdt],MATCH(tbl_Ventes[[#This Row],[Produit]],tbl_ProduitsRef[Produit],0)),
   ""
)</f>
        <v/>
      </c>
      <c r="E3953" s="7">
        <v>0</v>
      </c>
      <c r="F3953" s="7" t="str">
        <f>IFERROR(
   INDEX(tbl_ProduitsRef[Prix Menu],MATCH(tbl_Ventes[[#This Row],[Produit]],tbl_ProduitsRef[Produit],0)),
   ""
)</f>
        <v/>
      </c>
      <c r="G3953" s="7">
        <f>tbl_Ventes[[#This Row],[Qté Vendue]] * IFERROR(_xlfn.XLOOKUP(tbl_Ventes[[#This Row],[Cde_Prdt]], tbl_Produits[Cde_Prdt], tbl_Produits[Prix Menu]), 0)</f>
        <v>0</v>
      </c>
      <c r="H3953" s="7">
        <f>IFERROR(_xlfn.XLOOKUP(tbl_Ventes[[#This Row],[Cde_Prdt]], tbl_Produits[Cde_Prdt], tbl_Produits[Coût Moyen Portion]), 0)</f>
        <v>0</v>
      </c>
      <c r="I3953" s="7">
        <f>tbl_Ventes[[#This Row],[Qté Vendue]] * tbl_Ventes[[#This Row],[CMP_par_portion]]</f>
        <v>0</v>
      </c>
      <c r="J3953" s="7">
        <f>tbl_Ventes[[#This Row],[CA ligne]] - tbl_Ventes[[#This Row],[Coût matière ligne]]</f>
        <v>0</v>
      </c>
      <c r="K3953" s="7" t="str">
        <f>IFERROR(INDEX(tbl_ProduitsRef[Famille], MATCH(tbl_Ventes[[#This Row],[Cde_Prdt]], tbl_Produits[Cde_Prdt], 0)), "")</f>
        <v/>
      </c>
    </row>
    <row r="3954" spans="1:11" x14ac:dyDescent="0.25">
      <c r="A3954" s="5"/>
      <c r="B3954" s="63" t="str">
        <f>IFERROR(TEXT(tbl_Ventes[[#This Row],[Date]],"mm-aaaa"),"")</f>
        <v>01-1900</v>
      </c>
      <c r="D3954" s="10" t="str">
        <f>IFERROR(
   INDEX(tbl_ProduitsRef[Cde_Prdt],MATCH(tbl_Ventes[[#This Row],[Produit]],tbl_ProduitsRef[Produit],0)),
   ""
)</f>
        <v/>
      </c>
      <c r="E3954" s="7">
        <v>0</v>
      </c>
      <c r="F3954" s="7" t="str">
        <f>IFERROR(
   INDEX(tbl_ProduitsRef[Prix Menu],MATCH(tbl_Ventes[[#This Row],[Produit]],tbl_ProduitsRef[Produit],0)),
   ""
)</f>
        <v/>
      </c>
      <c r="G3954" s="7">
        <f>tbl_Ventes[[#This Row],[Qté Vendue]] * IFERROR(_xlfn.XLOOKUP(tbl_Ventes[[#This Row],[Cde_Prdt]], tbl_Produits[Cde_Prdt], tbl_Produits[Prix Menu]), 0)</f>
        <v>0</v>
      </c>
      <c r="H3954" s="7">
        <f>IFERROR(_xlfn.XLOOKUP(tbl_Ventes[[#This Row],[Cde_Prdt]], tbl_Produits[Cde_Prdt], tbl_Produits[Coût Moyen Portion]), 0)</f>
        <v>0</v>
      </c>
      <c r="I3954" s="7">
        <f>tbl_Ventes[[#This Row],[Qté Vendue]] * tbl_Ventes[[#This Row],[CMP_par_portion]]</f>
        <v>0</v>
      </c>
      <c r="J3954" s="7">
        <f>tbl_Ventes[[#This Row],[CA ligne]] - tbl_Ventes[[#This Row],[Coût matière ligne]]</f>
        <v>0</v>
      </c>
      <c r="K3954" s="7" t="str">
        <f>IFERROR(INDEX(tbl_ProduitsRef[Famille], MATCH(tbl_Ventes[[#This Row],[Cde_Prdt]], tbl_Produits[Cde_Prdt], 0)), "")</f>
        <v/>
      </c>
    </row>
    <row r="3955" spans="1:11" x14ac:dyDescent="0.25">
      <c r="A3955" s="5"/>
      <c r="B3955" s="63" t="str">
        <f>IFERROR(TEXT(tbl_Ventes[[#This Row],[Date]],"mm-aaaa"),"")</f>
        <v>01-1900</v>
      </c>
      <c r="D3955" s="10" t="str">
        <f>IFERROR(
   INDEX(tbl_ProduitsRef[Cde_Prdt],MATCH(tbl_Ventes[[#This Row],[Produit]],tbl_ProduitsRef[Produit],0)),
   ""
)</f>
        <v/>
      </c>
      <c r="E3955" s="7">
        <v>0</v>
      </c>
      <c r="F3955" s="7" t="str">
        <f>IFERROR(
   INDEX(tbl_ProduitsRef[Prix Menu],MATCH(tbl_Ventes[[#This Row],[Produit]],tbl_ProduitsRef[Produit],0)),
   ""
)</f>
        <v/>
      </c>
      <c r="G3955" s="7">
        <f>tbl_Ventes[[#This Row],[Qté Vendue]] * IFERROR(_xlfn.XLOOKUP(tbl_Ventes[[#This Row],[Cde_Prdt]], tbl_Produits[Cde_Prdt], tbl_Produits[Prix Menu]), 0)</f>
        <v>0</v>
      </c>
      <c r="H3955" s="7">
        <f>IFERROR(_xlfn.XLOOKUP(tbl_Ventes[[#This Row],[Cde_Prdt]], tbl_Produits[Cde_Prdt], tbl_Produits[Coût Moyen Portion]), 0)</f>
        <v>0</v>
      </c>
      <c r="I3955" s="7">
        <f>tbl_Ventes[[#This Row],[Qté Vendue]] * tbl_Ventes[[#This Row],[CMP_par_portion]]</f>
        <v>0</v>
      </c>
      <c r="J3955" s="7">
        <f>tbl_Ventes[[#This Row],[CA ligne]] - tbl_Ventes[[#This Row],[Coût matière ligne]]</f>
        <v>0</v>
      </c>
      <c r="K3955" s="7" t="str">
        <f>IFERROR(INDEX(tbl_ProduitsRef[Famille], MATCH(tbl_Ventes[[#This Row],[Cde_Prdt]], tbl_Produits[Cde_Prdt], 0)), "")</f>
        <v/>
      </c>
    </row>
    <row r="3956" spans="1:11" x14ac:dyDescent="0.25">
      <c r="A3956" s="5"/>
      <c r="B3956" s="63" t="str">
        <f>IFERROR(TEXT(tbl_Ventes[[#This Row],[Date]],"mm-aaaa"),"")</f>
        <v>01-1900</v>
      </c>
      <c r="D3956" s="10" t="str">
        <f>IFERROR(
   INDEX(tbl_ProduitsRef[Cde_Prdt],MATCH(tbl_Ventes[[#This Row],[Produit]],tbl_ProduitsRef[Produit],0)),
   ""
)</f>
        <v/>
      </c>
      <c r="E3956" s="7">
        <v>0</v>
      </c>
      <c r="F3956" s="7" t="str">
        <f>IFERROR(
   INDEX(tbl_ProduitsRef[Prix Menu],MATCH(tbl_Ventes[[#This Row],[Produit]],tbl_ProduitsRef[Produit],0)),
   ""
)</f>
        <v/>
      </c>
      <c r="G3956" s="7">
        <f>tbl_Ventes[[#This Row],[Qté Vendue]] * IFERROR(_xlfn.XLOOKUP(tbl_Ventes[[#This Row],[Cde_Prdt]], tbl_Produits[Cde_Prdt], tbl_Produits[Prix Menu]), 0)</f>
        <v>0</v>
      </c>
      <c r="H3956" s="7">
        <f>IFERROR(_xlfn.XLOOKUP(tbl_Ventes[[#This Row],[Cde_Prdt]], tbl_Produits[Cde_Prdt], tbl_Produits[Coût Moyen Portion]), 0)</f>
        <v>0</v>
      </c>
      <c r="I3956" s="7">
        <f>tbl_Ventes[[#This Row],[Qté Vendue]] * tbl_Ventes[[#This Row],[CMP_par_portion]]</f>
        <v>0</v>
      </c>
      <c r="J3956" s="7">
        <f>tbl_Ventes[[#This Row],[CA ligne]] - tbl_Ventes[[#This Row],[Coût matière ligne]]</f>
        <v>0</v>
      </c>
      <c r="K3956" s="7" t="str">
        <f>IFERROR(INDEX(tbl_ProduitsRef[Famille], MATCH(tbl_Ventes[[#This Row],[Cde_Prdt]], tbl_Produits[Cde_Prdt], 0)), "")</f>
        <v/>
      </c>
    </row>
    <row r="3957" spans="1:11" x14ac:dyDescent="0.25">
      <c r="A3957" s="5"/>
      <c r="B3957" s="63" t="str">
        <f>IFERROR(TEXT(tbl_Ventes[[#This Row],[Date]],"mm-aaaa"),"")</f>
        <v>01-1900</v>
      </c>
      <c r="D3957" s="10" t="str">
        <f>IFERROR(
   INDEX(tbl_ProduitsRef[Cde_Prdt],MATCH(tbl_Ventes[[#This Row],[Produit]],tbl_ProduitsRef[Produit],0)),
   ""
)</f>
        <v/>
      </c>
      <c r="E3957" s="7">
        <v>0</v>
      </c>
      <c r="F3957" s="7" t="str">
        <f>IFERROR(
   INDEX(tbl_ProduitsRef[Prix Menu],MATCH(tbl_Ventes[[#This Row],[Produit]],tbl_ProduitsRef[Produit],0)),
   ""
)</f>
        <v/>
      </c>
      <c r="G3957" s="7">
        <f>tbl_Ventes[[#This Row],[Qté Vendue]] * IFERROR(_xlfn.XLOOKUP(tbl_Ventes[[#This Row],[Cde_Prdt]], tbl_Produits[Cde_Prdt], tbl_Produits[Prix Menu]), 0)</f>
        <v>0</v>
      </c>
      <c r="H3957" s="7">
        <f>IFERROR(_xlfn.XLOOKUP(tbl_Ventes[[#This Row],[Cde_Prdt]], tbl_Produits[Cde_Prdt], tbl_Produits[Coût Moyen Portion]), 0)</f>
        <v>0</v>
      </c>
      <c r="I3957" s="7">
        <f>tbl_Ventes[[#This Row],[Qté Vendue]] * tbl_Ventes[[#This Row],[CMP_par_portion]]</f>
        <v>0</v>
      </c>
      <c r="J3957" s="7">
        <f>tbl_Ventes[[#This Row],[CA ligne]] - tbl_Ventes[[#This Row],[Coût matière ligne]]</f>
        <v>0</v>
      </c>
      <c r="K3957" s="7" t="str">
        <f>IFERROR(INDEX(tbl_ProduitsRef[Famille], MATCH(tbl_Ventes[[#This Row],[Cde_Prdt]], tbl_Produits[Cde_Prdt], 0)), "")</f>
        <v/>
      </c>
    </row>
    <row r="3958" spans="1:11" x14ac:dyDescent="0.25">
      <c r="A3958" s="5"/>
      <c r="B3958" s="63" t="str">
        <f>IFERROR(TEXT(tbl_Ventes[[#This Row],[Date]],"mm-aaaa"),"")</f>
        <v>01-1900</v>
      </c>
      <c r="D3958" s="10" t="str">
        <f>IFERROR(
   INDEX(tbl_ProduitsRef[Cde_Prdt],MATCH(tbl_Ventes[[#This Row],[Produit]],tbl_ProduitsRef[Produit],0)),
   ""
)</f>
        <v/>
      </c>
      <c r="E3958" s="7">
        <v>0</v>
      </c>
      <c r="F3958" s="7" t="str">
        <f>IFERROR(
   INDEX(tbl_ProduitsRef[Prix Menu],MATCH(tbl_Ventes[[#This Row],[Produit]],tbl_ProduitsRef[Produit],0)),
   ""
)</f>
        <v/>
      </c>
      <c r="G3958" s="7">
        <f>tbl_Ventes[[#This Row],[Qté Vendue]] * IFERROR(_xlfn.XLOOKUP(tbl_Ventes[[#This Row],[Cde_Prdt]], tbl_Produits[Cde_Prdt], tbl_Produits[Prix Menu]), 0)</f>
        <v>0</v>
      </c>
      <c r="H3958" s="7">
        <f>IFERROR(_xlfn.XLOOKUP(tbl_Ventes[[#This Row],[Cde_Prdt]], tbl_Produits[Cde_Prdt], tbl_Produits[Coût Moyen Portion]), 0)</f>
        <v>0</v>
      </c>
      <c r="I3958" s="7">
        <f>tbl_Ventes[[#This Row],[Qté Vendue]] * tbl_Ventes[[#This Row],[CMP_par_portion]]</f>
        <v>0</v>
      </c>
      <c r="J3958" s="7">
        <f>tbl_Ventes[[#This Row],[CA ligne]] - tbl_Ventes[[#This Row],[Coût matière ligne]]</f>
        <v>0</v>
      </c>
      <c r="K3958" s="7" t="str">
        <f>IFERROR(INDEX(tbl_ProduitsRef[Famille], MATCH(tbl_Ventes[[#This Row],[Cde_Prdt]], tbl_Produits[Cde_Prdt], 0)), "")</f>
        <v/>
      </c>
    </row>
    <row r="3959" spans="1:11" x14ac:dyDescent="0.25">
      <c r="A3959" s="5"/>
      <c r="B3959" s="63" t="str">
        <f>IFERROR(TEXT(tbl_Ventes[[#This Row],[Date]],"mm-aaaa"),"")</f>
        <v>01-1900</v>
      </c>
      <c r="D3959" s="10" t="str">
        <f>IFERROR(
   INDEX(tbl_ProduitsRef[Cde_Prdt],MATCH(tbl_Ventes[[#This Row],[Produit]],tbl_ProduitsRef[Produit],0)),
   ""
)</f>
        <v/>
      </c>
      <c r="E3959" s="7">
        <v>0</v>
      </c>
      <c r="F3959" s="7" t="str">
        <f>IFERROR(
   INDEX(tbl_ProduitsRef[Prix Menu],MATCH(tbl_Ventes[[#This Row],[Produit]],tbl_ProduitsRef[Produit],0)),
   ""
)</f>
        <v/>
      </c>
      <c r="G3959" s="7">
        <f>tbl_Ventes[[#This Row],[Qté Vendue]] * IFERROR(_xlfn.XLOOKUP(tbl_Ventes[[#This Row],[Cde_Prdt]], tbl_Produits[Cde_Prdt], tbl_Produits[Prix Menu]), 0)</f>
        <v>0</v>
      </c>
      <c r="H3959" s="7">
        <f>IFERROR(_xlfn.XLOOKUP(tbl_Ventes[[#This Row],[Cde_Prdt]], tbl_Produits[Cde_Prdt], tbl_Produits[Coût Moyen Portion]), 0)</f>
        <v>0</v>
      </c>
      <c r="I3959" s="7">
        <f>tbl_Ventes[[#This Row],[Qté Vendue]] * tbl_Ventes[[#This Row],[CMP_par_portion]]</f>
        <v>0</v>
      </c>
      <c r="J3959" s="7">
        <f>tbl_Ventes[[#This Row],[CA ligne]] - tbl_Ventes[[#This Row],[Coût matière ligne]]</f>
        <v>0</v>
      </c>
      <c r="K3959" s="7" t="str">
        <f>IFERROR(INDEX(tbl_ProduitsRef[Famille], MATCH(tbl_Ventes[[#This Row],[Cde_Prdt]], tbl_Produits[Cde_Prdt], 0)), "")</f>
        <v/>
      </c>
    </row>
    <row r="3960" spans="1:11" x14ac:dyDescent="0.25">
      <c r="A3960" s="5"/>
      <c r="B3960" s="63" t="str">
        <f>IFERROR(TEXT(tbl_Ventes[[#This Row],[Date]],"mm-aaaa"),"")</f>
        <v>01-1900</v>
      </c>
      <c r="D3960" s="10" t="str">
        <f>IFERROR(
   INDEX(tbl_ProduitsRef[Cde_Prdt],MATCH(tbl_Ventes[[#This Row],[Produit]],tbl_ProduitsRef[Produit],0)),
   ""
)</f>
        <v/>
      </c>
      <c r="E3960" s="7">
        <v>0</v>
      </c>
      <c r="F3960" s="7" t="str">
        <f>IFERROR(
   INDEX(tbl_ProduitsRef[Prix Menu],MATCH(tbl_Ventes[[#This Row],[Produit]],tbl_ProduitsRef[Produit],0)),
   ""
)</f>
        <v/>
      </c>
      <c r="G3960" s="7">
        <f>tbl_Ventes[[#This Row],[Qté Vendue]] * IFERROR(_xlfn.XLOOKUP(tbl_Ventes[[#This Row],[Cde_Prdt]], tbl_Produits[Cde_Prdt], tbl_Produits[Prix Menu]), 0)</f>
        <v>0</v>
      </c>
      <c r="H3960" s="7">
        <f>IFERROR(_xlfn.XLOOKUP(tbl_Ventes[[#This Row],[Cde_Prdt]], tbl_Produits[Cde_Prdt], tbl_Produits[Coût Moyen Portion]), 0)</f>
        <v>0</v>
      </c>
      <c r="I3960" s="7">
        <f>tbl_Ventes[[#This Row],[Qté Vendue]] * tbl_Ventes[[#This Row],[CMP_par_portion]]</f>
        <v>0</v>
      </c>
      <c r="J3960" s="7">
        <f>tbl_Ventes[[#This Row],[CA ligne]] - tbl_Ventes[[#This Row],[Coût matière ligne]]</f>
        <v>0</v>
      </c>
      <c r="K3960" s="7" t="str">
        <f>IFERROR(INDEX(tbl_ProduitsRef[Famille], MATCH(tbl_Ventes[[#This Row],[Cde_Prdt]], tbl_Produits[Cde_Prdt], 0)), "")</f>
        <v/>
      </c>
    </row>
    <row r="3961" spans="1:11" x14ac:dyDescent="0.25">
      <c r="A3961" s="5"/>
      <c r="B3961" s="63" t="str">
        <f>IFERROR(TEXT(tbl_Ventes[[#This Row],[Date]],"mm-aaaa"),"")</f>
        <v>01-1900</v>
      </c>
      <c r="D3961" s="10" t="str">
        <f>IFERROR(
   INDEX(tbl_ProduitsRef[Cde_Prdt],MATCH(tbl_Ventes[[#This Row],[Produit]],tbl_ProduitsRef[Produit],0)),
   ""
)</f>
        <v/>
      </c>
      <c r="E3961" s="7">
        <v>0</v>
      </c>
      <c r="F3961" s="7" t="str">
        <f>IFERROR(
   INDEX(tbl_ProduitsRef[Prix Menu],MATCH(tbl_Ventes[[#This Row],[Produit]],tbl_ProduitsRef[Produit],0)),
   ""
)</f>
        <v/>
      </c>
      <c r="G3961" s="7">
        <f>tbl_Ventes[[#This Row],[Qté Vendue]] * IFERROR(_xlfn.XLOOKUP(tbl_Ventes[[#This Row],[Cde_Prdt]], tbl_Produits[Cde_Prdt], tbl_Produits[Prix Menu]), 0)</f>
        <v>0</v>
      </c>
      <c r="H3961" s="7">
        <f>IFERROR(_xlfn.XLOOKUP(tbl_Ventes[[#This Row],[Cde_Prdt]], tbl_Produits[Cde_Prdt], tbl_Produits[Coût Moyen Portion]), 0)</f>
        <v>0</v>
      </c>
      <c r="I3961" s="7">
        <f>tbl_Ventes[[#This Row],[Qté Vendue]] * tbl_Ventes[[#This Row],[CMP_par_portion]]</f>
        <v>0</v>
      </c>
      <c r="J3961" s="7">
        <f>tbl_Ventes[[#This Row],[CA ligne]] - tbl_Ventes[[#This Row],[Coût matière ligne]]</f>
        <v>0</v>
      </c>
      <c r="K3961" s="7" t="str">
        <f>IFERROR(INDEX(tbl_ProduitsRef[Famille], MATCH(tbl_Ventes[[#This Row],[Cde_Prdt]], tbl_Produits[Cde_Prdt], 0)), "")</f>
        <v/>
      </c>
    </row>
    <row r="3962" spans="1:11" x14ac:dyDescent="0.25">
      <c r="A3962" s="5"/>
      <c r="B3962" s="63" t="str">
        <f>IFERROR(TEXT(tbl_Ventes[[#This Row],[Date]],"mm-aaaa"),"")</f>
        <v>01-1900</v>
      </c>
      <c r="D3962" s="10" t="str">
        <f>IFERROR(
   INDEX(tbl_ProduitsRef[Cde_Prdt],MATCH(tbl_Ventes[[#This Row],[Produit]],tbl_ProduitsRef[Produit],0)),
   ""
)</f>
        <v/>
      </c>
      <c r="E3962" s="7">
        <v>0</v>
      </c>
      <c r="F3962" s="7" t="str">
        <f>IFERROR(
   INDEX(tbl_ProduitsRef[Prix Menu],MATCH(tbl_Ventes[[#This Row],[Produit]],tbl_ProduitsRef[Produit],0)),
   ""
)</f>
        <v/>
      </c>
      <c r="G3962" s="7">
        <f>tbl_Ventes[[#This Row],[Qté Vendue]] * IFERROR(_xlfn.XLOOKUP(tbl_Ventes[[#This Row],[Cde_Prdt]], tbl_Produits[Cde_Prdt], tbl_Produits[Prix Menu]), 0)</f>
        <v>0</v>
      </c>
      <c r="H3962" s="7">
        <f>IFERROR(_xlfn.XLOOKUP(tbl_Ventes[[#This Row],[Cde_Prdt]], tbl_Produits[Cde_Prdt], tbl_Produits[Coût Moyen Portion]), 0)</f>
        <v>0</v>
      </c>
      <c r="I3962" s="7">
        <f>tbl_Ventes[[#This Row],[Qté Vendue]] * tbl_Ventes[[#This Row],[CMP_par_portion]]</f>
        <v>0</v>
      </c>
      <c r="J3962" s="7">
        <f>tbl_Ventes[[#This Row],[CA ligne]] - tbl_Ventes[[#This Row],[Coût matière ligne]]</f>
        <v>0</v>
      </c>
      <c r="K3962" s="7" t="str">
        <f>IFERROR(INDEX(tbl_ProduitsRef[Famille], MATCH(tbl_Ventes[[#This Row],[Cde_Prdt]], tbl_Produits[Cde_Prdt], 0)), "")</f>
        <v/>
      </c>
    </row>
    <row r="3963" spans="1:11" x14ac:dyDescent="0.25">
      <c r="A3963" s="5"/>
      <c r="B3963" s="63" t="str">
        <f>IFERROR(TEXT(tbl_Ventes[[#This Row],[Date]],"mm-aaaa"),"")</f>
        <v>01-1900</v>
      </c>
      <c r="D3963" s="10" t="str">
        <f>IFERROR(
   INDEX(tbl_ProduitsRef[Cde_Prdt],MATCH(tbl_Ventes[[#This Row],[Produit]],tbl_ProduitsRef[Produit],0)),
   ""
)</f>
        <v/>
      </c>
      <c r="E3963" s="7">
        <v>0</v>
      </c>
      <c r="F3963" s="7" t="str">
        <f>IFERROR(
   INDEX(tbl_ProduitsRef[Prix Menu],MATCH(tbl_Ventes[[#This Row],[Produit]],tbl_ProduitsRef[Produit],0)),
   ""
)</f>
        <v/>
      </c>
      <c r="G3963" s="7">
        <f>tbl_Ventes[[#This Row],[Qté Vendue]] * IFERROR(_xlfn.XLOOKUP(tbl_Ventes[[#This Row],[Cde_Prdt]], tbl_Produits[Cde_Prdt], tbl_Produits[Prix Menu]), 0)</f>
        <v>0</v>
      </c>
      <c r="H3963" s="7">
        <f>IFERROR(_xlfn.XLOOKUP(tbl_Ventes[[#This Row],[Cde_Prdt]], tbl_Produits[Cde_Prdt], tbl_Produits[Coût Moyen Portion]), 0)</f>
        <v>0</v>
      </c>
      <c r="I3963" s="7">
        <f>tbl_Ventes[[#This Row],[Qté Vendue]] * tbl_Ventes[[#This Row],[CMP_par_portion]]</f>
        <v>0</v>
      </c>
      <c r="J3963" s="7">
        <f>tbl_Ventes[[#This Row],[CA ligne]] - tbl_Ventes[[#This Row],[Coût matière ligne]]</f>
        <v>0</v>
      </c>
      <c r="K3963" s="7" t="str">
        <f>IFERROR(INDEX(tbl_ProduitsRef[Famille], MATCH(tbl_Ventes[[#This Row],[Cde_Prdt]], tbl_Produits[Cde_Prdt], 0)), "")</f>
        <v/>
      </c>
    </row>
    <row r="3964" spans="1:11" x14ac:dyDescent="0.25">
      <c r="A3964" s="5"/>
      <c r="B3964" s="63" t="str">
        <f>IFERROR(TEXT(tbl_Ventes[[#This Row],[Date]],"mm-aaaa"),"")</f>
        <v>01-1900</v>
      </c>
      <c r="D3964" s="10" t="str">
        <f>IFERROR(
   INDEX(tbl_ProduitsRef[Cde_Prdt],MATCH(tbl_Ventes[[#This Row],[Produit]],tbl_ProduitsRef[Produit],0)),
   ""
)</f>
        <v/>
      </c>
      <c r="E3964" s="7">
        <v>0</v>
      </c>
      <c r="F3964" s="7" t="str">
        <f>IFERROR(
   INDEX(tbl_ProduitsRef[Prix Menu],MATCH(tbl_Ventes[[#This Row],[Produit]],tbl_ProduitsRef[Produit],0)),
   ""
)</f>
        <v/>
      </c>
      <c r="G3964" s="7">
        <f>tbl_Ventes[[#This Row],[Qté Vendue]] * IFERROR(_xlfn.XLOOKUP(tbl_Ventes[[#This Row],[Cde_Prdt]], tbl_Produits[Cde_Prdt], tbl_Produits[Prix Menu]), 0)</f>
        <v>0</v>
      </c>
      <c r="H3964" s="7">
        <f>IFERROR(_xlfn.XLOOKUP(tbl_Ventes[[#This Row],[Cde_Prdt]], tbl_Produits[Cde_Prdt], tbl_Produits[Coût Moyen Portion]), 0)</f>
        <v>0</v>
      </c>
      <c r="I3964" s="7">
        <f>tbl_Ventes[[#This Row],[Qté Vendue]] * tbl_Ventes[[#This Row],[CMP_par_portion]]</f>
        <v>0</v>
      </c>
      <c r="J3964" s="7">
        <f>tbl_Ventes[[#This Row],[CA ligne]] - tbl_Ventes[[#This Row],[Coût matière ligne]]</f>
        <v>0</v>
      </c>
      <c r="K3964" s="7" t="str">
        <f>IFERROR(INDEX(tbl_ProduitsRef[Famille], MATCH(tbl_Ventes[[#This Row],[Cde_Prdt]], tbl_Produits[Cde_Prdt], 0)), "")</f>
        <v/>
      </c>
    </row>
    <row r="3965" spans="1:11" x14ac:dyDescent="0.25">
      <c r="A3965" s="5"/>
      <c r="B3965" s="63" t="str">
        <f>IFERROR(TEXT(tbl_Ventes[[#This Row],[Date]],"mm-aaaa"),"")</f>
        <v>01-1900</v>
      </c>
      <c r="D3965" s="10" t="str">
        <f>IFERROR(
   INDEX(tbl_ProduitsRef[Cde_Prdt],MATCH(tbl_Ventes[[#This Row],[Produit]],tbl_ProduitsRef[Produit],0)),
   ""
)</f>
        <v/>
      </c>
      <c r="E3965" s="7">
        <v>0</v>
      </c>
      <c r="F3965" s="7" t="str">
        <f>IFERROR(
   INDEX(tbl_ProduitsRef[Prix Menu],MATCH(tbl_Ventes[[#This Row],[Produit]],tbl_ProduitsRef[Produit],0)),
   ""
)</f>
        <v/>
      </c>
      <c r="G3965" s="7">
        <f>tbl_Ventes[[#This Row],[Qté Vendue]] * IFERROR(_xlfn.XLOOKUP(tbl_Ventes[[#This Row],[Cde_Prdt]], tbl_Produits[Cde_Prdt], tbl_Produits[Prix Menu]), 0)</f>
        <v>0</v>
      </c>
      <c r="H3965" s="7">
        <f>IFERROR(_xlfn.XLOOKUP(tbl_Ventes[[#This Row],[Cde_Prdt]], tbl_Produits[Cde_Prdt], tbl_Produits[Coût Moyen Portion]), 0)</f>
        <v>0</v>
      </c>
      <c r="I3965" s="7">
        <f>tbl_Ventes[[#This Row],[Qté Vendue]] * tbl_Ventes[[#This Row],[CMP_par_portion]]</f>
        <v>0</v>
      </c>
      <c r="J3965" s="7">
        <f>tbl_Ventes[[#This Row],[CA ligne]] - tbl_Ventes[[#This Row],[Coût matière ligne]]</f>
        <v>0</v>
      </c>
      <c r="K3965" s="7" t="str">
        <f>IFERROR(INDEX(tbl_ProduitsRef[Famille], MATCH(tbl_Ventes[[#This Row],[Cde_Prdt]], tbl_Produits[Cde_Prdt], 0)), "")</f>
        <v/>
      </c>
    </row>
    <row r="3966" spans="1:11" x14ac:dyDescent="0.25">
      <c r="A3966" s="5"/>
      <c r="B3966" s="63" t="str">
        <f>IFERROR(TEXT(tbl_Ventes[[#This Row],[Date]],"mm-aaaa"),"")</f>
        <v>01-1900</v>
      </c>
      <c r="D3966" s="10" t="str">
        <f>IFERROR(
   INDEX(tbl_ProduitsRef[Cde_Prdt],MATCH(tbl_Ventes[[#This Row],[Produit]],tbl_ProduitsRef[Produit],0)),
   ""
)</f>
        <v/>
      </c>
      <c r="E3966" s="7">
        <v>0</v>
      </c>
      <c r="F3966" s="7" t="str">
        <f>IFERROR(
   INDEX(tbl_ProduitsRef[Prix Menu],MATCH(tbl_Ventes[[#This Row],[Produit]],tbl_ProduitsRef[Produit],0)),
   ""
)</f>
        <v/>
      </c>
      <c r="G3966" s="7">
        <f>tbl_Ventes[[#This Row],[Qté Vendue]] * IFERROR(_xlfn.XLOOKUP(tbl_Ventes[[#This Row],[Cde_Prdt]], tbl_Produits[Cde_Prdt], tbl_Produits[Prix Menu]), 0)</f>
        <v>0</v>
      </c>
      <c r="H3966" s="7">
        <f>IFERROR(_xlfn.XLOOKUP(tbl_Ventes[[#This Row],[Cde_Prdt]], tbl_Produits[Cde_Prdt], tbl_Produits[Coût Moyen Portion]), 0)</f>
        <v>0</v>
      </c>
      <c r="I3966" s="7">
        <f>tbl_Ventes[[#This Row],[Qté Vendue]] * tbl_Ventes[[#This Row],[CMP_par_portion]]</f>
        <v>0</v>
      </c>
      <c r="J3966" s="7">
        <f>tbl_Ventes[[#This Row],[CA ligne]] - tbl_Ventes[[#This Row],[Coût matière ligne]]</f>
        <v>0</v>
      </c>
      <c r="K3966" s="7" t="str">
        <f>IFERROR(INDEX(tbl_ProduitsRef[Famille], MATCH(tbl_Ventes[[#This Row],[Cde_Prdt]], tbl_Produits[Cde_Prdt], 0)), "")</f>
        <v/>
      </c>
    </row>
    <row r="3967" spans="1:11" x14ac:dyDescent="0.25">
      <c r="A3967" s="5"/>
      <c r="B3967" s="63" t="str">
        <f>IFERROR(TEXT(tbl_Ventes[[#This Row],[Date]],"mm-aaaa"),"")</f>
        <v>01-1900</v>
      </c>
      <c r="D3967" s="10" t="str">
        <f>IFERROR(
   INDEX(tbl_ProduitsRef[Cde_Prdt],MATCH(tbl_Ventes[[#This Row],[Produit]],tbl_ProduitsRef[Produit],0)),
   ""
)</f>
        <v/>
      </c>
      <c r="E3967" s="7">
        <v>0</v>
      </c>
      <c r="F3967" s="7" t="str">
        <f>IFERROR(
   INDEX(tbl_ProduitsRef[Prix Menu],MATCH(tbl_Ventes[[#This Row],[Produit]],tbl_ProduitsRef[Produit],0)),
   ""
)</f>
        <v/>
      </c>
      <c r="G3967" s="7">
        <f>tbl_Ventes[[#This Row],[Qté Vendue]] * IFERROR(_xlfn.XLOOKUP(tbl_Ventes[[#This Row],[Cde_Prdt]], tbl_Produits[Cde_Prdt], tbl_Produits[Prix Menu]), 0)</f>
        <v>0</v>
      </c>
      <c r="H3967" s="7">
        <f>IFERROR(_xlfn.XLOOKUP(tbl_Ventes[[#This Row],[Cde_Prdt]], tbl_Produits[Cde_Prdt], tbl_Produits[Coût Moyen Portion]), 0)</f>
        <v>0</v>
      </c>
      <c r="I3967" s="7">
        <f>tbl_Ventes[[#This Row],[Qté Vendue]] * tbl_Ventes[[#This Row],[CMP_par_portion]]</f>
        <v>0</v>
      </c>
      <c r="J3967" s="7">
        <f>tbl_Ventes[[#This Row],[CA ligne]] - tbl_Ventes[[#This Row],[Coût matière ligne]]</f>
        <v>0</v>
      </c>
      <c r="K3967" s="7" t="str">
        <f>IFERROR(INDEX(tbl_ProduitsRef[Famille], MATCH(tbl_Ventes[[#This Row],[Cde_Prdt]], tbl_Produits[Cde_Prdt], 0)), "")</f>
        <v/>
      </c>
    </row>
    <row r="3968" spans="1:11" x14ac:dyDescent="0.25">
      <c r="A3968" s="5"/>
      <c r="B3968" s="63" t="str">
        <f>IFERROR(TEXT(tbl_Ventes[[#This Row],[Date]],"mm-aaaa"),"")</f>
        <v>01-1900</v>
      </c>
      <c r="D3968" s="10" t="str">
        <f>IFERROR(
   INDEX(tbl_ProduitsRef[Cde_Prdt],MATCH(tbl_Ventes[[#This Row],[Produit]],tbl_ProduitsRef[Produit],0)),
   ""
)</f>
        <v/>
      </c>
      <c r="E3968" s="7">
        <v>0</v>
      </c>
      <c r="F3968" s="7" t="str">
        <f>IFERROR(
   INDEX(tbl_ProduitsRef[Prix Menu],MATCH(tbl_Ventes[[#This Row],[Produit]],tbl_ProduitsRef[Produit],0)),
   ""
)</f>
        <v/>
      </c>
      <c r="G3968" s="7">
        <f>tbl_Ventes[[#This Row],[Qté Vendue]] * IFERROR(_xlfn.XLOOKUP(tbl_Ventes[[#This Row],[Cde_Prdt]], tbl_Produits[Cde_Prdt], tbl_Produits[Prix Menu]), 0)</f>
        <v>0</v>
      </c>
      <c r="H3968" s="7">
        <f>IFERROR(_xlfn.XLOOKUP(tbl_Ventes[[#This Row],[Cde_Prdt]], tbl_Produits[Cde_Prdt], tbl_Produits[Coût Moyen Portion]), 0)</f>
        <v>0</v>
      </c>
      <c r="I3968" s="7">
        <f>tbl_Ventes[[#This Row],[Qté Vendue]] * tbl_Ventes[[#This Row],[CMP_par_portion]]</f>
        <v>0</v>
      </c>
      <c r="J3968" s="7">
        <f>tbl_Ventes[[#This Row],[CA ligne]] - tbl_Ventes[[#This Row],[Coût matière ligne]]</f>
        <v>0</v>
      </c>
      <c r="K3968" s="7" t="str">
        <f>IFERROR(INDEX(tbl_ProduitsRef[Famille], MATCH(tbl_Ventes[[#This Row],[Cde_Prdt]], tbl_Produits[Cde_Prdt], 0)), "")</f>
        <v/>
      </c>
    </row>
    <row r="3969" spans="1:11" x14ac:dyDescent="0.25">
      <c r="A3969" s="5"/>
      <c r="B3969" s="63" t="str">
        <f>IFERROR(TEXT(tbl_Ventes[[#This Row],[Date]],"mm-aaaa"),"")</f>
        <v>01-1900</v>
      </c>
      <c r="D3969" s="10" t="str">
        <f>IFERROR(
   INDEX(tbl_ProduitsRef[Cde_Prdt],MATCH(tbl_Ventes[[#This Row],[Produit]],tbl_ProduitsRef[Produit],0)),
   ""
)</f>
        <v/>
      </c>
      <c r="E3969" s="7">
        <v>0</v>
      </c>
      <c r="F3969" s="7" t="str">
        <f>IFERROR(
   INDEX(tbl_ProduitsRef[Prix Menu],MATCH(tbl_Ventes[[#This Row],[Produit]],tbl_ProduitsRef[Produit],0)),
   ""
)</f>
        <v/>
      </c>
      <c r="G3969" s="7">
        <f>tbl_Ventes[[#This Row],[Qté Vendue]] * IFERROR(_xlfn.XLOOKUP(tbl_Ventes[[#This Row],[Cde_Prdt]], tbl_Produits[Cde_Prdt], tbl_Produits[Prix Menu]), 0)</f>
        <v>0</v>
      </c>
      <c r="H3969" s="7">
        <f>IFERROR(_xlfn.XLOOKUP(tbl_Ventes[[#This Row],[Cde_Prdt]], tbl_Produits[Cde_Prdt], tbl_Produits[Coût Moyen Portion]), 0)</f>
        <v>0</v>
      </c>
      <c r="I3969" s="7">
        <f>tbl_Ventes[[#This Row],[Qté Vendue]] * tbl_Ventes[[#This Row],[CMP_par_portion]]</f>
        <v>0</v>
      </c>
      <c r="J3969" s="7">
        <f>tbl_Ventes[[#This Row],[CA ligne]] - tbl_Ventes[[#This Row],[Coût matière ligne]]</f>
        <v>0</v>
      </c>
      <c r="K3969" s="7" t="str">
        <f>IFERROR(INDEX(tbl_ProduitsRef[Famille], MATCH(tbl_Ventes[[#This Row],[Cde_Prdt]], tbl_Produits[Cde_Prdt], 0)), "")</f>
        <v/>
      </c>
    </row>
    <row r="3970" spans="1:11" x14ac:dyDescent="0.25">
      <c r="A3970" s="5"/>
      <c r="B3970" s="63" t="str">
        <f>IFERROR(TEXT(tbl_Ventes[[#This Row],[Date]],"mm-aaaa"),"")</f>
        <v>01-1900</v>
      </c>
      <c r="D3970" s="10" t="str">
        <f>IFERROR(
   INDEX(tbl_ProduitsRef[Cde_Prdt],MATCH(tbl_Ventes[[#This Row],[Produit]],tbl_ProduitsRef[Produit],0)),
   ""
)</f>
        <v/>
      </c>
      <c r="E3970" s="7">
        <v>0</v>
      </c>
      <c r="F3970" s="7" t="str">
        <f>IFERROR(
   INDEX(tbl_ProduitsRef[Prix Menu],MATCH(tbl_Ventes[[#This Row],[Produit]],tbl_ProduitsRef[Produit],0)),
   ""
)</f>
        <v/>
      </c>
      <c r="G3970" s="7">
        <f>tbl_Ventes[[#This Row],[Qté Vendue]] * IFERROR(_xlfn.XLOOKUP(tbl_Ventes[[#This Row],[Cde_Prdt]], tbl_Produits[Cde_Prdt], tbl_Produits[Prix Menu]), 0)</f>
        <v>0</v>
      </c>
      <c r="H3970" s="7">
        <f>IFERROR(_xlfn.XLOOKUP(tbl_Ventes[[#This Row],[Cde_Prdt]], tbl_Produits[Cde_Prdt], tbl_Produits[Coût Moyen Portion]), 0)</f>
        <v>0</v>
      </c>
      <c r="I3970" s="7">
        <f>tbl_Ventes[[#This Row],[Qté Vendue]] * tbl_Ventes[[#This Row],[CMP_par_portion]]</f>
        <v>0</v>
      </c>
      <c r="J3970" s="7">
        <f>tbl_Ventes[[#This Row],[CA ligne]] - tbl_Ventes[[#This Row],[Coût matière ligne]]</f>
        <v>0</v>
      </c>
      <c r="K3970" s="7" t="str">
        <f>IFERROR(INDEX(tbl_ProduitsRef[Famille], MATCH(tbl_Ventes[[#This Row],[Cde_Prdt]], tbl_Produits[Cde_Prdt], 0)), "")</f>
        <v/>
      </c>
    </row>
    <row r="3971" spans="1:11" x14ac:dyDescent="0.25">
      <c r="A3971" s="5"/>
      <c r="B3971" s="63" t="str">
        <f>IFERROR(TEXT(tbl_Ventes[[#This Row],[Date]],"mm-aaaa"),"")</f>
        <v>01-1900</v>
      </c>
      <c r="D3971" s="10" t="str">
        <f>IFERROR(
   INDEX(tbl_ProduitsRef[Cde_Prdt],MATCH(tbl_Ventes[[#This Row],[Produit]],tbl_ProduitsRef[Produit],0)),
   ""
)</f>
        <v/>
      </c>
      <c r="E3971" s="7">
        <v>0</v>
      </c>
      <c r="F3971" s="7" t="str">
        <f>IFERROR(
   INDEX(tbl_ProduitsRef[Prix Menu],MATCH(tbl_Ventes[[#This Row],[Produit]],tbl_ProduitsRef[Produit],0)),
   ""
)</f>
        <v/>
      </c>
      <c r="G3971" s="7">
        <f>tbl_Ventes[[#This Row],[Qté Vendue]] * IFERROR(_xlfn.XLOOKUP(tbl_Ventes[[#This Row],[Cde_Prdt]], tbl_Produits[Cde_Prdt], tbl_Produits[Prix Menu]), 0)</f>
        <v>0</v>
      </c>
      <c r="H3971" s="7">
        <f>IFERROR(_xlfn.XLOOKUP(tbl_Ventes[[#This Row],[Cde_Prdt]], tbl_Produits[Cde_Prdt], tbl_Produits[Coût Moyen Portion]), 0)</f>
        <v>0</v>
      </c>
      <c r="I3971" s="7">
        <f>tbl_Ventes[[#This Row],[Qté Vendue]] * tbl_Ventes[[#This Row],[CMP_par_portion]]</f>
        <v>0</v>
      </c>
      <c r="J3971" s="7">
        <f>tbl_Ventes[[#This Row],[CA ligne]] - tbl_Ventes[[#This Row],[Coût matière ligne]]</f>
        <v>0</v>
      </c>
      <c r="K3971" s="7" t="str">
        <f>IFERROR(INDEX(tbl_ProduitsRef[Famille], MATCH(tbl_Ventes[[#This Row],[Cde_Prdt]], tbl_Produits[Cde_Prdt], 0)), "")</f>
        <v/>
      </c>
    </row>
    <row r="3972" spans="1:11" x14ac:dyDescent="0.25">
      <c r="A3972" s="5"/>
      <c r="B3972" s="63" t="str">
        <f>IFERROR(TEXT(tbl_Ventes[[#This Row],[Date]],"mm-aaaa"),"")</f>
        <v>01-1900</v>
      </c>
      <c r="D3972" s="10" t="str">
        <f>IFERROR(
   INDEX(tbl_ProduitsRef[Cde_Prdt],MATCH(tbl_Ventes[[#This Row],[Produit]],tbl_ProduitsRef[Produit],0)),
   ""
)</f>
        <v/>
      </c>
      <c r="E3972" s="7">
        <v>0</v>
      </c>
      <c r="F3972" s="7" t="str">
        <f>IFERROR(
   INDEX(tbl_ProduitsRef[Prix Menu],MATCH(tbl_Ventes[[#This Row],[Produit]],tbl_ProduitsRef[Produit],0)),
   ""
)</f>
        <v/>
      </c>
      <c r="G3972" s="7">
        <f>tbl_Ventes[[#This Row],[Qté Vendue]] * IFERROR(_xlfn.XLOOKUP(tbl_Ventes[[#This Row],[Cde_Prdt]], tbl_Produits[Cde_Prdt], tbl_Produits[Prix Menu]), 0)</f>
        <v>0</v>
      </c>
      <c r="H3972" s="7">
        <f>IFERROR(_xlfn.XLOOKUP(tbl_Ventes[[#This Row],[Cde_Prdt]], tbl_Produits[Cde_Prdt], tbl_Produits[Coût Moyen Portion]), 0)</f>
        <v>0</v>
      </c>
      <c r="I3972" s="7">
        <f>tbl_Ventes[[#This Row],[Qté Vendue]] * tbl_Ventes[[#This Row],[CMP_par_portion]]</f>
        <v>0</v>
      </c>
      <c r="J3972" s="7">
        <f>tbl_Ventes[[#This Row],[CA ligne]] - tbl_Ventes[[#This Row],[Coût matière ligne]]</f>
        <v>0</v>
      </c>
      <c r="K3972" s="7" t="str">
        <f>IFERROR(INDEX(tbl_ProduitsRef[Famille], MATCH(tbl_Ventes[[#This Row],[Cde_Prdt]], tbl_Produits[Cde_Prdt], 0)), "")</f>
        <v/>
      </c>
    </row>
    <row r="3973" spans="1:11" x14ac:dyDescent="0.25">
      <c r="A3973" s="5"/>
      <c r="B3973" s="63" t="str">
        <f>IFERROR(TEXT(tbl_Ventes[[#This Row],[Date]],"mm-aaaa"),"")</f>
        <v>01-1900</v>
      </c>
      <c r="D3973" s="10" t="str">
        <f>IFERROR(
   INDEX(tbl_ProduitsRef[Cde_Prdt],MATCH(tbl_Ventes[[#This Row],[Produit]],tbl_ProduitsRef[Produit],0)),
   ""
)</f>
        <v/>
      </c>
      <c r="E3973" s="7">
        <v>0</v>
      </c>
      <c r="F3973" s="7" t="str">
        <f>IFERROR(
   INDEX(tbl_ProduitsRef[Prix Menu],MATCH(tbl_Ventes[[#This Row],[Produit]],tbl_ProduitsRef[Produit],0)),
   ""
)</f>
        <v/>
      </c>
      <c r="G3973" s="7">
        <f>tbl_Ventes[[#This Row],[Qté Vendue]] * IFERROR(_xlfn.XLOOKUP(tbl_Ventes[[#This Row],[Cde_Prdt]], tbl_Produits[Cde_Prdt], tbl_Produits[Prix Menu]), 0)</f>
        <v>0</v>
      </c>
      <c r="H3973" s="7">
        <f>IFERROR(_xlfn.XLOOKUP(tbl_Ventes[[#This Row],[Cde_Prdt]], tbl_Produits[Cde_Prdt], tbl_Produits[Coût Moyen Portion]), 0)</f>
        <v>0</v>
      </c>
      <c r="I3973" s="7">
        <f>tbl_Ventes[[#This Row],[Qté Vendue]] * tbl_Ventes[[#This Row],[CMP_par_portion]]</f>
        <v>0</v>
      </c>
      <c r="J3973" s="7">
        <f>tbl_Ventes[[#This Row],[CA ligne]] - tbl_Ventes[[#This Row],[Coût matière ligne]]</f>
        <v>0</v>
      </c>
      <c r="K3973" s="7" t="str">
        <f>IFERROR(INDEX(tbl_ProduitsRef[Famille], MATCH(tbl_Ventes[[#This Row],[Cde_Prdt]], tbl_Produits[Cde_Prdt], 0)), "")</f>
        <v/>
      </c>
    </row>
    <row r="3974" spans="1:11" x14ac:dyDescent="0.25">
      <c r="A3974" s="5"/>
      <c r="B3974" s="63" t="str">
        <f>IFERROR(TEXT(tbl_Ventes[[#This Row],[Date]],"mm-aaaa"),"")</f>
        <v>01-1900</v>
      </c>
      <c r="D3974" s="10" t="str">
        <f>IFERROR(
   INDEX(tbl_ProduitsRef[Cde_Prdt],MATCH(tbl_Ventes[[#This Row],[Produit]],tbl_ProduitsRef[Produit],0)),
   ""
)</f>
        <v/>
      </c>
      <c r="E3974" s="7">
        <v>0</v>
      </c>
      <c r="F3974" s="7" t="str">
        <f>IFERROR(
   INDEX(tbl_ProduitsRef[Prix Menu],MATCH(tbl_Ventes[[#This Row],[Produit]],tbl_ProduitsRef[Produit],0)),
   ""
)</f>
        <v/>
      </c>
      <c r="G3974" s="7">
        <f>tbl_Ventes[[#This Row],[Qté Vendue]] * IFERROR(_xlfn.XLOOKUP(tbl_Ventes[[#This Row],[Cde_Prdt]], tbl_Produits[Cde_Prdt], tbl_Produits[Prix Menu]), 0)</f>
        <v>0</v>
      </c>
      <c r="H3974" s="7">
        <f>IFERROR(_xlfn.XLOOKUP(tbl_Ventes[[#This Row],[Cde_Prdt]], tbl_Produits[Cde_Prdt], tbl_Produits[Coût Moyen Portion]), 0)</f>
        <v>0</v>
      </c>
      <c r="I3974" s="7">
        <f>tbl_Ventes[[#This Row],[Qté Vendue]] * tbl_Ventes[[#This Row],[CMP_par_portion]]</f>
        <v>0</v>
      </c>
      <c r="J3974" s="7">
        <f>tbl_Ventes[[#This Row],[CA ligne]] - tbl_Ventes[[#This Row],[Coût matière ligne]]</f>
        <v>0</v>
      </c>
      <c r="K3974" s="7" t="str">
        <f>IFERROR(INDEX(tbl_ProduitsRef[Famille], MATCH(tbl_Ventes[[#This Row],[Cde_Prdt]], tbl_Produits[Cde_Prdt], 0)), "")</f>
        <v/>
      </c>
    </row>
    <row r="3975" spans="1:11" x14ac:dyDescent="0.25">
      <c r="A3975" s="5"/>
      <c r="B3975" s="63" t="str">
        <f>IFERROR(TEXT(tbl_Ventes[[#This Row],[Date]],"mm-aaaa"),"")</f>
        <v>01-1900</v>
      </c>
      <c r="D3975" s="10" t="str">
        <f>IFERROR(
   INDEX(tbl_ProduitsRef[Cde_Prdt],MATCH(tbl_Ventes[[#This Row],[Produit]],tbl_ProduitsRef[Produit],0)),
   ""
)</f>
        <v/>
      </c>
      <c r="E3975" s="7">
        <v>0</v>
      </c>
      <c r="F3975" s="7" t="str">
        <f>IFERROR(
   INDEX(tbl_ProduitsRef[Prix Menu],MATCH(tbl_Ventes[[#This Row],[Produit]],tbl_ProduitsRef[Produit],0)),
   ""
)</f>
        <v/>
      </c>
      <c r="G3975" s="7">
        <f>tbl_Ventes[[#This Row],[Qté Vendue]] * IFERROR(_xlfn.XLOOKUP(tbl_Ventes[[#This Row],[Cde_Prdt]], tbl_Produits[Cde_Prdt], tbl_Produits[Prix Menu]), 0)</f>
        <v>0</v>
      </c>
      <c r="H3975" s="7">
        <f>IFERROR(_xlfn.XLOOKUP(tbl_Ventes[[#This Row],[Cde_Prdt]], tbl_Produits[Cde_Prdt], tbl_Produits[Coût Moyen Portion]), 0)</f>
        <v>0</v>
      </c>
      <c r="I3975" s="7">
        <f>tbl_Ventes[[#This Row],[Qté Vendue]] * tbl_Ventes[[#This Row],[CMP_par_portion]]</f>
        <v>0</v>
      </c>
      <c r="J3975" s="7">
        <f>tbl_Ventes[[#This Row],[CA ligne]] - tbl_Ventes[[#This Row],[Coût matière ligne]]</f>
        <v>0</v>
      </c>
      <c r="K3975" s="7" t="str">
        <f>IFERROR(INDEX(tbl_ProduitsRef[Famille], MATCH(tbl_Ventes[[#This Row],[Cde_Prdt]], tbl_Produits[Cde_Prdt], 0)), "")</f>
        <v/>
      </c>
    </row>
    <row r="3976" spans="1:11" x14ac:dyDescent="0.25">
      <c r="A3976" s="5"/>
      <c r="B3976" s="63" t="str">
        <f>IFERROR(TEXT(tbl_Ventes[[#This Row],[Date]],"mm-aaaa"),"")</f>
        <v>01-1900</v>
      </c>
      <c r="D3976" s="10" t="str">
        <f>IFERROR(
   INDEX(tbl_ProduitsRef[Cde_Prdt],MATCH(tbl_Ventes[[#This Row],[Produit]],tbl_ProduitsRef[Produit],0)),
   ""
)</f>
        <v/>
      </c>
      <c r="E3976" s="7">
        <v>0</v>
      </c>
      <c r="F3976" s="7" t="str">
        <f>IFERROR(
   INDEX(tbl_ProduitsRef[Prix Menu],MATCH(tbl_Ventes[[#This Row],[Produit]],tbl_ProduitsRef[Produit],0)),
   ""
)</f>
        <v/>
      </c>
      <c r="G3976" s="7">
        <f>tbl_Ventes[[#This Row],[Qté Vendue]] * IFERROR(_xlfn.XLOOKUP(tbl_Ventes[[#This Row],[Cde_Prdt]], tbl_Produits[Cde_Prdt], tbl_Produits[Prix Menu]), 0)</f>
        <v>0</v>
      </c>
      <c r="H3976" s="7">
        <f>IFERROR(_xlfn.XLOOKUP(tbl_Ventes[[#This Row],[Cde_Prdt]], tbl_Produits[Cde_Prdt], tbl_Produits[Coût Moyen Portion]), 0)</f>
        <v>0</v>
      </c>
      <c r="I3976" s="7">
        <f>tbl_Ventes[[#This Row],[Qté Vendue]] * tbl_Ventes[[#This Row],[CMP_par_portion]]</f>
        <v>0</v>
      </c>
      <c r="J3976" s="7">
        <f>tbl_Ventes[[#This Row],[CA ligne]] - tbl_Ventes[[#This Row],[Coût matière ligne]]</f>
        <v>0</v>
      </c>
      <c r="K3976" s="7" t="str">
        <f>IFERROR(INDEX(tbl_ProduitsRef[Famille], MATCH(tbl_Ventes[[#This Row],[Cde_Prdt]], tbl_Produits[Cde_Prdt], 0)), "")</f>
        <v/>
      </c>
    </row>
    <row r="3977" spans="1:11" x14ac:dyDescent="0.25">
      <c r="A3977" s="5"/>
      <c r="B3977" s="63" t="str">
        <f>IFERROR(TEXT(tbl_Ventes[[#This Row],[Date]],"mm-aaaa"),"")</f>
        <v>01-1900</v>
      </c>
      <c r="D3977" s="10" t="str">
        <f>IFERROR(
   INDEX(tbl_ProduitsRef[Cde_Prdt],MATCH(tbl_Ventes[[#This Row],[Produit]],tbl_ProduitsRef[Produit],0)),
   ""
)</f>
        <v/>
      </c>
      <c r="E3977" s="7">
        <v>0</v>
      </c>
      <c r="F3977" s="7" t="str">
        <f>IFERROR(
   INDEX(tbl_ProduitsRef[Prix Menu],MATCH(tbl_Ventes[[#This Row],[Produit]],tbl_ProduitsRef[Produit],0)),
   ""
)</f>
        <v/>
      </c>
      <c r="G3977" s="7">
        <f>tbl_Ventes[[#This Row],[Qté Vendue]] * IFERROR(_xlfn.XLOOKUP(tbl_Ventes[[#This Row],[Cde_Prdt]], tbl_Produits[Cde_Prdt], tbl_Produits[Prix Menu]), 0)</f>
        <v>0</v>
      </c>
      <c r="H3977" s="7">
        <f>IFERROR(_xlfn.XLOOKUP(tbl_Ventes[[#This Row],[Cde_Prdt]], tbl_Produits[Cde_Prdt], tbl_Produits[Coût Moyen Portion]), 0)</f>
        <v>0</v>
      </c>
      <c r="I3977" s="7">
        <f>tbl_Ventes[[#This Row],[Qté Vendue]] * tbl_Ventes[[#This Row],[CMP_par_portion]]</f>
        <v>0</v>
      </c>
      <c r="J3977" s="7">
        <f>tbl_Ventes[[#This Row],[CA ligne]] - tbl_Ventes[[#This Row],[Coût matière ligne]]</f>
        <v>0</v>
      </c>
      <c r="K3977" s="7" t="str">
        <f>IFERROR(INDEX(tbl_ProduitsRef[Famille], MATCH(tbl_Ventes[[#This Row],[Cde_Prdt]], tbl_Produits[Cde_Prdt], 0)), "")</f>
        <v/>
      </c>
    </row>
    <row r="3978" spans="1:11" x14ac:dyDescent="0.25">
      <c r="A3978" s="5"/>
      <c r="B3978" s="63" t="str">
        <f>IFERROR(TEXT(tbl_Ventes[[#This Row],[Date]],"mm-aaaa"),"")</f>
        <v>01-1900</v>
      </c>
      <c r="D3978" s="10" t="str">
        <f>IFERROR(
   INDEX(tbl_ProduitsRef[Cde_Prdt],MATCH(tbl_Ventes[[#This Row],[Produit]],tbl_ProduitsRef[Produit],0)),
   ""
)</f>
        <v/>
      </c>
      <c r="E3978" s="7">
        <v>0</v>
      </c>
      <c r="F3978" s="7" t="str">
        <f>IFERROR(
   INDEX(tbl_ProduitsRef[Prix Menu],MATCH(tbl_Ventes[[#This Row],[Produit]],tbl_ProduitsRef[Produit],0)),
   ""
)</f>
        <v/>
      </c>
      <c r="G3978" s="7">
        <f>tbl_Ventes[[#This Row],[Qté Vendue]] * IFERROR(_xlfn.XLOOKUP(tbl_Ventes[[#This Row],[Cde_Prdt]], tbl_Produits[Cde_Prdt], tbl_Produits[Prix Menu]), 0)</f>
        <v>0</v>
      </c>
      <c r="H3978" s="7">
        <f>IFERROR(_xlfn.XLOOKUP(tbl_Ventes[[#This Row],[Cde_Prdt]], tbl_Produits[Cde_Prdt], tbl_Produits[Coût Moyen Portion]), 0)</f>
        <v>0</v>
      </c>
      <c r="I3978" s="7">
        <f>tbl_Ventes[[#This Row],[Qté Vendue]] * tbl_Ventes[[#This Row],[CMP_par_portion]]</f>
        <v>0</v>
      </c>
      <c r="J3978" s="7">
        <f>tbl_Ventes[[#This Row],[CA ligne]] - tbl_Ventes[[#This Row],[Coût matière ligne]]</f>
        <v>0</v>
      </c>
      <c r="K3978" s="7" t="str">
        <f>IFERROR(INDEX(tbl_ProduitsRef[Famille], MATCH(tbl_Ventes[[#This Row],[Cde_Prdt]], tbl_Produits[Cde_Prdt], 0)), "")</f>
        <v/>
      </c>
    </row>
    <row r="3979" spans="1:11" x14ac:dyDescent="0.25">
      <c r="A3979" s="5"/>
      <c r="B3979" s="63" t="str">
        <f>IFERROR(TEXT(tbl_Ventes[[#This Row],[Date]],"mm-aaaa"),"")</f>
        <v>01-1900</v>
      </c>
      <c r="D3979" s="10" t="str">
        <f>IFERROR(
   INDEX(tbl_ProduitsRef[Cde_Prdt],MATCH(tbl_Ventes[[#This Row],[Produit]],tbl_ProduitsRef[Produit],0)),
   ""
)</f>
        <v/>
      </c>
      <c r="E3979" s="7">
        <v>0</v>
      </c>
      <c r="F3979" s="7" t="str">
        <f>IFERROR(
   INDEX(tbl_ProduitsRef[Prix Menu],MATCH(tbl_Ventes[[#This Row],[Produit]],tbl_ProduitsRef[Produit],0)),
   ""
)</f>
        <v/>
      </c>
      <c r="G3979" s="7">
        <f>tbl_Ventes[[#This Row],[Qté Vendue]] * IFERROR(_xlfn.XLOOKUP(tbl_Ventes[[#This Row],[Cde_Prdt]], tbl_Produits[Cde_Prdt], tbl_Produits[Prix Menu]), 0)</f>
        <v>0</v>
      </c>
      <c r="H3979" s="7">
        <f>IFERROR(_xlfn.XLOOKUP(tbl_Ventes[[#This Row],[Cde_Prdt]], tbl_Produits[Cde_Prdt], tbl_Produits[Coût Moyen Portion]), 0)</f>
        <v>0</v>
      </c>
      <c r="I3979" s="7">
        <f>tbl_Ventes[[#This Row],[Qté Vendue]] * tbl_Ventes[[#This Row],[CMP_par_portion]]</f>
        <v>0</v>
      </c>
      <c r="J3979" s="7">
        <f>tbl_Ventes[[#This Row],[CA ligne]] - tbl_Ventes[[#This Row],[Coût matière ligne]]</f>
        <v>0</v>
      </c>
      <c r="K3979" s="7" t="str">
        <f>IFERROR(INDEX(tbl_ProduitsRef[Famille], MATCH(tbl_Ventes[[#This Row],[Cde_Prdt]], tbl_Produits[Cde_Prdt], 0)), "")</f>
        <v/>
      </c>
    </row>
    <row r="3980" spans="1:11" x14ac:dyDescent="0.25">
      <c r="A3980" s="5"/>
      <c r="B3980" s="63" t="str">
        <f>IFERROR(TEXT(tbl_Ventes[[#This Row],[Date]],"mm-aaaa"),"")</f>
        <v>01-1900</v>
      </c>
      <c r="D3980" s="10" t="str">
        <f>IFERROR(
   INDEX(tbl_ProduitsRef[Cde_Prdt],MATCH(tbl_Ventes[[#This Row],[Produit]],tbl_ProduitsRef[Produit],0)),
   ""
)</f>
        <v/>
      </c>
      <c r="E3980" s="7">
        <v>0</v>
      </c>
      <c r="F3980" s="7" t="str">
        <f>IFERROR(
   INDEX(tbl_ProduitsRef[Prix Menu],MATCH(tbl_Ventes[[#This Row],[Produit]],tbl_ProduitsRef[Produit],0)),
   ""
)</f>
        <v/>
      </c>
      <c r="G3980" s="7">
        <f>tbl_Ventes[[#This Row],[Qté Vendue]] * IFERROR(_xlfn.XLOOKUP(tbl_Ventes[[#This Row],[Cde_Prdt]], tbl_Produits[Cde_Prdt], tbl_Produits[Prix Menu]), 0)</f>
        <v>0</v>
      </c>
      <c r="H3980" s="7">
        <f>IFERROR(_xlfn.XLOOKUP(tbl_Ventes[[#This Row],[Cde_Prdt]], tbl_Produits[Cde_Prdt], tbl_Produits[Coût Moyen Portion]), 0)</f>
        <v>0</v>
      </c>
      <c r="I3980" s="7">
        <f>tbl_Ventes[[#This Row],[Qté Vendue]] * tbl_Ventes[[#This Row],[CMP_par_portion]]</f>
        <v>0</v>
      </c>
      <c r="J3980" s="7">
        <f>tbl_Ventes[[#This Row],[CA ligne]] - tbl_Ventes[[#This Row],[Coût matière ligne]]</f>
        <v>0</v>
      </c>
      <c r="K3980" s="7" t="str">
        <f>IFERROR(INDEX(tbl_ProduitsRef[Famille], MATCH(tbl_Ventes[[#This Row],[Cde_Prdt]], tbl_Produits[Cde_Prdt], 0)), "")</f>
        <v/>
      </c>
    </row>
    <row r="3981" spans="1:11" x14ac:dyDescent="0.25">
      <c r="A3981" s="5"/>
      <c r="B3981" s="63" t="str">
        <f>IFERROR(TEXT(tbl_Ventes[[#This Row],[Date]],"mm-aaaa"),"")</f>
        <v>01-1900</v>
      </c>
      <c r="D3981" s="10" t="str">
        <f>IFERROR(
   INDEX(tbl_ProduitsRef[Cde_Prdt],MATCH(tbl_Ventes[[#This Row],[Produit]],tbl_ProduitsRef[Produit],0)),
   ""
)</f>
        <v/>
      </c>
      <c r="E3981" s="7">
        <v>0</v>
      </c>
      <c r="F3981" s="7" t="str">
        <f>IFERROR(
   INDEX(tbl_ProduitsRef[Prix Menu],MATCH(tbl_Ventes[[#This Row],[Produit]],tbl_ProduitsRef[Produit],0)),
   ""
)</f>
        <v/>
      </c>
      <c r="G3981" s="7">
        <f>tbl_Ventes[[#This Row],[Qté Vendue]] * IFERROR(_xlfn.XLOOKUP(tbl_Ventes[[#This Row],[Cde_Prdt]], tbl_Produits[Cde_Prdt], tbl_Produits[Prix Menu]), 0)</f>
        <v>0</v>
      </c>
      <c r="H3981" s="7">
        <f>IFERROR(_xlfn.XLOOKUP(tbl_Ventes[[#This Row],[Cde_Prdt]], tbl_Produits[Cde_Prdt], tbl_Produits[Coût Moyen Portion]), 0)</f>
        <v>0</v>
      </c>
      <c r="I3981" s="7">
        <f>tbl_Ventes[[#This Row],[Qté Vendue]] * tbl_Ventes[[#This Row],[CMP_par_portion]]</f>
        <v>0</v>
      </c>
      <c r="J3981" s="7">
        <f>tbl_Ventes[[#This Row],[CA ligne]] - tbl_Ventes[[#This Row],[Coût matière ligne]]</f>
        <v>0</v>
      </c>
      <c r="K3981" s="7" t="str">
        <f>IFERROR(INDEX(tbl_ProduitsRef[Famille], MATCH(tbl_Ventes[[#This Row],[Cde_Prdt]], tbl_Produits[Cde_Prdt], 0)), "")</f>
        <v/>
      </c>
    </row>
    <row r="3982" spans="1:11" x14ac:dyDescent="0.25">
      <c r="A3982" s="5"/>
      <c r="B3982" s="63" t="str">
        <f>IFERROR(TEXT(tbl_Ventes[[#This Row],[Date]],"mm-aaaa"),"")</f>
        <v>01-1900</v>
      </c>
      <c r="D3982" s="10" t="str">
        <f>IFERROR(
   INDEX(tbl_ProduitsRef[Cde_Prdt],MATCH(tbl_Ventes[[#This Row],[Produit]],tbl_ProduitsRef[Produit],0)),
   ""
)</f>
        <v/>
      </c>
      <c r="E3982" s="7">
        <v>0</v>
      </c>
      <c r="F3982" s="7" t="str">
        <f>IFERROR(
   INDEX(tbl_ProduitsRef[Prix Menu],MATCH(tbl_Ventes[[#This Row],[Produit]],tbl_ProduitsRef[Produit],0)),
   ""
)</f>
        <v/>
      </c>
      <c r="G3982" s="7">
        <f>tbl_Ventes[[#This Row],[Qté Vendue]] * IFERROR(_xlfn.XLOOKUP(tbl_Ventes[[#This Row],[Cde_Prdt]], tbl_Produits[Cde_Prdt], tbl_Produits[Prix Menu]), 0)</f>
        <v>0</v>
      </c>
      <c r="H3982" s="7">
        <f>IFERROR(_xlfn.XLOOKUP(tbl_Ventes[[#This Row],[Cde_Prdt]], tbl_Produits[Cde_Prdt], tbl_Produits[Coût Moyen Portion]), 0)</f>
        <v>0</v>
      </c>
      <c r="I3982" s="7">
        <f>tbl_Ventes[[#This Row],[Qté Vendue]] * tbl_Ventes[[#This Row],[CMP_par_portion]]</f>
        <v>0</v>
      </c>
      <c r="J3982" s="7">
        <f>tbl_Ventes[[#This Row],[CA ligne]] - tbl_Ventes[[#This Row],[Coût matière ligne]]</f>
        <v>0</v>
      </c>
      <c r="K3982" s="7" t="str">
        <f>IFERROR(INDEX(tbl_ProduitsRef[Famille], MATCH(tbl_Ventes[[#This Row],[Cde_Prdt]], tbl_Produits[Cde_Prdt], 0)), "")</f>
        <v/>
      </c>
    </row>
    <row r="3983" spans="1:11" x14ac:dyDescent="0.25">
      <c r="A3983" s="5"/>
      <c r="B3983" s="63" t="str">
        <f>IFERROR(TEXT(tbl_Ventes[[#This Row],[Date]],"mm-aaaa"),"")</f>
        <v>01-1900</v>
      </c>
      <c r="D3983" s="10" t="str">
        <f>IFERROR(
   INDEX(tbl_ProduitsRef[Cde_Prdt],MATCH(tbl_Ventes[[#This Row],[Produit]],tbl_ProduitsRef[Produit],0)),
   ""
)</f>
        <v/>
      </c>
      <c r="E3983" s="7">
        <v>0</v>
      </c>
      <c r="F3983" s="7" t="str">
        <f>IFERROR(
   INDEX(tbl_ProduitsRef[Prix Menu],MATCH(tbl_Ventes[[#This Row],[Produit]],tbl_ProduitsRef[Produit],0)),
   ""
)</f>
        <v/>
      </c>
      <c r="G3983" s="7">
        <f>tbl_Ventes[[#This Row],[Qté Vendue]] * IFERROR(_xlfn.XLOOKUP(tbl_Ventes[[#This Row],[Cde_Prdt]], tbl_Produits[Cde_Prdt], tbl_Produits[Prix Menu]), 0)</f>
        <v>0</v>
      </c>
      <c r="H3983" s="7">
        <f>IFERROR(_xlfn.XLOOKUP(tbl_Ventes[[#This Row],[Cde_Prdt]], tbl_Produits[Cde_Prdt], tbl_Produits[Coût Moyen Portion]), 0)</f>
        <v>0</v>
      </c>
      <c r="I3983" s="7">
        <f>tbl_Ventes[[#This Row],[Qté Vendue]] * tbl_Ventes[[#This Row],[CMP_par_portion]]</f>
        <v>0</v>
      </c>
      <c r="J3983" s="7">
        <f>tbl_Ventes[[#This Row],[CA ligne]] - tbl_Ventes[[#This Row],[Coût matière ligne]]</f>
        <v>0</v>
      </c>
      <c r="K3983" s="7" t="str">
        <f>IFERROR(INDEX(tbl_ProduitsRef[Famille], MATCH(tbl_Ventes[[#This Row],[Cde_Prdt]], tbl_Produits[Cde_Prdt], 0)), "")</f>
        <v/>
      </c>
    </row>
    <row r="3984" spans="1:11" x14ac:dyDescent="0.25">
      <c r="A3984" s="5"/>
      <c r="B3984" s="63" t="str">
        <f>IFERROR(TEXT(tbl_Ventes[[#This Row],[Date]],"mm-aaaa"),"")</f>
        <v>01-1900</v>
      </c>
      <c r="D3984" s="10" t="str">
        <f>IFERROR(
   INDEX(tbl_ProduitsRef[Cde_Prdt],MATCH(tbl_Ventes[[#This Row],[Produit]],tbl_ProduitsRef[Produit],0)),
   ""
)</f>
        <v/>
      </c>
      <c r="E3984" s="7">
        <v>0</v>
      </c>
      <c r="F3984" s="7" t="str">
        <f>IFERROR(
   INDEX(tbl_ProduitsRef[Prix Menu],MATCH(tbl_Ventes[[#This Row],[Produit]],tbl_ProduitsRef[Produit],0)),
   ""
)</f>
        <v/>
      </c>
      <c r="G3984" s="7">
        <f>tbl_Ventes[[#This Row],[Qté Vendue]] * IFERROR(_xlfn.XLOOKUP(tbl_Ventes[[#This Row],[Cde_Prdt]], tbl_Produits[Cde_Prdt], tbl_Produits[Prix Menu]), 0)</f>
        <v>0</v>
      </c>
      <c r="H3984" s="7">
        <f>IFERROR(_xlfn.XLOOKUP(tbl_Ventes[[#This Row],[Cde_Prdt]], tbl_Produits[Cde_Prdt], tbl_Produits[Coût Moyen Portion]), 0)</f>
        <v>0</v>
      </c>
      <c r="I3984" s="7">
        <f>tbl_Ventes[[#This Row],[Qté Vendue]] * tbl_Ventes[[#This Row],[CMP_par_portion]]</f>
        <v>0</v>
      </c>
      <c r="J3984" s="7">
        <f>tbl_Ventes[[#This Row],[CA ligne]] - tbl_Ventes[[#This Row],[Coût matière ligne]]</f>
        <v>0</v>
      </c>
      <c r="K3984" s="7" t="str">
        <f>IFERROR(INDEX(tbl_ProduitsRef[Famille], MATCH(tbl_Ventes[[#This Row],[Cde_Prdt]], tbl_Produits[Cde_Prdt], 0)), "")</f>
        <v/>
      </c>
    </row>
    <row r="3985" spans="1:11" x14ac:dyDescent="0.25">
      <c r="A3985" s="5"/>
      <c r="B3985" s="63" t="str">
        <f>IFERROR(TEXT(tbl_Ventes[[#This Row],[Date]],"mm-aaaa"),"")</f>
        <v>01-1900</v>
      </c>
      <c r="D3985" s="10" t="str">
        <f>IFERROR(
   INDEX(tbl_ProduitsRef[Cde_Prdt],MATCH(tbl_Ventes[[#This Row],[Produit]],tbl_ProduitsRef[Produit],0)),
   ""
)</f>
        <v/>
      </c>
      <c r="E3985" s="7">
        <v>0</v>
      </c>
      <c r="F3985" s="7" t="str">
        <f>IFERROR(
   INDEX(tbl_ProduitsRef[Prix Menu],MATCH(tbl_Ventes[[#This Row],[Produit]],tbl_ProduitsRef[Produit],0)),
   ""
)</f>
        <v/>
      </c>
      <c r="G3985" s="7">
        <f>tbl_Ventes[[#This Row],[Qté Vendue]] * IFERROR(_xlfn.XLOOKUP(tbl_Ventes[[#This Row],[Cde_Prdt]], tbl_Produits[Cde_Prdt], tbl_Produits[Prix Menu]), 0)</f>
        <v>0</v>
      </c>
      <c r="H3985" s="7">
        <f>IFERROR(_xlfn.XLOOKUP(tbl_Ventes[[#This Row],[Cde_Prdt]], tbl_Produits[Cde_Prdt], tbl_Produits[Coût Moyen Portion]), 0)</f>
        <v>0</v>
      </c>
      <c r="I3985" s="7">
        <f>tbl_Ventes[[#This Row],[Qté Vendue]] * tbl_Ventes[[#This Row],[CMP_par_portion]]</f>
        <v>0</v>
      </c>
      <c r="J3985" s="7">
        <f>tbl_Ventes[[#This Row],[CA ligne]] - tbl_Ventes[[#This Row],[Coût matière ligne]]</f>
        <v>0</v>
      </c>
      <c r="K3985" s="7" t="str">
        <f>IFERROR(INDEX(tbl_ProduitsRef[Famille], MATCH(tbl_Ventes[[#This Row],[Cde_Prdt]], tbl_Produits[Cde_Prdt], 0)), "")</f>
        <v/>
      </c>
    </row>
    <row r="3986" spans="1:11" x14ac:dyDescent="0.25">
      <c r="A3986" s="5"/>
      <c r="B3986" s="63" t="str">
        <f>IFERROR(TEXT(tbl_Ventes[[#This Row],[Date]],"mm-aaaa"),"")</f>
        <v>01-1900</v>
      </c>
      <c r="D3986" s="10" t="str">
        <f>IFERROR(
   INDEX(tbl_ProduitsRef[Cde_Prdt],MATCH(tbl_Ventes[[#This Row],[Produit]],tbl_ProduitsRef[Produit],0)),
   ""
)</f>
        <v/>
      </c>
      <c r="E3986" s="7">
        <v>0</v>
      </c>
      <c r="F3986" s="7" t="str">
        <f>IFERROR(
   INDEX(tbl_ProduitsRef[Prix Menu],MATCH(tbl_Ventes[[#This Row],[Produit]],tbl_ProduitsRef[Produit],0)),
   ""
)</f>
        <v/>
      </c>
      <c r="G3986" s="7">
        <f>tbl_Ventes[[#This Row],[Qté Vendue]] * IFERROR(_xlfn.XLOOKUP(tbl_Ventes[[#This Row],[Cde_Prdt]], tbl_Produits[Cde_Prdt], tbl_Produits[Prix Menu]), 0)</f>
        <v>0</v>
      </c>
      <c r="H3986" s="7">
        <f>IFERROR(_xlfn.XLOOKUP(tbl_Ventes[[#This Row],[Cde_Prdt]], tbl_Produits[Cde_Prdt], tbl_Produits[Coût Moyen Portion]), 0)</f>
        <v>0</v>
      </c>
      <c r="I3986" s="7">
        <f>tbl_Ventes[[#This Row],[Qté Vendue]] * tbl_Ventes[[#This Row],[CMP_par_portion]]</f>
        <v>0</v>
      </c>
      <c r="J3986" s="7">
        <f>tbl_Ventes[[#This Row],[CA ligne]] - tbl_Ventes[[#This Row],[Coût matière ligne]]</f>
        <v>0</v>
      </c>
      <c r="K3986" s="7" t="str">
        <f>IFERROR(INDEX(tbl_ProduitsRef[Famille], MATCH(tbl_Ventes[[#This Row],[Cde_Prdt]], tbl_Produits[Cde_Prdt], 0)), "")</f>
        <v/>
      </c>
    </row>
    <row r="3987" spans="1:11" x14ac:dyDescent="0.25">
      <c r="A3987" s="5"/>
      <c r="B3987" s="63" t="str">
        <f>IFERROR(TEXT(tbl_Ventes[[#This Row],[Date]],"mm-aaaa"),"")</f>
        <v>01-1900</v>
      </c>
      <c r="D3987" s="10" t="str">
        <f>IFERROR(
   INDEX(tbl_ProduitsRef[Cde_Prdt],MATCH(tbl_Ventes[[#This Row],[Produit]],tbl_ProduitsRef[Produit],0)),
   ""
)</f>
        <v/>
      </c>
      <c r="E3987" s="7">
        <v>0</v>
      </c>
      <c r="F3987" s="7" t="str">
        <f>IFERROR(
   INDEX(tbl_ProduitsRef[Prix Menu],MATCH(tbl_Ventes[[#This Row],[Produit]],tbl_ProduitsRef[Produit],0)),
   ""
)</f>
        <v/>
      </c>
      <c r="G3987" s="7">
        <f>tbl_Ventes[[#This Row],[Qté Vendue]] * IFERROR(_xlfn.XLOOKUP(tbl_Ventes[[#This Row],[Cde_Prdt]], tbl_Produits[Cde_Prdt], tbl_Produits[Prix Menu]), 0)</f>
        <v>0</v>
      </c>
      <c r="H3987" s="7">
        <f>IFERROR(_xlfn.XLOOKUP(tbl_Ventes[[#This Row],[Cde_Prdt]], tbl_Produits[Cde_Prdt], tbl_Produits[Coût Moyen Portion]), 0)</f>
        <v>0</v>
      </c>
      <c r="I3987" s="7">
        <f>tbl_Ventes[[#This Row],[Qté Vendue]] * tbl_Ventes[[#This Row],[CMP_par_portion]]</f>
        <v>0</v>
      </c>
      <c r="J3987" s="7">
        <f>tbl_Ventes[[#This Row],[CA ligne]] - tbl_Ventes[[#This Row],[Coût matière ligne]]</f>
        <v>0</v>
      </c>
      <c r="K3987" s="7" t="str">
        <f>IFERROR(INDEX(tbl_ProduitsRef[Famille], MATCH(tbl_Ventes[[#This Row],[Cde_Prdt]], tbl_Produits[Cde_Prdt], 0)), "")</f>
        <v/>
      </c>
    </row>
    <row r="3988" spans="1:11" x14ac:dyDescent="0.25">
      <c r="A3988" s="5"/>
      <c r="B3988" s="63" t="str">
        <f>IFERROR(TEXT(tbl_Ventes[[#This Row],[Date]],"mm-aaaa"),"")</f>
        <v>01-1900</v>
      </c>
      <c r="D3988" s="10" t="str">
        <f>IFERROR(
   INDEX(tbl_ProduitsRef[Cde_Prdt],MATCH(tbl_Ventes[[#This Row],[Produit]],tbl_ProduitsRef[Produit],0)),
   ""
)</f>
        <v/>
      </c>
      <c r="E3988" s="7">
        <v>0</v>
      </c>
      <c r="F3988" s="7" t="str">
        <f>IFERROR(
   INDEX(tbl_ProduitsRef[Prix Menu],MATCH(tbl_Ventes[[#This Row],[Produit]],tbl_ProduitsRef[Produit],0)),
   ""
)</f>
        <v/>
      </c>
      <c r="G3988" s="7">
        <f>tbl_Ventes[[#This Row],[Qté Vendue]] * IFERROR(_xlfn.XLOOKUP(tbl_Ventes[[#This Row],[Cde_Prdt]], tbl_Produits[Cde_Prdt], tbl_Produits[Prix Menu]), 0)</f>
        <v>0</v>
      </c>
      <c r="H3988" s="7">
        <f>IFERROR(_xlfn.XLOOKUP(tbl_Ventes[[#This Row],[Cde_Prdt]], tbl_Produits[Cde_Prdt], tbl_Produits[Coût Moyen Portion]), 0)</f>
        <v>0</v>
      </c>
      <c r="I3988" s="7">
        <f>tbl_Ventes[[#This Row],[Qté Vendue]] * tbl_Ventes[[#This Row],[CMP_par_portion]]</f>
        <v>0</v>
      </c>
      <c r="J3988" s="7">
        <f>tbl_Ventes[[#This Row],[CA ligne]] - tbl_Ventes[[#This Row],[Coût matière ligne]]</f>
        <v>0</v>
      </c>
      <c r="K3988" s="7" t="str">
        <f>IFERROR(INDEX(tbl_ProduitsRef[Famille], MATCH(tbl_Ventes[[#This Row],[Cde_Prdt]], tbl_Produits[Cde_Prdt], 0)), "")</f>
        <v/>
      </c>
    </row>
    <row r="3989" spans="1:11" x14ac:dyDescent="0.25">
      <c r="A3989" s="5"/>
      <c r="B3989" s="63" t="str">
        <f>IFERROR(TEXT(tbl_Ventes[[#This Row],[Date]],"mm-aaaa"),"")</f>
        <v>01-1900</v>
      </c>
      <c r="D3989" s="10" t="str">
        <f>IFERROR(
   INDEX(tbl_ProduitsRef[Cde_Prdt],MATCH(tbl_Ventes[[#This Row],[Produit]],tbl_ProduitsRef[Produit],0)),
   ""
)</f>
        <v/>
      </c>
      <c r="E3989" s="7">
        <v>0</v>
      </c>
      <c r="F3989" s="7" t="str">
        <f>IFERROR(
   INDEX(tbl_ProduitsRef[Prix Menu],MATCH(tbl_Ventes[[#This Row],[Produit]],tbl_ProduitsRef[Produit],0)),
   ""
)</f>
        <v/>
      </c>
      <c r="G3989" s="7">
        <f>tbl_Ventes[[#This Row],[Qté Vendue]] * IFERROR(_xlfn.XLOOKUP(tbl_Ventes[[#This Row],[Cde_Prdt]], tbl_Produits[Cde_Prdt], tbl_Produits[Prix Menu]), 0)</f>
        <v>0</v>
      </c>
      <c r="H3989" s="7">
        <f>IFERROR(_xlfn.XLOOKUP(tbl_Ventes[[#This Row],[Cde_Prdt]], tbl_Produits[Cde_Prdt], tbl_Produits[Coût Moyen Portion]), 0)</f>
        <v>0</v>
      </c>
      <c r="I3989" s="7">
        <f>tbl_Ventes[[#This Row],[Qté Vendue]] * tbl_Ventes[[#This Row],[CMP_par_portion]]</f>
        <v>0</v>
      </c>
      <c r="J3989" s="7">
        <f>tbl_Ventes[[#This Row],[CA ligne]] - tbl_Ventes[[#This Row],[Coût matière ligne]]</f>
        <v>0</v>
      </c>
      <c r="K3989" s="7" t="str">
        <f>IFERROR(INDEX(tbl_ProduitsRef[Famille], MATCH(tbl_Ventes[[#This Row],[Cde_Prdt]], tbl_Produits[Cde_Prdt], 0)), "")</f>
        <v/>
      </c>
    </row>
    <row r="3990" spans="1:11" x14ac:dyDescent="0.25">
      <c r="A3990" s="5"/>
      <c r="B3990" s="63" t="str">
        <f>IFERROR(TEXT(tbl_Ventes[[#This Row],[Date]],"mm-aaaa"),"")</f>
        <v>01-1900</v>
      </c>
      <c r="D3990" s="10" t="str">
        <f>IFERROR(
   INDEX(tbl_ProduitsRef[Cde_Prdt],MATCH(tbl_Ventes[[#This Row],[Produit]],tbl_ProduitsRef[Produit],0)),
   ""
)</f>
        <v/>
      </c>
      <c r="E3990" s="7">
        <v>0</v>
      </c>
      <c r="F3990" s="7" t="str">
        <f>IFERROR(
   INDEX(tbl_ProduitsRef[Prix Menu],MATCH(tbl_Ventes[[#This Row],[Produit]],tbl_ProduitsRef[Produit],0)),
   ""
)</f>
        <v/>
      </c>
      <c r="G3990" s="7">
        <f>tbl_Ventes[[#This Row],[Qté Vendue]] * IFERROR(_xlfn.XLOOKUP(tbl_Ventes[[#This Row],[Cde_Prdt]], tbl_Produits[Cde_Prdt], tbl_Produits[Prix Menu]), 0)</f>
        <v>0</v>
      </c>
      <c r="H3990" s="7">
        <f>IFERROR(_xlfn.XLOOKUP(tbl_Ventes[[#This Row],[Cde_Prdt]], tbl_Produits[Cde_Prdt], tbl_Produits[Coût Moyen Portion]), 0)</f>
        <v>0</v>
      </c>
      <c r="I3990" s="7">
        <f>tbl_Ventes[[#This Row],[Qté Vendue]] * tbl_Ventes[[#This Row],[CMP_par_portion]]</f>
        <v>0</v>
      </c>
      <c r="J3990" s="7">
        <f>tbl_Ventes[[#This Row],[CA ligne]] - tbl_Ventes[[#This Row],[Coût matière ligne]]</f>
        <v>0</v>
      </c>
      <c r="K3990" s="7" t="str">
        <f>IFERROR(INDEX(tbl_ProduitsRef[Famille], MATCH(tbl_Ventes[[#This Row],[Cde_Prdt]], tbl_Produits[Cde_Prdt], 0)), "")</f>
        <v/>
      </c>
    </row>
    <row r="3991" spans="1:11" x14ac:dyDescent="0.25">
      <c r="A3991" s="5"/>
      <c r="B3991" s="63" t="str">
        <f>IFERROR(TEXT(tbl_Ventes[[#This Row],[Date]],"mm-aaaa"),"")</f>
        <v>01-1900</v>
      </c>
      <c r="D3991" s="10" t="str">
        <f>IFERROR(
   INDEX(tbl_ProduitsRef[Cde_Prdt],MATCH(tbl_Ventes[[#This Row],[Produit]],tbl_ProduitsRef[Produit],0)),
   ""
)</f>
        <v/>
      </c>
      <c r="E3991" s="7">
        <v>0</v>
      </c>
      <c r="F3991" s="7" t="str">
        <f>IFERROR(
   INDEX(tbl_ProduitsRef[Prix Menu],MATCH(tbl_Ventes[[#This Row],[Produit]],tbl_ProduitsRef[Produit],0)),
   ""
)</f>
        <v/>
      </c>
      <c r="G3991" s="7">
        <f>tbl_Ventes[[#This Row],[Qté Vendue]] * IFERROR(_xlfn.XLOOKUP(tbl_Ventes[[#This Row],[Cde_Prdt]], tbl_Produits[Cde_Prdt], tbl_Produits[Prix Menu]), 0)</f>
        <v>0</v>
      </c>
      <c r="H3991" s="7">
        <f>IFERROR(_xlfn.XLOOKUP(tbl_Ventes[[#This Row],[Cde_Prdt]], tbl_Produits[Cde_Prdt], tbl_Produits[Coût Moyen Portion]), 0)</f>
        <v>0</v>
      </c>
      <c r="I3991" s="7">
        <f>tbl_Ventes[[#This Row],[Qté Vendue]] * tbl_Ventes[[#This Row],[CMP_par_portion]]</f>
        <v>0</v>
      </c>
      <c r="J3991" s="7">
        <f>tbl_Ventes[[#This Row],[CA ligne]] - tbl_Ventes[[#This Row],[Coût matière ligne]]</f>
        <v>0</v>
      </c>
      <c r="K3991" s="7" t="str">
        <f>IFERROR(INDEX(tbl_ProduitsRef[Famille], MATCH(tbl_Ventes[[#This Row],[Cde_Prdt]], tbl_Produits[Cde_Prdt], 0)), "")</f>
        <v/>
      </c>
    </row>
    <row r="3992" spans="1:11" x14ac:dyDescent="0.25">
      <c r="A3992" s="5"/>
      <c r="B3992" s="63" t="str">
        <f>IFERROR(TEXT(tbl_Ventes[[#This Row],[Date]],"mm-aaaa"),"")</f>
        <v>01-1900</v>
      </c>
      <c r="D3992" s="10" t="str">
        <f>IFERROR(
   INDEX(tbl_ProduitsRef[Cde_Prdt],MATCH(tbl_Ventes[[#This Row],[Produit]],tbl_ProduitsRef[Produit],0)),
   ""
)</f>
        <v/>
      </c>
      <c r="E3992" s="7">
        <v>0</v>
      </c>
      <c r="F3992" s="7" t="str">
        <f>IFERROR(
   INDEX(tbl_ProduitsRef[Prix Menu],MATCH(tbl_Ventes[[#This Row],[Produit]],tbl_ProduitsRef[Produit],0)),
   ""
)</f>
        <v/>
      </c>
      <c r="G3992" s="7">
        <f>tbl_Ventes[[#This Row],[Qté Vendue]] * IFERROR(_xlfn.XLOOKUP(tbl_Ventes[[#This Row],[Cde_Prdt]], tbl_Produits[Cde_Prdt], tbl_Produits[Prix Menu]), 0)</f>
        <v>0</v>
      </c>
      <c r="H3992" s="7">
        <f>IFERROR(_xlfn.XLOOKUP(tbl_Ventes[[#This Row],[Cde_Prdt]], tbl_Produits[Cde_Prdt], tbl_Produits[Coût Moyen Portion]), 0)</f>
        <v>0</v>
      </c>
      <c r="I3992" s="7">
        <f>tbl_Ventes[[#This Row],[Qté Vendue]] * tbl_Ventes[[#This Row],[CMP_par_portion]]</f>
        <v>0</v>
      </c>
      <c r="J3992" s="7">
        <f>tbl_Ventes[[#This Row],[CA ligne]] - tbl_Ventes[[#This Row],[Coût matière ligne]]</f>
        <v>0</v>
      </c>
      <c r="K3992" s="7" t="str">
        <f>IFERROR(INDEX(tbl_ProduitsRef[Famille], MATCH(tbl_Ventes[[#This Row],[Cde_Prdt]], tbl_Produits[Cde_Prdt], 0)), "")</f>
        <v/>
      </c>
    </row>
    <row r="3993" spans="1:11" x14ac:dyDescent="0.25">
      <c r="A3993" s="5"/>
      <c r="B3993" s="63" t="str">
        <f>IFERROR(TEXT(tbl_Ventes[[#This Row],[Date]],"mm-aaaa"),"")</f>
        <v>01-1900</v>
      </c>
      <c r="D3993" s="10" t="str">
        <f>IFERROR(
   INDEX(tbl_ProduitsRef[Cde_Prdt],MATCH(tbl_Ventes[[#This Row],[Produit]],tbl_ProduitsRef[Produit],0)),
   ""
)</f>
        <v/>
      </c>
      <c r="E3993" s="7">
        <v>0</v>
      </c>
      <c r="F3993" s="7" t="str">
        <f>IFERROR(
   INDEX(tbl_ProduitsRef[Prix Menu],MATCH(tbl_Ventes[[#This Row],[Produit]],tbl_ProduitsRef[Produit],0)),
   ""
)</f>
        <v/>
      </c>
      <c r="G3993" s="7">
        <f>tbl_Ventes[[#This Row],[Qté Vendue]] * IFERROR(_xlfn.XLOOKUP(tbl_Ventes[[#This Row],[Cde_Prdt]], tbl_Produits[Cde_Prdt], tbl_Produits[Prix Menu]), 0)</f>
        <v>0</v>
      </c>
      <c r="H3993" s="7">
        <f>IFERROR(_xlfn.XLOOKUP(tbl_Ventes[[#This Row],[Cde_Prdt]], tbl_Produits[Cde_Prdt], tbl_Produits[Coût Moyen Portion]), 0)</f>
        <v>0</v>
      </c>
      <c r="I3993" s="7">
        <f>tbl_Ventes[[#This Row],[Qté Vendue]] * tbl_Ventes[[#This Row],[CMP_par_portion]]</f>
        <v>0</v>
      </c>
      <c r="J3993" s="7">
        <f>tbl_Ventes[[#This Row],[CA ligne]] - tbl_Ventes[[#This Row],[Coût matière ligne]]</f>
        <v>0</v>
      </c>
      <c r="K3993" s="7" t="str">
        <f>IFERROR(INDEX(tbl_ProduitsRef[Famille], MATCH(tbl_Ventes[[#This Row],[Cde_Prdt]], tbl_Produits[Cde_Prdt], 0)), "")</f>
        <v/>
      </c>
    </row>
    <row r="3994" spans="1:11" x14ac:dyDescent="0.25">
      <c r="A3994" s="5"/>
      <c r="B3994" s="63" t="str">
        <f>IFERROR(TEXT(tbl_Ventes[[#This Row],[Date]],"mm-aaaa"),"")</f>
        <v>01-1900</v>
      </c>
      <c r="D3994" s="10" t="str">
        <f>IFERROR(
   INDEX(tbl_ProduitsRef[Cde_Prdt],MATCH(tbl_Ventes[[#This Row],[Produit]],tbl_ProduitsRef[Produit],0)),
   ""
)</f>
        <v/>
      </c>
      <c r="E3994" s="7">
        <v>0</v>
      </c>
      <c r="F3994" s="7" t="str">
        <f>IFERROR(
   INDEX(tbl_ProduitsRef[Prix Menu],MATCH(tbl_Ventes[[#This Row],[Produit]],tbl_ProduitsRef[Produit],0)),
   ""
)</f>
        <v/>
      </c>
      <c r="G3994" s="7">
        <f>tbl_Ventes[[#This Row],[Qté Vendue]] * IFERROR(_xlfn.XLOOKUP(tbl_Ventes[[#This Row],[Cde_Prdt]], tbl_Produits[Cde_Prdt], tbl_Produits[Prix Menu]), 0)</f>
        <v>0</v>
      </c>
      <c r="H3994" s="7">
        <f>IFERROR(_xlfn.XLOOKUP(tbl_Ventes[[#This Row],[Cde_Prdt]], tbl_Produits[Cde_Prdt], tbl_Produits[Coût Moyen Portion]), 0)</f>
        <v>0</v>
      </c>
      <c r="I3994" s="7">
        <f>tbl_Ventes[[#This Row],[Qté Vendue]] * tbl_Ventes[[#This Row],[CMP_par_portion]]</f>
        <v>0</v>
      </c>
      <c r="J3994" s="7">
        <f>tbl_Ventes[[#This Row],[CA ligne]] - tbl_Ventes[[#This Row],[Coût matière ligne]]</f>
        <v>0</v>
      </c>
      <c r="K3994" s="7" t="str">
        <f>IFERROR(INDEX(tbl_ProduitsRef[Famille], MATCH(tbl_Ventes[[#This Row],[Cde_Prdt]], tbl_Produits[Cde_Prdt], 0)), "")</f>
        <v/>
      </c>
    </row>
    <row r="3995" spans="1:11" x14ac:dyDescent="0.25">
      <c r="A3995" s="5"/>
      <c r="B3995" s="63" t="str">
        <f>IFERROR(TEXT(tbl_Ventes[[#This Row],[Date]],"mm-aaaa"),"")</f>
        <v>01-1900</v>
      </c>
      <c r="D3995" s="10" t="str">
        <f>IFERROR(
   INDEX(tbl_ProduitsRef[Cde_Prdt],MATCH(tbl_Ventes[[#This Row],[Produit]],tbl_ProduitsRef[Produit],0)),
   ""
)</f>
        <v/>
      </c>
      <c r="E3995" s="7">
        <v>0</v>
      </c>
      <c r="F3995" s="7" t="str">
        <f>IFERROR(
   INDEX(tbl_ProduitsRef[Prix Menu],MATCH(tbl_Ventes[[#This Row],[Produit]],tbl_ProduitsRef[Produit],0)),
   ""
)</f>
        <v/>
      </c>
      <c r="G3995" s="7">
        <f>tbl_Ventes[[#This Row],[Qté Vendue]] * IFERROR(_xlfn.XLOOKUP(tbl_Ventes[[#This Row],[Cde_Prdt]], tbl_Produits[Cde_Prdt], tbl_Produits[Prix Menu]), 0)</f>
        <v>0</v>
      </c>
      <c r="H3995" s="7">
        <f>IFERROR(_xlfn.XLOOKUP(tbl_Ventes[[#This Row],[Cde_Prdt]], tbl_Produits[Cde_Prdt], tbl_Produits[Coût Moyen Portion]), 0)</f>
        <v>0</v>
      </c>
      <c r="I3995" s="7">
        <f>tbl_Ventes[[#This Row],[Qté Vendue]] * tbl_Ventes[[#This Row],[CMP_par_portion]]</f>
        <v>0</v>
      </c>
      <c r="J3995" s="7">
        <f>tbl_Ventes[[#This Row],[CA ligne]] - tbl_Ventes[[#This Row],[Coût matière ligne]]</f>
        <v>0</v>
      </c>
      <c r="K3995" s="7" t="str">
        <f>IFERROR(INDEX(tbl_ProduitsRef[Famille], MATCH(tbl_Ventes[[#This Row],[Cde_Prdt]], tbl_Produits[Cde_Prdt], 0)), "")</f>
        <v/>
      </c>
    </row>
    <row r="3996" spans="1:11" x14ac:dyDescent="0.25">
      <c r="A3996" s="5"/>
      <c r="B3996" s="63" t="str">
        <f>IFERROR(TEXT(tbl_Ventes[[#This Row],[Date]],"mm-aaaa"),"")</f>
        <v>01-1900</v>
      </c>
      <c r="D3996" s="10" t="str">
        <f>IFERROR(
   INDEX(tbl_ProduitsRef[Cde_Prdt],MATCH(tbl_Ventes[[#This Row],[Produit]],tbl_ProduitsRef[Produit],0)),
   ""
)</f>
        <v/>
      </c>
      <c r="E3996" s="7">
        <v>0</v>
      </c>
      <c r="F3996" s="7" t="str">
        <f>IFERROR(
   INDEX(tbl_ProduitsRef[Prix Menu],MATCH(tbl_Ventes[[#This Row],[Produit]],tbl_ProduitsRef[Produit],0)),
   ""
)</f>
        <v/>
      </c>
      <c r="G3996" s="7">
        <f>tbl_Ventes[[#This Row],[Qté Vendue]] * IFERROR(_xlfn.XLOOKUP(tbl_Ventes[[#This Row],[Cde_Prdt]], tbl_Produits[Cde_Prdt], tbl_Produits[Prix Menu]), 0)</f>
        <v>0</v>
      </c>
      <c r="H3996" s="7">
        <f>IFERROR(_xlfn.XLOOKUP(tbl_Ventes[[#This Row],[Cde_Prdt]], tbl_Produits[Cde_Prdt], tbl_Produits[Coût Moyen Portion]), 0)</f>
        <v>0</v>
      </c>
      <c r="I3996" s="7">
        <f>tbl_Ventes[[#This Row],[Qté Vendue]] * tbl_Ventes[[#This Row],[CMP_par_portion]]</f>
        <v>0</v>
      </c>
      <c r="J3996" s="7">
        <f>tbl_Ventes[[#This Row],[CA ligne]] - tbl_Ventes[[#This Row],[Coût matière ligne]]</f>
        <v>0</v>
      </c>
      <c r="K3996" s="7" t="str">
        <f>IFERROR(INDEX(tbl_ProduitsRef[Famille], MATCH(tbl_Ventes[[#This Row],[Cde_Prdt]], tbl_Produits[Cde_Prdt], 0)), "")</f>
        <v/>
      </c>
    </row>
    <row r="3997" spans="1:11" x14ac:dyDescent="0.25">
      <c r="A3997" s="5"/>
      <c r="B3997" s="63" t="str">
        <f>IFERROR(TEXT(tbl_Ventes[[#This Row],[Date]],"mm-aaaa"),"")</f>
        <v>01-1900</v>
      </c>
      <c r="D3997" s="10" t="str">
        <f>IFERROR(
   INDEX(tbl_ProduitsRef[Cde_Prdt],MATCH(tbl_Ventes[[#This Row],[Produit]],tbl_ProduitsRef[Produit],0)),
   ""
)</f>
        <v/>
      </c>
      <c r="E3997" s="7">
        <v>0</v>
      </c>
      <c r="F3997" s="7" t="str">
        <f>IFERROR(
   INDEX(tbl_ProduitsRef[Prix Menu],MATCH(tbl_Ventes[[#This Row],[Produit]],tbl_ProduitsRef[Produit],0)),
   ""
)</f>
        <v/>
      </c>
      <c r="G3997" s="7">
        <f>tbl_Ventes[[#This Row],[Qté Vendue]] * IFERROR(_xlfn.XLOOKUP(tbl_Ventes[[#This Row],[Cde_Prdt]], tbl_Produits[Cde_Prdt], tbl_Produits[Prix Menu]), 0)</f>
        <v>0</v>
      </c>
      <c r="H3997" s="7">
        <f>IFERROR(_xlfn.XLOOKUP(tbl_Ventes[[#This Row],[Cde_Prdt]], tbl_Produits[Cde_Prdt], tbl_Produits[Coût Moyen Portion]), 0)</f>
        <v>0</v>
      </c>
      <c r="I3997" s="7">
        <f>tbl_Ventes[[#This Row],[Qté Vendue]] * tbl_Ventes[[#This Row],[CMP_par_portion]]</f>
        <v>0</v>
      </c>
      <c r="J3997" s="7">
        <f>tbl_Ventes[[#This Row],[CA ligne]] - tbl_Ventes[[#This Row],[Coût matière ligne]]</f>
        <v>0</v>
      </c>
      <c r="K3997" s="7" t="str">
        <f>IFERROR(INDEX(tbl_ProduitsRef[Famille], MATCH(tbl_Ventes[[#This Row],[Cde_Prdt]], tbl_Produits[Cde_Prdt], 0)), "")</f>
        <v/>
      </c>
    </row>
    <row r="3998" spans="1:11" x14ac:dyDescent="0.25">
      <c r="A3998" s="5"/>
      <c r="B3998" s="63" t="str">
        <f>IFERROR(TEXT(tbl_Ventes[[#This Row],[Date]],"mm-aaaa"),"")</f>
        <v>01-1900</v>
      </c>
      <c r="D3998" s="10" t="str">
        <f>IFERROR(
   INDEX(tbl_ProduitsRef[Cde_Prdt],MATCH(tbl_Ventes[[#This Row],[Produit]],tbl_ProduitsRef[Produit],0)),
   ""
)</f>
        <v/>
      </c>
      <c r="E3998" s="7">
        <v>0</v>
      </c>
      <c r="F3998" s="7" t="str">
        <f>IFERROR(
   INDEX(tbl_ProduitsRef[Prix Menu],MATCH(tbl_Ventes[[#This Row],[Produit]],tbl_ProduitsRef[Produit],0)),
   ""
)</f>
        <v/>
      </c>
      <c r="G3998" s="7">
        <f>tbl_Ventes[[#This Row],[Qté Vendue]] * IFERROR(_xlfn.XLOOKUP(tbl_Ventes[[#This Row],[Cde_Prdt]], tbl_Produits[Cde_Prdt], tbl_Produits[Prix Menu]), 0)</f>
        <v>0</v>
      </c>
      <c r="H3998" s="7">
        <f>IFERROR(_xlfn.XLOOKUP(tbl_Ventes[[#This Row],[Cde_Prdt]], tbl_Produits[Cde_Prdt], tbl_Produits[Coût Moyen Portion]), 0)</f>
        <v>0</v>
      </c>
      <c r="I3998" s="7">
        <f>tbl_Ventes[[#This Row],[Qté Vendue]] * tbl_Ventes[[#This Row],[CMP_par_portion]]</f>
        <v>0</v>
      </c>
      <c r="J3998" s="7">
        <f>tbl_Ventes[[#This Row],[CA ligne]] - tbl_Ventes[[#This Row],[Coût matière ligne]]</f>
        <v>0</v>
      </c>
      <c r="K3998" s="7" t="str">
        <f>IFERROR(INDEX(tbl_ProduitsRef[Famille], MATCH(tbl_Ventes[[#This Row],[Cde_Prdt]], tbl_Produits[Cde_Prdt], 0)), "")</f>
        <v/>
      </c>
    </row>
    <row r="3999" spans="1:11" x14ac:dyDescent="0.25">
      <c r="A3999" s="5"/>
      <c r="B3999" s="63" t="str">
        <f>IFERROR(TEXT(tbl_Ventes[[#This Row],[Date]],"mm-aaaa"),"")</f>
        <v>01-1900</v>
      </c>
      <c r="D3999" s="10" t="str">
        <f>IFERROR(
   INDEX(tbl_ProduitsRef[Cde_Prdt],MATCH(tbl_Ventes[[#This Row],[Produit]],tbl_ProduitsRef[Produit],0)),
   ""
)</f>
        <v/>
      </c>
      <c r="E3999" s="7">
        <v>0</v>
      </c>
      <c r="F3999" s="7" t="str">
        <f>IFERROR(
   INDEX(tbl_ProduitsRef[Prix Menu],MATCH(tbl_Ventes[[#This Row],[Produit]],tbl_ProduitsRef[Produit],0)),
   ""
)</f>
        <v/>
      </c>
      <c r="G3999" s="7">
        <f>tbl_Ventes[[#This Row],[Qté Vendue]] * IFERROR(_xlfn.XLOOKUP(tbl_Ventes[[#This Row],[Cde_Prdt]], tbl_Produits[Cde_Prdt], tbl_Produits[Prix Menu]), 0)</f>
        <v>0</v>
      </c>
      <c r="H3999" s="7">
        <f>IFERROR(_xlfn.XLOOKUP(tbl_Ventes[[#This Row],[Cde_Prdt]], tbl_Produits[Cde_Prdt], tbl_Produits[Coût Moyen Portion]), 0)</f>
        <v>0</v>
      </c>
      <c r="I3999" s="7">
        <f>tbl_Ventes[[#This Row],[Qté Vendue]] * tbl_Ventes[[#This Row],[CMP_par_portion]]</f>
        <v>0</v>
      </c>
      <c r="J3999" s="7">
        <f>tbl_Ventes[[#This Row],[CA ligne]] - tbl_Ventes[[#This Row],[Coût matière ligne]]</f>
        <v>0</v>
      </c>
      <c r="K3999" s="7" t="str">
        <f>IFERROR(INDEX(tbl_ProduitsRef[Famille], MATCH(tbl_Ventes[[#This Row],[Cde_Prdt]], tbl_Produits[Cde_Prdt], 0)), "")</f>
        <v/>
      </c>
    </row>
    <row r="4000" spans="1:11" x14ac:dyDescent="0.25">
      <c r="A4000" s="5"/>
      <c r="B4000" s="63" t="str">
        <f>IFERROR(TEXT(tbl_Ventes[[#This Row],[Date]],"mm-aaaa"),"")</f>
        <v>01-1900</v>
      </c>
      <c r="D4000" s="10" t="str">
        <f>IFERROR(
   INDEX(tbl_ProduitsRef[Cde_Prdt],MATCH(tbl_Ventes[[#This Row],[Produit]],tbl_ProduitsRef[Produit],0)),
   ""
)</f>
        <v/>
      </c>
      <c r="E4000" s="7">
        <v>0</v>
      </c>
      <c r="F4000" s="7" t="str">
        <f>IFERROR(
   INDEX(tbl_ProduitsRef[Prix Menu],MATCH(tbl_Ventes[[#This Row],[Produit]],tbl_ProduitsRef[Produit],0)),
   ""
)</f>
        <v/>
      </c>
      <c r="G4000" s="7">
        <f>tbl_Ventes[[#This Row],[Qté Vendue]] * IFERROR(_xlfn.XLOOKUP(tbl_Ventes[[#This Row],[Cde_Prdt]], tbl_Produits[Cde_Prdt], tbl_Produits[Prix Menu]), 0)</f>
        <v>0</v>
      </c>
      <c r="H4000" s="7">
        <f>IFERROR(_xlfn.XLOOKUP(tbl_Ventes[[#This Row],[Cde_Prdt]], tbl_Produits[Cde_Prdt], tbl_Produits[Coût Moyen Portion]), 0)</f>
        <v>0</v>
      </c>
      <c r="I4000" s="7">
        <f>tbl_Ventes[[#This Row],[Qté Vendue]] * tbl_Ventes[[#This Row],[CMP_par_portion]]</f>
        <v>0</v>
      </c>
      <c r="J4000" s="7">
        <f>tbl_Ventes[[#This Row],[CA ligne]] - tbl_Ventes[[#This Row],[Coût matière ligne]]</f>
        <v>0</v>
      </c>
      <c r="K4000" s="7" t="str">
        <f>IFERROR(INDEX(tbl_ProduitsRef[Famille], MATCH(tbl_Ventes[[#This Row],[Cde_Prdt]], tbl_Produits[Cde_Prdt], 0)), "")</f>
        <v/>
      </c>
    </row>
    <row r="4001" spans="1:11" x14ac:dyDescent="0.25">
      <c r="A4001" s="5"/>
      <c r="B4001" s="63" t="str">
        <f>IFERROR(TEXT(tbl_Ventes[[#This Row],[Date]],"mm-aaaa"),"")</f>
        <v>01-1900</v>
      </c>
      <c r="D4001" s="10" t="str">
        <f>IFERROR(
   INDEX(tbl_ProduitsRef[Cde_Prdt],MATCH(tbl_Ventes[[#This Row],[Produit]],tbl_ProduitsRef[Produit],0)),
   ""
)</f>
        <v/>
      </c>
      <c r="E4001" s="7">
        <v>0</v>
      </c>
      <c r="F4001" s="7" t="str">
        <f>IFERROR(
   INDEX(tbl_ProduitsRef[Prix Menu],MATCH(tbl_Ventes[[#This Row],[Produit]],tbl_ProduitsRef[Produit],0)),
   ""
)</f>
        <v/>
      </c>
      <c r="G4001" s="7">
        <f>tbl_Ventes[[#This Row],[Qté Vendue]] * IFERROR(_xlfn.XLOOKUP(tbl_Ventes[[#This Row],[Cde_Prdt]], tbl_Produits[Cde_Prdt], tbl_Produits[Prix Menu]), 0)</f>
        <v>0</v>
      </c>
      <c r="H4001" s="7">
        <f>IFERROR(_xlfn.XLOOKUP(tbl_Ventes[[#This Row],[Cde_Prdt]], tbl_Produits[Cde_Prdt], tbl_Produits[Coût Moyen Portion]), 0)</f>
        <v>0</v>
      </c>
      <c r="I4001" s="7">
        <f>tbl_Ventes[[#This Row],[Qté Vendue]] * tbl_Ventes[[#This Row],[CMP_par_portion]]</f>
        <v>0</v>
      </c>
      <c r="J4001" s="7">
        <f>tbl_Ventes[[#This Row],[CA ligne]] - tbl_Ventes[[#This Row],[Coût matière ligne]]</f>
        <v>0</v>
      </c>
      <c r="K4001" s="7" t="str">
        <f>IFERROR(INDEX(tbl_ProduitsRef[Famille], MATCH(tbl_Ventes[[#This Row],[Cde_Prdt]], tbl_Produits[Cde_Prdt], 0)), "")</f>
        <v/>
      </c>
    </row>
    <row r="4002" spans="1:11" x14ac:dyDescent="0.25">
      <c r="A4002" s="5"/>
      <c r="B4002" s="63" t="str">
        <f>IFERROR(TEXT(tbl_Ventes[[#This Row],[Date]],"mm-aaaa"),"")</f>
        <v>01-1900</v>
      </c>
      <c r="D4002" s="10" t="str">
        <f>IFERROR(
   INDEX(tbl_ProduitsRef[Cde_Prdt],MATCH(tbl_Ventes[[#This Row],[Produit]],tbl_ProduitsRef[Produit],0)),
   ""
)</f>
        <v/>
      </c>
      <c r="E4002" s="7">
        <v>0</v>
      </c>
      <c r="F4002" s="7" t="str">
        <f>IFERROR(
   INDEX(tbl_ProduitsRef[Prix Menu],MATCH(tbl_Ventes[[#This Row],[Produit]],tbl_ProduitsRef[Produit],0)),
   ""
)</f>
        <v/>
      </c>
      <c r="G4002" s="7">
        <f>tbl_Ventes[[#This Row],[Qté Vendue]] * IFERROR(_xlfn.XLOOKUP(tbl_Ventes[[#This Row],[Cde_Prdt]], tbl_Produits[Cde_Prdt], tbl_Produits[Prix Menu]), 0)</f>
        <v>0</v>
      </c>
      <c r="H4002" s="7">
        <f>IFERROR(_xlfn.XLOOKUP(tbl_Ventes[[#This Row],[Cde_Prdt]], tbl_Produits[Cde_Prdt], tbl_Produits[Coût Moyen Portion]), 0)</f>
        <v>0</v>
      </c>
      <c r="I4002" s="7">
        <f>tbl_Ventes[[#This Row],[Qté Vendue]] * tbl_Ventes[[#This Row],[CMP_par_portion]]</f>
        <v>0</v>
      </c>
      <c r="J4002" s="7">
        <f>tbl_Ventes[[#This Row],[CA ligne]] - tbl_Ventes[[#This Row],[Coût matière ligne]]</f>
        <v>0</v>
      </c>
      <c r="K4002" s="7" t="str">
        <f>IFERROR(INDEX(tbl_ProduitsRef[Famille], MATCH(tbl_Ventes[[#This Row],[Cde_Prdt]], tbl_Produits[Cde_Prdt], 0)), "")</f>
        <v/>
      </c>
    </row>
    <row r="4003" spans="1:11" x14ac:dyDescent="0.25">
      <c r="A4003" s="5"/>
      <c r="B4003" s="63" t="str">
        <f>IFERROR(TEXT(tbl_Ventes[[#This Row],[Date]],"mm-aaaa"),"")</f>
        <v>01-1900</v>
      </c>
      <c r="D4003" s="10" t="str">
        <f>IFERROR(
   INDEX(tbl_ProduitsRef[Cde_Prdt],MATCH(tbl_Ventes[[#This Row],[Produit]],tbl_ProduitsRef[Produit],0)),
   ""
)</f>
        <v/>
      </c>
      <c r="E4003" s="7">
        <v>0</v>
      </c>
      <c r="F4003" s="7" t="str">
        <f>IFERROR(
   INDEX(tbl_ProduitsRef[Prix Menu],MATCH(tbl_Ventes[[#This Row],[Produit]],tbl_ProduitsRef[Produit],0)),
   ""
)</f>
        <v/>
      </c>
      <c r="G4003" s="7">
        <f>tbl_Ventes[[#This Row],[Qté Vendue]] * IFERROR(_xlfn.XLOOKUP(tbl_Ventes[[#This Row],[Cde_Prdt]], tbl_Produits[Cde_Prdt], tbl_Produits[Prix Menu]), 0)</f>
        <v>0</v>
      </c>
      <c r="H4003" s="7">
        <f>IFERROR(_xlfn.XLOOKUP(tbl_Ventes[[#This Row],[Cde_Prdt]], tbl_Produits[Cde_Prdt], tbl_Produits[Coût Moyen Portion]), 0)</f>
        <v>0</v>
      </c>
      <c r="I4003" s="7">
        <f>tbl_Ventes[[#This Row],[Qté Vendue]] * tbl_Ventes[[#This Row],[CMP_par_portion]]</f>
        <v>0</v>
      </c>
      <c r="J4003" s="7">
        <f>tbl_Ventes[[#This Row],[CA ligne]] - tbl_Ventes[[#This Row],[Coût matière ligne]]</f>
        <v>0</v>
      </c>
      <c r="K4003" s="7" t="str">
        <f>IFERROR(INDEX(tbl_ProduitsRef[Famille], MATCH(tbl_Ventes[[#This Row],[Cde_Prdt]], tbl_Produits[Cde_Prdt], 0)), "")</f>
        <v/>
      </c>
    </row>
    <row r="4004" spans="1:11" x14ac:dyDescent="0.25">
      <c r="A4004" s="5"/>
      <c r="B4004" s="63" t="str">
        <f>IFERROR(TEXT(tbl_Ventes[[#This Row],[Date]],"mm-aaaa"),"")</f>
        <v>01-1900</v>
      </c>
      <c r="D4004" s="10" t="str">
        <f>IFERROR(
   INDEX(tbl_ProduitsRef[Cde_Prdt],MATCH(tbl_Ventes[[#This Row],[Produit]],tbl_ProduitsRef[Produit],0)),
   ""
)</f>
        <v/>
      </c>
      <c r="E4004" s="7">
        <v>0</v>
      </c>
      <c r="F4004" s="7" t="str">
        <f>IFERROR(
   INDEX(tbl_ProduitsRef[Prix Menu],MATCH(tbl_Ventes[[#This Row],[Produit]],tbl_ProduitsRef[Produit],0)),
   ""
)</f>
        <v/>
      </c>
      <c r="G4004" s="7">
        <f>tbl_Ventes[[#This Row],[Qté Vendue]] * IFERROR(_xlfn.XLOOKUP(tbl_Ventes[[#This Row],[Cde_Prdt]], tbl_Produits[Cde_Prdt], tbl_Produits[Prix Menu]), 0)</f>
        <v>0</v>
      </c>
      <c r="H4004" s="7">
        <f>IFERROR(_xlfn.XLOOKUP(tbl_Ventes[[#This Row],[Cde_Prdt]], tbl_Produits[Cde_Prdt], tbl_Produits[Coût Moyen Portion]), 0)</f>
        <v>0</v>
      </c>
      <c r="I4004" s="7">
        <f>tbl_Ventes[[#This Row],[Qté Vendue]] * tbl_Ventes[[#This Row],[CMP_par_portion]]</f>
        <v>0</v>
      </c>
      <c r="J4004" s="7">
        <f>tbl_Ventes[[#This Row],[CA ligne]] - tbl_Ventes[[#This Row],[Coût matière ligne]]</f>
        <v>0</v>
      </c>
      <c r="K4004" s="7" t="str">
        <f>IFERROR(INDEX(tbl_ProduitsRef[Famille], MATCH(tbl_Ventes[[#This Row],[Cde_Prdt]], tbl_Produits[Cde_Prdt], 0)), "")</f>
        <v/>
      </c>
    </row>
    <row r="4005" spans="1:11" x14ac:dyDescent="0.25">
      <c r="A4005" s="5"/>
      <c r="B4005" s="63" t="str">
        <f>IFERROR(TEXT(tbl_Ventes[[#This Row],[Date]],"mm-aaaa"),"")</f>
        <v>01-1900</v>
      </c>
      <c r="D4005" s="10" t="str">
        <f>IFERROR(
   INDEX(tbl_ProduitsRef[Cde_Prdt],MATCH(tbl_Ventes[[#This Row],[Produit]],tbl_ProduitsRef[Produit],0)),
   ""
)</f>
        <v/>
      </c>
      <c r="E4005" s="7">
        <v>0</v>
      </c>
      <c r="F4005" s="7" t="str">
        <f>IFERROR(
   INDEX(tbl_ProduitsRef[Prix Menu],MATCH(tbl_Ventes[[#This Row],[Produit]],tbl_ProduitsRef[Produit],0)),
   ""
)</f>
        <v/>
      </c>
      <c r="G4005" s="7">
        <f>tbl_Ventes[[#This Row],[Qté Vendue]] * IFERROR(_xlfn.XLOOKUP(tbl_Ventes[[#This Row],[Cde_Prdt]], tbl_Produits[Cde_Prdt], tbl_Produits[Prix Menu]), 0)</f>
        <v>0</v>
      </c>
      <c r="H4005" s="7">
        <f>IFERROR(_xlfn.XLOOKUP(tbl_Ventes[[#This Row],[Cde_Prdt]], tbl_Produits[Cde_Prdt], tbl_Produits[Coût Moyen Portion]), 0)</f>
        <v>0</v>
      </c>
      <c r="I4005" s="7">
        <f>tbl_Ventes[[#This Row],[Qté Vendue]] * tbl_Ventes[[#This Row],[CMP_par_portion]]</f>
        <v>0</v>
      </c>
      <c r="J4005" s="7">
        <f>tbl_Ventes[[#This Row],[CA ligne]] - tbl_Ventes[[#This Row],[Coût matière ligne]]</f>
        <v>0</v>
      </c>
      <c r="K4005" s="7" t="str">
        <f>IFERROR(INDEX(tbl_ProduitsRef[Famille], MATCH(tbl_Ventes[[#This Row],[Cde_Prdt]], tbl_Produits[Cde_Prdt], 0)), "")</f>
        <v/>
      </c>
    </row>
    <row r="4006" spans="1:11" x14ac:dyDescent="0.25">
      <c r="A4006" s="5"/>
      <c r="B4006" s="63" t="str">
        <f>IFERROR(TEXT(tbl_Ventes[[#This Row],[Date]],"mm-aaaa"),"")</f>
        <v>01-1900</v>
      </c>
      <c r="D4006" s="10" t="str">
        <f>IFERROR(
   INDEX(tbl_ProduitsRef[Cde_Prdt],MATCH(tbl_Ventes[[#This Row],[Produit]],tbl_ProduitsRef[Produit],0)),
   ""
)</f>
        <v/>
      </c>
      <c r="E4006" s="7">
        <v>0</v>
      </c>
      <c r="F4006" s="7" t="str">
        <f>IFERROR(
   INDEX(tbl_ProduitsRef[Prix Menu],MATCH(tbl_Ventes[[#This Row],[Produit]],tbl_ProduitsRef[Produit],0)),
   ""
)</f>
        <v/>
      </c>
      <c r="G4006" s="7">
        <f>tbl_Ventes[[#This Row],[Qté Vendue]] * IFERROR(_xlfn.XLOOKUP(tbl_Ventes[[#This Row],[Cde_Prdt]], tbl_Produits[Cde_Prdt], tbl_Produits[Prix Menu]), 0)</f>
        <v>0</v>
      </c>
      <c r="H4006" s="7">
        <f>IFERROR(_xlfn.XLOOKUP(tbl_Ventes[[#This Row],[Cde_Prdt]], tbl_Produits[Cde_Prdt], tbl_Produits[Coût Moyen Portion]), 0)</f>
        <v>0</v>
      </c>
      <c r="I4006" s="7">
        <f>tbl_Ventes[[#This Row],[Qté Vendue]] * tbl_Ventes[[#This Row],[CMP_par_portion]]</f>
        <v>0</v>
      </c>
      <c r="J4006" s="7">
        <f>tbl_Ventes[[#This Row],[CA ligne]] - tbl_Ventes[[#This Row],[Coût matière ligne]]</f>
        <v>0</v>
      </c>
      <c r="K4006" s="7" t="str">
        <f>IFERROR(INDEX(tbl_ProduitsRef[Famille], MATCH(tbl_Ventes[[#This Row],[Cde_Prdt]], tbl_Produits[Cde_Prdt], 0)), "")</f>
        <v/>
      </c>
    </row>
    <row r="4007" spans="1:11" x14ac:dyDescent="0.25">
      <c r="A4007" s="5"/>
      <c r="B4007" s="63" t="str">
        <f>IFERROR(TEXT(tbl_Ventes[[#This Row],[Date]],"mm-aaaa"),"")</f>
        <v>01-1900</v>
      </c>
      <c r="D4007" s="10" t="str">
        <f>IFERROR(
   INDEX(tbl_ProduitsRef[Cde_Prdt],MATCH(tbl_Ventes[[#This Row],[Produit]],tbl_ProduitsRef[Produit],0)),
   ""
)</f>
        <v/>
      </c>
      <c r="E4007" s="7">
        <v>0</v>
      </c>
      <c r="F4007" s="7" t="str">
        <f>IFERROR(
   INDEX(tbl_ProduitsRef[Prix Menu],MATCH(tbl_Ventes[[#This Row],[Produit]],tbl_ProduitsRef[Produit],0)),
   ""
)</f>
        <v/>
      </c>
      <c r="G4007" s="7">
        <f>tbl_Ventes[[#This Row],[Qté Vendue]] * IFERROR(_xlfn.XLOOKUP(tbl_Ventes[[#This Row],[Cde_Prdt]], tbl_Produits[Cde_Prdt], tbl_Produits[Prix Menu]), 0)</f>
        <v>0</v>
      </c>
      <c r="H4007" s="7">
        <f>IFERROR(_xlfn.XLOOKUP(tbl_Ventes[[#This Row],[Cde_Prdt]], tbl_Produits[Cde_Prdt], tbl_Produits[Coût Moyen Portion]), 0)</f>
        <v>0</v>
      </c>
      <c r="I4007" s="7">
        <f>tbl_Ventes[[#This Row],[Qté Vendue]] * tbl_Ventes[[#This Row],[CMP_par_portion]]</f>
        <v>0</v>
      </c>
      <c r="J4007" s="7">
        <f>tbl_Ventes[[#This Row],[CA ligne]] - tbl_Ventes[[#This Row],[Coût matière ligne]]</f>
        <v>0</v>
      </c>
      <c r="K4007" s="7" t="str">
        <f>IFERROR(INDEX(tbl_ProduitsRef[Famille], MATCH(tbl_Ventes[[#This Row],[Cde_Prdt]], tbl_Produits[Cde_Prdt], 0)), "")</f>
        <v/>
      </c>
    </row>
    <row r="4008" spans="1:11" x14ac:dyDescent="0.25">
      <c r="A4008" s="5"/>
      <c r="B4008" s="63" t="str">
        <f>IFERROR(TEXT(tbl_Ventes[[#This Row],[Date]],"mm-aaaa"),"")</f>
        <v>01-1900</v>
      </c>
      <c r="D4008" s="10" t="str">
        <f>IFERROR(
   INDEX(tbl_ProduitsRef[Cde_Prdt],MATCH(tbl_Ventes[[#This Row],[Produit]],tbl_ProduitsRef[Produit],0)),
   ""
)</f>
        <v/>
      </c>
      <c r="E4008" s="7">
        <v>0</v>
      </c>
      <c r="F4008" s="7" t="str">
        <f>IFERROR(
   INDEX(tbl_ProduitsRef[Prix Menu],MATCH(tbl_Ventes[[#This Row],[Produit]],tbl_ProduitsRef[Produit],0)),
   ""
)</f>
        <v/>
      </c>
      <c r="G4008" s="7">
        <f>tbl_Ventes[[#This Row],[Qté Vendue]] * IFERROR(_xlfn.XLOOKUP(tbl_Ventes[[#This Row],[Cde_Prdt]], tbl_Produits[Cde_Prdt], tbl_Produits[Prix Menu]), 0)</f>
        <v>0</v>
      </c>
      <c r="H4008" s="7">
        <f>IFERROR(_xlfn.XLOOKUP(tbl_Ventes[[#This Row],[Cde_Prdt]], tbl_Produits[Cde_Prdt], tbl_Produits[Coût Moyen Portion]), 0)</f>
        <v>0</v>
      </c>
      <c r="I4008" s="7">
        <f>tbl_Ventes[[#This Row],[Qté Vendue]] * tbl_Ventes[[#This Row],[CMP_par_portion]]</f>
        <v>0</v>
      </c>
      <c r="J4008" s="7">
        <f>tbl_Ventes[[#This Row],[CA ligne]] - tbl_Ventes[[#This Row],[Coût matière ligne]]</f>
        <v>0</v>
      </c>
      <c r="K4008" s="7" t="str">
        <f>IFERROR(INDEX(tbl_ProduitsRef[Famille], MATCH(tbl_Ventes[[#This Row],[Cde_Prdt]], tbl_Produits[Cde_Prdt], 0)), "")</f>
        <v/>
      </c>
    </row>
    <row r="4009" spans="1:11" x14ac:dyDescent="0.25">
      <c r="A4009" s="5"/>
      <c r="B4009" s="63" t="str">
        <f>IFERROR(TEXT(tbl_Ventes[[#This Row],[Date]],"mm-aaaa"),"")</f>
        <v>01-1900</v>
      </c>
      <c r="D4009" s="10" t="str">
        <f>IFERROR(
   INDEX(tbl_ProduitsRef[Cde_Prdt],MATCH(tbl_Ventes[[#This Row],[Produit]],tbl_ProduitsRef[Produit],0)),
   ""
)</f>
        <v/>
      </c>
      <c r="E4009" s="7">
        <v>0</v>
      </c>
      <c r="F4009" s="7" t="str">
        <f>IFERROR(
   INDEX(tbl_ProduitsRef[Prix Menu],MATCH(tbl_Ventes[[#This Row],[Produit]],tbl_ProduitsRef[Produit],0)),
   ""
)</f>
        <v/>
      </c>
      <c r="G4009" s="7">
        <f>tbl_Ventes[[#This Row],[Qté Vendue]] * IFERROR(_xlfn.XLOOKUP(tbl_Ventes[[#This Row],[Cde_Prdt]], tbl_Produits[Cde_Prdt], tbl_Produits[Prix Menu]), 0)</f>
        <v>0</v>
      </c>
      <c r="H4009" s="7">
        <f>IFERROR(_xlfn.XLOOKUP(tbl_Ventes[[#This Row],[Cde_Prdt]], tbl_Produits[Cde_Prdt], tbl_Produits[Coût Moyen Portion]), 0)</f>
        <v>0</v>
      </c>
      <c r="I4009" s="7">
        <f>tbl_Ventes[[#This Row],[Qté Vendue]] * tbl_Ventes[[#This Row],[CMP_par_portion]]</f>
        <v>0</v>
      </c>
      <c r="J4009" s="7">
        <f>tbl_Ventes[[#This Row],[CA ligne]] - tbl_Ventes[[#This Row],[Coût matière ligne]]</f>
        <v>0</v>
      </c>
      <c r="K4009" s="7" t="str">
        <f>IFERROR(INDEX(tbl_ProduitsRef[Famille], MATCH(tbl_Ventes[[#This Row],[Cde_Prdt]], tbl_Produits[Cde_Prdt], 0)), "")</f>
        <v/>
      </c>
    </row>
    <row r="4010" spans="1:11" x14ac:dyDescent="0.25">
      <c r="A4010" s="5"/>
      <c r="B4010" s="63" t="str">
        <f>IFERROR(TEXT(tbl_Ventes[[#This Row],[Date]],"mm-aaaa"),"")</f>
        <v>01-1900</v>
      </c>
      <c r="D4010" s="10" t="str">
        <f>IFERROR(
   INDEX(tbl_ProduitsRef[Cde_Prdt],MATCH(tbl_Ventes[[#This Row],[Produit]],tbl_ProduitsRef[Produit],0)),
   ""
)</f>
        <v/>
      </c>
      <c r="E4010" s="7">
        <v>0</v>
      </c>
      <c r="F4010" s="7" t="str">
        <f>IFERROR(
   INDEX(tbl_ProduitsRef[Prix Menu],MATCH(tbl_Ventes[[#This Row],[Produit]],tbl_ProduitsRef[Produit],0)),
   ""
)</f>
        <v/>
      </c>
      <c r="G4010" s="7">
        <f>tbl_Ventes[[#This Row],[Qté Vendue]] * IFERROR(_xlfn.XLOOKUP(tbl_Ventes[[#This Row],[Cde_Prdt]], tbl_Produits[Cde_Prdt], tbl_Produits[Prix Menu]), 0)</f>
        <v>0</v>
      </c>
      <c r="H4010" s="7">
        <f>IFERROR(_xlfn.XLOOKUP(tbl_Ventes[[#This Row],[Cde_Prdt]], tbl_Produits[Cde_Prdt], tbl_Produits[Coût Moyen Portion]), 0)</f>
        <v>0</v>
      </c>
      <c r="I4010" s="7">
        <f>tbl_Ventes[[#This Row],[Qté Vendue]] * tbl_Ventes[[#This Row],[CMP_par_portion]]</f>
        <v>0</v>
      </c>
      <c r="J4010" s="7">
        <f>tbl_Ventes[[#This Row],[CA ligne]] - tbl_Ventes[[#This Row],[Coût matière ligne]]</f>
        <v>0</v>
      </c>
      <c r="K4010" s="7" t="str">
        <f>IFERROR(INDEX(tbl_ProduitsRef[Famille], MATCH(tbl_Ventes[[#This Row],[Cde_Prdt]], tbl_Produits[Cde_Prdt], 0)), "")</f>
        <v/>
      </c>
    </row>
    <row r="4011" spans="1:11" x14ac:dyDescent="0.25">
      <c r="A4011" s="5"/>
      <c r="B4011" s="63" t="str">
        <f>IFERROR(TEXT(tbl_Ventes[[#This Row],[Date]],"mm-aaaa"),"")</f>
        <v>01-1900</v>
      </c>
      <c r="D4011" s="10" t="str">
        <f>IFERROR(
   INDEX(tbl_ProduitsRef[Cde_Prdt],MATCH(tbl_Ventes[[#This Row],[Produit]],tbl_ProduitsRef[Produit],0)),
   ""
)</f>
        <v/>
      </c>
      <c r="E4011" s="7">
        <v>0</v>
      </c>
      <c r="F4011" s="7" t="str">
        <f>IFERROR(
   INDEX(tbl_ProduitsRef[Prix Menu],MATCH(tbl_Ventes[[#This Row],[Produit]],tbl_ProduitsRef[Produit],0)),
   ""
)</f>
        <v/>
      </c>
      <c r="G4011" s="7">
        <f>tbl_Ventes[[#This Row],[Qté Vendue]] * IFERROR(_xlfn.XLOOKUP(tbl_Ventes[[#This Row],[Cde_Prdt]], tbl_Produits[Cde_Prdt], tbl_Produits[Prix Menu]), 0)</f>
        <v>0</v>
      </c>
      <c r="H4011" s="7">
        <f>IFERROR(_xlfn.XLOOKUP(tbl_Ventes[[#This Row],[Cde_Prdt]], tbl_Produits[Cde_Prdt], tbl_Produits[Coût Moyen Portion]), 0)</f>
        <v>0</v>
      </c>
      <c r="I4011" s="7">
        <f>tbl_Ventes[[#This Row],[Qté Vendue]] * tbl_Ventes[[#This Row],[CMP_par_portion]]</f>
        <v>0</v>
      </c>
      <c r="J4011" s="7">
        <f>tbl_Ventes[[#This Row],[CA ligne]] - tbl_Ventes[[#This Row],[Coût matière ligne]]</f>
        <v>0</v>
      </c>
      <c r="K4011" s="7" t="str">
        <f>IFERROR(INDEX(tbl_ProduitsRef[Famille], MATCH(tbl_Ventes[[#This Row],[Cde_Prdt]], tbl_Produits[Cde_Prdt], 0)), "")</f>
        <v/>
      </c>
    </row>
    <row r="4012" spans="1:11" x14ac:dyDescent="0.25">
      <c r="A4012" s="5"/>
      <c r="B4012" s="63" t="str">
        <f>IFERROR(TEXT(tbl_Ventes[[#This Row],[Date]],"mm-aaaa"),"")</f>
        <v>01-1900</v>
      </c>
      <c r="D4012" s="10" t="str">
        <f>IFERROR(
   INDEX(tbl_ProduitsRef[Cde_Prdt],MATCH(tbl_Ventes[[#This Row],[Produit]],tbl_ProduitsRef[Produit],0)),
   ""
)</f>
        <v/>
      </c>
      <c r="E4012" s="7">
        <v>0</v>
      </c>
      <c r="F4012" s="7" t="str">
        <f>IFERROR(
   INDEX(tbl_ProduitsRef[Prix Menu],MATCH(tbl_Ventes[[#This Row],[Produit]],tbl_ProduitsRef[Produit],0)),
   ""
)</f>
        <v/>
      </c>
      <c r="G4012" s="7">
        <f>tbl_Ventes[[#This Row],[Qté Vendue]] * IFERROR(_xlfn.XLOOKUP(tbl_Ventes[[#This Row],[Cde_Prdt]], tbl_Produits[Cde_Prdt], tbl_Produits[Prix Menu]), 0)</f>
        <v>0</v>
      </c>
      <c r="H4012" s="7">
        <f>IFERROR(_xlfn.XLOOKUP(tbl_Ventes[[#This Row],[Cde_Prdt]], tbl_Produits[Cde_Prdt], tbl_Produits[Coût Moyen Portion]), 0)</f>
        <v>0</v>
      </c>
      <c r="I4012" s="7">
        <f>tbl_Ventes[[#This Row],[Qté Vendue]] * tbl_Ventes[[#This Row],[CMP_par_portion]]</f>
        <v>0</v>
      </c>
      <c r="J4012" s="7">
        <f>tbl_Ventes[[#This Row],[CA ligne]] - tbl_Ventes[[#This Row],[Coût matière ligne]]</f>
        <v>0</v>
      </c>
      <c r="K4012" s="7" t="str">
        <f>IFERROR(INDEX(tbl_ProduitsRef[Famille], MATCH(tbl_Ventes[[#This Row],[Cde_Prdt]], tbl_Produits[Cde_Prdt], 0)), "")</f>
        <v/>
      </c>
    </row>
    <row r="4013" spans="1:11" x14ac:dyDescent="0.25">
      <c r="A4013" s="5"/>
      <c r="B4013" s="63" t="str">
        <f>IFERROR(TEXT(tbl_Ventes[[#This Row],[Date]],"mm-aaaa"),"")</f>
        <v>01-1900</v>
      </c>
      <c r="D4013" s="10" t="str">
        <f>IFERROR(
   INDEX(tbl_ProduitsRef[Cde_Prdt],MATCH(tbl_Ventes[[#This Row],[Produit]],tbl_ProduitsRef[Produit],0)),
   ""
)</f>
        <v/>
      </c>
      <c r="E4013" s="7">
        <v>0</v>
      </c>
      <c r="F4013" s="7" t="str">
        <f>IFERROR(
   INDEX(tbl_ProduitsRef[Prix Menu],MATCH(tbl_Ventes[[#This Row],[Produit]],tbl_ProduitsRef[Produit],0)),
   ""
)</f>
        <v/>
      </c>
      <c r="G4013" s="7">
        <f>tbl_Ventes[[#This Row],[Qté Vendue]] * IFERROR(_xlfn.XLOOKUP(tbl_Ventes[[#This Row],[Cde_Prdt]], tbl_Produits[Cde_Prdt], tbl_Produits[Prix Menu]), 0)</f>
        <v>0</v>
      </c>
      <c r="H4013" s="7">
        <f>IFERROR(_xlfn.XLOOKUP(tbl_Ventes[[#This Row],[Cde_Prdt]], tbl_Produits[Cde_Prdt], tbl_Produits[Coût Moyen Portion]), 0)</f>
        <v>0</v>
      </c>
      <c r="I4013" s="7">
        <f>tbl_Ventes[[#This Row],[Qté Vendue]] * tbl_Ventes[[#This Row],[CMP_par_portion]]</f>
        <v>0</v>
      </c>
      <c r="J4013" s="7">
        <f>tbl_Ventes[[#This Row],[CA ligne]] - tbl_Ventes[[#This Row],[Coût matière ligne]]</f>
        <v>0</v>
      </c>
      <c r="K4013" s="7" t="str">
        <f>IFERROR(INDEX(tbl_ProduitsRef[Famille], MATCH(tbl_Ventes[[#This Row],[Cde_Prdt]], tbl_Produits[Cde_Prdt], 0)), "")</f>
        <v/>
      </c>
    </row>
    <row r="4014" spans="1:11" x14ac:dyDescent="0.25">
      <c r="A4014" s="5"/>
      <c r="B4014" s="63" t="str">
        <f>IFERROR(TEXT(tbl_Ventes[[#This Row],[Date]],"mm-aaaa"),"")</f>
        <v>01-1900</v>
      </c>
      <c r="D4014" s="10" t="str">
        <f>IFERROR(
   INDEX(tbl_ProduitsRef[Cde_Prdt],MATCH(tbl_Ventes[[#This Row],[Produit]],tbl_ProduitsRef[Produit],0)),
   ""
)</f>
        <v/>
      </c>
      <c r="E4014" s="7">
        <v>0</v>
      </c>
      <c r="F4014" s="7" t="str">
        <f>IFERROR(
   INDEX(tbl_ProduitsRef[Prix Menu],MATCH(tbl_Ventes[[#This Row],[Produit]],tbl_ProduitsRef[Produit],0)),
   ""
)</f>
        <v/>
      </c>
      <c r="G4014" s="7">
        <f>tbl_Ventes[[#This Row],[Qté Vendue]] * IFERROR(_xlfn.XLOOKUP(tbl_Ventes[[#This Row],[Cde_Prdt]], tbl_Produits[Cde_Prdt], tbl_Produits[Prix Menu]), 0)</f>
        <v>0</v>
      </c>
      <c r="H4014" s="7">
        <f>IFERROR(_xlfn.XLOOKUP(tbl_Ventes[[#This Row],[Cde_Prdt]], tbl_Produits[Cde_Prdt], tbl_Produits[Coût Moyen Portion]), 0)</f>
        <v>0</v>
      </c>
      <c r="I4014" s="7">
        <f>tbl_Ventes[[#This Row],[Qté Vendue]] * tbl_Ventes[[#This Row],[CMP_par_portion]]</f>
        <v>0</v>
      </c>
      <c r="J4014" s="7">
        <f>tbl_Ventes[[#This Row],[CA ligne]] - tbl_Ventes[[#This Row],[Coût matière ligne]]</f>
        <v>0</v>
      </c>
      <c r="K4014" s="7" t="str">
        <f>IFERROR(INDEX(tbl_ProduitsRef[Famille], MATCH(tbl_Ventes[[#This Row],[Cde_Prdt]], tbl_Produits[Cde_Prdt], 0)), "")</f>
        <v/>
      </c>
    </row>
    <row r="4015" spans="1:11" x14ac:dyDescent="0.25">
      <c r="A4015" s="5"/>
      <c r="B4015" s="63" t="str">
        <f>IFERROR(TEXT(tbl_Ventes[[#This Row],[Date]],"mm-aaaa"),"")</f>
        <v>01-1900</v>
      </c>
      <c r="D4015" s="10" t="str">
        <f>IFERROR(
   INDEX(tbl_ProduitsRef[Cde_Prdt],MATCH(tbl_Ventes[[#This Row],[Produit]],tbl_ProduitsRef[Produit],0)),
   ""
)</f>
        <v/>
      </c>
      <c r="E4015" s="7">
        <v>0</v>
      </c>
      <c r="F4015" s="7" t="str">
        <f>IFERROR(
   INDEX(tbl_ProduitsRef[Prix Menu],MATCH(tbl_Ventes[[#This Row],[Produit]],tbl_ProduitsRef[Produit],0)),
   ""
)</f>
        <v/>
      </c>
      <c r="G4015" s="7">
        <f>tbl_Ventes[[#This Row],[Qté Vendue]] * IFERROR(_xlfn.XLOOKUP(tbl_Ventes[[#This Row],[Cde_Prdt]], tbl_Produits[Cde_Prdt], tbl_Produits[Prix Menu]), 0)</f>
        <v>0</v>
      </c>
      <c r="H4015" s="7">
        <f>IFERROR(_xlfn.XLOOKUP(tbl_Ventes[[#This Row],[Cde_Prdt]], tbl_Produits[Cde_Prdt], tbl_Produits[Coût Moyen Portion]), 0)</f>
        <v>0</v>
      </c>
      <c r="I4015" s="7">
        <f>tbl_Ventes[[#This Row],[Qté Vendue]] * tbl_Ventes[[#This Row],[CMP_par_portion]]</f>
        <v>0</v>
      </c>
      <c r="J4015" s="7">
        <f>tbl_Ventes[[#This Row],[CA ligne]] - tbl_Ventes[[#This Row],[Coût matière ligne]]</f>
        <v>0</v>
      </c>
      <c r="K4015" s="7" t="str">
        <f>IFERROR(INDEX(tbl_ProduitsRef[Famille], MATCH(tbl_Ventes[[#This Row],[Cde_Prdt]], tbl_Produits[Cde_Prdt], 0)), "")</f>
        <v/>
      </c>
    </row>
    <row r="4016" spans="1:11" x14ac:dyDescent="0.25">
      <c r="A4016" s="5"/>
      <c r="B4016" s="63" t="str">
        <f>IFERROR(TEXT(tbl_Ventes[[#This Row],[Date]],"mm-aaaa"),"")</f>
        <v>01-1900</v>
      </c>
      <c r="D4016" s="10" t="str">
        <f>IFERROR(
   INDEX(tbl_ProduitsRef[Cde_Prdt],MATCH(tbl_Ventes[[#This Row],[Produit]],tbl_ProduitsRef[Produit],0)),
   ""
)</f>
        <v/>
      </c>
      <c r="E4016" s="7">
        <v>0</v>
      </c>
      <c r="F4016" s="7" t="str">
        <f>IFERROR(
   INDEX(tbl_ProduitsRef[Prix Menu],MATCH(tbl_Ventes[[#This Row],[Produit]],tbl_ProduitsRef[Produit],0)),
   ""
)</f>
        <v/>
      </c>
      <c r="G4016" s="7">
        <f>tbl_Ventes[[#This Row],[Qté Vendue]] * IFERROR(_xlfn.XLOOKUP(tbl_Ventes[[#This Row],[Cde_Prdt]], tbl_Produits[Cde_Prdt], tbl_Produits[Prix Menu]), 0)</f>
        <v>0</v>
      </c>
      <c r="H4016" s="7">
        <f>IFERROR(_xlfn.XLOOKUP(tbl_Ventes[[#This Row],[Cde_Prdt]], tbl_Produits[Cde_Prdt], tbl_Produits[Coût Moyen Portion]), 0)</f>
        <v>0</v>
      </c>
      <c r="I4016" s="7">
        <f>tbl_Ventes[[#This Row],[Qté Vendue]] * tbl_Ventes[[#This Row],[CMP_par_portion]]</f>
        <v>0</v>
      </c>
      <c r="J4016" s="7">
        <f>tbl_Ventes[[#This Row],[CA ligne]] - tbl_Ventes[[#This Row],[Coût matière ligne]]</f>
        <v>0</v>
      </c>
      <c r="K4016" s="7" t="str">
        <f>IFERROR(INDEX(tbl_ProduitsRef[Famille], MATCH(tbl_Ventes[[#This Row],[Cde_Prdt]], tbl_Produits[Cde_Prdt], 0)), "")</f>
        <v/>
      </c>
    </row>
    <row r="4017" spans="1:11" x14ac:dyDescent="0.25">
      <c r="A4017" s="5"/>
      <c r="B4017" s="63" t="str">
        <f>IFERROR(TEXT(tbl_Ventes[[#This Row],[Date]],"mm-aaaa"),"")</f>
        <v>01-1900</v>
      </c>
      <c r="D4017" s="10" t="str">
        <f>IFERROR(
   INDEX(tbl_ProduitsRef[Cde_Prdt],MATCH(tbl_Ventes[[#This Row],[Produit]],tbl_ProduitsRef[Produit],0)),
   ""
)</f>
        <v/>
      </c>
      <c r="E4017" s="7">
        <v>0</v>
      </c>
      <c r="F4017" s="7" t="str">
        <f>IFERROR(
   INDEX(tbl_ProduitsRef[Prix Menu],MATCH(tbl_Ventes[[#This Row],[Produit]],tbl_ProduitsRef[Produit],0)),
   ""
)</f>
        <v/>
      </c>
      <c r="G4017" s="7">
        <f>tbl_Ventes[[#This Row],[Qté Vendue]] * IFERROR(_xlfn.XLOOKUP(tbl_Ventes[[#This Row],[Cde_Prdt]], tbl_Produits[Cde_Prdt], tbl_Produits[Prix Menu]), 0)</f>
        <v>0</v>
      </c>
      <c r="H4017" s="7">
        <f>IFERROR(_xlfn.XLOOKUP(tbl_Ventes[[#This Row],[Cde_Prdt]], tbl_Produits[Cde_Prdt], tbl_Produits[Coût Moyen Portion]), 0)</f>
        <v>0</v>
      </c>
      <c r="I4017" s="7">
        <f>tbl_Ventes[[#This Row],[Qté Vendue]] * tbl_Ventes[[#This Row],[CMP_par_portion]]</f>
        <v>0</v>
      </c>
      <c r="J4017" s="7">
        <f>tbl_Ventes[[#This Row],[CA ligne]] - tbl_Ventes[[#This Row],[Coût matière ligne]]</f>
        <v>0</v>
      </c>
      <c r="K4017" s="7" t="str">
        <f>IFERROR(INDEX(tbl_ProduitsRef[Famille], MATCH(tbl_Ventes[[#This Row],[Cde_Prdt]], tbl_Produits[Cde_Prdt], 0)), "")</f>
        <v/>
      </c>
    </row>
    <row r="4018" spans="1:11" x14ac:dyDescent="0.25">
      <c r="A4018" s="5"/>
      <c r="B4018" s="63" t="str">
        <f>IFERROR(TEXT(tbl_Ventes[[#This Row],[Date]],"mm-aaaa"),"")</f>
        <v>01-1900</v>
      </c>
      <c r="D4018" s="10" t="str">
        <f>IFERROR(
   INDEX(tbl_ProduitsRef[Cde_Prdt],MATCH(tbl_Ventes[[#This Row],[Produit]],tbl_ProduitsRef[Produit],0)),
   ""
)</f>
        <v/>
      </c>
      <c r="E4018" s="7">
        <v>0</v>
      </c>
      <c r="F4018" s="7" t="str">
        <f>IFERROR(
   INDEX(tbl_ProduitsRef[Prix Menu],MATCH(tbl_Ventes[[#This Row],[Produit]],tbl_ProduitsRef[Produit],0)),
   ""
)</f>
        <v/>
      </c>
      <c r="G4018" s="7">
        <f>tbl_Ventes[[#This Row],[Qté Vendue]] * IFERROR(_xlfn.XLOOKUP(tbl_Ventes[[#This Row],[Cde_Prdt]], tbl_Produits[Cde_Prdt], tbl_Produits[Prix Menu]), 0)</f>
        <v>0</v>
      </c>
      <c r="H4018" s="7">
        <f>IFERROR(_xlfn.XLOOKUP(tbl_Ventes[[#This Row],[Cde_Prdt]], tbl_Produits[Cde_Prdt], tbl_Produits[Coût Moyen Portion]), 0)</f>
        <v>0</v>
      </c>
      <c r="I4018" s="7">
        <f>tbl_Ventes[[#This Row],[Qté Vendue]] * tbl_Ventes[[#This Row],[CMP_par_portion]]</f>
        <v>0</v>
      </c>
      <c r="J4018" s="7">
        <f>tbl_Ventes[[#This Row],[CA ligne]] - tbl_Ventes[[#This Row],[Coût matière ligne]]</f>
        <v>0</v>
      </c>
      <c r="K4018" s="7" t="str">
        <f>IFERROR(INDEX(tbl_ProduitsRef[Famille], MATCH(tbl_Ventes[[#This Row],[Cde_Prdt]], tbl_Produits[Cde_Prdt], 0)), "")</f>
        <v/>
      </c>
    </row>
    <row r="4019" spans="1:11" x14ac:dyDescent="0.25">
      <c r="A4019" s="5"/>
      <c r="B4019" s="63" t="str">
        <f>IFERROR(TEXT(tbl_Ventes[[#This Row],[Date]],"mm-aaaa"),"")</f>
        <v>01-1900</v>
      </c>
      <c r="D4019" s="10" t="str">
        <f>IFERROR(
   INDEX(tbl_ProduitsRef[Cde_Prdt],MATCH(tbl_Ventes[[#This Row],[Produit]],tbl_ProduitsRef[Produit],0)),
   ""
)</f>
        <v/>
      </c>
      <c r="E4019" s="7">
        <v>0</v>
      </c>
      <c r="F4019" s="7" t="str">
        <f>IFERROR(
   INDEX(tbl_ProduitsRef[Prix Menu],MATCH(tbl_Ventes[[#This Row],[Produit]],tbl_ProduitsRef[Produit],0)),
   ""
)</f>
        <v/>
      </c>
      <c r="G4019" s="7">
        <f>tbl_Ventes[[#This Row],[Qté Vendue]] * IFERROR(_xlfn.XLOOKUP(tbl_Ventes[[#This Row],[Cde_Prdt]], tbl_Produits[Cde_Prdt], tbl_Produits[Prix Menu]), 0)</f>
        <v>0</v>
      </c>
      <c r="H4019" s="7">
        <f>IFERROR(_xlfn.XLOOKUP(tbl_Ventes[[#This Row],[Cde_Prdt]], tbl_Produits[Cde_Prdt], tbl_Produits[Coût Moyen Portion]), 0)</f>
        <v>0</v>
      </c>
      <c r="I4019" s="7">
        <f>tbl_Ventes[[#This Row],[Qté Vendue]] * tbl_Ventes[[#This Row],[CMP_par_portion]]</f>
        <v>0</v>
      </c>
      <c r="J4019" s="7">
        <f>tbl_Ventes[[#This Row],[CA ligne]] - tbl_Ventes[[#This Row],[Coût matière ligne]]</f>
        <v>0</v>
      </c>
      <c r="K4019" s="7" t="str">
        <f>IFERROR(INDEX(tbl_ProduitsRef[Famille], MATCH(tbl_Ventes[[#This Row],[Cde_Prdt]], tbl_Produits[Cde_Prdt], 0)), "")</f>
        <v/>
      </c>
    </row>
    <row r="4020" spans="1:11" x14ac:dyDescent="0.25">
      <c r="A4020" s="5"/>
      <c r="B4020" s="63" t="str">
        <f>IFERROR(TEXT(tbl_Ventes[[#This Row],[Date]],"mm-aaaa"),"")</f>
        <v>01-1900</v>
      </c>
      <c r="D4020" s="10" t="str">
        <f>IFERROR(
   INDEX(tbl_ProduitsRef[Cde_Prdt],MATCH(tbl_Ventes[[#This Row],[Produit]],tbl_ProduitsRef[Produit],0)),
   ""
)</f>
        <v/>
      </c>
      <c r="E4020" s="7">
        <v>0</v>
      </c>
      <c r="F4020" s="7" t="str">
        <f>IFERROR(
   INDEX(tbl_ProduitsRef[Prix Menu],MATCH(tbl_Ventes[[#This Row],[Produit]],tbl_ProduitsRef[Produit],0)),
   ""
)</f>
        <v/>
      </c>
      <c r="G4020" s="7">
        <f>tbl_Ventes[[#This Row],[Qté Vendue]] * IFERROR(_xlfn.XLOOKUP(tbl_Ventes[[#This Row],[Cde_Prdt]], tbl_Produits[Cde_Prdt], tbl_Produits[Prix Menu]), 0)</f>
        <v>0</v>
      </c>
      <c r="H4020" s="7">
        <f>IFERROR(_xlfn.XLOOKUP(tbl_Ventes[[#This Row],[Cde_Prdt]], tbl_Produits[Cde_Prdt], tbl_Produits[Coût Moyen Portion]), 0)</f>
        <v>0</v>
      </c>
      <c r="I4020" s="7">
        <f>tbl_Ventes[[#This Row],[Qté Vendue]] * tbl_Ventes[[#This Row],[CMP_par_portion]]</f>
        <v>0</v>
      </c>
      <c r="J4020" s="7">
        <f>tbl_Ventes[[#This Row],[CA ligne]] - tbl_Ventes[[#This Row],[Coût matière ligne]]</f>
        <v>0</v>
      </c>
      <c r="K4020" s="7" t="str">
        <f>IFERROR(INDEX(tbl_ProduitsRef[Famille], MATCH(tbl_Ventes[[#This Row],[Cde_Prdt]], tbl_Produits[Cde_Prdt], 0)), "")</f>
        <v/>
      </c>
    </row>
    <row r="4021" spans="1:11" x14ac:dyDescent="0.25">
      <c r="A4021" s="5"/>
      <c r="B4021" s="63" t="str">
        <f>IFERROR(TEXT(tbl_Ventes[[#This Row],[Date]],"mm-aaaa"),"")</f>
        <v>01-1900</v>
      </c>
      <c r="D4021" s="10" t="str">
        <f>IFERROR(
   INDEX(tbl_ProduitsRef[Cde_Prdt],MATCH(tbl_Ventes[[#This Row],[Produit]],tbl_ProduitsRef[Produit],0)),
   ""
)</f>
        <v/>
      </c>
      <c r="E4021" s="7">
        <v>0</v>
      </c>
      <c r="F4021" s="7" t="str">
        <f>IFERROR(
   INDEX(tbl_ProduitsRef[Prix Menu],MATCH(tbl_Ventes[[#This Row],[Produit]],tbl_ProduitsRef[Produit],0)),
   ""
)</f>
        <v/>
      </c>
      <c r="G4021" s="7">
        <f>tbl_Ventes[[#This Row],[Qté Vendue]] * IFERROR(_xlfn.XLOOKUP(tbl_Ventes[[#This Row],[Cde_Prdt]], tbl_Produits[Cde_Prdt], tbl_Produits[Prix Menu]), 0)</f>
        <v>0</v>
      </c>
      <c r="H4021" s="7">
        <f>IFERROR(_xlfn.XLOOKUP(tbl_Ventes[[#This Row],[Cde_Prdt]], tbl_Produits[Cde_Prdt], tbl_Produits[Coût Moyen Portion]), 0)</f>
        <v>0</v>
      </c>
      <c r="I4021" s="7">
        <f>tbl_Ventes[[#This Row],[Qté Vendue]] * tbl_Ventes[[#This Row],[CMP_par_portion]]</f>
        <v>0</v>
      </c>
      <c r="J4021" s="7">
        <f>tbl_Ventes[[#This Row],[CA ligne]] - tbl_Ventes[[#This Row],[Coût matière ligne]]</f>
        <v>0</v>
      </c>
      <c r="K4021" s="7" t="str">
        <f>IFERROR(INDEX(tbl_ProduitsRef[Famille], MATCH(tbl_Ventes[[#This Row],[Cde_Prdt]], tbl_Produits[Cde_Prdt], 0)), "")</f>
        <v/>
      </c>
    </row>
    <row r="4022" spans="1:11" x14ac:dyDescent="0.25">
      <c r="A4022" s="5"/>
      <c r="B4022" s="63" t="str">
        <f>IFERROR(TEXT(tbl_Ventes[[#This Row],[Date]],"mm-aaaa"),"")</f>
        <v>01-1900</v>
      </c>
      <c r="D4022" s="10" t="str">
        <f>IFERROR(
   INDEX(tbl_ProduitsRef[Cde_Prdt],MATCH(tbl_Ventes[[#This Row],[Produit]],tbl_ProduitsRef[Produit],0)),
   ""
)</f>
        <v/>
      </c>
      <c r="E4022" s="7">
        <v>0</v>
      </c>
      <c r="F4022" s="7" t="str">
        <f>IFERROR(
   INDEX(tbl_ProduitsRef[Prix Menu],MATCH(tbl_Ventes[[#This Row],[Produit]],tbl_ProduitsRef[Produit],0)),
   ""
)</f>
        <v/>
      </c>
      <c r="G4022" s="7">
        <f>tbl_Ventes[[#This Row],[Qté Vendue]] * IFERROR(_xlfn.XLOOKUP(tbl_Ventes[[#This Row],[Cde_Prdt]], tbl_Produits[Cde_Prdt], tbl_Produits[Prix Menu]), 0)</f>
        <v>0</v>
      </c>
      <c r="H4022" s="7">
        <f>IFERROR(_xlfn.XLOOKUP(tbl_Ventes[[#This Row],[Cde_Prdt]], tbl_Produits[Cde_Prdt], tbl_Produits[Coût Moyen Portion]), 0)</f>
        <v>0</v>
      </c>
      <c r="I4022" s="7">
        <f>tbl_Ventes[[#This Row],[Qté Vendue]] * tbl_Ventes[[#This Row],[CMP_par_portion]]</f>
        <v>0</v>
      </c>
      <c r="J4022" s="7">
        <f>tbl_Ventes[[#This Row],[CA ligne]] - tbl_Ventes[[#This Row],[Coût matière ligne]]</f>
        <v>0</v>
      </c>
      <c r="K4022" s="7" t="str">
        <f>IFERROR(INDEX(tbl_ProduitsRef[Famille], MATCH(tbl_Ventes[[#This Row],[Cde_Prdt]], tbl_Produits[Cde_Prdt], 0)), "")</f>
        <v/>
      </c>
    </row>
    <row r="4023" spans="1:11" x14ac:dyDescent="0.25">
      <c r="A4023" s="5"/>
      <c r="B4023" s="63" t="str">
        <f>IFERROR(TEXT(tbl_Ventes[[#This Row],[Date]],"mm-aaaa"),"")</f>
        <v>01-1900</v>
      </c>
      <c r="D4023" s="10" t="str">
        <f>IFERROR(
   INDEX(tbl_ProduitsRef[Cde_Prdt],MATCH(tbl_Ventes[[#This Row],[Produit]],tbl_ProduitsRef[Produit],0)),
   ""
)</f>
        <v/>
      </c>
      <c r="E4023" s="7">
        <v>0</v>
      </c>
      <c r="F4023" s="7" t="str">
        <f>IFERROR(
   INDEX(tbl_ProduitsRef[Prix Menu],MATCH(tbl_Ventes[[#This Row],[Produit]],tbl_ProduitsRef[Produit],0)),
   ""
)</f>
        <v/>
      </c>
      <c r="G4023" s="7">
        <f>tbl_Ventes[[#This Row],[Qté Vendue]] * IFERROR(_xlfn.XLOOKUP(tbl_Ventes[[#This Row],[Cde_Prdt]], tbl_Produits[Cde_Prdt], tbl_Produits[Prix Menu]), 0)</f>
        <v>0</v>
      </c>
      <c r="H4023" s="7">
        <f>IFERROR(_xlfn.XLOOKUP(tbl_Ventes[[#This Row],[Cde_Prdt]], tbl_Produits[Cde_Prdt], tbl_Produits[Coût Moyen Portion]), 0)</f>
        <v>0</v>
      </c>
      <c r="I4023" s="7">
        <f>tbl_Ventes[[#This Row],[Qté Vendue]] * tbl_Ventes[[#This Row],[CMP_par_portion]]</f>
        <v>0</v>
      </c>
      <c r="J4023" s="7">
        <f>tbl_Ventes[[#This Row],[CA ligne]] - tbl_Ventes[[#This Row],[Coût matière ligne]]</f>
        <v>0</v>
      </c>
      <c r="K4023" s="7" t="str">
        <f>IFERROR(INDEX(tbl_ProduitsRef[Famille], MATCH(tbl_Ventes[[#This Row],[Cde_Prdt]], tbl_Produits[Cde_Prdt], 0)), "")</f>
        <v/>
      </c>
    </row>
    <row r="4024" spans="1:11" x14ac:dyDescent="0.25">
      <c r="A4024" s="5"/>
      <c r="B4024" s="63" t="str">
        <f>IFERROR(TEXT(tbl_Ventes[[#This Row],[Date]],"mm-aaaa"),"")</f>
        <v>01-1900</v>
      </c>
      <c r="D4024" s="10" t="str">
        <f>IFERROR(
   INDEX(tbl_ProduitsRef[Cde_Prdt],MATCH(tbl_Ventes[[#This Row],[Produit]],tbl_ProduitsRef[Produit],0)),
   ""
)</f>
        <v/>
      </c>
      <c r="E4024" s="7">
        <v>0</v>
      </c>
      <c r="F4024" s="7" t="str">
        <f>IFERROR(
   INDEX(tbl_ProduitsRef[Prix Menu],MATCH(tbl_Ventes[[#This Row],[Produit]],tbl_ProduitsRef[Produit],0)),
   ""
)</f>
        <v/>
      </c>
      <c r="G4024" s="7">
        <f>tbl_Ventes[[#This Row],[Qté Vendue]] * IFERROR(_xlfn.XLOOKUP(tbl_Ventes[[#This Row],[Cde_Prdt]], tbl_Produits[Cde_Prdt], tbl_Produits[Prix Menu]), 0)</f>
        <v>0</v>
      </c>
      <c r="H4024" s="7">
        <f>IFERROR(_xlfn.XLOOKUP(tbl_Ventes[[#This Row],[Cde_Prdt]], tbl_Produits[Cde_Prdt], tbl_Produits[Coût Moyen Portion]), 0)</f>
        <v>0</v>
      </c>
      <c r="I4024" s="7">
        <f>tbl_Ventes[[#This Row],[Qté Vendue]] * tbl_Ventes[[#This Row],[CMP_par_portion]]</f>
        <v>0</v>
      </c>
      <c r="J4024" s="7">
        <f>tbl_Ventes[[#This Row],[CA ligne]] - tbl_Ventes[[#This Row],[Coût matière ligne]]</f>
        <v>0</v>
      </c>
      <c r="K4024" s="7" t="str">
        <f>IFERROR(INDEX(tbl_ProduitsRef[Famille], MATCH(tbl_Ventes[[#This Row],[Cde_Prdt]], tbl_Produits[Cde_Prdt], 0)), "")</f>
        <v/>
      </c>
    </row>
    <row r="4025" spans="1:11" x14ac:dyDescent="0.25">
      <c r="A4025" s="5"/>
      <c r="B4025" s="63" t="str">
        <f>IFERROR(TEXT(tbl_Ventes[[#This Row],[Date]],"mm-aaaa"),"")</f>
        <v>01-1900</v>
      </c>
      <c r="D4025" s="10" t="str">
        <f>IFERROR(
   INDEX(tbl_ProduitsRef[Cde_Prdt],MATCH(tbl_Ventes[[#This Row],[Produit]],tbl_ProduitsRef[Produit],0)),
   ""
)</f>
        <v/>
      </c>
      <c r="E4025" s="7">
        <v>0</v>
      </c>
      <c r="F4025" s="7" t="str">
        <f>IFERROR(
   INDEX(tbl_ProduitsRef[Prix Menu],MATCH(tbl_Ventes[[#This Row],[Produit]],tbl_ProduitsRef[Produit],0)),
   ""
)</f>
        <v/>
      </c>
      <c r="G4025" s="7">
        <f>tbl_Ventes[[#This Row],[Qté Vendue]] * IFERROR(_xlfn.XLOOKUP(tbl_Ventes[[#This Row],[Cde_Prdt]], tbl_Produits[Cde_Prdt], tbl_Produits[Prix Menu]), 0)</f>
        <v>0</v>
      </c>
      <c r="H4025" s="7">
        <f>IFERROR(_xlfn.XLOOKUP(tbl_Ventes[[#This Row],[Cde_Prdt]], tbl_Produits[Cde_Prdt], tbl_Produits[Coût Moyen Portion]), 0)</f>
        <v>0</v>
      </c>
      <c r="I4025" s="7">
        <f>tbl_Ventes[[#This Row],[Qté Vendue]] * tbl_Ventes[[#This Row],[CMP_par_portion]]</f>
        <v>0</v>
      </c>
      <c r="J4025" s="7">
        <f>tbl_Ventes[[#This Row],[CA ligne]] - tbl_Ventes[[#This Row],[Coût matière ligne]]</f>
        <v>0</v>
      </c>
      <c r="K4025" s="7" t="str">
        <f>IFERROR(INDEX(tbl_ProduitsRef[Famille], MATCH(tbl_Ventes[[#This Row],[Cde_Prdt]], tbl_Produits[Cde_Prdt], 0)), "")</f>
        <v/>
      </c>
    </row>
    <row r="4026" spans="1:11" x14ac:dyDescent="0.25">
      <c r="A4026" s="5"/>
      <c r="B4026" s="63" t="str">
        <f>IFERROR(TEXT(tbl_Ventes[[#This Row],[Date]],"mm-aaaa"),"")</f>
        <v>01-1900</v>
      </c>
      <c r="D4026" s="10" t="str">
        <f>IFERROR(
   INDEX(tbl_ProduitsRef[Cde_Prdt],MATCH(tbl_Ventes[[#This Row],[Produit]],tbl_ProduitsRef[Produit],0)),
   ""
)</f>
        <v/>
      </c>
      <c r="E4026" s="7">
        <v>0</v>
      </c>
      <c r="F4026" s="7" t="str">
        <f>IFERROR(
   INDEX(tbl_ProduitsRef[Prix Menu],MATCH(tbl_Ventes[[#This Row],[Produit]],tbl_ProduitsRef[Produit],0)),
   ""
)</f>
        <v/>
      </c>
      <c r="G4026" s="7">
        <f>tbl_Ventes[[#This Row],[Qté Vendue]] * IFERROR(_xlfn.XLOOKUP(tbl_Ventes[[#This Row],[Cde_Prdt]], tbl_Produits[Cde_Prdt], tbl_Produits[Prix Menu]), 0)</f>
        <v>0</v>
      </c>
      <c r="H4026" s="7">
        <f>IFERROR(_xlfn.XLOOKUP(tbl_Ventes[[#This Row],[Cde_Prdt]], tbl_Produits[Cde_Prdt], tbl_Produits[Coût Moyen Portion]), 0)</f>
        <v>0</v>
      </c>
      <c r="I4026" s="7">
        <f>tbl_Ventes[[#This Row],[Qté Vendue]] * tbl_Ventes[[#This Row],[CMP_par_portion]]</f>
        <v>0</v>
      </c>
      <c r="J4026" s="7">
        <f>tbl_Ventes[[#This Row],[CA ligne]] - tbl_Ventes[[#This Row],[Coût matière ligne]]</f>
        <v>0</v>
      </c>
      <c r="K4026" s="7" t="str">
        <f>IFERROR(INDEX(tbl_ProduitsRef[Famille], MATCH(tbl_Ventes[[#This Row],[Cde_Prdt]], tbl_Produits[Cde_Prdt], 0)), "")</f>
        <v/>
      </c>
    </row>
    <row r="4027" spans="1:11" x14ac:dyDescent="0.25">
      <c r="A4027" s="5"/>
      <c r="B4027" s="63" t="str">
        <f>IFERROR(TEXT(tbl_Ventes[[#This Row],[Date]],"mm-aaaa"),"")</f>
        <v>01-1900</v>
      </c>
      <c r="D4027" s="10" t="str">
        <f>IFERROR(
   INDEX(tbl_ProduitsRef[Cde_Prdt],MATCH(tbl_Ventes[[#This Row],[Produit]],tbl_ProduitsRef[Produit],0)),
   ""
)</f>
        <v/>
      </c>
      <c r="E4027" s="7">
        <v>0</v>
      </c>
      <c r="F4027" s="7" t="str">
        <f>IFERROR(
   INDEX(tbl_ProduitsRef[Prix Menu],MATCH(tbl_Ventes[[#This Row],[Produit]],tbl_ProduitsRef[Produit],0)),
   ""
)</f>
        <v/>
      </c>
      <c r="G4027" s="7">
        <f>tbl_Ventes[[#This Row],[Qté Vendue]] * IFERROR(_xlfn.XLOOKUP(tbl_Ventes[[#This Row],[Cde_Prdt]], tbl_Produits[Cde_Prdt], tbl_Produits[Prix Menu]), 0)</f>
        <v>0</v>
      </c>
      <c r="H4027" s="7">
        <f>IFERROR(_xlfn.XLOOKUP(tbl_Ventes[[#This Row],[Cde_Prdt]], tbl_Produits[Cde_Prdt], tbl_Produits[Coût Moyen Portion]), 0)</f>
        <v>0</v>
      </c>
      <c r="I4027" s="7">
        <f>tbl_Ventes[[#This Row],[Qté Vendue]] * tbl_Ventes[[#This Row],[CMP_par_portion]]</f>
        <v>0</v>
      </c>
      <c r="J4027" s="7">
        <f>tbl_Ventes[[#This Row],[CA ligne]] - tbl_Ventes[[#This Row],[Coût matière ligne]]</f>
        <v>0</v>
      </c>
      <c r="K4027" s="7" t="str">
        <f>IFERROR(INDEX(tbl_ProduitsRef[Famille], MATCH(tbl_Ventes[[#This Row],[Cde_Prdt]], tbl_Produits[Cde_Prdt], 0)), "")</f>
        <v/>
      </c>
    </row>
    <row r="4028" spans="1:11" x14ac:dyDescent="0.25">
      <c r="A4028" s="5"/>
      <c r="B4028" s="63" t="str">
        <f>IFERROR(TEXT(tbl_Ventes[[#This Row],[Date]],"mm-aaaa"),"")</f>
        <v>01-1900</v>
      </c>
      <c r="D4028" s="10" t="str">
        <f>IFERROR(
   INDEX(tbl_ProduitsRef[Cde_Prdt],MATCH(tbl_Ventes[[#This Row],[Produit]],tbl_ProduitsRef[Produit],0)),
   ""
)</f>
        <v/>
      </c>
      <c r="E4028" s="7">
        <v>0</v>
      </c>
      <c r="F4028" s="7" t="str">
        <f>IFERROR(
   INDEX(tbl_ProduitsRef[Prix Menu],MATCH(tbl_Ventes[[#This Row],[Produit]],tbl_ProduitsRef[Produit],0)),
   ""
)</f>
        <v/>
      </c>
      <c r="G4028" s="7">
        <f>tbl_Ventes[[#This Row],[Qté Vendue]] * IFERROR(_xlfn.XLOOKUP(tbl_Ventes[[#This Row],[Cde_Prdt]], tbl_Produits[Cde_Prdt], tbl_Produits[Prix Menu]), 0)</f>
        <v>0</v>
      </c>
      <c r="H4028" s="7">
        <f>IFERROR(_xlfn.XLOOKUP(tbl_Ventes[[#This Row],[Cde_Prdt]], tbl_Produits[Cde_Prdt], tbl_Produits[Coût Moyen Portion]), 0)</f>
        <v>0</v>
      </c>
      <c r="I4028" s="7">
        <f>tbl_Ventes[[#This Row],[Qté Vendue]] * tbl_Ventes[[#This Row],[CMP_par_portion]]</f>
        <v>0</v>
      </c>
      <c r="J4028" s="7">
        <f>tbl_Ventes[[#This Row],[CA ligne]] - tbl_Ventes[[#This Row],[Coût matière ligne]]</f>
        <v>0</v>
      </c>
      <c r="K4028" s="7" t="str">
        <f>IFERROR(INDEX(tbl_ProduitsRef[Famille], MATCH(tbl_Ventes[[#This Row],[Cde_Prdt]], tbl_Produits[Cde_Prdt], 0)), "")</f>
        <v/>
      </c>
    </row>
    <row r="4029" spans="1:11" x14ac:dyDescent="0.25">
      <c r="A4029" s="5"/>
      <c r="B4029" s="63" t="str">
        <f>IFERROR(TEXT(tbl_Ventes[[#This Row],[Date]],"mm-aaaa"),"")</f>
        <v>01-1900</v>
      </c>
      <c r="D4029" s="10" t="str">
        <f>IFERROR(
   INDEX(tbl_ProduitsRef[Cde_Prdt],MATCH(tbl_Ventes[[#This Row],[Produit]],tbl_ProduitsRef[Produit],0)),
   ""
)</f>
        <v/>
      </c>
      <c r="E4029" s="7">
        <v>0</v>
      </c>
      <c r="F4029" s="7" t="str">
        <f>IFERROR(
   INDEX(tbl_ProduitsRef[Prix Menu],MATCH(tbl_Ventes[[#This Row],[Produit]],tbl_ProduitsRef[Produit],0)),
   ""
)</f>
        <v/>
      </c>
      <c r="G4029" s="7">
        <f>tbl_Ventes[[#This Row],[Qté Vendue]] * IFERROR(_xlfn.XLOOKUP(tbl_Ventes[[#This Row],[Cde_Prdt]], tbl_Produits[Cde_Prdt], tbl_Produits[Prix Menu]), 0)</f>
        <v>0</v>
      </c>
      <c r="H4029" s="7">
        <f>IFERROR(_xlfn.XLOOKUP(tbl_Ventes[[#This Row],[Cde_Prdt]], tbl_Produits[Cde_Prdt], tbl_Produits[Coût Moyen Portion]), 0)</f>
        <v>0</v>
      </c>
      <c r="I4029" s="7">
        <f>tbl_Ventes[[#This Row],[Qté Vendue]] * tbl_Ventes[[#This Row],[CMP_par_portion]]</f>
        <v>0</v>
      </c>
      <c r="J4029" s="7">
        <f>tbl_Ventes[[#This Row],[CA ligne]] - tbl_Ventes[[#This Row],[Coût matière ligne]]</f>
        <v>0</v>
      </c>
      <c r="K4029" s="7" t="str">
        <f>IFERROR(INDEX(tbl_ProduitsRef[Famille], MATCH(tbl_Ventes[[#This Row],[Cde_Prdt]], tbl_Produits[Cde_Prdt], 0)), "")</f>
        <v/>
      </c>
    </row>
    <row r="4030" spans="1:11" x14ac:dyDescent="0.25">
      <c r="A4030" s="5"/>
      <c r="B4030" s="63" t="str">
        <f>IFERROR(TEXT(tbl_Ventes[[#This Row],[Date]],"mm-aaaa"),"")</f>
        <v>01-1900</v>
      </c>
      <c r="D4030" s="10" t="str">
        <f>IFERROR(
   INDEX(tbl_ProduitsRef[Cde_Prdt],MATCH(tbl_Ventes[[#This Row],[Produit]],tbl_ProduitsRef[Produit],0)),
   ""
)</f>
        <v/>
      </c>
      <c r="E4030" s="7">
        <v>0</v>
      </c>
      <c r="F4030" s="7" t="str">
        <f>IFERROR(
   INDEX(tbl_ProduitsRef[Prix Menu],MATCH(tbl_Ventes[[#This Row],[Produit]],tbl_ProduitsRef[Produit],0)),
   ""
)</f>
        <v/>
      </c>
      <c r="G4030" s="7">
        <f>tbl_Ventes[[#This Row],[Qté Vendue]] * IFERROR(_xlfn.XLOOKUP(tbl_Ventes[[#This Row],[Cde_Prdt]], tbl_Produits[Cde_Prdt], tbl_Produits[Prix Menu]), 0)</f>
        <v>0</v>
      </c>
      <c r="H4030" s="7">
        <f>IFERROR(_xlfn.XLOOKUP(tbl_Ventes[[#This Row],[Cde_Prdt]], tbl_Produits[Cde_Prdt], tbl_Produits[Coût Moyen Portion]), 0)</f>
        <v>0</v>
      </c>
      <c r="I4030" s="7">
        <f>tbl_Ventes[[#This Row],[Qté Vendue]] * tbl_Ventes[[#This Row],[CMP_par_portion]]</f>
        <v>0</v>
      </c>
      <c r="J4030" s="7">
        <f>tbl_Ventes[[#This Row],[CA ligne]] - tbl_Ventes[[#This Row],[Coût matière ligne]]</f>
        <v>0</v>
      </c>
      <c r="K4030" s="7" t="str">
        <f>IFERROR(INDEX(tbl_ProduitsRef[Famille], MATCH(tbl_Ventes[[#This Row],[Cde_Prdt]], tbl_Produits[Cde_Prdt], 0)), "")</f>
        <v/>
      </c>
    </row>
    <row r="4031" spans="1:11" x14ac:dyDescent="0.25">
      <c r="A4031" s="5"/>
      <c r="B4031" s="63" t="str">
        <f>IFERROR(TEXT(tbl_Ventes[[#This Row],[Date]],"mm-aaaa"),"")</f>
        <v>01-1900</v>
      </c>
      <c r="D4031" s="10" t="str">
        <f>IFERROR(
   INDEX(tbl_ProduitsRef[Cde_Prdt],MATCH(tbl_Ventes[[#This Row],[Produit]],tbl_ProduitsRef[Produit],0)),
   ""
)</f>
        <v/>
      </c>
      <c r="E4031" s="7">
        <v>0</v>
      </c>
      <c r="F4031" s="7" t="str">
        <f>IFERROR(
   INDEX(tbl_ProduitsRef[Prix Menu],MATCH(tbl_Ventes[[#This Row],[Produit]],tbl_ProduitsRef[Produit],0)),
   ""
)</f>
        <v/>
      </c>
      <c r="G4031" s="7">
        <f>tbl_Ventes[[#This Row],[Qté Vendue]] * IFERROR(_xlfn.XLOOKUP(tbl_Ventes[[#This Row],[Cde_Prdt]], tbl_Produits[Cde_Prdt], tbl_Produits[Prix Menu]), 0)</f>
        <v>0</v>
      </c>
      <c r="H4031" s="7">
        <f>IFERROR(_xlfn.XLOOKUP(tbl_Ventes[[#This Row],[Cde_Prdt]], tbl_Produits[Cde_Prdt], tbl_Produits[Coût Moyen Portion]), 0)</f>
        <v>0</v>
      </c>
      <c r="I4031" s="7">
        <f>tbl_Ventes[[#This Row],[Qté Vendue]] * tbl_Ventes[[#This Row],[CMP_par_portion]]</f>
        <v>0</v>
      </c>
      <c r="J4031" s="7">
        <f>tbl_Ventes[[#This Row],[CA ligne]] - tbl_Ventes[[#This Row],[Coût matière ligne]]</f>
        <v>0</v>
      </c>
      <c r="K4031" s="7" t="str">
        <f>IFERROR(INDEX(tbl_ProduitsRef[Famille], MATCH(tbl_Ventes[[#This Row],[Cde_Prdt]], tbl_Produits[Cde_Prdt], 0)), "")</f>
        <v/>
      </c>
    </row>
    <row r="4032" spans="1:11" x14ac:dyDescent="0.25">
      <c r="A4032" s="5"/>
      <c r="B4032" s="63" t="str">
        <f>IFERROR(TEXT(tbl_Ventes[[#This Row],[Date]],"mm-aaaa"),"")</f>
        <v>01-1900</v>
      </c>
      <c r="D4032" s="10" t="str">
        <f>IFERROR(
   INDEX(tbl_ProduitsRef[Cde_Prdt],MATCH(tbl_Ventes[[#This Row],[Produit]],tbl_ProduitsRef[Produit],0)),
   ""
)</f>
        <v/>
      </c>
      <c r="E4032" s="7">
        <v>0</v>
      </c>
      <c r="F4032" s="7" t="str">
        <f>IFERROR(
   INDEX(tbl_ProduitsRef[Prix Menu],MATCH(tbl_Ventes[[#This Row],[Produit]],tbl_ProduitsRef[Produit],0)),
   ""
)</f>
        <v/>
      </c>
      <c r="G4032" s="7">
        <f>tbl_Ventes[[#This Row],[Qté Vendue]] * IFERROR(_xlfn.XLOOKUP(tbl_Ventes[[#This Row],[Cde_Prdt]], tbl_Produits[Cde_Prdt], tbl_Produits[Prix Menu]), 0)</f>
        <v>0</v>
      </c>
      <c r="H4032" s="7">
        <f>IFERROR(_xlfn.XLOOKUP(tbl_Ventes[[#This Row],[Cde_Prdt]], tbl_Produits[Cde_Prdt], tbl_Produits[Coût Moyen Portion]), 0)</f>
        <v>0</v>
      </c>
      <c r="I4032" s="7">
        <f>tbl_Ventes[[#This Row],[Qté Vendue]] * tbl_Ventes[[#This Row],[CMP_par_portion]]</f>
        <v>0</v>
      </c>
      <c r="J4032" s="7">
        <f>tbl_Ventes[[#This Row],[CA ligne]] - tbl_Ventes[[#This Row],[Coût matière ligne]]</f>
        <v>0</v>
      </c>
      <c r="K4032" s="7" t="str">
        <f>IFERROR(INDEX(tbl_ProduitsRef[Famille], MATCH(tbl_Ventes[[#This Row],[Cde_Prdt]], tbl_Produits[Cde_Prdt], 0)), "")</f>
        <v/>
      </c>
    </row>
    <row r="4033" spans="1:11" x14ac:dyDescent="0.25">
      <c r="A4033" s="5"/>
      <c r="B4033" s="63" t="str">
        <f>IFERROR(TEXT(tbl_Ventes[[#This Row],[Date]],"mm-aaaa"),"")</f>
        <v>01-1900</v>
      </c>
      <c r="D4033" s="10" t="str">
        <f>IFERROR(
   INDEX(tbl_ProduitsRef[Cde_Prdt],MATCH(tbl_Ventes[[#This Row],[Produit]],tbl_ProduitsRef[Produit],0)),
   ""
)</f>
        <v/>
      </c>
      <c r="E4033" s="7">
        <v>0</v>
      </c>
      <c r="F4033" s="7" t="str">
        <f>IFERROR(
   INDEX(tbl_ProduitsRef[Prix Menu],MATCH(tbl_Ventes[[#This Row],[Produit]],tbl_ProduitsRef[Produit],0)),
   ""
)</f>
        <v/>
      </c>
      <c r="G4033" s="7">
        <f>tbl_Ventes[[#This Row],[Qté Vendue]] * IFERROR(_xlfn.XLOOKUP(tbl_Ventes[[#This Row],[Cde_Prdt]], tbl_Produits[Cde_Prdt], tbl_Produits[Prix Menu]), 0)</f>
        <v>0</v>
      </c>
      <c r="H4033" s="7">
        <f>IFERROR(_xlfn.XLOOKUP(tbl_Ventes[[#This Row],[Cde_Prdt]], tbl_Produits[Cde_Prdt], tbl_Produits[Coût Moyen Portion]), 0)</f>
        <v>0</v>
      </c>
      <c r="I4033" s="7">
        <f>tbl_Ventes[[#This Row],[Qté Vendue]] * tbl_Ventes[[#This Row],[CMP_par_portion]]</f>
        <v>0</v>
      </c>
      <c r="J4033" s="7">
        <f>tbl_Ventes[[#This Row],[CA ligne]] - tbl_Ventes[[#This Row],[Coût matière ligne]]</f>
        <v>0</v>
      </c>
      <c r="K4033" s="7" t="str">
        <f>IFERROR(INDEX(tbl_ProduitsRef[Famille], MATCH(tbl_Ventes[[#This Row],[Cde_Prdt]], tbl_Produits[Cde_Prdt], 0)), "")</f>
        <v/>
      </c>
    </row>
    <row r="4034" spans="1:11" x14ac:dyDescent="0.25">
      <c r="A4034" s="5"/>
      <c r="B4034" s="63" t="str">
        <f>IFERROR(TEXT(tbl_Ventes[[#This Row],[Date]],"mm-aaaa"),"")</f>
        <v>01-1900</v>
      </c>
      <c r="D4034" s="10" t="str">
        <f>IFERROR(
   INDEX(tbl_ProduitsRef[Cde_Prdt],MATCH(tbl_Ventes[[#This Row],[Produit]],tbl_ProduitsRef[Produit],0)),
   ""
)</f>
        <v/>
      </c>
      <c r="E4034" s="7">
        <v>0</v>
      </c>
      <c r="F4034" s="7" t="str">
        <f>IFERROR(
   INDEX(tbl_ProduitsRef[Prix Menu],MATCH(tbl_Ventes[[#This Row],[Produit]],tbl_ProduitsRef[Produit],0)),
   ""
)</f>
        <v/>
      </c>
      <c r="G4034" s="7">
        <f>tbl_Ventes[[#This Row],[Qté Vendue]] * IFERROR(_xlfn.XLOOKUP(tbl_Ventes[[#This Row],[Cde_Prdt]], tbl_Produits[Cde_Prdt], tbl_Produits[Prix Menu]), 0)</f>
        <v>0</v>
      </c>
      <c r="H4034" s="7">
        <f>IFERROR(_xlfn.XLOOKUP(tbl_Ventes[[#This Row],[Cde_Prdt]], tbl_Produits[Cde_Prdt], tbl_Produits[Coût Moyen Portion]), 0)</f>
        <v>0</v>
      </c>
      <c r="I4034" s="7">
        <f>tbl_Ventes[[#This Row],[Qté Vendue]] * tbl_Ventes[[#This Row],[CMP_par_portion]]</f>
        <v>0</v>
      </c>
      <c r="J4034" s="7">
        <f>tbl_Ventes[[#This Row],[CA ligne]] - tbl_Ventes[[#This Row],[Coût matière ligne]]</f>
        <v>0</v>
      </c>
      <c r="K4034" s="7" t="str">
        <f>IFERROR(INDEX(tbl_ProduitsRef[Famille], MATCH(tbl_Ventes[[#This Row],[Cde_Prdt]], tbl_Produits[Cde_Prdt], 0)), "")</f>
        <v/>
      </c>
    </row>
    <row r="4035" spans="1:11" x14ac:dyDescent="0.25">
      <c r="A4035" s="5"/>
      <c r="B4035" s="63" t="str">
        <f>IFERROR(TEXT(tbl_Ventes[[#This Row],[Date]],"mm-aaaa"),"")</f>
        <v>01-1900</v>
      </c>
      <c r="D4035" s="10" t="str">
        <f>IFERROR(
   INDEX(tbl_ProduitsRef[Cde_Prdt],MATCH(tbl_Ventes[[#This Row],[Produit]],tbl_ProduitsRef[Produit],0)),
   ""
)</f>
        <v/>
      </c>
      <c r="E4035" s="7">
        <v>0</v>
      </c>
      <c r="F4035" s="7" t="str">
        <f>IFERROR(
   INDEX(tbl_ProduitsRef[Prix Menu],MATCH(tbl_Ventes[[#This Row],[Produit]],tbl_ProduitsRef[Produit],0)),
   ""
)</f>
        <v/>
      </c>
      <c r="G4035" s="7">
        <f>tbl_Ventes[[#This Row],[Qté Vendue]] * IFERROR(_xlfn.XLOOKUP(tbl_Ventes[[#This Row],[Cde_Prdt]], tbl_Produits[Cde_Prdt], tbl_Produits[Prix Menu]), 0)</f>
        <v>0</v>
      </c>
      <c r="H4035" s="7">
        <f>IFERROR(_xlfn.XLOOKUP(tbl_Ventes[[#This Row],[Cde_Prdt]], tbl_Produits[Cde_Prdt], tbl_Produits[Coût Moyen Portion]), 0)</f>
        <v>0</v>
      </c>
      <c r="I4035" s="7">
        <f>tbl_Ventes[[#This Row],[Qté Vendue]] * tbl_Ventes[[#This Row],[CMP_par_portion]]</f>
        <v>0</v>
      </c>
      <c r="J4035" s="7">
        <f>tbl_Ventes[[#This Row],[CA ligne]] - tbl_Ventes[[#This Row],[Coût matière ligne]]</f>
        <v>0</v>
      </c>
      <c r="K4035" s="7" t="str">
        <f>IFERROR(INDEX(tbl_ProduitsRef[Famille], MATCH(tbl_Ventes[[#This Row],[Cde_Prdt]], tbl_Produits[Cde_Prdt], 0)), "")</f>
        <v/>
      </c>
    </row>
    <row r="4036" spans="1:11" x14ac:dyDescent="0.25">
      <c r="A4036" s="5"/>
      <c r="B4036" s="63" t="str">
        <f>IFERROR(TEXT(tbl_Ventes[[#This Row],[Date]],"mm-aaaa"),"")</f>
        <v>01-1900</v>
      </c>
      <c r="D4036" s="10" t="str">
        <f>IFERROR(
   INDEX(tbl_ProduitsRef[Cde_Prdt],MATCH(tbl_Ventes[[#This Row],[Produit]],tbl_ProduitsRef[Produit],0)),
   ""
)</f>
        <v/>
      </c>
      <c r="E4036" s="7">
        <v>0</v>
      </c>
      <c r="F4036" s="7" t="str">
        <f>IFERROR(
   INDEX(tbl_ProduitsRef[Prix Menu],MATCH(tbl_Ventes[[#This Row],[Produit]],tbl_ProduitsRef[Produit],0)),
   ""
)</f>
        <v/>
      </c>
      <c r="G4036" s="7">
        <f>tbl_Ventes[[#This Row],[Qté Vendue]] * IFERROR(_xlfn.XLOOKUP(tbl_Ventes[[#This Row],[Cde_Prdt]], tbl_Produits[Cde_Prdt], tbl_Produits[Prix Menu]), 0)</f>
        <v>0</v>
      </c>
      <c r="H4036" s="7">
        <f>IFERROR(_xlfn.XLOOKUP(tbl_Ventes[[#This Row],[Cde_Prdt]], tbl_Produits[Cde_Prdt], tbl_Produits[Coût Moyen Portion]), 0)</f>
        <v>0</v>
      </c>
      <c r="I4036" s="7">
        <f>tbl_Ventes[[#This Row],[Qté Vendue]] * tbl_Ventes[[#This Row],[CMP_par_portion]]</f>
        <v>0</v>
      </c>
      <c r="J4036" s="7">
        <f>tbl_Ventes[[#This Row],[CA ligne]] - tbl_Ventes[[#This Row],[Coût matière ligne]]</f>
        <v>0</v>
      </c>
      <c r="K4036" s="7" t="str">
        <f>IFERROR(INDEX(tbl_ProduitsRef[Famille], MATCH(tbl_Ventes[[#This Row],[Cde_Prdt]], tbl_Produits[Cde_Prdt], 0)), "")</f>
        <v/>
      </c>
    </row>
    <row r="4037" spans="1:11" x14ac:dyDescent="0.25">
      <c r="A4037" s="5"/>
      <c r="B4037" s="63" t="str">
        <f>IFERROR(TEXT(tbl_Ventes[[#This Row],[Date]],"mm-aaaa"),"")</f>
        <v>01-1900</v>
      </c>
      <c r="D4037" s="10" t="str">
        <f>IFERROR(
   INDEX(tbl_ProduitsRef[Cde_Prdt],MATCH(tbl_Ventes[[#This Row],[Produit]],tbl_ProduitsRef[Produit],0)),
   ""
)</f>
        <v/>
      </c>
      <c r="E4037" s="7">
        <v>0</v>
      </c>
      <c r="F4037" s="7" t="str">
        <f>IFERROR(
   INDEX(tbl_ProduitsRef[Prix Menu],MATCH(tbl_Ventes[[#This Row],[Produit]],tbl_ProduitsRef[Produit],0)),
   ""
)</f>
        <v/>
      </c>
      <c r="G4037" s="7">
        <f>tbl_Ventes[[#This Row],[Qté Vendue]] * IFERROR(_xlfn.XLOOKUP(tbl_Ventes[[#This Row],[Cde_Prdt]], tbl_Produits[Cde_Prdt], tbl_Produits[Prix Menu]), 0)</f>
        <v>0</v>
      </c>
      <c r="H4037" s="7">
        <f>IFERROR(_xlfn.XLOOKUP(tbl_Ventes[[#This Row],[Cde_Prdt]], tbl_Produits[Cde_Prdt], tbl_Produits[Coût Moyen Portion]), 0)</f>
        <v>0</v>
      </c>
      <c r="I4037" s="7">
        <f>tbl_Ventes[[#This Row],[Qté Vendue]] * tbl_Ventes[[#This Row],[CMP_par_portion]]</f>
        <v>0</v>
      </c>
      <c r="J4037" s="7">
        <f>tbl_Ventes[[#This Row],[CA ligne]] - tbl_Ventes[[#This Row],[Coût matière ligne]]</f>
        <v>0</v>
      </c>
      <c r="K4037" s="7" t="str">
        <f>IFERROR(INDEX(tbl_ProduitsRef[Famille], MATCH(tbl_Ventes[[#This Row],[Cde_Prdt]], tbl_Produits[Cde_Prdt], 0)), "")</f>
        <v/>
      </c>
    </row>
    <row r="4038" spans="1:11" x14ac:dyDescent="0.25">
      <c r="A4038" s="5"/>
      <c r="B4038" s="63" t="str">
        <f>IFERROR(TEXT(tbl_Ventes[[#This Row],[Date]],"mm-aaaa"),"")</f>
        <v>01-1900</v>
      </c>
      <c r="D4038" s="10" t="str">
        <f>IFERROR(
   INDEX(tbl_ProduitsRef[Cde_Prdt],MATCH(tbl_Ventes[[#This Row],[Produit]],tbl_ProduitsRef[Produit],0)),
   ""
)</f>
        <v/>
      </c>
      <c r="E4038" s="7">
        <v>0</v>
      </c>
      <c r="F4038" s="7" t="str">
        <f>IFERROR(
   INDEX(tbl_ProduitsRef[Prix Menu],MATCH(tbl_Ventes[[#This Row],[Produit]],tbl_ProduitsRef[Produit],0)),
   ""
)</f>
        <v/>
      </c>
      <c r="G4038" s="7">
        <f>tbl_Ventes[[#This Row],[Qté Vendue]] * IFERROR(_xlfn.XLOOKUP(tbl_Ventes[[#This Row],[Cde_Prdt]], tbl_Produits[Cde_Prdt], tbl_Produits[Prix Menu]), 0)</f>
        <v>0</v>
      </c>
      <c r="H4038" s="7">
        <f>IFERROR(_xlfn.XLOOKUP(tbl_Ventes[[#This Row],[Cde_Prdt]], tbl_Produits[Cde_Prdt], tbl_Produits[Coût Moyen Portion]), 0)</f>
        <v>0</v>
      </c>
      <c r="I4038" s="7">
        <f>tbl_Ventes[[#This Row],[Qté Vendue]] * tbl_Ventes[[#This Row],[CMP_par_portion]]</f>
        <v>0</v>
      </c>
      <c r="J4038" s="7">
        <f>tbl_Ventes[[#This Row],[CA ligne]] - tbl_Ventes[[#This Row],[Coût matière ligne]]</f>
        <v>0</v>
      </c>
      <c r="K4038" s="7" t="str">
        <f>IFERROR(INDEX(tbl_ProduitsRef[Famille], MATCH(tbl_Ventes[[#This Row],[Cde_Prdt]], tbl_Produits[Cde_Prdt], 0)), "")</f>
        <v/>
      </c>
    </row>
    <row r="4039" spans="1:11" x14ac:dyDescent="0.25">
      <c r="A4039" s="5"/>
      <c r="B4039" s="63" t="str">
        <f>IFERROR(TEXT(tbl_Ventes[[#This Row],[Date]],"mm-aaaa"),"")</f>
        <v>01-1900</v>
      </c>
      <c r="D4039" s="10" t="str">
        <f>IFERROR(
   INDEX(tbl_ProduitsRef[Cde_Prdt],MATCH(tbl_Ventes[[#This Row],[Produit]],tbl_ProduitsRef[Produit],0)),
   ""
)</f>
        <v/>
      </c>
      <c r="E4039" s="7">
        <v>0</v>
      </c>
      <c r="F4039" s="7" t="str">
        <f>IFERROR(
   INDEX(tbl_ProduitsRef[Prix Menu],MATCH(tbl_Ventes[[#This Row],[Produit]],tbl_ProduitsRef[Produit],0)),
   ""
)</f>
        <v/>
      </c>
      <c r="G4039" s="7">
        <f>tbl_Ventes[[#This Row],[Qté Vendue]] * IFERROR(_xlfn.XLOOKUP(tbl_Ventes[[#This Row],[Cde_Prdt]], tbl_Produits[Cde_Prdt], tbl_Produits[Prix Menu]), 0)</f>
        <v>0</v>
      </c>
      <c r="H4039" s="7">
        <f>IFERROR(_xlfn.XLOOKUP(tbl_Ventes[[#This Row],[Cde_Prdt]], tbl_Produits[Cde_Prdt], tbl_Produits[Coût Moyen Portion]), 0)</f>
        <v>0</v>
      </c>
      <c r="I4039" s="7">
        <f>tbl_Ventes[[#This Row],[Qté Vendue]] * tbl_Ventes[[#This Row],[CMP_par_portion]]</f>
        <v>0</v>
      </c>
      <c r="J4039" s="7">
        <f>tbl_Ventes[[#This Row],[CA ligne]] - tbl_Ventes[[#This Row],[Coût matière ligne]]</f>
        <v>0</v>
      </c>
      <c r="K4039" s="7" t="str">
        <f>IFERROR(INDEX(tbl_ProduitsRef[Famille], MATCH(tbl_Ventes[[#This Row],[Cde_Prdt]], tbl_Produits[Cde_Prdt], 0)), "")</f>
        <v/>
      </c>
    </row>
    <row r="4040" spans="1:11" x14ac:dyDescent="0.25">
      <c r="A4040" s="5"/>
      <c r="B4040" s="63" t="str">
        <f>IFERROR(TEXT(tbl_Ventes[[#This Row],[Date]],"mm-aaaa"),"")</f>
        <v>01-1900</v>
      </c>
      <c r="D4040" s="10" t="str">
        <f>IFERROR(
   INDEX(tbl_ProduitsRef[Cde_Prdt],MATCH(tbl_Ventes[[#This Row],[Produit]],tbl_ProduitsRef[Produit],0)),
   ""
)</f>
        <v/>
      </c>
      <c r="E4040" s="7">
        <v>0</v>
      </c>
      <c r="F4040" s="7" t="str">
        <f>IFERROR(
   INDEX(tbl_ProduitsRef[Prix Menu],MATCH(tbl_Ventes[[#This Row],[Produit]],tbl_ProduitsRef[Produit],0)),
   ""
)</f>
        <v/>
      </c>
      <c r="G4040" s="7">
        <f>tbl_Ventes[[#This Row],[Qté Vendue]] * IFERROR(_xlfn.XLOOKUP(tbl_Ventes[[#This Row],[Cde_Prdt]], tbl_Produits[Cde_Prdt], tbl_Produits[Prix Menu]), 0)</f>
        <v>0</v>
      </c>
      <c r="H4040" s="7">
        <f>IFERROR(_xlfn.XLOOKUP(tbl_Ventes[[#This Row],[Cde_Prdt]], tbl_Produits[Cde_Prdt], tbl_Produits[Coût Moyen Portion]), 0)</f>
        <v>0</v>
      </c>
      <c r="I4040" s="7">
        <f>tbl_Ventes[[#This Row],[Qté Vendue]] * tbl_Ventes[[#This Row],[CMP_par_portion]]</f>
        <v>0</v>
      </c>
      <c r="J4040" s="7">
        <f>tbl_Ventes[[#This Row],[CA ligne]] - tbl_Ventes[[#This Row],[Coût matière ligne]]</f>
        <v>0</v>
      </c>
      <c r="K4040" s="7" t="str">
        <f>IFERROR(INDEX(tbl_ProduitsRef[Famille], MATCH(tbl_Ventes[[#This Row],[Cde_Prdt]], tbl_Produits[Cde_Prdt], 0)), "")</f>
        <v/>
      </c>
    </row>
    <row r="4041" spans="1:11" x14ac:dyDescent="0.25">
      <c r="A4041" s="5"/>
      <c r="B4041" s="63" t="str">
        <f>IFERROR(TEXT(tbl_Ventes[[#This Row],[Date]],"mm-aaaa"),"")</f>
        <v>01-1900</v>
      </c>
      <c r="D4041" s="10" t="str">
        <f>IFERROR(
   INDEX(tbl_ProduitsRef[Cde_Prdt],MATCH(tbl_Ventes[[#This Row],[Produit]],tbl_ProduitsRef[Produit],0)),
   ""
)</f>
        <v/>
      </c>
      <c r="E4041" s="7">
        <v>0</v>
      </c>
      <c r="F4041" s="7" t="str">
        <f>IFERROR(
   INDEX(tbl_ProduitsRef[Prix Menu],MATCH(tbl_Ventes[[#This Row],[Produit]],tbl_ProduitsRef[Produit],0)),
   ""
)</f>
        <v/>
      </c>
      <c r="G4041" s="7">
        <f>tbl_Ventes[[#This Row],[Qté Vendue]] * IFERROR(_xlfn.XLOOKUP(tbl_Ventes[[#This Row],[Cde_Prdt]], tbl_Produits[Cde_Prdt], tbl_Produits[Prix Menu]), 0)</f>
        <v>0</v>
      </c>
      <c r="H4041" s="7">
        <f>IFERROR(_xlfn.XLOOKUP(tbl_Ventes[[#This Row],[Cde_Prdt]], tbl_Produits[Cde_Prdt], tbl_Produits[Coût Moyen Portion]), 0)</f>
        <v>0</v>
      </c>
      <c r="I4041" s="7">
        <f>tbl_Ventes[[#This Row],[Qté Vendue]] * tbl_Ventes[[#This Row],[CMP_par_portion]]</f>
        <v>0</v>
      </c>
      <c r="J4041" s="7">
        <f>tbl_Ventes[[#This Row],[CA ligne]] - tbl_Ventes[[#This Row],[Coût matière ligne]]</f>
        <v>0</v>
      </c>
      <c r="K4041" s="7" t="str">
        <f>IFERROR(INDEX(tbl_ProduitsRef[Famille], MATCH(tbl_Ventes[[#This Row],[Cde_Prdt]], tbl_Produits[Cde_Prdt], 0)), "")</f>
        <v/>
      </c>
    </row>
    <row r="4042" spans="1:11" x14ac:dyDescent="0.25">
      <c r="A4042" s="5"/>
      <c r="B4042" s="63" t="str">
        <f>IFERROR(TEXT(tbl_Ventes[[#This Row],[Date]],"mm-aaaa"),"")</f>
        <v>01-1900</v>
      </c>
      <c r="D4042" s="10" t="str">
        <f>IFERROR(
   INDEX(tbl_ProduitsRef[Cde_Prdt],MATCH(tbl_Ventes[[#This Row],[Produit]],tbl_ProduitsRef[Produit],0)),
   ""
)</f>
        <v/>
      </c>
      <c r="E4042" s="7">
        <v>0</v>
      </c>
      <c r="F4042" s="7" t="str">
        <f>IFERROR(
   INDEX(tbl_ProduitsRef[Prix Menu],MATCH(tbl_Ventes[[#This Row],[Produit]],tbl_ProduitsRef[Produit],0)),
   ""
)</f>
        <v/>
      </c>
      <c r="G4042" s="7">
        <f>tbl_Ventes[[#This Row],[Qté Vendue]] * IFERROR(_xlfn.XLOOKUP(tbl_Ventes[[#This Row],[Cde_Prdt]], tbl_Produits[Cde_Prdt], tbl_Produits[Prix Menu]), 0)</f>
        <v>0</v>
      </c>
      <c r="H4042" s="7">
        <f>IFERROR(_xlfn.XLOOKUP(tbl_Ventes[[#This Row],[Cde_Prdt]], tbl_Produits[Cde_Prdt], tbl_Produits[Coût Moyen Portion]), 0)</f>
        <v>0</v>
      </c>
      <c r="I4042" s="7">
        <f>tbl_Ventes[[#This Row],[Qté Vendue]] * tbl_Ventes[[#This Row],[CMP_par_portion]]</f>
        <v>0</v>
      </c>
      <c r="J4042" s="7">
        <f>tbl_Ventes[[#This Row],[CA ligne]] - tbl_Ventes[[#This Row],[Coût matière ligne]]</f>
        <v>0</v>
      </c>
      <c r="K4042" s="7" t="str">
        <f>IFERROR(INDEX(tbl_ProduitsRef[Famille], MATCH(tbl_Ventes[[#This Row],[Cde_Prdt]], tbl_Produits[Cde_Prdt], 0)), "")</f>
        <v/>
      </c>
    </row>
    <row r="4043" spans="1:11" x14ac:dyDescent="0.25">
      <c r="A4043" s="5"/>
      <c r="B4043" s="63" t="str">
        <f>IFERROR(TEXT(tbl_Ventes[[#This Row],[Date]],"mm-aaaa"),"")</f>
        <v>01-1900</v>
      </c>
      <c r="D4043" s="10" t="str">
        <f>IFERROR(
   INDEX(tbl_ProduitsRef[Cde_Prdt],MATCH(tbl_Ventes[[#This Row],[Produit]],tbl_ProduitsRef[Produit],0)),
   ""
)</f>
        <v/>
      </c>
      <c r="E4043" s="7">
        <v>0</v>
      </c>
      <c r="F4043" s="7" t="str">
        <f>IFERROR(
   INDEX(tbl_ProduitsRef[Prix Menu],MATCH(tbl_Ventes[[#This Row],[Produit]],tbl_ProduitsRef[Produit],0)),
   ""
)</f>
        <v/>
      </c>
      <c r="G4043" s="7">
        <f>tbl_Ventes[[#This Row],[Qté Vendue]] * IFERROR(_xlfn.XLOOKUP(tbl_Ventes[[#This Row],[Cde_Prdt]], tbl_Produits[Cde_Prdt], tbl_Produits[Prix Menu]), 0)</f>
        <v>0</v>
      </c>
      <c r="H4043" s="7">
        <f>IFERROR(_xlfn.XLOOKUP(tbl_Ventes[[#This Row],[Cde_Prdt]], tbl_Produits[Cde_Prdt], tbl_Produits[Coût Moyen Portion]), 0)</f>
        <v>0</v>
      </c>
      <c r="I4043" s="7">
        <f>tbl_Ventes[[#This Row],[Qté Vendue]] * tbl_Ventes[[#This Row],[CMP_par_portion]]</f>
        <v>0</v>
      </c>
      <c r="J4043" s="7">
        <f>tbl_Ventes[[#This Row],[CA ligne]] - tbl_Ventes[[#This Row],[Coût matière ligne]]</f>
        <v>0</v>
      </c>
      <c r="K4043" s="7" t="str">
        <f>IFERROR(INDEX(tbl_ProduitsRef[Famille], MATCH(tbl_Ventes[[#This Row],[Cde_Prdt]], tbl_Produits[Cde_Prdt], 0)), "")</f>
        <v/>
      </c>
    </row>
    <row r="4044" spans="1:11" x14ac:dyDescent="0.25">
      <c r="A4044" s="5"/>
      <c r="B4044" s="63" t="str">
        <f>IFERROR(TEXT(tbl_Ventes[[#This Row],[Date]],"mm-aaaa"),"")</f>
        <v>01-1900</v>
      </c>
      <c r="D4044" s="10" t="str">
        <f>IFERROR(
   INDEX(tbl_ProduitsRef[Cde_Prdt],MATCH(tbl_Ventes[[#This Row],[Produit]],tbl_ProduitsRef[Produit],0)),
   ""
)</f>
        <v/>
      </c>
      <c r="E4044" s="7">
        <v>0</v>
      </c>
      <c r="F4044" s="7" t="str">
        <f>IFERROR(
   INDEX(tbl_ProduitsRef[Prix Menu],MATCH(tbl_Ventes[[#This Row],[Produit]],tbl_ProduitsRef[Produit],0)),
   ""
)</f>
        <v/>
      </c>
      <c r="G4044" s="7">
        <f>tbl_Ventes[[#This Row],[Qté Vendue]] * IFERROR(_xlfn.XLOOKUP(tbl_Ventes[[#This Row],[Cde_Prdt]], tbl_Produits[Cde_Prdt], tbl_Produits[Prix Menu]), 0)</f>
        <v>0</v>
      </c>
      <c r="H4044" s="7">
        <f>IFERROR(_xlfn.XLOOKUP(tbl_Ventes[[#This Row],[Cde_Prdt]], tbl_Produits[Cde_Prdt], tbl_Produits[Coût Moyen Portion]), 0)</f>
        <v>0</v>
      </c>
      <c r="I4044" s="7">
        <f>tbl_Ventes[[#This Row],[Qté Vendue]] * tbl_Ventes[[#This Row],[CMP_par_portion]]</f>
        <v>0</v>
      </c>
      <c r="J4044" s="7">
        <f>tbl_Ventes[[#This Row],[CA ligne]] - tbl_Ventes[[#This Row],[Coût matière ligne]]</f>
        <v>0</v>
      </c>
      <c r="K4044" s="7" t="str">
        <f>IFERROR(INDEX(tbl_ProduitsRef[Famille], MATCH(tbl_Ventes[[#This Row],[Cde_Prdt]], tbl_Produits[Cde_Prdt], 0)), "")</f>
        <v/>
      </c>
    </row>
    <row r="4045" spans="1:11" x14ac:dyDescent="0.25">
      <c r="A4045" s="5"/>
      <c r="B4045" s="63" t="str">
        <f>IFERROR(TEXT(tbl_Ventes[[#This Row],[Date]],"mm-aaaa"),"")</f>
        <v>01-1900</v>
      </c>
      <c r="D4045" s="10" t="str">
        <f>IFERROR(
   INDEX(tbl_ProduitsRef[Cde_Prdt],MATCH(tbl_Ventes[[#This Row],[Produit]],tbl_ProduitsRef[Produit],0)),
   ""
)</f>
        <v/>
      </c>
      <c r="E4045" s="7">
        <v>0</v>
      </c>
      <c r="F4045" s="7" t="str">
        <f>IFERROR(
   INDEX(tbl_ProduitsRef[Prix Menu],MATCH(tbl_Ventes[[#This Row],[Produit]],tbl_ProduitsRef[Produit],0)),
   ""
)</f>
        <v/>
      </c>
      <c r="G4045" s="7">
        <f>tbl_Ventes[[#This Row],[Qté Vendue]] * IFERROR(_xlfn.XLOOKUP(tbl_Ventes[[#This Row],[Cde_Prdt]], tbl_Produits[Cde_Prdt], tbl_Produits[Prix Menu]), 0)</f>
        <v>0</v>
      </c>
      <c r="H4045" s="7">
        <f>IFERROR(_xlfn.XLOOKUP(tbl_Ventes[[#This Row],[Cde_Prdt]], tbl_Produits[Cde_Prdt], tbl_Produits[Coût Moyen Portion]), 0)</f>
        <v>0</v>
      </c>
      <c r="I4045" s="7">
        <f>tbl_Ventes[[#This Row],[Qté Vendue]] * tbl_Ventes[[#This Row],[CMP_par_portion]]</f>
        <v>0</v>
      </c>
      <c r="J4045" s="7">
        <f>tbl_Ventes[[#This Row],[CA ligne]] - tbl_Ventes[[#This Row],[Coût matière ligne]]</f>
        <v>0</v>
      </c>
      <c r="K4045" s="7" t="str">
        <f>IFERROR(INDEX(tbl_ProduitsRef[Famille], MATCH(tbl_Ventes[[#This Row],[Cde_Prdt]], tbl_Produits[Cde_Prdt], 0)), "")</f>
        <v/>
      </c>
    </row>
    <row r="4046" spans="1:11" x14ac:dyDescent="0.25">
      <c r="A4046" s="5"/>
      <c r="B4046" s="63" t="str">
        <f>IFERROR(TEXT(tbl_Ventes[[#This Row],[Date]],"mm-aaaa"),"")</f>
        <v>01-1900</v>
      </c>
      <c r="D4046" s="10" t="str">
        <f>IFERROR(
   INDEX(tbl_ProduitsRef[Cde_Prdt],MATCH(tbl_Ventes[[#This Row],[Produit]],tbl_ProduitsRef[Produit],0)),
   ""
)</f>
        <v/>
      </c>
      <c r="E4046" s="7">
        <v>0</v>
      </c>
      <c r="F4046" s="7" t="str">
        <f>IFERROR(
   INDEX(tbl_ProduitsRef[Prix Menu],MATCH(tbl_Ventes[[#This Row],[Produit]],tbl_ProduitsRef[Produit],0)),
   ""
)</f>
        <v/>
      </c>
      <c r="G4046" s="7">
        <f>tbl_Ventes[[#This Row],[Qté Vendue]] * IFERROR(_xlfn.XLOOKUP(tbl_Ventes[[#This Row],[Cde_Prdt]], tbl_Produits[Cde_Prdt], tbl_Produits[Prix Menu]), 0)</f>
        <v>0</v>
      </c>
      <c r="H4046" s="7">
        <f>IFERROR(_xlfn.XLOOKUP(tbl_Ventes[[#This Row],[Cde_Prdt]], tbl_Produits[Cde_Prdt], tbl_Produits[Coût Moyen Portion]), 0)</f>
        <v>0</v>
      </c>
      <c r="I4046" s="7">
        <f>tbl_Ventes[[#This Row],[Qté Vendue]] * tbl_Ventes[[#This Row],[CMP_par_portion]]</f>
        <v>0</v>
      </c>
      <c r="J4046" s="7">
        <f>tbl_Ventes[[#This Row],[CA ligne]] - tbl_Ventes[[#This Row],[Coût matière ligne]]</f>
        <v>0</v>
      </c>
      <c r="K4046" s="7" t="str">
        <f>IFERROR(INDEX(tbl_ProduitsRef[Famille], MATCH(tbl_Ventes[[#This Row],[Cde_Prdt]], tbl_Produits[Cde_Prdt], 0)), "")</f>
        <v/>
      </c>
    </row>
    <row r="4047" spans="1:11" x14ac:dyDescent="0.25">
      <c r="A4047" s="5"/>
      <c r="B4047" s="63" t="str">
        <f>IFERROR(TEXT(tbl_Ventes[[#This Row],[Date]],"mm-aaaa"),"")</f>
        <v>01-1900</v>
      </c>
      <c r="D4047" s="10" t="str">
        <f>IFERROR(
   INDEX(tbl_ProduitsRef[Cde_Prdt],MATCH(tbl_Ventes[[#This Row],[Produit]],tbl_ProduitsRef[Produit],0)),
   ""
)</f>
        <v/>
      </c>
      <c r="E4047" s="7">
        <v>0</v>
      </c>
      <c r="F4047" s="7" t="str">
        <f>IFERROR(
   INDEX(tbl_ProduitsRef[Prix Menu],MATCH(tbl_Ventes[[#This Row],[Produit]],tbl_ProduitsRef[Produit],0)),
   ""
)</f>
        <v/>
      </c>
      <c r="G4047" s="7">
        <f>tbl_Ventes[[#This Row],[Qté Vendue]] * IFERROR(_xlfn.XLOOKUP(tbl_Ventes[[#This Row],[Cde_Prdt]], tbl_Produits[Cde_Prdt], tbl_Produits[Prix Menu]), 0)</f>
        <v>0</v>
      </c>
      <c r="H4047" s="7">
        <f>IFERROR(_xlfn.XLOOKUP(tbl_Ventes[[#This Row],[Cde_Prdt]], tbl_Produits[Cde_Prdt], tbl_Produits[Coût Moyen Portion]), 0)</f>
        <v>0</v>
      </c>
      <c r="I4047" s="7">
        <f>tbl_Ventes[[#This Row],[Qté Vendue]] * tbl_Ventes[[#This Row],[CMP_par_portion]]</f>
        <v>0</v>
      </c>
      <c r="J4047" s="7">
        <f>tbl_Ventes[[#This Row],[CA ligne]] - tbl_Ventes[[#This Row],[Coût matière ligne]]</f>
        <v>0</v>
      </c>
      <c r="K4047" s="7" t="str">
        <f>IFERROR(INDEX(tbl_ProduitsRef[Famille], MATCH(tbl_Ventes[[#This Row],[Cde_Prdt]], tbl_Produits[Cde_Prdt], 0)), "")</f>
        <v/>
      </c>
    </row>
    <row r="4048" spans="1:11" x14ac:dyDescent="0.25">
      <c r="A4048" s="5"/>
      <c r="B4048" s="63" t="str">
        <f>IFERROR(TEXT(tbl_Ventes[[#This Row],[Date]],"mm-aaaa"),"")</f>
        <v>01-1900</v>
      </c>
      <c r="D4048" s="10" t="str">
        <f>IFERROR(
   INDEX(tbl_ProduitsRef[Cde_Prdt],MATCH(tbl_Ventes[[#This Row],[Produit]],tbl_ProduitsRef[Produit],0)),
   ""
)</f>
        <v/>
      </c>
      <c r="E4048" s="7">
        <v>0</v>
      </c>
      <c r="F4048" s="7" t="str">
        <f>IFERROR(
   INDEX(tbl_ProduitsRef[Prix Menu],MATCH(tbl_Ventes[[#This Row],[Produit]],tbl_ProduitsRef[Produit],0)),
   ""
)</f>
        <v/>
      </c>
      <c r="G4048" s="7">
        <f>tbl_Ventes[[#This Row],[Qté Vendue]] * IFERROR(_xlfn.XLOOKUP(tbl_Ventes[[#This Row],[Cde_Prdt]], tbl_Produits[Cde_Prdt], tbl_Produits[Prix Menu]), 0)</f>
        <v>0</v>
      </c>
      <c r="H4048" s="7">
        <f>IFERROR(_xlfn.XLOOKUP(tbl_Ventes[[#This Row],[Cde_Prdt]], tbl_Produits[Cde_Prdt], tbl_Produits[Coût Moyen Portion]), 0)</f>
        <v>0</v>
      </c>
      <c r="I4048" s="7">
        <f>tbl_Ventes[[#This Row],[Qté Vendue]] * tbl_Ventes[[#This Row],[CMP_par_portion]]</f>
        <v>0</v>
      </c>
      <c r="J4048" s="7">
        <f>tbl_Ventes[[#This Row],[CA ligne]] - tbl_Ventes[[#This Row],[Coût matière ligne]]</f>
        <v>0</v>
      </c>
      <c r="K4048" s="7" t="str">
        <f>IFERROR(INDEX(tbl_ProduitsRef[Famille], MATCH(tbl_Ventes[[#This Row],[Cde_Prdt]], tbl_Produits[Cde_Prdt], 0)), "")</f>
        <v/>
      </c>
    </row>
    <row r="4049" spans="1:11" x14ac:dyDescent="0.25">
      <c r="A4049" s="5"/>
      <c r="B4049" s="63" t="str">
        <f>IFERROR(TEXT(tbl_Ventes[[#This Row],[Date]],"mm-aaaa"),"")</f>
        <v>01-1900</v>
      </c>
      <c r="D4049" s="10" t="str">
        <f>IFERROR(
   INDEX(tbl_ProduitsRef[Cde_Prdt],MATCH(tbl_Ventes[[#This Row],[Produit]],tbl_ProduitsRef[Produit],0)),
   ""
)</f>
        <v/>
      </c>
      <c r="E4049" s="7">
        <v>0</v>
      </c>
      <c r="F4049" s="7" t="str">
        <f>IFERROR(
   INDEX(tbl_ProduitsRef[Prix Menu],MATCH(tbl_Ventes[[#This Row],[Produit]],tbl_ProduitsRef[Produit],0)),
   ""
)</f>
        <v/>
      </c>
      <c r="G4049" s="7">
        <f>tbl_Ventes[[#This Row],[Qté Vendue]] * IFERROR(_xlfn.XLOOKUP(tbl_Ventes[[#This Row],[Cde_Prdt]], tbl_Produits[Cde_Prdt], tbl_Produits[Prix Menu]), 0)</f>
        <v>0</v>
      </c>
      <c r="H4049" s="7">
        <f>IFERROR(_xlfn.XLOOKUP(tbl_Ventes[[#This Row],[Cde_Prdt]], tbl_Produits[Cde_Prdt], tbl_Produits[Coût Moyen Portion]), 0)</f>
        <v>0</v>
      </c>
      <c r="I4049" s="7">
        <f>tbl_Ventes[[#This Row],[Qté Vendue]] * tbl_Ventes[[#This Row],[CMP_par_portion]]</f>
        <v>0</v>
      </c>
      <c r="J4049" s="7">
        <f>tbl_Ventes[[#This Row],[CA ligne]] - tbl_Ventes[[#This Row],[Coût matière ligne]]</f>
        <v>0</v>
      </c>
      <c r="K4049" s="7" t="str">
        <f>IFERROR(INDEX(tbl_ProduitsRef[Famille], MATCH(tbl_Ventes[[#This Row],[Cde_Prdt]], tbl_Produits[Cde_Prdt], 0)), "")</f>
        <v/>
      </c>
    </row>
    <row r="4050" spans="1:11" x14ac:dyDescent="0.25">
      <c r="A4050" s="5"/>
      <c r="B4050" s="63" t="str">
        <f>IFERROR(TEXT(tbl_Ventes[[#This Row],[Date]],"mm-aaaa"),"")</f>
        <v>01-1900</v>
      </c>
      <c r="D4050" s="10" t="str">
        <f>IFERROR(
   INDEX(tbl_ProduitsRef[Cde_Prdt],MATCH(tbl_Ventes[[#This Row],[Produit]],tbl_ProduitsRef[Produit],0)),
   ""
)</f>
        <v/>
      </c>
      <c r="E4050" s="7">
        <v>0</v>
      </c>
      <c r="F4050" s="7" t="str">
        <f>IFERROR(
   INDEX(tbl_ProduitsRef[Prix Menu],MATCH(tbl_Ventes[[#This Row],[Produit]],tbl_ProduitsRef[Produit],0)),
   ""
)</f>
        <v/>
      </c>
      <c r="G4050" s="7">
        <f>tbl_Ventes[[#This Row],[Qté Vendue]] * IFERROR(_xlfn.XLOOKUP(tbl_Ventes[[#This Row],[Cde_Prdt]], tbl_Produits[Cde_Prdt], tbl_Produits[Prix Menu]), 0)</f>
        <v>0</v>
      </c>
      <c r="H4050" s="7">
        <f>IFERROR(_xlfn.XLOOKUP(tbl_Ventes[[#This Row],[Cde_Prdt]], tbl_Produits[Cde_Prdt], tbl_Produits[Coût Moyen Portion]), 0)</f>
        <v>0</v>
      </c>
      <c r="I4050" s="7">
        <f>tbl_Ventes[[#This Row],[Qté Vendue]] * tbl_Ventes[[#This Row],[CMP_par_portion]]</f>
        <v>0</v>
      </c>
      <c r="J4050" s="7">
        <f>tbl_Ventes[[#This Row],[CA ligne]] - tbl_Ventes[[#This Row],[Coût matière ligne]]</f>
        <v>0</v>
      </c>
      <c r="K4050" s="7" t="str">
        <f>IFERROR(INDEX(tbl_ProduitsRef[Famille], MATCH(tbl_Ventes[[#This Row],[Cde_Prdt]], tbl_Produits[Cde_Prdt], 0)), "")</f>
        <v/>
      </c>
    </row>
    <row r="4051" spans="1:11" x14ac:dyDescent="0.25">
      <c r="A4051" s="5"/>
      <c r="B4051" s="63" t="str">
        <f>IFERROR(TEXT(tbl_Ventes[[#This Row],[Date]],"mm-aaaa"),"")</f>
        <v>01-1900</v>
      </c>
      <c r="D4051" s="10" t="str">
        <f>IFERROR(
   INDEX(tbl_ProduitsRef[Cde_Prdt],MATCH(tbl_Ventes[[#This Row],[Produit]],tbl_ProduitsRef[Produit],0)),
   ""
)</f>
        <v/>
      </c>
      <c r="E4051" s="7">
        <v>0</v>
      </c>
      <c r="F4051" s="7" t="str">
        <f>IFERROR(
   INDEX(tbl_ProduitsRef[Prix Menu],MATCH(tbl_Ventes[[#This Row],[Produit]],tbl_ProduitsRef[Produit],0)),
   ""
)</f>
        <v/>
      </c>
      <c r="G4051" s="7">
        <f>tbl_Ventes[[#This Row],[Qté Vendue]] * IFERROR(_xlfn.XLOOKUP(tbl_Ventes[[#This Row],[Cde_Prdt]], tbl_Produits[Cde_Prdt], tbl_Produits[Prix Menu]), 0)</f>
        <v>0</v>
      </c>
      <c r="H4051" s="7">
        <f>IFERROR(_xlfn.XLOOKUP(tbl_Ventes[[#This Row],[Cde_Prdt]], tbl_Produits[Cde_Prdt], tbl_Produits[Coût Moyen Portion]), 0)</f>
        <v>0</v>
      </c>
      <c r="I4051" s="7">
        <f>tbl_Ventes[[#This Row],[Qté Vendue]] * tbl_Ventes[[#This Row],[CMP_par_portion]]</f>
        <v>0</v>
      </c>
      <c r="J4051" s="7">
        <f>tbl_Ventes[[#This Row],[CA ligne]] - tbl_Ventes[[#This Row],[Coût matière ligne]]</f>
        <v>0</v>
      </c>
      <c r="K4051" s="7" t="str">
        <f>IFERROR(INDEX(tbl_ProduitsRef[Famille], MATCH(tbl_Ventes[[#This Row],[Cde_Prdt]], tbl_Produits[Cde_Prdt], 0)), "")</f>
        <v/>
      </c>
    </row>
    <row r="4052" spans="1:11" x14ac:dyDescent="0.25">
      <c r="A4052" s="5"/>
      <c r="B4052" s="63" t="str">
        <f>IFERROR(TEXT(tbl_Ventes[[#This Row],[Date]],"mm-aaaa"),"")</f>
        <v>01-1900</v>
      </c>
      <c r="D4052" s="10" t="str">
        <f>IFERROR(
   INDEX(tbl_ProduitsRef[Cde_Prdt],MATCH(tbl_Ventes[[#This Row],[Produit]],tbl_ProduitsRef[Produit],0)),
   ""
)</f>
        <v/>
      </c>
      <c r="E4052" s="7">
        <v>0</v>
      </c>
      <c r="F4052" s="7" t="str">
        <f>IFERROR(
   INDEX(tbl_ProduitsRef[Prix Menu],MATCH(tbl_Ventes[[#This Row],[Produit]],tbl_ProduitsRef[Produit],0)),
   ""
)</f>
        <v/>
      </c>
      <c r="G4052" s="7">
        <f>tbl_Ventes[[#This Row],[Qté Vendue]] * IFERROR(_xlfn.XLOOKUP(tbl_Ventes[[#This Row],[Cde_Prdt]], tbl_Produits[Cde_Prdt], tbl_Produits[Prix Menu]), 0)</f>
        <v>0</v>
      </c>
      <c r="H4052" s="7">
        <f>IFERROR(_xlfn.XLOOKUP(tbl_Ventes[[#This Row],[Cde_Prdt]], tbl_Produits[Cde_Prdt], tbl_Produits[Coût Moyen Portion]), 0)</f>
        <v>0</v>
      </c>
      <c r="I4052" s="7">
        <f>tbl_Ventes[[#This Row],[Qté Vendue]] * tbl_Ventes[[#This Row],[CMP_par_portion]]</f>
        <v>0</v>
      </c>
      <c r="J4052" s="7">
        <f>tbl_Ventes[[#This Row],[CA ligne]] - tbl_Ventes[[#This Row],[Coût matière ligne]]</f>
        <v>0</v>
      </c>
      <c r="K4052" s="7" t="str">
        <f>IFERROR(INDEX(tbl_ProduitsRef[Famille], MATCH(tbl_Ventes[[#This Row],[Cde_Prdt]], tbl_Produits[Cde_Prdt], 0)), "")</f>
        <v/>
      </c>
    </row>
    <row r="4053" spans="1:11" x14ac:dyDescent="0.25">
      <c r="A4053" s="5"/>
      <c r="B4053" s="63" t="str">
        <f>IFERROR(TEXT(tbl_Ventes[[#This Row],[Date]],"mm-aaaa"),"")</f>
        <v>01-1900</v>
      </c>
      <c r="D4053" s="10" t="str">
        <f>IFERROR(
   INDEX(tbl_ProduitsRef[Cde_Prdt],MATCH(tbl_Ventes[[#This Row],[Produit]],tbl_ProduitsRef[Produit],0)),
   ""
)</f>
        <v/>
      </c>
      <c r="E4053" s="7">
        <v>0</v>
      </c>
      <c r="F4053" s="7" t="str">
        <f>IFERROR(
   INDEX(tbl_ProduitsRef[Prix Menu],MATCH(tbl_Ventes[[#This Row],[Produit]],tbl_ProduitsRef[Produit],0)),
   ""
)</f>
        <v/>
      </c>
      <c r="G4053" s="7">
        <f>tbl_Ventes[[#This Row],[Qté Vendue]] * IFERROR(_xlfn.XLOOKUP(tbl_Ventes[[#This Row],[Cde_Prdt]], tbl_Produits[Cde_Prdt], tbl_Produits[Prix Menu]), 0)</f>
        <v>0</v>
      </c>
      <c r="H4053" s="7">
        <f>IFERROR(_xlfn.XLOOKUP(tbl_Ventes[[#This Row],[Cde_Prdt]], tbl_Produits[Cde_Prdt], tbl_Produits[Coût Moyen Portion]), 0)</f>
        <v>0</v>
      </c>
      <c r="I4053" s="7">
        <f>tbl_Ventes[[#This Row],[Qté Vendue]] * tbl_Ventes[[#This Row],[CMP_par_portion]]</f>
        <v>0</v>
      </c>
      <c r="J4053" s="7">
        <f>tbl_Ventes[[#This Row],[CA ligne]] - tbl_Ventes[[#This Row],[Coût matière ligne]]</f>
        <v>0</v>
      </c>
      <c r="K4053" s="7" t="str">
        <f>IFERROR(INDEX(tbl_ProduitsRef[Famille], MATCH(tbl_Ventes[[#This Row],[Cde_Prdt]], tbl_Produits[Cde_Prdt], 0)), "")</f>
        <v/>
      </c>
    </row>
    <row r="4054" spans="1:11" x14ac:dyDescent="0.25">
      <c r="A4054" s="5"/>
      <c r="B4054" s="63" t="str">
        <f>IFERROR(TEXT(tbl_Ventes[[#This Row],[Date]],"mm-aaaa"),"")</f>
        <v>01-1900</v>
      </c>
      <c r="D4054" s="10" t="str">
        <f>IFERROR(
   INDEX(tbl_ProduitsRef[Cde_Prdt],MATCH(tbl_Ventes[[#This Row],[Produit]],tbl_ProduitsRef[Produit],0)),
   ""
)</f>
        <v/>
      </c>
      <c r="E4054" s="7">
        <v>0</v>
      </c>
      <c r="F4054" s="7" t="str">
        <f>IFERROR(
   INDEX(tbl_ProduitsRef[Prix Menu],MATCH(tbl_Ventes[[#This Row],[Produit]],tbl_ProduitsRef[Produit],0)),
   ""
)</f>
        <v/>
      </c>
      <c r="G4054" s="7">
        <f>tbl_Ventes[[#This Row],[Qté Vendue]] * IFERROR(_xlfn.XLOOKUP(tbl_Ventes[[#This Row],[Cde_Prdt]], tbl_Produits[Cde_Prdt], tbl_Produits[Prix Menu]), 0)</f>
        <v>0</v>
      </c>
      <c r="H4054" s="7">
        <f>IFERROR(_xlfn.XLOOKUP(tbl_Ventes[[#This Row],[Cde_Prdt]], tbl_Produits[Cde_Prdt], tbl_Produits[Coût Moyen Portion]), 0)</f>
        <v>0</v>
      </c>
      <c r="I4054" s="7">
        <f>tbl_Ventes[[#This Row],[Qté Vendue]] * tbl_Ventes[[#This Row],[CMP_par_portion]]</f>
        <v>0</v>
      </c>
      <c r="J4054" s="7">
        <f>tbl_Ventes[[#This Row],[CA ligne]] - tbl_Ventes[[#This Row],[Coût matière ligne]]</f>
        <v>0</v>
      </c>
      <c r="K4054" s="7" t="str">
        <f>IFERROR(INDEX(tbl_ProduitsRef[Famille], MATCH(tbl_Ventes[[#This Row],[Cde_Prdt]], tbl_Produits[Cde_Prdt], 0)), "")</f>
        <v/>
      </c>
    </row>
    <row r="4055" spans="1:11" x14ac:dyDescent="0.25">
      <c r="A4055" s="5"/>
      <c r="B4055" s="63" t="str">
        <f>IFERROR(TEXT(tbl_Ventes[[#This Row],[Date]],"mm-aaaa"),"")</f>
        <v>01-1900</v>
      </c>
      <c r="D4055" s="10" t="str">
        <f>IFERROR(
   INDEX(tbl_ProduitsRef[Cde_Prdt],MATCH(tbl_Ventes[[#This Row],[Produit]],tbl_ProduitsRef[Produit],0)),
   ""
)</f>
        <v/>
      </c>
      <c r="E4055" s="7">
        <v>0</v>
      </c>
      <c r="F4055" s="7" t="str">
        <f>IFERROR(
   INDEX(tbl_ProduitsRef[Prix Menu],MATCH(tbl_Ventes[[#This Row],[Produit]],tbl_ProduitsRef[Produit],0)),
   ""
)</f>
        <v/>
      </c>
      <c r="G4055" s="7">
        <f>tbl_Ventes[[#This Row],[Qté Vendue]] * IFERROR(_xlfn.XLOOKUP(tbl_Ventes[[#This Row],[Cde_Prdt]], tbl_Produits[Cde_Prdt], tbl_Produits[Prix Menu]), 0)</f>
        <v>0</v>
      </c>
      <c r="H4055" s="7">
        <f>IFERROR(_xlfn.XLOOKUP(tbl_Ventes[[#This Row],[Cde_Prdt]], tbl_Produits[Cde_Prdt], tbl_Produits[Coût Moyen Portion]), 0)</f>
        <v>0</v>
      </c>
      <c r="I4055" s="7">
        <f>tbl_Ventes[[#This Row],[Qté Vendue]] * tbl_Ventes[[#This Row],[CMP_par_portion]]</f>
        <v>0</v>
      </c>
      <c r="J4055" s="7">
        <f>tbl_Ventes[[#This Row],[CA ligne]] - tbl_Ventes[[#This Row],[Coût matière ligne]]</f>
        <v>0</v>
      </c>
      <c r="K4055" s="7" t="str">
        <f>IFERROR(INDEX(tbl_ProduitsRef[Famille], MATCH(tbl_Ventes[[#This Row],[Cde_Prdt]], tbl_Produits[Cde_Prdt], 0)), "")</f>
        <v/>
      </c>
    </row>
    <row r="4056" spans="1:11" x14ac:dyDescent="0.25">
      <c r="A4056" s="5"/>
      <c r="B4056" s="63" t="str">
        <f>IFERROR(TEXT(tbl_Ventes[[#This Row],[Date]],"mm-aaaa"),"")</f>
        <v>01-1900</v>
      </c>
      <c r="D4056" s="10" t="str">
        <f>IFERROR(
   INDEX(tbl_ProduitsRef[Cde_Prdt],MATCH(tbl_Ventes[[#This Row],[Produit]],tbl_ProduitsRef[Produit],0)),
   ""
)</f>
        <v/>
      </c>
      <c r="E4056" s="7">
        <v>0</v>
      </c>
      <c r="F4056" s="7" t="str">
        <f>IFERROR(
   INDEX(tbl_ProduitsRef[Prix Menu],MATCH(tbl_Ventes[[#This Row],[Produit]],tbl_ProduitsRef[Produit],0)),
   ""
)</f>
        <v/>
      </c>
      <c r="G4056" s="7">
        <f>tbl_Ventes[[#This Row],[Qté Vendue]] * IFERROR(_xlfn.XLOOKUP(tbl_Ventes[[#This Row],[Cde_Prdt]], tbl_Produits[Cde_Prdt], tbl_Produits[Prix Menu]), 0)</f>
        <v>0</v>
      </c>
      <c r="H4056" s="7">
        <f>IFERROR(_xlfn.XLOOKUP(tbl_Ventes[[#This Row],[Cde_Prdt]], tbl_Produits[Cde_Prdt], tbl_Produits[Coût Moyen Portion]), 0)</f>
        <v>0</v>
      </c>
      <c r="I4056" s="7">
        <f>tbl_Ventes[[#This Row],[Qté Vendue]] * tbl_Ventes[[#This Row],[CMP_par_portion]]</f>
        <v>0</v>
      </c>
      <c r="J4056" s="7">
        <f>tbl_Ventes[[#This Row],[CA ligne]] - tbl_Ventes[[#This Row],[Coût matière ligne]]</f>
        <v>0</v>
      </c>
      <c r="K4056" s="7" t="str">
        <f>IFERROR(INDEX(tbl_ProduitsRef[Famille], MATCH(tbl_Ventes[[#This Row],[Cde_Prdt]], tbl_Produits[Cde_Prdt], 0)), "")</f>
        <v/>
      </c>
    </row>
    <row r="4057" spans="1:11" x14ac:dyDescent="0.25">
      <c r="A4057" s="5"/>
      <c r="B4057" s="63" t="str">
        <f>IFERROR(TEXT(tbl_Ventes[[#This Row],[Date]],"mm-aaaa"),"")</f>
        <v>01-1900</v>
      </c>
      <c r="D4057" s="10" t="str">
        <f>IFERROR(
   INDEX(tbl_ProduitsRef[Cde_Prdt],MATCH(tbl_Ventes[[#This Row],[Produit]],tbl_ProduitsRef[Produit],0)),
   ""
)</f>
        <v/>
      </c>
      <c r="E4057" s="7">
        <v>0</v>
      </c>
      <c r="F4057" s="7" t="str">
        <f>IFERROR(
   INDEX(tbl_ProduitsRef[Prix Menu],MATCH(tbl_Ventes[[#This Row],[Produit]],tbl_ProduitsRef[Produit],0)),
   ""
)</f>
        <v/>
      </c>
      <c r="G4057" s="7">
        <f>tbl_Ventes[[#This Row],[Qté Vendue]] * IFERROR(_xlfn.XLOOKUP(tbl_Ventes[[#This Row],[Cde_Prdt]], tbl_Produits[Cde_Prdt], tbl_Produits[Prix Menu]), 0)</f>
        <v>0</v>
      </c>
      <c r="H4057" s="7">
        <f>IFERROR(_xlfn.XLOOKUP(tbl_Ventes[[#This Row],[Cde_Prdt]], tbl_Produits[Cde_Prdt], tbl_Produits[Coût Moyen Portion]), 0)</f>
        <v>0</v>
      </c>
      <c r="I4057" s="7">
        <f>tbl_Ventes[[#This Row],[Qté Vendue]] * tbl_Ventes[[#This Row],[CMP_par_portion]]</f>
        <v>0</v>
      </c>
      <c r="J4057" s="7">
        <f>tbl_Ventes[[#This Row],[CA ligne]] - tbl_Ventes[[#This Row],[Coût matière ligne]]</f>
        <v>0</v>
      </c>
      <c r="K4057" s="7" t="str">
        <f>IFERROR(INDEX(tbl_ProduitsRef[Famille], MATCH(tbl_Ventes[[#This Row],[Cde_Prdt]], tbl_Produits[Cde_Prdt], 0)), "")</f>
        <v/>
      </c>
    </row>
    <row r="4058" spans="1:11" x14ac:dyDescent="0.25">
      <c r="A4058" s="5"/>
      <c r="B4058" s="63" t="str">
        <f>IFERROR(TEXT(tbl_Ventes[[#This Row],[Date]],"mm-aaaa"),"")</f>
        <v>01-1900</v>
      </c>
      <c r="D4058" s="10" t="str">
        <f>IFERROR(
   INDEX(tbl_ProduitsRef[Cde_Prdt],MATCH(tbl_Ventes[[#This Row],[Produit]],tbl_ProduitsRef[Produit],0)),
   ""
)</f>
        <v/>
      </c>
      <c r="E4058" s="7">
        <v>0</v>
      </c>
      <c r="F4058" s="7" t="str">
        <f>IFERROR(
   INDEX(tbl_ProduitsRef[Prix Menu],MATCH(tbl_Ventes[[#This Row],[Produit]],tbl_ProduitsRef[Produit],0)),
   ""
)</f>
        <v/>
      </c>
      <c r="G4058" s="7">
        <f>tbl_Ventes[[#This Row],[Qté Vendue]] * IFERROR(_xlfn.XLOOKUP(tbl_Ventes[[#This Row],[Cde_Prdt]], tbl_Produits[Cde_Prdt], tbl_Produits[Prix Menu]), 0)</f>
        <v>0</v>
      </c>
      <c r="H4058" s="7">
        <f>IFERROR(_xlfn.XLOOKUP(tbl_Ventes[[#This Row],[Cde_Prdt]], tbl_Produits[Cde_Prdt], tbl_Produits[Coût Moyen Portion]), 0)</f>
        <v>0</v>
      </c>
      <c r="I4058" s="7">
        <f>tbl_Ventes[[#This Row],[Qté Vendue]] * tbl_Ventes[[#This Row],[CMP_par_portion]]</f>
        <v>0</v>
      </c>
      <c r="J4058" s="7">
        <f>tbl_Ventes[[#This Row],[CA ligne]] - tbl_Ventes[[#This Row],[Coût matière ligne]]</f>
        <v>0</v>
      </c>
      <c r="K4058" s="7" t="str">
        <f>IFERROR(INDEX(tbl_ProduitsRef[Famille], MATCH(tbl_Ventes[[#This Row],[Cde_Prdt]], tbl_Produits[Cde_Prdt], 0)), "")</f>
        <v/>
      </c>
    </row>
    <row r="4059" spans="1:11" x14ac:dyDescent="0.25">
      <c r="A4059" s="5"/>
      <c r="B4059" s="63" t="str">
        <f>IFERROR(TEXT(tbl_Ventes[[#This Row],[Date]],"mm-aaaa"),"")</f>
        <v>01-1900</v>
      </c>
      <c r="D4059" s="10" t="str">
        <f>IFERROR(
   INDEX(tbl_ProduitsRef[Cde_Prdt],MATCH(tbl_Ventes[[#This Row],[Produit]],tbl_ProduitsRef[Produit],0)),
   ""
)</f>
        <v/>
      </c>
      <c r="E4059" s="7">
        <v>0</v>
      </c>
      <c r="F4059" s="7" t="str">
        <f>IFERROR(
   INDEX(tbl_ProduitsRef[Prix Menu],MATCH(tbl_Ventes[[#This Row],[Produit]],tbl_ProduitsRef[Produit],0)),
   ""
)</f>
        <v/>
      </c>
      <c r="G4059" s="7">
        <f>tbl_Ventes[[#This Row],[Qté Vendue]] * IFERROR(_xlfn.XLOOKUP(tbl_Ventes[[#This Row],[Cde_Prdt]], tbl_Produits[Cde_Prdt], tbl_Produits[Prix Menu]), 0)</f>
        <v>0</v>
      </c>
      <c r="H4059" s="7">
        <f>IFERROR(_xlfn.XLOOKUP(tbl_Ventes[[#This Row],[Cde_Prdt]], tbl_Produits[Cde_Prdt], tbl_Produits[Coût Moyen Portion]), 0)</f>
        <v>0</v>
      </c>
      <c r="I4059" s="7">
        <f>tbl_Ventes[[#This Row],[Qté Vendue]] * tbl_Ventes[[#This Row],[CMP_par_portion]]</f>
        <v>0</v>
      </c>
      <c r="J4059" s="7">
        <f>tbl_Ventes[[#This Row],[CA ligne]] - tbl_Ventes[[#This Row],[Coût matière ligne]]</f>
        <v>0</v>
      </c>
      <c r="K4059" s="7" t="str">
        <f>IFERROR(INDEX(tbl_ProduitsRef[Famille], MATCH(tbl_Ventes[[#This Row],[Cde_Prdt]], tbl_Produits[Cde_Prdt], 0)), "")</f>
        <v/>
      </c>
    </row>
    <row r="4060" spans="1:11" x14ac:dyDescent="0.25">
      <c r="A4060" s="5"/>
      <c r="B4060" s="63" t="str">
        <f>IFERROR(TEXT(tbl_Ventes[[#This Row],[Date]],"mm-aaaa"),"")</f>
        <v>01-1900</v>
      </c>
      <c r="D4060" s="10" t="str">
        <f>IFERROR(
   INDEX(tbl_ProduitsRef[Cde_Prdt],MATCH(tbl_Ventes[[#This Row],[Produit]],tbl_ProduitsRef[Produit],0)),
   ""
)</f>
        <v/>
      </c>
      <c r="E4060" s="7">
        <v>0</v>
      </c>
      <c r="F4060" s="7" t="str">
        <f>IFERROR(
   INDEX(tbl_ProduitsRef[Prix Menu],MATCH(tbl_Ventes[[#This Row],[Produit]],tbl_ProduitsRef[Produit],0)),
   ""
)</f>
        <v/>
      </c>
      <c r="G4060" s="7">
        <f>tbl_Ventes[[#This Row],[Qté Vendue]] * IFERROR(_xlfn.XLOOKUP(tbl_Ventes[[#This Row],[Cde_Prdt]], tbl_Produits[Cde_Prdt], tbl_Produits[Prix Menu]), 0)</f>
        <v>0</v>
      </c>
      <c r="H4060" s="7">
        <f>IFERROR(_xlfn.XLOOKUP(tbl_Ventes[[#This Row],[Cde_Prdt]], tbl_Produits[Cde_Prdt], tbl_Produits[Coût Moyen Portion]), 0)</f>
        <v>0</v>
      </c>
      <c r="I4060" s="7">
        <f>tbl_Ventes[[#This Row],[Qté Vendue]] * tbl_Ventes[[#This Row],[CMP_par_portion]]</f>
        <v>0</v>
      </c>
      <c r="J4060" s="7">
        <f>tbl_Ventes[[#This Row],[CA ligne]] - tbl_Ventes[[#This Row],[Coût matière ligne]]</f>
        <v>0</v>
      </c>
      <c r="K4060" s="7" t="str">
        <f>IFERROR(INDEX(tbl_ProduitsRef[Famille], MATCH(tbl_Ventes[[#This Row],[Cde_Prdt]], tbl_Produits[Cde_Prdt], 0)), "")</f>
        <v/>
      </c>
    </row>
    <row r="4061" spans="1:11" x14ac:dyDescent="0.25">
      <c r="A4061" s="5"/>
      <c r="B4061" s="63" t="str">
        <f>IFERROR(TEXT(tbl_Ventes[[#This Row],[Date]],"mm-aaaa"),"")</f>
        <v>01-1900</v>
      </c>
      <c r="D4061" s="10" t="str">
        <f>IFERROR(
   INDEX(tbl_ProduitsRef[Cde_Prdt],MATCH(tbl_Ventes[[#This Row],[Produit]],tbl_ProduitsRef[Produit],0)),
   ""
)</f>
        <v/>
      </c>
      <c r="E4061" s="7">
        <v>0</v>
      </c>
      <c r="F4061" s="7" t="str">
        <f>IFERROR(
   INDEX(tbl_ProduitsRef[Prix Menu],MATCH(tbl_Ventes[[#This Row],[Produit]],tbl_ProduitsRef[Produit],0)),
   ""
)</f>
        <v/>
      </c>
      <c r="G4061" s="7">
        <f>tbl_Ventes[[#This Row],[Qté Vendue]] * IFERROR(_xlfn.XLOOKUP(tbl_Ventes[[#This Row],[Cde_Prdt]], tbl_Produits[Cde_Prdt], tbl_Produits[Prix Menu]), 0)</f>
        <v>0</v>
      </c>
      <c r="H4061" s="7">
        <f>IFERROR(_xlfn.XLOOKUP(tbl_Ventes[[#This Row],[Cde_Prdt]], tbl_Produits[Cde_Prdt], tbl_Produits[Coût Moyen Portion]), 0)</f>
        <v>0</v>
      </c>
      <c r="I4061" s="7">
        <f>tbl_Ventes[[#This Row],[Qté Vendue]] * tbl_Ventes[[#This Row],[CMP_par_portion]]</f>
        <v>0</v>
      </c>
      <c r="J4061" s="7">
        <f>tbl_Ventes[[#This Row],[CA ligne]] - tbl_Ventes[[#This Row],[Coût matière ligne]]</f>
        <v>0</v>
      </c>
      <c r="K4061" s="7" t="str">
        <f>IFERROR(INDEX(tbl_ProduitsRef[Famille], MATCH(tbl_Ventes[[#This Row],[Cde_Prdt]], tbl_Produits[Cde_Prdt], 0)), "")</f>
        <v/>
      </c>
    </row>
    <row r="4062" spans="1:11" x14ac:dyDescent="0.25">
      <c r="A4062" s="5"/>
      <c r="B4062" s="63" t="str">
        <f>IFERROR(TEXT(tbl_Ventes[[#This Row],[Date]],"mm-aaaa"),"")</f>
        <v>01-1900</v>
      </c>
      <c r="D4062" s="10" t="str">
        <f>IFERROR(
   INDEX(tbl_ProduitsRef[Cde_Prdt],MATCH(tbl_Ventes[[#This Row],[Produit]],tbl_ProduitsRef[Produit],0)),
   ""
)</f>
        <v/>
      </c>
      <c r="E4062" s="7">
        <v>0</v>
      </c>
      <c r="F4062" s="7" t="str">
        <f>IFERROR(
   INDEX(tbl_ProduitsRef[Prix Menu],MATCH(tbl_Ventes[[#This Row],[Produit]],tbl_ProduitsRef[Produit],0)),
   ""
)</f>
        <v/>
      </c>
      <c r="G4062" s="7">
        <f>tbl_Ventes[[#This Row],[Qté Vendue]] * IFERROR(_xlfn.XLOOKUP(tbl_Ventes[[#This Row],[Cde_Prdt]], tbl_Produits[Cde_Prdt], tbl_Produits[Prix Menu]), 0)</f>
        <v>0</v>
      </c>
      <c r="H4062" s="7">
        <f>IFERROR(_xlfn.XLOOKUP(tbl_Ventes[[#This Row],[Cde_Prdt]], tbl_Produits[Cde_Prdt], tbl_Produits[Coût Moyen Portion]), 0)</f>
        <v>0</v>
      </c>
      <c r="I4062" s="7">
        <f>tbl_Ventes[[#This Row],[Qté Vendue]] * tbl_Ventes[[#This Row],[CMP_par_portion]]</f>
        <v>0</v>
      </c>
      <c r="J4062" s="7">
        <f>tbl_Ventes[[#This Row],[CA ligne]] - tbl_Ventes[[#This Row],[Coût matière ligne]]</f>
        <v>0</v>
      </c>
      <c r="K4062" s="7" t="str">
        <f>IFERROR(INDEX(tbl_ProduitsRef[Famille], MATCH(tbl_Ventes[[#This Row],[Cde_Prdt]], tbl_Produits[Cde_Prdt], 0)), "")</f>
        <v/>
      </c>
    </row>
    <row r="4063" spans="1:11" x14ac:dyDescent="0.25">
      <c r="A4063" s="5"/>
      <c r="B4063" s="63" t="str">
        <f>IFERROR(TEXT(tbl_Ventes[[#This Row],[Date]],"mm-aaaa"),"")</f>
        <v>01-1900</v>
      </c>
      <c r="D4063" s="10" t="str">
        <f>IFERROR(
   INDEX(tbl_ProduitsRef[Cde_Prdt],MATCH(tbl_Ventes[[#This Row],[Produit]],tbl_ProduitsRef[Produit],0)),
   ""
)</f>
        <v/>
      </c>
      <c r="E4063" s="7">
        <v>0</v>
      </c>
      <c r="F4063" s="7" t="str">
        <f>IFERROR(
   INDEX(tbl_ProduitsRef[Prix Menu],MATCH(tbl_Ventes[[#This Row],[Produit]],tbl_ProduitsRef[Produit],0)),
   ""
)</f>
        <v/>
      </c>
      <c r="G4063" s="7">
        <f>tbl_Ventes[[#This Row],[Qté Vendue]] * IFERROR(_xlfn.XLOOKUP(tbl_Ventes[[#This Row],[Cde_Prdt]], tbl_Produits[Cde_Prdt], tbl_Produits[Prix Menu]), 0)</f>
        <v>0</v>
      </c>
      <c r="H4063" s="7">
        <f>IFERROR(_xlfn.XLOOKUP(tbl_Ventes[[#This Row],[Cde_Prdt]], tbl_Produits[Cde_Prdt], tbl_Produits[Coût Moyen Portion]), 0)</f>
        <v>0</v>
      </c>
      <c r="I4063" s="7">
        <f>tbl_Ventes[[#This Row],[Qté Vendue]] * tbl_Ventes[[#This Row],[CMP_par_portion]]</f>
        <v>0</v>
      </c>
      <c r="J4063" s="7">
        <f>tbl_Ventes[[#This Row],[CA ligne]] - tbl_Ventes[[#This Row],[Coût matière ligne]]</f>
        <v>0</v>
      </c>
      <c r="K4063" s="7" t="str">
        <f>IFERROR(INDEX(tbl_ProduitsRef[Famille], MATCH(tbl_Ventes[[#This Row],[Cde_Prdt]], tbl_Produits[Cde_Prdt], 0)), "")</f>
        <v/>
      </c>
    </row>
    <row r="4064" spans="1:11" x14ac:dyDescent="0.25">
      <c r="A4064" s="5"/>
      <c r="B4064" s="63" t="str">
        <f>IFERROR(TEXT(tbl_Ventes[[#This Row],[Date]],"mm-aaaa"),"")</f>
        <v>01-1900</v>
      </c>
      <c r="D4064" s="10" t="str">
        <f>IFERROR(
   INDEX(tbl_ProduitsRef[Cde_Prdt],MATCH(tbl_Ventes[[#This Row],[Produit]],tbl_ProduitsRef[Produit],0)),
   ""
)</f>
        <v/>
      </c>
      <c r="E4064" s="7">
        <v>0</v>
      </c>
      <c r="F4064" s="7" t="str">
        <f>IFERROR(
   INDEX(tbl_ProduitsRef[Prix Menu],MATCH(tbl_Ventes[[#This Row],[Produit]],tbl_ProduitsRef[Produit],0)),
   ""
)</f>
        <v/>
      </c>
      <c r="G4064" s="7">
        <f>tbl_Ventes[[#This Row],[Qté Vendue]] * IFERROR(_xlfn.XLOOKUP(tbl_Ventes[[#This Row],[Cde_Prdt]], tbl_Produits[Cde_Prdt], tbl_Produits[Prix Menu]), 0)</f>
        <v>0</v>
      </c>
      <c r="H4064" s="7">
        <f>IFERROR(_xlfn.XLOOKUP(tbl_Ventes[[#This Row],[Cde_Prdt]], tbl_Produits[Cde_Prdt], tbl_Produits[Coût Moyen Portion]), 0)</f>
        <v>0</v>
      </c>
      <c r="I4064" s="7">
        <f>tbl_Ventes[[#This Row],[Qté Vendue]] * tbl_Ventes[[#This Row],[CMP_par_portion]]</f>
        <v>0</v>
      </c>
      <c r="J4064" s="7">
        <f>tbl_Ventes[[#This Row],[CA ligne]] - tbl_Ventes[[#This Row],[Coût matière ligne]]</f>
        <v>0</v>
      </c>
      <c r="K4064" s="7" t="str">
        <f>IFERROR(INDEX(tbl_ProduitsRef[Famille], MATCH(tbl_Ventes[[#This Row],[Cde_Prdt]], tbl_Produits[Cde_Prdt], 0)), "")</f>
        <v/>
      </c>
    </row>
    <row r="4065" spans="1:11" x14ac:dyDescent="0.25">
      <c r="A4065" s="5"/>
      <c r="B4065" s="63" t="str">
        <f>IFERROR(TEXT(tbl_Ventes[[#This Row],[Date]],"mm-aaaa"),"")</f>
        <v>01-1900</v>
      </c>
      <c r="D4065" s="10" t="str">
        <f>IFERROR(
   INDEX(tbl_ProduitsRef[Cde_Prdt],MATCH(tbl_Ventes[[#This Row],[Produit]],tbl_ProduitsRef[Produit],0)),
   ""
)</f>
        <v/>
      </c>
      <c r="E4065" s="7">
        <v>0</v>
      </c>
      <c r="F4065" s="7" t="str">
        <f>IFERROR(
   INDEX(tbl_ProduitsRef[Prix Menu],MATCH(tbl_Ventes[[#This Row],[Produit]],tbl_ProduitsRef[Produit],0)),
   ""
)</f>
        <v/>
      </c>
      <c r="G4065" s="7">
        <f>tbl_Ventes[[#This Row],[Qté Vendue]] * IFERROR(_xlfn.XLOOKUP(tbl_Ventes[[#This Row],[Cde_Prdt]], tbl_Produits[Cde_Prdt], tbl_Produits[Prix Menu]), 0)</f>
        <v>0</v>
      </c>
      <c r="H4065" s="7">
        <f>IFERROR(_xlfn.XLOOKUP(tbl_Ventes[[#This Row],[Cde_Prdt]], tbl_Produits[Cde_Prdt], tbl_Produits[Coût Moyen Portion]), 0)</f>
        <v>0</v>
      </c>
      <c r="I4065" s="7">
        <f>tbl_Ventes[[#This Row],[Qté Vendue]] * tbl_Ventes[[#This Row],[CMP_par_portion]]</f>
        <v>0</v>
      </c>
      <c r="J4065" s="7">
        <f>tbl_Ventes[[#This Row],[CA ligne]] - tbl_Ventes[[#This Row],[Coût matière ligne]]</f>
        <v>0</v>
      </c>
      <c r="K4065" s="7" t="str">
        <f>IFERROR(INDEX(tbl_ProduitsRef[Famille], MATCH(tbl_Ventes[[#This Row],[Cde_Prdt]], tbl_Produits[Cde_Prdt], 0)), "")</f>
        <v/>
      </c>
    </row>
    <row r="4066" spans="1:11" x14ac:dyDescent="0.25">
      <c r="A4066" s="5"/>
      <c r="B4066" s="63" t="str">
        <f>IFERROR(TEXT(tbl_Ventes[[#This Row],[Date]],"mm-aaaa"),"")</f>
        <v>01-1900</v>
      </c>
      <c r="D4066" s="10" t="str">
        <f>IFERROR(
   INDEX(tbl_ProduitsRef[Cde_Prdt],MATCH(tbl_Ventes[[#This Row],[Produit]],tbl_ProduitsRef[Produit],0)),
   ""
)</f>
        <v/>
      </c>
      <c r="E4066" s="7">
        <v>0</v>
      </c>
      <c r="F4066" s="7" t="str">
        <f>IFERROR(
   INDEX(tbl_ProduitsRef[Prix Menu],MATCH(tbl_Ventes[[#This Row],[Produit]],tbl_ProduitsRef[Produit],0)),
   ""
)</f>
        <v/>
      </c>
      <c r="G4066" s="7">
        <f>tbl_Ventes[[#This Row],[Qté Vendue]] * IFERROR(_xlfn.XLOOKUP(tbl_Ventes[[#This Row],[Cde_Prdt]], tbl_Produits[Cde_Prdt], tbl_Produits[Prix Menu]), 0)</f>
        <v>0</v>
      </c>
      <c r="H4066" s="7">
        <f>IFERROR(_xlfn.XLOOKUP(tbl_Ventes[[#This Row],[Cde_Prdt]], tbl_Produits[Cde_Prdt], tbl_Produits[Coût Moyen Portion]), 0)</f>
        <v>0</v>
      </c>
      <c r="I4066" s="7">
        <f>tbl_Ventes[[#This Row],[Qté Vendue]] * tbl_Ventes[[#This Row],[CMP_par_portion]]</f>
        <v>0</v>
      </c>
      <c r="J4066" s="7">
        <f>tbl_Ventes[[#This Row],[CA ligne]] - tbl_Ventes[[#This Row],[Coût matière ligne]]</f>
        <v>0</v>
      </c>
      <c r="K4066" s="7" t="str">
        <f>IFERROR(INDEX(tbl_ProduitsRef[Famille], MATCH(tbl_Ventes[[#This Row],[Cde_Prdt]], tbl_Produits[Cde_Prdt], 0)), "")</f>
        <v/>
      </c>
    </row>
    <row r="4067" spans="1:11" x14ac:dyDescent="0.25">
      <c r="A4067" s="5"/>
      <c r="B4067" s="63" t="str">
        <f>IFERROR(TEXT(tbl_Ventes[[#This Row],[Date]],"mm-aaaa"),"")</f>
        <v>01-1900</v>
      </c>
      <c r="D4067" s="10" t="str">
        <f>IFERROR(
   INDEX(tbl_ProduitsRef[Cde_Prdt],MATCH(tbl_Ventes[[#This Row],[Produit]],tbl_ProduitsRef[Produit],0)),
   ""
)</f>
        <v/>
      </c>
      <c r="E4067" s="7">
        <v>0</v>
      </c>
      <c r="F4067" s="7" t="str">
        <f>IFERROR(
   INDEX(tbl_ProduitsRef[Prix Menu],MATCH(tbl_Ventes[[#This Row],[Produit]],tbl_ProduitsRef[Produit],0)),
   ""
)</f>
        <v/>
      </c>
      <c r="G4067" s="7">
        <f>tbl_Ventes[[#This Row],[Qté Vendue]] * IFERROR(_xlfn.XLOOKUP(tbl_Ventes[[#This Row],[Cde_Prdt]], tbl_Produits[Cde_Prdt], tbl_Produits[Prix Menu]), 0)</f>
        <v>0</v>
      </c>
      <c r="H4067" s="7">
        <f>IFERROR(_xlfn.XLOOKUP(tbl_Ventes[[#This Row],[Cde_Prdt]], tbl_Produits[Cde_Prdt], tbl_Produits[Coût Moyen Portion]), 0)</f>
        <v>0</v>
      </c>
      <c r="I4067" s="7">
        <f>tbl_Ventes[[#This Row],[Qté Vendue]] * tbl_Ventes[[#This Row],[CMP_par_portion]]</f>
        <v>0</v>
      </c>
      <c r="J4067" s="7">
        <f>tbl_Ventes[[#This Row],[CA ligne]] - tbl_Ventes[[#This Row],[Coût matière ligne]]</f>
        <v>0</v>
      </c>
      <c r="K4067" s="7" t="str">
        <f>IFERROR(INDEX(tbl_ProduitsRef[Famille], MATCH(tbl_Ventes[[#This Row],[Cde_Prdt]], tbl_Produits[Cde_Prdt], 0)), "")</f>
        <v/>
      </c>
    </row>
    <row r="4068" spans="1:11" x14ac:dyDescent="0.25">
      <c r="A4068" s="5"/>
      <c r="B4068" s="63" t="str">
        <f>IFERROR(TEXT(tbl_Ventes[[#This Row],[Date]],"mm-aaaa"),"")</f>
        <v>01-1900</v>
      </c>
      <c r="D4068" s="10" t="str">
        <f>IFERROR(
   INDEX(tbl_ProduitsRef[Cde_Prdt],MATCH(tbl_Ventes[[#This Row],[Produit]],tbl_ProduitsRef[Produit],0)),
   ""
)</f>
        <v/>
      </c>
      <c r="E4068" s="7">
        <v>0</v>
      </c>
      <c r="F4068" s="7" t="str">
        <f>IFERROR(
   INDEX(tbl_ProduitsRef[Prix Menu],MATCH(tbl_Ventes[[#This Row],[Produit]],tbl_ProduitsRef[Produit],0)),
   ""
)</f>
        <v/>
      </c>
      <c r="G4068" s="7">
        <f>tbl_Ventes[[#This Row],[Qté Vendue]] * IFERROR(_xlfn.XLOOKUP(tbl_Ventes[[#This Row],[Cde_Prdt]], tbl_Produits[Cde_Prdt], tbl_Produits[Prix Menu]), 0)</f>
        <v>0</v>
      </c>
      <c r="H4068" s="7">
        <f>IFERROR(_xlfn.XLOOKUP(tbl_Ventes[[#This Row],[Cde_Prdt]], tbl_Produits[Cde_Prdt], tbl_Produits[Coût Moyen Portion]), 0)</f>
        <v>0</v>
      </c>
      <c r="I4068" s="7">
        <f>tbl_Ventes[[#This Row],[Qté Vendue]] * tbl_Ventes[[#This Row],[CMP_par_portion]]</f>
        <v>0</v>
      </c>
      <c r="J4068" s="7">
        <f>tbl_Ventes[[#This Row],[CA ligne]] - tbl_Ventes[[#This Row],[Coût matière ligne]]</f>
        <v>0</v>
      </c>
      <c r="K4068" s="7" t="str">
        <f>IFERROR(INDEX(tbl_ProduitsRef[Famille], MATCH(tbl_Ventes[[#This Row],[Cde_Prdt]], tbl_Produits[Cde_Prdt], 0)), "")</f>
        <v/>
      </c>
    </row>
    <row r="4069" spans="1:11" x14ac:dyDescent="0.25">
      <c r="A4069" s="5"/>
      <c r="B4069" s="63" t="str">
        <f>IFERROR(TEXT(tbl_Ventes[[#This Row],[Date]],"mm-aaaa"),"")</f>
        <v>01-1900</v>
      </c>
      <c r="D4069" s="10" t="str">
        <f>IFERROR(
   INDEX(tbl_ProduitsRef[Cde_Prdt],MATCH(tbl_Ventes[[#This Row],[Produit]],tbl_ProduitsRef[Produit],0)),
   ""
)</f>
        <v/>
      </c>
      <c r="E4069" s="7">
        <v>0</v>
      </c>
      <c r="F4069" s="7" t="str">
        <f>IFERROR(
   INDEX(tbl_ProduitsRef[Prix Menu],MATCH(tbl_Ventes[[#This Row],[Produit]],tbl_ProduitsRef[Produit],0)),
   ""
)</f>
        <v/>
      </c>
      <c r="G4069" s="7">
        <f>tbl_Ventes[[#This Row],[Qté Vendue]] * IFERROR(_xlfn.XLOOKUP(tbl_Ventes[[#This Row],[Cde_Prdt]], tbl_Produits[Cde_Prdt], tbl_Produits[Prix Menu]), 0)</f>
        <v>0</v>
      </c>
      <c r="H4069" s="7">
        <f>IFERROR(_xlfn.XLOOKUP(tbl_Ventes[[#This Row],[Cde_Prdt]], tbl_Produits[Cde_Prdt], tbl_Produits[Coût Moyen Portion]), 0)</f>
        <v>0</v>
      </c>
      <c r="I4069" s="7">
        <f>tbl_Ventes[[#This Row],[Qté Vendue]] * tbl_Ventes[[#This Row],[CMP_par_portion]]</f>
        <v>0</v>
      </c>
      <c r="J4069" s="7">
        <f>tbl_Ventes[[#This Row],[CA ligne]] - tbl_Ventes[[#This Row],[Coût matière ligne]]</f>
        <v>0</v>
      </c>
      <c r="K4069" s="7" t="str">
        <f>IFERROR(INDEX(tbl_ProduitsRef[Famille], MATCH(tbl_Ventes[[#This Row],[Cde_Prdt]], tbl_Produits[Cde_Prdt], 0)), "")</f>
        <v/>
      </c>
    </row>
    <row r="4070" spans="1:11" x14ac:dyDescent="0.25">
      <c r="A4070" s="5"/>
      <c r="B4070" s="63" t="str">
        <f>IFERROR(TEXT(tbl_Ventes[[#This Row],[Date]],"mm-aaaa"),"")</f>
        <v>01-1900</v>
      </c>
      <c r="D4070" s="10" t="str">
        <f>IFERROR(
   INDEX(tbl_ProduitsRef[Cde_Prdt],MATCH(tbl_Ventes[[#This Row],[Produit]],tbl_ProduitsRef[Produit],0)),
   ""
)</f>
        <v/>
      </c>
      <c r="E4070" s="7">
        <v>0</v>
      </c>
      <c r="F4070" s="7" t="str">
        <f>IFERROR(
   INDEX(tbl_ProduitsRef[Prix Menu],MATCH(tbl_Ventes[[#This Row],[Produit]],tbl_ProduitsRef[Produit],0)),
   ""
)</f>
        <v/>
      </c>
      <c r="G4070" s="7">
        <f>tbl_Ventes[[#This Row],[Qté Vendue]] * IFERROR(_xlfn.XLOOKUP(tbl_Ventes[[#This Row],[Cde_Prdt]], tbl_Produits[Cde_Prdt], tbl_Produits[Prix Menu]), 0)</f>
        <v>0</v>
      </c>
      <c r="H4070" s="7">
        <f>IFERROR(_xlfn.XLOOKUP(tbl_Ventes[[#This Row],[Cde_Prdt]], tbl_Produits[Cde_Prdt], tbl_Produits[Coût Moyen Portion]), 0)</f>
        <v>0</v>
      </c>
      <c r="I4070" s="7">
        <f>tbl_Ventes[[#This Row],[Qté Vendue]] * tbl_Ventes[[#This Row],[CMP_par_portion]]</f>
        <v>0</v>
      </c>
      <c r="J4070" s="7">
        <f>tbl_Ventes[[#This Row],[CA ligne]] - tbl_Ventes[[#This Row],[Coût matière ligne]]</f>
        <v>0</v>
      </c>
      <c r="K4070" s="7" t="str">
        <f>IFERROR(INDEX(tbl_ProduitsRef[Famille], MATCH(tbl_Ventes[[#This Row],[Cde_Prdt]], tbl_Produits[Cde_Prdt], 0)), "")</f>
        <v/>
      </c>
    </row>
    <row r="4071" spans="1:11" x14ac:dyDescent="0.25">
      <c r="A4071" s="5"/>
      <c r="B4071" s="63" t="str">
        <f>IFERROR(TEXT(tbl_Ventes[[#This Row],[Date]],"mm-aaaa"),"")</f>
        <v>01-1900</v>
      </c>
      <c r="D4071" s="10" t="str">
        <f>IFERROR(
   INDEX(tbl_ProduitsRef[Cde_Prdt],MATCH(tbl_Ventes[[#This Row],[Produit]],tbl_ProduitsRef[Produit],0)),
   ""
)</f>
        <v/>
      </c>
      <c r="E4071" s="7">
        <v>0</v>
      </c>
      <c r="F4071" s="7" t="str">
        <f>IFERROR(
   INDEX(tbl_ProduitsRef[Prix Menu],MATCH(tbl_Ventes[[#This Row],[Produit]],tbl_ProduitsRef[Produit],0)),
   ""
)</f>
        <v/>
      </c>
      <c r="G4071" s="7">
        <f>tbl_Ventes[[#This Row],[Qté Vendue]] * IFERROR(_xlfn.XLOOKUP(tbl_Ventes[[#This Row],[Cde_Prdt]], tbl_Produits[Cde_Prdt], tbl_Produits[Prix Menu]), 0)</f>
        <v>0</v>
      </c>
      <c r="H4071" s="7">
        <f>IFERROR(_xlfn.XLOOKUP(tbl_Ventes[[#This Row],[Cde_Prdt]], tbl_Produits[Cde_Prdt], tbl_Produits[Coût Moyen Portion]), 0)</f>
        <v>0</v>
      </c>
      <c r="I4071" s="7">
        <f>tbl_Ventes[[#This Row],[Qté Vendue]] * tbl_Ventes[[#This Row],[CMP_par_portion]]</f>
        <v>0</v>
      </c>
      <c r="J4071" s="7">
        <f>tbl_Ventes[[#This Row],[CA ligne]] - tbl_Ventes[[#This Row],[Coût matière ligne]]</f>
        <v>0</v>
      </c>
      <c r="K4071" s="7" t="str">
        <f>IFERROR(INDEX(tbl_ProduitsRef[Famille], MATCH(tbl_Ventes[[#This Row],[Cde_Prdt]], tbl_Produits[Cde_Prdt], 0)), "")</f>
        <v/>
      </c>
    </row>
    <row r="4072" spans="1:11" x14ac:dyDescent="0.25">
      <c r="A4072" s="5"/>
      <c r="B4072" s="63" t="str">
        <f>IFERROR(TEXT(tbl_Ventes[[#This Row],[Date]],"mm-aaaa"),"")</f>
        <v>01-1900</v>
      </c>
      <c r="D4072" s="10" t="str">
        <f>IFERROR(
   INDEX(tbl_ProduitsRef[Cde_Prdt],MATCH(tbl_Ventes[[#This Row],[Produit]],tbl_ProduitsRef[Produit],0)),
   ""
)</f>
        <v/>
      </c>
      <c r="E4072" s="7">
        <v>0</v>
      </c>
      <c r="F4072" s="7" t="str">
        <f>IFERROR(
   INDEX(tbl_ProduitsRef[Prix Menu],MATCH(tbl_Ventes[[#This Row],[Produit]],tbl_ProduitsRef[Produit],0)),
   ""
)</f>
        <v/>
      </c>
      <c r="G4072" s="7">
        <f>tbl_Ventes[[#This Row],[Qté Vendue]] * IFERROR(_xlfn.XLOOKUP(tbl_Ventes[[#This Row],[Cde_Prdt]], tbl_Produits[Cde_Prdt], tbl_Produits[Prix Menu]), 0)</f>
        <v>0</v>
      </c>
      <c r="H4072" s="7">
        <f>IFERROR(_xlfn.XLOOKUP(tbl_Ventes[[#This Row],[Cde_Prdt]], tbl_Produits[Cde_Prdt], tbl_Produits[Coût Moyen Portion]), 0)</f>
        <v>0</v>
      </c>
      <c r="I4072" s="7">
        <f>tbl_Ventes[[#This Row],[Qté Vendue]] * tbl_Ventes[[#This Row],[CMP_par_portion]]</f>
        <v>0</v>
      </c>
      <c r="J4072" s="7">
        <f>tbl_Ventes[[#This Row],[CA ligne]] - tbl_Ventes[[#This Row],[Coût matière ligne]]</f>
        <v>0</v>
      </c>
      <c r="K4072" s="7" t="str">
        <f>IFERROR(INDEX(tbl_ProduitsRef[Famille], MATCH(tbl_Ventes[[#This Row],[Cde_Prdt]], tbl_Produits[Cde_Prdt], 0)), "")</f>
        <v/>
      </c>
    </row>
    <row r="4073" spans="1:11" x14ac:dyDescent="0.25">
      <c r="A4073" s="5"/>
      <c r="B4073" s="63" t="str">
        <f>IFERROR(TEXT(tbl_Ventes[[#This Row],[Date]],"mm-aaaa"),"")</f>
        <v>01-1900</v>
      </c>
      <c r="D4073" s="10" t="str">
        <f>IFERROR(
   INDEX(tbl_ProduitsRef[Cde_Prdt],MATCH(tbl_Ventes[[#This Row],[Produit]],tbl_ProduitsRef[Produit],0)),
   ""
)</f>
        <v/>
      </c>
      <c r="E4073" s="7">
        <v>0</v>
      </c>
      <c r="F4073" s="7" t="str">
        <f>IFERROR(
   INDEX(tbl_ProduitsRef[Prix Menu],MATCH(tbl_Ventes[[#This Row],[Produit]],tbl_ProduitsRef[Produit],0)),
   ""
)</f>
        <v/>
      </c>
      <c r="G4073" s="7">
        <f>tbl_Ventes[[#This Row],[Qté Vendue]] * IFERROR(_xlfn.XLOOKUP(tbl_Ventes[[#This Row],[Cde_Prdt]], tbl_Produits[Cde_Prdt], tbl_Produits[Prix Menu]), 0)</f>
        <v>0</v>
      </c>
      <c r="H4073" s="7">
        <f>IFERROR(_xlfn.XLOOKUP(tbl_Ventes[[#This Row],[Cde_Prdt]], tbl_Produits[Cde_Prdt], tbl_Produits[Coût Moyen Portion]), 0)</f>
        <v>0</v>
      </c>
      <c r="I4073" s="7">
        <f>tbl_Ventes[[#This Row],[Qté Vendue]] * tbl_Ventes[[#This Row],[CMP_par_portion]]</f>
        <v>0</v>
      </c>
      <c r="J4073" s="7">
        <f>tbl_Ventes[[#This Row],[CA ligne]] - tbl_Ventes[[#This Row],[Coût matière ligne]]</f>
        <v>0</v>
      </c>
      <c r="K4073" s="7" t="str">
        <f>IFERROR(INDEX(tbl_ProduitsRef[Famille], MATCH(tbl_Ventes[[#This Row],[Cde_Prdt]], tbl_Produits[Cde_Prdt], 0)), "")</f>
        <v/>
      </c>
    </row>
    <row r="4074" spans="1:11" x14ac:dyDescent="0.25">
      <c r="A4074" s="5"/>
      <c r="B4074" s="63" t="str">
        <f>IFERROR(TEXT(tbl_Ventes[[#This Row],[Date]],"mm-aaaa"),"")</f>
        <v>01-1900</v>
      </c>
      <c r="D4074" s="10" t="str">
        <f>IFERROR(
   INDEX(tbl_ProduitsRef[Cde_Prdt],MATCH(tbl_Ventes[[#This Row],[Produit]],tbl_ProduitsRef[Produit],0)),
   ""
)</f>
        <v/>
      </c>
      <c r="E4074" s="7">
        <v>0</v>
      </c>
      <c r="F4074" s="7" t="str">
        <f>IFERROR(
   INDEX(tbl_ProduitsRef[Prix Menu],MATCH(tbl_Ventes[[#This Row],[Produit]],tbl_ProduitsRef[Produit],0)),
   ""
)</f>
        <v/>
      </c>
      <c r="G4074" s="7">
        <f>tbl_Ventes[[#This Row],[Qté Vendue]] * IFERROR(_xlfn.XLOOKUP(tbl_Ventes[[#This Row],[Cde_Prdt]], tbl_Produits[Cde_Prdt], tbl_Produits[Prix Menu]), 0)</f>
        <v>0</v>
      </c>
      <c r="H4074" s="7">
        <f>IFERROR(_xlfn.XLOOKUP(tbl_Ventes[[#This Row],[Cde_Prdt]], tbl_Produits[Cde_Prdt], tbl_Produits[Coût Moyen Portion]), 0)</f>
        <v>0</v>
      </c>
      <c r="I4074" s="7">
        <f>tbl_Ventes[[#This Row],[Qté Vendue]] * tbl_Ventes[[#This Row],[CMP_par_portion]]</f>
        <v>0</v>
      </c>
      <c r="J4074" s="7">
        <f>tbl_Ventes[[#This Row],[CA ligne]] - tbl_Ventes[[#This Row],[Coût matière ligne]]</f>
        <v>0</v>
      </c>
      <c r="K4074" s="7" t="str">
        <f>IFERROR(INDEX(tbl_ProduitsRef[Famille], MATCH(tbl_Ventes[[#This Row],[Cde_Prdt]], tbl_Produits[Cde_Prdt], 0)), "")</f>
        <v/>
      </c>
    </row>
    <row r="4075" spans="1:11" x14ac:dyDescent="0.25">
      <c r="A4075" s="5"/>
      <c r="B4075" s="63" t="str">
        <f>IFERROR(TEXT(tbl_Ventes[[#This Row],[Date]],"mm-aaaa"),"")</f>
        <v>01-1900</v>
      </c>
      <c r="D4075" s="10" t="str">
        <f>IFERROR(
   INDEX(tbl_ProduitsRef[Cde_Prdt],MATCH(tbl_Ventes[[#This Row],[Produit]],tbl_ProduitsRef[Produit],0)),
   ""
)</f>
        <v/>
      </c>
      <c r="E4075" s="7">
        <v>0</v>
      </c>
      <c r="F4075" s="7" t="str">
        <f>IFERROR(
   INDEX(tbl_ProduitsRef[Prix Menu],MATCH(tbl_Ventes[[#This Row],[Produit]],tbl_ProduitsRef[Produit],0)),
   ""
)</f>
        <v/>
      </c>
      <c r="G4075" s="7">
        <f>tbl_Ventes[[#This Row],[Qté Vendue]] * IFERROR(_xlfn.XLOOKUP(tbl_Ventes[[#This Row],[Cde_Prdt]], tbl_Produits[Cde_Prdt], tbl_Produits[Prix Menu]), 0)</f>
        <v>0</v>
      </c>
      <c r="H4075" s="7">
        <f>IFERROR(_xlfn.XLOOKUP(tbl_Ventes[[#This Row],[Cde_Prdt]], tbl_Produits[Cde_Prdt], tbl_Produits[Coût Moyen Portion]), 0)</f>
        <v>0</v>
      </c>
      <c r="I4075" s="7">
        <f>tbl_Ventes[[#This Row],[Qté Vendue]] * tbl_Ventes[[#This Row],[CMP_par_portion]]</f>
        <v>0</v>
      </c>
      <c r="J4075" s="7">
        <f>tbl_Ventes[[#This Row],[CA ligne]] - tbl_Ventes[[#This Row],[Coût matière ligne]]</f>
        <v>0</v>
      </c>
      <c r="K4075" s="7" t="str">
        <f>IFERROR(INDEX(tbl_ProduitsRef[Famille], MATCH(tbl_Ventes[[#This Row],[Cde_Prdt]], tbl_Produits[Cde_Prdt], 0)), "")</f>
        <v/>
      </c>
    </row>
    <row r="4076" spans="1:11" x14ac:dyDescent="0.25">
      <c r="A4076" s="5"/>
      <c r="B4076" s="63" t="str">
        <f>IFERROR(TEXT(tbl_Ventes[[#This Row],[Date]],"mm-aaaa"),"")</f>
        <v>01-1900</v>
      </c>
      <c r="D4076" s="10" t="str">
        <f>IFERROR(
   INDEX(tbl_ProduitsRef[Cde_Prdt],MATCH(tbl_Ventes[[#This Row],[Produit]],tbl_ProduitsRef[Produit],0)),
   ""
)</f>
        <v/>
      </c>
      <c r="E4076" s="7">
        <v>0</v>
      </c>
      <c r="F4076" s="7" t="str">
        <f>IFERROR(
   INDEX(tbl_ProduitsRef[Prix Menu],MATCH(tbl_Ventes[[#This Row],[Produit]],tbl_ProduitsRef[Produit],0)),
   ""
)</f>
        <v/>
      </c>
      <c r="G4076" s="7">
        <f>tbl_Ventes[[#This Row],[Qté Vendue]] * IFERROR(_xlfn.XLOOKUP(tbl_Ventes[[#This Row],[Cde_Prdt]], tbl_Produits[Cde_Prdt], tbl_Produits[Prix Menu]), 0)</f>
        <v>0</v>
      </c>
      <c r="H4076" s="7">
        <f>IFERROR(_xlfn.XLOOKUP(tbl_Ventes[[#This Row],[Cde_Prdt]], tbl_Produits[Cde_Prdt], tbl_Produits[Coût Moyen Portion]), 0)</f>
        <v>0</v>
      </c>
      <c r="I4076" s="7">
        <f>tbl_Ventes[[#This Row],[Qté Vendue]] * tbl_Ventes[[#This Row],[CMP_par_portion]]</f>
        <v>0</v>
      </c>
      <c r="J4076" s="7">
        <f>tbl_Ventes[[#This Row],[CA ligne]] - tbl_Ventes[[#This Row],[Coût matière ligne]]</f>
        <v>0</v>
      </c>
      <c r="K4076" s="7" t="str">
        <f>IFERROR(INDEX(tbl_ProduitsRef[Famille], MATCH(tbl_Ventes[[#This Row],[Cde_Prdt]], tbl_Produits[Cde_Prdt], 0)), "")</f>
        <v/>
      </c>
    </row>
    <row r="4077" spans="1:11" x14ac:dyDescent="0.25">
      <c r="A4077" s="5"/>
      <c r="B4077" s="63" t="str">
        <f>IFERROR(TEXT(tbl_Ventes[[#This Row],[Date]],"mm-aaaa"),"")</f>
        <v>01-1900</v>
      </c>
      <c r="D4077" s="10" t="str">
        <f>IFERROR(
   INDEX(tbl_ProduitsRef[Cde_Prdt],MATCH(tbl_Ventes[[#This Row],[Produit]],tbl_ProduitsRef[Produit],0)),
   ""
)</f>
        <v/>
      </c>
      <c r="E4077" s="7">
        <v>0</v>
      </c>
      <c r="F4077" s="7" t="str">
        <f>IFERROR(
   INDEX(tbl_ProduitsRef[Prix Menu],MATCH(tbl_Ventes[[#This Row],[Produit]],tbl_ProduitsRef[Produit],0)),
   ""
)</f>
        <v/>
      </c>
      <c r="G4077" s="7">
        <f>tbl_Ventes[[#This Row],[Qté Vendue]] * IFERROR(_xlfn.XLOOKUP(tbl_Ventes[[#This Row],[Cde_Prdt]], tbl_Produits[Cde_Prdt], tbl_Produits[Prix Menu]), 0)</f>
        <v>0</v>
      </c>
      <c r="H4077" s="7">
        <f>IFERROR(_xlfn.XLOOKUP(tbl_Ventes[[#This Row],[Cde_Prdt]], tbl_Produits[Cde_Prdt], tbl_Produits[Coût Moyen Portion]), 0)</f>
        <v>0</v>
      </c>
      <c r="I4077" s="7">
        <f>tbl_Ventes[[#This Row],[Qté Vendue]] * tbl_Ventes[[#This Row],[CMP_par_portion]]</f>
        <v>0</v>
      </c>
      <c r="J4077" s="7">
        <f>tbl_Ventes[[#This Row],[CA ligne]] - tbl_Ventes[[#This Row],[Coût matière ligne]]</f>
        <v>0</v>
      </c>
      <c r="K4077" s="7" t="str">
        <f>IFERROR(INDEX(tbl_ProduitsRef[Famille], MATCH(tbl_Ventes[[#This Row],[Cde_Prdt]], tbl_Produits[Cde_Prdt], 0)), "")</f>
        <v/>
      </c>
    </row>
    <row r="4078" spans="1:11" x14ac:dyDescent="0.25">
      <c r="A4078" s="5"/>
      <c r="B4078" s="63" t="str">
        <f>IFERROR(TEXT(tbl_Ventes[[#This Row],[Date]],"mm-aaaa"),"")</f>
        <v>01-1900</v>
      </c>
      <c r="D4078" s="10" t="str">
        <f>IFERROR(
   INDEX(tbl_ProduitsRef[Cde_Prdt],MATCH(tbl_Ventes[[#This Row],[Produit]],tbl_ProduitsRef[Produit],0)),
   ""
)</f>
        <v/>
      </c>
      <c r="E4078" s="7">
        <v>0</v>
      </c>
      <c r="F4078" s="7" t="str">
        <f>IFERROR(
   INDEX(tbl_ProduitsRef[Prix Menu],MATCH(tbl_Ventes[[#This Row],[Produit]],tbl_ProduitsRef[Produit],0)),
   ""
)</f>
        <v/>
      </c>
      <c r="G4078" s="7">
        <f>tbl_Ventes[[#This Row],[Qté Vendue]] * IFERROR(_xlfn.XLOOKUP(tbl_Ventes[[#This Row],[Cde_Prdt]], tbl_Produits[Cde_Prdt], tbl_Produits[Prix Menu]), 0)</f>
        <v>0</v>
      </c>
      <c r="H4078" s="7">
        <f>IFERROR(_xlfn.XLOOKUP(tbl_Ventes[[#This Row],[Cde_Prdt]], tbl_Produits[Cde_Prdt], tbl_Produits[Coût Moyen Portion]), 0)</f>
        <v>0</v>
      </c>
      <c r="I4078" s="7">
        <f>tbl_Ventes[[#This Row],[Qté Vendue]] * tbl_Ventes[[#This Row],[CMP_par_portion]]</f>
        <v>0</v>
      </c>
      <c r="J4078" s="7">
        <f>tbl_Ventes[[#This Row],[CA ligne]] - tbl_Ventes[[#This Row],[Coût matière ligne]]</f>
        <v>0</v>
      </c>
      <c r="K4078" s="7" t="str">
        <f>IFERROR(INDEX(tbl_ProduitsRef[Famille], MATCH(tbl_Ventes[[#This Row],[Cde_Prdt]], tbl_Produits[Cde_Prdt], 0)), "")</f>
        <v/>
      </c>
    </row>
    <row r="4079" spans="1:11" x14ac:dyDescent="0.25">
      <c r="A4079" s="5"/>
      <c r="B4079" s="63" t="str">
        <f>IFERROR(TEXT(tbl_Ventes[[#This Row],[Date]],"mm-aaaa"),"")</f>
        <v>01-1900</v>
      </c>
      <c r="D4079" s="10" t="str">
        <f>IFERROR(
   INDEX(tbl_ProduitsRef[Cde_Prdt],MATCH(tbl_Ventes[[#This Row],[Produit]],tbl_ProduitsRef[Produit],0)),
   ""
)</f>
        <v/>
      </c>
      <c r="E4079" s="7">
        <v>0</v>
      </c>
      <c r="F4079" s="7" t="str">
        <f>IFERROR(
   INDEX(tbl_ProduitsRef[Prix Menu],MATCH(tbl_Ventes[[#This Row],[Produit]],tbl_ProduitsRef[Produit],0)),
   ""
)</f>
        <v/>
      </c>
      <c r="G4079" s="7">
        <f>tbl_Ventes[[#This Row],[Qté Vendue]] * IFERROR(_xlfn.XLOOKUP(tbl_Ventes[[#This Row],[Cde_Prdt]], tbl_Produits[Cde_Prdt], tbl_Produits[Prix Menu]), 0)</f>
        <v>0</v>
      </c>
      <c r="H4079" s="7">
        <f>IFERROR(_xlfn.XLOOKUP(tbl_Ventes[[#This Row],[Cde_Prdt]], tbl_Produits[Cde_Prdt], tbl_Produits[Coût Moyen Portion]), 0)</f>
        <v>0</v>
      </c>
      <c r="I4079" s="7">
        <f>tbl_Ventes[[#This Row],[Qté Vendue]] * tbl_Ventes[[#This Row],[CMP_par_portion]]</f>
        <v>0</v>
      </c>
      <c r="J4079" s="7">
        <f>tbl_Ventes[[#This Row],[CA ligne]] - tbl_Ventes[[#This Row],[Coût matière ligne]]</f>
        <v>0</v>
      </c>
      <c r="K4079" s="7" t="str">
        <f>IFERROR(INDEX(tbl_ProduitsRef[Famille], MATCH(tbl_Ventes[[#This Row],[Cde_Prdt]], tbl_Produits[Cde_Prdt], 0)), "")</f>
        <v/>
      </c>
    </row>
    <row r="4080" spans="1:11" x14ac:dyDescent="0.25">
      <c r="A4080" s="5"/>
      <c r="B4080" s="63" t="str">
        <f>IFERROR(TEXT(tbl_Ventes[[#This Row],[Date]],"mm-aaaa"),"")</f>
        <v>01-1900</v>
      </c>
      <c r="D4080" s="10" t="str">
        <f>IFERROR(
   INDEX(tbl_ProduitsRef[Cde_Prdt],MATCH(tbl_Ventes[[#This Row],[Produit]],tbl_ProduitsRef[Produit],0)),
   ""
)</f>
        <v/>
      </c>
      <c r="E4080" s="7">
        <v>0</v>
      </c>
      <c r="F4080" s="7" t="str">
        <f>IFERROR(
   INDEX(tbl_ProduitsRef[Prix Menu],MATCH(tbl_Ventes[[#This Row],[Produit]],tbl_ProduitsRef[Produit],0)),
   ""
)</f>
        <v/>
      </c>
      <c r="G4080" s="7">
        <f>tbl_Ventes[[#This Row],[Qté Vendue]] * IFERROR(_xlfn.XLOOKUP(tbl_Ventes[[#This Row],[Cde_Prdt]], tbl_Produits[Cde_Prdt], tbl_Produits[Prix Menu]), 0)</f>
        <v>0</v>
      </c>
      <c r="H4080" s="7">
        <f>IFERROR(_xlfn.XLOOKUP(tbl_Ventes[[#This Row],[Cde_Prdt]], tbl_Produits[Cde_Prdt], tbl_Produits[Coût Moyen Portion]), 0)</f>
        <v>0</v>
      </c>
      <c r="I4080" s="7">
        <f>tbl_Ventes[[#This Row],[Qté Vendue]] * tbl_Ventes[[#This Row],[CMP_par_portion]]</f>
        <v>0</v>
      </c>
      <c r="J4080" s="7">
        <f>tbl_Ventes[[#This Row],[CA ligne]] - tbl_Ventes[[#This Row],[Coût matière ligne]]</f>
        <v>0</v>
      </c>
      <c r="K4080" s="7" t="str">
        <f>IFERROR(INDEX(tbl_ProduitsRef[Famille], MATCH(tbl_Ventes[[#This Row],[Cde_Prdt]], tbl_Produits[Cde_Prdt], 0)), "")</f>
        <v/>
      </c>
    </row>
    <row r="4081" spans="1:11" x14ac:dyDescent="0.25">
      <c r="A4081" s="5"/>
      <c r="B4081" s="63" t="str">
        <f>IFERROR(TEXT(tbl_Ventes[[#This Row],[Date]],"mm-aaaa"),"")</f>
        <v>01-1900</v>
      </c>
      <c r="D4081" s="10" t="str">
        <f>IFERROR(
   INDEX(tbl_ProduitsRef[Cde_Prdt],MATCH(tbl_Ventes[[#This Row],[Produit]],tbl_ProduitsRef[Produit],0)),
   ""
)</f>
        <v/>
      </c>
      <c r="E4081" s="7">
        <v>0</v>
      </c>
      <c r="F4081" s="7" t="str">
        <f>IFERROR(
   INDEX(tbl_ProduitsRef[Prix Menu],MATCH(tbl_Ventes[[#This Row],[Produit]],tbl_ProduitsRef[Produit],0)),
   ""
)</f>
        <v/>
      </c>
      <c r="G4081" s="7">
        <f>tbl_Ventes[[#This Row],[Qté Vendue]] * IFERROR(_xlfn.XLOOKUP(tbl_Ventes[[#This Row],[Cde_Prdt]], tbl_Produits[Cde_Prdt], tbl_Produits[Prix Menu]), 0)</f>
        <v>0</v>
      </c>
      <c r="H4081" s="7">
        <f>IFERROR(_xlfn.XLOOKUP(tbl_Ventes[[#This Row],[Cde_Prdt]], tbl_Produits[Cde_Prdt], tbl_Produits[Coût Moyen Portion]), 0)</f>
        <v>0</v>
      </c>
      <c r="I4081" s="7">
        <f>tbl_Ventes[[#This Row],[Qté Vendue]] * tbl_Ventes[[#This Row],[CMP_par_portion]]</f>
        <v>0</v>
      </c>
      <c r="J4081" s="7">
        <f>tbl_Ventes[[#This Row],[CA ligne]] - tbl_Ventes[[#This Row],[Coût matière ligne]]</f>
        <v>0</v>
      </c>
      <c r="K4081" s="7" t="str">
        <f>IFERROR(INDEX(tbl_ProduitsRef[Famille], MATCH(tbl_Ventes[[#This Row],[Cde_Prdt]], tbl_Produits[Cde_Prdt], 0)), "")</f>
        <v/>
      </c>
    </row>
    <row r="4082" spans="1:11" x14ac:dyDescent="0.25">
      <c r="A4082" s="5"/>
      <c r="B4082" s="63" t="str">
        <f>IFERROR(TEXT(tbl_Ventes[[#This Row],[Date]],"mm-aaaa"),"")</f>
        <v>01-1900</v>
      </c>
      <c r="D4082" s="10" t="str">
        <f>IFERROR(
   INDEX(tbl_ProduitsRef[Cde_Prdt],MATCH(tbl_Ventes[[#This Row],[Produit]],tbl_ProduitsRef[Produit],0)),
   ""
)</f>
        <v/>
      </c>
      <c r="E4082" s="7">
        <v>0</v>
      </c>
      <c r="F4082" s="7" t="str">
        <f>IFERROR(
   INDEX(tbl_ProduitsRef[Prix Menu],MATCH(tbl_Ventes[[#This Row],[Produit]],tbl_ProduitsRef[Produit],0)),
   ""
)</f>
        <v/>
      </c>
      <c r="G4082" s="7">
        <f>tbl_Ventes[[#This Row],[Qté Vendue]] * IFERROR(_xlfn.XLOOKUP(tbl_Ventes[[#This Row],[Cde_Prdt]], tbl_Produits[Cde_Prdt], tbl_Produits[Prix Menu]), 0)</f>
        <v>0</v>
      </c>
      <c r="H4082" s="7">
        <f>IFERROR(_xlfn.XLOOKUP(tbl_Ventes[[#This Row],[Cde_Prdt]], tbl_Produits[Cde_Prdt], tbl_Produits[Coût Moyen Portion]), 0)</f>
        <v>0</v>
      </c>
      <c r="I4082" s="7">
        <f>tbl_Ventes[[#This Row],[Qté Vendue]] * tbl_Ventes[[#This Row],[CMP_par_portion]]</f>
        <v>0</v>
      </c>
      <c r="J4082" s="7">
        <f>tbl_Ventes[[#This Row],[CA ligne]] - tbl_Ventes[[#This Row],[Coût matière ligne]]</f>
        <v>0</v>
      </c>
      <c r="K4082" s="7" t="str">
        <f>IFERROR(INDEX(tbl_ProduitsRef[Famille], MATCH(tbl_Ventes[[#This Row],[Cde_Prdt]], tbl_Produits[Cde_Prdt], 0)), "")</f>
        <v/>
      </c>
    </row>
    <row r="4083" spans="1:11" x14ac:dyDescent="0.25">
      <c r="A4083" s="5"/>
      <c r="B4083" s="63" t="str">
        <f>IFERROR(TEXT(tbl_Ventes[[#This Row],[Date]],"mm-aaaa"),"")</f>
        <v>01-1900</v>
      </c>
      <c r="D4083" s="10" t="str">
        <f>IFERROR(
   INDEX(tbl_ProduitsRef[Cde_Prdt],MATCH(tbl_Ventes[[#This Row],[Produit]],tbl_ProduitsRef[Produit],0)),
   ""
)</f>
        <v/>
      </c>
      <c r="E4083" s="7">
        <v>0</v>
      </c>
      <c r="F4083" s="7" t="str">
        <f>IFERROR(
   INDEX(tbl_ProduitsRef[Prix Menu],MATCH(tbl_Ventes[[#This Row],[Produit]],tbl_ProduitsRef[Produit],0)),
   ""
)</f>
        <v/>
      </c>
      <c r="G4083" s="7">
        <f>tbl_Ventes[[#This Row],[Qté Vendue]] * IFERROR(_xlfn.XLOOKUP(tbl_Ventes[[#This Row],[Cde_Prdt]], tbl_Produits[Cde_Prdt], tbl_Produits[Prix Menu]), 0)</f>
        <v>0</v>
      </c>
      <c r="H4083" s="7">
        <f>IFERROR(_xlfn.XLOOKUP(tbl_Ventes[[#This Row],[Cde_Prdt]], tbl_Produits[Cde_Prdt], tbl_Produits[Coût Moyen Portion]), 0)</f>
        <v>0</v>
      </c>
      <c r="I4083" s="7">
        <f>tbl_Ventes[[#This Row],[Qté Vendue]] * tbl_Ventes[[#This Row],[CMP_par_portion]]</f>
        <v>0</v>
      </c>
      <c r="J4083" s="7">
        <f>tbl_Ventes[[#This Row],[CA ligne]] - tbl_Ventes[[#This Row],[Coût matière ligne]]</f>
        <v>0</v>
      </c>
      <c r="K4083" s="7" t="str">
        <f>IFERROR(INDEX(tbl_ProduitsRef[Famille], MATCH(tbl_Ventes[[#This Row],[Cde_Prdt]], tbl_Produits[Cde_Prdt], 0)), "")</f>
        <v/>
      </c>
    </row>
    <row r="4084" spans="1:11" x14ac:dyDescent="0.25">
      <c r="A4084" s="5"/>
      <c r="B4084" s="63" t="str">
        <f>IFERROR(TEXT(tbl_Ventes[[#This Row],[Date]],"mm-aaaa"),"")</f>
        <v>01-1900</v>
      </c>
      <c r="D4084" s="10" t="str">
        <f>IFERROR(
   INDEX(tbl_ProduitsRef[Cde_Prdt],MATCH(tbl_Ventes[[#This Row],[Produit]],tbl_ProduitsRef[Produit],0)),
   ""
)</f>
        <v/>
      </c>
      <c r="E4084" s="7">
        <v>0</v>
      </c>
      <c r="F4084" s="7" t="str">
        <f>IFERROR(
   INDEX(tbl_ProduitsRef[Prix Menu],MATCH(tbl_Ventes[[#This Row],[Produit]],tbl_ProduitsRef[Produit],0)),
   ""
)</f>
        <v/>
      </c>
      <c r="G4084" s="7">
        <f>tbl_Ventes[[#This Row],[Qté Vendue]] * IFERROR(_xlfn.XLOOKUP(tbl_Ventes[[#This Row],[Cde_Prdt]], tbl_Produits[Cde_Prdt], tbl_Produits[Prix Menu]), 0)</f>
        <v>0</v>
      </c>
      <c r="H4084" s="7">
        <f>IFERROR(_xlfn.XLOOKUP(tbl_Ventes[[#This Row],[Cde_Prdt]], tbl_Produits[Cde_Prdt], tbl_Produits[Coût Moyen Portion]), 0)</f>
        <v>0</v>
      </c>
      <c r="I4084" s="7">
        <f>tbl_Ventes[[#This Row],[Qté Vendue]] * tbl_Ventes[[#This Row],[CMP_par_portion]]</f>
        <v>0</v>
      </c>
      <c r="J4084" s="7">
        <f>tbl_Ventes[[#This Row],[CA ligne]] - tbl_Ventes[[#This Row],[Coût matière ligne]]</f>
        <v>0</v>
      </c>
      <c r="K4084" s="7" t="str">
        <f>IFERROR(INDEX(tbl_ProduitsRef[Famille], MATCH(tbl_Ventes[[#This Row],[Cde_Prdt]], tbl_Produits[Cde_Prdt], 0)), "")</f>
        <v/>
      </c>
    </row>
    <row r="4085" spans="1:11" x14ac:dyDescent="0.25">
      <c r="A4085" s="5"/>
      <c r="B4085" s="63" t="str">
        <f>IFERROR(TEXT(tbl_Ventes[[#This Row],[Date]],"mm-aaaa"),"")</f>
        <v>01-1900</v>
      </c>
      <c r="D4085" s="10" t="str">
        <f>IFERROR(
   INDEX(tbl_ProduitsRef[Cde_Prdt],MATCH(tbl_Ventes[[#This Row],[Produit]],tbl_ProduitsRef[Produit],0)),
   ""
)</f>
        <v/>
      </c>
      <c r="E4085" s="7">
        <v>0</v>
      </c>
      <c r="F4085" s="7" t="str">
        <f>IFERROR(
   INDEX(tbl_ProduitsRef[Prix Menu],MATCH(tbl_Ventes[[#This Row],[Produit]],tbl_ProduitsRef[Produit],0)),
   ""
)</f>
        <v/>
      </c>
      <c r="G4085" s="7">
        <f>tbl_Ventes[[#This Row],[Qté Vendue]] * IFERROR(_xlfn.XLOOKUP(tbl_Ventes[[#This Row],[Cde_Prdt]], tbl_Produits[Cde_Prdt], tbl_Produits[Prix Menu]), 0)</f>
        <v>0</v>
      </c>
      <c r="H4085" s="7">
        <f>IFERROR(_xlfn.XLOOKUP(tbl_Ventes[[#This Row],[Cde_Prdt]], tbl_Produits[Cde_Prdt], tbl_Produits[Coût Moyen Portion]), 0)</f>
        <v>0</v>
      </c>
      <c r="I4085" s="7">
        <f>tbl_Ventes[[#This Row],[Qté Vendue]] * tbl_Ventes[[#This Row],[CMP_par_portion]]</f>
        <v>0</v>
      </c>
      <c r="J4085" s="7">
        <f>tbl_Ventes[[#This Row],[CA ligne]] - tbl_Ventes[[#This Row],[Coût matière ligne]]</f>
        <v>0</v>
      </c>
      <c r="K4085" s="7" t="str">
        <f>IFERROR(INDEX(tbl_ProduitsRef[Famille], MATCH(tbl_Ventes[[#This Row],[Cde_Prdt]], tbl_Produits[Cde_Prdt], 0)), "")</f>
        <v/>
      </c>
    </row>
    <row r="4086" spans="1:11" x14ac:dyDescent="0.25">
      <c r="A4086" s="5"/>
      <c r="B4086" s="63" t="str">
        <f>IFERROR(TEXT(tbl_Ventes[[#This Row],[Date]],"mm-aaaa"),"")</f>
        <v>01-1900</v>
      </c>
      <c r="D4086" s="10" t="str">
        <f>IFERROR(
   INDEX(tbl_ProduitsRef[Cde_Prdt],MATCH(tbl_Ventes[[#This Row],[Produit]],tbl_ProduitsRef[Produit],0)),
   ""
)</f>
        <v/>
      </c>
      <c r="E4086" s="7">
        <v>0</v>
      </c>
      <c r="F4086" s="7" t="str">
        <f>IFERROR(
   INDEX(tbl_ProduitsRef[Prix Menu],MATCH(tbl_Ventes[[#This Row],[Produit]],tbl_ProduitsRef[Produit],0)),
   ""
)</f>
        <v/>
      </c>
      <c r="G4086" s="7">
        <f>tbl_Ventes[[#This Row],[Qté Vendue]] * IFERROR(_xlfn.XLOOKUP(tbl_Ventes[[#This Row],[Cde_Prdt]], tbl_Produits[Cde_Prdt], tbl_Produits[Prix Menu]), 0)</f>
        <v>0</v>
      </c>
      <c r="H4086" s="7">
        <f>IFERROR(_xlfn.XLOOKUP(tbl_Ventes[[#This Row],[Cde_Prdt]], tbl_Produits[Cde_Prdt], tbl_Produits[Coût Moyen Portion]), 0)</f>
        <v>0</v>
      </c>
      <c r="I4086" s="7">
        <f>tbl_Ventes[[#This Row],[Qté Vendue]] * tbl_Ventes[[#This Row],[CMP_par_portion]]</f>
        <v>0</v>
      </c>
      <c r="J4086" s="7">
        <f>tbl_Ventes[[#This Row],[CA ligne]] - tbl_Ventes[[#This Row],[Coût matière ligne]]</f>
        <v>0</v>
      </c>
      <c r="K4086" s="7" t="str">
        <f>IFERROR(INDEX(tbl_ProduitsRef[Famille], MATCH(tbl_Ventes[[#This Row],[Cde_Prdt]], tbl_Produits[Cde_Prdt], 0)), "")</f>
        <v/>
      </c>
    </row>
    <row r="4087" spans="1:11" x14ac:dyDescent="0.25">
      <c r="A4087" s="5"/>
      <c r="B4087" s="63" t="str">
        <f>IFERROR(TEXT(tbl_Ventes[[#This Row],[Date]],"mm-aaaa"),"")</f>
        <v>01-1900</v>
      </c>
      <c r="D4087" s="10" t="str">
        <f>IFERROR(
   INDEX(tbl_ProduitsRef[Cde_Prdt],MATCH(tbl_Ventes[[#This Row],[Produit]],tbl_ProduitsRef[Produit],0)),
   ""
)</f>
        <v/>
      </c>
      <c r="E4087" s="7">
        <v>0</v>
      </c>
      <c r="F4087" s="7" t="str">
        <f>IFERROR(
   INDEX(tbl_ProduitsRef[Prix Menu],MATCH(tbl_Ventes[[#This Row],[Produit]],tbl_ProduitsRef[Produit],0)),
   ""
)</f>
        <v/>
      </c>
      <c r="G4087" s="7">
        <f>tbl_Ventes[[#This Row],[Qté Vendue]] * IFERROR(_xlfn.XLOOKUP(tbl_Ventes[[#This Row],[Cde_Prdt]], tbl_Produits[Cde_Prdt], tbl_Produits[Prix Menu]), 0)</f>
        <v>0</v>
      </c>
      <c r="H4087" s="7">
        <f>IFERROR(_xlfn.XLOOKUP(tbl_Ventes[[#This Row],[Cde_Prdt]], tbl_Produits[Cde_Prdt], tbl_Produits[Coût Moyen Portion]), 0)</f>
        <v>0</v>
      </c>
      <c r="I4087" s="7">
        <f>tbl_Ventes[[#This Row],[Qté Vendue]] * tbl_Ventes[[#This Row],[CMP_par_portion]]</f>
        <v>0</v>
      </c>
      <c r="J4087" s="7">
        <f>tbl_Ventes[[#This Row],[CA ligne]] - tbl_Ventes[[#This Row],[Coût matière ligne]]</f>
        <v>0</v>
      </c>
      <c r="K4087" s="7" t="str">
        <f>IFERROR(INDEX(tbl_ProduitsRef[Famille], MATCH(tbl_Ventes[[#This Row],[Cde_Prdt]], tbl_Produits[Cde_Prdt], 0)), "")</f>
        <v/>
      </c>
    </row>
    <row r="4088" spans="1:11" x14ac:dyDescent="0.25">
      <c r="A4088" s="5"/>
      <c r="B4088" s="63" t="str">
        <f>IFERROR(TEXT(tbl_Ventes[[#This Row],[Date]],"mm-aaaa"),"")</f>
        <v>01-1900</v>
      </c>
      <c r="D4088" s="10" t="str">
        <f>IFERROR(
   INDEX(tbl_ProduitsRef[Cde_Prdt],MATCH(tbl_Ventes[[#This Row],[Produit]],tbl_ProduitsRef[Produit],0)),
   ""
)</f>
        <v/>
      </c>
      <c r="E4088" s="7">
        <v>0</v>
      </c>
      <c r="F4088" s="7" t="str">
        <f>IFERROR(
   INDEX(tbl_ProduitsRef[Prix Menu],MATCH(tbl_Ventes[[#This Row],[Produit]],tbl_ProduitsRef[Produit],0)),
   ""
)</f>
        <v/>
      </c>
      <c r="G4088" s="7">
        <f>tbl_Ventes[[#This Row],[Qté Vendue]] * IFERROR(_xlfn.XLOOKUP(tbl_Ventes[[#This Row],[Cde_Prdt]], tbl_Produits[Cde_Prdt], tbl_Produits[Prix Menu]), 0)</f>
        <v>0</v>
      </c>
      <c r="H4088" s="7">
        <f>IFERROR(_xlfn.XLOOKUP(tbl_Ventes[[#This Row],[Cde_Prdt]], tbl_Produits[Cde_Prdt], tbl_Produits[Coût Moyen Portion]), 0)</f>
        <v>0</v>
      </c>
      <c r="I4088" s="7">
        <f>tbl_Ventes[[#This Row],[Qté Vendue]] * tbl_Ventes[[#This Row],[CMP_par_portion]]</f>
        <v>0</v>
      </c>
      <c r="J4088" s="7">
        <f>tbl_Ventes[[#This Row],[CA ligne]] - tbl_Ventes[[#This Row],[Coût matière ligne]]</f>
        <v>0</v>
      </c>
      <c r="K4088" s="7" t="str">
        <f>IFERROR(INDEX(tbl_ProduitsRef[Famille], MATCH(tbl_Ventes[[#This Row],[Cde_Prdt]], tbl_Produits[Cde_Prdt], 0)), "")</f>
        <v/>
      </c>
    </row>
    <row r="4089" spans="1:11" x14ac:dyDescent="0.25">
      <c r="A4089" s="5"/>
      <c r="B4089" s="63" t="str">
        <f>IFERROR(TEXT(tbl_Ventes[[#This Row],[Date]],"mm-aaaa"),"")</f>
        <v>01-1900</v>
      </c>
      <c r="D4089" s="10" t="str">
        <f>IFERROR(
   INDEX(tbl_ProduitsRef[Cde_Prdt],MATCH(tbl_Ventes[[#This Row],[Produit]],tbl_ProduitsRef[Produit],0)),
   ""
)</f>
        <v/>
      </c>
      <c r="E4089" s="7">
        <v>0</v>
      </c>
      <c r="F4089" s="7" t="str">
        <f>IFERROR(
   INDEX(tbl_ProduitsRef[Prix Menu],MATCH(tbl_Ventes[[#This Row],[Produit]],tbl_ProduitsRef[Produit],0)),
   ""
)</f>
        <v/>
      </c>
      <c r="G4089" s="7">
        <f>tbl_Ventes[[#This Row],[Qté Vendue]] * IFERROR(_xlfn.XLOOKUP(tbl_Ventes[[#This Row],[Cde_Prdt]], tbl_Produits[Cde_Prdt], tbl_Produits[Prix Menu]), 0)</f>
        <v>0</v>
      </c>
      <c r="H4089" s="7">
        <f>IFERROR(_xlfn.XLOOKUP(tbl_Ventes[[#This Row],[Cde_Prdt]], tbl_Produits[Cde_Prdt], tbl_Produits[Coût Moyen Portion]), 0)</f>
        <v>0</v>
      </c>
      <c r="I4089" s="7">
        <f>tbl_Ventes[[#This Row],[Qté Vendue]] * tbl_Ventes[[#This Row],[CMP_par_portion]]</f>
        <v>0</v>
      </c>
      <c r="J4089" s="7">
        <f>tbl_Ventes[[#This Row],[CA ligne]] - tbl_Ventes[[#This Row],[Coût matière ligne]]</f>
        <v>0</v>
      </c>
      <c r="K4089" s="7" t="str">
        <f>IFERROR(INDEX(tbl_ProduitsRef[Famille], MATCH(tbl_Ventes[[#This Row],[Cde_Prdt]], tbl_Produits[Cde_Prdt], 0)), "")</f>
        <v/>
      </c>
    </row>
    <row r="4090" spans="1:11" x14ac:dyDescent="0.25">
      <c r="A4090" s="5"/>
      <c r="B4090" s="63" t="str">
        <f>IFERROR(TEXT(tbl_Ventes[[#This Row],[Date]],"mm-aaaa"),"")</f>
        <v>01-1900</v>
      </c>
      <c r="D4090" s="10" t="str">
        <f>IFERROR(
   INDEX(tbl_ProduitsRef[Cde_Prdt],MATCH(tbl_Ventes[[#This Row],[Produit]],tbl_ProduitsRef[Produit],0)),
   ""
)</f>
        <v/>
      </c>
      <c r="E4090" s="7">
        <v>0</v>
      </c>
      <c r="F4090" s="7" t="str">
        <f>IFERROR(
   INDEX(tbl_ProduitsRef[Prix Menu],MATCH(tbl_Ventes[[#This Row],[Produit]],tbl_ProduitsRef[Produit],0)),
   ""
)</f>
        <v/>
      </c>
      <c r="G4090" s="7">
        <f>tbl_Ventes[[#This Row],[Qté Vendue]] * IFERROR(_xlfn.XLOOKUP(tbl_Ventes[[#This Row],[Cde_Prdt]], tbl_Produits[Cde_Prdt], tbl_Produits[Prix Menu]), 0)</f>
        <v>0</v>
      </c>
      <c r="H4090" s="7">
        <f>IFERROR(_xlfn.XLOOKUP(tbl_Ventes[[#This Row],[Cde_Prdt]], tbl_Produits[Cde_Prdt], tbl_Produits[Coût Moyen Portion]), 0)</f>
        <v>0</v>
      </c>
      <c r="I4090" s="7">
        <f>tbl_Ventes[[#This Row],[Qté Vendue]] * tbl_Ventes[[#This Row],[CMP_par_portion]]</f>
        <v>0</v>
      </c>
      <c r="J4090" s="7">
        <f>tbl_Ventes[[#This Row],[CA ligne]] - tbl_Ventes[[#This Row],[Coût matière ligne]]</f>
        <v>0</v>
      </c>
      <c r="K4090" s="7" t="str">
        <f>IFERROR(INDEX(tbl_ProduitsRef[Famille], MATCH(tbl_Ventes[[#This Row],[Cde_Prdt]], tbl_Produits[Cde_Prdt], 0)), "")</f>
        <v/>
      </c>
    </row>
    <row r="4091" spans="1:11" x14ac:dyDescent="0.25">
      <c r="A4091" s="5"/>
      <c r="B4091" s="63" t="str">
        <f>IFERROR(TEXT(tbl_Ventes[[#This Row],[Date]],"mm-aaaa"),"")</f>
        <v>01-1900</v>
      </c>
      <c r="D4091" s="10" t="str">
        <f>IFERROR(
   INDEX(tbl_ProduitsRef[Cde_Prdt],MATCH(tbl_Ventes[[#This Row],[Produit]],tbl_ProduitsRef[Produit],0)),
   ""
)</f>
        <v/>
      </c>
      <c r="E4091" s="7">
        <v>0</v>
      </c>
      <c r="F4091" s="7" t="str">
        <f>IFERROR(
   INDEX(tbl_ProduitsRef[Prix Menu],MATCH(tbl_Ventes[[#This Row],[Produit]],tbl_ProduitsRef[Produit],0)),
   ""
)</f>
        <v/>
      </c>
      <c r="G4091" s="7">
        <f>tbl_Ventes[[#This Row],[Qté Vendue]] * IFERROR(_xlfn.XLOOKUP(tbl_Ventes[[#This Row],[Cde_Prdt]], tbl_Produits[Cde_Prdt], tbl_Produits[Prix Menu]), 0)</f>
        <v>0</v>
      </c>
      <c r="H4091" s="7">
        <f>IFERROR(_xlfn.XLOOKUP(tbl_Ventes[[#This Row],[Cde_Prdt]], tbl_Produits[Cde_Prdt], tbl_Produits[Coût Moyen Portion]), 0)</f>
        <v>0</v>
      </c>
      <c r="I4091" s="7">
        <f>tbl_Ventes[[#This Row],[Qté Vendue]] * tbl_Ventes[[#This Row],[CMP_par_portion]]</f>
        <v>0</v>
      </c>
      <c r="J4091" s="7">
        <f>tbl_Ventes[[#This Row],[CA ligne]] - tbl_Ventes[[#This Row],[Coût matière ligne]]</f>
        <v>0</v>
      </c>
      <c r="K4091" s="7" t="str">
        <f>IFERROR(INDEX(tbl_ProduitsRef[Famille], MATCH(tbl_Ventes[[#This Row],[Cde_Prdt]], tbl_Produits[Cde_Prdt], 0)), "")</f>
        <v/>
      </c>
    </row>
    <row r="4092" spans="1:11" x14ac:dyDescent="0.25">
      <c r="A4092" s="5"/>
      <c r="B4092" s="63" t="str">
        <f>IFERROR(TEXT(tbl_Ventes[[#This Row],[Date]],"mm-aaaa"),"")</f>
        <v>01-1900</v>
      </c>
      <c r="D4092" s="10" t="str">
        <f>IFERROR(
   INDEX(tbl_ProduitsRef[Cde_Prdt],MATCH(tbl_Ventes[[#This Row],[Produit]],tbl_ProduitsRef[Produit],0)),
   ""
)</f>
        <v/>
      </c>
      <c r="E4092" s="7">
        <v>0</v>
      </c>
      <c r="F4092" s="7" t="str">
        <f>IFERROR(
   INDEX(tbl_ProduitsRef[Prix Menu],MATCH(tbl_Ventes[[#This Row],[Produit]],tbl_ProduitsRef[Produit],0)),
   ""
)</f>
        <v/>
      </c>
      <c r="G4092" s="7">
        <f>tbl_Ventes[[#This Row],[Qté Vendue]] * IFERROR(_xlfn.XLOOKUP(tbl_Ventes[[#This Row],[Cde_Prdt]], tbl_Produits[Cde_Prdt], tbl_Produits[Prix Menu]), 0)</f>
        <v>0</v>
      </c>
      <c r="H4092" s="7">
        <f>IFERROR(_xlfn.XLOOKUP(tbl_Ventes[[#This Row],[Cde_Prdt]], tbl_Produits[Cde_Prdt], tbl_Produits[Coût Moyen Portion]), 0)</f>
        <v>0</v>
      </c>
      <c r="I4092" s="7">
        <f>tbl_Ventes[[#This Row],[Qté Vendue]] * tbl_Ventes[[#This Row],[CMP_par_portion]]</f>
        <v>0</v>
      </c>
      <c r="J4092" s="7">
        <f>tbl_Ventes[[#This Row],[CA ligne]] - tbl_Ventes[[#This Row],[Coût matière ligne]]</f>
        <v>0</v>
      </c>
      <c r="K4092" s="7" t="str">
        <f>IFERROR(INDEX(tbl_ProduitsRef[Famille], MATCH(tbl_Ventes[[#This Row],[Cde_Prdt]], tbl_Produits[Cde_Prdt], 0)), "")</f>
        <v/>
      </c>
    </row>
    <row r="4093" spans="1:11" x14ac:dyDescent="0.25">
      <c r="A4093" s="5"/>
      <c r="B4093" s="63" t="str">
        <f>IFERROR(TEXT(tbl_Ventes[[#This Row],[Date]],"mm-aaaa"),"")</f>
        <v>01-1900</v>
      </c>
      <c r="D4093" s="10" t="str">
        <f>IFERROR(
   INDEX(tbl_ProduitsRef[Cde_Prdt],MATCH(tbl_Ventes[[#This Row],[Produit]],tbl_ProduitsRef[Produit],0)),
   ""
)</f>
        <v/>
      </c>
      <c r="E4093" s="7">
        <v>0</v>
      </c>
      <c r="F4093" s="7" t="str">
        <f>IFERROR(
   INDEX(tbl_ProduitsRef[Prix Menu],MATCH(tbl_Ventes[[#This Row],[Produit]],tbl_ProduitsRef[Produit],0)),
   ""
)</f>
        <v/>
      </c>
      <c r="G4093" s="7">
        <f>tbl_Ventes[[#This Row],[Qté Vendue]] * IFERROR(_xlfn.XLOOKUP(tbl_Ventes[[#This Row],[Cde_Prdt]], tbl_Produits[Cde_Prdt], tbl_Produits[Prix Menu]), 0)</f>
        <v>0</v>
      </c>
      <c r="H4093" s="7">
        <f>IFERROR(_xlfn.XLOOKUP(tbl_Ventes[[#This Row],[Cde_Prdt]], tbl_Produits[Cde_Prdt], tbl_Produits[Coût Moyen Portion]), 0)</f>
        <v>0</v>
      </c>
      <c r="I4093" s="7">
        <f>tbl_Ventes[[#This Row],[Qté Vendue]] * tbl_Ventes[[#This Row],[CMP_par_portion]]</f>
        <v>0</v>
      </c>
      <c r="J4093" s="7">
        <f>tbl_Ventes[[#This Row],[CA ligne]] - tbl_Ventes[[#This Row],[Coût matière ligne]]</f>
        <v>0</v>
      </c>
      <c r="K4093" s="7" t="str">
        <f>IFERROR(INDEX(tbl_ProduitsRef[Famille], MATCH(tbl_Ventes[[#This Row],[Cde_Prdt]], tbl_Produits[Cde_Prdt], 0)), "")</f>
        <v/>
      </c>
    </row>
    <row r="4094" spans="1:11" x14ac:dyDescent="0.25">
      <c r="A4094" s="5"/>
      <c r="B4094" s="63" t="str">
        <f>IFERROR(TEXT(tbl_Ventes[[#This Row],[Date]],"mm-aaaa"),"")</f>
        <v>01-1900</v>
      </c>
      <c r="D4094" s="10" t="str">
        <f>IFERROR(
   INDEX(tbl_ProduitsRef[Cde_Prdt],MATCH(tbl_Ventes[[#This Row],[Produit]],tbl_ProduitsRef[Produit],0)),
   ""
)</f>
        <v/>
      </c>
      <c r="E4094" s="7">
        <v>0</v>
      </c>
      <c r="F4094" s="7" t="str">
        <f>IFERROR(
   INDEX(tbl_ProduitsRef[Prix Menu],MATCH(tbl_Ventes[[#This Row],[Produit]],tbl_ProduitsRef[Produit],0)),
   ""
)</f>
        <v/>
      </c>
      <c r="G4094" s="7">
        <f>tbl_Ventes[[#This Row],[Qté Vendue]] * IFERROR(_xlfn.XLOOKUP(tbl_Ventes[[#This Row],[Cde_Prdt]], tbl_Produits[Cde_Prdt], tbl_Produits[Prix Menu]), 0)</f>
        <v>0</v>
      </c>
      <c r="H4094" s="7">
        <f>IFERROR(_xlfn.XLOOKUP(tbl_Ventes[[#This Row],[Cde_Prdt]], tbl_Produits[Cde_Prdt], tbl_Produits[Coût Moyen Portion]), 0)</f>
        <v>0</v>
      </c>
      <c r="I4094" s="7">
        <f>tbl_Ventes[[#This Row],[Qté Vendue]] * tbl_Ventes[[#This Row],[CMP_par_portion]]</f>
        <v>0</v>
      </c>
      <c r="J4094" s="7">
        <f>tbl_Ventes[[#This Row],[CA ligne]] - tbl_Ventes[[#This Row],[Coût matière ligne]]</f>
        <v>0</v>
      </c>
      <c r="K4094" s="7" t="str">
        <f>IFERROR(INDEX(tbl_ProduitsRef[Famille], MATCH(tbl_Ventes[[#This Row],[Cde_Prdt]], tbl_Produits[Cde_Prdt], 0)), "")</f>
        <v/>
      </c>
    </row>
    <row r="4095" spans="1:11" x14ac:dyDescent="0.25">
      <c r="A4095" s="5"/>
      <c r="B4095" s="63" t="str">
        <f>IFERROR(TEXT(tbl_Ventes[[#This Row],[Date]],"mm-aaaa"),"")</f>
        <v>01-1900</v>
      </c>
      <c r="D4095" s="10" t="str">
        <f>IFERROR(
   INDEX(tbl_ProduitsRef[Cde_Prdt],MATCH(tbl_Ventes[[#This Row],[Produit]],tbl_ProduitsRef[Produit],0)),
   ""
)</f>
        <v/>
      </c>
      <c r="E4095" s="7">
        <v>0</v>
      </c>
      <c r="F4095" s="7" t="str">
        <f>IFERROR(
   INDEX(tbl_ProduitsRef[Prix Menu],MATCH(tbl_Ventes[[#This Row],[Produit]],tbl_ProduitsRef[Produit],0)),
   ""
)</f>
        <v/>
      </c>
      <c r="G4095" s="7">
        <f>tbl_Ventes[[#This Row],[Qté Vendue]] * IFERROR(_xlfn.XLOOKUP(tbl_Ventes[[#This Row],[Cde_Prdt]], tbl_Produits[Cde_Prdt], tbl_Produits[Prix Menu]), 0)</f>
        <v>0</v>
      </c>
      <c r="H4095" s="7">
        <f>IFERROR(_xlfn.XLOOKUP(tbl_Ventes[[#This Row],[Cde_Prdt]], tbl_Produits[Cde_Prdt], tbl_Produits[Coût Moyen Portion]), 0)</f>
        <v>0</v>
      </c>
      <c r="I4095" s="7">
        <f>tbl_Ventes[[#This Row],[Qté Vendue]] * tbl_Ventes[[#This Row],[CMP_par_portion]]</f>
        <v>0</v>
      </c>
      <c r="J4095" s="7">
        <f>tbl_Ventes[[#This Row],[CA ligne]] - tbl_Ventes[[#This Row],[Coût matière ligne]]</f>
        <v>0</v>
      </c>
      <c r="K4095" s="7" t="str">
        <f>IFERROR(INDEX(tbl_ProduitsRef[Famille], MATCH(tbl_Ventes[[#This Row],[Cde_Prdt]], tbl_Produits[Cde_Prdt], 0)), "")</f>
        <v/>
      </c>
    </row>
    <row r="4096" spans="1:11" x14ac:dyDescent="0.25">
      <c r="A4096" s="5"/>
      <c r="B4096" s="63" t="str">
        <f>IFERROR(TEXT(tbl_Ventes[[#This Row],[Date]],"mm-aaaa"),"")</f>
        <v>01-1900</v>
      </c>
      <c r="D4096" s="10" t="str">
        <f>IFERROR(
   INDEX(tbl_ProduitsRef[Cde_Prdt],MATCH(tbl_Ventes[[#This Row],[Produit]],tbl_ProduitsRef[Produit],0)),
   ""
)</f>
        <v/>
      </c>
      <c r="E4096" s="7">
        <v>0</v>
      </c>
      <c r="F4096" s="7" t="str">
        <f>IFERROR(
   INDEX(tbl_ProduitsRef[Prix Menu],MATCH(tbl_Ventes[[#This Row],[Produit]],tbl_ProduitsRef[Produit],0)),
   ""
)</f>
        <v/>
      </c>
      <c r="G4096" s="7">
        <f>tbl_Ventes[[#This Row],[Qté Vendue]] * IFERROR(_xlfn.XLOOKUP(tbl_Ventes[[#This Row],[Cde_Prdt]], tbl_Produits[Cde_Prdt], tbl_Produits[Prix Menu]), 0)</f>
        <v>0</v>
      </c>
      <c r="H4096" s="7">
        <f>IFERROR(_xlfn.XLOOKUP(tbl_Ventes[[#This Row],[Cde_Prdt]], tbl_Produits[Cde_Prdt], tbl_Produits[Coût Moyen Portion]), 0)</f>
        <v>0</v>
      </c>
      <c r="I4096" s="7">
        <f>tbl_Ventes[[#This Row],[Qté Vendue]] * tbl_Ventes[[#This Row],[CMP_par_portion]]</f>
        <v>0</v>
      </c>
      <c r="J4096" s="7">
        <f>tbl_Ventes[[#This Row],[CA ligne]] - tbl_Ventes[[#This Row],[Coût matière ligne]]</f>
        <v>0</v>
      </c>
      <c r="K4096" s="7" t="str">
        <f>IFERROR(INDEX(tbl_ProduitsRef[Famille], MATCH(tbl_Ventes[[#This Row],[Cde_Prdt]], tbl_Produits[Cde_Prdt], 0)), "")</f>
        <v/>
      </c>
    </row>
    <row r="4097" spans="1:11" x14ac:dyDescent="0.25">
      <c r="A4097" s="5"/>
      <c r="B4097" s="63" t="str">
        <f>IFERROR(TEXT(tbl_Ventes[[#This Row],[Date]],"mm-aaaa"),"")</f>
        <v>01-1900</v>
      </c>
      <c r="D4097" s="10" t="str">
        <f>IFERROR(
   INDEX(tbl_ProduitsRef[Cde_Prdt],MATCH(tbl_Ventes[[#This Row],[Produit]],tbl_ProduitsRef[Produit],0)),
   ""
)</f>
        <v/>
      </c>
      <c r="E4097" s="7">
        <v>0</v>
      </c>
      <c r="F4097" s="7" t="str">
        <f>IFERROR(
   INDEX(tbl_ProduitsRef[Prix Menu],MATCH(tbl_Ventes[[#This Row],[Produit]],tbl_ProduitsRef[Produit],0)),
   ""
)</f>
        <v/>
      </c>
      <c r="G4097" s="7">
        <f>tbl_Ventes[[#This Row],[Qté Vendue]] * IFERROR(_xlfn.XLOOKUP(tbl_Ventes[[#This Row],[Cde_Prdt]], tbl_Produits[Cde_Prdt], tbl_Produits[Prix Menu]), 0)</f>
        <v>0</v>
      </c>
      <c r="H4097" s="7">
        <f>IFERROR(_xlfn.XLOOKUP(tbl_Ventes[[#This Row],[Cde_Prdt]], tbl_Produits[Cde_Prdt], tbl_Produits[Coût Moyen Portion]), 0)</f>
        <v>0</v>
      </c>
      <c r="I4097" s="7">
        <f>tbl_Ventes[[#This Row],[Qté Vendue]] * tbl_Ventes[[#This Row],[CMP_par_portion]]</f>
        <v>0</v>
      </c>
      <c r="J4097" s="7">
        <f>tbl_Ventes[[#This Row],[CA ligne]] - tbl_Ventes[[#This Row],[Coût matière ligne]]</f>
        <v>0</v>
      </c>
      <c r="K4097" s="7" t="str">
        <f>IFERROR(INDEX(tbl_ProduitsRef[Famille], MATCH(tbl_Ventes[[#This Row],[Cde_Prdt]], tbl_Produits[Cde_Prdt], 0)), "")</f>
        <v/>
      </c>
    </row>
    <row r="4098" spans="1:11" x14ac:dyDescent="0.25">
      <c r="A4098" s="5"/>
      <c r="B4098" s="63" t="str">
        <f>IFERROR(TEXT(tbl_Ventes[[#This Row],[Date]],"mm-aaaa"),"")</f>
        <v>01-1900</v>
      </c>
      <c r="D4098" s="10" t="str">
        <f>IFERROR(
   INDEX(tbl_ProduitsRef[Cde_Prdt],MATCH(tbl_Ventes[[#This Row],[Produit]],tbl_ProduitsRef[Produit],0)),
   ""
)</f>
        <v/>
      </c>
      <c r="E4098" s="7">
        <v>0</v>
      </c>
      <c r="F4098" s="7" t="str">
        <f>IFERROR(
   INDEX(tbl_ProduitsRef[Prix Menu],MATCH(tbl_Ventes[[#This Row],[Produit]],tbl_ProduitsRef[Produit],0)),
   ""
)</f>
        <v/>
      </c>
      <c r="G4098" s="7">
        <f>tbl_Ventes[[#This Row],[Qté Vendue]] * IFERROR(_xlfn.XLOOKUP(tbl_Ventes[[#This Row],[Cde_Prdt]], tbl_Produits[Cde_Prdt], tbl_Produits[Prix Menu]), 0)</f>
        <v>0</v>
      </c>
      <c r="H4098" s="7">
        <f>IFERROR(_xlfn.XLOOKUP(tbl_Ventes[[#This Row],[Cde_Prdt]], tbl_Produits[Cde_Prdt], tbl_Produits[Coût Moyen Portion]), 0)</f>
        <v>0</v>
      </c>
      <c r="I4098" s="7">
        <f>tbl_Ventes[[#This Row],[Qté Vendue]] * tbl_Ventes[[#This Row],[CMP_par_portion]]</f>
        <v>0</v>
      </c>
      <c r="J4098" s="7">
        <f>tbl_Ventes[[#This Row],[CA ligne]] - tbl_Ventes[[#This Row],[Coût matière ligne]]</f>
        <v>0</v>
      </c>
      <c r="K4098" s="7" t="str">
        <f>IFERROR(INDEX(tbl_ProduitsRef[Famille], MATCH(tbl_Ventes[[#This Row],[Cde_Prdt]], tbl_Produits[Cde_Prdt], 0)), "")</f>
        <v/>
      </c>
    </row>
    <row r="4099" spans="1:11" x14ac:dyDescent="0.25">
      <c r="A4099" s="5"/>
      <c r="B4099" s="63" t="str">
        <f>IFERROR(TEXT(tbl_Ventes[[#This Row],[Date]],"mm-aaaa"),"")</f>
        <v>01-1900</v>
      </c>
      <c r="D4099" s="10" t="str">
        <f>IFERROR(
   INDEX(tbl_ProduitsRef[Cde_Prdt],MATCH(tbl_Ventes[[#This Row],[Produit]],tbl_ProduitsRef[Produit],0)),
   ""
)</f>
        <v/>
      </c>
      <c r="E4099" s="7">
        <v>0</v>
      </c>
      <c r="F4099" s="7" t="str">
        <f>IFERROR(
   INDEX(tbl_ProduitsRef[Prix Menu],MATCH(tbl_Ventes[[#This Row],[Produit]],tbl_ProduitsRef[Produit],0)),
   ""
)</f>
        <v/>
      </c>
      <c r="G4099" s="7">
        <f>tbl_Ventes[[#This Row],[Qté Vendue]] * IFERROR(_xlfn.XLOOKUP(tbl_Ventes[[#This Row],[Cde_Prdt]], tbl_Produits[Cde_Prdt], tbl_Produits[Prix Menu]), 0)</f>
        <v>0</v>
      </c>
      <c r="H4099" s="7">
        <f>IFERROR(_xlfn.XLOOKUP(tbl_Ventes[[#This Row],[Cde_Prdt]], tbl_Produits[Cde_Prdt], tbl_Produits[Coût Moyen Portion]), 0)</f>
        <v>0</v>
      </c>
      <c r="I4099" s="7">
        <f>tbl_Ventes[[#This Row],[Qté Vendue]] * tbl_Ventes[[#This Row],[CMP_par_portion]]</f>
        <v>0</v>
      </c>
      <c r="J4099" s="7">
        <f>tbl_Ventes[[#This Row],[CA ligne]] - tbl_Ventes[[#This Row],[Coût matière ligne]]</f>
        <v>0</v>
      </c>
      <c r="K4099" s="7" t="str">
        <f>IFERROR(INDEX(tbl_ProduitsRef[Famille], MATCH(tbl_Ventes[[#This Row],[Cde_Prdt]], tbl_Produits[Cde_Prdt], 0)), "")</f>
        <v/>
      </c>
    </row>
    <row r="4100" spans="1:11" x14ac:dyDescent="0.25">
      <c r="A4100" s="5"/>
      <c r="B4100" s="63" t="str">
        <f>IFERROR(TEXT(tbl_Ventes[[#This Row],[Date]],"mm-aaaa"),"")</f>
        <v>01-1900</v>
      </c>
      <c r="D4100" s="10" t="str">
        <f>IFERROR(
   INDEX(tbl_ProduitsRef[Cde_Prdt],MATCH(tbl_Ventes[[#This Row],[Produit]],tbl_ProduitsRef[Produit],0)),
   ""
)</f>
        <v/>
      </c>
      <c r="E4100" s="7">
        <v>0</v>
      </c>
      <c r="F4100" s="7" t="str">
        <f>IFERROR(
   INDEX(tbl_ProduitsRef[Prix Menu],MATCH(tbl_Ventes[[#This Row],[Produit]],tbl_ProduitsRef[Produit],0)),
   ""
)</f>
        <v/>
      </c>
      <c r="G4100" s="7">
        <f>tbl_Ventes[[#This Row],[Qté Vendue]] * IFERROR(_xlfn.XLOOKUP(tbl_Ventes[[#This Row],[Cde_Prdt]], tbl_Produits[Cde_Prdt], tbl_Produits[Prix Menu]), 0)</f>
        <v>0</v>
      </c>
      <c r="H4100" s="7">
        <f>IFERROR(_xlfn.XLOOKUP(tbl_Ventes[[#This Row],[Cde_Prdt]], tbl_Produits[Cde_Prdt], tbl_Produits[Coût Moyen Portion]), 0)</f>
        <v>0</v>
      </c>
      <c r="I4100" s="7">
        <f>tbl_Ventes[[#This Row],[Qté Vendue]] * tbl_Ventes[[#This Row],[CMP_par_portion]]</f>
        <v>0</v>
      </c>
      <c r="J4100" s="7">
        <f>tbl_Ventes[[#This Row],[CA ligne]] - tbl_Ventes[[#This Row],[Coût matière ligne]]</f>
        <v>0</v>
      </c>
      <c r="K4100" s="7" t="str">
        <f>IFERROR(INDEX(tbl_ProduitsRef[Famille], MATCH(tbl_Ventes[[#This Row],[Cde_Prdt]], tbl_Produits[Cde_Prdt], 0)), "")</f>
        <v/>
      </c>
    </row>
    <row r="4101" spans="1:11" x14ac:dyDescent="0.25">
      <c r="A4101" s="5"/>
      <c r="B4101" s="63" t="str">
        <f>IFERROR(TEXT(tbl_Ventes[[#This Row],[Date]],"mm-aaaa"),"")</f>
        <v>01-1900</v>
      </c>
      <c r="D4101" s="10" t="str">
        <f>IFERROR(
   INDEX(tbl_ProduitsRef[Cde_Prdt],MATCH(tbl_Ventes[[#This Row],[Produit]],tbl_ProduitsRef[Produit],0)),
   ""
)</f>
        <v/>
      </c>
      <c r="E4101" s="7">
        <v>0</v>
      </c>
      <c r="F4101" s="7" t="str">
        <f>IFERROR(
   INDEX(tbl_ProduitsRef[Prix Menu],MATCH(tbl_Ventes[[#This Row],[Produit]],tbl_ProduitsRef[Produit],0)),
   ""
)</f>
        <v/>
      </c>
      <c r="G4101" s="7">
        <f>tbl_Ventes[[#This Row],[Qté Vendue]] * IFERROR(_xlfn.XLOOKUP(tbl_Ventes[[#This Row],[Cde_Prdt]], tbl_Produits[Cde_Prdt], tbl_Produits[Prix Menu]), 0)</f>
        <v>0</v>
      </c>
      <c r="H4101" s="7">
        <f>IFERROR(_xlfn.XLOOKUP(tbl_Ventes[[#This Row],[Cde_Prdt]], tbl_Produits[Cde_Prdt], tbl_Produits[Coût Moyen Portion]), 0)</f>
        <v>0</v>
      </c>
      <c r="I4101" s="7">
        <f>tbl_Ventes[[#This Row],[Qté Vendue]] * tbl_Ventes[[#This Row],[CMP_par_portion]]</f>
        <v>0</v>
      </c>
      <c r="J4101" s="7">
        <f>tbl_Ventes[[#This Row],[CA ligne]] - tbl_Ventes[[#This Row],[Coût matière ligne]]</f>
        <v>0</v>
      </c>
      <c r="K4101" s="7" t="str">
        <f>IFERROR(INDEX(tbl_ProduitsRef[Famille], MATCH(tbl_Ventes[[#This Row],[Cde_Prdt]], tbl_Produits[Cde_Prdt], 0)), "")</f>
        <v/>
      </c>
    </row>
    <row r="4102" spans="1:11" x14ac:dyDescent="0.25">
      <c r="A4102" s="5"/>
      <c r="B4102" s="63" t="str">
        <f>IFERROR(TEXT(tbl_Ventes[[#This Row],[Date]],"mm-aaaa"),"")</f>
        <v>01-1900</v>
      </c>
      <c r="D4102" s="10" t="str">
        <f>IFERROR(
   INDEX(tbl_ProduitsRef[Cde_Prdt],MATCH(tbl_Ventes[[#This Row],[Produit]],tbl_ProduitsRef[Produit],0)),
   ""
)</f>
        <v/>
      </c>
      <c r="E4102" s="7">
        <v>0</v>
      </c>
      <c r="F4102" s="7" t="str">
        <f>IFERROR(
   INDEX(tbl_ProduitsRef[Prix Menu],MATCH(tbl_Ventes[[#This Row],[Produit]],tbl_ProduitsRef[Produit],0)),
   ""
)</f>
        <v/>
      </c>
      <c r="G4102" s="7">
        <f>tbl_Ventes[[#This Row],[Qté Vendue]] * IFERROR(_xlfn.XLOOKUP(tbl_Ventes[[#This Row],[Cde_Prdt]], tbl_Produits[Cde_Prdt], tbl_Produits[Prix Menu]), 0)</f>
        <v>0</v>
      </c>
      <c r="H4102" s="7">
        <f>IFERROR(_xlfn.XLOOKUP(tbl_Ventes[[#This Row],[Cde_Prdt]], tbl_Produits[Cde_Prdt], tbl_Produits[Coût Moyen Portion]), 0)</f>
        <v>0</v>
      </c>
      <c r="I4102" s="7">
        <f>tbl_Ventes[[#This Row],[Qté Vendue]] * tbl_Ventes[[#This Row],[CMP_par_portion]]</f>
        <v>0</v>
      </c>
      <c r="J4102" s="7">
        <f>tbl_Ventes[[#This Row],[CA ligne]] - tbl_Ventes[[#This Row],[Coût matière ligne]]</f>
        <v>0</v>
      </c>
      <c r="K4102" s="7" t="str">
        <f>IFERROR(INDEX(tbl_ProduitsRef[Famille], MATCH(tbl_Ventes[[#This Row],[Cde_Prdt]], tbl_Produits[Cde_Prdt], 0)), "")</f>
        <v/>
      </c>
    </row>
    <row r="4103" spans="1:11" x14ac:dyDescent="0.25">
      <c r="A4103" s="5"/>
      <c r="B4103" s="63" t="str">
        <f>IFERROR(TEXT(tbl_Ventes[[#This Row],[Date]],"mm-aaaa"),"")</f>
        <v>01-1900</v>
      </c>
      <c r="D4103" s="10" t="str">
        <f>IFERROR(
   INDEX(tbl_ProduitsRef[Cde_Prdt],MATCH(tbl_Ventes[[#This Row],[Produit]],tbl_ProduitsRef[Produit],0)),
   ""
)</f>
        <v/>
      </c>
      <c r="E4103" s="7">
        <v>0</v>
      </c>
      <c r="F4103" s="7" t="str">
        <f>IFERROR(
   INDEX(tbl_ProduitsRef[Prix Menu],MATCH(tbl_Ventes[[#This Row],[Produit]],tbl_ProduitsRef[Produit],0)),
   ""
)</f>
        <v/>
      </c>
      <c r="G4103" s="7">
        <f>tbl_Ventes[[#This Row],[Qté Vendue]] * IFERROR(_xlfn.XLOOKUP(tbl_Ventes[[#This Row],[Cde_Prdt]], tbl_Produits[Cde_Prdt], tbl_Produits[Prix Menu]), 0)</f>
        <v>0</v>
      </c>
      <c r="H4103" s="7">
        <f>IFERROR(_xlfn.XLOOKUP(tbl_Ventes[[#This Row],[Cde_Prdt]], tbl_Produits[Cde_Prdt], tbl_Produits[Coût Moyen Portion]), 0)</f>
        <v>0</v>
      </c>
      <c r="I4103" s="7">
        <f>tbl_Ventes[[#This Row],[Qté Vendue]] * tbl_Ventes[[#This Row],[CMP_par_portion]]</f>
        <v>0</v>
      </c>
      <c r="J4103" s="7">
        <f>tbl_Ventes[[#This Row],[CA ligne]] - tbl_Ventes[[#This Row],[Coût matière ligne]]</f>
        <v>0</v>
      </c>
      <c r="K4103" s="7" t="str">
        <f>IFERROR(INDEX(tbl_ProduitsRef[Famille], MATCH(tbl_Ventes[[#This Row],[Cde_Prdt]], tbl_Produits[Cde_Prdt], 0)), "")</f>
        <v/>
      </c>
    </row>
    <row r="4104" spans="1:11" x14ac:dyDescent="0.25">
      <c r="A4104" s="5"/>
      <c r="B4104" s="63" t="str">
        <f>IFERROR(TEXT(tbl_Ventes[[#This Row],[Date]],"mm-aaaa"),"")</f>
        <v>01-1900</v>
      </c>
      <c r="D4104" s="10" t="str">
        <f>IFERROR(
   INDEX(tbl_ProduitsRef[Cde_Prdt],MATCH(tbl_Ventes[[#This Row],[Produit]],tbl_ProduitsRef[Produit],0)),
   ""
)</f>
        <v/>
      </c>
      <c r="E4104" s="7">
        <v>0</v>
      </c>
      <c r="F4104" s="7" t="str">
        <f>IFERROR(
   INDEX(tbl_ProduitsRef[Prix Menu],MATCH(tbl_Ventes[[#This Row],[Produit]],tbl_ProduitsRef[Produit],0)),
   ""
)</f>
        <v/>
      </c>
      <c r="G4104" s="7">
        <f>tbl_Ventes[[#This Row],[Qté Vendue]] * IFERROR(_xlfn.XLOOKUP(tbl_Ventes[[#This Row],[Cde_Prdt]], tbl_Produits[Cde_Prdt], tbl_Produits[Prix Menu]), 0)</f>
        <v>0</v>
      </c>
      <c r="H4104" s="7">
        <f>IFERROR(_xlfn.XLOOKUP(tbl_Ventes[[#This Row],[Cde_Prdt]], tbl_Produits[Cde_Prdt], tbl_Produits[Coût Moyen Portion]), 0)</f>
        <v>0</v>
      </c>
      <c r="I4104" s="7">
        <f>tbl_Ventes[[#This Row],[Qté Vendue]] * tbl_Ventes[[#This Row],[CMP_par_portion]]</f>
        <v>0</v>
      </c>
      <c r="J4104" s="7">
        <f>tbl_Ventes[[#This Row],[CA ligne]] - tbl_Ventes[[#This Row],[Coût matière ligne]]</f>
        <v>0</v>
      </c>
      <c r="K4104" s="7" t="str">
        <f>IFERROR(INDEX(tbl_ProduitsRef[Famille], MATCH(tbl_Ventes[[#This Row],[Cde_Prdt]], tbl_Produits[Cde_Prdt], 0)), "")</f>
        <v/>
      </c>
    </row>
    <row r="4105" spans="1:11" x14ac:dyDescent="0.25">
      <c r="A4105" s="5"/>
      <c r="B4105" s="63" t="str">
        <f>IFERROR(TEXT(tbl_Ventes[[#This Row],[Date]],"mm-aaaa"),"")</f>
        <v>01-1900</v>
      </c>
      <c r="D4105" s="10" t="str">
        <f>IFERROR(
   INDEX(tbl_ProduitsRef[Cde_Prdt],MATCH(tbl_Ventes[[#This Row],[Produit]],tbl_ProduitsRef[Produit],0)),
   ""
)</f>
        <v/>
      </c>
      <c r="E4105" s="7">
        <v>0</v>
      </c>
      <c r="F4105" s="7" t="str">
        <f>IFERROR(
   INDEX(tbl_ProduitsRef[Prix Menu],MATCH(tbl_Ventes[[#This Row],[Produit]],tbl_ProduitsRef[Produit],0)),
   ""
)</f>
        <v/>
      </c>
      <c r="G4105" s="7">
        <f>tbl_Ventes[[#This Row],[Qté Vendue]] * IFERROR(_xlfn.XLOOKUP(tbl_Ventes[[#This Row],[Cde_Prdt]], tbl_Produits[Cde_Prdt], tbl_Produits[Prix Menu]), 0)</f>
        <v>0</v>
      </c>
      <c r="H4105" s="7">
        <f>IFERROR(_xlfn.XLOOKUP(tbl_Ventes[[#This Row],[Cde_Prdt]], tbl_Produits[Cde_Prdt], tbl_Produits[Coût Moyen Portion]), 0)</f>
        <v>0</v>
      </c>
      <c r="I4105" s="7">
        <f>tbl_Ventes[[#This Row],[Qté Vendue]] * tbl_Ventes[[#This Row],[CMP_par_portion]]</f>
        <v>0</v>
      </c>
      <c r="J4105" s="7">
        <f>tbl_Ventes[[#This Row],[CA ligne]] - tbl_Ventes[[#This Row],[Coût matière ligne]]</f>
        <v>0</v>
      </c>
      <c r="K4105" s="7" t="str">
        <f>IFERROR(INDEX(tbl_ProduitsRef[Famille], MATCH(tbl_Ventes[[#This Row],[Cde_Prdt]], tbl_Produits[Cde_Prdt], 0)), "")</f>
        <v/>
      </c>
    </row>
    <row r="4106" spans="1:11" x14ac:dyDescent="0.25">
      <c r="A4106" s="5"/>
      <c r="B4106" s="63" t="str">
        <f>IFERROR(TEXT(tbl_Ventes[[#This Row],[Date]],"mm-aaaa"),"")</f>
        <v>01-1900</v>
      </c>
      <c r="D4106" s="10" t="str">
        <f>IFERROR(
   INDEX(tbl_ProduitsRef[Cde_Prdt],MATCH(tbl_Ventes[[#This Row],[Produit]],tbl_ProduitsRef[Produit],0)),
   ""
)</f>
        <v/>
      </c>
      <c r="E4106" s="7">
        <v>0</v>
      </c>
      <c r="F4106" s="7" t="str">
        <f>IFERROR(
   INDEX(tbl_ProduitsRef[Prix Menu],MATCH(tbl_Ventes[[#This Row],[Produit]],tbl_ProduitsRef[Produit],0)),
   ""
)</f>
        <v/>
      </c>
      <c r="G4106" s="7">
        <f>tbl_Ventes[[#This Row],[Qté Vendue]] * IFERROR(_xlfn.XLOOKUP(tbl_Ventes[[#This Row],[Cde_Prdt]], tbl_Produits[Cde_Prdt], tbl_Produits[Prix Menu]), 0)</f>
        <v>0</v>
      </c>
      <c r="H4106" s="7">
        <f>IFERROR(_xlfn.XLOOKUP(tbl_Ventes[[#This Row],[Cde_Prdt]], tbl_Produits[Cde_Prdt], tbl_Produits[Coût Moyen Portion]), 0)</f>
        <v>0</v>
      </c>
      <c r="I4106" s="7">
        <f>tbl_Ventes[[#This Row],[Qté Vendue]] * tbl_Ventes[[#This Row],[CMP_par_portion]]</f>
        <v>0</v>
      </c>
      <c r="J4106" s="7">
        <f>tbl_Ventes[[#This Row],[CA ligne]] - tbl_Ventes[[#This Row],[Coût matière ligne]]</f>
        <v>0</v>
      </c>
      <c r="K4106" s="7" t="str">
        <f>IFERROR(INDEX(tbl_ProduitsRef[Famille], MATCH(tbl_Ventes[[#This Row],[Cde_Prdt]], tbl_Produits[Cde_Prdt], 0)), "")</f>
        <v/>
      </c>
    </row>
    <row r="4107" spans="1:11" x14ac:dyDescent="0.25">
      <c r="A4107" s="5"/>
      <c r="B4107" s="63" t="str">
        <f>IFERROR(TEXT(tbl_Ventes[[#This Row],[Date]],"mm-aaaa"),"")</f>
        <v>01-1900</v>
      </c>
      <c r="D4107" s="10" t="str">
        <f>IFERROR(
   INDEX(tbl_ProduitsRef[Cde_Prdt],MATCH(tbl_Ventes[[#This Row],[Produit]],tbl_ProduitsRef[Produit],0)),
   ""
)</f>
        <v/>
      </c>
      <c r="E4107" s="7">
        <v>0</v>
      </c>
      <c r="F4107" s="7" t="str">
        <f>IFERROR(
   INDEX(tbl_ProduitsRef[Prix Menu],MATCH(tbl_Ventes[[#This Row],[Produit]],tbl_ProduitsRef[Produit],0)),
   ""
)</f>
        <v/>
      </c>
      <c r="G4107" s="7">
        <f>tbl_Ventes[[#This Row],[Qté Vendue]] * IFERROR(_xlfn.XLOOKUP(tbl_Ventes[[#This Row],[Cde_Prdt]], tbl_Produits[Cde_Prdt], tbl_Produits[Prix Menu]), 0)</f>
        <v>0</v>
      </c>
      <c r="H4107" s="7">
        <f>IFERROR(_xlfn.XLOOKUP(tbl_Ventes[[#This Row],[Cde_Prdt]], tbl_Produits[Cde_Prdt], tbl_Produits[Coût Moyen Portion]), 0)</f>
        <v>0</v>
      </c>
      <c r="I4107" s="7">
        <f>tbl_Ventes[[#This Row],[Qté Vendue]] * tbl_Ventes[[#This Row],[CMP_par_portion]]</f>
        <v>0</v>
      </c>
      <c r="J4107" s="7">
        <f>tbl_Ventes[[#This Row],[CA ligne]] - tbl_Ventes[[#This Row],[Coût matière ligne]]</f>
        <v>0</v>
      </c>
      <c r="K4107" s="7" t="str">
        <f>IFERROR(INDEX(tbl_ProduitsRef[Famille], MATCH(tbl_Ventes[[#This Row],[Cde_Prdt]], tbl_Produits[Cde_Prdt], 0)), "")</f>
        <v/>
      </c>
    </row>
    <row r="4108" spans="1:11" x14ac:dyDescent="0.25">
      <c r="A4108" s="5"/>
      <c r="B4108" s="63" t="str">
        <f>IFERROR(TEXT(tbl_Ventes[[#This Row],[Date]],"mm-aaaa"),"")</f>
        <v>01-1900</v>
      </c>
      <c r="D4108" s="10" t="str">
        <f>IFERROR(
   INDEX(tbl_ProduitsRef[Cde_Prdt],MATCH(tbl_Ventes[[#This Row],[Produit]],tbl_ProduitsRef[Produit],0)),
   ""
)</f>
        <v/>
      </c>
      <c r="E4108" s="7">
        <v>0</v>
      </c>
      <c r="F4108" s="7" t="str">
        <f>IFERROR(
   INDEX(tbl_ProduitsRef[Prix Menu],MATCH(tbl_Ventes[[#This Row],[Produit]],tbl_ProduitsRef[Produit],0)),
   ""
)</f>
        <v/>
      </c>
      <c r="G4108" s="7">
        <f>tbl_Ventes[[#This Row],[Qté Vendue]] * IFERROR(_xlfn.XLOOKUP(tbl_Ventes[[#This Row],[Cde_Prdt]], tbl_Produits[Cde_Prdt], tbl_Produits[Prix Menu]), 0)</f>
        <v>0</v>
      </c>
      <c r="H4108" s="7">
        <f>IFERROR(_xlfn.XLOOKUP(tbl_Ventes[[#This Row],[Cde_Prdt]], tbl_Produits[Cde_Prdt], tbl_Produits[Coût Moyen Portion]), 0)</f>
        <v>0</v>
      </c>
      <c r="I4108" s="7">
        <f>tbl_Ventes[[#This Row],[Qté Vendue]] * tbl_Ventes[[#This Row],[CMP_par_portion]]</f>
        <v>0</v>
      </c>
      <c r="J4108" s="7">
        <f>tbl_Ventes[[#This Row],[CA ligne]] - tbl_Ventes[[#This Row],[Coût matière ligne]]</f>
        <v>0</v>
      </c>
      <c r="K4108" s="7" t="str">
        <f>IFERROR(INDEX(tbl_ProduitsRef[Famille], MATCH(tbl_Ventes[[#This Row],[Cde_Prdt]], tbl_Produits[Cde_Prdt], 0)), "")</f>
        <v/>
      </c>
    </row>
    <row r="4109" spans="1:11" x14ac:dyDescent="0.25">
      <c r="A4109" s="5"/>
      <c r="B4109" s="63" t="str">
        <f>IFERROR(TEXT(tbl_Ventes[[#This Row],[Date]],"mm-aaaa"),"")</f>
        <v>01-1900</v>
      </c>
      <c r="D4109" s="10" t="str">
        <f>IFERROR(
   INDEX(tbl_ProduitsRef[Cde_Prdt],MATCH(tbl_Ventes[[#This Row],[Produit]],tbl_ProduitsRef[Produit],0)),
   ""
)</f>
        <v/>
      </c>
      <c r="E4109" s="7">
        <v>0</v>
      </c>
      <c r="F4109" s="7" t="str">
        <f>IFERROR(
   INDEX(tbl_ProduitsRef[Prix Menu],MATCH(tbl_Ventes[[#This Row],[Produit]],tbl_ProduitsRef[Produit],0)),
   ""
)</f>
        <v/>
      </c>
      <c r="G4109" s="7">
        <f>tbl_Ventes[[#This Row],[Qté Vendue]] * IFERROR(_xlfn.XLOOKUP(tbl_Ventes[[#This Row],[Cde_Prdt]], tbl_Produits[Cde_Prdt], tbl_Produits[Prix Menu]), 0)</f>
        <v>0</v>
      </c>
      <c r="H4109" s="7">
        <f>IFERROR(_xlfn.XLOOKUP(tbl_Ventes[[#This Row],[Cde_Prdt]], tbl_Produits[Cde_Prdt], tbl_Produits[Coût Moyen Portion]), 0)</f>
        <v>0</v>
      </c>
      <c r="I4109" s="7">
        <f>tbl_Ventes[[#This Row],[Qté Vendue]] * tbl_Ventes[[#This Row],[CMP_par_portion]]</f>
        <v>0</v>
      </c>
      <c r="J4109" s="7">
        <f>tbl_Ventes[[#This Row],[CA ligne]] - tbl_Ventes[[#This Row],[Coût matière ligne]]</f>
        <v>0</v>
      </c>
      <c r="K4109" s="7" t="str">
        <f>IFERROR(INDEX(tbl_ProduitsRef[Famille], MATCH(tbl_Ventes[[#This Row],[Cde_Prdt]], tbl_Produits[Cde_Prdt], 0)), "")</f>
        <v/>
      </c>
    </row>
    <row r="4110" spans="1:11" x14ac:dyDescent="0.25">
      <c r="A4110" s="5"/>
      <c r="B4110" s="63" t="str">
        <f>IFERROR(TEXT(tbl_Ventes[[#This Row],[Date]],"mm-aaaa"),"")</f>
        <v>01-1900</v>
      </c>
      <c r="D4110" s="10" t="str">
        <f>IFERROR(
   INDEX(tbl_ProduitsRef[Cde_Prdt],MATCH(tbl_Ventes[[#This Row],[Produit]],tbl_ProduitsRef[Produit],0)),
   ""
)</f>
        <v/>
      </c>
      <c r="E4110" s="7">
        <v>0</v>
      </c>
      <c r="F4110" s="7" t="str">
        <f>IFERROR(
   INDEX(tbl_ProduitsRef[Prix Menu],MATCH(tbl_Ventes[[#This Row],[Produit]],tbl_ProduitsRef[Produit],0)),
   ""
)</f>
        <v/>
      </c>
      <c r="G4110" s="7">
        <f>tbl_Ventes[[#This Row],[Qté Vendue]] * IFERROR(_xlfn.XLOOKUP(tbl_Ventes[[#This Row],[Cde_Prdt]], tbl_Produits[Cde_Prdt], tbl_Produits[Prix Menu]), 0)</f>
        <v>0</v>
      </c>
      <c r="H4110" s="7">
        <f>IFERROR(_xlfn.XLOOKUP(tbl_Ventes[[#This Row],[Cde_Prdt]], tbl_Produits[Cde_Prdt], tbl_Produits[Coût Moyen Portion]), 0)</f>
        <v>0</v>
      </c>
      <c r="I4110" s="7">
        <f>tbl_Ventes[[#This Row],[Qté Vendue]] * tbl_Ventes[[#This Row],[CMP_par_portion]]</f>
        <v>0</v>
      </c>
      <c r="J4110" s="7">
        <f>tbl_Ventes[[#This Row],[CA ligne]] - tbl_Ventes[[#This Row],[Coût matière ligne]]</f>
        <v>0</v>
      </c>
      <c r="K4110" s="7" t="str">
        <f>IFERROR(INDEX(tbl_ProduitsRef[Famille], MATCH(tbl_Ventes[[#This Row],[Cde_Prdt]], tbl_Produits[Cde_Prdt], 0)), "")</f>
        <v/>
      </c>
    </row>
    <row r="4111" spans="1:11" x14ac:dyDescent="0.25">
      <c r="A4111" s="5"/>
      <c r="B4111" s="63" t="str">
        <f>IFERROR(TEXT(tbl_Ventes[[#This Row],[Date]],"mm-aaaa"),"")</f>
        <v>01-1900</v>
      </c>
      <c r="D4111" s="10" t="str">
        <f>IFERROR(
   INDEX(tbl_ProduitsRef[Cde_Prdt],MATCH(tbl_Ventes[[#This Row],[Produit]],tbl_ProduitsRef[Produit],0)),
   ""
)</f>
        <v/>
      </c>
      <c r="E4111" s="7">
        <v>0</v>
      </c>
      <c r="F4111" s="7" t="str">
        <f>IFERROR(
   INDEX(tbl_ProduitsRef[Prix Menu],MATCH(tbl_Ventes[[#This Row],[Produit]],tbl_ProduitsRef[Produit],0)),
   ""
)</f>
        <v/>
      </c>
      <c r="G4111" s="7">
        <f>tbl_Ventes[[#This Row],[Qté Vendue]] * IFERROR(_xlfn.XLOOKUP(tbl_Ventes[[#This Row],[Cde_Prdt]], tbl_Produits[Cde_Prdt], tbl_Produits[Prix Menu]), 0)</f>
        <v>0</v>
      </c>
      <c r="H4111" s="7">
        <f>IFERROR(_xlfn.XLOOKUP(tbl_Ventes[[#This Row],[Cde_Prdt]], tbl_Produits[Cde_Prdt], tbl_Produits[Coût Moyen Portion]), 0)</f>
        <v>0</v>
      </c>
      <c r="I4111" s="7">
        <f>tbl_Ventes[[#This Row],[Qté Vendue]] * tbl_Ventes[[#This Row],[CMP_par_portion]]</f>
        <v>0</v>
      </c>
      <c r="J4111" s="7">
        <f>tbl_Ventes[[#This Row],[CA ligne]] - tbl_Ventes[[#This Row],[Coût matière ligne]]</f>
        <v>0</v>
      </c>
      <c r="K4111" s="7" t="str">
        <f>IFERROR(INDEX(tbl_ProduitsRef[Famille], MATCH(tbl_Ventes[[#This Row],[Cde_Prdt]], tbl_Produits[Cde_Prdt], 0)), "")</f>
        <v/>
      </c>
    </row>
    <row r="4112" spans="1:11" x14ac:dyDescent="0.25">
      <c r="A4112" s="5"/>
      <c r="B4112" s="63" t="str">
        <f>IFERROR(TEXT(tbl_Ventes[[#This Row],[Date]],"mm-aaaa"),"")</f>
        <v>01-1900</v>
      </c>
      <c r="D4112" s="10" t="str">
        <f>IFERROR(
   INDEX(tbl_ProduitsRef[Cde_Prdt],MATCH(tbl_Ventes[[#This Row],[Produit]],tbl_ProduitsRef[Produit],0)),
   ""
)</f>
        <v/>
      </c>
      <c r="E4112" s="7">
        <v>0</v>
      </c>
      <c r="F4112" s="7" t="str">
        <f>IFERROR(
   INDEX(tbl_ProduitsRef[Prix Menu],MATCH(tbl_Ventes[[#This Row],[Produit]],tbl_ProduitsRef[Produit],0)),
   ""
)</f>
        <v/>
      </c>
      <c r="G4112" s="7">
        <f>tbl_Ventes[[#This Row],[Qté Vendue]] * IFERROR(_xlfn.XLOOKUP(tbl_Ventes[[#This Row],[Cde_Prdt]], tbl_Produits[Cde_Prdt], tbl_Produits[Prix Menu]), 0)</f>
        <v>0</v>
      </c>
      <c r="H4112" s="7">
        <f>IFERROR(_xlfn.XLOOKUP(tbl_Ventes[[#This Row],[Cde_Prdt]], tbl_Produits[Cde_Prdt], tbl_Produits[Coût Moyen Portion]), 0)</f>
        <v>0</v>
      </c>
      <c r="I4112" s="7">
        <f>tbl_Ventes[[#This Row],[Qté Vendue]] * tbl_Ventes[[#This Row],[CMP_par_portion]]</f>
        <v>0</v>
      </c>
      <c r="J4112" s="7">
        <f>tbl_Ventes[[#This Row],[CA ligne]] - tbl_Ventes[[#This Row],[Coût matière ligne]]</f>
        <v>0</v>
      </c>
      <c r="K4112" s="7" t="str">
        <f>IFERROR(INDEX(tbl_ProduitsRef[Famille], MATCH(tbl_Ventes[[#This Row],[Cde_Prdt]], tbl_Produits[Cde_Prdt], 0)), "")</f>
        <v/>
      </c>
    </row>
    <row r="4113" spans="1:11" x14ac:dyDescent="0.25">
      <c r="A4113" s="5"/>
      <c r="B4113" s="63" t="str">
        <f>IFERROR(TEXT(tbl_Ventes[[#This Row],[Date]],"mm-aaaa"),"")</f>
        <v>01-1900</v>
      </c>
      <c r="D4113" s="10" t="str">
        <f>IFERROR(
   INDEX(tbl_ProduitsRef[Cde_Prdt],MATCH(tbl_Ventes[[#This Row],[Produit]],tbl_ProduitsRef[Produit],0)),
   ""
)</f>
        <v/>
      </c>
      <c r="E4113" s="7">
        <v>0</v>
      </c>
      <c r="F4113" s="7" t="str">
        <f>IFERROR(
   INDEX(tbl_ProduitsRef[Prix Menu],MATCH(tbl_Ventes[[#This Row],[Produit]],tbl_ProduitsRef[Produit],0)),
   ""
)</f>
        <v/>
      </c>
      <c r="G4113" s="7">
        <f>tbl_Ventes[[#This Row],[Qté Vendue]] * IFERROR(_xlfn.XLOOKUP(tbl_Ventes[[#This Row],[Cde_Prdt]], tbl_Produits[Cde_Prdt], tbl_Produits[Prix Menu]), 0)</f>
        <v>0</v>
      </c>
      <c r="H4113" s="7">
        <f>IFERROR(_xlfn.XLOOKUP(tbl_Ventes[[#This Row],[Cde_Prdt]], tbl_Produits[Cde_Prdt], tbl_Produits[Coût Moyen Portion]), 0)</f>
        <v>0</v>
      </c>
      <c r="I4113" s="7">
        <f>tbl_Ventes[[#This Row],[Qté Vendue]] * tbl_Ventes[[#This Row],[CMP_par_portion]]</f>
        <v>0</v>
      </c>
      <c r="J4113" s="7">
        <f>tbl_Ventes[[#This Row],[CA ligne]] - tbl_Ventes[[#This Row],[Coût matière ligne]]</f>
        <v>0</v>
      </c>
      <c r="K4113" s="7" t="str">
        <f>IFERROR(INDEX(tbl_ProduitsRef[Famille], MATCH(tbl_Ventes[[#This Row],[Cde_Prdt]], tbl_Produits[Cde_Prdt], 0)), "")</f>
        <v/>
      </c>
    </row>
    <row r="4114" spans="1:11" x14ac:dyDescent="0.25">
      <c r="A4114" s="5"/>
      <c r="B4114" s="63" t="str">
        <f>IFERROR(TEXT(tbl_Ventes[[#This Row],[Date]],"mm-aaaa"),"")</f>
        <v>01-1900</v>
      </c>
      <c r="D4114" s="10" t="str">
        <f>IFERROR(
   INDEX(tbl_ProduitsRef[Cde_Prdt],MATCH(tbl_Ventes[[#This Row],[Produit]],tbl_ProduitsRef[Produit],0)),
   ""
)</f>
        <v/>
      </c>
      <c r="E4114" s="7">
        <v>0</v>
      </c>
      <c r="F4114" s="7" t="str">
        <f>IFERROR(
   INDEX(tbl_ProduitsRef[Prix Menu],MATCH(tbl_Ventes[[#This Row],[Produit]],tbl_ProduitsRef[Produit],0)),
   ""
)</f>
        <v/>
      </c>
      <c r="G4114" s="7">
        <f>tbl_Ventes[[#This Row],[Qté Vendue]] * IFERROR(_xlfn.XLOOKUP(tbl_Ventes[[#This Row],[Cde_Prdt]], tbl_Produits[Cde_Prdt], tbl_Produits[Prix Menu]), 0)</f>
        <v>0</v>
      </c>
      <c r="H4114" s="7">
        <f>IFERROR(_xlfn.XLOOKUP(tbl_Ventes[[#This Row],[Cde_Prdt]], tbl_Produits[Cde_Prdt], tbl_Produits[Coût Moyen Portion]), 0)</f>
        <v>0</v>
      </c>
      <c r="I4114" s="7">
        <f>tbl_Ventes[[#This Row],[Qté Vendue]] * tbl_Ventes[[#This Row],[CMP_par_portion]]</f>
        <v>0</v>
      </c>
      <c r="J4114" s="7">
        <f>tbl_Ventes[[#This Row],[CA ligne]] - tbl_Ventes[[#This Row],[Coût matière ligne]]</f>
        <v>0</v>
      </c>
      <c r="K4114" s="7" t="str">
        <f>IFERROR(INDEX(tbl_ProduitsRef[Famille], MATCH(tbl_Ventes[[#This Row],[Cde_Prdt]], tbl_Produits[Cde_Prdt], 0)), "")</f>
        <v/>
      </c>
    </row>
    <row r="4115" spans="1:11" x14ac:dyDescent="0.25">
      <c r="A4115" s="5"/>
      <c r="B4115" s="63" t="str">
        <f>IFERROR(TEXT(tbl_Ventes[[#This Row],[Date]],"mm-aaaa"),"")</f>
        <v>01-1900</v>
      </c>
      <c r="D4115" s="10" t="str">
        <f>IFERROR(
   INDEX(tbl_ProduitsRef[Cde_Prdt],MATCH(tbl_Ventes[[#This Row],[Produit]],tbl_ProduitsRef[Produit],0)),
   ""
)</f>
        <v/>
      </c>
      <c r="E4115" s="7">
        <v>0</v>
      </c>
      <c r="F4115" s="7" t="str">
        <f>IFERROR(
   INDEX(tbl_ProduitsRef[Prix Menu],MATCH(tbl_Ventes[[#This Row],[Produit]],tbl_ProduitsRef[Produit],0)),
   ""
)</f>
        <v/>
      </c>
      <c r="G4115" s="7">
        <f>tbl_Ventes[[#This Row],[Qté Vendue]] * IFERROR(_xlfn.XLOOKUP(tbl_Ventes[[#This Row],[Cde_Prdt]], tbl_Produits[Cde_Prdt], tbl_Produits[Prix Menu]), 0)</f>
        <v>0</v>
      </c>
      <c r="H4115" s="7">
        <f>IFERROR(_xlfn.XLOOKUP(tbl_Ventes[[#This Row],[Cde_Prdt]], tbl_Produits[Cde_Prdt], tbl_Produits[Coût Moyen Portion]), 0)</f>
        <v>0</v>
      </c>
      <c r="I4115" s="7">
        <f>tbl_Ventes[[#This Row],[Qté Vendue]] * tbl_Ventes[[#This Row],[CMP_par_portion]]</f>
        <v>0</v>
      </c>
      <c r="J4115" s="7">
        <f>tbl_Ventes[[#This Row],[CA ligne]] - tbl_Ventes[[#This Row],[Coût matière ligne]]</f>
        <v>0</v>
      </c>
      <c r="K4115" s="7" t="str">
        <f>IFERROR(INDEX(tbl_ProduitsRef[Famille], MATCH(tbl_Ventes[[#This Row],[Cde_Prdt]], tbl_Produits[Cde_Prdt], 0)), "")</f>
        <v/>
      </c>
    </row>
    <row r="4116" spans="1:11" x14ac:dyDescent="0.25">
      <c r="A4116" s="5"/>
      <c r="B4116" s="63" t="str">
        <f>IFERROR(TEXT(tbl_Ventes[[#This Row],[Date]],"mm-aaaa"),"")</f>
        <v>01-1900</v>
      </c>
      <c r="D4116" s="10" t="str">
        <f>IFERROR(
   INDEX(tbl_ProduitsRef[Cde_Prdt],MATCH(tbl_Ventes[[#This Row],[Produit]],tbl_ProduitsRef[Produit],0)),
   ""
)</f>
        <v/>
      </c>
      <c r="E4116" s="7">
        <v>0</v>
      </c>
      <c r="F4116" s="7" t="str">
        <f>IFERROR(
   INDEX(tbl_ProduitsRef[Prix Menu],MATCH(tbl_Ventes[[#This Row],[Produit]],tbl_ProduitsRef[Produit],0)),
   ""
)</f>
        <v/>
      </c>
      <c r="G4116" s="7">
        <f>tbl_Ventes[[#This Row],[Qté Vendue]] * IFERROR(_xlfn.XLOOKUP(tbl_Ventes[[#This Row],[Cde_Prdt]], tbl_Produits[Cde_Prdt], tbl_Produits[Prix Menu]), 0)</f>
        <v>0</v>
      </c>
      <c r="H4116" s="7">
        <f>IFERROR(_xlfn.XLOOKUP(tbl_Ventes[[#This Row],[Cde_Prdt]], tbl_Produits[Cde_Prdt], tbl_Produits[Coût Moyen Portion]), 0)</f>
        <v>0</v>
      </c>
      <c r="I4116" s="7">
        <f>tbl_Ventes[[#This Row],[Qté Vendue]] * tbl_Ventes[[#This Row],[CMP_par_portion]]</f>
        <v>0</v>
      </c>
      <c r="J4116" s="7">
        <f>tbl_Ventes[[#This Row],[CA ligne]] - tbl_Ventes[[#This Row],[Coût matière ligne]]</f>
        <v>0</v>
      </c>
      <c r="K4116" s="7" t="str">
        <f>IFERROR(INDEX(tbl_ProduitsRef[Famille], MATCH(tbl_Ventes[[#This Row],[Cde_Prdt]], tbl_Produits[Cde_Prdt], 0)), "")</f>
        <v/>
      </c>
    </row>
    <row r="4117" spans="1:11" x14ac:dyDescent="0.25">
      <c r="A4117" s="5"/>
      <c r="B4117" s="63" t="str">
        <f>IFERROR(TEXT(tbl_Ventes[[#This Row],[Date]],"mm-aaaa"),"")</f>
        <v>01-1900</v>
      </c>
      <c r="D4117" s="10" t="str">
        <f>IFERROR(
   INDEX(tbl_ProduitsRef[Cde_Prdt],MATCH(tbl_Ventes[[#This Row],[Produit]],tbl_ProduitsRef[Produit],0)),
   ""
)</f>
        <v/>
      </c>
      <c r="E4117" s="7">
        <v>0</v>
      </c>
      <c r="F4117" s="7" t="str">
        <f>IFERROR(
   INDEX(tbl_ProduitsRef[Prix Menu],MATCH(tbl_Ventes[[#This Row],[Produit]],tbl_ProduitsRef[Produit],0)),
   ""
)</f>
        <v/>
      </c>
      <c r="G4117" s="7">
        <f>tbl_Ventes[[#This Row],[Qté Vendue]] * IFERROR(_xlfn.XLOOKUP(tbl_Ventes[[#This Row],[Cde_Prdt]], tbl_Produits[Cde_Prdt], tbl_Produits[Prix Menu]), 0)</f>
        <v>0</v>
      </c>
      <c r="H4117" s="7">
        <f>IFERROR(_xlfn.XLOOKUP(tbl_Ventes[[#This Row],[Cde_Prdt]], tbl_Produits[Cde_Prdt], tbl_Produits[Coût Moyen Portion]), 0)</f>
        <v>0</v>
      </c>
      <c r="I4117" s="7">
        <f>tbl_Ventes[[#This Row],[Qté Vendue]] * tbl_Ventes[[#This Row],[CMP_par_portion]]</f>
        <v>0</v>
      </c>
      <c r="J4117" s="7">
        <f>tbl_Ventes[[#This Row],[CA ligne]] - tbl_Ventes[[#This Row],[Coût matière ligne]]</f>
        <v>0</v>
      </c>
      <c r="K4117" s="7" t="str">
        <f>IFERROR(INDEX(tbl_ProduitsRef[Famille], MATCH(tbl_Ventes[[#This Row],[Cde_Prdt]], tbl_Produits[Cde_Prdt], 0)), "")</f>
        <v/>
      </c>
    </row>
    <row r="4118" spans="1:11" x14ac:dyDescent="0.25">
      <c r="A4118" s="5"/>
      <c r="B4118" s="63" t="str">
        <f>IFERROR(TEXT(tbl_Ventes[[#This Row],[Date]],"mm-aaaa"),"")</f>
        <v>01-1900</v>
      </c>
      <c r="D4118" s="10" t="str">
        <f>IFERROR(
   INDEX(tbl_ProduitsRef[Cde_Prdt],MATCH(tbl_Ventes[[#This Row],[Produit]],tbl_ProduitsRef[Produit],0)),
   ""
)</f>
        <v/>
      </c>
      <c r="E4118" s="7">
        <v>0</v>
      </c>
      <c r="F4118" s="7" t="str">
        <f>IFERROR(
   INDEX(tbl_ProduitsRef[Prix Menu],MATCH(tbl_Ventes[[#This Row],[Produit]],tbl_ProduitsRef[Produit],0)),
   ""
)</f>
        <v/>
      </c>
      <c r="G4118" s="7">
        <f>tbl_Ventes[[#This Row],[Qté Vendue]] * IFERROR(_xlfn.XLOOKUP(tbl_Ventes[[#This Row],[Cde_Prdt]], tbl_Produits[Cde_Prdt], tbl_Produits[Prix Menu]), 0)</f>
        <v>0</v>
      </c>
      <c r="H4118" s="7">
        <f>IFERROR(_xlfn.XLOOKUP(tbl_Ventes[[#This Row],[Cde_Prdt]], tbl_Produits[Cde_Prdt], tbl_Produits[Coût Moyen Portion]), 0)</f>
        <v>0</v>
      </c>
      <c r="I4118" s="7">
        <f>tbl_Ventes[[#This Row],[Qté Vendue]] * tbl_Ventes[[#This Row],[CMP_par_portion]]</f>
        <v>0</v>
      </c>
      <c r="J4118" s="7">
        <f>tbl_Ventes[[#This Row],[CA ligne]] - tbl_Ventes[[#This Row],[Coût matière ligne]]</f>
        <v>0</v>
      </c>
      <c r="K4118" s="7" t="str">
        <f>IFERROR(INDEX(tbl_ProduitsRef[Famille], MATCH(tbl_Ventes[[#This Row],[Cde_Prdt]], tbl_Produits[Cde_Prdt], 0)), "")</f>
        <v/>
      </c>
    </row>
    <row r="4119" spans="1:11" x14ac:dyDescent="0.25">
      <c r="A4119" s="5"/>
      <c r="B4119" s="63" t="str">
        <f>IFERROR(TEXT(tbl_Ventes[[#This Row],[Date]],"mm-aaaa"),"")</f>
        <v>01-1900</v>
      </c>
      <c r="D4119" s="10" t="str">
        <f>IFERROR(
   INDEX(tbl_ProduitsRef[Cde_Prdt],MATCH(tbl_Ventes[[#This Row],[Produit]],tbl_ProduitsRef[Produit],0)),
   ""
)</f>
        <v/>
      </c>
      <c r="E4119" s="7">
        <v>0</v>
      </c>
      <c r="F4119" s="7" t="str">
        <f>IFERROR(
   INDEX(tbl_ProduitsRef[Prix Menu],MATCH(tbl_Ventes[[#This Row],[Produit]],tbl_ProduitsRef[Produit],0)),
   ""
)</f>
        <v/>
      </c>
      <c r="G4119" s="7">
        <f>tbl_Ventes[[#This Row],[Qté Vendue]] * IFERROR(_xlfn.XLOOKUP(tbl_Ventes[[#This Row],[Cde_Prdt]], tbl_Produits[Cde_Prdt], tbl_Produits[Prix Menu]), 0)</f>
        <v>0</v>
      </c>
      <c r="H4119" s="7">
        <f>IFERROR(_xlfn.XLOOKUP(tbl_Ventes[[#This Row],[Cde_Prdt]], tbl_Produits[Cde_Prdt], tbl_Produits[Coût Moyen Portion]), 0)</f>
        <v>0</v>
      </c>
      <c r="I4119" s="7">
        <f>tbl_Ventes[[#This Row],[Qté Vendue]] * tbl_Ventes[[#This Row],[CMP_par_portion]]</f>
        <v>0</v>
      </c>
      <c r="J4119" s="7">
        <f>tbl_Ventes[[#This Row],[CA ligne]] - tbl_Ventes[[#This Row],[Coût matière ligne]]</f>
        <v>0</v>
      </c>
      <c r="K4119" s="7" t="str">
        <f>IFERROR(INDEX(tbl_ProduitsRef[Famille], MATCH(tbl_Ventes[[#This Row],[Cde_Prdt]], tbl_Produits[Cde_Prdt], 0)), "")</f>
        <v/>
      </c>
    </row>
    <row r="4120" spans="1:11" x14ac:dyDescent="0.25">
      <c r="A4120" s="5"/>
      <c r="B4120" s="63" t="str">
        <f>IFERROR(TEXT(tbl_Ventes[[#This Row],[Date]],"mm-aaaa"),"")</f>
        <v>01-1900</v>
      </c>
      <c r="D4120" s="10" t="str">
        <f>IFERROR(
   INDEX(tbl_ProduitsRef[Cde_Prdt],MATCH(tbl_Ventes[[#This Row],[Produit]],tbl_ProduitsRef[Produit],0)),
   ""
)</f>
        <v/>
      </c>
      <c r="E4120" s="7">
        <v>0</v>
      </c>
      <c r="F4120" s="7" t="str">
        <f>IFERROR(
   INDEX(tbl_ProduitsRef[Prix Menu],MATCH(tbl_Ventes[[#This Row],[Produit]],tbl_ProduitsRef[Produit],0)),
   ""
)</f>
        <v/>
      </c>
      <c r="G4120" s="7">
        <f>tbl_Ventes[[#This Row],[Qté Vendue]] * IFERROR(_xlfn.XLOOKUP(tbl_Ventes[[#This Row],[Cde_Prdt]], tbl_Produits[Cde_Prdt], tbl_Produits[Prix Menu]), 0)</f>
        <v>0</v>
      </c>
      <c r="H4120" s="7">
        <f>IFERROR(_xlfn.XLOOKUP(tbl_Ventes[[#This Row],[Cde_Prdt]], tbl_Produits[Cde_Prdt], tbl_Produits[Coût Moyen Portion]), 0)</f>
        <v>0</v>
      </c>
      <c r="I4120" s="7">
        <f>tbl_Ventes[[#This Row],[Qté Vendue]] * tbl_Ventes[[#This Row],[CMP_par_portion]]</f>
        <v>0</v>
      </c>
      <c r="J4120" s="7">
        <f>tbl_Ventes[[#This Row],[CA ligne]] - tbl_Ventes[[#This Row],[Coût matière ligne]]</f>
        <v>0</v>
      </c>
      <c r="K4120" s="7" t="str">
        <f>IFERROR(INDEX(tbl_ProduitsRef[Famille], MATCH(tbl_Ventes[[#This Row],[Cde_Prdt]], tbl_Produits[Cde_Prdt], 0)), "")</f>
        <v/>
      </c>
    </row>
    <row r="4121" spans="1:11" x14ac:dyDescent="0.25">
      <c r="A4121" s="5"/>
      <c r="B4121" s="63" t="str">
        <f>IFERROR(TEXT(tbl_Ventes[[#This Row],[Date]],"mm-aaaa"),"")</f>
        <v>01-1900</v>
      </c>
      <c r="D4121" s="10" t="str">
        <f>IFERROR(
   INDEX(tbl_ProduitsRef[Cde_Prdt],MATCH(tbl_Ventes[[#This Row],[Produit]],tbl_ProduitsRef[Produit],0)),
   ""
)</f>
        <v/>
      </c>
      <c r="E4121" s="7">
        <v>0</v>
      </c>
      <c r="F4121" s="7" t="str">
        <f>IFERROR(
   INDEX(tbl_ProduitsRef[Prix Menu],MATCH(tbl_Ventes[[#This Row],[Produit]],tbl_ProduitsRef[Produit],0)),
   ""
)</f>
        <v/>
      </c>
      <c r="G4121" s="7">
        <f>tbl_Ventes[[#This Row],[Qté Vendue]] * IFERROR(_xlfn.XLOOKUP(tbl_Ventes[[#This Row],[Cde_Prdt]], tbl_Produits[Cde_Prdt], tbl_Produits[Prix Menu]), 0)</f>
        <v>0</v>
      </c>
      <c r="H4121" s="7">
        <f>IFERROR(_xlfn.XLOOKUP(tbl_Ventes[[#This Row],[Cde_Prdt]], tbl_Produits[Cde_Prdt], tbl_Produits[Coût Moyen Portion]), 0)</f>
        <v>0</v>
      </c>
      <c r="I4121" s="7">
        <f>tbl_Ventes[[#This Row],[Qté Vendue]] * tbl_Ventes[[#This Row],[CMP_par_portion]]</f>
        <v>0</v>
      </c>
      <c r="J4121" s="7">
        <f>tbl_Ventes[[#This Row],[CA ligne]] - tbl_Ventes[[#This Row],[Coût matière ligne]]</f>
        <v>0</v>
      </c>
      <c r="K4121" s="7" t="str">
        <f>IFERROR(INDEX(tbl_ProduitsRef[Famille], MATCH(tbl_Ventes[[#This Row],[Cde_Prdt]], tbl_Produits[Cde_Prdt], 0)), "")</f>
        <v/>
      </c>
    </row>
    <row r="4122" spans="1:11" x14ac:dyDescent="0.25">
      <c r="A4122" s="5"/>
      <c r="B4122" s="63" t="str">
        <f>IFERROR(TEXT(tbl_Ventes[[#This Row],[Date]],"mm-aaaa"),"")</f>
        <v>01-1900</v>
      </c>
      <c r="D4122" s="10" t="str">
        <f>IFERROR(
   INDEX(tbl_ProduitsRef[Cde_Prdt],MATCH(tbl_Ventes[[#This Row],[Produit]],tbl_ProduitsRef[Produit],0)),
   ""
)</f>
        <v/>
      </c>
      <c r="E4122" s="7">
        <v>0</v>
      </c>
      <c r="F4122" s="7" t="str">
        <f>IFERROR(
   INDEX(tbl_ProduitsRef[Prix Menu],MATCH(tbl_Ventes[[#This Row],[Produit]],tbl_ProduitsRef[Produit],0)),
   ""
)</f>
        <v/>
      </c>
      <c r="G4122" s="7">
        <f>tbl_Ventes[[#This Row],[Qté Vendue]] * IFERROR(_xlfn.XLOOKUP(tbl_Ventes[[#This Row],[Cde_Prdt]], tbl_Produits[Cde_Prdt], tbl_Produits[Prix Menu]), 0)</f>
        <v>0</v>
      </c>
      <c r="H4122" s="7">
        <f>IFERROR(_xlfn.XLOOKUP(tbl_Ventes[[#This Row],[Cde_Prdt]], tbl_Produits[Cde_Prdt], tbl_Produits[Coût Moyen Portion]), 0)</f>
        <v>0</v>
      </c>
      <c r="I4122" s="7">
        <f>tbl_Ventes[[#This Row],[Qté Vendue]] * tbl_Ventes[[#This Row],[CMP_par_portion]]</f>
        <v>0</v>
      </c>
      <c r="J4122" s="7">
        <f>tbl_Ventes[[#This Row],[CA ligne]] - tbl_Ventes[[#This Row],[Coût matière ligne]]</f>
        <v>0</v>
      </c>
      <c r="K4122" s="7" t="str">
        <f>IFERROR(INDEX(tbl_ProduitsRef[Famille], MATCH(tbl_Ventes[[#This Row],[Cde_Prdt]], tbl_Produits[Cde_Prdt], 0)), "")</f>
        <v/>
      </c>
    </row>
    <row r="4123" spans="1:11" x14ac:dyDescent="0.25">
      <c r="A4123" s="5"/>
      <c r="B4123" s="63" t="str">
        <f>IFERROR(TEXT(tbl_Ventes[[#This Row],[Date]],"mm-aaaa"),"")</f>
        <v>01-1900</v>
      </c>
      <c r="D4123" s="10" t="str">
        <f>IFERROR(
   INDEX(tbl_ProduitsRef[Cde_Prdt],MATCH(tbl_Ventes[[#This Row],[Produit]],tbl_ProduitsRef[Produit],0)),
   ""
)</f>
        <v/>
      </c>
      <c r="E4123" s="7">
        <v>0</v>
      </c>
      <c r="F4123" s="7" t="str">
        <f>IFERROR(
   INDEX(tbl_ProduitsRef[Prix Menu],MATCH(tbl_Ventes[[#This Row],[Produit]],tbl_ProduitsRef[Produit],0)),
   ""
)</f>
        <v/>
      </c>
      <c r="G4123" s="7">
        <f>tbl_Ventes[[#This Row],[Qté Vendue]] * IFERROR(_xlfn.XLOOKUP(tbl_Ventes[[#This Row],[Cde_Prdt]], tbl_Produits[Cde_Prdt], tbl_Produits[Prix Menu]), 0)</f>
        <v>0</v>
      </c>
      <c r="H4123" s="7">
        <f>IFERROR(_xlfn.XLOOKUP(tbl_Ventes[[#This Row],[Cde_Prdt]], tbl_Produits[Cde_Prdt], tbl_Produits[Coût Moyen Portion]), 0)</f>
        <v>0</v>
      </c>
      <c r="I4123" s="7">
        <f>tbl_Ventes[[#This Row],[Qté Vendue]] * tbl_Ventes[[#This Row],[CMP_par_portion]]</f>
        <v>0</v>
      </c>
      <c r="J4123" s="7">
        <f>tbl_Ventes[[#This Row],[CA ligne]] - tbl_Ventes[[#This Row],[Coût matière ligne]]</f>
        <v>0</v>
      </c>
      <c r="K4123" s="7" t="str">
        <f>IFERROR(INDEX(tbl_ProduitsRef[Famille], MATCH(tbl_Ventes[[#This Row],[Cde_Prdt]], tbl_Produits[Cde_Prdt], 0)), "")</f>
        <v/>
      </c>
    </row>
    <row r="4124" spans="1:11" x14ac:dyDescent="0.25">
      <c r="A4124" s="5"/>
      <c r="B4124" s="63" t="str">
        <f>IFERROR(TEXT(tbl_Ventes[[#This Row],[Date]],"mm-aaaa"),"")</f>
        <v>01-1900</v>
      </c>
      <c r="D4124" s="10" t="str">
        <f>IFERROR(
   INDEX(tbl_ProduitsRef[Cde_Prdt],MATCH(tbl_Ventes[[#This Row],[Produit]],tbl_ProduitsRef[Produit],0)),
   ""
)</f>
        <v/>
      </c>
      <c r="E4124" s="7">
        <v>0</v>
      </c>
      <c r="F4124" s="7" t="str">
        <f>IFERROR(
   INDEX(tbl_ProduitsRef[Prix Menu],MATCH(tbl_Ventes[[#This Row],[Produit]],tbl_ProduitsRef[Produit],0)),
   ""
)</f>
        <v/>
      </c>
      <c r="G4124" s="7">
        <f>tbl_Ventes[[#This Row],[Qté Vendue]] * IFERROR(_xlfn.XLOOKUP(tbl_Ventes[[#This Row],[Cde_Prdt]], tbl_Produits[Cde_Prdt], tbl_Produits[Prix Menu]), 0)</f>
        <v>0</v>
      </c>
      <c r="H4124" s="7">
        <f>IFERROR(_xlfn.XLOOKUP(tbl_Ventes[[#This Row],[Cde_Prdt]], tbl_Produits[Cde_Prdt], tbl_Produits[Coût Moyen Portion]), 0)</f>
        <v>0</v>
      </c>
      <c r="I4124" s="7">
        <f>tbl_Ventes[[#This Row],[Qté Vendue]] * tbl_Ventes[[#This Row],[CMP_par_portion]]</f>
        <v>0</v>
      </c>
      <c r="J4124" s="7">
        <f>tbl_Ventes[[#This Row],[CA ligne]] - tbl_Ventes[[#This Row],[Coût matière ligne]]</f>
        <v>0</v>
      </c>
      <c r="K4124" s="7" t="str">
        <f>IFERROR(INDEX(tbl_ProduitsRef[Famille], MATCH(tbl_Ventes[[#This Row],[Cde_Prdt]], tbl_Produits[Cde_Prdt], 0)), "")</f>
        <v/>
      </c>
    </row>
    <row r="4125" spans="1:11" x14ac:dyDescent="0.25">
      <c r="A4125" s="5"/>
      <c r="B4125" s="63" t="str">
        <f>IFERROR(TEXT(tbl_Ventes[[#This Row],[Date]],"mm-aaaa"),"")</f>
        <v>01-1900</v>
      </c>
      <c r="D4125" s="10" t="str">
        <f>IFERROR(
   INDEX(tbl_ProduitsRef[Cde_Prdt],MATCH(tbl_Ventes[[#This Row],[Produit]],tbl_ProduitsRef[Produit],0)),
   ""
)</f>
        <v/>
      </c>
      <c r="E4125" s="7">
        <v>0</v>
      </c>
      <c r="F4125" s="7" t="str">
        <f>IFERROR(
   INDEX(tbl_ProduitsRef[Prix Menu],MATCH(tbl_Ventes[[#This Row],[Produit]],tbl_ProduitsRef[Produit],0)),
   ""
)</f>
        <v/>
      </c>
      <c r="G4125" s="7">
        <f>tbl_Ventes[[#This Row],[Qté Vendue]] * IFERROR(_xlfn.XLOOKUP(tbl_Ventes[[#This Row],[Cde_Prdt]], tbl_Produits[Cde_Prdt], tbl_Produits[Prix Menu]), 0)</f>
        <v>0</v>
      </c>
      <c r="H4125" s="7">
        <f>IFERROR(_xlfn.XLOOKUP(tbl_Ventes[[#This Row],[Cde_Prdt]], tbl_Produits[Cde_Prdt], tbl_Produits[Coût Moyen Portion]), 0)</f>
        <v>0</v>
      </c>
      <c r="I4125" s="7">
        <f>tbl_Ventes[[#This Row],[Qté Vendue]] * tbl_Ventes[[#This Row],[CMP_par_portion]]</f>
        <v>0</v>
      </c>
      <c r="J4125" s="7">
        <f>tbl_Ventes[[#This Row],[CA ligne]] - tbl_Ventes[[#This Row],[Coût matière ligne]]</f>
        <v>0</v>
      </c>
      <c r="K4125" s="7" t="str">
        <f>IFERROR(INDEX(tbl_ProduitsRef[Famille], MATCH(tbl_Ventes[[#This Row],[Cde_Prdt]], tbl_Produits[Cde_Prdt], 0)), "")</f>
        <v/>
      </c>
    </row>
    <row r="4126" spans="1:11" x14ac:dyDescent="0.25">
      <c r="A4126" s="5"/>
      <c r="B4126" s="63" t="str">
        <f>IFERROR(TEXT(tbl_Ventes[[#This Row],[Date]],"mm-aaaa"),"")</f>
        <v>01-1900</v>
      </c>
      <c r="D4126" s="10" t="str">
        <f>IFERROR(
   INDEX(tbl_ProduitsRef[Cde_Prdt],MATCH(tbl_Ventes[[#This Row],[Produit]],tbl_ProduitsRef[Produit],0)),
   ""
)</f>
        <v/>
      </c>
      <c r="E4126" s="7">
        <v>0</v>
      </c>
      <c r="F4126" s="7" t="str">
        <f>IFERROR(
   INDEX(tbl_ProduitsRef[Prix Menu],MATCH(tbl_Ventes[[#This Row],[Produit]],tbl_ProduitsRef[Produit],0)),
   ""
)</f>
        <v/>
      </c>
      <c r="G4126" s="7">
        <f>tbl_Ventes[[#This Row],[Qté Vendue]] * IFERROR(_xlfn.XLOOKUP(tbl_Ventes[[#This Row],[Cde_Prdt]], tbl_Produits[Cde_Prdt], tbl_Produits[Prix Menu]), 0)</f>
        <v>0</v>
      </c>
      <c r="H4126" s="7">
        <f>IFERROR(_xlfn.XLOOKUP(tbl_Ventes[[#This Row],[Cde_Prdt]], tbl_Produits[Cde_Prdt], tbl_Produits[Coût Moyen Portion]), 0)</f>
        <v>0</v>
      </c>
      <c r="I4126" s="7">
        <f>tbl_Ventes[[#This Row],[Qté Vendue]] * tbl_Ventes[[#This Row],[CMP_par_portion]]</f>
        <v>0</v>
      </c>
      <c r="J4126" s="7">
        <f>tbl_Ventes[[#This Row],[CA ligne]] - tbl_Ventes[[#This Row],[Coût matière ligne]]</f>
        <v>0</v>
      </c>
      <c r="K4126" s="7" t="str">
        <f>IFERROR(INDEX(tbl_ProduitsRef[Famille], MATCH(tbl_Ventes[[#This Row],[Cde_Prdt]], tbl_Produits[Cde_Prdt], 0)), "")</f>
        <v/>
      </c>
    </row>
    <row r="4127" spans="1:11" x14ac:dyDescent="0.25">
      <c r="A4127" s="5"/>
      <c r="B4127" s="63" t="str">
        <f>IFERROR(TEXT(tbl_Ventes[[#This Row],[Date]],"mm-aaaa"),"")</f>
        <v>01-1900</v>
      </c>
      <c r="D4127" s="10" t="str">
        <f>IFERROR(
   INDEX(tbl_ProduitsRef[Cde_Prdt],MATCH(tbl_Ventes[[#This Row],[Produit]],tbl_ProduitsRef[Produit],0)),
   ""
)</f>
        <v/>
      </c>
      <c r="E4127" s="7">
        <v>0</v>
      </c>
      <c r="F4127" s="7" t="str">
        <f>IFERROR(
   INDEX(tbl_ProduitsRef[Prix Menu],MATCH(tbl_Ventes[[#This Row],[Produit]],tbl_ProduitsRef[Produit],0)),
   ""
)</f>
        <v/>
      </c>
      <c r="G4127" s="7">
        <f>tbl_Ventes[[#This Row],[Qté Vendue]] * IFERROR(_xlfn.XLOOKUP(tbl_Ventes[[#This Row],[Cde_Prdt]], tbl_Produits[Cde_Prdt], tbl_Produits[Prix Menu]), 0)</f>
        <v>0</v>
      </c>
      <c r="H4127" s="7">
        <f>IFERROR(_xlfn.XLOOKUP(tbl_Ventes[[#This Row],[Cde_Prdt]], tbl_Produits[Cde_Prdt], tbl_Produits[Coût Moyen Portion]), 0)</f>
        <v>0</v>
      </c>
      <c r="I4127" s="7">
        <f>tbl_Ventes[[#This Row],[Qté Vendue]] * tbl_Ventes[[#This Row],[CMP_par_portion]]</f>
        <v>0</v>
      </c>
      <c r="J4127" s="7">
        <f>tbl_Ventes[[#This Row],[CA ligne]] - tbl_Ventes[[#This Row],[Coût matière ligne]]</f>
        <v>0</v>
      </c>
      <c r="K4127" s="7" t="str">
        <f>IFERROR(INDEX(tbl_ProduitsRef[Famille], MATCH(tbl_Ventes[[#This Row],[Cde_Prdt]], tbl_Produits[Cde_Prdt], 0)), "")</f>
        <v/>
      </c>
    </row>
    <row r="4128" spans="1:11" x14ac:dyDescent="0.25">
      <c r="A4128" s="5"/>
      <c r="B4128" s="63" t="str">
        <f>IFERROR(TEXT(tbl_Ventes[[#This Row],[Date]],"mm-aaaa"),"")</f>
        <v>01-1900</v>
      </c>
      <c r="D4128" s="10" t="str">
        <f>IFERROR(
   INDEX(tbl_ProduitsRef[Cde_Prdt],MATCH(tbl_Ventes[[#This Row],[Produit]],tbl_ProduitsRef[Produit],0)),
   ""
)</f>
        <v/>
      </c>
      <c r="E4128" s="7">
        <v>0</v>
      </c>
      <c r="F4128" s="7" t="str">
        <f>IFERROR(
   INDEX(tbl_ProduitsRef[Prix Menu],MATCH(tbl_Ventes[[#This Row],[Produit]],tbl_ProduitsRef[Produit],0)),
   ""
)</f>
        <v/>
      </c>
      <c r="G4128" s="7">
        <f>tbl_Ventes[[#This Row],[Qté Vendue]] * IFERROR(_xlfn.XLOOKUP(tbl_Ventes[[#This Row],[Cde_Prdt]], tbl_Produits[Cde_Prdt], tbl_Produits[Prix Menu]), 0)</f>
        <v>0</v>
      </c>
      <c r="H4128" s="7">
        <f>IFERROR(_xlfn.XLOOKUP(tbl_Ventes[[#This Row],[Cde_Prdt]], tbl_Produits[Cde_Prdt], tbl_Produits[Coût Moyen Portion]), 0)</f>
        <v>0</v>
      </c>
      <c r="I4128" s="7">
        <f>tbl_Ventes[[#This Row],[Qté Vendue]] * tbl_Ventes[[#This Row],[CMP_par_portion]]</f>
        <v>0</v>
      </c>
      <c r="J4128" s="7">
        <f>tbl_Ventes[[#This Row],[CA ligne]] - tbl_Ventes[[#This Row],[Coût matière ligne]]</f>
        <v>0</v>
      </c>
      <c r="K4128" s="7" t="str">
        <f>IFERROR(INDEX(tbl_ProduitsRef[Famille], MATCH(tbl_Ventes[[#This Row],[Cde_Prdt]], tbl_Produits[Cde_Prdt], 0)), "")</f>
        <v/>
      </c>
    </row>
    <row r="4129" spans="1:11" x14ac:dyDescent="0.25">
      <c r="A4129" s="5"/>
      <c r="B4129" s="63" t="str">
        <f>IFERROR(TEXT(tbl_Ventes[[#This Row],[Date]],"mm-aaaa"),"")</f>
        <v>01-1900</v>
      </c>
      <c r="D4129" s="10" t="str">
        <f>IFERROR(
   INDEX(tbl_ProduitsRef[Cde_Prdt],MATCH(tbl_Ventes[[#This Row],[Produit]],tbl_ProduitsRef[Produit],0)),
   ""
)</f>
        <v/>
      </c>
      <c r="E4129" s="7">
        <v>0</v>
      </c>
      <c r="F4129" s="7" t="str">
        <f>IFERROR(
   INDEX(tbl_ProduitsRef[Prix Menu],MATCH(tbl_Ventes[[#This Row],[Produit]],tbl_ProduitsRef[Produit],0)),
   ""
)</f>
        <v/>
      </c>
      <c r="G4129" s="7">
        <f>tbl_Ventes[[#This Row],[Qté Vendue]] * IFERROR(_xlfn.XLOOKUP(tbl_Ventes[[#This Row],[Cde_Prdt]], tbl_Produits[Cde_Prdt], tbl_Produits[Prix Menu]), 0)</f>
        <v>0</v>
      </c>
      <c r="H4129" s="7">
        <f>IFERROR(_xlfn.XLOOKUP(tbl_Ventes[[#This Row],[Cde_Prdt]], tbl_Produits[Cde_Prdt], tbl_Produits[Coût Moyen Portion]), 0)</f>
        <v>0</v>
      </c>
      <c r="I4129" s="7">
        <f>tbl_Ventes[[#This Row],[Qté Vendue]] * tbl_Ventes[[#This Row],[CMP_par_portion]]</f>
        <v>0</v>
      </c>
      <c r="J4129" s="7">
        <f>tbl_Ventes[[#This Row],[CA ligne]] - tbl_Ventes[[#This Row],[Coût matière ligne]]</f>
        <v>0</v>
      </c>
      <c r="K4129" s="7" t="str">
        <f>IFERROR(INDEX(tbl_ProduitsRef[Famille], MATCH(tbl_Ventes[[#This Row],[Cde_Prdt]], tbl_Produits[Cde_Prdt], 0)), "")</f>
        <v/>
      </c>
    </row>
    <row r="4130" spans="1:11" x14ac:dyDescent="0.25">
      <c r="A4130" s="5"/>
      <c r="B4130" s="63" t="str">
        <f>IFERROR(TEXT(tbl_Ventes[[#This Row],[Date]],"mm-aaaa"),"")</f>
        <v>01-1900</v>
      </c>
      <c r="D4130" s="10" t="str">
        <f>IFERROR(
   INDEX(tbl_ProduitsRef[Cde_Prdt],MATCH(tbl_Ventes[[#This Row],[Produit]],tbl_ProduitsRef[Produit],0)),
   ""
)</f>
        <v/>
      </c>
      <c r="E4130" s="7">
        <v>0</v>
      </c>
      <c r="F4130" s="7" t="str">
        <f>IFERROR(
   INDEX(tbl_ProduitsRef[Prix Menu],MATCH(tbl_Ventes[[#This Row],[Produit]],tbl_ProduitsRef[Produit],0)),
   ""
)</f>
        <v/>
      </c>
      <c r="G4130" s="7">
        <f>tbl_Ventes[[#This Row],[Qté Vendue]] * IFERROR(_xlfn.XLOOKUP(tbl_Ventes[[#This Row],[Cde_Prdt]], tbl_Produits[Cde_Prdt], tbl_Produits[Prix Menu]), 0)</f>
        <v>0</v>
      </c>
      <c r="H4130" s="7">
        <f>IFERROR(_xlfn.XLOOKUP(tbl_Ventes[[#This Row],[Cde_Prdt]], tbl_Produits[Cde_Prdt], tbl_Produits[Coût Moyen Portion]), 0)</f>
        <v>0</v>
      </c>
      <c r="I4130" s="7">
        <f>tbl_Ventes[[#This Row],[Qté Vendue]] * tbl_Ventes[[#This Row],[CMP_par_portion]]</f>
        <v>0</v>
      </c>
      <c r="J4130" s="7">
        <f>tbl_Ventes[[#This Row],[CA ligne]] - tbl_Ventes[[#This Row],[Coût matière ligne]]</f>
        <v>0</v>
      </c>
      <c r="K4130" s="7" t="str">
        <f>IFERROR(INDEX(tbl_ProduitsRef[Famille], MATCH(tbl_Ventes[[#This Row],[Cde_Prdt]], tbl_Produits[Cde_Prdt], 0)), "")</f>
        <v/>
      </c>
    </row>
    <row r="4131" spans="1:11" x14ac:dyDescent="0.25">
      <c r="A4131" s="5"/>
      <c r="B4131" s="63" t="str">
        <f>IFERROR(TEXT(tbl_Ventes[[#This Row],[Date]],"mm-aaaa"),"")</f>
        <v>01-1900</v>
      </c>
      <c r="D4131" s="10" t="str">
        <f>IFERROR(
   INDEX(tbl_ProduitsRef[Cde_Prdt],MATCH(tbl_Ventes[[#This Row],[Produit]],tbl_ProduitsRef[Produit],0)),
   ""
)</f>
        <v/>
      </c>
      <c r="E4131" s="7">
        <v>0</v>
      </c>
      <c r="F4131" s="7" t="str">
        <f>IFERROR(
   INDEX(tbl_ProduitsRef[Prix Menu],MATCH(tbl_Ventes[[#This Row],[Produit]],tbl_ProduitsRef[Produit],0)),
   ""
)</f>
        <v/>
      </c>
      <c r="G4131" s="7">
        <f>tbl_Ventes[[#This Row],[Qté Vendue]] * IFERROR(_xlfn.XLOOKUP(tbl_Ventes[[#This Row],[Cde_Prdt]], tbl_Produits[Cde_Prdt], tbl_Produits[Prix Menu]), 0)</f>
        <v>0</v>
      </c>
      <c r="H4131" s="7">
        <f>IFERROR(_xlfn.XLOOKUP(tbl_Ventes[[#This Row],[Cde_Prdt]], tbl_Produits[Cde_Prdt], tbl_Produits[Coût Moyen Portion]), 0)</f>
        <v>0</v>
      </c>
      <c r="I4131" s="7">
        <f>tbl_Ventes[[#This Row],[Qté Vendue]] * tbl_Ventes[[#This Row],[CMP_par_portion]]</f>
        <v>0</v>
      </c>
      <c r="J4131" s="7">
        <f>tbl_Ventes[[#This Row],[CA ligne]] - tbl_Ventes[[#This Row],[Coût matière ligne]]</f>
        <v>0</v>
      </c>
      <c r="K4131" s="7" t="str">
        <f>IFERROR(INDEX(tbl_ProduitsRef[Famille], MATCH(tbl_Ventes[[#This Row],[Cde_Prdt]], tbl_Produits[Cde_Prdt], 0)), "")</f>
        <v/>
      </c>
    </row>
    <row r="4132" spans="1:11" x14ac:dyDescent="0.25">
      <c r="A4132" s="5"/>
      <c r="B4132" s="63" t="str">
        <f>IFERROR(TEXT(tbl_Ventes[[#This Row],[Date]],"mm-aaaa"),"")</f>
        <v>01-1900</v>
      </c>
      <c r="D4132" s="10" t="str">
        <f>IFERROR(
   INDEX(tbl_ProduitsRef[Cde_Prdt],MATCH(tbl_Ventes[[#This Row],[Produit]],tbl_ProduitsRef[Produit],0)),
   ""
)</f>
        <v/>
      </c>
      <c r="E4132" s="7">
        <v>0</v>
      </c>
      <c r="F4132" s="7" t="str">
        <f>IFERROR(
   INDEX(tbl_ProduitsRef[Prix Menu],MATCH(tbl_Ventes[[#This Row],[Produit]],tbl_ProduitsRef[Produit],0)),
   ""
)</f>
        <v/>
      </c>
      <c r="G4132" s="7">
        <f>tbl_Ventes[[#This Row],[Qté Vendue]] * IFERROR(_xlfn.XLOOKUP(tbl_Ventes[[#This Row],[Cde_Prdt]], tbl_Produits[Cde_Prdt], tbl_Produits[Prix Menu]), 0)</f>
        <v>0</v>
      </c>
      <c r="H4132" s="7">
        <f>IFERROR(_xlfn.XLOOKUP(tbl_Ventes[[#This Row],[Cde_Prdt]], tbl_Produits[Cde_Prdt], tbl_Produits[Coût Moyen Portion]), 0)</f>
        <v>0</v>
      </c>
      <c r="I4132" s="7">
        <f>tbl_Ventes[[#This Row],[Qté Vendue]] * tbl_Ventes[[#This Row],[CMP_par_portion]]</f>
        <v>0</v>
      </c>
      <c r="J4132" s="7">
        <f>tbl_Ventes[[#This Row],[CA ligne]] - tbl_Ventes[[#This Row],[Coût matière ligne]]</f>
        <v>0</v>
      </c>
      <c r="K4132" s="7" t="str">
        <f>IFERROR(INDEX(tbl_ProduitsRef[Famille], MATCH(tbl_Ventes[[#This Row],[Cde_Prdt]], tbl_Produits[Cde_Prdt], 0)), "")</f>
        <v/>
      </c>
    </row>
    <row r="4133" spans="1:11" x14ac:dyDescent="0.25">
      <c r="A4133" s="5"/>
      <c r="B4133" s="63" t="str">
        <f>IFERROR(TEXT(tbl_Ventes[[#This Row],[Date]],"mm-aaaa"),"")</f>
        <v>01-1900</v>
      </c>
      <c r="D4133" s="10" t="str">
        <f>IFERROR(
   INDEX(tbl_ProduitsRef[Cde_Prdt],MATCH(tbl_Ventes[[#This Row],[Produit]],tbl_ProduitsRef[Produit],0)),
   ""
)</f>
        <v/>
      </c>
      <c r="E4133" s="7">
        <v>0</v>
      </c>
      <c r="F4133" s="7" t="str">
        <f>IFERROR(
   INDEX(tbl_ProduitsRef[Prix Menu],MATCH(tbl_Ventes[[#This Row],[Produit]],tbl_ProduitsRef[Produit],0)),
   ""
)</f>
        <v/>
      </c>
      <c r="G4133" s="7">
        <f>tbl_Ventes[[#This Row],[Qté Vendue]] * IFERROR(_xlfn.XLOOKUP(tbl_Ventes[[#This Row],[Cde_Prdt]], tbl_Produits[Cde_Prdt], tbl_Produits[Prix Menu]), 0)</f>
        <v>0</v>
      </c>
      <c r="H4133" s="7">
        <f>IFERROR(_xlfn.XLOOKUP(tbl_Ventes[[#This Row],[Cde_Prdt]], tbl_Produits[Cde_Prdt], tbl_Produits[Coût Moyen Portion]), 0)</f>
        <v>0</v>
      </c>
      <c r="I4133" s="7">
        <f>tbl_Ventes[[#This Row],[Qté Vendue]] * tbl_Ventes[[#This Row],[CMP_par_portion]]</f>
        <v>0</v>
      </c>
      <c r="J4133" s="7">
        <f>tbl_Ventes[[#This Row],[CA ligne]] - tbl_Ventes[[#This Row],[Coût matière ligne]]</f>
        <v>0</v>
      </c>
      <c r="K4133" s="7" t="str">
        <f>IFERROR(INDEX(tbl_ProduitsRef[Famille], MATCH(tbl_Ventes[[#This Row],[Cde_Prdt]], tbl_Produits[Cde_Prdt], 0)), "")</f>
        <v/>
      </c>
    </row>
    <row r="4134" spans="1:11" x14ac:dyDescent="0.25">
      <c r="A4134" s="5"/>
      <c r="B4134" s="63" t="str">
        <f>IFERROR(TEXT(tbl_Ventes[[#This Row],[Date]],"mm-aaaa"),"")</f>
        <v>01-1900</v>
      </c>
      <c r="D4134" s="10" t="str">
        <f>IFERROR(
   INDEX(tbl_ProduitsRef[Cde_Prdt],MATCH(tbl_Ventes[[#This Row],[Produit]],tbl_ProduitsRef[Produit],0)),
   ""
)</f>
        <v/>
      </c>
      <c r="E4134" s="7">
        <v>0</v>
      </c>
      <c r="F4134" s="7" t="str">
        <f>IFERROR(
   INDEX(tbl_ProduitsRef[Prix Menu],MATCH(tbl_Ventes[[#This Row],[Produit]],tbl_ProduitsRef[Produit],0)),
   ""
)</f>
        <v/>
      </c>
      <c r="G4134" s="7">
        <f>tbl_Ventes[[#This Row],[Qté Vendue]] * IFERROR(_xlfn.XLOOKUP(tbl_Ventes[[#This Row],[Cde_Prdt]], tbl_Produits[Cde_Prdt], tbl_Produits[Prix Menu]), 0)</f>
        <v>0</v>
      </c>
      <c r="H4134" s="7">
        <f>IFERROR(_xlfn.XLOOKUP(tbl_Ventes[[#This Row],[Cde_Prdt]], tbl_Produits[Cde_Prdt], tbl_Produits[Coût Moyen Portion]), 0)</f>
        <v>0</v>
      </c>
      <c r="I4134" s="7">
        <f>tbl_Ventes[[#This Row],[Qté Vendue]] * tbl_Ventes[[#This Row],[CMP_par_portion]]</f>
        <v>0</v>
      </c>
      <c r="J4134" s="7">
        <f>tbl_Ventes[[#This Row],[CA ligne]] - tbl_Ventes[[#This Row],[Coût matière ligne]]</f>
        <v>0</v>
      </c>
      <c r="K4134" s="7" t="str">
        <f>IFERROR(INDEX(tbl_ProduitsRef[Famille], MATCH(tbl_Ventes[[#This Row],[Cde_Prdt]], tbl_Produits[Cde_Prdt], 0)), "")</f>
        <v/>
      </c>
    </row>
    <row r="4135" spans="1:11" x14ac:dyDescent="0.25">
      <c r="A4135" s="5"/>
      <c r="B4135" s="63" t="str">
        <f>IFERROR(TEXT(tbl_Ventes[[#This Row],[Date]],"mm-aaaa"),"")</f>
        <v>01-1900</v>
      </c>
      <c r="D4135" s="10" t="str">
        <f>IFERROR(
   INDEX(tbl_ProduitsRef[Cde_Prdt],MATCH(tbl_Ventes[[#This Row],[Produit]],tbl_ProduitsRef[Produit],0)),
   ""
)</f>
        <v/>
      </c>
      <c r="E4135" s="7">
        <v>0</v>
      </c>
      <c r="F4135" s="7" t="str">
        <f>IFERROR(
   INDEX(tbl_ProduitsRef[Prix Menu],MATCH(tbl_Ventes[[#This Row],[Produit]],tbl_ProduitsRef[Produit],0)),
   ""
)</f>
        <v/>
      </c>
      <c r="G4135" s="7">
        <f>tbl_Ventes[[#This Row],[Qté Vendue]] * IFERROR(_xlfn.XLOOKUP(tbl_Ventes[[#This Row],[Cde_Prdt]], tbl_Produits[Cde_Prdt], tbl_Produits[Prix Menu]), 0)</f>
        <v>0</v>
      </c>
      <c r="H4135" s="7">
        <f>IFERROR(_xlfn.XLOOKUP(tbl_Ventes[[#This Row],[Cde_Prdt]], tbl_Produits[Cde_Prdt], tbl_Produits[Coût Moyen Portion]), 0)</f>
        <v>0</v>
      </c>
      <c r="I4135" s="7">
        <f>tbl_Ventes[[#This Row],[Qté Vendue]] * tbl_Ventes[[#This Row],[CMP_par_portion]]</f>
        <v>0</v>
      </c>
      <c r="J4135" s="7">
        <f>tbl_Ventes[[#This Row],[CA ligne]] - tbl_Ventes[[#This Row],[Coût matière ligne]]</f>
        <v>0</v>
      </c>
      <c r="K4135" s="7" t="str">
        <f>IFERROR(INDEX(tbl_ProduitsRef[Famille], MATCH(tbl_Ventes[[#This Row],[Cde_Prdt]], tbl_Produits[Cde_Prdt], 0)), "")</f>
        <v/>
      </c>
    </row>
    <row r="4136" spans="1:11" x14ac:dyDescent="0.25">
      <c r="A4136" s="5"/>
      <c r="B4136" s="63" t="str">
        <f>IFERROR(TEXT(tbl_Ventes[[#This Row],[Date]],"mm-aaaa"),"")</f>
        <v>01-1900</v>
      </c>
      <c r="D4136" s="10" t="str">
        <f>IFERROR(
   INDEX(tbl_ProduitsRef[Cde_Prdt],MATCH(tbl_Ventes[[#This Row],[Produit]],tbl_ProduitsRef[Produit],0)),
   ""
)</f>
        <v/>
      </c>
      <c r="E4136" s="7">
        <v>0</v>
      </c>
      <c r="F4136" s="7" t="str">
        <f>IFERROR(
   INDEX(tbl_ProduitsRef[Prix Menu],MATCH(tbl_Ventes[[#This Row],[Produit]],tbl_ProduitsRef[Produit],0)),
   ""
)</f>
        <v/>
      </c>
      <c r="G4136" s="7">
        <f>tbl_Ventes[[#This Row],[Qté Vendue]] * IFERROR(_xlfn.XLOOKUP(tbl_Ventes[[#This Row],[Cde_Prdt]], tbl_Produits[Cde_Prdt], tbl_Produits[Prix Menu]), 0)</f>
        <v>0</v>
      </c>
      <c r="H4136" s="7">
        <f>IFERROR(_xlfn.XLOOKUP(tbl_Ventes[[#This Row],[Cde_Prdt]], tbl_Produits[Cde_Prdt], tbl_Produits[Coût Moyen Portion]), 0)</f>
        <v>0</v>
      </c>
      <c r="I4136" s="7">
        <f>tbl_Ventes[[#This Row],[Qté Vendue]] * tbl_Ventes[[#This Row],[CMP_par_portion]]</f>
        <v>0</v>
      </c>
      <c r="J4136" s="7">
        <f>tbl_Ventes[[#This Row],[CA ligne]] - tbl_Ventes[[#This Row],[Coût matière ligne]]</f>
        <v>0</v>
      </c>
      <c r="K4136" s="7" t="str">
        <f>IFERROR(INDEX(tbl_ProduitsRef[Famille], MATCH(tbl_Ventes[[#This Row],[Cde_Prdt]], tbl_Produits[Cde_Prdt], 0)), "")</f>
        <v/>
      </c>
    </row>
    <row r="4137" spans="1:11" x14ac:dyDescent="0.25">
      <c r="A4137" s="5"/>
      <c r="B4137" s="63" t="str">
        <f>IFERROR(TEXT(tbl_Ventes[[#This Row],[Date]],"mm-aaaa"),"")</f>
        <v>01-1900</v>
      </c>
      <c r="D4137" s="10" t="str">
        <f>IFERROR(
   INDEX(tbl_ProduitsRef[Cde_Prdt],MATCH(tbl_Ventes[[#This Row],[Produit]],tbl_ProduitsRef[Produit],0)),
   ""
)</f>
        <v/>
      </c>
      <c r="E4137" s="7">
        <v>0</v>
      </c>
      <c r="F4137" s="7" t="str">
        <f>IFERROR(
   INDEX(tbl_ProduitsRef[Prix Menu],MATCH(tbl_Ventes[[#This Row],[Produit]],tbl_ProduitsRef[Produit],0)),
   ""
)</f>
        <v/>
      </c>
      <c r="G4137" s="7">
        <f>tbl_Ventes[[#This Row],[Qté Vendue]] * IFERROR(_xlfn.XLOOKUP(tbl_Ventes[[#This Row],[Cde_Prdt]], tbl_Produits[Cde_Prdt], tbl_Produits[Prix Menu]), 0)</f>
        <v>0</v>
      </c>
      <c r="H4137" s="7">
        <f>IFERROR(_xlfn.XLOOKUP(tbl_Ventes[[#This Row],[Cde_Prdt]], tbl_Produits[Cde_Prdt], tbl_Produits[Coût Moyen Portion]), 0)</f>
        <v>0</v>
      </c>
      <c r="I4137" s="7">
        <f>tbl_Ventes[[#This Row],[Qté Vendue]] * tbl_Ventes[[#This Row],[CMP_par_portion]]</f>
        <v>0</v>
      </c>
      <c r="J4137" s="7">
        <f>tbl_Ventes[[#This Row],[CA ligne]] - tbl_Ventes[[#This Row],[Coût matière ligne]]</f>
        <v>0</v>
      </c>
      <c r="K4137" s="7" t="str">
        <f>IFERROR(INDEX(tbl_ProduitsRef[Famille], MATCH(tbl_Ventes[[#This Row],[Cde_Prdt]], tbl_Produits[Cde_Prdt], 0)), "")</f>
        <v/>
      </c>
    </row>
    <row r="4138" spans="1:11" x14ac:dyDescent="0.25">
      <c r="A4138" s="5"/>
      <c r="B4138" s="63" t="str">
        <f>IFERROR(TEXT(tbl_Ventes[[#This Row],[Date]],"mm-aaaa"),"")</f>
        <v>01-1900</v>
      </c>
      <c r="D4138" s="10" t="str">
        <f>IFERROR(
   INDEX(tbl_ProduitsRef[Cde_Prdt],MATCH(tbl_Ventes[[#This Row],[Produit]],tbl_ProduitsRef[Produit],0)),
   ""
)</f>
        <v/>
      </c>
      <c r="E4138" s="7">
        <v>0</v>
      </c>
      <c r="F4138" s="7" t="str">
        <f>IFERROR(
   INDEX(tbl_ProduitsRef[Prix Menu],MATCH(tbl_Ventes[[#This Row],[Produit]],tbl_ProduitsRef[Produit],0)),
   ""
)</f>
        <v/>
      </c>
      <c r="G4138" s="7">
        <f>tbl_Ventes[[#This Row],[Qté Vendue]] * IFERROR(_xlfn.XLOOKUP(tbl_Ventes[[#This Row],[Cde_Prdt]], tbl_Produits[Cde_Prdt], tbl_Produits[Prix Menu]), 0)</f>
        <v>0</v>
      </c>
      <c r="H4138" s="7">
        <f>IFERROR(_xlfn.XLOOKUP(tbl_Ventes[[#This Row],[Cde_Prdt]], tbl_Produits[Cde_Prdt], tbl_Produits[Coût Moyen Portion]), 0)</f>
        <v>0</v>
      </c>
      <c r="I4138" s="7">
        <f>tbl_Ventes[[#This Row],[Qté Vendue]] * tbl_Ventes[[#This Row],[CMP_par_portion]]</f>
        <v>0</v>
      </c>
      <c r="J4138" s="7">
        <f>tbl_Ventes[[#This Row],[CA ligne]] - tbl_Ventes[[#This Row],[Coût matière ligne]]</f>
        <v>0</v>
      </c>
      <c r="K4138" s="7" t="str">
        <f>IFERROR(INDEX(tbl_ProduitsRef[Famille], MATCH(tbl_Ventes[[#This Row],[Cde_Prdt]], tbl_Produits[Cde_Prdt], 0)), "")</f>
        <v/>
      </c>
    </row>
    <row r="4139" spans="1:11" x14ac:dyDescent="0.25">
      <c r="A4139" s="5"/>
      <c r="B4139" s="63" t="str">
        <f>IFERROR(TEXT(tbl_Ventes[[#This Row],[Date]],"mm-aaaa"),"")</f>
        <v>01-1900</v>
      </c>
      <c r="D4139" s="10" t="str">
        <f>IFERROR(
   INDEX(tbl_ProduitsRef[Cde_Prdt],MATCH(tbl_Ventes[[#This Row],[Produit]],tbl_ProduitsRef[Produit],0)),
   ""
)</f>
        <v/>
      </c>
      <c r="E4139" s="7">
        <v>0</v>
      </c>
      <c r="F4139" s="7" t="str">
        <f>IFERROR(
   INDEX(tbl_ProduitsRef[Prix Menu],MATCH(tbl_Ventes[[#This Row],[Produit]],tbl_ProduitsRef[Produit],0)),
   ""
)</f>
        <v/>
      </c>
      <c r="G4139" s="7">
        <f>tbl_Ventes[[#This Row],[Qté Vendue]] * IFERROR(_xlfn.XLOOKUP(tbl_Ventes[[#This Row],[Cde_Prdt]], tbl_Produits[Cde_Prdt], tbl_Produits[Prix Menu]), 0)</f>
        <v>0</v>
      </c>
      <c r="H4139" s="7">
        <f>IFERROR(_xlfn.XLOOKUP(tbl_Ventes[[#This Row],[Cde_Prdt]], tbl_Produits[Cde_Prdt], tbl_Produits[Coût Moyen Portion]), 0)</f>
        <v>0</v>
      </c>
      <c r="I4139" s="7">
        <f>tbl_Ventes[[#This Row],[Qté Vendue]] * tbl_Ventes[[#This Row],[CMP_par_portion]]</f>
        <v>0</v>
      </c>
      <c r="J4139" s="7">
        <f>tbl_Ventes[[#This Row],[CA ligne]] - tbl_Ventes[[#This Row],[Coût matière ligne]]</f>
        <v>0</v>
      </c>
      <c r="K4139" s="7" t="str">
        <f>IFERROR(INDEX(tbl_ProduitsRef[Famille], MATCH(tbl_Ventes[[#This Row],[Cde_Prdt]], tbl_Produits[Cde_Prdt], 0)), "")</f>
        <v/>
      </c>
    </row>
    <row r="4140" spans="1:11" x14ac:dyDescent="0.25">
      <c r="A4140" s="5"/>
      <c r="B4140" s="63" t="str">
        <f>IFERROR(TEXT(tbl_Ventes[[#This Row],[Date]],"mm-aaaa"),"")</f>
        <v>01-1900</v>
      </c>
      <c r="D4140" s="10" t="str">
        <f>IFERROR(
   INDEX(tbl_ProduitsRef[Cde_Prdt],MATCH(tbl_Ventes[[#This Row],[Produit]],tbl_ProduitsRef[Produit],0)),
   ""
)</f>
        <v/>
      </c>
      <c r="E4140" s="7">
        <v>0</v>
      </c>
      <c r="F4140" s="7" t="str">
        <f>IFERROR(
   INDEX(tbl_ProduitsRef[Prix Menu],MATCH(tbl_Ventes[[#This Row],[Produit]],tbl_ProduitsRef[Produit],0)),
   ""
)</f>
        <v/>
      </c>
      <c r="G4140" s="7">
        <f>tbl_Ventes[[#This Row],[Qté Vendue]] * IFERROR(_xlfn.XLOOKUP(tbl_Ventes[[#This Row],[Cde_Prdt]], tbl_Produits[Cde_Prdt], tbl_Produits[Prix Menu]), 0)</f>
        <v>0</v>
      </c>
      <c r="H4140" s="7">
        <f>IFERROR(_xlfn.XLOOKUP(tbl_Ventes[[#This Row],[Cde_Prdt]], tbl_Produits[Cde_Prdt], tbl_Produits[Coût Moyen Portion]), 0)</f>
        <v>0</v>
      </c>
      <c r="I4140" s="7">
        <f>tbl_Ventes[[#This Row],[Qté Vendue]] * tbl_Ventes[[#This Row],[CMP_par_portion]]</f>
        <v>0</v>
      </c>
      <c r="J4140" s="7">
        <f>tbl_Ventes[[#This Row],[CA ligne]] - tbl_Ventes[[#This Row],[Coût matière ligne]]</f>
        <v>0</v>
      </c>
      <c r="K4140" s="7" t="str">
        <f>IFERROR(INDEX(tbl_ProduitsRef[Famille], MATCH(tbl_Ventes[[#This Row],[Cde_Prdt]], tbl_Produits[Cde_Prdt], 0)), "")</f>
        <v/>
      </c>
    </row>
    <row r="4141" spans="1:11" x14ac:dyDescent="0.25">
      <c r="A4141" s="5"/>
      <c r="B4141" s="63" t="str">
        <f>IFERROR(TEXT(tbl_Ventes[[#This Row],[Date]],"mm-aaaa"),"")</f>
        <v>01-1900</v>
      </c>
      <c r="D4141" s="10" t="str">
        <f>IFERROR(
   INDEX(tbl_ProduitsRef[Cde_Prdt],MATCH(tbl_Ventes[[#This Row],[Produit]],tbl_ProduitsRef[Produit],0)),
   ""
)</f>
        <v/>
      </c>
      <c r="E4141" s="7">
        <v>0</v>
      </c>
      <c r="F4141" s="7" t="str">
        <f>IFERROR(
   INDEX(tbl_ProduitsRef[Prix Menu],MATCH(tbl_Ventes[[#This Row],[Produit]],tbl_ProduitsRef[Produit],0)),
   ""
)</f>
        <v/>
      </c>
      <c r="G4141" s="7">
        <f>tbl_Ventes[[#This Row],[Qté Vendue]] * IFERROR(_xlfn.XLOOKUP(tbl_Ventes[[#This Row],[Cde_Prdt]], tbl_Produits[Cde_Prdt], tbl_Produits[Prix Menu]), 0)</f>
        <v>0</v>
      </c>
      <c r="H4141" s="7">
        <f>IFERROR(_xlfn.XLOOKUP(tbl_Ventes[[#This Row],[Cde_Prdt]], tbl_Produits[Cde_Prdt], tbl_Produits[Coût Moyen Portion]), 0)</f>
        <v>0</v>
      </c>
      <c r="I4141" s="7">
        <f>tbl_Ventes[[#This Row],[Qté Vendue]] * tbl_Ventes[[#This Row],[CMP_par_portion]]</f>
        <v>0</v>
      </c>
      <c r="J4141" s="7">
        <f>tbl_Ventes[[#This Row],[CA ligne]] - tbl_Ventes[[#This Row],[Coût matière ligne]]</f>
        <v>0</v>
      </c>
      <c r="K4141" s="7" t="str">
        <f>IFERROR(INDEX(tbl_ProduitsRef[Famille], MATCH(tbl_Ventes[[#This Row],[Cde_Prdt]], tbl_Produits[Cde_Prdt], 0)), "")</f>
        <v/>
      </c>
    </row>
    <row r="4142" spans="1:11" x14ac:dyDescent="0.25">
      <c r="A4142" s="5"/>
      <c r="B4142" s="63" t="str">
        <f>IFERROR(TEXT(tbl_Ventes[[#This Row],[Date]],"mm-aaaa"),"")</f>
        <v>01-1900</v>
      </c>
      <c r="D4142" s="10" t="str">
        <f>IFERROR(
   INDEX(tbl_ProduitsRef[Cde_Prdt],MATCH(tbl_Ventes[[#This Row],[Produit]],tbl_ProduitsRef[Produit],0)),
   ""
)</f>
        <v/>
      </c>
      <c r="E4142" s="7">
        <v>0</v>
      </c>
      <c r="F4142" s="7" t="str">
        <f>IFERROR(
   INDEX(tbl_ProduitsRef[Prix Menu],MATCH(tbl_Ventes[[#This Row],[Produit]],tbl_ProduitsRef[Produit],0)),
   ""
)</f>
        <v/>
      </c>
      <c r="G4142" s="7">
        <f>tbl_Ventes[[#This Row],[Qté Vendue]] * IFERROR(_xlfn.XLOOKUP(tbl_Ventes[[#This Row],[Cde_Prdt]], tbl_Produits[Cde_Prdt], tbl_Produits[Prix Menu]), 0)</f>
        <v>0</v>
      </c>
      <c r="H4142" s="7">
        <f>IFERROR(_xlfn.XLOOKUP(tbl_Ventes[[#This Row],[Cde_Prdt]], tbl_Produits[Cde_Prdt], tbl_Produits[Coût Moyen Portion]), 0)</f>
        <v>0</v>
      </c>
      <c r="I4142" s="7">
        <f>tbl_Ventes[[#This Row],[Qté Vendue]] * tbl_Ventes[[#This Row],[CMP_par_portion]]</f>
        <v>0</v>
      </c>
      <c r="J4142" s="7">
        <f>tbl_Ventes[[#This Row],[CA ligne]] - tbl_Ventes[[#This Row],[Coût matière ligne]]</f>
        <v>0</v>
      </c>
      <c r="K4142" s="7" t="str">
        <f>IFERROR(INDEX(tbl_ProduitsRef[Famille], MATCH(tbl_Ventes[[#This Row],[Cde_Prdt]], tbl_Produits[Cde_Prdt], 0)), "")</f>
        <v/>
      </c>
    </row>
    <row r="4143" spans="1:11" x14ac:dyDescent="0.25">
      <c r="A4143" s="5"/>
      <c r="B4143" s="63" t="str">
        <f>IFERROR(TEXT(tbl_Ventes[[#This Row],[Date]],"mm-aaaa"),"")</f>
        <v>01-1900</v>
      </c>
      <c r="D4143" s="10" t="str">
        <f>IFERROR(
   INDEX(tbl_ProduitsRef[Cde_Prdt],MATCH(tbl_Ventes[[#This Row],[Produit]],tbl_ProduitsRef[Produit],0)),
   ""
)</f>
        <v/>
      </c>
      <c r="E4143" s="7">
        <v>0</v>
      </c>
      <c r="F4143" s="7" t="str">
        <f>IFERROR(
   INDEX(tbl_ProduitsRef[Prix Menu],MATCH(tbl_Ventes[[#This Row],[Produit]],tbl_ProduitsRef[Produit],0)),
   ""
)</f>
        <v/>
      </c>
      <c r="G4143" s="7">
        <f>tbl_Ventes[[#This Row],[Qté Vendue]] * IFERROR(_xlfn.XLOOKUP(tbl_Ventes[[#This Row],[Cde_Prdt]], tbl_Produits[Cde_Prdt], tbl_Produits[Prix Menu]), 0)</f>
        <v>0</v>
      </c>
      <c r="H4143" s="7">
        <f>IFERROR(_xlfn.XLOOKUP(tbl_Ventes[[#This Row],[Cde_Prdt]], tbl_Produits[Cde_Prdt], tbl_Produits[Coût Moyen Portion]), 0)</f>
        <v>0</v>
      </c>
      <c r="I4143" s="7">
        <f>tbl_Ventes[[#This Row],[Qté Vendue]] * tbl_Ventes[[#This Row],[CMP_par_portion]]</f>
        <v>0</v>
      </c>
      <c r="J4143" s="7">
        <f>tbl_Ventes[[#This Row],[CA ligne]] - tbl_Ventes[[#This Row],[Coût matière ligne]]</f>
        <v>0</v>
      </c>
      <c r="K4143" s="7" t="str">
        <f>IFERROR(INDEX(tbl_ProduitsRef[Famille], MATCH(tbl_Ventes[[#This Row],[Cde_Prdt]], tbl_Produits[Cde_Prdt], 0)), "")</f>
        <v/>
      </c>
    </row>
    <row r="4144" spans="1:11" x14ac:dyDescent="0.25">
      <c r="A4144" s="5"/>
      <c r="B4144" s="63" t="str">
        <f>IFERROR(TEXT(tbl_Ventes[[#This Row],[Date]],"mm-aaaa"),"")</f>
        <v>01-1900</v>
      </c>
      <c r="D4144" s="10" t="str">
        <f>IFERROR(
   INDEX(tbl_ProduitsRef[Cde_Prdt],MATCH(tbl_Ventes[[#This Row],[Produit]],tbl_ProduitsRef[Produit],0)),
   ""
)</f>
        <v/>
      </c>
      <c r="E4144" s="7">
        <v>0</v>
      </c>
      <c r="F4144" s="7" t="str">
        <f>IFERROR(
   INDEX(tbl_ProduitsRef[Prix Menu],MATCH(tbl_Ventes[[#This Row],[Produit]],tbl_ProduitsRef[Produit],0)),
   ""
)</f>
        <v/>
      </c>
      <c r="G4144" s="7">
        <f>tbl_Ventes[[#This Row],[Qté Vendue]] * IFERROR(_xlfn.XLOOKUP(tbl_Ventes[[#This Row],[Cde_Prdt]], tbl_Produits[Cde_Prdt], tbl_Produits[Prix Menu]), 0)</f>
        <v>0</v>
      </c>
      <c r="H4144" s="7">
        <f>IFERROR(_xlfn.XLOOKUP(tbl_Ventes[[#This Row],[Cde_Prdt]], tbl_Produits[Cde_Prdt], tbl_Produits[Coût Moyen Portion]), 0)</f>
        <v>0</v>
      </c>
      <c r="I4144" s="7">
        <f>tbl_Ventes[[#This Row],[Qté Vendue]] * tbl_Ventes[[#This Row],[CMP_par_portion]]</f>
        <v>0</v>
      </c>
      <c r="J4144" s="7">
        <f>tbl_Ventes[[#This Row],[CA ligne]] - tbl_Ventes[[#This Row],[Coût matière ligne]]</f>
        <v>0</v>
      </c>
      <c r="K4144" s="7" t="str">
        <f>IFERROR(INDEX(tbl_ProduitsRef[Famille], MATCH(tbl_Ventes[[#This Row],[Cde_Prdt]], tbl_Produits[Cde_Prdt], 0)), "")</f>
        <v/>
      </c>
    </row>
    <row r="4145" spans="1:11" x14ac:dyDescent="0.25">
      <c r="A4145" s="5"/>
      <c r="B4145" s="63" t="str">
        <f>IFERROR(TEXT(tbl_Ventes[[#This Row],[Date]],"mm-aaaa"),"")</f>
        <v>01-1900</v>
      </c>
      <c r="D4145" s="10" t="str">
        <f>IFERROR(
   INDEX(tbl_ProduitsRef[Cde_Prdt],MATCH(tbl_Ventes[[#This Row],[Produit]],tbl_ProduitsRef[Produit],0)),
   ""
)</f>
        <v/>
      </c>
      <c r="E4145" s="7">
        <v>0</v>
      </c>
      <c r="F4145" s="7" t="str">
        <f>IFERROR(
   INDEX(tbl_ProduitsRef[Prix Menu],MATCH(tbl_Ventes[[#This Row],[Produit]],tbl_ProduitsRef[Produit],0)),
   ""
)</f>
        <v/>
      </c>
      <c r="G4145" s="7">
        <f>tbl_Ventes[[#This Row],[Qté Vendue]] * IFERROR(_xlfn.XLOOKUP(tbl_Ventes[[#This Row],[Cde_Prdt]], tbl_Produits[Cde_Prdt], tbl_Produits[Prix Menu]), 0)</f>
        <v>0</v>
      </c>
      <c r="H4145" s="7">
        <f>IFERROR(_xlfn.XLOOKUP(tbl_Ventes[[#This Row],[Cde_Prdt]], tbl_Produits[Cde_Prdt], tbl_Produits[Coût Moyen Portion]), 0)</f>
        <v>0</v>
      </c>
      <c r="I4145" s="7">
        <f>tbl_Ventes[[#This Row],[Qté Vendue]] * tbl_Ventes[[#This Row],[CMP_par_portion]]</f>
        <v>0</v>
      </c>
      <c r="J4145" s="7">
        <f>tbl_Ventes[[#This Row],[CA ligne]] - tbl_Ventes[[#This Row],[Coût matière ligne]]</f>
        <v>0</v>
      </c>
      <c r="K4145" s="7" t="str">
        <f>IFERROR(INDEX(tbl_ProduitsRef[Famille], MATCH(tbl_Ventes[[#This Row],[Cde_Prdt]], tbl_Produits[Cde_Prdt], 0)), "")</f>
        <v/>
      </c>
    </row>
    <row r="4146" spans="1:11" x14ac:dyDescent="0.25">
      <c r="A4146" s="5"/>
      <c r="B4146" s="63" t="str">
        <f>IFERROR(TEXT(tbl_Ventes[[#This Row],[Date]],"mm-aaaa"),"")</f>
        <v>01-1900</v>
      </c>
      <c r="D4146" s="10" t="str">
        <f>IFERROR(
   INDEX(tbl_ProduitsRef[Cde_Prdt],MATCH(tbl_Ventes[[#This Row],[Produit]],tbl_ProduitsRef[Produit],0)),
   ""
)</f>
        <v/>
      </c>
      <c r="E4146" s="7">
        <v>0</v>
      </c>
      <c r="F4146" s="7" t="str">
        <f>IFERROR(
   INDEX(tbl_ProduitsRef[Prix Menu],MATCH(tbl_Ventes[[#This Row],[Produit]],tbl_ProduitsRef[Produit],0)),
   ""
)</f>
        <v/>
      </c>
      <c r="G4146" s="7">
        <f>tbl_Ventes[[#This Row],[Qté Vendue]] * IFERROR(_xlfn.XLOOKUP(tbl_Ventes[[#This Row],[Cde_Prdt]], tbl_Produits[Cde_Prdt], tbl_Produits[Prix Menu]), 0)</f>
        <v>0</v>
      </c>
      <c r="H4146" s="7">
        <f>IFERROR(_xlfn.XLOOKUP(tbl_Ventes[[#This Row],[Cde_Prdt]], tbl_Produits[Cde_Prdt], tbl_Produits[Coût Moyen Portion]), 0)</f>
        <v>0</v>
      </c>
      <c r="I4146" s="7">
        <f>tbl_Ventes[[#This Row],[Qté Vendue]] * tbl_Ventes[[#This Row],[CMP_par_portion]]</f>
        <v>0</v>
      </c>
      <c r="J4146" s="7">
        <f>tbl_Ventes[[#This Row],[CA ligne]] - tbl_Ventes[[#This Row],[Coût matière ligne]]</f>
        <v>0</v>
      </c>
      <c r="K4146" s="7" t="str">
        <f>IFERROR(INDEX(tbl_ProduitsRef[Famille], MATCH(tbl_Ventes[[#This Row],[Cde_Prdt]], tbl_Produits[Cde_Prdt], 0)), "")</f>
        <v/>
      </c>
    </row>
    <row r="4147" spans="1:11" x14ac:dyDescent="0.25">
      <c r="A4147" s="5"/>
      <c r="B4147" s="63" t="str">
        <f>IFERROR(TEXT(tbl_Ventes[[#This Row],[Date]],"mm-aaaa"),"")</f>
        <v>01-1900</v>
      </c>
      <c r="D4147" s="10" t="str">
        <f>IFERROR(
   INDEX(tbl_ProduitsRef[Cde_Prdt],MATCH(tbl_Ventes[[#This Row],[Produit]],tbl_ProduitsRef[Produit],0)),
   ""
)</f>
        <v/>
      </c>
      <c r="E4147" s="7">
        <v>0</v>
      </c>
      <c r="F4147" s="7" t="str">
        <f>IFERROR(
   INDEX(tbl_ProduitsRef[Prix Menu],MATCH(tbl_Ventes[[#This Row],[Produit]],tbl_ProduitsRef[Produit],0)),
   ""
)</f>
        <v/>
      </c>
      <c r="G4147" s="7">
        <f>tbl_Ventes[[#This Row],[Qté Vendue]] * IFERROR(_xlfn.XLOOKUP(tbl_Ventes[[#This Row],[Cde_Prdt]], tbl_Produits[Cde_Prdt], tbl_Produits[Prix Menu]), 0)</f>
        <v>0</v>
      </c>
      <c r="H4147" s="7">
        <f>IFERROR(_xlfn.XLOOKUP(tbl_Ventes[[#This Row],[Cde_Prdt]], tbl_Produits[Cde_Prdt], tbl_Produits[Coût Moyen Portion]), 0)</f>
        <v>0</v>
      </c>
      <c r="I4147" s="7">
        <f>tbl_Ventes[[#This Row],[Qté Vendue]] * tbl_Ventes[[#This Row],[CMP_par_portion]]</f>
        <v>0</v>
      </c>
      <c r="J4147" s="7">
        <f>tbl_Ventes[[#This Row],[CA ligne]] - tbl_Ventes[[#This Row],[Coût matière ligne]]</f>
        <v>0</v>
      </c>
      <c r="K4147" s="7" t="str">
        <f>IFERROR(INDEX(tbl_ProduitsRef[Famille], MATCH(tbl_Ventes[[#This Row],[Cde_Prdt]], tbl_Produits[Cde_Prdt], 0)), "")</f>
        <v/>
      </c>
    </row>
    <row r="4148" spans="1:11" x14ac:dyDescent="0.25">
      <c r="A4148" s="5"/>
      <c r="B4148" s="63" t="str">
        <f>IFERROR(TEXT(tbl_Ventes[[#This Row],[Date]],"mm-aaaa"),"")</f>
        <v>01-1900</v>
      </c>
      <c r="D4148" s="10" t="str">
        <f>IFERROR(
   INDEX(tbl_ProduitsRef[Cde_Prdt],MATCH(tbl_Ventes[[#This Row],[Produit]],tbl_ProduitsRef[Produit],0)),
   ""
)</f>
        <v/>
      </c>
      <c r="E4148" s="7">
        <v>0</v>
      </c>
      <c r="F4148" s="7" t="str">
        <f>IFERROR(
   INDEX(tbl_ProduitsRef[Prix Menu],MATCH(tbl_Ventes[[#This Row],[Produit]],tbl_ProduitsRef[Produit],0)),
   ""
)</f>
        <v/>
      </c>
      <c r="G4148" s="7">
        <f>tbl_Ventes[[#This Row],[Qté Vendue]] * IFERROR(_xlfn.XLOOKUP(tbl_Ventes[[#This Row],[Cde_Prdt]], tbl_Produits[Cde_Prdt], tbl_Produits[Prix Menu]), 0)</f>
        <v>0</v>
      </c>
      <c r="H4148" s="7">
        <f>IFERROR(_xlfn.XLOOKUP(tbl_Ventes[[#This Row],[Cde_Prdt]], tbl_Produits[Cde_Prdt], tbl_Produits[Coût Moyen Portion]), 0)</f>
        <v>0</v>
      </c>
      <c r="I4148" s="7">
        <f>tbl_Ventes[[#This Row],[Qté Vendue]] * tbl_Ventes[[#This Row],[CMP_par_portion]]</f>
        <v>0</v>
      </c>
      <c r="J4148" s="7">
        <f>tbl_Ventes[[#This Row],[CA ligne]] - tbl_Ventes[[#This Row],[Coût matière ligne]]</f>
        <v>0</v>
      </c>
      <c r="K4148" s="7" t="str">
        <f>IFERROR(INDEX(tbl_ProduitsRef[Famille], MATCH(tbl_Ventes[[#This Row],[Cde_Prdt]], tbl_Produits[Cde_Prdt], 0)), "")</f>
        <v/>
      </c>
    </row>
    <row r="4149" spans="1:11" x14ac:dyDescent="0.25">
      <c r="A4149" s="5"/>
      <c r="B4149" s="63" t="str">
        <f>IFERROR(TEXT(tbl_Ventes[[#This Row],[Date]],"mm-aaaa"),"")</f>
        <v>01-1900</v>
      </c>
      <c r="D4149" s="10" t="str">
        <f>IFERROR(
   INDEX(tbl_ProduitsRef[Cde_Prdt],MATCH(tbl_Ventes[[#This Row],[Produit]],tbl_ProduitsRef[Produit],0)),
   ""
)</f>
        <v/>
      </c>
      <c r="E4149" s="7">
        <v>0</v>
      </c>
      <c r="F4149" s="7" t="str">
        <f>IFERROR(
   INDEX(tbl_ProduitsRef[Prix Menu],MATCH(tbl_Ventes[[#This Row],[Produit]],tbl_ProduitsRef[Produit],0)),
   ""
)</f>
        <v/>
      </c>
      <c r="G4149" s="7">
        <f>tbl_Ventes[[#This Row],[Qté Vendue]] * IFERROR(_xlfn.XLOOKUP(tbl_Ventes[[#This Row],[Cde_Prdt]], tbl_Produits[Cde_Prdt], tbl_Produits[Prix Menu]), 0)</f>
        <v>0</v>
      </c>
      <c r="H4149" s="7">
        <f>IFERROR(_xlfn.XLOOKUP(tbl_Ventes[[#This Row],[Cde_Prdt]], tbl_Produits[Cde_Prdt], tbl_Produits[Coût Moyen Portion]), 0)</f>
        <v>0</v>
      </c>
      <c r="I4149" s="7">
        <f>tbl_Ventes[[#This Row],[Qté Vendue]] * tbl_Ventes[[#This Row],[CMP_par_portion]]</f>
        <v>0</v>
      </c>
      <c r="J4149" s="7">
        <f>tbl_Ventes[[#This Row],[CA ligne]] - tbl_Ventes[[#This Row],[Coût matière ligne]]</f>
        <v>0</v>
      </c>
      <c r="K4149" s="7" t="str">
        <f>IFERROR(INDEX(tbl_ProduitsRef[Famille], MATCH(tbl_Ventes[[#This Row],[Cde_Prdt]], tbl_Produits[Cde_Prdt], 0)), "")</f>
        <v/>
      </c>
    </row>
    <row r="4150" spans="1:11" x14ac:dyDescent="0.25">
      <c r="A4150" s="5"/>
      <c r="B4150" s="63" t="str">
        <f>IFERROR(TEXT(tbl_Ventes[[#This Row],[Date]],"mm-aaaa"),"")</f>
        <v>01-1900</v>
      </c>
      <c r="D4150" s="10" t="str">
        <f>IFERROR(
   INDEX(tbl_ProduitsRef[Cde_Prdt],MATCH(tbl_Ventes[[#This Row],[Produit]],tbl_ProduitsRef[Produit],0)),
   ""
)</f>
        <v/>
      </c>
      <c r="E4150" s="7">
        <v>0</v>
      </c>
      <c r="F4150" s="7" t="str">
        <f>IFERROR(
   INDEX(tbl_ProduitsRef[Prix Menu],MATCH(tbl_Ventes[[#This Row],[Produit]],tbl_ProduitsRef[Produit],0)),
   ""
)</f>
        <v/>
      </c>
      <c r="G4150" s="7">
        <f>tbl_Ventes[[#This Row],[Qté Vendue]] * IFERROR(_xlfn.XLOOKUP(tbl_Ventes[[#This Row],[Cde_Prdt]], tbl_Produits[Cde_Prdt], tbl_Produits[Prix Menu]), 0)</f>
        <v>0</v>
      </c>
      <c r="H4150" s="7">
        <f>IFERROR(_xlfn.XLOOKUP(tbl_Ventes[[#This Row],[Cde_Prdt]], tbl_Produits[Cde_Prdt], tbl_Produits[Coût Moyen Portion]), 0)</f>
        <v>0</v>
      </c>
      <c r="I4150" s="7">
        <f>tbl_Ventes[[#This Row],[Qté Vendue]] * tbl_Ventes[[#This Row],[CMP_par_portion]]</f>
        <v>0</v>
      </c>
      <c r="J4150" s="7">
        <f>tbl_Ventes[[#This Row],[CA ligne]] - tbl_Ventes[[#This Row],[Coût matière ligne]]</f>
        <v>0</v>
      </c>
      <c r="K4150" s="7" t="str">
        <f>IFERROR(INDEX(tbl_ProduitsRef[Famille], MATCH(tbl_Ventes[[#This Row],[Cde_Prdt]], tbl_Produits[Cde_Prdt], 0)), "")</f>
        <v/>
      </c>
    </row>
    <row r="4151" spans="1:11" x14ac:dyDescent="0.25">
      <c r="A4151" s="5"/>
      <c r="B4151" s="63" t="str">
        <f>IFERROR(TEXT(tbl_Ventes[[#This Row],[Date]],"mm-aaaa"),"")</f>
        <v>01-1900</v>
      </c>
      <c r="D4151" s="10" t="str">
        <f>IFERROR(
   INDEX(tbl_ProduitsRef[Cde_Prdt],MATCH(tbl_Ventes[[#This Row],[Produit]],tbl_ProduitsRef[Produit],0)),
   ""
)</f>
        <v/>
      </c>
      <c r="E4151" s="7">
        <v>0</v>
      </c>
      <c r="F4151" s="7" t="str">
        <f>IFERROR(
   INDEX(tbl_ProduitsRef[Prix Menu],MATCH(tbl_Ventes[[#This Row],[Produit]],tbl_ProduitsRef[Produit],0)),
   ""
)</f>
        <v/>
      </c>
      <c r="G4151" s="7">
        <f>tbl_Ventes[[#This Row],[Qté Vendue]] * IFERROR(_xlfn.XLOOKUP(tbl_Ventes[[#This Row],[Cde_Prdt]], tbl_Produits[Cde_Prdt], tbl_Produits[Prix Menu]), 0)</f>
        <v>0</v>
      </c>
      <c r="H4151" s="7">
        <f>IFERROR(_xlfn.XLOOKUP(tbl_Ventes[[#This Row],[Cde_Prdt]], tbl_Produits[Cde_Prdt], tbl_Produits[Coût Moyen Portion]), 0)</f>
        <v>0</v>
      </c>
      <c r="I4151" s="7">
        <f>tbl_Ventes[[#This Row],[Qté Vendue]] * tbl_Ventes[[#This Row],[CMP_par_portion]]</f>
        <v>0</v>
      </c>
      <c r="J4151" s="7">
        <f>tbl_Ventes[[#This Row],[CA ligne]] - tbl_Ventes[[#This Row],[Coût matière ligne]]</f>
        <v>0</v>
      </c>
      <c r="K4151" s="7" t="str">
        <f>IFERROR(INDEX(tbl_ProduitsRef[Famille], MATCH(tbl_Ventes[[#This Row],[Cde_Prdt]], tbl_Produits[Cde_Prdt], 0)), "")</f>
        <v/>
      </c>
    </row>
    <row r="4152" spans="1:11" x14ac:dyDescent="0.25">
      <c r="A4152" s="5"/>
      <c r="B4152" s="63" t="str">
        <f>IFERROR(TEXT(tbl_Ventes[[#This Row],[Date]],"mm-aaaa"),"")</f>
        <v>01-1900</v>
      </c>
      <c r="D4152" s="10" t="str">
        <f>IFERROR(
   INDEX(tbl_ProduitsRef[Cde_Prdt],MATCH(tbl_Ventes[[#This Row],[Produit]],tbl_ProduitsRef[Produit],0)),
   ""
)</f>
        <v/>
      </c>
      <c r="E4152" s="7">
        <v>0</v>
      </c>
      <c r="F4152" s="7" t="str">
        <f>IFERROR(
   INDEX(tbl_ProduitsRef[Prix Menu],MATCH(tbl_Ventes[[#This Row],[Produit]],tbl_ProduitsRef[Produit],0)),
   ""
)</f>
        <v/>
      </c>
      <c r="G4152" s="7">
        <f>tbl_Ventes[[#This Row],[Qté Vendue]] * IFERROR(_xlfn.XLOOKUP(tbl_Ventes[[#This Row],[Cde_Prdt]], tbl_Produits[Cde_Prdt], tbl_Produits[Prix Menu]), 0)</f>
        <v>0</v>
      </c>
      <c r="H4152" s="7">
        <f>IFERROR(_xlfn.XLOOKUP(tbl_Ventes[[#This Row],[Cde_Prdt]], tbl_Produits[Cde_Prdt], tbl_Produits[Coût Moyen Portion]), 0)</f>
        <v>0</v>
      </c>
      <c r="I4152" s="7">
        <f>tbl_Ventes[[#This Row],[Qté Vendue]] * tbl_Ventes[[#This Row],[CMP_par_portion]]</f>
        <v>0</v>
      </c>
      <c r="J4152" s="7">
        <f>tbl_Ventes[[#This Row],[CA ligne]] - tbl_Ventes[[#This Row],[Coût matière ligne]]</f>
        <v>0</v>
      </c>
      <c r="K4152" s="7" t="str">
        <f>IFERROR(INDEX(tbl_ProduitsRef[Famille], MATCH(tbl_Ventes[[#This Row],[Cde_Prdt]], tbl_Produits[Cde_Prdt], 0)), "")</f>
        <v/>
      </c>
    </row>
    <row r="4153" spans="1:11" x14ac:dyDescent="0.25">
      <c r="A4153" s="5"/>
      <c r="B4153" s="63" t="str">
        <f>IFERROR(TEXT(tbl_Ventes[[#This Row],[Date]],"mm-aaaa"),"")</f>
        <v>01-1900</v>
      </c>
      <c r="D4153" s="10" t="str">
        <f>IFERROR(
   INDEX(tbl_ProduitsRef[Cde_Prdt],MATCH(tbl_Ventes[[#This Row],[Produit]],tbl_ProduitsRef[Produit],0)),
   ""
)</f>
        <v/>
      </c>
      <c r="E4153" s="7">
        <v>0</v>
      </c>
      <c r="F4153" s="7" t="str">
        <f>IFERROR(
   INDEX(tbl_ProduitsRef[Prix Menu],MATCH(tbl_Ventes[[#This Row],[Produit]],tbl_ProduitsRef[Produit],0)),
   ""
)</f>
        <v/>
      </c>
      <c r="G4153" s="7">
        <f>tbl_Ventes[[#This Row],[Qté Vendue]] * IFERROR(_xlfn.XLOOKUP(tbl_Ventes[[#This Row],[Cde_Prdt]], tbl_Produits[Cde_Prdt], tbl_Produits[Prix Menu]), 0)</f>
        <v>0</v>
      </c>
      <c r="H4153" s="7">
        <f>IFERROR(_xlfn.XLOOKUP(tbl_Ventes[[#This Row],[Cde_Prdt]], tbl_Produits[Cde_Prdt], tbl_Produits[Coût Moyen Portion]), 0)</f>
        <v>0</v>
      </c>
      <c r="I4153" s="7">
        <f>tbl_Ventes[[#This Row],[Qté Vendue]] * tbl_Ventes[[#This Row],[CMP_par_portion]]</f>
        <v>0</v>
      </c>
      <c r="J4153" s="7">
        <f>tbl_Ventes[[#This Row],[CA ligne]] - tbl_Ventes[[#This Row],[Coût matière ligne]]</f>
        <v>0</v>
      </c>
      <c r="K4153" s="7" t="str">
        <f>IFERROR(INDEX(tbl_ProduitsRef[Famille], MATCH(tbl_Ventes[[#This Row],[Cde_Prdt]], tbl_Produits[Cde_Prdt], 0)), "")</f>
        <v/>
      </c>
    </row>
    <row r="4154" spans="1:11" x14ac:dyDescent="0.25">
      <c r="A4154" s="5"/>
      <c r="B4154" s="63" t="str">
        <f>IFERROR(TEXT(tbl_Ventes[[#This Row],[Date]],"mm-aaaa"),"")</f>
        <v>01-1900</v>
      </c>
      <c r="D4154" s="10" t="str">
        <f>IFERROR(
   INDEX(tbl_ProduitsRef[Cde_Prdt],MATCH(tbl_Ventes[[#This Row],[Produit]],tbl_ProduitsRef[Produit],0)),
   ""
)</f>
        <v/>
      </c>
      <c r="E4154" s="7">
        <v>0</v>
      </c>
      <c r="F4154" s="7" t="str">
        <f>IFERROR(
   INDEX(tbl_ProduitsRef[Prix Menu],MATCH(tbl_Ventes[[#This Row],[Produit]],tbl_ProduitsRef[Produit],0)),
   ""
)</f>
        <v/>
      </c>
      <c r="G4154" s="7">
        <f>tbl_Ventes[[#This Row],[Qté Vendue]] * IFERROR(_xlfn.XLOOKUP(tbl_Ventes[[#This Row],[Cde_Prdt]], tbl_Produits[Cde_Prdt], tbl_Produits[Prix Menu]), 0)</f>
        <v>0</v>
      </c>
      <c r="H4154" s="7">
        <f>IFERROR(_xlfn.XLOOKUP(tbl_Ventes[[#This Row],[Cde_Prdt]], tbl_Produits[Cde_Prdt], tbl_Produits[Coût Moyen Portion]), 0)</f>
        <v>0</v>
      </c>
      <c r="I4154" s="7">
        <f>tbl_Ventes[[#This Row],[Qté Vendue]] * tbl_Ventes[[#This Row],[CMP_par_portion]]</f>
        <v>0</v>
      </c>
      <c r="J4154" s="7">
        <f>tbl_Ventes[[#This Row],[CA ligne]] - tbl_Ventes[[#This Row],[Coût matière ligne]]</f>
        <v>0</v>
      </c>
      <c r="K4154" s="7" t="str">
        <f>IFERROR(INDEX(tbl_ProduitsRef[Famille], MATCH(tbl_Ventes[[#This Row],[Cde_Prdt]], tbl_Produits[Cde_Prdt], 0)), "")</f>
        <v/>
      </c>
    </row>
    <row r="4155" spans="1:11" x14ac:dyDescent="0.25">
      <c r="A4155" s="5"/>
      <c r="B4155" s="63" t="str">
        <f>IFERROR(TEXT(tbl_Ventes[[#This Row],[Date]],"mm-aaaa"),"")</f>
        <v>01-1900</v>
      </c>
      <c r="D4155" s="10" t="str">
        <f>IFERROR(
   INDEX(tbl_ProduitsRef[Cde_Prdt],MATCH(tbl_Ventes[[#This Row],[Produit]],tbl_ProduitsRef[Produit],0)),
   ""
)</f>
        <v/>
      </c>
      <c r="E4155" s="7">
        <v>0</v>
      </c>
      <c r="F4155" s="7" t="str">
        <f>IFERROR(
   INDEX(tbl_ProduitsRef[Prix Menu],MATCH(tbl_Ventes[[#This Row],[Produit]],tbl_ProduitsRef[Produit],0)),
   ""
)</f>
        <v/>
      </c>
      <c r="G4155" s="7">
        <f>tbl_Ventes[[#This Row],[Qté Vendue]] * IFERROR(_xlfn.XLOOKUP(tbl_Ventes[[#This Row],[Cde_Prdt]], tbl_Produits[Cde_Prdt], tbl_Produits[Prix Menu]), 0)</f>
        <v>0</v>
      </c>
      <c r="H4155" s="7">
        <f>IFERROR(_xlfn.XLOOKUP(tbl_Ventes[[#This Row],[Cde_Prdt]], tbl_Produits[Cde_Prdt], tbl_Produits[Coût Moyen Portion]), 0)</f>
        <v>0</v>
      </c>
      <c r="I4155" s="7">
        <f>tbl_Ventes[[#This Row],[Qté Vendue]] * tbl_Ventes[[#This Row],[CMP_par_portion]]</f>
        <v>0</v>
      </c>
      <c r="J4155" s="7">
        <f>tbl_Ventes[[#This Row],[CA ligne]] - tbl_Ventes[[#This Row],[Coût matière ligne]]</f>
        <v>0</v>
      </c>
      <c r="K4155" s="7" t="str">
        <f>IFERROR(INDEX(tbl_ProduitsRef[Famille], MATCH(tbl_Ventes[[#This Row],[Cde_Prdt]], tbl_Produits[Cde_Prdt], 0)), "")</f>
        <v/>
      </c>
    </row>
    <row r="4156" spans="1:11" x14ac:dyDescent="0.25">
      <c r="A4156" s="5"/>
      <c r="B4156" s="63" t="str">
        <f>IFERROR(TEXT(tbl_Ventes[[#This Row],[Date]],"mm-aaaa"),"")</f>
        <v>01-1900</v>
      </c>
      <c r="D4156" s="10" t="str">
        <f>IFERROR(
   INDEX(tbl_ProduitsRef[Cde_Prdt],MATCH(tbl_Ventes[[#This Row],[Produit]],tbl_ProduitsRef[Produit],0)),
   ""
)</f>
        <v/>
      </c>
      <c r="E4156" s="7">
        <v>0</v>
      </c>
      <c r="F4156" s="7" t="str">
        <f>IFERROR(
   INDEX(tbl_ProduitsRef[Prix Menu],MATCH(tbl_Ventes[[#This Row],[Produit]],tbl_ProduitsRef[Produit],0)),
   ""
)</f>
        <v/>
      </c>
      <c r="G4156" s="7">
        <f>tbl_Ventes[[#This Row],[Qté Vendue]] * IFERROR(_xlfn.XLOOKUP(tbl_Ventes[[#This Row],[Cde_Prdt]], tbl_Produits[Cde_Prdt], tbl_Produits[Prix Menu]), 0)</f>
        <v>0</v>
      </c>
      <c r="H4156" s="7">
        <f>IFERROR(_xlfn.XLOOKUP(tbl_Ventes[[#This Row],[Cde_Prdt]], tbl_Produits[Cde_Prdt], tbl_Produits[Coût Moyen Portion]), 0)</f>
        <v>0</v>
      </c>
      <c r="I4156" s="7">
        <f>tbl_Ventes[[#This Row],[Qté Vendue]] * tbl_Ventes[[#This Row],[CMP_par_portion]]</f>
        <v>0</v>
      </c>
      <c r="J4156" s="7">
        <f>tbl_Ventes[[#This Row],[CA ligne]] - tbl_Ventes[[#This Row],[Coût matière ligne]]</f>
        <v>0</v>
      </c>
      <c r="K4156" s="7" t="str">
        <f>IFERROR(INDEX(tbl_ProduitsRef[Famille], MATCH(tbl_Ventes[[#This Row],[Cde_Prdt]], tbl_Produits[Cde_Prdt], 0)), "")</f>
        <v/>
      </c>
    </row>
    <row r="4157" spans="1:11" x14ac:dyDescent="0.25">
      <c r="A4157" s="5"/>
      <c r="B4157" s="63" t="str">
        <f>IFERROR(TEXT(tbl_Ventes[[#This Row],[Date]],"mm-aaaa"),"")</f>
        <v>01-1900</v>
      </c>
      <c r="D4157" s="10" t="str">
        <f>IFERROR(
   INDEX(tbl_ProduitsRef[Cde_Prdt],MATCH(tbl_Ventes[[#This Row],[Produit]],tbl_ProduitsRef[Produit],0)),
   ""
)</f>
        <v/>
      </c>
      <c r="E4157" s="7">
        <v>0</v>
      </c>
      <c r="F4157" s="7" t="str">
        <f>IFERROR(
   INDEX(tbl_ProduitsRef[Prix Menu],MATCH(tbl_Ventes[[#This Row],[Produit]],tbl_ProduitsRef[Produit],0)),
   ""
)</f>
        <v/>
      </c>
      <c r="G4157" s="7">
        <f>tbl_Ventes[[#This Row],[Qté Vendue]] * IFERROR(_xlfn.XLOOKUP(tbl_Ventes[[#This Row],[Cde_Prdt]], tbl_Produits[Cde_Prdt], tbl_Produits[Prix Menu]), 0)</f>
        <v>0</v>
      </c>
      <c r="H4157" s="7">
        <f>IFERROR(_xlfn.XLOOKUP(tbl_Ventes[[#This Row],[Cde_Prdt]], tbl_Produits[Cde_Prdt], tbl_Produits[Coût Moyen Portion]), 0)</f>
        <v>0</v>
      </c>
      <c r="I4157" s="7">
        <f>tbl_Ventes[[#This Row],[Qté Vendue]] * tbl_Ventes[[#This Row],[CMP_par_portion]]</f>
        <v>0</v>
      </c>
      <c r="J4157" s="7">
        <f>tbl_Ventes[[#This Row],[CA ligne]] - tbl_Ventes[[#This Row],[Coût matière ligne]]</f>
        <v>0</v>
      </c>
      <c r="K4157" s="7" t="str">
        <f>IFERROR(INDEX(tbl_ProduitsRef[Famille], MATCH(tbl_Ventes[[#This Row],[Cde_Prdt]], tbl_Produits[Cde_Prdt], 0)), "")</f>
        <v/>
      </c>
    </row>
    <row r="4158" spans="1:11" x14ac:dyDescent="0.25">
      <c r="A4158" s="5"/>
      <c r="B4158" s="63" t="str">
        <f>IFERROR(TEXT(tbl_Ventes[[#This Row],[Date]],"mm-aaaa"),"")</f>
        <v>01-1900</v>
      </c>
      <c r="D4158" s="10" t="str">
        <f>IFERROR(
   INDEX(tbl_ProduitsRef[Cde_Prdt],MATCH(tbl_Ventes[[#This Row],[Produit]],tbl_ProduitsRef[Produit],0)),
   ""
)</f>
        <v/>
      </c>
      <c r="E4158" s="7">
        <v>0</v>
      </c>
      <c r="F4158" s="7" t="str">
        <f>IFERROR(
   INDEX(tbl_ProduitsRef[Prix Menu],MATCH(tbl_Ventes[[#This Row],[Produit]],tbl_ProduitsRef[Produit],0)),
   ""
)</f>
        <v/>
      </c>
      <c r="G4158" s="7">
        <f>tbl_Ventes[[#This Row],[Qté Vendue]] * IFERROR(_xlfn.XLOOKUP(tbl_Ventes[[#This Row],[Cde_Prdt]], tbl_Produits[Cde_Prdt], tbl_Produits[Prix Menu]), 0)</f>
        <v>0</v>
      </c>
      <c r="H4158" s="7">
        <f>IFERROR(_xlfn.XLOOKUP(tbl_Ventes[[#This Row],[Cde_Prdt]], tbl_Produits[Cde_Prdt], tbl_Produits[Coût Moyen Portion]), 0)</f>
        <v>0</v>
      </c>
      <c r="I4158" s="7">
        <f>tbl_Ventes[[#This Row],[Qté Vendue]] * tbl_Ventes[[#This Row],[CMP_par_portion]]</f>
        <v>0</v>
      </c>
      <c r="J4158" s="7">
        <f>tbl_Ventes[[#This Row],[CA ligne]] - tbl_Ventes[[#This Row],[Coût matière ligne]]</f>
        <v>0</v>
      </c>
      <c r="K4158" s="7" t="str">
        <f>IFERROR(INDEX(tbl_ProduitsRef[Famille], MATCH(tbl_Ventes[[#This Row],[Cde_Prdt]], tbl_Produits[Cde_Prdt], 0)), "")</f>
        <v/>
      </c>
    </row>
    <row r="4159" spans="1:11" x14ac:dyDescent="0.25">
      <c r="A4159" s="5"/>
      <c r="B4159" s="63" t="str">
        <f>IFERROR(TEXT(tbl_Ventes[[#This Row],[Date]],"mm-aaaa"),"")</f>
        <v>01-1900</v>
      </c>
      <c r="D4159" s="10" t="str">
        <f>IFERROR(
   INDEX(tbl_ProduitsRef[Cde_Prdt],MATCH(tbl_Ventes[[#This Row],[Produit]],tbl_ProduitsRef[Produit],0)),
   ""
)</f>
        <v/>
      </c>
      <c r="E4159" s="7">
        <v>0</v>
      </c>
      <c r="F4159" s="7" t="str">
        <f>IFERROR(
   INDEX(tbl_ProduitsRef[Prix Menu],MATCH(tbl_Ventes[[#This Row],[Produit]],tbl_ProduitsRef[Produit],0)),
   ""
)</f>
        <v/>
      </c>
      <c r="G4159" s="7">
        <f>tbl_Ventes[[#This Row],[Qté Vendue]] * IFERROR(_xlfn.XLOOKUP(tbl_Ventes[[#This Row],[Cde_Prdt]], tbl_Produits[Cde_Prdt], tbl_Produits[Prix Menu]), 0)</f>
        <v>0</v>
      </c>
      <c r="H4159" s="7">
        <f>IFERROR(_xlfn.XLOOKUP(tbl_Ventes[[#This Row],[Cde_Prdt]], tbl_Produits[Cde_Prdt], tbl_Produits[Coût Moyen Portion]), 0)</f>
        <v>0</v>
      </c>
      <c r="I4159" s="7">
        <f>tbl_Ventes[[#This Row],[Qté Vendue]] * tbl_Ventes[[#This Row],[CMP_par_portion]]</f>
        <v>0</v>
      </c>
      <c r="J4159" s="7">
        <f>tbl_Ventes[[#This Row],[CA ligne]] - tbl_Ventes[[#This Row],[Coût matière ligne]]</f>
        <v>0</v>
      </c>
      <c r="K4159" s="7" t="str">
        <f>IFERROR(INDEX(tbl_ProduitsRef[Famille], MATCH(tbl_Ventes[[#This Row],[Cde_Prdt]], tbl_Produits[Cde_Prdt], 0)), "")</f>
        <v/>
      </c>
    </row>
    <row r="4160" spans="1:11" x14ac:dyDescent="0.25">
      <c r="A4160" s="5"/>
      <c r="B4160" s="63" t="str">
        <f>IFERROR(TEXT(tbl_Ventes[[#This Row],[Date]],"mm-aaaa"),"")</f>
        <v>01-1900</v>
      </c>
      <c r="D4160" s="10" t="str">
        <f>IFERROR(
   INDEX(tbl_ProduitsRef[Cde_Prdt],MATCH(tbl_Ventes[[#This Row],[Produit]],tbl_ProduitsRef[Produit],0)),
   ""
)</f>
        <v/>
      </c>
      <c r="E4160" s="7">
        <v>0</v>
      </c>
      <c r="F4160" s="7" t="str">
        <f>IFERROR(
   INDEX(tbl_ProduitsRef[Prix Menu],MATCH(tbl_Ventes[[#This Row],[Produit]],tbl_ProduitsRef[Produit],0)),
   ""
)</f>
        <v/>
      </c>
      <c r="G4160" s="7">
        <f>tbl_Ventes[[#This Row],[Qté Vendue]] * IFERROR(_xlfn.XLOOKUP(tbl_Ventes[[#This Row],[Cde_Prdt]], tbl_Produits[Cde_Prdt], tbl_Produits[Prix Menu]), 0)</f>
        <v>0</v>
      </c>
      <c r="H4160" s="7">
        <f>IFERROR(_xlfn.XLOOKUP(tbl_Ventes[[#This Row],[Cde_Prdt]], tbl_Produits[Cde_Prdt], tbl_Produits[Coût Moyen Portion]), 0)</f>
        <v>0</v>
      </c>
      <c r="I4160" s="7">
        <f>tbl_Ventes[[#This Row],[Qté Vendue]] * tbl_Ventes[[#This Row],[CMP_par_portion]]</f>
        <v>0</v>
      </c>
      <c r="J4160" s="7">
        <f>tbl_Ventes[[#This Row],[CA ligne]] - tbl_Ventes[[#This Row],[Coût matière ligne]]</f>
        <v>0</v>
      </c>
      <c r="K4160" s="7" t="str">
        <f>IFERROR(INDEX(tbl_ProduitsRef[Famille], MATCH(tbl_Ventes[[#This Row],[Cde_Prdt]], tbl_Produits[Cde_Prdt], 0)), "")</f>
        <v/>
      </c>
    </row>
    <row r="4161" spans="1:11" x14ac:dyDescent="0.25">
      <c r="A4161" s="5"/>
      <c r="B4161" s="63" t="str">
        <f>IFERROR(TEXT(tbl_Ventes[[#This Row],[Date]],"mm-aaaa"),"")</f>
        <v>01-1900</v>
      </c>
      <c r="D4161" s="10" t="str">
        <f>IFERROR(
   INDEX(tbl_ProduitsRef[Cde_Prdt],MATCH(tbl_Ventes[[#This Row],[Produit]],tbl_ProduitsRef[Produit],0)),
   ""
)</f>
        <v/>
      </c>
      <c r="E4161" s="7">
        <v>0</v>
      </c>
      <c r="F4161" s="7" t="str">
        <f>IFERROR(
   INDEX(tbl_ProduitsRef[Prix Menu],MATCH(tbl_Ventes[[#This Row],[Produit]],tbl_ProduitsRef[Produit],0)),
   ""
)</f>
        <v/>
      </c>
      <c r="G4161" s="7">
        <f>tbl_Ventes[[#This Row],[Qté Vendue]] * IFERROR(_xlfn.XLOOKUP(tbl_Ventes[[#This Row],[Cde_Prdt]], tbl_Produits[Cde_Prdt], tbl_Produits[Prix Menu]), 0)</f>
        <v>0</v>
      </c>
      <c r="H4161" s="7">
        <f>IFERROR(_xlfn.XLOOKUP(tbl_Ventes[[#This Row],[Cde_Prdt]], tbl_Produits[Cde_Prdt], tbl_Produits[Coût Moyen Portion]), 0)</f>
        <v>0</v>
      </c>
      <c r="I4161" s="7">
        <f>tbl_Ventes[[#This Row],[Qté Vendue]] * tbl_Ventes[[#This Row],[CMP_par_portion]]</f>
        <v>0</v>
      </c>
      <c r="J4161" s="7">
        <f>tbl_Ventes[[#This Row],[CA ligne]] - tbl_Ventes[[#This Row],[Coût matière ligne]]</f>
        <v>0</v>
      </c>
      <c r="K4161" s="7" t="str">
        <f>IFERROR(INDEX(tbl_ProduitsRef[Famille], MATCH(tbl_Ventes[[#This Row],[Cde_Prdt]], tbl_Produits[Cde_Prdt], 0)), "")</f>
        <v/>
      </c>
    </row>
    <row r="4162" spans="1:11" x14ac:dyDescent="0.25">
      <c r="A4162" s="5"/>
      <c r="B4162" s="63" t="str">
        <f>IFERROR(TEXT(tbl_Ventes[[#This Row],[Date]],"mm-aaaa"),"")</f>
        <v>01-1900</v>
      </c>
      <c r="D4162" s="10" t="str">
        <f>IFERROR(
   INDEX(tbl_ProduitsRef[Cde_Prdt],MATCH(tbl_Ventes[[#This Row],[Produit]],tbl_ProduitsRef[Produit],0)),
   ""
)</f>
        <v/>
      </c>
      <c r="E4162" s="7">
        <v>0</v>
      </c>
      <c r="F4162" s="7" t="str">
        <f>IFERROR(
   INDEX(tbl_ProduitsRef[Prix Menu],MATCH(tbl_Ventes[[#This Row],[Produit]],tbl_ProduitsRef[Produit],0)),
   ""
)</f>
        <v/>
      </c>
      <c r="G4162" s="7">
        <f>tbl_Ventes[[#This Row],[Qté Vendue]] * IFERROR(_xlfn.XLOOKUP(tbl_Ventes[[#This Row],[Cde_Prdt]], tbl_Produits[Cde_Prdt], tbl_Produits[Prix Menu]), 0)</f>
        <v>0</v>
      </c>
      <c r="H4162" s="7">
        <f>IFERROR(_xlfn.XLOOKUP(tbl_Ventes[[#This Row],[Cde_Prdt]], tbl_Produits[Cde_Prdt], tbl_Produits[Coût Moyen Portion]), 0)</f>
        <v>0</v>
      </c>
      <c r="I4162" s="7">
        <f>tbl_Ventes[[#This Row],[Qté Vendue]] * tbl_Ventes[[#This Row],[CMP_par_portion]]</f>
        <v>0</v>
      </c>
      <c r="J4162" s="7">
        <f>tbl_Ventes[[#This Row],[CA ligne]] - tbl_Ventes[[#This Row],[Coût matière ligne]]</f>
        <v>0</v>
      </c>
      <c r="K4162" s="7" t="str">
        <f>IFERROR(INDEX(tbl_ProduitsRef[Famille], MATCH(tbl_Ventes[[#This Row],[Cde_Prdt]], tbl_Produits[Cde_Prdt], 0)), "")</f>
        <v/>
      </c>
    </row>
    <row r="4163" spans="1:11" x14ac:dyDescent="0.25">
      <c r="A4163" s="5"/>
      <c r="B4163" s="63" t="str">
        <f>IFERROR(TEXT(tbl_Ventes[[#This Row],[Date]],"mm-aaaa"),"")</f>
        <v>01-1900</v>
      </c>
      <c r="D4163" s="10" t="str">
        <f>IFERROR(
   INDEX(tbl_ProduitsRef[Cde_Prdt],MATCH(tbl_Ventes[[#This Row],[Produit]],tbl_ProduitsRef[Produit],0)),
   ""
)</f>
        <v/>
      </c>
      <c r="E4163" s="7">
        <v>0</v>
      </c>
      <c r="F4163" s="7" t="str">
        <f>IFERROR(
   INDEX(tbl_ProduitsRef[Prix Menu],MATCH(tbl_Ventes[[#This Row],[Produit]],tbl_ProduitsRef[Produit],0)),
   ""
)</f>
        <v/>
      </c>
      <c r="G4163" s="7">
        <f>tbl_Ventes[[#This Row],[Qté Vendue]] * IFERROR(_xlfn.XLOOKUP(tbl_Ventes[[#This Row],[Cde_Prdt]], tbl_Produits[Cde_Prdt], tbl_Produits[Prix Menu]), 0)</f>
        <v>0</v>
      </c>
      <c r="H4163" s="7">
        <f>IFERROR(_xlfn.XLOOKUP(tbl_Ventes[[#This Row],[Cde_Prdt]], tbl_Produits[Cde_Prdt], tbl_Produits[Coût Moyen Portion]), 0)</f>
        <v>0</v>
      </c>
      <c r="I4163" s="7">
        <f>tbl_Ventes[[#This Row],[Qté Vendue]] * tbl_Ventes[[#This Row],[CMP_par_portion]]</f>
        <v>0</v>
      </c>
      <c r="J4163" s="7">
        <f>tbl_Ventes[[#This Row],[CA ligne]] - tbl_Ventes[[#This Row],[Coût matière ligne]]</f>
        <v>0</v>
      </c>
      <c r="K4163" s="7" t="str">
        <f>IFERROR(INDEX(tbl_ProduitsRef[Famille], MATCH(tbl_Ventes[[#This Row],[Cde_Prdt]], tbl_Produits[Cde_Prdt], 0)), "")</f>
        <v/>
      </c>
    </row>
    <row r="4164" spans="1:11" x14ac:dyDescent="0.25">
      <c r="A4164" s="5"/>
      <c r="B4164" s="63" t="str">
        <f>IFERROR(TEXT(tbl_Ventes[[#This Row],[Date]],"mm-aaaa"),"")</f>
        <v>01-1900</v>
      </c>
      <c r="D4164" s="10" t="str">
        <f>IFERROR(
   INDEX(tbl_ProduitsRef[Cde_Prdt],MATCH(tbl_Ventes[[#This Row],[Produit]],tbl_ProduitsRef[Produit],0)),
   ""
)</f>
        <v/>
      </c>
      <c r="E4164" s="7">
        <v>0</v>
      </c>
      <c r="F4164" s="7" t="str">
        <f>IFERROR(
   INDEX(tbl_ProduitsRef[Prix Menu],MATCH(tbl_Ventes[[#This Row],[Produit]],tbl_ProduitsRef[Produit],0)),
   ""
)</f>
        <v/>
      </c>
      <c r="G4164" s="7">
        <f>tbl_Ventes[[#This Row],[Qté Vendue]] * IFERROR(_xlfn.XLOOKUP(tbl_Ventes[[#This Row],[Cde_Prdt]], tbl_Produits[Cde_Prdt], tbl_Produits[Prix Menu]), 0)</f>
        <v>0</v>
      </c>
      <c r="H4164" s="7">
        <f>IFERROR(_xlfn.XLOOKUP(tbl_Ventes[[#This Row],[Cde_Prdt]], tbl_Produits[Cde_Prdt], tbl_Produits[Coût Moyen Portion]), 0)</f>
        <v>0</v>
      </c>
      <c r="I4164" s="7">
        <f>tbl_Ventes[[#This Row],[Qté Vendue]] * tbl_Ventes[[#This Row],[CMP_par_portion]]</f>
        <v>0</v>
      </c>
      <c r="J4164" s="7">
        <f>tbl_Ventes[[#This Row],[CA ligne]] - tbl_Ventes[[#This Row],[Coût matière ligne]]</f>
        <v>0</v>
      </c>
      <c r="K4164" s="7" t="str">
        <f>IFERROR(INDEX(tbl_ProduitsRef[Famille], MATCH(tbl_Ventes[[#This Row],[Cde_Prdt]], tbl_Produits[Cde_Prdt], 0)), "")</f>
        <v/>
      </c>
    </row>
    <row r="4165" spans="1:11" x14ac:dyDescent="0.25">
      <c r="A4165" s="5"/>
      <c r="B4165" s="63" t="str">
        <f>IFERROR(TEXT(tbl_Ventes[[#This Row],[Date]],"mm-aaaa"),"")</f>
        <v>01-1900</v>
      </c>
      <c r="D4165" s="10" t="str">
        <f>IFERROR(
   INDEX(tbl_ProduitsRef[Cde_Prdt],MATCH(tbl_Ventes[[#This Row],[Produit]],tbl_ProduitsRef[Produit],0)),
   ""
)</f>
        <v/>
      </c>
      <c r="E4165" s="7">
        <v>0</v>
      </c>
      <c r="F4165" s="7" t="str">
        <f>IFERROR(
   INDEX(tbl_ProduitsRef[Prix Menu],MATCH(tbl_Ventes[[#This Row],[Produit]],tbl_ProduitsRef[Produit],0)),
   ""
)</f>
        <v/>
      </c>
      <c r="G4165" s="7">
        <f>tbl_Ventes[[#This Row],[Qté Vendue]] * IFERROR(_xlfn.XLOOKUP(tbl_Ventes[[#This Row],[Cde_Prdt]], tbl_Produits[Cde_Prdt], tbl_Produits[Prix Menu]), 0)</f>
        <v>0</v>
      </c>
      <c r="H4165" s="7">
        <f>IFERROR(_xlfn.XLOOKUP(tbl_Ventes[[#This Row],[Cde_Prdt]], tbl_Produits[Cde_Prdt], tbl_Produits[Coût Moyen Portion]), 0)</f>
        <v>0</v>
      </c>
      <c r="I4165" s="7">
        <f>tbl_Ventes[[#This Row],[Qté Vendue]] * tbl_Ventes[[#This Row],[CMP_par_portion]]</f>
        <v>0</v>
      </c>
      <c r="J4165" s="7">
        <f>tbl_Ventes[[#This Row],[CA ligne]] - tbl_Ventes[[#This Row],[Coût matière ligne]]</f>
        <v>0</v>
      </c>
      <c r="K4165" s="7" t="str">
        <f>IFERROR(INDEX(tbl_ProduitsRef[Famille], MATCH(tbl_Ventes[[#This Row],[Cde_Prdt]], tbl_Produits[Cde_Prdt], 0)), "")</f>
        <v/>
      </c>
    </row>
    <row r="4166" spans="1:11" x14ac:dyDescent="0.25">
      <c r="A4166" s="5"/>
      <c r="B4166" s="63" t="str">
        <f>IFERROR(TEXT(tbl_Ventes[[#This Row],[Date]],"mm-aaaa"),"")</f>
        <v>01-1900</v>
      </c>
      <c r="D4166" s="10" t="str">
        <f>IFERROR(
   INDEX(tbl_ProduitsRef[Cde_Prdt],MATCH(tbl_Ventes[[#This Row],[Produit]],tbl_ProduitsRef[Produit],0)),
   ""
)</f>
        <v/>
      </c>
      <c r="E4166" s="7">
        <v>0</v>
      </c>
      <c r="F4166" s="7" t="str">
        <f>IFERROR(
   INDEX(tbl_ProduitsRef[Prix Menu],MATCH(tbl_Ventes[[#This Row],[Produit]],tbl_ProduitsRef[Produit],0)),
   ""
)</f>
        <v/>
      </c>
      <c r="G4166" s="7">
        <f>tbl_Ventes[[#This Row],[Qté Vendue]] * IFERROR(_xlfn.XLOOKUP(tbl_Ventes[[#This Row],[Cde_Prdt]], tbl_Produits[Cde_Prdt], tbl_Produits[Prix Menu]), 0)</f>
        <v>0</v>
      </c>
      <c r="H4166" s="7">
        <f>IFERROR(_xlfn.XLOOKUP(tbl_Ventes[[#This Row],[Cde_Prdt]], tbl_Produits[Cde_Prdt], tbl_Produits[Coût Moyen Portion]), 0)</f>
        <v>0</v>
      </c>
      <c r="I4166" s="7">
        <f>tbl_Ventes[[#This Row],[Qté Vendue]] * tbl_Ventes[[#This Row],[CMP_par_portion]]</f>
        <v>0</v>
      </c>
      <c r="J4166" s="7">
        <f>tbl_Ventes[[#This Row],[CA ligne]] - tbl_Ventes[[#This Row],[Coût matière ligne]]</f>
        <v>0</v>
      </c>
      <c r="K4166" s="7" t="str">
        <f>IFERROR(INDEX(tbl_ProduitsRef[Famille], MATCH(tbl_Ventes[[#This Row],[Cde_Prdt]], tbl_Produits[Cde_Prdt], 0)), "")</f>
        <v/>
      </c>
    </row>
    <row r="4167" spans="1:11" x14ac:dyDescent="0.25">
      <c r="A4167" s="5"/>
      <c r="B4167" s="63" t="str">
        <f>IFERROR(TEXT(tbl_Ventes[[#This Row],[Date]],"mm-aaaa"),"")</f>
        <v>01-1900</v>
      </c>
      <c r="D4167" s="10" t="str">
        <f>IFERROR(
   INDEX(tbl_ProduitsRef[Cde_Prdt],MATCH(tbl_Ventes[[#This Row],[Produit]],tbl_ProduitsRef[Produit],0)),
   ""
)</f>
        <v/>
      </c>
      <c r="E4167" s="7">
        <v>0</v>
      </c>
      <c r="F4167" s="7" t="str">
        <f>IFERROR(
   INDEX(tbl_ProduitsRef[Prix Menu],MATCH(tbl_Ventes[[#This Row],[Produit]],tbl_ProduitsRef[Produit],0)),
   ""
)</f>
        <v/>
      </c>
      <c r="G4167" s="7">
        <f>tbl_Ventes[[#This Row],[Qté Vendue]] * IFERROR(_xlfn.XLOOKUP(tbl_Ventes[[#This Row],[Cde_Prdt]], tbl_Produits[Cde_Prdt], tbl_Produits[Prix Menu]), 0)</f>
        <v>0</v>
      </c>
      <c r="H4167" s="7">
        <f>IFERROR(_xlfn.XLOOKUP(tbl_Ventes[[#This Row],[Cde_Prdt]], tbl_Produits[Cde_Prdt], tbl_Produits[Coût Moyen Portion]), 0)</f>
        <v>0</v>
      </c>
      <c r="I4167" s="7">
        <f>tbl_Ventes[[#This Row],[Qté Vendue]] * tbl_Ventes[[#This Row],[CMP_par_portion]]</f>
        <v>0</v>
      </c>
      <c r="J4167" s="7">
        <f>tbl_Ventes[[#This Row],[CA ligne]] - tbl_Ventes[[#This Row],[Coût matière ligne]]</f>
        <v>0</v>
      </c>
      <c r="K4167" s="7" t="str">
        <f>IFERROR(INDEX(tbl_ProduitsRef[Famille], MATCH(tbl_Ventes[[#This Row],[Cde_Prdt]], tbl_Produits[Cde_Prdt], 0)), "")</f>
        <v/>
      </c>
    </row>
    <row r="4168" spans="1:11" x14ac:dyDescent="0.25">
      <c r="A4168" s="5"/>
      <c r="B4168" s="63" t="str">
        <f>IFERROR(TEXT(tbl_Ventes[[#This Row],[Date]],"mm-aaaa"),"")</f>
        <v>01-1900</v>
      </c>
      <c r="D4168" s="10" t="str">
        <f>IFERROR(
   INDEX(tbl_ProduitsRef[Cde_Prdt],MATCH(tbl_Ventes[[#This Row],[Produit]],tbl_ProduitsRef[Produit],0)),
   ""
)</f>
        <v/>
      </c>
      <c r="E4168" s="7">
        <v>0</v>
      </c>
      <c r="F4168" s="7" t="str">
        <f>IFERROR(
   INDEX(tbl_ProduitsRef[Prix Menu],MATCH(tbl_Ventes[[#This Row],[Produit]],tbl_ProduitsRef[Produit],0)),
   ""
)</f>
        <v/>
      </c>
      <c r="G4168" s="7">
        <f>tbl_Ventes[[#This Row],[Qté Vendue]] * IFERROR(_xlfn.XLOOKUP(tbl_Ventes[[#This Row],[Cde_Prdt]], tbl_Produits[Cde_Prdt], tbl_Produits[Prix Menu]), 0)</f>
        <v>0</v>
      </c>
      <c r="H4168" s="7">
        <f>IFERROR(_xlfn.XLOOKUP(tbl_Ventes[[#This Row],[Cde_Prdt]], tbl_Produits[Cde_Prdt], tbl_Produits[Coût Moyen Portion]), 0)</f>
        <v>0</v>
      </c>
      <c r="I4168" s="7">
        <f>tbl_Ventes[[#This Row],[Qté Vendue]] * tbl_Ventes[[#This Row],[CMP_par_portion]]</f>
        <v>0</v>
      </c>
      <c r="J4168" s="7">
        <f>tbl_Ventes[[#This Row],[CA ligne]] - tbl_Ventes[[#This Row],[Coût matière ligne]]</f>
        <v>0</v>
      </c>
      <c r="K4168" s="7" t="str">
        <f>IFERROR(INDEX(tbl_ProduitsRef[Famille], MATCH(tbl_Ventes[[#This Row],[Cde_Prdt]], tbl_Produits[Cde_Prdt], 0)), "")</f>
        <v/>
      </c>
    </row>
    <row r="4169" spans="1:11" x14ac:dyDescent="0.25">
      <c r="A4169" s="5"/>
      <c r="B4169" s="63" t="str">
        <f>IFERROR(TEXT(tbl_Ventes[[#This Row],[Date]],"mm-aaaa"),"")</f>
        <v>01-1900</v>
      </c>
      <c r="D4169" s="10" t="str">
        <f>IFERROR(
   INDEX(tbl_ProduitsRef[Cde_Prdt],MATCH(tbl_Ventes[[#This Row],[Produit]],tbl_ProduitsRef[Produit],0)),
   ""
)</f>
        <v/>
      </c>
      <c r="E4169" s="7">
        <v>0</v>
      </c>
      <c r="F4169" s="7" t="str">
        <f>IFERROR(
   INDEX(tbl_ProduitsRef[Prix Menu],MATCH(tbl_Ventes[[#This Row],[Produit]],tbl_ProduitsRef[Produit],0)),
   ""
)</f>
        <v/>
      </c>
      <c r="G4169" s="7">
        <f>tbl_Ventes[[#This Row],[Qté Vendue]] * IFERROR(_xlfn.XLOOKUP(tbl_Ventes[[#This Row],[Cde_Prdt]], tbl_Produits[Cde_Prdt], tbl_Produits[Prix Menu]), 0)</f>
        <v>0</v>
      </c>
      <c r="H4169" s="7">
        <f>IFERROR(_xlfn.XLOOKUP(tbl_Ventes[[#This Row],[Cde_Prdt]], tbl_Produits[Cde_Prdt], tbl_Produits[Coût Moyen Portion]), 0)</f>
        <v>0</v>
      </c>
      <c r="I4169" s="7">
        <f>tbl_Ventes[[#This Row],[Qté Vendue]] * tbl_Ventes[[#This Row],[CMP_par_portion]]</f>
        <v>0</v>
      </c>
      <c r="J4169" s="7">
        <f>tbl_Ventes[[#This Row],[CA ligne]] - tbl_Ventes[[#This Row],[Coût matière ligne]]</f>
        <v>0</v>
      </c>
      <c r="K4169" s="7" t="str">
        <f>IFERROR(INDEX(tbl_ProduitsRef[Famille], MATCH(tbl_Ventes[[#This Row],[Cde_Prdt]], tbl_Produits[Cde_Prdt], 0)), "")</f>
        <v/>
      </c>
    </row>
    <row r="4170" spans="1:11" x14ac:dyDescent="0.25">
      <c r="A4170" s="5"/>
      <c r="B4170" s="63" t="str">
        <f>IFERROR(TEXT(tbl_Ventes[[#This Row],[Date]],"mm-aaaa"),"")</f>
        <v>01-1900</v>
      </c>
      <c r="D4170" s="10" t="str">
        <f>IFERROR(
   INDEX(tbl_ProduitsRef[Cde_Prdt],MATCH(tbl_Ventes[[#This Row],[Produit]],tbl_ProduitsRef[Produit],0)),
   ""
)</f>
        <v/>
      </c>
      <c r="E4170" s="7">
        <v>0</v>
      </c>
      <c r="F4170" s="7" t="str">
        <f>IFERROR(
   INDEX(tbl_ProduitsRef[Prix Menu],MATCH(tbl_Ventes[[#This Row],[Produit]],tbl_ProduitsRef[Produit],0)),
   ""
)</f>
        <v/>
      </c>
      <c r="G4170" s="7">
        <f>tbl_Ventes[[#This Row],[Qté Vendue]] * IFERROR(_xlfn.XLOOKUP(tbl_Ventes[[#This Row],[Cde_Prdt]], tbl_Produits[Cde_Prdt], tbl_Produits[Prix Menu]), 0)</f>
        <v>0</v>
      </c>
      <c r="H4170" s="7">
        <f>IFERROR(_xlfn.XLOOKUP(tbl_Ventes[[#This Row],[Cde_Prdt]], tbl_Produits[Cde_Prdt], tbl_Produits[Coût Moyen Portion]), 0)</f>
        <v>0</v>
      </c>
      <c r="I4170" s="7">
        <f>tbl_Ventes[[#This Row],[Qté Vendue]] * tbl_Ventes[[#This Row],[CMP_par_portion]]</f>
        <v>0</v>
      </c>
      <c r="J4170" s="7">
        <f>tbl_Ventes[[#This Row],[CA ligne]] - tbl_Ventes[[#This Row],[Coût matière ligne]]</f>
        <v>0</v>
      </c>
      <c r="K4170" s="7" t="str">
        <f>IFERROR(INDEX(tbl_ProduitsRef[Famille], MATCH(tbl_Ventes[[#This Row],[Cde_Prdt]], tbl_Produits[Cde_Prdt], 0)), "")</f>
        <v/>
      </c>
    </row>
    <row r="4171" spans="1:11" x14ac:dyDescent="0.25">
      <c r="A4171" s="5"/>
      <c r="B4171" s="63" t="str">
        <f>IFERROR(TEXT(tbl_Ventes[[#This Row],[Date]],"mm-aaaa"),"")</f>
        <v>01-1900</v>
      </c>
      <c r="D4171" s="10" t="str">
        <f>IFERROR(
   INDEX(tbl_ProduitsRef[Cde_Prdt],MATCH(tbl_Ventes[[#This Row],[Produit]],tbl_ProduitsRef[Produit],0)),
   ""
)</f>
        <v/>
      </c>
      <c r="E4171" s="7">
        <v>0</v>
      </c>
      <c r="F4171" s="7" t="str">
        <f>IFERROR(
   INDEX(tbl_ProduitsRef[Prix Menu],MATCH(tbl_Ventes[[#This Row],[Produit]],tbl_ProduitsRef[Produit],0)),
   ""
)</f>
        <v/>
      </c>
      <c r="G4171" s="7">
        <f>tbl_Ventes[[#This Row],[Qté Vendue]] * IFERROR(_xlfn.XLOOKUP(tbl_Ventes[[#This Row],[Cde_Prdt]], tbl_Produits[Cde_Prdt], tbl_Produits[Prix Menu]), 0)</f>
        <v>0</v>
      </c>
      <c r="H4171" s="7">
        <f>IFERROR(_xlfn.XLOOKUP(tbl_Ventes[[#This Row],[Cde_Prdt]], tbl_Produits[Cde_Prdt], tbl_Produits[Coût Moyen Portion]), 0)</f>
        <v>0</v>
      </c>
      <c r="I4171" s="7">
        <f>tbl_Ventes[[#This Row],[Qté Vendue]] * tbl_Ventes[[#This Row],[CMP_par_portion]]</f>
        <v>0</v>
      </c>
      <c r="J4171" s="7">
        <f>tbl_Ventes[[#This Row],[CA ligne]] - tbl_Ventes[[#This Row],[Coût matière ligne]]</f>
        <v>0</v>
      </c>
      <c r="K4171" s="7" t="str">
        <f>IFERROR(INDEX(tbl_ProduitsRef[Famille], MATCH(tbl_Ventes[[#This Row],[Cde_Prdt]], tbl_Produits[Cde_Prdt], 0)), "")</f>
        <v/>
      </c>
    </row>
    <row r="4172" spans="1:11" x14ac:dyDescent="0.25">
      <c r="A4172" s="5"/>
      <c r="B4172" s="63" t="str">
        <f>IFERROR(TEXT(tbl_Ventes[[#This Row],[Date]],"mm-aaaa"),"")</f>
        <v>01-1900</v>
      </c>
      <c r="D4172" s="10" t="str">
        <f>IFERROR(
   INDEX(tbl_ProduitsRef[Cde_Prdt],MATCH(tbl_Ventes[[#This Row],[Produit]],tbl_ProduitsRef[Produit],0)),
   ""
)</f>
        <v/>
      </c>
      <c r="E4172" s="7">
        <v>0</v>
      </c>
      <c r="F4172" s="7" t="str">
        <f>IFERROR(
   INDEX(tbl_ProduitsRef[Prix Menu],MATCH(tbl_Ventes[[#This Row],[Produit]],tbl_ProduitsRef[Produit],0)),
   ""
)</f>
        <v/>
      </c>
      <c r="G4172" s="7">
        <f>tbl_Ventes[[#This Row],[Qté Vendue]] * IFERROR(_xlfn.XLOOKUP(tbl_Ventes[[#This Row],[Cde_Prdt]], tbl_Produits[Cde_Prdt], tbl_Produits[Prix Menu]), 0)</f>
        <v>0</v>
      </c>
      <c r="H4172" s="7">
        <f>IFERROR(_xlfn.XLOOKUP(tbl_Ventes[[#This Row],[Cde_Prdt]], tbl_Produits[Cde_Prdt], tbl_Produits[Coût Moyen Portion]), 0)</f>
        <v>0</v>
      </c>
      <c r="I4172" s="7">
        <f>tbl_Ventes[[#This Row],[Qté Vendue]] * tbl_Ventes[[#This Row],[CMP_par_portion]]</f>
        <v>0</v>
      </c>
      <c r="J4172" s="7">
        <f>tbl_Ventes[[#This Row],[CA ligne]] - tbl_Ventes[[#This Row],[Coût matière ligne]]</f>
        <v>0</v>
      </c>
      <c r="K4172" s="7" t="str">
        <f>IFERROR(INDEX(tbl_ProduitsRef[Famille], MATCH(tbl_Ventes[[#This Row],[Cde_Prdt]], tbl_Produits[Cde_Prdt], 0)), "")</f>
        <v/>
      </c>
    </row>
    <row r="4173" spans="1:11" x14ac:dyDescent="0.25">
      <c r="A4173" s="5"/>
      <c r="B4173" s="63" t="str">
        <f>IFERROR(TEXT(tbl_Ventes[[#This Row],[Date]],"mm-aaaa"),"")</f>
        <v>01-1900</v>
      </c>
      <c r="D4173" s="10" t="str">
        <f>IFERROR(
   INDEX(tbl_ProduitsRef[Cde_Prdt],MATCH(tbl_Ventes[[#This Row],[Produit]],tbl_ProduitsRef[Produit],0)),
   ""
)</f>
        <v/>
      </c>
      <c r="E4173" s="7">
        <v>0</v>
      </c>
      <c r="F4173" s="7" t="str">
        <f>IFERROR(
   INDEX(tbl_ProduitsRef[Prix Menu],MATCH(tbl_Ventes[[#This Row],[Produit]],tbl_ProduitsRef[Produit],0)),
   ""
)</f>
        <v/>
      </c>
      <c r="G4173" s="7">
        <f>tbl_Ventes[[#This Row],[Qté Vendue]] * IFERROR(_xlfn.XLOOKUP(tbl_Ventes[[#This Row],[Cde_Prdt]], tbl_Produits[Cde_Prdt], tbl_Produits[Prix Menu]), 0)</f>
        <v>0</v>
      </c>
      <c r="H4173" s="7">
        <f>IFERROR(_xlfn.XLOOKUP(tbl_Ventes[[#This Row],[Cde_Prdt]], tbl_Produits[Cde_Prdt], tbl_Produits[Coût Moyen Portion]), 0)</f>
        <v>0</v>
      </c>
      <c r="I4173" s="7">
        <f>tbl_Ventes[[#This Row],[Qté Vendue]] * tbl_Ventes[[#This Row],[CMP_par_portion]]</f>
        <v>0</v>
      </c>
      <c r="J4173" s="7">
        <f>tbl_Ventes[[#This Row],[CA ligne]] - tbl_Ventes[[#This Row],[Coût matière ligne]]</f>
        <v>0</v>
      </c>
      <c r="K4173" s="7" t="str">
        <f>IFERROR(INDEX(tbl_ProduitsRef[Famille], MATCH(tbl_Ventes[[#This Row],[Cde_Prdt]], tbl_Produits[Cde_Prdt], 0)), "")</f>
        <v/>
      </c>
    </row>
    <row r="4174" spans="1:11" x14ac:dyDescent="0.25">
      <c r="A4174" s="5"/>
      <c r="B4174" s="63" t="str">
        <f>IFERROR(TEXT(tbl_Ventes[[#This Row],[Date]],"mm-aaaa"),"")</f>
        <v>01-1900</v>
      </c>
      <c r="D4174" s="10" t="str">
        <f>IFERROR(
   INDEX(tbl_ProduitsRef[Cde_Prdt],MATCH(tbl_Ventes[[#This Row],[Produit]],tbl_ProduitsRef[Produit],0)),
   ""
)</f>
        <v/>
      </c>
      <c r="E4174" s="7">
        <v>0</v>
      </c>
      <c r="F4174" s="7" t="str">
        <f>IFERROR(
   INDEX(tbl_ProduitsRef[Prix Menu],MATCH(tbl_Ventes[[#This Row],[Produit]],tbl_ProduitsRef[Produit],0)),
   ""
)</f>
        <v/>
      </c>
      <c r="G4174" s="7">
        <f>tbl_Ventes[[#This Row],[Qté Vendue]] * IFERROR(_xlfn.XLOOKUP(tbl_Ventes[[#This Row],[Cde_Prdt]], tbl_Produits[Cde_Prdt], tbl_Produits[Prix Menu]), 0)</f>
        <v>0</v>
      </c>
      <c r="H4174" s="7">
        <f>IFERROR(_xlfn.XLOOKUP(tbl_Ventes[[#This Row],[Cde_Prdt]], tbl_Produits[Cde_Prdt], tbl_Produits[Coût Moyen Portion]), 0)</f>
        <v>0</v>
      </c>
      <c r="I4174" s="7">
        <f>tbl_Ventes[[#This Row],[Qté Vendue]] * tbl_Ventes[[#This Row],[CMP_par_portion]]</f>
        <v>0</v>
      </c>
      <c r="J4174" s="7">
        <f>tbl_Ventes[[#This Row],[CA ligne]] - tbl_Ventes[[#This Row],[Coût matière ligne]]</f>
        <v>0</v>
      </c>
      <c r="K4174" s="7" t="str">
        <f>IFERROR(INDEX(tbl_ProduitsRef[Famille], MATCH(tbl_Ventes[[#This Row],[Cde_Prdt]], tbl_Produits[Cde_Prdt], 0)), "")</f>
        <v/>
      </c>
    </row>
    <row r="4175" spans="1:11" x14ac:dyDescent="0.25">
      <c r="A4175" s="5"/>
      <c r="B4175" s="63" t="str">
        <f>IFERROR(TEXT(tbl_Ventes[[#This Row],[Date]],"mm-aaaa"),"")</f>
        <v>01-1900</v>
      </c>
      <c r="D4175" s="10" t="str">
        <f>IFERROR(
   INDEX(tbl_ProduitsRef[Cde_Prdt],MATCH(tbl_Ventes[[#This Row],[Produit]],tbl_ProduitsRef[Produit],0)),
   ""
)</f>
        <v/>
      </c>
      <c r="E4175" s="7">
        <v>0</v>
      </c>
      <c r="F4175" s="7" t="str">
        <f>IFERROR(
   INDEX(tbl_ProduitsRef[Prix Menu],MATCH(tbl_Ventes[[#This Row],[Produit]],tbl_ProduitsRef[Produit],0)),
   ""
)</f>
        <v/>
      </c>
      <c r="G4175" s="7">
        <f>tbl_Ventes[[#This Row],[Qté Vendue]] * IFERROR(_xlfn.XLOOKUP(tbl_Ventes[[#This Row],[Cde_Prdt]], tbl_Produits[Cde_Prdt], tbl_Produits[Prix Menu]), 0)</f>
        <v>0</v>
      </c>
      <c r="H4175" s="7">
        <f>IFERROR(_xlfn.XLOOKUP(tbl_Ventes[[#This Row],[Cde_Prdt]], tbl_Produits[Cde_Prdt], tbl_Produits[Coût Moyen Portion]), 0)</f>
        <v>0</v>
      </c>
      <c r="I4175" s="7">
        <f>tbl_Ventes[[#This Row],[Qté Vendue]] * tbl_Ventes[[#This Row],[CMP_par_portion]]</f>
        <v>0</v>
      </c>
      <c r="J4175" s="7">
        <f>tbl_Ventes[[#This Row],[CA ligne]] - tbl_Ventes[[#This Row],[Coût matière ligne]]</f>
        <v>0</v>
      </c>
      <c r="K4175" s="7" t="str">
        <f>IFERROR(INDEX(tbl_ProduitsRef[Famille], MATCH(tbl_Ventes[[#This Row],[Cde_Prdt]], tbl_Produits[Cde_Prdt], 0)), "")</f>
        <v/>
      </c>
    </row>
    <row r="4176" spans="1:11" x14ac:dyDescent="0.25">
      <c r="A4176" s="5"/>
      <c r="B4176" s="63" t="str">
        <f>IFERROR(TEXT(tbl_Ventes[[#This Row],[Date]],"mm-aaaa"),"")</f>
        <v>01-1900</v>
      </c>
      <c r="D4176" s="10" t="str">
        <f>IFERROR(
   INDEX(tbl_ProduitsRef[Cde_Prdt],MATCH(tbl_Ventes[[#This Row],[Produit]],tbl_ProduitsRef[Produit],0)),
   ""
)</f>
        <v/>
      </c>
      <c r="E4176" s="7">
        <v>0</v>
      </c>
      <c r="F4176" s="7" t="str">
        <f>IFERROR(
   INDEX(tbl_ProduitsRef[Prix Menu],MATCH(tbl_Ventes[[#This Row],[Produit]],tbl_ProduitsRef[Produit],0)),
   ""
)</f>
        <v/>
      </c>
      <c r="G4176" s="7">
        <f>tbl_Ventes[[#This Row],[Qté Vendue]] * IFERROR(_xlfn.XLOOKUP(tbl_Ventes[[#This Row],[Cde_Prdt]], tbl_Produits[Cde_Prdt], tbl_Produits[Prix Menu]), 0)</f>
        <v>0</v>
      </c>
      <c r="H4176" s="7">
        <f>IFERROR(_xlfn.XLOOKUP(tbl_Ventes[[#This Row],[Cde_Prdt]], tbl_Produits[Cde_Prdt], tbl_Produits[Coût Moyen Portion]), 0)</f>
        <v>0</v>
      </c>
      <c r="I4176" s="7">
        <f>tbl_Ventes[[#This Row],[Qté Vendue]] * tbl_Ventes[[#This Row],[CMP_par_portion]]</f>
        <v>0</v>
      </c>
      <c r="J4176" s="7">
        <f>tbl_Ventes[[#This Row],[CA ligne]] - tbl_Ventes[[#This Row],[Coût matière ligne]]</f>
        <v>0</v>
      </c>
      <c r="K4176" s="7" t="str">
        <f>IFERROR(INDEX(tbl_ProduitsRef[Famille], MATCH(tbl_Ventes[[#This Row],[Cde_Prdt]], tbl_Produits[Cde_Prdt], 0)), "")</f>
        <v/>
      </c>
    </row>
    <row r="4177" spans="1:11" x14ac:dyDescent="0.25">
      <c r="A4177" s="5"/>
      <c r="B4177" s="63" t="str">
        <f>IFERROR(TEXT(tbl_Ventes[[#This Row],[Date]],"mm-aaaa"),"")</f>
        <v>01-1900</v>
      </c>
      <c r="D4177" s="10" t="str">
        <f>IFERROR(
   INDEX(tbl_ProduitsRef[Cde_Prdt],MATCH(tbl_Ventes[[#This Row],[Produit]],tbl_ProduitsRef[Produit],0)),
   ""
)</f>
        <v/>
      </c>
      <c r="E4177" s="7">
        <v>0</v>
      </c>
      <c r="F4177" s="7" t="str">
        <f>IFERROR(
   INDEX(tbl_ProduitsRef[Prix Menu],MATCH(tbl_Ventes[[#This Row],[Produit]],tbl_ProduitsRef[Produit],0)),
   ""
)</f>
        <v/>
      </c>
      <c r="G4177" s="7">
        <f>tbl_Ventes[[#This Row],[Qté Vendue]] * IFERROR(_xlfn.XLOOKUP(tbl_Ventes[[#This Row],[Cde_Prdt]], tbl_Produits[Cde_Prdt], tbl_Produits[Prix Menu]), 0)</f>
        <v>0</v>
      </c>
      <c r="H4177" s="7">
        <f>IFERROR(_xlfn.XLOOKUP(tbl_Ventes[[#This Row],[Cde_Prdt]], tbl_Produits[Cde_Prdt], tbl_Produits[Coût Moyen Portion]), 0)</f>
        <v>0</v>
      </c>
      <c r="I4177" s="7">
        <f>tbl_Ventes[[#This Row],[Qté Vendue]] * tbl_Ventes[[#This Row],[CMP_par_portion]]</f>
        <v>0</v>
      </c>
      <c r="J4177" s="7">
        <f>tbl_Ventes[[#This Row],[CA ligne]] - tbl_Ventes[[#This Row],[Coût matière ligne]]</f>
        <v>0</v>
      </c>
      <c r="K4177" s="7" t="str">
        <f>IFERROR(INDEX(tbl_ProduitsRef[Famille], MATCH(tbl_Ventes[[#This Row],[Cde_Prdt]], tbl_Produits[Cde_Prdt], 0)), "")</f>
        <v/>
      </c>
    </row>
    <row r="4178" spans="1:11" x14ac:dyDescent="0.25">
      <c r="A4178" s="5"/>
      <c r="B4178" s="63" t="str">
        <f>IFERROR(TEXT(tbl_Ventes[[#This Row],[Date]],"mm-aaaa"),"")</f>
        <v>01-1900</v>
      </c>
      <c r="D4178" s="10" t="str">
        <f>IFERROR(
   INDEX(tbl_ProduitsRef[Cde_Prdt],MATCH(tbl_Ventes[[#This Row],[Produit]],tbl_ProduitsRef[Produit],0)),
   ""
)</f>
        <v/>
      </c>
      <c r="E4178" s="7">
        <v>0</v>
      </c>
      <c r="F4178" s="7" t="str">
        <f>IFERROR(
   INDEX(tbl_ProduitsRef[Prix Menu],MATCH(tbl_Ventes[[#This Row],[Produit]],tbl_ProduitsRef[Produit],0)),
   ""
)</f>
        <v/>
      </c>
      <c r="G4178" s="7">
        <f>tbl_Ventes[[#This Row],[Qté Vendue]] * IFERROR(_xlfn.XLOOKUP(tbl_Ventes[[#This Row],[Cde_Prdt]], tbl_Produits[Cde_Prdt], tbl_Produits[Prix Menu]), 0)</f>
        <v>0</v>
      </c>
      <c r="H4178" s="7">
        <f>IFERROR(_xlfn.XLOOKUP(tbl_Ventes[[#This Row],[Cde_Prdt]], tbl_Produits[Cde_Prdt], tbl_Produits[Coût Moyen Portion]), 0)</f>
        <v>0</v>
      </c>
      <c r="I4178" s="7">
        <f>tbl_Ventes[[#This Row],[Qté Vendue]] * tbl_Ventes[[#This Row],[CMP_par_portion]]</f>
        <v>0</v>
      </c>
      <c r="J4178" s="7">
        <f>tbl_Ventes[[#This Row],[CA ligne]] - tbl_Ventes[[#This Row],[Coût matière ligne]]</f>
        <v>0</v>
      </c>
      <c r="K4178" s="7" t="str">
        <f>IFERROR(INDEX(tbl_ProduitsRef[Famille], MATCH(tbl_Ventes[[#This Row],[Cde_Prdt]], tbl_Produits[Cde_Prdt], 0)), "")</f>
        <v/>
      </c>
    </row>
    <row r="4179" spans="1:11" x14ac:dyDescent="0.25">
      <c r="A4179" s="5"/>
      <c r="B4179" s="63" t="str">
        <f>IFERROR(TEXT(tbl_Ventes[[#This Row],[Date]],"mm-aaaa"),"")</f>
        <v>01-1900</v>
      </c>
      <c r="D4179" s="10" t="str">
        <f>IFERROR(
   INDEX(tbl_ProduitsRef[Cde_Prdt],MATCH(tbl_Ventes[[#This Row],[Produit]],tbl_ProduitsRef[Produit],0)),
   ""
)</f>
        <v/>
      </c>
      <c r="E4179" s="7">
        <v>0</v>
      </c>
      <c r="F4179" s="7" t="str">
        <f>IFERROR(
   INDEX(tbl_ProduitsRef[Prix Menu],MATCH(tbl_Ventes[[#This Row],[Produit]],tbl_ProduitsRef[Produit],0)),
   ""
)</f>
        <v/>
      </c>
      <c r="G4179" s="7">
        <f>tbl_Ventes[[#This Row],[Qté Vendue]] * IFERROR(_xlfn.XLOOKUP(tbl_Ventes[[#This Row],[Cde_Prdt]], tbl_Produits[Cde_Prdt], tbl_Produits[Prix Menu]), 0)</f>
        <v>0</v>
      </c>
      <c r="H4179" s="7">
        <f>IFERROR(_xlfn.XLOOKUP(tbl_Ventes[[#This Row],[Cde_Prdt]], tbl_Produits[Cde_Prdt], tbl_Produits[Coût Moyen Portion]), 0)</f>
        <v>0</v>
      </c>
      <c r="I4179" s="7">
        <f>tbl_Ventes[[#This Row],[Qté Vendue]] * tbl_Ventes[[#This Row],[CMP_par_portion]]</f>
        <v>0</v>
      </c>
      <c r="J4179" s="7">
        <f>tbl_Ventes[[#This Row],[CA ligne]] - tbl_Ventes[[#This Row],[Coût matière ligne]]</f>
        <v>0</v>
      </c>
      <c r="K4179" s="7" t="str">
        <f>IFERROR(INDEX(tbl_ProduitsRef[Famille], MATCH(tbl_Ventes[[#This Row],[Cde_Prdt]], tbl_Produits[Cde_Prdt], 0)), "")</f>
        <v/>
      </c>
    </row>
    <row r="4180" spans="1:11" x14ac:dyDescent="0.25">
      <c r="A4180" s="5"/>
      <c r="B4180" s="63" t="str">
        <f>IFERROR(TEXT(tbl_Ventes[[#This Row],[Date]],"mm-aaaa"),"")</f>
        <v>01-1900</v>
      </c>
      <c r="D4180" s="10" t="str">
        <f>IFERROR(
   INDEX(tbl_ProduitsRef[Cde_Prdt],MATCH(tbl_Ventes[[#This Row],[Produit]],tbl_ProduitsRef[Produit],0)),
   ""
)</f>
        <v/>
      </c>
      <c r="E4180" s="7">
        <v>0</v>
      </c>
      <c r="F4180" s="7" t="str">
        <f>IFERROR(
   INDEX(tbl_ProduitsRef[Prix Menu],MATCH(tbl_Ventes[[#This Row],[Produit]],tbl_ProduitsRef[Produit],0)),
   ""
)</f>
        <v/>
      </c>
      <c r="G4180" s="7">
        <f>tbl_Ventes[[#This Row],[Qté Vendue]] * IFERROR(_xlfn.XLOOKUP(tbl_Ventes[[#This Row],[Cde_Prdt]], tbl_Produits[Cde_Prdt], tbl_Produits[Prix Menu]), 0)</f>
        <v>0</v>
      </c>
      <c r="H4180" s="7">
        <f>IFERROR(_xlfn.XLOOKUP(tbl_Ventes[[#This Row],[Cde_Prdt]], tbl_Produits[Cde_Prdt], tbl_Produits[Coût Moyen Portion]), 0)</f>
        <v>0</v>
      </c>
      <c r="I4180" s="7">
        <f>tbl_Ventes[[#This Row],[Qté Vendue]] * tbl_Ventes[[#This Row],[CMP_par_portion]]</f>
        <v>0</v>
      </c>
      <c r="J4180" s="7">
        <f>tbl_Ventes[[#This Row],[CA ligne]] - tbl_Ventes[[#This Row],[Coût matière ligne]]</f>
        <v>0</v>
      </c>
      <c r="K4180" s="7" t="str">
        <f>IFERROR(INDEX(tbl_ProduitsRef[Famille], MATCH(tbl_Ventes[[#This Row],[Cde_Prdt]], tbl_Produits[Cde_Prdt], 0)), "")</f>
        <v/>
      </c>
    </row>
    <row r="4181" spans="1:11" x14ac:dyDescent="0.25">
      <c r="A4181" s="5"/>
      <c r="B4181" s="63" t="str">
        <f>IFERROR(TEXT(tbl_Ventes[[#This Row],[Date]],"mm-aaaa"),"")</f>
        <v>01-1900</v>
      </c>
      <c r="D4181" s="10" t="str">
        <f>IFERROR(
   INDEX(tbl_ProduitsRef[Cde_Prdt],MATCH(tbl_Ventes[[#This Row],[Produit]],tbl_ProduitsRef[Produit],0)),
   ""
)</f>
        <v/>
      </c>
      <c r="E4181" s="7">
        <v>0</v>
      </c>
      <c r="F4181" s="7" t="str">
        <f>IFERROR(
   INDEX(tbl_ProduitsRef[Prix Menu],MATCH(tbl_Ventes[[#This Row],[Produit]],tbl_ProduitsRef[Produit],0)),
   ""
)</f>
        <v/>
      </c>
      <c r="G4181" s="7">
        <f>tbl_Ventes[[#This Row],[Qté Vendue]] * IFERROR(_xlfn.XLOOKUP(tbl_Ventes[[#This Row],[Cde_Prdt]], tbl_Produits[Cde_Prdt], tbl_Produits[Prix Menu]), 0)</f>
        <v>0</v>
      </c>
      <c r="H4181" s="7">
        <f>IFERROR(_xlfn.XLOOKUP(tbl_Ventes[[#This Row],[Cde_Prdt]], tbl_Produits[Cde_Prdt], tbl_Produits[Coût Moyen Portion]), 0)</f>
        <v>0</v>
      </c>
      <c r="I4181" s="7">
        <f>tbl_Ventes[[#This Row],[Qté Vendue]] * tbl_Ventes[[#This Row],[CMP_par_portion]]</f>
        <v>0</v>
      </c>
      <c r="J4181" s="7">
        <f>tbl_Ventes[[#This Row],[CA ligne]] - tbl_Ventes[[#This Row],[Coût matière ligne]]</f>
        <v>0</v>
      </c>
      <c r="K4181" s="7" t="str">
        <f>IFERROR(INDEX(tbl_ProduitsRef[Famille], MATCH(tbl_Ventes[[#This Row],[Cde_Prdt]], tbl_Produits[Cde_Prdt], 0)), "")</f>
        <v/>
      </c>
    </row>
    <row r="4182" spans="1:11" x14ac:dyDescent="0.25">
      <c r="A4182" s="5"/>
      <c r="B4182" s="63" t="str">
        <f>IFERROR(TEXT(tbl_Ventes[[#This Row],[Date]],"mm-aaaa"),"")</f>
        <v>01-1900</v>
      </c>
      <c r="D4182" s="10" t="str">
        <f>IFERROR(
   INDEX(tbl_ProduitsRef[Cde_Prdt],MATCH(tbl_Ventes[[#This Row],[Produit]],tbl_ProduitsRef[Produit],0)),
   ""
)</f>
        <v/>
      </c>
      <c r="E4182" s="7">
        <v>0</v>
      </c>
      <c r="F4182" s="7" t="str">
        <f>IFERROR(
   INDEX(tbl_ProduitsRef[Prix Menu],MATCH(tbl_Ventes[[#This Row],[Produit]],tbl_ProduitsRef[Produit],0)),
   ""
)</f>
        <v/>
      </c>
      <c r="G4182" s="7">
        <f>tbl_Ventes[[#This Row],[Qté Vendue]] * IFERROR(_xlfn.XLOOKUP(tbl_Ventes[[#This Row],[Cde_Prdt]], tbl_Produits[Cde_Prdt], tbl_Produits[Prix Menu]), 0)</f>
        <v>0</v>
      </c>
      <c r="H4182" s="7">
        <f>IFERROR(_xlfn.XLOOKUP(tbl_Ventes[[#This Row],[Cde_Prdt]], tbl_Produits[Cde_Prdt], tbl_Produits[Coût Moyen Portion]), 0)</f>
        <v>0</v>
      </c>
      <c r="I4182" s="7">
        <f>tbl_Ventes[[#This Row],[Qté Vendue]] * tbl_Ventes[[#This Row],[CMP_par_portion]]</f>
        <v>0</v>
      </c>
      <c r="J4182" s="7">
        <f>tbl_Ventes[[#This Row],[CA ligne]] - tbl_Ventes[[#This Row],[Coût matière ligne]]</f>
        <v>0</v>
      </c>
      <c r="K4182" s="7" t="str">
        <f>IFERROR(INDEX(tbl_ProduitsRef[Famille], MATCH(tbl_Ventes[[#This Row],[Cde_Prdt]], tbl_Produits[Cde_Prdt], 0)), "")</f>
        <v/>
      </c>
    </row>
    <row r="4183" spans="1:11" x14ac:dyDescent="0.25">
      <c r="A4183" s="5"/>
      <c r="B4183" s="63" t="str">
        <f>IFERROR(TEXT(tbl_Ventes[[#This Row],[Date]],"mm-aaaa"),"")</f>
        <v>01-1900</v>
      </c>
      <c r="D4183" s="10" t="str">
        <f>IFERROR(
   INDEX(tbl_ProduitsRef[Cde_Prdt],MATCH(tbl_Ventes[[#This Row],[Produit]],tbl_ProduitsRef[Produit],0)),
   ""
)</f>
        <v/>
      </c>
      <c r="E4183" s="7">
        <v>0</v>
      </c>
      <c r="F4183" s="7" t="str">
        <f>IFERROR(
   INDEX(tbl_ProduitsRef[Prix Menu],MATCH(tbl_Ventes[[#This Row],[Produit]],tbl_ProduitsRef[Produit],0)),
   ""
)</f>
        <v/>
      </c>
      <c r="G4183" s="7">
        <f>tbl_Ventes[[#This Row],[Qté Vendue]] * IFERROR(_xlfn.XLOOKUP(tbl_Ventes[[#This Row],[Cde_Prdt]], tbl_Produits[Cde_Prdt], tbl_Produits[Prix Menu]), 0)</f>
        <v>0</v>
      </c>
      <c r="H4183" s="7">
        <f>IFERROR(_xlfn.XLOOKUP(tbl_Ventes[[#This Row],[Cde_Prdt]], tbl_Produits[Cde_Prdt], tbl_Produits[Coût Moyen Portion]), 0)</f>
        <v>0</v>
      </c>
      <c r="I4183" s="7">
        <f>tbl_Ventes[[#This Row],[Qté Vendue]] * tbl_Ventes[[#This Row],[CMP_par_portion]]</f>
        <v>0</v>
      </c>
      <c r="J4183" s="7">
        <f>tbl_Ventes[[#This Row],[CA ligne]] - tbl_Ventes[[#This Row],[Coût matière ligne]]</f>
        <v>0</v>
      </c>
      <c r="K4183" s="7" t="str">
        <f>IFERROR(INDEX(tbl_ProduitsRef[Famille], MATCH(tbl_Ventes[[#This Row],[Cde_Prdt]], tbl_Produits[Cde_Prdt], 0)), "")</f>
        <v/>
      </c>
    </row>
    <row r="4184" spans="1:11" x14ac:dyDescent="0.25">
      <c r="A4184" s="5"/>
      <c r="B4184" s="63" t="str">
        <f>IFERROR(TEXT(tbl_Ventes[[#This Row],[Date]],"mm-aaaa"),"")</f>
        <v>01-1900</v>
      </c>
      <c r="D4184" s="10" t="str">
        <f>IFERROR(
   INDEX(tbl_ProduitsRef[Cde_Prdt],MATCH(tbl_Ventes[[#This Row],[Produit]],tbl_ProduitsRef[Produit],0)),
   ""
)</f>
        <v/>
      </c>
      <c r="E4184" s="7">
        <v>0</v>
      </c>
      <c r="F4184" s="7" t="str">
        <f>IFERROR(
   INDEX(tbl_ProduitsRef[Prix Menu],MATCH(tbl_Ventes[[#This Row],[Produit]],tbl_ProduitsRef[Produit],0)),
   ""
)</f>
        <v/>
      </c>
      <c r="G4184" s="7">
        <f>tbl_Ventes[[#This Row],[Qté Vendue]] * IFERROR(_xlfn.XLOOKUP(tbl_Ventes[[#This Row],[Cde_Prdt]], tbl_Produits[Cde_Prdt], tbl_Produits[Prix Menu]), 0)</f>
        <v>0</v>
      </c>
      <c r="H4184" s="7">
        <f>IFERROR(_xlfn.XLOOKUP(tbl_Ventes[[#This Row],[Cde_Prdt]], tbl_Produits[Cde_Prdt], tbl_Produits[Coût Moyen Portion]), 0)</f>
        <v>0</v>
      </c>
      <c r="I4184" s="7">
        <f>tbl_Ventes[[#This Row],[Qté Vendue]] * tbl_Ventes[[#This Row],[CMP_par_portion]]</f>
        <v>0</v>
      </c>
      <c r="J4184" s="7">
        <f>tbl_Ventes[[#This Row],[CA ligne]] - tbl_Ventes[[#This Row],[Coût matière ligne]]</f>
        <v>0</v>
      </c>
      <c r="K4184" s="7" t="str">
        <f>IFERROR(INDEX(tbl_ProduitsRef[Famille], MATCH(tbl_Ventes[[#This Row],[Cde_Prdt]], tbl_Produits[Cde_Prdt], 0)), "")</f>
        <v/>
      </c>
    </row>
    <row r="4185" spans="1:11" x14ac:dyDescent="0.25">
      <c r="A4185" s="5"/>
      <c r="B4185" s="63" t="str">
        <f>IFERROR(TEXT(tbl_Ventes[[#This Row],[Date]],"mm-aaaa"),"")</f>
        <v>01-1900</v>
      </c>
      <c r="D4185" s="10" t="str">
        <f>IFERROR(
   INDEX(tbl_ProduitsRef[Cde_Prdt],MATCH(tbl_Ventes[[#This Row],[Produit]],tbl_ProduitsRef[Produit],0)),
   ""
)</f>
        <v/>
      </c>
      <c r="E4185" s="7">
        <v>0</v>
      </c>
      <c r="F4185" s="7" t="str">
        <f>IFERROR(
   INDEX(tbl_ProduitsRef[Prix Menu],MATCH(tbl_Ventes[[#This Row],[Produit]],tbl_ProduitsRef[Produit],0)),
   ""
)</f>
        <v/>
      </c>
      <c r="G4185" s="7">
        <f>tbl_Ventes[[#This Row],[Qté Vendue]] * IFERROR(_xlfn.XLOOKUP(tbl_Ventes[[#This Row],[Cde_Prdt]], tbl_Produits[Cde_Prdt], tbl_Produits[Prix Menu]), 0)</f>
        <v>0</v>
      </c>
      <c r="H4185" s="7">
        <f>IFERROR(_xlfn.XLOOKUP(tbl_Ventes[[#This Row],[Cde_Prdt]], tbl_Produits[Cde_Prdt], tbl_Produits[Coût Moyen Portion]), 0)</f>
        <v>0</v>
      </c>
      <c r="I4185" s="7">
        <f>tbl_Ventes[[#This Row],[Qté Vendue]] * tbl_Ventes[[#This Row],[CMP_par_portion]]</f>
        <v>0</v>
      </c>
      <c r="J4185" s="7">
        <f>tbl_Ventes[[#This Row],[CA ligne]] - tbl_Ventes[[#This Row],[Coût matière ligne]]</f>
        <v>0</v>
      </c>
      <c r="K4185" s="7" t="str">
        <f>IFERROR(INDEX(tbl_ProduitsRef[Famille], MATCH(tbl_Ventes[[#This Row],[Cde_Prdt]], tbl_Produits[Cde_Prdt], 0)), "")</f>
        <v/>
      </c>
    </row>
    <row r="4186" spans="1:11" x14ac:dyDescent="0.25">
      <c r="A4186" s="5"/>
      <c r="B4186" s="63" t="str">
        <f>IFERROR(TEXT(tbl_Ventes[[#This Row],[Date]],"mm-aaaa"),"")</f>
        <v>01-1900</v>
      </c>
      <c r="D4186" s="10" t="str">
        <f>IFERROR(
   INDEX(tbl_ProduitsRef[Cde_Prdt],MATCH(tbl_Ventes[[#This Row],[Produit]],tbl_ProduitsRef[Produit],0)),
   ""
)</f>
        <v/>
      </c>
      <c r="E4186" s="7">
        <v>0</v>
      </c>
      <c r="F4186" s="7" t="str">
        <f>IFERROR(
   INDEX(tbl_ProduitsRef[Prix Menu],MATCH(tbl_Ventes[[#This Row],[Produit]],tbl_ProduitsRef[Produit],0)),
   ""
)</f>
        <v/>
      </c>
      <c r="G4186" s="7">
        <f>tbl_Ventes[[#This Row],[Qté Vendue]] * IFERROR(_xlfn.XLOOKUP(tbl_Ventes[[#This Row],[Cde_Prdt]], tbl_Produits[Cde_Prdt], tbl_Produits[Prix Menu]), 0)</f>
        <v>0</v>
      </c>
      <c r="H4186" s="7">
        <f>IFERROR(_xlfn.XLOOKUP(tbl_Ventes[[#This Row],[Cde_Prdt]], tbl_Produits[Cde_Prdt], tbl_Produits[Coût Moyen Portion]), 0)</f>
        <v>0</v>
      </c>
      <c r="I4186" s="7">
        <f>tbl_Ventes[[#This Row],[Qté Vendue]] * tbl_Ventes[[#This Row],[CMP_par_portion]]</f>
        <v>0</v>
      </c>
      <c r="J4186" s="7">
        <f>tbl_Ventes[[#This Row],[CA ligne]] - tbl_Ventes[[#This Row],[Coût matière ligne]]</f>
        <v>0</v>
      </c>
      <c r="K4186" s="7" t="str">
        <f>IFERROR(INDEX(tbl_ProduitsRef[Famille], MATCH(tbl_Ventes[[#This Row],[Cde_Prdt]], tbl_Produits[Cde_Prdt], 0)), "")</f>
        <v/>
      </c>
    </row>
    <row r="4187" spans="1:11" x14ac:dyDescent="0.25">
      <c r="A4187" s="5"/>
      <c r="B4187" s="63" t="str">
        <f>IFERROR(TEXT(tbl_Ventes[[#This Row],[Date]],"mm-aaaa"),"")</f>
        <v>01-1900</v>
      </c>
      <c r="D4187" s="10" t="str">
        <f>IFERROR(
   INDEX(tbl_ProduitsRef[Cde_Prdt],MATCH(tbl_Ventes[[#This Row],[Produit]],tbl_ProduitsRef[Produit],0)),
   ""
)</f>
        <v/>
      </c>
      <c r="E4187" s="7">
        <v>0</v>
      </c>
      <c r="F4187" s="7" t="str">
        <f>IFERROR(
   INDEX(tbl_ProduitsRef[Prix Menu],MATCH(tbl_Ventes[[#This Row],[Produit]],tbl_ProduitsRef[Produit],0)),
   ""
)</f>
        <v/>
      </c>
      <c r="G4187" s="7">
        <f>tbl_Ventes[[#This Row],[Qté Vendue]] * IFERROR(_xlfn.XLOOKUP(tbl_Ventes[[#This Row],[Cde_Prdt]], tbl_Produits[Cde_Prdt], tbl_Produits[Prix Menu]), 0)</f>
        <v>0</v>
      </c>
      <c r="H4187" s="7">
        <f>IFERROR(_xlfn.XLOOKUP(tbl_Ventes[[#This Row],[Cde_Prdt]], tbl_Produits[Cde_Prdt], tbl_Produits[Coût Moyen Portion]), 0)</f>
        <v>0</v>
      </c>
      <c r="I4187" s="7">
        <f>tbl_Ventes[[#This Row],[Qté Vendue]] * tbl_Ventes[[#This Row],[CMP_par_portion]]</f>
        <v>0</v>
      </c>
      <c r="J4187" s="7">
        <f>tbl_Ventes[[#This Row],[CA ligne]] - tbl_Ventes[[#This Row],[Coût matière ligne]]</f>
        <v>0</v>
      </c>
      <c r="K4187" s="7" t="str">
        <f>IFERROR(INDEX(tbl_ProduitsRef[Famille], MATCH(tbl_Ventes[[#This Row],[Cde_Prdt]], tbl_Produits[Cde_Prdt], 0)), "")</f>
        <v/>
      </c>
    </row>
    <row r="4188" spans="1:11" x14ac:dyDescent="0.25">
      <c r="A4188" s="5"/>
      <c r="B4188" s="63" t="str">
        <f>IFERROR(TEXT(tbl_Ventes[[#This Row],[Date]],"mm-aaaa"),"")</f>
        <v>01-1900</v>
      </c>
      <c r="D4188" s="10" t="str">
        <f>IFERROR(
   INDEX(tbl_ProduitsRef[Cde_Prdt],MATCH(tbl_Ventes[[#This Row],[Produit]],tbl_ProduitsRef[Produit],0)),
   ""
)</f>
        <v/>
      </c>
      <c r="E4188" s="7">
        <v>0</v>
      </c>
      <c r="F4188" s="7" t="str">
        <f>IFERROR(
   INDEX(tbl_ProduitsRef[Prix Menu],MATCH(tbl_Ventes[[#This Row],[Produit]],tbl_ProduitsRef[Produit],0)),
   ""
)</f>
        <v/>
      </c>
      <c r="G4188" s="7">
        <f>tbl_Ventes[[#This Row],[Qté Vendue]] * IFERROR(_xlfn.XLOOKUP(tbl_Ventes[[#This Row],[Cde_Prdt]], tbl_Produits[Cde_Prdt], tbl_Produits[Prix Menu]), 0)</f>
        <v>0</v>
      </c>
      <c r="H4188" s="7">
        <f>IFERROR(_xlfn.XLOOKUP(tbl_Ventes[[#This Row],[Cde_Prdt]], tbl_Produits[Cde_Prdt], tbl_Produits[Coût Moyen Portion]), 0)</f>
        <v>0</v>
      </c>
      <c r="I4188" s="7">
        <f>tbl_Ventes[[#This Row],[Qté Vendue]] * tbl_Ventes[[#This Row],[CMP_par_portion]]</f>
        <v>0</v>
      </c>
      <c r="J4188" s="7">
        <f>tbl_Ventes[[#This Row],[CA ligne]] - tbl_Ventes[[#This Row],[Coût matière ligne]]</f>
        <v>0</v>
      </c>
      <c r="K4188" s="7" t="str">
        <f>IFERROR(INDEX(tbl_ProduitsRef[Famille], MATCH(tbl_Ventes[[#This Row],[Cde_Prdt]], tbl_Produits[Cde_Prdt], 0)), "")</f>
        <v/>
      </c>
    </row>
    <row r="4189" spans="1:11" x14ac:dyDescent="0.25">
      <c r="A4189" s="5"/>
      <c r="B4189" s="63" t="str">
        <f>IFERROR(TEXT(tbl_Ventes[[#This Row],[Date]],"mm-aaaa"),"")</f>
        <v>01-1900</v>
      </c>
      <c r="D4189" s="10" t="str">
        <f>IFERROR(
   INDEX(tbl_ProduitsRef[Cde_Prdt],MATCH(tbl_Ventes[[#This Row],[Produit]],tbl_ProduitsRef[Produit],0)),
   ""
)</f>
        <v/>
      </c>
      <c r="E4189" s="7">
        <v>0</v>
      </c>
      <c r="F4189" s="7" t="str">
        <f>IFERROR(
   INDEX(tbl_ProduitsRef[Prix Menu],MATCH(tbl_Ventes[[#This Row],[Produit]],tbl_ProduitsRef[Produit],0)),
   ""
)</f>
        <v/>
      </c>
      <c r="G4189" s="7">
        <f>tbl_Ventes[[#This Row],[Qté Vendue]] * IFERROR(_xlfn.XLOOKUP(tbl_Ventes[[#This Row],[Cde_Prdt]], tbl_Produits[Cde_Prdt], tbl_Produits[Prix Menu]), 0)</f>
        <v>0</v>
      </c>
      <c r="H4189" s="7">
        <f>IFERROR(_xlfn.XLOOKUP(tbl_Ventes[[#This Row],[Cde_Prdt]], tbl_Produits[Cde_Prdt], tbl_Produits[Coût Moyen Portion]), 0)</f>
        <v>0</v>
      </c>
      <c r="I4189" s="7">
        <f>tbl_Ventes[[#This Row],[Qté Vendue]] * tbl_Ventes[[#This Row],[CMP_par_portion]]</f>
        <v>0</v>
      </c>
      <c r="J4189" s="7">
        <f>tbl_Ventes[[#This Row],[CA ligne]] - tbl_Ventes[[#This Row],[Coût matière ligne]]</f>
        <v>0</v>
      </c>
      <c r="K4189" s="7" t="str">
        <f>IFERROR(INDEX(tbl_ProduitsRef[Famille], MATCH(tbl_Ventes[[#This Row],[Cde_Prdt]], tbl_Produits[Cde_Prdt], 0)), "")</f>
        <v/>
      </c>
    </row>
    <row r="4190" spans="1:11" x14ac:dyDescent="0.25">
      <c r="A4190" s="5"/>
      <c r="B4190" s="63" t="str">
        <f>IFERROR(TEXT(tbl_Ventes[[#This Row],[Date]],"mm-aaaa"),"")</f>
        <v>01-1900</v>
      </c>
      <c r="D4190" s="10" t="str">
        <f>IFERROR(
   INDEX(tbl_ProduitsRef[Cde_Prdt],MATCH(tbl_Ventes[[#This Row],[Produit]],tbl_ProduitsRef[Produit],0)),
   ""
)</f>
        <v/>
      </c>
      <c r="E4190" s="7">
        <v>0</v>
      </c>
      <c r="F4190" s="7" t="str">
        <f>IFERROR(
   INDEX(tbl_ProduitsRef[Prix Menu],MATCH(tbl_Ventes[[#This Row],[Produit]],tbl_ProduitsRef[Produit],0)),
   ""
)</f>
        <v/>
      </c>
      <c r="G4190" s="7">
        <f>tbl_Ventes[[#This Row],[Qté Vendue]] * IFERROR(_xlfn.XLOOKUP(tbl_Ventes[[#This Row],[Cde_Prdt]], tbl_Produits[Cde_Prdt], tbl_Produits[Prix Menu]), 0)</f>
        <v>0</v>
      </c>
      <c r="H4190" s="7">
        <f>IFERROR(_xlfn.XLOOKUP(tbl_Ventes[[#This Row],[Cde_Prdt]], tbl_Produits[Cde_Prdt], tbl_Produits[Coût Moyen Portion]), 0)</f>
        <v>0</v>
      </c>
      <c r="I4190" s="7">
        <f>tbl_Ventes[[#This Row],[Qté Vendue]] * tbl_Ventes[[#This Row],[CMP_par_portion]]</f>
        <v>0</v>
      </c>
      <c r="J4190" s="7">
        <f>tbl_Ventes[[#This Row],[CA ligne]] - tbl_Ventes[[#This Row],[Coût matière ligne]]</f>
        <v>0</v>
      </c>
      <c r="K4190" s="7" t="str">
        <f>IFERROR(INDEX(tbl_ProduitsRef[Famille], MATCH(tbl_Ventes[[#This Row],[Cde_Prdt]], tbl_Produits[Cde_Prdt], 0)), "")</f>
        <v/>
      </c>
    </row>
    <row r="4191" spans="1:11" x14ac:dyDescent="0.25">
      <c r="A4191" s="5"/>
      <c r="B4191" s="63" t="str">
        <f>IFERROR(TEXT(tbl_Ventes[[#This Row],[Date]],"mm-aaaa"),"")</f>
        <v>01-1900</v>
      </c>
      <c r="D4191" s="10" t="str">
        <f>IFERROR(
   INDEX(tbl_ProduitsRef[Cde_Prdt],MATCH(tbl_Ventes[[#This Row],[Produit]],tbl_ProduitsRef[Produit],0)),
   ""
)</f>
        <v/>
      </c>
      <c r="E4191" s="7">
        <v>0</v>
      </c>
      <c r="F4191" s="7" t="str">
        <f>IFERROR(
   INDEX(tbl_ProduitsRef[Prix Menu],MATCH(tbl_Ventes[[#This Row],[Produit]],tbl_ProduitsRef[Produit],0)),
   ""
)</f>
        <v/>
      </c>
      <c r="G4191" s="7">
        <f>tbl_Ventes[[#This Row],[Qté Vendue]] * IFERROR(_xlfn.XLOOKUP(tbl_Ventes[[#This Row],[Cde_Prdt]], tbl_Produits[Cde_Prdt], tbl_Produits[Prix Menu]), 0)</f>
        <v>0</v>
      </c>
      <c r="H4191" s="7">
        <f>IFERROR(_xlfn.XLOOKUP(tbl_Ventes[[#This Row],[Cde_Prdt]], tbl_Produits[Cde_Prdt], tbl_Produits[Coût Moyen Portion]), 0)</f>
        <v>0</v>
      </c>
      <c r="I4191" s="7">
        <f>tbl_Ventes[[#This Row],[Qté Vendue]] * tbl_Ventes[[#This Row],[CMP_par_portion]]</f>
        <v>0</v>
      </c>
      <c r="J4191" s="7">
        <f>tbl_Ventes[[#This Row],[CA ligne]] - tbl_Ventes[[#This Row],[Coût matière ligne]]</f>
        <v>0</v>
      </c>
      <c r="K4191" s="7" t="str">
        <f>IFERROR(INDEX(tbl_ProduitsRef[Famille], MATCH(tbl_Ventes[[#This Row],[Cde_Prdt]], tbl_Produits[Cde_Prdt], 0)), "")</f>
        <v/>
      </c>
    </row>
    <row r="4192" spans="1:11" x14ac:dyDescent="0.25">
      <c r="A4192" s="5"/>
      <c r="B4192" s="63" t="str">
        <f>IFERROR(TEXT(tbl_Ventes[[#This Row],[Date]],"mm-aaaa"),"")</f>
        <v>01-1900</v>
      </c>
      <c r="D4192" s="10" t="str">
        <f>IFERROR(
   INDEX(tbl_ProduitsRef[Cde_Prdt],MATCH(tbl_Ventes[[#This Row],[Produit]],tbl_ProduitsRef[Produit],0)),
   ""
)</f>
        <v/>
      </c>
      <c r="E4192" s="7">
        <v>0</v>
      </c>
      <c r="F4192" s="7" t="str">
        <f>IFERROR(
   INDEX(tbl_ProduitsRef[Prix Menu],MATCH(tbl_Ventes[[#This Row],[Produit]],tbl_ProduitsRef[Produit],0)),
   ""
)</f>
        <v/>
      </c>
      <c r="G4192" s="7">
        <f>tbl_Ventes[[#This Row],[Qté Vendue]] * IFERROR(_xlfn.XLOOKUP(tbl_Ventes[[#This Row],[Cde_Prdt]], tbl_Produits[Cde_Prdt], tbl_Produits[Prix Menu]), 0)</f>
        <v>0</v>
      </c>
      <c r="H4192" s="7">
        <f>IFERROR(_xlfn.XLOOKUP(tbl_Ventes[[#This Row],[Cde_Prdt]], tbl_Produits[Cde_Prdt], tbl_Produits[Coût Moyen Portion]), 0)</f>
        <v>0</v>
      </c>
      <c r="I4192" s="7">
        <f>tbl_Ventes[[#This Row],[Qté Vendue]] * tbl_Ventes[[#This Row],[CMP_par_portion]]</f>
        <v>0</v>
      </c>
      <c r="J4192" s="7">
        <f>tbl_Ventes[[#This Row],[CA ligne]] - tbl_Ventes[[#This Row],[Coût matière ligne]]</f>
        <v>0</v>
      </c>
      <c r="K4192" s="7" t="str">
        <f>IFERROR(INDEX(tbl_ProduitsRef[Famille], MATCH(tbl_Ventes[[#This Row],[Cde_Prdt]], tbl_Produits[Cde_Prdt], 0)), "")</f>
        <v/>
      </c>
    </row>
    <row r="4193" spans="1:11" x14ac:dyDescent="0.25">
      <c r="A4193" s="5"/>
      <c r="B4193" s="63" t="str">
        <f>IFERROR(TEXT(tbl_Ventes[[#This Row],[Date]],"mm-aaaa"),"")</f>
        <v>01-1900</v>
      </c>
      <c r="D4193" s="10" t="str">
        <f>IFERROR(
   INDEX(tbl_ProduitsRef[Cde_Prdt],MATCH(tbl_Ventes[[#This Row],[Produit]],tbl_ProduitsRef[Produit],0)),
   ""
)</f>
        <v/>
      </c>
      <c r="E4193" s="7">
        <v>0</v>
      </c>
      <c r="F4193" s="7" t="str">
        <f>IFERROR(
   INDEX(tbl_ProduitsRef[Prix Menu],MATCH(tbl_Ventes[[#This Row],[Produit]],tbl_ProduitsRef[Produit],0)),
   ""
)</f>
        <v/>
      </c>
      <c r="G4193" s="7">
        <f>tbl_Ventes[[#This Row],[Qté Vendue]] * IFERROR(_xlfn.XLOOKUP(tbl_Ventes[[#This Row],[Cde_Prdt]], tbl_Produits[Cde_Prdt], tbl_Produits[Prix Menu]), 0)</f>
        <v>0</v>
      </c>
      <c r="H4193" s="7">
        <f>IFERROR(_xlfn.XLOOKUP(tbl_Ventes[[#This Row],[Cde_Prdt]], tbl_Produits[Cde_Prdt], tbl_Produits[Coût Moyen Portion]), 0)</f>
        <v>0</v>
      </c>
      <c r="I4193" s="7">
        <f>tbl_Ventes[[#This Row],[Qté Vendue]] * tbl_Ventes[[#This Row],[CMP_par_portion]]</f>
        <v>0</v>
      </c>
      <c r="J4193" s="7">
        <f>tbl_Ventes[[#This Row],[CA ligne]] - tbl_Ventes[[#This Row],[Coût matière ligne]]</f>
        <v>0</v>
      </c>
      <c r="K4193" s="7" t="str">
        <f>IFERROR(INDEX(tbl_ProduitsRef[Famille], MATCH(tbl_Ventes[[#This Row],[Cde_Prdt]], tbl_Produits[Cde_Prdt], 0)), "")</f>
        <v/>
      </c>
    </row>
    <row r="4194" spans="1:11" x14ac:dyDescent="0.25">
      <c r="A4194" s="5"/>
      <c r="B4194" s="63" t="str">
        <f>IFERROR(TEXT(tbl_Ventes[[#This Row],[Date]],"mm-aaaa"),"")</f>
        <v>01-1900</v>
      </c>
      <c r="D4194" s="10" t="str">
        <f>IFERROR(
   INDEX(tbl_ProduitsRef[Cde_Prdt],MATCH(tbl_Ventes[[#This Row],[Produit]],tbl_ProduitsRef[Produit],0)),
   ""
)</f>
        <v/>
      </c>
      <c r="E4194" s="7">
        <v>0</v>
      </c>
      <c r="F4194" s="7" t="str">
        <f>IFERROR(
   INDEX(tbl_ProduitsRef[Prix Menu],MATCH(tbl_Ventes[[#This Row],[Produit]],tbl_ProduitsRef[Produit],0)),
   ""
)</f>
        <v/>
      </c>
      <c r="G4194" s="7">
        <f>tbl_Ventes[[#This Row],[Qté Vendue]] * IFERROR(_xlfn.XLOOKUP(tbl_Ventes[[#This Row],[Cde_Prdt]], tbl_Produits[Cde_Prdt], tbl_Produits[Prix Menu]), 0)</f>
        <v>0</v>
      </c>
      <c r="H4194" s="7">
        <f>IFERROR(_xlfn.XLOOKUP(tbl_Ventes[[#This Row],[Cde_Prdt]], tbl_Produits[Cde_Prdt], tbl_Produits[Coût Moyen Portion]), 0)</f>
        <v>0</v>
      </c>
      <c r="I4194" s="7">
        <f>tbl_Ventes[[#This Row],[Qté Vendue]] * tbl_Ventes[[#This Row],[CMP_par_portion]]</f>
        <v>0</v>
      </c>
      <c r="J4194" s="7">
        <f>tbl_Ventes[[#This Row],[CA ligne]] - tbl_Ventes[[#This Row],[Coût matière ligne]]</f>
        <v>0</v>
      </c>
      <c r="K4194" s="7" t="str">
        <f>IFERROR(INDEX(tbl_ProduitsRef[Famille], MATCH(tbl_Ventes[[#This Row],[Cde_Prdt]], tbl_Produits[Cde_Prdt], 0)), "")</f>
        <v/>
      </c>
    </row>
    <row r="4195" spans="1:11" x14ac:dyDescent="0.25">
      <c r="A4195" s="5"/>
      <c r="B4195" s="63" t="str">
        <f>IFERROR(TEXT(tbl_Ventes[[#This Row],[Date]],"mm-aaaa"),"")</f>
        <v>01-1900</v>
      </c>
      <c r="D4195" s="10" t="str">
        <f>IFERROR(
   INDEX(tbl_ProduitsRef[Cde_Prdt],MATCH(tbl_Ventes[[#This Row],[Produit]],tbl_ProduitsRef[Produit],0)),
   ""
)</f>
        <v/>
      </c>
      <c r="E4195" s="7">
        <v>0</v>
      </c>
      <c r="F4195" s="7" t="str">
        <f>IFERROR(
   INDEX(tbl_ProduitsRef[Prix Menu],MATCH(tbl_Ventes[[#This Row],[Produit]],tbl_ProduitsRef[Produit],0)),
   ""
)</f>
        <v/>
      </c>
      <c r="G4195" s="7">
        <f>tbl_Ventes[[#This Row],[Qté Vendue]] * IFERROR(_xlfn.XLOOKUP(tbl_Ventes[[#This Row],[Cde_Prdt]], tbl_Produits[Cde_Prdt], tbl_Produits[Prix Menu]), 0)</f>
        <v>0</v>
      </c>
      <c r="H4195" s="7">
        <f>IFERROR(_xlfn.XLOOKUP(tbl_Ventes[[#This Row],[Cde_Prdt]], tbl_Produits[Cde_Prdt], tbl_Produits[Coût Moyen Portion]), 0)</f>
        <v>0</v>
      </c>
      <c r="I4195" s="7">
        <f>tbl_Ventes[[#This Row],[Qté Vendue]] * tbl_Ventes[[#This Row],[CMP_par_portion]]</f>
        <v>0</v>
      </c>
      <c r="J4195" s="7">
        <f>tbl_Ventes[[#This Row],[CA ligne]] - tbl_Ventes[[#This Row],[Coût matière ligne]]</f>
        <v>0</v>
      </c>
      <c r="K4195" s="7" t="str">
        <f>IFERROR(INDEX(tbl_ProduitsRef[Famille], MATCH(tbl_Ventes[[#This Row],[Cde_Prdt]], tbl_Produits[Cde_Prdt], 0)), "")</f>
        <v/>
      </c>
    </row>
    <row r="4196" spans="1:11" x14ac:dyDescent="0.25">
      <c r="A4196" s="5"/>
      <c r="B4196" s="63" t="str">
        <f>IFERROR(TEXT(tbl_Ventes[[#This Row],[Date]],"mm-aaaa"),"")</f>
        <v>01-1900</v>
      </c>
      <c r="D4196" s="10" t="str">
        <f>IFERROR(
   INDEX(tbl_ProduitsRef[Cde_Prdt],MATCH(tbl_Ventes[[#This Row],[Produit]],tbl_ProduitsRef[Produit],0)),
   ""
)</f>
        <v/>
      </c>
      <c r="E4196" s="7">
        <v>0</v>
      </c>
      <c r="F4196" s="7" t="str">
        <f>IFERROR(
   INDEX(tbl_ProduitsRef[Prix Menu],MATCH(tbl_Ventes[[#This Row],[Produit]],tbl_ProduitsRef[Produit],0)),
   ""
)</f>
        <v/>
      </c>
      <c r="G4196" s="7">
        <f>tbl_Ventes[[#This Row],[Qté Vendue]] * IFERROR(_xlfn.XLOOKUP(tbl_Ventes[[#This Row],[Cde_Prdt]], tbl_Produits[Cde_Prdt], tbl_Produits[Prix Menu]), 0)</f>
        <v>0</v>
      </c>
      <c r="H4196" s="7">
        <f>IFERROR(_xlfn.XLOOKUP(tbl_Ventes[[#This Row],[Cde_Prdt]], tbl_Produits[Cde_Prdt], tbl_Produits[Coût Moyen Portion]), 0)</f>
        <v>0</v>
      </c>
      <c r="I4196" s="7">
        <f>tbl_Ventes[[#This Row],[Qté Vendue]] * tbl_Ventes[[#This Row],[CMP_par_portion]]</f>
        <v>0</v>
      </c>
      <c r="J4196" s="7">
        <f>tbl_Ventes[[#This Row],[CA ligne]] - tbl_Ventes[[#This Row],[Coût matière ligne]]</f>
        <v>0</v>
      </c>
      <c r="K4196" s="7" t="str">
        <f>IFERROR(INDEX(tbl_ProduitsRef[Famille], MATCH(tbl_Ventes[[#This Row],[Cde_Prdt]], tbl_Produits[Cde_Prdt], 0)), "")</f>
        <v/>
      </c>
    </row>
    <row r="4197" spans="1:11" x14ac:dyDescent="0.25">
      <c r="A4197" s="5"/>
      <c r="B4197" s="63" t="str">
        <f>IFERROR(TEXT(tbl_Ventes[[#This Row],[Date]],"mm-aaaa"),"")</f>
        <v>01-1900</v>
      </c>
      <c r="D4197" s="10" t="str">
        <f>IFERROR(
   INDEX(tbl_ProduitsRef[Cde_Prdt],MATCH(tbl_Ventes[[#This Row],[Produit]],tbl_ProduitsRef[Produit],0)),
   ""
)</f>
        <v/>
      </c>
      <c r="E4197" s="7">
        <v>0</v>
      </c>
      <c r="F4197" s="7" t="str">
        <f>IFERROR(
   INDEX(tbl_ProduitsRef[Prix Menu],MATCH(tbl_Ventes[[#This Row],[Produit]],tbl_ProduitsRef[Produit],0)),
   ""
)</f>
        <v/>
      </c>
      <c r="G4197" s="7">
        <f>tbl_Ventes[[#This Row],[Qté Vendue]] * IFERROR(_xlfn.XLOOKUP(tbl_Ventes[[#This Row],[Cde_Prdt]], tbl_Produits[Cde_Prdt], tbl_Produits[Prix Menu]), 0)</f>
        <v>0</v>
      </c>
      <c r="H4197" s="7">
        <f>IFERROR(_xlfn.XLOOKUP(tbl_Ventes[[#This Row],[Cde_Prdt]], tbl_Produits[Cde_Prdt], tbl_Produits[Coût Moyen Portion]), 0)</f>
        <v>0</v>
      </c>
      <c r="I4197" s="7">
        <f>tbl_Ventes[[#This Row],[Qté Vendue]] * tbl_Ventes[[#This Row],[CMP_par_portion]]</f>
        <v>0</v>
      </c>
      <c r="J4197" s="7">
        <f>tbl_Ventes[[#This Row],[CA ligne]] - tbl_Ventes[[#This Row],[Coût matière ligne]]</f>
        <v>0</v>
      </c>
      <c r="K4197" s="7" t="str">
        <f>IFERROR(INDEX(tbl_ProduitsRef[Famille], MATCH(tbl_Ventes[[#This Row],[Cde_Prdt]], tbl_Produits[Cde_Prdt], 0)), "")</f>
        <v/>
      </c>
    </row>
    <row r="4198" spans="1:11" x14ac:dyDescent="0.25">
      <c r="A4198" s="5"/>
      <c r="B4198" s="63" t="str">
        <f>IFERROR(TEXT(tbl_Ventes[[#This Row],[Date]],"mm-aaaa"),"")</f>
        <v>01-1900</v>
      </c>
      <c r="D4198" s="10" t="str">
        <f>IFERROR(
   INDEX(tbl_ProduitsRef[Cde_Prdt],MATCH(tbl_Ventes[[#This Row],[Produit]],tbl_ProduitsRef[Produit],0)),
   ""
)</f>
        <v/>
      </c>
      <c r="E4198" s="7">
        <v>0</v>
      </c>
      <c r="F4198" s="7" t="str">
        <f>IFERROR(
   INDEX(tbl_ProduitsRef[Prix Menu],MATCH(tbl_Ventes[[#This Row],[Produit]],tbl_ProduitsRef[Produit],0)),
   ""
)</f>
        <v/>
      </c>
      <c r="G4198" s="7">
        <f>tbl_Ventes[[#This Row],[Qté Vendue]] * IFERROR(_xlfn.XLOOKUP(tbl_Ventes[[#This Row],[Cde_Prdt]], tbl_Produits[Cde_Prdt], tbl_Produits[Prix Menu]), 0)</f>
        <v>0</v>
      </c>
      <c r="H4198" s="7">
        <f>IFERROR(_xlfn.XLOOKUP(tbl_Ventes[[#This Row],[Cde_Prdt]], tbl_Produits[Cde_Prdt], tbl_Produits[Coût Moyen Portion]), 0)</f>
        <v>0</v>
      </c>
      <c r="I4198" s="7">
        <f>tbl_Ventes[[#This Row],[Qté Vendue]] * tbl_Ventes[[#This Row],[CMP_par_portion]]</f>
        <v>0</v>
      </c>
      <c r="J4198" s="7">
        <f>tbl_Ventes[[#This Row],[CA ligne]] - tbl_Ventes[[#This Row],[Coût matière ligne]]</f>
        <v>0</v>
      </c>
      <c r="K4198" s="7" t="str">
        <f>IFERROR(INDEX(tbl_ProduitsRef[Famille], MATCH(tbl_Ventes[[#This Row],[Cde_Prdt]], tbl_Produits[Cde_Prdt], 0)), "")</f>
        <v/>
      </c>
    </row>
    <row r="4199" spans="1:11" x14ac:dyDescent="0.25">
      <c r="A4199" s="5"/>
      <c r="B4199" s="63" t="str">
        <f>IFERROR(TEXT(tbl_Ventes[[#This Row],[Date]],"mm-aaaa"),"")</f>
        <v>01-1900</v>
      </c>
      <c r="D4199" s="10" t="str">
        <f>IFERROR(
   INDEX(tbl_ProduitsRef[Cde_Prdt],MATCH(tbl_Ventes[[#This Row],[Produit]],tbl_ProduitsRef[Produit],0)),
   ""
)</f>
        <v/>
      </c>
      <c r="E4199" s="7">
        <v>0</v>
      </c>
      <c r="F4199" s="7" t="str">
        <f>IFERROR(
   INDEX(tbl_ProduitsRef[Prix Menu],MATCH(tbl_Ventes[[#This Row],[Produit]],tbl_ProduitsRef[Produit],0)),
   ""
)</f>
        <v/>
      </c>
      <c r="G4199" s="7">
        <f>tbl_Ventes[[#This Row],[Qté Vendue]] * IFERROR(_xlfn.XLOOKUP(tbl_Ventes[[#This Row],[Cde_Prdt]], tbl_Produits[Cde_Prdt], tbl_Produits[Prix Menu]), 0)</f>
        <v>0</v>
      </c>
      <c r="H4199" s="7">
        <f>IFERROR(_xlfn.XLOOKUP(tbl_Ventes[[#This Row],[Cde_Prdt]], tbl_Produits[Cde_Prdt], tbl_Produits[Coût Moyen Portion]), 0)</f>
        <v>0</v>
      </c>
      <c r="I4199" s="7">
        <f>tbl_Ventes[[#This Row],[Qté Vendue]] * tbl_Ventes[[#This Row],[CMP_par_portion]]</f>
        <v>0</v>
      </c>
      <c r="J4199" s="7">
        <f>tbl_Ventes[[#This Row],[CA ligne]] - tbl_Ventes[[#This Row],[Coût matière ligne]]</f>
        <v>0</v>
      </c>
      <c r="K4199" s="7" t="str">
        <f>IFERROR(INDEX(tbl_ProduitsRef[Famille], MATCH(tbl_Ventes[[#This Row],[Cde_Prdt]], tbl_Produits[Cde_Prdt], 0)), "")</f>
        <v/>
      </c>
    </row>
    <row r="4200" spans="1:11" x14ac:dyDescent="0.25">
      <c r="A4200" s="5"/>
      <c r="B4200" s="63" t="str">
        <f>IFERROR(TEXT(tbl_Ventes[[#This Row],[Date]],"mm-aaaa"),"")</f>
        <v>01-1900</v>
      </c>
      <c r="D4200" s="10" t="str">
        <f>IFERROR(
   INDEX(tbl_ProduitsRef[Cde_Prdt],MATCH(tbl_Ventes[[#This Row],[Produit]],tbl_ProduitsRef[Produit],0)),
   ""
)</f>
        <v/>
      </c>
      <c r="E4200" s="7">
        <v>0</v>
      </c>
      <c r="F4200" s="7" t="str">
        <f>IFERROR(
   INDEX(tbl_ProduitsRef[Prix Menu],MATCH(tbl_Ventes[[#This Row],[Produit]],tbl_ProduitsRef[Produit],0)),
   ""
)</f>
        <v/>
      </c>
      <c r="G4200" s="7">
        <f>tbl_Ventes[[#This Row],[Qté Vendue]] * IFERROR(_xlfn.XLOOKUP(tbl_Ventes[[#This Row],[Cde_Prdt]], tbl_Produits[Cde_Prdt], tbl_Produits[Prix Menu]), 0)</f>
        <v>0</v>
      </c>
      <c r="H4200" s="7">
        <f>IFERROR(_xlfn.XLOOKUP(tbl_Ventes[[#This Row],[Cde_Prdt]], tbl_Produits[Cde_Prdt], tbl_Produits[Coût Moyen Portion]), 0)</f>
        <v>0</v>
      </c>
      <c r="I4200" s="7">
        <f>tbl_Ventes[[#This Row],[Qté Vendue]] * tbl_Ventes[[#This Row],[CMP_par_portion]]</f>
        <v>0</v>
      </c>
      <c r="J4200" s="7">
        <f>tbl_Ventes[[#This Row],[CA ligne]] - tbl_Ventes[[#This Row],[Coût matière ligne]]</f>
        <v>0</v>
      </c>
      <c r="K4200" s="7" t="str">
        <f>IFERROR(INDEX(tbl_ProduitsRef[Famille], MATCH(tbl_Ventes[[#This Row],[Cde_Prdt]], tbl_Produits[Cde_Prdt], 0)), "")</f>
        <v/>
      </c>
    </row>
    <row r="4201" spans="1:11" x14ac:dyDescent="0.25">
      <c r="A4201" s="5"/>
      <c r="B4201" s="63" t="str">
        <f>IFERROR(TEXT(tbl_Ventes[[#This Row],[Date]],"mm-aaaa"),"")</f>
        <v>01-1900</v>
      </c>
      <c r="D4201" s="10" t="str">
        <f>IFERROR(
   INDEX(tbl_ProduitsRef[Cde_Prdt],MATCH(tbl_Ventes[[#This Row],[Produit]],tbl_ProduitsRef[Produit],0)),
   ""
)</f>
        <v/>
      </c>
      <c r="E4201" s="7">
        <v>0</v>
      </c>
      <c r="F4201" s="7" t="str">
        <f>IFERROR(
   INDEX(tbl_ProduitsRef[Prix Menu],MATCH(tbl_Ventes[[#This Row],[Produit]],tbl_ProduitsRef[Produit],0)),
   ""
)</f>
        <v/>
      </c>
      <c r="G4201" s="7">
        <f>tbl_Ventes[[#This Row],[Qté Vendue]] * IFERROR(_xlfn.XLOOKUP(tbl_Ventes[[#This Row],[Cde_Prdt]], tbl_Produits[Cde_Prdt], tbl_Produits[Prix Menu]), 0)</f>
        <v>0</v>
      </c>
      <c r="H4201" s="7">
        <f>IFERROR(_xlfn.XLOOKUP(tbl_Ventes[[#This Row],[Cde_Prdt]], tbl_Produits[Cde_Prdt], tbl_Produits[Coût Moyen Portion]), 0)</f>
        <v>0</v>
      </c>
      <c r="I4201" s="7">
        <f>tbl_Ventes[[#This Row],[Qté Vendue]] * tbl_Ventes[[#This Row],[CMP_par_portion]]</f>
        <v>0</v>
      </c>
      <c r="J4201" s="7">
        <f>tbl_Ventes[[#This Row],[CA ligne]] - tbl_Ventes[[#This Row],[Coût matière ligne]]</f>
        <v>0</v>
      </c>
      <c r="K4201" s="7" t="str">
        <f>IFERROR(INDEX(tbl_ProduitsRef[Famille], MATCH(tbl_Ventes[[#This Row],[Cde_Prdt]], tbl_Produits[Cde_Prdt], 0)), "")</f>
        <v/>
      </c>
    </row>
    <row r="4202" spans="1:11" x14ac:dyDescent="0.25">
      <c r="A4202" s="5"/>
      <c r="B4202" s="63" t="str">
        <f>IFERROR(TEXT(tbl_Ventes[[#This Row],[Date]],"mm-aaaa"),"")</f>
        <v>01-1900</v>
      </c>
      <c r="D4202" s="10" t="str">
        <f>IFERROR(
   INDEX(tbl_ProduitsRef[Cde_Prdt],MATCH(tbl_Ventes[[#This Row],[Produit]],tbl_ProduitsRef[Produit],0)),
   ""
)</f>
        <v/>
      </c>
      <c r="E4202" s="7">
        <v>0</v>
      </c>
      <c r="F4202" s="7" t="str">
        <f>IFERROR(
   INDEX(tbl_ProduitsRef[Prix Menu],MATCH(tbl_Ventes[[#This Row],[Produit]],tbl_ProduitsRef[Produit],0)),
   ""
)</f>
        <v/>
      </c>
      <c r="G4202" s="7">
        <f>tbl_Ventes[[#This Row],[Qté Vendue]] * IFERROR(_xlfn.XLOOKUP(tbl_Ventes[[#This Row],[Cde_Prdt]], tbl_Produits[Cde_Prdt], tbl_Produits[Prix Menu]), 0)</f>
        <v>0</v>
      </c>
      <c r="H4202" s="7">
        <f>IFERROR(_xlfn.XLOOKUP(tbl_Ventes[[#This Row],[Cde_Prdt]], tbl_Produits[Cde_Prdt], tbl_Produits[Coût Moyen Portion]), 0)</f>
        <v>0</v>
      </c>
      <c r="I4202" s="7">
        <f>tbl_Ventes[[#This Row],[Qté Vendue]] * tbl_Ventes[[#This Row],[CMP_par_portion]]</f>
        <v>0</v>
      </c>
      <c r="J4202" s="7">
        <f>tbl_Ventes[[#This Row],[CA ligne]] - tbl_Ventes[[#This Row],[Coût matière ligne]]</f>
        <v>0</v>
      </c>
      <c r="K4202" s="7" t="str">
        <f>IFERROR(INDEX(tbl_ProduitsRef[Famille], MATCH(tbl_Ventes[[#This Row],[Cde_Prdt]], tbl_Produits[Cde_Prdt], 0)), "")</f>
        <v/>
      </c>
    </row>
    <row r="4203" spans="1:11" x14ac:dyDescent="0.25">
      <c r="A4203" s="5"/>
      <c r="B4203" s="63" t="str">
        <f>IFERROR(TEXT(tbl_Ventes[[#This Row],[Date]],"mm-aaaa"),"")</f>
        <v>01-1900</v>
      </c>
      <c r="D4203" s="10" t="str">
        <f>IFERROR(
   INDEX(tbl_ProduitsRef[Cde_Prdt],MATCH(tbl_Ventes[[#This Row],[Produit]],tbl_ProduitsRef[Produit],0)),
   ""
)</f>
        <v/>
      </c>
      <c r="E4203" s="7">
        <v>0</v>
      </c>
      <c r="F4203" s="7" t="str">
        <f>IFERROR(
   INDEX(tbl_ProduitsRef[Prix Menu],MATCH(tbl_Ventes[[#This Row],[Produit]],tbl_ProduitsRef[Produit],0)),
   ""
)</f>
        <v/>
      </c>
      <c r="G4203" s="7">
        <f>tbl_Ventes[[#This Row],[Qté Vendue]] * IFERROR(_xlfn.XLOOKUP(tbl_Ventes[[#This Row],[Cde_Prdt]], tbl_Produits[Cde_Prdt], tbl_Produits[Prix Menu]), 0)</f>
        <v>0</v>
      </c>
      <c r="H4203" s="7">
        <f>IFERROR(_xlfn.XLOOKUP(tbl_Ventes[[#This Row],[Cde_Prdt]], tbl_Produits[Cde_Prdt], tbl_Produits[Coût Moyen Portion]), 0)</f>
        <v>0</v>
      </c>
      <c r="I4203" s="7">
        <f>tbl_Ventes[[#This Row],[Qté Vendue]] * tbl_Ventes[[#This Row],[CMP_par_portion]]</f>
        <v>0</v>
      </c>
      <c r="J4203" s="7">
        <f>tbl_Ventes[[#This Row],[CA ligne]] - tbl_Ventes[[#This Row],[Coût matière ligne]]</f>
        <v>0</v>
      </c>
      <c r="K4203" s="7" t="str">
        <f>IFERROR(INDEX(tbl_ProduitsRef[Famille], MATCH(tbl_Ventes[[#This Row],[Cde_Prdt]], tbl_Produits[Cde_Prdt], 0)), "")</f>
        <v/>
      </c>
    </row>
    <row r="4204" spans="1:11" x14ac:dyDescent="0.25">
      <c r="A4204" s="5"/>
      <c r="B4204" s="63" t="str">
        <f>IFERROR(TEXT(tbl_Ventes[[#This Row],[Date]],"mm-aaaa"),"")</f>
        <v>01-1900</v>
      </c>
      <c r="D4204" s="10" t="str">
        <f>IFERROR(
   INDEX(tbl_ProduitsRef[Cde_Prdt],MATCH(tbl_Ventes[[#This Row],[Produit]],tbl_ProduitsRef[Produit],0)),
   ""
)</f>
        <v/>
      </c>
      <c r="E4204" s="7">
        <v>0</v>
      </c>
      <c r="F4204" s="7" t="str">
        <f>IFERROR(
   INDEX(tbl_ProduitsRef[Prix Menu],MATCH(tbl_Ventes[[#This Row],[Produit]],tbl_ProduitsRef[Produit],0)),
   ""
)</f>
        <v/>
      </c>
      <c r="G4204" s="7">
        <f>tbl_Ventes[[#This Row],[Qté Vendue]] * IFERROR(_xlfn.XLOOKUP(tbl_Ventes[[#This Row],[Cde_Prdt]], tbl_Produits[Cde_Prdt], tbl_Produits[Prix Menu]), 0)</f>
        <v>0</v>
      </c>
      <c r="H4204" s="7">
        <f>IFERROR(_xlfn.XLOOKUP(tbl_Ventes[[#This Row],[Cde_Prdt]], tbl_Produits[Cde_Prdt], tbl_Produits[Coût Moyen Portion]), 0)</f>
        <v>0</v>
      </c>
      <c r="I4204" s="7">
        <f>tbl_Ventes[[#This Row],[Qté Vendue]] * tbl_Ventes[[#This Row],[CMP_par_portion]]</f>
        <v>0</v>
      </c>
      <c r="J4204" s="7">
        <f>tbl_Ventes[[#This Row],[CA ligne]] - tbl_Ventes[[#This Row],[Coût matière ligne]]</f>
        <v>0</v>
      </c>
      <c r="K4204" s="7" t="str">
        <f>IFERROR(INDEX(tbl_ProduitsRef[Famille], MATCH(tbl_Ventes[[#This Row],[Cde_Prdt]], tbl_Produits[Cde_Prdt], 0)), "")</f>
        <v/>
      </c>
    </row>
    <row r="4205" spans="1:11" x14ac:dyDescent="0.25">
      <c r="A4205" s="5"/>
      <c r="B4205" s="63" t="str">
        <f>IFERROR(TEXT(tbl_Ventes[[#This Row],[Date]],"mm-aaaa"),"")</f>
        <v>01-1900</v>
      </c>
      <c r="D4205" s="10" t="str">
        <f>IFERROR(
   INDEX(tbl_ProduitsRef[Cde_Prdt],MATCH(tbl_Ventes[[#This Row],[Produit]],tbl_ProduitsRef[Produit],0)),
   ""
)</f>
        <v/>
      </c>
      <c r="E4205" s="7">
        <v>0</v>
      </c>
      <c r="F4205" s="7" t="str">
        <f>IFERROR(
   INDEX(tbl_ProduitsRef[Prix Menu],MATCH(tbl_Ventes[[#This Row],[Produit]],tbl_ProduitsRef[Produit],0)),
   ""
)</f>
        <v/>
      </c>
      <c r="G4205" s="7">
        <f>tbl_Ventes[[#This Row],[Qté Vendue]] * IFERROR(_xlfn.XLOOKUP(tbl_Ventes[[#This Row],[Cde_Prdt]], tbl_Produits[Cde_Prdt], tbl_Produits[Prix Menu]), 0)</f>
        <v>0</v>
      </c>
      <c r="H4205" s="7">
        <f>IFERROR(_xlfn.XLOOKUP(tbl_Ventes[[#This Row],[Cde_Prdt]], tbl_Produits[Cde_Prdt], tbl_Produits[Coût Moyen Portion]), 0)</f>
        <v>0</v>
      </c>
      <c r="I4205" s="7">
        <f>tbl_Ventes[[#This Row],[Qté Vendue]] * tbl_Ventes[[#This Row],[CMP_par_portion]]</f>
        <v>0</v>
      </c>
      <c r="J4205" s="7">
        <f>tbl_Ventes[[#This Row],[CA ligne]] - tbl_Ventes[[#This Row],[Coût matière ligne]]</f>
        <v>0</v>
      </c>
      <c r="K4205" s="7" t="str">
        <f>IFERROR(INDEX(tbl_ProduitsRef[Famille], MATCH(tbl_Ventes[[#This Row],[Cde_Prdt]], tbl_Produits[Cde_Prdt], 0)), "")</f>
        <v/>
      </c>
    </row>
    <row r="4206" spans="1:11" x14ac:dyDescent="0.25">
      <c r="A4206" s="5"/>
      <c r="B4206" s="63" t="str">
        <f>IFERROR(TEXT(tbl_Ventes[[#This Row],[Date]],"mm-aaaa"),"")</f>
        <v>01-1900</v>
      </c>
      <c r="D4206" s="10" t="str">
        <f>IFERROR(
   INDEX(tbl_ProduitsRef[Cde_Prdt],MATCH(tbl_Ventes[[#This Row],[Produit]],tbl_ProduitsRef[Produit],0)),
   ""
)</f>
        <v/>
      </c>
      <c r="E4206" s="7">
        <v>0</v>
      </c>
      <c r="F4206" s="7" t="str">
        <f>IFERROR(
   INDEX(tbl_ProduitsRef[Prix Menu],MATCH(tbl_Ventes[[#This Row],[Produit]],tbl_ProduitsRef[Produit],0)),
   ""
)</f>
        <v/>
      </c>
      <c r="G4206" s="7">
        <f>tbl_Ventes[[#This Row],[Qté Vendue]] * IFERROR(_xlfn.XLOOKUP(tbl_Ventes[[#This Row],[Cde_Prdt]], tbl_Produits[Cde_Prdt], tbl_Produits[Prix Menu]), 0)</f>
        <v>0</v>
      </c>
      <c r="H4206" s="7">
        <f>IFERROR(_xlfn.XLOOKUP(tbl_Ventes[[#This Row],[Cde_Prdt]], tbl_Produits[Cde_Prdt], tbl_Produits[Coût Moyen Portion]), 0)</f>
        <v>0</v>
      </c>
      <c r="I4206" s="7">
        <f>tbl_Ventes[[#This Row],[Qté Vendue]] * tbl_Ventes[[#This Row],[CMP_par_portion]]</f>
        <v>0</v>
      </c>
      <c r="J4206" s="7">
        <f>tbl_Ventes[[#This Row],[CA ligne]] - tbl_Ventes[[#This Row],[Coût matière ligne]]</f>
        <v>0</v>
      </c>
      <c r="K4206" s="7" t="str">
        <f>IFERROR(INDEX(tbl_ProduitsRef[Famille], MATCH(tbl_Ventes[[#This Row],[Cde_Prdt]], tbl_Produits[Cde_Prdt], 0)), "")</f>
        <v/>
      </c>
    </row>
    <row r="4207" spans="1:11" x14ac:dyDescent="0.25">
      <c r="A4207" s="5"/>
      <c r="B4207" s="63" t="str">
        <f>IFERROR(TEXT(tbl_Ventes[[#This Row],[Date]],"mm-aaaa"),"")</f>
        <v>01-1900</v>
      </c>
      <c r="D4207" s="10" t="str">
        <f>IFERROR(
   INDEX(tbl_ProduitsRef[Cde_Prdt],MATCH(tbl_Ventes[[#This Row],[Produit]],tbl_ProduitsRef[Produit],0)),
   ""
)</f>
        <v/>
      </c>
      <c r="E4207" s="7">
        <v>0</v>
      </c>
      <c r="F4207" s="7" t="str">
        <f>IFERROR(
   INDEX(tbl_ProduitsRef[Prix Menu],MATCH(tbl_Ventes[[#This Row],[Produit]],tbl_ProduitsRef[Produit],0)),
   ""
)</f>
        <v/>
      </c>
      <c r="G4207" s="7">
        <f>tbl_Ventes[[#This Row],[Qté Vendue]] * IFERROR(_xlfn.XLOOKUP(tbl_Ventes[[#This Row],[Cde_Prdt]], tbl_Produits[Cde_Prdt], tbl_Produits[Prix Menu]), 0)</f>
        <v>0</v>
      </c>
      <c r="H4207" s="7">
        <f>IFERROR(_xlfn.XLOOKUP(tbl_Ventes[[#This Row],[Cde_Prdt]], tbl_Produits[Cde_Prdt], tbl_Produits[Coût Moyen Portion]), 0)</f>
        <v>0</v>
      </c>
      <c r="I4207" s="7">
        <f>tbl_Ventes[[#This Row],[Qté Vendue]] * tbl_Ventes[[#This Row],[CMP_par_portion]]</f>
        <v>0</v>
      </c>
      <c r="J4207" s="7">
        <f>tbl_Ventes[[#This Row],[CA ligne]] - tbl_Ventes[[#This Row],[Coût matière ligne]]</f>
        <v>0</v>
      </c>
      <c r="K4207" s="7" t="str">
        <f>IFERROR(INDEX(tbl_ProduitsRef[Famille], MATCH(tbl_Ventes[[#This Row],[Cde_Prdt]], tbl_Produits[Cde_Prdt], 0)), "")</f>
        <v/>
      </c>
    </row>
    <row r="4208" spans="1:11" x14ac:dyDescent="0.25">
      <c r="A4208" s="5"/>
      <c r="B4208" s="63" t="str">
        <f>IFERROR(TEXT(tbl_Ventes[[#This Row],[Date]],"mm-aaaa"),"")</f>
        <v>01-1900</v>
      </c>
      <c r="D4208" s="10" t="str">
        <f>IFERROR(
   INDEX(tbl_ProduitsRef[Cde_Prdt],MATCH(tbl_Ventes[[#This Row],[Produit]],tbl_ProduitsRef[Produit],0)),
   ""
)</f>
        <v/>
      </c>
      <c r="E4208" s="7">
        <v>0</v>
      </c>
      <c r="F4208" s="7" t="str">
        <f>IFERROR(
   INDEX(tbl_ProduitsRef[Prix Menu],MATCH(tbl_Ventes[[#This Row],[Produit]],tbl_ProduitsRef[Produit],0)),
   ""
)</f>
        <v/>
      </c>
      <c r="G4208" s="7">
        <f>tbl_Ventes[[#This Row],[Qté Vendue]] * IFERROR(_xlfn.XLOOKUP(tbl_Ventes[[#This Row],[Cde_Prdt]], tbl_Produits[Cde_Prdt], tbl_Produits[Prix Menu]), 0)</f>
        <v>0</v>
      </c>
      <c r="H4208" s="7">
        <f>IFERROR(_xlfn.XLOOKUP(tbl_Ventes[[#This Row],[Cde_Prdt]], tbl_Produits[Cde_Prdt], tbl_Produits[Coût Moyen Portion]), 0)</f>
        <v>0</v>
      </c>
      <c r="I4208" s="7">
        <f>tbl_Ventes[[#This Row],[Qté Vendue]] * tbl_Ventes[[#This Row],[CMP_par_portion]]</f>
        <v>0</v>
      </c>
      <c r="J4208" s="7">
        <f>tbl_Ventes[[#This Row],[CA ligne]] - tbl_Ventes[[#This Row],[Coût matière ligne]]</f>
        <v>0</v>
      </c>
      <c r="K4208" s="7" t="str">
        <f>IFERROR(INDEX(tbl_ProduitsRef[Famille], MATCH(tbl_Ventes[[#This Row],[Cde_Prdt]], tbl_Produits[Cde_Prdt], 0)), "")</f>
        <v/>
      </c>
    </row>
    <row r="4209" spans="1:11" x14ac:dyDescent="0.25">
      <c r="A4209" s="5"/>
      <c r="B4209" s="63" t="str">
        <f>IFERROR(TEXT(tbl_Ventes[[#This Row],[Date]],"mm-aaaa"),"")</f>
        <v>01-1900</v>
      </c>
      <c r="D4209" s="10" t="str">
        <f>IFERROR(
   INDEX(tbl_ProduitsRef[Cde_Prdt],MATCH(tbl_Ventes[[#This Row],[Produit]],tbl_ProduitsRef[Produit],0)),
   ""
)</f>
        <v/>
      </c>
      <c r="E4209" s="7">
        <v>0</v>
      </c>
      <c r="F4209" s="7" t="str">
        <f>IFERROR(
   INDEX(tbl_ProduitsRef[Prix Menu],MATCH(tbl_Ventes[[#This Row],[Produit]],tbl_ProduitsRef[Produit],0)),
   ""
)</f>
        <v/>
      </c>
      <c r="G4209" s="7">
        <f>tbl_Ventes[[#This Row],[Qté Vendue]] * IFERROR(_xlfn.XLOOKUP(tbl_Ventes[[#This Row],[Cde_Prdt]], tbl_Produits[Cde_Prdt], tbl_Produits[Prix Menu]), 0)</f>
        <v>0</v>
      </c>
      <c r="H4209" s="7">
        <f>IFERROR(_xlfn.XLOOKUP(tbl_Ventes[[#This Row],[Cde_Prdt]], tbl_Produits[Cde_Prdt], tbl_Produits[Coût Moyen Portion]), 0)</f>
        <v>0</v>
      </c>
      <c r="I4209" s="7">
        <f>tbl_Ventes[[#This Row],[Qté Vendue]] * tbl_Ventes[[#This Row],[CMP_par_portion]]</f>
        <v>0</v>
      </c>
      <c r="J4209" s="7">
        <f>tbl_Ventes[[#This Row],[CA ligne]] - tbl_Ventes[[#This Row],[Coût matière ligne]]</f>
        <v>0</v>
      </c>
      <c r="K4209" s="7" t="str">
        <f>IFERROR(INDEX(tbl_ProduitsRef[Famille], MATCH(tbl_Ventes[[#This Row],[Cde_Prdt]], tbl_Produits[Cde_Prdt], 0)), "")</f>
        <v/>
      </c>
    </row>
    <row r="4210" spans="1:11" x14ac:dyDescent="0.25">
      <c r="A4210" s="5"/>
      <c r="B4210" s="63" t="str">
        <f>IFERROR(TEXT(tbl_Ventes[[#This Row],[Date]],"mm-aaaa"),"")</f>
        <v>01-1900</v>
      </c>
      <c r="D4210" s="10" t="str">
        <f>IFERROR(
   INDEX(tbl_ProduitsRef[Cde_Prdt],MATCH(tbl_Ventes[[#This Row],[Produit]],tbl_ProduitsRef[Produit],0)),
   ""
)</f>
        <v/>
      </c>
      <c r="E4210" s="7">
        <v>0</v>
      </c>
      <c r="F4210" s="7" t="str">
        <f>IFERROR(
   INDEX(tbl_ProduitsRef[Prix Menu],MATCH(tbl_Ventes[[#This Row],[Produit]],tbl_ProduitsRef[Produit],0)),
   ""
)</f>
        <v/>
      </c>
      <c r="G4210" s="7">
        <f>tbl_Ventes[[#This Row],[Qté Vendue]] * IFERROR(_xlfn.XLOOKUP(tbl_Ventes[[#This Row],[Cde_Prdt]], tbl_Produits[Cde_Prdt], tbl_Produits[Prix Menu]), 0)</f>
        <v>0</v>
      </c>
      <c r="H4210" s="7">
        <f>IFERROR(_xlfn.XLOOKUP(tbl_Ventes[[#This Row],[Cde_Prdt]], tbl_Produits[Cde_Prdt], tbl_Produits[Coût Moyen Portion]), 0)</f>
        <v>0</v>
      </c>
      <c r="I4210" s="7">
        <f>tbl_Ventes[[#This Row],[Qté Vendue]] * tbl_Ventes[[#This Row],[CMP_par_portion]]</f>
        <v>0</v>
      </c>
      <c r="J4210" s="7">
        <f>tbl_Ventes[[#This Row],[CA ligne]] - tbl_Ventes[[#This Row],[Coût matière ligne]]</f>
        <v>0</v>
      </c>
      <c r="K4210" s="7" t="str">
        <f>IFERROR(INDEX(tbl_ProduitsRef[Famille], MATCH(tbl_Ventes[[#This Row],[Cde_Prdt]], tbl_Produits[Cde_Prdt], 0)), "")</f>
        <v/>
      </c>
    </row>
    <row r="4211" spans="1:11" x14ac:dyDescent="0.25">
      <c r="A4211" s="5"/>
      <c r="B4211" s="63" t="str">
        <f>IFERROR(TEXT(tbl_Ventes[[#This Row],[Date]],"mm-aaaa"),"")</f>
        <v>01-1900</v>
      </c>
      <c r="D4211" s="10" t="str">
        <f>IFERROR(
   INDEX(tbl_ProduitsRef[Cde_Prdt],MATCH(tbl_Ventes[[#This Row],[Produit]],tbl_ProduitsRef[Produit],0)),
   ""
)</f>
        <v/>
      </c>
      <c r="E4211" s="7">
        <v>0</v>
      </c>
      <c r="F4211" s="7" t="str">
        <f>IFERROR(
   INDEX(tbl_ProduitsRef[Prix Menu],MATCH(tbl_Ventes[[#This Row],[Produit]],tbl_ProduitsRef[Produit],0)),
   ""
)</f>
        <v/>
      </c>
      <c r="G4211" s="7">
        <f>tbl_Ventes[[#This Row],[Qté Vendue]] * IFERROR(_xlfn.XLOOKUP(tbl_Ventes[[#This Row],[Cde_Prdt]], tbl_Produits[Cde_Prdt], tbl_Produits[Prix Menu]), 0)</f>
        <v>0</v>
      </c>
      <c r="H4211" s="7">
        <f>IFERROR(_xlfn.XLOOKUP(tbl_Ventes[[#This Row],[Cde_Prdt]], tbl_Produits[Cde_Prdt], tbl_Produits[Coût Moyen Portion]), 0)</f>
        <v>0</v>
      </c>
      <c r="I4211" s="7">
        <f>tbl_Ventes[[#This Row],[Qté Vendue]] * tbl_Ventes[[#This Row],[CMP_par_portion]]</f>
        <v>0</v>
      </c>
      <c r="J4211" s="7">
        <f>tbl_Ventes[[#This Row],[CA ligne]] - tbl_Ventes[[#This Row],[Coût matière ligne]]</f>
        <v>0</v>
      </c>
      <c r="K4211" s="7" t="str">
        <f>IFERROR(INDEX(tbl_ProduitsRef[Famille], MATCH(tbl_Ventes[[#This Row],[Cde_Prdt]], tbl_Produits[Cde_Prdt], 0)), "")</f>
        <v/>
      </c>
    </row>
    <row r="4212" spans="1:11" x14ac:dyDescent="0.25">
      <c r="A4212" s="5"/>
      <c r="B4212" s="63" t="str">
        <f>IFERROR(TEXT(tbl_Ventes[[#This Row],[Date]],"mm-aaaa"),"")</f>
        <v>01-1900</v>
      </c>
      <c r="D4212" s="10" t="str">
        <f>IFERROR(
   INDEX(tbl_ProduitsRef[Cde_Prdt],MATCH(tbl_Ventes[[#This Row],[Produit]],tbl_ProduitsRef[Produit],0)),
   ""
)</f>
        <v/>
      </c>
      <c r="E4212" s="7">
        <v>0</v>
      </c>
      <c r="F4212" s="7" t="str">
        <f>IFERROR(
   INDEX(tbl_ProduitsRef[Prix Menu],MATCH(tbl_Ventes[[#This Row],[Produit]],tbl_ProduitsRef[Produit],0)),
   ""
)</f>
        <v/>
      </c>
      <c r="G4212" s="7">
        <f>tbl_Ventes[[#This Row],[Qté Vendue]] * IFERROR(_xlfn.XLOOKUP(tbl_Ventes[[#This Row],[Cde_Prdt]], tbl_Produits[Cde_Prdt], tbl_Produits[Prix Menu]), 0)</f>
        <v>0</v>
      </c>
      <c r="H4212" s="7">
        <f>IFERROR(_xlfn.XLOOKUP(tbl_Ventes[[#This Row],[Cde_Prdt]], tbl_Produits[Cde_Prdt], tbl_Produits[Coût Moyen Portion]), 0)</f>
        <v>0</v>
      </c>
      <c r="I4212" s="7">
        <f>tbl_Ventes[[#This Row],[Qté Vendue]] * tbl_Ventes[[#This Row],[CMP_par_portion]]</f>
        <v>0</v>
      </c>
      <c r="J4212" s="7">
        <f>tbl_Ventes[[#This Row],[CA ligne]] - tbl_Ventes[[#This Row],[Coût matière ligne]]</f>
        <v>0</v>
      </c>
      <c r="K4212" s="7" t="str">
        <f>IFERROR(INDEX(tbl_ProduitsRef[Famille], MATCH(tbl_Ventes[[#This Row],[Cde_Prdt]], tbl_Produits[Cde_Prdt], 0)), "")</f>
        <v/>
      </c>
    </row>
    <row r="4213" spans="1:11" x14ac:dyDescent="0.25">
      <c r="A4213" s="5"/>
      <c r="B4213" s="63" t="str">
        <f>IFERROR(TEXT(tbl_Ventes[[#This Row],[Date]],"mm-aaaa"),"")</f>
        <v>01-1900</v>
      </c>
      <c r="D4213" s="10" t="str">
        <f>IFERROR(
   INDEX(tbl_ProduitsRef[Cde_Prdt],MATCH(tbl_Ventes[[#This Row],[Produit]],tbl_ProduitsRef[Produit],0)),
   ""
)</f>
        <v/>
      </c>
      <c r="E4213" s="7">
        <v>0</v>
      </c>
      <c r="F4213" s="7" t="str">
        <f>IFERROR(
   INDEX(tbl_ProduitsRef[Prix Menu],MATCH(tbl_Ventes[[#This Row],[Produit]],tbl_ProduitsRef[Produit],0)),
   ""
)</f>
        <v/>
      </c>
      <c r="G4213" s="7">
        <f>tbl_Ventes[[#This Row],[Qté Vendue]] * IFERROR(_xlfn.XLOOKUP(tbl_Ventes[[#This Row],[Cde_Prdt]], tbl_Produits[Cde_Prdt], tbl_Produits[Prix Menu]), 0)</f>
        <v>0</v>
      </c>
      <c r="H4213" s="7">
        <f>IFERROR(_xlfn.XLOOKUP(tbl_Ventes[[#This Row],[Cde_Prdt]], tbl_Produits[Cde_Prdt], tbl_Produits[Coût Moyen Portion]), 0)</f>
        <v>0</v>
      </c>
      <c r="I4213" s="7">
        <f>tbl_Ventes[[#This Row],[Qté Vendue]] * tbl_Ventes[[#This Row],[CMP_par_portion]]</f>
        <v>0</v>
      </c>
      <c r="J4213" s="7">
        <f>tbl_Ventes[[#This Row],[CA ligne]] - tbl_Ventes[[#This Row],[Coût matière ligne]]</f>
        <v>0</v>
      </c>
      <c r="K4213" s="7" t="str">
        <f>IFERROR(INDEX(tbl_ProduitsRef[Famille], MATCH(tbl_Ventes[[#This Row],[Cde_Prdt]], tbl_Produits[Cde_Prdt], 0)), "")</f>
        <v/>
      </c>
    </row>
    <row r="4214" spans="1:11" x14ac:dyDescent="0.25">
      <c r="A4214" s="5"/>
      <c r="B4214" s="63" t="str">
        <f>IFERROR(TEXT(tbl_Ventes[[#This Row],[Date]],"mm-aaaa"),"")</f>
        <v>01-1900</v>
      </c>
      <c r="D4214" s="10" t="str">
        <f>IFERROR(
   INDEX(tbl_ProduitsRef[Cde_Prdt],MATCH(tbl_Ventes[[#This Row],[Produit]],tbl_ProduitsRef[Produit],0)),
   ""
)</f>
        <v/>
      </c>
      <c r="E4214" s="7">
        <v>0</v>
      </c>
      <c r="F4214" s="7" t="str">
        <f>IFERROR(
   INDEX(tbl_ProduitsRef[Prix Menu],MATCH(tbl_Ventes[[#This Row],[Produit]],tbl_ProduitsRef[Produit],0)),
   ""
)</f>
        <v/>
      </c>
      <c r="G4214" s="7">
        <f>tbl_Ventes[[#This Row],[Qté Vendue]] * IFERROR(_xlfn.XLOOKUP(tbl_Ventes[[#This Row],[Cde_Prdt]], tbl_Produits[Cde_Prdt], tbl_Produits[Prix Menu]), 0)</f>
        <v>0</v>
      </c>
      <c r="H4214" s="7">
        <f>IFERROR(_xlfn.XLOOKUP(tbl_Ventes[[#This Row],[Cde_Prdt]], tbl_Produits[Cde_Prdt], tbl_Produits[Coût Moyen Portion]), 0)</f>
        <v>0</v>
      </c>
      <c r="I4214" s="7">
        <f>tbl_Ventes[[#This Row],[Qté Vendue]] * tbl_Ventes[[#This Row],[CMP_par_portion]]</f>
        <v>0</v>
      </c>
      <c r="J4214" s="7">
        <f>tbl_Ventes[[#This Row],[CA ligne]] - tbl_Ventes[[#This Row],[Coût matière ligne]]</f>
        <v>0</v>
      </c>
      <c r="K4214" s="7" t="str">
        <f>IFERROR(INDEX(tbl_ProduitsRef[Famille], MATCH(tbl_Ventes[[#This Row],[Cde_Prdt]], tbl_Produits[Cde_Prdt], 0)), "")</f>
        <v/>
      </c>
    </row>
    <row r="4215" spans="1:11" x14ac:dyDescent="0.25">
      <c r="A4215" s="5"/>
      <c r="B4215" s="63" t="str">
        <f>IFERROR(TEXT(tbl_Ventes[[#This Row],[Date]],"mm-aaaa"),"")</f>
        <v>01-1900</v>
      </c>
      <c r="D4215" s="10" t="str">
        <f>IFERROR(
   INDEX(tbl_ProduitsRef[Cde_Prdt],MATCH(tbl_Ventes[[#This Row],[Produit]],tbl_ProduitsRef[Produit],0)),
   ""
)</f>
        <v/>
      </c>
      <c r="E4215" s="7">
        <v>0</v>
      </c>
      <c r="F4215" s="7" t="str">
        <f>IFERROR(
   INDEX(tbl_ProduitsRef[Prix Menu],MATCH(tbl_Ventes[[#This Row],[Produit]],tbl_ProduitsRef[Produit],0)),
   ""
)</f>
        <v/>
      </c>
      <c r="G4215" s="7">
        <f>tbl_Ventes[[#This Row],[Qté Vendue]] * IFERROR(_xlfn.XLOOKUP(tbl_Ventes[[#This Row],[Cde_Prdt]], tbl_Produits[Cde_Prdt], tbl_Produits[Prix Menu]), 0)</f>
        <v>0</v>
      </c>
      <c r="H4215" s="7">
        <f>IFERROR(_xlfn.XLOOKUP(tbl_Ventes[[#This Row],[Cde_Prdt]], tbl_Produits[Cde_Prdt], tbl_Produits[Coût Moyen Portion]), 0)</f>
        <v>0</v>
      </c>
      <c r="I4215" s="7">
        <f>tbl_Ventes[[#This Row],[Qté Vendue]] * tbl_Ventes[[#This Row],[CMP_par_portion]]</f>
        <v>0</v>
      </c>
      <c r="J4215" s="7">
        <f>tbl_Ventes[[#This Row],[CA ligne]] - tbl_Ventes[[#This Row],[Coût matière ligne]]</f>
        <v>0</v>
      </c>
      <c r="K4215" s="7" t="str">
        <f>IFERROR(INDEX(tbl_ProduitsRef[Famille], MATCH(tbl_Ventes[[#This Row],[Cde_Prdt]], tbl_Produits[Cde_Prdt], 0)), "")</f>
        <v/>
      </c>
    </row>
    <row r="4216" spans="1:11" x14ac:dyDescent="0.25">
      <c r="A4216" s="5"/>
      <c r="B4216" s="63" t="str">
        <f>IFERROR(TEXT(tbl_Ventes[[#This Row],[Date]],"mm-aaaa"),"")</f>
        <v>01-1900</v>
      </c>
      <c r="D4216" s="10" t="str">
        <f>IFERROR(
   INDEX(tbl_ProduitsRef[Cde_Prdt],MATCH(tbl_Ventes[[#This Row],[Produit]],tbl_ProduitsRef[Produit],0)),
   ""
)</f>
        <v/>
      </c>
      <c r="E4216" s="7">
        <v>0</v>
      </c>
      <c r="F4216" s="7" t="str">
        <f>IFERROR(
   INDEX(tbl_ProduitsRef[Prix Menu],MATCH(tbl_Ventes[[#This Row],[Produit]],tbl_ProduitsRef[Produit],0)),
   ""
)</f>
        <v/>
      </c>
      <c r="G4216" s="7">
        <f>tbl_Ventes[[#This Row],[Qté Vendue]] * IFERROR(_xlfn.XLOOKUP(tbl_Ventes[[#This Row],[Cde_Prdt]], tbl_Produits[Cde_Prdt], tbl_Produits[Prix Menu]), 0)</f>
        <v>0</v>
      </c>
      <c r="H4216" s="7">
        <f>IFERROR(_xlfn.XLOOKUP(tbl_Ventes[[#This Row],[Cde_Prdt]], tbl_Produits[Cde_Prdt], tbl_Produits[Coût Moyen Portion]), 0)</f>
        <v>0</v>
      </c>
      <c r="I4216" s="7">
        <f>tbl_Ventes[[#This Row],[Qté Vendue]] * tbl_Ventes[[#This Row],[CMP_par_portion]]</f>
        <v>0</v>
      </c>
      <c r="J4216" s="7">
        <f>tbl_Ventes[[#This Row],[CA ligne]] - tbl_Ventes[[#This Row],[Coût matière ligne]]</f>
        <v>0</v>
      </c>
      <c r="K4216" s="7" t="str">
        <f>IFERROR(INDEX(tbl_ProduitsRef[Famille], MATCH(tbl_Ventes[[#This Row],[Cde_Prdt]], tbl_Produits[Cde_Prdt], 0)), "")</f>
        <v/>
      </c>
    </row>
    <row r="4217" spans="1:11" x14ac:dyDescent="0.25">
      <c r="A4217" s="5"/>
      <c r="B4217" s="63" t="str">
        <f>IFERROR(TEXT(tbl_Ventes[[#This Row],[Date]],"mm-aaaa"),"")</f>
        <v>01-1900</v>
      </c>
      <c r="D4217" s="10" t="str">
        <f>IFERROR(
   INDEX(tbl_ProduitsRef[Cde_Prdt],MATCH(tbl_Ventes[[#This Row],[Produit]],tbl_ProduitsRef[Produit],0)),
   ""
)</f>
        <v/>
      </c>
      <c r="E4217" s="7">
        <v>0</v>
      </c>
      <c r="F4217" s="7" t="str">
        <f>IFERROR(
   INDEX(tbl_ProduitsRef[Prix Menu],MATCH(tbl_Ventes[[#This Row],[Produit]],tbl_ProduitsRef[Produit],0)),
   ""
)</f>
        <v/>
      </c>
      <c r="G4217" s="7">
        <f>tbl_Ventes[[#This Row],[Qté Vendue]] * IFERROR(_xlfn.XLOOKUP(tbl_Ventes[[#This Row],[Cde_Prdt]], tbl_Produits[Cde_Prdt], tbl_Produits[Prix Menu]), 0)</f>
        <v>0</v>
      </c>
      <c r="H4217" s="7">
        <f>IFERROR(_xlfn.XLOOKUP(tbl_Ventes[[#This Row],[Cde_Prdt]], tbl_Produits[Cde_Prdt], tbl_Produits[Coût Moyen Portion]), 0)</f>
        <v>0</v>
      </c>
      <c r="I4217" s="7">
        <f>tbl_Ventes[[#This Row],[Qté Vendue]] * tbl_Ventes[[#This Row],[CMP_par_portion]]</f>
        <v>0</v>
      </c>
      <c r="J4217" s="7">
        <f>tbl_Ventes[[#This Row],[CA ligne]] - tbl_Ventes[[#This Row],[Coût matière ligne]]</f>
        <v>0</v>
      </c>
      <c r="K4217" s="7" t="str">
        <f>IFERROR(INDEX(tbl_ProduitsRef[Famille], MATCH(tbl_Ventes[[#This Row],[Cde_Prdt]], tbl_Produits[Cde_Prdt], 0)), "")</f>
        <v/>
      </c>
    </row>
    <row r="4218" spans="1:11" x14ac:dyDescent="0.25">
      <c r="A4218" s="5"/>
      <c r="B4218" s="63" t="str">
        <f>IFERROR(TEXT(tbl_Ventes[[#This Row],[Date]],"mm-aaaa"),"")</f>
        <v>01-1900</v>
      </c>
      <c r="D4218" s="10" t="str">
        <f>IFERROR(
   INDEX(tbl_ProduitsRef[Cde_Prdt],MATCH(tbl_Ventes[[#This Row],[Produit]],tbl_ProduitsRef[Produit],0)),
   ""
)</f>
        <v/>
      </c>
      <c r="E4218" s="7">
        <v>0</v>
      </c>
      <c r="F4218" s="7" t="str">
        <f>IFERROR(
   INDEX(tbl_ProduitsRef[Prix Menu],MATCH(tbl_Ventes[[#This Row],[Produit]],tbl_ProduitsRef[Produit],0)),
   ""
)</f>
        <v/>
      </c>
      <c r="G4218" s="7">
        <f>tbl_Ventes[[#This Row],[Qté Vendue]] * IFERROR(_xlfn.XLOOKUP(tbl_Ventes[[#This Row],[Cde_Prdt]], tbl_Produits[Cde_Prdt], tbl_Produits[Prix Menu]), 0)</f>
        <v>0</v>
      </c>
      <c r="H4218" s="7">
        <f>IFERROR(_xlfn.XLOOKUP(tbl_Ventes[[#This Row],[Cde_Prdt]], tbl_Produits[Cde_Prdt], tbl_Produits[Coût Moyen Portion]), 0)</f>
        <v>0</v>
      </c>
      <c r="I4218" s="7">
        <f>tbl_Ventes[[#This Row],[Qté Vendue]] * tbl_Ventes[[#This Row],[CMP_par_portion]]</f>
        <v>0</v>
      </c>
      <c r="J4218" s="7">
        <f>tbl_Ventes[[#This Row],[CA ligne]] - tbl_Ventes[[#This Row],[Coût matière ligne]]</f>
        <v>0</v>
      </c>
      <c r="K4218" s="7" t="str">
        <f>IFERROR(INDEX(tbl_ProduitsRef[Famille], MATCH(tbl_Ventes[[#This Row],[Cde_Prdt]], tbl_Produits[Cde_Prdt], 0)), "")</f>
        <v/>
      </c>
    </row>
    <row r="4219" spans="1:11" x14ac:dyDescent="0.25">
      <c r="A4219" s="5"/>
      <c r="B4219" s="63" t="str">
        <f>IFERROR(TEXT(tbl_Ventes[[#This Row],[Date]],"mm-aaaa"),"")</f>
        <v>01-1900</v>
      </c>
      <c r="D4219" s="10" t="str">
        <f>IFERROR(
   INDEX(tbl_ProduitsRef[Cde_Prdt],MATCH(tbl_Ventes[[#This Row],[Produit]],tbl_ProduitsRef[Produit],0)),
   ""
)</f>
        <v/>
      </c>
      <c r="E4219" s="7">
        <v>0</v>
      </c>
      <c r="F4219" s="7" t="str">
        <f>IFERROR(
   INDEX(tbl_ProduitsRef[Prix Menu],MATCH(tbl_Ventes[[#This Row],[Produit]],tbl_ProduitsRef[Produit],0)),
   ""
)</f>
        <v/>
      </c>
      <c r="G4219" s="7">
        <f>tbl_Ventes[[#This Row],[Qté Vendue]] * IFERROR(_xlfn.XLOOKUP(tbl_Ventes[[#This Row],[Cde_Prdt]], tbl_Produits[Cde_Prdt], tbl_Produits[Prix Menu]), 0)</f>
        <v>0</v>
      </c>
      <c r="H4219" s="7">
        <f>IFERROR(_xlfn.XLOOKUP(tbl_Ventes[[#This Row],[Cde_Prdt]], tbl_Produits[Cde_Prdt], tbl_Produits[Coût Moyen Portion]), 0)</f>
        <v>0</v>
      </c>
      <c r="I4219" s="7">
        <f>tbl_Ventes[[#This Row],[Qté Vendue]] * tbl_Ventes[[#This Row],[CMP_par_portion]]</f>
        <v>0</v>
      </c>
      <c r="J4219" s="7">
        <f>tbl_Ventes[[#This Row],[CA ligne]] - tbl_Ventes[[#This Row],[Coût matière ligne]]</f>
        <v>0</v>
      </c>
      <c r="K4219" s="7" t="str">
        <f>IFERROR(INDEX(tbl_ProduitsRef[Famille], MATCH(tbl_Ventes[[#This Row],[Cde_Prdt]], tbl_Produits[Cde_Prdt], 0)), "")</f>
        <v/>
      </c>
    </row>
    <row r="4220" spans="1:11" x14ac:dyDescent="0.25">
      <c r="A4220" s="5"/>
      <c r="B4220" s="63" t="str">
        <f>IFERROR(TEXT(tbl_Ventes[[#This Row],[Date]],"mm-aaaa"),"")</f>
        <v>01-1900</v>
      </c>
      <c r="D4220" s="10" t="str">
        <f>IFERROR(
   INDEX(tbl_ProduitsRef[Cde_Prdt],MATCH(tbl_Ventes[[#This Row],[Produit]],tbl_ProduitsRef[Produit],0)),
   ""
)</f>
        <v/>
      </c>
      <c r="E4220" s="7">
        <v>0</v>
      </c>
      <c r="F4220" s="7" t="str">
        <f>IFERROR(
   INDEX(tbl_ProduitsRef[Prix Menu],MATCH(tbl_Ventes[[#This Row],[Produit]],tbl_ProduitsRef[Produit],0)),
   ""
)</f>
        <v/>
      </c>
      <c r="G4220" s="7">
        <f>tbl_Ventes[[#This Row],[Qté Vendue]] * IFERROR(_xlfn.XLOOKUP(tbl_Ventes[[#This Row],[Cde_Prdt]], tbl_Produits[Cde_Prdt], tbl_Produits[Prix Menu]), 0)</f>
        <v>0</v>
      </c>
      <c r="H4220" s="7">
        <f>IFERROR(_xlfn.XLOOKUP(tbl_Ventes[[#This Row],[Cde_Prdt]], tbl_Produits[Cde_Prdt], tbl_Produits[Coût Moyen Portion]), 0)</f>
        <v>0</v>
      </c>
      <c r="I4220" s="7">
        <f>tbl_Ventes[[#This Row],[Qté Vendue]] * tbl_Ventes[[#This Row],[CMP_par_portion]]</f>
        <v>0</v>
      </c>
      <c r="J4220" s="7">
        <f>tbl_Ventes[[#This Row],[CA ligne]] - tbl_Ventes[[#This Row],[Coût matière ligne]]</f>
        <v>0</v>
      </c>
      <c r="K4220" s="7" t="str">
        <f>IFERROR(INDEX(tbl_ProduitsRef[Famille], MATCH(tbl_Ventes[[#This Row],[Cde_Prdt]], tbl_Produits[Cde_Prdt], 0)), "")</f>
        <v/>
      </c>
    </row>
    <row r="4221" spans="1:11" x14ac:dyDescent="0.25">
      <c r="A4221" s="5"/>
      <c r="B4221" s="63" t="str">
        <f>IFERROR(TEXT(tbl_Ventes[[#This Row],[Date]],"mm-aaaa"),"")</f>
        <v>01-1900</v>
      </c>
      <c r="D4221" s="10" t="str">
        <f>IFERROR(
   INDEX(tbl_ProduitsRef[Cde_Prdt],MATCH(tbl_Ventes[[#This Row],[Produit]],tbl_ProduitsRef[Produit],0)),
   ""
)</f>
        <v/>
      </c>
      <c r="E4221" s="7">
        <v>0</v>
      </c>
      <c r="F4221" s="7" t="str">
        <f>IFERROR(
   INDEX(tbl_ProduitsRef[Prix Menu],MATCH(tbl_Ventes[[#This Row],[Produit]],tbl_ProduitsRef[Produit],0)),
   ""
)</f>
        <v/>
      </c>
      <c r="G4221" s="7">
        <f>tbl_Ventes[[#This Row],[Qté Vendue]] * IFERROR(_xlfn.XLOOKUP(tbl_Ventes[[#This Row],[Cde_Prdt]], tbl_Produits[Cde_Prdt], tbl_Produits[Prix Menu]), 0)</f>
        <v>0</v>
      </c>
      <c r="H4221" s="7">
        <f>IFERROR(_xlfn.XLOOKUP(tbl_Ventes[[#This Row],[Cde_Prdt]], tbl_Produits[Cde_Prdt], tbl_Produits[Coût Moyen Portion]), 0)</f>
        <v>0</v>
      </c>
      <c r="I4221" s="7">
        <f>tbl_Ventes[[#This Row],[Qté Vendue]] * tbl_Ventes[[#This Row],[CMP_par_portion]]</f>
        <v>0</v>
      </c>
      <c r="J4221" s="7">
        <f>tbl_Ventes[[#This Row],[CA ligne]] - tbl_Ventes[[#This Row],[Coût matière ligne]]</f>
        <v>0</v>
      </c>
      <c r="K4221" s="7" t="str">
        <f>IFERROR(INDEX(tbl_ProduitsRef[Famille], MATCH(tbl_Ventes[[#This Row],[Cde_Prdt]], tbl_Produits[Cde_Prdt], 0)), "")</f>
        <v/>
      </c>
    </row>
    <row r="4222" spans="1:11" x14ac:dyDescent="0.25">
      <c r="A4222" s="5"/>
      <c r="B4222" s="63" t="str">
        <f>IFERROR(TEXT(tbl_Ventes[[#This Row],[Date]],"mm-aaaa"),"")</f>
        <v>01-1900</v>
      </c>
      <c r="D4222" s="10" t="str">
        <f>IFERROR(
   INDEX(tbl_ProduitsRef[Cde_Prdt],MATCH(tbl_Ventes[[#This Row],[Produit]],tbl_ProduitsRef[Produit],0)),
   ""
)</f>
        <v/>
      </c>
      <c r="E4222" s="7">
        <v>0</v>
      </c>
      <c r="F4222" s="7" t="str">
        <f>IFERROR(
   INDEX(tbl_ProduitsRef[Prix Menu],MATCH(tbl_Ventes[[#This Row],[Produit]],tbl_ProduitsRef[Produit],0)),
   ""
)</f>
        <v/>
      </c>
      <c r="G4222" s="7">
        <f>tbl_Ventes[[#This Row],[Qté Vendue]] * IFERROR(_xlfn.XLOOKUP(tbl_Ventes[[#This Row],[Cde_Prdt]], tbl_Produits[Cde_Prdt], tbl_Produits[Prix Menu]), 0)</f>
        <v>0</v>
      </c>
      <c r="H4222" s="7">
        <f>IFERROR(_xlfn.XLOOKUP(tbl_Ventes[[#This Row],[Cde_Prdt]], tbl_Produits[Cde_Prdt], tbl_Produits[Coût Moyen Portion]), 0)</f>
        <v>0</v>
      </c>
      <c r="I4222" s="7">
        <f>tbl_Ventes[[#This Row],[Qté Vendue]] * tbl_Ventes[[#This Row],[CMP_par_portion]]</f>
        <v>0</v>
      </c>
      <c r="J4222" s="7">
        <f>tbl_Ventes[[#This Row],[CA ligne]] - tbl_Ventes[[#This Row],[Coût matière ligne]]</f>
        <v>0</v>
      </c>
      <c r="K4222" s="7" t="str">
        <f>IFERROR(INDEX(tbl_ProduitsRef[Famille], MATCH(tbl_Ventes[[#This Row],[Cde_Prdt]], tbl_Produits[Cde_Prdt], 0)), "")</f>
        <v/>
      </c>
    </row>
    <row r="4223" spans="1:11" x14ac:dyDescent="0.25">
      <c r="A4223" s="5"/>
      <c r="B4223" s="63" t="str">
        <f>IFERROR(TEXT(tbl_Ventes[[#This Row],[Date]],"mm-aaaa"),"")</f>
        <v>01-1900</v>
      </c>
      <c r="D4223" s="10" t="str">
        <f>IFERROR(
   INDEX(tbl_ProduitsRef[Cde_Prdt],MATCH(tbl_Ventes[[#This Row],[Produit]],tbl_ProduitsRef[Produit],0)),
   ""
)</f>
        <v/>
      </c>
      <c r="E4223" s="7">
        <v>0</v>
      </c>
      <c r="F4223" s="7" t="str">
        <f>IFERROR(
   INDEX(tbl_ProduitsRef[Prix Menu],MATCH(tbl_Ventes[[#This Row],[Produit]],tbl_ProduitsRef[Produit],0)),
   ""
)</f>
        <v/>
      </c>
      <c r="G4223" s="7">
        <f>tbl_Ventes[[#This Row],[Qté Vendue]] * IFERROR(_xlfn.XLOOKUP(tbl_Ventes[[#This Row],[Cde_Prdt]], tbl_Produits[Cde_Prdt], tbl_Produits[Prix Menu]), 0)</f>
        <v>0</v>
      </c>
      <c r="H4223" s="7">
        <f>IFERROR(_xlfn.XLOOKUP(tbl_Ventes[[#This Row],[Cde_Prdt]], tbl_Produits[Cde_Prdt], tbl_Produits[Coût Moyen Portion]), 0)</f>
        <v>0</v>
      </c>
      <c r="I4223" s="7">
        <f>tbl_Ventes[[#This Row],[Qté Vendue]] * tbl_Ventes[[#This Row],[CMP_par_portion]]</f>
        <v>0</v>
      </c>
      <c r="J4223" s="7">
        <f>tbl_Ventes[[#This Row],[CA ligne]] - tbl_Ventes[[#This Row],[Coût matière ligne]]</f>
        <v>0</v>
      </c>
      <c r="K4223" s="7" t="str">
        <f>IFERROR(INDEX(tbl_ProduitsRef[Famille], MATCH(tbl_Ventes[[#This Row],[Cde_Prdt]], tbl_Produits[Cde_Prdt], 0)), "")</f>
        <v/>
      </c>
    </row>
    <row r="4224" spans="1:11" x14ac:dyDescent="0.25">
      <c r="A4224" s="5"/>
      <c r="B4224" s="63" t="str">
        <f>IFERROR(TEXT(tbl_Ventes[[#This Row],[Date]],"mm-aaaa"),"")</f>
        <v>01-1900</v>
      </c>
      <c r="D4224" s="10" t="str">
        <f>IFERROR(
   INDEX(tbl_ProduitsRef[Cde_Prdt],MATCH(tbl_Ventes[[#This Row],[Produit]],tbl_ProduitsRef[Produit],0)),
   ""
)</f>
        <v/>
      </c>
      <c r="E4224" s="7">
        <v>0</v>
      </c>
      <c r="F4224" s="7" t="str">
        <f>IFERROR(
   INDEX(tbl_ProduitsRef[Prix Menu],MATCH(tbl_Ventes[[#This Row],[Produit]],tbl_ProduitsRef[Produit],0)),
   ""
)</f>
        <v/>
      </c>
      <c r="G4224" s="7">
        <f>tbl_Ventes[[#This Row],[Qté Vendue]] * IFERROR(_xlfn.XLOOKUP(tbl_Ventes[[#This Row],[Cde_Prdt]], tbl_Produits[Cde_Prdt], tbl_Produits[Prix Menu]), 0)</f>
        <v>0</v>
      </c>
      <c r="H4224" s="7">
        <f>IFERROR(_xlfn.XLOOKUP(tbl_Ventes[[#This Row],[Cde_Prdt]], tbl_Produits[Cde_Prdt], tbl_Produits[Coût Moyen Portion]), 0)</f>
        <v>0</v>
      </c>
      <c r="I4224" s="7">
        <f>tbl_Ventes[[#This Row],[Qté Vendue]] * tbl_Ventes[[#This Row],[CMP_par_portion]]</f>
        <v>0</v>
      </c>
      <c r="J4224" s="7">
        <f>tbl_Ventes[[#This Row],[CA ligne]] - tbl_Ventes[[#This Row],[Coût matière ligne]]</f>
        <v>0</v>
      </c>
      <c r="K4224" s="7" t="str">
        <f>IFERROR(INDEX(tbl_ProduitsRef[Famille], MATCH(tbl_Ventes[[#This Row],[Cde_Prdt]], tbl_Produits[Cde_Prdt], 0)), "")</f>
        <v/>
      </c>
    </row>
    <row r="4225" spans="1:11" x14ac:dyDescent="0.25">
      <c r="A4225" s="5"/>
      <c r="B4225" s="63" t="str">
        <f>IFERROR(TEXT(tbl_Ventes[[#This Row],[Date]],"mm-aaaa"),"")</f>
        <v>01-1900</v>
      </c>
      <c r="D4225" s="10" t="str">
        <f>IFERROR(
   INDEX(tbl_ProduitsRef[Cde_Prdt],MATCH(tbl_Ventes[[#This Row],[Produit]],tbl_ProduitsRef[Produit],0)),
   ""
)</f>
        <v/>
      </c>
      <c r="E4225" s="7">
        <v>0</v>
      </c>
      <c r="F4225" s="7" t="str">
        <f>IFERROR(
   INDEX(tbl_ProduitsRef[Prix Menu],MATCH(tbl_Ventes[[#This Row],[Produit]],tbl_ProduitsRef[Produit],0)),
   ""
)</f>
        <v/>
      </c>
      <c r="G4225" s="7">
        <f>tbl_Ventes[[#This Row],[Qté Vendue]] * IFERROR(_xlfn.XLOOKUP(tbl_Ventes[[#This Row],[Cde_Prdt]], tbl_Produits[Cde_Prdt], tbl_Produits[Prix Menu]), 0)</f>
        <v>0</v>
      </c>
      <c r="H4225" s="7">
        <f>IFERROR(_xlfn.XLOOKUP(tbl_Ventes[[#This Row],[Cde_Prdt]], tbl_Produits[Cde_Prdt], tbl_Produits[Coût Moyen Portion]), 0)</f>
        <v>0</v>
      </c>
      <c r="I4225" s="7">
        <f>tbl_Ventes[[#This Row],[Qté Vendue]] * tbl_Ventes[[#This Row],[CMP_par_portion]]</f>
        <v>0</v>
      </c>
      <c r="J4225" s="7">
        <f>tbl_Ventes[[#This Row],[CA ligne]] - tbl_Ventes[[#This Row],[Coût matière ligne]]</f>
        <v>0</v>
      </c>
      <c r="K4225" s="7" t="str">
        <f>IFERROR(INDEX(tbl_ProduitsRef[Famille], MATCH(tbl_Ventes[[#This Row],[Cde_Prdt]], tbl_Produits[Cde_Prdt], 0)), "")</f>
        <v/>
      </c>
    </row>
    <row r="4226" spans="1:11" x14ac:dyDescent="0.25">
      <c r="A4226" s="5"/>
      <c r="B4226" s="63" t="str">
        <f>IFERROR(TEXT(tbl_Ventes[[#This Row],[Date]],"mm-aaaa"),"")</f>
        <v>01-1900</v>
      </c>
      <c r="D4226" s="10" t="str">
        <f>IFERROR(
   INDEX(tbl_ProduitsRef[Cde_Prdt],MATCH(tbl_Ventes[[#This Row],[Produit]],tbl_ProduitsRef[Produit],0)),
   ""
)</f>
        <v/>
      </c>
      <c r="E4226" s="7">
        <v>0</v>
      </c>
      <c r="F4226" s="7" t="str">
        <f>IFERROR(
   INDEX(tbl_ProduitsRef[Prix Menu],MATCH(tbl_Ventes[[#This Row],[Produit]],tbl_ProduitsRef[Produit],0)),
   ""
)</f>
        <v/>
      </c>
      <c r="G4226" s="7">
        <f>tbl_Ventes[[#This Row],[Qté Vendue]] * IFERROR(_xlfn.XLOOKUP(tbl_Ventes[[#This Row],[Cde_Prdt]], tbl_Produits[Cde_Prdt], tbl_Produits[Prix Menu]), 0)</f>
        <v>0</v>
      </c>
      <c r="H4226" s="7">
        <f>IFERROR(_xlfn.XLOOKUP(tbl_Ventes[[#This Row],[Cde_Prdt]], tbl_Produits[Cde_Prdt], tbl_Produits[Coût Moyen Portion]), 0)</f>
        <v>0</v>
      </c>
      <c r="I4226" s="7">
        <f>tbl_Ventes[[#This Row],[Qté Vendue]] * tbl_Ventes[[#This Row],[CMP_par_portion]]</f>
        <v>0</v>
      </c>
      <c r="J4226" s="7">
        <f>tbl_Ventes[[#This Row],[CA ligne]] - tbl_Ventes[[#This Row],[Coût matière ligne]]</f>
        <v>0</v>
      </c>
      <c r="K4226" s="7" t="str">
        <f>IFERROR(INDEX(tbl_ProduitsRef[Famille], MATCH(tbl_Ventes[[#This Row],[Cde_Prdt]], tbl_Produits[Cde_Prdt], 0)), "")</f>
        <v/>
      </c>
    </row>
    <row r="4227" spans="1:11" x14ac:dyDescent="0.25">
      <c r="A4227" s="5"/>
      <c r="B4227" s="63" t="str">
        <f>IFERROR(TEXT(tbl_Ventes[[#This Row],[Date]],"mm-aaaa"),"")</f>
        <v>01-1900</v>
      </c>
      <c r="D4227" s="10" t="str">
        <f>IFERROR(
   INDEX(tbl_ProduitsRef[Cde_Prdt],MATCH(tbl_Ventes[[#This Row],[Produit]],tbl_ProduitsRef[Produit],0)),
   ""
)</f>
        <v/>
      </c>
      <c r="E4227" s="7">
        <v>0</v>
      </c>
      <c r="F4227" s="7" t="str">
        <f>IFERROR(
   INDEX(tbl_ProduitsRef[Prix Menu],MATCH(tbl_Ventes[[#This Row],[Produit]],tbl_ProduitsRef[Produit],0)),
   ""
)</f>
        <v/>
      </c>
      <c r="G4227" s="7">
        <f>tbl_Ventes[[#This Row],[Qté Vendue]] * IFERROR(_xlfn.XLOOKUP(tbl_Ventes[[#This Row],[Cde_Prdt]], tbl_Produits[Cde_Prdt], tbl_Produits[Prix Menu]), 0)</f>
        <v>0</v>
      </c>
      <c r="H4227" s="7">
        <f>IFERROR(_xlfn.XLOOKUP(tbl_Ventes[[#This Row],[Cde_Prdt]], tbl_Produits[Cde_Prdt], tbl_Produits[Coût Moyen Portion]), 0)</f>
        <v>0</v>
      </c>
      <c r="I4227" s="7">
        <f>tbl_Ventes[[#This Row],[Qté Vendue]] * tbl_Ventes[[#This Row],[CMP_par_portion]]</f>
        <v>0</v>
      </c>
      <c r="J4227" s="7">
        <f>tbl_Ventes[[#This Row],[CA ligne]] - tbl_Ventes[[#This Row],[Coût matière ligne]]</f>
        <v>0</v>
      </c>
      <c r="K4227" s="7" t="str">
        <f>IFERROR(INDEX(tbl_ProduitsRef[Famille], MATCH(tbl_Ventes[[#This Row],[Cde_Prdt]], tbl_Produits[Cde_Prdt], 0)), "")</f>
        <v/>
      </c>
    </row>
    <row r="4228" spans="1:11" x14ac:dyDescent="0.25">
      <c r="A4228" s="5"/>
      <c r="B4228" s="63" t="str">
        <f>IFERROR(TEXT(tbl_Ventes[[#This Row],[Date]],"mm-aaaa"),"")</f>
        <v>01-1900</v>
      </c>
      <c r="D4228" s="10" t="str">
        <f>IFERROR(
   INDEX(tbl_ProduitsRef[Cde_Prdt],MATCH(tbl_Ventes[[#This Row],[Produit]],tbl_ProduitsRef[Produit],0)),
   ""
)</f>
        <v/>
      </c>
      <c r="E4228" s="7">
        <v>0</v>
      </c>
      <c r="F4228" s="7" t="str">
        <f>IFERROR(
   INDEX(tbl_ProduitsRef[Prix Menu],MATCH(tbl_Ventes[[#This Row],[Produit]],tbl_ProduitsRef[Produit],0)),
   ""
)</f>
        <v/>
      </c>
      <c r="G4228" s="7">
        <f>tbl_Ventes[[#This Row],[Qté Vendue]] * IFERROR(_xlfn.XLOOKUP(tbl_Ventes[[#This Row],[Cde_Prdt]], tbl_Produits[Cde_Prdt], tbl_Produits[Prix Menu]), 0)</f>
        <v>0</v>
      </c>
      <c r="H4228" s="7">
        <f>IFERROR(_xlfn.XLOOKUP(tbl_Ventes[[#This Row],[Cde_Prdt]], tbl_Produits[Cde_Prdt], tbl_Produits[Coût Moyen Portion]), 0)</f>
        <v>0</v>
      </c>
      <c r="I4228" s="7">
        <f>tbl_Ventes[[#This Row],[Qté Vendue]] * tbl_Ventes[[#This Row],[CMP_par_portion]]</f>
        <v>0</v>
      </c>
      <c r="J4228" s="7">
        <f>tbl_Ventes[[#This Row],[CA ligne]] - tbl_Ventes[[#This Row],[Coût matière ligne]]</f>
        <v>0</v>
      </c>
      <c r="K4228" s="7" t="str">
        <f>IFERROR(INDEX(tbl_ProduitsRef[Famille], MATCH(tbl_Ventes[[#This Row],[Cde_Prdt]], tbl_Produits[Cde_Prdt], 0)), "")</f>
        <v/>
      </c>
    </row>
    <row r="4229" spans="1:11" x14ac:dyDescent="0.25">
      <c r="A4229" s="5"/>
      <c r="B4229" s="63" t="str">
        <f>IFERROR(TEXT(tbl_Ventes[[#This Row],[Date]],"mm-aaaa"),"")</f>
        <v>01-1900</v>
      </c>
      <c r="D4229" s="10" t="str">
        <f>IFERROR(
   INDEX(tbl_ProduitsRef[Cde_Prdt],MATCH(tbl_Ventes[[#This Row],[Produit]],tbl_ProduitsRef[Produit],0)),
   ""
)</f>
        <v/>
      </c>
      <c r="E4229" s="7">
        <v>0</v>
      </c>
      <c r="F4229" s="7" t="str">
        <f>IFERROR(
   INDEX(tbl_ProduitsRef[Prix Menu],MATCH(tbl_Ventes[[#This Row],[Produit]],tbl_ProduitsRef[Produit],0)),
   ""
)</f>
        <v/>
      </c>
      <c r="G4229" s="7">
        <f>tbl_Ventes[[#This Row],[Qté Vendue]] * IFERROR(_xlfn.XLOOKUP(tbl_Ventes[[#This Row],[Cde_Prdt]], tbl_Produits[Cde_Prdt], tbl_Produits[Prix Menu]), 0)</f>
        <v>0</v>
      </c>
      <c r="H4229" s="7">
        <f>IFERROR(_xlfn.XLOOKUP(tbl_Ventes[[#This Row],[Cde_Prdt]], tbl_Produits[Cde_Prdt], tbl_Produits[Coût Moyen Portion]), 0)</f>
        <v>0</v>
      </c>
      <c r="I4229" s="7">
        <f>tbl_Ventes[[#This Row],[Qté Vendue]] * tbl_Ventes[[#This Row],[CMP_par_portion]]</f>
        <v>0</v>
      </c>
      <c r="J4229" s="7">
        <f>tbl_Ventes[[#This Row],[CA ligne]] - tbl_Ventes[[#This Row],[Coût matière ligne]]</f>
        <v>0</v>
      </c>
      <c r="K4229" s="7" t="str">
        <f>IFERROR(INDEX(tbl_ProduitsRef[Famille], MATCH(tbl_Ventes[[#This Row],[Cde_Prdt]], tbl_Produits[Cde_Prdt], 0)), "")</f>
        <v/>
      </c>
    </row>
    <row r="4230" spans="1:11" x14ac:dyDescent="0.25">
      <c r="A4230" s="5"/>
      <c r="B4230" s="63" t="str">
        <f>IFERROR(TEXT(tbl_Ventes[[#This Row],[Date]],"mm-aaaa"),"")</f>
        <v>01-1900</v>
      </c>
      <c r="D4230" s="10" t="str">
        <f>IFERROR(
   INDEX(tbl_ProduitsRef[Cde_Prdt],MATCH(tbl_Ventes[[#This Row],[Produit]],tbl_ProduitsRef[Produit],0)),
   ""
)</f>
        <v/>
      </c>
      <c r="E4230" s="7">
        <v>0</v>
      </c>
      <c r="F4230" s="7" t="str">
        <f>IFERROR(
   INDEX(tbl_ProduitsRef[Prix Menu],MATCH(tbl_Ventes[[#This Row],[Produit]],tbl_ProduitsRef[Produit],0)),
   ""
)</f>
        <v/>
      </c>
      <c r="G4230" s="7">
        <f>tbl_Ventes[[#This Row],[Qté Vendue]] * IFERROR(_xlfn.XLOOKUP(tbl_Ventes[[#This Row],[Cde_Prdt]], tbl_Produits[Cde_Prdt], tbl_Produits[Prix Menu]), 0)</f>
        <v>0</v>
      </c>
      <c r="H4230" s="7">
        <f>IFERROR(_xlfn.XLOOKUP(tbl_Ventes[[#This Row],[Cde_Prdt]], tbl_Produits[Cde_Prdt], tbl_Produits[Coût Moyen Portion]), 0)</f>
        <v>0</v>
      </c>
      <c r="I4230" s="7">
        <f>tbl_Ventes[[#This Row],[Qté Vendue]] * tbl_Ventes[[#This Row],[CMP_par_portion]]</f>
        <v>0</v>
      </c>
      <c r="J4230" s="7">
        <f>tbl_Ventes[[#This Row],[CA ligne]] - tbl_Ventes[[#This Row],[Coût matière ligne]]</f>
        <v>0</v>
      </c>
      <c r="K4230" s="7" t="str">
        <f>IFERROR(INDEX(tbl_ProduitsRef[Famille], MATCH(tbl_Ventes[[#This Row],[Cde_Prdt]], tbl_Produits[Cde_Prdt], 0)), "")</f>
        <v/>
      </c>
    </row>
    <row r="4231" spans="1:11" x14ac:dyDescent="0.25">
      <c r="A4231" s="5"/>
      <c r="B4231" s="63" t="str">
        <f>IFERROR(TEXT(tbl_Ventes[[#This Row],[Date]],"mm-aaaa"),"")</f>
        <v>01-1900</v>
      </c>
      <c r="D4231" s="10" t="str">
        <f>IFERROR(
   INDEX(tbl_ProduitsRef[Cde_Prdt],MATCH(tbl_Ventes[[#This Row],[Produit]],tbl_ProduitsRef[Produit],0)),
   ""
)</f>
        <v/>
      </c>
      <c r="E4231" s="7">
        <v>0</v>
      </c>
      <c r="F4231" s="7" t="str">
        <f>IFERROR(
   INDEX(tbl_ProduitsRef[Prix Menu],MATCH(tbl_Ventes[[#This Row],[Produit]],tbl_ProduitsRef[Produit],0)),
   ""
)</f>
        <v/>
      </c>
      <c r="G4231" s="7">
        <f>tbl_Ventes[[#This Row],[Qté Vendue]] * IFERROR(_xlfn.XLOOKUP(tbl_Ventes[[#This Row],[Cde_Prdt]], tbl_Produits[Cde_Prdt], tbl_Produits[Prix Menu]), 0)</f>
        <v>0</v>
      </c>
      <c r="H4231" s="7">
        <f>IFERROR(_xlfn.XLOOKUP(tbl_Ventes[[#This Row],[Cde_Prdt]], tbl_Produits[Cde_Prdt], tbl_Produits[Coût Moyen Portion]), 0)</f>
        <v>0</v>
      </c>
      <c r="I4231" s="7">
        <f>tbl_Ventes[[#This Row],[Qté Vendue]] * tbl_Ventes[[#This Row],[CMP_par_portion]]</f>
        <v>0</v>
      </c>
      <c r="J4231" s="7">
        <f>tbl_Ventes[[#This Row],[CA ligne]] - tbl_Ventes[[#This Row],[Coût matière ligne]]</f>
        <v>0</v>
      </c>
      <c r="K4231" s="7" t="str">
        <f>IFERROR(INDEX(tbl_ProduitsRef[Famille], MATCH(tbl_Ventes[[#This Row],[Cde_Prdt]], tbl_Produits[Cde_Prdt], 0)), "")</f>
        <v/>
      </c>
    </row>
    <row r="4232" spans="1:11" x14ac:dyDescent="0.25">
      <c r="A4232" s="5"/>
      <c r="B4232" s="63" t="str">
        <f>IFERROR(TEXT(tbl_Ventes[[#This Row],[Date]],"mm-aaaa"),"")</f>
        <v>01-1900</v>
      </c>
      <c r="D4232" s="10" t="str">
        <f>IFERROR(
   INDEX(tbl_ProduitsRef[Cde_Prdt],MATCH(tbl_Ventes[[#This Row],[Produit]],tbl_ProduitsRef[Produit],0)),
   ""
)</f>
        <v/>
      </c>
      <c r="E4232" s="7">
        <v>0</v>
      </c>
      <c r="F4232" s="7" t="str">
        <f>IFERROR(
   INDEX(tbl_ProduitsRef[Prix Menu],MATCH(tbl_Ventes[[#This Row],[Produit]],tbl_ProduitsRef[Produit],0)),
   ""
)</f>
        <v/>
      </c>
      <c r="G4232" s="7">
        <f>tbl_Ventes[[#This Row],[Qté Vendue]] * IFERROR(_xlfn.XLOOKUP(tbl_Ventes[[#This Row],[Cde_Prdt]], tbl_Produits[Cde_Prdt], tbl_Produits[Prix Menu]), 0)</f>
        <v>0</v>
      </c>
      <c r="H4232" s="7">
        <f>IFERROR(_xlfn.XLOOKUP(tbl_Ventes[[#This Row],[Cde_Prdt]], tbl_Produits[Cde_Prdt], tbl_Produits[Coût Moyen Portion]), 0)</f>
        <v>0</v>
      </c>
      <c r="I4232" s="7">
        <f>tbl_Ventes[[#This Row],[Qté Vendue]] * tbl_Ventes[[#This Row],[CMP_par_portion]]</f>
        <v>0</v>
      </c>
      <c r="J4232" s="7">
        <f>tbl_Ventes[[#This Row],[CA ligne]] - tbl_Ventes[[#This Row],[Coût matière ligne]]</f>
        <v>0</v>
      </c>
      <c r="K4232" s="7" t="str">
        <f>IFERROR(INDEX(tbl_ProduitsRef[Famille], MATCH(tbl_Ventes[[#This Row],[Cde_Prdt]], tbl_Produits[Cde_Prdt], 0)), "")</f>
        <v/>
      </c>
    </row>
    <row r="4233" spans="1:11" x14ac:dyDescent="0.25">
      <c r="A4233" s="5"/>
      <c r="B4233" s="63" t="str">
        <f>IFERROR(TEXT(tbl_Ventes[[#This Row],[Date]],"mm-aaaa"),"")</f>
        <v>01-1900</v>
      </c>
      <c r="D4233" s="10" t="str">
        <f>IFERROR(
   INDEX(tbl_ProduitsRef[Cde_Prdt],MATCH(tbl_Ventes[[#This Row],[Produit]],tbl_ProduitsRef[Produit],0)),
   ""
)</f>
        <v/>
      </c>
      <c r="E4233" s="7">
        <v>0</v>
      </c>
      <c r="F4233" s="7" t="str">
        <f>IFERROR(
   INDEX(tbl_ProduitsRef[Prix Menu],MATCH(tbl_Ventes[[#This Row],[Produit]],tbl_ProduitsRef[Produit],0)),
   ""
)</f>
        <v/>
      </c>
      <c r="G4233" s="7">
        <f>tbl_Ventes[[#This Row],[Qté Vendue]] * IFERROR(_xlfn.XLOOKUP(tbl_Ventes[[#This Row],[Cde_Prdt]], tbl_Produits[Cde_Prdt], tbl_Produits[Prix Menu]), 0)</f>
        <v>0</v>
      </c>
      <c r="H4233" s="7">
        <f>IFERROR(_xlfn.XLOOKUP(tbl_Ventes[[#This Row],[Cde_Prdt]], tbl_Produits[Cde_Prdt], tbl_Produits[Coût Moyen Portion]), 0)</f>
        <v>0</v>
      </c>
      <c r="I4233" s="7">
        <f>tbl_Ventes[[#This Row],[Qté Vendue]] * tbl_Ventes[[#This Row],[CMP_par_portion]]</f>
        <v>0</v>
      </c>
      <c r="J4233" s="7">
        <f>tbl_Ventes[[#This Row],[CA ligne]] - tbl_Ventes[[#This Row],[Coût matière ligne]]</f>
        <v>0</v>
      </c>
      <c r="K4233" s="7" t="str">
        <f>IFERROR(INDEX(tbl_ProduitsRef[Famille], MATCH(tbl_Ventes[[#This Row],[Cde_Prdt]], tbl_Produits[Cde_Prdt], 0)), "")</f>
        <v/>
      </c>
    </row>
    <row r="4234" spans="1:11" x14ac:dyDescent="0.25">
      <c r="A4234" s="5"/>
      <c r="B4234" s="63" t="str">
        <f>IFERROR(TEXT(tbl_Ventes[[#This Row],[Date]],"mm-aaaa"),"")</f>
        <v>01-1900</v>
      </c>
      <c r="D4234" s="10" t="str">
        <f>IFERROR(
   INDEX(tbl_ProduitsRef[Cde_Prdt],MATCH(tbl_Ventes[[#This Row],[Produit]],tbl_ProduitsRef[Produit],0)),
   ""
)</f>
        <v/>
      </c>
      <c r="E4234" s="7">
        <v>0</v>
      </c>
      <c r="F4234" s="7" t="str">
        <f>IFERROR(
   INDEX(tbl_ProduitsRef[Prix Menu],MATCH(tbl_Ventes[[#This Row],[Produit]],tbl_ProduitsRef[Produit],0)),
   ""
)</f>
        <v/>
      </c>
      <c r="G4234" s="7">
        <f>tbl_Ventes[[#This Row],[Qté Vendue]] * IFERROR(_xlfn.XLOOKUP(tbl_Ventes[[#This Row],[Cde_Prdt]], tbl_Produits[Cde_Prdt], tbl_Produits[Prix Menu]), 0)</f>
        <v>0</v>
      </c>
      <c r="H4234" s="7">
        <f>IFERROR(_xlfn.XLOOKUP(tbl_Ventes[[#This Row],[Cde_Prdt]], tbl_Produits[Cde_Prdt], tbl_Produits[Coût Moyen Portion]), 0)</f>
        <v>0</v>
      </c>
      <c r="I4234" s="7">
        <f>tbl_Ventes[[#This Row],[Qté Vendue]] * tbl_Ventes[[#This Row],[CMP_par_portion]]</f>
        <v>0</v>
      </c>
      <c r="J4234" s="7">
        <f>tbl_Ventes[[#This Row],[CA ligne]] - tbl_Ventes[[#This Row],[Coût matière ligne]]</f>
        <v>0</v>
      </c>
      <c r="K4234" s="7" t="str">
        <f>IFERROR(INDEX(tbl_ProduitsRef[Famille], MATCH(tbl_Ventes[[#This Row],[Cde_Prdt]], tbl_Produits[Cde_Prdt], 0)), "")</f>
        <v/>
      </c>
    </row>
    <row r="4235" spans="1:11" x14ac:dyDescent="0.25">
      <c r="A4235" s="5"/>
      <c r="B4235" s="63" t="str">
        <f>IFERROR(TEXT(tbl_Ventes[[#This Row],[Date]],"mm-aaaa"),"")</f>
        <v>01-1900</v>
      </c>
      <c r="D4235" s="10" t="str">
        <f>IFERROR(
   INDEX(tbl_ProduitsRef[Cde_Prdt],MATCH(tbl_Ventes[[#This Row],[Produit]],tbl_ProduitsRef[Produit],0)),
   ""
)</f>
        <v/>
      </c>
      <c r="E4235" s="7">
        <v>0</v>
      </c>
      <c r="F4235" s="7" t="str">
        <f>IFERROR(
   INDEX(tbl_ProduitsRef[Prix Menu],MATCH(tbl_Ventes[[#This Row],[Produit]],tbl_ProduitsRef[Produit],0)),
   ""
)</f>
        <v/>
      </c>
      <c r="G4235" s="7">
        <f>tbl_Ventes[[#This Row],[Qté Vendue]] * IFERROR(_xlfn.XLOOKUP(tbl_Ventes[[#This Row],[Cde_Prdt]], tbl_Produits[Cde_Prdt], tbl_Produits[Prix Menu]), 0)</f>
        <v>0</v>
      </c>
      <c r="H4235" s="7">
        <f>IFERROR(_xlfn.XLOOKUP(tbl_Ventes[[#This Row],[Cde_Prdt]], tbl_Produits[Cde_Prdt], tbl_Produits[Coût Moyen Portion]), 0)</f>
        <v>0</v>
      </c>
      <c r="I4235" s="7">
        <f>tbl_Ventes[[#This Row],[Qté Vendue]] * tbl_Ventes[[#This Row],[CMP_par_portion]]</f>
        <v>0</v>
      </c>
      <c r="J4235" s="7">
        <f>tbl_Ventes[[#This Row],[CA ligne]] - tbl_Ventes[[#This Row],[Coût matière ligne]]</f>
        <v>0</v>
      </c>
      <c r="K4235" s="7" t="str">
        <f>IFERROR(INDEX(tbl_ProduitsRef[Famille], MATCH(tbl_Ventes[[#This Row],[Cde_Prdt]], tbl_Produits[Cde_Prdt], 0)), "")</f>
        <v/>
      </c>
    </row>
    <row r="4236" spans="1:11" x14ac:dyDescent="0.25">
      <c r="A4236" s="5"/>
      <c r="B4236" s="63" t="str">
        <f>IFERROR(TEXT(tbl_Ventes[[#This Row],[Date]],"mm-aaaa"),"")</f>
        <v>01-1900</v>
      </c>
      <c r="D4236" s="10" t="str">
        <f>IFERROR(
   INDEX(tbl_ProduitsRef[Cde_Prdt],MATCH(tbl_Ventes[[#This Row],[Produit]],tbl_ProduitsRef[Produit],0)),
   ""
)</f>
        <v/>
      </c>
      <c r="E4236" s="7">
        <v>0</v>
      </c>
      <c r="F4236" s="7" t="str">
        <f>IFERROR(
   INDEX(tbl_ProduitsRef[Prix Menu],MATCH(tbl_Ventes[[#This Row],[Produit]],tbl_ProduitsRef[Produit],0)),
   ""
)</f>
        <v/>
      </c>
      <c r="G4236" s="7">
        <f>tbl_Ventes[[#This Row],[Qté Vendue]] * IFERROR(_xlfn.XLOOKUP(tbl_Ventes[[#This Row],[Cde_Prdt]], tbl_Produits[Cde_Prdt], tbl_Produits[Prix Menu]), 0)</f>
        <v>0</v>
      </c>
      <c r="H4236" s="7">
        <f>IFERROR(_xlfn.XLOOKUP(tbl_Ventes[[#This Row],[Cde_Prdt]], tbl_Produits[Cde_Prdt], tbl_Produits[Coût Moyen Portion]), 0)</f>
        <v>0</v>
      </c>
      <c r="I4236" s="7">
        <f>tbl_Ventes[[#This Row],[Qté Vendue]] * tbl_Ventes[[#This Row],[CMP_par_portion]]</f>
        <v>0</v>
      </c>
      <c r="J4236" s="7">
        <f>tbl_Ventes[[#This Row],[CA ligne]] - tbl_Ventes[[#This Row],[Coût matière ligne]]</f>
        <v>0</v>
      </c>
      <c r="K4236" s="7" t="str">
        <f>IFERROR(INDEX(tbl_ProduitsRef[Famille], MATCH(tbl_Ventes[[#This Row],[Cde_Prdt]], tbl_Produits[Cde_Prdt], 0)), "")</f>
        <v/>
      </c>
    </row>
    <row r="4237" spans="1:11" x14ac:dyDescent="0.25">
      <c r="A4237" s="5"/>
      <c r="B4237" s="63" t="str">
        <f>IFERROR(TEXT(tbl_Ventes[[#This Row],[Date]],"mm-aaaa"),"")</f>
        <v>01-1900</v>
      </c>
      <c r="D4237" s="10" t="str">
        <f>IFERROR(
   INDEX(tbl_ProduitsRef[Cde_Prdt],MATCH(tbl_Ventes[[#This Row],[Produit]],tbl_ProduitsRef[Produit],0)),
   ""
)</f>
        <v/>
      </c>
      <c r="E4237" s="7">
        <v>0</v>
      </c>
      <c r="F4237" s="7" t="str">
        <f>IFERROR(
   INDEX(tbl_ProduitsRef[Prix Menu],MATCH(tbl_Ventes[[#This Row],[Produit]],tbl_ProduitsRef[Produit],0)),
   ""
)</f>
        <v/>
      </c>
      <c r="G4237" s="7">
        <f>tbl_Ventes[[#This Row],[Qté Vendue]] * IFERROR(_xlfn.XLOOKUP(tbl_Ventes[[#This Row],[Cde_Prdt]], tbl_Produits[Cde_Prdt], tbl_Produits[Prix Menu]), 0)</f>
        <v>0</v>
      </c>
      <c r="H4237" s="7">
        <f>IFERROR(_xlfn.XLOOKUP(tbl_Ventes[[#This Row],[Cde_Prdt]], tbl_Produits[Cde_Prdt], tbl_Produits[Coût Moyen Portion]), 0)</f>
        <v>0</v>
      </c>
      <c r="I4237" s="7">
        <f>tbl_Ventes[[#This Row],[Qté Vendue]] * tbl_Ventes[[#This Row],[CMP_par_portion]]</f>
        <v>0</v>
      </c>
      <c r="J4237" s="7">
        <f>tbl_Ventes[[#This Row],[CA ligne]] - tbl_Ventes[[#This Row],[Coût matière ligne]]</f>
        <v>0</v>
      </c>
      <c r="K4237" s="7" t="str">
        <f>IFERROR(INDEX(tbl_ProduitsRef[Famille], MATCH(tbl_Ventes[[#This Row],[Cde_Prdt]], tbl_Produits[Cde_Prdt], 0)), "")</f>
        <v/>
      </c>
    </row>
    <row r="4238" spans="1:11" x14ac:dyDescent="0.25">
      <c r="A4238" s="5"/>
      <c r="B4238" s="63" t="str">
        <f>IFERROR(TEXT(tbl_Ventes[[#This Row],[Date]],"mm-aaaa"),"")</f>
        <v>01-1900</v>
      </c>
      <c r="D4238" s="10" t="str">
        <f>IFERROR(
   INDEX(tbl_ProduitsRef[Cde_Prdt],MATCH(tbl_Ventes[[#This Row],[Produit]],tbl_ProduitsRef[Produit],0)),
   ""
)</f>
        <v/>
      </c>
      <c r="E4238" s="7">
        <v>0</v>
      </c>
      <c r="F4238" s="7" t="str">
        <f>IFERROR(
   INDEX(tbl_ProduitsRef[Prix Menu],MATCH(tbl_Ventes[[#This Row],[Produit]],tbl_ProduitsRef[Produit],0)),
   ""
)</f>
        <v/>
      </c>
      <c r="G4238" s="7">
        <f>tbl_Ventes[[#This Row],[Qté Vendue]] * IFERROR(_xlfn.XLOOKUP(tbl_Ventes[[#This Row],[Cde_Prdt]], tbl_Produits[Cde_Prdt], tbl_Produits[Prix Menu]), 0)</f>
        <v>0</v>
      </c>
      <c r="H4238" s="7">
        <f>IFERROR(_xlfn.XLOOKUP(tbl_Ventes[[#This Row],[Cde_Prdt]], tbl_Produits[Cde_Prdt], tbl_Produits[Coût Moyen Portion]), 0)</f>
        <v>0</v>
      </c>
      <c r="I4238" s="7">
        <f>tbl_Ventes[[#This Row],[Qté Vendue]] * tbl_Ventes[[#This Row],[CMP_par_portion]]</f>
        <v>0</v>
      </c>
      <c r="J4238" s="7">
        <f>tbl_Ventes[[#This Row],[CA ligne]] - tbl_Ventes[[#This Row],[Coût matière ligne]]</f>
        <v>0</v>
      </c>
      <c r="K4238" s="7" t="str">
        <f>IFERROR(INDEX(tbl_ProduitsRef[Famille], MATCH(tbl_Ventes[[#This Row],[Cde_Prdt]], tbl_Produits[Cde_Prdt], 0)), "")</f>
        <v/>
      </c>
    </row>
    <row r="4239" spans="1:11" x14ac:dyDescent="0.25">
      <c r="A4239" s="5"/>
      <c r="B4239" s="63" t="str">
        <f>IFERROR(TEXT(tbl_Ventes[[#This Row],[Date]],"mm-aaaa"),"")</f>
        <v>01-1900</v>
      </c>
      <c r="D4239" s="10" t="str">
        <f>IFERROR(
   INDEX(tbl_ProduitsRef[Cde_Prdt],MATCH(tbl_Ventes[[#This Row],[Produit]],tbl_ProduitsRef[Produit],0)),
   ""
)</f>
        <v/>
      </c>
      <c r="E4239" s="7">
        <v>0</v>
      </c>
      <c r="F4239" s="7" t="str">
        <f>IFERROR(
   INDEX(tbl_ProduitsRef[Prix Menu],MATCH(tbl_Ventes[[#This Row],[Produit]],tbl_ProduitsRef[Produit],0)),
   ""
)</f>
        <v/>
      </c>
      <c r="G4239" s="7">
        <f>tbl_Ventes[[#This Row],[Qté Vendue]] * IFERROR(_xlfn.XLOOKUP(tbl_Ventes[[#This Row],[Cde_Prdt]], tbl_Produits[Cde_Prdt], tbl_Produits[Prix Menu]), 0)</f>
        <v>0</v>
      </c>
      <c r="H4239" s="7">
        <f>IFERROR(_xlfn.XLOOKUP(tbl_Ventes[[#This Row],[Cde_Prdt]], tbl_Produits[Cde_Prdt], tbl_Produits[Coût Moyen Portion]), 0)</f>
        <v>0</v>
      </c>
      <c r="I4239" s="7">
        <f>tbl_Ventes[[#This Row],[Qté Vendue]] * tbl_Ventes[[#This Row],[CMP_par_portion]]</f>
        <v>0</v>
      </c>
      <c r="J4239" s="7">
        <f>tbl_Ventes[[#This Row],[CA ligne]] - tbl_Ventes[[#This Row],[Coût matière ligne]]</f>
        <v>0</v>
      </c>
      <c r="K4239" s="7" t="str">
        <f>IFERROR(INDEX(tbl_ProduitsRef[Famille], MATCH(tbl_Ventes[[#This Row],[Cde_Prdt]], tbl_Produits[Cde_Prdt], 0)), "")</f>
        <v/>
      </c>
    </row>
    <row r="4240" spans="1:11" x14ac:dyDescent="0.25">
      <c r="A4240" s="5"/>
      <c r="B4240" s="63" t="str">
        <f>IFERROR(TEXT(tbl_Ventes[[#This Row],[Date]],"mm-aaaa"),"")</f>
        <v>01-1900</v>
      </c>
      <c r="D4240" s="10" t="str">
        <f>IFERROR(
   INDEX(tbl_ProduitsRef[Cde_Prdt],MATCH(tbl_Ventes[[#This Row],[Produit]],tbl_ProduitsRef[Produit],0)),
   ""
)</f>
        <v/>
      </c>
      <c r="E4240" s="7">
        <v>0</v>
      </c>
      <c r="F4240" s="7" t="str">
        <f>IFERROR(
   INDEX(tbl_ProduitsRef[Prix Menu],MATCH(tbl_Ventes[[#This Row],[Produit]],tbl_ProduitsRef[Produit],0)),
   ""
)</f>
        <v/>
      </c>
      <c r="G4240" s="7">
        <f>tbl_Ventes[[#This Row],[Qté Vendue]] * IFERROR(_xlfn.XLOOKUP(tbl_Ventes[[#This Row],[Cde_Prdt]], tbl_Produits[Cde_Prdt], tbl_Produits[Prix Menu]), 0)</f>
        <v>0</v>
      </c>
      <c r="H4240" s="7">
        <f>IFERROR(_xlfn.XLOOKUP(tbl_Ventes[[#This Row],[Cde_Prdt]], tbl_Produits[Cde_Prdt], tbl_Produits[Coût Moyen Portion]), 0)</f>
        <v>0</v>
      </c>
      <c r="I4240" s="7">
        <f>tbl_Ventes[[#This Row],[Qté Vendue]] * tbl_Ventes[[#This Row],[CMP_par_portion]]</f>
        <v>0</v>
      </c>
      <c r="J4240" s="7">
        <f>tbl_Ventes[[#This Row],[CA ligne]] - tbl_Ventes[[#This Row],[Coût matière ligne]]</f>
        <v>0</v>
      </c>
      <c r="K4240" s="7" t="str">
        <f>IFERROR(INDEX(tbl_ProduitsRef[Famille], MATCH(tbl_Ventes[[#This Row],[Cde_Prdt]], tbl_Produits[Cde_Prdt], 0)), "")</f>
        <v/>
      </c>
    </row>
    <row r="4241" spans="1:11" x14ac:dyDescent="0.25">
      <c r="A4241" s="5"/>
      <c r="B4241" s="63" t="str">
        <f>IFERROR(TEXT(tbl_Ventes[[#This Row],[Date]],"mm-aaaa"),"")</f>
        <v>01-1900</v>
      </c>
      <c r="D4241" s="10" t="str">
        <f>IFERROR(
   INDEX(tbl_ProduitsRef[Cde_Prdt],MATCH(tbl_Ventes[[#This Row],[Produit]],tbl_ProduitsRef[Produit],0)),
   ""
)</f>
        <v/>
      </c>
      <c r="E4241" s="7">
        <v>0</v>
      </c>
      <c r="F4241" s="7" t="str">
        <f>IFERROR(
   INDEX(tbl_ProduitsRef[Prix Menu],MATCH(tbl_Ventes[[#This Row],[Produit]],tbl_ProduitsRef[Produit],0)),
   ""
)</f>
        <v/>
      </c>
      <c r="G4241" s="7">
        <f>tbl_Ventes[[#This Row],[Qté Vendue]] * IFERROR(_xlfn.XLOOKUP(tbl_Ventes[[#This Row],[Cde_Prdt]], tbl_Produits[Cde_Prdt], tbl_Produits[Prix Menu]), 0)</f>
        <v>0</v>
      </c>
      <c r="H4241" s="7">
        <f>IFERROR(_xlfn.XLOOKUP(tbl_Ventes[[#This Row],[Cde_Prdt]], tbl_Produits[Cde_Prdt], tbl_Produits[Coût Moyen Portion]), 0)</f>
        <v>0</v>
      </c>
      <c r="I4241" s="7">
        <f>tbl_Ventes[[#This Row],[Qté Vendue]] * tbl_Ventes[[#This Row],[CMP_par_portion]]</f>
        <v>0</v>
      </c>
      <c r="J4241" s="7">
        <f>tbl_Ventes[[#This Row],[CA ligne]] - tbl_Ventes[[#This Row],[Coût matière ligne]]</f>
        <v>0</v>
      </c>
      <c r="K4241" s="7" t="str">
        <f>IFERROR(INDEX(tbl_ProduitsRef[Famille], MATCH(tbl_Ventes[[#This Row],[Cde_Prdt]], tbl_Produits[Cde_Prdt], 0)), "")</f>
        <v/>
      </c>
    </row>
    <row r="4242" spans="1:11" x14ac:dyDescent="0.25">
      <c r="A4242" s="5"/>
      <c r="B4242" s="63" t="str">
        <f>IFERROR(TEXT(tbl_Ventes[[#This Row],[Date]],"mm-aaaa"),"")</f>
        <v>01-1900</v>
      </c>
      <c r="D4242" s="10" t="str">
        <f>IFERROR(
   INDEX(tbl_ProduitsRef[Cde_Prdt],MATCH(tbl_Ventes[[#This Row],[Produit]],tbl_ProduitsRef[Produit],0)),
   ""
)</f>
        <v/>
      </c>
      <c r="E4242" s="7">
        <v>0</v>
      </c>
      <c r="F4242" s="7" t="str">
        <f>IFERROR(
   INDEX(tbl_ProduitsRef[Prix Menu],MATCH(tbl_Ventes[[#This Row],[Produit]],tbl_ProduitsRef[Produit],0)),
   ""
)</f>
        <v/>
      </c>
      <c r="G4242" s="7">
        <f>tbl_Ventes[[#This Row],[Qté Vendue]] * IFERROR(_xlfn.XLOOKUP(tbl_Ventes[[#This Row],[Cde_Prdt]], tbl_Produits[Cde_Prdt], tbl_Produits[Prix Menu]), 0)</f>
        <v>0</v>
      </c>
      <c r="H4242" s="7">
        <f>IFERROR(_xlfn.XLOOKUP(tbl_Ventes[[#This Row],[Cde_Prdt]], tbl_Produits[Cde_Prdt], tbl_Produits[Coût Moyen Portion]), 0)</f>
        <v>0</v>
      </c>
      <c r="I4242" s="7">
        <f>tbl_Ventes[[#This Row],[Qté Vendue]] * tbl_Ventes[[#This Row],[CMP_par_portion]]</f>
        <v>0</v>
      </c>
      <c r="J4242" s="7">
        <f>tbl_Ventes[[#This Row],[CA ligne]] - tbl_Ventes[[#This Row],[Coût matière ligne]]</f>
        <v>0</v>
      </c>
      <c r="K4242" s="7" t="str">
        <f>IFERROR(INDEX(tbl_ProduitsRef[Famille], MATCH(tbl_Ventes[[#This Row],[Cde_Prdt]], tbl_Produits[Cde_Prdt], 0)), "")</f>
        <v/>
      </c>
    </row>
    <row r="4243" spans="1:11" x14ac:dyDescent="0.25">
      <c r="A4243" s="5"/>
      <c r="B4243" s="63" t="str">
        <f>IFERROR(TEXT(tbl_Ventes[[#This Row],[Date]],"mm-aaaa"),"")</f>
        <v>01-1900</v>
      </c>
      <c r="D4243" s="10" t="str">
        <f>IFERROR(
   INDEX(tbl_ProduitsRef[Cde_Prdt],MATCH(tbl_Ventes[[#This Row],[Produit]],tbl_ProduitsRef[Produit],0)),
   ""
)</f>
        <v/>
      </c>
      <c r="E4243" s="7">
        <v>0</v>
      </c>
      <c r="F4243" s="7" t="str">
        <f>IFERROR(
   INDEX(tbl_ProduitsRef[Prix Menu],MATCH(tbl_Ventes[[#This Row],[Produit]],tbl_ProduitsRef[Produit],0)),
   ""
)</f>
        <v/>
      </c>
      <c r="G4243" s="7">
        <f>tbl_Ventes[[#This Row],[Qté Vendue]] * IFERROR(_xlfn.XLOOKUP(tbl_Ventes[[#This Row],[Cde_Prdt]], tbl_Produits[Cde_Prdt], tbl_Produits[Prix Menu]), 0)</f>
        <v>0</v>
      </c>
      <c r="H4243" s="7">
        <f>IFERROR(_xlfn.XLOOKUP(tbl_Ventes[[#This Row],[Cde_Prdt]], tbl_Produits[Cde_Prdt], tbl_Produits[Coût Moyen Portion]), 0)</f>
        <v>0</v>
      </c>
      <c r="I4243" s="7">
        <f>tbl_Ventes[[#This Row],[Qté Vendue]] * tbl_Ventes[[#This Row],[CMP_par_portion]]</f>
        <v>0</v>
      </c>
      <c r="J4243" s="7">
        <f>tbl_Ventes[[#This Row],[CA ligne]] - tbl_Ventes[[#This Row],[Coût matière ligne]]</f>
        <v>0</v>
      </c>
      <c r="K4243" s="7" t="str">
        <f>IFERROR(INDEX(tbl_ProduitsRef[Famille], MATCH(tbl_Ventes[[#This Row],[Cde_Prdt]], tbl_Produits[Cde_Prdt], 0)), "")</f>
        <v/>
      </c>
    </row>
    <row r="4244" spans="1:11" x14ac:dyDescent="0.25">
      <c r="A4244" s="5"/>
      <c r="B4244" s="63" t="str">
        <f>IFERROR(TEXT(tbl_Ventes[[#This Row],[Date]],"mm-aaaa"),"")</f>
        <v>01-1900</v>
      </c>
      <c r="D4244" s="10" t="str">
        <f>IFERROR(
   INDEX(tbl_ProduitsRef[Cde_Prdt],MATCH(tbl_Ventes[[#This Row],[Produit]],tbl_ProduitsRef[Produit],0)),
   ""
)</f>
        <v/>
      </c>
      <c r="E4244" s="7">
        <v>0</v>
      </c>
      <c r="F4244" s="7" t="str">
        <f>IFERROR(
   INDEX(tbl_ProduitsRef[Prix Menu],MATCH(tbl_Ventes[[#This Row],[Produit]],tbl_ProduitsRef[Produit],0)),
   ""
)</f>
        <v/>
      </c>
      <c r="G4244" s="7">
        <f>tbl_Ventes[[#This Row],[Qté Vendue]] * IFERROR(_xlfn.XLOOKUP(tbl_Ventes[[#This Row],[Cde_Prdt]], tbl_Produits[Cde_Prdt], tbl_Produits[Prix Menu]), 0)</f>
        <v>0</v>
      </c>
      <c r="H4244" s="7">
        <f>IFERROR(_xlfn.XLOOKUP(tbl_Ventes[[#This Row],[Cde_Prdt]], tbl_Produits[Cde_Prdt], tbl_Produits[Coût Moyen Portion]), 0)</f>
        <v>0</v>
      </c>
      <c r="I4244" s="7">
        <f>tbl_Ventes[[#This Row],[Qté Vendue]] * tbl_Ventes[[#This Row],[CMP_par_portion]]</f>
        <v>0</v>
      </c>
      <c r="J4244" s="7">
        <f>tbl_Ventes[[#This Row],[CA ligne]] - tbl_Ventes[[#This Row],[Coût matière ligne]]</f>
        <v>0</v>
      </c>
      <c r="K4244" s="7" t="str">
        <f>IFERROR(INDEX(tbl_ProduitsRef[Famille], MATCH(tbl_Ventes[[#This Row],[Cde_Prdt]], tbl_Produits[Cde_Prdt], 0)), "")</f>
        <v/>
      </c>
    </row>
    <row r="4245" spans="1:11" x14ac:dyDescent="0.25">
      <c r="A4245" s="5"/>
      <c r="B4245" s="63" t="str">
        <f>IFERROR(TEXT(tbl_Ventes[[#This Row],[Date]],"mm-aaaa"),"")</f>
        <v>01-1900</v>
      </c>
      <c r="D4245" s="10" t="str">
        <f>IFERROR(
   INDEX(tbl_ProduitsRef[Cde_Prdt],MATCH(tbl_Ventes[[#This Row],[Produit]],tbl_ProduitsRef[Produit],0)),
   ""
)</f>
        <v/>
      </c>
      <c r="E4245" s="7">
        <v>0</v>
      </c>
      <c r="F4245" s="7" t="str">
        <f>IFERROR(
   INDEX(tbl_ProduitsRef[Prix Menu],MATCH(tbl_Ventes[[#This Row],[Produit]],tbl_ProduitsRef[Produit],0)),
   ""
)</f>
        <v/>
      </c>
      <c r="G4245" s="7">
        <f>tbl_Ventes[[#This Row],[Qté Vendue]] * IFERROR(_xlfn.XLOOKUP(tbl_Ventes[[#This Row],[Cde_Prdt]], tbl_Produits[Cde_Prdt], tbl_Produits[Prix Menu]), 0)</f>
        <v>0</v>
      </c>
      <c r="H4245" s="7">
        <f>IFERROR(_xlfn.XLOOKUP(tbl_Ventes[[#This Row],[Cde_Prdt]], tbl_Produits[Cde_Prdt], tbl_Produits[Coût Moyen Portion]), 0)</f>
        <v>0</v>
      </c>
      <c r="I4245" s="7">
        <f>tbl_Ventes[[#This Row],[Qté Vendue]] * tbl_Ventes[[#This Row],[CMP_par_portion]]</f>
        <v>0</v>
      </c>
      <c r="J4245" s="7">
        <f>tbl_Ventes[[#This Row],[CA ligne]] - tbl_Ventes[[#This Row],[Coût matière ligne]]</f>
        <v>0</v>
      </c>
      <c r="K4245" s="7" t="str">
        <f>IFERROR(INDEX(tbl_ProduitsRef[Famille], MATCH(tbl_Ventes[[#This Row],[Cde_Prdt]], tbl_Produits[Cde_Prdt], 0)), "")</f>
        <v/>
      </c>
    </row>
    <row r="4246" spans="1:11" x14ac:dyDescent="0.25">
      <c r="A4246" s="5"/>
      <c r="B4246" s="63" t="str">
        <f>IFERROR(TEXT(tbl_Ventes[[#This Row],[Date]],"mm-aaaa"),"")</f>
        <v>01-1900</v>
      </c>
      <c r="D4246" s="10" t="str">
        <f>IFERROR(
   INDEX(tbl_ProduitsRef[Cde_Prdt],MATCH(tbl_Ventes[[#This Row],[Produit]],tbl_ProduitsRef[Produit],0)),
   ""
)</f>
        <v/>
      </c>
      <c r="E4246" s="7">
        <v>0</v>
      </c>
      <c r="F4246" s="7" t="str">
        <f>IFERROR(
   INDEX(tbl_ProduitsRef[Prix Menu],MATCH(tbl_Ventes[[#This Row],[Produit]],tbl_ProduitsRef[Produit],0)),
   ""
)</f>
        <v/>
      </c>
      <c r="G4246" s="7">
        <f>tbl_Ventes[[#This Row],[Qté Vendue]] * IFERROR(_xlfn.XLOOKUP(tbl_Ventes[[#This Row],[Cde_Prdt]], tbl_Produits[Cde_Prdt], tbl_Produits[Prix Menu]), 0)</f>
        <v>0</v>
      </c>
      <c r="H4246" s="7">
        <f>IFERROR(_xlfn.XLOOKUP(tbl_Ventes[[#This Row],[Cde_Prdt]], tbl_Produits[Cde_Prdt], tbl_Produits[Coût Moyen Portion]), 0)</f>
        <v>0</v>
      </c>
      <c r="I4246" s="7">
        <f>tbl_Ventes[[#This Row],[Qté Vendue]] * tbl_Ventes[[#This Row],[CMP_par_portion]]</f>
        <v>0</v>
      </c>
      <c r="J4246" s="7">
        <f>tbl_Ventes[[#This Row],[CA ligne]] - tbl_Ventes[[#This Row],[Coût matière ligne]]</f>
        <v>0</v>
      </c>
      <c r="K4246" s="7" t="str">
        <f>IFERROR(INDEX(tbl_ProduitsRef[Famille], MATCH(tbl_Ventes[[#This Row],[Cde_Prdt]], tbl_Produits[Cde_Prdt], 0)), "")</f>
        <v/>
      </c>
    </row>
    <row r="4247" spans="1:11" x14ac:dyDescent="0.25">
      <c r="A4247" s="5"/>
      <c r="B4247" s="63" t="str">
        <f>IFERROR(TEXT(tbl_Ventes[[#This Row],[Date]],"mm-aaaa"),"")</f>
        <v>01-1900</v>
      </c>
      <c r="D4247" s="10" t="str">
        <f>IFERROR(
   INDEX(tbl_ProduitsRef[Cde_Prdt],MATCH(tbl_Ventes[[#This Row],[Produit]],tbl_ProduitsRef[Produit],0)),
   ""
)</f>
        <v/>
      </c>
      <c r="E4247" s="7">
        <v>0</v>
      </c>
      <c r="F4247" s="7" t="str">
        <f>IFERROR(
   INDEX(tbl_ProduitsRef[Prix Menu],MATCH(tbl_Ventes[[#This Row],[Produit]],tbl_ProduitsRef[Produit],0)),
   ""
)</f>
        <v/>
      </c>
      <c r="G4247" s="7">
        <f>tbl_Ventes[[#This Row],[Qté Vendue]] * IFERROR(_xlfn.XLOOKUP(tbl_Ventes[[#This Row],[Cde_Prdt]], tbl_Produits[Cde_Prdt], tbl_Produits[Prix Menu]), 0)</f>
        <v>0</v>
      </c>
      <c r="H4247" s="7">
        <f>IFERROR(_xlfn.XLOOKUP(tbl_Ventes[[#This Row],[Cde_Prdt]], tbl_Produits[Cde_Prdt], tbl_Produits[Coût Moyen Portion]), 0)</f>
        <v>0</v>
      </c>
      <c r="I4247" s="7">
        <f>tbl_Ventes[[#This Row],[Qté Vendue]] * tbl_Ventes[[#This Row],[CMP_par_portion]]</f>
        <v>0</v>
      </c>
      <c r="J4247" s="7">
        <f>tbl_Ventes[[#This Row],[CA ligne]] - tbl_Ventes[[#This Row],[Coût matière ligne]]</f>
        <v>0</v>
      </c>
      <c r="K4247" s="7" t="str">
        <f>IFERROR(INDEX(tbl_ProduitsRef[Famille], MATCH(tbl_Ventes[[#This Row],[Cde_Prdt]], tbl_Produits[Cde_Prdt], 0)), "")</f>
        <v/>
      </c>
    </row>
    <row r="4248" spans="1:11" x14ac:dyDescent="0.25">
      <c r="A4248" s="5"/>
      <c r="B4248" s="63" t="str">
        <f>IFERROR(TEXT(tbl_Ventes[[#This Row],[Date]],"mm-aaaa"),"")</f>
        <v>01-1900</v>
      </c>
      <c r="D4248" s="10" t="str">
        <f>IFERROR(
   INDEX(tbl_ProduitsRef[Cde_Prdt],MATCH(tbl_Ventes[[#This Row],[Produit]],tbl_ProduitsRef[Produit],0)),
   ""
)</f>
        <v/>
      </c>
      <c r="E4248" s="7">
        <v>0</v>
      </c>
      <c r="F4248" s="7" t="str">
        <f>IFERROR(
   INDEX(tbl_ProduitsRef[Prix Menu],MATCH(tbl_Ventes[[#This Row],[Produit]],tbl_ProduitsRef[Produit],0)),
   ""
)</f>
        <v/>
      </c>
      <c r="G4248" s="7">
        <f>tbl_Ventes[[#This Row],[Qté Vendue]] * IFERROR(_xlfn.XLOOKUP(tbl_Ventes[[#This Row],[Cde_Prdt]], tbl_Produits[Cde_Prdt], tbl_Produits[Prix Menu]), 0)</f>
        <v>0</v>
      </c>
      <c r="H4248" s="7">
        <f>IFERROR(_xlfn.XLOOKUP(tbl_Ventes[[#This Row],[Cde_Prdt]], tbl_Produits[Cde_Prdt], tbl_Produits[Coût Moyen Portion]), 0)</f>
        <v>0</v>
      </c>
      <c r="I4248" s="7">
        <f>tbl_Ventes[[#This Row],[Qté Vendue]] * tbl_Ventes[[#This Row],[CMP_par_portion]]</f>
        <v>0</v>
      </c>
      <c r="J4248" s="7">
        <f>tbl_Ventes[[#This Row],[CA ligne]] - tbl_Ventes[[#This Row],[Coût matière ligne]]</f>
        <v>0</v>
      </c>
      <c r="K4248" s="7" t="str">
        <f>IFERROR(INDEX(tbl_ProduitsRef[Famille], MATCH(tbl_Ventes[[#This Row],[Cde_Prdt]], tbl_Produits[Cde_Prdt], 0)), "")</f>
        <v/>
      </c>
    </row>
    <row r="4249" spans="1:11" x14ac:dyDescent="0.25">
      <c r="A4249" s="5"/>
      <c r="B4249" s="63" t="str">
        <f>IFERROR(TEXT(tbl_Ventes[[#This Row],[Date]],"mm-aaaa"),"")</f>
        <v>01-1900</v>
      </c>
      <c r="D4249" s="10" t="str">
        <f>IFERROR(
   INDEX(tbl_ProduitsRef[Cde_Prdt],MATCH(tbl_Ventes[[#This Row],[Produit]],tbl_ProduitsRef[Produit],0)),
   ""
)</f>
        <v/>
      </c>
      <c r="E4249" s="7">
        <v>0</v>
      </c>
      <c r="F4249" s="7" t="str">
        <f>IFERROR(
   INDEX(tbl_ProduitsRef[Prix Menu],MATCH(tbl_Ventes[[#This Row],[Produit]],tbl_ProduitsRef[Produit],0)),
   ""
)</f>
        <v/>
      </c>
      <c r="G4249" s="7">
        <f>tbl_Ventes[[#This Row],[Qté Vendue]] * IFERROR(_xlfn.XLOOKUP(tbl_Ventes[[#This Row],[Cde_Prdt]], tbl_Produits[Cde_Prdt], tbl_Produits[Prix Menu]), 0)</f>
        <v>0</v>
      </c>
      <c r="H4249" s="7">
        <f>IFERROR(_xlfn.XLOOKUP(tbl_Ventes[[#This Row],[Cde_Prdt]], tbl_Produits[Cde_Prdt], tbl_Produits[Coût Moyen Portion]), 0)</f>
        <v>0</v>
      </c>
      <c r="I4249" s="7">
        <f>tbl_Ventes[[#This Row],[Qté Vendue]] * tbl_Ventes[[#This Row],[CMP_par_portion]]</f>
        <v>0</v>
      </c>
      <c r="J4249" s="7">
        <f>tbl_Ventes[[#This Row],[CA ligne]] - tbl_Ventes[[#This Row],[Coût matière ligne]]</f>
        <v>0</v>
      </c>
      <c r="K4249" s="7" t="str">
        <f>IFERROR(INDEX(tbl_ProduitsRef[Famille], MATCH(tbl_Ventes[[#This Row],[Cde_Prdt]], tbl_Produits[Cde_Prdt], 0)), "")</f>
        <v/>
      </c>
    </row>
    <row r="4250" spans="1:11" x14ac:dyDescent="0.25">
      <c r="A4250" s="5"/>
      <c r="B4250" s="63" t="str">
        <f>IFERROR(TEXT(tbl_Ventes[[#This Row],[Date]],"mm-aaaa"),"")</f>
        <v>01-1900</v>
      </c>
      <c r="D4250" s="10" t="str">
        <f>IFERROR(
   INDEX(tbl_ProduitsRef[Cde_Prdt],MATCH(tbl_Ventes[[#This Row],[Produit]],tbl_ProduitsRef[Produit],0)),
   ""
)</f>
        <v/>
      </c>
      <c r="E4250" s="7">
        <v>0</v>
      </c>
      <c r="F4250" s="7" t="str">
        <f>IFERROR(
   INDEX(tbl_ProduitsRef[Prix Menu],MATCH(tbl_Ventes[[#This Row],[Produit]],tbl_ProduitsRef[Produit],0)),
   ""
)</f>
        <v/>
      </c>
      <c r="G4250" s="7">
        <f>tbl_Ventes[[#This Row],[Qté Vendue]] * IFERROR(_xlfn.XLOOKUP(tbl_Ventes[[#This Row],[Cde_Prdt]], tbl_Produits[Cde_Prdt], tbl_Produits[Prix Menu]), 0)</f>
        <v>0</v>
      </c>
      <c r="H4250" s="7">
        <f>IFERROR(_xlfn.XLOOKUP(tbl_Ventes[[#This Row],[Cde_Prdt]], tbl_Produits[Cde_Prdt], tbl_Produits[Coût Moyen Portion]), 0)</f>
        <v>0</v>
      </c>
      <c r="I4250" s="7">
        <f>tbl_Ventes[[#This Row],[Qté Vendue]] * tbl_Ventes[[#This Row],[CMP_par_portion]]</f>
        <v>0</v>
      </c>
      <c r="J4250" s="7">
        <f>tbl_Ventes[[#This Row],[CA ligne]] - tbl_Ventes[[#This Row],[Coût matière ligne]]</f>
        <v>0</v>
      </c>
      <c r="K4250" s="7" t="str">
        <f>IFERROR(INDEX(tbl_ProduitsRef[Famille], MATCH(tbl_Ventes[[#This Row],[Cde_Prdt]], tbl_Produits[Cde_Prdt], 0)), "")</f>
        <v/>
      </c>
    </row>
    <row r="4251" spans="1:11" x14ac:dyDescent="0.25">
      <c r="A4251" s="5"/>
      <c r="B4251" s="63" t="str">
        <f>IFERROR(TEXT(tbl_Ventes[[#This Row],[Date]],"mm-aaaa"),"")</f>
        <v>01-1900</v>
      </c>
      <c r="D4251" s="10" t="str">
        <f>IFERROR(
   INDEX(tbl_ProduitsRef[Cde_Prdt],MATCH(tbl_Ventes[[#This Row],[Produit]],tbl_ProduitsRef[Produit],0)),
   ""
)</f>
        <v/>
      </c>
      <c r="E4251" s="7">
        <v>0</v>
      </c>
      <c r="F4251" s="7" t="str">
        <f>IFERROR(
   INDEX(tbl_ProduitsRef[Prix Menu],MATCH(tbl_Ventes[[#This Row],[Produit]],tbl_ProduitsRef[Produit],0)),
   ""
)</f>
        <v/>
      </c>
      <c r="G4251" s="7">
        <f>tbl_Ventes[[#This Row],[Qté Vendue]] * IFERROR(_xlfn.XLOOKUP(tbl_Ventes[[#This Row],[Cde_Prdt]], tbl_Produits[Cde_Prdt], tbl_Produits[Prix Menu]), 0)</f>
        <v>0</v>
      </c>
      <c r="H4251" s="7">
        <f>IFERROR(_xlfn.XLOOKUP(tbl_Ventes[[#This Row],[Cde_Prdt]], tbl_Produits[Cde_Prdt], tbl_Produits[Coût Moyen Portion]), 0)</f>
        <v>0</v>
      </c>
      <c r="I4251" s="7">
        <f>tbl_Ventes[[#This Row],[Qté Vendue]] * tbl_Ventes[[#This Row],[CMP_par_portion]]</f>
        <v>0</v>
      </c>
      <c r="J4251" s="7">
        <f>tbl_Ventes[[#This Row],[CA ligne]] - tbl_Ventes[[#This Row],[Coût matière ligne]]</f>
        <v>0</v>
      </c>
      <c r="K4251" s="7" t="str">
        <f>IFERROR(INDEX(tbl_ProduitsRef[Famille], MATCH(tbl_Ventes[[#This Row],[Cde_Prdt]], tbl_Produits[Cde_Prdt], 0)), "")</f>
        <v/>
      </c>
    </row>
    <row r="4252" spans="1:11" x14ac:dyDescent="0.25">
      <c r="A4252" s="5"/>
      <c r="B4252" s="63" t="str">
        <f>IFERROR(TEXT(tbl_Ventes[[#This Row],[Date]],"mm-aaaa"),"")</f>
        <v>01-1900</v>
      </c>
      <c r="D4252" s="10" t="str">
        <f>IFERROR(
   INDEX(tbl_ProduitsRef[Cde_Prdt],MATCH(tbl_Ventes[[#This Row],[Produit]],tbl_ProduitsRef[Produit],0)),
   ""
)</f>
        <v/>
      </c>
      <c r="E4252" s="7">
        <v>0</v>
      </c>
      <c r="F4252" s="7" t="str">
        <f>IFERROR(
   INDEX(tbl_ProduitsRef[Prix Menu],MATCH(tbl_Ventes[[#This Row],[Produit]],tbl_ProduitsRef[Produit],0)),
   ""
)</f>
        <v/>
      </c>
      <c r="G4252" s="7">
        <f>tbl_Ventes[[#This Row],[Qté Vendue]] * IFERROR(_xlfn.XLOOKUP(tbl_Ventes[[#This Row],[Cde_Prdt]], tbl_Produits[Cde_Prdt], tbl_Produits[Prix Menu]), 0)</f>
        <v>0</v>
      </c>
      <c r="H4252" s="7">
        <f>IFERROR(_xlfn.XLOOKUP(tbl_Ventes[[#This Row],[Cde_Prdt]], tbl_Produits[Cde_Prdt], tbl_Produits[Coût Moyen Portion]), 0)</f>
        <v>0</v>
      </c>
      <c r="I4252" s="7">
        <f>tbl_Ventes[[#This Row],[Qté Vendue]] * tbl_Ventes[[#This Row],[CMP_par_portion]]</f>
        <v>0</v>
      </c>
      <c r="J4252" s="7">
        <f>tbl_Ventes[[#This Row],[CA ligne]] - tbl_Ventes[[#This Row],[Coût matière ligne]]</f>
        <v>0</v>
      </c>
      <c r="K4252" s="7" t="str">
        <f>IFERROR(INDEX(tbl_ProduitsRef[Famille], MATCH(tbl_Ventes[[#This Row],[Cde_Prdt]], tbl_Produits[Cde_Prdt], 0)), "")</f>
        <v/>
      </c>
    </row>
    <row r="4253" spans="1:11" x14ac:dyDescent="0.25">
      <c r="A4253" s="5"/>
      <c r="B4253" s="63" t="str">
        <f>IFERROR(TEXT(tbl_Ventes[[#This Row],[Date]],"mm-aaaa"),"")</f>
        <v>01-1900</v>
      </c>
      <c r="D4253" s="10" t="str">
        <f>IFERROR(
   INDEX(tbl_ProduitsRef[Cde_Prdt],MATCH(tbl_Ventes[[#This Row],[Produit]],tbl_ProduitsRef[Produit],0)),
   ""
)</f>
        <v/>
      </c>
      <c r="E4253" s="7">
        <v>0</v>
      </c>
      <c r="F4253" s="7" t="str">
        <f>IFERROR(
   INDEX(tbl_ProduitsRef[Prix Menu],MATCH(tbl_Ventes[[#This Row],[Produit]],tbl_ProduitsRef[Produit],0)),
   ""
)</f>
        <v/>
      </c>
      <c r="G4253" s="7">
        <f>tbl_Ventes[[#This Row],[Qté Vendue]] * IFERROR(_xlfn.XLOOKUP(tbl_Ventes[[#This Row],[Cde_Prdt]], tbl_Produits[Cde_Prdt], tbl_Produits[Prix Menu]), 0)</f>
        <v>0</v>
      </c>
      <c r="H4253" s="7">
        <f>IFERROR(_xlfn.XLOOKUP(tbl_Ventes[[#This Row],[Cde_Prdt]], tbl_Produits[Cde_Prdt], tbl_Produits[Coût Moyen Portion]), 0)</f>
        <v>0</v>
      </c>
      <c r="I4253" s="7">
        <f>tbl_Ventes[[#This Row],[Qté Vendue]] * tbl_Ventes[[#This Row],[CMP_par_portion]]</f>
        <v>0</v>
      </c>
      <c r="J4253" s="7">
        <f>tbl_Ventes[[#This Row],[CA ligne]] - tbl_Ventes[[#This Row],[Coût matière ligne]]</f>
        <v>0</v>
      </c>
      <c r="K4253" s="7" t="str">
        <f>IFERROR(INDEX(tbl_ProduitsRef[Famille], MATCH(tbl_Ventes[[#This Row],[Cde_Prdt]], tbl_Produits[Cde_Prdt], 0)), "")</f>
        <v/>
      </c>
    </row>
    <row r="4254" spans="1:11" x14ac:dyDescent="0.25">
      <c r="A4254" s="5"/>
      <c r="B4254" s="63" t="str">
        <f>IFERROR(TEXT(tbl_Ventes[[#This Row],[Date]],"mm-aaaa"),"")</f>
        <v>01-1900</v>
      </c>
      <c r="D4254" s="10" t="str">
        <f>IFERROR(
   INDEX(tbl_ProduitsRef[Cde_Prdt],MATCH(tbl_Ventes[[#This Row],[Produit]],tbl_ProduitsRef[Produit],0)),
   ""
)</f>
        <v/>
      </c>
      <c r="E4254" s="7">
        <v>0</v>
      </c>
      <c r="F4254" s="7" t="str">
        <f>IFERROR(
   INDEX(tbl_ProduitsRef[Prix Menu],MATCH(tbl_Ventes[[#This Row],[Produit]],tbl_ProduitsRef[Produit],0)),
   ""
)</f>
        <v/>
      </c>
      <c r="G4254" s="7">
        <f>tbl_Ventes[[#This Row],[Qté Vendue]] * IFERROR(_xlfn.XLOOKUP(tbl_Ventes[[#This Row],[Cde_Prdt]], tbl_Produits[Cde_Prdt], tbl_Produits[Prix Menu]), 0)</f>
        <v>0</v>
      </c>
      <c r="H4254" s="7">
        <f>IFERROR(_xlfn.XLOOKUP(tbl_Ventes[[#This Row],[Cde_Prdt]], tbl_Produits[Cde_Prdt], tbl_Produits[Coût Moyen Portion]), 0)</f>
        <v>0</v>
      </c>
      <c r="I4254" s="7">
        <f>tbl_Ventes[[#This Row],[Qté Vendue]] * tbl_Ventes[[#This Row],[CMP_par_portion]]</f>
        <v>0</v>
      </c>
      <c r="J4254" s="7">
        <f>tbl_Ventes[[#This Row],[CA ligne]] - tbl_Ventes[[#This Row],[Coût matière ligne]]</f>
        <v>0</v>
      </c>
      <c r="K4254" s="7" t="str">
        <f>IFERROR(INDEX(tbl_ProduitsRef[Famille], MATCH(tbl_Ventes[[#This Row],[Cde_Prdt]], tbl_Produits[Cde_Prdt], 0)), "")</f>
        <v/>
      </c>
    </row>
    <row r="4255" spans="1:11" x14ac:dyDescent="0.25">
      <c r="A4255" s="5"/>
      <c r="B4255" s="63" t="str">
        <f>IFERROR(TEXT(tbl_Ventes[[#This Row],[Date]],"mm-aaaa"),"")</f>
        <v>01-1900</v>
      </c>
      <c r="D4255" s="10" t="str">
        <f>IFERROR(
   INDEX(tbl_ProduitsRef[Cde_Prdt],MATCH(tbl_Ventes[[#This Row],[Produit]],tbl_ProduitsRef[Produit],0)),
   ""
)</f>
        <v/>
      </c>
      <c r="E4255" s="7">
        <v>0</v>
      </c>
      <c r="F4255" s="7" t="str">
        <f>IFERROR(
   INDEX(tbl_ProduitsRef[Prix Menu],MATCH(tbl_Ventes[[#This Row],[Produit]],tbl_ProduitsRef[Produit],0)),
   ""
)</f>
        <v/>
      </c>
      <c r="G4255" s="7">
        <f>tbl_Ventes[[#This Row],[Qté Vendue]] * IFERROR(_xlfn.XLOOKUP(tbl_Ventes[[#This Row],[Cde_Prdt]], tbl_Produits[Cde_Prdt], tbl_Produits[Prix Menu]), 0)</f>
        <v>0</v>
      </c>
      <c r="H4255" s="7">
        <f>IFERROR(_xlfn.XLOOKUP(tbl_Ventes[[#This Row],[Cde_Prdt]], tbl_Produits[Cde_Prdt], tbl_Produits[Coût Moyen Portion]), 0)</f>
        <v>0</v>
      </c>
      <c r="I4255" s="7">
        <f>tbl_Ventes[[#This Row],[Qté Vendue]] * tbl_Ventes[[#This Row],[CMP_par_portion]]</f>
        <v>0</v>
      </c>
      <c r="J4255" s="7">
        <f>tbl_Ventes[[#This Row],[CA ligne]] - tbl_Ventes[[#This Row],[Coût matière ligne]]</f>
        <v>0</v>
      </c>
      <c r="K4255" s="7" t="str">
        <f>IFERROR(INDEX(tbl_ProduitsRef[Famille], MATCH(tbl_Ventes[[#This Row],[Cde_Prdt]], tbl_Produits[Cde_Prdt], 0)), "")</f>
        <v/>
      </c>
    </row>
    <row r="4256" spans="1:11" x14ac:dyDescent="0.25">
      <c r="A4256" s="5"/>
      <c r="B4256" s="63" t="str">
        <f>IFERROR(TEXT(tbl_Ventes[[#This Row],[Date]],"mm-aaaa"),"")</f>
        <v>01-1900</v>
      </c>
      <c r="D4256" s="10" t="str">
        <f>IFERROR(
   INDEX(tbl_ProduitsRef[Cde_Prdt],MATCH(tbl_Ventes[[#This Row],[Produit]],tbl_ProduitsRef[Produit],0)),
   ""
)</f>
        <v/>
      </c>
      <c r="E4256" s="7">
        <v>0</v>
      </c>
      <c r="F4256" s="7" t="str">
        <f>IFERROR(
   INDEX(tbl_ProduitsRef[Prix Menu],MATCH(tbl_Ventes[[#This Row],[Produit]],tbl_ProduitsRef[Produit],0)),
   ""
)</f>
        <v/>
      </c>
      <c r="G4256" s="7">
        <f>tbl_Ventes[[#This Row],[Qté Vendue]] * IFERROR(_xlfn.XLOOKUP(tbl_Ventes[[#This Row],[Cde_Prdt]], tbl_Produits[Cde_Prdt], tbl_Produits[Prix Menu]), 0)</f>
        <v>0</v>
      </c>
      <c r="H4256" s="7">
        <f>IFERROR(_xlfn.XLOOKUP(tbl_Ventes[[#This Row],[Cde_Prdt]], tbl_Produits[Cde_Prdt], tbl_Produits[Coût Moyen Portion]), 0)</f>
        <v>0</v>
      </c>
      <c r="I4256" s="7">
        <f>tbl_Ventes[[#This Row],[Qté Vendue]] * tbl_Ventes[[#This Row],[CMP_par_portion]]</f>
        <v>0</v>
      </c>
      <c r="J4256" s="7">
        <f>tbl_Ventes[[#This Row],[CA ligne]] - tbl_Ventes[[#This Row],[Coût matière ligne]]</f>
        <v>0</v>
      </c>
      <c r="K4256" s="7" t="str">
        <f>IFERROR(INDEX(tbl_ProduitsRef[Famille], MATCH(tbl_Ventes[[#This Row],[Cde_Prdt]], tbl_Produits[Cde_Prdt], 0)), "")</f>
        <v/>
      </c>
    </row>
    <row r="4257" spans="1:11" x14ac:dyDescent="0.25">
      <c r="A4257" s="5"/>
      <c r="B4257" s="63" t="str">
        <f>IFERROR(TEXT(tbl_Ventes[[#This Row],[Date]],"mm-aaaa"),"")</f>
        <v>01-1900</v>
      </c>
      <c r="D4257" s="10" t="str">
        <f>IFERROR(
   INDEX(tbl_ProduitsRef[Cde_Prdt],MATCH(tbl_Ventes[[#This Row],[Produit]],tbl_ProduitsRef[Produit],0)),
   ""
)</f>
        <v/>
      </c>
      <c r="E4257" s="7">
        <v>0</v>
      </c>
      <c r="F4257" s="7" t="str">
        <f>IFERROR(
   INDEX(tbl_ProduitsRef[Prix Menu],MATCH(tbl_Ventes[[#This Row],[Produit]],tbl_ProduitsRef[Produit],0)),
   ""
)</f>
        <v/>
      </c>
      <c r="G4257" s="7">
        <f>tbl_Ventes[[#This Row],[Qté Vendue]] * IFERROR(_xlfn.XLOOKUP(tbl_Ventes[[#This Row],[Cde_Prdt]], tbl_Produits[Cde_Prdt], tbl_Produits[Prix Menu]), 0)</f>
        <v>0</v>
      </c>
      <c r="H4257" s="7">
        <f>IFERROR(_xlfn.XLOOKUP(tbl_Ventes[[#This Row],[Cde_Prdt]], tbl_Produits[Cde_Prdt], tbl_Produits[Coût Moyen Portion]), 0)</f>
        <v>0</v>
      </c>
      <c r="I4257" s="7">
        <f>tbl_Ventes[[#This Row],[Qté Vendue]] * tbl_Ventes[[#This Row],[CMP_par_portion]]</f>
        <v>0</v>
      </c>
      <c r="J4257" s="7">
        <f>tbl_Ventes[[#This Row],[CA ligne]] - tbl_Ventes[[#This Row],[Coût matière ligne]]</f>
        <v>0</v>
      </c>
      <c r="K4257" s="7" t="str">
        <f>IFERROR(INDEX(tbl_ProduitsRef[Famille], MATCH(tbl_Ventes[[#This Row],[Cde_Prdt]], tbl_Produits[Cde_Prdt], 0)), "")</f>
        <v/>
      </c>
    </row>
    <row r="4258" spans="1:11" x14ac:dyDescent="0.25">
      <c r="A4258" s="5"/>
      <c r="B4258" s="63" t="str">
        <f>IFERROR(TEXT(tbl_Ventes[[#This Row],[Date]],"mm-aaaa"),"")</f>
        <v>01-1900</v>
      </c>
      <c r="D4258" s="10" t="str">
        <f>IFERROR(
   INDEX(tbl_ProduitsRef[Cde_Prdt],MATCH(tbl_Ventes[[#This Row],[Produit]],tbl_ProduitsRef[Produit],0)),
   ""
)</f>
        <v/>
      </c>
      <c r="E4258" s="7">
        <v>0</v>
      </c>
      <c r="F4258" s="7" t="str">
        <f>IFERROR(
   INDEX(tbl_ProduitsRef[Prix Menu],MATCH(tbl_Ventes[[#This Row],[Produit]],tbl_ProduitsRef[Produit],0)),
   ""
)</f>
        <v/>
      </c>
      <c r="G4258" s="7">
        <f>tbl_Ventes[[#This Row],[Qté Vendue]] * IFERROR(_xlfn.XLOOKUP(tbl_Ventes[[#This Row],[Cde_Prdt]], tbl_Produits[Cde_Prdt], tbl_Produits[Prix Menu]), 0)</f>
        <v>0</v>
      </c>
      <c r="H4258" s="7">
        <f>IFERROR(_xlfn.XLOOKUP(tbl_Ventes[[#This Row],[Cde_Prdt]], tbl_Produits[Cde_Prdt], tbl_Produits[Coût Moyen Portion]), 0)</f>
        <v>0</v>
      </c>
      <c r="I4258" s="7">
        <f>tbl_Ventes[[#This Row],[Qté Vendue]] * tbl_Ventes[[#This Row],[CMP_par_portion]]</f>
        <v>0</v>
      </c>
      <c r="J4258" s="7">
        <f>tbl_Ventes[[#This Row],[CA ligne]] - tbl_Ventes[[#This Row],[Coût matière ligne]]</f>
        <v>0</v>
      </c>
      <c r="K4258" s="7" t="str">
        <f>IFERROR(INDEX(tbl_ProduitsRef[Famille], MATCH(tbl_Ventes[[#This Row],[Cde_Prdt]], tbl_Produits[Cde_Prdt], 0)), "")</f>
        <v/>
      </c>
    </row>
    <row r="4259" spans="1:11" x14ac:dyDescent="0.25">
      <c r="A4259" s="5"/>
      <c r="B4259" s="63" t="str">
        <f>IFERROR(TEXT(tbl_Ventes[[#This Row],[Date]],"mm-aaaa"),"")</f>
        <v>01-1900</v>
      </c>
      <c r="D4259" s="10" t="str">
        <f>IFERROR(
   INDEX(tbl_ProduitsRef[Cde_Prdt],MATCH(tbl_Ventes[[#This Row],[Produit]],tbl_ProduitsRef[Produit],0)),
   ""
)</f>
        <v/>
      </c>
      <c r="E4259" s="7">
        <v>0</v>
      </c>
      <c r="F4259" s="7" t="str">
        <f>IFERROR(
   INDEX(tbl_ProduitsRef[Prix Menu],MATCH(tbl_Ventes[[#This Row],[Produit]],tbl_ProduitsRef[Produit],0)),
   ""
)</f>
        <v/>
      </c>
      <c r="G4259" s="7">
        <f>tbl_Ventes[[#This Row],[Qté Vendue]] * IFERROR(_xlfn.XLOOKUP(tbl_Ventes[[#This Row],[Cde_Prdt]], tbl_Produits[Cde_Prdt], tbl_Produits[Prix Menu]), 0)</f>
        <v>0</v>
      </c>
      <c r="H4259" s="7">
        <f>IFERROR(_xlfn.XLOOKUP(tbl_Ventes[[#This Row],[Cde_Prdt]], tbl_Produits[Cde_Prdt], tbl_Produits[Coût Moyen Portion]), 0)</f>
        <v>0</v>
      </c>
      <c r="I4259" s="7">
        <f>tbl_Ventes[[#This Row],[Qté Vendue]] * tbl_Ventes[[#This Row],[CMP_par_portion]]</f>
        <v>0</v>
      </c>
      <c r="J4259" s="7">
        <f>tbl_Ventes[[#This Row],[CA ligne]] - tbl_Ventes[[#This Row],[Coût matière ligne]]</f>
        <v>0</v>
      </c>
      <c r="K4259" s="7" t="str">
        <f>IFERROR(INDEX(tbl_ProduitsRef[Famille], MATCH(tbl_Ventes[[#This Row],[Cde_Prdt]], tbl_Produits[Cde_Prdt], 0)), "")</f>
        <v/>
      </c>
    </row>
    <row r="4260" spans="1:11" x14ac:dyDescent="0.25">
      <c r="A4260" s="5"/>
      <c r="B4260" s="63" t="str">
        <f>IFERROR(TEXT(tbl_Ventes[[#This Row],[Date]],"mm-aaaa"),"")</f>
        <v>01-1900</v>
      </c>
      <c r="D4260" s="10" t="str">
        <f>IFERROR(
   INDEX(tbl_ProduitsRef[Cde_Prdt],MATCH(tbl_Ventes[[#This Row],[Produit]],tbl_ProduitsRef[Produit],0)),
   ""
)</f>
        <v/>
      </c>
      <c r="E4260" s="7">
        <v>0</v>
      </c>
      <c r="F4260" s="7" t="str">
        <f>IFERROR(
   INDEX(tbl_ProduitsRef[Prix Menu],MATCH(tbl_Ventes[[#This Row],[Produit]],tbl_ProduitsRef[Produit],0)),
   ""
)</f>
        <v/>
      </c>
      <c r="G4260" s="7">
        <f>tbl_Ventes[[#This Row],[Qté Vendue]] * IFERROR(_xlfn.XLOOKUP(tbl_Ventes[[#This Row],[Cde_Prdt]], tbl_Produits[Cde_Prdt], tbl_Produits[Prix Menu]), 0)</f>
        <v>0</v>
      </c>
      <c r="H4260" s="7">
        <f>IFERROR(_xlfn.XLOOKUP(tbl_Ventes[[#This Row],[Cde_Prdt]], tbl_Produits[Cde_Prdt], tbl_Produits[Coût Moyen Portion]), 0)</f>
        <v>0</v>
      </c>
      <c r="I4260" s="7">
        <f>tbl_Ventes[[#This Row],[Qté Vendue]] * tbl_Ventes[[#This Row],[CMP_par_portion]]</f>
        <v>0</v>
      </c>
      <c r="J4260" s="7">
        <f>tbl_Ventes[[#This Row],[CA ligne]] - tbl_Ventes[[#This Row],[Coût matière ligne]]</f>
        <v>0</v>
      </c>
      <c r="K4260" s="7" t="str">
        <f>IFERROR(INDEX(tbl_ProduitsRef[Famille], MATCH(tbl_Ventes[[#This Row],[Cde_Prdt]], tbl_Produits[Cde_Prdt], 0)), "")</f>
        <v/>
      </c>
    </row>
    <row r="4261" spans="1:11" x14ac:dyDescent="0.25">
      <c r="A4261" s="5"/>
      <c r="B4261" s="63" t="str">
        <f>IFERROR(TEXT(tbl_Ventes[[#This Row],[Date]],"mm-aaaa"),"")</f>
        <v>01-1900</v>
      </c>
      <c r="D4261" s="10" t="str">
        <f>IFERROR(
   INDEX(tbl_ProduitsRef[Cde_Prdt],MATCH(tbl_Ventes[[#This Row],[Produit]],tbl_ProduitsRef[Produit],0)),
   ""
)</f>
        <v/>
      </c>
      <c r="E4261" s="7">
        <v>0</v>
      </c>
      <c r="F4261" s="7" t="str">
        <f>IFERROR(
   INDEX(tbl_ProduitsRef[Prix Menu],MATCH(tbl_Ventes[[#This Row],[Produit]],tbl_ProduitsRef[Produit],0)),
   ""
)</f>
        <v/>
      </c>
      <c r="G4261" s="7">
        <f>tbl_Ventes[[#This Row],[Qté Vendue]] * IFERROR(_xlfn.XLOOKUP(tbl_Ventes[[#This Row],[Cde_Prdt]], tbl_Produits[Cde_Prdt], tbl_Produits[Prix Menu]), 0)</f>
        <v>0</v>
      </c>
      <c r="H4261" s="7">
        <f>IFERROR(_xlfn.XLOOKUP(tbl_Ventes[[#This Row],[Cde_Prdt]], tbl_Produits[Cde_Prdt], tbl_Produits[Coût Moyen Portion]), 0)</f>
        <v>0</v>
      </c>
      <c r="I4261" s="7">
        <f>tbl_Ventes[[#This Row],[Qté Vendue]] * tbl_Ventes[[#This Row],[CMP_par_portion]]</f>
        <v>0</v>
      </c>
      <c r="J4261" s="7">
        <f>tbl_Ventes[[#This Row],[CA ligne]] - tbl_Ventes[[#This Row],[Coût matière ligne]]</f>
        <v>0</v>
      </c>
      <c r="K4261" s="7" t="str">
        <f>IFERROR(INDEX(tbl_ProduitsRef[Famille], MATCH(tbl_Ventes[[#This Row],[Cde_Prdt]], tbl_Produits[Cde_Prdt], 0)), "")</f>
        <v/>
      </c>
    </row>
    <row r="4262" spans="1:11" x14ac:dyDescent="0.25">
      <c r="A4262" s="5"/>
      <c r="B4262" s="63" t="str">
        <f>IFERROR(TEXT(tbl_Ventes[[#This Row],[Date]],"mm-aaaa"),"")</f>
        <v>01-1900</v>
      </c>
      <c r="D4262" s="10" t="str">
        <f>IFERROR(
   INDEX(tbl_ProduitsRef[Cde_Prdt],MATCH(tbl_Ventes[[#This Row],[Produit]],tbl_ProduitsRef[Produit],0)),
   ""
)</f>
        <v/>
      </c>
      <c r="E4262" s="7">
        <v>0</v>
      </c>
      <c r="F4262" s="7" t="str">
        <f>IFERROR(
   INDEX(tbl_ProduitsRef[Prix Menu],MATCH(tbl_Ventes[[#This Row],[Produit]],tbl_ProduitsRef[Produit],0)),
   ""
)</f>
        <v/>
      </c>
      <c r="G4262" s="7">
        <f>tbl_Ventes[[#This Row],[Qté Vendue]] * IFERROR(_xlfn.XLOOKUP(tbl_Ventes[[#This Row],[Cde_Prdt]], tbl_Produits[Cde_Prdt], tbl_Produits[Prix Menu]), 0)</f>
        <v>0</v>
      </c>
      <c r="H4262" s="7">
        <f>IFERROR(_xlfn.XLOOKUP(tbl_Ventes[[#This Row],[Cde_Prdt]], tbl_Produits[Cde_Prdt], tbl_Produits[Coût Moyen Portion]), 0)</f>
        <v>0</v>
      </c>
      <c r="I4262" s="7">
        <f>tbl_Ventes[[#This Row],[Qté Vendue]] * tbl_Ventes[[#This Row],[CMP_par_portion]]</f>
        <v>0</v>
      </c>
      <c r="J4262" s="7">
        <f>tbl_Ventes[[#This Row],[CA ligne]] - tbl_Ventes[[#This Row],[Coût matière ligne]]</f>
        <v>0</v>
      </c>
      <c r="K4262" s="7" t="str">
        <f>IFERROR(INDEX(tbl_ProduitsRef[Famille], MATCH(tbl_Ventes[[#This Row],[Cde_Prdt]], tbl_Produits[Cde_Prdt], 0)), "")</f>
        <v/>
      </c>
    </row>
    <row r="4263" spans="1:11" x14ac:dyDescent="0.25">
      <c r="A4263" s="5"/>
      <c r="B4263" s="63" t="str">
        <f>IFERROR(TEXT(tbl_Ventes[[#This Row],[Date]],"mm-aaaa"),"")</f>
        <v>01-1900</v>
      </c>
      <c r="D4263" s="10" t="str">
        <f>IFERROR(
   INDEX(tbl_ProduitsRef[Cde_Prdt],MATCH(tbl_Ventes[[#This Row],[Produit]],tbl_ProduitsRef[Produit],0)),
   ""
)</f>
        <v/>
      </c>
      <c r="E4263" s="7">
        <v>0</v>
      </c>
      <c r="F4263" s="7" t="str">
        <f>IFERROR(
   INDEX(tbl_ProduitsRef[Prix Menu],MATCH(tbl_Ventes[[#This Row],[Produit]],tbl_ProduitsRef[Produit],0)),
   ""
)</f>
        <v/>
      </c>
      <c r="G4263" s="7">
        <f>tbl_Ventes[[#This Row],[Qté Vendue]] * IFERROR(_xlfn.XLOOKUP(tbl_Ventes[[#This Row],[Cde_Prdt]], tbl_Produits[Cde_Prdt], tbl_Produits[Prix Menu]), 0)</f>
        <v>0</v>
      </c>
      <c r="H4263" s="7">
        <f>IFERROR(_xlfn.XLOOKUP(tbl_Ventes[[#This Row],[Cde_Prdt]], tbl_Produits[Cde_Prdt], tbl_Produits[Coût Moyen Portion]), 0)</f>
        <v>0</v>
      </c>
      <c r="I4263" s="7">
        <f>tbl_Ventes[[#This Row],[Qté Vendue]] * tbl_Ventes[[#This Row],[CMP_par_portion]]</f>
        <v>0</v>
      </c>
      <c r="J4263" s="7">
        <f>tbl_Ventes[[#This Row],[CA ligne]] - tbl_Ventes[[#This Row],[Coût matière ligne]]</f>
        <v>0</v>
      </c>
      <c r="K4263" s="7" t="str">
        <f>IFERROR(INDEX(tbl_ProduitsRef[Famille], MATCH(tbl_Ventes[[#This Row],[Cde_Prdt]], tbl_Produits[Cde_Prdt], 0)), "")</f>
        <v/>
      </c>
    </row>
    <row r="4264" spans="1:11" x14ac:dyDescent="0.25">
      <c r="A4264" s="5"/>
      <c r="B4264" s="63" t="str">
        <f>IFERROR(TEXT(tbl_Ventes[[#This Row],[Date]],"mm-aaaa"),"")</f>
        <v>01-1900</v>
      </c>
      <c r="D4264" s="10" t="str">
        <f>IFERROR(
   INDEX(tbl_ProduitsRef[Cde_Prdt],MATCH(tbl_Ventes[[#This Row],[Produit]],tbl_ProduitsRef[Produit],0)),
   ""
)</f>
        <v/>
      </c>
      <c r="E4264" s="7">
        <v>0</v>
      </c>
      <c r="F4264" s="7" t="str">
        <f>IFERROR(
   INDEX(tbl_ProduitsRef[Prix Menu],MATCH(tbl_Ventes[[#This Row],[Produit]],tbl_ProduitsRef[Produit],0)),
   ""
)</f>
        <v/>
      </c>
      <c r="G4264" s="7">
        <f>tbl_Ventes[[#This Row],[Qté Vendue]] * IFERROR(_xlfn.XLOOKUP(tbl_Ventes[[#This Row],[Cde_Prdt]], tbl_Produits[Cde_Prdt], tbl_Produits[Prix Menu]), 0)</f>
        <v>0</v>
      </c>
      <c r="H4264" s="7">
        <f>IFERROR(_xlfn.XLOOKUP(tbl_Ventes[[#This Row],[Cde_Prdt]], tbl_Produits[Cde_Prdt], tbl_Produits[Coût Moyen Portion]), 0)</f>
        <v>0</v>
      </c>
      <c r="I4264" s="7">
        <f>tbl_Ventes[[#This Row],[Qté Vendue]] * tbl_Ventes[[#This Row],[CMP_par_portion]]</f>
        <v>0</v>
      </c>
      <c r="J4264" s="7">
        <f>tbl_Ventes[[#This Row],[CA ligne]] - tbl_Ventes[[#This Row],[Coût matière ligne]]</f>
        <v>0</v>
      </c>
      <c r="K4264" s="7" t="str">
        <f>IFERROR(INDEX(tbl_ProduitsRef[Famille], MATCH(tbl_Ventes[[#This Row],[Cde_Prdt]], tbl_Produits[Cde_Prdt], 0)), "")</f>
        <v/>
      </c>
    </row>
    <row r="4265" spans="1:11" x14ac:dyDescent="0.25">
      <c r="A4265" s="5"/>
      <c r="B4265" s="63" t="str">
        <f>IFERROR(TEXT(tbl_Ventes[[#This Row],[Date]],"mm-aaaa"),"")</f>
        <v>01-1900</v>
      </c>
      <c r="D4265" s="10" t="str">
        <f>IFERROR(
   INDEX(tbl_ProduitsRef[Cde_Prdt],MATCH(tbl_Ventes[[#This Row],[Produit]],tbl_ProduitsRef[Produit],0)),
   ""
)</f>
        <v/>
      </c>
      <c r="E4265" s="7">
        <v>0</v>
      </c>
      <c r="F4265" s="7" t="str">
        <f>IFERROR(
   INDEX(tbl_ProduitsRef[Prix Menu],MATCH(tbl_Ventes[[#This Row],[Produit]],tbl_ProduitsRef[Produit],0)),
   ""
)</f>
        <v/>
      </c>
      <c r="G4265" s="7">
        <f>tbl_Ventes[[#This Row],[Qté Vendue]] * IFERROR(_xlfn.XLOOKUP(tbl_Ventes[[#This Row],[Cde_Prdt]], tbl_Produits[Cde_Prdt], tbl_Produits[Prix Menu]), 0)</f>
        <v>0</v>
      </c>
      <c r="H4265" s="7">
        <f>IFERROR(_xlfn.XLOOKUP(tbl_Ventes[[#This Row],[Cde_Prdt]], tbl_Produits[Cde_Prdt], tbl_Produits[Coût Moyen Portion]), 0)</f>
        <v>0</v>
      </c>
      <c r="I4265" s="7">
        <f>tbl_Ventes[[#This Row],[Qté Vendue]] * tbl_Ventes[[#This Row],[CMP_par_portion]]</f>
        <v>0</v>
      </c>
      <c r="J4265" s="7">
        <f>tbl_Ventes[[#This Row],[CA ligne]] - tbl_Ventes[[#This Row],[Coût matière ligne]]</f>
        <v>0</v>
      </c>
      <c r="K4265" s="7" t="str">
        <f>IFERROR(INDEX(tbl_ProduitsRef[Famille], MATCH(tbl_Ventes[[#This Row],[Cde_Prdt]], tbl_Produits[Cde_Prdt], 0)), "")</f>
        <v/>
      </c>
    </row>
    <row r="4266" spans="1:11" x14ac:dyDescent="0.25">
      <c r="A4266" s="5"/>
      <c r="B4266" s="63" t="str">
        <f>IFERROR(TEXT(tbl_Ventes[[#This Row],[Date]],"mm-aaaa"),"")</f>
        <v>01-1900</v>
      </c>
      <c r="D4266" s="10" t="str">
        <f>IFERROR(
   INDEX(tbl_ProduitsRef[Cde_Prdt],MATCH(tbl_Ventes[[#This Row],[Produit]],tbl_ProduitsRef[Produit],0)),
   ""
)</f>
        <v/>
      </c>
      <c r="E4266" s="7">
        <v>0</v>
      </c>
      <c r="F4266" s="7" t="str">
        <f>IFERROR(
   INDEX(tbl_ProduitsRef[Prix Menu],MATCH(tbl_Ventes[[#This Row],[Produit]],tbl_ProduitsRef[Produit],0)),
   ""
)</f>
        <v/>
      </c>
      <c r="G4266" s="7">
        <f>tbl_Ventes[[#This Row],[Qté Vendue]] * IFERROR(_xlfn.XLOOKUP(tbl_Ventes[[#This Row],[Cde_Prdt]], tbl_Produits[Cde_Prdt], tbl_Produits[Prix Menu]), 0)</f>
        <v>0</v>
      </c>
      <c r="H4266" s="7">
        <f>IFERROR(_xlfn.XLOOKUP(tbl_Ventes[[#This Row],[Cde_Prdt]], tbl_Produits[Cde_Prdt], tbl_Produits[Coût Moyen Portion]), 0)</f>
        <v>0</v>
      </c>
      <c r="I4266" s="7">
        <f>tbl_Ventes[[#This Row],[Qté Vendue]] * tbl_Ventes[[#This Row],[CMP_par_portion]]</f>
        <v>0</v>
      </c>
      <c r="J4266" s="7">
        <f>tbl_Ventes[[#This Row],[CA ligne]] - tbl_Ventes[[#This Row],[Coût matière ligne]]</f>
        <v>0</v>
      </c>
      <c r="K4266" s="7" t="str">
        <f>IFERROR(INDEX(tbl_ProduitsRef[Famille], MATCH(tbl_Ventes[[#This Row],[Cde_Prdt]], tbl_Produits[Cde_Prdt], 0)), "")</f>
        <v/>
      </c>
    </row>
    <row r="4267" spans="1:11" x14ac:dyDescent="0.25">
      <c r="A4267" s="5"/>
      <c r="B4267" s="63" t="str">
        <f>IFERROR(TEXT(tbl_Ventes[[#This Row],[Date]],"mm-aaaa"),"")</f>
        <v>01-1900</v>
      </c>
      <c r="D4267" s="10" t="str">
        <f>IFERROR(
   INDEX(tbl_ProduitsRef[Cde_Prdt],MATCH(tbl_Ventes[[#This Row],[Produit]],tbl_ProduitsRef[Produit],0)),
   ""
)</f>
        <v/>
      </c>
      <c r="E4267" s="7">
        <v>0</v>
      </c>
      <c r="F4267" s="7" t="str">
        <f>IFERROR(
   INDEX(tbl_ProduitsRef[Prix Menu],MATCH(tbl_Ventes[[#This Row],[Produit]],tbl_ProduitsRef[Produit],0)),
   ""
)</f>
        <v/>
      </c>
      <c r="G4267" s="7">
        <f>tbl_Ventes[[#This Row],[Qté Vendue]] * IFERROR(_xlfn.XLOOKUP(tbl_Ventes[[#This Row],[Cde_Prdt]], tbl_Produits[Cde_Prdt], tbl_Produits[Prix Menu]), 0)</f>
        <v>0</v>
      </c>
      <c r="H4267" s="7">
        <f>IFERROR(_xlfn.XLOOKUP(tbl_Ventes[[#This Row],[Cde_Prdt]], tbl_Produits[Cde_Prdt], tbl_Produits[Coût Moyen Portion]), 0)</f>
        <v>0</v>
      </c>
      <c r="I4267" s="7">
        <f>tbl_Ventes[[#This Row],[Qté Vendue]] * tbl_Ventes[[#This Row],[CMP_par_portion]]</f>
        <v>0</v>
      </c>
      <c r="J4267" s="7">
        <f>tbl_Ventes[[#This Row],[CA ligne]] - tbl_Ventes[[#This Row],[Coût matière ligne]]</f>
        <v>0</v>
      </c>
      <c r="K4267" s="7" t="str">
        <f>IFERROR(INDEX(tbl_ProduitsRef[Famille], MATCH(tbl_Ventes[[#This Row],[Cde_Prdt]], tbl_Produits[Cde_Prdt], 0)), "")</f>
        <v/>
      </c>
    </row>
    <row r="4268" spans="1:11" x14ac:dyDescent="0.25">
      <c r="A4268" s="5"/>
      <c r="B4268" s="63" t="str">
        <f>IFERROR(TEXT(tbl_Ventes[[#This Row],[Date]],"mm-aaaa"),"")</f>
        <v>01-1900</v>
      </c>
      <c r="D4268" s="10" t="str">
        <f>IFERROR(
   INDEX(tbl_ProduitsRef[Cde_Prdt],MATCH(tbl_Ventes[[#This Row],[Produit]],tbl_ProduitsRef[Produit],0)),
   ""
)</f>
        <v/>
      </c>
      <c r="E4268" s="7">
        <v>0</v>
      </c>
      <c r="F4268" s="7" t="str">
        <f>IFERROR(
   INDEX(tbl_ProduitsRef[Prix Menu],MATCH(tbl_Ventes[[#This Row],[Produit]],tbl_ProduitsRef[Produit],0)),
   ""
)</f>
        <v/>
      </c>
      <c r="G4268" s="7">
        <f>tbl_Ventes[[#This Row],[Qté Vendue]] * IFERROR(_xlfn.XLOOKUP(tbl_Ventes[[#This Row],[Cde_Prdt]], tbl_Produits[Cde_Prdt], tbl_Produits[Prix Menu]), 0)</f>
        <v>0</v>
      </c>
      <c r="H4268" s="7">
        <f>IFERROR(_xlfn.XLOOKUP(tbl_Ventes[[#This Row],[Cde_Prdt]], tbl_Produits[Cde_Prdt], tbl_Produits[Coût Moyen Portion]), 0)</f>
        <v>0</v>
      </c>
      <c r="I4268" s="7">
        <f>tbl_Ventes[[#This Row],[Qté Vendue]] * tbl_Ventes[[#This Row],[CMP_par_portion]]</f>
        <v>0</v>
      </c>
      <c r="J4268" s="7">
        <f>tbl_Ventes[[#This Row],[CA ligne]] - tbl_Ventes[[#This Row],[Coût matière ligne]]</f>
        <v>0</v>
      </c>
      <c r="K4268" s="7" t="str">
        <f>IFERROR(INDEX(tbl_ProduitsRef[Famille], MATCH(tbl_Ventes[[#This Row],[Cde_Prdt]], tbl_Produits[Cde_Prdt], 0)), "")</f>
        <v/>
      </c>
    </row>
    <row r="4269" spans="1:11" x14ac:dyDescent="0.25">
      <c r="A4269" s="5"/>
      <c r="B4269" s="63" t="str">
        <f>IFERROR(TEXT(tbl_Ventes[[#This Row],[Date]],"mm-aaaa"),"")</f>
        <v>01-1900</v>
      </c>
      <c r="D4269" s="10" t="str">
        <f>IFERROR(
   INDEX(tbl_ProduitsRef[Cde_Prdt],MATCH(tbl_Ventes[[#This Row],[Produit]],tbl_ProduitsRef[Produit],0)),
   ""
)</f>
        <v/>
      </c>
      <c r="E4269" s="7">
        <v>0</v>
      </c>
      <c r="F4269" s="7" t="str">
        <f>IFERROR(
   INDEX(tbl_ProduitsRef[Prix Menu],MATCH(tbl_Ventes[[#This Row],[Produit]],tbl_ProduitsRef[Produit],0)),
   ""
)</f>
        <v/>
      </c>
      <c r="G4269" s="7">
        <f>tbl_Ventes[[#This Row],[Qté Vendue]] * IFERROR(_xlfn.XLOOKUP(tbl_Ventes[[#This Row],[Cde_Prdt]], tbl_Produits[Cde_Prdt], tbl_Produits[Prix Menu]), 0)</f>
        <v>0</v>
      </c>
      <c r="H4269" s="7">
        <f>IFERROR(_xlfn.XLOOKUP(tbl_Ventes[[#This Row],[Cde_Prdt]], tbl_Produits[Cde_Prdt], tbl_Produits[Coût Moyen Portion]), 0)</f>
        <v>0</v>
      </c>
      <c r="I4269" s="7">
        <f>tbl_Ventes[[#This Row],[Qté Vendue]] * tbl_Ventes[[#This Row],[CMP_par_portion]]</f>
        <v>0</v>
      </c>
      <c r="J4269" s="7">
        <f>tbl_Ventes[[#This Row],[CA ligne]] - tbl_Ventes[[#This Row],[Coût matière ligne]]</f>
        <v>0</v>
      </c>
      <c r="K4269" s="7" t="str">
        <f>IFERROR(INDEX(tbl_ProduitsRef[Famille], MATCH(tbl_Ventes[[#This Row],[Cde_Prdt]], tbl_Produits[Cde_Prdt], 0)), "")</f>
        <v/>
      </c>
    </row>
    <row r="4270" spans="1:11" x14ac:dyDescent="0.25">
      <c r="A4270" s="5"/>
      <c r="B4270" s="63" t="str">
        <f>IFERROR(TEXT(tbl_Ventes[[#This Row],[Date]],"mm-aaaa"),"")</f>
        <v>01-1900</v>
      </c>
      <c r="D4270" s="10" t="str">
        <f>IFERROR(
   INDEX(tbl_ProduitsRef[Cde_Prdt],MATCH(tbl_Ventes[[#This Row],[Produit]],tbl_ProduitsRef[Produit],0)),
   ""
)</f>
        <v/>
      </c>
      <c r="E4270" s="7">
        <v>0</v>
      </c>
      <c r="F4270" s="7" t="str">
        <f>IFERROR(
   INDEX(tbl_ProduitsRef[Prix Menu],MATCH(tbl_Ventes[[#This Row],[Produit]],tbl_ProduitsRef[Produit],0)),
   ""
)</f>
        <v/>
      </c>
      <c r="G4270" s="7">
        <f>tbl_Ventes[[#This Row],[Qté Vendue]] * IFERROR(_xlfn.XLOOKUP(tbl_Ventes[[#This Row],[Cde_Prdt]], tbl_Produits[Cde_Prdt], tbl_Produits[Prix Menu]), 0)</f>
        <v>0</v>
      </c>
      <c r="H4270" s="7">
        <f>IFERROR(_xlfn.XLOOKUP(tbl_Ventes[[#This Row],[Cde_Prdt]], tbl_Produits[Cde_Prdt], tbl_Produits[Coût Moyen Portion]), 0)</f>
        <v>0</v>
      </c>
      <c r="I4270" s="7">
        <f>tbl_Ventes[[#This Row],[Qté Vendue]] * tbl_Ventes[[#This Row],[CMP_par_portion]]</f>
        <v>0</v>
      </c>
      <c r="J4270" s="7">
        <f>tbl_Ventes[[#This Row],[CA ligne]] - tbl_Ventes[[#This Row],[Coût matière ligne]]</f>
        <v>0</v>
      </c>
      <c r="K4270" s="7" t="str">
        <f>IFERROR(INDEX(tbl_ProduitsRef[Famille], MATCH(tbl_Ventes[[#This Row],[Cde_Prdt]], tbl_Produits[Cde_Prdt], 0)), "")</f>
        <v/>
      </c>
    </row>
    <row r="4271" spans="1:11" x14ac:dyDescent="0.25">
      <c r="A4271" s="5"/>
      <c r="B4271" s="63" t="str">
        <f>IFERROR(TEXT(tbl_Ventes[[#This Row],[Date]],"mm-aaaa"),"")</f>
        <v>01-1900</v>
      </c>
      <c r="D4271" s="10" t="str">
        <f>IFERROR(
   INDEX(tbl_ProduitsRef[Cde_Prdt],MATCH(tbl_Ventes[[#This Row],[Produit]],tbl_ProduitsRef[Produit],0)),
   ""
)</f>
        <v/>
      </c>
      <c r="E4271" s="7">
        <v>0</v>
      </c>
      <c r="F4271" s="7" t="str">
        <f>IFERROR(
   INDEX(tbl_ProduitsRef[Prix Menu],MATCH(tbl_Ventes[[#This Row],[Produit]],tbl_ProduitsRef[Produit],0)),
   ""
)</f>
        <v/>
      </c>
      <c r="G4271" s="7">
        <f>tbl_Ventes[[#This Row],[Qté Vendue]] * IFERROR(_xlfn.XLOOKUP(tbl_Ventes[[#This Row],[Cde_Prdt]], tbl_Produits[Cde_Prdt], tbl_Produits[Prix Menu]), 0)</f>
        <v>0</v>
      </c>
      <c r="H4271" s="7">
        <f>IFERROR(_xlfn.XLOOKUP(tbl_Ventes[[#This Row],[Cde_Prdt]], tbl_Produits[Cde_Prdt], tbl_Produits[Coût Moyen Portion]), 0)</f>
        <v>0</v>
      </c>
      <c r="I4271" s="7">
        <f>tbl_Ventes[[#This Row],[Qté Vendue]] * tbl_Ventes[[#This Row],[CMP_par_portion]]</f>
        <v>0</v>
      </c>
      <c r="J4271" s="7">
        <f>tbl_Ventes[[#This Row],[CA ligne]] - tbl_Ventes[[#This Row],[Coût matière ligne]]</f>
        <v>0</v>
      </c>
      <c r="K4271" s="7" t="str">
        <f>IFERROR(INDEX(tbl_ProduitsRef[Famille], MATCH(tbl_Ventes[[#This Row],[Cde_Prdt]], tbl_Produits[Cde_Prdt], 0)), "")</f>
        <v/>
      </c>
    </row>
    <row r="4272" spans="1:11" x14ac:dyDescent="0.25">
      <c r="A4272" s="5"/>
      <c r="B4272" s="63" t="str">
        <f>IFERROR(TEXT(tbl_Ventes[[#This Row],[Date]],"mm-aaaa"),"")</f>
        <v>01-1900</v>
      </c>
      <c r="D4272" s="10" t="str">
        <f>IFERROR(
   INDEX(tbl_ProduitsRef[Cde_Prdt],MATCH(tbl_Ventes[[#This Row],[Produit]],tbl_ProduitsRef[Produit],0)),
   ""
)</f>
        <v/>
      </c>
      <c r="E4272" s="7">
        <v>0</v>
      </c>
      <c r="F4272" s="7" t="str">
        <f>IFERROR(
   INDEX(tbl_ProduitsRef[Prix Menu],MATCH(tbl_Ventes[[#This Row],[Produit]],tbl_ProduitsRef[Produit],0)),
   ""
)</f>
        <v/>
      </c>
      <c r="G4272" s="7">
        <f>tbl_Ventes[[#This Row],[Qté Vendue]] * IFERROR(_xlfn.XLOOKUP(tbl_Ventes[[#This Row],[Cde_Prdt]], tbl_Produits[Cde_Prdt], tbl_Produits[Prix Menu]), 0)</f>
        <v>0</v>
      </c>
      <c r="H4272" s="7">
        <f>IFERROR(_xlfn.XLOOKUP(tbl_Ventes[[#This Row],[Cde_Prdt]], tbl_Produits[Cde_Prdt], tbl_Produits[Coût Moyen Portion]), 0)</f>
        <v>0</v>
      </c>
      <c r="I4272" s="7">
        <f>tbl_Ventes[[#This Row],[Qté Vendue]] * tbl_Ventes[[#This Row],[CMP_par_portion]]</f>
        <v>0</v>
      </c>
      <c r="J4272" s="7">
        <f>tbl_Ventes[[#This Row],[CA ligne]] - tbl_Ventes[[#This Row],[Coût matière ligne]]</f>
        <v>0</v>
      </c>
      <c r="K4272" s="7" t="str">
        <f>IFERROR(INDEX(tbl_ProduitsRef[Famille], MATCH(tbl_Ventes[[#This Row],[Cde_Prdt]], tbl_Produits[Cde_Prdt], 0)), "")</f>
        <v/>
      </c>
    </row>
    <row r="4273" spans="1:11" x14ac:dyDescent="0.25">
      <c r="A4273" s="5"/>
      <c r="B4273" s="63" t="str">
        <f>IFERROR(TEXT(tbl_Ventes[[#This Row],[Date]],"mm-aaaa"),"")</f>
        <v>01-1900</v>
      </c>
      <c r="D4273" s="10" t="str">
        <f>IFERROR(
   INDEX(tbl_ProduitsRef[Cde_Prdt],MATCH(tbl_Ventes[[#This Row],[Produit]],tbl_ProduitsRef[Produit],0)),
   ""
)</f>
        <v/>
      </c>
      <c r="E4273" s="7">
        <v>0</v>
      </c>
      <c r="F4273" s="7" t="str">
        <f>IFERROR(
   INDEX(tbl_ProduitsRef[Prix Menu],MATCH(tbl_Ventes[[#This Row],[Produit]],tbl_ProduitsRef[Produit],0)),
   ""
)</f>
        <v/>
      </c>
      <c r="G4273" s="7">
        <f>tbl_Ventes[[#This Row],[Qté Vendue]] * IFERROR(_xlfn.XLOOKUP(tbl_Ventes[[#This Row],[Cde_Prdt]], tbl_Produits[Cde_Prdt], tbl_Produits[Prix Menu]), 0)</f>
        <v>0</v>
      </c>
      <c r="H4273" s="7">
        <f>IFERROR(_xlfn.XLOOKUP(tbl_Ventes[[#This Row],[Cde_Prdt]], tbl_Produits[Cde_Prdt], tbl_Produits[Coût Moyen Portion]), 0)</f>
        <v>0</v>
      </c>
      <c r="I4273" s="7">
        <f>tbl_Ventes[[#This Row],[Qté Vendue]] * tbl_Ventes[[#This Row],[CMP_par_portion]]</f>
        <v>0</v>
      </c>
      <c r="J4273" s="7">
        <f>tbl_Ventes[[#This Row],[CA ligne]] - tbl_Ventes[[#This Row],[Coût matière ligne]]</f>
        <v>0</v>
      </c>
      <c r="K4273" s="7" t="str">
        <f>IFERROR(INDEX(tbl_ProduitsRef[Famille], MATCH(tbl_Ventes[[#This Row],[Cde_Prdt]], tbl_Produits[Cde_Prdt], 0)), "")</f>
        <v/>
      </c>
    </row>
    <row r="4274" spans="1:11" x14ac:dyDescent="0.25">
      <c r="A4274" s="5"/>
      <c r="B4274" s="63" t="str">
        <f>IFERROR(TEXT(tbl_Ventes[[#This Row],[Date]],"mm-aaaa"),"")</f>
        <v>01-1900</v>
      </c>
      <c r="D4274" s="10" t="str">
        <f>IFERROR(
   INDEX(tbl_ProduitsRef[Cde_Prdt],MATCH(tbl_Ventes[[#This Row],[Produit]],tbl_ProduitsRef[Produit],0)),
   ""
)</f>
        <v/>
      </c>
      <c r="E4274" s="7">
        <v>0</v>
      </c>
      <c r="F4274" s="7" t="str">
        <f>IFERROR(
   INDEX(tbl_ProduitsRef[Prix Menu],MATCH(tbl_Ventes[[#This Row],[Produit]],tbl_ProduitsRef[Produit],0)),
   ""
)</f>
        <v/>
      </c>
      <c r="G4274" s="7">
        <f>tbl_Ventes[[#This Row],[Qté Vendue]] * IFERROR(_xlfn.XLOOKUP(tbl_Ventes[[#This Row],[Cde_Prdt]], tbl_Produits[Cde_Prdt], tbl_Produits[Prix Menu]), 0)</f>
        <v>0</v>
      </c>
      <c r="H4274" s="7">
        <f>IFERROR(_xlfn.XLOOKUP(tbl_Ventes[[#This Row],[Cde_Prdt]], tbl_Produits[Cde_Prdt], tbl_Produits[Coût Moyen Portion]), 0)</f>
        <v>0</v>
      </c>
      <c r="I4274" s="7">
        <f>tbl_Ventes[[#This Row],[Qté Vendue]] * tbl_Ventes[[#This Row],[CMP_par_portion]]</f>
        <v>0</v>
      </c>
      <c r="J4274" s="7">
        <f>tbl_Ventes[[#This Row],[CA ligne]] - tbl_Ventes[[#This Row],[Coût matière ligne]]</f>
        <v>0</v>
      </c>
      <c r="K4274" s="7" t="str">
        <f>IFERROR(INDEX(tbl_ProduitsRef[Famille], MATCH(tbl_Ventes[[#This Row],[Cde_Prdt]], tbl_Produits[Cde_Prdt], 0)), "")</f>
        <v/>
      </c>
    </row>
    <row r="4275" spans="1:11" x14ac:dyDescent="0.25">
      <c r="A4275" s="5"/>
      <c r="B4275" s="63" t="str">
        <f>IFERROR(TEXT(tbl_Ventes[[#This Row],[Date]],"mm-aaaa"),"")</f>
        <v>01-1900</v>
      </c>
      <c r="D4275" s="10" t="str">
        <f>IFERROR(
   INDEX(tbl_ProduitsRef[Cde_Prdt],MATCH(tbl_Ventes[[#This Row],[Produit]],tbl_ProduitsRef[Produit],0)),
   ""
)</f>
        <v/>
      </c>
      <c r="E4275" s="7">
        <v>0</v>
      </c>
      <c r="F4275" s="7" t="str">
        <f>IFERROR(
   INDEX(tbl_ProduitsRef[Prix Menu],MATCH(tbl_Ventes[[#This Row],[Produit]],tbl_ProduitsRef[Produit],0)),
   ""
)</f>
        <v/>
      </c>
      <c r="G4275" s="7">
        <f>tbl_Ventes[[#This Row],[Qté Vendue]] * IFERROR(_xlfn.XLOOKUP(tbl_Ventes[[#This Row],[Cde_Prdt]], tbl_Produits[Cde_Prdt], tbl_Produits[Prix Menu]), 0)</f>
        <v>0</v>
      </c>
      <c r="H4275" s="7">
        <f>IFERROR(_xlfn.XLOOKUP(tbl_Ventes[[#This Row],[Cde_Prdt]], tbl_Produits[Cde_Prdt], tbl_Produits[Coût Moyen Portion]), 0)</f>
        <v>0</v>
      </c>
      <c r="I4275" s="7">
        <f>tbl_Ventes[[#This Row],[Qté Vendue]] * tbl_Ventes[[#This Row],[CMP_par_portion]]</f>
        <v>0</v>
      </c>
      <c r="J4275" s="7">
        <f>tbl_Ventes[[#This Row],[CA ligne]] - tbl_Ventes[[#This Row],[Coût matière ligne]]</f>
        <v>0</v>
      </c>
      <c r="K4275" s="7" t="str">
        <f>IFERROR(INDEX(tbl_ProduitsRef[Famille], MATCH(tbl_Ventes[[#This Row],[Cde_Prdt]], tbl_Produits[Cde_Prdt], 0)), "")</f>
        <v/>
      </c>
    </row>
    <row r="4276" spans="1:11" x14ac:dyDescent="0.25">
      <c r="A4276" s="5"/>
      <c r="B4276" s="63" t="str">
        <f>IFERROR(TEXT(tbl_Ventes[[#This Row],[Date]],"mm-aaaa"),"")</f>
        <v>01-1900</v>
      </c>
      <c r="D4276" s="10" t="str">
        <f>IFERROR(
   INDEX(tbl_ProduitsRef[Cde_Prdt],MATCH(tbl_Ventes[[#This Row],[Produit]],tbl_ProduitsRef[Produit],0)),
   ""
)</f>
        <v/>
      </c>
      <c r="E4276" s="7">
        <v>0</v>
      </c>
      <c r="F4276" s="7" t="str">
        <f>IFERROR(
   INDEX(tbl_ProduitsRef[Prix Menu],MATCH(tbl_Ventes[[#This Row],[Produit]],tbl_ProduitsRef[Produit],0)),
   ""
)</f>
        <v/>
      </c>
      <c r="G4276" s="7">
        <f>tbl_Ventes[[#This Row],[Qté Vendue]] * IFERROR(_xlfn.XLOOKUP(tbl_Ventes[[#This Row],[Cde_Prdt]], tbl_Produits[Cde_Prdt], tbl_Produits[Prix Menu]), 0)</f>
        <v>0</v>
      </c>
      <c r="H4276" s="7">
        <f>IFERROR(_xlfn.XLOOKUP(tbl_Ventes[[#This Row],[Cde_Prdt]], tbl_Produits[Cde_Prdt], tbl_Produits[Coût Moyen Portion]), 0)</f>
        <v>0</v>
      </c>
      <c r="I4276" s="7">
        <f>tbl_Ventes[[#This Row],[Qté Vendue]] * tbl_Ventes[[#This Row],[CMP_par_portion]]</f>
        <v>0</v>
      </c>
      <c r="J4276" s="7">
        <f>tbl_Ventes[[#This Row],[CA ligne]] - tbl_Ventes[[#This Row],[Coût matière ligne]]</f>
        <v>0</v>
      </c>
      <c r="K4276" s="7" t="str">
        <f>IFERROR(INDEX(tbl_ProduitsRef[Famille], MATCH(tbl_Ventes[[#This Row],[Cde_Prdt]], tbl_Produits[Cde_Prdt], 0)), "")</f>
        <v/>
      </c>
    </row>
    <row r="4277" spans="1:11" x14ac:dyDescent="0.25">
      <c r="A4277" s="5"/>
      <c r="B4277" s="63" t="str">
        <f>IFERROR(TEXT(tbl_Ventes[[#This Row],[Date]],"mm-aaaa"),"")</f>
        <v>01-1900</v>
      </c>
      <c r="D4277" s="10" t="str">
        <f>IFERROR(
   INDEX(tbl_ProduitsRef[Cde_Prdt],MATCH(tbl_Ventes[[#This Row],[Produit]],tbl_ProduitsRef[Produit],0)),
   ""
)</f>
        <v/>
      </c>
      <c r="E4277" s="7">
        <v>0</v>
      </c>
      <c r="F4277" s="7" t="str">
        <f>IFERROR(
   INDEX(tbl_ProduitsRef[Prix Menu],MATCH(tbl_Ventes[[#This Row],[Produit]],tbl_ProduitsRef[Produit],0)),
   ""
)</f>
        <v/>
      </c>
      <c r="G4277" s="7">
        <f>tbl_Ventes[[#This Row],[Qté Vendue]] * IFERROR(_xlfn.XLOOKUP(tbl_Ventes[[#This Row],[Cde_Prdt]], tbl_Produits[Cde_Prdt], tbl_Produits[Prix Menu]), 0)</f>
        <v>0</v>
      </c>
      <c r="H4277" s="7">
        <f>IFERROR(_xlfn.XLOOKUP(tbl_Ventes[[#This Row],[Cde_Prdt]], tbl_Produits[Cde_Prdt], tbl_Produits[Coût Moyen Portion]), 0)</f>
        <v>0</v>
      </c>
      <c r="I4277" s="7">
        <f>tbl_Ventes[[#This Row],[Qté Vendue]] * tbl_Ventes[[#This Row],[CMP_par_portion]]</f>
        <v>0</v>
      </c>
      <c r="J4277" s="7">
        <f>tbl_Ventes[[#This Row],[CA ligne]] - tbl_Ventes[[#This Row],[Coût matière ligne]]</f>
        <v>0</v>
      </c>
      <c r="K4277" s="7" t="str">
        <f>IFERROR(INDEX(tbl_ProduitsRef[Famille], MATCH(tbl_Ventes[[#This Row],[Cde_Prdt]], tbl_Produits[Cde_Prdt], 0)), "")</f>
        <v/>
      </c>
    </row>
    <row r="4278" spans="1:11" x14ac:dyDescent="0.25">
      <c r="A4278" s="5"/>
      <c r="B4278" s="63" t="str">
        <f>IFERROR(TEXT(tbl_Ventes[[#This Row],[Date]],"mm-aaaa"),"")</f>
        <v>01-1900</v>
      </c>
      <c r="D4278" s="10" t="str">
        <f>IFERROR(
   INDEX(tbl_ProduitsRef[Cde_Prdt],MATCH(tbl_Ventes[[#This Row],[Produit]],tbl_ProduitsRef[Produit],0)),
   ""
)</f>
        <v/>
      </c>
      <c r="E4278" s="7">
        <v>0</v>
      </c>
      <c r="F4278" s="7" t="str">
        <f>IFERROR(
   INDEX(tbl_ProduitsRef[Prix Menu],MATCH(tbl_Ventes[[#This Row],[Produit]],tbl_ProduitsRef[Produit],0)),
   ""
)</f>
        <v/>
      </c>
      <c r="G4278" s="7">
        <f>tbl_Ventes[[#This Row],[Qté Vendue]] * IFERROR(_xlfn.XLOOKUP(tbl_Ventes[[#This Row],[Cde_Prdt]], tbl_Produits[Cde_Prdt], tbl_Produits[Prix Menu]), 0)</f>
        <v>0</v>
      </c>
      <c r="H4278" s="7">
        <f>IFERROR(_xlfn.XLOOKUP(tbl_Ventes[[#This Row],[Cde_Prdt]], tbl_Produits[Cde_Prdt], tbl_Produits[Coût Moyen Portion]), 0)</f>
        <v>0</v>
      </c>
      <c r="I4278" s="7">
        <f>tbl_Ventes[[#This Row],[Qté Vendue]] * tbl_Ventes[[#This Row],[CMP_par_portion]]</f>
        <v>0</v>
      </c>
      <c r="J4278" s="7">
        <f>tbl_Ventes[[#This Row],[CA ligne]] - tbl_Ventes[[#This Row],[Coût matière ligne]]</f>
        <v>0</v>
      </c>
      <c r="K4278" s="7" t="str">
        <f>IFERROR(INDEX(tbl_ProduitsRef[Famille], MATCH(tbl_Ventes[[#This Row],[Cde_Prdt]], tbl_Produits[Cde_Prdt], 0)), "")</f>
        <v/>
      </c>
    </row>
    <row r="4279" spans="1:11" x14ac:dyDescent="0.25">
      <c r="A4279" s="5"/>
      <c r="B4279" s="63" t="str">
        <f>IFERROR(TEXT(tbl_Ventes[[#This Row],[Date]],"mm-aaaa"),"")</f>
        <v>01-1900</v>
      </c>
      <c r="D4279" s="10" t="str">
        <f>IFERROR(
   INDEX(tbl_ProduitsRef[Cde_Prdt],MATCH(tbl_Ventes[[#This Row],[Produit]],tbl_ProduitsRef[Produit],0)),
   ""
)</f>
        <v/>
      </c>
      <c r="E4279" s="7">
        <v>0</v>
      </c>
      <c r="F4279" s="7" t="str">
        <f>IFERROR(
   INDEX(tbl_ProduitsRef[Prix Menu],MATCH(tbl_Ventes[[#This Row],[Produit]],tbl_ProduitsRef[Produit],0)),
   ""
)</f>
        <v/>
      </c>
      <c r="G4279" s="7">
        <f>tbl_Ventes[[#This Row],[Qté Vendue]] * IFERROR(_xlfn.XLOOKUP(tbl_Ventes[[#This Row],[Cde_Prdt]], tbl_Produits[Cde_Prdt], tbl_Produits[Prix Menu]), 0)</f>
        <v>0</v>
      </c>
      <c r="H4279" s="7">
        <f>IFERROR(_xlfn.XLOOKUP(tbl_Ventes[[#This Row],[Cde_Prdt]], tbl_Produits[Cde_Prdt], tbl_Produits[Coût Moyen Portion]), 0)</f>
        <v>0</v>
      </c>
      <c r="I4279" s="7">
        <f>tbl_Ventes[[#This Row],[Qté Vendue]] * tbl_Ventes[[#This Row],[CMP_par_portion]]</f>
        <v>0</v>
      </c>
      <c r="J4279" s="7">
        <f>tbl_Ventes[[#This Row],[CA ligne]] - tbl_Ventes[[#This Row],[Coût matière ligne]]</f>
        <v>0</v>
      </c>
      <c r="K4279" s="7" t="str">
        <f>IFERROR(INDEX(tbl_ProduitsRef[Famille], MATCH(tbl_Ventes[[#This Row],[Cde_Prdt]], tbl_Produits[Cde_Prdt], 0)), "")</f>
        <v/>
      </c>
    </row>
    <row r="4280" spans="1:11" x14ac:dyDescent="0.25">
      <c r="A4280" s="5"/>
      <c r="B4280" s="63" t="str">
        <f>IFERROR(TEXT(tbl_Ventes[[#This Row],[Date]],"mm-aaaa"),"")</f>
        <v>01-1900</v>
      </c>
      <c r="D4280" s="10" t="str">
        <f>IFERROR(
   INDEX(tbl_ProduitsRef[Cde_Prdt],MATCH(tbl_Ventes[[#This Row],[Produit]],tbl_ProduitsRef[Produit],0)),
   ""
)</f>
        <v/>
      </c>
      <c r="E4280" s="7">
        <v>0</v>
      </c>
      <c r="F4280" s="7" t="str">
        <f>IFERROR(
   INDEX(tbl_ProduitsRef[Prix Menu],MATCH(tbl_Ventes[[#This Row],[Produit]],tbl_ProduitsRef[Produit],0)),
   ""
)</f>
        <v/>
      </c>
      <c r="G4280" s="7">
        <f>tbl_Ventes[[#This Row],[Qté Vendue]] * IFERROR(_xlfn.XLOOKUP(tbl_Ventes[[#This Row],[Cde_Prdt]], tbl_Produits[Cde_Prdt], tbl_Produits[Prix Menu]), 0)</f>
        <v>0</v>
      </c>
      <c r="H4280" s="7">
        <f>IFERROR(_xlfn.XLOOKUP(tbl_Ventes[[#This Row],[Cde_Prdt]], tbl_Produits[Cde_Prdt], tbl_Produits[Coût Moyen Portion]), 0)</f>
        <v>0</v>
      </c>
      <c r="I4280" s="7">
        <f>tbl_Ventes[[#This Row],[Qté Vendue]] * tbl_Ventes[[#This Row],[CMP_par_portion]]</f>
        <v>0</v>
      </c>
      <c r="J4280" s="7">
        <f>tbl_Ventes[[#This Row],[CA ligne]] - tbl_Ventes[[#This Row],[Coût matière ligne]]</f>
        <v>0</v>
      </c>
      <c r="K4280" s="7" t="str">
        <f>IFERROR(INDEX(tbl_ProduitsRef[Famille], MATCH(tbl_Ventes[[#This Row],[Cde_Prdt]], tbl_Produits[Cde_Prdt], 0)), "")</f>
        <v/>
      </c>
    </row>
    <row r="4281" spans="1:11" x14ac:dyDescent="0.25">
      <c r="A4281" s="5"/>
      <c r="B4281" s="63" t="str">
        <f>IFERROR(TEXT(tbl_Ventes[[#This Row],[Date]],"mm-aaaa"),"")</f>
        <v>01-1900</v>
      </c>
      <c r="D4281" s="10" t="str">
        <f>IFERROR(
   INDEX(tbl_ProduitsRef[Cde_Prdt],MATCH(tbl_Ventes[[#This Row],[Produit]],tbl_ProduitsRef[Produit],0)),
   ""
)</f>
        <v/>
      </c>
      <c r="E4281" s="7">
        <v>0</v>
      </c>
      <c r="F4281" s="7" t="str">
        <f>IFERROR(
   INDEX(tbl_ProduitsRef[Prix Menu],MATCH(tbl_Ventes[[#This Row],[Produit]],tbl_ProduitsRef[Produit],0)),
   ""
)</f>
        <v/>
      </c>
      <c r="G4281" s="7">
        <f>tbl_Ventes[[#This Row],[Qté Vendue]] * IFERROR(_xlfn.XLOOKUP(tbl_Ventes[[#This Row],[Cde_Prdt]], tbl_Produits[Cde_Prdt], tbl_Produits[Prix Menu]), 0)</f>
        <v>0</v>
      </c>
      <c r="H4281" s="7">
        <f>IFERROR(_xlfn.XLOOKUP(tbl_Ventes[[#This Row],[Cde_Prdt]], tbl_Produits[Cde_Prdt], tbl_Produits[Coût Moyen Portion]), 0)</f>
        <v>0</v>
      </c>
      <c r="I4281" s="7">
        <f>tbl_Ventes[[#This Row],[Qté Vendue]] * tbl_Ventes[[#This Row],[CMP_par_portion]]</f>
        <v>0</v>
      </c>
      <c r="J4281" s="7">
        <f>tbl_Ventes[[#This Row],[CA ligne]] - tbl_Ventes[[#This Row],[Coût matière ligne]]</f>
        <v>0</v>
      </c>
      <c r="K4281" s="7" t="str">
        <f>IFERROR(INDEX(tbl_ProduitsRef[Famille], MATCH(tbl_Ventes[[#This Row],[Cde_Prdt]], tbl_Produits[Cde_Prdt], 0)), "")</f>
        <v/>
      </c>
    </row>
    <row r="4282" spans="1:11" x14ac:dyDescent="0.25">
      <c r="A4282" s="5"/>
      <c r="B4282" s="63" t="str">
        <f>IFERROR(TEXT(tbl_Ventes[[#This Row],[Date]],"mm-aaaa"),"")</f>
        <v>01-1900</v>
      </c>
      <c r="D4282" s="10" t="str">
        <f>IFERROR(
   INDEX(tbl_ProduitsRef[Cde_Prdt],MATCH(tbl_Ventes[[#This Row],[Produit]],tbl_ProduitsRef[Produit],0)),
   ""
)</f>
        <v/>
      </c>
      <c r="E4282" s="7">
        <v>0</v>
      </c>
      <c r="F4282" s="7" t="str">
        <f>IFERROR(
   INDEX(tbl_ProduitsRef[Prix Menu],MATCH(tbl_Ventes[[#This Row],[Produit]],tbl_ProduitsRef[Produit],0)),
   ""
)</f>
        <v/>
      </c>
      <c r="G4282" s="7">
        <f>tbl_Ventes[[#This Row],[Qté Vendue]] * IFERROR(_xlfn.XLOOKUP(tbl_Ventes[[#This Row],[Cde_Prdt]], tbl_Produits[Cde_Prdt], tbl_Produits[Prix Menu]), 0)</f>
        <v>0</v>
      </c>
      <c r="H4282" s="7">
        <f>IFERROR(_xlfn.XLOOKUP(tbl_Ventes[[#This Row],[Cde_Prdt]], tbl_Produits[Cde_Prdt], tbl_Produits[Coût Moyen Portion]), 0)</f>
        <v>0</v>
      </c>
      <c r="I4282" s="7">
        <f>tbl_Ventes[[#This Row],[Qté Vendue]] * tbl_Ventes[[#This Row],[CMP_par_portion]]</f>
        <v>0</v>
      </c>
      <c r="J4282" s="7">
        <f>tbl_Ventes[[#This Row],[CA ligne]] - tbl_Ventes[[#This Row],[Coût matière ligne]]</f>
        <v>0</v>
      </c>
      <c r="K4282" s="7" t="str">
        <f>IFERROR(INDEX(tbl_ProduitsRef[Famille], MATCH(tbl_Ventes[[#This Row],[Cde_Prdt]], tbl_Produits[Cde_Prdt], 0)), "")</f>
        <v/>
      </c>
    </row>
    <row r="4283" spans="1:11" x14ac:dyDescent="0.25">
      <c r="A4283" s="5"/>
      <c r="B4283" s="63" t="str">
        <f>IFERROR(TEXT(tbl_Ventes[[#This Row],[Date]],"mm-aaaa"),"")</f>
        <v>01-1900</v>
      </c>
      <c r="D4283" s="10" t="str">
        <f>IFERROR(
   INDEX(tbl_ProduitsRef[Cde_Prdt],MATCH(tbl_Ventes[[#This Row],[Produit]],tbl_ProduitsRef[Produit],0)),
   ""
)</f>
        <v/>
      </c>
      <c r="E4283" s="7">
        <v>0</v>
      </c>
      <c r="F4283" s="7" t="str">
        <f>IFERROR(
   INDEX(tbl_ProduitsRef[Prix Menu],MATCH(tbl_Ventes[[#This Row],[Produit]],tbl_ProduitsRef[Produit],0)),
   ""
)</f>
        <v/>
      </c>
      <c r="G4283" s="7">
        <f>tbl_Ventes[[#This Row],[Qté Vendue]] * IFERROR(_xlfn.XLOOKUP(tbl_Ventes[[#This Row],[Cde_Prdt]], tbl_Produits[Cde_Prdt], tbl_Produits[Prix Menu]), 0)</f>
        <v>0</v>
      </c>
      <c r="H4283" s="7">
        <f>IFERROR(_xlfn.XLOOKUP(tbl_Ventes[[#This Row],[Cde_Prdt]], tbl_Produits[Cde_Prdt], tbl_Produits[Coût Moyen Portion]), 0)</f>
        <v>0</v>
      </c>
      <c r="I4283" s="7">
        <f>tbl_Ventes[[#This Row],[Qté Vendue]] * tbl_Ventes[[#This Row],[CMP_par_portion]]</f>
        <v>0</v>
      </c>
      <c r="J4283" s="7">
        <f>tbl_Ventes[[#This Row],[CA ligne]] - tbl_Ventes[[#This Row],[Coût matière ligne]]</f>
        <v>0</v>
      </c>
      <c r="K4283" s="7" t="str">
        <f>IFERROR(INDEX(tbl_ProduitsRef[Famille], MATCH(tbl_Ventes[[#This Row],[Cde_Prdt]], tbl_Produits[Cde_Prdt], 0)), "")</f>
        <v/>
      </c>
    </row>
    <row r="4284" spans="1:11" x14ac:dyDescent="0.25">
      <c r="A4284" s="5"/>
      <c r="B4284" s="63" t="str">
        <f>IFERROR(TEXT(tbl_Ventes[[#This Row],[Date]],"mm-aaaa"),"")</f>
        <v>01-1900</v>
      </c>
      <c r="D4284" s="10" t="str">
        <f>IFERROR(
   INDEX(tbl_ProduitsRef[Cde_Prdt],MATCH(tbl_Ventes[[#This Row],[Produit]],tbl_ProduitsRef[Produit],0)),
   ""
)</f>
        <v/>
      </c>
      <c r="E4284" s="7">
        <v>0</v>
      </c>
      <c r="F4284" s="7" t="str">
        <f>IFERROR(
   INDEX(tbl_ProduitsRef[Prix Menu],MATCH(tbl_Ventes[[#This Row],[Produit]],tbl_ProduitsRef[Produit],0)),
   ""
)</f>
        <v/>
      </c>
      <c r="G4284" s="7">
        <f>tbl_Ventes[[#This Row],[Qté Vendue]] * IFERROR(_xlfn.XLOOKUP(tbl_Ventes[[#This Row],[Cde_Prdt]], tbl_Produits[Cde_Prdt], tbl_Produits[Prix Menu]), 0)</f>
        <v>0</v>
      </c>
      <c r="H4284" s="7">
        <f>IFERROR(_xlfn.XLOOKUP(tbl_Ventes[[#This Row],[Cde_Prdt]], tbl_Produits[Cde_Prdt], tbl_Produits[Coût Moyen Portion]), 0)</f>
        <v>0</v>
      </c>
      <c r="I4284" s="7">
        <f>tbl_Ventes[[#This Row],[Qté Vendue]] * tbl_Ventes[[#This Row],[CMP_par_portion]]</f>
        <v>0</v>
      </c>
      <c r="J4284" s="7">
        <f>tbl_Ventes[[#This Row],[CA ligne]] - tbl_Ventes[[#This Row],[Coût matière ligne]]</f>
        <v>0</v>
      </c>
      <c r="K4284" s="7" t="str">
        <f>IFERROR(INDEX(tbl_ProduitsRef[Famille], MATCH(tbl_Ventes[[#This Row],[Cde_Prdt]], tbl_Produits[Cde_Prdt], 0)), "")</f>
        <v/>
      </c>
    </row>
    <row r="4285" spans="1:11" x14ac:dyDescent="0.25">
      <c r="A4285" s="5"/>
      <c r="B4285" s="63" t="str">
        <f>IFERROR(TEXT(tbl_Ventes[[#This Row],[Date]],"mm-aaaa"),"")</f>
        <v>01-1900</v>
      </c>
      <c r="D4285" s="10" t="str">
        <f>IFERROR(
   INDEX(tbl_ProduitsRef[Cde_Prdt],MATCH(tbl_Ventes[[#This Row],[Produit]],tbl_ProduitsRef[Produit],0)),
   ""
)</f>
        <v/>
      </c>
      <c r="E4285" s="7">
        <v>0</v>
      </c>
      <c r="F4285" s="7" t="str">
        <f>IFERROR(
   INDEX(tbl_ProduitsRef[Prix Menu],MATCH(tbl_Ventes[[#This Row],[Produit]],tbl_ProduitsRef[Produit],0)),
   ""
)</f>
        <v/>
      </c>
      <c r="G4285" s="7">
        <f>tbl_Ventes[[#This Row],[Qté Vendue]] * IFERROR(_xlfn.XLOOKUP(tbl_Ventes[[#This Row],[Cde_Prdt]], tbl_Produits[Cde_Prdt], tbl_Produits[Prix Menu]), 0)</f>
        <v>0</v>
      </c>
      <c r="H4285" s="7">
        <f>IFERROR(_xlfn.XLOOKUP(tbl_Ventes[[#This Row],[Cde_Prdt]], tbl_Produits[Cde_Prdt], tbl_Produits[Coût Moyen Portion]), 0)</f>
        <v>0</v>
      </c>
      <c r="I4285" s="7">
        <f>tbl_Ventes[[#This Row],[Qté Vendue]] * tbl_Ventes[[#This Row],[CMP_par_portion]]</f>
        <v>0</v>
      </c>
      <c r="J4285" s="7">
        <f>tbl_Ventes[[#This Row],[CA ligne]] - tbl_Ventes[[#This Row],[Coût matière ligne]]</f>
        <v>0</v>
      </c>
      <c r="K4285" s="7" t="str">
        <f>IFERROR(INDEX(tbl_ProduitsRef[Famille], MATCH(tbl_Ventes[[#This Row],[Cde_Prdt]], tbl_Produits[Cde_Prdt], 0)), "")</f>
        <v/>
      </c>
    </row>
    <row r="4286" spans="1:11" x14ac:dyDescent="0.25">
      <c r="A4286" s="5"/>
      <c r="B4286" s="63" t="str">
        <f>IFERROR(TEXT(tbl_Ventes[[#This Row],[Date]],"mm-aaaa"),"")</f>
        <v>01-1900</v>
      </c>
      <c r="D4286" s="10" t="str">
        <f>IFERROR(
   INDEX(tbl_ProduitsRef[Cde_Prdt],MATCH(tbl_Ventes[[#This Row],[Produit]],tbl_ProduitsRef[Produit],0)),
   ""
)</f>
        <v/>
      </c>
      <c r="E4286" s="7">
        <v>0</v>
      </c>
      <c r="F4286" s="7" t="str">
        <f>IFERROR(
   INDEX(tbl_ProduitsRef[Prix Menu],MATCH(tbl_Ventes[[#This Row],[Produit]],tbl_ProduitsRef[Produit],0)),
   ""
)</f>
        <v/>
      </c>
      <c r="G4286" s="7">
        <f>tbl_Ventes[[#This Row],[Qté Vendue]] * IFERROR(_xlfn.XLOOKUP(tbl_Ventes[[#This Row],[Cde_Prdt]], tbl_Produits[Cde_Prdt], tbl_Produits[Prix Menu]), 0)</f>
        <v>0</v>
      </c>
      <c r="H4286" s="7">
        <f>IFERROR(_xlfn.XLOOKUP(tbl_Ventes[[#This Row],[Cde_Prdt]], tbl_Produits[Cde_Prdt], tbl_Produits[Coût Moyen Portion]), 0)</f>
        <v>0</v>
      </c>
      <c r="I4286" s="7">
        <f>tbl_Ventes[[#This Row],[Qté Vendue]] * tbl_Ventes[[#This Row],[CMP_par_portion]]</f>
        <v>0</v>
      </c>
      <c r="J4286" s="7">
        <f>tbl_Ventes[[#This Row],[CA ligne]] - tbl_Ventes[[#This Row],[Coût matière ligne]]</f>
        <v>0</v>
      </c>
      <c r="K4286" s="7" t="str">
        <f>IFERROR(INDEX(tbl_ProduitsRef[Famille], MATCH(tbl_Ventes[[#This Row],[Cde_Prdt]], tbl_Produits[Cde_Prdt], 0)), "")</f>
        <v/>
      </c>
    </row>
    <row r="4287" spans="1:11" x14ac:dyDescent="0.25">
      <c r="A4287" s="5"/>
      <c r="B4287" s="63" t="str">
        <f>IFERROR(TEXT(tbl_Ventes[[#This Row],[Date]],"mm-aaaa"),"")</f>
        <v>01-1900</v>
      </c>
      <c r="D4287" s="10" t="str">
        <f>IFERROR(
   INDEX(tbl_ProduitsRef[Cde_Prdt],MATCH(tbl_Ventes[[#This Row],[Produit]],tbl_ProduitsRef[Produit],0)),
   ""
)</f>
        <v/>
      </c>
      <c r="E4287" s="7">
        <v>0</v>
      </c>
      <c r="F4287" s="7" t="str">
        <f>IFERROR(
   INDEX(tbl_ProduitsRef[Prix Menu],MATCH(tbl_Ventes[[#This Row],[Produit]],tbl_ProduitsRef[Produit],0)),
   ""
)</f>
        <v/>
      </c>
      <c r="G4287" s="7">
        <f>tbl_Ventes[[#This Row],[Qté Vendue]] * IFERROR(_xlfn.XLOOKUP(tbl_Ventes[[#This Row],[Cde_Prdt]], tbl_Produits[Cde_Prdt], tbl_Produits[Prix Menu]), 0)</f>
        <v>0</v>
      </c>
      <c r="H4287" s="7">
        <f>IFERROR(_xlfn.XLOOKUP(tbl_Ventes[[#This Row],[Cde_Prdt]], tbl_Produits[Cde_Prdt], tbl_Produits[Coût Moyen Portion]), 0)</f>
        <v>0</v>
      </c>
      <c r="I4287" s="7">
        <f>tbl_Ventes[[#This Row],[Qté Vendue]] * tbl_Ventes[[#This Row],[CMP_par_portion]]</f>
        <v>0</v>
      </c>
      <c r="J4287" s="7">
        <f>tbl_Ventes[[#This Row],[CA ligne]] - tbl_Ventes[[#This Row],[Coût matière ligne]]</f>
        <v>0</v>
      </c>
      <c r="K4287" s="7" t="str">
        <f>IFERROR(INDEX(tbl_ProduitsRef[Famille], MATCH(tbl_Ventes[[#This Row],[Cde_Prdt]], tbl_Produits[Cde_Prdt], 0)), "")</f>
        <v/>
      </c>
    </row>
    <row r="4288" spans="1:11" x14ac:dyDescent="0.25">
      <c r="A4288" s="5"/>
      <c r="B4288" s="63" t="str">
        <f>IFERROR(TEXT(tbl_Ventes[[#This Row],[Date]],"mm-aaaa"),"")</f>
        <v>01-1900</v>
      </c>
      <c r="D4288" s="10" t="str">
        <f>IFERROR(
   INDEX(tbl_ProduitsRef[Cde_Prdt],MATCH(tbl_Ventes[[#This Row],[Produit]],tbl_ProduitsRef[Produit],0)),
   ""
)</f>
        <v/>
      </c>
      <c r="E4288" s="7">
        <v>0</v>
      </c>
      <c r="F4288" s="7" t="str">
        <f>IFERROR(
   INDEX(tbl_ProduitsRef[Prix Menu],MATCH(tbl_Ventes[[#This Row],[Produit]],tbl_ProduitsRef[Produit],0)),
   ""
)</f>
        <v/>
      </c>
      <c r="G4288" s="7">
        <f>tbl_Ventes[[#This Row],[Qté Vendue]] * IFERROR(_xlfn.XLOOKUP(tbl_Ventes[[#This Row],[Cde_Prdt]], tbl_Produits[Cde_Prdt], tbl_Produits[Prix Menu]), 0)</f>
        <v>0</v>
      </c>
      <c r="H4288" s="7">
        <f>IFERROR(_xlfn.XLOOKUP(tbl_Ventes[[#This Row],[Cde_Prdt]], tbl_Produits[Cde_Prdt], tbl_Produits[Coût Moyen Portion]), 0)</f>
        <v>0</v>
      </c>
      <c r="I4288" s="7">
        <f>tbl_Ventes[[#This Row],[Qté Vendue]] * tbl_Ventes[[#This Row],[CMP_par_portion]]</f>
        <v>0</v>
      </c>
      <c r="J4288" s="7">
        <f>tbl_Ventes[[#This Row],[CA ligne]] - tbl_Ventes[[#This Row],[Coût matière ligne]]</f>
        <v>0</v>
      </c>
      <c r="K4288" s="7" t="str">
        <f>IFERROR(INDEX(tbl_ProduitsRef[Famille], MATCH(tbl_Ventes[[#This Row],[Cde_Prdt]], tbl_Produits[Cde_Prdt], 0)), "")</f>
        <v/>
      </c>
    </row>
    <row r="4289" spans="1:11" x14ac:dyDescent="0.25">
      <c r="A4289" s="5"/>
      <c r="B4289" s="63" t="str">
        <f>IFERROR(TEXT(tbl_Ventes[[#This Row],[Date]],"mm-aaaa"),"")</f>
        <v>01-1900</v>
      </c>
      <c r="D4289" s="10" t="str">
        <f>IFERROR(
   INDEX(tbl_ProduitsRef[Cde_Prdt],MATCH(tbl_Ventes[[#This Row],[Produit]],tbl_ProduitsRef[Produit],0)),
   ""
)</f>
        <v/>
      </c>
      <c r="E4289" s="7">
        <v>0</v>
      </c>
      <c r="F4289" s="7" t="str">
        <f>IFERROR(
   INDEX(tbl_ProduitsRef[Prix Menu],MATCH(tbl_Ventes[[#This Row],[Produit]],tbl_ProduitsRef[Produit],0)),
   ""
)</f>
        <v/>
      </c>
      <c r="G4289" s="7">
        <f>tbl_Ventes[[#This Row],[Qté Vendue]] * IFERROR(_xlfn.XLOOKUP(tbl_Ventes[[#This Row],[Cde_Prdt]], tbl_Produits[Cde_Prdt], tbl_Produits[Prix Menu]), 0)</f>
        <v>0</v>
      </c>
      <c r="H4289" s="7">
        <f>IFERROR(_xlfn.XLOOKUP(tbl_Ventes[[#This Row],[Cde_Prdt]], tbl_Produits[Cde_Prdt], tbl_Produits[Coût Moyen Portion]), 0)</f>
        <v>0</v>
      </c>
      <c r="I4289" s="7">
        <f>tbl_Ventes[[#This Row],[Qté Vendue]] * tbl_Ventes[[#This Row],[CMP_par_portion]]</f>
        <v>0</v>
      </c>
      <c r="J4289" s="7">
        <f>tbl_Ventes[[#This Row],[CA ligne]] - tbl_Ventes[[#This Row],[Coût matière ligne]]</f>
        <v>0</v>
      </c>
      <c r="K4289" s="7" t="str">
        <f>IFERROR(INDEX(tbl_ProduitsRef[Famille], MATCH(tbl_Ventes[[#This Row],[Cde_Prdt]], tbl_Produits[Cde_Prdt], 0)), "")</f>
        <v/>
      </c>
    </row>
    <row r="4290" spans="1:11" x14ac:dyDescent="0.25">
      <c r="A4290" s="5"/>
      <c r="B4290" s="63" t="str">
        <f>IFERROR(TEXT(tbl_Ventes[[#This Row],[Date]],"mm-aaaa"),"")</f>
        <v>01-1900</v>
      </c>
      <c r="D4290" s="10" t="str">
        <f>IFERROR(
   INDEX(tbl_ProduitsRef[Cde_Prdt],MATCH(tbl_Ventes[[#This Row],[Produit]],tbl_ProduitsRef[Produit],0)),
   ""
)</f>
        <v/>
      </c>
      <c r="E4290" s="7">
        <v>0</v>
      </c>
      <c r="F4290" s="7" t="str">
        <f>IFERROR(
   INDEX(tbl_ProduitsRef[Prix Menu],MATCH(tbl_Ventes[[#This Row],[Produit]],tbl_ProduitsRef[Produit],0)),
   ""
)</f>
        <v/>
      </c>
      <c r="G4290" s="7">
        <f>tbl_Ventes[[#This Row],[Qté Vendue]] * IFERROR(_xlfn.XLOOKUP(tbl_Ventes[[#This Row],[Cde_Prdt]], tbl_Produits[Cde_Prdt], tbl_Produits[Prix Menu]), 0)</f>
        <v>0</v>
      </c>
      <c r="H4290" s="7">
        <f>IFERROR(_xlfn.XLOOKUP(tbl_Ventes[[#This Row],[Cde_Prdt]], tbl_Produits[Cde_Prdt], tbl_Produits[Coût Moyen Portion]), 0)</f>
        <v>0</v>
      </c>
      <c r="I4290" s="7">
        <f>tbl_Ventes[[#This Row],[Qté Vendue]] * tbl_Ventes[[#This Row],[CMP_par_portion]]</f>
        <v>0</v>
      </c>
      <c r="J4290" s="7">
        <f>tbl_Ventes[[#This Row],[CA ligne]] - tbl_Ventes[[#This Row],[Coût matière ligne]]</f>
        <v>0</v>
      </c>
      <c r="K4290" s="7" t="str">
        <f>IFERROR(INDEX(tbl_ProduitsRef[Famille], MATCH(tbl_Ventes[[#This Row],[Cde_Prdt]], tbl_Produits[Cde_Prdt], 0)), "")</f>
        <v/>
      </c>
    </row>
    <row r="4291" spans="1:11" x14ac:dyDescent="0.25">
      <c r="A4291" s="5"/>
      <c r="B4291" s="63" t="str">
        <f>IFERROR(TEXT(tbl_Ventes[[#This Row],[Date]],"mm-aaaa"),"")</f>
        <v>01-1900</v>
      </c>
      <c r="D4291" s="10" t="str">
        <f>IFERROR(
   INDEX(tbl_ProduitsRef[Cde_Prdt],MATCH(tbl_Ventes[[#This Row],[Produit]],tbl_ProduitsRef[Produit],0)),
   ""
)</f>
        <v/>
      </c>
      <c r="E4291" s="7">
        <v>0</v>
      </c>
      <c r="F4291" s="7" t="str">
        <f>IFERROR(
   INDEX(tbl_ProduitsRef[Prix Menu],MATCH(tbl_Ventes[[#This Row],[Produit]],tbl_ProduitsRef[Produit],0)),
   ""
)</f>
        <v/>
      </c>
      <c r="G4291" s="7">
        <f>tbl_Ventes[[#This Row],[Qté Vendue]] * IFERROR(_xlfn.XLOOKUP(tbl_Ventes[[#This Row],[Cde_Prdt]], tbl_Produits[Cde_Prdt], tbl_Produits[Prix Menu]), 0)</f>
        <v>0</v>
      </c>
      <c r="H4291" s="7">
        <f>IFERROR(_xlfn.XLOOKUP(tbl_Ventes[[#This Row],[Cde_Prdt]], tbl_Produits[Cde_Prdt], tbl_Produits[Coût Moyen Portion]), 0)</f>
        <v>0</v>
      </c>
      <c r="I4291" s="7">
        <f>tbl_Ventes[[#This Row],[Qté Vendue]] * tbl_Ventes[[#This Row],[CMP_par_portion]]</f>
        <v>0</v>
      </c>
      <c r="J4291" s="7">
        <f>tbl_Ventes[[#This Row],[CA ligne]] - tbl_Ventes[[#This Row],[Coût matière ligne]]</f>
        <v>0</v>
      </c>
      <c r="K4291" s="7" t="str">
        <f>IFERROR(INDEX(tbl_ProduitsRef[Famille], MATCH(tbl_Ventes[[#This Row],[Cde_Prdt]], tbl_Produits[Cde_Prdt], 0)), "")</f>
        <v/>
      </c>
    </row>
    <row r="4292" spans="1:11" x14ac:dyDescent="0.25">
      <c r="A4292" s="5"/>
      <c r="B4292" s="63" t="str">
        <f>IFERROR(TEXT(tbl_Ventes[[#This Row],[Date]],"mm-aaaa"),"")</f>
        <v>01-1900</v>
      </c>
      <c r="D4292" s="10" t="str">
        <f>IFERROR(
   INDEX(tbl_ProduitsRef[Cde_Prdt],MATCH(tbl_Ventes[[#This Row],[Produit]],tbl_ProduitsRef[Produit],0)),
   ""
)</f>
        <v/>
      </c>
      <c r="E4292" s="7">
        <v>0</v>
      </c>
      <c r="F4292" s="7" t="str">
        <f>IFERROR(
   INDEX(tbl_ProduitsRef[Prix Menu],MATCH(tbl_Ventes[[#This Row],[Produit]],tbl_ProduitsRef[Produit],0)),
   ""
)</f>
        <v/>
      </c>
      <c r="G4292" s="7">
        <f>tbl_Ventes[[#This Row],[Qté Vendue]] * IFERROR(_xlfn.XLOOKUP(tbl_Ventes[[#This Row],[Cde_Prdt]], tbl_Produits[Cde_Prdt], tbl_Produits[Prix Menu]), 0)</f>
        <v>0</v>
      </c>
      <c r="H4292" s="7">
        <f>IFERROR(_xlfn.XLOOKUP(tbl_Ventes[[#This Row],[Cde_Prdt]], tbl_Produits[Cde_Prdt], tbl_Produits[Coût Moyen Portion]), 0)</f>
        <v>0</v>
      </c>
      <c r="I4292" s="7">
        <f>tbl_Ventes[[#This Row],[Qté Vendue]] * tbl_Ventes[[#This Row],[CMP_par_portion]]</f>
        <v>0</v>
      </c>
      <c r="J4292" s="7">
        <f>tbl_Ventes[[#This Row],[CA ligne]] - tbl_Ventes[[#This Row],[Coût matière ligne]]</f>
        <v>0</v>
      </c>
      <c r="K4292" s="7" t="str">
        <f>IFERROR(INDEX(tbl_ProduitsRef[Famille], MATCH(tbl_Ventes[[#This Row],[Cde_Prdt]], tbl_Produits[Cde_Prdt], 0)), "")</f>
        <v/>
      </c>
    </row>
    <row r="4293" spans="1:11" x14ac:dyDescent="0.25">
      <c r="A4293" s="5"/>
      <c r="B4293" s="63" t="str">
        <f>IFERROR(TEXT(tbl_Ventes[[#This Row],[Date]],"mm-aaaa"),"")</f>
        <v>01-1900</v>
      </c>
      <c r="D4293" s="10" t="str">
        <f>IFERROR(
   INDEX(tbl_ProduitsRef[Cde_Prdt],MATCH(tbl_Ventes[[#This Row],[Produit]],tbl_ProduitsRef[Produit],0)),
   ""
)</f>
        <v/>
      </c>
      <c r="E4293" s="7">
        <v>0</v>
      </c>
      <c r="F4293" s="7" t="str">
        <f>IFERROR(
   INDEX(tbl_ProduitsRef[Prix Menu],MATCH(tbl_Ventes[[#This Row],[Produit]],tbl_ProduitsRef[Produit],0)),
   ""
)</f>
        <v/>
      </c>
      <c r="G4293" s="7">
        <f>tbl_Ventes[[#This Row],[Qté Vendue]] * IFERROR(_xlfn.XLOOKUP(tbl_Ventes[[#This Row],[Cde_Prdt]], tbl_Produits[Cde_Prdt], tbl_Produits[Prix Menu]), 0)</f>
        <v>0</v>
      </c>
      <c r="H4293" s="7">
        <f>IFERROR(_xlfn.XLOOKUP(tbl_Ventes[[#This Row],[Cde_Prdt]], tbl_Produits[Cde_Prdt], tbl_Produits[Coût Moyen Portion]), 0)</f>
        <v>0</v>
      </c>
      <c r="I4293" s="7">
        <f>tbl_Ventes[[#This Row],[Qté Vendue]] * tbl_Ventes[[#This Row],[CMP_par_portion]]</f>
        <v>0</v>
      </c>
      <c r="J4293" s="7">
        <f>tbl_Ventes[[#This Row],[CA ligne]] - tbl_Ventes[[#This Row],[Coût matière ligne]]</f>
        <v>0</v>
      </c>
      <c r="K4293" s="7" t="str">
        <f>IFERROR(INDEX(tbl_ProduitsRef[Famille], MATCH(tbl_Ventes[[#This Row],[Cde_Prdt]], tbl_Produits[Cde_Prdt], 0)), "")</f>
        <v/>
      </c>
    </row>
    <row r="4294" spans="1:11" x14ac:dyDescent="0.25">
      <c r="A4294" s="5"/>
      <c r="B4294" s="63" t="str">
        <f>IFERROR(TEXT(tbl_Ventes[[#This Row],[Date]],"mm-aaaa"),"")</f>
        <v>01-1900</v>
      </c>
      <c r="D4294" s="10" t="str">
        <f>IFERROR(
   INDEX(tbl_ProduitsRef[Cde_Prdt],MATCH(tbl_Ventes[[#This Row],[Produit]],tbl_ProduitsRef[Produit],0)),
   ""
)</f>
        <v/>
      </c>
      <c r="E4294" s="7">
        <v>0</v>
      </c>
      <c r="F4294" s="7" t="str">
        <f>IFERROR(
   INDEX(tbl_ProduitsRef[Prix Menu],MATCH(tbl_Ventes[[#This Row],[Produit]],tbl_ProduitsRef[Produit],0)),
   ""
)</f>
        <v/>
      </c>
      <c r="G4294" s="7">
        <f>tbl_Ventes[[#This Row],[Qté Vendue]] * IFERROR(_xlfn.XLOOKUP(tbl_Ventes[[#This Row],[Cde_Prdt]], tbl_Produits[Cde_Prdt], tbl_Produits[Prix Menu]), 0)</f>
        <v>0</v>
      </c>
      <c r="H4294" s="7">
        <f>IFERROR(_xlfn.XLOOKUP(tbl_Ventes[[#This Row],[Cde_Prdt]], tbl_Produits[Cde_Prdt], tbl_Produits[Coût Moyen Portion]), 0)</f>
        <v>0</v>
      </c>
      <c r="I4294" s="7">
        <f>tbl_Ventes[[#This Row],[Qté Vendue]] * tbl_Ventes[[#This Row],[CMP_par_portion]]</f>
        <v>0</v>
      </c>
      <c r="J4294" s="7">
        <f>tbl_Ventes[[#This Row],[CA ligne]] - tbl_Ventes[[#This Row],[Coût matière ligne]]</f>
        <v>0</v>
      </c>
      <c r="K4294" s="7" t="str">
        <f>IFERROR(INDEX(tbl_ProduitsRef[Famille], MATCH(tbl_Ventes[[#This Row],[Cde_Prdt]], tbl_Produits[Cde_Prdt], 0)), "")</f>
        <v/>
      </c>
    </row>
    <row r="4295" spans="1:11" x14ac:dyDescent="0.25">
      <c r="A4295" s="5"/>
      <c r="B4295" s="63" t="str">
        <f>IFERROR(TEXT(tbl_Ventes[[#This Row],[Date]],"mm-aaaa"),"")</f>
        <v>01-1900</v>
      </c>
      <c r="D4295" s="10" t="str">
        <f>IFERROR(
   INDEX(tbl_ProduitsRef[Cde_Prdt],MATCH(tbl_Ventes[[#This Row],[Produit]],tbl_ProduitsRef[Produit],0)),
   ""
)</f>
        <v/>
      </c>
      <c r="E4295" s="7">
        <v>0</v>
      </c>
      <c r="F4295" s="7" t="str">
        <f>IFERROR(
   INDEX(tbl_ProduitsRef[Prix Menu],MATCH(tbl_Ventes[[#This Row],[Produit]],tbl_ProduitsRef[Produit],0)),
   ""
)</f>
        <v/>
      </c>
      <c r="G4295" s="7">
        <f>tbl_Ventes[[#This Row],[Qté Vendue]] * IFERROR(_xlfn.XLOOKUP(tbl_Ventes[[#This Row],[Cde_Prdt]], tbl_Produits[Cde_Prdt], tbl_Produits[Prix Menu]), 0)</f>
        <v>0</v>
      </c>
      <c r="H4295" s="7">
        <f>IFERROR(_xlfn.XLOOKUP(tbl_Ventes[[#This Row],[Cde_Prdt]], tbl_Produits[Cde_Prdt], tbl_Produits[Coût Moyen Portion]), 0)</f>
        <v>0</v>
      </c>
      <c r="I4295" s="7">
        <f>tbl_Ventes[[#This Row],[Qté Vendue]] * tbl_Ventes[[#This Row],[CMP_par_portion]]</f>
        <v>0</v>
      </c>
      <c r="J4295" s="7">
        <f>tbl_Ventes[[#This Row],[CA ligne]] - tbl_Ventes[[#This Row],[Coût matière ligne]]</f>
        <v>0</v>
      </c>
      <c r="K4295" s="7" t="str">
        <f>IFERROR(INDEX(tbl_ProduitsRef[Famille], MATCH(tbl_Ventes[[#This Row],[Cde_Prdt]], tbl_Produits[Cde_Prdt], 0)), "")</f>
        <v/>
      </c>
    </row>
    <row r="4296" spans="1:11" x14ac:dyDescent="0.25">
      <c r="A4296" s="5"/>
      <c r="B4296" s="63" t="str">
        <f>IFERROR(TEXT(tbl_Ventes[[#This Row],[Date]],"mm-aaaa"),"")</f>
        <v>01-1900</v>
      </c>
      <c r="D4296" s="10" t="str">
        <f>IFERROR(
   INDEX(tbl_ProduitsRef[Cde_Prdt],MATCH(tbl_Ventes[[#This Row],[Produit]],tbl_ProduitsRef[Produit],0)),
   ""
)</f>
        <v/>
      </c>
      <c r="E4296" s="7">
        <v>0</v>
      </c>
      <c r="F4296" s="7" t="str">
        <f>IFERROR(
   INDEX(tbl_ProduitsRef[Prix Menu],MATCH(tbl_Ventes[[#This Row],[Produit]],tbl_ProduitsRef[Produit],0)),
   ""
)</f>
        <v/>
      </c>
      <c r="G4296" s="7">
        <f>tbl_Ventes[[#This Row],[Qté Vendue]] * IFERROR(_xlfn.XLOOKUP(tbl_Ventes[[#This Row],[Cde_Prdt]], tbl_Produits[Cde_Prdt], tbl_Produits[Prix Menu]), 0)</f>
        <v>0</v>
      </c>
      <c r="H4296" s="7">
        <f>IFERROR(_xlfn.XLOOKUP(tbl_Ventes[[#This Row],[Cde_Prdt]], tbl_Produits[Cde_Prdt], tbl_Produits[Coût Moyen Portion]), 0)</f>
        <v>0</v>
      </c>
      <c r="I4296" s="7">
        <f>tbl_Ventes[[#This Row],[Qté Vendue]] * tbl_Ventes[[#This Row],[CMP_par_portion]]</f>
        <v>0</v>
      </c>
      <c r="J4296" s="7">
        <f>tbl_Ventes[[#This Row],[CA ligne]] - tbl_Ventes[[#This Row],[Coût matière ligne]]</f>
        <v>0</v>
      </c>
      <c r="K4296" s="7" t="str">
        <f>IFERROR(INDEX(tbl_ProduitsRef[Famille], MATCH(tbl_Ventes[[#This Row],[Cde_Prdt]], tbl_Produits[Cde_Prdt], 0)), "")</f>
        <v/>
      </c>
    </row>
    <row r="4297" spans="1:11" x14ac:dyDescent="0.25">
      <c r="A4297" s="5"/>
      <c r="B4297" s="63" t="str">
        <f>IFERROR(TEXT(tbl_Ventes[[#This Row],[Date]],"mm-aaaa"),"")</f>
        <v>01-1900</v>
      </c>
      <c r="D4297" s="10" t="str">
        <f>IFERROR(
   INDEX(tbl_ProduitsRef[Cde_Prdt],MATCH(tbl_Ventes[[#This Row],[Produit]],tbl_ProduitsRef[Produit],0)),
   ""
)</f>
        <v/>
      </c>
      <c r="E4297" s="7">
        <v>0</v>
      </c>
      <c r="F4297" s="7" t="str">
        <f>IFERROR(
   INDEX(tbl_ProduitsRef[Prix Menu],MATCH(tbl_Ventes[[#This Row],[Produit]],tbl_ProduitsRef[Produit],0)),
   ""
)</f>
        <v/>
      </c>
      <c r="G4297" s="7">
        <f>tbl_Ventes[[#This Row],[Qté Vendue]] * IFERROR(_xlfn.XLOOKUP(tbl_Ventes[[#This Row],[Cde_Prdt]], tbl_Produits[Cde_Prdt], tbl_Produits[Prix Menu]), 0)</f>
        <v>0</v>
      </c>
      <c r="H4297" s="7">
        <f>IFERROR(_xlfn.XLOOKUP(tbl_Ventes[[#This Row],[Cde_Prdt]], tbl_Produits[Cde_Prdt], tbl_Produits[Coût Moyen Portion]), 0)</f>
        <v>0</v>
      </c>
      <c r="I4297" s="7">
        <f>tbl_Ventes[[#This Row],[Qté Vendue]] * tbl_Ventes[[#This Row],[CMP_par_portion]]</f>
        <v>0</v>
      </c>
      <c r="J4297" s="7">
        <f>tbl_Ventes[[#This Row],[CA ligne]] - tbl_Ventes[[#This Row],[Coût matière ligne]]</f>
        <v>0</v>
      </c>
      <c r="K4297" s="7" t="str">
        <f>IFERROR(INDEX(tbl_ProduitsRef[Famille], MATCH(tbl_Ventes[[#This Row],[Cde_Prdt]], tbl_Produits[Cde_Prdt], 0)), "")</f>
        <v/>
      </c>
    </row>
    <row r="4298" spans="1:11" x14ac:dyDescent="0.25">
      <c r="A4298" s="5"/>
      <c r="B4298" s="63" t="str">
        <f>IFERROR(TEXT(tbl_Ventes[[#This Row],[Date]],"mm-aaaa"),"")</f>
        <v>01-1900</v>
      </c>
      <c r="D4298" s="10" t="str">
        <f>IFERROR(
   INDEX(tbl_ProduitsRef[Cde_Prdt],MATCH(tbl_Ventes[[#This Row],[Produit]],tbl_ProduitsRef[Produit],0)),
   ""
)</f>
        <v/>
      </c>
      <c r="E4298" s="7">
        <v>0</v>
      </c>
      <c r="F4298" s="7" t="str">
        <f>IFERROR(
   INDEX(tbl_ProduitsRef[Prix Menu],MATCH(tbl_Ventes[[#This Row],[Produit]],tbl_ProduitsRef[Produit],0)),
   ""
)</f>
        <v/>
      </c>
      <c r="G4298" s="7">
        <f>tbl_Ventes[[#This Row],[Qté Vendue]] * IFERROR(_xlfn.XLOOKUP(tbl_Ventes[[#This Row],[Cde_Prdt]], tbl_Produits[Cde_Prdt], tbl_Produits[Prix Menu]), 0)</f>
        <v>0</v>
      </c>
      <c r="H4298" s="7">
        <f>IFERROR(_xlfn.XLOOKUP(tbl_Ventes[[#This Row],[Cde_Prdt]], tbl_Produits[Cde_Prdt], tbl_Produits[Coût Moyen Portion]), 0)</f>
        <v>0</v>
      </c>
      <c r="I4298" s="7">
        <f>tbl_Ventes[[#This Row],[Qté Vendue]] * tbl_Ventes[[#This Row],[CMP_par_portion]]</f>
        <v>0</v>
      </c>
      <c r="J4298" s="7">
        <f>tbl_Ventes[[#This Row],[CA ligne]] - tbl_Ventes[[#This Row],[Coût matière ligne]]</f>
        <v>0</v>
      </c>
      <c r="K4298" s="7" t="str">
        <f>IFERROR(INDEX(tbl_ProduitsRef[Famille], MATCH(tbl_Ventes[[#This Row],[Cde_Prdt]], tbl_Produits[Cde_Prdt], 0)), "")</f>
        <v/>
      </c>
    </row>
    <row r="4299" spans="1:11" x14ac:dyDescent="0.25">
      <c r="A4299" s="5"/>
      <c r="B4299" s="63" t="str">
        <f>IFERROR(TEXT(tbl_Ventes[[#This Row],[Date]],"mm-aaaa"),"")</f>
        <v>01-1900</v>
      </c>
      <c r="D4299" s="10" t="str">
        <f>IFERROR(
   INDEX(tbl_ProduitsRef[Cde_Prdt],MATCH(tbl_Ventes[[#This Row],[Produit]],tbl_ProduitsRef[Produit],0)),
   ""
)</f>
        <v/>
      </c>
      <c r="E4299" s="7">
        <v>0</v>
      </c>
      <c r="F4299" s="7" t="str">
        <f>IFERROR(
   INDEX(tbl_ProduitsRef[Prix Menu],MATCH(tbl_Ventes[[#This Row],[Produit]],tbl_ProduitsRef[Produit],0)),
   ""
)</f>
        <v/>
      </c>
      <c r="G4299" s="7">
        <f>tbl_Ventes[[#This Row],[Qté Vendue]] * IFERROR(_xlfn.XLOOKUP(tbl_Ventes[[#This Row],[Cde_Prdt]], tbl_Produits[Cde_Prdt], tbl_Produits[Prix Menu]), 0)</f>
        <v>0</v>
      </c>
      <c r="H4299" s="7">
        <f>IFERROR(_xlfn.XLOOKUP(tbl_Ventes[[#This Row],[Cde_Prdt]], tbl_Produits[Cde_Prdt], tbl_Produits[Coût Moyen Portion]), 0)</f>
        <v>0</v>
      </c>
      <c r="I4299" s="7">
        <f>tbl_Ventes[[#This Row],[Qté Vendue]] * tbl_Ventes[[#This Row],[CMP_par_portion]]</f>
        <v>0</v>
      </c>
      <c r="J4299" s="7">
        <f>tbl_Ventes[[#This Row],[CA ligne]] - tbl_Ventes[[#This Row],[Coût matière ligne]]</f>
        <v>0</v>
      </c>
      <c r="K4299" s="7" t="str">
        <f>IFERROR(INDEX(tbl_ProduitsRef[Famille], MATCH(tbl_Ventes[[#This Row],[Cde_Prdt]], tbl_Produits[Cde_Prdt], 0)), "")</f>
        <v/>
      </c>
    </row>
    <row r="4300" spans="1:11" x14ac:dyDescent="0.25">
      <c r="A4300" s="5"/>
      <c r="B4300" s="63" t="str">
        <f>IFERROR(TEXT(tbl_Ventes[[#This Row],[Date]],"mm-aaaa"),"")</f>
        <v>01-1900</v>
      </c>
      <c r="D4300" s="10" t="str">
        <f>IFERROR(
   INDEX(tbl_ProduitsRef[Cde_Prdt],MATCH(tbl_Ventes[[#This Row],[Produit]],tbl_ProduitsRef[Produit],0)),
   ""
)</f>
        <v/>
      </c>
      <c r="E4300" s="7">
        <v>0</v>
      </c>
      <c r="F4300" s="7" t="str">
        <f>IFERROR(
   INDEX(tbl_ProduitsRef[Prix Menu],MATCH(tbl_Ventes[[#This Row],[Produit]],tbl_ProduitsRef[Produit],0)),
   ""
)</f>
        <v/>
      </c>
      <c r="G4300" s="7">
        <f>tbl_Ventes[[#This Row],[Qté Vendue]] * IFERROR(_xlfn.XLOOKUP(tbl_Ventes[[#This Row],[Cde_Prdt]], tbl_Produits[Cde_Prdt], tbl_Produits[Prix Menu]), 0)</f>
        <v>0</v>
      </c>
      <c r="H4300" s="7">
        <f>IFERROR(_xlfn.XLOOKUP(tbl_Ventes[[#This Row],[Cde_Prdt]], tbl_Produits[Cde_Prdt], tbl_Produits[Coût Moyen Portion]), 0)</f>
        <v>0</v>
      </c>
      <c r="I4300" s="7">
        <f>tbl_Ventes[[#This Row],[Qté Vendue]] * tbl_Ventes[[#This Row],[CMP_par_portion]]</f>
        <v>0</v>
      </c>
      <c r="J4300" s="7">
        <f>tbl_Ventes[[#This Row],[CA ligne]] - tbl_Ventes[[#This Row],[Coût matière ligne]]</f>
        <v>0</v>
      </c>
      <c r="K4300" s="7" t="str">
        <f>IFERROR(INDEX(tbl_ProduitsRef[Famille], MATCH(tbl_Ventes[[#This Row],[Cde_Prdt]], tbl_Produits[Cde_Prdt], 0)), "")</f>
        <v/>
      </c>
    </row>
    <row r="4301" spans="1:11" x14ac:dyDescent="0.25">
      <c r="A4301" s="5"/>
      <c r="B4301" s="63" t="str">
        <f>IFERROR(TEXT(tbl_Ventes[[#This Row],[Date]],"mm-aaaa"),"")</f>
        <v>01-1900</v>
      </c>
      <c r="D4301" s="10" t="str">
        <f>IFERROR(
   INDEX(tbl_ProduitsRef[Cde_Prdt],MATCH(tbl_Ventes[[#This Row],[Produit]],tbl_ProduitsRef[Produit],0)),
   ""
)</f>
        <v/>
      </c>
      <c r="E4301" s="7">
        <v>0</v>
      </c>
      <c r="F4301" s="7" t="str">
        <f>IFERROR(
   INDEX(tbl_ProduitsRef[Prix Menu],MATCH(tbl_Ventes[[#This Row],[Produit]],tbl_ProduitsRef[Produit],0)),
   ""
)</f>
        <v/>
      </c>
      <c r="G4301" s="7">
        <f>tbl_Ventes[[#This Row],[Qté Vendue]] * IFERROR(_xlfn.XLOOKUP(tbl_Ventes[[#This Row],[Cde_Prdt]], tbl_Produits[Cde_Prdt], tbl_Produits[Prix Menu]), 0)</f>
        <v>0</v>
      </c>
      <c r="H4301" s="7">
        <f>IFERROR(_xlfn.XLOOKUP(tbl_Ventes[[#This Row],[Cde_Prdt]], tbl_Produits[Cde_Prdt], tbl_Produits[Coût Moyen Portion]), 0)</f>
        <v>0</v>
      </c>
      <c r="I4301" s="7">
        <f>tbl_Ventes[[#This Row],[Qté Vendue]] * tbl_Ventes[[#This Row],[CMP_par_portion]]</f>
        <v>0</v>
      </c>
      <c r="J4301" s="7">
        <f>tbl_Ventes[[#This Row],[CA ligne]] - tbl_Ventes[[#This Row],[Coût matière ligne]]</f>
        <v>0</v>
      </c>
      <c r="K4301" s="7" t="str">
        <f>IFERROR(INDEX(tbl_ProduitsRef[Famille], MATCH(tbl_Ventes[[#This Row],[Cde_Prdt]], tbl_Produits[Cde_Prdt], 0)), "")</f>
        <v/>
      </c>
    </row>
    <row r="4302" spans="1:11" x14ac:dyDescent="0.25">
      <c r="A4302" s="5"/>
      <c r="B4302" s="63" t="str">
        <f>IFERROR(TEXT(tbl_Ventes[[#This Row],[Date]],"mm-aaaa"),"")</f>
        <v>01-1900</v>
      </c>
      <c r="D4302" s="10" t="str">
        <f>IFERROR(
   INDEX(tbl_ProduitsRef[Cde_Prdt],MATCH(tbl_Ventes[[#This Row],[Produit]],tbl_ProduitsRef[Produit],0)),
   ""
)</f>
        <v/>
      </c>
      <c r="E4302" s="7">
        <v>0</v>
      </c>
      <c r="F4302" s="7" t="str">
        <f>IFERROR(
   INDEX(tbl_ProduitsRef[Prix Menu],MATCH(tbl_Ventes[[#This Row],[Produit]],tbl_ProduitsRef[Produit],0)),
   ""
)</f>
        <v/>
      </c>
      <c r="G4302" s="7">
        <f>tbl_Ventes[[#This Row],[Qté Vendue]] * IFERROR(_xlfn.XLOOKUP(tbl_Ventes[[#This Row],[Cde_Prdt]], tbl_Produits[Cde_Prdt], tbl_Produits[Prix Menu]), 0)</f>
        <v>0</v>
      </c>
      <c r="H4302" s="7">
        <f>IFERROR(_xlfn.XLOOKUP(tbl_Ventes[[#This Row],[Cde_Prdt]], tbl_Produits[Cde_Prdt], tbl_Produits[Coût Moyen Portion]), 0)</f>
        <v>0</v>
      </c>
      <c r="I4302" s="7">
        <f>tbl_Ventes[[#This Row],[Qté Vendue]] * tbl_Ventes[[#This Row],[CMP_par_portion]]</f>
        <v>0</v>
      </c>
      <c r="J4302" s="7">
        <f>tbl_Ventes[[#This Row],[CA ligne]] - tbl_Ventes[[#This Row],[Coût matière ligne]]</f>
        <v>0</v>
      </c>
      <c r="K4302" s="7" t="str">
        <f>IFERROR(INDEX(tbl_ProduitsRef[Famille], MATCH(tbl_Ventes[[#This Row],[Cde_Prdt]], tbl_Produits[Cde_Prdt], 0)), "")</f>
        <v/>
      </c>
    </row>
    <row r="4303" spans="1:11" x14ac:dyDescent="0.25">
      <c r="A4303" s="5"/>
      <c r="B4303" s="63" t="str">
        <f>IFERROR(TEXT(tbl_Ventes[[#This Row],[Date]],"mm-aaaa"),"")</f>
        <v>01-1900</v>
      </c>
      <c r="D4303" s="10" t="str">
        <f>IFERROR(
   INDEX(tbl_ProduitsRef[Cde_Prdt],MATCH(tbl_Ventes[[#This Row],[Produit]],tbl_ProduitsRef[Produit],0)),
   ""
)</f>
        <v/>
      </c>
      <c r="E4303" s="7">
        <v>0</v>
      </c>
      <c r="F4303" s="7" t="str">
        <f>IFERROR(
   INDEX(tbl_ProduitsRef[Prix Menu],MATCH(tbl_Ventes[[#This Row],[Produit]],tbl_ProduitsRef[Produit],0)),
   ""
)</f>
        <v/>
      </c>
      <c r="G4303" s="7">
        <f>tbl_Ventes[[#This Row],[Qté Vendue]] * IFERROR(_xlfn.XLOOKUP(tbl_Ventes[[#This Row],[Cde_Prdt]], tbl_Produits[Cde_Prdt], tbl_Produits[Prix Menu]), 0)</f>
        <v>0</v>
      </c>
      <c r="H4303" s="7">
        <f>IFERROR(_xlfn.XLOOKUP(tbl_Ventes[[#This Row],[Cde_Prdt]], tbl_Produits[Cde_Prdt], tbl_Produits[Coût Moyen Portion]), 0)</f>
        <v>0</v>
      </c>
      <c r="I4303" s="7">
        <f>tbl_Ventes[[#This Row],[Qté Vendue]] * tbl_Ventes[[#This Row],[CMP_par_portion]]</f>
        <v>0</v>
      </c>
      <c r="J4303" s="7">
        <f>tbl_Ventes[[#This Row],[CA ligne]] - tbl_Ventes[[#This Row],[Coût matière ligne]]</f>
        <v>0</v>
      </c>
      <c r="K4303" s="7" t="str">
        <f>IFERROR(INDEX(tbl_ProduitsRef[Famille], MATCH(tbl_Ventes[[#This Row],[Cde_Prdt]], tbl_Produits[Cde_Prdt], 0)), "")</f>
        <v/>
      </c>
    </row>
    <row r="4304" spans="1:11" x14ac:dyDescent="0.25">
      <c r="A4304" s="5"/>
      <c r="B4304" s="63" t="str">
        <f>IFERROR(TEXT(tbl_Ventes[[#This Row],[Date]],"mm-aaaa"),"")</f>
        <v>01-1900</v>
      </c>
      <c r="D4304" s="10" t="str">
        <f>IFERROR(
   INDEX(tbl_ProduitsRef[Cde_Prdt],MATCH(tbl_Ventes[[#This Row],[Produit]],tbl_ProduitsRef[Produit],0)),
   ""
)</f>
        <v/>
      </c>
      <c r="E4304" s="7">
        <v>0</v>
      </c>
      <c r="F4304" s="7" t="str">
        <f>IFERROR(
   INDEX(tbl_ProduitsRef[Prix Menu],MATCH(tbl_Ventes[[#This Row],[Produit]],tbl_ProduitsRef[Produit],0)),
   ""
)</f>
        <v/>
      </c>
      <c r="G4304" s="7">
        <f>tbl_Ventes[[#This Row],[Qté Vendue]] * IFERROR(_xlfn.XLOOKUP(tbl_Ventes[[#This Row],[Cde_Prdt]], tbl_Produits[Cde_Prdt], tbl_Produits[Prix Menu]), 0)</f>
        <v>0</v>
      </c>
      <c r="H4304" s="7">
        <f>IFERROR(_xlfn.XLOOKUP(tbl_Ventes[[#This Row],[Cde_Prdt]], tbl_Produits[Cde_Prdt], tbl_Produits[Coût Moyen Portion]), 0)</f>
        <v>0</v>
      </c>
      <c r="I4304" s="7">
        <f>tbl_Ventes[[#This Row],[Qté Vendue]] * tbl_Ventes[[#This Row],[CMP_par_portion]]</f>
        <v>0</v>
      </c>
      <c r="J4304" s="7">
        <f>tbl_Ventes[[#This Row],[CA ligne]] - tbl_Ventes[[#This Row],[Coût matière ligne]]</f>
        <v>0</v>
      </c>
      <c r="K4304" s="7" t="str">
        <f>IFERROR(INDEX(tbl_ProduitsRef[Famille], MATCH(tbl_Ventes[[#This Row],[Cde_Prdt]], tbl_Produits[Cde_Prdt], 0)), "")</f>
        <v/>
      </c>
    </row>
    <row r="4305" spans="1:11" x14ac:dyDescent="0.25">
      <c r="A4305" s="5"/>
      <c r="B4305" s="63" t="str">
        <f>IFERROR(TEXT(tbl_Ventes[[#This Row],[Date]],"mm-aaaa"),"")</f>
        <v>01-1900</v>
      </c>
      <c r="D4305" s="10" t="str">
        <f>IFERROR(
   INDEX(tbl_ProduitsRef[Cde_Prdt],MATCH(tbl_Ventes[[#This Row],[Produit]],tbl_ProduitsRef[Produit],0)),
   ""
)</f>
        <v/>
      </c>
      <c r="E4305" s="7">
        <v>0</v>
      </c>
      <c r="F4305" s="7" t="str">
        <f>IFERROR(
   INDEX(tbl_ProduitsRef[Prix Menu],MATCH(tbl_Ventes[[#This Row],[Produit]],tbl_ProduitsRef[Produit],0)),
   ""
)</f>
        <v/>
      </c>
      <c r="G4305" s="7">
        <f>tbl_Ventes[[#This Row],[Qté Vendue]] * IFERROR(_xlfn.XLOOKUP(tbl_Ventes[[#This Row],[Cde_Prdt]], tbl_Produits[Cde_Prdt], tbl_Produits[Prix Menu]), 0)</f>
        <v>0</v>
      </c>
      <c r="H4305" s="7">
        <f>IFERROR(_xlfn.XLOOKUP(tbl_Ventes[[#This Row],[Cde_Prdt]], tbl_Produits[Cde_Prdt], tbl_Produits[Coût Moyen Portion]), 0)</f>
        <v>0</v>
      </c>
      <c r="I4305" s="7">
        <f>tbl_Ventes[[#This Row],[Qté Vendue]] * tbl_Ventes[[#This Row],[CMP_par_portion]]</f>
        <v>0</v>
      </c>
      <c r="J4305" s="7">
        <f>tbl_Ventes[[#This Row],[CA ligne]] - tbl_Ventes[[#This Row],[Coût matière ligne]]</f>
        <v>0</v>
      </c>
      <c r="K4305" s="7" t="str">
        <f>IFERROR(INDEX(tbl_ProduitsRef[Famille], MATCH(tbl_Ventes[[#This Row],[Cde_Prdt]], tbl_Produits[Cde_Prdt], 0)), "")</f>
        <v/>
      </c>
    </row>
    <row r="4306" spans="1:11" x14ac:dyDescent="0.25">
      <c r="A4306" s="5"/>
      <c r="B4306" s="63" t="str">
        <f>IFERROR(TEXT(tbl_Ventes[[#This Row],[Date]],"mm-aaaa"),"")</f>
        <v>01-1900</v>
      </c>
      <c r="D4306" s="10" t="str">
        <f>IFERROR(
   INDEX(tbl_ProduitsRef[Cde_Prdt],MATCH(tbl_Ventes[[#This Row],[Produit]],tbl_ProduitsRef[Produit],0)),
   ""
)</f>
        <v/>
      </c>
      <c r="E4306" s="7">
        <v>0</v>
      </c>
      <c r="F4306" s="7" t="str">
        <f>IFERROR(
   INDEX(tbl_ProduitsRef[Prix Menu],MATCH(tbl_Ventes[[#This Row],[Produit]],tbl_ProduitsRef[Produit],0)),
   ""
)</f>
        <v/>
      </c>
      <c r="G4306" s="7">
        <f>tbl_Ventes[[#This Row],[Qté Vendue]] * IFERROR(_xlfn.XLOOKUP(tbl_Ventes[[#This Row],[Cde_Prdt]], tbl_Produits[Cde_Prdt], tbl_Produits[Prix Menu]), 0)</f>
        <v>0</v>
      </c>
      <c r="H4306" s="7">
        <f>IFERROR(_xlfn.XLOOKUP(tbl_Ventes[[#This Row],[Cde_Prdt]], tbl_Produits[Cde_Prdt], tbl_Produits[Coût Moyen Portion]), 0)</f>
        <v>0</v>
      </c>
      <c r="I4306" s="7">
        <f>tbl_Ventes[[#This Row],[Qté Vendue]] * tbl_Ventes[[#This Row],[CMP_par_portion]]</f>
        <v>0</v>
      </c>
      <c r="J4306" s="7">
        <f>tbl_Ventes[[#This Row],[CA ligne]] - tbl_Ventes[[#This Row],[Coût matière ligne]]</f>
        <v>0</v>
      </c>
      <c r="K4306" s="7" t="str">
        <f>IFERROR(INDEX(tbl_ProduitsRef[Famille], MATCH(tbl_Ventes[[#This Row],[Cde_Prdt]], tbl_Produits[Cde_Prdt], 0)), "")</f>
        <v/>
      </c>
    </row>
    <row r="4307" spans="1:11" x14ac:dyDescent="0.25">
      <c r="A4307" s="5"/>
      <c r="B4307" s="63" t="str">
        <f>IFERROR(TEXT(tbl_Ventes[[#This Row],[Date]],"mm-aaaa"),"")</f>
        <v>01-1900</v>
      </c>
      <c r="D4307" s="10" t="str">
        <f>IFERROR(
   INDEX(tbl_ProduitsRef[Cde_Prdt],MATCH(tbl_Ventes[[#This Row],[Produit]],tbl_ProduitsRef[Produit],0)),
   ""
)</f>
        <v/>
      </c>
      <c r="E4307" s="7">
        <v>0</v>
      </c>
      <c r="F4307" s="7" t="str">
        <f>IFERROR(
   INDEX(tbl_ProduitsRef[Prix Menu],MATCH(tbl_Ventes[[#This Row],[Produit]],tbl_ProduitsRef[Produit],0)),
   ""
)</f>
        <v/>
      </c>
      <c r="G4307" s="7">
        <f>tbl_Ventes[[#This Row],[Qté Vendue]] * IFERROR(_xlfn.XLOOKUP(tbl_Ventes[[#This Row],[Cde_Prdt]], tbl_Produits[Cde_Prdt], tbl_Produits[Prix Menu]), 0)</f>
        <v>0</v>
      </c>
      <c r="H4307" s="7">
        <f>IFERROR(_xlfn.XLOOKUP(tbl_Ventes[[#This Row],[Cde_Prdt]], tbl_Produits[Cde_Prdt], tbl_Produits[Coût Moyen Portion]), 0)</f>
        <v>0</v>
      </c>
      <c r="I4307" s="7">
        <f>tbl_Ventes[[#This Row],[Qté Vendue]] * tbl_Ventes[[#This Row],[CMP_par_portion]]</f>
        <v>0</v>
      </c>
      <c r="J4307" s="7">
        <f>tbl_Ventes[[#This Row],[CA ligne]] - tbl_Ventes[[#This Row],[Coût matière ligne]]</f>
        <v>0</v>
      </c>
      <c r="K4307" s="7" t="str">
        <f>IFERROR(INDEX(tbl_ProduitsRef[Famille], MATCH(tbl_Ventes[[#This Row],[Cde_Prdt]], tbl_Produits[Cde_Prdt], 0)), "")</f>
        <v/>
      </c>
    </row>
    <row r="4308" spans="1:11" x14ac:dyDescent="0.25">
      <c r="A4308" s="5"/>
      <c r="B4308" s="63" t="str">
        <f>IFERROR(TEXT(tbl_Ventes[[#This Row],[Date]],"mm-aaaa"),"")</f>
        <v>01-1900</v>
      </c>
      <c r="D4308" s="10" t="str">
        <f>IFERROR(
   INDEX(tbl_ProduitsRef[Cde_Prdt],MATCH(tbl_Ventes[[#This Row],[Produit]],tbl_ProduitsRef[Produit],0)),
   ""
)</f>
        <v/>
      </c>
      <c r="E4308" s="7">
        <v>0</v>
      </c>
      <c r="F4308" s="7" t="str">
        <f>IFERROR(
   INDEX(tbl_ProduitsRef[Prix Menu],MATCH(tbl_Ventes[[#This Row],[Produit]],tbl_ProduitsRef[Produit],0)),
   ""
)</f>
        <v/>
      </c>
      <c r="G4308" s="7">
        <f>tbl_Ventes[[#This Row],[Qté Vendue]] * IFERROR(_xlfn.XLOOKUP(tbl_Ventes[[#This Row],[Cde_Prdt]], tbl_Produits[Cde_Prdt], tbl_Produits[Prix Menu]), 0)</f>
        <v>0</v>
      </c>
      <c r="H4308" s="7">
        <f>IFERROR(_xlfn.XLOOKUP(tbl_Ventes[[#This Row],[Cde_Prdt]], tbl_Produits[Cde_Prdt], tbl_Produits[Coût Moyen Portion]), 0)</f>
        <v>0</v>
      </c>
      <c r="I4308" s="7">
        <f>tbl_Ventes[[#This Row],[Qté Vendue]] * tbl_Ventes[[#This Row],[CMP_par_portion]]</f>
        <v>0</v>
      </c>
      <c r="J4308" s="7">
        <f>tbl_Ventes[[#This Row],[CA ligne]] - tbl_Ventes[[#This Row],[Coût matière ligne]]</f>
        <v>0</v>
      </c>
      <c r="K4308" s="7" t="str">
        <f>IFERROR(INDEX(tbl_ProduitsRef[Famille], MATCH(tbl_Ventes[[#This Row],[Cde_Prdt]], tbl_Produits[Cde_Prdt], 0)), "")</f>
        <v/>
      </c>
    </row>
    <row r="4309" spans="1:11" x14ac:dyDescent="0.25">
      <c r="A4309" s="5"/>
      <c r="B4309" s="63" t="str">
        <f>IFERROR(TEXT(tbl_Ventes[[#This Row],[Date]],"mm-aaaa"),"")</f>
        <v>01-1900</v>
      </c>
      <c r="D4309" s="10" t="str">
        <f>IFERROR(
   INDEX(tbl_ProduitsRef[Cde_Prdt],MATCH(tbl_Ventes[[#This Row],[Produit]],tbl_ProduitsRef[Produit],0)),
   ""
)</f>
        <v/>
      </c>
      <c r="E4309" s="7">
        <v>0</v>
      </c>
      <c r="F4309" s="7" t="str">
        <f>IFERROR(
   INDEX(tbl_ProduitsRef[Prix Menu],MATCH(tbl_Ventes[[#This Row],[Produit]],tbl_ProduitsRef[Produit],0)),
   ""
)</f>
        <v/>
      </c>
      <c r="G4309" s="7">
        <f>tbl_Ventes[[#This Row],[Qté Vendue]] * IFERROR(_xlfn.XLOOKUP(tbl_Ventes[[#This Row],[Cde_Prdt]], tbl_Produits[Cde_Prdt], tbl_Produits[Prix Menu]), 0)</f>
        <v>0</v>
      </c>
      <c r="H4309" s="7">
        <f>IFERROR(_xlfn.XLOOKUP(tbl_Ventes[[#This Row],[Cde_Prdt]], tbl_Produits[Cde_Prdt], tbl_Produits[Coût Moyen Portion]), 0)</f>
        <v>0</v>
      </c>
      <c r="I4309" s="7">
        <f>tbl_Ventes[[#This Row],[Qté Vendue]] * tbl_Ventes[[#This Row],[CMP_par_portion]]</f>
        <v>0</v>
      </c>
      <c r="J4309" s="7">
        <f>tbl_Ventes[[#This Row],[CA ligne]] - tbl_Ventes[[#This Row],[Coût matière ligne]]</f>
        <v>0</v>
      </c>
      <c r="K4309" s="7" t="str">
        <f>IFERROR(INDEX(tbl_ProduitsRef[Famille], MATCH(tbl_Ventes[[#This Row],[Cde_Prdt]], tbl_Produits[Cde_Prdt], 0)), "")</f>
        <v/>
      </c>
    </row>
    <row r="4310" spans="1:11" x14ac:dyDescent="0.25">
      <c r="A4310" s="5"/>
      <c r="B4310" s="63" t="str">
        <f>IFERROR(TEXT(tbl_Ventes[[#This Row],[Date]],"mm-aaaa"),"")</f>
        <v>01-1900</v>
      </c>
      <c r="D4310" s="10" t="str">
        <f>IFERROR(
   INDEX(tbl_ProduitsRef[Cde_Prdt],MATCH(tbl_Ventes[[#This Row],[Produit]],tbl_ProduitsRef[Produit],0)),
   ""
)</f>
        <v/>
      </c>
      <c r="E4310" s="7">
        <v>0</v>
      </c>
      <c r="F4310" s="7" t="str">
        <f>IFERROR(
   INDEX(tbl_ProduitsRef[Prix Menu],MATCH(tbl_Ventes[[#This Row],[Produit]],tbl_ProduitsRef[Produit],0)),
   ""
)</f>
        <v/>
      </c>
      <c r="G4310" s="7">
        <f>tbl_Ventes[[#This Row],[Qté Vendue]] * IFERROR(_xlfn.XLOOKUP(tbl_Ventes[[#This Row],[Cde_Prdt]], tbl_Produits[Cde_Prdt], tbl_Produits[Prix Menu]), 0)</f>
        <v>0</v>
      </c>
      <c r="H4310" s="7">
        <f>IFERROR(_xlfn.XLOOKUP(tbl_Ventes[[#This Row],[Cde_Prdt]], tbl_Produits[Cde_Prdt], tbl_Produits[Coût Moyen Portion]), 0)</f>
        <v>0</v>
      </c>
      <c r="I4310" s="7">
        <f>tbl_Ventes[[#This Row],[Qté Vendue]] * tbl_Ventes[[#This Row],[CMP_par_portion]]</f>
        <v>0</v>
      </c>
      <c r="J4310" s="7">
        <f>tbl_Ventes[[#This Row],[CA ligne]] - tbl_Ventes[[#This Row],[Coût matière ligne]]</f>
        <v>0</v>
      </c>
      <c r="K4310" s="7" t="str">
        <f>IFERROR(INDEX(tbl_ProduitsRef[Famille], MATCH(tbl_Ventes[[#This Row],[Cde_Prdt]], tbl_Produits[Cde_Prdt], 0)), "")</f>
        <v/>
      </c>
    </row>
    <row r="4311" spans="1:11" x14ac:dyDescent="0.25">
      <c r="A4311" s="5"/>
      <c r="B4311" s="63" t="str">
        <f>IFERROR(TEXT(tbl_Ventes[[#This Row],[Date]],"mm-aaaa"),"")</f>
        <v>01-1900</v>
      </c>
      <c r="D4311" s="10" t="str">
        <f>IFERROR(
   INDEX(tbl_ProduitsRef[Cde_Prdt],MATCH(tbl_Ventes[[#This Row],[Produit]],tbl_ProduitsRef[Produit],0)),
   ""
)</f>
        <v/>
      </c>
      <c r="E4311" s="7">
        <v>0</v>
      </c>
      <c r="F4311" s="7" t="str">
        <f>IFERROR(
   INDEX(tbl_ProduitsRef[Prix Menu],MATCH(tbl_Ventes[[#This Row],[Produit]],tbl_ProduitsRef[Produit],0)),
   ""
)</f>
        <v/>
      </c>
      <c r="G4311" s="7">
        <f>tbl_Ventes[[#This Row],[Qté Vendue]] * IFERROR(_xlfn.XLOOKUP(tbl_Ventes[[#This Row],[Cde_Prdt]], tbl_Produits[Cde_Prdt], tbl_Produits[Prix Menu]), 0)</f>
        <v>0</v>
      </c>
      <c r="H4311" s="7">
        <f>IFERROR(_xlfn.XLOOKUP(tbl_Ventes[[#This Row],[Cde_Prdt]], tbl_Produits[Cde_Prdt], tbl_Produits[Coût Moyen Portion]), 0)</f>
        <v>0</v>
      </c>
      <c r="I4311" s="7">
        <f>tbl_Ventes[[#This Row],[Qté Vendue]] * tbl_Ventes[[#This Row],[CMP_par_portion]]</f>
        <v>0</v>
      </c>
      <c r="J4311" s="7">
        <f>tbl_Ventes[[#This Row],[CA ligne]] - tbl_Ventes[[#This Row],[Coût matière ligne]]</f>
        <v>0</v>
      </c>
      <c r="K4311" s="7" t="str">
        <f>IFERROR(INDEX(tbl_ProduitsRef[Famille], MATCH(tbl_Ventes[[#This Row],[Cde_Prdt]], tbl_Produits[Cde_Prdt], 0)), "")</f>
        <v/>
      </c>
    </row>
    <row r="4312" spans="1:11" x14ac:dyDescent="0.25">
      <c r="A4312" s="5"/>
      <c r="B4312" s="63" t="str">
        <f>IFERROR(TEXT(tbl_Ventes[[#This Row],[Date]],"mm-aaaa"),"")</f>
        <v>01-1900</v>
      </c>
      <c r="D4312" s="10" t="str">
        <f>IFERROR(
   INDEX(tbl_ProduitsRef[Cde_Prdt],MATCH(tbl_Ventes[[#This Row],[Produit]],tbl_ProduitsRef[Produit],0)),
   ""
)</f>
        <v/>
      </c>
      <c r="E4312" s="7">
        <v>0</v>
      </c>
      <c r="F4312" s="7" t="str">
        <f>IFERROR(
   INDEX(tbl_ProduitsRef[Prix Menu],MATCH(tbl_Ventes[[#This Row],[Produit]],tbl_ProduitsRef[Produit],0)),
   ""
)</f>
        <v/>
      </c>
      <c r="G4312" s="7">
        <f>tbl_Ventes[[#This Row],[Qté Vendue]] * IFERROR(_xlfn.XLOOKUP(tbl_Ventes[[#This Row],[Cde_Prdt]], tbl_Produits[Cde_Prdt], tbl_Produits[Prix Menu]), 0)</f>
        <v>0</v>
      </c>
      <c r="H4312" s="7">
        <f>IFERROR(_xlfn.XLOOKUP(tbl_Ventes[[#This Row],[Cde_Prdt]], tbl_Produits[Cde_Prdt], tbl_Produits[Coût Moyen Portion]), 0)</f>
        <v>0</v>
      </c>
      <c r="I4312" s="7">
        <f>tbl_Ventes[[#This Row],[Qté Vendue]] * tbl_Ventes[[#This Row],[CMP_par_portion]]</f>
        <v>0</v>
      </c>
      <c r="J4312" s="7">
        <f>tbl_Ventes[[#This Row],[CA ligne]] - tbl_Ventes[[#This Row],[Coût matière ligne]]</f>
        <v>0</v>
      </c>
      <c r="K4312" s="7" t="str">
        <f>IFERROR(INDEX(tbl_ProduitsRef[Famille], MATCH(tbl_Ventes[[#This Row],[Cde_Prdt]], tbl_Produits[Cde_Prdt], 0)), "")</f>
        <v/>
      </c>
    </row>
    <row r="4313" spans="1:11" x14ac:dyDescent="0.25">
      <c r="A4313" s="5"/>
      <c r="B4313" s="63" t="str">
        <f>IFERROR(TEXT(tbl_Ventes[[#This Row],[Date]],"mm-aaaa"),"")</f>
        <v>01-1900</v>
      </c>
      <c r="D4313" s="10" t="str">
        <f>IFERROR(
   INDEX(tbl_ProduitsRef[Cde_Prdt],MATCH(tbl_Ventes[[#This Row],[Produit]],tbl_ProduitsRef[Produit],0)),
   ""
)</f>
        <v/>
      </c>
      <c r="E4313" s="7">
        <v>0</v>
      </c>
      <c r="F4313" s="7" t="str">
        <f>IFERROR(
   INDEX(tbl_ProduitsRef[Prix Menu],MATCH(tbl_Ventes[[#This Row],[Produit]],tbl_ProduitsRef[Produit],0)),
   ""
)</f>
        <v/>
      </c>
      <c r="G4313" s="7">
        <f>tbl_Ventes[[#This Row],[Qté Vendue]] * IFERROR(_xlfn.XLOOKUP(tbl_Ventes[[#This Row],[Cde_Prdt]], tbl_Produits[Cde_Prdt], tbl_Produits[Prix Menu]), 0)</f>
        <v>0</v>
      </c>
      <c r="H4313" s="7">
        <f>IFERROR(_xlfn.XLOOKUP(tbl_Ventes[[#This Row],[Cde_Prdt]], tbl_Produits[Cde_Prdt], tbl_Produits[Coût Moyen Portion]), 0)</f>
        <v>0</v>
      </c>
      <c r="I4313" s="7">
        <f>tbl_Ventes[[#This Row],[Qté Vendue]] * tbl_Ventes[[#This Row],[CMP_par_portion]]</f>
        <v>0</v>
      </c>
      <c r="J4313" s="7">
        <f>tbl_Ventes[[#This Row],[CA ligne]] - tbl_Ventes[[#This Row],[Coût matière ligne]]</f>
        <v>0</v>
      </c>
      <c r="K4313" s="7" t="str">
        <f>IFERROR(INDEX(tbl_ProduitsRef[Famille], MATCH(tbl_Ventes[[#This Row],[Cde_Prdt]], tbl_Produits[Cde_Prdt], 0)), "")</f>
        <v/>
      </c>
    </row>
    <row r="4314" spans="1:11" x14ac:dyDescent="0.25">
      <c r="A4314" s="5"/>
      <c r="B4314" s="63" t="str">
        <f>IFERROR(TEXT(tbl_Ventes[[#This Row],[Date]],"mm-aaaa"),"")</f>
        <v>01-1900</v>
      </c>
      <c r="D4314" s="10" t="str">
        <f>IFERROR(
   INDEX(tbl_ProduitsRef[Cde_Prdt],MATCH(tbl_Ventes[[#This Row],[Produit]],tbl_ProduitsRef[Produit],0)),
   ""
)</f>
        <v/>
      </c>
      <c r="E4314" s="7">
        <v>0</v>
      </c>
      <c r="F4314" s="7" t="str">
        <f>IFERROR(
   INDEX(tbl_ProduitsRef[Prix Menu],MATCH(tbl_Ventes[[#This Row],[Produit]],tbl_ProduitsRef[Produit],0)),
   ""
)</f>
        <v/>
      </c>
      <c r="G4314" s="7">
        <f>tbl_Ventes[[#This Row],[Qté Vendue]] * IFERROR(_xlfn.XLOOKUP(tbl_Ventes[[#This Row],[Cde_Prdt]], tbl_Produits[Cde_Prdt], tbl_Produits[Prix Menu]), 0)</f>
        <v>0</v>
      </c>
      <c r="H4314" s="7">
        <f>IFERROR(_xlfn.XLOOKUP(tbl_Ventes[[#This Row],[Cde_Prdt]], tbl_Produits[Cde_Prdt], tbl_Produits[Coût Moyen Portion]), 0)</f>
        <v>0</v>
      </c>
      <c r="I4314" s="7">
        <f>tbl_Ventes[[#This Row],[Qté Vendue]] * tbl_Ventes[[#This Row],[CMP_par_portion]]</f>
        <v>0</v>
      </c>
      <c r="J4314" s="7">
        <f>tbl_Ventes[[#This Row],[CA ligne]] - tbl_Ventes[[#This Row],[Coût matière ligne]]</f>
        <v>0</v>
      </c>
      <c r="K4314" s="7" t="str">
        <f>IFERROR(INDEX(tbl_ProduitsRef[Famille], MATCH(tbl_Ventes[[#This Row],[Cde_Prdt]], tbl_Produits[Cde_Prdt], 0)), "")</f>
        <v/>
      </c>
    </row>
    <row r="4315" spans="1:11" x14ac:dyDescent="0.25">
      <c r="A4315" s="5"/>
      <c r="B4315" s="63" t="str">
        <f>IFERROR(TEXT(tbl_Ventes[[#This Row],[Date]],"mm-aaaa"),"")</f>
        <v>01-1900</v>
      </c>
      <c r="D4315" s="10" t="str">
        <f>IFERROR(
   INDEX(tbl_ProduitsRef[Cde_Prdt],MATCH(tbl_Ventes[[#This Row],[Produit]],tbl_ProduitsRef[Produit],0)),
   ""
)</f>
        <v/>
      </c>
      <c r="E4315" s="7">
        <v>0</v>
      </c>
      <c r="F4315" s="7" t="str">
        <f>IFERROR(
   INDEX(tbl_ProduitsRef[Prix Menu],MATCH(tbl_Ventes[[#This Row],[Produit]],tbl_ProduitsRef[Produit],0)),
   ""
)</f>
        <v/>
      </c>
      <c r="G4315" s="7">
        <f>tbl_Ventes[[#This Row],[Qté Vendue]] * IFERROR(_xlfn.XLOOKUP(tbl_Ventes[[#This Row],[Cde_Prdt]], tbl_Produits[Cde_Prdt], tbl_Produits[Prix Menu]), 0)</f>
        <v>0</v>
      </c>
      <c r="H4315" s="7">
        <f>IFERROR(_xlfn.XLOOKUP(tbl_Ventes[[#This Row],[Cde_Prdt]], tbl_Produits[Cde_Prdt], tbl_Produits[Coût Moyen Portion]), 0)</f>
        <v>0</v>
      </c>
      <c r="I4315" s="7">
        <f>tbl_Ventes[[#This Row],[Qté Vendue]] * tbl_Ventes[[#This Row],[CMP_par_portion]]</f>
        <v>0</v>
      </c>
      <c r="J4315" s="7">
        <f>tbl_Ventes[[#This Row],[CA ligne]] - tbl_Ventes[[#This Row],[Coût matière ligne]]</f>
        <v>0</v>
      </c>
      <c r="K4315" s="7" t="str">
        <f>IFERROR(INDEX(tbl_ProduitsRef[Famille], MATCH(tbl_Ventes[[#This Row],[Cde_Prdt]], tbl_Produits[Cde_Prdt], 0)), "")</f>
        <v/>
      </c>
    </row>
    <row r="4316" spans="1:11" x14ac:dyDescent="0.25">
      <c r="A4316" s="5"/>
      <c r="B4316" s="63" t="str">
        <f>IFERROR(TEXT(tbl_Ventes[[#This Row],[Date]],"mm-aaaa"),"")</f>
        <v>01-1900</v>
      </c>
      <c r="D4316" s="10" t="str">
        <f>IFERROR(
   INDEX(tbl_ProduitsRef[Cde_Prdt],MATCH(tbl_Ventes[[#This Row],[Produit]],tbl_ProduitsRef[Produit],0)),
   ""
)</f>
        <v/>
      </c>
      <c r="E4316" s="7">
        <v>0</v>
      </c>
      <c r="F4316" s="7" t="str">
        <f>IFERROR(
   INDEX(tbl_ProduitsRef[Prix Menu],MATCH(tbl_Ventes[[#This Row],[Produit]],tbl_ProduitsRef[Produit],0)),
   ""
)</f>
        <v/>
      </c>
      <c r="G4316" s="7">
        <f>tbl_Ventes[[#This Row],[Qté Vendue]] * IFERROR(_xlfn.XLOOKUP(tbl_Ventes[[#This Row],[Cde_Prdt]], tbl_Produits[Cde_Prdt], tbl_Produits[Prix Menu]), 0)</f>
        <v>0</v>
      </c>
      <c r="H4316" s="7">
        <f>IFERROR(_xlfn.XLOOKUP(tbl_Ventes[[#This Row],[Cde_Prdt]], tbl_Produits[Cde_Prdt], tbl_Produits[Coût Moyen Portion]), 0)</f>
        <v>0</v>
      </c>
      <c r="I4316" s="7">
        <f>tbl_Ventes[[#This Row],[Qté Vendue]] * tbl_Ventes[[#This Row],[CMP_par_portion]]</f>
        <v>0</v>
      </c>
      <c r="J4316" s="7">
        <f>tbl_Ventes[[#This Row],[CA ligne]] - tbl_Ventes[[#This Row],[Coût matière ligne]]</f>
        <v>0</v>
      </c>
      <c r="K4316" s="7" t="str">
        <f>IFERROR(INDEX(tbl_ProduitsRef[Famille], MATCH(tbl_Ventes[[#This Row],[Cde_Prdt]], tbl_Produits[Cde_Prdt], 0)), "")</f>
        <v/>
      </c>
    </row>
    <row r="4317" spans="1:11" x14ac:dyDescent="0.25">
      <c r="A4317" s="5"/>
      <c r="B4317" s="63" t="str">
        <f>IFERROR(TEXT(tbl_Ventes[[#This Row],[Date]],"mm-aaaa"),"")</f>
        <v>01-1900</v>
      </c>
      <c r="D4317" s="10" t="str">
        <f>IFERROR(
   INDEX(tbl_ProduitsRef[Cde_Prdt],MATCH(tbl_Ventes[[#This Row],[Produit]],tbl_ProduitsRef[Produit],0)),
   ""
)</f>
        <v/>
      </c>
      <c r="E4317" s="7">
        <v>0</v>
      </c>
      <c r="F4317" s="7" t="str">
        <f>IFERROR(
   INDEX(tbl_ProduitsRef[Prix Menu],MATCH(tbl_Ventes[[#This Row],[Produit]],tbl_ProduitsRef[Produit],0)),
   ""
)</f>
        <v/>
      </c>
      <c r="G4317" s="7">
        <f>tbl_Ventes[[#This Row],[Qté Vendue]] * IFERROR(_xlfn.XLOOKUP(tbl_Ventes[[#This Row],[Cde_Prdt]], tbl_Produits[Cde_Prdt], tbl_Produits[Prix Menu]), 0)</f>
        <v>0</v>
      </c>
      <c r="H4317" s="7">
        <f>IFERROR(_xlfn.XLOOKUP(tbl_Ventes[[#This Row],[Cde_Prdt]], tbl_Produits[Cde_Prdt], tbl_Produits[Coût Moyen Portion]), 0)</f>
        <v>0</v>
      </c>
      <c r="I4317" s="7">
        <f>tbl_Ventes[[#This Row],[Qté Vendue]] * tbl_Ventes[[#This Row],[CMP_par_portion]]</f>
        <v>0</v>
      </c>
      <c r="J4317" s="7">
        <f>tbl_Ventes[[#This Row],[CA ligne]] - tbl_Ventes[[#This Row],[Coût matière ligne]]</f>
        <v>0</v>
      </c>
      <c r="K4317" s="7" t="str">
        <f>IFERROR(INDEX(tbl_ProduitsRef[Famille], MATCH(tbl_Ventes[[#This Row],[Cde_Prdt]], tbl_Produits[Cde_Prdt], 0)), "")</f>
        <v/>
      </c>
    </row>
    <row r="4318" spans="1:11" x14ac:dyDescent="0.25">
      <c r="A4318" s="5"/>
      <c r="B4318" s="63" t="str">
        <f>IFERROR(TEXT(tbl_Ventes[[#This Row],[Date]],"mm-aaaa"),"")</f>
        <v>01-1900</v>
      </c>
      <c r="D4318" s="10" t="str">
        <f>IFERROR(
   INDEX(tbl_ProduitsRef[Cde_Prdt],MATCH(tbl_Ventes[[#This Row],[Produit]],tbl_ProduitsRef[Produit],0)),
   ""
)</f>
        <v/>
      </c>
      <c r="E4318" s="7">
        <v>0</v>
      </c>
      <c r="F4318" s="7" t="str">
        <f>IFERROR(
   INDEX(tbl_ProduitsRef[Prix Menu],MATCH(tbl_Ventes[[#This Row],[Produit]],tbl_ProduitsRef[Produit],0)),
   ""
)</f>
        <v/>
      </c>
      <c r="G4318" s="7">
        <f>tbl_Ventes[[#This Row],[Qté Vendue]] * IFERROR(_xlfn.XLOOKUP(tbl_Ventes[[#This Row],[Cde_Prdt]], tbl_Produits[Cde_Prdt], tbl_Produits[Prix Menu]), 0)</f>
        <v>0</v>
      </c>
      <c r="H4318" s="7">
        <f>IFERROR(_xlfn.XLOOKUP(tbl_Ventes[[#This Row],[Cde_Prdt]], tbl_Produits[Cde_Prdt], tbl_Produits[Coût Moyen Portion]), 0)</f>
        <v>0</v>
      </c>
      <c r="I4318" s="7">
        <f>tbl_Ventes[[#This Row],[Qté Vendue]] * tbl_Ventes[[#This Row],[CMP_par_portion]]</f>
        <v>0</v>
      </c>
      <c r="J4318" s="7">
        <f>tbl_Ventes[[#This Row],[CA ligne]] - tbl_Ventes[[#This Row],[Coût matière ligne]]</f>
        <v>0</v>
      </c>
      <c r="K4318" s="7" t="str">
        <f>IFERROR(INDEX(tbl_ProduitsRef[Famille], MATCH(tbl_Ventes[[#This Row],[Cde_Prdt]], tbl_Produits[Cde_Prdt], 0)), "")</f>
        <v/>
      </c>
    </row>
    <row r="4319" spans="1:11" x14ac:dyDescent="0.25">
      <c r="A4319" s="5"/>
      <c r="B4319" s="63" t="str">
        <f>IFERROR(TEXT(tbl_Ventes[[#This Row],[Date]],"mm-aaaa"),"")</f>
        <v>01-1900</v>
      </c>
      <c r="D4319" s="10" t="str">
        <f>IFERROR(
   INDEX(tbl_ProduitsRef[Cde_Prdt],MATCH(tbl_Ventes[[#This Row],[Produit]],tbl_ProduitsRef[Produit],0)),
   ""
)</f>
        <v/>
      </c>
      <c r="E4319" s="7">
        <v>0</v>
      </c>
      <c r="F4319" s="7" t="str">
        <f>IFERROR(
   INDEX(tbl_ProduitsRef[Prix Menu],MATCH(tbl_Ventes[[#This Row],[Produit]],tbl_ProduitsRef[Produit],0)),
   ""
)</f>
        <v/>
      </c>
      <c r="G4319" s="7">
        <f>tbl_Ventes[[#This Row],[Qté Vendue]] * IFERROR(_xlfn.XLOOKUP(tbl_Ventes[[#This Row],[Cde_Prdt]], tbl_Produits[Cde_Prdt], tbl_Produits[Prix Menu]), 0)</f>
        <v>0</v>
      </c>
      <c r="H4319" s="7">
        <f>IFERROR(_xlfn.XLOOKUP(tbl_Ventes[[#This Row],[Cde_Prdt]], tbl_Produits[Cde_Prdt], tbl_Produits[Coût Moyen Portion]), 0)</f>
        <v>0</v>
      </c>
      <c r="I4319" s="7">
        <f>tbl_Ventes[[#This Row],[Qté Vendue]] * tbl_Ventes[[#This Row],[CMP_par_portion]]</f>
        <v>0</v>
      </c>
      <c r="J4319" s="7">
        <f>tbl_Ventes[[#This Row],[CA ligne]] - tbl_Ventes[[#This Row],[Coût matière ligne]]</f>
        <v>0</v>
      </c>
      <c r="K4319" s="7" t="str">
        <f>IFERROR(INDEX(tbl_ProduitsRef[Famille], MATCH(tbl_Ventes[[#This Row],[Cde_Prdt]], tbl_Produits[Cde_Prdt], 0)), "")</f>
        <v/>
      </c>
    </row>
    <row r="4320" spans="1:11" x14ac:dyDescent="0.25">
      <c r="A4320" s="5"/>
      <c r="B4320" s="63" t="str">
        <f>IFERROR(TEXT(tbl_Ventes[[#This Row],[Date]],"mm-aaaa"),"")</f>
        <v>01-1900</v>
      </c>
      <c r="D4320" s="10" t="str">
        <f>IFERROR(
   INDEX(tbl_ProduitsRef[Cde_Prdt],MATCH(tbl_Ventes[[#This Row],[Produit]],tbl_ProduitsRef[Produit],0)),
   ""
)</f>
        <v/>
      </c>
      <c r="E4320" s="7">
        <v>0</v>
      </c>
      <c r="F4320" s="7" t="str">
        <f>IFERROR(
   INDEX(tbl_ProduitsRef[Prix Menu],MATCH(tbl_Ventes[[#This Row],[Produit]],tbl_ProduitsRef[Produit],0)),
   ""
)</f>
        <v/>
      </c>
      <c r="G4320" s="7">
        <f>tbl_Ventes[[#This Row],[Qté Vendue]] * IFERROR(_xlfn.XLOOKUP(tbl_Ventes[[#This Row],[Cde_Prdt]], tbl_Produits[Cde_Prdt], tbl_Produits[Prix Menu]), 0)</f>
        <v>0</v>
      </c>
      <c r="H4320" s="7">
        <f>IFERROR(_xlfn.XLOOKUP(tbl_Ventes[[#This Row],[Cde_Prdt]], tbl_Produits[Cde_Prdt], tbl_Produits[Coût Moyen Portion]), 0)</f>
        <v>0</v>
      </c>
      <c r="I4320" s="7">
        <f>tbl_Ventes[[#This Row],[Qté Vendue]] * tbl_Ventes[[#This Row],[CMP_par_portion]]</f>
        <v>0</v>
      </c>
      <c r="J4320" s="7">
        <f>tbl_Ventes[[#This Row],[CA ligne]] - tbl_Ventes[[#This Row],[Coût matière ligne]]</f>
        <v>0</v>
      </c>
      <c r="K4320" s="7" t="str">
        <f>IFERROR(INDEX(tbl_ProduitsRef[Famille], MATCH(tbl_Ventes[[#This Row],[Cde_Prdt]], tbl_Produits[Cde_Prdt], 0)), "")</f>
        <v/>
      </c>
    </row>
    <row r="4321" spans="1:11" x14ac:dyDescent="0.25">
      <c r="A4321" s="5"/>
      <c r="B4321" s="63" t="str">
        <f>IFERROR(TEXT(tbl_Ventes[[#This Row],[Date]],"mm-aaaa"),"")</f>
        <v>01-1900</v>
      </c>
      <c r="D4321" s="10" t="str">
        <f>IFERROR(
   INDEX(tbl_ProduitsRef[Cde_Prdt],MATCH(tbl_Ventes[[#This Row],[Produit]],tbl_ProduitsRef[Produit],0)),
   ""
)</f>
        <v/>
      </c>
      <c r="E4321" s="7">
        <v>0</v>
      </c>
      <c r="F4321" s="7" t="str">
        <f>IFERROR(
   INDEX(tbl_ProduitsRef[Prix Menu],MATCH(tbl_Ventes[[#This Row],[Produit]],tbl_ProduitsRef[Produit],0)),
   ""
)</f>
        <v/>
      </c>
      <c r="G4321" s="7">
        <f>tbl_Ventes[[#This Row],[Qté Vendue]] * IFERROR(_xlfn.XLOOKUP(tbl_Ventes[[#This Row],[Cde_Prdt]], tbl_Produits[Cde_Prdt], tbl_Produits[Prix Menu]), 0)</f>
        <v>0</v>
      </c>
      <c r="H4321" s="7">
        <f>IFERROR(_xlfn.XLOOKUP(tbl_Ventes[[#This Row],[Cde_Prdt]], tbl_Produits[Cde_Prdt], tbl_Produits[Coût Moyen Portion]), 0)</f>
        <v>0</v>
      </c>
      <c r="I4321" s="7">
        <f>tbl_Ventes[[#This Row],[Qté Vendue]] * tbl_Ventes[[#This Row],[CMP_par_portion]]</f>
        <v>0</v>
      </c>
      <c r="J4321" s="7">
        <f>tbl_Ventes[[#This Row],[CA ligne]] - tbl_Ventes[[#This Row],[Coût matière ligne]]</f>
        <v>0</v>
      </c>
      <c r="K4321" s="7" t="str">
        <f>IFERROR(INDEX(tbl_ProduitsRef[Famille], MATCH(tbl_Ventes[[#This Row],[Cde_Prdt]], tbl_Produits[Cde_Prdt], 0)), "")</f>
        <v/>
      </c>
    </row>
    <row r="4322" spans="1:11" x14ac:dyDescent="0.25">
      <c r="A4322" s="5"/>
      <c r="B4322" s="63" t="str">
        <f>IFERROR(TEXT(tbl_Ventes[[#This Row],[Date]],"mm-aaaa"),"")</f>
        <v>01-1900</v>
      </c>
      <c r="D4322" s="10" t="str">
        <f>IFERROR(
   INDEX(tbl_ProduitsRef[Cde_Prdt],MATCH(tbl_Ventes[[#This Row],[Produit]],tbl_ProduitsRef[Produit],0)),
   ""
)</f>
        <v/>
      </c>
      <c r="E4322" s="7">
        <v>0</v>
      </c>
      <c r="F4322" s="7" t="str">
        <f>IFERROR(
   INDEX(tbl_ProduitsRef[Prix Menu],MATCH(tbl_Ventes[[#This Row],[Produit]],tbl_ProduitsRef[Produit],0)),
   ""
)</f>
        <v/>
      </c>
      <c r="G4322" s="7">
        <f>tbl_Ventes[[#This Row],[Qté Vendue]] * IFERROR(_xlfn.XLOOKUP(tbl_Ventes[[#This Row],[Cde_Prdt]], tbl_Produits[Cde_Prdt], tbl_Produits[Prix Menu]), 0)</f>
        <v>0</v>
      </c>
      <c r="H4322" s="7">
        <f>IFERROR(_xlfn.XLOOKUP(tbl_Ventes[[#This Row],[Cde_Prdt]], tbl_Produits[Cde_Prdt], tbl_Produits[Coût Moyen Portion]), 0)</f>
        <v>0</v>
      </c>
      <c r="I4322" s="7">
        <f>tbl_Ventes[[#This Row],[Qté Vendue]] * tbl_Ventes[[#This Row],[CMP_par_portion]]</f>
        <v>0</v>
      </c>
      <c r="J4322" s="7">
        <f>tbl_Ventes[[#This Row],[CA ligne]] - tbl_Ventes[[#This Row],[Coût matière ligne]]</f>
        <v>0</v>
      </c>
      <c r="K4322" s="7" t="str">
        <f>IFERROR(INDEX(tbl_ProduitsRef[Famille], MATCH(tbl_Ventes[[#This Row],[Cde_Prdt]], tbl_Produits[Cde_Prdt], 0)), "")</f>
        <v/>
      </c>
    </row>
    <row r="4323" spans="1:11" x14ac:dyDescent="0.25">
      <c r="A4323" s="5"/>
      <c r="B4323" s="63" t="str">
        <f>IFERROR(TEXT(tbl_Ventes[[#This Row],[Date]],"mm-aaaa"),"")</f>
        <v>01-1900</v>
      </c>
      <c r="D4323" s="10" t="str">
        <f>IFERROR(
   INDEX(tbl_ProduitsRef[Cde_Prdt],MATCH(tbl_Ventes[[#This Row],[Produit]],tbl_ProduitsRef[Produit],0)),
   ""
)</f>
        <v/>
      </c>
      <c r="E4323" s="7">
        <v>0</v>
      </c>
      <c r="F4323" s="7" t="str">
        <f>IFERROR(
   INDEX(tbl_ProduitsRef[Prix Menu],MATCH(tbl_Ventes[[#This Row],[Produit]],tbl_ProduitsRef[Produit],0)),
   ""
)</f>
        <v/>
      </c>
      <c r="G4323" s="7">
        <f>tbl_Ventes[[#This Row],[Qté Vendue]] * IFERROR(_xlfn.XLOOKUP(tbl_Ventes[[#This Row],[Cde_Prdt]], tbl_Produits[Cde_Prdt], tbl_Produits[Prix Menu]), 0)</f>
        <v>0</v>
      </c>
      <c r="H4323" s="7">
        <f>IFERROR(_xlfn.XLOOKUP(tbl_Ventes[[#This Row],[Cde_Prdt]], tbl_Produits[Cde_Prdt], tbl_Produits[Coût Moyen Portion]), 0)</f>
        <v>0</v>
      </c>
      <c r="I4323" s="7">
        <f>tbl_Ventes[[#This Row],[Qté Vendue]] * tbl_Ventes[[#This Row],[CMP_par_portion]]</f>
        <v>0</v>
      </c>
      <c r="J4323" s="7">
        <f>tbl_Ventes[[#This Row],[CA ligne]] - tbl_Ventes[[#This Row],[Coût matière ligne]]</f>
        <v>0</v>
      </c>
      <c r="K4323" s="7" t="str">
        <f>IFERROR(INDEX(tbl_ProduitsRef[Famille], MATCH(tbl_Ventes[[#This Row],[Cde_Prdt]], tbl_Produits[Cde_Prdt], 0)), "")</f>
        <v/>
      </c>
    </row>
    <row r="4324" spans="1:11" x14ac:dyDescent="0.25">
      <c r="A4324" s="5"/>
      <c r="B4324" s="63" t="str">
        <f>IFERROR(TEXT(tbl_Ventes[[#This Row],[Date]],"mm-aaaa"),"")</f>
        <v>01-1900</v>
      </c>
      <c r="D4324" s="10" t="str">
        <f>IFERROR(
   INDEX(tbl_ProduitsRef[Cde_Prdt],MATCH(tbl_Ventes[[#This Row],[Produit]],tbl_ProduitsRef[Produit],0)),
   ""
)</f>
        <v/>
      </c>
      <c r="E4324" s="7">
        <v>0</v>
      </c>
      <c r="F4324" s="7" t="str">
        <f>IFERROR(
   INDEX(tbl_ProduitsRef[Prix Menu],MATCH(tbl_Ventes[[#This Row],[Produit]],tbl_ProduitsRef[Produit],0)),
   ""
)</f>
        <v/>
      </c>
      <c r="G4324" s="7">
        <f>tbl_Ventes[[#This Row],[Qté Vendue]] * IFERROR(_xlfn.XLOOKUP(tbl_Ventes[[#This Row],[Cde_Prdt]], tbl_Produits[Cde_Prdt], tbl_Produits[Prix Menu]), 0)</f>
        <v>0</v>
      </c>
      <c r="H4324" s="7">
        <f>IFERROR(_xlfn.XLOOKUP(tbl_Ventes[[#This Row],[Cde_Prdt]], tbl_Produits[Cde_Prdt], tbl_Produits[Coût Moyen Portion]), 0)</f>
        <v>0</v>
      </c>
      <c r="I4324" s="7">
        <f>tbl_Ventes[[#This Row],[Qté Vendue]] * tbl_Ventes[[#This Row],[CMP_par_portion]]</f>
        <v>0</v>
      </c>
      <c r="J4324" s="7">
        <f>tbl_Ventes[[#This Row],[CA ligne]] - tbl_Ventes[[#This Row],[Coût matière ligne]]</f>
        <v>0</v>
      </c>
      <c r="K4324" s="7" t="str">
        <f>IFERROR(INDEX(tbl_ProduitsRef[Famille], MATCH(tbl_Ventes[[#This Row],[Cde_Prdt]], tbl_Produits[Cde_Prdt], 0)), "")</f>
        <v/>
      </c>
    </row>
    <row r="4325" spans="1:11" x14ac:dyDescent="0.25">
      <c r="A4325" s="5"/>
      <c r="B4325" s="63" t="str">
        <f>IFERROR(TEXT(tbl_Ventes[[#This Row],[Date]],"mm-aaaa"),"")</f>
        <v>01-1900</v>
      </c>
      <c r="D4325" s="10" t="str">
        <f>IFERROR(
   INDEX(tbl_ProduitsRef[Cde_Prdt],MATCH(tbl_Ventes[[#This Row],[Produit]],tbl_ProduitsRef[Produit],0)),
   ""
)</f>
        <v/>
      </c>
      <c r="E4325" s="7">
        <v>0</v>
      </c>
      <c r="F4325" s="7" t="str">
        <f>IFERROR(
   INDEX(tbl_ProduitsRef[Prix Menu],MATCH(tbl_Ventes[[#This Row],[Produit]],tbl_ProduitsRef[Produit],0)),
   ""
)</f>
        <v/>
      </c>
      <c r="G4325" s="7">
        <f>tbl_Ventes[[#This Row],[Qté Vendue]] * IFERROR(_xlfn.XLOOKUP(tbl_Ventes[[#This Row],[Cde_Prdt]], tbl_Produits[Cde_Prdt], tbl_Produits[Prix Menu]), 0)</f>
        <v>0</v>
      </c>
      <c r="H4325" s="7">
        <f>IFERROR(_xlfn.XLOOKUP(tbl_Ventes[[#This Row],[Cde_Prdt]], tbl_Produits[Cde_Prdt], tbl_Produits[Coût Moyen Portion]), 0)</f>
        <v>0</v>
      </c>
      <c r="I4325" s="7">
        <f>tbl_Ventes[[#This Row],[Qté Vendue]] * tbl_Ventes[[#This Row],[CMP_par_portion]]</f>
        <v>0</v>
      </c>
      <c r="J4325" s="7">
        <f>tbl_Ventes[[#This Row],[CA ligne]] - tbl_Ventes[[#This Row],[Coût matière ligne]]</f>
        <v>0</v>
      </c>
      <c r="K4325" s="7" t="str">
        <f>IFERROR(INDEX(tbl_ProduitsRef[Famille], MATCH(tbl_Ventes[[#This Row],[Cde_Prdt]], tbl_Produits[Cde_Prdt], 0)), "")</f>
        <v/>
      </c>
    </row>
    <row r="4326" spans="1:11" x14ac:dyDescent="0.25">
      <c r="A4326" s="5"/>
      <c r="B4326" s="63" t="str">
        <f>IFERROR(TEXT(tbl_Ventes[[#This Row],[Date]],"mm-aaaa"),"")</f>
        <v>01-1900</v>
      </c>
      <c r="D4326" s="10" t="str">
        <f>IFERROR(
   INDEX(tbl_ProduitsRef[Cde_Prdt],MATCH(tbl_Ventes[[#This Row],[Produit]],tbl_ProduitsRef[Produit],0)),
   ""
)</f>
        <v/>
      </c>
      <c r="E4326" s="7">
        <v>0</v>
      </c>
      <c r="F4326" s="7" t="str">
        <f>IFERROR(
   INDEX(tbl_ProduitsRef[Prix Menu],MATCH(tbl_Ventes[[#This Row],[Produit]],tbl_ProduitsRef[Produit],0)),
   ""
)</f>
        <v/>
      </c>
      <c r="G4326" s="7">
        <f>tbl_Ventes[[#This Row],[Qté Vendue]] * IFERROR(_xlfn.XLOOKUP(tbl_Ventes[[#This Row],[Cde_Prdt]], tbl_Produits[Cde_Prdt], tbl_Produits[Prix Menu]), 0)</f>
        <v>0</v>
      </c>
      <c r="H4326" s="7">
        <f>IFERROR(_xlfn.XLOOKUP(tbl_Ventes[[#This Row],[Cde_Prdt]], tbl_Produits[Cde_Prdt], tbl_Produits[Coût Moyen Portion]), 0)</f>
        <v>0</v>
      </c>
      <c r="I4326" s="7">
        <f>tbl_Ventes[[#This Row],[Qté Vendue]] * tbl_Ventes[[#This Row],[CMP_par_portion]]</f>
        <v>0</v>
      </c>
      <c r="J4326" s="7">
        <f>tbl_Ventes[[#This Row],[CA ligne]] - tbl_Ventes[[#This Row],[Coût matière ligne]]</f>
        <v>0</v>
      </c>
      <c r="K4326" s="7" t="str">
        <f>IFERROR(INDEX(tbl_ProduitsRef[Famille], MATCH(tbl_Ventes[[#This Row],[Cde_Prdt]], tbl_Produits[Cde_Prdt], 0)), "")</f>
        <v/>
      </c>
    </row>
    <row r="4327" spans="1:11" x14ac:dyDescent="0.25">
      <c r="A4327" s="5"/>
      <c r="B4327" s="63" t="str">
        <f>IFERROR(TEXT(tbl_Ventes[[#This Row],[Date]],"mm-aaaa"),"")</f>
        <v>01-1900</v>
      </c>
      <c r="D4327" s="10" t="str">
        <f>IFERROR(
   INDEX(tbl_ProduitsRef[Cde_Prdt],MATCH(tbl_Ventes[[#This Row],[Produit]],tbl_ProduitsRef[Produit],0)),
   ""
)</f>
        <v/>
      </c>
      <c r="E4327" s="7">
        <v>0</v>
      </c>
      <c r="F4327" s="7" t="str">
        <f>IFERROR(
   INDEX(tbl_ProduitsRef[Prix Menu],MATCH(tbl_Ventes[[#This Row],[Produit]],tbl_ProduitsRef[Produit],0)),
   ""
)</f>
        <v/>
      </c>
      <c r="G4327" s="7">
        <f>tbl_Ventes[[#This Row],[Qté Vendue]] * IFERROR(_xlfn.XLOOKUP(tbl_Ventes[[#This Row],[Cde_Prdt]], tbl_Produits[Cde_Prdt], tbl_Produits[Prix Menu]), 0)</f>
        <v>0</v>
      </c>
      <c r="H4327" s="7">
        <f>IFERROR(_xlfn.XLOOKUP(tbl_Ventes[[#This Row],[Cde_Prdt]], tbl_Produits[Cde_Prdt], tbl_Produits[Coût Moyen Portion]), 0)</f>
        <v>0</v>
      </c>
      <c r="I4327" s="7">
        <f>tbl_Ventes[[#This Row],[Qté Vendue]] * tbl_Ventes[[#This Row],[CMP_par_portion]]</f>
        <v>0</v>
      </c>
      <c r="J4327" s="7">
        <f>tbl_Ventes[[#This Row],[CA ligne]] - tbl_Ventes[[#This Row],[Coût matière ligne]]</f>
        <v>0</v>
      </c>
      <c r="K4327" s="7" t="str">
        <f>IFERROR(INDEX(tbl_ProduitsRef[Famille], MATCH(tbl_Ventes[[#This Row],[Cde_Prdt]], tbl_Produits[Cde_Prdt], 0)), "")</f>
        <v/>
      </c>
    </row>
    <row r="4328" spans="1:11" x14ac:dyDescent="0.25">
      <c r="A4328" s="5"/>
      <c r="B4328" s="63" t="str">
        <f>IFERROR(TEXT(tbl_Ventes[[#This Row],[Date]],"mm-aaaa"),"")</f>
        <v>01-1900</v>
      </c>
      <c r="D4328" s="10" t="str">
        <f>IFERROR(
   INDEX(tbl_ProduitsRef[Cde_Prdt],MATCH(tbl_Ventes[[#This Row],[Produit]],tbl_ProduitsRef[Produit],0)),
   ""
)</f>
        <v/>
      </c>
      <c r="E4328" s="7">
        <v>0</v>
      </c>
      <c r="F4328" s="7" t="str">
        <f>IFERROR(
   INDEX(tbl_ProduitsRef[Prix Menu],MATCH(tbl_Ventes[[#This Row],[Produit]],tbl_ProduitsRef[Produit],0)),
   ""
)</f>
        <v/>
      </c>
      <c r="G4328" s="7">
        <f>tbl_Ventes[[#This Row],[Qté Vendue]] * IFERROR(_xlfn.XLOOKUP(tbl_Ventes[[#This Row],[Cde_Prdt]], tbl_Produits[Cde_Prdt], tbl_Produits[Prix Menu]), 0)</f>
        <v>0</v>
      </c>
      <c r="H4328" s="7">
        <f>IFERROR(_xlfn.XLOOKUP(tbl_Ventes[[#This Row],[Cde_Prdt]], tbl_Produits[Cde_Prdt], tbl_Produits[Coût Moyen Portion]), 0)</f>
        <v>0</v>
      </c>
      <c r="I4328" s="7">
        <f>tbl_Ventes[[#This Row],[Qté Vendue]] * tbl_Ventes[[#This Row],[CMP_par_portion]]</f>
        <v>0</v>
      </c>
      <c r="J4328" s="7">
        <f>tbl_Ventes[[#This Row],[CA ligne]] - tbl_Ventes[[#This Row],[Coût matière ligne]]</f>
        <v>0</v>
      </c>
      <c r="K4328" s="7" t="str">
        <f>IFERROR(INDEX(tbl_ProduitsRef[Famille], MATCH(tbl_Ventes[[#This Row],[Cde_Prdt]], tbl_Produits[Cde_Prdt], 0)), "")</f>
        <v/>
      </c>
    </row>
    <row r="4329" spans="1:11" x14ac:dyDescent="0.25">
      <c r="A4329" s="5"/>
      <c r="B4329" s="63" t="str">
        <f>IFERROR(TEXT(tbl_Ventes[[#This Row],[Date]],"mm-aaaa"),"")</f>
        <v>01-1900</v>
      </c>
      <c r="D4329" s="10" t="str">
        <f>IFERROR(
   INDEX(tbl_ProduitsRef[Cde_Prdt],MATCH(tbl_Ventes[[#This Row],[Produit]],tbl_ProduitsRef[Produit],0)),
   ""
)</f>
        <v/>
      </c>
      <c r="E4329" s="7">
        <v>0</v>
      </c>
      <c r="F4329" s="7" t="str">
        <f>IFERROR(
   INDEX(tbl_ProduitsRef[Prix Menu],MATCH(tbl_Ventes[[#This Row],[Produit]],tbl_ProduitsRef[Produit],0)),
   ""
)</f>
        <v/>
      </c>
      <c r="G4329" s="7">
        <f>tbl_Ventes[[#This Row],[Qté Vendue]] * IFERROR(_xlfn.XLOOKUP(tbl_Ventes[[#This Row],[Cde_Prdt]], tbl_Produits[Cde_Prdt], tbl_Produits[Prix Menu]), 0)</f>
        <v>0</v>
      </c>
      <c r="H4329" s="7">
        <f>IFERROR(_xlfn.XLOOKUP(tbl_Ventes[[#This Row],[Cde_Prdt]], tbl_Produits[Cde_Prdt], tbl_Produits[Coût Moyen Portion]), 0)</f>
        <v>0</v>
      </c>
      <c r="I4329" s="7">
        <f>tbl_Ventes[[#This Row],[Qté Vendue]] * tbl_Ventes[[#This Row],[CMP_par_portion]]</f>
        <v>0</v>
      </c>
      <c r="J4329" s="7">
        <f>tbl_Ventes[[#This Row],[CA ligne]] - tbl_Ventes[[#This Row],[Coût matière ligne]]</f>
        <v>0</v>
      </c>
      <c r="K4329" s="7" t="str">
        <f>IFERROR(INDEX(tbl_ProduitsRef[Famille], MATCH(tbl_Ventes[[#This Row],[Cde_Prdt]], tbl_Produits[Cde_Prdt], 0)), "")</f>
        <v/>
      </c>
    </row>
    <row r="4330" spans="1:11" x14ac:dyDescent="0.25">
      <c r="A4330" s="5"/>
      <c r="B4330" s="63" t="str">
        <f>IFERROR(TEXT(tbl_Ventes[[#This Row],[Date]],"mm-aaaa"),"")</f>
        <v>01-1900</v>
      </c>
      <c r="D4330" s="10" t="str">
        <f>IFERROR(
   INDEX(tbl_ProduitsRef[Cde_Prdt],MATCH(tbl_Ventes[[#This Row],[Produit]],tbl_ProduitsRef[Produit],0)),
   ""
)</f>
        <v/>
      </c>
      <c r="E4330" s="7">
        <v>0</v>
      </c>
      <c r="F4330" s="7" t="str">
        <f>IFERROR(
   INDEX(tbl_ProduitsRef[Prix Menu],MATCH(tbl_Ventes[[#This Row],[Produit]],tbl_ProduitsRef[Produit],0)),
   ""
)</f>
        <v/>
      </c>
      <c r="G4330" s="7">
        <f>tbl_Ventes[[#This Row],[Qté Vendue]] * IFERROR(_xlfn.XLOOKUP(tbl_Ventes[[#This Row],[Cde_Prdt]], tbl_Produits[Cde_Prdt], tbl_Produits[Prix Menu]), 0)</f>
        <v>0</v>
      </c>
      <c r="H4330" s="7">
        <f>IFERROR(_xlfn.XLOOKUP(tbl_Ventes[[#This Row],[Cde_Prdt]], tbl_Produits[Cde_Prdt], tbl_Produits[Coût Moyen Portion]), 0)</f>
        <v>0</v>
      </c>
      <c r="I4330" s="7">
        <f>tbl_Ventes[[#This Row],[Qté Vendue]] * tbl_Ventes[[#This Row],[CMP_par_portion]]</f>
        <v>0</v>
      </c>
      <c r="J4330" s="7">
        <f>tbl_Ventes[[#This Row],[CA ligne]] - tbl_Ventes[[#This Row],[Coût matière ligne]]</f>
        <v>0</v>
      </c>
      <c r="K4330" s="7" t="str">
        <f>IFERROR(INDEX(tbl_ProduitsRef[Famille], MATCH(tbl_Ventes[[#This Row],[Cde_Prdt]], tbl_Produits[Cde_Prdt], 0)), "")</f>
        <v/>
      </c>
    </row>
    <row r="4331" spans="1:11" x14ac:dyDescent="0.25">
      <c r="A4331" s="5"/>
      <c r="B4331" s="63" t="str">
        <f>IFERROR(TEXT(tbl_Ventes[[#This Row],[Date]],"mm-aaaa"),"")</f>
        <v>01-1900</v>
      </c>
      <c r="D4331" s="10" t="str">
        <f>IFERROR(
   INDEX(tbl_ProduitsRef[Cde_Prdt],MATCH(tbl_Ventes[[#This Row],[Produit]],tbl_ProduitsRef[Produit],0)),
   ""
)</f>
        <v/>
      </c>
      <c r="E4331" s="7">
        <v>0</v>
      </c>
      <c r="F4331" s="7" t="str">
        <f>IFERROR(
   INDEX(tbl_ProduitsRef[Prix Menu],MATCH(tbl_Ventes[[#This Row],[Produit]],tbl_ProduitsRef[Produit],0)),
   ""
)</f>
        <v/>
      </c>
      <c r="G4331" s="7">
        <f>tbl_Ventes[[#This Row],[Qté Vendue]] * IFERROR(_xlfn.XLOOKUP(tbl_Ventes[[#This Row],[Cde_Prdt]], tbl_Produits[Cde_Prdt], tbl_Produits[Prix Menu]), 0)</f>
        <v>0</v>
      </c>
      <c r="H4331" s="7">
        <f>IFERROR(_xlfn.XLOOKUP(tbl_Ventes[[#This Row],[Cde_Prdt]], tbl_Produits[Cde_Prdt], tbl_Produits[Coût Moyen Portion]), 0)</f>
        <v>0</v>
      </c>
      <c r="I4331" s="7">
        <f>tbl_Ventes[[#This Row],[Qté Vendue]] * tbl_Ventes[[#This Row],[CMP_par_portion]]</f>
        <v>0</v>
      </c>
      <c r="J4331" s="7">
        <f>tbl_Ventes[[#This Row],[CA ligne]] - tbl_Ventes[[#This Row],[Coût matière ligne]]</f>
        <v>0</v>
      </c>
      <c r="K4331" s="7" t="str">
        <f>IFERROR(INDEX(tbl_ProduitsRef[Famille], MATCH(tbl_Ventes[[#This Row],[Cde_Prdt]], tbl_Produits[Cde_Prdt], 0)), "")</f>
        <v/>
      </c>
    </row>
    <row r="4332" spans="1:11" x14ac:dyDescent="0.25">
      <c r="A4332" s="5"/>
      <c r="B4332" s="63" t="str">
        <f>IFERROR(TEXT(tbl_Ventes[[#This Row],[Date]],"mm-aaaa"),"")</f>
        <v>01-1900</v>
      </c>
      <c r="D4332" s="10" t="str">
        <f>IFERROR(
   INDEX(tbl_ProduitsRef[Cde_Prdt],MATCH(tbl_Ventes[[#This Row],[Produit]],tbl_ProduitsRef[Produit],0)),
   ""
)</f>
        <v/>
      </c>
      <c r="E4332" s="7">
        <v>0</v>
      </c>
      <c r="F4332" s="7" t="str">
        <f>IFERROR(
   INDEX(tbl_ProduitsRef[Prix Menu],MATCH(tbl_Ventes[[#This Row],[Produit]],tbl_ProduitsRef[Produit],0)),
   ""
)</f>
        <v/>
      </c>
      <c r="G4332" s="7">
        <f>tbl_Ventes[[#This Row],[Qté Vendue]] * IFERROR(_xlfn.XLOOKUP(tbl_Ventes[[#This Row],[Cde_Prdt]], tbl_Produits[Cde_Prdt], tbl_Produits[Prix Menu]), 0)</f>
        <v>0</v>
      </c>
      <c r="H4332" s="7">
        <f>IFERROR(_xlfn.XLOOKUP(tbl_Ventes[[#This Row],[Cde_Prdt]], tbl_Produits[Cde_Prdt], tbl_Produits[Coût Moyen Portion]), 0)</f>
        <v>0</v>
      </c>
      <c r="I4332" s="7">
        <f>tbl_Ventes[[#This Row],[Qté Vendue]] * tbl_Ventes[[#This Row],[CMP_par_portion]]</f>
        <v>0</v>
      </c>
      <c r="J4332" s="7">
        <f>tbl_Ventes[[#This Row],[CA ligne]] - tbl_Ventes[[#This Row],[Coût matière ligne]]</f>
        <v>0</v>
      </c>
      <c r="K4332" s="7" t="str">
        <f>IFERROR(INDEX(tbl_ProduitsRef[Famille], MATCH(tbl_Ventes[[#This Row],[Cde_Prdt]], tbl_Produits[Cde_Prdt], 0)), "")</f>
        <v/>
      </c>
    </row>
    <row r="4333" spans="1:11" x14ac:dyDescent="0.25">
      <c r="A4333" s="5"/>
      <c r="B4333" s="63" t="str">
        <f>IFERROR(TEXT(tbl_Ventes[[#This Row],[Date]],"mm-aaaa"),"")</f>
        <v>01-1900</v>
      </c>
      <c r="D4333" s="10" t="str">
        <f>IFERROR(
   INDEX(tbl_ProduitsRef[Cde_Prdt],MATCH(tbl_Ventes[[#This Row],[Produit]],tbl_ProduitsRef[Produit],0)),
   ""
)</f>
        <v/>
      </c>
      <c r="E4333" s="7">
        <v>0</v>
      </c>
      <c r="F4333" s="7" t="str">
        <f>IFERROR(
   INDEX(tbl_ProduitsRef[Prix Menu],MATCH(tbl_Ventes[[#This Row],[Produit]],tbl_ProduitsRef[Produit],0)),
   ""
)</f>
        <v/>
      </c>
      <c r="G4333" s="7">
        <f>tbl_Ventes[[#This Row],[Qté Vendue]] * IFERROR(_xlfn.XLOOKUP(tbl_Ventes[[#This Row],[Cde_Prdt]], tbl_Produits[Cde_Prdt], tbl_Produits[Prix Menu]), 0)</f>
        <v>0</v>
      </c>
      <c r="H4333" s="7">
        <f>IFERROR(_xlfn.XLOOKUP(tbl_Ventes[[#This Row],[Cde_Prdt]], tbl_Produits[Cde_Prdt], tbl_Produits[Coût Moyen Portion]), 0)</f>
        <v>0</v>
      </c>
      <c r="I4333" s="7">
        <f>tbl_Ventes[[#This Row],[Qté Vendue]] * tbl_Ventes[[#This Row],[CMP_par_portion]]</f>
        <v>0</v>
      </c>
      <c r="J4333" s="7">
        <f>tbl_Ventes[[#This Row],[CA ligne]] - tbl_Ventes[[#This Row],[Coût matière ligne]]</f>
        <v>0</v>
      </c>
      <c r="K4333" s="7" t="str">
        <f>IFERROR(INDEX(tbl_ProduitsRef[Famille], MATCH(tbl_Ventes[[#This Row],[Cde_Prdt]], tbl_Produits[Cde_Prdt], 0)), "")</f>
        <v/>
      </c>
    </row>
    <row r="4334" spans="1:11" x14ac:dyDescent="0.25">
      <c r="A4334" s="5"/>
      <c r="B4334" s="63" t="str">
        <f>IFERROR(TEXT(tbl_Ventes[[#This Row],[Date]],"mm-aaaa"),"")</f>
        <v>01-1900</v>
      </c>
      <c r="D4334" s="10" t="str">
        <f>IFERROR(
   INDEX(tbl_ProduitsRef[Cde_Prdt],MATCH(tbl_Ventes[[#This Row],[Produit]],tbl_ProduitsRef[Produit],0)),
   ""
)</f>
        <v/>
      </c>
      <c r="E4334" s="7">
        <v>0</v>
      </c>
      <c r="F4334" s="7" t="str">
        <f>IFERROR(
   INDEX(tbl_ProduitsRef[Prix Menu],MATCH(tbl_Ventes[[#This Row],[Produit]],tbl_ProduitsRef[Produit],0)),
   ""
)</f>
        <v/>
      </c>
      <c r="G4334" s="7">
        <f>tbl_Ventes[[#This Row],[Qté Vendue]] * IFERROR(_xlfn.XLOOKUP(tbl_Ventes[[#This Row],[Cde_Prdt]], tbl_Produits[Cde_Prdt], tbl_Produits[Prix Menu]), 0)</f>
        <v>0</v>
      </c>
      <c r="H4334" s="7">
        <f>IFERROR(_xlfn.XLOOKUP(tbl_Ventes[[#This Row],[Cde_Prdt]], tbl_Produits[Cde_Prdt], tbl_Produits[Coût Moyen Portion]), 0)</f>
        <v>0</v>
      </c>
      <c r="I4334" s="7">
        <f>tbl_Ventes[[#This Row],[Qté Vendue]] * tbl_Ventes[[#This Row],[CMP_par_portion]]</f>
        <v>0</v>
      </c>
      <c r="J4334" s="7">
        <f>tbl_Ventes[[#This Row],[CA ligne]] - tbl_Ventes[[#This Row],[Coût matière ligne]]</f>
        <v>0</v>
      </c>
      <c r="K4334" s="7" t="str">
        <f>IFERROR(INDEX(tbl_ProduitsRef[Famille], MATCH(tbl_Ventes[[#This Row],[Cde_Prdt]], tbl_Produits[Cde_Prdt], 0)), "")</f>
        <v/>
      </c>
    </row>
    <row r="4335" spans="1:11" x14ac:dyDescent="0.25">
      <c r="A4335" s="5"/>
      <c r="B4335" s="63" t="str">
        <f>IFERROR(TEXT(tbl_Ventes[[#This Row],[Date]],"mm-aaaa"),"")</f>
        <v>01-1900</v>
      </c>
      <c r="D4335" s="10" t="str">
        <f>IFERROR(
   INDEX(tbl_ProduitsRef[Cde_Prdt],MATCH(tbl_Ventes[[#This Row],[Produit]],tbl_ProduitsRef[Produit],0)),
   ""
)</f>
        <v/>
      </c>
      <c r="E4335" s="7">
        <v>0</v>
      </c>
      <c r="F4335" s="7" t="str">
        <f>IFERROR(
   INDEX(tbl_ProduitsRef[Prix Menu],MATCH(tbl_Ventes[[#This Row],[Produit]],tbl_ProduitsRef[Produit],0)),
   ""
)</f>
        <v/>
      </c>
      <c r="G4335" s="7">
        <f>tbl_Ventes[[#This Row],[Qté Vendue]] * IFERROR(_xlfn.XLOOKUP(tbl_Ventes[[#This Row],[Cde_Prdt]], tbl_Produits[Cde_Prdt], tbl_Produits[Prix Menu]), 0)</f>
        <v>0</v>
      </c>
      <c r="H4335" s="7">
        <f>IFERROR(_xlfn.XLOOKUP(tbl_Ventes[[#This Row],[Cde_Prdt]], tbl_Produits[Cde_Prdt], tbl_Produits[Coût Moyen Portion]), 0)</f>
        <v>0</v>
      </c>
      <c r="I4335" s="7">
        <f>tbl_Ventes[[#This Row],[Qté Vendue]] * tbl_Ventes[[#This Row],[CMP_par_portion]]</f>
        <v>0</v>
      </c>
      <c r="J4335" s="7">
        <f>tbl_Ventes[[#This Row],[CA ligne]] - tbl_Ventes[[#This Row],[Coût matière ligne]]</f>
        <v>0</v>
      </c>
      <c r="K4335" s="7" t="str">
        <f>IFERROR(INDEX(tbl_ProduitsRef[Famille], MATCH(tbl_Ventes[[#This Row],[Cde_Prdt]], tbl_Produits[Cde_Prdt], 0)), "")</f>
        <v/>
      </c>
    </row>
    <row r="4336" spans="1:11" x14ac:dyDescent="0.25">
      <c r="A4336" s="5"/>
      <c r="B4336" s="63" t="str">
        <f>IFERROR(TEXT(tbl_Ventes[[#This Row],[Date]],"mm-aaaa"),"")</f>
        <v>01-1900</v>
      </c>
      <c r="D4336" s="10" t="str">
        <f>IFERROR(
   INDEX(tbl_ProduitsRef[Cde_Prdt],MATCH(tbl_Ventes[[#This Row],[Produit]],tbl_ProduitsRef[Produit],0)),
   ""
)</f>
        <v/>
      </c>
      <c r="E4336" s="7">
        <v>0</v>
      </c>
      <c r="F4336" s="7" t="str">
        <f>IFERROR(
   INDEX(tbl_ProduitsRef[Prix Menu],MATCH(tbl_Ventes[[#This Row],[Produit]],tbl_ProduitsRef[Produit],0)),
   ""
)</f>
        <v/>
      </c>
      <c r="G4336" s="7">
        <f>tbl_Ventes[[#This Row],[Qté Vendue]] * IFERROR(_xlfn.XLOOKUP(tbl_Ventes[[#This Row],[Cde_Prdt]], tbl_Produits[Cde_Prdt], tbl_Produits[Prix Menu]), 0)</f>
        <v>0</v>
      </c>
      <c r="H4336" s="7">
        <f>IFERROR(_xlfn.XLOOKUP(tbl_Ventes[[#This Row],[Cde_Prdt]], tbl_Produits[Cde_Prdt], tbl_Produits[Coût Moyen Portion]), 0)</f>
        <v>0</v>
      </c>
      <c r="I4336" s="7">
        <f>tbl_Ventes[[#This Row],[Qté Vendue]] * tbl_Ventes[[#This Row],[CMP_par_portion]]</f>
        <v>0</v>
      </c>
      <c r="J4336" s="7">
        <f>tbl_Ventes[[#This Row],[CA ligne]] - tbl_Ventes[[#This Row],[Coût matière ligne]]</f>
        <v>0</v>
      </c>
      <c r="K4336" s="7" t="str">
        <f>IFERROR(INDEX(tbl_ProduitsRef[Famille], MATCH(tbl_Ventes[[#This Row],[Cde_Prdt]], tbl_Produits[Cde_Prdt], 0)), "")</f>
        <v/>
      </c>
    </row>
    <row r="4337" spans="1:11" x14ac:dyDescent="0.25">
      <c r="A4337" s="5"/>
      <c r="B4337" s="63" t="str">
        <f>IFERROR(TEXT(tbl_Ventes[[#This Row],[Date]],"mm-aaaa"),"")</f>
        <v>01-1900</v>
      </c>
      <c r="D4337" s="10" t="str">
        <f>IFERROR(
   INDEX(tbl_ProduitsRef[Cde_Prdt],MATCH(tbl_Ventes[[#This Row],[Produit]],tbl_ProduitsRef[Produit],0)),
   ""
)</f>
        <v/>
      </c>
      <c r="E4337" s="7">
        <v>0</v>
      </c>
      <c r="F4337" s="7" t="str">
        <f>IFERROR(
   INDEX(tbl_ProduitsRef[Prix Menu],MATCH(tbl_Ventes[[#This Row],[Produit]],tbl_ProduitsRef[Produit],0)),
   ""
)</f>
        <v/>
      </c>
      <c r="G4337" s="7">
        <f>tbl_Ventes[[#This Row],[Qté Vendue]] * IFERROR(_xlfn.XLOOKUP(tbl_Ventes[[#This Row],[Cde_Prdt]], tbl_Produits[Cde_Prdt], tbl_Produits[Prix Menu]), 0)</f>
        <v>0</v>
      </c>
      <c r="H4337" s="7">
        <f>IFERROR(_xlfn.XLOOKUP(tbl_Ventes[[#This Row],[Cde_Prdt]], tbl_Produits[Cde_Prdt], tbl_Produits[Coût Moyen Portion]), 0)</f>
        <v>0</v>
      </c>
      <c r="I4337" s="7">
        <f>tbl_Ventes[[#This Row],[Qté Vendue]] * tbl_Ventes[[#This Row],[CMP_par_portion]]</f>
        <v>0</v>
      </c>
      <c r="J4337" s="7">
        <f>tbl_Ventes[[#This Row],[CA ligne]] - tbl_Ventes[[#This Row],[Coût matière ligne]]</f>
        <v>0</v>
      </c>
      <c r="K4337" s="7" t="str">
        <f>IFERROR(INDEX(tbl_ProduitsRef[Famille], MATCH(tbl_Ventes[[#This Row],[Cde_Prdt]], tbl_Produits[Cde_Prdt], 0)), "")</f>
        <v/>
      </c>
    </row>
    <row r="4338" spans="1:11" x14ac:dyDescent="0.25">
      <c r="A4338" s="5"/>
      <c r="B4338" s="63" t="str">
        <f>IFERROR(TEXT(tbl_Ventes[[#This Row],[Date]],"mm-aaaa"),"")</f>
        <v>01-1900</v>
      </c>
      <c r="D4338" s="10" t="str">
        <f>IFERROR(
   INDEX(tbl_ProduitsRef[Cde_Prdt],MATCH(tbl_Ventes[[#This Row],[Produit]],tbl_ProduitsRef[Produit],0)),
   ""
)</f>
        <v/>
      </c>
      <c r="E4338" s="7">
        <v>0</v>
      </c>
      <c r="F4338" s="7" t="str">
        <f>IFERROR(
   INDEX(tbl_ProduitsRef[Prix Menu],MATCH(tbl_Ventes[[#This Row],[Produit]],tbl_ProduitsRef[Produit],0)),
   ""
)</f>
        <v/>
      </c>
      <c r="G4338" s="7">
        <f>tbl_Ventes[[#This Row],[Qté Vendue]] * IFERROR(_xlfn.XLOOKUP(tbl_Ventes[[#This Row],[Cde_Prdt]], tbl_Produits[Cde_Prdt], tbl_Produits[Prix Menu]), 0)</f>
        <v>0</v>
      </c>
      <c r="H4338" s="7">
        <f>IFERROR(_xlfn.XLOOKUP(tbl_Ventes[[#This Row],[Cde_Prdt]], tbl_Produits[Cde_Prdt], tbl_Produits[Coût Moyen Portion]), 0)</f>
        <v>0</v>
      </c>
      <c r="I4338" s="7">
        <f>tbl_Ventes[[#This Row],[Qté Vendue]] * tbl_Ventes[[#This Row],[CMP_par_portion]]</f>
        <v>0</v>
      </c>
      <c r="J4338" s="7">
        <f>tbl_Ventes[[#This Row],[CA ligne]] - tbl_Ventes[[#This Row],[Coût matière ligne]]</f>
        <v>0</v>
      </c>
      <c r="K4338" s="7" t="str">
        <f>IFERROR(INDEX(tbl_ProduitsRef[Famille], MATCH(tbl_Ventes[[#This Row],[Cde_Prdt]], tbl_Produits[Cde_Prdt], 0)), "")</f>
        <v/>
      </c>
    </row>
    <row r="4339" spans="1:11" x14ac:dyDescent="0.25">
      <c r="A4339" s="5"/>
      <c r="B4339" s="63" t="str">
        <f>IFERROR(TEXT(tbl_Ventes[[#This Row],[Date]],"mm-aaaa"),"")</f>
        <v>01-1900</v>
      </c>
      <c r="D4339" s="10" t="str">
        <f>IFERROR(
   INDEX(tbl_ProduitsRef[Cde_Prdt],MATCH(tbl_Ventes[[#This Row],[Produit]],tbl_ProduitsRef[Produit],0)),
   ""
)</f>
        <v/>
      </c>
      <c r="E4339" s="7">
        <v>0</v>
      </c>
      <c r="F4339" s="7" t="str">
        <f>IFERROR(
   INDEX(tbl_ProduitsRef[Prix Menu],MATCH(tbl_Ventes[[#This Row],[Produit]],tbl_ProduitsRef[Produit],0)),
   ""
)</f>
        <v/>
      </c>
      <c r="G4339" s="7">
        <f>tbl_Ventes[[#This Row],[Qté Vendue]] * IFERROR(_xlfn.XLOOKUP(tbl_Ventes[[#This Row],[Cde_Prdt]], tbl_Produits[Cde_Prdt], tbl_Produits[Prix Menu]), 0)</f>
        <v>0</v>
      </c>
      <c r="H4339" s="7">
        <f>IFERROR(_xlfn.XLOOKUP(tbl_Ventes[[#This Row],[Cde_Prdt]], tbl_Produits[Cde_Prdt], tbl_Produits[Coût Moyen Portion]), 0)</f>
        <v>0</v>
      </c>
      <c r="I4339" s="7">
        <f>tbl_Ventes[[#This Row],[Qté Vendue]] * tbl_Ventes[[#This Row],[CMP_par_portion]]</f>
        <v>0</v>
      </c>
      <c r="J4339" s="7">
        <f>tbl_Ventes[[#This Row],[CA ligne]] - tbl_Ventes[[#This Row],[Coût matière ligne]]</f>
        <v>0</v>
      </c>
      <c r="K4339" s="7" t="str">
        <f>IFERROR(INDEX(tbl_ProduitsRef[Famille], MATCH(tbl_Ventes[[#This Row],[Cde_Prdt]], tbl_Produits[Cde_Prdt], 0)), "")</f>
        <v/>
      </c>
    </row>
    <row r="4340" spans="1:11" x14ac:dyDescent="0.25">
      <c r="A4340" s="5"/>
      <c r="B4340" s="63" t="str">
        <f>IFERROR(TEXT(tbl_Ventes[[#This Row],[Date]],"mm-aaaa"),"")</f>
        <v>01-1900</v>
      </c>
      <c r="D4340" s="10" t="str">
        <f>IFERROR(
   INDEX(tbl_ProduitsRef[Cde_Prdt],MATCH(tbl_Ventes[[#This Row],[Produit]],tbl_ProduitsRef[Produit],0)),
   ""
)</f>
        <v/>
      </c>
      <c r="E4340" s="7">
        <v>0</v>
      </c>
      <c r="F4340" s="7" t="str">
        <f>IFERROR(
   INDEX(tbl_ProduitsRef[Prix Menu],MATCH(tbl_Ventes[[#This Row],[Produit]],tbl_ProduitsRef[Produit],0)),
   ""
)</f>
        <v/>
      </c>
      <c r="G4340" s="7">
        <f>tbl_Ventes[[#This Row],[Qté Vendue]] * IFERROR(_xlfn.XLOOKUP(tbl_Ventes[[#This Row],[Cde_Prdt]], tbl_Produits[Cde_Prdt], tbl_Produits[Prix Menu]), 0)</f>
        <v>0</v>
      </c>
      <c r="H4340" s="7">
        <f>IFERROR(_xlfn.XLOOKUP(tbl_Ventes[[#This Row],[Cde_Prdt]], tbl_Produits[Cde_Prdt], tbl_Produits[Coût Moyen Portion]), 0)</f>
        <v>0</v>
      </c>
      <c r="I4340" s="7">
        <f>tbl_Ventes[[#This Row],[Qté Vendue]] * tbl_Ventes[[#This Row],[CMP_par_portion]]</f>
        <v>0</v>
      </c>
      <c r="J4340" s="7">
        <f>tbl_Ventes[[#This Row],[CA ligne]] - tbl_Ventes[[#This Row],[Coût matière ligne]]</f>
        <v>0</v>
      </c>
      <c r="K4340" s="7" t="str">
        <f>IFERROR(INDEX(tbl_ProduitsRef[Famille], MATCH(tbl_Ventes[[#This Row],[Cde_Prdt]], tbl_Produits[Cde_Prdt], 0)), "")</f>
        <v/>
      </c>
    </row>
    <row r="4341" spans="1:11" x14ac:dyDescent="0.25">
      <c r="A4341" s="5"/>
      <c r="B4341" s="63" t="str">
        <f>IFERROR(TEXT(tbl_Ventes[[#This Row],[Date]],"mm-aaaa"),"")</f>
        <v>01-1900</v>
      </c>
      <c r="D4341" s="10" t="str">
        <f>IFERROR(
   INDEX(tbl_ProduitsRef[Cde_Prdt],MATCH(tbl_Ventes[[#This Row],[Produit]],tbl_ProduitsRef[Produit],0)),
   ""
)</f>
        <v/>
      </c>
      <c r="E4341" s="7">
        <v>0</v>
      </c>
      <c r="F4341" s="7" t="str">
        <f>IFERROR(
   INDEX(tbl_ProduitsRef[Prix Menu],MATCH(tbl_Ventes[[#This Row],[Produit]],tbl_ProduitsRef[Produit],0)),
   ""
)</f>
        <v/>
      </c>
      <c r="G4341" s="7">
        <f>tbl_Ventes[[#This Row],[Qté Vendue]] * IFERROR(_xlfn.XLOOKUP(tbl_Ventes[[#This Row],[Cde_Prdt]], tbl_Produits[Cde_Prdt], tbl_Produits[Prix Menu]), 0)</f>
        <v>0</v>
      </c>
      <c r="H4341" s="7">
        <f>IFERROR(_xlfn.XLOOKUP(tbl_Ventes[[#This Row],[Cde_Prdt]], tbl_Produits[Cde_Prdt], tbl_Produits[Coût Moyen Portion]), 0)</f>
        <v>0</v>
      </c>
      <c r="I4341" s="7">
        <f>tbl_Ventes[[#This Row],[Qté Vendue]] * tbl_Ventes[[#This Row],[CMP_par_portion]]</f>
        <v>0</v>
      </c>
      <c r="J4341" s="7">
        <f>tbl_Ventes[[#This Row],[CA ligne]] - tbl_Ventes[[#This Row],[Coût matière ligne]]</f>
        <v>0</v>
      </c>
      <c r="K4341" s="7" t="str">
        <f>IFERROR(INDEX(tbl_ProduitsRef[Famille], MATCH(tbl_Ventes[[#This Row],[Cde_Prdt]], tbl_Produits[Cde_Prdt], 0)), "")</f>
        <v/>
      </c>
    </row>
    <row r="4342" spans="1:11" x14ac:dyDescent="0.25">
      <c r="A4342" s="5"/>
      <c r="B4342" s="63" t="str">
        <f>IFERROR(TEXT(tbl_Ventes[[#This Row],[Date]],"mm-aaaa"),"")</f>
        <v>01-1900</v>
      </c>
      <c r="D4342" s="10" t="str">
        <f>IFERROR(
   INDEX(tbl_ProduitsRef[Cde_Prdt],MATCH(tbl_Ventes[[#This Row],[Produit]],tbl_ProduitsRef[Produit],0)),
   ""
)</f>
        <v/>
      </c>
      <c r="E4342" s="7">
        <v>0</v>
      </c>
      <c r="F4342" s="7" t="str">
        <f>IFERROR(
   INDEX(tbl_ProduitsRef[Prix Menu],MATCH(tbl_Ventes[[#This Row],[Produit]],tbl_ProduitsRef[Produit],0)),
   ""
)</f>
        <v/>
      </c>
      <c r="G4342" s="7">
        <f>tbl_Ventes[[#This Row],[Qté Vendue]] * IFERROR(_xlfn.XLOOKUP(tbl_Ventes[[#This Row],[Cde_Prdt]], tbl_Produits[Cde_Prdt], tbl_Produits[Prix Menu]), 0)</f>
        <v>0</v>
      </c>
      <c r="H4342" s="7">
        <f>IFERROR(_xlfn.XLOOKUP(tbl_Ventes[[#This Row],[Cde_Prdt]], tbl_Produits[Cde_Prdt], tbl_Produits[Coût Moyen Portion]), 0)</f>
        <v>0</v>
      </c>
      <c r="I4342" s="7">
        <f>tbl_Ventes[[#This Row],[Qté Vendue]] * tbl_Ventes[[#This Row],[CMP_par_portion]]</f>
        <v>0</v>
      </c>
      <c r="J4342" s="7">
        <f>tbl_Ventes[[#This Row],[CA ligne]] - tbl_Ventes[[#This Row],[Coût matière ligne]]</f>
        <v>0</v>
      </c>
      <c r="K4342" s="7" t="str">
        <f>IFERROR(INDEX(tbl_ProduitsRef[Famille], MATCH(tbl_Ventes[[#This Row],[Cde_Prdt]], tbl_Produits[Cde_Prdt], 0)), "")</f>
        <v/>
      </c>
    </row>
    <row r="4343" spans="1:11" x14ac:dyDescent="0.25">
      <c r="A4343" s="5"/>
      <c r="B4343" s="63" t="str">
        <f>IFERROR(TEXT(tbl_Ventes[[#This Row],[Date]],"mm-aaaa"),"")</f>
        <v>01-1900</v>
      </c>
      <c r="D4343" s="10" t="str">
        <f>IFERROR(
   INDEX(tbl_ProduitsRef[Cde_Prdt],MATCH(tbl_Ventes[[#This Row],[Produit]],tbl_ProduitsRef[Produit],0)),
   ""
)</f>
        <v/>
      </c>
      <c r="E4343" s="7">
        <v>0</v>
      </c>
      <c r="F4343" s="7" t="str">
        <f>IFERROR(
   INDEX(tbl_ProduitsRef[Prix Menu],MATCH(tbl_Ventes[[#This Row],[Produit]],tbl_ProduitsRef[Produit],0)),
   ""
)</f>
        <v/>
      </c>
      <c r="G4343" s="7">
        <f>tbl_Ventes[[#This Row],[Qté Vendue]] * IFERROR(_xlfn.XLOOKUP(tbl_Ventes[[#This Row],[Cde_Prdt]], tbl_Produits[Cde_Prdt], tbl_Produits[Prix Menu]), 0)</f>
        <v>0</v>
      </c>
      <c r="H4343" s="7">
        <f>IFERROR(_xlfn.XLOOKUP(tbl_Ventes[[#This Row],[Cde_Prdt]], tbl_Produits[Cde_Prdt], tbl_Produits[Coût Moyen Portion]), 0)</f>
        <v>0</v>
      </c>
      <c r="I4343" s="7">
        <f>tbl_Ventes[[#This Row],[Qté Vendue]] * tbl_Ventes[[#This Row],[CMP_par_portion]]</f>
        <v>0</v>
      </c>
      <c r="J4343" s="7">
        <f>tbl_Ventes[[#This Row],[CA ligne]] - tbl_Ventes[[#This Row],[Coût matière ligne]]</f>
        <v>0</v>
      </c>
      <c r="K4343" s="7" t="str">
        <f>IFERROR(INDEX(tbl_ProduitsRef[Famille], MATCH(tbl_Ventes[[#This Row],[Cde_Prdt]], tbl_Produits[Cde_Prdt], 0)), "")</f>
        <v/>
      </c>
    </row>
    <row r="4344" spans="1:11" x14ac:dyDescent="0.25">
      <c r="A4344" s="5"/>
      <c r="B4344" s="63" t="str">
        <f>IFERROR(TEXT(tbl_Ventes[[#This Row],[Date]],"mm-aaaa"),"")</f>
        <v>01-1900</v>
      </c>
      <c r="D4344" s="10" t="str">
        <f>IFERROR(
   INDEX(tbl_ProduitsRef[Cde_Prdt],MATCH(tbl_Ventes[[#This Row],[Produit]],tbl_ProduitsRef[Produit],0)),
   ""
)</f>
        <v/>
      </c>
      <c r="E4344" s="7">
        <v>0</v>
      </c>
      <c r="F4344" s="7" t="str">
        <f>IFERROR(
   INDEX(tbl_ProduitsRef[Prix Menu],MATCH(tbl_Ventes[[#This Row],[Produit]],tbl_ProduitsRef[Produit],0)),
   ""
)</f>
        <v/>
      </c>
      <c r="G4344" s="7">
        <f>tbl_Ventes[[#This Row],[Qté Vendue]] * IFERROR(_xlfn.XLOOKUP(tbl_Ventes[[#This Row],[Cde_Prdt]], tbl_Produits[Cde_Prdt], tbl_Produits[Prix Menu]), 0)</f>
        <v>0</v>
      </c>
      <c r="H4344" s="7">
        <f>IFERROR(_xlfn.XLOOKUP(tbl_Ventes[[#This Row],[Cde_Prdt]], tbl_Produits[Cde_Prdt], tbl_Produits[Coût Moyen Portion]), 0)</f>
        <v>0</v>
      </c>
      <c r="I4344" s="7">
        <f>tbl_Ventes[[#This Row],[Qté Vendue]] * tbl_Ventes[[#This Row],[CMP_par_portion]]</f>
        <v>0</v>
      </c>
      <c r="J4344" s="7">
        <f>tbl_Ventes[[#This Row],[CA ligne]] - tbl_Ventes[[#This Row],[Coût matière ligne]]</f>
        <v>0</v>
      </c>
      <c r="K4344" s="7" t="str">
        <f>IFERROR(INDEX(tbl_ProduitsRef[Famille], MATCH(tbl_Ventes[[#This Row],[Cde_Prdt]], tbl_Produits[Cde_Prdt], 0)), "")</f>
        <v/>
      </c>
    </row>
    <row r="4345" spans="1:11" x14ac:dyDescent="0.25">
      <c r="A4345" s="5"/>
      <c r="B4345" s="63" t="str">
        <f>IFERROR(TEXT(tbl_Ventes[[#This Row],[Date]],"mm-aaaa"),"")</f>
        <v>01-1900</v>
      </c>
      <c r="D4345" s="10" t="str">
        <f>IFERROR(
   INDEX(tbl_ProduitsRef[Cde_Prdt],MATCH(tbl_Ventes[[#This Row],[Produit]],tbl_ProduitsRef[Produit],0)),
   ""
)</f>
        <v/>
      </c>
      <c r="E4345" s="7">
        <v>0</v>
      </c>
      <c r="F4345" s="7" t="str">
        <f>IFERROR(
   INDEX(tbl_ProduitsRef[Prix Menu],MATCH(tbl_Ventes[[#This Row],[Produit]],tbl_ProduitsRef[Produit],0)),
   ""
)</f>
        <v/>
      </c>
      <c r="G4345" s="7">
        <f>tbl_Ventes[[#This Row],[Qté Vendue]] * IFERROR(_xlfn.XLOOKUP(tbl_Ventes[[#This Row],[Cde_Prdt]], tbl_Produits[Cde_Prdt], tbl_Produits[Prix Menu]), 0)</f>
        <v>0</v>
      </c>
      <c r="H4345" s="7">
        <f>IFERROR(_xlfn.XLOOKUP(tbl_Ventes[[#This Row],[Cde_Prdt]], tbl_Produits[Cde_Prdt], tbl_Produits[Coût Moyen Portion]), 0)</f>
        <v>0</v>
      </c>
      <c r="I4345" s="7">
        <f>tbl_Ventes[[#This Row],[Qté Vendue]] * tbl_Ventes[[#This Row],[CMP_par_portion]]</f>
        <v>0</v>
      </c>
      <c r="J4345" s="7">
        <f>tbl_Ventes[[#This Row],[CA ligne]] - tbl_Ventes[[#This Row],[Coût matière ligne]]</f>
        <v>0</v>
      </c>
      <c r="K4345" s="7" t="str">
        <f>IFERROR(INDEX(tbl_ProduitsRef[Famille], MATCH(tbl_Ventes[[#This Row],[Cde_Prdt]], tbl_Produits[Cde_Prdt], 0)), "")</f>
        <v/>
      </c>
    </row>
    <row r="4346" spans="1:11" x14ac:dyDescent="0.25">
      <c r="A4346" s="5"/>
      <c r="B4346" s="63" t="str">
        <f>IFERROR(TEXT(tbl_Ventes[[#This Row],[Date]],"mm-aaaa"),"")</f>
        <v>01-1900</v>
      </c>
      <c r="D4346" s="10" t="str">
        <f>IFERROR(
   INDEX(tbl_ProduitsRef[Cde_Prdt],MATCH(tbl_Ventes[[#This Row],[Produit]],tbl_ProduitsRef[Produit],0)),
   ""
)</f>
        <v/>
      </c>
      <c r="E4346" s="7">
        <v>0</v>
      </c>
      <c r="F4346" s="7" t="str">
        <f>IFERROR(
   INDEX(tbl_ProduitsRef[Prix Menu],MATCH(tbl_Ventes[[#This Row],[Produit]],tbl_ProduitsRef[Produit],0)),
   ""
)</f>
        <v/>
      </c>
      <c r="G4346" s="7">
        <f>tbl_Ventes[[#This Row],[Qté Vendue]] * IFERROR(_xlfn.XLOOKUP(tbl_Ventes[[#This Row],[Cde_Prdt]], tbl_Produits[Cde_Prdt], tbl_Produits[Prix Menu]), 0)</f>
        <v>0</v>
      </c>
      <c r="H4346" s="7">
        <f>IFERROR(_xlfn.XLOOKUP(tbl_Ventes[[#This Row],[Cde_Prdt]], tbl_Produits[Cde_Prdt], tbl_Produits[Coût Moyen Portion]), 0)</f>
        <v>0</v>
      </c>
      <c r="I4346" s="7">
        <f>tbl_Ventes[[#This Row],[Qté Vendue]] * tbl_Ventes[[#This Row],[CMP_par_portion]]</f>
        <v>0</v>
      </c>
      <c r="J4346" s="7">
        <f>tbl_Ventes[[#This Row],[CA ligne]] - tbl_Ventes[[#This Row],[Coût matière ligne]]</f>
        <v>0</v>
      </c>
      <c r="K4346" s="7" t="str">
        <f>IFERROR(INDEX(tbl_ProduitsRef[Famille], MATCH(tbl_Ventes[[#This Row],[Cde_Prdt]], tbl_Produits[Cde_Prdt], 0)), "")</f>
        <v/>
      </c>
    </row>
    <row r="4347" spans="1:11" x14ac:dyDescent="0.25">
      <c r="A4347" s="5"/>
      <c r="B4347" s="63" t="str">
        <f>IFERROR(TEXT(tbl_Ventes[[#This Row],[Date]],"mm-aaaa"),"")</f>
        <v>01-1900</v>
      </c>
      <c r="D4347" s="10" t="str">
        <f>IFERROR(
   INDEX(tbl_ProduitsRef[Cde_Prdt],MATCH(tbl_Ventes[[#This Row],[Produit]],tbl_ProduitsRef[Produit],0)),
   ""
)</f>
        <v/>
      </c>
      <c r="E4347" s="7">
        <v>0</v>
      </c>
      <c r="F4347" s="7" t="str">
        <f>IFERROR(
   INDEX(tbl_ProduitsRef[Prix Menu],MATCH(tbl_Ventes[[#This Row],[Produit]],tbl_ProduitsRef[Produit],0)),
   ""
)</f>
        <v/>
      </c>
      <c r="G4347" s="7">
        <f>tbl_Ventes[[#This Row],[Qté Vendue]] * IFERROR(_xlfn.XLOOKUP(tbl_Ventes[[#This Row],[Cde_Prdt]], tbl_Produits[Cde_Prdt], tbl_Produits[Prix Menu]), 0)</f>
        <v>0</v>
      </c>
      <c r="H4347" s="7">
        <f>IFERROR(_xlfn.XLOOKUP(tbl_Ventes[[#This Row],[Cde_Prdt]], tbl_Produits[Cde_Prdt], tbl_Produits[Coût Moyen Portion]), 0)</f>
        <v>0</v>
      </c>
      <c r="I4347" s="7">
        <f>tbl_Ventes[[#This Row],[Qté Vendue]] * tbl_Ventes[[#This Row],[CMP_par_portion]]</f>
        <v>0</v>
      </c>
      <c r="J4347" s="7">
        <f>tbl_Ventes[[#This Row],[CA ligne]] - tbl_Ventes[[#This Row],[Coût matière ligne]]</f>
        <v>0</v>
      </c>
      <c r="K4347" s="7" t="str">
        <f>IFERROR(INDEX(tbl_ProduitsRef[Famille], MATCH(tbl_Ventes[[#This Row],[Cde_Prdt]], tbl_Produits[Cde_Prdt], 0)), "")</f>
        <v/>
      </c>
    </row>
    <row r="4348" spans="1:11" x14ac:dyDescent="0.25">
      <c r="A4348" s="5"/>
      <c r="B4348" s="63" t="str">
        <f>IFERROR(TEXT(tbl_Ventes[[#This Row],[Date]],"mm-aaaa"),"")</f>
        <v>01-1900</v>
      </c>
      <c r="D4348" s="10" t="str">
        <f>IFERROR(
   INDEX(tbl_ProduitsRef[Cde_Prdt],MATCH(tbl_Ventes[[#This Row],[Produit]],tbl_ProduitsRef[Produit],0)),
   ""
)</f>
        <v/>
      </c>
      <c r="E4348" s="7">
        <v>0</v>
      </c>
      <c r="F4348" s="7" t="str">
        <f>IFERROR(
   INDEX(tbl_ProduitsRef[Prix Menu],MATCH(tbl_Ventes[[#This Row],[Produit]],tbl_ProduitsRef[Produit],0)),
   ""
)</f>
        <v/>
      </c>
      <c r="G4348" s="7">
        <f>tbl_Ventes[[#This Row],[Qté Vendue]] * IFERROR(_xlfn.XLOOKUP(tbl_Ventes[[#This Row],[Cde_Prdt]], tbl_Produits[Cde_Prdt], tbl_Produits[Prix Menu]), 0)</f>
        <v>0</v>
      </c>
      <c r="H4348" s="7">
        <f>IFERROR(_xlfn.XLOOKUP(tbl_Ventes[[#This Row],[Cde_Prdt]], tbl_Produits[Cde_Prdt], tbl_Produits[Coût Moyen Portion]), 0)</f>
        <v>0</v>
      </c>
      <c r="I4348" s="7">
        <f>tbl_Ventes[[#This Row],[Qté Vendue]] * tbl_Ventes[[#This Row],[CMP_par_portion]]</f>
        <v>0</v>
      </c>
      <c r="J4348" s="7">
        <f>tbl_Ventes[[#This Row],[CA ligne]] - tbl_Ventes[[#This Row],[Coût matière ligne]]</f>
        <v>0</v>
      </c>
      <c r="K4348" s="7" t="str">
        <f>IFERROR(INDEX(tbl_ProduitsRef[Famille], MATCH(tbl_Ventes[[#This Row],[Cde_Prdt]], tbl_Produits[Cde_Prdt], 0)), "")</f>
        <v/>
      </c>
    </row>
    <row r="4349" spans="1:11" x14ac:dyDescent="0.25">
      <c r="A4349" s="5"/>
      <c r="B4349" s="63" t="str">
        <f>IFERROR(TEXT(tbl_Ventes[[#This Row],[Date]],"mm-aaaa"),"")</f>
        <v>01-1900</v>
      </c>
      <c r="D4349" s="10" t="str">
        <f>IFERROR(
   INDEX(tbl_ProduitsRef[Cde_Prdt],MATCH(tbl_Ventes[[#This Row],[Produit]],tbl_ProduitsRef[Produit],0)),
   ""
)</f>
        <v/>
      </c>
      <c r="E4349" s="7">
        <v>0</v>
      </c>
      <c r="F4349" s="7" t="str">
        <f>IFERROR(
   INDEX(tbl_ProduitsRef[Prix Menu],MATCH(tbl_Ventes[[#This Row],[Produit]],tbl_ProduitsRef[Produit],0)),
   ""
)</f>
        <v/>
      </c>
      <c r="G4349" s="7">
        <f>tbl_Ventes[[#This Row],[Qté Vendue]] * IFERROR(_xlfn.XLOOKUP(tbl_Ventes[[#This Row],[Cde_Prdt]], tbl_Produits[Cde_Prdt], tbl_Produits[Prix Menu]), 0)</f>
        <v>0</v>
      </c>
      <c r="H4349" s="7">
        <f>IFERROR(_xlfn.XLOOKUP(tbl_Ventes[[#This Row],[Cde_Prdt]], tbl_Produits[Cde_Prdt], tbl_Produits[Coût Moyen Portion]), 0)</f>
        <v>0</v>
      </c>
      <c r="I4349" s="7">
        <f>tbl_Ventes[[#This Row],[Qté Vendue]] * tbl_Ventes[[#This Row],[CMP_par_portion]]</f>
        <v>0</v>
      </c>
      <c r="J4349" s="7">
        <f>tbl_Ventes[[#This Row],[CA ligne]] - tbl_Ventes[[#This Row],[Coût matière ligne]]</f>
        <v>0</v>
      </c>
      <c r="K4349" s="7" t="str">
        <f>IFERROR(INDEX(tbl_ProduitsRef[Famille], MATCH(tbl_Ventes[[#This Row],[Cde_Prdt]], tbl_Produits[Cde_Prdt], 0)), "")</f>
        <v/>
      </c>
    </row>
    <row r="4350" spans="1:11" x14ac:dyDescent="0.25">
      <c r="A4350" s="5"/>
      <c r="B4350" s="63" t="str">
        <f>IFERROR(TEXT(tbl_Ventes[[#This Row],[Date]],"mm-aaaa"),"")</f>
        <v>01-1900</v>
      </c>
      <c r="D4350" s="10" t="str">
        <f>IFERROR(
   INDEX(tbl_ProduitsRef[Cde_Prdt],MATCH(tbl_Ventes[[#This Row],[Produit]],tbl_ProduitsRef[Produit],0)),
   ""
)</f>
        <v/>
      </c>
      <c r="E4350" s="7">
        <v>0</v>
      </c>
      <c r="F4350" s="7" t="str">
        <f>IFERROR(
   INDEX(tbl_ProduitsRef[Prix Menu],MATCH(tbl_Ventes[[#This Row],[Produit]],tbl_ProduitsRef[Produit],0)),
   ""
)</f>
        <v/>
      </c>
      <c r="G4350" s="7">
        <f>tbl_Ventes[[#This Row],[Qté Vendue]] * IFERROR(_xlfn.XLOOKUP(tbl_Ventes[[#This Row],[Cde_Prdt]], tbl_Produits[Cde_Prdt], tbl_Produits[Prix Menu]), 0)</f>
        <v>0</v>
      </c>
      <c r="H4350" s="7">
        <f>IFERROR(_xlfn.XLOOKUP(tbl_Ventes[[#This Row],[Cde_Prdt]], tbl_Produits[Cde_Prdt], tbl_Produits[Coût Moyen Portion]), 0)</f>
        <v>0</v>
      </c>
      <c r="I4350" s="7">
        <f>tbl_Ventes[[#This Row],[Qté Vendue]] * tbl_Ventes[[#This Row],[CMP_par_portion]]</f>
        <v>0</v>
      </c>
      <c r="J4350" s="7">
        <f>tbl_Ventes[[#This Row],[CA ligne]] - tbl_Ventes[[#This Row],[Coût matière ligne]]</f>
        <v>0</v>
      </c>
      <c r="K4350" s="7" t="str">
        <f>IFERROR(INDEX(tbl_ProduitsRef[Famille], MATCH(tbl_Ventes[[#This Row],[Cde_Prdt]], tbl_Produits[Cde_Prdt], 0)), "")</f>
        <v/>
      </c>
    </row>
    <row r="4351" spans="1:11" x14ac:dyDescent="0.25">
      <c r="A4351" s="5"/>
      <c r="B4351" s="63" t="str">
        <f>IFERROR(TEXT(tbl_Ventes[[#This Row],[Date]],"mm-aaaa"),"")</f>
        <v>01-1900</v>
      </c>
      <c r="D4351" s="10" t="str">
        <f>IFERROR(
   INDEX(tbl_ProduitsRef[Cde_Prdt],MATCH(tbl_Ventes[[#This Row],[Produit]],tbl_ProduitsRef[Produit],0)),
   ""
)</f>
        <v/>
      </c>
      <c r="E4351" s="7">
        <v>0</v>
      </c>
      <c r="F4351" s="7" t="str">
        <f>IFERROR(
   INDEX(tbl_ProduitsRef[Prix Menu],MATCH(tbl_Ventes[[#This Row],[Produit]],tbl_ProduitsRef[Produit],0)),
   ""
)</f>
        <v/>
      </c>
      <c r="G4351" s="7">
        <f>tbl_Ventes[[#This Row],[Qté Vendue]] * IFERROR(_xlfn.XLOOKUP(tbl_Ventes[[#This Row],[Cde_Prdt]], tbl_Produits[Cde_Prdt], tbl_Produits[Prix Menu]), 0)</f>
        <v>0</v>
      </c>
      <c r="H4351" s="7">
        <f>IFERROR(_xlfn.XLOOKUP(tbl_Ventes[[#This Row],[Cde_Prdt]], tbl_Produits[Cde_Prdt], tbl_Produits[Coût Moyen Portion]), 0)</f>
        <v>0</v>
      </c>
      <c r="I4351" s="7">
        <f>tbl_Ventes[[#This Row],[Qté Vendue]] * tbl_Ventes[[#This Row],[CMP_par_portion]]</f>
        <v>0</v>
      </c>
      <c r="J4351" s="7">
        <f>tbl_Ventes[[#This Row],[CA ligne]] - tbl_Ventes[[#This Row],[Coût matière ligne]]</f>
        <v>0</v>
      </c>
      <c r="K4351" s="7" t="str">
        <f>IFERROR(INDEX(tbl_ProduitsRef[Famille], MATCH(tbl_Ventes[[#This Row],[Cde_Prdt]], tbl_Produits[Cde_Prdt], 0)), "")</f>
        <v/>
      </c>
    </row>
    <row r="4352" spans="1:11" x14ac:dyDescent="0.25">
      <c r="A4352" s="5"/>
      <c r="B4352" s="63" t="str">
        <f>IFERROR(TEXT(tbl_Ventes[[#This Row],[Date]],"mm-aaaa"),"")</f>
        <v>01-1900</v>
      </c>
      <c r="D4352" s="10" t="str">
        <f>IFERROR(
   INDEX(tbl_ProduitsRef[Cde_Prdt],MATCH(tbl_Ventes[[#This Row],[Produit]],tbl_ProduitsRef[Produit],0)),
   ""
)</f>
        <v/>
      </c>
      <c r="E4352" s="7">
        <v>0</v>
      </c>
      <c r="F4352" s="7" t="str">
        <f>IFERROR(
   INDEX(tbl_ProduitsRef[Prix Menu],MATCH(tbl_Ventes[[#This Row],[Produit]],tbl_ProduitsRef[Produit],0)),
   ""
)</f>
        <v/>
      </c>
      <c r="G4352" s="7">
        <f>tbl_Ventes[[#This Row],[Qté Vendue]] * IFERROR(_xlfn.XLOOKUP(tbl_Ventes[[#This Row],[Cde_Prdt]], tbl_Produits[Cde_Prdt], tbl_Produits[Prix Menu]), 0)</f>
        <v>0</v>
      </c>
      <c r="H4352" s="7">
        <f>IFERROR(_xlfn.XLOOKUP(tbl_Ventes[[#This Row],[Cde_Prdt]], tbl_Produits[Cde_Prdt], tbl_Produits[Coût Moyen Portion]), 0)</f>
        <v>0</v>
      </c>
      <c r="I4352" s="7">
        <f>tbl_Ventes[[#This Row],[Qté Vendue]] * tbl_Ventes[[#This Row],[CMP_par_portion]]</f>
        <v>0</v>
      </c>
      <c r="J4352" s="7">
        <f>tbl_Ventes[[#This Row],[CA ligne]] - tbl_Ventes[[#This Row],[Coût matière ligne]]</f>
        <v>0</v>
      </c>
      <c r="K4352" s="7" t="str">
        <f>IFERROR(INDEX(tbl_ProduitsRef[Famille], MATCH(tbl_Ventes[[#This Row],[Cde_Prdt]], tbl_Produits[Cde_Prdt], 0)), "")</f>
        <v/>
      </c>
    </row>
    <row r="4353" spans="1:11" x14ac:dyDescent="0.25">
      <c r="A4353" s="5"/>
      <c r="B4353" s="63" t="str">
        <f>IFERROR(TEXT(tbl_Ventes[[#This Row],[Date]],"mm-aaaa"),"")</f>
        <v>01-1900</v>
      </c>
      <c r="D4353" s="10" t="str">
        <f>IFERROR(
   INDEX(tbl_ProduitsRef[Cde_Prdt],MATCH(tbl_Ventes[[#This Row],[Produit]],tbl_ProduitsRef[Produit],0)),
   ""
)</f>
        <v/>
      </c>
      <c r="E4353" s="7">
        <v>0</v>
      </c>
      <c r="F4353" s="7" t="str">
        <f>IFERROR(
   INDEX(tbl_ProduitsRef[Prix Menu],MATCH(tbl_Ventes[[#This Row],[Produit]],tbl_ProduitsRef[Produit],0)),
   ""
)</f>
        <v/>
      </c>
      <c r="G4353" s="7">
        <f>tbl_Ventes[[#This Row],[Qté Vendue]] * IFERROR(_xlfn.XLOOKUP(tbl_Ventes[[#This Row],[Cde_Prdt]], tbl_Produits[Cde_Prdt], tbl_Produits[Prix Menu]), 0)</f>
        <v>0</v>
      </c>
      <c r="H4353" s="7">
        <f>IFERROR(_xlfn.XLOOKUP(tbl_Ventes[[#This Row],[Cde_Prdt]], tbl_Produits[Cde_Prdt], tbl_Produits[Coût Moyen Portion]), 0)</f>
        <v>0</v>
      </c>
      <c r="I4353" s="7">
        <f>tbl_Ventes[[#This Row],[Qté Vendue]] * tbl_Ventes[[#This Row],[CMP_par_portion]]</f>
        <v>0</v>
      </c>
      <c r="J4353" s="7">
        <f>tbl_Ventes[[#This Row],[CA ligne]] - tbl_Ventes[[#This Row],[Coût matière ligne]]</f>
        <v>0</v>
      </c>
      <c r="K4353" s="7" t="str">
        <f>IFERROR(INDEX(tbl_ProduitsRef[Famille], MATCH(tbl_Ventes[[#This Row],[Cde_Prdt]], tbl_Produits[Cde_Prdt], 0)), "")</f>
        <v/>
      </c>
    </row>
    <row r="4354" spans="1:11" x14ac:dyDescent="0.25">
      <c r="A4354" s="5"/>
      <c r="B4354" s="63" t="str">
        <f>IFERROR(TEXT(tbl_Ventes[[#This Row],[Date]],"mm-aaaa"),"")</f>
        <v>01-1900</v>
      </c>
      <c r="D4354" s="10" t="str">
        <f>IFERROR(
   INDEX(tbl_ProduitsRef[Cde_Prdt],MATCH(tbl_Ventes[[#This Row],[Produit]],tbl_ProduitsRef[Produit],0)),
   ""
)</f>
        <v/>
      </c>
      <c r="E4354" s="7">
        <v>0</v>
      </c>
      <c r="F4354" s="7" t="str">
        <f>IFERROR(
   INDEX(tbl_ProduitsRef[Prix Menu],MATCH(tbl_Ventes[[#This Row],[Produit]],tbl_ProduitsRef[Produit],0)),
   ""
)</f>
        <v/>
      </c>
      <c r="G4354" s="7">
        <f>tbl_Ventes[[#This Row],[Qté Vendue]] * IFERROR(_xlfn.XLOOKUP(tbl_Ventes[[#This Row],[Cde_Prdt]], tbl_Produits[Cde_Prdt], tbl_Produits[Prix Menu]), 0)</f>
        <v>0</v>
      </c>
      <c r="H4354" s="7">
        <f>IFERROR(_xlfn.XLOOKUP(tbl_Ventes[[#This Row],[Cde_Prdt]], tbl_Produits[Cde_Prdt], tbl_Produits[Coût Moyen Portion]), 0)</f>
        <v>0</v>
      </c>
      <c r="I4354" s="7">
        <f>tbl_Ventes[[#This Row],[Qté Vendue]] * tbl_Ventes[[#This Row],[CMP_par_portion]]</f>
        <v>0</v>
      </c>
      <c r="J4354" s="7">
        <f>tbl_Ventes[[#This Row],[CA ligne]] - tbl_Ventes[[#This Row],[Coût matière ligne]]</f>
        <v>0</v>
      </c>
      <c r="K4354" s="7" t="str">
        <f>IFERROR(INDEX(tbl_ProduitsRef[Famille], MATCH(tbl_Ventes[[#This Row],[Cde_Prdt]], tbl_Produits[Cde_Prdt], 0)), "")</f>
        <v/>
      </c>
    </row>
    <row r="4355" spans="1:11" x14ac:dyDescent="0.25">
      <c r="A4355" s="5"/>
      <c r="B4355" s="63" t="str">
        <f>IFERROR(TEXT(tbl_Ventes[[#This Row],[Date]],"mm-aaaa"),"")</f>
        <v>01-1900</v>
      </c>
      <c r="D4355" s="10" t="str">
        <f>IFERROR(
   INDEX(tbl_ProduitsRef[Cde_Prdt],MATCH(tbl_Ventes[[#This Row],[Produit]],tbl_ProduitsRef[Produit],0)),
   ""
)</f>
        <v/>
      </c>
      <c r="E4355" s="7">
        <v>0</v>
      </c>
      <c r="F4355" s="7" t="str">
        <f>IFERROR(
   INDEX(tbl_ProduitsRef[Prix Menu],MATCH(tbl_Ventes[[#This Row],[Produit]],tbl_ProduitsRef[Produit],0)),
   ""
)</f>
        <v/>
      </c>
      <c r="G4355" s="7">
        <f>tbl_Ventes[[#This Row],[Qté Vendue]] * IFERROR(_xlfn.XLOOKUP(tbl_Ventes[[#This Row],[Cde_Prdt]], tbl_Produits[Cde_Prdt], tbl_Produits[Prix Menu]), 0)</f>
        <v>0</v>
      </c>
      <c r="H4355" s="7">
        <f>IFERROR(_xlfn.XLOOKUP(tbl_Ventes[[#This Row],[Cde_Prdt]], tbl_Produits[Cde_Prdt], tbl_Produits[Coût Moyen Portion]), 0)</f>
        <v>0</v>
      </c>
      <c r="I4355" s="7">
        <f>tbl_Ventes[[#This Row],[Qté Vendue]] * tbl_Ventes[[#This Row],[CMP_par_portion]]</f>
        <v>0</v>
      </c>
      <c r="J4355" s="7">
        <f>tbl_Ventes[[#This Row],[CA ligne]] - tbl_Ventes[[#This Row],[Coût matière ligne]]</f>
        <v>0</v>
      </c>
      <c r="K4355" s="7" t="str">
        <f>IFERROR(INDEX(tbl_ProduitsRef[Famille], MATCH(tbl_Ventes[[#This Row],[Cde_Prdt]], tbl_Produits[Cde_Prdt], 0)), "")</f>
        <v/>
      </c>
    </row>
    <row r="4356" spans="1:11" x14ac:dyDescent="0.25">
      <c r="A4356" s="5"/>
      <c r="B4356" s="63" t="str">
        <f>IFERROR(TEXT(tbl_Ventes[[#This Row],[Date]],"mm-aaaa"),"")</f>
        <v>01-1900</v>
      </c>
      <c r="D4356" s="10" t="str">
        <f>IFERROR(
   INDEX(tbl_ProduitsRef[Cde_Prdt],MATCH(tbl_Ventes[[#This Row],[Produit]],tbl_ProduitsRef[Produit],0)),
   ""
)</f>
        <v/>
      </c>
      <c r="E4356" s="7">
        <v>0</v>
      </c>
      <c r="F4356" s="7" t="str">
        <f>IFERROR(
   INDEX(tbl_ProduitsRef[Prix Menu],MATCH(tbl_Ventes[[#This Row],[Produit]],tbl_ProduitsRef[Produit],0)),
   ""
)</f>
        <v/>
      </c>
      <c r="G4356" s="7">
        <f>tbl_Ventes[[#This Row],[Qté Vendue]] * IFERROR(_xlfn.XLOOKUP(tbl_Ventes[[#This Row],[Cde_Prdt]], tbl_Produits[Cde_Prdt], tbl_Produits[Prix Menu]), 0)</f>
        <v>0</v>
      </c>
      <c r="H4356" s="7">
        <f>IFERROR(_xlfn.XLOOKUP(tbl_Ventes[[#This Row],[Cde_Prdt]], tbl_Produits[Cde_Prdt], tbl_Produits[Coût Moyen Portion]), 0)</f>
        <v>0</v>
      </c>
      <c r="I4356" s="7">
        <f>tbl_Ventes[[#This Row],[Qté Vendue]] * tbl_Ventes[[#This Row],[CMP_par_portion]]</f>
        <v>0</v>
      </c>
      <c r="J4356" s="7">
        <f>tbl_Ventes[[#This Row],[CA ligne]] - tbl_Ventes[[#This Row],[Coût matière ligne]]</f>
        <v>0</v>
      </c>
      <c r="K4356" s="7" t="str">
        <f>IFERROR(INDEX(tbl_ProduitsRef[Famille], MATCH(tbl_Ventes[[#This Row],[Cde_Prdt]], tbl_Produits[Cde_Prdt], 0)), "")</f>
        <v/>
      </c>
    </row>
    <row r="4357" spans="1:11" x14ac:dyDescent="0.25">
      <c r="A4357" s="5"/>
      <c r="B4357" s="63" t="str">
        <f>IFERROR(TEXT(tbl_Ventes[[#This Row],[Date]],"mm-aaaa"),"")</f>
        <v>01-1900</v>
      </c>
      <c r="D4357" s="10" t="str">
        <f>IFERROR(
   INDEX(tbl_ProduitsRef[Cde_Prdt],MATCH(tbl_Ventes[[#This Row],[Produit]],tbl_ProduitsRef[Produit],0)),
   ""
)</f>
        <v/>
      </c>
      <c r="E4357" s="7">
        <v>0</v>
      </c>
      <c r="F4357" s="7" t="str">
        <f>IFERROR(
   INDEX(tbl_ProduitsRef[Prix Menu],MATCH(tbl_Ventes[[#This Row],[Produit]],tbl_ProduitsRef[Produit],0)),
   ""
)</f>
        <v/>
      </c>
      <c r="G4357" s="7">
        <f>tbl_Ventes[[#This Row],[Qté Vendue]] * IFERROR(_xlfn.XLOOKUP(tbl_Ventes[[#This Row],[Cde_Prdt]], tbl_Produits[Cde_Prdt], tbl_Produits[Prix Menu]), 0)</f>
        <v>0</v>
      </c>
      <c r="H4357" s="7">
        <f>IFERROR(_xlfn.XLOOKUP(tbl_Ventes[[#This Row],[Cde_Prdt]], tbl_Produits[Cde_Prdt], tbl_Produits[Coût Moyen Portion]), 0)</f>
        <v>0</v>
      </c>
      <c r="I4357" s="7">
        <f>tbl_Ventes[[#This Row],[Qté Vendue]] * tbl_Ventes[[#This Row],[CMP_par_portion]]</f>
        <v>0</v>
      </c>
      <c r="J4357" s="7">
        <f>tbl_Ventes[[#This Row],[CA ligne]] - tbl_Ventes[[#This Row],[Coût matière ligne]]</f>
        <v>0</v>
      </c>
      <c r="K4357" s="7" t="str">
        <f>IFERROR(INDEX(tbl_ProduitsRef[Famille], MATCH(tbl_Ventes[[#This Row],[Cde_Prdt]], tbl_Produits[Cde_Prdt], 0)), "")</f>
        <v/>
      </c>
    </row>
    <row r="4358" spans="1:11" x14ac:dyDescent="0.25">
      <c r="A4358" s="5"/>
      <c r="B4358" s="63" t="str">
        <f>IFERROR(TEXT(tbl_Ventes[[#This Row],[Date]],"mm-aaaa"),"")</f>
        <v>01-1900</v>
      </c>
      <c r="D4358" s="10" t="str">
        <f>IFERROR(
   INDEX(tbl_ProduitsRef[Cde_Prdt],MATCH(tbl_Ventes[[#This Row],[Produit]],tbl_ProduitsRef[Produit],0)),
   ""
)</f>
        <v/>
      </c>
      <c r="E4358" s="7">
        <v>0</v>
      </c>
      <c r="F4358" s="7" t="str">
        <f>IFERROR(
   INDEX(tbl_ProduitsRef[Prix Menu],MATCH(tbl_Ventes[[#This Row],[Produit]],tbl_ProduitsRef[Produit],0)),
   ""
)</f>
        <v/>
      </c>
      <c r="G4358" s="7">
        <f>tbl_Ventes[[#This Row],[Qté Vendue]] * IFERROR(_xlfn.XLOOKUP(tbl_Ventes[[#This Row],[Cde_Prdt]], tbl_Produits[Cde_Prdt], tbl_Produits[Prix Menu]), 0)</f>
        <v>0</v>
      </c>
      <c r="H4358" s="7">
        <f>IFERROR(_xlfn.XLOOKUP(tbl_Ventes[[#This Row],[Cde_Prdt]], tbl_Produits[Cde_Prdt], tbl_Produits[Coût Moyen Portion]), 0)</f>
        <v>0</v>
      </c>
      <c r="I4358" s="7">
        <f>tbl_Ventes[[#This Row],[Qté Vendue]] * tbl_Ventes[[#This Row],[CMP_par_portion]]</f>
        <v>0</v>
      </c>
      <c r="J4358" s="7">
        <f>tbl_Ventes[[#This Row],[CA ligne]] - tbl_Ventes[[#This Row],[Coût matière ligne]]</f>
        <v>0</v>
      </c>
      <c r="K4358" s="7" t="str">
        <f>IFERROR(INDEX(tbl_ProduitsRef[Famille], MATCH(tbl_Ventes[[#This Row],[Cde_Prdt]], tbl_Produits[Cde_Prdt], 0)), "")</f>
        <v/>
      </c>
    </row>
    <row r="4359" spans="1:11" x14ac:dyDescent="0.25">
      <c r="A4359" s="5"/>
      <c r="B4359" s="63" t="str">
        <f>IFERROR(TEXT(tbl_Ventes[[#This Row],[Date]],"mm-aaaa"),"")</f>
        <v>01-1900</v>
      </c>
      <c r="D4359" s="10" t="str">
        <f>IFERROR(
   INDEX(tbl_ProduitsRef[Cde_Prdt],MATCH(tbl_Ventes[[#This Row],[Produit]],tbl_ProduitsRef[Produit],0)),
   ""
)</f>
        <v/>
      </c>
      <c r="E4359" s="7">
        <v>0</v>
      </c>
      <c r="F4359" s="7" t="str">
        <f>IFERROR(
   INDEX(tbl_ProduitsRef[Prix Menu],MATCH(tbl_Ventes[[#This Row],[Produit]],tbl_ProduitsRef[Produit],0)),
   ""
)</f>
        <v/>
      </c>
      <c r="G4359" s="7">
        <f>tbl_Ventes[[#This Row],[Qté Vendue]] * IFERROR(_xlfn.XLOOKUP(tbl_Ventes[[#This Row],[Cde_Prdt]], tbl_Produits[Cde_Prdt], tbl_Produits[Prix Menu]), 0)</f>
        <v>0</v>
      </c>
      <c r="H4359" s="7">
        <f>IFERROR(_xlfn.XLOOKUP(tbl_Ventes[[#This Row],[Cde_Prdt]], tbl_Produits[Cde_Prdt], tbl_Produits[Coût Moyen Portion]), 0)</f>
        <v>0</v>
      </c>
      <c r="I4359" s="7">
        <f>tbl_Ventes[[#This Row],[Qté Vendue]] * tbl_Ventes[[#This Row],[CMP_par_portion]]</f>
        <v>0</v>
      </c>
      <c r="J4359" s="7">
        <f>tbl_Ventes[[#This Row],[CA ligne]] - tbl_Ventes[[#This Row],[Coût matière ligne]]</f>
        <v>0</v>
      </c>
      <c r="K4359" s="7" t="str">
        <f>IFERROR(INDEX(tbl_ProduitsRef[Famille], MATCH(tbl_Ventes[[#This Row],[Cde_Prdt]], tbl_Produits[Cde_Prdt], 0)), "")</f>
        <v/>
      </c>
    </row>
    <row r="4360" spans="1:11" x14ac:dyDescent="0.25">
      <c r="A4360" s="5"/>
      <c r="B4360" s="63" t="str">
        <f>IFERROR(TEXT(tbl_Ventes[[#This Row],[Date]],"mm-aaaa"),"")</f>
        <v>01-1900</v>
      </c>
      <c r="D4360" s="10" t="str">
        <f>IFERROR(
   INDEX(tbl_ProduitsRef[Cde_Prdt],MATCH(tbl_Ventes[[#This Row],[Produit]],tbl_ProduitsRef[Produit],0)),
   ""
)</f>
        <v/>
      </c>
      <c r="E4360" s="7">
        <v>0</v>
      </c>
      <c r="F4360" s="7" t="str">
        <f>IFERROR(
   INDEX(tbl_ProduitsRef[Prix Menu],MATCH(tbl_Ventes[[#This Row],[Produit]],tbl_ProduitsRef[Produit],0)),
   ""
)</f>
        <v/>
      </c>
      <c r="G4360" s="7">
        <f>tbl_Ventes[[#This Row],[Qté Vendue]] * IFERROR(_xlfn.XLOOKUP(tbl_Ventes[[#This Row],[Cde_Prdt]], tbl_Produits[Cde_Prdt], tbl_Produits[Prix Menu]), 0)</f>
        <v>0</v>
      </c>
      <c r="H4360" s="7">
        <f>IFERROR(_xlfn.XLOOKUP(tbl_Ventes[[#This Row],[Cde_Prdt]], tbl_Produits[Cde_Prdt], tbl_Produits[Coût Moyen Portion]), 0)</f>
        <v>0</v>
      </c>
      <c r="I4360" s="7">
        <f>tbl_Ventes[[#This Row],[Qté Vendue]] * tbl_Ventes[[#This Row],[CMP_par_portion]]</f>
        <v>0</v>
      </c>
      <c r="J4360" s="7">
        <f>tbl_Ventes[[#This Row],[CA ligne]] - tbl_Ventes[[#This Row],[Coût matière ligne]]</f>
        <v>0</v>
      </c>
      <c r="K4360" s="7" t="str">
        <f>IFERROR(INDEX(tbl_ProduitsRef[Famille], MATCH(tbl_Ventes[[#This Row],[Cde_Prdt]], tbl_Produits[Cde_Prdt], 0)), "")</f>
        <v/>
      </c>
    </row>
    <row r="4361" spans="1:11" x14ac:dyDescent="0.25">
      <c r="A4361" s="5"/>
      <c r="B4361" s="63" t="str">
        <f>IFERROR(TEXT(tbl_Ventes[[#This Row],[Date]],"mm-aaaa"),"")</f>
        <v>01-1900</v>
      </c>
      <c r="D4361" s="10" t="str">
        <f>IFERROR(
   INDEX(tbl_ProduitsRef[Cde_Prdt],MATCH(tbl_Ventes[[#This Row],[Produit]],tbl_ProduitsRef[Produit],0)),
   ""
)</f>
        <v/>
      </c>
      <c r="E4361" s="7">
        <v>0</v>
      </c>
      <c r="F4361" s="7" t="str">
        <f>IFERROR(
   INDEX(tbl_ProduitsRef[Prix Menu],MATCH(tbl_Ventes[[#This Row],[Produit]],tbl_ProduitsRef[Produit],0)),
   ""
)</f>
        <v/>
      </c>
      <c r="G4361" s="7">
        <f>tbl_Ventes[[#This Row],[Qté Vendue]] * IFERROR(_xlfn.XLOOKUP(tbl_Ventes[[#This Row],[Cde_Prdt]], tbl_Produits[Cde_Prdt], tbl_Produits[Prix Menu]), 0)</f>
        <v>0</v>
      </c>
      <c r="H4361" s="7">
        <f>IFERROR(_xlfn.XLOOKUP(tbl_Ventes[[#This Row],[Cde_Prdt]], tbl_Produits[Cde_Prdt], tbl_Produits[Coût Moyen Portion]), 0)</f>
        <v>0</v>
      </c>
      <c r="I4361" s="7">
        <f>tbl_Ventes[[#This Row],[Qté Vendue]] * tbl_Ventes[[#This Row],[CMP_par_portion]]</f>
        <v>0</v>
      </c>
      <c r="J4361" s="7">
        <f>tbl_Ventes[[#This Row],[CA ligne]] - tbl_Ventes[[#This Row],[Coût matière ligne]]</f>
        <v>0</v>
      </c>
      <c r="K4361" s="7" t="str">
        <f>IFERROR(INDEX(tbl_ProduitsRef[Famille], MATCH(tbl_Ventes[[#This Row],[Cde_Prdt]], tbl_Produits[Cde_Prdt], 0)), "")</f>
        <v/>
      </c>
    </row>
    <row r="4362" spans="1:11" x14ac:dyDescent="0.25">
      <c r="A4362" s="5"/>
      <c r="B4362" s="63" t="str">
        <f>IFERROR(TEXT(tbl_Ventes[[#This Row],[Date]],"mm-aaaa"),"")</f>
        <v>01-1900</v>
      </c>
      <c r="D4362" s="10" t="str">
        <f>IFERROR(
   INDEX(tbl_ProduitsRef[Cde_Prdt],MATCH(tbl_Ventes[[#This Row],[Produit]],tbl_ProduitsRef[Produit],0)),
   ""
)</f>
        <v/>
      </c>
      <c r="E4362" s="7">
        <v>0</v>
      </c>
      <c r="F4362" s="7" t="str">
        <f>IFERROR(
   INDEX(tbl_ProduitsRef[Prix Menu],MATCH(tbl_Ventes[[#This Row],[Produit]],tbl_ProduitsRef[Produit],0)),
   ""
)</f>
        <v/>
      </c>
      <c r="G4362" s="7">
        <f>tbl_Ventes[[#This Row],[Qté Vendue]] * IFERROR(_xlfn.XLOOKUP(tbl_Ventes[[#This Row],[Cde_Prdt]], tbl_Produits[Cde_Prdt], tbl_Produits[Prix Menu]), 0)</f>
        <v>0</v>
      </c>
      <c r="H4362" s="7">
        <f>IFERROR(_xlfn.XLOOKUP(tbl_Ventes[[#This Row],[Cde_Prdt]], tbl_Produits[Cde_Prdt], tbl_Produits[Coût Moyen Portion]), 0)</f>
        <v>0</v>
      </c>
      <c r="I4362" s="7">
        <f>tbl_Ventes[[#This Row],[Qté Vendue]] * tbl_Ventes[[#This Row],[CMP_par_portion]]</f>
        <v>0</v>
      </c>
      <c r="J4362" s="7">
        <f>tbl_Ventes[[#This Row],[CA ligne]] - tbl_Ventes[[#This Row],[Coût matière ligne]]</f>
        <v>0</v>
      </c>
      <c r="K4362" s="7" t="str">
        <f>IFERROR(INDEX(tbl_ProduitsRef[Famille], MATCH(tbl_Ventes[[#This Row],[Cde_Prdt]], tbl_Produits[Cde_Prdt], 0)), "")</f>
        <v/>
      </c>
    </row>
    <row r="4363" spans="1:11" x14ac:dyDescent="0.25">
      <c r="A4363" s="5"/>
      <c r="B4363" s="63" t="str">
        <f>IFERROR(TEXT(tbl_Ventes[[#This Row],[Date]],"mm-aaaa"),"")</f>
        <v>01-1900</v>
      </c>
      <c r="D4363" s="10" t="str">
        <f>IFERROR(
   INDEX(tbl_ProduitsRef[Cde_Prdt],MATCH(tbl_Ventes[[#This Row],[Produit]],tbl_ProduitsRef[Produit],0)),
   ""
)</f>
        <v/>
      </c>
      <c r="E4363" s="7">
        <v>0</v>
      </c>
      <c r="F4363" s="7" t="str">
        <f>IFERROR(
   INDEX(tbl_ProduitsRef[Prix Menu],MATCH(tbl_Ventes[[#This Row],[Produit]],tbl_ProduitsRef[Produit],0)),
   ""
)</f>
        <v/>
      </c>
      <c r="G4363" s="7">
        <f>tbl_Ventes[[#This Row],[Qté Vendue]] * IFERROR(_xlfn.XLOOKUP(tbl_Ventes[[#This Row],[Cde_Prdt]], tbl_Produits[Cde_Prdt], tbl_Produits[Prix Menu]), 0)</f>
        <v>0</v>
      </c>
      <c r="H4363" s="7">
        <f>IFERROR(_xlfn.XLOOKUP(tbl_Ventes[[#This Row],[Cde_Prdt]], tbl_Produits[Cde_Prdt], tbl_Produits[Coût Moyen Portion]), 0)</f>
        <v>0</v>
      </c>
      <c r="I4363" s="7">
        <f>tbl_Ventes[[#This Row],[Qté Vendue]] * tbl_Ventes[[#This Row],[CMP_par_portion]]</f>
        <v>0</v>
      </c>
      <c r="J4363" s="7">
        <f>tbl_Ventes[[#This Row],[CA ligne]] - tbl_Ventes[[#This Row],[Coût matière ligne]]</f>
        <v>0</v>
      </c>
      <c r="K4363" s="7" t="str">
        <f>IFERROR(INDEX(tbl_ProduitsRef[Famille], MATCH(tbl_Ventes[[#This Row],[Cde_Prdt]], tbl_Produits[Cde_Prdt], 0)), "")</f>
        <v/>
      </c>
    </row>
    <row r="4364" spans="1:11" x14ac:dyDescent="0.25">
      <c r="A4364" s="5"/>
      <c r="B4364" s="63" t="str">
        <f>IFERROR(TEXT(tbl_Ventes[[#This Row],[Date]],"mm-aaaa"),"")</f>
        <v>01-1900</v>
      </c>
      <c r="D4364" s="10" t="str">
        <f>IFERROR(
   INDEX(tbl_ProduitsRef[Cde_Prdt],MATCH(tbl_Ventes[[#This Row],[Produit]],tbl_ProduitsRef[Produit],0)),
   ""
)</f>
        <v/>
      </c>
      <c r="E4364" s="7">
        <v>0</v>
      </c>
      <c r="F4364" s="7" t="str">
        <f>IFERROR(
   INDEX(tbl_ProduitsRef[Prix Menu],MATCH(tbl_Ventes[[#This Row],[Produit]],tbl_ProduitsRef[Produit],0)),
   ""
)</f>
        <v/>
      </c>
      <c r="G4364" s="7">
        <f>tbl_Ventes[[#This Row],[Qté Vendue]] * IFERROR(_xlfn.XLOOKUP(tbl_Ventes[[#This Row],[Cde_Prdt]], tbl_Produits[Cde_Prdt], tbl_Produits[Prix Menu]), 0)</f>
        <v>0</v>
      </c>
      <c r="H4364" s="7">
        <f>IFERROR(_xlfn.XLOOKUP(tbl_Ventes[[#This Row],[Cde_Prdt]], tbl_Produits[Cde_Prdt], tbl_Produits[Coût Moyen Portion]), 0)</f>
        <v>0</v>
      </c>
      <c r="I4364" s="7">
        <f>tbl_Ventes[[#This Row],[Qté Vendue]] * tbl_Ventes[[#This Row],[CMP_par_portion]]</f>
        <v>0</v>
      </c>
      <c r="J4364" s="7">
        <f>tbl_Ventes[[#This Row],[CA ligne]] - tbl_Ventes[[#This Row],[Coût matière ligne]]</f>
        <v>0</v>
      </c>
      <c r="K4364" s="7" t="str">
        <f>IFERROR(INDEX(tbl_ProduitsRef[Famille], MATCH(tbl_Ventes[[#This Row],[Cde_Prdt]], tbl_Produits[Cde_Prdt], 0)), "")</f>
        <v/>
      </c>
    </row>
    <row r="4365" spans="1:11" x14ac:dyDescent="0.25">
      <c r="A4365" s="5"/>
      <c r="B4365" s="63" t="str">
        <f>IFERROR(TEXT(tbl_Ventes[[#This Row],[Date]],"mm-aaaa"),"")</f>
        <v>01-1900</v>
      </c>
      <c r="D4365" s="10" t="str">
        <f>IFERROR(
   INDEX(tbl_ProduitsRef[Cde_Prdt],MATCH(tbl_Ventes[[#This Row],[Produit]],tbl_ProduitsRef[Produit],0)),
   ""
)</f>
        <v/>
      </c>
      <c r="E4365" s="7">
        <v>0</v>
      </c>
      <c r="F4365" s="7" t="str">
        <f>IFERROR(
   INDEX(tbl_ProduitsRef[Prix Menu],MATCH(tbl_Ventes[[#This Row],[Produit]],tbl_ProduitsRef[Produit],0)),
   ""
)</f>
        <v/>
      </c>
      <c r="G4365" s="7">
        <f>tbl_Ventes[[#This Row],[Qté Vendue]] * IFERROR(_xlfn.XLOOKUP(tbl_Ventes[[#This Row],[Cde_Prdt]], tbl_Produits[Cde_Prdt], tbl_Produits[Prix Menu]), 0)</f>
        <v>0</v>
      </c>
      <c r="H4365" s="7">
        <f>IFERROR(_xlfn.XLOOKUP(tbl_Ventes[[#This Row],[Cde_Prdt]], tbl_Produits[Cde_Prdt], tbl_Produits[Coût Moyen Portion]), 0)</f>
        <v>0</v>
      </c>
      <c r="I4365" s="7">
        <f>tbl_Ventes[[#This Row],[Qté Vendue]] * tbl_Ventes[[#This Row],[CMP_par_portion]]</f>
        <v>0</v>
      </c>
      <c r="J4365" s="7">
        <f>tbl_Ventes[[#This Row],[CA ligne]] - tbl_Ventes[[#This Row],[Coût matière ligne]]</f>
        <v>0</v>
      </c>
      <c r="K4365" s="7" t="str">
        <f>IFERROR(INDEX(tbl_ProduitsRef[Famille], MATCH(tbl_Ventes[[#This Row],[Cde_Prdt]], tbl_Produits[Cde_Prdt], 0)), "")</f>
        <v/>
      </c>
    </row>
    <row r="4366" spans="1:11" x14ac:dyDescent="0.25">
      <c r="A4366" s="5"/>
      <c r="B4366" s="63" t="str">
        <f>IFERROR(TEXT(tbl_Ventes[[#This Row],[Date]],"mm-aaaa"),"")</f>
        <v>01-1900</v>
      </c>
      <c r="D4366" s="10" t="str">
        <f>IFERROR(
   INDEX(tbl_ProduitsRef[Cde_Prdt],MATCH(tbl_Ventes[[#This Row],[Produit]],tbl_ProduitsRef[Produit],0)),
   ""
)</f>
        <v/>
      </c>
      <c r="E4366" s="7">
        <v>0</v>
      </c>
      <c r="F4366" s="7" t="str">
        <f>IFERROR(
   INDEX(tbl_ProduitsRef[Prix Menu],MATCH(tbl_Ventes[[#This Row],[Produit]],tbl_ProduitsRef[Produit],0)),
   ""
)</f>
        <v/>
      </c>
      <c r="G4366" s="7">
        <f>tbl_Ventes[[#This Row],[Qté Vendue]] * IFERROR(_xlfn.XLOOKUP(tbl_Ventes[[#This Row],[Cde_Prdt]], tbl_Produits[Cde_Prdt], tbl_Produits[Prix Menu]), 0)</f>
        <v>0</v>
      </c>
      <c r="H4366" s="7">
        <f>IFERROR(_xlfn.XLOOKUP(tbl_Ventes[[#This Row],[Cde_Prdt]], tbl_Produits[Cde_Prdt], tbl_Produits[Coût Moyen Portion]), 0)</f>
        <v>0</v>
      </c>
      <c r="I4366" s="7">
        <f>tbl_Ventes[[#This Row],[Qté Vendue]] * tbl_Ventes[[#This Row],[CMP_par_portion]]</f>
        <v>0</v>
      </c>
      <c r="J4366" s="7">
        <f>tbl_Ventes[[#This Row],[CA ligne]] - tbl_Ventes[[#This Row],[Coût matière ligne]]</f>
        <v>0</v>
      </c>
      <c r="K4366" s="7" t="str">
        <f>IFERROR(INDEX(tbl_ProduitsRef[Famille], MATCH(tbl_Ventes[[#This Row],[Cde_Prdt]], tbl_Produits[Cde_Prdt], 0)), "")</f>
        <v/>
      </c>
    </row>
    <row r="4367" spans="1:11" x14ac:dyDescent="0.25">
      <c r="A4367" s="5"/>
      <c r="B4367" s="63" t="str">
        <f>IFERROR(TEXT(tbl_Ventes[[#This Row],[Date]],"mm-aaaa"),"")</f>
        <v>01-1900</v>
      </c>
      <c r="D4367" s="10" t="str">
        <f>IFERROR(
   INDEX(tbl_ProduitsRef[Cde_Prdt],MATCH(tbl_Ventes[[#This Row],[Produit]],tbl_ProduitsRef[Produit],0)),
   ""
)</f>
        <v/>
      </c>
      <c r="E4367" s="7">
        <v>0</v>
      </c>
      <c r="F4367" s="7" t="str">
        <f>IFERROR(
   INDEX(tbl_ProduitsRef[Prix Menu],MATCH(tbl_Ventes[[#This Row],[Produit]],tbl_ProduitsRef[Produit],0)),
   ""
)</f>
        <v/>
      </c>
      <c r="G4367" s="7">
        <f>tbl_Ventes[[#This Row],[Qté Vendue]] * IFERROR(_xlfn.XLOOKUP(tbl_Ventes[[#This Row],[Cde_Prdt]], tbl_Produits[Cde_Prdt], tbl_Produits[Prix Menu]), 0)</f>
        <v>0</v>
      </c>
      <c r="H4367" s="7">
        <f>IFERROR(_xlfn.XLOOKUP(tbl_Ventes[[#This Row],[Cde_Prdt]], tbl_Produits[Cde_Prdt], tbl_Produits[Coût Moyen Portion]), 0)</f>
        <v>0</v>
      </c>
      <c r="I4367" s="7">
        <f>tbl_Ventes[[#This Row],[Qté Vendue]] * tbl_Ventes[[#This Row],[CMP_par_portion]]</f>
        <v>0</v>
      </c>
      <c r="J4367" s="7">
        <f>tbl_Ventes[[#This Row],[CA ligne]] - tbl_Ventes[[#This Row],[Coût matière ligne]]</f>
        <v>0</v>
      </c>
      <c r="K4367" s="7" t="str">
        <f>IFERROR(INDEX(tbl_ProduitsRef[Famille], MATCH(tbl_Ventes[[#This Row],[Cde_Prdt]], tbl_Produits[Cde_Prdt], 0)), "")</f>
        <v/>
      </c>
    </row>
    <row r="4368" spans="1:11" x14ac:dyDescent="0.25">
      <c r="A4368" s="5"/>
      <c r="B4368" s="63" t="str">
        <f>IFERROR(TEXT(tbl_Ventes[[#This Row],[Date]],"mm-aaaa"),"")</f>
        <v>01-1900</v>
      </c>
      <c r="D4368" s="10" t="str">
        <f>IFERROR(
   INDEX(tbl_ProduitsRef[Cde_Prdt],MATCH(tbl_Ventes[[#This Row],[Produit]],tbl_ProduitsRef[Produit],0)),
   ""
)</f>
        <v/>
      </c>
      <c r="E4368" s="7">
        <v>0</v>
      </c>
      <c r="F4368" s="7" t="str">
        <f>IFERROR(
   INDEX(tbl_ProduitsRef[Prix Menu],MATCH(tbl_Ventes[[#This Row],[Produit]],tbl_ProduitsRef[Produit],0)),
   ""
)</f>
        <v/>
      </c>
      <c r="G4368" s="7">
        <f>tbl_Ventes[[#This Row],[Qté Vendue]] * IFERROR(_xlfn.XLOOKUP(tbl_Ventes[[#This Row],[Cde_Prdt]], tbl_Produits[Cde_Prdt], tbl_Produits[Prix Menu]), 0)</f>
        <v>0</v>
      </c>
      <c r="H4368" s="7">
        <f>IFERROR(_xlfn.XLOOKUP(tbl_Ventes[[#This Row],[Cde_Prdt]], tbl_Produits[Cde_Prdt], tbl_Produits[Coût Moyen Portion]), 0)</f>
        <v>0</v>
      </c>
      <c r="I4368" s="7">
        <f>tbl_Ventes[[#This Row],[Qté Vendue]] * tbl_Ventes[[#This Row],[CMP_par_portion]]</f>
        <v>0</v>
      </c>
      <c r="J4368" s="7">
        <f>tbl_Ventes[[#This Row],[CA ligne]] - tbl_Ventes[[#This Row],[Coût matière ligne]]</f>
        <v>0</v>
      </c>
      <c r="K4368" s="7" t="str">
        <f>IFERROR(INDEX(tbl_ProduitsRef[Famille], MATCH(tbl_Ventes[[#This Row],[Cde_Prdt]], tbl_Produits[Cde_Prdt], 0)), "")</f>
        <v/>
      </c>
    </row>
    <row r="4369" spans="1:11" x14ac:dyDescent="0.25">
      <c r="A4369" s="5"/>
      <c r="B4369" s="63" t="str">
        <f>IFERROR(TEXT(tbl_Ventes[[#This Row],[Date]],"mm-aaaa"),"")</f>
        <v>01-1900</v>
      </c>
      <c r="D4369" s="10" t="str">
        <f>IFERROR(
   INDEX(tbl_ProduitsRef[Cde_Prdt],MATCH(tbl_Ventes[[#This Row],[Produit]],tbl_ProduitsRef[Produit],0)),
   ""
)</f>
        <v/>
      </c>
      <c r="E4369" s="7">
        <v>0</v>
      </c>
      <c r="F4369" s="7" t="str">
        <f>IFERROR(
   INDEX(tbl_ProduitsRef[Prix Menu],MATCH(tbl_Ventes[[#This Row],[Produit]],tbl_ProduitsRef[Produit],0)),
   ""
)</f>
        <v/>
      </c>
      <c r="G4369" s="7">
        <f>tbl_Ventes[[#This Row],[Qté Vendue]] * IFERROR(_xlfn.XLOOKUP(tbl_Ventes[[#This Row],[Cde_Prdt]], tbl_Produits[Cde_Prdt], tbl_Produits[Prix Menu]), 0)</f>
        <v>0</v>
      </c>
      <c r="H4369" s="7">
        <f>IFERROR(_xlfn.XLOOKUP(tbl_Ventes[[#This Row],[Cde_Prdt]], tbl_Produits[Cde_Prdt], tbl_Produits[Coût Moyen Portion]), 0)</f>
        <v>0</v>
      </c>
      <c r="I4369" s="7">
        <f>tbl_Ventes[[#This Row],[Qté Vendue]] * tbl_Ventes[[#This Row],[CMP_par_portion]]</f>
        <v>0</v>
      </c>
      <c r="J4369" s="7">
        <f>tbl_Ventes[[#This Row],[CA ligne]] - tbl_Ventes[[#This Row],[Coût matière ligne]]</f>
        <v>0</v>
      </c>
      <c r="K4369" s="7" t="str">
        <f>IFERROR(INDEX(tbl_ProduitsRef[Famille], MATCH(tbl_Ventes[[#This Row],[Cde_Prdt]], tbl_Produits[Cde_Prdt], 0)), "")</f>
        <v/>
      </c>
    </row>
    <row r="4370" spans="1:11" x14ac:dyDescent="0.25">
      <c r="A4370" s="5"/>
      <c r="B4370" s="63" t="str">
        <f>IFERROR(TEXT(tbl_Ventes[[#This Row],[Date]],"mm-aaaa"),"")</f>
        <v>01-1900</v>
      </c>
      <c r="D4370" s="10" t="str">
        <f>IFERROR(
   INDEX(tbl_ProduitsRef[Cde_Prdt],MATCH(tbl_Ventes[[#This Row],[Produit]],tbl_ProduitsRef[Produit],0)),
   ""
)</f>
        <v/>
      </c>
      <c r="E4370" s="7">
        <v>0</v>
      </c>
      <c r="F4370" s="7" t="str">
        <f>IFERROR(
   INDEX(tbl_ProduitsRef[Prix Menu],MATCH(tbl_Ventes[[#This Row],[Produit]],tbl_ProduitsRef[Produit],0)),
   ""
)</f>
        <v/>
      </c>
      <c r="G4370" s="7">
        <f>tbl_Ventes[[#This Row],[Qté Vendue]] * IFERROR(_xlfn.XLOOKUP(tbl_Ventes[[#This Row],[Cde_Prdt]], tbl_Produits[Cde_Prdt], tbl_Produits[Prix Menu]), 0)</f>
        <v>0</v>
      </c>
      <c r="H4370" s="7">
        <f>IFERROR(_xlfn.XLOOKUP(tbl_Ventes[[#This Row],[Cde_Prdt]], tbl_Produits[Cde_Prdt], tbl_Produits[Coût Moyen Portion]), 0)</f>
        <v>0</v>
      </c>
      <c r="I4370" s="7">
        <f>tbl_Ventes[[#This Row],[Qté Vendue]] * tbl_Ventes[[#This Row],[CMP_par_portion]]</f>
        <v>0</v>
      </c>
      <c r="J4370" s="7">
        <f>tbl_Ventes[[#This Row],[CA ligne]] - tbl_Ventes[[#This Row],[Coût matière ligne]]</f>
        <v>0</v>
      </c>
      <c r="K4370" s="7" t="str">
        <f>IFERROR(INDEX(tbl_ProduitsRef[Famille], MATCH(tbl_Ventes[[#This Row],[Cde_Prdt]], tbl_Produits[Cde_Prdt], 0)), "")</f>
        <v/>
      </c>
    </row>
    <row r="4371" spans="1:11" x14ac:dyDescent="0.25">
      <c r="A4371" s="5"/>
      <c r="B4371" s="63" t="str">
        <f>IFERROR(TEXT(tbl_Ventes[[#This Row],[Date]],"mm-aaaa"),"")</f>
        <v>01-1900</v>
      </c>
      <c r="D4371" s="10" t="str">
        <f>IFERROR(
   INDEX(tbl_ProduitsRef[Cde_Prdt],MATCH(tbl_Ventes[[#This Row],[Produit]],tbl_ProduitsRef[Produit],0)),
   ""
)</f>
        <v/>
      </c>
      <c r="E4371" s="7">
        <v>0</v>
      </c>
      <c r="F4371" s="7" t="str">
        <f>IFERROR(
   INDEX(tbl_ProduitsRef[Prix Menu],MATCH(tbl_Ventes[[#This Row],[Produit]],tbl_ProduitsRef[Produit],0)),
   ""
)</f>
        <v/>
      </c>
      <c r="G4371" s="7">
        <f>tbl_Ventes[[#This Row],[Qté Vendue]] * IFERROR(_xlfn.XLOOKUP(tbl_Ventes[[#This Row],[Cde_Prdt]], tbl_Produits[Cde_Prdt], tbl_Produits[Prix Menu]), 0)</f>
        <v>0</v>
      </c>
      <c r="H4371" s="7">
        <f>IFERROR(_xlfn.XLOOKUP(tbl_Ventes[[#This Row],[Cde_Prdt]], tbl_Produits[Cde_Prdt], tbl_Produits[Coût Moyen Portion]), 0)</f>
        <v>0</v>
      </c>
      <c r="I4371" s="7">
        <f>tbl_Ventes[[#This Row],[Qté Vendue]] * tbl_Ventes[[#This Row],[CMP_par_portion]]</f>
        <v>0</v>
      </c>
      <c r="J4371" s="7">
        <f>tbl_Ventes[[#This Row],[CA ligne]] - tbl_Ventes[[#This Row],[Coût matière ligne]]</f>
        <v>0</v>
      </c>
      <c r="K4371" s="7" t="str">
        <f>IFERROR(INDEX(tbl_ProduitsRef[Famille], MATCH(tbl_Ventes[[#This Row],[Cde_Prdt]], tbl_Produits[Cde_Prdt], 0)), "")</f>
        <v/>
      </c>
    </row>
    <row r="4372" spans="1:11" x14ac:dyDescent="0.25">
      <c r="A4372" s="5"/>
      <c r="B4372" s="63" t="str">
        <f>IFERROR(TEXT(tbl_Ventes[[#This Row],[Date]],"mm-aaaa"),"")</f>
        <v>01-1900</v>
      </c>
      <c r="D4372" s="10" t="str">
        <f>IFERROR(
   INDEX(tbl_ProduitsRef[Cde_Prdt],MATCH(tbl_Ventes[[#This Row],[Produit]],tbl_ProduitsRef[Produit],0)),
   ""
)</f>
        <v/>
      </c>
      <c r="E4372" s="7">
        <v>0</v>
      </c>
      <c r="F4372" s="7" t="str">
        <f>IFERROR(
   INDEX(tbl_ProduitsRef[Prix Menu],MATCH(tbl_Ventes[[#This Row],[Produit]],tbl_ProduitsRef[Produit],0)),
   ""
)</f>
        <v/>
      </c>
      <c r="G4372" s="7">
        <f>tbl_Ventes[[#This Row],[Qté Vendue]] * IFERROR(_xlfn.XLOOKUP(tbl_Ventes[[#This Row],[Cde_Prdt]], tbl_Produits[Cde_Prdt], tbl_Produits[Prix Menu]), 0)</f>
        <v>0</v>
      </c>
      <c r="H4372" s="7">
        <f>IFERROR(_xlfn.XLOOKUP(tbl_Ventes[[#This Row],[Cde_Prdt]], tbl_Produits[Cde_Prdt], tbl_Produits[Coût Moyen Portion]), 0)</f>
        <v>0</v>
      </c>
      <c r="I4372" s="7">
        <f>tbl_Ventes[[#This Row],[Qté Vendue]] * tbl_Ventes[[#This Row],[CMP_par_portion]]</f>
        <v>0</v>
      </c>
      <c r="J4372" s="7">
        <f>tbl_Ventes[[#This Row],[CA ligne]] - tbl_Ventes[[#This Row],[Coût matière ligne]]</f>
        <v>0</v>
      </c>
      <c r="K4372" s="7" t="str">
        <f>IFERROR(INDEX(tbl_ProduitsRef[Famille], MATCH(tbl_Ventes[[#This Row],[Cde_Prdt]], tbl_Produits[Cde_Prdt], 0)), "")</f>
        <v/>
      </c>
    </row>
    <row r="4373" spans="1:11" x14ac:dyDescent="0.25">
      <c r="A4373" s="5"/>
      <c r="B4373" s="63" t="str">
        <f>IFERROR(TEXT(tbl_Ventes[[#This Row],[Date]],"mm-aaaa"),"")</f>
        <v>01-1900</v>
      </c>
      <c r="D4373" s="10" t="str">
        <f>IFERROR(
   INDEX(tbl_ProduitsRef[Cde_Prdt],MATCH(tbl_Ventes[[#This Row],[Produit]],tbl_ProduitsRef[Produit],0)),
   ""
)</f>
        <v/>
      </c>
      <c r="E4373" s="7">
        <v>0</v>
      </c>
      <c r="F4373" s="7" t="str">
        <f>IFERROR(
   INDEX(tbl_ProduitsRef[Prix Menu],MATCH(tbl_Ventes[[#This Row],[Produit]],tbl_ProduitsRef[Produit],0)),
   ""
)</f>
        <v/>
      </c>
      <c r="G4373" s="7">
        <f>tbl_Ventes[[#This Row],[Qté Vendue]] * IFERROR(_xlfn.XLOOKUP(tbl_Ventes[[#This Row],[Cde_Prdt]], tbl_Produits[Cde_Prdt], tbl_Produits[Prix Menu]), 0)</f>
        <v>0</v>
      </c>
      <c r="H4373" s="7">
        <f>IFERROR(_xlfn.XLOOKUP(tbl_Ventes[[#This Row],[Cde_Prdt]], tbl_Produits[Cde_Prdt], tbl_Produits[Coût Moyen Portion]), 0)</f>
        <v>0</v>
      </c>
      <c r="I4373" s="7">
        <f>tbl_Ventes[[#This Row],[Qté Vendue]] * tbl_Ventes[[#This Row],[CMP_par_portion]]</f>
        <v>0</v>
      </c>
      <c r="J4373" s="7">
        <f>tbl_Ventes[[#This Row],[CA ligne]] - tbl_Ventes[[#This Row],[Coût matière ligne]]</f>
        <v>0</v>
      </c>
      <c r="K4373" s="7" t="str">
        <f>IFERROR(INDEX(tbl_ProduitsRef[Famille], MATCH(tbl_Ventes[[#This Row],[Cde_Prdt]], tbl_Produits[Cde_Prdt], 0)), "")</f>
        <v/>
      </c>
    </row>
    <row r="4374" spans="1:11" x14ac:dyDescent="0.25">
      <c r="A4374" s="5"/>
      <c r="B4374" s="63" t="str">
        <f>IFERROR(TEXT(tbl_Ventes[[#This Row],[Date]],"mm-aaaa"),"")</f>
        <v>01-1900</v>
      </c>
      <c r="D4374" s="10" t="str">
        <f>IFERROR(
   INDEX(tbl_ProduitsRef[Cde_Prdt],MATCH(tbl_Ventes[[#This Row],[Produit]],tbl_ProduitsRef[Produit],0)),
   ""
)</f>
        <v/>
      </c>
      <c r="E4374" s="7">
        <v>0</v>
      </c>
      <c r="F4374" s="7" t="str">
        <f>IFERROR(
   INDEX(tbl_ProduitsRef[Prix Menu],MATCH(tbl_Ventes[[#This Row],[Produit]],tbl_ProduitsRef[Produit],0)),
   ""
)</f>
        <v/>
      </c>
      <c r="G4374" s="7">
        <f>tbl_Ventes[[#This Row],[Qté Vendue]] * IFERROR(_xlfn.XLOOKUP(tbl_Ventes[[#This Row],[Cde_Prdt]], tbl_Produits[Cde_Prdt], tbl_Produits[Prix Menu]), 0)</f>
        <v>0</v>
      </c>
      <c r="H4374" s="7">
        <f>IFERROR(_xlfn.XLOOKUP(tbl_Ventes[[#This Row],[Cde_Prdt]], tbl_Produits[Cde_Prdt], tbl_Produits[Coût Moyen Portion]), 0)</f>
        <v>0</v>
      </c>
      <c r="I4374" s="7">
        <f>tbl_Ventes[[#This Row],[Qté Vendue]] * tbl_Ventes[[#This Row],[CMP_par_portion]]</f>
        <v>0</v>
      </c>
      <c r="J4374" s="7">
        <f>tbl_Ventes[[#This Row],[CA ligne]] - tbl_Ventes[[#This Row],[Coût matière ligne]]</f>
        <v>0</v>
      </c>
      <c r="K4374" s="7" t="str">
        <f>IFERROR(INDEX(tbl_ProduitsRef[Famille], MATCH(tbl_Ventes[[#This Row],[Cde_Prdt]], tbl_Produits[Cde_Prdt], 0)), "")</f>
        <v/>
      </c>
    </row>
    <row r="4375" spans="1:11" x14ac:dyDescent="0.25">
      <c r="A4375" s="5"/>
      <c r="B4375" s="63" t="str">
        <f>IFERROR(TEXT(tbl_Ventes[[#This Row],[Date]],"mm-aaaa"),"")</f>
        <v>01-1900</v>
      </c>
      <c r="D4375" s="10" t="str">
        <f>IFERROR(
   INDEX(tbl_ProduitsRef[Cde_Prdt],MATCH(tbl_Ventes[[#This Row],[Produit]],tbl_ProduitsRef[Produit],0)),
   ""
)</f>
        <v/>
      </c>
      <c r="E4375" s="7">
        <v>0</v>
      </c>
      <c r="F4375" s="7" t="str">
        <f>IFERROR(
   INDEX(tbl_ProduitsRef[Prix Menu],MATCH(tbl_Ventes[[#This Row],[Produit]],tbl_ProduitsRef[Produit],0)),
   ""
)</f>
        <v/>
      </c>
      <c r="G4375" s="7">
        <f>tbl_Ventes[[#This Row],[Qté Vendue]] * IFERROR(_xlfn.XLOOKUP(tbl_Ventes[[#This Row],[Cde_Prdt]], tbl_Produits[Cde_Prdt], tbl_Produits[Prix Menu]), 0)</f>
        <v>0</v>
      </c>
      <c r="H4375" s="7">
        <f>IFERROR(_xlfn.XLOOKUP(tbl_Ventes[[#This Row],[Cde_Prdt]], tbl_Produits[Cde_Prdt], tbl_Produits[Coût Moyen Portion]), 0)</f>
        <v>0</v>
      </c>
      <c r="I4375" s="7">
        <f>tbl_Ventes[[#This Row],[Qté Vendue]] * tbl_Ventes[[#This Row],[CMP_par_portion]]</f>
        <v>0</v>
      </c>
      <c r="J4375" s="7">
        <f>tbl_Ventes[[#This Row],[CA ligne]] - tbl_Ventes[[#This Row],[Coût matière ligne]]</f>
        <v>0</v>
      </c>
      <c r="K4375" s="7" t="str">
        <f>IFERROR(INDEX(tbl_ProduitsRef[Famille], MATCH(tbl_Ventes[[#This Row],[Cde_Prdt]], tbl_Produits[Cde_Prdt], 0)), "")</f>
        <v/>
      </c>
    </row>
    <row r="4376" spans="1:11" x14ac:dyDescent="0.25">
      <c r="A4376" s="5"/>
      <c r="B4376" s="63" t="str">
        <f>IFERROR(TEXT(tbl_Ventes[[#This Row],[Date]],"mm-aaaa"),"")</f>
        <v>01-1900</v>
      </c>
      <c r="D4376" s="10" t="str">
        <f>IFERROR(
   INDEX(tbl_ProduitsRef[Cde_Prdt],MATCH(tbl_Ventes[[#This Row],[Produit]],tbl_ProduitsRef[Produit],0)),
   ""
)</f>
        <v/>
      </c>
      <c r="E4376" s="7">
        <v>0</v>
      </c>
      <c r="F4376" s="7" t="str">
        <f>IFERROR(
   INDEX(tbl_ProduitsRef[Prix Menu],MATCH(tbl_Ventes[[#This Row],[Produit]],tbl_ProduitsRef[Produit],0)),
   ""
)</f>
        <v/>
      </c>
      <c r="G4376" s="7">
        <f>tbl_Ventes[[#This Row],[Qté Vendue]] * IFERROR(_xlfn.XLOOKUP(tbl_Ventes[[#This Row],[Cde_Prdt]], tbl_Produits[Cde_Prdt], tbl_Produits[Prix Menu]), 0)</f>
        <v>0</v>
      </c>
      <c r="H4376" s="7">
        <f>IFERROR(_xlfn.XLOOKUP(tbl_Ventes[[#This Row],[Cde_Prdt]], tbl_Produits[Cde_Prdt], tbl_Produits[Coût Moyen Portion]), 0)</f>
        <v>0</v>
      </c>
      <c r="I4376" s="7">
        <f>tbl_Ventes[[#This Row],[Qté Vendue]] * tbl_Ventes[[#This Row],[CMP_par_portion]]</f>
        <v>0</v>
      </c>
      <c r="J4376" s="7">
        <f>tbl_Ventes[[#This Row],[CA ligne]] - tbl_Ventes[[#This Row],[Coût matière ligne]]</f>
        <v>0</v>
      </c>
      <c r="K4376" s="7" t="str">
        <f>IFERROR(INDEX(tbl_ProduitsRef[Famille], MATCH(tbl_Ventes[[#This Row],[Cde_Prdt]], tbl_Produits[Cde_Prdt], 0)), "")</f>
        <v/>
      </c>
    </row>
    <row r="4377" spans="1:11" x14ac:dyDescent="0.25">
      <c r="A4377" s="5"/>
      <c r="B4377" s="63" t="str">
        <f>IFERROR(TEXT(tbl_Ventes[[#This Row],[Date]],"mm-aaaa"),"")</f>
        <v>01-1900</v>
      </c>
      <c r="D4377" s="10" t="str">
        <f>IFERROR(
   INDEX(tbl_ProduitsRef[Cde_Prdt],MATCH(tbl_Ventes[[#This Row],[Produit]],tbl_ProduitsRef[Produit],0)),
   ""
)</f>
        <v/>
      </c>
      <c r="E4377" s="7">
        <v>0</v>
      </c>
      <c r="F4377" s="7" t="str">
        <f>IFERROR(
   INDEX(tbl_ProduitsRef[Prix Menu],MATCH(tbl_Ventes[[#This Row],[Produit]],tbl_ProduitsRef[Produit],0)),
   ""
)</f>
        <v/>
      </c>
      <c r="G4377" s="7">
        <f>tbl_Ventes[[#This Row],[Qté Vendue]] * IFERROR(_xlfn.XLOOKUP(tbl_Ventes[[#This Row],[Cde_Prdt]], tbl_Produits[Cde_Prdt], tbl_Produits[Prix Menu]), 0)</f>
        <v>0</v>
      </c>
      <c r="H4377" s="7">
        <f>IFERROR(_xlfn.XLOOKUP(tbl_Ventes[[#This Row],[Cde_Prdt]], tbl_Produits[Cde_Prdt], tbl_Produits[Coût Moyen Portion]), 0)</f>
        <v>0</v>
      </c>
      <c r="I4377" s="7">
        <f>tbl_Ventes[[#This Row],[Qté Vendue]] * tbl_Ventes[[#This Row],[CMP_par_portion]]</f>
        <v>0</v>
      </c>
      <c r="J4377" s="7">
        <f>tbl_Ventes[[#This Row],[CA ligne]] - tbl_Ventes[[#This Row],[Coût matière ligne]]</f>
        <v>0</v>
      </c>
      <c r="K4377" s="7" t="str">
        <f>IFERROR(INDEX(tbl_ProduitsRef[Famille], MATCH(tbl_Ventes[[#This Row],[Cde_Prdt]], tbl_Produits[Cde_Prdt], 0)), "")</f>
        <v/>
      </c>
    </row>
    <row r="4378" spans="1:11" x14ac:dyDescent="0.25">
      <c r="A4378" s="5"/>
      <c r="B4378" s="63" t="str">
        <f>IFERROR(TEXT(tbl_Ventes[[#This Row],[Date]],"mm-aaaa"),"")</f>
        <v>01-1900</v>
      </c>
      <c r="D4378" s="10" t="str">
        <f>IFERROR(
   INDEX(tbl_ProduitsRef[Cde_Prdt],MATCH(tbl_Ventes[[#This Row],[Produit]],tbl_ProduitsRef[Produit],0)),
   ""
)</f>
        <v/>
      </c>
      <c r="E4378" s="7">
        <v>0</v>
      </c>
      <c r="F4378" s="7" t="str">
        <f>IFERROR(
   INDEX(tbl_ProduitsRef[Prix Menu],MATCH(tbl_Ventes[[#This Row],[Produit]],tbl_ProduitsRef[Produit],0)),
   ""
)</f>
        <v/>
      </c>
      <c r="G4378" s="7">
        <f>tbl_Ventes[[#This Row],[Qté Vendue]] * IFERROR(_xlfn.XLOOKUP(tbl_Ventes[[#This Row],[Cde_Prdt]], tbl_Produits[Cde_Prdt], tbl_Produits[Prix Menu]), 0)</f>
        <v>0</v>
      </c>
      <c r="H4378" s="7">
        <f>IFERROR(_xlfn.XLOOKUP(tbl_Ventes[[#This Row],[Cde_Prdt]], tbl_Produits[Cde_Prdt], tbl_Produits[Coût Moyen Portion]), 0)</f>
        <v>0</v>
      </c>
      <c r="I4378" s="7">
        <f>tbl_Ventes[[#This Row],[Qté Vendue]] * tbl_Ventes[[#This Row],[CMP_par_portion]]</f>
        <v>0</v>
      </c>
      <c r="J4378" s="7">
        <f>tbl_Ventes[[#This Row],[CA ligne]] - tbl_Ventes[[#This Row],[Coût matière ligne]]</f>
        <v>0</v>
      </c>
      <c r="K4378" s="7" t="str">
        <f>IFERROR(INDEX(tbl_ProduitsRef[Famille], MATCH(tbl_Ventes[[#This Row],[Cde_Prdt]], tbl_Produits[Cde_Prdt], 0)), "")</f>
        <v/>
      </c>
    </row>
    <row r="4379" spans="1:11" x14ac:dyDescent="0.25">
      <c r="A4379" s="5"/>
      <c r="B4379" s="63" t="str">
        <f>IFERROR(TEXT(tbl_Ventes[[#This Row],[Date]],"mm-aaaa"),"")</f>
        <v>01-1900</v>
      </c>
      <c r="D4379" s="10" t="str">
        <f>IFERROR(
   INDEX(tbl_ProduitsRef[Cde_Prdt],MATCH(tbl_Ventes[[#This Row],[Produit]],tbl_ProduitsRef[Produit],0)),
   ""
)</f>
        <v/>
      </c>
      <c r="E4379" s="7">
        <v>0</v>
      </c>
      <c r="F4379" s="7" t="str">
        <f>IFERROR(
   INDEX(tbl_ProduitsRef[Prix Menu],MATCH(tbl_Ventes[[#This Row],[Produit]],tbl_ProduitsRef[Produit],0)),
   ""
)</f>
        <v/>
      </c>
      <c r="G4379" s="7">
        <f>tbl_Ventes[[#This Row],[Qté Vendue]] * IFERROR(_xlfn.XLOOKUP(tbl_Ventes[[#This Row],[Cde_Prdt]], tbl_Produits[Cde_Prdt], tbl_Produits[Prix Menu]), 0)</f>
        <v>0</v>
      </c>
      <c r="H4379" s="7">
        <f>IFERROR(_xlfn.XLOOKUP(tbl_Ventes[[#This Row],[Cde_Prdt]], tbl_Produits[Cde_Prdt], tbl_Produits[Coût Moyen Portion]), 0)</f>
        <v>0</v>
      </c>
      <c r="I4379" s="7">
        <f>tbl_Ventes[[#This Row],[Qté Vendue]] * tbl_Ventes[[#This Row],[CMP_par_portion]]</f>
        <v>0</v>
      </c>
      <c r="J4379" s="7">
        <f>tbl_Ventes[[#This Row],[CA ligne]] - tbl_Ventes[[#This Row],[Coût matière ligne]]</f>
        <v>0</v>
      </c>
      <c r="K4379" s="7" t="str">
        <f>IFERROR(INDEX(tbl_ProduitsRef[Famille], MATCH(tbl_Ventes[[#This Row],[Cde_Prdt]], tbl_Produits[Cde_Prdt], 0)), "")</f>
        <v/>
      </c>
    </row>
    <row r="4380" spans="1:11" x14ac:dyDescent="0.25">
      <c r="A4380" s="5"/>
      <c r="B4380" s="63" t="str">
        <f>IFERROR(TEXT(tbl_Ventes[[#This Row],[Date]],"mm-aaaa"),"")</f>
        <v>01-1900</v>
      </c>
      <c r="D4380" s="10" t="str">
        <f>IFERROR(
   INDEX(tbl_ProduitsRef[Cde_Prdt],MATCH(tbl_Ventes[[#This Row],[Produit]],tbl_ProduitsRef[Produit],0)),
   ""
)</f>
        <v/>
      </c>
      <c r="E4380" s="7">
        <v>0</v>
      </c>
      <c r="F4380" s="7" t="str">
        <f>IFERROR(
   INDEX(tbl_ProduitsRef[Prix Menu],MATCH(tbl_Ventes[[#This Row],[Produit]],tbl_ProduitsRef[Produit],0)),
   ""
)</f>
        <v/>
      </c>
      <c r="G4380" s="7">
        <f>tbl_Ventes[[#This Row],[Qté Vendue]] * IFERROR(_xlfn.XLOOKUP(tbl_Ventes[[#This Row],[Cde_Prdt]], tbl_Produits[Cde_Prdt], tbl_Produits[Prix Menu]), 0)</f>
        <v>0</v>
      </c>
      <c r="H4380" s="7">
        <f>IFERROR(_xlfn.XLOOKUP(tbl_Ventes[[#This Row],[Cde_Prdt]], tbl_Produits[Cde_Prdt], tbl_Produits[Coût Moyen Portion]), 0)</f>
        <v>0</v>
      </c>
      <c r="I4380" s="7">
        <f>tbl_Ventes[[#This Row],[Qté Vendue]] * tbl_Ventes[[#This Row],[CMP_par_portion]]</f>
        <v>0</v>
      </c>
      <c r="J4380" s="7">
        <f>tbl_Ventes[[#This Row],[CA ligne]] - tbl_Ventes[[#This Row],[Coût matière ligne]]</f>
        <v>0</v>
      </c>
      <c r="K4380" s="7" t="str">
        <f>IFERROR(INDEX(tbl_ProduitsRef[Famille], MATCH(tbl_Ventes[[#This Row],[Cde_Prdt]], tbl_Produits[Cde_Prdt], 0)), "")</f>
        <v/>
      </c>
    </row>
    <row r="4381" spans="1:11" x14ac:dyDescent="0.25">
      <c r="A4381" s="5"/>
      <c r="B4381" s="63" t="str">
        <f>IFERROR(TEXT(tbl_Ventes[[#This Row],[Date]],"mm-aaaa"),"")</f>
        <v>01-1900</v>
      </c>
      <c r="D4381" s="10" t="str">
        <f>IFERROR(
   INDEX(tbl_ProduitsRef[Cde_Prdt],MATCH(tbl_Ventes[[#This Row],[Produit]],tbl_ProduitsRef[Produit],0)),
   ""
)</f>
        <v/>
      </c>
      <c r="E4381" s="7">
        <v>0</v>
      </c>
      <c r="F4381" s="7" t="str">
        <f>IFERROR(
   INDEX(tbl_ProduitsRef[Prix Menu],MATCH(tbl_Ventes[[#This Row],[Produit]],tbl_ProduitsRef[Produit],0)),
   ""
)</f>
        <v/>
      </c>
      <c r="G4381" s="7">
        <f>tbl_Ventes[[#This Row],[Qté Vendue]] * IFERROR(_xlfn.XLOOKUP(tbl_Ventes[[#This Row],[Cde_Prdt]], tbl_Produits[Cde_Prdt], tbl_Produits[Prix Menu]), 0)</f>
        <v>0</v>
      </c>
      <c r="H4381" s="7">
        <f>IFERROR(_xlfn.XLOOKUP(tbl_Ventes[[#This Row],[Cde_Prdt]], tbl_Produits[Cde_Prdt], tbl_Produits[Coût Moyen Portion]), 0)</f>
        <v>0</v>
      </c>
      <c r="I4381" s="7">
        <f>tbl_Ventes[[#This Row],[Qté Vendue]] * tbl_Ventes[[#This Row],[CMP_par_portion]]</f>
        <v>0</v>
      </c>
      <c r="J4381" s="7">
        <f>tbl_Ventes[[#This Row],[CA ligne]] - tbl_Ventes[[#This Row],[Coût matière ligne]]</f>
        <v>0</v>
      </c>
      <c r="K4381" s="7" t="str">
        <f>IFERROR(INDEX(tbl_ProduitsRef[Famille], MATCH(tbl_Ventes[[#This Row],[Cde_Prdt]], tbl_Produits[Cde_Prdt], 0)), "")</f>
        <v/>
      </c>
    </row>
    <row r="4382" spans="1:11" x14ac:dyDescent="0.25">
      <c r="A4382" s="5"/>
      <c r="B4382" s="63" t="str">
        <f>IFERROR(TEXT(tbl_Ventes[[#This Row],[Date]],"mm-aaaa"),"")</f>
        <v>01-1900</v>
      </c>
      <c r="D4382" s="10" t="str">
        <f>IFERROR(
   INDEX(tbl_ProduitsRef[Cde_Prdt],MATCH(tbl_Ventes[[#This Row],[Produit]],tbl_ProduitsRef[Produit],0)),
   ""
)</f>
        <v/>
      </c>
      <c r="E4382" s="7">
        <v>0</v>
      </c>
      <c r="F4382" s="7" t="str">
        <f>IFERROR(
   INDEX(tbl_ProduitsRef[Prix Menu],MATCH(tbl_Ventes[[#This Row],[Produit]],tbl_ProduitsRef[Produit],0)),
   ""
)</f>
        <v/>
      </c>
      <c r="G4382" s="7">
        <f>tbl_Ventes[[#This Row],[Qté Vendue]] * IFERROR(_xlfn.XLOOKUP(tbl_Ventes[[#This Row],[Cde_Prdt]], tbl_Produits[Cde_Prdt], tbl_Produits[Prix Menu]), 0)</f>
        <v>0</v>
      </c>
      <c r="H4382" s="7">
        <f>IFERROR(_xlfn.XLOOKUP(tbl_Ventes[[#This Row],[Cde_Prdt]], tbl_Produits[Cde_Prdt], tbl_Produits[Coût Moyen Portion]), 0)</f>
        <v>0</v>
      </c>
      <c r="I4382" s="7">
        <f>tbl_Ventes[[#This Row],[Qté Vendue]] * tbl_Ventes[[#This Row],[CMP_par_portion]]</f>
        <v>0</v>
      </c>
      <c r="J4382" s="7">
        <f>tbl_Ventes[[#This Row],[CA ligne]] - tbl_Ventes[[#This Row],[Coût matière ligne]]</f>
        <v>0</v>
      </c>
      <c r="K4382" s="7" t="str">
        <f>IFERROR(INDEX(tbl_ProduitsRef[Famille], MATCH(tbl_Ventes[[#This Row],[Cde_Prdt]], tbl_Produits[Cde_Prdt], 0)), "")</f>
        <v/>
      </c>
    </row>
    <row r="4383" spans="1:11" x14ac:dyDescent="0.25">
      <c r="A4383" s="5"/>
      <c r="B4383" s="63" t="str">
        <f>IFERROR(TEXT(tbl_Ventes[[#This Row],[Date]],"mm-aaaa"),"")</f>
        <v>01-1900</v>
      </c>
      <c r="D4383" s="10" t="str">
        <f>IFERROR(
   INDEX(tbl_ProduitsRef[Cde_Prdt],MATCH(tbl_Ventes[[#This Row],[Produit]],tbl_ProduitsRef[Produit],0)),
   ""
)</f>
        <v/>
      </c>
      <c r="E4383" s="7">
        <v>0</v>
      </c>
      <c r="F4383" s="7" t="str">
        <f>IFERROR(
   INDEX(tbl_ProduitsRef[Prix Menu],MATCH(tbl_Ventes[[#This Row],[Produit]],tbl_ProduitsRef[Produit],0)),
   ""
)</f>
        <v/>
      </c>
      <c r="G4383" s="7">
        <f>tbl_Ventes[[#This Row],[Qté Vendue]] * IFERROR(_xlfn.XLOOKUP(tbl_Ventes[[#This Row],[Cde_Prdt]], tbl_Produits[Cde_Prdt], tbl_Produits[Prix Menu]), 0)</f>
        <v>0</v>
      </c>
      <c r="H4383" s="7">
        <f>IFERROR(_xlfn.XLOOKUP(tbl_Ventes[[#This Row],[Cde_Prdt]], tbl_Produits[Cde_Prdt], tbl_Produits[Coût Moyen Portion]), 0)</f>
        <v>0</v>
      </c>
      <c r="I4383" s="7">
        <f>tbl_Ventes[[#This Row],[Qté Vendue]] * tbl_Ventes[[#This Row],[CMP_par_portion]]</f>
        <v>0</v>
      </c>
      <c r="J4383" s="7">
        <f>tbl_Ventes[[#This Row],[CA ligne]] - tbl_Ventes[[#This Row],[Coût matière ligne]]</f>
        <v>0</v>
      </c>
      <c r="K4383" s="7" t="str">
        <f>IFERROR(INDEX(tbl_ProduitsRef[Famille], MATCH(tbl_Ventes[[#This Row],[Cde_Prdt]], tbl_Produits[Cde_Prdt], 0)), "")</f>
        <v/>
      </c>
    </row>
    <row r="4384" spans="1:11" x14ac:dyDescent="0.25">
      <c r="A4384" s="5"/>
      <c r="B4384" s="63" t="str">
        <f>IFERROR(TEXT(tbl_Ventes[[#This Row],[Date]],"mm-aaaa"),"")</f>
        <v>01-1900</v>
      </c>
      <c r="D4384" s="10" t="str">
        <f>IFERROR(
   INDEX(tbl_ProduitsRef[Cde_Prdt],MATCH(tbl_Ventes[[#This Row],[Produit]],tbl_ProduitsRef[Produit],0)),
   ""
)</f>
        <v/>
      </c>
      <c r="E4384" s="7">
        <v>0</v>
      </c>
      <c r="F4384" s="7" t="str">
        <f>IFERROR(
   INDEX(tbl_ProduitsRef[Prix Menu],MATCH(tbl_Ventes[[#This Row],[Produit]],tbl_ProduitsRef[Produit],0)),
   ""
)</f>
        <v/>
      </c>
      <c r="G4384" s="7">
        <f>tbl_Ventes[[#This Row],[Qté Vendue]] * IFERROR(_xlfn.XLOOKUP(tbl_Ventes[[#This Row],[Cde_Prdt]], tbl_Produits[Cde_Prdt], tbl_Produits[Prix Menu]), 0)</f>
        <v>0</v>
      </c>
      <c r="H4384" s="7">
        <f>IFERROR(_xlfn.XLOOKUP(tbl_Ventes[[#This Row],[Cde_Prdt]], tbl_Produits[Cde_Prdt], tbl_Produits[Coût Moyen Portion]), 0)</f>
        <v>0</v>
      </c>
      <c r="I4384" s="7">
        <f>tbl_Ventes[[#This Row],[Qté Vendue]] * tbl_Ventes[[#This Row],[CMP_par_portion]]</f>
        <v>0</v>
      </c>
      <c r="J4384" s="7">
        <f>tbl_Ventes[[#This Row],[CA ligne]] - tbl_Ventes[[#This Row],[Coût matière ligne]]</f>
        <v>0</v>
      </c>
      <c r="K4384" s="7" t="str">
        <f>IFERROR(INDEX(tbl_ProduitsRef[Famille], MATCH(tbl_Ventes[[#This Row],[Cde_Prdt]], tbl_Produits[Cde_Prdt], 0)), "")</f>
        <v/>
      </c>
    </row>
    <row r="4385" spans="1:11" x14ac:dyDescent="0.25">
      <c r="A4385" s="5"/>
      <c r="B4385" s="63" t="str">
        <f>IFERROR(TEXT(tbl_Ventes[[#This Row],[Date]],"mm-aaaa"),"")</f>
        <v>01-1900</v>
      </c>
      <c r="D4385" s="10" t="str">
        <f>IFERROR(
   INDEX(tbl_ProduitsRef[Cde_Prdt],MATCH(tbl_Ventes[[#This Row],[Produit]],tbl_ProduitsRef[Produit],0)),
   ""
)</f>
        <v/>
      </c>
      <c r="E4385" s="7">
        <v>0</v>
      </c>
      <c r="F4385" s="7" t="str">
        <f>IFERROR(
   INDEX(tbl_ProduitsRef[Prix Menu],MATCH(tbl_Ventes[[#This Row],[Produit]],tbl_ProduitsRef[Produit],0)),
   ""
)</f>
        <v/>
      </c>
      <c r="G4385" s="7">
        <f>tbl_Ventes[[#This Row],[Qté Vendue]] * IFERROR(_xlfn.XLOOKUP(tbl_Ventes[[#This Row],[Cde_Prdt]], tbl_Produits[Cde_Prdt], tbl_Produits[Prix Menu]), 0)</f>
        <v>0</v>
      </c>
      <c r="H4385" s="7">
        <f>IFERROR(_xlfn.XLOOKUP(tbl_Ventes[[#This Row],[Cde_Prdt]], tbl_Produits[Cde_Prdt], tbl_Produits[Coût Moyen Portion]), 0)</f>
        <v>0</v>
      </c>
      <c r="I4385" s="7">
        <f>tbl_Ventes[[#This Row],[Qté Vendue]] * tbl_Ventes[[#This Row],[CMP_par_portion]]</f>
        <v>0</v>
      </c>
      <c r="J4385" s="7">
        <f>tbl_Ventes[[#This Row],[CA ligne]] - tbl_Ventes[[#This Row],[Coût matière ligne]]</f>
        <v>0</v>
      </c>
      <c r="K4385" s="7" t="str">
        <f>IFERROR(INDEX(tbl_ProduitsRef[Famille], MATCH(tbl_Ventes[[#This Row],[Cde_Prdt]], tbl_Produits[Cde_Prdt], 0)), "")</f>
        <v/>
      </c>
    </row>
    <row r="4386" spans="1:11" x14ac:dyDescent="0.25">
      <c r="A4386" s="5"/>
      <c r="B4386" s="63" t="str">
        <f>IFERROR(TEXT(tbl_Ventes[[#This Row],[Date]],"mm-aaaa"),"")</f>
        <v>01-1900</v>
      </c>
      <c r="D4386" s="10" t="str">
        <f>IFERROR(
   INDEX(tbl_ProduitsRef[Cde_Prdt],MATCH(tbl_Ventes[[#This Row],[Produit]],tbl_ProduitsRef[Produit],0)),
   ""
)</f>
        <v/>
      </c>
      <c r="E4386" s="7">
        <v>0</v>
      </c>
      <c r="F4386" s="7" t="str">
        <f>IFERROR(
   INDEX(tbl_ProduitsRef[Prix Menu],MATCH(tbl_Ventes[[#This Row],[Produit]],tbl_ProduitsRef[Produit],0)),
   ""
)</f>
        <v/>
      </c>
      <c r="G4386" s="7">
        <f>tbl_Ventes[[#This Row],[Qté Vendue]] * IFERROR(_xlfn.XLOOKUP(tbl_Ventes[[#This Row],[Cde_Prdt]], tbl_Produits[Cde_Prdt], tbl_Produits[Prix Menu]), 0)</f>
        <v>0</v>
      </c>
      <c r="H4386" s="7">
        <f>IFERROR(_xlfn.XLOOKUP(tbl_Ventes[[#This Row],[Cde_Prdt]], tbl_Produits[Cde_Prdt], tbl_Produits[Coût Moyen Portion]), 0)</f>
        <v>0</v>
      </c>
      <c r="I4386" s="7">
        <f>tbl_Ventes[[#This Row],[Qté Vendue]] * tbl_Ventes[[#This Row],[CMP_par_portion]]</f>
        <v>0</v>
      </c>
      <c r="J4386" s="7">
        <f>tbl_Ventes[[#This Row],[CA ligne]] - tbl_Ventes[[#This Row],[Coût matière ligne]]</f>
        <v>0</v>
      </c>
      <c r="K4386" s="7" t="str">
        <f>IFERROR(INDEX(tbl_ProduitsRef[Famille], MATCH(tbl_Ventes[[#This Row],[Cde_Prdt]], tbl_Produits[Cde_Prdt], 0)), "")</f>
        <v/>
      </c>
    </row>
    <row r="4387" spans="1:11" x14ac:dyDescent="0.25">
      <c r="A4387" s="5"/>
      <c r="B4387" s="63" t="str">
        <f>IFERROR(TEXT(tbl_Ventes[[#This Row],[Date]],"mm-aaaa"),"")</f>
        <v>01-1900</v>
      </c>
      <c r="D4387" s="10" t="str">
        <f>IFERROR(
   INDEX(tbl_ProduitsRef[Cde_Prdt],MATCH(tbl_Ventes[[#This Row],[Produit]],tbl_ProduitsRef[Produit],0)),
   ""
)</f>
        <v/>
      </c>
      <c r="E4387" s="7">
        <v>0</v>
      </c>
      <c r="F4387" s="7" t="str">
        <f>IFERROR(
   INDEX(tbl_ProduitsRef[Prix Menu],MATCH(tbl_Ventes[[#This Row],[Produit]],tbl_ProduitsRef[Produit],0)),
   ""
)</f>
        <v/>
      </c>
      <c r="G4387" s="7">
        <f>tbl_Ventes[[#This Row],[Qté Vendue]] * IFERROR(_xlfn.XLOOKUP(tbl_Ventes[[#This Row],[Cde_Prdt]], tbl_Produits[Cde_Prdt], tbl_Produits[Prix Menu]), 0)</f>
        <v>0</v>
      </c>
      <c r="H4387" s="7">
        <f>IFERROR(_xlfn.XLOOKUP(tbl_Ventes[[#This Row],[Cde_Prdt]], tbl_Produits[Cde_Prdt], tbl_Produits[Coût Moyen Portion]), 0)</f>
        <v>0</v>
      </c>
      <c r="I4387" s="7">
        <f>tbl_Ventes[[#This Row],[Qté Vendue]] * tbl_Ventes[[#This Row],[CMP_par_portion]]</f>
        <v>0</v>
      </c>
      <c r="J4387" s="7">
        <f>tbl_Ventes[[#This Row],[CA ligne]] - tbl_Ventes[[#This Row],[Coût matière ligne]]</f>
        <v>0</v>
      </c>
      <c r="K4387" s="7" t="str">
        <f>IFERROR(INDEX(tbl_ProduitsRef[Famille], MATCH(tbl_Ventes[[#This Row],[Cde_Prdt]], tbl_Produits[Cde_Prdt], 0)), "")</f>
        <v/>
      </c>
    </row>
    <row r="4388" spans="1:11" x14ac:dyDescent="0.25">
      <c r="A4388" s="5"/>
      <c r="B4388" s="63" t="str">
        <f>IFERROR(TEXT(tbl_Ventes[[#This Row],[Date]],"mm-aaaa"),"")</f>
        <v>01-1900</v>
      </c>
      <c r="D4388" s="10" t="str">
        <f>IFERROR(
   INDEX(tbl_ProduitsRef[Cde_Prdt],MATCH(tbl_Ventes[[#This Row],[Produit]],tbl_ProduitsRef[Produit],0)),
   ""
)</f>
        <v/>
      </c>
      <c r="E4388" s="7">
        <v>0</v>
      </c>
      <c r="F4388" s="7" t="str">
        <f>IFERROR(
   INDEX(tbl_ProduitsRef[Prix Menu],MATCH(tbl_Ventes[[#This Row],[Produit]],tbl_ProduitsRef[Produit],0)),
   ""
)</f>
        <v/>
      </c>
      <c r="G4388" s="7">
        <f>tbl_Ventes[[#This Row],[Qté Vendue]] * IFERROR(_xlfn.XLOOKUP(tbl_Ventes[[#This Row],[Cde_Prdt]], tbl_Produits[Cde_Prdt], tbl_Produits[Prix Menu]), 0)</f>
        <v>0</v>
      </c>
      <c r="H4388" s="7">
        <f>IFERROR(_xlfn.XLOOKUP(tbl_Ventes[[#This Row],[Cde_Prdt]], tbl_Produits[Cde_Prdt], tbl_Produits[Coût Moyen Portion]), 0)</f>
        <v>0</v>
      </c>
      <c r="I4388" s="7">
        <f>tbl_Ventes[[#This Row],[Qté Vendue]] * tbl_Ventes[[#This Row],[CMP_par_portion]]</f>
        <v>0</v>
      </c>
      <c r="J4388" s="7">
        <f>tbl_Ventes[[#This Row],[CA ligne]] - tbl_Ventes[[#This Row],[Coût matière ligne]]</f>
        <v>0</v>
      </c>
      <c r="K4388" s="7" t="str">
        <f>IFERROR(INDEX(tbl_ProduitsRef[Famille], MATCH(tbl_Ventes[[#This Row],[Cde_Prdt]], tbl_Produits[Cde_Prdt], 0)), "")</f>
        <v/>
      </c>
    </row>
    <row r="4389" spans="1:11" x14ac:dyDescent="0.25">
      <c r="A4389" s="5"/>
      <c r="B4389" s="63" t="str">
        <f>IFERROR(TEXT(tbl_Ventes[[#This Row],[Date]],"mm-aaaa"),"")</f>
        <v>01-1900</v>
      </c>
      <c r="D4389" s="10" t="str">
        <f>IFERROR(
   INDEX(tbl_ProduitsRef[Cde_Prdt],MATCH(tbl_Ventes[[#This Row],[Produit]],tbl_ProduitsRef[Produit],0)),
   ""
)</f>
        <v/>
      </c>
      <c r="E4389" s="7">
        <v>0</v>
      </c>
      <c r="F4389" s="7" t="str">
        <f>IFERROR(
   INDEX(tbl_ProduitsRef[Prix Menu],MATCH(tbl_Ventes[[#This Row],[Produit]],tbl_ProduitsRef[Produit],0)),
   ""
)</f>
        <v/>
      </c>
      <c r="G4389" s="7">
        <f>tbl_Ventes[[#This Row],[Qté Vendue]] * IFERROR(_xlfn.XLOOKUP(tbl_Ventes[[#This Row],[Cde_Prdt]], tbl_Produits[Cde_Prdt], tbl_Produits[Prix Menu]), 0)</f>
        <v>0</v>
      </c>
      <c r="H4389" s="7">
        <f>IFERROR(_xlfn.XLOOKUP(tbl_Ventes[[#This Row],[Cde_Prdt]], tbl_Produits[Cde_Prdt], tbl_Produits[Coût Moyen Portion]), 0)</f>
        <v>0</v>
      </c>
      <c r="I4389" s="7">
        <f>tbl_Ventes[[#This Row],[Qté Vendue]] * tbl_Ventes[[#This Row],[CMP_par_portion]]</f>
        <v>0</v>
      </c>
      <c r="J4389" s="7">
        <f>tbl_Ventes[[#This Row],[CA ligne]] - tbl_Ventes[[#This Row],[Coût matière ligne]]</f>
        <v>0</v>
      </c>
      <c r="K4389" s="7" t="str">
        <f>IFERROR(INDEX(tbl_ProduitsRef[Famille], MATCH(tbl_Ventes[[#This Row],[Cde_Prdt]], tbl_Produits[Cde_Prdt], 0)), "")</f>
        <v/>
      </c>
    </row>
    <row r="4390" spans="1:11" x14ac:dyDescent="0.25">
      <c r="A4390" s="5"/>
      <c r="B4390" s="63" t="str">
        <f>IFERROR(TEXT(tbl_Ventes[[#This Row],[Date]],"mm-aaaa"),"")</f>
        <v>01-1900</v>
      </c>
      <c r="D4390" s="10" t="str">
        <f>IFERROR(
   INDEX(tbl_ProduitsRef[Cde_Prdt],MATCH(tbl_Ventes[[#This Row],[Produit]],tbl_ProduitsRef[Produit],0)),
   ""
)</f>
        <v/>
      </c>
      <c r="E4390" s="7">
        <v>0</v>
      </c>
      <c r="F4390" s="7" t="str">
        <f>IFERROR(
   INDEX(tbl_ProduitsRef[Prix Menu],MATCH(tbl_Ventes[[#This Row],[Produit]],tbl_ProduitsRef[Produit],0)),
   ""
)</f>
        <v/>
      </c>
      <c r="G4390" s="7">
        <f>tbl_Ventes[[#This Row],[Qté Vendue]] * IFERROR(_xlfn.XLOOKUP(tbl_Ventes[[#This Row],[Cde_Prdt]], tbl_Produits[Cde_Prdt], tbl_Produits[Prix Menu]), 0)</f>
        <v>0</v>
      </c>
      <c r="H4390" s="7">
        <f>IFERROR(_xlfn.XLOOKUP(tbl_Ventes[[#This Row],[Cde_Prdt]], tbl_Produits[Cde_Prdt], tbl_Produits[Coût Moyen Portion]), 0)</f>
        <v>0</v>
      </c>
      <c r="I4390" s="7">
        <f>tbl_Ventes[[#This Row],[Qté Vendue]] * tbl_Ventes[[#This Row],[CMP_par_portion]]</f>
        <v>0</v>
      </c>
      <c r="J4390" s="7">
        <f>tbl_Ventes[[#This Row],[CA ligne]] - tbl_Ventes[[#This Row],[Coût matière ligne]]</f>
        <v>0</v>
      </c>
      <c r="K4390" s="7" t="str">
        <f>IFERROR(INDEX(tbl_ProduitsRef[Famille], MATCH(tbl_Ventes[[#This Row],[Cde_Prdt]], tbl_Produits[Cde_Prdt], 0)), "")</f>
        <v/>
      </c>
    </row>
    <row r="4391" spans="1:11" x14ac:dyDescent="0.25">
      <c r="A4391" s="5"/>
      <c r="B4391" s="63" t="str">
        <f>IFERROR(TEXT(tbl_Ventes[[#This Row],[Date]],"mm-aaaa"),"")</f>
        <v>01-1900</v>
      </c>
      <c r="D4391" s="10" t="str">
        <f>IFERROR(
   INDEX(tbl_ProduitsRef[Cde_Prdt],MATCH(tbl_Ventes[[#This Row],[Produit]],tbl_ProduitsRef[Produit],0)),
   ""
)</f>
        <v/>
      </c>
      <c r="E4391" s="7">
        <v>0</v>
      </c>
      <c r="F4391" s="7" t="str">
        <f>IFERROR(
   INDEX(tbl_ProduitsRef[Prix Menu],MATCH(tbl_Ventes[[#This Row],[Produit]],tbl_ProduitsRef[Produit],0)),
   ""
)</f>
        <v/>
      </c>
      <c r="G4391" s="7">
        <f>tbl_Ventes[[#This Row],[Qté Vendue]] * IFERROR(_xlfn.XLOOKUP(tbl_Ventes[[#This Row],[Cde_Prdt]], tbl_Produits[Cde_Prdt], tbl_Produits[Prix Menu]), 0)</f>
        <v>0</v>
      </c>
      <c r="H4391" s="7">
        <f>IFERROR(_xlfn.XLOOKUP(tbl_Ventes[[#This Row],[Cde_Prdt]], tbl_Produits[Cde_Prdt], tbl_Produits[Coût Moyen Portion]), 0)</f>
        <v>0</v>
      </c>
      <c r="I4391" s="7">
        <f>tbl_Ventes[[#This Row],[Qté Vendue]] * tbl_Ventes[[#This Row],[CMP_par_portion]]</f>
        <v>0</v>
      </c>
      <c r="J4391" s="7">
        <f>tbl_Ventes[[#This Row],[CA ligne]] - tbl_Ventes[[#This Row],[Coût matière ligne]]</f>
        <v>0</v>
      </c>
      <c r="K4391" s="7" t="str">
        <f>IFERROR(INDEX(tbl_ProduitsRef[Famille], MATCH(tbl_Ventes[[#This Row],[Cde_Prdt]], tbl_Produits[Cde_Prdt], 0)), "")</f>
        <v/>
      </c>
    </row>
    <row r="4392" spans="1:11" x14ac:dyDescent="0.25">
      <c r="A4392" s="5"/>
      <c r="B4392" s="63" t="str">
        <f>IFERROR(TEXT(tbl_Ventes[[#This Row],[Date]],"mm-aaaa"),"")</f>
        <v>01-1900</v>
      </c>
      <c r="D4392" s="10" t="str">
        <f>IFERROR(
   INDEX(tbl_ProduitsRef[Cde_Prdt],MATCH(tbl_Ventes[[#This Row],[Produit]],tbl_ProduitsRef[Produit],0)),
   ""
)</f>
        <v/>
      </c>
      <c r="E4392" s="7">
        <v>0</v>
      </c>
      <c r="F4392" s="7" t="str">
        <f>IFERROR(
   INDEX(tbl_ProduitsRef[Prix Menu],MATCH(tbl_Ventes[[#This Row],[Produit]],tbl_ProduitsRef[Produit],0)),
   ""
)</f>
        <v/>
      </c>
      <c r="G4392" s="7">
        <f>tbl_Ventes[[#This Row],[Qté Vendue]] * IFERROR(_xlfn.XLOOKUP(tbl_Ventes[[#This Row],[Cde_Prdt]], tbl_Produits[Cde_Prdt], tbl_Produits[Prix Menu]), 0)</f>
        <v>0</v>
      </c>
      <c r="H4392" s="7">
        <f>IFERROR(_xlfn.XLOOKUP(tbl_Ventes[[#This Row],[Cde_Prdt]], tbl_Produits[Cde_Prdt], tbl_Produits[Coût Moyen Portion]), 0)</f>
        <v>0</v>
      </c>
      <c r="I4392" s="7">
        <f>tbl_Ventes[[#This Row],[Qté Vendue]] * tbl_Ventes[[#This Row],[CMP_par_portion]]</f>
        <v>0</v>
      </c>
      <c r="J4392" s="7">
        <f>tbl_Ventes[[#This Row],[CA ligne]] - tbl_Ventes[[#This Row],[Coût matière ligne]]</f>
        <v>0</v>
      </c>
      <c r="K4392" s="7" t="str">
        <f>IFERROR(INDEX(tbl_ProduitsRef[Famille], MATCH(tbl_Ventes[[#This Row],[Cde_Prdt]], tbl_Produits[Cde_Prdt], 0)), "")</f>
        <v/>
      </c>
    </row>
    <row r="4393" spans="1:11" x14ac:dyDescent="0.25">
      <c r="A4393" s="5"/>
      <c r="B4393" s="63" t="str">
        <f>IFERROR(TEXT(tbl_Ventes[[#This Row],[Date]],"mm-aaaa"),"")</f>
        <v>01-1900</v>
      </c>
      <c r="D4393" s="10" t="str">
        <f>IFERROR(
   INDEX(tbl_ProduitsRef[Cde_Prdt],MATCH(tbl_Ventes[[#This Row],[Produit]],tbl_ProduitsRef[Produit],0)),
   ""
)</f>
        <v/>
      </c>
      <c r="E4393" s="7">
        <v>0</v>
      </c>
      <c r="F4393" s="7" t="str">
        <f>IFERROR(
   INDEX(tbl_ProduitsRef[Prix Menu],MATCH(tbl_Ventes[[#This Row],[Produit]],tbl_ProduitsRef[Produit],0)),
   ""
)</f>
        <v/>
      </c>
      <c r="G4393" s="7">
        <f>tbl_Ventes[[#This Row],[Qté Vendue]] * IFERROR(_xlfn.XLOOKUP(tbl_Ventes[[#This Row],[Cde_Prdt]], tbl_Produits[Cde_Prdt], tbl_Produits[Prix Menu]), 0)</f>
        <v>0</v>
      </c>
      <c r="H4393" s="7">
        <f>IFERROR(_xlfn.XLOOKUP(tbl_Ventes[[#This Row],[Cde_Prdt]], tbl_Produits[Cde_Prdt], tbl_Produits[Coût Moyen Portion]), 0)</f>
        <v>0</v>
      </c>
      <c r="I4393" s="7">
        <f>tbl_Ventes[[#This Row],[Qté Vendue]] * tbl_Ventes[[#This Row],[CMP_par_portion]]</f>
        <v>0</v>
      </c>
      <c r="J4393" s="7">
        <f>tbl_Ventes[[#This Row],[CA ligne]] - tbl_Ventes[[#This Row],[Coût matière ligne]]</f>
        <v>0</v>
      </c>
      <c r="K4393" s="7" t="str">
        <f>IFERROR(INDEX(tbl_ProduitsRef[Famille], MATCH(tbl_Ventes[[#This Row],[Cde_Prdt]], tbl_Produits[Cde_Prdt], 0)), "")</f>
        <v/>
      </c>
    </row>
    <row r="4394" spans="1:11" x14ac:dyDescent="0.25">
      <c r="A4394" s="5"/>
      <c r="B4394" s="63" t="str">
        <f>IFERROR(TEXT(tbl_Ventes[[#This Row],[Date]],"mm-aaaa"),"")</f>
        <v>01-1900</v>
      </c>
      <c r="D4394" s="10" t="str">
        <f>IFERROR(
   INDEX(tbl_ProduitsRef[Cde_Prdt],MATCH(tbl_Ventes[[#This Row],[Produit]],tbl_ProduitsRef[Produit],0)),
   ""
)</f>
        <v/>
      </c>
      <c r="E4394" s="7">
        <v>0</v>
      </c>
      <c r="F4394" s="7" t="str">
        <f>IFERROR(
   INDEX(tbl_ProduitsRef[Prix Menu],MATCH(tbl_Ventes[[#This Row],[Produit]],tbl_ProduitsRef[Produit],0)),
   ""
)</f>
        <v/>
      </c>
      <c r="G4394" s="7">
        <f>tbl_Ventes[[#This Row],[Qté Vendue]] * IFERROR(_xlfn.XLOOKUP(tbl_Ventes[[#This Row],[Cde_Prdt]], tbl_Produits[Cde_Prdt], tbl_Produits[Prix Menu]), 0)</f>
        <v>0</v>
      </c>
      <c r="H4394" s="7">
        <f>IFERROR(_xlfn.XLOOKUP(tbl_Ventes[[#This Row],[Cde_Prdt]], tbl_Produits[Cde_Prdt], tbl_Produits[Coût Moyen Portion]), 0)</f>
        <v>0</v>
      </c>
      <c r="I4394" s="7">
        <f>tbl_Ventes[[#This Row],[Qté Vendue]] * tbl_Ventes[[#This Row],[CMP_par_portion]]</f>
        <v>0</v>
      </c>
      <c r="J4394" s="7">
        <f>tbl_Ventes[[#This Row],[CA ligne]] - tbl_Ventes[[#This Row],[Coût matière ligne]]</f>
        <v>0</v>
      </c>
      <c r="K4394" s="7" t="str">
        <f>IFERROR(INDEX(tbl_ProduitsRef[Famille], MATCH(tbl_Ventes[[#This Row],[Cde_Prdt]], tbl_Produits[Cde_Prdt], 0)), "")</f>
        <v/>
      </c>
    </row>
    <row r="4395" spans="1:11" x14ac:dyDescent="0.25">
      <c r="A4395" s="5"/>
      <c r="B4395" s="63" t="str">
        <f>IFERROR(TEXT(tbl_Ventes[[#This Row],[Date]],"mm-aaaa"),"")</f>
        <v>01-1900</v>
      </c>
      <c r="D4395" s="10" t="str">
        <f>IFERROR(
   INDEX(tbl_ProduitsRef[Cde_Prdt],MATCH(tbl_Ventes[[#This Row],[Produit]],tbl_ProduitsRef[Produit],0)),
   ""
)</f>
        <v/>
      </c>
      <c r="E4395" s="7">
        <v>0</v>
      </c>
      <c r="F4395" s="7" t="str">
        <f>IFERROR(
   INDEX(tbl_ProduitsRef[Prix Menu],MATCH(tbl_Ventes[[#This Row],[Produit]],tbl_ProduitsRef[Produit],0)),
   ""
)</f>
        <v/>
      </c>
      <c r="G4395" s="7">
        <f>tbl_Ventes[[#This Row],[Qté Vendue]] * IFERROR(_xlfn.XLOOKUP(tbl_Ventes[[#This Row],[Cde_Prdt]], tbl_Produits[Cde_Prdt], tbl_Produits[Prix Menu]), 0)</f>
        <v>0</v>
      </c>
      <c r="H4395" s="7">
        <f>IFERROR(_xlfn.XLOOKUP(tbl_Ventes[[#This Row],[Cde_Prdt]], tbl_Produits[Cde_Prdt], tbl_Produits[Coût Moyen Portion]), 0)</f>
        <v>0</v>
      </c>
      <c r="I4395" s="7">
        <f>tbl_Ventes[[#This Row],[Qté Vendue]] * tbl_Ventes[[#This Row],[CMP_par_portion]]</f>
        <v>0</v>
      </c>
      <c r="J4395" s="7">
        <f>tbl_Ventes[[#This Row],[CA ligne]] - tbl_Ventes[[#This Row],[Coût matière ligne]]</f>
        <v>0</v>
      </c>
      <c r="K4395" s="7" t="str">
        <f>IFERROR(INDEX(tbl_ProduitsRef[Famille], MATCH(tbl_Ventes[[#This Row],[Cde_Prdt]], tbl_Produits[Cde_Prdt], 0)), "")</f>
        <v/>
      </c>
    </row>
    <row r="4396" spans="1:11" x14ac:dyDescent="0.25">
      <c r="A4396" s="5"/>
      <c r="B4396" s="63" t="str">
        <f>IFERROR(TEXT(tbl_Ventes[[#This Row],[Date]],"mm-aaaa"),"")</f>
        <v>01-1900</v>
      </c>
      <c r="D4396" s="10" t="str">
        <f>IFERROR(
   INDEX(tbl_ProduitsRef[Cde_Prdt],MATCH(tbl_Ventes[[#This Row],[Produit]],tbl_ProduitsRef[Produit],0)),
   ""
)</f>
        <v/>
      </c>
      <c r="E4396" s="7">
        <v>0</v>
      </c>
      <c r="F4396" s="7" t="str">
        <f>IFERROR(
   INDEX(tbl_ProduitsRef[Prix Menu],MATCH(tbl_Ventes[[#This Row],[Produit]],tbl_ProduitsRef[Produit],0)),
   ""
)</f>
        <v/>
      </c>
      <c r="G4396" s="7">
        <f>tbl_Ventes[[#This Row],[Qté Vendue]] * IFERROR(_xlfn.XLOOKUP(tbl_Ventes[[#This Row],[Cde_Prdt]], tbl_Produits[Cde_Prdt], tbl_Produits[Prix Menu]), 0)</f>
        <v>0</v>
      </c>
      <c r="H4396" s="7">
        <f>IFERROR(_xlfn.XLOOKUP(tbl_Ventes[[#This Row],[Cde_Prdt]], tbl_Produits[Cde_Prdt], tbl_Produits[Coût Moyen Portion]), 0)</f>
        <v>0</v>
      </c>
      <c r="I4396" s="7">
        <f>tbl_Ventes[[#This Row],[Qté Vendue]] * tbl_Ventes[[#This Row],[CMP_par_portion]]</f>
        <v>0</v>
      </c>
      <c r="J4396" s="7">
        <f>tbl_Ventes[[#This Row],[CA ligne]] - tbl_Ventes[[#This Row],[Coût matière ligne]]</f>
        <v>0</v>
      </c>
      <c r="K4396" s="7" t="str">
        <f>IFERROR(INDEX(tbl_ProduitsRef[Famille], MATCH(tbl_Ventes[[#This Row],[Cde_Prdt]], tbl_Produits[Cde_Prdt], 0)), "")</f>
        <v/>
      </c>
    </row>
    <row r="4397" spans="1:11" x14ac:dyDescent="0.25">
      <c r="A4397" s="5"/>
      <c r="B4397" s="63" t="str">
        <f>IFERROR(TEXT(tbl_Ventes[[#This Row],[Date]],"mm-aaaa"),"")</f>
        <v>01-1900</v>
      </c>
      <c r="D4397" s="10" t="str">
        <f>IFERROR(
   INDEX(tbl_ProduitsRef[Cde_Prdt],MATCH(tbl_Ventes[[#This Row],[Produit]],tbl_ProduitsRef[Produit],0)),
   ""
)</f>
        <v/>
      </c>
      <c r="E4397" s="7">
        <v>0</v>
      </c>
      <c r="F4397" s="7" t="str">
        <f>IFERROR(
   INDEX(tbl_ProduitsRef[Prix Menu],MATCH(tbl_Ventes[[#This Row],[Produit]],tbl_ProduitsRef[Produit],0)),
   ""
)</f>
        <v/>
      </c>
      <c r="G4397" s="7">
        <f>tbl_Ventes[[#This Row],[Qté Vendue]] * IFERROR(_xlfn.XLOOKUP(tbl_Ventes[[#This Row],[Cde_Prdt]], tbl_Produits[Cde_Prdt], tbl_Produits[Prix Menu]), 0)</f>
        <v>0</v>
      </c>
      <c r="H4397" s="7">
        <f>IFERROR(_xlfn.XLOOKUP(tbl_Ventes[[#This Row],[Cde_Prdt]], tbl_Produits[Cde_Prdt], tbl_Produits[Coût Moyen Portion]), 0)</f>
        <v>0</v>
      </c>
      <c r="I4397" s="7">
        <f>tbl_Ventes[[#This Row],[Qté Vendue]] * tbl_Ventes[[#This Row],[CMP_par_portion]]</f>
        <v>0</v>
      </c>
      <c r="J4397" s="7">
        <f>tbl_Ventes[[#This Row],[CA ligne]] - tbl_Ventes[[#This Row],[Coût matière ligne]]</f>
        <v>0</v>
      </c>
      <c r="K4397" s="7" t="str">
        <f>IFERROR(INDEX(tbl_ProduitsRef[Famille], MATCH(tbl_Ventes[[#This Row],[Cde_Prdt]], tbl_Produits[Cde_Prdt], 0)), "")</f>
        <v/>
      </c>
    </row>
    <row r="4398" spans="1:11" x14ac:dyDescent="0.25">
      <c r="A4398" s="5"/>
      <c r="B4398" s="63" t="str">
        <f>IFERROR(TEXT(tbl_Ventes[[#This Row],[Date]],"mm-aaaa"),"")</f>
        <v>01-1900</v>
      </c>
      <c r="D4398" s="10" t="str">
        <f>IFERROR(
   INDEX(tbl_ProduitsRef[Cde_Prdt],MATCH(tbl_Ventes[[#This Row],[Produit]],tbl_ProduitsRef[Produit],0)),
   ""
)</f>
        <v/>
      </c>
      <c r="E4398" s="7">
        <v>0</v>
      </c>
      <c r="F4398" s="7" t="str">
        <f>IFERROR(
   INDEX(tbl_ProduitsRef[Prix Menu],MATCH(tbl_Ventes[[#This Row],[Produit]],tbl_ProduitsRef[Produit],0)),
   ""
)</f>
        <v/>
      </c>
      <c r="G4398" s="7">
        <f>tbl_Ventes[[#This Row],[Qté Vendue]] * IFERROR(_xlfn.XLOOKUP(tbl_Ventes[[#This Row],[Cde_Prdt]], tbl_Produits[Cde_Prdt], tbl_Produits[Prix Menu]), 0)</f>
        <v>0</v>
      </c>
      <c r="H4398" s="7">
        <f>IFERROR(_xlfn.XLOOKUP(tbl_Ventes[[#This Row],[Cde_Prdt]], tbl_Produits[Cde_Prdt], tbl_Produits[Coût Moyen Portion]), 0)</f>
        <v>0</v>
      </c>
      <c r="I4398" s="7">
        <f>tbl_Ventes[[#This Row],[Qté Vendue]] * tbl_Ventes[[#This Row],[CMP_par_portion]]</f>
        <v>0</v>
      </c>
      <c r="J4398" s="7">
        <f>tbl_Ventes[[#This Row],[CA ligne]] - tbl_Ventes[[#This Row],[Coût matière ligne]]</f>
        <v>0</v>
      </c>
      <c r="K4398" s="7" t="str">
        <f>IFERROR(INDEX(tbl_ProduitsRef[Famille], MATCH(tbl_Ventes[[#This Row],[Cde_Prdt]], tbl_Produits[Cde_Prdt], 0)), "")</f>
        <v/>
      </c>
    </row>
    <row r="4399" spans="1:11" x14ac:dyDescent="0.25">
      <c r="A4399" s="5"/>
      <c r="B4399" s="63" t="str">
        <f>IFERROR(TEXT(tbl_Ventes[[#This Row],[Date]],"mm-aaaa"),"")</f>
        <v>01-1900</v>
      </c>
      <c r="D4399" s="10" t="str">
        <f>IFERROR(
   INDEX(tbl_ProduitsRef[Cde_Prdt],MATCH(tbl_Ventes[[#This Row],[Produit]],tbl_ProduitsRef[Produit],0)),
   ""
)</f>
        <v/>
      </c>
      <c r="E4399" s="7">
        <v>0</v>
      </c>
      <c r="F4399" s="7" t="str">
        <f>IFERROR(
   INDEX(tbl_ProduitsRef[Prix Menu],MATCH(tbl_Ventes[[#This Row],[Produit]],tbl_ProduitsRef[Produit],0)),
   ""
)</f>
        <v/>
      </c>
      <c r="G4399" s="7">
        <f>tbl_Ventes[[#This Row],[Qté Vendue]] * IFERROR(_xlfn.XLOOKUP(tbl_Ventes[[#This Row],[Cde_Prdt]], tbl_Produits[Cde_Prdt], tbl_Produits[Prix Menu]), 0)</f>
        <v>0</v>
      </c>
      <c r="H4399" s="7">
        <f>IFERROR(_xlfn.XLOOKUP(tbl_Ventes[[#This Row],[Cde_Prdt]], tbl_Produits[Cde_Prdt], tbl_Produits[Coût Moyen Portion]), 0)</f>
        <v>0</v>
      </c>
      <c r="I4399" s="7">
        <f>tbl_Ventes[[#This Row],[Qté Vendue]] * tbl_Ventes[[#This Row],[CMP_par_portion]]</f>
        <v>0</v>
      </c>
      <c r="J4399" s="7">
        <f>tbl_Ventes[[#This Row],[CA ligne]] - tbl_Ventes[[#This Row],[Coût matière ligne]]</f>
        <v>0</v>
      </c>
      <c r="K4399" s="7" t="str">
        <f>IFERROR(INDEX(tbl_ProduitsRef[Famille], MATCH(tbl_Ventes[[#This Row],[Cde_Prdt]], tbl_Produits[Cde_Prdt], 0)), "")</f>
        <v/>
      </c>
    </row>
    <row r="4400" spans="1:11" x14ac:dyDescent="0.25">
      <c r="A4400" s="5"/>
      <c r="B4400" s="63" t="str">
        <f>IFERROR(TEXT(tbl_Ventes[[#This Row],[Date]],"mm-aaaa"),"")</f>
        <v>01-1900</v>
      </c>
      <c r="D4400" s="10" t="str">
        <f>IFERROR(
   INDEX(tbl_ProduitsRef[Cde_Prdt],MATCH(tbl_Ventes[[#This Row],[Produit]],tbl_ProduitsRef[Produit],0)),
   ""
)</f>
        <v/>
      </c>
      <c r="E4400" s="7">
        <v>0</v>
      </c>
      <c r="F4400" s="7" t="str">
        <f>IFERROR(
   INDEX(tbl_ProduitsRef[Prix Menu],MATCH(tbl_Ventes[[#This Row],[Produit]],tbl_ProduitsRef[Produit],0)),
   ""
)</f>
        <v/>
      </c>
      <c r="G4400" s="7">
        <f>tbl_Ventes[[#This Row],[Qté Vendue]] * IFERROR(_xlfn.XLOOKUP(tbl_Ventes[[#This Row],[Cde_Prdt]], tbl_Produits[Cde_Prdt], tbl_Produits[Prix Menu]), 0)</f>
        <v>0</v>
      </c>
      <c r="H4400" s="7">
        <f>IFERROR(_xlfn.XLOOKUP(tbl_Ventes[[#This Row],[Cde_Prdt]], tbl_Produits[Cde_Prdt], tbl_Produits[Coût Moyen Portion]), 0)</f>
        <v>0</v>
      </c>
      <c r="I4400" s="7">
        <f>tbl_Ventes[[#This Row],[Qté Vendue]] * tbl_Ventes[[#This Row],[CMP_par_portion]]</f>
        <v>0</v>
      </c>
      <c r="J4400" s="7">
        <f>tbl_Ventes[[#This Row],[CA ligne]] - tbl_Ventes[[#This Row],[Coût matière ligne]]</f>
        <v>0</v>
      </c>
      <c r="K4400" s="7" t="str">
        <f>IFERROR(INDEX(tbl_ProduitsRef[Famille], MATCH(tbl_Ventes[[#This Row],[Cde_Prdt]], tbl_Produits[Cde_Prdt], 0)), "")</f>
        <v/>
      </c>
    </row>
    <row r="4401" spans="1:11" x14ac:dyDescent="0.25">
      <c r="A4401" s="5"/>
      <c r="B4401" s="63" t="str">
        <f>IFERROR(TEXT(tbl_Ventes[[#This Row],[Date]],"mm-aaaa"),"")</f>
        <v>01-1900</v>
      </c>
      <c r="D4401" s="10" t="str">
        <f>IFERROR(
   INDEX(tbl_ProduitsRef[Cde_Prdt],MATCH(tbl_Ventes[[#This Row],[Produit]],tbl_ProduitsRef[Produit],0)),
   ""
)</f>
        <v/>
      </c>
      <c r="E4401" s="7">
        <v>0</v>
      </c>
      <c r="F4401" s="7" t="str">
        <f>IFERROR(
   INDEX(tbl_ProduitsRef[Prix Menu],MATCH(tbl_Ventes[[#This Row],[Produit]],tbl_ProduitsRef[Produit],0)),
   ""
)</f>
        <v/>
      </c>
      <c r="G4401" s="7">
        <f>tbl_Ventes[[#This Row],[Qté Vendue]] * IFERROR(_xlfn.XLOOKUP(tbl_Ventes[[#This Row],[Cde_Prdt]], tbl_Produits[Cde_Prdt], tbl_Produits[Prix Menu]), 0)</f>
        <v>0</v>
      </c>
      <c r="H4401" s="7">
        <f>IFERROR(_xlfn.XLOOKUP(tbl_Ventes[[#This Row],[Cde_Prdt]], tbl_Produits[Cde_Prdt], tbl_Produits[Coût Moyen Portion]), 0)</f>
        <v>0</v>
      </c>
      <c r="I4401" s="7">
        <f>tbl_Ventes[[#This Row],[Qté Vendue]] * tbl_Ventes[[#This Row],[CMP_par_portion]]</f>
        <v>0</v>
      </c>
      <c r="J4401" s="7">
        <f>tbl_Ventes[[#This Row],[CA ligne]] - tbl_Ventes[[#This Row],[Coût matière ligne]]</f>
        <v>0</v>
      </c>
      <c r="K4401" s="7" t="str">
        <f>IFERROR(INDEX(tbl_ProduitsRef[Famille], MATCH(tbl_Ventes[[#This Row],[Cde_Prdt]], tbl_Produits[Cde_Prdt], 0)), "")</f>
        <v/>
      </c>
    </row>
    <row r="4402" spans="1:11" x14ac:dyDescent="0.25">
      <c r="A4402" s="5"/>
      <c r="B4402" s="63" t="str">
        <f>IFERROR(TEXT(tbl_Ventes[[#This Row],[Date]],"mm-aaaa"),"")</f>
        <v>01-1900</v>
      </c>
      <c r="D4402" s="10" t="str">
        <f>IFERROR(
   INDEX(tbl_ProduitsRef[Cde_Prdt],MATCH(tbl_Ventes[[#This Row],[Produit]],tbl_ProduitsRef[Produit],0)),
   ""
)</f>
        <v/>
      </c>
      <c r="E4402" s="7">
        <v>0</v>
      </c>
      <c r="F4402" s="7" t="str">
        <f>IFERROR(
   INDEX(tbl_ProduitsRef[Prix Menu],MATCH(tbl_Ventes[[#This Row],[Produit]],tbl_ProduitsRef[Produit],0)),
   ""
)</f>
        <v/>
      </c>
      <c r="G4402" s="7">
        <f>tbl_Ventes[[#This Row],[Qté Vendue]] * IFERROR(_xlfn.XLOOKUP(tbl_Ventes[[#This Row],[Cde_Prdt]], tbl_Produits[Cde_Prdt], tbl_Produits[Prix Menu]), 0)</f>
        <v>0</v>
      </c>
      <c r="H4402" s="7">
        <f>IFERROR(_xlfn.XLOOKUP(tbl_Ventes[[#This Row],[Cde_Prdt]], tbl_Produits[Cde_Prdt], tbl_Produits[Coût Moyen Portion]), 0)</f>
        <v>0</v>
      </c>
      <c r="I4402" s="7">
        <f>tbl_Ventes[[#This Row],[Qté Vendue]] * tbl_Ventes[[#This Row],[CMP_par_portion]]</f>
        <v>0</v>
      </c>
      <c r="J4402" s="7">
        <f>tbl_Ventes[[#This Row],[CA ligne]] - tbl_Ventes[[#This Row],[Coût matière ligne]]</f>
        <v>0</v>
      </c>
      <c r="K4402" s="7" t="str">
        <f>IFERROR(INDEX(tbl_ProduitsRef[Famille], MATCH(tbl_Ventes[[#This Row],[Cde_Prdt]], tbl_Produits[Cde_Prdt], 0)), "")</f>
        <v/>
      </c>
    </row>
    <row r="4403" spans="1:11" x14ac:dyDescent="0.25">
      <c r="A4403" s="5"/>
      <c r="B4403" s="63" t="str">
        <f>IFERROR(TEXT(tbl_Ventes[[#This Row],[Date]],"mm-aaaa"),"")</f>
        <v>01-1900</v>
      </c>
      <c r="D4403" s="10" t="str">
        <f>IFERROR(
   INDEX(tbl_ProduitsRef[Cde_Prdt],MATCH(tbl_Ventes[[#This Row],[Produit]],tbl_ProduitsRef[Produit],0)),
   ""
)</f>
        <v/>
      </c>
      <c r="E4403" s="7">
        <v>0</v>
      </c>
      <c r="F4403" s="7" t="str">
        <f>IFERROR(
   INDEX(tbl_ProduitsRef[Prix Menu],MATCH(tbl_Ventes[[#This Row],[Produit]],tbl_ProduitsRef[Produit],0)),
   ""
)</f>
        <v/>
      </c>
      <c r="G4403" s="7">
        <f>tbl_Ventes[[#This Row],[Qté Vendue]] * IFERROR(_xlfn.XLOOKUP(tbl_Ventes[[#This Row],[Cde_Prdt]], tbl_Produits[Cde_Prdt], tbl_Produits[Prix Menu]), 0)</f>
        <v>0</v>
      </c>
      <c r="H4403" s="7">
        <f>IFERROR(_xlfn.XLOOKUP(tbl_Ventes[[#This Row],[Cde_Prdt]], tbl_Produits[Cde_Prdt], tbl_Produits[Coût Moyen Portion]), 0)</f>
        <v>0</v>
      </c>
      <c r="I4403" s="7">
        <f>tbl_Ventes[[#This Row],[Qté Vendue]] * tbl_Ventes[[#This Row],[CMP_par_portion]]</f>
        <v>0</v>
      </c>
      <c r="J4403" s="7">
        <f>tbl_Ventes[[#This Row],[CA ligne]] - tbl_Ventes[[#This Row],[Coût matière ligne]]</f>
        <v>0</v>
      </c>
      <c r="K4403" s="7" t="str">
        <f>IFERROR(INDEX(tbl_ProduitsRef[Famille], MATCH(tbl_Ventes[[#This Row],[Cde_Prdt]], tbl_Produits[Cde_Prdt], 0)), "")</f>
        <v/>
      </c>
    </row>
    <row r="4404" spans="1:11" x14ac:dyDescent="0.25">
      <c r="A4404" s="5"/>
      <c r="B4404" s="63" t="str">
        <f>IFERROR(TEXT(tbl_Ventes[[#This Row],[Date]],"mm-aaaa"),"")</f>
        <v>01-1900</v>
      </c>
      <c r="D4404" s="10" t="str">
        <f>IFERROR(
   INDEX(tbl_ProduitsRef[Cde_Prdt],MATCH(tbl_Ventes[[#This Row],[Produit]],tbl_ProduitsRef[Produit],0)),
   ""
)</f>
        <v/>
      </c>
      <c r="E4404" s="7">
        <v>0</v>
      </c>
      <c r="F4404" s="7" t="str">
        <f>IFERROR(
   INDEX(tbl_ProduitsRef[Prix Menu],MATCH(tbl_Ventes[[#This Row],[Produit]],tbl_ProduitsRef[Produit],0)),
   ""
)</f>
        <v/>
      </c>
      <c r="G4404" s="7">
        <f>tbl_Ventes[[#This Row],[Qté Vendue]] * IFERROR(_xlfn.XLOOKUP(tbl_Ventes[[#This Row],[Cde_Prdt]], tbl_Produits[Cde_Prdt], tbl_Produits[Prix Menu]), 0)</f>
        <v>0</v>
      </c>
      <c r="H4404" s="7">
        <f>IFERROR(_xlfn.XLOOKUP(tbl_Ventes[[#This Row],[Cde_Prdt]], tbl_Produits[Cde_Prdt], tbl_Produits[Coût Moyen Portion]), 0)</f>
        <v>0</v>
      </c>
      <c r="I4404" s="7">
        <f>tbl_Ventes[[#This Row],[Qté Vendue]] * tbl_Ventes[[#This Row],[CMP_par_portion]]</f>
        <v>0</v>
      </c>
      <c r="J4404" s="7">
        <f>tbl_Ventes[[#This Row],[CA ligne]] - tbl_Ventes[[#This Row],[Coût matière ligne]]</f>
        <v>0</v>
      </c>
      <c r="K4404" s="7" t="str">
        <f>IFERROR(INDEX(tbl_ProduitsRef[Famille], MATCH(tbl_Ventes[[#This Row],[Cde_Prdt]], tbl_Produits[Cde_Prdt], 0)), "")</f>
        <v/>
      </c>
    </row>
    <row r="4405" spans="1:11" x14ac:dyDescent="0.25">
      <c r="A4405" s="5"/>
      <c r="B4405" s="63" t="str">
        <f>IFERROR(TEXT(tbl_Ventes[[#This Row],[Date]],"mm-aaaa"),"")</f>
        <v>01-1900</v>
      </c>
      <c r="D4405" s="10" t="str">
        <f>IFERROR(
   INDEX(tbl_ProduitsRef[Cde_Prdt],MATCH(tbl_Ventes[[#This Row],[Produit]],tbl_ProduitsRef[Produit],0)),
   ""
)</f>
        <v/>
      </c>
      <c r="E4405" s="7">
        <v>0</v>
      </c>
      <c r="F4405" s="7" t="str">
        <f>IFERROR(
   INDEX(tbl_ProduitsRef[Prix Menu],MATCH(tbl_Ventes[[#This Row],[Produit]],tbl_ProduitsRef[Produit],0)),
   ""
)</f>
        <v/>
      </c>
      <c r="G4405" s="7">
        <f>tbl_Ventes[[#This Row],[Qté Vendue]] * IFERROR(_xlfn.XLOOKUP(tbl_Ventes[[#This Row],[Cde_Prdt]], tbl_Produits[Cde_Prdt], tbl_Produits[Prix Menu]), 0)</f>
        <v>0</v>
      </c>
      <c r="H4405" s="7">
        <f>IFERROR(_xlfn.XLOOKUP(tbl_Ventes[[#This Row],[Cde_Prdt]], tbl_Produits[Cde_Prdt], tbl_Produits[Coût Moyen Portion]), 0)</f>
        <v>0</v>
      </c>
      <c r="I4405" s="7">
        <f>tbl_Ventes[[#This Row],[Qté Vendue]] * tbl_Ventes[[#This Row],[CMP_par_portion]]</f>
        <v>0</v>
      </c>
      <c r="J4405" s="7">
        <f>tbl_Ventes[[#This Row],[CA ligne]] - tbl_Ventes[[#This Row],[Coût matière ligne]]</f>
        <v>0</v>
      </c>
      <c r="K4405" s="7" t="str">
        <f>IFERROR(INDEX(tbl_ProduitsRef[Famille], MATCH(tbl_Ventes[[#This Row],[Cde_Prdt]], tbl_Produits[Cde_Prdt], 0)), "")</f>
        <v/>
      </c>
    </row>
    <row r="4406" spans="1:11" x14ac:dyDescent="0.25">
      <c r="A4406" s="5"/>
      <c r="B4406" s="63" t="str">
        <f>IFERROR(TEXT(tbl_Ventes[[#This Row],[Date]],"mm-aaaa"),"")</f>
        <v>01-1900</v>
      </c>
      <c r="D4406" s="10" t="str">
        <f>IFERROR(
   INDEX(tbl_ProduitsRef[Cde_Prdt],MATCH(tbl_Ventes[[#This Row],[Produit]],tbl_ProduitsRef[Produit],0)),
   ""
)</f>
        <v/>
      </c>
      <c r="E4406" s="7">
        <v>0</v>
      </c>
      <c r="F4406" s="7" t="str">
        <f>IFERROR(
   INDEX(tbl_ProduitsRef[Prix Menu],MATCH(tbl_Ventes[[#This Row],[Produit]],tbl_ProduitsRef[Produit],0)),
   ""
)</f>
        <v/>
      </c>
      <c r="G4406" s="7">
        <f>tbl_Ventes[[#This Row],[Qté Vendue]] * IFERROR(_xlfn.XLOOKUP(tbl_Ventes[[#This Row],[Cde_Prdt]], tbl_Produits[Cde_Prdt], tbl_Produits[Prix Menu]), 0)</f>
        <v>0</v>
      </c>
      <c r="H4406" s="7">
        <f>IFERROR(_xlfn.XLOOKUP(tbl_Ventes[[#This Row],[Cde_Prdt]], tbl_Produits[Cde_Prdt], tbl_Produits[Coût Moyen Portion]), 0)</f>
        <v>0</v>
      </c>
      <c r="I4406" s="7">
        <f>tbl_Ventes[[#This Row],[Qté Vendue]] * tbl_Ventes[[#This Row],[CMP_par_portion]]</f>
        <v>0</v>
      </c>
      <c r="J4406" s="7">
        <f>tbl_Ventes[[#This Row],[CA ligne]] - tbl_Ventes[[#This Row],[Coût matière ligne]]</f>
        <v>0</v>
      </c>
      <c r="K4406" s="7" t="str">
        <f>IFERROR(INDEX(tbl_ProduitsRef[Famille], MATCH(tbl_Ventes[[#This Row],[Cde_Prdt]], tbl_Produits[Cde_Prdt], 0)), "")</f>
        <v/>
      </c>
    </row>
    <row r="4407" spans="1:11" x14ac:dyDescent="0.25">
      <c r="A4407" s="5"/>
      <c r="B4407" s="63" t="str">
        <f>IFERROR(TEXT(tbl_Ventes[[#This Row],[Date]],"mm-aaaa"),"")</f>
        <v>01-1900</v>
      </c>
      <c r="D4407" s="10" t="str">
        <f>IFERROR(
   INDEX(tbl_ProduitsRef[Cde_Prdt],MATCH(tbl_Ventes[[#This Row],[Produit]],tbl_ProduitsRef[Produit],0)),
   ""
)</f>
        <v/>
      </c>
      <c r="E4407" s="7">
        <v>0</v>
      </c>
      <c r="F4407" s="7" t="str">
        <f>IFERROR(
   INDEX(tbl_ProduitsRef[Prix Menu],MATCH(tbl_Ventes[[#This Row],[Produit]],tbl_ProduitsRef[Produit],0)),
   ""
)</f>
        <v/>
      </c>
      <c r="G4407" s="7">
        <f>tbl_Ventes[[#This Row],[Qté Vendue]] * IFERROR(_xlfn.XLOOKUP(tbl_Ventes[[#This Row],[Cde_Prdt]], tbl_Produits[Cde_Prdt], tbl_Produits[Prix Menu]), 0)</f>
        <v>0</v>
      </c>
      <c r="H4407" s="7">
        <f>IFERROR(_xlfn.XLOOKUP(tbl_Ventes[[#This Row],[Cde_Prdt]], tbl_Produits[Cde_Prdt], tbl_Produits[Coût Moyen Portion]), 0)</f>
        <v>0</v>
      </c>
      <c r="I4407" s="7">
        <f>tbl_Ventes[[#This Row],[Qté Vendue]] * tbl_Ventes[[#This Row],[CMP_par_portion]]</f>
        <v>0</v>
      </c>
      <c r="J4407" s="7">
        <f>tbl_Ventes[[#This Row],[CA ligne]] - tbl_Ventes[[#This Row],[Coût matière ligne]]</f>
        <v>0</v>
      </c>
      <c r="K4407" s="7" t="str">
        <f>IFERROR(INDEX(tbl_ProduitsRef[Famille], MATCH(tbl_Ventes[[#This Row],[Cde_Prdt]], tbl_Produits[Cde_Prdt], 0)), "")</f>
        <v/>
      </c>
    </row>
    <row r="4408" spans="1:11" x14ac:dyDescent="0.25">
      <c r="A4408" s="5"/>
      <c r="B4408" s="63" t="str">
        <f>IFERROR(TEXT(tbl_Ventes[[#This Row],[Date]],"mm-aaaa"),"")</f>
        <v>01-1900</v>
      </c>
      <c r="D4408" s="10" t="str">
        <f>IFERROR(
   INDEX(tbl_ProduitsRef[Cde_Prdt],MATCH(tbl_Ventes[[#This Row],[Produit]],tbl_ProduitsRef[Produit],0)),
   ""
)</f>
        <v/>
      </c>
      <c r="E4408" s="7">
        <v>0</v>
      </c>
      <c r="F4408" s="7" t="str">
        <f>IFERROR(
   INDEX(tbl_ProduitsRef[Prix Menu],MATCH(tbl_Ventes[[#This Row],[Produit]],tbl_ProduitsRef[Produit],0)),
   ""
)</f>
        <v/>
      </c>
      <c r="G4408" s="7">
        <f>tbl_Ventes[[#This Row],[Qté Vendue]] * IFERROR(_xlfn.XLOOKUP(tbl_Ventes[[#This Row],[Cde_Prdt]], tbl_Produits[Cde_Prdt], tbl_Produits[Prix Menu]), 0)</f>
        <v>0</v>
      </c>
      <c r="H4408" s="7">
        <f>IFERROR(_xlfn.XLOOKUP(tbl_Ventes[[#This Row],[Cde_Prdt]], tbl_Produits[Cde_Prdt], tbl_Produits[Coût Moyen Portion]), 0)</f>
        <v>0</v>
      </c>
      <c r="I4408" s="7">
        <f>tbl_Ventes[[#This Row],[Qté Vendue]] * tbl_Ventes[[#This Row],[CMP_par_portion]]</f>
        <v>0</v>
      </c>
      <c r="J4408" s="7">
        <f>tbl_Ventes[[#This Row],[CA ligne]] - tbl_Ventes[[#This Row],[Coût matière ligne]]</f>
        <v>0</v>
      </c>
      <c r="K4408" s="7" t="str">
        <f>IFERROR(INDEX(tbl_ProduitsRef[Famille], MATCH(tbl_Ventes[[#This Row],[Cde_Prdt]], tbl_Produits[Cde_Prdt], 0)), "")</f>
        <v/>
      </c>
    </row>
    <row r="4409" spans="1:11" x14ac:dyDescent="0.25">
      <c r="A4409" s="5"/>
      <c r="B4409" s="63" t="str">
        <f>IFERROR(TEXT(tbl_Ventes[[#This Row],[Date]],"mm-aaaa"),"")</f>
        <v>01-1900</v>
      </c>
      <c r="D4409" s="10" t="str">
        <f>IFERROR(
   INDEX(tbl_ProduitsRef[Cde_Prdt],MATCH(tbl_Ventes[[#This Row],[Produit]],tbl_ProduitsRef[Produit],0)),
   ""
)</f>
        <v/>
      </c>
      <c r="E4409" s="7">
        <v>0</v>
      </c>
      <c r="F4409" s="7" t="str">
        <f>IFERROR(
   INDEX(tbl_ProduitsRef[Prix Menu],MATCH(tbl_Ventes[[#This Row],[Produit]],tbl_ProduitsRef[Produit],0)),
   ""
)</f>
        <v/>
      </c>
      <c r="G4409" s="7">
        <f>tbl_Ventes[[#This Row],[Qté Vendue]] * IFERROR(_xlfn.XLOOKUP(tbl_Ventes[[#This Row],[Cde_Prdt]], tbl_Produits[Cde_Prdt], tbl_Produits[Prix Menu]), 0)</f>
        <v>0</v>
      </c>
      <c r="H4409" s="7">
        <f>IFERROR(_xlfn.XLOOKUP(tbl_Ventes[[#This Row],[Cde_Prdt]], tbl_Produits[Cde_Prdt], tbl_Produits[Coût Moyen Portion]), 0)</f>
        <v>0</v>
      </c>
      <c r="I4409" s="7">
        <f>tbl_Ventes[[#This Row],[Qté Vendue]] * tbl_Ventes[[#This Row],[CMP_par_portion]]</f>
        <v>0</v>
      </c>
      <c r="J4409" s="7">
        <f>tbl_Ventes[[#This Row],[CA ligne]] - tbl_Ventes[[#This Row],[Coût matière ligne]]</f>
        <v>0</v>
      </c>
      <c r="K4409" s="7" t="str">
        <f>IFERROR(INDEX(tbl_ProduitsRef[Famille], MATCH(tbl_Ventes[[#This Row],[Cde_Prdt]], tbl_Produits[Cde_Prdt], 0)), "")</f>
        <v/>
      </c>
    </row>
    <row r="4410" spans="1:11" x14ac:dyDescent="0.25">
      <c r="A4410" s="5"/>
      <c r="B4410" s="63" t="str">
        <f>IFERROR(TEXT(tbl_Ventes[[#This Row],[Date]],"mm-aaaa"),"")</f>
        <v>01-1900</v>
      </c>
      <c r="D4410" s="10" t="str">
        <f>IFERROR(
   INDEX(tbl_ProduitsRef[Cde_Prdt],MATCH(tbl_Ventes[[#This Row],[Produit]],tbl_ProduitsRef[Produit],0)),
   ""
)</f>
        <v/>
      </c>
      <c r="E4410" s="7">
        <v>0</v>
      </c>
      <c r="F4410" s="7" t="str">
        <f>IFERROR(
   INDEX(tbl_ProduitsRef[Prix Menu],MATCH(tbl_Ventes[[#This Row],[Produit]],tbl_ProduitsRef[Produit],0)),
   ""
)</f>
        <v/>
      </c>
      <c r="G4410" s="7">
        <f>tbl_Ventes[[#This Row],[Qté Vendue]] * IFERROR(_xlfn.XLOOKUP(tbl_Ventes[[#This Row],[Cde_Prdt]], tbl_Produits[Cde_Prdt], tbl_Produits[Prix Menu]), 0)</f>
        <v>0</v>
      </c>
      <c r="H4410" s="7">
        <f>IFERROR(_xlfn.XLOOKUP(tbl_Ventes[[#This Row],[Cde_Prdt]], tbl_Produits[Cde_Prdt], tbl_Produits[Coût Moyen Portion]), 0)</f>
        <v>0</v>
      </c>
      <c r="I4410" s="7">
        <f>tbl_Ventes[[#This Row],[Qté Vendue]] * tbl_Ventes[[#This Row],[CMP_par_portion]]</f>
        <v>0</v>
      </c>
      <c r="J4410" s="7">
        <f>tbl_Ventes[[#This Row],[CA ligne]] - tbl_Ventes[[#This Row],[Coût matière ligne]]</f>
        <v>0</v>
      </c>
      <c r="K4410" s="7" t="str">
        <f>IFERROR(INDEX(tbl_ProduitsRef[Famille], MATCH(tbl_Ventes[[#This Row],[Cde_Prdt]], tbl_Produits[Cde_Prdt], 0)), "")</f>
        <v/>
      </c>
    </row>
    <row r="4411" spans="1:11" x14ac:dyDescent="0.25">
      <c r="A4411" s="5"/>
      <c r="B4411" s="63" t="str">
        <f>IFERROR(TEXT(tbl_Ventes[[#This Row],[Date]],"mm-aaaa"),"")</f>
        <v>01-1900</v>
      </c>
      <c r="D4411" s="10" t="str">
        <f>IFERROR(
   INDEX(tbl_ProduitsRef[Cde_Prdt],MATCH(tbl_Ventes[[#This Row],[Produit]],tbl_ProduitsRef[Produit],0)),
   ""
)</f>
        <v/>
      </c>
      <c r="E4411" s="7">
        <v>0</v>
      </c>
      <c r="F4411" s="7" t="str">
        <f>IFERROR(
   INDEX(tbl_ProduitsRef[Prix Menu],MATCH(tbl_Ventes[[#This Row],[Produit]],tbl_ProduitsRef[Produit],0)),
   ""
)</f>
        <v/>
      </c>
      <c r="G4411" s="7">
        <f>tbl_Ventes[[#This Row],[Qté Vendue]] * IFERROR(_xlfn.XLOOKUP(tbl_Ventes[[#This Row],[Cde_Prdt]], tbl_Produits[Cde_Prdt], tbl_Produits[Prix Menu]), 0)</f>
        <v>0</v>
      </c>
      <c r="H4411" s="7">
        <f>IFERROR(_xlfn.XLOOKUP(tbl_Ventes[[#This Row],[Cde_Prdt]], tbl_Produits[Cde_Prdt], tbl_Produits[Coût Moyen Portion]), 0)</f>
        <v>0</v>
      </c>
      <c r="I4411" s="7">
        <f>tbl_Ventes[[#This Row],[Qté Vendue]] * tbl_Ventes[[#This Row],[CMP_par_portion]]</f>
        <v>0</v>
      </c>
      <c r="J4411" s="7">
        <f>tbl_Ventes[[#This Row],[CA ligne]] - tbl_Ventes[[#This Row],[Coût matière ligne]]</f>
        <v>0</v>
      </c>
      <c r="K4411" s="7" t="str">
        <f>IFERROR(INDEX(tbl_ProduitsRef[Famille], MATCH(tbl_Ventes[[#This Row],[Cde_Prdt]], tbl_Produits[Cde_Prdt], 0)), "")</f>
        <v/>
      </c>
    </row>
    <row r="4412" spans="1:11" x14ac:dyDescent="0.25">
      <c r="A4412" s="5"/>
      <c r="B4412" s="63" t="str">
        <f>IFERROR(TEXT(tbl_Ventes[[#This Row],[Date]],"mm-aaaa"),"")</f>
        <v>01-1900</v>
      </c>
      <c r="D4412" s="10" t="str">
        <f>IFERROR(
   INDEX(tbl_ProduitsRef[Cde_Prdt],MATCH(tbl_Ventes[[#This Row],[Produit]],tbl_ProduitsRef[Produit],0)),
   ""
)</f>
        <v/>
      </c>
      <c r="E4412" s="7">
        <v>0</v>
      </c>
      <c r="F4412" s="7" t="str">
        <f>IFERROR(
   INDEX(tbl_ProduitsRef[Prix Menu],MATCH(tbl_Ventes[[#This Row],[Produit]],tbl_ProduitsRef[Produit],0)),
   ""
)</f>
        <v/>
      </c>
      <c r="G4412" s="7">
        <f>tbl_Ventes[[#This Row],[Qté Vendue]] * IFERROR(_xlfn.XLOOKUP(tbl_Ventes[[#This Row],[Cde_Prdt]], tbl_Produits[Cde_Prdt], tbl_Produits[Prix Menu]), 0)</f>
        <v>0</v>
      </c>
      <c r="H4412" s="7">
        <f>IFERROR(_xlfn.XLOOKUP(tbl_Ventes[[#This Row],[Cde_Prdt]], tbl_Produits[Cde_Prdt], tbl_Produits[Coût Moyen Portion]), 0)</f>
        <v>0</v>
      </c>
      <c r="I4412" s="7">
        <f>tbl_Ventes[[#This Row],[Qté Vendue]] * tbl_Ventes[[#This Row],[CMP_par_portion]]</f>
        <v>0</v>
      </c>
      <c r="J4412" s="7">
        <f>tbl_Ventes[[#This Row],[CA ligne]] - tbl_Ventes[[#This Row],[Coût matière ligne]]</f>
        <v>0</v>
      </c>
      <c r="K4412" s="7" t="str">
        <f>IFERROR(INDEX(tbl_ProduitsRef[Famille], MATCH(tbl_Ventes[[#This Row],[Cde_Prdt]], tbl_Produits[Cde_Prdt], 0)), "")</f>
        <v/>
      </c>
    </row>
    <row r="4413" spans="1:11" x14ac:dyDescent="0.25">
      <c r="A4413" s="5"/>
      <c r="B4413" s="63" t="str">
        <f>IFERROR(TEXT(tbl_Ventes[[#This Row],[Date]],"mm-aaaa"),"")</f>
        <v>01-1900</v>
      </c>
      <c r="D4413" s="10" t="str">
        <f>IFERROR(
   INDEX(tbl_ProduitsRef[Cde_Prdt],MATCH(tbl_Ventes[[#This Row],[Produit]],tbl_ProduitsRef[Produit],0)),
   ""
)</f>
        <v/>
      </c>
      <c r="E4413" s="7">
        <v>0</v>
      </c>
      <c r="F4413" s="7" t="str">
        <f>IFERROR(
   INDEX(tbl_ProduitsRef[Prix Menu],MATCH(tbl_Ventes[[#This Row],[Produit]],tbl_ProduitsRef[Produit],0)),
   ""
)</f>
        <v/>
      </c>
      <c r="G4413" s="7">
        <f>tbl_Ventes[[#This Row],[Qté Vendue]] * IFERROR(_xlfn.XLOOKUP(tbl_Ventes[[#This Row],[Cde_Prdt]], tbl_Produits[Cde_Prdt], tbl_Produits[Prix Menu]), 0)</f>
        <v>0</v>
      </c>
      <c r="H4413" s="7">
        <f>IFERROR(_xlfn.XLOOKUP(tbl_Ventes[[#This Row],[Cde_Prdt]], tbl_Produits[Cde_Prdt], tbl_Produits[Coût Moyen Portion]), 0)</f>
        <v>0</v>
      </c>
      <c r="I4413" s="7">
        <f>tbl_Ventes[[#This Row],[Qté Vendue]] * tbl_Ventes[[#This Row],[CMP_par_portion]]</f>
        <v>0</v>
      </c>
      <c r="J4413" s="7">
        <f>tbl_Ventes[[#This Row],[CA ligne]] - tbl_Ventes[[#This Row],[Coût matière ligne]]</f>
        <v>0</v>
      </c>
      <c r="K4413" s="7" t="str">
        <f>IFERROR(INDEX(tbl_ProduitsRef[Famille], MATCH(tbl_Ventes[[#This Row],[Cde_Prdt]], tbl_Produits[Cde_Prdt], 0)), "")</f>
        <v/>
      </c>
    </row>
    <row r="4414" spans="1:11" x14ac:dyDescent="0.25">
      <c r="A4414" s="5"/>
      <c r="B4414" s="63" t="str">
        <f>IFERROR(TEXT(tbl_Ventes[[#This Row],[Date]],"mm-aaaa"),"")</f>
        <v>01-1900</v>
      </c>
      <c r="D4414" s="10" t="str">
        <f>IFERROR(
   INDEX(tbl_ProduitsRef[Cde_Prdt],MATCH(tbl_Ventes[[#This Row],[Produit]],tbl_ProduitsRef[Produit],0)),
   ""
)</f>
        <v/>
      </c>
      <c r="E4414" s="7">
        <v>0</v>
      </c>
      <c r="F4414" s="7" t="str">
        <f>IFERROR(
   INDEX(tbl_ProduitsRef[Prix Menu],MATCH(tbl_Ventes[[#This Row],[Produit]],tbl_ProduitsRef[Produit],0)),
   ""
)</f>
        <v/>
      </c>
      <c r="G4414" s="7">
        <f>tbl_Ventes[[#This Row],[Qté Vendue]] * IFERROR(_xlfn.XLOOKUP(tbl_Ventes[[#This Row],[Cde_Prdt]], tbl_Produits[Cde_Prdt], tbl_Produits[Prix Menu]), 0)</f>
        <v>0</v>
      </c>
      <c r="H4414" s="7">
        <f>IFERROR(_xlfn.XLOOKUP(tbl_Ventes[[#This Row],[Cde_Prdt]], tbl_Produits[Cde_Prdt], tbl_Produits[Coût Moyen Portion]), 0)</f>
        <v>0</v>
      </c>
      <c r="I4414" s="7">
        <f>tbl_Ventes[[#This Row],[Qté Vendue]] * tbl_Ventes[[#This Row],[CMP_par_portion]]</f>
        <v>0</v>
      </c>
      <c r="J4414" s="7">
        <f>tbl_Ventes[[#This Row],[CA ligne]] - tbl_Ventes[[#This Row],[Coût matière ligne]]</f>
        <v>0</v>
      </c>
      <c r="K4414" s="7" t="str">
        <f>IFERROR(INDEX(tbl_ProduitsRef[Famille], MATCH(tbl_Ventes[[#This Row],[Cde_Prdt]], tbl_Produits[Cde_Prdt], 0)), "")</f>
        <v/>
      </c>
    </row>
    <row r="4415" spans="1:11" x14ac:dyDescent="0.25">
      <c r="A4415" s="5"/>
      <c r="B4415" s="63" t="str">
        <f>IFERROR(TEXT(tbl_Ventes[[#This Row],[Date]],"mm-aaaa"),"")</f>
        <v>01-1900</v>
      </c>
      <c r="D4415" s="10" t="str">
        <f>IFERROR(
   INDEX(tbl_ProduitsRef[Cde_Prdt],MATCH(tbl_Ventes[[#This Row],[Produit]],tbl_ProduitsRef[Produit],0)),
   ""
)</f>
        <v/>
      </c>
      <c r="E4415" s="7">
        <v>0</v>
      </c>
      <c r="F4415" s="7" t="str">
        <f>IFERROR(
   INDEX(tbl_ProduitsRef[Prix Menu],MATCH(tbl_Ventes[[#This Row],[Produit]],tbl_ProduitsRef[Produit],0)),
   ""
)</f>
        <v/>
      </c>
      <c r="G4415" s="7">
        <f>tbl_Ventes[[#This Row],[Qté Vendue]] * IFERROR(_xlfn.XLOOKUP(tbl_Ventes[[#This Row],[Cde_Prdt]], tbl_Produits[Cde_Prdt], tbl_Produits[Prix Menu]), 0)</f>
        <v>0</v>
      </c>
      <c r="H4415" s="7">
        <f>IFERROR(_xlfn.XLOOKUP(tbl_Ventes[[#This Row],[Cde_Prdt]], tbl_Produits[Cde_Prdt], tbl_Produits[Coût Moyen Portion]), 0)</f>
        <v>0</v>
      </c>
      <c r="I4415" s="7">
        <f>tbl_Ventes[[#This Row],[Qté Vendue]] * tbl_Ventes[[#This Row],[CMP_par_portion]]</f>
        <v>0</v>
      </c>
      <c r="J4415" s="7">
        <f>tbl_Ventes[[#This Row],[CA ligne]] - tbl_Ventes[[#This Row],[Coût matière ligne]]</f>
        <v>0</v>
      </c>
      <c r="K4415" s="7" t="str">
        <f>IFERROR(INDEX(tbl_ProduitsRef[Famille], MATCH(tbl_Ventes[[#This Row],[Cde_Prdt]], tbl_Produits[Cde_Prdt], 0)), "")</f>
        <v/>
      </c>
    </row>
    <row r="4416" spans="1:11" x14ac:dyDescent="0.25">
      <c r="A4416" s="5"/>
      <c r="B4416" s="63" t="str">
        <f>IFERROR(TEXT(tbl_Ventes[[#This Row],[Date]],"mm-aaaa"),"")</f>
        <v>01-1900</v>
      </c>
      <c r="D4416" s="10" t="str">
        <f>IFERROR(
   INDEX(tbl_ProduitsRef[Cde_Prdt],MATCH(tbl_Ventes[[#This Row],[Produit]],tbl_ProduitsRef[Produit],0)),
   ""
)</f>
        <v/>
      </c>
      <c r="E4416" s="7">
        <v>0</v>
      </c>
      <c r="F4416" s="7" t="str">
        <f>IFERROR(
   INDEX(tbl_ProduitsRef[Prix Menu],MATCH(tbl_Ventes[[#This Row],[Produit]],tbl_ProduitsRef[Produit],0)),
   ""
)</f>
        <v/>
      </c>
      <c r="G4416" s="7">
        <f>tbl_Ventes[[#This Row],[Qté Vendue]] * IFERROR(_xlfn.XLOOKUP(tbl_Ventes[[#This Row],[Cde_Prdt]], tbl_Produits[Cde_Prdt], tbl_Produits[Prix Menu]), 0)</f>
        <v>0</v>
      </c>
      <c r="H4416" s="7">
        <f>IFERROR(_xlfn.XLOOKUP(tbl_Ventes[[#This Row],[Cde_Prdt]], tbl_Produits[Cde_Prdt], tbl_Produits[Coût Moyen Portion]), 0)</f>
        <v>0</v>
      </c>
      <c r="I4416" s="7">
        <f>tbl_Ventes[[#This Row],[Qté Vendue]] * tbl_Ventes[[#This Row],[CMP_par_portion]]</f>
        <v>0</v>
      </c>
      <c r="J4416" s="7">
        <f>tbl_Ventes[[#This Row],[CA ligne]] - tbl_Ventes[[#This Row],[Coût matière ligne]]</f>
        <v>0</v>
      </c>
      <c r="K4416" s="7" t="str">
        <f>IFERROR(INDEX(tbl_ProduitsRef[Famille], MATCH(tbl_Ventes[[#This Row],[Cde_Prdt]], tbl_Produits[Cde_Prdt], 0)), "")</f>
        <v/>
      </c>
    </row>
    <row r="4417" spans="1:11" x14ac:dyDescent="0.25">
      <c r="A4417" s="5"/>
      <c r="B4417" s="63" t="str">
        <f>IFERROR(TEXT(tbl_Ventes[[#This Row],[Date]],"mm-aaaa"),"")</f>
        <v>01-1900</v>
      </c>
      <c r="D4417" s="10" t="str">
        <f>IFERROR(
   INDEX(tbl_ProduitsRef[Cde_Prdt],MATCH(tbl_Ventes[[#This Row],[Produit]],tbl_ProduitsRef[Produit],0)),
   ""
)</f>
        <v/>
      </c>
      <c r="E4417" s="7">
        <v>0</v>
      </c>
      <c r="F4417" s="7" t="str">
        <f>IFERROR(
   INDEX(tbl_ProduitsRef[Prix Menu],MATCH(tbl_Ventes[[#This Row],[Produit]],tbl_ProduitsRef[Produit],0)),
   ""
)</f>
        <v/>
      </c>
      <c r="G4417" s="7">
        <f>tbl_Ventes[[#This Row],[Qté Vendue]] * IFERROR(_xlfn.XLOOKUP(tbl_Ventes[[#This Row],[Cde_Prdt]], tbl_Produits[Cde_Prdt], tbl_Produits[Prix Menu]), 0)</f>
        <v>0</v>
      </c>
      <c r="H4417" s="7">
        <f>IFERROR(_xlfn.XLOOKUP(tbl_Ventes[[#This Row],[Cde_Prdt]], tbl_Produits[Cde_Prdt], tbl_Produits[Coût Moyen Portion]), 0)</f>
        <v>0</v>
      </c>
      <c r="I4417" s="7">
        <f>tbl_Ventes[[#This Row],[Qté Vendue]] * tbl_Ventes[[#This Row],[CMP_par_portion]]</f>
        <v>0</v>
      </c>
      <c r="J4417" s="7">
        <f>tbl_Ventes[[#This Row],[CA ligne]] - tbl_Ventes[[#This Row],[Coût matière ligne]]</f>
        <v>0</v>
      </c>
      <c r="K4417" s="7" t="str">
        <f>IFERROR(INDEX(tbl_ProduitsRef[Famille], MATCH(tbl_Ventes[[#This Row],[Cde_Prdt]], tbl_Produits[Cde_Prdt], 0)), "")</f>
        <v/>
      </c>
    </row>
    <row r="4418" spans="1:11" x14ac:dyDescent="0.25">
      <c r="A4418" s="5"/>
      <c r="B4418" s="63" t="str">
        <f>IFERROR(TEXT(tbl_Ventes[[#This Row],[Date]],"mm-aaaa"),"")</f>
        <v>01-1900</v>
      </c>
      <c r="D4418" s="10" t="str">
        <f>IFERROR(
   INDEX(tbl_ProduitsRef[Cde_Prdt],MATCH(tbl_Ventes[[#This Row],[Produit]],tbl_ProduitsRef[Produit],0)),
   ""
)</f>
        <v/>
      </c>
      <c r="E4418" s="7">
        <v>0</v>
      </c>
      <c r="F4418" s="7" t="str">
        <f>IFERROR(
   INDEX(tbl_ProduitsRef[Prix Menu],MATCH(tbl_Ventes[[#This Row],[Produit]],tbl_ProduitsRef[Produit],0)),
   ""
)</f>
        <v/>
      </c>
      <c r="G4418" s="7">
        <f>tbl_Ventes[[#This Row],[Qté Vendue]] * IFERROR(_xlfn.XLOOKUP(tbl_Ventes[[#This Row],[Cde_Prdt]], tbl_Produits[Cde_Prdt], tbl_Produits[Prix Menu]), 0)</f>
        <v>0</v>
      </c>
      <c r="H4418" s="7">
        <f>IFERROR(_xlfn.XLOOKUP(tbl_Ventes[[#This Row],[Cde_Prdt]], tbl_Produits[Cde_Prdt], tbl_Produits[Coût Moyen Portion]), 0)</f>
        <v>0</v>
      </c>
      <c r="I4418" s="7">
        <f>tbl_Ventes[[#This Row],[Qté Vendue]] * tbl_Ventes[[#This Row],[CMP_par_portion]]</f>
        <v>0</v>
      </c>
      <c r="J4418" s="7">
        <f>tbl_Ventes[[#This Row],[CA ligne]] - tbl_Ventes[[#This Row],[Coût matière ligne]]</f>
        <v>0</v>
      </c>
      <c r="K4418" s="7" t="str">
        <f>IFERROR(INDEX(tbl_ProduitsRef[Famille], MATCH(tbl_Ventes[[#This Row],[Cde_Prdt]], tbl_Produits[Cde_Prdt], 0)), "")</f>
        <v/>
      </c>
    </row>
    <row r="4419" spans="1:11" x14ac:dyDescent="0.25">
      <c r="A4419" s="5"/>
      <c r="B4419" s="63" t="str">
        <f>IFERROR(TEXT(tbl_Ventes[[#This Row],[Date]],"mm-aaaa"),"")</f>
        <v>01-1900</v>
      </c>
      <c r="D4419" s="10" t="str">
        <f>IFERROR(
   INDEX(tbl_ProduitsRef[Cde_Prdt],MATCH(tbl_Ventes[[#This Row],[Produit]],tbl_ProduitsRef[Produit],0)),
   ""
)</f>
        <v/>
      </c>
      <c r="E4419" s="7">
        <v>0</v>
      </c>
      <c r="F4419" s="7" t="str">
        <f>IFERROR(
   INDEX(tbl_ProduitsRef[Prix Menu],MATCH(tbl_Ventes[[#This Row],[Produit]],tbl_ProduitsRef[Produit],0)),
   ""
)</f>
        <v/>
      </c>
      <c r="G4419" s="7">
        <f>tbl_Ventes[[#This Row],[Qté Vendue]] * IFERROR(_xlfn.XLOOKUP(tbl_Ventes[[#This Row],[Cde_Prdt]], tbl_Produits[Cde_Prdt], tbl_Produits[Prix Menu]), 0)</f>
        <v>0</v>
      </c>
      <c r="H4419" s="7">
        <f>IFERROR(_xlfn.XLOOKUP(tbl_Ventes[[#This Row],[Cde_Prdt]], tbl_Produits[Cde_Prdt], tbl_Produits[Coût Moyen Portion]), 0)</f>
        <v>0</v>
      </c>
      <c r="I4419" s="7">
        <f>tbl_Ventes[[#This Row],[Qté Vendue]] * tbl_Ventes[[#This Row],[CMP_par_portion]]</f>
        <v>0</v>
      </c>
      <c r="J4419" s="7">
        <f>tbl_Ventes[[#This Row],[CA ligne]] - tbl_Ventes[[#This Row],[Coût matière ligne]]</f>
        <v>0</v>
      </c>
      <c r="K4419" s="7" t="str">
        <f>IFERROR(INDEX(tbl_ProduitsRef[Famille], MATCH(tbl_Ventes[[#This Row],[Cde_Prdt]], tbl_Produits[Cde_Prdt], 0)), "")</f>
        <v/>
      </c>
    </row>
    <row r="4420" spans="1:11" x14ac:dyDescent="0.25">
      <c r="A4420" s="5"/>
      <c r="B4420" s="63" t="str">
        <f>IFERROR(TEXT(tbl_Ventes[[#This Row],[Date]],"mm-aaaa"),"")</f>
        <v>01-1900</v>
      </c>
      <c r="D4420" s="10" t="str">
        <f>IFERROR(
   INDEX(tbl_ProduitsRef[Cde_Prdt],MATCH(tbl_Ventes[[#This Row],[Produit]],tbl_ProduitsRef[Produit],0)),
   ""
)</f>
        <v/>
      </c>
      <c r="E4420" s="7">
        <v>0</v>
      </c>
      <c r="F4420" s="7" t="str">
        <f>IFERROR(
   INDEX(tbl_ProduitsRef[Prix Menu],MATCH(tbl_Ventes[[#This Row],[Produit]],tbl_ProduitsRef[Produit],0)),
   ""
)</f>
        <v/>
      </c>
      <c r="G4420" s="7">
        <f>tbl_Ventes[[#This Row],[Qté Vendue]] * IFERROR(_xlfn.XLOOKUP(tbl_Ventes[[#This Row],[Cde_Prdt]], tbl_Produits[Cde_Prdt], tbl_Produits[Prix Menu]), 0)</f>
        <v>0</v>
      </c>
      <c r="H4420" s="7">
        <f>IFERROR(_xlfn.XLOOKUP(tbl_Ventes[[#This Row],[Cde_Prdt]], tbl_Produits[Cde_Prdt], tbl_Produits[Coût Moyen Portion]), 0)</f>
        <v>0</v>
      </c>
      <c r="I4420" s="7">
        <f>tbl_Ventes[[#This Row],[Qté Vendue]] * tbl_Ventes[[#This Row],[CMP_par_portion]]</f>
        <v>0</v>
      </c>
      <c r="J4420" s="7">
        <f>tbl_Ventes[[#This Row],[CA ligne]] - tbl_Ventes[[#This Row],[Coût matière ligne]]</f>
        <v>0</v>
      </c>
      <c r="K4420" s="7" t="str">
        <f>IFERROR(INDEX(tbl_ProduitsRef[Famille], MATCH(tbl_Ventes[[#This Row],[Cde_Prdt]], tbl_Produits[Cde_Prdt], 0)), "")</f>
        <v/>
      </c>
    </row>
    <row r="4421" spans="1:11" x14ac:dyDescent="0.25">
      <c r="A4421" s="5"/>
      <c r="B4421" s="63" t="str">
        <f>IFERROR(TEXT(tbl_Ventes[[#This Row],[Date]],"mm-aaaa"),"")</f>
        <v>01-1900</v>
      </c>
      <c r="D4421" s="10" t="str">
        <f>IFERROR(
   INDEX(tbl_ProduitsRef[Cde_Prdt],MATCH(tbl_Ventes[[#This Row],[Produit]],tbl_ProduitsRef[Produit],0)),
   ""
)</f>
        <v/>
      </c>
      <c r="E4421" s="7">
        <v>0</v>
      </c>
      <c r="F4421" s="7" t="str">
        <f>IFERROR(
   INDEX(tbl_ProduitsRef[Prix Menu],MATCH(tbl_Ventes[[#This Row],[Produit]],tbl_ProduitsRef[Produit],0)),
   ""
)</f>
        <v/>
      </c>
      <c r="G4421" s="7">
        <f>tbl_Ventes[[#This Row],[Qté Vendue]] * IFERROR(_xlfn.XLOOKUP(tbl_Ventes[[#This Row],[Cde_Prdt]], tbl_Produits[Cde_Prdt], tbl_Produits[Prix Menu]), 0)</f>
        <v>0</v>
      </c>
      <c r="H4421" s="7">
        <f>IFERROR(_xlfn.XLOOKUP(tbl_Ventes[[#This Row],[Cde_Prdt]], tbl_Produits[Cde_Prdt], tbl_Produits[Coût Moyen Portion]), 0)</f>
        <v>0</v>
      </c>
      <c r="I4421" s="7">
        <f>tbl_Ventes[[#This Row],[Qté Vendue]] * tbl_Ventes[[#This Row],[CMP_par_portion]]</f>
        <v>0</v>
      </c>
      <c r="J4421" s="7">
        <f>tbl_Ventes[[#This Row],[CA ligne]] - tbl_Ventes[[#This Row],[Coût matière ligne]]</f>
        <v>0</v>
      </c>
      <c r="K4421" s="7" t="str">
        <f>IFERROR(INDEX(tbl_ProduitsRef[Famille], MATCH(tbl_Ventes[[#This Row],[Cde_Prdt]], tbl_Produits[Cde_Prdt], 0)), "")</f>
        <v/>
      </c>
    </row>
    <row r="4422" spans="1:11" x14ac:dyDescent="0.25">
      <c r="A4422" s="5"/>
      <c r="B4422" s="63" t="str">
        <f>IFERROR(TEXT(tbl_Ventes[[#This Row],[Date]],"mm-aaaa"),"")</f>
        <v>01-1900</v>
      </c>
      <c r="D4422" s="10" t="str">
        <f>IFERROR(
   INDEX(tbl_ProduitsRef[Cde_Prdt],MATCH(tbl_Ventes[[#This Row],[Produit]],tbl_ProduitsRef[Produit],0)),
   ""
)</f>
        <v/>
      </c>
      <c r="E4422" s="7">
        <v>0</v>
      </c>
      <c r="F4422" s="7" t="str">
        <f>IFERROR(
   INDEX(tbl_ProduitsRef[Prix Menu],MATCH(tbl_Ventes[[#This Row],[Produit]],tbl_ProduitsRef[Produit],0)),
   ""
)</f>
        <v/>
      </c>
      <c r="G4422" s="7">
        <f>tbl_Ventes[[#This Row],[Qté Vendue]] * IFERROR(_xlfn.XLOOKUP(tbl_Ventes[[#This Row],[Cde_Prdt]], tbl_Produits[Cde_Prdt], tbl_Produits[Prix Menu]), 0)</f>
        <v>0</v>
      </c>
      <c r="H4422" s="7">
        <f>IFERROR(_xlfn.XLOOKUP(tbl_Ventes[[#This Row],[Cde_Prdt]], tbl_Produits[Cde_Prdt], tbl_Produits[Coût Moyen Portion]), 0)</f>
        <v>0</v>
      </c>
      <c r="I4422" s="7">
        <f>tbl_Ventes[[#This Row],[Qté Vendue]] * tbl_Ventes[[#This Row],[CMP_par_portion]]</f>
        <v>0</v>
      </c>
      <c r="J4422" s="7">
        <f>tbl_Ventes[[#This Row],[CA ligne]] - tbl_Ventes[[#This Row],[Coût matière ligne]]</f>
        <v>0</v>
      </c>
      <c r="K4422" s="7" t="str">
        <f>IFERROR(INDEX(tbl_ProduitsRef[Famille], MATCH(tbl_Ventes[[#This Row],[Cde_Prdt]], tbl_Produits[Cde_Prdt], 0)), "")</f>
        <v/>
      </c>
    </row>
    <row r="4423" spans="1:11" x14ac:dyDescent="0.25">
      <c r="A4423" s="5"/>
      <c r="B4423" s="63" t="str">
        <f>IFERROR(TEXT(tbl_Ventes[[#This Row],[Date]],"mm-aaaa"),"")</f>
        <v>01-1900</v>
      </c>
      <c r="D4423" s="10" t="str">
        <f>IFERROR(
   INDEX(tbl_ProduitsRef[Cde_Prdt],MATCH(tbl_Ventes[[#This Row],[Produit]],tbl_ProduitsRef[Produit],0)),
   ""
)</f>
        <v/>
      </c>
      <c r="E4423" s="7">
        <v>0</v>
      </c>
      <c r="F4423" s="7" t="str">
        <f>IFERROR(
   INDEX(tbl_ProduitsRef[Prix Menu],MATCH(tbl_Ventes[[#This Row],[Produit]],tbl_ProduitsRef[Produit],0)),
   ""
)</f>
        <v/>
      </c>
      <c r="G4423" s="7">
        <f>tbl_Ventes[[#This Row],[Qté Vendue]] * IFERROR(_xlfn.XLOOKUP(tbl_Ventes[[#This Row],[Cde_Prdt]], tbl_Produits[Cde_Prdt], tbl_Produits[Prix Menu]), 0)</f>
        <v>0</v>
      </c>
      <c r="H4423" s="7">
        <f>IFERROR(_xlfn.XLOOKUP(tbl_Ventes[[#This Row],[Cde_Prdt]], tbl_Produits[Cde_Prdt], tbl_Produits[Coût Moyen Portion]), 0)</f>
        <v>0</v>
      </c>
      <c r="I4423" s="7">
        <f>tbl_Ventes[[#This Row],[Qté Vendue]] * tbl_Ventes[[#This Row],[CMP_par_portion]]</f>
        <v>0</v>
      </c>
      <c r="J4423" s="7">
        <f>tbl_Ventes[[#This Row],[CA ligne]] - tbl_Ventes[[#This Row],[Coût matière ligne]]</f>
        <v>0</v>
      </c>
      <c r="K4423" s="7" t="str">
        <f>IFERROR(INDEX(tbl_ProduitsRef[Famille], MATCH(tbl_Ventes[[#This Row],[Cde_Prdt]], tbl_Produits[Cde_Prdt], 0)), "")</f>
        <v/>
      </c>
    </row>
    <row r="4424" spans="1:11" x14ac:dyDescent="0.25">
      <c r="A4424" s="5"/>
      <c r="B4424" s="63" t="str">
        <f>IFERROR(TEXT(tbl_Ventes[[#This Row],[Date]],"mm-aaaa"),"")</f>
        <v>01-1900</v>
      </c>
      <c r="D4424" s="10" t="str">
        <f>IFERROR(
   INDEX(tbl_ProduitsRef[Cde_Prdt],MATCH(tbl_Ventes[[#This Row],[Produit]],tbl_ProduitsRef[Produit],0)),
   ""
)</f>
        <v/>
      </c>
      <c r="E4424" s="7">
        <v>0</v>
      </c>
      <c r="F4424" s="7" t="str">
        <f>IFERROR(
   INDEX(tbl_ProduitsRef[Prix Menu],MATCH(tbl_Ventes[[#This Row],[Produit]],tbl_ProduitsRef[Produit],0)),
   ""
)</f>
        <v/>
      </c>
      <c r="G4424" s="7">
        <f>tbl_Ventes[[#This Row],[Qté Vendue]] * IFERROR(_xlfn.XLOOKUP(tbl_Ventes[[#This Row],[Cde_Prdt]], tbl_Produits[Cde_Prdt], tbl_Produits[Prix Menu]), 0)</f>
        <v>0</v>
      </c>
      <c r="H4424" s="7">
        <f>IFERROR(_xlfn.XLOOKUP(tbl_Ventes[[#This Row],[Cde_Prdt]], tbl_Produits[Cde_Prdt], tbl_Produits[Coût Moyen Portion]), 0)</f>
        <v>0</v>
      </c>
      <c r="I4424" s="7">
        <f>tbl_Ventes[[#This Row],[Qté Vendue]] * tbl_Ventes[[#This Row],[CMP_par_portion]]</f>
        <v>0</v>
      </c>
      <c r="J4424" s="7">
        <f>tbl_Ventes[[#This Row],[CA ligne]] - tbl_Ventes[[#This Row],[Coût matière ligne]]</f>
        <v>0</v>
      </c>
      <c r="K4424" s="7" t="str">
        <f>IFERROR(INDEX(tbl_ProduitsRef[Famille], MATCH(tbl_Ventes[[#This Row],[Cde_Prdt]], tbl_Produits[Cde_Prdt], 0)), "")</f>
        <v/>
      </c>
    </row>
    <row r="4425" spans="1:11" x14ac:dyDescent="0.25">
      <c r="A4425" s="5"/>
      <c r="B4425" s="63" t="str">
        <f>IFERROR(TEXT(tbl_Ventes[[#This Row],[Date]],"mm-aaaa"),"")</f>
        <v>01-1900</v>
      </c>
      <c r="D4425" s="10" t="str">
        <f>IFERROR(
   INDEX(tbl_ProduitsRef[Cde_Prdt],MATCH(tbl_Ventes[[#This Row],[Produit]],tbl_ProduitsRef[Produit],0)),
   ""
)</f>
        <v/>
      </c>
      <c r="E4425" s="7">
        <v>0</v>
      </c>
      <c r="F4425" s="7" t="str">
        <f>IFERROR(
   INDEX(tbl_ProduitsRef[Prix Menu],MATCH(tbl_Ventes[[#This Row],[Produit]],tbl_ProduitsRef[Produit],0)),
   ""
)</f>
        <v/>
      </c>
      <c r="G4425" s="7">
        <f>tbl_Ventes[[#This Row],[Qté Vendue]] * IFERROR(_xlfn.XLOOKUP(tbl_Ventes[[#This Row],[Cde_Prdt]], tbl_Produits[Cde_Prdt], tbl_Produits[Prix Menu]), 0)</f>
        <v>0</v>
      </c>
      <c r="H4425" s="7">
        <f>IFERROR(_xlfn.XLOOKUP(tbl_Ventes[[#This Row],[Cde_Prdt]], tbl_Produits[Cde_Prdt], tbl_Produits[Coût Moyen Portion]), 0)</f>
        <v>0</v>
      </c>
      <c r="I4425" s="7">
        <f>tbl_Ventes[[#This Row],[Qté Vendue]] * tbl_Ventes[[#This Row],[CMP_par_portion]]</f>
        <v>0</v>
      </c>
      <c r="J4425" s="7">
        <f>tbl_Ventes[[#This Row],[CA ligne]] - tbl_Ventes[[#This Row],[Coût matière ligne]]</f>
        <v>0</v>
      </c>
      <c r="K4425" s="7" t="str">
        <f>IFERROR(INDEX(tbl_ProduitsRef[Famille], MATCH(tbl_Ventes[[#This Row],[Cde_Prdt]], tbl_Produits[Cde_Prdt], 0)), "")</f>
        <v/>
      </c>
    </row>
    <row r="4426" spans="1:11" x14ac:dyDescent="0.25">
      <c r="A4426" s="5"/>
      <c r="B4426" s="63" t="str">
        <f>IFERROR(TEXT(tbl_Ventes[[#This Row],[Date]],"mm-aaaa"),"")</f>
        <v>01-1900</v>
      </c>
      <c r="D4426" s="10" t="str">
        <f>IFERROR(
   INDEX(tbl_ProduitsRef[Cde_Prdt],MATCH(tbl_Ventes[[#This Row],[Produit]],tbl_ProduitsRef[Produit],0)),
   ""
)</f>
        <v/>
      </c>
      <c r="E4426" s="7">
        <v>0</v>
      </c>
      <c r="F4426" s="7" t="str">
        <f>IFERROR(
   INDEX(tbl_ProduitsRef[Prix Menu],MATCH(tbl_Ventes[[#This Row],[Produit]],tbl_ProduitsRef[Produit],0)),
   ""
)</f>
        <v/>
      </c>
      <c r="G4426" s="7">
        <f>tbl_Ventes[[#This Row],[Qté Vendue]] * IFERROR(_xlfn.XLOOKUP(tbl_Ventes[[#This Row],[Cde_Prdt]], tbl_Produits[Cde_Prdt], tbl_Produits[Prix Menu]), 0)</f>
        <v>0</v>
      </c>
      <c r="H4426" s="7">
        <f>IFERROR(_xlfn.XLOOKUP(tbl_Ventes[[#This Row],[Cde_Prdt]], tbl_Produits[Cde_Prdt], tbl_Produits[Coût Moyen Portion]), 0)</f>
        <v>0</v>
      </c>
      <c r="I4426" s="7">
        <f>tbl_Ventes[[#This Row],[Qté Vendue]] * tbl_Ventes[[#This Row],[CMP_par_portion]]</f>
        <v>0</v>
      </c>
      <c r="J4426" s="7">
        <f>tbl_Ventes[[#This Row],[CA ligne]] - tbl_Ventes[[#This Row],[Coût matière ligne]]</f>
        <v>0</v>
      </c>
      <c r="K4426" s="7" t="str">
        <f>IFERROR(INDEX(tbl_ProduitsRef[Famille], MATCH(tbl_Ventes[[#This Row],[Cde_Prdt]], tbl_Produits[Cde_Prdt], 0)), "")</f>
        <v/>
      </c>
    </row>
    <row r="4427" spans="1:11" x14ac:dyDescent="0.25">
      <c r="A4427" s="5"/>
      <c r="B4427" s="63" t="str">
        <f>IFERROR(TEXT(tbl_Ventes[[#This Row],[Date]],"mm-aaaa"),"")</f>
        <v>01-1900</v>
      </c>
      <c r="D4427" s="10" t="str">
        <f>IFERROR(
   INDEX(tbl_ProduitsRef[Cde_Prdt],MATCH(tbl_Ventes[[#This Row],[Produit]],tbl_ProduitsRef[Produit],0)),
   ""
)</f>
        <v/>
      </c>
      <c r="E4427" s="7">
        <v>0</v>
      </c>
      <c r="F4427" s="7" t="str">
        <f>IFERROR(
   INDEX(tbl_ProduitsRef[Prix Menu],MATCH(tbl_Ventes[[#This Row],[Produit]],tbl_ProduitsRef[Produit],0)),
   ""
)</f>
        <v/>
      </c>
      <c r="G4427" s="7">
        <f>tbl_Ventes[[#This Row],[Qté Vendue]] * IFERROR(_xlfn.XLOOKUP(tbl_Ventes[[#This Row],[Cde_Prdt]], tbl_Produits[Cde_Prdt], tbl_Produits[Prix Menu]), 0)</f>
        <v>0</v>
      </c>
      <c r="H4427" s="7">
        <f>IFERROR(_xlfn.XLOOKUP(tbl_Ventes[[#This Row],[Cde_Prdt]], tbl_Produits[Cde_Prdt], tbl_Produits[Coût Moyen Portion]), 0)</f>
        <v>0</v>
      </c>
      <c r="I4427" s="7">
        <f>tbl_Ventes[[#This Row],[Qté Vendue]] * tbl_Ventes[[#This Row],[CMP_par_portion]]</f>
        <v>0</v>
      </c>
      <c r="J4427" s="7">
        <f>tbl_Ventes[[#This Row],[CA ligne]] - tbl_Ventes[[#This Row],[Coût matière ligne]]</f>
        <v>0</v>
      </c>
      <c r="K4427" s="7" t="str">
        <f>IFERROR(INDEX(tbl_ProduitsRef[Famille], MATCH(tbl_Ventes[[#This Row],[Cde_Prdt]], tbl_Produits[Cde_Prdt], 0)), "")</f>
        <v/>
      </c>
    </row>
    <row r="4428" spans="1:11" x14ac:dyDescent="0.25">
      <c r="A4428" s="5"/>
      <c r="B4428" s="63" t="str">
        <f>IFERROR(TEXT(tbl_Ventes[[#This Row],[Date]],"mm-aaaa"),"")</f>
        <v>01-1900</v>
      </c>
      <c r="D4428" s="10" t="str">
        <f>IFERROR(
   INDEX(tbl_ProduitsRef[Cde_Prdt],MATCH(tbl_Ventes[[#This Row],[Produit]],tbl_ProduitsRef[Produit],0)),
   ""
)</f>
        <v/>
      </c>
      <c r="E4428" s="7">
        <v>0</v>
      </c>
      <c r="F4428" s="7" t="str">
        <f>IFERROR(
   INDEX(tbl_ProduitsRef[Prix Menu],MATCH(tbl_Ventes[[#This Row],[Produit]],tbl_ProduitsRef[Produit],0)),
   ""
)</f>
        <v/>
      </c>
      <c r="G4428" s="7">
        <f>tbl_Ventes[[#This Row],[Qté Vendue]] * IFERROR(_xlfn.XLOOKUP(tbl_Ventes[[#This Row],[Cde_Prdt]], tbl_Produits[Cde_Prdt], tbl_Produits[Prix Menu]), 0)</f>
        <v>0</v>
      </c>
      <c r="H4428" s="7">
        <f>IFERROR(_xlfn.XLOOKUP(tbl_Ventes[[#This Row],[Cde_Prdt]], tbl_Produits[Cde_Prdt], tbl_Produits[Coût Moyen Portion]), 0)</f>
        <v>0</v>
      </c>
      <c r="I4428" s="7">
        <f>tbl_Ventes[[#This Row],[Qté Vendue]] * tbl_Ventes[[#This Row],[CMP_par_portion]]</f>
        <v>0</v>
      </c>
      <c r="J4428" s="7">
        <f>tbl_Ventes[[#This Row],[CA ligne]] - tbl_Ventes[[#This Row],[Coût matière ligne]]</f>
        <v>0</v>
      </c>
      <c r="K4428" s="7" t="str">
        <f>IFERROR(INDEX(tbl_ProduitsRef[Famille], MATCH(tbl_Ventes[[#This Row],[Cde_Prdt]], tbl_Produits[Cde_Prdt], 0)), "")</f>
        <v/>
      </c>
    </row>
    <row r="4429" spans="1:11" x14ac:dyDescent="0.25">
      <c r="A4429" s="5"/>
      <c r="B4429" s="63" t="str">
        <f>IFERROR(TEXT(tbl_Ventes[[#This Row],[Date]],"mm-aaaa"),"")</f>
        <v>01-1900</v>
      </c>
      <c r="D4429" s="10" t="str">
        <f>IFERROR(
   INDEX(tbl_ProduitsRef[Cde_Prdt],MATCH(tbl_Ventes[[#This Row],[Produit]],tbl_ProduitsRef[Produit],0)),
   ""
)</f>
        <v/>
      </c>
      <c r="E4429" s="7">
        <v>0</v>
      </c>
      <c r="F4429" s="7" t="str">
        <f>IFERROR(
   INDEX(tbl_ProduitsRef[Prix Menu],MATCH(tbl_Ventes[[#This Row],[Produit]],tbl_ProduitsRef[Produit],0)),
   ""
)</f>
        <v/>
      </c>
      <c r="G4429" s="7">
        <f>tbl_Ventes[[#This Row],[Qté Vendue]] * IFERROR(_xlfn.XLOOKUP(tbl_Ventes[[#This Row],[Cde_Prdt]], tbl_Produits[Cde_Prdt], tbl_Produits[Prix Menu]), 0)</f>
        <v>0</v>
      </c>
      <c r="H4429" s="7">
        <f>IFERROR(_xlfn.XLOOKUP(tbl_Ventes[[#This Row],[Cde_Prdt]], tbl_Produits[Cde_Prdt], tbl_Produits[Coût Moyen Portion]), 0)</f>
        <v>0</v>
      </c>
      <c r="I4429" s="7">
        <f>tbl_Ventes[[#This Row],[Qté Vendue]] * tbl_Ventes[[#This Row],[CMP_par_portion]]</f>
        <v>0</v>
      </c>
      <c r="J4429" s="7">
        <f>tbl_Ventes[[#This Row],[CA ligne]] - tbl_Ventes[[#This Row],[Coût matière ligne]]</f>
        <v>0</v>
      </c>
      <c r="K4429" s="7" t="str">
        <f>IFERROR(INDEX(tbl_ProduitsRef[Famille], MATCH(tbl_Ventes[[#This Row],[Cde_Prdt]], tbl_Produits[Cde_Prdt], 0)), "")</f>
        <v/>
      </c>
    </row>
    <row r="4430" spans="1:11" x14ac:dyDescent="0.25">
      <c r="A4430" s="5"/>
      <c r="B4430" s="63" t="str">
        <f>IFERROR(TEXT(tbl_Ventes[[#This Row],[Date]],"mm-aaaa"),"")</f>
        <v>01-1900</v>
      </c>
      <c r="D4430" s="10" t="str">
        <f>IFERROR(
   INDEX(tbl_ProduitsRef[Cde_Prdt],MATCH(tbl_Ventes[[#This Row],[Produit]],tbl_ProduitsRef[Produit],0)),
   ""
)</f>
        <v/>
      </c>
      <c r="E4430" s="7">
        <v>0</v>
      </c>
      <c r="F4430" s="7" t="str">
        <f>IFERROR(
   INDEX(tbl_ProduitsRef[Prix Menu],MATCH(tbl_Ventes[[#This Row],[Produit]],tbl_ProduitsRef[Produit],0)),
   ""
)</f>
        <v/>
      </c>
      <c r="G4430" s="7">
        <f>tbl_Ventes[[#This Row],[Qté Vendue]] * IFERROR(_xlfn.XLOOKUP(tbl_Ventes[[#This Row],[Cde_Prdt]], tbl_Produits[Cde_Prdt], tbl_Produits[Prix Menu]), 0)</f>
        <v>0</v>
      </c>
      <c r="H4430" s="7">
        <f>IFERROR(_xlfn.XLOOKUP(tbl_Ventes[[#This Row],[Cde_Prdt]], tbl_Produits[Cde_Prdt], tbl_Produits[Coût Moyen Portion]), 0)</f>
        <v>0</v>
      </c>
      <c r="I4430" s="7">
        <f>tbl_Ventes[[#This Row],[Qté Vendue]] * tbl_Ventes[[#This Row],[CMP_par_portion]]</f>
        <v>0</v>
      </c>
      <c r="J4430" s="7">
        <f>tbl_Ventes[[#This Row],[CA ligne]] - tbl_Ventes[[#This Row],[Coût matière ligne]]</f>
        <v>0</v>
      </c>
      <c r="K4430" s="7" t="str">
        <f>IFERROR(INDEX(tbl_ProduitsRef[Famille], MATCH(tbl_Ventes[[#This Row],[Cde_Prdt]], tbl_Produits[Cde_Prdt], 0)), "")</f>
        <v/>
      </c>
    </row>
    <row r="4431" spans="1:11" x14ac:dyDescent="0.25">
      <c r="A4431" s="5"/>
      <c r="B4431" s="63" t="str">
        <f>IFERROR(TEXT(tbl_Ventes[[#This Row],[Date]],"mm-aaaa"),"")</f>
        <v>01-1900</v>
      </c>
      <c r="D4431" s="10" t="str">
        <f>IFERROR(
   INDEX(tbl_ProduitsRef[Cde_Prdt],MATCH(tbl_Ventes[[#This Row],[Produit]],tbl_ProduitsRef[Produit],0)),
   ""
)</f>
        <v/>
      </c>
      <c r="E4431" s="7">
        <v>0</v>
      </c>
      <c r="F4431" s="7" t="str">
        <f>IFERROR(
   INDEX(tbl_ProduitsRef[Prix Menu],MATCH(tbl_Ventes[[#This Row],[Produit]],tbl_ProduitsRef[Produit],0)),
   ""
)</f>
        <v/>
      </c>
      <c r="G4431" s="7">
        <f>tbl_Ventes[[#This Row],[Qté Vendue]] * IFERROR(_xlfn.XLOOKUP(tbl_Ventes[[#This Row],[Cde_Prdt]], tbl_Produits[Cde_Prdt], tbl_Produits[Prix Menu]), 0)</f>
        <v>0</v>
      </c>
      <c r="H4431" s="7">
        <f>IFERROR(_xlfn.XLOOKUP(tbl_Ventes[[#This Row],[Cde_Prdt]], tbl_Produits[Cde_Prdt], tbl_Produits[Coût Moyen Portion]), 0)</f>
        <v>0</v>
      </c>
      <c r="I4431" s="7">
        <f>tbl_Ventes[[#This Row],[Qté Vendue]] * tbl_Ventes[[#This Row],[CMP_par_portion]]</f>
        <v>0</v>
      </c>
      <c r="J4431" s="7">
        <f>tbl_Ventes[[#This Row],[CA ligne]] - tbl_Ventes[[#This Row],[Coût matière ligne]]</f>
        <v>0</v>
      </c>
      <c r="K4431" s="7" t="str">
        <f>IFERROR(INDEX(tbl_ProduitsRef[Famille], MATCH(tbl_Ventes[[#This Row],[Cde_Prdt]], tbl_Produits[Cde_Prdt], 0)), "")</f>
        <v/>
      </c>
    </row>
    <row r="4432" spans="1:11" x14ac:dyDescent="0.25">
      <c r="A4432" s="5"/>
      <c r="B4432" s="63" t="str">
        <f>IFERROR(TEXT(tbl_Ventes[[#This Row],[Date]],"mm-aaaa"),"")</f>
        <v>01-1900</v>
      </c>
      <c r="D4432" s="10" t="str">
        <f>IFERROR(
   INDEX(tbl_ProduitsRef[Cde_Prdt],MATCH(tbl_Ventes[[#This Row],[Produit]],tbl_ProduitsRef[Produit],0)),
   ""
)</f>
        <v/>
      </c>
      <c r="E4432" s="7">
        <v>0</v>
      </c>
      <c r="F4432" s="7" t="str">
        <f>IFERROR(
   INDEX(tbl_ProduitsRef[Prix Menu],MATCH(tbl_Ventes[[#This Row],[Produit]],tbl_ProduitsRef[Produit],0)),
   ""
)</f>
        <v/>
      </c>
      <c r="G4432" s="7">
        <f>tbl_Ventes[[#This Row],[Qté Vendue]] * IFERROR(_xlfn.XLOOKUP(tbl_Ventes[[#This Row],[Cde_Prdt]], tbl_Produits[Cde_Prdt], tbl_Produits[Prix Menu]), 0)</f>
        <v>0</v>
      </c>
      <c r="H4432" s="7">
        <f>IFERROR(_xlfn.XLOOKUP(tbl_Ventes[[#This Row],[Cde_Prdt]], tbl_Produits[Cde_Prdt], tbl_Produits[Coût Moyen Portion]), 0)</f>
        <v>0</v>
      </c>
      <c r="I4432" s="7">
        <f>tbl_Ventes[[#This Row],[Qté Vendue]] * tbl_Ventes[[#This Row],[CMP_par_portion]]</f>
        <v>0</v>
      </c>
      <c r="J4432" s="7">
        <f>tbl_Ventes[[#This Row],[CA ligne]] - tbl_Ventes[[#This Row],[Coût matière ligne]]</f>
        <v>0</v>
      </c>
      <c r="K4432" s="7" t="str">
        <f>IFERROR(INDEX(tbl_ProduitsRef[Famille], MATCH(tbl_Ventes[[#This Row],[Cde_Prdt]], tbl_Produits[Cde_Prdt], 0)), "")</f>
        <v/>
      </c>
    </row>
    <row r="4433" spans="1:11" x14ac:dyDescent="0.25">
      <c r="A4433" s="5"/>
      <c r="B4433" s="63" t="str">
        <f>IFERROR(TEXT(tbl_Ventes[[#This Row],[Date]],"mm-aaaa"),"")</f>
        <v>01-1900</v>
      </c>
      <c r="D4433" s="10" t="str">
        <f>IFERROR(
   INDEX(tbl_ProduitsRef[Cde_Prdt],MATCH(tbl_Ventes[[#This Row],[Produit]],tbl_ProduitsRef[Produit],0)),
   ""
)</f>
        <v/>
      </c>
      <c r="E4433" s="7">
        <v>0</v>
      </c>
      <c r="F4433" s="7" t="str">
        <f>IFERROR(
   INDEX(tbl_ProduitsRef[Prix Menu],MATCH(tbl_Ventes[[#This Row],[Produit]],tbl_ProduitsRef[Produit],0)),
   ""
)</f>
        <v/>
      </c>
      <c r="G4433" s="7">
        <f>tbl_Ventes[[#This Row],[Qté Vendue]] * IFERROR(_xlfn.XLOOKUP(tbl_Ventes[[#This Row],[Cde_Prdt]], tbl_Produits[Cde_Prdt], tbl_Produits[Prix Menu]), 0)</f>
        <v>0</v>
      </c>
      <c r="H4433" s="7">
        <f>IFERROR(_xlfn.XLOOKUP(tbl_Ventes[[#This Row],[Cde_Prdt]], tbl_Produits[Cde_Prdt], tbl_Produits[Coût Moyen Portion]), 0)</f>
        <v>0</v>
      </c>
      <c r="I4433" s="7">
        <f>tbl_Ventes[[#This Row],[Qté Vendue]] * tbl_Ventes[[#This Row],[CMP_par_portion]]</f>
        <v>0</v>
      </c>
      <c r="J4433" s="7">
        <f>tbl_Ventes[[#This Row],[CA ligne]] - tbl_Ventes[[#This Row],[Coût matière ligne]]</f>
        <v>0</v>
      </c>
      <c r="K4433" s="7" t="str">
        <f>IFERROR(INDEX(tbl_ProduitsRef[Famille], MATCH(tbl_Ventes[[#This Row],[Cde_Prdt]], tbl_Produits[Cde_Prdt], 0)), "")</f>
        <v/>
      </c>
    </row>
    <row r="4434" spans="1:11" x14ac:dyDescent="0.25">
      <c r="A4434" s="5"/>
      <c r="B4434" s="63" t="str">
        <f>IFERROR(TEXT(tbl_Ventes[[#This Row],[Date]],"mm-aaaa"),"")</f>
        <v>01-1900</v>
      </c>
      <c r="D4434" s="10" t="str">
        <f>IFERROR(
   INDEX(tbl_ProduitsRef[Cde_Prdt],MATCH(tbl_Ventes[[#This Row],[Produit]],tbl_ProduitsRef[Produit],0)),
   ""
)</f>
        <v/>
      </c>
      <c r="E4434" s="7">
        <v>0</v>
      </c>
      <c r="F4434" s="7" t="str">
        <f>IFERROR(
   INDEX(tbl_ProduitsRef[Prix Menu],MATCH(tbl_Ventes[[#This Row],[Produit]],tbl_ProduitsRef[Produit],0)),
   ""
)</f>
        <v/>
      </c>
      <c r="G4434" s="7">
        <f>tbl_Ventes[[#This Row],[Qté Vendue]] * IFERROR(_xlfn.XLOOKUP(tbl_Ventes[[#This Row],[Cde_Prdt]], tbl_Produits[Cde_Prdt], tbl_Produits[Prix Menu]), 0)</f>
        <v>0</v>
      </c>
      <c r="H4434" s="7">
        <f>IFERROR(_xlfn.XLOOKUP(tbl_Ventes[[#This Row],[Cde_Prdt]], tbl_Produits[Cde_Prdt], tbl_Produits[Coût Moyen Portion]), 0)</f>
        <v>0</v>
      </c>
      <c r="I4434" s="7">
        <f>tbl_Ventes[[#This Row],[Qté Vendue]] * tbl_Ventes[[#This Row],[CMP_par_portion]]</f>
        <v>0</v>
      </c>
      <c r="J4434" s="7">
        <f>tbl_Ventes[[#This Row],[CA ligne]] - tbl_Ventes[[#This Row],[Coût matière ligne]]</f>
        <v>0</v>
      </c>
      <c r="K4434" s="7" t="str">
        <f>IFERROR(INDEX(tbl_ProduitsRef[Famille], MATCH(tbl_Ventes[[#This Row],[Cde_Prdt]], tbl_Produits[Cde_Prdt], 0)), "")</f>
        <v/>
      </c>
    </row>
    <row r="4435" spans="1:11" x14ac:dyDescent="0.25">
      <c r="A4435" s="5"/>
      <c r="B4435" s="63" t="str">
        <f>IFERROR(TEXT(tbl_Ventes[[#This Row],[Date]],"mm-aaaa"),"")</f>
        <v>01-1900</v>
      </c>
      <c r="D4435" s="10" t="str">
        <f>IFERROR(
   INDEX(tbl_ProduitsRef[Cde_Prdt],MATCH(tbl_Ventes[[#This Row],[Produit]],tbl_ProduitsRef[Produit],0)),
   ""
)</f>
        <v/>
      </c>
      <c r="E4435" s="7">
        <v>0</v>
      </c>
      <c r="F4435" s="7" t="str">
        <f>IFERROR(
   INDEX(tbl_ProduitsRef[Prix Menu],MATCH(tbl_Ventes[[#This Row],[Produit]],tbl_ProduitsRef[Produit],0)),
   ""
)</f>
        <v/>
      </c>
      <c r="G4435" s="7">
        <f>tbl_Ventes[[#This Row],[Qté Vendue]] * IFERROR(_xlfn.XLOOKUP(tbl_Ventes[[#This Row],[Cde_Prdt]], tbl_Produits[Cde_Prdt], tbl_Produits[Prix Menu]), 0)</f>
        <v>0</v>
      </c>
      <c r="H4435" s="7">
        <f>IFERROR(_xlfn.XLOOKUP(tbl_Ventes[[#This Row],[Cde_Prdt]], tbl_Produits[Cde_Prdt], tbl_Produits[Coût Moyen Portion]), 0)</f>
        <v>0</v>
      </c>
      <c r="I4435" s="7">
        <f>tbl_Ventes[[#This Row],[Qté Vendue]] * tbl_Ventes[[#This Row],[CMP_par_portion]]</f>
        <v>0</v>
      </c>
      <c r="J4435" s="7">
        <f>tbl_Ventes[[#This Row],[CA ligne]] - tbl_Ventes[[#This Row],[Coût matière ligne]]</f>
        <v>0</v>
      </c>
      <c r="K4435" s="7" t="str">
        <f>IFERROR(INDEX(tbl_ProduitsRef[Famille], MATCH(tbl_Ventes[[#This Row],[Cde_Prdt]], tbl_Produits[Cde_Prdt], 0)), "")</f>
        <v/>
      </c>
    </row>
    <row r="4436" spans="1:11" x14ac:dyDescent="0.25">
      <c r="A4436" s="5"/>
      <c r="B4436" s="63" t="str">
        <f>IFERROR(TEXT(tbl_Ventes[[#This Row],[Date]],"mm-aaaa"),"")</f>
        <v>01-1900</v>
      </c>
      <c r="D4436" s="10" t="str">
        <f>IFERROR(
   INDEX(tbl_ProduitsRef[Cde_Prdt],MATCH(tbl_Ventes[[#This Row],[Produit]],tbl_ProduitsRef[Produit],0)),
   ""
)</f>
        <v/>
      </c>
      <c r="E4436" s="7">
        <v>0</v>
      </c>
      <c r="F4436" s="7" t="str">
        <f>IFERROR(
   INDEX(tbl_ProduitsRef[Prix Menu],MATCH(tbl_Ventes[[#This Row],[Produit]],tbl_ProduitsRef[Produit],0)),
   ""
)</f>
        <v/>
      </c>
      <c r="G4436" s="7">
        <f>tbl_Ventes[[#This Row],[Qté Vendue]] * IFERROR(_xlfn.XLOOKUP(tbl_Ventes[[#This Row],[Cde_Prdt]], tbl_Produits[Cde_Prdt], tbl_Produits[Prix Menu]), 0)</f>
        <v>0</v>
      </c>
      <c r="H4436" s="7">
        <f>IFERROR(_xlfn.XLOOKUP(tbl_Ventes[[#This Row],[Cde_Prdt]], tbl_Produits[Cde_Prdt], tbl_Produits[Coût Moyen Portion]), 0)</f>
        <v>0</v>
      </c>
      <c r="I4436" s="7">
        <f>tbl_Ventes[[#This Row],[Qté Vendue]] * tbl_Ventes[[#This Row],[CMP_par_portion]]</f>
        <v>0</v>
      </c>
      <c r="J4436" s="7">
        <f>tbl_Ventes[[#This Row],[CA ligne]] - tbl_Ventes[[#This Row],[Coût matière ligne]]</f>
        <v>0</v>
      </c>
      <c r="K4436" s="7" t="str">
        <f>IFERROR(INDEX(tbl_ProduitsRef[Famille], MATCH(tbl_Ventes[[#This Row],[Cde_Prdt]], tbl_Produits[Cde_Prdt], 0)), "")</f>
        <v/>
      </c>
    </row>
    <row r="4437" spans="1:11" x14ac:dyDescent="0.25">
      <c r="A4437" s="5"/>
      <c r="B4437" s="63" t="str">
        <f>IFERROR(TEXT(tbl_Ventes[[#This Row],[Date]],"mm-aaaa"),"")</f>
        <v>01-1900</v>
      </c>
      <c r="D4437" s="10" t="str">
        <f>IFERROR(
   INDEX(tbl_ProduitsRef[Cde_Prdt],MATCH(tbl_Ventes[[#This Row],[Produit]],tbl_ProduitsRef[Produit],0)),
   ""
)</f>
        <v/>
      </c>
      <c r="E4437" s="7">
        <v>0</v>
      </c>
      <c r="F4437" s="7" t="str">
        <f>IFERROR(
   INDEX(tbl_ProduitsRef[Prix Menu],MATCH(tbl_Ventes[[#This Row],[Produit]],tbl_ProduitsRef[Produit],0)),
   ""
)</f>
        <v/>
      </c>
      <c r="G4437" s="7">
        <f>tbl_Ventes[[#This Row],[Qté Vendue]] * IFERROR(_xlfn.XLOOKUP(tbl_Ventes[[#This Row],[Cde_Prdt]], tbl_Produits[Cde_Prdt], tbl_Produits[Prix Menu]), 0)</f>
        <v>0</v>
      </c>
      <c r="H4437" s="7">
        <f>IFERROR(_xlfn.XLOOKUP(tbl_Ventes[[#This Row],[Cde_Prdt]], tbl_Produits[Cde_Prdt], tbl_Produits[Coût Moyen Portion]), 0)</f>
        <v>0</v>
      </c>
      <c r="I4437" s="7">
        <f>tbl_Ventes[[#This Row],[Qté Vendue]] * tbl_Ventes[[#This Row],[CMP_par_portion]]</f>
        <v>0</v>
      </c>
      <c r="J4437" s="7">
        <f>tbl_Ventes[[#This Row],[CA ligne]] - tbl_Ventes[[#This Row],[Coût matière ligne]]</f>
        <v>0</v>
      </c>
      <c r="K4437" s="7" t="str">
        <f>IFERROR(INDEX(tbl_ProduitsRef[Famille], MATCH(tbl_Ventes[[#This Row],[Cde_Prdt]], tbl_Produits[Cde_Prdt], 0)), "")</f>
        <v/>
      </c>
    </row>
    <row r="4438" spans="1:11" x14ac:dyDescent="0.25">
      <c r="A4438" s="5"/>
      <c r="B4438" s="63" t="str">
        <f>IFERROR(TEXT(tbl_Ventes[[#This Row],[Date]],"mm-aaaa"),"")</f>
        <v>01-1900</v>
      </c>
      <c r="D4438" s="10" t="str">
        <f>IFERROR(
   INDEX(tbl_ProduitsRef[Cde_Prdt],MATCH(tbl_Ventes[[#This Row],[Produit]],tbl_ProduitsRef[Produit],0)),
   ""
)</f>
        <v/>
      </c>
      <c r="E4438" s="7">
        <v>0</v>
      </c>
      <c r="F4438" s="7" t="str">
        <f>IFERROR(
   INDEX(tbl_ProduitsRef[Prix Menu],MATCH(tbl_Ventes[[#This Row],[Produit]],tbl_ProduitsRef[Produit],0)),
   ""
)</f>
        <v/>
      </c>
      <c r="G4438" s="7">
        <f>tbl_Ventes[[#This Row],[Qté Vendue]] * IFERROR(_xlfn.XLOOKUP(tbl_Ventes[[#This Row],[Cde_Prdt]], tbl_Produits[Cde_Prdt], tbl_Produits[Prix Menu]), 0)</f>
        <v>0</v>
      </c>
      <c r="H4438" s="7">
        <f>IFERROR(_xlfn.XLOOKUP(tbl_Ventes[[#This Row],[Cde_Prdt]], tbl_Produits[Cde_Prdt], tbl_Produits[Coût Moyen Portion]), 0)</f>
        <v>0</v>
      </c>
      <c r="I4438" s="7">
        <f>tbl_Ventes[[#This Row],[Qté Vendue]] * tbl_Ventes[[#This Row],[CMP_par_portion]]</f>
        <v>0</v>
      </c>
      <c r="J4438" s="7">
        <f>tbl_Ventes[[#This Row],[CA ligne]] - tbl_Ventes[[#This Row],[Coût matière ligne]]</f>
        <v>0</v>
      </c>
      <c r="K4438" s="7" t="str">
        <f>IFERROR(INDEX(tbl_ProduitsRef[Famille], MATCH(tbl_Ventes[[#This Row],[Cde_Prdt]], tbl_Produits[Cde_Prdt], 0)), "")</f>
        <v/>
      </c>
    </row>
    <row r="4439" spans="1:11" x14ac:dyDescent="0.25">
      <c r="A4439" s="5"/>
      <c r="B4439" s="63" t="str">
        <f>IFERROR(TEXT(tbl_Ventes[[#This Row],[Date]],"mm-aaaa"),"")</f>
        <v>01-1900</v>
      </c>
      <c r="D4439" s="10" t="str">
        <f>IFERROR(
   INDEX(tbl_ProduitsRef[Cde_Prdt],MATCH(tbl_Ventes[[#This Row],[Produit]],tbl_ProduitsRef[Produit],0)),
   ""
)</f>
        <v/>
      </c>
      <c r="E4439" s="7">
        <v>0</v>
      </c>
      <c r="F4439" s="7" t="str">
        <f>IFERROR(
   INDEX(tbl_ProduitsRef[Prix Menu],MATCH(tbl_Ventes[[#This Row],[Produit]],tbl_ProduitsRef[Produit],0)),
   ""
)</f>
        <v/>
      </c>
      <c r="G4439" s="7">
        <f>tbl_Ventes[[#This Row],[Qté Vendue]] * IFERROR(_xlfn.XLOOKUP(tbl_Ventes[[#This Row],[Cde_Prdt]], tbl_Produits[Cde_Prdt], tbl_Produits[Prix Menu]), 0)</f>
        <v>0</v>
      </c>
      <c r="H4439" s="7">
        <f>IFERROR(_xlfn.XLOOKUP(tbl_Ventes[[#This Row],[Cde_Prdt]], tbl_Produits[Cde_Prdt], tbl_Produits[Coût Moyen Portion]), 0)</f>
        <v>0</v>
      </c>
      <c r="I4439" s="7">
        <f>tbl_Ventes[[#This Row],[Qté Vendue]] * tbl_Ventes[[#This Row],[CMP_par_portion]]</f>
        <v>0</v>
      </c>
      <c r="J4439" s="7">
        <f>tbl_Ventes[[#This Row],[CA ligne]] - tbl_Ventes[[#This Row],[Coût matière ligne]]</f>
        <v>0</v>
      </c>
      <c r="K4439" s="7" t="str">
        <f>IFERROR(INDEX(tbl_ProduitsRef[Famille], MATCH(tbl_Ventes[[#This Row],[Cde_Prdt]], tbl_Produits[Cde_Prdt], 0)), "")</f>
        <v/>
      </c>
    </row>
    <row r="4440" spans="1:11" x14ac:dyDescent="0.25">
      <c r="A4440" s="5"/>
      <c r="B4440" s="63" t="str">
        <f>IFERROR(TEXT(tbl_Ventes[[#This Row],[Date]],"mm-aaaa"),"")</f>
        <v>01-1900</v>
      </c>
      <c r="D4440" s="10" t="str">
        <f>IFERROR(
   INDEX(tbl_ProduitsRef[Cde_Prdt],MATCH(tbl_Ventes[[#This Row],[Produit]],tbl_ProduitsRef[Produit],0)),
   ""
)</f>
        <v/>
      </c>
      <c r="E4440" s="7">
        <v>0</v>
      </c>
      <c r="F4440" s="7" t="str">
        <f>IFERROR(
   INDEX(tbl_ProduitsRef[Prix Menu],MATCH(tbl_Ventes[[#This Row],[Produit]],tbl_ProduitsRef[Produit],0)),
   ""
)</f>
        <v/>
      </c>
      <c r="G4440" s="7">
        <f>tbl_Ventes[[#This Row],[Qté Vendue]] * IFERROR(_xlfn.XLOOKUP(tbl_Ventes[[#This Row],[Cde_Prdt]], tbl_Produits[Cde_Prdt], tbl_Produits[Prix Menu]), 0)</f>
        <v>0</v>
      </c>
      <c r="H4440" s="7">
        <f>IFERROR(_xlfn.XLOOKUP(tbl_Ventes[[#This Row],[Cde_Prdt]], tbl_Produits[Cde_Prdt], tbl_Produits[Coût Moyen Portion]), 0)</f>
        <v>0</v>
      </c>
      <c r="I4440" s="7">
        <f>tbl_Ventes[[#This Row],[Qté Vendue]] * tbl_Ventes[[#This Row],[CMP_par_portion]]</f>
        <v>0</v>
      </c>
      <c r="J4440" s="7">
        <f>tbl_Ventes[[#This Row],[CA ligne]] - tbl_Ventes[[#This Row],[Coût matière ligne]]</f>
        <v>0</v>
      </c>
      <c r="K4440" s="7" t="str">
        <f>IFERROR(INDEX(tbl_ProduitsRef[Famille], MATCH(tbl_Ventes[[#This Row],[Cde_Prdt]], tbl_Produits[Cde_Prdt], 0)), "")</f>
        <v/>
      </c>
    </row>
    <row r="4441" spans="1:11" x14ac:dyDescent="0.25">
      <c r="A4441" s="5"/>
      <c r="B4441" s="63" t="str">
        <f>IFERROR(TEXT(tbl_Ventes[[#This Row],[Date]],"mm-aaaa"),"")</f>
        <v>01-1900</v>
      </c>
      <c r="D4441" s="10" t="str">
        <f>IFERROR(
   INDEX(tbl_ProduitsRef[Cde_Prdt],MATCH(tbl_Ventes[[#This Row],[Produit]],tbl_ProduitsRef[Produit],0)),
   ""
)</f>
        <v/>
      </c>
      <c r="E4441" s="7">
        <v>0</v>
      </c>
      <c r="F4441" s="7" t="str">
        <f>IFERROR(
   INDEX(tbl_ProduitsRef[Prix Menu],MATCH(tbl_Ventes[[#This Row],[Produit]],tbl_ProduitsRef[Produit],0)),
   ""
)</f>
        <v/>
      </c>
      <c r="G4441" s="7">
        <f>tbl_Ventes[[#This Row],[Qté Vendue]] * IFERROR(_xlfn.XLOOKUP(tbl_Ventes[[#This Row],[Cde_Prdt]], tbl_Produits[Cde_Prdt], tbl_Produits[Prix Menu]), 0)</f>
        <v>0</v>
      </c>
      <c r="H4441" s="7">
        <f>IFERROR(_xlfn.XLOOKUP(tbl_Ventes[[#This Row],[Cde_Prdt]], tbl_Produits[Cde_Prdt], tbl_Produits[Coût Moyen Portion]), 0)</f>
        <v>0</v>
      </c>
      <c r="I4441" s="7">
        <f>tbl_Ventes[[#This Row],[Qté Vendue]] * tbl_Ventes[[#This Row],[CMP_par_portion]]</f>
        <v>0</v>
      </c>
      <c r="J4441" s="7">
        <f>tbl_Ventes[[#This Row],[CA ligne]] - tbl_Ventes[[#This Row],[Coût matière ligne]]</f>
        <v>0</v>
      </c>
      <c r="K4441" s="7" t="str">
        <f>IFERROR(INDEX(tbl_ProduitsRef[Famille], MATCH(tbl_Ventes[[#This Row],[Cde_Prdt]], tbl_Produits[Cde_Prdt], 0)), "")</f>
        <v/>
      </c>
    </row>
    <row r="4442" spans="1:11" x14ac:dyDescent="0.25">
      <c r="A4442" s="5"/>
      <c r="B4442" s="63" t="str">
        <f>IFERROR(TEXT(tbl_Ventes[[#This Row],[Date]],"mm-aaaa"),"")</f>
        <v>01-1900</v>
      </c>
      <c r="D4442" s="10" t="str">
        <f>IFERROR(
   INDEX(tbl_ProduitsRef[Cde_Prdt],MATCH(tbl_Ventes[[#This Row],[Produit]],tbl_ProduitsRef[Produit],0)),
   ""
)</f>
        <v/>
      </c>
      <c r="E4442" s="7">
        <v>0</v>
      </c>
      <c r="F4442" s="7" t="str">
        <f>IFERROR(
   INDEX(tbl_ProduitsRef[Prix Menu],MATCH(tbl_Ventes[[#This Row],[Produit]],tbl_ProduitsRef[Produit],0)),
   ""
)</f>
        <v/>
      </c>
      <c r="G4442" s="7">
        <f>tbl_Ventes[[#This Row],[Qté Vendue]] * IFERROR(_xlfn.XLOOKUP(tbl_Ventes[[#This Row],[Cde_Prdt]], tbl_Produits[Cde_Prdt], tbl_Produits[Prix Menu]), 0)</f>
        <v>0</v>
      </c>
      <c r="H4442" s="7">
        <f>IFERROR(_xlfn.XLOOKUP(tbl_Ventes[[#This Row],[Cde_Prdt]], tbl_Produits[Cde_Prdt], tbl_Produits[Coût Moyen Portion]), 0)</f>
        <v>0</v>
      </c>
      <c r="I4442" s="7">
        <f>tbl_Ventes[[#This Row],[Qté Vendue]] * tbl_Ventes[[#This Row],[CMP_par_portion]]</f>
        <v>0</v>
      </c>
      <c r="J4442" s="7">
        <f>tbl_Ventes[[#This Row],[CA ligne]] - tbl_Ventes[[#This Row],[Coût matière ligne]]</f>
        <v>0</v>
      </c>
      <c r="K4442" s="7" t="str">
        <f>IFERROR(INDEX(tbl_ProduitsRef[Famille], MATCH(tbl_Ventes[[#This Row],[Cde_Prdt]], tbl_Produits[Cde_Prdt], 0)), "")</f>
        <v/>
      </c>
    </row>
    <row r="4443" spans="1:11" x14ac:dyDescent="0.25">
      <c r="A4443" s="5"/>
      <c r="B4443" s="63" t="str">
        <f>IFERROR(TEXT(tbl_Ventes[[#This Row],[Date]],"mm-aaaa"),"")</f>
        <v>01-1900</v>
      </c>
      <c r="D4443" s="10" t="str">
        <f>IFERROR(
   INDEX(tbl_ProduitsRef[Cde_Prdt],MATCH(tbl_Ventes[[#This Row],[Produit]],tbl_ProduitsRef[Produit],0)),
   ""
)</f>
        <v/>
      </c>
      <c r="E4443" s="7">
        <v>0</v>
      </c>
      <c r="F4443" s="7" t="str">
        <f>IFERROR(
   INDEX(tbl_ProduitsRef[Prix Menu],MATCH(tbl_Ventes[[#This Row],[Produit]],tbl_ProduitsRef[Produit],0)),
   ""
)</f>
        <v/>
      </c>
      <c r="G4443" s="7">
        <f>tbl_Ventes[[#This Row],[Qté Vendue]] * IFERROR(_xlfn.XLOOKUP(tbl_Ventes[[#This Row],[Cde_Prdt]], tbl_Produits[Cde_Prdt], tbl_Produits[Prix Menu]), 0)</f>
        <v>0</v>
      </c>
      <c r="H4443" s="7">
        <f>IFERROR(_xlfn.XLOOKUP(tbl_Ventes[[#This Row],[Cde_Prdt]], tbl_Produits[Cde_Prdt], tbl_Produits[Coût Moyen Portion]), 0)</f>
        <v>0</v>
      </c>
      <c r="I4443" s="7">
        <f>tbl_Ventes[[#This Row],[Qté Vendue]] * tbl_Ventes[[#This Row],[CMP_par_portion]]</f>
        <v>0</v>
      </c>
      <c r="J4443" s="7">
        <f>tbl_Ventes[[#This Row],[CA ligne]] - tbl_Ventes[[#This Row],[Coût matière ligne]]</f>
        <v>0</v>
      </c>
      <c r="K4443" s="7" t="str">
        <f>IFERROR(INDEX(tbl_ProduitsRef[Famille], MATCH(tbl_Ventes[[#This Row],[Cde_Prdt]], tbl_Produits[Cde_Prdt], 0)), "")</f>
        <v/>
      </c>
    </row>
    <row r="4444" spans="1:11" x14ac:dyDescent="0.25">
      <c r="A4444" s="5"/>
      <c r="B4444" s="63" t="str">
        <f>IFERROR(TEXT(tbl_Ventes[[#This Row],[Date]],"mm-aaaa"),"")</f>
        <v>01-1900</v>
      </c>
      <c r="D4444" s="10" t="str">
        <f>IFERROR(
   INDEX(tbl_ProduitsRef[Cde_Prdt],MATCH(tbl_Ventes[[#This Row],[Produit]],tbl_ProduitsRef[Produit],0)),
   ""
)</f>
        <v/>
      </c>
      <c r="E4444" s="7">
        <v>0</v>
      </c>
      <c r="F4444" s="7" t="str">
        <f>IFERROR(
   INDEX(tbl_ProduitsRef[Prix Menu],MATCH(tbl_Ventes[[#This Row],[Produit]],tbl_ProduitsRef[Produit],0)),
   ""
)</f>
        <v/>
      </c>
      <c r="G4444" s="7">
        <f>tbl_Ventes[[#This Row],[Qté Vendue]] * IFERROR(_xlfn.XLOOKUP(tbl_Ventes[[#This Row],[Cde_Prdt]], tbl_Produits[Cde_Prdt], tbl_Produits[Prix Menu]), 0)</f>
        <v>0</v>
      </c>
      <c r="H4444" s="7">
        <f>IFERROR(_xlfn.XLOOKUP(tbl_Ventes[[#This Row],[Cde_Prdt]], tbl_Produits[Cde_Prdt], tbl_Produits[Coût Moyen Portion]), 0)</f>
        <v>0</v>
      </c>
      <c r="I4444" s="7">
        <f>tbl_Ventes[[#This Row],[Qté Vendue]] * tbl_Ventes[[#This Row],[CMP_par_portion]]</f>
        <v>0</v>
      </c>
      <c r="J4444" s="7">
        <f>tbl_Ventes[[#This Row],[CA ligne]] - tbl_Ventes[[#This Row],[Coût matière ligne]]</f>
        <v>0</v>
      </c>
      <c r="K4444" s="7" t="str">
        <f>IFERROR(INDEX(tbl_ProduitsRef[Famille], MATCH(tbl_Ventes[[#This Row],[Cde_Prdt]], tbl_Produits[Cde_Prdt], 0)), "")</f>
        <v/>
      </c>
    </row>
    <row r="4445" spans="1:11" x14ac:dyDescent="0.25">
      <c r="A4445" s="5"/>
      <c r="B4445" s="63" t="str">
        <f>IFERROR(TEXT(tbl_Ventes[[#This Row],[Date]],"mm-aaaa"),"")</f>
        <v>01-1900</v>
      </c>
      <c r="D4445" s="10" t="str">
        <f>IFERROR(
   INDEX(tbl_ProduitsRef[Cde_Prdt],MATCH(tbl_Ventes[[#This Row],[Produit]],tbl_ProduitsRef[Produit],0)),
   ""
)</f>
        <v/>
      </c>
      <c r="E4445" s="7">
        <v>0</v>
      </c>
      <c r="F4445" s="7" t="str">
        <f>IFERROR(
   INDEX(tbl_ProduitsRef[Prix Menu],MATCH(tbl_Ventes[[#This Row],[Produit]],tbl_ProduitsRef[Produit],0)),
   ""
)</f>
        <v/>
      </c>
      <c r="G4445" s="7">
        <f>tbl_Ventes[[#This Row],[Qté Vendue]] * IFERROR(_xlfn.XLOOKUP(tbl_Ventes[[#This Row],[Cde_Prdt]], tbl_Produits[Cde_Prdt], tbl_Produits[Prix Menu]), 0)</f>
        <v>0</v>
      </c>
      <c r="H4445" s="7">
        <f>IFERROR(_xlfn.XLOOKUP(tbl_Ventes[[#This Row],[Cde_Prdt]], tbl_Produits[Cde_Prdt], tbl_Produits[Coût Moyen Portion]), 0)</f>
        <v>0</v>
      </c>
      <c r="I4445" s="7">
        <f>tbl_Ventes[[#This Row],[Qté Vendue]] * tbl_Ventes[[#This Row],[CMP_par_portion]]</f>
        <v>0</v>
      </c>
      <c r="J4445" s="7">
        <f>tbl_Ventes[[#This Row],[CA ligne]] - tbl_Ventes[[#This Row],[Coût matière ligne]]</f>
        <v>0</v>
      </c>
      <c r="K4445" s="7" t="str">
        <f>IFERROR(INDEX(tbl_ProduitsRef[Famille], MATCH(tbl_Ventes[[#This Row],[Cde_Prdt]], tbl_Produits[Cde_Prdt], 0)), "")</f>
        <v/>
      </c>
    </row>
    <row r="4446" spans="1:11" x14ac:dyDescent="0.25">
      <c r="A4446" s="5"/>
      <c r="B4446" s="63" t="str">
        <f>IFERROR(TEXT(tbl_Ventes[[#This Row],[Date]],"mm-aaaa"),"")</f>
        <v>01-1900</v>
      </c>
      <c r="D4446" s="10" t="str">
        <f>IFERROR(
   INDEX(tbl_ProduitsRef[Cde_Prdt],MATCH(tbl_Ventes[[#This Row],[Produit]],tbl_ProduitsRef[Produit],0)),
   ""
)</f>
        <v/>
      </c>
      <c r="E4446" s="7">
        <v>0</v>
      </c>
      <c r="F4446" s="7" t="str">
        <f>IFERROR(
   INDEX(tbl_ProduitsRef[Prix Menu],MATCH(tbl_Ventes[[#This Row],[Produit]],tbl_ProduitsRef[Produit],0)),
   ""
)</f>
        <v/>
      </c>
      <c r="G4446" s="7">
        <f>tbl_Ventes[[#This Row],[Qté Vendue]] * IFERROR(_xlfn.XLOOKUP(tbl_Ventes[[#This Row],[Cde_Prdt]], tbl_Produits[Cde_Prdt], tbl_Produits[Prix Menu]), 0)</f>
        <v>0</v>
      </c>
      <c r="H4446" s="7">
        <f>IFERROR(_xlfn.XLOOKUP(tbl_Ventes[[#This Row],[Cde_Prdt]], tbl_Produits[Cde_Prdt], tbl_Produits[Coût Moyen Portion]), 0)</f>
        <v>0</v>
      </c>
      <c r="I4446" s="7">
        <f>tbl_Ventes[[#This Row],[Qté Vendue]] * tbl_Ventes[[#This Row],[CMP_par_portion]]</f>
        <v>0</v>
      </c>
      <c r="J4446" s="7">
        <f>tbl_Ventes[[#This Row],[CA ligne]] - tbl_Ventes[[#This Row],[Coût matière ligne]]</f>
        <v>0</v>
      </c>
      <c r="K4446" s="7" t="str">
        <f>IFERROR(INDEX(tbl_ProduitsRef[Famille], MATCH(tbl_Ventes[[#This Row],[Cde_Prdt]], tbl_Produits[Cde_Prdt], 0)), "")</f>
        <v/>
      </c>
    </row>
    <row r="4447" spans="1:11" x14ac:dyDescent="0.25">
      <c r="A4447" s="5"/>
      <c r="B4447" s="63" t="str">
        <f>IFERROR(TEXT(tbl_Ventes[[#This Row],[Date]],"mm-aaaa"),"")</f>
        <v>01-1900</v>
      </c>
      <c r="D4447" s="10" t="str">
        <f>IFERROR(
   INDEX(tbl_ProduitsRef[Cde_Prdt],MATCH(tbl_Ventes[[#This Row],[Produit]],tbl_ProduitsRef[Produit],0)),
   ""
)</f>
        <v/>
      </c>
      <c r="E4447" s="7">
        <v>0</v>
      </c>
      <c r="F4447" s="7" t="str">
        <f>IFERROR(
   INDEX(tbl_ProduitsRef[Prix Menu],MATCH(tbl_Ventes[[#This Row],[Produit]],tbl_ProduitsRef[Produit],0)),
   ""
)</f>
        <v/>
      </c>
      <c r="G4447" s="7">
        <f>tbl_Ventes[[#This Row],[Qté Vendue]] * IFERROR(_xlfn.XLOOKUP(tbl_Ventes[[#This Row],[Cde_Prdt]], tbl_Produits[Cde_Prdt], tbl_Produits[Prix Menu]), 0)</f>
        <v>0</v>
      </c>
      <c r="H4447" s="7">
        <f>IFERROR(_xlfn.XLOOKUP(tbl_Ventes[[#This Row],[Cde_Prdt]], tbl_Produits[Cde_Prdt], tbl_Produits[Coût Moyen Portion]), 0)</f>
        <v>0</v>
      </c>
      <c r="I4447" s="7">
        <f>tbl_Ventes[[#This Row],[Qté Vendue]] * tbl_Ventes[[#This Row],[CMP_par_portion]]</f>
        <v>0</v>
      </c>
      <c r="J4447" s="7">
        <f>tbl_Ventes[[#This Row],[CA ligne]] - tbl_Ventes[[#This Row],[Coût matière ligne]]</f>
        <v>0</v>
      </c>
      <c r="K4447" s="7" t="str">
        <f>IFERROR(INDEX(tbl_ProduitsRef[Famille], MATCH(tbl_Ventes[[#This Row],[Cde_Prdt]], tbl_Produits[Cde_Prdt], 0)), "")</f>
        <v/>
      </c>
    </row>
    <row r="4448" spans="1:11" x14ac:dyDescent="0.25">
      <c r="A4448" s="5"/>
      <c r="B4448" s="63" t="str">
        <f>IFERROR(TEXT(tbl_Ventes[[#This Row],[Date]],"mm-aaaa"),"")</f>
        <v>01-1900</v>
      </c>
      <c r="D4448" s="10" t="str">
        <f>IFERROR(
   INDEX(tbl_ProduitsRef[Cde_Prdt],MATCH(tbl_Ventes[[#This Row],[Produit]],tbl_ProduitsRef[Produit],0)),
   ""
)</f>
        <v/>
      </c>
      <c r="E4448" s="7">
        <v>0</v>
      </c>
      <c r="F4448" s="7" t="str">
        <f>IFERROR(
   INDEX(tbl_ProduitsRef[Prix Menu],MATCH(tbl_Ventes[[#This Row],[Produit]],tbl_ProduitsRef[Produit],0)),
   ""
)</f>
        <v/>
      </c>
      <c r="G4448" s="7">
        <f>tbl_Ventes[[#This Row],[Qté Vendue]] * IFERROR(_xlfn.XLOOKUP(tbl_Ventes[[#This Row],[Cde_Prdt]], tbl_Produits[Cde_Prdt], tbl_Produits[Prix Menu]), 0)</f>
        <v>0</v>
      </c>
      <c r="H4448" s="7">
        <f>IFERROR(_xlfn.XLOOKUP(tbl_Ventes[[#This Row],[Cde_Prdt]], tbl_Produits[Cde_Prdt], tbl_Produits[Coût Moyen Portion]), 0)</f>
        <v>0</v>
      </c>
      <c r="I4448" s="7">
        <f>tbl_Ventes[[#This Row],[Qté Vendue]] * tbl_Ventes[[#This Row],[CMP_par_portion]]</f>
        <v>0</v>
      </c>
      <c r="J4448" s="7">
        <f>tbl_Ventes[[#This Row],[CA ligne]] - tbl_Ventes[[#This Row],[Coût matière ligne]]</f>
        <v>0</v>
      </c>
      <c r="K4448" s="7" t="str">
        <f>IFERROR(INDEX(tbl_ProduitsRef[Famille], MATCH(tbl_Ventes[[#This Row],[Cde_Prdt]], tbl_Produits[Cde_Prdt], 0)), "")</f>
        <v/>
      </c>
    </row>
    <row r="4449" spans="1:11" x14ac:dyDescent="0.25">
      <c r="A4449" s="5"/>
      <c r="B4449" s="63" t="str">
        <f>IFERROR(TEXT(tbl_Ventes[[#This Row],[Date]],"mm-aaaa"),"")</f>
        <v>01-1900</v>
      </c>
      <c r="D4449" s="10" t="str">
        <f>IFERROR(
   INDEX(tbl_ProduitsRef[Cde_Prdt],MATCH(tbl_Ventes[[#This Row],[Produit]],tbl_ProduitsRef[Produit],0)),
   ""
)</f>
        <v/>
      </c>
      <c r="E4449" s="7">
        <v>0</v>
      </c>
      <c r="F4449" s="7" t="str">
        <f>IFERROR(
   INDEX(tbl_ProduitsRef[Prix Menu],MATCH(tbl_Ventes[[#This Row],[Produit]],tbl_ProduitsRef[Produit],0)),
   ""
)</f>
        <v/>
      </c>
      <c r="G4449" s="7">
        <f>tbl_Ventes[[#This Row],[Qté Vendue]] * IFERROR(_xlfn.XLOOKUP(tbl_Ventes[[#This Row],[Cde_Prdt]], tbl_Produits[Cde_Prdt], tbl_Produits[Prix Menu]), 0)</f>
        <v>0</v>
      </c>
      <c r="H4449" s="7">
        <f>IFERROR(_xlfn.XLOOKUP(tbl_Ventes[[#This Row],[Cde_Prdt]], tbl_Produits[Cde_Prdt], tbl_Produits[Coût Moyen Portion]), 0)</f>
        <v>0</v>
      </c>
      <c r="I4449" s="7">
        <f>tbl_Ventes[[#This Row],[Qté Vendue]] * tbl_Ventes[[#This Row],[CMP_par_portion]]</f>
        <v>0</v>
      </c>
      <c r="J4449" s="7">
        <f>tbl_Ventes[[#This Row],[CA ligne]] - tbl_Ventes[[#This Row],[Coût matière ligne]]</f>
        <v>0</v>
      </c>
      <c r="K4449" s="7" t="str">
        <f>IFERROR(INDEX(tbl_ProduitsRef[Famille], MATCH(tbl_Ventes[[#This Row],[Cde_Prdt]], tbl_Produits[Cde_Prdt], 0)), "")</f>
        <v/>
      </c>
    </row>
    <row r="4450" spans="1:11" x14ac:dyDescent="0.25">
      <c r="A4450" s="5"/>
      <c r="B4450" s="63" t="str">
        <f>IFERROR(TEXT(tbl_Ventes[[#This Row],[Date]],"mm-aaaa"),"")</f>
        <v>01-1900</v>
      </c>
      <c r="D4450" s="10" t="str">
        <f>IFERROR(
   INDEX(tbl_ProduitsRef[Cde_Prdt],MATCH(tbl_Ventes[[#This Row],[Produit]],tbl_ProduitsRef[Produit],0)),
   ""
)</f>
        <v/>
      </c>
      <c r="E4450" s="7">
        <v>0</v>
      </c>
      <c r="F4450" s="7" t="str">
        <f>IFERROR(
   INDEX(tbl_ProduitsRef[Prix Menu],MATCH(tbl_Ventes[[#This Row],[Produit]],tbl_ProduitsRef[Produit],0)),
   ""
)</f>
        <v/>
      </c>
      <c r="G4450" s="7">
        <f>tbl_Ventes[[#This Row],[Qté Vendue]] * IFERROR(_xlfn.XLOOKUP(tbl_Ventes[[#This Row],[Cde_Prdt]], tbl_Produits[Cde_Prdt], tbl_Produits[Prix Menu]), 0)</f>
        <v>0</v>
      </c>
      <c r="H4450" s="7">
        <f>IFERROR(_xlfn.XLOOKUP(tbl_Ventes[[#This Row],[Cde_Prdt]], tbl_Produits[Cde_Prdt], tbl_Produits[Coût Moyen Portion]), 0)</f>
        <v>0</v>
      </c>
      <c r="I4450" s="7">
        <f>tbl_Ventes[[#This Row],[Qté Vendue]] * tbl_Ventes[[#This Row],[CMP_par_portion]]</f>
        <v>0</v>
      </c>
      <c r="J4450" s="7">
        <f>tbl_Ventes[[#This Row],[CA ligne]] - tbl_Ventes[[#This Row],[Coût matière ligne]]</f>
        <v>0</v>
      </c>
      <c r="K4450" s="7" t="str">
        <f>IFERROR(INDEX(tbl_ProduitsRef[Famille], MATCH(tbl_Ventes[[#This Row],[Cde_Prdt]], tbl_Produits[Cde_Prdt], 0)), "")</f>
        <v/>
      </c>
    </row>
    <row r="4451" spans="1:11" x14ac:dyDescent="0.25">
      <c r="A4451" s="5"/>
      <c r="B4451" s="63" t="str">
        <f>IFERROR(TEXT(tbl_Ventes[[#This Row],[Date]],"mm-aaaa"),"")</f>
        <v>01-1900</v>
      </c>
      <c r="D4451" s="10" t="str">
        <f>IFERROR(
   INDEX(tbl_ProduitsRef[Cde_Prdt],MATCH(tbl_Ventes[[#This Row],[Produit]],tbl_ProduitsRef[Produit],0)),
   ""
)</f>
        <v/>
      </c>
      <c r="E4451" s="7">
        <v>0</v>
      </c>
      <c r="F4451" s="7" t="str">
        <f>IFERROR(
   INDEX(tbl_ProduitsRef[Prix Menu],MATCH(tbl_Ventes[[#This Row],[Produit]],tbl_ProduitsRef[Produit],0)),
   ""
)</f>
        <v/>
      </c>
      <c r="G4451" s="7">
        <f>tbl_Ventes[[#This Row],[Qté Vendue]] * IFERROR(_xlfn.XLOOKUP(tbl_Ventes[[#This Row],[Cde_Prdt]], tbl_Produits[Cde_Prdt], tbl_Produits[Prix Menu]), 0)</f>
        <v>0</v>
      </c>
      <c r="H4451" s="7">
        <f>IFERROR(_xlfn.XLOOKUP(tbl_Ventes[[#This Row],[Cde_Prdt]], tbl_Produits[Cde_Prdt], tbl_Produits[Coût Moyen Portion]), 0)</f>
        <v>0</v>
      </c>
      <c r="I4451" s="7">
        <f>tbl_Ventes[[#This Row],[Qté Vendue]] * tbl_Ventes[[#This Row],[CMP_par_portion]]</f>
        <v>0</v>
      </c>
      <c r="J4451" s="7">
        <f>tbl_Ventes[[#This Row],[CA ligne]] - tbl_Ventes[[#This Row],[Coût matière ligne]]</f>
        <v>0</v>
      </c>
      <c r="K4451" s="7" t="str">
        <f>IFERROR(INDEX(tbl_ProduitsRef[Famille], MATCH(tbl_Ventes[[#This Row],[Cde_Prdt]], tbl_Produits[Cde_Prdt], 0)), "")</f>
        <v/>
      </c>
    </row>
    <row r="4452" spans="1:11" x14ac:dyDescent="0.25">
      <c r="A4452" s="5"/>
      <c r="B4452" s="63" t="str">
        <f>IFERROR(TEXT(tbl_Ventes[[#This Row],[Date]],"mm-aaaa"),"")</f>
        <v>01-1900</v>
      </c>
      <c r="D4452" s="10" t="str">
        <f>IFERROR(
   INDEX(tbl_ProduitsRef[Cde_Prdt],MATCH(tbl_Ventes[[#This Row],[Produit]],tbl_ProduitsRef[Produit],0)),
   ""
)</f>
        <v/>
      </c>
      <c r="E4452" s="7">
        <v>0</v>
      </c>
      <c r="F4452" s="7" t="str">
        <f>IFERROR(
   INDEX(tbl_ProduitsRef[Prix Menu],MATCH(tbl_Ventes[[#This Row],[Produit]],tbl_ProduitsRef[Produit],0)),
   ""
)</f>
        <v/>
      </c>
      <c r="G4452" s="7">
        <f>tbl_Ventes[[#This Row],[Qté Vendue]] * IFERROR(_xlfn.XLOOKUP(tbl_Ventes[[#This Row],[Cde_Prdt]], tbl_Produits[Cde_Prdt], tbl_Produits[Prix Menu]), 0)</f>
        <v>0</v>
      </c>
      <c r="H4452" s="7">
        <f>IFERROR(_xlfn.XLOOKUP(tbl_Ventes[[#This Row],[Cde_Prdt]], tbl_Produits[Cde_Prdt], tbl_Produits[Coût Moyen Portion]), 0)</f>
        <v>0</v>
      </c>
      <c r="I4452" s="7">
        <f>tbl_Ventes[[#This Row],[Qté Vendue]] * tbl_Ventes[[#This Row],[CMP_par_portion]]</f>
        <v>0</v>
      </c>
      <c r="J4452" s="7">
        <f>tbl_Ventes[[#This Row],[CA ligne]] - tbl_Ventes[[#This Row],[Coût matière ligne]]</f>
        <v>0</v>
      </c>
      <c r="K4452" s="7" t="str">
        <f>IFERROR(INDEX(tbl_ProduitsRef[Famille], MATCH(tbl_Ventes[[#This Row],[Cde_Prdt]], tbl_Produits[Cde_Prdt], 0)), "")</f>
        <v/>
      </c>
    </row>
    <row r="4453" spans="1:11" x14ac:dyDescent="0.25">
      <c r="A4453" s="5"/>
      <c r="B4453" s="63" t="str">
        <f>IFERROR(TEXT(tbl_Ventes[[#This Row],[Date]],"mm-aaaa"),"")</f>
        <v>01-1900</v>
      </c>
      <c r="D4453" s="10" t="str">
        <f>IFERROR(
   INDEX(tbl_ProduitsRef[Cde_Prdt],MATCH(tbl_Ventes[[#This Row],[Produit]],tbl_ProduitsRef[Produit],0)),
   ""
)</f>
        <v/>
      </c>
      <c r="E4453" s="7">
        <v>0</v>
      </c>
      <c r="F4453" s="7" t="str">
        <f>IFERROR(
   INDEX(tbl_ProduitsRef[Prix Menu],MATCH(tbl_Ventes[[#This Row],[Produit]],tbl_ProduitsRef[Produit],0)),
   ""
)</f>
        <v/>
      </c>
      <c r="G4453" s="7">
        <f>tbl_Ventes[[#This Row],[Qté Vendue]] * IFERROR(_xlfn.XLOOKUP(tbl_Ventes[[#This Row],[Cde_Prdt]], tbl_Produits[Cde_Prdt], tbl_Produits[Prix Menu]), 0)</f>
        <v>0</v>
      </c>
      <c r="H4453" s="7">
        <f>IFERROR(_xlfn.XLOOKUP(tbl_Ventes[[#This Row],[Cde_Prdt]], tbl_Produits[Cde_Prdt], tbl_Produits[Coût Moyen Portion]), 0)</f>
        <v>0</v>
      </c>
      <c r="I4453" s="7">
        <f>tbl_Ventes[[#This Row],[Qté Vendue]] * tbl_Ventes[[#This Row],[CMP_par_portion]]</f>
        <v>0</v>
      </c>
      <c r="J4453" s="7">
        <f>tbl_Ventes[[#This Row],[CA ligne]] - tbl_Ventes[[#This Row],[Coût matière ligne]]</f>
        <v>0</v>
      </c>
      <c r="K4453" s="7" t="str">
        <f>IFERROR(INDEX(tbl_ProduitsRef[Famille], MATCH(tbl_Ventes[[#This Row],[Cde_Prdt]], tbl_Produits[Cde_Prdt], 0)), "")</f>
        <v/>
      </c>
    </row>
    <row r="4454" spans="1:11" x14ac:dyDescent="0.25">
      <c r="A4454" s="5"/>
      <c r="B4454" s="63" t="str">
        <f>IFERROR(TEXT(tbl_Ventes[[#This Row],[Date]],"mm-aaaa"),"")</f>
        <v>01-1900</v>
      </c>
      <c r="D4454" s="10" t="str">
        <f>IFERROR(
   INDEX(tbl_ProduitsRef[Cde_Prdt],MATCH(tbl_Ventes[[#This Row],[Produit]],tbl_ProduitsRef[Produit],0)),
   ""
)</f>
        <v/>
      </c>
      <c r="E4454" s="7">
        <v>0</v>
      </c>
      <c r="F4454" s="7" t="str">
        <f>IFERROR(
   INDEX(tbl_ProduitsRef[Prix Menu],MATCH(tbl_Ventes[[#This Row],[Produit]],tbl_ProduitsRef[Produit],0)),
   ""
)</f>
        <v/>
      </c>
      <c r="G4454" s="7">
        <f>tbl_Ventes[[#This Row],[Qté Vendue]] * IFERROR(_xlfn.XLOOKUP(tbl_Ventes[[#This Row],[Cde_Prdt]], tbl_Produits[Cde_Prdt], tbl_Produits[Prix Menu]), 0)</f>
        <v>0</v>
      </c>
      <c r="H4454" s="7">
        <f>IFERROR(_xlfn.XLOOKUP(tbl_Ventes[[#This Row],[Cde_Prdt]], tbl_Produits[Cde_Prdt], tbl_Produits[Coût Moyen Portion]), 0)</f>
        <v>0</v>
      </c>
      <c r="I4454" s="7">
        <f>tbl_Ventes[[#This Row],[Qté Vendue]] * tbl_Ventes[[#This Row],[CMP_par_portion]]</f>
        <v>0</v>
      </c>
      <c r="J4454" s="7">
        <f>tbl_Ventes[[#This Row],[CA ligne]] - tbl_Ventes[[#This Row],[Coût matière ligne]]</f>
        <v>0</v>
      </c>
      <c r="K4454" s="7" t="str">
        <f>IFERROR(INDEX(tbl_ProduitsRef[Famille], MATCH(tbl_Ventes[[#This Row],[Cde_Prdt]], tbl_Produits[Cde_Prdt], 0)), "")</f>
        <v/>
      </c>
    </row>
    <row r="4455" spans="1:11" x14ac:dyDescent="0.25">
      <c r="A4455" s="5"/>
      <c r="B4455" s="63" t="str">
        <f>IFERROR(TEXT(tbl_Ventes[[#This Row],[Date]],"mm-aaaa"),"")</f>
        <v>01-1900</v>
      </c>
      <c r="D4455" s="10" t="str">
        <f>IFERROR(
   INDEX(tbl_ProduitsRef[Cde_Prdt],MATCH(tbl_Ventes[[#This Row],[Produit]],tbl_ProduitsRef[Produit],0)),
   ""
)</f>
        <v/>
      </c>
      <c r="E4455" s="7">
        <v>0</v>
      </c>
      <c r="F4455" s="7" t="str">
        <f>IFERROR(
   INDEX(tbl_ProduitsRef[Prix Menu],MATCH(tbl_Ventes[[#This Row],[Produit]],tbl_ProduitsRef[Produit],0)),
   ""
)</f>
        <v/>
      </c>
      <c r="G4455" s="7">
        <f>tbl_Ventes[[#This Row],[Qté Vendue]] * IFERROR(_xlfn.XLOOKUP(tbl_Ventes[[#This Row],[Cde_Prdt]], tbl_Produits[Cde_Prdt], tbl_Produits[Prix Menu]), 0)</f>
        <v>0</v>
      </c>
      <c r="H4455" s="7">
        <f>IFERROR(_xlfn.XLOOKUP(tbl_Ventes[[#This Row],[Cde_Prdt]], tbl_Produits[Cde_Prdt], tbl_Produits[Coût Moyen Portion]), 0)</f>
        <v>0</v>
      </c>
      <c r="I4455" s="7">
        <f>tbl_Ventes[[#This Row],[Qté Vendue]] * tbl_Ventes[[#This Row],[CMP_par_portion]]</f>
        <v>0</v>
      </c>
      <c r="J4455" s="7">
        <f>tbl_Ventes[[#This Row],[CA ligne]] - tbl_Ventes[[#This Row],[Coût matière ligne]]</f>
        <v>0</v>
      </c>
      <c r="K4455" s="7" t="str">
        <f>IFERROR(INDEX(tbl_ProduitsRef[Famille], MATCH(tbl_Ventes[[#This Row],[Cde_Prdt]], tbl_Produits[Cde_Prdt], 0)), "")</f>
        <v/>
      </c>
    </row>
    <row r="4456" spans="1:11" x14ac:dyDescent="0.25">
      <c r="A4456" s="5"/>
      <c r="B4456" s="63" t="str">
        <f>IFERROR(TEXT(tbl_Ventes[[#This Row],[Date]],"mm-aaaa"),"")</f>
        <v>01-1900</v>
      </c>
      <c r="D4456" s="10" t="str">
        <f>IFERROR(
   INDEX(tbl_ProduitsRef[Cde_Prdt],MATCH(tbl_Ventes[[#This Row],[Produit]],tbl_ProduitsRef[Produit],0)),
   ""
)</f>
        <v/>
      </c>
      <c r="E4456" s="7">
        <v>0</v>
      </c>
      <c r="F4456" s="7" t="str">
        <f>IFERROR(
   INDEX(tbl_ProduitsRef[Prix Menu],MATCH(tbl_Ventes[[#This Row],[Produit]],tbl_ProduitsRef[Produit],0)),
   ""
)</f>
        <v/>
      </c>
      <c r="G4456" s="7">
        <f>tbl_Ventes[[#This Row],[Qté Vendue]] * IFERROR(_xlfn.XLOOKUP(tbl_Ventes[[#This Row],[Cde_Prdt]], tbl_Produits[Cde_Prdt], tbl_Produits[Prix Menu]), 0)</f>
        <v>0</v>
      </c>
      <c r="H4456" s="7">
        <f>IFERROR(_xlfn.XLOOKUP(tbl_Ventes[[#This Row],[Cde_Prdt]], tbl_Produits[Cde_Prdt], tbl_Produits[Coût Moyen Portion]), 0)</f>
        <v>0</v>
      </c>
      <c r="I4456" s="7">
        <f>tbl_Ventes[[#This Row],[Qté Vendue]] * tbl_Ventes[[#This Row],[CMP_par_portion]]</f>
        <v>0</v>
      </c>
      <c r="J4456" s="7">
        <f>tbl_Ventes[[#This Row],[CA ligne]] - tbl_Ventes[[#This Row],[Coût matière ligne]]</f>
        <v>0</v>
      </c>
      <c r="K4456" s="7" t="str">
        <f>IFERROR(INDEX(tbl_ProduitsRef[Famille], MATCH(tbl_Ventes[[#This Row],[Cde_Prdt]], tbl_Produits[Cde_Prdt], 0)), "")</f>
        <v/>
      </c>
    </row>
    <row r="4457" spans="1:11" x14ac:dyDescent="0.25">
      <c r="A4457" s="5"/>
      <c r="B4457" s="63" t="str">
        <f>IFERROR(TEXT(tbl_Ventes[[#This Row],[Date]],"mm-aaaa"),"")</f>
        <v>01-1900</v>
      </c>
      <c r="D4457" s="10" t="str">
        <f>IFERROR(
   INDEX(tbl_ProduitsRef[Cde_Prdt],MATCH(tbl_Ventes[[#This Row],[Produit]],tbl_ProduitsRef[Produit],0)),
   ""
)</f>
        <v/>
      </c>
      <c r="E4457" s="7">
        <v>0</v>
      </c>
      <c r="F4457" s="7" t="str">
        <f>IFERROR(
   INDEX(tbl_ProduitsRef[Prix Menu],MATCH(tbl_Ventes[[#This Row],[Produit]],tbl_ProduitsRef[Produit],0)),
   ""
)</f>
        <v/>
      </c>
      <c r="G4457" s="7">
        <f>tbl_Ventes[[#This Row],[Qté Vendue]] * IFERROR(_xlfn.XLOOKUP(tbl_Ventes[[#This Row],[Cde_Prdt]], tbl_Produits[Cde_Prdt], tbl_Produits[Prix Menu]), 0)</f>
        <v>0</v>
      </c>
      <c r="H4457" s="7">
        <f>IFERROR(_xlfn.XLOOKUP(tbl_Ventes[[#This Row],[Cde_Prdt]], tbl_Produits[Cde_Prdt], tbl_Produits[Coût Moyen Portion]), 0)</f>
        <v>0</v>
      </c>
      <c r="I4457" s="7">
        <f>tbl_Ventes[[#This Row],[Qté Vendue]] * tbl_Ventes[[#This Row],[CMP_par_portion]]</f>
        <v>0</v>
      </c>
      <c r="J4457" s="7">
        <f>tbl_Ventes[[#This Row],[CA ligne]] - tbl_Ventes[[#This Row],[Coût matière ligne]]</f>
        <v>0</v>
      </c>
      <c r="K4457" s="7" t="str">
        <f>IFERROR(INDEX(tbl_ProduitsRef[Famille], MATCH(tbl_Ventes[[#This Row],[Cde_Prdt]], tbl_Produits[Cde_Prdt], 0)), "")</f>
        <v/>
      </c>
    </row>
    <row r="4458" spans="1:11" x14ac:dyDescent="0.25">
      <c r="A4458" s="5"/>
      <c r="B4458" s="63" t="str">
        <f>IFERROR(TEXT(tbl_Ventes[[#This Row],[Date]],"mm-aaaa"),"")</f>
        <v>01-1900</v>
      </c>
      <c r="D4458" s="10" t="str">
        <f>IFERROR(
   INDEX(tbl_ProduitsRef[Cde_Prdt],MATCH(tbl_Ventes[[#This Row],[Produit]],tbl_ProduitsRef[Produit],0)),
   ""
)</f>
        <v/>
      </c>
      <c r="E4458" s="7">
        <v>0</v>
      </c>
      <c r="F4458" s="7" t="str">
        <f>IFERROR(
   INDEX(tbl_ProduitsRef[Prix Menu],MATCH(tbl_Ventes[[#This Row],[Produit]],tbl_ProduitsRef[Produit],0)),
   ""
)</f>
        <v/>
      </c>
      <c r="G4458" s="7">
        <f>tbl_Ventes[[#This Row],[Qté Vendue]] * IFERROR(_xlfn.XLOOKUP(tbl_Ventes[[#This Row],[Cde_Prdt]], tbl_Produits[Cde_Prdt], tbl_Produits[Prix Menu]), 0)</f>
        <v>0</v>
      </c>
      <c r="H4458" s="7">
        <f>IFERROR(_xlfn.XLOOKUP(tbl_Ventes[[#This Row],[Cde_Prdt]], tbl_Produits[Cde_Prdt], tbl_Produits[Coût Moyen Portion]), 0)</f>
        <v>0</v>
      </c>
      <c r="I4458" s="7">
        <f>tbl_Ventes[[#This Row],[Qté Vendue]] * tbl_Ventes[[#This Row],[CMP_par_portion]]</f>
        <v>0</v>
      </c>
      <c r="J4458" s="7">
        <f>tbl_Ventes[[#This Row],[CA ligne]] - tbl_Ventes[[#This Row],[Coût matière ligne]]</f>
        <v>0</v>
      </c>
      <c r="K4458" s="7" t="str">
        <f>IFERROR(INDEX(tbl_ProduitsRef[Famille], MATCH(tbl_Ventes[[#This Row],[Cde_Prdt]], tbl_Produits[Cde_Prdt], 0)), "")</f>
        <v/>
      </c>
    </row>
    <row r="4459" spans="1:11" x14ac:dyDescent="0.25">
      <c r="A4459" s="5"/>
      <c r="B4459" s="63" t="str">
        <f>IFERROR(TEXT(tbl_Ventes[[#This Row],[Date]],"mm-aaaa"),"")</f>
        <v>01-1900</v>
      </c>
      <c r="D4459" s="10" t="str">
        <f>IFERROR(
   INDEX(tbl_ProduitsRef[Cde_Prdt],MATCH(tbl_Ventes[[#This Row],[Produit]],tbl_ProduitsRef[Produit],0)),
   ""
)</f>
        <v/>
      </c>
      <c r="E4459" s="7">
        <v>0</v>
      </c>
      <c r="F4459" s="7" t="str">
        <f>IFERROR(
   INDEX(tbl_ProduitsRef[Prix Menu],MATCH(tbl_Ventes[[#This Row],[Produit]],tbl_ProduitsRef[Produit],0)),
   ""
)</f>
        <v/>
      </c>
      <c r="G4459" s="7">
        <f>tbl_Ventes[[#This Row],[Qté Vendue]] * IFERROR(_xlfn.XLOOKUP(tbl_Ventes[[#This Row],[Cde_Prdt]], tbl_Produits[Cde_Prdt], tbl_Produits[Prix Menu]), 0)</f>
        <v>0</v>
      </c>
      <c r="H4459" s="7">
        <f>IFERROR(_xlfn.XLOOKUP(tbl_Ventes[[#This Row],[Cde_Prdt]], tbl_Produits[Cde_Prdt], tbl_Produits[Coût Moyen Portion]), 0)</f>
        <v>0</v>
      </c>
      <c r="I4459" s="7">
        <f>tbl_Ventes[[#This Row],[Qté Vendue]] * tbl_Ventes[[#This Row],[CMP_par_portion]]</f>
        <v>0</v>
      </c>
      <c r="J4459" s="7">
        <f>tbl_Ventes[[#This Row],[CA ligne]] - tbl_Ventes[[#This Row],[Coût matière ligne]]</f>
        <v>0</v>
      </c>
      <c r="K4459" s="7" t="str">
        <f>IFERROR(INDEX(tbl_ProduitsRef[Famille], MATCH(tbl_Ventes[[#This Row],[Cde_Prdt]], tbl_Produits[Cde_Prdt], 0)), "")</f>
        <v/>
      </c>
    </row>
    <row r="4460" spans="1:11" x14ac:dyDescent="0.25">
      <c r="A4460" s="5"/>
      <c r="B4460" s="63" t="str">
        <f>IFERROR(TEXT(tbl_Ventes[[#This Row],[Date]],"mm-aaaa"),"")</f>
        <v>01-1900</v>
      </c>
      <c r="D4460" s="10" t="str">
        <f>IFERROR(
   INDEX(tbl_ProduitsRef[Cde_Prdt],MATCH(tbl_Ventes[[#This Row],[Produit]],tbl_ProduitsRef[Produit],0)),
   ""
)</f>
        <v/>
      </c>
      <c r="E4460" s="7">
        <v>0</v>
      </c>
      <c r="F4460" s="7" t="str">
        <f>IFERROR(
   INDEX(tbl_ProduitsRef[Prix Menu],MATCH(tbl_Ventes[[#This Row],[Produit]],tbl_ProduitsRef[Produit],0)),
   ""
)</f>
        <v/>
      </c>
      <c r="G4460" s="7">
        <f>tbl_Ventes[[#This Row],[Qté Vendue]] * IFERROR(_xlfn.XLOOKUP(tbl_Ventes[[#This Row],[Cde_Prdt]], tbl_Produits[Cde_Prdt], tbl_Produits[Prix Menu]), 0)</f>
        <v>0</v>
      </c>
      <c r="H4460" s="7">
        <f>IFERROR(_xlfn.XLOOKUP(tbl_Ventes[[#This Row],[Cde_Prdt]], tbl_Produits[Cde_Prdt], tbl_Produits[Coût Moyen Portion]), 0)</f>
        <v>0</v>
      </c>
      <c r="I4460" s="7">
        <f>tbl_Ventes[[#This Row],[Qté Vendue]] * tbl_Ventes[[#This Row],[CMP_par_portion]]</f>
        <v>0</v>
      </c>
      <c r="J4460" s="7">
        <f>tbl_Ventes[[#This Row],[CA ligne]] - tbl_Ventes[[#This Row],[Coût matière ligne]]</f>
        <v>0</v>
      </c>
      <c r="K4460" s="7" t="str">
        <f>IFERROR(INDEX(tbl_ProduitsRef[Famille], MATCH(tbl_Ventes[[#This Row],[Cde_Prdt]], tbl_Produits[Cde_Prdt], 0)), "")</f>
        <v/>
      </c>
    </row>
    <row r="4461" spans="1:11" x14ac:dyDescent="0.25">
      <c r="A4461" s="5"/>
      <c r="B4461" s="63" t="str">
        <f>IFERROR(TEXT(tbl_Ventes[[#This Row],[Date]],"mm-aaaa"),"")</f>
        <v>01-1900</v>
      </c>
      <c r="D4461" s="10" t="str">
        <f>IFERROR(
   INDEX(tbl_ProduitsRef[Cde_Prdt],MATCH(tbl_Ventes[[#This Row],[Produit]],tbl_ProduitsRef[Produit],0)),
   ""
)</f>
        <v/>
      </c>
      <c r="E4461" s="7">
        <v>0</v>
      </c>
      <c r="F4461" s="7" t="str">
        <f>IFERROR(
   INDEX(tbl_ProduitsRef[Prix Menu],MATCH(tbl_Ventes[[#This Row],[Produit]],tbl_ProduitsRef[Produit],0)),
   ""
)</f>
        <v/>
      </c>
      <c r="G4461" s="7">
        <f>tbl_Ventes[[#This Row],[Qté Vendue]] * IFERROR(_xlfn.XLOOKUP(tbl_Ventes[[#This Row],[Cde_Prdt]], tbl_Produits[Cde_Prdt], tbl_Produits[Prix Menu]), 0)</f>
        <v>0</v>
      </c>
      <c r="H4461" s="7">
        <f>IFERROR(_xlfn.XLOOKUP(tbl_Ventes[[#This Row],[Cde_Prdt]], tbl_Produits[Cde_Prdt], tbl_Produits[Coût Moyen Portion]), 0)</f>
        <v>0</v>
      </c>
      <c r="I4461" s="7">
        <f>tbl_Ventes[[#This Row],[Qté Vendue]] * tbl_Ventes[[#This Row],[CMP_par_portion]]</f>
        <v>0</v>
      </c>
      <c r="J4461" s="7">
        <f>tbl_Ventes[[#This Row],[CA ligne]] - tbl_Ventes[[#This Row],[Coût matière ligne]]</f>
        <v>0</v>
      </c>
      <c r="K4461" s="7" t="str">
        <f>IFERROR(INDEX(tbl_ProduitsRef[Famille], MATCH(tbl_Ventes[[#This Row],[Cde_Prdt]], tbl_Produits[Cde_Prdt], 0)), "")</f>
        <v/>
      </c>
    </row>
    <row r="4462" spans="1:11" x14ac:dyDescent="0.25">
      <c r="A4462" s="5"/>
      <c r="B4462" s="63" t="str">
        <f>IFERROR(TEXT(tbl_Ventes[[#This Row],[Date]],"mm-aaaa"),"")</f>
        <v>01-1900</v>
      </c>
      <c r="D4462" s="10" t="str">
        <f>IFERROR(
   INDEX(tbl_ProduitsRef[Cde_Prdt],MATCH(tbl_Ventes[[#This Row],[Produit]],tbl_ProduitsRef[Produit],0)),
   ""
)</f>
        <v/>
      </c>
      <c r="E4462" s="7">
        <v>0</v>
      </c>
      <c r="F4462" s="7" t="str">
        <f>IFERROR(
   INDEX(tbl_ProduitsRef[Prix Menu],MATCH(tbl_Ventes[[#This Row],[Produit]],tbl_ProduitsRef[Produit],0)),
   ""
)</f>
        <v/>
      </c>
      <c r="G4462" s="7">
        <f>tbl_Ventes[[#This Row],[Qté Vendue]] * IFERROR(_xlfn.XLOOKUP(tbl_Ventes[[#This Row],[Cde_Prdt]], tbl_Produits[Cde_Prdt], tbl_Produits[Prix Menu]), 0)</f>
        <v>0</v>
      </c>
      <c r="H4462" s="7">
        <f>IFERROR(_xlfn.XLOOKUP(tbl_Ventes[[#This Row],[Cde_Prdt]], tbl_Produits[Cde_Prdt], tbl_Produits[Coût Moyen Portion]), 0)</f>
        <v>0</v>
      </c>
      <c r="I4462" s="7">
        <f>tbl_Ventes[[#This Row],[Qté Vendue]] * tbl_Ventes[[#This Row],[CMP_par_portion]]</f>
        <v>0</v>
      </c>
      <c r="J4462" s="7">
        <f>tbl_Ventes[[#This Row],[CA ligne]] - tbl_Ventes[[#This Row],[Coût matière ligne]]</f>
        <v>0</v>
      </c>
      <c r="K4462" s="7" t="str">
        <f>IFERROR(INDEX(tbl_ProduitsRef[Famille], MATCH(tbl_Ventes[[#This Row],[Cde_Prdt]], tbl_Produits[Cde_Prdt], 0)), "")</f>
        <v/>
      </c>
    </row>
    <row r="4463" spans="1:11" x14ac:dyDescent="0.25">
      <c r="A4463" s="5"/>
      <c r="B4463" s="63" t="str">
        <f>IFERROR(TEXT(tbl_Ventes[[#This Row],[Date]],"mm-aaaa"),"")</f>
        <v>01-1900</v>
      </c>
      <c r="D4463" s="10" t="str">
        <f>IFERROR(
   INDEX(tbl_ProduitsRef[Cde_Prdt],MATCH(tbl_Ventes[[#This Row],[Produit]],tbl_ProduitsRef[Produit],0)),
   ""
)</f>
        <v/>
      </c>
      <c r="E4463" s="7">
        <v>0</v>
      </c>
      <c r="F4463" s="7" t="str">
        <f>IFERROR(
   INDEX(tbl_ProduitsRef[Prix Menu],MATCH(tbl_Ventes[[#This Row],[Produit]],tbl_ProduitsRef[Produit],0)),
   ""
)</f>
        <v/>
      </c>
      <c r="G4463" s="7">
        <f>tbl_Ventes[[#This Row],[Qté Vendue]] * IFERROR(_xlfn.XLOOKUP(tbl_Ventes[[#This Row],[Cde_Prdt]], tbl_Produits[Cde_Prdt], tbl_Produits[Prix Menu]), 0)</f>
        <v>0</v>
      </c>
      <c r="H4463" s="7">
        <f>IFERROR(_xlfn.XLOOKUP(tbl_Ventes[[#This Row],[Cde_Prdt]], tbl_Produits[Cde_Prdt], tbl_Produits[Coût Moyen Portion]), 0)</f>
        <v>0</v>
      </c>
      <c r="I4463" s="7">
        <f>tbl_Ventes[[#This Row],[Qté Vendue]] * tbl_Ventes[[#This Row],[CMP_par_portion]]</f>
        <v>0</v>
      </c>
      <c r="J4463" s="7">
        <f>tbl_Ventes[[#This Row],[CA ligne]] - tbl_Ventes[[#This Row],[Coût matière ligne]]</f>
        <v>0</v>
      </c>
      <c r="K4463" s="7" t="str">
        <f>IFERROR(INDEX(tbl_ProduitsRef[Famille], MATCH(tbl_Ventes[[#This Row],[Cde_Prdt]], tbl_Produits[Cde_Prdt], 0)), "")</f>
        <v/>
      </c>
    </row>
    <row r="4464" spans="1:11" x14ac:dyDescent="0.25">
      <c r="A4464" s="5"/>
      <c r="B4464" s="63" t="str">
        <f>IFERROR(TEXT(tbl_Ventes[[#This Row],[Date]],"mm-aaaa"),"")</f>
        <v>01-1900</v>
      </c>
      <c r="D4464" s="10" t="str">
        <f>IFERROR(
   INDEX(tbl_ProduitsRef[Cde_Prdt],MATCH(tbl_Ventes[[#This Row],[Produit]],tbl_ProduitsRef[Produit],0)),
   ""
)</f>
        <v/>
      </c>
      <c r="E4464" s="7">
        <v>0</v>
      </c>
      <c r="F4464" s="7" t="str">
        <f>IFERROR(
   INDEX(tbl_ProduitsRef[Prix Menu],MATCH(tbl_Ventes[[#This Row],[Produit]],tbl_ProduitsRef[Produit],0)),
   ""
)</f>
        <v/>
      </c>
      <c r="G4464" s="7">
        <f>tbl_Ventes[[#This Row],[Qté Vendue]] * IFERROR(_xlfn.XLOOKUP(tbl_Ventes[[#This Row],[Cde_Prdt]], tbl_Produits[Cde_Prdt], tbl_Produits[Prix Menu]), 0)</f>
        <v>0</v>
      </c>
      <c r="H4464" s="7">
        <f>IFERROR(_xlfn.XLOOKUP(tbl_Ventes[[#This Row],[Cde_Prdt]], tbl_Produits[Cde_Prdt], tbl_Produits[Coût Moyen Portion]), 0)</f>
        <v>0</v>
      </c>
      <c r="I4464" s="7">
        <f>tbl_Ventes[[#This Row],[Qté Vendue]] * tbl_Ventes[[#This Row],[CMP_par_portion]]</f>
        <v>0</v>
      </c>
      <c r="J4464" s="7">
        <f>tbl_Ventes[[#This Row],[CA ligne]] - tbl_Ventes[[#This Row],[Coût matière ligne]]</f>
        <v>0</v>
      </c>
      <c r="K4464" s="7" t="str">
        <f>IFERROR(INDEX(tbl_ProduitsRef[Famille], MATCH(tbl_Ventes[[#This Row],[Cde_Prdt]], tbl_Produits[Cde_Prdt], 0)), "")</f>
        <v/>
      </c>
    </row>
    <row r="4465" spans="1:11" x14ac:dyDescent="0.25">
      <c r="A4465" s="5"/>
      <c r="B4465" s="63" t="str">
        <f>IFERROR(TEXT(tbl_Ventes[[#This Row],[Date]],"mm-aaaa"),"")</f>
        <v>01-1900</v>
      </c>
      <c r="D4465" s="10" t="str">
        <f>IFERROR(
   INDEX(tbl_ProduitsRef[Cde_Prdt],MATCH(tbl_Ventes[[#This Row],[Produit]],tbl_ProduitsRef[Produit],0)),
   ""
)</f>
        <v/>
      </c>
      <c r="E4465" s="7">
        <v>0</v>
      </c>
      <c r="F4465" s="7" t="str">
        <f>IFERROR(
   INDEX(tbl_ProduitsRef[Prix Menu],MATCH(tbl_Ventes[[#This Row],[Produit]],tbl_ProduitsRef[Produit],0)),
   ""
)</f>
        <v/>
      </c>
      <c r="G4465" s="7">
        <f>tbl_Ventes[[#This Row],[Qté Vendue]] * IFERROR(_xlfn.XLOOKUP(tbl_Ventes[[#This Row],[Cde_Prdt]], tbl_Produits[Cde_Prdt], tbl_Produits[Prix Menu]), 0)</f>
        <v>0</v>
      </c>
      <c r="H4465" s="7">
        <f>IFERROR(_xlfn.XLOOKUP(tbl_Ventes[[#This Row],[Cde_Prdt]], tbl_Produits[Cde_Prdt], tbl_Produits[Coût Moyen Portion]), 0)</f>
        <v>0</v>
      </c>
      <c r="I4465" s="7">
        <f>tbl_Ventes[[#This Row],[Qté Vendue]] * tbl_Ventes[[#This Row],[CMP_par_portion]]</f>
        <v>0</v>
      </c>
      <c r="J4465" s="7">
        <f>tbl_Ventes[[#This Row],[CA ligne]] - tbl_Ventes[[#This Row],[Coût matière ligne]]</f>
        <v>0</v>
      </c>
      <c r="K4465" s="7" t="str">
        <f>IFERROR(INDEX(tbl_ProduitsRef[Famille], MATCH(tbl_Ventes[[#This Row],[Cde_Prdt]], tbl_Produits[Cde_Prdt], 0)), "")</f>
        <v/>
      </c>
    </row>
    <row r="4466" spans="1:11" x14ac:dyDescent="0.25">
      <c r="A4466" s="5"/>
      <c r="B4466" s="63" t="str">
        <f>IFERROR(TEXT(tbl_Ventes[[#This Row],[Date]],"mm-aaaa"),"")</f>
        <v>01-1900</v>
      </c>
      <c r="D4466" s="10" t="str">
        <f>IFERROR(
   INDEX(tbl_ProduitsRef[Cde_Prdt],MATCH(tbl_Ventes[[#This Row],[Produit]],tbl_ProduitsRef[Produit],0)),
   ""
)</f>
        <v/>
      </c>
      <c r="E4466" s="7">
        <v>0</v>
      </c>
      <c r="F4466" s="7" t="str">
        <f>IFERROR(
   INDEX(tbl_ProduitsRef[Prix Menu],MATCH(tbl_Ventes[[#This Row],[Produit]],tbl_ProduitsRef[Produit],0)),
   ""
)</f>
        <v/>
      </c>
      <c r="G4466" s="7">
        <f>tbl_Ventes[[#This Row],[Qté Vendue]] * IFERROR(_xlfn.XLOOKUP(tbl_Ventes[[#This Row],[Cde_Prdt]], tbl_Produits[Cde_Prdt], tbl_Produits[Prix Menu]), 0)</f>
        <v>0</v>
      </c>
      <c r="H4466" s="7">
        <f>IFERROR(_xlfn.XLOOKUP(tbl_Ventes[[#This Row],[Cde_Prdt]], tbl_Produits[Cde_Prdt], tbl_Produits[Coût Moyen Portion]), 0)</f>
        <v>0</v>
      </c>
      <c r="I4466" s="7">
        <f>tbl_Ventes[[#This Row],[Qté Vendue]] * tbl_Ventes[[#This Row],[CMP_par_portion]]</f>
        <v>0</v>
      </c>
      <c r="J4466" s="7">
        <f>tbl_Ventes[[#This Row],[CA ligne]] - tbl_Ventes[[#This Row],[Coût matière ligne]]</f>
        <v>0</v>
      </c>
      <c r="K4466" s="7" t="str">
        <f>IFERROR(INDEX(tbl_ProduitsRef[Famille], MATCH(tbl_Ventes[[#This Row],[Cde_Prdt]], tbl_Produits[Cde_Prdt], 0)), "")</f>
        <v/>
      </c>
    </row>
    <row r="4467" spans="1:11" x14ac:dyDescent="0.25">
      <c r="A4467" s="5"/>
      <c r="B4467" s="63" t="str">
        <f>IFERROR(TEXT(tbl_Ventes[[#This Row],[Date]],"mm-aaaa"),"")</f>
        <v>01-1900</v>
      </c>
      <c r="D4467" s="10" t="str">
        <f>IFERROR(
   INDEX(tbl_ProduitsRef[Cde_Prdt],MATCH(tbl_Ventes[[#This Row],[Produit]],tbl_ProduitsRef[Produit],0)),
   ""
)</f>
        <v/>
      </c>
      <c r="E4467" s="7">
        <v>0</v>
      </c>
      <c r="F4467" s="7" t="str">
        <f>IFERROR(
   INDEX(tbl_ProduitsRef[Prix Menu],MATCH(tbl_Ventes[[#This Row],[Produit]],tbl_ProduitsRef[Produit],0)),
   ""
)</f>
        <v/>
      </c>
      <c r="G4467" s="7">
        <f>tbl_Ventes[[#This Row],[Qté Vendue]] * IFERROR(_xlfn.XLOOKUP(tbl_Ventes[[#This Row],[Cde_Prdt]], tbl_Produits[Cde_Prdt], tbl_Produits[Prix Menu]), 0)</f>
        <v>0</v>
      </c>
      <c r="H4467" s="7">
        <f>IFERROR(_xlfn.XLOOKUP(tbl_Ventes[[#This Row],[Cde_Prdt]], tbl_Produits[Cde_Prdt], tbl_Produits[Coût Moyen Portion]), 0)</f>
        <v>0</v>
      </c>
      <c r="I4467" s="7">
        <f>tbl_Ventes[[#This Row],[Qté Vendue]] * tbl_Ventes[[#This Row],[CMP_par_portion]]</f>
        <v>0</v>
      </c>
      <c r="J4467" s="7">
        <f>tbl_Ventes[[#This Row],[CA ligne]] - tbl_Ventes[[#This Row],[Coût matière ligne]]</f>
        <v>0</v>
      </c>
      <c r="K4467" s="7" t="str">
        <f>IFERROR(INDEX(tbl_ProduitsRef[Famille], MATCH(tbl_Ventes[[#This Row],[Cde_Prdt]], tbl_Produits[Cde_Prdt], 0)), "")</f>
        <v/>
      </c>
    </row>
    <row r="4468" spans="1:11" x14ac:dyDescent="0.25">
      <c r="A4468" s="5"/>
      <c r="B4468" s="63" t="str">
        <f>IFERROR(TEXT(tbl_Ventes[[#This Row],[Date]],"mm-aaaa"),"")</f>
        <v>01-1900</v>
      </c>
      <c r="D4468" s="10" t="str">
        <f>IFERROR(
   INDEX(tbl_ProduitsRef[Cde_Prdt],MATCH(tbl_Ventes[[#This Row],[Produit]],tbl_ProduitsRef[Produit],0)),
   ""
)</f>
        <v/>
      </c>
      <c r="E4468" s="7">
        <v>0</v>
      </c>
      <c r="F4468" s="7" t="str">
        <f>IFERROR(
   INDEX(tbl_ProduitsRef[Prix Menu],MATCH(tbl_Ventes[[#This Row],[Produit]],tbl_ProduitsRef[Produit],0)),
   ""
)</f>
        <v/>
      </c>
      <c r="G4468" s="7">
        <f>tbl_Ventes[[#This Row],[Qté Vendue]] * IFERROR(_xlfn.XLOOKUP(tbl_Ventes[[#This Row],[Cde_Prdt]], tbl_Produits[Cde_Prdt], tbl_Produits[Prix Menu]), 0)</f>
        <v>0</v>
      </c>
      <c r="H4468" s="7">
        <f>IFERROR(_xlfn.XLOOKUP(tbl_Ventes[[#This Row],[Cde_Prdt]], tbl_Produits[Cde_Prdt], tbl_Produits[Coût Moyen Portion]), 0)</f>
        <v>0</v>
      </c>
      <c r="I4468" s="7">
        <f>tbl_Ventes[[#This Row],[Qté Vendue]] * tbl_Ventes[[#This Row],[CMP_par_portion]]</f>
        <v>0</v>
      </c>
      <c r="J4468" s="7">
        <f>tbl_Ventes[[#This Row],[CA ligne]] - tbl_Ventes[[#This Row],[Coût matière ligne]]</f>
        <v>0</v>
      </c>
      <c r="K4468" s="7" t="str">
        <f>IFERROR(INDEX(tbl_ProduitsRef[Famille], MATCH(tbl_Ventes[[#This Row],[Cde_Prdt]], tbl_Produits[Cde_Prdt], 0)), "")</f>
        <v/>
      </c>
    </row>
    <row r="4469" spans="1:11" x14ac:dyDescent="0.25">
      <c r="A4469" s="5"/>
      <c r="B4469" s="63" t="str">
        <f>IFERROR(TEXT(tbl_Ventes[[#This Row],[Date]],"mm-aaaa"),"")</f>
        <v>01-1900</v>
      </c>
      <c r="D4469" s="10" t="str">
        <f>IFERROR(
   INDEX(tbl_ProduitsRef[Cde_Prdt],MATCH(tbl_Ventes[[#This Row],[Produit]],tbl_ProduitsRef[Produit],0)),
   ""
)</f>
        <v/>
      </c>
      <c r="E4469" s="7">
        <v>0</v>
      </c>
      <c r="F4469" s="7" t="str">
        <f>IFERROR(
   INDEX(tbl_ProduitsRef[Prix Menu],MATCH(tbl_Ventes[[#This Row],[Produit]],tbl_ProduitsRef[Produit],0)),
   ""
)</f>
        <v/>
      </c>
      <c r="G4469" s="7">
        <f>tbl_Ventes[[#This Row],[Qté Vendue]] * IFERROR(_xlfn.XLOOKUP(tbl_Ventes[[#This Row],[Cde_Prdt]], tbl_Produits[Cde_Prdt], tbl_Produits[Prix Menu]), 0)</f>
        <v>0</v>
      </c>
      <c r="H4469" s="7">
        <f>IFERROR(_xlfn.XLOOKUP(tbl_Ventes[[#This Row],[Cde_Prdt]], tbl_Produits[Cde_Prdt], tbl_Produits[Coût Moyen Portion]), 0)</f>
        <v>0</v>
      </c>
      <c r="I4469" s="7">
        <f>tbl_Ventes[[#This Row],[Qté Vendue]] * tbl_Ventes[[#This Row],[CMP_par_portion]]</f>
        <v>0</v>
      </c>
      <c r="J4469" s="7">
        <f>tbl_Ventes[[#This Row],[CA ligne]] - tbl_Ventes[[#This Row],[Coût matière ligne]]</f>
        <v>0</v>
      </c>
      <c r="K4469" s="7" t="str">
        <f>IFERROR(INDEX(tbl_ProduitsRef[Famille], MATCH(tbl_Ventes[[#This Row],[Cde_Prdt]], tbl_Produits[Cde_Prdt], 0)), "")</f>
        <v/>
      </c>
    </row>
    <row r="4470" spans="1:11" x14ac:dyDescent="0.25">
      <c r="A4470" s="5"/>
      <c r="B4470" s="63" t="str">
        <f>IFERROR(TEXT(tbl_Ventes[[#This Row],[Date]],"mm-aaaa"),"")</f>
        <v>01-1900</v>
      </c>
      <c r="D4470" s="10" t="str">
        <f>IFERROR(
   INDEX(tbl_ProduitsRef[Cde_Prdt],MATCH(tbl_Ventes[[#This Row],[Produit]],tbl_ProduitsRef[Produit],0)),
   ""
)</f>
        <v/>
      </c>
      <c r="E4470" s="7">
        <v>0</v>
      </c>
      <c r="F4470" s="7" t="str">
        <f>IFERROR(
   INDEX(tbl_ProduitsRef[Prix Menu],MATCH(tbl_Ventes[[#This Row],[Produit]],tbl_ProduitsRef[Produit],0)),
   ""
)</f>
        <v/>
      </c>
      <c r="G4470" s="7">
        <f>tbl_Ventes[[#This Row],[Qté Vendue]] * IFERROR(_xlfn.XLOOKUP(tbl_Ventes[[#This Row],[Cde_Prdt]], tbl_Produits[Cde_Prdt], tbl_Produits[Prix Menu]), 0)</f>
        <v>0</v>
      </c>
      <c r="H4470" s="7">
        <f>IFERROR(_xlfn.XLOOKUP(tbl_Ventes[[#This Row],[Cde_Prdt]], tbl_Produits[Cde_Prdt], tbl_Produits[Coût Moyen Portion]), 0)</f>
        <v>0</v>
      </c>
      <c r="I4470" s="7">
        <f>tbl_Ventes[[#This Row],[Qté Vendue]] * tbl_Ventes[[#This Row],[CMP_par_portion]]</f>
        <v>0</v>
      </c>
      <c r="J4470" s="7">
        <f>tbl_Ventes[[#This Row],[CA ligne]] - tbl_Ventes[[#This Row],[Coût matière ligne]]</f>
        <v>0</v>
      </c>
      <c r="K4470" s="7" t="str">
        <f>IFERROR(INDEX(tbl_ProduitsRef[Famille], MATCH(tbl_Ventes[[#This Row],[Cde_Prdt]], tbl_Produits[Cde_Prdt], 0)), "")</f>
        <v/>
      </c>
    </row>
    <row r="4471" spans="1:11" x14ac:dyDescent="0.25">
      <c r="A4471" s="5"/>
      <c r="B4471" s="63" t="str">
        <f>IFERROR(TEXT(tbl_Ventes[[#This Row],[Date]],"mm-aaaa"),"")</f>
        <v>01-1900</v>
      </c>
      <c r="D4471" s="10" t="str">
        <f>IFERROR(
   INDEX(tbl_ProduitsRef[Cde_Prdt],MATCH(tbl_Ventes[[#This Row],[Produit]],tbl_ProduitsRef[Produit],0)),
   ""
)</f>
        <v/>
      </c>
      <c r="E4471" s="7">
        <v>0</v>
      </c>
      <c r="F4471" s="7" t="str">
        <f>IFERROR(
   INDEX(tbl_ProduitsRef[Prix Menu],MATCH(tbl_Ventes[[#This Row],[Produit]],tbl_ProduitsRef[Produit],0)),
   ""
)</f>
        <v/>
      </c>
      <c r="G4471" s="7">
        <f>tbl_Ventes[[#This Row],[Qté Vendue]] * IFERROR(_xlfn.XLOOKUP(tbl_Ventes[[#This Row],[Cde_Prdt]], tbl_Produits[Cde_Prdt], tbl_Produits[Prix Menu]), 0)</f>
        <v>0</v>
      </c>
      <c r="H4471" s="7">
        <f>IFERROR(_xlfn.XLOOKUP(tbl_Ventes[[#This Row],[Cde_Prdt]], tbl_Produits[Cde_Prdt], tbl_Produits[Coût Moyen Portion]), 0)</f>
        <v>0</v>
      </c>
      <c r="I4471" s="7">
        <f>tbl_Ventes[[#This Row],[Qté Vendue]] * tbl_Ventes[[#This Row],[CMP_par_portion]]</f>
        <v>0</v>
      </c>
      <c r="J4471" s="7">
        <f>tbl_Ventes[[#This Row],[CA ligne]] - tbl_Ventes[[#This Row],[Coût matière ligne]]</f>
        <v>0</v>
      </c>
      <c r="K4471" s="7" t="str">
        <f>IFERROR(INDEX(tbl_ProduitsRef[Famille], MATCH(tbl_Ventes[[#This Row],[Cde_Prdt]], tbl_Produits[Cde_Prdt], 0)), "")</f>
        <v/>
      </c>
    </row>
    <row r="4472" spans="1:11" x14ac:dyDescent="0.25">
      <c r="A4472" s="5"/>
      <c r="B4472" s="63" t="str">
        <f>IFERROR(TEXT(tbl_Ventes[[#This Row],[Date]],"mm-aaaa"),"")</f>
        <v>01-1900</v>
      </c>
      <c r="D4472" s="10" t="str">
        <f>IFERROR(
   INDEX(tbl_ProduitsRef[Cde_Prdt],MATCH(tbl_Ventes[[#This Row],[Produit]],tbl_ProduitsRef[Produit],0)),
   ""
)</f>
        <v/>
      </c>
      <c r="E4472" s="7">
        <v>0</v>
      </c>
      <c r="F4472" s="7" t="str">
        <f>IFERROR(
   INDEX(tbl_ProduitsRef[Prix Menu],MATCH(tbl_Ventes[[#This Row],[Produit]],tbl_ProduitsRef[Produit],0)),
   ""
)</f>
        <v/>
      </c>
      <c r="G4472" s="7">
        <f>tbl_Ventes[[#This Row],[Qté Vendue]] * IFERROR(_xlfn.XLOOKUP(tbl_Ventes[[#This Row],[Cde_Prdt]], tbl_Produits[Cde_Prdt], tbl_Produits[Prix Menu]), 0)</f>
        <v>0</v>
      </c>
      <c r="H4472" s="7">
        <f>IFERROR(_xlfn.XLOOKUP(tbl_Ventes[[#This Row],[Cde_Prdt]], tbl_Produits[Cde_Prdt], tbl_Produits[Coût Moyen Portion]), 0)</f>
        <v>0</v>
      </c>
      <c r="I4472" s="7">
        <f>tbl_Ventes[[#This Row],[Qté Vendue]] * tbl_Ventes[[#This Row],[CMP_par_portion]]</f>
        <v>0</v>
      </c>
      <c r="J4472" s="7">
        <f>tbl_Ventes[[#This Row],[CA ligne]] - tbl_Ventes[[#This Row],[Coût matière ligne]]</f>
        <v>0</v>
      </c>
      <c r="K4472" s="7" t="str">
        <f>IFERROR(INDEX(tbl_ProduitsRef[Famille], MATCH(tbl_Ventes[[#This Row],[Cde_Prdt]], tbl_Produits[Cde_Prdt], 0)), "")</f>
        <v/>
      </c>
    </row>
    <row r="4473" spans="1:11" x14ac:dyDescent="0.25">
      <c r="A4473" s="5"/>
      <c r="B4473" s="63" t="str">
        <f>IFERROR(TEXT(tbl_Ventes[[#This Row],[Date]],"mm-aaaa"),"")</f>
        <v>01-1900</v>
      </c>
      <c r="D4473" s="10" t="str">
        <f>IFERROR(
   INDEX(tbl_ProduitsRef[Cde_Prdt],MATCH(tbl_Ventes[[#This Row],[Produit]],tbl_ProduitsRef[Produit],0)),
   ""
)</f>
        <v/>
      </c>
      <c r="E4473" s="7">
        <v>0</v>
      </c>
      <c r="F4473" s="7" t="str">
        <f>IFERROR(
   INDEX(tbl_ProduitsRef[Prix Menu],MATCH(tbl_Ventes[[#This Row],[Produit]],tbl_ProduitsRef[Produit],0)),
   ""
)</f>
        <v/>
      </c>
      <c r="G4473" s="7">
        <f>tbl_Ventes[[#This Row],[Qté Vendue]] * IFERROR(_xlfn.XLOOKUP(tbl_Ventes[[#This Row],[Cde_Prdt]], tbl_Produits[Cde_Prdt], tbl_Produits[Prix Menu]), 0)</f>
        <v>0</v>
      </c>
      <c r="H4473" s="7">
        <f>IFERROR(_xlfn.XLOOKUP(tbl_Ventes[[#This Row],[Cde_Prdt]], tbl_Produits[Cde_Prdt], tbl_Produits[Coût Moyen Portion]), 0)</f>
        <v>0</v>
      </c>
      <c r="I4473" s="7">
        <f>tbl_Ventes[[#This Row],[Qté Vendue]] * tbl_Ventes[[#This Row],[CMP_par_portion]]</f>
        <v>0</v>
      </c>
      <c r="J4473" s="7">
        <f>tbl_Ventes[[#This Row],[CA ligne]] - tbl_Ventes[[#This Row],[Coût matière ligne]]</f>
        <v>0</v>
      </c>
      <c r="K4473" s="7" t="str">
        <f>IFERROR(INDEX(tbl_ProduitsRef[Famille], MATCH(tbl_Ventes[[#This Row],[Cde_Prdt]], tbl_Produits[Cde_Prdt], 0)), "")</f>
        <v/>
      </c>
    </row>
    <row r="4474" spans="1:11" x14ac:dyDescent="0.25">
      <c r="A4474" s="5"/>
      <c r="B4474" s="63" t="str">
        <f>IFERROR(TEXT(tbl_Ventes[[#This Row],[Date]],"mm-aaaa"),"")</f>
        <v>01-1900</v>
      </c>
      <c r="D4474" s="10" t="str">
        <f>IFERROR(
   INDEX(tbl_ProduitsRef[Cde_Prdt],MATCH(tbl_Ventes[[#This Row],[Produit]],tbl_ProduitsRef[Produit],0)),
   ""
)</f>
        <v/>
      </c>
      <c r="E4474" s="7">
        <v>0</v>
      </c>
      <c r="F4474" s="7" t="str">
        <f>IFERROR(
   INDEX(tbl_ProduitsRef[Prix Menu],MATCH(tbl_Ventes[[#This Row],[Produit]],tbl_ProduitsRef[Produit],0)),
   ""
)</f>
        <v/>
      </c>
      <c r="G4474" s="7">
        <f>tbl_Ventes[[#This Row],[Qté Vendue]] * IFERROR(_xlfn.XLOOKUP(tbl_Ventes[[#This Row],[Cde_Prdt]], tbl_Produits[Cde_Prdt], tbl_Produits[Prix Menu]), 0)</f>
        <v>0</v>
      </c>
      <c r="H4474" s="7">
        <f>IFERROR(_xlfn.XLOOKUP(tbl_Ventes[[#This Row],[Cde_Prdt]], tbl_Produits[Cde_Prdt], tbl_Produits[Coût Moyen Portion]), 0)</f>
        <v>0</v>
      </c>
      <c r="I4474" s="7">
        <f>tbl_Ventes[[#This Row],[Qté Vendue]] * tbl_Ventes[[#This Row],[CMP_par_portion]]</f>
        <v>0</v>
      </c>
      <c r="J4474" s="7">
        <f>tbl_Ventes[[#This Row],[CA ligne]] - tbl_Ventes[[#This Row],[Coût matière ligne]]</f>
        <v>0</v>
      </c>
      <c r="K4474" s="7" t="str">
        <f>IFERROR(INDEX(tbl_ProduitsRef[Famille], MATCH(tbl_Ventes[[#This Row],[Cde_Prdt]], tbl_Produits[Cde_Prdt], 0)), "")</f>
        <v/>
      </c>
    </row>
    <row r="4475" spans="1:11" x14ac:dyDescent="0.25">
      <c r="A4475" s="5"/>
      <c r="B4475" s="63" t="str">
        <f>IFERROR(TEXT(tbl_Ventes[[#This Row],[Date]],"mm-aaaa"),"")</f>
        <v>01-1900</v>
      </c>
      <c r="D4475" s="10" t="str">
        <f>IFERROR(
   INDEX(tbl_ProduitsRef[Cde_Prdt],MATCH(tbl_Ventes[[#This Row],[Produit]],tbl_ProduitsRef[Produit],0)),
   ""
)</f>
        <v/>
      </c>
      <c r="E4475" s="7">
        <v>0</v>
      </c>
      <c r="F4475" s="7" t="str">
        <f>IFERROR(
   INDEX(tbl_ProduitsRef[Prix Menu],MATCH(tbl_Ventes[[#This Row],[Produit]],tbl_ProduitsRef[Produit],0)),
   ""
)</f>
        <v/>
      </c>
      <c r="G4475" s="7">
        <f>tbl_Ventes[[#This Row],[Qté Vendue]] * IFERROR(_xlfn.XLOOKUP(tbl_Ventes[[#This Row],[Cde_Prdt]], tbl_Produits[Cde_Prdt], tbl_Produits[Prix Menu]), 0)</f>
        <v>0</v>
      </c>
      <c r="H4475" s="7">
        <f>IFERROR(_xlfn.XLOOKUP(tbl_Ventes[[#This Row],[Cde_Prdt]], tbl_Produits[Cde_Prdt], tbl_Produits[Coût Moyen Portion]), 0)</f>
        <v>0</v>
      </c>
      <c r="I4475" s="7">
        <f>tbl_Ventes[[#This Row],[Qté Vendue]] * tbl_Ventes[[#This Row],[CMP_par_portion]]</f>
        <v>0</v>
      </c>
      <c r="J4475" s="7">
        <f>tbl_Ventes[[#This Row],[CA ligne]] - tbl_Ventes[[#This Row],[Coût matière ligne]]</f>
        <v>0</v>
      </c>
      <c r="K4475" s="7" t="str">
        <f>IFERROR(INDEX(tbl_ProduitsRef[Famille], MATCH(tbl_Ventes[[#This Row],[Cde_Prdt]], tbl_Produits[Cde_Prdt], 0)), "")</f>
        <v/>
      </c>
    </row>
    <row r="4476" spans="1:11" x14ac:dyDescent="0.25">
      <c r="A4476" s="5"/>
      <c r="B4476" s="63" t="str">
        <f>IFERROR(TEXT(tbl_Ventes[[#This Row],[Date]],"mm-aaaa"),"")</f>
        <v>01-1900</v>
      </c>
      <c r="D4476" s="10" t="str">
        <f>IFERROR(
   INDEX(tbl_ProduitsRef[Cde_Prdt],MATCH(tbl_Ventes[[#This Row],[Produit]],tbl_ProduitsRef[Produit],0)),
   ""
)</f>
        <v/>
      </c>
      <c r="E4476" s="7">
        <v>0</v>
      </c>
      <c r="F4476" s="7" t="str">
        <f>IFERROR(
   INDEX(tbl_ProduitsRef[Prix Menu],MATCH(tbl_Ventes[[#This Row],[Produit]],tbl_ProduitsRef[Produit],0)),
   ""
)</f>
        <v/>
      </c>
      <c r="G4476" s="7">
        <f>tbl_Ventes[[#This Row],[Qté Vendue]] * IFERROR(_xlfn.XLOOKUP(tbl_Ventes[[#This Row],[Cde_Prdt]], tbl_Produits[Cde_Prdt], tbl_Produits[Prix Menu]), 0)</f>
        <v>0</v>
      </c>
      <c r="H4476" s="7">
        <f>IFERROR(_xlfn.XLOOKUP(tbl_Ventes[[#This Row],[Cde_Prdt]], tbl_Produits[Cde_Prdt], tbl_Produits[Coût Moyen Portion]), 0)</f>
        <v>0</v>
      </c>
      <c r="I4476" s="7">
        <f>tbl_Ventes[[#This Row],[Qté Vendue]] * tbl_Ventes[[#This Row],[CMP_par_portion]]</f>
        <v>0</v>
      </c>
      <c r="J4476" s="7">
        <f>tbl_Ventes[[#This Row],[CA ligne]] - tbl_Ventes[[#This Row],[Coût matière ligne]]</f>
        <v>0</v>
      </c>
      <c r="K4476" s="7" t="str">
        <f>IFERROR(INDEX(tbl_ProduitsRef[Famille], MATCH(tbl_Ventes[[#This Row],[Cde_Prdt]], tbl_Produits[Cde_Prdt], 0)), "")</f>
        <v/>
      </c>
    </row>
    <row r="4477" spans="1:11" x14ac:dyDescent="0.25">
      <c r="A4477" s="5"/>
      <c r="B4477" s="63" t="str">
        <f>IFERROR(TEXT(tbl_Ventes[[#This Row],[Date]],"mm-aaaa"),"")</f>
        <v>01-1900</v>
      </c>
      <c r="D4477" s="10" t="str">
        <f>IFERROR(
   INDEX(tbl_ProduitsRef[Cde_Prdt],MATCH(tbl_Ventes[[#This Row],[Produit]],tbl_ProduitsRef[Produit],0)),
   ""
)</f>
        <v/>
      </c>
      <c r="E4477" s="7">
        <v>0</v>
      </c>
      <c r="F4477" s="7" t="str">
        <f>IFERROR(
   INDEX(tbl_ProduitsRef[Prix Menu],MATCH(tbl_Ventes[[#This Row],[Produit]],tbl_ProduitsRef[Produit],0)),
   ""
)</f>
        <v/>
      </c>
      <c r="G4477" s="7">
        <f>tbl_Ventes[[#This Row],[Qté Vendue]] * IFERROR(_xlfn.XLOOKUP(tbl_Ventes[[#This Row],[Cde_Prdt]], tbl_Produits[Cde_Prdt], tbl_Produits[Prix Menu]), 0)</f>
        <v>0</v>
      </c>
      <c r="H4477" s="7">
        <f>IFERROR(_xlfn.XLOOKUP(tbl_Ventes[[#This Row],[Cde_Prdt]], tbl_Produits[Cde_Prdt], tbl_Produits[Coût Moyen Portion]), 0)</f>
        <v>0</v>
      </c>
      <c r="I4477" s="7">
        <f>tbl_Ventes[[#This Row],[Qté Vendue]] * tbl_Ventes[[#This Row],[CMP_par_portion]]</f>
        <v>0</v>
      </c>
      <c r="J4477" s="7">
        <f>tbl_Ventes[[#This Row],[CA ligne]] - tbl_Ventes[[#This Row],[Coût matière ligne]]</f>
        <v>0</v>
      </c>
      <c r="K4477" s="7" t="str">
        <f>IFERROR(INDEX(tbl_ProduitsRef[Famille], MATCH(tbl_Ventes[[#This Row],[Cde_Prdt]], tbl_Produits[Cde_Prdt], 0)), "")</f>
        <v/>
      </c>
    </row>
    <row r="4478" spans="1:11" x14ac:dyDescent="0.25">
      <c r="A4478" s="5"/>
      <c r="B4478" s="63" t="str">
        <f>IFERROR(TEXT(tbl_Ventes[[#This Row],[Date]],"mm-aaaa"),"")</f>
        <v>01-1900</v>
      </c>
      <c r="D4478" s="10" t="str">
        <f>IFERROR(
   INDEX(tbl_ProduitsRef[Cde_Prdt],MATCH(tbl_Ventes[[#This Row],[Produit]],tbl_ProduitsRef[Produit],0)),
   ""
)</f>
        <v/>
      </c>
      <c r="E4478" s="7">
        <v>0</v>
      </c>
      <c r="F4478" s="7" t="str">
        <f>IFERROR(
   INDEX(tbl_ProduitsRef[Prix Menu],MATCH(tbl_Ventes[[#This Row],[Produit]],tbl_ProduitsRef[Produit],0)),
   ""
)</f>
        <v/>
      </c>
      <c r="G4478" s="7">
        <f>tbl_Ventes[[#This Row],[Qté Vendue]] * IFERROR(_xlfn.XLOOKUP(tbl_Ventes[[#This Row],[Cde_Prdt]], tbl_Produits[Cde_Prdt], tbl_Produits[Prix Menu]), 0)</f>
        <v>0</v>
      </c>
      <c r="H4478" s="7">
        <f>IFERROR(_xlfn.XLOOKUP(tbl_Ventes[[#This Row],[Cde_Prdt]], tbl_Produits[Cde_Prdt], tbl_Produits[Coût Moyen Portion]), 0)</f>
        <v>0</v>
      </c>
      <c r="I4478" s="7">
        <f>tbl_Ventes[[#This Row],[Qté Vendue]] * tbl_Ventes[[#This Row],[CMP_par_portion]]</f>
        <v>0</v>
      </c>
      <c r="J4478" s="7">
        <f>tbl_Ventes[[#This Row],[CA ligne]] - tbl_Ventes[[#This Row],[Coût matière ligne]]</f>
        <v>0</v>
      </c>
      <c r="K4478" s="7" t="str">
        <f>IFERROR(INDEX(tbl_ProduitsRef[Famille], MATCH(tbl_Ventes[[#This Row],[Cde_Prdt]], tbl_Produits[Cde_Prdt], 0)), "")</f>
        <v/>
      </c>
    </row>
    <row r="4479" spans="1:11" x14ac:dyDescent="0.25">
      <c r="A4479" s="5"/>
      <c r="B4479" s="63" t="str">
        <f>IFERROR(TEXT(tbl_Ventes[[#This Row],[Date]],"mm-aaaa"),"")</f>
        <v>01-1900</v>
      </c>
      <c r="D4479" s="10" t="str">
        <f>IFERROR(
   INDEX(tbl_ProduitsRef[Cde_Prdt],MATCH(tbl_Ventes[[#This Row],[Produit]],tbl_ProduitsRef[Produit],0)),
   ""
)</f>
        <v/>
      </c>
      <c r="E4479" s="7">
        <v>0</v>
      </c>
      <c r="F4479" s="7" t="str">
        <f>IFERROR(
   INDEX(tbl_ProduitsRef[Prix Menu],MATCH(tbl_Ventes[[#This Row],[Produit]],tbl_ProduitsRef[Produit],0)),
   ""
)</f>
        <v/>
      </c>
      <c r="G4479" s="7">
        <f>tbl_Ventes[[#This Row],[Qté Vendue]] * IFERROR(_xlfn.XLOOKUP(tbl_Ventes[[#This Row],[Cde_Prdt]], tbl_Produits[Cde_Prdt], tbl_Produits[Prix Menu]), 0)</f>
        <v>0</v>
      </c>
      <c r="H4479" s="7">
        <f>IFERROR(_xlfn.XLOOKUP(tbl_Ventes[[#This Row],[Cde_Prdt]], tbl_Produits[Cde_Prdt], tbl_Produits[Coût Moyen Portion]), 0)</f>
        <v>0</v>
      </c>
      <c r="I4479" s="7">
        <f>tbl_Ventes[[#This Row],[Qté Vendue]] * tbl_Ventes[[#This Row],[CMP_par_portion]]</f>
        <v>0</v>
      </c>
      <c r="J4479" s="7">
        <f>tbl_Ventes[[#This Row],[CA ligne]] - tbl_Ventes[[#This Row],[Coût matière ligne]]</f>
        <v>0</v>
      </c>
      <c r="K4479" s="7" t="str">
        <f>IFERROR(INDEX(tbl_ProduitsRef[Famille], MATCH(tbl_Ventes[[#This Row],[Cde_Prdt]], tbl_Produits[Cde_Prdt], 0)), "")</f>
        <v/>
      </c>
    </row>
    <row r="4480" spans="1:11" x14ac:dyDescent="0.25">
      <c r="A4480" s="5"/>
      <c r="B4480" s="63" t="str">
        <f>IFERROR(TEXT(tbl_Ventes[[#This Row],[Date]],"mm-aaaa"),"")</f>
        <v>01-1900</v>
      </c>
      <c r="D4480" s="10" t="str">
        <f>IFERROR(
   INDEX(tbl_ProduitsRef[Cde_Prdt],MATCH(tbl_Ventes[[#This Row],[Produit]],tbl_ProduitsRef[Produit],0)),
   ""
)</f>
        <v/>
      </c>
      <c r="E4480" s="7">
        <v>0</v>
      </c>
      <c r="F4480" s="7" t="str">
        <f>IFERROR(
   INDEX(tbl_ProduitsRef[Prix Menu],MATCH(tbl_Ventes[[#This Row],[Produit]],tbl_ProduitsRef[Produit],0)),
   ""
)</f>
        <v/>
      </c>
      <c r="G4480" s="7">
        <f>tbl_Ventes[[#This Row],[Qté Vendue]] * IFERROR(_xlfn.XLOOKUP(tbl_Ventes[[#This Row],[Cde_Prdt]], tbl_Produits[Cde_Prdt], tbl_Produits[Prix Menu]), 0)</f>
        <v>0</v>
      </c>
      <c r="H4480" s="7">
        <f>IFERROR(_xlfn.XLOOKUP(tbl_Ventes[[#This Row],[Cde_Prdt]], tbl_Produits[Cde_Prdt], tbl_Produits[Coût Moyen Portion]), 0)</f>
        <v>0</v>
      </c>
      <c r="I4480" s="7">
        <f>tbl_Ventes[[#This Row],[Qté Vendue]] * tbl_Ventes[[#This Row],[CMP_par_portion]]</f>
        <v>0</v>
      </c>
      <c r="J4480" s="7">
        <f>tbl_Ventes[[#This Row],[CA ligne]] - tbl_Ventes[[#This Row],[Coût matière ligne]]</f>
        <v>0</v>
      </c>
      <c r="K4480" s="7" t="str">
        <f>IFERROR(INDEX(tbl_ProduitsRef[Famille], MATCH(tbl_Ventes[[#This Row],[Cde_Prdt]], tbl_Produits[Cde_Prdt], 0)), "")</f>
        <v/>
      </c>
    </row>
    <row r="4481" spans="1:11" x14ac:dyDescent="0.25">
      <c r="A4481" s="5"/>
      <c r="B4481" s="63" t="str">
        <f>IFERROR(TEXT(tbl_Ventes[[#This Row],[Date]],"mm-aaaa"),"")</f>
        <v>01-1900</v>
      </c>
      <c r="D4481" s="10" t="str">
        <f>IFERROR(
   INDEX(tbl_ProduitsRef[Cde_Prdt],MATCH(tbl_Ventes[[#This Row],[Produit]],tbl_ProduitsRef[Produit],0)),
   ""
)</f>
        <v/>
      </c>
      <c r="E4481" s="7">
        <v>0</v>
      </c>
      <c r="F4481" s="7" t="str">
        <f>IFERROR(
   INDEX(tbl_ProduitsRef[Prix Menu],MATCH(tbl_Ventes[[#This Row],[Produit]],tbl_ProduitsRef[Produit],0)),
   ""
)</f>
        <v/>
      </c>
      <c r="G4481" s="7">
        <f>tbl_Ventes[[#This Row],[Qté Vendue]] * IFERROR(_xlfn.XLOOKUP(tbl_Ventes[[#This Row],[Cde_Prdt]], tbl_Produits[Cde_Prdt], tbl_Produits[Prix Menu]), 0)</f>
        <v>0</v>
      </c>
      <c r="H4481" s="7">
        <f>IFERROR(_xlfn.XLOOKUP(tbl_Ventes[[#This Row],[Cde_Prdt]], tbl_Produits[Cde_Prdt], tbl_Produits[Coût Moyen Portion]), 0)</f>
        <v>0</v>
      </c>
      <c r="I4481" s="7">
        <f>tbl_Ventes[[#This Row],[Qté Vendue]] * tbl_Ventes[[#This Row],[CMP_par_portion]]</f>
        <v>0</v>
      </c>
      <c r="J4481" s="7">
        <f>tbl_Ventes[[#This Row],[CA ligne]] - tbl_Ventes[[#This Row],[Coût matière ligne]]</f>
        <v>0</v>
      </c>
      <c r="K4481" s="7" t="str">
        <f>IFERROR(INDEX(tbl_ProduitsRef[Famille], MATCH(tbl_Ventes[[#This Row],[Cde_Prdt]], tbl_Produits[Cde_Prdt], 0)), "")</f>
        <v/>
      </c>
    </row>
    <row r="4482" spans="1:11" x14ac:dyDescent="0.25">
      <c r="A4482" s="5"/>
      <c r="B4482" s="63" t="str">
        <f>IFERROR(TEXT(tbl_Ventes[[#This Row],[Date]],"mm-aaaa"),"")</f>
        <v>01-1900</v>
      </c>
      <c r="D4482" s="10" t="str">
        <f>IFERROR(
   INDEX(tbl_ProduitsRef[Cde_Prdt],MATCH(tbl_Ventes[[#This Row],[Produit]],tbl_ProduitsRef[Produit],0)),
   ""
)</f>
        <v/>
      </c>
      <c r="E4482" s="7">
        <v>0</v>
      </c>
      <c r="F4482" s="7" t="str">
        <f>IFERROR(
   INDEX(tbl_ProduitsRef[Prix Menu],MATCH(tbl_Ventes[[#This Row],[Produit]],tbl_ProduitsRef[Produit],0)),
   ""
)</f>
        <v/>
      </c>
      <c r="G4482" s="7">
        <f>tbl_Ventes[[#This Row],[Qté Vendue]] * IFERROR(_xlfn.XLOOKUP(tbl_Ventes[[#This Row],[Cde_Prdt]], tbl_Produits[Cde_Prdt], tbl_Produits[Prix Menu]), 0)</f>
        <v>0</v>
      </c>
      <c r="H4482" s="7">
        <f>IFERROR(_xlfn.XLOOKUP(tbl_Ventes[[#This Row],[Cde_Prdt]], tbl_Produits[Cde_Prdt], tbl_Produits[Coût Moyen Portion]), 0)</f>
        <v>0</v>
      </c>
      <c r="I4482" s="7">
        <f>tbl_Ventes[[#This Row],[Qté Vendue]] * tbl_Ventes[[#This Row],[CMP_par_portion]]</f>
        <v>0</v>
      </c>
      <c r="J4482" s="7">
        <f>tbl_Ventes[[#This Row],[CA ligne]] - tbl_Ventes[[#This Row],[Coût matière ligne]]</f>
        <v>0</v>
      </c>
      <c r="K4482" s="7" t="str">
        <f>IFERROR(INDEX(tbl_ProduitsRef[Famille], MATCH(tbl_Ventes[[#This Row],[Cde_Prdt]], tbl_Produits[Cde_Prdt], 0)), "")</f>
        <v/>
      </c>
    </row>
    <row r="4483" spans="1:11" x14ac:dyDescent="0.25">
      <c r="A4483" s="5"/>
      <c r="B4483" s="63" t="str">
        <f>IFERROR(TEXT(tbl_Ventes[[#This Row],[Date]],"mm-aaaa"),"")</f>
        <v>01-1900</v>
      </c>
      <c r="D4483" s="10" t="str">
        <f>IFERROR(
   INDEX(tbl_ProduitsRef[Cde_Prdt],MATCH(tbl_Ventes[[#This Row],[Produit]],tbl_ProduitsRef[Produit],0)),
   ""
)</f>
        <v/>
      </c>
      <c r="E4483" s="7">
        <v>0</v>
      </c>
      <c r="F4483" s="7" t="str">
        <f>IFERROR(
   INDEX(tbl_ProduitsRef[Prix Menu],MATCH(tbl_Ventes[[#This Row],[Produit]],tbl_ProduitsRef[Produit],0)),
   ""
)</f>
        <v/>
      </c>
      <c r="G4483" s="7">
        <f>tbl_Ventes[[#This Row],[Qté Vendue]] * IFERROR(_xlfn.XLOOKUP(tbl_Ventes[[#This Row],[Cde_Prdt]], tbl_Produits[Cde_Prdt], tbl_Produits[Prix Menu]), 0)</f>
        <v>0</v>
      </c>
      <c r="H4483" s="7">
        <f>IFERROR(_xlfn.XLOOKUP(tbl_Ventes[[#This Row],[Cde_Prdt]], tbl_Produits[Cde_Prdt], tbl_Produits[Coût Moyen Portion]), 0)</f>
        <v>0</v>
      </c>
      <c r="I4483" s="7">
        <f>tbl_Ventes[[#This Row],[Qté Vendue]] * tbl_Ventes[[#This Row],[CMP_par_portion]]</f>
        <v>0</v>
      </c>
      <c r="J4483" s="7">
        <f>tbl_Ventes[[#This Row],[CA ligne]] - tbl_Ventes[[#This Row],[Coût matière ligne]]</f>
        <v>0</v>
      </c>
      <c r="K4483" s="7" t="str">
        <f>IFERROR(INDEX(tbl_ProduitsRef[Famille], MATCH(tbl_Ventes[[#This Row],[Cde_Prdt]], tbl_Produits[Cde_Prdt], 0)), "")</f>
        <v/>
      </c>
    </row>
    <row r="4484" spans="1:11" x14ac:dyDescent="0.25">
      <c r="A4484" s="5"/>
      <c r="B4484" s="63" t="str">
        <f>IFERROR(TEXT(tbl_Ventes[[#This Row],[Date]],"mm-aaaa"),"")</f>
        <v>01-1900</v>
      </c>
      <c r="D4484" s="10" t="str">
        <f>IFERROR(
   INDEX(tbl_ProduitsRef[Cde_Prdt],MATCH(tbl_Ventes[[#This Row],[Produit]],tbl_ProduitsRef[Produit],0)),
   ""
)</f>
        <v/>
      </c>
      <c r="E4484" s="7">
        <v>0</v>
      </c>
      <c r="F4484" s="7" t="str">
        <f>IFERROR(
   INDEX(tbl_ProduitsRef[Prix Menu],MATCH(tbl_Ventes[[#This Row],[Produit]],tbl_ProduitsRef[Produit],0)),
   ""
)</f>
        <v/>
      </c>
      <c r="G4484" s="7">
        <f>tbl_Ventes[[#This Row],[Qté Vendue]] * IFERROR(_xlfn.XLOOKUP(tbl_Ventes[[#This Row],[Cde_Prdt]], tbl_Produits[Cde_Prdt], tbl_Produits[Prix Menu]), 0)</f>
        <v>0</v>
      </c>
      <c r="H4484" s="7">
        <f>IFERROR(_xlfn.XLOOKUP(tbl_Ventes[[#This Row],[Cde_Prdt]], tbl_Produits[Cde_Prdt], tbl_Produits[Coût Moyen Portion]), 0)</f>
        <v>0</v>
      </c>
      <c r="I4484" s="7">
        <f>tbl_Ventes[[#This Row],[Qté Vendue]] * tbl_Ventes[[#This Row],[CMP_par_portion]]</f>
        <v>0</v>
      </c>
      <c r="J4484" s="7">
        <f>tbl_Ventes[[#This Row],[CA ligne]] - tbl_Ventes[[#This Row],[Coût matière ligne]]</f>
        <v>0</v>
      </c>
      <c r="K4484" s="7" t="str">
        <f>IFERROR(INDEX(tbl_ProduitsRef[Famille], MATCH(tbl_Ventes[[#This Row],[Cde_Prdt]], tbl_Produits[Cde_Prdt], 0)), "")</f>
        <v/>
      </c>
    </row>
    <row r="4485" spans="1:11" x14ac:dyDescent="0.25">
      <c r="A4485" s="5"/>
      <c r="B4485" s="63" t="str">
        <f>IFERROR(TEXT(tbl_Ventes[[#This Row],[Date]],"mm-aaaa"),"")</f>
        <v>01-1900</v>
      </c>
      <c r="D4485" s="10" t="str">
        <f>IFERROR(
   INDEX(tbl_ProduitsRef[Cde_Prdt],MATCH(tbl_Ventes[[#This Row],[Produit]],tbl_ProduitsRef[Produit],0)),
   ""
)</f>
        <v/>
      </c>
      <c r="E4485" s="7">
        <v>0</v>
      </c>
      <c r="F4485" s="7" t="str">
        <f>IFERROR(
   INDEX(tbl_ProduitsRef[Prix Menu],MATCH(tbl_Ventes[[#This Row],[Produit]],tbl_ProduitsRef[Produit],0)),
   ""
)</f>
        <v/>
      </c>
      <c r="G4485" s="7">
        <f>tbl_Ventes[[#This Row],[Qté Vendue]] * IFERROR(_xlfn.XLOOKUP(tbl_Ventes[[#This Row],[Cde_Prdt]], tbl_Produits[Cde_Prdt], tbl_Produits[Prix Menu]), 0)</f>
        <v>0</v>
      </c>
      <c r="H4485" s="7">
        <f>IFERROR(_xlfn.XLOOKUP(tbl_Ventes[[#This Row],[Cde_Prdt]], tbl_Produits[Cde_Prdt], tbl_Produits[Coût Moyen Portion]), 0)</f>
        <v>0</v>
      </c>
      <c r="I4485" s="7">
        <f>tbl_Ventes[[#This Row],[Qté Vendue]] * tbl_Ventes[[#This Row],[CMP_par_portion]]</f>
        <v>0</v>
      </c>
      <c r="J4485" s="7">
        <f>tbl_Ventes[[#This Row],[CA ligne]] - tbl_Ventes[[#This Row],[Coût matière ligne]]</f>
        <v>0</v>
      </c>
      <c r="K4485" s="7" t="str">
        <f>IFERROR(INDEX(tbl_ProduitsRef[Famille], MATCH(tbl_Ventes[[#This Row],[Cde_Prdt]], tbl_Produits[Cde_Prdt], 0)), "")</f>
        <v/>
      </c>
    </row>
    <row r="4486" spans="1:11" x14ac:dyDescent="0.25">
      <c r="A4486" s="5"/>
      <c r="B4486" s="63" t="str">
        <f>IFERROR(TEXT(tbl_Ventes[[#This Row],[Date]],"mm-aaaa"),"")</f>
        <v>01-1900</v>
      </c>
      <c r="D4486" s="10" t="str">
        <f>IFERROR(
   INDEX(tbl_ProduitsRef[Cde_Prdt],MATCH(tbl_Ventes[[#This Row],[Produit]],tbl_ProduitsRef[Produit],0)),
   ""
)</f>
        <v/>
      </c>
      <c r="E4486" s="7">
        <v>0</v>
      </c>
      <c r="F4486" s="7" t="str">
        <f>IFERROR(
   INDEX(tbl_ProduitsRef[Prix Menu],MATCH(tbl_Ventes[[#This Row],[Produit]],tbl_ProduitsRef[Produit],0)),
   ""
)</f>
        <v/>
      </c>
      <c r="G4486" s="7">
        <f>tbl_Ventes[[#This Row],[Qté Vendue]] * IFERROR(_xlfn.XLOOKUP(tbl_Ventes[[#This Row],[Cde_Prdt]], tbl_Produits[Cde_Prdt], tbl_Produits[Prix Menu]), 0)</f>
        <v>0</v>
      </c>
      <c r="H4486" s="7">
        <f>IFERROR(_xlfn.XLOOKUP(tbl_Ventes[[#This Row],[Cde_Prdt]], tbl_Produits[Cde_Prdt], tbl_Produits[Coût Moyen Portion]), 0)</f>
        <v>0</v>
      </c>
      <c r="I4486" s="7">
        <f>tbl_Ventes[[#This Row],[Qté Vendue]] * tbl_Ventes[[#This Row],[CMP_par_portion]]</f>
        <v>0</v>
      </c>
      <c r="J4486" s="7">
        <f>tbl_Ventes[[#This Row],[CA ligne]] - tbl_Ventes[[#This Row],[Coût matière ligne]]</f>
        <v>0</v>
      </c>
      <c r="K4486" s="7" t="str">
        <f>IFERROR(INDEX(tbl_ProduitsRef[Famille], MATCH(tbl_Ventes[[#This Row],[Cde_Prdt]], tbl_Produits[Cde_Prdt], 0)), "")</f>
        <v/>
      </c>
    </row>
    <row r="4487" spans="1:11" x14ac:dyDescent="0.25">
      <c r="A4487" s="5"/>
      <c r="B4487" s="63" t="str">
        <f>IFERROR(TEXT(tbl_Ventes[[#This Row],[Date]],"mm-aaaa"),"")</f>
        <v>01-1900</v>
      </c>
      <c r="D4487" s="10" t="str">
        <f>IFERROR(
   INDEX(tbl_ProduitsRef[Cde_Prdt],MATCH(tbl_Ventes[[#This Row],[Produit]],tbl_ProduitsRef[Produit],0)),
   ""
)</f>
        <v/>
      </c>
      <c r="E4487" s="7">
        <v>0</v>
      </c>
      <c r="F4487" s="7" t="str">
        <f>IFERROR(
   INDEX(tbl_ProduitsRef[Prix Menu],MATCH(tbl_Ventes[[#This Row],[Produit]],tbl_ProduitsRef[Produit],0)),
   ""
)</f>
        <v/>
      </c>
      <c r="G4487" s="7">
        <f>tbl_Ventes[[#This Row],[Qté Vendue]] * IFERROR(_xlfn.XLOOKUP(tbl_Ventes[[#This Row],[Cde_Prdt]], tbl_Produits[Cde_Prdt], tbl_Produits[Prix Menu]), 0)</f>
        <v>0</v>
      </c>
      <c r="H4487" s="7">
        <f>IFERROR(_xlfn.XLOOKUP(tbl_Ventes[[#This Row],[Cde_Prdt]], tbl_Produits[Cde_Prdt], tbl_Produits[Coût Moyen Portion]), 0)</f>
        <v>0</v>
      </c>
      <c r="I4487" s="7">
        <f>tbl_Ventes[[#This Row],[Qté Vendue]] * tbl_Ventes[[#This Row],[CMP_par_portion]]</f>
        <v>0</v>
      </c>
      <c r="J4487" s="7">
        <f>tbl_Ventes[[#This Row],[CA ligne]] - tbl_Ventes[[#This Row],[Coût matière ligne]]</f>
        <v>0</v>
      </c>
      <c r="K4487" s="7" t="str">
        <f>IFERROR(INDEX(tbl_ProduitsRef[Famille], MATCH(tbl_Ventes[[#This Row],[Cde_Prdt]], tbl_Produits[Cde_Prdt], 0)), "")</f>
        <v/>
      </c>
    </row>
    <row r="4488" spans="1:11" x14ac:dyDescent="0.25">
      <c r="A4488" s="5"/>
      <c r="B4488" s="63" t="str">
        <f>IFERROR(TEXT(tbl_Ventes[[#This Row],[Date]],"mm-aaaa"),"")</f>
        <v>01-1900</v>
      </c>
      <c r="D4488" s="10" t="str">
        <f>IFERROR(
   INDEX(tbl_ProduitsRef[Cde_Prdt],MATCH(tbl_Ventes[[#This Row],[Produit]],tbl_ProduitsRef[Produit],0)),
   ""
)</f>
        <v/>
      </c>
      <c r="E4488" s="7">
        <v>0</v>
      </c>
      <c r="F4488" s="7" t="str">
        <f>IFERROR(
   INDEX(tbl_ProduitsRef[Prix Menu],MATCH(tbl_Ventes[[#This Row],[Produit]],tbl_ProduitsRef[Produit],0)),
   ""
)</f>
        <v/>
      </c>
      <c r="G4488" s="7">
        <f>tbl_Ventes[[#This Row],[Qté Vendue]] * IFERROR(_xlfn.XLOOKUP(tbl_Ventes[[#This Row],[Cde_Prdt]], tbl_Produits[Cde_Prdt], tbl_Produits[Prix Menu]), 0)</f>
        <v>0</v>
      </c>
      <c r="H4488" s="7">
        <f>IFERROR(_xlfn.XLOOKUP(tbl_Ventes[[#This Row],[Cde_Prdt]], tbl_Produits[Cde_Prdt], tbl_Produits[Coût Moyen Portion]), 0)</f>
        <v>0</v>
      </c>
      <c r="I4488" s="7">
        <f>tbl_Ventes[[#This Row],[Qté Vendue]] * tbl_Ventes[[#This Row],[CMP_par_portion]]</f>
        <v>0</v>
      </c>
      <c r="J4488" s="7">
        <f>tbl_Ventes[[#This Row],[CA ligne]] - tbl_Ventes[[#This Row],[Coût matière ligne]]</f>
        <v>0</v>
      </c>
      <c r="K4488" s="7" t="str">
        <f>IFERROR(INDEX(tbl_ProduitsRef[Famille], MATCH(tbl_Ventes[[#This Row],[Cde_Prdt]], tbl_Produits[Cde_Prdt], 0)), "")</f>
        <v/>
      </c>
    </row>
    <row r="4489" spans="1:11" x14ac:dyDescent="0.25">
      <c r="A4489" s="5"/>
      <c r="B4489" s="63" t="str">
        <f>IFERROR(TEXT(tbl_Ventes[[#This Row],[Date]],"mm-aaaa"),"")</f>
        <v>01-1900</v>
      </c>
      <c r="D4489" s="10" t="str">
        <f>IFERROR(
   INDEX(tbl_ProduitsRef[Cde_Prdt],MATCH(tbl_Ventes[[#This Row],[Produit]],tbl_ProduitsRef[Produit],0)),
   ""
)</f>
        <v/>
      </c>
      <c r="E4489" s="7">
        <v>0</v>
      </c>
      <c r="F4489" s="7" t="str">
        <f>IFERROR(
   INDEX(tbl_ProduitsRef[Prix Menu],MATCH(tbl_Ventes[[#This Row],[Produit]],tbl_ProduitsRef[Produit],0)),
   ""
)</f>
        <v/>
      </c>
      <c r="G4489" s="7">
        <f>tbl_Ventes[[#This Row],[Qté Vendue]] * IFERROR(_xlfn.XLOOKUP(tbl_Ventes[[#This Row],[Cde_Prdt]], tbl_Produits[Cde_Prdt], tbl_Produits[Prix Menu]), 0)</f>
        <v>0</v>
      </c>
      <c r="H4489" s="7">
        <f>IFERROR(_xlfn.XLOOKUP(tbl_Ventes[[#This Row],[Cde_Prdt]], tbl_Produits[Cde_Prdt], tbl_Produits[Coût Moyen Portion]), 0)</f>
        <v>0</v>
      </c>
      <c r="I4489" s="7">
        <f>tbl_Ventes[[#This Row],[Qté Vendue]] * tbl_Ventes[[#This Row],[CMP_par_portion]]</f>
        <v>0</v>
      </c>
      <c r="J4489" s="7">
        <f>tbl_Ventes[[#This Row],[CA ligne]] - tbl_Ventes[[#This Row],[Coût matière ligne]]</f>
        <v>0</v>
      </c>
      <c r="K4489" s="7" t="str">
        <f>IFERROR(INDEX(tbl_ProduitsRef[Famille], MATCH(tbl_Ventes[[#This Row],[Cde_Prdt]], tbl_Produits[Cde_Prdt], 0)), "")</f>
        <v/>
      </c>
    </row>
    <row r="4490" spans="1:11" x14ac:dyDescent="0.25">
      <c r="A4490" s="5"/>
      <c r="B4490" s="63" t="str">
        <f>IFERROR(TEXT(tbl_Ventes[[#This Row],[Date]],"mm-aaaa"),"")</f>
        <v>01-1900</v>
      </c>
      <c r="D4490" s="10" t="str">
        <f>IFERROR(
   INDEX(tbl_ProduitsRef[Cde_Prdt],MATCH(tbl_Ventes[[#This Row],[Produit]],tbl_ProduitsRef[Produit],0)),
   ""
)</f>
        <v/>
      </c>
      <c r="E4490" s="7">
        <v>0</v>
      </c>
      <c r="F4490" s="7" t="str">
        <f>IFERROR(
   INDEX(tbl_ProduitsRef[Prix Menu],MATCH(tbl_Ventes[[#This Row],[Produit]],tbl_ProduitsRef[Produit],0)),
   ""
)</f>
        <v/>
      </c>
      <c r="G4490" s="7">
        <f>tbl_Ventes[[#This Row],[Qté Vendue]] * IFERROR(_xlfn.XLOOKUP(tbl_Ventes[[#This Row],[Cde_Prdt]], tbl_Produits[Cde_Prdt], tbl_Produits[Prix Menu]), 0)</f>
        <v>0</v>
      </c>
      <c r="H4490" s="7">
        <f>IFERROR(_xlfn.XLOOKUP(tbl_Ventes[[#This Row],[Cde_Prdt]], tbl_Produits[Cde_Prdt], tbl_Produits[Coût Moyen Portion]), 0)</f>
        <v>0</v>
      </c>
      <c r="I4490" s="7">
        <f>tbl_Ventes[[#This Row],[Qté Vendue]] * tbl_Ventes[[#This Row],[CMP_par_portion]]</f>
        <v>0</v>
      </c>
      <c r="J4490" s="7">
        <f>tbl_Ventes[[#This Row],[CA ligne]] - tbl_Ventes[[#This Row],[Coût matière ligne]]</f>
        <v>0</v>
      </c>
      <c r="K4490" s="7" t="str">
        <f>IFERROR(INDEX(tbl_ProduitsRef[Famille], MATCH(tbl_Ventes[[#This Row],[Cde_Prdt]], tbl_Produits[Cde_Prdt], 0)), "")</f>
        <v/>
      </c>
    </row>
    <row r="4491" spans="1:11" x14ac:dyDescent="0.25">
      <c r="A4491" s="5"/>
      <c r="B4491" s="63" t="str">
        <f>IFERROR(TEXT(tbl_Ventes[[#This Row],[Date]],"mm-aaaa"),"")</f>
        <v>01-1900</v>
      </c>
      <c r="D4491" s="10" t="str">
        <f>IFERROR(
   INDEX(tbl_ProduitsRef[Cde_Prdt],MATCH(tbl_Ventes[[#This Row],[Produit]],tbl_ProduitsRef[Produit],0)),
   ""
)</f>
        <v/>
      </c>
      <c r="E4491" s="7">
        <v>0</v>
      </c>
      <c r="F4491" s="7" t="str">
        <f>IFERROR(
   INDEX(tbl_ProduitsRef[Prix Menu],MATCH(tbl_Ventes[[#This Row],[Produit]],tbl_ProduitsRef[Produit],0)),
   ""
)</f>
        <v/>
      </c>
      <c r="G4491" s="7">
        <f>tbl_Ventes[[#This Row],[Qté Vendue]] * IFERROR(_xlfn.XLOOKUP(tbl_Ventes[[#This Row],[Cde_Prdt]], tbl_Produits[Cde_Prdt], tbl_Produits[Prix Menu]), 0)</f>
        <v>0</v>
      </c>
      <c r="H4491" s="7">
        <f>IFERROR(_xlfn.XLOOKUP(tbl_Ventes[[#This Row],[Cde_Prdt]], tbl_Produits[Cde_Prdt], tbl_Produits[Coût Moyen Portion]), 0)</f>
        <v>0</v>
      </c>
      <c r="I4491" s="7">
        <f>tbl_Ventes[[#This Row],[Qté Vendue]] * tbl_Ventes[[#This Row],[CMP_par_portion]]</f>
        <v>0</v>
      </c>
      <c r="J4491" s="7">
        <f>tbl_Ventes[[#This Row],[CA ligne]] - tbl_Ventes[[#This Row],[Coût matière ligne]]</f>
        <v>0</v>
      </c>
      <c r="K4491" s="7" t="str">
        <f>IFERROR(INDEX(tbl_ProduitsRef[Famille], MATCH(tbl_Ventes[[#This Row],[Cde_Prdt]], tbl_Produits[Cde_Prdt], 0)), "")</f>
        <v/>
      </c>
    </row>
    <row r="4492" spans="1:11" x14ac:dyDescent="0.25">
      <c r="A4492" s="5"/>
      <c r="B4492" s="63" t="str">
        <f>IFERROR(TEXT(tbl_Ventes[[#This Row],[Date]],"mm-aaaa"),"")</f>
        <v>01-1900</v>
      </c>
      <c r="D4492" s="10" t="str">
        <f>IFERROR(
   INDEX(tbl_ProduitsRef[Cde_Prdt],MATCH(tbl_Ventes[[#This Row],[Produit]],tbl_ProduitsRef[Produit],0)),
   ""
)</f>
        <v/>
      </c>
      <c r="E4492" s="7">
        <v>0</v>
      </c>
      <c r="F4492" s="7" t="str">
        <f>IFERROR(
   INDEX(tbl_ProduitsRef[Prix Menu],MATCH(tbl_Ventes[[#This Row],[Produit]],tbl_ProduitsRef[Produit],0)),
   ""
)</f>
        <v/>
      </c>
      <c r="G4492" s="7">
        <f>tbl_Ventes[[#This Row],[Qté Vendue]] * IFERROR(_xlfn.XLOOKUP(tbl_Ventes[[#This Row],[Cde_Prdt]], tbl_Produits[Cde_Prdt], tbl_Produits[Prix Menu]), 0)</f>
        <v>0</v>
      </c>
      <c r="H4492" s="7">
        <f>IFERROR(_xlfn.XLOOKUP(tbl_Ventes[[#This Row],[Cde_Prdt]], tbl_Produits[Cde_Prdt], tbl_Produits[Coût Moyen Portion]), 0)</f>
        <v>0</v>
      </c>
      <c r="I4492" s="7">
        <f>tbl_Ventes[[#This Row],[Qté Vendue]] * tbl_Ventes[[#This Row],[CMP_par_portion]]</f>
        <v>0</v>
      </c>
      <c r="J4492" s="7">
        <f>tbl_Ventes[[#This Row],[CA ligne]] - tbl_Ventes[[#This Row],[Coût matière ligne]]</f>
        <v>0</v>
      </c>
      <c r="K4492" s="7" t="str">
        <f>IFERROR(INDEX(tbl_ProduitsRef[Famille], MATCH(tbl_Ventes[[#This Row],[Cde_Prdt]], tbl_Produits[Cde_Prdt], 0)), "")</f>
        <v/>
      </c>
    </row>
    <row r="4493" spans="1:11" x14ac:dyDescent="0.25">
      <c r="A4493" s="5"/>
      <c r="B4493" s="63" t="str">
        <f>IFERROR(TEXT(tbl_Ventes[[#This Row],[Date]],"mm-aaaa"),"")</f>
        <v>01-1900</v>
      </c>
      <c r="D4493" s="10" t="str">
        <f>IFERROR(
   INDEX(tbl_ProduitsRef[Cde_Prdt],MATCH(tbl_Ventes[[#This Row],[Produit]],tbl_ProduitsRef[Produit],0)),
   ""
)</f>
        <v/>
      </c>
      <c r="E4493" s="7">
        <v>0</v>
      </c>
      <c r="F4493" s="7" t="str">
        <f>IFERROR(
   INDEX(tbl_ProduitsRef[Prix Menu],MATCH(tbl_Ventes[[#This Row],[Produit]],tbl_ProduitsRef[Produit],0)),
   ""
)</f>
        <v/>
      </c>
      <c r="G4493" s="7">
        <f>tbl_Ventes[[#This Row],[Qté Vendue]] * IFERROR(_xlfn.XLOOKUP(tbl_Ventes[[#This Row],[Cde_Prdt]], tbl_Produits[Cde_Prdt], tbl_Produits[Prix Menu]), 0)</f>
        <v>0</v>
      </c>
      <c r="H4493" s="7">
        <f>IFERROR(_xlfn.XLOOKUP(tbl_Ventes[[#This Row],[Cde_Prdt]], tbl_Produits[Cde_Prdt], tbl_Produits[Coût Moyen Portion]), 0)</f>
        <v>0</v>
      </c>
      <c r="I4493" s="7">
        <f>tbl_Ventes[[#This Row],[Qté Vendue]] * tbl_Ventes[[#This Row],[CMP_par_portion]]</f>
        <v>0</v>
      </c>
      <c r="J4493" s="7">
        <f>tbl_Ventes[[#This Row],[CA ligne]] - tbl_Ventes[[#This Row],[Coût matière ligne]]</f>
        <v>0</v>
      </c>
      <c r="K4493" s="7" t="str">
        <f>IFERROR(INDEX(tbl_ProduitsRef[Famille], MATCH(tbl_Ventes[[#This Row],[Cde_Prdt]], tbl_Produits[Cde_Prdt], 0)), "")</f>
        <v/>
      </c>
    </row>
    <row r="4494" spans="1:11" x14ac:dyDescent="0.25">
      <c r="A4494" s="5"/>
      <c r="B4494" s="63" t="str">
        <f>IFERROR(TEXT(tbl_Ventes[[#This Row],[Date]],"mm-aaaa"),"")</f>
        <v>01-1900</v>
      </c>
      <c r="D4494" s="10" t="str">
        <f>IFERROR(
   INDEX(tbl_ProduitsRef[Cde_Prdt],MATCH(tbl_Ventes[[#This Row],[Produit]],tbl_ProduitsRef[Produit],0)),
   ""
)</f>
        <v/>
      </c>
      <c r="E4494" s="7">
        <v>0</v>
      </c>
      <c r="F4494" s="7" t="str">
        <f>IFERROR(
   INDEX(tbl_ProduitsRef[Prix Menu],MATCH(tbl_Ventes[[#This Row],[Produit]],tbl_ProduitsRef[Produit],0)),
   ""
)</f>
        <v/>
      </c>
      <c r="G4494" s="7">
        <f>tbl_Ventes[[#This Row],[Qté Vendue]] * IFERROR(_xlfn.XLOOKUP(tbl_Ventes[[#This Row],[Cde_Prdt]], tbl_Produits[Cde_Prdt], tbl_Produits[Prix Menu]), 0)</f>
        <v>0</v>
      </c>
      <c r="H4494" s="7">
        <f>IFERROR(_xlfn.XLOOKUP(tbl_Ventes[[#This Row],[Cde_Prdt]], tbl_Produits[Cde_Prdt], tbl_Produits[Coût Moyen Portion]), 0)</f>
        <v>0</v>
      </c>
      <c r="I4494" s="7">
        <f>tbl_Ventes[[#This Row],[Qté Vendue]] * tbl_Ventes[[#This Row],[CMP_par_portion]]</f>
        <v>0</v>
      </c>
      <c r="J4494" s="7">
        <f>tbl_Ventes[[#This Row],[CA ligne]] - tbl_Ventes[[#This Row],[Coût matière ligne]]</f>
        <v>0</v>
      </c>
      <c r="K4494" s="7" t="str">
        <f>IFERROR(INDEX(tbl_ProduitsRef[Famille], MATCH(tbl_Ventes[[#This Row],[Cde_Prdt]], tbl_Produits[Cde_Prdt], 0)), "")</f>
        <v/>
      </c>
    </row>
    <row r="4495" spans="1:11" x14ac:dyDescent="0.25">
      <c r="A4495" s="5"/>
      <c r="B4495" s="63" t="str">
        <f>IFERROR(TEXT(tbl_Ventes[[#This Row],[Date]],"mm-aaaa"),"")</f>
        <v>01-1900</v>
      </c>
      <c r="D4495" s="10" t="str">
        <f>IFERROR(
   INDEX(tbl_ProduitsRef[Cde_Prdt],MATCH(tbl_Ventes[[#This Row],[Produit]],tbl_ProduitsRef[Produit],0)),
   ""
)</f>
        <v/>
      </c>
      <c r="E4495" s="7">
        <v>0</v>
      </c>
      <c r="F4495" s="7" t="str">
        <f>IFERROR(
   INDEX(tbl_ProduitsRef[Prix Menu],MATCH(tbl_Ventes[[#This Row],[Produit]],tbl_ProduitsRef[Produit],0)),
   ""
)</f>
        <v/>
      </c>
      <c r="G4495" s="7">
        <f>tbl_Ventes[[#This Row],[Qté Vendue]] * IFERROR(_xlfn.XLOOKUP(tbl_Ventes[[#This Row],[Cde_Prdt]], tbl_Produits[Cde_Prdt], tbl_Produits[Prix Menu]), 0)</f>
        <v>0</v>
      </c>
      <c r="H4495" s="7">
        <f>IFERROR(_xlfn.XLOOKUP(tbl_Ventes[[#This Row],[Cde_Prdt]], tbl_Produits[Cde_Prdt], tbl_Produits[Coût Moyen Portion]), 0)</f>
        <v>0</v>
      </c>
      <c r="I4495" s="7">
        <f>tbl_Ventes[[#This Row],[Qté Vendue]] * tbl_Ventes[[#This Row],[CMP_par_portion]]</f>
        <v>0</v>
      </c>
      <c r="J4495" s="7">
        <f>tbl_Ventes[[#This Row],[CA ligne]] - tbl_Ventes[[#This Row],[Coût matière ligne]]</f>
        <v>0</v>
      </c>
      <c r="K4495" s="7" t="str">
        <f>IFERROR(INDEX(tbl_ProduitsRef[Famille], MATCH(tbl_Ventes[[#This Row],[Cde_Prdt]], tbl_Produits[Cde_Prdt], 0)), "")</f>
        <v/>
      </c>
    </row>
    <row r="4496" spans="1:11" x14ac:dyDescent="0.25">
      <c r="A4496" s="5"/>
      <c r="B4496" s="63" t="str">
        <f>IFERROR(TEXT(tbl_Ventes[[#This Row],[Date]],"mm-aaaa"),"")</f>
        <v>01-1900</v>
      </c>
      <c r="D4496" s="10" t="str">
        <f>IFERROR(
   INDEX(tbl_ProduitsRef[Cde_Prdt],MATCH(tbl_Ventes[[#This Row],[Produit]],tbl_ProduitsRef[Produit],0)),
   ""
)</f>
        <v/>
      </c>
      <c r="E4496" s="7">
        <v>0</v>
      </c>
      <c r="F4496" s="7" t="str">
        <f>IFERROR(
   INDEX(tbl_ProduitsRef[Prix Menu],MATCH(tbl_Ventes[[#This Row],[Produit]],tbl_ProduitsRef[Produit],0)),
   ""
)</f>
        <v/>
      </c>
      <c r="G4496" s="7">
        <f>tbl_Ventes[[#This Row],[Qté Vendue]] * IFERROR(_xlfn.XLOOKUP(tbl_Ventes[[#This Row],[Cde_Prdt]], tbl_Produits[Cde_Prdt], tbl_Produits[Prix Menu]), 0)</f>
        <v>0</v>
      </c>
      <c r="H4496" s="7">
        <f>IFERROR(_xlfn.XLOOKUP(tbl_Ventes[[#This Row],[Cde_Prdt]], tbl_Produits[Cde_Prdt], tbl_Produits[Coût Moyen Portion]), 0)</f>
        <v>0</v>
      </c>
      <c r="I4496" s="7">
        <f>tbl_Ventes[[#This Row],[Qté Vendue]] * tbl_Ventes[[#This Row],[CMP_par_portion]]</f>
        <v>0</v>
      </c>
      <c r="J4496" s="7">
        <f>tbl_Ventes[[#This Row],[CA ligne]] - tbl_Ventes[[#This Row],[Coût matière ligne]]</f>
        <v>0</v>
      </c>
      <c r="K4496" s="7" t="str">
        <f>IFERROR(INDEX(tbl_ProduitsRef[Famille], MATCH(tbl_Ventes[[#This Row],[Cde_Prdt]], tbl_Produits[Cde_Prdt], 0)), "")</f>
        <v/>
      </c>
    </row>
    <row r="4497" spans="1:11" x14ac:dyDescent="0.25">
      <c r="A4497" s="5"/>
      <c r="B4497" s="63" t="str">
        <f>IFERROR(TEXT(tbl_Ventes[[#This Row],[Date]],"mm-aaaa"),"")</f>
        <v>01-1900</v>
      </c>
      <c r="D4497" s="10" t="str">
        <f>IFERROR(
   INDEX(tbl_ProduitsRef[Cde_Prdt],MATCH(tbl_Ventes[[#This Row],[Produit]],tbl_ProduitsRef[Produit],0)),
   ""
)</f>
        <v/>
      </c>
      <c r="E4497" s="7">
        <v>0</v>
      </c>
      <c r="F4497" s="7" t="str">
        <f>IFERROR(
   INDEX(tbl_ProduitsRef[Prix Menu],MATCH(tbl_Ventes[[#This Row],[Produit]],tbl_ProduitsRef[Produit],0)),
   ""
)</f>
        <v/>
      </c>
      <c r="G4497" s="7">
        <f>tbl_Ventes[[#This Row],[Qté Vendue]] * IFERROR(_xlfn.XLOOKUP(tbl_Ventes[[#This Row],[Cde_Prdt]], tbl_Produits[Cde_Prdt], tbl_Produits[Prix Menu]), 0)</f>
        <v>0</v>
      </c>
      <c r="H4497" s="7">
        <f>IFERROR(_xlfn.XLOOKUP(tbl_Ventes[[#This Row],[Cde_Prdt]], tbl_Produits[Cde_Prdt], tbl_Produits[Coût Moyen Portion]), 0)</f>
        <v>0</v>
      </c>
      <c r="I4497" s="7">
        <f>tbl_Ventes[[#This Row],[Qté Vendue]] * tbl_Ventes[[#This Row],[CMP_par_portion]]</f>
        <v>0</v>
      </c>
      <c r="J4497" s="7">
        <f>tbl_Ventes[[#This Row],[CA ligne]] - tbl_Ventes[[#This Row],[Coût matière ligne]]</f>
        <v>0</v>
      </c>
      <c r="K4497" s="7" t="str">
        <f>IFERROR(INDEX(tbl_ProduitsRef[Famille], MATCH(tbl_Ventes[[#This Row],[Cde_Prdt]], tbl_Produits[Cde_Prdt], 0)), "")</f>
        <v/>
      </c>
    </row>
    <row r="4498" spans="1:11" x14ac:dyDescent="0.25">
      <c r="A4498" s="5"/>
      <c r="B4498" s="63" t="str">
        <f>IFERROR(TEXT(tbl_Ventes[[#This Row],[Date]],"mm-aaaa"),"")</f>
        <v>01-1900</v>
      </c>
      <c r="D4498" s="10" t="str">
        <f>IFERROR(
   INDEX(tbl_ProduitsRef[Cde_Prdt],MATCH(tbl_Ventes[[#This Row],[Produit]],tbl_ProduitsRef[Produit],0)),
   ""
)</f>
        <v/>
      </c>
      <c r="E4498" s="7">
        <v>0</v>
      </c>
      <c r="F4498" s="7" t="str">
        <f>IFERROR(
   INDEX(tbl_ProduitsRef[Prix Menu],MATCH(tbl_Ventes[[#This Row],[Produit]],tbl_ProduitsRef[Produit],0)),
   ""
)</f>
        <v/>
      </c>
      <c r="G4498" s="7">
        <f>tbl_Ventes[[#This Row],[Qté Vendue]] * IFERROR(_xlfn.XLOOKUP(tbl_Ventes[[#This Row],[Cde_Prdt]], tbl_Produits[Cde_Prdt], tbl_Produits[Prix Menu]), 0)</f>
        <v>0</v>
      </c>
      <c r="H4498" s="7">
        <f>IFERROR(_xlfn.XLOOKUP(tbl_Ventes[[#This Row],[Cde_Prdt]], tbl_Produits[Cde_Prdt], tbl_Produits[Coût Moyen Portion]), 0)</f>
        <v>0</v>
      </c>
      <c r="I4498" s="7">
        <f>tbl_Ventes[[#This Row],[Qté Vendue]] * tbl_Ventes[[#This Row],[CMP_par_portion]]</f>
        <v>0</v>
      </c>
      <c r="J4498" s="7">
        <f>tbl_Ventes[[#This Row],[CA ligne]] - tbl_Ventes[[#This Row],[Coût matière ligne]]</f>
        <v>0</v>
      </c>
      <c r="K4498" s="7" t="str">
        <f>IFERROR(INDEX(tbl_ProduitsRef[Famille], MATCH(tbl_Ventes[[#This Row],[Cde_Prdt]], tbl_Produits[Cde_Prdt], 0)), "")</f>
        <v/>
      </c>
    </row>
    <row r="4499" spans="1:11" x14ac:dyDescent="0.25">
      <c r="A4499" s="5"/>
      <c r="B4499" s="63" t="str">
        <f>IFERROR(TEXT(tbl_Ventes[[#This Row],[Date]],"mm-aaaa"),"")</f>
        <v>01-1900</v>
      </c>
      <c r="D4499" s="10" t="str">
        <f>IFERROR(
   INDEX(tbl_ProduitsRef[Cde_Prdt],MATCH(tbl_Ventes[[#This Row],[Produit]],tbl_ProduitsRef[Produit],0)),
   ""
)</f>
        <v/>
      </c>
      <c r="E4499" s="7">
        <v>0</v>
      </c>
      <c r="F4499" s="7" t="str">
        <f>IFERROR(
   INDEX(tbl_ProduitsRef[Prix Menu],MATCH(tbl_Ventes[[#This Row],[Produit]],tbl_ProduitsRef[Produit],0)),
   ""
)</f>
        <v/>
      </c>
      <c r="G4499" s="7">
        <f>tbl_Ventes[[#This Row],[Qté Vendue]] * IFERROR(_xlfn.XLOOKUP(tbl_Ventes[[#This Row],[Cde_Prdt]], tbl_Produits[Cde_Prdt], tbl_Produits[Prix Menu]), 0)</f>
        <v>0</v>
      </c>
      <c r="H4499" s="7">
        <f>IFERROR(_xlfn.XLOOKUP(tbl_Ventes[[#This Row],[Cde_Prdt]], tbl_Produits[Cde_Prdt], tbl_Produits[Coût Moyen Portion]), 0)</f>
        <v>0</v>
      </c>
      <c r="I4499" s="7">
        <f>tbl_Ventes[[#This Row],[Qté Vendue]] * tbl_Ventes[[#This Row],[CMP_par_portion]]</f>
        <v>0</v>
      </c>
      <c r="J4499" s="7">
        <f>tbl_Ventes[[#This Row],[CA ligne]] - tbl_Ventes[[#This Row],[Coût matière ligne]]</f>
        <v>0</v>
      </c>
      <c r="K4499" s="7" t="str">
        <f>IFERROR(INDEX(tbl_ProduitsRef[Famille], MATCH(tbl_Ventes[[#This Row],[Cde_Prdt]], tbl_Produits[Cde_Prdt], 0)), "")</f>
        <v/>
      </c>
    </row>
    <row r="4500" spans="1:11" x14ac:dyDescent="0.25">
      <c r="A4500" s="5"/>
      <c r="B4500" s="63" t="str">
        <f>IFERROR(TEXT(tbl_Ventes[[#This Row],[Date]],"mm-aaaa"),"")</f>
        <v>01-1900</v>
      </c>
      <c r="D4500" s="10" t="str">
        <f>IFERROR(
   INDEX(tbl_ProduitsRef[Cde_Prdt],MATCH(tbl_Ventes[[#This Row],[Produit]],tbl_ProduitsRef[Produit],0)),
   ""
)</f>
        <v/>
      </c>
      <c r="E4500" s="7">
        <v>0</v>
      </c>
      <c r="F4500" s="7" t="str">
        <f>IFERROR(
   INDEX(tbl_ProduitsRef[Prix Menu],MATCH(tbl_Ventes[[#This Row],[Produit]],tbl_ProduitsRef[Produit],0)),
   ""
)</f>
        <v/>
      </c>
      <c r="G4500" s="7">
        <f>tbl_Ventes[[#This Row],[Qté Vendue]] * IFERROR(_xlfn.XLOOKUP(tbl_Ventes[[#This Row],[Cde_Prdt]], tbl_Produits[Cde_Prdt], tbl_Produits[Prix Menu]), 0)</f>
        <v>0</v>
      </c>
      <c r="H4500" s="7">
        <f>IFERROR(_xlfn.XLOOKUP(tbl_Ventes[[#This Row],[Cde_Prdt]], tbl_Produits[Cde_Prdt], tbl_Produits[Coût Moyen Portion]), 0)</f>
        <v>0</v>
      </c>
      <c r="I4500" s="7">
        <f>tbl_Ventes[[#This Row],[Qté Vendue]] * tbl_Ventes[[#This Row],[CMP_par_portion]]</f>
        <v>0</v>
      </c>
      <c r="J4500" s="7">
        <f>tbl_Ventes[[#This Row],[CA ligne]] - tbl_Ventes[[#This Row],[Coût matière ligne]]</f>
        <v>0</v>
      </c>
      <c r="K4500" s="7" t="str">
        <f>IFERROR(INDEX(tbl_ProduitsRef[Famille], MATCH(tbl_Ventes[[#This Row],[Cde_Prdt]], tbl_Produits[Cde_Prdt], 0)), "")</f>
        <v/>
      </c>
    </row>
    <row r="4501" spans="1:11" x14ac:dyDescent="0.25">
      <c r="A4501" s="5"/>
      <c r="B4501" s="63" t="str">
        <f>IFERROR(TEXT(tbl_Ventes[[#This Row],[Date]],"mm-aaaa"),"")</f>
        <v>01-1900</v>
      </c>
      <c r="D4501" s="10" t="str">
        <f>IFERROR(
   INDEX(tbl_ProduitsRef[Cde_Prdt],MATCH(tbl_Ventes[[#This Row],[Produit]],tbl_ProduitsRef[Produit],0)),
   ""
)</f>
        <v/>
      </c>
      <c r="E4501" s="7">
        <v>0</v>
      </c>
      <c r="F4501" s="7" t="str">
        <f>IFERROR(
   INDEX(tbl_ProduitsRef[Prix Menu],MATCH(tbl_Ventes[[#This Row],[Produit]],tbl_ProduitsRef[Produit],0)),
   ""
)</f>
        <v/>
      </c>
      <c r="G4501" s="7">
        <f>tbl_Ventes[[#This Row],[Qté Vendue]] * IFERROR(_xlfn.XLOOKUP(tbl_Ventes[[#This Row],[Cde_Prdt]], tbl_Produits[Cde_Prdt], tbl_Produits[Prix Menu]), 0)</f>
        <v>0</v>
      </c>
      <c r="H4501" s="7">
        <f>IFERROR(_xlfn.XLOOKUP(tbl_Ventes[[#This Row],[Cde_Prdt]], tbl_Produits[Cde_Prdt], tbl_Produits[Coût Moyen Portion]), 0)</f>
        <v>0</v>
      </c>
      <c r="I4501" s="7">
        <f>tbl_Ventes[[#This Row],[Qté Vendue]] * tbl_Ventes[[#This Row],[CMP_par_portion]]</f>
        <v>0</v>
      </c>
      <c r="J4501" s="7">
        <f>tbl_Ventes[[#This Row],[CA ligne]] - tbl_Ventes[[#This Row],[Coût matière ligne]]</f>
        <v>0</v>
      </c>
      <c r="K4501" s="7" t="str">
        <f>IFERROR(INDEX(tbl_ProduitsRef[Famille], MATCH(tbl_Ventes[[#This Row],[Cde_Prdt]], tbl_Produits[Cde_Prdt], 0)), "")</f>
        <v/>
      </c>
    </row>
    <row r="4502" spans="1:11" x14ac:dyDescent="0.25">
      <c r="A4502" s="5"/>
      <c r="B4502" s="63" t="str">
        <f>IFERROR(TEXT(tbl_Ventes[[#This Row],[Date]],"mm-aaaa"),"")</f>
        <v>01-1900</v>
      </c>
      <c r="D4502" s="10" t="str">
        <f>IFERROR(
   INDEX(tbl_ProduitsRef[Cde_Prdt],MATCH(tbl_Ventes[[#This Row],[Produit]],tbl_ProduitsRef[Produit],0)),
   ""
)</f>
        <v/>
      </c>
      <c r="E4502" s="7">
        <v>0</v>
      </c>
      <c r="F4502" s="7" t="str">
        <f>IFERROR(
   INDEX(tbl_ProduitsRef[Prix Menu],MATCH(tbl_Ventes[[#This Row],[Produit]],tbl_ProduitsRef[Produit],0)),
   ""
)</f>
        <v/>
      </c>
      <c r="G4502" s="7">
        <f>tbl_Ventes[[#This Row],[Qté Vendue]] * IFERROR(_xlfn.XLOOKUP(tbl_Ventes[[#This Row],[Cde_Prdt]], tbl_Produits[Cde_Prdt], tbl_Produits[Prix Menu]), 0)</f>
        <v>0</v>
      </c>
      <c r="H4502" s="7">
        <f>IFERROR(_xlfn.XLOOKUP(tbl_Ventes[[#This Row],[Cde_Prdt]], tbl_Produits[Cde_Prdt], tbl_Produits[Coût Moyen Portion]), 0)</f>
        <v>0</v>
      </c>
      <c r="I4502" s="7">
        <f>tbl_Ventes[[#This Row],[Qté Vendue]] * tbl_Ventes[[#This Row],[CMP_par_portion]]</f>
        <v>0</v>
      </c>
      <c r="J4502" s="7">
        <f>tbl_Ventes[[#This Row],[CA ligne]] - tbl_Ventes[[#This Row],[Coût matière ligne]]</f>
        <v>0</v>
      </c>
      <c r="K4502" s="7" t="str">
        <f>IFERROR(INDEX(tbl_ProduitsRef[Famille], MATCH(tbl_Ventes[[#This Row],[Cde_Prdt]], tbl_Produits[Cde_Prdt], 0)), "")</f>
        <v/>
      </c>
    </row>
    <row r="4503" spans="1:11" x14ac:dyDescent="0.25">
      <c r="A4503" s="5"/>
      <c r="B4503" s="63" t="str">
        <f>IFERROR(TEXT(tbl_Ventes[[#This Row],[Date]],"mm-aaaa"),"")</f>
        <v>01-1900</v>
      </c>
      <c r="D4503" s="10" t="str">
        <f>IFERROR(
   INDEX(tbl_ProduitsRef[Cde_Prdt],MATCH(tbl_Ventes[[#This Row],[Produit]],tbl_ProduitsRef[Produit],0)),
   ""
)</f>
        <v/>
      </c>
      <c r="E4503" s="7">
        <v>0</v>
      </c>
      <c r="F4503" s="7" t="str">
        <f>IFERROR(
   INDEX(tbl_ProduitsRef[Prix Menu],MATCH(tbl_Ventes[[#This Row],[Produit]],tbl_ProduitsRef[Produit],0)),
   ""
)</f>
        <v/>
      </c>
      <c r="G4503" s="7">
        <f>tbl_Ventes[[#This Row],[Qté Vendue]] * IFERROR(_xlfn.XLOOKUP(tbl_Ventes[[#This Row],[Cde_Prdt]], tbl_Produits[Cde_Prdt], tbl_Produits[Prix Menu]), 0)</f>
        <v>0</v>
      </c>
      <c r="H4503" s="7">
        <f>IFERROR(_xlfn.XLOOKUP(tbl_Ventes[[#This Row],[Cde_Prdt]], tbl_Produits[Cde_Prdt], tbl_Produits[Coût Moyen Portion]), 0)</f>
        <v>0</v>
      </c>
      <c r="I4503" s="7">
        <f>tbl_Ventes[[#This Row],[Qté Vendue]] * tbl_Ventes[[#This Row],[CMP_par_portion]]</f>
        <v>0</v>
      </c>
      <c r="J4503" s="7">
        <f>tbl_Ventes[[#This Row],[CA ligne]] - tbl_Ventes[[#This Row],[Coût matière ligne]]</f>
        <v>0</v>
      </c>
      <c r="K4503" s="7" t="str">
        <f>IFERROR(INDEX(tbl_ProduitsRef[Famille], MATCH(tbl_Ventes[[#This Row],[Cde_Prdt]], tbl_Produits[Cde_Prdt], 0)), "")</f>
        <v/>
      </c>
    </row>
    <row r="4504" spans="1:11" x14ac:dyDescent="0.25">
      <c r="A4504" s="5"/>
      <c r="B4504" s="63" t="str">
        <f>IFERROR(TEXT(tbl_Ventes[[#This Row],[Date]],"mm-aaaa"),"")</f>
        <v>01-1900</v>
      </c>
      <c r="D4504" s="10" t="str">
        <f>IFERROR(
   INDEX(tbl_ProduitsRef[Cde_Prdt],MATCH(tbl_Ventes[[#This Row],[Produit]],tbl_ProduitsRef[Produit],0)),
   ""
)</f>
        <v/>
      </c>
      <c r="E4504" s="7">
        <v>0</v>
      </c>
      <c r="F4504" s="7" t="str">
        <f>IFERROR(
   INDEX(tbl_ProduitsRef[Prix Menu],MATCH(tbl_Ventes[[#This Row],[Produit]],tbl_ProduitsRef[Produit],0)),
   ""
)</f>
        <v/>
      </c>
      <c r="G4504" s="7">
        <f>tbl_Ventes[[#This Row],[Qté Vendue]] * IFERROR(_xlfn.XLOOKUP(tbl_Ventes[[#This Row],[Cde_Prdt]], tbl_Produits[Cde_Prdt], tbl_Produits[Prix Menu]), 0)</f>
        <v>0</v>
      </c>
      <c r="H4504" s="7">
        <f>IFERROR(_xlfn.XLOOKUP(tbl_Ventes[[#This Row],[Cde_Prdt]], tbl_Produits[Cde_Prdt], tbl_Produits[Coût Moyen Portion]), 0)</f>
        <v>0</v>
      </c>
      <c r="I4504" s="7">
        <f>tbl_Ventes[[#This Row],[Qté Vendue]] * tbl_Ventes[[#This Row],[CMP_par_portion]]</f>
        <v>0</v>
      </c>
      <c r="J4504" s="7">
        <f>tbl_Ventes[[#This Row],[CA ligne]] - tbl_Ventes[[#This Row],[Coût matière ligne]]</f>
        <v>0</v>
      </c>
      <c r="K4504" s="7" t="str">
        <f>IFERROR(INDEX(tbl_ProduitsRef[Famille], MATCH(tbl_Ventes[[#This Row],[Cde_Prdt]], tbl_Produits[Cde_Prdt], 0)), "")</f>
        <v/>
      </c>
    </row>
    <row r="4505" spans="1:11" x14ac:dyDescent="0.25">
      <c r="A4505" s="5"/>
      <c r="B4505" s="63" t="str">
        <f>IFERROR(TEXT(tbl_Ventes[[#This Row],[Date]],"mm-aaaa"),"")</f>
        <v>01-1900</v>
      </c>
      <c r="D4505" s="10" t="str">
        <f>IFERROR(
   INDEX(tbl_ProduitsRef[Cde_Prdt],MATCH(tbl_Ventes[[#This Row],[Produit]],tbl_ProduitsRef[Produit],0)),
   ""
)</f>
        <v/>
      </c>
      <c r="E4505" s="7">
        <v>0</v>
      </c>
      <c r="F4505" s="7" t="str">
        <f>IFERROR(
   INDEX(tbl_ProduitsRef[Prix Menu],MATCH(tbl_Ventes[[#This Row],[Produit]],tbl_ProduitsRef[Produit],0)),
   ""
)</f>
        <v/>
      </c>
      <c r="G4505" s="7">
        <f>tbl_Ventes[[#This Row],[Qté Vendue]] * IFERROR(_xlfn.XLOOKUP(tbl_Ventes[[#This Row],[Cde_Prdt]], tbl_Produits[Cde_Prdt], tbl_Produits[Prix Menu]), 0)</f>
        <v>0</v>
      </c>
      <c r="H4505" s="7">
        <f>IFERROR(_xlfn.XLOOKUP(tbl_Ventes[[#This Row],[Cde_Prdt]], tbl_Produits[Cde_Prdt], tbl_Produits[Coût Moyen Portion]), 0)</f>
        <v>0</v>
      </c>
      <c r="I4505" s="7">
        <f>tbl_Ventes[[#This Row],[Qté Vendue]] * tbl_Ventes[[#This Row],[CMP_par_portion]]</f>
        <v>0</v>
      </c>
      <c r="J4505" s="7">
        <f>tbl_Ventes[[#This Row],[CA ligne]] - tbl_Ventes[[#This Row],[Coût matière ligne]]</f>
        <v>0</v>
      </c>
      <c r="K4505" s="7" t="str">
        <f>IFERROR(INDEX(tbl_ProduitsRef[Famille], MATCH(tbl_Ventes[[#This Row],[Cde_Prdt]], tbl_Produits[Cde_Prdt], 0)), "")</f>
        <v/>
      </c>
    </row>
    <row r="4506" spans="1:11" x14ac:dyDescent="0.25">
      <c r="A4506" s="5"/>
      <c r="B4506" s="63" t="str">
        <f>IFERROR(TEXT(tbl_Ventes[[#This Row],[Date]],"mm-aaaa"),"")</f>
        <v>01-1900</v>
      </c>
      <c r="D4506" s="10" t="str">
        <f>IFERROR(
   INDEX(tbl_ProduitsRef[Cde_Prdt],MATCH(tbl_Ventes[[#This Row],[Produit]],tbl_ProduitsRef[Produit],0)),
   ""
)</f>
        <v/>
      </c>
      <c r="E4506" s="7">
        <v>0</v>
      </c>
      <c r="F4506" s="7" t="str">
        <f>IFERROR(
   INDEX(tbl_ProduitsRef[Prix Menu],MATCH(tbl_Ventes[[#This Row],[Produit]],tbl_ProduitsRef[Produit],0)),
   ""
)</f>
        <v/>
      </c>
      <c r="G4506" s="7">
        <f>tbl_Ventes[[#This Row],[Qté Vendue]] * IFERROR(_xlfn.XLOOKUP(tbl_Ventes[[#This Row],[Cde_Prdt]], tbl_Produits[Cde_Prdt], tbl_Produits[Prix Menu]), 0)</f>
        <v>0</v>
      </c>
      <c r="H4506" s="7">
        <f>IFERROR(_xlfn.XLOOKUP(tbl_Ventes[[#This Row],[Cde_Prdt]], tbl_Produits[Cde_Prdt], tbl_Produits[Coût Moyen Portion]), 0)</f>
        <v>0</v>
      </c>
      <c r="I4506" s="7">
        <f>tbl_Ventes[[#This Row],[Qté Vendue]] * tbl_Ventes[[#This Row],[CMP_par_portion]]</f>
        <v>0</v>
      </c>
      <c r="J4506" s="7">
        <f>tbl_Ventes[[#This Row],[CA ligne]] - tbl_Ventes[[#This Row],[Coût matière ligne]]</f>
        <v>0</v>
      </c>
      <c r="K4506" s="7" t="str">
        <f>IFERROR(INDEX(tbl_ProduitsRef[Famille], MATCH(tbl_Ventes[[#This Row],[Cde_Prdt]], tbl_Produits[Cde_Prdt], 0)), "")</f>
        <v/>
      </c>
    </row>
    <row r="4507" spans="1:11" x14ac:dyDescent="0.25">
      <c r="A4507" s="5"/>
      <c r="B4507" s="63" t="str">
        <f>IFERROR(TEXT(tbl_Ventes[[#This Row],[Date]],"mm-aaaa"),"")</f>
        <v>01-1900</v>
      </c>
      <c r="D4507" s="10" t="str">
        <f>IFERROR(
   INDEX(tbl_ProduitsRef[Cde_Prdt],MATCH(tbl_Ventes[[#This Row],[Produit]],tbl_ProduitsRef[Produit],0)),
   ""
)</f>
        <v/>
      </c>
      <c r="E4507" s="7">
        <v>0</v>
      </c>
      <c r="F4507" s="7" t="str">
        <f>IFERROR(
   INDEX(tbl_ProduitsRef[Prix Menu],MATCH(tbl_Ventes[[#This Row],[Produit]],tbl_ProduitsRef[Produit],0)),
   ""
)</f>
        <v/>
      </c>
      <c r="G4507" s="7">
        <f>tbl_Ventes[[#This Row],[Qté Vendue]] * IFERROR(_xlfn.XLOOKUP(tbl_Ventes[[#This Row],[Cde_Prdt]], tbl_Produits[Cde_Prdt], tbl_Produits[Prix Menu]), 0)</f>
        <v>0</v>
      </c>
      <c r="H4507" s="7">
        <f>IFERROR(_xlfn.XLOOKUP(tbl_Ventes[[#This Row],[Cde_Prdt]], tbl_Produits[Cde_Prdt], tbl_Produits[Coût Moyen Portion]), 0)</f>
        <v>0</v>
      </c>
      <c r="I4507" s="7">
        <f>tbl_Ventes[[#This Row],[Qté Vendue]] * tbl_Ventes[[#This Row],[CMP_par_portion]]</f>
        <v>0</v>
      </c>
      <c r="J4507" s="7">
        <f>tbl_Ventes[[#This Row],[CA ligne]] - tbl_Ventes[[#This Row],[Coût matière ligne]]</f>
        <v>0</v>
      </c>
      <c r="K4507" s="7" t="str">
        <f>IFERROR(INDEX(tbl_ProduitsRef[Famille], MATCH(tbl_Ventes[[#This Row],[Cde_Prdt]], tbl_Produits[Cde_Prdt], 0)), "")</f>
        <v/>
      </c>
    </row>
    <row r="4508" spans="1:11" x14ac:dyDescent="0.25">
      <c r="A4508" s="5"/>
      <c r="B4508" s="63" t="str">
        <f>IFERROR(TEXT(tbl_Ventes[[#This Row],[Date]],"mm-aaaa"),"")</f>
        <v>01-1900</v>
      </c>
      <c r="D4508" s="10" t="str">
        <f>IFERROR(
   INDEX(tbl_ProduitsRef[Cde_Prdt],MATCH(tbl_Ventes[[#This Row],[Produit]],tbl_ProduitsRef[Produit],0)),
   ""
)</f>
        <v/>
      </c>
      <c r="E4508" s="7">
        <v>0</v>
      </c>
      <c r="F4508" s="7" t="str">
        <f>IFERROR(
   INDEX(tbl_ProduitsRef[Prix Menu],MATCH(tbl_Ventes[[#This Row],[Produit]],tbl_ProduitsRef[Produit],0)),
   ""
)</f>
        <v/>
      </c>
      <c r="G4508" s="7">
        <f>tbl_Ventes[[#This Row],[Qté Vendue]] * IFERROR(_xlfn.XLOOKUP(tbl_Ventes[[#This Row],[Cde_Prdt]], tbl_Produits[Cde_Prdt], tbl_Produits[Prix Menu]), 0)</f>
        <v>0</v>
      </c>
      <c r="H4508" s="7">
        <f>IFERROR(_xlfn.XLOOKUP(tbl_Ventes[[#This Row],[Cde_Prdt]], tbl_Produits[Cde_Prdt], tbl_Produits[Coût Moyen Portion]), 0)</f>
        <v>0</v>
      </c>
      <c r="I4508" s="7">
        <f>tbl_Ventes[[#This Row],[Qté Vendue]] * tbl_Ventes[[#This Row],[CMP_par_portion]]</f>
        <v>0</v>
      </c>
      <c r="J4508" s="7">
        <f>tbl_Ventes[[#This Row],[CA ligne]] - tbl_Ventes[[#This Row],[Coût matière ligne]]</f>
        <v>0</v>
      </c>
      <c r="K4508" s="7" t="str">
        <f>IFERROR(INDEX(tbl_ProduitsRef[Famille], MATCH(tbl_Ventes[[#This Row],[Cde_Prdt]], tbl_Produits[Cde_Prdt], 0)), "")</f>
        <v/>
      </c>
    </row>
    <row r="4509" spans="1:11" x14ac:dyDescent="0.25">
      <c r="A4509" s="5"/>
      <c r="B4509" s="63" t="str">
        <f>IFERROR(TEXT(tbl_Ventes[[#This Row],[Date]],"mm-aaaa"),"")</f>
        <v>01-1900</v>
      </c>
      <c r="D4509" s="10" t="str">
        <f>IFERROR(
   INDEX(tbl_ProduitsRef[Cde_Prdt],MATCH(tbl_Ventes[[#This Row],[Produit]],tbl_ProduitsRef[Produit],0)),
   ""
)</f>
        <v/>
      </c>
      <c r="E4509" s="7">
        <v>0</v>
      </c>
      <c r="F4509" s="7" t="str">
        <f>IFERROR(
   INDEX(tbl_ProduitsRef[Prix Menu],MATCH(tbl_Ventes[[#This Row],[Produit]],tbl_ProduitsRef[Produit],0)),
   ""
)</f>
        <v/>
      </c>
      <c r="G4509" s="7">
        <f>tbl_Ventes[[#This Row],[Qté Vendue]] * IFERROR(_xlfn.XLOOKUP(tbl_Ventes[[#This Row],[Cde_Prdt]], tbl_Produits[Cde_Prdt], tbl_Produits[Prix Menu]), 0)</f>
        <v>0</v>
      </c>
      <c r="H4509" s="7">
        <f>IFERROR(_xlfn.XLOOKUP(tbl_Ventes[[#This Row],[Cde_Prdt]], tbl_Produits[Cde_Prdt], tbl_Produits[Coût Moyen Portion]), 0)</f>
        <v>0</v>
      </c>
      <c r="I4509" s="7">
        <f>tbl_Ventes[[#This Row],[Qté Vendue]] * tbl_Ventes[[#This Row],[CMP_par_portion]]</f>
        <v>0</v>
      </c>
      <c r="J4509" s="7">
        <f>tbl_Ventes[[#This Row],[CA ligne]] - tbl_Ventes[[#This Row],[Coût matière ligne]]</f>
        <v>0</v>
      </c>
      <c r="K4509" s="7" t="str">
        <f>IFERROR(INDEX(tbl_ProduitsRef[Famille], MATCH(tbl_Ventes[[#This Row],[Cde_Prdt]], tbl_Produits[Cde_Prdt], 0)), "")</f>
        <v/>
      </c>
    </row>
    <row r="4510" spans="1:11" x14ac:dyDescent="0.25">
      <c r="A4510" s="5"/>
      <c r="B4510" s="63" t="str">
        <f>IFERROR(TEXT(tbl_Ventes[[#This Row],[Date]],"mm-aaaa"),"")</f>
        <v>01-1900</v>
      </c>
      <c r="D4510" s="10" t="str">
        <f>IFERROR(
   INDEX(tbl_ProduitsRef[Cde_Prdt],MATCH(tbl_Ventes[[#This Row],[Produit]],tbl_ProduitsRef[Produit],0)),
   ""
)</f>
        <v/>
      </c>
      <c r="E4510" s="7">
        <v>0</v>
      </c>
      <c r="F4510" s="7" t="str">
        <f>IFERROR(
   INDEX(tbl_ProduitsRef[Prix Menu],MATCH(tbl_Ventes[[#This Row],[Produit]],tbl_ProduitsRef[Produit],0)),
   ""
)</f>
        <v/>
      </c>
      <c r="G4510" s="7">
        <f>tbl_Ventes[[#This Row],[Qté Vendue]] * IFERROR(_xlfn.XLOOKUP(tbl_Ventes[[#This Row],[Cde_Prdt]], tbl_Produits[Cde_Prdt], tbl_Produits[Prix Menu]), 0)</f>
        <v>0</v>
      </c>
      <c r="H4510" s="7">
        <f>IFERROR(_xlfn.XLOOKUP(tbl_Ventes[[#This Row],[Cde_Prdt]], tbl_Produits[Cde_Prdt], tbl_Produits[Coût Moyen Portion]), 0)</f>
        <v>0</v>
      </c>
      <c r="I4510" s="7">
        <f>tbl_Ventes[[#This Row],[Qté Vendue]] * tbl_Ventes[[#This Row],[CMP_par_portion]]</f>
        <v>0</v>
      </c>
      <c r="J4510" s="7">
        <f>tbl_Ventes[[#This Row],[CA ligne]] - tbl_Ventes[[#This Row],[Coût matière ligne]]</f>
        <v>0</v>
      </c>
      <c r="K4510" s="7" t="str">
        <f>IFERROR(INDEX(tbl_ProduitsRef[Famille], MATCH(tbl_Ventes[[#This Row],[Cde_Prdt]], tbl_Produits[Cde_Prdt], 0)), "")</f>
        <v/>
      </c>
    </row>
    <row r="4511" spans="1:11" x14ac:dyDescent="0.25">
      <c r="A4511" s="5"/>
      <c r="B4511" s="63" t="str">
        <f>IFERROR(TEXT(tbl_Ventes[[#This Row],[Date]],"mm-aaaa"),"")</f>
        <v>01-1900</v>
      </c>
      <c r="D4511" s="10" t="str">
        <f>IFERROR(
   INDEX(tbl_ProduitsRef[Cde_Prdt],MATCH(tbl_Ventes[[#This Row],[Produit]],tbl_ProduitsRef[Produit],0)),
   ""
)</f>
        <v/>
      </c>
      <c r="E4511" s="7">
        <v>0</v>
      </c>
      <c r="F4511" s="7" t="str">
        <f>IFERROR(
   INDEX(tbl_ProduitsRef[Prix Menu],MATCH(tbl_Ventes[[#This Row],[Produit]],tbl_ProduitsRef[Produit],0)),
   ""
)</f>
        <v/>
      </c>
      <c r="G4511" s="7">
        <f>tbl_Ventes[[#This Row],[Qté Vendue]] * IFERROR(_xlfn.XLOOKUP(tbl_Ventes[[#This Row],[Cde_Prdt]], tbl_Produits[Cde_Prdt], tbl_Produits[Prix Menu]), 0)</f>
        <v>0</v>
      </c>
      <c r="H4511" s="7">
        <f>IFERROR(_xlfn.XLOOKUP(tbl_Ventes[[#This Row],[Cde_Prdt]], tbl_Produits[Cde_Prdt], tbl_Produits[Coût Moyen Portion]), 0)</f>
        <v>0</v>
      </c>
      <c r="I4511" s="7">
        <f>tbl_Ventes[[#This Row],[Qté Vendue]] * tbl_Ventes[[#This Row],[CMP_par_portion]]</f>
        <v>0</v>
      </c>
      <c r="J4511" s="7">
        <f>tbl_Ventes[[#This Row],[CA ligne]] - tbl_Ventes[[#This Row],[Coût matière ligne]]</f>
        <v>0</v>
      </c>
      <c r="K4511" s="7" t="str">
        <f>IFERROR(INDEX(tbl_ProduitsRef[Famille], MATCH(tbl_Ventes[[#This Row],[Cde_Prdt]], tbl_Produits[Cde_Prdt], 0)), "")</f>
        <v/>
      </c>
    </row>
    <row r="4512" spans="1:11" x14ac:dyDescent="0.25">
      <c r="A4512" s="5"/>
      <c r="B4512" s="63" t="str">
        <f>IFERROR(TEXT(tbl_Ventes[[#This Row],[Date]],"mm-aaaa"),"")</f>
        <v>01-1900</v>
      </c>
      <c r="D4512" s="10" t="str">
        <f>IFERROR(
   INDEX(tbl_ProduitsRef[Cde_Prdt],MATCH(tbl_Ventes[[#This Row],[Produit]],tbl_ProduitsRef[Produit],0)),
   ""
)</f>
        <v/>
      </c>
      <c r="E4512" s="7">
        <v>0</v>
      </c>
      <c r="F4512" s="7" t="str">
        <f>IFERROR(
   INDEX(tbl_ProduitsRef[Prix Menu],MATCH(tbl_Ventes[[#This Row],[Produit]],tbl_ProduitsRef[Produit],0)),
   ""
)</f>
        <v/>
      </c>
      <c r="G4512" s="7">
        <f>tbl_Ventes[[#This Row],[Qté Vendue]] * IFERROR(_xlfn.XLOOKUP(tbl_Ventes[[#This Row],[Cde_Prdt]], tbl_Produits[Cde_Prdt], tbl_Produits[Prix Menu]), 0)</f>
        <v>0</v>
      </c>
      <c r="H4512" s="7">
        <f>IFERROR(_xlfn.XLOOKUP(tbl_Ventes[[#This Row],[Cde_Prdt]], tbl_Produits[Cde_Prdt], tbl_Produits[Coût Moyen Portion]), 0)</f>
        <v>0</v>
      </c>
      <c r="I4512" s="7">
        <f>tbl_Ventes[[#This Row],[Qté Vendue]] * tbl_Ventes[[#This Row],[CMP_par_portion]]</f>
        <v>0</v>
      </c>
      <c r="J4512" s="7">
        <f>tbl_Ventes[[#This Row],[CA ligne]] - tbl_Ventes[[#This Row],[Coût matière ligne]]</f>
        <v>0</v>
      </c>
      <c r="K4512" s="7" t="str">
        <f>IFERROR(INDEX(tbl_ProduitsRef[Famille], MATCH(tbl_Ventes[[#This Row],[Cde_Prdt]], tbl_Produits[Cde_Prdt], 0)), "")</f>
        <v/>
      </c>
    </row>
    <row r="4513" spans="1:11" x14ac:dyDescent="0.25">
      <c r="A4513" s="5"/>
      <c r="B4513" s="63" t="str">
        <f>IFERROR(TEXT(tbl_Ventes[[#This Row],[Date]],"mm-aaaa"),"")</f>
        <v>01-1900</v>
      </c>
      <c r="D4513" s="10" t="str">
        <f>IFERROR(
   INDEX(tbl_ProduitsRef[Cde_Prdt],MATCH(tbl_Ventes[[#This Row],[Produit]],tbl_ProduitsRef[Produit],0)),
   ""
)</f>
        <v/>
      </c>
      <c r="E4513" s="7">
        <v>0</v>
      </c>
      <c r="F4513" s="7" t="str">
        <f>IFERROR(
   INDEX(tbl_ProduitsRef[Prix Menu],MATCH(tbl_Ventes[[#This Row],[Produit]],tbl_ProduitsRef[Produit],0)),
   ""
)</f>
        <v/>
      </c>
      <c r="G4513" s="7">
        <f>tbl_Ventes[[#This Row],[Qté Vendue]] * IFERROR(_xlfn.XLOOKUP(tbl_Ventes[[#This Row],[Cde_Prdt]], tbl_Produits[Cde_Prdt], tbl_Produits[Prix Menu]), 0)</f>
        <v>0</v>
      </c>
      <c r="H4513" s="7">
        <f>IFERROR(_xlfn.XLOOKUP(tbl_Ventes[[#This Row],[Cde_Prdt]], tbl_Produits[Cde_Prdt], tbl_Produits[Coût Moyen Portion]), 0)</f>
        <v>0</v>
      </c>
      <c r="I4513" s="7">
        <f>tbl_Ventes[[#This Row],[Qté Vendue]] * tbl_Ventes[[#This Row],[CMP_par_portion]]</f>
        <v>0</v>
      </c>
      <c r="J4513" s="7">
        <f>tbl_Ventes[[#This Row],[CA ligne]] - tbl_Ventes[[#This Row],[Coût matière ligne]]</f>
        <v>0</v>
      </c>
      <c r="K4513" s="7" t="str">
        <f>IFERROR(INDEX(tbl_ProduitsRef[Famille], MATCH(tbl_Ventes[[#This Row],[Cde_Prdt]], tbl_Produits[Cde_Prdt], 0)), "")</f>
        <v/>
      </c>
    </row>
    <row r="4514" spans="1:11" x14ac:dyDescent="0.25">
      <c r="A4514" s="5"/>
      <c r="B4514" s="63" t="str">
        <f>IFERROR(TEXT(tbl_Ventes[[#This Row],[Date]],"mm-aaaa"),"")</f>
        <v>01-1900</v>
      </c>
      <c r="D4514" s="10" t="str">
        <f>IFERROR(
   INDEX(tbl_ProduitsRef[Cde_Prdt],MATCH(tbl_Ventes[[#This Row],[Produit]],tbl_ProduitsRef[Produit],0)),
   ""
)</f>
        <v/>
      </c>
      <c r="E4514" s="7">
        <v>0</v>
      </c>
      <c r="F4514" s="7" t="str">
        <f>IFERROR(
   INDEX(tbl_ProduitsRef[Prix Menu],MATCH(tbl_Ventes[[#This Row],[Produit]],tbl_ProduitsRef[Produit],0)),
   ""
)</f>
        <v/>
      </c>
      <c r="G4514" s="7">
        <f>tbl_Ventes[[#This Row],[Qté Vendue]] * IFERROR(_xlfn.XLOOKUP(tbl_Ventes[[#This Row],[Cde_Prdt]], tbl_Produits[Cde_Prdt], tbl_Produits[Prix Menu]), 0)</f>
        <v>0</v>
      </c>
      <c r="H4514" s="7">
        <f>IFERROR(_xlfn.XLOOKUP(tbl_Ventes[[#This Row],[Cde_Prdt]], tbl_Produits[Cde_Prdt], tbl_Produits[Coût Moyen Portion]), 0)</f>
        <v>0</v>
      </c>
      <c r="I4514" s="7">
        <f>tbl_Ventes[[#This Row],[Qté Vendue]] * tbl_Ventes[[#This Row],[CMP_par_portion]]</f>
        <v>0</v>
      </c>
      <c r="J4514" s="7">
        <f>tbl_Ventes[[#This Row],[CA ligne]] - tbl_Ventes[[#This Row],[Coût matière ligne]]</f>
        <v>0</v>
      </c>
      <c r="K4514" s="7" t="str">
        <f>IFERROR(INDEX(tbl_ProduitsRef[Famille], MATCH(tbl_Ventes[[#This Row],[Cde_Prdt]], tbl_Produits[Cde_Prdt], 0)), "")</f>
        <v/>
      </c>
    </row>
    <row r="4515" spans="1:11" x14ac:dyDescent="0.25">
      <c r="A4515" s="5"/>
      <c r="B4515" s="63" t="str">
        <f>IFERROR(TEXT(tbl_Ventes[[#This Row],[Date]],"mm-aaaa"),"")</f>
        <v>01-1900</v>
      </c>
      <c r="D4515" s="10" t="str">
        <f>IFERROR(
   INDEX(tbl_ProduitsRef[Cde_Prdt],MATCH(tbl_Ventes[[#This Row],[Produit]],tbl_ProduitsRef[Produit],0)),
   ""
)</f>
        <v/>
      </c>
      <c r="E4515" s="7">
        <v>0</v>
      </c>
      <c r="F4515" s="7" t="str">
        <f>IFERROR(
   INDEX(tbl_ProduitsRef[Prix Menu],MATCH(tbl_Ventes[[#This Row],[Produit]],tbl_ProduitsRef[Produit],0)),
   ""
)</f>
        <v/>
      </c>
      <c r="G4515" s="7">
        <f>tbl_Ventes[[#This Row],[Qté Vendue]] * IFERROR(_xlfn.XLOOKUP(tbl_Ventes[[#This Row],[Cde_Prdt]], tbl_Produits[Cde_Prdt], tbl_Produits[Prix Menu]), 0)</f>
        <v>0</v>
      </c>
      <c r="H4515" s="7">
        <f>IFERROR(_xlfn.XLOOKUP(tbl_Ventes[[#This Row],[Cde_Prdt]], tbl_Produits[Cde_Prdt], tbl_Produits[Coût Moyen Portion]), 0)</f>
        <v>0</v>
      </c>
      <c r="I4515" s="7">
        <f>tbl_Ventes[[#This Row],[Qté Vendue]] * tbl_Ventes[[#This Row],[CMP_par_portion]]</f>
        <v>0</v>
      </c>
      <c r="J4515" s="7">
        <f>tbl_Ventes[[#This Row],[CA ligne]] - tbl_Ventes[[#This Row],[Coût matière ligne]]</f>
        <v>0</v>
      </c>
      <c r="K4515" s="7" t="str">
        <f>IFERROR(INDEX(tbl_ProduitsRef[Famille], MATCH(tbl_Ventes[[#This Row],[Cde_Prdt]], tbl_Produits[Cde_Prdt], 0)), "")</f>
        <v/>
      </c>
    </row>
    <row r="4516" spans="1:11" x14ac:dyDescent="0.25">
      <c r="A4516" s="5"/>
      <c r="B4516" s="63" t="str">
        <f>IFERROR(TEXT(tbl_Ventes[[#This Row],[Date]],"mm-aaaa"),"")</f>
        <v>01-1900</v>
      </c>
      <c r="D4516" s="10" t="str">
        <f>IFERROR(
   INDEX(tbl_ProduitsRef[Cde_Prdt],MATCH(tbl_Ventes[[#This Row],[Produit]],tbl_ProduitsRef[Produit],0)),
   ""
)</f>
        <v/>
      </c>
      <c r="E4516" s="7">
        <v>0</v>
      </c>
      <c r="F4516" s="7" t="str">
        <f>IFERROR(
   INDEX(tbl_ProduitsRef[Prix Menu],MATCH(tbl_Ventes[[#This Row],[Produit]],tbl_ProduitsRef[Produit],0)),
   ""
)</f>
        <v/>
      </c>
      <c r="G4516" s="7">
        <f>tbl_Ventes[[#This Row],[Qté Vendue]] * IFERROR(_xlfn.XLOOKUP(tbl_Ventes[[#This Row],[Cde_Prdt]], tbl_Produits[Cde_Prdt], tbl_Produits[Prix Menu]), 0)</f>
        <v>0</v>
      </c>
      <c r="H4516" s="7">
        <f>IFERROR(_xlfn.XLOOKUP(tbl_Ventes[[#This Row],[Cde_Prdt]], tbl_Produits[Cde_Prdt], tbl_Produits[Coût Moyen Portion]), 0)</f>
        <v>0</v>
      </c>
      <c r="I4516" s="7">
        <f>tbl_Ventes[[#This Row],[Qté Vendue]] * tbl_Ventes[[#This Row],[CMP_par_portion]]</f>
        <v>0</v>
      </c>
      <c r="J4516" s="7">
        <f>tbl_Ventes[[#This Row],[CA ligne]] - tbl_Ventes[[#This Row],[Coût matière ligne]]</f>
        <v>0</v>
      </c>
      <c r="K4516" s="7" t="str">
        <f>IFERROR(INDEX(tbl_ProduitsRef[Famille], MATCH(tbl_Ventes[[#This Row],[Cde_Prdt]], tbl_Produits[Cde_Prdt], 0)), "")</f>
        <v/>
      </c>
    </row>
    <row r="4517" spans="1:11" x14ac:dyDescent="0.25">
      <c r="A4517" s="5"/>
      <c r="B4517" s="63" t="str">
        <f>IFERROR(TEXT(tbl_Ventes[[#This Row],[Date]],"mm-aaaa"),"")</f>
        <v>01-1900</v>
      </c>
      <c r="D4517" s="10" t="str">
        <f>IFERROR(
   INDEX(tbl_ProduitsRef[Cde_Prdt],MATCH(tbl_Ventes[[#This Row],[Produit]],tbl_ProduitsRef[Produit],0)),
   ""
)</f>
        <v/>
      </c>
      <c r="E4517" s="7">
        <v>0</v>
      </c>
      <c r="F4517" s="7" t="str">
        <f>IFERROR(
   INDEX(tbl_ProduitsRef[Prix Menu],MATCH(tbl_Ventes[[#This Row],[Produit]],tbl_ProduitsRef[Produit],0)),
   ""
)</f>
        <v/>
      </c>
      <c r="G4517" s="7">
        <f>tbl_Ventes[[#This Row],[Qté Vendue]] * IFERROR(_xlfn.XLOOKUP(tbl_Ventes[[#This Row],[Cde_Prdt]], tbl_Produits[Cde_Prdt], tbl_Produits[Prix Menu]), 0)</f>
        <v>0</v>
      </c>
      <c r="H4517" s="7">
        <f>IFERROR(_xlfn.XLOOKUP(tbl_Ventes[[#This Row],[Cde_Prdt]], tbl_Produits[Cde_Prdt], tbl_Produits[Coût Moyen Portion]), 0)</f>
        <v>0</v>
      </c>
      <c r="I4517" s="7">
        <f>tbl_Ventes[[#This Row],[Qté Vendue]] * tbl_Ventes[[#This Row],[CMP_par_portion]]</f>
        <v>0</v>
      </c>
      <c r="J4517" s="7">
        <f>tbl_Ventes[[#This Row],[CA ligne]] - tbl_Ventes[[#This Row],[Coût matière ligne]]</f>
        <v>0</v>
      </c>
      <c r="K4517" s="7" t="str">
        <f>IFERROR(INDEX(tbl_ProduitsRef[Famille], MATCH(tbl_Ventes[[#This Row],[Cde_Prdt]], tbl_Produits[Cde_Prdt], 0)), "")</f>
        <v/>
      </c>
    </row>
    <row r="4518" spans="1:11" x14ac:dyDescent="0.25">
      <c r="A4518" s="5"/>
      <c r="B4518" s="63" t="str">
        <f>IFERROR(TEXT(tbl_Ventes[[#This Row],[Date]],"mm-aaaa"),"")</f>
        <v>01-1900</v>
      </c>
      <c r="D4518" s="10" t="str">
        <f>IFERROR(
   INDEX(tbl_ProduitsRef[Cde_Prdt],MATCH(tbl_Ventes[[#This Row],[Produit]],tbl_ProduitsRef[Produit],0)),
   ""
)</f>
        <v/>
      </c>
      <c r="E4518" s="7">
        <v>0</v>
      </c>
      <c r="F4518" s="7" t="str">
        <f>IFERROR(
   INDEX(tbl_ProduitsRef[Prix Menu],MATCH(tbl_Ventes[[#This Row],[Produit]],tbl_ProduitsRef[Produit],0)),
   ""
)</f>
        <v/>
      </c>
      <c r="G4518" s="7">
        <f>tbl_Ventes[[#This Row],[Qté Vendue]] * IFERROR(_xlfn.XLOOKUP(tbl_Ventes[[#This Row],[Cde_Prdt]], tbl_Produits[Cde_Prdt], tbl_Produits[Prix Menu]), 0)</f>
        <v>0</v>
      </c>
      <c r="H4518" s="7">
        <f>IFERROR(_xlfn.XLOOKUP(tbl_Ventes[[#This Row],[Cde_Prdt]], tbl_Produits[Cde_Prdt], tbl_Produits[Coût Moyen Portion]), 0)</f>
        <v>0</v>
      </c>
      <c r="I4518" s="7">
        <f>tbl_Ventes[[#This Row],[Qté Vendue]] * tbl_Ventes[[#This Row],[CMP_par_portion]]</f>
        <v>0</v>
      </c>
      <c r="J4518" s="7">
        <f>tbl_Ventes[[#This Row],[CA ligne]] - tbl_Ventes[[#This Row],[Coût matière ligne]]</f>
        <v>0</v>
      </c>
      <c r="K4518" s="7" t="str">
        <f>IFERROR(INDEX(tbl_ProduitsRef[Famille], MATCH(tbl_Ventes[[#This Row],[Cde_Prdt]], tbl_Produits[Cde_Prdt], 0)), "")</f>
        <v/>
      </c>
    </row>
    <row r="4519" spans="1:11" x14ac:dyDescent="0.25">
      <c r="A4519" s="5"/>
      <c r="B4519" s="63" t="str">
        <f>IFERROR(TEXT(tbl_Ventes[[#This Row],[Date]],"mm-aaaa"),"")</f>
        <v>01-1900</v>
      </c>
      <c r="D4519" s="10" t="str">
        <f>IFERROR(
   INDEX(tbl_ProduitsRef[Cde_Prdt],MATCH(tbl_Ventes[[#This Row],[Produit]],tbl_ProduitsRef[Produit],0)),
   ""
)</f>
        <v/>
      </c>
      <c r="E4519" s="7">
        <v>0</v>
      </c>
      <c r="F4519" s="7" t="str">
        <f>IFERROR(
   INDEX(tbl_ProduitsRef[Prix Menu],MATCH(tbl_Ventes[[#This Row],[Produit]],tbl_ProduitsRef[Produit],0)),
   ""
)</f>
        <v/>
      </c>
      <c r="G4519" s="7">
        <f>tbl_Ventes[[#This Row],[Qté Vendue]] * IFERROR(_xlfn.XLOOKUP(tbl_Ventes[[#This Row],[Cde_Prdt]], tbl_Produits[Cde_Prdt], tbl_Produits[Prix Menu]), 0)</f>
        <v>0</v>
      </c>
      <c r="H4519" s="7">
        <f>IFERROR(_xlfn.XLOOKUP(tbl_Ventes[[#This Row],[Cde_Prdt]], tbl_Produits[Cde_Prdt], tbl_Produits[Coût Moyen Portion]), 0)</f>
        <v>0</v>
      </c>
      <c r="I4519" s="7">
        <f>tbl_Ventes[[#This Row],[Qté Vendue]] * tbl_Ventes[[#This Row],[CMP_par_portion]]</f>
        <v>0</v>
      </c>
      <c r="J4519" s="7">
        <f>tbl_Ventes[[#This Row],[CA ligne]] - tbl_Ventes[[#This Row],[Coût matière ligne]]</f>
        <v>0</v>
      </c>
      <c r="K4519" s="7" t="str">
        <f>IFERROR(INDEX(tbl_ProduitsRef[Famille], MATCH(tbl_Ventes[[#This Row],[Cde_Prdt]], tbl_Produits[Cde_Prdt], 0)), "")</f>
        <v/>
      </c>
    </row>
    <row r="4520" spans="1:11" x14ac:dyDescent="0.25">
      <c r="A4520" s="5"/>
      <c r="B4520" s="63" t="str">
        <f>IFERROR(TEXT(tbl_Ventes[[#This Row],[Date]],"mm-aaaa"),"")</f>
        <v>01-1900</v>
      </c>
      <c r="D4520" s="10" t="str">
        <f>IFERROR(
   INDEX(tbl_ProduitsRef[Cde_Prdt],MATCH(tbl_Ventes[[#This Row],[Produit]],tbl_ProduitsRef[Produit],0)),
   ""
)</f>
        <v/>
      </c>
      <c r="E4520" s="7">
        <v>0</v>
      </c>
      <c r="F4520" s="7" t="str">
        <f>IFERROR(
   INDEX(tbl_ProduitsRef[Prix Menu],MATCH(tbl_Ventes[[#This Row],[Produit]],tbl_ProduitsRef[Produit],0)),
   ""
)</f>
        <v/>
      </c>
      <c r="G4520" s="7">
        <f>tbl_Ventes[[#This Row],[Qté Vendue]] * IFERROR(_xlfn.XLOOKUP(tbl_Ventes[[#This Row],[Cde_Prdt]], tbl_Produits[Cde_Prdt], tbl_Produits[Prix Menu]), 0)</f>
        <v>0</v>
      </c>
      <c r="H4520" s="7">
        <f>IFERROR(_xlfn.XLOOKUP(tbl_Ventes[[#This Row],[Cde_Prdt]], tbl_Produits[Cde_Prdt], tbl_Produits[Coût Moyen Portion]), 0)</f>
        <v>0</v>
      </c>
      <c r="I4520" s="7">
        <f>tbl_Ventes[[#This Row],[Qté Vendue]] * tbl_Ventes[[#This Row],[CMP_par_portion]]</f>
        <v>0</v>
      </c>
      <c r="J4520" s="7">
        <f>tbl_Ventes[[#This Row],[CA ligne]] - tbl_Ventes[[#This Row],[Coût matière ligne]]</f>
        <v>0</v>
      </c>
      <c r="K4520" s="7" t="str">
        <f>IFERROR(INDEX(tbl_ProduitsRef[Famille], MATCH(tbl_Ventes[[#This Row],[Cde_Prdt]], tbl_Produits[Cde_Prdt], 0)), "")</f>
        <v/>
      </c>
    </row>
    <row r="4521" spans="1:11" x14ac:dyDescent="0.25">
      <c r="A4521" s="5"/>
      <c r="B4521" s="63" t="str">
        <f>IFERROR(TEXT(tbl_Ventes[[#This Row],[Date]],"mm-aaaa"),"")</f>
        <v>01-1900</v>
      </c>
      <c r="D4521" s="10" t="str">
        <f>IFERROR(
   INDEX(tbl_ProduitsRef[Cde_Prdt],MATCH(tbl_Ventes[[#This Row],[Produit]],tbl_ProduitsRef[Produit],0)),
   ""
)</f>
        <v/>
      </c>
      <c r="E4521" s="7">
        <v>0</v>
      </c>
      <c r="F4521" s="7" t="str">
        <f>IFERROR(
   INDEX(tbl_ProduitsRef[Prix Menu],MATCH(tbl_Ventes[[#This Row],[Produit]],tbl_ProduitsRef[Produit],0)),
   ""
)</f>
        <v/>
      </c>
      <c r="G4521" s="7">
        <f>tbl_Ventes[[#This Row],[Qté Vendue]] * IFERROR(_xlfn.XLOOKUP(tbl_Ventes[[#This Row],[Cde_Prdt]], tbl_Produits[Cde_Prdt], tbl_Produits[Prix Menu]), 0)</f>
        <v>0</v>
      </c>
      <c r="H4521" s="7">
        <f>IFERROR(_xlfn.XLOOKUP(tbl_Ventes[[#This Row],[Cde_Prdt]], tbl_Produits[Cde_Prdt], tbl_Produits[Coût Moyen Portion]), 0)</f>
        <v>0</v>
      </c>
      <c r="I4521" s="7">
        <f>tbl_Ventes[[#This Row],[Qté Vendue]] * tbl_Ventes[[#This Row],[CMP_par_portion]]</f>
        <v>0</v>
      </c>
      <c r="J4521" s="7">
        <f>tbl_Ventes[[#This Row],[CA ligne]] - tbl_Ventes[[#This Row],[Coût matière ligne]]</f>
        <v>0</v>
      </c>
      <c r="K4521" s="7" t="str">
        <f>IFERROR(INDEX(tbl_ProduitsRef[Famille], MATCH(tbl_Ventes[[#This Row],[Cde_Prdt]], tbl_Produits[Cde_Prdt], 0)), "")</f>
        <v/>
      </c>
    </row>
    <row r="4522" spans="1:11" x14ac:dyDescent="0.25">
      <c r="A4522" s="5"/>
      <c r="B4522" s="63" t="str">
        <f>IFERROR(TEXT(tbl_Ventes[[#This Row],[Date]],"mm-aaaa"),"")</f>
        <v>01-1900</v>
      </c>
      <c r="D4522" s="10" t="str">
        <f>IFERROR(
   INDEX(tbl_ProduitsRef[Cde_Prdt],MATCH(tbl_Ventes[[#This Row],[Produit]],tbl_ProduitsRef[Produit],0)),
   ""
)</f>
        <v/>
      </c>
      <c r="E4522" s="7">
        <v>0</v>
      </c>
      <c r="F4522" s="7" t="str">
        <f>IFERROR(
   INDEX(tbl_ProduitsRef[Prix Menu],MATCH(tbl_Ventes[[#This Row],[Produit]],tbl_ProduitsRef[Produit],0)),
   ""
)</f>
        <v/>
      </c>
      <c r="G4522" s="7">
        <f>tbl_Ventes[[#This Row],[Qté Vendue]] * IFERROR(_xlfn.XLOOKUP(tbl_Ventes[[#This Row],[Cde_Prdt]], tbl_Produits[Cde_Prdt], tbl_Produits[Prix Menu]), 0)</f>
        <v>0</v>
      </c>
      <c r="H4522" s="7">
        <f>IFERROR(_xlfn.XLOOKUP(tbl_Ventes[[#This Row],[Cde_Prdt]], tbl_Produits[Cde_Prdt], tbl_Produits[Coût Moyen Portion]), 0)</f>
        <v>0</v>
      </c>
      <c r="I4522" s="7">
        <f>tbl_Ventes[[#This Row],[Qté Vendue]] * tbl_Ventes[[#This Row],[CMP_par_portion]]</f>
        <v>0</v>
      </c>
      <c r="J4522" s="7">
        <f>tbl_Ventes[[#This Row],[CA ligne]] - tbl_Ventes[[#This Row],[Coût matière ligne]]</f>
        <v>0</v>
      </c>
      <c r="K4522" s="7" t="str">
        <f>IFERROR(INDEX(tbl_ProduitsRef[Famille], MATCH(tbl_Ventes[[#This Row],[Cde_Prdt]], tbl_Produits[Cde_Prdt], 0)), "")</f>
        <v/>
      </c>
    </row>
    <row r="4523" spans="1:11" x14ac:dyDescent="0.25">
      <c r="A4523" s="5"/>
      <c r="B4523" s="63" t="str">
        <f>IFERROR(TEXT(tbl_Ventes[[#This Row],[Date]],"mm-aaaa"),"")</f>
        <v>01-1900</v>
      </c>
      <c r="D4523" s="10" t="str">
        <f>IFERROR(
   INDEX(tbl_ProduitsRef[Cde_Prdt],MATCH(tbl_Ventes[[#This Row],[Produit]],tbl_ProduitsRef[Produit],0)),
   ""
)</f>
        <v/>
      </c>
      <c r="E4523" s="7">
        <v>0</v>
      </c>
      <c r="F4523" s="7" t="str">
        <f>IFERROR(
   INDEX(tbl_ProduitsRef[Prix Menu],MATCH(tbl_Ventes[[#This Row],[Produit]],tbl_ProduitsRef[Produit],0)),
   ""
)</f>
        <v/>
      </c>
      <c r="G4523" s="7">
        <f>tbl_Ventes[[#This Row],[Qté Vendue]] * IFERROR(_xlfn.XLOOKUP(tbl_Ventes[[#This Row],[Cde_Prdt]], tbl_Produits[Cde_Prdt], tbl_Produits[Prix Menu]), 0)</f>
        <v>0</v>
      </c>
      <c r="H4523" s="7">
        <f>IFERROR(_xlfn.XLOOKUP(tbl_Ventes[[#This Row],[Cde_Prdt]], tbl_Produits[Cde_Prdt], tbl_Produits[Coût Moyen Portion]), 0)</f>
        <v>0</v>
      </c>
      <c r="I4523" s="7">
        <f>tbl_Ventes[[#This Row],[Qté Vendue]] * tbl_Ventes[[#This Row],[CMP_par_portion]]</f>
        <v>0</v>
      </c>
      <c r="J4523" s="7">
        <f>tbl_Ventes[[#This Row],[CA ligne]] - tbl_Ventes[[#This Row],[Coût matière ligne]]</f>
        <v>0</v>
      </c>
      <c r="K4523" s="7" t="str">
        <f>IFERROR(INDEX(tbl_ProduitsRef[Famille], MATCH(tbl_Ventes[[#This Row],[Cde_Prdt]], tbl_Produits[Cde_Prdt], 0)), "")</f>
        <v/>
      </c>
    </row>
    <row r="4524" spans="1:11" x14ac:dyDescent="0.25">
      <c r="A4524" s="5"/>
      <c r="B4524" s="63" t="str">
        <f>IFERROR(TEXT(tbl_Ventes[[#This Row],[Date]],"mm-aaaa"),"")</f>
        <v>01-1900</v>
      </c>
      <c r="D4524" s="10" t="str">
        <f>IFERROR(
   INDEX(tbl_ProduitsRef[Cde_Prdt],MATCH(tbl_Ventes[[#This Row],[Produit]],tbl_ProduitsRef[Produit],0)),
   ""
)</f>
        <v/>
      </c>
      <c r="E4524" s="7">
        <v>0</v>
      </c>
      <c r="F4524" s="7" t="str">
        <f>IFERROR(
   INDEX(tbl_ProduitsRef[Prix Menu],MATCH(tbl_Ventes[[#This Row],[Produit]],tbl_ProduitsRef[Produit],0)),
   ""
)</f>
        <v/>
      </c>
      <c r="G4524" s="7">
        <f>tbl_Ventes[[#This Row],[Qté Vendue]] * IFERROR(_xlfn.XLOOKUP(tbl_Ventes[[#This Row],[Cde_Prdt]], tbl_Produits[Cde_Prdt], tbl_Produits[Prix Menu]), 0)</f>
        <v>0</v>
      </c>
      <c r="H4524" s="7">
        <f>IFERROR(_xlfn.XLOOKUP(tbl_Ventes[[#This Row],[Cde_Prdt]], tbl_Produits[Cde_Prdt], tbl_Produits[Coût Moyen Portion]), 0)</f>
        <v>0</v>
      </c>
      <c r="I4524" s="7">
        <f>tbl_Ventes[[#This Row],[Qté Vendue]] * tbl_Ventes[[#This Row],[CMP_par_portion]]</f>
        <v>0</v>
      </c>
      <c r="J4524" s="7">
        <f>tbl_Ventes[[#This Row],[CA ligne]] - tbl_Ventes[[#This Row],[Coût matière ligne]]</f>
        <v>0</v>
      </c>
      <c r="K4524" s="7" t="str">
        <f>IFERROR(INDEX(tbl_ProduitsRef[Famille], MATCH(tbl_Ventes[[#This Row],[Cde_Prdt]], tbl_Produits[Cde_Prdt], 0)), "")</f>
        <v/>
      </c>
    </row>
    <row r="4525" spans="1:11" x14ac:dyDescent="0.25">
      <c r="A4525" s="5"/>
      <c r="B4525" s="63" t="str">
        <f>IFERROR(TEXT(tbl_Ventes[[#This Row],[Date]],"mm-aaaa"),"")</f>
        <v>01-1900</v>
      </c>
      <c r="D4525" s="10" t="str">
        <f>IFERROR(
   INDEX(tbl_ProduitsRef[Cde_Prdt],MATCH(tbl_Ventes[[#This Row],[Produit]],tbl_ProduitsRef[Produit],0)),
   ""
)</f>
        <v/>
      </c>
      <c r="E4525" s="7">
        <v>0</v>
      </c>
      <c r="F4525" s="7" t="str">
        <f>IFERROR(
   INDEX(tbl_ProduitsRef[Prix Menu],MATCH(tbl_Ventes[[#This Row],[Produit]],tbl_ProduitsRef[Produit],0)),
   ""
)</f>
        <v/>
      </c>
      <c r="G4525" s="7">
        <f>tbl_Ventes[[#This Row],[Qté Vendue]] * IFERROR(_xlfn.XLOOKUP(tbl_Ventes[[#This Row],[Cde_Prdt]], tbl_Produits[Cde_Prdt], tbl_Produits[Prix Menu]), 0)</f>
        <v>0</v>
      </c>
      <c r="H4525" s="7">
        <f>IFERROR(_xlfn.XLOOKUP(tbl_Ventes[[#This Row],[Cde_Prdt]], tbl_Produits[Cde_Prdt], tbl_Produits[Coût Moyen Portion]), 0)</f>
        <v>0</v>
      </c>
      <c r="I4525" s="7">
        <f>tbl_Ventes[[#This Row],[Qté Vendue]] * tbl_Ventes[[#This Row],[CMP_par_portion]]</f>
        <v>0</v>
      </c>
      <c r="J4525" s="7">
        <f>tbl_Ventes[[#This Row],[CA ligne]] - tbl_Ventes[[#This Row],[Coût matière ligne]]</f>
        <v>0</v>
      </c>
      <c r="K4525" s="7" t="str">
        <f>IFERROR(INDEX(tbl_ProduitsRef[Famille], MATCH(tbl_Ventes[[#This Row],[Cde_Prdt]], tbl_Produits[Cde_Prdt], 0)), "")</f>
        <v/>
      </c>
    </row>
    <row r="4526" spans="1:11" x14ac:dyDescent="0.25">
      <c r="A4526" s="5"/>
      <c r="B4526" s="63" t="str">
        <f>IFERROR(TEXT(tbl_Ventes[[#This Row],[Date]],"mm-aaaa"),"")</f>
        <v>01-1900</v>
      </c>
      <c r="D4526" s="10" t="str">
        <f>IFERROR(
   INDEX(tbl_ProduitsRef[Cde_Prdt],MATCH(tbl_Ventes[[#This Row],[Produit]],tbl_ProduitsRef[Produit],0)),
   ""
)</f>
        <v/>
      </c>
      <c r="E4526" s="7">
        <v>0</v>
      </c>
      <c r="F4526" s="7" t="str">
        <f>IFERROR(
   INDEX(tbl_ProduitsRef[Prix Menu],MATCH(tbl_Ventes[[#This Row],[Produit]],tbl_ProduitsRef[Produit],0)),
   ""
)</f>
        <v/>
      </c>
      <c r="G4526" s="7">
        <f>tbl_Ventes[[#This Row],[Qté Vendue]] * IFERROR(_xlfn.XLOOKUP(tbl_Ventes[[#This Row],[Cde_Prdt]], tbl_Produits[Cde_Prdt], tbl_Produits[Prix Menu]), 0)</f>
        <v>0</v>
      </c>
      <c r="H4526" s="7">
        <f>IFERROR(_xlfn.XLOOKUP(tbl_Ventes[[#This Row],[Cde_Prdt]], tbl_Produits[Cde_Prdt], tbl_Produits[Coût Moyen Portion]), 0)</f>
        <v>0</v>
      </c>
      <c r="I4526" s="7">
        <f>tbl_Ventes[[#This Row],[Qté Vendue]] * tbl_Ventes[[#This Row],[CMP_par_portion]]</f>
        <v>0</v>
      </c>
      <c r="J4526" s="7">
        <f>tbl_Ventes[[#This Row],[CA ligne]] - tbl_Ventes[[#This Row],[Coût matière ligne]]</f>
        <v>0</v>
      </c>
      <c r="K4526" s="7" t="str">
        <f>IFERROR(INDEX(tbl_ProduitsRef[Famille], MATCH(tbl_Ventes[[#This Row],[Cde_Prdt]], tbl_Produits[Cde_Prdt], 0)), "")</f>
        <v/>
      </c>
    </row>
    <row r="4527" spans="1:11" x14ac:dyDescent="0.25">
      <c r="A4527" s="5"/>
      <c r="B4527" s="63" t="str">
        <f>IFERROR(TEXT(tbl_Ventes[[#This Row],[Date]],"mm-aaaa"),"")</f>
        <v>01-1900</v>
      </c>
      <c r="D4527" s="10" t="str">
        <f>IFERROR(
   INDEX(tbl_ProduitsRef[Cde_Prdt],MATCH(tbl_Ventes[[#This Row],[Produit]],tbl_ProduitsRef[Produit],0)),
   ""
)</f>
        <v/>
      </c>
      <c r="E4527" s="7">
        <v>0</v>
      </c>
      <c r="F4527" s="7" t="str">
        <f>IFERROR(
   INDEX(tbl_ProduitsRef[Prix Menu],MATCH(tbl_Ventes[[#This Row],[Produit]],tbl_ProduitsRef[Produit],0)),
   ""
)</f>
        <v/>
      </c>
      <c r="G4527" s="7">
        <f>tbl_Ventes[[#This Row],[Qté Vendue]] * IFERROR(_xlfn.XLOOKUP(tbl_Ventes[[#This Row],[Cde_Prdt]], tbl_Produits[Cde_Prdt], tbl_Produits[Prix Menu]), 0)</f>
        <v>0</v>
      </c>
      <c r="H4527" s="7">
        <f>IFERROR(_xlfn.XLOOKUP(tbl_Ventes[[#This Row],[Cde_Prdt]], tbl_Produits[Cde_Prdt], tbl_Produits[Coût Moyen Portion]), 0)</f>
        <v>0</v>
      </c>
      <c r="I4527" s="7">
        <f>tbl_Ventes[[#This Row],[Qté Vendue]] * tbl_Ventes[[#This Row],[CMP_par_portion]]</f>
        <v>0</v>
      </c>
      <c r="J4527" s="7">
        <f>tbl_Ventes[[#This Row],[CA ligne]] - tbl_Ventes[[#This Row],[Coût matière ligne]]</f>
        <v>0</v>
      </c>
      <c r="K4527" s="7" t="str">
        <f>IFERROR(INDEX(tbl_ProduitsRef[Famille], MATCH(tbl_Ventes[[#This Row],[Cde_Prdt]], tbl_Produits[Cde_Prdt], 0)), "")</f>
        <v/>
      </c>
    </row>
    <row r="4528" spans="1:11" x14ac:dyDescent="0.25">
      <c r="A4528" s="5"/>
      <c r="B4528" s="63" t="str">
        <f>IFERROR(TEXT(tbl_Ventes[[#This Row],[Date]],"mm-aaaa"),"")</f>
        <v>01-1900</v>
      </c>
      <c r="D4528" s="10" t="str">
        <f>IFERROR(
   INDEX(tbl_ProduitsRef[Cde_Prdt],MATCH(tbl_Ventes[[#This Row],[Produit]],tbl_ProduitsRef[Produit],0)),
   ""
)</f>
        <v/>
      </c>
      <c r="E4528" s="7">
        <v>0</v>
      </c>
      <c r="F4528" s="7" t="str">
        <f>IFERROR(
   INDEX(tbl_ProduitsRef[Prix Menu],MATCH(tbl_Ventes[[#This Row],[Produit]],tbl_ProduitsRef[Produit],0)),
   ""
)</f>
        <v/>
      </c>
      <c r="G4528" s="7">
        <f>tbl_Ventes[[#This Row],[Qté Vendue]] * IFERROR(_xlfn.XLOOKUP(tbl_Ventes[[#This Row],[Cde_Prdt]], tbl_Produits[Cde_Prdt], tbl_Produits[Prix Menu]), 0)</f>
        <v>0</v>
      </c>
      <c r="H4528" s="7">
        <f>IFERROR(_xlfn.XLOOKUP(tbl_Ventes[[#This Row],[Cde_Prdt]], tbl_Produits[Cde_Prdt], tbl_Produits[Coût Moyen Portion]), 0)</f>
        <v>0</v>
      </c>
      <c r="I4528" s="7">
        <f>tbl_Ventes[[#This Row],[Qté Vendue]] * tbl_Ventes[[#This Row],[CMP_par_portion]]</f>
        <v>0</v>
      </c>
      <c r="J4528" s="7">
        <f>tbl_Ventes[[#This Row],[CA ligne]] - tbl_Ventes[[#This Row],[Coût matière ligne]]</f>
        <v>0</v>
      </c>
      <c r="K4528" s="7" t="str">
        <f>IFERROR(INDEX(tbl_ProduitsRef[Famille], MATCH(tbl_Ventes[[#This Row],[Cde_Prdt]], tbl_Produits[Cde_Prdt], 0)), "")</f>
        <v/>
      </c>
    </row>
    <row r="4529" spans="1:11" x14ac:dyDescent="0.25">
      <c r="A4529" s="5"/>
      <c r="B4529" s="63" t="str">
        <f>IFERROR(TEXT(tbl_Ventes[[#This Row],[Date]],"mm-aaaa"),"")</f>
        <v>01-1900</v>
      </c>
      <c r="D4529" s="10" t="str">
        <f>IFERROR(
   INDEX(tbl_ProduitsRef[Cde_Prdt],MATCH(tbl_Ventes[[#This Row],[Produit]],tbl_ProduitsRef[Produit],0)),
   ""
)</f>
        <v/>
      </c>
      <c r="E4529" s="7">
        <v>0</v>
      </c>
      <c r="F4529" s="7" t="str">
        <f>IFERROR(
   INDEX(tbl_ProduitsRef[Prix Menu],MATCH(tbl_Ventes[[#This Row],[Produit]],tbl_ProduitsRef[Produit],0)),
   ""
)</f>
        <v/>
      </c>
      <c r="G4529" s="7">
        <f>tbl_Ventes[[#This Row],[Qté Vendue]] * IFERROR(_xlfn.XLOOKUP(tbl_Ventes[[#This Row],[Cde_Prdt]], tbl_Produits[Cde_Prdt], tbl_Produits[Prix Menu]), 0)</f>
        <v>0</v>
      </c>
      <c r="H4529" s="7">
        <f>IFERROR(_xlfn.XLOOKUP(tbl_Ventes[[#This Row],[Cde_Prdt]], tbl_Produits[Cde_Prdt], tbl_Produits[Coût Moyen Portion]), 0)</f>
        <v>0</v>
      </c>
      <c r="I4529" s="7">
        <f>tbl_Ventes[[#This Row],[Qté Vendue]] * tbl_Ventes[[#This Row],[CMP_par_portion]]</f>
        <v>0</v>
      </c>
      <c r="J4529" s="7">
        <f>tbl_Ventes[[#This Row],[CA ligne]] - tbl_Ventes[[#This Row],[Coût matière ligne]]</f>
        <v>0</v>
      </c>
      <c r="K4529" s="7" t="str">
        <f>IFERROR(INDEX(tbl_ProduitsRef[Famille], MATCH(tbl_Ventes[[#This Row],[Cde_Prdt]], tbl_Produits[Cde_Prdt], 0)), "")</f>
        <v/>
      </c>
    </row>
    <row r="4530" spans="1:11" x14ac:dyDescent="0.25">
      <c r="A4530" s="5"/>
      <c r="B4530" s="63" t="str">
        <f>IFERROR(TEXT(tbl_Ventes[[#This Row],[Date]],"mm-aaaa"),"")</f>
        <v>01-1900</v>
      </c>
      <c r="D4530" s="10" t="str">
        <f>IFERROR(
   INDEX(tbl_ProduitsRef[Cde_Prdt],MATCH(tbl_Ventes[[#This Row],[Produit]],tbl_ProduitsRef[Produit],0)),
   ""
)</f>
        <v/>
      </c>
      <c r="E4530" s="7">
        <v>0</v>
      </c>
      <c r="F4530" s="7" t="str">
        <f>IFERROR(
   INDEX(tbl_ProduitsRef[Prix Menu],MATCH(tbl_Ventes[[#This Row],[Produit]],tbl_ProduitsRef[Produit],0)),
   ""
)</f>
        <v/>
      </c>
      <c r="G4530" s="7">
        <f>tbl_Ventes[[#This Row],[Qté Vendue]] * IFERROR(_xlfn.XLOOKUP(tbl_Ventes[[#This Row],[Cde_Prdt]], tbl_Produits[Cde_Prdt], tbl_Produits[Prix Menu]), 0)</f>
        <v>0</v>
      </c>
      <c r="H4530" s="7">
        <f>IFERROR(_xlfn.XLOOKUP(tbl_Ventes[[#This Row],[Cde_Prdt]], tbl_Produits[Cde_Prdt], tbl_Produits[Coût Moyen Portion]), 0)</f>
        <v>0</v>
      </c>
      <c r="I4530" s="7">
        <f>tbl_Ventes[[#This Row],[Qté Vendue]] * tbl_Ventes[[#This Row],[CMP_par_portion]]</f>
        <v>0</v>
      </c>
      <c r="J4530" s="7">
        <f>tbl_Ventes[[#This Row],[CA ligne]] - tbl_Ventes[[#This Row],[Coût matière ligne]]</f>
        <v>0</v>
      </c>
      <c r="K4530" s="7" t="str">
        <f>IFERROR(INDEX(tbl_ProduitsRef[Famille], MATCH(tbl_Ventes[[#This Row],[Cde_Prdt]], tbl_Produits[Cde_Prdt], 0)), "")</f>
        <v/>
      </c>
    </row>
    <row r="4531" spans="1:11" x14ac:dyDescent="0.25">
      <c r="A4531" s="5"/>
      <c r="B4531" s="63" t="str">
        <f>IFERROR(TEXT(tbl_Ventes[[#This Row],[Date]],"mm-aaaa"),"")</f>
        <v>01-1900</v>
      </c>
      <c r="D4531" s="10" t="str">
        <f>IFERROR(
   INDEX(tbl_ProduitsRef[Cde_Prdt],MATCH(tbl_Ventes[[#This Row],[Produit]],tbl_ProduitsRef[Produit],0)),
   ""
)</f>
        <v/>
      </c>
      <c r="E4531" s="7">
        <v>0</v>
      </c>
      <c r="F4531" s="7" t="str">
        <f>IFERROR(
   INDEX(tbl_ProduitsRef[Prix Menu],MATCH(tbl_Ventes[[#This Row],[Produit]],tbl_ProduitsRef[Produit],0)),
   ""
)</f>
        <v/>
      </c>
      <c r="G4531" s="7">
        <f>tbl_Ventes[[#This Row],[Qté Vendue]] * IFERROR(_xlfn.XLOOKUP(tbl_Ventes[[#This Row],[Cde_Prdt]], tbl_Produits[Cde_Prdt], tbl_Produits[Prix Menu]), 0)</f>
        <v>0</v>
      </c>
      <c r="H4531" s="7">
        <f>IFERROR(_xlfn.XLOOKUP(tbl_Ventes[[#This Row],[Cde_Prdt]], tbl_Produits[Cde_Prdt], tbl_Produits[Coût Moyen Portion]), 0)</f>
        <v>0</v>
      </c>
      <c r="I4531" s="7">
        <f>tbl_Ventes[[#This Row],[Qté Vendue]] * tbl_Ventes[[#This Row],[CMP_par_portion]]</f>
        <v>0</v>
      </c>
      <c r="J4531" s="7">
        <f>tbl_Ventes[[#This Row],[CA ligne]] - tbl_Ventes[[#This Row],[Coût matière ligne]]</f>
        <v>0</v>
      </c>
      <c r="K4531" s="7" t="str">
        <f>IFERROR(INDEX(tbl_ProduitsRef[Famille], MATCH(tbl_Ventes[[#This Row],[Cde_Prdt]], tbl_Produits[Cde_Prdt], 0)), "")</f>
        <v/>
      </c>
    </row>
    <row r="4532" spans="1:11" x14ac:dyDescent="0.25">
      <c r="A4532" s="5"/>
      <c r="B4532" s="63" t="str">
        <f>IFERROR(TEXT(tbl_Ventes[[#This Row],[Date]],"mm-aaaa"),"")</f>
        <v>01-1900</v>
      </c>
      <c r="D4532" s="10" t="str">
        <f>IFERROR(
   INDEX(tbl_ProduitsRef[Cde_Prdt],MATCH(tbl_Ventes[[#This Row],[Produit]],tbl_ProduitsRef[Produit],0)),
   ""
)</f>
        <v/>
      </c>
      <c r="E4532" s="7">
        <v>0</v>
      </c>
      <c r="F4532" s="7" t="str">
        <f>IFERROR(
   INDEX(tbl_ProduitsRef[Prix Menu],MATCH(tbl_Ventes[[#This Row],[Produit]],tbl_ProduitsRef[Produit],0)),
   ""
)</f>
        <v/>
      </c>
      <c r="G4532" s="7">
        <f>tbl_Ventes[[#This Row],[Qté Vendue]] * IFERROR(_xlfn.XLOOKUP(tbl_Ventes[[#This Row],[Cde_Prdt]], tbl_Produits[Cde_Prdt], tbl_Produits[Prix Menu]), 0)</f>
        <v>0</v>
      </c>
      <c r="H4532" s="7">
        <f>IFERROR(_xlfn.XLOOKUP(tbl_Ventes[[#This Row],[Cde_Prdt]], tbl_Produits[Cde_Prdt], tbl_Produits[Coût Moyen Portion]), 0)</f>
        <v>0</v>
      </c>
      <c r="I4532" s="7">
        <f>tbl_Ventes[[#This Row],[Qté Vendue]] * tbl_Ventes[[#This Row],[CMP_par_portion]]</f>
        <v>0</v>
      </c>
      <c r="J4532" s="7">
        <f>tbl_Ventes[[#This Row],[CA ligne]] - tbl_Ventes[[#This Row],[Coût matière ligne]]</f>
        <v>0</v>
      </c>
      <c r="K4532" s="7" t="str">
        <f>IFERROR(INDEX(tbl_ProduitsRef[Famille], MATCH(tbl_Ventes[[#This Row],[Cde_Prdt]], tbl_Produits[Cde_Prdt], 0)), "")</f>
        <v/>
      </c>
    </row>
    <row r="4533" spans="1:11" x14ac:dyDescent="0.25">
      <c r="A4533" s="5"/>
      <c r="B4533" s="63" t="str">
        <f>IFERROR(TEXT(tbl_Ventes[[#This Row],[Date]],"mm-aaaa"),"")</f>
        <v>01-1900</v>
      </c>
      <c r="D4533" s="10" t="str">
        <f>IFERROR(
   INDEX(tbl_ProduitsRef[Cde_Prdt],MATCH(tbl_Ventes[[#This Row],[Produit]],tbl_ProduitsRef[Produit],0)),
   ""
)</f>
        <v/>
      </c>
      <c r="E4533" s="7">
        <v>0</v>
      </c>
      <c r="F4533" s="7" t="str">
        <f>IFERROR(
   INDEX(tbl_ProduitsRef[Prix Menu],MATCH(tbl_Ventes[[#This Row],[Produit]],tbl_ProduitsRef[Produit],0)),
   ""
)</f>
        <v/>
      </c>
      <c r="G4533" s="7">
        <f>tbl_Ventes[[#This Row],[Qté Vendue]] * IFERROR(_xlfn.XLOOKUP(tbl_Ventes[[#This Row],[Cde_Prdt]], tbl_Produits[Cde_Prdt], tbl_Produits[Prix Menu]), 0)</f>
        <v>0</v>
      </c>
      <c r="H4533" s="7">
        <f>IFERROR(_xlfn.XLOOKUP(tbl_Ventes[[#This Row],[Cde_Prdt]], tbl_Produits[Cde_Prdt], tbl_Produits[Coût Moyen Portion]), 0)</f>
        <v>0</v>
      </c>
      <c r="I4533" s="7">
        <f>tbl_Ventes[[#This Row],[Qté Vendue]] * tbl_Ventes[[#This Row],[CMP_par_portion]]</f>
        <v>0</v>
      </c>
      <c r="J4533" s="7">
        <f>tbl_Ventes[[#This Row],[CA ligne]] - tbl_Ventes[[#This Row],[Coût matière ligne]]</f>
        <v>0</v>
      </c>
      <c r="K4533" s="7" t="str">
        <f>IFERROR(INDEX(tbl_ProduitsRef[Famille], MATCH(tbl_Ventes[[#This Row],[Cde_Prdt]], tbl_Produits[Cde_Prdt], 0)), "")</f>
        <v/>
      </c>
    </row>
    <row r="4534" spans="1:11" x14ac:dyDescent="0.25">
      <c r="A4534" s="5"/>
      <c r="B4534" s="63" t="str">
        <f>IFERROR(TEXT(tbl_Ventes[[#This Row],[Date]],"mm-aaaa"),"")</f>
        <v>01-1900</v>
      </c>
      <c r="D4534" s="10" t="str">
        <f>IFERROR(
   INDEX(tbl_ProduitsRef[Cde_Prdt],MATCH(tbl_Ventes[[#This Row],[Produit]],tbl_ProduitsRef[Produit],0)),
   ""
)</f>
        <v/>
      </c>
      <c r="E4534" s="7">
        <v>0</v>
      </c>
      <c r="F4534" s="7" t="str">
        <f>IFERROR(
   INDEX(tbl_ProduitsRef[Prix Menu],MATCH(tbl_Ventes[[#This Row],[Produit]],tbl_ProduitsRef[Produit],0)),
   ""
)</f>
        <v/>
      </c>
      <c r="G4534" s="7">
        <f>tbl_Ventes[[#This Row],[Qté Vendue]] * IFERROR(_xlfn.XLOOKUP(tbl_Ventes[[#This Row],[Cde_Prdt]], tbl_Produits[Cde_Prdt], tbl_Produits[Prix Menu]), 0)</f>
        <v>0</v>
      </c>
      <c r="H4534" s="7">
        <f>IFERROR(_xlfn.XLOOKUP(tbl_Ventes[[#This Row],[Cde_Prdt]], tbl_Produits[Cde_Prdt], tbl_Produits[Coût Moyen Portion]), 0)</f>
        <v>0</v>
      </c>
      <c r="I4534" s="7">
        <f>tbl_Ventes[[#This Row],[Qté Vendue]] * tbl_Ventes[[#This Row],[CMP_par_portion]]</f>
        <v>0</v>
      </c>
      <c r="J4534" s="7">
        <f>tbl_Ventes[[#This Row],[CA ligne]] - tbl_Ventes[[#This Row],[Coût matière ligne]]</f>
        <v>0</v>
      </c>
      <c r="K4534" s="7" t="str">
        <f>IFERROR(INDEX(tbl_ProduitsRef[Famille], MATCH(tbl_Ventes[[#This Row],[Cde_Prdt]], tbl_Produits[Cde_Prdt], 0)), "")</f>
        <v/>
      </c>
    </row>
    <row r="4535" spans="1:11" x14ac:dyDescent="0.25">
      <c r="A4535" s="5"/>
      <c r="B4535" s="63" t="str">
        <f>IFERROR(TEXT(tbl_Ventes[[#This Row],[Date]],"mm-aaaa"),"")</f>
        <v>01-1900</v>
      </c>
      <c r="D4535" s="10" t="str">
        <f>IFERROR(
   INDEX(tbl_ProduitsRef[Cde_Prdt],MATCH(tbl_Ventes[[#This Row],[Produit]],tbl_ProduitsRef[Produit],0)),
   ""
)</f>
        <v/>
      </c>
      <c r="E4535" s="7">
        <v>0</v>
      </c>
      <c r="F4535" s="7" t="str">
        <f>IFERROR(
   INDEX(tbl_ProduitsRef[Prix Menu],MATCH(tbl_Ventes[[#This Row],[Produit]],tbl_ProduitsRef[Produit],0)),
   ""
)</f>
        <v/>
      </c>
      <c r="G4535" s="7">
        <f>tbl_Ventes[[#This Row],[Qté Vendue]] * IFERROR(_xlfn.XLOOKUP(tbl_Ventes[[#This Row],[Cde_Prdt]], tbl_Produits[Cde_Prdt], tbl_Produits[Prix Menu]), 0)</f>
        <v>0</v>
      </c>
      <c r="H4535" s="7">
        <f>IFERROR(_xlfn.XLOOKUP(tbl_Ventes[[#This Row],[Cde_Prdt]], tbl_Produits[Cde_Prdt], tbl_Produits[Coût Moyen Portion]), 0)</f>
        <v>0</v>
      </c>
      <c r="I4535" s="7">
        <f>tbl_Ventes[[#This Row],[Qté Vendue]] * tbl_Ventes[[#This Row],[CMP_par_portion]]</f>
        <v>0</v>
      </c>
      <c r="J4535" s="7">
        <f>tbl_Ventes[[#This Row],[CA ligne]] - tbl_Ventes[[#This Row],[Coût matière ligne]]</f>
        <v>0</v>
      </c>
      <c r="K4535" s="7" t="str">
        <f>IFERROR(INDEX(tbl_ProduitsRef[Famille], MATCH(tbl_Ventes[[#This Row],[Cde_Prdt]], tbl_Produits[Cde_Prdt], 0)), "")</f>
        <v/>
      </c>
    </row>
    <row r="4536" spans="1:11" x14ac:dyDescent="0.25">
      <c r="A4536" s="5"/>
      <c r="B4536" s="63" t="str">
        <f>IFERROR(TEXT(tbl_Ventes[[#This Row],[Date]],"mm-aaaa"),"")</f>
        <v>01-1900</v>
      </c>
      <c r="D4536" s="10" t="str">
        <f>IFERROR(
   INDEX(tbl_ProduitsRef[Cde_Prdt],MATCH(tbl_Ventes[[#This Row],[Produit]],tbl_ProduitsRef[Produit],0)),
   ""
)</f>
        <v/>
      </c>
      <c r="E4536" s="7">
        <v>0</v>
      </c>
      <c r="F4536" s="7" t="str">
        <f>IFERROR(
   INDEX(tbl_ProduitsRef[Prix Menu],MATCH(tbl_Ventes[[#This Row],[Produit]],tbl_ProduitsRef[Produit],0)),
   ""
)</f>
        <v/>
      </c>
      <c r="G4536" s="7">
        <f>tbl_Ventes[[#This Row],[Qté Vendue]] * IFERROR(_xlfn.XLOOKUP(tbl_Ventes[[#This Row],[Cde_Prdt]], tbl_Produits[Cde_Prdt], tbl_Produits[Prix Menu]), 0)</f>
        <v>0</v>
      </c>
      <c r="H4536" s="7">
        <f>IFERROR(_xlfn.XLOOKUP(tbl_Ventes[[#This Row],[Cde_Prdt]], tbl_Produits[Cde_Prdt], tbl_Produits[Coût Moyen Portion]), 0)</f>
        <v>0</v>
      </c>
      <c r="I4536" s="7">
        <f>tbl_Ventes[[#This Row],[Qté Vendue]] * tbl_Ventes[[#This Row],[CMP_par_portion]]</f>
        <v>0</v>
      </c>
      <c r="J4536" s="7">
        <f>tbl_Ventes[[#This Row],[CA ligne]] - tbl_Ventes[[#This Row],[Coût matière ligne]]</f>
        <v>0</v>
      </c>
      <c r="K4536" s="7" t="str">
        <f>IFERROR(INDEX(tbl_ProduitsRef[Famille], MATCH(tbl_Ventes[[#This Row],[Cde_Prdt]], tbl_Produits[Cde_Prdt], 0)), "")</f>
        <v/>
      </c>
    </row>
    <row r="4537" spans="1:11" x14ac:dyDescent="0.25">
      <c r="A4537" s="5"/>
      <c r="B4537" s="63" t="str">
        <f>IFERROR(TEXT(tbl_Ventes[[#This Row],[Date]],"mm-aaaa"),"")</f>
        <v>01-1900</v>
      </c>
      <c r="D4537" s="10" t="str">
        <f>IFERROR(
   INDEX(tbl_ProduitsRef[Cde_Prdt],MATCH(tbl_Ventes[[#This Row],[Produit]],tbl_ProduitsRef[Produit],0)),
   ""
)</f>
        <v/>
      </c>
      <c r="E4537" s="7">
        <v>0</v>
      </c>
      <c r="F4537" s="7" t="str">
        <f>IFERROR(
   INDEX(tbl_ProduitsRef[Prix Menu],MATCH(tbl_Ventes[[#This Row],[Produit]],tbl_ProduitsRef[Produit],0)),
   ""
)</f>
        <v/>
      </c>
      <c r="G4537" s="7">
        <f>tbl_Ventes[[#This Row],[Qté Vendue]] * IFERROR(_xlfn.XLOOKUP(tbl_Ventes[[#This Row],[Cde_Prdt]], tbl_Produits[Cde_Prdt], tbl_Produits[Prix Menu]), 0)</f>
        <v>0</v>
      </c>
      <c r="H4537" s="7">
        <f>IFERROR(_xlfn.XLOOKUP(tbl_Ventes[[#This Row],[Cde_Prdt]], tbl_Produits[Cde_Prdt], tbl_Produits[Coût Moyen Portion]), 0)</f>
        <v>0</v>
      </c>
      <c r="I4537" s="7">
        <f>tbl_Ventes[[#This Row],[Qté Vendue]] * tbl_Ventes[[#This Row],[CMP_par_portion]]</f>
        <v>0</v>
      </c>
      <c r="J4537" s="7">
        <f>tbl_Ventes[[#This Row],[CA ligne]] - tbl_Ventes[[#This Row],[Coût matière ligne]]</f>
        <v>0</v>
      </c>
      <c r="K4537" s="7" t="str">
        <f>IFERROR(INDEX(tbl_ProduitsRef[Famille], MATCH(tbl_Ventes[[#This Row],[Cde_Prdt]], tbl_Produits[Cde_Prdt], 0)), "")</f>
        <v/>
      </c>
    </row>
    <row r="4538" spans="1:11" x14ac:dyDescent="0.25">
      <c r="A4538" s="5"/>
      <c r="B4538" s="63" t="str">
        <f>IFERROR(TEXT(tbl_Ventes[[#This Row],[Date]],"mm-aaaa"),"")</f>
        <v>01-1900</v>
      </c>
      <c r="D4538" s="10" t="str">
        <f>IFERROR(
   INDEX(tbl_ProduitsRef[Cde_Prdt],MATCH(tbl_Ventes[[#This Row],[Produit]],tbl_ProduitsRef[Produit],0)),
   ""
)</f>
        <v/>
      </c>
      <c r="E4538" s="7">
        <v>0</v>
      </c>
      <c r="F4538" s="7" t="str">
        <f>IFERROR(
   INDEX(tbl_ProduitsRef[Prix Menu],MATCH(tbl_Ventes[[#This Row],[Produit]],tbl_ProduitsRef[Produit],0)),
   ""
)</f>
        <v/>
      </c>
      <c r="G4538" s="7">
        <f>tbl_Ventes[[#This Row],[Qté Vendue]] * IFERROR(_xlfn.XLOOKUP(tbl_Ventes[[#This Row],[Cde_Prdt]], tbl_Produits[Cde_Prdt], tbl_Produits[Prix Menu]), 0)</f>
        <v>0</v>
      </c>
      <c r="H4538" s="7">
        <f>IFERROR(_xlfn.XLOOKUP(tbl_Ventes[[#This Row],[Cde_Prdt]], tbl_Produits[Cde_Prdt], tbl_Produits[Coût Moyen Portion]), 0)</f>
        <v>0</v>
      </c>
      <c r="I4538" s="7">
        <f>tbl_Ventes[[#This Row],[Qté Vendue]] * tbl_Ventes[[#This Row],[CMP_par_portion]]</f>
        <v>0</v>
      </c>
      <c r="J4538" s="7">
        <f>tbl_Ventes[[#This Row],[CA ligne]] - tbl_Ventes[[#This Row],[Coût matière ligne]]</f>
        <v>0</v>
      </c>
      <c r="K4538" s="7" t="str">
        <f>IFERROR(INDEX(tbl_ProduitsRef[Famille], MATCH(tbl_Ventes[[#This Row],[Cde_Prdt]], tbl_Produits[Cde_Prdt], 0)), "")</f>
        <v/>
      </c>
    </row>
    <row r="4539" spans="1:11" x14ac:dyDescent="0.25">
      <c r="A4539" s="5"/>
      <c r="B4539" s="63" t="str">
        <f>IFERROR(TEXT(tbl_Ventes[[#This Row],[Date]],"mm-aaaa"),"")</f>
        <v>01-1900</v>
      </c>
      <c r="D4539" s="10" t="str">
        <f>IFERROR(
   INDEX(tbl_ProduitsRef[Cde_Prdt],MATCH(tbl_Ventes[[#This Row],[Produit]],tbl_ProduitsRef[Produit],0)),
   ""
)</f>
        <v/>
      </c>
      <c r="E4539" s="7">
        <v>0</v>
      </c>
      <c r="F4539" s="7" t="str">
        <f>IFERROR(
   INDEX(tbl_ProduitsRef[Prix Menu],MATCH(tbl_Ventes[[#This Row],[Produit]],tbl_ProduitsRef[Produit],0)),
   ""
)</f>
        <v/>
      </c>
      <c r="G4539" s="7">
        <f>tbl_Ventes[[#This Row],[Qté Vendue]] * IFERROR(_xlfn.XLOOKUP(tbl_Ventes[[#This Row],[Cde_Prdt]], tbl_Produits[Cde_Prdt], tbl_Produits[Prix Menu]), 0)</f>
        <v>0</v>
      </c>
      <c r="H4539" s="7">
        <f>IFERROR(_xlfn.XLOOKUP(tbl_Ventes[[#This Row],[Cde_Prdt]], tbl_Produits[Cde_Prdt], tbl_Produits[Coût Moyen Portion]), 0)</f>
        <v>0</v>
      </c>
      <c r="I4539" s="7">
        <f>tbl_Ventes[[#This Row],[Qté Vendue]] * tbl_Ventes[[#This Row],[CMP_par_portion]]</f>
        <v>0</v>
      </c>
      <c r="J4539" s="7">
        <f>tbl_Ventes[[#This Row],[CA ligne]] - tbl_Ventes[[#This Row],[Coût matière ligne]]</f>
        <v>0</v>
      </c>
      <c r="K4539" s="7" t="str">
        <f>IFERROR(INDEX(tbl_ProduitsRef[Famille], MATCH(tbl_Ventes[[#This Row],[Cde_Prdt]], tbl_Produits[Cde_Prdt], 0)), "")</f>
        <v/>
      </c>
    </row>
    <row r="4540" spans="1:11" x14ac:dyDescent="0.25">
      <c r="A4540" s="5"/>
      <c r="B4540" s="63" t="str">
        <f>IFERROR(TEXT(tbl_Ventes[[#This Row],[Date]],"mm-aaaa"),"")</f>
        <v>01-1900</v>
      </c>
      <c r="D4540" s="10" t="str">
        <f>IFERROR(
   INDEX(tbl_ProduitsRef[Cde_Prdt],MATCH(tbl_Ventes[[#This Row],[Produit]],tbl_ProduitsRef[Produit],0)),
   ""
)</f>
        <v/>
      </c>
      <c r="E4540" s="7">
        <v>0</v>
      </c>
      <c r="F4540" s="7" t="str">
        <f>IFERROR(
   INDEX(tbl_ProduitsRef[Prix Menu],MATCH(tbl_Ventes[[#This Row],[Produit]],tbl_ProduitsRef[Produit],0)),
   ""
)</f>
        <v/>
      </c>
      <c r="G4540" s="7">
        <f>tbl_Ventes[[#This Row],[Qté Vendue]] * IFERROR(_xlfn.XLOOKUP(tbl_Ventes[[#This Row],[Cde_Prdt]], tbl_Produits[Cde_Prdt], tbl_Produits[Prix Menu]), 0)</f>
        <v>0</v>
      </c>
      <c r="H4540" s="7">
        <f>IFERROR(_xlfn.XLOOKUP(tbl_Ventes[[#This Row],[Cde_Prdt]], tbl_Produits[Cde_Prdt], tbl_Produits[Coût Moyen Portion]), 0)</f>
        <v>0</v>
      </c>
      <c r="I4540" s="7">
        <f>tbl_Ventes[[#This Row],[Qté Vendue]] * tbl_Ventes[[#This Row],[CMP_par_portion]]</f>
        <v>0</v>
      </c>
      <c r="J4540" s="7">
        <f>tbl_Ventes[[#This Row],[CA ligne]] - tbl_Ventes[[#This Row],[Coût matière ligne]]</f>
        <v>0</v>
      </c>
      <c r="K4540" s="7" t="str">
        <f>IFERROR(INDEX(tbl_ProduitsRef[Famille], MATCH(tbl_Ventes[[#This Row],[Cde_Prdt]], tbl_Produits[Cde_Prdt], 0)), "")</f>
        <v/>
      </c>
    </row>
    <row r="4541" spans="1:11" x14ac:dyDescent="0.25">
      <c r="A4541" s="5"/>
      <c r="B4541" s="63" t="str">
        <f>IFERROR(TEXT(tbl_Ventes[[#This Row],[Date]],"mm-aaaa"),"")</f>
        <v>01-1900</v>
      </c>
      <c r="D4541" s="10" t="str">
        <f>IFERROR(
   INDEX(tbl_ProduitsRef[Cde_Prdt],MATCH(tbl_Ventes[[#This Row],[Produit]],tbl_ProduitsRef[Produit],0)),
   ""
)</f>
        <v/>
      </c>
      <c r="E4541" s="7">
        <v>0</v>
      </c>
      <c r="F4541" s="7" t="str">
        <f>IFERROR(
   INDEX(tbl_ProduitsRef[Prix Menu],MATCH(tbl_Ventes[[#This Row],[Produit]],tbl_ProduitsRef[Produit],0)),
   ""
)</f>
        <v/>
      </c>
      <c r="G4541" s="7">
        <f>tbl_Ventes[[#This Row],[Qté Vendue]] * IFERROR(_xlfn.XLOOKUP(tbl_Ventes[[#This Row],[Cde_Prdt]], tbl_Produits[Cde_Prdt], tbl_Produits[Prix Menu]), 0)</f>
        <v>0</v>
      </c>
      <c r="H4541" s="7">
        <f>IFERROR(_xlfn.XLOOKUP(tbl_Ventes[[#This Row],[Cde_Prdt]], tbl_Produits[Cde_Prdt], tbl_Produits[Coût Moyen Portion]), 0)</f>
        <v>0</v>
      </c>
      <c r="I4541" s="7">
        <f>tbl_Ventes[[#This Row],[Qté Vendue]] * tbl_Ventes[[#This Row],[CMP_par_portion]]</f>
        <v>0</v>
      </c>
      <c r="J4541" s="7">
        <f>tbl_Ventes[[#This Row],[CA ligne]] - tbl_Ventes[[#This Row],[Coût matière ligne]]</f>
        <v>0</v>
      </c>
      <c r="K4541" s="7" t="str">
        <f>IFERROR(INDEX(tbl_ProduitsRef[Famille], MATCH(tbl_Ventes[[#This Row],[Cde_Prdt]], tbl_Produits[Cde_Prdt], 0)), "")</f>
        <v/>
      </c>
    </row>
    <row r="4542" spans="1:11" x14ac:dyDescent="0.25">
      <c r="A4542" s="5"/>
      <c r="B4542" s="63" t="str">
        <f>IFERROR(TEXT(tbl_Ventes[[#This Row],[Date]],"mm-aaaa"),"")</f>
        <v>01-1900</v>
      </c>
      <c r="D4542" s="10" t="str">
        <f>IFERROR(
   INDEX(tbl_ProduitsRef[Cde_Prdt],MATCH(tbl_Ventes[[#This Row],[Produit]],tbl_ProduitsRef[Produit],0)),
   ""
)</f>
        <v/>
      </c>
      <c r="E4542" s="7">
        <v>0</v>
      </c>
      <c r="F4542" s="7" t="str">
        <f>IFERROR(
   INDEX(tbl_ProduitsRef[Prix Menu],MATCH(tbl_Ventes[[#This Row],[Produit]],tbl_ProduitsRef[Produit],0)),
   ""
)</f>
        <v/>
      </c>
      <c r="G4542" s="7">
        <f>tbl_Ventes[[#This Row],[Qté Vendue]] * IFERROR(_xlfn.XLOOKUP(tbl_Ventes[[#This Row],[Cde_Prdt]], tbl_Produits[Cde_Prdt], tbl_Produits[Prix Menu]), 0)</f>
        <v>0</v>
      </c>
      <c r="H4542" s="7">
        <f>IFERROR(_xlfn.XLOOKUP(tbl_Ventes[[#This Row],[Cde_Prdt]], tbl_Produits[Cde_Prdt], tbl_Produits[Coût Moyen Portion]), 0)</f>
        <v>0</v>
      </c>
      <c r="I4542" s="7">
        <f>tbl_Ventes[[#This Row],[Qté Vendue]] * tbl_Ventes[[#This Row],[CMP_par_portion]]</f>
        <v>0</v>
      </c>
      <c r="J4542" s="7">
        <f>tbl_Ventes[[#This Row],[CA ligne]] - tbl_Ventes[[#This Row],[Coût matière ligne]]</f>
        <v>0</v>
      </c>
      <c r="K4542" s="7" t="str">
        <f>IFERROR(INDEX(tbl_ProduitsRef[Famille], MATCH(tbl_Ventes[[#This Row],[Cde_Prdt]], tbl_Produits[Cde_Prdt], 0)), "")</f>
        <v/>
      </c>
    </row>
    <row r="4543" spans="1:11" x14ac:dyDescent="0.25">
      <c r="A4543" s="5"/>
      <c r="B4543" s="63" t="str">
        <f>IFERROR(TEXT(tbl_Ventes[[#This Row],[Date]],"mm-aaaa"),"")</f>
        <v>01-1900</v>
      </c>
      <c r="D4543" s="10" t="str">
        <f>IFERROR(
   INDEX(tbl_ProduitsRef[Cde_Prdt],MATCH(tbl_Ventes[[#This Row],[Produit]],tbl_ProduitsRef[Produit],0)),
   ""
)</f>
        <v/>
      </c>
      <c r="E4543" s="7">
        <v>0</v>
      </c>
      <c r="F4543" s="7" t="str">
        <f>IFERROR(
   INDEX(tbl_ProduitsRef[Prix Menu],MATCH(tbl_Ventes[[#This Row],[Produit]],tbl_ProduitsRef[Produit],0)),
   ""
)</f>
        <v/>
      </c>
      <c r="G4543" s="7">
        <f>tbl_Ventes[[#This Row],[Qté Vendue]] * IFERROR(_xlfn.XLOOKUP(tbl_Ventes[[#This Row],[Cde_Prdt]], tbl_Produits[Cde_Prdt], tbl_Produits[Prix Menu]), 0)</f>
        <v>0</v>
      </c>
      <c r="H4543" s="7">
        <f>IFERROR(_xlfn.XLOOKUP(tbl_Ventes[[#This Row],[Cde_Prdt]], tbl_Produits[Cde_Prdt], tbl_Produits[Coût Moyen Portion]), 0)</f>
        <v>0</v>
      </c>
      <c r="I4543" s="7">
        <f>tbl_Ventes[[#This Row],[Qté Vendue]] * tbl_Ventes[[#This Row],[CMP_par_portion]]</f>
        <v>0</v>
      </c>
      <c r="J4543" s="7">
        <f>tbl_Ventes[[#This Row],[CA ligne]] - tbl_Ventes[[#This Row],[Coût matière ligne]]</f>
        <v>0</v>
      </c>
      <c r="K4543" s="7" t="str">
        <f>IFERROR(INDEX(tbl_ProduitsRef[Famille], MATCH(tbl_Ventes[[#This Row],[Cde_Prdt]], tbl_Produits[Cde_Prdt], 0)), "")</f>
        <v/>
      </c>
    </row>
    <row r="4544" spans="1:11" x14ac:dyDescent="0.25">
      <c r="A4544" s="5"/>
      <c r="B4544" s="63" t="str">
        <f>IFERROR(TEXT(tbl_Ventes[[#This Row],[Date]],"mm-aaaa"),"")</f>
        <v>01-1900</v>
      </c>
      <c r="D4544" s="10" t="str">
        <f>IFERROR(
   INDEX(tbl_ProduitsRef[Cde_Prdt],MATCH(tbl_Ventes[[#This Row],[Produit]],tbl_ProduitsRef[Produit],0)),
   ""
)</f>
        <v/>
      </c>
      <c r="E4544" s="7">
        <v>0</v>
      </c>
      <c r="F4544" s="7" t="str">
        <f>IFERROR(
   INDEX(tbl_ProduitsRef[Prix Menu],MATCH(tbl_Ventes[[#This Row],[Produit]],tbl_ProduitsRef[Produit],0)),
   ""
)</f>
        <v/>
      </c>
      <c r="G4544" s="7">
        <f>tbl_Ventes[[#This Row],[Qté Vendue]] * IFERROR(_xlfn.XLOOKUP(tbl_Ventes[[#This Row],[Cde_Prdt]], tbl_Produits[Cde_Prdt], tbl_Produits[Prix Menu]), 0)</f>
        <v>0</v>
      </c>
      <c r="H4544" s="7">
        <f>IFERROR(_xlfn.XLOOKUP(tbl_Ventes[[#This Row],[Cde_Prdt]], tbl_Produits[Cde_Prdt], tbl_Produits[Coût Moyen Portion]), 0)</f>
        <v>0</v>
      </c>
      <c r="I4544" s="7">
        <f>tbl_Ventes[[#This Row],[Qté Vendue]] * tbl_Ventes[[#This Row],[CMP_par_portion]]</f>
        <v>0</v>
      </c>
      <c r="J4544" s="7">
        <f>tbl_Ventes[[#This Row],[CA ligne]] - tbl_Ventes[[#This Row],[Coût matière ligne]]</f>
        <v>0</v>
      </c>
      <c r="K4544" s="7" t="str">
        <f>IFERROR(INDEX(tbl_ProduitsRef[Famille], MATCH(tbl_Ventes[[#This Row],[Cde_Prdt]], tbl_Produits[Cde_Prdt], 0)), "")</f>
        <v/>
      </c>
    </row>
    <row r="4545" spans="1:11" x14ac:dyDescent="0.25">
      <c r="A4545" s="5"/>
      <c r="B4545" s="63" t="str">
        <f>IFERROR(TEXT(tbl_Ventes[[#This Row],[Date]],"mm-aaaa"),"")</f>
        <v>01-1900</v>
      </c>
      <c r="D4545" s="10" t="str">
        <f>IFERROR(
   INDEX(tbl_ProduitsRef[Cde_Prdt],MATCH(tbl_Ventes[[#This Row],[Produit]],tbl_ProduitsRef[Produit],0)),
   ""
)</f>
        <v/>
      </c>
      <c r="E4545" s="7">
        <v>0</v>
      </c>
      <c r="F4545" s="7" t="str">
        <f>IFERROR(
   INDEX(tbl_ProduitsRef[Prix Menu],MATCH(tbl_Ventes[[#This Row],[Produit]],tbl_ProduitsRef[Produit],0)),
   ""
)</f>
        <v/>
      </c>
      <c r="G4545" s="7">
        <f>tbl_Ventes[[#This Row],[Qté Vendue]] * IFERROR(_xlfn.XLOOKUP(tbl_Ventes[[#This Row],[Cde_Prdt]], tbl_Produits[Cde_Prdt], tbl_Produits[Prix Menu]), 0)</f>
        <v>0</v>
      </c>
      <c r="H4545" s="7">
        <f>IFERROR(_xlfn.XLOOKUP(tbl_Ventes[[#This Row],[Cde_Prdt]], tbl_Produits[Cde_Prdt], tbl_Produits[Coût Moyen Portion]), 0)</f>
        <v>0</v>
      </c>
      <c r="I4545" s="7">
        <f>tbl_Ventes[[#This Row],[Qté Vendue]] * tbl_Ventes[[#This Row],[CMP_par_portion]]</f>
        <v>0</v>
      </c>
      <c r="J4545" s="7">
        <f>tbl_Ventes[[#This Row],[CA ligne]] - tbl_Ventes[[#This Row],[Coût matière ligne]]</f>
        <v>0</v>
      </c>
      <c r="K4545" s="7" t="str">
        <f>IFERROR(INDEX(tbl_ProduitsRef[Famille], MATCH(tbl_Ventes[[#This Row],[Cde_Prdt]], tbl_Produits[Cde_Prdt], 0)), "")</f>
        <v/>
      </c>
    </row>
    <row r="4546" spans="1:11" x14ac:dyDescent="0.25">
      <c r="A4546" s="5"/>
      <c r="B4546" s="63" t="str">
        <f>IFERROR(TEXT(tbl_Ventes[[#This Row],[Date]],"mm-aaaa"),"")</f>
        <v>01-1900</v>
      </c>
      <c r="D4546" s="10" t="str">
        <f>IFERROR(
   INDEX(tbl_ProduitsRef[Cde_Prdt],MATCH(tbl_Ventes[[#This Row],[Produit]],tbl_ProduitsRef[Produit],0)),
   ""
)</f>
        <v/>
      </c>
      <c r="E4546" s="7">
        <v>0</v>
      </c>
      <c r="F4546" s="7" t="str">
        <f>IFERROR(
   INDEX(tbl_ProduitsRef[Prix Menu],MATCH(tbl_Ventes[[#This Row],[Produit]],tbl_ProduitsRef[Produit],0)),
   ""
)</f>
        <v/>
      </c>
      <c r="G4546" s="7">
        <f>tbl_Ventes[[#This Row],[Qté Vendue]] * IFERROR(_xlfn.XLOOKUP(tbl_Ventes[[#This Row],[Cde_Prdt]], tbl_Produits[Cde_Prdt], tbl_Produits[Prix Menu]), 0)</f>
        <v>0</v>
      </c>
      <c r="H4546" s="7">
        <f>IFERROR(_xlfn.XLOOKUP(tbl_Ventes[[#This Row],[Cde_Prdt]], tbl_Produits[Cde_Prdt], tbl_Produits[Coût Moyen Portion]), 0)</f>
        <v>0</v>
      </c>
      <c r="I4546" s="7">
        <f>tbl_Ventes[[#This Row],[Qté Vendue]] * tbl_Ventes[[#This Row],[CMP_par_portion]]</f>
        <v>0</v>
      </c>
      <c r="J4546" s="7">
        <f>tbl_Ventes[[#This Row],[CA ligne]] - tbl_Ventes[[#This Row],[Coût matière ligne]]</f>
        <v>0</v>
      </c>
      <c r="K4546" s="7" t="str">
        <f>IFERROR(INDEX(tbl_ProduitsRef[Famille], MATCH(tbl_Ventes[[#This Row],[Cde_Prdt]], tbl_Produits[Cde_Prdt], 0)), "")</f>
        <v/>
      </c>
    </row>
    <row r="4547" spans="1:11" x14ac:dyDescent="0.25">
      <c r="A4547" s="5"/>
      <c r="B4547" s="63" t="str">
        <f>IFERROR(TEXT(tbl_Ventes[[#This Row],[Date]],"mm-aaaa"),"")</f>
        <v>01-1900</v>
      </c>
      <c r="D4547" s="10" t="str">
        <f>IFERROR(
   INDEX(tbl_ProduitsRef[Cde_Prdt],MATCH(tbl_Ventes[[#This Row],[Produit]],tbl_ProduitsRef[Produit],0)),
   ""
)</f>
        <v/>
      </c>
      <c r="E4547" s="7">
        <v>0</v>
      </c>
      <c r="F4547" s="7" t="str">
        <f>IFERROR(
   INDEX(tbl_ProduitsRef[Prix Menu],MATCH(tbl_Ventes[[#This Row],[Produit]],tbl_ProduitsRef[Produit],0)),
   ""
)</f>
        <v/>
      </c>
      <c r="G4547" s="7">
        <f>tbl_Ventes[[#This Row],[Qté Vendue]] * IFERROR(_xlfn.XLOOKUP(tbl_Ventes[[#This Row],[Cde_Prdt]], tbl_Produits[Cde_Prdt], tbl_Produits[Prix Menu]), 0)</f>
        <v>0</v>
      </c>
      <c r="H4547" s="7">
        <f>IFERROR(_xlfn.XLOOKUP(tbl_Ventes[[#This Row],[Cde_Prdt]], tbl_Produits[Cde_Prdt], tbl_Produits[Coût Moyen Portion]), 0)</f>
        <v>0</v>
      </c>
      <c r="I4547" s="7">
        <f>tbl_Ventes[[#This Row],[Qté Vendue]] * tbl_Ventes[[#This Row],[CMP_par_portion]]</f>
        <v>0</v>
      </c>
      <c r="J4547" s="7">
        <f>tbl_Ventes[[#This Row],[CA ligne]] - tbl_Ventes[[#This Row],[Coût matière ligne]]</f>
        <v>0</v>
      </c>
      <c r="K4547" s="7" t="str">
        <f>IFERROR(INDEX(tbl_ProduitsRef[Famille], MATCH(tbl_Ventes[[#This Row],[Cde_Prdt]], tbl_Produits[Cde_Prdt], 0)), "")</f>
        <v/>
      </c>
    </row>
    <row r="4548" spans="1:11" x14ac:dyDescent="0.25">
      <c r="A4548" s="5"/>
      <c r="B4548" s="63" t="str">
        <f>IFERROR(TEXT(tbl_Ventes[[#This Row],[Date]],"mm-aaaa"),"")</f>
        <v>01-1900</v>
      </c>
      <c r="D4548" s="10" t="str">
        <f>IFERROR(
   INDEX(tbl_ProduitsRef[Cde_Prdt],MATCH(tbl_Ventes[[#This Row],[Produit]],tbl_ProduitsRef[Produit],0)),
   ""
)</f>
        <v/>
      </c>
      <c r="E4548" s="7">
        <v>0</v>
      </c>
      <c r="F4548" s="7" t="str">
        <f>IFERROR(
   INDEX(tbl_ProduitsRef[Prix Menu],MATCH(tbl_Ventes[[#This Row],[Produit]],tbl_ProduitsRef[Produit],0)),
   ""
)</f>
        <v/>
      </c>
      <c r="G4548" s="7">
        <f>tbl_Ventes[[#This Row],[Qté Vendue]] * IFERROR(_xlfn.XLOOKUP(tbl_Ventes[[#This Row],[Cde_Prdt]], tbl_Produits[Cde_Prdt], tbl_Produits[Prix Menu]), 0)</f>
        <v>0</v>
      </c>
      <c r="H4548" s="7">
        <f>IFERROR(_xlfn.XLOOKUP(tbl_Ventes[[#This Row],[Cde_Prdt]], tbl_Produits[Cde_Prdt], tbl_Produits[Coût Moyen Portion]), 0)</f>
        <v>0</v>
      </c>
      <c r="I4548" s="7">
        <f>tbl_Ventes[[#This Row],[Qté Vendue]] * tbl_Ventes[[#This Row],[CMP_par_portion]]</f>
        <v>0</v>
      </c>
      <c r="J4548" s="7">
        <f>tbl_Ventes[[#This Row],[CA ligne]] - tbl_Ventes[[#This Row],[Coût matière ligne]]</f>
        <v>0</v>
      </c>
      <c r="K4548" s="7" t="str">
        <f>IFERROR(INDEX(tbl_ProduitsRef[Famille], MATCH(tbl_Ventes[[#This Row],[Cde_Prdt]], tbl_Produits[Cde_Prdt], 0)), "")</f>
        <v/>
      </c>
    </row>
    <row r="4549" spans="1:11" x14ac:dyDescent="0.25">
      <c r="A4549" s="5"/>
      <c r="B4549" s="63" t="str">
        <f>IFERROR(TEXT(tbl_Ventes[[#This Row],[Date]],"mm-aaaa"),"")</f>
        <v>01-1900</v>
      </c>
      <c r="D4549" s="10" t="str">
        <f>IFERROR(
   INDEX(tbl_ProduitsRef[Cde_Prdt],MATCH(tbl_Ventes[[#This Row],[Produit]],tbl_ProduitsRef[Produit],0)),
   ""
)</f>
        <v/>
      </c>
      <c r="E4549" s="7">
        <v>0</v>
      </c>
      <c r="F4549" s="7" t="str">
        <f>IFERROR(
   INDEX(tbl_ProduitsRef[Prix Menu],MATCH(tbl_Ventes[[#This Row],[Produit]],tbl_ProduitsRef[Produit],0)),
   ""
)</f>
        <v/>
      </c>
      <c r="G4549" s="7">
        <f>tbl_Ventes[[#This Row],[Qté Vendue]] * IFERROR(_xlfn.XLOOKUP(tbl_Ventes[[#This Row],[Cde_Prdt]], tbl_Produits[Cde_Prdt], tbl_Produits[Prix Menu]), 0)</f>
        <v>0</v>
      </c>
      <c r="H4549" s="7">
        <f>IFERROR(_xlfn.XLOOKUP(tbl_Ventes[[#This Row],[Cde_Prdt]], tbl_Produits[Cde_Prdt], tbl_Produits[Coût Moyen Portion]), 0)</f>
        <v>0</v>
      </c>
      <c r="I4549" s="7">
        <f>tbl_Ventes[[#This Row],[Qté Vendue]] * tbl_Ventes[[#This Row],[CMP_par_portion]]</f>
        <v>0</v>
      </c>
      <c r="J4549" s="7">
        <f>tbl_Ventes[[#This Row],[CA ligne]] - tbl_Ventes[[#This Row],[Coût matière ligne]]</f>
        <v>0</v>
      </c>
      <c r="K4549" s="7" t="str">
        <f>IFERROR(INDEX(tbl_ProduitsRef[Famille], MATCH(tbl_Ventes[[#This Row],[Cde_Prdt]], tbl_Produits[Cde_Prdt], 0)), "")</f>
        <v/>
      </c>
    </row>
    <row r="4550" spans="1:11" x14ac:dyDescent="0.25">
      <c r="A4550" s="5"/>
      <c r="B4550" s="63" t="str">
        <f>IFERROR(TEXT(tbl_Ventes[[#This Row],[Date]],"mm-aaaa"),"")</f>
        <v>01-1900</v>
      </c>
      <c r="D4550" s="10" t="str">
        <f>IFERROR(
   INDEX(tbl_ProduitsRef[Cde_Prdt],MATCH(tbl_Ventes[[#This Row],[Produit]],tbl_ProduitsRef[Produit],0)),
   ""
)</f>
        <v/>
      </c>
      <c r="E4550" s="7">
        <v>0</v>
      </c>
      <c r="F4550" s="7" t="str">
        <f>IFERROR(
   INDEX(tbl_ProduitsRef[Prix Menu],MATCH(tbl_Ventes[[#This Row],[Produit]],tbl_ProduitsRef[Produit],0)),
   ""
)</f>
        <v/>
      </c>
      <c r="G4550" s="7">
        <f>tbl_Ventes[[#This Row],[Qté Vendue]] * IFERROR(_xlfn.XLOOKUP(tbl_Ventes[[#This Row],[Cde_Prdt]], tbl_Produits[Cde_Prdt], tbl_Produits[Prix Menu]), 0)</f>
        <v>0</v>
      </c>
      <c r="H4550" s="7">
        <f>IFERROR(_xlfn.XLOOKUP(tbl_Ventes[[#This Row],[Cde_Prdt]], tbl_Produits[Cde_Prdt], tbl_Produits[Coût Moyen Portion]), 0)</f>
        <v>0</v>
      </c>
      <c r="I4550" s="7">
        <f>tbl_Ventes[[#This Row],[Qté Vendue]] * tbl_Ventes[[#This Row],[CMP_par_portion]]</f>
        <v>0</v>
      </c>
      <c r="J4550" s="7">
        <f>tbl_Ventes[[#This Row],[CA ligne]] - tbl_Ventes[[#This Row],[Coût matière ligne]]</f>
        <v>0</v>
      </c>
      <c r="K4550" s="7" t="str">
        <f>IFERROR(INDEX(tbl_ProduitsRef[Famille], MATCH(tbl_Ventes[[#This Row],[Cde_Prdt]], tbl_Produits[Cde_Prdt], 0)), "")</f>
        <v/>
      </c>
    </row>
    <row r="4551" spans="1:11" x14ac:dyDescent="0.25">
      <c r="A4551" s="5"/>
      <c r="B4551" s="63" t="str">
        <f>IFERROR(TEXT(tbl_Ventes[[#This Row],[Date]],"mm-aaaa"),"")</f>
        <v>01-1900</v>
      </c>
      <c r="D4551" s="10" t="str">
        <f>IFERROR(
   INDEX(tbl_ProduitsRef[Cde_Prdt],MATCH(tbl_Ventes[[#This Row],[Produit]],tbl_ProduitsRef[Produit],0)),
   ""
)</f>
        <v/>
      </c>
      <c r="E4551" s="7">
        <v>0</v>
      </c>
      <c r="F4551" s="7" t="str">
        <f>IFERROR(
   INDEX(tbl_ProduitsRef[Prix Menu],MATCH(tbl_Ventes[[#This Row],[Produit]],tbl_ProduitsRef[Produit],0)),
   ""
)</f>
        <v/>
      </c>
      <c r="G4551" s="7">
        <f>tbl_Ventes[[#This Row],[Qté Vendue]] * IFERROR(_xlfn.XLOOKUP(tbl_Ventes[[#This Row],[Cde_Prdt]], tbl_Produits[Cde_Prdt], tbl_Produits[Prix Menu]), 0)</f>
        <v>0</v>
      </c>
      <c r="H4551" s="7">
        <f>IFERROR(_xlfn.XLOOKUP(tbl_Ventes[[#This Row],[Cde_Prdt]], tbl_Produits[Cde_Prdt], tbl_Produits[Coût Moyen Portion]), 0)</f>
        <v>0</v>
      </c>
      <c r="I4551" s="7">
        <f>tbl_Ventes[[#This Row],[Qté Vendue]] * tbl_Ventes[[#This Row],[CMP_par_portion]]</f>
        <v>0</v>
      </c>
      <c r="J4551" s="7">
        <f>tbl_Ventes[[#This Row],[CA ligne]] - tbl_Ventes[[#This Row],[Coût matière ligne]]</f>
        <v>0</v>
      </c>
      <c r="K4551" s="7" t="str">
        <f>IFERROR(INDEX(tbl_ProduitsRef[Famille], MATCH(tbl_Ventes[[#This Row],[Cde_Prdt]], tbl_Produits[Cde_Prdt], 0)), "")</f>
        <v/>
      </c>
    </row>
    <row r="4552" spans="1:11" x14ac:dyDescent="0.25">
      <c r="A4552" s="5"/>
      <c r="B4552" s="63" t="str">
        <f>IFERROR(TEXT(tbl_Ventes[[#This Row],[Date]],"mm-aaaa"),"")</f>
        <v>01-1900</v>
      </c>
      <c r="D4552" s="10" t="str">
        <f>IFERROR(
   INDEX(tbl_ProduitsRef[Cde_Prdt],MATCH(tbl_Ventes[[#This Row],[Produit]],tbl_ProduitsRef[Produit],0)),
   ""
)</f>
        <v/>
      </c>
      <c r="E4552" s="7">
        <v>0</v>
      </c>
      <c r="F4552" s="7" t="str">
        <f>IFERROR(
   INDEX(tbl_ProduitsRef[Prix Menu],MATCH(tbl_Ventes[[#This Row],[Produit]],tbl_ProduitsRef[Produit],0)),
   ""
)</f>
        <v/>
      </c>
      <c r="G4552" s="7">
        <f>tbl_Ventes[[#This Row],[Qté Vendue]] * IFERROR(_xlfn.XLOOKUP(tbl_Ventes[[#This Row],[Cde_Prdt]], tbl_Produits[Cde_Prdt], tbl_Produits[Prix Menu]), 0)</f>
        <v>0</v>
      </c>
      <c r="H4552" s="7">
        <f>IFERROR(_xlfn.XLOOKUP(tbl_Ventes[[#This Row],[Cde_Prdt]], tbl_Produits[Cde_Prdt], tbl_Produits[Coût Moyen Portion]), 0)</f>
        <v>0</v>
      </c>
      <c r="I4552" s="7">
        <f>tbl_Ventes[[#This Row],[Qté Vendue]] * tbl_Ventes[[#This Row],[CMP_par_portion]]</f>
        <v>0</v>
      </c>
      <c r="J4552" s="7">
        <f>tbl_Ventes[[#This Row],[CA ligne]] - tbl_Ventes[[#This Row],[Coût matière ligne]]</f>
        <v>0</v>
      </c>
      <c r="K4552" s="7" t="str">
        <f>IFERROR(INDEX(tbl_ProduitsRef[Famille], MATCH(tbl_Ventes[[#This Row],[Cde_Prdt]], tbl_Produits[Cde_Prdt], 0)), "")</f>
        <v/>
      </c>
    </row>
    <row r="4553" spans="1:11" x14ac:dyDescent="0.25">
      <c r="A4553" s="5"/>
      <c r="B4553" s="63" t="str">
        <f>IFERROR(TEXT(tbl_Ventes[[#This Row],[Date]],"mm-aaaa"),"")</f>
        <v>01-1900</v>
      </c>
      <c r="D4553" s="10" t="str">
        <f>IFERROR(
   INDEX(tbl_ProduitsRef[Cde_Prdt],MATCH(tbl_Ventes[[#This Row],[Produit]],tbl_ProduitsRef[Produit],0)),
   ""
)</f>
        <v/>
      </c>
      <c r="E4553" s="7">
        <v>0</v>
      </c>
      <c r="F4553" s="7" t="str">
        <f>IFERROR(
   INDEX(tbl_ProduitsRef[Prix Menu],MATCH(tbl_Ventes[[#This Row],[Produit]],tbl_ProduitsRef[Produit],0)),
   ""
)</f>
        <v/>
      </c>
      <c r="G4553" s="7">
        <f>tbl_Ventes[[#This Row],[Qté Vendue]] * IFERROR(_xlfn.XLOOKUP(tbl_Ventes[[#This Row],[Cde_Prdt]], tbl_Produits[Cde_Prdt], tbl_Produits[Prix Menu]), 0)</f>
        <v>0</v>
      </c>
      <c r="H4553" s="7">
        <f>IFERROR(_xlfn.XLOOKUP(tbl_Ventes[[#This Row],[Cde_Prdt]], tbl_Produits[Cde_Prdt], tbl_Produits[Coût Moyen Portion]), 0)</f>
        <v>0</v>
      </c>
      <c r="I4553" s="7">
        <f>tbl_Ventes[[#This Row],[Qté Vendue]] * tbl_Ventes[[#This Row],[CMP_par_portion]]</f>
        <v>0</v>
      </c>
      <c r="J4553" s="7">
        <f>tbl_Ventes[[#This Row],[CA ligne]] - tbl_Ventes[[#This Row],[Coût matière ligne]]</f>
        <v>0</v>
      </c>
      <c r="K4553" s="7" t="str">
        <f>IFERROR(INDEX(tbl_ProduitsRef[Famille], MATCH(tbl_Ventes[[#This Row],[Cde_Prdt]], tbl_Produits[Cde_Prdt], 0)), "")</f>
        <v/>
      </c>
    </row>
    <row r="4554" spans="1:11" x14ac:dyDescent="0.25">
      <c r="A4554" s="5"/>
      <c r="B4554" s="63" t="str">
        <f>IFERROR(TEXT(tbl_Ventes[[#This Row],[Date]],"mm-aaaa"),"")</f>
        <v>01-1900</v>
      </c>
      <c r="D4554" s="10" t="str">
        <f>IFERROR(
   INDEX(tbl_ProduitsRef[Cde_Prdt],MATCH(tbl_Ventes[[#This Row],[Produit]],tbl_ProduitsRef[Produit],0)),
   ""
)</f>
        <v/>
      </c>
      <c r="E4554" s="7">
        <v>0</v>
      </c>
      <c r="F4554" s="7" t="str">
        <f>IFERROR(
   INDEX(tbl_ProduitsRef[Prix Menu],MATCH(tbl_Ventes[[#This Row],[Produit]],tbl_ProduitsRef[Produit],0)),
   ""
)</f>
        <v/>
      </c>
      <c r="G4554" s="7">
        <f>tbl_Ventes[[#This Row],[Qté Vendue]] * IFERROR(_xlfn.XLOOKUP(tbl_Ventes[[#This Row],[Cde_Prdt]], tbl_Produits[Cde_Prdt], tbl_Produits[Prix Menu]), 0)</f>
        <v>0</v>
      </c>
      <c r="H4554" s="7">
        <f>IFERROR(_xlfn.XLOOKUP(tbl_Ventes[[#This Row],[Cde_Prdt]], tbl_Produits[Cde_Prdt], tbl_Produits[Coût Moyen Portion]), 0)</f>
        <v>0</v>
      </c>
      <c r="I4554" s="7">
        <f>tbl_Ventes[[#This Row],[Qté Vendue]] * tbl_Ventes[[#This Row],[CMP_par_portion]]</f>
        <v>0</v>
      </c>
      <c r="J4554" s="7">
        <f>tbl_Ventes[[#This Row],[CA ligne]] - tbl_Ventes[[#This Row],[Coût matière ligne]]</f>
        <v>0</v>
      </c>
      <c r="K4554" s="7" t="str">
        <f>IFERROR(INDEX(tbl_ProduitsRef[Famille], MATCH(tbl_Ventes[[#This Row],[Cde_Prdt]], tbl_Produits[Cde_Prdt], 0)), "")</f>
        <v/>
      </c>
    </row>
    <row r="4555" spans="1:11" x14ac:dyDescent="0.25">
      <c r="A4555" s="5"/>
      <c r="B4555" s="63" t="str">
        <f>IFERROR(TEXT(tbl_Ventes[[#This Row],[Date]],"mm-aaaa"),"")</f>
        <v>01-1900</v>
      </c>
      <c r="D4555" s="10" t="str">
        <f>IFERROR(
   INDEX(tbl_ProduitsRef[Cde_Prdt],MATCH(tbl_Ventes[[#This Row],[Produit]],tbl_ProduitsRef[Produit],0)),
   ""
)</f>
        <v/>
      </c>
      <c r="E4555" s="7">
        <v>0</v>
      </c>
      <c r="F4555" s="7" t="str">
        <f>IFERROR(
   INDEX(tbl_ProduitsRef[Prix Menu],MATCH(tbl_Ventes[[#This Row],[Produit]],tbl_ProduitsRef[Produit],0)),
   ""
)</f>
        <v/>
      </c>
      <c r="G4555" s="7">
        <f>tbl_Ventes[[#This Row],[Qté Vendue]] * IFERROR(_xlfn.XLOOKUP(tbl_Ventes[[#This Row],[Cde_Prdt]], tbl_Produits[Cde_Prdt], tbl_Produits[Prix Menu]), 0)</f>
        <v>0</v>
      </c>
      <c r="H4555" s="7">
        <f>IFERROR(_xlfn.XLOOKUP(tbl_Ventes[[#This Row],[Cde_Prdt]], tbl_Produits[Cde_Prdt], tbl_Produits[Coût Moyen Portion]), 0)</f>
        <v>0</v>
      </c>
      <c r="I4555" s="7">
        <f>tbl_Ventes[[#This Row],[Qté Vendue]] * tbl_Ventes[[#This Row],[CMP_par_portion]]</f>
        <v>0</v>
      </c>
      <c r="J4555" s="7">
        <f>tbl_Ventes[[#This Row],[CA ligne]] - tbl_Ventes[[#This Row],[Coût matière ligne]]</f>
        <v>0</v>
      </c>
      <c r="K4555" s="7" t="str">
        <f>IFERROR(INDEX(tbl_ProduitsRef[Famille], MATCH(tbl_Ventes[[#This Row],[Cde_Prdt]], tbl_Produits[Cde_Prdt], 0)), "")</f>
        <v/>
      </c>
    </row>
    <row r="4556" spans="1:11" x14ac:dyDescent="0.25">
      <c r="A4556" s="5"/>
      <c r="B4556" s="63" t="str">
        <f>IFERROR(TEXT(tbl_Ventes[[#This Row],[Date]],"mm-aaaa"),"")</f>
        <v>01-1900</v>
      </c>
      <c r="D4556" s="10" t="str">
        <f>IFERROR(
   INDEX(tbl_ProduitsRef[Cde_Prdt],MATCH(tbl_Ventes[[#This Row],[Produit]],tbl_ProduitsRef[Produit],0)),
   ""
)</f>
        <v/>
      </c>
      <c r="E4556" s="7">
        <v>0</v>
      </c>
      <c r="F4556" s="7" t="str">
        <f>IFERROR(
   INDEX(tbl_ProduitsRef[Prix Menu],MATCH(tbl_Ventes[[#This Row],[Produit]],tbl_ProduitsRef[Produit],0)),
   ""
)</f>
        <v/>
      </c>
      <c r="G4556" s="7">
        <f>tbl_Ventes[[#This Row],[Qté Vendue]] * IFERROR(_xlfn.XLOOKUP(tbl_Ventes[[#This Row],[Cde_Prdt]], tbl_Produits[Cde_Prdt], tbl_Produits[Prix Menu]), 0)</f>
        <v>0</v>
      </c>
      <c r="H4556" s="7">
        <f>IFERROR(_xlfn.XLOOKUP(tbl_Ventes[[#This Row],[Cde_Prdt]], tbl_Produits[Cde_Prdt], tbl_Produits[Coût Moyen Portion]), 0)</f>
        <v>0</v>
      </c>
      <c r="I4556" s="7">
        <f>tbl_Ventes[[#This Row],[Qté Vendue]] * tbl_Ventes[[#This Row],[CMP_par_portion]]</f>
        <v>0</v>
      </c>
      <c r="J4556" s="7">
        <f>tbl_Ventes[[#This Row],[CA ligne]] - tbl_Ventes[[#This Row],[Coût matière ligne]]</f>
        <v>0</v>
      </c>
      <c r="K4556" s="7" t="str">
        <f>IFERROR(INDEX(tbl_ProduitsRef[Famille], MATCH(tbl_Ventes[[#This Row],[Cde_Prdt]], tbl_Produits[Cde_Prdt], 0)), "")</f>
        <v/>
      </c>
    </row>
    <row r="4557" spans="1:11" x14ac:dyDescent="0.25">
      <c r="A4557" s="5"/>
      <c r="B4557" s="63" t="str">
        <f>IFERROR(TEXT(tbl_Ventes[[#This Row],[Date]],"mm-aaaa"),"")</f>
        <v>01-1900</v>
      </c>
      <c r="D4557" s="10" t="str">
        <f>IFERROR(
   INDEX(tbl_ProduitsRef[Cde_Prdt],MATCH(tbl_Ventes[[#This Row],[Produit]],tbl_ProduitsRef[Produit],0)),
   ""
)</f>
        <v/>
      </c>
      <c r="E4557" s="7">
        <v>0</v>
      </c>
      <c r="F4557" s="7" t="str">
        <f>IFERROR(
   INDEX(tbl_ProduitsRef[Prix Menu],MATCH(tbl_Ventes[[#This Row],[Produit]],tbl_ProduitsRef[Produit],0)),
   ""
)</f>
        <v/>
      </c>
      <c r="G4557" s="7">
        <f>tbl_Ventes[[#This Row],[Qté Vendue]] * IFERROR(_xlfn.XLOOKUP(tbl_Ventes[[#This Row],[Cde_Prdt]], tbl_Produits[Cde_Prdt], tbl_Produits[Prix Menu]), 0)</f>
        <v>0</v>
      </c>
      <c r="H4557" s="7">
        <f>IFERROR(_xlfn.XLOOKUP(tbl_Ventes[[#This Row],[Cde_Prdt]], tbl_Produits[Cde_Prdt], tbl_Produits[Coût Moyen Portion]), 0)</f>
        <v>0</v>
      </c>
      <c r="I4557" s="7">
        <f>tbl_Ventes[[#This Row],[Qté Vendue]] * tbl_Ventes[[#This Row],[CMP_par_portion]]</f>
        <v>0</v>
      </c>
      <c r="J4557" s="7">
        <f>tbl_Ventes[[#This Row],[CA ligne]] - tbl_Ventes[[#This Row],[Coût matière ligne]]</f>
        <v>0</v>
      </c>
      <c r="K4557" s="7" t="str">
        <f>IFERROR(INDEX(tbl_ProduitsRef[Famille], MATCH(tbl_Ventes[[#This Row],[Cde_Prdt]], tbl_Produits[Cde_Prdt], 0)), "")</f>
        <v/>
      </c>
    </row>
    <row r="4558" spans="1:11" x14ac:dyDescent="0.25">
      <c r="A4558" s="5"/>
      <c r="B4558" s="63" t="str">
        <f>IFERROR(TEXT(tbl_Ventes[[#This Row],[Date]],"mm-aaaa"),"")</f>
        <v>01-1900</v>
      </c>
      <c r="D4558" s="10" t="str">
        <f>IFERROR(
   INDEX(tbl_ProduitsRef[Cde_Prdt],MATCH(tbl_Ventes[[#This Row],[Produit]],tbl_ProduitsRef[Produit],0)),
   ""
)</f>
        <v/>
      </c>
      <c r="E4558" s="7">
        <v>0</v>
      </c>
      <c r="F4558" s="7" t="str">
        <f>IFERROR(
   INDEX(tbl_ProduitsRef[Prix Menu],MATCH(tbl_Ventes[[#This Row],[Produit]],tbl_ProduitsRef[Produit],0)),
   ""
)</f>
        <v/>
      </c>
      <c r="G4558" s="7">
        <f>tbl_Ventes[[#This Row],[Qté Vendue]] * IFERROR(_xlfn.XLOOKUP(tbl_Ventes[[#This Row],[Cde_Prdt]], tbl_Produits[Cde_Prdt], tbl_Produits[Prix Menu]), 0)</f>
        <v>0</v>
      </c>
      <c r="H4558" s="7">
        <f>IFERROR(_xlfn.XLOOKUP(tbl_Ventes[[#This Row],[Cde_Prdt]], tbl_Produits[Cde_Prdt], tbl_Produits[Coût Moyen Portion]), 0)</f>
        <v>0</v>
      </c>
      <c r="I4558" s="7">
        <f>tbl_Ventes[[#This Row],[Qté Vendue]] * tbl_Ventes[[#This Row],[CMP_par_portion]]</f>
        <v>0</v>
      </c>
      <c r="J4558" s="7">
        <f>tbl_Ventes[[#This Row],[CA ligne]] - tbl_Ventes[[#This Row],[Coût matière ligne]]</f>
        <v>0</v>
      </c>
      <c r="K4558" s="7" t="str">
        <f>IFERROR(INDEX(tbl_ProduitsRef[Famille], MATCH(tbl_Ventes[[#This Row],[Cde_Prdt]], tbl_Produits[Cde_Prdt], 0)), "")</f>
        <v/>
      </c>
    </row>
    <row r="4559" spans="1:11" x14ac:dyDescent="0.25">
      <c r="A4559" s="5"/>
      <c r="B4559" s="63" t="str">
        <f>IFERROR(TEXT(tbl_Ventes[[#This Row],[Date]],"mm-aaaa"),"")</f>
        <v>01-1900</v>
      </c>
      <c r="D4559" s="10" t="str">
        <f>IFERROR(
   INDEX(tbl_ProduitsRef[Cde_Prdt],MATCH(tbl_Ventes[[#This Row],[Produit]],tbl_ProduitsRef[Produit],0)),
   ""
)</f>
        <v/>
      </c>
      <c r="E4559" s="7">
        <v>0</v>
      </c>
      <c r="F4559" s="7" t="str">
        <f>IFERROR(
   INDEX(tbl_ProduitsRef[Prix Menu],MATCH(tbl_Ventes[[#This Row],[Produit]],tbl_ProduitsRef[Produit],0)),
   ""
)</f>
        <v/>
      </c>
      <c r="G4559" s="7">
        <f>tbl_Ventes[[#This Row],[Qté Vendue]] * IFERROR(_xlfn.XLOOKUP(tbl_Ventes[[#This Row],[Cde_Prdt]], tbl_Produits[Cde_Prdt], tbl_Produits[Prix Menu]), 0)</f>
        <v>0</v>
      </c>
      <c r="H4559" s="7">
        <f>IFERROR(_xlfn.XLOOKUP(tbl_Ventes[[#This Row],[Cde_Prdt]], tbl_Produits[Cde_Prdt], tbl_Produits[Coût Moyen Portion]), 0)</f>
        <v>0</v>
      </c>
      <c r="I4559" s="7">
        <f>tbl_Ventes[[#This Row],[Qté Vendue]] * tbl_Ventes[[#This Row],[CMP_par_portion]]</f>
        <v>0</v>
      </c>
      <c r="J4559" s="7">
        <f>tbl_Ventes[[#This Row],[CA ligne]] - tbl_Ventes[[#This Row],[Coût matière ligne]]</f>
        <v>0</v>
      </c>
      <c r="K4559" s="7" t="str">
        <f>IFERROR(INDEX(tbl_ProduitsRef[Famille], MATCH(tbl_Ventes[[#This Row],[Cde_Prdt]], tbl_Produits[Cde_Prdt], 0)), "")</f>
        <v/>
      </c>
    </row>
    <row r="4560" spans="1:11" x14ac:dyDescent="0.25">
      <c r="A4560" s="5"/>
      <c r="B4560" s="63" t="str">
        <f>IFERROR(TEXT(tbl_Ventes[[#This Row],[Date]],"mm-aaaa"),"")</f>
        <v>01-1900</v>
      </c>
      <c r="D4560" s="10" t="str">
        <f>IFERROR(
   INDEX(tbl_ProduitsRef[Cde_Prdt],MATCH(tbl_Ventes[[#This Row],[Produit]],tbl_ProduitsRef[Produit],0)),
   ""
)</f>
        <v/>
      </c>
      <c r="E4560" s="7">
        <v>0</v>
      </c>
      <c r="F4560" s="7" t="str">
        <f>IFERROR(
   INDEX(tbl_ProduitsRef[Prix Menu],MATCH(tbl_Ventes[[#This Row],[Produit]],tbl_ProduitsRef[Produit],0)),
   ""
)</f>
        <v/>
      </c>
      <c r="G4560" s="7">
        <f>tbl_Ventes[[#This Row],[Qté Vendue]] * IFERROR(_xlfn.XLOOKUP(tbl_Ventes[[#This Row],[Cde_Prdt]], tbl_Produits[Cde_Prdt], tbl_Produits[Prix Menu]), 0)</f>
        <v>0</v>
      </c>
      <c r="H4560" s="7">
        <f>IFERROR(_xlfn.XLOOKUP(tbl_Ventes[[#This Row],[Cde_Prdt]], tbl_Produits[Cde_Prdt], tbl_Produits[Coût Moyen Portion]), 0)</f>
        <v>0</v>
      </c>
      <c r="I4560" s="7">
        <f>tbl_Ventes[[#This Row],[Qté Vendue]] * tbl_Ventes[[#This Row],[CMP_par_portion]]</f>
        <v>0</v>
      </c>
      <c r="J4560" s="7">
        <f>tbl_Ventes[[#This Row],[CA ligne]] - tbl_Ventes[[#This Row],[Coût matière ligne]]</f>
        <v>0</v>
      </c>
      <c r="K4560" s="7" t="str">
        <f>IFERROR(INDEX(tbl_ProduitsRef[Famille], MATCH(tbl_Ventes[[#This Row],[Cde_Prdt]], tbl_Produits[Cde_Prdt], 0)), "")</f>
        <v/>
      </c>
    </row>
    <row r="4561" spans="1:11" x14ac:dyDescent="0.25">
      <c r="A4561" s="5"/>
      <c r="B4561" s="63" t="str">
        <f>IFERROR(TEXT(tbl_Ventes[[#This Row],[Date]],"mm-aaaa"),"")</f>
        <v>01-1900</v>
      </c>
      <c r="D4561" s="10" t="str">
        <f>IFERROR(
   INDEX(tbl_ProduitsRef[Cde_Prdt],MATCH(tbl_Ventes[[#This Row],[Produit]],tbl_ProduitsRef[Produit],0)),
   ""
)</f>
        <v/>
      </c>
      <c r="E4561" s="7">
        <v>0</v>
      </c>
      <c r="F4561" s="7" t="str">
        <f>IFERROR(
   INDEX(tbl_ProduitsRef[Prix Menu],MATCH(tbl_Ventes[[#This Row],[Produit]],tbl_ProduitsRef[Produit],0)),
   ""
)</f>
        <v/>
      </c>
      <c r="G4561" s="7">
        <f>tbl_Ventes[[#This Row],[Qté Vendue]] * IFERROR(_xlfn.XLOOKUP(tbl_Ventes[[#This Row],[Cde_Prdt]], tbl_Produits[Cde_Prdt], tbl_Produits[Prix Menu]), 0)</f>
        <v>0</v>
      </c>
      <c r="H4561" s="7">
        <f>IFERROR(_xlfn.XLOOKUP(tbl_Ventes[[#This Row],[Cde_Prdt]], tbl_Produits[Cde_Prdt], tbl_Produits[Coût Moyen Portion]), 0)</f>
        <v>0</v>
      </c>
      <c r="I4561" s="7">
        <f>tbl_Ventes[[#This Row],[Qté Vendue]] * tbl_Ventes[[#This Row],[CMP_par_portion]]</f>
        <v>0</v>
      </c>
      <c r="J4561" s="7">
        <f>tbl_Ventes[[#This Row],[CA ligne]] - tbl_Ventes[[#This Row],[Coût matière ligne]]</f>
        <v>0</v>
      </c>
      <c r="K4561" s="7" t="str">
        <f>IFERROR(INDEX(tbl_ProduitsRef[Famille], MATCH(tbl_Ventes[[#This Row],[Cde_Prdt]], tbl_Produits[Cde_Prdt], 0)), "")</f>
        <v/>
      </c>
    </row>
    <row r="4562" spans="1:11" x14ac:dyDescent="0.25">
      <c r="A4562" s="5"/>
      <c r="B4562" s="63" t="str">
        <f>IFERROR(TEXT(tbl_Ventes[[#This Row],[Date]],"mm-aaaa"),"")</f>
        <v>01-1900</v>
      </c>
      <c r="D4562" s="10" t="str">
        <f>IFERROR(
   INDEX(tbl_ProduitsRef[Cde_Prdt],MATCH(tbl_Ventes[[#This Row],[Produit]],tbl_ProduitsRef[Produit],0)),
   ""
)</f>
        <v/>
      </c>
      <c r="E4562" s="7">
        <v>0</v>
      </c>
      <c r="F4562" s="7" t="str">
        <f>IFERROR(
   INDEX(tbl_ProduitsRef[Prix Menu],MATCH(tbl_Ventes[[#This Row],[Produit]],tbl_ProduitsRef[Produit],0)),
   ""
)</f>
        <v/>
      </c>
      <c r="G4562" s="7">
        <f>tbl_Ventes[[#This Row],[Qté Vendue]] * IFERROR(_xlfn.XLOOKUP(tbl_Ventes[[#This Row],[Cde_Prdt]], tbl_Produits[Cde_Prdt], tbl_Produits[Prix Menu]), 0)</f>
        <v>0</v>
      </c>
      <c r="H4562" s="7">
        <f>IFERROR(_xlfn.XLOOKUP(tbl_Ventes[[#This Row],[Cde_Prdt]], tbl_Produits[Cde_Prdt], tbl_Produits[Coût Moyen Portion]), 0)</f>
        <v>0</v>
      </c>
      <c r="I4562" s="7">
        <f>tbl_Ventes[[#This Row],[Qté Vendue]] * tbl_Ventes[[#This Row],[CMP_par_portion]]</f>
        <v>0</v>
      </c>
      <c r="J4562" s="7">
        <f>tbl_Ventes[[#This Row],[CA ligne]] - tbl_Ventes[[#This Row],[Coût matière ligne]]</f>
        <v>0</v>
      </c>
      <c r="K4562" s="7" t="str">
        <f>IFERROR(INDEX(tbl_ProduitsRef[Famille], MATCH(tbl_Ventes[[#This Row],[Cde_Prdt]], tbl_Produits[Cde_Prdt], 0)), "")</f>
        <v/>
      </c>
    </row>
    <row r="4563" spans="1:11" x14ac:dyDescent="0.25">
      <c r="A4563" s="5"/>
      <c r="B4563" s="63" t="str">
        <f>IFERROR(TEXT(tbl_Ventes[[#This Row],[Date]],"mm-aaaa"),"")</f>
        <v>01-1900</v>
      </c>
      <c r="D4563" s="10" t="str">
        <f>IFERROR(
   INDEX(tbl_ProduitsRef[Cde_Prdt],MATCH(tbl_Ventes[[#This Row],[Produit]],tbl_ProduitsRef[Produit],0)),
   ""
)</f>
        <v/>
      </c>
      <c r="E4563" s="7">
        <v>0</v>
      </c>
      <c r="F4563" s="7" t="str">
        <f>IFERROR(
   INDEX(tbl_ProduitsRef[Prix Menu],MATCH(tbl_Ventes[[#This Row],[Produit]],tbl_ProduitsRef[Produit],0)),
   ""
)</f>
        <v/>
      </c>
      <c r="G4563" s="7">
        <f>tbl_Ventes[[#This Row],[Qté Vendue]] * IFERROR(_xlfn.XLOOKUP(tbl_Ventes[[#This Row],[Cde_Prdt]], tbl_Produits[Cde_Prdt], tbl_Produits[Prix Menu]), 0)</f>
        <v>0</v>
      </c>
      <c r="H4563" s="7">
        <f>IFERROR(_xlfn.XLOOKUP(tbl_Ventes[[#This Row],[Cde_Prdt]], tbl_Produits[Cde_Prdt], tbl_Produits[Coût Moyen Portion]), 0)</f>
        <v>0</v>
      </c>
      <c r="I4563" s="7">
        <f>tbl_Ventes[[#This Row],[Qté Vendue]] * tbl_Ventes[[#This Row],[CMP_par_portion]]</f>
        <v>0</v>
      </c>
      <c r="J4563" s="7">
        <f>tbl_Ventes[[#This Row],[CA ligne]] - tbl_Ventes[[#This Row],[Coût matière ligne]]</f>
        <v>0</v>
      </c>
      <c r="K4563" s="7" t="str">
        <f>IFERROR(INDEX(tbl_ProduitsRef[Famille], MATCH(tbl_Ventes[[#This Row],[Cde_Prdt]], tbl_Produits[Cde_Prdt], 0)), "")</f>
        <v/>
      </c>
    </row>
    <row r="4564" spans="1:11" x14ac:dyDescent="0.25">
      <c r="A4564" s="5"/>
      <c r="B4564" s="63" t="str">
        <f>IFERROR(TEXT(tbl_Ventes[[#This Row],[Date]],"mm-aaaa"),"")</f>
        <v>01-1900</v>
      </c>
      <c r="D4564" s="10" t="str">
        <f>IFERROR(
   INDEX(tbl_ProduitsRef[Cde_Prdt],MATCH(tbl_Ventes[[#This Row],[Produit]],tbl_ProduitsRef[Produit],0)),
   ""
)</f>
        <v/>
      </c>
      <c r="E4564" s="7">
        <v>0</v>
      </c>
      <c r="F4564" s="7" t="str">
        <f>IFERROR(
   INDEX(tbl_ProduitsRef[Prix Menu],MATCH(tbl_Ventes[[#This Row],[Produit]],tbl_ProduitsRef[Produit],0)),
   ""
)</f>
        <v/>
      </c>
      <c r="G4564" s="7">
        <f>tbl_Ventes[[#This Row],[Qté Vendue]] * IFERROR(_xlfn.XLOOKUP(tbl_Ventes[[#This Row],[Cde_Prdt]], tbl_Produits[Cde_Prdt], tbl_Produits[Prix Menu]), 0)</f>
        <v>0</v>
      </c>
      <c r="H4564" s="7">
        <f>IFERROR(_xlfn.XLOOKUP(tbl_Ventes[[#This Row],[Cde_Prdt]], tbl_Produits[Cde_Prdt], tbl_Produits[Coût Moyen Portion]), 0)</f>
        <v>0</v>
      </c>
      <c r="I4564" s="7">
        <f>tbl_Ventes[[#This Row],[Qté Vendue]] * tbl_Ventes[[#This Row],[CMP_par_portion]]</f>
        <v>0</v>
      </c>
      <c r="J4564" s="7">
        <f>tbl_Ventes[[#This Row],[CA ligne]] - tbl_Ventes[[#This Row],[Coût matière ligne]]</f>
        <v>0</v>
      </c>
      <c r="K4564" s="7" t="str">
        <f>IFERROR(INDEX(tbl_ProduitsRef[Famille], MATCH(tbl_Ventes[[#This Row],[Cde_Prdt]], tbl_Produits[Cde_Prdt], 0)), "")</f>
        <v/>
      </c>
    </row>
    <row r="4565" spans="1:11" x14ac:dyDescent="0.25">
      <c r="A4565" s="5"/>
      <c r="B4565" s="63" t="str">
        <f>IFERROR(TEXT(tbl_Ventes[[#This Row],[Date]],"mm-aaaa"),"")</f>
        <v>01-1900</v>
      </c>
      <c r="D4565" s="10" t="str">
        <f>IFERROR(
   INDEX(tbl_ProduitsRef[Cde_Prdt],MATCH(tbl_Ventes[[#This Row],[Produit]],tbl_ProduitsRef[Produit],0)),
   ""
)</f>
        <v/>
      </c>
      <c r="E4565" s="7">
        <v>0</v>
      </c>
      <c r="F4565" s="7" t="str">
        <f>IFERROR(
   INDEX(tbl_ProduitsRef[Prix Menu],MATCH(tbl_Ventes[[#This Row],[Produit]],tbl_ProduitsRef[Produit],0)),
   ""
)</f>
        <v/>
      </c>
      <c r="G4565" s="7">
        <f>tbl_Ventes[[#This Row],[Qté Vendue]] * IFERROR(_xlfn.XLOOKUP(tbl_Ventes[[#This Row],[Cde_Prdt]], tbl_Produits[Cde_Prdt], tbl_Produits[Prix Menu]), 0)</f>
        <v>0</v>
      </c>
      <c r="H4565" s="7">
        <f>IFERROR(_xlfn.XLOOKUP(tbl_Ventes[[#This Row],[Cde_Prdt]], tbl_Produits[Cde_Prdt], tbl_Produits[Coût Moyen Portion]), 0)</f>
        <v>0</v>
      </c>
      <c r="I4565" s="7">
        <f>tbl_Ventes[[#This Row],[Qté Vendue]] * tbl_Ventes[[#This Row],[CMP_par_portion]]</f>
        <v>0</v>
      </c>
      <c r="J4565" s="7">
        <f>tbl_Ventes[[#This Row],[CA ligne]] - tbl_Ventes[[#This Row],[Coût matière ligne]]</f>
        <v>0</v>
      </c>
      <c r="K4565" s="7" t="str">
        <f>IFERROR(INDEX(tbl_ProduitsRef[Famille], MATCH(tbl_Ventes[[#This Row],[Cde_Prdt]], tbl_Produits[Cde_Prdt], 0)), "")</f>
        <v/>
      </c>
    </row>
    <row r="4566" spans="1:11" x14ac:dyDescent="0.25">
      <c r="A4566" s="5"/>
      <c r="B4566" s="63" t="str">
        <f>IFERROR(TEXT(tbl_Ventes[[#This Row],[Date]],"mm-aaaa"),"")</f>
        <v>01-1900</v>
      </c>
      <c r="D4566" s="10" t="str">
        <f>IFERROR(
   INDEX(tbl_ProduitsRef[Cde_Prdt],MATCH(tbl_Ventes[[#This Row],[Produit]],tbl_ProduitsRef[Produit],0)),
   ""
)</f>
        <v/>
      </c>
      <c r="E4566" s="7">
        <v>0</v>
      </c>
      <c r="F4566" s="7" t="str">
        <f>IFERROR(
   INDEX(tbl_ProduitsRef[Prix Menu],MATCH(tbl_Ventes[[#This Row],[Produit]],tbl_ProduitsRef[Produit],0)),
   ""
)</f>
        <v/>
      </c>
      <c r="G4566" s="7">
        <f>tbl_Ventes[[#This Row],[Qté Vendue]] * IFERROR(_xlfn.XLOOKUP(tbl_Ventes[[#This Row],[Cde_Prdt]], tbl_Produits[Cde_Prdt], tbl_Produits[Prix Menu]), 0)</f>
        <v>0</v>
      </c>
      <c r="H4566" s="7">
        <f>IFERROR(_xlfn.XLOOKUP(tbl_Ventes[[#This Row],[Cde_Prdt]], tbl_Produits[Cde_Prdt], tbl_Produits[Coût Moyen Portion]), 0)</f>
        <v>0</v>
      </c>
      <c r="I4566" s="7">
        <f>tbl_Ventes[[#This Row],[Qté Vendue]] * tbl_Ventes[[#This Row],[CMP_par_portion]]</f>
        <v>0</v>
      </c>
      <c r="J4566" s="7">
        <f>tbl_Ventes[[#This Row],[CA ligne]] - tbl_Ventes[[#This Row],[Coût matière ligne]]</f>
        <v>0</v>
      </c>
      <c r="K4566" s="7" t="str">
        <f>IFERROR(INDEX(tbl_ProduitsRef[Famille], MATCH(tbl_Ventes[[#This Row],[Cde_Prdt]], tbl_Produits[Cde_Prdt], 0)), "")</f>
        <v/>
      </c>
    </row>
    <row r="4567" spans="1:11" x14ac:dyDescent="0.25">
      <c r="A4567" s="5"/>
      <c r="B4567" s="63" t="str">
        <f>IFERROR(TEXT(tbl_Ventes[[#This Row],[Date]],"mm-aaaa"),"")</f>
        <v>01-1900</v>
      </c>
      <c r="D4567" s="10" t="str">
        <f>IFERROR(
   INDEX(tbl_ProduitsRef[Cde_Prdt],MATCH(tbl_Ventes[[#This Row],[Produit]],tbl_ProduitsRef[Produit],0)),
   ""
)</f>
        <v/>
      </c>
      <c r="E4567" s="7">
        <v>0</v>
      </c>
      <c r="F4567" s="7" t="str">
        <f>IFERROR(
   INDEX(tbl_ProduitsRef[Prix Menu],MATCH(tbl_Ventes[[#This Row],[Produit]],tbl_ProduitsRef[Produit],0)),
   ""
)</f>
        <v/>
      </c>
      <c r="G4567" s="7">
        <f>tbl_Ventes[[#This Row],[Qté Vendue]] * IFERROR(_xlfn.XLOOKUP(tbl_Ventes[[#This Row],[Cde_Prdt]], tbl_Produits[Cde_Prdt], tbl_Produits[Prix Menu]), 0)</f>
        <v>0</v>
      </c>
      <c r="H4567" s="7">
        <f>IFERROR(_xlfn.XLOOKUP(tbl_Ventes[[#This Row],[Cde_Prdt]], tbl_Produits[Cde_Prdt], tbl_Produits[Coût Moyen Portion]), 0)</f>
        <v>0</v>
      </c>
      <c r="I4567" s="7">
        <f>tbl_Ventes[[#This Row],[Qté Vendue]] * tbl_Ventes[[#This Row],[CMP_par_portion]]</f>
        <v>0</v>
      </c>
      <c r="J4567" s="7">
        <f>tbl_Ventes[[#This Row],[CA ligne]] - tbl_Ventes[[#This Row],[Coût matière ligne]]</f>
        <v>0</v>
      </c>
      <c r="K4567" s="7" t="str">
        <f>IFERROR(INDEX(tbl_ProduitsRef[Famille], MATCH(tbl_Ventes[[#This Row],[Cde_Prdt]], tbl_Produits[Cde_Prdt], 0)), "")</f>
        <v/>
      </c>
    </row>
    <row r="4568" spans="1:11" x14ac:dyDescent="0.25">
      <c r="A4568" s="5"/>
      <c r="B4568" s="63" t="str">
        <f>IFERROR(TEXT(tbl_Ventes[[#This Row],[Date]],"mm-aaaa"),"")</f>
        <v>01-1900</v>
      </c>
      <c r="D4568" s="10" t="str">
        <f>IFERROR(
   INDEX(tbl_ProduitsRef[Cde_Prdt],MATCH(tbl_Ventes[[#This Row],[Produit]],tbl_ProduitsRef[Produit],0)),
   ""
)</f>
        <v/>
      </c>
      <c r="E4568" s="7">
        <v>0</v>
      </c>
      <c r="F4568" s="7" t="str">
        <f>IFERROR(
   INDEX(tbl_ProduitsRef[Prix Menu],MATCH(tbl_Ventes[[#This Row],[Produit]],tbl_ProduitsRef[Produit],0)),
   ""
)</f>
        <v/>
      </c>
      <c r="G4568" s="7">
        <f>tbl_Ventes[[#This Row],[Qté Vendue]] * IFERROR(_xlfn.XLOOKUP(tbl_Ventes[[#This Row],[Cde_Prdt]], tbl_Produits[Cde_Prdt], tbl_Produits[Prix Menu]), 0)</f>
        <v>0</v>
      </c>
      <c r="H4568" s="7">
        <f>IFERROR(_xlfn.XLOOKUP(tbl_Ventes[[#This Row],[Cde_Prdt]], tbl_Produits[Cde_Prdt], tbl_Produits[Coût Moyen Portion]), 0)</f>
        <v>0</v>
      </c>
      <c r="I4568" s="7">
        <f>tbl_Ventes[[#This Row],[Qté Vendue]] * tbl_Ventes[[#This Row],[CMP_par_portion]]</f>
        <v>0</v>
      </c>
      <c r="J4568" s="7">
        <f>tbl_Ventes[[#This Row],[CA ligne]] - tbl_Ventes[[#This Row],[Coût matière ligne]]</f>
        <v>0</v>
      </c>
      <c r="K4568" s="7" t="str">
        <f>IFERROR(INDEX(tbl_ProduitsRef[Famille], MATCH(tbl_Ventes[[#This Row],[Cde_Prdt]], tbl_Produits[Cde_Prdt], 0)), "")</f>
        <v/>
      </c>
    </row>
    <row r="4569" spans="1:11" x14ac:dyDescent="0.25">
      <c r="A4569" s="5"/>
      <c r="B4569" s="63" t="str">
        <f>IFERROR(TEXT(tbl_Ventes[[#This Row],[Date]],"mm-aaaa"),"")</f>
        <v>01-1900</v>
      </c>
      <c r="D4569" s="10" t="str">
        <f>IFERROR(
   INDEX(tbl_ProduitsRef[Cde_Prdt],MATCH(tbl_Ventes[[#This Row],[Produit]],tbl_ProduitsRef[Produit],0)),
   ""
)</f>
        <v/>
      </c>
      <c r="E4569" s="7">
        <v>0</v>
      </c>
      <c r="F4569" s="7" t="str">
        <f>IFERROR(
   INDEX(tbl_ProduitsRef[Prix Menu],MATCH(tbl_Ventes[[#This Row],[Produit]],tbl_ProduitsRef[Produit],0)),
   ""
)</f>
        <v/>
      </c>
      <c r="G4569" s="7">
        <f>tbl_Ventes[[#This Row],[Qté Vendue]] * IFERROR(_xlfn.XLOOKUP(tbl_Ventes[[#This Row],[Cde_Prdt]], tbl_Produits[Cde_Prdt], tbl_Produits[Prix Menu]), 0)</f>
        <v>0</v>
      </c>
      <c r="H4569" s="7">
        <f>IFERROR(_xlfn.XLOOKUP(tbl_Ventes[[#This Row],[Cde_Prdt]], tbl_Produits[Cde_Prdt], tbl_Produits[Coût Moyen Portion]), 0)</f>
        <v>0</v>
      </c>
      <c r="I4569" s="7">
        <f>tbl_Ventes[[#This Row],[Qté Vendue]] * tbl_Ventes[[#This Row],[CMP_par_portion]]</f>
        <v>0</v>
      </c>
      <c r="J4569" s="7">
        <f>tbl_Ventes[[#This Row],[CA ligne]] - tbl_Ventes[[#This Row],[Coût matière ligne]]</f>
        <v>0</v>
      </c>
      <c r="K4569" s="7" t="str">
        <f>IFERROR(INDEX(tbl_ProduitsRef[Famille], MATCH(tbl_Ventes[[#This Row],[Cde_Prdt]], tbl_Produits[Cde_Prdt], 0)), "")</f>
        <v/>
      </c>
    </row>
    <row r="4570" spans="1:11" x14ac:dyDescent="0.25">
      <c r="A4570" s="5"/>
      <c r="B4570" s="63" t="str">
        <f>IFERROR(TEXT(tbl_Ventes[[#This Row],[Date]],"mm-aaaa"),"")</f>
        <v>01-1900</v>
      </c>
      <c r="D4570" s="10" t="str">
        <f>IFERROR(
   INDEX(tbl_ProduitsRef[Cde_Prdt],MATCH(tbl_Ventes[[#This Row],[Produit]],tbl_ProduitsRef[Produit],0)),
   ""
)</f>
        <v/>
      </c>
      <c r="E4570" s="7">
        <v>0</v>
      </c>
      <c r="F4570" s="7" t="str">
        <f>IFERROR(
   INDEX(tbl_ProduitsRef[Prix Menu],MATCH(tbl_Ventes[[#This Row],[Produit]],tbl_ProduitsRef[Produit],0)),
   ""
)</f>
        <v/>
      </c>
      <c r="G4570" s="7">
        <f>tbl_Ventes[[#This Row],[Qté Vendue]] * IFERROR(_xlfn.XLOOKUP(tbl_Ventes[[#This Row],[Cde_Prdt]], tbl_Produits[Cde_Prdt], tbl_Produits[Prix Menu]), 0)</f>
        <v>0</v>
      </c>
      <c r="H4570" s="7">
        <f>IFERROR(_xlfn.XLOOKUP(tbl_Ventes[[#This Row],[Cde_Prdt]], tbl_Produits[Cde_Prdt], tbl_Produits[Coût Moyen Portion]), 0)</f>
        <v>0</v>
      </c>
      <c r="I4570" s="7">
        <f>tbl_Ventes[[#This Row],[Qté Vendue]] * tbl_Ventes[[#This Row],[CMP_par_portion]]</f>
        <v>0</v>
      </c>
      <c r="J4570" s="7">
        <f>tbl_Ventes[[#This Row],[CA ligne]] - tbl_Ventes[[#This Row],[Coût matière ligne]]</f>
        <v>0</v>
      </c>
      <c r="K4570" s="7" t="str">
        <f>IFERROR(INDEX(tbl_ProduitsRef[Famille], MATCH(tbl_Ventes[[#This Row],[Cde_Prdt]], tbl_Produits[Cde_Prdt], 0)), "")</f>
        <v/>
      </c>
    </row>
    <row r="4571" spans="1:11" x14ac:dyDescent="0.25">
      <c r="A4571" s="5"/>
      <c r="B4571" s="63" t="str">
        <f>IFERROR(TEXT(tbl_Ventes[[#This Row],[Date]],"mm-aaaa"),"")</f>
        <v>01-1900</v>
      </c>
      <c r="D4571" s="10" t="str">
        <f>IFERROR(
   INDEX(tbl_ProduitsRef[Cde_Prdt],MATCH(tbl_Ventes[[#This Row],[Produit]],tbl_ProduitsRef[Produit],0)),
   ""
)</f>
        <v/>
      </c>
      <c r="E4571" s="7">
        <v>0</v>
      </c>
      <c r="F4571" s="7" t="str">
        <f>IFERROR(
   INDEX(tbl_ProduitsRef[Prix Menu],MATCH(tbl_Ventes[[#This Row],[Produit]],tbl_ProduitsRef[Produit],0)),
   ""
)</f>
        <v/>
      </c>
      <c r="G4571" s="7">
        <f>tbl_Ventes[[#This Row],[Qté Vendue]] * IFERROR(_xlfn.XLOOKUP(tbl_Ventes[[#This Row],[Cde_Prdt]], tbl_Produits[Cde_Prdt], tbl_Produits[Prix Menu]), 0)</f>
        <v>0</v>
      </c>
      <c r="H4571" s="7">
        <f>IFERROR(_xlfn.XLOOKUP(tbl_Ventes[[#This Row],[Cde_Prdt]], tbl_Produits[Cde_Prdt], tbl_Produits[Coût Moyen Portion]), 0)</f>
        <v>0</v>
      </c>
      <c r="I4571" s="7">
        <f>tbl_Ventes[[#This Row],[Qté Vendue]] * tbl_Ventes[[#This Row],[CMP_par_portion]]</f>
        <v>0</v>
      </c>
      <c r="J4571" s="7">
        <f>tbl_Ventes[[#This Row],[CA ligne]] - tbl_Ventes[[#This Row],[Coût matière ligne]]</f>
        <v>0</v>
      </c>
      <c r="K4571" s="7" t="str">
        <f>IFERROR(INDEX(tbl_ProduitsRef[Famille], MATCH(tbl_Ventes[[#This Row],[Cde_Prdt]], tbl_Produits[Cde_Prdt], 0)), "")</f>
        <v/>
      </c>
    </row>
    <row r="4572" spans="1:11" x14ac:dyDescent="0.25">
      <c r="A4572" s="5"/>
      <c r="B4572" s="63" t="str">
        <f>IFERROR(TEXT(tbl_Ventes[[#This Row],[Date]],"mm-aaaa"),"")</f>
        <v>01-1900</v>
      </c>
      <c r="D4572" s="10" t="str">
        <f>IFERROR(
   INDEX(tbl_ProduitsRef[Cde_Prdt],MATCH(tbl_Ventes[[#This Row],[Produit]],tbl_ProduitsRef[Produit],0)),
   ""
)</f>
        <v/>
      </c>
      <c r="E4572" s="7">
        <v>0</v>
      </c>
      <c r="F4572" s="7" t="str">
        <f>IFERROR(
   INDEX(tbl_ProduitsRef[Prix Menu],MATCH(tbl_Ventes[[#This Row],[Produit]],tbl_ProduitsRef[Produit],0)),
   ""
)</f>
        <v/>
      </c>
      <c r="G4572" s="7">
        <f>tbl_Ventes[[#This Row],[Qté Vendue]] * IFERROR(_xlfn.XLOOKUP(tbl_Ventes[[#This Row],[Cde_Prdt]], tbl_Produits[Cde_Prdt], tbl_Produits[Prix Menu]), 0)</f>
        <v>0</v>
      </c>
      <c r="H4572" s="7">
        <f>IFERROR(_xlfn.XLOOKUP(tbl_Ventes[[#This Row],[Cde_Prdt]], tbl_Produits[Cde_Prdt], tbl_Produits[Coût Moyen Portion]), 0)</f>
        <v>0</v>
      </c>
      <c r="I4572" s="7">
        <f>tbl_Ventes[[#This Row],[Qté Vendue]] * tbl_Ventes[[#This Row],[CMP_par_portion]]</f>
        <v>0</v>
      </c>
      <c r="J4572" s="7">
        <f>tbl_Ventes[[#This Row],[CA ligne]] - tbl_Ventes[[#This Row],[Coût matière ligne]]</f>
        <v>0</v>
      </c>
      <c r="K4572" s="7" t="str">
        <f>IFERROR(INDEX(tbl_ProduitsRef[Famille], MATCH(tbl_Ventes[[#This Row],[Cde_Prdt]], tbl_Produits[Cde_Prdt], 0)), "")</f>
        <v/>
      </c>
    </row>
    <row r="4573" spans="1:11" x14ac:dyDescent="0.25">
      <c r="A4573" s="5"/>
      <c r="B4573" s="63" t="str">
        <f>IFERROR(TEXT(tbl_Ventes[[#This Row],[Date]],"mm-aaaa"),"")</f>
        <v>01-1900</v>
      </c>
      <c r="D4573" s="10" t="str">
        <f>IFERROR(
   INDEX(tbl_ProduitsRef[Cde_Prdt],MATCH(tbl_Ventes[[#This Row],[Produit]],tbl_ProduitsRef[Produit],0)),
   ""
)</f>
        <v/>
      </c>
      <c r="E4573" s="7">
        <v>0</v>
      </c>
      <c r="F4573" s="7" t="str">
        <f>IFERROR(
   INDEX(tbl_ProduitsRef[Prix Menu],MATCH(tbl_Ventes[[#This Row],[Produit]],tbl_ProduitsRef[Produit],0)),
   ""
)</f>
        <v/>
      </c>
      <c r="G4573" s="7">
        <f>tbl_Ventes[[#This Row],[Qté Vendue]] * IFERROR(_xlfn.XLOOKUP(tbl_Ventes[[#This Row],[Cde_Prdt]], tbl_Produits[Cde_Prdt], tbl_Produits[Prix Menu]), 0)</f>
        <v>0</v>
      </c>
      <c r="H4573" s="7">
        <f>IFERROR(_xlfn.XLOOKUP(tbl_Ventes[[#This Row],[Cde_Prdt]], tbl_Produits[Cde_Prdt], tbl_Produits[Coût Moyen Portion]), 0)</f>
        <v>0</v>
      </c>
      <c r="I4573" s="7">
        <f>tbl_Ventes[[#This Row],[Qté Vendue]] * tbl_Ventes[[#This Row],[CMP_par_portion]]</f>
        <v>0</v>
      </c>
      <c r="J4573" s="7">
        <f>tbl_Ventes[[#This Row],[CA ligne]] - tbl_Ventes[[#This Row],[Coût matière ligne]]</f>
        <v>0</v>
      </c>
      <c r="K4573" s="7" t="str">
        <f>IFERROR(INDEX(tbl_ProduitsRef[Famille], MATCH(tbl_Ventes[[#This Row],[Cde_Prdt]], tbl_Produits[Cde_Prdt], 0)), "")</f>
        <v/>
      </c>
    </row>
    <row r="4574" spans="1:11" x14ac:dyDescent="0.25">
      <c r="A4574" s="5"/>
      <c r="B4574" s="63" t="str">
        <f>IFERROR(TEXT(tbl_Ventes[[#This Row],[Date]],"mm-aaaa"),"")</f>
        <v>01-1900</v>
      </c>
      <c r="D4574" s="10" t="str">
        <f>IFERROR(
   INDEX(tbl_ProduitsRef[Cde_Prdt],MATCH(tbl_Ventes[[#This Row],[Produit]],tbl_ProduitsRef[Produit],0)),
   ""
)</f>
        <v/>
      </c>
      <c r="E4574" s="7">
        <v>0</v>
      </c>
      <c r="F4574" s="7" t="str">
        <f>IFERROR(
   INDEX(tbl_ProduitsRef[Prix Menu],MATCH(tbl_Ventes[[#This Row],[Produit]],tbl_ProduitsRef[Produit],0)),
   ""
)</f>
        <v/>
      </c>
      <c r="G4574" s="7">
        <f>tbl_Ventes[[#This Row],[Qté Vendue]] * IFERROR(_xlfn.XLOOKUP(tbl_Ventes[[#This Row],[Cde_Prdt]], tbl_Produits[Cde_Prdt], tbl_Produits[Prix Menu]), 0)</f>
        <v>0</v>
      </c>
      <c r="H4574" s="7">
        <f>IFERROR(_xlfn.XLOOKUP(tbl_Ventes[[#This Row],[Cde_Prdt]], tbl_Produits[Cde_Prdt], tbl_Produits[Coût Moyen Portion]), 0)</f>
        <v>0</v>
      </c>
      <c r="I4574" s="7">
        <f>tbl_Ventes[[#This Row],[Qté Vendue]] * tbl_Ventes[[#This Row],[CMP_par_portion]]</f>
        <v>0</v>
      </c>
      <c r="J4574" s="7">
        <f>tbl_Ventes[[#This Row],[CA ligne]] - tbl_Ventes[[#This Row],[Coût matière ligne]]</f>
        <v>0</v>
      </c>
      <c r="K4574" s="7" t="str">
        <f>IFERROR(INDEX(tbl_ProduitsRef[Famille], MATCH(tbl_Ventes[[#This Row],[Cde_Prdt]], tbl_Produits[Cde_Prdt], 0)), "")</f>
        <v/>
      </c>
    </row>
    <row r="4575" spans="1:11" x14ac:dyDescent="0.25">
      <c r="A4575" s="5"/>
      <c r="B4575" s="63" t="str">
        <f>IFERROR(TEXT(tbl_Ventes[[#This Row],[Date]],"mm-aaaa"),"")</f>
        <v>01-1900</v>
      </c>
      <c r="D4575" s="10" t="str">
        <f>IFERROR(
   INDEX(tbl_ProduitsRef[Cde_Prdt],MATCH(tbl_Ventes[[#This Row],[Produit]],tbl_ProduitsRef[Produit],0)),
   ""
)</f>
        <v/>
      </c>
      <c r="E4575" s="7">
        <v>0</v>
      </c>
      <c r="F4575" s="7" t="str">
        <f>IFERROR(
   INDEX(tbl_ProduitsRef[Prix Menu],MATCH(tbl_Ventes[[#This Row],[Produit]],tbl_ProduitsRef[Produit],0)),
   ""
)</f>
        <v/>
      </c>
      <c r="G4575" s="7">
        <f>tbl_Ventes[[#This Row],[Qté Vendue]] * IFERROR(_xlfn.XLOOKUP(tbl_Ventes[[#This Row],[Cde_Prdt]], tbl_Produits[Cde_Prdt], tbl_Produits[Prix Menu]), 0)</f>
        <v>0</v>
      </c>
      <c r="H4575" s="7">
        <f>IFERROR(_xlfn.XLOOKUP(tbl_Ventes[[#This Row],[Cde_Prdt]], tbl_Produits[Cde_Prdt], tbl_Produits[Coût Moyen Portion]), 0)</f>
        <v>0</v>
      </c>
      <c r="I4575" s="7">
        <f>tbl_Ventes[[#This Row],[Qté Vendue]] * tbl_Ventes[[#This Row],[CMP_par_portion]]</f>
        <v>0</v>
      </c>
      <c r="J4575" s="7">
        <f>tbl_Ventes[[#This Row],[CA ligne]] - tbl_Ventes[[#This Row],[Coût matière ligne]]</f>
        <v>0</v>
      </c>
      <c r="K4575" s="7" t="str">
        <f>IFERROR(INDEX(tbl_ProduitsRef[Famille], MATCH(tbl_Ventes[[#This Row],[Cde_Prdt]], tbl_Produits[Cde_Prdt], 0)), "")</f>
        <v/>
      </c>
    </row>
    <row r="4576" spans="1:11" x14ac:dyDescent="0.25">
      <c r="A4576" s="5"/>
      <c r="B4576" s="63" t="str">
        <f>IFERROR(TEXT(tbl_Ventes[[#This Row],[Date]],"mm-aaaa"),"")</f>
        <v>01-1900</v>
      </c>
      <c r="D4576" s="10" t="str">
        <f>IFERROR(
   INDEX(tbl_ProduitsRef[Cde_Prdt],MATCH(tbl_Ventes[[#This Row],[Produit]],tbl_ProduitsRef[Produit],0)),
   ""
)</f>
        <v/>
      </c>
      <c r="E4576" s="7">
        <v>0</v>
      </c>
      <c r="F4576" s="7" t="str">
        <f>IFERROR(
   INDEX(tbl_ProduitsRef[Prix Menu],MATCH(tbl_Ventes[[#This Row],[Produit]],tbl_ProduitsRef[Produit],0)),
   ""
)</f>
        <v/>
      </c>
      <c r="G4576" s="7">
        <f>tbl_Ventes[[#This Row],[Qté Vendue]] * IFERROR(_xlfn.XLOOKUP(tbl_Ventes[[#This Row],[Cde_Prdt]], tbl_Produits[Cde_Prdt], tbl_Produits[Prix Menu]), 0)</f>
        <v>0</v>
      </c>
      <c r="H4576" s="7">
        <f>IFERROR(_xlfn.XLOOKUP(tbl_Ventes[[#This Row],[Cde_Prdt]], tbl_Produits[Cde_Prdt], tbl_Produits[Coût Moyen Portion]), 0)</f>
        <v>0</v>
      </c>
      <c r="I4576" s="7">
        <f>tbl_Ventes[[#This Row],[Qté Vendue]] * tbl_Ventes[[#This Row],[CMP_par_portion]]</f>
        <v>0</v>
      </c>
      <c r="J4576" s="7">
        <f>tbl_Ventes[[#This Row],[CA ligne]] - tbl_Ventes[[#This Row],[Coût matière ligne]]</f>
        <v>0</v>
      </c>
      <c r="K4576" s="7" t="str">
        <f>IFERROR(INDEX(tbl_ProduitsRef[Famille], MATCH(tbl_Ventes[[#This Row],[Cde_Prdt]], tbl_Produits[Cde_Prdt], 0)), "")</f>
        <v/>
      </c>
    </row>
    <row r="4577" spans="1:11" x14ac:dyDescent="0.25">
      <c r="A4577" s="5"/>
      <c r="B4577" s="63" t="str">
        <f>IFERROR(TEXT(tbl_Ventes[[#This Row],[Date]],"mm-aaaa"),"")</f>
        <v>01-1900</v>
      </c>
      <c r="D4577" s="10" t="str">
        <f>IFERROR(
   INDEX(tbl_ProduitsRef[Cde_Prdt],MATCH(tbl_Ventes[[#This Row],[Produit]],tbl_ProduitsRef[Produit],0)),
   ""
)</f>
        <v/>
      </c>
      <c r="E4577" s="7">
        <v>0</v>
      </c>
      <c r="F4577" s="7" t="str">
        <f>IFERROR(
   INDEX(tbl_ProduitsRef[Prix Menu],MATCH(tbl_Ventes[[#This Row],[Produit]],tbl_ProduitsRef[Produit],0)),
   ""
)</f>
        <v/>
      </c>
      <c r="G4577" s="7">
        <f>tbl_Ventes[[#This Row],[Qté Vendue]] * IFERROR(_xlfn.XLOOKUP(tbl_Ventes[[#This Row],[Cde_Prdt]], tbl_Produits[Cde_Prdt], tbl_Produits[Prix Menu]), 0)</f>
        <v>0</v>
      </c>
      <c r="H4577" s="7">
        <f>IFERROR(_xlfn.XLOOKUP(tbl_Ventes[[#This Row],[Cde_Prdt]], tbl_Produits[Cde_Prdt], tbl_Produits[Coût Moyen Portion]), 0)</f>
        <v>0</v>
      </c>
      <c r="I4577" s="7">
        <f>tbl_Ventes[[#This Row],[Qté Vendue]] * tbl_Ventes[[#This Row],[CMP_par_portion]]</f>
        <v>0</v>
      </c>
      <c r="J4577" s="7">
        <f>tbl_Ventes[[#This Row],[CA ligne]] - tbl_Ventes[[#This Row],[Coût matière ligne]]</f>
        <v>0</v>
      </c>
      <c r="K4577" s="7" t="str">
        <f>IFERROR(INDEX(tbl_ProduitsRef[Famille], MATCH(tbl_Ventes[[#This Row],[Cde_Prdt]], tbl_Produits[Cde_Prdt], 0)), "")</f>
        <v/>
      </c>
    </row>
    <row r="4578" spans="1:11" x14ac:dyDescent="0.25">
      <c r="A4578" s="5"/>
      <c r="B4578" s="63" t="str">
        <f>IFERROR(TEXT(tbl_Ventes[[#This Row],[Date]],"mm-aaaa"),"")</f>
        <v>01-1900</v>
      </c>
      <c r="D4578" s="10" t="str">
        <f>IFERROR(
   INDEX(tbl_ProduitsRef[Cde_Prdt],MATCH(tbl_Ventes[[#This Row],[Produit]],tbl_ProduitsRef[Produit],0)),
   ""
)</f>
        <v/>
      </c>
      <c r="E4578" s="7">
        <v>0</v>
      </c>
      <c r="F4578" s="7" t="str">
        <f>IFERROR(
   INDEX(tbl_ProduitsRef[Prix Menu],MATCH(tbl_Ventes[[#This Row],[Produit]],tbl_ProduitsRef[Produit],0)),
   ""
)</f>
        <v/>
      </c>
      <c r="G4578" s="7">
        <f>tbl_Ventes[[#This Row],[Qté Vendue]] * IFERROR(_xlfn.XLOOKUP(tbl_Ventes[[#This Row],[Cde_Prdt]], tbl_Produits[Cde_Prdt], tbl_Produits[Prix Menu]), 0)</f>
        <v>0</v>
      </c>
      <c r="H4578" s="7">
        <f>IFERROR(_xlfn.XLOOKUP(tbl_Ventes[[#This Row],[Cde_Prdt]], tbl_Produits[Cde_Prdt], tbl_Produits[Coût Moyen Portion]), 0)</f>
        <v>0</v>
      </c>
      <c r="I4578" s="7">
        <f>tbl_Ventes[[#This Row],[Qté Vendue]] * tbl_Ventes[[#This Row],[CMP_par_portion]]</f>
        <v>0</v>
      </c>
      <c r="J4578" s="7">
        <f>tbl_Ventes[[#This Row],[CA ligne]] - tbl_Ventes[[#This Row],[Coût matière ligne]]</f>
        <v>0</v>
      </c>
      <c r="K4578" s="7" t="str">
        <f>IFERROR(INDEX(tbl_ProduitsRef[Famille], MATCH(tbl_Ventes[[#This Row],[Cde_Prdt]], tbl_Produits[Cde_Prdt], 0)), "")</f>
        <v/>
      </c>
    </row>
    <row r="4579" spans="1:11" x14ac:dyDescent="0.25">
      <c r="A4579" s="5"/>
      <c r="B4579" s="63" t="str">
        <f>IFERROR(TEXT(tbl_Ventes[[#This Row],[Date]],"mm-aaaa"),"")</f>
        <v>01-1900</v>
      </c>
      <c r="D4579" s="10" t="str">
        <f>IFERROR(
   INDEX(tbl_ProduitsRef[Cde_Prdt],MATCH(tbl_Ventes[[#This Row],[Produit]],tbl_ProduitsRef[Produit],0)),
   ""
)</f>
        <v/>
      </c>
      <c r="E4579" s="7">
        <v>0</v>
      </c>
      <c r="F4579" s="7" t="str">
        <f>IFERROR(
   INDEX(tbl_ProduitsRef[Prix Menu],MATCH(tbl_Ventes[[#This Row],[Produit]],tbl_ProduitsRef[Produit],0)),
   ""
)</f>
        <v/>
      </c>
      <c r="G4579" s="7">
        <f>tbl_Ventes[[#This Row],[Qté Vendue]] * IFERROR(_xlfn.XLOOKUP(tbl_Ventes[[#This Row],[Cde_Prdt]], tbl_Produits[Cde_Prdt], tbl_Produits[Prix Menu]), 0)</f>
        <v>0</v>
      </c>
      <c r="H4579" s="7">
        <f>IFERROR(_xlfn.XLOOKUP(tbl_Ventes[[#This Row],[Cde_Prdt]], tbl_Produits[Cde_Prdt], tbl_Produits[Coût Moyen Portion]), 0)</f>
        <v>0</v>
      </c>
      <c r="I4579" s="7">
        <f>tbl_Ventes[[#This Row],[Qté Vendue]] * tbl_Ventes[[#This Row],[CMP_par_portion]]</f>
        <v>0</v>
      </c>
      <c r="J4579" s="7">
        <f>tbl_Ventes[[#This Row],[CA ligne]] - tbl_Ventes[[#This Row],[Coût matière ligne]]</f>
        <v>0</v>
      </c>
      <c r="K4579" s="7" t="str">
        <f>IFERROR(INDEX(tbl_ProduitsRef[Famille], MATCH(tbl_Ventes[[#This Row],[Cde_Prdt]], tbl_Produits[Cde_Prdt], 0)), "")</f>
        <v/>
      </c>
    </row>
    <row r="4580" spans="1:11" x14ac:dyDescent="0.25">
      <c r="A4580" s="5"/>
      <c r="B4580" s="63" t="str">
        <f>IFERROR(TEXT(tbl_Ventes[[#This Row],[Date]],"mm-aaaa"),"")</f>
        <v>01-1900</v>
      </c>
      <c r="D4580" s="10" t="str">
        <f>IFERROR(
   INDEX(tbl_ProduitsRef[Cde_Prdt],MATCH(tbl_Ventes[[#This Row],[Produit]],tbl_ProduitsRef[Produit],0)),
   ""
)</f>
        <v/>
      </c>
      <c r="E4580" s="7">
        <v>0</v>
      </c>
      <c r="F4580" s="7" t="str">
        <f>IFERROR(
   INDEX(tbl_ProduitsRef[Prix Menu],MATCH(tbl_Ventes[[#This Row],[Produit]],tbl_ProduitsRef[Produit],0)),
   ""
)</f>
        <v/>
      </c>
      <c r="G4580" s="7">
        <f>tbl_Ventes[[#This Row],[Qté Vendue]] * IFERROR(_xlfn.XLOOKUP(tbl_Ventes[[#This Row],[Cde_Prdt]], tbl_Produits[Cde_Prdt], tbl_Produits[Prix Menu]), 0)</f>
        <v>0</v>
      </c>
      <c r="H4580" s="7">
        <f>IFERROR(_xlfn.XLOOKUP(tbl_Ventes[[#This Row],[Cde_Prdt]], tbl_Produits[Cde_Prdt], tbl_Produits[Coût Moyen Portion]), 0)</f>
        <v>0</v>
      </c>
      <c r="I4580" s="7">
        <f>tbl_Ventes[[#This Row],[Qté Vendue]] * tbl_Ventes[[#This Row],[CMP_par_portion]]</f>
        <v>0</v>
      </c>
      <c r="J4580" s="7">
        <f>tbl_Ventes[[#This Row],[CA ligne]] - tbl_Ventes[[#This Row],[Coût matière ligne]]</f>
        <v>0</v>
      </c>
      <c r="K4580" s="7" t="str">
        <f>IFERROR(INDEX(tbl_ProduitsRef[Famille], MATCH(tbl_Ventes[[#This Row],[Cde_Prdt]], tbl_Produits[Cde_Prdt], 0)), "")</f>
        <v/>
      </c>
    </row>
    <row r="4581" spans="1:11" x14ac:dyDescent="0.25">
      <c r="A4581" s="5"/>
      <c r="B4581" s="63" t="str">
        <f>IFERROR(TEXT(tbl_Ventes[[#This Row],[Date]],"mm-aaaa"),"")</f>
        <v>01-1900</v>
      </c>
      <c r="D4581" s="10" t="str">
        <f>IFERROR(
   INDEX(tbl_ProduitsRef[Cde_Prdt],MATCH(tbl_Ventes[[#This Row],[Produit]],tbl_ProduitsRef[Produit],0)),
   ""
)</f>
        <v/>
      </c>
      <c r="E4581" s="7">
        <v>0</v>
      </c>
      <c r="F4581" s="7" t="str">
        <f>IFERROR(
   INDEX(tbl_ProduitsRef[Prix Menu],MATCH(tbl_Ventes[[#This Row],[Produit]],tbl_ProduitsRef[Produit],0)),
   ""
)</f>
        <v/>
      </c>
      <c r="G4581" s="7">
        <f>tbl_Ventes[[#This Row],[Qté Vendue]] * IFERROR(_xlfn.XLOOKUP(tbl_Ventes[[#This Row],[Cde_Prdt]], tbl_Produits[Cde_Prdt], tbl_Produits[Prix Menu]), 0)</f>
        <v>0</v>
      </c>
      <c r="H4581" s="7">
        <f>IFERROR(_xlfn.XLOOKUP(tbl_Ventes[[#This Row],[Cde_Prdt]], tbl_Produits[Cde_Prdt], tbl_Produits[Coût Moyen Portion]), 0)</f>
        <v>0</v>
      </c>
      <c r="I4581" s="7">
        <f>tbl_Ventes[[#This Row],[Qté Vendue]] * tbl_Ventes[[#This Row],[CMP_par_portion]]</f>
        <v>0</v>
      </c>
      <c r="J4581" s="7">
        <f>tbl_Ventes[[#This Row],[CA ligne]] - tbl_Ventes[[#This Row],[Coût matière ligne]]</f>
        <v>0</v>
      </c>
      <c r="K4581" s="7" t="str">
        <f>IFERROR(INDEX(tbl_ProduitsRef[Famille], MATCH(tbl_Ventes[[#This Row],[Cde_Prdt]], tbl_Produits[Cde_Prdt], 0)), "")</f>
        <v/>
      </c>
    </row>
    <row r="4582" spans="1:11" x14ac:dyDescent="0.25">
      <c r="A4582" s="5"/>
      <c r="B4582" s="63" t="str">
        <f>IFERROR(TEXT(tbl_Ventes[[#This Row],[Date]],"mm-aaaa"),"")</f>
        <v>01-1900</v>
      </c>
      <c r="D4582" s="10" t="str">
        <f>IFERROR(
   INDEX(tbl_ProduitsRef[Cde_Prdt],MATCH(tbl_Ventes[[#This Row],[Produit]],tbl_ProduitsRef[Produit],0)),
   ""
)</f>
        <v/>
      </c>
      <c r="E4582" s="7">
        <v>0</v>
      </c>
      <c r="F4582" s="7" t="str">
        <f>IFERROR(
   INDEX(tbl_ProduitsRef[Prix Menu],MATCH(tbl_Ventes[[#This Row],[Produit]],tbl_ProduitsRef[Produit],0)),
   ""
)</f>
        <v/>
      </c>
      <c r="G4582" s="7">
        <f>tbl_Ventes[[#This Row],[Qté Vendue]] * IFERROR(_xlfn.XLOOKUP(tbl_Ventes[[#This Row],[Cde_Prdt]], tbl_Produits[Cde_Prdt], tbl_Produits[Prix Menu]), 0)</f>
        <v>0</v>
      </c>
      <c r="H4582" s="7">
        <f>IFERROR(_xlfn.XLOOKUP(tbl_Ventes[[#This Row],[Cde_Prdt]], tbl_Produits[Cde_Prdt], tbl_Produits[Coût Moyen Portion]), 0)</f>
        <v>0</v>
      </c>
      <c r="I4582" s="7">
        <f>tbl_Ventes[[#This Row],[Qté Vendue]] * tbl_Ventes[[#This Row],[CMP_par_portion]]</f>
        <v>0</v>
      </c>
      <c r="J4582" s="7">
        <f>tbl_Ventes[[#This Row],[CA ligne]] - tbl_Ventes[[#This Row],[Coût matière ligne]]</f>
        <v>0</v>
      </c>
      <c r="K4582" s="7" t="str">
        <f>IFERROR(INDEX(tbl_ProduitsRef[Famille], MATCH(tbl_Ventes[[#This Row],[Cde_Prdt]], tbl_Produits[Cde_Prdt], 0)), "")</f>
        <v/>
      </c>
    </row>
    <row r="4583" spans="1:11" x14ac:dyDescent="0.25">
      <c r="A4583" s="5"/>
      <c r="B4583" s="63" t="str">
        <f>IFERROR(TEXT(tbl_Ventes[[#This Row],[Date]],"mm-aaaa"),"")</f>
        <v>01-1900</v>
      </c>
      <c r="D4583" s="10" t="str">
        <f>IFERROR(
   INDEX(tbl_ProduitsRef[Cde_Prdt],MATCH(tbl_Ventes[[#This Row],[Produit]],tbl_ProduitsRef[Produit],0)),
   ""
)</f>
        <v/>
      </c>
      <c r="E4583" s="7">
        <v>0</v>
      </c>
      <c r="F4583" s="7" t="str">
        <f>IFERROR(
   INDEX(tbl_ProduitsRef[Prix Menu],MATCH(tbl_Ventes[[#This Row],[Produit]],tbl_ProduitsRef[Produit],0)),
   ""
)</f>
        <v/>
      </c>
      <c r="G4583" s="7">
        <f>tbl_Ventes[[#This Row],[Qté Vendue]] * IFERROR(_xlfn.XLOOKUP(tbl_Ventes[[#This Row],[Cde_Prdt]], tbl_Produits[Cde_Prdt], tbl_Produits[Prix Menu]), 0)</f>
        <v>0</v>
      </c>
      <c r="H4583" s="7">
        <f>IFERROR(_xlfn.XLOOKUP(tbl_Ventes[[#This Row],[Cde_Prdt]], tbl_Produits[Cde_Prdt], tbl_Produits[Coût Moyen Portion]), 0)</f>
        <v>0</v>
      </c>
      <c r="I4583" s="7">
        <f>tbl_Ventes[[#This Row],[Qté Vendue]] * tbl_Ventes[[#This Row],[CMP_par_portion]]</f>
        <v>0</v>
      </c>
      <c r="J4583" s="7">
        <f>tbl_Ventes[[#This Row],[CA ligne]] - tbl_Ventes[[#This Row],[Coût matière ligne]]</f>
        <v>0</v>
      </c>
      <c r="K4583" s="7" t="str">
        <f>IFERROR(INDEX(tbl_ProduitsRef[Famille], MATCH(tbl_Ventes[[#This Row],[Cde_Prdt]], tbl_Produits[Cde_Prdt], 0)), "")</f>
        <v/>
      </c>
    </row>
    <row r="4584" spans="1:11" x14ac:dyDescent="0.25">
      <c r="A4584" s="5"/>
      <c r="B4584" s="63" t="str">
        <f>IFERROR(TEXT(tbl_Ventes[[#This Row],[Date]],"mm-aaaa"),"")</f>
        <v>01-1900</v>
      </c>
      <c r="D4584" s="10" t="str">
        <f>IFERROR(
   INDEX(tbl_ProduitsRef[Cde_Prdt],MATCH(tbl_Ventes[[#This Row],[Produit]],tbl_ProduitsRef[Produit],0)),
   ""
)</f>
        <v/>
      </c>
      <c r="E4584" s="7">
        <v>0</v>
      </c>
      <c r="F4584" s="7" t="str">
        <f>IFERROR(
   INDEX(tbl_ProduitsRef[Prix Menu],MATCH(tbl_Ventes[[#This Row],[Produit]],tbl_ProduitsRef[Produit],0)),
   ""
)</f>
        <v/>
      </c>
      <c r="G4584" s="7">
        <f>tbl_Ventes[[#This Row],[Qté Vendue]] * IFERROR(_xlfn.XLOOKUP(tbl_Ventes[[#This Row],[Cde_Prdt]], tbl_Produits[Cde_Prdt], tbl_Produits[Prix Menu]), 0)</f>
        <v>0</v>
      </c>
      <c r="H4584" s="7">
        <f>IFERROR(_xlfn.XLOOKUP(tbl_Ventes[[#This Row],[Cde_Prdt]], tbl_Produits[Cde_Prdt], tbl_Produits[Coût Moyen Portion]), 0)</f>
        <v>0</v>
      </c>
      <c r="I4584" s="7">
        <f>tbl_Ventes[[#This Row],[Qté Vendue]] * tbl_Ventes[[#This Row],[CMP_par_portion]]</f>
        <v>0</v>
      </c>
      <c r="J4584" s="7">
        <f>tbl_Ventes[[#This Row],[CA ligne]] - tbl_Ventes[[#This Row],[Coût matière ligne]]</f>
        <v>0</v>
      </c>
      <c r="K4584" s="7" t="str">
        <f>IFERROR(INDEX(tbl_ProduitsRef[Famille], MATCH(tbl_Ventes[[#This Row],[Cde_Prdt]], tbl_Produits[Cde_Prdt], 0)), "")</f>
        <v/>
      </c>
    </row>
    <row r="4585" spans="1:11" x14ac:dyDescent="0.25">
      <c r="A4585" s="5"/>
      <c r="B4585" s="63" t="str">
        <f>IFERROR(TEXT(tbl_Ventes[[#This Row],[Date]],"mm-aaaa"),"")</f>
        <v>01-1900</v>
      </c>
      <c r="D4585" s="10" t="str">
        <f>IFERROR(
   INDEX(tbl_ProduitsRef[Cde_Prdt],MATCH(tbl_Ventes[[#This Row],[Produit]],tbl_ProduitsRef[Produit],0)),
   ""
)</f>
        <v/>
      </c>
      <c r="E4585" s="7">
        <v>0</v>
      </c>
      <c r="F4585" s="7" t="str">
        <f>IFERROR(
   INDEX(tbl_ProduitsRef[Prix Menu],MATCH(tbl_Ventes[[#This Row],[Produit]],tbl_ProduitsRef[Produit],0)),
   ""
)</f>
        <v/>
      </c>
      <c r="G4585" s="7">
        <f>tbl_Ventes[[#This Row],[Qté Vendue]] * IFERROR(_xlfn.XLOOKUP(tbl_Ventes[[#This Row],[Cde_Prdt]], tbl_Produits[Cde_Prdt], tbl_Produits[Prix Menu]), 0)</f>
        <v>0</v>
      </c>
      <c r="H4585" s="7">
        <f>IFERROR(_xlfn.XLOOKUP(tbl_Ventes[[#This Row],[Cde_Prdt]], tbl_Produits[Cde_Prdt], tbl_Produits[Coût Moyen Portion]), 0)</f>
        <v>0</v>
      </c>
      <c r="I4585" s="7">
        <f>tbl_Ventes[[#This Row],[Qté Vendue]] * tbl_Ventes[[#This Row],[CMP_par_portion]]</f>
        <v>0</v>
      </c>
      <c r="J4585" s="7">
        <f>tbl_Ventes[[#This Row],[CA ligne]] - tbl_Ventes[[#This Row],[Coût matière ligne]]</f>
        <v>0</v>
      </c>
      <c r="K4585" s="7" t="str">
        <f>IFERROR(INDEX(tbl_ProduitsRef[Famille], MATCH(tbl_Ventes[[#This Row],[Cde_Prdt]], tbl_Produits[Cde_Prdt], 0)), "")</f>
        <v/>
      </c>
    </row>
    <row r="4586" spans="1:11" x14ac:dyDescent="0.25">
      <c r="A4586" s="5"/>
      <c r="B4586" s="63" t="str">
        <f>IFERROR(TEXT(tbl_Ventes[[#This Row],[Date]],"mm-aaaa"),"")</f>
        <v>01-1900</v>
      </c>
      <c r="D4586" s="10" t="str">
        <f>IFERROR(
   INDEX(tbl_ProduitsRef[Cde_Prdt],MATCH(tbl_Ventes[[#This Row],[Produit]],tbl_ProduitsRef[Produit],0)),
   ""
)</f>
        <v/>
      </c>
      <c r="E4586" s="7">
        <v>0</v>
      </c>
      <c r="F4586" s="7" t="str">
        <f>IFERROR(
   INDEX(tbl_ProduitsRef[Prix Menu],MATCH(tbl_Ventes[[#This Row],[Produit]],tbl_ProduitsRef[Produit],0)),
   ""
)</f>
        <v/>
      </c>
      <c r="G4586" s="7">
        <f>tbl_Ventes[[#This Row],[Qté Vendue]] * IFERROR(_xlfn.XLOOKUP(tbl_Ventes[[#This Row],[Cde_Prdt]], tbl_Produits[Cde_Prdt], tbl_Produits[Prix Menu]), 0)</f>
        <v>0</v>
      </c>
      <c r="H4586" s="7">
        <f>IFERROR(_xlfn.XLOOKUP(tbl_Ventes[[#This Row],[Cde_Prdt]], tbl_Produits[Cde_Prdt], tbl_Produits[Coût Moyen Portion]), 0)</f>
        <v>0</v>
      </c>
      <c r="I4586" s="7">
        <f>tbl_Ventes[[#This Row],[Qté Vendue]] * tbl_Ventes[[#This Row],[CMP_par_portion]]</f>
        <v>0</v>
      </c>
      <c r="J4586" s="7">
        <f>tbl_Ventes[[#This Row],[CA ligne]] - tbl_Ventes[[#This Row],[Coût matière ligne]]</f>
        <v>0</v>
      </c>
      <c r="K4586" s="7" t="str">
        <f>IFERROR(INDEX(tbl_ProduitsRef[Famille], MATCH(tbl_Ventes[[#This Row],[Cde_Prdt]], tbl_Produits[Cde_Prdt], 0)), "")</f>
        <v/>
      </c>
    </row>
    <row r="4587" spans="1:11" x14ac:dyDescent="0.25">
      <c r="A4587" s="5"/>
      <c r="B4587" s="63" t="str">
        <f>IFERROR(TEXT(tbl_Ventes[[#This Row],[Date]],"mm-aaaa"),"")</f>
        <v>01-1900</v>
      </c>
      <c r="D4587" s="10" t="str">
        <f>IFERROR(
   INDEX(tbl_ProduitsRef[Cde_Prdt],MATCH(tbl_Ventes[[#This Row],[Produit]],tbl_ProduitsRef[Produit],0)),
   ""
)</f>
        <v/>
      </c>
      <c r="E4587" s="7">
        <v>0</v>
      </c>
      <c r="F4587" s="7" t="str">
        <f>IFERROR(
   INDEX(tbl_ProduitsRef[Prix Menu],MATCH(tbl_Ventes[[#This Row],[Produit]],tbl_ProduitsRef[Produit],0)),
   ""
)</f>
        <v/>
      </c>
      <c r="G4587" s="7">
        <f>tbl_Ventes[[#This Row],[Qté Vendue]] * IFERROR(_xlfn.XLOOKUP(tbl_Ventes[[#This Row],[Cde_Prdt]], tbl_Produits[Cde_Prdt], tbl_Produits[Prix Menu]), 0)</f>
        <v>0</v>
      </c>
      <c r="H4587" s="7">
        <f>IFERROR(_xlfn.XLOOKUP(tbl_Ventes[[#This Row],[Cde_Prdt]], tbl_Produits[Cde_Prdt], tbl_Produits[Coût Moyen Portion]), 0)</f>
        <v>0</v>
      </c>
      <c r="I4587" s="7">
        <f>tbl_Ventes[[#This Row],[Qté Vendue]] * tbl_Ventes[[#This Row],[CMP_par_portion]]</f>
        <v>0</v>
      </c>
      <c r="J4587" s="7">
        <f>tbl_Ventes[[#This Row],[CA ligne]] - tbl_Ventes[[#This Row],[Coût matière ligne]]</f>
        <v>0</v>
      </c>
      <c r="K4587" s="7" t="str">
        <f>IFERROR(INDEX(tbl_ProduitsRef[Famille], MATCH(tbl_Ventes[[#This Row],[Cde_Prdt]], tbl_Produits[Cde_Prdt], 0)), "")</f>
        <v/>
      </c>
    </row>
    <row r="4588" spans="1:11" x14ac:dyDescent="0.25">
      <c r="A4588" s="5"/>
      <c r="B4588" s="63" t="str">
        <f>IFERROR(TEXT(tbl_Ventes[[#This Row],[Date]],"mm-aaaa"),"")</f>
        <v>01-1900</v>
      </c>
      <c r="D4588" s="10" t="str">
        <f>IFERROR(
   INDEX(tbl_ProduitsRef[Cde_Prdt],MATCH(tbl_Ventes[[#This Row],[Produit]],tbl_ProduitsRef[Produit],0)),
   ""
)</f>
        <v/>
      </c>
      <c r="E4588" s="7">
        <v>0</v>
      </c>
      <c r="F4588" s="7" t="str">
        <f>IFERROR(
   INDEX(tbl_ProduitsRef[Prix Menu],MATCH(tbl_Ventes[[#This Row],[Produit]],tbl_ProduitsRef[Produit],0)),
   ""
)</f>
        <v/>
      </c>
      <c r="G4588" s="7">
        <f>tbl_Ventes[[#This Row],[Qté Vendue]] * IFERROR(_xlfn.XLOOKUP(tbl_Ventes[[#This Row],[Cde_Prdt]], tbl_Produits[Cde_Prdt], tbl_Produits[Prix Menu]), 0)</f>
        <v>0</v>
      </c>
      <c r="H4588" s="7">
        <f>IFERROR(_xlfn.XLOOKUP(tbl_Ventes[[#This Row],[Cde_Prdt]], tbl_Produits[Cde_Prdt], tbl_Produits[Coût Moyen Portion]), 0)</f>
        <v>0</v>
      </c>
      <c r="I4588" s="7">
        <f>tbl_Ventes[[#This Row],[Qté Vendue]] * tbl_Ventes[[#This Row],[CMP_par_portion]]</f>
        <v>0</v>
      </c>
      <c r="J4588" s="7">
        <f>tbl_Ventes[[#This Row],[CA ligne]] - tbl_Ventes[[#This Row],[Coût matière ligne]]</f>
        <v>0</v>
      </c>
      <c r="K4588" s="7" t="str">
        <f>IFERROR(INDEX(tbl_ProduitsRef[Famille], MATCH(tbl_Ventes[[#This Row],[Cde_Prdt]], tbl_Produits[Cde_Prdt], 0)), "")</f>
        <v/>
      </c>
    </row>
    <row r="4589" spans="1:11" x14ac:dyDescent="0.25">
      <c r="A4589" s="5"/>
      <c r="B4589" s="63" t="str">
        <f>IFERROR(TEXT(tbl_Ventes[[#This Row],[Date]],"mm-aaaa"),"")</f>
        <v>01-1900</v>
      </c>
      <c r="D4589" s="10" t="str">
        <f>IFERROR(
   INDEX(tbl_ProduitsRef[Cde_Prdt],MATCH(tbl_Ventes[[#This Row],[Produit]],tbl_ProduitsRef[Produit],0)),
   ""
)</f>
        <v/>
      </c>
      <c r="E4589" s="7">
        <v>0</v>
      </c>
      <c r="F4589" s="7" t="str">
        <f>IFERROR(
   INDEX(tbl_ProduitsRef[Prix Menu],MATCH(tbl_Ventes[[#This Row],[Produit]],tbl_ProduitsRef[Produit],0)),
   ""
)</f>
        <v/>
      </c>
      <c r="G4589" s="7">
        <f>tbl_Ventes[[#This Row],[Qté Vendue]] * IFERROR(_xlfn.XLOOKUP(tbl_Ventes[[#This Row],[Cde_Prdt]], tbl_Produits[Cde_Prdt], tbl_Produits[Prix Menu]), 0)</f>
        <v>0</v>
      </c>
      <c r="H4589" s="7">
        <f>IFERROR(_xlfn.XLOOKUP(tbl_Ventes[[#This Row],[Cde_Prdt]], tbl_Produits[Cde_Prdt], tbl_Produits[Coût Moyen Portion]), 0)</f>
        <v>0</v>
      </c>
      <c r="I4589" s="7">
        <f>tbl_Ventes[[#This Row],[Qté Vendue]] * tbl_Ventes[[#This Row],[CMP_par_portion]]</f>
        <v>0</v>
      </c>
      <c r="J4589" s="7">
        <f>tbl_Ventes[[#This Row],[CA ligne]] - tbl_Ventes[[#This Row],[Coût matière ligne]]</f>
        <v>0</v>
      </c>
      <c r="K4589" s="7" t="str">
        <f>IFERROR(INDEX(tbl_ProduitsRef[Famille], MATCH(tbl_Ventes[[#This Row],[Cde_Prdt]], tbl_Produits[Cde_Prdt], 0)), "")</f>
        <v/>
      </c>
    </row>
    <row r="4590" spans="1:11" x14ac:dyDescent="0.25">
      <c r="A4590" s="5"/>
      <c r="B4590" s="63" t="str">
        <f>IFERROR(TEXT(tbl_Ventes[[#This Row],[Date]],"mm-aaaa"),"")</f>
        <v>01-1900</v>
      </c>
      <c r="D4590" s="10" t="str">
        <f>IFERROR(
   INDEX(tbl_ProduitsRef[Cde_Prdt],MATCH(tbl_Ventes[[#This Row],[Produit]],tbl_ProduitsRef[Produit],0)),
   ""
)</f>
        <v/>
      </c>
      <c r="E4590" s="7">
        <v>0</v>
      </c>
      <c r="F4590" s="7" t="str">
        <f>IFERROR(
   INDEX(tbl_ProduitsRef[Prix Menu],MATCH(tbl_Ventes[[#This Row],[Produit]],tbl_ProduitsRef[Produit],0)),
   ""
)</f>
        <v/>
      </c>
      <c r="G4590" s="7">
        <f>tbl_Ventes[[#This Row],[Qté Vendue]] * IFERROR(_xlfn.XLOOKUP(tbl_Ventes[[#This Row],[Cde_Prdt]], tbl_Produits[Cde_Prdt], tbl_Produits[Prix Menu]), 0)</f>
        <v>0</v>
      </c>
      <c r="H4590" s="7">
        <f>IFERROR(_xlfn.XLOOKUP(tbl_Ventes[[#This Row],[Cde_Prdt]], tbl_Produits[Cde_Prdt], tbl_Produits[Coût Moyen Portion]), 0)</f>
        <v>0</v>
      </c>
      <c r="I4590" s="7">
        <f>tbl_Ventes[[#This Row],[Qté Vendue]] * tbl_Ventes[[#This Row],[CMP_par_portion]]</f>
        <v>0</v>
      </c>
      <c r="J4590" s="7">
        <f>tbl_Ventes[[#This Row],[CA ligne]] - tbl_Ventes[[#This Row],[Coût matière ligne]]</f>
        <v>0</v>
      </c>
      <c r="K4590" s="7" t="str">
        <f>IFERROR(INDEX(tbl_ProduitsRef[Famille], MATCH(tbl_Ventes[[#This Row],[Cde_Prdt]], tbl_Produits[Cde_Prdt], 0)), "")</f>
        <v/>
      </c>
    </row>
    <row r="4591" spans="1:11" x14ac:dyDescent="0.25">
      <c r="A4591" s="5"/>
      <c r="B4591" s="63" t="str">
        <f>IFERROR(TEXT(tbl_Ventes[[#This Row],[Date]],"mm-aaaa"),"")</f>
        <v>01-1900</v>
      </c>
      <c r="D4591" s="10" t="str">
        <f>IFERROR(
   INDEX(tbl_ProduitsRef[Cde_Prdt],MATCH(tbl_Ventes[[#This Row],[Produit]],tbl_ProduitsRef[Produit],0)),
   ""
)</f>
        <v/>
      </c>
      <c r="E4591" s="7">
        <v>0</v>
      </c>
      <c r="F4591" s="7" t="str">
        <f>IFERROR(
   INDEX(tbl_ProduitsRef[Prix Menu],MATCH(tbl_Ventes[[#This Row],[Produit]],tbl_ProduitsRef[Produit],0)),
   ""
)</f>
        <v/>
      </c>
      <c r="G4591" s="7">
        <f>tbl_Ventes[[#This Row],[Qté Vendue]] * IFERROR(_xlfn.XLOOKUP(tbl_Ventes[[#This Row],[Cde_Prdt]], tbl_Produits[Cde_Prdt], tbl_Produits[Prix Menu]), 0)</f>
        <v>0</v>
      </c>
      <c r="H4591" s="7">
        <f>IFERROR(_xlfn.XLOOKUP(tbl_Ventes[[#This Row],[Cde_Prdt]], tbl_Produits[Cde_Prdt], tbl_Produits[Coût Moyen Portion]), 0)</f>
        <v>0</v>
      </c>
      <c r="I4591" s="7">
        <f>tbl_Ventes[[#This Row],[Qté Vendue]] * tbl_Ventes[[#This Row],[CMP_par_portion]]</f>
        <v>0</v>
      </c>
      <c r="J4591" s="7">
        <f>tbl_Ventes[[#This Row],[CA ligne]] - tbl_Ventes[[#This Row],[Coût matière ligne]]</f>
        <v>0</v>
      </c>
      <c r="K4591" s="7" t="str">
        <f>IFERROR(INDEX(tbl_ProduitsRef[Famille], MATCH(tbl_Ventes[[#This Row],[Cde_Prdt]], tbl_Produits[Cde_Prdt], 0)), "")</f>
        <v/>
      </c>
    </row>
    <row r="4592" spans="1:11" x14ac:dyDescent="0.25">
      <c r="A4592" s="5"/>
      <c r="B4592" s="63" t="str">
        <f>IFERROR(TEXT(tbl_Ventes[[#This Row],[Date]],"mm-aaaa"),"")</f>
        <v>01-1900</v>
      </c>
      <c r="D4592" s="10" t="str">
        <f>IFERROR(
   INDEX(tbl_ProduitsRef[Cde_Prdt],MATCH(tbl_Ventes[[#This Row],[Produit]],tbl_ProduitsRef[Produit],0)),
   ""
)</f>
        <v/>
      </c>
      <c r="E4592" s="7">
        <v>0</v>
      </c>
      <c r="F4592" s="7" t="str">
        <f>IFERROR(
   INDEX(tbl_ProduitsRef[Prix Menu],MATCH(tbl_Ventes[[#This Row],[Produit]],tbl_ProduitsRef[Produit],0)),
   ""
)</f>
        <v/>
      </c>
      <c r="G4592" s="7">
        <f>tbl_Ventes[[#This Row],[Qté Vendue]] * IFERROR(_xlfn.XLOOKUP(tbl_Ventes[[#This Row],[Cde_Prdt]], tbl_Produits[Cde_Prdt], tbl_Produits[Prix Menu]), 0)</f>
        <v>0</v>
      </c>
      <c r="H4592" s="7">
        <f>IFERROR(_xlfn.XLOOKUP(tbl_Ventes[[#This Row],[Cde_Prdt]], tbl_Produits[Cde_Prdt], tbl_Produits[Coût Moyen Portion]), 0)</f>
        <v>0</v>
      </c>
      <c r="I4592" s="7">
        <f>tbl_Ventes[[#This Row],[Qté Vendue]] * tbl_Ventes[[#This Row],[CMP_par_portion]]</f>
        <v>0</v>
      </c>
      <c r="J4592" s="7">
        <f>tbl_Ventes[[#This Row],[CA ligne]] - tbl_Ventes[[#This Row],[Coût matière ligne]]</f>
        <v>0</v>
      </c>
      <c r="K4592" s="7" t="str">
        <f>IFERROR(INDEX(tbl_ProduitsRef[Famille], MATCH(tbl_Ventes[[#This Row],[Cde_Prdt]], tbl_Produits[Cde_Prdt], 0)), "")</f>
        <v/>
      </c>
    </row>
    <row r="4593" spans="1:11" x14ac:dyDescent="0.25">
      <c r="A4593" s="5"/>
      <c r="B4593" s="63" t="str">
        <f>IFERROR(TEXT(tbl_Ventes[[#This Row],[Date]],"mm-aaaa"),"")</f>
        <v>01-1900</v>
      </c>
      <c r="D4593" s="10" t="str">
        <f>IFERROR(
   INDEX(tbl_ProduitsRef[Cde_Prdt],MATCH(tbl_Ventes[[#This Row],[Produit]],tbl_ProduitsRef[Produit],0)),
   ""
)</f>
        <v/>
      </c>
      <c r="E4593" s="7">
        <v>0</v>
      </c>
      <c r="F4593" s="7" t="str">
        <f>IFERROR(
   INDEX(tbl_ProduitsRef[Prix Menu],MATCH(tbl_Ventes[[#This Row],[Produit]],tbl_ProduitsRef[Produit],0)),
   ""
)</f>
        <v/>
      </c>
      <c r="G4593" s="7">
        <f>tbl_Ventes[[#This Row],[Qté Vendue]] * IFERROR(_xlfn.XLOOKUP(tbl_Ventes[[#This Row],[Cde_Prdt]], tbl_Produits[Cde_Prdt], tbl_Produits[Prix Menu]), 0)</f>
        <v>0</v>
      </c>
      <c r="H4593" s="7">
        <f>IFERROR(_xlfn.XLOOKUP(tbl_Ventes[[#This Row],[Cde_Prdt]], tbl_Produits[Cde_Prdt], tbl_Produits[Coût Moyen Portion]), 0)</f>
        <v>0</v>
      </c>
      <c r="I4593" s="7">
        <f>tbl_Ventes[[#This Row],[Qté Vendue]] * tbl_Ventes[[#This Row],[CMP_par_portion]]</f>
        <v>0</v>
      </c>
      <c r="J4593" s="7">
        <f>tbl_Ventes[[#This Row],[CA ligne]] - tbl_Ventes[[#This Row],[Coût matière ligne]]</f>
        <v>0</v>
      </c>
      <c r="K4593" s="7" t="str">
        <f>IFERROR(INDEX(tbl_ProduitsRef[Famille], MATCH(tbl_Ventes[[#This Row],[Cde_Prdt]], tbl_Produits[Cde_Prdt], 0)), "")</f>
        <v/>
      </c>
    </row>
    <row r="4594" spans="1:11" x14ac:dyDescent="0.25">
      <c r="A4594" s="5"/>
      <c r="B4594" s="63" t="str">
        <f>IFERROR(TEXT(tbl_Ventes[[#This Row],[Date]],"mm-aaaa"),"")</f>
        <v>01-1900</v>
      </c>
      <c r="D4594" s="10" t="str">
        <f>IFERROR(
   INDEX(tbl_ProduitsRef[Cde_Prdt],MATCH(tbl_Ventes[[#This Row],[Produit]],tbl_ProduitsRef[Produit],0)),
   ""
)</f>
        <v/>
      </c>
      <c r="E4594" s="7">
        <v>0</v>
      </c>
      <c r="F4594" s="7" t="str">
        <f>IFERROR(
   INDEX(tbl_ProduitsRef[Prix Menu],MATCH(tbl_Ventes[[#This Row],[Produit]],tbl_ProduitsRef[Produit],0)),
   ""
)</f>
        <v/>
      </c>
      <c r="G4594" s="7">
        <f>tbl_Ventes[[#This Row],[Qté Vendue]] * IFERROR(_xlfn.XLOOKUP(tbl_Ventes[[#This Row],[Cde_Prdt]], tbl_Produits[Cde_Prdt], tbl_Produits[Prix Menu]), 0)</f>
        <v>0</v>
      </c>
      <c r="H4594" s="7">
        <f>IFERROR(_xlfn.XLOOKUP(tbl_Ventes[[#This Row],[Cde_Prdt]], tbl_Produits[Cde_Prdt], tbl_Produits[Coût Moyen Portion]), 0)</f>
        <v>0</v>
      </c>
      <c r="I4594" s="7">
        <f>tbl_Ventes[[#This Row],[Qté Vendue]] * tbl_Ventes[[#This Row],[CMP_par_portion]]</f>
        <v>0</v>
      </c>
      <c r="J4594" s="7">
        <f>tbl_Ventes[[#This Row],[CA ligne]] - tbl_Ventes[[#This Row],[Coût matière ligne]]</f>
        <v>0</v>
      </c>
      <c r="K4594" s="7" t="str">
        <f>IFERROR(INDEX(tbl_ProduitsRef[Famille], MATCH(tbl_Ventes[[#This Row],[Cde_Prdt]], tbl_Produits[Cde_Prdt], 0)), "")</f>
        <v/>
      </c>
    </row>
    <row r="4595" spans="1:11" x14ac:dyDescent="0.25">
      <c r="A4595" s="5"/>
      <c r="B4595" s="63" t="str">
        <f>IFERROR(TEXT(tbl_Ventes[[#This Row],[Date]],"mm-aaaa"),"")</f>
        <v>01-1900</v>
      </c>
      <c r="D4595" s="10" t="str">
        <f>IFERROR(
   INDEX(tbl_ProduitsRef[Cde_Prdt],MATCH(tbl_Ventes[[#This Row],[Produit]],tbl_ProduitsRef[Produit],0)),
   ""
)</f>
        <v/>
      </c>
      <c r="E4595" s="7">
        <v>0</v>
      </c>
      <c r="F4595" s="7" t="str">
        <f>IFERROR(
   INDEX(tbl_ProduitsRef[Prix Menu],MATCH(tbl_Ventes[[#This Row],[Produit]],tbl_ProduitsRef[Produit],0)),
   ""
)</f>
        <v/>
      </c>
      <c r="G4595" s="7">
        <f>tbl_Ventes[[#This Row],[Qté Vendue]] * IFERROR(_xlfn.XLOOKUP(tbl_Ventes[[#This Row],[Cde_Prdt]], tbl_Produits[Cde_Prdt], tbl_Produits[Prix Menu]), 0)</f>
        <v>0</v>
      </c>
      <c r="H4595" s="7">
        <f>IFERROR(_xlfn.XLOOKUP(tbl_Ventes[[#This Row],[Cde_Prdt]], tbl_Produits[Cde_Prdt], tbl_Produits[Coût Moyen Portion]), 0)</f>
        <v>0</v>
      </c>
      <c r="I4595" s="7">
        <f>tbl_Ventes[[#This Row],[Qté Vendue]] * tbl_Ventes[[#This Row],[CMP_par_portion]]</f>
        <v>0</v>
      </c>
      <c r="J4595" s="7">
        <f>tbl_Ventes[[#This Row],[CA ligne]] - tbl_Ventes[[#This Row],[Coût matière ligne]]</f>
        <v>0</v>
      </c>
      <c r="K4595" s="7" t="str">
        <f>IFERROR(INDEX(tbl_ProduitsRef[Famille], MATCH(tbl_Ventes[[#This Row],[Cde_Prdt]], tbl_Produits[Cde_Prdt], 0)), "")</f>
        <v/>
      </c>
    </row>
    <row r="4596" spans="1:11" x14ac:dyDescent="0.25">
      <c r="A4596" s="5"/>
      <c r="B4596" s="63" t="str">
        <f>IFERROR(TEXT(tbl_Ventes[[#This Row],[Date]],"mm-aaaa"),"")</f>
        <v>01-1900</v>
      </c>
      <c r="D4596" s="10" t="str">
        <f>IFERROR(
   INDEX(tbl_ProduitsRef[Cde_Prdt],MATCH(tbl_Ventes[[#This Row],[Produit]],tbl_ProduitsRef[Produit],0)),
   ""
)</f>
        <v/>
      </c>
      <c r="E4596" s="7">
        <v>0</v>
      </c>
      <c r="F4596" s="7" t="str">
        <f>IFERROR(
   INDEX(tbl_ProduitsRef[Prix Menu],MATCH(tbl_Ventes[[#This Row],[Produit]],tbl_ProduitsRef[Produit],0)),
   ""
)</f>
        <v/>
      </c>
      <c r="G4596" s="7">
        <f>tbl_Ventes[[#This Row],[Qté Vendue]] * IFERROR(_xlfn.XLOOKUP(tbl_Ventes[[#This Row],[Cde_Prdt]], tbl_Produits[Cde_Prdt], tbl_Produits[Prix Menu]), 0)</f>
        <v>0</v>
      </c>
      <c r="H4596" s="7">
        <f>IFERROR(_xlfn.XLOOKUP(tbl_Ventes[[#This Row],[Cde_Prdt]], tbl_Produits[Cde_Prdt], tbl_Produits[Coût Moyen Portion]), 0)</f>
        <v>0</v>
      </c>
      <c r="I4596" s="7">
        <f>tbl_Ventes[[#This Row],[Qté Vendue]] * tbl_Ventes[[#This Row],[CMP_par_portion]]</f>
        <v>0</v>
      </c>
      <c r="J4596" s="7">
        <f>tbl_Ventes[[#This Row],[CA ligne]] - tbl_Ventes[[#This Row],[Coût matière ligne]]</f>
        <v>0</v>
      </c>
      <c r="K4596" s="7" t="str">
        <f>IFERROR(INDEX(tbl_ProduitsRef[Famille], MATCH(tbl_Ventes[[#This Row],[Cde_Prdt]], tbl_Produits[Cde_Prdt], 0)), "")</f>
        <v/>
      </c>
    </row>
    <row r="4597" spans="1:11" x14ac:dyDescent="0.25">
      <c r="A4597" s="5"/>
      <c r="B4597" s="63" t="str">
        <f>IFERROR(TEXT(tbl_Ventes[[#This Row],[Date]],"mm-aaaa"),"")</f>
        <v>01-1900</v>
      </c>
      <c r="D4597" s="10" t="str">
        <f>IFERROR(
   INDEX(tbl_ProduitsRef[Cde_Prdt],MATCH(tbl_Ventes[[#This Row],[Produit]],tbl_ProduitsRef[Produit],0)),
   ""
)</f>
        <v/>
      </c>
      <c r="E4597" s="7">
        <v>0</v>
      </c>
      <c r="F4597" s="7" t="str">
        <f>IFERROR(
   INDEX(tbl_ProduitsRef[Prix Menu],MATCH(tbl_Ventes[[#This Row],[Produit]],tbl_ProduitsRef[Produit],0)),
   ""
)</f>
        <v/>
      </c>
      <c r="G4597" s="7">
        <f>tbl_Ventes[[#This Row],[Qté Vendue]] * IFERROR(_xlfn.XLOOKUP(tbl_Ventes[[#This Row],[Cde_Prdt]], tbl_Produits[Cde_Prdt], tbl_Produits[Prix Menu]), 0)</f>
        <v>0</v>
      </c>
      <c r="H4597" s="7">
        <f>IFERROR(_xlfn.XLOOKUP(tbl_Ventes[[#This Row],[Cde_Prdt]], tbl_Produits[Cde_Prdt], tbl_Produits[Coût Moyen Portion]), 0)</f>
        <v>0</v>
      </c>
      <c r="I4597" s="7">
        <f>tbl_Ventes[[#This Row],[Qté Vendue]] * tbl_Ventes[[#This Row],[CMP_par_portion]]</f>
        <v>0</v>
      </c>
      <c r="J4597" s="7">
        <f>tbl_Ventes[[#This Row],[CA ligne]] - tbl_Ventes[[#This Row],[Coût matière ligne]]</f>
        <v>0</v>
      </c>
      <c r="K4597" s="7" t="str">
        <f>IFERROR(INDEX(tbl_ProduitsRef[Famille], MATCH(tbl_Ventes[[#This Row],[Cde_Prdt]], tbl_Produits[Cde_Prdt], 0)), "")</f>
        <v/>
      </c>
    </row>
    <row r="4598" spans="1:11" x14ac:dyDescent="0.25">
      <c r="A4598" s="5"/>
      <c r="B4598" s="63" t="str">
        <f>IFERROR(TEXT(tbl_Ventes[[#This Row],[Date]],"mm-aaaa"),"")</f>
        <v>01-1900</v>
      </c>
      <c r="D4598" s="10" t="str">
        <f>IFERROR(
   INDEX(tbl_ProduitsRef[Cde_Prdt],MATCH(tbl_Ventes[[#This Row],[Produit]],tbl_ProduitsRef[Produit],0)),
   ""
)</f>
        <v/>
      </c>
      <c r="E4598" s="7">
        <v>0</v>
      </c>
      <c r="F4598" s="7" t="str">
        <f>IFERROR(
   INDEX(tbl_ProduitsRef[Prix Menu],MATCH(tbl_Ventes[[#This Row],[Produit]],tbl_ProduitsRef[Produit],0)),
   ""
)</f>
        <v/>
      </c>
      <c r="G4598" s="7">
        <f>tbl_Ventes[[#This Row],[Qté Vendue]] * IFERROR(_xlfn.XLOOKUP(tbl_Ventes[[#This Row],[Cde_Prdt]], tbl_Produits[Cde_Prdt], tbl_Produits[Prix Menu]), 0)</f>
        <v>0</v>
      </c>
      <c r="H4598" s="7">
        <f>IFERROR(_xlfn.XLOOKUP(tbl_Ventes[[#This Row],[Cde_Prdt]], tbl_Produits[Cde_Prdt], tbl_Produits[Coût Moyen Portion]), 0)</f>
        <v>0</v>
      </c>
      <c r="I4598" s="7">
        <f>tbl_Ventes[[#This Row],[Qté Vendue]] * tbl_Ventes[[#This Row],[CMP_par_portion]]</f>
        <v>0</v>
      </c>
      <c r="J4598" s="7">
        <f>tbl_Ventes[[#This Row],[CA ligne]] - tbl_Ventes[[#This Row],[Coût matière ligne]]</f>
        <v>0</v>
      </c>
      <c r="K4598" s="7" t="str">
        <f>IFERROR(INDEX(tbl_ProduitsRef[Famille], MATCH(tbl_Ventes[[#This Row],[Cde_Prdt]], tbl_Produits[Cde_Prdt], 0)), "")</f>
        <v/>
      </c>
    </row>
    <row r="4599" spans="1:11" x14ac:dyDescent="0.25">
      <c r="A4599" s="5"/>
      <c r="B4599" s="63" t="str">
        <f>IFERROR(TEXT(tbl_Ventes[[#This Row],[Date]],"mm-aaaa"),"")</f>
        <v>01-1900</v>
      </c>
      <c r="D4599" s="10" t="str">
        <f>IFERROR(
   INDEX(tbl_ProduitsRef[Cde_Prdt],MATCH(tbl_Ventes[[#This Row],[Produit]],tbl_ProduitsRef[Produit],0)),
   ""
)</f>
        <v/>
      </c>
      <c r="E4599" s="7">
        <v>0</v>
      </c>
      <c r="F4599" s="7" t="str">
        <f>IFERROR(
   INDEX(tbl_ProduitsRef[Prix Menu],MATCH(tbl_Ventes[[#This Row],[Produit]],tbl_ProduitsRef[Produit],0)),
   ""
)</f>
        <v/>
      </c>
      <c r="G4599" s="7">
        <f>tbl_Ventes[[#This Row],[Qté Vendue]] * IFERROR(_xlfn.XLOOKUP(tbl_Ventes[[#This Row],[Cde_Prdt]], tbl_Produits[Cde_Prdt], tbl_Produits[Prix Menu]), 0)</f>
        <v>0</v>
      </c>
      <c r="H4599" s="7">
        <f>IFERROR(_xlfn.XLOOKUP(tbl_Ventes[[#This Row],[Cde_Prdt]], tbl_Produits[Cde_Prdt], tbl_Produits[Coût Moyen Portion]), 0)</f>
        <v>0</v>
      </c>
      <c r="I4599" s="7">
        <f>tbl_Ventes[[#This Row],[Qté Vendue]] * tbl_Ventes[[#This Row],[CMP_par_portion]]</f>
        <v>0</v>
      </c>
      <c r="J4599" s="7">
        <f>tbl_Ventes[[#This Row],[CA ligne]] - tbl_Ventes[[#This Row],[Coût matière ligne]]</f>
        <v>0</v>
      </c>
      <c r="K4599" s="7" t="str">
        <f>IFERROR(INDEX(tbl_ProduitsRef[Famille], MATCH(tbl_Ventes[[#This Row],[Cde_Prdt]], tbl_Produits[Cde_Prdt], 0)), "")</f>
        <v/>
      </c>
    </row>
    <row r="4600" spans="1:11" x14ac:dyDescent="0.25">
      <c r="A4600" s="5"/>
      <c r="B4600" s="63" t="str">
        <f>IFERROR(TEXT(tbl_Ventes[[#This Row],[Date]],"mm-aaaa"),"")</f>
        <v>01-1900</v>
      </c>
      <c r="D4600" s="10" t="str">
        <f>IFERROR(
   INDEX(tbl_ProduitsRef[Cde_Prdt],MATCH(tbl_Ventes[[#This Row],[Produit]],tbl_ProduitsRef[Produit],0)),
   ""
)</f>
        <v/>
      </c>
      <c r="E4600" s="7">
        <v>0</v>
      </c>
      <c r="F4600" s="7" t="str">
        <f>IFERROR(
   INDEX(tbl_ProduitsRef[Prix Menu],MATCH(tbl_Ventes[[#This Row],[Produit]],tbl_ProduitsRef[Produit],0)),
   ""
)</f>
        <v/>
      </c>
      <c r="G4600" s="7">
        <f>tbl_Ventes[[#This Row],[Qté Vendue]] * IFERROR(_xlfn.XLOOKUP(tbl_Ventes[[#This Row],[Cde_Prdt]], tbl_Produits[Cde_Prdt], tbl_Produits[Prix Menu]), 0)</f>
        <v>0</v>
      </c>
      <c r="H4600" s="7">
        <f>IFERROR(_xlfn.XLOOKUP(tbl_Ventes[[#This Row],[Cde_Prdt]], tbl_Produits[Cde_Prdt], tbl_Produits[Coût Moyen Portion]), 0)</f>
        <v>0</v>
      </c>
      <c r="I4600" s="7">
        <f>tbl_Ventes[[#This Row],[Qté Vendue]] * tbl_Ventes[[#This Row],[CMP_par_portion]]</f>
        <v>0</v>
      </c>
      <c r="J4600" s="7">
        <f>tbl_Ventes[[#This Row],[CA ligne]] - tbl_Ventes[[#This Row],[Coût matière ligne]]</f>
        <v>0</v>
      </c>
      <c r="K4600" s="7" t="str">
        <f>IFERROR(INDEX(tbl_ProduitsRef[Famille], MATCH(tbl_Ventes[[#This Row],[Cde_Prdt]], tbl_Produits[Cde_Prdt], 0)), "")</f>
        <v/>
      </c>
    </row>
    <row r="4601" spans="1:11" x14ac:dyDescent="0.25">
      <c r="A4601" s="5"/>
      <c r="B4601" s="63" t="str">
        <f>IFERROR(TEXT(tbl_Ventes[[#This Row],[Date]],"mm-aaaa"),"")</f>
        <v>01-1900</v>
      </c>
      <c r="D4601" s="10" t="str">
        <f>IFERROR(
   INDEX(tbl_ProduitsRef[Cde_Prdt],MATCH(tbl_Ventes[[#This Row],[Produit]],tbl_ProduitsRef[Produit],0)),
   ""
)</f>
        <v/>
      </c>
      <c r="E4601" s="7">
        <v>0</v>
      </c>
      <c r="F4601" s="7" t="str">
        <f>IFERROR(
   INDEX(tbl_ProduitsRef[Prix Menu],MATCH(tbl_Ventes[[#This Row],[Produit]],tbl_ProduitsRef[Produit],0)),
   ""
)</f>
        <v/>
      </c>
      <c r="G4601" s="7">
        <f>tbl_Ventes[[#This Row],[Qté Vendue]] * IFERROR(_xlfn.XLOOKUP(tbl_Ventes[[#This Row],[Cde_Prdt]], tbl_Produits[Cde_Prdt], tbl_Produits[Prix Menu]), 0)</f>
        <v>0</v>
      </c>
      <c r="H4601" s="7">
        <f>IFERROR(_xlfn.XLOOKUP(tbl_Ventes[[#This Row],[Cde_Prdt]], tbl_Produits[Cde_Prdt], tbl_Produits[Coût Moyen Portion]), 0)</f>
        <v>0</v>
      </c>
      <c r="I4601" s="7">
        <f>tbl_Ventes[[#This Row],[Qté Vendue]] * tbl_Ventes[[#This Row],[CMP_par_portion]]</f>
        <v>0</v>
      </c>
      <c r="J4601" s="7">
        <f>tbl_Ventes[[#This Row],[CA ligne]] - tbl_Ventes[[#This Row],[Coût matière ligne]]</f>
        <v>0</v>
      </c>
      <c r="K4601" s="7" t="str">
        <f>IFERROR(INDEX(tbl_ProduitsRef[Famille], MATCH(tbl_Ventes[[#This Row],[Cde_Prdt]], tbl_Produits[Cde_Prdt], 0)), "")</f>
        <v/>
      </c>
    </row>
    <row r="4602" spans="1:11" x14ac:dyDescent="0.25">
      <c r="A4602" s="5"/>
      <c r="B4602" s="63" t="str">
        <f>IFERROR(TEXT(tbl_Ventes[[#This Row],[Date]],"mm-aaaa"),"")</f>
        <v>01-1900</v>
      </c>
      <c r="D4602" s="10" t="str">
        <f>IFERROR(
   INDEX(tbl_ProduitsRef[Cde_Prdt],MATCH(tbl_Ventes[[#This Row],[Produit]],tbl_ProduitsRef[Produit],0)),
   ""
)</f>
        <v/>
      </c>
      <c r="E4602" s="7">
        <v>0</v>
      </c>
      <c r="F4602" s="7" t="str">
        <f>IFERROR(
   INDEX(tbl_ProduitsRef[Prix Menu],MATCH(tbl_Ventes[[#This Row],[Produit]],tbl_ProduitsRef[Produit],0)),
   ""
)</f>
        <v/>
      </c>
      <c r="G4602" s="7">
        <f>tbl_Ventes[[#This Row],[Qté Vendue]] * IFERROR(_xlfn.XLOOKUP(tbl_Ventes[[#This Row],[Cde_Prdt]], tbl_Produits[Cde_Prdt], tbl_Produits[Prix Menu]), 0)</f>
        <v>0</v>
      </c>
      <c r="H4602" s="7">
        <f>IFERROR(_xlfn.XLOOKUP(tbl_Ventes[[#This Row],[Cde_Prdt]], tbl_Produits[Cde_Prdt], tbl_Produits[Coût Moyen Portion]), 0)</f>
        <v>0</v>
      </c>
      <c r="I4602" s="7">
        <f>tbl_Ventes[[#This Row],[Qté Vendue]] * tbl_Ventes[[#This Row],[CMP_par_portion]]</f>
        <v>0</v>
      </c>
      <c r="J4602" s="7">
        <f>tbl_Ventes[[#This Row],[CA ligne]] - tbl_Ventes[[#This Row],[Coût matière ligne]]</f>
        <v>0</v>
      </c>
      <c r="K4602" s="7" t="str">
        <f>IFERROR(INDEX(tbl_ProduitsRef[Famille], MATCH(tbl_Ventes[[#This Row],[Cde_Prdt]], tbl_Produits[Cde_Prdt], 0)), "")</f>
        <v/>
      </c>
    </row>
    <row r="4603" spans="1:11" x14ac:dyDescent="0.25">
      <c r="A4603" s="5"/>
      <c r="B4603" s="63" t="str">
        <f>IFERROR(TEXT(tbl_Ventes[[#This Row],[Date]],"mm-aaaa"),"")</f>
        <v>01-1900</v>
      </c>
      <c r="D4603" s="10" t="str">
        <f>IFERROR(
   INDEX(tbl_ProduitsRef[Cde_Prdt],MATCH(tbl_Ventes[[#This Row],[Produit]],tbl_ProduitsRef[Produit],0)),
   ""
)</f>
        <v/>
      </c>
      <c r="E4603" s="7">
        <v>0</v>
      </c>
      <c r="F4603" s="7" t="str">
        <f>IFERROR(
   INDEX(tbl_ProduitsRef[Prix Menu],MATCH(tbl_Ventes[[#This Row],[Produit]],tbl_ProduitsRef[Produit],0)),
   ""
)</f>
        <v/>
      </c>
      <c r="G4603" s="7">
        <f>tbl_Ventes[[#This Row],[Qté Vendue]] * IFERROR(_xlfn.XLOOKUP(tbl_Ventes[[#This Row],[Cde_Prdt]], tbl_Produits[Cde_Prdt], tbl_Produits[Prix Menu]), 0)</f>
        <v>0</v>
      </c>
      <c r="H4603" s="7">
        <f>IFERROR(_xlfn.XLOOKUP(tbl_Ventes[[#This Row],[Cde_Prdt]], tbl_Produits[Cde_Prdt], tbl_Produits[Coût Moyen Portion]), 0)</f>
        <v>0</v>
      </c>
      <c r="I4603" s="7">
        <f>tbl_Ventes[[#This Row],[Qté Vendue]] * tbl_Ventes[[#This Row],[CMP_par_portion]]</f>
        <v>0</v>
      </c>
      <c r="J4603" s="7">
        <f>tbl_Ventes[[#This Row],[CA ligne]] - tbl_Ventes[[#This Row],[Coût matière ligne]]</f>
        <v>0</v>
      </c>
      <c r="K4603" s="7" t="str">
        <f>IFERROR(INDEX(tbl_ProduitsRef[Famille], MATCH(tbl_Ventes[[#This Row],[Cde_Prdt]], tbl_Produits[Cde_Prdt], 0)), "")</f>
        <v/>
      </c>
    </row>
    <row r="4604" spans="1:11" x14ac:dyDescent="0.25">
      <c r="A4604" s="5"/>
      <c r="B4604" s="63" t="str">
        <f>IFERROR(TEXT(tbl_Ventes[[#This Row],[Date]],"mm-aaaa"),"")</f>
        <v>01-1900</v>
      </c>
      <c r="D4604" s="10" t="str">
        <f>IFERROR(
   INDEX(tbl_ProduitsRef[Cde_Prdt],MATCH(tbl_Ventes[[#This Row],[Produit]],tbl_ProduitsRef[Produit],0)),
   ""
)</f>
        <v/>
      </c>
      <c r="E4604" s="7">
        <v>0</v>
      </c>
      <c r="F4604" s="7" t="str">
        <f>IFERROR(
   INDEX(tbl_ProduitsRef[Prix Menu],MATCH(tbl_Ventes[[#This Row],[Produit]],tbl_ProduitsRef[Produit],0)),
   ""
)</f>
        <v/>
      </c>
      <c r="G4604" s="7">
        <f>tbl_Ventes[[#This Row],[Qté Vendue]] * IFERROR(_xlfn.XLOOKUP(tbl_Ventes[[#This Row],[Cde_Prdt]], tbl_Produits[Cde_Prdt], tbl_Produits[Prix Menu]), 0)</f>
        <v>0</v>
      </c>
      <c r="H4604" s="7">
        <f>IFERROR(_xlfn.XLOOKUP(tbl_Ventes[[#This Row],[Cde_Prdt]], tbl_Produits[Cde_Prdt], tbl_Produits[Coût Moyen Portion]), 0)</f>
        <v>0</v>
      </c>
      <c r="I4604" s="7">
        <f>tbl_Ventes[[#This Row],[Qté Vendue]] * tbl_Ventes[[#This Row],[CMP_par_portion]]</f>
        <v>0</v>
      </c>
      <c r="J4604" s="7">
        <f>tbl_Ventes[[#This Row],[CA ligne]] - tbl_Ventes[[#This Row],[Coût matière ligne]]</f>
        <v>0</v>
      </c>
      <c r="K4604" s="7" t="str">
        <f>IFERROR(INDEX(tbl_ProduitsRef[Famille], MATCH(tbl_Ventes[[#This Row],[Cde_Prdt]], tbl_Produits[Cde_Prdt], 0)), "")</f>
        <v/>
      </c>
    </row>
    <row r="4605" spans="1:11" x14ac:dyDescent="0.25">
      <c r="A4605" s="5"/>
      <c r="B4605" s="63" t="str">
        <f>IFERROR(TEXT(tbl_Ventes[[#This Row],[Date]],"mm-aaaa"),"")</f>
        <v>01-1900</v>
      </c>
      <c r="D4605" s="10" t="str">
        <f>IFERROR(
   INDEX(tbl_ProduitsRef[Cde_Prdt],MATCH(tbl_Ventes[[#This Row],[Produit]],tbl_ProduitsRef[Produit],0)),
   ""
)</f>
        <v/>
      </c>
      <c r="E4605" s="7">
        <v>0</v>
      </c>
      <c r="F4605" s="7" t="str">
        <f>IFERROR(
   INDEX(tbl_ProduitsRef[Prix Menu],MATCH(tbl_Ventes[[#This Row],[Produit]],tbl_ProduitsRef[Produit],0)),
   ""
)</f>
        <v/>
      </c>
      <c r="G4605" s="7">
        <f>tbl_Ventes[[#This Row],[Qté Vendue]] * IFERROR(_xlfn.XLOOKUP(tbl_Ventes[[#This Row],[Cde_Prdt]], tbl_Produits[Cde_Prdt], tbl_Produits[Prix Menu]), 0)</f>
        <v>0</v>
      </c>
      <c r="H4605" s="7">
        <f>IFERROR(_xlfn.XLOOKUP(tbl_Ventes[[#This Row],[Cde_Prdt]], tbl_Produits[Cde_Prdt], tbl_Produits[Coût Moyen Portion]), 0)</f>
        <v>0</v>
      </c>
      <c r="I4605" s="7">
        <f>tbl_Ventes[[#This Row],[Qté Vendue]] * tbl_Ventes[[#This Row],[CMP_par_portion]]</f>
        <v>0</v>
      </c>
      <c r="J4605" s="7">
        <f>tbl_Ventes[[#This Row],[CA ligne]] - tbl_Ventes[[#This Row],[Coût matière ligne]]</f>
        <v>0</v>
      </c>
      <c r="K4605" s="7" t="str">
        <f>IFERROR(INDEX(tbl_ProduitsRef[Famille], MATCH(tbl_Ventes[[#This Row],[Cde_Prdt]], tbl_Produits[Cde_Prdt], 0)), "")</f>
        <v/>
      </c>
    </row>
    <row r="4606" spans="1:11" x14ac:dyDescent="0.25">
      <c r="A4606" s="5"/>
      <c r="B4606" s="63" t="str">
        <f>IFERROR(TEXT(tbl_Ventes[[#This Row],[Date]],"mm-aaaa"),"")</f>
        <v>01-1900</v>
      </c>
      <c r="D4606" s="10" t="str">
        <f>IFERROR(
   INDEX(tbl_ProduitsRef[Cde_Prdt],MATCH(tbl_Ventes[[#This Row],[Produit]],tbl_ProduitsRef[Produit],0)),
   ""
)</f>
        <v/>
      </c>
      <c r="E4606" s="7">
        <v>0</v>
      </c>
      <c r="F4606" s="7" t="str">
        <f>IFERROR(
   INDEX(tbl_ProduitsRef[Prix Menu],MATCH(tbl_Ventes[[#This Row],[Produit]],tbl_ProduitsRef[Produit],0)),
   ""
)</f>
        <v/>
      </c>
      <c r="G4606" s="7">
        <f>tbl_Ventes[[#This Row],[Qté Vendue]] * IFERROR(_xlfn.XLOOKUP(tbl_Ventes[[#This Row],[Cde_Prdt]], tbl_Produits[Cde_Prdt], tbl_Produits[Prix Menu]), 0)</f>
        <v>0</v>
      </c>
      <c r="H4606" s="7">
        <f>IFERROR(_xlfn.XLOOKUP(tbl_Ventes[[#This Row],[Cde_Prdt]], tbl_Produits[Cde_Prdt], tbl_Produits[Coût Moyen Portion]), 0)</f>
        <v>0</v>
      </c>
      <c r="I4606" s="7">
        <f>tbl_Ventes[[#This Row],[Qté Vendue]] * tbl_Ventes[[#This Row],[CMP_par_portion]]</f>
        <v>0</v>
      </c>
      <c r="J4606" s="7">
        <f>tbl_Ventes[[#This Row],[CA ligne]] - tbl_Ventes[[#This Row],[Coût matière ligne]]</f>
        <v>0</v>
      </c>
      <c r="K4606" s="7" t="str">
        <f>IFERROR(INDEX(tbl_ProduitsRef[Famille], MATCH(tbl_Ventes[[#This Row],[Cde_Prdt]], tbl_Produits[Cde_Prdt], 0)), "")</f>
        <v/>
      </c>
    </row>
    <row r="4607" spans="1:11" x14ac:dyDescent="0.25">
      <c r="A4607" s="5"/>
      <c r="B4607" s="63" t="str">
        <f>IFERROR(TEXT(tbl_Ventes[[#This Row],[Date]],"mm-aaaa"),"")</f>
        <v>01-1900</v>
      </c>
      <c r="D4607" s="10" t="str">
        <f>IFERROR(
   INDEX(tbl_ProduitsRef[Cde_Prdt],MATCH(tbl_Ventes[[#This Row],[Produit]],tbl_ProduitsRef[Produit],0)),
   ""
)</f>
        <v/>
      </c>
      <c r="E4607" s="7">
        <v>0</v>
      </c>
      <c r="F4607" s="7" t="str">
        <f>IFERROR(
   INDEX(tbl_ProduitsRef[Prix Menu],MATCH(tbl_Ventes[[#This Row],[Produit]],tbl_ProduitsRef[Produit],0)),
   ""
)</f>
        <v/>
      </c>
      <c r="G4607" s="7">
        <f>tbl_Ventes[[#This Row],[Qté Vendue]] * IFERROR(_xlfn.XLOOKUP(tbl_Ventes[[#This Row],[Cde_Prdt]], tbl_Produits[Cde_Prdt], tbl_Produits[Prix Menu]), 0)</f>
        <v>0</v>
      </c>
      <c r="H4607" s="7">
        <f>IFERROR(_xlfn.XLOOKUP(tbl_Ventes[[#This Row],[Cde_Prdt]], tbl_Produits[Cde_Prdt], tbl_Produits[Coût Moyen Portion]), 0)</f>
        <v>0</v>
      </c>
      <c r="I4607" s="7">
        <f>tbl_Ventes[[#This Row],[Qté Vendue]] * tbl_Ventes[[#This Row],[CMP_par_portion]]</f>
        <v>0</v>
      </c>
      <c r="J4607" s="7">
        <f>tbl_Ventes[[#This Row],[CA ligne]] - tbl_Ventes[[#This Row],[Coût matière ligne]]</f>
        <v>0</v>
      </c>
      <c r="K4607" s="7" t="str">
        <f>IFERROR(INDEX(tbl_ProduitsRef[Famille], MATCH(tbl_Ventes[[#This Row],[Cde_Prdt]], tbl_Produits[Cde_Prdt], 0)), "")</f>
        <v/>
      </c>
    </row>
    <row r="4608" spans="1:11" x14ac:dyDescent="0.25">
      <c r="A4608" s="5"/>
      <c r="B4608" s="63" t="str">
        <f>IFERROR(TEXT(tbl_Ventes[[#This Row],[Date]],"mm-aaaa"),"")</f>
        <v>01-1900</v>
      </c>
      <c r="D4608" s="10" t="str">
        <f>IFERROR(
   INDEX(tbl_ProduitsRef[Cde_Prdt],MATCH(tbl_Ventes[[#This Row],[Produit]],tbl_ProduitsRef[Produit],0)),
   ""
)</f>
        <v/>
      </c>
      <c r="E4608" s="7">
        <v>0</v>
      </c>
      <c r="F4608" s="7" t="str">
        <f>IFERROR(
   INDEX(tbl_ProduitsRef[Prix Menu],MATCH(tbl_Ventes[[#This Row],[Produit]],tbl_ProduitsRef[Produit],0)),
   ""
)</f>
        <v/>
      </c>
      <c r="G4608" s="7">
        <f>tbl_Ventes[[#This Row],[Qté Vendue]] * IFERROR(_xlfn.XLOOKUP(tbl_Ventes[[#This Row],[Cde_Prdt]], tbl_Produits[Cde_Prdt], tbl_Produits[Prix Menu]), 0)</f>
        <v>0</v>
      </c>
      <c r="H4608" s="7">
        <f>IFERROR(_xlfn.XLOOKUP(tbl_Ventes[[#This Row],[Cde_Prdt]], tbl_Produits[Cde_Prdt], tbl_Produits[Coût Moyen Portion]), 0)</f>
        <v>0</v>
      </c>
      <c r="I4608" s="7">
        <f>tbl_Ventes[[#This Row],[Qté Vendue]] * tbl_Ventes[[#This Row],[CMP_par_portion]]</f>
        <v>0</v>
      </c>
      <c r="J4608" s="7">
        <f>tbl_Ventes[[#This Row],[CA ligne]] - tbl_Ventes[[#This Row],[Coût matière ligne]]</f>
        <v>0</v>
      </c>
      <c r="K4608" s="7" t="str">
        <f>IFERROR(INDEX(tbl_ProduitsRef[Famille], MATCH(tbl_Ventes[[#This Row],[Cde_Prdt]], tbl_Produits[Cde_Prdt], 0)), "")</f>
        <v/>
      </c>
    </row>
    <row r="4609" spans="1:11" x14ac:dyDescent="0.25">
      <c r="A4609" s="5"/>
      <c r="B4609" s="63" t="str">
        <f>IFERROR(TEXT(tbl_Ventes[[#This Row],[Date]],"mm-aaaa"),"")</f>
        <v>01-1900</v>
      </c>
      <c r="D4609" s="10" t="str">
        <f>IFERROR(
   INDEX(tbl_ProduitsRef[Cde_Prdt],MATCH(tbl_Ventes[[#This Row],[Produit]],tbl_ProduitsRef[Produit],0)),
   ""
)</f>
        <v/>
      </c>
      <c r="E4609" s="7">
        <v>0</v>
      </c>
      <c r="F4609" s="7" t="str">
        <f>IFERROR(
   INDEX(tbl_ProduitsRef[Prix Menu],MATCH(tbl_Ventes[[#This Row],[Produit]],tbl_ProduitsRef[Produit],0)),
   ""
)</f>
        <v/>
      </c>
      <c r="G4609" s="7">
        <f>tbl_Ventes[[#This Row],[Qté Vendue]] * IFERROR(_xlfn.XLOOKUP(tbl_Ventes[[#This Row],[Cde_Prdt]], tbl_Produits[Cde_Prdt], tbl_Produits[Prix Menu]), 0)</f>
        <v>0</v>
      </c>
      <c r="H4609" s="7">
        <f>IFERROR(_xlfn.XLOOKUP(tbl_Ventes[[#This Row],[Cde_Prdt]], tbl_Produits[Cde_Prdt], tbl_Produits[Coût Moyen Portion]), 0)</f>
        <v>0</v>
      </c>
      <c r="I4609" s="7">
        <f>tbl_Ventes[[#This Row],[Qté Vendue]] * tbl_Ventes[[#This Row],[CMP_par_portion]]</f>
        <v>0</v>
      </c>
      <c r="J4609" s="7">
        <f>tbl_Ventes[[#This Row],[CA ligne]] - tbl_Ventes[[#This Row],[Coût matière ligne]]</f>
        <v>0</v>
      </c>
      <c r="K4609" s="7" t="str">
        <f>IFERROR(INDEX(tbl_ProduitsRef[Famille], MATCH(tbl_Ventes[[#This Row],[Cde_Prdt]], tbl_Produits[Cde_Prdt], 0)), "")</f>
        <v/>
      </c>
    </row>
    <row r="4610" spans="1:11" x14ac:dyDescent="0.25">
      <c r="A4610" s="5"/>
      <c r="B4610" s="63" t="str">
        <f>IFERROR(TEXT(tbl_Ventes[[#This Row],[Date]],"mm-aaaa"),"")</f>
        <v>01-1900</v>
      </c>
      <c r="D4610" s="10" t="str">
        <f>IFERROR(
   INDEX(tbl_ProduitsRef[Cde_Prdt],MATCH(tbl_Ventes[[#This Row],[Produit]],tbl_ProduitsRef[Produit],0)),
   ""
)</f>
        <v/>
      </c>
      <c r="E4610" s="7">
        <v>0</v>
      </c>
      <c r="F4610" s="7" t="str">
        <f>IFERROR(
   INDEX(tbl_ProduitsRef[Prix Menu],MATCH(tbl_Ventes[[#This Row],[Produit]],tbl_ProduitsRef[Produit],0)),
   ""
)</f>
        <v/>
      </c>
      <c r="G4610" s="7">
        <f>tbl_Ventes[[#This Row],[Qté Vendue]] * IFERROR(_xlfn.XLOOKUP(tbl_Ventes[[#This Row],[Cde_Prdt]], tbl_Produits[Cde_Prdt], tbl_Produits[Prix Menu]), 0)</f>
        <v>0</v>
      </c>
      <c r="H4610" s="7">
        <f>IFERROR(_xlfn.XLOOKUP(tbl_Ventes[[#This Row],[Cde_Prdt]], tbl_Produits[Cde_Prdt], tbl_Produits[Coût Moyen Portion]), 0)</f>
        <v>0</v>
      </c>
      <c r="I4610" s="7">
        <f>tbl_Ventes[[#This Row],[Qté Vendue]] * tbl_Ventes[[#This Row],[CMP_par_portion]]</f>
        <v>0</v>
      </c>
      <c r="J4610" s="7">
        <f>tbl_Ventes[[#This Row],[CA ligne]] - tbl_Ventes[[#This Row],[Coût matière ligne]]</f>
        <v>0</v>
      </c>
      <c r="K4610" s="7" t="str">
        <f>IFERROR(INDEX(tbl_ProduitsRef[Famille], MATCH(tbl_Ventes[[#This Row],[Cde_Prdt]], tbl_Produits[Cde_Prdt], 0)), "")</f>
        <v/>
      </c>
    </row>
    <row r="4611" spans="1:11" x14ac:dyDescent="0.25">
      <c r="A4611" s="5"/>
      <c r="B4611" s="63" t="str">
        <f>IFERROR(TEXT(tbl_Ventes[[#This Row],[Date]],"mm-aaaa"),"")</f>
        <v>01-1900</v>
      </c>
      <c r="D4611" s="10" t="str">
        <f>IFERROR(
   INDEX(tbl_ProduitsRef[Cde_Prdt],MATCH(tbl_Ventes[[#This Row],[Produit]],tbl_ProduitsRef[Produit],0)),
   ""
)</f>
        <v/>
      </c>
      <c r="E4611" s="7">
        <v>0</v>
      </c>
      <c r="F4611" s="7" t="str">
        <f>IFERROR(
   INDEX(tbl_ProduitsRef[Prix Menu],MATCH(tbl_Ventes[[#This Row],[Produit]],tbl_ProduitsRef[Produit],0)),
   ""
)</f>
        <v/>
      </c>
      <c r="G4611" s="7">
        <f>tbl_Ventes[[#This Row],[Qté Vendue]] * IFERROR(_xlfn.XLOOKUP(tbl_Ventes[[#This Row],[Cde_Prdt]], tbl_Produits[Cde_Prdt], tbl_Produits[Prix Menu]), 0)</f>
        <v>0</v>
      </c>
      <c r="H4611" s="7">
        <f>IFERROR(_xlfn.XLOOKUP(tbl_Ventes[[#This Row],[Cde_Prdt]], tbl_Produits[Cde_Prdt], tbl_Produits[Coût Moyen Portion]), 0)</f>
        <v>0</v>
      </c>
      <c r="I4611" s="7">
        <f>tbl_Ventes[[#This Row],[Qté Vendue]] * tbl_Ventes[[#This Row],[CMP_par_portion]]</f>
        <v>0</v>
      </c>
      <c r="J4611" s="7">
        <f>tbl_Ventes[[#This Row],[CA ligne]] - tbl_Ventes[[#This Row],[Coût matière ligne]]</f>
        <v>0</v>
      </c>
      <c r="K4611" s="7" t="str">
        <f>IFERROR(INDEX(tbl_ProduitsRef[Famille], MATCH(tbl_Ventes[[#This Row],[Cde_Prdt]], tbl_Produits[Cde_Prdt], 0)), "")</f>
        <v/>
      </c>
    </row>
    <row r="4612" spans="1:11" x14ac:dyDescent="0.25">
      <c r="A4612" s="5"/>
      <c r="B4612" s="63" t="str">
        <f>IFERROR(TEXT(tbl_Ventes[[#This Row],[Date]],"mm-aaaa"),"")</f>
        <v>01-1900</v>
      </c>
      <c r="D4612" s="10" t="str">
        <f>IFERROR(
   INDEX(tbl_ProduitsRef[Cde_Prdt],MATCH(tbl_Ventes[[#This Row],[Produit]],tbl_ProduitsRef[Produit],0)),
   ""
)</f>
        <v/>
      </c>
      <c r="E4612" s="7">
        <v>0</v>
      </c>
      <c r="F4612" s="7" t="str">
        <f>IFERROR(
   INDEX(tbl_ProduitsRef[Prix Menu],MATCH(tbl_Ventes[[#This Row],[Produit]],tbl_ProduitsRef[Produit],0)),
   ""
)</f>
        <v/>
      </c>
      <c r="G4612" s="7">
        <f>tbl_Ventes[[#This Row],[Qté Vendue]] * IFERROR(_xlfn.XLOOKUP(tbl_Ventes[[#This Row],[Cde_Prdt]], tbl_Produits[Cde_Prdt], tbl_Produits[Prix Menu]), 0)</f>
        <v>0</v>
      </c>
      <c r="H4612" s="7">
        <f>IFERROR(_xlfn.XLOOKUP(tbl_Ventes[[#This Row],[Cde_Prdt]], tbl_Produits[Cde_Prdt], tbl_Produits[Coût Moyen Portion]), 0)</f>
        <v>0</v>
      </c>
      <c r="I4612" s="7">
        <f>tbl_Ventes[[#This Row],[Qté Vendue]] * tbl_Ventes[[#This Row],[CMP_par_portion]]</f>
        <v>0</v>
      </c>
      <c r="J4612" s="7">
        <f>tbl_Ventes[[#This Row],[CA ligne]] - tbl_Ventes[[#This Row],[Coût matière ligne]]</f>
        <v>0</v>
      </c>
      <c r="K4612" s="7" t="str">
        <f>IFERROR(INDEX(tbl_ProduitsRef[Famille], MATCH(tbl_Ventes[[#This Row],[Cde_Prdt]], tbl_Produits[Cde_Prdt], 0)), "")</f>
        <v/>
      </c>
    </row>
    <row r="4613" spans="1:11" x14ac:dyDescent="0.25">
      <c r="A4613" s="5"/>
      <c r="B4613" s="63" t="str">
        <f>IFERROR(TEXT(tbl_Ventes[[#This Row],[Date]],"mm-aaaa"),"")</f>
        <v>01-1900</v>
      </c>
      <c r="D4613" s="10" t="str">
        <f>IFERROR(
   INDEX(tbl_ProduitsRef[Cde_Prdt],MATCH(tbl_Ventes[[#This Row],[Produit]],tbl_ProduitsRef[Produit],0)),
   ""
)</f>
        <v/>
      </c>
      <c r="E4613" s="7">
        <v>0</v>
      </c>
      <c r="F4613" s="7" t="str">
        <f>IFERROR(
   INDEX(tbl_ProduitsRef[Prix Menu],MATCH(tbl_Ventes[[#This Row],[Produit]],tbl_ProduitsRef[Produit],0)),
   ""
)</f>
        <v/>
      </c>
      <c r="G4613" s="7">
        <f>tbl_Ventes[[#This Row],[Qté Vendue]] * IFERROR(_xlfn.XLOOKUP(tbl_Ventes[[#This Row],[Cde_Prdt]], tbl_Produits[Cde_Prdt], tbl_Produits[Prix Menu]), 0)</f>
        <v>0</v>
      </c>
      <c r="H4613" s="7">
        <f>IFERROR(_xlfn.XLOOKUP(tbl_Ventes[[#This Row],[Cde_Prdt]], tbl_Produits[Cde_Prdt], tbl_Produits[Coût Moyen Portion]), 0)</f>
        <v>0</v>
      </c>
      <c r="I4613" s="7">
        <f>tbl_Ventes[[#This Row],[Qté Vendue]] * tbl_Ventes[[#This Row],[CMP_par_portion]]</f>
        <v>0</v>
      </c>
      <c r="J4613" s="7">
        <f>tbl_Ventes[[#This Row],[CA ligne]] - tbl_Ventes[[#This Row],[Coût matière ligne]]</f>
        <v>0</v>
      </c>
      <c r="K4613" s="7" t="str">
        <f>IFERROR(INDEX(tbl_ProduitsRef[Famille], MATCH(tbl_Ventes[[#This Row],[Cde_Prdt]], tbl_Produits[Cde_Prdt], 0)), "")</f>
        <v/>
      </c>
    </row>
    <row r="4614" spans="1:11" x14ac:dyDescent="0.25">
      <c r="A4614" s="5"/>
      <c r="B4614" s="63" t="str">
        <f>IFERROR(TEXT(tbl_Ventes[[#This Row],[Date]],"mm-aaaa"),"")</f>
        <v>01-1900</v>
      </c>
      <c r="D4614" s="10" t="str">
        <f>IFERROR(
   INDEX(tbl_ProduitsRef[Cde_Prdt],MATCH(tbl_Ventes[[#This Row],[Produit]],tbl_ProduitsRef[Produit],0)),
   ""
)</f>
        <v/>
      </c>
      <c r="E4614" s="7">
        <v>0</v>
      </c>
      <c r="F4614" s="7" t="str">
        <f>IFERROR(
   INDEX(tbl_ProduitsRef[Prix Menu],MATCH(tbl_Ventes[[#This Row],[Produit]],tbl_ProduitsRef[Produit],0)),
   ""
)</f>
        <v/>
      </c>
      <c r="G4614" s="7">
        <f>tbl_Ventes[[#This Row],[Qté Vendue]] * IFERROR(_xlfn.XLOOKUP(tbl_Ventes[[#This Row],[Cde_Prdt]], tbl_Produits[Cde_Prdt], tbl_Produits[Prix Menu]), 0)</f>
        <v>0</v>
      </c>
      <c r="H4614" s="7">
        <f>IFERROR(_xlfn.XLOOKUP(tbl_Ventes[[#This Row],[Cde_Prdt]], tbl_Produits[Cde_Prdt], tbl_Produits[Coût Moyen Portion]), 0)</f>
        <v>0</v>
      </c>
      <c r="I4614" s="7">
        <f>tbl_Ventes[[#This Row],[Qté Vendue]] * tbl_Ventes[[#This Row],[CMP_par_portion]]</f>
        <v>0</v>
      </c>
      <c r="J4614" s="7">
        <f>tbl_Ventes[[#This Row],[CA ligne]] - tbl_Ventes[[#This Row],[Coût matière ligne]]</f>
        <v>0</v>
      </c>
      <c r="K4614" s="7" t="str">
        <f>IFERROR(INDEX(tbl_ProduitsRef[Famille], MATCH(tbl_Ventes[[#This Row],[Cde_Prdt]], tbl_Produits[Cde_Prdt], 0)), "")</f>
        <v/>
      </c>
    </row>
    <row r="4615" spans="1:11" x14ac:dyDescent="0.25">
      <c r="A4615" s="5"/>
      <c r="B4615" s="63" t="str">
        <f>IFERROR(TEXT(tbl_Ventes[[#This Row],[Date]],"mm-aaaa"),"")</f>
        <v>01-1900</v>
      </c>
      <c r="D4615" s="10" t="str">
        <f>IFERROR(
   INDEX(tbl_ProduitsRef[Cde_Prdt],MATCH(tbl_Ventes[[#This Row],[Produit]],tbl_ProduitsRef[Produit],0)),
   ""
)</f>
        <v/>
      </c>
      <c r="E4615" s="7">
        <v>0</v>
      </c>
      <c r="F4615" s="7" t="str">
        <f>IFERROR(
   INDEX(tbl_ProduitsRef[Prix Menu],MATCH(tbl_Ventes[[#This Row],[Produit]],tbl_ProduitsRef[Produit],0)),
   ""
)</f>
        <v/>
      </c>
      <c r="G4615" s="7">
        <f>tbl_Ventes[[#This Row],[Qté Vendue]] * IFERROR(_xlfn.XLOOKUP(tbl_Ventes[[#This Row],[Cde_Prdt]], tbl_Produits[Cde_Prdt], tbl_Produits[Prix Menu]), 0)</f>
        <v>0</v>
      </c>
      <c r="H4615" s="7">
        <f>IFERROR(_xlfn.XLOOKUP(tbl_Ventes[[#This Row],[Cde_Prdt]], tbl_Produits[Cde_Prdt], tbl_Produits[Coût Moyen Portion]), 0)</f>
        <v>0</v>
      </c>
      <c r="I4615" s="7">
        <f>tbl_Ventes[[#This Row],[Qté Vendue]] * tbl_Ventes[[#This Row],[CMP_par_portion]]</f>
        <v>0</v>
      </c>
      <c r="J4615" s="7">
        <f>tbl_Ventes[[#This Row],[CA ligne]] - tbl_Ventes[[#This Row],[Coût matière ligne]]</f>
        <v>0</v>
      </c>
      <c r="K4615" s="7" t="str">
        <f>IFERROR(INDEX(tbl_ProduitsRef[Famille], MATCH(tbl_Ventes[[#This Row],[Cde_Prdt]], tbl_Produits[Cde_Prdt], 0)), "")</f>
        <v/>
      </c>
    </row>
    <row r="4616" spans="1:11" x14ac:dyDescent="0.25">
      <c r="A4616" s="5"/>
      <c r="B4616" s="63" t="str">
        <f>IFERROR(TEXT(tbl_Ventes[[#This Row],[Date]],"mm-aaaa"),"")</f>
        <v>01-1900</v>
      </c>
      <c r="D4616" s="10" t="str">
        <f>IFERROR(
   INDEX(tbl_ProduitsRef[Cde_Prdt],MATCH(tbl_Ventes[[#This Row],[Produit]],tbl_ProduitsRef[Produit],0)),
   ""
)</f>
        <v/>
      </c>
      <c r="E4616" s="7">
        <v>0</v>
      </c>
      <c r="F4616" s="7" t="str">
        <f>IFERROR(
   INDEX(tbl_ProduitsRef[Prix Menu],MATCH(tbl_Ventes[[#This Row],[Produit]],tbl_ProduitsRef[Produit],0)),
   ""
)</f>
        <v/>
      </c>
      <c r="G4616" s="7">
        <f>tbl_Ventes[[#This Row],[Qté Vendue]] * IFERROR(_xlfn.XLOOKUP(tbl_Ventes[[#This Row],[Cde_Prdt]], tbl_Produits[Cde_Prdt], tbl_Produits[Prix Menu]), 0)</f>
        <v>0</v>
      </c>
      <c r="H4616" s="7">
        <f>IFERROR(_xlfn.XLOOKUP(tbl_Ventes[[#This Row],[Cde_Prdt]], tbl_Produits[Cde_Prdt], tbl_Produits[Coût Moyen Portion]), 0)</f>
        <v>0</v>
      </c>
      <c r="I4616" s="7">
        <f>tbl_Ventes[[#This Row],[Qté Vendue]] * tbl_Ventes[[#This Row],[CMP_par_portion]]</f>
        <v>0</v>
      </c>
      <c r="J4616" s="7">
        <f>tbl_Ventes[[#This Row],[CA ligne]] - tbl_Ventes[[#This Row],[Coût matière ligne]]</f>
        <v>0</v>
      </c>
      <c r="K4616" s="7" t="str">
        <f>IFERROR(INDEX(tbl_ProduitsRef[Famille], MATCH(tbl_Ventes[[#This Row],[Cde_Prdt]], tbl_Produits[Cde_Prdt], 0)), "")</f>
        <v/>
      </c>
    </row>
    <row r="4617" spans="1:11" x14ac:dyDescent="0.25">
      <c r="A4617" s="5"/>
      <c r="B4617" s="63" t="str">
        <f>IFERROR(TEXT(tbl_Ventes[[#This Row],[Date]],"mm-aaaa"),"")</f>
        <v>01-1900</v>
      </c>
      <c r="D4617" s="10" t="str">
        <f>IFERROR(
   INDEX(tbl_ProduitsRef[Cde_Prdt],MATCH(tbl_Ventes[[#This Row],[Produit]],tbl_ProduitsRef[Produit],0)),
   ""
)</f>
        <v/>
      </c>
      <c r="E4617" s="7">
        <v>0</v>
      </c>
      <c r="F4617" s="7" t="str">
        <f>IFERROR(
   INDEX(tbl_ProduitsRef[Prix Menu],MATCH(tbl_Ventes[[#This Row],[Produit]],tbl_ProduitsRef[Produit],0)),
   ""
)</f>
        <v/>
      </c>
      <c r="G4617" s="7">
        <f>tbl_Ventes[[#This Row],[Qté Vendue]] * IFERROR(_xlfn.XLOOKUP(tbl_Ventes[[#This Row],[Cde_Prdt]], tbl_Produits[Cde_Prdt], tbl_Produits[Prix Menu]), 0)</f>
        <v>0</v>
      </c>
      <c r="H4617" s="7">
        <f>IFERROR(_xlfn.XLOOKUP(tbl_Ventes[[#This Row],[Cde_Prdt]], tbl_Produits[Cde_Prdt], tbl_Produits[Coût Moyen Portion]), 0)</f>
        <v>0</v>
      </c>
      <c r="I4617" s="7">
        <f>tbl_Ventes[[#This Row],[Qté Vendue]] * tbl_Ventes[[#This Row],[CMP_par_portion]]</f>
        <v>0</v>
      </c>
      <c r="J4617" s="7">
        <f>tbl_Ventes[[#This Row],[CA ligne]] - tbl_Ventes[[#This Row],[Coût matière ligne]]</f>
        <v>0</v>
      </c>
      <c r="K4617" s="7" t="str">
        <f>IFERROR(INDEX(tbl_ProduitsRef[Famille], MATCH(tbl_Ventes[[#This Row],[Cde_Prdt]], tbl_Produits[Cde_Prdt], 0)), "")</f>
        <v/>
      </c>
    </row>
    <row r="4618" spans="1:11" x14ac:dyDescent="0.25">
      <c r="A4618" s="5"/>
      <c r="B4618" s="63" t="str">
        <f>IFERROR(TEXT(tbl_Ventes[[#This Row],[Date]],"mm-aaaa"),"")</f>
        <v>01-1900</v>
      </c>
      <c r="D4618" s="10" t="str">
        <f>IFERROR(
   INDEX(tbl_ProduitsRef[Cde_Prdt],MATCH(tbl_Ventes[[#This Row],[Produit]],tbl_ProduitsRef[Produit],0)),
   ""
)</f>
        <v/>
      </c>
      <c r="E4618" s="7">
        <v>0</v>
      </c>
      <c r="F4618" s="7" t="str">
        <f>IFERROR(
   INDEX(tbl_ProduitsRef[Prix Menu],MATCH(tbl_Ventes[[#This Row],[Produit]],tbl_ProduitsRef[Produit],0)),
   ""
)</f>
        <v/>
      </c>
      <c r="G4618" s="7">
        <f>tbl_Ventes[[#This Row],[Qté Vendue]] * IFERROR(_xlfn.XLOOKUP(tbl_Ventes[[#This Row],[Cde_Prdt]], tbl_Produits[Cde_Prdt], tbl_Produits[Prix Menu]), 0)</f>
        <v>0</v>
      </c>
      <c r="H4618" s="7">
        <f>IFERROR(_xlfn.XLOOKUP(tbl_Ventes[[#This Row],[Cde_Prdt]], tbl_Produits[Cde_Prdt], tbl_Produits[Coût Moyen Portion]), 0)</f>
        <v>0</v>
      </c>
      <c r="I4618" s="7">
        <f>tbl_Ventes[[#This Row],[Qté Vendue]] * tbl_Ventes[[#This Row],[CMP_par_portion]]</f>
        <v>0</v>
      </c>
      <c r="J4618" s="7">
        <f>tbl_Ventes[[#This Row],[CA ligne]] - tbl_Ventes[[#This Row],[Coût matière ligne]]</f>
        <v>0</v>
      </c>
      <c r="K4618" s="7" t="str">
        <f>IFERROR(INDEX(tbl_ProduitsRef[Famille], MATCH(tbl_Ventes[[#This Row],[Cde_Prdt]], tbl_Produits[Cde_Prdt], 0)), "")</f>
        <v/>
      </c>
    </row>
    <row r="4619" spans="1:11" x14ac:dyDescent="0.25">
      <c r="A4619" s="5"/>
      <c r="B4619" s="63" t="str">
        <f>IFERROR(TEXT(tbl_Ventes[[#This Row],[Date]],"mm-aaaa"),"")</f>
        <v>01-1900</v>
      </c>
      <c r="D4619" s="10" t="str">
        <f>IFERROR(
   INDEX(tbl_ProduitsRef[Cde_Prdt],MATCH(tbl_Ventes[[#This Row],[Produit]],tbl_ProduitsRef[Produit],0)),
   ""
)</f>
        <v/>
      </c>
      <c r="E4619" s="7">
        <v>0</v>
      </c>
      <c r="F4619" s="7" t="str">
        <f>IFERROR(
   INDEX(tbl_ProduitsRef[Prix Menu],MATCH(tbl_Ventes[[#This Row],[Produit]],tbl_ProduitsRef[Produit],0)),
   ""
)</f>
        <v/>
      </c>
      <c r="G4619" s="7">
        <f>tbl_Ventes[[#This Row],[Qté Vendue]] * IFERROR(_xlfn.XLOOKUP(tbl_Ventes[[#This Row],[Cde_Prdt]], tbl_Produits[Cde_Prdt], tbl_Produits[Prix Menu]), 0)</f>
        <v>0</v>
      </c>
      <c r="H4619" s="7">
        <f>IFERROR(_xlfn.XLOOKUP(tbl_Ventes[[#This Row],[Cde_Prdt]], tbl_Produits[Cde_Prdt], tbl_Produits[Coût Moyen Portion]), 0)</f>
        <v>0</v>
      </c>
      <c r="I4619" s="7">
        <f>tbl_Ventes[[#This Row],[Qté Vendue]] * tbl_Ventes[[#This Row],[CMP_par_portion]]</f>
        <v>0</v>
      </c>
      <c r="J4619" s="7">
        <f>tbl_Ventes[[#This Row],[CA ligne]] - tbl_Ventes[[#This Row],[Coût matière ligne]]</f>
        <v>0</v>
      </c>
      <c r="K4619" s="7" t="str">
        <f>IFERROR(INDEX(tbl_ProduitsRef[Famille], MATCH(tbl_Ventes[[#This Row],[Cde_Prdt]], tbl_Produits[Cde_Prdt], 0)), "")</f>
        <v/>
      </c>
    </row>
    <row r="4620" spans="1:11" x14ac:dyDescent="0.25">
      <c r="A4620" s="5"/>
      <c r="B4620" s="63" t="str">
        <f>IFERROR(TEXT(tbl_Ventes[[#This Row],[Date]],"mm-aaaa"),"")</f>
        <v>01-1900</v>
      </c>
      <c r="D4620" s="10" t="str">
        <f>IFERROR(
   INDEX(tbl_ProduitsRef[Cde_Prdt],MATCH(tbl_Ventes[[#This Row],[Produit]],tbl_ProduitsRef[Produit],0)),
   ""
)</f>
        <v/>
      </c>
      <c r="E4620" s="7">
        <v>0</v>
      </c>
      <c r="F4620" s="7" t="str">
        <f>IFERROR(
   INDEX(tbl_ProduitsRef[Prix Menu],MATCH(tbl_Ventes[[#This Row],[Produit]],tbl_ProduitsRef[Produit],0)),
   ""
)</f>
        <v/>
      </c>
      <c r="G4620" s="7">
        <f>tbl_Ventes[[#This Row],[Qté Vendue]] * IFERROR(_xlfn.XLOOKUP(tbl_Ventes[[#This Row],[Cde_Prdt]], tbl_Produits[Cde_Prdt], tbl_Produits[Prix Menu]), 0)</f>
        <v>0</v>
      </c>
      <c r="H4620" s="7">
        <f>IFERROR(_xlfn.XLOOKUP(tbl_Ventes[[#This Row],[Cde_Prdt]], tbl_Produits[Cde_Prdt], tbl_Produits[Coût Moyen Portion]), 0)</f>
        <v>0</v>
      </c>
      <c r="I4620" s="7">
        <f>tbl_Ventes[[#This Row],[Qté Vendue]] * tbl_Ventes[[#This Row],[CMP_par_portion]]</f>
        <v>0</v>
      </c>
      <c r="J4620" s="7">
        <f>tbl_Ventes[[#This Row],[CA ligne]] - tbl_Ventes[[#This Row],[Coût matière ligne]]</f>
        <v>0</v>
      </c>
      <c r="K4620" s="7" t="str">
        <f>IFERROR(INDEX(tbl_ProduitsRef[Famille], MATCH(tbl_Ventes[[#This Row],[Cde_Prdt]], tbl_Produits[Cde_Prdt], 0)), "")</f>
        <v/>
      </c>
    </row>
    <row r="4621" spans="1:11" x14ac:dyDescent="0.25">
      <c r="A4621" s="5"/>
      <c r="B4621" s="63" t="str">
        <f>IFERROR(TEXT(tbl_Ventes[[#This Row],[Date]],"mm-aaaa"),"")</f>
        <v>01-1900</v>
      </c>
      <c r="D4621" s="10" t="str">
        <f>IFERROR(
   INDEX(tbl_ProduitsRef[Cde_Prdt],MATCH(tbl_Ventes[[#This Row],[Produit]],tbl_ProduitsRef[Produit],0)),
   ""
)</f>
        <v/>
      </c>
      <c r="E4621" s="7">
        <v>0</v>
      </c>
      <c r="F4621" s="7" t="str">
        <f>IFERROR(
   INDEX(tbl_ProduitsRef[Prix Menu],MATCH(tbl_Ventes[[#This Row],[Produit]],tbl_ProduitsRef[Produit],0)),
   ""
)</f>
        <v/>
      </c>
      <c r="G4621" s="7">
        <f>tbl_Ventes[[#This Row],[Qté Vendue]] * IFERROR(_xlfn.XLOOKUP(tbl_Ventes[[#This Row],[Cde_Prdt]], tbl_Produits[Cde_Prdt], tbl_Produits[Prix Menu]), 0)</f>
        <v>0</v>
      </c>
      <c r="H4621" s="7">
        <f>IFERROR(_xlfn.XLOOKUP(tbl_Ventes[[#This Row],[Cde_Prdt]], tbl_Produits[Cde_Prdt], tbl_Produits[Coût Moyen Portion]), 0)</f>
        <v>0</v>
      </c>
      <c r="I4621" s="7">
        <f>tbl_Ventes[[#This Row],[Qté Vendue]] * tbl_Ventes[[#This Row],[CMP_par_portion]]</f>
        <v>0</v>
      </c>
      <c r="J4621" s="7">
        <f>tbl_Ventes[[#This Row],[CA ligne]] - tbl_Ventes[[#This Row],[Coût matière ligne]]</f>
        <v>0</v>
      </c>
      <c r="K4621" s="7" t="str">
        <f>IFERROR(INDEX(tbl_ProduitsRef[Famille], MATCH(tbl_Ventes[[#This Row],[Cde_Prdt]], tbl_Produits[Cde_Prdt], 0)), "")</f>
        <v/>
      </c>
    </row>
    <row r="4622" spans="1:11" x14ac:dyDescent="0.25">
      <c r="A4622" s="5"/>
      <c r="B4622" s="63" t="str">
        <f>IFERROR(TEXT(tbl_Ventes[[#This Row],[Date]],"mm-aaaa"),"")</f>
        <v>01-1900</v>
      </c>
      <c r="D4622" s="10" t="str">
        <f>IFERROR(
   INDEX(tbl_ProduitsRef[Cde_Prdt],MATCH(tbl_Ventes[[#This Row],[Produit]],tbl_ProduitsRef[Produit],0)),
   ""
)</f>
        <v/>
      </c>
      <c r="E4622" s="7">
        <v>0</v>
      </c>
      <c r="F4622" s="7" t="str">
        <f>IFERROR(
   INDEX(tbl_ProduitsRef[Prix Menu],MATCH(tbl_Ventes[[#This Row],[Produit]],tbl_ProduitsRef[Produit],0)),
   ""
)</f>
        <v/>
      </c>
      <c r="G4622" s="7">
        <f>tbl_Ventes[[#This Row],[Qté Vendue]] * IFERROR(_xlfn.XLOOKUP(tbl_Ventes[[#This Row],[Cde_Prdt]], tbl_Produits[Cde_Prdt], tbl_Produits[Prix Menu]), 0)</f>
        <v>0</v>
      </c>
      <c r="H4622" s="7">
        <f>IFERROR(_xlfn.XLOOKUP(tbl_Ventes[[#This Row],[Cde_Prdt]], tbl_Produits[Cde_Prdt], tbl_Produits[Coût Moyen Portion]), 0)</f>
        <v>0</v>
      </c>
      <c r="I4622" s="7">
        <f>tbl_Ventes[[#This Row],[Qté Vendue]] * tbl_Ventes[[#This Row],[CMP_par_portion]]</f>
        <v>0</v>
      </c>
      <c r="J4622" s="7">
        <f>tbl_Ventes[[#This Row],[CA ligne]] - tbl_Ventes[[#This Row],[Coût matière ligne]]</f>
        <v>0</v>
      </c>
      <c r="K4622" s="7" t="str">
        <f>IFERROR(INDEX(tbl_ProduitsRef[Famille], MATCH(tbl_Ventes[[#This Row],[Cde_Prdt]], tbl_Produits[Cde_Prdt], 0)), "")</f>
        <v/>
      </c>
    </row>
    <row r="4623" spans="1:11" x14ac:dyDescent="0.25">
      <c r="A4623" s="5"/>
      <c r="B4623" s="63" t="str">
        <f>IFERROR(TEXT(tbl_Ventes[[#This Row],[Date]],"mm-aaaa"),"")</f>
        <v>01-1900</v>
      </c>
      <c r="D4623" s="10" t="str">
        <f>IFERROR(
   INDEX(tbl_ProduitsRef[Cde_Prdt],MATCH(tbl_Ventes[[#This Row],[Produit]],tbl_ProduitsRef[Produit],0)),
   ""
)</f>
        <v/>
      </c>
      <c r="E4623" s="7">
        <v>0</v>
      </c>
      <c r="F4623" s="7" t="str">
        <f>IFERROR(
   INDEX(tbl_ProduitsRef[Prix Menu],MATCH(tbl_Ventes[[#This Row],[Produit]],tbl_ProduitsRef[Produit],0)),
   ""
)</f>
        <v/>
      </c>
      <c r="G4623" s="7">
        <f>tbl_Ventes[[#This Row],[Qté Vendue]] * IFERROR(_xlfn.XLOOKUP(tbl_Ventes[[#This Row],[Cde_Prdt]], tbl_Produits[Cde_Prdt], tbl_Produits[Prix Menu]), 0)</f>
        <v>0</v>
      </c>
      <c r="H4623" s="7">
        <f>IFERROR(_xlfn.XLOOKUP(tbl_Ventes[[#This Row],[Cde_Prdt]], tbl_Produits[Cde_Prdt], tbl_Produits[Coût Moyen Portion]), 0)</f>
        <v>0</v>
      </c>
      <c r="I4623" s="7">
        <f>tbl_Ventes[[#This Row],[Qté Vendue]] * tbl_Ventes[[#This Row],[CMP_par_portion]]</f>
        <v>0</v>
      </c>
      <c r="J4623" s="7">
        <f>tbl_Ventes[[#This Row],[CA ligne]] - tbl_Ventes[[#This Row],[Coût matière ligne]]</f>
        <v>0</v>
      </c>
      <c r="K4623" s="7" t="str">
        <f>IFERROR(INDEX(tbl_ProduitsRef[Famille], MATCH(tbl_Ventes[[#This Row],[Cde_Prdt]], tbl_Produits[Cde_Prdt], 0)), "")</f>
        <v/>
      </c>
    </row>
    <row r="4624" spans="1:11" x14ac:dyDescent="0.25">
      <c r="A4624" s="5"/>
      <c r="B4624" s="63" t="str">
        <f>IFERROR(TEXT(tbl_Ventes[[#This Row],[Date]],"mm-aaaa"),"")</f>
        <v>01-1900</v>
      </c>
      <c r="D4624" s="10" t="str">
        <f>IFERROR(
   INDEX(tbl_ProduitsRef[Cde_Prdt],MATCH(tbl_Ventes[[#This Row],[Produit]],tbl_ProduitsRef[Produit],0)),
   ""
)</f>
        <v/>
      </c>
      <c r="E4624" s="7">
        <v>0</v>
      </c>
      <c r="F4624" s="7" t="str">
        <f>IFERROR(
   INDEX(tbl_ProduitsRef[Prix Menu],MATCH(tbl_Ventes[[#This Row],[Produit]],tbl_ProduitsRef[Produit],0)),
   ""
)</f>
        <v/>
      </c>
      <c r="G4624" s="7">
        <f>tbl_Ventes[[#This Row],[Qté Vendue]] * IFERROR(_xlfn.XLOOKUP(tbl_Ventes[[#This Row],[Cde_Prdt]], tbl_Produits[Cde_Prdt], tbl_Produits[Prix Menu]), 0)</f>
        <v>0</v>
      </c>
      <c r="H4624" s="7">
        <f>IFERROR(_xlfn.XLOOKUP(tbl_Ventes[[#This Row],[Cde_Prdt]], tbl_Produits[Cde_Prdt], tbl_Produits[Coût Moyen Portion]), 0)</f>
        <v>0</v>
      </c>
      <c r="I4624" s="7">
        <f>tbl_Ventes[[#This Row],[Qté Vendue]] * tbl_Ventes[[#This Row],[CMP_par_portion]]</f>
        <v>0</v>
      </c>
      <c r="J4624" s="7">
        <f>tbl_Ventes[[#This Row],[CA ligne]] - tbl_Ventes[[#This Row],[Coût matière ligne]]</f>
        <v>0</v>
      </c>
      <c r="K4624" s="7" t="str">
        <f>IFERROR(INDEX(tbl_ProduitsRef[Famille], MATCH(tbl_Ventes[[#This Row],[Cde_Prdt]], tbl_Produits[Cde_Prdt], 0)), "")</f>
        <v/>
      </c>
    </row>
    <row r="4625" spans="1:11" x14ac:dyDescent="0.25">
      <c r="A4625" s="5"/>
      <c r="B4625" s="63" t="str">
        <f>IFERROR(TEXT(tbl_Ventes[[#This Row],[Date]],"mm-aaaa"),"")</f>
        <v>01-1900</v>
      </c>
      <c r="D4625" s="10" t="str">
        <f>IFERROR(
   INDEX(tbl_ProduitsRef[Cde_Prdt],MATCH(tbl_Ventes[[#This Row],[Produit]],tbl_ProduitsRef[Produit],0)),
   ""
)</f>
        <v/>
      </c>
      <c r="E4625" s="7">
        <v>0</v>
      </c>
      <c r="F4625" s="7" t="str">
        <f>IFERROR(
   INDEX(tbl_ProduitsRef[Prix Menu],MATCH(tbl_Ventes[[#This Row],[Produit]],tbl_ProduitsRef[Produit],0)),
   ""
)</f>
        <v/>
      </c>
      <c r="G4625" s="7">
        <f>tbl_Ventes[[#This Row],[Qté Vendue]] * IFERROR(_xlfn.XLOOKUP(tbl_Ventes[[#This Row],[Cde_Prdt]], tbl_Produits[Cde_Prdt], tbl_Produits[Prix Menu]), 0)</f>
        <v>0</v>
      </c>
      <c r="H4625" s="7">
        <f>IFERROR(_xlfn.XLOOKUP(tbl_Ventes[[#This Row],[Cde_Prdt]], tbl_Produits[Cde_Prdt], tbl_Produits[Coût Moyen Portion]), 0)</f>
        <v>0</v>
      </c>
      <c r="I4625" s="7">
        <f>tbl_Ventes[[#This Row],[Qté Vendue]] * tbl_Ventes[[#This Row],[CMP_par_portion]]</f>
        <v>0</v>
      </c>
      <c r="J4625" s="7">
        <f>tbl_Ventes[[#This Row],[CA ligne]] - tbl_Ventes[[#This Row],[Coût matière ligne]]</f>
        <v>0</v>
      </c>
      <c r="K4625" s="7" t="str">
        <f>IFERROR(INDEX(tbl_ProduitsRef[Famille], MATCH(tbl_Ventes[[#This Row],[Cde_Prdt]], tbl_Produits[Cde_Prdt], 0)), "")</f>
        <v/>
      </c>
    </row>
    <row r="4626" spans="1:11" x14ac:dyDescent="0.25">
      <c r="A4626" s="5"/>
      <c r="B4626" s="63" t="str">
        <f>IFERROR(TEXT(tbl_Ventes[[#This Row],[Date]],"mm-aaaa"),"")</f>
        <v>01-1900</v>
      </c>
      <c r="D4626" s="10" t="str">
        <f>IFERROR(
   INDEX(tbl_ProduitsRef[Cde_Prdt],MATCH(tbl_Ventes[[#This Row],[Produit]],tbl_ProduitsRef[Produit],0)),
   ""
)</f>
        <v/>
      </c>
      <c r="E4626" s="7">
        <v>0</v>
      </c>
      <c r="F4626" s="7" t="str">
        <f>IFERROR(
   INDEX(tbl_ProduitsRef[Prix Menu],MATCH(tbl_Ventes[[#This Row],[Produit]],tbl_ProduitsRef[Produit],0)),
   ""
)</f>
        <v/>
      </c>
      <c r="G4626" s="7">
        <f>tbl_Ventes[[#This Row],[Qté Vendue]] * IFERROR(_xlfn.XLOOKUP(tbl_Ventes[[#This Row],[Cde_Prdt]], tbl_Produits[Cde_Prdt], tbl_Produits[Prix Menu]), 0)</f>
        <v>0</v>
      </c>
      <c r="H4626" s="7">
        <f>IFERROR(_xlfn.XLOOKUP(tbl_Ventes[[#This Row],[Cde_Prdt]], tbl_Produits[Cde_Prdt], tbl_Produits[Coût Moyen Portion]), 0)</f>
        <v>0</v>
      </c>
      <c r="I4626" s="7">
        <f>tbl_Ventes[[#This Row],[Qté Vendue]] * tbl_Ventes[[#This Row],[CMP_par_portion]]</f>
        <v>0</v>
      </c>
      <c r="J4626" s="7">
        <f>tbl_Ventes[[#This Row],[CA ligne]] - tbl_Ventes[[#This Row],[Coût matière ligne]]</f>
        <v>0</v>
      </c>
      <c r="K4626" s="7" t="str">
        <f>IFERROR(INDEX(tbl_ProduitsRef[Famille], MATCH(tbl_Ventes[[#This Row],[Cde_Prdt]], tbl_Produits[Cde_Prdt], 0)), "")</f>
        <v/>
      </c>
    </row>
    <row r="4627" spans="1:11" x14ac:dyDescent="0.25">
      <c r="A4627" s="5"/>
      <c r="B4627" s="63" t="str">
        <f>IFERROR(TEXT(tbl_Ventes[[#This Row],[Date]],"mm-aaaa"),"")</f>
        <v>01-1900</v>
      </c>
      <c r="D4627" s="10" t="str">
        <f>IFERROR(
   INDEX(tbl_ProduitsRef[Cde_Prdt],MATCH(tbl_Ventes[[#This Row],[Produit]],tbl_ProduitsRef[Produit],0)),
   ""
)</f>
        <v/>
      </c>
      <c r="E4627" s="7">
        <v>0</v>
      </c>
      <c r="F4627" s="7" t="str">
        <f>IFERROR(
   INDEX(tbl_ProduitsRef[Prix Menu],MATCH(tbl_Ventes[[#This Row],[Produit]],tbl_ProduitsRef[Produit],0)),
   ""
)</f>
        <v/>
      </c>
      <c r="G4627" s="7">
        <f>tbl_Ventes[[#This Row],[Qté Vendue]] * IFERROR(_xlfn.XLOOKUP(tbl_Ventes[[#This Row],[Cde_Prdt]], tbl_Produits[Cde_Prdt], tbl_Produits[Prix Menu]), 0)</f>
        <v>0</v>
      </c>
      <c r="H4627" s="7">
        <f>IFERROR(_xlfn.XLOOKUP(tbl_Ventes[[#This Row],[Cde_Prdt]], tbl_Produits[Cde_Prdt], tbl_Produits[Coût Moyen Portion]), 0)</f>
        <v>0</v>
      </c>
      <c r="I4627" s="7">
        <f>tbl_Ventes[[#This Row],[Qté Vendue]] * tbl_Ventes[[#This Row],[CMP_par_portion]]</f>
        <v>0</v>
      </c>
      <c r="J4627" s="7">
        <f>tbl_Ventes[[#This Row],[CA ligne]] - tbl_Ventes[[#This Row],[Coût matière ligne]]</f>
        <v>0</v>
      </c>
      <c r="K4627" s="7" t="str">
        <f>IFERROR(INDEX(tbl_ProduitsRef[Famille], MATCH(tbl_Ventes[[#This Row],[Cde_Prdt]], tbl_Produits[Cde_Prdt], 0)), "")</f>
        <v/>
      </c>
    </row>
    <row r="4628" spans="1:11" x14ac:dyDescent="0.25">
      <c r="A4628" s="5"/>
      <c r="B4628" s="63" t="str">
        <f>IFERROR(TEXT(tbl_Ventes[[#This Row],[Date]],"mm-aaaa"),"")</f>
        <v>01-1900</v>
      </c>
      <c r="D4628" s="10" t="str">
        <f>IFERROR(
   INDEX(tbl_ProduitsRef[Cde_Prdt],MATCH(tbl_Ventes[[#This Row],[Produit]],tbl_ProduitsRef[Produit],0)),
   ""
)</f>
        <v/>
      </c>
      <c r="E4628" s="7">
        <v>0</v>
      </c>
      <c r="F4628" s="7" t="str">
        <f>IFERROR(
   INDEX(tbl_ProduitsRef[Prix Menu],MATCH(tbl_Ventes[[#This Row],[Produit]],tbl_ProduitsRef[Produit],0)),
   ""
)</f>
        <v/>
      </c>
      <c r="G4628" s="7">
        <f>tbl_Ventes[[#This Row],[Qté Vendue]] * IFERROR(_xlfn.XLOOKUP(tbl_Ventes[[#This Row],[Cde_Prdt]], tbl_Produits[Cde_Prdt], tbl_Produits[Prix Menu]), 0)</f>
        <v>0</v>
      </c>
      <c r="H4628" s="7">
        <f>IFERROR(_xlfn.XLOOKUP(tbl_Ventes[[#This Row],[Cde_Prdt]], tbl_Produits[Cde_Prdt], tbl_Produits[Coût Moyen Portion]), 0)</f>
        <v>0</v>
      </c>
      <c r="I4628" s="7">
        <f>tbl_Ventes[[#This Row],[Qté Vendue]] * tbl_Ventes[[#This Row],[CMP_par_portion]]</f>
        <v>0</v>
      </c>
      <c r="J4628" s="7">
        <f>tbl_Ventes[[#This Row],[CA ligne]] - tbl_Ventes[[#This Row],[Coût matière ligne]]</f>
        <v>0</v>
      </c>
      <c r="K4628" s="7" t="str">
        <f>IFERROR(INDEX(tbl_ProduitsRef[Famille], MATCH(tbl_Ventes[[#This Row],[Cde_Prdt]], tbl_Produits[Cde_Prdt], 0)), "")</f>
        <v/>
      </c>
    </row>
    <row r="4629" spans="1:11" x14ac:dyDescent="0.25">
      <c r="A4629" s="5"/>
      <c r="B4629" s="63" t="str">
        <f>IFERROR(TEXT(tbl_Ventes[[#This Row],[Date]],"mm-aaaa"),"")</f>
        <v>01-1900</v>
      </c>
      <c r="D4629" s="10" t="str">
        <f>IFERROR(
   INDEX(tbl_ProduitsRef[Cde_Prdt],MATCH(tbl_Ventes[[#This Row],[Produit]],tbl_ProduitsRef[Produit],0)),
   ""
)</f>
        <v/>
      </c>
      <c r="E4629" s="7">
        <v>0</v>
      </c>
      <c r="F4629" s="7" t="str">
        <f>IFERROR(
   INDEX(tbl_ProduitsRef[Prix Menu],MATCH(tbl_Ventes[[#This Row],[Produit]],tbl_ProduitsRef[Produit],0)),
   ""
)</f>
        <v/>
      </c>
      <c r="G4629" s="7">
        <f>tbl_Ventes[[#This Row],[Qté Vendue]] * IFERROR(_xlfn.XLOOKUP(tbl_Ventes[[#This Row],[Cde_Prdt]], tbl_Produits[Cde_Prdt], tbl_Produits[Prix Menu]), 0)</f>
        <v>0</v>
      </c>
      <c r="H4629" s="7">
        <f>IFERROR(_xlfn.XLOOKUP(tbl_Ventes[[#This Row],[Cde_Prdt]], tbl_Produits[Cde_Prdt], tbl_Produits[Coût Moyen Portion]), 0)</f>
        <v>0</v>
      </c>
      <c r="I4629" s="7">
        <f>tbl_Ventes[[#This Row],[Qté Vendue]] * tbl_Ventes[[#This Row],[CMP_par_portion]]</f>
        <v>0</v>
      </c>
      <c r="J4629" s="7">
        <f>tbl_Ventes[[#This Row],[CA ligne]] - tbl_Ventes[[#This Row],[Coût matière ligne]]</f>
        <v>0</v>
      </c>
      <c r="K4629" s="7" t="str">
        <f>IFERROR(INDEX(tbl_ProduitsRef[Famille], MATCH(tbl_Ventes[[#This Row],[Cde_Prdt]], tbl_Produits[Cde_Prdt], 0)), "")</f>
        <v/>
      </c>
    </row>
    <row r="4630" spans="1:11" x14ac:dyDescent="0.25">
      <c r="A4630" s="5"/>
      <c r="B4630" s="63" t="str">
        <f>IFERROR(TEXT(tbl_Ventes[[#This Row],[Date]],"mm-aaaa"),"")</f>
        <v>01-1900</v>
      </c>
      <c r="D4630" s="10" t="str">
        <f>IFERROR(
   INDEX(tbl_ProduitsRef[Cde_Prdt],MATCH(tbl_Ventes[[#This Row],[Produit]],tbl_ProduitsRef[Produit],0)),
   ""
)</f>
        <v/>
      </c>
      <c r="E4630" s="7">
        <v>0</v>
      </c>
      <c r="F4630" s="7" t="str">
        <f>IFERROR(
   INDEX(tbl_ProduitsRef[Prix Menu],MATCH(tbl_Ventes[[#This Row],[Produit]],tbl_ProduitsRef[Produit],0)),
   ""
)</f>
        <v/>
      </c>
      <c r="G4630" s="7">
        <f>tbl_Ventes[[#This Row],[Qté Vendue]] * IFERROR(_xlfn.XLOOKUP(tbl_Ventes[[#This Row],[Cde_Prdt]], tbl_Produits[Cde_Prdt], tbl_Produits[Prix Menu]), 0)</f>
        <v>0</v>
      </c>
      <c r="H4630" s="7">
        <f>IFERROR(_xlfn.XLOOKUP(tbl_Ventes[[#This Row],[Cde_Prdt]], tbl_Produits[Cde_Prdt], tbl_Produits[Coût Moyen Portion]), 0)</f>
        <v>0</v>
      </c>
      <c r="I4630" s="7">
        <f>tbl_Ventes[[#This Row],[Qté Vendue]] * tbl_Ventes[[#This Row],[CMP_par_portion]]</f>
        <v>0</v>
      </c>
      <c r="J4630" s="7">
        <f>tbl_Ventes[[#This Row],[CA ligne]] - tbl_Ventes[[#This Row],[Coût matière ligne]]</f>
        <v>0</v>
      </c>
      <c r="K4630" s="7" t="str">
        <f>IFERROR(INDEX(tbl_ProduitsRef[Famille], MATCH(tbl_Ventes[[#This Row],[Cde_Prdt]], tbl_Produits[Cde_Prdt], 0)), "")</f>
        <v/>
      </c>
    </row>
    <row r="4631" spans="1:11" x14ac:dyDescent="0.25">
      <c r="A4631" s="5"/>
      <c r="B4631" s="63" t="str">
        <f>IFERROR(TEXT(tbl_Ventes[[#This Row],[Date]],"mm-aaaa"),"")</f>
        <v>01-1900</v>
      </c>
      <c r="D4631" s="10" t="str">
        <f>IFERROR(
   INDEX(tbl_ProduitsRef[Cde_Prdt],MATCH(tbl_Ventes[[#This Row],[Produit]],tbl_ProduitsRef[Produit],0)),
   ""
)</f>
        <v/>
      </c>
      <c r="E4631" s="7">
        <v>0</v>
      </c>
      <c r="F4631" s="7" t="str">
        <f>IFERROR(
   INDEX(tbl_ProduitsRef[Prix Menu],MATCH(tbl_Ventes[[#This Row],[Produit]],tbl_ProduitsRef[Produit],0)),
   ""
)</f>
        <v/>
      </c>
      <c r="G4631" s="7">
        <f>tbl_Ventes[[#This Row],[Qté Vendue]] * IFERROR(_xlfn.XLOOKUP(tbl_Ventes[[#This Row],[Cde_Prdt]], tbl_Produits[Cde_Prdt], tbl_Produits[Prix Menu]), 0)</f>
        <v>0</v>
      </c>
      <c r="H4631" s="7">
        <f>IFERROR(_xlfn.XLOOKUP(tbl_Ventes[[#This Row],[Cde_Prdt]], tbl_Produits[Cde_Prdt], tbl_Produits[Coût Moyen Portion]), 0)</f>
        <v>0</v>
      </c>
      <c r="I4631" s="7">
        <f>tbl_Ventes[[#This Row],[Qté Vendue]] * tbl_Ventes[[#This Row],[CMP_par_portion]]</f>
        <v>0</v>
      </c>
      <c r="J4631" s="7">
        <f>tbl_Ventes[[#This Row],[CA ligne]] - tbl_Ventes[[#This Row],[Coût matière ligne]]</f>
        <v>0</v>
      </c>
      <c r="K4631" s="7" t="str">
        <f>IFERROR(INDEX(tbl_ProduitsRef[Famille], MATCH(tbl_Ventes[[#This Row],[Cde_Prdt]], tbl_Produits[Cde_Prdt], 0)), "")</f>
        <v/>
      </c>
    </row>
    <row r="4632" spans="1:11" x14ac:dyDescent="0.25">
      <c r="A4632" s="5"/>
      <c r="B4632" s="63" t="str">
        <f>IFERROR(TEXT(tbl_Ventes[[#This Row],[Date]],"mm-aaaa"),"")</f>
        <v>01-1900</v>
      </c>
      <c r="D4632" s="10" t="str">
        <f>IFERROR(
   INDEX(tbl_ProduitsRef[Cde_Prdt],MATCH(tbl_Ventes[[#This Row],[Produit]],tbl_ProduitsRef[Produit],0)),
   ""
)</f>
        <v/>
      </c>
      <c r="E4632" s="7">
        <v>0</v>
      </c>
      <c r="F4632" s="7" t="str">
        <f>IFERROR(
   INDEX(tbl_ProduitsRef[Prix Menu],MATCH(tbl_Ventes[[#This Row],[Produit]],tbl_ProduitsRef[Produit],0)),
   ""
)</f>
        <v/>
      </c>
      <c r="G4632" s="7">
        <f>tbl_Ventes[[#This Row],[Qté Vendue]] * IFERROR(_xlfn.XLOOKUP(tbl_Ventes[[#This Row],[Cde_Prdt]], tbl_Produits[Cde_Prdt], tbl_Produits[Prix Menu]), 0)</f>
        <v>0</v>
      </c>
      <c r="H4632" s="7">
        <f>IFERROR(_xlfn.XLOOKUP(tbl_Ventes[[#This Row],[Cde_Prdt]], tbl_Produits[Cde_Prdt], tbl_Produits[Coût Moyen Portion]), 0)</f>
        <v>0</v>
      </c>
      <c r="I4632" s="7">
        <f>tbl_Ventes[[#This Row],[Qté Vendue]] * tbl_Ventes[[#This Row],[CMP_par_portion]]</f>
        <v>0</v>
      </c>
      <c r="J4632" s="7">
        <f>tbl_Ventes[[#This Row],[CA ligne]] - tbl_Ventes[[#This Row],[Coût matière ligne]]</f>
        <v>0</v>
      </c>
      <c r="K4632" s="7" t="str">
        <f>IFERROR(INDEX(tbl_ProduitsRef[Famille], MATCH(tbl_Ventes[[#This Row],[Cde_Prdt]], tbl_Produits[Cde_Prdt], 0)), "")</f>
        <v/>
      </c>
    </row>
    <row r="4633" spans="1:11" x14ac:dyDescent="0.25">
      <c r="A4633" s="5"/>
      <c r="B4633" s="63" t="str">
        <f>IFERROR(TEXT(tbl_Ventes[[#This Row],[Date]],"mm-aaaa"),"")</f>
        <v>01-1900</v>
      </c>
      <c r="D4633" s="10" t="str">
        <f>IFERROR(
   INDEX(tbl_ProduitsRef[Cde_Prdt],MATCH(tbl_Ventes[[#This Row],[Produit]],tbl_ProduitsRef[Produit],0)),
   ""
)</f>
        <v/>
      </c>
      <c r="E4633" s="7">
        <v>0</v>
      </c>
      <c r="F4633" s="7" t="str">
        <f>IFERROR(
   INDEX(tbl_ProduitsRef[Prix Menu],MATCH(tbl_Ventes[[#This Row],[Produit]],tbl_ProduitsRef[Produit],0)),
   ""
)</f>
        <v/>
      </c>
      <c r="G4633" s="7">
        <f>tbl_Ventes[[#This Row],[Qté Vendue]] * IFERROR(_xlfn.XLOOKUP(tbl_Ventes[[#This Row],[Cde_Prdt]], tbl_Produits[Cde_Prdt], tbl_Produits[Prix Menu]), 0)</f>
        <v>0</v>
      </c>
      <c r="H4633" s="7">
        <f>IFERROR(_xlfn.XLOOKUP(tbl_Ventes[[#This Row],[Cde_Prdt]], tbl_Produits[Cde_Prdt], tbl_Produits[Coût Moyen Portion]), 0)</f>
        <v>0</v>
      </c>
      <c r="I4633" s="7">
        <f>tbl_Ventes[[#This Row],[Qté Vendue]] * tbl_Ventes[[#This Row],[CMP_par_portion]]</f>
        <v>0</v>
      </c>
      <c r="J4633" s="7">
        <f>tbl_Ventes[[#This Row],[CA ligne]] - tbl_Ventes[[#This Row],[Coût matière ligne]]</f>
        <v>0</v>
      </c>
      <c r="K4633" s="7" t="str">
        <f>IFERROR(INDEX(tbl_ProduitsRef[Famille], MATCH(tbl_Ventes[[#This Row],[Cde_Prdt]], tbl_Produits[Cde_Prdt], 0)), "")</f>
        <v/>
      </c>
    </row>
    <row r="4634" spans="1:11" x14ac:dyDescent="0.25">
      <c r="A4634" s="5"/>
      <c r="B4634" s="63" t="str">
        <f>IFERROR(TEXT(tbl_Ventes[[#This Row],[Date]],"mm-aaaa"),"")</f>
        <v>01-1900</v>
      </c>
      <c r="D4634" s="10" t="str">
        <f>IFERROR(
   INDEX(tbl_ProduitsRef[Cde_Prdt],MATCH(tbl_Ventes[[#This Row],[Produit]],tbl_ProduitsRef[Produit],0)),
   ""
)</f>
        <v/>
      </c>
      <c r="E4634" s="7">
        <v>0</v>
      </c>
      <c r="F4634" s="7" t="str">
        <f>IFERROR(
   INDEX(tbl_ProduitsRef[Prix Menu],MATCH(tbl_Ventes[[#This Row],[Produit]],tbl_ProduitsRef[Produit],0)),
   ""
)</f>
        <v/>
      </c>
      <c r="G4634" s="7">
        <f>tbl_Ventes[[#This Row],[Qté Vendue]] * IFERROR(_xlfn.XLOOKUP(tbl_Ventes[[#This Row],[Cde_Prdt]], tbl_Produits[Cde_Prdt], tbl_Produits[Prix Menu]), 0)</f>
        <v>0</v>
      </c>
      <c r="H4634" s="7">
        <f>IFERROR(_xlfn.XLOOKUP(tbl_Ventes[[#This Row],[Cde_Prdt]], tbl_Produits[Cde_Prdt], tbl_Produits[Coût Moyen Portion]), 0)</f>
        <v>0</v>
      </c>
      <c r="I4634" s="7">
        <f>tbl_Ventes[[#This Row],[Qté Vendue]] * tbl_Ventes[[#This Row],[CMP_par_portion]]</f>
        <v>0</v>
      </c>
      <c r="J4634" s="7">
        <f>tbl_Ventes[[#This Row],[CA ligne]] - tbl_Ventes[[#This Row],[Coût matière ligne]]</f>
        <v>0</v>
      </c>
      <c r="K4634" s="7" t="str">
        <f>IFERROR(INDEX(tbl_ProduitsRef[Famille], MATCH(tbl_Ventes[[#This Row],[Cde_Prdt]], tbl_Produits[Cde_Prdt], 0)), "")</f>
        <v/>
      </c>
    </row>
    <row r="4635" spans="1:11" x14ac:dyDescent="0.25">
      <c r="A4635" s="5"/>
      <c r="B4635" s="63" t="str">
        <f>IFERROR(TEXT(tbl_Ventes[[#This Row],[Date]],"mm-aaaa"),"")</f>
        <v>01-1900</v>
      </c>
      <c r="D4635" s="10" t="str">
        <f>IFERROR(
   INDEX(tbl_ProduitsRef[Cde_Prdt],MATCH(tbl_Ventes[[#This Row],[Produit]],tbl_ProduitsRef[Produit],0)),
   ""
)</f>
        <v/>
      </c>
      <c r="E4635" s="7">
        <v>0</v>
      </c>
      <c r="F4635" s="7" t="str">
        <f>IFERROR(
   INDEX(tbl_ProduitsRef[Prix Menu],MATCH(tbl_Ventes[[#This Row],[Produit]],tbl_ProduitsRef[Produit],0)),
   ""
)</f>
        <v/>
      </c>
      <c r="G4635" s="7">
        <f>tbl_Ventes[[#This Row],[Qté Vendue]] * IFERROR(_xlfn.XLOOKUP(tbl_Ventes[[#This Row],[Cde_Prdt]], tbl_Produits[Cde_Prdt], tbl_Produits[Prix Menu]), 0)</f>
        <v>0</v>
      </c>
      <c r="H4635" s="7">
        <f>IFERROR(_xlfn.XLOOKUP(tbl_Ventes[[#This Row],[Cde_Prdt]], tbl_Produits[Cde_Prdt], tbl_Produits[Coût Moyen Portion]), 0)</f>
        <v>0</v>
      </c>
      <c r="I4635" s="7">
        <f>tbl_Ventes[[#This Row],[Qté Vendue]] * tbl_Ventes[[#This Row],[CMP_par_portion]]</f>
        <v>0</v>
      </c>
      <c r="J4635" s="7">
        <f>tbl_Ventes[[#This Row],[CA ligne]] - tbl_Ventes[[#This Row],[Coût matière ligne]]</f>
        <v>0</v>
      </c>
      <c r="K4635" s="7" t="str">
        <f>IFERROR(INDEX(tbl_ProduitsRef[Famille], MATCH(tbl_Ventes[[#This Row],[Cde_Prdt]], tbl_Produits[Cde_Prdt], 0)), "")</f>
        <v/>
      </c>
    </row>
    <row r="4636" spans="1:11" x14ac:dyDescent="0.25">
      <c r="A4636" s="5"/>
      <c r="B4636" s="63" t="str">
        <f>IFERROR(TEXT(tbl_Ventes[[#This Row],[Date]],"mm-aaaa"),"")</f>
        <v>01-1900</v>
      </c>
      <c r="D4636" s="10" t="str">
        <f>IFERROR(
   INDEX(tbl_ProduitsRef[Cde_Prdt],MATCH(tbl_Ventes[[#This Row],[Produit]],tbl_ProduitsRef[Produit],0)),
   ""
)</f>
        <v/>
      </c>
      <c r="E4636" s="7">
        <v>0</v>
      </c>
      <c r="F4636" s="7" t="str">
        <f>IFERROR(
   INDEX(tbl_ProduitsRef[Prix Menu],MATCH(tbl_Ventes[[#This Row],[Produit]],tbl_ProduitsRef[Produit],0)),
   ""
)</f>
        <v/>
      </c>
      <c r="G4636" s="7">
        <f>tbl_Ventes[[#This Row],[Qté Vendue]] * IFERROR(_xlfn.XLOOKUP(tbl_Ventes[[#This Row],[Cde_Prdt]], tbl_Produits[Cde_Prdt], tbl_Produits[Prix Menu]), 0)</f>
        <v>0</v>
      </c>
      <c r="H4636" s="7">
        <f>IFERROR(_xlfn.XLOOKUP(tbl_Ventes[[#This Row],[Cde_Prdt]], tbl_Produits[Cde_Prdt], tbl_Produits[Coût Moyen Portion]), 0)</f>
        <v>0</v>
      </c>
      <c r="I4636" s="7">
        <f>tbl_Ventes[[#This Row],[Qté Vendue]] * tbl_Ventes[[#This Row],[CMP_par_portion]]</f>
        <v>0</v>
      </c>
      <c r="J4636" s="7">
        <f>tbl_Ventes[[#This Row],[CA ligne]] - tbl_Ventes[[#This Row],[Coût matière ligne]]</f>
        <v>0</v>
      </c>
      <c r="K4636" s="7" t="str">
        <f>IFERROR(INDEX(tbl_ProduitsRef[Famille], MATCH(tbl_Ventes[[#This Row],[Cde_Prdt]], tbl_Produits[Cde_Prdt], 0)), "")</f>
        <v/>
      </c>
    </row>
    <row r="4637" spans="1:11" x14ac:dyDescent="0.25">
      <c r="A4637" s="5"/>
      <c r="B4637" s="63" t="str">
        <f>IFERROR(TEXT(tbl_Ventes[[#This Row],[Date]],"mm-aaaa"),"")</f>
        <v>01-1900</v>
      </c>
      <c r="D4637" s="10" t="str">
        <f>IFERROR(
   INDEX(tbl_ProduitsRef[Cde_Prdt],MATCH(tbl_Ventes[[#This Row],[Produit]],tbl_ProduitsRef[Produit],0)),
   ""
)</f>
        <v/>
      </c>
      <c r="E4637" s="7">
        <v>0</v>
      </c>
      <c r="F4637" s="7" t="str">
        <f>IFERROR(
   INDEX(tbl_ProduitsRef[Prix Menu],MATCH(tbl_Ventes[[#This Row],[Produit]],tbl_ProduitsRef[Produit],0)),
   ""
)</f>
        <v/>
      </c>
      <c r="G4637" s="7">
        <f>tbl_Ventes[[#This Row],[Qté Vendue]] * IFERROR(_xlfn.XLOOKUP(tbl_Ventes[[#This Row],[Cde_Prdt]], tbl_Produits[Cde_Prdt], tbl_Produits[Prix Menu]), 0)</f>
        <v>0</v>
      </c>
      <c r="H4637" s="7">
        <f>IFERROR(_xlfn.XLOOKUP(tbl_Ventes[[#This Row],[Cde_Prdt]], tbl_Produits[Cde_Prdt], tbl_Produits[Coût Moyen Portion]), 0)</f>
        <v>0</v>
      </c>
      <c r="I4637" s="7">
        <f>tbl_Ventes[[#This Row],[Qté Vendue]] * tbl_Ventes[[#This Row],[CMP_par_portion]]</f>
        <v>0</v>
      </c>
      <c r="J4637" s="7">
        <f>tbl_Ventes[[#This Row],[CA ligne]] - tbl_Ventes[[#This Row],[Coût matière ligne]]</f>
        <v>0</v>
      </c>
      <c r="K4637" s="7" t="str">
        <f>IFERROR(INDEX(tbl_ProduitsRef[Famille], MATCH(tbl_Ventes[[#This Row],[Cde_Prdt]], tbl_Produits[Cde_Prdt], 0)), "")</f>
        <v/>
      </c>
    </row>
    <row r="4638" spans="1:11" x14ac:dyDescent="0.25">
      <c r="A4638" s="5"/>
      <c r="B4638" s="63" t="str">
        <f>IFERROR(TEXT(tbl_Ventes[[#This Row],[Date]],"mm-aaaa"),"")</f>
        <v>01-1900</v>
      </c>
      <c r="D4638" s="10" t="str">
        <f>IFERROR(
   INDEX(tbl_ProduitsRef[Cde_Prdt],MATCH(tbl_Ventes[[#This Row],[Produit]],tbl_ProduitsRef[Produit],0)),
   ""
)</f>
        <v/>
      </c>
      <c r="E4638" s="7">
        <v>0</v>
      </c>
      <c r="F4638" s="7" t="str">
        <f>IFERROR(
   INDEX(tbl_ProduitsRef[Prix Menu],MATCH(tbl_Ventes[[#This Row],[Produit]],tbl_ProduitsRef[Produit],0)),
   ""
)</f>
        <v/>
      </c>
      <c r="G4638" s="7">
        <f>tbl_Ventes[[#This Row],[Qté Vendue]] * IFERROR(_xlfn.XLOOKUP(tbl_Ventes[[#This Row],[Cde_Prdt]], tbl_Produits[Cde_Prdt], tbl_Produits[Prix Menu]), 0)</f>
        <v>0</v>
      </c>
      <c r="H4638" s="7">
        <f>IFERROR(_xlfn.XLOOKUP(tbl_Ventes[[#This Row],[Cde_Prdt]], tbl_Produits[Cde_Prdt], tbl_Produits[Coût Moyen Portion]), 0)</f>
        <v>0</v>
      </c>
      <c r="I4638" s="7">
        <f>tbl_Ventes[[#This Row],[Qté Vendue]] * tbl_Ventes[[#This Row],[CMP_par_portion]]</f>
        <v>0</v>
      </c>
      <c r="J4638" s="7">
        <f>tbl_Ventes[[#This Row],[CA ligne]] - tbl_Ventes[[#This Row],[Coût matière ligne]]</f>
        <v>0</v>
      </c>
      <c r="K4638" s="7" t="str">
        <f>IFERROR(INDEX(tbl_ProduitsRef[Famille], MATCH(tbl_Ventes[[#This Row],[Cde_Prdt]], tbl_Produits[Cde_Prdt], 0)), "")</f>
        <v/>
      </c>
    </row>
    <row r="4639" spans="1:11" x14ac:dyDescent="0.25">
      <c r="A4639" s="5"/>
      <c r="B4639" s="63" t="str">
        <f>IFERROR(TEXT(tbl_Ventes[[#This Row],[Date]],"mm-aaaa"),"")</f>
        <v>01-1900</v>
      </c>
      <c r="D4639" s="10" t="str">
        <f>IFERROR(
   INDEX(tbl_ProduitsRef[Cde_Prdt],MATCH(tbl_Ventes[[#This Row],[Produit]],tbl_ProduitsRef[Produit],0)),
   ""
)</f>
        <v/>
      </c>
      <c r="E4639" s="7">
        <v>0</v>
      </c>
      <c r="F4639" s="7" t="str">
        <f>IFERROR(
   INDEX(tbl_ProduitsRef[Prix Menu],MATCH(tbl_Ventes[[#This Row],[Produit]],tbl_ProduitsRef[Produit],0)),
   ""
)</f>
        <v/>
      </c>
      <c r="G4639" s="7">
        <f>tbl_Ventes[[#This Row],[Qté Vendue]] * IFERROR(_xlfn.XLOOKUP(tbl_Ventes[[#This Row],[Cde_Prdt]], tbl_Produits[Cde_Prdt], tbl_Produits[Prix Menu]), 0)</f>
        <v>0</v>
      </c>
      <c r="H4639" s="7">
        <f>IFERROR(_xlfn.XLOOKUP(tbl_Ventes[[#This Row],[Cde_Prdt]], tbl_Produits[Cde_Prdt], tbl_Produits[Coût Moyen Portion]), 0)</f>
        <v>0</v>
      </c>
      <c r="I4639" s="7">
        <f>tbl_Ventes[[#This Row],[Qté Vendue]] * tbl_Ventes[[#This Row],[CMP_par_portion]]</f>
        <v>0</v>
      </c>
      <c r="J4639" s="7">
        <f>tbl_Ventes[[#This Row],[CA ligne]] - tbl_Ventes[[#This Row],[Coût matière ligne]]</f>
        <v>0</v>
      </c>
      <c r="K4639" s="7" t="str">
        <f>IFERROR(INDEX(tbl_ProduitsRef[Famille], MATCH(tbl_Ventes[[#This Row],[Cde_Prdt]], tbl_Produits[Cde_Prdt], 0)), "")</f>
        <v/>
      </c>
    </row>
    <row r="4640" spans="1:11" x14ac:dyDescent="0.25">
      <c r="A4640" s="5"/>
      <c r="B4640" s="63" t="str">
        <f>IFERROR(TEXT(tbl_Ventes[[#This Row],[Date]],"mm-aaaa"),"")</f>
        <v>01-1900</v>
      </c>
      <c r="D4640" s="10" t="str">
        <f>IFERROR(
   INDEX(tbl_ProduitsRef[Cde_Prdt],MATCH(tbl_Ventes[[#This Row],[Produit]],tbl_ProduitsRef[Produit],0)),
   ""
)</f>
        <v/>
      </c>
      <c r="E4640" s="7">
        <v>0</v>
      </c>
      <c r="F4640" s="7" t="str">
        <f>IFERROR(
   INDEX(tbl_ProduitsRef[Prix Menu],MATCH(tbl_Ventes[[#This Row],[Produit]],tbl_ProduitsRef[Produit],0)),
   ""
)</f>
        <v/>
      </c>
      <c r="G4640" s="7">
        <f>tbl_Ventes[[#This Row],[Qté Vendue]] * IFERROR(_xlfn.XLOOKUP(tbl_Ventes[[#This Row],[Cde_Prdt]], tbl_Produits[Cde_Prdt], tbl_Produits[Prix Menu]), 0)</f>
        <v>0</v>
      </c>
      <c r="H4640" s="7">
        <f>IFERROR(_xlfn.XLOOKUP(tbl_Ventes[[#This Row],[Cde_Prdt]], tbl_Produits[Cde_Prdt], tbl_Produits[Coût Moyen Portion]), 0)</f>
        <v>0</v>
      </c>
      <c r="I4640" s="7">
        <f>tbl_Ventes[[#This Row],[Qté Vendue]] * tbl_Ventes[[#This Row],[CMP_par_portion]]</f>
        <v>0</v>
      </c>
      <c r="J4640" s="7">
        <f>tbl_Ventes[[#This Row],[CA ligne]] - tbl_Ventes[[#This Row],[Coût matière ligne]]</f>
        <v>0</v>
      </c>
      <c r="K4640" s="7" t="str">
        <f>IFERROR(INDEX(tbl_ProduitsRef[Famille], MATCH(tbl_Ventes[[#This Row],[Cde_Prdt]], tbl_Produits[Cde_Prdt], 0)), "")</f>
        <v/>
      </c>
    </row>
    <row r="4641" spans="1:11" x14ac:dyDescent="0.25">
      <c r="A4641" s="5"/>
      <c r="B4641" s="63" t="str">
        <f>IFERROR(TEXT(tbl_Ventes[[#This Row],[Date]],"mm-aaaa"),"")</f>
        <v>01-1900</v>
      </c>
      <c r="D4641" s="10" t="str">
        <f>IFERROR(
   INDEX(tbl_ProduitsRef[Cde_Prdt],MATCH(tbl_Ventes[[#This Row],[Produit]],tbl_ProduitsRef[Produit],0)),
   ""
)</f>
        <v/>
      </c>
      <c r="E4641" s="7">
        <v>0</v>
      </c>
      <c r="F4641" s="7" t="str">
        <f>IFERROR(
   INDEX(tbl_ProduitsRef[Prix Menu],MATCH(tbl_Ventes[[#This Row],[Produit]],tbl_ProduitsRef[Produit],0)),
   ""
)</f>
        <v/>
      </c>
      <c r="G4641" s="7">
        <f>tbl_Ventes[[#This Row],[Qté Vendue]] * IFERROR(_xlfn.XLOOKUP(tbl_Ventes[[#This Row],[Cde_Prdt]], tbl_Produits[Cde_Prdt], tbl_Produits[Prix Menu]), 0)</f>
        <v>0</v>
      </c>
      <c r="H4641" s="7">
        <f>IFERROR(_xlfn.XLOOKUP(tbl_Ventes[[#This Row],[Cde_Prdt]], tbl_Produits[Cde_Prdt], tbl_Produits[Coût Moyen Portion]), 0)</f>
        <v>0</v>
      </c>
      <c r="I4641" s="7">
        <f>tbl_Ventes[[#This Row],[Qté Vendue]] * tbl_Ventes[[#This Row],[CMP_par_portion]]</f>
        <v>0</v>
      </c>
      <c r="J4641" s="7">
        <f>tbl_Ventes[[#This Row],[CA ligne]] - tbl_Ventes[[#This Row],[Coût matière ligne]]</f>
        <v>0</v>
      </c>
      <c r="K4641" s="7" t="str">
        <f>IFERROR(INDEX(tbl_ProduitsRef[Famille], MATCH(tbl_Ventes[[#This Row],[Cde_Prdt]], tbl_Produits[Cde_Prdt], 0)), "")</f>
        <v/>
      </c>
    </row>
    <row r="4642" spans="1:11" x14ac:dyDescent="0.25">
      <c r="A4642" s="5"/>
      <c r="B4642" s="63" t="str">
        <f>IFERROR(TEXT(tbl_Ventes[[#This Row],[Date]],"mm-aaaa"),"")</f>
        <v>01-1900</v>
      </c>
      <c r="D4642" s="10" t="str">
        <f>IFERROR(
   INDEX(tbl_ProduitsRef[Cde_Prdt],MATCH(tbl_Ventes[[#This Row],[Produit]],tbl_ProduitsRef[Produit],0)),
   ""
)</f>
        <v/>
      </c>
      <c r="E4642" s="7">
        <v>0</v>
      </c>
      <c r="F4642" s="7" t="str">
        <f>IFERROR(
   INDEX(tbl_ProduitsRef[Prix Menu],MATCH(tbl_Ventes[[#This Row],[Produit]],tbl_ProduitsRef[Produit],0)),
   ""
)</f>
        <v/>
      </c>
      <c r="G4642" s="7">
        <f>tbl_Ventes[[#This Row],[Qté Vendue]] * IFERROR(_xlfn.XLOOKUP(tbl_Ventes[[#This Row],[Cde_Prdt]], tbl_Produits[Cde_Prdt], tbl_Produits[Prix Menu]), 0)</f>
        <v>0</v>
      </c>
      <c r="H4642" s="7">
        <f>IFERROR(_xlfn.XLOOKUP(tbl_Ventes[[#This Row],[Cde_Prdt]], tbl_Produits[Cde_Prdt], tbl_Produits[Coût Moyen Portion]), 0)</f>
        <v>0</v>
      </c>
      <c r="I4642" s="7">
        <f>tbl_Ventes[[#This Row],[Qté Vendue]] * tbl_Ventes[[#This Row],[CMP_par_portion]]</f>
        <v>0</v>
      </c>
      <c r="J4642" s="7">
        <f>tbl_Ventes[[#This Row],[CA ligne]] - tbl_Ventes[[#This Row],[Coût matière ligne]]</f>
        <v>0</v>
      </c>
      <c r="K4642" s="7" t="str">
        <f>IFERROR(INDEX(tbl_ProduitsRef[Famille], MATCH(tbl_Ventes[[#This Row],[Cde_Prdt]], tbl_Produits[Cde_Prdt], 0)), "")</f>
        <v/>
      </c>
    </row>
    <row r="4643" spans="1:11" x14ac:dyDescent="0.25">
      <c r="A4643" s="5"/>
      <c r="B4643" s="63" t="str">
        <f>IFERROR(TEXT(tbl_Ventes[[#This Row],[Date]],"mm-aaaa"),"")</f>
        <v>01-1900</v>
      </c>
      <c r="D4643" s="10" t="str">
        <f>IFERROR(
   INDEX(tbl_ProduitsRef[Cde_Prdt],MATCH(tbl_Ventes[[#This Row],[Produit]],tbl_ProduitsRef[Produit],0)),
   ""
)</f>
        <v/>
      </c>
      <c r="E4643" s="7">
        <v>0</v>
      </c>
      <c r="F4643" s="7" t="str">
        <f>IFERROR(
   INDEX(tbl_ProduitsRef[Prix Menu],MATCH(tbl_Ventes[[#This Row],[Produit]],tbl_ProduitsRef[Produit],0)),
   ""
)</f>
        <v/>
      </c>
      <c r="G4643" s="7">
        <f>tbl_Ventes[[#This Row],[Qté Vendue]] * IFERROR(_xlfn.XLOOKUP(tbl_Ventes[[#This Row],[Cde_Prdt]], tbl_Produits[Cde_Prdt], tbl_Produits[Prix Menu]), 0)</f>
        <v>0</v>
      </c>
      <c r="H4643" s="7">
        <f>IFERROR(_xlfn.XLOOKUP(tbl_Ventes[[#This Row],[Cde_Prdt]], tbl_Produits[Cde_Prdt], tbl_Produits[Coût Moyen Portion]), 0)</f>
        <v>0</v>
      </c>
      <c r="I4643" s="7">
        <f>tbl_Ventes[[#This Row],[Qté Vendue]] * tbl_Ventes[[#This Row],[CMP_par_portion]]</f>
        <v>0</v>
      </c>
      <c r="J4643" s="7">
        <f>tbl_Ventes[[#This Row],[CA ligne]] - tbl_Ventes[[#This Row],[Coût matière ligne]]</f>
        <v>0</v>
      </c>
      <c r="K4643" s="7" t="str">
        <f>IFERROR(INDEX(tbl_ProduitsRef[Famille], MATCH(tbl_Ventes[[#This Row],[Cde_Prdt]], tbl_Produits[Cde_Prdt], 0)), "")</f>
        <v/>
      </c>
    </row>
    <row r="4644" spans="1:11" x14ac:dyDescent="0.25">
      <c r="A4644" s="5"/>
      <c r="B4644" s="63" t="str">
        <f>IFERROR(TEXT(tbl_Ventes[[#This Row],[Date]],"mm-aaaa"),"")</f>
        <v>01-1900</v>
      </c>
      <c r="D4644" s="10" t="str">
        <f>IFERROR(
   INDEX(tbl_ProduitsRef[Cde_Prdt],MATCH(tbl_Ventes[[#This Row],[Produit]],tbl_ProduitsRef[Produit],0)),
   ""
)</f>
        <v/>
      </c>
      <c r="E4644" s="7">
        <v>0</v>
      </c>
      <c r="F4644" s="7" t="str">
        <f>IFERROR(
   INDEX(tbl_ProduitsRef[Prix Menu],MATCH(tbl_Ventes[[#This Row],[Produit]],tbl_ProduitsRef[Produit],0)),
   ""
)</f>
        <v/>
      </c>
      <c r="G4644" s="7">
        <f>tbl_Ventes[[#This Row],[Qté Vendue]] * IFERROR(_xlfn.XLOOKUP(tbl_Ventes[[#This Row],[Cde_Prdt]], tbl_Produits[Cde_Prdt], tbl_Produits[Prix Menu]), 0)</f>
        <v>0</v>
      </c>
      <c r="H4644" s="7">
        <f>IFERROR(_xlfn.XLOOKUP(tbl_Ventes[[#This Row],[Cde_Prdt]], tbl_Produits[Cde_Prdt], tbl_Produits[Coût Moyen Portion]), 0)</f>
        <v>0</v>
      </c>
      <c r="I4644" s="7">
        <f>tbl_Ventes[[#This Row],[Qté Vendue]] * tbl_Ventes[[#This Row],[CMP_par_portion]]</f>
        <v>0</v>
      </c>
      <c r="J4644" s="7">
        <f>tbl_Ventes[[#This Row],[CA ligne]] - tbl_Ventes[[#This Row],[Coût matière ligne]]</f>
        <v>0</v>
      </c>
      <c r="K4644" s="7" t="str">
        <f>IFERROR(INDEX(tbl_ProduitsRef[Famille], MATCH(tbl_Ventes[[#This Row],[Cde_Prdt]], tbl_Produits[Cde_Prdt], 0)), "")</f>
        <v/>
      </c>
    </row>
    <row r="4645" spans="1:11" x14ac:dyDescent="0.25">
      <c r="A4645" s="5"/>
      <c r="B4645" s="63" t="str">
        <f>IFERROR(TEXT(tbl_Ventes[[#This Row],[Date]],"mm-aaaa"),"")</f>
        <v>01-1900</v>
      </c>
      <c r="D4645" s="10" t="str">
        <f>IFERROR(
   INDEX(tbl_ProduitsRef[Cde_Prdt],MATCH(tbl_Ventes[[#This Row],[Produit]],tbl_ProduitsRef[Produit],0)),
   ""
)</f>
        <v/>
      </c>
      <c r="E4645" s="7">
        <v>0</v>
      </c>
      <c r="F4645" s="7" t="str">
        <f>IFERROR(
   INDEX(tbl_ProduitsRef[Prix Menu],MATCH(tbl_Ventes[[#This Row],[Produit]],tbl_ProduitsRef[Produit],0)),
   ""
)</f>
        <v/>
      </c>
      <c r="G4645" s="7">
        <f>tbl_Ventes[[#This Row],[Qté Vendue]] * IFERROR(_xlfn.XLOOKUP(tbl_Ventes[[#This Row],[Cde_Prdt]], tbl_Produits[Cde_Prdt], tbl_Produits[Prix Menu]), 0)</f>
        <v>0</v>
      </c>
      <c r="H4645" s="7">
        <f>IFERROR(_xlfn.XLOOKUP(tbl_Ventes[[#This Row],[Cde_Prdt]], tbl_Produits[Cde_Prdt], tbl_Produits[Coût Moyen Portion]), 0)</f>
        <v>0</v>
      </c>
      <c r="I4645" s="7">
        <f>tbl_Ventes[[#This Row],[Qté Vendue]] * tbl_Ventes[[#This Row],[CMP_par_portion]]</f>
        <v>0</v>
      </c>
      <c r="J4645" s="7">
        <f>tbl_Ventes[[#This Row],[CA ligne]] - tbl_Ventes[[#This Row],[Coût matière ligne]]</f>
        <v>0</v>
      </c>
      <c r="K4645" s="7" t="str">
        <f>IFERROR(INDEX(tbl_ProduitsRef[Famille], MATCH(tbl_Ventes[[#This Row],[Cde_Prdt]], tbl_Produits[Cde_Prdt], 0)), "")</f>
        <v/>
      </c>
    </row>
    <row r="4646" spans="1:11" x14ac:dyDescent="0.25">
      <c r="A4646" s="5"/>
      <c r="B4646" s="63" t="str">
        <f>IFERROR(TEXT(tbl_Ventes[[#This Row],[Date]],"mm-aaaa"),"")</f>
        <v>01-1900</v>
      </c>
      <c r="D4646" s="10" t="str">
        <f>IFERROR(
   INDEX(tbl_ProduitsRef[Cde_Prdt],MATCH(tbl_Ventes[[#This Row],[Produit]],tbl_ProduitsRef[Produit],0)),
   ""
)</f>
        <v/>
      </c>
      <c r="E4646" s="7">
        <v>0</v>
      </c>
      <c r="F4646" s="7" t="str">
        <f>IFERROR(
   INDEX(tbl_ProduitsRef[Prix Menu],MATCH(tbl_Ventes[[#This Row],[Produit]],tbl_ProduitsRef[Produit],0)),
   ""
)</f>
        <v/>
      </c>
      <c r="G4646" s="7">
        <f>tbl_Ventes[[#This Row],[Qté Vendue]] * IFERROR(_xlfn.XLOOKUP(tbl_Ventes[[#This Row],[Cde_Prdt]], tbl_Produits[Cde_Prdt], tbl_Produits[Prix Menu]), 0)</f>
        <v>0</v>
      </c>
      <c r="H4646" s="7">
        <f>IFERROR(_xlfn.XLOOKUP(tbl_Ventes[[#This Row],[Cde_Prdt]], tbl_Produits[Cde_Prdt], tbl_Produits[Coût Moyen Portion]), 0)</f>
        <v>0</v>
      </c>
      <c r="I4646" s="7">
        <f>tbl_Ventes[[#This Row],[Qté Vendue]] * tbl_Ventes[[#This Row],[CMP_par_portion]]</f>
        <v>0</v>
      </c>
      <c r="J4646" s="7">
        <f>tbl_Ventes[[#This Row],[CA ligne]] - tbl_Ventes[[#This Row],[Coût matière ligne]]</f>
        <v>0</v>
      </c>
      <c r="K4646" s="7" t="str">
        <f>IFERROR(INDEX(tbl_ProduitsRef[Famille], MATCH(tbl_Ventes[[#This Row],[Cde_Prdt]], tbl_Produits[Cde_Prdt], 0)), "")</f>
        <v/>
      </c>
    </row>
    <row r="4647" spans="1:11" x14ac:dyDescent="0.25">
      <c r="A4647" s="5"/>
      <c r="B4647" s="63" t="str">
        <f>IFERROR(TEXT(tbl_Ventes[[#This Row],[Date]],"mm-aaaa"),"")</f>
        <v>01-1900</v>
      </c>
      <c r="D4647" s="10" t="str">
        <f>IFERROR(
   INDEX(tbl_ProduitsRef[Cde_Prdt],MATCH(tbl_Ventes[[#This Row],[Produit]],tbl_ProduitsRef[Produit],0)),
   ""
)</f>
        <v/>
      </c>
      <c r="E4647" s="7">
        <v>0</v>
      </c>
      <c r="F4647" s="7" t="str">
        <f>IFERROR(
   INDEX(tbl_ProduitsRef[Prix Menu],MATCH(tbl_Ventes[[#This Row],[Produit]],tbl_ProduitsRef[Produit],0)),
   ""
)</f>
        <v/>
      </c>
      <c r="G4647" s="7">
        <f>tbl_Ventes[[#This Row],[Qté Vendue]] * IFERROR(_xlfn.XLOOKUP(tbl_Ventes[[#This Row],[Cde_Prdt]], tbl_Produits[Cde_Prdt], tbl_Produits[Prix Menu]), 0)</f>
        <v>0</v>
      </c>
      <c r="H4647" s="7">
        <f>IFERROR(_xlfn.XLOOKUP(tbl_Ventes[[#This Row],[Cde_Prdt]], tbl_Produits[Cde_Prdt], tbl_Produits[Coût Moyen Portion]), 0)</f>
        <v>0</v>
      </c>
      <c r="I4647" s="7">
        <f>tbl_Ventes[[#This Row],[Qté Vendue]] * tbl_Ventes[[#This Row],[CMP_par_portion]]</f>
        <v>0</v>
      </c>
      <c r="J4647" s="7">
        <f>tbl_Ventes[[#This Row],[CA ligne]] - tbl_Ventes[[#This Row],[Coût matière ligne]]</f>
        <v>0</v>
      </c>
      <c r="K4647" s="7" t="str">
        <f>IFERROR(INDEX(tbl_ProduitsRef[Famille], MATCH(tbl_Ventes[[#This Row],[Cde_Prdt]], tbl_Produits[Cde_Prdt], 0)), "")</f>
        <v/>
      </c>
    </row>
    <row r="4648" spans="1:11" x14ac:dyDescent="0.25">
      <c r="A4648" s="5"/>
      <c r="B4648" s="63" t="str">
        <f>IFERROR(TEXT(tbl_Ventes[[#This Row],[Date]],"mm-aaaa"),"")</f>
        <v>01-1900</v>
      </c>
      <c r="D4648" s="10" t="str">
        <f>IFERROR(
   INDEX(tbl_ProduitsRef[Cde_Prdt],MATCH(tbl_Ventes[[#This Row],[Produit]],tbl_ProduitsRef[Produit],0)),
   ""
)</f>
        <v/>
      </c>
      <c r="E4648" s="7">
        <v>0</v>
      </c>
      <c r="F4648" s="7" t="str">
        <f>IFERROR(
   INDEX(tbl_ProduitsRef[Prix Menu],MATCH(tbl_Ventes[[#This Row],[Produit]],tbl_ProduitsRef[Produit],0)),
   ""
)</f>
        <v/>
      </c>
      <c r="G4648" s="7">
        <f>tbl_Ventes[[#This Row],[Qté Vendue]] * IFERROR(_xlfn.XLOOKUP(tbl_Ventes[[#This Row],[Cde_Prdt]], tbl_Produits[Cde_Prdt], tbl_Produits[Prix Menu]), 0)</f>
        <v>0</v>
      </c>
      <c r="H4648" s="7">
        <f>IFERROR(_xlfn.XLOOKUP(tbl_Ventes[[#This Row],[Cde_Prdt]], tbl_Produits[Cde_Prdt], tbl_Produits[Coût Moyen Portion]), 0)</f>
        <v>0</v>
      </c>
      <c r="I4648" s="7">
        <f>tbl_Ventes[[#This Row],[Qté Vendue]] * tbl_Ventes[[#This Row],[CMP_par_portion]]</f>
        <v>0</v>
      </c>
      <c r="J4648" s="7">
        <f>tbl_Ventes[[#This Row],[CA ligne]] - tbl_Ventes[[#This Row],[Coût matière ligne]]</f>
        <v>0</v>
      </c>
      <c r="K4648" s="7" t="str">
        <f>IFERROR(INDEX(tbl_ProduitsRef[Famille], MATCH(tbl_Ventes[[#This Row],[Cde_Prdt]], tbl_Produits[Cde_Prdt], 0)), "")</f>
        <v/>
      </c>
    </row>
    <row r="4649" spans="1:11" x14ac:dyDescent="0.25">
      <c r="A4649" s="5"/>
      <c r="B4649" s="63" t="str">
        <f>IFERROR(TEXT(tbl_Ventes[[#This Row],[Date]],"mm-aaaa"),"")</f>
        <v>01-1900</v>
      </c>
      <c r="D4649" s="10" t="str">
        <f>IFERROR(
   INDEX(tbl_ProduitsRef[Cde_Prdt],MATCH(tbl_Ventes[[#This Row],[Produit]],tbl_ProduitsRef[Produit],0)),
   ""
)</f>
        <v/>
      </c>
      <c r="E4649" s="7">
        <v>0</v>
      </c>
      <c r="F4649" s="7" t="str">
        <f>IFERROR(
   INDEX(tbl_ProduitsRef[Prix Menu],MATCH(tbl_Ventes[[#This Row],[Produit]],tbl_ProduitsRef[Produit],0)),
   ""
)</f>
        <v/>
      </c>
      <c r="G4649" s="7">
        <f>tbl_Ventes[[#This Row],[Qté Vendue]] * IFERROR(_xlfn.XLOOKUP(tbl_Ventes[[#This Row],[Cde_Prdt]], tbl_Produits[Cde_Prdt], tbl_Produits[Prix Menu]), 0)</f>
        <v>0</v>
      </c>
      <c r="H4649" s="7">
        <f>IFERROR(_xlfn.XLOOKUP(tbl_Ventes[[#This Row],[Cde_Prdt]], tbl_Produits[Cde_Prdt], tbl_Produits[Coût Moyen Portion]), 0)</f>
        <v>0</v>
      </c>
      <c r="I4649" s="7">
        <f>tbl_Ventes[[#This Row],[Qté Vendue]] * tbl_Ventes[[#This Row],[CMP_par_portion]]</f>
        <v>0</v>
      </c>
      <c r="J4649" s="7">
        <f>tbl_Ventes[[#This Row],[CA ligne]] - tbl_Ventes[[#This Row],[Coût matière ligne]]</f>
        <v>0</v>
      </c>
      <c r="K4649" s="7" t="str">
        <f>IFERROR(INDEX(tbl_ProduitsRef[Famille], MATCH(tbl_Ventes[[#This Row],[Cde_Prdt]], tbl_Produits[Cde_Prdt], 0)), "")</f>
        <v/>
      </c>
    </row>
    <row r="4650" spans="1:11" x14ac:dyDescent="0.25">
      <c r="A4650" s="5"/>
      <c r="B4650" s="63" t="str">
        <f>IFERROR(TEXT(tbl_Ventes[[#This Row],[Date]],"mm-aaaa"),"")</f>
        <v>01-1900</v>
      </c>
      <c r="D4650" s="10" t="str">
        <f>IFERROR(
   INDEX(tbl_ProduitsRef[Cde_Prdt],MATCH(tbl_Ventes[[#This Row],[Produit]],tbl_ProduitsRef[Produit],0)),
   ""
)</f>
        <v/>
      </c>
      <c r="E4650" s="7">
        <v>0</v>
      </c>
      <c r="F4650" s="7" t="str">
        <f>IFERROR(
   INDEX(tbl_ProduitsRef[Prix Menu],MATCH(tbl_Ventes[[#This Row],[Produit]],tbl_ProduitsRef[Produit],0)),
   ""
)</f>
        <v/>
      </c>
      <c r="G4650" s="7">
        <f>tbl_Ventes[[#This Row],[Qté Vendue]] * IFERROR(_xlfn.XLOOKUP(tbl_Ventes[[#This Row],[Cde_Prdt]], tbl_Produits[Cde_Prdt], tbl_Produits[Prix Menu]), 0)</f>
        <v>0</v>
      </c>
      <c r="H4650" s="7">
        <f>IFERROR(_xlfn.XLOOKUP(tbl_Ventes[[#This Row],[Cde_Prdt]], tbl_Produits[Cde_Prdt], tbl_Produits[Coût Moyen Portion]), 0)</f>
        <v>0</v>
      </c>
      <c r="I4650" s="7">
        <f>tbl_Ventes[[#This Row],[Qté Vendue]] * tbl_Ventes[[#This Row],[CMP_par_portion]]</f>
        <v>0</v>
      </c>
      <c r="J4650" s="7">
        <f>tbl_Ventes[[#This Row],[CA ligne]] - tbl_Ventes[[#This Row],[Coût matière ligne]]</f>
        <v>0</v>
      </c>
      <c r="K4650" s="7" t="str">
        <f>IFERROR(INDEX(tbl_ProduitsRef[Famille], MATCH(tbl_Ventes[[#This Row],[Cde_Prdt]], tbl_Produits[Cde_Prdt], 0)), "")</f>
        <v/>
      </c>
    </row>
    <row r="4651" spans="1:11" x14ac:dyDescent="0.25">
      <c r="A4651" s="5"/>
      <c r="B4651" s="63" t="str">
        <f>IFERROR(TEXT(tbl_Ventes[[#This Row],[Date]],"mm-aaaa"),"")</f>
        <v>01-1900</v>
      </c>
      <c r="D4651" s="10" t="str">
        <f>IFERROR(
   INDEX(tbl_ProduitsRef[Cde_Prdt],MATCH(tbl_Ventes[[#This Row],[Produit]],tbl_ProduitsRef[Produit],0)),
   ""
)</f>
        <v/>
      </c>
      <c r="E4651" s="7">
        <v>0</v>
      </c>
      <c r="F4651" s="7" t="str">
        <f>IFERROR(
   INDEX(tbl_ProduitsRef[Prix Menu],MATCH(tbl_Ventes[[#This Row],[Produit]],tbl_ProduitsRef[Produit],0)),
   ""
)</f>
        <v/>
      </c>
      <c r="G4651" s="7">
        <f>tbl_Ventes[[#This Row],[Qté Vendue]] * IFERROR(_xlfn.XLOOKUP(tbl_Ventes[[#This Row],[Cde_Prdt]], tbl_Produits[Cde_Prdt], tbl_Produits[Prix Menu]), 0)</f>
        <v>0</v>
      </c>
      <c r="H4651" s="7">
        <f>IFERROR(_xlfn.XLOOKUP(tbl_Ventes[[#This Row],[Cde_Prdt]], tbl_Produits[Cde_Prdt], tbl_Produits[Coût Moyen Portion]), 0)</f>
        <v>0</v>
      </c>
      <c r="I4651" s="7">
        <f>tbl_Ventes[[#This Row],[Qté Vendue]] * tbl_Ventes[[#This Row],[CMP_par_portion]]</f>
        <v>0</v>
      </c>
      <c r="J4651" s="7">
        <f>tbl_Ventes[[#This Row],[CA ligne]] - tbl_Ventes[[#This Row],[Coût matière ligne]]</f>
        <v>0</v>
      </c>
      <c r="K4651" s="7" t="str">
        <f>IFERROR(INDEX(tbl_ProduitsRef[Famille], MATCH(tbl_Ventes[[#This Row],[Cde_Prdt]], tbl_Produits[Cde_Prdt], 0)), "")</f>
        <v/>
      </c>
    </row>
    <row r="4652" spans="1:11" x14ac:dyDescent="0.25">
      <c r="A4652" s="5"/>
      <c r="B4652" s="63" t="str">
        <f>IFERROR(TEXT(tbl_Ventes[[#This Row],[Date]],"mm-aaaa"),"")</f>
        <v>01-1900</v>
      </c>
      <c r="D4652" s="10" t="str">
        <f>IFERROR(
   INDEX(tbl_ProduitsRef[Cde_Prdt],MATCH(tbl_Ventes[[#This Row],[Produit]],tbl_ProduitsRef[Produit],0)),
   ""
)</f>
        <v/>
      </c>
      <c r="E4652" s="7">
        <v>0</v>
      </c>
      <c r="F4652" s="7" t="str">
        <f>IFERROR(
   INDEX(tbl_ProduitsRef[Prix Menu],MATCH(tbl_Ventes[[#This Row],[Produit]],tbl_ProduitsRef[Produit],0)),
   ""
)</f>
        <v/>
      </c>
      <c r="G4652" s="7">
        <f>tbl_Ventes[[#This Row],[Qté Vendue]] * IFERROR(_xlfn.XLOOKUP(tbl_Ventes[[#This Row],[Cde_Prdt]], tbl_Produits[Cde_Prdt], tbl_Produits[Prix Menu]), 0)</f>
        <v>0</v>
      </c>
      <c r="H4652" s="7">
        <f>IFERROR(_xlfn.XLOOKUP(tbl_Ventes[[#This Row],[Cde_Prdt]], tbl_Produits[Cde_Prdt], tbl_Produits[Coût Moyen Portion]), 0)</f>
        <v>0</v>
      </c>
      <c r="I4652" s="7">
        <f>tbl_Ventes[[#This Row],[Qté Vendue]] * tbl_Ventes[[#This Row],[CMP_par_portion]]</f>
        <v>0</v>
      </c>
      <c r="J4652" s="7">
        <f>tbl_Ventes[[#This Row],[CA ligne]] - tbl_Ventes[[#This Row],[Coût matière ligne]]</f>
        <v>0</v>
      </c>
      <c r="K4652" s="7" t="str">
        <f>IFERROR(INDEX(tbl_ProduitsRef[Famille], MATCH(tbl_Ventes[[#This Row],[Cde_Prdt]], tbl_Produits[Cde_Prdt], 0)), "")</f>
        <v/>
      </c>
    </row>
    <row r="4653" spans="1:11" x14ac:dyDescent="0.25">
      <c r="A4653" s="5"/>
      <c r="B4653" s="63" t="str">
        <f>IFERROR(TEXT(tbl_Ventes[[#This Row],[Date]],"mm-aaaa"),"")</f>
        <v>01-1900</v>
      </c>
      <c r="D4653" s="10" t="str">
        <f>IFERROR(
   INDEX(tbl_ProduitsRef[Cde_Prdt],MATCH(tbl_Ventes[[#This Row],[Produit]],tbl_ProduitsRef[Produit],0)),
   ""
)</f>
        <v/>
      </c>
      <c r="E4653" s="7">
        <v>0</v>
      </c>
      <c r="F4653" s="7" t="str">
        <f>IFERROR(
   INDEX(tbl_ProduitsRef[Prix Menu],MATCH(tbl_Ventes[[#This Row],[Produit]],tbl_ProduitsRef[Produit],0)),
   ""
)</f>
        <v/>
      </c>
      <c r="G4653" s="7">
        <f>tbl_Ventes[[#This Row],[Qté Vendue]] * IFERROR(_xlfn.XLOOKUP(tbl_Ventes[[#This Row],[Cde_Prdt]], tbl_Produits[Cde_Prdt], tbl_Produits[Prix Menu]), 0)</f>
        <v>0</v>
      </c>
      <c r="H4653" s="7">
        <f>IFERROR(_xlfn.XLOOKUP(tbl_Ventes[[#This Row],[Cde_Prdt]], tbl_Produits[Cde_Prdt], tbl_Produits[Coût Moyen Portion]), 0)</f>
        <v>0</v>
      </c>
      <c r="I4653" s="7">
        <f>tbl_Ventes[[#This Row],[Qté Vendue]] * tbl_Ventes[[#This Row],[CMP_par_portion]]</f>
        <v>0</v>
      </c>
      <c r="J4653" s="7">
        <f>tbl_Ventes[[#This Row],[CA ligne]] - tbl_Ventes[[#This Row],[Coût matière ligne]]</f>
        <v>0</v>
      </c>
      <c r="K4653" s="7" t="str">
        <f>IFERROR(INDEX(tbl_ProduitsRef[Famille], MATCH(tbl_Ventes[[#This Row],[Cde_Prdt]], tbl_Produits[Cde_Prdt], 0)), "")</f>
        <v/>
      </c>
    </row>
    <row r="4654" spans="1:11" x14ac:dyDescent="0.25">
      <c r="A4654" s="5"/>
      <c r="B4654" s="63" t="str">
        <f>IFERROR(TEXT(tbl_Ventes[[#This Row],[Date]],"mm-aaaa"),"")</f>
        <v>01-1900</v>
      </c>
      <c r="D4654" s="10" t="str">
        <f>IFERROR(
   INDEX(tbl_ProduitsRef[Cde_Prdt],MATCH(tbl_Ventes[[#This Row],[Produit]],tbl_ProduitsRef[Produit],0)),
   ""
)</f>
        <v/>
      </c>
      <c r="E4654" s="7">
        <v>0</v>
      </c>
      <c r="F4654" s="7" t="str">
        <f>IFERROR(
   INDEX(tbl_ProduitsRef[Prix Menu],MATCH(tbl_Ventes[[#This Row],[Produit]],tbl_ProduitsRef[Produit],0)),
   ""
)</f>
        <v/>
      </c>
      <c r="G4654" s="7">
        <f>tbl_Ventes[[#This Row],[Qté Vendue]] * IFERROR(_xlfn.XLOOKUP(tbl_Ventes[[#This Row],[Cde_Prdt]], tbl_Produits[Cde_Prdt], tbl_Produits[Prix Menu]), 0)</f>
        <v>0</v>
      </c>
      <c r="H4654" s="7">
        <f>IFERROR(_xlfn.XLOOKUP(tbl_Ventes[[#This Row],[Cde_Prdt]], tbl_Produits[Cde_Prdt], tbl_Produits[Coût Moyen Portion]), 0)</f>
        <v>0</v>
      </c>
      <c r="I4654" s="7">
        <f>tbl_Ventes[[#This Row],[Qté Vendue]] * tbl_Ventes[[#This Row],[CMP_par_portion]]</f>
        <v>0</v>
      </c>
      <c r="J4654" s="7">
        <f>tbl_Ventes[[#This Row],[CA ligne]] - tbl_Ventes[[#This Row],[Coût matière ligne]]</f>
        <v>0</v>
      </c>
      <c r="K4654" s="7" t="str">
        <f>IFERROR(INDEX(tbl_ProduitsRef[Famille], MATCH(tbl_Ventes[[#This Row],[Cde_Prdt]], tbl_Produits[Cde_Prdt], 0)), "")</f>
        <v/>
      </c>
    </row>
    <row r="4655" spans="1:11" x14ac:dyDescent="0.25">
      <c r="A4655" s="5"/>
      <c r="B4655" s="63" t="str">
        <f>IFERROR(TEXT(tbl_Ventes[[#This Row],[Date]],"mm-aaaa"),"")</f>
        <v>01-1900</v>
      </c>
      <c r="D4655" s="10" t="str">
        <f>IFERROR(
   INDEX(tbl_ProduitsRef[Cde_Prdt],MATCH(tbl_Ventes[[#This Row],[Produit]],tbl_ProduitsRef[Produit],0)),
   ""
)</f>
        <v/>
      </c>
      <c r="E4655" s="7">
        <v>0</v>
      </c>
      <c r="F4655" s="7" t="str">
        <f>IFERROR(
   INDEX(tbl_ProduitsRef[Prix Menu],MATCH(tbl_Ventes[[#This Row],[Produit]],tbl_ProduitsRef[Produit],0)),
   ""
)</f>
        <v/>
      </c>
      <c r="G4655" s="7">
        <f>tbl_Ventes[[#This Row],[Qté Vendue]] * IFERROR(_xlfn.XLOOKUP(tbl_Ventes[[#This Row],[Cde_Prdt]], tbl_Produits[Cde_Prdt], tbl_Produits[Prix Menu]), 0)</f>
        <v>0</v>
      </c>
      <c r="H4655" s="7">
        <f>IFERROR(_xlfn.XLOOKUP(tbl_Ventes[[#This Row],[Cde_Prdt]], tbl_Produits[Cde_Prdt], tbl_Produits[Coût Moyen Portion]), 0)</f>
        <v>0</v>
      </c>
      <c r="I4655" s="7">
        <f>tbl_Ventes[[#This Row],[Qté Vendue]] * tbl_Ventes[[#This Row],[CMP_par_portion]]</f>
        <v>0</v>
      </c>
      <c r="J4655" s="7">
        <f>tbl_Ventes[[#This Row],[CA ligne]] - tbl_Ventes[[#This Row],[Coût matière ligne]]</f>
        <v>0</v>
      </c>
      <c r="K4655" s="7" t="str">
        <f>IFERROR(INDEX(tbl_ProduitsRef[Famille], MATCH(tbl_Ventes[[#This Row],[Cde_Prdt]], tbl_Produits[Cde_Prdt], 0)), "")</f>
        <v/>
      </c>
    </row>
    <row r="4656" spans="1:11" x14ac:dyDescent="0.25">
      <c r="A4656" s="5"/>
      <c r="B4656" s="63" t="str">
        <f>IFERROR(TEXT(tbl_Ventes[[#This Row],[Date]],"mm-aaaa"),"")</f>
        <v>01-1900</v>
      </c>
      <c r="D4656" s="10" t="str">
        <f>IFERROR(
   INDEX(tbl_ProduitsRef[Cde_Prdt],MATCH(tbl_Ventes[[#This Row],[Produit]],tbl_ProduitsRef[Produit],0)),
   ""
)</f>
        <v/>
      </c>
      <c r="E4656" s="7">
        <v>0</v>
      </c>
      <c r="F4656" s="7" t="str">
        <f>IFERROR(
   INDEX(tbl_ProduitsRef[Prix Menu],MATCH(tbl_Ventes[[#This Row],[Produit]],tbl_ProduitsRef[Produit],0)),
   ""
)</f>
        <v/>
      </c>
      <c r="G4656" s="7">
        <f>tbl_Ventes[[#This Row],[Qté Vendue]] * IFERROR(_xlfn.XLOOKUP(tbl_Ventes[[#This Row],[Cde_Prdt]], tbl_Produits[Cde_Prdt], tbl_Produits[Prix Menu]), 0)</f>
        <v>0</v>
      </c>
      <c r="H4656" s="7">
        <f>IFERROR(_xlfn.XLOOKUP(tbl_Ventes[[#This Row],[Cde_Prdt]], tbl_Produits[Cde_Prdt], tbl_Produits[Coût Moyen Portion]), 0)</f>
        <v>0</v>
      </c>
      <c r="I4656" s="7">
        <f>tbl_Ventes[[#This Row],[Qté Vendue]] * tbl_Ventes[[#This Row],[CMP_par_portion]]</f>
        <v>0</v>
      </c>
      <c r="J4656" s="7">
        <f>tbl_Ventes[[#This Row],[CA ligne]] - tbl_Ventes[[#This Row],[Coût matière ligne]]</f>
        <v>0</v>
      </c>
      <c r="K4656" s="7" t="str">
        <f>IFERROR(INDEX(tbl_ProduitsRef[Famille], MATCH(tbl_Ventes[[#This Row],[Cde_Prdt]], tbl_Produits[Cde_Prdt], 0)), "")</f>
        <v/>
      </c>
    </row>
    <row r="4657" spans="1:11" x14ac:dyDescent="0.25">
      <c r="A4657" s="5"/>
      <c r="B4657" s="63" t="str">
        <f>IFERROR(TEXT(tbl_Ventes[[#This Row],[Date]],"mm-aaaa"),"")</f>
        <v>01-1900</v>
      </c>
      <c r="D4657" s="10" t="str">
        <f>IFERROR(
   INDEX(tbl_ProduitsRef[Cde_Prdt],MATCH(tbl_Ventes[[#This Row],[Produit]],tbl_ProduitsRef[Produit],0)),
   ""
)</f>
        <v/>
      </c>
      <c r="E4657" s="7">
        <v>0</v>
      </c>
      <c r="F4657" s="7" t="str">
        <f>IFERROR(
   INDEX(tbl_ProduitsRef[Prix Menu],MATCH(tbl_Ventes[[#This Row],[Produit]],tbl_ProduitsRef[Produit],0)),
   ""
)</f>
        <v/>
      </c>
      <c r="G4657" s="7">
        <f>tbl_Ventes[[#This Row],[Qté Vendue]] * IFERROR(_xlfn.XLOOKUP(tbl_Ventes[[#This Row],[Cde_Prdt]], tbl_Produits[Cde_Prdt], tbl_Produits[Prix Menu]), 0)</f>
        <v>0</v>
      </c>
      <c r="H4657" s="7">
        <f>IFERROR(_xlfn.XLOOKUP(tbl_Ventes[[#This Row],[Cde_Prdt]], tbl_Produits[Cde_Prdt], tbl_Produits[Coût Moyen Portion]), 0)</f>
        <v>0</v>
      </c>
      <c r="I4657" s="7">
        <f>tbl_Ventes[[#This Row],[Qté Vendue]] * tbl_Ventes[[#This Row],[CMP_par_portion]]</f>
        <v>0</v>
      </c>
      <c r="J4657" s="7">
        <f>tbl_Ventes[[#This Row],[CA ligne]] - tbl_Ventes[[#This Row],[Coût matière ligne]]</f>
        <v>0</v>
      </c>
      <c r="K4657" s="7" t="str">
        <f>IFERROR(INDEX(tbl_ProduitsRef[Famille], MATCH(tbl_Ventes[[#This Row],[Cde_Prdt]], tbl_Produits[Cde_Prdt], 0)), "")</f>
        <v/>
      </c>
    </row>
    <row r="4658" spans="1:11" x14ac:dyDescent="0.25">
      <c r="A4658" s="5"/>
      <c r="B4658" s="63" t="str">
        <f>IFERROR(TEXT(tbl_Ventes[[#This Row],[Date]],"mm-aaaa"),"")</f>
        <v>01-1900</v>
      </c>
      <c r="D4658" s="10" t="str">
        <f>IFERROR(
   INDEX(tbl_ProduitsRef[Cde_Prdt],MATCH(tbl_Ventes[[#This Row],[Produit]],tbl_ProduitsRef[Produit],0)),
   ""
)</f>
        <v/>
      </c>
      <c r="E4658" s="7">
        <v>0</v>
      </c>
      <c r="F4658" s="7" t="str">
        <f>IFERROR(
   INDEX(tbl_ProduitsRef[Prix Menu],MATCH(tbl_Ventes[[#This Row],[Produit]],tbl_ProduitsRef[Produit],0)),
   ""
)</f>
        <v/>
      </c>
      <c r="G4658" s="7">
        <f>tbl_Ventes[[#This Row],[Qté Vendue]] * IFERROR(_xlfn.XLOOKUP(tbl_Ventes[[#This Row],[Cde_Prdt]], tbl_Produits[Cde_Prdt], tbl_Produits[Prix Menu]), 0)</f>
        <v>0</v>
      </c>
      <c r="H4658" s="7">
        <f>IFERROR(_xlfn.XLOOKUP(tbl_Ventes[[#This Row],[Cde_Prdt]], tbl_Produits[Cde_Prdt], tbl_Produits[Coût Moyen Portion]), 0)</f>
        <v>0</v>
      </c>
      <c r="I4658" s="7">
        <f>tbl_Ventes[[#This Row],[Qté Vendue]] * tbl_Ventes[[#This Row],[CMP_par_portion]]</f>
        <v>0</v>
      </c>
      <c r="J4658" s="7">
        <f>tbl_Ventes[[#This Row],[CA ligne]] - tbl_Ventes[[#This Row],[Coût matière ligne]]</f>
        <v>0</v>
      </c>
      <c r="K4658" s="7" t="str">
        <f>IFERROR(INDEX(tbl_ProduitsRef[Famille], MATCH(tbl_Ventes[[#This Row],[Cde_Prdt]], tbl_Produits[Cde_Prdt], 0)), "")</f>
        <v/>
      </c>
    </row>
    <row r="4659" spans="1:11" x14ac:dyDescent="0.25">
      <c r="A4659" s="5"/>
      <c r="B4659" s="63" t="str">
        <f>IFERROR(TEXT(tbl_Ventes[[#This Row],[Date]],"mm-aaaa"),"")</f>
        <v>01-1900</v>
      </c>
      <c r="D4659" s="10" t="str">
        <f>IFERROR(
   INDEX(tbl_ProduitsRef[Cde_Prdt],MATCH(tbl_Ventes[[#This Row],[Produit]],tbl_ProduitsRef[Produit],0)),
   ""
)</f>
        <v/>
      </c>
      <c r="E4659" s="7">
        <v>0</v>
      </c>
      <c r="F4659" s="7" t="str">
        <f>IFERROR(
   INDEX(tbl_ProduitsRef[Prix Menu],MATCH(tbl_Ventes[[#This Row],[Produit]],tbl_ProduitsRef[Produit],0)),
   ""
)</f>
        <v/>
      </c>
      <c r="G4659" s="7">
        <f>tbl_Ventes[[#This Row],[Qté Vendue]] * IFERROR(_xlfn.XLOOKUP(tbl_Ventes[[#This Row],[Cde_Prdt]], tbl_Produits[Cde_Prdt], tbl_Produits[Prix Menu]), 0)</f>
        <v>0</v>
      </c>
      <c r="H4659" s="7">
        <f>IFERROR(_xlfn.XLOOKUP(tbl_Ventes[[#This Row],[Cde_Prdt]], tbl_Produits[Cde_Prdt], tbl_Produits[Coût Moyen Portion]), 0)</f>
        <v>0</v>
      </c>
      <c r="I4659" s="7">
        <f>tbl_Ventes[[#This Row],[Qté Vendue]] * tbl_Ventes[[#This Row],[CMP_par_portion]]</f>
        <v>0</v>
      </c>
      <c r="J4659" s="7">
        <f>tbl_Ventes[[#This Row],[CA ligne]] - tbl_Ventes[[#This Row],[Coût matière ligne]]</f>
        <v>0</v>
      </c>
      <c r="K4659" s="7" t="str">
        <f>IFERROR(INDEX(tbl_ProduitsRef[Famille], MATCH(tbl_Ventes[[#This Row],[Cde_Prdt]], tbl_Produits[Cde_Prdt], 0)), "")</f>
        <v/>
      </c>
    </row>
    <row r="4660" spans="1:11" x14ac:dyDescent="0.25">
      <c r="A4660" s="5"/>
      <c r="B4660" s="63" t="str">
        <f>IFERROR(TEXT(tbl_Ventes[[#This Row],[Date]],"mm-aaaa"),"")</f>
        <v>01-1900</v>
      </c>
      <c r="D4660" s="10" t="str">
        <f>IFERROR(
   INDEX(tbl_ProduitsRef[Cde_Prdt],MATCH(tbl_Ventes[[#This Row],[Produit]],tbl_ProduitsRef[Produit],0)),
   ""
)</f>
        <v/>
      </c>
      <c r="E4660" s="7">
        <v>0</v>
      </c>
      <c r="F4660" s="7" t="str">
        <f>IFERROR(
   INDEX(tbl_ProduitsRef[Prix Menu],MATCH(tbl_Ventes[[#This Row],[Produit]],tbl_ProduitsRef[Produit],0)),
   ""
)</f>
        <v/>
      </c>
      <c r="G4660" s="7">
        <f>tbl_Ventes[[#This Row],[Qté Vendue]] * IFERROR(_xlfn.XLOOKUP(tbl_Ventes[[#This Row],[Cde_Prdt]], tbl_Produits[Cde_Prdt], tbl_Produits[Prix Menu]), 0)</f>
        <v>0</v>
      </c>
      <c r="H4660" s="7">
        <f>IFERROR(_xlfn.XLOOKUP(tbl_Ventes[[#This Row],[Cde_Prdt]], tbl_Produits[Cde_Prdt], tbl_Produits[Coût Moyen Portion]), 0)</f>
        <v>0</v>
      </c>
      <c r="I4660" s="7">
        <f>tbl_Ventes[[#This Row],[Qté Vendue]] * tbl_Ventes[[#This Row],[CMP_par_portion]]</f>
        <v>0</v>
      </c>
      <c r="J4660" s="7">
        <f>tbl_Ventes[[#This Row],[CA ligne]] - tbl_Ventes[[#This Row],[Coût matière ligne]]</f>
        <v>0</v>
      </c>
      <c r="K4660" s="7" t="str">
        <f>IFERROR(INDEX(tbl_ProduitsRef[Famille], MATCH(tbl_Ventes[[#This Row],[Cde_Prdt]], tbl_Produits[Cde_Prdt], 0)), "")</f>
        <v/>
      </c>
    </row>
    <row r="4661" spans="1:11" x14ac:dyDescent="0.25">
      <c r="A4661" s="5"/>
      <c r="B4661" s="63" t="str">
        <f>IFERROR(TEXT(tbl_Ventes[[#This Row],[Date]],"mm-aaaa"),"")</f>
        <v>01-1900</v>
      </c>
      <c r="D4661" s="10" t="str">
        <f>IFERROR(
   INDEX(tbl_ProduitsRef[Cde_Prdt],MATCH(tbl_Ventes[[#This Row],[Produit]],tbl_ProduitsRef[Produit],0)),
   ""
)</f>
        <v/>
      </c>
      <c r="E4661" s="7">
        <v>0</v>
      </c>
      <c r="F4661" s="7" t="str">
        <f>IFERROR(
   INDEX(tbl_ProduitsRef[Prix Menu],MATCH(tbl_Ventes[[#This Row],[Produit]],tbl_ProduitsRef[Produit],0)),
   ""
)</f>
        <v/>
      </c>
      <c r="G4661" s="7">
        <f>tbl_Ventes[[#This Row],[Qté Vendue]] * IFERROR(_xlfn.XLOOKUP(tbl_Ventes[[#This Row],[Cde_Prdt]], tbl_Produits[Cde_Prdt], tbl_Produits[Prix Menu]), 0)</f>
        <v>0</v>
      </c>
      <c r="H4661" s="7">
        <f>IFERROR(_xlfn.XLOOKUP(tbl_Ventes[[#This Row],[Cde_Prdt]], tbl_Produits[Cde_Prdt], tbl_Produits[Coût Moyen Portion]), 0)</f>
        <v>0</v>
      </c>
      <c r="I4661" s="7">
        <f>tbl_Ventes[[#This Row],[Qté Vendue]] * tbl_Ventes[[#This Row],[CMP_par_portion]]</f>
        <v>0</v>
      </c>
      <c r="J4661" s="7">
        <f>tbl_Ventes[[#This Row],[CA ligne]] - tbl_Ventes[[#This Row],[Coût matière ligne]]</f>
        <v>0</v>
      </c>
      <c r="K4661" s="7" t="str">
        <f>IFERROR(INDEX(tbl_ProduitsRef[Famille], MATCH(tbl_Ventes[[#This Row],[Cde_Prdt]], tbl_Produits[Cde_Prdt], 0)), "")</f>
        <v/>
      </c>
    </row>
    <row r="4662" spans="1:11" x14ac:dyDescent="0.25">
      <c r="A4662" s="5"/>
      <c r="B4662" s="63" t="str">
        <f>IFERROR(TEXT(tbl_Ventes[[#This Row],[Date]],"mm-aaaa"),"")</f>
        <v>01-1900</v>
      </c>
      <c r="D4662" s="10" t="str">
        <f>IFERROR(
   INDEX(tbl_ProduitsRef[Cde_Prdt],MATCH(tbl_Ventes[[#This Row],[Produit]],tbl_ProduitsRef[Produit],0)),
   ""
)</f>
        <v/>
      </c>
      <c r="E4662" s="7">
        <v>0</v>
      </c>
      <c r="F4662" s="7" t="str">
        <f>IFERROR(
   INDEX(tbl_ProduitsRef[Prix Menu],MATCH(tbl_Ventes[[#This Row],[Produit]],tbl_ProduitsRef[Produit],0)),
   ""
)</f>
        <v/>
      </c>
      <c r="G4662" s="7">
        <f>tbl_Ventes[[#This Row],[Qté Vendue]] * IFERROR(_xlfn.XLOOKUP(tbl_Ventes[[#This Row],[Cde_Prdt]], tbl_Produits[Cde_Prdt], tbl_Produits[Prix Menu]), 0)</f>
        <v>0</v>
      </c>
      <c r="H4662" s="7">
        <f>IFERROR(_xlfn.XLOOKUP(tbl_Ventes[[#This Row],[Cde_Prdt]], tbl_Produits[Cde_Prdt], tbl_Produits[Coût Moyen Portion]), 0)</f>
        <v>0</v>
      </c>
      <c r="I4662" s="7">
        <f>tbl_Ventes[[#This Row],[Qté Vendue]] * tbl_Ventes[[#This Row],[CMP_par_portion]]</f>
        <v>0</v>
      </c>
      <c r="J4662" s="7">
        <f>tbl_Ventes[[#This Row],[CA ligne]] - tbl_Ventes[[#This Row],[Coût matière ligne]]</f>
        <v>0</v>
      </c>
      <c r="K4662" s="7" t="str">
        <f>IFERROR(INDEX(tbl_ProduitsRef[Famille], MATCH(tbl_Ventes[[#This Row],[Cde_Prdt]], tbl_Produits[Cde_Prdt], 0)), "")</f>
        <v/>
      </c>
    </row>
    <row r="4663" spans="1:11" x14ac:dyDescent="0.25">
      <c r="A4663" s="5"/>
      <c r="B4663" s="63" t="str">
        <f>IFERROR(TEXT(tbl_Ventes[[#This Row],[Date]],"mm-aaaa"),"")</f>
        <v>01-1900</v>
      </c>
      <c r="D4663" s="10" t="str">
        <f>IFERROR(
   INDEX(tbl_ProduitsRef[Cde_Prdt],MATCH(tbl_Ventes[[#This Row],[Produit]],tbl_ProduitsRef[Produit],0)),
   ""
)</f>
        <v/>
      </c>
      <c r="E4663" s="7">
        <v>0</v>
      </c>
      <c r="F4663" s="7" t="str">
        <f>IFERROR(
   INDEX(tbl_ProduitsRef[Prix Menu],MATCH(tbl_Ventes[[#This Row],[Produit]],tbl_ProduitsRef[Produit],0)),
   ""
)</f>
        <v/>
      </c>
      <c r="G4663" s="7">
        <f>tbl_Ventes[[#This Row],[Qté Vendue]] * IFERROR(_xlfn.XLOOKUP(tbl_Ventes[[#This Row],[Cde_Prdt]], tbl_Produits[Cde_Prdt], tbl_Produits[Prix Menu]), 0)</f>
        <v>0</v>
      </c>
      <c r="H4663" s="7">
        <f>IFERROR(_xlfn.XLOOKUP(tbl_Ventes[[#This Row],[Cde_Prdt]], tbl_Produits[Cde_Prdt], tbl_Produits[Coût Moyen Portion]), 0)</f>
        <v>0</v>
      </c>
      <c r="I4663" s="7">
        <f>tbl_Ventes[[#This Row],[Qté Vendue]] * tbl_Ventes[[#This Row],[CMP_par_portion]]</f>
        <v>0</v>
      </c>
      <c r="J4663" s="7">
        <f>tbl_Ventes[[#This Row],[CA ligne]] - tbl_Ventes[[#This Row],[Coût matière ligne]]</f>
        <v>0</v>
      </c>
      <c r="K4663" s="7" t="str">
        <f>IFERROR(INDEX(tbl_ProduitsRef[Famille], MATCH(tbl_Ventes[[#This Row],[Cde_Prdt]], tbl_Produits[Cde_Prdt], 0)), "")</f>
        <v/>
      </c>
    </row>
    <row r="4664" spans="1:11" x14ac:dyDescent="0.25">
      <c r="A4664" s="5"/>
      <c r="B4664" s="63" t="str">
        <f>IFERROR(TEXT(tbl_Ventes[[#This Row],[Date]],"mm-aaaa"),"")</f>
        <v>01-1900</v>
      </c>
      <c r="D4664" s="10" t="str">
        <f>IFERROR(
   INDEX(tbl_ProduitsRef[Cde_Prdt],MATCH(tbl_Ventes[[#This Row],[Produit]],tbl_ProduitsRef[Produit],0)),
   ""
)</f>
        <v/>
      </c>
      <c r="E4664" s="7">
        <v>0</v>
      </c>
      <c r="F4664" s="7" t="str">
        <f>IFERROR(
   INDEX(tbl_ProduitsRef[Prix Menu],MATCH(tbl_Ventes[[#This Row],[Produit]],tbl_ProduitsRef[Produit],0)),
   ""
)</f>
        <v/>
      </c>
      <c r="G4664" s="7">
        <f>tbl_Ventes[[#This Row],[Qté Vendue]] * IFERROR(_xlfn.XLOOKUP(tbl_Ventes[[#This Row],[Cde_Prdt]], tbl_Produits[Cde_Prdt], tbl_Produits[Prix Menu]), 0)</f>
        <v>0</v>
      </c>
      <c r="H4664" s="7">
        <f>IFERROR(_xlfn.XLOOKUP(tbl_Ventes[[#This Row],[Cde_Prdt]], tbl_Produits[Cde_Prdt], tbl_Produits[Coût Moyen Portion]), 0)</f>
        <v>0</v>
      </c>
      <c r="I4664" s="7">
        <f>tbl_Ventes[[#This Row],[Qté Vendue]] * tbl_Ventes[[#This Row],[CMP_par_portion]]</f>
        <v>0</v>
      </c>
      <c r="J4664" s="7">
        <f>tbl_Ventes[[#This Row],[CA ligne]] - tbl_Ventes[[#This Row],[Coût matière ligne]]</f>
        <v>0</v>
      </c>
      <c r="K4664" s="7" t="str">
        <f>IFERROR(INDEX(tbl_ProduitsRef[Famille], MATCH(tbl_Ventes[[#This Row],[Cde_Prdt]], tbl_Produits[Cde_Prdt], 0)), "")</f>
        <v/>
      </c>
    </row>
    <row r="4665" spans="1:11" x14ac:dyDescent="0.25">
      <c r="A4665" s="5"/>
      <c r="B4665" s="63" t="str">
        <f>IFERROR(TEXT(tbl_Ventes[[#This Row],[Date]],"mm-aaaa"),"")</f>
        <v>01-1900</v>
      </c>
      <c r="D4665" s="10" t="str">
        <f>IFERROR(
   INDEX(tbl_ProduitsRef[Cde_Prdt],MATCH(tbl_Ventes[[#This Row],[Produit]],tbl_ProduitsRef[Produit],0)),
   ""
)</f>
        <v/>
      </c>
      <c r="E4665" s="7">
        <v>0</v>
      </c>
      <c r="F4665" s="7" t="str">
        <f>IFERROR(
   INDEX(tbl_ProduitsRef[Prix Menu],MATCH(tbl_Ventes[[#This Row],[Produit]],tbl_ProduitsRef[Produit],0)),
   ""
)</f>
        <v/>
      </c>
      <c r="G4665" s="7">
        <f>tbl_Ventes[[#This Row],[Qté Vendue]] * IFERROR(_xlfn.XLOOKUP(tbl_Ventes[[#This Row],[Cde_Prdt]], tbl_Produits[Cde_Prdt], tbl_Produits[Prix Menu]), 0)</f>
        <v>0</v>
      </c>
      <c r="H4665" s="7">
        <f>IFERROR(_xlfn.XLOOKUP(tbl_Ventes[[#This Row],[Cde_Prdt]], tbl_Produits[Cde_Prdt], tbl_Produits[Coût Moyen Portion]), 0)</f>
        <v>0</v>
      </c>
      <c r="I4665" s="7">
        <f>tbl_Ventes[[#This Row],[Qté Vendue]] * tbl_Ventes[[#This Row],[CMP_par_portion]]</f>
        <v>0</v>
      </c>
      <c r="J4665" s="7">
        <f>tbl_Ventes[[#This Row],[CA ligne]] - tbl_Ventes[[#This Row],[Coût matière ligne]]</f>
        <v>0</v>
      </c>
      <c r="K4665" s="7" t="str">
        <f>IFERROR(INDEX(tbl_ProduitsRef[Famille], MATCH(tbl_Ventes[[#This Row],[Cde_Prdt]], tbl_Produits[Cde_Prdt], 0)), "")</f>
        <v/>
      </c>
    </row>
    <row r="4666" spans="1:11" x14ac:dyDescent="0.25">
      <c r="A4666" s="5"/>
      <c r="B4666" s="63" t="str">
        <f>IFERROR(TEXT(tbl_Ventes[[#This Row],[Date]],"mm-aaaa"),"")</f>
        <v>01-1900</v>
      </c>
      <c r="D4666" s="10" t="str">
        <f>IFERROR(
   INDEX(tbl_ProduitsRef[Cde_Prdt],MATCH(tbl_Ventes[[#This Row],[Produit]],tbl_ProduitsRef[Produit],0)),
   ""
)</f>
        <v/>
      </c>
      <c r="E4666" s="7">
        <v>0</v>
      </c>
      <c r="F4666" s="7" t="str">
        <f>IFERROR(
   INDEX(tbl_ProduitsRef[Prix Menu],MATCH(tbl_Ventes[[#This Row],[Produit]],tbl_ProduitsRef[Produit],0)),
   ""
)</f>
        <v/>
      </c>
      <c r="G4666" s="7">
        <f>tbl_Ventes[[#This Row],[Qté Vendue]] * IFERROR(_xlfn.XLOOKUP(tbl_Ventes[[#This Row],[Cde_Prdt]], tbl_Produits[Cde_Prdt], tbl_Produits[Prix Menu]), 0)</f>
        <v>0</v>
      </c>
      <c r="H4666" s="7">
        <f>IFERROR(_xlfn.XLOOKUP(tbl_Ventes[[#This Row],[Cde_Prdt]], tbl_Produits[Cde_Prdt], tbl_Produits[Coût Moyen Portion]), 0)</f>
        <v>0</v>
      </c>
      <c r="I4666" s="7">
        <f>tbl_Ventes[[#This Row],[Qté Vendue]] * tbl_Ventes[[#This Row],[CMP_par_portion]]</f>
        <v>0</v>
      </c>
      <c r="J4666" s="7">
        <f>tbl_Ventes[[#This Row],[CA ligne]] - tbl_Ventes[[#This Row],[Coût matière ligne]]</f>
        <v>0</v>
      </c>
      <c r="K4666" s="7" t="str">
        <f>IFERROR(INDEX(tbl_ProduitsRef[Famille], MATCH(tbl_Ventes[[#This Row],[Cde_Prdt]], tbl_Produits[Cde_Prdt], 0)), "")</f>
        <v/>
      </c>
    </row>
    <row r="4667" spans="1:11" x14ac:dyDescent="0.25">
      <c r="A4667" s="5"/>
      <c r="B4667" s="63" t="str">
        <f>IFERROR(TEXT(tbl_Ventes[[#This Row],[Date]],"mm-aaaa"),"")</f>
        <v>01-1900</v>
      </c>
      <c r="D4667" s="10" t="str">
        <f>IFERROR(
   INDEX(tbl_ProduitsRef[Cde_Prdt],MATCH(tbl_Ventes[[#This Row],[Produit]],tbl_ProduitsRef[Produit],0)),
   ""
)</f>
        <v/>
      </c>
      <c r="E4667" s="7">
        <v>0</v>
      </c>
      <c r="F4667" s="7" t="str">
        <f>IFERROR(
   INDEX(tbl_ProduitsRef[Prix Menu],MATCH(tbl_Ventes[[#This Row],[Produit]],tbl_ProduitsRef[Produit],0)),
   ""
)</f>
        <v/>
      </c>
      <c r="G4667" s="7">
        <f>tbl_Ventes[[#This Row],[Qté Vendue]] * IFERROR(_xlfn.XLOOKUP(tbl_Ventes[[#This Row],[Cde_Prdt]], tbl_Produits[Cde_Prdt], tbl_Produits[Prix Menu]), 0)</f>
        <v>0</v>
      </c>
      <c r="H4667" s="7">
        <f>IFERROR(_xlfn.XLOOKUP(tbl_Ventes[[#This Row],[Cde_Prdt]], tbl_Produits[Cde_Prdt], tbl_Produits[Coût Moyen Portion]), 0)</f>
        <v>0</v>
      </c>
      <c r="I4667" s="7">
        <f>tbl_Ventes[[#This Row],[Qté Vendue]] * tbl_Ventes[[#This Row],[CMP_par_portion]]</f>
        <v>0</v>
      </c>
      <c r="J4667" s="7">
        <f>tbl_Ventes[[#This Row],[CA ligne]] - tbl_Ventes[[#This Row],[Coût matière ligne]]</f>
        <v>0</v>
      </c>
      <c r="K4667" s="7" t="str">
        <f>IFERROR(INDEX(tbl_ProduitsRef[Famille], MATCH(tbl_Ventes[[#This Row],[Cde_Prdt]], tbl_Produits[Cde_Prdt], 0)), "")</f>
        <v/>
      </c>
    </row>
    <row r="4668" spans="1:11" x14ac:dyDescent="0.25">
      <c r="A4668" s="5"/>
      <c r="B4668" s="63" t="str">
        <f>IFERROR(TEXT(tbl_Ventes[[#This Row],[Date]],"mm-aaaa"),"")</f>
        <v>01-1900</v>
      </c>
      <c r="D4668" s="10" t="str">
        <f>IFERROR(
   INDEX(tbl_ProduitsRef[Cde_Prdt],MATCH(tbl_Ventes[[#This Row],[Produit]],tbl_ProduitsRef[Produit],0)),
   ""
)</f>
        <v/>
      </c>
      <c r="E4668" s="7">
        <v>0</v>
      </c>
      <c r="F4668" s="7" t="str">
        <f>IFERROR(
   INDEX(tbl_ProduitsRef[Prix Menu],MATCH(tbl_Ventes[[#This Row],[Produit]],tbl_ProduitsRef[Produit],0)),
   ""
)</f>
        <v/>
      </c>
      <c r="G4668" s="7">
        <f>tbl_Ventes[[#This Row],[Qté Vendue]] * IFERROR(_xlfn.XLOOKUP(tbl_Ventes[[#This Row],[Cde_Prdt]], tbl_Produits[Cde_Prdt], tbl_Produits[Prix Menu]), 0)</f>
        <v>0</v>
      </c>
      <c r="H4668" s="7">
        <f>IFERROR(_xlfn.XLOOKUP(tbl_Ventes[[#This Row],[Cde_Prdt]], tbl_Produits[Cde_Prdt], tbl_Produits[Coût Moyen Portion]), 0)</f>
        <v>0</v>
      </c>
      <c r="I4668" s="7">
        <f>tbl_Ventes[[#This Row],[Qté Vendue]] * tbl_Ventes[[#This Row],[CMP_par_portion]]</f>
        <v>0</v>
      </c>
      <c r="J4668" s="7">
        <f>tbl_Ventes[[#This Row],[CA ligne]] - tbl_Ventes[[#This Row],[Coût matière ligne]]</f>
        <v>0</v>
      </c>
      <c r="K4668" s="7" t="str">
        <f>IFERROR(INDEX(tbl_ProduitsRef[Famille], MATCH(tbl_Ventes[[#This Row],[Cde_Prdt]], tbl_Produits[Cde_Prdt], 0)), "")</f>
        <v/>
      </c>
    </row>
    <row r="4669" spans="1:11" x14ac:dyDescent="0.25">
      <c r="A4669" s="5"/>
      <c r="B4669" s="63" t="str">
        <f>IFERROR(TEXT(tbl_Ventes[[#This Row],[Date]],"mm-aaaa"),"")</f>
        <v>01-1900</v>
      </c>
      <c r="D4669" s="10" t="str">
        <f>IFERROR(
   INDEX(tbl_ProduitsRef[Cde_Prdt],MATCH(tbl_Ventes[[#This Row],[Produit]],tbl_ProduitsRef[Produit],0)),
   ""
)</f>
        <v/>
      </c>
      <c r="E4669" s="7">
        <v>0</v>
      </c>
      <c r="F4669" s="7" t="str">
        <f>IFERROR(
   INDEX(tbl_ProduitsRef[Prix Menu],MATCH(tbl_Ventes[[#This Row],[Produit]],tbl_ProduitsRef[Produit],0)),
   ""
)</f>
        <v/>
      </c>
      <c r="G4669" s="7">
        <f>tbl_Ventes[[#This Row],[Qté Vendue]] * IFERROR(_xlfn.XLOOKUP(tbl_Ventes[[#This Row],[Cde_Prdt]], tbl_Produits[Cde_Prdt], tbl_Produits[Prix Menu]), 0)</f>
        <v>0</v>
      </c>
      <c r="H4669" s="7">
        <f>IFERROR(_xlfn.XLOOKUP(tbl_Ventes[[#This Row],[Cde_Prdt]], tbl_Produits[Cde_Prdt], tbl_Produits[Coût Moyen Portion]), 0)</f>
        <v>0</v>
      </c>
      <c r="I4669" s="7">
        <f>tbl_Ventes[[#This Row],[Qté Vendue]] * tbl_Ventes[[#This Row],[CMP_par_portion]]</f>
        <v>0</v>
      </c>
      <c r="J4669" s="7">
        <f>tbl_Ventes[[#This Row],[CA ligne]] - tbl_Ventes[[#This Row],[Coût matière ligne]]</f>
        <v>0</v>
      </c>
      <c r="K4669" s="7" t="str">
        <f>IFERROR(INDEX(tbl_ProduitsRef[Famille], MATCH(tbl_Ventes[[#This Row],[Cde_Prdt]], tbl_Produits[Cde_Prdt], 0)), "")</f>
        <v/>
      </c>
    </row>
    <row r="4670" spans="1:11" x14ac:dyDescent="0.25">
      <c r="A4670" s="5"/>
      <c r="B4670" s="63" t="str">
        <f>IFERROR(TEXT(tbl_Ventes[[#This Row],[Date]],"mm-aaaa"),"")</f>
        <v>01-1900</v>
      </c>
      <c r="D4670" s="10" t="str">
        <f>IFERROR(
   INDEX(tbl_ProduitsRef[Cde_Prdt],MATCH(tbl_Ventes[[#This Row],[Produit]],tbl_ProduitsRef[Produit],0)),
   ""
)</f>
        <v/>
      </c>
      <c r="E4670" s="7">
        <v>0</v>
      </c>
      <c r="F4670" s="7" t="str">
        <f>IFERROR(
   INDEX(tbl_ProduitsRef[Prix Menu],MATCH(tbl_Ventes[[#This Row],[Produit]],tbl_ProduitsRef[Produit],0)),
   ""
)</f>
        <v/>
      </c>
      <c r="G4670" s="7">
        <f>tbl_Ventes[[#This Row],[Qté Vendue]] * IFERROR(_xlfn.XLOOKUP(tbl_Ventes[[#This Row],[Cde_Prdt]], tbl_Produits[Cde_Prdt], tbl_Produits[Prix Menu]), 0)</f>
        <v>0</v>
      </c>
      <c r="H4670" s="7">
        <f>IFERROR(_xlfn.XLOOKUP(tbl_Ventes[[#This Row],[Cde_Prdt]], tbl_Produits[Cde_Prdt], tbl_Produits[Coût Moyen Portion]), 0)</f>
        <v>0</v>
      </c>
      <c r="I4670" s="7">
        <f>tbl_Ventes[[#This Row],[Qté Vendue]] * tbl_Ventes[[#This Row],[CMP_par_portion]]</f>
        <v>0</v>
      </c>
      <c r="J4670" s="7">
        <f>tbl_Ventes[[#This Row],[CA ligne]] - tbl_Ventes[[#This Row],[Coût matière ligne]]</f>
        <v>0</v>
      </c>
      <c r="K4670" s="7" t="str">
        <f>IFERROR(INDEX(tbl_ProduitsRef[Famille], MATCH(tbl_Ventes[[#This Row],[Cde_Prdt]], tbl_Produits[Cde_Prdt], 0)), "")</f>
        <v/>
      </c>
    </row>
    <row r="4671" spans="1:11" x14ac:dyDescent="0.25">
      <c r="A4671" s="5"/>
      <c r="B4671" s="63" t="str">
        <f>IFERROR(TEXT(tbl_Ventes[[#This Row],[Date]],"mm-aaaa"),"")</f>
        <v>01-1900</v>
      </c>
      <c r="D4671" s="10" t="str">
        <f>IFERROR(
   INDEX(tbl_ProduitsRef[Cde_Prdt],MATCH(tbl_Ventes[[#This Row],[Produit]],tbl_ProduitsRef[Produit],0)),
   ""
)</f>
        <v/>
      </c>
      <c r="E4671" s="7">
        <v>0</v>
      </c>
      <c r="F4671" s="7" t="str">
        <f>IFERROR(
   INDEX(tbl_ProduitsRef[Prix Menu],MATCH(tbl_Ventes[[#This Row],[Produit]],tbl_ProduitsRef[Produit],0)),
   ""
)</f>
        <v/>
      </c>
      <c r="G4671" s="7">
        <f>tbl_Ventes[[#This Row],[Qté Vendue]] * IFERROR(_xlfn.XLOOKUP(tbl_Ventes[[#This Row],[Cde_Prdt]], tbl_Produits[Cde_Prdt], tbl_Produits[Prix Menu]), 0)</f>
        <v>0</v>
      </c>
      <c r="H4671" s="7">
        <f>IFERROR(_xlfn.XLOOKUP(tbl_Ventes[[#This Row],[Cde_Prdt]], tbl_Produits[Cde_Prdt], tbl_Produits[Coût Moyen Portion]), 0)</f>
        <v>0</v>
      </c>
      <c r="I4671" s="7">
        <f>tbl_Ventes[[#This Row],[Qté Vendue]] * tbl_Ventes[[#This Row],[CMP_par_portion]]</f>
        <v>0</v>
      </c>
      <c r="J4671" s="7">
        <f>tbl_Ventes[[#This Row],[CA ligne]] - tbl_Ventes[[#This Row],[Coût matière ligne]]</f>
        <v>0</v>
      </c>
      <c r="K4671" s="7" t="str">
        <f>IFERROR(INDEX(tbl_ProduitsRef[Famille], MATCH(tbl_Ventes[[#This Row],[Cde_Prdt]], tbl_Produits[Cde_Prdt], 0)), "")</f>
        <v/>
      </c>
    </row>
    <row r="4672" spans="1:11" x14ac:dyDescent="0.25">
      <c r="A4672" s="5"/>
      <c r="B4672" s="63" t="str">
        <f>IFERROR(TEXT(tbl_Ventes[[#This Row],[Date]],"mm-aaaa"),"")</f>
        <v>01-1900</v>
      </c>
      <c r="D4672" s="10" t="str">
        <f>IFERROR(
   INDEX(tbl_ProduitsRef[Cde_Prdt],MATCH(tbl_Ventes[[#This Row],[Produit]],tbl_ProduitsRef[Produit],0)),
   ""
)</f>
        <v/>
      </c>
      <c r="E4672" s="7">
        <v>0</v>
      </c>
      <c r="F4672" s="7" t="str">
        <f>IFERROR(
   INDEX(tbl_ProduitsRef[Prix Menu],MATCH(tbl_Ventes[[#This Row],[Produit]],tbl_ProduitsRef[Produit],0)),
   ""
)</f>
        <v/>
      </c>
      <c r="G4672" s="7">
        <f>tbl_Ventes[[#This Row],[Qté Vendue]] * IFERROR(_xlfn.XLOOKUP(tbl_Ventes[[#This Row],[Cde_Prdt]], tbl_Produits[Cde_Prdt], tbl_Produits[Prix Menu]), 0)</f>
        <v>0</v>
      </c>
      <c r="H4672" s="7">
        <f>IFERROR(_xlfn.XLOOKUP(tbl_Ventes[[#This Row],[Cde_Prdt]], tbl_Produits[Cde_Prdt], tbl_Produits[Coût Moyen Portion]), 0)</f>
        <v>0</v>
      </c>
      <c r="I4672" s="7">
        <f>tbl_Ventes[[#This Row],[Qté Vendue]] * tbl_Ventes[[#This Row],[CMP_par_portion]]</f>
        <v>0</v>
      </c>
      <c r="J4672" s="7">
        <f>tbl_Ventes[[#This Row],[CA ligne]] - tbl_Ventes[[#This Row],[Coût matière ligne]]</f>
        <v>0</v>
      </c>
      <c r="K4672" s="7" t="str">
        <f>IFERROR(INDEX(tbl_ProduitsRef[Famille], MATCH(tbl_Ventes[[#This Row],[Cde_Prdt]], tbl_Produits[Cde_Prdt], 0)), "")</f>
        <v/>
      </c>
    </row>
    <row r="4673" spans="1:11" x14ac:dyDescent="0.25">
      <c r="A4673" s="5"/>
      <c r="B4673" s="63" t="str">
        <f>IFERROR(TEXT(tbl_Ventes[[#This Row],[Date]],"mm-aaaa"),"")</f>
        <v>01-1900</v>
      </c>
      <c r="D4673" s="10" t="str">
        <f>IFERROR(
   INDEX(tbl_ProduitsRef[Cde_Prdt],MATCH(tbl_Ventes[[#This Row],[Produit]],tbl_ProduitsRef[Produit],0)),
   ""
)</f>
        <v/>
      </c>
      <c r="E4673" s="7">
        <v>0</v>
      </c>
      <c r="F4673" s="7" t="str">
        <f>IFERROR(
   INDEX(tbl_ProduitsRef[Prix Menu],MATCH(tbl_Ventes[[#This Row],[Produit]],tbl_ProduitsRef[Produit],0)),
   ""
)</f>
        <v/>
      </c>
      <c r="G4673" s="7">
        <f>tbl_Ventes[[#This Row],[Qté Vendue]] * IFERROR(_xlfn.XLOOKUP(tbl_Ventes[[#This Row],[Cde_Prdt]], tbl_Produits[Cde_Prdt], tbl_Produits[Prix Menu]), 0)</f>
        <v>0</v>
      </c>
      <c r="H4673" s="7">
        <f>IFERROR(_xlfn.XLOOKUP(tbl_Ventes[[#This Row],[Cde_Prdt]], tbl_Produits[Cde_Prdt], tbl_Produits[Coût Moyen Portion]), 0)</f>
        <v>0</v>
      </c>
      <c r="I4673" s="7">
        <f>tbl_Ventes[[#This Row],[Qté Vendue]] * tbl_Ventes[[#This Row],[CMP_par_portion]]</f>
        <v>0</v>
      </c>
      <c r="J4673" s="7">
        <f>tbl_Ventes[[#This Row],[CA ligne]] - tbl_Ventes[[#This Row],[Coût matière ligne]]</f>
        <v>0</v>
      </c>
      <c r="K4673" s="7" t="str">
        <f>IFERROR(INDEX(tbl_ProduitsRef[Famille], MATCH(tbl_Ventes[[#This Row],[Cde_Prdt]], tbl_Produits[Cde_Prdt], 0)), "")</f>
        <v/>
      </c>
    </row>
    <row r="4674" spans="1:11" x14ac:dyDescent="0.25">
      <c r="A4674" s="5"/>
      <c r="B4674" s="63" t="str">
        <f>IFERROR(TEXT(tbl_Ventes[[#This Row],[Date]],"mm-aaaa"),"")</f>
        <v>01-1900</v>
      </c>
      <c r="D4674" s="10" t="str">
        <f>IFERROR(
   INDEX(tbl_ProduitsRef[Cde_Prdt],MATCH(tbl_Ventes[[#This Row],[Produit]],tbl_ProduitsRef[Produit],0)),
   ""
)</f>
        <v/>
      </c>
      <c r="E4674" s="7">
        <v>0</v>
      </c>
      <c r="F4674" s="7" t="str">
        <f>IFERROR(
   INDEX(tbl_ProduitsRef[Prix Menu],MATCH(tbl_Ventes[[#This Row],[Produit]],tbl_ProduitsRef[Produit],0)),
   ""
)</f>
        <v/>
      </c>
      <c r="G4674" s="7">
        <f>tbl_Ventes[[#This Row],[Qté Vendue]] * IFERROR(_xlfn.XLOOKUP(tbl_Ventes[[#This Row],[Cde_Prdt]], tbl_Produits[Cde_Prdt], tbl_Produits[Prix Menu]), 0)</f>
        <v>0</v>
      </c>
      <c r="H4674" s="7">
        <f>IFERROR(_xlfn.XLOOKUP(tbl_Ventes[[#This Row],[Cde_Prdt]], tbl_Produits[Cde_Prdt], tbl_Produits[Coût Moyen Portion]), 0)</f>
        <v>0</v>
      </c>
      <c r="I4674" s="7">
        <f>tbl_Ventes[[#This Row],[Qté Vendue]] * tbl_Ventes[[#This Row],[CMP_par_portion]]</f>
        <v>0</v>
      </c>
      <c r="J4674" s="7">
        <f>tbl_Ventes[[#This Row],[CA ligne]] - tbl_Ventes[[#This Row],[Coût matière ligne]]</f>
        <v>0</v>
      </c>
      <c r="K4674" s="7" t="str">
        <f>IFERROR(INDEX(tbl_ProduitsRef[Famille], MATCH(tbl_Ventes[[#This Row],[Cde_Prdt]], tbl_Produits[Cde_Prdt], 0)), "")</f>
        <v/>
      </c>
    </row>
    <row r="4675" spans="1:11" x14ac:dyDescent="0.25">
      <c r="A4675" s="5"/>
      <c r="B4675" s="63" t="str">
        <f>IFERROR(TEXT(tbl_Ventes[[#This Row],[Date]],"mm-aaaa"),"")</f>
        <v>01-1900</v>
      </c>
      <c r="D4675" s="10" t="str">
        <f>IFERROR(
   INDEX(tbl_ProduitsRef[Cde_Prdt],MATCH(tbl_Ventes[[#This Row],[Produit]],tbl_ProduitsRef[Produit],0)),
   ""
)</f>
        <v/>
      </c>
      <c r="E4675" s="7">
        <v>0</v>
      </c>
      <c r="F4675" s="7" t="str">
        <f>IFERROR(
   INDEX(tbl_ProduitsRef[Prix Menu],MATCH(tbl_Ventes[[#This Row],[Produit]],tbl_ProduitsRef[Produit],0)),
   ""
)</f>
        <v/>
      </c>
      <c r="G4675" s="7">
        <f>tbl_Ventes[[#This Row],[Qté Vendue]] * IFERROR(_xlfn.XLOOKUP(tbl_Ventes[[#This Row],[Cde_Prdt]], tbl_Produits[Cde_Prdt], tbl_Produits[Prix Menu]), 0)</f>
        <v>0</v>
      </c>
      <c r="H4675" s="7">
        <f>IFERROR(_xlfn.XLOOKUP(tbl_Ventes[[#This Row],[Cde_Prdt]], tbl_Produits[Cde_Prdt], tbl_Produits[Coût Moyen Portion]), 0)</f>
        <v>0</v>
      </c>
      <c r="I4675" s="7">
        <f>tbl_Ventes[[#This Row],[Qté Vendue]] * tbl_Ventes[[#This Row],[CMP_par_portion]]</f>
        <v>0</v>
      </c>
      <c r="J4675" s="7">
        <f>tbl_Ventes[[#This Row],[CA ligne]] - tbl_Ventes[[#This Row],[Coût matière ligne]]</f>
        <v>0</v>
      </c>
      <c r="K4675" s="7" t="str">
        <f>IFERROR(INDEX(tbl_ProduitsRef[Famille], MATCH(tbl_Ventes[[#This Row],[Cde_Prdt]], tbl_Produits[Cde_Prdt], 0)), "")</f>
        <v/>
      </c>
    </row>
    <row r="4676" spans="1:11" x14ac:dyDescent="0.25">
      <c r="A4676" s="5"/>
      <c r="B4676" s="63" t="str">
        <f>IFERROR(TEXT(tbl_Ventes[[#This Row],[Date]],"mm-aaaa"),"")</f>
        <v>01-1900</v>
      </c>
      <c r="D4676" s="10" t="str">
        <f>IFERROR(
   INDEX(tbl_ProduitsRef[Cde_Prdt],MATCH(tbl_Ventes[[#This Row],[Produit]],tbl_ProduitsRef[Produit],0)),
   ""
)</f>
        <v/>
      </c>
      <c r="E4676" s="7">
        <v>0</v>
      </c>
      <c r="F4676" s="7" t="str">
        <f>IFERROR(
   INDEX(tbl_ProduitsRef[Prix Menu],MATCH(tbl_Ventes[[#This Row],[Produit]],tbl_ProduitsRef[Produit],0)),
   ""
)</f>
        <v/>
      </c>
      <c r="G4676" s="7">
        <f>tbl_Ventes[[#This Row],[Qté Vendue]] * IFERROR(_xlfn.XLOOKUP(tbl_Ventes[[#This Row],[Cde_Prdt]], tbl_Produits[Cde_Prdt], tbl_Produits[Prix Menu]), 0)</f>
        <v>0</v>
      </c>
      <c r="H4676" s="7">
        <f>IFERROR(_xlfn.XLOOKUP(tbl_Ventes[[#This Row],[Cde_Prdt]], tbl_Produits[Cde_Prdt], tbl_Produits[Coût Moyen Portion]), 0)</f>
        <v>0</v>
      </c>
      <c r="I4676" s="7">
        <f>tbl_Ventes[[#This Row],[Qté Vendue]] * tbl_Ventes[[#This Row],[CMP_par_portion]]</f>
        <v>0</v>
      </c>
      <c r="J4676" s="7">
        <f>tbl_Ventes[[#This Row],[CA ligne]] - tbl_Ventes[[#This Row],[Coût matière ligne]]</f>
        <v>0</v>
      </c>
      <c r="K4676" s="7" t="str">
        <f>IFERROR(INDEX(tbl_ProduitsRef[Famille], MATCH(tbl_Ventes[[#This Row],[Cde_Prdt]], tbl_Produits[Cde_Prdt], 0)), "")</f>
        <v/>
      </c>
    </row>
    <row r="4677" spans="1:11" x14ac:dyDescent="0.25">
      <c r="A4677" s="5"/>
      <c r="B4677" s="63" t="str">
        <f>IFERROR(TEXT(tbl_Ventes[[#This Row],[Date]],"mm-aaaa"),"")</f>
        <v>01-1900</v>
      </c>
      <c r="D4677" s="10" t="str">
        <f>IFERROR(
   INDEX(tbl_ProduitsRef[Cde_Prdt],MATCH(tbl_Ventes[[#This Row],[Produit]],tbl_ProduitsRef[Produit],0)),
   ""
)</f>
        <v/>
      </c>
      <c r="E4677" s="7">
        <v>0</v>
      </c>
      <c r="F4677" s="7" t="str">
        <f>IFERROR(
   INDEX(tbl_ProduitsRef[Prix Menu],MATCH(tbl_Ventes[[#This Row],[Produit]],tbl_ProduitsRef[Produit],0)),
   ""
)</f>
        <v/>
      </c>
      <c r="G4677" s="7">
        <f>tbl_Ventes[[#This Row],[Qté Vendue]] * IFERROR(_xlfn.XLOOKUP(tbl_Ventes[[#This Row],[Cde_Prdt]], tbl_Produits[Cde_Prdt], tbl_Produits[Prix Menu]), 0)</f>
        <v>0</v>
      </c>
      <c r="H4677" s="7">
        <f>IFERROR(_xlfn.XLOOKUP(tbl_Ventes[[#This Row],[Cde_Prdt]], tbl_Produits[Cde_Prdt], tbl_Produits[Coût Moyen Portion]), 0)</f>
        <v>0</v>
      </c>
      <c r="I4677" s="7">
        <f>tbl_Ventes[[#This Row],[Qté Vendue]] * tbl_Ventes[[#This Row],[CMP_par_portion]]</f>
        <v>0</v>
      </c>
      <c r="J4677" s="7">
        <f>tbl_Ventes[[#This Row],[CA ligne]] - tbl_Ventes[[#This Row],[Coût matière ligne]]</f>
        <v>0</v>
      </c>
      <c r="K4677" s="7" t="str">
        <f>IFERROR(INDEX(tbl_ProduitsRef[Famille], MATCH(tbl_Ventes[[#This Row],[Cde_Prdt]], tbl_Produits[Cde_Prdt], 0)), "")</f>
        <v/>
      </c>
    </row>
    <row r="4678" spans="1:11" x14ac:dyDescent="0.25">
      <c r="A4678" s="5"/>
      <c r="B4678" s="63" t="str">
        <f>IFERROR(TEXT(tbl_Ventes[[#This Row],[Date]],"mm-aaaa"),"")</f>
        <v>01-1900</v>
      </c>
      <c r="D4678" s="10" t="str">
        <f>IFERROR(
   INDEX(tbl_ProduitsRef[Cde_Prdt],MATCH(tbl_Ventes[[#This Row],[Produit]],tbl_ProduitsRef[Produit],0)),
   ""
)</f>
        <v/>
      </c>
      <c r="E4678" s="7">
        <v>0</v>
      </c>
      <c r="F4678" s="7" t="str">
        <f>IFERROR(
   INDEX(tbl_ProduitsRef[Prix Menu],MATCH(tbl_Ventes[[#This Row],[Produit]],tbl_ProduitsRef[Produit],0)),
   ""
)</f>
        <v/>
      </c>
      <c r="G4678" s="7">
        <f>tbl_Ventes[[#This Row],[Qté Vendue]] * IFERROR(_xlfn.XLOOKUP(tbl_Ventes[[#This Row],[Cde_Prdt]], tbl_Produits[Cde_Prdt], tbl_Produits[Prix Menu]), 0)</f>
        <v>0</v>
      </c>
      <c r="H4678" s="7">
        <f>IFERROR(_xlfn.XLOOKUP(tbl_Ventes[[#This Row],[Cde_Prdt]], tbl_Produits[Cde_Prdt], tbl_Produits[Coût Moyen Portion]), 0)</f>
        <v>0</v>
      </c>
      <c r="I4678" s="7">
        <f>tbl_Ventes[[#This Row],[Qté Vendue]] * tbl_Ventes[[#This Row],[CMP_par_portion]]</f>
        <v>0</v>
      </c>
      <c r="J4678" s="7">
        <f>tbl_Ventes[[#This Row],[CA ligne]] - tbl_Ventes[[#This Row],[Coût matière ligne]]</f>
        <v>0</v>
      </c>
      <c r="K4678" s="7" t="str">
        <f>IFERROR(INDEX(tbl_ProduitsRef[Famille], MATCH(tbl_Ventes[[#This Row],[Cde_Prdt]], tbl_Produits[Cde_Prdt], 0)), "")</f>
        <v/>
      </c>
    </row>
    <row r="4679" spans="1:11" x14ac:dyDescent="0.25">
      <c r="A4679" s="5"/>
      <c r="B4679" s="63" t="str">
        <f>IFERROR(TEXT(tbl_Ventes[[#This Row],[Date]],"mm-aaaa"),"")</f>
        <v>01-1900</v>
      </c>
      <c r="D4679" s="10" t="str">
        <f>IFERROR(
   INDEX(tbl_ProduitsRef[Cde_Prdt],MATCH(tbl_Ventes[[#This Row],[Produit]],tbl_ProduitsRef[Produit],0)),
   ""
)</f>
        <v/>
      </c>
      <c r="E4679" s="7">
        <v>0</v>
      </c>
      <c r="F4679" s="7" t="str">
        <f>IFERROR(
   INDEX(tbl_ProduitsRef[Prix Menu],MATCH(tbl_Ventes[[#This Row],[Produit]],tbl_ProduitsRef[Produit],0)),
   ""
)</f>
        <v/>
      </c>
      <c r="G4679" s="7">
        <f>tbl_Ventes[[#This Row],[Qté Vendue]] * IFERROR(_xlfn.XLOOKUP(tbl_Ventes[[#This Row],[Cde_Prdt]], tbl_Produits[Cde_Prdt], tbl_Produits[Prix Menu]), 0)</f>
        <v>0</v>
      </c>
      <c r="H4679" s="7">
        <f>IFERROR(_xlfn.XLOOKUP(tbl_Ventes[[#This Row],[Cde_Prdt]], tbl_Produits[Cde_Prdt], tbl_Produits[Coût Moyen Portion]), 0)</f>
        <v>0</v>
      </c>
      <c r="I4679" s="7">
        <f>tbl_Ventes[[#This Row],[Qté Vendue]] * tbl_Ventes[[#This Row],[CMP_par_portion]]</f>
        <v>0</v>
      </c>
      <c r="J4679" s="7">
        <f>tbl_Ventes[[#This Row],[CA ligne]] - tbl_Ventes[[#This Row],[Coût matière ligne]]</f>
        <v>0</v>
      </c>
      <c r="K4679" s="7" t="str">
        <f>IFERROR(INDEX(tbl_ProduitsRef[Famille], MATCH(tbl_Ventes[[#This Row],[Cde_Prdt]], tbl_Produits[Cde_Prdt], 0)), "")</f>
        <v/>
      </c>
    </row>
    <row r="4680" spans="1:11" x14ac:dyDescent="0.25">
      <c r="A4680" s="5"/>
      <c r="B4680" s="63" t="str">
        <f>IFERROR(TEXT(tbl_Ventes[[#This Row],[Date]],"mm-aaaa"),"")</f>
        <v>01-1900</v>
      </c>
      <c r="D4680" s="10" t="str">
        <f>IFERROR(
   INDEX(tbl_ProduitsRef[Cde_Prdt],MATCH(tbl_Ventes[[#This Row],[Produit]],tbl_ProduitsRef[Produit],0)),
   ""
)</f>
        <v/>
      </c>
      <c r="E4680" s="7">
        <v>0</v>
      </c>
      <c r="F4680" s="7" t="str">
        <f>IFERROR(
   INDEX(tbl_ProduitsRef[Prix Menu],MATCH(tbl_Ventes[[#This Row],[Produit]],tbl_ProduitsRef[Produit],0)),
   ""
)</f>
        <v/>
      </c>
      <c r="G4680" s="7">
        <f>tbl_Ventes[[#This Row],[Qté Vendue]] * IFERROR(_xlfn.XLOOKUP(tbl_Ventes[[#This Row],[Cde_Prdt]], tbl_Produits[Cde_Prdt], tbl_Produits[Prix Menu]), 0)</f>
        <v>0</v>
      </c>
      <c r="H4680" s="7">
        <f>IFERROR(_xlfn.XLOOKUP(tbl_Ventes[[#This Row],[Cde_Prdt]], tbl_Produits[Cde_Prdt], tbl_Produits[Coût Moyen Portion]), 0)</f>
        <v>0</v>
      </c>
      <c r="I4680" s="7">
        <f>tbl_Ventes[[#This Row],[Qté Vendue]] * tbl_Ventes[[#This Row],[CMP_par_portion]]</f>
        <v>0</v>
      </c>
      <c r="J4680" s="7">
        <f>tbl_Ventes[[#This Row],[CA ligne]] - tbl_Ventes[[#This Row],[Coût matière ligne]]</f>
        <v>0</v>
      </c>
      <c r="K4680" s="7" t="str">
        <f>IFERROR(INDEX(tbl_ProduitsRef[Famille], MATCH(tbl_Ventes[[#This Row],[Cde_Prdt]], tbl_Produits[Cde_Prdt], 0)), "")</f>
        <v/>
      </c>
    </row>
    <row r="4681" spans="1:11" x14ac:dyDescent="0.25">
      <c r="A4681" s="5"/>
      <c r="B4681" s="63" t="str">
        <f>IFERROR(TEXT(tbl_Ventes[[#This Row],[Date]],"mm-aaaa"),"")</f>
        <v>01-1900</v>
      </c>
      <c r="D4681" s="10" t="str">
        <f>IFERROR(
   INDEX(tbl_ProduitsRef[Cde_Prdt],MATCH(tbl_Ventes[[#This Row],[Produit]],tbl_ProduitsRef[Produit],0)),
   ""
)</f>
        <v/>
      </c>
      <c r="E4681" s="7">
        <v>0</v>
      </c>
      <c r="F4681" s="7" t="str">
        <f>IFERROR(
   INDEX(tbl_ProduitsRef[Prix Menu],MATCH(tbl_Ventes[[#This Row],[Produit]],tbl_ProduitsRef[Produit],0)),
   ""
)</f>
        <v/>
      </c>
      <c r="G4681" s="7">
        <f>tbl_Ventes[[#This Row],[Qté Vendue]] * IFERROR(_xlfn.XLOOKUP(tbl_Ventes[[#This Row],[Cde_Prdt]], tbl_Produits[Cde_Prdt], tbl_Produits[Prix Menu]), 0)</f>
        <v>0</v>
      </c>
      <c r="H4681" s="7">
        <f>IFERROR(_xlfn.XLOOKUP(tbl_Ventes[[#This Row],[Cde_Prdt]], tbl_Produits[Cde_Prdt], tbl_Produits[Coût Moyen Portion]), 0)</f>
        <v>0</v>
      </c>
      <c r="I4681" s="7">
        <f>tbl_Ventes[[#This Row],[Qté Vendue]] * tbl_Ventes[[#This Row],[CMP_par_portion]]</f>
        <v>0</v>
      </c>
      <c r="J4681" s="7">
        <f>tbl_Ventes[[#This Row],[CA ligne]] - tbl_Ventes[[#This Row],[Coût matière ligne]]</f>
        <v>0</v>
      </c>
      <c r="K4681" s="7" t="str">
        <f>IFERROR(INDEX(tbl_ProduitsRef[Famille], MATCH(tbl_Ventes[[#This Row],[Cde_Prdt]], tbl_Produits[Cde_Prdt], 0)), "")</f>
        <v/>
      </c>
    </row>
    <row r="4682" spans="1:11" x14ac:dyDescent="0.25">
      <c r="A4682" s="5"/>
      <c r="B4682" s="63" t="str">
        <f>IFERROR(TEXT(tbl_Ventes[[#This Row],[Date]],"mm-aaaa"),"")</f>
        <v>01-1900</v>
      </c>
      <c r="D4682" s="10" t="str">
        <f>IFERROR(
   INDEX(tbl_ProduitsRef[Cde_Prdt],MATCH(tbl_Ventes[[#This Row],[Produit]],tbl_ProduitsRef[Produit],0)),
   ""
)</f>
        <v/>
      </c>
      <c r="E4682" s="7">
        <v>0</v>
      </c>
      <c r="F4682" s="7" t="str">
        <f>IFERROR(
   INDEX(tbl_ProduitsRef[Prix Menu],MATCH(tbl_Ventes[[#This Row],[Produit]],tbl_ProduitsRef[Produit],0)),
   ""
)</f>
        <v/>
      </c>
      <c r="G4682" s="7">
        <f>tbl_Ventes[[#This Row],[Qté Vendue]] * IFERROR(_xlfn.XLOOKUP(tbl_Ventes[[#This Row],[Cde_Prdt]], tbl_Produits[Cde_Prdt], tbl_Produits[Prix Menu]), 0)</f>
        <v>0</v>
      </c>
      <c r="H4682" s="7">
        <f>IFERROR(_xlfn.XLOOKUP(tbl_Ventes[[#This Row],[Cde_Prdt]], tbl_Produits[Cde_Prdt], tbl_Produits[Coût Moyen Portion]), 0)</f>
        <v>0</v>
      </c>
      <c r="I4682" s="7">
        <f>tbl_Ventes[[#This Row],[Qté Vendue]] * tbl_Ventes[[#This Row],[CMP_par_portion]]</f>
        <v>0</v>
      </c>
      <c r="J4682" s="7">
        <f>tbl_Ventes[[#This Row],[CA ligne]] - tbl_Ventes[[#This Row],[Coût matière ligne]]</f>
        <v>0</v>
      </c>
      <c r="K4682" s="7" t="str">
        <f>IFERROR(INDEX(tbl_ProduitsRef[Famille], MATCH(tbl_Ventes[[#This Row],[Cde_Prdt]], tbl_Produits[Cde_Prdt], 0)), "")</f>
        <v/>
      </c>
    </row>
    <row r="4683" spans="1:11" x14ac:dyDescent="0.25">
      <c r="A4683" s="5"/>
      <c r="B4683" s="63" t="str">
        <f>IFERROR(TEXT(tbl_Ventes[[#This Row],[Date]],"mm-aaaa"),"")</f>
        <v>01-1900</v>
      </c>
      <c r="D4683" s="10" t="str">
        <f>IFERROR(
   INDEX(tbl_ProduitsRef[Cde_Prdt],MATCH(tbl_Ventes[[#This Row],[Produit]],tbl_ProduitsRef[Produit],0)),
   ""
)</f>
        <v/>
      </c>
      <c r="E4683" s="7">
        <v>0</v>
      </c>
      <c r="F4683" s="7" t="str">
        <f>IFERROR(
   INDEX(tbl_ProduitsRef[Prix Menu],MATCH(tbl_Ventes[[#This Row],[Produit]],tbl_ProduitsRef[Produit],0)),
   ""
)</f>
        <v/>
      </c>
      <c r="G4683" s="7">
        <f>tbl_Ventes[[#This Row],[Qté Vendue]] * IFERROR(_xlfn.XLOOKUP(tbl_Ventes[[#This Row],[Cde_Prdt]], tbl_Produits[Cde_Prdt], tbl_Produits[Prix Menu]), 0)</f>
        <v>0</v>
      </c>
      <c r="H4683" s="7">
        <f>IFERROR(_xlfn.XLOOKUP(tbl_Ventes[[#This Row],[Cde_Prdt]], tbl_Produits[Cde_Prdt], tbl_Produits[Coût Moyen Portion]), 0)</f>
        <v>0</v>
      </c>
      <c r="I4683" s="7">
        <f>tbl_Ventes[[#This Row],[Qté Vendue]] * tbl_Ventes[[#This Row],[CMP_par_portion]]</f>
        <v>0</v>
      </c>
      <c r="J4683" s="7">
        <f>tbl_Ventes[[#This Row],[CA ligne]] - tbl_Ventes[[#This Row],[Coût matière ligne]]</f>
        <v>0</v>
      </c>
      <c r="K4683" s="7" t="str">
        <f>IFERROR(INDEX(tbl_ProduitsRef[Famille], MATCH(tbl_Ventes[[#This Row],[Cde_Prdt]], tbl_Produits[Cde_Prdt], 0)), "")</f>
        <v/>
      </c>
    </row>
    <row r="4684" spans="1:11" x14ac:dyDescent="0.25">
      <c r="A4684" s="5"/>
      <c r="B4684" s="63" t="str">
        <f>IFERROR(TEXT(tbl_Ventes[[#This Row],[Date]],"mm-aaaa"),"")</f>
        <v>01-1900</v>
      </c>
      <c r="D4684" s="10" t="str">
        <f>IFERROR(
   INDEX(tbl_ProduitsRef[Cde_Prdt],MATCH(tbl_Ventes[[#This Row],[Produit]],tbl_ProduitsRef[Produit],0)),
   ""
)</f>
        <v/>
      </c>
      <c r="E4684" s="7">
        <v>0</v>
      </c>
      <c r="F4684" s="7" t="str">
        <f>IFERROR(
   INDEX(tbl_ProduitsRef[Prix Menu],MATCH(tbl_Ventes[[#This Row],[Produit]],tbl_ProduitsRef[Produit],0)),
   ""
)</f>
        <v/>
      </c>
      <c r="G4684" s="7">
        <f>tbl_Ventes[[#This Row],[Qté Vendue]] * IFERROR(_xlfn.XLOOKUP(tbl_Ventes[[#This Row],[Cde_Prdt]], tbl_Produits[Cde_Prdt], tbl_Produits[Prix Menu]), 0)</f>
        <v>0</v>
      </c>
      <c r="H4684" s="7">
        <f>IFERROR(_xlfn.XLOOKUP(tbl_Ventes[[#This Row],[Cde_Prdt]], tbl_Produits[Cde_Prdt], tbl_Produits[Coût Moyen Portion]), 0)</f>
        <v>0</v>
      </c>
      <c r="I4684" s="7">
        <f>tbl_Ventes[[#This Row],[Qté Vendue]] * tbl_Ventes[[#This Row],[CMP_par_portion]]</f>
        <v>0</v>
      </c>
      <c r="J4684" s="7">
        <f>tbl_Ventes[[#This Row],[CA ligne]] - tbl_Ventes[[#This Row],[Coût matière ligne]]</f>
        <v>0</v>
      </c>
      <c r="K4684" s="7" t="str">
        <f>IFERROR(INDEX(tbl_ProduitsRef[Famille], MATCH(tbl_Ventes[[#This Row],[Cde_Prdt]], tbl_Produits[Cde_Prdt], 0)), "")</f>
        <v/>
      </c>
    </row>
    <row r="4685" spans="1:11" x14ac:dyDescent="0.25">
      <c r="A4685" s="5"/>
      <c r="B4685" s="63" t="str">
        <f>IFERROR(TEXT(tbl_Ventes[[#This Row],[Date]],"mm-aaaa"),"")</f>
        <v>01-1900</v>
      </c>
      <c r="D4685" s="10" t="str">
        <f>IFERROR(
   INDEX(tbl_ProduitsRef[Cde_Prdt],MATCH(tbl_Ventes[[#This Row],[Produit]],tbl_ProduitsRef[Produit],0)),
   ""
)</f>
        <v/>
      </c>
      <c r="E4685" s="7">
        <v>0</v>
      </c>
      <c r="F4685" s="7" t="str">
        <f>IFERROR(
   INDEX(tbl_ProduitsRef[Prix Menu],MATCH(tbl_Ventes[[#This Row],[Produit]],tbl_ProduitsRef[Produit],0)),
   ""
)</f>
        <v/>
      </c>
      <c r="G4685" s="7">
        <f>tbl_Ventes[[#This Row],[Qté Vendue]] * IFERROR(_xlfn.XLOOKUP(tbl_Ventes[[#This Row],[Cde_Prdt]], tbl_Produits[Cde_Prdt], tbl_Produits[Prix Menu]), 0)</f>
        <v>0</v>
      </c>
      <c r="H4685" s="7">
        <f>IFERROR(_xlfn.XLOOKUP(tbl_Ventes[[#This Row],[Cde_Prdt]], tbl_Produits[Cde_Prdt], tbl_Produits[Coût Moyen Portion]), 0)</f>
        <v>0</v>
      </c>
      <c r="I4685" s="7">
        <f>tbl_Ventes[[#This Row],[Qté Vendue]] * tbl_Ventes[[#This Row],[CMP_par_portion]]</f>
        <v>0</v>
      </c>
      <c r="J4685" s="7">
        <f>tbl_Ventes[[#This Row],[CA ligne]] - tbl_Ventes[[#This Row],[Coût matière ligne]]</f>
        <v>0</v>
      </c>
      <c r="K4685" s="7" t="str">
        <f>IFERROR(INDEX(tbl_ProduitsRef[Famille], MATCH(tbl_Ventes[[#This Row],[Cde_Prdt]], tbl_Produits[Cde_Prdt], 0)), "")</f>
        <v/>
      </c>
    </row>
    <row r="4686" spans="1:11" x14ac:dyDescent="0.25">
      <c r="A4686" s="5"/>
      <c r="B4686" s="63" t="str">
        <f>IFERROR(TEXT(tbl_Ventes[[#This Row],[Date]],"mm-aaaa"),"")</f>
        <v>01-1900</v>
      </c>
      <c r="D4686" s="10" t="str">
        <f>IFERROR(
   INDEX(tbl_ProduitsRef[Cde_Prdt],MATCH(tbl_Ventes[[#This Row],[Produit]],tbl_ProduitsRef[Produit],0)),
   ""
)</f>
        <v/>
      </c>
      <c r="E4686" s="7">
        <v>0</v>
      </c>
      <c r="F4686" s="7" t="str">
        <f>IFERROR(
   INDEX(tbl_ProduitsRef[Prix Menu],MATCH(tbl_Ventes[[#This Row],[Produit]],tbl_ProduitsRef[Produit],0)),
   ""
)</f>
        <v/>
      </c>
      <c r="G4686" s="7">
        <f>tbl_Ventes[[#This Row],[Qté Vendue]] * IFERROR(_xlfn.XLOOKUP(tbl_Ventes[[#This Row],[Cde_Prdt]], tbl_Produits[Cde_Prdt], tbl_Produits[Prix Menu]), 0)</f>
        <v>0</v>
      </c>
      <c r="H4686" s="7">
        <f>IFERROR(_xlfn.XLOOKUP(tbl_Ventes[[#This Row],[Cde_Prdt]], tbl_Produits[Cde_Prdt], tbl_Produits[Coût Moyen Portion]), 0)</f>
        <v>0</v>
      </c>
      <c r="I4686" s="7">
        <f>tbl_Ventes[[#This Row],[Qté Vendue]] * tbl_Ventes[[#This Row],[CMP_par_portion]]</f>
        <v>0</v>
      </c>
      <c r="J4686" s="7">
        <f>tbl_Ventes[[#This Row],[CA ligne]] - tbl_Ventes[[#This Row],[Coût matière ligne]]</f>
        <v>0</v>
      </c>
      <c r="K4686" s="7" t="str">
        <f>IFERROR(INDEX(tbl_ProduitsRef[Famille], MATCH(tbl_Ventes[[#This Row],[Cde_Prdt]], tbl_Produits[Cde_Prdt], 0)), "")</f>
        <v/>
      </c>
    </row>
    <row r="4687" spans="1:11" x14ac:dyDescent="0.25">
      <c r="A4687" s="5"/>
      <c r="B4687" s="63" t="str">
        <f>IFERROR(TEXT(tbl_Ventes[[#This Row],[Date]],"mm-aaaa"),"")</f>
        <v>01-1900</v>
      </c>
      <c r="D4687" s="10" t="str">
        <f>IFERROR(
   INDEX(tbl_ProduitsRef[Cde_Prdt],MATCH(tbl_Ventes[[#This Row],[Produit]],tbl_ProduitsRef[Produit],0)),
   ""
)</f>
        <v/>
      </c>
      <c r="E4687" s="7">
        <v>0</v>
      </c>
      <c r="F4687" s="7" t="str">
        <f>IFERROR(
   INDEX(tbl_ProduitsRef[Prix Menu],MATCH(tbl_Ventes[[#This Row],[Produit]],tbl_ProduitsRef[Produit],0)),
   ""
)</f>
        <v/>
      </c>
      <c r="G4687" s="7">
        <f>tbl_Ventes[[#This Row],[Qté Vendue]] * IFERROR(_xlfn.XLOOKUP(tbl_Ventes[[#This Row],[Cde_Prdt]], tbl_Produits[Cde_Prdt], tbl_Produits[Prix Menu]), 0)</f>
        <v>0</v>
      </c>
      <c r="H4687" s="7">
        <f>IFERROR(_xlfn.XLOOKUP(tbl_Ventes[[#This Row],[Cde_Prdt]], tbl_Produits[Cde_Prdt], tbl_Produits[Coût Moyen Portion]), 0)</f>
        <v>0</v>
      </c>
      <c r="I4687" s="7">
        <f>tbl_Ventes[[#This Row],[Qté Vendue]] * tbl_Ventes[[#This Row],[CMP_par_portion]]</f>
        <v>0</v>
      </c>
      <c r="J4687" s="7">
        <f>tbl_Ventes[[#This Row],[CA ligne]] - tbl_Ventes[[#This Row],[Coût matière ligne]]</f>
        <v>0</v>
      </c>
      <c r="K4687" s="7" t="str">
        <f>IFERROR(INDEX(tbl_ProduitsRef[Famille], MATCH(tbl_Ventes[[#This Row],[Cde_Prdt]], tbl_Produits[Cde_Prdt], 0)), "")</f>
        <v/>
      </c>
    </row>
    <row r="4688" spans="1:11" x14ac:dyDescent="0.25">
      <c r="A4688" s="5"/>
      <c r="B4688" s="63" t="str">
        <f>IFERROR(TEXT(tbl_Ventes[[#This Row],[Date]],"mm-aaaa"),"")</f>
        <v>01-1900</v>
      </c>
      <c r="D4688" s="10" t="str">
        <f>IFERROR(
   INDEX(tbl_ProduitsRef[Cde_Prdt],MATCH(tbl_Ventes[[#This Row],[Produit]],tbl_ProduitsRef[Produit],0)),
   ""
)</f>
        <v/>
      </c>
      <c r="E4688" s="7">
        <v>0</v>
      </c>
      <c r="F4688" s="7" t="str">
        <f>IFERROR(
   INDEX(tbl_ProduitsRef[Prix Menu],MATCH(tbl_Ventes[[#This Row],[Produit]],tbl_ProduitsRef[Produit],0)),
   ""
)</f>
        <v/>
      </c>
      <c r="G4688" s="7">
        <f>tbl_Ventes[[#This Row],[Qté Vendue]] * IFERROR(_xlfn.XLOOKUP(tbl_Ventes[[#This Row],[Cde_Prdt]], tbl_Produits[Cde_Prdt], tbl_Produits[Prix Menu]), 0)</f>
        <v>0</v>
      </c>
      <c r="H4688" s="7">
        <f>IFERROR(_xlfn.XLOOKUP(tbl_Ventes[[#This Row],[Cde_Prdt]], tbl_Produits[Cde_Prdt], tbl_Produits[Coût Moyen Portion]), 0)</f>
        <v>0</v>
      </c>
      <c r="I4688" s="7">
        <f>tbl_Ventes[[#This Row],[Qté Vendue]] * tbl_Ventes[[#This Row],[CMP_par_portion]]</f>
        <v>0</v>
      </c>
      <c r="J4688" s="7">
        <f>tbl_Ventes[[#This Row],[CA ligne]] - tbl_Ventes[[#This Row],[Coût matière ligne]]</f>
        <v>0</v>
      </c>
      <c r="K4688" s="7" t="str">
        <f>IFERROR(INDEX(tbl_ProduitsRef[Famille], MATCH(tbl_Ventes[[#This Row],[Cde_Prdt]], tbl_Produits[Cde_Prdt], 0)), "")</f>
        <v/>
      </c>
    </row>
    <row r="4689" spans="1:11" x14ac:dyDescent="0.25">
      <c r="A4689" s="5"/>
      <c r="B4689" s="63" t="str">
        <f>IFERROR(TEXT(tbl_Ventes[[#This Row],[Date]],"mm-aaaa"),"")</f>
        <v>01-1900</v>
      </c>
      <c r="D4689" s="10" t="str">
        <f>IFERROR(
   INDEX(tbl_ProduitsRef[Cde_Prdt],MATCH(tbl_Ventes[[#This Row],[Produit]],tbl_ProduitsRef[Produit],0)),
   ""
)</f>
        <v/>
      </c>
      <c r="E4689" s="7">
        <v>0</v>
      </c>
      <c r="F4689" s="7" t="str">
        <f>IFERROR(
   INDEX(tbl_ProduitsRef[Prix Menu],MATCH(tbl_Ventes[[#This Row],[Produit]],tbl_ProduitsRef[Produit],0)),
   ""
)</f>
        <v/>
      </c>
      <c r="G4689" s="7">
        <f>tbl_Ventes[[#This Row],[Qté Vendue]] * IFERROR(_xlfn.XLOOKUP(tbl_Ventes[[#This Row],[Cde_Prdt]], tbl_Produits[Cde_Prdt], tbl_Produits[Prix Menu]), 0)</f>
        <v>0</v>
      </c>
      <c r="H4689" s="7">
        <f>IFERROR(_xlfn.XLOOKUP(tbl_Ventes[[#This Row],[Cde_Prdt]], tbl_Produits[Cde_Prdt], tbl_Produits[Coût Moyen Portion]), 0)</f>
        <v>0</v>
      </c>
      <c r="I4689" s="7">
        <f>tbl_Ventes[[#This Row],[Qté Vendue]] * tbl_Ventes[[#This Row],[CMP_par_portion]]</f>
        <v>0</v>
      </c>
      <c r="J4689" s="7">
        <f>tbl_Ventes[[#This Row],[CA ligne]] - tbl_Ventes[[#This Row],[Coût matière ligne]]</f>
        <v>0</v>
      </c>
      <c r="K4689" s="7" t="str">
        <f>IFERROR(INDEX(tbl_ProduitsRef[Famille], MATCH(tbl_Ventes[[#This Row],[Cde_Prdt]], tbl_Produits[Cde_Prdt], 0)), "")</f>
        <v/>
      </c>
    </row>
    <row r="4690" spans="1:11" x14ac:dyDescent="0.25">
      <c r="A4690" s="5"/>
      <c r="B4690" s="63" t="str">
        <f>IFERROR(TEXT(tbl_Ventes[[#This Row],[Date]],"mm-aaaa"),"")</f>
        <v>01-1900</v>
      </c>
      <c r="D4690" s="10" t="str">
        <f>IFERROR(
   INDEX(tbl_ProduitsRef[Cde_Prdt],MATCH(tbl_Ventes[[#This Row],[Produit]],tbl_ProduitsRef[Produit],0)),
   ""
)</f>
        <v/>
      </c>
      <c r="E4690" s="7">
        <v>0</v>
      </c>
      <c r="F4690" s="7" t="str">
        <f>IFERROR(
   INDEX(tbl_ProduitsRef[Prix Menu],MATCH(tbl_Ventes[[#This Row],[Produit]],tbl_ProduitsRef[Produit],0)),
   ""
)</f>
        <v/>
      </c>
      <c r="G4690" s="7">
        <f>tbl_Ventes[[#This Row],[Qté Vendue]] * IFERROR(_xlfn.XLOOKUP(tbl_Ventes[[#This Row],[Cde_Prdt]], tbl_Produits[Cde_Prdt], tbl_Produits[Prix Menu]), 0)</f>
        <v>0</v>
      </c>
      <c r="H4690" s="7">
        <f>IFERROR(_xlfn.XLOOKUP(tbl_Ventes[[#This Row],[Cde_Prdt]], tbl_Produits[Cde_Prdt], tbl_Produits[Coût Moyen Portion]), 0)</f>
        <v>0</v>
      </c>
      <c r="I4690" s="7">
        <f>tbl_Ventes[[#This Row],[Qté Vendue]] * tbl_Ventes[[#This Row],[CMP_par_portion]]</f>
        <v>0</v>
      </c>
      <c r="J4690" s="7">
        <f>tbl_Ventes[[#This Row],[CA ligne]] - tbl_Ventes[[#This Row],[Coût matière ligne]]</f>
        <v>0</v>
      </c>
      <c r="K4690" s="7" t="str">
        <f>IFERROR(INDEX(tbl_ProduitsRef[Famille], MATCH(tbl_Ventes[[#This Row],[Cde_Prdt]], tbl_Produits[Cde_Prdt], 0)), "")</f>
        <v/>
      </c>
    </row>
    <row r="4691" spans="1:11" x14ac:dyDescent="0.25">
      <c r="A4691" s="5"/>
      <c r="B4691" s="63" t="str">
        <f>IFERROR(TEXT(tbl_Ventes[[#This Row],[Date]],"mm-aaaa"),"")</f>
        <v>01-1900</v>
      </c>
      <c r="D4691" s="10" t="str">
        <f>IFERROR(
   INDEX(tbl_ProduitsRef[Cde_Prdt],MATCH(tbl_Ventes[[#This Row],[Produit]],tbl_ProduitsRef[Produit],0)),
   ""
)</f>
        <v/>
      </c>
      <c r="E4691" s="7">
        <v>0</v>
      </c>
      <c r="F4691" s="7" t="str">
        <f>IFERROR(
   INDEX(tbl_ProduitsRef[Prix Menu],MATCH(tbl_Ventes[[#This Row],[Produit]],tbl_ProduitsRef[Produit],0)),
   ""
)</f>
        <v/>
      </c>
      <c r="G4691" s="7">
        <f>tbl_Ventes[[#This Row],[Qté Vendue]] * IFERROR(_xlfn.XLOOKUP(tbl_Ventes[[#This Row],[Cde_Prdt]], tbl_Produits[Cde_Prdt], tbl_Produits[Prix Menu]), 0)</f>
        <v>0</v>
      </c>
      <c r="H4691" s="7">
        <f>IFERROR(_xlfn.XLOOKUP(tbl_Ventes[[#This Row],[Cde_Prdt]], tbl_Produits[Cde_Prdt], tbl_Produits[Coût Moyen Portion]), 0)</f>
        <v>0</v>
      </c>
      <c r="I4691" s="7">
        <f>tbl_Ventes[[#This Row],[Qté Vendue]] * tbl_Ventes[[#This Row],[CMP_par_portion]]</f>
        <v>0</v>
      </c>
      <c r="J4691" s="7">
        <f>tbl_Ventes[[#This Row],[CA ligne]] - tbl_Ventes[[#This Row],[Coût matière ligne]]</f>
        <v>0</v>
      </c>
      <c r="K4691" s="7" t="str">
        <f>IFERROR(INDEX(tbl_ProduitsRef[Famille], MATCH(tbl_Ventes[[#This Row],[Cde_Prdt]], tbl_Produits[Cde_Prdt], 0)), "")</f>
        <v/>
      </c>
    </row>
    <row r="4692" spans="1:11" x14ac:dyDescent="0.25">
      <c r="A4692" s="5"/>
      <c r="B4692" s="63" t="str">
        <f>IFERROR(TEXT(tbl_Ventes[[#This Row],[Date]],"mm-aaaa"),"")</f>
        <v>01-1900</v>
      </c>
      <c r="D4692" s="10" t="str">
        <f>IFERROR(
   INDEX(tbl_ProduitsRef[Cde_Prdt],MATCH(tbl_Ventes[[#This Row],[Produit]],tbl_ProduitsRef[Produit],0)),
   ""
)</f>
        <v/>
      </c>
      <c r="E4692" s="7">
        <v>0</v>
      </c>
      <c r="F4692" s="7" t="str">
        <f>IFERROR(
   INDEX(tbl_ProduitsRef[Prix Menu],MATCH(tbl_Ventes[[#This Row],[Produit]],tbl_ProduitsRef[Produit],0)),
   ""
)</f>
        <v/>
      </c>
      <c r="G4692" s="7">
        <f>tbl_Ventes[[#This Row],[Qté Vendue]] * IFERROR(_xlfn.XLOOKUP(tbl_Ventes[[#This Row],[Cde_Prdt]], tbl_Produits[Cde_Prdt], tbl_Produits[Prix Menu]), 0)</f>
        <v>0</v>
      </c>
      <c r="H4692" s="7">
        <f>IFERROR(_xlfn.XLOOKUP(tbl_Ventes[[#This Row],[Cde_Prdt]], tbl_Produits[Cde_Prdt], tbl_Produits[Coût Moyen Portion]), 0)</f>
        <v>0</v>
      </c>
      <c r="I4692" s="7">
        <f>tbl_Ventes[[#This Row],[Qté Vendue]] * tbl_Ventes[[#This Row],[CMP_par_portion]]</f>
        <v>0</v>
      </c>
      <c r="J4692" s="7">
        <f>tbl_Ventes[[#This Row],[CA ligne]] - tbl_Ventes[[#This Row],[Coût matière ligne]]</f>
        <v>0</v>
      </c>
      <c r="K4692" s="7" t="str">
        <f>IFERROR(INDEX(tbl_ProduitsRef[Famille], MATCH(tbl_Ventes[[#This Row],[Cde_Prdt]], tbl_Produits[Cde_Prdt], 0)), "")</f>
        <v/>
      </c>
    </row>
    <row r="4693" spans="1:11" x14ac:dyDescent="0.25">
      <c r="A4693" s="5"/>
      <c r="B4693" s="63" t="str">
        <f>IFERROR(TEXT(tbl_Ventes[[#This Row],[Date]],"mm-aaaa"),"")</f>
        <v>01-1900</v>
      </c>
      <c r="D4693" s="10" t="str">
        <f>IFERROR(
   INDEX(tbl_ProduitsRef[Cde_Prdt],MATCH(tbl_Ventes[[#This Row],[Produit]],tbl_ProduitsRef[Produit],0)),
   ""
)</f>
        <v/>
      </c>
      <c r="E4693" s="7">
        <v>0</v>
      </c>
      <c r="F4693" s="7" t="str">
        <f>IFERROR(
   INDEX(tbl_ProduitsRef[Prix Menu],MATCH(tbl_Ventes[[#This Row],[Produit]],tbl_ProduitsRef[Produit],0)),
   ""
)</f>
        <v/>
      </c>
      <c r="G4693" s="7">
        <f>tbl_Ventes[[#This Row],[Qté Vendue]] * IFERROR(_xlfn.XLOOKUP(tbl_Ventes[[#This Row],[Cde_Prdt]], tbl_Produits[Cde_Prdt], tbl_Produits[Prix Menu]), 0)</f>
        <v>0</v>
      </c>
      <c r="H4693" s="7">
        <f>IFERROR(_xlfn.XLOOKUP(tbl_Ventes[[#This Row],[Cde_Prdt]], tbl_Produits[Cde_Prdt], tbl_Produits[Coût Moyen Portion]), 0)</f>
        <v>0</v>
      </c>
      <c r="I4693" s="7">
        <f>tbl_Ventes[[#This Row],[Qté Vendue]] * tbl_Ventes[[#This Row],[CMP_par_portion]]</f>
        <v>0</v>
      </c>
      <c r="J4693" s="7">
        <f>tbl_Ventes[[#This Row],[CA ligne]] - tbl_Ventes[[#This Row],[Coût matière ligne]]</f>
        <v>0</v>
      </c>
      <c r="K4693" s="7" t="str">
        <f>IFERROR(INDEX(tbl_ProduitsRef[Famille], MATCH(tbl_Ventes[[#This Row],[Cde_Prdt]], tbl_Produits[Cde_Prdt], 0)), "")</f>
        <v/>
      </c>
    </row>
    <row r="4694" spans="1:11" x14ac:dyDescent="0.25">
      <c r="A4694" s="5"/>
      <c r="B4694" s="63" t="str">
        <f>IFERROR(TEXT(tbl_Ventes[[#This Row],[Date]],"mm-aaaa"),"")</f>
        <v>01-1900</v>
      </c>
      <c r="D4694" s="10" t="str">
        <f>IFERROR(
   INDEX(tbl_ProduitsRef[Cde_Prdt],MATCH(tbl_Ventes[[#This Row],[Produit]],tbl_ProduitsRef[Produit],0)),
   ""
)</f>
        <v/>
      </c>
      <c r="E4694" s="7">
        <v>0</v>
      </c>
      <c r="F4694" s="7" t="str">
        <f>IFERROR(
   INDEX(tbl_ProduitsRef[Prix Menu],MATCH(tbl_Ventes[[#This Row],[Produit]],tbl_ProduitsRef[Produit],0)),
   ""
)</f>
        <v/>
      </c>
      <c r="G4694" s="7">
        <f>tbl_Ventes[[#This Row],[Qté Vendue]] * IFERROR(_xlfn.XLOOKUP(tbl_Ventes[[#This Row],[Cde_Prdt]], tbl_Produits[Cde_Prdt], tbl_Produits[Prix Menu]), 0)</f>
        <v>0</v>
      </c>
      <c r="H4694" s="7">
        <f>IFERROR(_xlfn.XLOOKUP(tbl_Ventes[[#This Row],[Cde_Prdt]], tbl_Produits[Cde_Prdt], tbl_Produits[Coût Moyen Portion]), 0)</f>
        <v>0</v>
      </c>
      <c r="I4694" s="7">
        <f>tbl_Ventes[[#This Row],[Qté Vendue]] * tbl_Ventes[[#This Row],[CMP_par_portion]]</f>
        <v>0</v>
      </c>
      <c r="J4694" s="7">
        <f>tbl_Ventes[[#This Row],[CA ligne]] - tbl_Ventes[[#This Row],[Coût matière ligne]]</f>
        <v>0</v>
      </c>
      <c r="K4694" s="7" t="str">
        <f>IFERROR(INDEX(tbl_ProduitsRef[Famille], MATCH(tbl_Ventes[[#This Row],[Cde_Prdt]], tbl_Produits[Cde_Prdt], 0)), "")</f>
        <v/>
      </c>
    </row>
    <row r="4695" spans="1:11" x14ac:dyDescent="0.25">
      <c r="A4695" s="5"/>
      <c r="B4695" s="63" t="str">
        <f>IFERROR(TEXT(tbl_Ventes[[#This Row],[Date]],"mm-aaaa"),"")</f>
        <v>01-1900</v>
      </c>
      <c r="D4695" s="10" t="str">
        <f>IFERROR(
   INDEX(tbl_ProduitsRef[Cde_Prdt],MATCH(tbl_Ventes[[#This Row],[Produit]],tbl_ProduitsRef[Produit],0)),
   ""
)</f>
        <v/>
      </c>
      <c r="E4695" s="7">
        <v>0</v>
      </c>
      <c r="F4695" s="7" t="str">
        <f>IFERROR(
   INDEX(tbl_ProduitsRef[Prix Menu],MATCH(tbl_Ventes[[#This Row],[Produit]],tbl_ProduitsRef[Produit],0)),
   ""
)</f>
        <v/>
      </c>
      <c r="G4695" s="7">
        <f>tbl_Ventes[[#This Row],[Qté Vendue]] * IFERROR(_xlfn.XLOOKUP(tbl_Ventes[[#This Row],[Cde_Prdt]], tbl_Produits[Cde_Prdt], tbl_Produits[Prix Menu]), 0)</f>
        <v>0</v>
      </c>
      <c r="H4695" s="7">
        <f>IFERROR(_xlfn.XLOOKUP(tbl_Ventes[[#This Row],[Cde_Prdt]], tbl_Produits[Cde_Prdt], tbl_Produits[Coût Moyen Portion]), 0)</f>
        <v>0</v>
      </c>
      <c r="I4695" s="7">
        <f>tbl_Ventes[[#This Row],[Qté Vendue]] * tbl_Ventes[[#This Row],[CMP_par_portion]]</f>
        <v>0</v>
      </c>
      <c r="J4695" s="7">
        <f>tbl_Ventes[[#This Row],[CA ligne]] - tbl_Ventes[[#This Row],[Coût matière ligne]]</f>
        <v>0</v>
      </c>
      <c r="K4695" s="7" t="str">
        <f>IFERROR(INDEX(tbl_ProduitsRef[Famille], MATCH(tbl_Ventes[[#This Row],[Cde_Prdt]], tbl_Produits[Cde_Prdt], 0)), "")</f>
        <v/>
      </c>
    </row>
    <row r="4696" spans="1:11" x14ac:dyDescent="0.25">
      <c r="A4696" s="5"/>
      <c r="B4696" s="63" t="str">
        <f>IFERROR(TEXT(tbl_Ventes[[#This Row],[Date]],"mm-aaaa"),"")</f>
        <v>01-1900</v>
      </c>
      <c r="D4696" s="10" t="str">
        <f>IFERROR(
   INDEX(tbl_ProduitsRef[Cde_Prdt],MATCH(tbl_Ventes[[#This Row],[Produit]],tbl_ProduitsRef[Produit],0)),
   ""
)</f>
        <v/>
      </c>
      <c r="E4696" s="7">
        <v>0</v>
      </c>
      <c r="F4696" s="7" t="str">
        <f>IFERROR(
   INDEX(tbl_ProduitsRef[Prix Menu],MATCH(tbl_Ventes[[#This Row],[Produit]],tbl_ProduitsRef[Produit],0)),
   ""
)</f>
        <v/>
      </c>
      <c r="G4696" s="7">
        <f>tbl_Ventes[[#This Row],[Qté Vendue]] * IFERROR(_xlfn.XLOOKUP(tbl_Ventes[[#This Row],[Cde_Prdt]], tbl_Produits[Cde_Prdt], tbl_Produits[Prix Menu]), 0)</f>
        <v>0</v>
      </c>
      <c r="H4696" s="7">
        <f>IFERROR(_xlfn.XLOOKUP(tbl_Ventes[[#This Row],[Cde_Prdt]], tbl_Produits[Cde_Prdt], tbl_Produits[Coût Moyen Portion]), 0)</f>
        <v>0</v>
      </c>
      <c r="I4696" s="7">
        <f>tbl_Ventes[[#This Row],[Qté Vendue]] * tbl_Ventes[[#This Row],[CMP_par_portion]]</f>
        <v>0</v>
      </c>
      <c r="J4696" s="7">
        <f>tbl_Ventes[[#This Row],[CA ligne]] - tbl_Ventes[[#This Row],[Coût matière ligne]]</f>
        <v>0</v>
      </c>
      <c r="K4696" s="7" t="str">
        <f>IFERROR(INDEX(tbl_ProduitsRef[Famille], MATCH(tbl_Ventes[[#This Row],[Cde_Prdt]], tbl_Produits[Cde_Prdt], 0)), "")</f>
        <v/>
      </c>
    </row>
    <row r="4697" spans="1:11" x14ac:dyDescent="0.25">
      <c r="A4697" s="5"/>
      <c r="B4697" s="63" t="str">
        <f>IFERROR(TEXT(tbl_Ventes[[#This Row],[Date]],"mm-aaaa"),"")</f>
        <v>01-1900</v>
      </c>
      <c r="D4697" s="10" t="str">
        <f>IFERROR(
   INDEX(tbl_ProduitsRef[Cde_Prdt],MATCH(tbl_Ventes[[#This Row],[Produit]],tbl_ProduitsRef[Produit],0)),
   ""
)</f>
        <v/>
      </c>
      <c r="E4697" s="7">
        <v>0</v>
      </c>
      <c r="F4697" s="7" t="str">
        <f>IFERROR(
   INDEX(tbl_ProduitsRef[Prix Menu],MATCH(tbl_Ventes[[#This Row],[Produit]],tbl_ProduitsRef[Produit],0)),
   ""
)</f>
        <v/>
      </c>
      <c r="G4697" s="7">
        <f>tbl_Ventes[[#This Row],[Qté Vendue]] * IFERROR(_xlfn.XLOOKUP(tbl_Ventes[[#This Row],[Cde_Prdt]], tbl_Produits[Cde_Prdt], tbl_Produits[Prix Menu]), 0)</f>
        <v>0</v>
      </c>
      <c r="H4697" s="7">
        <f>IFERROR(_xlfn.XLOOKUP(tbl_Ventes[[#This Row],[Cde_Prdt]], tbl_Produits[Cde_Prdt], tbl_Produits[Coût Moyen Portion]), 0)</f>
        <v>0</v>
      </c>
      <c r="I4697" s="7">
        <f>tbl_Ventes[[#This Row],[Qté Vendue]] * tbl_Ventes[[#This Row],[CMP_par_portion]]</f>
        <v>0</v>
      </c>
      <c r="J4697" s="7">
        <f>tbl_Ventes[[#This Row],[CA ligne]] - tbl_Ventes[[#This Row],[Coût matière ligne]]</f>
        <v>0</v>
      </c>
      <c r="K4697" s="7" t="str">
        <f>IFERROR(INDEX(tbl_ProduitsRef[Famille], MATCH(tbl_Ventes[[#This Row],[Cde_Prdt]], tbl_Produits[Cde_Prdt], 0)), "")</f>
        <v/>
      </c>
    </row>
    <row r="4698" spans="1:11" x14ac:dyDescent="0.25">
      <c r="A4698" s="5"/>
      <c r="B4698" s="63" t="str">
        <f>IFERROR(TEXT(tbl_Ventes[[#This Row],[Date]],"mm-aaaa"),"")</f>
        <v>01-1900</v>
      </c>
      <c r="D4698" s="10" t="str">
        <f>IFERROR(
   INDEX(tbl_ProduitsRef[Cde_Prdt],MATCH(tbl_Ventes[[#This Row],[Produit]],tbl_ProduitsRef[Produit],0)),
   ""
)</f>
        <v/>
      </c>
      <c r="E4698" s="7">
        <v>0</v>
      </c>
      <c r="F4698" s="7" t="str">
        <f>IFERROR(
   INDEX(tbl_ProduitsRef[Prix Menu],MATCH(tbl_Ventes[[#This Row],[Produit]],tbl_ProduitsRef[Produit],0)),
   ""
)</f>
        <v/>
      </c>
      <c r="G4698" s="7">
        <f>tbl_Ventes[[#This Row],[Qté Vendue]] * IFERROR(_xlfn.XLOOKUP(tbl_Ventes[[#This Row],[Cde_Prdt]], tbl_Produits[Cde_Prdt], tbl_Produits[Prix Menu]), 0)</f>
        <v>0</v>
      </c>
      <c r="H4698" s="7">
        <f>IFERROR(_xlfn.XLOOKUP(tbl_Ventes[[#This Row],[Cde_Prdt]], tbl_Produits[Cde_Prdt], tbl_Produits[Coût Moyen Portion]), 0)</f>
        <v>0</v>
      </c>
      <c r="I4698" s="7">
        <f>tbl_Ventes[[#This Row],[Qté Vendue]] * tbl_Ventes[[#This Row],[CMP_par_portion]]</f>
        <v>0</v>
      </c>
      <c r="J4698" s="7">
        <f>tbl_Ventes[[#This Row],[CA ligne]] - tbl_Ventes[[#This Row],[Coût matière ligne]]</f>
        <v>0</v>
      </c>
      <c r="K4698" s="7" t="str">
        <f>IFERROR(INDEX(tbl_ProduitsRef[Famille], MATCH(tbl_Ventes[[#This Row],[Cde_Prdt]], tbl_Produits[Cde_Prdt], 0)), "")</f>
        <v/>
      </c>
    </row>
    <row r="4699" spans="1:11" x14ac:dyDescent="0.25">
      <c r="A4699" s="5"/>
      <c r="B4699" s="63" t="str">
        <f>IFERROR(TEXT(tbl_Ventes[[#This Row],[Date]],"mm-aaaa"),"")</f>
        <v>01-1900</v>
      </c>
      <c r="D4699" s="10" t="str">
        <f>IFERROR(
   INDEX(tbl_ProduitsRef[Cde_Prdt],MATCH(tbl_Ventes[[#This Row],[Produit]],tbl_ProduitsRef[Produit],0)),
   ""
)</f>
        <v/>
      </c>
      <c r="E4699" s="7">
        <v>0</v>
      </c>
      <c r="F4699" s="7" t="str">
        <f>IFERROR(
   INDEX(tbl_ProduitsRef[Prix Menu],MATCH(tbl_Ventes[[#This Row],[Produit]],tbl_ProduitsRef[Produit],0)),
   ""
)</f>
        <v/>
      </c>
      <c r="G4699" s="7">
        <f>tbl_Ventes[[#This Row],[Qté Vendue]] * IFERROR(_xlfn.XLOOKUP(tbl_Ventes[[#This Row],[Cde_Prdt]], tbl_Produits[Cde_Prdt], tbl_Produits[Prix Menu]), 0)</f>
        <v>0</v>
      </c>
      <c r="H4699" s="7">
        <f>IFERROR(_xlfn.XLOOKUP(tbl_Ventes[[#This Row],[Cde_Prdt]], tbl_Produits[Cde_Prdt], tbl_Produits[Coût Moyen Portion]), 0)</f>
        <v>0</v>
      </c>
      <c r="I4699" s="7">
        <f>tbl_Ventes[[#This Row],[Qté Vendue]] * tbl_Ventes[[#This Row],[CMP_par_portion]]</f>
        <v>0</v>
      </c>
      <c r="J4699" s="7">
        <f>tbl_Ventes[[#This Row],[CA ligne]] - tbl_Ventes[[#This Row],[Coût matière ligne]]</f>
        <v>0</v>
      </c>
      <c r="K4699" s="7" t="str">
        <f>IFERROR(INDEX(tbl_ProduitsRef[Famille], MATCH(tbl_Ventes[[#This Row],[Cde_Prdt]], tbl_Produits[Cde_Prdt], 0)), "")</f>
        <v/>
      </c>
    </row>
    <row r="4700" spans="1:11" x14ac:dyDescent="0.25">
      <c r="A4700" s="5"/>
      <c r="B4700" s="63" t="str">
        <f>IFERROR(TEXT(tbl_Ventes[[#This Row],[Date]],"mm-aaaa"),"")</f>
        <v>01-1900</v>
      </c>
      <c r="D4700" s="10" t="str">
        <f>IFERROR(
   INDEX(tbl_ProduitsRef[Cde_Prdt],MATCH(tbl_Ventes[[#This Row],[Produit]],tbl_ProduitsRef[Produit],0)),
   ""
)</f>
        <v/>
      </c>
      <c r="E4700" s="7">
        <v>0</v>
      </c>
      <c r="F4700" s="7" t="str">
        <f>IFERROR(
   INDEX(tbl_ProduitsRef[Prix Menu],MATCH(tbl_Ventes[[#This Row],[Produit]],tbl_ProduitsRef[Produit],0)),
   ""
)</f>
        <v/>
      </c>
      <c r="G4700" s="7">
        <f>tbl_Ventes[[#This Row],[Qté Vendue]] * IFERROR(_xlfn.XLOOKUP(tbl_Ventes[[#This Row],[Cde_Prdt]], tbl_Produits[Cde_Prdt], tbl_Produits[Prix Menu]), 0)</f>
        <v>0</v>
      </c>
      <c r="H4700" s="7">
        <f>IFERROR(_xlfn.XLOOKUP(tbl_Ventes[[#This Row],[Cde_Prdt]], tbl_Produits[Cde_Prdt], tbl_Produits[Coût Moyen Portion]), 0)</f>
        <v>0</v>
      </c>
      <c r="I4700" s="7">
        <f>tbl_Ventes[[#This Row],[Qté Vendue]] * tbl_Ventes[[#This Row],[CMP_par_portion]]</f>
        <v>0</v>
      </c>
      <c r="J4700" s="7">
        <f>tbl_Ventes[[#This Row],[CA ligne]] - tbl_Ventes[[#This Row],[Coût matière ligne]]</f>
        <v>0</v>
      </c>
      <c r="K4700" s="7" t="str">
        <f>IFERROR(INDEX(tbl_ProduitsRef[Famille], MATCH(tbl_Ventes[[#This Row],[Cde_Prdt]], tbl_Produits[Cde_Prdt], 0)), "")</f>
        <v/>
      </c>
    </row>
    <row r="4701" spans="1:11" x14ac:dyDescent="0.25">
      <c r="A4701" s="5"/>
      <c r="B4701" s="63" t="str">
        <f>IFERROR(TEXT(tbl_Ventes[[#This Row],[Date]],"mm-aaaa"),"")</f>
        <v>01-1900</v>
      </c>
      <c r="D4701" s="10" t="str">
        <f>IFERROR(
   INDEX(tbl_ProduitsRef[Cde_Prdt],MATCH(tbl_Ventes[[#This Row],[Produit]],tbl_ProduitsRef[Produit],0)),
   ""
)</f>
        <v/>
      </c>
      <c r="E4701" s="7">
        <v>0</v>
      </c>
      <c r="F4701" s="7" t="str">
        <f>IFERROR(
   INDEX(tbl_ProduitsRef[Prix Menu],MATCH(tbl_Ventes[[#This Row],[Produit]],tbl_ProduitsRef[Produit],0)),
   ""
)</f>
        <v/>
      </c>
      <c r="G4701" s="7">
        <f>tbl_Ventes[[#This Row],[Qté Vendue]] * IFERROR(_xlfn.XLOOKUP(tbl_Ventes[[#This Row],[Cde_Prdt]], tbl_Produits[Cde_Prdt], tbl_Produits[Prix Menu]), 0)</f>
        <v>0</v>
      </c>
      <c r="H4701" s="7">
        <f>IFERROR(_xlfn.XLOOKUP(tbl_Ventes[[#This Row],[Cde_Prdt]], tbl_Produits[Cde_Prdt], tbl_Produits[Coût Moyen Portion]), 0)</f>
        <v>0</v>
      </c>
      <c r="I4701" s="7">
        <f>tbl_Ventes[[#This Row],[Qté Vendue]] * tbl_Ventes[[#This Row],[CMP_par_portion]]</f>
        <v>0</v>
      </c>
      <c r="J4701" s="7">
        <f>tbl_Ventes[[#This Row],[CA ligne]] - tbl_Ventes[[#This Row],[Coût matière ligne]]</f>
        <v>0</v>
      </c>
      <c r="K4701" s="7" t="str">
        <f>IFERROR(INDEX(tbl_ProduitsRef[Famille], MATCH(tbl_Ventes[[#This Row],[Cde_Prdt]], tbl_Produits[Cde_Prdt], 0)), "")</f>
        <v/>
      </c>
    </row>
    <row r="4702" spans="1:11" x14ac:dyDescent="0.25">
      <c r="A4702" s="5"/>
      <c r="B4702" s="63" t="str">
        <f>IFERROR(TEXT(tbl_Ventes[[#This Row],[Date]],"mm-aaaa"),"")</f>
        <v>01-1900</v>
      </c>
      <c r="D4702" s="10" t="str">
        <f>IFERROR(
   INDEX(tbl_ProduitsRef[Cde_Prdt],MATCH(tbl_Ventes[[#This Row],[Produit]],tbl_ProduitsRef[Produit],0)),
   ""
)</f>
        <v/>
      </c>
      <c r="E4702" s="7">
        <v>0</v>
      </c>
      <c r="F4702" s="7" t="str">
        <f>IFERROR(
   INDEX(tbl_ProduitsRef[Prix Menu],MATCH(tbl_Ventes[[#This Row],[Produit]],tbl_ProduitsRef[Produit],0)),
   ""
)</f>
        <v/>
      </c>
      <c r="G4702" s="7">
        <f>tbl_Ventes[[#This Row],[Qté Vendue]] * IFERROR(_xlfn.XLOOKUP(tbl_Ventes[[#This Row],[Cde_Prdt]], tbl_Produits[Cde_Prdt], tbl_Produits[Prix Menu]), 0)</f>
        <v>0</v>
      </c>
      <c r="H4702" s="7">
        <f>IFERROR(_xlfn.XLOOKUP(tbl_Ventes[[#This Row],[Cde_Prdt]], tbl_Produits[Cde_Prdt], tbl_Produits[Coût Moyen Portion]), 0)</f>
        <v>0</v>
      </c>
      <c r="I4702" s="7">
        <f>tbl_Ventes[[#This Row],[Qté Vendue]] * tbl_Ventes[[#This Row],[CMP_par_portion]]</f>
        <v>0</v>
      </c>
      <c r="J4702" s="7">
        <f>tbl_Ventes[[#This Row],[CA ligne]] - tbl_Ventes[[#This Row],[Coût matière ligne]]</f>
        <v>0</v>
      </c>
      <c r="K4702" s="7" t="str">
        <f>IFERROR(INDEX(tbl_ProduitsRef[Famille], MATCH(tbl_Ventes[[#This Row],[Cde_Prdt]], tbl_Produits[Cde_Prdt], 0)), "")</f>
        <v/>
      </c>
    </row>
    <row r="4703" spans="1:11" x14ac:dyDescent="0.25">
      <c r="A4703" s="5"/>
      <c r="B4703" s="63" t="str">
        <f>IFERROR(TEXT(tbl_Ventes[[#This Row],[Date]],"mm-aaaa"),"")</f>
        <v>01-1900</v>
      </c>
      <c r="D4703" s="10" t="str">
        <f>IFERROR(
   INDEX(tbl_ProduitsRef[Cde_Prdt],MATCH(tbl_Ventes[[#This Row],[Produit]],tbl_ProduitsRef[Produit],0)),
   ""
)</f>
        <v/>
      </c>
      <c r="E4703" s="7">
        <v>0</v>
      </c>
      <c r="F4703" s="7" t="str">
        <f>IFERROR(
   INDEX(tbl_ProduitsRef[Prix Menu],MATCH(tbl_Ventes[[#This Row],[Produit]],tbl_ProduitsRef[Produit],0)),
   ""
)</f>
        <v/>
      </c>
      <c r="G4703" s="7">
        <f>tbl_Ventes[[#This Row],[Qté Vendue]] * IFERROR(_xlfn.XLOOKUP(tbl_Ventes[[#This Row],[Cde_Prdt]], tbl_Produits[Cde_Prdt], tbl_Produits[Prix Menu]), 0)</f>
        <v>0</v>
      </c>
      <c r="H4703" s="7">
        <f>IFERROR(_xlfn.XLOOKUP(tbl_Ventes[[#This Row],[Cde_Prdt]], tbl_Produits[Cde_Prdt], tbl_Produits[Coût Moyen Portion]), 0)</f>
        <v>0</v>
      </c>
      <c r="I4703" s="7">
        <f>tbl_Ventes[[#This Row],[Qté Vendue]] * tbl_Ventes[[#This Row],[CMP_par_portion]]</f>
        <v>0</v>
      </c>
      <c r="J4703" s="7">
        <f>tbl_Ventes[[#This Row],[CA ligne]] - tbl_Ventes[[#This Row],[Coût matière ligne]]</f>
        <v>0</v>
      </c>
      <c r="K4703" s="7" t="str">
        <f>IFERROR(INDEX(tbl_ProduitsRef[Famille], MATCH(tbl_Ventes[[#This Row],[Cde_Prdt]], tbl_Produits[Cde_Prdt], 0)), "")</f>
        <v/>
      </c>
    </row>
    <row r="4704" spans="1:11" x14ac:dyDescent="0.25">
      <c r="A4704" s="5"/>
      <c r="B4704" s="63" t="str">
        <f>IFERROR(TEXT(tbl_Ventes[[#This Row],[Date]],"mm-aaaa"),"")</f>
        <v>01-1900</v>
      </c>
      <c r="D4704" s="10" t="str">
        <f>IFERROR(
   INDEX(tbl_ProduitsRef[Cde_Prdt],MATCH(tbl_Ventes[[#This Row],[Produit]],tbl_ProduitsRef[Produit],0)),
   ""
)</f>
        <v/>
      </c>
      <c r="E4704" s="7">
        <v>0</v>
      </c>
      <c r="F4704" s="7" t="str">
        <f>IFERROR(
   INDEX(tbl_ProduitsRef[Prix Menu],MATCH(tbl_Ventes[[#This Row],[Produit]],tbl_ProduitsRef[Produit],0)),
   ""
)</f>
        <v/>
      </c>
      <c r="G4704" s="7">
        <f>tbl_Ventes[[#This Row],[Qté Vendue]] * IFERROR(_xlfn.XLOOKUP(tbl_Ventes[[#This Row],[Cde_Prdt]], tbl_Produits[Cde_Prdt], tbl_Produits[Prix Menu]), 0)</f>
        <v>0</v>
      </c>
      <c r="H4704" s="7">
        <f>IFERROR(_xlfn.XLOOKUP(tbl_Ventes[[#This Row],[Cde_Prdt]], tbl_Produits[Cde_Prdt], tbl_Produits[Coût Moyen Portion]), 0)</f>
        <v>0</v>
      </c>
      <c r="I4704" s="7">
        <f>tbl_Ventes[[#This Row],[Qté Vendue]] * tbl_Ventes[[#This Row],[CMP_par_portion]]</f>
        <v>0</v>
      </c>
      <c r="J4704" s="7">
        <f>tbl_Ventes[[#This Row],[CA ligne]] - tbl_Ventes[[#This Row],[Coût matière ligne]]</f>
        <v>0</v>
      </c>
      <c r="K4704" s="7" t="str">
        <f>IFERROR(INDEX(tbl_ProduitsRef[Famille], MATCH(tbl_Ventes[[#This Row],[Cde_Prdt]], tbl_Produits[Cde_Prdt], 0)), "")</f>
        <v/>
      </c>
    </row>
    <row r="4705" spans="1:11" x14ac:dyDescent="0.25">
      <c r="A4705" s="5"/>
      <c r="B4705" s="63" t="str">
        <f>IFERROR(TEXT(tbl_Ventes[[#This Row],[Date]],"mm-aaaa"),"")</f>
        <v>01-1900</v>
      </c>
      <c r="D4705" s="10" t="str">
        <f>IFERROR(
   INDEX(tbl_ProduitsRef[Cde_Prdt],MATCH(tbl_Ventes[[#This Row],[Produit]],tbl_ProduitsRef[Produit],0)),
   ""
)</f>
        <v/>
      </c>
      <c r="E4705" s="7">
        <v>0</v>
      </c>
      <c r="F4705" s="7" t="str">
        <f>IFERROR(
   INDEX(tbl_ProduitsRef[Prix Menu],MATCH(tbl_Ventes[[#This Row],[Produit]],tbl_ProduitsRef[Produit],0)),
   ""
)</f>
        <v/>
      </c>
      <c r="G4705" s="7">
        <f>tbl_Ventes[[#This Row],[Qté Vendue]] * IFERROR(_xlfn.XLOOKUP(tbl_Ventes[[#This Row],[Cde_Prdt]], tbl_Produits[Cde_Prdt], tbl_Produits[Prix Menu]), 0)</f>
        <v>0</v>
      </c>
      <c r="H4705" s="7">
        <f>IFERROR(_xlfn.XLOOKUP(tbl_Ventes[[#This Row],[Cde_Prdt]], tbl_Produits[Cde_Prdt], tbl_Produits[Coût Moyen Portion]), 0)</f>
        <v>0</v>
      </c>
      <c r="I4705" s="7">
        <f>tbl_Ventes[[#This Row],[Qté Vendue]] * tbl_Ventes[[#This Row],[CMP_par_portion]]</f>
        <v>0</v>
      </c>
      <c r="J4705" s="7">
        <f>tbl_Ventes[[#This Row],[CA ligne]] - tbl_Ventes[[#This Row],[Coût matière ligne]]</f>
        <v>0</v>
      </c>
      <c r="K4705" s="7" t="str">
        <f>IFERROR(INDEX(tbl_ProduitsRef[Famille], MATCH(tbl_Ventes[[#This Row],[Cde_Prdt]], tbl_Produits[Cde_Prdt], 0)), "")</f>
        <v/>
      </c>
    </row>
    <row r="4706" spans="1:11" x14ac:dyDescent="0.25">
      <c r="A4706" s="5"/>
      <c r="B4706" s="63" t="str">
        <f>IFERROR(TEXT(tbl_Ventes[[#This Row],[Date]],"mm-aaaa"),"")</f>
        <v>01-1900</v>
      </c>
      <c r="D4706" s="10" t="str">
        <f>IFERROR(
   INDEX(tbl_ProduitsRef[Cde_Prdt],MATCH(tbl_Ventes[[#This Row],[Produit]],tbl_ProduitsRef[Produit],0)),
   ""
)</f>
        <v/>
      </c>
      <c r="E4706" s="7">
        <v>0</v>
      </c>
      <c r="F4706" s="7" t="str">
        <f>IFERROR(
   INDEX(tbl_ProduitsRef[Prix Menu],MATCH(tbl_Ventes[[#This Row],[Produit]],tbl_ProduitsRef[Produit],0)),
   ""
)</f>
        <v/>
      </c>
      <c r="G4706" s="7">
        <f>tbl_Ventes[[#This Row],[Qté Vendue]] * IFERROR(_xlfn.XLOOKUP(tbl_Ventes[[#This Row],[Cde_Prdt]], tbl_Produits[Cde_Prdt], tbl_Produits[Prix Menu]), 0)</f>
        <v>0</v>
      </c>
      <c r="H4706" s="7">
        <f>IFERROR(_xlfn.XLOOKUP(tbl_Ventes[[#This Row],[Cde_Prdt]], tbl_Produits[Cde_Prdt], tbl_Produits[Coût Moyen Portion]), 0)</f>
        <v>0</v>
      </c>
      <c r="I4706" s="7">
        <f>tbl_Ventes[[#This Row],[Qté Vendue]] * tbl_Ventes[[#This Row],[CMP_par_portion]]</f>
        <v>0</v>
      </c>
      <c r="J4706" s="7">
        <f>tbl_Ventes[[#This Row],[CA ligne]] - tbl_Ventes[[#This Row],[Coût matière ligne]]</f>
        <v>0</v>
      </c>
      <c r="K4706" s="7" t="str">
        <f>IFERROR(INDEX(tbl_ProduitsRef[Famille], MATCH(tbl_Ventes[[#This Row],[Cde_Prdt]], tbl_Produits[Cde_Prdt], 0)), "")</f>
        <v/>
      </c>
    </row>
    <row r="4707" spans="1:11" x14ac:dyDescent="0.25">
      <c r="A4707" s="5"/>
      <c r="B4707" s="63" t="str">
        <f>IFERROR(TEXT(tbl_Ventes[[#This Row],[Date]],"mm-aaaa"),"")</f>
        <v>01-1900</v>
      </c>
      <c r="D4707" s="10" t="str">
        <f>IFERROR(
   INDEX(tbl_ProduitsRef[Cde_Prdt],MATCH(tbl_Ventes[[#This Row],[Produit]],tbl_ProduitsRef[Produit],0)),
   ""
)</f>
        <v/>
      </c>
      <c r="E4707" s="7">
        <v>0</v>
      </c>
      <c r="F4707" s="7" t="str">
        <f>IFERROR(
   INDEX(tbl_ProduitsRef[Prix Menu],MATCH(tbl_Ventes[[#This Row],[Produit]],tbl_ProduitsRef[Produit],0)),
   ""
)</f>
        <v/>
      </c>
      <c r="G4707" s="7">
        <f>tbl_Ventes[[#This Row],[Qté Vendue]] * IFERROR(_xlfn.XLOOKUP(tbl_Ventes[[#This Row],[Cde_Prdt]], tbl_Produits[Cde_Prdt], tbl_Produits[Prix Menu]), 0)</f>
        <v>0</v>
      </c>
      <c r="H4707" s="7">
        <f>IFERROR(_xlfn.XLOOKUP(tbl_Ventes[[#This Row],[Cde_Prdt]], tbl_Produits[Cde_Prdt], tbl_Produits[Coût Moyen Portion]), 0)</f>
        <v>0</v>
      </c>
      <c r="I4707" s="7">
        <f>tbl_Ventes[[#This Row],[Qté Vendue]] * tbl_Ventes[[#This Row],[CMP_par_portion]]</f>
        <v>0</v>
      </c>
      <c r="J4707" s="7">
        <f>tbl_Ventes[[#This Row],[CA ligne]] - tbl_Ventes[[#This Row],[Coût matière ligne]]</f>
        <v>0</v>
      </c>
      <c r="K4707" s="7" t="str">
        <f>IFERROR(INDEX(tbl_ProduitsRef[Famille], MATCH(tbl_Ventes[[#This Row],[Cde_Prdt]], tbl_Produits[Cde_Prdt], 0)), "")</f>
        <v/>
      </c>
    </row>
    <row r="4708" spans="1:11" x14ac:dyDescent="0.25">
      <c r="A4708" s="5"/>
      <c r="B4708" s="63" t="str">
        <f>IFERROR(TEXT(tbl_Ventes[[#This Row],[Date]],"mm-aaaa"),"")</f>
        <v>01-1900</v>
      </c>
      <c r="D4708" s="10" t="str">
        <f>IFERROR(
   INDEX(tbl_ProduitsRef[Cde_Prdt],MATCH(tbl_Ventes[[#This Row],[Produit]],tbl_ProduitsRef[Produit],0)),
   ""
)</f>
        <v/>
      </c>
      <c r="E4708" s="7">
        <v>0</v>
      </c>
      <c r="F4708" s="7" t="str">
        <f>IFERROR(
   INDEX(tbl_ProduitsRef[Prix Menu],MATCH(tbl_Ventes[[#This Row],[Produit]],tbl_ProduitsRef[Produit],0)),
   ""
)</f>
        <v/>
      </c>
      <c r="G4708" s="7">
        <f>tbl_Ventes[[#This Row],[Qté Vendue]] * IFERROR(_xlfn.XLOOKUP(tbl_Ventes[[#This Row],[Cde_Prdt]], tbl_Produits[Cde_Prdt], tbl_Produits[Prix Menu]), 0)</f>
        <v>0</v>
      </c>
      <c r="H4708" s="7">
        <f>IFERROR(_xlfn.XLOOKUP(tbl_Ventes[[#This Row],[Cde_Prdt]], tbl_Produits[Cde_Prdt], tbl_Produits[Coût Moyen Portion]), 0)</f>
        <v>0</v>
      </c>
      <c r="I4708" s="7">
        <f>tbl_Ventes[[#This Row],[Qté Vendue]] * tbl_Ventes[[#This Row],[CMP_par_portion]]</f>
        <v>0</v>
      </c>
      <c r="J4708" s="7">
        <f>tbl_Ventes[[#This Row],[CA ligne]] - tbl_Ventes[[#This Row],[Coût matière ligne]]</f>
        <v>0</v>
      </c>
      <c r="K4708" s="7" t="str">
        <f>IFERROR(INDEX(tbl_ProduitsRef[Famille], MATCH(tbl_Ventes[[#This Row],[Cde_Prdt]], tbl_Produits[Cde_Prdt], 0)), "")</f>
        <v/>
      </c>
    </row>
    <row r="4709" spans="1:11" x14ac:dyDescent="0.25">
      <c r="A4709" s="5"/>
      <c r="B4709" s="63" t="str">
        <f>IFERROR(TEXT(tbl_Ventes[[#This Row],[Date]],"mm-aaaa"),"")</f>
        <v>01-1900</v>
      </c>
      <c r="D4709" s="10" t="str">
        <f>IFERROR(
   INDEX(tbl_ProduitsRef[Cde_Prdt],MATCH(tbl_Ventes[[#This Row],[Produit]],tbl_ProduitsRef[Produit],0)),
   ""
)</f>
        <v/>
      </c>
      <c r="E4709" s="7">
        <v>0</v>
      </c>
      <c r="F4709" s="7" t="str">
        <f>IFERROR(
   INDEX(tbl_ProduitsRef[Prix Menu],MATCH(tbl_Ventes[[#This Row],[Produit]],tbl_ProduitsRef[Produit],0)),
   ""
)</f>
        <v/>
      </c>
      <c r="G4709" s="7">
        <f>tbl_Ventes[[#This Row],[Qté Vendue]] * IFERROR(_xlfn.XLOOKUP(tbl_Ventes[[#This Row],[Cde_Prdt]], tbl_Produits[Cde_Prdt], tbl_Produits[Prix Menu]), 0)</f>
        <v>0</v>
      </c>
      <c r="H4709" s="7">
        <f>IFERROR(_xlfn.XLOOKUP(tbl_Ventes[[#This Row],[Cde_Prdt]], tbl_Produits[Cde_Prdt], tbl_Produits[Coût Moyen Portion]), 0)</f>
        <v>0</v>
      </c>
      <c r="I4709" s="7">
        <f>tbl_Ventes[[#This Row],[Qté Vendue]] * tbl_Ventes[[#This Row],[CMP_par_portion]]</f>
        <v>0</v>
      </c>
      <c r="J4709" s="7">
        <f>tbl_Ventes[[#This Row],[CA ligne]] - tbl_Ventes[[#This Row],[Coût matière ligne]]</f>
        <v>0</v>
      </c>
      <c r="K4709" s="7" t="str">
        <f>IFERROR(INDEX(tbl_ProduitsRef[Famille], MATCH(tbl_Ventes[[#This Row],[Cde_Prdt]], tbl_Produits[Cde_Prdt], 0)), "")</f>
        <v/>
      </c>
    </row>
    <row r="4710" spans="1:11" x14ac:dyDescent="0.25">
      <c r="A4710" s="5"/>
      <c r="B4710" s="63" t="str">
        <f>IFERROR(TEXT(tbl_Ventes[[#This Row],[Date]],"mm-aaaa"),"")</f>
        <v>01-1900</v>
      </c>
      <c r="D4710" s="10" t="str">
        <f>IFERROR(
   INDEX(tbl_ProduitsRef[Cde_Prdt],MATCH(tbl_Ventes[[#This Row],[Produit]],tbl_ProduitsRef[Produit],0)),
   ""
)</f>
        <v/>
      </c>
      <c r="E4710" s="7">
        <v>0</v>
      </c>
      <c r="F4710" s="7" t="str">
        <f>IFERROR(
   INDEX(tbl_ProduitsRef[Prix Menu],MATCH(tbl_Ventes[[#This Row],[Produit]],tbl_ProduitsRef[Produit],0)),
   ""
)</f>
        <v/>
      </c>
      <c r="G4710" s="7">
        <f>tbl_Ventes[[#This Row],[Qté Vendue]] * IFERROR(_xlfn.XLOOKUP(tbl_Ventes[[#This Row],[Cde_Prdt]], tbl_Produits[Cde_Prdt], tbl_Produits[Prix Menu]), 0)</f>
        <v>0</v>
      </c>
      <c r="H4710" s="7">
        <f>IFERROR(_xlfn.XLOOKUP(tbl_Ventes[[#This Row],[Cde_Prdt]], tbl_Produits[Cde_Prdt], tbl_Produits[Coût Moyen Portion]), 0)</f>
        <v>0</v>
      </c>
      <c r="I4710" s="7">
        <f>tbl_Ventes[[#This Row],[Qté Vendue]] * tbl_Ventes[[#This Row],[CMP_par_portion]]</f>
        <v>0</v>
      </c>
      <c r="J4710" s="7">
        <f>tbl_Ventes[[#This Row],[CA ligne]] - tbl_Ventes[[#This Row],[Coût matière ligne]]</f>
        <v>0</v>
      </c>
      <c r="K4710" s="7" t="str">
        <f>IFERROR(INDEX(tbl_ProduitsRef[Famille], MATCH(tbl_Ventes[[#This Row],[Cde_Prdt]], tbl_Produits[Cde_Prdt], 0)), "")</f>
        <v/>
      </c>
    </row>
    <row r="4711" spans="1:11" x14ac:dyDescent="0.25">
      <c r="A4711" s="5"/>
      <c r="B4711" s="63" t="str">
        <f>IFERROR(TEXT(tbl_Ventes[[#This Row],[Date]],"mm-aaaa"),"")</f>
        <v>01-1900</v>
      </c>
      <c r="D4711" s="10" t="str">
        <f>IFERROR(
   INDEX(tbl_ProduitsRef[Cde_Prdt],MATCH(tbl_Ventes[[#This Row],[Produit]],tbl_ProduitsRef[Produit],0)),
   ""
)</f>
        <v/>
      </c>
      <c r="E4711" s="7">
        <v>0</v>
      </c>
      <c r="F4711" s="7" t="str">
        <f>IFERROR(
   INDEX(tbl_ProduitsRef[Prix Menu],MATCH(tbl_Ventes[[#This Row],[Produit]],tbl_ProduitsRef[Produit],0)),
   ""
)</f>
        <v/>
      </c>
      <c r="G4711" s="7">
        <f>tbl_Ventes[[#This Row],[Qté Vendue]] * IFERROR(_xlfn.XLOOKUP(tbl_Ventes[[#This Row],[Cde_Prdt]], tbl_Produits[Cde_Prdt], tbl_Produits[Prix Menu]), 0)</f>
        <v>0</v>
      </c>
      <c r="H4711" s="7">
        <f>IFERROR(_xlfn.XLOOKUP(tbl_Ventes[[#This Row],[Cde_Prdt]], tbl_Produits[Cde_Prdt], tbl_Produits[Coût Moyen Portion]), 0)</f>
        <v>0</v>
      </c>
      <c r="I4711" s="7">
        <f>tbl_Ventes[[#This Row],[Qté Vendue]] * tbl_Ventes[[#This Row],[CMP_par_portion]]</f>
        <v>0</v>
      </c>
      <c r="J4711" s="7">
        <f>tbl_Ventes[[#This Row],[CA ligne]] - tbl_Ventes[[#This Row],[Coût matière ligne]]</f>
        <v>0</v>
      </c>
      <c r="K4711" s="7" t="str">
        <f>IFERROR(INDEX(tbl_ProduitsRef[Famille], MATCH(tbl_Ventes[[#This Row],[Cde_Prdt]], tbl_Produits[Cde_Prdt], 0)), "")</f>
        <v/>
      </c>
    </row>
    <row r="4712" spans="1:11" x14ac:dyDescent="0.25">
      <c r="A4712" s="5"/>
      <c r="B4712" s="63" t="str">
        <f>IFERROR(TEXT(tbl_Ventes[[#This Row],[Date]],"mm-aaaa"),"")</f>
        <v>01-1900</v>
      </c>
      <c r="D4712" s="10" t="str">
        <f>IFERROR(
   INDEX(tbl_ProduitsRef[Cde_Prdt],MATCH(tbl_Ventes[[#This Row],[Produit]],tbl_ProduitsRef[Produit],0)),
   ""
)</f>
        <v/>
      </c>
      <c r="E4712" s="7">
        <v>0</v>
      </c>
      <c r="F4712" s="7" t="str">
        <f>IFERROR(
   INDEX(tbl_ProduitsRef[Prix Menu],MATCH(tbl_Ventes[[#This Row],[Produit]],tbl_ProduitsRef[Produit],0)),
   ""
)</f>
        <v/>
      </c>
      <c r="G4712" s="7">
        <f>tbl_Ventes[[#This Row],[Qté Vendue]] * IFERROR(_xlfn.XLOOKUP(tbl_Ventes[[#This Row],[Cde_Prdt]], tbl_Produits[Cde_Prdt], tbl_Produits[Prix Menu]), 0)</f>
        <v>0</v>
      </c>
      <c r="H4712" s="7">
        <f>IFERROR(_xlfn.XLOOKUP(tbl_Ventes[[#This Row],[Cde_Prdt]], tbl_Produits[Cde_Prdt], tbl_Produits[Coût Moyen Portion]), 0)</f>
        <v>0</v>
      </c>
      <c r="I4712" s="7">
        <f>tbl_Ventes[[#This Row],[Qté Vendue]] * tbl_Ventes[[#This Row],[CMP_par_portion]]</f>
        <v>0</v>
      </c>
      <c r="J4712" s="7">
        <f>tbl_Ventes[[#This Row],[CA ligne]] - tbl_Ventes[[#This Row],[Coût matière ligne]]</f>
        <v>0</v>
      </c>
      <c r="K4712" s="7" t="str">
        <f>IFERROR(INDEX(tbl_ProduitsRef[Famille], MATCH(tbl_Ventes[[#This Row],[Cde_Prdt]], tbl_Produits[Cde_Prdt], 0)), "")</f>
        <v/>
      </c>
    </row>
    <row r="4713" spans="1:11" x14ac:dyDescent="0.25">
      <c r="A4713" s="5"/>
      <c r="B4713" s="63" t="str">
        <f>IFERROR(TEXT(tbl_Ventes[[#This Row],[Date]],"mm-aaaa"),"")</f>
        <v>01-1900</v>
      </c>
      <c r="D4713" s="10" t="str">
        <f>IFERROR(
   INDEX(tbl_ProduitsRef[Cde_Prdt],MATCH(tbl_Ventes[[#This Row],[Produit]],tbl_ProduitsRef[Produit],0)),
   ""
)</f>
        <v/>
      </c>
      <c r="E4713" s="7">
        <v>0</v>
      </c>
      <c r="F4713" s="7" t="str">
        <f>IFERROR(
   INDEX(tbl_ProduitsRef[Prix Menu],MATCH(tbl_Ventes[[#This Row],[Produit]],tbl_ProduitsRef[Produit],0)),
   ""
)</f>
        <v/>
      </c>
      <c r="G4713" s="7">
        <f>tbl_Ventes[[#This Row],[Qté Vendue]] * IFERROR(_xlfn.XLOOKUP(tbl_Ventes[[#This Row],[Cde_Prdt]], tbl_Produits[Cde_Prdt], tbl_Produits[Prix Menu]), 0)</f>
        <v>0</v>
      </c>
      <c r="H4713" s="7">
        <f>IFERROR(_xlfn.XLOOKUP(tbl_Ventes[[#This Row],[Cde_Prdt]], tbl_Produits[Cde_Prdt], tbl_Produits[Coût Moyen Portion]), 0)</f>
        <v>0</v>
      </c>
      <c r="I4713" s="7">
        <f>tbl_Ventes[[#This Row],[Qté Vendue]] * tbl_Ventes[[#This Row],[CMP_par_portion]]</f>
        <v>0</v>
      </c>
      <c r="J4713" s="7">
        <f>tbl_Ventes[[#This Row],[CA ligne]] - tbl_Ventes[[#This Row],[Coût matière ligne]]</f>
        <v>0</v>
      </c>
      <c r="K4713" s="7" t="str">
        <f>IFERROR(INDEX(tbl_ProduitsRef[Famille], MATCH(tbl_Ventes[[#This Row],[Cde_Prdt]], tbl_Produits[Cde_Prdt], 0)), "")</f>
        <v/>
      </c>
    </row>
    <row r="4714" spans="1:11" x14ac:dyDescent="0.25">
      <c r="A4714" s="5"/>
      <c r="B4714" s="63" t="str">
        <f>IFERROR(TEXT(tbl_Ventes[[#This Row],[Date]],"mm-aaaa"),"")</f>
        <v>01-1900</v>
      </c>
      <c r="D4714" s="10" t="str">
        <f>IFERROR(
   INDEX(tbl_ProduitsRef[Cde_Prdt],MATCH(tbl_Ventes[[#This Row],[Produit]],tbl_ProduitsRef[Produit],0)),
   ""
)</f>
        <v/>
      </c>
      <c r="E4714" s="7">
        <v>0</v>
      </c>
      <c r="F4714" s="7" t="str">
        <f>IFERROR(
   INDEX(tbl_ProduitsRef[Prix Menu],MATCH(tbl_Ventes[[#This Row],[Produit]],tbl_ProduitsRef[Produit],0)),
   ""
)</f>
        <v/>
      </c>
      <c r="G4714" s="7">
        <f>tbl_Ventes[[#This Row],[Qté Vendue]] * IFERROR(_xlfn.XLOOKUP(tbl_Ventes[[#This Row],[Cde_Prdt]], tbl_Produits[Cde_Prdt], tbl_Produits[Prix Menu]), 0)</f>
        <v>0</v>
      </c>
      <c r="H4714" s="7">
        <f>IFERROR(_xlfn.XLOOKUP(tbl_Ventes[[#This Row],[Cde_Prdt]], tbl_Produits[Cde_Prdt], tbl_Produits[Coût Moyen Portion]), 0)</f>
        <v>0</v>
      </c>
      <c r="I4714" s="7">
        <f>tbl_Ventes[[#This Row],[Qté Vendue]] * tbl_Ventes[[#This Row],[CMP_par_portion]]</f>
        <v>0</v>
      </c>
      <c r="J4714" s="7">
        <f>tbl_Ventes[[#This Row],[CA ligne]] - tbl_Ventes[[#This Row],[Coût matière ligne]]</f>
        <v>0</v>
      </c>
      <c r="K4714" s="7" t="str">
        <f>IFERROR(INDEX(tbl_ProduitsRef[Famille], MATCH(tbl_Ventes[[#This Row],[Cde_Prdt]], tbl_Produits[Cde_Prdt], 0)), "")</f>
        <v/>
      </c>
    </row>
    <row r="4715" spans="1:11" x14ac:dyDescent="0.25">
      <c r="A4715" s="5"/>
      <c r="B4715" s="63" t="str">
        <f>IFERROR(TEXT(tbl_Ventes[[#This Row],[Date]],"mm-aaaa"),"")</f>
        <v>01-1900</v>
      </c>
      <c r="D4715" s="10" t="str">
        <f>IFERROR(
   INDEX(tbl_ProduitsRef[Cde_Prdt],MATCH(tbl_Ventes[[#This Row],[Produit]],tbl_ProduitsRef[Produit],0)),
   ""
)</f>
        <v/>
      </c>
      <c r="E4715" s="7">
        <v>0</v>
      </c>
      <c r="F4715" s="7" t="str">
        <f>IFERROR(
   INDEX(tbl_ProduitsRef[Prix Menu],MATCH(tbl_Ventes[[#This Row],[Produit]],tbl_ProduitsRef[Produit],0)),
   ""
)</f>
        <v/>
      </c>
      <c r="G4715" s="7">
        <f>tbl_Ventes[[#This Row],[Qté Vendue]] * IFERROR(_xlfn.XLOOKUP(tbl_Ventes[[#This Row],[Cde_Prdt]], tbl_Produits[Cde_Prdt], tbl_Produits[Prix Menu]), 0)</f>
        <v>0</v>
      </c>
      <c r="H4715" s="7">
        <f>IFERROR(_xlfn.XLOOKUP(tbl_Ventes[[#This Row],[Cde_Prdt]], tbl_Produits[Cde_Prdt], tbl_Produits[Coût Moyen Portion]), 0)</f>
        <v>0</v>
      </c>
      <c r="I4715" s="7">
        <f>tbl_Ventes[[#This Row],[Qté Vendue]] * tbl_Ventes[[#This Row],[CMP_par_portion]]</f>
        <v>0</v>
      </c>
      <c r="J4715" s="7">
        <f>tbl_Ventes[[#This Row],[CA ligne]] - tbl_Ventes[[#This Row],[Coût matière ligne]]</f>
        <v>0</v>
      </c>
      <c r="K4715" s="7" t="str">
        <f>IFERROR(INDEX(tbl_ProduitsRef[Famille], MATCH(tbl_Ventes[[#This Row],[Cde_Prdt]], tbl_Produits[Cde_Prdt], 0)), "")</f>
        <v/>
      </c>
    </row>
    <row r="4716" spans="1:11" x14ac:dyDescent="0.25">
      <c r="A4716" s="5"/>
      <c r="B4716" s="63" t="str">
        <f>IFERROR(TEXT(tbl_Ventes[[#This Row],[Date]],"mm-aaaa"),"")</f>
        <v>01-1900</v>
      </c>
      <c r="D4716" s="10" t="str">
        <f>IFERROR(
   INDEX(tbl_ProduitsRef[Cde_Prdt],MATCH(tbl_Ventes[[#This Row],[Produit]],tbl_ProduitsRef[Produit],0)),
   ""
)</f>
        <v/>
      </c>
      <c r="E4716" s="7">
        <v>0</v>
      </c>
      <c r="F4716" s="7" t="str">
        <f>IFERROR(
   INDEX(tbl_ProduitsRef[Prix Menu],MATCH(tbl_Ventes[[#This Row],[Produit]],tbl_ProduitsRef[Produit],0)),
   ""
)</f>
        <v/>
      </c>
      <c r="G4716" s="7">
        <f>tbl_Ventes[[#This Row],[Qté Vendue]] * IFERROR(_xlfn.XLOOKUP(tbl_Ventes[[#This Row],[Cde_Prdt]], tbl_Produits[Cde_Prdt], tbl_Produits[Prix Menu]), 0)</f>
        <v>0</v>
      </c>
      <c r="H4716" s="7">
        <f>IFERROR(_xlfn.XLOOKUP(tbl_Ventes[[#This Row],[Cde_Prdt]], tbl_Produits[Cde_Prdt], tbl_Produits[Coût Moyen Portion]), 0)</f>
        <v>0</v>
      </c>
      <c r="I4716" s="7">
        <f>tbl_Ventes[[#This Row],[Qté Vendue]] * tbl_Ventes[[#This Row],[CMP_par_portion]]</f>
        <v>0</v>
      </c>
      <c r="J4716" s="7">
        <f>tbl_Ventes[[#This Row],[CA ligne]] - tbl_Ventes[[#This Row],[Coût matière ligne]]</f>
        <v>0</v>
      </c>
      <c r="K4716" s="7" t="str">
        <f>IFERROR(INDEX(tbl_ProduitsRef[Famille], MATCH(tbl_Ventes[[#This Row],[Cde_Prdt]], tbl_Produits[Cde_Prdt], 0)), "")</f>
        <v/>
      </c>
    </row>
    <row r="4717" spans="1:11" x14ac:dyDescent="0.25">
      <c r="A4717" s="5"/>
      <c r="B4717" s="63" t="str">
        <f>IFERROR(TEXT(tbl_Ventes[[#This Row],[Date]],"mm-aaaa"),"")</f>
        <v>01-1900</v>
      </c>
      <c r="D4717" s="10" t="str">
        <f>IFERROR(
   INDEX(tbl_ProduitsRef[Cde_Prdt],MATCH(tbl_Ventes[[#This Row],[Produit]],tbl_ProduitsRef[Produit],0)),
   ""
)</f>
        <v/>
      </c>
      <c r="E4717" s="7">
        <v>0</v>
      </c>
      <c r="F4717" s="7" t="str">
        <f>IFERROR(
   INDEX(tbl_ProduitsRef[Prix Menu],MATCH(tbl_Ventes[[#This Row],[Produit]],tbl_ProduitsRef[Produit],0)),
   ""
)</f>
        <v/>
      </c>
      <c r="G4717" s="7">
        <f>tbl_Ventes[[#This Row],[Qté Vendue]] * IFERROR(_xlfn.XLOOKUP(tbl_Ventes[[#This Row],[Cde_Prdt]], tbl_Produits[Cde_Prdt], tbl_Produits[Prix Menu]), 0)</f>
        <v>0</v>
      </c>
      <c r="H4717" s="7">
        <f>IFERROR(_xlfn.XLOOKUP(tbl_Ventes[[#This Row],[Cde_Prdt]], tbl_Produits[Cde_Prdt], tbl_Produits[Coût Moyen Portion]), 0)</f>
        <v>0</v>
      </c>
      <c r="I4717" s="7">
        <f>tbl_Ventes[[#This Row],[Qté Vendue]] * tbl_Ventes[[#This Row],[CMP_par_portion]]</f>
        <v>0</v>
      </c>
      <c r="J4717" s="7">
        <f>tbl_Ventes[[#This Row],[CA ligne]] - tbl_Ventes[[#This Row],[Coût matière ligne]]</f>
        <v>0</v>
      </c>
      <c r="K4717" s="7" t="str">
        <f>IFERROR(INDEX(tbl_ProduitsRef[Famille], MATCH(tbl_Ventes[[#This Row],[Cde_Prdt]], tbl_Produits[Cde_Prdt], 0)), "")</f>
        <v/>
      </c>
    </row>
    <row r="4718" spans="1:11" x14ac:dyDescent="0.25">
      <c r="A4718" s="5"/>
      <c r="B4718" s="63" t="str">
        <f>IFERROR(TEXT(tbl_Ventes[[#This Row],[Date]],"mm-aaaa"),"")</f>
        <v>01-1900</v>
      </c>
      <c r="D4718" s="10" t="str">
        <f>IFERROR(
   INDEX(tbl_ProduitsRef[Cde_Prdt],MATCH(tbl_Ventes[[#This Row],[Produit]],tbl_ProduitsRef[Produit],0)),
   ""
)</f>
        <v/>
      </c>
      <c r="E4718" s="7">
        <v>0</v>
      </c>
      <c r="F4718" s="7" t="str">
        <f>IFERROR(
   INDEX(tbl_ProduitsRef[Prix Menu],MATCH(tbl_Ventes[[#This Row],[Produit]],tbl_ProduitsRef[Produit],0)),
   ""
)</f>
        <v/>
      </c>
      <c r="G4718" s="7">
        <f>tbl_Ventes[[#This Row],[Qté Vendue]] * IFERROR(_xlfn.XLOOKUP(tbl_Ventes[[#This Row],[Cde_Prdt]], tbl_Produits[Cde_Prdt], tbl_Produits[Prix Menu]), 0)</f>
        <v>0</v>
      </c>
      <c r="H4718" s="7">
        <f>IFERROR(_xlfn.XLOOKUP(tbl_Ventes[[#This Row],[Cde_Prdt]], tbl_Produits[Cde_Prdt], tbl_Produits[Coût Moyen Portion]), 0)</f>
        <v>0</v>
      </c>
      <c r="I4718" s="7">
        <f>tbl_Ventes[[#This Row],[Qté Vendue]] * tbl_Ventes[[#This Row],[CMP_par_portion]]</f>
        <v>0</v>
      </c>
      <c r="J4718" s="7">
        <f>tbl_Ventes[[#This Row],[CA ligne]] - tbl_Ventes[[#This Row],[Coût matière ligne]]</f>
        <v>0</v>
      </c>
      <c r="K4718" s="7" t="str">
        <f>IFERROR(INDEX(tbl_ProduitsRef[Famille], MATCH(tbl_Ventes[[#This Row],[Cde_Prdt]], tbl_Produits[Cde_Prdt], 0)), "")</f>
        <v/>
      </c>
    </row>
    <row r="4719" spans="1:11" x14ac:dyDescent="0.25">
      <c r="A4719" s="5"/>
      <c r="B4719" s="63" t="str">
        <f>IFERROR(TEXT(tbl_Ventes[[#This Row],[Date]],"mm-aaaa"),"")</f>
        <v>01-1900</v>
      </c>
      <c r="D4719" s="10" t="str">
        <f>IFERROR(
   INDEX(tbl_ProduitsRef[Cde_Prdt],MATCH(tbl_Ventes[[#This Row],[Produit]],tbl_ProduitsRef[Produit],0)),
   ""
)</f>
        <v/>
      </c>
      <c r="E4719" s="7">
        <v>0</v>
      </c>
      <c r="F4719" s="7" t="str">
        <f>IFERROR(
   INDEX(tbl_ProduitsRef[Prix Menu],MATCH(tbl_Ventes[[#This Row],[Produit]],tbl_ProduitsRef[Produit],0)),
   ""
)</f>
        <v/>
      </c>
      <c r="G4719" s="7">
        <f>tbl_Ventes[[#This Row],[Qté Vendue]] * IFERROR(_xlfn.XLOOKUP(tbl_Ventes[[#This Row],[Cde_Prdt]], tbl_Produits[Cde_Prdt], tbl_Produits[Prix Menu]), 0)</f>
        <v>0</v>
      </c>
      <c r="H4719" s="7">
        <f>IFERROR(_xlfn.XLOOKUP(tbl_Ventes[[#This Row],[Cde_Prdt]], tbl_Produits[Cde_Prdt], tbl_Produits[Coût Moyen Portion]), 0)</f>
        <v>0</v>
      </c>
      <c r="I4719" s="7">
        <f>tbl_Ventes[[#This Row],[Qté Vendue]] * tbl_Ventes[[#This Row],[CMP_par_portion]]</f>
        <v>0</v>
      </c>
      <c r="J4719" s="7">
        <f>tbl_Ventes[[#This Row],[CA ligne]] - tbl_Ventes[[#This Row],[Coût matière ligne]]</f>
        <v>0</v>
      </c>
      <c r="K4719" s="7" t="str">
        <f>IFERROR(INDEX(tbl_ProduitsRef[Famille], MATCH(tbl_Ventes[[#This Row],[Cde_Prdt]], tbl_Produits[Cde_Prdt], 0)), "")</f>
        <v/>
      </c>
    </row>
    <row r="4720" spans="1:11" x14ac:dyDescent="0.25">
      <c r="A4720" s="5"/>
      <c r="B4720" s="63" t="str">
        <f>IFERROR(TEXT(tbl_Ventes[[#This Row],[Date]],"mm-aaaa"),"")</f>
        <v>01-1900</v>
      </c>
      <c r="D4720" s="10" t="str">
        <f>IFERROR(
   INDEX(tbl_ProduitsRef[Cde_Prdt],MATCH(tbl_Ventes[[#This Row],[Produit]],tbl_ProduitsRef[Produit],0)),
   ""
)</f>
        <v/>
      </c>
      <c r="E4720" s="7">
        <v>0</v>
      </c>
      <c r="F4720" s="7" t="str">
        <f>IFERROR(
   INDEX(tbl_ProduitsRef[Prix Menu],MATCH(tbl_Ventes[[#This Row],[Produit]],tbl_ProduitsRef[Produit],0)),
   ""
)</f>
        <v/>
      </c>
      <c r="G4720" s="7">
        <f>tbl_Ventes[[#This Row],[Qté Vendue]] * IFERROR(_xlfn.XLOOKUP(tbl_Ventes[[#This Row],[Cde_Prdt]], tbl_Produits[Cde_Prdt], tbl_Produits[Prix Menu]), 0)</f>
        <v>0</v>
      </c>
      <c r="H4720" s="7">
        <f>IFERROR(_xlfn.XLOOKUP(tbl_Ventes[[#This Row],[Cde_Prdt]], tbl_Produits[Cde_Prdt], tbl_Produits[Coût Moyen Portion]), 0)</f>
        <v>0</v>
      </c>
      <c r="I4720" s="7">
        <f>tbl_Ventes[[#This Row],[Qté Vendue]] * tbl_Ventes[[#This Row],[CMP_par_portion]]</f>
        <v>0</v>
      </c>
      <c r="J4720" s="7">
        <f>tbl_Ventes[[#This Row],[CA ligne]] - tbl_Ventes[[#This Row],[Coût matière ligne]]</f>
        <v>0</v>
      </c>
      <c r="K4720" s="7" t="str">
        <f>IFERROR(INDEX(tbl_ProduitsRef[Famille], MATCH(tbl_Ventes[[#This Row],[Cde_Prdt]], tbl_Produits[Cde_Prdt], 0)), "")</f>
        <v/>
      </c>
    </row>
    <row r="4721" spans="1:11" x14ac:dyDescent="0.25">
      <c r="A4721" s="5"/>
      <c r="B4721" s="63" t="str">
        <f>IFERROR(TEXT(tbl_Ventes[[#This Row],[Date]],"mm-aaaa"),"")</f>
        <v>01-1900</v>
      </c>
      <c r="D4721" s="10" t="str">
        <f>IFERROR(
   INDEX(tbl_ProduitsRef[Cde_Prdt],MATCH(tbl_Ventes[[#This Row],[Produit]],tbl_ProduitsRef[Produit],0)),
   ""
)</f>
        <v/>
      </c>
      <c r="E4721" s="7">
        <v>0</v>
      </c>
      <c r="F4721" s="7" t="str">
        <f>IFERROR(
   INDEX(tbl_ProduitsRef[Prix Menu],MATCH(tbl_Ventes[[#This Row],[Produit]],tbl_ProduitsRef[Produit],0)),
   ""
)</f>
        <v/>
      </c>
      <c r="G4721" s="7">
        <f>tbl_Ventes[[#This Row],[Qté Vendue]] * IFERROR(_xlfn.XLOOKUP(tbl_Ventes[[#This Row],[Cde_Prdt]], tbl_Produits[Cde_Prdt], tbl_Produits[Prix Menu]), 0)</f>
        <v>0</v>
      </c>
      <c r="H4721" s="7">
        <f>IFERROR(_xlfn.XLOOKUP(tbl_Ventes[[#This Row],[Cde_Prdt]], tbl_Produits[Cde_Prdt], tbl_Produits[Coût Moyen Portion]), 0)</f>
        <v>0</v>
      </c>
      <c r="I4721" s="7">
        <f>tbl_Ventes[[#This Row],[Qté Vendue]] * tbl_Ventes[[#This Row],[CMP_par_portion]]</f>
        <v>0</v>
      </c>
      <c r="J4721" s="7">
        <f>tbl_Ventes[[#This Row],[CA ligne]] - tbl_Ventes[[#This Row],[Coût matière ligne]]</f>
        <v>0</v>
      </c>
      <c r="K4721" s="7" t="str">
        <f>IFERROR(INDEX(tbl_ProduitsRef[Famille], MATCH(tbl_Ventes[[#This Row],[Cde_Prdt]], tbl_Produits[Cde_Prdt], 0)), "")</f>
        <v/>
      </c>
    </row>
    <row r="4722" spans="1:11" x14ac:dyDescent="0.25">
      <c r="A4722" s="5"/>
      <c r="B4722" s="63" t="str">
        <f>IFERROR(TEXT(tbl_Ventes[[#This Row],[Date]],"mm-aaaa"),"")</f>
        <v>01-1900</v>
      </c>
      <c r="D4722" s="10" t="str">
        <f>IFERROR(
   INDEX(tbl_ProduitsRef[Cde_Prdt],MATCH(tbl_Ventes[[#This Row],[Produit]],tbl_ProduitsRef[Produit],0)),
   ""
)</f>
        <v/>
      </c>
      <c r="E4722" s="7">
        <v>0</v>
      </c>
      <c r="F4722" s="7" t="str">
        <f>IFERROR(
   INDEX(tbl_ProduitsRef[Prix Menu],MATCH(tbl_Ventes[[#This Row],[Produit]],tbl_ProduitsRef[Produit],0)),
   ""
)</f>
        <v/>
      </c>
      <c r="G4722" s="7">
        <f>tbl_Ventes[[#This Row],[Qté Vendue]] * IFERROR(_xlfn.XLOOKUP(tbl_Ventes[[#This Row],[Cde_Prdt]], tbl_Produits[Cde_Prdt], tbl_Produits[Prix Menu]), 0)</f>
        <v>0</v>
      </c>
      <c r="H4722" s="7">
        <f>IFERROR(_xlfn.XLOOKUP(tbl_Ventes[[#This Row],[Cde_Prdt]], tbl_Produits[Cde_Prdt], tbl_Produits[Coût Moyen Portion]), 0)</f>
        <v>0</v>
      </c>
      <c r="I4722" s="7">
        <f>tbl_Ventes[[#This Row],[Qté Vendue]] * tbl_Ventes[[#This Row],[CMP_par_portion]]</f>
        <v>0</v>
      </c>
      <c r="J4722" s="7">
        <f>tbl_Ventes[[#This Row],[CA ligne]] - tbl_Ventes[[#This Row],[Coût matière ligne]]</f>
        <v>0</v>
      </c>
      <c r="K4722" s="7" t="str">
        <f>IFERROR(INDEX(tbl_ProduitsRef[Famille], MATCH(tbl_Ventes[[#This Row],[Cde_Prdt]], tbl_Produits[Cde_Prdt], 0)), "")</f>
        <v/>
      </c>
    </row>
    <row r="4723" spans="1:11" x14ac:dyDescent="0.25">
      <c r="A4723" s="5"/>
      <c r="B4723" s="63" t="str">
        <f>IFERROR(TEXT(tbl_Ventes[[#This Row],[Date]],"mm-aaaa"),"")</f>
        <v>01-1900</v>
      </c>
      <c r="D4723" s="10" t="str">
        <f>IFERROR(
   INDEX(tbl_ProduitsRef[Cde_Prdt],MATCH(tbl_Ventes[[#This Row],[Produit]],tbl_ProduitsRef[Produit],0)),
   ""
)</f>
        <v/>
      </c>
      <c r="E4723" s="7">
        <v>0</v>
      </c>
      <c r="F4723" s="7" t="str">
        <f>IFERROR(
   INDEX(tbl_ProduitsRef[Prix Menu],MATCH(tbl_Ventes[[#This Row],[Produit]],tbl_ProduitsRef[Produit],0)),
   ""
)</f>
        <v/>
      </c>
      <c r="G4723" s="7">
        <f>tbl_Ventes[[#This Row],[Qté Vendue]] * IFERROR(_xlfn.XLOOKUP(tbl_Ventes[[#This Row],[Cde_Prdt]], tbl_Produits[Cde_Prdt], tbl_Produits[Prix Menu]), 0)</f>
        <v>0</v>
      </c>
      <c r="H4723" s="7">
        <f>IFERROR(_xlfn.XLOOKUP(tbl_Ventes[[#This Row],[Cde_Prdt]], tbl_Produits[Cde_Prdt], tbl_Produits[Coût Moyen Portion]), 0)</f>
        <v>0</v>
      </c>
      <c r="I4723" s="7">
        <f>tbl_Ventes[[#This Row],[Qté Vendue]] * tbl_Ventes[[#This Row],[CMP_par_portion]]</f>
        <v>0</v>
      </c>
      <c r="J4723" s="7">
        <f>tbl_Ventes[[#This Row],[CA ligne]] - tbl_Ventes[[#This Row],[Coût matière ligne]]</f>
        <v>0</v>
      </c>
      <c r="K4723" s="7" t="str">
        <f>IFERROR(INDEX(tbl_ProduitsRef[Famille], MATCH(tbl_Ventes[[#This Row],[Cde_Prdt]], tbl_Produits[Cde_Prdt], 0)), "")</f>
        <v/>
      </c>
    </row>
    <row r="4724" spans="1:11" x14ac:dyDescent="0.25">
      <c r="A4724" s="5"/>
      <c r="B4724" s="63" t="str">
        <f>IFERROR(TEXT(tbl_Ventes[[#This Row],[Date]],"mm-aaaa"),"")</f>
        <v>01-1900</v>
      </c>
      <c r="D4724" s="10" t="str">
        <f>IFERROR(
   INDEX(tbl_ProduitsRef[Cde_Prdt],MATCH(tbl_Ventes[[#This Row],[Produit]],tbl_ProduitsRef[Produit],0)),
   ""
)</f>
        <v/>
      </c>
      <c r="E4724" s="7">
        <v>0</v>
      </c>
      <c r="F4724" s="7" t="str">
        <f>IFERROR(
   INDEX(tbl_ProduitsRef[Prix Menu],MATCH(tbl_Ventes[[#This Row],[Produit]],tbl_ProduitsRef[Produit],0)),
   ""
)</f>
        <v/>
      </c>
      <c r="G4724" s="7">
        <f>tbl_Ventes[[#This Row],[Qté Vendue]] * IFERROR(_xlfn.XLOOKUP(tbl_Ventes[[#This Row],[Cde_Prdt]], tbl_Produits[Cde_Prdt], tbl_Produits[Prix Menu]), 0)</f>
        <v>0</v>
      </c>
      <c r="H4724" s="7">
        <f>IFERROR(_xlfn.XLOOKUP(tbl_Ventes[[#This Row],[Cde_Prdt]], tbl_Produits[Cde_Prdt], tbl_Produits[Coût Moyen Portion]), 0)</f>
        <v>0</v>
      </c>
      <c r="I4724" s="7">
        <f>tbl_Ventes[[#This Row],[Qté Vendue]] * tbl_Ventes[[#This Row],[CMP_par_portion]]</f>
        <v>0</v>
      </c>
      <c r="J4724" s="7">
        <f>tbl_Ventes[[#This Row],[CA ligne]] - tbl_Ventes[[#This Row],[Coût matière ligne]]</f>
        <v>0</v>
      </c>
      <c r="K4724" s="7" t="str">
        <f>IFERROR(INDEX(tbl_ProduitsRef[Famille], MATCH(tbl_Ventes[[#This Row],[Cde_Prdt]], tbl_Produits[Cde_Prdt], 0)), "")</f>
        <v/>
      </c>
    </row>
    <row r="4725" spans="1:11" x14ac:dyDescent="0.25">
      <c r="A4725" s="5"/>
      <c r="B4725" s="63" t="str">
        <f>IFERROR(TEXT(tbl_Ventes[[#This Row],[Date]],"mm-aaaa"),"")</f>
        <v>01-1900</v>
      </c>
      <c r="D4725" s="10" t="str">
        <f>IFERROR(
   INDEX(tbl_ProduitsRef[Cde_Prdt],MATCH(tbl_Ventes[[#This Row],[Produit]],tbl_ProduitsRef[Produit],0)),
   ""
)</f>
        <v/>
      </c>
      <c r="E4725" s="7">
        <v>0</v>
      </c>
      <c r="F4725" s="7" t="str">
        <f>IFERROR(
   INDEX(tbl_ProduitsRef[Prix Menu],MATCH(tbl_Ventes[[#This Row],[Produit]],tbl_ProduitsRef[Produit],0)),
   ""
)</f>
        <v/>
      </c>
      <c r="G4725" s="7">
        <f>tbl_Ventes[[#This Row],[Qté Vendue]] * IFERROR(_xlfn.XLOOKUP(tbl_Ventes[[#This Row],[Cde_Prdt]], tbl_Produits[Cde_Prdt], tbl_Produits[Prix Menu]), 0)</f>
        <v>0</v>
      </c>
      <c r="H4725" s="7">
        <f>IFERROR(_xlfn.XLOOKUP(tbl_Ventes[[#This Row],[Cde_Prdt]], tbl_Produits[Cde_Prdt], tbl_Produits[Coût Moyen Portion]), 0)</f>
        <v>0</v>
      </c>
      <c r="I4725" s="7">
        <f>tbl_Ventes[[#This Row],[Qté Vendue]] * tbl_Ventes[[#This Row],[CMP_par_portion]]</f>
        <v>0</v>
      </c>
      <c r="J4725" s="7">
        <f>tbl_Ventes[[#This Row],[CA ligne]] - tbl_Ventes[[#This Row],[Coût matière ligne]]</f>
        <v>0</v>
      </c>
      <c r="K4725" s="7" t="str">
        <f>IFERROR(INDEX(tbl_ProduitsRef[Famille], MATCH(tbl_Ventes[[#This Row],[Cde_Prdt]], tbl_Produits[Cde_Prdt], 0)), "")</f>
        <v/>
      </c>
    </row>
    <row r="4726" spans="1:11" x14ac:dyDescent="0.25">
      <c r="A4726" s="5"/>
      <c r="B4726" s="63" t="str">
        <f>IFERROR(TEXT(tbl_Ventes[[#This Row],[Date]],"mm-aaaa"),"")</f>
        <v>01-1900</v>
      </c>
      <c r="D4726" s="10" t="str">
        <f>IFERROR(
   INDEX(tbl_ProduitsRef[Cde_Prdt],MATCH(tbl_Ventes[[#This Row],[Produit]],tbl_ProduitsRef[Produit],0)),
   ""
)</f>
        <v/>
      </c>
      <c r="E4726" s="7">
        <v>0</v>
      </c>
      <c r="F4726" s="7" t="str">
        <f>IFERROR(
   INDEX(tbl_ProduitsRef[Prix Menu],MATCH(tbl_Ventes[[#This Row],[Produit]],tbl_ProduitsRef[Produit],0)),
   ""
)</f>
        <v/>
      </c>
      <c r="G4726" s="7">
        <f>tbl_Ventes[[#This Row],[Qté Vendue]] * IFERROR(_xlfn.XLOOKUP(tbl_Ventes[[#This Row],[Cde_Prdt]], tbl_Produits[Cde_Prdt], tbl_Produits[Prix Menu]), 0)</f>
        <v>0</v>
      </c>
      <c r="H4726" s="7">
        <f>IFERROR(_xlfn.XLOOKUP(tbl_Ventes[[#This Row],[Cde_Prdt]], tbl_Produits[Cde_Prdt], tbl_Produits[Coût Moyen Portion]), 0)</f>
        <v>0</v>
      </c>
      <c r="I4726" s="7">
        <f>tbl_Ventes[[#This Row],[Qté Vendue]] * tbl_Ventes[[#This Row],[CMP_par_portion]]</f>
        <v>0</v>
      </c>
      <c r="J4726" s="7">
        <f>tbl_Ventes[[#This Row],[CA ligne]] - tbl_Ventes[[#This Row],[Coût matière ligne]]</f>
        <v>0</v>
      </c>
      <c r="K4726" s="7" t="str">
        <f>IFERROR(INDEX(tbl_ProduitsRef[Famille], MATCH(tbl_Ventes[[#This Row],[Cde_Prdt]], tbl_Produits[Cde_Prdt], 0)), "")</f>
        <v/>
      </c>
    </row>
    <row r="4727" spans="1:11" x14ac:dyDescent="0.25">
      <c r="A4727" s="5"/>
      <c r="B4727" s="63" t="str">
        <f>IFERROR(TEXT(tbl_Ventes[[#This Row],[Date]],"mm-aaaa"),"")</f>
        <v>01-1900</v>
      </c>
      <c r="D4727" s="10" t="str">
        <f>IFERROR(
   INDEX(tbl_ProduitsRef[Cde_Prdt],MATCH(tbl_Ventes[[#This Row],[Produit]],tbl_ProduitsRef[Produit],0)),
   ""
)</f>
        <v/>
      </c>
      <c r="E4727" s="7">
        <v>0</v>
      </c>
      <c r="F4727" s="7" t="str">
        <f>IFERROR(
   INDEX(tbl_ProduitsRef[Prix Menu],MATCH(tbl_Ventes[[#This Row],[Produit]],tbl_ProduitsRef[Produit],0)),
   ""
)</f>
        <v/>
      </c>
      <c r="G4727" s="7">
        <f>tbl_Ventes[[#This Row],[Qté Vendue]] * IFERROR(_xlfn.XLOOKUP(tbl_Ventes[[#This Row],[Cde_Prdt]], tbl_Produits[Cde_Prdt], tbl_Produits[Prix Menu]), 0)</f>
        <v>0</v>
      </c>
      <c r="H4727" s="7">
        <f>IFERROR(_xlfn.XLOOKUP(tbl_Ventes[[#This Row],[Cde_Prdt]], tbl_Produits[Cde_Prdt], tbl_Produits[Coût Moyen Portion]), 0)</f>
        <v>0</v>
      </c>
      <c r="I4727" s="7">
        <f>tbl_Ventes[[#This Row],[Qté Vendue]] * tbl_Ventes[[#This Row],[CMP_par_portion]]</f>
        <v>0</v>
      </c>
      <c r="J4727" s="7">
        <f>tbl_Ventes[[#This Row],[CA ligne]] - tbl_Ventes[[#This Row],[Coût matière ligne]]</f>
        <v>0</v>
      </c>
      <c r="K4727" s="7" t="str">
        <f>IFERROR(INDEX(tbl_ProduitsRef[Famille], MATCH(tbl_Ventes[[#This Row],[Cde_Prdt]], tbl_Produits[Cde_Prdt], 0)), "")</f>
        <v/>
      </c>
    </row>
    <row r="4728" spans="1:11" x14ac:dyDescent="0.25">
      <c r="A4728" s="5"/>
      <c r="B4728" s="63" t="str">
        <f>IFERROR(TEXT(tbl_Ventes[[#This Row],[Date]],"mm-aaaa"),"")</f>
        <v>01-1900</v>
      </c>
      <c r="D4728" s="10" t="str">
        <f>IFERROR(
   INDEX(tbl_ProduitsRef[Cde_Prdt],MATCH(tbl_Ventes[[#This Row],[Produit]],tbl_ProduitsRef[Produit],0)),
   ""
)</f>
        <v/>
      </c>
      <c r="E4728" s="7">
        <v>0</v>
      </c>
      <c r="F4728" s="7" t="str">
        <f>IFERROR(
   INDEX(tbl_ProduitsRef[Prix Menu],MATCH(tbl_Ventes[[#This Row],[Produit]],tbl_ProduitsRef[Produit],0)),
   ""
)</f>
        <v/>
      </c>
      <c r="G4728" s="7">
        <f>tbl_Ventes[[#This Row],[Qté Vendue]] * IFERROR(_xlfn.XLOOKUP(tbl_Ventes[[#This Row],[Cde_Prdt]], tbl_Produits[Cde_Prdt], tbl_Produits[Prix Menu]), 0)</f>
        <v>0</v>
      </c>
      <c r="H4728" s="7">
        <f>IFERROR(_xlfn.XLOOKUP(tbl_Ventes[[#This Row],[Cde_Prdt]], tbl_Produits[Cde_Prdt], tbl_Produits[Coût Moyen Portion]), 0)</f>
        <v>0</v>
      </c>
      <c r="I4728" s="7">
        <f>tbl_Ventes[[#This Row],[Qté Vendue]] * tbl_Ventes[[#This Row],[CMP_par_portion]]</f>
        <v>0</v>
      </c>
      <c r="J4728" s="7">
        <f>tbl_Ventes[[#This Row],[CA ligne]] - tbl_Ventes[[#This Row],[Coût matière ligne]]</f>
        <v>0</v>
      </c>
      <c r="K4728" s="7" t="str">
        <f>IFERROR(INDEX(tbl_ProduitsRef[Famille], MATCH(tbl_Ventes[[#This Row],[Cde_Prdt]], tbl_Produits[Cde_Prdt], 0)), "")</f>
        <v/>
      </c>
    </row>
    <row r="4729" spans="1:11" x14ac:dyDescent="0.25">
      <c r="A4729" s="5"/>
      <c r="B4729" s="63" t="str">
        <f>IFERROR(TEXT(tbl_Ventes[[#This Row],[Date]],"mm-aaaa"),"")</f>
        <v>01-1900</v>
      </c>
      <c r="D4729" s="10" t="str">
        <f>IFERROR(
   INDEX(tbl_ProduitsRef[Cde_Prdt],MATCH(tbl_Ventes[[#This Row],[Produit]],tbl_ProduitsRef[Produit],0)),
   ""
)</f>
        <v/>
      </c>
      <c r="E4729" s="7">
        <v>0</v>
      </c>
      <c r="F4729" s="7" t="str">
        <f>IFERROR(
   INDEX(tbl_ProduitsRef[Prix Menu],MATCH(tbl_Ventes[[#This Row],[Produit]],tbl_ProduitsRef[Produit],0)),
   ""
)</f>
        <v/>
      </c>
      <c r="G4729" s="7">
        <f>tbl_Ventes[[#This Row],[Qté Vendue]] * IFERROR(_xlfn.XLOOKUP(tbl_Ventes[[#This Row],[Cde_Prdt]], tbl_Produits[Cde_Prdt], tbl_Produits[Prix Menu]), 0)</f>
        <v>0</v>
      </c>
      <c r="H4729" s="7">
        <f>IFERROR(_xlfn.XLOOKUP(tbl_Ventes[[#This Row],[Cde_Prdt]], tbl_Produits[Cde_Prdt], tbl_Produits[Coût Moyen Portion]), 0)</f>
        <v>0</v>
      </c>
      <c r="I4729" s="7">
        <f>tbl_Ventes[[#This Row],[Qté Vendue]] * tbl_Ventes[[#This Row],[CMP_par_portion]]</f>
        <v>0</v>
      </c>
      <c r="J4729" s="7">
        <f>tbl_Ventes[[#This Row],[CA ligne]] - tbl_Ventes[[#This Row],[Coût matière ligne]]</f>
        <v>0</v>
      </c>
      <c r="K4729" s="7" t="str">
        <f>IFERROR(INDEX(tbl_ProduitsRef[Famille], MATCH(tbl_Ventes[[#This Row],[Cde_Prdt]], tbl_Produits[Cde_Prdt], 0)), "")</f>
        <v/>
      </c>
    </row>
    <row r="4730" spans="1:11" x14ac:dyDescent="0.25">
      <c r="A4730" s="5"/>
      <c r="B4730" s="63" t="str">
        <f>IFERROR(TEXT(tbl_Ventes[[#This Row],[Date]],"mm-aaaa"),"")</f>
        <v>01-1900</v>
      </c>
      <c r="D4730" s="10" t="str">
        <f>IFERROR(
   INDEX(tbl_ProduitsRef[Cde_Prdt],MATCH(tbl_Ventes[[#This Row],[Produit]],tbl_ProduitsRef[Produit],0)),
   ""
)</f>
        <v/>
      </c>
      <c r="E4730" s="7">
        <v>0</v>
      </c>
      <c r="F4730" s="7" t="str">
        <f>IFERROR(
   INDEX(tbl_ProduitsRef[Prix Menu],MATCH(tbl_Ventes[[#This Row],[Produit]],tbl_ProduitsRef[Produit],0)),
   ""
)</f>
        <v/>
      </c>
      <c r="G4730" s="7">
        <f>tbl_Ventes[[#This Row],[Qté Vendue]] * IFERROR(_xlfn.XLOOKUP(tbl_Ventes[[#This Row],[Cde_Prdt]], tbl_Produits[Cde_Prdt], tbl_Produits[Prix Menu]), 0)</f>
        <v>0</v>
      </c>
      <c r="H4730" s="7">
        <f>IFERROR(_xlfn.XLOOKUP(tbl_Ventes[[#This Row],[Cde_Prdt]], tbl_Produits[Cde_Prdt], tbl_Produits[Coût Moyen Portion]), 0)</f>
        <v>0</v>
      </c>
      <c r="I4730" s="7">
        <f>tbl_Ventes[[#This Row],[Qté Vendue]] * tbl_Ventes[[#This Row],[CMP_par_portion]]</f>
        <v>0</v>
      </c>
      <c r="J4730" s="7">
        <f>tbl_Ventes[[#This Row],[CA ligne]] - tbl_Ventes[[#This Row],[Coût matière ligne]]</f>
        <v>0</v>
      </c>
      <c r="K4730" s="7" t="str">
        <f>IFERROR(INDEX(tbl_ProduitsRef[Famille], MATCH(tbl_Ventes[[#This Row],[Cde_Prdt]], tbl_Produits[Cde_Prdt], 0)), "")</f>
        <v/>
      </c>
    </row>
    <row r="4731" spans="1:11" x14ac:dyDescent="0.25">
      <c r="A4731" s="5"/>
      <c r="B4731" s="63" t="str">
        <f>IFERROR(TEXT(tbl_Ventes[[#This Row],[Date]],"mm-aaaa"),"")</f>
        <v>01-1900</v>
      </c>
      <c r="D4731" s="10" t="str">
        <f>IFERROR(
   INDEX(tbl_ProduitsRef[Cde_Prdt],MATCH(tbl_Ventes[[#This Row],[Produit]],tbl_ProduitsRef[Produit],0)),
   ""
)</f>
        <v/>
      </c>
      <c r="E4731" s="7">
        <v>0</v>
      </c>
      <c r="F4731" s="7" t="str">
        <f>IFERROR(
   INDEX(tbl_ProduitsRef[Prix Menu],MATCH(tbl_Ventes[[#This Row],[Produit]],tbl_ProduitsRef[Produit],0)),
   ""
)</f>
        <v/>
      </c>
      <c r="G4731" s="7">
        <f>tbl_Ventes[[#This Row],[Qté Vendue]] * IFERROR(_xlfn.XLOOKUP(tbl_Ventes[[#This Row],[Cde_Prdt]], tbl_Produits[Cde_Prdt], tbl_Produits[Prix Menu]), 0)</f>
        <v>0</v>
      </c>
      <c r="H4731" s="7">
        <f>IFERROR(_xlfn.XLOOKUP(tbl_Ventes[[#This Row],[Cde_Prdt]], tbl_Produits[Cde_Prdt], tbl_Produits[Coût Moyen Portion]), 0)</f>
        <v>0</v>
      </c>
      <c r="I4731" s="7">
        <f>tbl_Ventes[[#This Row],[Qté Vendue]] * tbl_Ventes[[#This Row],[CMP_par_portion]]</f>
        <v>0</v>
      </c>
      <c r="J4731" s="7">
        <f>tbl_Ventes[[#This Row],[CA ligne]] - tbl_Ventes[[#This Row],[Coût matière ligne]]</f>
        <v>0</v>
      </c>
      <c r="K4731" s="7" t="str">
        <f>IFERROR(INDEX(tbl_ProduitsRef[Famille], MATCH(tbl_Ventes[[#This Row],[Cde_Prdt]], tbl_Produits[Cde_Prdt], 0)), "")</f>
        <v/>
      </c>
    </row>
    <row r="4732" spans="1:11" x14ac:dyDescent="0.25">
      <c r="A4732" s="5"/>
      <c r="B4732" s="63" t="str">
        <f>IFERROR(TEXT(tbl_Ventes[[#This Row],[Date]],"mm-aaaa"),"")</f>
        <v>01-1900</v>
      </c>
      <c r="D4732" s="10" t="str">
        <f>IFERROR(
   INDEX(tbl_ProduitsRef[Cde_Prdt],MATCH(tbl_Ventes[[#This Row],[Produit]],tbl_ProduitsRef[Produit],0)),
   ""
)</f>
        <v/>
      </c>
      <c r="E4732" s="7">
        <v>0</v>
      </c>
      <c r="F4732" s="7" t="str">
        <f>IFERROR(
   INDEX(tbl_ProduitsRef[Prix Menu],MATCH(tbl_Ventes[[#This Row],[Produit]],tbl_ProduitsRef[Produit],0)),
   ""
)</f>
        <v/>
      </c>
      <c r="G4732" s="7">
        <f>tbl_Ventes[[#This Row],[Qté Vendue]] * IFERROR(_xlfn.XLOOKUP(tbl_Ventes[[#This Row],[Cde_Prdt]], tbl_Produits[Cde_Prdt], tbl_Produits[Prix Menu]), 0)</f>
        <v>0</v>
      </c>
      <c r="H4732" s="7">
        <f>IFERROR(_xlfn.XLOOKUP(tbl_Ventes[[#This Row],[Cde_Prdt]], tbl_Produits[Cde_Prdt], tbl_Produits[Coût Moyen Portion]), 0)</f>
        <v>0</v>
      </c>
      <c r="I4732" s="7">
        <f>tbl_Ventes[[#This Row],[Qté Vendue]] * tbl_Ventes[[#This Row],[CMP_par_portion]]</f>
        <v>0</v>
      </c>
      <c r="J4732" s="7">
        <f>tbl_Ventes[[#This Row],[CA ligne]] - tbl_Ventes[[#This Row],[Coût matière ligne]]</f>
        <v>0</v>
      </c>
      <c r="K4732" s="7" t="str">
        <f>IFERROR(INDEX(tbl_ProduitsRef[Famille], MATCH(tbl_Ventes[[#This Row],[Cde_Prdt]], tbl_Produits[Cde_Prdt], 0)), "")</f>
        <v/>
      </c>
    </row>
    <row r="4733" spans="1:11" x14ac:dyDescent="0.25">
      <c r="A4733" s="5"/>
      <c r="B4733" s="63" t="str">
        <f>IFERROR(TEXT(tbl_Ventes[[#This Row],[Date]],"mm-aaaa"),"")</f>
        <v>01-1900</v>
      </c>
      <c r="D4733" s="10" t="str">
        <f>IFERROR(
   INDEX(tbl_ProduitsRef[Cde_Prdt],MATCH(tbl_Ventes[[#This Row],[Produit]],tbl_ProduitsRef[Produit],0)),
   ""
)</f>
        <v/>
      </c>
      <c r="E4733" s="7">
        <v>0</v>
      </c>
      <c r="F4733" s="7" t="str">
        <f>IFERROR(
   INDEX(tbl_ProduitsRef[Prix Menu],MATCH(tbl_Ventes[[#This Row],[Produit]],tbl_ProduitsRef[Produit],0)),
   ""
)</f>
        <v/>
      </c>
      <c r="G4733" s="7">
        <f>tbl_Ventes[[#This Row],[Qté Vendue]] * IFERROR(_xlfn.XLOOKUP(tbl_Ventes[[#This Row],[Cde_Prdt]], tbl_Produits[Cde_Prdt], tbl_Produits[Prix Menu]), 0)</f>
        <v>0</v>
      </c>
      <c r="H4733" s="7">
        <f>IFERROR(_xlfn.XLOOKUP(tbl_Ventes[[#This Row],[Cde_Prdt]], tbl_Produits[Cde_Prdt], tbl_Produits[Coût Moyen Portion]), 0)</f>
        <v>0</v>
      </c>
      <c r="I4733" s="7">
        <f>tbl_Ventes[[#This Row],[Qté Vendue]] * tbl_Ventes[[#This Row],[CMP_par_portion]]</f>
        <v>0</v>
      </c>
      <c r="J4733" s="7">
        <f>tbl_Ventes[[#This Row],[CA ligne]] - tbl_Ventes[[#This Row],[Coût matière ligne]]</f>
        <v>0</v>
      </c>
      <c r="K4733" s="7" t="str">
        <f>IFERROR(INDEX(tbl_ProduitsRef[Famille], MATCH(tbl_Ventes[[#This Row],[Cde_Prdt]], tbl_Produits[Cde_Prdt], 0)), "")</f>
        <v/>
      </c>
    </row>
    <row r="4734" spans="1:11" x14ac:dyDescent="0.25">
      <c r="A4734" s="5"/>
      <c r="B4734" s="63" t="str">
        <f>IFERROR(TEXT(tbl_Ventes[[#This Row],[Date]],"mm-aaaa"),"")</f>
        <v>01-1900</v>
      </c>
      <c r="D4734" s="10" t="str">
        <f>IFERROR(
   INDEX(tbl_ProduitsRef[Cde_Prdt],MATCH(tbl_Ventes[[#This Row],[Produit]],tbl_ProduitsRef[Produit],0)),
   ""
)</f>
        <v/>
      </c>
      <c r="E4734" s="7">
        <v>0</v>
      </c>
      <c r="F4734" s="7" t="str">
        <f>IFERROR(
   INDEX(tbl_ProduitsRef[Prix Menu],MATCH(tbl_Ventes[[#This Row],[Produit]],tbl_ProduitsRef[Produit],0)),
   ""
)</f>
        <v/>
      </c>
      <c r="G4734" s="7">
        <f>tbl_Ventes[[#This Row],[Qté Vendue]] * IFERROR(_xlfn.XLOOKUP(tbl_Ventes[[#This Row],[Cde_Prdt]], tbl_Produits[Cde_Prdt], tbl_Produits[Prix Menu]), 0)</f>
        <v>0</v>
      </c>
      <c r="H4734" s="7">
        <f>IFERROR(_xlfn.XLOOKUP(tbl_Ventes[[#This Row],[Cde_Prdt]], tbl_Produits[Cde_Prdt], tbl_Produits[Coût Moyen Portion]), 0)</f>
        <v>0</v>
      </c>
      <c r="I4734" s="7">
        <f>tbl_Ventes[[#This Row],[Qté Vendue]] * tbl_Ventes[[#This Row],[CMP_par_portion]]</f>
        <v>0</v>
      </c>
      <c r="J4734" s="7">
        <f>tbl_Ventes[[#This Row],[CA ligne]] - tbl_Ventes[[#This Row],[Coût matière ligne]]</f>
        <v>0</v>
      </c>
      <c r="K4734" s="7" t="str">
        <f>IFERROR(INDEX(tbl_ProduitsRef[Famille], MATCH(tbl_Ventes[[#This Row],[Cde_Prdt]], tbl_Produits[Cde_Prdt], 0)), "")</f>
        <v/>
      </c>
    </row>
    <row r="4735" spans="1:11" x14ac:dyDescent="0.25">
      <c r="A4735" s="5"/>
      <c r="B4735" s="63" t="str">
        <f>IFERROR(TEXT(tbl_Ventes[[#This Row],[Date]],"mm-aaaa"),"")</f>
        <v>01-1900</v>
      </c>
      <c r="D4735" s="10" t="str">
        <f>IFERROR(
   INDEX(tbl_ProduitsRef[Cde_Prdt],MATCH(tbl_Ventes[[#This Row],[Produit]],tbl_ProduitsRef[Produit],0)),
   ""
)</f>
        <v/>
      </c>
      <c r="E4735" s="7">
        <v>0</v>
      </c>
      <c r="F4735" s="7" t="str">
        <f>IFERROR(
   INDEX(tbl_ProduitsRef[Prix Menu],MATCH(tbl_Ventes[[#This Row],[Produit]],tbl_ProduitsRef[Produit],0)),
   ""
)</f>
        <v/>
      </c>
      <c r="G4735" s="7">
        <f>tbl_Ventes[[#This Row],[Qté Vendue]] * IFERROR(_xlfn.XLOOKUP(tbl_Ventes[[#This Row],[Cde_Prdt]], tbl_Produits[Cde_Prdt], tbl_Produits[Prix Menu]), 0)</f>
        <v>0</v>
      </c>
      <c r="H4735" s="7">
        <f>IFERROR(_xlfn.XLOOKUP(tbl_Ventes[[#This Row],[Cde_Prdt]], tbl_Produits[Cde_Prdt], tbl_Produits[Coût Moyen Portion]), 0)</f>
        <v>0</v>
      </c>
      <c r="I4735" s="7">
        <f>tbl_Ventes[[#This Row],[Qté Vendue]] * tbl_Ventes[[#This Row],[CMP_par_portion]]</f>
        <v>0</v>
      </c>
      <c r="J4735" s="7">
        <f>tbl_Ventes[[#This Row],[CA ligne]] - tbl_Ventes[[#This Row],[Coût matière ligne]]</f>
        <v>0</v>
      </c>
      <c r="K4735" s="7" t="str">
        <f>IFERROR(INDEX(tbl_ProduitsRef[Famille], MATCH(tbl_Ventes[[#This Row],[Cde_Prdt]], tbl_Produits[Cde_Prdt], 0)), "")</f>
        <v/>
      </c>
    </row>
    <row r="4736" spans="1:11" x14ac:dyDescent="0.25">
      <c r="A4736" s="5"/>
      <c r="B4736" s="63" t="str">
        <f>IFERROR(TEXT(tbl_Ventes[[#This Row],[Date]],"mm-aaaa"),"")</f>
        <v>01-1900</v>
      </c>
      <c r="D4736" s="10" t="str">
        <f>IFERROR(
   INDEX(tbl_ProduitsRef[Cde_Prdt],MATCH(tbl_Ventes[[#This Row],[Produit]],tbl_ProduitsRef[Produit],0)),
   ""
)</f>
        <v/>
      </c>
      <c r="E4736" s="7">
        <v>0</v>
      </c>
      <c r="F4736" s="7" t="str">
        <f>IFERROR(
   INDEX(tbl_ProduitsRef[Prix Menu],MATCH(tbl_Ventes[[#This Row],[Produit]],tbl_ProduitsRef[Produit],0)),
   ""
)</f>
        <v/>
      </c>
      <c r="G4736" s="7">
        <f>tbl_Ventes[[#This Row],[Qté Vendue]] * IFERROR(_xlfn.XLOOKUP(tbl_Ventes[[#This Row],[Cde_Prdt]], tbl_Produits[Cde_Prdt], tbl_Produits[Prix Menu]), 0)</f>
        <v>0</v>
      </c>
      <c r="H4736" s="7">
        <f>IFERROR(_xlfn.XLOOKUP(tbl_Ventes[[#This Row],[Cde_Prdt]], tbl_Produits[Cde_Prdt], tbl_Produits[Coût Moyen Portion]), 0)</f>
        <v>0</v>
      </c>
      <c r="I4736" s="7">
        <f>tbl_Ventes[[#This Row],[Qté Vendue]] * tbl_Ventes[[#This Row],[CMP_par_portion]]</f>
        <v>0</v>
      </c>
      <c r="J4736" s="7">
        <f>tbl_Ventes[[#This Row],[CA ligne]] - tbl_Ventes[[#This Row],[Coût matière ligne]]</f>
        <v>0</v>
      </c>
      <c r="K4736" s="7" t="str">
        <f>IFERROR(INDEX(tbl_ProduitsRef[Famille], MATCH(tbl_Ventes[[#This Row],[Cde_Prdt]], tbl_Produits[Cde_Prdt], 0)), "")</f>
        <v/>
      </c>
    </row>
    <row r="4737" spans="1:11" x14ac:dyDescent="0.25">
      <c r="A4737" s="5"/>
      <c r="B4737" s="63" t="str">
        <f>IFERROR(TEXT(tbl_Ventes[[#This Row],[Date]],"mm-aaaa"),"")</f>
        <v>01-1900</v>
      </c>
      <c r="D4737" s="10" t="str">
        <f>IFERROR(
   INDEX(tbl_ProduitsRef[Cde_Prdt],MATCH(tbl_Ventes[[#This Row],[Produit]],tbl_ProduitsRef[Produit],0)),
   ""
)</f>
        <v/>
      </c>
      <c r="E4737" s="7">
        <v>0</v>
      </c>
      <c r="F4737" s="7" t="str">
        <f>IFERROR(
   INDEX(tbl_ProduitsRef[Prix Menu],MATCH(tbl_Ventes[[#This Row],[Produit]],tbl_ProduitsRef[Produit],0)),
   ""
)</f>
        <v/>
      </c>
      <c r="G4737" s="7">
        <f>tbl_Ventes[[#This Row],[Qté Vendue]] * IFERROR(_xlfn.XLOOKUP(tbl_Ventes[[#This Row],[Cde_Prdt]], tbl_Produits[Cde_Prdt], tbl_Produits[Prix Menu]), 0)</f>
        <v>0</v>
      </c>
      <c r="H4737" s="7">
        <f>IFERROR(_xlfn.XLOOKUP(tbl_Ventes[[#This Row],[Cde_Prdt]], tbl_Produits[Cde_Prdt], tbl_Produits[Coût Moyen Portion]), 0)</f>
        <v>0</v>
      </c>
      <c r="I4737" s="7">
        <f>tbl_Ventes[[#This Row],[Qté Vendue]] * tbl_Ventes[[#This Row],[CMP_par_portion]]</f>
        <v>0</v>
      </c>
      <c r="J4737" s="7">
        <f>tbl_Ventes[[#This Row],[CA ligne]] - tbl_Ventes[[#This Row],[Coût matière ligne]]</f>
        <v>0</v>
      </c>
      <c r="K4737" s="7" t="str">
        <f>IFERROR(INDEX(tbl_ProduitsRef[Famille], MATCH(tbl_Ventes[[#This Row],[Cde_Prdt]], tbl_Produits[Cde_Prdt], 0)), "")</f>
        <v/>
      </c>
    </row>
    <row r="4738" spans="1:11" x14ac:dyDescent="0.25">
      <c r="A4738" s="5"/>
      <c r="B4738" s="63" t="str">
        <f>IFERROR(TEXT(tbl_Ventes[[#This Row],[Date]],"mm-aaaa"),"")</f>
        <v>01-1900</v>
      </c>
      <c r="D4738" s="10" t="str">
        <f>IFERROR(
   INDEX(tbl_ProduitsRef[Cde_Prdt],MATCH(tbl_Ventes[[#This Row],[Produit]],tbl_ProduitsRef[Produit],0)),
   ""
)</f>
        <v/>
      </c>
      <c r="E4738" s="7">
        <v>0</v>
      </c>
      <c r="F4738" s="7" t="str">
        <f>IFERROR(
   INDEX(tbl_ProduitsRef[Prix Menu],MATCH(tbl_Ventes[[#This Row],[Produit]],tbl_ProduitsRef[Produit],0)),
   ""
)</f>
        <v/>
      </c>
      <c r="G4738" s="7">
        <f>tbl_Ventes[[#This Row],[Qté Vendue]] * IFERROR(_xlfn.XLOOKUP(tbl_Ventes[[#This Row],[Cde_Prdt]], tbl_Produits[Cde_Prdt], tbl_Produits[Prix Menu]), 0)</f>
        <v>0</v>
      </c>
      <c r="H4738" s="7">
        <f>IFERROR(_xlfn.XLOOKUP(tbl_Ventes[[#This Row],[Cde_Prdt]], tbl_Produits[Cde_Prdt], tbl_Produits[Coût Moyen Portion]), 0)</f>
        <v>0</v>
      </c>
      <c r="I4738" s="7">
        <f>tbl_Ventes[[#This Row],[Qté Vendue]] * tbl_Ventes[[#This Row],[CMP_par_portion]]</f>
        <v>0</v>
      </c>
      <c r="J4738" s="7">
        <f>tbl_Ventes[[#This Row],[CA ligne]] - tbl_Ventes[[#This Row],[Coût matière ligne]]</f>
        <v>0</v>
      </c>
      <c r="K4738" s="7" t="str">
        <f>IFERROR(INDEX(tbl_ProduitsRef[Famille], MATCH(tbl_Ventes[[#This Row],[Cde_Prdt]], tbl_Produits[Cde_Prdt], 0)), "")</f>
        <v/>
      </c>
    </row>
    <row r="4739" spans="1:11" x14ac:dyDescent="0.25">
      <c r="A4739" s="5"/>
      <c r="B4739" s="63" t="str">
        <f>IFERROR(TEXT(tbl_Ventes[[#This Row],[Date]],"mm-aaaa"),"")</f>
        <v>01-1900</v>
      </c>
      <c r="D4739" s="10" t="str">
        <f>IFERROR(
   INDEX(tbl_ProduitsRef[Cde_Prdt],MATCH(tbl_Ventes[[#This Row],[Produit]],tbl_ProduitsRef[Produit],0)),
   ""
)</f>
        <v/>
      </c>
      <c r="E4739" s="7">
        <v>0</v>
      </c>
      <c r="F4739" s="7" t="str">
        <f>IFERROR(
   INDEX(tbl_ProduitsRef[Prix Menu],MATCH(tbl_Ventes[[#This Row],[Produit]],tbl_ProduitsRef[Produit],0)),
   ""
)</f>
        <v/>
      </c>
      <c r="G4739" s="7">
        <f>tbl_Ventes[[#This Row],[Qté Vendue]] * IFERROR(_xlfn.XLOOKUP(tbl_Ventes[[#This Row],[Cde_Prdt]], tbl_Produits[Cde_Prdt], tbl_Produits[Prix Menu]), 0)</f>
        <v>0</v>
      </c>
      <c r="H4739" s="7">
        <f>IFERROR(_xlfn.XLOOKUP(tbl_Ventes[[#This Row],[Cde_Prdt]], tbl_Produits[Cde_Prdt], tbl_Produits[Coût Moyen Portion]), 0)</f>
        <v>0</v>
      </c>
      <c r="I4739" s="7">
        <f>tbl_Ventes[[#This Row],[Qté Vendue]] * tbl_Ventes[[#This Row],[CMP_par_portion]]</f>
        <v>0</v>
      </c>
      <c r="J4739" s="7">
        <f>tbl_Ventes[[#This Row],[CA ligne]] - tbl_Ventes[[#This Row],[Coût matière ligne]]</f>
        <v>0</v>
      </c>
      <c r="K4739" s="7" t="str">
        <f>IFERROR(INDEX(tbl_ProduitsRef[Famille], MATCH(tbl_Ventes[[#This Row],[Cde_Prdt]], tbl_Produits[Cde_Prdt], 0)), "")</f>
        <v/>
      </c>
    </row>
    <row r="4740" spans="1:11" x14ac:dyDescent="0.25">
      <c r="A4740" s="5"/>
      <c r="B4740" s="63" t="str">
        <f>IFERROR(TEXT(tbl_Ventes[[#This Row],[Date]],"mm-aaaa"),"")</f>
        <v>01-1900</v>
      </c>
      <c r="D4740" s="10" t="str">
        <f>IFERROR(
   INDEX(tbl_ProduitsRef[Cde_Prdt],MATCH(tbl_Ventes[[#This Row],[Produit]],tbl_ProduitsRef[Produit],0)),
   ""
)</f>
        <v/>
      </c>
      <c r="E4740" s="7">
        <v>0</v>
      </c>
      <c r="F4740" s="7" t="str">
        <f>IFERROR(
   INDEX(tbl_ProduitsRef[Prix Menu],MATCH(tbl_Ventes[[#This Row],[Produit]],tbl_ProduitsRef[Produit],0)),
   ""
)</f>
        <v/>
      </c>
      <c r="G4740" s="7">
        <f>tbl_Ventes[[#This Row],[Qté Vendue]] * IFERROR(_xlfn.XLOOKUP(tbl_Ventes[[#This Row],[Cde_Prdt]], tbl_Produits[Cde_Prdt], tbl_Produits[Prix Menu]), 0)</f>
        <v>0</v>
      </c>
      <c r="H4740" s="7">
        <f>IFERROR(_xlfn.XLOOKUP(tbl_Ventes[[#This Row],[Cde_Prdt]], tbl_Produits[Cde_Prdt], tbl_Produits[Coût Moyen Portion]), 0)</f>
        <v>0</v>
      </c>
      <c r="I4740" s="7">
        <f>tbl_Ventes[[#This Row],[Qté Vendue]] * tbl_Ventes[[#This Row],[CMP_par_portion]]</f>
        <v>0</v>
      </c>
      <c r="J4740" s="7">
        <f>tbl_Ventes[[#This Row],[CA ligne]] - tbl_Ventes[[#This Row],[Coût matière ligne]]</f>
        <v>0</v>
      </c>
      <c r="K4740" s="7" t="str">
        <f>IFERROR(INDEX(tbl_ProduitsRef[Famille], MATCH(tbl_Ventes[[#This Row],[Cde_Prdt]], tbl_Produits[Cde_Prdt], 0)), "")</f>
        <v/>
      </c>
    </row>
    <row r="4741" spans="1:11" x14ac:dyDescent="0.25">
      <c r="A4741" s="5"/>
      <c r="B4741" s="63" t="str">
        <f>IFERROR(TEXT(tbl_Ventes[[#This Row],[Date]],"mm-aaaa"),"")</f>
        <v>01-1900</v>
      </c>
      <c r="D4741" s="10" t="str">
        <f>IFERROR(
   INDEX(tbl_ProduitsRef[Cde_Prdt],MATCH(tbl_Ventes[[#This Row],[Produit]],tbl_ProduitsRef[Produit],0)),
   ""
)</f>
        <v/>
      </c>
      <c r="E4741" s="7">
        <v>0</v>
      </c>
      <c r="F4741" s="7" t="str">
        <f>IFERROR(
   INDEX(tbl_ProduitsRef[Prix Menu],MATCH(tbl_Ventes[[#This Row],[Produit]],tbl_ProduitsRef[Produit],0)),
   ""
)</f>
        <v/>
      </c>
      <c r="G4741" s="7">
        <f>tbl_Ventes[[#This Row],[Qté Vendue]] * IFERROR(_xlfn.XLOOKUP(tbl_Ventes[[#This Row],[Cde_Prdt]], tbl_Produits[Cde_Prdt], tbl_Produits[Prix Menu]), 0)</f>
        <v>0</v>
      </c>
      <c r="H4741" s="7">
        <f>IFERROR(_xlfn.XLOOKUP(tbl_Ventes[[#This Row],[Cde_Prdt]], tbl_Produits[Cde_Prdt], tbl_Produits[Coût Moyen Portion]), 0)</f>
        <v>0</v>
      </c>
      <c r="I4741" s="7">
        <f>tbl_Ventes[[#This Row],[Qté Vendue]] * tbl_Ventes[[#This Row],[CMP_par_portion]]</f>
        <v>0</v>
      </c>
      <c r="J4741" s="7">
        <f>tbl_Ventes[[#This Row],[CA ligne]] - tbl_Ventes[[#This Row],[Coût matière ligne]]</f>
        <v>0</v>
      </c>
      <c r="K4741" s="7" t="str">
        <f>IFERROR(INDEX(tbl_ProduitsRef[Famille], MATCH(tbl_Ventes[[#This Row],[Cde_Prdt]], tbl_Produits[Cde_Prdt], 0)), "")</f>
        <v/>
      </c>
    </row>
    <row r="4742" spans="1:11" x14ac:dyDescent="0.25">
      <c r="A4742" s="5"/>
      <c r="B4742" s="63" t="str">
        <f>IFERROR(TEXT(tbl_Ventes[[#This Row],[Date]],"mm-aaaa"),"")</f>
        <v>01-1900</v>
      </c>
      <c r="D4742" s="10" t="str">
        <f>IFERROR(
   INDEX(tbl_ProduitsRef[Cde_Prdt],MATCH(tbl_Ventes[[#This Row],[Produit]],tbl_ProduitsRef[Produit],0)),
   ""
)</f>
        <v/>
      </c>
      <c r="E4742" s="7">
        <v>0</v>
      </c>
      <c r="F4742" s="7" t="str">
        <f>IFERROR(
   INDEX(tbl_ProduitsRef[Prix Menu],MATCH(tbl_Ventes[[#This Row],[Produit]],tbl_ProduitsRef[Produit],0)),
   ""
)</f>
        <v/>
      </c>
      <c r="G4742" s="7">
        <f>tbl_Ventes[[#This Row],[Qté Vendue]] * IFERROR(_xlfn.XLOOKUP(tbl_Ventes[[#This Row],[Cde_Prdt]], tbl_Produits[Cde_Prdt], tbl_Produits[Prix Menu]), 0)</f>
        <v>0</v>
      </c>
      <c r="H4742" s="7">
        <f>IFERROR(_xlfn.XLOOKUP(tbl_Ventes[[#This Row],[Cde_Prdt]], tbl_Produits[Cde_Prdt], tbl_Produits[Coût Moyen Portion]), 0)</f>
        <v>0</v>
      </c>
      <c r="I4742" s="7">
        <f>tbl_Ventes[[#This Row],[Qté Vendue]] * tbl_Ventes[[#This Row],[CMP_par_portion]]</f>
        <v>0</v>
      </c>
      <c r="J4742" s="7">
        <f>tbl_Ventes[[#This Row],[CA ligne]] - tbl_Ventes[[#This Row],[Coût matière ligne]]</f>
        <v>0</v>
      </c>
      <c r="K4742" s="7" t="str">
        <f>IFERROR(INDEX(tbl_ProduitsRef[Famille], MATCH(tbl_Ventes[[#This Row],[Cde_Prdt]], tbl_Produits[Cde_Prdt], 0)), "")</f>
        <v/>
      </c>
    </row>
    <row r="4743" spans="1:11" x14ac:dyDescent="0.25">
      <c r="A4743" s="5"/>
      <c r="B4743" s="63" t="str">
        <f>IFERROR(TEXT(tbl_Ventes[[#This Row],[Date]],"mm-aaaa"),"")</f>
        <v>01-1900</v>
      </c>
      <c r="D4743" s="10" t="str">
        <f>IFERROR(
   INDEX(tbl_ProduitsRef[Cde_Prdt],MATCH(tbl_Ventes[[#This Row],[Produit]],tbl_ProduitsRef[Produit],0)),
   ""
)</f>
        <v/>
      </c>
      <c r="E4743" s="7">
        <v>0</v>
      </c>
      <c r="F4743" s="7" t="str">
        <f>IFERROR(
   INDEX(tbl_ProduitsRef[Prix Menu],MATCH(tbl_Ventes[[#This Row],[Produit]],tbl_ProduitsRef[Produit],0)),
   ""
)</f>
        <v/>
      </c>
      <c r="G4743" s="7">
        <f>tbl_Ventes[[#This Row],[Qté Vendue]] * IFERROR(_xlfn.XLOOKUP(tbl_Ventes[[#This Row],[Cde_Prdt]], tbl_Produits[Cde_Prdt], tbl_Produits[Prix Menu]), 0)</f>
        <v>0</v>
      </c>
      <c r="H4743" s="7">
        <f>IFERROR(_xlfn.XLOOKUP(tbl_Ventes[[#This Row],[Cde_Prdt]], tbl_Produits[Cde_Prdt], tbl_Produits[Coût Moyen Portion]), 0)</f>
        <v>0</v>
      </c>
      <c r="I4743" s="7">
        <f>tbl_Ventes[[#This Row],[Qté Vendue]] * tbl_Ventes[[#This Row],[CMP_par_portion]]</f>
        <v>0</v>
      </c>
      <c r="J4743" s="7">
        <f>tbl_Ventes[[#This Row],[CA ligne]] - tbl_Ventes[[#This Row],[Coût matière ligne]]</f>
        <v>0</v>
      </c>
      <c r="K4743" s="7" t="str">
        <f>IFERROR(INDEX(tbl_ProduitsRef[Famille], MATCH(tbl_Ventes[[#This Row],[Cde_Prdt]], tbl_Produits[Cde_Prdt], 0)), "")</f>
        <v/>
      </c>
    </row>
    <row r="4744" spans="1:11" x14ac:dyDescent="0.25">
      <c r="A4744" s="5"/>
      <c r="B4744" s="63" t="str">
        <f>IFERROR(TEXT(tbl_Ventes[[#This Row],[Date]],"mm-aaaa"),"")</f>
        <v>01-1900</v>
      </c>
      <c r="D4744" s="10" t="str">
        <f>IFERROR(
   INDEX(tbl_ProduitsRef[Cde_Prdt],MATCH(tbl_Ventes[[#This Row],[Produit]],tbl_ProduitsRef[Produit],0)),
   ""
)</f>
        <v/>
      </c>
      <c r="E4744" s="7">
        <v>0</v>
      </c>
      <c r="F4744" s="7" t="str">
        <f>IFERROR(
   INDEX(tbl_ProduitsRef[Prix Menu],MATCH(tbl_Ventes[[#This Row],[Produit]],tbl_ProduitsRef[Produit],0)),
   ""
)</f>
        <v/>
      </c>
      <c r="G4744" s="7">
        <f>tbl_Ventes[[#This Row],[Qté Vendue]] * IFERROR(_xlfn.XLOOKUP(tbl_Ventes[[#This Row],[Cde_Prdt]], tbl_Produits[Cde_Prdt], tbl_Produits[Prix Menu]), 0)</f>
        <v>0</v>
      </c>
      <c r="H4744" s="7">
        <f>IFERROR(_xlfn.XLOOKUP(tbl_Ventes[[#This Row],[Cde_Prdt]], tbl_Produits[Cde_Prdt], tbl_Produits[Coût Moyen Portion]), 0)</f>
        <v>0</v>
      </c>
      <c r="I4744" s="7">
        <f>tbl_Ventes[[#This Row],[Qté Vendue]] * tbl_Ventes[[#This Row],[CMP_par_portion]]</f>
        <v>0</v>
      </c>
      <c r="J4744" s="7">
        <f>tbl_Ventes[[#This Row],[CA ligne]] - tbl_Ventes[[#This Row],[Coût matière ligne]]</f>
        <v>0</v>
      </c>
      <c r="K4744" s="7" t="str">
        <f>IFERROR(INDEX(tbl_ProduitsRef[Famille], MATCH(tbl_Ventes[[#This Row],[Cde_Prdt]], tbl_Produits[Cde_Prdt], 0)), "")</f>
        <v/>
      </c>
    </row>
    <row r="4745" spans="1:11" x14ac:dyDescent="0.25">
      <c r="A4745" s="5"/>
      <c r="B4745" s="63" t="str">
        <f>IFERROR(TEXT(tbl_Ventes[[#This Row],[Date]],"mm-aaaa"),"")</f>
        <v>01-1900</v>
      </c>
      <c r="D4745" s="10" t="str">
        <f>IFERROR(
   INDEX(tbl_ProduitsRef[Cde_Prdt],MATCH(tbl_Ventes[[#This Row],[Produit]],tbl_ProduitsRef[Produit],0)),
   ""
)</f>
        <v/>
      </c>
      <c r="E4745" s="7">
        <v>0</v>
      </c>
      <c r="F4745" s="7" t="str">
        <f>IFERROR(
   INDEX(tbl_ProduitsRef[Prix Menu],MATCH(tbl_Ventes[[#This Row],[Produit]],tbl_ProduitsRef[Produit],0)),
   ""
)</f>
        <v/>
      </c>
      <c r="G4745" s="7">
        <f>tbl_Ventes[[#This Row],[Qté Vendue]] * IFERROR(_xlfn.XLOOKUP(tbl_Ventes[[#This Row],[Cde_Prdt]], tbl_Produits[Cde_Prdt], tbl_Produits[Prix Menu]), 0)</f>
        <v>0</v>
      </c>
      <c r="H4745" s="7">
        <f>IFERROR(_xlfn.XLOOKUP(tbl_Ventes[[#This Row],[Cde_Prdt]], tbl_Produits[Cde_Prdt], tbl_Produits[Coût Moyen Portion]), 0)</f>
        <v>0</v>
      </c>
      <c r="I4745" s="7">
        <f>tbl_Ventes[[#This Row],[Qté Vendue]] * tbl_Ventes[[#This Row],[CMP_par_portion]]</f>
        <v>0</v>
      </c>
      <c r="J4745" s="7">
        <f>tbl_Ventes[[#This Row],[CA ligne]] - tbl_Ventes[[#This Row],[Coût matière ligne]]</f>
        <v>0</v>
      </c>
      <c r="K4745" s="7" t="str">
        <f>IFERROR(INDEX(tbl_ProduitsRef[Famille], MATCH(tbl_Ventes[[#This Row],[Cde_Prdt]], tbl_Produits[Cde_Prdt], 0)), "")</f>
        <v/>
      </c>
    </row>
    <row r="4746" spans="1:11" x14ac:dyDescent="0.25">
      <c r="A4746" s="5"/>
      <c r="B4746" s="63" t="str">
        <f>IFERROR(TEXT(tbl_Ventes[[#This Row],[Date]],"mm-aaaa"),"")</f>
        <v>01-1900</v>
      </c>
      <c r="D4746" s="10" t="str">
        <f>IFERROR(
   INDEX(tbl_ProduitsRef[Cde_Prdt],MATCH(tbl_Ventes[[#This Row],[Produit]],tbl_ProduitsRef[Produit],0)),
   ""
)</f>
        <v/>
      </c>
      <c r="E4746" s="7">
        <v>0</v>
      </c>
      <c r="F4746" s="7" t="str">
        <f>IFERROR(
   INDEX(tbl_ProduitsRef[Prix Menu],MATCH(tbl_Ventes[[#This Row],[Produit]],tbl_ProduitsRef[Produit],0)),
   ""
)</f>
        <v/>
      </c>
      <c r="G4746" s="7">
        <f>tbl_Ventes[[#This Row],[Qté Vendue]] * IFERROR(_xlfn.XLOOKUP(tbl_Ventes[[#This Row],[Cde_Prdt]], tbl_Produits[Cde_Prdt], tbl_Produits[Prix Menu]), 0)</f>
        <v>0</v>
      </c>
      <c r="H4746" s="7">
        <f>IFERROR(_xlfn.XLOOKUP(tbl_Ventes[[#This Row],[Cde_Prdt]], tbl_Produits[Cde_Prdt], tbl_Produits[Coût Moyen Portion]), 0)</f>
        <v>0</v>
      </c>
      <c r="I4746" s="7">
        <f>tbl_Ventes[[#This Row],[Qté Vendue]] * tbl_Ventes[[#This Row],[CMP_par_portion]]</f>
        <v>0</v>
      </c>
      <c r="J4746" s="7">
        <f>tbl_Ventes[[#This Row],[CA ligne]] - tbl_Ventes[[#This Row],[Coût matière ligne]]</f>
        <v>0</v>
      </c>
      <c r="K4746" s="7" t="str">
        <f>IFERROR(INDEX(tbl_ProduitsRef[Famille], MATCH(tbl_Ventes[[#This Row],[Cde_Prdt]], tbl_Produits[Cde_Prdt], 0)), "")</f>
        <v/>
      </c>
    </row>
    <row r="4747" spans="1:11" x14ac:dyDescent="0.25">
      <c r="A4747" s="5"/>
      <c r="B4747" s="63" t="str">
        <f>IFERROR(TEXT(tbl_Ventes[[#This Row],[Date]],"mm-aaaa"),"")</f>
        <v>01-1900</v>
      </c>
      <c r="D4747" s="10" t="str">
        <f>IFERROR(
   INDEX(tbl_ProduitsRef[Cde_Prdt],MATCH(tbl_Ventes[[#This Row],[Produit]],tbl_ProduitsRef[Produit],0)),
   ""
)</f>
        <v/>
      </c>
      <c r="E4747" s="7">
        <v>0</v>
      </c>
      <c r="F4747" s="7" t="str">
        <f>IFERROR(
   INDEX(tbl_ProduitsRef[Prix Menu],MATCH(tbl_Ventes[[#This Row],[Produit]],tbl_ProduitsRef[Produit],0)),
   ""
)</f>
        <v/>
      </c>
      <c r="G4747" s="7">
        <f>tbl_Ventes[[#This Row],[Qté Vendue]] * IFERROR(_xlfn.XLOOKUP(tbl_Ventes[[#This Row],[Cde_Prdt]], tbl_Produits[Cde_Prdt], tbl_Produits[Prix Menu]), 0)</f>
        <v>0</v>
      </c>
      <c r="H4747" s="7">
        <f>IFERROR(_xlfn.XLOOKUP(tbl_Ventes[[#This Row],[Cde_Prdt]], tbl_Produits[Cde_Prdt], tbl_Produits[Coût Moyen Portion]), 0)</f>
        <v>0</v>
      </c>
      <c r="I4747" s="7">
        <f>tbl_Ventes[[#This Row],[Qté Vendue]] * tbl_Ventes[[#This Row],[CMP_par_portion]]</f>
        <v>0</v>
      </c>
      <c r="J4747" s="7">
        <f>tbl_Ventes[[#This Row],[CA ligne]] - tbl_Ventes[[#This Row],[Coût matière ligne]]</f>
        <v>0</v>
      </c>
      <c r="K4747" s="7" t="str">
        <f>IFERROR(INDEX(tbl_ProduitsRef[Famille], MATCH(tbl_Ventes[[#This Row],[Cde_Prdt]], tbl_Produits[Cde_Prdt], 0)), "")</f>
        <v/>
      </c>
    </row>
    <row r="4748" spans="1:11" x14ac:dyDescent="0.25">
      <c r="A4748" s="5"/>
      <c r="B4748" s="63" t="str">
        <f>IFERROR(TEXT(tbl_Ventes[[#This Row],[Date]],"mm-aaaa"),"")</f>
        <v>01-1900</v>
      </c>
      <c r="D4748" s="10" t="str">
        <f>IFERROR(
   INDEX(tbl_ProduitsRef[Cde_Prdt],MATCH(tbl_Ventes[[#This Row],[Produit]],tbl_ProduitsRef[Produit],0)),
   ""
)</f>
        <v/>
      </c>
      <c r="E4748" s="7">
        <v>0</v>
      </c>
      <c r="F4748" s="7" t="str">
        <f>IFERROR(
   INDEX(tbl_ProduitsRef[Prix Menu],MATCH(tbl_Ventes[[#This Row],[Produit]],tbl_ProduitsRef[Produit],0)),
   ""
)</f>
        <v/>
      </c>
      <c r="G4748" s="7">
        <f>tbl_Ventes[[#This Row],[Qté Vendue]] * IFERROR(_xlfn.XLOOKUP(tbl_Ventes[[#This Row],[Cde_Prdt]], tbl_Produits[Cde_Prdt], tbl_Produits[Prix Menu]), 0)</f>
        <v>0</v>
      </c>
      <c r="H4748" s="7">
        <f>IFERROR(_xlfn.XLOOKUP(tbl_Ventes[[#This Row],[Cde_Prdt]], tbl_Produits[Cde_Prdt], tbl_Produits[Coût Moyen Portion]), 0)</f>
        <v>0</v>
      </c>
      <c r="I4748" s="7">
        <f>tbl_Ventes[[#This Row],[Qté Vendue]] * tbl_Ventes[[#This Row],[CMP_par_portion]]</f>
        <v>0</v>
      </c>
      <c r="J4748" s="7">
        <f>tbl_Ventes[[#This Row],[CA ligne]] - tbl_Ventes[[#This Row],[Coût matière ligne]]</f>
        <v>0</v>
      </c>
      <c r="K4748" s="7" t="str">
        <f>IFERROR(INDEX(tbl_ProduitsRef[Famille], MATCH(tbl_Ventes[[#This Row],[Cde_Prdt]], tbl_Produits[Cde_Prdt], 0)), "")</f>
        <v/>
      </c>
    </row>
    <row r="4749" spans="1:11" x14ac:dyDescent="0.25">
      <c r="A4749" s="5"/>
      <c r="B4749" s="63" t="str">
        <f>IFERROR(TEXT(tbl_Ventes[[#This Row],[Date]],"mm-aaaa"),"")</f>
        <v>01-1900</v>
      </c>
      <c r="D4749" s="10" t="str">
        <f>IFERROR(
   INDEX(tbl_ProduitsRef[Cde_Prdt],MATCH(tbl_Ventes[[#This Row],[Produit]],tbl_ProduitsRef[Produit],0)),
   ""
)</f>
        <v/>
      </c>
      <c r="E4749" s="7">
        <v>0</v>
      </c>
      <c r="F4749" s="7" t="str">
        <f>IFERROR(
   INDEX(tbl_ProduitsRef[Prix Menu],MATCH(tbl_Ventes[[#This Row],[Produit]],tbl_ProduitsRef[Produit],0)),
   ""
)</f>
        <v/>
      </c>
      <c r="G4749" s="7">
        <f>tbl_Ventes[[#This Row],[Qté Vendue]] * IFERROR(_xlfn.XLOOKUP(tbl_Ventes[[#This Row],[Cde_Prdt]], tbl_Produits[Cde_Prdt], tbl_Produits[Prix Menu]), 0)</f>
        <v>0</v>
      </c>
      <c r="H4749" s="7">
        <f>IFERROR(_xlfn.XLOOKUP(tbl_Ventes[[#This Row],[Cde_Prdt]], tbl_Produits[Cde_Prdt], tbl_Produits[Coût Moyen Portion]), 0)</f>
        <v>0</v>
      </c>
      <c r="I4749" s="7">
        <f>tbl_Ventes[[#This Row],[Qté Vendue]] * tbl_Ventes[[#This Row],[CMP_par_portion]]</f>
        <v>0</v>
      </c>
      <c r="J4749" s="7">
        <f>tbl_Ventes[[#This Row],[CA ligne]] - tbl_Ventes[[#This Row],[Coût matière ligne]]</f>
        <v>0</v>
      </c>
      <c r="K4749" s="7" t="str">
        <f>IFERROR(INDEX(tbl_ProduitsRef[Famille], MATCH(tbl_Ventes[[#This Row],[Cde_Prdt]], tbl_Produits[Cde_Prdt], 0)), "")</f>
        <v/>
      </c>
    </row>
    <row r="4750" spans="1:11" x14ac:dyDescent="0.25">
      <c r="A4750" s="5"/>
      <c r="B4750" s="63" t="str">
        <f>IFERROR(TEXT(tbl_Ventes[[#This Row],[Date]],"mm-aaaa"),"")</f>
        <v>01-1900</v>
      </c>
      <c r="D4750" s="10" t="str">
        <f>IFERROR(
   INDEX(tbl_ProduitsRef[Cde_Prdt],MATCH(tbl_Ventes[[#This Row],[Produit]],tbl_ProduitsRef[Produit],0)),
   ""
)</f>
        <v/>
      </c>
      <c r="E4750" s="7">
        <v>0</v>
      </c>
      <c r="F4750" s="7" t="str">
        <f>IFERROR(
   INDEX(tbl_ProduitsRef[Prix Menu],MATCH(tbl_Ventes[[#This Row],[Produit]],tbl_ProduitsRef[Produit],0)),
   ""
)</f>
        <v/>
      </c>
      <c r="G4750" s="7">
        <f>tbl_Ventes[[#This Row],[Qté Vendue]] * IFERROR(_xlfn.XLOOKUP(tbl_Ventes[[#This Row],[Cde_Prdt]], tbl_Produits[Cde_Prdt], tbl_Produits[Prix Menu]), 0)</f>
        <v>0</v>
      </c>
      <c r="H4750" s="7">
        <f>IFERROR(_xlfn.XLOOKUP(tbl_Ventes[[#This Row],[Cde_Prdt]], tbl_Produits[Cde_Prdt], tbl_Produits[Coût Moyen Portion]), 0)</f>
        <v>0</v>
      </c>
      <c r="I4750" s="7">
        <f>tbl_Ventes[[#This Row],[Qté Vendue]] * tbl_Ventes[[#This Row],[CMP_par_portion]]</f>
        <v>0</v>
      </c>
      <c r="J4750" s="7">
        <f>tbl_Ventes[[#This Row],[CA ligne]] - tbl_Ventes[[#This Row],[Coût matière ligne]]</f>
        <v>0</v>
      </c>
      <c r="K4750" s="7" t="str">
        <f>IFERROR(INDEX(tbl_ProduitsRef[Famille], MATCH(tbl_Ventes[[#This Row],[Cde_Prdt]], tbl_Produits[Cde_Prdt], 0)), "")</f>
        <v/>
      </c>
    </row>
    <row r="4751" spans="1:11" x14ac:dyDescent="0.25">
      <c r="A4751" s="5"/>
      <c r="B4751" s="63" t="str">
        <f>IFERROR(TEXT(tbl_Ventes[[#This Row],[Date]],"mm-aaaa"),"")</f>
        <v>01-1900</v>
      </c>
      <c r="D4751" s="10" t="str">
        <f>IFERROR(
   INDEX(tbl_ProduitsRef[Cde_Prdt],MATCH(tbl_Ventes[[#This Row],[Produit]],tbl_ProduitsRef[Produit],0)),
   ""
)</f>
        <v/>
      </c>
      <c r="E4751" s="7">
        <v>0</v>
      </c>
      <c r="F4751" s="7" t="str">
        <f>IFERROR(
   INDEX(tbl_ProduitsRef[Prix Menu],MATCH(tbl_Ventes[[#This Row],[Produit]],tbl_ProduitsRef[Produit],0)),
   ""
)</f>
        <v/>
      </c>
      <c r="G4751" s="7">
        <f>tbl_Ventes[[#This Row],[Qté Vendue]] * IFERROR(_xlfn.XLOOKUP(tbl_Ventes[[#This Row],[Cde_Prdt]], tbl_Produits[Cde_Prdt], tbl_Produits[Prix Menu]), 0)</f>
        <v>0</v>
      </c>
      <c r="H4751" s="7">
        <f>IFERROR(_xlfn.XLOOKUP(tbl_Ventes[[#This Row],[Cde_Prdt]], tbl_Produits[Cde_Prdt], tbl_Produits[Coût Moyen Portion]), 0)</f>
        <v>0</v>
      </c>
      <c r="I4751" s="7">
        <f>tbl_Ventes[[#This Row],[Qté Vendue]] * tbl_Ventes[[#This Row],[CMP_par_portion]]</f>
        <v>0</v>
      </c>
      <c r="J4751" s="7">
        <f>tbl_Ventes[[#This Row],[CA ligne]] - tbl_Ventes[[#This Row],[Coût matière ligne]]</f>
        <v>0</v>
      </c>
      <c r="K4751" s="7" t="str">
        <f>IFERROR(INDEX(tbl_ProduitsRef[Famille], MATCH(tbl_Ventes[[#This Row],[Cde_Prdt]], tbl_Produits[Cde_Prdt], 0)), "")</f>
        <v/>
      </c>
    </row>
    <row r="4752" spans="1:11" x14ac:dyDescent="0.25">
      <c r="A4752" s="5"/>
      <c r="B4752" s="63" t="str">
        <f>IFERROR(TEXT(tbl_Ventes[[#This Row],[Date]],"mm-aaaa"),"")</f>
        <v>01-1900</v>
      </c>
      <c r="D4752" s="10" t="str">
        <f>IFERROR(
   INDEX(tbl_ProduitsRef[Cde_Prdt],MATCH(tbl_Ventes[[#This Row],[Produit]],tbl_ProduitsRef[Produit],0)),
   ""
)</f>
        <v/>
      </c>
      <c r="E4752" s="7">
        <v>0</v>
      </c>
      <c r="F4752" s="7" t="str">
        <f>IFERROR(
   INDEX(tbl_ProduitsRef[Prix Menu],MATCH(tbl_Ventes[[#This Row],[Produit]],tbl_ProduitsRef[Produit],0)),
   ""
)</f>
        <v/>
      </c>
      <c r="G4752" s="7">
        <f>tbl_Ventes[[#This Row],[Qté Vendue]] * IFERROR(_xlfn.XLOOKUP(tbl_Ventes[[#This Row],[Cde_Prdt]], tbl_Produits[Cde_Prdt], tbl_Produits[Prix Menu]), 0)</f>
        <v>0</v>
      </c>
      <c r="H4752" s="7">
        <f>IFERROR(_xlfn.XLOOKUP(tbl_Ventes[[#This Row],[Cde_Prdt]], tbl_Produits[Cde_Prdt], tbl_Produits[Coût Moyen Portion]), 0)</f>
        <v>0</v>
      </c>
      <c r="I4752" s="7">
        <f>tbl_Ventes[[#This Row],[Qté Vendue]] * tbl_Ventes[[#This Row],[CMP_par_portion]]</f>
        <v>0</v>
      </c>
      <c r="J4752" s="7">
        <f>tbl_Ventes[[#This Row],[CA ligne]] - tbl_Ventes[[#This Row],[Coût matière ligne]]</f>
        <v>0</v>
      </c>
      <c r="K4752" s="7" t="str">
        <f>IFERROR(INDEX(tbl_ProduitsRef[Famille], MATCH(tbl_Ventes[[#This Row],[Cde_Prdt]], tbl_Produits[Cde_Prdt], 0)), "")</f>
        <v/>
      </c>
    </row>
    <row r="4753" spans="1:11" x14ac:dyDescent="0.25">
      <c r="A4753" s="5"/>
      <c r="B4753" s="63" t="str">
        <f>IFERROR(TEXT(tbl_Ventes[[#This Row],[Date]],"mm-aaaa"),"")</f>
        <v>01-1900</v>
      </c>
      <c r="D4753" s="10" t="str">
        <f>IFERROR(
   INDEX(tbl_ProduitsRef[Cde_Prdt],MATCH(tbl_Ventes[[#This Row],[Produit]],tbl_ProduitsRef[Produit],0)),
   ""
)</f>
        <v/>
      </c>
      <c r="E4753" s="7">
        <v>0</v>
      </c>
      <c r="F4753" s="7" t="str">
        <f>IFERROR(
   INDEX(tbl_ProduitsRef[Prix Menu],MATCH(tbl_Ventes[[#This Row],[Produit]],tbl_ProduitsRef[Produit],0)),
   ""
)</f>
        <v/>
      </c>
      <c r="G4753" s="7">
        <f>tbl_Ventes[[#This Row],[Qté Vendue]] * IFERROR(_xlfn.XLOOKUP(tbl_Ventes[[#This Row],[Cde_Prdt]], tbl_Produits[Cde_Prdt], tbl_Produits[Prix Menu]), 0)</f>
        <v>0</v>
      </c>
      <c r="H4753" s="7">
        <f>IFERROR(_xlfn.XLOOKUP(tbl_Ventes[[#This Row],[Cde_Prdt]], tbl_Produits[Cde_Prdt], tbl_Produits[Coût Moyen Portion]), 0)</f>
        <v>0</v>
      </c>
      <c r="I4753" s="7">
        <f>tbl_Ventes[[#This Row],[Qté Vendue]] * tbl_Ventes[[#This Row],[CMP_par_portion]]</f>
        <v>0</v>
      </c>
      <c r="J4753" s="7">
        <f>tbl_Ventes[[#This Row],[CA ligne]] - tbl_Ventes[[#This Row],[Coût matière ligne]]</f>
        <v>0</v>
      </c>
      <c r="K4753" s="7" t="str">
        <f>IFERROR(INDEX(tbl_ProduitsRef[Famille], MATCH(tbl_Ventes[[#This Row],[Cde_Prdt]], tbl_Produits[Cde_Prdt], 0)), "")</f>
        <v/>
      </c>
    </row>
    <row r="4754" spans="1:11" x14ac:dyDescent="0.25">
      <c r="A4754" s="5"/>
      <c r="B4754" s="63" t="str">
        <f>IFERROR(TEXT(tbl_Ventes[[#This Row],[Date]],"mm-aaaa"),"")</f>
        <v>01-1900</v>
      </c>
      <c r="D4754" s="10" t="str">
        <f>IFERROR(
   INDEX(tbl_ProduitsRef[Cde_Prdt],MATCH(tbl_Ventes[[#This Row],[Produit]],tbl_ProduitsRef[Produit],0)),
   ""
)</f>
        <v/>
      </c>
      <c r="E4754" s="7">
        <v>0</v>
      </c>
      <c r="F4754" s="7" t="str">
        <f>IFERROR(
   INDEX(tbl_ProduitsRef[Prix Menu],MATCH(tbl_Ventes[[#This Row],[Produit]],tbl_ProduitsRef[Produit],0)),
   ""
)</f>
        <v/>
      </c>
      <c r="G4754" s="7">
        <f>tbl_Ventes[[#This Row],[Qté Vendue]] * IFERROR(_xlfn.XLOOKUP(tbl_Ventes[[#This Row],[Cde_Prdt]], tbl_Produits[Cde_Prdt], tbl_Produits[Prix Menu]), 0)</f>
        <v>0</v>
      </c>
      <c r="H4754" s="7">
        <f>IFERROR(_xlfn.XLOOKUP(tbl_Ventes[[#This Row],[Cde_Prdt]], tbl_Produits[Cde_Prdt], tbl_Produits[Coût Moyen Portion]), 0)</f>
        <v>0</v>
      </c>
      <c r="I4754" s="7">
        <f>tbl_Ventes[[#This Row],[Qté Vendue]] * tbl_Ventes[[#This Row],[CMP_par_portion]]</f>
        <v>0</v>
      </c>
      <c r="J4754" s="7">
        <f>tbl_Ventes[[#This Row],[CA ligne]] - tbl_Ventes[[#This Row],[Coût matière ligne]]</f>
        <v>0</v>
      </c>
      <c r="K4754" s="7" t="str">
        <f>IFERROR(INDEX(tbl_ProduitsRef[Famille], MATCH(tbl_Ventes[[#This Row],[Cde_Prdt]], tbl_Produits[Cde_Prdt], 0)), "")</f>
        <v/>
      </c>
    </row>
    <row r="4755" spans="1:11" x14ac:dyDescent="0.25">
      <c r="A4755" s="5"/>
      <c r="B4755" s="63" t="str">
        <f>IFERROR(TEXT(tbl_Ventes[[#This Row],[Date]],"mm-aaaa"),"")</f>
        <v>01-1900</v>
      </c>
      <c r="D4755" s="10" t="str">
        <f>IFERROR(
   INDEX(tbl_ProduitsRef[Cde_Prdt],MATCH(tbl_Ventes[[#This Row],[Produit]],tbl_ProduitsRef[Produit],0)),
   ""
)</f>
        <v/>
      </c>
      <c r="E4755" s="7">
        <v>0</v>
      </c>
      <c r="F4755" s="7" t="str">
        <f>IFERROR(
   INDEX(tbl_ProduitsRef[Prix Menu],MATCH(tbl_Ventes[[#This Row],[Produit]],tbl_ProduitsRef[Produit],0)),
   ""
)</f>
        <v/>
      </c>
      <c r="G4755" s="7">
        <f>tbl_Ventes[[#This Row],[Qté Vendue]] * IFERROR(_xlfn.XLOOKUP(tbl_Ventes[[#This Row],[Cde_Prdt]], tbl_Produits[Cde_Prdt], tbl_Produits[Prix Menu]), 0)</f>
        <v>0</v>
      </c>
      <c r="H4755" s="7">
        <f>IFERROR(_xlfn.XLOOKUP(tbl_Ventes[[#This Row],[Cde_Prdt]], tbl_Produits[Cde_Prdt], tbl_Produits[Coût Moyen Portion]), 0)</f>
        <v>0</v>
      </c>
      <c r="I4755" s="7">
        <f>tbl_Ventes[[#This Row],[Qté Vendue]] * tbl_Ventes[[#This Row],[CMP_par_portion]]</f>
        <v>0</v>
      </c>
      <c r="J4755" s="7">
        <f>tbl_Ventes[[#This Row],[CA ligne]] - tbl_Ventes[[#This Row],[Coût matière ligne]]</f>
        <v>0</v>
      </c>
      <c r="K4755" s="7" t="str">
        <f>IFERROR(INDEX(tbl_ProduitsRef[Famille], MATCH(tbl_Ventes[[#This Row],[Cde_Prdt]], tbl_Produits[Cde_Prdt], 0)), "")</f>
        <v/>
      </c>
    </row>
    <row r="4756" spans="1:11" x14ac:dyDescent="0.25">
      <c r="A4756" s="5"/>
      <c r="B4756" s="63" t="str">
        <f>IFERROR(TEXT(tbl_Ventes[[#This Row],[Date]],"mm-aaaa"),"")</f>
        <v>01-1900</v>
      </c>
      <c r="D4756" s="10" t="str">
        <f>IFERROR(
   INDEX(tbl_ProduitsRef[Cde_Prdt],MATCH(tbl_Ventes[[#This Row],[Produit]],tbl_ProduitsRef[Produit],0)),
   ""
)</f>
        <v/>
      </c>
      <c r="E4756" s="7">
        <v>0</v>
      </c>
      <c r="F4756" s="7" t="str">
        <f>IFERROR(
   INDEX(tbl_ProduitsRef[Prix Menu],MATCH(tbl_Ventes[[#This Row],[Produit]],tbl_ProduitsRef[Produit],0)),
   ""
)</f>
        <v/>
      </c>
      <c r="G4756" s="7">
        <f>tbl_Ventes[[#This Row],[Qté Vendue]] * IFERROR(_xlfn.XLOOKUP(tbl_Ventes[[#This Row],[Cde_Prdt]], tbl_Produits[Cde_Prdt], tbl_Produits[Prix Menu]), 0)</f>
        <v>0</v>
      </c>
      <c r="H4756" s="7">
        <f>IFERROR(_xlfn.XLOOKUP(tbl_Ventes[[#This Row],[Cde_Prdt]], tbl_Produits[Cde_Prdt], tbl_Produits[Coût Moyen Portion]), 0)</f>
        <v>0</v>
      </c>
      <c r="I4756" s="7">
        <f>tbl_Ventes[[#This Row],[Qté Vendue]] * tbl_Ventes[[#This Row],[CMP_par_portion]]</f>
        <v>0</v>
      </c>
      <c r="J4756" s="7">
        <f>tbl_Ventes[[#This Row],[CA ligne]] - tbl_Ventes[[#This Row],[Coût matière ligne]]</f>
        <v>0</v>
      </c>
      <c r="K4756" s="7" t="str">
        <f>IFERROR(INDEX(tbl_ProduitsRef[Famille], MATCH(tbl_Ventes[[#This Row],[Cde_Prdt]], tbl_Produits[Cde_Prdt], 0)), "")</f>
        <v/>
      </c>
    </row>
    <row r="4757" spans="1:11" x14ac:dyDescent="0.25">
      <c r="A4757" s="5"/>
      <c r="B4757" s="63" t="str">
        <f>IFERROR(TEXT(tbl_Ventes[[#This Row],[Date]],"mm-aaaa"),"")</f>
        <v>01-1900</v>
      </c>
      <c r="D4757" s="10" t="str">
        <f>IFERROR(
   INDEX(tbl_ProduitsRef[Cde_Prdt],MATCH(tbl_Ventes[[#This Row],[Produit]],tbl_ProduitsRef[Produit],0)),
   ""
)</f>
        <v/>
      </c>
      <c r="E4757" s="7">
        <v>0</v>
      </c>
      <c r="F4757" s="7" t="str">
        <f>IFERROR(
   INDEX(tbl_ProduitsRef[Prix Menu],MATCH(tbl_Ventes[[#This Row],[Produit]],tbl_ProduitsRef[Produit],0)),
   ""
)</f>
        <v/>
      </c>
      <c r="G4757" s="7">
        <f>tbl_Ventes[[#This Row],[Qté Vendue]] * IFERROR(_xlfn.XLOOKUP(tbl_Ventes[[#This Row],[Cde_Prdt]], tbl_Produits[Cde_Prdt], tbl_Produits[Prix Menu]), 0)</f>
        <v>0</v>
      </c>
      <c r="H4757" s="7">
        <f>IFERROR(_xlfn.XLOOKUP(tbl_Ventes[[#This Row],[Cde_Prdt]], tbl_Produits[Cde_Prdt], tbl_Produits[Coût Moyen Portion]), 0)</f>
        <v>0</v>
      </c>
      <c r="I4757" s="7">
        <f>tbl_Ventes[[#This Row],[Qté Vendue]] * tbl_Ventes[[#This Row],[CMP_par_portion]]</f>
        <v>0</v>
      </c>
      <c r="J4757" s="7">
        <f>tbl_Ventes[[#This Row],[CA ligne]] - tbl_Ventes[[#This Row],[Coût matière ligne]]</f>
        <v>0</v>
      </c>
      <c r="K4757" s="7" t="str">
        <f>IFERROR(INDEX(tbl_ProduitsRef[Famille], MATCH(tbl_Ventes[[#This Row],[Cde_Prdt]], tbl_Produits[Cde_Prdt], 0)), "")</f>
        <v/>
      </c>
    </row>
    <row r="4758" spans="1:11" x14ac:dyDescent="0.25">
      <c r="A4758" s="5"/>
      <c r="B4758" s="63" t="str">
        <f>IFERROR(TEXT(tbl_Ventes[[#This Row],[Date]],"mm-aaaa"),"")</f>
        <v>01-1900</v>
      </c>
      <c r="D4758" s="10" t="str">
        <f>IFERROR(
   INDEX(tbl_ProduitsRef[Cde_Prdt],MATCH(tbl_Ventes[[#This Row],[Produit]],tbl_ProduitsRef[Produit],0)),
   ""
)</f>
        <v/>
      </c>
      <c r="E4758" s="7">
        <v>0</v>
      </c>
      <c r="F4758" s="7" t="str">
        <f>IFERROR(
   INDEX(tbl_ProduitsRef[Prix Menu],MATCH(tbl_Ventes[[#This Row],[Produit]],tbl_ProduitsRef[Produit],0)),
   ""
)</f>
        <v/>
      </c>
      <c r="G4758" s="7">
        <f>tbl_Ventes[[#This Row],[Qté Vendue]] * IFERROR(_xlfn.XLOOKUP(tbl_Ventes[[#This Row],[Cde_Prdt]], tbl_Produits[Cde_Prdt], tbl_Produits[Prix Menu]), 0)</f>
        <v>0</v>
      </c>
      <c r="H4758" s="7">
        <f>IFERROR(_xlfn.XLOOKUP(tbl_Ventes[[#This Row],[Cde_Prdt]], tbl_Produits[Cde_Prdt], tbl_Produits[Coût Moyen Portion]), 0)</f>
        <v>0</v>
      </c>
      <c r="I4758" s="7">
        <f>tbl_Ventes[[#This Row],[Qté Vendue]] * tbl_Ventes[[#This Row],[CMP_par_portion]]</f>
        <v>0</v>
      </c>
      <c r="J4758" s="7">
        <f>tbl_Ventes[[#This Row],[CA ligne]] - tbl_Ventes[[#This Row],[Coût matière ligne]]</f>
        <v>0</v>
      </c>
      <c r="K4758" s="7" t="str">
        <f>IFERROR(INDEX(tbl_ProduitsRef[Famille], MATCH(tbl_Ventes[[#This Row],[Cde_Prdt]], tbl_Produits[Cde_Prdt], 0)), "")</f>
        <v/>
      </c>
    </row>
    <row r="4759" spans="1:11" x14ac:dyDescent="0.25">
      <c r="A4759" s="5"/>
      <c r="B4759" s="63" t="str">
        <f>IFERROR(TEXT(tbl_Ventes[[#This Row],[Date]],"mm-aaaa"),"")</f>
        <v>01-1900</v>
      </c>
      <c r="D4759" s="10" t="str">
        <f>IFERROR(
   INDEX(tbl_ProduitsRef[Cde_Prdt],MATCH(tbl_Ventes[[#This Row],[Produit]],tbl_ProduitsRef[Produit],0)),
   ""
)</f>
        <v/>
      </c>
      <c r="E4759" s="7">
        <v>0</v>
      </c>
      <c r="F4759" s="7" t="str">
        <f>IFERROR(
   INDEX(tbl_ProduitsRef[Prix Menu],MATCH(tbl_Ventes[[#This Row],[Produit]],tbl_ProduitsRef[Produit],0)),
   ""
)</f>
        <v/>
      </c>
      <c r="G4759" s="7">
        <f>tbl_Ventes[[#This Row],[Qté Vendue]] * IFERROR(_xlfn.XLOOKUP(tbl_Ventes[[#This Row],[Cde_Prdt]], tbl_Produits[Cde_Prdt], tbl_Produits[Prix Menu]), 0)</f>
        <v>0</v>
      </c>
      <c r="H4759" s="7">
        <f>IFERROR(_xlfn.XLOOKUP(tbl_Ventes[[#This Row],[Cde_Prdt]], tbl_Produits[Cde_Prdt], tbl_Produits[Coût Moyen Portion]), 0)</f>
        <v>0</v>
      </c>
      <c r="I4759" s="7">
        <f>tbl_Ventes[[#This Row],[Qté Vendue]] * tbl_Ventes[[#This Row],[CMP_par_portion]]</f>
        <v>0</v>
      </c>
      <c r="J4759" s="7">
        <f>tbl_Ventes[[#This Row],[CA ligne]] - tbl_Ventes[[#This Row],[Coût matière ligne]]</f>
        <v>0</v>
      </c>
      <c r="K4759" s="7" t="str">
        <f>IFERROR(INDEX(tbl_ProduitsRef[Famille], MATCH(tbl_Ventes[[#This Row],[Cde_Prdt]], tbl_Produits[Cde_Prdt], 0)), "")</f>
        <v/>
      </c>
    </row>
    <row r="4760" spans="1:11" x14ac:dyDescent="0.25">
      <c r="A4760" s="5"/>
      <c r="B4760" s="63" t="str">
        <f>IFERROR(TEXT(tbl_Ventes[[#This Row],[Date]],"mm-aaaa"),"")</f>
        <v>01-1900</v>
      </c>
      <c r="D4760" s="10" t="str">
        <f>IFERROR(
   INDEX(tbl_ProduitsRef[Cde_Prdt],MATCH(tbl_Ventes[[#This Row],[Produit]],tbl_ProduitsRef[Produit],0)),
   ""
)</f>
        <v/>
      </c>
      <c r="E4760" s="7">
        <v>0</v>
      </c>
      <c r="F4760" s="7" t="str">
        <f>IFERROR(
   INDEX(tbl_ProduitsRef[Prix Menu],MATCH(tbl_Ventes[[#This Row],[Produit]],tbl_ProduitsRef[Produit],0)),
   ""
)</f>
        <v/>
      </c>
      <c r="G4760" s="7">
        <f>tbl_Ventes[[#This Row],[Qté Vendue]] * IFERROR(_xlfn.XLOOKUP(tbl_Ventes[[#This Row],[Cde_Prdt]], tbl_Produits[Cde_Prdt], tbl_Produits[Prix Menu]), 0)</f>
        <v>0</v>
      </c>
      <c r="H4760" s="7">
        <f>IFERROR(_xlfn.XLOOKUP(tbl_Ventes[[#This Row],[Cde_Prdt]], tbl_Produits[Cde_Prdt], tbl_Produits[Coût Moyen Portion]), 0)</f>
        <v>0</v>
      </c>
      <c r="I4760" s="7">
        <f>tbl_Ventes[[#This Row],[Qté Vendue]] * tbl_Ventes[[#This Row],[CMP_par_portion]]</f>
        <v>0</v>
      </c>
      <c r="J4760" s="7">
        <f>tbl_Ventes[[#This Row],[CA ligne]] - tbl_Ventes[[#This Row],[Coût matière ligne]]</f>
        <v>0</v>
      </c>
      <c r="K4760" s="7" t="str">
        <f>IFERROR(INDEX(tbl_ProduitsRef[Famille], MATCH(tbl_Ventes[[#This Row],[Cde_Prdt]], tbl_Produits[Cde_Prdt], 0)), "")</f>
        <v/>
      </c>
    </row>
    <row r="4761" spans="1:11" x14ac:dyDescent="0.25">
      <c r="A4761" s="5"/>
      <c r="B4761" s="63" t="str">
        <f>IFERROR(TEXT(tbl_Ventes[[#This Row],[Date]],"mm-aaaa"),"")</f>
        <v>01-1900</v>
      </c>
      <c r="D4761" s="10" t="str">
        <f>IFERROR(
   INDEX(tbl_ProduitsRef[Cde_Prdt],MATCH(tbl_Ventes[[#This Row],[Produit]],tbl_ProduitsRef[Produit],0)),
   ""
)</f>
        <v/>
      </c>
      <c r="E4761" s="7">
        <v>0</v>
      </c>
      <c r="F4761" s="7" t="str">
        <f>IFERROR(
   INDEX(tbl_ProduitsRef[Prix Menu],MATCH(tbl_Ventes[[#This Row],[Produit]],tbl_ProduitsRef[Produit],0)),
   ""
)</f>
        <v/>
      </c>
      <c r="G4761" s="7">
        <f>tbl_Ventes[[#This Row],[Qté Vendue]] * IFERROR(_xlfn.XLOOKUP(tbl_Ventes[[#This Row],[Cde_Prdt]], tbl_Produits[Cde_Prdt], tbl_Produits[Prix Menu]), 0)</f>
        <v>0</v>
      </c>
      <c r="H4761" s="7">
        <f>IFERROR(_xlfn.XLOOKUP(tbl_Ventes[[#This Row],[Cde_Prdt]], tbl_Produits[Cde_Prdt], tbl_Produits[Coût Moyen Portion]), 0)</f>
        <v>0</v>
      </c>
      <c r="I4761" s="7">
        <f>tbl_Ventes[[#This Row],[Qté Vendue]] * tbl_Ventes[[#This Row],[CMP_par_portion]]</f>
        <v>0</v>
      </c>
      <c r="J4761" s="7">
        <f>tbl_Ventes[[#This Row],[CA ligne]] - tbl_Ventes[[#This Row],[Coût matière ligne]]</f>
        <v>0</v>
      </c>
      <c r="K4761" s="7" t="str">
        <f>IFERROR(INDEX(tbl_ProduitsRef[Famille], MATCH(tbl_Ventes[[#This Row],[Cde_Prdt]], tbl_Produits[Cde_Prdt], 0)), "")</f>
        <v/>
      </c>
    </row>
    <row r="4762" spans="1:11" x14ac:dyDescent="0.25">
      <c r="A4762" s="5"/>
      <c r="B4762" s="63" t="str">
        <f>IFERROR(TEXT(tbl_Ventes[[#This Row],[Date]],"mm-aaaa"),"")</f>
        <v>01-1900</v>
      </c>
      <c r="D4762" s="10" t="str">
        <f>IFERROR(
   INDEX(tbl_ProduitsRef[Cde_Prdt],MATCH(tbl_Ventes[[#This Row],[Produit]],tbl_ProduitsRef[Produit],0)),
   ""
)</f>
        <v/>
      </c>
      <c r="E4762" s="7">
        <v>0</v>
      </c>
      <c r="F4762" s="7" t="str">
        <f>IFERROR(
   INDEX(tbl_ProduitsRef[Prix Menu],MATCH(tbl_Ventes[[#This Row],[Produit]],tbl_ProduitsRef[Produit],0)),
   ""
)</f>
        <v/>
      </c>
      <c r="G4762" s="7">
        <f>tbl_Ventes[[#This Row],[Qté Vendue]] * IFERROR(_xlfn.XLOOKUP(tbl_Ventes[[#This Row],[Cde_Prdt]], tbl_Produits[Cde_Prdt], tbl_Produits[Prix Menu]), 0)</f>
        <v>0</v>
      </c>
      <c r="H4762" s="7">
        <f>IFERROR(_xlfn.XLOOKUP(tbl_Ventes[[#This Row],[Cde_Prdt]], tbl_Produits[Cde_Prdt], tbl_Produits[Coût Moyen Portion]), 0)</f>
        <v>0</v>
      </c>
      <c r="I4762" s="7">
        <f>tbl_Ventes[[#This Row],[Qté Vendue]] * tbl_Ventes[[#This Row],[CMP_par_portion]]</f>
        <v>0</v>
      </c>
      <c r="J4762" s="7">
        <f>tbl_Ventes[[#This Row],[CA ligne]] - tbl_Ventes[[#This Row],[Coût matière ligne]]</f>
        <v>0</v>
      </c>
      <c r="K4762" s="7" t="str">
        <f>IFERROR(INDEX(tbl_ProduitsRef[Famille], MATCH(tbl_Ventes[[#This Row],[Cde_Prdt]], tbl_Produits[Cde_Prdt], 0)), "")</f>
        <v/>
      </c>
    </row>
    <row r="4763" spans="1:11" x14ac:dyDescent="0.25">
      <c r="A4763" s="5"/>
      <c r="B4763" s="63" t="str">
        <f>IFERROR(TEXT(tbl_Ventes[[#This Row],[Date]],"mm-aaaa"),"")</f>
        <v>01-1900</v>
      </c>
      <c r="D4763" s="10" t="str">
        <f>IFERROR(
   INDEX(tbl_ProduitsRef[Cde_Prdt],MATCH(tbl_Ventes[[#This Row],[Produit]],tbl_ProduitsRef[Produit],0)),
   ""
)</f>
        <v/>
      </c>
      <c r="E4763" s="7">
        <v>0</v>
      </c>
      <c r="F4763" s="7" t="str">
        <f>IFERROR(
   INDEX(tbl_ProduitsRef[Prix Menu],MATCH(tbl_Ventes[[#This Row],[Produit]],tbl_ProduitsRef[Produit],0)),
   ""
)</f>
        <v/>
      </c>
      <c r="G4763" s="7">
        <f>tbl_Ventes[[#This Row],[Qté Vendue]] * IFERROR(_xlfn.XLOOKUP(tbl_Ventes[[#This Row],[Cde_Prdt]], tbl_Produits[Cde_Prdt], tbl_Produits[Prix Menu]), 0)</f>
        <v>0</v>
      </c>
      <c r="H4763" s="7">
        <f>IFERROR(_xlfn.XLOOKUP(tbl_Ventes[[#This Row],[Cde_Prdt]], tbl_Produits[Cde_Prdt], tbl_Produits[Coût Moyen Portion]), 0)</f>
        <v>0</v>
      </c>
      <c r="I4763" s="7">
        <f>tbl_Ventes[[#This Row],[Qté Vendue]] * tbl_Ventes[[#This Row],[CMP_par_portion]]</f>
        <v>0</v>
      </c>
      <c r="J4763" s="7">
        <f>tbl_Ventes[[#This Row],[CA ligne]] - tbl_Ventes[[#This Row],[Coût matière ligne]]</f>
        <v>0</v>
      </c>
      <c r="K4763" s="7" t="str">
        <f>IFERROR(INDEX(tbl_ProduitsRef[Famille], MATCH(tbl_Ventes[[#This Row],[Cde_Prdt]], tbl_Produits[Cde_Prdt], 0)), "")</f>
        <v/>
      </c>
    </row>
    <row r="4764" spans="1:11" x14ac:dyDescent="0.25">
      <c r="A4764" s="5"/>
      <c r="B4764" s="63" t="str">
        <f>IFERROR(TEXT(tbl_Ventes[[#This Row],[Date]],"mm-aaaa"),"")</f>
        <v>01-1900</v>
      </c>
      <c r="D4764" s="10" t="str">
        <f>IFERROR(
   INDEX(tbl_ProduitsRef[Cde_Prdt],MATCH(tbl_Ventes[[#This Row],[Produit]],tbl_ProduitsRef[Produit],0)),
   ""
)</f>
        <v/>
      </c>
      <c r="E4764" s="7">
        <v>0</v>
      </c>
      <c r="F4764" s="7" t="str">
        <f>IFERROR(
   INDEX(tbl_ProduitsRef[Prix Menu],MATCH(tbl_Ventes[[#This Row],[Produit]],tbl_ProduitsRef[Produit],0)),
   ""
)</f>
        <v/>
      </c>
      <c r="G4764" s="7">
        <f>tbl_Ventes[[#This Row],[Qté Vendue]] * IFERROR(_xlfn.XLOOKUP(tbl_Ventes[[#This Row],[Cde_Prdt]], tbl_Produits[Cde_Prdt], tbl_Produits[Prix Menu]), 0)</f>
        <v>0</v>
      </c>
      <c r="H4764" s="7">
        <f>IFERROR(_xlfn.XLOOKUP(tbl_Ventes[[#This Row],[Cde_Prdt]], tbl_Produits[Cde_Prdt], tbl_Produits[Coût Moyen Portion]), 0)</f>
        <v>0</v>
      </c>
      <c r="I4764" s="7">
        <f>tbl_Ventes[[#This Row],[Qté Vendue]] * tbl_Ventes[[#This Row],[CMP_par_portion]]</f>
        <v>0</v>
      </c>
      <c r="J4764" s="7">
        <f>tbl_Ventes[[#This Row],[CA ligne]] - tbl_Ventes[[#This Row],[Coût matière ligne]]</f>
        <v>0</v>
      </c>
      <c r="K4764" s="7" t="str">
        <f>IFERROR(INDEX(tbl_ProduitsRef[Famille], MATCH(tbl_Ventes[[#This Row],[Cde_Prdt]], tbl_Produits[Cde_Prdt], 0)), "")</f>
        <v/>
      </c>
    </row>
    <row r="4765" spans="1:11" x14ac:dyDescent="0.25">
      <c r="A4765" s="5"/>
      <c r="B4765" s="63" t="str">
        <f>IFERROR(TEXT(tbl_Ventes[[#This Row],[Date]],"mm-aaaa"),"")</f>
        <v>01-1900</v>
      </c>
      <c r="D4765" s="10" t="str">
        <f>IFERROR(
   INDEX(tbl_ProduitsRef[Cde_Prdt],MATCH(tbl_Ventes[[#This Row],[Produit]],tbl_ProduitsRef[Produit],0)),
   ""
)</f>
        <v/>
      </c>
      <c r="E4765" s="7">
        <v>0</v>
      </c>
      <c r="F4765" s="7" t="str">
        <f>IFERROR(
   INDEX(tbl_ProduitsRef[Prix Menu],MATCH(tbl_Ventes[[#This Row],[Produit]],tbl_ProduitsRef[Produit],0)),
   ""
)</f>
        <v/>
      </c>
      <c r="G4765" s="7">
        <f>tbl_Ventes[[#This Row],[Qté Vendue]] * IFERROR(_xlfn.XLOOKUP(tbl_Ventes[[#This Row],[Cde_Prdt]], tbl_Produits[Cde_Prdt], tbl_Produits[Prix Menu]), 0)</f>
        <v>0</v>
      </c>
      <c r="H4765" s="7">
        <f>IFERROR(_xlfn.XLOOKUP(tbl_Ventes[[#This Row],[Cde_Prdt]], tbl_Produits[Cde_Prdt], tbl_Produits[Coût Moyen Portion]), 0)</f>
        <v>0</v>
      </c>
      <c r="I4765" s="7">
        <f>tbl_Ventes[[#This Row],[Qté Vendue]] * tbl_Ventes[[#This Row],[CMP_par_portion]]</f>
        <v>0</v>
      </c>
      <c r="J4765" s="7">
        <f>tbl_Ventes[[#This Row],[CA ligne]] - tbl_Ventes[[#This Row],[Coût matière ligne]]</f>
        <v>0</v>
      </c>
      <c r="K4765" s="7" t="str">
        <f>IFERROR(INDEX(tbl_ProduitsRef[Famille], MATCH(tbl_Ventes[[#This Row],[Cde_Prdt]], tbl_Produits[Cde_Prdt], 0)), "")</f>
        <v/>
      </c>
    </row>
    <row r="4766" spans="1:11" x14ac:dyDescent="0.25">
      <c r="A4766" s="5"/>
      <c r="B4766" s="63" t="str">
        <f>IFERROR(TEXT(tbl_Ventes[[#This Row],[Date]],"mm-aaaa"),"")</f>
        <v>01-1900</v>
      </c>
      <c r="D4766" s="10" t="str">
        <f>IFERROR(
   INDEX(tbl_ProduitsRef[Cde_Prdt],MATCH(tbl_Ventes[[#This Row],[Produit]],tbl_ProduitsRef[Produit],0)),
   ""
)</f>
        <v/>
      </c>
      <c r="E4766" s="7">
        <v>0</v>
      </c>
      <c r="F4766" s="7" t="str">
        <f>IFERROR(
   INDEX(tbl_ProduitsRef[Prix Menu],MATCH(tbl_Ventes[[#This Row],[Produit]],tbl_ProduitsRef[Produit],0)),
   ""
)</f>
        <v/>
      </c>
      <c r="G4766" s="7">
        <f>tbl_Ventes[[#This Row],[Qté Vendue]] * IFERROR(_xlfn.XLOOKUP(tbl_Ventes[[#This Row],[Cde_Prdt]], tbl_Produits[Cde_Prdt], tbl_Produits[Prix Menu]), 0)</f>
        <v>0</v>
      </c>
      <c r="H4766" s="7">
        <f>IFERROR(_xlfn.XLOOKUP(tbl_Ventes[[#This Row],[Cde_Prdt]], tbl_Produits[Cde_Prdt], tbl_Produits[Coût Moyen Portion]), 0)</f>
        <v>0</v>
      </c>
      <c r="I4766" s="7">
        <f>tbl_Ventes[[#This Row],[Qté Vendue]] * tbl_Ventes[[#This Row],[CMP_par_portion]]</f>
        <v>0</v>
      </c>
      <c r="J4766" s="7">
        <f>tbl_Ventes[[#This Row],[CA ligne]] - tbl_Ventes[[#This Row],[Coût matière ligne]]</f>
        <v>0</v>
      </c>
      <c r="K4766" s="7" t="str">
        <f>IFERROR(INDEX(tbl_ProduitsRef[Famille], MATCH(tbl_Ventes[[#This Row],[Cde_Prdt]], tbl_Produits[Cde_Prdt], 0)), "")</f>
        <v/>
      </c>
    </row>
    <row r="4767" spans="1:11" x14ac:dyDescent="0.25">
      <c r="A4767" s="5"/>
      <c r="B4767" s="63" t="str">
        <f>IFERROR(TEXT(tbl_Ventes[[#This Row],[Date]],"mm-aaaa"),"")</f>
        <v>01-1900</v>
      </c>
      <c r="D4767" s="10" t="str">
        <f>IFERROR(
   INDEX(tbl_ProduitsRef[Cde_Prdt],MATCH(tbl_Ventes[[#This Row],[Produit]],tbl_ProduitsRef[Produit],0)),
   ""
)</f>
        <v/>
      </c>
      <c r="E4767" s="7">
        <v>0</v>
      </c>
      <c r="F4767" s="7" t="str">
        <f>IFERROR(
   INDEX(tbl_ProduitsRef[Prix Menu],MATCH(tbl_Ventes[[#This Row],[Produit]],tbl_ProduitsRef[Produit],0)),
   ""
)</f>
        <v/>
      </c>
      <c r="G4767" s="7">
        <f>tbl_Ventes[[#This Row],[Qté Vendue]] * IFERROR(_xlfn.XLOOKUP(tbl_Ventes[[#This Row],[Cde_Prdt]], tbl_Produits[Cde_Prdt], tbl_Produits[Prix Menu]), 0)</f>
        <v>0</v>
      </c>
      <c r="H4767" s="7">
        <f>IFERROR(_xlfn.XLOOKUP(tbl_Ventes[[#This Row],[Cde_Prdt]], tbl_Produits[Cde_Prdt], tbl_Produits[Coût Moyen Portion]), 0)</f>
        <v>0</v>
      </c>
      <c r="I4767" s="7">
        <f>tbl_Ventes[[#This Row],[Qté Vendue]] * tbl_Ventes[[#This Row],[CMP_par_portion]]</f>
        <v>0</v>
      </c>
      <c r="J4767" s="7">
        <f>tbl_Ventes[[#This Row],[CA ligne]] - tbl_Ventes[[#This Row],[Coût matière ligne]]</f>
        <v>0</v>
      </c>
      <c r="K4767" s="7" t="str">
        <f>IFERROR(INDEX(tbl_ProduitsRef[Famille], MATCH(tbl_Ventes[[#This Row],[Cde_Prdt]], tbl_Produits[Cde_Prdt], 0)), "")</f>
        <v/>
      </c>
    </row>
    <row r="4768" spans="1:11" x14ac:dyDescent="0.25">
      <c r="A4768" s="5"/>
      <c r="B4768" s="63" t="str">
        <f>IFERROR(TEXT(tbl_Ventes[[#This Row],[Date]],"mm-aaaa"),"")</f>
        <v>01-1900</v>
      </c>
      <c r="D4768" s="10" t="str">
        <f>IFERROR(
   INDEX(tbl_ProduitsRef[Cde_Prdt],MATCH(tbl_Ventes[[#This Row],[Produit]],tbl_ProduitsRef[Produit],0)),
   ""
)</f>
        <v/>
      </c>
      <c r="E4768" s="7">
        <v>0</v>
      </c>
      <c r="F4768" s="7" t="str">
        <f>IFERROR(
   INDEX(tbl_ProduitsRef[Prix Menu],MATCH(tbl_Ventes[[#This Row],[Produit]],tbl_ProduitsRef[Produit],0)),
   ""
)</f>
        <v/>
      </c>
      <c r="G4768" s="7">
        <f>tbl_Ventes[[#This Row],[Qté Vendue]] * IFERROR(_xlfn.XLOOKUP(tbl_Ventes[[#This Row],[Cde_Prdt]], tbl_Produits[Cde_Prdt], tbl_Produits[Prix Menu]), 0)</f>
        <v>0</v>
      </c>
      <c r="H4768" s="7">
        <f>IFERROR(_xlfn.XLOOKUP(tbl_Ventes[[#This Row],[Cde_Prdt]], tbl_Produits[Cde_Prdt], tbl_Produits[Coût Moyen Portion]), 0)</f>
        <v>0</v>
      </c>
      <c r="I4768" s="7">
        <f>tbl_Ventes[[#This Row],[Qté Vendue]] * tbl_Ventes[[#This Row],[CMP_par_portion]]</f>
        <v>0</v>
      </c>
      <c r="J4768" s="7">
        <f>tbl_Ventes[[#This Row],[CA ligne]] - tbl_Ventes[[#This Row],[Coût matière ligne]]</f>
        <v>0</v>
      </c>
      <c r="K4768" s="7" t="str">
        <f>IFERROR(INDEX(tbl_ProduitsRef[Famille], MATCH(tbl_Ventes[[#This Row],[Cde_Prdt]], tbl_Produits[Cde_Prdt], 0)), "")</f>
        <v/>
      </c>
    </row>
    <row r="4769" spans="1:11" x14ac:dyDescent="0.25">
      <c r="A4769" s="5"/>
      <c r="B4769" s="63" t="str">
        <f>IFERROR(TEXT(tbl_Ventes[[#This Row],[Date]],"mm-aaaa"),"")</f>
        <v>01-1900</v>
      </c>
      <c r="D4769" s="10" t="str">
        <f>IFERROR(
   INDEX(tbl_ProduitsRef[Cde_Prdt],MATCH(tbl_Ventes[[#This Row],[Produit]],tbl_ProduitsRef[Produit],0)),
   ""
)</f>
        <v/>
      </c>
      <c r="E4769" s="7">
        <v>0</v>
      </c>
      <c r="F4769" s="7" t="str">
        <f>IFERROR(
   INDEX(tbl_ProduitsRef[Prix Menu],MATCH(tbl_Ventes[[#This Row],[Produit]],tbl_ProduitsRef[Produit],0)),
   ""
)</f>
        <v/>
      </c>
      <c r="G4769" s="7">
        <f>tbl_Ventes[[#This Row],[Qté Vendue]] * IFERROR(_xlfn.XLOOKUP(tbl_Ventes[[#This Row],[Cde_Prdt]], tbl_Produits[Cde_Prdt], tbl_Produits[Prix Menu]), 0)</f>
        <v>0</v>
      </c>
      <c r="H4769" s="7">
        <f>IFERROR(_xlfn.XLOOKUP(tbl_Ventes[[#This Row],[Cde_Prdt]], tbl_Produits[Cde_Prdt], tbl_Produits[Coût Moyen Portion]), 0)</f>
        <v>0</v>
      </c>
      <c r="I4769" s="7">
        <f>tbl_Ventes[[#This Row],[Qté Vendue]] * tbl_Ventes[[#This Row],[CMP_par_portion]]</f>
        <v>0</v>
      </c>
      <c r="J4769" s="7">
        <f>tbl_Ventes[[#This Row],[CA ligne]] - tbl_Ventes[[#This Row],[Coût matière ligne]]</f>
        <v>0</v>
      </c>
      <c r="K4769" s="7" t="str">
        <f>IFERROR(INDEX(tbl_ProduitsRef[Famille], MATCH(tbl_Ventes[[#This Row],[Cde_Prdt]], tbl_Produits[Cde_Prdt], 0)), "")</f>
        <v/>
      </c>
    </row>
    <row r="4770" spans="1:11" x14ac:dyDescent="0.25">
      <c r="A4770" s="5"/>
      <c r="B4770" s="63" t="str">
        <f>IFERROR(TEXT(tbl_Ventes[[#This Row],[Date]],"mm-aaaa"),"")</f>
        <v>01-1900</v>
      </c>
      <c r="D4770" s="10" t="str">
        <f>IFERROR(
   INDEX(tbl_ProduitsRef[Cde_Prdt],MATCH(tbl_Ventes[[#This Row],[Produit]],tbl_ProduitsRef[Produit],0)),
   ""
)</f>
        <v/>
      </c>
      <c r="E4770" s="7">
        <v>0</v>
      </c>
      <c r="F4770" s="7" t="str">
        <f>IFERROR(
   INDEX(tbl_ProduitsRef[Prix Menu],MATCH(tbl_Ventes[[#This Row],[Produit]],tbl_ProduitsRef[Produit],0)),
   ""
)</f>
        <v/>
      </c>
      <c r="G4770" s="7">
        <f>tbl_Ventes[[#This Row],[Qté Vendue]] * IFERROR(_xlfn.XLOOKUP(tbl_Ventes[[#This Row],[Cde_Prdt]], tbl_Produits[Cde_Prdt], tbl_Produits[Prix Menu]), 0)</f>
        <v>0</v>
      </c>
      <c r="H4770" s="7">
        <f>IFERROR(_xlfn.XLOOKUP(tbl_Ventes[[#This Row],[Cde_Prdt]], tbl_Produits[Cde_Prdt], tbl_Produits[Coût Moyen Portion]), 0)</f>
        <v>0</v>
      </c>
      <c r="I4770" s="7">
        <f>tbl_Ventes[[#This Row],[Qté Vendue]] * tbl_Ventes[[#This Row],[CMP_par_portion]]</f>
        <v>0</v>
      </c>
      <c r="J4770" s="7">
        <f>tbl_Ventes[[#This Row],[CA ligne]] - tbl_Ventes[[#This Row],[Coût matière ligne]]</f>
        <v>0</v>
      </c>
      <c r="K4770" s="7" t="str">
        <f>IFERROR(INDEX(tbl_ProduitsRef[Famille], MATCH(tbl_Ventes[[#This Row],[Cde_Prdt]], tbl_Produits[Cde_Prdt], 0)), "")</f>
        <v/>
      </c>
    </row>
    <row r="4771" spans="1:11" x14ac:dyDescent="0.25">
      <c r="A4771" s="5"/>
      <c r="B4771" s="63" t="str">
        <f>IFERROR(TEXT(tbl_Ventes[[#This Row],[Date]],"mm-aaaa"),"")</f>
        <v>01-1900</v>
      </c>
      <c r="D4771" s="10" t="str">
        <f>IFERROR(
   INDEX(tbl_ProduitsRef[Cde_Prdt],MATCH(tbl_Ventes[[#This Row],[Produit]],tbl_ProduitsRef[Produit],0)),
   ""
)</f>
        <v/>
      </c>
      <c r="E4771" s="7">
        <v>0</v>
      </c>
      <c r="F4771" s="7" t="str">
        <f>IFERROR(
   INDEX(tbl_ProduitsRef[Prix Menu],MATCH(tbl_Ventes[[#This Row],[Produit]],tbl_ProduitsRef[Produit],0)),
   ""
)</f>
        <v/>
      </c>
      <c r="G4771" s="7">
        <f>tbl_Ventes[[#This Row],[Qté Vendue]] * IFERROR(_xlfn.XLOOKUP(tbl_Ventes[[#This Row],[Cde_Prdt]], tbl_Produits[Cde_Prdt], tbl_Produits[Prix Menu]), 0)</f>
        <v>0</v>
      </c>
      <c r="H4771" s="7">
        <f>IFERROR(_xlfn.XLOOKUP(tbl_Ventes[[#This Row],[Cde_Prdt]], tbl_Produits[Cde_Prdt], tbl_Produits[Coût Moyen Portion]), 0)</f>
        <v>0</v>
      </c>
      <c r="I4771" s="7">
        <f>tbl_Ventes[[#This Row],[Qté Vendue]] * tbl_Ventes[[#This Row],[CMP_par_portion]]</f>
        <v>0</v>
      </c>
      <c r="J4771" s="7">
        <f>tbl_Ventes[[#This Row],[CA ligne]] - tbl_Ventes[[#This Row],[Coût matière ligne]]</f>
        <v>0</v>
      </c>
      <c r="K4771" s="7" t="str">
        <f>IFERROR(INDEX(tbl_ProduitsRef[Famille], MATCH(tbl_Ventes[[#This Row],[Cde_Prdt]], tbl_Produits[Cde_Prdt], 0)), "")</f>
        <v/>
      </c>
    </row>
    <row r="4772" spans="1:11" x14ac:dyDescent="0.25">
      <c r="A4772" s="5"/>
      <c r="B4772" s="63" t="str">
        <f>IFERROR(TEXT(tbl_Ventes[[#This Row],[Date]],"mm-aaaa"),"")</f>
        <v>01-1900</v>
      </c>
      <c r="D4772" s="10" t="str">
        <f>IFERROR(
   INDEX(tbl_ProduitsRef[Cde_Prdt],MATCH(tbl_Ventes[[#This Row],[Produit]],tbl_ProduitsRef[Produit],0)),
   ""
)</f>
        <v/>
      </c>
      <c r="E4772" s="7">
        <v>0</v>
      </c>
      <c r="F4772" s="7" t="str">
        <f>IFERROR(
   INDEX(tbl_ProduitsRef[Prix Menu],MATCH(tbl_Ventes[[#This Row],[Produit]],tbl_ProduitsRef[Produit],0)),
   ""
)</f>
        <v/>
      </c>
      <c r="G4772" s="7">
        <f>tbl_Ventes[[#This Row],[Qté Vendue]] * IFERROR(_xlfn.XLOOKUP(tbl_Ventes[[#This Row],[Cde_Prdt]], tbl_Produits[Cde_Prdt], tbl_Produits[Prix Menu]), 0)</f>
        <v>0</v>
      </c>
      <c r="H4772" s="7">
        <f>IFERROR(_xlfn.XLOOKUP(tbl_Ventes[[#This Row],[Cde_Prdt]], tbl_Produits[Cde_Prdt], tbl_Produits[Coût Moyen Portion]), 0)</f>
        <v>0</v>
      </c>
      <c r="I4772" s="7">
        <f>tbl_Ventes[[#This Row],[Qté Vendue]] * tbl_Ventes[[#This Row],[CMP_par_portion]]</f>
        <v>0</v>
      </c>
      <c r="J4772" s="7">
        <f>tbl_Ventes[[#This Row],[CA ligne]] - tbl_Ventes[[#This Row],[Coût matière ligne]]</f>
        <v>0</v>
      </c>
      <c r="K4772" s="7" t="str">
        <f>IFERROR(INDEX(tbl_ProduitsRef[Famille], MATCH(tbl_Ventes[[#This Row],[Cde_Prdt]], tbl_Produits[Cde_Prdt], 0)), "")</f>
        <v/>
      </c>
    </row>
    <row r="4773" spans="1:11" x14ac:dyDescent="0.25">
      <c r="A4773" s="5"/>
      <c r="B4773" s="63" t="str">
        <f>IFERROR(TEXT(tbl_Ventes[[#This Row],[Date]],"mm-aaaa"),"")</f>
        <v>01-1900</v>
      </c>
      <c r="D4773" s="10" t="str">
        <f>IFERROR(
   INDEX(tbl_ProduitsRef[Cde_Prdt],MATCH(tbl_Ventes[[#This Row],[Produit]],tbl_ProduitsRef[Produit],0)),
   ""
)</f>
        <v/>
      </c>
      <c r="E4773" s="7">
        <v>0</v>
      </c>
      <c r="F4773" s="7" t="str">
        <f>IFERROR(
   INDEX(tbl_ProduitsRef[Prix Menu],MATCH(tbl_Ventes[[#This Row],[Produit]],tbl_ProduitsRef[Produit],0)),
   ""
)</f>
        <v/>
      </c>
      <c r="G4773" s="7">
        <f>tbl_Ventes[[#This Row],[Qté Vendue]] * IFERROR(_xlfn.XLOOKUP(tbl_Ventes[[#This Row],[Cde_Prdt]], tbl_Produits[Cde_Prdt], tbl_Produits[Prix Menu]), 0)</f>
        <v>0</v>
      </c>
      <c r="H4773" s="7">
        <f>IFERROR(_xlfn.XLOOKUP(tbl_Ventes[[#This Row],[Cde_Prdt]], tbl_Produits[Cde_Prdt], tbl_Produits[Coût Moyen Portion]), 0)</f>
        <v>0</v>
      </c>
      <c r="I4773" s="7">
        <f>tbl_Ventes[[#This Row],[Qté Vendue]] * tbl_Ventes[[#This Row],[CMP_par_portion]]</f>
        <v>0</v>
      </c>
      <c r="J4773" s="7">
        <f>tbl_Ventes[[#This Row],[CA ligne]] - tbl_Ventes[[#This Row],[Coût matière ligne]]</f>
        <v>0</v>
      </c>
      <c r="K4773" s="7" t="str">
        <f>IFERROR(INDEX(tbl_ProduitsRef[Famille], MATCH(tbl_Ventes[[#This Row],[Cde_Prdt]], tbl_Produits[Cde_Prdt], 0)), "")</f>
        <v/>
      </c>
    </row>
    <row r="4774" spans="1:11" x14ac:dyDescent="0.25">
      <c r="A4774" s="5"/>
      <c r="B4774" s="63" t="str">
        <f>IFERROR(TEXT(tbl_Ventes[[#This Row],[Date]],"mm-aaaa"),"")</f>
        <v>01-1900</v>
      </c>
      <c r="D4774" s="10" t="str">
        <f>IFERROR(
   INDEX(tbl_ProduitsRef[Cde_Prdt],MATCH(tbl_Ventes[[#This Row],[Produit]],tbl_ProduitsRef[Produit],0)),
   ""
)</f>
        <v/>
      </c>
      <c r="E4774" s="7">
        <v>0</v>
      </c>
      <c r="F4774" s="7" t="str">
        <f>IFERROR(
   INDEX(tbl_ProduitsRef[Prix Menu],MATCH(tbl_Ventes[[#This Row],[Produit]],tbl_ProduitsRef[Produit],0)),
   ""
)</f>
        <v/>
      </c>
      <c r="G4774" s="7">
        <f>tbl_Ventes[[#This Row],[Qté Vendue]] * IFERROR(_xlfn.XLOOKUP(tbl_Ventes[[#This Row],[Cde_Prdt]], tbl_Produits[Cde_Prdt], tbl_Produits[Prix Menu]), 0)</f>
        <v>0</v>
      </c>
      <c r="H4774" s="7">
        <f>IFERROR(_xlfn.XLOOKUP(tbl_Ventes[[#This Row],[Cde_Prdt]], tbl_Produits[Cde_Prdt], tbl_Produits[Coût Moyen Portion]), 0)</f>
        <v>0</v>
      </c>
      <c r="I4774" s="7">
        <f>tbl_Ventes[[#This Row],[Qté Vendue]] * tbl_Ventes[[#This Row],[CMP_par_portion]]</f>
        <v>0</v>
      </c>
      <c r="J4774" s="7">
        <f>tbl_Ventes[[#This Row],[CA ligne]] - tbl_Ventes[[#This Row],[Coût matière ligne]]</f>
        <v>0</v>
      </c>
      <c r="K4774" s="7" t="str">
        <f>IFERROR(INDEX(tbl_ProduitsRef[Famille], MATCH(tbl_Ventes[[#This Row],[Cde_Prdt]], tbl_Produits[Cde_Prdt], 0)), "")</f>
        <v/>
      </c>
    </row>
    <row r="4775" spans="1:11" x14ac:dyDescent="0.25">
      <c r="A4775" s="5"/>
      <c r="B4775" s="63" t="str">
        <f>IFERROR(TEXT(tbl_Ventes[[#This Row],[Date]],"mm-aaaa"),"")</f>
        <v>01-1900</v>
      </c>
      <c r="D4775" s="10" t="str">
        <f>IFERROR(
   INDEX(tbl_ProduitsRef[Cde_Prdt],MATCH(tbl_Ventes[[#This Row],[Produit]],tbl_ProduitsRef[Produit],0)),
   ""
)</f>
        <v/>
      </c>
      <c r="E4775" s="7">
        <v>0</v>
      </c>
      <c r="F4775" s="7" t="str">
        <f>IFERROR(
   INDEX(tbl_ProduitsRef[Prix Menu],MATCH(tbl_Ventes[[#This Row],[Produit]],tbl_ProduitsRef[Produit],0)),
   ""
)</f>
        <v/>
      </c>
      <c r="G4775" s="7">
        <f>tbl_Ventes[[#This Row],[Qté Vendue]] * IFERROR(_xlfn.XLOOKUP(tbl_Ventes[[#This Row],[Cde_Prdt]], tbl_Produits[Cde_Prdt], tbl_Produits[Prix Menu]), 0)</f>
        <v>0</v>
      </c>
      <c r="H4775" s="7">
        <f>IFERROR(_xlfn.XLOOKUP(tbl_Ventes[[#This Row],[Cde_Prdt]], tbl_Produits[Cde_Prdt], tbl_Produits[Coût Moyen Portion]), 0)</f>
        <v>0</v>
      </c>
      <c r="I4775" s="7">
        <f>tbl_Ventes[[#This Row],[Qté Vendue]] * tbl_Ventes[[#This Row],[CMP_par_portion]]</f>
        <v>0</v>
      </c>
      <c r="J4775" s="7">
        <f>tbl_Ventes[[#This Row],[CA ligne]] - tbl_Ventes[[#This Row],[Coût matière ligne]]</f>
        <v>0</v>
      </c>
      <c r="K4775" s="7" t="str">
        <f>IFERROR(INDEX(tbl_ProduitsRef[Famille], MATCH(tbl_Ventes[[#This Row],[Cde_Prdt]], tbl_Produits[Cde_Prdt], 0)), "")</f>
        <v/>
      </c>
    </row>
    <row r="4776" spans="1:11" x14ac:dyDescent="0.25">
      <c r="A4776" s="5"/>
      <c r="B4776" s="63" t="str">
        <f>IFERROR(TEXT(tbl_Ventes[[#This Row],[Date]],"mm-aaaa"),"")</f>
        <v>01-1900</v>
      </c>
      <c r="D4776" s="10" t="str">
        <f>IFERROR(
   INDEX(tbl_ProduitsRef[Cde_Prdt],MATCH(tbl_Ventes[[#This Row],[Produit]],tbl_ProduitsRef[Produit],0)),
   ""
)</f>
        <v/>
      </c>
      <c r="E4776" s="7">
        <v>0</v>
      </c>
      <c r="F4776" s="7" t="str">
        <f>IFERROR(
   INDEX(tbl_ProduitsRef[Prix Menu],MATCH(tbl_Ventes[[#This Row],[Produit]],tbl_ProduitsRef[Produit],0)),
   ""
)</f>
        <v/>
      </c>
      <c r="G4776" s="7">
        <f>tbl_Ventes[[#This Row],[Qté Vendue]] * IFERROR(_xlfn.XLOOKUP(tbl_Ventes[[#This Row],[Cde_Prdt]], tbl_Produits[Cde_Prdt], tbl_Produits[Prix Menu]), 0)</f>
        <v>0</v>
      </c>
      <c r="H4776" s="7">
        <f>IFERROR(_xlfn.XLOOKUP(tbl_Ventes[[#This Row],[Cde_Prdt]], tbl_Produits[Cde_Prdt], tbl_Produits[Coût Moyen Portion]), 0)</f>
        <v>0</v>
      </c>
      <c r="I4776" s="7">
        <f>tbl_Ventes[[#This Row],[Qté Vendue]] * tbl_Ventes[[#This Row],[CMP_par_portion]]</f>
        <v>0</v>
      </c>
      <c r="J4776" s="7">
        <f>tbl_Ventes[[#This Row],[CA ligne]] - tbl_Ventes[[#This Row],[Coût matière ligne]]</f>
        <v>0</v>
      </c>
      <c r="K4776" s="7" t="str">
        <f>IFERROR(INDEX(tbl_ProduitsRef[Famille], MATCH(tbl_Ventes[[#This Row],[Cde_Prdt]], tbl_Produits[Cde_Prdt], 0)), "")</f>
        <v/>
      </c>
    </row>
    <row r="4777" spans="1:11" x14ac:dyDescent="0.25">
      <c r="A4777" s="5"/>
      <c r="B4777" s="63" t="str">
        <f>IFERROR(TEXT(tbl_Ventes[[#This Row],[Date]],"mm-aaaa"),"")</f>
        <v>01-1900</v>
      </c>
      <c r="D4777" s="10" t="str">
        <f>IFERROR(
   INDEX(tbl_ProduitsRef[Cde_Prdt],MATCH(tbl_Ventes[[#This Row],[Produit]],tbl_ProduitsRef[Produit],0)),
   ""
)</f>
        <v/>
      </c>
      <c r="E4777" s="7">
        <v>0</v>
      </c>
      <c r="F4777" s="7" t="str">
        <f>IFERROR(
   INDEX(tbl_ProduitsRef[Prix Menu],MATCH(tbl_Ventes[[#This Row],[Produit]],tbl_ProduitsRef[Produit],0)),
   ""
)</f>
        <v/>
      </c>
      <c r="G4777" s="7">
        <f>tbl_Ventes[[#This Row],[Qté Vendue]] * IFERROR(_xlfn.XLOOKUP(tbl_Ventes[[#This Row],[Cde_Prdt]], tbl_Produits[Cde_Prdt], tbl_Produits[Prix Menu]), 0)</f>
        <v>0</v>
      </c>
      <c r="H4777" s="7">
        <f>IFERROR(_xlfn.XLOOKUP(tbl_Ventes[[#This Row],[Cde_Prdt]], tbl_Produits[Cde_Prdt], tbl_Produits[Coût Moyen Portion]), 0)</f>
        <v>0</v>
      </c>
      <c r="I4777" s="7">
        <f>tbl_Ventes[[#This Row],[Qté Vendue]] * tbl_Ventes[[#This Row],[CMP_par_portion]]</f>
        <v>0</v>
      </c>
      <c r="J4777" s="7">
        <f>tbl_Ventes[[#This Row],[CA ligne]] - tbl_Ventes[[#This Row],[Coût matière ligne]]</f>
        <v>0</v>
      </c>
      <c r="K4777" s="7" t="str">
        <f>IFERROR(INDEX(tbl_ProduitsRef[Famille], MATCH(tbl_Ventes[[#This Row],[Cde_Prdt]], tbl_Produits[Cde_Prdt], 0)), "")</f>
        <v/>
      </c>
    </row>
    <row r="4778" spans="1:11" x14ac:dyDescent="0.25">
      <c r="A4778" s="5"/>
      <c r="B4778" s="63" t="str">
        <f>IFERROR(TEXT(tbl_Ventes[[#This Row],[Date]],"mm-aaaa"),"")</f>
        <v>01-1900</v>
      </c>
      <c r="D4778" s="10" t="str">
        <f>IFERROR(
   INDEX(tbl_ProduitsRef[Cde_Prdt],MATCH(tbl_Ventes[[#This Row],[Produit]],tbl_ProduitsRef[Produit],0)),
   ""
)</f>
        <v/>
      </c>
      <c r="E4778" s="7">
        <v>0</v>
      </c>
      <c r="F4778" s="7" t="str">
        <f>IFERROR(
   INDEX(tbl_ProduitsRef[Prix Menu],MATCH(tbl_Ventes[[#This Row],[Produit]],tbl_ProduitsRef[Produit],0)),
   ""
)</f>
        <v/>
      </c>
      <c r="G4778" s="7">
        <f>tbl_Ventes[[#This Row],[Qté Vendue]] * IFERROR(_xlfn.XLOOKUP(tbl_Ventes[[#This Row],[Cde_Prdt]], tbl_Produits[Cde_Prdt], tbl_Produits[Prix Menu]), 0)</f>
        <v>0</v>
      </c>
      <c r="H4778" s="7">
        <f>IFERROR(_xlfn.XLOOKUP(tbl_Ventes[[#This Row],[Cde_Prdt]], tbl_Produits[Cde_Prdt], tbl_Produits[Coût Moyen Portion]), 0)</f>
        <v>0</v>
      </c>
      <c r="I4778" s="7">
        <f>tbl_Ventes[[#This Row],[Qté Vendue]] * tbl_Ventes[[#This Row],[CMP_par_portion]]</f>
        <v>0</v>
      </c>
      <c r="J4778" s="7">
        <f>tbl_Ventes[[#This Row],[CA ligne]] - tbl_Ventes[[#This Row],[Coût matière ligne]]</f>
        <v>0</v>
      </c>
      <c r="K4778" s="7" t="str">
        <f>IFERROR(INDEX(tbl_ProduitsRef[Famille], MATCH(tbl_Ventes[[#This Row],[Cde_Prdt]], tbl_Produits[Cde_Prdt], 0)), "")</f>
        <v/>
      </c>
    </row>
    <row r="4779" spans="1:11" x14ac:dyDescent="0.25">
      <c r="A4779" s="5"/>
      <c r="B4779" s="63" t="str">
        <f>IFERROR(TEXT(tbl_Ventes[[#This Row],[Date]],"mm-aaaa"),"")</f>
        <v>01-1900</v>
      </c>
      <c r="D4779" s="10" t="str">
        <f>IFERROR(
   INDEX(tbl_ProduitsRef[Cde_Prdt],MATCH(tbl_Ventes[[#This Row],[Produit]],tbl_ProduitsRef[Produit],0)),
   ""
)</f>
        <v/>
      </c>
      <c r="E4779" s="7">
        <v>0</v>
      </c>
      <c r="F4779" s="7" t="str">
        <f>IFERROR(
   INDEX(tbl_ProduitsRef[Prix Menu],MATCH(tbl_Ventes[[#This Row],[Produit]],tbl_ProduitsRef[Produit],0)),
   ""
)</f>
        <v/>
      </c>
      <c r="G4779" s="7">
        <f>tbl_Ventes[[#This Row],[Qté Vendue]] * IFERROR(_xlfn.XLOOKUP(tbl_Ventes[[#This Row],[Cde_Prdt]], tbl_Produits[Cde_Prdt], tbl_Produits[Prix Menu]), 0)</f>
        <v>0</v>
      </c>
      <c r="H4779" s="7">
        <f>IFERROR(_xlfn.XLOOKUP(tbl_Ventes[[#This Row],[Cde_Prdt]], tbl_Produits[Cde_Prdt], tbl_Produits[Coût Moyen Portion]), 0)</f>
        <v>0</v>
      </c>
      <c r="I4779" s="7">
        <f>tbl_Ventes[[#This Row],[Qté Vendue]] * tbl_Ventes[[#This Row],[CMP_par_portion]]</f>
        <v>0</v>
      </c>
      <c r="J4779" s="7">
        <f>tbl_Ventes[[#This Row],[CA ligne]] - tbl_Ventes[[#This Row],[Coût matière ligne]]</f>
        <v>0</v>
      </c>
      <c r="K4779" s="7" t="str">
        <f>IFERROR(INDEX(tbl_ProduitsRef[Famille], MATCH(tbl_Ventes[[#This Row],[Cde_Prdt]], tbl_Produits[Cde_Prdt], 0)), "")</f>
        <v/>
      </c>
    </row>
    <row r="4780" spans="1:11" x14ac:dyDescent="0.25">
      <c r="A4780" s="5"/>
      <c r="B4780" s="63" t="str">
        <f>IFERROR(TEXT(tbl_Ventes[[#This Row],[Date]],"mm-aaaa"),"")</f>
        <v>01-1900</v>
      </c>
      <c r="D4780" s="10" t="str">
        <f>IFERROR(
   INDEX(tbl_ProduitsRef[Cde_Prdt],MATCH(tbl_Ventes[[#This Row],[Produit]],tbl_ProduitsRef[Produit],0)),
   ""
)</f>
        <v/>
      </c>
      <c r="E4780" s="7">
        <v>0</v>
      </c>
      <c r="F4780" s="7" t="str">
        <f>IFERROR(
   INDEX(tbl_ProduitsRef[Prix Menu],MATCH(tbl_Ventes[[#This Row],[Produit]],tbl_ProduitsRef[Produit],0)),
   ""
)</f>
        <v/>
      </c>
      <c r="G4780" s="7">
        <f>tbl_Ventes[[#This Row],[Qté Vendue]] * IFERROR(_xlfn.XLOOKUP(tbl_Ventes[[#This Row],[Cde_Prdt]], tbl_Produits[Cde_Prdt], tbl_Produits[Prix Menu]), 0)</f>
        <v>0</v>
      </c>
      <c r="H4780" s="7">
        <f>IFERROR(_xlfn.XLOOKUP(tbl_Ventes[[#This Row],[Cde_Prdt]], tbl_Produits[Cde_Prdt], tbl_Produits[Coût Moyen Portion]), 0)</f>
        <v>0</v>
      </c>
      <c r="I4780" s="7">
        <f>tbl_Ventes[[#This Row],[Qté Vendue]] * tbl_Ventes[[#This Row],[CMP_par_portion]]</f>
        <v>0</v>
      </c>
      <c r="J4780" s="7">
        <f>tbl_Ventes[[#This Row],[CA ligne]] - tbl_Ventes[[#This Row],[Coût matière ligne]]</f>
        <v>0</v>
      </c>
      <c r="K4780" s="7" t="str">
        <f>IFERROR(INDEX(tbl_ProduitsRef[Famille], MATCH(tbl_Ventes[[#This Row],[Cde_Prdt]], tbl_Produits[Cde_Prdt], 0)), "")</f>
        <v/>
      </c>
    </row>
    <row r="4781" spans="1:11" x14ac:dyDescent="0.25">
      <c r="A4781" s="5"/>
      <c r="B4781" s="63" t="str">
        <f>IFERROR(TEXT(tbl_Ventes[[#This Row],[Date]],"mm-aaaa"),"")</f>
        <v>01-1900</v>
      </c>
      <c r="D4781" s="10" t="str">
        <f>IFERROR(
   INDEX(tbl_ProduitsRef[Cde_Prdt],MATCH(tbl_Ventes[[#This Row],[Produit]],tbl_ProduitsRef[Produit],0)),
   ""
)</f>
        <v/>
      </c>
      <c r="E4781" s="7">
        <v>0</v>
      </c>
      <c r="F4781" s="7" t="str">
        <f>IFERROR(
   INDEX(tbl_ProduitsRef[Prix Menu],MATCH(tbl_Ventes[[#This Row],[Produit]],tbl_ProduitsRef[Produit],0)),
   ""
)</f>
        <v/>
      </c>
      <c r="G4781" s="7">
        <f>tbl_Ventes[[#This Row],[Qté Vendue]] * IFERROR(_xlfn.XLOOKUP(tbl_Ventes[[#This Row],[Cde_Prdt]], tbl_Produits[Cde_Prdt], tbl_Produits[Prix Menu]), 0)</f>
        <v>0</v>
      </c>
      <c r="H4781" s="7">
        <f>IFERROR(_xlfn.XLOOKUP(tbl_Ventes[[#This Row],[Cde_Prdt]], tbl_Produits[Cde_Prdt], tbl_Produits[Coût Moyen Portion]), 0)</f>
        <v>0</v>
      </c>
      <c r="I4781" s="7">
        <f>tbl_Ventes[[#This Row],[Qté Vendue]] * tbl_Ventes[[#This Row],[CMP_par_portion]]</f>
        <v>0</v>
      </c>
      <c r="J4781" s="7">
        <f>tbl_Ventes[[#This Row],[CA ligne]] - tbl_Ventes[[#This Row],[Coût matière ligne]]</f>
        <v>0</v>
      </c>
      <c r="K4781" s="7" t="str">
        <f>IFERROR(INDEX(tbl_ProduitsRef[Famille], MATCH(tbl_Ventes[[#This Row],[Cde_Prdt]], tbl_Produits[Cde_Prdt], 0)), "")</f>
        <v/>
      </c>
    </row>
    <row r="4782" spans="1:11" x14ac:dyDescent="0.25">
      <c r="A4782" s="5"/>
      <c r="B4782" s="63" t="str">
        <f>IFERROR(TEXT(tbl_Ventes[[#This Row],[Date]],"mm-aaaa"),"")</f>
        <v>01-1900</v>
      </c>
      <c r="D4782" s="10" t="str">
        <f>IFERROR(
   INDEX(tbl_ProduitsRef[Cde_Prdt],MATCH(tbl_Ventes[[#This Row],[Produit]],tbl_ProduitsRef[Produit],0)),
   ""
)</f>
        <v/>
      </c>
      <c r="E4782" s="7">
        <v>0</v>
      </c>
      <c r="F4782" s="7" t="str">
        <f>IFERROR(
   INDEX(tbl_ProduitsRef[Prix Menu],MATCH(tbl_Ventes[[#This Row],[Produit]],tbl_ProduitsRef[Produit],0)),
   ""
)</f>
        <v/>
      </c>
      <c r="G4782" s="7">
        <f>tbl_Ventes[[#This Row],[Qté Vendue]] * IFERROR(_xlfn.XLOOKUP(tbl_Ventes[[#This Row],[Cde_Prdt]], tbl_Produits[Cde_Prdt], tbl_Produits[Prix Menu]), 0)</f>
        <v>0</v>
      </c>
      <c r="H4782" s="7">
        <f>IFERROR(_xlfn.XLOOKUP(tbl_Ventes[[#This Row],[Cde_Prdt]], tbl_Produits[Cde_Prdt], tbl_Produits[Coût Moyen Portion]), 0)</f>
        <v>0</v>
      </c>
      <c r="I4782" s="7">
        <f>tbl_Ventes[[#This Row],[Qté Vendue]] * tbl_Ventes[[#This Row],[CMP_par_portion]]</f>
        <v>0</v>
      </c>
      <c r="J4782" s="7">
        <f>tbl_Ventes[[#This Row],[CA ligne]] - tbl_Ventes[[#This Row],[Coût matière ligne]]</f>
        <v>0</v>
      </c>
      <c r="K4782" s="7" t="str">
        <f>IFERROR(INDEX(tbl_ProduitsRef[Famille], MATCH(tbl_Ventes[[#This Row],[Cde_Prdt]], tbl_Produits[Cde_Prdt], 0)), "")</f>
        <v/>
      </c>
    </row>
    <row r="4783" spans="1:11" x14ac:dyDescent="0.25">
      <c r="A4783" s="5"/>
      <c r="B4783" s="63" t="str">
        <f>IFERROR(TEXT(tbl_Ventes[[#This Row],[Date]],"mm-aaaa"),"")</f>
        <v>01-1900</v>
      </c>
      <c r="D4783" s="10" t="str">
        <f>IFERROR(
   INDEX(tbl_ProduitsRef[Cde_Prdt],MATCH(tbl_Ventes[[#This Row],[Produit]],tbl_ProduitsRef[Produit],0)),
   ""
)</f>
        <v/>
      </c>
      <c r="E4783" s="7">
        <v>0</v>
      </c>
      <c r="F4783" s="7" t="str">
        <f>IFERROR(
   INDEX(tbl_ProduitsRef[Prix Menu],MATCH(tbl_Ventes[[#This Row],[Produit]],tbl_ProduitsRef[Produit],0)),
   ""
)</f>
        <v/>
      </c>
      <c r="G4783" s="7">
        <f>tbl_Ventes[[#This Row],[Qté Vendue]] * IFERROR(_xlfn.XLOOKUP(tbl_Ventes[[#This Row],[Cde_Prdt]], tbl_Produits[Cde_Prdt], tbl_Produits[Prix Menu]), 0)</f>
        <v>0</v>
      </c>
      <c r="H4783" s="7">
        <f>IFERROR(_xlfn.XLOOKUP(tbl_Ventes[[#This Row],[Cde_Prdt]], tbl_Produits[Cde_Prdt], tbl_Produits[Coût Moyen Portion]), 0)</f>
        <v>0</v>
      </c>
      <c r="I4783" s="7">
        <f>tbl_Ventes[[#This Row],[Qté Vendue]] * tbl_Ventes[[#This Row],[CMP_par_portion]]</f>
        <v>0</v>
      </c>
      <c r="J4783" s="7">
        <f>tbl_Ventes[[#This Row],[CA ligne]] - tbl_Ventes[[#This Row],[Coût matière ligne]]</f>
        <v>0</v>
      </c>
      <c r="K4783" s="7" t="str">
        <f>IFERROR(INDEX(tbl_ProduitsRef[Famille], MATCH(tbl_Ventes[[#This Row],[Cde_Prdt]], tbl_Produits[Cde_Prdt], 0)), "")</f>
        <v/>
      </c>
    </row>
    <row r="4784" spans="1:11" x14ac:dyDescent="0.25">
      <c r="A4784" s="5"/>
      <c r="B4784" s="63" t="str">
        <f>IFERROR(TEXT(tbl_Ventes[[#This Row],[Date]],"mm-aaaa"),"")</f>
        <v>01-1900</v>
      </c>
      <c r="D4784" s="10" t="str">
        <f>IFERROR(
   INDEX(tbl_ProduitsRef[Cde_Prdt],MATCH(tbl_Ventes[[#This Row],[Produit]],tbl_ProduitsRef[Produit],0)),
   ""
)</f>
        <v/>
      </c>
      <c r="E4784" s="7">
        <v>0</v>
      </c>
      <c r="F4784" s="7" t="str">
        <f>IFERROR(
   INDEX(tbl_ProduitsRef[Prix Menu],MATCH(tbl_Ventes[[#This Row],[Produit]],tbl_ProduitsRef[Produit],0)),
   ""
)</f>
        <v/>
      </c>
      <c r="G4784" s="7">
        <f>tbl_Ventes[[#This Row],[Qté Vendue]] * IFERROR(_xlfn.XLOOKUP(tbl_Ventes[[#This Row],[Cde_Prdt]], tbl_Produits[Cde_Prdt], tbl_Produits[Prix Menu]), 0)</f>
        <v>0</v>
      </c>
      <c r="H4784" s="7">
        <f>IFERROR(_xlfn.XLOOKUP(tbl_Ventes[[#This Row],[Cde_Prdt]], tbl_Produits[Cde_Prdt], tbl_Produits[Coût Moyen Portion]), 0)</f>
        <v>0</v>
      </c>
      <c r="I4784" s="7">
        <f>tbl_Ventes[[#This Row],[Qté Vendue]] * tbl_Ventes[[#This Row],[CMP_par_portion]]</f>
        <v>0</v>
      </c>
      <c r="J4784" s="7">
        <f>tbl_Ventes[[#This Row],[CA ligne]] - tbl_Ventes[[#This Row],[Coût matière ligne]]</f>
        <v>0</v>
      </c>
      <c r="K4784" s="7" t="str">
        <f>IFERROR(INDEX(tbl_ProduitsRef[Famille], MATCH(tbl_Ventes[[#This Row],[Cde_Prdt]], tbl_Produits[Cde_Prdt], 0)), "")</f>
        <v/>
      </c>
    </row>
    <row r="4785" spans="1:11" x14ac:dyDescent="0.25">
      <c r="A4785" s="5"/>
      <c r="B4785" s="63" t="str">
        <f>IFERROR(TEXT(tbl_Ventes[[#This Row],[Date]],"mm-aaaa"),"")</f>
        <v>01-1900</v>
      </c>
      <c r="D4785" s="10" t="str">
        <f>IFERROR(
   INDEX(tbl_ProduitsRef[Cde_Prdt],MATCH(tbl_Ventes[[#This Row],[Produit]],tbl_ProduitsRef[Produit],0)),
   ""
)</f>
        <v/>
      </c>
      <c r="E4785" s="7">
        <v>0</v>
      </c>
      <c r="F4785" s="7" t="str">
        <f>IFERROR(
   INDEX(tbl_ProduitsRef[Prix Menu],MATCH(tbl_Ventes[[#This Row],[Produit]],tbl_ProduitsRef[Produit],0)),
   ""
)</f>
        <v/>
      </c>
      <c r="G4785" s="7">
        <f>tbl_Ventes[[#This Row],[Qté Vendue]] * IFERROR(_xlfn.XLOOKUP(tbl_Ventes[[#This Row],[Cde_Prdt]], tbl_Produits[Cde_Prdt], tbl_Produits[Prix Menu]), 0)</f>
        <v>0</v>
      </c>
      <c r="H4785" s="7">
        <f>IFERROR(_xlfn.XLOOKUP(tbl_Ventes[[#This Row],[Cde_Prdt]], tbl_Produits[Cde_Prdt], tbl_Produits[Coût Moyen Portion]), 0)</f>
        <v>0</v>
      </c>
      <c r="I4785" s="7">
        <f>tbl_Ventes[[#This Row],[Qté Vendue]] * tbl_Ventes[[#This Row],[CMP_par_portion]]</f>
        <v>0</v>
      </c>
      <c r="J4785" s="7">
        <f>tbl_Ventes[[#This Row],[CA ligne]] - tbl_Ventes[[#This Row],[Coût matière ligne]]</f>
        <v>0</v>
      </c>
      <c r="K4785" s="7" t="str">
        <f>IFERROR(INDEX(tbl_ProduitsRef[Famille], MATCH(tbl_Ventes[[#This Row],[Cde_Prdt]], tbl_Produits[Cde_Prdt], 0)), "")</f>
        <v/>
      </c>
    </row>
    <row r="4786" spans="1:11" x14ac:dyDescent="0.25">
      <c r="A4786" s="5"/>
      <c r="B4786" s="63" t="str">
        <f>IFERROR(TEXT(tbl_Ventes[[#This Row],[Date]],"mm-aaaa"),"")</f>
        <v>01-1900</v>
      </c>
      <c r="D4786" s="10" t="str">
        <f>IFERROR(
   INDEX(tbl_ProduitsRef[Cde_Prdt],MATCH(tbl_Ventes[[#This Row],[Produit]],tbl_ProduitsRef[Produit],0)),
   ""
)</f>
        <v/>
      </c>
      <c r="E4786" s="7">
        <v>0</v>
      </c>
      <c r="F4786" s="7" t="str">
        <f>IFERROR(
   INDEX(tbl_ProduitsRef[Prix Menu],MATCH(tbl_Ventes[[#This Row],[Produit]],tbl_ProduitsRef[Produit],0)),
   ""
)</f>
        <v/>
      </c>
      <c r="G4786" s="7">
        <f>tbl_Ventes[[#This Row],[Qté Vendue]] * IFERROR(_xlfn.XLOOKUP(tbl_Ventes[[#This Row],[Cde_Prdt]], tbl_Produits[Cde_Prdt], tbl_Produits[Prix Menu]), 0)</f>
        <v>0</v>
      </c>
      <c r="H4786" s="7">
        <f>IFERROR(_xlfn.XLOOKUP(tbl_Ventes[[#This Row],[Cde_Prdt]], tbl_Produits[Cde_Prdt], tbl_Produits[Coût Moyen Portion]), 0)</f>
        <v>0</v>
      </c>
      <c r="I4786" s="7">
        <f>tbl_Ventes[[#This Row],[Qté Vendue]] * tbl_Ventes[[#This Row],[CMP_par_portion]]</f>
        <v>0</v>
      </c>
      <c r="J4786" s="7">
        <f>tbl_Ventes[[#This Row],[CA ligne]] - tbl_Ventes[[#This Row],[Coût matière ligne]]</f>
        <v>0</v>
      </c>
      <c r="K4786" s="7" t="str">
        <f>IFERROR(INDEX(tbl_ProduitsRef[Famille], MATCH(tbl_Ventes[[#This Row],[Cde_Prdt]], tbl_Produits[Cde_Prdt], 0)), "")</f>
        <v/>
      </c>
    </row>
    <row r="4787" spans="1:11" x14ac:dyDescent="0.25">
      <c r="A4787" s="5"/>
      <c r="B4787" s="63" t="str">
        <f>IFERROR(TEXT(tbl_Ventes[[#This Row],[Date]],"mm-aaaa"),"")</f>
        <v>01-1900</v>
      </c>
      <c r="D4787" s="10" t="str">
        <f>IFERROR(
   INDEX(tbl_ProduitsRef[Cde_Prdt],MATCH(tbl_Ventes[[#This Row],[Produit]],tbl_ProduitsRef[Produit],0)),
   ""
)</f>
        <v/>
      </c>
      <c r="E4787" s="7">
        <v>0</v>
      </c>
      <c r="F4787" s="7" t="str">
        <f>IFERROR(
   INDEX(tbl_ProduitsRef[Prix Menu],MATCH(tbl_Ventes[[#This Row],[Produit]],tbl_ProduitsRef[Produit],0)),
   ""
)</f>
        <v/>
      </c>
      <c r="G4787" s="7">
        <f>tbl_Ventes[[#This Row],[Qté Vendue]] * IFERROR(_xlfn.XLOOKUP(tbl_Ventes[[#This Row],[Cde_Prdt]], tbl_Produits[Cde_Prdt], tbl_Produits[Prix Menu]), 0)</f>
        <v>0</v>
      </c>
      <c r="H4787" s="7">
        <f>IFERROR(_xlfn.XLOOKUP(tbl_Ventes[[#This Row],[Cde_Prdt]], tbl_Produits[Cde_Prdt], tbl_Produits[Coût Moyen Portion]), 0)</f>
        <v>0</v>
      </c>
      <c r="I4787" s="7">
        <f>tbl_Ventes[[#This Row],[Qté Vendue]] * tbl_Ventes[[#This Row],[CMP_par_portion]]</f>
        <v>0</v>
      </c>
      <c r="J4787" s="7">
        <f>tbl_Ventes[[#This Row],[CA ligne]] - tbl_Ventes[[#This Row],[Coût matière ligne]]</f>
        <v>0</v>
      </c>
      <c r="K4787" s="7" t="str">
        <f>IFERROR(INDEX(tbl_ProduitsRef[Famille], MATCH(tbl_Ventes[[#This Row],[Cde_Prdt]], tbl_Produits[Cde_Prdt], 0)), "")</f>
        <v/>
      </c>
    </row>
    <row r="4788" spans="1:11" x14ac:dyDescent="0.25">
      <c r="A4788" s="5"/>
      <c r="B4788" s="63" t="str">
        <f>IFERROR(TEXT(tbl_Ventes[[#This Row],[Date]],"mm-aaaa"),"")</f>
        <v>01-1900</v>
      </c>
      <c r="D4788" s="10" t="str">
        <f>IFERROR(
   INDEX(tbl_ProduitsRef[Cde_Prdt],MATCH(tbl_Ventes[[#This Row],[Produit]],tbl_ProduitsRef[Produit],0)),
   ""
)</f>
        <v/>
      </c>
      <c r="E4788" s="7">
        <v>0</v>
      </c>
      <c r="F4788" s="7" t="str">
        <f>IFERROR(
   INDEX(tbl_ProduitsRef[Prix Menu],MATCH(tbl_Ventes[[#This Row],[Produit]],tbl_ProduitsRef[Produit],0)),
   ""
)</f>
        <v/>
      </c>
      <c r="G4788" s="7">
        <f>tbl_Ventes[[#This Row],[Qté Vendue]] * IFERROR(_xlfn.XLOOKUP(tbl_Ventes[[#This Row],[Cde_Prdt]], tbl_Produits[Cde_Prdt], tbl_Produits[Prix Menu]), 0)</f>
        <v>0</v>
      </c>
      <c r="H4788" s="7">
        <f>IFERROR(_xlfn.XLOOKUP(tbl_Ventes[[#This Row],[Cde_Prdt]], tbl_Produits[Cde_Prdt], tbl_Produits[Coût Moyen Portion]), 0)</f>
        <v>0</v>
      </c>
      <c r="I4788" s="7">
        <f>tbl_Ventes[[#This Row],[Qté Vendue]] * tbl_Ventes[[#This Row],[CMP_par_portion]]</f>
        <v>0</v>
      </c>
      <c r="J4788" s="7">
        <f>tbl_Ventes[[#This Row],[CA ligne]] - tbl_Ventes[[#This Row],[Coût matière ligne]]</f>
        <v>0</v>
      </c>
      <c r="K4788" s="7" t="str">
        <f>IFERROR(INDEX(tbl_ProduitsRef[Famille], MATCH(tbl_Ventes[[#This Row],[Cde_Prdt]], tbl_Produits[Cde_Prdt], 0)), "")</f>
        <v/>
      </c>
    </row>
    <row r="4789" spans="1:11" x14ac:dyDescent="0.25">
      <c r="A4789" s="5"/>
      <c r="B4789" s="63" t="str">
        <f>IFERROR(TEXT(tbl_Ventes[[#This Row],[Date]],"mm-aaaa"),"")</f>
        <v>01-1900</v>
      </c>
      <c r="D4789" s="10" t="str">
        <f>IFERROR(
   INDEX(tbl_ProduitsRef[Cde_Prdt],MATCH(tbl_Ventes[[#This Row],[Produit]],tbl_ProduitsRef[Produit],0)),
   ""
)</f>
        <v/>
      </c>
      <c r="E4789" s="7">
        <v>0</v>
      </c>
      <c r="F4789" s="7" t="str">
        <f>IFERROR(
   INDEX(tbl_ProduitsRef[Prix Menu],MATCH(tbl_Ventes[[#This Row],[Produit]],tbl_ProduitsRef[Produit],0)),
   ""
)</f>
        <v/>
      </c>
      <c r="G4789" s="7">
        <f>tbl_Ventes[[#This Row],[Qté Vendue]] * IFERROR(_xlfn.XLOOKUP(tbl_Ventes[[#This Row],[Cde_Prdt]], tbl_Produits[Cde_Prdt], tbl_Produits[Prix Menu]), 0)</f>
        <v>0</v>
      </c>
      <c r="H4789" s="7">
        <f>IFERROR(_xlfn.XLOOKUP(tbl_Ventes[[#This Row],[Cde_Prdt]], tbl_Produits[Cde_Prdt], tbl_Produits[Coût Moyen Portion]), 0)</f>
        <v>0</v>
      </c>
      <c r="I4789" s="7">
        <f>tbl_Ventes[[#This Row],[Qté Vendue]] * tbl_Ventes[[#This Row],[CMP_par_portion]]</f>
        <v>0</v>
      </c>
      <c r="J4789" s="7">
        <f>tbl_Ventes[[#This Row],[CA ligne]] - tbl_Ventes[[#This Row],[Coût matière ligne]]</f>
        <v>0</v>
      </c>
      <c r="K4789" s="7" t="str">
        <f>IFERROR(INDEX(tbl_ProduitsRef[Famille], MATCH(tbl_Ventes[[#This Row],[Cde_Prdt]], tbl_Produits[Cde_Prdt], 0)), "")</f>
        <v/>
      </c>
    </row>
    <row r="4790" spans="1:11" x14ac:dyDescent="0.25">
      <c r="A4790" s="5"/>
      <c r="B4790" s="63" t="str">
        <f>IFERROR(TEXT(tbl_Ventes[[#This Row],[Date]],"mm-aaaa"),"")</f>
        <v>01-1900</v>
      </c>
      <c r="D4790" s="10" t="str">
        <f>IFERROR(
   INDEX(tbl_ProduitsRef[Cde_Prdt],MATCH(tbl_Ventes[[#This Row],[Produit]],tbl_ProduitsRef[Produit],0)),
   ""
)</f>
        <v/>
      </c>
      <c r="E4790" s="7">
        <v>0</v>
      </c>
      <c r="F4790" s="7" t="str">
        <f>IFERROR(
   INDEX(tbl_ProduitsRef[Prix Menu],MATCH(tbl_Ventes[[#This Row],[Produit]],tbl_ProduitsRef[Produit],0)),
   ""
)</f>
        <v/>
      </c>
      <c r="G4790" s="7">
        <f>tbl_Ventes[[#This Row],[Qté Vendue]] * IFERROR(_xlfn.XLOOKUP(tbl_Ventes[[#This Row],[Cde_Prdt]], tbl_Produits[Cde_Prdt], tbl_Produits[Prix Menu]), 0)</f>
        <v>0</v>
      </c>
      <c r="H4790" s="7">
        <f>IFERROR(_xlfn.XLOOKUP(tbl_Ventes[[#This Row],[Cde_Prdt]], tbl_Produits[Cde_Prdt], tbl_Produits[Coût Moyen Portion]), 0)</f>
        <v>0</v>
      </c>
      <c r="I4790" s="7">
        <f>tbl_Ventes[[#This Row],[Qté Vendue]] * tbl_Ventes[[#This Row],[CMP_par_portion]]</f>
        <v>0</v>
      </c>
      <c r="J4790" s="7">
        <f>tbl_Ventes[[#This Row],[CA ligne]] - tbl_Ventes[[#This Row],[Coût matière ligne]]</f>
        <v>0</v>
      </c>
      <c r="K4790" s="7" t="str">
        <f>IFERROR(INDEX(tbl_ProduitsRef[Famille], MATCH(tbl_Ventes[[#This Row],[Cde_Prdt]], tbl_Produits[Cde_Prdt], 0)), "")</f>
        <v/>
      </c>
    </row>
    <row r="4791" spans="1:11" x14ac:dyDescent="0.25">
      <c r="A4791" s="5"/>
      <c r="B4791" s="63" t="str">
        <f>IFERROR(TEXT(tbl_Ventes[[#This Row],[Date]],"mm-aaaa"),"")</f>
        <v>01-1900</v>
      </c>
      <c r="D4791" s="10" t="str">
        <f>IFERROR(
   INDEX(tbl_ProduitsRef[Cde_Prdt],MATCH(tbl_Ventes[[#This Row],[Produit]],tbl_ProduitsRef[Produit],0)),
   ""
)</f>
        <v/>
      </c>
      <c r="E4791" s="7">
        <v>0</v>
      </c>
      <c r="F4791" s="7" t="str">
        <f>IFERROR(
   INDEX(tbl_ProduitsRef[Prix Menu],MATCH(tbl_Ventes[[#This Row],[Produit]],tbl_ProduitsRef[Produit],0)),
   ""
)</f>
        <v/>
      </c>
      <c r="G4791" s="7">
        <f>tbl_Ventes[[#This Row],[Qté Vendue]] * IFERROR(_xlfn.XLOOKUP(tbl_Ventes[[#This Row],[Cde_Prdt]], tbl_Produits[Cde_Prdt], tbl_Produits[Prix Menu]), 0)</f>
        <v>0</v>
      </c>
      <c r="H4791" s="7">
        <f>IFERROR(_xlfn.XLOOKUP(tbl_Ventes[[#This Row],[Cde_Prdt]], tbl_Produits[Cde_Prdt], tbl_Produits[Coût Moyen Portion]), 0)</f>
        <v>0</v>
      </c>
      <c r="I4791" s="7">
        <f>tbl_Ventes[[#This Row],[Qté Vendue]] * tbl_Ventes[[#This Row],[CMP_par_portion]]</f>
        <v>0</v>
      </c>
      <c r="J4791" s="7">
        <f>tbl_Ventes[[#This Row],[CA ligne]] - tbl_Ventes[[#This Row],[Coût matière ligne]]</f>
        <v>0</v>
      </c>
      <c r="K4791" s="7" t="str">
        <f>IFERROR(INDEX(tbl_ProduitsRef[Famille], MATCH(tbl_Ventes[[#This Row],[Cde_Prdt]], tbl_Produits[Cde_Prdt], 0)), "")</f>
        <v/>
      </c>
    </row>
    <row r="4792" spans="1:11" x14ac:dyDescent="0.25">
      <c r="A4792" s="5"/>
      <c r="B4792" s="63" t="str">
        <f>IFERROR(TEXT(tbl_Ventes[[#This Row],[Date]],"mm-aaaa"),"")</f>
        <v>01-1900</v>
      </c>
      <c r="D4792" s="10" t="str">
        <f>IFERROR(
   INDEX(tbl_ProduitsRef[Cde_Prdt],MATCH(tbl_Ventes[[#This Row],[Produit]],tbl_ProduitsRef[Produit],0)),
   ""
)</f>
        <v/>
      </c>
      <c r="E4792" s="7">
        <v>0</v>
      </c>
      <c r="F4792" s="7" t="str">
        <f>IFERROR(
   INDEX(tbl_ProduitsRef[Prix Menu],MATCH(tbl_Ventes[[#This Row],[Produit]],tbl_ProduitsRef[Produit],0)),
   ""
)</f>
        <v/>
      </c>
      <c r="G4792" s="7">
        <f>tbl_Ventes[[#This Row],[Qté Vendue]] * IFERROR(_xlfn.XLOOKUP(tbl_Ventes[[#This Row],[Cde_Prdt]], tbl_Produits[Cde_Prdt], tbl_Produits[Prix Menu]), 0)</f>
        <v>0</v>
      </c>
      <c r="H4792" s="7">
        <f>IFERROR(_xlfn.XLOOKUP(tbl_Ventes[[#This Row],[Cde_Prdt]], tbl_Produits[Cde_Prdt], tbl_Produits[Coût Moyen Portion]), 0)</f>
        <v>0</v>
      </c>
      <c r="I4792" s="7">
        <f>tbl_Ventes[[#This Row],[Qté Vendue]] * tbl_Ventes[[#This Row],[CMP_par_portion]]</f>
        <v>0</v>
      </c>
      <c r="J4792" s="7">
        <f>tbl_Ventes[[#This Row],[CA ligne]] - tbl_Ventes[[#This Row],[Coût matière ligne]]</f>
        <v>0</v>
      </c>
      <c r="K4792" s="7" t="str">
        <f>IFERROR(INDEX(tbl_ProduitsRef[Famille], MATCH(tbl_Ventes[[#This Row],[Cde_Prdt]], tbl_Produits[Cde_Prdt], 0)), "")</f>
        <v/>
      </c>
    </row>
    <row r="4793" spans="1:11" x14ac:dyDescent="0.25">
      <c r="A4793" s="5"/>
      <c r="B4793" s="63" t="str">
        <f>IFERROR(TEXT(tbl_Ventes[[#This Row],[Date]],"mm-aaaa"),"")</f>
        <v>01-1900</v>
      </c>
      <c r="D4793" s="10" t="str">
        <f>IFERROR(
   INDEX(tbl_ProduitsRef[Cde_Prdt],MATCH(tbl_Ventes[[#This Row],[Produit]],tbl_ProduitsRef[Produit],0)),
   ""
)</f>
        <v/>
      </c>
      <c r="E4793" s="7">
        <v>0</v>
      </c>
      <c r="F4793" s="7" t="str">
        <f>IFERROR(
   INDEX(tbl_ProduitsRef[Prix Menu],MATCH(tbl_Ventes[[#This Row],[Produit]],tbl_ProduitsRef[Produit],0)),
   ""
)</f>
        <v/>
      </c>
      <c r="G4793" s="7">
        <f>tbl_Ventes[[#This Row],[Qté Vendue]] * IFERROR(_xlfn.XLOOKUP(tbl_Ventes[[#This Row],[Cde_Prdt]], tbl_Produits[Cde_Prdt], tbl_Produits[Prix Menu]), 0)</f>
        <v>0</v>
      </c>
      <c r="H4793" s="7">
        <f>IFERROR(_xlfn.XLOOKUP(tbl_Ventes[[#This Row],[Cde_Prdt]], tbl_Produits[Cde_Prdt], tbl_Produits[Coût Moyen Portion]), 0)</f>
        <v>0</v>
      </c>
      <c r="I4793" s="7">
        <f>tbl_Ventes[[#This Row],[Qté Vendue]] * tbl_Ventes[[#This Row],[CMP_par_portion]]</f>
        <v>0</v>
      </c>
      <c r="J4793" s="7">
        <f>tbl_Ventes[[#This Row],[CA ligne]] - tbl_Ventes[[#This Row],[Coût matière ligne]]</f>
        <v>0</v>
      </c>
      <c r="K4793" s="7" t="str">
        <f>IFERROR(INDEX(tbl_ProduitsRef[Famille], MATCH(tbl_Ventes[[#This Row],[Cde_Prdt]], tbl_Produits[Cde_Prdt], 0)), "")</f>
        <v/>
      </c>
    </row>
    <row r="4794" spans="1:11" x14ac:dyDescent="0.25">
      <c r="A4794" s="5"/>
      <c r="B4794" s="63" t="str">
        <f>IFERROR(TEXT(tbl_Ventes[[#This Row],[Date]],"mm-aaaa"),"")</f>
        <v>01-1900</v>
      </c>
      <c r="D4794" s="10" t="str">
        <f>IFERROR(
   INDEX(tbl_ProduitsRef[Cde_Prdt],MATCH(tbl_Ventes[[#This Row],[Produit]],tbl_ProduitsRef[Produit],0)),
   ""
)</f>
        <v/>
      </c>
      <c r="E4794" s="7">
        <v>0</v>
      </c>
      <c r="F4794" s="7" t="str">
        <f>IFERROR(
   INDEX(tbl_ProduitsRef[Prix Menu],MATCH(tbl_Ventes[[#This Row],[Produit]],tbl_ProduitsRef[Produit],0)),
   ""
)</f>
        <v/>
      </c>
      <c r="G4794" s="7">
        <f>tbl_Ventes[[#This Row],[Qté Vendue]] * IFERROR(_xlfn.XLOOKUP(tbl_Ventes[[#This Row],[Cde_Prdt]], tbl_Produits[Cde_Prdt], tbl_Produits[Prix Menu]), 0)</f>
        <v>0</v>
      </c>
      <c r="H4794" s="7">
        <f>IFERROR(_xlfn.XLOOKUP(tbl_Ventes[[#This Row],[Cde_Prdt]], tbl_Produits[Cde_Prdt], tbl_Produits[Coût Moyen Portion]), 0)</f>
        <v>0</v>
      </c>
      <c r="I4794" s="7">
        <f>tbl_Ventes[[#This Row],[Qté Vendue]] * tbl_Ventes[[#This Row],[CMP_par_portion]]</f>
        <v>0</v>
      </c>
      <c r="J4794" s="7">
        <f>tbl_Ventes[[#This Row],[CA ligne]] - tbl_Ventes[[#This Row],[Coût matière ligne]]</f>
        <v>0</v>
      </c>
      <c r="K4794" s="7" t="str">
        <f>IFERROR(INDEX(tbl_ProduitsRef[Famille], MATCH(tbl_Ventes[[#This Row],[Cde_Prdt]], tbl_Produits[Cde_Prdt], 0)), "")</f>
        <v/>
      </c>
    </row>
    <row r="4795" spans="1:11" x14ac:dyDescent="0.25">
      <c r="A4795" s="5"/>
      <c r="B4795" s="63" t="str">
        <f>IFERROR(TEXT(tbl_Ventes[[#This Row],[Date]],"mm-aaaa"),"")</f>
        <v>01-1900</v>
      </c>
      <c r="D4795" s="10" t="str">
        <f>IFERROR(
   INDEX(tbl_ProduitsRef[Cde_Prdt],MATCH(tbl_Ventes[[#This Row],[Produit]],tbl_ProduitsRef[Produit],0)),
   ""
)</f>
        <v/>
      </c>
      <c r="E4795" s="7">
        <v>0</v>
      </c>
      <c r="F4795" s="7" t="str">
        <f>IFERROR(
   INDEX(tbl_ProduitsRef[Prix Menu],MATCH(tbl_Ventes[[#This Row],[Produit]],tbl_ProduitsRef[Produit],0)),
   ""
)</f>
        <v/>
      </c>
      <c r="G4795" s="7">
        <f>tbl_Ventes[[#This Row],[Qté Vendue]] * IFERROR(_xlfn.XLOOKUP(tbl_Ventes[[#This Row],[Cde_Prdt]], tbl_Produits[Cde_Prdt], tbl_Produits[Prix Menu]), 0)</f>
        <v>0</v>
      </c>
      <c r="H4795" s="7">
        <f>IFERROR(_xlfn.XLOOKUP(tbl_Ventes[[#This Row],[Cde_Prdt]], tbl_Produits[Cde_Prdt], tbl_Produits[Coût Moyen Portion]), 0)</f>
        <v>0</v>
      </c>
      <c r="I4795" s="7">
        <f>tbl_Ventes[[#This Row],[Qté Vendue]] * tbl_Ventes[[#This Row],[CMP_par_portion]]</f>
        <v>0</v>
      </c>
      <c r="J4795" s="7">
        <f>tbl_Ventes[[#This Row],[CA ligne]] - tbl_Ventes[[#This Row],[Coût matière ligne]]</f>
        <v>0</v>
      </c>
      <c r="K4795" s="7" t="str">
        <f>IFERROR(INDEX(tbl_ProduitsRef[Famille], MATCH(tbl_Ventes[[#This Row],[Cde_Prdt]], tbl_Produits[Cde_Prdt], 0)), "")</f>
        <v/>
      </c>
    </row>
    <row r="4796" spans="1:11" x14ac:dyDescent="0.25">
      <c r="A4796" s="5"/>
      <c r="B4796" s="63" t="str">
        <f>IFERROR(TEXT(tbl_Ventes[[#This Row],[Date]],"mm-aaaa"),"")</f>
        <v>01-1900</v>
      </c>
      <c r="D4796" s="10" t="str">
        <f>IFERROR(
   INDEX(tbl_ProduitsRef[Cde_Prdt],MATCH(tbl_Ventes[[#This Row],[Produit]],tbl_ProduitsRef[Produit],0)),
   ""
)</f>
        <v/>
      </c>
      <c r="E4796" s="7">
        <v>0</v>
      </c>
      <c r="F4796" s="7" t="str">
        <f>IFERROR(
   INDEX(tbl_ProduitsRef[Prix Menu],MATCH(tbl_Ventes[[#This Row],[Produit]],tbl_ProduitsRef[Produit],0)),
   ""
)</f>
        <v/>
      </c>
      <c r="G4796" s="7">
        <f>tbl_Ventes[[#This Row],[Qté Vendue]] * IFERROR(_xlfn.XLOOKUP(tbl_Ventes[[#This Row],[Cde_Prdt]], tbl_Produits[Cde_Prdt], tbl_Produits[Prix Menu]), 0)</f>
        <v>0</v>
      </c>
      <c r="H4796" s="7">
        <f>IFERROR(_xlfn.XLOOKUP(tbl_Ventes[[#This Row],[Cde_Prdt]], tbl_Produits[Cde_Prdt], tbl_Produits[Coût Moyen Portion]), 0)</f>
        <v>0</v>
      </c>
      <c r="I4796" s="7">
        <f>tbl_Ventes[[#This Row],[Qté Vendue]] * tbl_Ventes[[#This Row],[CMP_par_portion]]</f>
        <v>0</v>
      </c>
      <c r="J4796" s="7">
        <f>tbl_Ventes[[#This Row],[CA ligne]] - tbl_Ventes[[#This Row],[Coût matière ligne]]</f>
        <v>0</v>
      </c>
      <c r="K4796" s="7" t="str">
        <f>IFERROR(INDEX(tbl_ProduitsRef[Famille], MATCH(tbl_Ventes[[#This Row],[Cde_Prdt]], tbl_Produits[Cde_Prdt], 0)), "")</f>
        <v/>
      </c>
    </row>
    <row r="4797" spans="1:11" x14ac:dyDescent="0.25">
      <c r="A4797" s="5"/>
      <c r="B4797" s="63" t="str">
        <f>IFERROR(TEXT(tbl_Ventes[[#This Row],[Date]],"mm-aaaa"),"")</f>
        <v>01-1900</v>
      </c>
      <c r="D4797" s="10" t="str">
        <f>IFERROR(
   INDEX(tbl_ProduitsRef[Cde_Prdt],MATCH(tbl_Ventes[[#This Row],[Produit]],tbl_ProduitsRef[Produit],0)),
   ""
)</f>
        <v/>
      </c>
      <c r="E4797" s="7">
        <v>0</v>
      </c>
      <c r="F4797" s="7" t="str">
        <f>IFERROR(
   INDEX(tbl_ProduitsRef[Prix Menu],MATCH(tbl_Ventes[[#This Row],[Produit]],tbl_ProduitsRef[Produit],0)),
   ""
)</f>
        <v/>
      </c>
      <c r="G4797" s="7">
        <f>tbl_Ventes[[#This Row],[Qté Vendue]] * IFERROR(_xlfn.XLOOKUP(tbl_Ventes[[#This Row],[Cde_Prdt]], tbl_Produits[Cde_Prdt], tbl_Produits[Prix Menu]), 0)</f>
        <v>0</v>
      </c>
      <c r="H4797" s="7">
        <f>IFERROR(_xlfn.XLOOKUP(tbl_Ventes[[#This Row],[Cde_Prdt]], tbl_Produits[Cde_Prdt], tbl_Produits[Coût Moyen Portion]), 0)</f>
        <v>0</v>
      </c>
      <c r="I4797" s="7">
        <f>tbl_Ventes[[#This Row],[Qté Vendue]] * tbl_Ventes[[#This Row],[CMP_par_portion]]</f>
        <v>0</v>
      </c>
      <c r="J4797" s="7">
        <f>tbl_Ventes[[#This Row],[CA ligne]] - tbl_Ventes[[#This Row],[Coût matière ligne]]</f>
        <v>0</v>
      </c>
      <c r="K4797" s="7" t="str">
        <f>IFERROR(INDEX(tbl_ProduitsRef[Famille], MATCH(tbl_Ventes[[#This Row],[Cde_Prdt]], tbl_Produits[Cde_Prdt], 0)), "")</f>
        <v/>
      </c>
    </row>
    <row r="4798" spans="1:11" x14ac:dyDescent="0.25">
      <c r="A4798" s="5"/>
      <c r="B4798" s="63" t="str">
        <f>IFERROR(TEXT(tbl_Ventes[[#This Row],[Date]],"mm-aaaa"),"")</f>
        <v>01-1900</v>
      </c>
      <c r="D4798" s="10" t="str">
        <f>IFERROR(
   INDEX(tbl_ProduitsRef[Cde_Prdt],MATCH(tbl_Ventes[[#This Row],[Produit]],tbl_ProduitsRef[Produit],0)),
   ""
)</f>
        <v/>
      </c>
      <c r="E4798" s="7">
        <v>0</v>
      </c>
      <c r="F4798" s="7" t="str">
        <f>IFERROR(
   INDEX(tbl_ProduitsRef[Prix Menu],MATCH(tbl_Ventes[[#This Row],[Produit]],tbl_ProduitsRef[Produit],0)),
   ""
)</f>
        <v/>
      </c>
      <c r="G4798" s="7">
        <f>tbl_Ventes[[#This Row],[Qté Vendue]] * IFERROR(_xlfn.XLOOKUP(tbl_Ventes[[#This Row],[Cde_Prdt]], tbl_Produits[Cde_Prdt], tbl_Produits[Prix Menu]), 0)</f>
        <v>0</v>
      </c>
      <c r="H4798" s="7">
        <f>IFERROR(_xlfn.XLOOKUP(tbl_Ventes[[#This Row],[Cde_Prdt]], tbl_Produits[Cde_Prdt], tbl_Produits[Coût Moyen Portion]), 0)</f>
        <v>0</v>
      </c>
      <c r="I4798" s="7">
        <f>tbl_Ventes[[#This Row],[Qté Vendue]] * tbl_Ventes[[#This Row],[CMP_par_portion]]</f>
        <v>0</v>
      </c>
      <c r="J4798" s="7">
        <f>tbl_Ventes[[#This Row],[CA ligne]] - tbl_Ventes[[#This Row],[Coût matière ligne]]</f>
        <v>0</v>
      </c>
      <c r="K4798" s="7" t="str">
        <f>IFERROR(INDEX(tbl_ProduitsRef[Famille], MATCH(tbl_Ventes[[#This Row],[Cde_Prdt]], tbl_Produits[Cde_Prdt], 0)), "")</f>
        <v/>
      </c>
    </row>
    <row r="4799" spans="1:11" x14ac:dyDescent="0.25">
      <c r="A4799" s="5"/>
      <c r="B4799" s="63" t="str">
        <f>IFERROR(TEXT(tbl_Ventes[[#This Row],[Date]],"mm-aaaa"),"")</f>
        <v>01-1900</v>
      </c>
      <c r="D4799" s="10" t="str">
        <f>IFERROR(
   INDEX(tbl_ProduitsRef[Cde_Prdt],MATCH(tbl_Ventes[[#This Row],[Produit]],tbl_ProduitsRef[Produit],0)),
   ""
)</f>
        <v/>
      </c>
      <c r="E4799" s="7">
        <v>0</v>
      </c>
      <c r="F4799" s="7" t="str">
        <f>IFERROR(
   INDEX(tbl_ProduitsRef[Prix Menu],MATCH(tbl_Ventes[[#This Row],[Produit]],tbl_ProduitsRef[Produit],0)),
   ""
)</f>
        <v/>
      </c>
      <c r="G4799" s="7">
        <f>tbl_Ventes[[#This Row],[Qté Vendue]] * IFERROR(_xlfn.XLOOKUP(tbl_Ventes[[#This Row],[Cde_Prdt]], tbl_Produits[Cde_Prdt], tbl_Produits[Prix Menu]), 0)</f>
        <v>0</v>
      </c>
      <c r="H4799" s="7">
        <f>IFERROR(_xlfn.XLOOKUP(tbl_Ventes[[#This Row],[Cde_Prdt]], tbl_Produits[Cde_Prdt], tbl_Produits[Coût Moyen Portion]), 0)</f>
        <v>0</v>
      </c>
      <c r="I4799" s="7">
        <f>tbl_Ventes[[#This Row],[Qté Vendue]] * tbl_Ventes[[#This Row],[CMP_par_portion]]</f>
        <v>0</v>
      </c>
      <c r="J4799" s="7">
        <f>tbl_Ventes[[#This Row],[CA ligne]] - tbl_Ventes[[#This Row],[Coût matière ligne]]</f>
        <v>0</v>
      </c>
      <c r="K4799" s="7" t="str">
        <f>IFERROR(INDEX(tbl_ProduitsRef[Famille], MATCH(tbl_Ventes[[#This Row],[Cde_Prdt]], tbl_Produits[Cde_Prdt], 0)), "")</f>
        <v/>
      </c>
    </row>
    <row r="4800" spans="1:11" x14ac:dyDescent="0.25">
      <c r="A4800" s="5"/>
      <c r="B4800" s="63" t="str">
        <f>IFERROR(TEXT(tbl_Ventes[[#This Row],[Date]],"mm-aaaa"),"")</f>
        <v>01-1900</v>
      </c>
      <c r="D4800" s="10" t="str">
        <f>IFERROR(
   INDEX(tbl_ProduitsRef[Cde_Prdt],MATCH(tbl_Ventes[[#This Row],[Produit]],tbl_ProduitsRef[Produit],0)),
   ""
)</f>
        <v/>
      </c>
      <c r="E4800" s="7">
        <v>0</v>
      </c>
      <c r="F4800" s="7" t="str">
        <f>IFERROR(
   INDEX(tbl_ProduitsRef[Prix Menu],MATCH(tbl_Ventes[[#This Row],[Produit]],tbl_ProduitsRef[Produit],0)),
   ""
)</f>
        <v/>
      </c>
      <c r="G4800" s="7">
        <f>tbl_Ventes[[#This Row],[Qté Vendue]] * IFERROR(_xlfn.XLOOKUP(tbl_Ventes[[#This Row],[Cde_Prdt]], tbl_Produits[Cde_Prdt], tbl_Produits[Prix Menu]), 0)</f>
        <v>0</v>
      </c>
      <c r="H4800" s="7">
        <f>IFERROR(_xlfn.XLOOKUP(tbl_Ventes[[#This Row],[Cde_Prdt]], tbl_Produits[Cde_Prdt], tbl_Produits[Coût Moyen Portion]), 0)</f>
        <v>0</v>
      </c>
      <c r="I4800" s="7">
        <f>tbl_Ventes[[#This Row],[Qté Vendue]] * tbl_Ventes[[#This Row],[CMP_par_portion]]</f>
        <v>0</v>
      </c>
      <c r="J4800" s="7">
        <f>tbl_Ventes[[#This Row],[CA ligne]] - tbl_Ventes[[#This Row],[Coût matière ligne]]</f>
        <v>0</v>
      </c>
      <c r="K4800" s="7" t="str">
        <f>IFERROR(INDEX(tbl_ProduitsRef[Famille], MATCH(tbl_Ventes[[#This Row],[Cde_Prdt]], tbl_Produits[Cde_Prdt], 0)), "")</f>
        <v/>
      </c>
    </row>
    <row r="4801" spans="1:11" x14ac:dyDescent="0.25">
      <c r="A4801" s="5"/>
      <c r="B4801" s="63" t="str">
        <f>IFERROR(TEXT(tbl_Ventes[[#This Row],[Date]],"mm-aaaa"),"")</f>
        <v>01-1900</v>
      </c>
      <c r="D4801" s="10" t="str">
        <f>IFERROR(
   INDEX(tbl_ProduitsRef[Cde_Prdt],MATCH(tbl_Ventes[[#This Row],[Produit]],tbl_ProduitsRef[Produit],0)),
   ""
)</f>
        <v/>
      </c>
      <c r="E4801" s="7">
        <v>0</v>
      </c>
      <c r="F4801" s="7" t="str">
        <f>IFERROR(
   INDEX(tbl_ProduitsRef[Prix Menu],MATCH(tbl_Ventes[[#This Row],[Produit]],tbl_ProduitsRef[Produit],0)),
   ""
)</f>
        <v/>
      </c>
      <c r="G4801" s="7">
        <f>tbl_Ventes[[#This Row],[Qté Vendue]] * IFERROR(_xlfn.XLOOKUP(tbl_Ventes[[#This Row],[Cde_Prdt]], tbl_Produits[Cde_Prdt], tbl_Produits[Prix Menu]), 0)</f>
        <v>0</v>
      </c>
      <c r="H4801" s="7">
        <f>IFERROR(_xlfn.XLOOKUP(tbl_Ventes[[#This Row],[Cde_Prdt]], tbl_Produits[Cde_Prdt], tbl_Produits[Coût Moyen Portion]), 0)</f>
        <v>0</v>
      </c>
      <c r="I4801" s="7">
        <f>tbl_Ventes[[#This Row],[Qté Vendue]] * tbl_Ventes[[#This Row],[CMP_par_portion]]</f>
        <v>0</v>
      </c>
      <c r="J4801" s="7">
        <f>tbl_Ventes[[#This Row],[CA ligne]] - tbl_Ventes[[#This Row],[Coût matière ligne]]</f>
        <v>0</v>
      </c>
      <c r="K4801" s="7" t="str">
        <f>IFERROR(INDEX(tbl_ProduitsRef[Famille], MATCH(tbl_Ventes[[#This Row],[Cde_Prdt]], tbl_Produits[Cde_Prdt], 0)), "")</f>
        <v/>
      </c>
    </row>
    <row r="4802" spans="1:11" x14ac:dyDescent="0.25">
      <c r="A4802" s="5"/>
      <c r="B4802" s="63" t="str">
        <f>IFERROR(TEXT(tbl_Ventes[[#This Row],[Date]],"mm-aaaa"),"")</f>
        <v>01-1900</v>
      </c>
      <c r="D4802" s="10" t="str">
        <f>IFERROR(
   INDEX(tbl_ProduitsRef[Cde_Prdt],MATCH(tbl_Ventes[[#This Row],[Produit]],tbl_ProduitsRef[Produit],0)),
   ""
)</f>
        <v/>
      </c>
      <c r="E4802" s="7">
        <v>0</v>
      </c>
      <c r="F4802" s="7" t="str">
        <f>IFERROR(
   INDEX(tbl_ProduitsRef[Prix Menu],MATCH(tbl_Ventes[[#This Row],[Produit]],tbl_ProduitsRef[Produit],0)),
   ""
)</f>
        <v/>
      </c>
      <c r="G4802" s="7">
        <f>tbl_Ventes[[#This Row],[Qté Vendue]] * IFERROR(_xlfn.XLOOKUP(tbl_Ventes[[#This Row],[Cde_Prdt]], tbl_Produits[Cde_Prdt], tbl_Produits[Prix Menu]), 0)</f>
        <v>0</v>
      </c>
      <c r="H4802" s="7">
        <f>IFERROR(_xlfn.XLOOKUP(tbl_Ventes[[#This Row],[Cde_Prdt]], tbl_Produits[Cde_Prdt], tbl_Produits[Coût Moyen Portion]), 0)</f>
        <v>0</v>
      </c>
      <c r="I4802" s="7">
        <f>tbl_Ventes[[#This Row],[Qté Vendue]] * tbl_Ventes[[#This Row],[CMP_par_portion]]</f>
        <v>0</v>
      </c>
      <c r="J4802" s="7">
        <f>tbl_Ventes[[#This Row],[CA ligne]] - tbl_Ventes[[#This Row],[Coût matière ligne]]</f>
        <v>0</v>
      </c>
      <c r="K4802" s="7" t="str">
        <f>IFERROR(INDEX(tbl_ProduitsRef[Famille], MATCH(tbl_Ventes[[#This Row],[Cde_Prdt]], tbl_Produits[Cde_Prdt], 0)), "")</f>
        <v/>
      </c>
    </row>
    <row r="4803" spans="1:11" x14ac:dyDescent="0.25">
      <c r="A4803" s="5"/>
      <c r="B4803" s="63" t="str">
        <f>IFERROR(TEXT(tbl_Ventes[[#This Row],[Date]],"mm-aaaa"),"")</f>
        <v>01-1900</v>
      </c>
      <c r="D4803" s="10" t="str">
        <f>IFERROR(
   INDEX(tbl_ProduitsRef[Cde_Prdt],MATCH(tbl_Ventes[[#This Row],[Produit]],tbl_ProduitsRef[Produit],0)),
   ""
)</f>
        <v/>
      </c>
      <c r="E4803" s="7">
        <v>0</v>
      </c>
      <c r="F4803" s="7" t="str">
        <f>IFERROR(
   INDEX(tbl_ProduitsRef[Prix Menu],MATCH(tbl_Ventes[[#This Row],[Produit]],tbl_ProduitsRef[Produit],0)),
   ""
)</f>
        <v/>
      </c>
      <c r="G4803" s="7">
        <f>tbl_Ventes[[#This Row],[Qté Vendue]] * IFERROR(_xlfn.XLOOKUP(tbl_Ventes[[#This Row],[Cde_Prdt]], tbl_Produits[Cde_Prdt], tbl_Produits[Prix Menu]), 0)</f>
        <v>0</v>
      </c>
      <c r="H4803" s="7">
        <f>IFERROR(_xlfn.XLOOKUP(tbl_Ventes[[#This Row],[Cde_Prdt]], tbl_Produits[Cde_Prdt], tbl_Produits[Coût Moyen Portion]), 0)</f>
        <v>0</v>
      </c>
      <c r="I4803" s="7">
        <f>tbl_Ventes[[#This Row],[Qté Vendue]] * tbl_Ventes[[#This Row],[CMP_par_portion]]</f>
        <v>0</v>
      </c>
      <c r="J4803" s="7">
        <f>tbl_Ventes[[#This Row],[CA ligne]] - tbl_Ventes[[#This Row],[Coût matière ligne]]</f>
        <v>0</v>
      </c>
      <c r="K4803" s="7" t="str">
        <f>IFERROR(INDEX(tbl_ProduitsRef[Famille], MATCH(tbl_Ventes[[#This Row],[Cde_Prdt]], tbl_Produits[Cde_Prdt], 0)), "")</f>
        <v/>
      </c>
    </row>
    <row r="4804" spans="1:11" x14ac:dyDescent="0.25">
      <c r="A4804" s="5"/>
      <c r="B4804" s="63" t="str">
        <f>IFERROR(TEXT(tbl_Ventes[[#This Row],[Date]],"mm-aaaa"),"")</f>
        <v>01-1900</v>
      </c>
      <c r="D4804" s="10" t="str">
        <f>IFERROR(
   INDEX(tbl_ProduitsRef[Cde_Prdt],MATCH(tbl_Ventes[[#This Row],[Produit]],tbl_ProduitsRef[Produit],0)),
   ""
)</f>
        <v/>
      </c>
      <c r="E4804" s="7">
        <v>0</v>
      </c>
      <c r="F4804" s="7" t="str">
        <f>IFERROR(
   INDEX(tbl_ProduitsRef[Prix Menu],MATCH(tbl_Ventes[[#This Row],[Produit]],tbl_ProduitsRef[Produit],0)),
   ""
)</f>
        <v/>
      </c>
      <c r="G4804" s="7">
        <f>tbl_Ventes[[#This Row],[Qté Vendue]] * IFERROR(_xlfn.XLOOKUP(tbl_Ventes[[#This Row],[Cde_Prdt]], tbl_Produits[Cde_Prdt], tbl_Produits[Prix Menu]), 0)</f>
        <v>0</v>
      </c>
      <c r="H4804" s="7">
        <f>IFERROR(_xlfn.XLOOKUP(tbl_Ventes[[#This Row],[Cde_Prdt]], tbl_Produits[Cde_Prdt], tbl_Produits[Coût Moyen Portion]), 0)</f>
        <v>0</v>
      </c>
      <c r="I4804" s="7">
        <f>tbl_Ventes[[#This Row],[Qté Vendue]] * tbl_Ventes[[#This Row],[CMP_par_portion]]</f>
        <v>0</v>
      </c>
      <c r="J4804" s="7">
        <f>tbl_Ventes[[#This Row],[CA ligne]] - tbl_Ventes[[#This Row],[Coût matière ligne]]</f>
        <v>0</v>
      </c>
      <c r="K4804" s="7" t="str">
        <f>IFERROR(INDEX(tbl_ProduitsRef[Famille], MATCH(tbl_Ventes[[#This Row],[Cde_Prdt]], tbl_Produits[Cde_Prdt], 0)), "")</f>
        <v/>
      </c>
    </row>
    <row r="4805" spans="1:11" x14ac:dyDescent="0.25">
      <c r="A4805" s="5"/>
      <c r="B4805" s="63" t="str">
        <f>IFERROR(TEXT(tbl_Ventes[[#This Row],[Date]],"mm-aaaa"),"")</f>
        <v>01-1900</v>
      </c>
      <c r="D4805" s="10" t="str">
        <f>IFERROR(
   INDEX(tbl_ProduitsRef[Cde_Prdt],MATCH(tbl_Ventes[[#This Row],[Produit]],tbl_ProduitsRef[Produit],0)),
   ""
)</f>
        <v/>
      </c>
      <c r="E4805" s="7">
        <v>0</v>
      </c>
      <c r="F4805" s="7" t="str">
        <f>IFERROR(
   INDEX(tbl_ProduitsRef[Prix Menu],MATCH(tbl_Ventes[[#This Row],[Produit]],tbl_ProduitsRef[Produit],0)),
   ""
)</f>
        <v/>
      </c>
      <c r="G4805" s="7">
        <f>tbl_Ventes[[#This Row],[Qté Vendue]] * IFERROR(_xlfn.XLOOKUP(tbl_Ventes[[#This Row],[Cde_Prdt]], tbl_Produits[Cde_Prdt], tbl_Produits[Prix Menu]), 0)</f>
        <v>0</v>
      </c>
      <c r="H4805" s="7">
        <f>IFERROR(_xlfn.XLOOKUP(tbl_Ventes[[#This Row],[Cde_Prdt]], tbl_Produits[Cde_Prdt], tbl_Produits[Coût Moyen Portion]), 0)</f>
        <v>0</v>
      </c>
      <c r="I4805" s="7">
        <f>tbl_Ventes[[#This Row],[Qté Vendue]] * tbl_Ventes[[#This Row],[CMP_par_portion]]</f>
        <v>0</v>
      </c>
      <c r="J4805" s="7">
        <f>tbl_Ventes[[#This Row],[CA ligne]] - tbl_Ventes[[#This Row],[Coût matière ligne]]</f>
        <v>0</v>
      </c>
      <c r="K4805" s="7" t="str">
        <f>IFERROR(INDEX(tbl_ProduitsRef[Famille], MATCH(tbl_Ventes[[#This Row],[Cde_Prdt]], tbl_Produits[Cde_Prdt], 0)), "")</f>
        <v/>
      </c>
    </row>
    <row r="4806" spans="1:11" x14ac:dyDescent="0.25">
      <c r="A4806" s="5"/>
      <c r="B4806" s="63" t="str">
        <f>IFERROR(TEXT(tbl_Ventes[[#This Row],[Date]],"mm-aaaa"),"")</f>
        <v>01-1900</v>
      </c>
      <c r="D4806" s="10" t="str">
        <f>IFERROR(
   INDEX(tbl_ProduitsRef[Cde_Prdt],MATCH(tbl_Ventes[[#This Row],[Produit]],tbl_ProduitsRef[Produit],0)),
   ""
)</f>
        <v/>
      </c>
      <c r="E4806" s="7">
        <v>0</v>
      </c>
      <c r="F4806" s="7" t="str">
        <f>IFERROR(
   INDEX(tbl_ProduitsRef[Prix Menu],MATCH(tbl_Ventes[[#This Row],[Produit]],tbl_ProduitsRef[Produit],0)),
   ""
)</f>
        <v/>
      </c>
      <c r="G4806" s="7">
        <f>tbl_Ventes[[#This Row],[Qté Vendue]] * IFERROR(_xlfn.XLOOKUP(tbl_Ventes[[#This Row],[Cde_Prdt]], tbl_Produits[Cde_Prdt], tbl_Produits[Prix Menu]), 0)</f>
        <v>0</v>
      </c>
      <c r="H4806" s="7">
        <f>IFERROR(_xlfn.XLOOKUP(tbl_Ventes[[#This Row],[Cde_Prdt]], tbl_Produits[Cde_Prdt], tbl_Produits[Coût Moyen Portion]), 0)</f>
        <v>0</v>
      </c>
      <c r="I4806" s="7">
        <f>tbl_Ventes[[#This Row],[Qté Vendue]] * tbl_Ventes[[#This Row],[CMP_par_portion]]</f>
        <v>0</v>
      </c>
      <c r="J4806" s="7">
        <f>tbl_Ventes[[#This Row],[CA ligne]] - tbl_Ventes[[#This Row],[Coût matière ligne]]</f>
        <v>0</v>
      </c>
      <c r="K4806" s="7" t="str">
        <f>IFERROR(INDEX(tbl_ProduitsRef[Famille], MATCH(tbl_Ventes[[#This Row],[Cde_Prdt]], tbl_Produits[Cde_Prdt], 0)), "")</f>
        <v/>
      </c>
    </row>
    <row r="4807" spans="1:11" x14ac:dyDescent="0.25">
      <c r="A4807" s="5"/>
      <c r="B4807" s="63" t="str">
        <f>IFERROR(TEXT(tbl_Ventes[[#This Row],[Date]],"mm-aaaa"),"")</f>
        <v>01-1900</v>
      </c>
      <c r="D4807" s="10" t="str">
        <f>IFERROR(
   INDEX(tbl_ProduitsRef[Cde_Prdt],MATCH(tbl_Ventes[[#This Row],[Produit]],tbl_ProduitsRef[Produit],0)),
   ""
)</f>
        <v/>
      </c>
      <c r="E4807" s="7">
        <v>0</v>
      </c>
      <c r="F4807" s="7" t="str">
        <f>IFERROR(
   INDEX(tbl_ProduitsRef[Prix Menu],MATCH(tbl_Ventes[[#This Row],[Produit]],tbl_ProduitsRef[Produit],0)),
   ""
)</f>
        <v/>
      </c>
      <c r="G4807" s="7">
        <f>tbl_Ventes[[#This Row],[Qté Vendue]] * IFERROR(_xlfn.XLOOKUP(tbl_Ventes[[#This Row],[Cde_Prdt]], tbl_Produits[Cde_Prdt], tbl_Produits[Prix Menu]), 0)</f>
        <v>0</v>
      </c>
      <c r="H4807" s="7">
        <f>IFERROR(_xlfn.XLOOKUP(tbl_Ventes[[#This Row],[Cde_Prdt]], tbl_Produits[Cde_Prdt], tbl_Produits[Coût Moyen Portion]), 0)</f>
        <v>0</v>
      </c>
      <c r="I4807" s="7">
        <f>tbl_Ventes[[#This Row],[Qté Vendue]] * tbl_Ventes[[#This Row],[CMP_par_portion]]</f>
        <v>0</v>
      </c>
      <c r="J4807" s="7">
        <f>tbl_Ventes[[#This Row],[CA ligne]] - tbl_Ventes[[#This Row],[Coût matière ligne]]</f>
        <v>0</v>
      </c>
      <c r="K4807" s="7" t="str">
        <f>IFERROR(INDEX(tbl_ProduitsRef[Famille], MATCH(tbl_Ventes[[#This Row],[Cde_Prdt]], tbl_Produits[Cde_Prdt], 0)), "")</f>
        <v/>
      </c>
    </row>
    <row r="4808" spans="1:11" x14ac:dyDescent="0.25">
      <c r="A4808" s="5"/>
      <c r="B4808" s="63" t="str">
        <f>IFERROR(TEXT(tbl_Ventes[[#This Row],[Date]],"mm-aaaa"),"")</f>
        <v>01-1900</v>
      </c>
      <c r="D4808" s="10" t="str">
        <f>IFERROR(
   INDEX(tbl_ProduitsRef[Cde_Prdt],MATCH(tbl_Ventes[[#This Row],[Produit]],tbl_ProduitsRef[Produit],0)),
   ""
)</f>
        <v/>
      </c>
      <c r="E4808" s="7">
        <v>0</v>
      </c>
      <c r="F4808" s="7" t="str">
        <f>IFERROR(
   INDEX(tbl_ProduitsRef[Prix Menu],MATCH(tbl_Ventes[[#This Row],[Produit]],tbl_ProduitsRef[Produit],0)),
   ""
)</f>
        <v/>
      </c>
      <c r="G4808" s="7">
        <f>tbl_Ventes[[#This Row],[Qté Vendue]] * IFERROR(_xlfn.XLOOKUP(tbl_Ventes[[#This Row],[Cde_Prdt]], tbl_Produits[Cde_Prdt], tbl_Produits[Prix Menu]), 0)</f>
        <v>0</v>
      </c>
      <c r="H4808" s="7">
        <f>IFERROR(_xlfn.XLOOKUP(tbl_Ventes[[#This Row],[Cde_Prdt]], tbl_Produits[Cde_Prdt], tbl_Produits[Coût Moyen Portion]), 0)</f>
        <v>0</v>
      </c>
      <c r="I4808" s="7">
        <f>tbl_Ventes[[#This Row],[Qté Vendue]] * tbl_Ventes[[#This Row],[CMP_par_portion]]</f>
        <v>0</v>
      </c>
      <c r="J4808" s="7">
        <f>tbl_Ventes[[#This Row],[CA ligne]] - tbl_Ventes[[#This Row],[Coût matière ligne]]</f>
        <v>0</v>
      </c>
      <c r="K4808" s="7" t="str">
        <f>IFERROR(INDEX(tbl_ProduitsRef[Famille], MATCH(tbl_Ventes[[#This Row],[Cde_Prdt]], tbl_Produits[Cde_Prdt], 0)), "")</f>
        <v/>
      </c>
    </row>
    <row r="4809" spans="1:11" x14ac:dyDescent="0.25">
      <c r="A4809" s="5"/>
      <c r="B4809" s="63" t="str">
        <f>IFERROR(TEXT(tbl_Ventes[[#This Row],[Date]],"mm-aaaa"),"")</f>
        <v>01-1900</v>
      </c>
      <c r="D4809" s="10" t="str">
        <f>IFERROR(
   INDEX(tbl_ProduitsRef[Cde_Prdt],MATCH(tbl_Ventes[[#This Row],[Produit]],tbl_ProduitsRef[Produit],0)),
   ""
)</f>
        <v/>
      </c>
      <c r="E4809" s="7">
        <v>0</v>
      </c>
      <c r="F4809" s="7" t="str">
        <f>IFERROR(
   INDEX(tbl_ProduitsRef[Prix Menu],MATCH(tbl_Ventes[[#This Row],[Produit]],tbl_ProduitsRef[Produit],0)),
   ""
)</f>
        <v/>
      </c>
      <c r="G4809" s="7">
        <f>tbl_Ventes[[#This Row],[Qté Vendue]] * IFERROR(_xlfn.XLOOKUP(tbl_Ventes[[#This Row],[Cde_Prdt]], tbl_Produits[Cde_Prdt], tbl_Produits[Prix Menu]), 0)</f>
        <v>0</v>
      </c>
      <c r="H4809" s="7">
        <f>IFERROR(_xlfn.XLOOKUP(tbl_Ventes[[#This Row],[Cde_Prdt]], tbl_Produits[Cde_Prdt], tbl_Produits[Coût Moyen Portion]), 0)</f>
        <v>0</v>
      </c>
      <c r="I4809" s="7">
        <f>tbl_Ventes[[#This Row],[Qté Vendue]] * tbl_Ventes[[#This Row],[CMP_par_portion]]</f>
        <v>0</v>
      </c>
      <c r="J4809" s="7">
        <f>tbl_Ventes[[#This Row],[CA ligne]] - tbl_Ventes[[#This Row],[Coût matière ligne]]</f>
        <v>0</v>
      </c>
      <c r="K4809" s="7" t="str">
        <f>IFERROR(INDEX(tbl_ProduitsRef[Famille], MATCH(tbl_Ventes[[#This Row],[Cde_Prdt]], tbl_Produits[Cde_Prdt], 0)), "")</f>
        <v/>
      </c>
    </row>
    <row r="4810" spans="1:11" x14ac:dyDescent="0.25">
      <c r="A4810" s="5"/>
      <c r="B4810" s="63" t="str">
        <f>IFERROR(TEXT(tbl_Ventes[[#This Row],[Date]],"mm-aaaa"),"")</f>
        <v>01-1900</v>
      </c>
      <c r="D4810" s="10" t="str">
        <f>IFERROR(
   INDEX(tbl_ProduitsRef[Cde_Prdt],MATCH(tbl_Ventes[[#This Row],[Produit]],tbl_ProduitsRef[Produit],0)),
   ""
)</f>
        <v/>
      </c>
      <c r="E4810" s="7">
        <v>0</v>
      </c>
      <c r="F4810" s="7" t="str">
        <f>IFERROR(
   INDEX(tbl_ProduitsRef[Prix Menu],MATCH(tbl_Ventes[[#This Row],[Produit]],tbl_ProduitsRef[Produit],0)),
   ""
)</f>
        <v/>
      </c>
      <c r="G4810" s="7">
        <f>tbl_Ventes[[#This Row],[Qté Vendue]] * IFERROR(_xlfn.XLOOKUP(tbl_Ventes[[#This Row],[Cde_Prdt]], tbl_Produits[Cde_Prdt], tbl_Produits[Prix Menu]), 0)</f>
        <v>0</v>
      </c>
      <c r="H4810" s="7">
        <f>IFERROR(_xlfn.XLOOKUP(tbl_Ventes[[#This Row],[Cde_Prdt]], tbl_Produits[Cde_Prdt], tbl_Produits[Coût Moyen Portion]), 0)</f>
        <v>0</v>
      </c>
      <c r="I4810" s="7">
        <f>tbl_Ventes[[#This Row],[Qté Vendue]] * tbl_Ventes[[#This Row],[CMP_par_portion]]</f>
        <v>0</v>
      </c>
      <c r="J4810" s="7">
        <f>tbl_Ventes[[#This Row],[CA ligne]] - tbl_Ventes[[#This Row],[Coût matière ligne]]</f>
        <v>0</v>
      </c>
      <c r="K4810" s="7" t="str">
        <f>IFERROR(INDEX(tbl_ProduitsRef[Famille], MATCH(tbl_Ventes[[#This Row],[Cde_Prdt]], tbl_Produits[Cde_Prdt], 0)), "")</f>
        <v/>
      </c>
    </row>
    <row r="4811" spans="1:11" x14ac:dyDescent="0.25">
      <c r="A4811" s="5"/>
      <c r="B4811" s="63" t="str">
        <f>IFERROR(TEXT(tbl_Ventes[[#This Row],[Date]],"mm-aaaa"),"")</f>
        <v>01-1900</v>
      </c>
      <c r="D4811" s="10" t="str">
        <f>IFERROR(
   INDEX(tbl_ProduitsRef[Cde_Prdt],MATCH(tbl_Ventes[[#This Row],[Produit]],tbl_ProduitsRef[Produit],0)),
   ""
)</f>
        <v/>
      </c>
      <c r="E4811" s="7">
        <v>0</v>
      </c>
      <c r="F4811" s="7" t="str">
        <f>IFERROR(
   INDEX(tbl_ProduitsRef[Prix Menu],MATCH(tbl_Ventes[[#This Row],[Produit]],tbl_ProduitsRef[Produit],0)),
   ""
)</f>
        <v/>
      </c>
      <c r="G4811" s="7">
        <f>tbl_Ventes[[#This Row],[Qté Vendue]] * IFERROR(_xlfn.XLOOKUP(tbl_Ventes[[#This Row],[Cde_Prdt]], tbl_Produits[Cde_Prdt], tbl_Produits[Prix Menu]), 0)</f>
        <v>0</v>
      </c>
      <c r="H4811" s="7">
        <f>IFERROR(_xlfn.XLOOKUP(tbl_Ventes[[#This Row],[Cde_Prdt]], tbl_Produits[Cde_Prdt], tbl_Produits[Coût Moyen Portion]), 0)</f>
        <v>0</v>
      </c>
      <c r="I4811" s="7">
        <f>tbl_Ventes[[#This Row],[Qté Vendue]] * tbl_Ventes[[#This Row],[CMP_par_portion]]</f>
        <v>0</v>
      </c>
      <c r="J4811" s="7">
        <f>tbl_Ventes[[#This Row],[CA ligne]] - tbl_Ventes[[#This Row],[Coût matière ligne]]</f>
        <v>0</v>
      </c>
      <c r="K4811" s="7" t="str">
        <f>IFERROR(INDEX(tbl_ProduitsRef[Famille], MATCH(tbl_Ventes[[#This Row],[Cde_Prdt]], tbl_Produits[Cde_Prdt], 0)), "")</f>
        <v/>
      </c>
    </row>
    <row r="4812" spans="1:11" x14ac:dyDescent="0.25">
      <c r="A4812" s="5"/>
      <c r="B4812" s="63" t="str">
        <f>IFERROR(TEXT(tbl_Ventes[[#This Row],[Date]],"mm-aaaa"),"")</f>
        <v>01-1900</v>
      </c>
      <c r="D4812" s="10" t="str">
        <f>IFERROR(
   INDEX(tbl_ProduitsRef[Cde_Prdt],MATCH(tbl_Ventes[[#This Row],[Produit]],tbl_ProduitsRef[Produit],0)),
   ""
)</f>
        <v/>
      </c>
      <c r="E4812" s="7">
        <v>0</v>
      </c>
      <c r="F4812" s="7" t="str">
        <f>IFERROR(
   INDEX(tbl_ProduitsRef[Prix Menu],MATCH(tbl_Ventes[[#This Row],[Produit]],tbl_ProduitsRef[Produit],0)),
   ""
)</f>
        <v/>
      </c>
      <c r="G4812" s="7">
        <f>tbl_Ventes[[#This Row],[Qté Vendue]] * IFERROR(_xlfn.XLOOKUP(tbl_Ventes[[#This Row],[Cde_Prdt]], tbl_Produits[Cde_Prdt], tbl_Produits[Prix Menu]), 0)</f>
        <v>0</v>
      </c>
      <c r="H4812" s="7">
        <f>IFERROR(_xlfn.XLOOKUP(tbl_Ventes[[#This Row],[Cde_Prdt]], tbl_Produits[Cde_Prdt], tbl_Produits[Coût Moyen Portion]), 0)</f>
        <v>0</v>
      </c>
      <c r="I4812" s="7">
        <f>tbl_Ventes[[#This Row],[Qté Vendue]] * tbl_Ventes[[#This Row],[CMP_par_portion]]</f>
        <v>0</v>
      </c>
      <c r="J4812" s="7">
        <f>tbl_Ventes[[#This Row],[CA ligne]] - tbl_Ventes[[#This Row],[Coût matière ligne]]</f>
        <v>0</v>
      </c>
      <c r="K4812" s="7" t="str">
        <f>IFERROR(INDEX(tbl_ProduitsRef[Famille], MATCH(tbl_Ventes[[#This Row],[Cde_Prdt]], tbl_Produits[Cde_Prdt], 0)), "")</f>
        <v/>
      </c>
    </row>
    <row r="4813" spans="1:11" x14ac:dyDescent="0.25">
      <c r="A4813" s="5"/>
      <c r="B4813" s="63" t="str">
        <f>IFERROR(TEXT(tbl_Ventes[[#This Row],[Date]],"mm-aaaa"),"")</f>
        <v>01-1900</v>
      </c>
      <c r="D4813" s="10" t="str">
        <f>IFERROR(
   INDEX(tbl_ProduitsRef[Cde_Prdt],MATCH(tbl_Ventes[[#This Row],[Produit]],tbl_ProduitsRef[Produit],0)),
   ""
)</f>
        <v/>
      </c>
      <c r="E4813" s="7">
        <v>0</v>
      </c>
      <c r="F4813" s="7" t="str">
        <f>IFERROR(
   INDEX(tbl_ProduitsRef[Prix Menu],MATCH(tbl_Ventes[[#This Row],[Produit]],tbl_ProduitsRef[Produit],0)),
   ""
)</f>
        <v/>
      </c>
      <c r="G4813" s="7">
        <f>tbl_Ventes[[#This Row],[Qté Vendue]] * IFERROR(_xlfn.XLOOKUP(tbl_Ventes[[#This Row],[Cde_Prdt]], tbl_Produits[Cde_Prdt], tbl_Produits[Prix Menu]), 0)</f>
        <v>0</v>
      </c>
      <c r="H4813" s="7">
        <f>IFERROR(_xlfn.XLOOKUP(tbl_Ventes[[#This Row],[Cde_Prdt]], tbl_Produits[Cde_Prdt], tbl_Produits[Coût Moyen Portion]), 0)</f>
        <v>0</v>
      </c>
      <c r="I4813" s="7">
        <f>tbl_Ventes[[#This Row],[Qté Vendue]] * tbl_Ventes[[#This Row],[CMP_par_portion]]</f>
        <v>0</v>
      </c>
      <c r="J4813" s="7">
        <f>tbl_Ventes[[#This Row],[CA ligne]] - tbl_Ventes[[#This Row],[Coût matière ligne]]</f>
        <v>0</v>
      </c>
      <c r="K4813" s="7" t="str">
        <f>IFERROR(INDEX(tbl_ProduitsRef[Famille], MATCH(tbl_Ventes[[#This Row],[Cde_Prdt]], tbl_Produits[Cde_Prdt], 0)), "")</f>
        <v/>
      </c>
    </row>
    <row r="4814" spans="1:11" x14ac:dyDescent="0.25">
      <c r="A4814" s="5"/>
      <c r="B4814" s="63" t="str">
        <f>IFERROR(TEXT(tbl_Ventes[[#This Row],[Date]],"mm-aaaa"),"")</f>
        <v>01-1900</v>
      </c>
      <c r="D4814" s="10" t="str">
        <f>IFERROR(
   INDEX(tbl_ProduitsRef[Cde_Prdt],MATCH(tbl_Ventes[[#This Row],[Produit]],tbl_ProduitsRef[Produit],0)),
   ""
)</f>
        <v/>
      </c>
      <c r="E4814" s="7">
        <v>0</v>
      </c>
      <c r="F4814" s="7" t="str">
        <f>IFERROR(
   INDEX(tbl_ProduitsRef[Prix Menu],MATCH(tbl_Ventes[[#This Row],[Produit]],tbl_ProduitsRef[Produit],0)),
   ""
)</f>
        <v/>
      </c>
      <c r="G4814" s="7">
        <f>tbl_Ventes[[#This Row],[Qté Vendue]] * IFERROR(_xlfn.XLOOKUP(tbl_Ventes[[#This Row],[Cde_Prdt]], tbl_Produits[Cde_Prdt], tbl_Produits[Prix Menu]), 0)</f>
        <v>0</v>
      </c>
      <c r="H4814" s="7">
        <f>IFERROR(_xlfn.XLOOKUP(tbl_Ventes[[#This Row],[Cde_Prdt]], tbl_Produits[Cde_Prdt], tbl_Produits[Coût Moyen Portion]), 0)</f>
        <v>0</v>
      </c>
      <c r="I4814" s="7">
        <f>tbl_Ventes[[#This Row],[Qté Vendue]] * tbl_Ventes[[#This Row],[CMP_par_portion]]</f>
        <v>0</v>
      </c>
      <c r="J4814" s="7">
        <f>tbl_Ventes[[#This Row],[CA ligne]] - tbl_Ventes[[#This Row],[Coût matière ligne]]</f>
        <v>0</v>
      </c>
      <c r="K4814" s="7" t="str">
        <f>IFERROR(INDEX(tbl_ProduitsRef[Famille], MATCH(tbl_Ventes[[#This Row],[Cde_Prdt]], tbl_Produits[Cde_Prdt], 0)), "")</f>
        <v/>
      </c>
    </row>
    <row r="4815" spans="1:11" x14ac:dyDescent="0.25">
      <c r="A4815" s="5"/>
      <c r="B4815" s="63" t="str">
        <f>IFERROR(TEXT(tbl_Ventes[[#This Row],[Date]],"mm-aaaa"),"")</f>
        <v>01-1900</v>
      </c>
      <c r="D4815" s="10" t="str">
        <f>IFERROR(
   INDEX(tbl_ProduitsRef[Cde_Prdt],MATCH(tbl_Ventes[[#This Row],[Produit]],tbl_ProduitsRef[Produit],0)),
   ""
)</f>
        <v/>
      </c>
      <c r="E4815" s="7">
        <v>0</v>
      </c>
      <c r="F4815" s="7" t="str">
        <f>IFERROR(
   INDEX(tbl_ProduitsRef[Prix Menu],MATCH(tbl_Ventes[[#This Row],[Produit]],tbl_ProduitsRef[Produit],0)),
   ""
)</f>
        <v/>
      </c>
      <c r="G4815" s="7">
        <f>tbl_Ventes[[#This Row],[Qté Vendue]] * IFERROR(_xlfn.XLOOKUP(tbl_Ventes[[#This Row],[Cde_Prdt]], tbl_Produits[Cde_Prdt], tbl_Produits[Prix Menu]), 0)</f>
        <v>0</v>
      </c>
      <c r="H4815" s="7">
        <f>IFERROR(_xlfn.XLOOKUP(tbl_Ventes[[#This Row],[Cde_Prdt]], tbl_Produits[Cde_Prdt], tbl_Produits[Coût Moyen Portion]), 0)</f>
        <v>0</v>
      </c>
      <c r="I4815" s="7">
        <f>tbl_Ventes[[#This Row],[Qté Vendue]] * tbl_Ventes[[#This Row],[CMP_par_portion]]</f>
        <v>0</v>
      </c>
      <c r="J4815" s="7">
        <f>tbl_Ventes[[#This Row],[CA ligne]] - tbl_Ventes[[#This Row],[Coût matière ligne]]</f>
        <v>0</v>
      </c>
      <c r="K4815" s="7" t="str">
        <f>IFERROR(INDEX(tbl_ProduitsRef[Famille], MATCH(tbl_Ventes[[#This Row],[Cde_Prdt]], tbl_Produits[Cde_Prdt], 0)), "")</f>
        <v/>
      </c>
    </row>
    <row r="4816" spans="1:11" x14ac:dyDescent="0.25">
      <c r="A4816" s="5"/>
      <c r="B4816" s="63" t="str">
        <f>IFERROR(TEXT(tbl_Ventes[[#This Row],[Date]],"mm-aaaa"),"")</f>
        <v>01-1900</v>
      </c>
      <c r="D4816" s="10" t="str">
        <f>IFERROR(
   INDEX(tbl_ProduitsRef[Cde_Prdt],MATCH(tbl_Ventes[[#This Row],[Produit]],tbl_ProduitsRef[Produit],0)),
   ""
)</f>
        <v/>
      </c>
      <c r="E4816" s="7">
        <v>0</v>
      </c>
      <c r="F4816" s="7" t="str">
        <f>IFERROR(
   INDEX(tbl_ProduitsRef[Prix Menu],MATCH(tbl_Ventes[[#This Row],[Produit]],tbl_ProduitsRef[Produit],0)),
   ""
)</f>
        <v/>
      </c>
      <c r="G4816" s="7">
        <f>tbl_Ventes[[#This Row],[Qté Vendue]] * IFERROR(_xlfn.XLOOKUP(tbl_Ventes[[#This Row],[Cde_Prdt]], tbl_Produits[Cde_Prdt], tbl_Produits[Prix Menu]), 0)</f>
        <v>0</v>
      </c>
      <c r="H4816" s="7">
        <f>IFERROR(_xlfn.XLOOKUP(tbl_Ventes[[#This Row],[Cde_Prdt]], tbl_Produits[Cde_Prdt], tbl_Produits[Coût Moyen Portion]), 0)</f>
        <v>0</v>
      </c>
      <c r="I4816" s="7">
        <f>tbl_Ventes[[#This Row],[Qté Vendue]] * tbl_Ventes[[#This Row],[CMP_par_portion]]</f>
        <v>0</v>
      </c>
      <c r="J4816" s="7">
        <f>tbl_Ventes[[#This Row],[CA ligne]] - tbl_Ventes[[#This Row],[Coût matière ligne]]</f>
        <v>0</v>
      </c>
      <c r="K4816" s="7" t="str">
        <f>IFERROR(INDEX(tbl_ProduitsRef[Famille], MATCH(tbl_Ventes[[#This Row],[Cde_Prdt]], tbl_Produits[Cde_Prdt], 0)), "")</f>
        <v/>
      </c>
    </row>
    <row r="4817" spans="1:11" x14ac:dyDescent="0.25">
      <c r="A4817" s="5"/>
      <c r="B4817" s="63" t="str">
        <f>IFERROR(TEXT(tbl_Ventes[[#This Row],[Date]],"mm-aaaa"),"")</f>
        <v>01-1900</v>
      </c>
      <c r="D4817" s="10" t="str">
        <f>IFERROR(
   INDEX(tbl_ProduitsRef[Cde_Prdt],MATCH(tbl_Ventes[[#This Row],[Produit]],tbl_ProduitsRef[Produit],0)),
   ""
)</f>
        <v/>
      </c>
      <c r="E4817" s="7">
        <v>0</v>
      </c>
      <c r="F4817" s="7" t="str">
        <f>IFERROR(
   INDEX(tbl_ProduitsRef[Prix Menu],MATCH(tbl_Ventes[[#This Row],[Produit]],tbl_ProduitsRef[Produit],0)),
   ""
)</f>
        <v/>
      </c>
      <c r="G4817" s="7">
        <f>tbl_Ventes[[#This Row],[Qté Vendue]] * IFERROR(_xlfn.XLOOKUP(tbl_Ventes[[#This Row],[Cde_Prdt]], tbl_Produits[Cde_Prdt], tbl_Produits[Prix Menu]), 0)</f>
        <v>0</v>
      </c>
      <c r="H4817" s="7">
        <f>IFERROR(_xlfn.XLOOKUP(tbl_Ventes[[#This Row],[Cde_Prdt]], tbl_Produits[Cde_Prdt], tbl_Produits[Coût Moyen Portion]), 0)</f>
        <v>0</v>
      </c>
      <c r="I4817" s="7">
        <f>tbl_Ventes[[#This Row],[Qté Vendue]] * tbl_Ventes[[#This Row],[CMP_par_portion]]</f>
        <v>0</v>
      </c>
      <c r="J4817" s="7">
        <f>tbl_Ventes[[#This Row],[CA ligne]] - tbl_Ventes[[#This Row],[Coût matière ligne]]</f>
        <v>0</v>
      </c>
      <c r="K4817" s="7" t="str">
        <f>IFERROR(INDEX(tbl_ProduitsRef[Famille], MATCH(tbl_Ventes[[#This Row],[Cde_Prdt]], tbl_Produits[Cde_Prdt], 0)), "")</f>
        <v/>
      </c>
    </row>
    <row r="4818" spans="1:11" x14ac:dyDescent="0.25">
      <c r="A4818" s="5"/>
      <c r="B4818" s="63" t="str">
        <f>IFERROR(TEXT(tbl_Ventes[[#This Row],[Date]],"mm-aaaa"),"")</f>
        <v>01-1900</v>
      </c>
      <c r="D4818" s="10" t="str">
        <f>IFERROR(
   INDEX(tbl_ProduitsRef[Cde_Prdt],MATCH(tbl_Ventes[[#This Row],[Produit]],tbl_ProduitsRef[Produit],0)),
   ""
)</f>
        <v/>
      </c>
      <c r="E4818" s="7">
        <v>0</v>
      </c>
      <c r="F4818" s="7" t="str">
        <f>IFERROR(
   INDEX(tbl_ProduitsRef[Prix Menu],MATCH(tbl_Ventes[[#This Row],[Produit]],tbl_ProduitsRef[Produit],0)),
   ""
)</f>
        <v/>
      </c>
      <c r="G4818" s="7">
        <f>tbl_Ventes[[#This Row],[Qté Vendue]] * IFERROR(_xlfn.XLOOKUP(tbl_Ventes[[#This Row],[Cde_Prdt]], tbl_Produits[Cde_Prdt], tbl_Produits[Prix Menu]), 0)</f>
        <v>0</v>
      </c>
      <c r="H4818" s="7">
        <f>IFERROR(_xlfn.XLOOKUP(tbl_Ventes[[#This Row],[Cde_Prdt]], tbl_Produits[Cde_Prdt], tbl_Produits[Coût Moyen Portion]), 0)</f>
        <v>0</v>
      </c>
      <c r="I4818" s="7">
        <f>tbl_Ventes[[#This Row],[Qté Vendue]] * tbl_Ventes[[#This Row],[CMP_par_portion]]</f>
        <v>0</v>
      </c>
      <c r="J4818" s="7">
        <f>tbl_Ventes[[#This Row],[CA ligne]] - tbl_Ventes[[#This Row],[Coût matière ligne]]</f>
        <v>0</v>
      </c>
      <c r="K4818" s="7" t="str">
        <f>IFERROR(INDEX(tbl_ProduitsRef[Famille], MATCH(tbl_Ventes[[#This Row],[Cde_Prdt]], tbl_Produits[Cde_Prdt], 0)), "")</f>
        <v/>
      </c>
    </row>
    <row r="4819" spans="1:11" x14ac:dyDescent="0.25">
      <c r="A4819" s="5"/>
      <c r="B4819" s="63" t="str">
        <f>IFERROR(TEXT(tbl_Ventes[[#This Row],[Date]],"mm-aaaa"),"")</f>
        <v>01-1900</v>
      </c>
      <c r="D4819" s="10" t="str">
        <f>IFERROR(
   INDEX(tbl_ProduitsRef[Cde_Prdt],MATCH(tbl_Ventes[[#This Row],[Produit]],tbl_ProduitsRef[Produit],0)),
   ""
)</f>
        <v/>
      </c>
      <c r="E4819" s="7">
        <v>0</v>
      </c>
      <c r="F4819" s="7" t="str">
        <f>IFERROR(
   INDEX(tbl_ProduitsRef[Prix Menu],MATCH(tbl_Ventes[[#This Row],[Produit]],tbl_ProduitsRef[Produit],0)),
   ""
)</f>
        <v/>
      </c>
      <c r="G4819" s="7">
        <f>tbl_Ventes[[#This Row],[Qté Vendue]] * IFERROR(_xlfn.XLOOKUP(tbl_Ventes[[#This Row],[Cde_Prdt]], tbl_Produits[Cde_Prdt], tbl_Produits[Prix Menu]), 0)</f>
        <v>0</v>
      </c>
      <c r="H4819" s="7">
        <f>IFERROR(_xlfn.XLOOKUP(tbl_Ventes[[#This Row],[Cde_Prdt]], tbl_Produits[Cde_Prdt], tbl_Produits[Coût Moyen Portion]), 0)</f>
        <v>0</v>
      </c>
      <c r="I4819" s="7">
        <f>tbl_Ventes[[#This Row],[Qté Vendue]] * tbl_Ventes[[#This Row],[CMP_par_portion]]</f>
        <v>0</v>
      </c>
      <c r="J4819" s="7">
        <f>tbl_Ventes[[#This Row],[CA ligne]] - tbl_Ventes[[#This Row],[Coût matière ligne]]</f>
        <v>0</v>
      </c>
      <c r="K4819" s="7" t="str">
        <f>IFERROR(INDEX(tbl_ProduitsRef[Famille], MATCH(tbl_Ventes[[#This Row],[Cde_Prdt]], tbl_Produits[Cde_Prdt], 0)), "")</f>
        <v/>
      </c>
    </row>
    <row r="4820" spans="1:11" x14ac:dyDescent="0.25">
      <c r="A4820" s="5"/>
      <c r="B4820" s="63" t="str">
        <f>IFERROR(TEXT(tbl_Ventes[[#This Row],[Date]],"mm-aaaa"),"")</f>
        <v>01-1900</v>
      </c>
      <c r="D4820" s="10" t="str">
        <f>IFERROR(
   INDEX(tbl_ProduitsRef[Cde_Prdt],MATCH(tbl_Ventes[[#This Row],[Produit]],tbl_ProduitsRef[Produit],0)),
   ""
)</f>
        <v/>
      </c>
      <c r="E4820" s="7">
        <v>0</v>
      </c>
      <c r="F4820" s="7" t="str">
        <f>IFERROR(
   INDEX(tbl_ProduitsRef[Prix Menu],MATCH(tbl_Ventes[[#This Row],[Produit]],tbl_ProduitsRef[Produit],0)),
   ""
)</f>
        <v/>
      </c>
      <c r="G4820" s="7">
        <f>tbl_Ventes[[#This Row],[Qté Vendue]] * IFERROR(_xlfn.XLOOKUP(tbl_Ventes[[#This Row],[Cde_Prdt]], tbl_Produits[Cde_Prdt], tbl_Produits[Prix Menu]), 0)</f>
        <v>0</v>
      </c>
      <c r="H4820" s="7">
        <f>IFERROR(_xlfn.XLOOKUP(tbl_Ventes[[#This Row],[Cde_Prdt]], tbl_Produits[Cde_Prdt], tbl_Produits[Coût Moyen Portion]), 0)</f>
        <v>0</v>
      </c>
      <c r="I4820" s="7">
        <f>tbl_Ventes[[#This Row],[Qté Vendue]] * tbl_Ventes[[#This Row],[CMP_par_portion]]</f>
        <v>0</v>
      </c>
      <c r="J4820" s="7">
        <f>tbl_Ventes[[#This Row],[CA ligne]] - tbl_Ventes[[#This Row],[Coût matière ligne]]</f>
        <v>0</v>
      </c>
      <c r="K4820" s="7" t="str">
        <f>IFERROR(INDEX(tbl_ProduitsRef[Famille], MATCH(tbl_Ventes[[#This Row],[Cde_Prdt]], tbl_Produits[Cde_Prdt], 0)), "")</f>
        <v/>
      </c>
    </row>
    <row r="4821" spans="1:11" x14ac:dyDescent="0.25">
      <c r="A4821" s="5"/>
      <c r="B4821" s="63" t="str">
        <f>IFERROR(TEXT(tbl_Ventes[[#This Row],[Date]],"mm-aaaa"),"")</f>
        <v>01-1900</v>
      </c>
      <c r="D4821" s="10" t="str">
        <f>IFERROR(
   INDEX(tbl_ProduitsRef[Cde_Prdt],MATCH(tbl_Ventes[[#This Row],[Produit]],tbl_ProduitsRef[Produit],0)),
   ""
)</f>
        <v/>
      </c>
      <c r="E4821" s="7">
        <v>0</v>
      </c>
      <c r="F4821" s="7" t="str">
        <f>IFERROR(
   INDEX(tbl_ProduitsRef[Prix Menu],MATCH(tbl_Ventes[[#This Row],[Produit]],tbl_ProduitsRef[Produit],0)),
   ""
)</f>
        <v/>
      </c>
      <c r="G4821" s="7">
        <f>tbl_Ventes[[#This Row],[Qté Vendue]] * IFERROR(_xlfn.XLOOKUP(tbl_Ventes[[#This Row],[Cde_Prdt]], tbl_Produits[Cde_Prdt], tbl_Produits[Prix Menu]), 0)</f>
        <v>0</v>
      </c>
      <c r="H4821" s="7">
        <f>IFERROR(_xlfn.XLOOKUP(tbl_Ventes[[#This Row],[Cde_Prdt]], tbl_Produits[Cde_Prdt], tbl_Produits[Coût Moyen Portion]), 0)</f>
        <v>0</v>
      </c>
      <c r="I4821" s="7">
        <f>tbl_Ventes[[#This Row],[Qté Vendue]] * tbl_Ventes[[#This Row],[CMP_par_portion]]</f>
        <v>0</v>
      </c>
      <c r="J4821" s="7">
        <f>tbl_Ventes[[#This Row],[CA ligne]] - tbl_Ventes[[#This Row],[Coût matière ligne]]</f>
        <v>0</v>
      </c>
      <c r="K4821" s="7" t="str">
        <f>IFERROR(INDEX(tbl_ProduitsRef[Famille], MATCH(tbl_Ventes[[#This Row],[Cde_Prdt]], tbl_Produits[Cde_Prdt], 0)), "")</f>
        <v/>
      </c>
    </row>
    <row r="4822" spans="1:11" x14ac:dyDescent="0.25">
      <c r="A4822" s="5"/>
      <c r="B4822" s="63" t="str">
        <f>IFERROR(TEXT(tbl_Ventes[[#This Row],[Date]],"mm-aaaa"),"")</f>
        <v>01-1900</v>
      </c>
      <c r="D4822" s="10" t="str">
        <f>IFERROR(
   INDEX(tbl_ProduitsRef[Cde_Prdt],MATCH(tbl_Ventes[[#This Row],[Produit]],tbl_ProduitsRef[Produit],0)),
   ""
)</f>
        <v/>
      </c>
      <c r="E4822" s="7">
        <v>0</v>
      </c>
      <c r="F4822" s="7" t="str">
        <f>IFERROR(
   INDEX(tbl_ProduitsRef[Prix Menu],MATCH(tbl_Ventes[[#This Row],[Produit]],tbl_ProduitsRef[Produit],0)),
   ""
)</f>
        <v/>
      </c>
      <c r="G4822" s="7">
        <f>tbl_Ventes[[#This Row],[Qté Vendue]] * IFERROR(_xlfn.XLOOKUP(tbl_Ventes[[#This Row],[Cde_Prdt]], tbl_Produits[Cde_Prdt], tbl_Produits[Prix Menu]), 0)</f>
        <v>0</v>
      </c>
      <c r="H4822" s="7">
        <f>IFERROR(_xlfn.XLOOKUP(tbl_Ventes[[#This Row],[Cde_Prdt]], tbl_Produits[Cde_Prdt], tbl_Produits[Coût Moyen Portion]), 0)</f>
        <v>0</v>
      </c>
      <c r="I4822" s="7">
        <f>tbl_Ventes[[#This Row],[Qté Vendue]] * tbl_Ventes[[#This Row],[CMP_par_portion]]</f>
        <v>0</v>
      </c>
      <c r="J4822" s="7">
        <f>tbl_Ventes[[#This Row],[CA ligne]] - tbl_Ventes[[#This Row],[Coût matière ligne]]</f>
        <v>0</v>
      </c>
      <c r="K4822" s="7" t="str">
        <f>IFERROR(INDEX(tbl_ProduitsRef[Famille], MATCH(tbl_Ventes[[#This Row],[Cde_Prdt]], tbl_Produits[Cde_Prdt], 0)), "")</f>
        <v/>
      </c>
    </row>
    <row r="4823" spans="1:11" x14ac:dyDescent="0.25">
      <c r="A4823" s="5"/>
      <c r="B4823" s="63" t="str">
        <f>IFERROR(TEXT(tbl_Ventes[[#This Row],[Date]],"mm-aaaa"),"")</f>
        <v>01-1900</v>
      </c>
      <c r="D4823" s="10" t="str">
        <f>IFERROR(
   INDEX(tbl_ProduitsRef[Cde_Prdt],MATCH(tbl_Ventes[[#This Row],[Produit]],tbl_ProduitsRef[Produit],0)),
   ""
)</f>
        <v/>
      </c>
      <c r="E4823" s="7">
        <v>0</v>
      </c>
      <c r="F4823" s="7" t="str">
        <f>IFERROR(
   INDEX(tbl_ProduitsRef[Prix Menu],MATCH(tbl_Ventes[[#This Row],[Produit]],tbl_ProduitsRef[Produit],0)),
   ""
)</f>
        <v/>
      </c>
      <c r="G4823" s="7">
        <f>tbl_Ventes[[#This Row],[Qté Vendue]] * IFERROR(_xlfn.XLOOKUP(tbl_Ventes[[#This Row],[Cde_Prdt]], tbl_Produits[Cde_Prdt], tbl_Produits[Prix Menu]), 0)</f>
        <v>0</v>
      </c>
      <c r="H4823" s="7">
        <f>IFERROR(_xlfn.XLOOKUP(tbl_Ventes[[#This Row],[Cde_Prdt]], tbl_Produits[Cde_Prdt], tbl_Produits[Coût Moyen Portion]), 0)</f>
        <v>0</v>
      </c>
      <c r="I4823" s="7">
        <f>tbl_Ventes[[#This Row],[Qté Vendue]] * tbl_Ventes[[#This Row],[CMP_par_portion]]</f>
        <v>0</v>
      </c>
      <c r="J4823" s="7">
        <f>tbl_Ventes[[#This Row],[CA ligne]] - tbl_Ventes[[#This Row],[Coût matière ligne]]</f>
        <v>0</v>
      </c>
      <c r="K4823" s="7" t="str">
        <f>IFERROR(INDEX(tbl_ProduitsRef[Famille], MATCH(tbl_Ventes[[#This Row],[Cde_Prdt]], tbl_Produits[Cde_Prdt], 0)), "")</f>
        <v/>
      </c>
    </row>
    <row r="4824" spans="1:11" x14ac:dyDescent="0.25">
      <c r="A4824" s="5"/>
      <c r="B4824" s="63" t="str">
        <f>IFERROR(TEXT(tbl_Ventes[[#This Row],[Date]],"mm-aaaa"),"")</f>
        <v>01-1900</v>
      </c>
      <c r="D4824" s="10" t="str">
        <f>IFERROR(
   INDEX(tbl_ProduitsRef[Cde_Prdt],MATCH(tbl_Ventes[[#This Row],[Produit]],tbl_ProduitsRef[Produit],0)),
   ""
)</f>
        <v/>
      </c>
      <c r="E4824" s="7">
        <v>0</v>
      </c>
      <c r="F4824" s="7" t="str">
        <f>IFERROR(
   INDEX(tbl_ProduitsRef[Prix Menu],MATCH(tbl_Ventes[[#This Row],[Produit]],tbl_ProduitsRef[Produit],0)),
   ""
)</f>
        <v/>
      </c>
      <c r="G4824" s="7">
        <f>tbl_Ventes[[#This Row],[Qté Vendue]] * IFERROR(_xlfn.XLOOKUP(tbl_Ventes[[#This Row],[Cde_Prdt]], tbl_Produits[Cde_Prdt], tbl_Produits[Prix Menu]), 0)</f>
        <v>0</v>
      </c>
      <c r="H4824" s="7">
        <f>IFERROR(_xlfn.XLOOKUP(tbl_Ventes[[#This Row],[Cde_Prdt]], tbl_Produits[Cde_Prdt], tbl_Produits[Coût Moyen Portion]), 0)</f>
        <v>0</v>
      </c>
      <c r="I4824" s="7">
        <f>tbl_Ventes[[#This Row],[Qté Vendue]] * tbl_Ventes[[#This Row],[CMP_par_portion]]</f>
        <v>0</v>
      </c>
      <c r="J4824" s="7">
        <f>tbl_Ventes[[#This Row],[CA ligne]] - tbl_Ventes[[#This Row],[Coût matière ligne]]</f>
        <v>0</v>
      </c>
      <c r="K4824" s="7" t="str">
        <f>IFERROR(INDEX(tbl_ProduitsRef[Famille], MATCH(tbl_Ventes[[#This Row],[Cde_Prdt]], tbl_Produits[Cde_Prdt], 0)), "")</f>
        <v/>
      </c>
    </row>
    <row r="4825" spans="1:11" x14ac:dyDescent="0.25">
      <c r="A4825" s="5"/>
      <c r="B4825" s="63" t="str">
        <f>IFERROR(TEXT(tbl_Ventes[[#This Row],[Date]],"mm-aaaa"),"")</f>
        <v>01-1900</v>
      </c>
      <c r="D4825" s="10" t="str">
        <f>IFERROR(
   INDEX(tbl_ProduitsRef[Cde_Prdt],MATCH(tbl_Ventes[[#This Row],[Produit]],tbl_ProduitsRef[Produit],0)),
   ""
)</f>
        <v/>
      </c>
      <c r="E4825" s="7">
        <v>0</v>
      </c>
      <c r="F4825" s="7" t="str">
        <f>IFERROR(
   INDEX(tbl_ProduitsRef[Prix Menu],MATCH(tbl_Ventes[[#This Row],[Produit]],tbl_ProduitsRef[Produit],0)),
   ""
)</f>
        <v/>
      </c>
      <c r="G4825" s="7">
        <f>tbl_Ventes[[#This Row],[Qté Vendue]] * IFERROR(_xlfn.XLOOKUP(tbl_Ventes[[#This Row],[Cde_Prdt]], tbl_Produits[Cde_Prdt], tbl_Produits[Prix Menu]), 0)</f>
        <v>0</v>
      </c>
      <c r="H4825" s="7">
        <f>IFERROR(_xlfn.XLOOKUP(tbl_Ventes[[#This Row],[Cde_Prdt]], tbl_Produits[Cde_Prdt], tbl_Produits[Coût Moyen Portion]), 0)</f>
        <v>0</v>
      </c>
      <c r="I4825" s="7">
        <f>tbl_Ventes[[#This Row],[Qté Vendue]] * tbl_Ventes[[#This Row],[CMP_par_portion]]</f>
        <v>0</v>
      </c>
      <c r="J4825" s="7">
        <f>tbl_Ventes[[#This Row],[CA ligne]] - tbl_Ventes[[#This Row],[Coût matière ligne]]</f>
        <v>0</v>
      </c>
      <c r="K4825" s="7" t="str">
        <f>IFERROR(INDEX(tbl_ProduitsRef[Famille], MATCH(tbl_Ventes[[#This Row],[Cde_Prdt]], tbl_Produits[Cde_Prdt], 0)), "")</f>
        <v/>
      </c>
    </row>
    <row r="4826" spans="1:11" x14ac:dyDescent="0.25">
      <c r="A4826" s="5"/>
      <c r="B4826" s="63" t="str">
        <f>IFERROR(TEXT(tbl_Ventes[[#This Row],[Date]],"mm-aaaa"),"")</f>
        <v>01-1900</v>
      </c>
      <c r="D4826" s="10" t="str">
        <f>IFERROR(
   INDEX(tbl_ProduitsRef[Cde_Prdt],MATCH(tbl_Ventes[[#This Row],[Produit]],tbl_ProduitsRef[Produit],0)),
   ""
)</f>
        <v/>
      </c>
      <c r="E4826" s="7">
        <v>0</v>
      </c>
      <c r="F4826" s="7" t="str">
        <f>IFERROR(
   INDEX(tbl_ProduitsRef[Prix Menu],MATCH(tbl_Ventes[[#This Row],[Produit]],tbl_ProduitsRef[Produit],0)),
   ""
)</f>
        <v/>
      </c>
      <c r="G4826" s="7">
        <f>tbl_Ventes[[#This Row],[Qté Vendue]] * IFERROR(_xlfn.XLOOKUP(tbl_Ventes[[#This Row],[Cde_Prdt]], tbl_Produits[Cde_Prdt], tbl_Produits[Prix Menu]), 0)</f>
        <v>0</v>
      </c>
      <c r="H4826" s="7">
        <f>IFERROR(_xlfn.XLOOKUP(tbl_Ventes[[#This Row],[Cde_Prdt]], tbl_Produits[Cde_Prdt], tbl_Produits[Coût Moyen Portion]), 0)</f>
        <v>0</v>
      </c>
      <c r="I4826" s="7">
        <f>tbl_Ventes[[#This Row],[Qté Vendue]] * tbl_Ventes[[#This Row],[CMP_par_portion]]</f>
        <v>0</v>
      </c>
      <c r="J4826" s="7">
        <f>tbl_Ventes[[#This Row],[CA ligne]] - tbl_Ventes[[#This Row],[Coût matière ligne]]</f>
        <v>0</v>
      </c>
      <c r="K4826" s="7" t="str">
        <f>IFERROR(INDEX(tbl_ProduitsRef[Famille], MATCH(tbl_Ventes[[#This Row],[Cde_Prdt]], tbl_Produits[Cde_Prdt], 0)), "")</f>
        <v/>
      </c>
    </row>
    <row r="4827" spans="1:11" x14ac:dyDescent="0.25">
      <c r="A4827" s="5"/>
      <c r="B4827" s="63" t="str">
        <f>IFERROR(TEXT(tbl_Ventes[[#This Row],[Date]],"mm-aaaa"),"")</f>
        <v>01-1900</v>
      </c>
      <c r="D4827" s="10" t="str">
        <f>IFERROR(
   INDEX(tbl_ProduitsRef[Cde_Prdt],MATCH(tbl_Ventes[[#This Row],[Produit]],tbl_ProduitsRef[Produit],0)),
   ""
)</f>
        <v/>
      </c>
      <c r="E4827" s="7">
        <v>0</v>
      </c>
      <c r="F4827" s="7" t="str">
        <f>IFERROR(
   INDEX(tbl_ProduitsRef[Prix Menu],MATCH(tbl_Ventes[[#This Row],[Produit]],tbl_ProduitsRef[Produit],0)),
   ""
)</f>
        <v/>
      </c>
      <c r="G4827" s="7">
        <f>tbl_Ventes[[#This Row],[Qté Vendue]] * IFERROR(_xlfn.XLOOKUP(tbl_Ventes[[#This Row],[Cde_Prdt]], tbl_Produits[Cde_Prdt], tbl_Produits[Prix Menu]), 0)</f>
        <v>0</v>
      </c>
      <c r="H4827" s="7">
        <f>IFERROR(_xlfn.XLOOKUP(tbl_Ventes[[#This Row],[Cde_Prdt]], tbl_Produits[Cde_Prdt], tbl_Produits[Coût Moyen Portion]), 0)</f>
        <v>0</v>
      </c>
      <c r="I4827" s="7">
        <f>tbl_Ventes[[#This Row],[Qté Vendue]] * tbl_Ventes[[#This Row],[CMP_par_portion]]</f>
        <v>0</v>
      </c>
      <c r="J4827" s="7">
        <f>tbl_Ventes[[#This Row],[CA ligne]] - tbl_Ventes[[#This Row],[Coût matière ligne]]</f>
        <v>0</v>
      </c>
      <c r="K4827" s="7" t="str">
        <f>IFERROR(INDEX(tbl_ProduitsRef[Famille], MATCH(tbl_Ventes[[#This Row],[Cde_Prdt]], tbl_Produits[Cde_Prdt], 0)), "")</f>
        <v/>
      </c>
    </row>
    <row r="4828" spans="1:11" x14ac:dyDescent="0.25">
      <c r="A4828" s="5"/>
      <c r="B4828" s="63" t="str">
        <f>IFERROR(TEXT(tbl_Ventes[[#This Row],[Date]],"mm-aaaa"),"")</f>
        <v>01-1900</v>
      </c>
      <c r="D4828" s="10" t="str">
        <f>IFERROR(
   INDEX(tbl_ProduitsRef[Cde_Prdt],MATCH(tbl_Ventes[[#This Row],[Produit]],tbl_ProduitsRef[Produit],0)),
   ""
)</f>
        <v/>
      </c>
      <c r="E4828" s="7">
        <v>0</v>
      </c>
      <c r="F4828" s="7" t="str">
        <f>IFERROR(
   INDEX(tbl_ProduitsRef[Prix Menu],MATCH(tbl_Ventes[[#This Row],[Produit]],tbl_ProduitsRef[Produit],0)),
   ""
)</f>
        <v/>
      </c>
      <c r="G4828" s="7">
        <f>tbl_Ventes[[#This Row],[Qté Vendue]] * IFERROR(_xlfn.XLOOKUP(tbl_Ventes[[#This Row],[Cde_Prdt]], tbl_Produits[Cde_Prdt], tbl_Produits[Prix Menu]), 0)</f>
        <v>0</v>
      </c>
      <c r="H4828" s="7">
        <f>IFERROR(_xlfn.XLOOKUP(tbl_Ventes[[#This Row],[Cde_Prdt]], tbl_Produits[Cde_Prdt], tbl_Produits[Coût Moyen Portion]), 0)</f>
        <v>0</v>
      </c>
      <c r="I4828" s="7">
        <f>tbl_Ventes[[#This Row],[Qté Vendue]] * tbl_Ventes[[#This Row],[CMP_par_portion]]</f>
        <v>0</v>
      </c>
      <c r="J4828" s="7">
        <f>tbl_Ventes[[#This Row],[CA ligne]] - tbl_Ventes[[#This Row],[Coût matière ligne]]</f>
        <v>0</v>
      </c>
      <c r="K4828" s="7" t="str">
        <f>IFERROR(INDEX(tbl_ProduitsRef[Famille], MATCH(tbl_Ventes[[#This Row],[Cde_Prdt]], tbl_Produits[Cde_Prdt], 0)), "")</f>
        <v/>
      </c>
    </row>
    <row r="4829" spans="1:11" x14ac:dyDescent="0.25">
      <c r="A4829" s="5"/>
      <c r="B4829" s="63" t="str">
        <f>IFERROR(TEXT(tbl_Ventes[[#This Row],[Date]],"mm-aaaa"),"")</f>
        <v>01-1900</v>
      </c>
      <c r="D4829" s="10" t="str">
        <f>IFERROR(
   INDEX(tbl_ProduitsRef[Cde_Prdt],MATCH(tbl_Ventes[[#This Row],[Produit]],tbl_ProduitsRef[Produit],0)),
   ""
)</f>
        <v/>
      </c>
      <c r="E4829" s="7">
        <v>0</v>
      </c>
      <c r="F4829" s="7" t="str">
        <f>IFERROR(
   INDEX(tbl_ProduitsRef[Prix Menu],MATCH(tbl_Ventes[[#This Row],[Produit]],tbl_ProduitsRef[Produit],0)),
   ""
)</f>
        <v/>
      </c>
      <c r="G4829" s="7">
        <f>tbl_Ventes[[#This Row],[Qté Vendue]] * IFERROR(_xlfn.XLOOKUP(tbl_Ventes[[#This Row],[Cde_Prdt]], tbl_Produits[Cde_Prdt], tbl_Produits[Prix Menu]), 0)</f>
        <v>0</v>
      </c>
      <c r="H4829" s="7">
        <f>IFERROR(_xlfn.XLOOKUP(tbl_Ventes[[#This Row],[Cde_Prdt]], tbl_Produits[Cde_Prdt], tbl_Produits[Coût Moyen Portion]), 0)</f>
        <v>0</v>
      </c>
      <c r="I4829" s="7">
        <f>tbl_Ventes[[#This Row],[Qté Vendue]] * tbl_Ventes[[#This Row],[CMP_par_portion]]</f>
        <v>0</v>
      </c>
      <c r="J4829" s="7">
        <f>tbl_Ventes[[#This Row],[CA ligne]] - tbl_Ventes[[#This Row],[Coût matière ligne]]</f>
        <v>0</v>
      </c>
      <c r="K4829" s="7" t="str">
        <f>IFERROR(INDEX(tbl_ProduitsRef[Famille], MATCH(tbl_Ventes[[#This Row],[Cde_Prdt]], tbl_Produits[Cde_Prdt], 0)), "")</f>
        <v/>
      </c>
    </row>
    <row r="4830" spans="1:11" x14ac:dyDescent="0.25">
      <c r="A4830" s="5"/>
      <c r="B4830" s="63" t="str">
        <f>IFERROR(TEXT(tbl_Ventes[[#This Row],[Date]],"mm-aaaa"),"")</f>
        <v>01-1900</v>
      </c>
      <c r="D4830" s="10" t="str">
        <f>IFERROR(
   INDEX(tbl_ProduitsRef[Cde_Prdt],MATCH(tbl_Ventes[[#This Row],[Produit]],tbl_ProduitsRef[Produit],0)),
   ""
)</f>
        <v/>
      </c>
      <c r="E4830" s="7">
        <v>0</v>
      </c>
      <c r="F4830" s="7" t="str">
        <f>IFERROR(
   INDEX(tbl_ProduitsRef[Prix Menu],MATCH(tbl_Ventes[[#This Row],[Produit]],tbl_ProduitsRef[Produit],0)),
   ""
)</f>
        <v/>
      </c>
      <c r="G4830" s="7">
        <f>tbl_Ventes[[#This Row],[Qté Vendue]] * IFERROR(_xlfn.XLOOKUP(tbl_Ventes[[#This Row],[Cde_Prdt]], tbl_Produits[Cde_Prdt], tbl_Produits[Prix Menu]), 0)</f>
        <v>0</v>
      </c>
      <c r="H4830" s="7">
        <f>IFERROR(_xlfn.XLOOKUP(tbl_Ventes[[#This Row],[Cde_Prdt]], tbl_Produits[Cde_Prdt], tbl_Produits[Coût Moyen Portion]), 0)</f>
        <v>0</v>
      </c>
      <c r="I4830" s="7">
        <f>tbl_Ventes[[#This Row],[Qté Vendue]] * tbl_Ventes[[#This Row],[CMP_par_portion]]</f>
        <v>0</v>
      </c>
      <c r="J4830" s="7">
        <f>tbl_Ventes[[#This Row],[CA ligne]] - tbl_Ventes[[#This Row],[Coût matière ligne]]</f>
        <v>0</v>
      </c>
      <c r="K4830" s="7" t="str">
        <f>IFERROR(INDEX(tbl_ProduitsRef[Famille], MATCH(tbl_Ventes[[#This Row],[Cde_Prdt]], tbl_Produits[Cde_Prdt], 0)), "")</f>
        <v/>
      </c>
    </row>
    <row r="4831" spans="1:11" x14ac:dyDescent="0.25">
      <c r="A4831" s="5"/>
      <c r="B4831" s="63" t="str">
        <f>IFERROR(TEXT(tbl_Ventes[[#This Row],[Date]],"mm-aaaa"),"")</f>
        <v>01-1900</v>
      </c>
      <c r="D4831" s="10" t="str">
        <f>IFERROR(
   INDEX(tbl_ProduitsRef[Cde_Prdt],MATCH(tbl_Ventes[[#This Row],[Produit]],tbl_ProduitsRef[Produit],0)),
   ""
)</f>
        <v/>
      </c>
      <c r="E4831" s="7">
        <v>0</v>
      </c>
      <c r="F4831" s="7" t="str">
        <f>IFERROR(
   INDEX(tbl_ProduitsRef[Prix Menu],MATCH(tbl_Ventes[[#This Row],[Produit]],tbl_ProduitsRef[Produit],0)),
   ""
)</f>
        <v/>
      </c>
      <c r="G4831" s="7">
        <f>tbl_Ventes[[#This Row],[Qté Vendue]] * IFERROR(_xlfn.XLOOKUP(tbl_Ventes[[#This Row],[Cde_Prdt]], tbl_Produits[Cde_Prdt], tbl_Produits[Prix Menu]), 0)</f>
        <v>0</v>
      </c>
      <c r="H4831" s="7">
        <f>IFERROR(_xlfn.XLOOKUP(tbl_Ventes[[#This Row],[Cde_Prdt]], tbl_Produits[Cde_Prdt], tbl_Produits[Coût Moyen Portion]), 0)</f>
        <v>0</v>
      </c>
      <c r="I4831" s="7">
        <f>tbl_Ventes[[#This Row],[Qté Vendue]] * tbl_Ventes[[#This Row],[CMP_par_portion]]</f>
        <v>0</v>
      </c>
      <c r="J4831" s="7">
        <f>tbl_Ventes[[#This Row],[CA ligne]] - tbl_Ventes[[#This Row],[Coût matière ligne]]</f>
        <v>0</v>
      </c>
      <c r="K4831" s="7" t="str">
        <f>IFERROR(INDEX(tbl_ProduitsRef[Famille], MATCH(tbl_Ventes[[#This Row],[Cde_Prdt]], tbl_Produits[Cde_Prdt], 0)), "")</f>
        <v/>
      </c>
    </row>
    <row r="4832" spans="1:11" x14ac:dyDescent="0.25">
      <c r="A4832" s="5"/>
      <c r="B4832" s="63" t="str">
        <f>IFERROR(TEXT(tbl_Ventes[[#This Row],[Date]],"mm-aaaa"),"")</f>
        <v>01-1900</v>
      </c>
      <c r="D4832" s="10" t="str">
        <f>IFERROR(
   INDEX(tbl_ProduitsRef[Cde_Prdt],MATCH(tbl_Ventes[[#This Row],[Produit]],tbl_ProduitsRef[Produit],0)),
   ""
)</f>
        <v/>
      </c>
      <c r="E4832" s="7">
        <v>0</v>
      </c>
      <c r="F4832" s="7" t="str">
        <f>IFERROR(
   INDEX(tbl_ProduitsRef[Prix Menu],MATCH(tbl_Ventes[[#This Row],[Produit]],tbl_ProduitsRef[Produit],0)),
   ""
)</f>
        <v/>
      </c>
      <c r="G4832" s="7">
        <f>tbl_Ventes[[#This Row],[Qté Vendue]] * IFERROR(_xlfn.XLOOKUP(tbl_Ventes[[#This Row],[Cde_Prdt]], tbl_Produits[Cde_Prdt], tbl_Produits[Prix Menu]), 0)</f>
        <v>0</v>
      </c>
      <c r="H4832" s="7">
        <f>IFERROR(_xlfn.XLOOKUP(tbl_Ventes[[#This Row],[Cde_Prdt]], tbl_Produits[Cde_Prdt], tbl_Produits[Coût Moyen Portion]), 0)</f>
        <v>0</v>
      </c>
      <c r="I4832" s="7">
        <f>tbl_Ventes[[#This Row],[Qté Vendue]] * tbl_Ventes[[#This Row],[CMP_par_portion]]</f>
        <v>0</v>
      </c>
      <c r="J4832" s="7">
        <f>tbl_Ventes[[#This Row],[CA ligne]] - tbl_Ventes[[#This Row],[Coût matière ligne]]</f>
        <v>0</v>
      </c>
      <c r="K4832" s="7" t="str">
        <f>IFERROR(INDEX(tbl_ProduitsRef[Famille], MATCH(tbl_Ventes[[#This Row],[Cde_Prdt]], tbl_Produits[Cde_Prdt], 0)), "")</f>
        <v/>
      </c>
    </row>
    <row r="4833" spans="1:11" x14ac:dyDescent="0.25">
      <c r="A4833" s="5"/>
      <c r="B4833" s="63" t="str">
        <f>IFERROR(TEXT(tbl_Ventes[[#This Row],[Date]],"mm-aaaa"),"")</f>
        <v>01-1900</v>
      </c>
      <c r="D4833" s="10" t="str">
        <f>IFERROR(
   INDEX(tbl_ProduitsRef[Cde_Prdt],MATCH(tbl_Ventes[[#This Row],[Produit]],tbl_ProduitsRef[Produit],0)),
   ""
)</f>
        <v/>
      </c>
      <c r="E4833" s="7">
        <v>0</v>
      </c>
      <c r="F4833" s="7" t="str">
        <f>IFERROR(
   INDEX(tbl_ProduitsRef[Prix Menu],MATCH(tbl_Ventes[[#This Row],[Produit]],tbl_ProduitsRef[Produit],0)),
   ""
)</f>
        <v/>
      </c>
      <c r="G4833" s="7">
        <f>tbl_Ventes[[#This Row],[Qté Vendue]] * IFERROR(_xlfn.XLOOKUP(tbl_Ventes[[#This Row],[Cde_Prdt]], tbl_Produits[Cde_Prdt], tbl_Produits[Prix Menu]), 0)</f>
        <v>0</v>
      </c>
      <c r="H4833" s="7">
        <f>IFERROR(_xlfn.XLOOKUP(tbl_Ventes[[#This Row],[Cde_Prdt]], tbl_Produits[Cde_Prdt], tbl_Produits[Coût Moyen Portion]), 0)</f>
        <v>0</v>
      </c>
      <c r="I4833" s="7">
        <f>tbl_Ventes[[#This Row],[Qté Vendue]] * tbl_Ventes[[#This Row],[CMP_par_portion]]</f>
        <v>0</v>
      </c>
      <c r="J4833" s="7">
        <f>tbl_Ventes[[#This Row],[CA ligne]] - tbl_Ventes[[#This Row],[Coût matière ligne]]</f>
        <v>0</v>
      </c>
      <c r="K4833" s="7" t="str">
        <f>IFERROR(INDEX(tbl_ProduitsRef[Famille], MATCH(tbl_Ventes[[#This Row],[Cde_Prdt]], tbl_Produits[Cde_Prdt], 0)), "")</f>
        <v/>
      </c>
    </row>
    <row r="4834" spans="1:11" x14ac:dyDescent="0.25">
      <c r="A4834" s="5"/>
      <c r="B4834" s="63" t="str">
        <f>IFERROR(TEXT(tbl_Ventes[[#This Row],[Date]],"mm-aaaa"),"")</f>
        <v>01-1900</v>
      </c>
      <c r="D4834" s="10" t="str">
        <f>IFERROR(
   INDEX(tbl_ProduitsRef[Cde_Prdt],MATCH(tbl_Ventes[[#This Row],[Produit]],tbl_ProduitsRef[Produit],0)),
   ""
)</f>
        <v/>
      </c>
      <c r="E4834" s="7">
        <v>0</v>
      </c>
      <c r="F4834" s="7" t="str">
        <f>IFERROR(
   INDEX(tbl_ProduitsRef[Prix Menu],MATCH(tbl_Ventes[[#This Row],[Produit]],tbl_ProduitsRef[Produit],0)),
   ""
)</f>
        <v/>
      </c>
      <c r="G4834" s="7">
        <f>tbl_Ventes[[#This Row],[Qté Vendue]] * IFERROR(_xlfn.XLOOKUP(tbl_Ventes[[#This Row],[Cde_Prdt]], tbl_Produits[Cde_Prdt], tbl_Produits[Prix Menu]), 0)</f>
        <v>0</v>
      </c>
      <c r="H4834" s="7">
        <f>IFERROR(_xlfn.XLOOKUP(tbl_Ventes[[#This Row],[Cde_Prdt]], tbl_Produits[Cde_Prdt], tbl_Produits[Coût Moyen Portion]), 0)</f>
        <v>0</v>
      </c>
      <c r="I4834" s="7">
        <f>tbl_Ventes[[#This Row],[Qté Vendue]] * tbl_Ventes[[#This Row],[CMP_par_portion]]</f>
        <v>0</v>
      </c>
      <c r="J4834" s="7">
        <f>tbl_Ventes[[#This Row],[CA ligne]] - tbl_Ventes[[#This Row],[Coût matière ligne]]</f>
        <v>0</v>
      </c>
      <c r="K4834" s="7" t="str">
        <f>IFERROR(INDEX(tbl_ProduitsRef[Famille], MATCH(tbl_Ventes[[#This Row],[Cde_Prdt]], tbl_Produits[Cde_Prdt], 0)), "")</f>
        <v/>
      </c>
    </row>
    <row r="4835" spans="1:11" x14ac:dyDescent="0.25">
      <c r="A4835" s="5"/>
      <c r="B4835" s="63" t="str">
        <f>IFERROR(TEXT(tbl_Ventes[[#This Row],[Date]],"mm-aaaa"),"")</f>
        <v>01-1900</v>
      </c>
      <c r="D4835" s="10" t="str">
        <f>IFERROR(
   INDEX(tbl_ProduitsRef[Cde_Prdt],MATCH(tbl_Ventes[[#This Row],[Produit]],tbl_ProduitsRef[Produit],0)),
   ""
)</f>
        <v/>
      </c>
      <c r="E4835" s="7">
        <v>0</v>
      </c>
      <c r="F4835" s="7" t="str">
        <f>IFERROR(
   INDEX(tbl_ProduitsRef[Prix Menu],MATCH(tbl_Ventes[[#This Row],[Produit]],tbl_ProduitsRef[Produit],0)),
   ""
)</f>
        <v/>
      </c>
      <c r="G4835" s="7">
        <f>tbl_Ventes[[#This Row],[Qté Vendue]] * IFERROR(_xlfn.XLOOKUP(tbl_Ventes[[#This Row],[Cde_Prdt]], tbl_Produits[Cde_Prdt], tbl_Produits[Prix Menu]), 0)</f>
        <v>0</v>
      </c>
      <c r="H4835" s="7">
        <f>IFERROR(_xlfn.XLOOKUP(tbl_Ventes[[#This Row],[Cde_Prdt]], tbl_Produits[Cde_Prdt], tbl_Produits[Coût Moyen Portion]), 0)</f>
        <v>0</v>
      </c>
      <c r="I4835" s="7">
        <f>tbl_Ventes[[#This Row],[Qté Vendue]] * tbl_Ventes[[#This Row],[CMP_par_portion]]</f>
        <v>0</v>
      </c>
      <c r="J4835" s="7">
        <f>tbl_Ventes[[#This Row],[CA ligne]] - tbl_Ventes[[#This Row],[Coût matière ligne]]</f>
        <v>0</v>
      </c>
      <c r="K4835" s="7" t="str">
        <f>IFERROR(INDEX(tbl_ProduitsRef[Famille], MATCH(tbl_Ventes[[#This Row],[Cde_Prdt]], tbl_Produits[Cde_Prdt], 0)), "")</f>
        <v/>
      </c>
    </row>
    <row r="4836" spans="1:11" x14ac:dyDescent="0.25">
      <c r="A4836" s="5"/>
      <c r="B4836" s="63" t="str">
        <f>IFERROR(TEXT(tbl_Ventes[[#This Row],[Date]],"mm-aaaa"),"")</f>
        <v>01-1900</v>
      </c>
      <c r="D4836" s="10" t="str">
        <f>IFERROR(
   INDEX(tbl_ProduitsRef[Cde_Prdt],MATCH(tbl_Ventes[[#This Row],[Produit]],tbl_ProduitsRef[Produit],0)),
   ""
)</f>
        <v/>
      </c>
      <c r="E4836" s="7">
        <v>0</v>
      </c>
      <c r="F4836" s="7" t="str">
        <f>IFERROR(
   INDEX(tbl_ProduitsRef[Prix Menu],MATCH(tbl_Ventes[[#This Row],[Produit]],tbl_ProduitsRef[Produit],0)),
   ""
)</f>
        <v/>
      </c>
      <c r="G4836" s="7">
        <f>tbl_Ventes[[#This Row],[Qté Vendue]] * IFERROR(_xlfn.XLOOKUP(tbl_Ventes[[#This Row],[Cde_Prdt]], tbl_Produits[Cde_Prdt], tbl_Produits[Prix Menu]), 0)</f>
        <v>0</v>
      </c>
      <c r="H4836" s="7">
        <f>IFERROR(_xlfn.XLOOKUP(tbl_Ventes[[#This Row],[Cde_Prdt]], tbl_Produits[Cde_Prdt], tbl_Produits[Coût Moyen Portion]), 0)</f>
        <v>0</v>
      </c>
      <c r="I4836" s="7">
        <f>tbl_Ventes[[#This Row],[Qté Vendue]] * tbl_Ventes[[#This Row],[CMP_par_portion]]</f>
        <v>0</v>
      </c>
      <c r="J4836" s="7">
        <f>tbl_Ventes[[#This Row],[CA ligne]] - tbl_Ventes[[#This Row],[Coût matière ligne]]</f>
        <v>0</v>
      </c>
      <c r="K4836" s="7" t="str">
        <f>IFERROR(INDEX(tbl_ProduitsRef[Famille], MATCH(tbl_Ventes[[#This Row],[Cde_Prdt]], tbl_Produits[Cde_Prdt], 0)), "")</f>
        <v/>
      </c>
    </row>
    <row r="4837" spans="1:11" x14ac:dyDescent="0.25">
      <c r="A4837" s="5"/>
      <c r="B4837" s="63" t="str">
        <f>IFERROR(TEXT(tbl_Ventes[[#This Row],[Date]],"mm-aaaa"),"")</f>
        <v>01-1900</v>
      </c>
      <c r="D4837" s="10" t="str">
        <f>IFERROR(
   INDEX(tbl_ProduitsRef[Cde_Prdt],MATCH(tbl_Ventes[[#This Row],[Produit]],tbl_ProduitsRef[Produit],0)),
   ""
)</f>
        <v/>
      </c>
      <c r="E4837" s="7">
        <v>0</v>
      </c>
      <c r="F4837" s="7" t="str">
        <f>IFERROR(
   INDEX(tbl_ProduitsRef[Prix Menu],MATCH(tbl_Ventes[[#This Row],[Produit]],tbl_ProduitsRef[Produit],0)),
   ""
)</f>
        <v/>
      </c>
      <c r="G4837" s="7">
        <f>tbl_Ventes[[#This Row],[Qté Vendue]] * IFERROR(_xlfn.XLOOKUP(tbl_Ventes[[#This Row],[Cde_Prdt]], tbl_Produits[Cde_Prdt], tbl_Produits[Prix Menu]), 0)</f>
        <v>0</v>
      </c>
      <c r="H4837" s="7">
        <f>IFERROR(_xlfn.XLOOKUP(tbl_Ventes[[#This Row],[Cde_Prdt]], tbl_Produits[Cde_Prdt], tbl_Produits[Coût Moyen Portion]), 0)</f>
        <v>0</v>
      </c>
      <c r="I4837" s="7">
        <f>tbl_Ventes[[#This Row],[Qté Vendue]] * tbl_Ventes[[#This Row],[CMP_par_portion]]</f>
        <v>0</v>
      </c>
      <c r="J4837" s="7">
        <f>tbl_Ventes[[#This Row],[CA ligne]] - tbl_Ventes[[#This Row],[Coût matière ligne]]</f>
        <v>0</v>
      </c>
      <c r="K4837" s="7" t="str">
        <f>IFERROR(INDEX(tbl_ProduitsRef[Famille], MATCH(tbl_Ventes[[#This Row],[Cde_Prdt]], tbl_Produits[Cde_Prdt], 0)), "")</f>
        <v/>
      </c>
    </row>
    <row r="4838" spans="1:11" x14ac:dyDescent="0.25">
      <c r="A4838" s="5"/>
      <c r="B4838" s="63" t="str">
        <f>IFERROR(TEXT(tbl_Ventes[[#This Row],[Date]],"mm-aaaa"),"")</f>
        <v>01-1900</v>
      </c>
      <c r="D4838" s="10" t="str">
        <f>IFERROR(
   INDEX(tbl_ProduitsRef[Cde_Prdt],MATCH(tbl_Ventes[[#This Row],[Produit]],tbl_ProduitsRef[Produit],0)),
   ""
)</f>
        <v/>
      </c>
      <c r="E4838" s="7">
        <v>0</v>
      </c>
      <c r="F4838" s="7" t="str">
        <f>IFERROR(
   INDEX(tbl_ProduitsRef[Prix Menu],MATCH(tbl_Ventes[[#This Row],[Produit]],tbl_ProduitsRef[Produit],0)),
   ""
)</f>
        <v/>
      </c>
      <c r="G4838" s="7">
        <f>tbl_Ventes[[#This Row],[Qté Vendue]] * IFERROR(_xlfn.XLOOKUP(tbl_Ventes[[#This Row],[Cde_Prdt]], tbl_Produits[Cde_Prdt], tbl_Produits[Prix Menu]), 0)</f>
        <v>0</v>
      </c>
      <c r="H4838" s="7">
        <f>IFERROR(_xlfn.XLOOKUP(tbl_Ventes[[#This Row],[Cde_Prdt]], tbl_Produits[Cde_Prdt], tbl_Produits[Coût Moyen Portion]), 0)</f>
        <v>0</v>
      </c>
      <c r="I4838" s="7">
        <f>tbl_Ventes[[#This Row],[Qté Vendue]] * tbl_Ventes[[#This Row],[CMP_par_portion]]</f>
        <v>0</v>
      </c>
      <c r="J4838" s="7">
        <f>tbl_Ventes[[#This Row],[CA ligne]] - tbl_Ventes[[#This Row],[Coût matière ligne]]</f>
        <v>0</v>
      </c>
      <c r="K4838" s="7" t="str">
        <f>IFERROR(INDEX(tbl_ProduitsRef[Famille], MATCH(tbl_Ventes[[#This Row],[Cde_Prdt]], tbl_Produits[Cde_Prdt], 0)), "")</f>
        <v/>
      </c>
    </row>
    <row r="4839" spans="1:11" x14ac:dyDescent="0.25">
      <c r="A4839" s="5"/>
      <c r="B4839" s="63" t="str">
        <f>IFERROR(TEXT(tbl_Ventes[[#This Row],[Date]],"mm-aaaa"),"")</f>
        <v>01-1900</v>
      </c>
      <c r="D4839" s="10" t="str">
        <f>IFERROR(
   INDEX(tbl_ProduitsRef[Cde_Prdt],MATCH(tbl_Ventes[[#This Row],[Produit]],tbl_ProduitsRef[Produit],0)),
   ""
)</f>
        <v/>
      </c>
      <c r="E4839" s="7">
        <v>0</v>
      </c>
      <c r="F4839" s="7" t="str">
        <f>IFERROR(
   INDEX(tbl_ProduitsRef[Prix Menu],MATCH(tbl_Ventes[[#This Row],[Produit]],tbl_ProduitsRef[Produit],0)),
   ""
)</f>
        <v/>
      </c>
      <c r="G4839" s="7">
        <f>tbl_Ventes[[#This Row],[Qté Vendue]] * IFERROR(_xlfn.XLOOKUP(tbl_Ventes[[#This Row],[Cde_Prdt]], tbl_Produits[Cde_Prdt], tbl_Produits[Prix Menu]), 0)</f>
        <v>0</v>
      </c>
      <c r="H4839" s="7">
        <f>IFERROR(_xlfn.XLOOKUP(tbl_Ventes[[#This Row],[Cde_Prdt]], tbl_Produits[Cde_Prdt], tbl_Produits[Coût Moyen Portion]), 0)</f>
        <v>0</v>
      </c>
      <c r="I4839" s="7">
        <f>tbl_Ventes[[#This Row],[Qté Vendue]] * tbl_Ventes[[#This Row],[CMP_par_portion]]</f>
        <v>0</v>
      </c>
      <c r="J4839" s="7">
        <f>tbl_Ventes[[#This Row],[CA ligne]] - tbl_Ventes[[#This Row],[Coût matière ligne]]</f>
        <v>0</v>
      </c>
      <c r="K4839" s="7" t="str">
        <f>IFERROR(INDEX(tbl_ProduitsRef[Famille], MATCH(tbl_Ventes[[#This Row],[Cde_Prdt]], tbl_Produits[Cde_Prdt], 0)), "")</f>
        <v/>
      </c>
    </row>
    <row r="4840" spans="1:11" x14ac:dyDescent="0.25">
      <c r="A4840" s="5"/>
      <c r="B4840" s="63" t="str">
        <f>IFERROR(TEXT(tbl_Ventes[[#This Row],[Date]],"mm-aaaa"),"")</f>
        <v>01-1900</v>
      </c>
      <c r="D4840" s="10" t="str">
        <f>IFERROR(
   INDEX(tbl_ProduitsRef[Cde_Prdt],MATCH(tbl_Ventes[[#This Row],[Produit]],tbl_ProduitsRef[Produit],0)),
   ""
)</f>
        <v/>
      </c>
      <c r="E4840" s="7">
        <v>0</v>
      </c>
      <c r="F4840" s="7" t="str">
        <f>IFERROR(
   INDEX(tbl_ProduitsRef[Prix Menu],MATCH(tbl_Ventes[[#This Row],[Produit]],tbl_ProduitsRef[Produit],0)),
   ""
)</f>
        <v/>
      </c>
      <c r="G4840" s="7">
        <f>tbl_Ventes[[#This Row],[Qté Vendue]] * IFERROR(_xlfn.XLOOKUP(tbl_Ventes[[#This Row],[Cde_Prdt]], tbl_Produits[Cde_Prdt], tbl_Produits[Prix Menu]), 0)</f>
        <v>0</v>
      </c>
      <c r="H4840" s="7">
        <f>IFERROR(_xlfn.XLOOKUP(tbl_Ventes[[#This Row],[Cde_Prdt]], tbl_Produits[Cde_Prdt], tbl_Produits[Coût Moyen Portion]), 0)</f>
        <v>0</v>
      </c>
      <c r="I4840" s="7">
        <f>tbl_Ventes[[#This Row],[Qté Vendue]] * tbl_Ventes[[#This Row],[CMP_par_portion]]</f>
        <v>0</v>
      </c>
      <c r="J4840" s="7">
        <f>tbl_Ventes[[#This Row],[CA ligne]] - tbl_Ventes[[#This Row],[Coût matière ligne]]</f>
        <v>0</v>
      </c>
      <c r="K4840" s="7" t="str">
        <f>IFERROR(INDEX(tbl_ProduitsRef[Famille], MATCH(tbl_Ventes[[#This Row],[Cde_Prdt]], tbl_Produits[Cde_Prdt], 0)), "")</f>
        <v/>
      </c>
    </row>
    <row r="4841" spans="1:11" x14ac:dyDescent="0.25">
      <c r="A4841" s="5"/>
      <c r="B4841" s="63" t="str">
        <f>IFERROR(TEXT(tbl_Ventes[[#This Row],[Date]],"mm-aaaa"),"")</f>
        <v>01-1900</v>
      </c>
      <c r="D4841" s="10" t="str">
        <f>IFERROR(
   INDEX(tbl_ProduitsRef[Cde_Prdt],MATCH(tbl_Ventes[[#This Row],[Produit]],tbl_ProduitsRef[Produit],0)),
   ""
)</f>
        <v/>
      </c>
      <c r="E4841" s="7">
        <v>0</v>
      </c>
      <c r="F4841" s="7" t="str">
        <f>IFERROR(
   INDEX(tbl_ProduitsRef[Prix Menu],MATCH(tbl_Ventes[[#This Row],[Produit]],tbl_ProduitsRef[Produit],0)),
   ""
)</f>
        <v/>
      </c>
      <c r="G4841" s="7">
        <f>tbl_Ventes[[#This Row],[Qté Vendue]] * IFERROR(_xlfn.XLOOKUP(tbl_Ventes[[#This Row],[Cde_Prdt]], tbl_Produits[Cde_Prdt], tbl_Produits[Prix Menu]), 0)</f>
        <v>0</v>
      </c>
      <c r="H4841" s="7">
        <f>IFERROR(_xlfn.XLOOKUP(tbl_Ventes[[#This Row],[Cde_Prdt]], tbl_Produits[Cde_Prdt], tbl_Produits[Coût Moyen Portion]), 0)</f>
        <v>0</v>
      </c>
      <c r="I4841" s="7">
        <f>tbl_Ventes[[#This Row],[Qté Vendue]] * tbl_Ventes[[#This Row],[CMP_par_portion]]</f>
        <v>0</v>
      </c>
      <c r="J4841" s="7">
        <f>tbl_Ventes[[#This Row],[CA ligne]] - tbl_Ventes[[#This Row],[Coût matière ligne]]</f>
        <v>0</v>
      </c>
      <c r="K4841" s="7" t="str">
        <f>IFERROR(INDEX(tbl_ProduitsRef[Famille], MATCH(tbl_Ventes[[#This Row],[Cde_Prdt]], tbl_Produits[Cde_Prdt], 0)), "")</f>
        <v/>
      </c>
    </row>
    <row r="4842" spans="1:11" x14ac:dyDescent="0.25">
      <c r="A4842" s="5"/>
      <c r="B4842" s="63" t="str">
        <f>IFERROR(TEXT(tbl_Ventes[[#This Row],[Date]],"mm-aaaa"),"")</f>
        <v>01-1900</v>
      </c>
      <c r="D4842" s="10" t="str">
        <f>IFERROR(
   INDEX(tbl_ProduitsRef[Cde_Prdt],MATCH(tbl_Ventes[[#This Row],[Produit]],tbl_ProduitsRef[Produit],0)),
   ""
)</f>
        <v/>
      </c>
      <c r="E4842" s="7">
        <v>0</v>
      </c>
      <c r="F4842" s="7" t="str">
        <f>IFERROR(
   INDEX(tbl_ProduitsRef[Prix Menu],MATCH(tbl_Ventes[[#This Row],[Produit]],tbl_ProduitsRef[Produit],0)),
   ""
)</f>
        <v/>
      </c>
      <c r="G4842" s="7">
        <f>tbl_Ventes[[#This Row],[Qté Vendue]] * IFERROR(_xlfn.XLOOKUP(tbl_Ventes[[#This Row],[Cde_Prdt]], tbl_Produits[Cde_Prdt], tbl_Produits[Prix Menu]), 0)</f>
        <v>0</v>
      </c>
      <c r="H4842" s="7">
        <f>IFERROR(_xlfn.XLOOKUP(tbl_Ventes[[#This Row],[Cde_Prdt]], tbl_Produits[Cde_Prdt], tbl_Produits[Coût Moyen Portion]), 0)</f>
        <v>0</v>
      </c>
      <c r="I4842" s="7">
        <f>tbl_Ventes[[#This Row],[Qté Vendue]] * tbl_Ventes[[#This Row],[CMP_par_portion]]</f>
        <v>0</v>
      </c>
      <c r="J4842" s="7">
        <f>tbl_Ventes[[#This Row],[CA ligne]] - tbl_Ventes[[#This Row],[Coût matière ligne]]</f>
        <v>0</v>
      </c>
      <c r="K4842" s="7" t="str">
        <f>IFERROR(INDEX(tbl_ProduitsRef[Famille], MATCH(tbl_Ventes[[#This Row],[Cde_Prdt]], tbl_Produits[Cde_Prdt], 0)), "")</f>
        <v/>
      </c>
    </row>
    <row r="4843" spans="1:11" x14ac:dyDescent="0.25">
      <c r="A4843" s="5"/>
      <c r="B4843" s="63" t="str">
        <f>IFERROR(TEXT(tbl_Ventes[[#This Row],[Date]],"mm-aaaa"),"")</f>
        <v>01-1900</v>
      </c>
      <c r="D4843" s="10" t="str">
        <f>IFERROR(
   INDEX(tbl_ProduitsRef[Cde_Prdt],MATCH(tbl_Ventes[[#This Row],[Produit]],tbl_ProduitsRef[Produit],0)),
   ""
)</f>
        <v/>
      </c>
      <c r="E4843" s="7">
        <v>0</v>
      </c>
      <c r="F4843" s="7" t="str">
        <f>IFERROR(
   INDEX(tbl_ProduitsRef[Prix Menu],MATCH(tbl_Ventes[[#This Row],[Produit]],tbl_ProduitsRef[Produit],0)),
   ""
)</f>
        <v/>
      </c>
      <c r="G4843" s="7">
        <f>tbl_Ventes[[#This Row],[Qté Vendue]] * IFERROR(_xlfn.XLOOKUP(tbl_Ventes[[#This Row],[Cde_Prdt]], tbl_Produits[Cde_Prdt], tbl_Produits[Prix Menu]), 0)</f>
        <v>0</v>
      </c>
      <c r="H4843" s="7">
        <f>IFERROR(_xlfn.XLOOKUP(tbl_Ventes[[#This Row],[Cde_Prdt]], tbl_Produits[Cde_Prdt], tbl_Produits[Coût Moyen Portion]), 0)</f>
        <v>0</v>
      </c>
      <c r="I4843" s="7">
        <f>tbl_Ventes[[#This Row],[Qté Vendue]] * tbl_Ventes[[#This Row],[CMP_par_portion]]</f>
        <v>0</v>
      </c>
      <c r="J4843" s="7">
        <f>tbl_Ventes[[#This Row],[CA ligne]] - tbl_Ventes[[#This Row],[Coût matière ligne]]</f>
        <v>0</v>
      </c>
      <c r="K4843" s="7" t="str">
        <f>IFERROR(INDEX(tbl_ProduitsRef[Famille], MATCH(tbl_Ventes[[#This Row],[Cde_Prdt]], tbl_Produits[Cde_Prdt], 0)), "")</f>
        <v/>
      </c>
    </row>
    <row r="4844" spans="1:11" x14ac:dyDescent="0.25">
      <c r="A4844" s="5"/>
      <c r="B4844" s="63" t="str">
        <f>IFERROR(TEXT(tbl_Ventes[[#This Row],[Date]],"mm-aaaa"),"")</f>
        <v>01-1900</v>
      </c>
      <c r="D4844" s="10" t="str">
        <f>IFERROR(
   INDEX(tbl_ProduitsRef[Cde_Prdt],MATCH(tbl_Ventes[[#This Row],[Produit]],tbl_ProduitsRef[Produit],0)),
   ""
)</f>
        <v/>
      </c>
      <c r="E4844" s="7">
        <v>0</v>
      </c>
      <c r="F4844" s="7" t="str">
        <f>IFERROR(
   INDEX(tbl_ProduitsRef[Prix Menu],MATCH(tbl_Ventes[[#This Row],[Produit]],tbl_ProduitsRef[Produit],0)),
   ""
)</f>
        <v/>
      </c>
      <c r="G4844" s="7">
        <f>tbl_Ventes[[#This Row],[Qté Vendue]] * IFERROR(_xlfn.XLOOKUP(tbl_Ventes[[#This Row],[Cde_Prdt]], tbl_Produits[Cde_Prdt], tbl_Produits[Prix Menu]), 0)</f>
        <v>0</v>
      </c>
      <c r="H4844" s="7">
        <f>IFERROR(_xlfn.XLOOKUP(tbl_Ventes[[#This Row],[Cde_Prdt]], tbl_Produits[Cde_Prdt], tbl_Produits[Coût Moyen Portion]), 0)</f>
        <v>0</v>
      </c>
      <c r="I4844" s="7">
        <f>tbl_Ventes[[#This Row],[Qté Vendue]] * tbl_Ventes[[#This Row],[CMP_par_portion]]</f>
        <v>0</v>
      </c>
      <c r="J4844" s="7">
        <f>tbl_Ventes[[#This Row],[CA ligne]] - tbl_Ventes[[#This Row],[Coût matière ligne]]</f>
        <v>0</v>
      </c>
      <c r="K4844" s="7" t="str">
        <f>IFERROR(INDEX(tbl_ProduitsRef[Famille], MATCH(tbl_Ventes[[#This Row],[Cde_Prdt]], tbl_Produits[Cde_Prdt], 0)), "")</f>
        <v/>
      </c>
    </row>
    <row r="4845" spans="1:11" x14ac:dyDescent="0.25">
      <c r="A4845" s="5"/>
      <c r="B4845" s="63" t="str">
        <f>IFERROR(TEXT(tbl_Ventes[[#This Row],[Date]],"mm-aaaa"),"")</f>
        <v>01-1900</v>
      </c>
      <c r="D4845" s="10" t="str">
        <f>IFERROR(
   INDEX(tbl_ProduitsRef[Cde_Prdt],MATCH(tbl_Ventes[[#This Row],[Produit]],tbl_ProduitsRef[Produit],0)),
   ""
)</f>
        <v/>
      </c>
      <c r="E4845" s="7">
        <v>0</v>
      </c>
      <c r="F4845" s="7" t="str">
        <f>IFERROR(
   INDEX(tbl_ProduitsRef[Prix Menu],MATCH(tbl_Ventes[[#This Row],[Produit]],tbl_ProduitsRef[Produit],0)),
   ""
)</f>
        <v/>
      </c>
      <c r="G4845" s="7">
        <f>tbl_Ventes[[#This Row],[Qté Vendue]] * IFERROR(_xlfn.XLOOKUP(tbl_Ventes[[#This Row],[Cde_Prdt]], tbl_Produits[Cde_Prdt], tbl_Produits[Prix Menu]), 0)</f>
        <v>0</v>
      </c>
      <c r="H4845" s="7">
        <f>IFERROR(_xlfn.XLOOKUP(tbl_Ventes[[#This Row],[Cde_Prdt]], tbl_Produits[Cde_Prdt], tbl_Produits[Coût Moyen Portion]), 0)</f>
        <v>0</v>
      </c>
      <c r="I4845" s="7">
        <f>tbl_Ventes[[#This Row],[Qté Vendue]] * tbl_Ventes[[#This Row],[CMP_par_portion]]</f>
        <v>0</v>
      </c>
      <c r="J4845" s="7">
        <f>tbl_Ventes[[#This Row],[CA ligne]] - tbl_Ventes[[#This Row],[Coût matière ligne]]</f>
        <v>0</v>
      </c>
      <c r="K4845" s="7" t="str">
        <f>IFERROR(INDEX(tbl_ProduitsRef[Famille], MATCH(tbl_Ventes[[#This Row],[Cde_Prdt]], tbl_Produits[Cde_Prdt], 0)), "")</f>
        <v/>
      </c>
    </row>
    <row r="4846" spans="1:11" x14ac:dyDescent="0.25">
      <c r="A4846" s="5"/>
      <c r="B4846" s="63" t="str">
        <f>IFERROR(TEXT(tbl_Ventes[[#This Row],[Date]],"mm-aaaa"),"")</f>
        <v>01-1900</v>
      </c>
      <c r="D4846" s="10" t="str">
        <f>IFERROR(
   INDEX(tbl_ProduitsRef[Cde_Prdt],MATCH(tbl_Ventes[[#This Row],[Produit]],tbl_ProduitsRef[Produit],0)),
   ""
)</f>
        <v/>
      </c>
      <c r="E4846" s="7">
        <v>0</v>
      </c>
      <c r="F4846" s="7" t="str">
        <f>IFERROR(
   INDEX(tbl_ProduitsRef[Prix Menu],MATCH(tbl_Ventes[[#This Row],[Produit]],tbl_ProduitsRef[Produit],0)),
   ""
)</f>
        <v/>
      </c>
      <c r="G4846" s="7">
        <f>tbl_Ventes[[#This Row],[Qté Vendue]] * IFERROR(_xlfn.XLOOKUP(tbl_Ventes[[#This Row],[Cde_Prdt]], tbl_Produits[Cde_Prdt], tbl_Produits[Prix Menu]), 0)</f>
        <v>0</v>
      </c>
      <c r="H4846" s="7">
        <f>IFERROR(_xlfn.XLOOKUP(tbl_Ventes[[#This Row],[Cde_Prdt]], tbl_Produits[Cde_Prdt], tbl_Produits[Coût Moyen Portion]), 0)</f>
        <v>0</v>
      </c>
      <c r="I4846" s="7">
        <f>tbl_Ventes[[#This Row],[Qté Vendue]] * tbl_Ventes[[#This Row],[CMP_par_portion]]</f>
        <v>0</v>
      </c>
      <c r="J4846" s="7">
        <f>tbl_Ventes[[#This Row],[CA ligne]] - tbl_Ventes[[#This Row],[Coût matière ligne]]</f>
        <v>0</v>
      </c>
      <c r="K4846" s="7" t="str">
        <f>IFERROR(INDEX(tbl_ProduitsRef[Famille], MATCH(tbl_Ventes[[#This Row],[Cde_Prdt]], tbl_Produits[Cde_Prdt], 0)), "")</f>
        <v/>
      </c>
    </row>
    <row r="4847" spans="1:11" x14ac:dyDescent="0.25">
      <c r="A4847" s="5"/>
      <c r="B4847" s="63" t="str">
        <f>IFERROR(TEXT(tbl_Ventes[[#This Row],[Date]],"mm-aaaa"),"")</f>
        <v>01-1900</v>
      </c>
      <c r="D4847" s="10" t="str">
        <f>IFERROR(
   INDEX(tbl_ProduitsRef[Cde_Prdt],MATCH(tbl_Ventes[[#This Row],[Produit]],tbl_ProduitsRef[Produit],0)),
   ""
)</f>
        <v/>
      </c>
      <c r="E4847" s="7">
        <v>0</v>
      </c>
      <c r="F4847" s="7" t="str">
        <f>IFERROR(
   INDEX(tbl_ProduitsRef[Prix Menu],MATCH(tbl_Ventes[[#This Row],[Produit]],tbl_ProduitsRef[Produit],0)),
   ""
)</f>
        <v/>
      </c>
      <c r="G4847" s="7">
        <f>tbl_Ventes[[#This Row],[Qté Vendue]] * IFERROR(_xlfn.XLOOKUP(tbl_Ventes[[#This Row],[Cde_Prdt]], tbl_Produits[Cde_Prdt], tbl_Produits[Prix Menu]), 0)</f>
        <v>0</v>
      </c>
      <c r="H4847" s="7">
        <f>IFERROR(_xlfn.XLOOKUP(tbl_Ventes[[#This Row],[Cde_Prdt]], tbl_Produits[Cde_Prdt], tbl_Produits[Coût Moyen Portion]), 0)</f>
        <v>0</v>
      </c>
      <c r="I4847" s="7">
        <f>tbl_Ventes[[#This Row],[Qté Vendue]] * tbl_Ventes[[#This Row],[CMP_par_portion]]</f>
        <v>0</v>
      </c>
      <c r="J4847" s="7">
        <f>tbl_Ventes[[#This Row],[CA ligne]] - tbl_Ventes[[#This Row],[Coût matière ligne]]</f>
        <v>0</v>
      </c>
      <c r="K4847" s="7" t="str">
        <f>IFERROR(INDEX(tbl_ProduitsRef[Famille], MATCH(tbl_Ventes[[#This Row],[Cde_Prdt]], tbl_Produits[Cde_Prdt], 0)), "")</f>
        <v/>
      </c>
    </row>
    <row r="4848" spans="1:11" x14ac:dyDescent="0.25">
      <c r="A4848" s="5"/>
      <c r="B4848" s="63" t="str">
        <f>IFERROR(TEXT(tbl_Ventes[[#This Row],[Date]],"mm-aaaa"),"")</f>
        <v>01-1900</v>
      </c>
      <c r="D4848" s="10" t="str">
        <f>IFERROR(
   INDEX(tbl_ProduitsRef[Cde_Prdt],MATCH(tbl_Ventes[[#This Row],[Produit]],tbl_ProduitsRef[Produit],0)),
   ""
)</f>
        <v/>
      </c>
      <c r="E4848" s="7">
        <v>0</v>
      </c>
      <c r="F4848" s="7" t="str">
        <f>IFERROR(
   INDEX(tbl_ProduitsRef[Prix Menu],MATCH(tbl_Ventes[[#This Row],[Produit]],tbl_ProduitsRef[Produit],0)),
   ""
)</f>
        <v/>
      </c>
      <c r="G4848" s="7">
        <f>tbl_Ventes[[#This Row],[Qté Vendue]] * IFERROR(_xlfn.XLOOKUP(tbl_Ventes[[#This Row],[Cde_Prdt]], tbl_Produits[Cde_Prdt], tbl_Produits[Prix Menu]), 0)</f>
        <v>0</v>
      </c>
      <c r="H4848" s="7">
        <f>IFERROR(_xlfn.XLOOKUP(tbl_Ventes[[#This Row],[Cde_Prdt]], tbl_Produits[Cde_Prdt], tbl_Produits[Coût Moyen Portion]), 0)</f>
        <v>0</v>
      </c>
      <c r="I4848" s="7">
        <f>tbl_Ventes[[#This Row],[Qté Vendue]] * tbl_Ventes[[#This Row],[CMP_par_portion]]</f>
        <v>0</v>
      </c>
      <c r="J4848" s="7">
        <f>tbl_Ventes[[#This Row],[CA ligne]] - tbl_Ventes[[#This Row],[Coût matière ligne]]</f>
        <v>0</v>
      </c>
      <c r="K4848" s="7" t="str">
        <f>IFERROR(INDEX(tbl_ProduitsRef[Famille], MATCH(tbl_Ventes[[#This Row],[Cde_Prdt]], tbl_Produits[Cde_Prdt], 0)), "")</f>
        <v/>
      </c>
    </row>
    <row r="4849" spans="1:11" x14ac:dyDescent="0.25">
      <c r="A4849" s="5"/>
      <c r="B4849" s="63" t="str">
        <f>IFERROR(TEXT(tbl_Ventes[[#This Row],[Date]],"mm-aaaa"),"")</f>
        <v>01-1900</v>
      </c>
      <c r="D4849" s="10" t="str">
        <f>IFERROR(
   INDEX(tbl_ProduitsRef[Cde_Prdt],MATCH(tbl_Ventes[[#This Row],[Produit]],tbl_ProduitsRef[Produit],0)),
   ""
)</f>
        <v/>
      </c>
      <c r="E4849" s="7">
        <v>0</v>
      </c>
      <c r="F4849" s="7" t="str">
        <f>IFERROR(
   INDEX(tbl_ProduitsRef[Prix Menu],MATCH(tbl_Ventes[[#This Row],[Produit]],tbl_ProduitsRef[Produit],0)),
   ""
)</f>
        <v/>
      </c>
      <c r="G4849" s="7">
        <f>tbl_Ventes[[#This Row],[Qté Vendue]] * IFERROR(_xlfn.XLOOKUP(tbl_Ventes[[#This Row],[Cde_Prdt]], tbl_Produits[Cde_Prdt], tbl_Produits[Prix Menu]), 0)</f>
        <v>0</v>
      </c>
      <c r="H4849" s="7">
        <f>IFERROR(_xlfn.XLOOKUP(tbl_Ventes[[#This Row],[Cde_Prdt]], tbl_Produits[Cde_Prdt], tbl_Produits[Coût Moyen Portion]), 0)</f>
        <v>0</v>
      </c>
      <c r="I4849" s="7">
        <f>tbl_Ventes[[#This Row],[Qté Vendue]] * tbl_Ventes[[#This Row],[CMP_par_portion]]</f>
        <v>0</v>
      </c>
      <c r="J4849" s="7">
        <f>tbl_Ventes[[#This Row],[CA ligne]] - tbl_Ventes[[#This Row],[Coût matière ligne]]</f>
        <v>0</v>
      </c>
      <c r="K4849" s="7" t="str">
        <f>IFERROR(INDEX(tbl_ProduitsRef[Famille], MATCH(tbl_Ventes[[#This Row],[Cde_Prdt]], tbl_Produits[Cde_Prdt], 0)), "")</f>
        <v/>
      </c>
    </row>
    <row r="4850" spans="1:11" x14ac:dyDescent="0.25">
      <c r="A4850" s="5"/>
      <c r="B4850" s="63" t="str">
        <f>IFERROR(TEXT(tbl_Ventes[[#This Row],[Date]],"mm-aaaa"),"")</f>
        <v>01-1900</v>
      </c>
      <c r="D4850" s="10" t="str">
        <f>IFERROR(
   INDEX(tbl_ProduitsRef[Cde_Prdt],MATCH(tbl_Ventes[[#This Row],[Produit]],tbl_ProduitsRef[Produit],0)),
   ""
)</f>
        <v/>
      </c>
      <c r="E4850" s="7">
        <v>0</v>
      </c>
      <c r="F4850" s="7" t="str">
        <f>IFERROR(
   INDEX(tbl_ProduitsRef[Prix Menu],MATCH(tbl_Ventes[[#This Row],[Produit]],tbl_ProduitsRef[Produit],0)),
   ""
)</f>
        <v/>
      </c>
      <c r="G4850" s="7">
        <f>tbl_Ventes[[#This Row],[Qté Vendue]] * IFERROR(_xlfn.XLOOKUP(tbl_Ventes[[#This Row],[Cde_Prdt]], tbl_Produits[Cde_Prdt], tbl_Produits[Prix Menu]), 0)</f>
        <v>0</v>
      </c>
      <c r="H4850" s="7">
        <f>IFERROR(_xlfn.XLOOKUP(tbl_Ventes[[#This Row],[Cde_Prdt]], tbl_Produits[Cde_Prdt], tbl_Produits[Coût Moyen Portion]), 0)</f>
        <v>0</v>
      </c>
      <c r="I4850" s="7">
        <f>tbl_Ventes[[#This Row],[Qté Vendue]] * tbl_Ventes[[#This Row],[CMP_par_portion]]</f>
        <v>0</v>
      </c>
      <c r="J4850" s="7">
        <f>tbl_Ventes[[#This Row],[CA ligne]] - tbl_Ventes[[#This Row],[Coût matière ligne]]</f>
        <v>0</v>
      </c>
      <c r="K4850" s="7" t="str">
        <f>IFERROR(INDEX(tbl_ProduitsRef[Famille], MATCH(tbl_Ventes[[#This Row],[Cde_Prdt]], tbl_Produits[Cde_Prdt], 0)), "")</f>
        <v/>
      </c>
    </row>
    <row r="4851" spans="1:11" x14ac:dyDescent="0.25">
      <c r="A4851" s="5"/>
      <c r="B4851" s="63" t="str">
        <f>IFERROR(TEXT(tbl_Ventes[[#This Row],[Date]],"mm-aaaa"),"")</f>
        <v>01-1900</v>
      </c>
      <c r="D4851" s="10" t="str">
        <f>IFERROR(
   INDEX(tbl_ProduitsRef[Cde_Prdt],MATCH(tbl_Ventes[[#This Row],[Produit]],tbl_ProduitsRef[Produit],0)),
   ""
)</f>
        <v/>
      </c>
      <c r="E4851" s="7">
        <v>0</v>
      </c>
      <c r="F4851" s="7" t="str">
        <f>IFERROR(
   INDEX(tbl_ProduitsRef[Prix Menu],MATCH(tbl_Ventes[[#This Row],[Produit]],tbl_ProduitsRef[Produit],0)),
   ""
)</f>
        <v/>
      </c>
      <c r="G4851" s="7">
        <f>tbl_Ventes[[#This Row],[Qté Vendue]] * IFERROR(_xlfn.XLOOKUP(tbl_Ventes[[#This Row],[Cde_Prdt]], tbl_Produits[Cde_Prdt], tbl_Produits[Prix Menu]), 0)</f>
        <v>0</v>
      </c>
      <c r="H4851" s="7">
        <f>IFERROR(_xlfn.XLOOKUP(tbl_Ventes[[#This Row],[Cde_Prdt]], tbl_Produits[Cde_Prdt], tbl_Produits[Coût Moyen Portion]), 0)</f>
        <v>0</v>
      </c>
      <c r="I4851" s="7">
        <f>tbl_Ventes[[#This Row],[Qté Vendue]] * tbl_Ventes[[#This Row],[CMP_par_portion]]</f>
        <v>0</v>
      </c>
      <c r="J4851" s="7">
        <f>tbl_Ventes[[#This Row],[CA ligne]] - tbl_Ventes[[#This Row],[Coût matière ligne]]</f>
        <v>0</v>
      </c>
      <c r="K4851" s="7" t="str">
        <f>IFERROR(INDEX(tbl_ProduitsRef[Famille], MATCH(tbl_Ventes[[#This Row],[Cde_Prdt]], tbl_Produits[Cde_Prdt], 0)), "")</f>
        <v/>
      </c>
    </row>
    <row r="4852" spans="1:11" x14ac:dyDescent="0.25">
      <c r="A4852" s="5"/>
      <c r="B4852" s="63" t="str">
        <f>IFERROR(TEXT(tbl_Ventes[[#This Row],[Date]],"mm-aaaa"),"")</f>
        <v>01-1900</v>
      </c>
      <c r="D4852" s="10" t="str">
        <f>IFERROR(
   INDEX(tbl_ProduitsRef[Cde_Prdt],MATCH(tbl_Ventes[[#This Row],[Produit]],tbl_ProduitsRef[Produit],0)),
   ""
)</f>
        <v/>
      </c>
      <c r="E4852" s="7">
        <v>0</v>
      </c>
      <c r="F4852" s="7" t="str">
        <f>IFERROR(
   INDEX(tbl_ProduitsRef[Prix Menu],MATCH(tbl_Ventes[[#This Row],[Produit]],tbl_ProduitsRef[Produit],0)),
   ""
)</f>
        <v/>
      </c>
      <c r="G4852" s="7">
        <f>tbl_Ventes[[#This Row],[Qté Vendue]] * IFERROR(_xlfn.XLOOKUP(tbl_Ventes[[#This Row],[Cde_Prdt]], tbl_Produits[Cde_Prdt], tbl_Produits[Prix Menu]), 0)</f>
        <v>0</v>
      </c>
      <c r="H4852" s="7">
        <f>IFERROR(_xlfn.XLOOKUP(tbl_Ventes[[#This Row],[Cde_Prdt]], tbl_Produits[Cde_Prdt], tbl_Produits[Coût Moyen Portion]), 0)</f>
        <v>0</v>
      </c>
      <c r="I4852" s="7">
        <f>tbl_Ventes[[#This Row],[Qté Vendue]] * tbl_Ventes[[#This Row],[CMP_par_portion]]</f>
        <v>0</v>
      </c>
      <c r="J4852" s="7">
        <f>tbl_Ventes[[#This Row],[CA ligne]] - tbl_Ventes[[#This Row],[Coût matière ligne]]</f>
        <v>0</v>
      </c>
      <c r="K4852" s="7" t="str">
        <f>IFERROR(INDEX(tbl_ProduitsRef[Famille], MATCH(tbl_Ventes[[#This Row],[Cde_Prdt]], tbl_Produits[Cde_Prdt], 0)), "")</f>
        <v/>
      </c>
    </row>
    <row r="4853" spans="1:11" x14ac:dyDescent="0.25">
      <c r="A4853" s="5"/>
      <c r="B4853" s="63" t="str">
        <f>IFERROR(TEXT(tbl_Ventes[[#This Row],[Date]],"mm-aaaa"),"")</f>
        <v>01-1900</v>
      </c>
      <c r="D4853" s="10" t="str">
        <f>IFERROR(
   INDEX(tbl_ProduitsRef[Cde_Prdt],MATCH(tbl_Ventes[[#This Row],[Produit]],tbl_ProduitsRef[Produit],0)),
   ""
)</f>
        <v/>
      </c>
      <c r="E4853" s="7">
        <v>0</v>
      </c>
      <c r="F4853" s="7" t="str">
        <f>IFERROR(
   INDEX(tbl_ProduitsRef[Prix Menu],MATCH(tbl_Ventes[[#This Row],[Produit]],tbl_ProduitsRef[Produit],0)),
   ""
)</f>
        <v/>
      </c>
      <c r="G4853" s="7">
        <f>tbl_Ventes[[#This Row],[Qté Vendue]] * IFERROR(_xlfn.XLOOKUP(tbl_Ventes[[#This Row],[Cde_Prdt]], tbl_Produits[Cde_Prdt], tbl_Produits[Prix Menu]), 0)</f>
        <v>0</v>
      </c>
      <c r="H4853" s="7">
        <f>IFERROR(_xlfn.XLOOKUP(tbl_Ventes[[#This Row],[Cde_Prdt]], tbl_Produits[Cde_Prdt], tbl_Produits[Coût Moyen Portion]), 0)</f>
        <v>0</v>
      </c>
      <c r="I4853" s="7">
        <f>tbl_Ventes[[#This Row],[Qté Vendue]] * tbl_Ventes[[#This Row],[CMP_par_portion]]</f>
        <v>0</v>
      </c>
      <c r="J4853" s="7">
        <f>tbl_Ventes[[#This Row],[CA ligne]] - tbl_Ventes[[#This Row],[Coût matière ligne]]</f>
        <v>0</v>
      </c>
      <c r="K4853" s="7" t="str">
        <f>IFERROR(INDEX(tbl_ProduitsRef[Famille], MATCH(tbl_Ventes[[#This Row],[Cde_Prdt]], tbl_Produits[Cde_Prdt], 0)), "")</f>
        <v/>
      </c>
    </row>
    <row r="4854" spans="1:11" x14ac:dyDescent="0.25">
      <c r="A4854" s="5"/>
      <c r="B4854" s="63" t="str">
        <f>IFERROR(TEXT(tbl_Ventes[[#This Row],[Date]],"mm-aaaa"),"")</f>
        <v>01-1900</v>
      </c>
      <c r="D4854" s="10" t="str">
        <f>IFERROR(
   INDEX(tbl_ProduitsRef[Cde_Prdt],MATCH(tbl_Ventes[[#This Row],[Produit]],tbl_ProduitsRef[Produit],0)),
   ""
)</f>
        <v/>
      </c>
      <c r="E4854" s="7">
        <v>0</v>
      </c>
      <c r="F4854" s="7" t="str">
        <f>IFERROR(
   INDEX(tbl_ProduitsRef[Prix Menu],MATCH(tbl_Ventes[[#This Row],[Produit]],tbl_ProduitsRef[Produit],0)),
   ""
)</f>
        <v/>
      </c>
      <c r="G4854" s="7">
        <f>tbl_Ventes[[#This Row],[Qté Vendue]] * IFERROR(_xlfn.XLOOKUP(tbl_Ventes[[#This Row],[Cde_Prdt]], tbl_Produits[Cde_Prdt], tbl_Produits[Prix Menu]), 0)</f>
        <v>0</v>
      </c>
      <c r="H4854" s="7">
        <f>IFERROR(_xlfn.XLOOKUP(tbl_Ventes[[#This Row],[Cde_Prdt]], tbl_Produits[Cde_Prdt], tbl_Produits[Coût Moyen Portion]), 0)</f>
        <v>0</v>
      </c>
      <c r="I4854" s="7">
        <f>tbl_Ventes[[#This Row],[Qté Vendue]] * tbl_Ventes[[#This Row],[CMP_par_portion]]</f>
        <v>0</v>
      </c>
      <c r="J4854" s="7">
        <f>tbl_Ventes[[#This Row],[CA ligne]] - tbl_Ventes[[#This Row],[Coût matière ligne]]</f>
        <v>0</v>
      </c>
      <c r="K4854" s="7" t="str">
        <f>IFERROR(INDEX(tbl_ProduitsRef[Famille], MATCH(tbl_Ventes[[#This Row],[Cde_Prdt]], tbl_Produits[Cde_Prdt], 0)), "")</f>
        <v/>
      </c>
    </row>
    <row r="4855" spans="1:11" x14ac:dyDescent="0.25">
      <c r="A4855" s="5"/>
      <c r="B4855" s="63" t="str">
        <f>IFERROR(TEXT(tbl_Ventes[[#This Row],[Date]],"mm-aaaa"),"")</f>
        <v>01-1900</v>
      </c>
      <c r="D4855" s="10" t="str">
        <f>IFERROR(
   INDEX(tbl_ProduitsRef[Cde_Prdt],MATCH(tbl_Ventes[[#This Row],[Produit]],tbl_ProduitsRef[Produit],0)),
   ""
)</f>
        <v/>
      </c>
      <c r="E4855" s="7">
        <v>0</v>
      </c>
      <c r="F4855" s="7" t="str">
        <f>IFERROR(
   INDEX(tbl_ProduitsRef[Prix Menu],MATCH(tbl_Ventes[[#This Row],[Produit]],tbl_ProduitsRef[Produit],0)),
   ""
)</f>
        <v/>
      </c>
      <c r="G4855" s="7">
        <f>tbl_Ventes[[#This Row],[Qté Vendue]] * IFERROR(_xlfn.XLOOKUP(tbl_Ventes[[#This Row],[Cde_Prdt]], tbl_Produits[Cde_Prdt], tbl_Produits[Prix Menu]), 0)</f>
        <v>0</v>
      </c>
      <c r="H4855" s="7">
        <f>IFERROR(_xlfn.XLOOKUP(tbl_Ventes[[#This Row],[Cde_Prdt]], tbl_Produits[Cde_Prdt], tbl_Produits[Coût Moyen Portion]), 0)</f>
        <v>0</v>
      </c>
      <c r="I4855" s="7">
        <f>tbl_Ventes[[#This Row],[Qté Vendue]] * tbl_Ventes[[#This Row],[CMP_par_portion]]</f>
        <v>0</v>
      </c>
      <c r="J4855" s="7">
        <f>tbl_Ventes[[#This Row],[CA ligne]] - tbl_Ventes[[#This Row],[Coût matière ligne]]</f>
        <v>0</v>
      </c>
      <c r="K4855" s="7" t="str">
        <f>IFERROR(INDEX(tbl_ProduitsRef[Famille], MATCH(tbl_Ventes[[#This Row],[Cde_Prdt]], tbl_Produits[Cde_Prdt], 0)), "")</f>
        <v/>
      </c>
    </row>
    <row r="4856" spans="1:11" x14ac:dyDescent="0.25">
      <c r="A4856" s="5"/>
      <c r="B4856" s="63" t="str">
        <f>IFERROR(TEXT(tbl_Ventes[[#This Row],[Date]],"mm-aaaa"),"")</f>
        <v>01-1900</v>
      </c>
      <c r="D4856" s="10" t="str">
        <f>IFERROR(
   INDEX(tbl_ProduitsRef[Cde_Prdt],MATCH(tbl_Ventes[[#This Row],[Produit]],tbl_ProduitsRef[Produit],0)),
   ""
)</f>
        <v/>
      </c>
      <c r="E4856" s="7">
        <v>0</v>
      </c>
      <c r="F4856" s="7" t="str">
        <f>IFERROR(
   INDEX(tbl_ProduitsRef[Prix Menu],MATCH(tbl_Ventes[[#This Row],[Produit]],tbl_ProduitsRef[Produit],0)),
   ""
)</f>
        <v/>
      </c>
      <c r="G4856" s="7">
        <f>tbl_Ventes[[#This Row],[Qté Vendue]] * IFERROR(_xlfn.XLOOKUP(tbl_Ventes[[#This Row],[Cde_Prdt]], tbl_Produits[Cde_Prdt], tbl_Produits[Prix Menu]), 0)</f>
        <v>0</v>
      </c>
      <c r="H4856" s="7">
        <f>IFERROR(_xlfn.XLOOKUP(tbl_Ventes[[#This Row],[Cde_Prdt]], tbl_Produits[Cde_Prdt], tbl_Produits[Coût Moyen Portion]), 0)</f>
        <v>0</v>
      </c>
      <c r="I4856" s="7">
        <f>tbl_Ventes[[#This Row],[Qté Vendue]] * tbl_Ventes[[#This Row],[CMP_par_portion]]</f>
        <v>0</v>
      </c>
      <c r="J4856" s="7">
        <f>tbl_Ventes[[#This Row],[CA ligne]] - tbl_Ventes[[#This Row],[Coût matière ligne]]</f>
        <v>0</v>
      </c>
      <c r="K4856" s="7" t="str">
        <f>IFERROR(INDEX(tbl_ProduitsRef[Famille], MATCH(tbl_Ventes[[#This Row],[Cde_Prdt]], tbl_Produits[Cde_Prdt], 0)), "")</f>
        <v/>
      </c>
    </row>
    <row r="4857" spans="1:11" x14ac:dyDescent="0.25">
      <c r="A4857" s="5"/>
      <c r="B4857" s="63" t="str">
        <f>IFERROR(TEXT(tbl_Ventes[[#This Row],[Date]],"mm-aaaa"),"")</f>
        <v>01-1900</v>
      </c>
      <c r="D4857" s="10" t="str">
        <f>IFERROR(
   INDEX(tbl_ProduitsRef[Cde_Prdt],MATCH(tbl_Ventes[[#This Row],[Produit]],tbl_ProduitsRef[Produit],0)),
   ""
)</f>
        <v/>
      </c>
      <c r="E4857" s="7">
        <v>0</v>
      </c>
      <c r="F4857" s="7" t="str">
        <f>IFERROR(
   INDEX(tbl_ProduitsRef[Prix Menu],MATCH(tbl_Ventes[[#This Row],[Produit]],tbl_ProduitsRef[Produit],0)),
   ""
)</f>
        <v/>
      </c>
      <c r="G4857" s="7">
        <f>tbl_Ventes[[#This Row],[Qté Vendue]] * IFERROR(_xlfn.XLOOKUP(tbl_Ventes[[#This Row],[Cde_Prdt]], tbl_Produits[Cde_Prdt], tbl_Produits[Prix Menu]), 0)</f>
        <v>0</v>
      </c>
      <c r="H4857" s="7">
        <f>IFERROR(_xlfn.XLOOKUP(tbl_Ventes[[#This Row],[Cde_Prdt]], tbl_Produits[Cde_Prdt], tbl_Produits[Coût Moyen Portion]), 0)</f>
        <v>0</v>
      </c>
      <c r="I4857" s="7">
        <f>tbl_Ventes[[#This Row],[Qté Vendue]] * tbl_Ventes[[#This Row],[CMP_par_portion]]</f>
        <v>0</v>
      </c>
      <c r="J4857" s="7">
        <f>tbl_Ventes[[#This Row],[CA ligne]] - tbl_Ventes[[#This Row],[Coût matière ligne]]</f>
        <v>0</v>
      </c>
      <c r="K4857" s="7" t="str">
        <f>IFERROR(INDEX(tbl_ProduitsRef[Famille], MATCH(tbl_Ventes[[#This Row],[Cde_Prdt]], tbl_Produits[Cde_Prdt], 0)), "")</f>
        <v/>
      </c>
    </row>
    <row r="4858" spans="1:11" x14ac:dyDescent="0.25">
      <c r="A4858" s="5"/>
      <c r="B4858" s="63" t="str">
        <f>IFERROR(TEXT(tbl_Ventes[[#This Row],[Date]],"mm-aaaa"),"")</f>
        <v>01-1900</v>
      </c>
      <c r="D4858" s="10" t="str">
        <f>IFERROR(
   INDEX(tbl_ProduitsRef[Cde_Prdt],MATCH(tbl_Ventes[[#This Row],[Produit]],tbl_ProduitsRef[Produit],0)),
   ""
)</f>
        <v/>
      </c>
      <c r="E4858" s="7">
        <v>0</v>
      </c>
      <c r="F4858" s="7" t="str">
        <f>IFERROR(
   INDEX(tbl_ProduitsRef[Prix Menu],MATCH(tbl_Ventes[[#This Row],[Produit]],tbl_ProduitsRef[Produit],0)),
   ""
)</f>
        <v/>
      </c>
      <c r="G4858" s="7">
        <f>tbl_Ventes[[#This Row],[Qté Vendue]] * IFERROR(_xlfn.XLOOKUP(tbl_Ventes[[#This Row],[Cde_Prdt]], tbl_Produits[Cde_Prdt], tbl_Produits[Prix Menu]), 0)</f>
        <v>0</v>
      </c>
      <c r="H4858" s="7">
        <f>IFERROR(_xlfn.XLOOKUP(tbl_Ventes[[#This Row],[Cde_Prdt]], tbl_Produits[Cde_Prdt], tbl_Produits[Coût Moyen Portion]), 0)</f>
        <v>0</v>
      </c>
      <c r="I4858" s="7">
        <f>tbl_Ventes[[#This Row],[Qté Vendue]] * tbl_Ventes[[#This Row],[CMP_par_portion]]</f>
        <v>0</v>
      </c>
      <c r="J4858" s="7">
        <f>tbl_Ventes[[#This Row],[CA ligne]] - tbl_Ventes[[#This Row],[Coût matière ligne]]</f>
        <v>0</v>
      </c>
      <c r="K4858" s="7" t="str">
        <f>IFERROR(INDEX(tbl_ProduitsRef[Famille], MATCH(tbl_Ventes[[#This Row],[Cde_Prdt]], tbl_Produits[Cde_Prdt], 0)), "")</f>
        <v/>
      </c>
    </row>
    <row r="4859" spans="1:11" x14ac:dyDescent="0.25">
      <c r="A4859" s="5"/>
      <c r="B4859" s="63" t="str">
        <f>IFERROR(TEXT(tbl_Ventes[[#This Row],[Date]],"mm-aaaa"),"")</f>
        <v>01-1900</v>
      </c>
      <c r="D4859" s="10" t="str">
        <f>IFERROR(
   INDEX(tbl_ProduitsRef[Cde_Prdt],MATCH(tbl_Ventes[[#This Row],[Produit]],tbl_ProduitsRef[Produit],0)),
   ""
)</f>
        <v/>
      </c>
      <c r="E4859" s="7">
        <v>0</v>
      </c>
      <c r="F4859" s="7" t="str">
        <f>IFERROR(
   INDEX(tbl_ProduitsRef[Prix Menu],MATCH(tbl_Ventes[[#This Row],[Produit]],tbl_ProduitsRef[Produit],0)),
   ""
)</f>
        <v/>
      </c>
      <c r="G4859" s="7">
        <f>tbl_Ventes[[#This Row],[Qté Vendue]] * IFERROR(_xlfn.XLOOKUP(tbl_Ventes[[#This Row],[Cde_Prdt]], tbl_Produits[Cde_Prdt], tbl_Produits[Prix Menu]), 0)</f>
        <v>0</v>
      </c>
      <c r="H4859" s="7">
        <f>IFERROR(_xlfn.XLOOKUP(tbl_Ventes[[#This Row],[Cde_Prdt]], tbl_Produits[Cde_Prdt], tbl_Produits[Coût Moyen Portion]), 0)</f>
        <v>0</v>
      </c>
      <c r="I4859" s="7">
        <f>tbl_Ventes[[#This Row],[Qté Vendue]] * tbl_Ventes[[#This Row],[CMP_par_portion]]</f>
        <v>0</v>
      </c>
      <c r="J4859" s="7">
        <f>tbl_Ventes[[#This Row],[CA ligne]] - tbl_Ventes[[#This Row],[Coût matière ligne]]</f>
        <v>0</v>
      </c>
      <c r="K4859" s="7" t="str">
        <f>IFERROR(INDEX(tbl_ProduitsRef[Famille], MATCH(tbl_Ventes[[#This Row],[Cde_Prdt]], tbl_Produits[Cde_Prdt], 0)), "")</f>
        <v/>
      </c>
    </row>
    <row r="4860" spans="1:11" x14ac:dyDescent="0.25">
      <c r="A4860" s="5"/>
      <c r="B4860" s="63" t="str">
        <f>IFERROR(TEXT(tbl_Ventes[[#This Row],[Date]],"mm-aaaa"),"")</f>
        <v>01-1900</v>
      </c>
      <c r="D4860" s="10" t="str">
        <f>IFERROR(
   INDEX(tbl_ProduitsRef[Cde_Prdt],MATCH(tbl_Ventes[[#This Row],[Produit]],tbl_ProduitsRef[Produit],0)),
   ""
)</f>
        <v/>
      </c>
      <c r="E4860" s="7">
        <v>0</v>
      </c>
      <c r="F4860" s="7" t="str">
        <f>IFERROR(
   INDEX(tbl_ProduitsRef[Prix Menu],MATCH(tbl_Ventes[[#This Row],[Produit]],tbl_ProduitsRef[Produit],0)),
   ""
)</f>
        <v/>
      </c>
      <c r="G4860" s="7">
        <f>tbl_Ventes[[#This Row],[Qté Vendue]] * IFERROR(_xlfn.XLOOKUP(tbl_Ventes[[#This Row],[Cde_Prdt]], tbl_Produits[Cde_Prdt], tbl_Produits[Prix Menu]), 0)</f>
        <v>0</v>
      </c>
      <c r="H4860" s="7">
        <f>IFERROR(_xlfn.XLOOKUP(tbl_Ventes[[#This Row],[Cde_Prdt]], tbl_Produits[Cde_Prdt], tbl_Produits[Coût Moyen Portion]), 0)</f>
        <v>0</v>
      </c>
      <c r="I4860" s="7">
        <f>tbl_Ventes[[#This Row],[Qté Vendue]] * tbl_Ventes[[#This Row],[CMP_par_portion]]</f>
        <v>0</v>
      </c>
      <c r="J4860" s="7">
        <f>tbl_Ventes[[#This Row],[CA ligne]] - tbl_Ventes[[#This Row],[Coût matière ligne]]</f>
        <v>0</v>
      </c>
      <c r="K4860" s="7" t="str">
        <f>IFERROR(INDEX(tbl_ProduitsRef[Famille], MATCH(tbl_Ventes[[#This Row],[Cde_Prdt]], tbl_Produits[Cde_Prdt], 0)), "")</f>
        <v/>
      </c>
    </row>
    <row r="4861" spans="1:11" x14ac:dyDescent="0.25">
      <c r="A4861" s="5"/>
      <c r="B4861" s="63" t="str">
        <f>IFERROR(TEXT(tbl_Ventes[[#This Row],[Date]],"mm-aaaa"),"")</f>
        <v>01-1900</v>
      </c>
      <c r="D4861" s="10" t="str">
        <f>IFERROR(
   INDEX(tbl_ProduitsRef[Cde_Prdt],MATCH(tbl_Ventes[[#This Row],[Produit]],tbl_ProduitsRef[Produit],0)),
   ""
)</f>
        <v/>
      </c>
      <c r="E4861" s="7">
        <v>0</v>
      </c>
      <c r="F4861" s="7" t="str">
        <f>IFERROR(
   INDEX(tbl_ProduitsRef[Prix Menu],MATCH(tbl_Ventes[[#This Row],[Produit]],tbl_ProduitsRef[Produit],0)),
   ""
)</f>
        <v/>
      </c>
      <c r="G4861" s="7">
        <f>tbl_Ventes[[#This Row],[Qté Vendue]] * IFERROR(_xlfn.XLOOKUP(tbl_Ventes[[#This Row],[Cde_Prdt]], tbl_Produits[Cde_Prdt], tbl_Produits[Prix Menu]), 0)</f>
        <v>0</v>
      </c>
      <c r="H4861" s="7">
        <f>IFERROR(_xlfn.XLOOKUP(tbl_Ventes[[#This Row],[Cde_Prdt]], tbl_Produits[Cde_Prdt], tbl_Produits[Coût Moyen Portion]), 0)</f>
        <v>0</v>
      </c>
      <c r="I4861" s="7">
        <f>tbl_Ventes[[#This Row],[Qté Vendue]] * tbl_Ventes[[#This Row],[CMP_par_portion]]</f>
        <v>0</v>
      </c>
      <c r="J4861" s="7">
        <f>tbl_Ventes[[#This Row],[CA ligne]] - tbl_Ventes[[#This Row],[Coût matière ligne]]</f>
        <v>0</v>
      </c>
      <c r="K4861" s="7" t="str">
        <f>IFERROR(INDEX(tbl_ProduitsRef[Famille], MATCH(tbl_Ventes[[#This Row],[Cde_Prdt]], tbl_Produits[Cde_Prdt], 0)), "")</f>
        <v/>
      </c>
    </row>
    <row r="4862" spans="1:11" x14ac:dyDescent="0.25">
      <c r="A4862" s="5"/>
      <c r="B4862" s="63" t="str">
        <f>IFERROR(TEXT(tbl_Ventes[[#This Row],[Date]],"mm-aaaa"),"")</f>
        <v>01-1900</v>
      </c>
      <c r="D4862" s="10" t="str">
        <f>IFERROR(
   INDEX(tbl_ProduitsRef[Cde_Prdt],MATCH(tbl_Ventes[[#This Row],[Produit]],tbl_ProduitsRef[Produit],0)),
   ""
)</f>
        <v/>
      </c>
      <c r="E4862" s="7">
        <v>0</v>
      </c>
      <c r="F4862" s="7" t="str">
        <f>IFERROR(
   INDEX(tbl_ProduitsRef[Prix Menu],MATCH(tbl_Ventes[[#This Row],[Produit]],tbl_ProduitsRef[Produit],0)),
   ""
)</f>
        <v/>
      </c>
      <c r="G4862" s="7">
        <f>tbl_Ventes[[#This Row],[Qté Vendue]] * IFERROR(_xlfn.XLOOKUP(tbl_Ventes[[#This Row],[Cde_Prdt]], tbl_Produits[Cde_Prdt], tbl_Produits[Prix Menu]), 0)</f>
        <v>0</v>
      </c>
      <c r="H4862" s="7">
        <f>IFERROR(_xlfn.XLOOKUP(tbl_Ventes[[#This Row],[Cde_Prdt]], tbl_Produits[Cde_Prdt], tbl_Produits[Coût Moyen Portion]), 0)</f>
        <v>0</v>
      </c>
      <c r="I4862" s="7">
        <f>tbl_Ventes[[#This Row],[Qté Vendue]] * tbl_Ventes[[#This Row],[CMP_par_portion]]</f>
        <v>0</v>
      </c>
      <c r="J4862" s="7">
        <f>tbl_Ventes[[#This Row],[CA ligne]] - tbl_Ventes[[#This Row],[Coût matière ligne]]</f>
        <v>0</v>
      </c>
      <c r="K4862" s="7" t="str">
        <f>IFERROR(INDEX(tbl_ProduitsRef[Famille], MATCH(tbl_Ventes[[#This Row],[Cde_Prdt]], tbl_Produits[Cde_Prdt], 0)), "")</f>
        <v/>
      </c>
    </row>
    <row r="4863" spans="1:11" x14ac:dyDescent="0.25">
      <c r="A4863" s="5"/>
      <c r="B4863" s="63" t="str">
        <f>IFERROR(TEXT(tbl_Ventes[[#This Row],[Date]],"mm-aaaa"),"")</f>
        <v>01-1900</v>
      </c>
      <c r="D4863" s="10" t="str">
        <f>IFERROR(
   INDEX(tbl_ProduitsRef[Cde_Prdt],MATCH(tbl_Ventes[[#This Row],[Produit]],tbl_ProduitsRef[Produit],0)),
   ""
)</f>
        <v/>
      </c>
      <c r="E4863" s="7">
        <v>0</v>
      </c>
      <c r="F4863" s="7" t="str">
        <f>IFERROR(
   INDEX(tbl_ProduitsRef[Prix Menu],MATCH(tbl_Ventes[[#This Row],[Produit]],tbl_ProduitsRef[Produit],0)),
   ""
)</f>
        <v/>
      </c>
      <c r="G4863" s="7">
        <f>tbl_Ventes[[#This Row],[Qté Vendue]] * IFERROR(_xlfn.XLOOKUP(tbl_Ventes[[#This Row],[Cde_Prdt]], tbl_Produits[Cde_Prdt], tbl_Produits[Prix Menu]), 0)</f>
        <v>0</v>
      </c>
      <c r="H4863" s="7">
        <f>IFERROR(_xlfn.XLOOKUP(tbl_Ventes[[#This Row],[Cde_Prdt]], tbl_Produits[Cde_Prdt], tbl_Produits[Coût Moyen Portion]), 0)</f>
        <v>0</v>
      </c>
      <c r="I4863" s="7">
        <f>tbl_Ventes[[#This Row],[Qté Vendue]] * tbl_Ventes[[#This Row],[CMP_par_portion]]</f>
        <v>0</v>
      </c>
      <c r="J4863" s="7">
        <f>tbl_Ventes[[#This Row],[CA ligne]] - tbl_Ventes[[#This Row],[Coût matière ligne]]</f>
        <v>0</v>
      </c>
      <c r="K4863" s="7" t="str">
        <f>IFERROR(INDEX(tbl_ProduitsRef[Famille], MATCH(tbl_Ventes[[#This Row],[Cde_Prdt]], tbl_Produits[Cde_Prdt], 0)), "")</f>
        <v/>
      </c>
    </row>
    <row r="4864" spans="1:11" x14ac:dyDescent="0.25">
      <c r="A4864" s="5"/>
      <c r="B4864" s="63" t="str">
        <f>IFERROR(TEXT(tbl_Ventes[[#This Row],[Date]],"mm-aaaa"),"")</f>
        <v>01-1900</v>
      </c>
      <c r="D4864" s="10" t="str">
        <f>IFERROR(
   INDEX(tbl_ProduitsRef[Cde_Prdt],MATCH(tbl_Ventes[[#This Row],[Produit]],tbl_ProduitsRef[Produit],0)),
   ""
)</f>
        <v/>
      </c>
      <c r="E4864" s="7">
        <v>0</v>
      </c>
      <c r="F4864" s="7" t="str">
        <f>IFERROR(
   INDEX(tbl_ProduitsRef[Prix Menu],MATCH(tbl_Ventes[[#This Row],[Produit]],tbl_ProduitsRef[Produit],0)),
   ""
)</f>
        <v/>
      </c>
      <c r="G4864" s="7">
        <f>tbl_Ventes[[#This Row],[Qté Vendue]] * IFERROR(_xlfn.XLOOKUP(tbl_Ventes[[#This Row],[Cde_Prdt]], tbl_Produits[Cde_Prdt], tbl_Produits[Prix Menu]), 0)</f>
        <v>0</v>
      </c>
      <c r="H4864" s="7">
        <f>IFERROR(_xlfn.XLOOKUP(tbl_Ventes[[#This Row],[Cde_Prdt]], tbl_Produits[Cde_Prdt], tbl_Produits[Coût Moyen Portion]), 0)</f>
        <v>0</v>
      </c>
      <c r="I4864" s="7">
        <f>tbl_Ventes[[#This Row],[Qté Vendue]] * tbl_Ventes[[#This Row],[CMP_par_portion]]</f>
        <v>0</v>
      </c>
      <c r="J4864" s="7">
        <f>tbl_Ventes[[#This Row],[CA ligne]] - tbl_Ventes[[#This Row],[Coût matière ligne]]</f>
        <v>0</v>
      </c>
      <c r="K4864" s="7" t="str">
        <f>IFERROR(INDEX(tbl_ProduitsRef[Famille], MATCH(tbl_Ventes[[#This Row],[Cde_Prdt]], tbl_Produits[Cde_Prdt], 0)), "")</f>
        <v/>
      </c>
    </row>
    <row r="4865" spans="1:11" x14ac:dyDescent="0.25">
      <c r="A4865" s="5"/>
      <c r="B4865" s="63" t="str">
        <f>IFERROR(TEXT(tbl_Ventes[[#This Row],[Date]],"mm-aaaa"),"")</f>
        <v>01-1900</v>
      </c>
      <c r="D4865" s="10" t="str">
        <f>IFERROR(
   INDEX(tbl_ProduitsRef[Cde_Prdt],MATCH(tbl_Ventes[[#This Row],[Produit]],tbl_ProduitsRef[Produit],0)),
   ""
)</f>
        <v/>
      </c>
      <c r="E4865" s="7">
        <v>0</v>
      </c>
      <c r="F4865" s="7" t="str">
        <f>IFERROR(
   INDEX(tbl_ProduitsRef[Prix Menu],MATCH(tbl_Ventes[[#This Row],[Produit]],tbl_ProduitsRef[Produit],0)),
   ""
)</f>
        <v/>
      </c>
      <c r="G4865" s="7">
        <f>tbl_Ventes[[#This Row],[Qté Vendue]] * IFERROR(_xlfn.XLOOKUP(tbl_Ventes[[#This Row],[Cde_Prdt]], tbl_Produits[Cde_Prdt], tbl_Produits[Prix Menu]), 0)</f>
        <v>0</v>
      </c>
      <c r="H4865" s="7">
        <f>IFERROR(_xlfn.XLOOKUP(tbl_Ventes[[#This Row],[Cde_Prdt]], tbl_Produits[Cde_Prdt], tbl_Produits[Coût Moyen Portion]), 0)</f>
        <v>0</v>
      </c>
      <c r="I4865" s="7">
        <f>tbl_Ventes[[#This Row],[Qté Vendue]] * tbl_Ventes[[#This Row],[CMP_par_portion]]</f>
        <v>0</v>
      </c>
      <c r="J4865" s="7">
        <f>tbl_Ventes[[#This Row],[CA ligne]] - tbl_Ventes[[#This Row],[Coût matière ligne]]</f>
        <v>0</v>
      </c>
      <c r="K4865" s="7" t="str">
        <f>IFERROR(INDEX(tbl_ProduitsRef[Famille], MATCH(tbl_Ventes[[#This Row],[Cde_Prdt]], tbl_Produits[Cde_Prdt], 0)), "")</f>
        <v/>
      </c>
    </row>
    <row r="4866" spans="1:11" x14ac:dyDescent="0.25">
      <c r="A4866" s="5"/>
      <c r="B4866" s="63" t="str">
        <f>IFERROR(TEXT(tbl_Ventes[[#This Row],[Date]],"mm-aaaa"),"")</f>
        <v>01-1900</v>
      </c>
      <c r="D4866" s="10" t="str">
        <f>IFERROR(
   INDEX(tbl_ProduitsRef[Cde_Prdt],MATCH(tbl_Ventes[[#This Row],[Produit]],tbl_ProduitsRef[Produit],0)),
   ""
)</f>
        <v/>
      </c>
      <c r="E4866" s="7">
        <v>0</v>
      </c>
      <c r="F4866" s="7" t="str">
        <f>IFERROR(
   INDEX(tbl_ProduitsRef[Prix Menu],MATCH(tbl_Ventes[[#This Row],[Produit]],tbl_ProduitsRef[Produit],0)),
   ""
)</f>
        <v/>
      </c>
      <c r="G4866" s="7">
        <f>tbl_Ventes[[#This Row],[Qté Vendue]] * IFERROR(_xlfn.XLOOKUP(tbl_Ventes[[#This Row],[Cde_Prdt]], tbl_Produits[Cde_Prdt], tbl_Produits[Prix Menu]), 0)</f>
        <v>0</v>
      </c>
      <c r="H4866" s="7">
        <f>IFERROR(_xlfn.XLOOKUP(tbl_Ventes[[#This Row],[Cde_Prdt]], tbl_Produits[Cde_Prdt], tbl_Produits[Coût Moyen Portion]), 0)</f>
        <v>0</v>
      </c>
      <c r="I4866" s="7">
        <f>tbl_Ventes[[#This Row],[Qté Vendue]] * tbl_Ventes[[#This Row],[CMP_par_portion]]</f>
        <v>0</v>
      </c>
      <c r="J4866" s="7">
        <f>tbl_Ventes[[#This Row],[CA ligne]] - tbl_Ventes[[#This Row],[Coût matière ligne]]</f>
        <v>0</v>
      </c>
      <c r="K4866" s="7" t="str">
        <f>IFERROR(INDEX(tbl_ProduitsRef[Famille], MATCH(tbl_Ventes[[#This Row],[Cde_Prdt]], tbl_Produits[Cde_Prdt], 0)), "")</f>
        <v/>
      </c>
    </row>
    <row r="4867" spans="1:11" x14ac:dyDescent="0.25">
      <c r="A4867" s="5"/>
      <c r="B4867" s="63" t="str">
        <f>IFERROR(TEXT(tbl_Ventes[[#This Row],[Date]],"mm-aaaa"),"")</f>
        <v>01-1900</v>
      </c>
      <c r="D4867" s="10" t="str">
        <f>IFERROR(
   INDEX(tbl_ProduitsRef[Cde_Prdt],MATCH(tbl_Ventes[[#This Row],[Produit]],tbl_ProduitsRef[Produit],0)),
   ""
)</f>
        <v/>
      </c>
      <c r="E4867" s="7">
        <v>0</v>
      </c>
      <c r="F4867" s="7" t="str">
        <f>IFERROR(
   INDEX(tbl_ProduitsRef[Prix Menu],MATCH(tbl_Ventes[[#This Row],[Produit]],tbl_ProduitsRef[Produit],0)),
   ""
)</f>
        <v/>
      </c>
      <c r="G4867" s="7">
        <f>tbl_Ventes[[#This Row],[Qté Vendue]] * IFERROR(_xlfn.XLOOKUP(tbl_Ventes[[#This Row],[Cde_Prdt]], tbl_Produits[Cde_Prdt], tbl_Produits[Prix Menu]), 0)</f>
        <v>0</v>
      </c>
      <c r="H4867" s="7">
        <f>IFERROR(_xlfn.XLOOKUP(tbl_Ventes[[#This Row],[Cde_Prdt]], tbl_Produits[Cde_Prdt], tbl_Produits[Coût Moyen Portion]), 0)</f>
        <v>0</v>
      </c>
      <c r="I4867" s="7">
        <f>tbl_Ventes[[#This Row],[Qté Vendue]] * tbl_Ventes[[#This Row],[CMP_par_portion]]</f>
        <v>0</v>
      </c>
      <c r="J4867" s="7">
        <f>tbl_Ventes[[#This Row],[CA ligne]] - tbl_Ventes[[#This Row],[Coût matière ligne]]</f>
        <v>0</v>
      </c>
      <c r="K4867" s="7" t="str">
        <f>IFERROR(INDEX(tbl_ProduitsRef[Famille], MATCH(tbl_Ventes[[#This Row],[Cde_Prdt]], tbl_Produits[Cde_Prdt], 0)), "")</f>
        <v/>
      </c>
    </row>
    <row r="4868" spans="1:11" x14ac:dyDescent="0.25">
      <c r="A4868" s="5"/>
      <c r="B4868" s="63" t="str">
        <f>IFERROR(TEXT(tbl_Ventes[[#This Row],[Date]],"mm-aaaa"),"")</f>
        <v>01-1900</v>
      </c>
      <c r="D4868" s="10" t="str">
        <f>IFERROR(
   INDEX(tbl_ProduitsRef[Cde_Prdt],MATCH(tbl_Ventes[[#This Row],[Produit]],tbl_ProduitsRef[Produit],0)),
   ""
)</f>
        <v/>
      </c>
      <c r="E4868" s="7">
        <v>0</v>
      </c>
      <c r="F4868" s="7" t="str">
        <f>IFERROR(
   INDEX(tbl_ProduitsRef[Prix Menu],MATCH(tbl_Ventes[[#This Row],[Produit]],tbl_ProduitsRef[Produit],0)),
   ""
)</f>
        <v/>
      </c>
      <c r="G4868" s="7">
        <f>tbl_Ventes[[#This Row],[Qté Vendue]] * IFERROR(_xlfn.XLOOKUP(tbl_Ventes[[#This Row],[Cde_Prdt]], tbl_Produits[Cde_Prdt], tbl_Produits[Prix Menu]), 0)</f>
        <v>0</v>
      </c>
      <c r="H4868" s="7">
        <f>IFERROR(_xlfn.XLOOKUP(tbl_Ventes[[#This Row],[Cde_Prdt]], tbl_Produits[Cde_Prdt], tbl_Produits[Coût Moyen Portion]), 0)</f>
        <v>0</v>
      </c>
      <c r="I4868" s="7">
        <f>tbl_Ventes[[#This Row],[Qté Vendue]] * tbl_Ventes[[#This Row],[CMP_par_portion]]</f>
        <v>0</v>
      </c>
      <c r="J4868" s="7">
        <f>tbl_Ventes[[#This Row],[CA ligne]] - tbl_Ventes[[#This Row],[Coût matière ligne]]</f>
        <v>0</v>
      </c>
      <c r="K4868" s="7" t="str">
        <f>IFERROR(INDEX(tbl_ProduitsRef[Famille], MATCH(tbl_Ventes[[#This Row],[Cde_Prdt]], tbl_Produits[Cde_Prdt], 0)), "")</f>
        <v/>
      </c>
    </row>
    <row r="4869" spans="1:11" x14ac:dyDescent="0.25">
      <c r="A4869" s="5"/>
      <c r="B4869" s="63" t="str">
        <f>IFERROR(TEXT(tbl_Ventes[[#This Row],[Date]],"mm-aaaa"),"")</f>
        <v>01-1900</v>
      </c>
      <c r="D4869" s="10" t="str">
        <f>IFERROR(
   INDEX(tbl_ProduitsRef[Cde_Prdt],MATCH(tbl_Ventes[[#This Row],[Produit]],tbl_ProduitsRef[Produit],0)),
   ""
)</f>
        <v/>
      </c>
      <c r="E4869" s="7">
        <v>0</v>
      </c>
      <c r="F4869" s="7" t="str">
        <f>IFERROR(
   INDEX(tbl_ProduitsRef[Prix Menu],MATCH(tbl_Ventes[[#This Row],[Produit]],tbl_ProduitsRef[Produit],0)),
   ""
)</f>
        <v/>
      </c>
      <c r="G4869" s="7">
        <f>tbl_Ventes[[#This Row],[Qté Vendue]] * IFERROR(_xlfn.XLOOKUP(tbl_Ventes[[#This Row],[Cde_Prdt]], tbl_Produits[Cde_Prdt], tbl_Produits[Prix Menu]), 0)</f>
        <v>0</v>
      </c>
      <c r="H4869" s="7">
        <f>IFERROR(_xlfn.XLOOKUP(tbl_Ventes[[#This Row],[Cde_Prdt]], tbl_Produits[Cde_Prdt], tbl_Produits[Coût Moyen Portion]), 0)</f>
        <v>0</v>
      </c>
      <c r="I4869" s="7">
        <f>tbl_Ventes[[#This Row],[Qté Vendue]] * tbl_Ventes[[#This Row],[CMP_par_portion]]</f>
        <v>0</v>
      </c>
      <c r="J4869" s="7">
        <f>tbl_Ventes[[#This Row],[CA ligne]] - tbl_Ventes[[#This Row],[Coût matière ligne]]</f>
        <v>0</v>
      </c>
      <c r="K4869" s="7" t="str">
        <f>IFERROR(INDEX(tbl_ProduitsRef[Famille], MATCH(tbl_Ventes[[#This Row],[Cde_Prdt]], tbl_Produits[Cde_Prdt], 0)), "")</f>
        <v/>
      </c>
    </row>
    <row r="4870" spans="1:11" x14ac:dyDescent="0.25">
      <c r="A4870" s="5"/>
      <c r="B4870" s="63" t="str">
        <f>IFERROR(TEXT(tbl_Ventes[[#This Row],[Date]],"mm-aaaa"),"")</f>
        <v>01-1900</v>
      </c>
      <c r="D4870" s="10" t="str">
        <f>IFERROR(
   INDEX(tbl_ProduitsRef[Cde_Prdt],MATCH(tbl_Ventes[[#This Row],[Produit]],tbl_ProduitsRef[Produit],0)),
   ""
)</f>
        <v/>
      </c>
      <c r="E4870" s="7">
        <v>0</v>
      </c>
      <c r="F4870" s="7" t="str">
        <f>IFERROR(
   INDEX(tbl_ProduitsRef[Prix Menu],MATCH(tbl_Ventes[[#This Row],[Produit]],tbl_ProduitsRef[Produit],0)),
   ""
)</f>
        <v/>
      </c>
      <c r="G4870" s="7">
        <f>tbl_Ventes[[#This Row],[Qté Vendue]] * IFERROR(_xlfn.XLOOKUP(tbl_Ventes[[#This Row],[Cde_Prdt]], tbl_Produits[Cde_Prdt], tbl_Produits[Prix Menu]), 0)</f>
        <v>0</v>
      </c>
      <c r="H4870" s="7">
        <f>IFERROR(_xlfn.XLOOKUP(tbl_Ventes[[#This Row],[Cde_Prdt]], tbl_Produits[Cde_Prdt], tbl_Produits[Coût Moyen Portion]), 0)</f>
        <v>0</v>
      </c>
      <c r="I4870" s="7">
        <f>tbl_Ventes[[#This Row],[Qté Vendue]] * tbl_Ventes[[#This Row],[CMP_par_portion]]</f>
        <v>0</v>
      </c>
      <c r="J4870" s="7">
        <f>tbl_Ventes[[#This Row],[CA ligne]] - tbl_Ventes[[#This Row],[Coût matière ligne]]</f>
        <v>0</v>
      </c>
      <c r="K4870" s="7" t="str">
        <f>IFERROR(INDEX(tbl_ProduitsRef[Famille], MATCH(tbl_Ventes[[#This Row],[Cde_Prdt]], tbl_Produits[Cde_Prdt], 0)), "")</f>
        <v/>
      </c>
    </row>
    <row r="4871" spans="1:11" x14ac:dyDescent="0.25">
      <c r="A4871" s="5"/>
      <c r="B4871" s="63" t="str">
        <f>IFERROR(TEXT(tbl_Ventes[[#This Row],[Date]],"mm-aaaa"),"")</f>
        <v>01-1900</v>
      </c>
      <c r="D4871" s="10" t="str">
        <f>IFERROR(
   INDEX(tbl_ProduitsRef[Cde_Prdt],MATCH(tbl_Ventes[[#This Row],[Produit]],tbl_ProduitsRef[Produit],0)),
   ""
)</f>
        <v/>
      </c>
      <c r="E4871" s="7">
        <v>0</v>
      </c>
      <c r="F4871" s="7" t="str">
        <f>IFERROR(
   INDEX(tbl_ProduitsRef[Prix Menu],MATCH(tbl_Ventes[[#This Row],[Produit]],tbl_ProduitsRef[Produit],0)),
   ""
)</f>
        <v/>
      </c>
      <c r="G4871" s="7">
        <f>tbl_Ventes[[#This Row],[Qté Vendue]] * IFERROR(_xlfn.XLOOKUP(tbl_Ventes[[#This Row],[Cde_Prdt]], tbl_Produits[Cde_Prdt], tbl_Produits[Prix Menu]), 0)</f>
        <v>0</v>
      </c>
      <c r="H4871" s="7">
        <f>IFERROR(_xlfn.XLOOKUP(tbl_Ventes[[#This Row],[Cde_Prdt]], tbl_Produits[Cde_Prdt], tbl_Produits[Coût Moyen Portion]), 0)</f>
        <v>0</v>
      </c>
      <c r="I4871" s="7">
        <f>tbl_Ventes[[#This Row],[Qté Vendue]] * tbl_Ventes[[#This Row],[CMP_par_portion]]</f>
        <v>0</v>
      </c>
      <c r="J4871" s="7">
        <f>tbl_Ventes[[#This Row],[CA ligne]] - tbl_Ventes[[#This Row],[Coût matière ligne]]</f>
        <v>0</v>
      </c>
      <c r="K4871" s="7" t="str">
        <f>IFERROR(INDEX(tbl_ProduitsRef[Famille], MATCH(tbl_Ventes[[#This Row],[Cde_Prdt]], tbl_Produits[Cde_Prdt], 0)), "")</f>
        <v/>
      </c>
    </row>
    <row r="4872" spans="1:11" x14ac:dyDescent="0.25">
      <c r="A4872" s="5"/>
      <c r="B4872" s="63" t="str">
        <f>IFERROR(TEXT(tbl_Ventes[[#This Row],[Date]],"mm-aaaa"),"")</f>
        <v>01-1900</v>
      </c>
      <c r="D4872" s="10" t="str">
        <f>IFERROR(
   INDEX(tbl_ProduitsRef[Cde_Prdt],MATCH(tbl_Ventes[[#This Row],[Produit]],tbl_ProduitsRef[Produit],0)),
   ""
)</f>
        <v/>
      </c>
      <c r="E4872" s="7">
        <v>0</v>
      </c>
      <c r="F4872" s="7" t="str">
        <f>IFERROR(
   INDEX(tbl_ProduitsRef[Prix Menu],MATCH(tbl_Ventes[[#This Row],[Produit]],tbl_ProduitsRef[Produit],0)),
   ""
)</f>
        <v/>
      </c>
      <c r="G4872" s="7">
        <f>tbl_Ventes[[#This Row],[Qté Vendue]] * IFERROR(_xlfn.XLOOKUP(tbl_Ventes[[#This Row],[Cde_Prdt]], tbl_Produits[Cde_Prdt], tbl_Produits[Prix Menu]), 0)</f>
        <v>0</v>
      </c>
      <c r="H4872" s="7">
        <f>IFERROR(_xlfn.XLOOKUP(tbl_Ventes[[#This Row],[Cde_Prdt]], tbl_Produits[Cde_Prdt], tbl_Produits[Coût Moyen Portion]), 0)</f>
        <v>0</v>
      </c>
      <c r="I4872" s="7">
        <f>tbl_Ventes[[#This Row],[Qté Vendue]] * tbl_Ventes[[#This Row],[CMP_par_portion]]</f>
        <v>0</v>
      </c>
      <c r="J4872" s="7">
        <f>tbl_Ventes[[#This Row],[CA ligne]] - tbl_Ventes[[#This Row],[Coût matière ligne]]</f>
        <v>0</v>
      </c>
      <c r="K4872" s="7" t="str">
        <f>IFERROR(INDEX(tbl_ProduitsRef[Famille], MATCH(tbl_Ventes[[#This Row],[Cde_Prdt]], tbl_Produits[Cde_Prdt], 0)), "")</f>
        <v/>
      </c>
    </row>
    <row r="4873" spans="1:11" x14ac:dyDescent="0.25">
      <c r="A4873" s="5"/>
      <c r="B4873" s="63" t="str">
        <f>IFERROR(TEXT(tbl_Ventes[[#This Row],[Date]],"mm-aaaa"),"")</f>
        <v>01-1900</v>
      </c>
      <c r="D4873" s="10" t="str">
        <f>IFERROR(
   INDEX(tbl_ProduitsRef[Cde_Prdt],MATCH(tbl_Ventes[[#This Row],[Produit]],tbl_ProduitsRef[Produit],0)),
   ""
)</f>
        <v/>
      </c>
      <c r="E4873" s="7">
        <v>0</v>
      </c>
      <c r="F4873" s="7" t="str">
        <f>IFERROR(
   INDEX(tbl_ProduitsRef[Prix Menu],MATCH(tbl_Ventes[[#This Row],[Produit]],tbl_ProduitsRef[Produit],0)),
   ""
)</f>
        <v/>
      </c>
      <c r="G4873" s="7">
        <f>tbl_Ventes[[#This Row],[Qté Vendue]] * IFERROR(_xlfn.XLOOKUP(tbl_Ventes[[#This Row],[Cde_Prdt]], tbl_Produits[Cde_Prdt], tbl_Produits[Prix Menu]), 0)</f>
        <v>0</v>
      </c>
      <c r="H4873" s="7">
        <f>IFERROR(_xlfn.XLOOKUP(tbl_Ventes[[#This Row],[Cde_Prdt]], tbl_Produits[Cde_Prdt], tbl_Produits[Coût Moyen Portion]), 0)</f>
        <v>0</v>
      </c>
      <c r="I4873" s="7">
        <f>tbl_Ventes[[#This Row],[Qté Vendue]] * tbl_Ventes[[#This Row],[CMP_par_portion]]</f>
        <v>0</v>
      </c>
      <c r="J4873" s="7">
        <f>tbl_Ventes[[#This Row],[CA ligne]] - tbl_Ventes[[#This Row],[Coût matière ligne]]</f>
        <v>0</v>
      </c>
      <c r="K4873" s="7" t="str">
        <f>IFERROR(INDEX(tbl_ProduitsRef[Famille], MATCH(tbl_Ventes[[#This Row],[Cde_Prdt]], tbl_Produits[Cde_Prdt], 0)), "")</f>
        <v/>
      </c>
    </row>
    <row r="4874" spans="1:11" x14ac:dyDescent="0.25">
      <c r="A4874" s="5"/>
      <c r="B4874" s="63" t="str">
        <f>IFERROR(TEXT(tbl_Ventes[[#This Row],[Date]],"mm-aaaa"),"")</f>
        <v>01-1900</v>
      </c>
      <c r="D4874" s="10" t="str">
        <f>IFERROR(
   INDEX(tbl_ProduitsRef[Cde_Prdt],MATCH(tbl_Ventes[[#This Row],[Produit]],tbl_ProduitsRef[Produit],0)),
   ""
)</f>
        <v/>
      </c>
      <c r="E4874" s="7">
        <v>0</v>
      </c>
      <c r="F4874" s="7" t="str">
        <f>IFERROR(
   INDEX(tbl_ProduitsRef[Prix Menu],MATCH(tbl_Ventes[[#This Row],[Produit]],tbl_ProduitsRef[Produit],0)),
   ""
)</f>
        <v/>
      </c>
      <c r="G4874" s="7">
        <f>tbl_Ventes[[#This Row],[Qté Vendue]] * IFERROR(_xlfn.XLOOKUP(tbl_Ventes[[#This Row],[Cde_Prdt]], tbl_Produits[Cde_Prdt], tbl_Produits[Prix Menu]), 0)</f>
        <v>0</v>
      </c>
      <c r="H4874" s="7">
        <f>IFERROR(_xlfn.XLOOKUP(tbl_Ventes[[#This Row],[Cde_Prdt]], tbl_Produits[Cde_Prdt], tbl_Produits[Coût Moyen Portion]), 0)</f>
        <v>0</v>
      </c>
      <c r="I4874" s="7">
        <f>tbl_Ventes[[#This Row],[Qté Vendue]] * tbl_Ventes[[#This Row],[CMP_par_portion]]</f>
        <v>0</v>
      </c>
      <c r="J4874" s="7">
        <f>tbl_Ventes[[#This Row],[CA ligne]] - tbl_Ventes[[#This Row],[Coût matière ligne]]</f>
        <v>0</v>
      </c>
      <c r="K4874" s="7" t="str">
        <f>IFERROR(INDEX(tbl_ProduitsRef[Famille], MATCH(tbl_Ventes[[#This Row],[Cde_Prdt]], tbl_Produits[Cde_Prdt], 0)), "")</f>
        <v/>
      </c>
    </row>
    <row r="4875" spans="1:11" x14ac:dyDescent="0.25">
      <c r="A4875" s="5"/>
      <c r="B4875" s="63" t="str">
        <f>IFERROR(TEXT(tbl_Ventes[[#This Row],[Date]],"mm-aaaa"),"")</f>
        <v>01-1900</v>
      </c>
      <c r="D4875" s="10" t="str">
        <f>IFERROR(
   INDEX(tbl_ProduitsRef[Cde_Prdt],MATCH(tbl_Ventes[[#This Row],[Produit]],tbl_ProduitsRef[Produit],0)),
   ""
)</f>
        <v/>
      </c>
      <c r="E4875" s="7">
        <v>0</v>
      </c>
      <c r="F4875" s="7" t="str">
        <f>IFERROR(
   INDEX(tbl_ProduitsRef[Prix Menu],MATCH(tbl_Ventes[[#This Row],[Produit]],tbl_ProduitsRef[Produit],0)),
   ""
)</f>
        <v/>
      </c>
      <c r="G4875" s="7">
        <f>tbl_Ventes[[#This Row],[Qté Vendue]] * IFERROR(_xlfn.XLOOKUP(tbl_Ventes[[#This Row],[Cde_Prdt]], tbl_Produits[Cde_Prdt], tbl_Produits[Prix Menu]), 0)</f>
        <v>0</v>
      </c>
      <c r="H4875" s="7">
        <f>IFERROR(_xlfn.XLOOKUP(tbl_Ventes[[#This Row],[Cde_Prdt]], tbl_Produits[Cde_Prdt], tbl_Produits[Coût Moyen Portion]), 0)</f>
        <v>0</v>
      </c>
      <c r="I4875" s="7">
        <f>tbl_Ventes[[#This Row],[Qté Vendue]] * tbl_Ventes[[#This Row],[CMP_par_portion]]</f>
        <v>0</v>
      </c>
      <c r="J4875" s="7">
        <f>tbl_Ventes[[#This Row],[CA ligne]] - tbl_Ventes[[#This Row],[Coût matière ligne]]</f>
        <v>0</v>
      </c>
      <c r="K4875" s="7" t="str">
        <f>IFERROR(INDEX(tbl_ProduitsRef[Famille], MATCH(tbl_Ventes[[#This Row],[Cde_Prdt]], tbl_Produits[Cde_Prdt], 0)), "")</f>
        <v/>
      </c>
    </row>
    <row r="4876" spans="1:11" x14ac:dyDescent="0.25">
      <c r="A4876" s="5"/>
      <c r="B4876" s="63" t="str">
        <f>IFERROR(TEXT(tbl_Ventes[[#This Row],[Date]],"mm-aaaa"),"")</f>
        <v>01-1900</v>
      </c>
      <c r="D4876" s="10" t="str">
        <f>IFERROR(
   INDEX(tbl_ProduitsRef[Cde_Prdt],MATCH(tbl_Ventes[[#This Row],[Produit]],tbl_ProduitsRef[Produit],0)),
   ""
)</f>
        <v/>
      </c>
      <c r="E4876" s="7">
        <v>0</v>
      </c>
      <c r="F4876" s="7" t="str">
        <f>IFERROR(
   INDEX(tbl_ProduitsRef[Prix Menu],MATCH(tbl_Ventes[[#This Row],[Produit]],tbl_ProduitsRef[Produit],0)),
   ""
)</f>
        <v/>
      </c>
      <c r="G4876" s="7">
        <f>tbl_Ventes[[#This Row],[Qté Vendue]] * IFERROR(_xlfn.XLOOKUP(tbl_Ventes[[#This Row],[Cde_Prdt]], tbl_Produits[Cde_Prdt], tbl_Produits[Prix Menu]), 0)</f>
        <v>0</v>
      </c>
      <c r="H4876" s="7">
        <f>IFERROR(_xlfn.XLOOKUP(tbl_Ventes[[#This Row],[Cde_Prdt]], tbl_Produits[Cde_Prdt], tbl_Produits[Coût Moyen Portion]), 0)</f>
        <v>0</v>
      </c>
      <c r="I4876" s="7">
        <f>tbl_Ventes[[#This Row],[Qté Vendue]] * tbl_Ventes[[#This Row],[CMP_par_portion]]</f>
        <v>0</v>
      </c>
      <c r="J4876" s="7">
        <f>tbl_Ventes[[#This Row],[CA ligne]] - tbl_Ventes[[#This Row],[Coût matière ligne]]</f>
        <v>0</v>
      </c>
      <c r="K4876" s="7" t="str">
        <f>IFERROR(INDEX(tbl_ProduitsRef[Famille], MATCH(tbl_Ventes[[#This Row],[Cde_Prdt]], tbl_Produits[Cde_Prdt], 0)), "")</f>
        <v/>
      </c>
    </row>
    <row r="4877" spans="1:11" x14ac:dyDescent="0.25">
      <c r="A4877" s="5"/>
      <c r="B4877" s="63" t="str">
        <f>IFERROR(TEXT(tbl_Ventes[[#This Row],[Date]],"mm-aaaa"),"")</f>
        <v>01-1900</v>
      </c>
      <c r="D4877" s="10" t="str">
        <f>IFERROR(
   INDEX(tbl_ProduitsRef[Cde_Prdt],MATCH(tbl_Ventes[[#This Row],[Produit]],tbl_ProduitsRef[Produit],0)),
   ""
)</f>
        <v/>
      </c>
      <c r="E4877" s="7">
        <v>0</v>
      </c>
      <c r="F4877" s="7" t="str">
        <f>IFERROR(
   INDEX(tbl_ProduitsRef[Prix Menu],MATCH(tbl_Ventes[[#This Row],[Produit]],tbl_ProduitsRef[Produit],0)),
   ""
)</f>
        <v/>
      </c>
      <c r="G4877" s="7">
        <f>tbl_Ventes[[#This Row],[Qté Vendue]] * IFERROR(_xlfn.XLOOKUP(tbl_Ventes[[#This Row],[Cde_Prdt]], tbl_Produits[Cde_Prdt], tbl_Produits[Prix Menu]), 0)</f>
        <v>0</v>
      </c>
      <c r="H4877" s="7">
        <f>IFERROR(_xlfn.XLOOKUP(tbl_Ventes[[#This Row],[Cde_Prdt]], tbl_Produits[Cde_Prdt], tbl_Produits[Coût Moyen Portion]), 0)</f>
        <v>0</v>
      </c>
      <c r="I4877" s="7">
        <f>tbl_Ventes[[#This Row],[Qté Vendue]] * tbl_Ventes[[#This Row],[CMP_par_portion]]</f>
        <v>0</v>
      </c>
      <c r="J4877" s="7">
        <f>tbl_Ventes[[#This Row],[CA ligne]] - tbl_Ventes[[#This Row],[Coût matière ligne]]</f>
        <v>0</v>
      </c>
      <c r="K4877" s="7" t="str">
        <f>IFERROR(INDEX(tbl_ProduitsRef[Famille], MATCH(tbl_Ventes[[#This Row],[Cde_Prdt]], tbl_Produits[Cde_Prdt], 0)), "")</f>
        <v/>
      </c>
    </row>
    <row r="4878" spans="1:11" x14ac:dyDescent="0.25">
      <c r="A4878" s="5"/>
      <c r="B4878" s="63" t="str">
        <f>IFERROR(TEXT(tbl_Ventes[[#This Row],[Date]],"mm-aaaa"),"")</f>
        <v>01-1900</v>
      </c>
      <c r="D4878" s="10" t="str">
        <f>IFERROR(
   INDEX(tbl_ProduitsRef[Cde_Prdt],MATCH(tbl_Ventes[[#This Row],[Produit]],tbl_ProduitsRef[Produit],0)),
   ""
)</f>
        <v/>
      </c>
      <c r="E4878" s="7">
        <v>0</v>
      </c>
      <c r="F4878" s="7" t="str">
        <f>IFERROR(
   INDEX(tbl_ProduitsRef[Prix Menu],MATCH(tbl_Ventes[[#This Row],[Produit]],tbl_ProduitsRef[Produit],0)),
   ""
)</f>
        <v/>
      </c>
      <c r="G4878" s="7">
        <f>tbl_Ventes[[#This Row],[Qté Vendue]] * IFERROR(_xlfn.XLOOKUP(tbl_Ventes[[#This Row],[Cde_Prdt]], tbl_Produits[Cde_Prdt], tbl_Produits[Prix Menu]), 0)</f>
        <v>0</v>
      </c>
      <c r="H4878" s="7">
        <f>IFERROR(_xlfn.XLOOKUP(tbl_Ventes[[#This Row],[Cde_Prdt]], tbl_Produits[Cde_Prdt], tbl_Produits[Coût Moyen Portion]), 0)</f>
        <v>0</v>
      </c>
      <c r="I4878" s="7">
        <f>tbl_Ventes[[#This Row],[Qté Vendue]] * tbl_Ventes[[#This Row],[CMP_par_portion]]</f>
        <v>0</v>
      </c>
      <c r="J4878" s="7">
        <f>tbl_Ventes[[#This Row],[CA ligne]] - tbl_Ventes[[#This Row],[Coût matière ligne]]</f>
        <v>0</v>
      </c>
      <c r="K4878" s="7" t="str">
        <f>IFERROR(INDEX(tbl_ProduitsRef[Famille], MATCH(tbl_Ventes[[#This Row],[Cde_Prdt]], tbl_Produits[Cde_Prdt], 0)), "")</f>
        <v/>
      </c>
    </row>
    <row r="4879" spans="1:11" x14ac:dyDescent="0.25">
      <c r="A4879" s="5"/>
      <c r="B4879" s="63" t="str">
        <f>IFERROR(TEXT(tbl_Ventes[[#This Row],[Date]],"mm-aaaa"),"")</f>
        <v>01-1900</v>
      </c>
      <c r="D4879" s="10" t="str">
        <f>IFERROR(
   INDEX(tbl_ProduitsRef[Cde_Prdt],MATCH(tbl_Ventes[[#This Row],[Produit]],tbl_ProduitsRef[Produit],0)),
   ""
)</f>
        <v/>
      </c>
      <c r="E4879" s="7">
        <v>0</v>
      </c>
      <c r="F4879" s="7" t="str">
        <f>IFERROR(
   INDEX(tbl_ProduitsRef[Prix Menu],MATCH(tbl_Ventes[[#This Row],[Produit]],tbl_ProduitsRef[Produit],0)),
   ""
)</f>
        <v/>
      </c>
      <c r="G4879" s="7">
        <f>tbl_Ventes[[#This Row],[Qté Vendue]] * IFERROR(_xlfn.XLOOKUP(tbl_Ventes[[#This Row],[Cde_Prdt]], tbl_Produits[Cde_Prdt], tbl_Produits[Prix Menu]), 0)</f>
        <v>0</v>
      </c>
      <c r="H4879" s="7">
        <f>IFERROR(_xlfn.XLOOKUP(tbl_Ventes[[#This Row],[Cde_Prdt]], tbl_Produits[Cde_Prdt], tbl_Produits[Coût Moyen Portion]), 0)</f>
        <v>0</v>
      </c>
      <c r="I4879" s="7">
        <f>tbl_Ventes[[#This Row],[Qté Vendue]] * tbl_Ventes[[#This Row],[CMP_par_portion]]</f>
        <v>0</v>
      </c>
      <c r="J4879" s="7">
        <f>tbl_Ventes[[#This Row],[CA ligne]] - tbl_Ventes[[#This Row],[Coût matière ligne]]</f>
        <v>0</v>
      </c>
      <c r="K4879" s="7" t="str">
        <f>IFERROR(INDEX(tbl_ProduitsRef[Famille], MATCH(tbl_Ventes[[#This Row],[Cde_Prdt]], tbl_Produits[Cde_Prdt], 0)), "")</f>
        <v/>
      </c>
    </row>
    <row r="4880" spans="1:11" x14ac:dyDescent="0.25">
      <c r="A4880" s="5"/>
      <c r="B4880" s="63" t="str">
        <f>IFERROR(TEXT(tbl_Ventes[[#This Row],[Date]],"mm-aaaa"),"")</f>
        <v>01-1900</v>
      </c>
      <c r="D4880" s="10" t="str">
        <f>IFERROR(
   INDEX(tbl_ProduitsRef[Cde_Prdt],MATCH(tbl_Ventes[[#This Row],[Produit]],tbl_ProduitsRef[Produit],0)),
   ""
)</f>
        <v/>
      </c>
      <c r="E4880" s="7">
        <v>0</v>
      </c>
      <c r="F4880" s="7" t="str">
        <f>IFERROR(
   INDEX(tbl_ProduitsRef[Prix Menu],MATCH(tbl_Ventes[[#This Row],[Produit]],tbl_ProduitsRef[Produit],0)),
   ""
)</f>
        <v/>
      </c>
      <c r="G4880" s="7">
        <f>tbl_Ventes[[#This Row],[Qté Vendue]] * IFERROR(_xlfn.XLOOKUP(tbl_Ventes[[#This Row],[Cde_Prdt]], tbl_Produits[Cde_Prdt], tbl_Produits[Prix Menu]), 0)</f>
        <v>0</v>
      </c>
      <c r="H4880" s="7">
        <f>IFERROR(_xlfn.XLOOKUP(tbl_Ventes[[#This Row],[Cde_Prdt]], tbl_Produits[Cde_Prdt], tbl_Produits[Coût Moyen Portion]), 0)</f>
        <v>0</v>
      </c>
      <c r="I4880" s="7">
        <f>tbl_Ventes[[#This Row],[Qté Vendue]] * tbl_Ventes[[#This Row],[CMP_par_portion]]</f>
        <v>0</v>
      </c>
      <c r="J4880" s="7">
        <f>tbl_Ventes[[#This Row],[CA ligne]] - tbl_Ventes[[#This Row],[Coût matière ligne]]</f>
        <v>0</v>
      </c>
      <c r="K4880" s="7" t="str">
        <f>IFERROR(INDEX(tbl_ProduitsRef[Famille], MATCH(tbl_Ventes[[#This Row],[Cde_Prdt]], tbl_Produits[Cde_Prdt], 0)), "")</f>
        <v/>
      </c>
    </row>
    <row r="4881" spans="1:11" x14ac:dyDescent="0.25">
      <c r="A4881" s="5"/>
      <c r="B4881" s="63" t="str">
        <f>IFERROR(TEXT(tbl_Ventes[[#This Row],[Date]],"mm-aaaa"),"")</f>
        <v>01-1900</v>
      </c>
      <c r="D4881" s="10" t="str">
        <f>IFERROR(
   INDEX(tbl_ProduitsRef[Cde_Prdt],MATCH(tbl_Ventes[[#This Row],[Produit]],tbl_ProduitsRef[Produit],0)),
   ""
)</f>
        <v/>
      </c>
      <c r="E4881" s="7">
        <v>0</v>
      </c>
      <c r="F4881" s="7" t="str">
        <f>IFERROR(
   INDEX(tbl_ProduitsRef[Prix Menu],MATCH(tbl_Ventes[[#This Row],[Produit]],tbl_ProduitsRef[Produit],0)),
   ""
)</f>
        <v/>
      </c>
      <c r="G4881" s="7">
        <f>tbl_Ventes[[#This Row],[Qté Vendue]] * IFERROR(_xlfn.XLOOKUP(tbl_Ventes[[#This Row],[Cde_Prdt]], tbl_Produits[Cde_Prdt], tbl_Produits[Prix Menu]), 0)</f>
        <v>0</v>
      </c>
      <c r="H4881" s="7">
        <f>IFERROR(_xlfn.XLOOKUP(tbl_Ventes[[#This Row],[Cde_Prdt]], tbl_Produits[Cde_Prdt], tbl_Produits[Coût Moyen Portion]), 0)</f>
        <v>0</v>
      </c>
      <c r="I4881" s="7">
        <f>tbl_Ventes[[#This Row],[Qté Vendue]] * tbl_Ventes[[#This Row],[CMP_par_portion]]</f>
        <v>0</v>
      </c>
      <c r="J4881" s="7">
        <f>tbl_Ventes[[#This Row],[CA ligne]] - tbl_Ventes[[#This Row],[Coût matière ligne]]</f>
        <v>0</v>
      </c>
      <c r="K4881" s="7" t="str">
        <f>IFERROR(INDEX(tbl_ProduitsRef[Famille], MATCH(tbl_Ventes[[#This Row],[Cde_Prdt]], tbl_Produits[Cde_Prdt], 0)), "")</f>
        <v/>
      </c>
    </row>
    <row r="4882" spans="1:11" x14ac:dyDescent="0.25">
      <c r="A4882" s="5"/>
      <c r="B4882" s="63" t="str">
        <f>IFERROR(TEXT(tbl_Ventes[[#This Row],[Date]],"mm-aaaa"),"")</f>
        <v>01-1900</v>
      </c>
      <c r="D4882" s="10" t="str">
        <f>IFERROR(
   INDEX(tbl_ProduitsRef[Cde_Prdt],MATCH(tbl_Ventes[[#This Row],[Produit]],tbl_ProduitsRef[Produit],0)),
   ""
)</f>
        <v/>
      </c>
      <c r="E4882" s="7">
        <v>0</v>
      </c>
      <c r="F4882" s="7" t="str">
        <f>IFERROR(
   INDEX(tbl_ProduitsRef[Prix Menu],MATCH(tbl_Ventes[[#This Row],[Produit]],tbl_ProduitsRef[Produit],0)),
   ""
)</f>
        <v/>
      </c>
      <c r="G4882" s="7">
        <f>tbl_Ventes[[#This Row],[Qté Vendue]] * IFERROR(_xlfn.XLOOKUP(tbl_Ventes[[#This Row],[Cde_Prdt]], tbl_Produits[Cde_Prdt], tbl_Produits[Prix Menu]), 0)</f>
        <v>0</v>
      </c>
      <c r="H4882" s="7">
        <f>IFERROR(_xlfn.XLOOKUP(tbl_Ventes[[#This Row],[Cde_Prdt]], tbl_Produits[Cde_Prdt], tbl_Produits[Coût Moyen Portion]), 0)</f>
        <v>0</v>
      </c>
      <c r="I4882" s="7">
        <f>tbl_Ventes[[#This Row],[Qté Vendue]] * tbl_Ventes[[#This Row],[CMP_par_portion]]</f>
        <v>0</v>
      </c>
      <c r="J4882" s="7">
        <f>tbl_Ventes[[#This Row],[CA ligne]] - tbl_Ventes[[#This Row],[Coût matière ligne]]</f>
        <v>0</v>
      </c>
      <c r="K4882" s="7" t="str">
        <f>IFERROR(INDEX(tbl_ProduitsRef[Famille], MATCH(tbl_Ventes[[#This Row],[Cde_Prdt]], tbl_Produits[Cde_Prdt], 0)), "")</f>
        <v/>
      </c>
    </row>
    <row r="4883" spans="1:11" x14ac:dyDescent="0.25">
      <c r="A4883" s="5"/>
      <c r="B4883" s="63" t="str">
        <f>IFERROR(TEXT(tbl_Ventes[[#This Row],[Date]],"mm-aaaa"),"")</f>
        <v>01-1900</v>
      </c>
      <c r="D4883" s="10" t="str">
        <f>IFERROR(
   INDEX(tbl_ProduitsRef[Cde_Prdt],MATCH(tbl_Ventes[[#This Row],[Produit]],tbl_ProduitsRef[Produit],0)),
   ""
)</f>
        <v/>
      </c>
      <c r="E4883" s="7">
        <v>0</v>
      </c>
      <c r="F4883" s="7" t="str">
        <f>IFERROR(
   INDEX(tbl_ProduitsRef[Prix Menu],MATCH(tbl_Ventes[[#This Row],[Produit]],tbl_ProduitsRef[Produit],0)),
   ""
)</f>
        <v/>
      </c>
      <c r="G4883" s="7">
        <f>tbl_Ventes[[#This Row],[Qté Vendue]] * IFERROR(_xlfn.XLOOKUP(tbl_Ventes[[#This Row],[Cde_Prdt]], tbl_Produits[Cde_Prdt], tbl_Produits[Prix Menu]), 0)</f>
        <v>0</v>
      </c>
      <c r="H4883" s="7">
        <f>IFERROR(_xlfn.XLOOKUP(tbl_Ventes[[#This Row],[Cde_Prdt]], tbl_Produits[Cde_Prdt], tbl_Produits[Coût Moyen Portion]), 0)</f>
        <v>0</v>
      </c>
      <c r="I4883" s="7">
        <f>tbl_Ventes[[#This Row],[Qté Vendue]] * tbl_Ventes[[#This Row],[CMP_par_portion]]</f>
        <v>0</v>
      </c>
      <c r="J4883" s="7">
        <f>tbl_Ventes[[#This Row],[CA ligne]] - tbl_Ventes[[#This Row],[Coût matière ligne]]</f>
        <v>0</v>
      </c>
      <c r="K4883" s="7" t="str">
        <f>IFERROR(INDEX(tbl_ProduitsRef[Famille], MATCH(tbl_Ventes[[#This Row],[Cde_Prdt]], tbl_Produits[Cde_Prdt], 0)), "")</f>
        <v/>
      </c>
    </row>
    <row r="4884" spans="1:11" x14ac:dyDescent="0.25">
      <c r="A4884" s="5"/>
      <c r="B4884" s="63" t="str">
        <f>IFERROR(TEXT(tbl_Ventes[[#This Row],[Date]],"mm-aaaa"),"")</f>
        <v>01-1900</v>
      </c>
      <c r="D4884" s="10" t="str">
        <f>IFERROR(
   INDEX(tbl_ProduitsRef[Cde_Prdt],MATCH(tbl_Ventes[[#This Row],[Produit]],tbl_ProduitsRef[Produit],0)),
   ""
)</f>
        <v/>
      </c>
      <c r="E4884" s="7">
        <v>0</v>
      </c>
      <c r="F4884" s="7" t="str">
        <f>IFERROR(
   INDEX(tbl_ProduitsRef[Prix Menu],MATCH(tbl_Ventes[[#This Row],[Produit]],tbl_ProduitsRef[Produit],0)),
   ""
)</f>
        <v/>
      </c>
      <c r="G4884" s="7">
        <f>tbl_Ventes[[#This Row],[Qté Vendue]] * IFERROR(_xlfn.XLOOKUP(tbl_Ventes[[#This Row],[Cde_Prdt]], tbl_Produits[Cde_Prdt], tbl_Produits[Prix Menu]), 0)</f>
        <v>0</v>
      </c>
      <c r="H4884" s="7">
        <f>IFERROR(_xlfn.XLOOKUP(tbl_Ventes[[#This Row],[Cde_Prdt]], tbl_Produits[Cde_Prdt], tbl_Produits[Coût Moyen Portion]), 0)</f>
        <v>0</v>
      </c>
      <c r="I4884" s="7">
        <f>tbl_Ventes[[#This Row],[Qté Vendue]] * tbl_Ventes[[#This Row],[CMP_par_portion]]</f>
        <v>0</v>
      </c>
      <c r="J4884" s="7">
        <f>tbl_Ventes[[#This Row],[CA ligne]] - tbl_Ventes[[#This Row],[Coût matière ligne]]</f>
        <v>0</v>
      </c>
      <c r="K4884" s="7" t="str">
        <f>IFERROR(INDEX(tbl_ProduitsRef[Famille], MATCH(tbl_Ventes[[#This Row],[Cde_Prdt]], tbl_Produits[Cde_Prdt], 0)), "")</f>
        <v/>
      </c>
    </row>
    <row r="4885" spans="1:11" x14ac:dyDescent="0.25">
      <c r="A4885" s="5"/>
      <c r="B4885" s="63" t="str">
        <f>IFERROR(TEXT(tbl_Ventes[[#This Row],[Date]],"mm-aaaa"),"")</f>
        <v>01-1900</v>
      </c>
      <c r="D4885" s="10" t="str">
        <f>IFERROR(
   INDEX(tbl_ProduitsRef[Cde_Prdt],MATCH(tbl_Ventes[[#This Row],[Produit]],tbl_ProduitsRef[Produit],0)),
   ""
)</f>
        <v/>
      </c>
      <c r="E4885" s="7">
        <v>0</v>
      </c>
      <c r="F4885" s="7" t="str">
        <f>IFERROR(
   INDEX(tbl_ProduitsRef[Prix Menu],MATCH(tbl_Ventes[[#This Row],[Produit]],tbl_ProduitsRef[Produit],0)),
   ""
)</f>
        <v/>
      </c>
      <c r="G4885" s="7">
        <f>tbl_Ventes[[#This Row],[Qté Vendue]] * IFERROR(_xlfn.XLOOKUP(tbl_Ventes[[#This Row],[Cde_Prdt]], tbl_Produits[Cde_Prdt], tbl_Produits[Prix Menu]), 0)</f>
        <v>0</v>
      </c>
      <c r="H4885" s="7">
        <f>IFERROR(_xlfn.XLOOKUP(tbl_Ventes[[#This Row],[Cde_Prdt]], tbl_Produits[Cde_Prdt], tbl_Produits[Coût Moyen Portion]), 0)</f>
        <v>0</v>
      </c>
      <c r="I4885" s="7">
        <f>tbl_Ventes[[#This Row],[Qté Vendue]] * tbl_Ventes[[#This Row],[CMP_par_portion]]</f>
        <v>0</v>
      </c>
      <c r="J4885" s="7">
        <f>tbl_Ventes[[#This Row],[CA ligne]] - tbl_Ventes[[#This Row],[Coût matière ligne]]</f>
        <v>0</v>
      </c>
      <c r="K4885" s="7" t="str">
        <f>IFERROR(INDEX(tbl_ProduitsRef[Famille], MATCH(tbl_Ventes[[#This Row],[Cde_Prdt]], tbl_Produits[Cde_Prdt], 0)), "")</f>
        <v/>
      </c>
    </row>
    <row r="4886" spans="1:11" x14ac:dyDescent="0.25">
      <c r="A4886" s="5"/>
      <c r="B4886" s="63" t="str">
        <f>IFERROR(TEXT(tbl_Ventes[[#This Row],[Date]],"mm-aaaa"),"")</f>
        <v>01-1900</v>
      </c>
      <c r="D4886" s="10" t="str">
        <f>IFERROR(
   INDEX(tbl_ProduitsRef[Cde_Prdt],MATCH(tbl_Ventes[[#This Row],[Produit]],tbl_ProduitsRef[Produit],0)),
   ""
)</f>
        <v/>
      </c>
      <c r="E4886" s="7">
        <v>0</v>
      </c>
      <c r="F4886" s="7" t="str">
        <f>IFERROR(
   INDEX(tbl_ProduitsRef[Prix Menu],MATCH(tbl_Ventes[[#This Row],[Produit]],tbl_ProduitsRef[Produit],0)),
   ""
)</f>
        <v/>
      </c>
      <c r="G4886" s="7">
        <f>tbl_Ventes[[#This Row],[Qté Vendue]] * IFERROR(_xlfn.XLOOKUP(tbl_Ventes[[#This Row],[Cde_Prdt]], tbl_Produits[Cde_Prdt], tbl_Produits[Prix Menu]), 0)</f>
        <v>0</v>
      </c>
      <c r="H4886" s="7">
        <f>IFERROR(_xlfn.XLOOKUP(tbl_Ventes[[#This Row],[Cde_Prdt]], tbl_Produits[Cde_Prdt], tbl_Produits[Coût Moyen Portion]), 0)</f>
        <v>0</v>
      </c>
      <c r="I4886" s="7">
        <f>tbl_Ventes[[#This Row],[Qté Vendue]] * tbl_Ventes[[#This Row],[CMP_par_portion]]</f>
        <v>0</v>
      </c>
      <c r="J4886" s="7">
        <f>tbl_Ventes[[#This Row],[CA ligne]] - tbl_Ventes[[#This Row],[Coût matière ligne]]</f>
        <v>0</v>
      </c>
      <c r="K4886" s="7" t="str">
        <f>IFERROR(INDEX(tbl_ProduitsRef[Famille], MATCH(tbl_Ventes[[#This Row],[Cde_Prdt]], tbl_Produits[Cde_Prdt], 0)), "")</f>
        <v/>
      </c>
    </row>
    <row r="4887" spans="1:11" x14ac:dyDescent="0.25">
      <c r="A4887" s="5"/>
      <c r="B4887" s="63" t="str">
        <f>IFERROR(TEXT(tbl_Ventes[[#This Row],[Date]],"mm-aaaa"),"")</f>
        <v>01-1900</v>
      </c>
      <c r="D4887" s="10" t="str">
        <f>IFERROR(
   INDEX(tbl_ProduitsRef[Cde_Prdt],MATCH(tbl_Ventes[[#This Row],[Produit]],tbl_ProduitsRef[Produit],0)),
   ""
)</f>
        <v/>
      </c>
      <c r="E4887" s="7">
        <v>0</v>
      </c>
      <c r="F4887" s="7" t="str">
        <f>IFERROR(
   INDEX(tbl_ProduitsRef[Prix Menu],MATCH(tbl_Ventes[[#This Row],[Produit]],tbl_ProduitsRef[Produit],0)),
   ""
)</f>
        <v/>
      </c>
      <c r="G4887" s="7">
        <f>tbl_Ventes[[#This Row],[Qté Vendue]] * IFERROR(_xlfn.XLOOKUP(tbl_Ventes[[#This Row],[Cde_Prdt]], tbl_Produits[Cde_Prdt], tbl_Produits[Prix Menu]), 0)</f>
        <v>0</v>
      </c>
      <c r="H4887" s="7">
        <f>IFERROR(_xlfn.XLOOKUP(tbl_Ventes[[#This Row],[Cde_Prdt]], tbl_Produits[Cde_Prdt], tbl_Produits[Coût Moyen Portion]), 0)</f>
        <v>0</v>
      </c>
      <c r="I4887" s="7">
        <f>tbl_Ventes[[#This Row],[Qté Vendue]] * tbl_Ventes[[#This Row],[CMP_par_portion]]</f>
        <v>0</v>
      </c>
      <c r="J4887" s="7">
        <f>tbl_Ventes[[#This Row],[CA ligne]] - tbl_Ventes[[#This Row],[Coût matière ligne]]</f>
        <v>0</v>
      </c>
      <c r="K4887" s="7" t="str">
        <f>IFERROR(INDEX(tbl_ProduitsRef[Famille], MATCH(tbl_Ventes[[#This Row],[Cde_Prdt]], tbl_Produits[Cde_Prdt], 0)), "")</f>
        <v/>
      </c>
    </row>
    <row r="4888" spans="1:11" x14ac:dyDescent="0.25">
      <c r="A4888" s="5"/>
      <c r="B4888" s="63" t="str">
        <f>IFERROR(TEXT(tbl_Ventes[[#This Row],[Date]],"mm-aaaa"),"")</f>
        <v>01-1900</v>
      </c>
      <c r="D4888" s="10" t="str">
        <f>IFERROR(
   INDEX(tbl_ProduitsRef[Cde_Prdt],MATCH(tbl_Ventes[[#This Row],[Produit]],tbl_ProduitsRef[Produit],0)),
   ""
)</f>
        <v/>
      </c>
      <c r="E4888" s="7">
        <v>0</v>
      </c>
      <c r="F4888" s="7" t="str">
        <f>IFERROR(
   INDEX(tbl_ProduitsRef[Prix Menu],MATCH(tbl_Ventes[[#This Row],[Produit]],tbl_ProduitsRef[Produit],0)),
   ""
)</f>
        <v/>
      </c>
      <c r="G4888" s="7">
        <f>tbl_Ventes[[#This Row],[Qté Vendue]] * IFERROR(_xlfn.XLOOKUP(tbl_Ventes[[#This Row],[Cde_Prdt]], tbl_Produits[Cde_Prdt], tbl_Produits[Prix Menu]), 0)</f>
        <v>0</v>
      </c>
      <c r="H4888" s="7">
        <f>IFERROR(_xlfn.XLOOKUP(tbl_Ventes[[#This Row],[Cde_Prdt]], tbl_Produits[Cde_Prdt], tbl_Produits[Coût Moyen Portion]), 0)</f>
        <v>0</v>
      </c>
      <c r="I4888" s="7">
        <f>tbl_Ventes[[#This Row],[Qté Vendue]] * tbl_Ventes[[#This Row],[CMP_par_portion]]</f>
        <v>0</v>
      </c>
      <c r="J4888" s="7">
        <f>tbl_Ventes[[#This Row],[CA ligne]] - tbl_Ventes[[#This Row],[Coût matière ligne]]</f>
        <v>0</v>
      </c>
      <c r="K4888" s="7" t="str">
        <f>IFERROR(INDEX(tbl_ProduitsRef[Famille], MATCH(tbl_Ventes[[#This Row],[Cde_Prdt]], tbl_Produits[Cde_Prdt], 0)), "")</f>
        <v/>
      </c>
    </row>
    <row r="4889" spans="1:11" x14ac:dyDescent="0.25">
      <c r="A4889" s="5"/>
      <c r="B4889" s="63" t="str">
        <f>IFERROR(TEXT(tbl_Ventes[[#This Row],[Date]],"mm-aaaa"),"")</f>
        <v>01-1900</v>
      </c>
      <c r="D4889" s="10" t="str">
        <f>IFERROR(
   INDEX(tbl_ProduitsRef[Cde_Prdt],MATCH(tbl_Ventes[[#This Row],[Produit]],tbl_ProduitsRef[Produit],0)),
   ""
)</f>
        <v/>
      </c>
      <c r="E4889" s="7">
        <v>0</v>
      </c>
      <c r="F4889" s="7" t="str">
        <f>IFERROR(
   INDEX(tbl_ProduitsRef[Prix Menu],MATCH(tbl_Ventes[[#This Row],[Produit]],tbl_ProduitsRef[Produit],0)),
   ""
)</f>
        <v/>
      </c>
      <c r="G4889" s="7">
        <f>tbl_Ventes[[#This Row],[Qté Vendue]] * IFERROR(_xlfn.XLOOKUP(tbl_Ventes[[#This Row],[Cde_Prdt]], tbl_Produits[Cde_Prdt], tbl_Produits[Prix Menu]), 0)</f>
        <v>0</v>
      </c>
      <c r="H4889" s="7">
        <f>IFERROR(_xlfn.XLOOKUP(tbl_Ventes[[#This Row],[Cde_Prdt]], tbl_Produits[Cde_Prdt], tbl_Produits[Coût Moyen Portion]), 0)</f>
        <v>0</v>
      </c>
      <c r="I4889" s="7">
        <f>tbl_Ventes[[#This Row],[Qté Vendue]] * tbl_Ventes[[#This Row],[CMP_par_portion]]</f>
        <v>0</v>
      </c>
      <c r="J4889" s="7">
        <f>tbl_Ventes[[#This Row],[CA ligne]] - tbl_Ventes[[#This Row],[Coût matière ligne]]</f>
        <v>0</v>
      </c>
      <c r="K4889" s="7" t="str">
        <f>IFERROR(INDEX(tbl_ProduitsRef[Famille], MATCH(tbl_Ventes[[#This Row],[Cde_Prdt]], tbl_Produits[Cde_Prdt], 0)), "")</f>
        <v/>
      </c>
    </row>
    <row r="4890" spans="1:11" x14ac:dyDescent="0.25">
      <c r="A4890" s="5"/>
      <c r="B4890" s="63" t="str">
        <f>IFERROR(TEXT(tbl_Ventes[[#This Row],[Date]],"mm-aaaa"),"")</f>
        <v>01-1900</v>
      </c>
      <c r="D4890" s="10" t="str">
        <f>IFERROR(
   INDEX(tbl_ProduitsRef[Cde_Prdt],MATCH(tbl_Ventes[[#This Row],[Produit]],tbl_ProduitsRef[Produit],0)),
   ""
)</f>
        <v/>
      </c>
      <c r="E4890" s="7">
        <v>0</v>
      </c>
      <c r="F4890" s="7" t="str">
        <f>IFERROR(
   INDEX(tbl_ProduitsRef[Prix Menu],MATCH(tbl_Ventes[[#This Row],[Produit]],tbl_ProduitsRef[Produit],0)),
   ""
)</f>
        <v/>
      </c>
      <c r="G4890" s="7">
        <f>tbl_Ventes[[#This Row],[Qté Vendue]] * IFERROR(_xlfn.XLOOKUP(tbl_Ventes[[#This Row],[Cde_Prdt]], tbl_Produits[Cde_Prdt], tbl_Produits[Prix Menu]), 0)</f>
        <v>0</v>
      </c>
      <c r="H4890" s="7">
        <f>IFERROR(_xlfn.XLOOKUP(tbl_Ventes[[#This Row],[Cde_Prdt]], tbl_Produits[Cde_Prdt], tbl_Produits[Coût Moyen Portion]), 0)</f>
        <v>0</v>
      </c>
      <c r="I4890" s="7">
        <f>tbl_Ventes[[#This Row],[Qté Vendue]] * tbl_Ventes[[#This Row],[CMP_par_portion]]</f>
        <v>0</v>
      </c>
      <c r="J4890" s="7">
        <f>tbl_Ventes[[#This Row],[CA ligne]] - tbl_Ventes[[#This Row],[Coût matière ligne]]</f>
        <v>0</v>
      </c>
      <c r="K4890" s="7" t="str">
        <f>IFERROR(INDEX(tbl_ProduitsRef[Famille], MATCH(tbl_Ventes[[#This Row],[Cde_Prdt]], tbl_Produits[Cde_Prdt], 0)), "")</f>
        <v/>
      </c>
    </row>
    <row r="4891" spans="1:11" x14ac:dyDescent="0.25">
      <c r="A4891" s="5"/>
      <c r="B4891" s="63" t="str">
        <f>IFERROR(TEXT(tbl_Ventes[[#This Row],[Date]],"mm-aaaa"),"")</f>
        <v>01-1900</v>
      </c>
      <c r="D4891" s="10" t="str">
        <f>IFERROR(
   INDEX(tbl_ProduitsRef[Cde_Prdt],MATCH(tbl_Ventes[[#This Row],[Produit]],tbl_ProduitsRef[Produit],0)),
   ""
)</f>
        <v/>
      </c>
      <c r="E4891" s="7">
        <v>0</v>
      </c>
      <c r="F4891" s="7" t="str">
        <f>IFERROR(
   INDEX(tbl_ProduitsRef[Prix Menu],MATCH(tbl_Ventes[[#This Row],[Produit]],tbl_ProduitsRef[Produit],0)),
   ""
)</f>
        <v/>
      </c>
      <c r="G4891" s="7">
        <f>tbl_Ventes[[#This Row],[Qté Vendue]] * IFERROR(_xlfn.XLOOKUP(tbl_Ventes[[#This Row],[Cde_Prdt]], tbl_Produits[Cde_Prdt], tbl_Produits[Prix Menu]), 0)</f>
        <v>0</v>
      </c>
      <c r="H4891" s="7">
        <f>IFERROR(_xlfn.XLOOKUP(tbl_Ventes[[#This Row],[Cde_Prdt]], tbl_Produits[Cde_Prdt], tbl_Produits[Coût Moyen Portion]), 0)</f>
        <v>0</v>
      </c>
      <c r="I4891" s="7">
        <f>tbl_Ventes[[#This Row],[Qté Vendue]] * tbl_Ventes[[#This Row],[CMP_par_portion]]</f>
        <v>0</v>
      </c>
      <c r="J4891" s="7">
        <f>tbl_Ventes[[#This Row],[CA ligne]] - tbl_Ventes[[#This Row],[Coût matière ligne]]</f>
        <v>0</v>
      </c>
      <c r="K4891" s="7" t="str">
        <f>IFERROR(INDEX(tbl_ProduitsRef[Famille], MATCH(tbl_Ventes[[#This Row],[Cde_Prdt]], tbl_Produits[Cde_Prdt], 0)), "")</f>
        <v/>
      </c>
    </row>
    <row r="4892" spans="1:11" x14ac:dyDescent="0.25">
      <c r="A4892" s="5"/>
      <c r="B4892" s="63" t="str">
        <f>IFERROR(TEXT(tbl_Ventes[[#This Row],[Date]],"mm-aaaa"),"")</f>
        <v>01-1900</v>
      </c>
      <c r="D4892" s="10" t="str">
        <f>IFERROR(
   INDEX(tbl_ProduitsRef[Cde_Prdt],MATCH(tbl_Ventes[[#This Row],[Produit]],tbl_ProduitsRef[Produit],0)),
   ""
)</f>
        <v/>
      </c>
      <c r="E4892" s="7">
        <v>0</v>
      </c>
      <c r="F4892" s="7" t="str">
        <f>IFERROR(
   INDEX(tbl_ProduitsRef[Prix Menu],MATCH(tbl_Ventes[[#This Row],[Produit]],tbl_ProduitsRef[Produit],0)),
   ""
)</f>
        <v/>
      </c>
      <c r="G4892" s="7">
        <f>tbl_Ventes[[#This Row],[Qté Vendue]] * IFERROR(_xlfn.XLOOKUP(tbl_Ventes[[#This Row],[Cde_Prdt]], tbl_Produits[Cde_Prdt], tbl_Produits[Prix Menu]), 0)</f>
        <v>0</v>
      </c>
      <c r="H4892" s="7">
        <f>IFERROR(_xlfn.XLOOKUP(tbl_Ventes[[#This Row],[Cde_Prdt]], tbl_Produits[Cde_Prdt], tbl_Produits[Coût Moyen Portion]), 0)</f>
        <v>0</v>
      </c>
      <c r="I4892" s="7">
        <f>tbl_Ventes[[#This Row],[Qté Vendue]] * tbl_Ventes[[#This Row],[CMP_par_portion]]</f>
        <v>0</v>
      </c>
      <c r="J4892" s="7">
        <f>tbl_Ventes[[#This Row],[CA ligne]] - tbl_Ventes[[#This Row],[Coût matière ligne]]</f>
        <v>0</v>
      </c>
      <c r="K4892" s="7" t="str">
        <f>IFERROR(INDEX(tbl_ProduitsRef[Famille], MATCH(tbl_Ventes[[#This Row],[Cde_Prdt]], tbl_Produits[Cde_Prdt], 0)), "")</f>
        <v/>
      </c>
    </row>
    <row r="4893" spans="1:11" x14ac:dyDescent="0.25">
      <c r="A4893" s="5"/>
      <c r="B4893" s="63" t="str">
        <f>IFERROR(TEXT(tbl_Ventes[[#This Row],[Date]],"mm-aaaa"),"")</f>
        <v>01-1900</v>
      </c>
      <c r="D4893" s="10" t="str">
        <f>IFERROR(
   INDEX(tbl_ProduitsRef[Cde_Prdt],MATCH(tbl_Ventes[[#This Row],[Produit]],tbl_ProduitsRef[Produit],0)),
   ""
)</f>
        <v/>
      </c>
      <c r="E4893" s="7">
        <v>0</v>
      </c>
      <c r="F4893" s="7" t="str">
        <f>IFERROR(
   INDEX(tbl_ProduitsRef[Prix Menu],MATCH(tbl_Ventes[[#This Row],[Produit]],tbl_ProduitsRef[Produit],0)),
   ""
)</f>
        <v/>
      </c>
      <c r="G4893" s="7">
        <f>tbl_Ventes[[#This Row],[Qté Vendue]] * IFERROR(_xlfn.XLOOKUP(tbl_Ventes[[#This Row],[Cde_Prdt]], tbl_Produits[Cde_Prdt], tbl_Produits[Prix Menu]), 0)</f>
        <v>0</v>
      </c>
      <c r="H4893" s="7">
        <f>IFERROR(_xlfn.XLOOKUP(tbl_Ventes[[#This Row],[Cde_Prdt]], tbl_Produits[Cde_Prdt], tbl_Produits[Coût Moyen Portion]), 0)</f>
        <v>0</v>
      </c>
      <c r="I4893" s="7">
        <f>tbl_Ventes[[#This Row],[Qté Vendue]] * tbl_Ventes[[#This Row],[CMP_par_portion]]</f>
        <v>0</v>
      </c>
      <c r="J4893" s="7">
        <f>tbl_Ventes[[#This Row],[CA ligne]] - tbl_Ventes[[#This Row],[Coût matière ligne]]</f>
        <v>0</v>
      </c>
      <c r="K4893" s="7" t="str">
        <f>IFERROR(INDEX(tbl_ProduitsRef[Famille], MATCH(tbl_Ventes[[#This Row],[Cde_Prdt]], tbl_Produits[Cde_Prdt], 0)), "")</f>
        <v/>
      </c>
    </row>
    <row r="4894" spans="1:11" x14ac:dyDescent="0.25">
      <c r="A4894" s="5"/>
      <c r="B4894" s="63" t="str">
        <f>IFERROR(TEXT(tbl_Ventes[[#This Row],[Date]],"mm-aaaa"),"")</f>
        <v>01-1900</v>
      </c>
      <c r="D4894" s="10" t="str">
        <f>IFERROR(
   INDEX(tbl_ProduitsRef[Cde_Prdt],MATCH(tbl_Ventes[[#This Row],[Produit]],tbl_ProduitsRef[Produit],0)),
   ""
)</f>
        <v/>
      </c>
      <c r="E4894" s="7">
        <v>0</v>
      </c>
      <c r="F4894" s="7" t="str">
        <f>IFERROR(
   INDEX(tbl_ProduitsRef[Prix Menu],MATCH(tbl_Ventes[[#This Row],[Produit]],tbl_ProduitsRef[Produit],0)),
   ""
)</f>
        <v/>
      </c>
      <c r="G4894" s="7">
        <f>tbl_Ventes[[#This Row],[Qté Vendue]] * IFERROR(_xlfn.XLOOKUP(tbl_Ventes[[#This Row],[Cde_Prdt]], tbl_Produits[Cde_Prdt], tbl_Produits[Prix Menu]), 0)</f>
        <v>0</v>
      </c>
      <c r="H4894" s="7">
        <f>IFERROR(_xlfn.XLOOKUP(tbl_Ventes[[#This Row],[Cde_Prdt]], tbl_Produits[Cde_Prdt], tbl_Produits[Coût Moyen Portion]), 0)</f>
        <v>0</v>
      </c>
      <c r="I4894" s="7">
        <f>tbl_Ventes[[#This Row],[Qté Vendue]] * tbl_Ventes[[#This Row],[CMP_par_portion]]</f>
        <v>0</v>
      </c>
      <c r="J4894" s="7">
        <f>tbl_Ventes[[#This Row],[CA ligne]] - tbl_Ventes[[#This Row],[Coût matière ligne]]</f>
        <v>0</v>
      </c>
      <c r="K4894" s="7" t="str">
        <f>IFERROR(INDEX(tbl_ProduitsRef[Famille], MATCH(tbl_Ventes[[#This Row],[Cde_Prdt]], tbl_Produits[Cde_Prdt], 0)), "")</f>
        <v/>
      </c>
    </row>
    <row r="4895" spans="1:11" x14ac:dyDescent="0.25">
      <c r="A4895" s="5"/>
      <c r="B4895" s="63" t="str">
        <f>IFERROR(TEXT(tbl_Ventes[[#This Row],[Date]],"mm-aaaa"),"")</f>
        <v>01-1900</v>
      </c>
      <c r="D4895" s="10" t="str">
        <f>IFERROR(
   INDEX(tbl_ProduitsRef[Cde_Prdt],MATCH(tbl_Ventes[[#This Row],[Produit]],tbl_ProduitsRef[Produit],0)),
   ""
)</f>
        <v/>
      </c>
      <c r="E4895" s="7">
        <v>0</v>
      </c>
      <c r="F4895" s="7" t="str">
        <f>IFERROR(
   INDEX(tbl_ProduitsRef[Prix Menu],MATCH(tbl_Ventes[[#This Row],[Produit]],tbl_ProduitsRef[Produit],0)),
   ""
)</f>
        <v/>
      </c>
      <c r="G4895" s="7">
        <f>tbl_Ventes[[#This Row],[Qté Vendue]] * IFERROR(_xlfn.XLOOKUP(tbl_Ventes[[#This Row],[Cde_Prdt]], tbl_Produits[Cde_Prdt], tbl_Produits[Prix Menu]), 0)</f>
        <v>0</v>
      </c>
      <c r="H4895" s="7">
        <f>IFERROR(_xlfn.XLOOKUP(tbl_Ventes[[#This Row],[Cde_Prdt]], tbl_Produits[Cde_Prdt], tbl_Produits[Coût Moyen Portion]), 0)</f>
        <v>0</v>
      </c>
      <c r="I4895" s="7">
        <f>tbl_Ventes[[#This Row],[Qté Vendue]] * tbl_Ventes[[#This Row],[CMP_par_portion]]</f>
        <v>0</v>
      </c>
      <c r="J4895" s="7">
        <f>tbl_Ventes[[#This Row],[CA ligne]] - tbl_Ventes[[#This Row],[Coût matière ligne]]</f>
        <v>0</v>
      </c>
      <c r="K4895" s="7" t="str">
        <f>IFERROR(INDEX(tbl_ProduitsRef[Famille], MATCH(tbl_Ventes[[#This Row],[Cde_Prdt]], tbl_Produits[Cde_Prdt], 0)), "")</f>
        <v/>
      </c>
    </row>
    <row r="4896" spans="1:11" x14ac:dyDescent="0.25">
      <c r="A4896" s="5"/>
      <c r="B4896" s="63" t="str">
        <f>IFERROR(TEXT(tbl_Ventes[[#This Row],[Date]],"mm-aaaa"),"")</f>
        <v>01-1900</v>
      </c>
      <c r="D4896" s="10" t="str">
        <f>IFERROR(
   INDEX(tbl_ProduitsRef[Cde_Prdt],MATCH(tbl_Ventes[[#This Row],[Produit]],tbl_ProduitsRef[Produit],0)),
   ""
)</f>
        <v/>
      </c>
      <c r="E4896" s="7">
        <v>0</v>
      </c>
      <c r="F4896" s="7" t="str">
        <f>IFERROR(
   INDEX(tbl_ProduitsRef[Prix Menu],MATCH(tbl_Ventes[[#This Row],[Produit]],tbl_ProduitsRef[Produit],0)),
   ""
)</f>
        <v/>
      </c>
      <c r="G4896" s="7">
        <f>tbl_Ventes[[#This Row],[Qté Vendue]] * IFERROR(_xlfn.XLOOKUP(tbl_Ventes[[#This Row],[Cde_Prdt]], tbl_Produits[Cde_Prdt], tbl_Produits[Prix Menu]), 0)</f>
        <v>0</v>
      </c>
      <c r="H4896" s="7">
        <f>IFERROR(_xlfn.XLOOKUP(tbl_Ventes[[#This Row],[Cde_Prdt]], tbl_Produits[Cde_Prdt], tbl_Produits[Coût Moyen Portion]), 0)</f>
        <v>0</v>
      </c>
      <c r="I4896" s="7">
        <f>tbl_Ventes[[#This Row],[Qté Vendue]] * tbl_Ventes[[#This Row],[CMP_par_portion]]</f>
        <v>0</v>
      </c>
      <c r="J4896" s="7">
        <f>tbl_Ventes[[#This Row],[CA ligne]] - tbl_Ventes[[#This Row],[Coût matière ligne]]</f>
        <v>0</v>
      </c>
      <c r="K4896" s="7" t="str">
        <f>IFERROR(INDEX(tbl_ProduitsRef[Famille], MATCH(tbl_Ventes[[#This Row],[Cde_Prdt]], tbl_Produits[Cde_Prdt], 0)), "")</f>
        <v/>
      </c>
    </row>
    <row r="4897" spans="1:11" x14ac:dyDescent="0.25">
      <c r="A4897" s="5"/>
      <c r="B4897" s="63" t="str">
        <f>IFERROR(TEXT(tbl_Ventes[[#This Row],[Date]],"mm-aaaa"),"")</f>
        <v>01-1900</v>
      </c>
      <c r="D4897" s="10" t="str">
        <f>IFERROR(
   INDEX(tbl_ProduitsRef[Cde_Prdt],MATCH(tbl_Ventes[[#This Row],[Produit]],tbl_ProduitsRef[Produit],0)),
   ""
)</f>
        <v/>
      </c>
      <c r="E4897" s="7">
        <v>0</v>
      </c>
      <c r="F4897" s="7" t="str">
        <f>IFERROR(
   INDEX(tbl_ProduitsRef[Prix Menu],MATCH(tbl_Ventes[[#This Row],[Produit]],tbl_ProduitsRef[Produit],0)),
   ""
)</f>
        <v/>
      </c>
      <c r="G4897" s="7">
        <f>tbl_Ventes[[#This Row],[Qté Vendue]] * IFERROR(_xlfn.XLOOKUP(tbl_Ventes[[#This Row],[Cde_Prdt]], tbl_Produits[Cde_Prdt], tbl_Produits[Prix Menu]), 0)</f>
        <v>0</v>
      </c>
      <c r="H4897" s="7">
        <f>IFERROR(_xlfn.XLOOKUP(tbl_Ventes[[#This Row],[Cde_Prdt]], tbl_Produits[Cde_Prdt], tbl_Produits[Coût Moyen Portion]), 0)</f>
        <v>0</v>
      </c>
      <c r="I4897" s="7">
        <f>tbl_Ventes[[#This Row],[Qté Vendue]] * tbl_Ventes[[#This Row],[CMP_par_portion]]</f>
        <v>0</v>
      </c>
      <c r="J4897" s="7">
        <f>tbl_Ventes[[#This Row],[CA ligne]] - tbl_Ventes[[#This Row],[Coût matière ligne]]</f>
        <v>0</v>
      </c>
      <c r="K4897" s="7" t="str">
        <f>IFERROR(INDEX(tbl_ProduitsRef[Famille], MATCH(tbl_Ventes[[#This Row],[Cde_Prdt]], tbl_Produits[Cde_Prdt], 0)), "")</f>
        <v/>
      </c>
    </row>
    <row r="4898" spans="1:11" x14ac:dyDescent="0.25">
      <c r="A4898" s="5"/>
      <c r="B4898" s="63" t="str">
        <f>IFERROR(TEXT(tbl_Ventes[[#This Row],[Date]],"mm-aaaa"),"")</f>
        <v>01-1900</v>
      </c>
      <c r="D4898" s="10" t="str">
        <f>IFERROR(
   INDEX(tbl_ProduitsRef[Cde_Prdt],MATCH(tbl_Ventes[[#This Row],[Produit]],tbl_ProduitsRef[Produit],0)),
   ""
)</f>
        <v/>
      </c>
      <c r="E4898" s="7">
        <v>0</v>
      </c>
      <c r="F4898" s="7" t="str">
        <f>IFERROR(
   INDEX(tbl_ProduitsRef[Prix Menu],MATCH(tbl_Ventes[[#This Row],[Produit]],tbl_ProduitsRef[Produit],0)),
   ""
)</f>
        <v/>
      </c>
      <c r="G4898" s="7">
        <f>tbl_Ventes[[#This Row],[Qté Vendue]] * IFERROR(_xlfn.XLOOKUP(tbl_Ventes[[#This Row],[Cde_Prdt]], tbl_Produits[Cde_Prdt], tbl_Produits[Prix Menu]), 0)</f>
        <v>0</v>
      </c>
      <c r="H4898" s="7">
        <f>IFERROR(_xlfn.XLOOKUP(tbl_Ventes[[#This Row],[Cde_Prdt]], tbl_Produits[Cde_Prdt], tbl_Produits[Coût Moyen Portion]), 0)</f>
        <v>0</v>
      </c>
      <c r="I4898" s="7">
        <f>tbl_Ventes[[#This Row],[Qté Vendue]] * tbl_Ventes[[#This Row],[CMP_par_portion]]</f>
        <v>0</v>
      </c>
      <c r="J4898" s="7">
        <f>tbl_Ventes[[#This Row],[CA ligne]] - tbl_Ventes[[#This Row],[Coût matière ligne]]</f>
        <v>0</v>
      </c>
      <c r="K4898" s="7" t="str">
        <f>IFERROR(INDEX(tbl_ProduitsRef[Famille], MATCH(tbl_Ventes[[#This Row],[Cde_Prdt]], tbl_Produits[Cde_Prdt], 0)), "")</f>
        <v/>
      </c>
    </row>
    <row r="4899" spans="1:11" x14ac:dyDescent="0.25">
      <c r="A4899" s="5"/>
      <c r="B4899" s="63" t="str">
        <f>IFERROR(TEXT(tbl_Ventes[[#This Row],[Date]],"mm-aaaa"),"")</f>
        <v>01-1900</v>
      </c>
      <c r="D4899" s="10" t="str">
        <f>IFERROR(
   INDEX(tbl_ProduitsRef[Cde_Prdt],MATCH(tbl_Ventes[[#This Row],[Produit]],tbl_ProduitsRef[Produit],0)),
   ""
)</f>
        <v/>
      </c>
      <c r="E4899" s="7">
        <v>0</v>
      </c>
      <c r="F4899" s="7" t="str">
        <f>IFERROR(
   INDEX(tbl_ProduitsRef[Prix Menu],MATCH(tbl_Ventes[[#This Row],[Produit]],tbl_ProduitsRef[Produit],0)),
   ""
)</f>
        <v/>
      </c>
      <c r="G4899" s="7">
        <f>tbl_Ventes[[#This Row],[Qté Vendue]] * IFERROR(_xlfn.XLOOKUP(tbl_Ventes[[#This Row],[Cde_Prdt]], tbl_Produits[Cde_Prdt], tbl_Produits[Prix Menu]), 0)</f>
        <v>0</v>
      </c>
      <c r="H4899" s="7">
        <f>IFERROR(_xlfn.XLOOKUP(tbl_Ventes[[#This Row],[Cde_Prdt]], tbl_Produits[Cde_Prdt], tbl_Produits[Coût Moyen Portion]), 0)</f>
        <v>0</v>
      </c>
      <c r="I4899" s="7">
        <f>tbl_Ventes[[#This Row],[Qté Vendue]] * tbl_Ventes[[#This Row],[CMP_par_portion]]</f>
        <v>0</v>
      </c>
      <c r="J4899" s="7">
        <f>tbl_Ventes[[#This Row],[CA ligne]] - tbl_Ventes[[#This Row],[Coût matière ligne]]</f>
        <v>0</v>
      </c>
      <c r="K4899" s="7" t="str">
        <f>IFERROR(INDEX(tbl_ProduitsRef[Famille], MATCH(tbl_Ventes[[#This Row],[Cde_Prdt]], tbl_Produits[Cde_Prdt], 0)), "")</f>
        <v/>
      </c>
    </row>
    <row r="4900" spans="1:11" x14ac:dyDescent="0.25">
      <c r="A4900" s="5"/>
      <c r="B4900" s="63" t="str">
        <f>IFERROR(TEXT(tbl_Ventes[[#This Row],[Date]],"mm-aaaa"),"")</f>
        <v>01-1900</v>
      </c>
      <c r="D4900" s="10" t="str">
        <f>IFERROR(
   INDEX(tbl_ProduitsRef[Cde_Prdt],MATCH(tbl_Ventes[[#This Row],[Produit]],tbl_ProduitsRef[Produit],0)),
   ""
)</f>
        <v/>
      </c>
      <c r="E4900" s="7">
        <v>0</v>
      </c>
      <c r="F4900" s="7" t="str">
        <f>IFERROR(
   INDEX(tbl_ProduitsRef[Prix Menu],MATCH(tbl_Ventes[[#This Row],[Produit]],tbl_ProduitsRef[Produit],0)),
   ""
)</f>
        <v/>
      </c>
      <c r="G4900" s="7">
        <f>tbl_Ventes[[#This Row],[Qté Vendue]] * IFERROR(_xlfn.XLOOKUP(tbl_Ventes[[#This Row],[Cde_Prdt]], tbl_Produits[Cde_Prdt], tbl_Produits[Prix Menu]), 0)</f>
        <v>0</v>
      </c>
      <c r="H4900" s="7">
        <f>IFERROR(_xlfn.XLOOKUP(tbl_Ventes[[#This Row],[Cde_Prdt]], tbl_Produits[Cde_Prdt], tbl_Produits[Coût Moyen Portion]), 0)</f>
        <v>0</v>
      </c>
      <c r="I4900" s="7">
        <f>tbl_Ventes[[#This Row],[Qté Vendue]] * tbl_Ventes[[#This Row],[CMP_par_portion]]</f>
        <v>0</v>
      </c>
      <c r="J4900" s="7">
        <f>tbl_Ventes[[#This Row],[CA ligne]] - tbl_Ventes[[#This Row],[Coût matière ligne]]</f>
        <v>0</v>
      </c>
      <c r="K4900" s="7" t="str">
        <f>IFERROR(INDEX(tbl_ProduitsRef[Famille], MATCH(tbl_Ventes[[#This Row],[Cde_Prdt]], tbl_Produits[Cde_Prdt], 0)), "")</f>
        <v/>
      </c>
    </row>
    <row r="4901" spans="1:11" x14ac:dyDescent="0.25">
      <c r="A4901" s="5"/>
      <c r="B4901" s="63" t="str">
        <f>IFERROR(TEXT(tbl_Ventes[[#This Row],[Date]],"mm-aaaa"),"")</f>
        <v>01-1900</v>
      </c>
      <c r="D4901" s="10" t="str">
        <f>IFERROR(
   INDEX(tbl_ProduitsRef[Cde_Prdt],MATCH(tbl_Ventes[[#This Row],[Produit]],tbl_ProduitsRef[Produit],0)),
   ""
)</f>
        <v/>
      </c>
      <c r="E4901" s="7">
        <v>0</v>
      </c>
      <c r="F4901" s="7" t="str">
        <f>IFERROR(
   INDEX(tbl_ProduitsRef[Prix Menu],MATCH(tbl_Ventes[[#This Row],[Produit]],tbl_ProduitsRef[Produit],0)),
   ""
)</f>
        <v/>
      </c>
      <c r="G4901" s="7">
        <f>tbl_Ventes[[#This Row],[Qté Vendue]] * IFERROR(_xlfn.XLOOKUP(tbl_Ventes[[#This Row],[Cde_Prdt]], tbl_Produits[Cde_Prdt], tbl_Produits[Prix Menu]), 0)</f>
        <v>0</v>
      </c>
      <c r="H4901" s="7">
        <f>IFERROR(_xlfn.XLOOKUP(tbl_Ventes[[#This Row],[Cde_Prdt]], tbl_Produits[Cde_Prdt], tbl_Produits[Coût Moyen Portion]), 0)</f>
        <v>0</v>
      </c>
      <c r="I4901" s="7">
        <f>tbl_Ventes[[#This Row],[Qté Vendue]] * tbl_Ventes[[#This Row],[CMP_par_portion]]</f>
        <v>0</v>
      </c>
      <c r="J4901" s="7">
        <f>tbl_Ventes[[#This Row],[CA ligne]] - tbl_Ventes[[#This Row],[Coût matière ligne]]</f>
        <v>0</v>
      </c>
      <c r="K4901" s="7" t="str">
        <f>IFERROR(INDEX(tbl_ProduitsRef[Famille], MATCH(tbl_Ventes[[#This Row],[Cde_Prdt]], tbl_Produits[Cde_Prdt], 0)), "")</f>
        <v/>
      </c>
    </row>
    <row r="4902" spans="1:11" x14ac:dyDescent="0.25">
      <c r="A4902" s="5"/>
      <c r="B4902" s="63" t="str">
        <f>IFERROR(TEXT(tbl_Ventes[[#This Row],[Date]],"mm-aaaa"),"")</f>
        <v>01-1900</v>
      </c>
      <c r="D4902" s="10" t="str">
        <f>IFERROR(
   INDEX(tbl_ProduitsRef[Cde_Prdt],MATCH(tbl_Ventes[[#This Row],[Produit]],tbl_ProduitsRef[Produit],0)),
   ""
)</f>
        <v/>
      </c>
      <c r="E4902" s="7">
        <v>0</v>
      </c>
      <c r="F4902" s="7" t="str">
        <f>IFERROR(
   INDEX(tbl_ProduitsRef[Prix Menu],MATCH(tbl_Ventes[[#This Row],[Produit]],tbl_ProduitsRef[Produit],0)),
   ""
)</f>
        <v/>
      </c>
      <c r="G4902" s="7">
        <f>tbl_Ventes[[#This Row],[Qté Vendue]] * IFERROR(_xlfn.XLOOKUP(tbl_Ventes[[#This Row],[Cde_Prdt]], tbl_Produits[Cde_Prdt], tbl_Produits[Prix Menu]), 0)</f>
        <v>0</v>
      </c>
      <c r="H4902" s="7">
        <f>IFERROR(_xlfn.XLOOKUP(tbl_Ventes[[#This Row],[Cde_Prdt]], tbl_Produits[Cde_Prdt], tbl_Produits[Coût Moyen Portion]), 0)</f>
        <v>0</v>
      </c>
      <c r="I4902" s="7">
        <f>tbl_Ventes[[#This Row],[Qté Vendue]] * tbl_Ventes[[#This Row],[CMP_par_portion]]</f>
        <v>0</v>
      </c>
      <c r="J4902" s="7">
        <f>tbl_Ventes[[#This Row],[CA ligne]] - tbl_Ventes[[#This Row],[Coût matière ligne]]</f>
        <v>0</v>
      </c>
      <c r="K4902" s="7" t="str">
        <f>IFERROR(INDEX(tbl_ProduitsRef[Famille], MATCH(tbl_Ventes[[#This Row],[Cde_Prdt]], tbl_Produits[Cde_Prdt], 0)), "")</f>
        <v/>
      </c>
    </row>
    <row r="4903" spans="1:11" x14ac:dyDescent="0.25">
      <c r="A4903" s="5"/>
      <c r="B4903" s="63" t="str">
        <f>IFERROR(TEXT(tbl_Ventes[[#This Row],[Date]],"mm-aaaa"),"")</f>
        <v>01-1900</v>
      </c>
      <c r="D4903" s="10" t="str">
        <f>IFERROR(
   INDEX(tbl_ProduitsRef[Cde_Prdt],MATCH(tbl_Ventes[[#This Row],[Produit]],tbl_ProduitsRef[Produit],0)),
   ""
)</f>
        <v/>
      </c>
      <c r="E4903" s="7">
        <v>0</v>
      </c>
      <c r="F4903" s="7" t="str">
        <f>IFERROR(
   INDEX(tbl_ProduitsRef[Prix Menu],MATCH(tbl_Ventes[[#This Row],[Produit]],tbl_ProduitsRef[Produit],0)),
   ""
)</f>
        <v/>
      </c>
      <c r="G4903" s="7">
        <f>tbl_Ventes[[#This Row],[Qté Vendue]] * IFERROR(_xlfn.XLOOKUP(tbl_Ventes[[#This Row],[Cde_Prdt]], tbl_Produits[Cde_Prdt], tbl_Produits[Prix Menu]), 0)</f>
        <v>0</v>
      </c>
      <c r="H4903" s="7">
        <f>IFERROR(_xlfn.XLOOKUP(tbl_Ventes[[#This Row],[Cde_Prdt]], tbl_Produits[Cde_Prdt], tbl_Produits[Coût Moyen Portion]), 0)</f>
        <v>0</v>
      </c>
      <c r="I4903" s="7">
        <f>tbl_Ventes[[#This Row],[Qté Vendue]] * tbl_Ventes[[#This Row],[CMP_par_portion]]</f>
        <v>0</v>
      </c>
      <c r="J4903" s="7">
        <f>tbl_Ventes[[#This Row],[CA ligne]] - tbl_Ventes[[#This Row],[Coût matière ligne]]</f>
        <v>0</v>
      </c>
      <c r="K4903" s="7" t="str">
        <f>IFERROR(INDEX(tbl_ProduitsRef[Famille], MATCH(tbl_Ventes[[#This Row],[Cde_Prdt]], tbl_Produits[Cde_Prdt], 0)), "")</f>
        <v/>
      </c>
    </row>
    <row r="4904" spans="1:11" x14ac:dyDescent="0.25">
      <c r="A4904" s="5"/>
      <c r="B4904" s="63" t="str">
        <f>IFERROR(TEXT(tbl_Ventes[[#This Row],[Date]],"mm-aaaa"),"")</f>
        <v>01-1900</v>
      </c>
      <c r="D4904" s="10" t="str">
        <f>IFERROR(
   INDEX(tbl_ProduitsRef[Cde_Prdt],MATCH(tbl_Ventes[[#This Row],[Produit]],tbl_ProduitsRef[Produit],0)),
   ""
)</f>
        <v/>
      </c>
      <c r="E4904" s="7">
        <v>0</v>
      </c>
      <c r="F4904" s="7" t="str">
        <f>IFERROR(
   INDEX(tbl_ProduitsRef[Prix Menu],MATCH(tbl_Ventes[[#This Row],[Produit]],tbl_ProduitsRef[Produit],0)),
   ""
)</f>
        <v/>
      </c>
      <c r="G4904" s="7">
        <f>tbl_Ventes[[#This Row],[Qté Vendue]] * IFERROR(_xlfn.XLOOKUP(tbl_Ventes[[#This Row],[Cde_Prdt]], tbl_Produits[Cde_Prdt], tbl_Produits[Prix Menu]), 0)</f>
        <v>0</v>
      </c>
      <c r="H4904" s="7">
        <f>IFERROR(_xlfn.XLOOKUP(tbl_Ventes[[#This Row],[Cde_Prdt]], tbl_Produits[Cde_Prdt], tbl_Produits[Coût Moyen Portion]), 0)</f>
        <v>0</v>
      </c>
      <c r="I4904" s="7">
        <f>tbl_Ventes[[#This Row],[Qté Vendue]] * tbl_Ventes[[#This Row],[CMP_par_portion]]</f>
        <v>0</v>
      </c>
      <c r="J4904" s="7">
        <f>tbl_Ventes[[#This Row],[CA ligne]] - tbl_Ventes[[#This Row],[Coût matière ligne]]</f>
        <v>0</v>
      </c>
      <c r="K4904" s="7" t="str">
        <f>IFERROR(INDEX(tbl_ProduitsRef[Famille], MATCH(tbl_Ventes[[#This Row],[Cde_Prdt]], tbl_Produits[Cde_Prdt], 0)), "")</f>
        <v/>
      </c>
    </row>
    <row r="4905" spans="1:11" x14ac:dyDescent="0.25">
      <c r="A4905" s="5"/>
      <c r="B4905" s="63" t="str">
        <f>IFERROR(TEXT(tbl_Ventes[[#This Row],[Date]],"mm-aaaa"),"")</f>
        <v>01-1900</v>
      </c>
      <c r="D4905" s="10" t="str">
        <f>IFERROR(
   INDEX(tbl_ProduitsRef[Cde_Prdt],MATCH(tbl_Ventes[[#This Row],[Produit]],tbl_ProduitsRef[Produit],0)),
   ""
)</f>
        <v/>
      </c>
      <c r="E4905" s="7">
        <v>0</v>
      </c>
      <c r="F4905" s="7" t="str">
        <f>IFERROR(
   INDEX(tbl_ProduitsRef[Prix Menu],MATCH(tbl_Ventes[[#This Row],[Produit]],tbl_ProduitsRef[Produit],0)),
   ""
)</f>
        <v/>
      </c>
      <c r="G4905" s="7">
        <f>tbl_Ventes[[#This Row],[Qté Vendue]] * IFERROR(_xlfn.XLOOKUP(tbl_Ventes[[#This Row],[Cde_Prdt]], tbl_Produits[Cde_Prdt], tbl_Produits[Prix Menu]), 0)</f>
        <v>0</v>
      </c>
      <c r="H4905" s="7">
        <f>IFERROR(_xlfn.XLOOKUP(tbl_Ventes[[#This Row],[Cde_Prdt]], tbl_Produits[Cde_Prdt], tbl_Produits[Coût Moyen Portion]), 0)</f>
        <v>0</v>
      </c>
      <c r="I4905" s="7">
        <f>tbl_Ventes[[#This Row],[Qté Vendue]] * tbl_Ventes[[#This Row],[CMP_par_portion]]</f>
        <v>0</v>
      </c>
      <c r="J4905" s="7">
        <f>tbl_Ventes[[#This Row],[CA ligne]] - tbl_Ventes[[#This Row],[Coût matière ligne]]</f>
        <v>0</v>
      </c>
      <c r="K4905" s="7" t="str">
        <f>IFERROR(INDEX(tbl_ProduitsRef[Famille], MATCH(tbl_Ventes[[#This Row],[Cde_Prdt]], tbl_Produits[Cde_Prdt], 0)), "")</f>
        <v/>
      </c>
    </row>
    <row r="4906" spans="1:11" x14ac:dyDescent="0.25">
      <c r="A4906" s="5"/>
      <c r="B4906" s="63" t="str">
        <f>IFERROR(TEXT(tbl_Ventes[[#This Row],[Date]],"mm-aaaa"),"")</f>
        <v>01-1900</v>
      </c>
      <c r="D4906" s="10" t="str">
        <f>IFERROR(
   INDEX(tbl_ProduitsRef[Cde_Prdt],MATCH(tbl_Ventes[[#This Row],[Produit]],tbl_ProduitsRef[Produit],0)),
   ""
)</f>
        <v/>
      </c>
      <c r="E4906" s="7">
        <v>0</v>
      </c>
      <c r="F4906" s="7" t="str">
        <f>IFERROR(
   INDEX(tbl_ProduitsRef[Prix Menu],MATCH(tbl_Ventes[[#This Row],[Produit]],tbl_ProduitsRef[Produit],0)),
   ""
)</f>
        <v/>
      </c>
      <c r="G4906" s="7">
        <f>tbl_Ventes[[#This Row],[Qté Vendue]] * IFERROR(_xlfn.XLOOKUP(tbl_Ventes[[#This Row],[Cde_Prdt]], tbl_Produits[Cde_Prdt], tbl_Produits[Prix Menu]), 0)</f>
        <v>0</v>
      </c>
      <c r="H4906" s="7">
        <f>IFERROR(_xlfn.XLOOKUP(tbl_Ventes[[#This Row],[Cde_Prdt]], tbl_Produits[Cde_Prdt], tbl_Produits[Coût Moyen Portion]), 0)</f>
        <v>0</v>
      </c>
      <c r="I4906" s="7">
        <f>tbl_Ventes[[#This Row],[Qté Vendue]] * tbl_Ventes[[#This Row],[CMP_par_portion]]</f>
        <v>0</v>
      </c>
      <c r="J4906" s="7">
        <f>tbl_Ventes[[#This Row],[CA ligne]] - tbl_Ventes[[#This Row],[Coût matière ligne]]</f>
        <v>0</v>
      </c>
      <c r="K4906" s="7" t="str">
        <f>IFERROR(INDEX(tbl_ProduitsRef[Famille], MATCH(tbl_Ventes[[#This Row],[Cde_Prdt]], tbl_Produits[Cde_Prdt], 0)), "")</f>
        <v/>
      </c>
    </row>
    <row r="4907" spans="1:11" x14ac:dyDescent="0.25">
      <c r="A4907" s="5"/>
      <c r="B4907" s="63" t="str">
        <f>IFERROR(TEXT(tbl_Ventes[[#This Row],[Date]],"mm-aaaa"),"")</f>
        <v>01-1900</v>
      </c>
      <c r="D4907" s="10" t="str">
        <f>IFERROR(
   INDEX(tbl_ProduitsRef[Cde_Prdt],MATCH(tbl_Ventes[[#This Row],[Produit]],tbl_ProduitsRef[Produit],0)),
   ""
)</f>
        <v/>
      </c>
      <c r="E4907" s="7">
        <v>0</v>
      </c>
      <c r="F4907" s="7" t="str">
        <f>IFERROR(
   INDEX(tbl_ProduitsRef[Prix Menu],MATCH(tbl_Ventes[[#This Row],[Produit]],tbl_ProduitsRef[Produit],0)),
   ""
)</f>
        <v/>
      </c>
      <c r="G4907" s="7">
        <f>tbl_Ventes[[#This Row],[Qté Vendue]] * IFERROR(_xlfn.XLOOKUP(tbl_Ventes[[#This Row],[Cde_Prdt]], tbl_Produits[Cde_Prdt], tbl_Produits[Prix Menu]), 0)</f>
        <v>0</v>
      </c>
      <c r="H4907" s="7">
        <f>IFERROR(_xlfn.XLOOKUP(tbl_Ventes[[#This Row],[Cde_Prdt]], tbl_Produits[Cde_Prdt], tbl_Produits[Coût Moyen Portion]), 0)</f>
        <v>0</v>
      </c>
      <c r="I4907" s="7">
        <f>tbl_Ventes[[#This Row],[Qté Vendue]] * tbl_Ventes[[#This Row],[CMP_par_portion]]</f>
        <v>0</v>
      </c>
      <c r="J4907" s="7">
        <f>tbl_Ventes[[#This Row],[CA ligne]] - tbl_Ventes[[#This Row],[Coût matière ligne]]</f>
        <v>0</v>
      </c>
      <c r="K4907" s="7" t="str">
        <f>IFERROR(INDEX(tbl_ProduitsRef[Famille], MATCH(tbl_Ventes[[#This Row],[Cde_Prdt]], tbl_Produits[Cde_Prdt], 0)), "")</f>
        <v/>
      </c>
    </row>
    <row r="4908" spans="1:11" x14ac:dyDescent="0.25">
      <c r="A4908" s="5"/>
      <c r="B4908" s="63" t="str">
        <f>IFERROR(TEXT(tbl_Ventes[[#This Row],[Date]],"mm-aaaa"),"")</f>
        <v>01-1900</v>
      </c>
      <c r="D4908" s="10" t="str">
        <f>IFERROR(
   INDEX(tbl_ProduitsRef[Cde_Prdt],MATCH(tbl_Ventes[[#This Row],[Produit]],tbl_ProduitsRef[Produit],0)),
   ""
)</f>
        <v/>
      </c>
      <c r="E4908" s="7">
        <v>0</v>
      </c>
      <c r="F4908" s="7" t="str">
        <f>IFERROR(
   INDEX(tbl_ProduitsRef[Prix Menu],MATCH(tbl_Ventes[[#This Row],[Produit]],tbl_ProduitsRef[Produit],0)),
   ""
)</f>
        <v/>
      </c>
      <c r="G4908" s="7">
        <f>tbl_Ventes[[#This Row],[Qté Vendue]] * IFERROR(_xlfn.XLOOKUP(tbl_Ventes[[#This Row],[Cde_Prdt]], tbl_Produits[Cde_Prdt], tbl_Produits[Prix Menu]), 0)</f>
        <v>0</v>
      </c>
      <c r="H4908" s="7">
        <f>IFERROR(_xlfn.XLOOKUP(tbl_Ventes[[#This Row],[Cde_Prdt]], tbl_Produits[Cde_Prdt], tbl_Produits[Coût Moyen Portion]), 0)</f>
        <v>0</v>
      </c>
      <c r="I4908" s="7">
        <f>tbl_Ventes[[#This Row],[Qté Vendue]] * tbl_Ventes[[#This Row],[CMP_par_portion]]</f>
        <v>0</v>
      </c>
      <c r="J4908" s="7">
        <f>tbl_Ventes[[#This Row],[CA ligne]] - tbl_Ventes[[#This Row],[Coût matière ligne]]</f>
        <v>0</v>
      </c>
      <c r="K4908" s="7" t="str">
        <f>IFERROR(INDEX(tbl_ProduitsRef[Famille], MATCH(tbl_Ventes[[#This Row],[Cde_Prdt]], tbl_Produits[Cde_Prdt], 0)), "")</f>
        <v/>
      </c>
    </row>
    <row r="4909" spans="1:11" x14ac:dyDescent="0.25">
      <c r="A4909" s="5"/>
      <c r="B4909" s="63" t="str">
        <f>IFERROR(TEXT(tbl_Ventes[[#This Row],[Date]],"mm-aaaa"),"")</f>
        <v>01-1900</v>
      </c>
      <c r="D4909" s="10" t="str">
        <f>IFERROR(
   INDEX(tbl_ProduitsRef[Cde_Prdt],MATCH(tbl_Ventes[[#This Row],[Produit]],tbl_ProduitsRef[Produit],0)),
   ""
)</f>
        <v/>
      </c>
      <c r="E4909" s="7">
        <v>0</v>
      </c>
      <c r="F4909" s="7" t="str">
        <f>IFERROR(
   INDEX(tbl_ProduitsRef[Prix Menu],MATCH(tbl_Ventes[[#This Row],[Produit]],tbl_ProduitsRef[Produit],0)),
   ""
)</f>
        <v/>
      </c>
      <c r="G4909" s="7">
        <f>tbl_Ventes[[#This Row],[Qté Vendue]] * IFERROR(_xlfn.XLOOKUP(tbl_Ventes[[#This Row],[Cde_Prdt]], tbl_Produits[Cde_Prdt], tbl_Produits[Prix Menu]), 0)</f>
        <v>0</v>
      </c>
      <c r="H4909" s="7">
        <f>IFERROR(_xlfn.XLOOKUP(tbl_Ventes[[#This Row],[Cde_Prdt]], tbl_Produits[Cde_Prdt], tbl_Produits[Coût Moyen Portion]), 0)</f>
        <v>0</v>
      </c>
      <c r="I4909" s="7">
        <f>tbl_Ventes[[#This Row],[Qté Vendue]] * tbl_Ventes[[#This Row],[CMP_par_portion]]</f>
        <v>0</v>
      </c>
      <c r="J4909" s="7">
        <f>tbl_Ventes[[#This Row],[CA ligne]] - tbl_Ventes[[#This Row],[Coût matière ligne]]</f>
        <v>0</v>
      </c>
      <c r="K4909" s="7" t="str">
        <f>IFERROR(INDEX(tbl_ProduitsRef[Famille], MATCH(tbl_Ventes[[#This Row],[Cde_Prdt]], tbl_Produits[Cde_Prdt], 0)), "")</f>
        <v/>
      </c>
    </row>
    <row r="4910" spans="1:11" x14ac:dyDescent="0.25">
      <c r="A4910" s="5"/>
      <c r="B4910" s="63" t="str">
        <f>IFERROR(TEXT(tbl_Ventes[[#This Row],[Date]],"mm-aaaa"),"")</f>
        <v>01-1900</v>
      </c>
      <c r="D4910" s="10" t="str">
        <f>IFERROR(
   INDEX(tbl_ProduitsRef[Cde_Prdt],MATCH(tbl_Ventes[[#This Row],[Produit]],tbl_ProduitsRef[Produit],0)),
   ""
)</f>
        <v/>
      </c>
      <c r="E4910" s="7">
        <v>0</v>
      </c>
      <c r="F4910" s="7" t="str">
        <f>IFERROR(
   INDEX(tbl_ProduitsRef[Prix Menu],MATCH(tbl_Ventes[[#This Row],[Produit]],tbl_ProduitsRef[Produit],0)),
   ""
)</f>
        <v/>
      </c>
      <c r="G4910" s="7">
        <f>tbl_Ventes[[#This Row],[Qté Vendue]] * IFERROR(_xlfn.XLOOKUP(tbl_Ventes[[#This Row],[Cde_Prdt]], tbl_Produits[Cde_Prdt], tbl_Produits[Prix Menu]), 0)</f>
        <v>0</v>
      </c>
      <c r="H4910" s="7">
        <f>IFERROR(_xlfn.XLOOKUP(tbl_Ventes[[#This Row],[Cde_Prdt]], tbl_Produits[Cde_Prdt], tbl_Produits[Coût Moyen Portion]), 0)</f>
        <v>0</v>
      </c>
      <c r="I4910" s="7">
        <f>tbl_Ventes[[#This Row],[Qté Vendue]] * tbl_Ventes[[#This Row],[CMP_par_portion]]</f>
        <v>0</v>
      </c>
      <c r="J4910" s="7">
        <f>tbl_Ventes[[#This Row],[CA ligne]] - tbl_Ventes[[#This Row],[Coût matière ligne]]</f>
        <v>0</v>
      </c>
      <c r="K4910" s="7" t="str">
        <f>IFERROR(INDEX(tbl_ProduitsRef[Famille], MATCH(tbl_Ventes[[#This Row],[Cde_Prdt]], tbl_Produits[Cde_Prdt], 0)), "")</f>
        <v/>
      </c>
    </row>
    <row r="4911" spans="1:11" x14ac:dyDescent="0.25">
      <c r="A4911" s="5"/>
      <c r="B4911" s="63" t="str">
        <f>IFERROR(TEXT(tbl_Ventes[[#This Row],[Date]],"mm-aaaa"),"")</f>
        <v>01-1900</v>
      </c>
      <c r="D4911" s="10" t="str">
        <f>IFERROR(
   INDEX(tbl_ProduitsRef[Cde_Prdt],MATCH(tbl_Ventes[[#This Row],[Produit]],tbl_ProduitsRef[Produit],0)),
   ""
)</f>
        <v/>
      </c>
      <c r="E4911" s="7">
        <v>0</v>
      </c>
      <c r="F4911" s="7" t="str">
        <f>IFERROR(
   INDEX(tbl_ProduitsRef[Prix Menu],MATCH(tbl_Ventes[[#This Row],[Produit]],tbl_ProduitsRef[Produit],0)),
   ""
)</f>
        <v/>
      </c>
      <c r="G4911" s="7">
        <f>tbl_Ventes[[#This Row],[Qté Vendue]] * IFERROR(_xlfn.XLOOKUP(tbl_Ventes[[#This Row],[Cde_Prdt]], tbl_Produits[Cde_Prdt], tbl_Produits[Prix Menu]), 0)</f>
        <v>0</v>
      </c>
      <c r="H4911" s="7">
        <f>IFERROR(_xlfn.XLOOKUP(tbl_Ventes[[#This Row],[Cde_Prdt]], tbl_Produits[Cde_Prdt], tbl_Produits[Coût Moyen Portion]), 0)</f>
        <v>0</v>
      </c>
      <c r="I4911" s="7">
        <f>tbl_Ventes[[#This Row],[Qté Vendue]] * tbl_Ventes[[#This Row],[CMP_par_portion]]</f>
        <v>0</v>
      </c>
      <c r="J4911" s="7">
        <f>tbl_Ventes[[#This Row],[CA ligne]] - tbl_Ventes[[#This Row],[Coût matière ligne]]</f>
        <v>0</v>
      </c>
      <c r="K4911" s="7" t="str">
        <f>IFERROR(INDEX(tbl_ProduitsRef[Famille], MATCH(tbl_Ventes[[#This Row],[Cde_Prdt]], tbl_Produits[Cde_Prdt], 0)), "")</f>
        <v/>
      </c>
    </row>
    <row r="4912" spans="1:11" x14ac:dyDescent="0.25">
      <c r="A4912" s="5"/>
      <c r="B4912" s="63" t="str">
        <f>IFERROR(TEXT(tbl_Ventes[[#This Row],[Date]],"mm-aaaa"),"")</f>
        <v>01-1900</v>
      </c>
      <c r="D4912" s="10" t="str">
        <f>IFERROR(
   INDEX(tbl_ProduitsRef[Cde_Prdt],MATCH(tbl_Ventes[[#This Row],[Produit]],tbl_ProduitsRef[Produit],0)),
   ""
)</f>
        <v/>
      </c>
      <c r="E4912" s="7">
        <v>0</v>
      </c>
      <c r="F4912" s="7" t="str">
        <f>IFERROR(
   INDEX(tbl_ProduitsRef[Prix Menu],MATCH(tbl_Ventes[[#This Row],[Produit]],tbl_ProduitsRef[Produit],0)),
   ""
)</f>
        <v/>
      </c>
      <c r="G4912" s="7">
        <f>tbl_Ventes[[#This Row],[Qté Vendue]] * IFERROR(_xlfn.XLOOKUP(tbl_Ventes[[#This Row],[Cde_Prdt]], tbl_Produits[Cde_Prdt], tbl_Produits[Prix Menu]), 0)</f>
        <v>0</v>
      </c>
      <c r="H4912" s="7">
        <f>IFERROR(_xlfn.XLOOKUP(tbl_Ventes[[#This Row],[Cde_Prdt]], tbl_Produits[Cde_Prdt], tbl_Produits[Coût Moyen Portion]), 0)</f>
        <v>0</v>
      </c>
      <c r="I4912" s="7">
        <f>tbl_Ventes[[#This Row],[Qté Vendue]] * tbl_Ventes[[#This Row],[CMP_par_portion]]</f>
        <v>0</v>
      </c>
      <c r="J4912" s="7">
        <f>tbl_Ventes[[#This Row],[CA ligne]] - tbl_Ventes[[#This Row],[Coût matière ligne]]</f>
        <v>0</v>
      </c>
      <c r="K4912" s="7" t="str">
        <f>IFERROR(INDEX(tbl_ProduitsRef[Famille], MATCH(tbl_Ventes[[#This Row],[Cde_Prdt]], tbl_Produits[Cde_Prdt], 0)), "")</f>
        <v/>
      </c>
    </row>
    <row r="4913" spans="1:11" x14ac:dyDescent="0.25">
      <c r="A4913" s="5"/>
      <c r="B4913" s="63" t="str">
        <f>IFERROR(TEXT(tbl_Ventes[[#This Row],[Date]],"mm-aaaa"),"")</f>
        <v>01-1900</v>
      </c>
      <c r="D4913" s="10" t="str">
        <f>IFERROR(
   INDEX(tbl_ProduitsRef[Cde_Prdt],MATCH(tbl_Ventes[[#This Row],[Produit]],tbl_ProduitsRef[Produit],0)),
   ""
)</f>
        <v/>
      </c>
      <c r="E4913" s="7">
        <v>0</v>
      </c>
      <c r="F4913" s="7" t="str">
        <f>IFERROR(
   INDEX(tbl_ProduitsRef[Prix Menu],MATCH(tbl_Ventes[[#This Row],[Produit]],tbl_ProduitsRef[Produit],0)),
   ""
)</f>
        <v/>
      </c>
      <c r="G4913" s="7">
        <f>tbl_Ventes[[#This Row],[Qté Vendue]] * IFERROR(_xlfn.XLOOKUP(tbl_Ventes[[#This Row],[Cde_Prdt]], tbl_Produits[Cde_Prdt], tbl_Produits[Prix Menu]), 0)</f>
        <v>0</v>
      </c>
      <c r="H4913" s="7">
        <f>IFERROR(_xlfn.XLOOKUP(tbl_Ventes[[#This Row],[Cde_Prdt]], tbl_Produits[Cde_Prdt], tbl_Produits[Coût Moyen Portion]), 0)</f>
        <v>0</v>
      </c>
      <c r="I4913" s="7">
        <f>tbl_Ventes[[#This Row],[Qté Vendue]] * tbl_Ventes[[#This Row],[CMP_par_portion]]</f>
        <v>0</v>
      </c>
      <c r="J4913" s="7">
        <f>tbl_Ventes[[#This Row],[CA ligne]] - tbl_Ventes[[#This Row],[Coût matière ligne]]</f>
        <v>0</v>
      </c>
      <c r="K4913" s="7" t="str">
        <f>IFERROR(INDEX(tbl_ProduitsRef[Famille], MATCH(tbl_Ventes[[#This Row],[Cde_Prdt]], tbl_Produits[Cde_Prdt], 0)), "")</f>
        <v/>
      </c>
    </row>
    <row r="4914" spans="1:11" x14ac:dyDescent="0.25">
      <c r="A4914" s="5"/>
      <c r="B4914" s="63" t="str">
        <f>IFERROR(TEXT(tbl_Ventes[[#This Row],[Date]],"mm-aaaa"),"")</f>
        <v>01-1900</v>
      </c>
      <c r="D4914" s="10" t="str">
        <f>IFERROR(
   INDEX(tbl_ProduitsRef[Cde_Prdt],MATCH(tbl_Ventes[[#This Row],[Produit]],tbl_ProduitsRef[Produit],0)),
   ""
)</f>
        <v/>
      </c>
      <c r="E4914" s="7">
        <v>0</v>
      </c>
      <c r="F4914" s="7" t="str">
        <f>IFERROR(
   INDEX(tbl_ProduitsRef[Prix Menu],MATCH(tbl_Ventes[[#This Row],[Produit]],tbl_ProduitsRef[Produit],0)),
   ""
)</f>
        <v/>
      </c>
      <c r="G4914" s="7">
        <f>tbl_Ventes[[#This Row],[Qté Vendue]] * IFERROR(_xlfn.XLOOKUP(tbl_Ventes[[#This Row],[Cde_Prdt]], tbl_Produits[Cde_Prdt], tbl_Produits[Prix Menu]), 0)</f>
        <v>0</v>
      </c>
      <c r="H4914" s="7">
        <f>IFERROR(_xlfn.XLOOKUP(tbl_Ventes[[#This Row],[Cde_Prdt]], tbl_Produits[Cde_Prdt], tbl_Produits[Coût Moyen Portion]), 0)</f>
        <v>0</v>
      </c>
      <c r="I4914" s="7">
        <f>tbl_Ventes[[#This Row],[Qté Vendue]] * tbl_Ventes[[#This Row],[CMP_par_portion]]</f>
        <v>0</v>
      </c>
      <c r="J4914" s="7">
        <f>tbl_Ventes[[#This Row],[CA ligne]] - tbl_Ventes[[#This Row],[Coût matière ligne]]</f>
        <v>0</v>
      </c>
      <c r="K4914" s="7" t="str">
        <f>IFERROR(INDEX(tbl_ProduitsRef[Famille], MATCH(tbl_Ventes[[#This Row],[Cde_Prdt]], tbl_Produits[Cde_Prdt], 0)), "")</f>
        <v/>
      </c>
    </row>
    <row r="4915" spans="1:11" x14ac:dyDescent="0.25">
      <c r="A4915" s="5"/>
      <c r="B4915" s="63" t="str">
        <f>IFERROR(TEXT(tbl_Ventes[[#This Row],[Date]],"mm-aaaa"),"")</f>
        <v>01-1900</v>
      </c>
      <c r="D4915" s="10" t="str">
        <f>IFERROR(
   INDEX(tbl_ProduitsRef[Cde_Prdt],MATCH(tbl_Ventes[[#This Row],[Produit]],tbl_ProduitsRef[Produit],0)),
   ""
)</f>
        <v/>
      </c>
      <c r="E4915" s="7">
        <v>0</v>
      </c>
      <c r="F4915" s="7" t="str">
        <f>IFERROR(
   INDEX(tbl_ProduitsRef[Prix Menu],MATCH(tbl_Ventes[[#This Row],[Produit]],tbl_ProduitsRef[Produit],0)),
   ""
)</f>
        <v/>
      </c>
      <c r="G4915" s="7">
        <f>tbl_Ventes[[#This Row],[Qté Vendue]] * IFERROR(_xlfn.XLOOKUP(tbl_Ventes[[#This Row],[Cde_Prdt]], tbl_Produits[Cde_Prdt], tbl_Produits[Prix Menu]), 0)</f>
        <v>0</v>
      </c>
      <c r="H4915" s="7">
        <f>IFERROR(_xlfn.XLOOKUP(tbl_Ventes[[#This Row],[Cde_Prdt]], tbl_Produits[Cde_Prdt], tbl_Produits[Coût Moyen Portion]), 0)</f>
        <v>0</v>
      </c>
      <c r="I4915" s="7">
        <f>tbl_Ventes[[#This Row],[Qté Vendue]] * tbl_Ventes[[#This Row],[CMP_par_portion]]</f>
        <v>0</v>
      </c>
      <c r="J4915" s="7">
        <f>tbl_Ventes[[#This Row],[CA ligne]] - tbl_Ventes[[#This Row],[Coût matière ligne]]</f>
        <v>0</v>
      </c>
      <c r="K4915" s="7" t="str">
        <f>IFERROR(INDEX(tbl_ProduitsRef[Famille], MATCH(tbl_Ventes[[#This Row],[Cde_Prdt]], tbl_Produits[Cde_Prdt], 0)), "")</f>
        <v/>
      </c>
    </row>
    <row r="4916" spans="1:11" x14ac:dyDescent="0.25">
      <c r="A4916" s="5"/>
      <c r="B4916" s="63" t="str">
        <f>IFERROR(TEXT(tbl_Ventes[[#This Row],[Date]],"mm-aaaa"),"")</f>
        <v>01-1900</v>
      </c>
      <c r="D4916" s="10" t="str">
        <f>IFERROR(
   INDEX(tbl_ProduitsRef[Cde_Prdt],MATCH(tbl_Ventes[[#This Row],[Produit]],tbl_ProduitsRef[Produit],0)),
   ""
)</f>
        <v/>
      </c>
      <c r="E4916" s="7">
        <v>0</v>
      </c>
      <c r="F4916" s="7" t="str">
        <f>IFERROR(
   INDEX(tbl_ProduitsRef[Prix Menu],MATCH(tbl_Ventes[[#This Row],[Produit]],tbl_ProduitsRef[Produit],0)),
   ""
)</f>
        <v/>
      </c>
      <c r="G4916" s="7">
        <f>tbl_Ventes[[#This Row],[Qté Vendue]] * IFERROR(_xlfn.XLOOKUP(tbl_Ventes[[#This Row],[Cde_Prdt]], tbl_Produits[Cde_Prdt], tbl_Produits[Prix Menu]), 0)</f>
        <v>0</v>
      </c>
      <c r="H4916" s="7">
        <f>IFERROR(_xlfn.XLOOKUP(tbl_Ventes[[#This Row],[Cde_Prdt]], tbl_Produits[Cde_Prdt], tbl_Produits[Coût Moyen Portion]), 0)</f>
        <v>0</v>
      </c>
      <c r="I4916" s="7">
        <f>tbl_Ventes[[#This Row],[Qté Vendue]] * tbl_Ventes[[#This Row],[CMP_par_portion]]</f>
        <v>0</v>
      </c>
      <c r="J4916" s="7">
        <f>tbl_Ventes[[#This Row],[CA ligne]] - tbl_Ventes[[#This Row],[Coût matière ligne]]</f>
        <v>0</v>
      </c>
      <c r="K4916" s="7" t="str">
        <f>IFERROR(INDEX(tbl_ProduitsRef[Famille], MATCH(tbl_Ventes[[#This Row],[Cde_Prdt]], tbl_Produits[Cde_Prdt], 0)), "")</f>
        <v/>
      </c>
    </row>
    <row r="4917" spans="1:11" x14ac:dyDescent="0.25">
      <c r="A4917" s="5"/>
      <c r="B4917" s="63" t="str">
        <f>IFERROR(TEXT(tbl_Ventes[[#This Row],[Date]],"mm-aaaa"),"")</f>
        <v>01-1900</v>
      </c>
      <c r="D4917" s="10" t="str">
        <f>IFERROR(
   INDEX(tbl_ProduitsRef[Cde_Prdt],MATCH(tbl_Ventes[[#This Row],[Produit]],tbl_ProduitsRef[Produit],0)),
   ""
)</f>
        <v/>
      </c>
      <c r="E4917" s="7">
        <v>0</v>
      </c>
      <c r="F4917" s="7" t="str">
        <f>IFERROR(
   INDEX(tbl_ProduitsRef[Prix Menu],MATCH(tbl_Ventes[[#This Row],[Produit]],tbl_ProduitsRef[Produit],0)),
   ""
)</f>
        <v/>
      </c>
      <c r="G4917" s="7">
        <f>tbl_Ventes[[#This Row],[Qté Vendue]] * IFERROR(_xlfn.XLOOKUP(tbl_Ventes[[#This Row],[Cde_Prdt]], tbl_Produits[Cde_Prdt], tbl_Produits[Prix Menu]), 0)</f>
        <v>0</v>
      </c>
      <c r="H4917" s="7">
        <f>IFERROR(_xlfn.XLOOKUP(tbl_Ventes[[#This Row],[Cde_Prdt]], tbl_Produits[Cde_Prdt], tbl_Produits[Coût Moyen Portion]), 0)</f>
        <v>0</v>
      </c>
      <c r="I4917" s="7">
        <f>tbl_Ventes[[#This Row],[Qté Vendue]] * tbl_Ventes[[#This Row],[CMP_par_portion]]</f>
        <v>0</v>
      </c>
      <c r="J4917" s="7">
        <f>tbl_Ventes[[#This Row],[CA ligne]] - tbl_Ventes[[#This Row],[Coût matière ligne]]</f>
        <v>0</v>
      </c>
      <c r="K4917" s="7" t="str">
        <f>IFERROR(INDEX(tbl_ProduitsRef[Famille], MATCH(tbl_Ventes[[#This Row],[Cde_Prdt]], tbl_Produits[Cde_Prdt], 0)), "")</f>
        <v/>
      </c>
    </row>
    <row r="4918" spans="1:11" x14ac:dyDescent="0.25">
      <c r="A4918" s="5"/>
      <c r="B4918" s="63" t="str">
        <f>IFERROR(TEXT(tbl_Ventes[[#This Row],[Date]],"mm-aaaa"),"")</f>
        <v>01-1900</v>
      </c>
      <c r="D4918" s="10" t="str">
        <f>IFERROR(
   INDEX(tbl_ProduitsRef[Cde_Prdt],MATCH(tbl_Ventes[[#This Row],[Produit]],tbl_ProduitsRef[Produit],0)),
   ""
)</f>
        <v/>
      </c>
      <c r="E4918" s="7">
        <v>0</v>
      </c>
      <c r="F4918" s="7" t="str">
        <f>IFERROR(
   INDEX(tbl_ProduitsRef[Prix Menu],MATCH(tbl_Ventes[[#This Row],[Produit]],tbl_ProduitsRef[Produit],0)),
   ""
)</f>
        <v/>
      </c>
      <c r="G4918" s="7">
        <f>tbl_Ventes[[#This Row],[Qté Vendue]] * IFERROR(_xlfn.XLOOKUP(tbl_Ventes[[#This Row],[Cde_Prdt]], tbl_Produits[Cde_Prdt], tbl_Produits[Prix Menu]), 0)</f>
        <v>0</v>
      </c>
      <c r="H4918" s="7">
        <f>IFERROR(_xlfn.XLOOKUP(tbl_Ventes[[#This Row],[Cde_Prdt]], tbl_Produits[Cde_Prdt], tbl_Produits[Coût Moyen Portion]), 0)</f>
        <v>0</v>
      </c>
      <c r="I4918" s="7">
        <f>tbl_Ventes[[#This Row],[Qté Vendue]] * tbl_Ventes[[#This Row],[CMP_par_portion]]</f>
        <v>0</v>
      </c>
      <c r="J4918" s="7">
        <f>tbl_Ventes[[#This Row],[CA ligne]] - tbl_Ventes[[#This Row],[Coût matière ligne]]</f>
        <v>0</v>
      </c>
      <c r="K4918" s="7" t="str">
        <f>IFERROR(INDEX(tbl_ProduitsRef[Famille], MATCH(tbl_Ventes[[#This Row],[Cde_Prdt]], tbl_Produits[Cde_Prdt], 0)), "")</f>
        <v/>
      </c>
    </row>
    <row r="4919" spans="1:11" x14ac:dyDescent="0.25">
      <c r="A4919" s="5"/>
      <c r="B4919" s="63" t="str">
        <f>IFERROR(TEXT(tbl_Ventes[[#This Row],[Date]],"mm-aaaa"),"")</f>
        <v>01-1900</v>
      </c>
      <c r="D4919" s="10" t="str">
        <f>IFERROR(
   INDEX(tbl_ProduitsRef[Cde_Prdt],MATCH(tbl_Ventes[[#This Row],[Produit]],tbl_ProduitsRef[Produit],0)),
   ""
)</f>
        <v/>
      </c>
      <c r="E4919" s="7">
        <v>0</v>
      </c>
      <c r="F4919" s="7" t="str">
        <f>IFERROR(
   INDEX(tbl_ProduitsRef[Prix Menu],MATCH(tbl_Ventes[[#This Row],[Produit]],tbl_ProduitsRef[Produit],0)),
   ""
)</f>
        <v/>
      </c>
      <c r="G4919" s="7">
        <f>tbl_Ventes[[#This Row],[Qté Vendue]] * IFERROR(_xlfn.XLOOKUP(tbl_Ventes[[#This Row],[Cde_Prdt]], tbl_Produits[Cde_Prdt], tbl_Produits[Prix Menu]), 0)</f>
        <v>0</v>
      </c>
      <c r="H4919" s="7">
        <f>IFERROR(_xlfn.XLOOKUP(tbl_Ventes[[#This Row],[Cde_Prdt]], tbl_Produits[Cde_Prdt], tbl_Produits[Coût Moyen Portion]), 0)</f>
        <v>0</v>
      </c>
      <c r="I4919" s="7">
        <f>tbl_Ventes[[#This Row],[Qté Vendue]] * tbl_Ventes[[#This Row],[CMP_par_portion]]</f>
        <v>0</v>
      </c>
      <c r="J4919" s="7">
        <f>tbl_Ventes[[#This Row],[CA ligne]] - tbl_Ventes[[#This Row],[Coût matière ligne]]</f>
        <v>0</v>
      </c>
      <c r="K4919" s="7" t="str">
        <f>IFERROR(INDEX(tbl_ProduitsRef[Famille], MATCH(tbl_Ventes[[#This Row],[Cde_Prdt]], tbl_Produits[Cde_Prdt], 0)), "")</f>
        <v/>
      </c>
    </row>
    <row r="4920" spans="1:11" x14ac:dyDescent="0.25">
      <c r="A4920" s="5"/>
      <c r="B4920" s="63" t="str">
        <f>IFERROR(TEXT(tbl_Ventes[[#This Row],[Date]],"mm-aaaa"),"")</f>
        <v>01-1900</v>
      </c>
      <c r="D4920" s="10" t="str">
        <f>IFERROR(
   INDEX(tbl_ProduitsRef[Cde_Prdt],MATCH(tbl_Ventes[[#This Row],[Produit]],tbl_ProduitsRef[Produit],0)),
   ""
)</f>
        <v/>
      </c>
      <c r="E4920" s="7">
        <v>0</v>
      </c>
      <c r="F4920" s="7" t="str">
        <f>IFERROR(
   INDEX(tbl_ProduitsRef[Prix Menu],MATCH(tbl_Ventes[[#This Row],[Produit]],tbl_ProduitsRef[Produit],0)),
   ""
)</f>
        <v/>
      </c>
      <c r="G4920" s="7">
        <f>tbl_Ventes[[#This Row],[Qté Vendue]] * IFERROR(_xlfn.XLOOKUP(tbl_Ventes[[#This Row],[Cde_Prdt]], tbl_Produits[Cde_Prdt], tbl_Produits[Prix Menu]), 0)</f>
        <v>0</v>
      </c>
      <c r="H4920" s="7">
        <f>IFERROR(_xlfn.XLOOKUP(tbl_Ventes[[#This Row],[Cde_Prdt]], tbl_Produits[Cde_Prdt], tbl_Produits[Coût Moyen Portion]), 0)</f>
        <v>0</v>
      </c>
      <c r="I4920" s="7">
        <f>tbl_Ventes[[#This Row],[Qté Vendue]] * tbl_Ventes[[#This Row],[CMP_par_portion]]</f>
        <v>0</v>
      </c>
      <c r="J4920" s="7">
        <f>tbl_Ventes[[#This Row],[CA ligne]] - tbl_Ventes[[#This Row],[Coût matière ligne]]</f>
        <v>0</v>
      </c>
      <c r="K4920" s="7" t="str">
        <f>IFERROR(INDEX(tbl_ProduitsRef[Famille], MATCH(tbl_Ventes[[#This Row],[Cde_Prdt]], tbl_Produits[Cde_Prdt], 0)), "")</f>
        <v/>
      </c>
    </row>
    <row r="4921" spans="1:11" x14ac:dyDescent="0.25">
      <c r="A4921" s="5"/>
      <c r="B4921" s="63" t="str">
        <f>IFERROR(TEXT(tbl_Ventes[[#This Row],[Date]],"mm-aaaa"),"")</f>
        <v>01-1900</v>
      </c>
      <c r="D4921" s="10" t="str">
        <f>IFERROR(
   INDEX(tbl_ProduitsRef[Cde_Prdt],MATCH(tbl_Ventes[[#This Row],[Produit]],tbl_ProduitsRef[Produit],0)),
   ""
)</f>
        <v/>
      </c>
      <c r="E4921" s="7">
        <v>0</v>
      </c>
      <c r="F4921" s="7" t="str">
        <f>IFERROR(
   INDEX(tbl_ProduitsRef[Prix Menu],MATCH(tbl_Ventes[[#This Row],[Produit]],tbl_ProduitsRef[Produit],0)),
   ""
)</f>
        <v/>
      </c>
      <c r="G4921" s="7">
        <f>tbl_Ventes[[#This Row],[Qté Vendue]] * IFERROR(_xlfn.XLOOKUP(tbl_Ventes[[#This Row],[Cde_Prdt]], tbl_Produits[Cde_Prdt], tbl_Produits[Prix Menu]), 0)</f>
        <v>0</v>
      </c>
      <c r="H4921" s="7">
        <f>IFERROR(_xlfn.XLOOKUP(tbl_Ventes[[#This Row],[Cde_Prdt]], tbl_Produits[Cde_Prdt], tbl_Produits[Coût Moyen Portion]), 0)</f>
        <v>0</v>
      </c>
      <c r="I4921" s="7">
        <f>tbl_Ventes[[#This Row],[Qté Vendue]] * tbl_Ventes[[#This Row],[CMP_par_portion]]</f>
        <v>0</v>
      </c>
      <c r="J4921" s="7">
        <f>tbl_Ventes[[#This Row],[CA ligne]] - tbl_Ventes[[#This Row],[Coût matière ligne]]</f>
        <v>0</v>
      </c>
      <c r="K4921" s="7" t="str">
        <f>IFERROR(INDEX(tbl_ProduitsRef[Famille], MATCH(tbl_Ventes[[#This Row],[Cde_Prdt]], tbl_Produits[Cde_Prdt], 0)), "")</f>
        <v/>
      </c>
    </row>
    <row r="4922" spans="1:11" x14ac:dyDescent="0.25">
      <c r="A4922" s="5"/>
      <c r="B4922" s="63" t="str">
        <f>IFERROR(TEXT(tbl_Ventes[[#This Row],[Date]],"mm-aaaa"),"")</f>
        <v>01-1900</v>
      </c>
      <c r="D4922" s="10" t="str">
        <f>IFERROR(
   INDEX(tbl_ProduitsRef[Cde_Prdt],MATCH(tbl_Ventes[[#This Row],[Produit]],tbl_ProduitsRef[Produit],0)),
   ""
)</f>
        <v/>
      </c>
      <c r="E4922" s="7">
        <v>0</v>
      </c>
      <c r="F4922" s="7" t="str">
        <f>IFERROR(
   INDEX(tbl_ProduitsRef[Prix Menu],MATCH(tbl_Ventes[[#This Row],[Produit]],tbl_ProduitsRef[Produit],0)),
   ""
)</f>
        <v/>
      </c>
      <c r="G4922" s="7">
        <f>tbl_Ventes[[#This Row],[Qté Vendue]] * IFERROR(_xlfn.XLOOKUP(tbl_Ventes[[#This Row],[Cde_Prdt]], tbl_Produits[Cde_Prdt], tbl_Produits[Prix Menu]), 0)</f>
        <v>0</v>
      </c>
      <c r="H4922" s="7">
        <f>IFERROR(_xlfn.XLOOKUP(tbl_Ventes[[#This Row],[Cde_Prdt]], tbl_Produits[Cde_Prdt], tbl_Produits[Coût Moyen Portion]), 0)</f>
        <v>0</v>
      </c>
      <c r="I4922" s="7">
        <f>tbl_Ventes[[#This Row],[Qté Vendue]] * tbl_Ventes[[#This Row],[CMP_par_portion]]</f>
        <v>0</v>
      </c>
      <c r="J4922" s="7">
        <f>tbl_Ventes[[#This Row],[CA ligne]] - tbl_Ventes[[#This Row],[Coût matière ligne]]</f>
        <v>0</v>
      </c>
      <c r="K4922" s="7" t="str">
        <f>IFERROR(INDEX(tbl_ProduitsRef[Famille], MATCH(tbl_Ventes[[#This Row],[Cde_Prdt]], tbl_Produits[Cde_Prdt], 0)), "")</f>
        <v/>
      </c>
    </row>
    <row r="4923" spans="1:11" x14ac:dyDescent="0.25">
      <c r="A4923" s="5"/>
      <c r="B4923" s="63" t="str">
        <f>IFERROR(TEXT(tbl_Ventes[[#This Row],[Date]],"mm-aaaa"),"")</f>
        <v>01-1900</v>
      </c>
      <c r="D4923" s="10" t="str">
        <f>IFERROR(
   INDEX(tbl_ProduitsRef[Cde_Prdt],MATCH(tbl_Ventes[[#This Row],[Produit]],tbl_ProduitsRef[Produit],0)),
   ""
)</f>
        <v/>
      </c>
      <c r="E4923" s="7">
        <v>0</v>
      </c>
      <c r="F4923" s="7" t="str">
        <f>IFERROR(
   INDEX(tbl_ProduitsRef[Prix Menu],MATCH(tbl_Ventes[[#This Row],[Produit]],tbl_ProduitsRef[Produit],0)),
   ""
)</f>
        <v/>
      </c>
      <c r="G4923" s="7">
        <f>tbl_Ventes[[#This Row],[Qté Vendue]] * IFERROR(_xlfn.XLOOKUP(tbl_Ventes[[#This Row],[Cde_Prdt]], tbl_Produits[Cde_Prdt], tbl_Produits[Prix Menu]), 0)</f>
        <v>0</v>
      </c>
      <c r="H4923" s="7">
        <f>IFERROR(_xlfn.XLOOKUP(tbl_Ventes[[#This Row],[Cde_Prdt]], tbl_Produits[Cde_Prdt], tbl_Produits[Coût Moyen Portion]), 0)</f>
        <v>0</v>
      </c>
      <c r="I4923" s="7">
        <f>tbl_Ventes[[#This Row],[Qté Vendue]] * tbl_Ventes[[#This Row],[CMP_par_portion]]</f>
        <v>0</v>
      </c>
      <c r="J4923" s="7">
        <f>tbl_Ventes[[#This Row],[CA ligne]] - tbl_Ventes[[#This Row],[Coût matière ligne]]</f>
        <v>0</v>
      </c>
      <c r="K4923" s="7" t="str">
        <f>IFERROR(INDEX(tbl_ProduitsRef[Famille], MATCH(tbl_Ventes[[#This Row],[Cde_Prdt]], tbl_Produits[Cde_Prdt], 0)), "")</f>
        <v/>
      </c>
    </row>
    <row r="4924" spans="1:11" x14ac:dyDescent="0.25">
      <c r="A4924" s="5"/>
      <c r="B4924" s="63" t="str">
        <f>IFERROR(TEXT(tbl_Ventes[[#This Row],[Date]],"mm-aaaa"),"")</f>
        <v>01-1900</v>
      </c>
      <c r="D4924" s="10" t="str">
        <f>IFERROR(
   INDEX(tbl_ProduitsRef[Cde_Prdt],MATCH(tbl_Ventes[[#This Row],[Produit]],tbl_ProduitsRef[Produit],0)),
   ""
)</f>
        <v/>
      </c>
      <c r="E4924" s="7">
        <v>0</v>
      </c>
      <c r="F4924" s="7" t="str">
        <f>IFERROR(
   INDEX(tbl_ProduitsRef[Prix Menu],MATCH(tbl_Ventes[[#This Row],[Produit]],tbl_ProduitsRef[Produit],0)),
   ""
)</f>
        <v/>
      </c>
      <c r="G4924" s="7">
        <f>tbl_Ventes[[#This Row],[Qté Vendue]] * IFERROR(_xlfn.XLOOKUP(tbl_Ventes[[#This Row],[Cde_Prdt]], tbl_Produits[Cde_Prdt], tbl_Produits[Prix Menu]), 0)</f>
        <v>0</v>
      </c>
      <c r="H4924" s="7">
        <f>IFERROR(_xlfn.XLOOKUP(tbl_Ventes[[#This Row],[Cde_Prdt]], tbl_Produits[Cde_Prdt], tbl_Produits[Coût Moyen Portion]), 0)</f>
        <v>0</v>
      </c>
      <c r="I4924" s="7">
        <f>tbl_Ventes[[#This Row],[Qté Vendue]] * tbl_Ventes[[#This Row],[CMP_par_portion]]</f>
        <v>0</v>
      </c>
      <c r="J4924" s="7">
        <f>tbl_Ventes[[#This Row],[CA ligne]] - tbl_Ventes[[#This Row],[Coût matière ligne]]</f>
        <v>0</v>
      </c>
      <c r="K4924" s="7" t="str">
        <f>IFERROR(INDEX(tbl_ProduitsRef[Famille], MATCH(tbl_Ventes[[#This Row],[Cde_Prdt]], tbl_Produits[Cde_Prdt], 0)), "")</f>
        <v/>
      </c>
    </row>
    <row r="4925" spans="1:11" x14ac:dyDescent="0.25">
      <c r="A4925" s="5"/>
      <c r="B4925" s="63" t="str">
        <f>IFERROR(TEXT(tbl_Ventes[[#This Row],[Date]],"mm-aaaa"),"")</f>
        <v>01-1900</v>
      </c>
      <c r="D4925" s="10" t="str">
        <f>IFERROR(
   INDEX(tbl_ProduitsRef[Cde_Prdt],MATCH(tbl_Ventes[[#This Row],[Produit]],tbl_ProduitsRef[Produit],0)),
   ""
)</f>
        <v/>
      </c>
      <c r="E4925" s="7">
        <v>0</v>
      </c>
      <c r="F4925" s="7" t="str">
        <f>IFERROR(
   INDEX(tbl_ProduitsRef[Prix Menu],MATCH(tbl_Ventes[[#This Row],[Produit]],tbl_ProduitsRef[Produit],0)),
   ""
)</f>
        <v/>
      </c>
      <c r="G4925" s="7">
        <f>tbl_Ventes[[#This Row],[Qté Vendue]] * IFERROR(_xlfn.XLOOKUP(tbl_Ventes[[#This Row],[Cde_Prdt]], tbl_Produits[Cde_Prdt], tbl_Produits[Prix Menu]), 0)</f>
        <v>0</v>
      </c>
      <c r="H4925" s="7">
        <f>IFERROR(_xlfn.XLOOKUP(tbl_Ventes[[#This Row],[Cde_Prdt]], tbl_Produits[Cde_Prdt], tbl_Produits[Coût Moyen Portion]), 0)</f>
        <v>0</v>
      </c>
      <c r="I4925" s="7">
        <f>tbl_Ventes[[#This Row],[Qté Vendue]] * tbl_Ventes[[#This Row],[CMP_par_portion]]</f>
        <v>0</v>
      </c>
      <c r="J4925" s="7">
        <f>tbl_Ventes[[#This Row],[CA ligne]] - tbl_Ventes[[#This Row],[Coût matière ligne]]</f>
        <v>0</v>
      </c>
      <c r="K4925" s="7" t="str">
        <f>IFERROR(INDEX(tbl_ProduitsRef[Famille], MATCH(tbl_Ventes[[#This Row],[Cde_Prdt]], tbl_Produits[Cde_Prdt], 0)), "")</f>
        <v/>
      </c>
    </row>
    <row r="4926" spans="1:11" x14ac:dyDescent="0.25">
      <c r="A4926" s="5"/>
      <c r="B4926" s="63" t="str">
        <f>IFERROR(TEXT(tbl_Ventes[[#This Row],[Date]],"mm-aaaa"),"")</f>
        <v>01-1900</v>
      </c>
      <c r="D4926" s="10" t="str">
        <f>IFERROR(
   INDEX(tbl_ProduitsRef[Cde_Prdt],MATCH(tbl_Ventes[[#This Row],[Produit]],tbl_ProduitsRef[Produit],0)),
   ""
)</f>
        <v/>
      </c>
      <c r="E4926" s="7">
        <v>0</v>
      </c>
      <c r="F4926" s="7" t="str">
        <f>IFERROR(
   INDEX(tbl_ProduitsRef[Prix Menu],MATCH(tbl_Ventes[[#This Row],[Produit]],tbl_ProduitsRef[Produit],0)),
   ""
)</f>
        <v/>
      </c>
      <c r="G4926" s="7">
        <f>tbl_Ventes[[#This Row],[Qté Vendue]] * IFERROR(_xlfn.XLOOKUP(tbl_Ventes[[#This Row],[Cde_Prdt]], tbl_Produits[Cde_Prdt], tbl_Produits[Prix Menu]), 0)</f>
        <v>0</v>
      </c>
      <c r="H4926" s="7">
        <f>IFERROR(_xlfn.XLOOKUP(tbl_Ventes[[#This Row],[Cde_Prdt]], tbl_Produits[Cde_Prdt], tbl_Produits[Coût Moyen Portion]), 0)</f>
        <v>0</v>
      </c>
      <c r="I4926" s="7">
        <f>tbl_Ventes[[#This Row],[Qté Vendue]] * tbl_Ventes[[#This Row],[CMP_par_portion]]</f>
        <v>0</v>
      </c>
      <c r="J4926" s="7">
        <f>tbl_Ventes[[#This Row],[CA ligne]] - tbl_Ventes[[#This Row],[Coût matière ligne]]</f>
        <v>0</v>
      </c>
      <c r="K4926" s="7" t="str">
        <f>IFERROR(INDEX(tbl_ProduitsRef[Famille], MATCH(tbl_Ventes[[#This Row],[Cde_Prdt]], tbl_Produits[Cde_Prdt], 0)), "")</f>
        <v/>
      </c>
    </row>
    <row r="4927" spans="1:11" x14ac:dyDescent="0.25">
      <c r="A4927" s="5"/>
      <c r="B4927" s="63" t="str">
        <f>IFERROR(TEXT(tbl_Ventes[[#This Row],[Date]],"mm-aaaa"),"")</f>
        <v>01-1900</v>
      </c>
      <c r="D4927" s="10" t="str">
        <f>IFERROR(
   INDEX(tbl_ProduitsRef[Cde_Prdt],MATCH(tbl_Ventes[[#This Row],[Produit]],tbl_ProduitsRef[Produit],0)),
   ""
)</f>
        <v/>
      </c>
      <c r="E4927" s="7">
        <v>0</v>
      </c>
      <c r="F4927" s="7" t="str">
        <f>IFERROR(
   INDEX(tbl_ProduitsRef[Prix Menu],MATCH(tbl_Ventes[[#This Row],[Produit]],tbl_ProduitsRef[Produit],0)),
   ""
)</f>
        <v/>
      </c>
      <c r="G4927" s="7">
        <f>tbl_Ventes[[#This Row],[Qté Vendue]] * IFERROR(_xlfn.XLOOKUP(tbl_Ventes[[#This Row],[Cde_Prdt]], tbl_Produits[Cde_Prdt], tbl_Produits[Prix Menu]), 0)</f>
        <v>0</v>
      </c>
      <c r="H4927" s="7">
        <f>IFERROR(_xlfn.XLOOKUP(tbl_Ventes[[#This Row],[Cde_Prdt]], tbl_Produits[Cde_Prdt], tbl_Produits[Coût Moyen Portion]), 0)</f>
        <v>0</v>
      </c>
      <c r="I4927" s="7">
        <f>tbl_Ventes[[#This Row],[Qté Vendue]] * tbl_Ventes[[#This Row],[CMP_par_portion]]</f>
        <v>0</v>
      </c>
      <c r="J4927" s="7">
        <f>tbl_Ventes[[#This Row],[CA ligne]] - tbl_Ventes[[#This Row],[Coût matière ligne]]</f>
        <v>0</v>
      </c>
      <c r="K4927" s="7" t="str">
        <f>IFERROR(INDEX(tbl_ProduitsRef[Famille], MATCH(tbl_Ventes[[#This Row],[Cde_Prdt]], tbl_Produits[Cde_Prdt], 0)), "")</f>
        <v/>
      </c>
    </row>
    <row r="4928" spans="1:11" x14ac:dyDescent="0.25">
      <c r="A4928" s="5"/>
      <c r="B4928" s="63" t="str">
        <f>IFERROR(TEXT(tbl_Ventes[[#This Row],[Date]],"mm-aaaa"),"")</f>
        <v>01-1900</v>
      </c>
      <c r="D4928" s="10" t="str">
        <f>IFERROR(
   INDEX(tbl_ProduitsRef[Cde_Prdt],MATCH(tbl_Ventes[[#This Row],[Produit]],tbl_ProduitsRef[Produit],0)),
   ""
)</f>
        <v/>
      </c>
      <c r="E4928" s="7">
        <v>0</v>
      </c>
      <c r="F4928" s="7" t="str">
        <f>IFERROR(
   INDEX(tbl_ProduitsRef[Prix Menu],MATCH(tbl_Ventes[[#This Row],[Produit]],tbl_ProduitsRef[Produit],0)),
   ""
)</f>
        <v/>
      </c>
      <c r="G4928" s="7">
        <f>tbl_Ventes[[#This Row],[Qté Vendue]] * IFERROR(_xlfn.XLOOKUP(tbl_Ventes[[#This Row],[Cde_Prdt]], tbl_Produits[Cde_Prdt], tbl_Produits[Prix Menu]), 0)</f>
        <v>0</v>
      </c>
      <c r="H4928" s="7">
        <f>IFERROR(_xlfn.XLOOKUP(tbl_Ventes[[#This Row],[Cde_Prdt]], tbl_Produits[Cde_Prdt], tbl_Produits[Coût Moyen Portion]), 0)</f>
        <v>0</v>
      </c>
      <c r="I4928" s="7">
        <f>tbl_Ventes[[#This Row],[Qté Vendue]] * tbl_Ventes[[#This Row],[CMP_par_portion]]</f>
        <v>0</v>
      </c>
      <c r="J4928" s="7">
        <f>tbl_Ventes[[#This Row],[CA ligne]] - tbl_Ventes[[#This Row],[Coût matière ligne]]</f>
        <v>0</v>
      </c>
      <c r="K4928" s="7" t="str">
        <f>IFERROR(INDEX(tbl_ProduitsRef[Famille], MATCH(tbl_Ventes[[#This Row],[Cde_Prdt]], tbl_Produits[Cde_Prdt], 0)), "")</f>
        <v/>
      </c>
    </row>
    <row r="4929" spans="1:11" x14ac:dyDescent="0.25">
      <c r="A4929" s="5"/>
      <c r="B4929" s="63" t="str">
        <f>IFERROR(TEXT(tbl_Ventes[[#This Row],[Date]],"mm-aaaa"),"")</f>
        <v>01-1900</v>
      </c>
      <c r="D4929" s="10" t="str">
        <f>IFERROR(
   INDEX(tbl_ProduitsRef[Cde_Prdt],MATCH(tbl_Ventes[[#This Row],[Produit]],tbl_ProduitsRef[Produit],0)),
   ""
)</f>
        <v/>
      </c>
      <c r="E4929" s="7">
        <v>0</v>
      </c>
      <c r="F4929" s="7" t="str">
        <f>IFERROR(
   INDEX(tbl_ProduitsRef[Prix Menu],MATCH(tbl_Ventes[[#This Row],[Produit]],tbl_ProduitsRef[Produit],0)),
   ""
)</f>
        <v/>
      </c>
      <c r="G4929" s="7">
        <f>tbl_Ventes[[#This Row],[Qté Vendue]] * IFERROR(_xlfn.XLOOKUP(tbl_Ventes[[#This Row],[Cde_Prdt]], tbl_Produits[Cde_Prdt], tbl_Produits[Prix Menu]), 0)</f>
        <v>0</v>
      </c>
      <c r="H4929" s="7">
        <f>IFERROR(_xlfn.XLOOKUP(tbl_Ventes[[#This Row],[Cde_Prdt]], tbl_Produits[Cde_Prdt], tbl_Produits[Coût Moyen Portion]), 0)</f>
        <v>0</v>
      </c>
      <c r="I4929" s="7">
        <f>tbl_Ventes[[#This Row],[Qté Vendue]] * tbl_Ventes[[#This Row],[CMP_par_portion]]</f>
        <v>0</v>
      </c>
      <c r="J4929" s="7">
        <f>tbl_Ventes[[#This Row],[CA ligne]] - tbl_Ventes[[#This Row],[Coût matière ligne]]</f>
        <v>0</v>
      </c>
      <c r="K4929" s="7" t="str">
        <f>IFERROR(INDEX(tbl_ProduitsRef[Famille], MATCH(tbl_Ventes[[#This Row],[Cde_Prdt]], tbl_Produits[Cde_Prdt], 0)), "")</f>
        <v/>
      </c>
    </row>
    <row r="4930" spans="1:11" x14ac:dyDescent="0.25">
      <c r="A4930" s="5"/>
      <c r="B4930" s="63" t="str">
        <f>IFERROR(TEXT(tbl_Ventes[[#This Row],[Date]],"mm-aaaa"),"")</f>
        <v>01-1900</v>
      </c>
      <c r="D4930" s="10" t="str">
        <f>IFERROR(
   INDEX(tbl_ProduitsRef[Cde_Prdt],MATCH(tbl_Ventes[[#This Row],[Produit]],tbl_ProduitsRef[Produit],0)),
   ""
)</f>
        <v/>
      </c>
      <c r="E4930" s="7">
        <v>0</v>
      </c>
      <c r="F4930" s="7" t="str">
        <f>IFERROR(
   INDEX(tbl_ProduitsRef[Prix Menu],MATCH(tbl_Ventes[[#This Row],[Produit]],tbl_ProduitsRef[Produit],0)),
   ""
)</f>
        <v/>
      </c>
      <c r="G4930" s="7">
        <f>tbl_Ventes[[#This Row],[Qté Vendue]] * IFERROR(_xlfn.XLOOKUP(tbl_Ventes[[#This Row],[Cde_Prdt]], tbl_Produits[Cde_Prdt], tbl_Produits[Prix Menu]), 0)</f>
        <v>0</v>
      </c>
      <c r="H4930" s="7">
        <f>IFERROR(_xlfn.XLOOKUP(tbl_Ventes[[#This Row],[Cde_Prdt]], tbl_Produits[Cde_Prdt], tbl_Produits[Coût Moyen Portion]), 0)</f>
        <v>0</v>
      </c>
      <c r="I4930" s="7">
        <f>tbl_Ventes[[#This Row],[Qté Vendue]] * tbl_Ventes[[#This Row],[CMP_par_portion]]</f>
        <v>0</v>
      </c>
      <c r="J4930" s="7">
        <f>tbl_Ventes[[#This Row],[CA ligne]] - tbl_Ventes[[#This Row],[Coût matière ligne]]</f>
        <v>0</v>
      </c>
      <c r="K4930" s="7" t="str">
        <f>IFERROR(INDEX(tbl_ProduitsRef[Famille], MATCH(tbl_Ventes[[#This Row],[Cde_Prdt]], tbl_Produits[Cde_Prdt], 0)), "")</f>
        <v/>
      </c>
    </row>
    <row r="4931" spans="1:11" x14ac:dyDescent="0.25">
      <c r="A4931" s="5"/>
      <c r="B4931" s="63" t="str">
        <f>IFERROR(TEXT(tbl_Ventes[[#This Row],[Date]],"mm-aaaa"),"")</f>
        <v>01-1900</v>
      </c>
      <c r="D4931" s="10" t="str">
        <f>IFERROR(
   INDEX(tbl_ProduitsRef[Cde_Prdt],MATCH(tbl_Ventes[[#This Row],[Produit]],tbl_ProduitsRef[Produit],0)),
   ""
)</f>
        <v/>
      </c>
      <c r="E4931" s="7">
        <v>0</v>
      </c>
      <c r="F4931" s="7" t="str">
        <f>IFERROR(
   INDEX(tbl_ProduitsRef[Prix Menu],MATCH(tbl_Ventes[[#This Row],[Produit]],tbl_ProduitsRef[Produit],0)),
   ""
)</f>
        <v/>
      </c>
      <c r="G4931" s="7">
        <f>tbl_Ventes[[#This Row],[Qté Vendue]] * IFERROR(_xlfn.XLOOKUP(tbl_Ventes[[#This Row],[Cde_Prdt]], tbl_Produits[Cde_Prdt], tbl_Produits[Prix Menu]), 0)</f>
        <v>0</v>
      </c>
      <c r="H4931" s="7">
        <f>IFERROR(_xlfn.XLOOKUP(tbl_Ventes[[#This Row],[Cde_Prdt]], tbl_Produits[Cde_Prdt], tbl_Produits[Coût Moyen Portion]), 0)</f>
        <v>0</v>
      </c>
      <c r="I4931" s="7">
        <f>tbl_Ventes[[#This Row],[Qté Vendue]] * tbl_Ventes[[#This Row],[CMP_par_portion]]</f>
        <v>0</v>
      </c>
      <c r="J4931" s="7">
        <f>tbl_Ventes[[#This Row],[CA ligne]] - tbl_Ventes[[#This Row],[Coût matière ligne]]</f>
        <v>0</v>
      </c>
      <c r="K4931" s="7" t="str">
        <f>IFERROR(INDEX(tbl_ProduitsRef[Famille], MATCH(tbl_Ventes[[#This Row],[Cde_Prdt]], tbl_Produits[Cde_Prdt], 0)), "")</f>
        <v/>
      </c>
    </row>
    <row r="4932" spans="1:11" x14ac:dyDescent="0.25">
      <c r="A4932" s="5"/>
      <c r="B4932" s="63" t="str">
        <f>IFERROR(TEXT(tbl_Ventes[[#This Row],[Date]],"mm-aaaa"),"")</f>
        <v>01-1900</v>
      </c>
      <c r="D4932" s="10" t="str">
        <f>IFERROR(
   INDEX(tbl_ProduitsRef[Cde_Prdt],MATCH(tbl_Ventes[[#This Row],[Produit]],tbl_ProduitsRef[Produit],0)),
   ""
)</f>
        <v/>
      </c>
      <c r="E4932" s="7">
        <v>0</v>
      </c>
      <c r="F4932" s="7" t="str">
        <f>IFERROR(
   INDEX(tbl_ProduitsRef[Prix Menu],MATCH(tbl_Ventes[[#This Row],[Produit]],tbl_ProduitsRef[Produit],0)),
   ""
)</f>
        <v/>
      </c>
      <c r="G4932" s="7">
        <f>tbl_Ventes[[#This Row],[Qté Vendue]] * IFERROR(_xlfn.XLOOKUP(tbl_Ventes[[#This Row],[Cde_Prdt]], tbl_Produits[Cde_Prdt], tbl_Produits[Prix Menu]), 0)</f>
        <v>0</v>
      </c>
      <c r="H4932" s="7">
        <f>IFERROR(_xlfn.XLOOKUP(tbl_Ventes[[#This Row],[Cde_Prdt]], tbl_Produits[Cde_Prdt], tbl_Produits[Coût Moyen Portion]), 0)</f>
        <v>0</v>
      </c>
      <c r="I4932" s="7">
        <f>tbl_Ventes[[#This Row],[Qté Vendue]] * tbl_Ventes[[#This Row],[CMP_par_portion]]</f>
        <v>0</v>
      </c>
      <c r="J4932" s="7">
        <f>tbl_Ventes[[#This Row],[CA ligne]] - tbl_Ventes[[#This Row],[Coût matière ligne]]</f>
        <v>0</v>
      </c>
      <c r="K4932" s="7" t="str">
        <f>IFERROR(INDEX(tbl_ProduitsRef[Famille], MATCH(tbl_Ventes[[#This Row],[Cde_Prdt]], tbl_Produits[Cde_Prdt], 0)), "")</f>
        <v/>
      </c>
    </row>
    <row r="4933" spans="1:11" x14ac:dyDescent="0.25">
      <c r="A4933" s="5"/>
      <c r="B4933" s="63" t="str">
        <f>IFERROR(TEXT(tbl_Ventes[[#This Row],[Date]],"mm-aaaa"),"")</f>
        <v>01-1900</v>
      </c>
      <c r="D4933" s="10" t="str">
        <f>IFERROR(
   INDEX(tbl_ProduitsRef[Cde_Prdt],MATCH(tbl_Ventes[[#This Row],[Produit]],tbl_ProduitsRef[Produit],0)),
   ""
)</f>
        <v/>
      </c>
      <c r="E4933" s="7">
        <v>0</v>
      </c>
      <c r="F4933" s="7" t="str">
        <f>IFERROR(
   INDEX(tbl_ProduitsRef[Prix Menu],MATCH(tbl_Ventes[[#This Row],[Produit]],tbl_ProduitsRef[Produit],0)),
   ""
)</f>
        <v/>
      </c>
      <c r="G4933" s="7">
        <f>tbl_Ventes[[#This Row],[Qté Vendue]] * IFERROR(_xlfn.XLOOKUP(tbl_Ventes[[#This Row],[Cde_Prdt]], tbl_Produits[Cde_Prdt], tbl_Produits[Prix Menu]), 0)</f>
        <v>0</v>
      </c>
      <c r="H4933" s="7">
        <f>IFERROR(_xlfn.XLOOKUP(tbl_Ventes[[#This Row],[Cde_Prdt]], tbl_Produits[Cde_Prdt], tbl_Produits[Coût Moyen Portion]), 0)</f>
        <v>0</v>
      </c>
      <c r="I4933" s="7">
        <f>tbl_Ventes[[#This Row],[Qté Vendue]] * tbl_Ventes[[#This Row],[CMP_par_portion]]</f>
        <v>0</v>
      </c>
      <c r="J4933" s="7">
        <f>tbl_Ventes[[#This Row],[CA ligne]] - tbl_Ventes[[#This Row],[Coût matière ligne]]</f>
        <v>0</v>
      </c>
      <c r="K4933" s="7" t="str">
        <f>IFERROR(INDEX(tbl_ProduitsRef[Famille], MATCH(tbl_Ventes[[#This Row],[Cde_Prdt]], tbl_Produits[Cde_Prdt], 0)), "")</f>
        <v/>
      </c>
    </row>
    <row r="4934" spans="1:11" x14ac:dyDescent="0.25">
      <c r="A4934" s="5"/>
      <c r="B4934" s="63" t="str">
        <f>IFERROR(TEXT(tbl_Ventes[[#This Row],[Date]],"mm-aaaa"),"")</f>
        <v>01-1900</v>
      </c>
      <c r="D4934" s="10" t="str">
        <f>IFERROR(
   INDEX(tbl_ProduitsRef[Cde_Prdt],MATCH(tbl_Ventes[[#This Row],[Produit]],tbl_ProduitsRef[Produit],0)),
   ""
)</f>
        <v/>
      </c>
      <c r="E4934" s="7">
        <v>0</v>
      </c>
      <c r="F4934" s="7" t="str">
        <f>IFERROR(
   INDEX(tbl_ProduitsRef[Prix Menu],MATCH(tbl_Ventes[[#This Row],[Produit]],tbl_ProduitsRef[Produit],0)),
   ""
)</f>
        <v/>
      </c>
      <c r="G4934" s="7">
        <f>tbl_Ventes[[#This Row],[Qté Vendue]] * IFERROR(_xlfn.XLOOKUP(tbl_Ventes[[#This Row],[Cde_Prdt]], tbl_Produits[Cde_Prdt], tbl_Produits[Prix Menu]), 0)</f>
        <v>0</v>
      </c>
      <c r="H4934" s="7">
        <f>IFERROR(_xlfn.XLOOKUP(tbl_Ventes[[#This Row],[Cde_Prdt]], tbl_Produits[Cde_Prdt], tbl_Produits[Coût Moyen Portion]), 0)</f>
        <v>0</v>
      </c>
      <c r="I4934" s="7">
        <f>tbl_Ventes[[#This Row],[Qté Vendue]] * tbl_Ventes[[#This Row],[CMP_par_portion]]</f>
        <v>0</v>
      </c>
      <c r="J4934" s="7">
        <f>tbl_Ventes[[#This Row],[CA ligne]] - tbl_Ventes[[#This Row],[Coût matière ligne]]</f>
        <v>0</v>
      </c>
      <c r="K4934" s="7" t="str">
        <f>IFERROR(INDEX(tbl_ProduitsRef[Famille], MATCH(tbl_Ventes[[#This Row],[Cde_Prdt]], tbl_Produits[Cde_Prdt], 0)), "")</f>
        <v/>
      </c>
    </row>
    <row r="4935" spans="1:11" x14ac:dyDescent="0.25">
      <c r="A4935" s="5"/>
      <c r="B4935" s="63" t="str">
        <f>IFERROR(TEXT(tbl_Ventes[[#This Row],[Date]],"mm-aaaa"),"")</f>
        <v>01-1900</v>
      </c>
      <c r="D4935" s="10" t="str">
        <f>IFERROR(
   INDEX(tbl_ProduitsRef[Cde_Prdt],MATCH(tbl_Ventes[[#This Row],[Produit]],tbl_ProduitsRef[Produit],0)),
   ""
)</f>
        <v/>
      </c>
      <c r="E4935" s="7">
        <v>0</v>
      </c>
      <c r="F4935" s="7" t="str">
        <f>IFERROR(
   INDEX(tbl_ProduitsRef[Prix Menu],MATCH(tbl_Ventes[[#This Row],[Produit]],tbl_ProduitsRef[Produit],0)),
   ""
)</f>
        <v/>
      </c>
      <c r="G4935" s="7">
        <f>tbl_Ventes[[#This Row],[Qté Vendue]] * IFERROR(_xlfn.XLOOKUP(tbl_Ventes[[#This Row],[Cde_Prdt]], tbl_Produits[Cde_Prdt], tbl_Produits[Prix Menu]), 0)</f>
        <v>0</v>
      </c>
      <c r="H4935" s="7">
        <f>IFERROR(_xlfn.XLOOKUP(tbl_Ventes[[#This Row],[Cde_Prdt]], tbl_Produits[Cde_Prdt], tbl_Produits[Coût Moyen Portion]), 0)</f>
        <v>0</v>
      </c>
      <c r="I4935" s="7">
        <f>tbl_Ventes[[#This Row],[Qté Vendue]] * tbl_Ventes[[#This Row],[CMP_par_portion]]</f>
        <v>0</v>
      </c>
      <c r="J4935" s="7">
        <f>tbl_Ventes[[#This Row],[CA ligne]] - tbl_Ventes[[#This Row],[Coût matière ligne]]</f>
        <v>0</v>
      </c>
      <c r="K4935" s="7" t="str">
        <f>IFERROR(INDEX(tbl_ProduitsRef[Famille], MATCH(tbl_Ventes[[#This Row],[Cde_Prdt]], tbl_Produits[Cde_Prdt], 0)), "")</f>
        <v/>
      </c>
    </row>
    <row r="4936" spans="1:11" x14ac:dyDescent="0.25">
      <c r="A4936" s="5"/>
      <c r="B4936" s="63" t="str">
        <f>IFERROR(TEXT(tbl_Ventes[[#This Row],[Date]],"mm-aaaa"),"")</f>
        <v>01-1900</v>
      </c>
      <c r="D4936" s="10" t="str">
        <f>IFERROR(
   INDEX(tbl_ProduitsRef[Cde_Prdt],MATCH(tbl_Ventes[[#This Row],[Produit]],tbl_ProduitsRef[Produit],0)),
   ""
)</f>
        <v/>
      </c>
      <c r="E4936" s="7">
        <v>0</v>
      </c>
      <c r="F4936" s="7" t="str">
        <f>IFERROR(
   INDEX(tbl_ProduitsRef[Prix Menu],MATCH(tbl_Ventes[[#This Row],[Produit]],tbl_ProduitsRef[Produit],0)),
   ""
)</f>
        <v/>
      </c>
      <c r="G4936" s="7">
        <f>tbl_Ventes[[#This Row],[Qté Vendue]] * IFERROR(_xlfn.XLOOKUP(tbl_Ventes[[#This Row],[Cde_Prdt]], tbl_Produits[Cde_Prdt], tbl_Produits[Prix Menu]), 0)</f>
        <v>0</v>
      </c>
      <c r="H4936" s="7">
        <f>IFERROR(_xlfn.XLOOKUP(tbl_Ventes[[#This Row],[Cde_Prdt]], tbl_Produits[Cde_Prdt], tbl_Produits[Coût Moyen Portion]), 0)</f>
        <v>0</v>
      </c>
      <c r="I4936" s="7">
        <f>tbl_Ventes[[#This Row],[Qté Vendue]] * tbl_Ventes[[#This Row],[CMP_par_portion]]</f>
        <v>0</v>
      </c>
      <c r="J4936" s="7">
        <f>tbl_Ventes[[#This Row],[CA ligne]] - tbl_Ventes[[#This Row],[Coût matière ligne]]</f>
        <v>0</v>
      </c>
      <c r="K4936" s="7" t="str">
        <f>IFERROR(INDEX(tbl_ProduitsRef[Famille], MATCH(tbl_Ventes[[#This Row],[Cde_Prdt]], tbl_Produits[Cde_Prdt], 0)), "")</f>
        <v/>
      </c>
    </row>
    <row r="4937" spans="1:11" x14ac:dyDescent="0.25">
      <c r="A4937" s="5"/>
      <c r="B4937" s="63" t="str">
        <f>IFERROR(TEXT(tbl_Ventes[[#This Row],[Date]],"mm-aaaa"),"")</f>
        <v>01-1900</v>
      </c>
      <c r="D4937" s="10" t="str">
        <f>IFERROR(
   INDEX(tbl_ProduitsRef[Cde_Prdt],MATCH(tbl_Ventes[[#This Row],[Produit]],tbl_ProduitsRef[Produit],0)),
   ""
)</f>
        <v/>
      </c>
      <c r="E4937" s="7">
        <v>0</v>
      </c>
      <c r="F4937" s="7" t="str">
        <f>IFERROR(
   INDEX(tbl_ProduitsRef[Prix Menu],MATCH(tbl_Ventes[[#This Row],[Produit]],tbl_ProduitsRef[Produit],0)),
   ""
)</f>
        <v/>
      </c>
      <c r="G4937" s="7">
        <f>tbl_Ventes[[#This Row],[Qté Vendue]] * IFERROR(_xlfn.XLOOKUP(tbl_Ventes[[#This Row],[Cde_Prdt]], tbl_Produits[Cde_Prdt], tbl_Produits[Prix Menu]), 0)</f>
        <v>0</v>
      </c>
      <c r="H4937" s="7">
        <f>IFERROR(_xlfn.XLOOKUP(tbl_Ventes[[#This Row],[Cde_Prdt]], tbl_Produits[Cde_Prdt], tbl_Produits[Coût Moyen Portion]), 0)</f>
        <v>0</v>
      </c>
      <c r="I4937" s="7">
        <f>tbl_Ventes[[#This Row],[Qté Vendue]] * tbl_Ventes[[#This Row],[CMP_par_portion]]</f>
        <v>0</v>
      </c>
      <c r="J4937" s="7">
        <f>tbl_Ventes[[#This Row],[CA ligne]] - tbl_Ventes[[#This Row],[Coût matière ligne]]</f>
        <v>0</v>
      </c>
      <c r="K4937" s="7" t="str">
        <f>IFERROR(INDEX(tbl_ProduitsRef[Famille], MATCH(tbl_Ventes[[#This Row],[Cde_Prdt]], tbl_Produits[Cde_Prdt], 0)), "")</f>
        <v/>
      </c>
    </row>
    <row r="4938" spans="1:11" x14ac:dyDescent="0.25">
      <c r="A4938" s="5"/>
      <c r="B4938" s="63" t="str">
        <f>IFERROR(TEXT(tbl_Ventes[[#This Row],[Date]],"mm-aaaa"),"")</f>
        <v>01-1900</v>
      </c>
      <c r="D4938" s="10" t="str">
        <f>IFERROR(
   INDEX(tbl_ProduitsRef[Cde_Prdt],MATCH(tbl_Ventes[[#This Row],[Produit]],tbl_ProduitsRef[Produit],0)),
   ""
)</f>
        <v/>
      </c>
      <c r="E4938" s="7">
        <v>0</v>
      </c>
      <c r="F4938" s="7" t="str">
        <f>IFERROR(
   INDEX(tbl_ProduitsRef[Prix Menu],MATCH(tbl_Ventes[[#This Row],[Produit]],tbl_ProduitsRef[Produit],0)),
   ""
)</f>
        <v/>
      </c>
      <c r="G4938" s="7">
        <f>tbl_Ventes[[#This Row],[Qté Vendue]] * IFERROR(_xlfn.XLOOKUP(tbl_Ventes[[#This Row],[Cde_Prdt]], tbl_Produits[Cde_Prdt], tbl_Produits[Prix Menu]), 0)</f>
        <v>0</v>
      </c>
      <c r="H4938" s="7">
        <f>IFERROR(_xlfn.XLOOKUP(tbl_Ventes[[#This Row],[Cde_Prdt]], tbl_Produits[Cde_Prdt], tbl_Produits[Coût Moyen Portion]), 0)</f>
        <v>0</v>
      </c>
      <c r="I4938" s="7">
        <f>tbl_Ventes[[#This Row],[Qté Vendue]] * tbl_Ventes[[#This Row],[CMP_par_portion]]</f>
        <v>0</v>
      </c>
      <c r="J4938" s="7">
        <f>tbl_Ventes[[#This Row],[CA ligne]] - tbl_Ventes[[#This Row],[Coût matière ligne]]</f>
        <v>0</v>
      </c>
      <c r="K4938" s="7" t="str">
        <f>IFERROR(INDEX(tbl_ProduitsRef[Famille], MATCH(tbl_Ventes[[#This Row],[Cde_Prdt]], tbl_Produits[Cde_Prdt], 0)), "")</f>
        <v/>
      </c>
    </row>
    <row r="4939" spans="1:11" x14ac:dyDescent="0.25">
      <c r="A4939" s="5"/>
      <c r="B4939" s="63" t="str">
        <f>IFERROR(TEXT(tbl_Ventes[[#This Row],[Date]],"mm-aaaa"),"")</f>
        <v>01-1900</v>
      </c>
      <c r="D4939" s="10" t="str">
        <f>IFERROR(
   INDEX(tbl_ProduitsRef[Cde_Prdt],MATCH(tbl_Ventes[[#This Row],[Produit]],tbl_ProduitsRef[Produit],0)),
   ""
)</f>
        <v/>
      </c>
      <c r="E4939" s="7">
        <v>0</v>
      </c>
      <c r="F4939" s="7" t="str">
        <f>IFERROR(
   INDEX(tbl_ProduitsRef[Prix Menu],MATCH(tbl_Ventes[[#This Row],[Produit]],tbl_ProduitsRef[Produit],0)),
   ""
)</f>
        <v/>
      </c>
      <c r="G4939" s="7">
        <f>tbl_Ventes[[#This Row],[Qté Vendue]] * IFERROR(_xlfn.XLOOKUP(tbl_Ventes[[#This Row],[Cde_Prdt]], tbl_Produits[Cde_Prdt], tbl_Produits[Prix Menu]), 0)</f>
        <v>0</v>
      </c>
      <c r="H4939" s="7">
        <f>IFERROR(_xlfn.XLOOKUP(tbl_Ventes[[#This Row],[Cde_Prdt]], tbl_Produits[Cde_Prdt], tbl_Produits[Coût Moyen Portion]), 0)</f>
        <v>0</v>
      </c>
      <c r="I4939" s="7">
        <f>tbl_Ventes[[#This Row],[Qté Vendue]] * tbl_Ventes[[#This Row],[CMP_par_portion]]</f>
        <v>0</v>
      </c>
      <c r="J4939" s="7">
        <f>tbl_Ventes[[#This Row],[CA ligne]] - tbl_Ventes[[#This Row],[Coût matière ligne]]</f>
        <v>0</v>
      </c>
      <c r="K4939" s="7" t="str">
        <f>IFERROR(INDEX(tbl_ProduitsRef[Famille], MATCH(tbl_Ventes[[#This Row],[Cde_Prdt]], tbl_Produits[Cde_Prdt], 0)), "")</f>
        <v/>
      </c>
    </row>
    <row r="4940" spans="1:11" x14ac:dyDescent="0.25">
      <c r="A4940" s="5"/>
      <c r="B4940" s="63" t="str">
        <f>IFERROR(TEXT(tbl_Ventes[[#This Row],[Date]],"mm-aaaa"),"")</f>
        <v>01-1900</v>
      </c>
      <c r="D4940" s="10" t="str">
        <f>IFERROR(
   INDEX(tbl_ProduitsRef[Cde_Prdt],MATCH(tbl_Ventes[[#This Row],[Produit]],tbl_ProduitsRef[Produit],0)),
   ""
)</f>
        <v/>
      </c>
      <c r="E4940" s="7">
        <v>0</v>
      </c>
      <c r="F4940" s="7" t="str">
        <f>IFERROR(
   INDEX(tbl_ProduitsRef[Prix Menu],MATCH(tbl_Ventes[[#This Row],[Produit]],tbl_ProduitsRef[Produit],0)),
   ""
)</f>
        <v/>
      </c>
      <c r="G4940" s="7">
        <f>tbl_Ventes[[#This Row],[Qté Vendue]] * IFERROR(_xlfn.XLOOKUP(tbl_Ventes[[#This Row],[Cde_Prdt]], tbl_Produits[Cde_Prdt], tbl_Produits[Prix Menu]), 0)</f>
        <v>0</v>
      </c>
      <c r="H4940" s="7">
        <f>IFERROR(_xlfn.XLOOKUP(tbl_Ventes[[#This Row],[Cde_Prdt]], tbl_Produits[Cde_Prdt], tbl_Produits[Coût Moyen Portion]), 0)</f>
        <v>0</v>
      </c>
      <c r="I4940" s="7">
        <f>tbl_Ventes[[#This Row],[Qté Vendue]] * tbl_Ventes[[#This Row],[CMP_par_portion]]</f>
        <v>0</v>
      </c>
      <c r="J4940" s="7">
        <f>tbl_Ventes[[#This Row],[CA ligne]] - tbl_Ventes[[#This Row],[Coût matière ligne]]</f>
        <v>0</v>
      </c>
      <c r="K4940" s="7" t="str">
        <f>IFERROR(INDEX(tbl_ProduitsRef[Famille], MATCH(tbl_Ventes[[#This Row],[Cde_Prdt]], tbl_Produits[Cde_Prdt], 0)), "")</f>
        <v/>
      </c>
    </row>
    <row r="4941" spans="1:11" x14ac:dyDescent="0.25">
      <c r="A4941" s="5"/>
      <c r="B4941" s="63" t="str">
        <f>IFERROR(TEXT(tbl_Ventes[[#This Row],[Date]],"mm-aaaa"),"")</f>
        <v>01-1900</v>
      </c>
      <c r="D4941" s="10" t="str">
        <f>IFERROR(
   INDEX(tbl_ProduitsRef[Cde_Prdt],MATCH(tbl_Ventes[[#This Row],[Produit]],tbl_ProduitsRef[Produit],0)),
   ""
)</f>
        <v/>
      </c>
      <c r="E4941" s="7">
        <v>0</v>
      </c>
      <c r="F4941" s="7" t="str">
        <f>IFERROR(
   INDEX(tbl_ProduitsRef[Prix Menu],MATCH(tbl_Ventes[[#This Row],[Produit]],tbl_ProduitsRef[Produit],0)),
   ""
)</f>
        <v/>
      </c>
      <c r="G4941" s="7">
        <f>tbl_Ventes[[#This Row],[Qté Vendue]] * IFERROR(_xlfn.XLOOKUP(tbl_Ventes[[#This Row],[Cde_Prdt]], tbl_Produits[Cde_Prdt], tbl_Produits[Prix Menu]), 0)</f>
        <v>0</v>
      </c>
      <c r="H4941" s="7">
        <f>IFERROR(_xlfn.XLOOKUP(tbl_Ventes[[#This Row],[Cde_Prdt]], tbl_Produits[Cde_Prdt], tbl_Produits[Coût Moyen Portion]), 0)</f>
        <v>0</v>
      </c>
      <c r="I4941" s="7">
        <f>tbl_Ventes[[#This Row],[Qté Vendue]] * tbl_Ventes[[#This Row],[CMP_par_portion]]</f>
        <v>0</v>
      </c>
      <c r="J4941" s="7">
        <f>tbl_Ventes[[#This Row],[CA ligne]] - tbl_Ventes[[#This Row],[Coût matière ligne]]</f>
        <v>0</v>
      </c>
      <c r="K4941" s="7" t="str">
        <f>IFERROR(INDEX(tbl_ProduitsRef[Famille], MATCH(tbl_Ventes[[#This Row],[Cde_Prdt]], tbl_Produits[Cde_Prdt], 0)), "")</f>
        <v/>
      </c>
    </row>
    <row r="4942" spans="1:11" x14ac:dyDescent="0.25">
      <c r="A4942" s="5"/>
      <c r="B4942" s="63" t="str">
        <f>IFERROR(TEXT(tbl_Ventes[[#This Row],[Date]],"mm-aaaa"),"")</f>
        <v>01-1900</v>
      </c>
      <c r="D4942" s="10" t="str">
        <f>IFERROR(
   INDEX(tbl_ProduitsRef[Cde_Prdt],MATCH(tbl_Ventes[[#This Row],[Produit]],tbl_ProduitsRef[Produit],0)),
   ""
)</f>
        <v/>
      </c>
      <c r="E4942" s="7">
        <v>0</v>
      </c>
      <c r="F4942" s="7" t="str">
        <f>IFERROR(
   INDEX(tbl_ProduitsRef[Prix Menu],MATCH(tbl_Ventes[[#This Row],[Produit]],tbl_ProduitsRef[Produit],0)),
   ""
)</f>
        <v/>
      </c>
      <c r="G4942" s="7">
        <f>tbl_Ventes[[#This Row],[Qté Vendue]] * IFERROR(_xlfn.XLOOKUP(tbl_Ventes[[#This Row],[Cde_Prdt]], tbl_Produits[Cde_Prdt], tbl_Produits[Prix Menu]), 0)</f>
        <v>0</v>
      </c>
      <c r="H4942" s="7">
        <f>IFERROR(_xlfn.XLOOKUP(tbl_Ventes[[#This Row],[Cde_Prdt]], tbl_Produits[Cde_Prdt], tbl_Produits[Coût Moyen Portion]), 0)</f>
        <v>0</v>
      </c>
      <c r="I4942" s="7">
        <f>tbl_Ventes[[#This Row],[Qté Vendue]] * tbl_Ventes[[#This Row],[CMP_par_portion]]</f>
        <v>0</v>
      </c>
      <c r="J4942" s="7">
        <f>tbl_Ventes[[#This Row],[CA ligne]] - tbl_Ventes[[#This Row],[Coût matière ligne]]</f>
        <v>0</v>
      </c>
      <c r="K4942" s="7" t="str">
        <f>IFERROR(INDEX(tbl_ProduitsRef[Famille], MATCH(tbl_Ventes[[#This Row],[Cde_Prdt]], tbl_Produits[Cde_Prdt], 0)), "")</f>
        <v/>
      </c>
    </row>
    <row r="4943" spans="1:11" x14ac:dyDescent="0.25">
      <c r="A4943" s="5"/>
      <c r="B4943" s="63" t="str">
        <f>IFERROR(TEXT(tbl_Ventes[[#This Row],[Date]],"mm-aaaa"),"")</f>
        <v>01-1900</v>
      </c>
      <c r="D4943" s="10" t="str">
        <f>IFERROR(
   INDEX(tbl_ProduitsRef[Cde_Prdt],MATCH(tbl_Ventes[[#This Row],[Produit]],tbl_ProduitsRef[Produit],0)),
   ""
)</f>
        <v/>
      </c>
      <c r="E4943" s="7">
        <v>0</v>
      </c>
      <c r="F4943" s="7" t="str">
        <f>IFERROR(
   INDEX(tbl_ProduitsRef[Prix Menu],MATCH(tbl_Ventes[[#This Row],[Produit]],tbl_ProduitsRef[Produit],0)),
   ""
)</f>
        <v/>
      </c>
      <c r="G4943" s="7">
        <f>tbl_Ventes[[#This Row],[Qté Vendue]] * IFERROR(_xlfn.XLOOKUP(tbl_Ventes[[#This Row],[Cde_Prdt]], tbl_Produits[Cde_Prdt], tbl_Produits[Prix Menu]), 0)</f>
        <v>0</v>
      </c>
      <c r="H4943" s="7">
        <f>IFERROR(_xlfn.XLOOKUP(tbl_Ventes[[#This Row],[Cde_Prdt]], tbl_Produits[Cde_Prdt], tbl_Produits[Coût Moyen Portion]), 0)</f>
        <v>0</v>
      </c>
      <c r="I4943" s="7">
        <f>tbl_Ventes[[#This Row],[Qté Vendue]] * tbl_Ventes[[#This Row],[CMP_par_portion]]</f>
        <v>0</v>
      </c>
      <c r="J4943" s="7">
        <f>tbl_Ventes[[#This Row],[CA ligne]] - tbl_Ventes[[#This Row],[Coût matière ligne]]</f>
        <v>0</v>
      </c>
      <c r="K4943" s="7" t="str">
        <f>IFERROR(INDEX(tbl_ProduitsRef[Famille], MATCH(tbl_Ventes[[#This Row],[Cde_Prdt]], tbl_Produits[Cde_Prdt], 0)), "")</f>
        <v/>
      </c>
    </row>
    <row r="4944" spans="1:11" x14ac:dyDescent="0.25">
      <c r="A4944" s="5"/>
      <c r="B4944" s="63" t="str">
        <f>IFERROR(TEXT(tbl_Ventes[[#This Row],[Date]],"mm-aaaa"),"")</f>
        <v>01-1900</v>
      </c>
      <c r="D4944" s="10" t="str">
        <f>IFERROR(
   INDEX(tbl_ProduitsRef[Cde_Prdt],MATCH(tbl_Ventes[[#This Row],[Produit]],tbl_ProduitsRef[Produit],0)),
   ""
)</f>
        <v/>
      </c>
      <c r="E4944" s="7">
        <v>0</v>
      </c>
      <c r="F4944" s="7" t="str">
        <f>IFERROR(
   INDEX(tbl_ProduitsRef[Prix Menu],MATCH(tbl_Ventes[[#This Row],[Produit]],tbl_ProduitsRef[Produit],0)),
   ""
)</f>
        <v/>
      </c>
      <c r="G4944" s="7">
        <f>tbl_Ventes[[#This Row],[Qté Vendue]] * IFERROR(_xlfn.XLOOKUP(tbl_Ventes[[#This Row],[Cde_Prdt]], tbl_Produits[Cde_Prdt], tbl_Produits[Prix Menu]), 0)</f>
        <v>0</v>
      </c>
      <c r="H4944" s="7">
        <f>IFERROR(_xlfn.XLOOKUP(tbl_Ventes[[#This Row],[Cde_Prdt]], tbl_Produits[Cde_Prdt], tbl_Produits[Coût Moyen Portion]), 0)</f>
        <v>0</v>
      </c>
      <c r="I4944" s="7">
        <f>tbl_Ventes[[#This Row],[Qté Vendue]] * tbl_Ventes[[#This Row],[CMP_par_portion]]</f>
        <v>0</v>
      </c>
      <c r="J4944" s="7">
        <f>tbl_Ventes[[#This Row],[CA ligne]] - tbl_Ventes[[#This Row],[Coût matière ligne]]</f>
        <v>0</v>
      </c>
      <c r="K4944" s="7" t="str">
        <f>IFERROR(INDEX(tbl_ProduitsRef[Famille], MATCH(tbl_Ventes[[#This Row],[Cde_Prdt]], tbl_Produits[Cde_Prdt], 0)), "")</f>
        <v/>
      </c>
    </row>
    <row r="4945" spans="1:11" x14ac:dyDescent="0.25">
      <c r="A4945" s="5"/>
      <c r="B4945" s="63" t="str">
        <f>IFERROR(TEXT(tbl_Ventes[[#This Row],[Date]],"mm-aaaa"),"")</f>
        <v>01-1900</v>
      </c>
      <c r="D4945" s="10" t="str">
        <f>IFERROR(
   INDEX(tbl_ProduitsRef[Cde_Prdt],MATCH(tbl_Ventes[[#This Row],[Produit]],tbl_ProduitsRef[Produit],0)),
   ""
)</f>
        <v/>
      </c>
      <c r="E4945" s="7">
        <v>0</v>
      </c>
      <c r="F4945" s="7" t="str">
        <f>IFERROR(
   INDEX(tbl_ProduitsRef[Prix Menu],MATCH(tbl_Ventes[[#This Row],[Produit]],tbl_ProduitsRef[Produit],0)),
   ""
)</f>
        <v/>
      </c>
      <c r="G4945" s="7">
        <f>tbl_Ventes[[#This Row],[Qté Vendue]] * IFERROR(_xlfn.XLOOKUP(tbl_Ventes[[#This Row],[Cde_Prdt]], tbl_Produits[Cde_Prdt], tbl_Produits[Prix Menu]), 0)</f>
        <v>0</v>
      </c>
      <c r="H4945" s="7">
        <f>IFERROR(_xlfn.XLOOKUP(tbl_Ventes[[#This Row],[Cde_Prdt]], tbl_Produits[Cde_Prdt], tbl_Produits[Coût Moyen Portion]), 0)</f>
        <v>0</v>
      </c>
      <c r="I4945" s="7">
        <f>tbl_Ventes[[#This Row],[Qté Vendue]] * tbl_Ventes[[#This Row],[CMP_par_portion]]</f>
        <v>0</v>
      </c>
      <c r="J4945" s="7">
        <f>tbl_Ventes[[#This Row],[CA ligne]] - tbl_Ventes[[#This Row],[Coût matière ligne]]</f>
        <v>0</v>
      </c>
      <c r="K4945" s="7" t="str">
        <f>IFERROR(INDEX(tbl_ProduitsRef[Famille], MATCH(tbl_Ventes[[#This Row],[Cde_Prdt]], tbl_Produits[Cde_Prdt], 0)), "")</f>
        <v/>
      </c>
    </row>
    <row r="4946" spans="1:11" x14ac:dyDescent="0.25">
      <c r="A4946" s="5"/>
      <c r="B4946" s="63" t="str">
        <f>IFERROR(TEXT(tbl_Ventes[[#This Row],[Date]],"mm-aaaa"),"")</f>
        <v>01-1900</v>
      </c>
      <c r="D4946" s="10" t="str">
        <f>IFERROR(
   INDEX(tbl_ProduitsRef[Cde_Prdt],MATCH(tbl_Ventes[[#This Row],[Produit]],tbl_ProduitsRef[Produit],0)),
   ""
)</f>
        <v/>
      </c>
      <c r="E4946" s="7">
        <v>0</v>
      </c>
      <c r="F4946" s="7" t="str">
        <f>IFERROR(
   INDEX(tbl_ProduitsRef[Prix Menu],MATCH(tbl_Ventes[[#This Row],[Produit]],tbl_ProduitsRef[Produit],0)),
   ""
)</f>
        <v/>
      </c>
      <c r="G4946" s="7">
        <f>tbl_Ventes[[#This Row],[Qté Vendue]] * IFERROR(_xlfn.XLOOKUP(tbl_Ventes[[#This Row],[Cde_Prdt]], tbl_Produits[Cde_Prdt], tbl_Produits[Prix Menu]), 0)</f>
        <v>0</v>
      </c>
      <c r="H4946" s="7">
        <f>IFERROR(_xlfn.XLOOKUP(tbl_Ventes[[#This Row],[Cde_Prdt]], tbl_Produits[Cde_Prdt], tbl_Produits[Coût Moyen Portion]), 0)</f>
        <v>0</v>
      </c>
      <c r="I4946" s="7">
        <f>tbl_Ventes[[#This Row],[Qté Vendue]] * tbl_Ventes[[#This Row],[CMP_par_portion]]</f>
        <v>0</v>
      </c>
      <c r="J4946" s="7">
        <f>tbl_Ventes[[#This Row],[CA ligne]] - tbl_Ventes[[#This Row],[Coût matière ligne]]</f>
        <v>0</v>
      </c>
      <c r="K4946" s="7" t="str">
        <f>IFERROR(INDEX(tbl_ProduitsRef[Famille], MATCH(tbl_Ventes[[#This Row],[Cde_Prdt]], tbl_Produits[Cde_Prdt], 0)), "")</f>
        <v/>
      </c>
    </row>
    <row r="4947" spans="1:11" x14ac:dyDescent="0.25">
      <c r="A4947" s="5"/>
      <c r="B4947" s="63" t="str">
        <f>IFERROR(TEXT(tbl_Ventes[[#This Row],[Date]],"mm-aaaa"),"")</f>
        <v>01-1900</v>
      </c>
      <c r="D4947" s="10" t="str">
        <f>IFERROR(
   INDEX(tbl_ProduitsRef[Cde_Prdt],MATCH(tbl_Ventes[[#This Row],[Produit]],tbl_ProduitsRef[Produit],0)),
   ""
)</f>
        <v/>
      </c>
      <c r="E4947" s="7">
        <v>0</v>
      </c>
      <c r="F4947" s="7" t="str">
        <f>IFERROR(
   INDEX(tbl_ProduitsRef[Prix Menu],MATCH(tbl_Ventes[[#This Row],[Produit]],tbl_ProduitsRef[Produit],0)),
   ""
)</f>
        <v/>
      </c>
      <c r="G4947" s="7">
        <f>tbl_Ventes[[#This Row],[Qté Vendue]] * IFERROR(_xlfn.XLOOKUP(tbl_Ventes[[#This Row],[Cde_Prdt]], tbl_Produits[Cde_Prdt], tbl_Produits[Prix Menu]), 0)</f>
        <v>0</v>
      </c>
      <c r="H4947" s="7">
        <f>IFERROR(_xlfn.XLOOKUP(tbl_Ventes[[#This Row],[Cde_Prdt]], tbl_Produits[Cde_Prdt], tbl_Produits[Coût Moyen Portion]), 0)</f>
        <v>0</v>
      </c>
      <c r="I4947" s="7">
        <f>tbl_Ventes[[#This Row],[Qté Vendue]] * tbl_Ventes[[#This Row],[CMP_par_portion]]</f>
        <v>0</v>
      </c>
      <c r="J4947" s="7">
        <f>tbl_Ventes[[#This Row],[CA ligne]] - tbl_Ventes[[#This Row],[Coût matière ligne]]</f>
        <v>0</v>
      </c>
      <c r="K4947" s="7" t="str">
        <f>IFERROR(INDEX(tbl_ProduitsRef[Famille], MATCH(tbl_Ventes[[#This Row],[Cde_Prdt]], tbl_Produits[Cde_Prdt], 0)), "")</f>
        <v/>
      </c>
    </row>
    <row r="4948" spans="1:11" x14ac:dyDescent="0.25">
      <c r="A4948" s="5"/>
      <c r="B4948" s="63" t="str">
        <f>IFERROR(TEXT(tbl_Ventes[[#This Row],[Date]],"mm-aaaa"),"")</f>
        <v>01-1900</v>
      </c>
      <c r="D4948" s="10" t="str">
        <f>IFERROR(
   INDEX(tbl_ProduitsRef[Cde_Prdt],MATCH(tbl_Ventes[[#This Row],[Produit]],tbl_ProduitsRef[Produit],0)),
   ""
)</f>
        <v/>
      </c>
      <c r="E4948" s="7">
        <v>0</v>
      </c>
      <c r="F4948" s="7" t="str">
        <f>IFERROR(
   INDEX(tbl_ProduitsRef[Prix Menu],MATCH(tbl_Ventes[[#This Row],[Produit]],tbl_ProduitsRef[Produit],0)),
   ""
)</f>
        <v/>
      </c>
      <c r="G4948" s="7">
        <f>tbl_Ventes[[#This Row],[Qté Vendue]] * IFERROR(_xlfn.XLOOKUP(tbl_Ventes[[#This Row],[Cde_Prdt]], tbl_Produits[Cde_Prdt], tbl_Produits[Prix Menu]), 0)</f>
        <v>0</v>
      </c>
      <c r="H4948" s="7">
        <f>IFERROR(_xlfn.XLOOKUP(tbl_Ventes[[#This Row],[Cde_Prdt]], tbl_Produits[Cde_Prdt], tbl_Produits[Coût Moyen Portion]), 0)</f>
        <v>0</v>
      </c>
      <c r="I4948" s="7">
        <f>tbl_Ventes[[#This Row],[Qté Vendue]] * tbl_Ventes[[#This Row],[CMP_par_portion]]</f>
        <v>0</v>
      </c>
      <c r="J4948" s="7">
        <f>tbl_Ventes[[#This Row],[CA ligne]] - tbl_Ventes[[#This Row],[Coût matière ligne]]</f>
        <v>0</v>
      </c>
      <c r="K4948" s="7" t="str">
        <f>IFERROR(INDEX(tbl_ProduitsRef[Famille], MATCH(tbl_Ventes[[#This Row],[Cde_Prdt]], tbl_Produits[Cde_Prdt], 0)), "")</f>
        <v/>
      </c>
    </row>
    <row r="4949" spans="1:11" x14ac:dyDescent="0.25">
      <c r="A4949" s="5"/>
      <c r="B4949" s="63" t="str">
        <f>IFERROR(TEXT(tbl_Ventes[[#This Row],[Date]],"mm-aaaa"),"")</f>
        <v>01-1900</v>
      </c>
      <c r="D4949" s="10" t="str">
        <f>IFERROR(
   INDEX(tbl_ProduitsRef[Cde_Prdt],MATCH(tbl_Ventes[[#This Row],[Produit]],tbl_ProduitsRef[Produit],0)),
   ""
)</f>
        <v/>
      </c>
      <c r="E4949" s="7">
        <v>0</v>
      </c>
      <c r="F4949" s="7" t="str">
        <f>IFERROR(
   INDEX(tbl_ProduitsRef[Prix Menu],MATCH(tbl_Ventes[[#This Row],[Produit]],tbl_ProduitsRef[Produit],0)),
   ""
)</f>
        <v/>
      </c>
      <c r="G4949" s="7">
        <f>tbl_Ventes[[#This Row],[Qté Vendue]] * IFERROR(_xlfn.XLOOKUP(tbl_Ventes[[#This Row],[Cde_Prdt]], tbl_Produits[Cde_Prdt], tbl_Produits[Prix Menu]), 0)</f>
        <v>0</v>
      </c>
      <c r="H4949" s="7">
        <f>IFERROR(_xlfn.XLOOKUP(tbl_Ventes[[#This Row],[Cde_Prdt]], tbl_Produits[Cde_Prdt], tbl_Produits[Coût Moyen Portion]), 0)</f>
        <v>0</v>
      </c>
      <c r="I4949" s="7">
        <f>tbl_Ventes[[#This Row],[Qté Vendue]] * tbl_Ventes[[#This Row],[CMP_par_portion]]</f>
        <v>0</v>
      </c>
      <c r="J4949" s="7">
        <f>tbl_Ventes[[#This Row],[CA ligne]] - tbl_Ventes[[#This Row],[Coût matière ligne]]</f>
        <v>0</v>
      </c>
      <c r="K4949" s="7" t="str">
        <f>IFERROR(INDEX(tbl_ProduitsRef[Famille], MATCH(tbl_Ventes[[#This Row],[Cde_Prdt]], tbl_Produits[Cde_Prdt], 0)), "")</f>
        <v/>
      </c>
    </row>
    <row r="4950" spans="1:11" x14ac:dyDescent="0.25">
      <c r="A4950" s="5"/>
      <c r="B4950" s="63" t="str">
        <f>IFERROR(TEXT(tbl_Ventes[[#This Row],[Date]],"mm-aaaa"),"")</f>
        <v>01-1900</v>
      </c>
      <c r="D4950" s="10" t="str">
        <f>IFERROR(
   INDEX(tbl_ProduitsRef[Cde_Prdt],MATCH(tbl_Ventes[[#This Row],[Produit]],tbl_ProduitsRef[Produit],0)),
   ""
)</f>
        <v/>
      </c>
      <c r="E4950" s="7">
        <v>0</v>
      </c>
      <c r="F4950" s="7" t="str">
        <f>IFERROR(
   INDEX(tbl_ProduitsRef[Prix Menu],MATCH(tbl_Ventes[[#This Row],[Produit]],tbl_ProduitsRef[Produit],0)),
   ""
)</f>
        <v/>
      </c>
      <c r="G4950" s="7">
        <f>tbl_Ventes[[#This Row],[Qté Vendue]] * IFERROR(_xlfn.XLOOKUP(tbl_Ventes[[#This Row],[Cde_Prdt]], tbl_Produits[Cde_Prdt], tbl_Produits[Prix Menu]), 0)</f>
        <v>0</v>
      </c>
      <c r="H4950" s="7">
        <f>IFERROR(_xlfn.XLOOKUP(tbl_Ventes[[#This Row],[Cde_Prdt]], tbl_Produits[Cde_Prdt], tbl_Produits[Coût Moyen Portion]), 0)</f>
        <v>0</v>
      </c>
      <c r="I4950" s="7">
        <f>tbl_Ventes[[#This Row],[Qté Vendue]] * tbl_Ventes[[#This Row],[CMP_par_portion]]</f>
        <v>0</v>
      </c>
      <c r="J4950" s="7">
        <f>tbl_Ventes[[#This Row],[CA ligne]] - tbl_Ventes[[#This Row],[Coût matière ligne]]</f>
        <v>0</v>
      </c>
      <c r="K4950" s="7" t="str">
        <f>IFERROR(INDEX(tbl_ProduitsRef[Famille], MATCH(tbl_Ventes[[#This Row],[Cde_Prdt]], tbl_Produits[Cde_Prdt], 0)), "")</f>
        <v/>
      </c>
    </row>
    <row r="4951" spans="1:11" x14ac:dyDescent="0.25">
      <c r="A4951" s="5"/>
      <c r="B4951" s="63" t="str">
        <f>IFERROR(TEXT(tbl_Ventes[[#This Row],[Date]],"mm-aaaa"),"")</f>
        <v>01-1900</v>
      </c>
      <c r="D4951" s="10" t="str">
        <f>IFERROR(
   INDEX(tbl_ProduitsRef[Cde_Prdt],MATCH(tbl_Ventes[[#This Row],[Produit]],tbl_ProduitsRef[Produit],0)),
   ""
)</f>
        <v/>
      </c>
      <c r="E4951" s="7">
        <v>0</v>
      </c>
      <c r="F4951" s="7" t="str">
        <f>IFERROR(
   INDEX(tbl_ProduitsRef[Prix Menu],MATCH(tbl_Ventes[[#This Row],[Produit]],tbl_ProduitsRef[Produit],0)),
   ""
)</f>
        <v/>
      </c>
      <c r="G4951" s="7">
        <f>tbl_Ventes[[#This Row],[Qté Vendue]] * IFERROR(_xlfn.XLOOKUP(tbl_Ventes[[#This Row],[Cde_Prdt]], tbl_Produits[Cde_Prdt], tbl_Produits[Prix Menu]), 0)</f>
        <v>0</v>
      </c>
      <c r="H4951" s="7">
        <f>IFERROR(_xlfn.XLOOKUP(tbl_Ventes[[#This Row],[Cde_Prdt]], tbl_Produits[Cde_Prdt], tbl_Produits[Coût Moyen Portion]), 0)</f>
        <v>0</v>
      </c>
      <c r="I4951" s="7">
        <f>tbl_Ventes[[#This Row],[Qté Vendue]] * tbl_Ventes[[#This Row],[CMP_par_portion]]</f>
        <v>0</v>
      </c>
      <c r="J4951" s="7">
        <f>tbl_Ventes[[#This Row],[CA ligne]] - tbl_Ventes[[#This Row],[Coût matière ligne]]</f>
        <v>0</v>
      </c>
      <c r="K4951" s="7" t="str">
        <f>IFERROR(INDEX(tbl_ProduitsRef[Famille], MATCH(tbl_Ventes[[#This Row],[Cde_Prdt]], tbl_Produits[Cde_Prdt], 0)), "")</f>
        <v/>
      </c>
    </row>
    <row r="4952" spans="1:11" x14ac:dyDescent="0.25">
      <c r="A4952" s="5"/>
      <c r="B4952" s="63" t="str">
        <f>IFERROR(TEXT(tbl_Ventes[[#This Row],[Date]],"mm-aaaa"),"")</f>
        <v>01-1900</v>
      </c>
      <c r="D4952" s="10" t="str">
        <f>IFERROR(
   INDEX(tbl_ProduitsRef[Cde_Prdt],MATCH(tbl_Ventes[[#This Row],[Produit]],tbl_ProduitsRef[Produit],0)),
   ""
)</f>
        <v/>
      </c>
      <c r="E4952" s="7">
        <v>0</v>
      </c>
      <c r="F4952" s="7" t="str">
        <f>IFERROR(
   INDEX(tbl_ProduitsRef[Prix Menu],MATCH(tbl_Ventes[[#This Row],[Produit]],tbl_ProduitsRef[Produit],0)),
   ""
)</f>
        <v/>
      </c>
      <c r="G4952" s="7">
        <f>tbl_Ventes[[#This Row],[Qté Vendue]] * IFERROR(_xlfn.XLOOKUP(tbl_Ventes[[#This Row],[Cde_Prdt]], tbl_Produits[Cde_Prdt], tbl_Produits[Prix Menu]), 0)</f>
        <v>0</v>
      </c>
      <c r="H4952" s="7">
        <f>IFERROR(_xlfn.XLOOKUP(tbl_Ventes[[#This Row],[Cde_Prdt]], tbl_Produits[Cde_Prdt], tbl_Produits[Coût Moyen Portion]), 0)</f>
        <v>0</v>
      </c>
      <c r="I4952" s="7">
        <f>tbl_Ventes[[#This Row],[Qté Vendue]] * tbl_Ventes[[#This Row],[CMP_par_portion]]</f>
        <v>0</v>
      </c>
      <c r="J4952" s="7">
        <f>tbl_Ventes[[#This Row],[CA ligne]] - tbl_Ventes[[#This Row],[Coût matière ligne]]</f>
        <v>0</v>
      </c>
      <c r="K4952" s="7" t="str">
        <f>IFERROR(INDEX(tbl_ProduitsRef[Famille], MATCH(tbl_Ventes[[#This Row],[Cde_Prdt]], tbl_Produits[Cde_Prdt], 0)), "")</f>
        <v/>
      </c>
    </row>
    <row r="4953" spans="1:11" x14ac:dyDescent="0.25">
      <c r="A4953" s="5"/>
      <c r="B4953" s="63" t="str">
        <f>IFERROR(TEXT(tbl_Ventes[[#This Row],[Date]],"mm-aaaa"),"")</f>
        <v>01-1900</v>
      </c>
      <c r="D4953" s="10" t="str">
        <f>IFERROR(
   INDEX(tbl_ProduitsRef[Cde_Prdt],MATCH(tbl_Ventes[[#This Row],[Produit]],tbl_ProduitsRef[Produit],0)),
   ""
)</f>
        <v/>
      </c>
      <c r="E4953" s="7">
        <v>0</v>
      </c>
      <c r="F4953" s="7" t="str">
        <f>IFERROR(
   INDEX(tbl_ProduitsRef[Prix Menu],MATCH(tbl_Ventes[[#This Row],[Produit]],tbl_ProduitsRef[Produit],0)),
   ""
)</f>
        <v/>
      </c>
      <c r="G4953" s="7">
        <f>tbl_Ventes[[#This Row],[Qté Vendue]] * IFERROR(_xlfn.XLOOKUP(tbl_Ventes[[#This Row],[Cde_Prdt]], tbl_Produits[Cde_Prdt], tbl_Produits[Prix Menu]), 0)</f>
        <v>0</v>
      </c>
      <c r="H4953" s="7">
        <f>IFERROR(_xlfn.XLOOKUP(tbl_Ventes[[#This Row],[Cde_Prdt]], tbl_Produits[Cde_Prdt], tbl_Produits[Coût Moyen Portion]), 0)</f>
        <v>0</v>
      </c>
      <c r="I4953" s="7">
        <f>tbl_Ventes[[#This Row],[Qté Vendue]] * tbl_Ventes[[#This Row],[CMP_par_portion]]</f>
        <v>0</v>
      </c>
      <c r="J4953" s="7">
        <f>tbl_Ventes[[#This Row],[CA ligne]] - tbl_Ventes[[#This Row],[Coût matière ligne]]</f>
        <v>0</v>
      </c>
      <c r="K4953" s="7" t="str">
        <f>IFERROR(INDEX(tbl_ProduitsRef[Famille], MATCH(tbl_Ventes[[#This Row],[Cde_Prdt]], tbl_Produits[Cde_Prdt], 0)), "")</f>
        <v/>
      </c>
    </row>
    <row r="4954" spans="1:11" x14ac:dyDescent="0.25">
      <c r="A4954" s="5"/>
      <c r="B4954" s="63" t="str">
        <f>IFERROR(TEXT(tbl_Ventes[[#This Row],[Date]],"mm-aaaa"),"")</f>
        <v>01-1900</v>
      </c>
      <c r="D4954" s="10" t="str">
        <f>IFERROR(
   INDEX(tbl_ProduitsRef[Cde_Prdt],MATCH(tbl_Ventes[[#This Row],[Produit]],tbl_ProduitsRef[Produit],0)),
   ""
)</f>
        <v/>
      </c>
      <c r="E4954" s="7">
        <v>0</v>
      </c>
      <c r="F4954" s="7" t="str">
        <f>IFERROR(
   INDEX(tbl_ProduitsRef[Prix Menu],MATCH(tbl_Ventes[[#This Row],[Produit]],tbl_ProduitsRef[Produit],0)),
   ""
)</f>
        <v/>
      </c>
      <c r="G4954" s="7">
        <f>tbl_Ventes[[#This Row],[Qté Vendue]] * IFERROR(_xlfn.XLOOKUP(tbl_Ventes[[#This Row],[Cde_Prdt]], tbl_Produits[Cde_Prdt], tbl_Produits[Prix Menu]), 0)</f>
        <v>0</v>
      </c>
      <c r="H4954" s="7">
        <f>IFERROR(_xlfn.XLOOKUP(tbl_Ventes[[#This Row],[Cde_Prdt]], tbl_Produits[Cde_Prdt], tbl_Produits[Coût Moyen Portion]), 0)</f>
        <v>0</v>
      </c>
      <c r="I4954" s="7">
        <f>tbl_Ventes[[#This Row],[Qté Vendue]] * tbl_Ventes[[#This Row],[CMP_par_portion]]</f>
        <v>0</v>
      </c>
      <c r="J4954" s="7">
        <f>tbl_Ventes[[#This Row],[CA ligne]] - tbl_Ventes[[#This Row],[Coût matière ligne]]</f>
        <v>0</v>
      </c>
      <c r="K4954" s="7" t="str">
        <f>IFERROR(INDEX(tbl_ProduitsRef[Famille], MATCH(tbl_Ventes[[#This Row],[Cde_Prdt]], tbl_Produits[Cde_Prdt], 0)), "")</f>
        <v/>
      </c>
    </row>
    <row r="4955" spans="1:11" x14ac:dyDescent="0.25">
      <c r="A4955" s="5"/>
      <c r="B4955" s="63" t="str">
        <f>IFERROR(TEXT(tbl_Ventes[[#This Row],[Date]],"mm-aaaa"),"")</f>
        <v>01-1900</v>
      </c>
      <c r="D4955" s="10" t="str">
        <f>IFERROR(
   INDEX(tbl_ProduitsRef[Cde_Prdt],MATCH(tbl_Ventes[[#This Row],[Produit]],tbl_ProduitsRef[Produit],0)),
   ""
)</f>
        <v/>
      </c>
      <c r="E4955" s="7">
        <v>0</v>
      </c>
      <c r="F4955" s="7" t="str">
        <f>IFERROR(
   INDEX(tbl_ProduitsRef[Prix Menu],MATCH(tbl_Ventes[[#This Row],[Produit]],tbl_ProduitsRef[Produit],0)),
   ""
)</f>
        <v/>
      </c>
      <c r="G4955" s="7">
        <f>tbl_Ventes[[#This Row],[Qté Vendue]] * IFERROR(_xlfn.XLOOKUP(tbl_Ventes[[#This Row],[Cde_Prdt]], tbl_Produits[Cde_Prdt], tbl_Produits[Prix Menu]), 0)</f>
        <v>0</v>
      </c>
      <c r="H4955" s="7">
        <f>IFERROR(_xlfn.XLOOKUP(tbl_Ventes[[#This Row],[Cde_Prdt]], tbl_Produits[Cde_Prdt], tbl_Produits[Coût Moyen Portion]), 0)</f>
        <v>0</v>
      </c>
      <c r="I4955" s="7">
        <f>tbl_Ventes[[#This Row],[Qté Vendue]] * tbl_Ventes[[#This Row],[CMP_par_portion]]</f>
        <v>0</v>
      </c>
      <c r="J4955" s="7">
        <f>tbl_Ventes[[#This Row],[CA ligne]] - tbl_Ventes[[#This Row],[Coût matière ligne]]</f>
        <v>0</v>
      </c>
      <c r="K4955" s="7" t="str">
        <f>IFERROR(INDEX(tbl_ProduitsRef[Famille], MATCH(tbl_Ventes[[#This Row],[Cde_Prdt]], tbl_Produits[Cde_Prdt], 0)), "")</f>
        <v/>
      </c>
    </row>
    <row r="4956" spans="1:11" x14ac:dyDescent="0.25">
      <c r="A4956" s="5"/>
      <c r="B4956" s="63" t="str">
        <f>IFERROR(TEXT(tbl_Ventes[[#This Row],[Date]],"mm-aaaa"),"")</f>
        <v>01-1900</v>
      </c>
      <c r="D4956" s="10" t="str">
        <f>IFERROR(
   INDEX(tbl_ProduitsRef[Cde_Prdt],MATCH(tbl_Ventes[[#This Row],[Produit]],tbl_ProduitsRef[Produit],0)),
   ""
)</f>
        <v/>
      </c>
      <c r="E4956" s="7">
        <v>0</v>
      </c>
      <c r="F4956" s="7" t="str">
        <f>IFERROR(
   INDEX(tbl_ProduitsRef[Prix Menu],MATCH(tbl_Ventes[[#This Row],[Produit]],tbl_ProduitsRef[Produit],0)),
   ""
)</f>
        <v/>
      </c>
      <c r="G4956" s="7">
        <f>tbl_Ventes[[#This Row],[Qté Vendue]] * IFERROR(_xlfn.XLOOKUP(tbl_Ventes[[#This Row],[Cde_Prdt]], tbl_Produits[Cde_Prdt], tbl_Produits[Prix Menu]), 0)</f>
        <v>0</v>
      </c>
      <c r="H4956" s="7">
        <f>IFERROR(_xlfn.XLOOKUP(tbl_Ventes[[#This Row],[Cde_Prdt]], tbl_Produits[Cde_Prdt], tbl_Produits[Coût Moyen Portion]), 0)</f>
        <v>0</v>
      </c>
      <c r="I4956" s="7">
        <f>tbl_Ventes[[#This Row],[Qté Vendue]] * tbl_Ventes[[#This Row],[CMP_par_portion]]</f>
        <v>0</v>
      </c>
      <c r="J4956" s="7">
        <f>tbl_Ventes[[#This Row],[CA ligne]] - tbl_Ventes[[#This Row],[Coût matière ligne]]</f>
        <v>0</v>
      </c>
      <c r="K4956" s="7" t="str">
        <f>IFERROR(INDEX(tbl_ProduitsRef[Famille], MATCH(tbl_Ventes[[#This Row],[Cde_Prdt]], tbl_Produits[Cde_Prdt], 0)), "")</f>
        <v/>
      </c>
    </row>
    <row r="4957" spans="1:11" x14ac:dyDescent="0.25">
      <c r="A4957" s="5"/>
      <c r="B4957" s="63" t="str">
        <f>IFERROR(TEXT(tbl_Ventes[[#This Row],[Date]],"mm-aaaa"),"")</f>
        <v>01-1900</v>
      </c>
      <c r="D4957" s="10" t="str">
        <f>IFERROR(
   INDEX(tbl_ProduitsRef[Cde_Prdt],MATCH(tbl_Ventes[[#This Row],[Produit]],tbl_ProduitsRef[Produit],0)),
   ""
)</f>
        <v/>
      </c>
      <c r="E4957" s="7">
        <v>0</v>
      </c>
      <c r="F4957" s="7" t="str">
        <f>IFERROR(
   INDEX(tbl_ProduitsRef[Prix Menu],MATCH(tbl_Ventes[[#This Row],[Produit]],tbl_ProduitsRef[Produit],0)),
   ""
)</f>
        <v/>
      </c>
      <c r="G4957" s="7">
        <f>tbl_Ventes[[#This Row],[Qté Vendue]] * IFERROR(_xlfn.XLOOKUP(tbl_Ventes[[#This Row],[Cde_Prdt]], tbl_Produits[Cde_Prdt], tbl_Produits[Prix Menu]), 0)</f>
        <v>0</v>
      </c>
      <c r="H4957" s="7">
        <f>IFERROR(_xlfn.XLOOKUP(tbl_Ventes[[#This Row],[Cde_Prdt]], tbl_Produits[Cde_Prdt], tbl_Produits[Coût Moyen Portion]), 0)</f>
        <v>0</v>
      </c>
      <c r="I4957" s="7">
        <f>tbl_Ventes[[#This Row],[Qté Vendue]] * tbl_Ventes[[#This Row],[CMP_par_portion]]</f>
        <v>0</v>
      </c>
      <c r="J4957" s="7">
        <f>tbl_Ventes[[#This Row],[CA ligne]] - tbl_Ventes[[#This Row],[Coût matière ligne]]</f>
        <v>0</v>
      </c>
      <c r="K4957" s="7" t="str">
        <f>IFERROR(INDEX(tbl_ProduitsRef[Famille], MATCH(tbl_Ventes[[#This Row],[Cde_Prdt]], tbl_Produits[Cde_Prdt], 0)), "")</f>
        <v/>
      </c>
    </row>
    <row r="4958" spans="1:11" x14ac:dyDescent="0.25">
      <c r="A4958" s="5"/>
      <c r="B4958" s="63" t="str">
        <f>IFERROR(TEXT(tbl_Ventes[[#This Row],[Date]],"mm-aaaa"),"")</f>
        <v>01-1900</v>
      </c>
      <c r="D4958" s="10" t="str">
        <f>IFERROR(
   INDEX(tbl_ProduitsRef[Cde_Prdt],MATCH(tbl_Ventes[[#This Row],[Produit]],tbl_ProduitsRef[Produit],0)),
   ""
)</f>
        <v/>
      </c>
      <c r="E4958" s="7">
        <v>0</v>
      </c>
      <c r="F4958" s="7" t="str">
        <f>IFERROR(
   INDEX(tbl_ProduitsRef[Prix Menu],MATCH(tbl_Ventes[[#This Row],[Produit]],tbl_ProduitsRef[Produit],0)),
   ""
)</f>
        <v/>
      </c>
      <c r="G4958" s="7">
        <f>tbl_Ventes[[#This Row],[Qté Vendue]] * IFERROR(_xlfn.XLOOKUP(tbl_Ventes[[#This Row],[Cde_Prdt]], tbl_Produits[Cde_Prdt], tbl_Produits[Prix Menu]), 0)</f>
        <v>0</v>
      </c>
      <c r="H4958" s="7">
        <f>IFERROR(_xlfn.XLOOKUP(tbl_Ventes[[#This Row],[Cde_Prdt]], tbl_Produits[Cde_Prdt], tbl_Produits[Coût Moyen Portion]), 0)</f>
        <v>0</v>
      </c>
      <c r="I4958" s="7">
        <f>tbl_Ventes[[#This Row],[Qté Vendue]] * tbl_Ventes[[#This Row],[CMP_par_portion]]</f>
        <v>0</v>
      </c>
      <c r="J4958" s="7">
        <f>tbl_Ventes[[#This Row],[CA ligne]] - tbl_Ventes[[#This Row],[Coût matière ligne]]</f>
        <v>0</v>
      </c>
      <c r="K4958" s="7" t="str">
        <f>IFERROR(INDEX(tbl_ProduitsRef[Famille], MATCH(tbl_Ventes[[#This Row],[Cde_Prdt]], tbl_Produits[Cde_Prdt], 0)), "")</f>
        <v/>
      </c>
    </row>
    <row r="4959" spans="1:11" x14ac:dyDescent="0.25">
      <c r="A4959" s="5"/>
      <c r="B4959" s="63" t="str">
        <f>IFERROR(TEXT(tbl_Ventes[[#This Row],[Date]],"mm-aaaa"),"")</f>
        <v>01-1900</v>
      </c>
      <c r="D4959" s="10" t="str">
        <f>IFERROR(
   INDEX(tbl_ProduitsRef[Cde_Prdt],MATCH(tbl_Ventes[[#This Row],[Produit]],tbl_ProduitsRef[Produit],0)),
   ""
)</f>
        <v/>
      </c>
      <c r="E4959" s="7">
        <v>0</v>
      </c>
      <c r="F4959" s="7" t="str">
        <f>IFERROR(
   INDEX(tbl_ProduitsRef[Prix Menu],MATCH(tbl_Ventes[[#This Row],[Produit]],tbl_ProduitsRef[Produit],0)),
   ""
)</f>
        <v/>
      </c>
      <c r="G4959" s="7">
        <f>tbl_Ventes[[#This Row],[Qté Vendue]] * IFERROR(_xlfn.XLOOKUP(tbl_Ventes[[#This Row],[Cde_Prdt]], tbl_Produits[Cde_Prdt], tbl_Produits[Prix Menu]), 0)</f>
        <v>0</v>
      </c>
      <c r="H4959" s="7">
        <f>IFERROR(_xlfn.XLOOKUP(tbl_Ventes[[#This Row],[Cde_Prdt]], tbl_Produits[Cde_Prdt], tbl_Produits[Coût Moyen Portion]), 0)</f>
        <v>0</v>
      </c>
      <c r="I4959" s="7">
        <f>tbl_Ventes[[#This Row],[Qté Vendue]] * tbl_Ventes[[#This Row],[CMP_par_portion]]</f>
        <v>0</v>
      </c>
      <c r="J4959" s="7">
        <f>tbl_Ventes[[#This Row],[CA ligne]] - tbl_Ventes[[#This Row],[Coût matière ligne]]</f>
        <v>0</v>
      </c>
      <c r="K4959" s="7" t="str">
        <f>IFERROR(INDEX(tbl_ProduitsRef[Famille], MATCH(tbl_Ventes[[#This Row],[Cde_Prdt]], tbl_Produits[Cde_Prdt], 0)), "")</f>
        <v/>
      </c>
    </row>
    <row r="4960" spans="1:11" x14ac:dyDescent="0.25">
      <c r="A4960" s="5"/>
      <c r="B4960" s="63" t="str">
        <f>IFERROR(TEXT(tbl_Ventes[[#This Row],[Date]],"mm-aaaa"),"")</f>
        <v>01-1900</v>
      </c>
      <c r="D4960" s="10" t="str">
        <f>IFERROR(
   INDEX(tbl_ProduitsRef[Cde_Prdt],MATCH(tbl_Ventes[[#This Row],[Produit]],tbl_ProduitsRef[Produit],0)),
   ""
)</f>
        <v/>
      </c>
      <c r="E4960" s="7">
        <v>0</v>
      </c>
      <c r="F4960" s="7" t="str">
        <f>IFERROR(
   INDEX(tbl_ProduitsRef[Prix Menu],MATCH(tbl_Ventes[[#This Row],[Produit]],tbl_ProduitsRef[Produit],0)),
   ""
)</f>
        <v/>
      </c>
      <c r="G4960" s="7">
        <f>tbl_Ventes[[#This Row],[Qté Vendue]] * IFERROR(_xlfn.XLOOKUP(tbl_Ventes[[#This Row],[Cde_Prdt]], tbl_Produits[Cde_Prdt], tbl_Produits[Prix Menu]), 0)</f>
        <v>0</v>
      </c>
      <c r="H4960" s="7">
        <f>IFERROR(_xlfn.XLOOKUP(tbl_Ventes[[#This Row],[Cde_Prdt]], tbl_Produits[Cde_Prdt], tbl_Produits[Coût Moyen Portion]), 0)</f>
        <v>0</v>
      </c>
      <c r="I4960" s="7">
        <f>tbl_Ventes[[#This Row],[Qté Vendue]] * tbl_Ventes[[#This Row],[CMP_par_portion]]</f>
        <v>0</v>
      </c>
      <c r="J4960" s="7">
        <f>tbl_Ventes[[#This Row],[CA ligne]] - tbl_Ventes[[#This Row],[Coût matière ligne]]</f>
        <v>0</v>
      </c>
      <c r="K4960" s="7" t="str">
        <f>IFERROR(INDEX(tbl_ProduitsRef[Famille], MATCH(tbl_Ventes[[#This Row],[Cde_Prdt]], tbl_Produits[Cde_Prdt], 0)), "")</f>
        <v/>
      </c>
    </row>
    <row r="4961" spans="1:11" x14ac:dyDescent="0.25">
      <c r="A4961" s="5"/>
      <c r="B4961" s="63" t="str">
        <f>IFERROR(TEXT(tbl_Ventes[[#This Row],[Date]],"mm-aaaa"),"")</f>
        <v>01-1900</v>
      </c>
      <c r="D4961" s="10" t="str">
        <f>IFERROR(
   INDEX(tbl_ProduitsRef[Cde_Prdt],MATCH(tbl_Ventes[[#This Row],[Produit]],tbl_ProduitsRef[Produit],0)),
   ""
)</f>
        <v/>
      </c>
      <c r="E4961" s="7">
        <v>0</v>
      </c>
      <c r="F4961" s="7" t="str">
        <f>IFERROR(
   INDEX(tbl_ProduitsRef[Prix Menu],MATCH(tbl_Ventes[[#This Row],[Produit]],tbl_ProduitsRef[Produit],0)),
   ""
)</f>
        <v/>
      </c>
      <c r="G4961" s="7">
        <f>tbl_Ventes[[#This Row],[Qté Vendue]] * IFERROR(_xlfn.XLOOKUP(tbl_Ventes[[#This Row],[Cde_Prdt]], tbl_Produits[Cde_Prdt], tbl_Produits[Prix Menu]), 0)</f>
        <v>0</v>
      </c>
      <c r="H4961" s="7">
        <f>IFERROR(_xlfn.XLOOKUP(tbl_Ventes[[#This Row],[Cde_Prdt]], tbl_Produits[Cde_Prdt], tbl_Produits[Coût Moyen Portion]), 0)</f>
        <v>0</v>
      </c>
      <c r="I4961" s="7">
        <f>tbl_Ventes[[#This Row],[Qté Vendue]] * tbl_Ventes[[#This Row],[CMP_par_portion]]</f>
        <v>0</v>
      </c>
      <c r="J4961" s="7">
        <f>tbl_Ventes[[#This Row],[CA ligne]] - tbl_Ventes[[#This Row],[Coût matière ligne]]</f>
        <v>0</v>
      </c>
      <c r="K4961" s="7" t="str">
        <f>IFERROR(INDEX(tbl_ProduitsRef[Famille], MATCH(tbl_Ventes[[#This Row],[Cde_Prdt]], tbl_Produits[Cde_Prdt], 0)), "")</f>
        <v/>
      </c>
    </row>
    <row r="4962" spans="1:11" x14ac:dyDescent="0.25">
      <c r="A4962" s="5"/>
      <c r="B4962" s="63" t="str">
        <f>IFERROR(TEXT(tbl_Ventes[[#This Row],[Date]],"mm-aaaa"),"")</f>
        <v>01-1900</v>
      </c>
      <c r="D4962" s="10" t="str">
        <f>IFERROR(
   INDEX(tbl_ProduitsRef[Cde_Prdt],MATCH(tbl_Ventes[[#This Row],[Produit]],tbl_ProduitsRef[Produit],0)),
   ""
)</f>
        <v/>
      </c>
      <c r="E4962" s="7">
        <v>0</v>
      </c>
      <c r="F4962" s="7" t="str">
        <f>IFERROR(
   INDEX(tbl_ProduitsRef[Prix Menu],MATCH(tbl_Ventes[[#This Row],[Produit]],tbl_ProduitsRef[Produit],0)),
   ""
)</f>
        <v/>
      </c>
      <c r="G4962" s="7">
        <f>tbl_Ventes[[#This Row],[Qté Vendue]] * IFERROR(_xlfn.XLOOKUP(tbl_Ventes[[#This Row],[Cde_Prdt]], tbl_Produits[Cde_Prdt], tbl_Produits[Prix Menu]), 0)</f>
        <v>0</v>
      </c>
      <c r="H4962" s="7">
        <f>IFERROR(_xlfn.XLOOKUP(tbl_Ventes[[#This Row],[Cde_Prdt]], tbl_Produits[Cde_Prdt], tbl_Produits[Coût Moyen Portion]), 0)</f>
        <v>0</v>
      </c>
      <c r="I4962" s="7">
        <f>tbl_Ventes[[#This Row],[Qté Vendue]] * tbl_Ventes[[#This Row],[CMP_par_portion]]</f>
        <v>0</v>
      </c>
      <c r="J4962" s="7">
        <f>tbl_Ventes[[#This Row],[CA ligne]] - tbl_Ventes[[#This Row],[Coût matière ligne]]</f>
        <v>0</v>
      </c>
      <c r="K4962" s="7" t="str">
        <f>IFERROR(INDEX(tbl_ProduitsRef[Famille], MATCH(tbl_Ventes[[#This Row],[Cde_Prdt]], tbl_Produits[Cde_Prdt], 0)), "")</f>
        <v/>
      </c>
    </row>
    <row r="4963" spans="1:11" x14ac:dyDescent="0.25">
      <c r="A4963" s="5"/>
      <c r="B4963" s="63" t="str">
        <f>IFERROR(TEXT(tbl_Ventes[[#This Row],[Date]],"mm-aaaa"),"")</f>
        <v>01-1900</v>
      </c>
      <c r="D4963" s="10" t="str">
        <f>IFERROR(
   INDEX(tbl_ProduitsRef[Cde_Prdt],MATCH(tbl_Ventes[[#This Row],[Produit]],tbl_ProduitsRef[Produit],0)),
   ""
)</f>
        <v/>
      </c>
      <c r="E4963" s="7">
        <v>0</v>
      </c>
      <c r="F4963" s="7" t="str">
        <f>IFERROR(
   INDEX(tbl_ProduitsRef[Prix Menu],MATCH(tbl_Ventes[[#This Row],[Produit]],tbl_ProduitsRef[Produit],0)),
   ""
)</f>
        <v/>
      </c>
      <c r="G4963" s="7">
        <f>tbl_Ventes[[#This Row],[Qté Vendue]] * IFERROR(_xlfn.XLOOKUP(tbl_Ventes[[#This Row],[Cde_Prdt]], tbl_Produits[Cde_Prdt], tbl_Produits[Prix Menu]), 0)</f>
        <v>0</v>
      </c>
      <c r="H4963" s="7">
        <f>IFERROR(_xlfn.XLOOKUP(tbl_Ventes[[#This Row],[Cde_Prdt]], tbl_Produits[Cde_Prdt], tbl_Produits[Coût Moyen Portion]), 0)</f>
        <v>0</v>
      </c>
      <c r="I4963" s="7">
        <f>tbl_Ventes[[#This Row],[Qté Vendue]] * tbl_Ventes[[#This Row],[CMP_par_portion]]</f>
        <v>0</v>
      </c>
      <c r="J4963" s="7">
        <f>tbl_Ventes[[#This Row],[CA ligne]] - tbl_Ventes[[#This Row],[Coût matière ligne]]</f>
        <v>0</v>
      </c>
      <c r="K4963" s="7" t="str">
        <f>IFERROR(INDEX(tbl_ProduitsRef[Famille], MATCH(tbl_Ventes[[#This Row],[Cde_Prdt]], tbl_Produits[Cde_Prdt], 0)), "")</f>
        <v/>
      </c>
    </row>
    <row r="4964" spans="1:11" x14ac:dyDescent="0.25">
      <c r="A4964" s="5"/>
      <c r="B4964" s="63" t="str">
        <f>IFERROR(TEXT(tbl_Ventes[[#This Row],[Date]],"mm-aaaa"),"")</f>
        <v>01-1900</v>
      </c>
      <c r="D4964" s="10" t="str">
        <f>IFERROR(
   INDEX(tbl_ProduitsRef[Cde_Prdt],MATCH(tbl_Ventes[[#This Row],[Produit]],tbl_ProduitsRef[Produit],0)),
   ""
)</f>
        <v/>
      </c>
      <c r="E4964" s="7">
        <v>0</v>
      </c>
      <c r="F4964" s="7" t="str">
        <f>IFERROR(
   INDEX(tbl_ProduitsRef[Prix Menu],MATCH(tbl_Ventes[[#This Row],[Produit]],tbl_ProduitsRef[Produit],0)),
   ""
)</f>
        <v/>
      </c>
      <c r="G4964" s="7">
        <f>tbl_Ventes[[#This Row],[Qté Vendue]] * IFERROR(_xlfn.XLOOKUP(tbl_Ventes[[#This Row],[Cde_Prdt]], tbl_Produits[Cde_Prdt], tbl_Produits[Prix Menu]), 0)</f>
        <v>0</v>
      </c>
      <c r="H4964" s="7">
        <f>IFERROR(_xlfn.XLOOKUP(tbl_Ventes[[#This Row],[Cde_Prdt]], tbl_Produits[Cde_Prdt], tbl_Produits[Coût Moyen Portion]), 0)</f>
        <v>0</v>
      </c>
      <c r="I4964" s="7">
        <f>tbl_Ventes[[#This Row],[Qté Vendue]] * tbl_Ventes[[#This Row],[CMP_par_portion]]</f>
        <v>0</v>
      </c>
      <c r="J4964" s="7">
        <f>tbl_Ventes[[#This Row],[CA ligne]] - tbl_Ventes[[#This Row],[Coût matière ligne]]</f>
        <v>0</v>
      </c>
      <c r="K4964" s="7" t="str">
        <f>IFERROR(INDEX(tbl_ProduitsRef[Famille], MATCH(tbl_Ventes[[#This Row],[Cde_Prdt]], tbl_Produits[Cde_Prdt], 0)), "")</f>
        <v/>
      </c>
    </row>
    <row r="4965" spans="1:11" x14ac:dyDescent="0.25">
      <c r="A4965" s="5"/>
      <c r="B4965" s="63" t="str">
        <f>IFERROR(TEXT(tbl_Ventes[[#This Row],[Date]],"mm-aaaa"),"")</f>
        <v>01-1900</v>
      </c>
      <c r="D4965" s="10" t="str">
        <f>IFERROR(
   INDEX(tbl_ProduitsRef[Cde_Prdt],MATCH(tbl_Ventes[[#This Row],[Produit]],tbl_ProduitsRef[Produit],0)),
   ""
)</f>
        <v/>
      </c>
      <c r="E4965" s="7">
        <v>0</v>
      </c>
      <c r="F4965" s="7" t="str">
        <f>IFERROR(
   INDEX(tbl_ProduitsRef[Prix Menu],MATCH(tbl_Ventes[[#This Row],[Produit]],tbl_ProduitsRef[Produit],0)),
   ""
)</f>
        <v/>
      </c>
      <c r="G4965" s="7">
        <f>tbl_Ventes[[#This Row],[Qté Vendue]] * IFERROR(_xlfn.XLOOKUP(tbl_Ventes[[#This Row],[Cde_Prdt]], tbl_Produits[Cde_Prdt], tbl_Produits[Prix Menu]), 0)</f>
        <v>0</v>
      </c>
      <c r="H4965" s="7">
        <f>IFERROR(_xlfn.XLOOKUP(tbl_Ventes[[#This Row],[Cde_Prdt]], tbl_Produits[Cde_Prdt], tbl_Produits[Coût Moyen Portion]), 0)</f>
        <v>0</v>
      </c>
      <c r="I4965" s="7">
        <f>tbl_Ventes[[#This Row],[Qté Vendue]] * tbl_Ventes[[#This Row],[CMP_par_portion]]</f>
        <v>0</v>
      </c>
      <c r="J4965" s="7">
        <f>tbl_Ventes[[#This Row],[CA ligne]] - tbl_Ventes[[#This Row],[Coût matière ligne]]</f>
        <v>0</v>
      </c>
      <c r="K4965" s="7" t="str">
        <f>IFERROR(INDEX(tbl_ProduitsRef[Famille], MATCH(tbl_Ventes[[#This Row],[Cde_Prdt]], tbl_Produits[Cde_Prdt], 0)), "")</f>
        <v/>
      </c>
    </row>
    <row r="4966" spans="1:11" x14ac:dyDescent="0.25">
      <c r="A4966" s="5"/>
      <c r="B4966" s="63" t="str">
        <f>IFERROR(TEXT(tbl_Ventes[[#This Row],[Date]],"mm-aaaa"),"")</f>
        <v>01-1900</v>
      </c>
      <c r="D4966" s="10" t="str">
        <f>IFERROR(
   INDEX(tbl_ProduitsRef[Cde_Prdt],MATCH(tbl_Ventes[[#This Row],[Produit]],tbl_ProduitsRef[Produit],0)),
   ""
)</f>
        <v/>
      </c>
      <c r="E4966" s="7">
        <v>0</v>
      </c>
      <c r="F4966" s="7" t="str">
        <f>IFERROR(
   INDEX(tbl_ProduitsRef[Prix Menu],MATCH(tbl_Ventes[[#This Row],[Produit]],tbl_ProduitsRef[Produit],0)),
   ""
)</f>
        <v/>
      </c>
      <c r="G4966" s="7">
        <f>tbl_Ventes[[#This Row],[Qté Vendue]] * IFERROR(_xlfn.XLOOKUP(tbl_Ventes[[#This Row],[Cde_Prdt]], tbl_Produits[Cde_Prdt], tbl_Produits[Prix Menu]), 0)</f>
        <v>0</v>
      </c>
      <c r="H4966" s="7">
        <f>IFERROR(_xlfn.XLOOKUP(tbl_Ventes[[#This Row],[Cde_Prdt]], tbl_Produits[Cde_Prdt], tbl_Produits[Coût Moyen Portion]), 0)</f>
        <v>0</v>
      </c>
      <c r="I4966" s="7">
        <f>tbl_Ventes[[#This Row],[Qté Vendue]] * tbl_Ventes[[#This Row],[CMP_par_portion]]</f>
        <v>0</v>
      </c>
      <c r="J4966" s="7">
        <f>tbl_Ventes[[#This Row],[CA ligne]] - tbl_Ventes[[#This Row],[Coût matière ligne]]</f>
        <v>0</v>
      </c>
      <c r="K4966" s="7" t="str">
        <f>IFERROR(INDEX(tbl_ProduitsRef[Famille], MATCH(tbl_Ventes[[#This Row],[Cde_Prdt]], tbl_Produits[Cde_Prdt], 0)), "")</f>
        <v/>
      </c>
    </row>
    <row r="4967" spans="1:11" x14ac:dyDescent="0.25">
      <c r="A4967" s="5"/>
      <c r="B4967" s="63" t="str">
        <f>IFERROR(TEXT(tbl_Ventes[[#This Row],[Date]],"mm-aaaa"),"")</f>
        <v>01-1900</v>
      </c>
      <c r="D4967" s="10" t="str">
        <f>IFERROR(
   INDEX(tbl_ProduitsRef[Cde_Prdt],MATCH(tbl_Ventes[[#This Row],[Produit]],tbl_ProduitsRef[Produit],0)),
   ""
)</f>
        <v/>
      </c>
      <c r="E4967" s="7">
        <v>0</v>
      </c>
      <c r="F4967" s="7" t="str">
        <f>IFERROR(
   INDEX(tbl_ProduitsRef[Prix Menu],MATCH(tbl_Ventes[[#This Row],[Produit]],tbl_ProduitsRef[Produit],0)),
   ""
)</f>
        <v/>
      </c>
      <c r="G4967" s="7">
        <f>tbl_Ventes[[#This Row],[Qté Vendue]] * IFERROR(_xlfn.XLOOKUP(tbl_Ventes[[#This Row],[Cde_Prdt]], tbl_Produits[Cde_Prdt], tbl_Produits[Prix Menu]), 0)</f>
        <v>0</v>
      </c>
      <c r="H4967" s="7">
        <f>IFERROR(_xlfn.XLOOKUP(tbl_Ventes[[#This Row],[Cde_Prdt]], tbl_Produits[Cde_Prdt], tbl_Produits[Coût Moyen Portion]), 0)</f>
        <v>0</v>
      </c>
      <c r="I4967" s="7">
        <f>tbl_Ventes[[#This Row],[Qté Vendue]] * tbl_Ventes[[#This Row],[CMP_par_portion]]</f>
        <v>0</v>
      </c>
      <c r="J4967" s="7">
        <f>tbl_Ventes[[#This Row],[CA ligne]] - tbl_Ventes[[#This Row],[Coût matière ligne]]</f>
        <v>0</v>
      </c>
      <c r="K4967" s="7" t="str">
        <f>IFERROR(INDEX(tbl_ProduitsRef[Famille], MATCH(tbl_Ventes[[#This Row],[Cde_Prdt]], tbl_Produits[Cde_Prdt], 0)), "")</f>
        <v/>
      </c>
    </row>
    <row r="4968" spans="1:11" x14ac:dyDescent="0.25">
      <c r="A4968" s="5"/>
      <c r="B4968" s="63" t="str">
        <f>IFERROR(TEXT(tbl_Ventes[[#This Row],[Date]],"mm-aaaa"),"")</f>
        <v>01-1900</v>
      </c>
      <c r="D4968" s="10" t="str">
        <f>IFERROR(
   INDEX(tbl_ProduitsRef[Cde_Prdt],MATCH(tbl_Ventes[[#This Row],[Produit]],tbl_ProduitsRef[Produit],0)),
   ""
)</f>
        <v/>
      </c>
      <c r="E4968" s="7">
        <v>0</v>
      </c>
      <c r="F4968" s="7" t="str">
        <f>IFERROR(
   INDEX(tbl_ProduitsRef[Prix Menu],MATCH(tbl_Ventes[[#This Row],[Produit]],tbl_ProduitsRef[Produit],0)),
   ""
)</f>
        <v/>
      </c>
      <c r="G4968" s="7">
        <f>tbl_Ventes[[#This Row],[Qté Vendue]] * IFERROR(_xlfn.XLOOKUP(tbl_Ventes[[#This Row],[Cde_Prdt]], tbl_Produits[Cde_Prdt], tbl_Produits[Prix Menu]), 0)</f>
        <v>0</v>
      </c>
      <c r="H4968" s="7">
        <f>IFERROR(_xlfn.XLOOKUP(tbl_Ventes[[#This Row],[Cde_Prdt]], tbl_Produits[Cde_Prdt], tbl_Produits[Coût Moyen Portion]), 0)</f>
        <v>0</v>
      </c>
      <c r="I4968" s="7">
        <f>tbl_Ventes[[#This Row],[Qté Vendue]] * tbl_Ventes[[#This Row],[CMP_par_portion]]</f>
        <v>0</v>
      </c>
      <c r="J4968" s="7">
        <f>tbl_Ventes[[#This Row],[CA ligne]] - tbl_Ventes[[#This Row],[Coût matière ligne]]</f>
        <v>0</v>
      </c>
      <c r="K4968" s="7" t="str">
        <f>IFERROR(INDEX(tbl_ProduitsRef[Famille], MATCH(tbl_Ventes[[#This Row],[Cde_Prdt]], tbl_Produits[Cde_Prdt], 0)), "")</f>
        <v/>
      </c>
    </row>
    <row r="4969" spans="1:11" x14ac:dyDescent="0.25">
      <c r="A4969" s="5"/>
      <c r="B4969" s="63" t="str">
        <f>IFERROR(TEXT(tbl_Ventes[[#This Row],[Date]],"mm-aaaa"),"")</f>
        <v>01-1900</v>
      </c>
      <c r="D4969" s="10" t="str">
        <f>IFERROR(
   INDEX(tbl_ProduitsRef[Cde_Prdt],MATCH(tbl_Ventes[[#This Row],[Produit]],tbl_ProduitsRef[Produit],0)),
   ""
)</f>
        <v/>
      </c>
      <c r="E4969" s="7">
        <v>0</v>
      </c>
      <c r="F4969" s="7" t="str">
        <f>IFERROR(
   INDEX(tbl_ProduitsRef[Prix Menu],MATCH(tbl_Ventes[[#This Row],[Produit]],tbl_ProduitsRef[Produit],0)),
   ""
)</f>
        <v/>
      </c>
      <c r="G4969" s="7">
        <f>tbl_Ventes[[#This Row],[Qté Vendue]] * IFERROR(_xlfn.XLOOKUP(tbl_Ventes[[#This Row],[Cde_Prdt]], tbl_Produits[Cde_Prdt], tbl_Produits[Prix Menu]), 0)</f>
        <v>0</v>
      </c>
      <c r="H4969" s="7">
        <f>IFERROR(_xlfn.XLOOKUP(tbl_Ventes[[#This Row],[Cde_Prdt]], tbl_Produits[Cde_Prdt], tbl_Produits[Coût Moyen Portion]), 0)</f>
        <v>0</v>
      </c>
      <c r="I4969" s="7">
        <f>tbl_Ventes[[#This Row],[Qté Vendue]] * tbl_Ventes[[#This Row],[CMP_par_portion]]</f>
        <v>0</v>
      </c>
      <c r="J4969" s="7">
        <f>tbl_Ventes[[#This Row],[CA ligne]] - tbl_Ventes[[#This Row],[Coût matière ligne]]</f>
        <v>0</v>
      </c>
      <c r="K4969" s="7" t="str">
        <f>IFERROR(INDEX(tbl_ProduitsRef[Famille], MATCH(tbl_Ventes[[#This Row],[Cde_Prdt]], tbl_Produits[Cde_Prdt], 0)), "")</f>
        <v/>
      </c>
    </row>
    <row r="4970" spans="1:11" x14ac:dyDescent="0.25">
      <c r="A4970" s="5"/>
      <c r="B4970" s="63" t="str">
        <f>IFERROR(TEXT(tbl_Ventes[[#This Row],[Date]],"mm-aaaa"),"")</f>
        <v>01-1900</v>
      </c>
      <c r="D4970" s="10" t="str">
        <f>IFERROR(
   INDEX(tbl_ProduitsRef[Cde_Prdt],MATCH(tbl_Ventes[[#This Row],[Produit]],tbl_ProduitsRef[Produit],0)),
   ""
)</f>
        <v/>
      </c>
      <c r="E4970" s="7">
        <v>0</v>
      </c>
      <c r="F4970" s="7" t="str">
        <f>IFERROR(
   INDEX(tbl_ProduitsRef[Prix Menu],MATCH(tbl_Ventes[[#This Row],[Produit]],tbl_ProduitsRef[Produit],0)),
   ""
)</f>
        <v/>
      </c>
      <c r="G4970" s="7">
        <f>tbl_Ventes[[#This Row],[Qté Vendue]] * IFERROR(_xlfn.XLOOKUP(tbl_Ventes[[#This Row],[Cde_Prdt]], tbl_Produits[Cde_Prdt], tbl_Produits[Prix Menu]), 0)</f>
        <v>0</v>
      </c>
      <c r="H4970" s="7">
        <f>IFERROR(_xlfn.XLOOKUP(tbl_Ventes[[#This Row],[Cde_Prdt]], tbl_Produits[Cde_Prdt], tbl_Produits[Coût Moyen Portion]), 0)</f>
        <v>0</v>
      </c>
      <c r="I4970" s="7">
        <f>tbl_Ventes[[#This Row],[Qté Vendue]] * tbl_Ventes[[#This Row],[CMP_par_portion]]</f>
        <v>0</v>
      </c>
      <c r="J4970" s="7">
        <f>tbl_Ventes[[#This Row],[CA ligne]] - tbl_Ventes[[#This Row],[Coût matière ligne]]</f>
        <v>0</v>
      </c>
      <c r="K4970" s="7" t="str">
        <f>IFERROR(INDEX(tbl_ProduitsRef[Famille], MATCH(tbl_Ventes[[#This Row],[Cde_Prdt]], tbl_Produits[Cde_Prdt], 0)), "")</f>
        <v/>
      </c>
    </row>
    <row r="4971" spans="1:11" x14ac:dyDescent="0.25">
      <c r="A4971" s="5"/>
      <c r="B4971" s="63" t="str">
        <f>IFERROR(TEXT(tbl_Ventes[[#This Row],[Date]],"mm-aaaa"),"")</f>
        <v>01-1900</v>
      </c>
      <c r="D4971" s="10" t="str">
        <f>IFERROR(
   INDEX(tbl_ProduitsRef[Cde_Prdt],MATCH(tbl_Ventes[[#This Row],[Produit]],tbl_ProduitsRef[Produit],0)),
   ""
)</f>
        <v/>
      </c>
      <c r="E4971" s="7">
        <v>0</v>
      </c>
      <c r="F4971" s="7" t="str">
        <f>IFERROR(
   INDEX(tbl_ProduitsRef[Prix Menu],MATCH(tbl_Ventes[[#This Row],[Produit]],tbl_ProduitsRef[Produit],0)),
   ""
)</f>
        <v/>
      </c>
      <c r="G4971" s="7">
        <f>tbl_Ventes[[#This Row],[Qté Vendue]] * IFERROR(_xlfn.XLOOKUP(tbl_Ventes[[#This Row],[Cde_Prdt]], tbl_Produits[Cde_Prdt], tbl_Produits[Prix Menu]), 0)</f>
        <v>0</v>
      </c>
      <c r="H4971" s="7">
        <f>IFERROR(_xlfn.XLOOKUP(tbl_Ventes[[#This Row],[Cde_Prdt]], tbl_Produits[Cde_Prdt], tbl_Produits[Coût Moyen Portion]), 0)</f>
        <v>0</v>
      </c>
      <c r="I4971" s="7">
        <f>tbl_Ventes[[#This Row],[Qté Vendue]] * tbl_Ventes[[#This Row],[CMP_par_portion]]</f>
        <v>0</v>
      </c>
      <c r="J4971" s="7">
        <f>tbl_Ventes[[#This Row],[CA ligne]] - tbl_Ventes[[#This Row],[Coût matière ligne]]</f>
        <v>0</v>
      </c>
      <c r="K4971" s="7" t="str">
        <f>IFERROR(INDEX(tbl_ProduitsRef[Famille], MATCH(tbl_Ventes[[#This Row],[Cde_Prdt]], tbl_Produits[Cde_Prdt], 0)), "")</f>
        <v/>
      </c>
    </row>
    <row r="4972" spans="1:11" x14ac:dyDescent="0.25">
      <c r="A4972" s="5"/>
      <c r="B4972" s="63" t="str">
        <f>IFERROR(TEXT(tbl_Ventes[[#This Row],[Date]],"mm-aaaa"),"")</f>
        <v>01-1900</v>
      </c>
      <c r="D4972" s="10" t="str">
        <f>IFERROR(
   INDEX(tbl_ProduitsRef[Cde_Prdt],MATCH(tbl_Ventes[[#This Row],[Produit]],tbl_ProduitsRef[Produit],0)),
   ""
)</f>
        <v/>
      </c>
      <c r="E4972" s="7">
        <v>0</v>
      </c>
      <c r="F4972" s="7" t="str">
        <f>IFERROR(
   INDEX(tbl_ProduitsRef[Prix Menu],MATCH(tbl_Ventes[[#This Row],[Produit]],tbl_ProduitsRef[Produit],0)),
   ""
)</f>
        <v/>
      </c>
      <c r="G4972" s="7">
        <f>tbl_Ventes[[#This Row],[Qté Vendue]] * IFERROR(_xlfn.XLOOKUP(tbl_Ventes[[#This Row],[Cde_Prdt]], tbl_Produits[Cde_Prdt], tbl_Produits[Prix Menu]), 0)</f>
        <v>0</v>
      </c>
      <c r="H4972" s="7">
        <f>IFERROR(_xlfn.XLOOKUP(tbl_Ventes[[#This Row],[Cde_Prdt]], tbl_Produits[Cde_Prdt], tbl_Produits[Coût Moyen Portion]), 0)</f>
        <v>0</v>
      </c>
      <c r="I4972" s="7">
        <f>tbl_Ventes[[#This Row],[Qté Vendue]] * tbl_Ventes[[#This Row],[CMP_par_portion]]</f>
        <v>0</v>
      </c>
      <c r="J4972" s="7">
        <f>tbl_Ventes[[#This Row],[CA ligne]] - tbl_Ventes[[#This Row],[Coût matière ligne]]</f>
        <v>0</v>
      </c>
      <c r="K4972" s="7" t="str">
        <f>IFERROR(INDEX(tbl_ProduitsRef[Famille], MATCH(tbl_Ventes[[#This Row],[Cde_Prdt]], tbl_Produits[Cde_Prdt], 0)), "")</f>
        <v/>
      </c>
    </row>
    <row r="4973" spans="1:11" x14ac:dyDescent="0.25">
      <c r="A4973" s="5"/>
      <c r="B4973" s="63" t="str">
        <f>IFERROR(TEXT(tbl_Ventes[[#This Row],[Date]],"mm-aaaa"),"")</f>
        <v>01-1900</v>
      </c>
      <c r="D4973" s="10" t="str">
        <f>IFERROR(
   INDEX(tbl_ProduitsRef[Cde_Prdt],MATCH(tbl_Ventes[[#This Row],[Produit]],tbl_ProduitsRef[Produit],0)),
   ""
)</f>
        <v/>
      </c>
      <c r="E4973" s="7">
        <v>0</v>
      </c>
      <c r="F4973" s="7" t="str">
        <f>IFERROR(
   INDEX(tbl_ProduitsRef[Prix Menu],MATCH(tbl_Ventes[[#This Row],[Produit]],tbl_ProduitsRef[Produit],0)),
   ""
)</f>
        <v/>
      </c>
      <c r="G4973" s="7">
        <f>tbl_Ventes[[#This Row],[Qté Vendue]] * IFERROR(_xlfn.XLOOKUP(tbl_Ventes[[#This Row],[Cde_Prdt]], tbl_Produits[Cde_Prdt], tbl_Produits[Prix Menu]), 0)</f>
        <v>0</v>
      </c>
      <c r="H4973" s="7">
        <f>IFERROR(_xlfn.XLOOKUP(tbl_Ventes[[#This Row],[Cde_Prdt]], tbl_Produits[Cde_Prdt], tbl_Produits[Coût Moyen Portion]), 0)</f>
        <v>0</v>
      </c>
      <c r="I4973" s="7">
        <f>tbl_Ventes[[#This Row],[Qté Vendue]] * tbl_Ventes[[#This Row],[CMP_par_portion]]</f>
        <v>0</v>
      </c>
      <c r="J4973" s="7">
        <f>tbl_Ventes[[#This Row],[CA ligne]] - tbl_Ventes[[#This Row],[Coût matière ligne]]</f>
        <v>0</v>
      </c>
      <c r="K4973" s="7" t="str">
        <f>IFERROR(INDEX(tbl_ProduitsRef[Famille], MATCH(tbl_Ventes[[#This Row],[Cde_Prdt]], tbl_Produits[Cde_Prdt], 0)), "")</f>
        <v/>
      </c>
    </row>
    <row r="4974" spans="1:11" x14ac:dyDescent="0.25">
      <c r="A4974" s="5"/>
      <c r="B4974" s="63" t="str">
        <f>IFERROR(TEXT(tbl_Ventes[[#This Row],[Date]],"mm-aaaa"),"")</f>
        <v>01-1900</v>
      </c>
      <c r="D4974" s="10" t="str">
        <f>IFERROR(
   INDEX(tbl_ProduitsRef[Cde_Prdt],MATCH(tbl_Ventes[[#This Row],[Produit]],tbl_ProduitsRef[Produit],0)),
   ""
)</f>
        <v/>
      </c>
      <c r="E4974" s="7">
        <v>0</v>
      </c>
      <c r="F4974" s="7" t="str">
        <f>IFERROR(
   INDEX(tbl_ProduitsRef[Prix Menu],MATCH(tbl_Ventes[[#This Row],[Produit]],tbl_ProduitsRef[Produit],0)),
   ""
)</f>
        <v/>
      </c>
      <c r="G4974" s="7">
        <f>tbl_Ventes[[#This Row],[Qté Vendue]] * IFERROR(_xlfn.XLOOKUP(tbl_Ventes[[#This Row],[Cde_Prdt]], tbl_Produits[Cde_Prdt], tbl_Produits[Prix Menu]), 0)</f>
        <v>0</v>
      </c>
      <c r="H4974" s="7">
        <f>IFERROR(_xlfn.XLOOKUP(tbl_Ventes[[#This Row],[Cde_Prdt]], tbl_Produits[Cde_Prdt], tbl_Produits[Coût Moyen Portion]), 0)</f>
        <v>0</v>
      </c>
      <c r="I4974" s="7">
        <f>tbl_Ventes[[#This Row],[Qté Vendue]] * tbl_Ventes[[#This Row],[CMP_par_portion]]</f>
        <v>0</v>
      </c>
      <c r="J4974" s="7">
        <f>tbl_Ventes[[#This Row],[CA ligne]] - tbl_Ventes[[#This Row],[Coût matière ligne]]</f>
        <v>0</v>
      </c>
      <c r="K4974" s="7" t="str">
        <f>IFERROR(INDEX(tbl_ProduitsRef[Famille], MATCH(tbl_Ventes[[#This Row],[Cde_Prdt]], tbl_Produits[Cde_Prdt], 0)), "")</f>
        <v/>
      </c>
    </row>
    <row r="4975" spans="1:11" x14ac:dyDescent="0.25">
      <c r="A4975" s="5"/>
      <c r="B4975" s="63" t="str">
        <f>IFERROR(TEXT(tbl_Ventes[[#This Row],[Date]],"mm-aaaa"),"")</f>
        <v>01-1900</v>
      </c>
      <c r="D4975" s="10" t="str">
        <f>IFERROR(
   INDEX(tbl_ProduitsRef[Cde_Prdt],MATCH(tbl_Ventes[[#This Row],[Produit]],tbl_ProduitsRef[Produit],0)),
   ""
)</f>
        <v/>
      </c>
      <c r="E4975" s="7">
        <v>0</v>
      </c>
      <c r="F4975" s="7" t="str">
        <f>IFERROR(
   INDEX(tbl_ProduitsRef[Prix Menu],MATCH(tbl_Ventes[[#This Row],[Produit]],tbl_ProduitsRef[Produit],0)),
   ""
)</f>
        <v/>
      </c>
      <c r="G4975" s="7">
        <f>tbl_Ventes[[#This Row],[Qté Vendue]] * IFERROR(_xlfn.XLOOKUP(tbl_Ventes[[#This Row],[Cde_Prdt]], tbl_Produits[Cde_Prdt], tbl_Produits[Prix Menu]), 0)</f>
        <v>0</v>
      </c>
      <c r="H4975" s="7">
        <f>IFERROR(_xlfn.XLOOKUP(tbl_Ventes[[#This Row],[Cde_Prdt]], tbl_Produits[Cde_Prdt], tbl_Produits[Coût Moyen Portion]), 0)</f>
        <v>0</v>
      </c>
      <c r="I4975" s="7">
        <f>tbl_Ventes[[#This Row],[Qté Vendue]] * tbl_Ventes[[#This Row],[CMP_par_portion]]</f>
        <v>0</v>
      </c>
      <c r="J4975" s="7">
        <f>tbl_Ventes[[#This Row],[CA ligne]] - tbl_Ventes[[#This Row],[Coût matière ligne]]</f>
        <v>0</v>
      </c>
      <c r="K4975" s="7" t="str">
        <f>IFERROR(INDEX(tbl_ProduitsRef[Famille], MATCH(tbl_Ventes[[#This Row],[Cde_Prdt]], tbl_Produits[Cde_Prdt], 0)), "")</f>
        <v/>
      </c>
    </row>
    <row r="4976" spans="1:11" x14ac:dyDescent="0.25">
      <c r="A4976" s="5"/>
      <c r="B4976" s="63" t="str">
        <f>IFERROR(TEXT(tbl_Ventes[[#This Row],[Date]],"mm-aaaa"),"")</f>
        <v>01-1900</v>
      </c>
      <c r="D4976" s="10" t="str">
        <f>IFERROR(
   INDEX(tbl_ProduitsRef[Cde_Prdt],MATCH(tbl_Ventes[[#This Row],[Produit]],tbl_ProduitsRef[Produit],0)),
   ""
)</f>
        <v/>
      </c>
      <c r="E4976" s="7">
        <v>0</v>
      </c>
      <c r="F4976" s="7" t="str">
        <f>IFERROR(
   INDEX(tbl_ProduitsRef[Prix Menu],MATCH(tbl_Ventes[[#This Row],[Produit]],tbl_ProduitsRef[Produit],0)),
   ""
)</f>
        <v/>
      </c>
      <c r="G4976" s="7">
        <f>tbl_Ventes[[#This Row],[Qté Vendue]] * IFERROR(_xlfn.XLOOKUP(tbl_Ventes[[#This Row],[Cde_Prdt]], tbl_Produits[Cde_Prdt], tbl_Produits[Prix Menu]), 0)</f>
        <v>0</v>
      </c>
      <c r="H4976" s="7">
        <f>IFERROR(_xlfn.XLOOKUP(tbl_Ventes[[#This Row],[Cde_Prdt]], tbl_Produits[Cde_Prdt], tbl_Produits[Coût Moyen Portion]), 0)</f>
        <v>0</v>
      </c>
      <c r="I4976" s="7">
        <f>tbl_Ventes[[#This Row],[Qté Vendue]] * tbl_Ventes[[#This Row],[CMP_par_portion]]</f>
        <v>0</v>
      </c>
      <c r="J4976" s="7">
        <f>tbl_Ventes[[#This Row],[CA ligne]] - tbl_Ventes[[#This Row],[Coût matière ligne]]</f>
        <v>0</v>
      </c>
      <c r="K4976" s="7" t="str">
        <f>IFERROR(INDEX(tbl_ProduitsRef[Famille], MATCH(tbl_Ventes[[#This Row],[Cde_Prdt]], tbl_Produits[Cde_Prdt], 0)), "")</f>
        <v/>
      </c>
    </row>
    <row r="4977" spans="1:11" x14ac:dyDescent="0.25">
      <c r="A4977" s="5"/>
      <c r="B4977" s="63" t="str">
        <f>IFERROR(TEXT(tbl_Ventes[[#This Row],[Date]],"mm-aaaa"),"")</f>
        <v>01-1900</v>
      </c>
      <c r="D4977" s="10" t="str">
        <f>IFERROR(
   INDEX(tbl_ProduitsRef[Cde_Prdt],MATCH(tbl_Ventes[[#This Row],[Produit]],tbl_ProduitsRef[Produit],0)),
   ""
)</f>
        <v/>
      </c>
      <c r="E4977" s="7">
        <v>0</v>
      </c>
      <c r="F4977" s="7" t="str">
        <f>IFERROR(
   INDEX(tbl_ProduitsRef[Prix Menu],MATCH(tbl_Ventes[[#This Row],[Produit]],tbl_ProduitsRef[Produit],0)),
   ""
)</f>
        <v/>
      </c>
      <c r="G4977" s="7">
        <f>tbl_Ventes[[#This Row],[Qté Vendue]] * IFERROR(_xlfn.XLOOKUP(tbl_Ventes[[#This Row],[Cde_Prdt]], tbl_Produits[Cde_Prdt], tbl_Produits[Prix Menu]), 0)</f>
        <v>0</v>
      </c>
      <c r="H4977" s="7">
        <f>IFERROR(_xlfn.XLOOKUP(tbl_Ventes[[#This Row],[Cde_Prdt]], tbl_Produits[Cde_Prdt], tbl_Produits[Coût Moyen Portion]), 0)</f>
        <v>0</v>
      </c>
      <c r="I4977" s="7">
        <f>tbl_Ventes[[#This Row],[Qté Vendue]] * tbl_Ventes[[#This Row],[CMP_par_portion]]</f>
        <v>0</v>
      </c>
      <c r="J4977" s="7">
        <f>tbl_Ventes[[#This Row],[CA ligne]] - tbl_Ventes[[#This Row],[Coût matière ligne]]</f>
        <v>0</v>
      </c>
      <c r="K4977" s="7" t="str">
        <f>IFERROR(INDEX(tbl_ProduitsRef[Famille], MATCH(tbl_Ventes[[#This Row],[Cde_Prdt]], tbl_Produits[Cde_Prdt], 0)), "")</f>
        <v/>
      </c>
    </row>
    <row r="4978" spans="1:11" x14ac:dyDescent="0.25">
      <c r="A4978" s="5"/>
      <c r="B4978" s="63" t="str">
        <f>IFERROR(TEXT(tbl_Ventes[[#This Row],[Date]],"mm-aaaa"),"")</f>
        <v>01-1900</v>
      </c>
      <c r="D4978" s="10" t="str">
        <f>IFERROR(
   INDEX(tbl_ProduitsRef[Cde_Prdt],MATCH(tbl_Ventes[[#This Row],[Produit]],tbl_ProduitsRef[Produit],0)),
   ""
)</f>
        <v/>
      </c>
      <c r="E4978" s="7">
        <v>0</v>
      </c>
      <c r="F4978" s="7" t="str">
        <f>IFERROR(
   INDEX(tbl_ProduitsRef[Prix Menu],MATCH(tbl_Ventes[[#This Row],[Produit]],tbl_ProduitsRef[Produit],0)),
   ""
)</f>
        <v/>
      </c>
      <c r="G4978" s="7">
        <f>tbl_Ventes[[#This Row],[Qté Vendue]] * IFERROR(_xlfn.XLOOKUP(tbl_Ventes[[#This Row],[Cde_Prdt]], tbl_Produits[Cde_Prdt], tbl_Produits[Prix Menu]), 0)</f>
        <v>0</v>
      </c>
      <c r="H4978" s="7">
        <f>IFERROR(_xlfn.XLOOKUP(tbl_Ventes[[#This Row],[Cde_Prdt]], tbl_Produits[Cde_Prdt], tbl_Produits[Coût Moyen Portion]), 0)</f>
        <v>0</v>
      </c>
      <c r="I4978" s="7">
        <f>tbl_Ventes[[#This Row],[Qté Vendue]] * tbl_Ventes[[#This Row],[CMP_par_portion]]</f>
        <v>0</v>
      </c>
      <c r="J4978" s="7">
        <f>tbl_Ventes[[#This Row],[CA ligne]] - tbl_Ventes[[#This Row],[Coût matière ligne]]</f>
        <v>0</v>
      </c>
      <c r="K4978" s="7" t="str">
        <f>IFERROR(INDEX(tbl_ProduitsRef[Famille], MATCH(tbl_Ventes[[#This Row],[Cde_Prdt]], tbl_Produits[Cde_Prdt], 0)), "")</f>
        <v/>
      </c>
    </row>
    <row r="4979" spans="1:11" x14ac:dyDescent="0.25">
      <c r="A4979" s="5"/>
      <c r="B4979" s="63" t="str">
        <f>IFERROR(TEXT(tbl_Ventes[[#This Row],[Date]],"mm-aaaa"),"")</f>
        <v>01-1900</v>
      </c>
      <c r="D4979" s="10" t="str">
        <f>IFERROR(
   INDEX(tbl_ProduitsRef[Cde_Prdt],MATCH(tbl_Ventes[[#This Row],[Produit]],tbl_ProduitsRef[Produit],0)),
   ""
)</f>
        <v/>
      </c>
      <c r="E4979" s="7">
        <v>0</v>
      </c>
      <c r="F4979" s="7" t="str">
        <f>IFERROR(
   INDEX(tbl_ProduitsRef[Prix Menu],MATCH(tbl_Ventes[[#This Row],[Produit]],tbl_ProduitsRef[Produit],0)),
   ""
)</f>
        <v/>
      </c>
      <c r="G4979" s="7">
        <f>tbl_Ventes[[#This Row],[Qté Vendue]] * IFERROR(_xlfn.XLOOKUP(tbl_Ventes[[#This Row],[Cde_Prdt]], tbl_Produits[Cde_Prdt], tbl_Produits[Prix Menu]), 0)</f>
        <v>0</v>
      </c>
      <c r="H4979" s="7">
        <f>IFERROR(_xlfn.XLOOKUP(tbl_Ventes[[#This Row],[Cde_Prdt]], tbl_Produits[Cde_Prdt], tbl_Produits[Coût Moyen Portion]), 0)</f>
        <v>0</v>
      </c>
      <c r="I4979" s="7">
        <f>tbl_Ventes[[#This Row],[Qté Vendue]] * tbl_Ventes[[#This Row],[CMP_par_portion]]</f>
        <v>0</v>
      </c>
      <c r="J4979" s="7">
        <f>tbl_Ventes[[#This Row],[CA ligne]] - tbl_Ventes[[#This Row],[Coût matière ligne]]</f>
        <v>0</v>
      </c>
      <c r="K4979" s="7" t="str">
        <f>IFERROR(INDEX(tbl_ProduitsRef[Famille], MATCH(tbl_Ventes[[#This Row],[Cde_Prdt]], tbl_Produits[Cde_Prdt], 0)), "")</f>
        <v/>
      </c>
    </row>
    <row r="4980" spans="1:11" x14ac:dyDescent="0.25">
      <c r="A4980" s="5"/>
      <c r="B4980" s="63" t="str">
        <f>IFERROR(TEXT(tbl_Ventes[[#This Row],[Date]],"mm-aaaa"),"")</f>
        <v>01-1900</v>
      </c>
      <c r="D4980" s="10" t="str">
        <f>IFERROR(
   INDEX(tbl_ProduitsRef[Cde_Prdt],MATCH(tbl_Ventes[[#This Row],[Produit]],tbl_ProduitsRef[Produit],0)),
   ""
)</f>
        <v/>
      </c>
      <c r="E4980" s="7">
        <v>0</v>
      </c>
      <c r="F4980" s="7" t="str">
        <f>IFERROR(
   INDEX(tbl_ProduitsRef[Prix Menu],MATCH(tbl_Ventes[[#This Row],[Produit]],tbl_ProduitsRef[Produit],0)),
   ""
)</f>
        <v/>
      </c>
      <c r="G4980" s="7">
        <f>tbl_Ventes[[#This Row],[Qté Vendue]] * IFERROR(_xlfn.XLOOKUP(tbl_Ventes[[#This Row],[Cde_Prdt]], tbl_Produits[Cde_Prdt], tbl_Produits[Prix Menu]), 0)</f>
        <v>0</v>
      </c>
      <c r="H4980" s="7">
        <f>IFERROR(_xlfn.XLOOKUP(tbl_Ventes[[#This Row],[Cde_Prdt]], tbl_Produits[Cde_Prdt], tbl_Produits[Coût Moyen Portion]), 0)</f>
        <v>0</v>
      </c>
      <c r="I4980" s="7">
        <f>tbl_Ventes[[#This Row],[Qté Vendue]] * tbl_Ventes[[#This Row],[CMP_par_portion]]</f>
        <v>0</v>
      </c>
      <c r="J4980" s="7">
        <f>tbl_Ventes[[#This Row],[CA ligne]] - tbl_Ventes[[#This Row],[Coût matière ligne]]</f>
        <v>0</v>
      </c>
      <c r="K4980" s="7" t="str">
        <f>IFERROR(INDEX(tbl_ProduitsRef[Famille], MATCH(tbl_Ventes[[#This Row],[Cde_Prdt]], tbl_Produits[Cde_Prdt], 0)), "")</f>
        <v/>
      </c>
    </row>
    <row r="4981" spans="1:11" x14ac:dyDescent="0.25">
      <c r="A4981" s="5"/>
      <c r="B4981" s="63" t="str">
        <f>IFERROR(TEXT(tbl_Ventes[[#This Row],[Date]],"mm-aaaa"),"")</f>
        <v>01-1900</v>
      </c>
      <c r="D4981" s="10" t="str">
        <f>IFERROR(
   INDEX(tbl_ProduitsRef[Cde_Prdt],MATCH(tbl_Ventes[[#This Row],[Produit]],tbl_ProduitsRef[Produit],0)),
   ""
)</f>
        <v/>
      </c>
      <c r="E4981" s="7">
        <v>0</v>
      </c>
      <c r="F4981" s="7" t="str">
        <f>IFERROR(
   INDEX(tbl_ProduitsRef[Prix Menu],MATCH(tbl_Ventes[[#This Row],[Produit]],tbl_ProduitsRef[Produit],0)),
   ""
)</f>
        <v/>
      </c>
      <c r="G4981" s="7">
        <f>tbl_Ventes[[#This Row],[Qté Vendue]] * IFERROR(_xlfn.XLOOKUP(tbl_Ventes[[#This Row],[Cde_Prdt]], tbl_Produits[Cde_Prdt], tbl_Produits[Prix Menu]), 0)</f>
        <v>0</v>
      </c>
      <c r="H4981" s="7">
        <f>IFERROR(_xlfn.XLOOKUP(tbl_Ventes[[#This Row],[Cde_Prdt]], tbl_Produits[Cde_Prdt], tbl_Produits[Coût Moyen Portion]), 0)</f>
        <v>0</v>
      </c>
      <c r="I4981" s="7">
        <f>tbl_Ventes[[#This Row],[Qté Vendue]] * tbl_Ventes[[#This Row],[CMP_par_portion]]</f>
        <v>0</v>
      </c>
      <c r="J4981" s="7">
        <f>tbl_Ventes[[#This Row],[CA ligne]] - tbl_Ventes[[#This Row],[Coût matière ligne]]</f>
        <v>0</v>
      </c>
      <c r="K4981" s="7" t="str">
        <f>IFERROR(INDEX(tbl_ProduitsRef[Famille], MATCH(tbl_Ventes[[#This Row],[Cde_Prdt]], tbl_Produits[Cde_Prdt], 0)), "")</f>
        <v/>
      </c>
    </row>
    <row r="4982" spans="1:11" x14ac:dyDescent="0.25">
      <c r="A4982" s="5"/>
      <c r="B4982" s="63" t="str">
        <f>IFERROR(TEXT(tbl_Ventes[[#This Row],[Date]],"mm-aaaa"),"")</f>
        <v>01-1900</v>
      </c>
      <c r="D4982" s="10" t="str">
        <f>IFERROR(
   INDEX(tbl_ProduitsRef[Cde_Prdt],MATCH(tbl_Ventes[[#This Row],[Produit]],tbl_ProduitsRef[Produit],0)),
   ""
)</f>
        <v/>
      </c>
      <c r="E4982" s="7">
        <v>0</v>
      </c>
      <c r="F4982" s="7" t="str">
        <f>IFERROR(
   INDEX(tbl_ProduitsRef[Prix Menu],MATCH(tbl_Ventes[[#This Row],[Produit]],tbl_ProduitsRef[Produit],0)),
   ""
)</f>
        <v/>
      </c>
      <c r="G4982" s="7">
        <f>tbl_Ventes[[#This Row],[Qté Vendue]] * IFERROR(_xlfn.XLOOKUP(tbl_Ventes[[#This Row],[Cde_Prdt]], tbl_Produits[Cde_Prdt], tbl_Produits[Prix Menu]), 0)</f>
        <v>0</v>
      </c>
      <c r="H4982" s="7">
        <f>IFERROR(_xlfn.XLOOKUP(tbl_Ventes[[#This Row],[Cde_Prdt]], tbl_Produits[Cde_Prdt], tbl_Produits[Coût Moyen Portion]), 0)</f>
        <v>0</v>
      </c>
      <c r="I4982" s="7">
        <f>tbl_Ventes[[#This Row],[Qté Vendue]] * tbl_Ventes[[#This Row],[CMP_par_portion]]</f>
        <v>0</v>
      </c>
      <c r="J4982" s="7">
        <f>tbl_Ventes[[#This Row],[CA ligne]] - tbl_Ventes[[#This Row],[Coût matière ligne]]</f>
        <v>0</v>
      </c>
      <c r="K4982" s="7" t="str">
        <f>IFERROR(INDEX(tbl_ProduitsRef[Famille], MATCH(tbl_Ventes[[#This Row],[Cde_Prdt]], tbl_Produits[Cde_Prdt], 0)), "")</f>
        <v/>
      </c>
    </row>
    <row r="4983" spans="1:11" x14ac:dyDescent="0.25">
      <c r="A4983" s="5"/>
      <c r="B4983" s="63" t="str">
        <f>IFERROR(TEXT(tbl_Ventes[[#This Row],[Date]],"mm-aaaa"),"")</f>
        <v>01-1900</v>
      </c>
      <c r="D4983" s="10" t="str">
        <f>IFERROR(
   INDEX(tbl_ProduitsRef[Cde_Prdt],MATCH(tbl_Ventes[[#This Row],[Produit]],tbl_ProduitsRef[Produit],0)),
   ""
)</f>
        <v/>
      </c>
      <c r="E4983" s="7">
        <v>0</v>
      </c>
      <c r="F4983" s="7" t="str">
        <f>IFERROR(
   INDEX(tbl_ProduitsRef[Prix Menu],MATCH(tbl_Ventes[[#This Row],[Produit]],tbl_ProduitsRef[Produit],0)),
   ""
)</f>
        <v/>
      </c>
      <c r="G4983" s="7">
        <f>tbl_Ventes[[#This Row],[Qté Vendue]] * IFERROR(_xlfn.XLOOKUP(tbl_Ventes[[#This Row],[Cde_Prdt]], tbl_Produits[Cde_Prdt], tbl_Produits[Prix Menu]), 0)</f>
        <v>0</v>
      </c>
      <c r="H4983" s="7">
        <f>IFERROR(_xlfn.XLOOKUP(tbl_Ventes[[#This Row],[Cde_Prdt]], tbl_Produits[Cde_Prdt], tbl_Produits[Coût Moyen Portion]), 0)</f>
        <v>0</v>
      </c>
      <c r="I4983" s="7">
        <f>tbl_Ventes[[#This Row],[Qté Vendue]] * tbl_Ventes[[#This Row],[CMP_par_portion]]</f>
        <v>0</v>
      </c>
      <c r="J4983" s="7">
        <f>tbl_Ventes[[#This Row],[CA ligne]] - tbl_Ventes[[#This Row],[Coût matière ligne]]</f>
        <v>0</v>
      </c>
      <c r="K4983" s="7" t="str">
        <f>IFERROR(INDEX(tbl_ProduitsRef[Famille], MATCH(tbl_Ventes[[#This Row],[Cde_Prdt]], tbl_Produits[Cde_Prdt], 0)), "")</f>
        <v/>
      </c>
    </row>
    <row r="4984" spans="1:11" x14ac:dyDescent="0.25">
      <c r="A4984" s="5"/>
      <c r="B4984" s="63" t="str">
        <f>IFERROR(TEXT(tbl_Ventes[[#This Row],[Date]],"mm-aaaa"),"")</f>
        <v>01-1900</v>
      </c>
      <c r="D4984" s="10" t="str">
        <f>IFERROR(
   INDEX(tbl_ProduitsRef[Cde_Prdt],MATCH(tbl_Ventes[[#This Row],[Produit]],tbl_ProduitsRef[Produit],0)),
   ""
)</f>
        <v/>
      </c>
      <c r="E4984" s="7">
        <v>0</v>
      </c>
      <c r="F4984" s="7" t="str">
        <f>IFERROR(
   INDEX(tbl_ProduitsRef[Prix Menu],MATCH(tbl_Ventes[[#This Row],[Produit]],tbl_ProduitsRef[Produit],0)),
   ""
)</f>
        <v/>
      </c>
      <c r="G4984" s="7">
        <f>tbl_Ventes[[#This Row],[Qté Vendue]] * IFERROR(_xlfn.XLOOKUP(tbl_Ventes[[#This Row],[Cde_Prdt]], tbl_Produits[Cde_Prdt], tbl_Produits[Prix Menu]), 0)</f>
        <v>0</v>
      </c>
      <c r="H4984" s="7">
        <f>IFERROR(_xlfn.XLOOKUP(tbl_Ventes[[#This Row],[Cde_Prdt]], tbl_Produits[Cde_Prdt], tbl_Produits[Coût Moyen Portion]), 0)</f>
        <v>0</v>
      </c>
      <c r="I4984" s="7">
        <f>tbl_Ventes[[#This Row],[Qté Vendue]] * tbl_Ventes[[#This Row],[CMP_par_portion]]</f>
        <v>0</v>
      </c>
      <c r="J4984" s="7">
        <f>tbl_Ventes[[#This Row],[CA ligne]] - tbl_Ventes[[#This Row],[Coût matière ligne]]</f>
        <v>0</v>
      </c>
      <c r="K4984" s="7" t="str">
        <f>IFERROR(INDEX(tbl_ProduitsRef[Famille], MATCH(tbl_Ventes[[#This Row],[Cde_Prdt]], tbl_Produits[Cde_Prdt], 0)), "")</f>
        <v/>
      </c>
    </row>
    <row r="4985" spans="1:11" x14ac:dyDescent="0.25">
      <c r="A4985" s="5"/>
      <c r="B4985" s="63" t="str">
        <f>IFERROR(TEXT(tbl_Ventes[[#This Row],[Date]],"mm-aaaa"),"")</f>
        <v>01-1900</v>
      </c>
      <c r="D4985" s="10" t="str">
        <f>IFERROR(
   INDEX(tbl_ProduitsRef[Cde_Prdt],MATCH(tbl_Ventes[[#This Row],[Produit]],tbl_ProduitsRef[Produit],0)),
   ""
)</f>
        <v/>
      </c>
      <c r="E4985" s="7">
        <v>0</v>
      </c>
      <c r="F4985" s="7" t="str">
        <f>IFERROR(
   INDEX(tbl_ProduitsRef[Prix Menu],MATCH(tbl_Ventes[[#This Row],[Produit]],tbl_ProduitsRef[Produit],0)),
   ""
)</f>
        <v/>
      </c>
      <c r="G4985" s="7">
        <f>tbl_Ventes[[#This Row],[Qté Vendue]] * IFERROR(_xlfn.XLOOKUP(tbl_Ventes[[#This Row],[Cde_Prdt]], tbl_Produits[Cde_Prdt], tbl_Produits[Prix Menu]), 0)</f>
        <v>0</v>
      </c>
      <c r="H4985" s="7">
        <f>IFERROR(_xlfn.XLOOKUP(tbl_Ventes[[#This Row],[Cde_Prdt]], tbl_Produits[Cde_Prdt], tbl_Produits[Coût Moyen Portion]), 0)</f>
        <v>0</v>
      </c>
      <c r="I4985" s="7">
        <f>tbl_Ventes[[#This Row],[Qté Vendue]] * tbl_Ventes[[#This Row],[CMP_par_portion]]</f>
        <v>0</v>
      </c>
      <c r="J4985" s="7">
        <f>tbl_Ventes[[#This Row],[CA ligne]] - tbl_Ventes[[#This Row],[Coût matière ligne]]</f>
        <v>0</v>
      </c>
      <c r="K4985" s="7" t="str">
        <f>IFERROR(INDEX(tbl_ProduitsRef[Famille], MATCH(tbl_Ventes[[#This Row],[Cde_Prdt]], tbl_Produits[Cde_Prdt], 0)), "")</f>
        <v/>
      </c>
    </row>
    <row r="4986" spans="1:11" x14ac:dyDescent="0.25">
      <c r="A4986" s="5"/>
      <c r="B4986" s="63" t="str">
        <f>IFERROR(TEXT(tbl_Ventes[[#This Row],[Date]],"mm-aaaa"),"")</f>
        <v>01-1900</v>
      </c>
      <c r="D4986" s="10" t="str">
        <f>IFERROR(
   INDEX(tbl_ProduitsRef[Cde_Prdt],MATCH(tbl_Ventes[[#This Row],[Produit]],tbl_ProduitsRef[Produit],0)),
   ""
)</f>
        <v/>
      </c>
      <c r="E4986" s="7">
        <v>0</v>
      </c>
      <c r="F4986" s="7" t="str">
        <f>IFERROR(
   INDEX(tbl_ProduitsRef[Prix Menu],MATCH(tbl_Ventes[[#This Row],[Produit]],tbl_ProduitsRef[Produit],0)),
   ""
)</f>
        <v/>
      </c>
      <c r="G4986" s="7">
        <f>tbl_Ventes[[#This Row],[Qté Vendue]] * IFERROR(_xlfn.XLOOKUP(tbl_Ventes[[#This Row],[Cde_Prdt]], tbl_Produits[Cde_Prdt], tbl_Produits[Prix Menu]), 0)</f>
        <v>0</v>
      </c>
      <c r="H4986" s="7">
        <f>IFERROR(_xlfn.XLOOKUP(tbl_Ventes[[#This Row],[Cde_Prdt]], tbl_Produits[Cde_Prdt], tbl_Produits[Coût Moyen Portion]), 0)</f>
        <v>0</v>
      </c>
      <c r="I4986" s="7">
        <f>tbl_Ventes[[#This Row],[Qté Vendue]] * tbl_Ventes[[#This Row],[CMP_par_portion]]</f>
        <v>0</v>
      </c>
      <c r="J4986" s="7">
        <f>tbl_Ventes[[#This Row],[CA ligne]] - tbl_Ventes[[#This Row],[Coût matière ligne]]</f>
        <v>0</v>
      </c>
      <c r="K4986" s="7" t="str">
        <f>IFERROR(INDEX(tbl_ProduitsRef[Famille], MATCH(tbl_Ventes[[#This Row],[Cde_Prdt]], tbl_Produits[Cde_Prdt], 0)), "")</f>
        <v/>
      </c>
    </row>
    <row r="4987" spans="1:11" x14ac:dyDescent="0.25">
      <c r="A4987" s="5"/>
      <c r="B4987" s="63" t="str">
        <f>IFERROR(TEXT(tbl_Ventes[[#This Row],[Date]],"mm-aaaa"),"")</f>
        <v>01-1900</v>
      </c>
      <c r="D4987" s="10" t="str">
        <f>IFERROR(
   INDEX(tbl_ProduitsRef[Cde_Prdt],MATCH(tbl_Ventes[[#This Row],[Produit]],tbl_ProduitsRef[Produit],0)),
   ""
)</f>
        <v/>
      </c>
      <c r="E4987" s="7">
        <v>0</v>
      </c>
      <c r="F4987" s="7" t="str">
        <f>IFERROR(
   INDEX(tbl_ProduitsRef[Prix Menu],MATCH(tbl_Ventes[[#This Row],[Produit]],tbl_ProduitsRef[Produit],0)),
   ""
)</f>
        <v/>
      </c>
      <c r="G4987" s="7">
        <f>tbl_Ventes[[#This Row],[Qté Vendue]] * IFERROR(_xlfn.XLOOKUP(tbl_Ventes[[#This Row],[Cde_Prdt]], tbl_Produits[Cde_Prdt], tbl_Produits[Prix Menu]), 0)</f>
        <v>0</v>
      </c>
      <c r="H4987" s="7">
        <f>IFERROR(_xlfn.XLOOKUP(tbl_Ventes[[#This Row],[Cde_Prdt]], tbl_Produits[Cde_Prdt], tbl_Produits[Coût Moyen Portion]), 0)</f>
        <v>0</v>
      </c>
      <c r="I4987" s="7">
        <f>tbl_Ventes[[#This Row],[Qté Vendue]] * tbl_Ventes[[#This Row],[CMP_par_portion]]</f>
        <v>0</v>
      </c>
      <c r="J4987" s="7">
        <f>tbl_Ventes[[#This Row],[CA ligne]] - tbl_Ventes[[#This Row],[Coût matière ligne]]</f>
        <v>0</v>
      </c>
      <c r="K4987" s="7" t="str">
        <f>IFERROR(INDEX(tbl_ProduitsRef[Famille], MATCH(tbl_Ventes[[#This Row],[Cde_Prdt]], tbl_Produits[Cde_Prdt], 0)), "")</f>
        <v/>
      </c>
    </row>
    <row r="4988" spans="1:11" x14ac:dyDescent="0.25">
      <c r="A4988" s="5"/>
      <c r="B4988" s="63" t="str">
        <f>IFERROR(TEXT(tbl_Ventes[[#This Row],[Date]],"mm-aaaa"),"")</f>
        <v>01-1900</v>
      </c>
      <c r="D4988" s="10" t="str">
        <f>IFERROR(
   INDEX(tbl_ProduitsRef[Cde_Prdt],MATCH(tbl_Ventes[[#This Row],[Produit]],tbl_ProduitsRef[Produit],0)),
   ""
)</f>
        <v/>
      </c>
      <c r="E4988" s="7">
        <v>0</v>
      </c>
      <c r="F4988" s="7" t="str">
        <f>IFERROR(
   INDEX(tbl_ProduitsRef[Prix Menu],MATCH(tbl_Ventes[[#This Row],[Produit]],tbl_ProduitsRef[Produit],0)),
   ""
)</f>
        <v/>
      </c>
      <c r="G4988" s="7">
        <f>tbl_Ventes[[#This Row],[Qté Vendue]] * IFERROR(_xlfn.XLOOKUP(tbl_Ventes[[#This Row],[Cde_Prdt]], tbl_Produits[Cde_Prdt], tbl_Produits[Prix Menu]), 0)</f>
        <v>0</v>
      </c>
      <c r="H4988" s="7">
        <f>IFERROR(_xlfn.XLOOKUP(tbl_Ventes[[#This Row],[Cde_Prdt]], tbl_Produits[Cde_Prdt], tbl_Produits[Coût Moyen Portion]), 0)</f>
        <v>0</v>
      </c>
      <c r="I4988" s="7">
        <f>tbl_Ventes[[#This Row],[Qté Vendue]] * tbl_Ventes[[#This Row],[CMP_par_portion]]</f>
        <v>0</v>
      </c>
      <c r="J4988" s="7">
        <f>tbl_Ventes[[#This Row],[CA ligne]] - tbl_Ventes[[#This Row],[Coût matière ligne]]</f>
        <v>0</v>
      </c>
      <c r="K4988" s="7" t="str">
        <f>IFERROR(INDEX(tbl_ProduitsRef[Famille], MATCH(tbl_Ventes[[#This Row],[Cde_Prdt]], tbl_Produits[Cde_Prdt], 0)), "")</f>
        <v/>
      </c>
    </row>
    <row r="4989" spans="1:11" x14ac:dyDescent="0.25">
      <c r="A4989" s="5"/>
      <c r="B4989" s="63" t="str">
        <f>IFERROR(TEXT(tbl_Ventes[[#This Row],[Date]],"mm-aaaa"),"")</f>
        <v>01-1900</v>
      </c>
      <c r="D4989" s="10" t="str">
        <f>IFERROR(
   INDEX(tbl_ProduitsRef[Cde_Prdt],MATCH(tbl_Ventes[[#This Row],[Produit]],tbl_ProduitsRef[Produit],0)),
   ""
)</f>
        <v/>
      </c>
      <c r="E4989" s="7">
        <v>0</v>
      </c>
      <c r="F4989" s="7" t="str">
        <f>IFERROR(
   INDEX(tbl_ProduitsRef[Prix Menu],MATCH(tbl_Ventes[[#This Row],[Produit]],tbl_ProduitsRef[Produit],0)),
   ""
)</f>
        <v/>
      </c>
      <c r="G4989" s="7">
        <f>tbl_Ventes[[#This Row],[Qté Vendue]] * IFERROR(_xlfn.XLOOKUP(tbl_Ventes[[#This Row],[Cde_Prdt]], tbl_Produits[Cde_Prdt], tbl_Produits[Prix Menu]), 0)</f>
        <v>0</v>
      </c>
      <c r="H4989" s="7">
        <f>IFERROR(_xlfn.XLOOKUP(tbl_Ventes[[#This Row],[Cde_Prdt]], tbl_Produits[Cde_Prdt], tbl_Produits[Coût Moyen Portion]), 0)</f>
        <v>0</v>
      </c>
      <c r="I4989" s="7">
        <f>tbl_Ventes[[#This Row],[Qté Vendue]] * tbl_Ventes[[#This Row],[CMP_par_portion]]</f>
        <v>0</v>
      </c>
      <c r="J4989" s="7">
        <f>tbl_Ventes[[#This Row],[CA ligne]] - tbl_Ventes[[#This Row],[Coût matière ligne]]</f>
        <v>0</v>
      </c>
      <c r="K4989" s="7" t="str">
        <f>IFERROR(INDEX(tbl_ProduitsRef[Famille], MATCH(tbl_Ventes[[#This Row],[Cde_Prdt]], tbl_Produits[Cde_Prdt], 0)), "")</f>
        <v/>
      </c>
    </row>
    <row r="4990" spans="1:11" x14ac:dyDescent="0.25">
      <c r="A4990" s="5"/>
      <c r="B4990" s="63" t="str">
        <f>IFERROR(TEXT(tbl_Ventes[[#This Row],[Date]],"mm-aaaa"),"")</f>
        <v>01-1900</v>
      </c>
      <c r="D4990" s="10" t="str">
        <f>IFERROR(
   INDEX(tbl_ProduitsRef[Cde_Prdt],MATCH(tbl_Ventes[[#This Row],[Produit]],tbl_ProduitsRef[Produit],0)),
   ""
)</f>
        <v/>
      </c>
      <c r="E4990" s="7">
        <v>0</v>
      </c>
      <c r="F4990" s="7" t="str">
        <f>IFERROR(
   INDEX(tbl_ProduitsRef[Prix Menu],MATCH(tbl_Ventes[[#This Row],[Produit]],tbl_ProduitsRef[Produit],0)),
   ""
)</f>
        <v/>
      </c>
      <c r="G4990" s="7">
        <f>tbl_Ventes[[#This Row],[Qté Vendue]] * IFERROR(_xlfn.XLOOKUP(tbl_Ventes[[#This Row],[Cde_Prdt]], tbl_Produits[Cde_Prdt], tbl_Produits[Prix Menu]), 0)</f>
        <v>0</v>
      </c>
      <c r="H4990" s="7">
        <f>IFERROR(_xlfn.XLOOKUP(tbl_Ventes[[#This Row],[Cde_Prdt]], tbl_Produits[Cde_Prdt], tbl_Produits[Coût Moyen Portion]), 0)</f>
        <v>0</v>
      </c>
      <c r="I4990" s="7">
        <f>tbl_Ventes[[#This Row],[Qté Vendue]] * tbl_Ventes[[#This Row],[CMP_par_portion]]</f>
        <v>0</v>
      </c>
      <c r="J4990" s="7">
        <f>tbl_Ventes[[#This Row],[CA ligne]] - tbl_Ventes[[#This Row],[Coût matière ligne]]</f>
        <v>0</v>
      </c>
      <c r="K4990" s="7" t="str">
        <f>IFERROR(INDEX(tbl_ProduitsRef[Famille], MATCH(tbl_Ventes[[#This Row],[Cde_Prdt]], tbl_Produits[Cde_Prdt], 0)), "")</f>
        <v/>
      </c>
    </row>
    <row r="4991" spans="1:11" x14ac:dyDescent="0.25">
      <c r="A4991" s="5"/>
      <c r="B4991" s="63" t="str">
        <f>IFERROR(TEXT(tbl_Ventes[[#This Row],[Date]],"mm-aaaa"),"")</f>
        <v>01-1900</v>
      </c>
      <c r="D4991" s="10" t="str">
        <f>IFERROR(
   INDEX(tbl_ProduitsRef[Cde_Prdt],MATCH(tbl_Ventes[[#This Row],[Produit]],tbl_ProduitsRef[Produit],0)),
   ""
)</f>
        <v/>
      </c>
      <c r="E4991" s="7">
        <v>0</v>
      </c>
      <c r="F4991" s="7" t="str">
        <f>IFERROR(
   INDEX(tbl_ProduitsRef[Prix Menu],MATCH(tbl_Ventes[[#This Row],[Produit]],tbl_ProduitsRef[Produit],0)),
   ""
)</f>
        <v/>
      </c>
      <c r="G4991" s="7">
        <f>tbl_Ventes[[#This Row],[Qté Vendue]] * IFERROR(_xlfn.XLOOKUP(tbl_Ventes[[#This Row],[Cde_Prdt]], tbl_Produits[Cde_Prdt], tbl_Produits[Prix Menu]), 0)</f>
        <v>0</v>
      </c>
      <c r="H4991" s="7">
        <f>IFERROR(_xlfn.XLOOKUP(tbl_Ventes[[#This Row],[Cde_Prdt]], tbl_Produits[Cde_Prdt], tbl_Produits[Coût Moyen Portion]), 0)</f>
        <v>0</v>
      </c>
      <c r="I4991" s="7">
        <f>tbl_Ventes[[#This Row],[Qté Vendue]] * tbl_Ventes[[#This Row],[CMP_par_portion]]</f>
        <v>0</v>
      </c>
      <c r="J4991" s="7">
        <f>tbl_Ventes[[#This Row],[CA ligne]] - tbl_Ventes[[#This Row],[Coût matière ligne]]</f>
        <v>0</v>
      </c>
      <c r="K4991" s="7" t="str">
        <f>IFERROR(INDEX(tbl_ProduitsRef[Famille], MATCH(tbl_Ventes[[#This Row],[Cde_Prdt]], tbl_Produits[Cde_Prdt], 0)), "")</f>
        <v/>
      </c>
    </row>
    <row r="4992" spans="1:11" x14ac:dyDescent="0.25">
      <c r="A4992" s="5"/>
      <c r="B4992" s="63" t="str">
        <f>IFERROR(TEXT(tbl_Ventes[[#This Row],[Date]],"mm-aaaa"),"")</f>
        <v>01-1900</v>
      </c>
      <c r="D4992" s="10" t="str">
        <f>IFERROR(
   INDEX(tbl_ProduitsRef[Cde_Prdt],MATCH(tbl_Ventes[[#This Row],[Produit]],tbl_ProduitsRef[Produit],0)),
   ""
)</f>
        <v/>
      </c>
      <c r="E4992" s="7">
        <v>0</v>
      </c>
      <c r="F4992" s="7" t="str">
        <f>IFERROR(
   INDEX(tbl_ProduitsRef[Prix Menu],MATCH(tbl_Ventes[[#This Row],[Produit]],tbl_ProduitsRef[Produit],0)),
   ""
)</f>
        <v/>
      </c>
      <c r="G4992" s="7">
        <f>tbl_Ventes[[#This Row],[Qté Vendue]] * IFERROR(_xlfn.XLOOKUP(tbl_Ventes[[#This Row],[Cde_Prdt]], tbl_Produits[Cde_Prdt], tbl_Produits[Prix Menu]), 0)</f>
        <v>0</v>
      </c>
      <c r="H4992" s="7">
        <f>IFERROR(_xlfn.XLOOKUP(tbl_Ventes[[#This Row],[Cde_Prdt]], tbl_Produits[Cde_Prdt], tbl_Produits[Coût Moyen Portion]), 0)</f>
        <v>0</v>
      </c>
      <c r="I4992" s="7">
        <f>tbl_Ventes[[#This Row],[Qté Vendue]] * tbl_Ventes[[#This Row],[CMP_par_portion]]</f>
        <v>0</v>
      </c>
      <c r="J4992" s="7">
        <f>tbl_Ventes[[#This Row],[CA ligne]] - tbl_Ventes[[#This Row],[Coût matière ligne]]</f>
        <v>0</v>
      </c>
      <c r="K4992" s="7" t="str">
        <f>IFERROR(INDEX(tbl_ProduitsRef[Famille], MATCH(tbl_Ventes[[#This Row],[Cde_Prdt]], tbl_Produits[Cde_Prdt], 0)), "")</f>
        <v/>
      </c>
    </row>
    <row r="4993" spans="1:11" x14ac:dyDescent="0.25">
      <c r="A4993" s="5"/>
      <c r="B4993" s="63" t="str">
        <f>IFERROR(TEXT(tbl_Ventes[[#This Row],[Date]],"mm-aaaa"),"")</f>
        <v>01-1900</v>
      </c>
      <c r="D4993" s="10" t="str">
        <f>IFERROR(
   INDEX(tbl_ProduitsRef[Cde_Prdt],MATCH(tbl_Ventes[[#This Row],[Produit]],tbl_ProduitsRef[Produit],0)),
   ""
)</f>
        <v/>
      </c>
      <c r="E4993" s="7">
        <v>0</v>
      </c>
      <c r="F4993" s="7" t="str">
        <f>IFERROR(
   INDEX(tbl_ProduitsRef[Prix Menu],MATCH(tbl_Ventes[[#This Row],[Produit]],tbl_ProduitsRef[Produit],0)),
   ""
)</f>
        <v/>
      </c>
      <c r="G4993" s="7">
        <f>tbl_Ventes[[#This Row],[Qté Vendue]] * IFERROR(_xlfn.XLOOKUP(tbl_Ventes[[#This Row],[Cde_Prdt]], tbl_Produits[Cde_Prdt], tbl_Produits[Prix Menu]), 0)</f>
        <v>0</v>
      </c>
      <c r="H4993" s="7">
        <f>IFERROR(_xlfn.XLOOKUP(tbl_Ventes[[#This Row],[Cde_Prdt]], tbl_Produits[Cde_Prdt], tbl_Produits[Coût Moyen Portion]), 0)</f>
        <v>0</v>
      </c>
      <c r="I4993" s="7">
        <f>tbl_Ventes[[#This Row],[Qté Vendue]] * tbl_Ventes[[#This Row],[CMP_par_portion]]</f>
        <v>0</v>
      </c>
      <c r="J4993" s="7">
        <f>tbl_Ventes[[#This Row],[CA ligne]] - tbl_Ventes[[#This Row],[Coût matière ligne]]</f>
        <v>0</v>
      </c>
      <c r="K4993" s="7" t="str">
        <f>IFERROR(INDEX(tbl_ProduitsRef[Famille], MATCH(tbl_Ventes[[#This Row],[Cde_Prdt]], tbl_Produits[Cde_Prdt], 0)), "")</f>
        <v/>
      </c>
    </row>
    <row r="4994" spans="1:11" x14ac:dyDescent="0.25">
      <c r="A4994" s="5"/>
      <c r="B4994" s="63" t="str">
        <f>IFERROR(TEXT(tbl_Ventes[[#This Row],[Date]],"mm-aaaa"),"")</f>
        <v>01-1900</v>
      </c>
      <c r="D4994" s="10" t="str">
        <f>IFERROR(
   INDEX(tbl_ProduitsRef[Cde_Prdt],MATCH(tbl_Ventes[[#This Row],[Produit]],tbl_ProduitsRef[Produit],0)),
   ""
)</f>
        <v/>
      </c>
      <c r="E4994" s="7">
        <v>0</v>
      </c>
      <c r="F4994" s="7" t="str">
        <f>IFERROR(
   INDEX(tbl_ProduitsRef[Prix Menu],MATCH(tbl_Ventes[[#This Row],[Produit]],tbl_ProduitsRef[Produit],0)),
   ""
)</f>
        <v/>
      </c>
      <c r="G4994" s="7">
        <f>tbl_Ventes[[#This Row],[Qté Vendue]] * IFERROR(_xlfn.XLOOKUP(tbl_Ventes[[#This Row],[Cde_Prdt]], tbl_Produits[Cde_Prdt], tbl_Produits[Prix Menu]), 0)</f>
        <v>0</v>
      </c>
      <c r="H4994" s="7">
        <f>IFERROR(_xlfn.XLOOKUP(tbl_Ventes[[#This Row],[Cde_Prdt]], tbl_Produits[Cde_Prdt], tbl_Produits[Coût Moyen Portion]), 0)</f>
        <v>0</v>
      </c>
      <c r="I4994" s="7">
        <f>tbl_Ventes[[#This Row],[Qté Vendue]] * tbl_Ventes[[#This Row],[CMP_par_portion]]</f>
        <v>0</v>
      </c>
      <c r="J4994" s="7">
        <f>tbl_Ventes[[#This Row],[CA ligne]] - tbl_Ventes[[#This Row],[Coût matière ligne]]</f>
        <v>0</v>
      </c>
      <c r="K4994" s="7" t="str">
        <f>IFERROR(INDEX(tbl_ProduitsRef[Famille], MATCH(tbl_Ventes[[#This Row],[Cde_Prdt]], tbl_Produits[Cde_Prdt], 0)), "")</f>
        <v/>
      </c>
    </row>
    <row r="4995" spans="1:11" x14ac:dyDescent="0.25">
      <c r="A4995" s="5"/>
      <c r="B4995" s="63" t="str">
        <f>IFERROR(TEXT(tbl_Ventes[[#This Row],[Date]],"mm-aaaa"),"")</f>
        <v>01-1900</v>
      </c>
      <c r="D4995" s="10" t="str">
        <f>IFERROR(
   INDEX(tbl_ProduitsRef[Cde_Prdt],MATCH(tbl_Ventes[[#This Row],[Produit]],tbl_ProduitsRef[Produit],0)),
   ""
)</f>
        <v/>
      </c>
      <c r="E4995" s="7">
        <v>0</v>
      </c>
      <c r="F4995" s="7" t="str">
        <f>IFERROR(
   INDEX(tbl_ProduitsRef[Prix Menu],MATCH(tbl_Ventes[[#This Row],[Produit]],tbl_ProduitsRef[Produit],0)),
   ""
)</f>
        <v/>
      </c>
      <c r="G4995" s="7">
        <f>tbl_Ventes[[#This Row],[Qté Vendue]] * IFERROR(_xlfn.XLOOKUP(tbl_Ventes[[#This Row],[Cde_Prdt]], tbl_Produits[Cde_Prdt], tbl_Produits[Prix Menu]), 0)</f>
        <v>0</v>
      </c>
      <c r="H4995" s="7">
        <f>IFERROR(_xlfn.XLOOKUP(tbl_Ventes[[#This Row],[Cde_Prdt]], tbl_Produits[Cde_Prdt], tbl_Produits[Coût Moyen Portion]), 0)</f>
        <v>0</v>
      </c>
      <c r="I4995" s="7">
        <f>tbl_Ventes[[#This Row],[Qté Vendue]] * tbl_Ventes[[#This Row],[CMP_par_portion]]</f>
        <v>0</v>
      </c>
      <c r="J4995" s="7">
        <f>tbl_Ventes[[#This Row],[CA ligne]] - tbl_Ventes[[#This Row],[Coût matière ligne]]</f>
        <v>0</v>
      </c>
      <c r="K4995" s="7" t="str">
        <f>IFERROR(INDEX(tbl_ProduitsRef[Famille], MATCH(tbl_Ventes[[#This Row],[Cde_Prdt]], tbl_Produits[Cde_Prdt], 0)), "")</f>
        <v/>
      </c>
    </row>
    <row r="4996" spans="1:11" x14ac:dyDescent="0.25">
      <c r="A4996" s="5"/>
      <c r="B4996" s="63" t="str">
        <f>IFERROR(TEXT(tbl_Ventes[[#This Row],[Date]],"mm-aaaa"),"")</f>
        <v>01-1900</v>
      </c>
      <c r="D4996" s="10" t="str">
        <f>IFERROR(
   INDEX(tbl_ProduitsRef[Cde_Prdt],MATCH(tbl_Ventes[[#This Row],[Produit]],tbl_ProduitsRef[Produit],0)),
   ""
)</f>
        <v/>
      </c>
      <c r="E4996" s="7">
        <v>0</v>
      </c>
      <c r="F4996" s="7" t="str">
        <f>IFERROR(
   INDEX(tbl_ProduitsRef[Prix Menu],MATCH(tbl_Ventes[[#This Row],[Produit]],tbl_ProduitsRef[Produit],0)),
   ""
)</f>
        <v/>
      </c>
      <c r="G4996" s="7">
        <f>tbl_Ventes[[#This Row],[Qté Vendue]] * IFERROR(_xlfn.XLOOKUP(tbl_Ventes[[#This Row],[Cde_Prdt]], tbl_Produits[Cde_Prdt], tbl_Produits[Prix Menu]), 0)</f>
        <v>0</v>
      </c>
      <c r="H4996" s="7">
        <f>IFERROR(_xlfn.XLOOKUP(tbl_Ventes[[#This Row],[Cde_Prdt]], tbl_Produits[Cde_Prdt], tbl_Produits[Coût Moyen Portion]), 0)</f>
        <v>0</v>
      </c>
      <c r="I4996" s="7">
        <f>tbl_Ventes[[#This Row],[Qté Vendue]] * tbl_Ventes[[#This Row],[CMP_par_portion]]</f>
        <v>0</v>
      </c>
      <c r="J4996" s="7">
        <f>tbl_Ventes[[#This Row],[CA ligne]] - tbl_Ventes[[#This Row],[Coût matière ligne]]</f>
        <v>0</v>
      </c>
      <c r="K4996" s="7" t="str">
        <f>IFERROR(INDEX(tbl_ProduitsRef[Famille], MATCH(tbl_Ventes[[#This Row],[Cde_Prdt]], tbl_Produits[Cde_Prdt], 0)), "")</f>
        <v/>
      </c>
    </row>
    <row r="4997" spans="1:11" x14ac:dyDescent="0.25">
      <c r="A4997" s="5"/>
      <c r="B4997" s="63" t="str">
        <f>IFERROR(TEXT(tbl_Ventes[[#This Row],[Date]],"mm-aaaa"),"")</f>
        <v>01-1900</v>
      </c>
      <c r="D4997" s="10" t="str">
        <f>IFERROR(
   INDEX(tbl_ProduitsRef[Cde_Prdt],MATCH(tbl_Ventes[[#This Row],[Produit]],tbl_ProduitsRef[Produit],0)),
   ""
)</f>
        <v/>
      </c>
      <c r="E4997" s="7">
        <v>0</v>
      </c>
      <c r="F4997" s="7" t="str">
        <f>IFERROR(
   INDEX(tbl_ProduitsRef[Prix Menu],MATCH(tbl_Ventes[[#This Row],[Produit]],tbl_ProduitsRef[Produit],0)),
   ""
)</f>
        <v/>
      </c>
      <c r="G4997" s="7">
        <f>tbl_Ventes[[#This Row],[Qté Vendue]] * IFERROR(_xlfn.XLOOKUP(tbl_Ventes[[#This Row],[Cde_Prdt]], tbl_Produits[Cde_Prdt], tbl_Produits[Prix Menu]), 0)</f>
        <v>0</v>
      </c>
      <c r="H4997" s="7">
        <f>IFERROR(_xlfn.XLOOKUP(tbl_Ventes[[#This Row],[Cde_Prdt]], tbl_Produits[Cde_Prdt], tbl_Produits[Coût Moyen Portion]), 0)</f>
        <v>0</v>
      </c>
      <c r="I4997" s="7">
        <f>tbl_Ventes[[#This Row],[Qté Vendue]] * tbl_Ventes[[#This Row],[CMP_par_portion]]</f>
        <v>0</v>
      </c>
      <c r="J4997" s="7">
        <f>tbl_Ventes[[#This Row],[CA ligne]] - tbl_Ventes[[#This Row],[Coût matière ligne]]</f>
        <v>0</v>
      </c>
      <c r="K4997" s="7" t="str">
        <f>IFERROR(INDEX(tbl_ProduitsRef[Famille], MATCH(tbl_Ventes[[#This Row],[Cde_Prdt]], tbl_Produits[Cde_Prdt], 0)), "")</f>
        <v/>
      </c>
    </row>
    <row r="4998" spans="1:11" x14ac:dyDescent="0.25">
      <c r="A4998" s="5"/>
      <c r="B4998" s="63" t="str">
        <f>IFERROR(TEXT(tbl_Ventes[[#This Row],[Date]],"mm-aaaa"),"")</f>
        <v>01-1900</v>
      </c>
      <c r="D4998" s="10" t="str">
        <f>IFERROR(
   INDEX(tbl_ProduitsRef[Cde_Prdt],MATCH(tbl_Ventes[[#This Row],[Produit]],tbl_ProduitsRef[Produit],0)),
   ""
)</f>
        <v/>
      </c>
      <c r="E4998" s="7">
        <v>0</v>
      </c>
      <c r="F4998" s="7" t="str">
        <f>IFERROR(
   INDEX(tbl_ProduitsRef[Prix Menu],MATCH(tbl_Ventes[[#This Row],[Produit]],tbl_ProduitsRef[Produit],0)),
   ""
)</f>
        <v/>
      </c>
      <c r="G4998" s="7">
        <f>tbl_Ventes[[#This Row],[Qté Vendue]] * IFERROR(_xlfn.XLOOKUP(tbl_Ventes[[#This Row],[Cde_Prdt]], tbl_Produits[Cde_Prdt], tbl_Produits[Prix Menu]), 0)</f>
        <v>0</v>
      </c>
      <c r="H4998" s="7">
        <f>IFERROR(_xlfn.XLOOKUP(tbl_Ventes[[#This Row],[Cde_Prdt]], tbl_Produits[Cde_Prdt], tbl_Produits[Coût Moyen Portion]), 0)</f>
        <v>0</v>
      </c>
      <c r="I4998" s="7">
        <f>tbl_Ventes[[#This Row],[Qté Vendue]] * tbl_Ventes[[#This Row],[CMP_par_portion]]</f>
        <v>0</v>
      </c>
      <c r="J4998" s="7">
        <f>tbl_Ventes[[#This Row],[CA ligne]] - tbl_Ventes[[#This Row],[Coût matière ligne]]</f>
        <v>0</v>
      </c>
      <c r="K4998" s="7" t="str">
        <f>IFERROR(INDEX(tbl_ProduitsRef[Famille], MATCH(tbl_Ventes[[#This Row],[Cde_Prdt]], tbl_Produits[Cde_Prdt], 0)), "")</f>
        <v/>
      </c>
    </row>
    <row r="4999" spans="1:11" x14ac:dyDescent="0.25">
      <c r="A4999" s="5"/>
      <c r="B4999" s="63" t="str">
        <f>IFERROR(TEXT(tbl_Ventes[[#This Row],[Date]],"mm-aaaa"),"")</f>
        <v>01-1900</v>
      </c>
      <c r="D4999" s="10" t="str">
        <f>IFERROR(
   INDEX(tbl_ProduitsRef[Cde_Prdt],MATCH(tbl_Ventes[[#This Row],[Produit]],tbl_ProduitsRef[Produit],0)),
   ""
)</f>
        <v/>
      </c>
      <c r="E4999" s="7">
        <v>0</v>
      </c>
      <c r="F4999" s="7" t="str">
        <f>IFERROR(
   INDEX(tbl_ProduitsRef[Prix Menu],MATCH(tbl_Ventes[[#This Row],[Produit]],tbl_ProduitsRef[Produit],0)),
   ""
)</f>
        <v/>
      </c>
      <c r="G4999" s="7">
        <f>tbl_Ventes[[#This Row],[Qté Vendue]] * IFERROR(_xlfn.XLOOKUP(tbl_Ventes[[#This Row],[Cde_Prdt]], tbl_Produits[Cde_Prdt], tbl_Produits[Prix Menu]), 0)</f>
        <v>0</v>
      </c>
      <c r="H4999" s="7">
        <f>IFERROR(_xlfn.XLOOKUP(tbl_Ventes[[#This Row],[Cde_Prdt]], tbl_Produits[Cde_Prdt], tbl_Produits[Coût Moyen Portion]), 0)</f>
        <v>0</v>
      </c>
      <c r="I4999" s="7">
        <f>tbl_Ventes[[#This Row],[Qté Vendue]] * tbl_Ventes[[#This Row],[CMP_par_portion]]</f>
        <v>0</v>
      </c>
      <c r="J4999" s="7">
        <f>tbl_Ventes[[#This Row],[CA ligne]] - tbl_Ventes[[#This Row],[Coût matière ligne]]</f>
        <v>0</v>
      </c>
      <c r="K4999" s="7" t="str">
        <f>IFERROR(INDEX(tbl_ProduitsRef[Famille], MATCH(tbl_Ventes[[#This Row],[Cde_Prdt]], tbl_Produits[Cde_Prdt], 0)), "")</f>
        <v/>
      </c>
    </row>
    <row r="5000" spans="1:11" x14ac:dyDescent="0.25">
      <c r="A5000" s="5"/>
      <c r="B5000" s="63" t="str">
        <f>IFERROR(TEXT(tbl_Ventes[[#This Row],[Date]],"mm-aaaa"),"")</f>
        <v>01-1900</v>
      </c>
      <c r="D5000" s="10" t="str">
        <f>IFERROR(
   INDEX(tbl_ProduitsRef[Cde_Prdt],MATCH(tbl_Ventes[[#This Row],[Produit]],tbl_ProduitsRef[Produit],0)),
   ""
)</f>
        <v/>
      </c>
      <c r="E5000" s="7">
        <v>0</v>
      </c>
      <c r="F5000" s="7" t="str">
        <f>IFERROR(
   INDEX(tbl_ProduitsRef[Prix Menu],MATCH(tbl_Ventes[[#This Row],[Produit]],tbl_ProduitsRef[Produit],0)),
   ""
)</f>
        <v/>
      </c>
      <c r="G5000" s="7">
        <f>tbl_Ventes[[#This Row],[Qté Vendue]] * IFERROR(_xlfn.XLOOKUP(tbl_Ventes[[#This Row],[Cde_Prdt]], tbl_Produits[Cde_Prdt], tbl_Produits[Prix Menu]), 0)</f>
        <v>0</v>
      </c>
      <c r="H5000" s="7">
        <f>IFERROR(_xlfn.XLOOKUP(tbl_Ventes[[#This Row],[Cde_Prdt]], tbl_Produits[Cde_Prdt], tbl_Produits[Coût Moyen Portion]), 0)</f>
        <v>0</v>
      </c>
      <c r="I5000" s="7">
        <f>tbl_Ventes[[#This Row],[Qté Vendue]] * tbl_Ventes[[#This Row],[CMP_par_portion]]</f>
        <v>0</v>
      </c>
      <c r="J5000" s="7">
        <f>tbl_Ventes[[#This Row],[CA ligne]] - tbl_Ventes[[#This Row],[Coût matière ligne]]</f>
        <v>0</v>
      </c>
      <c r="K5000" s="7" t="str">
        <f>IFERROR(INDEX(tbl_ProduitsRef[Famille], MATCH(tbl_Ventes[[#This Row],[Cde_Prdt]], tbl_Produits[Cde_Prdt], 0)), "")</f>
        <v/>
      </c>
    </row>
  </sheetData>
  <pageMargins left="0.7" right="0.7" top="0.75" bottom="0.75" header="0.3" footer="0.3"/>
  <ignoredErrors>
    <ignoredError sqref="I2:J2" calculatedColum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tbl_Produits!$B$2:$B$276</xm:f>
          </x14:formula1>
          <xm:sqref>C2:C5000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1:G51"/>
  <sheetViews>
    <sheetView topLeftCell="C42" zoomScale="85" zoomScaleNormal="85" workbookViewId="0">
      <selection activeCell="H50" sqref="H50"/>
    </sheetView>
  </sheetViews>
  <sheetFormatPr baseColWidth="10" defaultColWidth="83.7109375" defaultRowHeight="15" x14ac:dyDescent="0.25"/>
  <cols>
    <col min="1" max="1" width="15.28515625" style="13" bestFit="1" customWidth="1"/>
    <col min="2" max="2" width="20.5703125" style="13" bestFit="1" customWidth="1"/>
    <col min="3" max="3" width="34.28515625" style="13" bestFit="1" customWidth="1"/>
    <col min="4" max="4" width="23" style="13" bestFit="1" customWidth="1"/>
    <col min="5" max="5" width="23.140625" style="31" bestFit="1" customWidth="1"/>
    <col min="6" max="6" width="22.28515625" style="13" bestFit="1" customWidth="1"/>
    <col min="7" max="7" width="29.140625" style="13" bestFit="1" customWidth="1"/>
    <col min="8" max="8" width="83.7109375" style="13" customWidth="1"/>
    <col min="9" max="16384" width="83.7109375" style="13"/>
  </cols>
  <sheetData>
    <row r="1" spans="1:7" x14ac:dyDescent="0.25">
      <c r="A1" s="28" t="s">
        <v>85</v>
      </c>
      <c r="B1" s="18" t="s">
        <v>86</v>
      </c>
      <c r="C1" s="18" t="s">
        <v>87</v>
      </c>
      <c r="D1" s="18" t="s">
        <v>88</v>
      </c>
      <c r="E1" s="61" t="s">
        <v>89</v>
      </c>
      <c r="F1" s="18" t="s">
        <v>90</v>
      </c>
      <c r="G1" s="18" t="s">
        <v>91</v>
      </c>
    </row>
    <row r="2" spans="1:7" x14ac:dyDescent="0.25">
      <c r="A2" s="29" t="s">
        <v>92</v>
      </c>
      <c r="B2" s="17" t="s">
        <v>93</v>
      </c>
      <c r="C2" s="17" t="s">
        <v>94</v>
      </c>
      <c r="D2" s="17" t="s">
        <v>95</v>
      </c>
      <c r="E2" s="69">
        <v>200000</v>
      </c>
      <c r="F2" s="17" t="s">
        <v>96</v>
      </c>
      <c r="G2" s="137" t="s">
        <v>95</v>
      </c>
    </row>
    <row r="3" spans="1:7" x14ac:dyDescent="0.25">
      <c r="A3" s="29" t="s">
        <v>97</v>
      </c>
      <c r="B3" s="17" t="s">
        <v>93</v>
      </c>
      <c r="C3" s="17" t="s">
        <v>98</v>
      </c>
      <c r="D3" s="17" t="s">
        <v>95</v>
      </c>
      <c r="E3" s="69">
        <v>1300</v>
      </c>
      <c r="F3" s="17" t="s">
        <v>96</v>
      </c>
      <c r="G3" s="137" t="s">
        <v>95</v>
      </c>
    </row>
    <row r="4" spans="1:7" x14ac:dyDescent="0.25">
      <c r="A4" s="29" t="s">
        <v>99</v>
      </c>
      <c r="B4" s="17" t="s">
        <v>100</v>
      </c>
      <c r="C4" s="17" t="s">
        <v>101</v>
      </c>
      <c r="D4" s="17" t="s">
        <v>95</v>
      </c>
      <c r="E4" s="69">
        <v>2900</v>
      </c>
      <c r="F4" s="17" t="s">
        <v>96</v>
      </c>
      <c r="G4" s="137" t="s">
        <v>95</v>
      </c>
    </row>
    <row r="5" spans="1:7" x14ac:dyDescent="0.25">
      <c r="A5" s="29" t="s">
        <v>102</v>
      </c>
      <c r="B5" s="17" t="s">
        <v>100</v>
      </c>
      <c r="C5" s="38" t="s">
        <v>103</v>
      </c>
      <c r="D5" s="38" t="s">
        <v>20</v>
      </c>
      <c r="E5" s="69">
        <f>6*4000</f>
        <v>24000</v>
      </c>
      <c r="F5" s="17" t="s">
        <v>96</v>
      </c>
      <c r="G5" s="138" t="s">
        <v>104</v>
      </c>
    </row>
    <row r="6" spans="1:7" x14ac:dyDescent="0.25">
      <c r="A6" s="29" t="s">
        <v>105</v>
      </c>
      <c r="B6" s="17" t="s">
        <v>100</v>
      </c>
      <c r="C6" s="38" t="s">
        <v>106</v>
      </c>
      <c r="D6" s="38" t="s">
        <v>21</v>
      </c>
      <c r="E6" s="69">
        <f>+E5</f>
        <v>24000</v>
      </c>
      <c r="F6" s="17" t="s">
        <v>96</v>
      </c>
      <c r="G6" s="138" t="s">
        <v>104</v>
      </c>
    </row>
    <row r="7" spans="1:7" x14ac:dyDescent="0.25">
      <c r="A7" s="29" t="s">
        <v>107</v>
      </c>
      <c r="B7" s="17" t="s">
        <v>100</v>
      </c>
      <c r="C7" s="38" t="s">
        <v>108</v>
      </c>
      <c r="D7" s="38" t="s">
        <v>22</v>
      </c>
      <c r="E7" s="69">
        <f>+E6</f>
        <v>24000</v>
      </c>
      <c r="F7" s="17" t="s">
        <v>96</v>
      </c>
      <c r="G7" s="138" t="s">
        <v>104</v>
      </c>
    </row>
    <row r="8" spans="1:7" x14ac:dyDescent="0.25">
      <c r="A8" s="29" t="s">
        <v>109</v>
      </c>
      <c r="B8" s="17" t="s">
        <v>100</v>
      </c>
      <c r="C8" s="38" t="s">
        <v>110</v>
      </c>
      <c r="D8" s="17" t="s">
        <v>95</v>
      </c>
      <c r="E8" s="69">
        <f>60*3000</f>
        <v>180000</v>
      </c>
      <c r="F8" s="17" t="s">
        <v>96</v>
      </c>
      <c r="G8" s="137" t="s">
        <v>95</v>
      </c>
    </row>
    <row r="9" spans="1:7" x14ac:dyDescent="0.25">
      <c r="A9" s="29" t="s">
        <v>111</v>
      </c>
      <c r="B9" s="17" t="s">
        <v>100</v>
      </c>
      <c r="C9" s="38" t="s">
        <v>112</v>
      </c>
      <c r="D9" s="38" t="s">
        <v>24</v>
      </c>
      <c r="E9" s="69">
        <f>8*5000</f>
        <v>40000</v>
      </c>
      <c r="F9" s="17" t="s">
        <v>96</v>
      </c>
      <c r="G9" s="138" t="s">
        <v>104</v>
      </c>
    </row>
    <row r="10" spans="1:7" x14ac:dyDescent="0.25">
      <c r="A10" s="29" t="s">
        <v>113</v>
      </c>
      <c r="B10" s="17" t="s">
        <v>100</v>
      </c>
      <c r="C10" s="38" t="s">
        <v>114</v>
      </c>
      <c r="D10" s="38" t="s">
        <v>25</v>
      </c>
      <c r="E10" s="69">
        <f>4*6000</f>
        <v>24000</v>
      </c>
      <c r="F10" s="17" t="s">
        <v>96</v>
      </c>
      <c r="G10" s="138" t="s">
        <v>104</v>
      </c>
    </row>
    <row r="11" spans="1:7" x14ac:dyDescent="0.25">
      <c r="A11" s="29" t="s">
        <v>115</v>
      </c>
      <c r="B11" s="17" t="s">
        <v>100</v>
      </c>
      <c r="C11" s="38" t="s">
        <v>116</v>
      </c>
      <c r="D11" s="38" t="s">
        <v>26</v>
      </c>
      <c r="E11" s="69">
        <v>6540</v>
      </c>
      <c r="F11" s="17" t="s">
        <v>96</v>
      </c>
      <c r="G11" s="138" t="s">
        <v>104</v>
      </c>
    </row>
    <row r="12" spans="1:7" x14ac:dyDescent="0.25">
      <c r="A12" s="29" t="s">
        <v>117</v>
      </c>
      <c r="B12" s="17" t="s">
        <v>100</v>
      </c>
      <c r="C12" s="38" t="s">
        <v>118</v>
      </c>
      <c r="D12" s="38" t="s">
        <v>27</v>
      </c>
      <c r="E12" s="69">
        <v>6555</v>
      </c>
      <c r="F12" s="17" t="s">
        <v>96</v>
      </c>
      <c r="G12" s="138" t="s">
        <v>104</v>
      </c>
    </row>
    <row r="13" spans="1:7" x14ac:dyDescent="0.25">
      <c r="A13" s="29" t="s">
        <v>119</v>
      </c>
      <c r="B13" s="17" t="s">
        <v>100</v>
      </c>
      <c r="C13" s="38" t="s">
        <v>120</v>
      </c>
      <c r="D13" s="38" t="s">
        <v>28</v>
      </c>
      <c r="E13" s="69">
        <v>65555</v>
      </c>
      <c r="F13" s="17" t="s">
        <v>96</v>
      </c>
      <c r="G13" s="138" t="s">
        <v>104</v>
      </c>
    </row>
    <row r="14" spans="1:7" x14ac:dyDescent="0.25">
      <c r="A14" s="29" t="s">
        <v>121</v>
      </c>
      <c r="B14" s="17" t="s">
        <v>100</v>
      </c>
      <c r="C14" s="38" t="s">
        <v>122</v>
      </c>
      <c r="D14" s="38" t="s">
        <v>29</v>
      </c>
      <c r="E14" s="69">
        <v>21000</v>
      </c>
      <c r="F14" s="17" t="s">
        <v>96</v>
      </c>
      <c r="G14" s="138" t="s">
        <v>104</v>
      </c>
    </row>
    <row r="15" spans="1:7" x14ac:dyDescent="0.25">
      <c r="A15" s="29" t="s">
        <v>123</v>
      </c>
      <c r="B15" s="17" t="s">
        <v>100</v>
      </c>
      <c r="C15" s="38" t="s">
        <v>124</v>
      </c>
      <c r="D15" s="38" t="s">
        <v>30</v>
      </c>
      <c r="E15" s="69">
        <v>21000</v>
      </c>
      <c r="F15" s="17" t="s">
        <v>96</v>
      </c>
      <c r="G15" s="138" t="s">
        <v>104</v>
      </c>
    </row>
    <row r="16" spans="1:7" x14ac:dyDescent="0.25">
      <c r="A16" s="29" t="s">
        <v>125</v>
      </c>
      <c r="B16" s="17" t="s">
        <v>100</v>
      </c>
      <c r="C16" s="38" t="s">
        <v>126</v>
      </c>
      <c r="D16" s="38" t="s">
        <v>31</v>
      </c>
      <c r="E16" s="69">
        <v>20000</v>
      </c>
      <c r="F16" s="17" t="s">
        <v>96</v>
      </c>
      <c r="G16" s="138" t="s">
        <v>104</v>
      </c>
    </row>
    <row r="17" spans="1:7" x14ac:dyDescent="0.25">
      <c r="A17" s="29" t="s">
        <v>127</v>
      </c>
      <c r="B17" s="17" t="s">
        <v>100</v>
      </c>
      <c r="C17" s="38" t="s">
        <v>128</v>
      </c>
      <c r="D17" s="38" t="s">
        <v>32</v>
      </c>
      <c r="E17" s="69">
        <v>5000</v>
      </c>
      <c r="F17" s="17" t="s">
        <v>96</v>
      </c>
      <c r="G17" s="138" t="s">
        <v>104</v>
      </c>
    </row>
    <row r="18" spans="1:7" x14ac:dyDescent="0.25">
      <c r="A18" s="29" t="s">
        <v>129</v>
      </c>
      <c r="B18" s="17" t="s">
        <v>100</v>
      </c>
      <c r="C18" s="38" t="s">
        <v>130</v>
      </c>
      <c r="D18" s="38" t="s">
        <v>33</v>
      </c>
      <c r="E18" s="69">
        <v>15000</v>
      </c>
      <c r="F18" s="17" t="s">
        <v>96</v>
      </c>
      <c r="G18" s="138" t="s">
        <v>104</v>
      </c>
    </row>
    <row r="19" spans="1:7" x14ac:dyDescent="0.25">
      <c r="A19" s="29" t="s">
        <v>131</v>
      </c>
      <c r="B19" s="17" t="s">
        <v>100</v>
      </c>
      <c r="C19" s="38" t="s">
        <v>132</v>
      </c>
      <c r="D19" s="38" t="s">
        <v>34</v>
      </c>
      <c r="E19" s="69">
        <v>35000</v>
      </c>
      <c r="F19" s="17" t="s">
        <v>96</v>
      </c>
      <c r="G19" s="138" t="s">
        <v>104</v>
      </c>
    </row>
    <row r="20" spans="1:7" x14ac:dyDescent="0.25">
      <c r="A20" s="29" t="s">
        <v>133</v>
      </c>
      <c r="B20" s="17" t="s">
        <v>100</v>
      </c>
      <c r="C20" s="38" t="s">
        <v>134</v>
      </c>
      <c r="D20" s="38" t="s">
        <v>35</v>
      </c>
      <c r="E20" s="69">
        <v>14000</v>
      </c>
      <c r="F20" s="17" t="s">
        <v>96</v>
      </c>
      <c r="G20" s="138" t="s">
        <v>104</v>
      </c>
    </row>
    <row r="21" spans="1:7" x14ac:dyDescent="0.25">
      <c r="A21" s="29" t="s">
        <v>135</v>
      </c>
      <c r="B21" s="17" t="s">
        <v>100</v>
      </c>
      <c r="C21" s="38" t="s">
        <v>136</v>
      </c>
      <c r="D21" s="38" t="s">
        <v>36</v>
      </c>
      <c r="E21" s="69">
        <v>35000</v>
      </c>
      <c r="F21" s="17" t="s">
        <v>96</v>
      </c>
      <c r="G21" s="138" t="s">
        <v>104</v>
      </c>
    </row>
    <row r="22" spans="1:7" x14ac:dyDescent="0.25">
      <c r="A22" s="29" t="s">
        <v>137</v>
      </c>
      <c r="B22" s="17" t="s">
        <v>100</v>
      </c>
      <c r="C22" s="38" t="s">
        <v>138</v>
      </c>
      <c r="D22" s="38" t="s">
        <v>37</v>
      </c>
      <c r="E22" s="69">
        <v>10000</v>
      </c>
      <c r="F22" s="17" t="s">
        <v>96</v>
      </c>
      <c r="G22" s="138" t="s">
        <v>104</v>
      </c>
    </row>
    <row r="23" spans="1:7" x14ac:dyDescent="0.25">
      <c r="A23" s="29" t="s">
        <v>139</v>
      </c>
      <c r="B23" s="17" t="s">
        <v>100</v>
      </c>
      <c r="C23" s="32" t="s">
        <v>140</v>
      </c>
      <c r="D23" s="32" t="s">
        <v>38</v>
      </c>
      <c r="E23" s="69">
        <v>40000</v>
      </c>
      <c r="F23" s="17" t="s">
        <v>96</v>
      </c>
      <c r="G23" s="138" t="s">
        <v>104</v>
      </c>
    </row>
    <row r="24" spans="1:7" x14ac:dyDescent="0.25">
      <c r="A24" s="29" t="s">
        <v>141</v>
      </c>
      <c r="B24" s="17" t="s">
        <v>100</v>
      </c>
      <c r="C24" s="17" t="s">
        <v>142</v>
      </c>
      <c r="D24" s="17" t="s">
        <v>95</v>
      </c>
      <c r="E24" s="69">
        <f>SUM(E6:E10)*12.6%</f>
        <v>36792</v>
      </c>
      <c r="F24" s="17" t="s">
        <v>96</v>
      </c>
      <c r="G24" s="137" t="s">
        <v>95</v>
      </c>
    </row>
    <row r="25" spans="1:7" x14ac:dyDescent="0.25">
      <c r="A25" s="29" t="s">
        <v>143</v>
      </c>
      <c r="B25" s="17" t="s">
        <v>100</v>
      </c>
      <c r="C25" s="17" t="s">
        <v>144</v>
      </c>
      <c r="D25" s="17" t="s">
        <v>95</v>
      </c>
      <c r="E25" s="69">
        <v>1200</v>
      </c>
      <c r="F25" s="17" t="s">
        <v>96</v>
      </c>
      <c r="G25" s="137" t="s">
        <v>95</v>
      </c>
    </row>
    <row r="26" spans="1:7" x14ac:dyDescent="0.25">
      <c r="A26" s="29" t="s">
        <v>145</v>
      </c>
      <c r="B26" s="17" t="s">
        <v>100</v>
      </c>
      <c r="C26" s="17" t="s">
        <v>144</v>
      </c>
      <c r="D26" s="17" t="s">
        <v>95</v>
      </c>
      <c r="E26" s="69">
        <v>1200</v>
      </c>
      <c r="F26" s="17" t="s">
        <v>96</v>
      </c>
      <c r="G26" s="137" t="s">
        <v>95</v>
      </c>
    </row>
    <row r="27" spans="1:7" x14ac:dyDescent="0.25">
      <c r="A27" s="29" t="s">
        <v>146</v>
      </c>
      <c r="B27" s="17" t="s">
        <v>100</v>
      </c>
      <c r="C27" s="17" t="s">
        <v>144</v>
      </c>
      <c r="D27" s="17" t="s">
        <v>95</v>
      </c>
      <c r="E27" s="69">
        <v>1200</v>
      </c>
      <c r="F27" s="17" t="s">
        <v>96</v>
      </c>
      <c r="G27" s="137" t="s">
        <v>95</v>
      </c>
    </row>
    <row r="28" spans="1:7" x14ac:dyDescent="0.25">
      <c r="A28" s="29" t="s">
        <v>147</v>
      </c>
      <c r="B28" s="17" t="s">
        <v>100</v>
      </c>
      <c r="C28" s="17" t="s">
        <v>144</v>
      </c>
      <c r="D28" s="17" t="s">
        <v>95</v>
      </c>
      <c r="E28" s="69">
        <v>1200</v>
      </c>
      <c r="F28" s="17" t="s">
        <v>96</v>
      </c>
      <c r="G28" s="137" t="s">
        <v>95</v>
      </c>
    </row>
    <row r="29" spans="1:7" x14ac:dyDescent="0.25">
      <c r="A29" s="29" t="s">
        <v>148</v>
      </c>
      <c r="B29" s="17" t="s">
        <v>149</v>
      </c>
      <c r="C29" s="17" t="s">
        <v>150</v>
      </c>
      <c r="D29" s="17" t="s">
        <v>95</v>
      </c>
      <c r="E29" s="69">
        <v>7000</v>
      </c>
      <c r="F29" s="17" t="s">
        <v>96</v>
      </c>
      <c r="G29" s="137" t="s">
        <v>95</v>
      </c>
    </row>
    <row r="30" spans="1:7" x14ac:dyDescent="0.25">
      <c r="A30" s="29" t="s">
        <v>151</v>
      </c>
      <c r="B30" s="17" t="s">
        <v>149</v>
      </c>
      <c r="C30" s="17" t="s">
        <v>152</v>
      </c>
      <c r="D30" s="17" t="s">
        <v>95</v>
      </c>
      <c r="E30" s="69">
        <v>5000</v>
      </c>
      <c r="F30" s="17" t="s">
        <v>96</v>
      </c>
      <c r="G30" s="137" t="s">
        <v>95</v>
      </c>
    </row>
    <row r="31" spans="1:7" x14ac:dyDescent="0.25">
      <c r="A31" s="29" t="s">
        <v>153</v>
      </c>
      <c r="B31" s="17" t="s">
        <v>154</v>
      </c>
      <c r="C31" s="17" t="s">
        <v>155</v>
      </c>
      <c r="D31" s="17" t="s">
        <v>95</v>
      </c>
      <c r="E31" s="69">
        <v>2500</v>
      </c>
      <c r="F31" s="17" t="s">
        <v>96</v>
      </c>
      <c r="G31" s="137" t="s">
        <v>95</v>
      </c>
    </row>
    <row r="32" spans="1:7" x14ac:dyDescent="0.25">
      <c r="A32" s="29" t="s">
        <v>156</v>
      </c>
      <c r="B32" s="17" t="s">
        <v>157</v>
      </c>
      <c r="C32" s="17" t="s">
        <v>158</v>
      </c>
      <c r="D32" s="17" t="s">
        <v>95</v>
      </c>
      <c r="E32" s="69">
        <v>6000</v>
      </c>
      <c r="F32" s="17" t="s">
        <v>96</v>
      </c>
      <c r="G32" s="137" t="s">
        <v>95</v>
      </c>
    </row>
    <row r="33" spans="1:7" x14ac:dyDescent="0.25">
      <c r="A33" s="29" t="s">
        <v>159</v>
      </c>
      <c r="B33" s="17" t="s">
        <v>157</v>
      </c>
      <c r="C33" s="17" t="s">
        <v>160</v>
      </c>
      <c r="D33" s="17" t="s">
        <v>95</v>
      </c>
      <c r="E33" s="69">
        <v>25000</v>
      </c>
      <c r="F33" s="17" t="s">
        <v>96</v>
      </c>
      <c r="G33" s="137" t="s">
        <v>95</v>
      </c>
    </row>
    <row r="34" spans="1:7" x14ac:dyDescent="0.25">
      <c r="A34" s="29" t="s">
        <v>161</v>
      </c>
      <c r="B34" s="17" t="s">
        <v>162</v>
      </c>
      <c r="C34" s="17" t="s">
        <v>163</v>
      </c>
      <c r="D34" s="17" t="s">
        <v>95</v>
      </c>
      <c r="E34" s="69">
        <v>5000</v>
      </c>
      <c r="F34" s="17" t="s">
        <v>96</v>
      </c>
      <c r="G34" s="137" t="s">
        <v>95</v>
      </c>
    </row>
    <row r="35" spans="1:7" x14ac:dyDescent="0.25">
      <c r="A35" s="29" t="s">
        <v>164</v>
      </c>
      <c r="B35" s="17" t="s">
        <v>162</v>
      </c>
      <c r="C35" s="17" t="s">
        <v>165</v>
      </c>
      <c r="D35" s="17" t="s">
        <v>95</v>
      </c>
      <c r="E35" s="69">
        <v>3000</v>
      </c>
      <c r="F35" s="17" t="s">
        <v>96</v>
      </c>
      <c r="G35" s="137" t="s">
        <v>95</v>
      </c>
    </row>
    <row r="36" spans="1:7" x14ac:dyDescent="0.25">
      <c r="A36" s="29" t="s">
        <v>166</v>
      </c>
      <c r="B36" s="17" t="s">
        <v>167</v>
      </c>
      <c r="C36" s="17" t="s">
        <v>168</v>
      </c>
      <c r="D36" s="17" t="s">
        <v>95</v>
      </c>
      <c r="E36" s="69">
        <v>3500</v>
      </c>
      <c r="F36" s="17" t="s">
        <v>96</v>
      </c>
      <c r="G36" s="137" t="s">
        <v>95</v>
      </c>
    </row>
    <row r="37" spans="1:7" x14ac:dyDescent="0.25">
      <c r="A37" s="29" t="s">
        <v>169</v>
      </c>
      <c r="B37" s="17" t="s">
        <v>170</v>
      </c>
      <c r="C37" s="17" t="s">
        <v>171</v>
      </c>
      <c r="D37" s="17" t="s">
        <v>95</v>
      </c>
      <c r="E37" s="69">
        <v>600</v>
      </c>
      <c r="F37" s="17" t="s">
        <v>96</v>
      </c>
      <c r="G37" s="137" t="s">
        <v>95</v>
      </c>
    </row>
    <row r="38" spans="1:7" x14ac:dyDescent="0.25">
      <c r="A38" s="29" t="s">
        <v>172</v>
      </c>
      <c r="B38" s="17" t="s">
        <v>173</v>
      </c>
      <c r="C38" s="17" t="s">
        <v>174</v>
      </c>
      <c r="D38" s="17" t="s">
        <v>95</v>
      </c>
      <c r="E38" s="69">
        <v>1200</v>
      </c>
      <c r="F38" s="17" t="s">
        <v>96</v>
      </c>
      <c r="G38" s="137" t="s">
        <v>95</v>
      </c>
    </row>
    <row r="39" spans="1:7" x14ac:dyDescent="0.25">
      <c r="A39" s="29" t="s">
        <v>175</v>
      </c>
      <c r="B39" s="17" t="s">
        <v>176</v>
      </c>
      <c r="C39" s="17" t="s">
        <v>177</v>
      </c>
      <c r="D39" s="17" t="s">
        <v>95</v>
      </c>
      <c r="E39" s="69">
        <v>300</v>
      </c>
      <c r="F39" s="17" t="s">
        <v>96</v>
      </c>
      <c r="G39" s="137" t="s">
        <v>95</v>
      </c>
    </row>
    <row r="40" spans="1:7" x14ac:dyDescent="0.25">
      <c r="A40" s="29" t="s">
        <v>178</v>
      </c>
      <c r="B40" s="17" t="s">
        <v>179</v>
      </c>
      <c r="C40" s="17" t="s">
        <v>180</v>
      </c>
      <c r="D40" s="17" t="s">
        <v>95</v>
      </c>
      <c r="E40" s="69">
        <v>2500</v>
      </c>
      <c r="F40" s="17" t="s">
        <v>96</v>
      </c>
      <c r="G40" s="137" t="s">
        <v>95</v>
      </c>
    </row>
    <row r="41" spans="1:7" x14ac:dyDescent="0.25">
      <c r="A41" s="29" t="s">
        <v>181</v>
      </c>
      <c r="B41" s="17" t="s">
        <v>182</v>
      </c>
      <c r="C41" s="17" t="s">
        <v>183</v>
      </c>
      <c r="D41" s="17" t="s">
        <v>95</v>
      </c>
      <c r="E41" s="69">
        <v>400</v>
      </c>
      <c r="F41" s="17" t="s">
        <v>96</v>
      </c>
      <c r="G41" s="137" t="s">
        <v>95</v>
      </c>
    </row>
    <row r="42" spans="1:7" x14ac:dyDescent="0.25">
      <c r="A42" s="29" t="s">
        <v>184</v>
      </c>
      <c r="B42" s="17" t="s">
        <v>185</v>
      </c>
      <c r="C42" s="17" t="s">
        <v>186</v>
      </c>
      <c r="D42" s="17" t="s">
        <v>95</v>
      </c>
      <c r="E42" s="69">
        <v>800</v>
      </c>
      <c r="F42" s="17" t="s">
        <v>96</v>
      </c>
      <c r="G42" s="137" t="s">
        <v>95</v>
      </c>
    </row>
    <row r="43" spans="1:7" x14ac:dyDescent="0.25">
      <c r="A43" s="29" t="s">
        <v>187</v>
      </c>
      <c r="B43" s="19" t="s">
        <v>188</v>
      </c>
      <c r="C43" s="19" t="s">
        <v>189</v>
      </c>
      <c r="D43" s="17" t="s">
        <v>95</v>
      </c>
      <c r="E43" s="73">
        <v>10000</v>
      </c>
      <c r="F43" s="19" t="s">
        <v>96</v>
      </c>
      <c r="G43" s="137" t="s">
        <v>95</v>
      </c>
    </row>
    <row r="44" spans="1:7" x14ac:dyDescent="0.25">
      <c r="A44" s="30"/>
      <c r="B44" s="19"/>
      <c r="C44" s="19"/>
      <c r="D44" s="19"/>
      <c r="E44" s="135">
        <f>SUBTOTAL(109,tbl_Charges_Fixes[Montant_Mensuel])</f>
        <v>929242</v>
      </c>
      <c r="F44" s="19"/>
      <c r="G44" s="19"/>
    </row>
    <row r="47" spans="1:7" x14ac:dyDescent="0.25">
      <c r="E47" s="13" t="s">
        <v>1299</v>
      </c>
      <c r="F47" s="13" t="s">
        <v>1300</v>
      </c>
      <c r="G47" s="13" t="s">
        <v>190</v>
      </c>
    </row>
    <row r="48" spans="1:7" x14ac:dyDescent="0.25">
      <c r="E48" s="13">
        <f>SUMIFS(tbl_Charges_Fixes[Montant_Mensuel], tbl_Charges_Fixes[Type d’affectation], "Globale")</f>
        <v>498592</v>
      </c>
      <c r="F48" s="13">
        <f>SUMIFS(tbl_Charges_Fixes[Montant_Mensuel], tbl_Charges_Fixes[Type d’affectation], "Spécifique")</f>
        <v>430650</v>
      </c>
      <c r="G48" s="13">
        <f>SUM(E48:F48)</f>
        <v>929242</v>
      </c>
    </row>
    <row r="49" spans="1:7" x14ac:dyDescent="0.25">
      <c r="A49" s="134"/>
      <c r="C49" s="136"/>
    </row>
    <row r="50" spans="1:7" x14ac:dyDescent="0.25">
      <c r="G50" s="13">
        <f>IFERROR(SUMIFS(tbl_Ventes[Qté Vendue], tbl_Ventes[Date], "&gt;="&amp;$B$2, tbl_Ventes[Date], "&lt;="&amp;$C$2),0)</f>
        <v>0</v>
      </c>
    </row>
    <row r="51" spans="1:7" x14ac:dyDescent="0.25">
      <c r="E51" s="13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T276"/>
  <sheetViews>
    <sheetView topLeftCell="C1" zoomScale="85" zoomScaleNormal="85" workbookViewId="0">
      <selection activeCell="J4" sqref="J2:J4"/>
    </sheetView>
  </sheetViews>
  <sheetFormatPr baseColWidth="10" defaultColWidth="18.5703125" defaultRowHeight="15" x14ac:dyDescent="0.25"/>
  <cols>
    <col min="1" max="1" width="14.28515625" style="13" bestFit="1" customWidth="1"/>
    <col min="2" max="2" width="48.42578125" style="13" bestFit="1" customWidth="1"/>
    <col min="3" max="3" width="26" style="13" bestFit="1" customWidth="1"/>
    <col min="4" max="4" width="23.5703125" style="13" bestFit="1" customWidth="1"/>
    <col min="5" max="5" width="16" style="62" bestFit="1" customWidth="1"/>
    <col min="6" max="6" width="18" style="62" bestFit="1" customWidth="1"/>
    <col min="7" max="7" width="19.140625" style="13" bestFit="1" customWidth="1"/>
    <col min="8" max="8" width="14.140625" style="31" bestFit="1" customWidth="1"/>
    <col min="9" max="9" width="16.7109375" style="13" bestFit="1" customWidth="1"/>
    <col min="10" max="10" width="23.7109375" style="13" bestFit="1" customWidth="1"/>
    <col min="11" max="11" width="21.28515625" style="13" bestFit="1" customWidth="1"/>
    <col min="12" max="12" width="18.7109375" style="13" bestFit="1" customWidth="1"/>
    <col min="13" max="13" width="28.85546875" style="13" bestFit="1" customWidth="1"/>
    <col min="14" max="19" width="18.5703125" style="13" customWidth="1"/>
    <col min="20" max="20" width="25.85546875" style="13" bestFit="1" customWidth="1"/>
    <col min="21" max="21" width="18.5703125" style="13" customWidth="1"/>
    <col min="22" max="16384" width="18.5703125" style="13"/>
  </cols>
  <sheetData>
    <row r="1" spans="1:20" x14ac:dyDescent="0.25">
      <c r="A1" s="28" t="s">
        <v>42</v>
      </c>
      <c r="B1" s="18" t="s">
        <v>41</v>
      </c>
      <c r="C1" s="18" t="s">
        <v>12</v>
      </c>
      <c r="D1" s="18" t="s">
        <v>191</v>
      </c>
      <c r="E1" s="61" t="s">
        <v>44</v>
      </c>
      <c r="F1" s="61" t="s">
        <v>192</v>
      </c>
      <c r="G1" s="18" t="s">
        <v>193</v>
      </c>
      <c r="H1" s="61" t="s">
        <v>194</v>
      </c>
      <c r="I1" s="18" t="s">
        <v>10</v>
      </c>
      <c r="J1" s="18" t="s">
        <v>195</v>
      </c>
      <c r="K1" s="18" t="s">
        <v>196</v>
      </c>
      <c r="L1" s="68" t="s">
        <v>197</v>
      </c>
      <c r="M1" s="18" t="s">
        <v>198</v>
      </c>
      <c r="T1" s="41" t="str">
        <f>+ChargesFixesPar_Portion[[#Headers],[Charges fixes par portion]]</f>
        <v>Charges fixes par portion</v>
      </c>
    </row>
    <row r="2" spans="1:20" ht="16.5" customHeight="1" x14ac:dyDescent="0.25">
      <c r="A2" s="29" t="str">
        <f>Référentiels!A2&amp;TEXT(Référentiels!B2,"000")</f>
        <v>PDJ001</v>
      </c>
      <c r="B2" s="64" t="str">
        <f>+tbl_ProduitsRef[[#This Row],[Produit]]</f>
        <v>Norvégien</v>
      </c>
      <c r="C2" s="64" t="str">
        <f>IFERROR(INDEX(tbl_ProduitsRef[Famille], MATCH(tbl_Produits[[#This Row],[Cde_Prdt]], tbl_Produits[Cde_Prdt], 0)), "")</f>
        <v>Petits déjeuners</v>
      </c>
      <c r="D2" s="65">
        <f ca="1">SUMIF(tbl_Recettes[Cde_Prdt], tbl_Produits[[#This Row],[Cde_Prdt]], tbl_Recettes[Coût Moyen Portion])</f>
        <v>45.4</v>
      </c>
      <c r="E2" s="66">
        <f>IFERROR(
   INDEX(tbl_ProduitsRef[Prix Menu],MATCH(B2,tbl_ProduitsRef[Produit],0)),
   ""
)</f>
        <v>70</v>
      </c>
      <c r="F2" s="66">
        <f ca="1">tbl_Produits[[#This Row],[Prix Menu]] - tbl_Produits[[#This Row],[Coût Moyen Portion]]</f>
        <v>24.6</v>
      </c>
      <c r="G2" s="67">
        <f ca="1">IF(tbl_Produits[[#This Row],[Prix Menu]]&gt;0, tbl_Produits[[#This Row],[Marge Brute]] / tbl_Produits[[#This Row],[Prix Menu]], 0)</f>
        <v>0.35142857142857142</v>
      </c>
      <c r="H2" s="69">
        <f ca="1">IFERROR(
  AVERAGE(G2*10, F2/2),
0)</f>
        <v>7.9071428571428575</v>
      </c>
      <c r="I2" s="67">
        <f ca="1">IF(tbl_Produits[[#This Row],[Prix Menu]]=0, 0, tbl_Produits[[#This Row],[Coût Moyen Portion]] / tbl_Produits[[#This Row],[Prix Menu]])</f>
        <v>0.64857142857142858</v>
      </c>
      <c r="J2" s="67" t="str" cm="1">
        <f t="array" ref="J2">IFERROR(IF(Total_portions=0, 0, Charges_fixes_totales_periode / Total_portions),"Vérifier")</f>
        <v>Vérifier</v>
      </c>
      <c r="K2" s="131" cm="1">
        <f t="array" aca="1" ref="K2" ca="1">IFERROR(tbl_Produits[[#This Row],[Prix Menu]] - tbl_Produits[[#This Row],[Coût Moyen Portion]] - ChargesFixesPar_Portion[Charges fixes par portion],"Vérifier")</f>
        <v>-10762.4</v>
      </c>
      <c r="L2" s="132" t="str">
        <f ca="1">IF(OR(tbl_Produits[[#This Row],[Food cost % ]]&gt;0.35,tbl_Produits[[#This Row],[% de Chrg Fixe /Prdt]]&gt;0.2),"À améliorer","OK")</f>
        <v>À améliorer</v>
      </c>
      <c r="M2" s="18">
        <f>IFERROR( (SUMIF(tbl_Charges_Fixes[Famille affectée],tbl_Produits[[#This Row],[Famille]],tbl_Charges_Fixes[Montant_Mensuel])) / (SUMIF(tbl_Ventes[Famille],tbl_Produits[[#This Row],[Famille]],tbl_Ventes[Qté Vendue])), 0)</f>
        <v>20.689655172413794</v>
      </c>
      <c r="T2" s="76">
        <f t="array" ref="T2">ChargesFixesPar_Portion[]</f>
        <v>10787</v>
      </c>
    </row>
    <row r="3" spans="1:20" ht="16.5" customHeight="1" x14ac:dyDescent="0.25">
      <c r="A3" s="29" t="str">
        <f>Référentiels!A3&amp;TEXT(Référentiels!B3,"000")</f>
        <v>PDJ002</v>
      </c>
      <c r="B3" s="64" t="str">
        <f>+tbl_ProduitsRef[[#This Row],[Produit]]</f>
        <v>Casserole turque</v>
      </c>
      <c r="C3" s="64" t="str">
        <f>IFERROR(INDEX(tbl_ProduitsRef[Famille], MATCH(tbl_Produits[[#This Row],[Cde_Prdt]], tbl_Produits[Cde_Prdt], 0)), "")</f>
        <v>Petits déjeuners</v>
      </c>
      <c r="D3" s="65">
        <f ca="1">SUMIF(tbl_Recettes[Cde_Prdt], tbl_Produits[[#This Row],[Cde_Prdt]], tbl_Recettes[Coût Moyen Portion])</f>
        <v>44.3</v>
      </c>
      <c r="E3" s="66">
        <f>IFERROR(
   INDEX(tbl_ProduitsRef[Prix Menu],MATCH(B3,tbl_ProduitsRef[Produit],0)),
   ""
)</f>
        <v>70</v>
      </c>
      <c r="F3" s="66">
        <f ca="1">tbl_Produits[[#This Row],[Prix Menu]] - tbl_Produits[[#This Row],[Coût Moyen Portion]]</f>
        <v>25.700000000000003</v>
      </c>
      <c r="G3" s="67">
        <f ca="1">IF(tbl_Produits[[#This Row],[Prix Menu]]&gt;0, tbl_Produits[[#This Row],[Marge Brute]] / tbl_Produits[[#This Row],[Prix Menu]], 0)</f>
        <v>0.36714285714285716</v>
      </c>
      <c r="H3" s="69">
        <f ca="1">IFERROR(
  AVERAGE(G3*10, F3/2),
0)</f>
        <v>8.2607142857142861</v>
      </c>
      <c r="I3" s="67">
        <f ca="1">IF(tbl_Produits[[#This Row],[Prix Menu]]=0, 0, tbl_Produits[[#This Row],[Coût Moyen Portion]] / tbl_Produits[[#This Row],[Prix Menu]])</f>
        <v>0.63285714285714278</v>
      </c>
      <c r="J3" s="67" t="str" cm="1">
        <f t="array" ref="J3">IFERROR(IF(Total_portions=0, 0, Charges_fixes_totales_periode / Total_portions),"Vérifier")</f>
        <v>Vérifier</v>
      </c>
      <c r="K3" s="131" cm="1">
        <f t="array" aca="1" ref="K3" ca="1">IFERROR(tbl_Produits[[#This Row],[Prix Menu]] - tbl_Produits[[#This Row],[Coût Moyen Portion]] - ChargesFixesPar_Portion[Charges fixes par portion],"Vérifier")</f>
        <v>-10761.3</v>
      </c>
      <c r="L3" s="132" t="str">
        <f ca="1">IF(OR(tbl_Produits[[#This Row],[Food cost % ]]&gt;0.35,tbl_Produits[[#This Row],[% de Chrg Fixe /Prdt]]&gt;0.2),"À améliorer","OK")</f>
        <v>À améliorer</v>
      </c>
      <c r="M3" s="18">
        <f>IFERROR( (SUMIF(tbl_Charges_Fixes[Famille affectée],tbl_Produits[[#This Row],[Famille]],tbl_Charges_Fixes[Montant_Mensuel])) / (SUMIF(tbl_Ventes[Famille],tbl_Produits[[#This Row],[Famille]],tbl_Ventes[Qté Vendue])), 0)</f>
        <v>20.689655172413794</v>
      </c>
    </row>
    <row r="4" spans="1:20" ht="16.5" customHeight="1" x14ac:dyDescent="0.25">
      <c r="A4" s="29" t="str">
        <f>Référentiels!A4&amp;TEXT(Référentiels!B4,"000")</f>
        <v>PDJ003</v>
      </c>
      <c r="B4" s="64" t="str">
        <f>+tbl_ProduitsRef[[#This Row],[Produit]]</f>
        <v>Américain</v>
      </c>
      <c r="C4" s="64" t="str">
        <f>IFERROR(INDEX(tbl_ProduitsRef[Famille], MATCH(tbl_Produits[[#This Row],[Cde_Prdt]], tbl_Produits[Cde_Prdt], 0)), "")</f>
        <v>Petits déjeuners</v>
      </c>
      <c r="D4" s="65">
        <f ca="1">SUMIF(tbl_Recettes[Cde_Prdt], tbl_Produits[[#This Row],[Cde_Prdt]], tbl_Recettes[Coût Moyen Portion])</f>
        <v>17.3</v>
      </c>
      <c r="E4" s="66">
        <f>IFERROR(
   INDEX(tbl_ProduitsRef[Prix Menu],MATCH(B4,tbl_ProduitsRef[Produit],0)),
   ""
)</f>
        <v>60</v>
      </c>
      <c r="F4" s="66">
        <f ca="1">tbl_Produits[[#This Row],[Prix Menu]] - tbl_Produits[[#This Row],[Coût Moyen Portion]]</f>
        <v>42.7</v>
      </c>
      <c r="G4" s="67">
        <f ca="1">IF(tbl_Produits[[#This Row],[Prix Menu]]&gt;0, tbl_Produits[[#This Row],[Marge Brute]] / tbl_Produits[[#This Row],[Prix Menu]], 0)</f>
        <v>0.71166666666666667</v>
      </c>
      <c r="H4" s="69">
        <f t="shared" ref="H4:H35" ca="1" si="0">IFERROR(
AVERAGE(G4*10, F4/2),
0)</f>
        <v>14.233333333333334</v>
      </c>
      <c r="I4" s="67">
        <f ca="1">IF(tbl_Produits[[#This Row],[Prix Menu]]=0, 0, tbl_Produits[[#This Row],[Coût Moyen Portion]] / tbl_Produits[[#This Row],[Prix Menu]])</f>
        <v>0.28833333333333333</v>
      </c>
      <c r="J4" s="67" t="str" cm="1">
        <f t="array" ref="J4">IFERROR(IF(Total_portions=0, 0, Charges_fixes_totales_periode / Total_portions),"Vérifier")</f>
        <v>Vérifier</v>
      </c>
      <c r="K4" s="131" cm="1">
        <f t="array" aca="1" ref="K4" ca="1">IFERROR(tbl_Produits[[#This Row],[Prix Menu]] - tbl_Produits[[#This Row],[Coût Moyen Portion]] - ChargesFixesPar_Portion[Charges fixes par portion],"Vérifier")</f>
        <v>-10744.3</v>
      </c>
      <c r="L4" s="132" t="str">
        <f ca="1">IF(OR(tbl_Produits[[#This Row],[Food cost % ]]&gt;0.35,tbl_Produits[[#This Row],[% de Chrg Fixe /Prdt]]&gt;0.2),"À améliorer","OK")</f>
        <v>À améliorer</v>
      </c>
      <c r="M4" s="18">
        <f>IFERROR( (SUMIF(tbl_Charges_Fixes[Famille affectée],tbl_Produits[[#This Row],[Famille]],tbl_Charges_Fixes[Montant_Mensuel])) / (SUMIF(tbl_Ventes[Famille],tbl_Produits[[#This Row],[Famille]],tbl_Ventes[Qté Vendue])), 0)</f>
        <v>20.689655172413794</v>
      </c>
    </row>
    <row r="5" spans="1:20" ht="16.5" customHeight="1" x14ac:dyDescent="0.25">
      <c r="A5" s="29" t="str">
        <f>Référentiels!A5&amp;TEXT(Référentiels!B5,"000")</f>
        <v>PDJ004</v>
      </c>
      <c r="B5" s="64" t="str">
        <f>+tbl_ProduitsRef[[#This Row],[Produit]]</f>
        <v>Amsterdam</v>
      </c>
      <c r="C5" s="64" t="str">
        <f>IFERROR(INDEX(tbl_ProduitsRef[Famille], MATCH(tbl_Produits[[#This Row],[Cde_Prdt]], tbl_Produits[Cde_Prdt], 0)), "")</f>
        <v>Petits déjeuners</v>
      </c>
      <c r="D5" s="65">
        <f ca="1">SUMIF(tbl_Recettes[Cde_Prdt], tbl_Produits[[#This Row],[Cde_Prdt]], tbl_Recettes[Coût Moyen Portion])</f>
        <v>23</v>
      </c>
      <c r="E5" s="66">
        <f>IFERROR(
   INDEX(tbl_ProduitsRef[Prix Menu],MATCH(B5,tbl_ProduitsRef[Produit],0)),
   ""
)</f>
        <v>55</v>
      </c>
      <c r="F5" s="66">
        <f ca="1">tbl_Produits[[#This Row],[Prix Menu]] - tbl_Produits[[#This Row],[Coût Moyen Portion]]</f>
        <v>32</v>
      </c>
      <c r="G5" s="67">
        <f ca="1">IF(tbl_Produits[[#This Row],[Prix Menu]]&gt;0, tbl_Produits[[#This Row],[Marge Brute]] / tbl_Produits[[#This Row],[Prix Menu]], 0)</f>
        <v>0.58181818181818179</v>
      </c>
      <c r="H5" s="69">
        <f t="shared" ca="1" si="0"/>
        <v>10.90909090909091</v>
      </c>
      <c r="I5" s="67">
        <f ca="1">IF(tbl_Produits[[#This Row],[Prix Menu]]=0, 0, tbl_Produits[[#This Row],[Coût Moyen Portion]] / tbl_Produits[[#This Row],[Prix Menu]])</f>
        <v>0.41818181818181815</v>
      </c>
      <c r="J5" s="67" t="str" cm="1">
        <f t="array" ref="J5">IFERROR(IF(Total_portions=0, 0, Charges_fixes_totales_periode / Total_portions),"Vérifier")</f>
        <v>Vérifier</v>
      </c>
      <c r="K5" s="131" cm="1">
        <f t="array" aca="1" ref="K5" ca="1">IFERROR(tbl_Produits[[#This Row],[Prix Menu]] - tbl_Produits[[#This Row],[Coût Moyen Portion]] - ChargesFixesPar_Portion[Charges fixes par portion],"Vérifier")</f>
        <v>-10755</v>
      </c>
      <c r="L5" s="132" t="str">
        <f ca="1">IF(OR(tbl_Produits[[#This Row],[Food cost % ]]&gt;0.35,tbl_Produits[[#This Row],[% de Chrg Fixe /Prdt]]&gt;0.2),"À améliorer","OK")</f>
        <v>À améliorer</v>
      </c>
      <c r="M5" s="18">
        <f>IFERROR( (SUMIF(tbl_Charges_Fixes[Famille affectée],tbl_Produits[[#This Row],[Famille]],tbl_Charges_Fixes[Montant_Mensuel])) / (SUMIF(tbl_Ventes[Famille],tbl_Produits[[#This Row],[Famille]],tbl_Ventes[Qté Vendue])), 0)</f>
        <v>20.689655172413794</v>
      </c>
    </row>
    <row r="6" spans="1:20" ht="16.5" customHeight="1" x14ac:dyDescent="0.25">
      <c r="A6" s="29" t="str">
        <f>Référentiels!A6&amp;TEXT(Référentiels!B6,"000")</f>
        <v>PDJ005</v>
      </c>
      <c r="B6" s="64" t="str">
        <f>+tbl_ProduitsRef[[#This Row],[Produit]]</f>
        <v>Espagnol</v>
      </c>
      <c r="C6" s="64" t="str">
        <f>IFERROR(INDEX(tbl_ProduitsRef[Famille], MATCH(tbl_Produits[[#This Row],[Cde_Prdt]], tbl_Produits[Cde_Prdt], 0)), "")</f>
        <v>Petits déjeuners</v>
      </c>
      <c r="D6" s="65">
        <f ca="1">SUMIF(tbl_Recettes[Cde_Prdt], tbl_Produits[[#This Row],[Cde_Prdt]], tbl_Recettes[Coût Moyen Portion])</f>
        <v>24.5</v>
      </c>
      <c r="E6" s="66">
        <f>IFERROR(
   INDEX(tbl_ProduitsRef[Prix Menu],MATCH(B6,tbl_ProduitsRef[Produit],0)),
   ""
)</f>
        <v>54</v>
      </c>
      <c r="F6" s="66">
        <f ca="1">tbl_Produits[[#This Row],[Prix Menu]] - tbl_Produits[[#This Row],[Coût Moyen Portion]]</f>
        <v>29.5</v>
      </c>
      <c r="G6" s="67">
        <f ca="1">IF(tbl_Produits[[#This Row],[Prix Menu]]&gt;0, tbl_Produits[[#This Row],[Marge Brute]] / tbl_Produits[[#This Row],[Prix Menu]], 0)</f>
        <v>0.54629629629629628</v>
      </c>
      <c r="H6" s="69">
        <f t="shared" ca="1" si="0"/>
        <v>10.106481481481481</v>
      </c>
      <c r="I6" s="67">
        <f ca="1">IF(tbl_Produits[[#This Row],[Prix Menu]]=0, 0, tbl_Produits[[#This Row],[Coût Moyen Portion]] / tbl_Produits[[#This Row],[Prix Menu]])</f>
        <v>0.45370370370370372</v>
      </c>
      <c r="J6" s="67" t="str" cm="1">
        <f t="array" ref="J6">IFERROR(IF(Total_portions=0, 0, Charges_fixes_totales_periode / Total_portions),"Vérifier")</f>
        <v>Vérifier</v>
      </c>
      <c r="K6" s="131" cm="1">
        <f t="array" aca="1" ref="K6" ca="1">IFERROR(tbl_Produits[[#This Row],[Prix Menu]] - tbl_Produits[[#This Row],[Coût Moyen Portion]] - ChargesFixesPar_Portion[Charges fixes par portion],"Vérifier")</f>
        <v>-10757.5</v>
      </c>
      <c r="L6" s="132" t="str">
        <f ca="1">IF(OR(tbl_Produits[[#This Row],[Food cost % ]]&gt;0.35,tbl_Produits[[#This Row],[% de Chrg Fixe /Prdt]]&gt;0.2),"À améliorer","OK")</f>
        <v>À améliorer</v>
      </c>
      <c r="M6" s="18">
        <f>IFERROR( (SUMIF(tbl_Charges_Fixes[Famille affectée],tbl_Produits[[#This Row],[Famille]],tbl_Charges_Fixes[Montant_Mensuel])) / (SUMIF(tbl_Ventes[Famille],tbl_Produits[[#This Row],[Famille]],tbl_Ventes[Qté Vendue])), 0)</f>
        <v>20.689655172413794</v>
      </c>
    </row>
    <row r="7" spans="1:20" ht="16.5" customHeight="1" x14ac:dyDescent="0.25">
      <c r="A7" s="29" t="str">
        <f>Référentiels!A7&amp;TEXT(Référentiels!B7,"000")</f>
        <v>PDJ006</v>
      </c>
      <c r="B7" s="64" t="str">
        <f>+tbl_ProduitsRef[[#This Row],[Produit]]</f>
        <v>Berlin</v>
      </c>
      <c r="C7" s="64" t="str">
        <f>IFERROR(INDEX(tbl_ProduitsRef[Famille], MATCH(tbl_Produits[[#This Row],[Cde_Prdt]], tbl_Produits[Cde_Prdt], 0)), "")</f>
        <v>Petits déjeuners</v>
      </c>
      <c r="D7" s="65">
        <f ca="1">SUMIF(tbl_Recettes[Cde_Prdt], tbl_Produits[[#This Row],[Cde_Prdt]], tbl_Recettes[Coût Moyen Portion])</f>
        <v>16.399999999999999</v>
      </c>
      <c r="E7" s="66">
        <f>IFERROR(
   INDEX(tbl_ProduitsRef[Prix Menu],MATCH(B7,tbl_ProduitsRef[Produit],0)),
   ""
)</f>
        <v>52</v>
      </c>
      <c r="F7" s="66">
        <f ca="1">tbl_Produits[[#This Row],[Prix Menu]] - tbl_Produits[[#This Row],[Coût Moyen Portion]]</f>
        <v>35.6</v>
      </c>
      <c r="G7" s="67">
        <f ca="1">IF(tbl_Produits[[#This Row],[Prix Menu]]&gt;0, tbl_Produits[[#This Row],[Marge Brute]] / tbl_Produits[[#This Row],[Prix Menu]], 0)</f>
        <v>0.68461538461538463</v>
      </c>
      <c r="H7" s="69">
        <f t="shared" ca="1" si="0"/>
        <v>12.323076923076924</v>
      </c>
      <c r="I7" s="67">
        <f ca="1">IF(tbl_Produits[[#This Row],[Prix Menu]]=0, 0, tbl_Produits[[#This Row],[Coût Moyen Portion]] / tbl_Produits[[#This Row],[Prix Menu]])</f>
        <v>0.31538461538461537</v>
      </c>
      <c r="J7" s="67" t="str" cm="1">
        <f t="array" ref="J7">IFERROR(IF(Total_portions=0, 0, Charges_fixes_totales_periode / Total_portions),"Vérifier")</f>
        <v>Vérifier</v>
      </c>
      <c r="K7" s="131" cm="1">
        <f t="array" aca="1" ref="K7" ca="1">IFERROR(tbl_Produits[[#This Row],[Prix Menu]] - tbl_Produits[[#This Row],[Coût Moyen Portion]] - ChargesFixesPar_Portion[Charges fixes par portion],"Vérifier")</f>
        <v>-10751.4</v>
      </c>
      <c r="L7" s="132" t="str">
        <f ca="1">IF(OR(tbl_Produits[[#This Row],[Food cost % ]]&gt;0.35,tbl_Produits[[#This Row],[% de Chrg Fixe /Prdt]]&gt;0.2),"À améliorer","OK")</f>
        <v>À améliorer</v>
      </c>
      <c r="M7" s="18">
        <f>IFERROR( (SUMIF(tbl_Charges_Fixes[Famille affectée],tbl_Produits[[#This Row],[Famille]],tbl_Charges_Fixes[Montant_Mensuel])) / (SUMIF(tbl_Ventes[Famille],tbl_Produits[[#This Row],[Famille]],tbl_Ventes[Qté Vendue])), 0)</f>
        <v>20.689655172413794</v>
      </c>
    </row>
    <row r="8" spans="1:20" ht="16.5" customHeight="1" x14ac:dyDescent="0.25">
      <c r="A8" s="29" t="str">
        <f>Référentiels!A8&amp;TEXT(Référentiels!B8,"000")</f>
        <v>PDJ007</v>
      </c>
      <c r="B8" s="64" t="str">
        <f>+tbl_ProduitsRef[[#This Row],[Produit]]</f>
        <v>Chamali</v>
      </c>
      <c r="C8" s="64" t="str">
        <f>IFERROR(INDEX(tbl_ProduitsRef[Famille], MATCH(tbl_Produits[[#This Row],[Cde_Prdt]], tbl_Produits[Cde_Prdt], 0)), "")</f>
        <v>Petits déjeuners</v>
      </c>
      <c r="D8" s="65">
        <f ca="1">SUMIF(tbl_Recettes[Cde_Prdt], tbl_Produits[[#This Row],[Cde_Prdt]], tbl_Recettes[Coût Moyen Portion])</f>
        <v>14.8</v>
      </c>
      <c r="E8" s="66">
        <f>IFERROR(
   INDEX(tbl_ProduitsRef[Prix Menu],MATCH(B8,tbl_ProduitsRef[Produit],0)),
   ""
)</f>
        <v>52</v>
      </c>
      <c r="F8" s="66">
        <f ca="1">tbl_Produits[[#This Row],[Prix Menu]] - tbl_Produits[[#This Row],[Coût Moyen Portion]]</f>
        <v>37.200000000000003</v>
      </c>
      <c r="G8" s="67">
        <f ca="1">IF(tbl_Produits[[#This Row],[Prix Menu]]&gt;0, tbl_Produits[[#This Row],[Marge Brute]] / tbl_Produits[[#This Row],[Prix Menu]], 0)</f>
        <v>0.7153846153846154</v>
      </c>
      <c r="H8" s="69">
        <f t="shared" ca="1" si="0"/>
        <v>12.876923076923077</v>
      </c>
      <c r="I8" s="67">
        <f ca="1">IF(tbl_Produits[[#This Row],[Prix Menu]]=0, 0, tbl_Produits[[#This Row],[Coût Moyen Portion]] / tbl_Produits[[#This Row],[Prix Menu]])</f>
        <v>0.2846153846153846</v>
      </c>
      <c r="J8" s="67" t="str" cm="1">
        <f t="array" ref="J8">IFERROR(IF(Total_portions=0, 0, Charges_fixes_totales_periode / Total_portions),"Vérifier")</f>
        <v>Vérifier</v>
      </c>
      <c r="K8" s="131" cm="1">
        <f t="array" aca="1" ref="K8" ca="1">IFERROR(tbl_Produits[[#This Row],[Prix Menu]] - tbl_Produits[[#This Row],[Coût Moyen Portion]] - ChargesFixesPar_Portion[Charges fixes par portion],"Vérifier")</f>
        <v>-10749.8</v>
      </c>
      <c r="L8" s="132" t="str">
        <f ca="1">IF(OR(tbl_Produits[[#This Row],[Food cost % ]]&gt;0.35,tbl_Produits[[#This Row],[% de Chrg Fixe /Prdt]]&gt;0.2),"À améliorer","OK")</f>
        <v>À améliorer</v>
      </c>
      <c r="M8" s="18">
        <f>IFERROR( (SUMIF(tbl_Charges_Fixes[Famille affectée],tbl_Produits[[#This Row],[Famille]],tbl_Charges_Fixes[Montant_Mensuel])) / (SUMIF(tbl_Ventes[Famille],tbl_Produits[[#This Row],[Famille]],tbl_Ventes[Qté Vendue])), 0)</f>
        <v>20.689655172413794</v>
      </c>
    </row>
    <row r="9" spans="1:20" ht="16.5" customHeight="1" x14ac:dyDescent="0.25">
      <c r="A9" s="29" t="str">
        <f>Référentiels!A9&amp;TEXT(Référentiels!B9,"000")</f>
        <v>PDJ008</v>
      </c>
      <c r="B9" s="64" t="str">
        <f>+tbl_ProduitsRef[[#This Row],[Produit]]</f>
        <v>Continental</v>
      </c>
      <c r="C9" s="64" t="str">
        <f>IFERROR(INDEX(tbl_ProduitsRef[Famille], MATCH(tbl_Produits[[#This Row],[Cde_Prdt]], tbl_Produits[Cde_Prdt], 0)), "")</f>
        <v>Petits déjeuners</v>
      </c>
      <c r="D9" s="65">
        <f ca="1">SUMIF(tbl_Recettes[Cde_Prdt], tbl_Produits[[#This Row],[Cde_Prdt]], tbl_Recettes[Coût Moyen Portion])</f>
        <v>24.9</v>
      </c>
      <c r="E9" s="66">
        <f>IFERROR(
   INDEX(tbl_ProduitsRef[Prix Menu],MATCH(B9,tbl_ProduitsRef[Produit],0)),
   ""
)</f>
        <v>48</v>
      </c>
      <c r="F9" s="66">
        <f ca="1">tbl_Produits[[#This Row],[Prix Menu]] - tbl_Produits[[#This Row],[Coût Moyen Portion]]</f>
        <v>23.1</v>
      </c>
      <c r="G9" s="67">
        <f ca="1">IF(tbl_Produits[[#This Row],[Prix Menu]]&gt;0, tbl_Produits[[#This Row],[Marge Brute]] / tbl_Produits[[#This Row],[Prix Menu]], 0)</f>
        <v>0.48125000000000001</v>
      </c>
      <c r="H9" s="69">
        <f t="shared" ca="1" si="0"/>
        <v>8.1812500000000004</v>
      </c>
      <c r="I9" s="67">
        <f ca="1">IF(tbl_Produits[[#This Row],[Prix Menu]]=0, 0, tbl_Produits[[#This Row],[Coût Moyen Portion]] / tbl_Produits[[#This Row],[Prix Menu]])</f>
        <v>0.51874999999999993</v>
      </c>
      <c r="J9" s="67" t="str" cm="1">
        <f t="array" ref="J9">IFERROR(IF(Total_portions=0, 0, Charges_fixes_totales_periode / Total_portions),"Vérifier")</f>
        <v>Vérifier</v>
      </c>
      <c r="K9" s="131" cm="1">
        <f t="array" aca="1" ref="K9" ca="1">IFERROR(tbl_Produits[[#This Row],[Prix Menu]] - tbl_Produits[[#This Row],[Coût Moyen Portion]] - ChargesFixesPar_Portion[Charges fixes par portion],"Vérifier")</f>
        <v>-10763.9</v>
      </c>
      <c r="L9" s="132" t="str">
        <f ca="1">IF(OR(tbl_Produits[[#This Row],[Food cost % ]]&gt;0.35,tbl_Produits[[#This Row],[% de Chrg Fixe /Prdt]]&gt;0.2),"À améliorer","OK")</f>
        <v>À améliorer</v>
      </c>
      <c r="M9" s="18">
        <f>IFERROR( (SUMIF(tbl_Charges_Fixes[Famille affectée],tbl_Produits[[#This Row],[Famille]],tbl_Charges_Fixes[Montant_Mensuel])) / (SUMIF(tbl_Ventes[Famille],tbl_Produits[[#This Row],[Famille]],tbl_Ventes[Qté Vendue])), 0)</f>
        <v>20.689655172413794</v>
      </c>
    </row>
    <row r="10" spans="1:20" ht="16.5" customHeight="1" x14ac:dyDescent="0.25">
      <c r="A10" s="29" t="str">
        <f>Référentiels!A10&amp;TEXT(Référentiels!B10,"000")</f>
        <v>PDJ009</v>
      </c>
      <c r="B10" s="64" t="str">
        <f>+tbl_ProduitsRef[[#This Row],[Produit]]</f>
        <v>Traditionnel</v>
      </c>
      <c r="C10" s="64" t="str">
        <f>IFERROR(INDEX(tbl_ProduitsRef[Famille], MATCH(tbl_Produits[[#This Row],[Cde_Prdt]], tbl_Produits[Cde_Prdt], 0)), "")</f>
        <v>Petits déjeuners</v>
      </c>
      <c r="D10" s="65">
        <f ca="1">SUMIF(tbl_Recettes[Cde_Prdt], tbl_Produits[[#This Row],[Cde_Prdt]], tbl_Recettes[Coût Moyen Portion])</f>
        <v>26.3</v>
      </c>
      <c r="E10" s="66">
        <f>IFERROR(
   INDEX(tbl_ProduitsRef[Prix Menu],MATCH(B10,tbl_ProduitsRef[Produit],0)),
   ""
)</f>
        <v>45</v>
      </c>
      <c r="F10" s="66">
        <f ca="1">tbl_Produits[[#This Row],[Prix Menu]] - tbl_Produits[[#This Row],[Coût Moyen Portion]]</f>
        <v>18.7</v>
      </c>
      <c r="G10" s="67">
        <f ca="1">IF(tbl_Produits[[#This Row],[Prix Menu]]&gt;0, tbl_Produits[[#This Row],[Marge Brute]] / tbl_Produits[[#This Row],[Prix Menu]], 0)</f>
        <v>0.41555555555555557</v>
      </c>
      <c r="H10" s="69">
        <f t="shared" ca="1" si="0"/>
        <v>6.7527777777777782</v>
      </c>
      <c r="I10" s="67">
        <f ca="1">IF(tbl_Produits[[#This Row],[Prix Menu]]=0, 0, tbl_Produits[[#This Row],[Coût Moyen Portion]] / tbl_Produits[[#This Row],[Prix Menu]])</f>
        <v>0.58444444444444443</v>
      </c>
      <c r="J10" s="67" t="str" cm="1">
        <f t="array" ref="J10">IFERROR(IF(Total_portions=0, 0, Charges_fixes_totales_periode / Total_portions),"Vérifier")</f>
        <v>Vérifier</v>
      </c>
      <c r="K10" s="131" cm="1">
        <f t="array" aca="1" ref="K10" ca="1">IFERROR(tbl_Produits[[#This Row],[Prix Menu]] - tbl_Produits[[#This Row],[Coût Moyen Portion]] - ChargesFixesPar_Portion[Charges fixes par portion],"Vérifier")</f>
        <v>-10768.3</v>
      </c>
      <c r="L10" s="132" t="str">
        <f ca="1">IF(OR(tbl_Produits[[#This Row],[Food cost % ]]&gt;0.35,tbl_Produits[[#This Row],[% de Chrg Fixe /Prdt]]&gt;0.2),"À améliorer","OK")</f>
        <v>À améliorer</v>
      </c>
      <c r="M10" s="18">
        <f>IFERROR( (SUMIF(tbl_Charges_Fixes[Famille affectée],tbl_Produits[[#This Row],[Famille]],tbl_Charges_Fixes[Montant_Mensuel])) / (SUMIF(tbl_Ventes[Famille],tbl_Produits[[#This Row],[Famille]],tbl_Ventes[Qté Vendue])), 0)</f>
        <v>20.689655172413794</v>
      </c>
    </row>
    <row r="11" spans="1:20" ht="16.5" customHeight="1" x14ac:dyDescent="0.25">
      <c r="A11" s="29" t="str">
        <f>Référentiels!A11&amp;TEXT(Référentiels!B11,"000")</f>
        <v>PDJ010</v>
      </c>
      <c r="B11" s="64" t="str">
        <f>+tbl_ProduitsRef[[#This Row],[Produit]]</f>
        <v>Marocain</v>
      </c>
      <c r="C11" s="64" t="str">
        <f>IFERROR(INDEX(tbl_ProduitsRef[Famille], MATCH(tbl_Produits[[#This Row],[Cde_Prdt]], tbl_Produits[Cde_Prdt], 0)), "")</f>
        <v>Petits déjeuners</v>
      </c>
      <c r="D11" s="65">
        <f ca="1">SUMIF(tbl_Recettes[Cde_Prdt], tbl_Produits[[#This Row],[Cde_Prdt]], tbl_Recettes[Coût Moyen Portion])</f>
        <v>20.9</v>
      </c>
      <c r="E11" s="66">
        <f>IFERROR(
   INDEX(tbl_ProduitsRef[Prix Menu],MATCH(B11,tbl_ProduitsRef[Produit],0)),
   ""
)</f>
        <v>42</v>
      </c>
      <c r="F11" s="66">
        <f ca="1">tbl_Produits[[#This Row],[Prix Menu]] - tbl_Produits[[#This Row],[Coût Moyen Portion]]</f>
        <v>21.1</v>
      </c>
      <c r="G11" s="67">
        <f ca="1">IF(tbl_Produits[[#This Row],[Prix Menu]]&gt;0, tbl_Produits[[#This Row],[Marge Brute]] / tbl_Produits[[#This Row],[Prix Menu]], 0)</f>
        <v>0.50238095238095237</v>
      </c>
      <c r="H11" s="69">
        <f t="shared" ca="1" si="0"/>
        <v>7.7869047619047622</v>
      </c>
      <c r="I11" s="67">
        <f ca="1">IF(tbl_Produits[[#This Row],[Prix Menu]]=0, 0, tbl_Produits[[#This Row],[Coût Moyen Portion]] / tbl_Produits[[#This Row],[Prix Menu]])</f>
        <v>0.49761904761904757</v>
      </c>
      <c r="J11" s="67" t="str" cm="1">
        <f t="array" ref="J11">IFERROR(IF(Total_portions=0, 0, Charges_fixes_totales_periode / Total_portions),"Vérifier")</f>
        <v>Vérifier</v>
      </c>
      <c r="K11" s="131" cm="1">
        <f t="array" aca="1" ref="K11" ca="1">IFERROR(tbl_Produits[[#This Row],[Prix Menu]] - tbl_Produits[[#This Row],[Coût Moyen Portion]] - ChargesFixesPar_Portion[Charges fixes par portion],"Vérifier")</f>
        <v>-10765.9</v>
      </c>
      <c r="L11" s="132" t="str">
        <f ca="1">IF(OR(tbl_Produits[[#This Row],[Food cost % ]]&gt;0.35,tbl_Produits[[#This Row],[% de Chrg Fixe /Prdt]]&gt;0.2),"À améliorer","OK")</f>
        <v>À améliorer</v>
      </c>
      <c r="M11" s="18">
        <f>IFERROR( (SUMIF(tbl_Charges_Fixes[Famille affectée],tbl_Produits[[#This Row],[Famille]],tbl_Charges_Fixes[Montant_Mensuel])) / (SUMIF(tbl_Ventes[Famille],tbl_Produits[[#This Row],[Famille]],tbl_Ventes[Qté Vendue])), 0)</f>
        <v>20.689655172413794</v>
      </c>
    </row>
    <row r="12" spans="1:20" ht="16.5" customHeight="1" x14ac:dyDescent="0.25">
      <c r="A12" s="29" t="str">
        <f>Référentiels!A12&amp;TEXT(Référentiels!B12,"000")</f>
        <v>PDJ011</v>
      </c>
      <c r="B12" s="64" t="str">
        <f>+tbl_ProduitsRef[[#This Row],[Produit]]</f>
        <v>Parisien</v>
      </c>
      <c r="C12" s="64" t="str">
        <f>IFERROR(INDEX(tbl_ProduitsRef[Famille], MATCH(tbl_Produits[[#This Row],[Cde_Prdt]], tbl_Produits[Cde_Prdt], 0)), "")</f>
        <v>Petits déjeuners</v>
      </c>
      <c r="D12" s="65">
        <f ca="1">SUMIF(tbl_Recettes[Cde_Prdt], tbl_Produits[[#This Row],[Cde_Prdt]], tbl_Recettes[Coût Moyen Portion])</f>
        <v>25</v>
      </c>
      <c r="E12" s="66">
        <f>IFERROR(
   INDEX(tbl_ProduitsRef[Prix Menu],MATCH(B12,tbl_ProduitsRef[Produit],0)),
   ""
)</f>
        <v>40</v>
      </c>
      <c r="F12" s="66">
        <f ca="1">tbl_Produits[[#This Row],[Prix Menu]] - tbl_Produits[[#This Row],[Coût Moyen Portion]]</f>
        <v>15</v>
      </c>
      <c r="G12" s="67">
        <f ca="1">IF(tbl_Produits[[#This Row],[Prix Menu]]&gt;0, tbl_Produits[[#This Row],[Marge Brute]] / tbl_Produits[[#This Row],[Prix Menu]], 0)</f>
        <v>0.375</v>
      </c>
      <c r="H12" s="69">
        <f t="shared" ca="1" si="0"/>
        <v>5.625</v>
      </c>
      <c r="I12" s="67">
        <f ca="1">IF(tbl_Produits[[#This Row],[Prix Menu]]=0, 0, tbl_Produits[[#This Row],[Coût Moyen Portion]] / tbl_Produits[[#This Row],[Prix Menu]])</f>
        <v>0.625</v>
      </c>
      <c r="J12" s="67" t="str" cm="1">
        <f t="array" ref="J12">IFERROR(IF(Total_portions=0, 0, Charges_fixes_totales_periode / Total_portions),"Vérifier")</f>
        <v>Vérifier</v>
      </c>
      <c r="K12" s="131" cm="1">
        <f t="array" aca="1" ref="K12" ca="1">IFERROR(tbl_Produits[[#This Row],[Prix Menu]] - tbl_Produits[[#This Row],[Coût Moyen Portion]] - ChargesFixesPar_Portion[Charges fixes par portion],"Vérifier")</f>
        <v>-10772</v>
      </c>
      <c r="L12" s="132" t="str">
        <f ca="1">IF(OR(tbl_Produits[[#This Row],[Food cost % ]]&gt;0.35,tbl_Produits[[#This Row],[% de Chrg Fixe /Prdt]]&gt;0.2),"À améliorer","OK")</f>
        <v>À améliorer</v>
      </c>
      <c r="M12" s="18">
        <f>IFERROR( (SUMIF(tbl_Charges_Fixes[Famille affectée],tbl_Produits[[#This Row],[Famille]],tbl_Charges_Fixes[Montant_Mensuel])) / (SUMIF(tbl_Ventes[Famille],tbl_Produits[[#This Row],[Famille]],tbl_Ventes[Qté Vendue])), 0)</f>
        <v>20.689655172413794</v>
      </c>
    </row>
    <row r="13" spans="1:20" ht="16.5" customHeight="1" x14ac:dyDescent="0.25">
      <c r="A13" s="29" t="str">
        <f>Référentiels!A13&amp;TEXT(Référentiels!B13,"000")</f>
        <v>OME001</v>
      </c>
      <c r="B13" s="64" t="str">
        <f>+tbl_ProduitsRef[[#This Row],[Produit]]</f>
        <v>Omelette aux crevettes</v>
      </c>
      <c r="C13" s="64" t="str">
        <f>IFERROR(INDEX(tbl_ProduitsRef[Famille], MATCH(tbl_Produits[[#This Row],[Cde_Prdt]], tbl_Produits[Cde_Prdt], 0)), "")</f>
        <v>Œufs &amp; Omelettes</v>
      </c>
      <c r="D13" s="65">
        <f ca="1">SUMIF(tbl_Recettes[Cde_Prdt], tbl_Produits[[#This Row],[Cde_Prdt]], tbl_Recettes[Coût Moyen Portion])</f>
        <v>9.09</v>
      </c>
      <c r="E13" s="66">
        <f>IFERROR(
   INDEX(tbl_ProduitsRef[Prix Menu],MATCH(B13,tbl_ProduitsRef[Produit],0)),
   ""
)</f>
        <v>35</v>
      </c>
      <c r="F13" s="66">
        <f ca="1">tbl_Produits[[#This Row],[Prix Menu]] - tbl_Produits[[#This Row],[Coût Moyen Portion]]</f>
        <v>25.91</v>
      </c>
      <c r="G13" s="67">
        <f ca="1">IF(tbl_Produits[[#This Row],[Prix Menu]]&gt;0, tbl_Produits[[#This Row],[Marge Brute]] / tbl_Produits[[#This Row],[Prix Menu]], 0)</f>
        <v>0.74028571428571432</v>
      </c>
      <c r="H13" s="69">
        <f t="shared" ca="1" si="0"/>
        <v>10.178928571428571</v>
      </c>
      <c r="I13" s="67">
        <f ca="1">IF(tbl_Produits[[#This Row],[Prix Menu]]=0, 0, tbl_Produits[[#This Row],[Coût Moyen Portion]] / tbl_Produits[[#This Row],[Prix Menu]])</f>
        <v>0.25971428571428573</v>
      </c>
      <c r="J13" s="67" t="str" cm="1">
        <f t="array" ref="J13">IFERROR(IF(Total_portions=0, 0, Charges_fixes_totales_periode / Total_portions),"Vérifier")</f>
        <v>Vérifier</v>
      </c>
      <c r="K13" s="131" cm="1">
        <f t="array" aca="1" ref="K13" ca="1">IFERROR(tbl_Produits[[#This Row],[Prix Menu]] - tbl_Produits[[#This Row],[Coût Moyen Portion]] - ChargesFixesPar_Portion[Charges fixes par portion],"Vérifier")</f>
        <v>-10761.09</v>
      </c>
      <c r="L13" s="132" t="str">
        <f ca="1">IF(OR(tbl_Produits[[#This Row],[Food cost % ]]&gt;0.35,tbl_Produits[[#This Row],[% de Chrg Fixe /Prdt]]&gt;0.2),"À améliorer","OK")</f>
        <v>À améliorer</v>
      </c>
      <c r="M13" s="18">
        <f>IFERROR( (SUMIF(tbl_Charges_Fixes[Famille affectée],tbl_Produits[[#This Row],[Famille]],tbl_Charges_Fixes[Montant_Mensuel])) / (SUMIF(tbl_Ventes[Famille],tbl_Produits[[#This Row],[Famille]],tbl_Ventes[Qté Vendue])), 0)</f>
        <v>192</v>
      </c>
    </row>
    <row r="14" spans="1:20" ht="16.5" customHeight="1" x14ac:dyDescent="0.25">
      <c r="A14" s="29" t="str">
        <f>Référentiels!A14&amp;TEXT(Référentiels!B14,"000")</f>
        <v>OME002</v>
      </c>
      <c r="B14" s="64" t="str">
        <f>+tbl_ProduitsRef[[#This Row],[Produit]]</f>
        <v>Omelette au fromage et dinde fumée</v>
      </c>
      <c r="C14" s="64" t="str">
        <f>IFERROR(INDEX(tbl_ProduitsRef[Famille], MATCH(tbl_Produits[[#This Row],[Cde_Prdt]], tbl_Produits[Cde_Prdt], 0)), "")</f>
        <v>Œufs &amp; Omelettes</v>
      </c>
      <c r="D14" s="65">
        <f ca="1">SUMIF(tbl_Recettes[Cde_Prdt], tbl_Produits[[#This Row],[Cde_Prdt]], tbl_Recettes[Coût Moyen Portion])</f>
        <v>20.89</v>
      </c>
      <c r="E14" s="66">
        <f>IFERROR(
   INDEX(tbl_ProduitsRef[Prix Menu],MATCH(B14,tbl_ProduitsRef[Produit],0)),
   ""
)</f>
        <v>25</v>
      </c>
      <c r="F14" s="66">
        <f ca="1">tbl_Produits[[#This Row],[Prix Menu]] - tbl_Produits[[#This Row],[Coût Moyen Portion]]</f>
        <v>4.1099999999999994</v>
      </c>
      <c r="G14" s="67">
        <f ca="1">IF(tbl_Produits[[#This Row],[Prix Menu]]&gt;0, tbl_Produits[[#This Row],[Marge Brute]] / tbl_Produits[[#This Row],[Prix Menu]], 0)</f>
        <v>0.16439999999999999</v>
      </c>
      <c r="H14" s="69">
        <f t="shared" ca="1" si="0"/>
        <v>1.8494999999999999</v>
      </c>
      <c r="I14" s="67">
        <f ca="1">IF(tbl_Produits[[#This Row],[Prix Menu]]=0, 0, tbl_Produits[[#This Row],[Coût Moyen Portion]] / tbl_Produits[[#This Row],[Prix Menu]])</f>
        <v>0.83560000000000001</v>
      </c>
      <c r="J14" s="67" t="str" cm="1">
        <f t="array" ref="J14">IFERROR(IF(Total_portions=0, 0, Charges_fixes_totales_periode / Total_portions),"Vérifier")</f>
        <v>Vérifier</v>
      </c>
      <c r="K14" s="131" cm="1">
        <f t="array" aca="1" ref="K14" ca="1">IFERROR(tbl_Produits[[#This Row],[Prix Menu]] - tbl_Produits[[#This Row],[Coût Moyen Portion]] - ChargesFixesPar_Portion[Charges fixes par portion],"Vérifier")</f>
        <v>-10782.89</v>
      </c>
      <c r="L14" s="132" t="str">
        <f ca="1">IF(OR(tbl_Produits[[#This Row],[Food cost % ]]&gt;0.35,tbl_Produits[[#This Row],[% de Chrg Fixe /Prdt]]&gt;0.2),"À améliorer","OK")</f>
        <v>À améliorer</v>
      </c>
      <c r="M14" s="18">
        <f>IFERROR( (SUMIF(tbl_Charges_Fixes[Famille affectée],tbl_Produits[[#This Row],[Famille]],tbl_Charges_Fixes[Montant_Mensuel])) / (SUMIF(tbl_Ventes[Famille],tbl_Produits[[#This Row],[Famille]],tbl_Ventes[Qté Vendue])), 0)</f>
        <v>192</v>
      </c>
    </row>
    <row r="15" spans="1:20" ht="16.5" customHeight="1" x14ac:dyDescent="0.25">
      <c r="A15" s="29" t="str">
        <f>Référentiels!A15&amp;TEXT(Référentiels!B15,"000")</f>
        <v>OME003</v>
      </c>
      <c r="B15" s="64" t="str">
        <f>+tbl_ProduitsRef[[#This Row],[Produit]]</f>
        <v>Omelette maison</v>
      </c>
      <c r="C15" s="64" t="str">
        <f>IFERROR(INDEX(tbl_ProduitsRef[Famille], MATCH(tbl_Produits[[#This Row],[Cde_Prdt]], tbl_Produits[Cde_Prdt], 0)), "")</f>
        <v>Œufs &amp; Omelettes</v>
      </c>
      <c r="D15" s="65">
        <f ca="1">SUMIF(tbl_Recettes[Cde_Prdt], tbl_Produits[[#This Row],[Cde_Prdt]], tbl_Recettes[Coût Moyen Portion])</f>
        <v>20.810000000000002</v>
      </c>
      <c r="E15" s="66">
        <f>IFERROR(
   INDEX(tbl_ProduitsRef[Prix Menu],MATCH(B15,tbl_ProduitsRef[Produit],0)),
   ""
)</f>
        <v>22</v>
      </c>
      <c r="F15" s="66">
        <f ca="1">tbl_Produits[[#This Row],[Prix Menu]] - tbl_Produits[[#This Row],[Coût Moyen Portion]]</f>
        <v>1.1899999999999977</v>
      </c>
      <c r="G15" s="67">
        <f ca="1">IF(tbl_Produits[[#This Row],[Prix Menu]]&gt;0, tbl_Produits[[#This Row],[Marge Brute]] / tbl_Produits[[#This Row],[Prix Menu]], 0)</f>
        <v>5.4090909090908988E-2</v>
      </c>
      <c r="H15" s="69">
        <f t="shared" ca="1" si="0"/>
        <v>0.56795454545454438</v>
      </c>
      <c r="I15" s="67">
        <f ca="1">IF(tbl_Produits[[#This Row],[Prix Menu]]=0, 0, tbl_Produits[[#This Row],[Coût Moyen Portion]] / tbl_Produits[[#This Row],[Prix Menu]])</f>
        <v>0.94590909090909103</v>
      </c>
      <c r="J15" s="67" t="str" cm="1">
        <f t="array" ref="J15">IFERROR(IF(Total_portions=0, 0, Charges_fixes_totales_periode / Total_portions),"Vérifier")</f>
        <v>Vérifier</v>
      </c>
      <c r="K15" s="131" cm="1">
        <f t="array" aca="1" ref="K15" ca="1">IFERROR(tbl_Produits[[#This Row],[Prix Menu]] - tbl_Produits[[#This Row],[Coût Moyen Portion]] - ChargesFixesPar_Portion[Charges fixes par portion],"Vérifier")</f>
        <v>-10785.81</v>
      </c>
      <c r="L15" s="132" t="str">
        <f ca="1">IF(OR(tbl_Produits[[#This Row],[Food cost % ]]&gt;0.35,tbl_Produits[[#This Row],[% de Chrg Fixe /Prdt]]&gt;0.2),"À améliorer","OK")</f>
        <v>À améliorer</v>
      </c>
      <c r="M15" s="18">
        <f>IFERROR( (SUMIF(tbl_Charges_Fixes[Famille affectée],tbl_Produits[[#This Row],[Famille]],tbl_Charges_Fixes[Montant_Mensuel])) / (SUMIF(tbl_Ventes[Famille],tbl_Produits[[#This Row],[Famille]],tbl_Ventes[Qté Vendue])), 0)</f>
        <v>192</v>
      </c>
    </row>
    <row r="16" spans="1:20" ht="16.5" customHeight="1" x14ac:dyDescent="0.25">
      <c r="A16" s="29" t="str">
        <f>Référentiels!A16&amp;TEXT(Référentiels!B16,"000")</f>
        <v>OME004</v>
      </c>
      <c r="B16" s="64" t="str">
        <f>+tbl_ProduitsRef[[#This Row],[Produit]]</f>
        <v>Omelette végétarienne</v>
      </c>
      <c r="C16" s="64" t="str">
        <f>IFERROR(INDEX(tbl_ProduitsRef[Famille], MATCH(tbl_Produits[[#This Row],[Cde_Prdt]], tbl_Produits[Cde_Prdt], 0)), "")</f>
        <v>Œufs &amp; Omelettes</v>
      </c>
      <c r="D16" s="65">
        <f ca="1">SUMIF(tbl_Recettes[Cde_Prdt], tbl_Produits[[#This Row],[Cde_Prdt]], tbl_Recettes[Coût Moyen Portion])</f>
        <v>13.489999999999998</v>
      </c>
      <c r="E16" s="66">
        <f>IFERROR(
   INDEX(tbl_ProduitsRef[Prix Menu],MATCH(B16,tbl_ProduitsRef[Produit],0)),
   ""
)</f>
        <v>20</v>
      </c>
      <c r="F16" s="66">
        <f ca="1">tbl_Produits[[#This Row],[Prix Menu]] - tbl_Produits[[#This Row],[Coût Moyen Portion]]</f>
        <v>6.5100000000000016</v>
      </c>
      <c r="G16" s="67">
        <f ca="1">IF(tbl_Produits[[#This Row],[Prix Menu]]&gt;0, tbl_Produits[[#This Row],[Marge Brute]] / tbl_Produits[[#This Row],[Prix Menu]], 0)</f>
        <v>0.32550000000000007</v>
      </c>
      <c r="H16" s="69">
        <f t="shared" ca="1" si="0"/>
        <v>3.2550000000000008</v>
      </c>
      <c r="I16" s="67">
        <f ca="1">IF(tbl_Produits[[#This Row],[Prix Menu]]=0, 0, tbl_Produits[[#This Row],[Coût Moyen Portion]] / tbl_Produits[[#This Row],[Prix Menu]])</f>
        <v>0.67449999999999988</v>
      </c>
      <c r="J16" s="67" t="str" cm="1">
        <f t="array" ref="J16">IFERROR(IF(Total_portions=0, 0, Charges_fixes_totales_periode / Total_portions),"Vérifier")</f>
        <v>Vérifier</v>
      </c>
      <c r="K16" s="131" cm="1">
        <f t="array" aca="1" ref="K16" ca="1">IFERROR(tbl_Produits[[#This Row],[Prix Menu]] - tbl_Produits[[#This Row],[Coût Moyen Portion]] - ChargesFixesPar_Portion[Charges fixes par portion],"Vérifier")</f>
        <v>-10780.49</v>
      </c>
      <c r="L16" s="132" t="str">
        <f ca="1">IF(OR(tbl_Produits[[#This Row],[Food cost % ]]&gt;0.35,tbl_Produits[[#This Row],[% de Chrg Fixe /Prdt]]&gt;0.2),"À améliorer","OK")</f>
        <v>À améliorer</v>
      </c>
      <c r="M16" s="18">
        <f>IFERROR( (SUMIF(tbl_Charges_Fixes[Famille affectée],tbl_Produits[[#This Row],[Famille]],tbl_Charges_Fixes[Montant_Mensuel])) / (SUMIF(tbl_Ventes[Famille],tbl_Produits[[#This Row],[Famille]],tbl_Ventes[Qté Vendue])), 0)</f>
        <v>192</v>
      </c>
    </row>
    <row r="17" spans="1:13" ht="16.5" customHeight="1" x14ac:dyDescent="0.25">
      <c r="A17" s="29" t="str">
        <f>Référentiels!A17&amp;TEXT(Référentiels!B17,"000")</f>
        <v>OME005</v>
      </c>
      <c r="B17" s="64" t="str">
        <f>+tbl_ProduitsRef[[#This Row],[Produit]]</f>
        <v>Omelette aux épinards</v>
      </c>
      <c r="C17" s="64" t="str">
        <f>IFERROR(INDEX(tbl_ProduitsRef[Famille], MATCH(tbl_Produits[[#This Row],[Cde_Prdt]], tbl_Produits[Cde_Prdt], 0)), "")</f>
        <v>Œufs &amp; Omelettes</v>
      </c>
      <c r="D17" s="65">
        <f ca="1">SUMIF(tbl_Recettes[Cde_Prdt], tbl_Produits[[#This Row],[Cde_Prdt]], tbl_Recettes[Coût Moyen Portion])</f>
        <v>7.59</v>
      </c>
      <c r="E17" s="66">
        <f>IFERROR(
   INDEX(tbl_ProduitsRef[Prix Menu],MATCH(B17,tbl_ProduitsRef[Produit],0)),
   ""
)</f>
        <v>18</v>
      </c>
      <c r="F17" s="66">
        <f ca="1">tbl_Produits[[#This Row],[Prix Menu]] - tbl_Produits[[#This Row],[Coût Moyen Portion]]</f>
        <v>10.41</v>
      </c>
      <c r="G17" s="67">
        <f ca="1">IF(tbl_Produits[[#This Row],[Prix Menu]]&gt;0, tbl_Produits[[#This Row],[Marge Brute]] / tbl_Produits[[#This Row],[Prix Menu]], 0)</f>
        <v>0.57833333333333337</v>
      </c>
      <c r="H17" s="69">
        <f t="shared" ca="1" si="0"/>
        <v>5.4941666666666666</v>
      </c>
      <c r="I17" s="67">
        <f ca="1">IF(tbl_Produits[[#This Row],[Prix Menu]]=0, 0, tbl_Produits[[#This Row],[Coût Moyen Portion]] / tbl_Produits[[#This Row],[Prix Menu]])</f>
        <v>0.42166666666666663</v>
      </c>
      <c r="J17" s="67" t="str" cm="1">
        <f t="array" ref="J17">IFERROR(IF(Total_portions=0, 0, Charges_fixes_totales_periode / Total_portions),"Vérifier")</f>
        <v>Vérifier</v>
      </c>
      <c r="K17" s="131" cm="1">
        <f t="array" aca="1" ref="K17" ca="1">IFERROR(tbl_Produits[[#This Row],[Prix Menu]] - tbl_Produits[[#This Row],[Coût Moyen Portion]] - ChargesFixesPar_Portion[Charges fixes par portion],"Vérifier")</f>
        <v>-10776.59</v>
      </c>
      <c r="L17" s="132" t="str">
        <f ca="1">IF(OR(tbl_Produits[[#This Row],[Food cost % ]]&gt;0.35,tbl_Produits[[#This Row],[% de Chrg Fixe /Prdt]]&gt;0.2),"À améliorer","OK")</f>
        <v>À améliorer</v>
      </c>
      <c r="M17" s="18">
        <f>IFERROR( (SUMIF(tbl_Charges_Fixes[Famille affectée],tbl_Produits[[#This Row],[Famille]],tbl_Charges_Fixes[Montant_Mensuel])) / (SUMIF(tbl_Ventes[Famille],tbl_Produits[[#This Row],[Famille]],tbl_Ventes[Qté Vendue])), 0)</f>
        <v>192</v>
      </c>
    </row>
    <row r="18" spans="1:13" ht="16.5" customHeight="1" x14ac:dyDescent="0.25">
      <c r="A18" s="29" t="str">
        <f>Référentiels!A18&amp;TEXT(Référentiels!B18,"000")</f>
        <v>OME006</v>
      </c>
      <c r="B18" s="64" t="str">
        <f>+tbl_ProduitsRef[[#This Row],[Produit]]</f>
        <v>Omelette au fromage</v>
      </c>
      <c r="C18" s="64" t="str">
        <f>IFERROR(INDEX(tbl_ProduitsRef[Famille], MATCH(tbl_Produits[[#This Row],[Cde_Prdt]], tbl_Produits[Cde_Prdt], 0)), "")</f>
        <v>Œufs &amp; Omelettes</v>
      </c>
      <c r="D18" s="65">
        <f ca="1">SUMIF(tbl_Recettes[Cde_Prdt], tbl_Produits[[#This Row],[Cde_Prdt]], tbl_Recettes[Coût Moyen Portion])</f>
        <v>12.790000000000003</v>
      </c>
      <c r="E18" s="66">
        <f>IFERROR(
   INDEX(tbl_ProduitsRef[Prix Menu],MATCH(B18,tbl_ProduitsRef[Produit],0)),
   ""
)</f>
        <v>15</v>
      </c>
      <c r="F18" s="66">
        <f ca="1">tbl_Produits[[#This Row],[Prix Menu]] - tbl_Produits[[#This Row],[Coût Moyen Portion]]</f>
        <v>2.2099999999999973</v>
      </c>
      <c r="G18" s="67">
        <f ca="1">IF(tbl_Produits[[#This Row],[Prix Menu]]&gt;0, tbl_Produits[[#This Row],[Marge Brute]] / tbl_Produits[[#This Row],[Prix Menu]], 0)</f>
        <v>0.14733333333333315</v>
      </c>
      <c r="H18" s="69">
        <f t="shared" ca="1" si="0"/>
        <v>1.289166666666665</v>
      </c>
      <c r="I18" s="67">
        <f ca="1">IF(tbl_Produits[[#This Row],[Prix Menu]]=0, 0, tbl_Produits[[#This Row],[Coût Moyen Portion]] / tbl_Produits[[#This Row],[Prix Menu]])</f>
        <v>0.85266666666666679</v>
      </c>
      <c r="J18" s="67" t="str" cm="1">
        <f t="array" ref="J18">IFERROR(IF(Total_portions=0, 0, Charges_fixes_totales_periode / Total_portions),"Vérifier")</f>
        <v>Vérifier</v>
      </c>
      <c r="K18" s="131" cm="1">
        <f t="array" aca="1" ref="K18" ca="1">IFERROR(tbl_Produits[[#This Row],[Prix Menu]] - tbl_Produits[[#This Row],[Coût Moyen Portion]] - ChargesFixesPar_Portion[Charges fixes par portion],"Vérifier")</f>
        <v>-10784.79</v>
      </c>
      <c r="L18" s="132" t="str">
        <f ca="1">IF(OR(tbl_Produits[[#This Row],[Food cost % ]]&gt;0.35,tbl_Produits[[#This Row],[% de Chrg Fixe /Prdt]]&gt;0.2),"À améliorer","OK")</f>
        <v>À améliorer</v>
      </c>
      <c r="M18" s="18">
        <f>IFERROR( (SUMIF(tbl_Charges_Fixes[Famille affectée],tbl_Produits[[#This Row],[Famille]],tbl_Charges_Fixes[Montant_Mensuel])) / (SUMIF(tbl_Ventes[Famille],tbl_Produits[[#This Row],[Famille]],tbl_Ventes[Qté Vendue])), 0)</f>
        <v>192</v>
      </c>
    </row>
    <row r="19" spans="1:13" ht="16.5" customHeight="1" x14ac:dyDescent="0.25">
      <c r="A19" s="29" t="str">
        <f>Référentiels!A19&amp;TEXT(Référentiels!B19,"000")</f>
        <v>OME007</v>
      </c>
      <c r="B19" s="64" t="str">
        <f>+tbl_ProduitsRef[[#This Row],[Produit]]</f>
        <v>Omelette nature</v>
      </c>
      <c r="C19" s="64" t="str">
        <f>IFERROR(INDEX(tbl_ProduitsRef[Famille], MATCH(tbl_Produits[[#This Row],[Cde_Prdt]], tbl_Produits[Cde_Prdt], 0)), "")</f>
        <v>Œufs &amp; Omelettes</v>
      </c>
      <c r="D19" s="65">
        <f ca="1">SUMIF(tbl_Recettes[Cde_Prdt], tbl_Produits[[#This Row],[Cde_Prdt]], tbl_Recettes[Coût Moyen Portion])</f>
        <v>3.69</v>
      </c>
      <c r="E19" s="66">
        <f>IFERROR(
   INDEX(tbl_ProduitsRef[Prix Menu],MATCH(B19,tbl_ProduitsRef[Produit],0)),
   ""
)</f>
        <v>10</v>
      </c>
      <c r="F19" s="66">
        <f ca="1">tbl_Produits[[#This Row],[Prix Menu]] - tbl_Produits[[#This Row],[Coût Moyen Portion]]</f>
        <v>6.3100000000000005</v>
      </c>
      <c r="G19" s="67">
        <f ca="1">IF(tbl_Produits[[#This Row],[Prix Menu]]&gt;0, tbl_Produits[[#This Row],[Marge Brute]] / tbl_Produits[[#This Row],[Prix Menu]], 0)</f>
        <v>0.63100000000000001</v>
      </c>
      <c r="H19" s="69">
        <f t="shared" ca="1" si="0"/>
        <v>4.7324999999999999</v>
      </c>
      <c r="I19" s="67">
        <f ca="1">IF(tbl_Produits[[#This Row],[Prix Menu]]=0, 0, tbl_Produits[[#This Row],[Coût Moyen Portion]] / tbl_Produits[[#This Row],[Prix Menu]])</f>
        <v>0.36899999999999999</v>
      </c>
      <c r="J19" s="67" t="str" cm="1">
        <f t="array" ref="J19">IFERROR(IF(Total_portions=0, 0, Charges_fixes_totales_periode / Total_portions),"Vérifier")</f>
        <v>Vérifier</v>
      </c>
      <c r="K19" s="131" cm="1">
        <f t="array" aca="1" ref="K19" ca="1">IFERROR(tbl_Produits[[#This Row],[Prix Menu]] - tbl_Produits[[#This Row],[Coût Moyen Portion]] - ChargesFixesPar_Portion[Charges fixes par portion],"Vérifier")</f>
        <v>-10780.69</v>
      </c>
      <c r="L19" s="132" t="str">
        <f ca="1">IF(OR(tbl_Produits[[#This Row],[Food cost % ]]&gt;0.35,tbl_Produits[[#This Row],[% de Chrg Fixe /Prdt]]&gt;0.2),"À améliorer","OK")</f>
        <v>À améliorer</v>
      </c>
      <c r="M19" s="18">
        <f>IFERROR( (SUMIF(tbl_Charges_Fixes[Famille affectée],tbl_Produits[[#This Row],[Famille]],tbl_Charges_Fixes[Montant_Mensuel])) / (SUMIF(tbl_Ventes[Famille],tbl_Produits[[#This Row],[Famille]],tbl_Ventes[Qté Vendue])), 0)</f>
        <v>192</v>
      </c>
    </row>
    <row r="20" spans="1:13" ht="16.5" customHeight="1" x14ac:dyDescent="0.25">
      <c r="A20" s="29" t="str">
        <f>Référentiels!A20&amp;TEXT(Référentiels!B20,"000")</f>
        <v>OND001</v>
      </c>
      <c r="B20" s="64" t="str">
        <f>+tbl_ProduitsRef[[#This Row],[Produit]]</f>
        <v>Regraga à la carte</v>
      </c>
      <c r="C20" s="64" t="str">
        <f>IFERROR(INDEX(tbl_ProduitsRef[Famille], MATCH(tbl_Produits[[#This Row],[Cde_Prdt]], tbl_Produits[Cde_Prdt], 0)), "")</f>
        <v>à la carte</v>
      </c>
      <c r="D20" s="65">
        <f ca="1">SUMIF(tbl_Recettes[Cde_Prdt], tbl_Produits[[#This Row],[Cde_Prdt]], tbl_Recettes[Coût Moyen Portion])</f>
        <v>37.199999999999996</v>
      </c>
      <c r="E20" s="66">
        <f>IFERROR(
   INDEX(tbl_ProduitsRef[Prix Menu],MATCH(B20,tbl_ProduitsRef[Produit],0)),
   ""
)</f>
        <v>28</v>
      </c>
      <c r="F20" s="66">
        <f ca="1">tbl_Produits[[#This Row],[Prix Menu]] - tbl_Produits[[#This Row],[Coût Moyen Portion]]</f>
        <v>-9.1999999999999957</v>
      </c>
      <c r="G20" s="67">
        <f ca="1">IF(tbl_Produits[[#This Row],[Prix Menu]]&gt;0, tbl_Produits[[#This Row],[Marge Brute]] / tbl_Produits[[#This Row],[Prix Menu]], 0)</f>
        <v>-0.3285714285714284</v>
      </c>
      <c r="H20" s="69">
        <f t="shared" ca="1" si="0"/>
        <v>-3.9428571428571408</v>
      </c>
      <c r="I20" s="67">
        <f ca="1">IF(tbl_Produits[[#This Row],[Prix Menu]]=0, 0, tbl_Produits[[#This Row],[Coût Moyen Portion]] / tbl_Produits[[#This Row],[Prix Menu]])</f>
        <v>1.3285714285714285</v>
      </c>
      <c r="J20" s="67" t="str" cm="1">
        <f t="array" ref="J20">IFERROR(IF(Total_portions=0, 0, Charges_fixes_totales_periode / Total_portions),"Vérifier")</f>
        <v>Vérifier</v>
      </c>
      <c r="K20" s="131" cm="1">
        <f t="array" aca="1" ref="K20" ca="1">IFERROR(tbl_Produits[[#This Row],[Prix Menu]] - tbl_Produits[[#This Row],[Coût Moyen Portion]] - ChargesFixesPar_Portion[Charges fixes par portion],"Vérifier")</f>
        <v>-10796.2</v>
      </c>
      <c r="L20" s="132" t="str">
        <f ca="1">IF(OR(tbl_Produits[[#This Row],[Food cost % ]]&gt;0.35,tbl_Produits[[#This Row],[% de Chrg Fixe /Prdt]]&gt;0.2),"À améliorer","OK")</f>
        <v>À améliorer</v>
      </c>
      <c r="M20" s="18">
        <f>IFERROR( (SUMIF(tbl_Charges_Fixes[Famille affectée],tbl_Produits[[#This Row],[Famille]],tbl_Charges_Fixes[Montant_Mensuel])) / (SUMIF(tbl_Ventes[Famille],tbl_Produits[[#This Row],[Famille]],tbl_Ventes[Qté Vendue])), 0)</f>
        <v>73.84615384615384</v>
      </c>
    </row>
    <row r="21" spans="1:13" ht="16.5" customHeight="1" x14ac:dyDescent="0.25">
      <c r="A21" s="29" t="str">
        <f>Référentiels!A21&amp;TEXT(Référentiels!B21,"000")</f>
        <v>OND002</v>
      </c>
      <c r="B21" s="64" t="str">
        <f>+tbl_ProduitsRef[[#This Row],[Produit]]</f>
        <v>Baghrira avec amlou</v>
      </c>
      <c r="C21" s="64" t="str">
        <f>IFERROR(INDEX(tbl_ProduitsRef[Famille], MATCH(tbl_Produits[[#This Row],[Cde_Prdt]], tbl_Produits[Cde_Prdt], 0)), "")</f>
        <v>à la carte</v>
      </c>
      <c r="D21" s="65">
        <f ca="1">SUMIF(tbl_Recettes[Cde_Prdt], tbl_Produits[[#This Row],[Cde_Prdt]], tbl_Recettes[Coût Moyen Portion])</f>
        <v>33</v>
      </c>
      <c r="E21" s="66">
        <f>IFERROR(
   INDEX(tbl_ProduitsRef[Prix Menu],MATCH(B21,tbl_ProduitsRef[Produit],0)),
   ""
)</f>
        <v>25</v>
      </c>
      <c r="F21" s="66">
        <f ca="1">tbl_Produits[[#This Row],[Prix Menu]] - tbl_Produits[[#This Row],[Coût Moyen Portion]]</f>
        <v>-8</v>
      </c>
      <c r="G21" s="67">
        <f ca="1">IF(tbl_Produits[[#This Row],[Prix Menu]]&gt;0, tbl_Produits[[#This Row],[Marge Brute]] / tbl_Produits[[#This Row],[Prix Menu]], 0)</f>
        <v>-0.32</v>
      </c>
      <c r="H21" s="69">
        <f t="shared" ca="1" si="0"/>
        <v>-3.6</v>
      </c>
      <c r="I21" s="67">
        <f ca="1">IF(tbl_Produits[[#This Row],[Prix Menu]]=0, 0, tbl_Produits[[#This Row],[Coût Moyen Portion]] / tbl_Produits[[#This Row],[Prix Menu]])</f>
        <v>1.32</v>
      </c>
      <c r="J21" s="67" t="str" cm="1">
        <f t="array" ref="J21">IFERROR(IF(Total_portions=0, 0, Charges_fixes_totales_periode / Total_portions),"Vérifier")</f>
        <v>Vérifier</v>
      </c>
      <c r="K21" s="131" cm="1">
        <f t="array" aca="1" ref="K21" ca="1">IFERROR(tbl_Produits[[#This Row],[Prix Menu]] - tbl_Produits[[#This Row],[Coût Moyen Portion]] - ChargesFixesPar_Portion[Charges fixes par portion],"Vérifier")</f>
        <v>-10795</v>
      </c>
      <c r="L21" s="132" t="str">
        <f ca="1">IF(OR(tbl_Produits[[#This Row],[Food cost % ]]&gt;0.35,tbl_Produits[[#This Row],[% de Chrg Fixe /Prdt]]&gt;0.2),"À améliorer","OK")</f>
        <v>À améliorer</v>
      </c>
      <c r="M21" s="18">
        <f>IFERROR( (SUMIF(tbl_Charges_Fixes[Famille affectée],tbl_Produits[[#This Row],[Famille]],tbl_Charges_Fixes[Montant_Mensuel])) / (SUMIF(tbl_Ventes[Famille],tbl_Produits[[#This Row],[Famille]],tbl_Ventes[Qté Vendue])), 0)</f>
        <v>73.84615384615384</v>
      </c>
    </row>
    <row r="22" spans="1:13" ht="16.5" customHeight="1" x14ac:dyDescent="0.25">
      <c r="A22" s="29" t="str">
        <f>Référentiels!A22&amp;TEXT(Référentiels!B22,"000")</f>
        <v>OND003</v>
      </c>
      <c r="B22" s="64" t="str">
        <f>+tbl_ProduitsRef[[#This Row],[Produit]]</f>
        <v>Croques fromage et dinde fumée</v>
      </c>
      <c r="C22" s="64" t="str">
        <f>IFERROR(INDEX(tbl_ProduitsRef[Famille], MATCH(tbl_Produits[[#This Row],[Cde_Prdt]], tbl_Produits[Cde_Prdt], 0)), "")</f>
        <v>à la carte</v>
      </c>
      <c r="D22" s="65">
        <f ca="1">SUMIF(tbl_Recettes[Cde_Prdt], tbl_Produits[[#This Row],[Cde_Prdt]], tbl_Recettes[Coût Moyen Portion])</f>
        <v>21.56</v>
      </c>
      <c r="E22" s="66">
        <f>IFERROR(
   INDEX(tbl_ProduitsRef[Prix Menu],MATCH(B22,tbl_ProduitsRef[Produit],0)),
   ""
)</f>
        <v>24</v>
      </c>
      <c r="F22" s="66">
        <f ca="1">tbl_Produits[[#This Row],[Prix Menu]] - tbl_Produits[[#This Row],[Coût Moyen Portion]]</f>
        <v>2.4400000000000013</v>
      </c>
      <c r="G22" s="67">
        <f ca="1">IF(tbl_Produits[[#This Row],[Prix Menu]]&gt;0, tbl_Produits[[#This Row],[Marge Brute]] / tbl_Produits[[#This Row],[Prix Menu]], 0)</f>
        <v>0.10166666666666672</v>
      </c>
      <c r="H22" s="69">
        <f t="shared" ca="1" si="0"/>
        <v>1.1183333333333341</v>
      </c>
      <c r="I22" s="67">
        <f ca="1">IF(tbl_Produits[[#This Row],[Prix Menu]]=0, 0, tbl_Produits[[#This Row],[Coût Moyen Portion]] / tbl_Produits[[#This Row],[Prix Menu]])</f>
        <v>0.89833333333333332</v>
      </c>
      <c r="J22" s="67" t="str" cm="1">
        <f t="array" ref="J22">IFERROR(IF(Total_portions=0, 0, Charges_fixes_totales_periode / Total_portions),"Vérifier")</f>
        <v>Vérifier</v>
      </c>
      <c r="K22" s="131" cm="1">
        <f t="array" aca="1" ref="K22" ca="1">IFERROR(tbl_Produits[[#This Row],[Prix Menu]] - tbl_Produits[[#This Row],[Coût Moyen Portion]] - ChargesFixesPar_Portion[Charges fixes par portion],"Vérifier")</f>
        <v>-10784.56</v>
      </c>
      <c r="L22" s="132" t="str">
        <f ca="1">IF(OR(tbl_Produits[[#This Row],[Food cost % ]]&gt;0.35,tbl_Produits[[#This Row],[% de Chrg Fixe /Prdt]]&gt;0.2),"À améliorer","OK")</f>
        <v>À améliorer</v>
      </c>
      <c r="M22" s="18">
        <f>IFERROR( (SUMIF(tbl_Charges_Fixes[Famille affectée],tbl_Produits[[#This Row],[Famille]],tbl_Charges_Fixes[Montant_Mensuel])) / (SUMIF(tbl_Ventes[Famille],tbl_Produits[[#This Row],[Famille]],tbl_Ventes[Qté Vendue])), 0)</f>
        <v>73.84615384615384</v>
      </c>
    </row>
    <row r="23" spans="1:13" ht="16.5" customHeight="1" x14ac:dyDescent="0.25">
      <c r="A23" s="29" t="str">
        <f>Référentiels!A23&amp;TEXT(Référentiels!B23,"000")</f>
        <v>SUP001</v>
      </c>
      <c r="B23" s="64" t="str">
        <f>+tbl_ProduitsRef[[#This Row],[Produit]]</f>
        <v>Fromage rouge</v>
      </c>
      <c r="C23" s="64" t="str">
        <f>IFERROR(INDEX(tbl_ProduitsRef[Famille], MATCH(tbl_Produits[[#This Row],[Cde_Prdt]], tbl_Produits[Cde_Prdt], 0)), "")</f>
        <v>Suppléments</v>
      </c>
      <c r="D23" s="65">
        <f ca="1">SUMIF(tbl_Recettes[Cde_Prdt], tbl_Produits[[#This Row],[Cde_Prdt]], tbl_Recettes[Coût Moyen Portion])</f>
        <v>15</v>
      </c>
      <c r="E23" s="66">
        <f>IFERROR(
   INDEX(tbl_ProduitsRef[Prix Menu],MATCH(B23,tbl_ProduitsRef[Produit],0)),
   ""
)</f>
        <v>15</v>
      </c>
      <c r="F23" s="66">
        <f ca="1">tbl_Produits[[#This Row],[Prix Menu]] - tbl_Produits[[#This Row],[Coût Moyen Portion]]</f>
        <v>0</v>
      </c>
      <c r="G23" s="67">
        <f ca="1">IF(tbl_Produits[[#This Row],[Prix Menu]]&gt;0, tbl_Produits[[#This Row],[Marge Brute]] / tbl_Produits[[#This Row],[Prix Menu]], 0)</f>
        <v>0</v>
      </c>
      <c r="H23" s="69">
        <f t="shared" ca="1" si="0"/>
        <v>0</v>
      </c>
      <c r="I23" s="67">
        <f ca="1">IF(tbl_Produits[[#This Row],[Prix Menu]]=0, 0, tbl_Produits[[#This Row],[Coût Moyen Portion]] / tbl_Produits[[#This Row],[Prix Menu]])</f>
        <v>1</v>
      </c>
      <c r="J23" s="67" t="str" cm="1">
        <f t="array" ref="J23">IFERROR(IF(Total_portions=0, 0, Charges_fixes_totales_periode / Total_portions),"Vérifier")</f>
        <v>Vérifier</v>
      </c>
      <c r="K23" s="131" cm="1">
        <f t="array" aca="1" ref="K23" ca="1">IFERROR(tbl_Produits[[#This Row],[Prix Menu]] - tbl_Produits[[#This Row],[Coût Moyen Portion]] - ChargesFixesPar_Portion[Charges fixes par portion],"Vérifier")</f>
        <v>-10787</v>
      </c>
      <c r="L23" s="132" t="str">
        <f ca="1">IF(OR(tbl_Produits[[#This Row],[Food cost % ]]&gt;0.35,tbl_Produits[[#This Row],[% de Chrg Fixe /Prdt]]&gt;0.2),"À améliorer","OK")</f>
        <v>À améliorer</v>
      </c>
      <c r="M2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4" spans="1:13" ht="16.5" customHeight="1" x14ac:dyDescent="0.25">
      <c r="A24" s="29" t="str">
        <f>Référentiels!A24&amp;TEXT(Référentiels!B24,"000")</f>
        <v>SUP002</v>
      </c>
      <c r="B24" s="64" t="str">
        <f>+tbl_ProduitsRef[[#This Row],[Produit]]</f>
        <v>Amlou amande</v>
      </c>
      <c r="C24" s="64" t="str">
        <f>IFERROR(INDEX(tbl_ProduitsRef[Famille], MATCH(tbl_Produits[[#This Row],[Cde_Prdt]], tbl_Produits[Cde_Prdt], 0)), "")</f>
        <v>Suppléments</v>
      </c>
      <c r="D24" s="65">
        <f ca="1">SUMIF(tbl_Recettes[Cde_Prdt], tbl_Produits[[#This Row],[Cde_Prdt]], tbl_Recettes[Coût Moyen Portion])</f>
        <v>60</v>
      </c>
      <c r="E24" s="66">
        <f>IFERROR(
   INDEX(tbl_ProduitsRef[Prix Menu],MATCH(B24,tbl_ProduitsRef[Produit],0)),
   ""
)</f>
        <v>12</v>
      </c>
      <c r="F24" s="66">
        <f ca="1">tbl_Produits[[#This Row],[Prix Menu]] - tbl_Produits[[#This Row],[Coût Moyen Portion]]</f>
        <v>-48</v>
      </c>
      <c r="G24" s="67">
        <f ca="1">IF(tbl_Produits[[#This Row],[Prix Menu]]&gt;0, tbl_Produits[[#This Row],[Marge Brute]] / tbl_Produits[[#This Row],[Prix Menu]], 0)</f>
        <v>-4</v>
      </c>
      <c r="H24" s="69">
        <f t="shared" ca="1" si="0"/>
        <v>-32</v>
      </c>
      <c r="I24" s="67">
        <f ca="1">IF(tbl_Produits[[#This Row],[Prix Menu]]=0, 0, tbl_Produits[[#This Row],[Coût Moyen Portion]] / tbl_Produits[[#This Row],[Prix Menu]])</f>
        <v>5</v>
      </c>
      <c r="J24" s="67" t="str" cm="1">
        <f t="array" ref="J24">IFERROR(IF(Total_portions=0, 0, Charges_fixes_totales_periode / Total_portions),"Vérifier")</f>
        <v>Vérifier</v>
      </c>
      <c r="K24" s="131" cm="1">
        <f t="array" aca="1" ref="K24" ca="1">IFERROR(tbl_Produits[[#This Row],[Prix Menu]] - tbl_Produits[[#This Row],[Coût Moyen Portion]] - ChargesFixesPar_Portion[Charges fixes par portion],"Vérifier")</f>
        <v>-10835</v>
      </c>
      <c r="L24" s="132" t="str">
        <f ca="1">IF(OR(tbl_Produits[[#This Row],[Food cost % ]]&gt;0.35,tbl_Produits[[#This Row],[% de Chrg Fixe /Prdt]]&gt;0.2),"À améliorer","OK")</f>
        <v>À améliorer</v>
      </c>
      <c r="M2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5" spans="1:13" ht="16.5" customHeight="1" x14ac:dyDescent="0.25">
      <c r="A25" s="29" t="str">
        <f>Référentiels!A25&amp;TEXT(Référentiels!B25,"000")</f>
        <v>SUP003</v>
      </c>
      <c r="B25" s="64" t="str">
        <f>+tbl_ProduitsRef[[#This Row],[Produit]]</f>
        <v>Charcuterie</v>
      </c>
      <c r="C25" s="64" t="str">
        <f>IFERROR(INDEX(tbl_ProduitsRef[Famille], MATCH(tbl_Produits[[#This Row],[Cde_Prdt]], tbl_Produits[Cde_Prdt], 0)), "")</f>
        <v>Suppléments</v>
      </c>
      <c r="D25" s="65">
        <f ca="1">SUMIF(tbl_Recettes[Cde_Prdt], tbl_Produits[[#This Row],[Cde_Prdt]], tbl_Recettes[Coût Moyen Portion])</f>
        <v>21.5</v>
      </c>
      <c r="E25" s="66">
        <f>IFERROR(
   INDEX(tbl_ProduitsRef[Prix Menu],MATCH(B25,tbl_ProduitsRef[Produit],0)),
   ""
)</f>
        <v>10</v>
      </c>
      <c r="F25" s="66">
        <f ca="1">tbl_Produits[[#This Row],[Prix Menu]] - tbl_Produits[[#This Row],[Coût Moyen Portion]]</f>
        <v>-11.5</v>
      </c>
      <c r="G25" s="67">
        <f ca="1">IF(tbl_Produits[[#This Row],[Prix Menu]]&gt;0, tbl_Produits[[#This Row],[Marge Brute]] / tbl_Produits[[#This Row],[Prix Menu]], 0)</f>
        <v>-1.1499999999999999</v>
      </c>
      <c r="H25" s="69">
        <f t="shared" ca="1" si="0"/>
        <v>-8.625</v>
      </c>
      <c r="I25" s="67">
        <f ca="1">IF(tbl_Produits[[#This Row],[Prix Menu]]=0, 0, tbl_Produits[[#This Row],[Coût Moyen Portion]] / tbl_Produits[[#This Row],[Prix Menu]])</f>
        <v>2.15</v>
      </c>
      <c r="J25" s="67" t="str" cm="1">
        <f t="array" ref="J25">IFERROR(IF(Total_portions=0, 0, Charges_fixes_totales_periode / Total_portions),"Vérifier")</f>
        <v>Vérifier</v>
      </c>
      <c r="K25" s="131" cm="1">
        <f t="array" aca="1" ref="K25" ca="1">IFERROR(tbl_Produits[[#This Row],[Prix Menu]] - tbl_Produits[[#This Row],[Coût Moyen Portion]] - ChargesFixesPar_Portion[Charges fixes par portion],"Vérifier")</f>
        <v>-10798.5</v>
      </c>
      <c r="L25" s="132" t="str">
        <f ca="1">IF(OR(tbl_Produits[[#This Row],[Food cost % ]]&gt;0.35,tbl_Produits[[#This Row],[% de Chrg Fixe /Prdt]]&gt;0.2),"À améliorer","OK")</f>
        <v>À améliorer</v>
      </c>
      <c r="M2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6" spans="1:13" ht="16.5" customHeight="1" x14ac:dyDescent="0.25">
      <c r="A26" s="29" t="str">
        <f>Référentiels!A26&amp;TEXT(Référentiels!B26,"000")</f>
        <v>SUP004</v>
      </c>
      <c r="B26" s="64" t="str">
        <f>+tbl_ProduitsRef[[#This Row],[Produit]]</f>
        <v>Huile d’olive</v>
      </c>
      <c r="C26" s="64" t="str">
        <f>IFERROR(INDEX(tbl_ProduitsRef[Famille], MATCH(tbl_Produits[[#This Row],[Cde_Prdt]], tbl_Produits[Cde_Prdt], 0)), "")</f>
        <v>Suppléments</v>
      </c>
      <c r="D26" s="65">
        <f ca="1">SUMIF(tbl_Recettes[Cde_Prdt], tbl_Produits[[#This Row],[Cde_Prdt]], tbl_Recettes[Coût Moyen Portion])</f>
        <v>4.5</v>
      </c>
      <c r="E26" s="66">
        <f>IFERROR(
   INDEX(tbl_ProduitsRef[Prix Menu],MATCH(B26,tbl_ProduitsRef[Produit],0)),
   ""
)</f>
        <v>8</v>
      </c>
      <c r="F26" s="66">
        <f ca="1">tbl_Produits[[#This Row],[Prix Menu]] - tbl_Produits[[#This Row],[Coût Moyen Portion]]</f>
        <v>3.5</v>
      </c>
      <c r="G26" s="67">
        <f ca="1">IF(tbl_Produits[[#This Row],[Prix Menu]]&gt;0, tbl_Produits[[#This Row],[Marge Brute]] / tbl_Produits[[#This Row],[Prix Menu]], 0)</f>
        <v>0.4375</v>
      </c>
      <c r="H26" s="69">
        <f t="shared" ca="1" si="0"/>
        <v>3.0625</v>
      </c>
      <c r="I26" s="67">
        <f ca="1">IF(tbl_Produits[[#This Row],[Prix Menu]]=0, 0, tbl_Produits[[#This Row],[Coût Moyen Portion]] / tbl_Produits[[#This Row],[Prix Menu]])</f>
        <v>0.5625</v>
      </c>
      <c r="J26" s="67" t="str" cm="1">
        <f t="array" ref="J26">IFERROR(IF(Total_portions=0, 0, Charges_fixes_totales_periode / Total_portions),"Vérifier")</f>
        <v>Vérifier</v>
      </c>
      <c r="K26" s="131" cm="1">
        <f t="array" aca="1" ref="K26" ca="1">IFERROR(tbl_Produits[[#This Row],[Prix Menu]] - tbl_Produits[[#This Row],[Coût Moyen Portion]] - ChargesFixesPar_Portion[Charges fixes par portion],"Vérifier")</f>
        <v>-10783.5</v>
      </c>
      <c r="L26" s="132" t="str">
        <f ca="1">IF(OR(tbl_Produits[[#This Row],[Food cost % ]]&gt;0.35,tbl_Produits[[#This Row],[% de Chrg Fixe /Prdt]]&gt;0.2),"À améliorer","OK")</f>
        <v>À améliorer</v>
      </c>
      <c r="M2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7" spans="1:13" ht="16.5" customHeight="1" x14ac:dyDescent="0.25">
      <c r="A27" s="29" t="str">
        <f>Référentiels!A27&amp;TEXT(Référentiels!B27,"000")</f>
        <v>SUP005</v>
      </c>
      <c r="B27" s="64" t="str">
        <f>+tbl_ProduitsRef[[#This Row],[Produit]]</f>
        <v>Viennoiserie G</v>
      </c>
      <c r="C27" s="64" t="str">
        <f>IFERROR(INDEX(tbl_ProduitsRef[Famille], MATCH(tbl_Produits[[#This Row],[Cde_Prdt]], tbl_Produits[Cde_Prdt], 0)), "")</f>
        <v>Suppléments</v>
      </c>
      <c r="D27" s="65">
        <f ca="1">SUMIF(tbl_Recettes[Cde_Prdt], tbl_Produits[[#This Row],[Cde_Prdt]], tbl_Recettes[Coût Moyen Portion])</f>
        <v>7</v>
      </c>
      <c r="E27" s="66">
        <f>IFERROR(
   INDEX(tbl_ProduitsRef[Prix Menu],MATCH(B27,tbl_ProduitsRef[Produit],0)),
   ""
)</f>
        <v>9</v>
      </c>
      <c r="F27" s="66">
        <f ca="1">tbl_Produits[[#This Row],[Prix Menu]] - tbl_Produits[[#This Row],[Coût Moyen Portion]]</f>
        <v>2</v>
      </c>
      <c r="G27" s="67">
        <f ca="1">IF(tbl_Produits[[#This Row],[Prix Menu]]&gt;0, tbl_Produits[[#This Row],[Marge Brute]] / tbl_Produits[[#This Row],[Prix Menu]], 0)</f>
        <v>0.22222222222222221</v>
      </c>
      <c r="H27" s="69">
        <f t="shared" ca="1" si="0"/>
        <v>1.6111111111111112</v>
      </c>
      <c r="I27" s="67">
        <f ca="1">IF(tbl_Produits[[#This Row],[Prix Menu]]=0, 0, tbl_Produits[[#This Row],[Coût Moyen Portion]] / tbl_Produits[[#This Row],[Prix Menu]])</f>
        <v>0.77777777777777779</v>
      </c>
      <c r="J27" s="67" t="str" cm="1">
        <f t="array" ref="J27">IFERROR(IF(Total_portions=0, 0, Charges_fixes_totales_periode / Total_portions),"Vérifier")</f>
        <v>Vérifier</v>
      </c>
      <c r="K27" s="131" cm="1">
        <f t="array" aca="1" ref="K27" ca="1">IFERROR(tbl_Produits[[#This Row],[Prix Menu]] - tbl_Produits[[#This Row],[Coût Moyen Portion]] - ChargesFixesPar_Portion[Charges fixes par portion],"Vérifier")</f>
        <v>-10785</v>
      </c>
      <c r="L27" s="132" t="str">
        <f ca="1">IF(OR(tbl_Produits[[#This Row],[Food cost % ]]&gt;0.35,tbl_Produits[[#This Row],[% de Chrg Fixe /Prdt]]&gt;0.2),"À améliorer","OK")</f>
        <v>À améliorer</v>
      </c>
      <c r="M2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8" spans="1:13" ht="16.5" customHeight="1" x14ac:dyDescent="0.25">
      <c r="A28" s="29" t="str">
        <f>Référentiels!A28&amp;TEXT(Référentiels!B28,"000")</f>
        <v>SUP006</v>
      </c>
      <c r="B28" s="64" t="str">
        <f>+tbl_ProduitsRef[[#This Row],[Produit]]</f>
        <v>Viennoiserie P</v>
      </c>
      <c r="C28" s="64" t="str">
        <f>IFERROR(INDEX(tbl_ProduitsRef[Famille], MATCH(tbl_Produits[[#This Row],[Cde_Prdt]], tbl_Produits[Cde_Prdt], 0)), "")</f>
        <v>Suppléments</v>
      </c>
      <c r="D28" s="65">
        <f ca="1">SUMIF(tbl_Recettes[Cde_Prdt], tbl_Produits[[#This Row],[Cde_Prdt]], tbl_Recettes[Coût Moyen Portion])</f>
        <v>3</v>
      </c>
      <c r="E28" s="66">
        <f>IFERROR(
   INDEX(tbl_ProduitsRef[Prix Menu],MATCH(B28,tbl_ProduitsRef[Produit],0)),
   ""
)</f>
        <v>5</v>
      </c>
      <c r="F28" s="66">
        <f ca="1">tbl_Produits[[#This Row],[Prix Menu]] - tbl_Produits[[#This Row],[Coût Moyen Portion]]</f>
        <v>2</v>
      </c>
      <c r="G28" s="67">
        <f ca="1">IF(tbl_Produits[[#This Row],[Prix Menu]]&gt;0, tbl_Produits[[#This Row],[Marge Brute]] / tbl_Produits[[#This Row],[Prix Menu]], 0)</f>
        <v>0.4</v>
      </c>
      <c r="H28" s="69">
        <f t="shared" ca="1" si="0"/>
        <v>2.5</v>
      </c>
      <c r="I28" s="67">
        <f ca="1">IF(tbl_Produits[[#This Row],[Prix Menu]]=0, 0, tbl_Produits[[#This Row],[Coût Moyen Portion]] / tbl_Produits[[#This Row],[Prix Menu]])</f>
        <v>0.6</v>
      </c>
      <c r="J28" s="67" t="str" cm="1">
        <f t="array" ref="J28">IFERROR(IF(Total_portions=0, 0, Charges_fixes_totales_periode / Total_portions),"Vérifier")</f>
        <v>Vérifier</v>
      </c>
      <c r="K28" s="131" cm="1">
        <f t="array" aca="1" ref="K28" ca="1">IFERROR(tbl_Produits[[#This Row],[Prix Menu]] - tbl_Produits[[#This Row],[Coût Moyen Portion]] - ChargesFixesPar_Portion[Charges fixes par portion],"Vérifier")</f>
        <v>-10785</v>
      </c>
      <c r="L28" s="132" t="str">
        <f ca="1">IF(OR(tbl_Produits[[#This Row],[Food cost % ]]&gt;0.35,tbl_Produits[[#This Row],[% de Chrg Fixe /Prdt]]&gt;0.2),"À améliorer","OK")</f>
        <v>À améliorer</v>
      </c>
      <c r="M2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9" spans="1:13" ht="16.5" customHeight="1" x14ac:dyDescent="0.25">
      <c r="A29" s="29" t="str">
        <f>Référentiels!A29&amp;TEXT(Référentiels!B29,"000")</f>
        <v>SUP007</v>
      </c>
      <c r="B29" s="64" t="str">
        <f>+tbl_ProduitsRef[[#This Row],[Produit]]</f>
        <v>Harcha</v>
      </c>
      <c r="C29" s="64" t="str">
        <f>IFERROR(INDEX(tbl_ProduitsRef[Famille], MATCH(tbl_Produits[[#This Row],[Cde_Prdt]], tbl_Produits[Cde_Prdt], 0)), "")</f>
        <v>Suppléments</v>
      </c>
      <c r="D29" s="65">
        <f ca="1">SUMIF(tbl_Recettes[Cde_Prdt], tbl_Produits[[#This Row],[Cde_Prdt]], tbl_Recettes[Coût Moyen Portion])</f>
        <v>2</v>
      </c>
      <c r="E29" s="66">
        <f>IFERROR(
   INDEX(tbl_ProduitsRef[Prix Menu],MATCH(B29,tbl_ProduitsRef[Produit],0)),
   ""
)</f>
        <v>5</v>
      </c>
      <c r="F29" s="66">
        <f ca="1">tbl_Produits[[#This Row],[Prix Menu]] - tbl_Produits[[#This Row],[Coût Moyen Portion]]</f>
        <v>3</v>
      </c>
      <c r="G29" s="67">
        <f ca="1">IF(tbl_Produits[[#This Row],[Prix Menu]]&gt;0, tbl_Produits[[#This Row],[Marge Brute]] / tbl_Produits[[#This Row],[Prix Menu]], 0)</f>
        <v>0.6</v>
      </c>
      <c r="H29" s="69">
        <f t="shared" ca="1" si="0"/>
        <v>3.75</v>
      </c>
      <c r="I29" s="67">
        <f ca="1">IF(tbl_Produits[[#This Row],[Prix Menu]]=0, 0, tbl_Produits[[#This Row],[Coût Moyen Portion]] / tbl_Produits[[#This Row],[Prix Menu]])</f>
        <v>0.4</v>
      </c>
      <c r="J29" s="67" t="str" cm="1">
        <f t="array" ref="J29">IFERROR(IF(Total_portions=0, 0, Charges_fixes_totales_periode / Total_portions),"Vérifier")</f>
        <v>Vérifier</v>
      </c>
      <c r="K29" s="131" cm="1">
        <f t="array" aca="1" ref="K29" ca="1">IFERROR(tbl_Produits[[#This Row],[Prix Menu]] - tbl_Produits[[#This Row],[Coût Moyen Portion]] - ChargesFixesPar_Portion[Charges fixes par portion],"Vérifier")</f>
        <v>-10784</v>
      </c>
      <c r="L29" s="132" t="str">
        <f ca="1">IF(OR(tbl_Produits[[#This Row],[Food cost % ]]&gt;0.35,tbl_Produits[[#This Row],[% de Chrg Fixe /Prdt]]&gt;0.2),"À améliorer","OK")</f>
        <v>À améliorer</v>
      </c>
      <c r="M2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0" spans="1:13" ht="16.5" customHeight="1" x14ac:dyDescent="0.25">
      <c r="A30" s="29" t="str">
        <f>Référentiels!A30&amp;TEXT(Référentiels!B30,"000")</f>
        <v>SUP008</v>
      </c>
      <c r="B30" s="64" t="str">
        <f>+tbl_ProduitsRef[[#This Row],[Produit]]</f>
        <v>Pain</v>
      </c>
      <c r="C30" s="64" t="str">
        <f>IFERROR(INDEX(tbl_ProduitsRef[Famille], MATCH(tbl_Produits[[#This Row],[Cde_Prdt]], tbl_Produits[Cde_Prdt], 0)), "")</f>
        <v>Suppléments</v>
      </c>
      <c r="D30" s="65">
        <f ca="1">SUMIF(tbl_Recettes[Cde_Prdt], tbl_Produits[[#This Row],[Cde_Prdt]], tbl_Recettes[Coût Moyen Portion])</f>
        <v>7.5</v>
      </c>
      <c r="E30" s="66">
        <f>IFERROR(
   INDEX(tbl_ProduitsRef[Prix Menu],MATCH(B30,tbl_ProduitsRef[Produit],0)),
   ""
)</f>
        <v>4</v>
      </c>
      <c r="F30" s="66">
        <f ca="1">tbl_Produits[[#This Row],[Prix Menu]] - tbl_Produits[[#This Row],[Coût Moyen Portion]]</f>
        <v>-3.5</v>
      </c>
      <c r="G30" s="67">
        <f ca="1">IF(tbl_Produits[[#This Row],[Prix Menu]]&gt;0, tbl_Produits[[#This Row],[Marge Brute]] / tbl_Produits[[#This Row],[Prix Menu]], 0)</f>
        <v>-0.875</v>
      </c>
      <c r="H30" s="69">
        <f t="shared" ca="1" si="0"/>
        <v>-5.25</v>
      </c>
      <c r="I30" s="67">
        <f ca="1">IF(tbl_Produits[[#This Row],[Prix Menu]]=0, 0, tbl_Produits[[#This Row],[Coût Moyen Portion]] / tbl_Produits[[#This Row],[Prix Menu]])</f>
        <v>1.875</v>
      </c>
      <c r="J30" s="67" t="str" cm="1">
        <f t="array" ref="J30">IFERROR(IF(Total_portions=0, 0, Charges_fixes_totales_periode / Total_portions),"Vérifier")</f>
        <v>Vérifier</v>
      </c>
      <c r="K30" s="131" cm="1">
        <f t="array" aca="1" ref="K30" ca="1">IFERROR(tbl_Produits[[#This Row],[Prix Menu]] - tbl_Produits[[#This Row],[Coût Moyen Portion]] - ChargesFixesPar_Portion[Charges fixes par portion],"Vérifier")</f>
        <v>-10790.5</v>
      </c>
      <c r="L30" s="132" t="str">
        <f ca="1">IF(OR(tbl_Produits[[#This Row],[Food cost % ]]&gt;0.35,tbl_Produits[[#This Row],[% de Chrg Fixe /Prdt]]&gt;0.2),"À améliorer","OK")</f>
        <v>À améliorer</v>
      </c>
      <c r="M3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1" spans="1:13" ht="16.5" customHeight="1" x14ac:dyDescent="0.25">
      <c r="A31" s="29" t="str">
        <f>Référentiels!A31&amp;TEXT(Référentiels!B31,"000")</f>
        <v>SUP009</v>
      </c>
      <c r="B31" s="64" t="str">
        <f>+tbl_ProduitsRef[[#This Row],[Produit]]</f>
        <v>Fromage</v>
      </c>
      <c r="C31" s="64" t="str">
        <f>IFERROR(INDEX(tbl_ProduitsRef[Famille], MATCH(tbl_Produits[[#This Row],[Cde_Prdt]], tbl_Produits[Cde_Prdt], 0)), "")</f>
        <v>Suppléments</v>
      </c>
      <c r="D31" s="65">
        <f>SUMIF(tbl_Recettes[Cde_Prdt], tbl_Produits[[#This Row],[Cde_Prdt]], tbl_Recettes[Coût Moyen Portion])</f>
        <v>0</v>
      </c>
      <c r="E31" s="66">
        <f>IFERROR(
   INDEX(tbl_ProduitsRef[Prix Menu],MATCH(B31,tbl_ProduitsRef[Produit],0)),
   ""
)</f>
        <v>3</v>
      </c>
      <c r="F31" s="66">
        <f>tbl_Produits[[#This Row],[Prix Menu]] - tbl_Produits[[#This Row],[Coût Moyen Portion]]</f>
        <v>3</v>
      </c>
      <c r="G31" s="67">
        <f>IF(tbl_Produits[[#This Row],[Prix Menu]]&gt;0, tbl_Produits[[#This Row],[Marge Brute]] / tbl_Produits[[#This Row],[Prix Menu]], 0)</f>
        <v>1</v>
      </c>
      <c r="H31" s="69">
        <f t="shared" si="0"/>
        <v>5.75</v>
      </c>
      <c r="I31" s="67">
        <f>IF(tbl_Produits[[#This Row],[Prix Menu]]=0, 0, tbl_Produits[[#This Row],[Coût Moyen Portion]] / tbl_Produits[[#This Row],[Prix Menu]])</f>
        <v>0</v>
      </c>
      <c r="J31" s="67" t="str" cm="1">
        <f t="array" ref="J31">IFERROR(IF(Total_portions=0, 0, Charges_fixes_totales_periode / Total_portions),"Vérifier")</f>
        <v>Vérifier</v>
      </c>
      <c r="K31" s="131" cm="1">
        <f t="array" ref="K31">IFERROR(tbl_Produits[[#This Row],[Prix Menu]] - tbl_Produits[[#This Row],[Coût Moyen Portion]] - ChargesFixesPar_Portion[Charges fixes par portion],"Vérifier")</f>
        <v>-10784</v>
      </c>
      <c r="L31" s="132" t="str">
        <f>IF(OR(tbl_Produits[[#This Row],[Food cost % ]]&gt;0.35,tbl_Produits[[#This Row],[% de Chrg Fixe /Prdt]]&gt;0.2),"À améliorer","OK")</f>
        <v>À améliorer</v>
      </c>
      <c r="M3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2" spans="1:13" ht="16.5" customHeight="1" x14ac:dyDescent="0.25">
      <c r="A32" s="29" t="str">
        <f>Référentiels!A32&amp;TEXT(Référentiels!B32,"000")</f>
        <v>SUP010</v>
      </c>
      <c r="B32" s="64" t="str">
        <f>+tbl_ProduitsRef[[#This Row],[Produit]]</f>
        <v>Fromage Triangle</v>
      </c>
      <c r="C32" s="64" t="str">
        <f>IFERROR(INDEX(tbl_ProduitsRef[Famille], MATCH(tbl_Produits[[#This Row],[Cde_Prdt]], tbl_Produits[Cde_Prdt], 0)), "")</f>
        <v>Suppléments</v>
      </c>
      <c r="D32" s="65">
        <f ca="1">SUMIF(tbl_Recettes[Cde_Prdt], tbl_Produits[[#This Row],[Cde_Prdt]], tbl_Recettes[Coût Moyen Portion])</f>
        <v>2.4</v>
      </c>
      <c r="E32" s="66">
        <f>IFERROR(
   INDEX(tbl_ProduitsRef[Prix Menu],MATCH(B32,tbl_ProduitsRef[Produit],0)),
   ""
)</f>
        <v>3</v>
      </c>
      <c r="F32" s="66">
        <f ca="1">tbl_Produits[[#This Row],[Prix Menu]] - tbl_Produits[[#This Row],[Coût Moyen Portion]]</f>
        <v>0.60000000000000009</v>
      </c>
      <c r="G32" s="67">
        <f ca="1">IF(tbl_Produits[[#This Row],[Prix Menu]]&gt;0, tbl_Produits[[#This Row],[Marge Brute]] / tbl_Produits[[#This Row],[Prix Menu]], 0)</f>
        <v>0.20000000000000004</v>
      </c>
      <c r="H32" s="69">
        <f t="shared" ca="1" si="0"/>
        <v>1.1500000000000004</v>
      </c>
      <c r="I32" s="67">
        <f ca="1">IF(tbl_Produits[[#This Row],[Prix Menu]]=0, 0, tbl_Produits[[#This Row],[Coût Moyen Portion]] / tbl_Produits[[#This Row],[Prix Menu]])</f>
        <v>0.79999999999999993</v>
      </c>
      <c r="J32" s="67" t="str" cm="1">
        <f t="array" ref="J32">IFERROR(IF(Total_portions=0, 0, Charges_fixes_totales_periode / Total_portions),"Vérifier")</f>
        <v>Vérifier</v>
      </c>
      <c r="K32" s="131" cm="1">
        <f t="array" aca="1" ref="K32" ca="1">IFERROR(tbl_Produits[[#This Row],[Prix Menu]] - tbl_Produits[[#This Row],[Coût Moyen Portion]] - ChargesFixesPar_Portion[Charges fixes par portion],"Vérifier")</f>
        <v>-10786.4</v>
      </c>
      <c r="L32" s="132" t="str">
        <f ca="1">IF(OR(tbl_Produits[[#This Row],[Food cost % ]]&gt;0.35,tbl_Produits[[#This Row],[% de Chrg Fixe /Prdt]]&gt;0.2),"À améliorer","OK")</f>
        <v>À améliorer</v>
      </c>
      <c r="M3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3" spans="1:13" ht="16.5" customHeight="1" x14ac:dyDescent="0.25">
      <c r="A33" s="29" t="str">
        <f>Référentiels!A33&amp;TEXT(Référentiels!B33,"000")</f>
        <v>ENT001</v>
      </c>
      <c r="B33" s="64" t="str">
        <f>+tbl_ProduitsRef[[#This Row],[Produit]]</f>
        <v>Salade Regraga</v>
      </c>
      <c r="C33" s="64" t="str">
        <f>IFERROR(INDEX(tbl_ProduitsRef[Famille], MATCH(tbl_Produits[[#This Row],[Cde_Prdt]], tbl_Produits[Cde_Prdt], 0)), "")</f>
        <v>Entrées &amp; Salades</v>
      </c>
      <c r="D33" s="65">
        <f ca="1">SUMIF(tbl_Recettes[Cde_Prdt], tbl_Produits[[#This Row],[Cde_Prdt]], tbl_Recettes[Coût Moyen Portion])</f>
        <v>95.699999999999989</v>
      </c>
      <c r="E33" s="66">
        <f>IFERROR(
   INDEX(tbl_ProduitsRef[Prix Menu],MATCH(B33,tbl_ProduitsRef[Produit],0)),
   ""
)</f>
        <v>90</v>
      </c>
      <c r="F33" s="66">
        <f ca="1">tbl_Produits[[#This Row],[Prix Menu]] - tbl_Produits[[#This Row],[Coût Moyen Portion]]</f>
        <v>-5.6999999999999886</v>
      </c>
      <c r="G33" s="67">
        <f ca="1">IF(tbl_Produits[[#This Row],[Prix Menu]]&gt;0, tbl_Produits[[#This Row],[Marge Brute]] / tbl_Produits[[#This Row],[Prix Menu]], 0)</f>
        <v>-6.3333333333333214E-2</v>
      </c>
      <c r="H33" s="69">
        <f t="shared" ca="1" si="0"/>
        <v>-1.7416666666666631</v>
      </c>
      <c r="I33" s="67">
        <f ca="1">IF(tbl_Produits[[#This Row],[Prix Menu]]=0, 0, tbl_Produits[[#This Row],[Coût Moyen Portion]] / tbl_Produits[[#This Row],[Prix Menu]])</f>
        <v>1.0633333333333332</v>
      </c>
      <c r="J33" s="67" t="str" cm="1">
        <f t="array" ref="J33">IFERROR(IF(Total_portions=0, 0, Charges_fixes_totales_periode / Total_portions),"Vérifier")</f>
        <v>Vérifier</v>
      </c>
      <c r="K33" s="131" cm="1">
        <f t="array" aca="1" ref="K33" ca="1">IFERROR(tbl_Produits[[#This Row],[Prix Menu]] - tbl_Produits[[#This Row],[Coût Moyen Portion]] - ChargesFixesPar_Portion[Charges fixes par portion],"Vérifier")</f>
        <v>-10792.7</v>
      </c>
      <c r="L33" s="132" t="str">
        <f ca="1">IF(OR(tbl_Produits[[#This Row],[Food cost % ]]&gt;0.35,tbl_Produits[[#This Row],[% de Chrg Fixe /Prdt]]&gt;0.2),"À améliorer","OK")</f>
        <v>À améliorer</v>
      </c>
      <c r="M3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4" spans="1:13" ht="16.5" customHeight="1" x14ac:dyDescent="0.25">
      <c r="A34" s="29" t="str">
        <f>Référentiels!A34&amp;TEXT(Référentiels!B34,"000")</f>
        <v>ENT002</v>
      </c>
      <c r="B34" s="64" t="str">
        <f>+tbl_ProduitsRef[[#This Row],[Produit]]</f>
        <v>Salade pêcheur</v>
      </c>
      <c r="C34" s="64" t="str">
        <f>IFERROR(INDEX(tbl_ProduitsRef[Famille], MATCH(tbl_Produits[[#This Row],[Cde_Prdt]], tbl_Produits[Cde_Prdt], 0)), "")</f>
        <v>Entrées &amp; Salades</v>
      </c>
      <c r="D34" s="65">
        <f ca="1">SUMIF(tbl_Recettes[Cde_Prdt], tbl_Produits[[#This Row],[Cde_Prdt]], tbl_Recettes[Coût Moyen Portion])</f>
        <v>49.3</v>
      </c>
      <c r="E34" s="66">
        <f>IFERROR(
   INDEX(tbl_ProduitsRef[Prix Menu],MATCH(B34,tbl_ProduitsRef[Produit],0)),
   ""
)</f>
        <v>80</v>
      </c>
      <c r="F34" s="66">
        <f ca="1">tbl_Produits[[#This Row],[Prix Menu]] - tbl_Produits[[#This Row],[Coût Moyen Portion]]</f>
        <v>30.700000000000003</v>
      </c>
      <c r="G34" s="67">
        <f ca="1">IF(tbl_Produits[[#This Row],[Prix Menu]]&gt;0, tbl_Produits[[#This Row],[Marge Brute]] / tbl_Produits[[#This Row],[Prix Menu]], 0)</f>
        <v>0.38375000000000004</v>
      </c>
      <c r="H34" s="69">
        <f t="shared" ca="1" si="0"/>
        <v>9.59375</v>
      </c>
      <c r="I34" s="67">
        <f ca="1">IF(tbl_Produits[[#This Row],[Prix Menu]]=0, 0, tbl_Produits[[#This Row],[Coût Moyen Portion]] / tbl_Produits[[#This Row],[Prix Menu]])</f>
        <v>0.61624999999999996</v>
      </c>
      <c r="J34" s="67" t="str" cm="1">
        <f t="array" ref="J34">IFERROR(IF(Total_portions=0, 0, Charges_fixes_totales_periode / Total_portions),"Vérifier")</f>
        <v>Vérifier</v>
      </c>
      <c r="K34" s="131" cm="1">
        <f t="array" aca="1" ref="K34" ca="1">IFERROR(tbl_Produits[[#This Row],[Prix Menu]] - tbl_Produits[[#This Row],[Coût Moyen Portion]] - ChargesFixesPar_Portion[Charges fixes par portion],"Vérifier")</f>
        <v>-10756.3</v>
      </c>
      <c r="L34" s="132" t="str">
        <f ca="1">IF(OR(tbl_Produits[[#This Row],[Food cost % ]]&gt;0.35,tbl_Produits[[#This Row],[% de Chrg Fixe /Prdt]]&gt;0.2),"À améliorer","OK")</f>
        <v>À améliorer</v>
      </c>
      <c r="M3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5" spans="1:13" ht="16.5" customHeight="1" x14ac:dyDescent="0.25">
      <c r="A35" s="29" t="str">
        <f>Référentiels!A35&amp;TEXT(Référentiels!B35,"000")</f>
        <v>ENT003</v>
      </c>
      <c r="B35" s="64" t="str">
        <f>+tbl_ProduitsRef[[#This Row],[Produit]]</f>
        <v>Salade tartare de saumon</v>
      </c>
      <c r="C35" s="64" t="str">
        <f>IFERROR(INDEX(tbl_ProduitsRef[Famille], MATCH(tbl_Produits[[#This Row],[Cde_Prdt]], tbl_Produits[Cde_Prdt], 0)), "")</f>
        <v>Entrées &amp; Salades</v>
      </c>
      <c r="D35" s="65">
        <f ca="1">SUMIF(tbl_Recettes[Cde_Prdt], tbl_Produits[[#This Row],[Cde_Prdt]], tbl_Recettes[Coût Moyen Portion])</f>
        <v>44.8</v>
      </c>
      <c r="E35" s="66">
        <f>IFERROR(
   INDEX(tbl_ProduitsRef[Prix Menu],MATCH(B35,tbl_ProduitsRef[Produit],0)),
   ""
)</f>
        <v>80</v>
      </c>
      <c r="F35" s="66">
        <f ca="1">tbl_Produits[[#This Row],[Prix Menu]] - tbl_Produits[[#This Row],[Coût Moyen Portion]]</f>
        <v>35.200000000000003</v>
      </c>
      <c r="G35" s="67">
        <f ca="1">IF(tbl_Produits[[#This Row],[Prix Menu]]&gt;0, tbl_Produits[[#This Row],[Marge Brute]] / tbl_Produits[[#This Row],[Prix Menu]], 0)</f>
        <v>0.44000000000000006</v>
      </c>
      <c r="H35" s="69">
        <f t="shared" ca="1" si="0"/>
        <v>11</v>
      </c>
      <c r="I35" s="67">
        <f ca="1">IF(tbl_Produits[[#This Row],[Prix Menu]]=0, 0, tbl_Produits[[#This Row],[Coût Moyen Portion]] / tbl_Produits[[#This Row],[Prix Menu]])</f>
        <v>0.55999999999999994</v>
      </c>
      <c r="J35" s="67" t="str" cm="1">
        <f t="array" ref="J35">IFERROR(IF(Total_portions=0, 0, Charges_fixes_totales_periode / Total_portions),"Vérifier")</f>
        <v>Vérifier</v>
      </c>
      <c r="K35" s="131" cm="1">
        <f t="array" aca="1" ref="K35" ca="1">IFERROR(tbl_Produits[[#This Row],[Prix Menu]] - tbl_Produits[[#This Row],[Coût Moyen Portion]] - ChargesFixesPar_Portion[Charges fixes par portion],"Vérifier")</f>
        <v>-10751.8</v>
      </c>
      <c r="L35" s="132" t="str">
        <f ca="1">IF(OR(tbl_Produits[[#This Row],[Food cost % ]]&gt;0.35,tbl_Produits[[#This Row],[% de Chrg Fixe /Prdt]]&gt;0.2),"À améliorer","OK")</f>
        <v>À améliorer</v>
      </c>
      <c r="M3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6" spans="1:13" ht="16.5" customHeight="1" x14ac:dyDescent="0.25">
      <c r="A36" s="29" t="str">
        <f>Référentiels!A36&amp;TEXT(Référentiels!B36,"000")</f>
        <v>ENT004</v>
      </c>
      <c r="B36" s="64" t="str">
        <f>+tbl_ProduitsRef[[#This Row],[Produit]]</f>
        <v>Salade avocat crevettes</v>
      </c>
      <c r="C36" s="64" t="str">
        <f>IFERROR(INDEX(tbl_ProduitsRef[Famille], MATCH(tbl_Produits[[#This Row],[Cde_Prdt]], tbl_Produits[Cde_Prdt], 0)), "")</f>
        <v>Entrées &amp; Salades</v>
      </c>
      <c r="D36" s="65">
        <f ca="1">SUMIF(tbl_Recettes[Cde_Prdt], tbl_Produits[[#This Row],[Cde_Prdt]], tbl_Recettes[Coût Moyen Portion])</f>
        <v>51.8</v>
      </c>
      <c r="E36" s="66">
        <f>IFERROR(
   INDEX(tbl_ProduitsRef[Prix Menu],MATCH(B36,tbl_ProduitsRef[Produit],0)),
   ""
)</f>
        <v>70</v>
      </c>
      <c r="F36" s="66">
        <f ca="1">tbl_Produits[[#This Row],[Prix Menu]] - tbl_Produits[[#This Row],[Coût Moyen Portion]]</f>
        <v>18.200000000000003</v>
      </c>
      <c r="G36" s="67">
        <f ca="1">IF(tbl_Produits[[#This Row],[Prix Menu]]&gt;0, tbl_Produits[[#This Row],[Marge Brute]] / tbl_Produits[[#This Row],[Prix Menu]], 0)</f>
        <v>0.26000000000000006</v>
      </c>
      <c r="H36" s="69">
        <f t="shared" ref="H36:H66" ca="1" si="1">IFERROR(
AVERAGE(G36*10, F36/2),
0)</f>
        <v>5.8500000000000014</v>
      </c>
      <c r="I36" s="67">
        <f ca="1">IF(tbl_Produits[[#This Row],[Prix Menu]]=0, 0, tbl_Produits[[#This Row],[Coût Moyen Portion]] / tbl_Produits[[#This Row],[Prix Menu]])</f>
        <v>0.74</v>
      </c>
      <c r="J36" s="67" t="str" cm="1">
        <f t="array" ref="J36">IFERROR(IF(Total_portions=0, 0, Charges_fixes_totales_periode / Total_portions),"Vérifier")</f>
        <v>Vérifier</v>
      </c>
      <c r="K36" s="131" cm="1">
        <f t="array" aca="1" ref="K36" ca="1">IFERROR(tbl_Produits[[#This Row],[Prix Menu]] - tbl_Produits[[#This Row],[Coût Moyen Portion]] - ChargesFixesPar_Portion[Charges fixes par portion],"Vérifier")</f>
        <v>-10768.8</v>
      </c>
      <c r="L36" s="132" t="str">
        <f ca="1">IF(OR(tbl_Produits[[#This Row],[Food cost % ]]&gt;0.35,tbl_Produits[[#This Row],[% de Chrg Fixe /Prdt]]&gt;0.2),"À améliorer","OK")</f>
        <v>À améliorer</v>
      </c>
      <c r="M3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7" spans="1:13" ht="16.5" customHeight="1" x14ac:dyDescent="0.25">
      <c r="A37" s="29" t="str">
        <f>Référentiels!A37&amp;TEXT(Référentiels!B37,"000")</f>
        <v>ENT005</v>
      </c>
      <c r="B37" s="64" t="str">
        <f>+tbl_ProduitsRef[[#This Row],[Produit]]</f>
        <v>Salade César</v>
      </c>
      <c r="C37" s="64" t="str">
        <f>IFERROR(INDEX(tbl_ProduitsRef[Famille], MATCH(tbl_Produits[[#This Row],[Cde_Prdt]], tbl_Produits[Cde_Prdt], 0)), "")</f>
        <v>Entrées &amp; Salades</v>
      </c>
      <c r="D37" s="65">
        <f ca="1">SUMIF(tbl_Recettes[Cde_Prdt], tbl_Produits[[#This Row],[Cde_Prdt]], tbl_Recettes[Coût Moyen Portion])</f>
        <v>34.6</v>
      </c>
      <c r="E37" s="66">
        <f>IFERROR(
   INDEX(tbl_ProduitsRef[Prix Menu],MATCH(B37,tbl_ProduitsRef[Produit],0)),
   ""
)</f>
        <v>70</v>
      </c>
      <c r="F37" s="66">
        <f ca="1">tbl_Produits[[#This Row],[Prix Menu]] - tbl_Produits[[#This Row],[Coût Moyen Portion]]</f>
        <v>35.4</v>
      </c>
      <c r="G37" s="67">
        <f ca="1">IF(tbl_Produits[[#This Row],[Prix Menu]]&gt;0, tbl_Produits[[#This Row],[Marge Brute]] / tbl_Produits[[#This Row],[Prix Menu]], 0)</f>
        <v>0.50571428571428567</v>
      </c>
      <c r="H37" s="69">
        <f t="shared" ca="1" si="1"/>
        <v>11.378571428571428</v>
      </c>
      <c r="I37" s="67">
        <f ca="1">IF(tbl_Produits[[#This Row],[Prix Menu]]=0, 0, tbl_Produits[[#This Row],[Coût Moyen Portion]] / tbl_Produits[[#This Row],[Prix Menu]])</f>
        <v>0.49428571428571433</v>
      </c>
      <c r="J37" s="67" t="str" cm="1">
        <f t="array" ref="J37">IFERROR(IF(Total_portions=0, 0, Charges_fixes_totales_periode / Total_portions),"Vérifier")</f>
        <v>Vérifier</v>
      </c>
      <c r="K37" s="131" cm="1">
        <f t="array" aca="1" ref="K37" ca="1">IFERROR(tbl_Produits[[#This Row],[Prix Menu]] - tbl_Produits[[#This Row],[Coût Moyen Portion]] - ChargesFixesPar_Portion[Charges fixes par portion],"Vérifier")</f>
        <v>-10751.6</v>
      </c>
      <c r="L37" s="132" t="str">
        <f ca="1">IF(OR(tbl_Produits[[#This Row],[Food cost % ]]&gt;0.35,tbl_Produits[[#This Row],[% de Chrg Fixe /Prdt]]&gt;0.2),"À améliorer","OK")</f>
        <v>À améliorer</v>
      </c>
      <c r="M3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8" spans="1:13" ht="16.5" customHeight="1" x14ac:dyDescent="0.25">
      <c r="A38" s="29" t="str">
        <f>Référentiels!A38&amp;TEXT(Référentiels!B38,"000")</f>
        <v>ENT006</v>
      </c>
      <c r="B38" s="64" t="str">
        <f>+tbl_ProduitsRef[[#This Row],[Produit]]</f>
        <v>Salade niçoise</v>
      </c>
      <c r="C38" s="64" t="str">
        <f>IFERROR(INDEX(tbl_ProduitsRef[Famille], MATCH(tbl_Produits[[#This Row],[Cde_Prdt]], tbl_Produits[Cde_Prdt], 0)), "")</f>
        <v>Entrées &amp; Salades</v>
      </c>
      <c r="D38" s="65">
        <f ca="1">SUMIF(tbl_Recettes[Cde_Prdt], tbl_Produits[[#This Row],[Cde_Prdt]], tbl_Recettes[Coût Moyen Portion])</f>
        <v>24.299999999999997</v>
      </c>
      <c r="E38" s="66">
        <f>IFERROR(
   INDEX(tbl_ProduitsRef[Prix Menu],MATCH(B38,tbl_ProduitsRef[Produit],0)),
   ""
)</f>
        <v>50</v>
      </c>
      <c r="F38" s="66">
        <f ca="1">tbl_Produits[[#This Row],[Prix Menu]] - tbl_Produits[[#This Row],[Coût Moyen Portion]]</f>
        <v>25.700000000000003</v>
      </c>
      <c r="G38" s="67">
        <f ca="1">IF(tbl_Produits[[#This Row],[Prix Menu]]&gt;0, tbl_Produits[[#This Row],[Marge Brute]] / tbl_Produits[[#This Row],[Prix Menu]], 0)</f>
        <v>0.51400000000000001</v>
      </c>
      <c r="H38" s="69">
        <f t="shared" ca="1" si="1"/>
        <v>8.995000000000001</v>
      </c>
      <c r="I38" s="67">
        <f ca="1">IF(tbl_Produits[[#This Row],[Prix Menu]]=0, 0, tbl_Produits[[#This Row],[Coût Moyen Portion]] / tbl_Produits[[#This Row],[Prix Menu]])</f>
        <v>0.48599999999999993</v>
      </c>
      <c r="J38" s="67" t="str" cm="1">
        <f t="array" ref="J38">IFERROR(IF(Total_portions=0, 0, Charges_fixes_totales_periode / Total_portions),"Vérifier")</f>
        <v>Vérifier</v>
      </c>
      <c r="K38" s="131" cm="1">
        <f t="array" aca="1" ref="K38" ca="1">IFERROR(tbl_Produits[[#This Row],[Prix Menu]] - tbl_Produits[[#This Row],[Coût Moyen Portion]] - ChargesFixesPar_Portion[Charges fixes par portion],"Vérifier")</f>
        <v>-10761.3</v>
      </c>
      <c r="L38" s="132" t="str">
        <f ca="1">IF(OR(tbl_Produits[[#This Row],[Food cost % ]]&gt;0.35,tbl_Produits[[#This Row],[% de Chrg Fixe /Prdt]]&gt;0.2),"À améliorer","OK")</f>
        <v>À améliorer</v>
      </c>
      <c r="M3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39" spans="1:13" ht="16.5" customHeight="1" x14ac:dyDescent="0.25">
      <c r="A39" s="29" t="str">
        <f>Référentiels!A39&amp;TEXT(Référentiels!B39,"000")</f>
        <v>ENT007</v>
      </c>
      <c r="B39" s="64" t="str">
        <f>+tbl_ProduitsRef[[#This Row],[Produit]]</f>
        <v>Assortiment marocain</v>
      </c>
      <c r="C39" s="64" t="str">
        <f>IFERROR(INDEX(tbl_ProduitsRef[Famille], MATCH(tbl_Produits[[#This Row],[Cde_Prdt]], tbl_Produits[Cde_Prdt], 0)), "")</f>
        <v>Entrées &amp; Salades</v>
      </c>
      <c r="D39" s="65">
        <f ca="1">SUMIF(tbl_Recettes[Cde_Prdt], tbl_Produits[[#This Row],[Cde_Prdt]], tbl_Recettes[Coût Moyen Portion])</f>
        <v>40</v>
      </c>
      <c r="E39" s="66">
        <f>IFERROR(
   INDEX(tbl_ProduitsRef[Prix Menu],MATCH(B39,tbl_ProduitsRef[Produit],0)),
   ""
)</f>
        <v>45</v>
      </c>
      <c r="F39" s="66">
        <f ca="1">tbl_Produits[[#This Row],[Prix Menu]] - tbl_Produits[[#This Row],[Coût Moyen Portion]]</f>
        <v>5</v>
      </c>
      <c r="G39" s="67">
        <f ca="1">IF(tbl_Produits[[#This Row],[Prix Menu]]&gt;0, tbl_Produits[[#This Row],[Marge Brute]] / tbl_Produits[[#This Row],[Prix Menu]], 0)</f>
        <v>0.1111111111111111</v>
      </c>
      <c r="H39" s="69">
        <f t="shared" ca="1" si="1"/>
        <v>1.8055555555555556</v>
      </c>
      <c r="I39" s="67">
        <f ca="1">IF(tbl_Produits[[#This Row],[Prix Menu]]=0, 0, tbl_Produits[[#This Row],[Coût Moyen Portion]] / tbl_Produits[[#This Row],[Prix Menu]])</f>
        <v>0.88888888888888884</v>
      </c>
      <c r="J39" s="67" t="str" cm="1">
        <f t="array" ref="J39">IFERROR(IF(Total_portions=0, 0, Charges_fixes_totales_periode / Total_portions),"Vérifier")</f>
        <v>Vérifier</v>
      </c>
      <c r="K39" s="131" cm="1">
        <f t="array" aca="1" ref="K39" ca="1">IFERROR(tbl_Produits[[#This Row],[Prix Menu]] - tbl_Produits[[#This Row],[Coût Moyen Portion]] - ChargesFixesPar_Portion[Charges fixes par portion],"Vérifier")</f>
        <v>-10782</v>
      </c>
      <c r="L39" s="132" t="str">
        <f ca="1">IF(OR(tbl_Produits[[#This Row],[Food cost % ]]&gt;0.35,tbl_Produits[[#This Row],[% de Chrg Fixe /Prdt]]&gt;0.2),"À améliorer","OK")</f>
        <v>À améliorer</v>
      </c>
      <c r="M3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0" spans="1:13" ht="16.5" customHeight="1" x14ac:dyDescent="0.25">
      <c r="A40" s="29" t="str">
        <f>Référentiels!A40&amp;TEXT(Référentiels!B40,"000")</f>
        <v>ENT008</v>
      </c>
      <c r="B40" s="64" t="str">
        <f>+tbl_ProduitsRef[[#This Row],[Produit]]</f>
        <v>Salade traditionnelle</v>
      </c>
      <c r="C40" s="64" t="str">
        <f>IFERROR(INDEX(tbl_ProduitsRef[Famille], MATCH(tbl_Produits[[#This Row],[Cde_Prdt]], tbl_Produits[Cde_Prdt], 0)), "")</f>
        <v>Entrées &amp; Salades</v>
      </c>
      <c r="D40" s="65">
        <f ca="1">SUMIF(tbl_Recettes[Cde_Prdt], tbl_Produits[[#This Row],[Cde_Prdt]], tbl_Recettes[Coût Moyen Portion])</f>
        <v>9.3000000000000007</v>
      </c>
      <c r="E40" s="66">
        <f>IFERROR(
   INDEX(tbl_ProduitsRef[Prix Menu],MATCH(B40,tbl_ProduitsRef[Produit],0)),
   ""
)</f>
        <v>40</v>
      </c>
      <c r="F40" s="66">
        <f ca="1">tbl_Produits[[#This Row],[Prix Menu]] - tbl_Produits[[#This Row],[Coût Moyen Portion]]</f>
        <v>30.7</v>
      </c>
      <c r="G40" s="67">
        <f ca="1">IF(tbl_Produits[[#This Row],[Prix Menu]]&gt;0, tbl_Produits[[#This Row],[Marge Brute]] / tbl_Produits[[#This Row],[Prix Menu]], 0)</f>
        <v>0.76749999999999996</v>
      </c>
      <c r="H40" s="69">
        <f t="shared" ca="1" si="1"/>
        <v>11.512499999999999</v>
      </c>
      <c r="I40" s="67">
        <f ca="1">IF(tbl_Produits[[#This Row],[Prix Menu]]=0, 0, tbl_Produits[[#This Row],[Coût Moyen Portion]] / tbl_Produits[[#This Row],[Prix Menu]])</f>
        <v>0.23250000000000001</v>
      </c>
      <c r="J40" s="67" t="str" cm="1">
        <f t="array" ref="J40">IFERROR(IF(Total_portions=0, 0, Charges_fixes_totales_periode / Total_portions),"Vérifier")</f>
        <v>Vérifier</v>
      </c>
      <c r="K40" s="131" cm="1">
        <f t="array" aca="1" ref="K40" ca="1">IFERROR(tbl_Produits[[#This Row],[Prix Menu]] - tbl_Produits[[#This Row],[Coût Moyen Portion]] - ChargesFixesPar_Portion[Charges fixes par portion],"Vérifier")</f>
        <v>-10756.3</v>
      </c>
      <c r="L40" s="132" t="str">
        <f ca="1">IF(OR(tbl_Produits[[#This Row],[Food cost % ]]&gt;0.35,tbl_Produits[[#This Row],[% de Chrg Fixe /Prdt]]&gt;0.2),"À améliorer","OK")</f>
        <v>À améliorer</v>
      </c>
      <c r="M4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1" spans="1:13" ht="16.5" customHeight="1" x14ac:dyDescent="0.25">
      <c r="A41" s="29" t="str">
        <f>Référentiels!A41&amp;TEXT(Référentiels!B41,"000")</f>
        <v>ENT009</v>
      </c>
      <c r="B41" s="64" t="str">
        <f>+tbl_ProduitsRef[[#This Row],[Produit]]</f>
        <v>Salade verte au thon</v>
      </c>
      <c r="C41" s="64" t="str">
        <f>IFERROR(INDEX(tbl_ProduitsRef[Famille], MATCH(tbl_Produits[[#This Row],[Cde_Prdt]], tbl_Produits[Cde_Prdt], 0)), "")</f>
        <v>Entrées &amp; Salades</v>
      </c>
      <c r="D41" s="65">
        <f ca="1">SUMIF(tbl_Recettes[Cde_Prdt], tbl_Produits[[#This Row],[Cde_Prdt]], tbl_Recettes[Coût Moyen Portion])</f>
        <v>18.96</v>
      </c>
      <c r="E41" s="66">
        <f>IFERROR(
   INDEX(tbl_ProduitsRef[Prix Menu],MATCH(B41,tbl_ProduitsRef[Produit],0)),
   ""
)</f>
        <v>38</v>
      </c>
      <c r="F41" s="66">
        <f ca="1">tbl_Produits[[#This Row],[Prix Menu]] - tbl_Produits[[#This Row],[Coût Moyen Portion]]</f>
        <v>19.04</v>
      </c>
      <c r="G41" s="67">
        <f ca="1">IF(tbl_Produits[[#This Row],[Prix Menu]]&gt;0, tbl_Produits[[#This Row],[Marge Brute]] / tbl_Produits[[#This Row],[Prix Menu]], 0)</f>
        <v>0.50105263157894731</v>
      </c>
      <c r="H41" s="69">
        <f t="shared" ca="1" si="1"/>
        <v>7.2652631578947364</v>
      </c>
      <c r="I41" s="67">
        <f ca="1">IF(tbl_Produits[[#This Row],[Prix Menu]]=0, 0, tbl_Produits[[#This Row],[Coût Moyen Portion]] / tbl_Produits[[#This Row],[Prix Menu]])</f>
        <v>0.49894736842105264</v>
      </c>
      <c r="J41" s="67" t="str" cm="1">
        <f t="array" ref="J41">IFERROR(IF(Total_portions=0, 0, Charges_fixes_totales_periode / Total_portions),"Vérifier")</f>
        <v>Vérifier</v>
      </c>
      <c r="K41" s="131" cm="1">
        <f t="array" aca="1" ref="K41" ca="1">IFERROR(tbl_Produits[[#This Row],[Prix Menu]] - tbl_Produits[[#This Row],[Coût Moyen Portion]] - ChargesFixesPar_Portion[Charges fixes par portion],"Vérifier")</f>
        <v>-10767.96</v>
      </c>
      <c r="L41" s="132" t="str">
        <f ca="1">IF(OR(tbl_Produits[[#This Row],[Food cost % ]]&gt;0.35,tbl_Produits[[#This Row],[% de Chrg Fixe /Prdt]]&gt;0.2),"À améliorer","OK")</f>
        <v>À améliorer</v>
      </c>
      <c r="M4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2" spans="1:13" ht="16.5" customHeight="1" x14ac:dyDescent="0.25">
      <c r="A42" s="29" t="str">
        <f>Référentiels!A42&amp;TEXT(Référentiels!B42,"000")</f>
        <v>ENT010</v>
      </c>
      <c r="B42" s="64" t="str">
        <f>+tbl_ProduitsRef[[#This Row],[Produit]]</f>
        <v>Salade marocaine</v>
      </c>
      <c r="C42" s="64" t="str">
        <f>IFERROR(INDEX(tbl_ProduitsRef[Famille], MATCH(tbl_Produits[[#This Row],[Cde_Prdt]], tbl_Produits[Cde_Prdt], 0)), "")</f>
        <v>Entrées &amp; Salades</v>
      </c>
      <c r="D42" s="65">
        <f ca="1">SUMIF(tbl_Recettes[Cde_Prdt], tbl_Produits[[#This Row],[Cde_Prdt]], tbl_Recettes[Coût Moyen Portion])</f>
        <v>5.82</v>
      </c>
      <c r="E42" s="66">
        <f>IFERROR(
   INDEX(tbl_ProduitsRef[Prix Menu],MATCH(B42,tbl_ProduitsRef[Produit],0)),
   ""
)</f>
        <v>30</v>
      </c>
      <c r="F42" s="66">
        <f ca="1">tbl_Produits[[#This Row],[Prix Menu]] - tbl_Produits[[#This Row],[Coût Moyen Portion]]</f>
        <v>24.18</v>
      </c>
      <c r="G42" s="67">
        <f ca="1">IF(tbl_Produits[[#This Row],[Prix Menu]]&gt;0, tbl_Produits[[#This Row],[Marge Brute]] / tbl_Produits[[#This Row],[Prix Menu]], 0)</f>
        <v>0.80599999999999994</v>
      </c>
      <c r="H42" s="69">
        <f t="shared" ca="1" si="1"/>
        <v>10.074999999999999</v>
      </c>
      <c r="I42" s="67">
        <f ca="1">IF(tbl_Produits[[#This Row],[Prix Menu]]=0, 0, tbl_Produits[[#This Row],[Coût Moyen Portion]] / tbl_Produits[[#This Row],[Prix Menu]])</f>
        <v>0.19400000000000001</v>
      </c>
      <c r="J42" s="67" t="str" cm="1">
        <f t="array" ref="J42">IFERROR(IF(Total_portions=0, 0, Charges_fixes_totales_periode / Total_portions),"Vérifier")</f>
        <v>Vérifier</v>
      </c>
      <c r="K42" s="131" cm="1">
        <f t="array" aca="1" ref="K42" ca="1">IFERROR(tbl_Produits[[#This Row],[Prix Menu]] - tbl_Produits[[#This Row],[Coût Moyen Portion]] - ChargesFixesPar_Portion[Charges fixes par portion],"Vérifier")</f>
        <v>-10762.82</v>
      </c>
      <c r="L42" s="132" t="str">
        <f ca="1">IF(OR(tbl_Produits[[#This Row],[Food cost % ]]&gt;0.35,tbl_Produits[[#This Row],[% de Chrg Fixe /Prdt]]&gt;0.2),"À améliorer","OK")</f>
        <v>À améliorer</v>
      </c>
      <c r="M4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3" spans="1:13" ht="16.5" customHeight="1" x14ac:dyDescent="0.25">
      <c r="A43" s="29" t="str">
        <f>Référentiels!A43&amp;TEXT(Référentiels!B43,"000")</f>
        <v>ENT011</v>
      </c>
      <c r="B43" s="64" t="str">
        <f>+tbl_ProduitsRef[[#This Row],[Produit]]</f>
        <v>Pasticcio Viande hachée et charcuterie</v>
      </c>
      <c r="C43" s="64" t="str">
        <f>IFERROR(INDEX(tbl_ProduitsRef[Famille], MATCH(tbl_Produits[[#This Row],[Cde_Prdt]], tbl_Produits[Cde_Prdt], 0)), "")</f>
        <v>Entrées &amp; Salades</v>
      </c>
      <c r="D43" s="65">
        <f ca="1">SUMIF(tbl_Recettes[Cde_Prdt], tbl_Produits[[#This Row],[Cde_Prdt]], tbl_Recettes[Coût Moyen Portion])</f>
        <v>38.15</v>
      </c>
      <c r="E43" s="66">
        <f>IFERROR(
   INDEX(tbl_ProduitsRef[Prix Menu],MATCH(B43,tbl_ProduitsRef[Produit],0)),
   ""
)</f>
        <v>65</v>
      </c>
      <c r="F43" s="66">
        <f ca="1">tbl_Produits[[#This Row],[Prix Menu]] - tbl_Produits[[#This Row],[Coût Moyen Portion]]</f>
        <v>26.85</v>
      </c>
      <c r="G43" s="67">
        <f ca="1">IF(tbl_Produits[[#This Row],[Prix Menu]]&gt;0, tbl_Produits[[#This Row],[Marge Brute]] / tbl_Produits[[#This Row],[Prix Menu]], 0)</f>
        <v>0.41307692307692312</v>
      </c>
      <c r="H43" s="69">
        <f t="shared" ca="1" si="1"/>
        <v>8.7778846153846164</v>
      </c>
      <c r="I43" s="67">
        <f ca="1">IF(tbl_Produits[[#This Row],[Prix Menu]]=0, 0, tbl_Produits[[#This Row],[Coût Moyen Portion]] / tbl_Produits[[#This Row],[Prix Menu]])</f>
        <v>0.58692307692307688</v>
      </c>
      <c r="J43" s="67" t="str" cm="1">
        <f t="array" ref="J43">IFERROR(IF(Total_portions=0, 0, Charges_fixes_totales_periode / Total_portions),"Vérifier")</f>
        <v>Vérifier</v>
      </c>
      <c r="K43" s="131" cm="1">
        <f t="array" aca="1" ref="K43" ca="1">IFERROR(tbl_Produits[[#This Row],[Prix Menu]] - tbl_Produits[[#This Row],[Coût Moyen Portion]] - ChargesFixesPar_Portion[Charges fixes par portion],"Vérifier")</f>
        <v>-10760.15</v>
      </c>
      <c r="L43" s="132" t="str">
        <f ca="1">IF(OR(tbl_Produits[[#This Row],[Food cost % ]]&gt;0.35,tbl_Produits[[#This Row],[% de Chrg Fixe /Prdt]]&gt;0.2),"À améliorer","OK")</f>
        <v>À améliorer</v>
      </c>
      <c r="M4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4" spans="1:13" ht="16.5" customHeight="1" x14ac:dyDescent="0.25">
      <c r="A44" s="29" t="str">
        <f>Référentiels!A44&amp;TEXT(Référentiels!B44,"000")</f>
        <v>ENT012</v>
      </c>
      <c r="B44" s="64" t="str">
        <f>+tbl_ProduitsRef[[#This Row],[Produit]]</f>
        <v>Pasticcio poulet et dinde fumée</v>
      </c>
      <c r="C44" s="64" t="str">
        <f>IFERROR(INDEX(tbl_ProduitsRef[Famille], MATCH(tbl_Produits[[#This Row],[Cde_Prdt]], tbl_Produits[Cde_Prdt], 0)), "")</f>
        <v>Entrées &amp; Salades</v>
      </c>
      <c r="D44" s="65">
        <f ca="1">SUMIF(tbl_Recettes[Cde_Prdt], tbl_Produits[[#This Row],[Cde_Prdt]], tbl_Recettes[Coût Moyen Portion])</f>
        <v>32.72</v>
      </c>
      <c r="E44" s="66">
        <f>IFERROR(
   INDEX(tbl_ProduitsRef[Prix Menu],MATCH(B44,tbl_ProduitsRef[Produit],0)),
   ""
)</f>
        <v>60</v>
      </c>
      <c r="F44" s="66">
        <f ca="1">tbl_Produits[[#This Row],[Prix Menu]] - tbl_Produits[[#This Row],[Coût Moyen Portion]]</f>
        <v>27.28</v>
      </c>
      <c r="G44" s="67">
        <f ca="1">IF(tbl_Produits[[#This Row],[Prix Menu]]&gt;0, tbl_Produits[[#This Row],[Marge Brute]] / tbl_Produits[[#This Row],[Prix Menu]], 0)</f>
        <v>0.45466666666666666</v>
      </c>
      <c r="H44" s="69">
        <f t="shared" ca="1" si="1"/>
        <v>9.0933333333333337</v>
      </c>
      <c r="I44" s="67">
        <f ca="1">IF(tbl_Produits[[#This Row],[Prix Menu]]=0, 0, tbl_Produits[[#This Row],[Coût Moyen Portion]] / tbl_Produits[[#This Row],[Prix Menu]])</f>
        <v>0.54533333333333334</v>
      </c>
      <c r="J44" s="67" t="str" cm="1">
        <f t="array" ref="J44">IFERROR(IF(Total_portions=0, 0, Charges_fixes_totales_periode / Total_portions),"Vérifier")</f>
        <v>Vérifier</v>
      </c>
      <c r="K44" s="131" cm="1">
        <f t="array" aca="1" ref="K44" ca="1">IFERROR(tbl_Produits[[#This Row],[Prix Menu]] - tbl_Produits[[#This Row],[Coût Moyen Portion]] - ChargesFixesPar_Portion[Charges fixes par portion],"Vérifier")</f>
        <v>-10759.72</v>
      </c>
      <c r="L44" s="132" t="str">
        <f ca="1">IF(OR(tbl_Produits[[#This Row],[Food cost % ]]&gt;0.35,tbl_Produits[[#This Row],[% de Chrg Fixe /Prdt]]&gt;0.2),"À améliorer","OK")</f>
        <v>À améliorer</v>
      </c>
      <c r="M4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5" spans="1:13" ht="16.5" customHeight="1" x14ac:dyDescent="0.25">
      <c r="A45" s="29" t="str">
        <f>Référentiels!A45&amp;TEXT(Référentiels!B45,"000")</f>
        <v>ENT013</v>
      </c>
      <c r="B45" s="64" t="str">
        <f>+tbl_ProduitsRef[[#This Row],[Produit]]</f>
        <v>Briouates Poulet</v>
      </c>
      <c r="C45" s="64" t="str">
        <f>IFERROR(INDEX(tbl_ProduitsRef[Famille], MATCH(tbl_Produits[[#This Row],[Cde_Prdt]], tbl_Produits[Cde_Prdt], 0)), "")</f>
        <v>Entrées &amp; Salades</v>
      </c>
      <c r="D45" s="65">
        <f ca="1">SUMIF(tbl_Recettes[Cde_Prdt], tbl_Produits[[#This Row],[Cde_Prdt]], tbl_Recettes[Coût Moyen Portion])</f>
        <v>11.299999999999999</v>
      </c>
      <c r="E45" s="66">
        <f>IFERROR(
   INDEX(tbl_ProduitsRef[Prix Menu],MATCH(B45,tbl_ProduitsRef[Produit],0)),
   ""
)</f>
        <v>50</v>
      </c>
      <c r="F45" s="66">
        <f ca="1">tbl_Produits[[#This Row],[Prix Menu]] - tbl_Produits[[#This Row],[Coût Moyen Portion]]</f>
        <v>38.700000000000003</v>
      </c>
      <c r="G45" s="67">
        <f ca="1">IF(tbl_Produits[[#This Row],[Prix Menu]]&gt;0, tbl_Produits[[#This Row],[Marge Brute]] / tbl_Produits[[#This Row],[Prix Menu]], 0)</f>
        <v>0.77400000000000002</v>
      </c>
      <c r="H45" s="69">
        <f t="shared" ca="1" si="1"/>
        <v>13.545000000000002</v>
      </c>
      <c r="I45" s="67">
        <f ca="1">IF(tbl_Produits[[#This Row],[Prix Menu]]=0, 0, tbl_Produits[[#This Row],[Coût Moyen Portion]] / tbl_Produits[[#This Row],[Prix Menu]])</f>
        <v>0.22599999999999998</v>
      </c>
      <c r="J45" s="67" t="str" cm="1">
        <f t="array" ref="J45">IFERROR(IF(Total_portions=0, 0, Charges_fixes_totales_periode / Total_portions),"Vérifier")</f>
        <v>Vérifier</v>
      </c>
      <c r="K45" s="131" cm="1">
        <f t="array" aca="1" ref="K45" ca="1">IFERROR(tbl_Produits[[#This Row],[Prix Menu]] - tbl_Produits[[#This Row],[Coût Moyen Portion]] - ChargesFixesPar_Portion[Charges fixes par portion],"Vérifier")</f>
        <v>-10748.3</v>
      </c>
      <c r="L45" s="132" t="str">
        <f ca="1">IF(OR(tbl_Produits[[#This Row],[Food cost % ]]&gt;0.35,tbl_Produits[[#This Row],[% de Chrg Fixe /Prdt]]&gt;0.2),"À améliorer","OK")</f>
        <v>À améliorer</v>
      </c>
      <c r="M4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6" spans="1:13" ht="16.5" customHeight="1" x14ac:dyDescent="0.25">
      <c r="A46" s="29" t="str">
        <f>Référentiels!A46&amp;TEXT(Référentiels!B46,"000")</f>
        <v>ENT014</v>
      </c>
      <c r="B46" s="64" t="str">
        <f>+tbl_ProduitsRef[[#This Row],[Produit]]</f>
        <v>Briouates fromage</v>
      </c>
      <c r="C46" s="64" t="str">
        <f>IFERROR(INDEX(tbl_ProduitsRef[Famille], MATCH(tbl_Produits[[#This Row],[Cde_Prdt]], tbl_Produits[Cde_Prdt], 0)), "")</f>
        <v>Entrées &amp; Salades</v>
      </c>
      <c r="D46" s="65">
        <f ca="1">SUMIF(tbl_Recettes[Cde_Prdt], tbl_Produits[[#This Row],[Cde_Prdt]], tbl_Recettes[Coût Moyen Portion])</f>
        <v>18.84</v>
      </c>
      <c r="E46" s="66">
        <f>IFERROR(
   INDEX(tbl_ProduitsRef[Prix Menu],MATCH(B46,tbl_ProduitsRef[Produit],0)),
   ""
)</f>
        <v>35</v>
      </c>
      <c r="F46" s="66">
        <f ca="1">tbl_Produits[[#This Row],[Prix Menu]] - tbl_Produits[[#This Row],[Coût Moyen Portion]]</f>
        <v>16.16</v>
      </c>
      <c r="G46" s="67">
        <f ca="1">IF(tbl_Produits[[#This Row],[Prix Menu]]&gt;0, tbl_Produits[[#This Row],[Marge Brute]] / tbl_Produits[[#This Row],[Prix Menu]], 0)</f>
        <v>0.46171428571428574</v>
      </c>
      <c r="H46" s="69">
        <f t="shared" ca="1" si="1"/>
        <v>6.3485714285714288</v>
      </c>
      <c r="I46" s="67">
        <f ca="1">IF(tbl_Produits[[#This Row],[Prix Menu]]=0, 0, tbl_Produits[[#This Row],[Coût Moyen Portion]] / tbl_Produits[[#This Row],[Prix Menu]])</f>
        <v>0.53828571428571426</v>
      </c>
      <c r="J46" s="67" t="str" cm="1">
        <f t="array" ref="J46">IFERROR(IF(Total_portions=0, 0, Charges_fixes_totales_periode / Total_portions),"Vérifier")</f>
        <v>Vérifier</v>
      </c>
      <c r="K46" s="131" cm="1">
        <f t="array" aca="1" ref="K46" ca="1">IFERROR(tbl_Produits[[#This Row],[Prix Menu]] - tbl_Produits[[#This Row],[Coût Moyen Portion]] - ChargesFixesPar_Portion[Charges fixes par portion],"Vérifier")</f>
        <v>-10770.84</v>
      </c>
      <c r="L46" s="132" t="str">
        <f ca="1">IF(OR(tbl_Produits[[#This Row],[Food cost % ]]&gt;0.35,tbl_Produits[[#This Row],[% de Chrg Fixe /Prdt]]&gt;0.2),"À améliorer","OK")</f>
        <v>À améliorer</v>
      </c>
      <c r="M4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7" spans="1:13" ht="16.5" customHeight="1" x14ac:dyDescent="0.25">
      <c r="A47" s="29" t="str">
        <f>Référentiels!A47&amp;TEXT(Référentiels!B47,"000")</f>
        <v>ENT015</v>
      </c>
      <c r="B47" s="64" t="str">
        <f>+tbl_ProduitsRef[[#This Row],[Produit]]</f>
        <v>Nems de poulet</v>
      </c>
      <c r="C47" s="64" t="str">
        <f>IFERROR(INDEX(tbl_ProduitsRef[Famille], MATCH(tbl_Produits[[#This Row],[Cde_Prdt]], tbl_Produits[Cde_Prdt], 0)), "")</f>
        <v>Entrées &amp; Salades</v>
      </c>
      <c r="D47" s="65">
        <f ca="1">SUMIF(tbl_Recettes[Cde_Prdt], tbl_Produits[[#This Row],[Cde_Prdt]], tbl_Recettes[Coût Moyen Portion])</f>
        <v>14.049999999999999</v>
      </c>
      <c r="E47" s="66">
        <f>IFERROR(
   INDEX(tbl_ProduitsRef[Prix Menu],MATCH(B47,tbl_ProduitsRef[Produit],0)),
   ""
)</f>
        <v>45</v>
      </c>
      <c r="F47" s="66">
        <f ca="1">tbl_Produits[[#This Row],[Prix Menu]] - tbl_Produits[[#This Row],[Coût Moyen Portion]]</f>
        <v>30.950000000000003</v>
      </c>
      <c r="G47" s="67">
        <f ca="1">IF(tbl_Produits[[#This Row],[Prix Menu]]&gt;0, tbl_Produits[[#This Row],[Marge Brute]] / tbl_Produits[[#This Row],[Prix Menu]], 0)</f>
        <v>0.68777777777777782</v>
      </c>
      <c r="H47" s="69">
        <f t="shared" ca="1" si="1"/>
        <v>11.176388888888891</v>
      </c>
      <c r="I47" s="67">
        <f ca="1">IF(tbl_Produits[[#This Row],[Prix Menu]]=0, 0, tbl_Produits[[#This Row],[Coût Moyen Portion]] / tbl_Produits[[#This Row],[Prix Menu]])</f>
        <v>0.31222222222222218</v>
      </c>
      <c r="J47" s="67" t="str" cm="1">
        <f t="array" ref="J47">IFERROR(IF(Total_portions=0, 0, Charges_fixes_totales_periode / Total_portions),"Vérifier")</f>
        <v>Vérifier</v>
      </c>
      <c r="K47" s="131" cm="1">
        <f t="array" aca="1" ref="K47" ca="1">IFERROR(tbl_Produits[[#This Row],[Prix Menu]] - tbl_Produits[[#This Row],[Coût Moyen Portion]] - ChargesFixesPar_Portion[Charges fixes par portion],"Vérifier")</f>
        <v>-10756.05</v>
      </c>
      <c r="L47" s="132" t="str">
        <f ca="1">IF(OR(tbl_Produits[[#This Row],[Food cost % ]]&gt;0.35,tbl_Produits[[#This Row],[% de Chrg Fixe /Prdt]]&gt;0.2),"À améliorer","OK")</f>
        <v>À améliorer</v>
      </c>
      <c r="M4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8" spans="1:13" ht="16.5" customHeight="1" x14ac:dyDescent="0.25">
      <c r="A48" s="29" t="str">
        <f>Référentiels!A48&amp;TEXT(Référentiels!B48,"000")</f>
        <v>ENT016</v>
      </c>
      <c r="B48" s="64" t="str">
        <f>+tbl_ProduitsRef[[#This Row],[Produit]]</f>
        <v>Potage de légumes</v>
      </c>
      <c r="C48" s="64" t="str">
        <f>IFERROR(INDEX(tbl_ProduitsRef[Famille], MATCH(tbl_Produits[[#This Row],[Cde_Prdt]], tbl_Produits[Cde_Prdt], 0)), "")</f>
        <v>Entrées &amp; Salades</v>
      </c>
      <c r="D48" s="65">
        <f ca="1">SUMIF(tbl_Recettes[Cde_Prdt], tbl_Produits[[#This Row],[Cde_Prdt]], tbl_Recettes[Coût Moyen Portion])</f>
        <v>7</v>
      </c>
      <c r="E48" s="66">
        <f>IFERROR(
   INDEX(tbl_ProduitsRef[Prix Menu],MATCH(B48,tbl_ProduitsRef[Produit],0)),
   ""
)</f>
        <v>45</v>
      </c>
      <c r="F48" s="66">
        <f ca="1">tbl_Produits[[#This Row],[Prix Menu]] - tbl_Produits[[#This Row],[Coût Moyen Portion]]</f>
        <v>38</v>
      </c>
      <c r="G48" s="67">
        <f ca="1">IF(tbl_Produits[[#This Row],[Prix Menu]]&gt;0, tbl_Produits[[#This Row],[Marge Brute]] / tbl_Produits[[#This Row],[Prix Menu]], 0)</f>
        <v>0.84444444444444444</v>
      </c>
      <c r="H48" s="69">
        <f t="shared" ca="1" si="1"/>
        <v>13.722222222222221</v>
      </c>
      <c r="I48" s="67">
        <f ca="1">IF(tbl_Produits[[#This Row],[Prix Menu]]=0, 0, tbl_Produits[[#This Row],[Coût Moyen Portion]] / tbl_Produits[[#This Row],[Prix Menu]])</f>
        <v>0.15555555555555556</v>
      </c>
      <c r="J48" s="67" t="str" cm="1">
        <f t="array" ref="J48">IFERROR(IF(Total_portions=0, 0, Charges_fixes_totales_periode / Total_portions),"Vérifier")</f>
        <v>Vérifier</v>
      </c>
      <c r="K48" s="131" cm="1">
        <f t="array" aca="1" ref="K48" ca="1">IFERROR(tbl_Produits[[#This Row],[Prix Menu]] - tbl_Produits[[#This Row],[Coût Moyen Portion]] - ChargesFixesPar_Portion[Charges fixes par portion],"Vérifier")</f>
        <v>-10749</v>
      </c>
      <c r="L48" s="132" t="str">
        <f ca="1">IF(OR(tbl_Produits[[#This Row],[Food cost % ]]&gt;0.35,tbl_Produits[[#This Row],[% de Chrg Fixe /Prdt]]&gt;0.2),"À améliorer","OK")</f>
        <v>À améliorer</v>
      </c>
      <c r="M4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49" spans="1:13" ht="16.5" customHeight="1" x14ac:dyDescent="0.25">
      <c r="A49" s="29" t="str">
        <f>Référentiels!A49&amp;TEXT(Référentiels!B49,"000")</f>
        <v>PUL001</v>
      </c>
      <c r="B49" s="64" t="str">
        <f>+tbl_ProduitsRef[[#This Row],[Produit]]</f>
        <v>Saucisse poulet fromage</v>
      </c>
      <c r="C49" s="64" t="str">
        <f>IFERROR(INDEX(tbl_ProduitsRef[Famille], MATCH(tbl_Produits[[#This Row],[Cde_Prdt]], tbl_Produits[Cde_Prdt], 0)), "")</f>
        <v>Poulet</v>
      </c>
      <c r="D49" s="65">
        <f ca="1">SUMIF(tbl_Recettes[Cde_Prdt], tbl_Produits[[#This Row],[Cde_Prdt]], tbl_Recettes[Coût Moyen Portion])</f>
        <v>70</v>
      </c>
      <c r="E49" s="66">
        <f>IFERROR(
   INDEX(tbl_ProduitsRef[Prix Menu],MATCH(B49,tbl_ProduitsRef[Produit],0)),
   ""
)</f>
        <v>145</v>
      </c>
      <c r="F49" s="66">
        <f ca="1">tbl_Produits[[#This Row],[Prix Menu]] - tbl_Produits[[#This Row],[Coût Moyen Portion]]</f>
        <v>75</v>
      </c>
      <c r="G49" s="67">
        <f ca="1">IF(tbl_Produits[[#This Row],[Prix Menu]]&gt;0, tbl_Produits[[#This Row],[Marge Brute]] / tbl_Produits[[#This Row],[Prix Menu]], 0)</f>
        <v>0.51724137931034486</v>
      </c>
      <c r="H49" s="69">
        <f t="shared" ca="1" si="1"/>
        <v>21.336206896551722</v>
      </c>
      <c r="I49" s="67">
        <f ca="1">IF(tbl_Produits[[#This Row],[Prix Menu]]=0, 0, tbl_Produits[[#This Row],[Coût Moyen Portion]] / tbl_Produits[[#This Row],[Prix Menu]])</f>
        <v>0.48275862068965519</v>
      </c>
      <c r="J49" s="67" t="str" cm="1">
        <f t="array" ref="J49">IFERROR(IF(Total_portions=0, 0, Charges_fixes_totales_periode / Total_portions),"Vérifier")</f>
        <v>Vérifier</v>
      </c>
      <c r="K49" s="131" cm="1">
        <f t="array" aca="1" ref="K49" ca="1">IFERROR(tbl_Produits[[#This Row],[Prix Menu]] - tbl_Produits[[#This Row],[Coût Moyen Portion]] - ChargesFixesPar_Portion[Charges fixes par portion],"Vérifier")</f>
        <v>-10712</v>
      </c>
      <c r="L49" s="132" t="str">
        <f ca="1">IF(OR(tbl_Produits[[#This Row],[Food cost % ]]&gt;0.35,tbl_Produits[[#This Row],[% de Chrg Fixe /Prdt]]&gt;0.2),"À améliorer","OK")</f>
        <v>À améliorer</v>
      </c>
      <c r="M4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50" spans="1:13" ht="16.5" customHeight="1" x14ac:dyDescent="0.25">
      <c r="A50" s="29" t="str">
        <f>Référentiels!A50&amp;TEXT(Référentiels!B50,"000")</f>
        <v>PUL002</v>
      </c>
      <c r="B50" s="64" t="str">
        <f>+tbl_ProduitsRef[[#This Row],[Produit]]</f>
        <v>Saucisse poulet nature</v>
      </c>
      <c r="C50" s="64" t="str">
        <f>IFERROR(INDEX(tbl_ProduitsRef[Famille], MATCH(tbl_Produits[[#This Row],[Cde_Prdt]], tbl_Produits[Cde_Prdt], 0)), "")</f>
        <v>Poulet</v>
      </c>
      <c r="D50" s="65">
        <f ca="1">SUMIF(tbl_Recettes[Cde_Prdt], tbl_Produits[[#This Row],[Cde_Prdt]], tbl_Recettes[Coût Moyen Portion])</f>
        <v>70</v>
      </c>
      <c r="E50" s="66">
        <f>IFERROR(
   INDEX(tbl_ProduitsRef[Prix Menu],MATCH(B50,tbl_ProduitsRef[Produit],0)),
   ""
)</f>
        <v>145</v>
      </c>
      <c r="F50" s="66">
        <f ca="1">tbl_Produits[[#This Row],[Prix Menu]] - tbl_Produits[[#This Row],[Coût Moyen Portion]]</f>
        <v>75</v>
      </c>
      <c r="G50" s="67">
        <f ca="1">IF(tbl_Produits[[#This Row],[Prix Menu]]&gt;0, tbl_Produits[[#This Row],[Marge Brute]] / tbl_Produits[[#This Row],[Prix Menu]], 0)</f>
        <v>0.51724137931034486</v>
      </c>
      <c r="H50" s="69">
        <f t="shared" ca="1" si="1"/>
        <v>21.336206896551722</v>
      </c>
      <c r="I50" s="67">
        <f ca="1">IF(tbl_Produits[[#This Row],[Prix Menu]]=0, 0, tbl_Produits[[#This Row],[Coût Moyen Portion]] / tbl_Produits[[#This Row],[Prix Menu]])</f>
        <v>0.48275862068965519</v>
      </c>
      <c r="J50" s="67" t="str" cm="1">
        <f t="array" ref="J50">IFERROR(IF(Total_portions=0, 0, Charges_fixes_totales_periode / Total_portions),"Vérifier")</f>
        <v>Vérifier</v>
      </c>
      <c r="K50" s="131" cm="1">
        <f t="array" aca="1" ref="K50" ca="1">IFERROR(tbl_Produits[[#This Row],[Prix Menu]] - tbl_Produits[[#This Row],[Coût Moyen Portion]] - ChargesFixesPar_Portion[Charges fixes par portion],"Vérifier")</f>
        <v>-10712</v>
      </c>
      <c r="L50" s="132" t="str">
        <f ca="1">IF(OR(tbl_Produits[[#This Row],[Food cost % ]]&gt;0.35,tbl_Produits[[#This Row],[% de Chrg Fixe /Prdt]]&gt;0.2),"À améliorer","OK")</f>
        <v>À améliorer</v>
      </c>
      <c r="M5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51" spans="1:13" ht="16.5" customHeight="1" x14ac:dyDescent="0.25">
      <c r="A51" s="29" t="str">
        <f>Référentiels!A51&amp;TEXT(Référentiels!B51,"000")</f>
        <v>PUL003</v>
      </c>
      <c r="B51" s="64" t="str">
        <f>+tbl_ProduitsRef[[#This Row],[Produit]]</f>
        <v>Cordon bleu</v>
      </c>
      <c r="C51" s="64" t="str">
        <f>IFERROR(INDEX(tbl_ProduitsRef[Famille], MATCH(tbl_Produits[[#This Row],[Cde_Prdt]], tbl_Produits[Cde_Prdt], 0)), "")</f>
        <v>Poulet</v>
      </c>
      <c r="D51" s="65">
        <f ca="1">SUMIF(tbl_Recettes[Cde_Prdt], tbl_Produits[[#This Row],[Cde_Prdt]], tbl_Recettes[Coût Moyen Portion])</f>
        <v>8</v>
      </c>
      <c r="E51" s="66">
        <f>IFERROR(
   INDEX(tbl_ProduitsRef[Prix Menu],MATCH(B51,tbl_ProduitsRef[Produit],0)),
   ""
)</f>
        <v>145</v>
      </c>
      <c r="F51" s="66">
        <f ca="1">tbl_Produits[[#This Row],[Prix Menu]] - tbl_Produits[[#This Row],[Coût Moyen Portion]]</f>
        <v>137</v>
      </c>
      <c r="G51" s="67">
        <f ca="1">IF(tbl_Produits[[#This Row],[Prix Menu]]&gt;0, tbl_Produits[[#This Row],[Marge Brute]] / tbl_Produits[[#This Row],[Prix Menu]], 0)</f>
        <v>0.94482758620689655</v>
      </c>
      <c r="H51" s="69">
        <f t="shared" ca="1" si="1"/>
        <v>38.974137931034484</v>
      </c>
      <c r="I51" s="67">
        <f ca="1">IF(tbl_Produits[[#This Row],[Prix Menu]]=0, 0, tbl_Produits[[#This Row],[Coût Moyen Portion]] / tbl_Produits[[#This Row],[Prix Menu]])</f>
        <v>5.5172413793103448E-2</v>
      </c>
      <c r="J51" s="67" t="str" cm="1">
        <f t="array" ref="J51">IFERROR(IF(Total_portions=0, 0, Charges_fixes_totales_periode / Total_portions),"Vérifier")</f>
        <v>Vérifier</v>
      </c>
      <c r="K51" s="131" cm="1">
        <f t="array" aca="1" ref="K51" ca="1">IFERROR(tbl_Produits[[#This Row],[Prix Menu]] - tbl_Produits[[#This Row],[Coût Moyen Portion]] - ChargesFixesPar_Portion[Charges fixes par portion],"Vérifier")</f>
        <v>-10650</v>
      </c>
      <c r="L51" s="132" t="str">
        <f ca="1">IF(OR(tbl_Produits[[#This Row],[Food cost % ]]&gt;0.35,tbl_Produits[[#This Row],[% de Chrg Fixe /Prdt]]&gt;0.2),"À améliorer","OK")</f>
        <v>À améliorer</v>
      </c>
      <c r="M5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52" spans="1:13" ht="16.5" customHeight="1" x14ac:dyDescent="0.25">
      <c r="A52" s="29" t="str">
        <f>Référentiels!A52&amp;TEXT(Référentiels!B52,"000")</f>
        <v>PUL004</v>
      </c>
      <c r="B52" s="64" t="str">
        <f>+tbl_ProduitsRef[[#This Row],[Produit]]</f>
        <v>Escalope au fromage</v>
      </c>
      <c r="C52" s="64" t="str">
        <f>IFERROR(INDEX(tbl_ProduitsRef[Famille], MATCH(tbl_Produits[[#This Row],[Cde_Prdt]], tbl_Produits[Cde_Prdt], 0)), "")</f>
        <v>Poulet</v>
      </c>
      <c r="D52" s="65">
        <f ca="1">SUMIF(tbl_Recettes[Cde_Prdt], tbl_Produits[[#This Row],[Cde_Prdt]], tbl_Recettes[Coût Moyen Portion])</f>
        <v>116.4</v>
      </c>
      <c r="E52" s="66">
        <f>IFERROR(
   INDEX(tbl_ProduitsRef[Prix Menu],MATCH(B52,tbl_ProduitsRef[Produit],0)),
   ""
)</f>
        <v>145</v>
      </c>
      <c r="F52" s="66">
        <f ca="1">tbl_Produits[[#This Row],[Prix Menu]] - tbl_Produits[[#This Row],[Coût Moyen Portion]]</f>
        <v>28.599999999999994</v>
      </c>
      <c r="G52" s="67">
        <f ca="1">IF(tbl_Produits[[#This Row],[Prix Menu]]&gt;0, tbl_Produits[[#This Row],[Marge Brute]] / tbl_Produits[[#This Row],[Prix Menu]], 0)</f>
        <v>0.1972413793103448</v>
      </c>
      <c r="H52" s="69">
        <f t="shared" ca="1" si="1"/>
        <v>8.1362068965517231</v>
      </c>
      <c r="I52" s="67">
        <f ca="1">IF(tbl_Produits[[#This Row],[Prix Menu]]=0, 0, tbl_Produits[[#This Row],[Coût Moyen Portion]] / tbl_Produits[[#This Row],[Prix Menu]])</f>
        <v>0.8027586206896552</v>
      </c>
      <c r="J52" s="67" t="str" cm="1">
        <f t="array" ref="J52">IFERROR(IF(Total_portions=0, 0, Charges_fixes_totales_periode / Total_portions),"Vérifier")</f>
        <v>Vérifier</v>
      </c>
      <c r="K52" s="131" cm="1">
        <f t="array" aca="1" ref="K52" ca="1">IFERROR(tbl_Produits[[#This Row],[Prix Menu]] - tbl_Produits[[#This Row],[Coût Moyen Portion]] - ChargesFixesPar_Portion[Charges fixes par portion],"Vérifier")</f>
        <v>-10758.4</v>
      </c>
      <c r="L52" s="132" t="str">
        <f ca="1">IF(OR(tbl_Produits[[#This Row],[Food cost % ]]&gt;0.35,tbl_Produits[[#This Row],[% de Chrg Fixe /Prdt]]&gt;0.2),"À améliorer","OK")</f>
        <v>À améliorer</v>
      </c>
      <c r="M5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53" spans="1:13" ht="16.5" customHeight="1" x14ac:dyDescent="0.25">
      <c r="A53" s="29" t="str">
        <f>Référentiels!A53&amp;TEXT(Référentiels!B53,"000")</f>
        <v>PUL005</v>
      </c>
      <c r="B53" s="64" t="str">
        <f>+tbl_ProduitsRef[[#This Row],[Produit]]</f>
        <v>Brochette chich kebab</v>
      </c>
      <c r="C53" s="64" t="str">
        <f>IFERROR(INDEX(tbl_ProduitsRef[Famille], MATCH(tbl_Produits[[#This Row],[Cde_Prdt]], tbl_Produits[Cde_Prdt], 0)), "")</f>
        <v>Poulet</v>
      </c>
      <c r="D53" s="65">
        <f ca="1">SUMIF(tbl_Recettes[Cde_Prdt], tbl_Produits[[#This Row],[Cde_Prdt]], tbl_Recettes[Coût Moyen Portion])</f>
        <v>71.75</v>
      </c>
      <c r="E53" s="66">
        <f>IFERROR(
   INDEX(tbl_ProduitsRef[Prix Menu],MATCH(B53,tbl_ProduitsRef[Produit],0)),
   ""
)</f>
        <v>145</v>
      </c>
      <c r="F53" s="66">
        <f ca="1">tbl_Produits[[#This Row],[Prix Menu]] - tbl_Produits[[#This Row],[Coût Moyen Portion]]</f>
        <v>73.25</v>
      </c>
      <c r="G53" s="67">
        <f ca="1">IF(tbl_Produits[[#This Row],[Prix Menu]]&gt;0, tbl_Produits[[#This Row],[Marge Brute]] / tbl_Produits[[#This Row],[Prix Menu]], 0)</f>
        <v>0.5051724137931034</v>
      </c>
      <c r="H53" s="69">
        <f t="shared" ca="1" si="1"/>
        <v>20.838362068965516</v>
      </c>
      <c r="I53" s="67">
        <f ca="1">IF(tbl_Produits[[#This Row],[Prix Menu]]=0, 0, tbl_Produits[[#This Row],[Coût Moyen Portion]] / tbl_Produits[[#This Row],[Prix Menu]])</f>
        <v>0.49482758620689654</v>
      </c>
      <c r="J53" s="67" t="str" cm="1">
        <f t="array" ref="J53">IFERROR(IF(Total_portions=0, 0, Charges_fixes_totales_periode / Total_portions),"Vérifier")</f>
        <v>Vérifier</v>
      </c>
      <c r="K53" s="131" cm="1">
        <f t="array" aca="1" ref="K53" ca="1">IFERROR(tbl_Produits[[#This Row],[Prix Menu]] - tbl_Produits[[#This Row],[Coût Moyen Portion]] - ChargesFixesPar_Portion[Charges fixes par portion],"Vérifier")</f>
        <v>-10713.75</v>
      </c>
      <c r="L53" s="132" t="str">
        <f ca="1">IF(OR(tbl_Produits[[#This Row],[Food cost % ]]&gt;0.35,tbl_Produits[[#This Row],[% de Chrg Fixe /Prdt]]&gt;0.2),"À améliorer","OK")</f>
        <v>À améliorer</v>
      </c>
      <c r="M5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54" spans="1:13" ht="16.5" customHeight="1" x14ac:dyDescent="0.25">
      <c r="A54" s="29" t="str">
        <f>Référentiels!A54&amp;TEXT(Référentiels!B54,"000")</f>
        <v>PUL006</v>
      </c>
      <c r="B54" s="64" t="str">
        <f>+tbl_ProduitsRef[[#This Row],[Produit]]</f>
        <v>Filet de poulet</v>
      </c>
      <c r="C54" s="64" t="str">
        <f>IFERROR(INDEX(tbl_ProduitsRef[Famille], MATCH(tbl_Produits[[#This Row],[Cde_Prdt]], tbl_Produits[Cde_Prdt], 0)), "")</f>
        <v>Poulet</v>
      </c>
      <c r="D54" s="65">
        <f ca="1">SUMIF(tbl_Recettes[Cde_Prdt], tbl_Produits[[#This Row],[Cde_Prdt]], tbl_Recettes[Coût Moyen Portion])</f>
        <v>70</v>
      </c>
      <c r="E54" s="66">
        <f>IFERROR(
   INDEX(tbl_ProduitsRef[Prix Menu],MATCH(B54,tbl_ProduitsRef[Produit],0)),
   ""
)</f>
        <v>120</v>
      </c>
      <c r="F54" s="66">
        <f ca="1">tbl_Produits[[#This Row],[Prix Menu]] - tbl_Produits[[#This Row],[Coût Moyen Portion]]</f>
        <v>50</v>
      </c>
      <c r="G54" s="67">
        <f ca="1">IF(tbl_Produits[[#This Row],[Prix Menu]]&gt;0, tbl_Produits[[#This Row],[Marge Brute]] / tbl_Produits[[#This Row],[Prix Menu]], 0)</f>
        <v>0.41666666666666669</v>
      </c>
      <c r="H54" s="69">
        <f t="shared" ca="1" si="1"/>
        <v>14.583333333333334</v>
      </c>
      <c r="I54" s="67">
        <f ca="1">IF(tbl_Produits[[#This Row],[Prix Menu]]=0, 0, tbl_Produits[[#This Row],[Coût Moyen Portion]] / tbl_Produits[[#This Row],[Prix Menu]])</f>
        <v>0.58333333333333337</v>
      </c>
      <c r="J54" s="67" t="str" cm="1">
        <f t="array" ref="J54">IFERROR(IF(Total_portions=0, 0, Charges_fixes_totales_periode / Total_portions),"Vérifier")</f>
        <v>Vérifier</v>
      </c>
      <c r="K54" s="131" cm="1">
        <f t="array" aca="1" ref="K54" ca="1">IFERROR(tbl_Produits[[#This Row],[Prix Menu]] - tbl_Produits[[#This Row],[Coût Moyen Portion]] - ChargesFixesPar_Portion[Charges fixes par portion],"Vérifier")</f>
        <v>-10737</v>
      </c>
      <c r="L54" s="132" t="str">
        <f ca="1">IF(OR(tbl_Produits[[#This Row],[Food cost % ]]&gt;0.35,tbl_Produits[[#This Row],[% de Chrg Fixe /Prdt]]&gt;0.2),"À améliorer","OK")</f>
        <v>À améliorer</v>
      </c>
      <c r="M5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55" spans="1:13" ht="16.5" customHeight="1" x14ac:dyDescent="0.25">
      <c r="A55" s="29" t="str">
        <f>Référentiels!A55&amp;TEXT(Référentiels!B55,"000")</f>
        <v>PUL007</v>
      </c>
      <c r="B55" s="64" t="str">
        <f>+tbl_ProduitsRef[[#This Row],[Produit]]</f>
        <v>Poulet mariné</v>
      </c>
      <c r="C55" s="64" t="str">
        <f>IFERROR(INDEX(tbl_ProduitsRef[Famille], MATCH(tbl_Produits[[#This Row],[Cde_Prdt]], tbl_Produits[Cde_Prdt], 0)), "")</f>
        <v>Poulet</v>
      </c>
      <c r="D55" s="65">
        <f ca="1">SUMIF(tbl_Recettes[Cde_Prdt], tbl_Produits[[#This Row],[Cde_Prdt]], tbl_Recettes[Coût Moyen Portion])</f>
        <v>70</v>
      </c>
      <c r="E55" s="66">
        <f>IFERROR(
   INDEX(tbl_ProduitsRef[Prix Menu],MATCH(B55,tbl_ProduitsRef[Produit],0)),
   ""
)</f>
        <v>120</v>
      </c>
      <c r="F55" s="66">
        <f ca="1">tbl_Produits[[#This Row],[Prix Menu]] - tbl_Produits[[#This Row],[Coût Moyen Portion]]</f>
        <v>50</v>
      </c>
      <c r="G55" s="67">
        <f ca="1">IF(tbl_Produits[[#This Row],[Prix Menu]]&gt;0, tbl_Produits[[#This Row],[Marge Brute]] / tbl_Produits[[#This Row],[Prix Menu]], 0)</f>
        <v>0.41666666666666669</v>
      </c>
      <c r="H55" s="69">
        <f t="shared" ca="1" si="1"/>
        <v>14.583333333333334</v>
      </c>
      <c r="I55" s="67">
        <f ca="1">IF(tbl_Produits[[#This Row],[Prix Menu]]=0, 0, tbl_Produits[[#This Row],[Coût Moyen Portion]] / tbl_Produits[[#This Row],[Prix Menu]])</f>
        <v>0.58333333333333337</v>
      </c>
      <c r="J55" s="67" t="str" cm="1">
        <f t="array" ref="J55">IFERROR(IF(Total_portions=0, 0, Charges_fixes_totales_periode / Total_portions),"Vérifier")</f>
        <v>Vérifier</v>
      </c>
      <c r="K55" s="131" cm="1">
        <f t="array" aca="1" ref="K55" ca="1">IFERROR(tbl_Produits[[#This Row],[Prix Menu]] - tbl_Produits[[#This Row],[Coût Moyen Portion]] - ChargesFixesPar_Portion[Charges fixes par portion],"Vérifier")</f>
        <v>-10737</v>
      </c>
      <c r="L55" s="132" t="str">
        <f ca="1">IF(OR(tbl_Produits[[#This Row],[Food cost % ]]&gt;0.35,tbl_Produits[[#This Row],[% de Chrg Fixe /Prdt]]&gt;0.2),"À améliorer","OK")</f>
        <v>À améliorer</v>
      </c>
      <c r="M5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56" spans="1:13" ht="16.5" customHeight="1" x14ac:dyDescent="0.25">
      <c r="A56" s="29" t="str">
        <f>Référentiels!A56&amp;TEXT(Référentiels!B56,"000")</f>
        <v>PUL008</v>
      </c>
      <c r="B56" s="64" t="str">
        <f>+tbl_ProduitsRef[[#This Row],[Produit]]</f>
        <v>Brochette de poulet</v>
      </c>
      <c r="C56" s="64" t="str">
        <f>IFERROR(INDEX(tbl_ProduitsRef[Famille], MATCH(tbl_Produits[[#This Row],[Cde_Prdt]], tbl_Produits[Cde_Prdt], 0)), "")</f>
        <v>Poulet</v>
      </c>
      <c r="D56" s="65">
        <f ca="1">SUMIF(tbl_Recettes[Cde_Prdt], tbl_Produits[[#This Row],[Cde_Prdt]], tbl_Recettes[Coût Moyen Portion])</f>
        <v>72.2</v>
      </c>
      <c r="E56" s="66">
        <f>IFERROR(
   INDEX(tbl_ProduitsRef[Prix Menu],MATCH(B56,tbl_ProduitsRef[Produit],0)),
   ""
)</f>
        <v>120</v>
      </c>
      <c r="F56" s="66">
        <f ca="1">tbl_Produits[[#This Row],[Prix Menu]] - tbl_Produits[[#This Row],[Coût Moyen Portion]]</f>
        <v>47.8</v>
      </c>
      <c r="G56" s="67">
        <f ca="1">IF(tbl_Produits[[#This Row],[Prix Menu]]&gt;0, tbl_Produits[[#This Row],[Marge Brute]] / tbl_Produits[[#This Row],[Prix Menu]], 0)</f>
        <v>0.39833333333333332</v>
      </c>
      <c r="H56" s="69">
        <f t="shared" ca="1" si="1"/>
        <v>13.941666666666666</v>
      </c>
      <c r="I56" s="67">
        <f ca="1">IF(tbl_Produits[[#This Row],[Prix Menu]]=0, 0, tbl_Produits[[#This Row],[Coût Moyen Portion]] / tbl_Produits[[#This Row],[Prix Menu]])</f>
        <v>0.60166666666666668</v>
      </c>
      <c r="J56" s="67" t="str" cm="1">
        <f t="array" ref="J56">IFERROR(IF(Total_portions=0, 0, Charges_fixes_totales_periode / Total_portions),"Vérifier")</f>
        <v>Vérifier</v>
      </c>
      <c r="K56" s="131" cm="1">
        <f t="array" aca="1" ref="K56" ca="1">IFERROR(tbl_Produits[[#This Row],[Prix Menu]] - tbl_Produits[[#This Row],[Coût Moyen Portion]] - ChargesFixesPar_Portion[Charges fixes par portion],"Vérifier")</f>
        <v>-10739.2</v>
      </c>
      <c r="L56" s="132" t="str">
        <f ca="1">IF(OR(tbl_Produits[[#This Row],[Food cost % ]]&gt;0.35,tbl_Produits[[#This Row],[% de Chrg Fixe /Prdt]]&gt;0.2),"À améliorer","OK")</f>
        <v>À améliorer</v>
      </c>
      <c r="M5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57" spans="1:13" ht="16.5" customHeight="1" x14ac:dyDescent="0.25">
      <c r="A57" s="29" t="str">
        <f>Référentiels!A57&amp;TEXT(Référentiels!B57,"000")</f>
        <v>PUL009</v>
      </c>
      <c r="B57" s="64" t="str">
        <f>+tbl_ProduitsRef[[#This Row],[Produit]]</f>
        <v>Blanc de poulet grillé</v>
      </c>
      <c r="C57" s="64" t="str">
        <f>IFERROR(INDEX(tbl_ProduitsRef[Famille], MATCH(tbl_Produits[[#This Row],[Cde_Prdt]], tbl_Produits[Cde_Prdt], 0)), "")</f>
        <v>Poulet</v>
      </c>
      <c r="D57" s="65">
        <f>SUMIF(tbl_Recettes[Cde_Prdt], tbl_Produits[[#This Row],[Cde_Prdt]], tbl_Recettes[Coût Moyen Portion])</f>
        <v>0</v>
      </c>
      <c r="E57" s="66">
        <f>IFERROR(
   INDEX(tbl_ProduitsRef[Prix Menu],MATCH(B57,tbl_ProduitsRef[Produit],0)),
   ""
)</f>
        <v>95</v>
      </c>
      <c r="F57" s="66">
        <f>tbl_Produits[[#This Row],[Prix Menu]] - tbl_Produits[[#This Row],[Coût Moyen Portion]]</f>
        <v>95</v>
      </c>
      <c r="G57" s="67">
        <f>IF(tbl_Produits[[#This Row],[Prix Menu]]&gt;0, tbl_Produits[[#This Row],[Marge Brute]] / tbl_Produits[[#This Row],[Prix Menu]], 0)</f>
        <v>1</v>
      </c>
      <c r="H57" s="69">
        <f t="shared" si="1"/>
        <v>28.75</v>
      </c>
      <c r="I57" s="67">
        <f>IF(tbl_Produits[[#This Row],[Prix Menu]]=0, 0, tbl_Produits[[#This Row],[Coût Moyen Portion]] / tbl_Produits[[#This Row],[Prix Menu]])</f>
        <v>0</v>
      </c>
      <c r="J57" s="67" t="str" cm="1">
        <f t="array" ref="J57">IFERROR(IF(Total_portions=0, 0, Charges_fixes_totales_periode / Total_portions),"Vérifier")</f>
        <v>Vérifier</v>
      </c>
      <c r="K57" s="131" cm="1">
        <f t="array" ref="K57">IFERROR(tbl_Produits[[#This Row],[Prix Menu]] - tbl_Produits[[#This Row],[Coût Moyen Portion]] - ChargesFixesPar_Portion[Charges fixes par portion],"Vérifier")</f>
        <v>-10692</v>
      </c>
      <c r="L57" s="132" t="str">
        <f>IF(OR(tbl_Produits[[#This Row],[Food cost % ]]&gt;0.35,tbl_Produits[[#This Row],[% de Chrg Fixe /Prdt]]&gt;0.2),"À améliorer","OK")</f>
        <v>À améliorer</v>
      </c>
      <c r="M5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58" spans="1:13" ht="16.5" customHeight="1" x14ac:dyDescent="0.25">
      <c r="A58" s="29" t="str">
        <f>Référentiels!A58&amp;TEXT(Référentiels!B58,"000")</f>
        <v>PUL010</v>
      </c>
      <c r="B58" s="64" t="str">
        <f>+tbl_ProduitsRef[[#This Row],[Produit]]</f>
        <v>Escalope de poulet façon bonne femme</v>
      </c>
      <c r="C58" s="64" t="str">
        <f>IFERROR(INDEX(tbl_ProduitsRef[Famille], MATCH(tbl_Produits[[#This Row],[Cde_Prdt]], tbl_Produits[Cde_Prdt], 0)), "")</f>
        <v>Poulet</v>
      </c>
      <c r="D58" s="65">
        <f ca="1">SUMIF(tbl_Recettes[Cde_Prdt], tbl_Produits[[#This Row],[Cde_Prdt]], tbl_Recettes[Coût Moyen Portion])</f>
        <v>46.660000000000004</v>
      </c>
      <c r="E58" s="66">
        <f>IFERROR(
   INDEX(tbl_ProduitsRef[Prix Menu],MATCH(B58,tbl_ProduitsRef[Produit],0)),
   ""
)</f>
        <v>95</v>
      </c>
      <c r="F58" s="66">
        <f ca="1">tbl_Produits[[#This Row],[Prix Menu]] - tbl_Produits[[#This Row],[Coût Moyen Portion]]</f>
        <v>48.339999999999996</v>
      </c>
      <c r="G58" s="67">
        <f ca="1">IF(tbl_Produits[[#This Row],[Prix Menu]]&gt;0, tbl_Produits[[#This Row],[Marge Brute]] / tbl_Produits[[#This Row],[Prix Menu]], 0)</f>
        <v>0.50884210526315787</v>
      </c>
      <c r="H58" s="69">
        <f t="shared" ca="1" si="1"/>
        <v>14.629210526315788</v>
      </c>
      <c r="I58" s="67">
        <f ca="1">IF(tbl_Produits[[#This Row],[Prix Menu]]=0, 0, tbl_Produits[[#This Row],[Coût Moyen Portion]] / tbl_Produits[[#This Row],[Prix Menu]])</f>
        <v>0.49115789473684213</v>
      </c>
      <c r="J58" s="67" t="str" cm="1">
        <f t="array" ref="J58">IFERROR(IF(Total_portions=0, 0, Charges_fixes_totales_periode / Total_portions),"Vérifier")</f>
        <v>Vérifier</v>
      </c>
      <c r="K58" s="131" cm="1">
        <f t="array" aca="1" ref="K58" ca="1">IFERROR(tbl_Produits[[#This Row],[Prix Menu]] - tbl_Produits[[#This Row],[Coût Moyen Portion]] - ChargesFixesPar_Portion[Charges fixes par portion],"Vérifier")</f>
        <v>-10738.66</v>
      </c>
      <c r="L58" s="132" t="str">
        <f ca="1">IF(OR(tbl_Produits[[#This Row],[Food cost % ]]&gt;0.35,tbl_Produits[[#This Row],[% de Chrg Fixe /Prdt]]&gt;0.2),"À améliorer","OK")</f>
        <v>À améliorer</v>
      </c>
      <c r="M5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59" spans="1:13" ht="16.5" customHeight="1" x14ac:dyDescent="0.25">
      <c r="A59" s="29" t="str">
        <f>Référentiels!A59&amp;TEXT(Référentiels!B59,"000")</f>
        <v>PUL011</v>
      </c>
      <c r="B59" s="64" t="str">
        <f>+tbl_ProduitsRef[[#This Row],[Produit]]</f>
        <v>Suprême de poulet fromage &amp; épinard</v>
      </c>
      <c r="C59" s="64" t="str">
        <f>IFERROR(INDEX(tbl_ProduitsRef[Famille], MATCH(tbl_Produits[[#This Row],[Cde_Prdt]], tbl_Produits[Cde_Prdt], 0)), "")</f>
        <v>Poulet</v>
      </c>
      <c r="D59" s="65">
        <f ca="1">SUMIF(tbl_Recettes[Cde_Prdt], tbl_Produits[[#This Row],[Cde_Prdt]], tbl_Recettes[Coût Moyen Portion])</f>
        <v>24.8</v>
      </c>
      <c r="E59" s="66">
        <f>IFERROR(
   INDEX(tbl_ProduitsRef[Prix Menu],MATCH(B59,tbl_ProduitsRef[Produit],0)),
   ""
)</f>
        <v>95</v>
      </c>
      <c r="F59" s="66">
        <f ca="1">tbl_Produits[[#This Row],[Prix Menu]] - tbl_Produits[[#This Row],[Coût Moyen Portion]]</f>
        <v>70.2</v>
      </c>
      <c r="G59" s="67">
        <f ca="1">IF(tbl_Produits[[#This Row],[Prix Menu]]&gt;0, tbl_Produits[[#This Row],[Marge Brute]] / tbl_Produits[[#This Row],[Prix Menu]], 0)</f>
        <v>0.73894736842105269</v>
      </c>
      <c r="H59" s="69">
        <f t="shared" ca="1" si="1"/>
        <v>21.244736842105265</v>
      </c>
      <c r="I59" s="67">
        <f ca="1">IF(tbl_Produits[[#This Row],[Prix Menu]]=0, 0, tbl_Produits[[#This Row],[Coût Moyen Portion]] / tbl_Produits[[#This Row],[Prix Menu]])</f>
        <v>0.26105263157894737</v>
      </c>
      <c r="J59" s="67" t="str" cm="1">
        <f t="array" ref="J59">IFERROR(IF(Total_portions=0, 0, Charges_fixes_totales_periode / Total_portions),"Vérifier")</f>
        <v>Vérifier</v>
      </c>
      <c r="K59" s="131" cm="1">
        <f t="array" aca="1" ref="K59" ca="1">IFERROR(tbl_Produits[[#This Row],[Prix Menu]] - tbl_Produits[[#This Row],[Coût Moyen Portion]] - ChargesFixesPar_Portion[Charges fixes par portion],"Vérifier")</f>
        <v>-10716.8</v>
      </c>
      <c r="L59" s="132" t="str">
        <f ca="1">IF(OR(tbl_Produits[[#This Row],[Food cost % ]]&gt;0.35,tbl_Produits[[#This Row],[% de Chrg Fixe /Prdt]]&gt;0.2),"À améliorer","OK")</f>
        <v>À améliorer</v>
      </c>
      <c r="M5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60" spans="1:13" ht="16.5" customHeight="1" x14ac:dyDescent="0.25">
      <c r="A60" s="29" t="str">
        <f>Référentiels!A60&amp;TEXT(Référentiels!B60,"000")</f>
        <v>PUL012</v>
      </c>
      <c r="B60" s="64" t="str">
        <f>+tbl_ProduitsRef[[#This Row],[Produit]]</f>
        <v>Émincé de poulet champignons</v>
      </c>
      <c r="C60" s="64" t="str">
        <f>IFERROR(INDEX(tbl_ProduitsRef[Famille], MATCH(tbl_Produits[[#This Row],[Cde_Prdt]], tbl_Produits[Cde_Prdt], 0)), "")</f>
        <v>Poulet</v>
      </c>
      <c r="D60" s="65">
        <f ca="1">SUMIF(tbl_Recettes[Cde_Prdt], tbl_Produits[[#This Row],[Cde_Prdt]], tbl_Recettes[Coût Moyen Portion])</f>
        <v>20.8</v>
      </c>
      <c r="E60" s="66">
        <f>IFERROR(
   INDEX(tbl_ProduitsRef[Prix Menu],MATCH(B60,tbl_ProduitsRef[Produit],0)),
   ""
)</f>
        <v>90</v>
      </c>
      <c r="F60" s="66">
        <f ca="1">tbl_Produits[[#This Row],[Prix Menu]] - tbl_Produits[[#This Row],[Coût Moyen Portion]]</f>
        <v>69.2</v>
      </c>
      <c r="G60" s="67">
        <f ca="1">IF(tbl_Produits[[#This Row],[Prix Menu]]&gt;0, tbl_Produits[[#This Row],[Marge Brute]] / tbl_Produits[[#This Row],[Prix Menu]], 0)</f>
        <v>0.76888888888888896</v>
      </c>
      <c r="H60" s="69">
        <f t="shared" ca="1" si="1"/>
        <v>21.144444444444446</v>
      </c>
      <c r="I60" s="67">
        <f ca="1">IF(tbl_Produits[[#This Row],[Prix Menu]]=0, 0, tbl_Produits[[#This Row],[Coût Moyen Portion]] / tbl_Produits[[#This Row],[Prix Menu]])</f>
        <v>0.23111111111111113</v>
      </c>
      <c r="J60" s="67" t="str" cm="1">
        <f t="array" ref="J60">IFERROR(IF(Total_portions=0, 0, Charges_fixes_totales_periode / Total_portions),"Vérifier")</f>
        <v>Vérifier</v>
      </c>
      <c r="K60" s="131" cm="1">
        <f t="array" aca="1" ref="K60" ca="1">IFERROR(tbl_Produits[[#This Row],[Prix Menu]] - tbl_Produits[[#This Row],[Coût Moyen Portion]] - ChargesFixesPar_Portion[Charges fixes par portion],"Vérifier")</f>
        <v>-10717.8</v>
      </c>
      <c r="L60" s="132" t="str">
        <f ca="1">IF(OR(tbl_Produits[[#This Row],[Food cost % ]]&gt;0.35,tbl_Produits[[#This Row],[% de Chrg Fixe /Prdt]]&gt;0.2),"À améliorer","OK")</f>
        <v>À améliorer</v>
      </c>
      <c r="M6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61" spans="1:13" ht="16.5" customHeight="1" x14ac:dyDescent="0.25">
      <c r="A61" s="29" t="str">
        <f>Référentiels!A61&amp;TEXT(Référentiels!B61,"000")</f>
        <v>PUL013</v>
      </c>
      <c r="B61" s="64" t="str">
        <f>+tbl_ProduitsRef[[#This Row],[Produit]]</f>
        <v>Émincé de poulet moutarde à l’ancienne</v>
      </c>
      <c r="C61" s="64" t="str">
        <f>IFERROR(INDEX(tbl_ProduitsRef[Famille], MATCH(tbl_Produits[[#This Row],[Cde_Prdt]], tbl_Produits[Cde_Prdt], 0)), "")</f>
        <v>Poulet</v>
      </c>
      <c r="D61" s="65">
        <f ca="1">SUMIF(tbl_Recettes[Cde_Prdt], tbl_Produits[[#This Row],[Cde_Prdt]], tbl_Recettes[Coût Moyen Portion])</f>
        <v>16.8</v>
      </c>
      <c r="E61" s="66">
        <f>IFERROR(
   INDEX(tbl_ProduitsRef[Prix Menu],MATCH(B61,tbl_ProduitsRef[Produit],0)),
   ""
)</f>
        <v>90</v>
      </c>
      <c r="F61" s="66">
        <f ca="1">tbl_Produits[[#This Row],[Prix Menu]] - tbl_Produits[[#This Row],[Coût Moyen Portion]]</f>
        <v>73.2</v>
      </c>
      <c r="G61" s="67">
        <f ca="1">IF(tbl_Produits[[#This Row],[Prix Menu]]&gt;0, tbl_Produits[[#This Row],[Marge Brute]] / tbl_Produits[[#This Row],[Prix Menu]], 0)</f>
        <v>0.81333333333333335</v>
      </c>
      <c r="H61" s="69">
        <f t="shared" ca="1" si="1"/>
        <v>22.366666666666667</v>
      </c>
      <c r="I61" s="67">
        <f ca="1">IF(tbl_Produits[[#This Row],[Prix Menu]]=0, 0, tbl_Produits[[#This Row],[Coût Moyen Portion]] / tbl_Produits[[#This Row],[Prix Menu]])</f>
        <v>0.18666666666666668</v>
      </c>
      <c r="J61" s="67" t="str" cm="1">
        <f t="array" ref="J61">IFERROR(IF(Total_portions=0, 0, Charges_fixes_totales_periode / Total_portions),"Vérifier")</f>
        <v>Vérifier</v>
      </c>
      <c r="K61" s="131" cm="1">
        <f t="array" aca="1" ref="K61" ca="1">IFERROR(tbl_Produits[[#This Row],[Prix Menu]] - tbl_Produits[[#This Row],[Coût Moyen Portion]] - ChargesFixesPar_Portion[Charges fixes par portion],"Vérifier")</f>
        <v>-10713.8</v>
      </c>
      <c r="L61" s="132" t="str">
        <f ca="1">IF(OR(tbl_Produits[[#This Row],[Food cost % ]]&gt;0.35,tbl_Produits[[#This Row],[% de Chrg Fixe /Prdt]]&gt;0.2),"À améliorer","OK")</f>
        <v>À améliorer</v>
      </c>
      <c r="M6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62" spans="1:13" ht="16.5" customHeight="1" x14ac:dyDescent="0.25">
      <c r="A62" s="29" t="str">
        <f>Référentiels!A62&amp;TEXT(Référentiels!B62,"000")</f>
        <v>PUL014</v>
      </c>
      <c r="B62" s="64" t="str">
        <f>+tbl_ProduitsRef[[#This Row],[Produit]]</f>
        <v>Brochette de poulet à l’oriental</v>
      </c>
      <c r="C62" s="64" t="str">
        <f>IFERROR(INDEX(tbl_ProduitsRef[Famille], MATCH(tbl_Produits[[#This Row],[Cde_Prdt]], tbl_Produits[Cde_Prdt], 0)), "")</f>
        <v>Poulet</v>
      </c>
      <c r="D62" s="65">
        <f ca="1">SUMIF(tbl_Recettes[Cde_Prdt], tbl_Produits[[#This Row],[Cde_Prdt]], tbl_Recettes[Coût Moyen Portion])</f>
        <v>15.150000000000002</v>
      </c>
      <c r="E62" s="66">
        <f>IFERROR(
   INDEX(tbl_ProduitsRef[Prix Menu],MATCH(B62,tbl_ProduitsRef[Produit],0)),
   ""
)</f>
        <v>90</v>
      </c>
      <c r="F62" s="66">
        <f ca="1">tbl_Produits[[#This Row],[Prix Menu]] - tbl_Produits[[#This Row],[Coût Moyen Portion]]</f>
        <v>74.849999999999994</v>
      </c>
      <c r="G62" s="67">
        <f ca="1">IF(tbl_Produits[[#This Row],[Prix Menu]]&gt;0, tbl_Produits[[#This Row],[Marge Brute]] / tbl_Produits[[#This Row],[Prix Menu]], 0)</f>
        <v>0.83166666666666655</v>
      </c>
      <c r="H62" s="69">
        <f t="shared" ca="1" si="1"/>
        <v>22.87083333333333</v>
      </c>
      <c r="I62" s="67">
        <f ca="1">IF(tbl_Produits[[#This Row],[Prix Menu]]=0, 0, tbl_Produits[[#This Row],[Coût Moyen Portion]] / tbl_Produits[[#This Row],[Prix Menu]])</f>
        <v>0.16833333333333336</v>
      </c>
      <c r="J62" s="67" t="str" cm="1">
        <f t="array" ref="J62">IFERROR(IF(Total_portions=0, 0, Charges_fixes_totales_periode / Total_portions),"Vérifier")</f>
        <v>Vérifier</v>
      </c>
      <c r="K62" s="131" cm="1">
        <f t="array" aca="1" ref="K62" ca="1">IFERROR(tbl_Produits[[#This Row],[Prix Menu]] - tbl_Produits[[#This Row],[Coût Moyen Portion]] - ChargesFixesPar_Portion[Charges fixes par portion],"Vérifier")</f>
        <v>-10712.15</v>
      </c>
      <c r="L62" s="132" t="str">
        <f ca="1">IF(OR(tbl_Produits[[#This Row],[Food cost % ]]&gt;0.35,tbl_Produits[[#This Row],[% de Chrg Fixe /Prdt]]&gt;0.2),"À améliorer","OK")</f>
        <v>À améliorer</v>
      </c>
      <c r="M6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63" spans="1:13" ht="16.5" customHeight="1" x14ac:dyDescent="0.25">
      <c r="A63" s="29" t="str">
        <f>Référentiels!A63&amp;TEXT(Référentiels!B63,"000")</f>
        <v>VIA001</v>
      </c>
      <c r="B63" s="64" t="str">
        <f>+tbl_ProduitsRef[[#This Row],[Produit]]</f>
        <v>Côtelette d'Agneau</v>
      </c>
      <c r="C63" s="64" t="str">
        <f>IFERROR(INDEX(tbl_ProduitsRef[Famille], MATCH(tbl_Produits[[#This Row],[Cde_Prdt]], tbl_Produits[Cde_Prdt], 0)), "")</f>
        <v>Boucherie</v>
      </c>
      <c r="D63" s="65">
        <f ca="1">SUMIF(tbl_Recettes[Cde_Prdt], tbl_Produits[[#This Row],[Cde_Prdt]], tbl_Recettes[Coût Moyen Portion])</f>
        <v>100</v>
      </c>
      <c r="E63" s="66">
        <f>IFERROR(
   INDEX(tbl_ProduitsRef[Prix Menu],MATCH(B63,tbl_ProduitsRef[Produit],0)),
   ""
)</f>
        <v>210</v>
      </c>
      <c r="F63" s="66">
        <f ca="1">tbl_Produits[[#This Row],[Prix Menu]] - tbl_Produits[[#This Row],[Coût Moyen Portion]]</f>
        <v>110</v>
      </c>
      <c r="G63" s="67">
        <f ca="1">IF(tbl_Produits[[#This Row],[Prix Menu]]&gt;0, tbl_Produits[[#This Row],[Marge Brute]] / tbl_Produits[[#This Row],[Prix Menu]], 0)</f>
        <v>0.52380952380952384</v>
      </c>
      <c r="H63" s="69">
        <f t="shared" ca="1" si="1"/>
        <v>30.11904761904762</v>
      </c>
      <c r="I63" s="67">
        <f ca="1">IF(tbl_Produits[[#This Row],[Prix Menu]]=0, 0, tbl_Produits[[#This Row],[Coût Moyen Portion]] / tbl_Produits[[#This Row],[Prix Menu]])</f>
        <v>0.47619047619047616</v>
      </c>
      <c r="J63" s="67" t="str" cm="1">
        <f t="array" ref="J63">IFERROR(IF(Total_portions=0, 0, Charges_fixes_totales_periode / Total_portions),"Vérifier")</f>
        <v>Vérifier</v>
      </c>
      <c r="K63" s="131" cm="1">
        <f t="array" aca="1" ref="K63" ca="1">IFERROR(tbl_Produits[[#This Row],[Prix Menu]] - tbl_Produits[[#This Row],[Coût Moyen Portion]] - ChargesFixesPar_Portion[Charges fixes par portion],"Vérifier")</f>
        <v>-10677</v>
      </c>
      <c r="L63" s="132" t="str">
        <f ca="1">IF(OR(tbl_Produits[[#This Row],[Food cost % ]]&gt;0.35,tbl_Produits[[#This Row],[% de Chrg Fixe /Prdt]]&gt;0.2),"À améliorer","OK")</f>
        <v>À améliorer</v>
      </c>
      <c r="M63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64" spans="1:13" ht="16.5" customHeight="1" x14ac:dyDescent="0.25">
      <c r="A64" s="29" t="str">
        <f>Référentiels!A64&amp;TEXT(Référentiels!B64,"000")</f>
        <v>VIA002</v>
      </c>
      <c r="B64" s="64" t="str">
        <f>+tbl_ProduitsRef[[#This Row],[Produit]]</f>
        <v>Saucisse de foie Veau</v>
      </c>
      <c r="C64" s="64" t="str">
        <f>IFERROR(INDEX(tbl_ProduitsRef[Famille], MATCH(tbl_Produits[[#This Row],[Cde_Prdt]], tbl_Produits[Cde_Prdt], 0)), "")</f>
        <v>Boucherie</v>
      </c>
      <c r="D64" s="65">
        <f ca="1">SUMIF(tbl_Recettes[Cde_Prdt], tbl_Produits[[#This Row],[Cde_Prdt]], tbl_Recettes[Coût Moyen Portion])</f>
        <v>100</v>
      </c>
      <c r="E64" s="66">
        <f>IFERROR(
   INDEX(tbl_ProduitsRef[Prix Menu],MATCH(B64,tbl_ProduitsRef[Produit],0)),
   ""
)</f>
        <v>200</v>
      </c>
      <c r="F64" s="66">
        <f ca="1">tbl_Produits[[#This Row],[Prix Menu]] - tbl_Produits[[#This Row],[Coût Moyen Portion]]</f>
        <v>100</v>
      </c>
      <c r="G64" s="67">
        <f ca="1">IF(tbl_Produits[[#This Row],[Prix Menu]]&gt;0, tbl_Produits[[#This Row],[Marge Brute]] / tbl_Produits[[#This Row],[Prix Menu]], 0)</f>
        <v>0.5</v>
      </c>
      <c r="H64" s="69">
        <f t="shared" ca="1" si="1"/>
        <v>27.5</v>
      </c>
      <c r="I64" s="67">
        <f ca="1">IF(tbl_Produits[[#This Row],[Prix Menu]]=0, 0, tbl_Produits[[#This Row],[Coût Moyen Portion]] / tbl_Produits[[#This Row],[Prix Menu]])</f>
        <v>0.5</v>
      </c>
      <c r="J64" s="67" t="str" cm="1">
        <f t="array" ref="J64">IFERROR(IF(Total_portions=0, 0, Charges_fixes_totales_periode / Total_portions),"Vérifier")</f>
        <v>Vérifier</v>
      </c>
      <c r="K64" s="131" cm="1">
        <f t="array" aca="1" ref="K64" ca="1">IFERROR(tbl_Produits[[#This Row],[Prix Menu]] - tbl_Produits[[#This Row],[Coût Moyen Portion]] - ChargesFixesPar_Portion[Charges fixes par portion],"Vérifier")</f>
        <v>-10687</v>
      </c>
      <c r="L64" s="132" t="str">
        <f ca="1">IF(OR(tbl_Produits[[#This Row],[Food cost % ]]&gt;0.35,tbl_Produits[[#This Row],[% de Chrg Fixe /Prdt]]&gt;0.2),"À améliorer","OK")</f>
        <v>À améliorer</v>
      </c>
      <c r="M64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65" spans="1:13" ht="16.5" customHeight="1" x14ac:dyDescent="0.25">
      <c r="A65" s="29" t="str">
        <f>Référentiels!A65&amp;TEXT(Référentiels!B65,"000")</f>
        <v>VIA003</v>
      </c>
      <c r="B65" s="64" t="str">
        <f>+tbl_ProduitsRef[[#This Row],[Produit]]</f>
        <v>Saucisse de foie d'Agneau</v>
      </c>
      <c r="C65" s="64" t="str">
        <f>IFERROR(INDEX(tbl_ProduitsRef[Famille], MATCH(tbl_Produits[[#This Row],[Cde_Prdt]], tbl_Produits[Cde_Prdt], 0)), "")</f>
        <v>Boucherie</v>
      </c>
      <c r="D65" s="65">
        <f ca="1">SUMIF(tbl_Recettes[Cde_Prdt], tbl_Produits[[#This Row],[Cde_Prdt]], tbl_Recettes[Coût Moyen Portion])</f>
        <v>100</v>
      </c>
      <c r="E65" s="66">
        <f>IFERROR(
   INDEX(tbl_ProduitsRef[Prix Menu],MATCH(B65,tbl_ProduitsRef[Produit],0)),
   ""
)</f>
        <v>200</v>
      </c>
      <c r="F65" s="66">
        <f ca="1">tbl_Produits[[#This Row],[Prix Menu]] - tbl_Produits[[#This Row],[Coût Moyen Portion]]</f>
        <v>100</v>
      </c>
      <c r="G65" s="67">
        <f ca="1">IF(tbl_Produits[[#This Row],[Prix Menu]]&gt;0, tbl_Produits[[#This Row],[Marge Brute]] / tbl_Produits[[#This Row],[Prix Menu]], 0)</f>
        <v>0.5</v>
      </c>
      <c r="H65" s="69">
        <f t="shared" ca="1" si="1"/>
        <v>27.5</v>
      </c>
      <c r="I65" s="67">
        <f ca="1">IF(tbl_Produits[[#This Row],[Prix Menu]]=0, 0, tbl_Produits[[#This Row],[Coût Moyen Portion]] / tbl_Produits[[#This Row],[Prix Menu]])</f>
        <v>0.5</v>
      </c>
      <c r="J65" s="67" t="str" cm="1">
        <f t="array" ref="J65">IFERROR(IF(Total_portions=0, 0, Charges_fixes_totales_periode / Total_portions),"Vérifier")</f>
        <v>Vérifier</v>
      </c>
      <c r="K65" s="131" cm="1">
        <f t="array" aca="1" ref="K65" ca="1">IFERROR(tbl_Produits[[#This Row],[Prix Menu]] - tbl_Produits[[#This Row],[Coût Moyen Portion]] - ChargesFixesPar_Portion[Charges fixes par portion],"Vérifier")</f>
        <v>-10687</v>
      </c>
      <c r="L65" s="132" t="str">
        <f ca="1">IF(OR(tbl_Produits[[#This Row],[Food cost % ]]&gt;0.35,tbl_Produits[[#This Row],[% de Chrg Fixe /Prdt]]&gt;0.2),"À améliorer","OK")</f>
        <v>À améliorer</v>
      </c>
      <c r="M65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66" spans="1:13" ht="16.5" customHeight="1" x14ac:dyDescent="0.25">
      <c r="A66" s="29" t="str">
        <f>Référentiels!A66&amp;TEXT(Référentiels!B66,"000")</f>
        <v>VIA004</v>
      </c>
      <c r="B66" s="64" t="str">
        <f>+tbl_ProduitsRef[[#This Row],[Produit]]</f>
        <v>Rumsteak de veau</v>
      </c>
      <c r="C66" s="64" t="str">
        <f>IFERROR(INDEX(tbl_ProduitsRef[Famille], MATCH(tbl_Produits[[#This Row],[Cde_Prdt]], tbl_Produits[Cde_Prdt], 0)), "")</f>
        <v>Boucherie</v>
      </c>
      <c r="D66" s="65">
        <f ca="1">SUMIF(tbl_Recettes[Cde_Prdt], tbl_Produits[[#This Row],[Cde_Prdt]], tbl_Recettes[Coût Moyen Portion])</f>
        <v>100</v>
      </c>
      <c r="E66" s="66">
        <f>IFERROR(
   INDEX(tbl_ProduitsRef[Prix Menu],MATCH(B66,tbl_ProduitsRef[Produit],0)),
   ""
)</f>
        <v>200</v>
      </c>
      <c r="F66" s="66">
        <f ca="1">tbl_Produits[[#This Row],[Prix Menu]] - tbl_Produits[[#This Row],[Coût Moyen Portion]]</f>
        <v>100</v>
      </c>
      <c r="G66" s="67">
        <f ca="1">IF(tbl_Produits[[#This Row],[Prix Menu]]&gt;0, tbl_Produits[[#This Row],[Marge Brute]] / tbl_Produits[[#This Row],[Prix Menu]], 0)</f>
        <v>0.5</v>
      </c>
      <c r="H66" s="69">
        <f t="shared" ca="1" si="1"/>
        <v>27.5</v>
      </c>
      <c r="I66" s="67">
        <f ca="1">IF(tbl_Produits[[#This Row],[Prix Menu]]=0, 0, tbl_Produits[[#This Row],[Coût Moyen Portion]] / tbl_Produits[[#This Row],[Prix Menu]])</f>
        <v>0.5</v>
      </c>
      <c r="J66" s="67" t="str" cm="1">
        <f t="array" ref="J66">IFERROR(IF(Total_portions=0, 0, Charges_fixes_totales_periode / Total_portions),"Vérifier")</f>
        <v>Vérifier</v>
      </c>
      <c r="K66" s="131" cm="1">
        <f t="array" aca="1" ref="K66" ca="1">IFERROR(tbl_Produits[[#This Row],[Prix Menu]] - tbl_Produits[[#This Row],[Coût Moyen Portion]] - ChargesFixesPar_Portion[Charges fixes par portion],"Vérifier")</f>
        <v>-10687</v>
      </c>
      <c r="L66" s="132" t="str">
        <f ca="1">IF(OR(tbl_Produits[[#This Row],[Food cost % ]]&gt;0.35,tbl_Produits[[#This Row],[% de Chrg Fixe /Prdt]]&gt;0.2),"À améliorer","OK")</f>
        <v>À améliorer</v>
      </c>
      <c r="M66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67" spans="1:13" ht="16.5" customHeight="1" x14ac:dyDescent="0.25">
      <c r="A67" s="29" t="str">
        <f>Référentiels!A67&amp;TEXT(Référentiels!B67,"000")</f>
        <v>VIA005</v>
      </c>
      <c r="B67" s="64" t="str">
        <f>+tbl_ProduitsRef[[#This Row],[Produit]]</f>
        <v>Filet de veau</v>
      </c>
      <c r="C67" s="64" t="str">
        <f>IFERROR(INDEX(tbl_ProduitsRef[Famille], MATCH(tbl_Produits[[#This Row],[Cde_Prdt]], tbl_Produits[Cde_Prdt], 0)), "")</f>
        <v>Boucherie</v>
      </c>
      <c r="D67" s="65">
        <f ca="1">SUMIF(tbl_Recettes[Cde_Prdt], tbl_Produits[[#This Row],[Cde_Prdt]], tbl_Recettes[Coût Moyen Portion])</f>
        <v>450</v>
      </c>
      <c r="E67" s="66">
        <f>IFERROR(
   INDEX(tbl_ProduitsRef[Prix Menu],MATCH(B67,tbl_ProduitsRef[Produit],0)),
   ""
)</f>
        <v>200</v>
      </c>
      <c r="F67" s="66">
        <f ca="1">tbl_Produits[[#This Row],[Prix Menu]] - tbl_Produits[[#This Row],[Coût Moyen Portion]]</f>
        <v>-250</v>
      </c>
      <c r="G67" s="67">
        <f ca="1">IF(tbl_Produits[[#This Row],[Prix Menu]]&gt;0, tbl_Produits[[#This Row],[Marge Brute]] / tbl_Produits[[#This Row],[Prix Menu]], 0)</f>
        <v>-1.25</v>
      </c>
      <c r="H67" s="69">
        <f ca="1">IFERROR(
  AVERAGE(G67*10, F67/2),
0)</f>
        <v>-68.75</v>
      </c>
      <c r="I67" s="67">
        <f ca="1">IF(tbl_Produits[[#This Row],[Prix Menu]]=0, 0, tbl_Produits[[#This Row],[Coût Moyen Portion]] / tbl_Produits[[#This Row],[Prix Menu]])</f>
        <v>2.25</v>
      </c>
      <c r="J67" s="67" t="str" cm="1">
        <f t="array" ref="J67">IFERROR(IF(Total_portions=0, 0, Charges_fixes_totales_periode / Total_portions),"Vérifier")</f>
        <v>Vérifier</v>
      </c>
      <c r="K67" s="131" cm="1">
        <f t="array" aca="1" ref="K67" ca="1">IFERROR(tbl_Produits[[#This Row],[Prix Menu]] - tbl_Produits[[#This Row],[Coût Moyen Portion]] - ChargesFixesPar_Portion[Charges fixes par portion],"Vérifier")</f>
        <v>-11037</v>
      </c>
      <c r="L67" s="132" t="str">
        <f ca="1">IF(OR(tbl_Produits[[#This Row],[Food cost % ]]&gt;0.35,tbl_Produits[[#This Row],[% de Chrg Fixe /Prdt]]&gt;0.2),"À améliorer","OK")</f>
        <v>À améliorer</v>
      </c>
      <c r="M67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68" spans="1:13" ht="16.5" customHeight="1" x14ac:dyDescent="0.25">
      <c r="A68" s="29" t="str">
        <f>Référentiels!A68&amp;TEXT(Référentiels!B68,"000")</f>
        <v>VIA006</v>
      </c>
      <c r="B68" s="64" t="str">
        <f>+tbl_ProduitsRef[[#This Row],[Produit]]</f>
        <v>Entrecôte de veau</v>
      </c>
      <c r="C68" s="64" t="str">
        <f>IFERROR(INDEX(tbl_ProduitsRef[Famille], MATCH(tbl_Produits[[#This Row],[Cde_Prdt]], tbl_Produits[Cde_Prdt], 0)), "")</f>
        <v>Boucherie</v>
      </c>
      <c r="D68" s="65">
        <f ca="1">SUMIF(tbl_Recettes[Cde_Prdt], tbl_Produits[[#This Row],[Cde_Prdt]], tbl_Recettes[Coût Moyen Portion])</f>
        <v>300</v>
      </c>
      <c r="E68" s="66">
        <f>IFERROR(
   INDEX(tbl_ProduitsRef[Prix Menu],MATCH(B68,tbl_ProduitsRef[Produit],0)),
   ""
)</f>
        <v>190</v>
      </c>
      <c r="F68" s="66">
        <f ca="1">tbl_Produits[[#This Row],[Prix Menu]] - tbl_Produits[[#This Row],[Coût Moyen Portion]]</f>
        <v>-110</v>
      </c>
      <c r="G68" s="67">
        <f ca="1">IF(tbl_Produits[[#This Row],[Prix Menu]]&gt;0, tbl_Produits[[#This Row],[Marge Brute]] / tbl_Produits[[#This Row],[Prix Menu]], 0)</f>
        <v>-0.57894736842105265</v>
      </c>
      <c r="H68" s="69">
        <f t="shared" ref="H68:H99" ca="1" si="2">IFERROR(
AVERAGE(G68*10, F68/2),
0)</f>
        <v>-30.394736842105264</v>
      </c>
      <c r="I68" s="67">
        <f ca="1">IF(tbl_Produits[[#This Row],[Prix Menu]]=0, 0, tbl_Produits[[#This Row],[Coût Moyen Portion]] / tbl_Produits[[#This Row],[Prix Menu]])</f>
        <v>1.5789473684210527</v>
      </c>
      <c r="J68" s="67" t="str" cm="1">
        <f t="array" ref="J68">IFERROR(IF(Total_portions=0, 0, Charges_fixes_totales_periode / Total_portions),"Vérifier")</f>
        <v>Vérifier</v>
      </c>
      <c r="K68" s="131" cm="1">
        <f t="array" aca="1" ref="K68" ca="1">IFERROR(tbl_Produits[[#This Row],[Prix Menu]] - tbl_Produits[[#This Row],[Coût Moyen Portion]] - ChargesFixesPar_Portion[Charges fixes par portion],"Vérifier")</f>
        <v>-10897</v>
      </c>
      <c r="L68" s="132" t="str">
        <f ca="1">IF(OR(tbl_Produits[[#This Row],[Food cost % ]]&gt;0.35,tbl_Produits[[#This Row],[% de Chrg Fixe /Prdt]]&gt;0.2),"À améliorer","OK")</f>
        <v>À améliorer</v>
      </c>
      <c r="M68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69" spans="1:13" ht="16.5" customHeight="1" x14ac:dyDescent="0.25">
      <c r="A69" s="29" t="str">
        <f>Référentiels!A69&amp;TEXT(Référentiels!B69,"000")</f>
        <v>VIA007</v>
      </c>
      <c r="B69" s="64" t="str">
        <f>+tbl_ProduitsRef[[#This Row],[Produit]]</f>
        <v>Faux-filet de veau</v>
      </c>
      <c r="C69" s="64" t="str">
        <f>IFERROR(INDEX(tbl_ProduitsRef[Famille], MATCH(tbl_Produits[[#This Row],[Cde_Prdt]], tbl_Produits[Cde_Prdt], 0)), "")</f>
        <v>Boucherie</v>
      </c>
      <c r="D69" s="65">
        <f ca="1">SUMIF(tbl_Recettes[Cde_Prdt], tbl_Produits[[#This Row],[Cde_Prdt]], tbl_Recettes[Coût Moyen Portion])</f>
        <v>120</v>
      </c>
      <c r="E69" s="66">
        <f>IFERROR(
   INDEX(tbl_ProduitsRef[Prix Menu],MATCH(B69,tbl_ProduitsRef[Produit],0)),
   ""
)</f>
        <v>190</v>
      </c>
      <c r="F69" s="66">
        <f ca="1">tbl_Produits[[#This Row],[Prix Menu]] - tbl_Produits[[#This Row],[Coût Moyen Portion]]</f>
        <v>70</v>
      </c>
      <c r="G69" s="67">
        <f ca="1">IF(tbl_Produits[[#This Row],[Prix Menu]]&gt;0, tbl_Produits[[#This Row],[Marge Brute]] / tbl_Produits[[#This Row],[Prix Menu]], 0)</f>
        <v>0.36842105263157893</v>
      </c>
      <c r="H69" s="69">
        <f t="shared" ca="1" si="2"/>
        <v>19.342105263157894</v>
      </c>
      <c r="I69" s="67">
        <f ca="1">IF(tbl_Produits[[#This Row],[Prix Menu]]=0, 0, tbl_Produits[[#This Row],[Coût Moyen Portion]] / tbl_Produits[[#This Row],[Prix Menu]])</f>
        <v>0.63157894736842102</v>
      </c>
      <c r="J69" s="67" t="str" cm="1">
        <f t="array" ref="J69">IFERROR(IF(Total_portions=0, 0, Charges_fixes_totales_periode / Total_portions),"Vérifier")</f>
        <v>Vérifier</v>
      </c>
      <c r="K69" s="131" cm="1">
        <f t="array" aca="1" ref="K69" ca="1">IFERROR(tbl_Produits[[#This Row],[Prix Menu]] - tbl_Produits[[#This Row],[Coût Moyen Portion]] - ChargesFixesPar_Portion[Charges fixes par portion],"Vérifier")</f>
        <v>-10717</v>
      </c>
      <c r="L69" s="132" t="str">
        <f ca="1">IF(OR(tbl_Produits[[#This Row],[Food cost % ]]&gt;0.35,tbl_Produits[[#This Row],[% de Chrg Fixe /Prdt]]&gt;0.2),"À améliorer","OK")</f>
        <v>À améliorer</v>
      </c>
      <c r="M69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70" spans="1:13" ht="16.5" customHeight="1" x14ac:dyDescent="0.25">
      <c r="A70" s="29" t="str">
        <f>Référentiels!A70&amp;TEXT(Référentiels!B70,"000")</f>
        <v>VIA008</v>
      </c>
      <c r="B70" s="64" t="str">
        <f>+tbl_ProduitsRef[[#This Row],[Produit]]</f>
        <v>Foie d’agneau</v>
      </c>
      <c r="C70" s="64" t="str">
        <f>IFERROR(INDEX(tbl_ProduitsRef[Famille], MATCH(tbl_Produits[[#This Row],[Cde_Prdt]], tbl_Produits[Cde_Prdt], 0)), "")</f>
        <v>Boucherie</v>
      </c>
      <c r="D70" s="65">
        <f ca="1">SUMIF(tbl_Recettes[Cde_Prdt], tbl_Produits[[#This Row],[Cde_Prdt]], tbl_Recettes[Coût Moyen Portion])</f>
        <v>90</v>
      </c>
      <c r="E70" s="66">
        <f>IFERROR(
   INDEX(tbl_ProduitsRef[Prix Menu],MATCH(B70,tbl_ProduitsRef[Produit],0)),
   ""
)</f>
        <v>180</v>
      </c>
      <c r="F70" s="66">
        <f ca="1">tbl_Produits[[#This Row],[Prix Menu]] - tbl_Produits[[#This Row],[Coût Moyen Portion]]</f>
        <v>90</v>
      </c>
      <c r="G70" s="67">
        <f ca="1">IF(tbl_Produits[[#This Row],[Prix Menu]]&gt;0, tbl_Produits[[#This Row],[Marge Brute]] / tbl_Produits[[#This Row],[Prix Menu]], 0)</f>
        <v>0.5</v>
      </c>
      <c r="H70" s="69">
        <f t="shared" ca="1" si="2"/>
        <v>25</v>
      </c>
      <c r="I70" s="67">
        <f ca="1">IF(tbl_Produits[[#This Row],[Prix Menu]]=0, 0, tbl_Produits[[#This Row],[Coût Moyen Portion]] / tbl_Produits[[#This Row],[Prix Menu]])</f>
        <v>0.5</v>
      </c>
      <c r="J70" s="67" t="str" cm="1">
        <f t="array" ref="J70">IFERROR(IF(Total_portions=0, 0, Charges_fixes_totales_periode / Total_portions),"Vérifier")</f>
        <v>Vérifier</v>
      </c>
      <c r="K70" s="131" cm="1">
        <f t="array" aca="1" ref="K70" ca="1">IFERROR(tbl_Produits[[#This Row],[Prix Menu]] - tbl_Produits[[#This Row],[Coût Moyen Portion]] - ChargesFixesPar_Portion[Charges fixes par portion],"Vérifier")</f>
        <v>-10697</v>
      </c>
      <c r="L70" s="132" t="str">
        <f ca="1">IF(OR(tbl_Produits[[#This Row],[Food cost % ]]&gt;0.35,tbl_Produits[[#This Row],[% de Chrg Fixe /Prdt]]&gt;0.2),"À améliorer","OK")</f>
        <v>À améliorer</v>
      </c>
      <c r="M70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71" spans="1:13" ht="16.5" customHeight="1" x14ac:dyDescent="0.25">
      <c r="A71" s="29" t="str">
        <f>Référentiels!A71&amp;TEXT(Référentiels!B71,"000")</f>
        <v>VIA009</v>
      </c>
      <c r="B71" s="64" t="str">
        <f>+tbl_ProduitsRef[[#This Row],[Produit]]</f>
        <v>Foie de veau</v>
      </c>
      <c r="C71" s="64" t="str">
        <f>IFERROR(INDEX(tbl_ProduitsRef[Famille], MATCH(tbl_Produits[[#This Row],[Cde_Prdt]], tbl_Produits[Cde_Prdt], 0)), "")</f>
        <v>Boucherie</v>
      </c>
      <c r="D71" s="65">
        <f ca="1">SUMIF(tbl_Recettes[Cde_Prdt], tbl_Produits[[#This Row],[Cde_Prdt]], tbl_Recettes[Coût Moyen Portion])</f>
        <v>120</v>
      </c>
      <c r="E71" s="66">
        <f>IFERROR(
   INDEX(tbl_ProduitsRef[Prix Menu],MATCH(B71,tbl_ProduitsRef[Produit],0)),
   ""
)</f>
        <v>180</v>
      </c>
      <c r="F71" s="66">
        <f ca="1">tbl_Produits[[#This Row],[Prix Menu]] - tbl_Produits[[#This Row],[Coût Moyen Portion]]</f>
        <v>60</v>
      </c>
      <c r="G71" s="67">
        <f ca="1">IF(tbl_Produits[[#This Row],[Prix Menu]]&gt;0, tbl_Produits[[#This Row],[Marge Brute]] / tbl_Produits[[#This Row],[Prix Menu]], 0)</f>
        <v>0.33333333333333331</v>
      </c>
      <c r="H71" s="69">
        <f t="shared" ca="1" si="2"/>
        <v>16.666666666666668</v>
      </c>
      <c r="I71" s="67">
        <f ca="1">IF(tbl_Produits[[#This Row],[Prix Menu]]=0, 0, tbl_Produits[[#This Row],[Coût Moyen Portion]] / tbl_Produits[[#This Row],[Prix Menu]])</f>
        <v>0.66666666666666663</v>
      </c>
      <c r="J71" s="67" t="str" cm="1">
        <f t="array" ref="J71">IFERROR(IF(Total_portions=0, 0, Charges_fixes_totales_periode / Total_portions),"Vérifier")</f>
        <v>Vérifier</v>
      </c>
      <c r="K71" s="131" cm="1">
        <f t="array" aca="1" ref="K71" ca="1">IFERROR(tbl_Produits[[#This Row],[Prix Menu]] - tbl_Produits[[#This Row],[Coût Moyen Portion]] - ChargesFixesPar_Portion[Charges fixes par portion],"Vérifier")</f>
        <v>-10727</v>
      </c>
      <c r="L71" s="132" t="str">
        <f ca="1">IF(OR(tbl_Produits[[#This Row],[Food cost % ]]&gt;0.35,tbl_Produits[[#This Row],[% de Chrg Fixe /Prdt]]&gt;0.2),"À améliorer","OK")</f>
        <v>À améliorer</v>
      </c>
      <c r="M71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72" spans="1:13" ht="16.5" customHeight="1" x14ac:dyDescent="0.25">
      <c r="A72" s="29" t="str">
        <f>Référentiels!A72&amp;TEXT(Référentiels!B72,"000")</f>
        <v>VIA010</v>
      </c>
      <c r="B72" s="64" t="str">
        <f>+tbl_ProduitsRef[[#This Row],[Produit]]</f>
        <v>Merguez (nature, piquant, normal)</v>
      </c>
      <c r="C72" s="64" t="str">
        <f>IFERROR(INDEX(tbl_ProduitsRef[Famille], MATCH(tbl_Produits[[#This Row],[Cde_Prdt]], tbl_Produits[Cde_Prdt], 0)), "")</f>
        <v>Boucherie</v>
      </c>
      <c r="D72" s="65">
        <f ca="1">SUMIF(tbl_Recettes[Cde_Prdt], tbl_Produits[[#This Row],[Cde_Prdt]], tbl_Recettes[Coût Moyen Portion])</f>
        <v>200</v>
      </c>
      <c r="E72" s="66">
        <f>IFERROR(
   INDEX(tbl_ProduitsRef[Prix Menu],MATCH(B72,tbl_ProduitsRef[Produit],0)),
   ""
)</f>
        <v>180</v>
      </c>
      <c r="F72" s="66">
        <f ca="1">tbl_Produits[[#This Row],[Prix Menu]] - tbl_Produits[[#This Row],[Coût Moyen Portion]]</f>
        <v>-20</v>
      </c>
      <c r="G72" s="67">
        <f ca="1">IF(tbl_Produits[[#This Row],[Prix Menu]]&gt;0, tbl_Produits[[#This Row],[Marge Brute]] / tbl_Produits[[#This Row],[Prix Menu]], 0)</f>
        <v>-0.1111111111111111</v>
      </c>
      <c r="H72" s="69">
        <f t="shared" ca="1" si="2"/>
        <v>-5.5555555555555554</v>
      </c>
      <c r="I72" s="67">
        <f ca="1">IF(tbl_Produits[[#This Row],[Prix Menu]]=0, 0, tbl_Produits[[#This Row],[Coût Moyen Portion]] / tbl_Produits[[#This Row],[Prix Menu]])</f>
        <v>1.1111111111111112</v>
      </c>
      <c r="J72" s="67" t="str" cm="1">
        <f t="array" ref="J72">IFERROR(IF(Total_portions=0, 0, Charges_fixes_totales_periode / Total_portions),"Vérifier")</f>
        <v>Vérifier</v>
      </c>
      <c r="K72" s="131" cm="1">
        <f t="array" aca="1" ref="K72" ca="1">IFERROR(tbl_Produits[[#This Row],[Prix Menu]] - tbl_Produits[[#This Row],[Coût Moyen Portion]] - ChargesFixesPar_Portion[Charges fixes par portion],"Vérifier")</f>
        <v>-10807</v>
      </c>
      <c r="L72" s="132" t="str">
        <f ca="1">IF(OR(tbl_Produits[[#This Row],[Food cost % ]]&gt;0.35,tbl_Produits[[#This Row],[% de Chrg Fixe /Prdt]]&gt;0.2),"À améliorer","OK")</f>
        <v>À améliorer</v>
      </c>
      <c r="M72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73" spans="1:13" ht="16.5" customHeight="1" x14ac:dyDescent="0.25">
      <c r="A73" s="29" t="str">
        <f>Référentiels!A73&amp;TEXT(Référentiels!B73,"000")</f>
        <v>VIA011</v>
      </c>
      <c r="B73" s="64" t="str">
        <f>+tbl_ProduitsRef[[#This Row],[Produit]]</f>
        <v>Viande hachée Préparée</v>
      </c>
      <c r="C73" s="64" t="str">
        <f>IFERROR(INDEX(tbl_ProduitsRef[Famille], MATCH(tbl_Produits[[#This Row],[Cde_Prdt]], tbl_Produits[Cde_Prdt], 0)), "")</f>
        <v>Boucherie</v>
      </c>
      <c r="D73" s="65">
        <f ca="1">SUMIF(tbl_Recettes[Cde_Prdt], tbl_Produits[[#This Row],[Cde_Prdt]], tbl_Recettes[Coût Moyen Portion])</f>
        <v>160</v>
      </c>
      <c r="E73" s="66">
        <f>IFERROR(
   INDEX(tbl_ProduitsRef[Prix Menu],MATCH(B73,tbl_ProduitsRef[Produit],0)),
   ""
)</f>
        <v>160</v>
      </c>
      <c r="F73" s="66">
        <f ca="1">tbl_Produits[[#This Row],[Prix Menu]] - tbl_Produits[[#This Row],[Coût Moyen Portion]]</f>
        <v>0</v>
      </c>
      <c r="G73" s="67">
        <f ca="1">IF(tbl_Produits[[#This Row],[Prix Menu]]&gt;0, tbl_Produits[[#This Row],[Marge Brute]] / tbl_Produits[[#This Row],[Prix Menu]], 0)</f>
        <v>0</v>
      </c>
      <c r="H73" s="69">
        <f t="shared" ca="1" si="2"/>
        <v>0</v>
      </c>
      <c r="I73" s="67">
        <f ca="1">IF(tbl_Produits[[#This Row],[Prix Menu]]=0, 0, tbl_Produits[[#This Row],[Coût Moyen Portion]] / tbl_Produits[[#This Row],[Prix Menu]])</f>
        <v>1</v>
      </c>
      <c r="J73" s="67" t="str" cm="1">
        <f t="array" ref="J73">IFERROR(IF(Total_portions=0, 0, Charges_fixes_totales_periode / Total_portions),"Vérifier")</f>
        <v>Vérifier</v>
      </c>
      <c r="K73" s="131" cm="1">
        <f t="array" aca="1" ref="K73" ca="1">IFERROR(tbl_Produits[[#This Row],[Prix Menu]] - tbl_Produits[[#This Row],[Coût Moyen Portion]] - ChargesFixesPar_Portion[Charges fixes par portion],"Vérifier")</f>
        <v>-10787</v>
      </c>
      <c r="L73" s="132" t="str">
        <f ca="1">IF(OR(tbl_Produits[[#This Row],[Food cost % ]]&gt;0.35,tbl_Produits[[#This Row],[% de Chrg Fixe /Prdt]]&gt;0.2),"À améliorer","OK")</f>
        <v>À améliorer</v>
      </c>
      <c r="M73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74" spans="1:13" ht="16.5" customHeight="1" x14ac:dyDescent="0.25">
      <c r="A74" s="29" t="str">
        <f>Référentiels!A74&amp;TEXT(Référentiels!B74,"000")</f>
        <v>VIA012</v>
      </c>
      <c r="B74" s="64" t="str">
        <f>+tbl_ProduitsRef[[#This Row],[Produit]]</f>
        <v>Viande hachée Nature</v>
      </c>
      <c r="C74" s="64" t="str">
        <f>IFERROR(INDEX(tbl_ProduitsRef[Famille], MATCH(tbl_Produits[[#This Row],[Cde_Prdt]], tbl_Produits[Cde_Prdt], 0)), "")</f>
        <v>Boucherie</v>
      </c>
      <c r="D74" s="65">
        <f ca="1">SUMIF(tbl_Recettes[Cde_Prdt], tbl_Produits[[#This Row],[Cde_Prdt]], tbl_Recettes[Coût Moyen Portion])</f>
        <v>90</v>
      </c>
      <c r="E74" s="66">
        <f>IFERROR(
   INDEX(tbl_ProduitsRef[Prix Menu],MATCH(B74,tbl_ProduitsRef[Produit],0)),
   ""
)</f>
        <v>175</v>
      </c>
      <c r="F74" s="66">
        <f ca="1">tbl_Produits[[#This Row],[Prix Menu]] - tbl_Produits[[#This Row],[Coût Moyen Portion]]</f>
        <v>85</v>
      </c>
      <c r="G74" s="67">
        <f ca="1">IF(tbl_Produits[[#This Row],[Prix Menu]]&gt;0, tbl_Produits[[#This Row],[Marge Brute]] / tbl_Produits[[#This Row],[Prix Menu]], 0)</f>
        <v>0.48571428571428571</v>
      </c>
      <c r="H74" s="69">
        <f t="shared" ca="1" si="2"/>
        <v>23.678571428571427</v>
      </c>
      <c r="I74" s="67">
        <f ca="1">IF(tbl_Produits[[#This Row],[Prix Menu]]=0, 0, tbl_Produits[[#This Row],[Coût Moyen Portion]] / tbl_Produits[[#This Row],[Prix Menu]])</f>
        <v>0.51428571428571423</v>
      </c>
      <c r="J74" s="67" t="str" cm="1">
        <f t="array" ref="J74">IFERROR(IF(Total_portions=0, 0, Charges_fixes_totales_periode / Total_portions),"Vérifier")</f>
        <v>Vérifier</v>
      </c>
      <c r="K74" s="131" cm="1">
        <f t="array" aca="1" ref="K74" ca="1">IFERROR(tbl_Produits[[#This Row],[Prix Menu]] - tbl_Produits[[#This Row],[Coût Moyen Portion]] - ChargesFixesPar_Portion[Charges fixes par portion],"Vérifier")</f>
        <v>-10702</v>
      </c>
      <c r="L74" s="132" t="str">
        <f ca="1">IF(OR(tbl_Produits[[#This Row],[Food cost % ]]&gt;0.35,tbl_Produits[[#This Row],[% de Chrg Fixe /Prdt]]&gt;0.2),"À améliorer","OK")</f>
        <v>À améliorer</v>
      </c>
      <c r="M74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75" spans="1:13" ht="16.5" customHeight="1" x14ac:dyDescent="0.25">
      <c r="A75" s="29" t="str">
        <f>Référentiels!A75&amp;TEXT(Référentiels!B75,"000")</f>
        <v>VIA013</v>
      </c>
      <c r="B75" s="64" t="str">
        <f>+tbl_ProduitsRef[[#This Row],[Produit]]</f>
        <v>Escalope de veau</v>
      </c>
      <c r="C75" s="64" t="str">
        <f>IFERROR(INDEX(tbl_ProduitsRef[Famille], MATCH(tbl_Produits[[#This Row],[Cde_Prdt]], tbl_Produits[Cde_Prdt], 0)), "")</f>
        <v>Boucherie</v>
      </c>
      <c r="D75" s="65">
        <f ca="1">SUMIF(tbl_Recettes[Cde_Prdt], tbl_Produits[[#This Row],[Cde_Prdt]], tbl_Recettes[Coût Moyen Portion])</f>
        <v>120</v>
      </c>
      <c r="E75" s="66">
        <f>IFERROR(
   INDEX(tbl_ProduitsRef[Prix Menu],MATCH(B75,tbl_ProduitsRef[Produit],0)),
   ""
)</f>
        <v>170</v>
      </c>
      <c r="F75" s="66">
        <f ca="1">tbl_Produits[[#This Row],[Prix Menu]] - tbl_Produits[[#This Row],[Coût Moyen Portion]]</f>
        <v>50</v>
      </c>
      <c r="G75" s="67">
        <f ca="1">IF(tbl_Produits[[#This Row],[Prix Menu]]&gt;0, tbl_Produits[[#This Row],[Marge Brute]] / tbl_Produits[[#This Row],[Prix Menu]], 0)</f>
        <v>0.29411764705882354</v>
      </c>
      <c r="H75" s="69">
        <f t="shared" ca="1" si="2"/>
        <v>13.970588235294118</v>
      </c>
      <c r="I75" s="67">
        <f ca="1">IF(tbl_Produits[[#This Row],[Prix Menu]]=0, 0, tbl_Produits[[#This Row],[Coût Moyen Portion]] / tbl_Produits[[#This Row],[Prix Menu]])</f>
        <v>0.70588235294117652</v>
      </c>
      <c r="J75" s="67" t="str" cm="1">
        <f t="array" ref="J75">IFERROR(IF(Total_portions=0, 0, Charges_fixes_totales_periode / Total_portions),"Vérifier")</f>
        <v>Vérifier</v>
      </c>
      <c r="K75" s="131" cm="1">
        <f t="array" aca="1" ref="K75" ca="1">IFERROR(tbl_Produits[[#This Row],[Prix Menu]] - tbl_Produits[[#This Row],[Coût Moyen Portion]] - ChargesFixesPar_Portion[Charges fixes par portion],"Vérifier")</f>
        <v>-10737</v>
      </c>
      <c r="L75" s="132" t="str">
        <f ca="1">IF(OR(tbl_Produits[[#This Row],[Food cost % ]]&gt;0.35,tbl_Produits[[#This Row],[% de Chrg Fixe /Prdt]]&gt;0.2),"À améliorer","OK")</f>
        <v>À améliorer</v>
      </c>
      <c r="M75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76" spans="1:13" ht="16.5" customHeight="1" x14ac:dyDescent="0.25">
      <c r="A76" s="29" t="str">
        <f>Référentiels!A76&amp;TEXT(Référentiels!B76,"000")</f>
        <v>VIA014</v>
      </c>
      <c r="B76" s="64" t="str">
        <f>+tbl_ProduitsRef[[#This Row],[Produit]]</f>
        <v>Tranche de veau</v>
      </c>
      <c r="C76" s="64" t="str">
        <f>IFERROR(INDEX(tbl_ProduitsRef[Famille], MATCH(tbl_Produits[[#This Row],[Cde_Prdt]], tbl_Produits[Cde_Prdt], 0)), "")</f>
        <v>Boucherie</v>
      </c>
      <c r="D76" s="65">
        <f ca="1">SUMIF(tbl_Recettes[Cde_Prdt], tbl_Produits[[#This Row],[Cde_Prdt]], tbl_Recettes[Coût Moyen Portion])</f>
        <v>900</v>
      </c>
      <c r="E76" s="66">
        <f>IFERROR(
   INDEX(tbl_ProduitsRef[Prix Menu],MATCH(B76,tbl_ProduitsRef[Produit],0)),
   ""
)</f>
        <v>170</v>
      </c>
      <c r="F76" s="66">
        <f ca="1">tbl_Produits[[#This Row],[Prix Menu]] - tbl_Produits[[#This Row],[Coût Moyen Portion]]</f>
        <v>-730</v>
      </c>
      <c r="G76" s="67">
        <f ca="1">IF(tbl_Produits[[#This Row],[Prix Menu]]&gt;0, tbl_Produits[[#This Row],[Marge Brute]] / tbl_Produits[[#This Row],[Prix Menu]], 0)</f>
        <v>-4.2941176470588234</v>
      </c>
      <c r="H76" s="69">
        <f t="shared" ca="1" si="2"/>
        <v>-203.97058823529412</v>
      </c>
      <c r="I76" s="67">
        <f ca="1">IF(tbl_Produits[[#This Row],[Prix Menu]]=0, 0, tbl_Produits[[#This Row],[Coût Moyen Portion]] / tbl_Produits[[#This Row],[Prix Menu]])</f>
        <v>5.2941176470588234</v>
      </c>
      <c r="J76" s="67" t="str" cm="1">
        <f t="array" ref="J76">IFERROR(IF(Total_portions=0, 0, Charges_fixes_totales_periode / Total_portions),"Vérifier")</f>
        <v>Vérifier</v>
      </c>
      <c r="K76" s="131" cm="1">
        <f t="array" aca="1" ref="K76" ca="1">IFERROR(tbl_Produits[[#This Row],[Prix Menu]] - tbl_Produits[[#This Row],[Coût Moyen Portion]] - ChargesFixesPar_Portion[Charges fixes par portion],"Vérifier")</f>
        <v>-11517</v>
      </c>
      <c r="L76" s="132" t="str">
        <f ca="1">IF(OR(tbl_Produits[[#This Row],[Food cost % ]]&gt;0.35,tbl_Produits[[#This Row],[% de Chrg Fixe /Prdt]]&gt;0.2),"À améliorer","OK")</f>
        <v>À améliorer</v>
      </c>
      <c r="M76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77" spans="1:13" ht="16.5" customHeight="1" x14ac:dyDescent="0.25">
      <c r="A77" s="29" t="str">
        <f>Référentiels!A77&amp;TEXT(Référentiels!B77,"000")</f>
        <v>VIA015</v>
      </c>
      <c r="B77" s="64" t="str">
        <f>+tbl_ProduitsRef[[#This Row],[Produit]]</f>
        <v>Chich kebab agneau</v>
      </c>
      <c r="C77" s="64" t="str">
        <f>IFERROR(INDEX(tbl_ProduitsRef[Famille], MATCH(tbl_Produits[[#This Row],[Cde_Prdt]], tbl_Produits[Cde_Prdt], 0)), "")</f>
        <v>Boucherie</v>
      </c>
      <c r="D77" s="65">
        <f ca="1">SUMIF(tbl_Recettes[Cde_Prdt], tbl_Produits[[#This Row],[Cde_Prdt]], tbl_Recettes[Coût Moyen Portion])</f>
        <v>106.3</v>
      </c>
      <c r="E77" s="66">
        <f>IFERROR(
   INDEX(tbl_ProduitsRef[Prix Menu],MATCH(B77,tbl_ProduitsRef[Produit],0)),
   ""
)</f>
        <v>170</v>
      </c>
      <c r="F77" s="66">
        <f ca="1">tbl_Produits[[#This Row],[Prix Menu]] - tbl_Produits[[#This Row],[Coût Moyen Portion]]</f>
        <v>63.7</v>
      </c>
      <c r="G77" s="67">
        <f ca="1">IF(tbl_Produits[[#This Row],[Prix Menu]]&gt;0, tbl_Produits[[#This Row],[Marge Brute]] / tbl_Produits[[#This Row],[Prix Menu]], 0)</f>
        <v>0.37470588235294117</v>
      </c>
      <c r="H77" s="69">
        <f t="shared" ca="1" si="2"/>
        <v>17.798529411764708</v>
      </c>
      <c r="I77" s="67">
        <f ca="1">IF(tbl_Produits[[#This Row],[Prix Menu]]=0, 0, tbl_Produits[[#This Row],[Coût Moyen Portion]] / tbl_Produits[[#This Row],[Prix Menu]])</f>
        <v>0.62529411764705878</v>
      </c>
      <c r="J77" s="67" t="str" cm="1">
        <f t="array" ref="J77">IFERROR(IF(Total_portions=0, 0, Charges_fixes_totales_periode / Total_portions),"Vérifier")</f>
        <v>Vérifier</v>
      </c>
      <c r="K77" s="131" cm="1">
        <f t="array" aca="1" ref="K77" ca="1">IFERROR(tbl_Produits[[#This Row],[Prix Menu]] - tbl_Produits[[#This Row],[Coût Moyen Portion]] - ChargesFixesPar_Portion[Charges fixes par portion],"Vérifier")</f>
        <v>-10723.3</v>
      </c>
      <c r="L77" s="132" t="str">
        <f ca="1">IF(OR(tbl_Produits[[#This Row],[Food cost % ]]&gt;0.35,tbl_Produits[[#This Row],[% de Chrg Fixe /Prdt]]&gt;0.2),"À améliorer","OK")</f>
        <v>À améliorer</v>
      </c>
      <c r="M77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78" spans="1:13" ht="16.5" customHeight="1" x14ac:dyDescent="0.25">
      <c r="A78" s="29" t="str">
        <f>Référentiels!A78&amp;TEXT(Référentiels!B78,"000")</f>
        <v>VIA016</v>
      </c>
      <c r="B78" s="64" t="str">
        <f>+tbl_ProduitsRef[[#This Row],[Produit]]</f>
        <v>Rate farcie</v>
      </c>
      <c r="C78" s="64" t="str">
        <f>IFERROR(INDEX(tbl_ProduitsRef[Famille], MATCH(tbl_Produits[[#This Row],[Cde_Prdt]], tbl_Produits[Cde_Prdt], 0)), "")</f>
        <v>Boucherie</v>
      </c>
      <c r="D78" s="65">
        <f ca="1">SUMIF(tbl_Recettes[Cde_Prdt], tbl_Produits[[#This Row],[Cde_Prdt]], tbl_Recettes[Coût Moyen Portion])</f>
        <v>100</v>
      </c>
      <c r="E78" s="66">
        <f>IFERROR(
   INDEX(tbl_ProduitsRef[Prix Menu],MATCH(B78,tbl_ProduitsRef[Produit],0)),
   ""
)</f>
        <v>160</v>
      </c>
      <c r="F78" s="66">
        <f ca="1">tbl_Produits[[#This Row],[Prix Menu]] - tbl_Produits[[#This Row],[Coût Moyen Portion]]</f>
        <v>60</v>
      </c>
      <c r="G78" s="67">
        <f ca="1">IF(tbl_Produits[[#This Row],[Prix Menu]]&gt;0, tbl_Produits[[#This Row],[Marge Brute]] / tbl_Produits[[#This Row],[Prix Menu]], 0)</f>
        <v>0.375</v>
      </c>
      <c r="H78" s="69">
        <f t="shared" ca="1" si="2"/>
        <v>16.875</v>
      </c>
      <c r="I78" s="67">
        <f ca="1">IF(tbl_Produits[[#This Row],[Prix Menu]]=0, 0, tbl_Produits[[#This Row],[Coût Moyen Portion]] / tbl_Produits[[#This Row],[Prix Menu]])</f>
        <v>0.625</v>
      </c>
      <c r="J78" s="67" t="str" cm="1">
        <f t="array" ref="J78">IFERROR(IF(Total_portions=0, 0, Charges_fixes_totales_periode / Total_portions),"Vérifier")</f>
        <v>Vérifier</v>
      </c>
      <c r="K78" s="131" cm="1">
        <f t="array" aca="1" ref="K78" ca="1">IFERROR(tbl_Produits[[#This Row],[Prix Menu]] - tbl_Produits[[#This Row],[Coût Moyen Portion]] - ChargesFixesPar_Portion[Charges fixes par portion],"Vérifier")</f>
        <v>-10727</v>
      </c>
      <c r="L78" s="132" t="str">
        <f ca="1">IF(OR(tbl_Produits[[#This Row],[Food cost % ]]&gt;0.35,tbl_Produits[[#This Row],[% de Chrg Fixe /Prdt]]&gt;0.2),"À améliorer","OK")</f>
        <v>À améliorer</v>
      </c>
      <c r="M78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79" spans="1:13" ht="16.5" customHeight="1" x14ac:dyDescent="0.25">
      <c r="A79" s="29" t="str">
        <f>Référentiels!A79&amp;TEXT(Référentiels!B79,"000")</f>
        <v>VIA017</v>
      </c>
      <c r="B79" s="64" t="str">
        <f>+tbl_ProduitsRef[[#This Row],[Produit]]</f>
        <v>Ossobuco de veau</v>
      </c>
      <c r="C79" s="64" t="str">
        <f>IFERROR(INDEX(tbl_ProduitsRef[Famille], MATCH(tbl_Produits[[#This Row],[Cde_Prdt]], tbl_Produits[Cde_Prdt], 0)), "")</f>
        <v>Boucherie</v>
      </c>
      <c r="D79" s="65">
        <f ca="1">SUMIF(tbl_Recettes[Cde_Prdt], tbl_Produits[[#This Row],[Cde_Prdt]], tbl_Recettes[Coût Moyen Portion])</f>
        <v>26.75</v>
      </c>
      <c r="E79" s="66">
        <f>IFERROR(
   INDEX(tbl_ProduitsRef[Prix Menu],MATCH(B79,tbl_ProduitsRef[Produit],0)),
   ""
)</f>
        <v>150</v>
      </c>
      <c r="F79" s="66">
        <f ca="1">tbl_Produits[[#This Row],[Prix Menu]] - tbl_Produits[[#This Row],[Coût Moyen Portion]]</f>
        <v>123.25</v>
      </c>
      <c r="G79" s="67">
        <f ca="1">IF(tbl_Produits[[#This Row],[Prix Menu]]&gt;0, tbl_Produits[[#This Row],[Marge Brute]] / tbl_Produits[[#This Row],[Prix Menu]], 0)</f>
        <v>0.82166666666666666</v>
      </c>
      <c r="H79" s="69">
        <f t="shared" ca="1" si="2"/>
        <v>34.920833333333334</v>
      </c>
      <c r="I79" s="67">
        <f ca="1">IF(tbl_Produits[[#This Row],[Prix Menu]]=0, 0, tbl_Produits[[#This Row],[Coût Moyen Portion]] / tbl_Produits[[#This Row],[Prix Menu]])</f>
        <v>0.17833333333333334</v>
      </c>
      <c r="J79" s="67" t="str" cm="1">
        <f t="array" ref="J79">IFERROR(IF(Total_portions=0, 0, Charges_fixes_totales_periode / Total_portions),"Vérifier")</f>
        <v>Vérifier</v>
      </c>
      <c r="K79" s="131" cm="1">
        <f t="array" aca="1" ref="K79" ca="1">IFERROR(tbl_Produits[[#This Row],[Prix Menu]] - tbl_Produits[[#This Row],[Coût Moyen Portion]] - ChargesFixesPar_Portion[Charges fixes par portion],"Vérifier")</f>
        <v>-10663.75</v>
      </c>
      <c r="L79" s="132" t="str">
        <f ca="1">IF(OR(tbl_Produits[[#This Row],[Food cost % ]]&gt;0.35,tbl_Produits[[#This Row],[% de Chrg Fixe /Prdt]]&gt;0.2),"À améliorer","OK")</f>
        <v>À améliorer</v>
      </c>
      <c r="M79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80" spans="1:13" ht="16.5" customHeight="1" x14ac:dyDescent="0.25">
      <c r="A80" s="29" t="str">
        <f>Référentiels!A80&amp;TEXT(Référentiels!B80,"000")</f>
        <v>VIA018</v>
      </c>
      <c r="B80" s="64" t="str">
        <f>+tbl_ProduitsRef[[#This Row],[Produit]]</f>
        <v>Filet de bœuf grillé</v>
      </c>
      <c r="C80" s="64" t="str">
        <f>IFERROR(INDEX(tbl_ProduitsRef[Famille], MATCH(tbl_Produits[[#This Row],[Cde_Prdt]], tbl_Produits[Cde_Prdt], 0)), "")</f>
        <v>Boucherie</v>
      </c>
      <c r="D80" s="65">
        <f ca="1">SUMIF(tbl_Recettes[Cde_Prdt], tbl_Produits[[#This Row],[Cde_Prdt]], tbl_Recettes[Coût Moyen Portion])</f>
        <v>115.67</v>
      </c>
      <c r="E80" s="66">
        <f>IFERROR(
   INDEX(tbl_ProduitsRef[Prix Menu],MATCH(B80,tbl_ProduitsRef[Produit],0)),
   ""
)</f>
        <v>130</v>
      </c>
      <c r="F80" s="66">
        <f ca="1">tbl_Produits[[#This Row],[Prix Menu]] - tbl_Produits[[#This Row],[Coût Moyen Portion]]</f>
        <v>14.329999999999998</v>
      </c>
      <c r="G80" s="67">
        <f ca="1">IF(tbl_Produits[[#This Row],[Prix Menu]]&gt;0, tbl_Produits[[#This Row],[Marge Brute]] / tbl_Produits[[#This Row],[Prix Menu]], 0)</f>
        <v>0.11023076923076922</v>
      </c>
      <c r="H80" s="69">
        <f t="shared" ca="1" si="2"/>
        <v>4.1336538461538455</v>
      </c>
      <c r="I80" s="67">
        <f ca="1">IF(tbl_Produits[[#This Row],[Prix Menu]]=0, 0, tbl_Produits[[#This Row],[Coût Moyen Portion]] / tbl_Produits[[#This Row],[Prix Menu]])</f>
        <v>0.88976923076923076</v>
      </c>
      <c r="J80" s="67" t="str" cm="1">
        <f t="array" ref="J80">IFERROR(IF(Total_portions=0, 0, Charges_fixes_totales_periode / Total_portions),"Vérifier")</f>
        <v>Vérifier</v>
      </c>
      <c r="K80" s="131" cm="1">
        <f t="array" aca="1" ref="K80" ca="1">IFERROR(tbl_Produits[[#This Row],[Prix Menu]] - tbl_Produits[[#This Row],[Coût Moyen Portion]] - ChargesFixesPar_Portion[Charges fixes par portion],"Vérifier")</f>
        <v>-10772.67</v>
      </c>
      <c r="L80" s="132" t="str">
        <f ca="1">IF(OR(tbl_Produits[[#This Row],[Food cost % ]]&gt;0.35,tbl_Produits[[#This Row],[% de Chrg Fixe /Prdt]]&gt;0.2),"À améliorer","OK")</f>
        <v>À améliorer</v>
      </c>
      <c r="M80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81" spans="1:13" ht="16.5" customHeight="1" x14ac:dyDescent="0.25">
      <c r="A81" s="29" t="str">
        <f>Référentiels!A81&amp;TEXT(Référentiels!B81,"000")</f>
        <v>VIA019</v>
      </c>
      <c r="B81" s="64" t="str">
        <f>+tbl_ProduitsRef[[#This Row],[Produit]]</f>
        <v>Souris d’agneau sauce fromage</v>
      </c>
      <c r="C81" s="64" t="str">
        <f>IFERROR(INDEX(tbl_ProduitsRef[Famille], MATCH(tbl_Produits[[#This Row],[Cde_Prdt]], tbl_Produits[Cde_Prdt], 0)), "")</f>
        <v>Boucherie</v>
      </c>
      <c r="D81" s="65">
        <f ca="1">SUMIF(tbl_Recettes[Cde_Prdt], tbl_Produits[[#This Row],[Cde_Prdt]], tbl_Recettes[Coût Moyen Portion])</f>
        <v>29</v>
      </c>
      <c r="E81" s="66">
        <f>IFERROR(
   INDEX(tbl_ProduitsRef[Prix Menu],MATCH(B81,tbl_ProduitsRef[Produit],0)),
   ""
)</f>
        <v>120</v>
      </c>
      <c r="F81" s="66">
        <f ca="1">tbl_Produits[[#This Row],[Prix Menu]] - tbl_Produits[[#This Row],[Coût Moyen Portion]]</f>
        <v>91</v>
      </c>
      <c r="G81" s="67">
        <f ca="1">IF(tbl_Produits[[#This Row],[Prix Menu]]&gt;0, tbl_Produits[[#This Row],[Marge Brute]] / tbl_Produits[[#This Row],[Prix Menu]], 0)</f>
        <v>0.7583333333333333</v>
      </c>
      <c r="H81" s="69">
        <f t="shared" ca="1" si="2"/>
        <v>26.541666666666668</v>
      </c>
      <c r="I81" s="67">
        <f ca="1">IF(tbl_Produits[[#This Row],[Prix Menu]]=0, 0, tbl_Produits[[#This Row],[Coût Moyen Portion]] / tbl_Produits[[#This Row],[Prix Menu]])</f>
        <v>0.24166666666666667</v>
      </c>
      <c r="J81" s="67" t="str" cm="1">
        <f t="array" ref="J81">IFERROR(IF(Total_portions=0, 0, Charges_fixes_totales_periode / Total_portions),"Vérifier")</f>
        <v>Vérifier</v>
      </c>
      <c r="K81" s="131" cm="1">
        <f t="array" aca="1" ref="K81" ca="1">IFERROR(tbl_Produits[[#This Row],[Prix Menu]] - tbl_Produits[[#This Row],[Coût Moyen Portion]] - ChargesFixesPar_Portion[Charges fixes par portion],"Vérifier")</f>
        <v>-10696</v>
      </c>
      <c r="L81" s="132" t="str">
        <f ca="1">IF(OR(tbl_Produits[[#This Row],[Food cost % ]]&gt;0.35,tbl_Produits[[#This Row],[% de Chrg Fixe /Prdt]]&gt;0.2),"À améliorer","OK")</f>
        <v>À améliorer</v>
      </c>
      <c r="M81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82" spans="1:13" ht="16.5" customHeight="1" x14ac:dyDescent="0.25">
      <c r="A82" s="29" t="str">
        <f>Référentiels!A82&amp;TEXT(Référentiels!B82,"000")</f>
        <v>VIA020</v>
      </c>
      <c r="B82" s="64" t="str">
        <f>+tbl_ProduitsRef[[#This Row],[Produit]]</f>
        <v>Faux-filet grillé aux légumes</v>
      </c>
      <c r="C82" s="64" t="str">
        <f>IFERROR(INDEX(tbl_ProduitsRef[Famille], MATCH(tbl_Produits[[#This Row],[Cde_Prdt]], tbl_Produits[Cde_Prdt], 0)), "")</f>
        <v>Boucherie</v>
      </c>
      <c r="D82" s="65">
        <f ca="1">SUMIF(tbl_Recettes[Cde_Prdt], tbl_Produits[[#This Row],[Cde_Prdt]], tbl_Recettes[Coût Moyen Portion])</f>
        <v>40.4</v>
      </c>
      <c r="E82" s="66">
        <f>IFERROR(
   INDEX(tbl_ProduitsRef[Prix Menu],MATCH(B82,tbl_ProduitsRef[Produit],0)),
   ""
)</f>
        <v>110</v>
      </c>
      <c r="F82" s="66">
        <f ca="1">tbl_Produits[[#This Row],[Prix Menu]] - tbl_Produits[[#This Row],[Coût Moyen Portion]]</f>
        <v>69.599999999999994</v>
      </c>
      <c r="G82" s="67">
        <f ca="1">IF(tbl_Produits[[#This Row],[Prix Menu]]&gt;0, tbl_Produits[[#This Row],[Marge Brute]] / tbl_Produits[[#This Row],[Prix Menu]], 0)</f>
        <v>0.63272727272727269</v>
      </c>
      <c r="H82" s="69">
        <f t="shared" ca="1" si="2"/>
        <v>20.563636363636363</v>
      </c>
      <c r="I82" s="67">
        <f ca="1">IF(tbl_Produits[[#This Row],[Prix Menu]]=0, 0, tbl_Produits[[#This Row],[Coût Moyen Portion]] / tbl_Produits[[#This Row],[Prix Menu]])</f>
        <v>0.36727272727272725</v>
      </c>
      <c r="J82" s="67" t="str" cm="1">
        <f t="array" ref="J82">IFERROR(IF(Total_portions=0, 0, Charges_fixes_totales_periode / Total_portions),"Vérifier")</f>
        <v>Vérifier</v>
      </c>
      <c r="K82" s="131" cm="1">
        <f t="array" aca="1" ref="K82" ca="1">IFERROR(tbl_Produits[[#This Row],[Prix Menu]] - tbl_Produits[[#This Row],[Coût Moyen Portion]] - ChargesFixesPar_Portion[Charges fixes par portion],"Vérifier")</f>
        <v>-10717.4</v>
      </c>
      <c r="L82" s="132" t="str">
        <f ca="1">IF(OR(tbl_Produits[[#This Row],[Food cost % ]]&gt;0.35,tbl_Produits[[#This Row],[% de Chrg Fixe /Prdt]]&gt;0.2),"À améliorer","OK")</f>
        <v>À améliorer</v>
      </c>
      <c r="M82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83" spans="1:13" ht="16.5" customHeight="1" x14ac:dyDescent="0.25">
      <c r="A83" s="29" t="str">
        <f>Référentiels!A83&amp;TEXT(Référentiels!B83,"000")</f>
        <v>VIA021</v>
      </c>
      <c r="B83" s="64" t="str">
        <f>+tbl_ProduitsRef[[#This Row],[Produit]]</f>
        <v>Picatta de bœuf</v>
      </c>
      <c r="C83" s="64" t="str">
        <f>IFERROR(INDEX(tbl_ProduitsRef[Famille], MATCH(tbl_Produits[[#This Row],[Cde_Prdt]], tbl_Produits[Cde_Prdt], 0)), "")</f>
        <v>Boucherie</v>
      </c>
      <c r="D83" s="65">
        <f ca="1">SUMIF(tbl_Recettes[Cde_Prdt], tbl_Produits[[#This Row],[Cde_Prdt]], tbl_Recettes[Coût Moyen Portion])</f>
        <v>36.9</v>
      </c>
      <c r="E83" s="66">
        <f>IFERROR(
   INDEX(tbl_ProduitsRef[Prix Menu],MATCH(B83,tbl_ProduitsRef[Produit],0)),
   ""
)</f>
        <v>110</v>
      </c>
      <c r="F83" s="66">
        <f ca="1">tbl_Produits[[#This Row],[Prix Menu]] - tbl_Produits[[#This Row],[Coût Moyen Portion]]</f>
        <v>73.099999999999994</v>
      </c>
      <c r="G83" s="67">
        <f ca="1">IF(tbl_Produits[[#This Row],[Prix Menu]]&gt;0, tbl_Produits[[#This Row],[Marge Brute]] / tbl_Produits[[#This Row],[Prix Menu]], 0)</f>
        <v>0.66454545454545444</v>
      </c>
      <c r="H83" s="69">
        <f t="shared" ca="1" si="2"/>
        <v>21.597727272727269</v>
      </c>
      <c r="I83" s="67">
        <f ca="1">IF(tbl_Produits[[#This Row],[Prix Menu]]=0, 0, tbl_Produits[[#This Row],[Coût Moyen Portion]] / tbl_Produits[[#This Row],[Prix Menu]])</f>
        <v>0.33545454545454545</v>
      </c>
      <c r="J83" s="67" t="str" cm="1">
        <f t="array" ref="J83">IFERROR(IF(Total_portions=0, 0, Charges_fixes_totales_periode / Total_portions),"Vérifier")</f>
        <v>Vérifier</v>
      </c>
      <c r="K83" s="131" cm="1">
        <f t="array" aca="1" ref="K83" ca="1">IFERROR(tbl_Produits[[#This Row],[Prix Menu]] - tbl_Produits[[#This Row],[Coût Moyen Portion]] - ChargesFixesPar_Portion[Charges fixes par portion],"Vérifier")</f>
        <v>-10713.9</v>
      </c>
      <c r="L83" s="132" t="str">
        <f ca="1">IF(OR(tbl_Produits[[#This Row],[Food cost % ]]&gt;0.35,tbl_Produits[[#This Row],[% de Chrg Fixe /Prdt]]&gt;0.2),"À améliorer","OK")</f>
        <v>À améliorer</v>
      </c>
      <c r="M83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84" spans="1:13" ht="16.5" customHeight="1" x14ac:dyDescent="0.25">
      <c r="A84" s="29" t="str">
        <f>Référentiels!A84&amp;TEXT(Référentiels!B84,"000")</f>
        <v>VIA022</v>
      </c>
      <c r="B84" s="64" t="str">
        <f>+tbl_ProduitsRef[[#This Row],[Produit]]</f>
        <v>Tomate oignon grillés</v>
      </c>
      <c r="C84" s="64" t="str">
        <f>IFERROR(INDEX(tbl_ProduitsRef[Famille], MATCH(tbl_Produits[[#This Row],[Cde_Prdt]], tbl_Produits[Cde_Prdt], 0)), "")</f>
        <v>Boucherie</v>
      </c>
      <c r="D84" s="65">
        <f ca="1">SUMIF(tbl_Recettes[Cde_Prdt], tbl_Produits[[#This Row],[Cde_Prdt]], tbl_Recettes[Coût Moyen Portion])</f>
        <v>5.6</v>
      </c>
      <c r="E84" s="66">
        <f>IFERROR(
   INDEX(tbl_ProduitsRef[Prix Menu],MATCH(B84,tbl_ProduitsRef[Produit],0)),
   ""
)</f>
        <v>10</v>
      </c>
      <c r="F84" s="66">
        <f ca="1">tbl_Produits[[#This Row],[Prix Menu]] - tbl_Produits[[#This Row],[Coût Moyen Portion]]</f>
        <v>4.4000000000000004</v>
      </c>
      <c r="G84" s="67">
        <f ca="1">IF(tbl_Produits[[#This Row],[Prix Menu]]&gt;0, tbl_Produits[[#This Row],[Marge Brute]] / tbl_Produits[[#This Row],[Prix Menu]], 0)</f>
        <v>0.44000000000000006</v>
      </c>
      <c r="H84" s="69">
        <f t="shared" ca="1" si="2"/>
        <v>3.3000000000000003</v>
      </c>
      <c r="I84" s="67">
        <f ca="1">IF(tbl_Produits[[#This Row],[Prix Menu]]=0, 0, tbl_Produits[[#This Row],[Coût Moyen Portion]] / tbl_Produits[[#This Row],[Prix Menu]])</f>
        <v>0.55999999999999994</v>
      </c>
      <c r="J84" s="67" t="str" cm="1">
        <f t="array" ref="J84">IFERROR(IF(Total_portions=0, 0, Charges_fixes_totales_periode / Total_portions),"Vérifier")</f>
        <v>Vérifier</v>
      </c>
      <c r="K84" s="131" cm="1">
        <f t="array" aca="1" ref="K84" ca="1">IFERROR(tbl_Produits[[#This Row],[Prix Menu]] - tbl_Produits[[#This Row],[Coût Moyen Portion]] - ChargesFixesPar_Portion[Charges fixes par portion],"Vérifier")</f>
        <v>-10782.6</v>
      </c>
      <c r="L84" s="132" t="str">
        <f ca="1">IF(OR(tbl_Produits[[#This Row],[Food cost % ]]&gt;0.35,tbl_Produits[[#This Row],[% de Chrg Fixe /Prdt]]&gt;0.2),"À améliorer","OK")</f>
        <v>À améliorer</v>
      </c>
      <c r="M84" s="18">
        <f>IFERROR( (SUMIF(tbl_Charges_Fixes[Famille affectée],tbl_Produits[[#This Row],[Famille]],tbl_Charges_Fixes[Montant_Mensuel])) / (SUMIF(tbl_Ventes[Famille],tbl_Produits[[#This Row],[Famille]],tbl_Ventes[Qté Vendue])), 0)</f>
        <v>2.2582872928176796</v>
      </c>
    </row>
    <row r="85" spans="1:13" ht="16.5" customHeight="1" x14ac:dyDescent="0.25">
      <c r="A85" s="29" t="str">
        <f>Référentiels!A85&amp;TEXT(Référentiels!B85,"000")</f>
        <v>POI001</v>
      </c>
      <c r="B85" s="64" t="str">
        <f>+tbl_ProduitsRef[[#This Row],[Produit]]</f>
        <v>Friture de poisson (kg / pax)</v>
      </c>
      <c r="C85" s="64" t="str">
        <f>IFERROR(INDEX(tbl_ProduitsRef[Famille], MATCH(tbl_Produits[[#This Row],[Cde_Prdt]], tbl_Produits[Cde_Prdt], 0)), "")</f>
        <v>Poissons &amp; Fruits de mer</v>
      </c>
      <c r="D85" s="65">
        <f ca="1">SUMIF(tbl_Recettes[Cde_Prdt], tbl_Produits[[#This Row],[Cde_Prdt]], tbl_Recettes[Coût Moyen Portion])</f>
        <v>35.9</v>
      </c>
      <c r="E85" s="66">
        <f>IFERROR(
   INDEX(tbl_ProduitsRef[Prix Menu],MATCH(B85,tbl_ProduitsRef[Produit],0)),
   ""
)</f>
        <v>90</v>
      </c>
      <c r="F85" s="66">
        <f ca="1">tbl_Produits[[#This Row],[Prix Menu]] - tbl_Produits[[#This Row],[Coût Moyen Portion]]</f>
        <v>54.1</v>
      </c>
      <c r="G85" s="67">
        <f ca="1">IF(tbl_Produits[[#This Row],[Prix Menu]]&gt;0, tbl_Produits[[#This Row],[Marge Brute]] / tbl_Produits[[#This Row],[Prix Menu]], 0)</f>
        <v>0.60111111111111115</v>
      </c>
      <c r="H85" s="69">
        <f t="shared" ca="1" si="2"/>
        <v>16.530555555555555</v>
      </c>
      <c r="I85" s="67">
        <f ca="1">IF(tbl_Produits[[#This Row],[Prix Menu]]=0, 0, tbl_Produits[[#This Row],[Coût Moyen Portion]] / tbl_Produits[[#This Row],[Prix Menu]])</f>
        <v>0.39888888888888885</v>
      </c>
      <c r="J85" s="67" t="str" cm="1">
        <f t="array" ref="J85">IFERROR(IF(Total_portions=0, 0, Charges_fixes_totales_periode / Total_portions),"Vérifier")</f>
        <v>Vérifier</v>
      </c>
      <c r="K85" s="131" cm="1">
        <f t="array" aca="1" ref="K85" ca="1">IFERROR(tbl_Produits[[#This Row],[Prix Menu]] - tbl_Produits[[#This Row],[Coût Moyen Portion]] - ChargesFixesPar_Portion[Charges fixes par portion],"Vérifier")</f>
        <v>-10732.9</v>
      </c>
      <c r="L85" s="132" t="str">
        <f ca="1">IF(OR(tbl_Produits[[#This Row],[Food cost % ]]&gt;0.35,tbl_Produits[[#This Row],[% de Chrg Fixe /Prdt]]&gt;0.2),"À améliorer","OK")</f>
        <v>À améliorer</v>
      </c>
      <c r="M8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86" spans="1:13" ht="16.5" customHeight="1" x14ac:dyDescent="0.25">
      <c r="A86" s="29" t="str">
        <f>Référentiels!A86&amp;TEXT(Référentiels!B86,"000")</f>
        <v>POI002</v>
      </c>
      <c r="B86" s="64" t="str">
        <f>+tbl_ProduitsRef[[#This Row],[Produit]]</f>
        <v>Friture de poisson au kg</v>
      </c>
      <c r="C86" s="64" t="str">
        <f>IFERROR(INDEX(tbl_ProduitsRef[Famille], MATCH(tbl_Produits[[#This Row],[Cde_Prdt]], tbl_Produits[Cde_Prdt], 0)), "")</f>
        <v>Poissons &amp; Fruits de mer</v>
      </c>
      <c r="D86" s="65">
        <f ca="1">SUMIF(tbl_Recettes[Cde_Prdt], tbl_Produits[[#This Row],[Cde_Prdt]], tbl_Recettes[Coût Moyen Portion])</f>
        <v>101.5</v>
      </c>
      <c r="E86" s="66">
        <f>IFERROR(
   INDEX(tbl_ProduitsRef[Prix Menu],MATCH(B86,tbl_ProduitsRef[Produit],0)),
   ""
)</f>
        <v>200</v>
      </c>
      <c r="F86" s="66">
        <f ca="1">tbl_Produits[[#This Row],[Prix Menu]] - tbl_Produits[[#This Row],[Coût Moyen Portion]]</f>
        <v>98.5</v>
      </c>
      <c r="G86" s="67">
        <f ca="1">IF(tbl_Produits[[#This Row],[Prix Menu]]&gt;0, tbl_Produits[[#This Row],[Marge Brute]] / tbl_Produits[[#This Row],[Prix Menu]], 0)</f>
        <v>0.49249999999999999</v>
      </c>
      <c r="H86" s="69">
        <f t="shared" ca="1" si="2"/>
        <v>27.087499999999999</v>
      </c>
      <c r="I86" s="67">
        <f ca="1">IF(tbl_Produits[[#This Row],[Prix Menu]]=0, 0, tbl_Produits[[#This Row],[Coût Moyen Portion]] / tbl_Produits[[#This Row],[Prix Menu]])</f>
        <v>0.50749999999999995</v>
      </c>
      <c r="J86" s="67" t="str" cm="1">
        <f t="array" ref="J86">IFERROR(IF(Total_portions=0, 0, Charges_fixes_totales_periode / Total_portions),"Vérifier")</f>
        <v>Vérifier</v>
      </c>
      <c r="K86" s="131" cm="1">
        <f t="array" aca="1" ref="K86" ca="1">IFERROR(tbl_Produits[[#This Row],[Prix Menu]] - tbl_Produits[[#This Row],[Coût Moyen Portion]] - ChargesFixesPar_Portion[Charges fixes par portion],"Vérifier")</f>
        <v>-10688.5</v>
      </c>
      <c r="L86" s="132" t="str">
        <f ca="1">IF(OR(tbl_Produits[[#This Row],[Food cost % ]]&gt;0.35,tbl_Produits[[#This Row],[% de Chrg Fixe /Prdt]]&gt;0.2),"À améliorer","OK")</f>
        <v>À améliorer</v>
      </c>
      <c r="M8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87" spans="1:13" ht="16.5" customHeight="1" x14ac:dyDescent="0.25">
      <c r="A87" s="29" t="str">
        <f>Référentiels!A87&amp;TEXT(Référentiels!B87,"000")</f>
        <v>POI003</v>
      </c>
      <c r="B87" s="64" t="str">
        <f>+tbl_ProduitsRef[[#This Row],[Produit]]</f>
        <v>Paella Mixte</v>
      </c>
      <c r="C87" s="64" t="str">
        <f>IFERROR(INDEX(tbl_ProduitsRef[Famille], MATCH(tbl_Produits[[#This Row],[Cde_Prdt]], tbl_Produits[Cde_Prdt], 0)), "")</f>
        <v>Poissons &amp; Fruits de mer</v>
      </c>
      <c r="D87" s="65">
        <f ca="1">SUMIF(tbl_Recettes[Cde_Prdt], tbl_Produits[[#This Row],[Cde_Prdt]], tbl_Recettes[Coût Moyen Portion])</f>
        <v>91.875</v>
      </c>
      <c r="E87" s="66">
        <f>IFERROR(
   INDEX(tbl_ProduitsRef[Prix Menu],MATCH(B87,tbl_ProduitsRef[Produit],0)),
   ""
)</f>
        <v>70</v>
      </c>
      <c r="F87" s="66">
        <f ca="1">tbl_Produits[[#This Row],[Prix Menu]] - tbl_Produits[[#This Row],[Coût Moyen Portion]]</f>
        <v>-21.875</v>
      </c>
      <c r="G87" s="67">
        <f ca="1">IF(tbl_Produits[[#This Row],[Prix Menu]]&gt;0, tbl_Produits[[#This Row],[Marge Brute]] / tbl_Produits[[#This Row],[Prix Menu]], 0)</f>
        <v>-0.3125</v>
      </c>
      <c r="H87" s="69">
        <f t="shared" ca="1" si="2"/>
        <v>-7.03125</v>
      </c>
      <c r="I87" s="67">
        <f ca="1">IF(tbl_Produits[[#This Row],[Prix Menu]]=0, 0, tbl_Produits[[#This Row],[Coût Moyen Portion]] / tbl_Produits[[#This Row],[Prix Menu]])</f>
        <v>1.3125</v>
      </c>
      <c r="J87" s="67" t="str" cm="1">
        <f t="array" ref="J87">IFERROR(IF(Total_portions=0, 0, Charges_fixes_totales_periode / Total_portions),"Vérifier")</f>
        <v>Vérifier</v>
      </c>
      <c r="K87" s="131" cm="1">
        <f t="array" aca="1" ref="K87" ca="1">IFERROR(tbl_Produits[[#This Row],[Prix Menu]] - tbl_Produits[[#This Row],[Coût Moyen Portion]] - ChargesFixesPar_Portion[Charges fixes par portion],"Vérifier")</f>
        <v>-10808.875</v>
      </c>
      <c r="L87" s="132" t="str">
        <f ca="1">IF(OR(tbl_Produits[[#This Row],[Food cost % ]]&gt;0.35,tbl_Produits[[#This Row],[% de Chrg Fixe /Prdt]]&gt;0.2),"À améliorer","OK")</f>
        <v>À améliorer</v>
      </c>
      <c r="M8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88" spans="1:13" ht="16.5" customHeight="1" x14ac:dyDescent="0.25">
      <c r="A88" s="29" t="str">
        <f>Référentiels!A88&amp;TEXT(Référentiels!B88,"000")</f>
        <v>POI004</v>
      </c>
      <c r="B88" s="64" t="str">
        <f>+tbl_ProduitsRef[[#This Row],[Produit]]</f>
        <v>Paella Royale</v>
      </c>
      <c r="C88" s="64" t="str">
        <f>IFERROR(INDEX(tbl_ProduitsRef[Famille], MATCH(tbl_Produits[[#This Row],[Cde_Prdt]], tbl_Produits[Cde_Prdt], 0)), "")</f>
        <v>Poissons &amp; Fruits de mer</v>
      </c>
      <c r="D88" s="65">
        <f ca="1">SUMIF(tbl_Recettes[Cde_Prdt], tbl_Produits[[#This Row],[Cde_Prdt]], tbl_Recettes[Coût Moyen Portion])</f>
        <v>50</v>
      </c>
      <c r="E88" s="66">
        <f>IFERROR(
   INDEX(tbl_ProduitsRef[Prix Menu],MATCH(B88,tbl_ProduitsRef[Produit],0)),
   ""
)</f>
        <v>400</v>
      </c>
      <c r="F88" s="66">
        <f ca="1">tbl_Produits[[#This Row],[Prix Menu]] - tbl_Produits[[#This Row],[Coût Moyen Portion]]</f>
        <v>350</v>
      </c>
      <c r="G88" s="67">
        <f ca="1">IF(tbl_Produits[[#This Row],[Prix Menu]]&gt;0, tbl_Produits[[#This Row],[Marge Brute]] / tbl_Produits[[#This Row],[Prix Menu]], 0)</f>
        <v>0.875</v>
      </c>
      <c r="H88" s="69">
        <f t="shared" ca="1" si="2"/>
        <v>91.875</v>
      </c>
      <c r="I88" s="67">
        <f ca="1">IF(tbl_Produits[[#This Row],[Prix Menu]]=0, 0, tbl_Produits[[#This Row],[Coût Moyen Portion]] / tbl_Produits[[#This Row],[Prix Menu]])</f>
        <v>0.125</v>
      </c>
      <c r="J88" s="67" t="str" cm="1">
        <f t="array" ref="J88">IFERROR(IF(Total_portions=0, 0, Charges_fixes_totales_periode / Total_portions),"Vérifier")</f>
        <v>Vérifier</v>
      </c>
      <c r="K88" s="131" cm="1">
        <f t="array" aca="1" ref="K88" ca="1">IFERROR(tbl_Produits[[#This Row],[Prix Menu]] - tbl_Produits[[#This Row],[Coût Moyen Portion]] - ChargesFixesPar_Portion[Charges fixes par portion],"Vérifier")</f>
        <v>-10437</v>
      </c>
      <c r="L88" s="132" t="str">
        <f ca="1">IF(OR(tbl_Produits[[#This Row],[Food cost % ]]&gt;0.35,tbl_Produits[[#This Row],[% de Chrg Fixe /Prdt]]&gt;0.2),"À améliorer","OK")</f>
        <v>À améliorer</v>
      </c>
      <c r="M8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89" spans="1:13" ht="16.5" customHeight="1" x14ac:dyDescent="0.25">
      <c r="A89" s="29" t="str">
        <f>Référentiels!A89&amp;TEXT(Référentiels!B89,"000")</f>
        <v>POI005</v>
      </c>
      <c r="B89" s="64" t="str">
        <f>+tbl_ProduitsRef[[#This Row],[Produit]]</f>
        <v>Tajine souiri</v>
      </c>
      <c r="C89" s="64" t="str">
        <f>IFERROR(INDEX(tbl_ProduitsRef[Famille], MATCH(tbl_Produits[[#This Row],[Cde_Prdt]], tbl_Produits[Cde_Prdt], 0)), "")</f>
        <v>Poissons &amp; Fruits de mer</v>
      </c>
      <c r="D89" s="65">
        <f ca="1">SUMIF(tbl_Recettes[Cde_Prdt], tbl_Produits[[#This Row],[Cde_Prdt]], tbl_Recettes[Coût Moyen Portion])</f>
        <v>30.334999999999997</v>
      </c>
      <c r="E89" s="66">
        <f>IFERROR(
   INDEX(tbl_ProduitsRef[Prix Menu],MATCH(B89,tbl_ProduitsRef[Produit],0)),
   ""
)</f>
        <v>70</v>
      </c>
      <c r="F89" s="66">
        <f ca="1">tbl_Produits[[#This Row],[Prix Menu]] - tbl_Produits[[#This Row],[Coût Moyen Portion]]</f>
        <v>39.665000000000006</v>
      </c>
      <c r="G89" s="67">
        <f ca="1">IF(tbl_Produits[[#This Row],[Prix Menu]]&gt;0, tbl_Produits[[#This Row],[Marge Brute]] / tbl_Produits[[#This Row],[Prix Menu]], 0)</f>
        <v>0.56664285714285723</v>
      </c>
      <c r="H89" s="69">
        <f t="shared" ca="1" si="2"/>
        <v>12.749464285714287</v>
      </c>
      <c r="I89" s="67">
        <f ca="1">IF(tbl_Produits[[#This Row],[Prix Menu]]=0, 0, tbl_Produits[[#This Row],[Coût Moyen Portion]] / tbl_Produits[[#This Row],[Prix Menu]])</f>
        <v>0.43335714285714283</v>
      </c>
      <c r="J89" s="67" t="str" cm="1">
        <f t="array" ref="J89">IFERROR(IF(Total_portions=0, 0, Charges_fixes_totales_periode / Total_portions),"Vérifier")</f>
        <v>Vérifier</v>
      </c>
      <c r="K89" s="131" cm="1">
        <f t="array" aca="1" ref="K89" ca="1">IFERROR(tbl_Produits[[#This Row],[Prix Menu]] - tbl_Produits[[#This Row],[Coût Moyen Portion]] - ChargesFixesPar_Portion[Charges fixes par portion],"Vérifier")</f>
        <v>-10747.334999999999</v>
      </c>
      <c r="L89" s="132" t="str">
        <f ca="1">IF(OR(tbl_Produits[[#This Row],[Food cost % ]]&gt;0.35,tbl_Produits[[#This Row],[% de Chrg Fixe /Prdt]]&gt;0.2),"À améliorer","OK")</f>
        <v>À améliorer</v>
      </c>
      <c r="M8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90" spans="1:13" ht="16.5" customHeight="1" x14ac:dyDescent="0.25">
      <c r="A90" s="29" t="str">
        <f>Référentiels!A90&amp;TEXT(Référentiels!B90,"000")</f>
        <v>POI006</v>
      </c>
      <c r="B90" s="64" t="str">
        <f>+tbl_ProduitsRef[[#This Row],[Produit]]</f>
        <v>Pil pil (crevettes, calamars, moules)</v>
      </c>
      <c r="C90" s="64" t="str">
        <f>IFERROR(INDEX(tbl_ProduitsRef[Famille], MATCH(tbl_Produits[[#This Row],[Cde_Prdt]], tbl_Produits[Cde_Prdt], 0)), "")</f>
        <v>Poissons &amp; Fruits de mer</v>
      </c>
      <c r="D90" s="65">
        <f ca="1">SUMIF(tbl_Recettes[Cde_Prdt], tbl_Produits[[#This Row],[Cde_Prdt]], tbl_Recettes[Coût Moyen Portion])</f>
        <v>69.400000000000006</v>
      </c>
      <c r="E90" s="66">
        <f>IFERROR(
   INDEX(tbl_ProduitsRef[Prix Menu],MATCH(B90,tbl_ProduitsRef[Produit],0)),
   ""
)</f>
        <v>65</v>
      </c>
      <c r="F90" s="66">
        <f ca="1">tbl_Produits[[#This Row],[Prix Menu]] - tbl_Produits[[#This Row],[Coût Moyen Portion]]</f>
        <v>-4.4000000000000057</v>
      </c>
      <c r="G90" s="67">
        <f ca="1">IF(tbl_Produits[[#This Row],[Prix Menu]]&gt;0, tbl_Produits[[#This Row],[Marge Brute]] / tbl_Produits[[#This Row],[Prix Menu]], 0)</f>
        <v>-6.7692307692307774E-2</v>
      </c>
      <c r="H90" s="69">
        <f t="shared" ca="1" si="2"/>
        <v>-1.4384615384615402</v>
      </c>
      <c r="I90" s="67">
        <f ca="1">IF(tbl_Produits[[#This Row],[Prix Menu]]=0, 0, tbl_Produits[[#This Row],[Coût Moyen Portion]] / tbl_Produits[[#This Row],[Prix Menu]])</f>
        <v>1.0676923076923077</v>
      </c>
      <c r="J90" s="67" t="str" cm="1">
        <f t="array" ref="J90">IFERROR(IF(Total_portions=0, 0, Charges_fixes_totales_periode / Total_portions),"Vérifier")</f>
        <v>Vérifier</v>
      </c>
      <c r="K90" s="131" cm="1">
        <f t="array" aca="1" ref="K90" ca="1">IFERROR(tbl_Produits[[#This Row],[Prix Menu]] - tbl_Produits[[#This Row],[Coût Moyen Portion]] - ChargesFixesPar_Portion[Charges fixes par portion],"Vérifier")</f>
        <v>-10791.4</v>
      </c>
      <c r="L90" s="132" t="str">
        <f ca="1">IF(OR(tbl_Produits[[#This Row],[Food cost % ]]&gt;0.35,tbl_Produits[[#This Row],[% de Chrg Fixe /Prdt]]&gt;0.2),"À améliorer","OK")</f>
        <v>À améliorer</v>
      </c>
      <c r="M9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91" spans="1:13" ht="16.5" customHeight="1" x14ac:dyDescent="0.25">
      <c r="A91" s="29" t="str">
        <f>Référentiels!A91&amp;TEXT(Référentiels!B91,"000")</f>
        <v>POI007</v>
      </c>
      <c r="B91" s="64" t="str">
        <f>+tbl_ProduitsRef[[#This Row],[Produit]]</f>
        <v>Soupe de poisson</v>
      </c>
      <c r="C91" s="64" t="str">
        <f>IFERROR(INDEX(tbl_ProduitsRef[Famille], MATCH(tbl_Produits[[#This Row],[Cde_Prdt]], tbl_Produits[Cde_Prdt], 0)), "")</f>
        <v>Poissons &amp; Fruits de mer</v>
      </c>
      <c r="D91" s="65">
        <f ca="1">SUMIF(tbl_Recettes[Cde_Prdt], tbl_Produits[[#This Row],[Cde_Prdt]], tbl_Recettes[Coût Moyen Portion])</f>
        <v>14.75</v>
      </c>
      <c r="E91" s="66">
        <f>IFERROR(
   INDEX(tbl_ProduitsRef[Prix Menu],MATCH(B91,tbl_ProduitsRef[Produit],0)),
   ""
)</f>
        <v>40</v>
      </c>
      <c r="F91" s="66">
        <f ca="1">tbl_Produits[[#This Row],[Prix Menu]] - tbl_Produits[[#This Row],[Coût Moyen Portion]]</f>
        <v>25.25</v>
      </c>
      <c r="G91" s="67">
        <f ca="1">IF(tbl_Produits[[#This Row],[Prix Menu]]&gt;0, tbl_Produits[[#This Row],[Marge Brute]] / tbl_Produits[[#This Row],[Prix Menu]], 0)</f>
        <v>0.63124999999999998</v>
      </c>
      <c r="H91" s="69">
        <f t="shared" ca="1" si="2"/>
        <v>9.46875</v>
      </c>
      <c r="I91" s="67">
        <f ca="1">IF(tbl_Produits[[#This Row],[Prix Menu]]=0, 0, tbl_Produits[[#This Row],[Coût Moyen Portion]] / tbl_Produits[[#This Row],[Prix Menu]])</f>
        <v>0.36875000000000002</v>
      </c>
      <c r="J91" s="67" t="str" cm="1">
        <f t="array" ref="J91">IFERROR(IF(Total_portions=0, 0, Charges_fixes_totales_periode / Total_portions),"Vérifier")</f>
        <v>Vérifier</v>
      </c>
      <c r="K91" s="131" cm="1">
        <f t="array" aca="1" ref="K91" ca="1">IFERROR(tbl_Produits[[#This Row],[Prix Menu]] - tbl_Produits[[#This Row],[Coût Moyen Portion]] - ChargesFixesPar_Portion[Charges fixes par portion],"Vérifier")</f>
        <v>-10761.75</v>
      </c>
      <c r="L91" s="132" t="str">
        <f ca="1">IF(OR(tbl_Produits[[#This Row],[Food cost % ]]&gt;0.35,tbl_Produits[[#This Row],[% de Chrg Fixe /Prdt]]&gt;0.2),"À améliorer","OK")</f>
        <v>À améliorer</v>
      </c>
      <c r="M9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92" spans="1:13" ht="16.5" customHeight="1" x14ac:dyDescent="0.25">
      <c r="A92" s="29" t="str">
        <f>Référentiels!A92&amp;TEXT(Référentiels!B92,"000")</f>
        <v>POI008</v>
      </c>
      <c r="B92" s="64" t="str">
        <f>+tbl_ProduitsRef[[#This Row],[Produit]]</f>
        <v>Grande Pastilla</v>
      </c>
      <c r="C92" s="64" t="str">
        <f>IFERROR(INDEX(tbl_ProduitsRef[Famille], MATCH(tbl_Produits[[#This Row],[Cde_Prdt]], tbl_Produits[Cde_Prdt], 0)), "")</f>
        <v>Poissons &amp; Fruits de mer</v>
      </c>
      <c r="D92" s="65">
        <f ca="1">SUMIF(tbl_Recettes[Cde_Prdt], tbl_Produits[[#This Row],[Cde_Prdt]], tbl_Recettes[Coût Moyen Portion])</f>
        <v>50</v>
      </c>
      <c r="E92" s="66">
        <f>IFERROR(
   INDEX(tbl_ProduitsRef[Prix Menu],MATCH(B92,tbl_ProduitsRef[Produit],0)),
   ""
)</f>
        <v>600</v>
      </c>
      <c r="F92" s="66">
        <f ca="1">tbl_Produits[[#This Row],[Prix Menu]] - tbl_Produits[[#This Row],[Coût Moyen Portion]]</f>
        <v>550</v>
      </c>
      <c r="G92" s="67">
        <f ca="1">IF(tbl_Produits[[#This Row],[Prix Menu]]&gt;0, tbl_Produits[[#This Row],[Marge Brute]] / tbl_Produits[[#This Row],[Prix Menu]], 0)</f>
        <v>0.91666666666666663</v>
      </c>
      <c r="H92" s="69">
        <f t="shared" ca="1" si="2"/>
        <v>142.08333333333334</v>
      </c>
      <c r="I92" s="67">
        <f ca="1">IF(tbl_Produits[[#This Row],[Prix Menu]]=0, 0, tbl_Produits[[#This Row],[Coût Moyen Portion]] / tbl_Produits[[#This Row],[Prix Menu]])</f>
        <v>8.3333333333333329E-2</v>
      </c>
      <c r="J92" s="67" t="str" cm="1">
        <f t="array" ref="J92">IFERROR(IF(Total_portions=0, 0, Charges_fixes_totales_periode / Total_portions),"Vérifier")</f>
        <v>Vérifier</v>
      </c>
      <c r="K92" s="131" cm="1">
        <f t="array" aca="1" ref="K92" ca="1">IFERROR(tbl_Produits[[#This Row],[Prix Menu]] - tbl_Produits[[#This Row],[Coût Moyen Portion]] - ChargesFixesPar_Portion[Charges fixes par portion],"Vérifier")</f>
        <v>-10237</v>
      </c>
      <c r="L92" s="132" t="str">
        <f ca="1">IF(OR(tbl_Produits[[#This Row],[Food cost % ]]&gt;0.35,tbl_Produits[[#This Row],[% de Chrg Fixe /Prdt]]&gt;0.2),"À améliorer","OK")</f>
        <v>À améliorer</v>
      </c>
      <c r="M9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93" spans="1:13" ht="16.5" customHeight="1" x14ac:dyDescent="0.25">
      <c r="A93" s="29" t="str">
        <f>Référentiels!A93&amp;TEXT(Référentiels!B93,"000")</f>
        <v>POI009</v>
      </c>
      <c r="B93" s="64" t="str">
        <f>+tbl_ProduitsRef[[#This Row],[Produit]]</f>
        <v>Grand poisson farci</v>
      </c>
      <c r="C93" s="64" t="str">
        <f>IFERROR(INDEX(tbl_ProduitsRef[Famille], MATCH(tbl_Produits[[#This Row],[Cde_Prdt]], tbl_Produits[Cde_Prdt], 0)), "")</f>
        <v>Poissons &amp; Fruits de mer</v>
      </c>
      <c r="D93" s="65">
        <f ca="1">SUMIF(tbl_Recettes[Cde_Prdt], tbl_Produits[[#This Row],[Cde_Prdt]], tbl_Recettes[Coût Moyen Portion])</f>
        <v>45</v>
      </c>
      <c r="E93" s="66">
        <f>IFERROR(
   INDEX(tbl_ProduitsRef[Prix Menu],MATCH(B93,tbl_ProduitsRef[Produit],0)),
   ""
)</f>
        <v>400</v>
      </c>
      <c r="F93" s="66">
        <f ca="1">tbl_Produits[[#This Row],[Prix Menu]] - tbl_Produits[[#This Row],[Coût Moyen Portion]]</f>
        <v>355</v>
      </c>
      <c r="G93" s="67">
        <f ca="1">IF(tbl_Produits[[#This Row],[Prix Menu]]&gt;0, tbl_Produits[[#This Row],[Marge Brute]] / tbl_Produits[[#This Row],[Prix Menu]], 0)</f>
        <v>0.88749999999999996</v>
      </c>
      <c r="H93" s="69">
        <f t="shared" ca="1" si="2"/>
        <v>93.1875</v>
      </c>
      <c r="I93" s="67">
        <f ca="1">IF(tbl_Produits[[#This Row],[Prix Menu]]=0, 0, tbl_Produits[[#This Row],[Coût Moyen Portion]] / tbl_Produits[[#This Row],[Prix Menu]])</f>
        <v>0.1125</v>
      </c>
      <c r="J93" s="67" t="str" cm="1">
        <f t="array" ref="J93">IFERROR(IF(Total_portions=0, 0, Charges_fixes_totales_periode / Total_portions),"Vérifier")</f>
        <v>Vérifier</v>
      </c>
      <c r="K93" s="131" cm="1">
        <f t="array" aca="1" ref="K93" ca="1">IFERROR(tbl_Produits[[#This Row],[Prix Menu]] - tbl_Produits[[#This Row],[Coût Moyen Portion]] - ChargesFixesPar_Portion[Charges fixes par portion],"Vérifier")</f>
        <v>-10432</v>
      </c>
      <c r="L93" s="132" t="str">
        <f ca="1">IF(OR(tbl_Produits[[#This Row],[Food cost % ]]&gt;0.35,tbl_Produits[[#This Row],[% de Chrg Fixe /Prdt]]&gt;0.2),"À améliorer","OK")</f>
        <v>À améliorer</v>
      </c>
      <c r="M9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94" spans="1:13" ht="16.5" customHeight="1" x14ac:dyDescent="0.25">
      <c r="A94" s="29" t="str">
        <f>Référentiels!A94&amp;TEXT(Référentiels!B94,"000")</f>
        <v>POI010</v>
      </c>
      <c r="B94" s="64" t="str">
        <f>+tbl_ProduitsRef[[#This Row],[Produit]]</f>
        <v>Darne de saumon sauce hollandaise</v>
      </c>
      <c r="C94" s="64" t="str">
        <f>IFERROR(INDEX(tbl_ProduitsRef[Famille], MATCH(tbl_Produits[[#This Row],[Cde_Prdt]], tbl_Produits[Cde_Prdt], 0)), "")</f>
        <v>Poissons &amp; Fruits de mer</v>
      </c>
      <c r="D94" s="65">
        <f ca="1">SUMIF(tbl_Recettes[Cde_Prdt], tbl_Produits[[#This Row],[Cde_Prdt]], tbl_Recettes[Coût Moyen Portion])</f>
        <v>94.4</v>
      </c>
      <c r="E94" s="66">
        <f>IFERROR(
   INDEX(tbl_ProduitsRef[Prix Menu],MATCH(B94,tbl_ProduitsRef[Produit],0)),
   ""
)</f>
        <v>130</v>
      </c>
      <c r="F94" s="66">
        <f ca="1">tbl_Produits[[#This Row],[Prix Menu]] - tbl_Produits[[#This Row],[Coût Moyen Portion]]</f>
        <v>35.599999999999994</v>
      </c>
      <c r="G94" s="67">
        <f ca="1">IF(tbl_Produits[[#This Row],[Prix Menu]]&gt;0, tbl_Produits[[#This Row],[Marge Brute]] / tbl_Produits[[#This Row],[Prix Menu]], 0)</f>
        <v>0.27384615384615379</v>
      </c>
      <c r="H94" s="69">
        <f t="shared" ca="1" si="2"/>
        <v>10.269230769230768</v>
      </c>
      <c r="I94" s="67">
        <f ca="1">IF(tbl_Produits[[#This Row],[Prix Menu]]=0, 0, tbl_Produits[[#This Row],[Coût Moyen Portion]] / tbl_Produits[[#This Row],[Prix Menu]])</f>
        <v>0.72615384615384615</v>
      </c>
      <c r="J94" s="67" t="str" cm="1">
        <f t="array" ref="J94">IFERROR(IF(Total_portions=0, 0, Charges_fixes_totales_periode / Total_portions),"Vérifier")</f>
        <v>Vérifier</v>
      </c>
      <c r="K94" s="131" cm="1">
        <f t="array" aca="1" ref="K94" ca="1">IFERROR(tbl_Produits[[#This Row],[Prix Menu]] - tbl_Produits[[#This Row],[Coût Moyen Portion]] - ChargesFixesPar_Portion[Charges fixes par portion],"Vérifier")</f>
        <v>-10751.4</v>
      </c>
      <c r="L94" s="132" t="str">
        <f ca="1">IF(OR(tbl_Produits[[#This Row],[Food cost % ]]&gt;0.35,tbl_Produits[[#This Row],[% de Chrg Fixe /Prdt]]&gt;0.2),"À améliorer","OK")</f>
        <v>À améliorer</v>
      </c>
      <c r="M9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95" spans="1:13" ht="16.5" customHeight="1" x14ac:dyDescent="0.25">
      <c r="A95" s="29" t="str">
        <f>Référentiels!A95&amp;TEXT(Référentiels!B95,"000")</f>
        <v>POI011</v>
      </c>
      <c r="B95" s="64" t="str">
        <f>+tbl_ProduitsRef[[#This Row],[Produit]]</f>
        <v>Trio de poisson à la plancha</v>
      </c>
      <c r="C95" s="64" t="str">
        <f>IFERROR(INDEX(tbl_ProduitsRef[Famille], MATCH(tbl_Produits[[#This Row],[Cde_Prdt]], tbl_Produits[Cde_Prdt], 0)), "")</f>
        <v>Poissons &amp; Fruits de mer</v>
      </c>
      <c r="D95" s="65">
        <f ca="1">SUMIF(tbl_Recettes[Cde_Prdt], tbl_Produits[[#This Row],[Cde_Prdt]], tbl_Recettes[Coût Moyen Portion])</f>
        <v>91.8</v>
      </c>
      <c r="E95" s="66">
        <f>IFERROR(
   INDEX(tbl_ProduitsRef[Prix Menu],MATCH(B95,tbl_ProduitsRef[Produit],0)),
   ""
)</f>
        <v>130</v>
      </c>
      <c r="F95" s="66">
        <f ca="1">tbl_Produits[[#This Row],[Prix Menu]] - tbl_Produits[[#This Row],[Coût Moyen Portion]]</f>
        <v>38.200000000000003</v>
      </c>
      <c r="G95" s="67">
        <f ca="1">IF(tbl_Produits[[#This Row],[Prix Menu]]&gt;0, tbl_Produits[[#This Row],[Marge Brute]] / tbl_Produits[[#This Row],[Prix Menu]], 0)</f>
        <v>0.29384615384615387</v>
      </c>
      <c r="H95" s="69">
        <f t="shared" ca="1" si="2"/>
        <v>11.01923076923077</v>
      </c>
      <c r="I95" s="67">
        <f ca="1">IF(tbl_Produits[[#This Row],[Prix Menu]]=0, 0, tbl_Produits[[#This Row],[Coût Moyen Portion]] / tbl_Produits[[#This Row],[Prix Menu]])</f>
        <v>0.70615384615384613</v>
      </c>
      <c r="J95" s="67" t="str" cm="1">
        <f t="array" ref="J95">IFERROR(IF(Total_portions=0, 0, Charges_fixes_totales_periode / Total_portions),"Vérifier")</f>
        <v>Vérifier</v>
      </c>
      <c r="K95" s="131" cm="1">
        <f t="array" aca="1" ref="K95" ca="1">IFERROR(tbl_Produits[[#This Row],[Prix Menu]] - tbl_Produits[[#This Row],[Coût Moyen Portion]] - ChargesFixesPar_Portion[Charges fixes par portion],"Vérifier")</f>
        <v>-10748.8</v>
      </c>
      <c r="L95" s="132" t="str">
        <f ca="1">IF(OR(tbl_Produits[[#This Row],[Food cost % ]]&gt;0.35,tbl_Produits[[#This Row],[% de Chrg Fixe /Prdt]]&gt;0.2),"À améliorer","OK")</f>
        <v>À améliorer</v>
      </c>
      <c r="M9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96" spans="1:13" ht="16.5" customHeight="1" x14ac:dyDescent="0.25">
      <c r="A96" s="29" t="str">
        <f>Référentiels!A96&amp;TEXT(Référentiels!B96,"000")</f>
        <v>POI012</v>
      </c>
      <c r="B96" s="64" t="str">
        <f>+tbl_ProduitsRef[[#This Row],[Produit]]</f>
        <v>Filet de Saint-Pierre</v>
      </c>
      <c r="C96" s="64" t="str">
        <f>IFERROR(INDEX(tbl_ProduitsRef[Famille], MATCH(tbl_Produits[[#This Row],[Cde_Prdt]], tbl_Produits[Cde_Prdt], 0)), "")</f>
        <v>Poissons &amp; Fruits de mer</v>
      </c>
      <c r="D96" s="65">
        <f ca="1">SUMIF(tbl_Recettes[Cde_Prdt], tbl_Produits[[#This Row],[Cde_Prdt]], tbl_Recettes[Coût Moyen Portion])</f>
        <v>44</v>
      </c>
      <c r="E96" s="66">
        <f>IFERROR(
   INDEX(tbl_ProduitsRef[Prix Menu],MATCH(B96,tbl_ProduitsRef[Produit],0)),
   ""
)</f>
        <v>115</v>
      </c>
      <c r="F96" s="66">
        <f ca="1">tbl_Produits[[#This Row],[Prix Menu]] - tbl_Produits[[#This Row],[Coût Moyen Portion]]</f>
        <v>71</v>
      </c>
      <c r="G96" s="67">
        <f ca="1">IF(tbl_Produits[[#This Row],[Prix Menu]]&gt;0, tbl_Produits[[#This Row],[Marge Brute]] / tbl_Produits[[#This Row],[Prix Menu]], 0)</f>
        <v>0.61739130434782608</v>
      </c>
      <c r="H96" s="69">
        <f t="shared" ca="1" si="2"/>
        <v>20.836956521739129</v>
      </c>
      <c r="I96" s="67">
        <f ca="1">IF(tbl_Produits[[#This Row],[Prix Menu]]=0, 0, tbl_Produits[[#This Row],[Coût Moyen Portion]] / tbl_Produits[[#This Row],[Prix Menu]])</f>
        <v>0.38260869565217392</v>
      </c>
      <c r="J96" s="67" t="str" cm="1">
        <f t="array" ref="J96">IFERROR(IF(Total_portions=0, 0, Charges_fixes_totales_periode / Total_portions),"Vérifier")</f>
        <v>Vérifier</v>
      </c>
      <c r="K96" s="131" cm="1">
        <f t="array" aca="1" ref="K96" ca="1">IFERROR(tbl_Produits[[#This Row],[Prix Menu]] - tbl_Produits[[#This Row],[Coût Moyen Portion]] - ChargesFixesPar_Portion[Charges fixes par portion],"Vérifier")</f>
        <v>-10716</v>
      </c>
      <c r="L96" s="132" t="str">
        <f ca="1">IF(OR(tbl_Produits[[#This Row],[Food cost % ]]&gt;0.35,tbl_Produits[[#This Row],[% de Chrg Fixe /Prdt]]&gt;0.2),"À améliorer","OK")</f>
        <v>À améliorer</v>
      </c>
      <c r="M9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97" spans="1:13" ht="16.5" customHeight="1" x14ac:dyDescent="0.25">
      <c r="A97" s="29" t="str">
        <f>Référentiels!A97&amp;TEXT(Référentiels!B97,"000")</f>
        <v>POI013</v>
      </c>
      <c r="B97" s="64" t="str">
        <f>+tbl_ProduitsRef[[#This Row],[Produit]]</f>
        <v>Filet de poisson blanc au bordelais</v>
      </c>
      <c r="C97" s="64" t="str">
        <f>IFERROR(INDEX(tbl_ProduitsRef[Famille], MATCH(tbl_Produits[[#This Row],[Cde_Prdt]], tbl_Produits[Cde_Prdt], 0)), "")</f>
        <v>Poissons &amp; Fruits de mer</v>
      </c>
      <c r="D97" s="65">
        <f ca="1">SUMIF(tbl_Recettes[Cde_Prdt], tbl_Produits[[#This Row],[Cde_Prdt]], tbl_Recettes[Coût Moyen Portion])</f>
        <v>33.799999999999997</v>
      </c>
      <c r="E97" s="66">
        <f>IFERROR(
   INDEX(tbl_ProduitsRef[Prix Menu],MATCH(B97,tbl_ProduitsRef[Produit],0)),
   ""
)</f>
        <v>110</v>
      </c>
      <c r="F97" s="66">
        <f ca="1">tbl_Produits[[#This Row],[Prix Menu]] - tbl_Produits[[#This Row],[Coût Moyen Portion]]</f>
        <v>76.2</v>
      </c>
      <c r="G97" s="67">
        <f ca="1">IF(tbl_Produits[[#This Row],[Prix Menu]]&gt;0, tbl_Produits[[#This Row],[Marge Brute]] / tbl_Produits[[#This Row],[Prix Menu]], 0)</f>
        <v>0.69272727272727275</v>
      </c>
      <c r="H97" s="69">
        <f t="shared" ca="1" si="2"/>
        <v>22.513636363636365</v>
      </c>
      <c r="I97" s="67">
        <f ca="1">IF(tbl_Produits[[#This Row],[Prix Menu]]=0, 0, tbl_Produits[[#This Row],[Coût Moyen Portion]] / tbl_Produits[[#This Row],[Prix Menu]])</f>
        <v>0.30727272727272725</v>
      </c>
      <c r="J97" s="67" t="str" cm="1">
        <f t="array" ref="J97">IFERROR(IF(Total_portions=0, 0, Charges_fixes_totales_periode / Total_portions),"Vérifier")</f>
        <v>Vérifier</v>
      </c>
      <c r="K97" s="131" cm="1">
        <f t="array" aca="1" ref="K97" ca="1">IFERROR(tbl_Produits[[#This Row],[Prix Menu]] - tbl_Produits[[#This Row],[Coût Moyen Portion]] - ChargesFixesPar_Portion[Charges fixes par portion],"Vérifier")</f>
        <v>-10710.8</v>
      </c>
      <c r="L97" s="132" t="str">
        <f ca="1">IF(OR(tbl_Produits[[#This Row],[Food cost % ]]&gt;0.35,tbl_Produits[[#This Row],[% de Chrg Fixe /Prdt]]&gt;0.2),"À améliorer","OK")</f>
        <v>À améliorer</v>
      </c>
      <c r="M9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98" spans="1:13" ht="16.5" customHeight="1" x14ac:dyDescent="0.25">
      <c r="A98" s="29" t="str">
        <f>Référentiels!A98&amp;TEXT(Référentiels!B98,"000")</f>
        <v>POI014</v>
      </c>
      <c r="B98" s="64" t="str">
        <f>+tbl_ProduitsRef[[#This Row],[Produit]]</f>
        <v>Crevette calamar à la chermoula</v>
      </c>
      <c r="C98" s="64" t="str">
        <f>IFERROR(INDEX(tbl_ProduitsRef[Famille], MATCH(tbl_Produits[[#This Row],[Cde_Prdt]], tbl_Produits[Cde_Prdt], 0)), "")</f>
        <v>Poissons &amp; Fruits de mer</v>
      </c>
      <c r="D98" s="65">
        <f ca="1">SUMIF(tbl_Recettes[Cde_Prdt], tbl_Produits[[#This Row],[Cde_Prdt]], tbl_Recettes[Coût Moyen Portion])</f>
        <v>56.6</v>
      </c>
      <c r="E98" s="66">
        <f>IFERROR(
   INDEX(tbl_ProduitsRef[Prix Menu],MATCH(B98,tbl_ProduitsRef[Produit],0)),
   ""
)</f>
        <v>70</v>
      </c>
      <c r="F98" s="66">
        <f ca="1">tbl_Produits[[#This Row],[Prix Menu]] - tbl_Produits[[#This Row],[Coût Moyen Portion]]</f>
        <v>13.399999999999999</v>
      </c>
      <c r="G98" s="67">
        <f ca="1">IF(tbl_Produits[[#This Row],[Prix Menu]]&gt;0, tbl_Produits[[#This Row],[Marge Brute]] / tbl_Produits[[#This Row],[Prix Menu]], 0)</f>
        <v>0.19142857142857142</v>
      </c>
      <c r="H98" s="69">
        <f t="shared" ca="1" si="2"/>
        <v>4.3071428571428569</v>
      </c>
      <c r="I98" s="67">
        <f ca="1">IF(tbl_Produits[[#This Row],[Prix Menu]]=0, 0, tbl_Produits[[#This Row],[Coût Moyen Portion]] / tbl_Produits[[#This Row],[Prix Menu]])</f>
        <v>0.80857142857142861</v>
      </c>
      <c r="J98" s="67" t="str" cm="1">
        <f t="array" ref="J98">IFERROR(IF(Total_portions=0, 0, Charges_fixes_totales_periode / Total_portions),"Vérifier")</f>
        <v>Vérifier</v>
      </c>
      <c r="K98" s="131" cm="1">
        <f t="array" aca="1" ref="K98" ca="1">IFERROR(tbl_Produits[[#This Row],[Prix Menu]] - tbl_Produits[[#This Row],[Coût Moyen Portion]] - ChargesFixesPar_Portion[Charges fixes par portion],"Vérifier")</f>
        <v>-10773.6</v>
      </c>
      <c r="L98" s="132" t="str">
        <f ca="1">IF(OR(tbl_Produits[[#This Row],[Food cost % ]]&gt;0.35,tbl_Produits[[#This Row],[% de Chrg Fixe /Prdt]]&gt;0.2),"À améliorer","OK")</f>
        <v>À améliorer</v>
      </c>
      <c r="M9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99" spans="1:13" ht="16.5" customHeight="1" x14ac:dyDescent="0.25">
      <c r="A99" s="29" t="str">
        <f>Référentiels!A99&amp;TEXT(Référentiels!B99,"000")</f>
        <v>POI015</v>
      </c>
      <c r="B99" s="64" t="str">
        <f>+tbl_ProduitsRef[[#This Row],[Produit]]</f>
        <v>Briouates de fruits de mer</v>
      </c>
      <c r="C99" s="64" t="str">
        <f>IFERROR(INDEX(tbl_ProduitsRef[Famille], MATCH(tbl_Produits[[#This Row],[Cde_Prdt]], tbl_Produits[Cde_Prdt], 0)), "")</f>
        <v>Poissons &amp; Fruits de mer</v>
      </c>
      <c r="D99" s="65">
        <f ca="1">SUMIF(tbl_Recettes[Cde_Prdt], tbl_Produits[[#This Row],[Cde_Prdt]], tbl_Recettes[Coût Moyen Portion])</f>
        <v>39.980000000000004</v>
      </c>
      <c r="E99" s="66">
        <f>IFERROR(
   INDEX(tbl_ProduitsRef[Prix Menu],MATCH(B99,tbl_ProduitsRef[Produit],0)),
   ""
)</f>
        <v>55</v>
      </c>
      <c r="F99" s="66">
        <f ca="1">tbl_Produits[[#This Row],[Prix Menu]] - tbl_Produits[[#This Row],[Coût Moyen Portion]]</f>
        <v>15.019999999999996</v>
      </c>
      <c r="G99" s="67">
        <f ca="1">IF(tbl_Produits[[#This Row],[Prix Menu]]&gt;0, tbl_Produits[[#This Row],[Marge Brute]] / tbl_Produits[[#This Row],[Prix Menu]], 0)</f>
        <v>0.273090909090909</v>
      </c>
      <c r="H99" s="69">
        <f t="shared" ca="1" si="2"/>
        <v>5.1204545454545443</v>
      </c>
      <c r="I99" s="67">
        <f ca="1">IF(tbl_Produits[[#This Row],[Prix Menu]]=0, 0, tbl_Produits[[#This Row],[Coût Moyen Portion]] / tbl_Produits[[#This Row],[Prix Menu]])</f>
        <v>0.72690909090909095</v>
      </c>
      <c r="J99" s="67" t="str" cm="1">
        <f t="array" ref="J99">IFERROR(IF(Total_portions=0, 0, Charges_fixes_totales_periode / Total_portions),"Vérifier")</f>
        <v>Vérifier</v>
      </c>
      <c r="K99" s="131" cm="1">
        <f t="array" aca="1" ref="K99" ca="1">IFERROR(tbl_Produits[[#This Row],[Prix Menu]] - tbl_Produits[[#This Row],[Coût Moyen Portion]] - ChargesFixesPar_Portion[Charges fixes par portion],"Vérifier")</f>
        <v>-10771.98</v>
      </c>
      <c r="L99" s="132" t="str">
        <f ca="1">IF(OR(tbl_Produits[[#This Row],[Food cost % ]]&gt;0.35,tbl_Produits[[#This Row],[% de Chrg Fixe /Prdt]]&gt;0.2),"À améliorer","OK")</f>
        <v>À améliorer</v>
      </c>
      <c r="M9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00" spans="1:13" ht="16.5" customHeight="1" x14ac:dyDescent="0.25">
      <c r="A100" s="29" t="str">
        <f>Référentiels!A100&amp;TEXT(Référentiels!B100,"000")</f>
        <v>TAJ001</v>
      </c>
      <c r="B100" s="64" t="str">
        <f>+tbl_ProduitsRef[[#This Row],[Produit]]</f>
        <v>Tajine de maazi et jelbana 1/2Kg</v>
      </c>
      <c r="C100" s="64" t="str">
        <f>IFERROR(INDEX(tbl_ProduitsRef[Famille], MATCH(tbl_Produits[[#This Row],[Cde_Prdt]], tbl_Produits[Cde_Prdt], 0)), "")</f>
        <v>Tajines &amp; Coin marocain</v>
      </c>
      <c r="D100" s="65">
        <f ca="1">SUMIF(tbl_Recettes[Cde_Prdt], tbl_Produits[[#This Row],[Cde_Prdt]], tbl_Recettes[Coût Moyen Portion])</f>
        <v>48.499999999999993</v>
      </c>
      <c r="E100" s="66">
        <f>IFERROR(
   INDEX(tbl_ProduitsRef[Prix Menu],MATCH(B100,tbl_ProduitsRef[Produit],0)),
   ""
)</f>
        <v>115</v>
      </c>
      <c r="F100" s="66">
        <f ca="1">tbl_Produits[[#This Row],[Prix Menu]] - tbl_Produits[[#This Row],[Coût Moyen Portion]]</f>
        <v>66.5</v>
      </c>
      <c r="G100" s="67">
        <f ca="1">IF(tbl_Produits[[#This Row],[Prix Menu]]&gt;0, tbl_Produits[[#This Row],[Marge Brute]] / tbl_Produits[[#This Row],[Prix Menu]], 0)</f>
        <v>0.57826086956521738</v>
      </c>
      <c r="H100" s="69">
        <f t="shared" ref="H100:H130" ca="1" si="3">IFERROR(
AVERAGE(G100*10, F100/2),
0)</f>
        <v>19.516304347826086</v>
      </c>
      <c r="I100" s="67">
        <f ca="1">IF(tbl_Produits[[#This Row],[Prix Menu]]=0, 0, tbl_Produits[[#This Row],[Coût Moyen Portion]] / tbl_Produits[[#This Row],[Prix Menu]])</f>
        <v>0.42173913043478256</v>
      </c>
      <c r="J100" s="67" t="str" cm="1">
        <f t="array" ref="J100">IFERROR(IF(Total_portions=0, 0, Charges_fixes_totales_periode / Total_portions),"Vérifier")</f>
        <v>Vérifier</v>
      </c>
      <c r="K100" s="131" cm="1">
        <f t="array" aca="1" ref="K100" ca="1">IFERROR(tbl_Produits[[#This Row],[Prix Menu]] - tbl_Produits[[#This Row],[Coût Moyen Portion]] - ChargesFixesPar_Portion[Charges fixes par portion],"Vérifier")</f>
        <v>-10720.5</v>
      </c>
      <c r="L100" s="132" t="str">
        <f ca="1">IF(OR(tbl_Produits[[#This Row],[Food cost % ]]&gt;0.35,tbl_Produits[[#This Row],[% de Chrg Fixe /Prdt]]&gt;0.2),"À améliorer","OK")</f>
        <v>À améliorer</v>
      </c>
      <c r="M100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01" spans="1:13" ht="16.5" customHeight="1" x14ac:dyDescent="0.25">
      <c r="A101" s="29" t="str">
        <f>Référentiels!A101&amp;TEXT(Référentiels!B101,"000")</f>
        <v>TAJ002</v>
      </c>
      <c r="B101" s="64" t="str">
        <f>+tbl_ProduitsRef[[#This Row],[Produit]]</f>
        <v>Tajine de maazi et jelbana 1Kg</v>
      </c>
      <c r="C101" s="64" t="str">
        <f>IFERROR(INDEX(tbl_ProduitsRef[Famille], MATCH(tbl_Produits[[#This Row],[Cde_Prdt]], tbl_Produits[Cde_Prdt], 0)), "")</f>
        <v>Tajines &amp; Coin marocain</v>
      </c>
      <c r="D101" s="65">
        <f ca="1">SUMIF(tbl_Recettes[Cde_Prdt], tbl_Produits[[#This Row],[Cde_Prdt]], tbl_Recettes[Coût Moyen Portion])</f>
        <v>97.6</v>
      </c>
      <c r="E101" s="66">
        <f>IFERROR(
   INDEX(tbl_ProduitsRef[Prix Menu],MATCH(B101,tbl_ProduitsRef[Produit],0)),
   ""
)</f>
        <v>230</v>
      </c>
      <c r="F101" s="66">
        <f ca="1">tbl_Produits[[#This Row],[Prix Menu]] - tbl_Produits[[#This Row],[Coût Moyen Portion]]</f>
        <v>132.4</v>
      </c>
      <c r="G101" s="67">
        <f ca="1">IF(tbl_Produits[[#This Row],[Prix Menu]]&gt;0, tbl_Produits[[#This Row],[Marge Brute]] / tbl_Produits[[#This Row],[Prix Menu]], 0)</f>
        <v>0.57565217391304346</v>
      </c>
      <c r="H101" s="69">
        <f t="shared" ca="1" si="3"/>
        <v>35.978260869565219</v>
      </c>
      <c r="I101" s="67">
        <f ca="1">IF(tbl_Produits[[#This Row],[Prix Menu]]=0, 0, tbl_Produits[[#This Row],[Coût Moyen Portion]] / tbl_Produits[[#This Row],[Prix Menu]])</f>
        <v>0.42434782608695648</v>
      </c>
      <c r="J101" s="67" t="str" cm="1">
        <f t="array" ref="J101">IFERROR(IF(Total_portions=0, 0, Charges_fixes_totales_periode / Total_portions),"Vérifier")</f>
        <v>Vérifier</v>
      </c>
      <c r="K101" s="131" cm="1">
        <f t="array" aca="1" ref="K101" ca="1">IFERROR(tbl_Produits[[#This Row],[Prix Menu]] - tbl_Produits[[#This Row],[Coût Moyen Portion]] - ChargesFixesPar_Portion[Charges fixes par portion],"Vérifier")</f>
        <v>-10654.6</v>
      </c>
      <c r="L101" s="132" t="str">
        <f ca="1">IF(OR(tbl_Produits[[#This Row],[Food cost % ]]&gt;0.35,tbl_Produits[[#This Row],[% de Chrg Fixe /Prdt]]&gt;0.2),"À améliorer","OK")</f>
        <v>À améliorer</v>
      </c>
      <c r="M101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02" spans="1:13" ht="16.5" customHeight="1" x14ac:dyDescent="0.25">
      <c r="A102" s="29" t="str">
        <f>Référentiels!A102&amp;TEXT(Référentiels!B102,"000")</f>
        <v>TAJ003</v>
      </c>
      <c r="B102" s="64" t="str">
        <f>+tbl_ProduitsRef[[#This Row],[Produit]]</f>
        <v>Tajine de ghenmi aux légumes 1/2Kg</v>
      </c>
      <c r="C102" s="64" t="str">
        <f>IFERROR(INDEX(tbl_ProduitsRef[Famille], MATCH(tbl_Produits[[#This Row],[Cde_Prdt]], tbl_Produits[Cde_Prdt], 0)), "")</f>
        <v>Tajines &amp; Coin marocain</v>
      </c>
      <c r="D102" s="65">
        <f ca="1">SUMIF(tbl_Recettes[Cde_Prdt], tbl_Produits[[#This Row],[Cde_Prdt]], tbl_Recettes[Coût Moyen Portion])</f>
        <v>41.19</v>
      </c>
      <c r="E102" s="66">
        <f>IFERROR(
   INDEX(tbl_ProduitsRef[Prix Menu],MATCH(B102,tbl_ProduitsRef[Produit],0)),
   ""
)</f>
        <v>115</v>
      </c>
      <c r="F102" s="66">
        <f ca="1">tbl_Produits[[#This Row],[Prix Menu]] - tbl_Produits[[#This Row],[Coût Moyen Portion]]</f>
        <v>73.81</v>
      </c>
      <c r="G102" s="67">
        <f ca="1">IF(tbl_Produits[[#This Row],[Prix Menu]]&gt;0, tbl_Produits[[#This Row],[Marge Brute]] / tbl_Produits[[#This Row],[Prix Menu]], 0)</f>
        <v>0.64182608695652177</v>
      </c>
      <c r="H102" s="69">
        <f t="shared" ca="1" si="3"/>
        <v>21.661630434782609</v>
      </c>
      <c r="I102" s="67">
        <f ca="1">IF(tbl_Produits[[#This Row],[Prix Menu]]=0, 0, tbl_Produits[[#This Row],[Coût Moyen Portion]] / tbl_Produits[[#This Row],[Prix Menu]])</f>
        <v>0.35817391304347823</v>
      </c>
      <c r="J102" s="67" t="str" cm="1">
        <f t="array" ref="J102">IFERROR(IF(Total_portions=0, 0, Charges_fixes_totales_periode / Total_portions),"Vérifier")</f>
        <v>Vérifier</v>
      </c>
      <c r="K102" s="131" cm="1">
        <f t="array" aca="1" ref="K102" ca="1">IFERROR(tbl_Produits[[#This Row],[Prix Menu]] - tbl_Produits[[#This Row],[Coût Moyen Portion]] - ChargesFixesPar_Portion[Charges fixes par portion],"Vérifier")</f>
        <v>-10713.19</v>
      </c>
      <c r="L102" s="132" t="str">
        <f ca="1">IF(OR(tbl_Produits[[#This Row],[Food cost % ]]&gt;0.35,tbl_Produits[[#This Row],[% de Chrg Fixe /Prdt]]&gt;0.2),"À améliorer","OK")</f>
        <v>À améliorer</v>
      </c>
      <c r="M102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03" spans="1:13" ht="16.5" customHeight="1" x14ac:dyDescent="0.25">
      <c r="A103" s="29" t="str">
        <f>Référentiels!A103&amp;TEXT(Référentiels!B103,"000")</f>
        <v>TAJ004</v>
      </c>
      <c r="B103" s="64" t="str">
        <f>+tbl_ProduitsRef[[#This Row],[Produit]]</f>
        <v>Tajine de ghenmi aux légumes 1Kg</v>
      </c>
      <c r="C103" s="64" t="str">
        <f>IFERROR(INDEX(tbl_ProduitsRef[Famille], MATCH(tbl_Produits[[#This Row],[Cde_Prdt]], tbl_Produits[Cde_Prdt], 0)), "")</f>
        <v>Tajines &amp; Coin marocain</v>
      </c>
      <c r="D103" s="65">
        <f ca="1">SUMIF(tbl_Recettes[Cde_Prdt], tbl_Produits[[#This Row],[Cde_Prdt]], tbl_Recettes[Coût Moyen Portion])</f>
        <v>82.58</v>
      </c>
      <c r="E103" s="66">
        <f>IFERROR(
   INDEX(tbl_ProduitsRef[Prix Menu],MATCH(B103,tbl_ProduitsRef[Produit],0)),
   ""
)</f>
        <v>230</v>
      </c>
      <c r="F103" s="66">
        <f ca="1">tbl_Produits[[#This Row],[Prix Menu]] - tbl_Produits[[#This Row],[Coût Moyen Portion]]</f>
        <v>147.42000000000002</v>
      </c>
      <c r="G103" s="67">
        <f ca="1">IF(tbl_Produits[[#This Row],[Prix Menu]]&gt;0, tbl_Produits[[#This Row],[Marge Brute]] / tbl_Produits[[#This Row],[Prix Menu]], 0)</f>
        <v>0.64095652173913054</v>
      </c>
      <c r="H103" s="69">
        <f t="shared" ca="1" si="3"/>
        <v>40.059782608695656</v>
      </c>
      <c r="I103" s="67">
        <f ca="1">IF(tbl_Produits[[#This Row],[Prix Menu]]=0, 0, tbl_Produits[[#This Row],[Coût Moyen Portion]] / tbl_Produits[[#This Row],[Prix Menu]])</f>
        <v>0.35904347826086958</v>
      </c>
      <c r="J103" s="67" t="str" cm="1">
        <f t="array" ref="J103">IFERROR(IF(Total_portions=0, 0, Charges_fixes_totales_periode / Total_portions),"Vérifier")</f>
        <v>Vérifier</v>
      </c>
      <c r="K103" s="131" cm="1">
        <f t="array" aca="1" ref="K103" ca="1">IFERROR(tbl_Produits[[#This Row],[Prix Menu]] - tbl_Produits[[#This Row],[Coût Moyen Portion]] - ChargesFixesPar_Portion[Charges fixes par portion],"Vérifier")</f>
        <v>-10639.58</v>
      </c>
      <c r="L103" s="132" t="str">
        <f ca="1">IF(OR(tbl_Produits[[#This Row],[Food cost % ]]&gt;0.35,tbl_Produits[[#This Row],[% de Chrg Fixe /Prdt]]&gt;0.2),"À améliorer","OK")</f>
        <v>À améliorer</v>
      </c>
      <c r="M103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04" spans="1:13" ht="16.5" customHeight="1" x14ac:dyDescent="0.25">
      <c r="A104" s="29" t="str">
        <f>Référentiels!A104&amp;TEXT(Référentiels!B104,"000")</f>
        <v>TAJ005</v>
      </c>
      <c r="B104" s="64" t="str">
        <f>+tbl_ProduitsRef[[#This Row],[Produit]]</f>
        <v>Tajine de poulet beldi (raisins/oignons ) 1/2Kg</v>
      </c>
      <c r="C104" s="64" t="str">
        <f>IFERROR(INDEX(tbl_ProduitsRef[Famille], MATCH(tbl_Produits[[#This Row],[Cde_Prdt]], tbl_Produits[Cde_Prdt], 0)), "")</f>
        <v>Tajines &amp; Coin marocain</v>
      </c>
      <c r="D104" s="65">
        <f ca="1">SUMIF(tbl_Recettes[Cde_Prdt], tbl_Produits[[#This Row],[Cde_Prdt]], tbl_Recettes[Coût Moyen Portion])</f>
        <v>35.839999999999996</v>
      </c>
      <c r="E104" s="66">
        <f>IFERROR(
   INDEX(tbl_ProduitsRef[Prix Menu],MATCH(B104,tbl_ProduitsRef[Produit],0)),
   ""
)</f>
        <v>105</v>
      </c>
      <c r="F104" s="66">
        <f ca="1">tbl_Produits[[#This Row],[Prix Menu]] - tbl_Produits[[#This Row],[Coût Moyen Portion]]</f>
        <v>69.16</v>
      </c>
      <c r="G104" s="67">
        <f ca="1">IF(tbl_Produits[[#This Row],[Prix Menu]]&gt;0, tbl_Produits[[#This Row],[Marge Brute]] / tbl_Produits[[#This Row],[Prix Menu]], 0)</f>
        <v>0.65866666666666662</v>
      </c>
      <c r="H104" s="69">
        <f t="shared" ca="1" si="3"/>
        <v>20.583333333333332</v>
      </c>
      <c r="I104" s="67">
        <f ca="1">IF(tbl_Produits[[#This Row],[Prix Menu]]=0, 0, tbl_Produits[[#This Row],[Coût Moyen Portion]] / tbl_Produits[[#This Row],[Prix Menu]])</f>
        <v>0.34133333333333332</v>
      </c>
      <c r="J104" s="67" t="str" cm="1">
        <f t="array" ref="J104">IFERROR(IF(Total_portions=0, 0, Charges_fixes_totales_periode / Total_portions),"Vérifier")</f>
        <v>Vérifier</v>
      </c>
      <c r="K104" s="131" cm="1">
        <f t="array" aca="1" ref="K104" ca="1">IFERROR(tbl_Produits[[#This Row],[Prix Menu]] - tbl_Produits[[#This Row],[Coût Moyen Portion]] - ChargesFixesPar_Portion[Charges fixes par portion],"Vérifier")</f>
        <v>-10717.84</v>
      </c>
      <c r="L104" s="132" t="str">
        <f ca="1">IF(OR(tbl_Produits[[#This Row],[Food cost % ]]&gt;0.35,tbl_Produits[[#This Row],[% de Chrg Fixe /Prdt]]&gt;0.2),"À améliorer","OK")</f>
        <v>À améliorer</v>
      </c>
      <c r="M104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05" spans="1:13" ht="16.5" customHeight="1" x14ac:dyDescent="0.25">
      <c r="A105" s="29" t="str">
        <f>Référentiels!A105&amp;TEXT(Référentiels!B105,"000")</f>
        <v>TAJ006</v>
      </c>
      <c r="B105" s="64" t="str">
        <f>+tbl_ProduitsRef[[#This Row],[Produit]]</f>
        <v>Tajine de poulet beldi (raisins/oignons ) 1Kg</v>
      </c>
      <c r="C105" s="64" t="str">
        <f>IFERROR(INDEX(tbl_ProduitsRef[Famille], MATCH(tbl_Produits[[#This Row],[Cde_Prdt]], tbl_Produits[Cde_Prdt], 0)), "")</f>
        <v>Tajines &amp; Coin marocain</v>
      </c>
      <c r="D105" s="65">
        <f ca="1">SUMIF(tbl_Recettes[Cde_Prdt], tbl_Produits[[#This Row],[Cde_Prdt]], tbl_Recettes[Coût Moyen Portion])</f>
        <v>71.679999999999993</v>
      </c>
      <c r="E105" s="66">
        <f>IFERROR(
   INDEX(tbl_ProduitsRef[Prix Menu],MATCH(B105,tbl_ProduitsRef[Produit],0)),
   ""
)</f>
        <v>210</v>
      </c>
      <c r="F105" s="66">
        <f ca="1">tbl_Produits[[#This Row],[Prix Menu]] - tbl_Produits[[#This Row],[Coût Moyen Portion]]</f>
        <v>138.32</v>
      </c>
      <c r="G105" s="67">
        <f ca="1">IF(tbl_Produits[[#This Row],[Prix Menu]]&gt;0, tbl_Produits[[#This Row],[Marge Brute]] / tbl_Produits[[#This Row],[Prix Menu]], 0)</f>
        <v>0.65866666666666662</v>
      </c>
      <c r="H105" s="69">
        <f t="shared" ca="1" si="3"/>
        <v>37.873333333333335</v>
      </c>
      <c r="I105" s="67">
        <f ca="1">IF(tbl_Produits[[#This Row],[Prix Menu]]=0, 0, tbl_Produits[[#This Row],[Coût Moyen Portion]] / tbl_Produits[[#This Row],[Prix Menu]])</f>
        <v>0.34133333333333332</v>
      </c>
      <c r="J105" s="67" t="str" cm="1">
        <f t="array" ref="J105">IFERROR(IF(Total_portions=0, 0, Charges_fixes_totales_periode / Total_portions),"Vérifier")</f>
        <v>Vérifier</v>
      </c>
      <c r="K105" s="131" cm="1">
        <f t="array" aca="1" ref="K105" ca="1">IFERROR(tbl_Produits[[#This Row],[Prix Menu]] - tbl_Produits[[#This Row],[Coût Moyen Portion]] - ChargesFixesPar_Portion[Charges fixes par portion],"Vérifier")</f>
        <v>-10648.68</v>
      </c>
      <c r="L105" s="132" t="str">
        <f ca="1">IF(OR(tbl_Produits[[#This Row],[Food cost % ]]&gt;0.35,tbl_Produits[[#This Row],[% de Chrg Fixe /Prdt]]&gt;0.2),"À améliorer","OK")</f>
        <v>À améliorer</v>
      </c>
      <c r="M105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06" spans="1:13" ht="16.5" customHeight="1" x14ac:dyDescent="0.25">
      <c r="A106" s="29" t="str">
        <f>Référentiels!A106&amp;TEXT(Référentiels!B106,"000")</f>
        <v>TAJ007</v>
      </c>
      <c r="B106" s="64" t="str">
        <f>+tbl_ProduitsRef[[#This Row],[Produit]]</f>
        <v>Tajine de poulet beldi (citron confit) 1/2Kg</v>
      </c>
      <c r="C106" s="64" t="str">
        <f>IFERROR(INDEX(tbl_ProduitsRef[Famille], MATCH(tbl_Produits[[#This Row],[Cde_Prdt]], tbl_Produits[Cde_Prdt], 0)), "")</f>
        <v>Tajines &amp; Coin marocain</v>
      </c>
      <c r="D106" s="65">
        <f ca="1">SUMIF(tbl_Recettes[Cde_Prdt], tbl_Produits[[#This Row],[Cde_Prdt]], tbl_Recettes[Coût Moyen Portion])</f>
        <v>36.85</v>
      </c>
      <c r="E106" s="66">
        <f>IFERROR(
   INDEX(tbl_ProduitsRef[Prix Menu],MATCH(B106,tbl_ProduitsRef[Produit],0)),
   ""
)</f>
        <v>110</v>
      </c>
      <c r="F106" s="66">
        <f ca="1">tbl_Produits[[#This Row],[Prix Menu]] - tbl_Produits[[#This Row],[Coût Moyen Portion]]</f>
        <v>73.150000000000006</v>
      </c>
      <c r="G106" s="67">
        <f ca="1">IF(tbl_Produits[[#This Row],[Prix Menu]]&gt;0, tbl_Produits[[#This Row],[Marge Brute]] / tbl_Produits[[#This Row],[Prix Menu]], 0)</f>
        <v>0.66500000000000004</v>
      </c>
      <c r="H106" s="69">
        <f t="shared" ca="1" si="3"/>
        <v>21.612500000000001</v>
      </c>
      <c r="I106" s="67">
        <f ca="1">IF(tbl_Produits[[#This Row],[Prix Menu]]=0, 0, tbl_Produits[[#This Row],[Coût Moyen Portion]] / tbl_Produits[[#This Row],[Prix Menu]])</f>
        <v>0.33500000000000002</v>
      </c>
      <c r="J106" s="67" t="str" cm="1">
        <f t="array" ref="J106">IFERROR(IF(Total_portions=0, 0, Charges_fixes_totales_periode / Total_portions),"Vérifier")</f>
        <v>Vérifier</v>
      </c>
      <c r="K106" s="131" cm="1">
        <f t="array" aca="1" ref="K106" ca="1">IFERROR(tbl_Produits[[#This Row],[Prix Menu]] - tbl_Produits[[#This Row],[Coût Moyen Portion]] - ChargesFixesPar_Portion[Charges fixes par portion],"Vérifier")</f>
        <v>-10713.85</v>
      </c>
      <c r="L106" s="132" t="str">
        <f ca="1">IF(OR(tbl_Produits[[#This Row],[Food cost % ]]&gt;0.35,tbl_Produits[[#This Row],[% de Chrg Fixe /Prdt]]&gt;0.2),"À améliorer","OK")</f>
        <v>À améliorer</v>
      </c>
      <c r="M106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07" spans="1:13" ht="16.5" customHeight="1" x14ac:dyDescent="0.25">
      <c r="A107" s="29" t="str">
        <f>Référentiels!A107&amp;TEXT(Référentiels!B107,"000")</f>
        <v>TAJ008</v>
      </c>
      <c r="B107" s="64" t="str">
        <f>+tbl_ProduitsRef[[#This Row],[Produit]]</f>
        <v>Tajine de poulet beldi (citron confit) 1Kg</v>
      </c>
      <c r="C107" s="64" t="str">
        <f>IFERROR(INDEX(tbl_ProduitsRef[Famille], MATCH(tbl_Produits[[#This Row],[Cde_Prdt]], tbl_Produits[Cde_Prdt], 0)), "")</f>
        <v>Tajines &amp; Coin marocain</v>
      </c>
      <c r="D107" s="65">
        <f ca="1">SUMIF(tbl_Recettes[Cde_Prdt], tbl_Produits[[#This Row],[Cde_Prdt]], tbl_Recettes[Coût Moyen Portion])</f>
        <v>73.7</v>
      </c>
      <c r="E107" s="66">
        <f>IFERROR(
   INDEX(tbl_ProduitsRef[Prix Menu],MATCH(B107,tbl_ProduitsRef[Produit],0)),
   ""
)</f>
        <v>210</v>
      </c>
      <c r="F107" s="66">
        <f ca="1">tbl_Produits[[#This Row],[Prix Menu]] - tbl_Produits[[#This Row],[Coût Moyen Portion]]</f>
        <v>136.30000000000001</v>
      </c>
      <c r="G107" s="67">
        <f ca="1">IF(tbl_Produits[[#This Row],[Prix Menu]]&gt;0, tbl_Produits[[#This Row],[Marge Brute]] / tbl_Produits[[#This Row],[Prix Menu]], 0)</f>
        <v>0.6490476190476191</v>
      </c>
      <c r="H107" s="69">
        <f t="shared" ca="1" si="3"/>
        <v>37.320238095238096</v>
      </c>
      <c r="I107" s="67">
        <f ca="1">IF(tbl_Produits[[#This Row],[Prix Menu]]=0, 0, tbl_Produits[[#This Row],[Coût Moyen Portion]] / tbl_Produits[[#This Row],[Prix Menu]])</f>
        <v>0.35095238095238096</v>
      </c>
      <c r="J107" s="67" t="str" cm="1">
        <f t="array" ref="J107">IFERROR(IF(Total_portions=0, 0, Charges_fixes_totales_periode / Total_portions),"Vérifier")</f>
        <v>Vérifier</v>
      </c>
      <c r="K107" s="131" cm="1">
        <f t="array" aca="1" ref="K107" ca="1">IFERROR(tbl_Produits[[#This Row],[Prix Menu]] - tbl_Produits[[#This Row],[Coût Moyen Portion]] - ChargesFixesPar_Portion[Charges fixes par portion],"Vérifier")</f>
        <v>-10650.7</v>
      </c>
      <c r="L107" s="132" t="str">
        <f ca="1">IF(OR(tbl_Produits[[#This Row],[Food cost % ]]&gt;0.35,tbl_Produits[[#This Row],[% de Chrg Fixe /Prdt]]&gt;0.2),"À améliorer","OK")</f>
        <v>À améliorer</v>
      </c>
      <c r="M107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08" spans="1:13" ht="16.5" customHeight="1" x14ac:dyDescent="0.25">
      <c r="A108" s="29" t="str">
        <f>Référentiels!A108&amp;TEXT(Référentiels!B108,"000")</f>
        <v>TAJ009</v>
      </c>
      <c r="B108" s="64" t="str">
        <f>+tbl_ProduitsRef[[#This Row],[Produit]]</f>
        <v>Tajine de begri aux légumes 1/2Kg</v>
      </c>
      <c r="C108" s="64" t="str">
        <f>IFERROR(INDEX(tbl_ProduitsRef[Famille], MATCH(tbl_Produits[[#This Row],[Cde_Prdt]], tbl_Produits[Cde_Prdt], 0)), "")</f>
        <v>Tajines &amp; Coin marocain</v>
      </c>
      <c r="D108" s="65">
        <f ca="1">SUMIF(tbl_Recettes[Cde_Prdt], tbl_Produits[[#This Row],[Cde_Prdt]], tbl_Recettes[Coût Moyen Portion])</f>
        <v>53</v>
      </c>
      <c r="E108" s="66">
        <f>IFERROR(
   INDEX(tbl_ProduitsRef[Prix Menu],MATCH(B108,tbl_ProduitsRef[Produit],0)),
   ""
)</f>
        <v>100</v>
      </c>
      <c r="F108" s="66">
        <f ca="1">tbl_Produits[[#This Row],[Prix Menu]] - tbl_Produits[[#This Row],[Coût Moyen Portion]]</f>
        <v>47</v>
      </c>
      <c r="G108" s="67">
        <f ca="1">IF(tbl_Produits[[#This Row],[Prix Menu]]&gt;0, tbl_Produits[[#This Row],[Marge Brute]] / tbl_Produits[[#This Row],[Prix Menu]], 0)</f>
        <v>0.47</v>
      </c>
      <c r="H108" s="69">
        <f t="shared" ca="1" si="3"/>
        <v>14.1</v>
      </c>
      <c r="I108" s="67">
        <f ca="1">IF(tbl_Produits[[#This Row],[Prix Menu]]=0, 0, tbl_Produits[[#This Row],[Coût Moyen Portion]] / tbl_Produits[[#This Row],[Prix Menu]])</f>
        <v>0.53</v>
      </c>
      <c r="J108" s="67" t="str" cm="1">
        <f t="array" ref="J108">IFERROR(IF(Total_portions=0, 0, Charges_fixes_totales_periode / Total_portions),"Vérifier")</f>
        <v>Vérifier</v>
      </c>
      <c r="K108" s="131" cm="1">
        <f t="array" aca="1" ref="K108" ca="1">IFERROR(tbl_Produits[[#This Row],[Prix Menu]] - tbl_Produits[[#This Row],[Coût Moyen Portion]] - ChargesFixesPar_Portion[Charges fixes par portion],"Vérifier")</f>
        <v>-10740</v>
      </c>
      <c r="L108" s="132" t="str">
        <f ca="1">IF(OR(tbl_Produits[[#This Row],[Food cost % ]]&gt;0.35,tbl_Produits[[#This Row],[% de Chrg Fixe /Prdt]]&gt;0.2),"À améliorer","OK")</f>
        <v>À améliorer</v>
      </c>
      <c r="M108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09" spans="1:13" ht="16.5" customHeight="1" x14ac:dyDescent="0.25">
      <c r="A109" s="29" t="str">
        <f>Référentiels!A109&amp;TEXT(Référentiels!B109,"000")</f>
        <v>TAJ010</v>
      </c>
      <c r="B109" s="64" t="str">
        <f>+tbl_ProduitsRef[[#This Row],[Produit]]</f>
        <v>Tajine de begri aux légumes 1Kg</v>
      </c>
      <c r="C109" s="64" t="str">
        <f>IFERROR(INDEX(tbl_ProduitsRef[Famille], MATCH(tbl_Produits[[#This Row],[Cde_Prdt]], tbl_Produits[Cde_Prdt], 0)), "")</f>
        <v>Tajines &amp; Coin marocain</v>
      </c>
      <c r="D109" s="65">
        <f ca="1">SUMIF(tbl_Recettes[Cde_Prdt], tbl_Produits[[#This Row],[Cde_Prdt]], tbl_Recettes[Coût Moyen Portion])</f>
        <v>108</v>
      </c>
      <c r="E109" s="66">
        <f>IFERROR(
   INDEX(tbl_ProduitsRef[Prix Menu],MATCH(B109,tbl_ProduitsRef[Produit],0)),
   ""
)</f>
        <v>200</v>
      </c>
      <c r="F109" s="66">
        <f ca="1">tbl_Produits[[#This Row],[Prix Menu]] - tbl_Produits[[#This Row],[Coût Moyen Portion]]</f>
        <v>92</v>
      </c>
      <c r="G109" s="67">
        <f ca="1">IF(tbl_Produits[[#This Row],[Prix Menu]]&gt;0, tbl_Produits[[#This Row],[Marge Brute]] / tbl_Produits[[#This Row],[Prix Menu]], 0)</f>
        <v>0.46</v>
      </c>
      <c r="H109" s="69">
        <f t="shared" ca="1" si="3"/>
        <v>25.3</v>
      </c>
      <c r="I109" s="67">
        <f ca="1">IF(tbl_Produits[[#This Row],[Prix Menu]]=0, 0, tbl_Produits[[#This Row],[Coût Moyen Portion]] / tbl_Produits[[#This Row],[Prix Menu]])</f>
        <v>0.54</v>
      </c>
      <c r="J109" s="67" t="str" cm="1">
        <f t="array" ref="J109">IFERROR(IF(Total_portions=0, 0, Charges_fixes_totales_periode / Total_portions),"Vérifier")</f>
        <v>Vérifier</v>
      </c>
      <c r="K109" s="131" cm="1">
        <f t="array" aca="1" ref="K109" ca="1">IFERROR(tbl_Produits[[#This Row],[Prix Menu]] - tbl_Produits[[#This Row],[Coût Moyen Portion]] - ChargesFixesPar_Portion[Charges fixes par portion],"Vérifier")</f>
        <v>-10695</v>
      </c>
      <c r="L109" s="132" t="str">
        <f ca="1">IF(OR(tbl_Produits[[#This Row],[Food cost % ]]&gt;0.35,tbl_Produits[[#This Row],[% de Chrg Fixe /Prdt]]&gt;0.2),"À améliorer","OK")</f>
        <v>À améliorer</v>
      </c>
      <c r="M109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10" spans="1:13" ht="16.5" customHeight="1" x14ac:dyDescent="0.25">
      <c r="A110" s="29" t="str">
        <f>Référentiels!A110&amp;TEXT(Référentiels!B110,"000")</f>
        <v>TAJ011</v>
      </c>
      <c r="B110" s="64" t="str">
        <f>+tbl_ProduitsRef[[#This Row],[Produit]]</f>
        <v>Tanjia marrakchia 1/2Kg</v>
      </c>
      <c r="C110" s="64" t="str">
        <f>IFERROR(INDEX(tbl_ProduitsRef[Famille], MATCH(tbl_Produits[[#This Row],[Cde_Prdt]], tbl_Produits[Cde_Prdt], 0)), "")</f>
        <v>Tajines &amp; Coin marocain</v>
      </c>
      <c r="D110" s="65">
        <f ca="1">SUMIF(tbl_Recettes[Cde_Prdt], tbl_Produits[[#This Row],[Cde_Prdt]], tbl_Recettes[Coût Moyen Portion])</f>
        <v>58.1</v>
      </c>
      <c r="E110" s="66">
        <f>IFERROR(
   INDEX(tbl_ProduitsRef[Prix Menu],MATCH(B110,tbl_ProduitsRef[Produit],0)),
   ""
)</f>
        <v>110</v>
      </c>
      <c r="F110" s="66">
        <f ca="1">tbl_Produits[[#This Row],[Prix Menu]] - tbl_Produits[[#This Row],[Coût Moyen Portion]]</f>
        <v>51.9</v>
      </c>
      <c r="G110" s="67">
        <f ca="1">IF(tbl_Produits[[#This Row],[Prix Menu]]&gt;0, tbl_Produits[[#This Row],[Marge Brute]] / tbl_Produits[[#This Row],[Prix Menu]], 0)</f>
        <v>0.4718181818181818</v>
      </c>
      <c r="H110" s="69">
        <f t="shared" ca="1" si="3"/>
        <v>15.334090909090909</v>
      </c>
      <c r="I110" s="67">
        <f ca="1">IF(tbl_Produits[[#This Row],[Prix Menu]]=0, 0, tbl_Produits[[#This Row],[Coût Moyen Portion]] / tbl_Produits[[#This Row],[Prix Menu]])</f>
        <v>0.5281818181818182</v>
      </c>
      <c r="J110" s="67" t="str" cm="1">
        <f t="array" ref="J110">IFERROR(IF(Total_portions=0, 0, Charges_fixes_totales_periode / Total_portions),"Vérifier")</f>
        <v>Vérifier</v>
      </c>
      <c r="K110" s="131" cm="1">
        <f t="array" aca="1" ref="K110" ca="1">IFERROR(tbl_Produits[[#This Row],[Prix Menu]] - tbl_Produits[[#This Row],[Coût Moyen Portion]] - ChargesFixesPar_Portion[Charges fixes par portion],"Vérifier")</f>
        <v>-10735.1</v>
      </c>
      <c r="L110" s="132" t="str">
        <f ca="1">IF(OR(tbl_Produits[[#This Row],[Food cost % ]]&gt;0.35,tbl_Produits[[#This Row],[% de Chrg Fixe /Prdt]]&gt;0.2),"À améliorer","OK")</f>
        <v>À améliorer</v>
      </c>
      <c r="M110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11" spans="1:13" ht="16.5" customHeight="1" x14ac:dyDescent="0.25">
      <c r="A111" s="29" t="str">
        <f>Référentiels!A111&amp;TEXT(Référentiels!B111,"000")</f>
        <v>TAJ012</v>
      </c>
      <c r="B111" s="64" t="str">
        <f>+tbl_ProduitsRef[[#This Row],[Produit]]</f>
        <v>Tanjia marrakchia 1Kg</v>
      </c>
      <c r="C111" s="64" t="str">
        <f>IFERROR(INDEX(tbl_ProduitsRef[Famille], MATCH(tbl_Produits[[#This Row],[Cde_Prdt]], tbl_Produits[Cde_Prdt], 0)), "")</f>
        <v>Tajines &amp; Coin marocain</v>
      </c>
      <c r="D111" s="65">
        <f ca="1">SUMIF(tbl_Recettes[Cde_Prdt], tbl_Produits[[#This Row],[Cde_Prdt]], tbl_Recettes[Coût Moyen Portion])</f>
        <v>116.2</v>
      </c>
      <c r="E111" s="66">
        <f>IFERROR(
   INDEX(tbl_ProduitsRef[Prix Menu],MATCH(B111,tbl_ProduitsRef[Produit],0)),
   ""
)</f>
        <v>200</v>
      </c>
      <c r="F111" s="66">
        <f ca="1">tbl_Produits[[#This Row],[Prix Menu]] - tbl_Produits[[#This Row],[Coût Moyen Portion]]</f>
        <v>83.8</v>
      </c>
      <c r="G111" s="67">
        <f ca="1">IF(tbl_Produits[[#This Row],[Prix Menu]]&gt;0, tbl_Produits[[#This Row],[Marge Brute]] / tbl_Produits[[#This Row],[Prix Menu]], 0)</f>
        <v>0.41899999999999998</v>
      </c>
      <c r="H111" s="69">
        <f t="shared" ca="1" si="3"/>
        <v>23.044999999999998</v>
      </c>
      <c r="I111" s="67">
        <f ca="1">IF(tbl_Produits[[#This Row],[Prix Menu]]=0, 0, tbl_Produits[[#This Row],[Coût Moyen Portion]] / tbl_Produits[[#This Row],[Prix Menu]])</f>
        <v>0.58099999999999996</v>
      </c>
      <c r="J111" s="67" t="str" cm="1">
        <f t="array" ref="J111">IFERROR(IF(Total_portions=0, 0, Charges_fixes_totales_periode / Total_portions),"Vérifier")</f>
        <v>Vérifier</v>
      </c>
      <c r="K111" s="131" cm="1">
        <f t="array" aca="1" ref="K111" ca="1">IFERROR(tbl_Produits[[#This Row],[Prix Menu]] - tbl_Produits[[#This Row],[Coût Moyen Portion]] - ChargesFixesPar_Portion[Charges fixes par portion],"Vérifier")</f>
        <v>-10703.2</v>
      </c>
      <c r="L111" s="132" t="str">
        <f ca="1">IF(OR(tbl_Produits[[#This Row],[Food cost % ]]&gt;0.35,tbl_Produits[[#This Row],[% de Chrg Fixe /Prdt]]&gt;0.2),"À améliorer","OK")</f>
        <v>À améliorer</v>
      </c>
      <c r="M111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12" spans="1:13" ht="16.5" customHeight="1" x14ac:dyDescent="0.25">
      <c r="A112" s="29" t="str">
        <f>Référentiels!A112&amp;TEXT(Référentiels!B112,"000")</f>
        <v>TAJ013</v>
      </c>
      <c r="B112" s="64" t="str">
        <f>+tbl_ProduitsRef[[#This Row],[Produit]]</f>
        <v>Tajine de lapin 1/2Kg</v>
      </c>
      <c r="C112" s="64" t="str">
        <f>IFERROR(INDEX(tbl_ProduitsRef[Famille], MATCH(tbl_Produits[[#This Row],[Cde_Prdt]], tbl_Produits[Cde_Prdt], 0)), "")</f>
        <v>Tajines &amp; Coin marocain</v>
      </c>
      <c r="D112" s="65">
        <f ca="1">SUMIF(tbl_Recettes[Cde_Prdt], tbl_Produits[[#This Row],[Cde_Prdt]], tbl_Recettes[Coût Moyen Portion])</f>
        <v>48.25</v>
      </c>
      <c r="E112" s="66">
        <f>IFERROR(
   INDEX(tbl_ProduitsRef[Prix Menu],MATCH(B112,tbl_ProduitsRef[Produit],0)),
   ""
)</f>
        <v>80</v>
      </c>
      <c r="F112" s="66">
        <f ca="1">tbl_Produits[[#This Row],[Prix Menu]] - tbl_Produits[[#This Row],[Coût Moyen Portion]]</f>
        <v>31.75</v>
      </c>
      <c r="G112" s="67">
        <f ca="1">IF(tbl_Produits[[#This Row],[Prix Menu]]&gt;0, tbl_Produits[[#This Row],[Marge Brute]] / tbl_Produits[[#This Row],[Prix Menu]], 0)</f>
        <v>0.39687499999999998</v>
      </c>
      <c r="H112" s="69">
        <f t="shared" ca="1" si="3"/>
        <v>9.921875</v>
      </c>
      <c r="I112" s="67">
        <f ca="1">IF(tbl_Produits[[#This Row],[Prix Menu]]=0, 0, tbl_Produits[[#This Row],[Coût Moyen Portion]] / tbl_Produits[[#This Row],[Prix Menu]])</f>
        <v>0.60312500000000002</v>
      </c>
      <c r="J112" s="67" t="str" cm="1">
        <f t="array" ref="J112">IFERROR(IF(Total_portions=0, 0, Charges_fixes_totales_periode / Total_portions),"Vérifier")</f>
        <v>Vérifier</v>
      </c>
      <c r="K112" s="131" cm="1">
        <f t="array" aca="1" ref="K112" ca="1">IFERROR(tbl_Produits[[#This Row],[Prix Menu]] - tbl_Produits[[#This Row],[Coût Moyen Portion]] - ChargesFixesPar_Portion[Charges fixes par portion],"Vérifier")</f>
        <v>-10755.25</v>
      </c>
      <c r="L112" s="132" t="str">
        <f ca="1">IF(OR(tbl_Produits[[#This Row],[Food cost % ]]&gt;0.35,tbl_Produits[[#This Row],[% de Chrg Fixe /Prdt]]&gt;0.2),"À améliorer","OK")</f>
        <v>À améliorer</v>
      </c>
      <c r="M112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13" spans="1:13" ht="16.5" customHeight="1" x14ac:dyDescent="0.25">
      <c r="A113" s="29" t="str">
        <f>Référentiels!A113&amp;TEXT(Référentiels!B113,"000")</f>
        <v>TAJ014</v>
      </c>
      <c r="B113" s="64" t="str">
        <f>+tbl_ProduitsRef[[#This Row],[Produit]]</f>
        <v>Tajine de lapin 1Kg</v>
      </c>
      <c r="C113" s="64" t="str">
        <f>IFERROR(INDEX(tbl_ProduitsRef[Famille], MATCH(tbl_Produits[[#This Row],[Cde_Prdt]], tbl_Produits[Cde_Prdt], 0)), "")</f>
        <v>Tajines &amp; Coin marocain</v>
      </c>
      <c r="D113" s="65">
        <f ca="1">SUMIF(tbl_Recettes[Cde_Prdt], tbl_Produits[[#This Row],[Cde_Prdt]], tbl_Recettes[Coût Moyen Portion])</f>
        <v>95.600000000000009</v>
      </c>
      <c r="E113" s="66">
        <f>IFERROR(
   INDEX(tbl_ProduitsRef[Prix Menu],MATCH(B113,tbl_ProduitsRef[Produit],0)),
   ""
)</f>
        <v>160</v>
      </c>
      <c r="F113" s="66">
        <f ca="1">tbl_Produits[[#This Row],[Prix Menu]] - tbl_Produits[[#This Row],[Coût Moyen Portion]]</f>
        <v>64.399999999999991</v>
      </c>
      <c r="G113" s="67">
        <f ca="1">IF(tbl_Produits[[#This Row],[Prix Menu]]&gt;0, tbl_Produits[[#This Row],[Marge Brute]] / tbl_Produits[[#This Row],[Prix Menu]], 0)</f>
        <v>0.40249999999999997</v>
      </c>
      <c r="H113" s="69">
        <f t="shared" ca="1" si="3"/>
        <v>18.112499999999997</v>
      </c>
      <c r="I113" s="67">
        <f ca="1">IF(tbl_Produits[[#This Row],[Prix Menu]]=0, 0, tbl_Produits[[#This Row],[Coût Moyen Portion]] / tbl_Produits[[#This Row],[Prix Menu]])</f>
        <v>0.59750000000000003</v>
      </c>
      <c r="J113" s="67" t="str" cm="1">
        <f t="array" ref="J113">IFERROR(IF(Total_portions=0, 0, Charges_fixes_totales_periode / Total_portions),"Vérifier")</f>
        <v>Vérifier</v>
      </c>
      <c r="K113" s="131" cm="1">
        <f t="array" aca="1" ref="K113" ca="1">IFERROR(tbl_Produits[[#This Row],[Prix Menu]] - tbl_Produits[[#This Row],[Coût Moyen Portion]] - ChargesFixesPar_Portion[Charges fixes par portion],"Vérifier")</f>
        <v>-10722.6</v>
      </c>
      <c r="L113" s="132" t="str">
        <f ca="1">IF(OR(tbl_Produits[[#This Row],[Food cost % ]]&gt;0.35,tbl_Produits[[#This Row],[% de Chrg Fixe /Prdt]]&gt;0.2),"À améliorer","OK")</f>
        <v>À améliorer</v>
      </c>
      <c r="M113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14" spans="1:13" ht="16.5" customHeight="1" x14ac:dyDescent="0.25">
      <c r="A114" s="29" t="str">
        <f>Référentiels!A114&amp;TEXT(Référentiels!B114,"000")</f>
        <v>TAJ015</v>
      </c>
      <c r="B114" s="64" t="str">
        <f>+tbl_ProduitsRef[[#This Row],[Produit]]</f>
        <v>Tajine de poulet roumi 1/2Kg</v>
      </c>
      <c r="C114" s="64" t="str">
        <f>IFERROR(INDEX(tbl_ProduitsRef[Famille], MATCH(tbl_Produits[[#This Row],[Cde_Prdt]], tbl_Produits[Cde_Prdt], 0)), "")</f>
        <v>Tajines &amp; Coin marocain</v>
      </c>
      <c r="D114" s="65">
        <f ca="1">SUMIF(tbl_Recettes[Cde_Prdt], tbl_Produits[[#This Row],[Cde_Prdt]], tbl_Recettes[Coût Moyen Portion])</f>
        <v>28.450000000000003</v>
      </c>
      <c r="E114" s="66">
        <f>IFERROR(
   INDEX(tbl_ProduitsRef[Prix Menu],MATCH(B114,tbl_ProduitsRef[Produit],0)),
   ""
)</f>
        <v>80</v>
      </c>
      <c r="F114" s="66">
        <f ca="1">tbl_Produits[[#This Row],[Prix Menu]] - tbl_Produits[[#This Row],[Coût Moyen Portion]]</f>
        <v>51.55</v>
      </c>
      <c r="G114" s="67">
        <f ca="1">IF(tbl_Produits[[#This Row],[Prix Menu]]&gt;0, tbl_Produits[[#This Row],[Marge Brute]] / tbl_Produits[[#This Row],[Prix Menu]], 0)</f>
        <v>0.64437499999999992</v>
      </c>
      <c r="H114" s="69">
        <f t="shared" ca="1" si="3"/>
        <v>16.109375</v>
      </c>
      <c r="I114" s="67">
        <f ca="1">IF(tbl_Produits[[#This Row],[Prix Menu]]=0, 0, tbl_Produits[[#This Row],[Coût Moyen Portion]] / tbl_Produits[[#This Row],[Prix Menu]])</f>
        <v>0.35562500000000002</v>
      </c>
      <c r="J114" s="67" t="str" cm="1">
        <f t="array" ref="J114">IFERROR(IF(Total_portions=0, 0, Charges_fixes_totales_periode / Total_portions),"Vérifier")</f>
        <v>Vérifier</v>
      </c>
      <c r="K114" s="131" cm="1">
        <f t="array" aca="1" ref="K114" ca="1">IFERROR(tbl_Produits[[#This Row],[Prix Menu]] - tbl_Produits[[#This Row],[Coût Moyen Portion]] - ChargesFixesPar_Portion[Charges fixes par portion],"Vérifier")</f>
        <v>-10735.45</v>
      </c>
      <c r="L114" s="132" t="str">
        <f ca="1">IF(OR(tbl_Produits[[#This Row],[Food cost % ]]&gt;0.35,tbl_Produits[[#This Row],[% de Chrg Fixe /Prdt]]&gt;0.2),"À améliorer","OK")</f>
        <v>À améliorer</v>
      </c>
      <c r="M114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15" spans="1:13" ht="16.5" customHeight="1" x14ac:dyDescent="0.25">
      <c r="A115" s="29" t="str">
        <f>Référentiels!A115&amp;TEXT(Référentiels!B115,"000")</f>
        <v>TAJ016</v>
      </c>
      <c r="B115" s="64" t="str">
        <f>+tbl_ProduitsRef[[#This Row],[Produit]]</f>
        <v>Tajine de poulet roumi 1Kg</v>
      </c>
      <c r="C115" s="64" t="str">
        <f>IFERROR(INDEX(tbl_ProduitsRef[Famille], MATCH(tbl_Produits[[#This Row],[Cde_Prdt]], tbl_Produits[Cde_Prdt], 0)), "")</f>
        <v>Tajines &amp; Coin marocain</v>
      </c>
      <c r="D115" s="65">
        <f ca="1">SUMIF(tbl_Recettes[Cde_Prdt], tbl_Produits[[#This Row],[Cde_Prdt]], tbl_Recettes[Coût Moyen Portion])</f>
        <v>56.900000000000006</v>
      </c>
      <c r="E115" s="66">
        <f>IFERROR(
   INDEX(tbl_ProduitsRef[Prix Menu],MATCH(B115,tbl_ProduitsRef[Produit],0)),
   ""
)</f>
        <v>160</v>
      </c>
      <c r="F115" s="66">
        <f ca="1">tbl_Produits[[#This Row],[Prix Menu]] - tbl_Produits[[#This Row],[Coût Moyen Portion]]</f>
        <v>103.1</v>
      </c>
      <c r="G115" s="67">
        <f ca="1">IF(tbl_Produits[[#This Row],[Prix Menu]]&gt;0, tbl_Produits[[#This Row],[Marge Brute]] / tbl_Produits[[#This Row],[Prix Menu]], 0)</f>
        <v>0.64437499999999992</v>
      </c>
      <c r="H115" s="69">
        <f t="shared" ca="1" si="3"/>
        <v>28.996874999999999</v>
      </c>
      <c r="I115" s="67">
        <f ca="1">IF(tbl_Produits[[#This Row],[Prix Menu]]=0, 0, tbl_Produits[[#This Row],[Coût Moyen Portion]] / tbl_Produits[[#This Row],[Prix Menu]])</f>
        <v>0.35562500000000002</v>
      </c>
      <c r="J115" s="67" t="str" cm="1">
        <f t="array" ref="J115">IFERROR(IF(Total_portions=0, 0, Charges_fixes_totales_periode / Total_portions),"Vérifier")</f>
        <v>Vérifier</v>
      </c>
      <c r="K115" s="131" cm="1">
        <f t="array" aca="1" ref="K115" ca="1">IFERROR(tbl_Produits[[#This Row],[Prix Menu]] - tbl_Produits[[#This Row],[Coût Moyen Portion]] - ChargesFixesPar_Portion[Charges fixes par portion],"Vérifier")</f>
        <v>-10683.9</v>
      </c>
      <c r="L115" s="132" t="str">
        <f ca="1">IF(OR(tbl_Produits[[#This Row],[Food cost % ]]&gt;0.35,tbl_Produits[[#This Row],[% de Chrg Fixe /Prdt]]&gt;0.2),"À améliorer","OK")</f>
        <v>À améliorer</v>
      </c>
      <c r="M115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16" spans="1:13" ht="16.5" customHeight="1" x14ac:dyDescent="0.25">
      <c r="A116" s="29" t="str">
        <f>Référentiels!A116&amp;TEXT(Référentiels!B116,"000")</f>
        <v>TAJ017</v>
      </c>
      <c r="B116" s="64" t="str">
        <f>+tbl_ProduitsRef[[#This Row],[Produit]]</f>
        <v>Tajine de poulet roumi (citron confit)</v>
      </c>
      <c r="C116" s="64" t="str">
        <f>IFERROR(INDEX(tbl_ProduitsRef[Famille], MATCH(tbl_Produits[[#This Row],[Cde_Prdt]], tbl_Produits[Cde_Prdt], 0)), "")</f>
        <v>Tajines &amp; Coin marocain</v>
      </c>
      <c r="D116" s="65">
        <f ca="1">SUMIF(tbl_Recettes[Cde_Prdt], tbl_Produits[[#This Row],[Cde_Prdt]], tbl_Recettes[Coût Moyen Portion])</f>
        <v>18.100000000000001</v>
      </c>
      <c r="E116" s="66">
        <f>IFERROR(
   INDEX(tbl_ProduitsRef[Prix Menu],MATCH(B116,tbl_ProduitsRef[Produit],0)),
   ""
)</f>
        <v>60</v>
      </c>
      <c r="F116" s="66">
        <f ca="1">tbl_Produits[[#This Row],[Prix Menu]] - tbl_Produits[[#This Row],[Coût Moyen Portion]]</f>
        <v>41.9</v>
      </c>
      <c r="G116" s="67">
        <f ca="1">IF(tbl_Produits[[#This Row],[Prix Menu]]&gt;0, tbl_Produits[[#This Row],[Marge Brute]] / tbl_Produits[[#This Row],[Prix Menu]], 0)</f>
        <v>0.69833333333333336</v>
      </c>
      <c r="H116" s="69">
        <f t="shared" ca="1" si="3"/>
        <v>13.966666666666667</v>
      </c>
      <c r="I116" s="67">
        <f ca="1">IF(tbl_Produits[[#This Row],[Prix Menu]]=0, 0, tbl_Produits[[#This Row],[Coût Moyen Portion]] / tbl_Produits[[#This Row],[Prix Menu]])</f>
        <v>0.30166666666666669</v>
      </c>
      <c r="J116" s="67" t="str" cm="1">
        <f t="array" ref="J116">IFERROR(IF(Total_portions=0, 0, Charges_fixes_totales_periode / Total_portions),"Vérifier")</f>
        <v>Vérifier</v>
      </c>
      <c r="K116" s="131" cm="1">
        <f t="array" aca="1" ref="K116" ca="1">IFERROR(tbl_Produits[[#This Row],[Prix Menu]] - tbl_Produits[[#This Row],[Coût Moyen Portion]] - ChargesFixesPar_Portion[Charges fixes par portion],"Vérifier")</f>
        <v>-10745.1</v>
      </c>
      <c r="L116" s="132" t="str">
        <f ca="1">IF(OR(tbl_Produits[[#This Row],[Food cost % ]]&gt;0.35,tbl_Produits[[#This Row],[% de Chrg Fixe /Prdt]]&gt;0.2),"À améliorer","OK")</f>
        <v>À améliorer</v>
      </c>
      <c r="M116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17" spans="1:13" ht="16.5" customHeight="1" x14ac:dyDescent="0.25">
      <c r="A117" s="29" t="str">
        <f>Référentiels!A117&amp;TEXT(Référentiels!B117,"000")</f>
        <v>TAJ018</v>
      </c>
      <c r="B117" s="64" t="str">
        <f>+tbl_ProduitsRef[[#This Row],[Produit]]</f>
        <v>Tajine de veau au pruneau</v>
      </c>
      <c r="C117" s="64" t="str">
        <f>IFERROR(INDEX(tbl_ProduitsRef[Famille], MATCH(tbl_Produits[[#This Row],[Cde_Prdt]], tbl_Produits[Cde_Prdt], 0)), "")</f>
        <v>Tajines &amp; Coin marocain</v>
      </c>
      <c r="D117" s="65">
        <f ca="1">SUMIF(tbl_Recettes[Cde_Prdt], tbl_Produits[[#This Row],[Cde_Prdt]], tbl_Recettes[Coût Moyen Portion])</f>
        <v>36.14</v>
      </c>
      <c r="E117" s="66">
        <f>IFERROR(
   INDEX(tbl_ProduitsRef[Prix Menu],MATCH(B117,tbl_ProduitsRef[Produit],0)),
   ""
)</f>
        <v>70</v>
      </c>
      <c r="F117" s="66">
        <f ca="1">tbl_Produits[[#This Row],[Prix Menu]] - tbl_Produits[[#This Row],[Coût Moyen Portion]]</f>
        <v>33.86</v>
      </c>
      <c r="G117" s="67">
        <f ca="1">IF(tbl_Produits[[#This Row],[Prix Menu]]&gt;0, tbl_Produits[[#This Row],[Marge Brute]] / tbl_Produits[[#This Row],[Prix Menu]], 0)</f>
        <v>0.48371428571428571</v>
      </c>
      <c r="H117" s="69">
        <f t="shared" ca="1" si="3"/>
        <v>10.883571428571429</v>
      </c>
      <c r="I117" s="67">
        <f ca="1">IF(tbl_Produits[[#This Row],[Prix Menu]]=0, 0, tbl_Produits[[#This Row],[Coût Moyen Portion]] / tbl_Produits[[#This Row],[Prix Menu]])</f>
        <v>0.51628571428571435</v>
      </c>
      <c r="J117" s="67" t="str" cm="1">
        <f t="array" ref="J117">IFERROR(IF(Total_portions=0, 0, Charges_fixes_totales_periode / Total_portions),"Vérifier")</f>
        <v>Vérifier</v>
      </c>
      <c r="K117" s="131" cm="1">
        <f t="array" aca="1" ref="K117" ca="1">IFERROR(tbl_Produits[[#This Row],[Prix Menu]] - tbl_Produits[[#This Row],[Coût Moyen Portion]] - ChargesFixesPar_Portion[Charges fixes par portion],"Vérifier")</f>
        <v>-10753.14</v>
      </c>
      <c r="L117" s="132" t="str">
        <f ca="1">IF(OR(tbl_Produits[[#This Row],[Food cost % ]]&gt;0.35,tbl_Produits[[#This Row],[% de Chrg Fixe /Prdt]]&gt;0.2),"À améliorer","OK")</f>
        <v>À améliorer</v>
      </c>
      <c r="M117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18" spans="1:13" ht="16.5" customHeight="1" x14ac:dyDescent="0.25">
      <c r="A118" s="29" t="str">
        <f>Référentiels!A118&amp;TEXT(Référentiels!B118,"000")</f>
        <v>TAJ019</v>
      </c>
      <c r="B118" s="64" t="str">
        <f>+tbl_ProduitsRef[[#This Row],[Produit]]</f>
        <v>Tajine de kebda Veau Charmoula</v>
      </c>
      <c r="C118" s="64" t="str">
        <f>IFERROR(INDEX(tbl_ProduitsRef[Famille], MATCH(tbl_Produits[[#This Row],[Cde_Prdt]], tbl_Produits[Cde_Prdt], 0)), "")</f>
        <v>Tajines &amp; Coin marocain</v>
      </c>
      <c r="D118" s="65">
        <f ca="1">SUMIF(tbl_Recettes[Cde_Prdt], tbl_Produits[[#This Row],[Cde_Prdt]], tbl_Recettes[Coût Moyen Portion])</f>
        <v>18.399999999999999</v>
      </c>
      <c r="E118" s="66">
        <f>IFERROR(
   INDEX(tbl_ProduitsRef[Prix Menu],MATCH(B118,tbl_ProduitsRef[Produit],0)),
   ""
)</f>
        <v>60</v>
      </c>
      <c r="F118" s="66">
        <f ca="1">tbl_Produits[[#This Row],[Prix Menu]] - tbl_Produits[[#This Row],[Coût Moyen Portion]]</f>
        <v>41.6</v>
      </c>
      <c r="G118" s="67">
        <f ca="1">IF(tbl_Produits[[#This Row],[Prix Menu]]&gt;0, tbl_Produits[[#This Row],[Marge Brute]] / tbl_Produits[[#This Row],[Prix Menu]], 0)</f>
        <v>0.69333333333333336</v>
      </c>
      <c r="H118" s="69">
        <f t="shared" ca="1" si="3"/>
        <v>13.866666666666667</v>
      </c>
      <c r="I118" s="67">
        <f ca="1">IF(tbl_Produits[[#This Row],[Prix Menu]]=0, 0, tbl_Produits[[#This Row],[Coût Moyen Portion]] / tbl_Produits[[#This Row],[Prix Menu]])</f>
        <v>0.30666666666666664</v>
      </c>
      <c r="J118" s="67" t="str" cm="1">
        <f t="array" ref="J118">IFERROR(IF(Total_portions=0, 0, Charges_fixes_totales_periode / Total_portions),"Vérifier")</f>
        <v>Vérifier</v>
      </c>
      <c r="K118" s="131" cm="1">
        <f t="array" aca="1" ref="K118" ca="1">IFERROR(tbl_Produits[[#This Row],[Prix Menu]] - tbl_Produits[[#This Row],[Coût Moyen Portion]] - ChargesFixesPar_Portion[Charges fixes par portion],"Vérifier")</f>
        <v>-10745.4</v>
      </c>
      <c r="L118" s="132" t="str">
        <f ca="1">IF(OR(tbl_Produits[[#This Row],[Food cost % ]]&gt;0.35,tbl_Produits[[#This Row],[% de Chrg Fixe /Prdt]]&gt;0.2),"À améliorer","OK")</f>
        <v>À améliorer</v>
      </c>
      <c r="M118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19" spans="1:13" ht="16.5" customHeight="1" x14ac:dyDescent="0.25">
      <c r="A119" s="29" t="str">
        <f>Référentiels!A119&amp;TEXT(Référentiels!B119,"000")</f>
        <v>TAJ020</v>
      </c>
      <c r="B119" s="64" t="str">
        <f>+tbl_ProduitsRef[[#This Row],[Produit]]</f>
        <v>Tajine de kebda d'Agneau Charmoula</v>
      </c>
      <c r="C119" s="64" t="str">
        <f>IFERROR(INDEX(tbl_ProduitsRef[Famille], MATCH(tbl_Produits[[#This Row],[Cde_Prdt]], tbl_Produits[Cde_Prdt], 0)), "")</f>
        <v>Tajines &amp; Coin marocain</v>
      </c>
      <c r="D119" s="65">
        <f ca="1">SUMIF(tbl_Recettes[Cde_Prdt], tbl_Produits[[#This Row],[Cde_Prdt]], tbl_Recettes[Coût Moyen Portion])</f>
        <v>13.7</v>
      </c>
      <c r="E119" s="66">
        <f>IFERROR(
   INDEX(tbl_ProduitsRef[Prix Menu],MATCH(B119,tbl_ProduitsRef[Produit],0)),
   ""
)</f>
        <v>60</v>
      </c>
      <c r="F119" s="66">
        <f ca="1">tbl_Produits[[#This Row],[Prix Menu]] - tbl_Produits[[#This Row],[Coût Moyen Portion]]</f>
        <v>46.3</v>
      </c>
      <c r="G119" s="67">
        <f ca="1">IF(tbl_Produits[[#This Row],[Prix Menu]]&gt;0, tbl_Produits[[#This Row],[Marge Brute]] / tbl_Produits[[#This Row],[Prix Menu]], 0)</f>
        <v>0.77166666666666661</v>
      </c>
      <c r="H119" s="69">
        <f t="shared" ca="1" si="3"/>
        <v>15.433333333333332</v>
      </c>
      <c r="I119" s="67">
        <f ca="1">IF(tbl_Produits[[#This Row],[Prix Menu]]=0, 0, tbl_Produits[[#This Row],[Coût Moyen Portion]] / tbl_Produits[[#This Row],[Prix Menu]])</f>
        <v>0.22833333333333333</v>
      </c>
      <c r="J119" s="67" t="str" cm="1">
        <f t="array" ref="J119">IFERROR(IF(Total_portions=0, 0, Charges_fixes_totales_periode / Total_portions),"Vérifier")</f>
        <v>Vérifier</v>
      </c>
      <c r="K119" s="131" cm="1">
        <f t="array" aca="1" ref="K119" ca="1">IFERROR(tbl_Produits[[#This Row],[Prix Menu]] - tbl_Produits[[#This Row],[Coût Moyen Portion]] - ChargesFixesPar_Portion[Charges fixes par portion],"Vérifier")</f>
        <v>-10740.7</v>
      </c>
      <c r="L119" s="132" t="str">
        <f ca="1">IF(OR(tbl_Produits[[#This Row],[Food cost % ]]&gt;0.35,tbl_Produits[[#This Row],[% de Chrg Fixe /Prdt]]&gt;0.2),"À améliorer","OK")</f>
        <v>À améliorer</v>
      </c>
      <c r="M119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20" spans="1:13" ht="16.5" customHeight="1" x14ac:dyDescent="0.25">
      <c r="A120" s="29" t="str">
        <f>Référentiels!A120&amp;TEXT(Référentiels!B120,"000")</f>
        <v>TAJ021</v>
      </c>
      <c r="B120" s="64" t="str">
        <f>+tbl_ProduitsRef[[#This Row],[Produit]]</f>
        <v>Tajine de kefta sauce tomate</v>
      </c>
      <c r="C120" s="64" t="str">
        <f>IFERROR(INDEX(tbl_ProduitsRef[Famille], MATCH(tbl_Produits[[#This Row],[Cde_Prdt]], tbl_Produits[Cde_Prdt], 0)), "")</f>
        <v>Tajines &amp; Coin marocain</v>
      </c>
      <c r="D120" s="65">
        <f ca="1">SUMIF(tbl_Recettes[Cde_Prdt], tbl_Produits[[#This Row],[Cde_Prdt]], tbl_Recettes[Coût Moyen Portion])</f>
        <v>27.299999999999997</v>
      </c>
      <c r="E120" s="66">
        <f>IFERROR(
   INDEX(tbl_ProduitsRef[Prix Menu],MATCH(B120,tbl_ProduitsRef[Produit],0)),
   ""
)</f>
        <v>55</v>
      </c>
      <c r="F120" s="66">
        <f ca="1">tbl_Produits[[#This Row],[Prix Menu]] - tbl_Produits[[#This Row],[Coût Moyen Portion]]</f>
        <v>27.700000000000003</v>
      </c>
      <c r="G120" s="67">
        <f ca="1">IF(tbl_Produits[[#This Row],[Prix Menu]]&gt;0, tbl_Produits[[#This Row],[Marge Brute]] / tbl_Produits[[#This Row],[Prix Menu]], 0)</f>
        <v>0.50363636363636366</v>
      </c>
      <c r="H120" s="69">
        <f t="shared" ca="1" si="3"/>
        <v>9.4431818181818201</v>
      </c>
      <c r="I120" s="67">
        <f ca="1">IF(tbl_Produits[[#This Row],[Prix Menu]]=0, 0, tbl_Produits[[#This Row],[Coût Moyen Portion]] / tbl_Produits[[#This Row],[Prix Menu]])</f>
        <v>0.49636363636363628</v>
      </c>
      <c r="J120" s="67" t="str" cm="1">
        <f t="array" ref="J120">IFERROR(IF(Total_portions=0, 0, Charges_fixes_totales_periode / Total_portions),"Vérifier")</f>
        <v>Vérifier</v>
      </c>
      <c r="K120" s="131" cm="1">
        <f t="array" aca="1" ref="K120" ca="1">IFERROR(tbl_Produits[[#This Row],[Prix Menu]] - tbl_Produits[[#This Row],[Coût Moyen Portion]] - ChargesFixesPar_Portion[Charges fixes par portion],"Vérifier")</f>
        <v>-10759.3</v>
      </c>
      <c r="L120" s="132" t="str">
        <f ca="1">IF(OR(tbl_Produits[[#This Row],[Food cost % ]]&gt;0.35,tbl_Produits[[#This Row],[% de Chrg Fixe /Prdt]]&gt;0.2),"À améliorer","OK")</f>
        <v>À améliorer</v>
      </c>
      <c r="M120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21" spans="1:13" ht="16.5" customHeight="1" x14ac:dyDescent="0.25">
      <c r="A121" s="29" t="str">
        <f>Référentiels!A121&amp;TEXT(Référentiels!B121,"000")</f>
        <v>TAJ022</v>
      </c>
      <c r="B121" s="64" t="str">
        <f>+tbl_ProduitsRef[[#This Row],[Produit]]</f>
        <v>Tajine de cervelle sauce tomate</v>
      </c>
      <c r="C121" s="64" t="str">
        <f>IFERROR(INDEX(tbl_ProduitsRef[Famille], MATCH(tbl_Produits[[#This Row],[Cde_Prdt]], tbl_Produits[Cde_Prdt], 0)), "")</f>
        <v>Tajines &amp; Coin marocain</v>
      </c>
      <c r="D121" s="65">
        <f ca="1">SUMIF(tbl_Recettes[Cde_Prdt], tbl_Produits[[#This Row],[Cde_Prdt]], tbl_Recettes[Coût Moyen Portion])</f>
        <v>34</v>
      </c>
      <c r="E121" s="66">
        <f>IFERROR(
   INDEX(tbl_ProduitsRef[Prix Menu],MATCH(B121,tbl_ProduitsRef[Produit],0)),
   ""
)</f>
        <v>52</v>
      </c>
      <c r="F121" s="66">
        <f ca="1">tbl_Produits[[#This Row],[Prix Menu]] - tbl_Produits[[#This Row],[Coût Moyen Portion]]</f>
        <v>18</v>
      </c>
      <c r="G121" s="67">
        <f ca="1">IF(tbl_Produits[[#This Row],[Prix Menu]]&gt;0, tbl_Produits[[#This Row],[Marge Brute]] / tbl_Produits[[#This Row],[Prix Menu]], 0)</f>
        <v>0.34615384615384615</v>
      </c>
      <c r="H121" s="69">
        <f t="shared" ca="1" si="3"/>
        <v>6.2307692307692308</v>
      </c>
      <c r="I121" s="67">
        <f ca="1">IF(tbl_Produits[[#This Row],[Prix Menu]]=0, 0, tbl_Produits[[#This Row],[Coût Moyen Portion]] / tbl_Produits[[#This Row],[Prix Menu]])</f>
        <v>0.65384615384615385</v>
      </c>
      <c r="J121" s="67" t="str" cm="1">
        <f t="array" ref="J121">IFERROR(IF(Total_portions=0, 0, Charges_fixes_totales_periode / Total_portions),"Vérifier")</f>
        <v>Vérifier</v>
      </c>
      <c r="K121" s="131" cm="1">
        <f t="array" aca="1" ref="K121" ca="1">IFERROR(tbl_Produits[[#This Row],[Prix Menu]] - tbl_Produits[[#This Row],[Coût Moyen Portion]] - ChargesFixesPar_Portion[Charges fixes par portion],"Vérifier")</f>
        <v>-10769</v>
      </c>
      <c r="L121" s="132" t="str">
        <f ca="1">IF(OR(tbl_Produits[[#This Row],[Food cost % ]]&gt;0.35,tbl_Produits[[#This Row],[% de Chrg Fixe /Prdt]]&gt;0.2),"À améliorer","OK")</f>
        <v>À améliorer</v>
      </c>
      <c r="M121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22" spans="1:13" ht="16.5" customHeight="1" x14ac:dyDescent="0.25">
      <c r="A122" s="29" t="str">
        <f>Référentiels!A122&amp;TEXT(Référentiels!B122,"000")</f>
        <v>TAJ023</v>
      </c>
      <c r="B122" s="64" t="str">
        <f>+tbl_ProduitsRef[[#This Row],[Produit]]</f>
        <v>Couscous poulet (vendredi)</v>
      </c>
      <c r="C122" s="64" t="str">
        <f>IFERROR(INDEX(tbl_ProduitsRef[Famille], MATCH(tbl_Produits[[#This Row],[Cde_Prdt]], tbl_Produits[Cde_Prdt], 0)), "")</f>
        <v>Tajines &amp; Coin marocain</v>
      </c>
      <c r="D122" s="65">
        <f ca="1">SUMIF(tbl_Recettes[Cde_Prdt], tbl_Produits[[#This Row],[Cde_Prdt]], tbl_Recettes[Coût Moyen Portion])</f>
        <v>17.2</v>
      </c>
      <c r="E122" s="66">
        <f>IFERROR(
   INDEX(tbl_ProduitsRef[Prix Menu],MATCH(B122,tbl_ProduitsRef[Produit],0)),
   ""
)</f>
        <v>50</v>
      </c>
      <c r="F122" s="66">
        <f ca="1">tbl_Produits[[#This Row],[Prix Menu]] - tbl_Produits[[#This Row],[Coût Moyen Portion]]</f>
        <v>32.799999999999997</v>
      </c>
      <c r="G122" s="67">
        <f ca="1">IF(tbl_Produits[[#This Row],[Prix Menu]]&gt;0, tbl_Produits[[#This Row],[Marge Brute]] / tbl_Produits[[#This Row],[Prix Menu]], 0)</f>
        <v>0.65599999999999992</v>
      </c>
      <c r="H122" s="69">
        <f t="shared" ca="1" si="3"/>
        <v>11.479999999999999</v>
      </c>
      <c r="I122" s="67">
        <f ca="1">IF(tbl_Produits[[#This Row],[Prix Menu]]=0, 0, tbl_Produits[[#This Row],[Coût Moyen Portion]] / tbl_Produits[[#This Row],[Prix Menu]])</f>
        <v>0.34399999999999997</v>
      </c>
      <c r="J122" s="67" t="str" cm="1">
        <f t="array" ref="J122">IFERROR(IF(Total_portions=0, 0, Charges_fixes_totales_periode / Total_portions),"Vérifier")</f>
        <v>Vérifier</v>
      </c>
      <c r="K122" s="131" cm="1">
        <f t="array" aca="1" ref="K122" ca="1">IFERROR(tbl_Produits[[#This Row],[Prix Menu]] - tbl_Produits[[#This Row],[Coût Moyen Portion]] - ChargesFixesPar_Portion[Charges fixes par portion],"Vérifier")</f>
        <v>-10754.2</v>
      </c>
      <c r="L122" s="132" t="str">
        <f ca="1">IF(OR(tbl_Produits[[#This Row],[Food cost % ]]&gt;0.35,tbl_Produits[[#This Row],[% de Chrg Fixe /Prdt]]&gt;0.2),"À améliorer","OK")</f>
        <v>À améliorer</v>
      </c>
      <c r="M122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23" spans="1:13" ht="16.5" customHeight="1" x14ac:dyDescent="0.25">
      <c r="A123" s="29" t="str">
        <f>Référentiels!A123&amp;TEXT(Référentiels!B123,"000")</f>
        <v>TAJ024</v>
      </c>
      <c r="B123" s="64" t="str">
        <f>+tbl_ProduitsRef[[#This Row],[Produit]]</f>
        <v>Couscous viande (vendredi)</v>
      </c>
      <c r="C123" s="64" t="str">
        <f>IFERROR(INDEX(tbl_ProduitsRef[Famille], MATCH(tbl_Produits[[#This Row],[Cde_Prdt]], tbl_Produits[Cde_Prdt], 0)), "")</f>
        <v>Tajines &amp; Coin marocain</v>
      </c>
      <c r="D123" s="65">
        <f ca="1">SUMIF(tbl_Recettes[Cde_Prdt], tbl_Produits[[#This Row],[Cde_Prdt]], tbl_Recettes[Coût Moyen Portion])</f>
        <v>29.55</v>
      </c>
      <c r="E123" s="66">
        <f>IFERROR(
   INDEX(tbl_ProduitsRef[Prix Menu],MATCH(B123,tbl_ProduitsRef[Produit],0)),
   ""
)</f>
        <v>60</v>
      </c>
      <c r="F123" s="66">
        <f ca="1">tbl_Produits[[#This Row],[Prix Menu]] - tbl_Produits[[#This Row],[Coût Moyen Portion]]</f>
        <v>30.45</v>
      </c>
      <c r="G123" s="67">
        <f ca="1">IF(tbl_Produits[[#This Row],[Prix Menu]]&gt;0, tbl_Produits[[#This Row],[Marge Brute]] / tbl_Produits[[#This Row],[Prix Menu]], 0)</f>
        <v>0.50749999999999995</v>
      </c>
      <c r="H123" s="69">
        <f t="shared" ca="1" si="3"/>
        <v>10.149999999999999</v>
      </c>
      <c r="I123" s="67">
        <f ca="1">IF(tbl_Produits[[#This Row],[Prix Menu]]=0, 0, tbl_Produits[[#This Row],[Coût Moyen Portion]] / tbl_Produits[[#This Row],[Prix Menu]])</f>
        <v>0.49249999999999999</v>
      </c>
      <c r="J123" s="67" t="str" cm="1">
        <f t="array" ref="J123">IFERROR(IF(Total_portions=0, 0, Charges_fixes_totales_periode / Total_portions),"Vérifier")</f>
        <v>Vérifier</v>
      </c>
      <c r="K123" s="131" cm="1">
        <f t="array" aca="1" ref="K123" ca="1">IFERROR(tbl_Produits[[#This Row],[Prix Menu]] - tbl_Produits[[#This Row],[Coût Moyen Portion]] - ChargesFixesPar_Portion[Charges fixes par portion],"Vérifier")</f>
        <v>-10756.55</v>
      </c>
      <c r="L123" s="132" t="str">
        <f ca="1">IF(OR(tbl_Produits[[#This Row],[Food cost % ]]&gt;0.35,tbl_Produits[[#This Row],[% de Chrg Fixe /Prdt]]&gt;0.2),"À améliorer","OK")</f>
        <v>À améliorer</v>
      </c>
      <c r="M123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24" spans="1:13" ht="16.5" customHeight="1" x14ac:dyDescent="0.25">
      <c r="A124" s="29" t="str">
        <f>Référentiels!A124&amp;TEXT(Référentiels!B124,"000")</f>
        <v>TAJ025</v>
      </c>
      <c r="B124" s="64" t="str">
        <f>+tbl_ProduitsRef[[#This Row],[Produit]]</f>
        <v>Tafarnout</v>
      </c>
      <c r="C124" s="64" t="str">
        <f>IFERROR(INDEX(tbl_ProduitsRef[Famille], MATCH(tbl_Produits[[#This Row],[Cde_Prdt]], tbl_Produits[Cde_Prdt], 0)), "")</f>
        <v>Tajines &amp; Coin marocain</v>
      </c>
      <c r="D124" s="65">
        <f ca="1">SUMIF(tbl_Recettes[Cde_Prdt], tbl_Produits[[#This Row],[Cde_Prdt]], tbl_Recettes[Coût Moyen Portion])</f>
        <v>5</v>
      </c>
      <c r="E124" s="66">
        <f>IFERROR(
   INDEX(tbl_ProduitsRef[Prix Menu],MATCH(B124,tbl_ProduitsRef[Produit],0)),
   ""
)</f>
        <v>9</v>
      </c>
      <c r="F124" s="66">
        <f ca="1">tbl_Produits[[#This Row],[Prix Menu]] - tbl_Produits[[#This Row],[Coût Moyen Portion]]</f>
        <v>4</v>
      </c>
      <c r="G124" s="67">
        <f ca="1">IF(tbl_Produits[[#This Row],[Prix Menu]]&gt;0, tbl_Produits[[#This Row],[Marge Brute]] / tbl_Produits[[#This Row],[Prix Menu]], 0)</f>
        <v>0.44444444444444442</v>
      </c>
      <c r="H124" s="69">
        <f t="shared" ca="1" si="3"/>
        <v>3.2222222222222223</v>
      </c>
      <c r="I124" s="67">
        <f ca="1">IF(tbl_Produits[[#This Row],[Prix Menu]]=0, 0, tbl_Produits[[#This Row],[Coût Moyen Portion]] / tbl_Produits[[#This Row],[Prix Menu]])</f>
        <v>0.55555555555555558</v>
      </c>
      <c r="J124" s="67" t="str" cm="1">
        <f t="array" ref="J124">IFERROR(IF(Total_portions=0, 0, Charges_fixes_totales_periode / Total_portions),"Vérifier")</f>
        <v>Vérifier</v>
      </c>
      <c r="K124" s="131" cm="1">
        <f t="array" aca="1" ref="K124" ca="1">IFERROR(tbl_Produits[[#This Row],[Prix Menu]] - tbl_Produits[[#This Row],[Coût Moyen Portion]] - ChargesFixesPar_Portion[Charges fixes par portion],"Vérifier")</f>
        <v>-10783</v>
      </c>
      <c r="L124" s="132" t="str">
        <f ca="1">IF(OR(tbl_Produits[[#This Row],[Food cost % ]]&gt;0.35,tbl_Produits[[#This Row],[% de Chrg Fixe /Prdt]]&gt;0.2),"À améliorer","OK")</f>
        <v>À améliorer</v>
      </c>
      <c r="M124" s="18">
        <f>IFERROR( (SUMIF(tbl_Charges_Fixes[Famille affectée],tbl_Produits[[#This Row],[Famille]],tbl_Charges_Fixes[Montant_Mensuel])) / (SUMIF(tbl_Ventes[Famille],tbl_Produits[[#This Row],[Famille]],tbl_Ventes[Qté Vendue])), 0)</f>
        <v>19.162525577316575</v>
      </c>
    </row>
    <row r="125" spans="1:13" ht="16.5" customHeight="1" x14ac:dyDescent="0.25">
      <c r="A125" s="29" t="str">
        <f>Référentiels!A125&amp;TEXT(Référentiels!B125,"000")</f>
        <v>PAT001</v>
      </c>
      <c r="B125" s="64" t="str">
        <f>+tbl_ProduitsRef[[#This Row],[Produit]]</f>
        <v>Tagliatelle au saumon</v>
      </c>
      <c r="C125" s="64" t="str">
        <f>IFERROR(INDEX(tbl_ProduitsRef[Famille], MATCH(tbl_Produits[[#This Row],[Cde_Prdt]], tbl_Produits[Cde_Prdt], 0)), "")</f>
        <v>Pâtes</v>
      </c>
      <c r="D125" s="65">
        <f ca="1">SUMIF(tbl_Recettes[Cde_Prdt], tbl_Produits[[#This Row],[Cde_Prdt]], tbl_Recettes[Coût Moyen Portion])</f>
        <v>57.5</v>
      </c>
      <c r="E125" s="66">
        <f>IFERROR(
   INDEX(tbl_ProduitsRef[Prix Menu],MATCH(B125,tbl_ProduitsRef[Produit],0)),
   ""
)</f>
        <v>90</v>
      </c>
      <c r="F125" s="66">
        <f ca="1">tbl_Produits[[#This Row],[Prix Menu]] - tbl_Produits[[#This Row],[Coût Moyen Portion]]</f>
        <v>32.5</v>
      </c>
      <c r="G125" s="67">
        <f ca="1">IF(tbl_Produits[[#This Row],[Prix Menu]]&gt;0, tbl_Produits[[#This Row],[Marge Brute]] / tbl_Produits[[#This Row],[Prix Menu]], 0)</f>
        <v>0.3611111111111111</v>
      </c>
      <c r="H125" s="69">
        <f t="shared" ca="1" si="3"/>
        <v>9.9305555555555554</v>
      </c>
      <c r="I125" s="67">
        <f ca="1">IF(tbl_Produits[[#This Row],[Prix Menu]]=0, 0, tbl_Produits[[#This Row],[Coût Moyen Portion]] / tbl_Produits[[#This Row],[Prix Menu]])</f>
        <v>0.63888888888888884</v>
      </c>
      <c r="J125" s="67" t="str" cm="1">
        <f t="array" ref="J125">IFERROR(IF(Total_portions=0, 0, Charges_fixes_totales_periode / Total_portions),"Vérifier")</f>
        <v>Vérifier</v>
      </c>
      <c r="K125" s="131" cm="1">
        <f t="array" aca="1" ref="K125" ca="1">IFERROR(tbl_Produits[[#This Row],[Prix Menu]] - tbl_Produits[[#This Row],[Coût Moyen Portion]] - ChargesFixesPar_Portion[Charges fixes par portion],"Vérifier")</f>
        <v>-10754.5</v>
      </c>
      <c r="L125" s="132" t="str">
        <f ca="1">IF(OR(tbl_Produits[[#This Row],[Food cost % ]]&gt;0.35,tbl_Produits[[#This Row],[% de Chrg Fixe /Prdt]]&gt;0.2),"À améliorer","OK")</f>
        <v>À améliorer</v>
      </c>
      <c r="M12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26" spans="1:13" ht="16.5" customHeight="1" x14ac:dyDescent="0.25">
      <c r="A126" s="29" t="str">
        <f>Référentiels!A126&amp;TEXT(Référentiels!B126,"000")</f>
        <v>PAT002</v>
      </c>
      <c r="B126" s="64" t="str">
        <f>+tbl_ProduitsRef[[#This Row],[Produit]]</f>
        <v>Tagliatelle aux fruits de mer</v>
      </c>
      <c r="C126" s="64" t="str">
        <f>IFERROR(INDEX(tbl_ProduitsRef[Famille], MATCH(tbl_Produits[[#This Row],[Cde_Prdt]], tbl_Produits[Cde_Prdt], 0)), "")</f>
        <v>Pâtes</v>
      </c>
      <c r="D126" s="65">
        <f ca="1">SUMIF(tbl_Recettes[Cde_Prdt], tbl_Produits[[#This Row],[Cde_Prdt]], tbl_Recettes[Coût Moyen Portion])</f>
        <v>63.7</v>
      </c>
      <c r="E126" s="66">
        <f>IFERROR(
   INDEX(tbl_ProduitsRef[Prix Menu],MATCH(B126,tbl_ProduitsRef[Produit],0)),
   ""
)</f>
        <v>80</v>
      </c>
      <c r="F126" s="66">
        <f ca="1">tbl_Produits[[#This Row],[Prix Menu]] - tbl_Produits[[#This Row],[Coût Moyen Portion]]</f>
        <v>16.299999999999997</v>
      </c>
      <c r="G126" s="67">
        <f ca="1">IF(tbl_Produits[[#This Row],[Prix Menu]]&gt;0, tbl_Produits[[#This Row],[Marge Brute]] / tbl_Produits[[#This Row],[Prix Menu]], 0)</f>
        <v>0.20374999999999996</v>
      </c>
      <c r="H126" s="69">
        <f t="shared" ca="1" si="3"/>
        <v>5.0937499999999991</v>
      </c>
      <c r="I126" s="67">
        <f ca="1">IF(tbl_Produits[[#This Row],[Prix Menu]]=0, 0, tbl_Produits[[#This Row],[Coût Moyen Portion]] / tbl_Produits[[#This Row],[Prix Menu]])</f>
        <v>0.79625000000000001</v>
      </c>
      <c r="J126" s="67" t="str" cm="1">
        <f t="array" ref="J126">IFERROR(IF(Total_portions=0, 0, Charges_fixes_totales_periode / Total_portions),"Vérifier")</f>
        <v>Vérifier</v>
      </c>
      <c r="K126" s="131" cm="1">
        <f t="array" aca="1" ref="K126" ca="1">IFERROR(tbl_Produits[[#This Row],[Prix Menu]] - tbl_Produits[[#This Row],[Coût Moyen Portion]] - ChargesFixesPar_Portion[Charges fixes par portion],"Vérifier")</f>
        <v>-10770.7</v>
      </c>
      <c r="L126" s="132" t="str">
        <f ca="1">IF(OR(tbl_Produits[[#This Row],[Food cost % ]]&gt;0.35,tbl_Produits[[#This Row],[% de Chrg Fixe /Prdt]]&gt;0.2),"À améliorer","OK")</f>
        <v>À améliorer</v>
      </c>
      <c r="M12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27" spans="1:13" ht="16.5" customHeight="1" x14ac:dyDescent="0.25">
      <c r="A127" s="29" t="str">
        <f>Référentiels!A127&amp;TEXT(Référentiels!B127,"000")</f>
        <v>PAT003</v>
      </c>
      <c r="B127" s="64" t="str">
        <f>+tbl_ProduitsRef[[#This Row],[Produit]]</f>
        <v>Tagliatelle poulet champignons</v>
      </c>
      <c r="C127" s="64" t="str">
        <f>IFERROR(INDEX(tbl_ProduitsRef[Famille], MATCH(tbl_Produits[[#This Row],[Cde_Prdt]], tbl_Produits[Cde_Prdt], 0)), "")</f>
        <v>Pâtes</v>
      </c>
      <c r="D127" s="65">
        <f ca="1">SUMIF(tbl_Recettes[Cde_Prdt], tbl_Produits[[#This Row],[Cde_Prdt]], tbl_Recettes[Coût Moyen Portion])</f>
        <v>26.4</v>
      </c>
      <c r="E127" s="66">
        <f>IFERROR(
   INDEX(tbl_ProduitsRef[Prix Menu],MATCH(B127,tbl_ProduitsRef[Produit],0)),
   ""
)</f>
        <v>70</v>
      </c>
      <c r="F127" s="66">
        <f ca="1">tbl_Produits[[#This Row],[Prix Menu]] - tbl_Produits[[#This Row],[Coût Moyen Portion]]</f>
        <v>43.6</v>
      </c>
      <c r="G127" s="67">
        <f ca="1">IF(tbl_Produits[[#This Row],[Prix Menu]]&gt;0, tbl_Produits[[#This Row],[Marge Brute]] / tbl_Produits[[#This Row],[Prix Menu]], 0)</f>
        <v>0.62285714285714289</v>
      </c>
      <c r="H127" s="69">
        <f t="shared" ca="1" si="3"/>
        <v>14.014285714285714</v>
      </c>
      <c r="I127" s="67">
        <f ca="1">IF(tbl_Produits[[#This Row],[Prix Menu]]=0, 0, tbl_Produits[[#This Row],[Coût Moyen Portion]] / tbl_Produits[[#This Row],[Prix Menu]])</f>
        <v>0.37714285714285711</v>
      </c>
      <c r="J127" s="67" t="str" cm="1">
        <f t="array" ref="J127">IFERROR(IF(Total_portions=0, 0, Charges_fixes_totales_periode / Total_portions),"Vérifier")</f>
        <v>Vérifier</v>
      </c>
      <c r="K127" s="131" cm="1">
        <f t="array" aca="1" ref="K127" ca="1">IFERROR(tbl_Produits[[#This Row],[Prix Menu]] - tbl_Produits[[#This Row],[Coût Moyen Portion]] - ChargesFixesPar_Portion[Charges fixes par portion],"Vérifier")</f>
        <v>-10743.4</v>
      </c>
      <c r="L127" s="132" t="str">
        <f ca="1">IF(OR(tbl_Produits[[#This Row],[Food cost % ]]&gt;0.35,tbl_Produits[[#This Row],[% de Chrg Fixe /Prdt]]&gt;0.2),"À améliorer","OK")</f>
        <v>À améliorer</v>
      </c>
      <c r="M12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28" spans="1:13" ht="16.5" customHeight="1" x14ac:dyDescent="0.25">
      <c r="A128" s="29" t="str">
        <f>Référentiels!A128&amp;TEXT(Référentiels!B128,"000")</f>
        <v>PAT004</v>
      </c>
      <c r="B128" s="64" t="str">
        <f>+tbl_ProduitsRef[[#This Row],[Produit]]</f>
        <v>Spaghetti carbonara</v>
      </c>
      <c r="C128" s="64" t="str">
        <f>IFERROR(INDEX(tbl_ProduitsRef[Famille], MATCH(tbl_Produits[[#This Row],[Cde_Prdt]], tbl_Produits[Cde_Prdt], 0)), "")</f>
        <v>Pâtes</v>
      </c>
      <c r="D128" s="65">
        <f ca="1">SUMIF(tbl_Recettes[Cde_Prdt], tbl_Produits[[#This Row],[Cde_Prdt]], tbl_Recettes[Coût Moyen Portion])</f>
        <v>25.679999999999996</v>
      </c>
      <c r="E128" s="66">
        <f>IFERROR(
   INDEX(tbl_ProduitsRef[Prix Menu],MATCH(B128,tbl_ProduitsRef[Produit],0)),
   ""
)</f>
        <v>75</v>
      </c>
      <c r="F128" s="66">
        <f ca="1">tbl_Produits[[#This Row],[Prix Menu]] - tbl_Produits[[#This Row],[Coût Moyen Portion]]</f>
        <v>49.320000000000007</v>
      </c>
      <c r="G128" s="67">
        <f ca="1">IF(tbl_Produits[[#This Row],[Prix Menu]]&gt;0, tbl_Produits[[#This Row],[Marge Brute]] / tbl_Produits[[#This Row],[Prix Menu]], 0)</f>
        <v>0.65760000000000007</v>
      </c>
      <c r="H128" s="69">
        <f t="shared" ca="1" si="3"/>
        <v>15.618000000000002</v>
      </c>
      <c r="I128" s="67">
        <f ca="1">IF(tbl_Produits[[#This Row],[Prix Menu]]=0, 0, tbl_Produits[[#This Row],[Coût Moyen Portion]] / tbl_Produits[[#This Row],[Prix Menu]])</f>
        <v>0.34239999999999993</v>
      </c>
      <c r="J128" s="67" t="str" cm="1">
        <f t="array" ref="J128">IFERROR(IF(Total_portions=0, 0, Charges_fixes_totales_periode / Total_portions),"Vérifier")</f>
        <v>Vérifier</v>
      </c>
      <c r="K128" s="131" cm="1">
        <f t="array" aca="1" ref="K128" ca="1">IFERROR(tbl_Produits[[#This Row],[Prix Menu]] - tbl_Produits[[#This Row],[Coût Moyen Portion]] - ChargesFixesPar_Portion[Charges fixes par portion],"Vérifier")</f>
        <v>-10737.68</v>
      </c>
      <c r="L128" s="132" t="str">
        <f ca="1">IF(OR(tbl_Produits[[#This Row],[Food cost % ]]&gt;0.35,tbl_Produits[[#This Row],[% de Chrg Fixe /Prdt]]&gt;0.2),"À améliorer","OK")</f>
        <v>À améliorer</v>
      </c>
      <c r="M12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29" spans="1:13" ht="16.5" customHeight="1" x14ac:dyDescent="0.25">
      <c r="A129" s="29" t="str">
        <f>Référentiels!A129&amp;TEXT(Référentiels!B129,"000")</f>
        <v>PAT005</v>
      </c>
      <c r="B129" s="64" t="str">
        <f>+tbl_ProduitsRef[[#This Row],[Produit]]</f>
        <v>Spaghetti bolognaise</v>
      </c>
      <c r="C129" s="64" t="str">
        <f>IFERROR(INDEX(tbl_ProduitsRef[Famille], MATCH(tbl_Produits[[#This Row],[Cde_Prdt]], tbl_Produits[Cde_Prdt], 0)), "")</f>
        <v>Pâtes</v>
      </c>
      <c r="D129" s="65">
        <f ca="1">SUMIF(tbl_Recettes[Cde_Prdt], tbl_Produits[[#This Row],[Cde_Prdt]], tbl_Recettes[Coût Moyen Portion])</f>
        <v>28</v>
      </c>
      <c r="E129" s="66">
        <f>IFERROR(
   INDEX(tbl_ProduitsRef[Prix Menu],MATCH(B129,tbl_ProduitsRef[Produit],0)),
   ""
)</f>
        <v>70</v>
      </c>
      <c r="F129" s="66">
        <f ca="1">tbl_Produits[[#This Row],[Prix Menu]] - tbl_Produits[[#This Row],[Coût Moyen Portion]]</f>
        <v>42</v>
      </c>
      <c r="G129" s="67">
        <f ca="1">IF(tbl_Produits[[#This Row],[Prix Menu]]&gt;0, tbl_Produits[[#This Row],[Marge Brute]] / tbl_Produits[[#This Row],[Prix Menu]], 0)</f>
        <v>0.6</v>
      </c>
      <c r="H129" s="69">
        <f t="shared" ca="1" si="3"/>
        <v>13.5</v>
      </c>
      <c r="I129" s="67">
        <f ca="1">IF(tbl_Produits[[#This Row],[Prix Menu]]=0, 0, tbl_Produits[[#This Row],[Coût Moyen Portion]] / tbl_Produits[[#This Row],[Prix Menu]])</f>
        <v>0.4</v>
      </c>
      <c r="J129" s="67" t="str" cm="1">
        <f t="array" ref="J129">IFERROR(IF(Total_portions=0, 0, Charges_fixes_totales_periode / Total_portions),"Vérifier")</f>
        <v>Vérifier</v>
      </c>
      <c r="K129" s="131" cm="1">
        <f t="array" aca="1" ref="K129" ca="1">IFERROR(tbl_Produits[[#This Row],[Prix Menu]] - tbl_Produits[[#This Row],[Coût Moyen Portion]] - ChargesFixesPar_Portion[Charges fixes par portion],"Vérifier")</f>
        <v>-10745</v>
      </c>
      <c r="L129" s="132" t="str">
        <f ca="1">IF(OR(tbl_Produits[[#This Row],[Food cost % ]]&gt;0.35,tbl_Produits[[#This Row],[% de Chrg Fixe /Prdt]]&gt;0.2),"À améliorer","OK")</f>
        <v>À améliorer</v>
      </c>
      <c r="M12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30" spans="1:13" ht="16.5" customHeight="1" x14ac:dyDescent="0.25">
      <c r="A130" s="29" t="str">
        <f>Référentiels!A130&amp;TEXT(Référentiels!B130,"000")</f>
        <v>PAT006</v>
      </c>
      <c r="B130" s="64" t="str">
        <f>+tbl_ProduitsRef[[#This Row],[Produit]]</f>
        <v>Penne Toscano</v>
      </c>
      <c r="C130" s="64" t="str">
        <f>IFERROR(INDEX(tbl_ProduitsRef[Famille], MATCH(tbl_Produits[[#This Row],[Cde_Prdt]], tbl_Produits[Cde_Prdt], 0)), "")</f>
        <v>Pâtes</v>
      </c>
      <c r="D130" s="65">
        <f ca="1">SUMIF(tbl_Recettes[Cde_Prdt], tbl_Produits[[#This Row],[Cde_Prdt]], tbl_Recettes[Coût Moyen Portion])</f>
        <v>36.299999999999997</v>
      </c>
      <c r="E130" s="66">
        <f>IFERROR(
   INDEX(tbl_ProduitsRef[Prix Menu],MATCH(B130,tbl_ProduitsRef[Produit],0)),
   ""
)</f>
        <v>80</v>
      </c>
      <c r="F130" s="66">
        <f ca="1">tbl_Produits[[#This Row],[Prix Menu]] - tbl_Produits[[#This Row],[Coût Moyen Portion]]</f>
        <v>43.7</v>
      </c>
      <c r="G130" s="67">
        <f ca="1">IF(tbl_Produits[[#This Row],[Prix Menu]]&gt;0, tbl_Produits[[#This Row],[Marge Brute]] / tbl_Produits[[#This Row],[Prix Menu]], 0)</f>
        <v>0.54625000000000001</v>
      </c>
      <c r="H130" s="69">
        <f t="shared" ca="1" si="3"/>
        <v>13.65625</v>
      </c>
      <c r="I130" s="67">
        <f ca="1">IF(tbl_Produits[[#This Row],[Prix Menu]]=0, 0, tbl_Produits[[#This Row],[Coût Moyen Portion]] / tbl_Produits[[#This Row],[Prix Menu]])</f>
        <v>0.45374999999999999</v>
      </c>
      <c r="J130" s="67" t="str" cm="1">
        <f t="array" ref="J130">IFERROR(IF(Total_portions=0, 0, Charges_fixes_totales_periode / Total_portions),"Vérifier")</f>
        <v>Vérifier</v>
      </c>
      <c r="K130" s="131" cm="1">
        <f t="array" aca="1" ref="K130" ca="1">IFERROR(tbl_Produits[[#This Row],[Prix Menu]] - tbl_Produits[[#This Row],[Coût Moyen Portion]] - ChargesFixesPar_Portion[Charges fixes par portion],"Vérifier")</f>
        <v>-10743.3</v>
      </c>
      <c r="L130" s="132" t="str">
        <f ca="1">IF(OR(tbl_Produits[[#This Row],[Food cost % ]]&gt;0.35,tbl_Produits[[#This Row],[% de Chrg Fixe /Prdt]]&gt;0.2),"À améliorer","OK")</f>
        <v>À améliorer</v>
      </c>
      <c r="M13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31" spans="1:13" ht="16.5" customHeight="1" x14ac:dyDescent="0.25">
      <c r="A131" s="29" t="str">
        <f>Référentiels!A131&amp;TEXT(Référentiels!B131,"000")</f>
        <v>PAT007</v>
      </c>
      <c r="B131" s="64" t="str">
        <f>+tbl_ProduitsRef[[#This Row],[Produit]]</f>
        <v>Trio du chef (lasagne, spaghetti, tagliatelle)</v>
      </c>
      <c r="C131" s="64" t="str">
        <f>IFERROR(INDEX(tbl_ProduitsRef[Famille], MATCH(tbl_Produits[[#This Row],[Cde_Prdt]], tbl_Produits[Cde_Prdt], 0)), "")</f>
        <v>Pâtes</v>
      </c>
      <c r="D131" s="65">
        <f ca="1">SUMIF(tbl_Recettes[Cde_Prdt], tbl_Produits[[#This Row],[Cde_Prdt]], tbl_Recettes[Coût Moyen Portion])</f>
        <v>81.34</v>
      </c>
      <c r="E131" s="66">
        <f>IFERROR(
   INDEX(tbl_ProduitsRef[Prix Menu],MATCH(B131,tbl_ProduitsRef[Produit],0)),
   ""
)</f>
        <v>110</v>
      </c>
      <c r="F131" s="66">
        <f ca="1">tbl_Produits[[#This Row],[Prix Menu]] - tbl_Produits[[#This Row],[Coût Moyen Portion]]</f>
        <v>28.659999999999997</v>
      </c>
      <c r="G131" s="67">
        <f ca="1">IF(tbl_Produits[[#This Row],[Prix Menu]]&gt;0, tbl_Produits[[#This Row],[Marge Brute]] / tbl_Produits[[#This Row],[Prix Menu]], 0)</f>
        <v>0.26054545454545452</v>
      </c>
      <c r="H131" s="69">
        <f ca="1">IFERROR(
  AVERAGE(G131*10, F131/2),
0)</f>
        <v>8.4677272727272719</v>
      </c>
      <c r="I131" s="67">
        <f ca="1">IF(tbl_Produits[[#This Row],[Prix Menu]]=0, 0, tbl_Produits[[#This Row],[Coût Moyen Portion]] / tbl_Produits[[#This Row],[Prix Menu]])</f>
        <v>0.73945454545454548</v>
      </c>
      <c r="J131" s="67" t="str" cm="1">
        <f t="array" ref="J131">IFERROR(IF(Total_portions=0, 0, Charges_fixes_totales_periode / Total_portions),"Vérifier")</f>
        <v>Vérifier</v>
      </c>
      <c r="K131" s="131" cm="1">
        <f t="array" aca="1" ref="K131" ca="1">IFERROR(tbl_Produits[[#This Row],[Prix Menu]] - tbl_Produits[[#This Row],[Coût Moyen Portion]] - ChargesFixesPar_Portion[Charges fixes par portion],"Vérifier")</f>
        <v>-10758.34</v>
      </c>
      <c r="L131" s="132" t="str">
        <f ca="1">IF(OR(tbl_Produits[[#This Row],[Food cost % ]]&gt;0.35,tbl_Produits[[#This Row],[% de Chrg Fixe /Prdt]]&gt;0.2),"À améliorer","OK")</f>
        <v>À améliorer</v>
      </c>
      <c r="M13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32" spans="1:13" ht="16.5" customHeight="1" x14ac:dyDescent="0.25">
      <c r="A132" s="29" t="str">
        <f>Référentiels!A132&amp;TEXT(Référentiels!B132,"000")</f>
        <v>PAT008</v>
      </c>
      <c r="B132" s="64" t="str">
        <f>+tbl_ProduitsRef[[#This Row],[Produit]]</f>
        <v>Cannelloni fruits de mer</v>
      </c>
      <c r="C132" s="64" t="str">
        <f>IFERROR(INDEX(tbl_ProduitsRef[Famille], MATCH(tbl_Produits[[#This Row],[Cde_Prdt]], tbl_Produits[Cde_Prdt], 0)), "")</f>
        <v>Pâtes</v>
      </c>
      <c r="D132" s="65">
        <f ca="1">SUMIF(tbl_Recettes[Cde_Prdt], tbl_Produits[[#This Row],[Cde_Prdt]], tbl_Recettes[Coût Moyen Portion])</f>
        <v>60</v>
      </c>
      <c r="E132" s="66">
        <f>IFERROR(
   INDEX(tbl_ProduitsRef[Prix Menu],MATCH(B132,tbl_ProduitsRef[Produit],0)),
   ""
)</f>
        <v>90</v>
      </c>
      <c r="F132" s="66">
        <f ca="1">tbl_Produits[[#This Row],[Prix Menu]] - tbl_Produits[[#This Row],[Coût Moyen Portion]]</f>
        <v>30</v>
      </c>
      <c r="G132" s="67">
        <f ca="1">IF(tbl_Produits[[#This Row],[Prix Menu]]&gt;0, tbl_Produits[[#This Row],[Marge Brute]] / tbl_Produits[[#This Row],[Prix Menu]], 0)</f>
        <v>0.33333333333333331</v>
      </c>
      <c r="H132" s="69">
        <f t="shared" ref="H132:H163" ca="1" si="4">IFERROR(
AVERAGE(G132*10, F132/2),
0)</f>
        <v>9.1666666666666661</v>
      </c>
      <c r="I132" s="67">
        <f ca="1">IF(tbl_Produits[[#This Row],[Prix Menu]]=0, 0, tbl_Produits[[#This Row],[Coût Moyen Portion]] / tbl_Produits[[#This Row],[Prix Menu]])</f>
        <v>0.66666666666666663</v>
      </c>
      <c r="J132" s="67" t="str" cm="1">
        <f t="array" ref="J132">IFERROR(IF(Total_portions=0, 0, Charges_fixes_totales_periode / Total_portions),"Vérifier")</f>
        <v>Vérifier</v>
      </c>
      <c r="K132" s="131" cm="1">
        <f t="array" aca="1" ref="K132" ca="1">IFERROR(tbl_Produits[[#This Row],[Prix Menu]] - tbl_Produits[[#This Row],[Coût Moyen Portion]] - ChargesFixesPar_Portion[Charges fixes par portion],"Vérifier")</f>
        <v>-10757</v>
      </c>
      <c r="L132" s="132" t="str">
        <f ca="1">IF(OR(tbl_Produits[[#This Row],[Food cost % ]]&gt;0.35,tbl_Produits[[#This Row],[% de Chrg Fixe /Prdt]]&gt;0.2),"À améliorer","OK")</f>
        <v>À améliorer</v>
      </c>
      <c r="M13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33" spans="1:13" ht="16.5" customHeight="1" x14ac:dyDescent="0.25">
      <c r="A133" s="29" t="str">
        <f>Référentiels!A133&amp;TEXT(Référentiels!B133,"000")</f>
        <v>PAT009</v>
      </c>
      <c r="B133" s="64" t="str">
        <f>+tbl_ProduitsRef[[#This Row],[Produit]]</f>
        <v>Cannelloni bolognaise</v>
      </c>
      <c r="C133" s="64" t="str">
        <f>IFERROR(INDEX(tbl_ProduitsRef[Famille], MATCH(tbl_Produits[[#This Row],[Cde_Prdt]], tbl_Produits[Cde_Prdt], 0)), "")</f>
        <v>Pâtes</v>
      </c>
      <c r="D133" s="65">
        <f ca="1">SUMIF(tbl_Recettes[Cde_Prdt], tbl_Produits[[#This Row],[Cde_Prdt]], tbl_Recettes[Coût Moyen Portion])</f>
        <v>29.060000000000002</v>
      </c>
      <c r="E133" s="66">
        <f>IFERROR(
   INDEX(tbl_ProduitsRef[Prix Menu],MATCH(B133,tbl_ProduitsRef[Produit],0)),
   ""
)</f>
        <v>80</v>
      </c>
      <c r="F133" s="66">
        <f ca="1">tbl_Produits[[#This Row],[Prix Menu]] - tbl_Produits[[#This Row],[Coût Moyen Portion]]</f>
        <v>50.94</v>
      </c>
      <c r="G133" s="67">
        <f ca="1">IF(tbl_Produits[[#This Row],[Prix Menu]]&gt;0, tbl_Produits[[#This Row],[Marge Brute]] / tbl_Produits[[#This Row],[Prix Menu]], 0)</f>
        <v>0.63674999999999993</v>
      </c>
      <c r="H133" s="69">
        <f t="shared" ca="1" si="4"/>
        <v>15.918749999999999</v>
      </c>
      <c r="I133" s="67">
        <f ca="1">IF(tbl_Produits[[#This Row],[Prix Menu]]=0, 0, tbl_Produits[[#This Row],[Coût Moyen Portion]] / tbl_Produits[[#This Row],[Prix Menu]])</f>
        <v>0.36325000000000002</v>
      </c>
      <c r="J133" s="67" t="str" cm="1">
        <f t="array" ref="J133">IFERROR(IF(Total_portions=0, 0, Charges_fixes_totales_periode / Total_portions),"Vérifier")</f>
        <v>Vérifier</v>
      </c>
      <c r="K133" s="131" cm="1">
        <f t="array" aca="1" ref="K133" ca="1">IFERROR(tbl_Produits[[#This Row],[Prix Menu]] - tbl_Produits[[#This Row],[Coût Moyen Portion]] - ChargesFixesPar_Portion[Charges fixes par portion],"Vérifier")</f>
        <v>-10736.06</v>
      </c>
      <c r="L133" s="132" t="str">
        <f ca="1">IF(OR(tbl_Produits[[#This Row],[Food cost % ]]&gt;0.35,tbl_Produits[[#This Row],[% de Chrg Fixe /Prdt]]&gt;0.2),"À améliorer","OK")</f>
        <v>À améliorer</v>
      </c>
      <c r="M13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34" spans="1:13" ht="16.5" customHeight="1" x14ac:dyDescent="0.25">
      <c r="A134" s="29" t="str">
        <f>Référentiels!A134&amp;TEXT(Référentiels!B134,"000")</f>
        <v>PAT010</v>
      </c>
      <c r="B134" s="64" t="str">
        <f>+tbl_ProduitsRef[[#This Row],[Produit]]</f>
        <v>Lasagne fruits de mer</v>
      </c>
      <c r="C134" s="64" t="str">
        <f>IFERROR(INDEX(tbl_ProduitsRef[Famille], MATCH(tbl_Produits[[#This Row],[Cde_Prdt]], tbl_Produits[Cde_Prdt], 0)), "")</f>
        <v>Pâtes</v>
      </c>
      <c r="D134" s="65">
        <f ca="1">SUMIF(tbl_Recettes[Cde_Prdt], tbl_Produits[[#This Row],[Cde_Prdt]], tbl_Recettes[Coût Moyen Portion])</f>
        <v>70.5</v>
      </c>
      <c r="E134" s="66">
        <f>IFERROR(
   INDEX(tbl_ProduitsRef[Prix Menu],MATCH(B134,tbl_ProduitsRef[Produit],0)),
   ""
)</f>
        <v>80</v>
      </c>
      <c r="F134" s="66">
        <f ca="1">tbl_Produits[[#This Row],[Prix Menu]] - tbl_Produits[[#This Row],[Coût Moyen Portion]]</f>
        <v>9.5</v>
      </c>
      <c r="G134" s="67">
        <f ca="1">IF(tbl_Produits[[#This Row],[Prix Menu]]&gt;0, tbl_Produits[[#This Row],[Marge Brute]] / tbl_Produits[[#This Row],[Prix Menu]], 0)</f>
        <v>0.11874999999999999</v>
      </c>
      <c r="H134" s="69">
        <f t="shared" ca="1" si="4"/>
        <v>2.96875</v>
      </c>
      <c r="I134" s="67">
        <f ca="1">IF(tbl_Produits[[#This Row],[Prix Menu]]=0, 0, tbl_Produits[[#This Row],[Coût Moyen Portion]] / tbl_Produits[[#This Row],[Prix Menu]])</f>
        <v>0.88124999999999998</v>
      </c>
      <c r="J134" s="67" t="str" cm="1">
        <f t="array" ref="J134">IFERROR(IF(Total_portions=0, 0, Charges_fixes_totales_periode / Total_portions),"Vérifier")</f>
        <v>Vérifier</v>
      </c>
      <c r="K134" s="131" cm="1">
        <f t="array" aca="1" ref="K134" ca="1">IFERROR(tbl_Produits[[#This Row],[Prix Menu]] - tbl_Produits[[#This Row],[Coût Moyen Portion]] - ChargesFixesPar_Portion[Charges fixes par portion],"Vérifier")</f>
        <v>-10777.5</v>
      </c>
      <c r="L134" s="132" t="str">
        <f ca="1">IF(OR(tbl_Produits[[#This Row],[Food cost % ]]&gt;0.35,tbl_Produits[[#This Row],[% de Chrg Fixe /Prdt]]&gt;0.2),"À améliorer","OK")</f>
        <v>À améliorer</v>
      </c>
      <c r="M13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35" spans="1:13" ht="16.5" customHeight="1" x14ac:dyDescent="0.25">
      <c r="A135" s="29" t="str">
        <f>Référentiels!A135&amp;TEXT(Référentiels!B135,"000")</f>
        <v>PAT011</v>
      </c>
      <c r="B135" s="64" t="str">
        <f>+tbl_ProduitsRef[[#This Row],[Produit]]</f>
        <v>Lasagne bolognaise</v>
      </c>
      <c r="C135" s="64" t="str">
        <f>IFERROR(INDEX(tbl_ProduitsRef[Famille], MATCH(tbl_Produits[[#This Row],[Cde_Prdt]], tbl_Produits[Cde_Prdt], 0)), "")</f>
        <v>Pâtes</v>
      </c>
      <c r="D135" s="65">
        <f ca="1">SUMIF(tbl_Recettes[Cde_Prdt], tbl_Produits[[#This Row],[Cde_Prdt]], tbl_Recettes[Coût Moyen Portion])</f>
        <v>39.56</v>
      </c>
      <c r="E135" s="66">
        <f>IFERROR(
   INDEX(tbl_ProduitsRef[Prix Menu],MATCH(B135,tbl_ProduitsRef[Produit],0)),
   ""
)</f>
        <v>75</v>
      </c>
      <c r="F135" s="66">
        <f ca="1">tbl_Produits[[#This Row],[Prix Menu]] - tbl_Produits[[#This Row],[Coût Moyen Portion]]</f>
        <v>35.44</v>
      </c>
      <c r="G135" s="67">
        <f ca="1">IF(tbl_Produits[[#This Row],[Prix Menu]]&gt;0, tbl_Produits[[#This Row],[Marge Brute]] / tbl_Produits[[#This Row],[Prix Menu]], 0)</f>
        <v>0.47253333333333331</v>
      </c>
      <c r="H135" s="69">
        <f t="shared" ca="1" si="4"/>
        <v>11.222666666666665</v>
      </c>
      <c r="I135" s="67">
        <f ca="1">IF(tbl_Produits[[#This Row],[Prix Menu]]=0, 0, tbl_Produits[[#This Row],[Coût Moyen Portion]] / tbl_Produits[[#This Row],[Prix Menu]])</f>
        <v>0.52746666666666675</v>
      </c>
      <c r="J135" s="67" t="str" cm="1">
        <f t="array" ref="J135">IFERROR(IF(Total_portions=0, 0, Charges_fixes_totales_periode / Total_portions),"Vérifier")</f>
        <v>Vérifier</v>
      </c>
      <c r="K135" s="131" cm="1">
        <f t="array" aca="1" ref="K135" ca="1">IFERROR(tbl_Produits[[#This Row],[Prix Menu]] - tbl_Produits[[#This Row],[Coût Moyen Portion]] - ChargesFixesPar_Portion[Charges fixes par portion],"Vérifier")</f>
        <v>-10751.56</v>
      </c>
      <c r="L135" s="132" t="str">
        <f ca="1">IF(OR(tbl_Produits[[#This Row],[Food cost % ]]&gt;0.35,tbl_Produits[[#This Row],[% de Chrg Fixe /Prdt]]&gt;0.2),"À améliorer","OK")</f>
        <v>À améliorer</v>
      </c>
      <c r="M13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36" spans="1:13" ht="16.5" customHeight="1" x14ac:dyDescent="0.25">
      <c r="A136" s="29" t="str">
        <f>Référentiels!A136&amp;TEXT(Référentiels!B136,"000")</f>
        <v>PAT012</v>
      </c>
      <c r="B136" s="64" t="str">
        <f>+tbl_ProduitsRef[[#This Row],[Produit]]</f>
        <v>Linguini ragout viande</v>
      </c>
      <c r="C136" s="64" t="str">
        <f>IFERROR(INDEX(tbl_ProduitsRef[Famille], MATCH(tbl_Produits[[#This Row],[Cde_Prdt]], tbl_Produits[Cde_Prdt], 0)), "")</f>
        <v>Pâtes</v>
      </c>
      <c r="D136" s="65">
        <f ca="1">SUMIF(tbl_Recettes[Cde_Prdt], tbl_Produits[[#This Row],[Cde_Prdt]], tbl_Recettes[Coût Moyen Portion])</f>
        <v>26.42</v>
      </c>
      <c r="E136" s="66">
        <f>IFERROR(
   INDEX(tbl_ProduitsRef[Prix Menu],MATCH(B136,tbl_ProduitsRef[Produit],0)),
   ""
)</f>
        <v>70</v>
      </c>
      <c r="F136" s="66">
        <f ca="1">tbl_Produits[[#This Row],[Prix Menu]] - tbl_Produits[[#This Row],[Coût Moyen Portion]]</f>
        <v>43.58</v>
      </c>
      <c r="G136" s="67">
        <f ca="1">IF(tbl_Produits[[#This Row],[Prix Menu]]&gt;0, tbl_Produits[[#This Row],[Marge Brute]] / tbl_Produits[[#This Row],[Prix Menu]], 0)</f>
        <v>0.62257142857142855</v>
      </c>
      <c r="H136" s="69">
        <f t="shared" ca="1" si="4"/>
        <v>14.007857142857143</v>
      </c>
      <c r="I136" s="67">
        <f ca="1">IF(tbl_Produits[[#This Row],[Prix Menu]]=0, 0, tbl_Produits[[#This Row],[Coût Moyen Portion]] / tbl_Produits[[#This Row],[Prix Menu]])</f>
        <v>0.37742857142857145</v>
      </c>
      <c r="J136" s="67" t="str" cm="1">
        <f t="array" ref="J136">IFERROR(IF(Total_portions=0, 0, Charges_fixes_totales_periode / Total_portions),"Vérifier")</f>
        <v>Vérifier</v>
      </c>
      <c r="K136" s="131" cm="1">
        <f t="array" aca="1" ref="K136" ca="1">IFERROR(tbl_Produits[[#This Row],[Prix Menu]] - tbl_Produits[[#This Row],[Coût Moyen Portion]] - ChargesFixesPar_Portion[Charges fixes par portion],"Vérifier")</f>
        <v>-10743.42</v>
      </c>
      <c r="L136" s="132" t="str">
        <f ca="1">IF(OR(tbl_Produits[[#This Row],[Food cost % ]]&gt;0.35,tbl_Produits[[#This Row],[% de Chrg Fixe /Prdt]]&gt;0.2),"À améliorer","OK")</f>
        <v>À améliorer</v>
      </c>
      <c r="M13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37" spans="1:13" ht="16.5" customHeight="1" x14ac:dyDescent="0.25">
      <c r="A137" s="29" t="str">
        <f>Référentiels!A137&amp;TEXT(Référentiels!B137,"000")</f>
        <v>PIZ001</v>
      </c>
      <c r="B137" s="64" t="str">
        <f>+tbl_ProduitsRef[[#This Row],[Produit]]</f>
        <v>Pizza Fruits de mer</v>
      </c>
      <c r="C137" s="64" t="str">
        <f>IFERROR(INDEX(tbl_ProduitsRef[Famille], MATCH(tbl_Produits[[#This Row],[Cde_Prdt]], tbl_Produits[Cde_Prdt], 0)), "")</f>
        <v>Pizzas</v>
      </c>
      <c r="D137" s="65">
        <f ca="1">SUMIF(tbl_Recettes[Cde_Prdt], tbl_Produits[[#This Row],[Cde_Prdt]], tbl_Recettes[Coût Moyen Portion])</f>
        <v>64.760000000000005</v>
      </c>
      <c r="E137" s="66">
        <f>IFERROR(
   INDEX(tbl_ProduitsRef[Prix Menu],MATCH(B137,tbl_ProduitsRef[Produit],0)),
   ""
)</f>
        <v>85</v>
      </c>
      <c r="F137" s="66">
        <f ca="1">tbl_Produits[[#This Row],[Prix Menu]] - tbl_Produits[[#This Row],[Coût Moyen Portion]]</f>
        <v>20.239999999999995</v>
      </c>
      <c r="G137" s="67">
        <f ca="1">IF(tbl_Produits[[#This Row],[Prix Menu]]&gt;0, tbl_Produits[[#This Row],[Marge Brute]] / tbl_Produits[[#This Row],[Prix Menu]], 0)</f>
        <v>0.23811764705882346</v>
      </c>
      <c r="H137" s="69">
        <f t="shared" ca="1" si="4"/>
        <v>6.2505882352941162</v>
      </c>
      <c r="I137" s="67">
        <f ca="1">IF(tbl_Produits[[#This Row],[Prix Menu]]=0, 0, tbl_Produits[[#This Row],[Coût Moyen Portion]] / tbl_Produits[[#This Row],[Prix Menu]])</f>
        <v>0.76188235294117657</v>
      </c>
      <c r="J137" s="67" t="str" cm="1">
        <f t="array" ref="J137">IFERROR(IF(Total_portions=0, 0, Charges_fixes_totales_periode / Total_portions),"Vérifier")</f>
        <v>Vérifier</v>
      </c>
      <c r="K137" s="131" cm="1">
        <f t="array" aca="1" ref="K137" ca="1">IFERROR(tbl_Produits[[#This Row],[Prix Menu]] - tbl_Produits[[#This Row],[Coût Moyen Portion]] - ChargesFixesPar_Portion[Charges fixes par portion],"Vérifier")</f>
        <v>-10766.76</v>
      </c>
      <c r="L137" s="132" t="str">
        <f ca="1">IF(OR(tbl_Produits[[#This Row],[Food cost % ]]&gt;0.35,tbl_Produits[[#This Row],[% de Chrg Fixe /Prdt]]&gt;0.2),"À améliorer","OK")</f>
        <v>À améliorer</v>
      </c>
      <c r="M13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38" spans="1:13" ht="16.5" customHeight="1" x14ac:dyDescent="0.25">
      <c r="A138" s="29" t="str">
        <f>Référentiels!A138&amp;TEXT(Référentiels!B138,"000")</f>
        <v>PIZ002</v>
      </c>
      <c r="B138" s="64" t="str">
        <f>+tbl_ProduitsRef[[#This Row],[Produit]]</f>
        <v>Pizza 4 saisons</v>
      </c>
      <c r="C138" s="64" t="str">
        <f>IFERROR(INDEX(tbl_ProduitsRef[Famille], MATCH(tbl_Produits[[#This Row],[Cde_Prdt]], tbl_Produits[Cde_Prdt], 0)), "")</f>
        <v>Pizzas</v>
      </c>
      <c r="D138" s="65">
        <f ca="1">SUMIF(tbl_Recettes[Cde_Prdt], tbl_Produits[[#This Row],[Cde_Prdt]], tbl_Recettes[Coût Moyen Portion])</f>
        <v>60.2</v>
      </c>
      <c r="E138" s="66">
        <f>IFERROR(
   INDEX(tbl_ProduitsRef[Prix Menu],MATCH(B138,tbl_ProduitsRef[Produit],0)),
   ""
)</f>
        <v>75</v>
      </c>
      <c r="F138" s="66">
        <f ca="1">tbl_Produits[[#This Row],[Prix Menu]] - tbl_Produits[[#This Row],[Coût Moyen Portion]]</f>
        <v>14.799999999999997</v>
      </c>
      <c r="G138" s="67">
        <f ca="1">IF(tbl_Produits[[#This Row],[Prix Menu]]&gt;0, tbl_Produits[[#This Row],[Marge Brute]] / tbl_Produits[[#This Row],[Prix Menu]], 0)</f>
        <v>0.19733333333333331</v>
      </c>
      <c r="H138" s="69">
        <f t="shared" ca="1" si="4"/>
        <v>4.6866666666666656</v>
      </c>
      <c r="I138" s="67">
        <f ca="1">IF(tbl_Produits[[#This Row],[Prix Menu]]=0, 0, tbl_Produits[[#This Row],[Coût Moyen Portion]] / tbl_Produits[[#This Row],[Prix Menu]])</f>
        <v>0.80266666666666675</v>
      </c>
      <c r="J138" s="67" t="str" cm="1">
        <f t="array" ref="J138">IFERROR(IF(Total_portions=0, 0, Charges_fixes_totales_periode / Total_portions),"Vérifier")</f>
        <v>Vérifier</v>
      </c>
      <c r="K138" s="131" cm="1">
        <f t="array" aca="1" ref="K138" ca="1">IFERROR(tbl_Produits[[#This Row],[Prix Menu]] - tbl_Produits[[#This Row],[Coût Moyen Portion]] - ChargesFixesPar_Portion[Charges fixes par portion],"Vérifier")</f>
        <v>-10772.2</v>
      </c>
      <c r="L138" s="132" t="str">
        <f ca="1">IF(OR(tbl_Produits[[#This Row],[Food cost % ]]&gt;0.35,tbl_Produits[[#This Row],[% de Chrg Fixe /Prdt]]&gt;0.2),"À améliorer","OK")</f>
        <v>À améliorer</v>
      </c>
      <c r="M13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39" spans="1:13" ht="16.5" customHeight="1" x14ac:dyDescent="0.25">
      <c r="A139" s="29" t="str">
        <f>Référentiels!A139&amp;TEXT(Référentiels!B139,"000")</f>
        <v>PIZ003</v>
      </c>
      <c r="B139" s="64" t="str">
        <f>+tbl_ProduitsRef[[#This Row],[Produit]]</f>
        <v>Pizza 4 fromages</v>
      </c>
      <c r="C139" s="64" t="str">
        <f>IFERROR(INDEX(tbl_ProduitsRef[Famille], MATCH(tbl_Produits[[#This Row],[Cde_Prdt]], tbl_Produits[Cde_Prdt], 0)), "")</f>
        <v>Pizzas</v>
      </c>
      <c r="D139" s="65">
        <f ca="1">SUMIF(tbl_Recettes[Cde_Prdt], tbl_Produits[[#This Row],[Cde_Prdt]], tbl_Recettes[Coût Moyen Portion])</f>
        <v>943.8</v>
      </c>
      <c r="E139" s="66">
        <f>IFERROR(
   INDEX(tbl_ProduitsRef[Prix Menu],MATCH(B139,tbl_ProduitsRef[Produit],0)),
   ""
)</f>
        <v>75</v>
      </c>
      <c r="F139" s="66">
        <f ca="1">tbl_Produits[[#This Row],[Prix Menu]] - tbl_Produits[[#This Row],[Coût Moyen Portion]]</f>
        <v>-868.8</v>
      </c>
      <c r="G139" s="67">
        <f ca="1">IF(tbl_Produits[[#This Row],[Prix Menu]]&gt;0, tbl_Produits[[#This Row],[Marge Brute]] / tbl_Produits[[#This Row],[Prix Menu]], 0)</f>
        <v>-11.584</v>
      </c>
      <c r="H139" s="69">
        <f t="shared" ca="1" si="4"/>
        <v>-275.12</v>
      </c>
      <c r="I139" s="67">
        <f ca="1">IF(tbl_Produits[[#This Row],[Prix Menu]]=0, 0, tbl_Produits[[#This Row],[Coût Moyen Portion]] / tbl_Produits[[#This Row],[Prix Menu]])</f>
        <v>12.584</v>
      </c>
      <c r="J139" s="67" t="str" cm="1">
        <f t="array" ref="J139">IFERROR(IF(Total_portions=0, 0, Charges_fixes_totales_periode / Total_portions),"Vérifier")</f>
        <v>Vérifier</v>
      </c>
      <c r="K139" s="131" cm="1">
        <f t="array" aca="1" ref="K139" ca="1">IFERROR(tbl_Produits[[#This Row],[Prix Menu]] - tbl_Produits[[#This Row],[Coût Moyen Portion]] - ChargesFixesPar_Portion[Charges fixes par portion],"Vérifier")</f>
        <v>-11655.8</v>
      </c>
      <c r="L139" s="132" t="str">
        <f ca="1">IF(OR(tbl_Produits[[#This Row],[Food cost % ]]&gt;0.35,tbl_Produits[[#This Row],[% de Chrg Fixe /Prdt]]&gt;0.2),"À améliorer","OK")</f>
        <v>À améliorer</v>
      </c>
      <c r="M13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0" spans="1:13" ht="16.5" customHeight="1" x14ac:dyDescent="0.25">
      <c r="A140" s="29" t="str">
        <f>Référentiels!A140&amp;TEXT(Référentiels!B140,"000")</f>
        <v>PIZ004</v>
      </c>
      <c r="B140" s="64" t="str">
        <f>+tbl_ProduitsRef[[#This Row],[Produit]]</f>
        <v>Pizza Pepperoni</v>
      </c>
      <c r="C140" s="64" t="str">
        <f>IFERROR(INDEX(tbl_ProduitsRef[Famille], MATCH(tbl_Produits[[#This Row],[Cde_Prdt]], tbl_Produits[Cde_Prdt], 0)), "")</f>
        <v>Pizzas</v>
      </c>
      <c r="D140" s="65">
        <f ca="1">SUMIF(tbl_Recettes[Cde_Prdt], tbl_Produits[[#This Row],[Cde_Prdt]], tbl_Recettes[Coût Moyen Portion])</f>
        <v>44</v>
      </c>
      <c r="E140" s="66">
        <f>IFERROR(
   INDEX(tbl_ProduitsRef[Prix Menu],MATCH(B140,tbl_ProduitsRef[Produit],0)),
   ""
)</f>
        <v>75</v>
      </c>
      <c r="F140" s="66">
        <f ca="1">tbl_Produits[[#This Row],[Prix Menu]] - tbl_Produits[[#This Row],[Coût Moyen Portion]]</f>
        <v>31</v>
      </c>
      <c r="G140" s="67">
        <f ca="1">IF(tbl_Produits[[#This Row],[Prix Menu]]&gt;0, tbl_Produits[[#This Row],[Marge Brute]] / tbl_Produits[[#This Row],[Prix Menu]], 0)</f>
        <v>0.41333333333333333</v>
      </c>
      <c r="H140" s="69">
        <f t="shared" ca="1" si="4"/>
        <v>9.8166666666666664</v>
      </c>
      <c r="I140" s="67">
        <f ca="1">IF(tbl_Produits[[#This Row],[Prix Menu]]=0, 0, tbl_Produits[[#This Row],[Coût Moyen Portion]] / tbl_Produits[[#This Row],[Prix Menu]])</f>
        <v>0.58666666666666667</v>
      </c>
      <c r="J140" s="67" t="str" cm="1">
        <f t="array" ref="J140">IFERROR(IF(Total_portions=0, 0, Charges_fixes_totales_periode / Total_portions),"Vérifier")</f>
        <v>Vérifier</v>
      </c>
      <c r="K140" s="131" cm="1">
        <f t="array" aca="1" ref="K140" ca="1">IFERROR(tbl_Produits[[#This Row],[Prix Menu]] - tbl_Produits[[#This Row],[Coût Moyen Portion]] - ChargesFixesPar_Portion[Charges fixes par portion],"Vérifier")</f>
        <v>-10756</v>
      </c>
      <c r="L140" s="132" t="str">
        <f ca="1">IF(OR(tbl_Produits[[#This Row],[Food cost % ]]&gt;0.35,tbl_Produits[[#This Row],[% de Chrg Fixe /Prdt]]&gt;0.2),"À améliorer","OK")</f>
        <v>À améliorer</v>
      </c>
      <c r="M14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1" spans="1:13" ht="16.5" customHeight="1" x14ac:dyDescent="0.25">
      <c r="A141" s="29" t="str">
        <f>Référentiels!A141&amp;TEXT(Référentiels!B141,"000")</f>
        <v>PIZ005</v>
      </c>
      <c r="B141" s="64" t="str">
        <f>+tbl_ProduitsRef[[#This Row],[Produit]]</f>
        <v>Pizza Poulet</v>
      </c>
      <c r="C141" s="64" t="str">
        <f>IFERROR(INDEX(tbl_ProduitsRef[Famille], MATCH(tbl_Produits[[#This Row],[Cde_Prdt]], tbl_Produits[Cde_Prdt], 0)), "")</f>
        <v>Pizzas</v>
      </c>
      <c r="D141" s="65">
        <f ca="1">SUMIF(tbl_Recettes[Cde_Prdt], tbl_Produits[[#This Row],[Cde_Prdt]], tbl_Recettes[Coût Moyen Portion])</f>
        <v>21.8</v>
      </c>
      <c r="E141" s="66">
        <f>IFERROR(
   INDEX(tbl_ProduitsRef[Prix Menu],MATCH(B141,tbl_ProduitsRef[Produit],0)),
   ""
)</f>
        <v>65</v>
      </c>
      <c r="F141" s="66">
        <f ca="1">tbl_Produits[[#This Row],[Prix Menu]] - tbl_Produits[[#This Row],[Coût Moyen Portion]]</f>
        <v>43.2</v>
      </c>
      <c r="G141" s="67">
        <f ca="1">IF(tbl_Produits[[#This Row],[Prix Menu]]&gt;0, tbl_Produits[[#This Row],[Marge Brute]] / tbl_Produits[[#This Row],[Prix Menu]], 0)</f>
        <v>0.66461538461538461</v>
      </c>
      <c r="H141" s="69">
        <f t="shared" ca="1" si="4"/>
        <v>14.123076923076923</v>
      </c>
      <c r="I141" s="67">
        <f ca="1">IF(tbl_Produits[[#This Row],[Prix Menu]]=0, 0, tbl_Produits[[#This Row],[Coût Moyen Portion]] / tbl_Produits[[#This Row],[Prix Menu]])</f>
        <v>0.33538461538461539</v>
      </c>
      <c r="J141" s="67" t="str" cm="1">
        <f t="array" ref="J141">IFERROR(IF(Total_portions=0, 0, Charges_fixes_totales_periode / Total_portions),"Vérifier")</f>
        <v>Vérifier</v>
      </c>
      <c r="K141" s="131" cm="1">
        <f t="array" aca="1" ref="K141" ca="1">IFERROR(tbl_Produits[[#This Row],[Prix Menu]] - tbl_Produits[[#This Row],[Coût Moyen Portion]] - ChargesFixesPar_Portion[Charges fixes par portion],"Vérifier")</f>
        <v>-10743.8</v>
      </c>
      <c r="L141" s="132" t="str">
        <f ca="1">IF(OR(tbl_Produits[[#This Row],[Food cost % ]]&gt;0.35,tbl_Produits[[#This Row],[% de Chrg Fixe /Prdt]]&gt;0.2),"À améliorer","OK")</f>
        <v>À améliorer</v>
      </c>
      <c r="M14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2" spans="1:13" ht="16.5" customHeight="1" x14ac:dyDescent="0.25">
      <c r="A142" s="29" t="str">
        <f>Référentiels!A142&amp;TEXT(Référentiels!B142,"000")</f>
        <v>PIZ006</v>
      </c>
      <c r="B142" s="64" t="str">
        <f>+tbl_ProduitsRef[[#This Row],[Produit]]</f>
        <v>Pizza Viande hachée</v>
      </c>
      <c r="C142" s="64" t="str">
        <f>IFERROR(INDEX(tbl_ProduitsRef[Famille], MATCH(tbl_Produits[[#This Row],[Cde_Prdt]], tbl_Produits[Cde_Prdt], 0)), "")</f>
        <v>Pizzas</v>
      </c>
      <c r="D142" s="65">
        <f ca="1">SUMIF(tbl_Recettes[Cde_Prdt], tbl_Produits[[#This Row],[Cde_Prdt]], tbl_Recettes[Coût Moyen Portion])</f>
        <v>28.090000000000003</v>
      </c>
      <c r="E142" s="66">
        <f>IFERROR(
   INDEX(tbl_ProduitsRef[Prix Menu],MATCH(B142,tbl_ProduitsRef[Produit],0)),
   ""
)</f>
        <v>65</v>
      </c>
      <c r="F142" s="66">
        <f ca="1">tbl_Produits[[#This Row],[Prix Menu]] - tbl_Produits[[#This Row],[Coût Moyen Portion]]</f>
        <v>36.909999999999997</v>
      </c>
      <c r="G142" s="67">
        <f ca="1">IF(tbl_Produits[[#This Row],[Prix Menu]]&gt;0, tbl_Produits[[#This Row],[Marge Brute]] / tbl_Produits[[#This Row],[Prix Menu]], 0)</f>
        <v>0.56784615384615378</v>
      </c>
      <c r="H142" s="69">
        <f t="shared" ca="1" si="4"/>
        <v>12.066730769230768</v>
      </c>
      <c r="I142" s="67">
        <f ca="1">IF(tbl_Produits[[#This Row],[Prix Menu]]=0, 0, tbl_Produits[[#This Row],[Coût Moyen Portion]] / tbl_Produits[[#This Row],[Prix Menu]])</f>
        <v>0.43215384615384622</v>
      </c>
      <c r="J142" s="67" t="str" cm="1">
        <f t="array" ref="J142">IFERROR(IF(Total_portions=0, 0, Charges_fixes_totales_periode / Total_portions),"Vérifier")</f>
        <v>Vérifier</v>
      </c>
      <c r="K142" s="131" cm="1">
        <f t="array" aca="1" ref="K142" ca="1">IFERROR(tbl_Produits[[#This Row],[Prix Menu]] - tbl_Produits[[#This Row],[Coût Moyen Portion]] - ChargesFixesPar_Portion[Charges fixes par portion],"Vérifier")</f>
        <v>-10750.09</v>
      </c>
      <c r="L142" s="132" t="str">
        <f ca="1">IF(OR(tbl_Produits[[#This Row],[Food cost % ]]&gt;0.35,tbl_Produits[[#This Row],[% de Chrg Fixe /Prdt]]&gt;0.2),"À améliorer","OK")</f>
        <v>À améliorer</v>
      </c>
      <c r="M14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3" spans="1:13" ht="16.5" customHeight="1" x14ac:dyDescent="0.25">
      <c r="A143" s="29" t="str">
        <f>Référentiels!A143&amp;TEXT(Référentiels!B143,"000")</f>
        <v>PIZ007</v>
      </c>
      <c r="B143" s="64" t="str">
        <f>+tbl_ProduitsRef[[#This Row],[Produit]]</f>
        <v>Pizza Thon</v>
      </c>
      <c r="C143" s="64" t="str">
        <f>IFERROR(INDEX(tbl_ProduitsRef[Famille], MATCH(tbl_Produits[[#This Row],[Cde_Prdt]], tbl_Produits[Cde_Prdt], 0)), "")</f>
        <v>Pizzas</v>
      </c>
      <c r="D143" s="65">
        <f ca="1">SUMIF(tbl_Recettes[Cde_Prdt], tbl_Produits[[#This Row],[Cde_Prdt]], tbl_Recettes[Coût Moyen Portion])</f>
        <v>31.659999999999997</v>
      </c>
      <c r="E143" s="66">
        <f>IFERROR(
   INDEX(tbl_ProduitsRef[Prix Menu],MATCH(B143,tbl_ProduitsRef[Produit],0)),
   ""
)</f>
        <v>65</v>
      </c>
      <c r="F143" s="66">
        <f ca="1">tbl_Produits[[#This Row],[Prix Menu]] - tbl_Produits[[#This Row],[Coût Moyen Portion]]</f>
        <v>33.340000000000003</v>
      </c>
      <c r="G143" s="67">
        <f ca="1">IF(tbl_Produits[[#This Row],[Prix Menu]]&gt;0, tbl_Produits[[#This Row],[Marge Brute]] / tbl_Produits[[#This Row],[Prix Menu]], 0)</f>
        <v>0.51292307692307693</v>
      </c>
      <c r="H143" s="69">
        <f t="shared" ca="1" si="4"/>
        <v>10.899615384615386</v>
      </c>
      <c r="I143" s="67">
        <f ca="1">IF(tbl_Produits[[#This Row],[Prix Menu]]=0, 0, tbl_Produits[[#This Row],[Coût Moyen Portion]] / tbl_Produits[[#This Row],[Prix Menu]])</f>
        <v>0.48707692307692302</v>
      </c>
      <c r="J143" s="67" t="str" cm="1">
        <f t="array" ref="J143">IFERROR(IF(Total_portions=0, 0, Charges_fixes_totales_periode / Total_portions),"Vérifier")</f>
        <v>Vérifier</v>
      </c>
      <c r="K143" s="131" cm="1">
        <f t="array" aca="1" ref="K143" ca="1">IFERROR(tbl_Produits[[#This Row],[Prix Menu]] - tbl_Produits[[#This Row],[Coût Moyen Portion]] - ChargesFixesPar_Portion[Charges fixes par portion],"Vérifier")</f>
        <v>-10753.66</v>
      </c>
      <c r="L143" s="132" t="str">
        <f ca="1">IF(OR(tbl_Produits[[#This Row],[Food cost % ]]&gt;0.35,tbl_Produits[[#This Row],[% de Chrg Fixe /Prdt]]&gt;0.2),"À améliorer","OK")</f>
        <v>À améliorer</v>
      </c>
      <c r="M14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4" spans="1:13" ht="16.5" customHeight="1" x14ac:dyDescent="0.25">
      <c r="A144" s="29" t="str">
        <f>Référentiels!A144&amp;TEXT(Référentiels!B144,"000")</f>
        <v>PIZ008</v>
      </c>
      <c r="B144" s="64" t="str">
        <f>+tbl_ProduitsRef[[#This Row],[Produit]]</f>
        <v>Pizza Végétarienne</v>
      </c>
      <c r="C144" s="64" t="str">
        <f>IFERROR(INDEX(tbl_ProduitsRef[Famille], MATCH(tbl_Produits[[#This Row],[Cde_Prdt]], tbl_Produits[Cde_Prdt], 0)), "")</f>
        <v>Pizzas</v>
      </c>
      <c r="D144" s="65">
        <f ca="1">SUMIF(tbl_Recettes[Cde_Prdt], tbl_Produits[[#This Row],[Cde_Prdt]], tbl_Recettes[Coût Moyen Portion])</f>
        <v>31.589999999999996</v>
      </c>
      <c r="E144" s="66">
        <f>IFERROR(
   INDEX(tbl_ProduitsRef[Prix Menu],MATCH(B144,tbl_ProduitsRef[Produit],0)),
   ""
)</f>
        <v>55</v>
      </c>
      <c r="F144" s="66">
        <f ca="1">tbl_Produits[[#This Row],[Prix Menu]] - tbl_Produits[[#This Row],[Coût Moyen Portion]]</f>
        <v>23.410000000000004</v>
      </c>
      <c r="G144" s="67">
        <f ca="1">IF(tbl_Produits[[#This Row],[Prix Menu]]&gt;0, tbl_Produits[[#This Row],[Marge Brute]] / tbl_Produits[[#This Row],[Prix Menu]], 0)</f>
        <v>0.4256363636363637</v>
      </c>
      <c r="H144" s="69">
        <f t="shared" ca="1" si="4"/>
        <v>7.9806818181818198</v>
      </c>
      <c r="I144" s="67">
        <f ca="1">IF(tbl_Produits[[#This Row],[Prix Menu]]=0, 0, tbl_Produits[[#This Row],[Coût Moyen Portion]] / tbl_Produits[[#This Row],[Prix Menu]])</f>
        <v>0.5743636363636363</v>
      </c>
      <c r="J144" s="67" t="str" cm="1">
        <f t="array" ref="J144">IFERROR(IF(Total_portions=0, 0, Charges_fixes_totales_periode / Total_portions),"Vérifier")</f>
        <v>Vérifier</v>
      </c>
      <c r="K144" s="131" cm="1">
        <f t="array" aca="1" ref="K144" ca="1">IFERROR(tbl_Produits[[#This Row],[Prix Menu]] - tbl_Produits[[#This Row],[Coût Moyen Portion]] - ChargesFixesPar_Portion[Charges fixes par portion],"Vérifier")</f>
        <v>-10763.59</v>
      </c>
      <c r="L144" s="132" t="str">
        <f ca="1">IF(OR(tbl_Produits[[#This Row],[Food cost % ]]&gt;0.35,tbl_Produits[[#This Row],[% de Chrg Fixe /Prdt]]&gt;0.2),"À améliorer","OK")</f>
        <v>À améliorer</v>
      </c>
      <c r="M14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5" spans="1:13" ht="16.5" customHeight="1" x14ac:dyDescent="0.25">
      <c r="A145" s="29" t="str">
        <f>Référentiels!A145&amp;TEXT(Référentiels!B145,"000")</f>
        <v>PIZ009</v>
      </c>
      <c r="B145" s="64" t="str">
        <f>+tbl_ProduitsRef[[#This Row],[Produit]]</f>
        <v>Pizza Margarita</v>
      </c>
      <c r="C145" s="64" t="str">
        <f>IFERROR(INDEX(tbl_ProduitsRef[Famille], MATCH(tbl_Produits[[#This Row],[Cde_Prdt]], tbl_Produits[Cde_Prdt], 0)), "")</f>
        <v>Pizzas</v>
      </c>
      <c r="D145" s="65">
        <f ca="1">SUMIF(tbl_Recettes[Cde_Prdt], tbl_Produits[[#This Row],[Cde_Prdt]], tbl_Recettes[Coût Moyen Portion])</f>
        <v>38.5</v>
      </c>
      <c r="E145" s="66">
        <f>IFERROR(
   INDEX(tbl_ProduitsRef[Prix Menu],MATCH(B145,tbl_ProduitsRef[Produit],0)),
   ""
)</f>
        <v>55</v>
      </c>
      <c r="F145" s="66">
        <f ca="1">tbl_Produits[[#This Row],[Prix Menu]] - tbl_Produits[[#This Row],[Coût Moyen Portion]]</f>
        <v>16.5</v>
      </c>
      <c r="G145" s="67">
        <f ca="1">IF(tbl_Produits[[#This Row],[Prix Menu]]&gt;0, tbl_Produits[[#This Row],[Marge Brute]] / tbl_Produits[[#This Row],[Prix Menu]], 0)</f>
        <v>0.3</v>
      </c>
      <c r="H145" s="69">
        <f t="shared" ca="1" si="4"/>
        <v>5.625</v>
      </c>
      <c r="I145" s="67">
        <f ca="1">IF(tbl_Produits[[#This Row],[Prix Menu]]=0, 0, tbl_Produits[[#This Row],[Coût Moyen Portion]] / tbl_Produits[[#This Row],[Prix Menu]])</f>
        <v>0.7</v>
      </c>
      <c r="J145" s="67" t="str" cm="1">
        <f t="array" ref="J145">IFERROR(IF(Total_portions=0, 0, Charges_fixes_totales_periode / Total_portions),"Vérifier")</f>
        <v>Vérifier</v>
      </c>
      <c r="K145" s="131" cm="1">
        <f t="array" aca="1" ref="K145" ca="1">IFERROR(tbl_Produits[[#This Row],[Prix Menu]] - tbl_Produits[[#This Row],[Coût Moyen Portion]] - ChargesFixesPar_Portion[Charges fixes par portion],"Vérifier")</f>
        <v>-10770.5</v>
      </c>
      <c r="L145" s="132" t="str">
        <f ca="1">IF(OR(tbl_Produits[[#This Row],[Food cost % ]]&gt;0.35,tbl_Produits[[#This Row],[% de Chrg Fixe /Prdt]]&gt;0.2),"À améliorer","OK")</f>
        <v>À améliorer</v>
      </c>
      <c r="M14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6" spans="1:13" ht="16.5" customHeight="1" x14ac:dyDescent="0.25">
      <c r="A146" s="29" t="str">
        <f>Référentiels!A146&amp;TEXT(Référentiels!B146,"000")</f>
        <v>SNK001</v>
      </c>
      <c r="B146" s="64" t="str">
        <f>+tbl_ProduitsRef[[#This Row],[Produit]]</f>
        <v>Burger Cheese creamy</v>
      </c>
      <c r="C146" s="64" t="str">
        <f>IFERROR(INDEX(tbl_ProduitsRef[Famille], MATCH(tbl_Produits[[#This Row],[Cde_Prdt]], tbl_Produits[Cde_Prdt], 0)), "")</f>
        <v>Snack</v>
      </c>
      <c r="D146" s="65">
        <f ca="1">SUMIF(tbl_Recettes[Cde_Prdt], tbl_Produits[[#This Row],[Cde_Prdt]], tbl_Recettes[Coût Moyen Portion])</f>
        <v>26.099999999999998</v>
      </c>
      <c r="E146" s="66">
        <f>IFERROR(
   INDEX(tbl_ProduitsRef[Prix Menu],MATCH(B146,tbl_ProduitsRef[Produit],0)),
   ""
)</f>
        <v>76</v>
      </c>
      <c r="F146" s="66">
        <f ca="1">tbl_Produits[[#This Row],[Prix Menu]] - tbl_Produits[[#This Row],[Coût Moyen Portion]]</f>
        <v>49.900000000000006</v>
      </c>
      <c r="G146" s="67">
        <f ca="1">IF(tbl_Produits[[#This Row],[Prix Menu]]&gt;0, tbl_Produits[[#This Row],[Marge Brute]] / tbl_Produits[[#This Row],[Prix Menu]], 0)</f>
        <v>0.65657894736842115</v>
      </c>
      <c r="H146" s="69">
        <f t="shared" ca="1" si="4"/>
        <v>15.757894736842108</v>
      </c>
      <c r="I146" s="67">
        <f ca="1">IF(tbl_Produits[[#This Row],[Prix Menu]]=0, 0, tbl_Produits[[#This Row],[Coût Moyen Portion]] / tbl_Produits[[#This Row],[Prix Menu]])</f>
        <v>0.3434210526315789</v>
      </c>
      <c r="J146" s="67" t="str" cm="1">
        <f t="array" ref="J146">IFERROR(IF(Total_portions=0, 0, Charges_fixes_totales_periode / Total_portions),"Vérifier")</f>
        <v>Vérifier</v>
      </c>
      <c r="K146" s="131" cm="1">
        <f t="array" aca="1" ref="K146" ca="1">IFERROR(tbl_Produits[[#This Row],[Prix Menu]] - tbl_Produits[[#This Row],[Coût Moyen Portion]] - ChargesFixesPar_Portion[Charges fixes par portion],"Vérifier")</f>
        <v>-10737.1</v>
      </c>
      <c r="L146" s="132" t="str">
        <f ca="1">IF(OR(tbl_Produits[[#This Row],[Food cost % ]]&gt;0.35,tbl_Produits[[#This Row],[% de Chrg Fixe /Prdt]]&gt;0.2),"À améliorer","OK")</f>
        <v>À améliorer</v>
      </c>
      <c r="M14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7" spans="1:13" ht="16.5" customHeight="1" x14ac:dyDescent="0.25">
      <c r="A147" s="29" t="str">
        <f>Référentiels!A147&amp;TEXT(Référentiels!B147,"000")</f>
        <v>SNK002</v>
      </c>
      <c r="B147" s="64" t="str">
        <f>+tbl_ProduitsRef[[#This Row],[Produit]]</f>
        <v>Burger Double cheddar</v>
      </c>
      <c r="C147" s="64" t="str">
        <f>IFERROR(INDEX(tbl_ProduitsRef[Famille], MATCH(tbl_Produits[[#This Row],[Cde_Prdt]], tbl_Produits[Cde_Prdt], 0)), "")</f>
        <v>Snack</v>
      </c>
      <c r="D147" s="65">
        <f ca="1">SUMIF(tbl_Recettes[Cde_Prdt], tbl_Produits[[#This Row],[Cde_Prdt]], tbl_Recettes[Coût Moyen Portion])</f>
        <v>36.200000000000003</v>
      </c>
      <c r="E147" s="66">
        <f>IFERROR(
   INDEX(tbl_ProduitsRef[Prix Menu],MATCH(B147,tbl_ProduitsRef[Produit],0)),
   ""
)</f>
        <v>68</v>
      </c>
      <c r="F147" s="66">
        <f ca="1">tbl_Produits[[#This Row],[Prix Menu]] - tbl_Produits[[#This Row],[Coût Moyen Portion]]</f>
        <v>31.799999999999997</v>
      </c>
      <c r="G147" s="67">
        <f ca="1">IF(tbl_Produits[[#This Row],[Prix Menu]]&gt;0, tbl_Produits[[#This Row],[Marge Brute]] / tbl_Produits[[#This Row],[Prix Menu]], 0)</f>
        <v>0.46764705882352936</v>
      </c>
      <c r="H147" s="69">
        <f t="shared" ca="1" si="4"/>
        <v>10.288235294117646</v>
      </c>
      <c r="I147" s="67">
        <f ca="1">IF(tbl_Produits[[#This Row],[Prix Menu]]=0, 0, tbl_Produits[[#This Row],[Coût Moyen Portion]] / tbl_Produits[[#This Row],[Prix Menu]])</f>
        <v>0.53235294117647058</v>
      </c>
      <c r="J147" s="67" t="str" cm="1">
        <f t="array" ref="J147">IFERROR(IF(Total_portions=0, 0, Charges_fixes_totales_periode / Total_portions),"Vérifier")</f>
        <v>Vérifier</v>
      </c>
      <c r="K147" s="131" cm="1">
        <f t="array" aca="1" ref="K147" ca="1">IFERROR(tbl_Produits[[#This Row],[Prix Menu]] - tbl_Produits[[#This Row],[Coût Moyen Portion]] - ChargesFixesPar_Portion[Charges fixes par portion],"Vérifier")</f>
        <v>-10755.2</v>
      </c>
      <c r="L147" s="132" t="str">
        <f ca="1">IF(OR(tbl_Produits[[#This Row],[Food cost % ]]&gt;0.35,tbl_Produits[[#This Row],[% de Chrg Fixe /Prdt]]&gt;0.2),"À améliorer","OK")</f>
        <v>À améliorer</v>
      </c>
      <c r="M14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8" spans="1:13" ht="16.5" customHeight="1" x14ac:dyDescent="0.25">
      <c r="A148" s="29" t="str">
        <f>Référentiels!A148&amp;TEXT(Référentiels!B148,"000")</f>
        <v>SNK003</v>
      </c>
      <c r="B148" s="64" t="str">
        <f>+tbl_ProduitsRef[[#This Row],[Produit]]</f>
        <v>Regraga burger</v>
      </c>
      <c r="C148" s="64" t="str">
        <f>IFERROR(INDEX(tbl_ProduitsRef[Famille], MATCH(tbl_Produits[[#This Row],[Cde_Prdt]], tbl_Produits[Cde_Prdt], 0)), "")</f>
        <v>Snack</v>
      </c>
      <c r="D148" s="65">
        <f ca="1">SUMIF(tbl_Recettes[Cde_Prdt], tbl_Produits[[#This Row],[Cde_Prdt]], tbl_Recettes[Coût Moyen Portion])</f>
        <v>25.799999999999997</v>
      </c>
      <c r="E148" s="66">
        <f>IFERROR(
   INDEX(tbl_ProduitsRef[Prix Menu],MATCH(B148,tbl_ProduitsRef[Produit],0)),
   ""
)</f>
        <v>68</v>
      </c>
      <c r="F148" s="66">
        <f ca="1">tbl_Produits[[#This Row],[Prix Menu]] - tbl_Produits[[#This Row],[Coût Moyen Portion]]</f>
        <v>42.2</v>
      </c>
      <c r="G148" s="67">
        <f ca="1">IF(tbl_Produits[[#This Row],[Prix Menu]]&gt;0, tbl_Produits[[#This Row],[Marge Brute]] / tbl_Produits[[#This Row],[Prix Menu]], 0)</f>
        <v>0.62058823529411766</v>
      </c>
      <c r="H148" s="69">
        <f t="shared" ca="1" si="4"/>
        <v>13.652941176470589</v>
      </c>
      <c r="I148" s="67">
        <f ca="1">IF(tbl_Produits[[#This Row],[Prix Menu]]=0, 0, tbl_Produits[[#This Row],[Coût Moyen Portion]] / tbl_Produits[[#This Row],[Prix Menu]])</f>
        <v>0.37941176470588234</v>
      </c>
      <c r="J148" s="67" t="str" cm="1">
        <f t="array" ref="J148">IFERROR(IF(Total_portions=0, 0, Charges_fixes_totales_periode / Total_portions),"Vérifier")</f>
        <v>Vérifier</v>
      </c>
      <c r="K148" s="131" cm="1">
        <f t="array" aca="1" ref="K148" ca="1">IFERROR(tbl_Produits[[#This Row],[Prix Menu]] - tbl_Produits[[#This Row],[Coût Moyen Portion]] - ChargesFixesPar_Portion[Charges fixes par portion],"Vérifier")</f>
        <v>-10744.8</v>
      </c>
      <c r="L148" s="132" t="str">
        <f ca="1">IF(OR(tbl_Produits[[#This Row],[Food cost % ]]&gt;0.35,tbl_Produits[[#This Row],[% de Chrg Fixe /Prdt]]&gt;0.2),"À améliorer","OK")</f>
        <v>À améliorer</v>
      </c>
      <c r="M14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49" spans="1:13" ht="16.5" customHeight="1" x14ac:dyDescent="0.25">
      <c r="A149" s="29" t="str">
        <f>Référentiels!A149&amp;TEXT(Référentiels!B149,"000")</f>
        <v>SNK004</v>
      </c>
      <c r="B149" s="64" t="str">
        <f>+tbl_ProduitsRef[[#This Row],[Produit]]</f>
        <v>Mushroom burger</v>
      </c>
      <c r="C149" s="64" t="str">
        <f>IFERROR(INDEX(tbl_ProduitsRef[Famille], MATCH(tbl_Produits[[#This Row],[Cde_Prdt]], tbl_Produits[Cde_Prdt], 0)), "")</f>
        <v>Snack</v>
      </c>
      <c r="D149" s="65">
        <f ca="1">SUMIF(tbl_Recettes[Cde_Prdt], tbl_Produits[[#This Row],[Cde_Prdt]], tbl_Recettes[Coût Moyen Portion])</f>
        <v>22.699999999999996</v>
      </c>
      <c r="E149" s="66">
        <f>IFERROR(
   INDEX(tbl_ProduitsRef[Prix Menu],MATCH(B149,tbl_ProduitsRef[Produit],0)),
   ""
)</f>
        <v>65</v>
      </c>
      <c r="F149" s="66">
        <f ca="1">tbl_Produits[[#This Row],[Prix Menu]] - tbl_Produits[[#This Row],[Coût Moyen Portion]]</f>
        <v>42.300000000000004</v>
      </c>
      <c r="G149" s="67">
        <f ca="1">IF(tbl_Produits[[#This Row],[Prix Menu]]&gt;0, tbl_Produits[[#This Row],[Marge Brute]] / tbl_Produits[[#This Row],[Prix Menu]], 0)</f>
        <v>0.65076923076923088</v>
      </c>
      <c r="H149" s="69">
        <f t="shared" ca="1" si="4"/>
        <v>13.828846153846156</v>
      </c>
      <c r="I149" s="67">
        <f ca="1">IF(tbl_Produits[[#This Row],[Prix Menu]]=0, 0, tbl_Produits[[#This Row],[Coût Moyen Portion]] / tbl_Produits[[#This Row],[Prix Menu]])</f>
        <v>0.34923076923076918</v>
      </c>
      <c r="J149" s="67" t="str" cm="1">
        <f t="array" ref="J149">IFERROR(IF(Total_portions=0, 0, Charges_fixes_totales_periode / Total_portions),"Vérifier")</f>
        <v>Vérifier</v>
      </c>
      <c r="K149" s="131" cm="1">
        <f t="array" aca="1" ref="K149" ca="1">IFERROR(tbl_Produits[[#This Row],[Prix Menu]] - tbl_Produits[[#This Row],[Coût Moyen Portion]] - ChargesFixesPar_Portion[Charges fixes par portion],"Vérifier")</f>
        <v>-10744.7</v>
      </c>
      <c r="L149" s="132" t="str">
        <f ca="1">IF(OR(tbl_Produits[[#This Row],[Food cost % ]]&gt;0.35,tbl_Produits[[#This Row],[% de Chrg Fixe /Prdt]]&gt;0.2),"À améliorer","OK")</f>
        <v>À améliorer</v>
      </c>
      <c r="M14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50" spans="1:13" ht="16.5" customHeight="1" x14ac:dyDescent="0.25">
      <c r="A150" s="29" t="str">
        <f>Référentiels!A150&amp;TEXT(Référentiels!B150,"000")</f>
        <v>SNK005</v>
      </c>
      <c r="B150" s="64" t="str">
        <f>+tbl_ProduitsRef[[#This Row],[Produit]]</f>
        <v>César burger</v>
      </c>
      <c r="C150" s="64" t="str">
        <f>IFERROR(INDEX(tbl_ProduitsRef[Famille], MATCH(tbl_Produits[[#This Row],[Cde_Prdt]], tbl_Produits[Cde_Prdt], 0)), "")</f>
        <v>Snack</v>
      </c>
      <c r="D150" s="65">
        <f ca="1">SUMIF(tbl_Recettes[Cde_Prdt], tbl_Produits[[#This Row],[Cde_Prdt]], tbl_Recettes[Coût Moyen Portion])</f>
        <v>17.2</v>
      </c>
      <c r="E150" s="66">
        <f>IFERROR(
   INDEX(tbl_ProduitsRef[Prix Menu],MATCH(B150,tbl_ProduitsRef[Produit],0)),
   ""
)</f>
        <v>60</v>
      </c>
      <c r="F150" s="66">
        <f ca="1">tbl_Produits[[#This Row],[Prix Menu]] - tbl_Produits[[#This Row],[Coût Moyen Portion]]</f>
        <v>42.8</v>
      </c>
      <c r="G150" s="67">
        <f ca="1">IF(tbl_Produits[[#This Row],[Prix Menu]]&gt;0, tbl_Produits[[#This Row],[Marge Brute]] / tbl_Produits[[#This Row],[Prix Menu]], 0)</f>
        <v>0.71333333333333326</v>
      </c>
      <c r="H150" s="69">
        <f t="shared" ca="1" si="4"/>
        <v>14.266666666666666</v>
      </c>
      <c r="I150" s="67">
        <f ca="1">IF(tbl_Produits[[#This Row],[Prix Menu]]=0, 0, tbl_Produits[[#This Row],[Coût Moyen Portion]] / tbl_Produits[[#This Row],[Prix Menu]])</f>
        <v>0.28666666666666668</v>
      </c>
      <c r="J150" s="67" t="str" cm="1">
        <f t="array" ref="J150">IFERROR(IF(Total_portions=0, 0, Charges_fixes_totales_periode / Total_portions),"Vérifier")</f>
        <v>Vérifier</v>
      </c>
      <c r="K150" s="131" cm="1">
        <f t="array" aca="1" ref="K150" ca="1">IFERROR(tbl_Produits[[#This Row],[Prix Menu]] - tbl_Produits[[#This Row],[Coût Moyen Portion]] - ChargesFixesPar_Portion[Charges fixes par portion],"Vérifier")</f>
        <v>-10744.2</v>
      </c>
      <c r="L150" s="132" t="str">
        <f ca="1">IF(OR(tbl_Produits[[#This Row],[Food cost % ]]&gt;0.35,tbl_Produits[[#This Row],[% de Chrg Fixe /Prdt]]&gt;0.2),"À améliorer","OK")</f>
        <v>À améliorer</v>
      </c>
      <c r="M15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51" spans="1:13" ht="16.5" customHeight="1" x14ac:dyDescent="0.25">
      <c r="A151" s="29" t="str">
        <f>Référentiels!A151&amp;TEXT(Référentiels!B151,"000")</f>
        <v>SNK006</v>
      </c>
      <c r="B151" s="64" t="str">
        <f>+tbl_ProduitsRef[[#This Row],[Produit]]</f>
        <v>Steak burger</v>
      </c>
      <c r="C151" s="64" t="str">
        <f>IFERROR(INDEX(tbl_ProduitsRef[Famille], MATCH(tbl_Produits[[#This Row],[Cde_Prdt]], tbl_Produits[Cde_Prdt], 0)), "")</f>
        <v>Snack</v>
      </c>
      <c r="D151" s="65">
        <f ca="1">SUMIF(tbl_Recettes[Cde_Prdt], tbl_Produits[[#This Row],[Cde_Prdt]], tbl_Recettes[Coût Moyen Portion])</f>
        <v>20.999999999999996</v>
      </c>
      <c r="E151" s="66">
        <f>IFERROR(
   INDEX(tbl_ProduitsRef[Prix Menu],MATCH(B151,tbl_ProduitsRef[Produit],0)),
   ""
)</f>
        <v>60</v>
      </c>
      <c r="F151" s="66">
        <f ca="1">tbl_Produits[[#This Row],[Prix Menu]] - tbl_Produits[[#This Row],[Coût Moyen Portion]]</f>
        <v>39</v>
      </c>
      <c r="G151" s="67">
        <f ca="1">IF(tbl_Produits[[#This Row],[Prix Menu]]&gt;0, tbl_Produits[[#This Row],[Marge Brute]] / tbl_Produits[[#This Row],[Prix Menu]], 0)</f>
        <v>0.65</v>
      </c>
      <c r="H151" s="69">
        <f t="shared" ca="1" si="4"/>
        <v>13</v>
      </c>
      <c r="I151" s="67">
        <f ca="1">IF(tbl_Produits[[#This Row],[Prix Menu]]=0, 0, tbl_Produits[[#This Row],[Coût Moyen Portion]] / tbl_Produits[[#This Row],[Prix Menu]])</f>
        <v>0.34999999999999992</v>
      </c>
      <c r="J151" s="67" t="str" cm="1">
        <f t="array" ref="J151">IFERROR(IF(Total_portions=0, 0, Charges_fixes_totales_periode / Total_portions),"Vérifier")</f>
        <v>Vérifier</v>
      </c>
      <c r="K151" s="131" cm="1">
        <f t="array" aca="1" ref="K151" ca="1">IFERROR(tbl_Produits[[#This Row],[Prix Menu]] - tbl_Produits[[#This Row],[Coût Moyen Portion]] - ChargesFixesPar_Portion[Charges fixes par portion],"Vérifier")</f>
        <v>-10748</v>
      </c>
      <c r="L151" s="132" t="str">
        <f ca="1">IF(OR(tbl_Produits[[#This Row],[Food cost % ]]&gt;0.35,tbl_Produits[[#This Row],[% de Chrg Fixe /Prdt]]&gt;0.2),"À améliorer","OK")</f>
        <v>À améliorer</v>
      </c>
      <c r="M15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52" spans="1:13" ht="16.5" customHeight="1" x14ac:dyDescent="0.25">
      <c r="A152" s="29" t="str">
        <f>Référentiels!A152&amp;TEXT(Référentiels!B152,"000")</f>
        <v>SNK007</v>
      </c>
      <c r="B152" s="64" t="str">
        <f>+tbl_ProduitsRef[[#This Row],[Produit]]</f>
        <v xml:space="preserve">Panini mixte </v>
      </c>
      <c r="C152" s="64" t="str">
        <f>IFERROR(INDEX(tbl_ProduitsRef[Famille], MATCH(tbl_Produits[[#This Row],[Cde_Prdt]], tbl_Produits[Cde_Prdt], 0)), "")</f>
        <v>Snack</v>
      </c>
      <c r="D152" s="65">
        <f ca="1">SUMIF(tbl_Recettes[Cde_Prdt], tbl_Produits[[#This Row],[Cde_Prdt]], tbl_Recettes[Coût Moyen Portion])</f>
        <v>23.42</v>
      </c>
      <c r="E152" s="66">
        <f>IFERROR(
   INDEX(tbl_ProduitsRef[Prix Menu],MATCH(B152,tbl_ProduitsRef[Produit],0)),
   ""
)</f>
        <v>50</v>
      </c>
      <c r="F152" s="66">
        <f ca="1">tbl_Produits[[#This Row],[Prix Menu]] - tbl_Produits[[#This Row],[Coût Moyen Portion]]</f>
        <v>26.58</v>
      </c>
      <c r="G152" s="67">
        <f ca="1">IF(tbl_Produits[[#This Row],[Prix Menu]]&gt;0, tbl_Produits[[#This Row],[Marge Brute]] / tbl_Produits[[#This Row],[Prix Menu]], 0)</f>
        <v>0.53159999999999996</v>
      </c>
      <c r="H152" s="69">
        <f t="shared" ca="1" si="4"/>
        <v>9.302999999999999</v>
      </c>
      <c r="I152" s="67">
        <f ca="1">IF(tbl_Produits[[#This Row],[Prix Menu]]=0, 0, tbl_Produits[[#This Row],[Coût Moyen Portion]] / tbl_Produits[[#This Row],[Prix Menu]])</f>
        <v>0.46840000000000004</v>
      </c>
      <c r="J152" s="67" t="str" cm="1">
        <f t="array" ref="J152">IFERROR(IF(Total_portions=0, 0, Charges_fixes_totales_periode / Total_portions),"Vérifier")</f>
        <v>Vérifier</v>
      </c>
      <c r="K152" s="131" cm="1">
        <f t="array" aca="1" ref="K152" ca="1">IFERROR(tbl_Produits[[#This Row],[Prix Menu]] - tbl_Produits[[#This Row],[Coût Moyen Portion]] - ChargesFixesPar_Portion[Charges fixes par portion],"Vérifier")</f>
        <v>-10760.42</v>
      </c>
      <c r="L152" s="132" t="str">
        <f ca="1">IF(OR(tbl_Produits[[#This Row],[Food cost % ]]&gt;0.35,tbl_Produits[[#This Row],[% de Chrg Fixe /Prdt]]&gt;0.2),"À améliorer","OK")</f>
        <v>À améliorer</v>
      </c>
      <c r="M15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53" spans="1:13" ht="16.5" customHeight="1" x14ac:dyDescent="0.25">
      <c r="A153" s="29" t="str">
        <f>Référentiels!A153&amp;TEXT(Référentiels!B153,"000")</f>
        <v>SNK008</v>
      </c>
      <c r="B153" s="64" t="str">
        <f>+tbl_ProduitsRef[[#This Row],[Produit]]</f>
        <v>Panini viande hachée</v>
      </c>
      <c r="C153" s="64" t="str">
        <f>IFERROR(INDEX(tbl_ProduitsRef[Famille], MATCH(tbl_Produits[[#This Row],[Cde_Prdt]], tbl_Produits[Cde_Prdt], 0)), "")</f>
        <v>Snack</v>
      </c>
      <c r="D153" s="65">
        <f ca="1">SUMIF(tbl_Recettes[Cde_Prdt], tbl_Produits[[#This Row],[Cde_Prdt]], tbl_Recettes[Coût Moyen Portion])</f>
        <v>20.420000000000002</v>
      </c>
      <c r="E153" s="66">
        <f>IFERROR(
   INDEX(tbl_ProduitsRef[Prix Menu],MATCH(B153,tbl_ProduitsRef[Produit],0)),
   ""
)</f>
        <v>45</v>
      </c>
      <c r="F153" s="66">
        <f ca="1">tbl_Produits[[#This Row],[Prix Menu]] - tbl_Produits[[#This Row],[Coût Moyen Portion]]</f>
        <v>24.58</v>
      </c>
      <c r="G153" s="67">
        <f ca="1">IF(tbl_Produits[[#This Row],[Prix Menu]]&gt;0, tbl_Produits[[#This Row],[Marge Brute]] / tbl_Produits[[#This Row],[Prix Menu]], 0)</f>
        <v>0.54622222222222216</v>
      </c>
      <c r="H153" s="69">
        <f t="shared" ca="1" si="4"/>
        <v>8.8761111111111113</v>
      </c>
      <c r="I153" s="67">
        <f ca="1">IF(tbl_Produits[[#This Row],[Prix Menu]]=0, 0, tbl_Produits[[#This Row],[Coût Moyen Portion]] / tbl_Produits[[#This Row],[Prix Menu]])</f>
        <v>0.45377777777777784</v>
      </c>
      <c r="J153" s="67" t="str" cm="1">
        <f t="array" ref="J153">IFERROR(IF(Total_portions=0, 0, Charges_fixes_totales_periode / Total_portions),"Vérifier")</f>
        <v>Vérifier</v>
      </c>
      <c r="K153" s="131" cm="1">
        <f t="array" aca="1" ref="K153" ca="1">IFERROR(tbl_Produits[[#This Row],[Prix Menu]] - tbl_Produits[[#This Row],[Coût Moyen Portion]] - ChargesFixesPar_Portion[Charges fixes par portion],"Vérifier")</f>
        <v>-10762.42</v>
      </c>
      <c r="L153" s="132" t="str">
        <f ca="1">IF(OR(tbl_Produits[[#This Row],[Food cost % ]]&gt;0.35,tbl_Produits[[#This Row],[% de Chrg Fixe /Prdt]]&gt;0.2),"À améliorer","OK")</f>
        <v>À améliorer</v>
      </c>
      <c r="M15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54" spans="1:13" ht="16.5" customHeight="1" x14ac:dyDescent="0.25">
      <c r="A154" s="29" t="str">
        <f>Référentiels!A154&amp;TEXT(Référentiels!B154,"000")</f>
        <v>SNK009</v>
      </c>
      <c r="B154" s="64" t="str">
        <f>+tbl_ProduitsRef[[#This Row],[Produit]]</f>
        <v>Panini  chicken</v>
      </c>
      <c r="C154" s="64" t="str">
        <f>IFERROR(INDEX(tbl_ProduitsRef[Famille], MATCH(tbl_Produits[[#This Row],[Cde_Prdt]], tbl_Produits[Cde_Prdt], 0)), "")</f>
        <v>Snack</v>
      </c>
      <c r="D154" s="65">
        <f ca="1">SUMIF(tbl_Recettes[Cde_Prdt], tbl_Produits[[#This Row],[Cde_Prdt]], tbl_Recettes[Coût Moyen Portion])</f>
        <v>14.42</v>
      </c>
      <c r="E154" s="66">
        <f>IFERROR(
   INDEX(tbl_ProduitsRef[Prix Menu],MATCH(B154,tbl_ProduitsRef[Produit],0)),
   ""
)</f>
        <v>45</v>
      </c>
      <c r="F154" s="66">
        <f ca="1">tbl_Produits[[#This Row],[Prix Menu]] - tbl_Produits[[#This Row],[Coût Moyen Portion]]</f>
        <v>30.58</v>
      </c>
      <c r="G154" s="67">
        <f ca="1">IF(tbl_Produits[[#This Row],[Prix Menu]]&gt;0, tbl_Produits[[#This Row],[Marge Brute]] / tbl_Produits[[#This Row],[Prix Menu]], 0)</f>
        <v>0.67955555555555547</v>
      </c>
      <c r="H154" s="69">
        <f t="shared" ca="1" si="4"/>
        <v>11.042777777777777</v>
      </c>
      <c r="I154" s="67">
        <f ca="1">IF(tbl_Produits[[#This Row],[Prix Menu]]=0, 0, tbl_Produits[[#This Row],[Coût Moyen Portion]] / tbl_Produits[[#This Row],[Prix Menu]])</f>
        <v>0.32044444444444442</v>
      </c>
      <c r="J154" s="67" t="str" cm="1">
        <f t="array" ref="J154">IFERROR(IF(Total_portions=0, 0, Charges_fixes_totales_periode / Total_portions),"Vérifier")</f>
        <v>Vérifier</v>
      </c>
      <c r="K154" s="131" cm="1">
        <f t="array" aca="1" ref="K154" ca="1">IFERROR(tbl_Produits[[#This Row],[Prix Menu]] - tbl_Produits[[#This Row],[Coût Moyen Portion]] - ChargesFixesPar_Portion[Charges fixes par portion],"Vérifier")</f>
        <v>-10756.42</v>
      </c>
      <c r="L154" s="132" t="str">
        <f ca="1">IF(OR(tbl_Produits[[#This Row],[Food cost % ]]&gt;0.35,tbl_Produits[[#This Row],[% de Chrg Fixe /Prdt]]&gt;0.2),"À améliorer","OK")</f>
        <v>À améliorer</v>
      </c>
      <c r="M15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55" spans="1:13" ht="16.5" customHeight="1" x14ac:dyDescent="0.25">
      <c r="A155" s="29" t="str">
        <f>Référentiels!A155&amp;TEXT(Référentiels!B155,"000")</f>
        <v>SNK010</v>
      </c>
      <c r="B155" s="64" t="str">
        <f>+tbl_ProduitsRef[[#This Row],[Produit]]</f>
        <v xml:space="preserve">Panini cordon bleu  </v>
      </c>
      <c r="C155" s="64" t="str">
        <f>IFERROR(INDEX(tbl_ProduitsRef[Famille], MATCH(tbl_Produits[[#This Row],[Cde_Prdt]], tbl_Produits[Cde_Prdt], 0)), "")</f>
        <v>Snack</v>
      </c>
      <c r="D155" s="65">
        <f ca="1">SUMIF(tbl_Recettes[Cde_Prdt], tbl_Produits[[#This Row],[Cde_Prdt]], tbl_Recettes[Coût Moyen Portion])</f>
        <v>811.42</v>
      </c>
      <c r="E155" s="66">
        <f>IFERROR(
   INDEX(tbl_ProduitsRef[Prix Menu],MATCH(B155,tbl_ProduitsRef[Produit],0)),
   ""
)</f>
        <v>45</v>
      </c>
      <c r="F155" s="66">
        <f ca="1">tbl_Produits[[#This Row],[Prix Menu]] - tbl_Produits[[#This Row],[Coût Moyen Portion]]</f>
        <v>-766.42</v>
      </c>
      <c r="G155" s="67">
        <f ca="1">IF(tbl_Produits[[#This Row],[Prix Menu]]&gt;0, tbl_Produits[[#This Row],[Marge Brute]] / tbl_Produits[[#This Row],[Prix Menu]], 0)</f>
        <v>-17.031555555555556</v>
      </c>
      <c r="H155" s="69">
        <f t="shared" ca="1" si="4"/>
        <v>-276.76277777777779</v>
      </c>
      <c r="I155" s="67">
        <f ca="1">IF(tbl_Produits[[#This Row],[Prix Menu]]=0, 0, tbl_Produits[[#This Row],[Coût Moyen Portion]] / tbl_Produits[[#This Row],[Prix Menu]])</f>
        <v>18.031555555555556</v>
      </c>
      <c r="J155" s="67" t="str" cm="1">
        <f t="array" ref="J155">IFERROR(IF(Total_portions=0, 0, Charges_fixes_totales_periode / Total_portions),"Vérifier")</f>
        <v>Vérifier</v>
      </c>
      <c r="K155" s="131" cm="1">
        <f t="array" aca="1" ref="K155" ca="1">IFERROR(tbl_Produits[[#This Row],[Prix Menu]] - tbl_Produits[[#This Row],[Coût Moyen Portion]] - ChargesFixesPar_Portion[Charges fixes par portion],"Vérifier")</f>
        <v>-11553.42</v>
      </c>
      <c r="L155" s="132" t="str">
        <f ca="1">IF(OR(tbl_Produits[[#This Row],[Food cost % ]]&gt;0.35,tbl_Produits[[#This Row],[% de Chrg Fixe /Prdt]]&gt;0.2),"À améliorer","OK")</f>
        <v>À améliorer</v>
      </c>
      <c r="M15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56" spans="1:13" ht="16.5" customHeight="1" x14ac:dyDescent="0.25">
      <c r="A156" s="29" t="str">
        <f>Référentiels!A156&amp;TEXT(Référentiels!B156,"000")</f>
        <v>SNK011</v>
      </c>
      <c r="B156" s="64" t="str">
        <f>+tbl_ProduitsRef[[#This Row],[Produit]]</f>
        <v>Chawarma sandwich</v>
      </c>
      <c r="C156" s="64" t="str">
        <f>IFERROR(INDEX(tbl_ProduitsRef[Famille], MATCH(tbl_Produits[[#This Row],[Cde_Prdt]], tbl_Produits[Cde_Prdt], 0)), "")</f>
        <v>Snack</v>
      </c>
      <c r="D156" s="65">
        <f ca="1">SUMIF(tbl_Recettes[Cde_Prdt], tbl_Produits[[#This Row],[Cde_Prdt]], tbl_Recettes[Coût Moyen Portion])</f>
        <v>13.5</v>
      </c>
      <c r="E156" s="66">
        <f>IFERROR(
   INDEX(tbl_ProduitsRef[Prix Menu],MATCH(B156,tbl_ProduitsRef[Produit],0)),
   ""
)</f>
        <v>45</v>
      </c>
      <c r="F156" s="66">
        <f ca="1">tbl_Produits[[#This Row],[Prix Menu]] - tbl_Produits[[#This Row],[Coût Moyen Portion]]</f>
        <v>31.5</v>
      </c>
      <c r="G156" s="67">
        <f ca="1">IF(tbl_Produits[[#This Row],[Prix Menu]]&gt;0, tbl_Produits[[#This Row],[Marge Brute]] / tbl_Produits[[#This Row],[Prix Menu]], 0)</f>
        <v>0.7</v>
      </c>
      <c r="H156" s="69">
        <f t="shared" ca="1" si="4"/>
        <v>11.375</v>
      </c>
      <c r="I156" s="67">
        <f ca="1">IF(tbl_Produits[[#This Row],[Prix Menu]]=0, 0, tbl_Produits[[#This Row],[Coût Moyen Portion]] / tbl_Produits[[#This Row],[Prix Menu]])</f>
        <v>0.3</v>
      </c>
      <c r="J156" s="67" t="str" cm="1">
        <f t="array" ref="J156">IFERROR(IF(Total_portions=0, 0, Charges_fixes_totales_periode / Total_portions),"Vérifier")</f>
        <v>Vérifier</v>
      </c>
      <c r="K156" s="131" cm="1">
        <f t="array" aca="1" ref="K156" ca="1">IFERROR(tbl_Produits[[#This Row],[Prix Menu]] - tbl_Produits[[#This Row],[Coût Moyen Portion]] - ChargesFixesPar_Portion[Charges fixes par portion],"Vérifier")</f>
        <v>-10755.5</v>
      </c>
      <c r="L156" s="132" t="str">
        <f ca="1">IF(OR(tbl_Produits[[#This Row],[Food cost % ]]&gt;0.35,tbl_Produits[[#This Row],[% de Chrg Fixe /Prdt]]&gt;0.2),"À améliorer","OK")</f>
        <v>À améliorer</v>
      </c>
      <c r="M15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57" spans="1:13" ht="16.5" customHeight="1" x14ac:dyDescent="0.25">
      <c r="A157" s="29" t="str">
        <f>Référentiels!A157&amp;TEXT(Référentiels!B157,"000")</f>
        <v>SNK012</v>
      </c>
      <c r="B157" s="64" t="str">
        <f>+tbl_ProduitsRef[[#This Row],[Produit]]</f>
        <v>Chawarma plat</v>
      </c>
      <c r="C157" s="64" t="str">
        <f>IFERROR(INDEX(tbl_ProduitsRef[Famille], MATCH(tbl_Produits[[#This Row],[Cde_Prdt]], tbl_Produits[Cde_Prdt], 0)), "")</f>
        <v>Snack</v>
      </c>
      <c r="D157" s="65">
        <f ca="1">SUMIF(tbl_Recettes[Cde_Prdt], tbl_Produits[[#This Row],[Cde_Prdt]], tbl_Recettes[Coût Moyen Portion])</f>
        <v>14.899999999999999</v>
      </c>
      <c r="E157" s="66">
        <f>IFERROR(
   INDEX(tbl_ProduitsRef[Prix Menu],MATCH(B157,tbl_ProduitsRef[Produit],0)),
   ""
)</f>
        <v>60</v>
      </c>
      <c r="F157" s="66">
        <f ca="1">tbl_Produits[[#This Row],[Prix Menu]] - tbl_Produits[[#This Row],[Coût Moyen Portion]]</f>
        <v>45.1</v>
      </c>
      <c r="G157" s="67">
        <f ca="1">IF(tbl_Produits[[#This Row],[Prix Menu]]&gt;0, tbl_Produits[[#This Row],[Marge Brute]] / tbl_Produits[[#This Row],[Prix Menu]], 0)</f>
        <v>0.75166666666666671</v>
      </c>
      <c r="H157" s="69">
        <f t="shared" ca="1" si="4"/>
        <v>15.033333333333335</v>
      </c>
      <c r="I157" s="67">
        <f ca="1">IF(tbl_Produits[[#This Row],[Prix Menu]]=0, 0, tbl_Produits[[#This Row],[Coût Moyen Portion]] / tbl_Produits[[#This Row],[Prix Menu]])</f>
        <v>0.24833333333333332</v>
      </c>
      <c r="J157" s="67" t="str" cm="1">
        <f t="array" ref="J157">IFERROR(IF(Total_portions=0, 0, Charges_fixes_totales_periode / Total_portions),"Vérifier")</f>
        <v>Vérifier</v>
      </c>
      <c r="K157" s="131" cm="1">
        <f t="array" aca="1" ref="K157" ca="1">IFERROR(tbl_Produits[[#This Row],[Prix Menu]] - tbl_Produits[[#This Row],[Coût Moyen Portion]] - ChargesFixesPar_Portion[Charges fixes par portion],"Vérifier")</f>
        <v>-10741.9</v>
      </c>
      <c r="L157" s="132" t="str">
        <f ca="1">IF(OR(tbl_Produits[[#This Row],[Food cost % ]]&gt;0.35,tbl_Produits[[#This Row],[% de Chrg Fixe /Prdt]]&gt;0.2),"À améliorer","OK")</f>
        <v>À améliorer</v>
      </c>
      <c r="M15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58" spans="1:13" ht="16.5" customHeight="1" x14ac:dyDescent="0.25">
      <c r="A158" s="29" t="str">
        <f>Référentiels!A158&amp;TEXT(Référentiels!B158,"000")</f>
        <v>SNK013</v>
      </c>
      <c r="B158" s="64" t="str">
        <f>+tbl_ProduitsRef[[#This Row],[Produit]]</f>
        <v>Burrito mixte</v>
      </c>
      <c r="C158" s="64" t="str">
        <f>IFERROR(INDEX(tbl_ProduitsRef[Famille], MATCH(tbl_Produits[[#This Row],[Cde_Prdt]], tbl_Produits[Cde_Prdt], 0)), "")</f>
        <v>Snack</v>
      </c>
      <c r="D158" s="65">
        <f ca="1">SUMIF(tbl_Recettes[Cde_Prdt], tbl_Produits[[#This Row],[Cde_Prdt]], tbl_Recettes[Coût Moyen Portion])</f>
        <v>27.22</v>
      </c>
      <c r="E158" s="66">
        <f>IFERROR(
   INDEX(tbl_ProduitsRef[Prix Menu],MATCH(B158,tbl_ProduitsRef[Produit],0)),
   ""
)</f>
        <v>50</v>
      </c>
      <c r="F158" s="66">
        <f ca="1">tbl_Produits[[#This Row],[Prix Menu]] - tbl_Produits[[#This Row],[Coût Moyen Portion]]</f>
        <v>22.78</v>
      </c>
      <c r="G158" s="67">
        <f ca="1">IF(tbl_Produits[[#This Row],[Prix Menu]]&gt;0, tbl_Produits[[#This Row],[Marge Brute]] / tbl_Produits[[#This Row],[Prix Menu]], 0)</f>
        <v>0.4556</v>
      </c>
      <c r="H158" s="69">
        <f t="shared" ca="1" si="4"/>
        <v>7.9730000000000008</v>
      </c>
      <c r="I158" s="67">
        <f ca="1">IF(tbl_Produits[[#This Row],[Prix Menu]]=0, 0, tbl_Produits[[#This Row],[Coût Moyen Portion]] / tbl_Produits[[#This Row],[Prix Menu]])</f>
        <v>0.5444</v>
      </c>
      <c r="J158" s="67" t="str" cm="1">
        <f t="array" ref="J158">IFERROR(IF(Total_portions=0, 0, Charges_fixes_totales_periode / Total_portions),"Vérifier")</f>
        <v>Vérifier</v>
      </c>
      <c r="K158" s="131" cm="1">
        <f t="array" aca="1" ref="K158" ca="1">IFERROR(tbl_Produits[[#This Row],[Prix Menu]] - tbl_Produits[[#This Row],[Coût Moyen Portion]] - ChargesFixesPar_Portion[Charges fixes par portion],"Vérifier")</f>
        <v>-10764.22</v>
      </c>
      <c r="L158" s="132" t="str">
        <f ca="1">IF(OR(tbl_Produits[[#This Row],[Food cost % ]]&gt;0.35,tbl_Produits[[#This Row],[% de Chrg Fixe /Prdt]]&gt;0.2),"À améliorer","OK")</f>
        <v>À améliorer</v>
      </c>
      <c r="M15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59" spans="1:13" ht="16.5" customHeight="1" x14ac:dyDescent="0.25">
      <c r="A159" s="29" t="str">
        <f>Référentiels!A159&amp;TEXT(Référentiels!B159,"000")</f>
        <v>SNK014</v>
      </c>
      <c r="B159" s="64" t="str">
        <f>+tbl_ProduitsRef[[#This Row],[Produit]]</f>
        <v>Burrito viande hachée</v>
      </c>
      <c r="C159" s="64" t="str">
        <f>IFERROR(INDEX(tbl_ProduitsRef[Famille], MATCH(tbl_Produits[[#This Row],[Cde_Prdt]], tbl_Produits[Cde_Prdt], 0)), "")</f>
        <v>Snack</v>
      </c>
      <c r="D159" s="65">
        <f ca="1">SUMIF(tbl_Recettes[Cde_Prdt], tbl_Produits[[#This Row],[Cde_Prdt]], tbl_Recettes[Coût Moyen Portion])</f>
        <v>27.22</v>
      </c>
      <c r="E159" s="66">
        <f>IFERROR(
   INDEX(tbl_ProduitsRef[Prix Menu],MATCH(B159,tbl_ProduitsRef[Produit],0)),
   ""
)</f>
        <v>45</v>
      </c>
      <c r="F159" s="66">
        <f ca="1">tbl_Produits[[#This Row],[Prix Menu]] - tbl_Produits[[#This Row],[Coût Moyen Portion]]</f>
        <v>17.78</v>
      </c>
      <c r="G159" s="67">
        <f ca="1">IF(tbl_Produits[[#This Row],[Prix Menu]]&gt;0, tbl_Produits[[#This Row],[Marge Brute]] / tbl_Produits[[#This Row],[Prix Menu]], 0)</f>
        <v>0.39511111111111114</v>
      </c>
      <c r="H159" s="69">
        <f t="shared" ca="1" si="4"/>
        <v>6.4205555555555556</v>
      </c>
      <c r="I159" s="67">
        <f ca="1">IF(tbl_Produits[[#This Row],[Prix Menu]]=0, 0, tbl_Produits[[#This Row],[Coût Moyen Portion]] / tbl_Produits[[#This Row],[Prix Menu]])</f>
        <v>0.60488888888888881</v>
      </c>
      <c r="J159" s="67" t="str" cm="1">
        <f t="array" ref="J159">IFERROR(IF(Total_portions=0, 0, Charges_fixes_totales_periode / Total_portions),"Vérifier")</f>
        <v>Vérifier</v>
      </c>
      <c r="K159" s="131" cm="1">
        <f t="array" aca="1" ref="K159" ca="1">IFERROR(tbl_Produits[[#This Row],[Prix Menu]] - tbl_Produits[[#This Row],[Coût Moyen Portion]] - ChargesFixesPar_Portion[Charges fixes par portion],"Vérifier")</f>
        <v>-10769.22</v>
      </c>
      <c r="L159" s="132" t="str">
        <f ca="1">IF(OR(tbl_Produits[[#This Row],[Food cost % ]]&gt;0.35,tbl_Produits[[#This Row],[% de Chrg Fixe /Prdt]]&gt;0.2),"À améliorer","OK")</f>
        <v>À améliorer</v>
      </c>
      <c r="M15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60" spans="1:13" ht="16.5" customHeight="1" x14ac:dyDescent="0.25">
      <c r="A160" s="29" t="str">
        <f>Référentiels!A160&amp;TEXT(Référentiels!B160,"000")</f>
        <v>SNK015</v>
      </c>
      <c r="B160" s="64" t="str">
        <f>+tbl_ProduitsRef[[#This Row],[Produit]]</f>
        <v>Burrito Poulet</v>
      </c>
      <c r="C160" s="64" t="str">
        <f>IFERROR(INDEX(tbl_ProduitsRef[Famille], MATCH(tbl_Produits[[#This Row],[Cde_Prdt]], tbl_Produits[Cde_Prdt], 0)), "")</f>
        <v>Snack</v>
      </c>
      <c r="D160" s="65">
        <f ca="1">SUMIF(tbl_Recettes[Cde_Prdt], tbl_Produits[[#This Row],[Cde_Prdt]], tbl_Recettes[Coût Moyen Portion])</f>
        <v>24.22</v>
      </c>
      <c r="E160" s="66">
        <f>IFERROR(
   INDEX(tbl_ProduitsRef[Prix Menu],MATCH(B160,tbl_ProduitsRef[Produit],0)),
   ""
)</f>
        <v>45</v>
      </c>
      <c r="F160" s="66">
        <f ca="1">tbl_Produits[[#This Row],[Prix Menu]] - tbl_Produits[[#This Row],[Coût Moyen Portion]]</f>
        <v>20.78</v>
      </c>
      <c r="G160" s="67">
        <f ca="1">IF(tbl_Produits[[#This Row],[Prix Menu]]&gt;0, tbl_Produits[[#This Row],[Marge Brute]] / tbl_Produits[[#This Row],[Prix Menu]], 0)</f>
        <v>0.46177777777777779</v>
      </c>
      <c r="H160" s="69">
        <f t="shared" ca="1" si="4"/>
        <v>7.5038888888888895</v>
      </c>
      <c r="I160" s="67">
        <f ca="1">IF(tbl_Produits[[#This Row],[Prix Menu]]=0, 0, tbl_Produits[[#This Row],[Coût Moyen Portion]] / tbl_Produits[[#This Row],[Prix Menu]])</f>
        <v>0.53822222222222216</v>
      </c>
      <c r="J160" s="67" t="str" cm="1">
        <f t="array" ref="J160">IFERROR(IF(Total_portions=0, 0, Charges_fixes_totales_periode / Total_portions),"Vérifier")</f>
        <v>Vérifier</v>
      </c>
      <c r="K160" s="131" cm="1">
        <f t="array" aca="1" ref="K160" ca="1">IFERROR(tbl_Produits[[#This Row],[Prix Menu]] - tbl_Produits[[#This Row],[Coût Moyen Portion]] - ChargesFixesPar_Portion[Charges fixes par portion],"Vérifier")</f>
        <v>-10766.22</v>
      </c>
      <c r="L160" s="132" t="str">
        <f ca="1">IF(OR(tbl_Produits[[#This Row],[Food cost % ]]&gt;0.35,tbl_Produits[[#This Row],[% de Chrg Fixe /Prdt]]&gt;0.2),"À améliorer","OK")</f>
        <v>À améliorer</v>
      </c>
      <c r="M16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61" spans="1:13" ht="16.5" customHeight="1" x14ac:dyDescent="0.25">
      <c r="A161" s="29" t="str">
        <f>Référentiels!A161&amp;TEXT(Référentiels!B161,"000")</f>
        <v>SNK016</v>
      </c>
      <c r="B161" s="64" t="str">
        <f>+tbl_ProduitsRef[[#This Row],[Produit]]</f>
        <v>Tacos poulet</v>
      </c>
      <c r="C161" s="64" t="str">
        <f>IFERROR(INDEX(tbl_ProduitsRef[Famille], MATCH(tbl_Produits[[#This Row],[Cde_Prdt]], tbl_Produits[Cde_Prdt], 0)), "")</f>
        <v>Snack</v>
      </c>
      <c r="D161" s="65">
        <f ca="1">SUMIF(tbl_Recettes[Cde_Prdt], tbl_Produits[[#This Row],[Cde_Prdt]], tbl_Recettes[Coût Moyen Portion])</f>
        <v>23.62</v>
      </c>
      <c r="E161" s="66">
        <f>IFERROR(
   INDEX(tbl_ProduitsRef[Prix Menu],MATCH(B161,tbl_ProduitsRef[Produit],0)),
   ""
)</f>
        <v>45</v>
      </c>
      <c r="F161" s="66">
        <f ca="1">tbl_Produits[[#This Row],[Prix Menu]] - tbl_Produits[[#This Row],[Coût Moyen Portion]]</f>
        <v>21.38</v>
      </c>
      <c r="G161" s="67">
        <f ca="1">IF(tbl_Produits[[#This Row],[Prix Menu]]&gt;0, tbl_Produits[[#This Row],[Marge Brute]] / tbl_Produits[[#This Row],[Prix Menu]], 0)</f>
        <v>0.4751111111111111</v>
      </c>
      <c r="H161" s="69">
        <f t="shared" ca="1" si="4"/>
        <v>7.7205555555555554</v>
      </c>
      <c r="I161" s="67">
        <f ca="1">IF(tbl_Produits[[#This Row],[Prix Menu]]=0, 0, tbl_Produits[[#This Row],[Coût Moyen Portion]] / tbl_Produits[[#This Row],[Prix Menu]])</f>
        <v>0.52488888888888896</v>
      </c>
      <c r="J161" s="67" t="str" cm="1">
        <f t="array" ref="J161">IFERROR(IF(Total_portions=0, 0, Charges_fixes_totales_periode / Total_portions),"Vérifier")</f>
        <v>Vérifier</v>
      </c>
      <c r="K161" s="131" cm="1">
        <f t="array" aca="1" ref="K161" ca="1">IFERROR(tbl_Produits[[#This Row],[Prix Menu]] - tbl_Produits[[#This Row],[Coût Moyen Portion]] - ChargesFixesPar_Portion[Charges fixes par portion],"Vérifier")</f>
        <v>-10765.62</v>
      </c>
      <c r="L161" s="132" t="str">
        <f ca="1">IF(OR(tbl_Produits[[#This Row],[Food cost % ]]&gt;0.35,tbl_Produits[[#This Row],[% de Chrg Fixe /Prdt]]&gt;0.2),"À améliorer","OK")</f>
        <v>À améliorer</v>
      </c>
      <c r="M16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62" spans="1:13" ht="16.5" customHeight="1" x14ac:dyDescent="0.25">
      <c r="A162" s="29" t="str">
        <f>Référentiels!A162&amp;TEXT(Référentiels!B162,"000")</f>
        <v>SNK017</v>
      </c>
      <c r="B162" s="64" t="str">
        <f>+tbl_ProduitsRef[[#This Row],[Produit]]</f>
        <v>Tacos Cordon bleu</v>
      </c>
      <c r="C162" s="64" t="str">
        <f>IFERROR(INDEX(tbl_ProduitsRef[Famille], MATCH(tbl_Produits[[#This Row],[Cde_Prdt]], tbl_Produits[Cde_Prdt], 0)), "")</f>
        <v>Snack</v>
      </c>
      <c r="D162" s="65">
        <f ca="1">SUMIF(tbl_Recettes[Cde_Prdt], tbl_Produits[[#This Row],[Cde_Prdt]], tbl_Recettes[Coût Moyen Portion])</f>
        <v>21.2</v>
      </c>
      <c r="E162" s="66">
        <f>IFERROR(
   INDEX(tbl_ProduitsRef[Prix Menu],MATCH(B162,tbl_ProduitsRef[Produit],0)),
   ""
)</f>
        <v>45</v>
      </c>
      <c r="F162" s="66">
        <f ca="1">tbl_Produits[[#This Row],[Prix Menu]] - tbl_Produits[[#This Row],[Coût Moyen Portion]]</f>
        <v>23.8</v>
      </c>
      <c r="G162" s="67">
        <f ca="1">IF(tbl_Produits[[#This Row],[Prix Menu]]&gt;0, tbl_Produits[[#This Row],[Marge Brute]] / tbl_Produits[[#This Row],[Prix Menu]], 0)</f>
        <v>0.52888888888888885</v>
      </c>
      <c r="H162" s="69">
        <f t="shared" ca="1" si="4"/>
        <v>8.594444444444445</v>
      </c>
      <c r="I162" s="67">
        <f ca="1">IF(tbl_Produits[[#This Row],[Prix Menu]]=0, 0, tbl_Produits[[#This Row],[Coût Moyen Portion]] / tbl_Produits[[#This Row],[Prix Menu]])</f>
        <v>0.47111111111111109</v>
      </c>
      <c r="J162" s="67" t="str" cm="1">
        <f t="array" ref="J162">IFERROR(IF(Total_portions=0, 0, Charges_fixes_totales_periode / Total_portions),"Vérifier")</f>
        <v>Vérifier</v>
      </c>
      <c r="K162" s="131" cm="1">
        <f t="array" aca="1" ref="K162" ca="1">IFERROR(tbl_Produits[[#This Row],[Prix Menu]] - tbl_Produits[[#This Row],[Coût Moyen Portion]] - ChargesFixesPar_Portion[Charges fixes par portion],"Vérifier")</f>
        <v>-10763.2</v>
      </c>
      <c r="L162" s="132" t="str">
        <f ca="1">IF(OR(tbl_Produits[[#This Row],[Food cost % ]]&gt;0.35,tbl_Produits[[#This Row],[% de Chrg Fixe /Prdt]]&gt;0.2),"À améliorer","OK")</f>
        <v>À améliorer</v>
      </c>
      <c r="M16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63" spans="1:13" ht="16.5" customHeight="1" x14ac:dyDescent="0.25">
      <c r="A163" s="29" t="str">
        <f>Référentiels!A163&amp;TEXT(Référentiels!B163,"000")</f>
        <v>SNK018</v>
      </c>
      <c r="B163" s="64" t="str">
        <f>+tbl_ProduitsRef[[#This Row],[Produit]]</f>
        <v>Tacos mixte</v>
      </c>
      <c r="C163" s="64" t="str">
        <f>IFERROR(INDEX(tbl_ProduitsRef[Famille], MATCH(tbl_Produits[[#This Row],[Cde_Prdt]], tbl_Produits[Cde_Prdt], 0)), "")</f>
        <v>Snack</v>
      </c>
      <c r="D163" s="65">
        <f ca="1">SUMIF(tbl_Recettes[Cde_Prdt], tbl_Produits[[#This Row],[Cde_Prdt]], tbl_Recettes[Coût Moyen Portion])</f>
        <v>26.62</v>
      </c>
      <c r="E163" s="66">
        <f>IFERROR(
   INDEX(tbl_ProduitsRef[Prix Menu],MATCH(B163,tbl_ProduitsRef[Produit],0)),
   ""
)</f>
        <v>50</v>
      </c>
      <c r="F163" s="66">
        <f ca="1">tbl_Produits[[#This Row],[Prix Menu]] - tbl_Produits[[#This Row],[Coût Moyen Portion]]</f>
        <v>23.38</v>
      </c>
      <c r="G163" s="67">
        <f ca="1">IF(tbl_Produits[[#This Row],[Prix Menu]]&gt;0, tbl_Produits[[#This Row],[Marge Brute]] / tbl_Produits[[#This Row],[Prix Menu]], 0)</f>
        <v>0.46759999999999996</v>
      </c>
      <c r="H163" s="69">
        <f t="shared" ca="1" si="4"/>
        <v>8.1829999999999998</v>
      </c>
      <c r="I163" s="67">
        <f ca="1">IF(tbl_Produits[[#This Row],[Prix Menu]]=0, 0, tbl_Produits[[#This Row],[Coût Moyen Portion]] / tbl_Produits[[#This Row],[Prix Menu]])</f>
        <v>0.53239999999999998</v>
      </c>
      <c r="J163" s="67" t="str" cm="1">
        <f t="array" ref="J163">IFERROR(IF(Total_portions=0, 0, Charges_fixes_totales_periode / Total_portions),"Vérifier")</f>
        <v>Vérifier</v>
      </c>
      <c r="K163" s="131" cm="1">
        <f t="array" aca="1" ref="K163" ca="1">IFERROR(tbl_Produits[[#This Row],[Prix Menu]] - tbl_Produits[[#This Row],[Coût Moyen Portion]] - ChargesFixesPar_Portion[Charges fixes par portion],"Vérifier")</f>
        <v>-10763.62</v>
      </c>
      <c r="L163" s="132" t="str">
        <f ca="1">IF(OR(tbl_Produits[[#This Row],[Food cost % ]]&gt;0.35,tbl_Produits[[#This Row],[% de Chrg Fixe /Prdt]]&gt;0.2),"À améliorer","OK")</f>
        <v>À améliorer</v>
      </c>
      <c r="M16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64" spans="1:13" ht="16.5" customHeight="1" x14ac:dyDescent="0.25">
      <c r="A164" s="29" t="str">
        <f>Référentiels!A164&amp;TEXT(Référentiels!B164,"000")</f>
        <v>SNK019</v>
      </c>
      <c r="B164" s="64" t="str">
        <f>+tbl_ProduitsRef[[#This Row],[Produit]]</f>
        <v>Tacos viande hachée</v>
      </c>
      <c r="C164" s="64" t="str">
        <f>IFERROR(INDEX(tbl_ProduitsRef[Famille], MATCH(tbl_Produits[[#This Row],[Cde_Prdt]], tbl_Produits[Cde_Prdt], 0)), "")</f>
        <v>Snack</v>
      </c>
      <c r="D164" s="65">
        <f ca="1">SUMIF(tbl_Recettes[Cde_Prdt], tbl_Produits[[#This Row],[Cde_Prdt]], tbl_Recettes[Coût Moyen Portion])</f>
        <v>26.62</v>
      </c>
      <c r="E164" s="66">
        <f>IFERROR(
   INDEX(tbl_ProduitsRef[Prix Menu],MATCH(B164,tbl_ProduitsRef[Produit],0)),
   ""
)</f>
        <v>45</v>
      </c>
      <c r="F164" s="66">
        <f ca="1">tbl_Produits[[#This Row],[Prix Menu]] - tbl_Produits[[#This Row],[Coût Moyen Portion]]</f>
        <v>18.38</v>
      </c>
      <c r="G164" s="67">
        <f ca="1">IF(tbl_Produits[[#This Row],[Prix Menu]]&gt;0, tbl_Produits[[#This Row],[Marge Brute]] / tbl_Produits[[#This Row],[Prix Menu]], 0)</f>
        <v>0.40844444444444444</v>
      </c>
      <c r="H164" s="69">
        <f t="shared" ref="H164:H194" ca="1" si="5">IFERROR(
AVERAGE(G164*10, F164/2),
0)</f>
        <v>6.6372222222222224</v>
      </c>
      <c r="I164" s="67">
        <f ca="1">IF(tbl_Produits[[#This Row],[Prix Menu]]=0, 0, tbl_Produits[[#This Row],[Coût Moyen Portion]] / tbl_Produits[[#This Row],[Prix Menu]])</f>
        <v>0.59155555555555561</v>
      </c>
      <c r="J164" s="67" t="str" cm="1">
        <f t="array" ref="J164">IFERROR(IF(Total_portions=0, 0, Charges_fixes_totales_periode / Total_portions),"Vérifier")</f>
        <v>Vérifier</v>
      </c>
      <c r="K164" s="131" cm="1">
        <f t="array" aca="1" ref="K164" ca="1">IFERROR(tbl_Produits[[#This Row],[Prix Menu]] - tbl_Produits[[#This Row],[Coût Moyen Portion]] - ChargesFixesPar_Portion[Charges fixes par portion],"Vérifier")</f>
        <v>-10768.62</v>
      </c>
      <c r="L164" s="132" t="str">
        <f ca="1">IF(OR(tbl_Produits[[#This Row],[Food cost % ]]&gt;0.35,tbl_Produits[[#This Row],[% de Chrg Fixe /Prdt]]&gt;0.2),"À améliorer","OK")</f>
        <v>À améliorer</v>
      </c>
      <c r="M16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65" spans="1:13" ht="16.5" customHeight="1" x14ac:dyDescent="0.25">
      <c r="A165" s="29" t="str">
        <f>Référentiels!A165&amp;TEXT(Référentiels!B165,"000")</f>
        <v>SNK020</v>
      </c>
      <c r="B165" s="64" t="str">
        <f>+tbl_ProduitsRef[[#This Row],[Produit]]</f>
        <v>Chicken fingers</v>
      </c>
      <c r="C165" s="64" t="str">
        <f>IFERROR(INDEX(tbl_ProduitsRef[Famille], MATCH(tbl_Produits[[#This Row],[Cde_Prdt]], tbl_Produits[Cde_Prdt], 0)), "")</f>
        <v>Snack</v>
      </c>
      <c r="D165" s="65">
        <f>SUMIF(tbl_Recettes[Cde_Prdt], tbl_Produits[[#This Row],[Cde_Prdt]], tbl_Recettes[Coût Moyen Portion])</f>
        <v>0</v>
      </c>
      <c r="E165" s="66">
        <f>IFERROR(
   INDEX(tbl_ProduitsRef[Prix Menu],MATCH(B165,tbl_ProduitsRef[Produit],0)),
   ""
)</f>
        <v>50</v>
      </c>
      <c r="F165" s="66">
        <f>tbl_Produits[[#This Row],[Prix Menu]] - tbl_Produits[[#This Row],[Coût Moyen Portion]]</f>
        <v>50</v>
      </c>
      <c r="G165" s="67">
        <f>IF(tbl_Produits[[#This Row],[Prix Menu]]&gt;0, tbl_Produits[[#This Row],[Marge Brute]] / tbl_Produits[[#This Row],[Prix Menu]], 0)</f>
        <v>1</v>
      </c>
      <c r="H165" s="69">
        <f t="shared" si="5"/>
        <v>17.5</v>
      </c>
      <c r="I165" s="67">
        <f>IF(tbl_Produits[[#This Row],[Prix Menu]]=0, 0, tbl_Produits[[#This Row],[Coût Moyen Portion]] / tbl_Produits[[#This Row],[Prix Menu]])</f>
        <v>0</v>
      </c>
      <c r="J165" s="67" t="str" cm="1">
        <f t="array" ref="J165">IFERROR(IF(Total_portions=0, 0, Charges_fixes_totales_periode / Total_portions),"Vérifier")</f>
        <v>Vérifier</v>
      </c>
      <c r="K165" s="131" cm="1">
        <f t="array" ref="K165">IFERROR(tbl_Produits[[#This Row],[Prix Menu]] - tbl_Produits[[#This Row],[Coût Moyen Portion]] - ChargesFixesPar_Portion[Charges fixes par portion],"Vérifier")</f>
        <v>-10737</v>
      </c>
      <c r="L165" s="132" t="str">
        <f>IF(OR(tbl_Produits[[#This Row],[Food cost % ]]&gt;0.35,tbl_Produits[[#This Row],[% de Chrg Fixe /Prdt]]&gt;0.2),"À améliorer","OK")</f>
        <v>À améliorer</v>
      </c>
      <c r="M16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66" spans="1:13" ht="16.5" customHeight="1" x14ac:dyDescent="0.25">
      <c r="A166" s="29" t="str">
        <f>Référentiels!A166&amp;TEXT(Référentiels!B166,"000")</f>
        <v>SNK021</v>
      </c>
      <c r="B166" s="64" t="str">
        <f>+tbl_ProduitsRef[[#This Row],[Produit]]</f>
        <v>Nuggets</v>
      </c>
      <c r="C166" s="64" t="str">
        <f>IFERROR(INDEX(tbl_ProduitsRef[Famille], MATCH(tbl_Produits[[#This Row],[Cde_Prdt]], tbl_Produits[Cde_Prdt], 0)), "")</f>
        <v>Snack</v>
      </c>
      <c r="D166" s="65">
        <f>SUMIF(tbl_Recettes[Cde_Prdt], tbl_Produits[[#This Row],[Cde_Prdt]], tbl_Recettes[Coût Moyen Portion])</f>
        <v>0</v>
      </c>
      <c r="E166" s="66">
        <f>IFERROR(
   INDEX(tbl_ProduitsRef[Prix Menu],MATCH(B166,tbl_ProduitsRef[Produit],0)),
   ""
)</f>
        <v>35</v>
      </c>
      <c r="F166" s="66">
        <f>tbl_Produits[[#This Row],[Prix Menu]] - tbl_Produits[[#This Row],[Coût Moyen Portion]]</f>
        <v>35</v>
      </c>
      <c r="G166" s="67">
        <f>IF(tbl_Produits[[#This Row],[Prix Menu]]&gt;0, tbl_Produits[[#This Row],[Marge Brute]] / tbl_Produits[[#This Row],[Prix Menu]], 0)</f>
        <v>1</v>
      </c>
      <c r="H166" s="69">
        <f t="shared" si="5"/>
        <v>13.75</v>
      </c>
      <c r="I166" s="67">
        <f>IF(tbl_Produits[[#This Row],[Prix Menu]]=0, 0, tbl_Produits[[#This Row],[Coût Moyen Portion]] / tbl_Produits[[#This Row],[Prix Menu]])</f>
        <v>0</v>
      </c>
      <c r="J166" s="67" t="str" cm="1">
        <f t="array" ref="J166">IFERROR(IF(Total_portions=0, 0, Charges_fixes_totales_periode / Total_portions),"Vérifier")</f>
        <v>Vérifier</v>
      </c>
      <c r="K166" s="131" cm="1">
        <f t="array" ref="K166">IFERROR(tbl_Produits[[#This Row],[Prix Menu]] - tbl_Produits[[#This Row],[Coût Moyen Portion]] - ChargesFixesPar_Portion[Charges fixes par portion],"Vérifier")</f>
        <v>-10752</v>
      </c>
      <c r="L166" s="132" t="str">
        <f>IF(OR(tbl_Produits[[#This Row],[Food cost % ]]&gt;0.35,tbl_Produits[[#This Row],[% de Chrg Fixe /Prdt]]&gt;0.2),"À améliorer","OK")</f>
        <v>À améliorer</v>
      </c>
      <c r="M16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67" spans="1:13" ht="16.5" customHeight="1" x14ac:dyDescent="0.25">
      <c r="A167" s="29" t="str">
        <f>Référentiels!A167&amp;TEXT(Référentiels!B167,"000")</f>
        <v>SNK022</v>
      </c>
      <c r="B167" s="64" t="str">
        <f>+tbl_ProduitsRef[[#This Row],[Produit]]</f>
        <v>Happy Regraga menu enfant</v>
      </c>
      <c r="C167" s="64" t="str">
        <f>IFERROR(INDEX(tbl_ProduitsRef[Famille], MATCH(tbl_Produits[[#This Row],[Cde_Prdt]], tbl_Produits[Cde_Prdt], 0)), "")</f>
        <v>Snack</v>
      </c>
      <c r="D167" s="65">
        <f>SUMIF(tbl_Recettes[Cde_Prdt], tbl_Produits[[#This Row],[Cde_Prdt]], tbl_Recettes[Coût Moyen Portion])</f>
        <v>0</v>
      </c>
      <c r="E167" s="66">
        <f>IFERROR(
   INDEX(tbl_ProduitsRef[Prix Menu],MATCH(B167,tbl_ProduitsRef[Produit],0)),
   ""
)</f>
        <v>55</v>
      </c>
      <c r="F167" s="66">
        <f>tbl_Produits[[#This Row],[Prix Menu]] - tbl_Produits[[#This Row],[Coût Moyen Portion]]</f>
        <v>55</v>
      </c>
      <c r="G167" s="67">
        <f>IF(tbl_Produits[[#This Row],[Prix Menu]]&gt;0, tbl_Produits[[#This Row],[Marge Brute]] / tbl_Produits[[#This Row],[Prix Menu]], 0)</f>
        <v>1</v>
      </c>
      <c r="H167" s="69">
        <f t="shared" si="5"/>
        <v>18.75</v>
      </c>
      <c r="I167" s="67">
        <f>IF(tbl_Produits[[#This Row],[Prix Menu]]=0, 0, tbl_Produits[[#This Row],[Coût Moyen Portion]] / tbl_Produits[[#This Row],[Prix Menu]])</f>
        <v>0</v>
      </c>
      <c r="J167" s="67" t="str" cm="1">
        <f t="array" ref="J167">IFERROR(IF(Total_portions=0, 0, Charges_fixes_totales_periode / Total_portions),"Vérifier")</f>
        <v>Vérifier</v>
      </c>
      <c r="K167" s="131" cm="1">
        <f t="array" ref="K167">IFERROR(tbl_Produits[[#This Row],[Prix Menu]] - tbl_Produits[[#This Row],[Coût Moyen Portion]] - ChargesFixesPar_Portion[Charges fixes par portion],"Vérifier")</f>
        <v>-10732</v>
      </c>
      <c r="L167" s="132" t="str">
        <f>IF(OR(tbl_Produits[[#This Row],[Food cost % ]]&gt;0.35,tbl_Produits[[#This Row],[% de Chrg Fixe /Prdt]]&gt;0.2),"À améliorer","OK")</f>
        <v>À améliorer</v>
      </c>
      <c r="M16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68" spans="1:13" ht="16.5" customHeight="1" x14ac:dyDescent="0.25">
      <c r="A168" s="29" t="str">
        <f>Référentiels!A168&amp;TEXT(Référentiels!B168,"000")</f>
        <v>SNK023</v>
      </c>
      <c r="B168" s="64" t="str">
        <f>+tbl_ProduitsRef[[#This Row],[Produit]]</f>
        <v>Frites</v>
      </c>
      <c r="C168" s="64" t="str">
        <f>IFERROR(INDEX(tbl_ProduitsRef[Famille], MATCH(tbl_Produits[[#This Row],[Cde_Prdt]], tbl_Produits[Cde_Prdt], 0)), "")</f>
        <v>Snack</v>
      </c>
      <c r="D168" s="65">
        <f ca="1">SUMIF(tbl_Recettes[Cde_Prdt], tbl_Produits[[#This Row],[Cde_Prdt]], tbl_Recettes[Coût Moyen Portion])</f>
        <v>4</v>
      </c>
      <c r="E168" s="66">
        <f>IFERROR(
   INDEX(tbl_ProduitsRef[Prix Menu],MATCH(B168,tbl_ProduitsRef[Produit],0)),
   ""
)</f>
        <v>18</v>
      </c>
      <c r="F168" s="66">
        <f ca="1">tbl_Produits[[#This Row],[Prix Menu]] - tbl_Produits[[#This Row],[Coût Moyen Portion]]</f>
        <v>14</v>
      </c>
      <c r="G168" s="67">
        <f ca="1">IF(tbl_Produits[[#This Row],[Prix Menu]]&gt;0, tbl_Produits[[#This Row],[Marge Brute]] / tbl_Produits[[#This Row],[Prix Menu]], 0)</f>
        <v>0.77777777777777779</v>
      </c>
      <c r="H168" s="69">
        <f t="shared" ca="1" si="5"/>
        <v>7.3888888888888893</v>
      </c>
      <c r="I168" s="67">
        <f ca="1">IF(tbl_Produits[[#This Row],[Prix Menu]]=0, 0, tbl_Produits[[#This Row],[Coût Moyen Portion]] / tbl_Produits[[#This Row],[Prix Menu]])</f>
        <v>0.22222222222222221</v>
      </c>
      <c r="J168" s="67" t="str" cm="1">
        <f t="array" ref="J168">IFERROR(IF(Total_portions=0, 0, Charges_fixes_totales_periode / Total_portions),"Vérifier")</f>
        <v>Vérifier</v>
      </c>
      <c r="K168" s="131" cm="1">
        <f t="array" aca="1" ref="K168" ca="1">IFERROR(tbl_Produits[[#This Row],[Prix Menu]] - tbl_Produits[[#This Row],[Coût Moyen Portion]] - ChargesFixesPar_Portion[Charges fixes par portion],"Vérifier")</f>
        <v>-10773</v>
      </c>
      <c r="L168" s="132" t="str">
        <f ca="1">IF(OR(tbl_Produits[[#This Row],[Food cost % ]]&gt;0.35,tbl_Produits[[#This Row],[% de Chrg Fixe /Prdt]]&gt;0.2),"À améliorer","OK")</f>
        <v>À améliorer</v>
      </c>
      <c r="M16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69" spans="1:13" ht="16.5" customHeight="1" x14ac:dyDescent="0.25">
      <c r="A169" s="29" t="str">
        <f>Référentiels!A169&amp;TEXT(Référentiels!B169,"000")</f>
        <v>DES001</v>
      </c>
      <c r="B169" s="64" t="str">
        <f>+tbl_ProduitsRef[[#This Row],[Produit]]</f>
        <v>Regraga glace 3 boules</v>
      </c>
      <c r="C169" s="64" t="str">
        <f>IFERROR(INDEX(tbl_ProduitsRef[Famille], MATCH(tbl_Produits[[#This Row],[Cde_Prdt]], tbl_Produits[Cde_Prdt], 0)), "")</f>
        <v>Glaces &amp; Desserts</v>
      </c>
      <c r="D169" s="65">
        <f ca="1">SUMIF(tbl_Recettes[Cde_Prdt], tbl_Produits[[#This Row],[Cde_Prdt]], tbl_Recettes[Coût Moyen Portion])</f>
        <v>29.72</v>
      </c>
      <c r="E169" s="66">
        <f>IFERROR(
   INDEX(tbl_ProduitsRef[Prix Menu],MATCH(B169,tbl_ProduitsRef[Produit],0)),
   ""
)</f>
        <v>49</v>
      </c>
      <c r="F169" s="66">
        <f ca="1">tbl_Produits[[#This Row],[Prix Menu]] - tbl_Produits[[#This Row],[Coût Moyen Portion]]</f>
        <v>19.28</v>
      </c>
      <c r="G169" s="67">
        <f ca="1">IF(tbl_Produits[[#This Row],[Prix Menu]]&gt;0, tbl_Produits[[#This Row],[Marge Brute]] / tbl_Produits[[#This Row],[Prix Menu]], 0)</f>
        <v>0.39346938775510204</v>
      </c>
      <c r="H169" s="69">
        <f t="shared" ca="1" si="5"/>
        <v>6.7873469387755101</v>
      </c>
      <c r="I169" s="67">
        <f ca="1">IF(tbl_Produits[[#This Row],[Prix Menu]]=0, 0, tbl_Produits[[#This Row],[Coût Moyen Portion]] / tbl_Produits[[#This Row],[Prix Menu]])</f>
        <v>0.6065306122448979</v>
      </c>
      <c r="J169" s="67" t="str" cm="1">
        <f t="array" ref="J169">IFERROR(IF(Total_portions=0, 0, Charges_fixes_totales_periode / Total_portions),"Vérifier")</f>
        <v>Vérifier</v>
      </c>
      <c r="K169" s="131" cm="1">
        <f t="array" aca="1" ref="K169" ca="1">IFERROR(tbl_Produits[[#This Row],[Prix Menu]] - tbl_Produits[[#This Row],[Coût Moyen Portion]] - ChargesFixesPar_Portion[Charges fixes par portion],"Vérifier")</f>
        <v>-10767.72</v>
      </c>
      <c r="L169" s="132" t="str">
        <f ca="1">IF(OR(tbl_Produits[[#This Row],[Food cost % ]]&gt;0.35,tbl_Produits[[#This Row],[% de Chrg Fixe /Prdt]]&gt;0.2),"À améliorer","OK")</f>
        <v>À améliorer</v>
      </c>
      <c r="M16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0" spans="1:13" ht="16.5" customHeight="1" x14ac:dyDescent="0.25">
      <c r="A170" s="29" t="str">
        <f>Référentiels!A170&amp;TEXT(Référentiels!B170,"000")</f>
        <v>DES002</v>
      </c>
      <c r="B170" s="64" t="str">
        <f>+tbl_ProduitsRef[[#This Row],[Produit]]</f>
        <v>Mama Africa glace</v>
      </c>
      <c r="C170" s="64" t="str">
        <f>IFERROR(INDEX(tbl_ProduitsRef[Famille], MATCH(tbl_Produits[[#This Row],[Cde_Prdt]], tbl_Produits[Cde_Prdt], 0)), "")</f>
        <v>Glaces &amp; Desserts</v>
      </c>
      <c r="D170" s="65">
        <f ca="1">SUMIF(tbl_Recettes[Cde_Prdt], tbl_Produits[[#This Row],[Cde_Prdt]], tbl_Recettes[Coût Moyen Portion])</f>
        <v>33.799999999999997</v>
      </c>
      <c r="E170" s="66">
        <f>IFERROR(
   INDEX(tbl_ProduitsRef[Prix Menu],MATCH(B170,tbl_ProduitsRef[Produit],0)),
   ""
)</f>
        <v>47</v>
      </c>
      <c r="F170" s="66">
        <f ca="1">tbl_Produits[[#This Row],[Prix Menu]] - tbl_Produits[[#This Row],[Coût Moyen Portion]]</f>
        <v>13.200000000000003</v>
      </c>
      <c r="G170" s="67">
        <f ca="1">IF(tbl_Produits[[#This Row],[Prix Menu]]&gt;0, tbl_Produits[[#This Row],[Marge Brute]] / tbl_Produits[[#This Row],[Prix Menu]], 0)</f>
        <v>0.28085106382978731</v>
      </c>
      <c r="H170" s="69">
        <f t="shared" ca="1" si="5"/>
        <v>4.7042553191489374</v>
      </c>
      <c r="I170" s="67">
        <f ca="1">IF(tbl_Produits[[#This Row],[Prix Menu]]=0, 0, tbl_Produits[[#This Row],[Coût Moyen Portion]] / tbl_Produits[[#This Row],[Prix Menu]])</f>
        <v>0.71914893617021269</v>
      </c>
      <c r="J170" s="67" t="str" cm="1">
        <f t="array" ref="J170">IFERROR(IF(Total_portions=0, 0, Charges_fixes_totales_periode / Total_portions),"Vérifier")</f>
        <v>Vérifier</v>
      </c>
      <c r="K170" s="131" cm="1">
        <f t="array" aca="1" ref="K170" ca="1">IFERROR(tbl_Produits[[#This Row],[Prix Menu]] - tbl_Produits[[#This Row],[Coût Moyen Portion]] - ChargesFixesPar_Portion[Charges fixes par portion],"Vérifier")</f>
        <v>-10773.8</v>
      </c>
      <c r="L170" s="132" t="str">
        <f ca="1">IF(OR(tbl_Produits[[#This Row],[Food cost % ]]&gt;0.35,tbl_Produits[[#This Row],[% de Chrg Fixe /Prdt]]&gt;0.2),"À améliorer","OK")</f>
        <v>À améliorer</v>
      </c>
      <c r="M17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1" spans="1:13" ht="16.5" customHeight="1" x14ac:dyDescent="0.25">
      <c r="A171" s="29" t="str">
        <f>Référentiels!A171&amp;TEXT(Référentiels!B171,"000")</f>
        <v>DES003</v>
      </c>
      <c r="B171" s="64" t="str">
        <f>+tbl_ProduitsRef[[#This Row],[Produit]]</f>
        <v>Dame Blanche</v>
      </c>
      <c r="C171" s="64" t="str">
        <f>IFERROR(INDEX(tbl_ProduitsRef[Famille], MATCH(tbl_Produits[[#This Row],[Cde_Prdt]], tbl_Produits[Cde_Prdt], 0)), "")</f>
        <v>Glaces &amp; Desserts</v>
      </c>
      <c r="D171" s="65">
        <f ca="1">SUMIF(tbl_Recettes[Cde_Prdt], tbl_Produits[[#This Row],[Cde_Prdt]], tbl_Recettes[Coût Moyen Portion])</f>
        <v>31.5</v>
      </c>
      <c r="E171" s="66">
        <f>IFERROR(
   INDEX(tbl_ProduitsRef[Prix Menu],MATCH(B171,tbl_ProduitsRef[Produit],0)),
   ""
)</f>
        <v>45</v>
      </c>
      <c r="F171" s="66">
        <f ca="1">tbl_Produits[[#This Row],[Prix Menu]] - tbl_Produits[[#This Row],[Coût Moyen Portion]]</f>
        <v>13.5</v>
      </c>
      <c r="G171" s="67">
        <f ca="1">IF(tbl_Produits[[#This Row],[Prix Menu]]&gt;0, tbl_Produits[[#This Row],[Marge Brute]] / tbl_Produits[[#This Row],[Prix Menu]], 0)</f>
        <v>0.3</v>
      </c>
      <c r="H171" s="69">
        <f t="shared" ca="1" si="5"/>
        <v>4.875</v>
      </c>
      <c r="I171" s="67">
        <f ca="1">IF(tbl_Produits[[#This Row],[Prix Menu]]=0, 0, tbl_Produits[[#This Row],[Coût Moyen Portion]] / tbl_Produits[[#This Row],[Prix Menu]])</f>
        <v>0.7</v>
      </c>
      <c r="J171" s="67" t="str" cm="1">
        <f t="array" ref="J171">IFERROR(IF(Total_portions=0, 0, Charges_fixes_totales_periode / Total_portions),"Vérifier")</f>
        <v>Vérifier</v>
      </c>
      <c r="K171" s="131" cm="1">
        <f t="array" aca="1" ref="K171" ca="1">IFERROR(tbl_Produits[[#This Row],[Prix Menu]] - tbl_Produits[[#This Row],[Coût Moyen Portion]] - ChargesFixesPar_Portion[Charges fixes par portion],"Vérifier")</f>
        <v>-10773.5</v>
      </c>
      <c r="L171" s="132" t="str">
        <f ca="1">IF(OR(tbl_Produits[[#This Row],[Food cost % ]]&gt;0.35,tbl_Produits[[#This Row],[% de Chrg Fixe /Prdt]]&gt;0.2),"À améliorer","OK")</f>
        <v>À améliorer</v>
      </c>
      <c r="M17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2" spans="1:13" ht="16.5" customHeight="1" x14ac:dyDescent="0.25">
      <c r="A172" s="29" t="str">
        <f>Référentiels!A172&amp;TEXT(Référentiels!B172,"000")</f>
        <v>DES004</v>
      </c>
      <c r="B172" s="64" t="str">
        <f>+tbl_ProduitsRef[[#This Row],[Produit]]</f>
        <v>Banana Split</v>
      </c>
      <c r="C172" s="64" t="str">
        <f>IFERROR(INDEX(tbl_ProduitsRef[Famille], MATCH(tbl_Produits[[#This Row],[Cde_Prdt]], tbl_Produits[Cde_Prdt], 0)), "")</f>
        <v>Glaces &amp; Desserts</v>
      </c>
      <c r="D172" s="65">
        <f ca="1">SUMIF(tbl_Recettes[Cde_Prdt], tbl_Produits[[#This Row],[Cde_Prdt]], tbl_Recettes[Coût Moyen Portion])</f>
        <v>30.8</v>
      </c>
      <c r="E172" s="66">
        <f>IFERROR(
   INDEX(tbl_ProduitsRef[Prix Menu],MATCH(B172,tbl_ProduitsRef[Produit],0)),
   ""
)</f>
        <v>45</v>
      </c>
      <c r="F172" s="66">
        <f ca="1">tbl_Produits[[#This Row],[Prix Menu]] - tbl_Produits[[#This Row],[Coût Moyen Portion]]</f>
        <v>14.2</v>
      </c>
      <c r="G172" s="67">
        <f ca="1">IF(tbl_Produits[[#This Row],[Prix Menu]]&gt;0, tbl_Produits[[#This Row],[Marge Brute]] / tbl_Produits[[#This Row],[Prix Menu]], 0)</f>
        <v>0.31555555555555553</v>
      </c>
      <c r="H172" s="69">
        <f t="shared" ca="1" si="5"/>
        <v>5.1277777777777773</v>
      </c>
      <c r="I172" s="67">
        <f ca="1">IF(tbl_Produits[[#This Row],[Prix Menu]]=0, 0, tbl_Produits[[#This Row],[Coût Moyen Portion]] / tbl_Produits[[#This Row],[Prix Menu]])</f>
        <v>0.68444444444444441</v>
      </c>
      <c r="J172" s="67" t="str" cm="1">
        <f t="array" ref="J172">IFERROR(IF(Total_portions=0, 0, Charges_fixes_totales_periode / Total_portions),"Vérifier")</f>
        <v>Vérifier</v>
      </c>
      <c r="K172" s="131" cm="1">
        <f t="array" aca="1" ref="K172" ca="1">IFERROR(tbl_Produits[[#This Row],[Prix Menu]] - tbl_Produits[[#This Row],[Coût Moyen Portion]] - ChargesFixesPar_Portion[Charges fixes par portion],"Vérifier")</f>
        <v>-10772.8</v>
      </c>
      <c r="L172" s="132" t="str">
        <f ca="1">IF(OR(tbl_Produits[[#This Row],[Food cost % ]]&gt;0.35,tbl_Produits[[#This Row],[% de Chrg Fixe /Prdt]]&gt;0.2),"À améliorer","OK")</f>
        <v>À améliorer</v>
      </c>
      <c r="M17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3" spans="1:13" ht="16.5" customHeight="1" x14ac:dyDescent="0.25">
      <c r="A173" s="29" t="str">
        <f>Référentiels!A173&amp;TEXT(Référentiels!B173,"000")</f>
        <v>DES005</v>
      </c>
      <c r="B173" s="64" t="str">
        <f>+tbl_ProduitsRef[[#This Row],[Produit]]</f>
        <v>Bambino</v>
      </c>
      <c r="C173" s="64" t="str">
        <f>IFERROR(INDEX(tbl_ProduitsRef[Famille], MATCH(tbl_Produits[[#This Row],[Cde_Prdt]], tbl_Produits[Cde_Prdt], 0)), "")</f>
        <v>Glaces &amp; Desserts</v>
      </c>
      <c r="D173" s="65">
        <f ca="1">SUMIF(tbl_Recettes[Cde_Prdt], tbl_Produits[[#This Row],[Cde_Prdt]], tbl_Recettes[Coût Moyen Portion])</f>
        <v>18</v>
      </c>
      <c r="E173" s="66">
        <f>IFERROR(
   INDEX(tbl_ProduitsRef[Prix Menu],MATCH(B173,tbl_ProduitsRef[Produit],0)),
   ""
)</f>
        <v>35</v>
      </c>
      <c r="F173" s="66">
        <f ca="1">tbl_Produits[[#This Row],[Prix Menu]] - tbl_Produits[[#This Row],[Coût Moyen Portion]]</f>
        <v>17</v>
      </c>
      <c r="G173" s="67">
        <f ca="1">IF(tbl_Produits[[#This Row],[Prix Menu]]&gt;0, tbl_Produits[[#This Row],[Marge Brute]] / tbl_Produits[[#This Row],[Prix Menu]], 0)</f>
        <v>0.48571428571428571</v>
      </c>
      <c r="H173" s="69">
        <f t="shared" ca="1" si="5"/>
        <v>6.6785714285714288</v>
      </c>
      <c r="I173" s="67">
        <f ca="1">IF(tbl_Produits[[#This Row],[Prix Menu]]=0, 0, tbl_Produits[[#This Row],[Coût Moyen Portion]] / tbl_Produits[[#This Row],[Prix Menu]])</f>
        <v>0.51428571428571423</v>
      </c>
      <c r="J173" s="67" t="str" cm="1">
        <f t="array" ref="J173">IFERROR(IF(Total_portions=0, 0, Charges_fixes_totales_periode / Total_portions),"Vérifier")</f>
        <v>Vérifier</v>
      </c>
      <c r="K173" s="131" cm="1">
        <f t="array" aca="1" ref="K173" ca="1">IFERROR(tbl_Produits[[#This Row],[Prix Menu]] - tbl_Produits[[#This Row],[Coût Moyen Portion]] - ChargesFixesPar_Portion[Charges fixes par portion],"Vérifier")</f>
        <v>-10770</v>
      </c>
      <c r="L173" s="132" t="str">
        <f ca="1">IF(OR(tbl_Produits[[#This Row],[Food cost % ]]&gt;0.35,tbl_Produits[[#This Row],[% de Chrg Fixe /Prdt]]&gt;0.2),"À améliorer","OK")</f>
        <v>À améliorer</v>
      </c>
      <c r="M17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4" spans="1:13" ht="16.5" customHeight="1" x14ac:dyDescent="0.25">
      <c r="A174" s="29" t="str">
        <f>Référentiels!A174&amp;TEXT(Référentiels!B174,"000")</f>
        <v>DES006</v>
      </c>
      <c r="B174" s="64" t="str">
        <f>+tbl_ProduitsRef[[#This Row],[Produit]]</f>
        <v>Boule de glace</v>
      </c>
      <c r="C174" s="64" t="str">
        <f>IFERROR(INDEX(tbl_ProduitsRef[Famille], MATCH(tbl_Produits[[#This Row],[Cde_Prdt]], tbl_Produits[Cde_Prdt], 0)), "")</f>
        <v>Glaces &amp; Desserts</v>
      </c>
      <c r="D174" s="65">
        <f ca="1">SUMIF(tbl_Recettes[Cde_Prdt], tbl_Produits[[#This Row],[Cde_Prdt]], tbl_Recettes[Coût Moyen Portion])</f>
        <v>5</v>
      </c>
      <c r="E174" s="66">
        <f>IFERROR(
   INDEX(tbl_ProduitsRef[Prix Menu],MATCH(B174,tbl_ProduitsRef[Produit],0)),
   ""
)</f>
        <v>14</v>
      </c>
      <c r="F174" s="66">
        <f ca="1">tbl_Produits[[#This Row],[Prix Menu]] - tbl_Produits[[#This Row],[Coût Moyen Portion]]</f>
        <v>9</v>
      </c>
      <c r="G174" s="67">
        <f ca="1">IF(tbl_Produits[[#This Row],[Prix Menu]]&gt;0, tbl_Produits[[#This Row],[Marge Brute]] / tbl_Produits[[#This Row],[Prix Menu]], 0)</f>
        <v>0.6428571428571429</v>
      </c>
      <c r="H174" s="69">
        <f t="shared" ca="1" si="5"/>
        <v>5.4642857142857144</v>
      </c>
      <c r="I174" s="67">
        <f ca="1">IF(tbl_Produits[[#This Row],[Prix Menu]]=0, 0, tbl_Produits[[#This Row],[Coût Moyen Portion]] / tbl_Produits[[#This Row],[Prix Menu]])</f>
        <v>0.35714285714285715</v>
      </c>
      <c r="J174" s="67" t="str" cm="1">
        <f t="array" ref="J174">IFERROR(IF(Total_portions=0, 0, Charges_fixes_totales_periode / Total_portions),"Vérifier")</f>
        <v>Vérifier</v>
      </c>
      <c r="K174" s="131" cm="1">
        <f t="array" aca="1" ref="K174" ca="1">IFERROR(tbl_Produits[[#This Row],[Prix Menu]] - tbl_Produits[[#This Row],[Coût Moyen Portion]] - ChargesFixesPar_Portion[Charges fixes par portion],"Vérifier")</f>
        <v>-10778</v>
      </c>
      <c r="L174" s="132" t="str">
        <f ca="1">IF(OR(tbl_Produits[[#This Row],[Food cost % ]]&gt;0.35,tbl_Produits[[#This Row],[% de Chrg Fixe /Prdt]]&gt;0.2),"À améliorer","OK")</f>
        <v>À améliorer</v>
      </c>
      <c r="M17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5" spans="1:13" ht="16.5" customHeight="1" x14ac:dyDescent="0.25">
      <c r="A175" s="29" t="str">
        <f>Référentiels!A175&amp;TEXT(Référentiels!B175,"000")</f>
        <v>DES007</v>
      </c>
      <c r="B175" s="64" t="str">
        <f>+tbl_ProduitsRef[[#This Row],[Produit]]</f>
        <v>Tiramisu caramel beurre salé</v>
      </c>
      <c r="C175" s="64" t="str">
        <f>IFERROR(INDEX(tbl_ProduitsRef[Famille], MATCH(tbl_Produits[[#This Row],[Cde_Prdt]], tbl_Produits[Cde_Prdt], 0)), "")</f>
        <v>Glaces &amp; Desserts</v>
      </c>
      <c r="D175" s="65">
        <f ca="1">SUMIF(tbl_Recettes[Cde_Prdt], tbl_Produits[[#This Row],[Cde_Prdt]], tbl_Recettes[Coût Moyen Portion])</f>
        <v>25.54</v>
      </c>
      <c r="E175" s="66">
        <f>IFERROR(
   INDEX(tbl_ProduitsRef[Prix Menu],MATCH(B175,tbl_ProduitsRef[Produit],0)),
   ""
)</f>
        <v>35</v>
      </c>
      <c r="F175" s="66">
        <f ca="1">tbl_Produits[[#This Row],[Prix Menu]] - tbl_Produits[[#This Row],[Coût Moyen Portion]]</f>
        <v>9.4600000000000009</v>
      </c>
      <c r="G175" s="67">
        <f ca="1">IF(tbl_Produits[[#This Row],[Prix Menu]]&gt;0, tbl_Produits[[#This Row],[Marge Brute]] / tbl_Produits[[#This Row],[Prix Menu]], 0)</f>
        <v>0.2702857142857143</v>
      </c>
      <c r="H175" s="69">
        <f t="shared" ca="1" si="5"/>
        <v>3.7164285714285716</v>
      </c>
      <c r="I175" s="67">
        <f ca="1">IF(tbl_Produits[[#This Row],[Prix Menu]]=0, 0, tbl_Produits[[#This Row],[Coût Moyen Portion]] / tbl_Produits[[#This Row],[Prix Menu]])</f>
        <v>0.72971428571428565</v>
      </c>
      <c r="J175" s="67" t="str" cm="1">
        <f t="array" ref="J175">IFERROR(IF(Total_portions=0, 0, Charges_fixes_totales_periode / Total_portions),"Vérifier")</f>
        <v>Vérifier</v>
      </c>
      <c r="K175" s="131" cm="1">
        <f t="array" aca="1" ref="K175" ca="1">IFERROR(tbl_Produits[[#This Row],[Prix Menu]] - tbl_Produits[[#This Row],[Coût Moyen Portion]] - ChargesFixesPar_Portion[Charges fixes par portion],"Vérifier")</f>
        <v>-10777.54</v>
      </c>
      <c r="L175" s="132" t="str">
        <f ca="1">IF(OR(tbl_Produits[[#This Row],[Food cost % ]]&gt;0.35,tbl_Produits[[#This Row],[% de Chrg Fixe /Prdt]]&gt;0.2),"À améliorer","OK")</f>
        <v>À améliorer</v>
      </c>
      <c r="M17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6" spans="1:13" ht="16.5" customHeight="1" x14ac:dyDescent="0.25">
      <c r="A176" s="29" t="str">
        <f>Référentiels!A176&amp;TEXT(Référentiels!B176,"000")</f>
        <v>DES008</v>
      </c>
      <c r="B176" s="64" t="str">
        <f>+tbl_ProduitsRef[[#This Row],[Produit]]</f>
        <v>Fondant au chocolat</v>
      </c>
      <c r="C176" s="64" t="str">
        <f>IFERROR(INDEX(tbl_ProduitsRef[Famille], MATCH(tbl_Produits[[#This Row],[Cde_Prdt]], tbl_Produits[Cde_Prdt], 0)), "")</f>
        <v>Glaces &amp; Desserts</v>
      </c>
      <c r="D176" s="65">
        <f ca="1">SUMIF(tbl_Recettes[Cde_Prdt], tbl_Produits[[#This Row],[Cde_Prdt]], tbl_Recettes[Coût Moyen Portion])</f>
        <v>20</v>
      </c>
      <c r="E176" s="66">
        <f>IFERROR(
   INDEX(tbl_ProduitsRef[Prix Menu],MATCH(B176,tbl_ProduitsRef[Produit],0)),
   ""
)</f>
        <v>35</v>
      </c>
      <c r="F176" s="66">
        <f ca="1">tbl_Produits[[#This Row],[Prix Menu]] - tbl_Produits[[#This Row],[Coût Moyen Portion]]</f>
        <v>15</v>
      </c>
      <c r="G176" s="67">
        <f ca="1">IF(tbl_Produits[[#This Row],[Prix Menu]]&gt;0, tbl_Produits[[#This Row],[Marge Brute]] / tbl_Produits[[#This Row],[Prix Menu]], 0)</f>
        <v>0.42857142857142855</v>
      </c>
      <c r="H176" s="69">
        <f t="shared" ca="1" si="5"/>
        <v>5.8928571428571423</v>
      </c>
      <c r="I176" s="67">
        <f ca="1">IF(tbl_Produits[[#This Row],[Prix Menu]]=0, 0, tbl_Produits[[#This Row],[Coût Moyen Portion]] / tbl_Produits[[#This Row],[Prix Menu]])</f>
        <v>0.5714285714285714</v>
      </c>
      <c r="J176" s="67" t="str" cm="1">
        <f t="array" ref="J176">IFERROR(IF(Total_portions=0, 0, Charges_fixes_totales_periode / Total_portions),"Vérifier")</f>
        <v>Vérifier</v>
      </c>
      <c r="K176" s="131" cm="1">
        <f t="array" aca="1" ref="K176" ca="1">IFERROR(tbl_Produits[[#This Row],[Prix Menu]] - tbl_Produits[[#This Row],[Coût Moyen Portion]] - ChargesFixesPar_Portion[Charges fixes par portion],"Vérifier")</f>
        <v>-10772</v>
      </c>
      <c r="L176" s="132" t="str">
        <f ca="1">IF(OR(tbl_Produits[[#This Row],[Food cost % ]]&gt;0.35,tbl_Produits[[#This Row],[% de Chrg Fixe /Prdt]]&gt;0.2),"À améliorer","OK")</f>
        <v>À améliorer</v>
      </c>
      <c r="M17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7" spans="1:13" ht="16.5" customHeight="1" x14ac:dyDescent="0.25">
      <c r="A177" s="29" t="str">
        <f>Référentiels!A177&amp;TEXT(Référentiels!B177,"000")</f>
        <v>DES009</v>
      </c>
      <c r="B177" s="64" t="str">
        <f>+tbl_ProduitsRef[[#This Row],[Produit]]</f>
        <v>Crème catalane</v>
      </c>
      <c r="C177" s="64" t="str">
        <f>IFERROR(INDEX(tbl_ProduitsRef[Famille], MATCH(tbl_Produits[[#This Row],[Cde_Prdt]], tbl_Produits[Cde_Prdt], 0)), "")</f>
        <v>Glaces &amp; Desserts</v>
      </c>
      <c r="D177" s="65">
        <f ca="1">SUMIF(tbl_Recettes[Cde_Prdt], tbl_Produits[[#This Row],[Cde_Prdt]], tbl_Recettes[Coût Moyen Portion])</f>
        <v>16.048000000000002</v>
      </c>
      <c r="E177" s="66">
        <f>IFERROR(
   INDEX(tbl_ProduitsRef[Prix Menu],MATCH(B177,tbl_ProduitsRef[Produit],0)),
   ""
)</f>
        <v>35</v>
      </c>
      <c r="F177" s="66">
        <f ca="1">tbl_Produits[[#This Row],[Prix Menu]] - tbl_Produits[[#This Row],[Coût Moyen Portion]]</f>
        <v>18.951999999999998</v>
      </c>
      <c r="G177" s="67">
        <f ca="1">IF(tbl_Produits[[#This Row],[Prix Menu]]&gt;0, tbl_Produits[[#This Row],[Marge Brute]] / tbl_Produits[[#This Row],[Prix Menu]], 0)</f>
        <v>0.54148571428571424</v>
      </c>
      <c r="H177" s="69">
        <f t="shared" ca="1" si="5"/>
        <v>7.4454285714285708</v>
      </c>
      <c r="I177" s="67">
        <f ca="1">IF(tbl_Produits[[#This Row],[Prix Menu]]=0, 0, tbl_Produits[[#This Row],[Coût Moyen Portion]] / tbl_Produits[[#This Row],[Prix Menu]])</f>
        <v>0.45851428571428576</v>
      </c>
      <c r="J177" s="67" t="str" cm="1">
        <f t="array" ref="J177">IFERROR(IF(Total_portions=0, 0, Charges_fixes_totales_periode / Total_portions),"Vérifier")</f>
        <v>Vérifier</v>
      </c>
      <c r="K177" s="131" cm="1">
        <f t="array" aca="1" ref="K177" ca="1">IFERROR(tbl_Produits[[#This Row],[Prix Menu]] - tbl_Produits[[#This Row],[Coût Moyen Portion]] - ChargesFixesPar_Portion[Charges fixes par portion],"Vérifier")</f>
        <v>-10768.048000000001</v>
      </c>
      <c r="L177" s="132" t="str">
        <f ca="1">IF(OR(tbl_Produits[[#This Row],[Food cost % ]]&gt;0.35,tbl_Produits[[#This Row],[% de Chrg Fixe /Prdt]]&gt;0.2),"À améliorer","OK")</f>
        <v>À améliorer</v>
      </c>
      <c r="M17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8" spans="1:13" ht="16.5" customHeight="1" x14ac:dyDescent="0.25">
      <c r="A178" s="29" t="str">
        <f>Référentiels!A178&amp;TEXT(Référentiels!B178,"000")</f>
        <v>DES010</v>
      </c>
      <c r="B178" s="64" t="str">
        <f>+tbl_ProduitsRef[[#This Row],[Produit]]</f>
        <v>Assiette de fruits frais</v>
      </c>
      <c r="C178" s="64" t="str">
        <f>IFERROR(INDEX(tbl_ProduitsRef[Famille], MATCH(tbl_Produits[[#This Row],[Cde_Prdt]], tbl_Produits[Cde_Prdt], 0)), "")</f>
        <v>Glaces &amp; Desserts</v>
      </c>
      <c r="D178" s="65">
        <f ca="1">SUMIF(tbl_Recettes[Cde_Prdt], tbl_Produits[[#This Row],[Cde_Prdt]], tbl_Recettes[Coût Moyen Portion])</f>
        <v>17</v>
      </c>
      <c r="E178" s="66">
        <f>IFERROR(
   INDEX(tbl_ProduitsRef[Prix Menu],MATCH(B178,tbl_ProduitsRef[Produit],0)),
   ""
)</f>
        <v>45</v>
      </c>
      <c r="F178" s="66">
        <f ca="1">tbl_Produits[[#This Row],[Prix Menu]] - tbl_Produits[[#This Row],[Coût Moyen Portion]]</f>
        <v>28</v>
      </c>
      <c r="G178" s="67">
        <f ca="1">IF(tbl_Produits[[#This Row],[Prix Menu]]&gt;0, tbl_Produits[[#This Row],[Marge Brute]] / tbl_Produits[[#This Row],[Prix Menu]], 0)</f>
        <v>0.62222222222222223</v>
      </c>
      <c r="H178" s="69">
        <f t="shared" ca="1" si="5"/>
        <v>10.111111111111111</v>
      </c>
      <c r="I178" s="67">
        <f ca="1">IF(tbl_Produits[[#This Row],[Prix Menu]]=0, 0, tbl_Produits[[#This Row],[Coût Moyen Portion]] / tbl_Produits[[#This Row],[Prix Menu]])</f>
        <v>0.37777777777777777</v>
      </c>
      <c r="J178" s="67" t="str" cm="1">
        <f t="array" ref="J178">IFERROR(IF(Total_portions=0, 0, Charges_fixes_totales_periode / Total_portions),"Vérifier")</f>
        <v>Vérifier</v>
      </c>
      <c r="K178" s="131" cm="1">
        <f t="array" aca="1" ref="K178" ca="1">IFERROR(tbl_Produits[[#This Row],[Prix Menu]] - tbl_Produits[[#This Row],[Coût Moyen Portion]] - ChargesFixesPar_Portion[Charges fixes par portion],"Vérifier")</f>
        <v>-10759</v>
      </c>
      <c r="L178" s="132" t="str">
        <f ca="1">IF(OR(tbl_Produits[[#This Row],[Food cost % ]]&gt;0.35,tbl_Produits[[#This Row],[% de Chrg Fixe /Prdt]]&gt;0.2),"À améliorer","OK")</f>
        <v>À améliorer</v>
      </c>
      <c r="M17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79" spans="1:13" ht="16.5" customHeight="1" x14ac:dyDescent="0.25">
      <c r="A179" s="29" t="str">
        <f>Référentiels!A179&amp;TEXT(Référentiels!B179,"000")</f>
        <v>DES011</v>
      </c>
      <c r="B179" s="64" t="str">
        <f>+tbl_ProduitsRef[[#This Row],[Produit]]</f>
        <v>American cake</v>
      </c>
      <c r="C179" s="64" t="str">
        <f>IFERROR(INDEX(tbl_ProduitsRef[Famille], MATCH(tbl_Produits[[#This Row],[Cde_Prdt]], tbl_Produits[Cde_Prdt], 0)), "")</f>
        <v>Glaces &amp; Desserts</v>
      </c>
      <c r="D179" s="65">
        <f ca="1">SUMIF(tbl_Recettes[Cde_Prdt], tbl_Produits[[#This Row],[Cde_Prdt]], tbl_Recettes[Coût Moyen Portion])</f>
        <v>15</v>
      </c>
      <c r="E179" s="66">
        <f>IFERROR(
   INDEX(tbl_ProduitsRef[Prix Menu],MATCH(B179,tbl_ProduitsRef[Produit],0)),
   ""
)</f>
        <v>35</v>
      </c>
      <c r="F179" s="66">
        <f ca="1">tbl_Produits[[#This Row],[Prix Menu]] - tbl_Produits[[#This Row],[Coût Moyen Portion]]</f>
        <v>20</v>
      </c>
      <c r="G179" s="67">
        <f ca="1">IF(tbl_Produits[[#This Row],[Prix Menu]]&gt;0, tbl_Produits[[#This Row],[Marge Brute]] / tbl_Produits[[#This Row],[Prix Menu]], 0)</f>
        <v>0.5714285714285714</v>
      </c>
      <c r="H179" s="69">
        <f t="shared" ca="1" si="5"/>
        <v>7.8571428571428568</v>
      </c>
      <c r="I179" s="67">
        <f ca="1">IF(tbl_Produits[[#This Row],[Prix Menu]]=0, 0, tbl_Produits[[#This Row],[Coût Moyen Portion]] / tbl_Produits[[#This Row],[Prix Menu]])</f>
        <v>0.42857142857142855</v>
      </c>
      <c r="J179" s="67" t="str" cm="1">
        <f t="array" ref="J179">IFERROR(IF(Total_portions=0, 0, Charges_fixes_totales_periode / Total_portions),"Vérifier")</f>
        <v>Vérifier</v>
      </c>
      <c r="K179" s="131" cm="1">
        <f t="array" aca="1" ref="K179" ca="1">IFERROR(tbl_Produits[[#This Row],[Prix Menu]] - tbl_Produits[[#This Row],[Coût Moyen Portion]] - ChargesFixesPar_Portion[Charges fixes par portion],"Vérifier")</f>
        <v>-10767</v>
      </c>
      <c r="L179" s="132" t="str">
        <f ca="1">IF(OR(tbl_Produits[[#This Row],[Food cost % ]]&gt;0.35,tbl_Produits[[#This Row],[% de Chrg Fixe /Prdt]]&gt;0.2),"À améliorer","OK")</f>
        <v>À améliorer</v>
      </c>
      <c r="M17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0" spans="1:13" ht="16.5" customHeight="1" x14ac:dyDescent="0.25">
      <c r="A180" s="29" t="str">
        <f>Référentiels!A180&amp;TEXT(Référentiels!B180,"000")</f>
        <v>DES012</v>
      </c>
      <c r="B180" s="64" t="str">
        <f>+tbl_ProduitsRef[[#This Row],[Produit]]</f>
        <v>Tarte Noix</v>
      </c>
      <c r="C180" s="64" t="str">
        <f>IFERROR(INDEX(tbl_ProduitsRef[Famille], MATCH(tbl_Produits[[#This Row],[Cde_Prdt]], tbl_Produits[Cde_Prdt], 0)), "")</f>
        <v>Glaces &amp; Desserts</v>
      </c>
      <c r="D180" s="65">
        <f ca="1">SUMIF(tbl_Recettes[Cde_Prdt], tbl_Produits[[#This Row],[Cde_Prdt]], tbl_Recettes[Coût Moyen Portion])</f>
        <v>16</v>
      </c>
      <c r="E180" s="66">
        <f>IFERROR(
   INDEX(tbl_ProduitsRef[Prix Menu],MATCH(B180,tbl_ProduitsRef[Produit],0)),
   ""
)</f>
        <v>18</v>
      </c>
      <c r="F180" s="66">
        <f ca="1">tbl_Produits[[#This Row],[Prix Menu]] - tbl_Produits[[#This Row],[Coût Moyen Portion]]</f>
        <v>2</v>
      </c>
      <c r="G180" s="67">
        <f ca="1">IF(tbl_Produits[[#This Row],[Prix Menu]]&gt;0, tbl_Produits[[#This Row],[Marge Brute]] / tbl_Produits[[#This Row],[Prix Menu]], 0)</f>
        <v>0.1111111111111111</v>
      </c>
      <c r="H180" s="69">
        <f t="shared" ca="1" si="5"/>
        <v>1.0555555555555556</v>
      </c>
      <c r="I180" s="67">
        <f ca="1">IF(tbl_Produits[[#This Row],[Prix Menu]]=0, 0, tbl_Produits[[#This Row],[Coût Moyen Portion]] / tbl_Produits[[#This Row],[Prix Menu]])</f>
        <v>0.88888888888888884</v>
      </c>
      <c r="J180" s="67" t="str" cm="1">
        <f t="array" ref="J180">IFERROR(IF(Total_portions=0, 0, Charges_fixes_totales_periode / Total_portions),"Vérifier")</f>
        <v>Vérifier</v>
      </c>
      <c r="K180" s="131" cm="1">
        <f t="array" aca="1" ref="K180" ca="1">IFERROR(tbl_Produits[[#This Row],[Prix Menu]] - tbl_Produits[[#This Row],[Coût Moyen Portion]] - ChargesFixesPar_Portion[Charges fixes par portion],"Vérifier")</f>
        <v>-10785</v>
      </c>
      <c r="L180" s="132" t="str">
        <f ca="1">IF(OR(tbl_Produits[[#This Row],[Food cost % ]]&gt;0.35,tbl_Produits[[#This Row],[% de Chrg Fixe /Prdt]]&gt;0.2),"À améliorer","OK")</f>
        <v>À améliorer</v>
      </c>
      <c r="M18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1" spans="1:13" ht="16.5" customHeight="1" x14ac:dyDescent="0.25">
      <c r="A181" s="29" t="str">
        <f>Référentiels!A181&amp;TEXT(Référentiels!B181,"000")</f>
        <v>DES013</v>
      </c>
      <c r="B181" s="64" t="str">
        <f>+tbl_ProduitsRef[[#This Row],[Produit]]</f>
        <v>Tarte Amande</v>
      </c>
      <c r="C181" s="64" t="str">
        <f>IFERROR(INDEX(tbl_ProduitsRef[Famille], MATCH(tbl_Produits[[#This Row],[Cde_Prdt]], tbl_Produits[Cde_Prdt], 0)), "")</f>
        <v>Glaces &amp; Desserts</v>
      </c>
      <c r="D181" s="65">
        <f ca="1">SUMIF(tbl_Recettes[Cde_Prdt], tbl_Produits[[#This Row],[Cde_Prdt]], tbl_Recettes[Coût Moyen Portion])</f>
        <v>15</v>
      </c>
      <c r="E181" s="66">
        <f>IFERROR(
   INDEX(tbl_ProduitsRef[Prix Menu],MATCH(B181,tbl_ProduitsRef[Produit],0)),
   ""
)</f>
        <v>18</v>
      </c>
      <c r="F181" s="66">
        <f ca="1">tbl_Produits[[#This Row],[Prix Menu]] - tbl_Produits[[#This Row],[Coût Moyen Portion]]</f>
        <v>3</v>
      </c>
      <c r="G181" s="67">
        <f ca="1">IF(tbl_Produits[[#This Row],[Prix Menu]]&gt;0, tbl_Produits[[#This Row],[Marge Brute]] / tbl_Produits[[#This Row],[Prix Menu]], 0)</f>
        <v>0.16666666666666666</v>
      </c>
      <c r="H181" s="69">
        <f t="shared" ca="1" si="5"/>
        <v>1.5833333333333333</v>
      </c>
      <c r="I181" s="67">
        <f ca="1">IF(tbl_Produits[[#This Row],[Prix Menu]]=0, 0, tbl_Produits[[#This Row],[Coût Moyen Portion]] / tbl_Produits[[#This Row],[Prix Menu]])</f>
        <v>0.83333333333333337</v>
      </c>
      <c r="J181" s="67" t="str" cm="1">
        <f t="array" ref="J181">IFERROR(IF(Total_portions=0, 0, Charges_fixes_totales_periode / Total_portions),"Vérifier")</f>
        <v>Vérifier</v>
      </c>
      <c r="K181" s="131" cm="1">
        <f t="array" aca="1" ref="K181" ca="1">IFERROR(tbl_Produits[[#This Row],[Prix Menu]] - tbl_Produits[[#This Row],[Coût Moyen Portion]] - ChargesFixesPar_Portion[Charges fixes par portion],"Vérifier")</f>
        <v>-10784</v>
      </c>
      <c r="L181" s="132" t="str">
        <f ca="1">IF(OR(tbl_Produits[[#This Row],[Food cost % ]]&gt;0.35,tbl_Produits[[#This Row],[% de Chrg Fixe /Prdt]]&gt;0.2),"À améliorer","OK")</f>
        <v>À améliorer</v>
      </c>
      <c r="M18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2" spans="1:13" ht="16.5" customHeight="1" x14ac:dyDescent="0.25">
      <c r="A182" s="29" t="str">
        <f>Référentiels!A182&amp;TEXT(Référentiels!B182,"000")</f>
        <v>DES014</v>
      </c>
      <c r="B182" s="64" t="str">
        <f>+tbl_ProduitsRef[[#This Row],[Produit]]</f>
        <v>Pâtisserie à la pièce</v>
      </c>
      <c r="C182" s="64" t="str">
        <f>IFERROR(INDEX(tbl_ProduitsRef[Famille], MATCH(tbl_Produits[[#This Row],[Cde_Prdt]], tbl_Produits[Cde_Prdt], 0)), "")</f>
        <v>Glaces &amp; Desserts</v>
      </c>
      <c r="D182" s="65">
        <f ca="1">SUMIF(tbl_Recettes[Cde_Prdt], tbl_Produits[[#This Row],[Cde_Prdt]], tbl_Recettes[Coût Moyen Portion])</f>
        <v>16</v>
      </c>
      <c r="E182" s="66">
        <f>IFERROR(
   INDEX(tbl_ProduitsRef[Prix Menu],MATCH(B182,tbl_ProduitsRef[Produit],0)),
   ""
)</f>
        <v>18</v>
      </c>
      <c r="F182" s="66">
        <f ca="1">tbl_Produits[[#This Row],[Prix Menu]] - tbl_Produits[[#This Row],[Coût Moyen Portion]]</f>
        <v>2</v>
      </c>
      <c r="G182" s="67">
        <f ca="1">IF(tbl_Produits[[#This Row],[Prix Menu]]&gt;0, tbl_Produits[[#This Row],[Marge Brute]] / tbl_Produits[[#This Row],[Prix Menu]], 0)</f>
        <v>0.1111111111111111</v>
      </c>
      <c r="H182" s="69">
        <f t="shared" ca="1" si="5"/>
        <v>1.0555555555555556</v>
      </c>
      <c r="I182" s="67">
        <f ca="1">IF(tbl_Produits[[#This Row],[Prix Menu]]=0, 0, tbl_Produits[[#This Row],[Coût Moyen Portion]] / tbl_Produits[[#This Row],[Prix Menu]])</f>
        <v>0.88888888888888884</v>
      </c>
      <c r="J182" s="67" t="str" cm="1">
        <f t="array" ref="J182">IFERROR(IF(Total_portions=0, 0, Charges_fixes_totales_periode / Total_portions),"Vérifier")</f>
        <v>Vérifier</v>
      </c>
      <c r="K182" s="131" cm="1">
        <f t="array" aca="1" ref="K182" ca="1">IFERROR(tbl_Produits[[#This Row],[Prix Menu]] - tbl_Produits[[#This Row],[Coût Moyen Portion]] - ChargesFixesPar_Portion[Charges fixes par portion],"Vérifier")</f>
        <v>-10785</v>
      </c>
      <c r="L182" s="132" t="str">
        <f ca="1">IF(OR(tbl_Produits[[#This Row],[Food cost % ]]&gt;0.35,tbl_Produits[[#This Row],[% de Chrg Fixe /Prdt]]&gt;0.2),"À améliorer","OK")</f>
        <v>À améliorer</v>
      </c>
      <c r="M18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3" spans="1:13" ht="16.5" customHeight="1" x14ac:dyDescent="0.25">
      <c r="A183" s="29" t="str">
        <f>Référentiels!A183&amp;TEXT(Référentiels!B183,"000")</f>
        <v>DES015</v>
      </c>
      <c r="B183" s="64" t="str">
        <f>+tbl_ProduitsRef[[#This Row],[Produit]]</f>
        <v>Cheesecake</v>
      </c>
      <c r="C183" s="64" t="str">
        <f>IFERROR(INDEX(tbl_ProduitsRef[Famille], MATCH(tbl_Produits[[#This Row],[Cde_Prdt]], tbl_Produits[Cde_Prdt], 0)), "")</f>
        <v>Glaces &amp; Desserts</v>
      </c>
      <c r="D183" s="65">
        <f ca="1">SUMIF(tbl_Recettes[Cde_Prdt], tbl_Produits[[#This Row],[Cde_Prdt]], tbl_Recettes[Coût Moyen Portion])</f>
        <v>15</v>
      </c>
      <c r="E183" s="66">
        <f>IFERROR(
   INDEX(tbl_ProduitsRef[Prix Menu],MATCH(B183,tbl_ProduitsRef[Produit],0)),
   ""
)</f>
        <v>18</v>
      </c>
      <c r="F183" s="66">
        <f ca="1">tbl_Produits[[#This Row],[Prix Menu]] - tbl_Produits[[#This Row],[Coût Moyen Portion]]</f>
        <v>3</v>
      </c>
      <c r="G183" s="67">
        <f ca="1">IF(tbl_Produits[[#This Row],[Prix Menu]]&gt;0, tbl_Produits[[#This Row],[Marge Brute]] / tbl_Produits[[#This Row],[Prix Menu]], 0)</f>
        <v>0.16666666666666666</v>
      </c>
      <c r="H183" s="69">
        <f t="shared" ca="1" si="5"/>
        <v>1.5833333333333333</v>
      </c>
      <c r="I183" s="67">
        <f ca="1">IF(tbl_Produits[[#This Row],[Prix Menu]]=0, 0, tbl_Produits[[#This Row],[Coût Moyen Portion]] / tbl_Produits[[#This Row],[Prix Menu]])</f>
        <v>0.83333333333333337</v>
      </c>
      <c r="J183" s="67" t="str" cm="1">
        <f t="array" ref="J183">IFERROR(IF(Total_portions=0, 0, Charges_fixes_totales_periode / Total_portions),"Vérifier")</f>
        <v>Vérifier</v>
      </c>
      <c r="K183" s="131" cm="1">
        <f t="array" aca="1" ref="K183" ca="1">IFERROR(tbl_Produits[[#This Row],[Prix Menu]] - tbl_Produits[[#This Row],[Coût Moyen Portion]] - ChargesFixesPar_Portion[Charges fixes par portion],"Vérifier")</f>
        <v>-10784</v>
      </c>
      <c r="L183" s="132" t="str">
        <f ca="1">IF(OR(tbl_Produits[[#This Row],[Food cost % ]]&gt;0.35,tbl_Produits[[#This Row],[% de Chrg Fixe /Prdt]]&gt;0.2),"À améliorer","OK")</f>
        <v>À améliorer</v>
      </c>
      <c r="M18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4" spans="1:13" ht="16.5" customHeight="1" x14ac:dyDescent="0.25">
      <c r="A184" s="29" t="str">
        <f>Référentiels!A184&amp;TEXT(Référentiels!B184,"000")</f>
        <v>DES016</v>
      </c>
      <c r="B184" s="64" t="str">
        <f>+tbl_ProduitsRef[[#This Row],[Produit]]</f>
        <v>Besboussa</v>
      </c>
      <c r="C184" s="64" t="str">
        <f>IFERROR(INDEX(tbl_ProduitsRef[Famille], MATCH(tbl_Produits[[#This Row],[Cde_Prdt]], tbl_Produits[Cde_Prdt], 0)), "")</f>
        <v>Glaces &amp; Desserts</v>
      </c>
      <c r="D184" s="65">
        <f ca="1">SUMIF(tbl_Recettes[Cde_Prdt], tbl_Produits[[#This Row],[Cde_Prdt]], tbl_Recettes[Coût Moyen Portion])</f>
        <v>15</v>
      </c>
      <c r="E184" s="66">
        <f>IFERROR(
   INDEX(tbl_ProduitsRef[Prix Menu],MATCH(B184,tbl_ProduitsRef[Produit],0)),
   ""
)</f>
        <v>14</v>
      </c>
      <c r="F184" s="66">
        <f ca="1">tbl_Produits[[#This Row],[Prix Menu]] - tbl_Produits[[#This Row],[Coût Moyen Portion]]</f>
        <v>-1</v>
      </c>
      <c r="G184" s="67">
        <f ca="1">IF(tbl_Produits[[#This Row],[Prix Menu]]&gt;0, tbl_Produits[[#This Row],[Marge Brute]] / tbl_Produits[[#This Row],[Prix Menu]], 0)</f>
        <v>-7.1428571428571425E-2</v>
      </c>
      <c r="H184" s="69">
        <f t="shared" ca="1" si="5"/>
        <v>-0.6071428571428571</v>
      </c>
      <c r="I184" s="67">
        <f ca="1">IF(tbl_Produits[[#This Row],[Prix Menu]]=0, 0, tbl_Produits[[#This Row],[Coût Moyen Portion]] / tbl_Produits[[#This Row],[Prix Menu]])</f>
        <v>1.0714285714285714</v>
      </c>
      <c r="J184" s="67" t="str" cm="1">
        <f t="array" ref="J184">IFERROR(IF(Total_portions=0, 0, Charges_fixes_totales_periode / Total_portions),"Vérifier")</f>
        <v>Vérifier</v>
      </c>
      <c r="K184" s="131" cm="1">
        <f t="array" aca="1" ref="K184" ca="1">IFERROR(tbl_Produits[[#This Row],[Prix Menu]] - tbl_Produits[[#This Row],[Coût Moyen Portion]] - ChargesFixesPar_Portion[Charges fixes par portion],"Vérifier")</f>
        <v>-10788</v>
      </c>
      <c r="L184" s="132" t="str">
        <f ca="1">IF(OR(tbl_Produits[[#This Row],[Food cost % ]]&gt;0.35,tbl_Produits[[#This Row],[% de Chrg Fixe /Prdt]]&gt;0.2),"À améliorer","OK")</f>
        <v>À améliorer</v>
      </c>
      <c r="M18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5" spans="1:13" ht="16.5" customHeight="1" x14ac:dyDescent="0.25">
      <c r="A185" s="29" t="str">
        <f>Référentiels!A185&amp;TEXT(Référentiels!B185,"000")</f>
        <v>CRP001</v>
      </c>
      <c r="B185" s="64" t="str">
        <f>+tbl_ProduitsRef[[#This Row],[Produit]]</f>
        <v>Gaufre Regraga</v>
      </c>
      <c r="C185" s="64" t="str">
        <f>IFERROR(INDEX(tbl_ProduitsRef[Famille], MATCH(tbl_Produits[[#This Row],[Cde_Prdt]], tbl_Produits[Cde_Prdt], 0)), "")</f>
        <v>Crêpes &amp; Gaufres</v>
      </c>
      <c r="D185" s="65">
        <f ca="1">SUMIF(tbl_Recettes[Cde_Prdt], tbl_Produits[[#This Row],[Cde_Prdt]], tbl_Recettes[Coût Moyen Portion])</f>
        <v>42.75</v>
      </c>
      <c r="E185" s="66">
        <f>IFERROR(
   INDEX(tbl_ProduitsRef[Prix Menu],MATCH(B185,tbl_ProduitsRef[Produit],0)),
   ""
)</f>
        <v>45</v>
      </c>
      <c r="F185" s="66">
        <f ca="1">tbl_Produits[[#This Row],[Prix Menu]] - tbl_Produits[[#This Row],[Coût Moyen Portion]]</f>
        <v>2.25</v>
      </c>
      <c r="G185" s="67">
        <f ca="1">IF(tbl_Produits[[#This Row],[Prix Menu]]&gt;0, tbl_Produits[[#This Row],[Marge Brute]] / tbl_Produits[[#This Row],[Prix Menu]], 0)</f>
        <v>0.05</v>
      </c>
      <c r="H185" s="69">
        <f t="shared" ca="1" si="5"/>
        <v>0.8125</v>
      </c>
      <c r="I185" s="67">
        <f ca="1">IF(tbl_Produits[[#This Row],[Prix Menu]]=0, 0, tbl_Produits[[#This Row],[Coût Moyen Portion]] / tbl_Produits[[#This Row],[Prix Menu]])</f>
        <v>0.95</v>
      </c>
      <c r="J185" s="67" t="str" cm="1">
        <f t="array" ref="J185">IFERROR(IF(Total_portions=0, 0, Charges_fixes_totales_periode / Total_portions),"Vérifier")</f>
        <v>Vérifier</v>
      </c>
      <c r="K185" s="131" cm="1">
        <f t="array" aca="1" ref="K185" ca="1">IFERROR(tbl_Produits[[#This Row],[Prix Menu]] - tbl_Produits[[#This Row],[Coût Moyen Portion]] - ChargesFixesPar_Portion[Charges fixes par portion],"Vérifier")</f>
        <v>-10784.75</v>
      </c>
      <c r="L185" s="132" t="str">
        <f ca="1">IF(OR(tbl_Produits[[#This Row],[Food cost % ]]&gt;0.35,tbl_Produits[[#This Row],[% de Chrg Fixe /Prdt]]&gt;0.2),"À améliorer","OK")</f>
        <v>À améliorer</v>
      </c>
      <c r="M18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6" spans="1:13" ht="16.5" customHeight="1" x14ac:dyDescent="0.25">
      <c r="A186" s="29" t="str">
        <f>Référentiels!A186&amp;TEXT(Référentiels!B186,"000")</f>
        <v>CRP002</v>
      </c>
      <c r="B186" s="64" t="str">
        <f>+tbl_ProduitsRef[[#This Row],[Produit]]</f>
        <v>Gaufre Sweet</v>
      </c>
      <c r="C186" s="64" t="str">
        <f>IFERROR(INDEX(tbl_ProduitsRef[Famille], MATCH(tbl_Produits[[#This Row],[Cde_Prdt]], tbl_Produits[Cde_Prdt], 0)), "")</f>
        <v>Crêpes &amp; Gaufres</v>
      </c>
      <c r="D186" s="65">
        <f ca="1">SUMIF(tbl_Recettes[Cde_Prdt], tbl_Produits[[#This Row],[Cde_Prdt]], tbl_Recettes[Coût Moyen Portion])</f>
        <v>36.924999999999997</v>
      </c>
      <c r="E186" s="66">
        <f>IFERROR(
   INDEX(tbl_ProduitsRef[Prix Menu],MATCH(B186,tbl_ProduitsRef[Produit],0)),
   ""
)</f>
        <v>40</v>
      </c>
      <c r="F186" s="66">
        <f ca="1">tbl_Produits[[#This Row],[Prix Menu]] - tbl_Produits[[#This Row],[Coût Moyen Portion]]</f>
        <v>3.0750000000000028</v>
      </c>
      <c r="G186" s="67">
        <f ca="1">IF(tbl_Produits[[#This Row],[Prix Menu]]&gt;0, tbl_Produits[[#This Row],[Marge Brute]] / tbl_Produits[[#This Row],[Prix Menu]], 0)</f>
        <v>7.6875000000000068E-2</v>
      </c>
      <c r="H186" s="69">
        <f t="shared" ca="1" si="5"/>
        <v>1.1531250000000011</v>
      </c>
      <c r="I186" s="67">
        <f ca="1">IF(tbl_Produits[[#This Row],[Prix Menu]]=0, 0, tbl_Produits[[#This Row],[Coût Moyen Portion]] / tbl_Produits[[#This Row],[Prix Menu]])</f>
        <v>0.92312499999999997</v>
      </c>
      <c r="J186" s="67" t="str" cm="1">
        <f t="array" ref="J186">IFERROR(IF(Total_portions=0, 0, Charges_fixes_totales_periode / Total_portions),"Vérifier")</f>
        <v>Vérifier</v>
      </c>
      <c r="K186" s="131" cm="1">
        <f t="array" aca="1" ref="K186" ca="1">IFERROR(tbl_Produits[[#This Row],[Prix Menu]] - tbl_Produits[[#This Row],[Coût Moyen Portion]] - ChargesFixesPar_Portion[Charges fixes par portion],"Vérifier")</f>
        <v>-10783.924999999999</v>
      </c>
      <c r="L186" s="132" t="str">
        <f ca="1">IF(OR(tbl_Produits[[#This Row],[Food cost % ]]&gt;0.35,tbl_Produits[[#This Row],[% de Chrg Fixe /Prdt]]&gt;0.2),"À améliorer","OK")</f>
        <v>À améliorer</v>
      </c>
      <c r="M18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7" spans="1:13" ht="16.5" customHeight="1" x14ac:dyDescent="0.25">
      <c r="A187" s="29" t="str">
        <f>Référentiels!A187&amp;TEXT(Référentiels!B187,"000")</f>
        <v>CRP003</v>
      </c>
      <c r="B187" s="64" t="str">
        <f>+tbl_ProduitsRef[[#This Row],[Produit]]</f>
        <v>Gaufre Tropicale</v>
      </c>
      <c r="C187" s="64" t="str">
        <f>IFERROR(INDEX(tbl_ProduitsRef[Famille], MATCH(tbl_Produits[[#This Row],[Cde_Prdt]], tbl_Produits[Cde_Prdt], 0)), "")</f>
        <v>Crêpes &amp; Gaufres</v>
      </c>
      <c r="D187" s="65">
        <f ca="1">SUMIF(tbl_Recettes[Cde_Prdt], tbl_Produits[[#This Row],[Cde_Prdt]], tbl_Recettes[Coût Moyen Portion])</f>
        <v>30</v>
      </c>
      <c r="E187" s="66">
        <f>IFERROR(
   INDEX(tbl_ProduitsRef[Prix Menu],MATCH(B187,tbl_ProduitsRef[Produit],0)),
   ""
)</f>
        <v>35</v>
      </c>
      <c r="F187" s="66">
        <f ca="1">tbl_Produits[[#This Row],[Prix Menu]] - tbl_Produits[[#This Row],[Coût Moyen Portion]]</f>
        <v>5</v>
      </c>
      <c r="G187" s="67">
        <f ca="1">IF(tbl_Produits[[#This Row],[Prix Menu]]&gt;0, tbl_Produits[[#This Row],[Marge Brute]] / tbl_Produits[[#This Row],[Prix Menu]], 0)</f>
        <v>0.14285714285714285</v>
      </c>
      <c r="H187" s="69">
        <f t="shared" ca="1" si="5"/>
        <v>1.9642857142857142</v>
      </c>
      <c r="I187" s="67">
        <f ca="1">IF(tbl_Produits[[#This Row],[Prix Menu]]=0, 0, tbl_Produits[[#This Row],[Coût Moyen Portion]] / tbl_Produits[[#This Row],[Prix Menu]])</f>
        <v>0.8571428571428571</v>
      </c>
      <c r="J187" s="67" t="str" cm="1">
        <f t="array" ref="J187">IFERROR(IF(Total_portions=0, 0, Charges_fixes_totales_periode / Total_portions),"Vérifier")</f>
        <v>Vérifier</v>
      </c>
      <c r="K187" s="131" cm="1">
        <f t="array" aca="1" ref="K187" ca="1">IFERROR(tbl_Produits[[#This Row],[Prix Menu]] - tbl_Produits[[#This Row],[Coût Moyen Portion]] - ChargesFixesPar_Portion[Charges fixes par portion],"Vérifier")</f>
        <v>-10782</v>
      </c>
      <c r="L187" s="132" t="str">
        <f ca="1">IF(OR(tbl_Produits[[#This Row],[Food cost % ]]&gt;0.35,tbl_Produits[[#This Row],[% de Chrg Fixe /Prdt]]&gt;0.2),"À améliorer","OK")</f>
        <v>À améliorer</v>
      </c>
      <c r="M18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8" spans="1:13" ht="16.5" customHeight="1" x14ac:dyDescent="0.25">
      <c r="A188" s="29" t="str">
        <f>Référentiels!A188&amp;TEXT(Référentiels!B188,"000")</f>
        <v>CRP004</v>
      </c>
      <c r="B188" s="64" t="str">
        <f>+tbl_ProduitsRef[[#This Row],[Produit]]</f>
        <v>Gaufre Nutella banane</v>
      </c>
      <c r="C188" s="64" t="str">
        <f>IFERROR(INDEX(tbl_ProduitsRef[Famille], MATCH(tbl_Produits[[#This Row],[Cde_Prdt]], tbl_Produits[Cde_Prdt], 0)), "")</f>
        <v>Crêpes &amp; Gaufres</v>
      </c>
      <c r="D188" s="65">
        <f ca="1">SUMIF(tbl_Recettes[Cde_Prdt], tbl_Produits[[#This Row],[Cde_Prdt]], tbl_Recettes[Coût Moyen Portion])</f>
        <v>19.55</v>
      </c>
      <c r="E188" s="66">
        <f>IFERROR(
   INDEX(tbl_ProduitsRef[Prix Menu],MATCH(B188,tbl_ProduitsRef[Produit],0)),
   ""
)</f>
        <v>35</v>
      </c>
      <c r="F188" s="66">
        <f ca="1">tbl_Produits[[#This Row],[Prix Menu]] - tbl_Produits[[#This Row],[Coût Moyen Portion]]</f>
        <v>15.45</v>
      </c>
      <c r="G188" s="67">
        <f ca="1">IF(tbl_Produits[[#This Row],[Prix Menu]]&gt;0, tbl_Produits[[#This Row],[Marge Brute]] / tbl_Produits[[#This Row],[Prix Menu]], 0)</f>
        <v>0.44142857142857139</v>
      </c>
      <c r="H188" s="69">
        <f t="shared" ca="1" si="5"/>
        <v>6.0696428571428562</v>
      </c>
      <c r="I188" s="67">
        <f ca="1">IF(tbl_Produits[[#This Row],[Prix Menu]]=0, 0, tbl_Produits[[#This Row],[Coût Moyen Portion]] / tbl_Produits[[#This Row],[Prix Menu]])</f>
        <v>0.55857142857142861</v>
      </c>
      <c r="J188" s="67" t="str" cm="1">
        <f t="array" ref="J188">IFERROR(IF(Total_portions=0, 0, Charges_fixes_totales_periode / Total_portions),"Vérifier")</f>
        <v>Vérifier</v>
      </c>
      <c r="K188" s="131" cm="1">
        <f t="array" aca="1" ref="K188" ca="1">IFERROR(tbl_Produits[[#This Row],[Prix Menu]] - tbl_Produits[[#This Row],[Coût Moyen Portion]] - ChargesFixesPar_Portion[Charges fixes par portion],"Vérifier")</f>
        <v>-10771.55</v>
      </c>
      <c r="L188" s="132" t="str">
        <f ca="1">IF(OR(tbl_Produits[[#This Row],[Food cost % ]]&gt;0.35,tbl_Produits[[#This Row],[% de Chrg Fixe /Prdt]]&gt;0.2),"À améliorer","OK")</f>
        <v>À améliorer</v>
      </c>
      <c r="M18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89" spans="1:13" ht="16.5" customHeight="1" x14ac:dyDescent="0.25">
      <c r="A189" s="29" t="str">
        <f>Référentiels!A189&amp;TEXT(Référentiels!B189,"000")</f>
        <v>CRP005</v>
      </c>
      <c r="B189" s="64" t="str">
        <f>+tbl_ProduitsRef[[#This Row],[Produit]]</f>
        <v>Gaufre Nutella</v>
      </c>
      <c r="C189" s="64" t="str">
        <f>IFERROR(INDEX(tbl_ProduitsRef[Famille], MATCH(tbl_Produits[[#This Row],[Cde_Prdt]], tbl_Produits[Cde_Prdt], 0)), "")</f>
        <v>Crêpes &amp; Gaufres</v>
      </c>
      <c r="D189" s="65">
        <f ca="1">SUMIF(tbl_Recettes[Cde_Prdt], tbl_Produits[[#This Row],[Cde_Prdt]], tbl_Recettes[Coût Moyen Portion])</f>
        <v>19.375</v>
      </c>
      <c r="E189" s="66">
        <f>IFERROR(
   INDEX(tbl_ProduitsRef[Prix Menu],MATCH(B189,tbl_ProduitsRef[Produit],0)),
   ""
)</f>
        <v>35</v>
      </c>
      <c r="F189" s="66">
        <f ca="1">tbl_Produits[[#This Row],[Prix Menu]] - tbl_Produits[[#This Row],[Coût Moyen Portion]]</f>
        <v>15.625</v>
      </c>
      <c r="G189" s="67">
        <f ca="1">IF(tbl_Produits[[#This Row],[Prix Menu]]&gt;0, tbl_Produits[[#This Row],[Marge Brute]] / tbl_Produits[[#This Row],[Prix Menu]], 0)</f>
        <v>0.44642857142857145</v>
      </c>
      <c r="H189" s="69">
        <f t="shared" ca="1" si="5"/>
        <v>6.1383928571428577</v>
      </c>
      <c r="I189" s="67">
        <f ca="1">IF(tbl_Produits[[#This Row],[Prix Menu]]=0, 0, tbl_Produits[[#This Row],[Coût Moyen Portion]] / tbl_Produits[[#This Row],[Prix Menu]])</f>
        <v>0.5535714285714286</v>
      </c>
      <c r="J189" s="67" t="str" cm="1">
        <f t="array" ref="J189">IFERROR(IF(Total_portions=0, 0, Charges_fixes_totales_periode / Total_portions),"Vérifier")</f>
        <v>Vérifier</v>
      </c>
      <c r="K189" s="131" cm="1">
        <f t="array" aca="1" ref="K189" ca="1">IFERROR(tbl_Produits[[#This Row],[Prix Menu]] - tbl_Produits[[#This Row],[Coût Moyen Portion]] - ChargesFixesPar_Portion[Charges fixes par portion],"Vérifier")</f>
        <v>-10771.375</v>
      </c>
      <c r="L189" s="132" t="str">
        <f ca="1">IF(OR(tbl_Produits[[#This Row],[Food cost % ]]&gt;0.35,tbl_Produits[[#This Row],[% de Chrg Fixe /Prdt]]&gt;0.2),"À améliorer","OK")</f>
        <v>À améliorer</v>
      </c>
      <c r="M18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0" spans="1:13" ht="16.5" customHeight="1" x14ac:dyDescent="0.25">
      <c r="A190" s="29" t="str">
        <f>Référentiels!A190&amp;TEXT(Référentiels!B190,"000")</f>
        <v>CRP006</v>
      </c>
      <c r="B190" s="64" t="str">
        <f>+tbl_ProduitsRef[[#This Row],[Produit]]</f>
        <v>Gaufre Miel ou Amlou</v>
      </c>
      <c r="C190" s="64" t="str">
        <f>IFERROR(INDEX(tbl_ProduitsRef[Famille], MATCH(tbl_Produits[[#This Row],[Cde_Prdt]], tbl_Produits[Cde_Prdt], 0)), "")</f>
        <v>Crêpes &amp; Gaufres</v>
      </c>
      <c r="D190" s="65">
        <f ca="1">SUMIF(tbl_Recettes[Cde_Prdt], tbl_Produits[[#This Row],[Cde_Prdt]], tbl_Recettes[Coût Moyen Portion])</f>
        <v>33</v>
      </c>
      <c r="E190" s="66">
        <f>IFERROR(
   INDEX(tbl_ProduitsRef[Prix Menu],MATCH(B190,tbl_ProduitsRef[Produit],0)),
   ""
)</f>
        <v>35</v>
      </c>
      <c r="F190" s="66">
        <f ca="1">tbl_Produits[[#This Row],[Prix Menu]] - tbl_Produits[[#This Row],[Coût Moyen Portion]]</f>
        <v>2</v>
      </c>
      <c r="G190" s="67">
        <f ca="1">IF(tbl_Produits[[#This Row],[Prix Menu]]&gt;0, tbl_Produits[[#This Row],[Marge Brute]] / tbl_Produits[[#This Row],[Prix Menu]], 0)</f>
        <v>5.7142857142857141E-2</v>
      </c>
      <c r="H190" s="69">
        <f t="shared" ca="1" si="5"/>
        <v>0.7857142857142857</v>
      </c>
      <c r="I190" s="67">
        <f ca="1">IF(tbl_Produits[[#This Row],[Prix Menu]]=0, 0, tbl_Produits[[#This Row],[Coût Moyen Portion]] / tbl_Produits[[#This Row],[Prix Menu]])</f>
        <v>0.94285714285714284</v>
      </c>
      <c r="J190" s="67" t="str" cm="1">
        <f t="array" ref="J190">IFERROR(IF(Total_portions=0, 0, Charges_fixes_totales_periode / Total_portions),"Vérifier")</f>
        <v>Vérifier</v>
      </c>
      <c r="K190" s="131" cm="1">
        <f t="array" aca="1" ref="K190" ca="1">IFERROR(tbl_Produits[[#This Row],[Prix Menu]] - tbl_Produits[[#This Row],[Coût Moyen Portion]] - ChargesFixesPar_Portion[Charges fixes par portion],"Vérifier")</f>
        <v>-10785</v>
      </c>
      <c r="L190" s="132" t="str">
        <f ca="1">IF(OR(tbl_Produits[[#This Row],[Food cost % ]]&gt;0.35,tbl_Produits[[#This Row],[% de Chrg Fixe /Prdt]]&gt;0.2),"À améliorer","OK")</f>
        <v>À améliorer</v>
      </c>
      <c r="M19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1" spans="1:13" ht="16.5" customHeight="1" x14ac:dyDescent="0.25">
      <c r="A191" s="29" t="str">
        <f>Référentiels!A191&amp;TEXT(Référentiels!B191,"000")</f>
        <v>CRP007</v>
      </c>
      <c r="B191" s="64" t="str">
        <f>+tbl_ProduitsRef[[#This Row],[Produit]]</f>
        <v>Gaufre sauce au choix</v>
      </c>
      <c r="C191" s="64" t="str">
        <f>IFERROR(INDEX(tbl_ProduitsRef[Famille], MATCH(tbl_Produits[[#This Row],[Cde_Prdt]], tbl_Produits[Cde_Prdt], 0)), "")</f>
        <v>Crêpes &amp; Gaufres</v>
      </c>
      <c r="D191" s="65">
        <f ca="1">SUMIF(tbl_Recettes[Cde_Prdt], tbl_Produits[[#This Row],[Cde_Prdt]], tbl_Recettes[Coût Moyen Portion])</f>
        <v>18.035</v>
      </c>
      <c r="E191" s="66">
        <f>IFERROR(
   INDEX(tbl_ProduitsRef[Prix Menu],MATCH(B191,tbl_ProduitsRef[Produit],0)),
   ""
)</f>
        <v>30</v>
      </c>
      <c r="F191" s="66">
        <f ca="1">tbl_Produits[[#This Row],[Prix Menu]] - tbl_Produits[[#This Row],[Coût Moyen Portion]]</f>
        <v>11.965</v>
      </c>
      <c r="G191" s="67">
        <f ca="1">IF(tbl_Produits[[#This Row],[Prix Menu]]&gt;0, tbl_Produits[[#This Row],[Marge Brute]] / tbl_Produits[[#This Row],[Prix Menu]], 0)</f>
        <v>0.39883333333333332</v>
      </c>
      <c r="H191" s="69">
        <f t="shared" ca="1" si="5"/>
        <v>4.9854166666666666</v>
      </c>
      <c r="I191" s="67">
        <f ca="1">IF(tbl_Produits[[#This Row],[Prix Menu]]=0, 0, tbl_Produits[[#This Row],[Coût Moyen Portion]] / tbl_Produits[[#This Row],[Prix Menu]])</f>
        <v>0.60116666666666663</v>
      </c>
      <c r="J191" s="67" t="str" cm="1">
        <f t="array" ref="J191">IFERROR(IF(Total_portions=0, 0, Charges_fixes_totales_periode / Total_portions),"Vérifier")</f>
        <v>Vérifier</v>
      </c>
      <c r="K191" s="131" cm="1">
        <f t="array" aca="1" ref="K191" ca="1">IFERROR(tbl_Produits[[#This Row],[Prix Menu]] - tbl_Produits[[#This Row],[Coût Moyen Portion]] - ChargesFixesPar_Portion[Charges fixes par portion],"Vérifier")</f>
        <v>-10775.035</v>
      </c>
      <c r="L191" s="132" t="str">
        <f ca="1">IF(OR(tbl_Produits[[#This Row],[Food cost % ]]&gt;0.35,tbl_Produits[[#This Row],[% de Chrg Fixe /Prdt]]&gt;0.2),"À améliorer","OK")</f>
        <v>À améliorer</v>
      </c>
      <c r="M19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2" spans="1:13" ht="16.5" customHeight="1" x14ac:dyDescent="0.25">
      <c r="A192" s="29" t="str">
        <f>Référentiels!A192&amp;TEXT(Référentiels!B192,"000")</f>
        <v>CRP008</v>
      </c>
      <c r="B192" s="64" t="str">
        <f>+tbl_ProduitsRef[[#This Row],[Produit]]</f>
        <v>Crêpe Regraga (Salé)</v>
      </c>
      <c r="C192" s="64" t="str">
        <f>IFERROR(INDEX(tbl_ProduitsRef[Famille], MATCH(tbl_Produits[[#This Row],[Cde_Prdt]], tbl_Produits[Cde_Prdt], 0)), "")</f>
        <v>Crêpes &amp; Gaufres</v>
      </c>
      <c r="D192" s="65">
        <f ca="1">SUMIF(tbl_Recettes[Cde_Prdt], tbl_Produits[[#This Row],[Cde_Prdt]], tbl_Recettes[Coût Moyen Portion])</f>
        <v>21.1</v>
      </c>
      <c r="E192" s="66">
        <f>IFERROR(
   INDEX(tbl_ProduitsRef[Prix Menu],MATCH(B192,tbl_ProduitsRef[Produit],0)),
   ""
)</f>
        <v>45</v>
      </c>
      <c r="F192" s="66">
        <f ca="1">tbl_Produits[[#This Row],[Prix Menu]] - tbl_Produits[[#This Row],[Coût Moyen Portion]]</f>
        <v>23.9</v>
      </c>
      <c r="G192" s="67">
        <f ca="1">IF(tbl_Produits[[#This Row],[Prix Menu]]&gt;0, tbl_Produits[[#This Row],[Marge Brute]] / tbl_Produits[[#This Row],[Prix Menu]], 0)</f>
        <v>0.53111111111111109</v>
      </c>
      <c r="H192" s="69">
        <f t="shared" ca="1" si="5"/>
        <v>8.6305555555555546</v>
      </c>
      <c r="I192" s="67">
        <f ca="1">IF(tbl_Produits[[#This Row],[Prix Menu]]=0, 0, tbl_Produits[[#This Row],[Coût Moyen Portion]] / tbl_Produits[[#This Row],[Prix Menu]])</f>
        <v>0.46888888888888891</v>
      </c>
      <c r="J192" s="67" t="str" cm="1">
        <f t="array" ref="J192">IFERROR(IF(Total_portions=0, 0, Charges_fixes_totales_periode / Total_portions),"Vérifier")</f>
        <v>Vérifier</v>
      </c>
      <c r="K192" s="131" cm="1">
        <f t="array" aca="1" ref="K192" ca="1">IFERROR(tbl_Produits[[#This Row],[Prix Menu]] - tbl_Produits[[#This Row],[Coût Moyen Portion]] - ChargesFixesPar_Portion[Charges fixes par portion],"Vérifier")</f>
        <v>-10763.1</v>
      </c>
      <c r="L192" s="132" t="str">
        <f ca="1">IF(OR(tbl_Produits[[#This Row],[Food cost % ]]&gt;0.35,tbl_Produits[[#This Row],[% de Chrg Fixe /Prdt]]&gt;0.2),"À améliorer","OK")</f>
        <v>À améliorer</v>
      </c>
      <c r="M19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3" spans="1:13" ht="16.5" customHeight="1" x14ac:dyDescent="0.25">
      <c r="A193" s="29" t="str">
        <f>Référentiels!A193&amp;TEXT(Référentiels!B193,"000")</f>
        <v>CRP009</v>
      </c>
      <c r="B193" s="64" t="str">
        <f>+tbl_ProduitsRef[[#This Row],[Produit]]</f>
        <v>Crêpe Regraga (Sucré)</v>
      </c>
      <c r="C193" s="64" t="str">
        <f>IFERROR(INDEX(tbl_ProduitsRef[Famille], MATCH(tbl_Produits[[#This Row],[Cde_Prdt]], tbl_Produits[Cde_Prdt], 0)), "")</f>
        <v>Crêpes &amp; Gaufres</v>
      </c>
      <c r="D193" s="65">
        <f ca="1">SUMIF(tbl_Recettes[Cde_Prdt], tbl_Produits[[#This Row],[Cde_Prdt]], tbl_Recettes[Coût Moyen Portion])</f>
        <v>34.75</v>
      </c>
      <c r="E193" s="66">
        <f>IFERROR(
   INDEX(tbl_ProduitsRef[Prix Menu],MATCH(B193,tbl_ProduitsRef[Produit],0)),
   ""
)</f>
        <v>45</v>
      </c>
      <c r="F193" s="66">
        <f ca="1">tbl_Produits[[#This Row],[Prix Menu]] - tbl_Produits[[#This Row],[Coût Moyen Portion]]</f>
        <v>10.25</v>
      </c>
      <c r="G193" s="67">
        <f ca="1">IF(tbl_Produits[[#This Row],[Prix Menu]]&gt;0, tbl_Produits[[#This Row],[Marge Brute]] / tbl_Produits[[#This Row],[Prix Menu]], 0)</f>
        <v>0.22777777777777777</v>
      </c>
      <c r="H193" s="69">
        <f t="shared" ca="1" si="5"/>
        <v>3.7013888888888888</v>
      </c>
      <c r="I193" s="67">
        <f ca="1">IF(tbl_Produits[[#This Row],[Prix Menu]]=0, 0, tbl_Produits[[#This Row],[Coût Moyen Portion]] / tbl_Produits[[#This Row],[Prix Menu]])</f>
        <v>0.77222222222222225</v>
      </c>
      <c r="J193" s="67" t="str" cm="1">
        <f t="array" ref="J193">IFERROR(IF(Total_portions=0, 0, Charges_fixes_totales_periode / Total_portions),"Vérifier")</f>
        <v>Vérifier</v>
      </c>
      <c r="K193" s="131" cm="1">
        <f t="array" aca="1" ref="K193" ca="1">IFERROR(tbl_Produits[[#This Row],[Prix Menu]] - tbl_Produits[[#This Row],[Coût Moyen Portion]] - ChargesFixesPar_Portion[Charges fixes par portion],"Vérifier")</f>
        <v>-10776.75</v>
      </c>
      <c r="L193" s="132" t="str">
        <f ca="1">IF(OR(tbl_Produits[[#This Row],[Food cost % ]]&gt;0.35,tbl_Produits[[#This Row],[% de Chrg Fixe /Prdt]]&gt;0.2),"À améliorer","OK")</f>
        <v>À améliorer</v>
      </c>
      <c r="M19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4" spans="1:13" ht="16.5" customHeight="1" x14ac:dyDescent="0.25">
      <c r="A194" s="29" t="str">
        <f>Référentiels!A194&amp;TEXT(Référentiels!B194,"000")</f>
        <v>CRP010</v>
      </c>
      <c r="B194" s="64" t="str">
        <f>+tbl_ProduitsRef[[#This Row],[Produit]]</f>
        <v>Crêpe Sweet</v>
      </c>
      <c r="C194" s="64" t="str">
        <f>IFERROR(INDEX(tbl_ProduitsRef[Famille], MATCH(tbl_Produits[[#This Row],[Cde_Prdt]], tbl_Produits[Cde_Prdt], 0)), "")</f>
        <v>Crêpes &amp; Gaufres</v>
      </c>
      <c r="D194" s="65">
        <f ca="1">SUMIF(tbl_Recettes[Cde_Prdt], tbl_Produits[[#This Row],[Cde_Prdt]], tbl_Recettes[Coût Moyen Portion])</f>
        <v>28.925000000000001</v>
      </c>
      <c r="E194" s="66">
        <f>IFERROR(
   INDEX(tbl_ProduitsRef[Prix Menu],MATCH(B194,tbl_ProduitsRef[Produit],0)),
   ""
)</f>
        <v>40</v>
      </c>
      <c r="F194" s="66">
        <f ca="1">tbl_Produits[[#This Row],[Prix Menu]] - tbl_Produits[[#This Row],[Coût Moyen Portion]]</f>
        <v>11.074999999999999</v>
      </c>
      <c r="G194" s="67">
        <f ca="1">IF(tbl_Produits[[#This Row],[Prix Menu]]&gt;0, tbl_Produits[[#This Row],[Marge Brute]] / tbl_Produits[[#This Row],[Prix Menu]], 0)</f>
        <v>0.27687499999999998</v>
      </c>
      <c r="H194" s="69">
        <f t="shared" ca="1" si="5"/>
        <v>4.1531249999999993</v>
      </c>
      <c r="I194" s="67">
        <f ca="1">IF(tbl_Produits[[#This Row],[Prix Menu]]=0, 0, tbl_Produits[[#This Row],[Coût Moyen Portion]] / tbl_Produits[[#This Row],[Prix Menu]])</f>
        <v>0.72312500000000002</v>
      </c>
      <c r="J194" s="67" t="str" cm="1">
        <f t="array" ref="J194">IFERROR(IF(Total_portions=0, 0, Charges_fixes_totales_periode / Total_portions),"Vérifier")</f>
        <v>Vérifier</v>
      </c>
      <c r="K194" s="131" cm="1">
        <f t="array" aca="1" ref="K194" ca="1">IFERROR(tbl_Produits[[#This Row],[Prix Menu]] - tbl_Produits[[#This Row],[Coût Moyen Portion]] - ChargesFixesPar_Portion[Charges fixes par portion],"Vérifier")</f>
        <v>-10775.924999999999</v>
      </c>
      <c r="L194" s="132" t="str">
        <f ca="1">IF(OR(tbl_Produits[[#This Row],[Food cost % ]]&gt;0.35,tbl_Produits[[#This Row],[% de Chrg Fixe /Prdt]]&gt;0.2),"À améliorer","OK")</f>
        <v>À améliorer</v>
      </c>
      <c r="M19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5" spans="1:13" ht="16.5" customHeight="1" x14ac:dyDescent="0.25">
      <c r="A195" s="29" t="str">
        <f>Référentiels!A195&amp;TEXT(Référentiels!B195,"000")</f>
        <v>CRP011</v>
      </c>
      <c r="B195" s="64" t="str">
        <f>+tbl_ProduitsRef[[#This Row],[Produit]]</f>
        <v>Crêpe Tropicale</v>
      </c>
      <c r="C195" s="64" t="str">
        <f>IFERROR(INDEX(tbl_ProduitsRef[Famille], MATCH(tbl_Produits[[#This Row],[Cde_Prdt]], tbl_Produits[Cde_Prdt], 0)), "")</f>
        <v>Crêpes &amp; Gaufres</v>
      </c>
      <c r="D195" s="65">
        <f ca="1">SUMIF(tbl_Recettes[Cde_Prdt], tbl_Produits[[#This Row],[Cde_Prdt]], tbl_Recettes[Coût Moyen Portion])</f>
        <v>22</v>
      </c>
      <c r="E195" s="66">
        <f>IFERROR(
   INDEX(tbl_ProduitsRef[Prix Menu],MATCH(B195,tbl_ProduitsRef[Produit],0)),
   ""
)</f>
        <v>35</v>
      </c>
      <c r="F195" s="66">
        <f ca="1">tbl_Produits[[#This Row],[Prix Menu]] - tbl_Produits[[#This Row],[Coût Moyen Portion]]</f>
        <v>13</v>
      </c>
      <c r="G195" s="67">
        <f ca="1">IF(tbl_Produits[[#This Row],[Prix Menu]]&gt;0, tbl_Produits[[#This Row],[Marge Brute]] / tbl_Produits[[#This Row],[Prix Menu]], 0)</f>
        <v>0.37142857142857144</v>
      </c>
      <c r="H195" s="69">
        <f ca="1">IFERROR(
  AVERAGE(G195*10, F195/2),
0)</f>
        <v>5.1071428571428577</v>
      </c>
      <c r="I195" s="67">
        <f ca="1">IF(tbl_Produits[[#This Row],[Prix Menu]]=0, 0, tbl_Produits[[#This Row],[Coût Moyen Portion]] / tbl_Produits[[#This Row],[Prix Menu]])</f>
        <v>0.62857142857142856</v>
      </c>
      <c r="J195" s="67" t="str" cm="1">
        <f t="array" ref="J195">IFERROR(IF(Total_portions=0, 0, Charges_fixes_totales_periode / Total_portions),"Vérifier")</f>
        <v>Vérifier</v>
      </c>
      <c r="K195" s="131" cm="1">
        <f t="array" aca="1" ref="K195" ca="1">IFERROR(tbl_Produits[[#This Row],[Prix Menu]] - tbl_Produits[[#This Row],[Coût Moyen Portion]] - ChargesFixesPar_Portion[Charges fixes par portion],"Vérifier")</f>
        <v>-10774</v>
      </c>
      <c r="L195" s="132" t="str">
        <f ca="1">IF(OR(tbl_Produits[[#This Row],[Food cost % ]]&gt;0.35,tbl_Produits[[#This Row],[% de Chrg Fixe /Prdt]]&gt;0.2),"À améliorer","OK")</f>
        <v>À améliorer</v>
      </c>
      <c r="M19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6" spans="1:13" ht="16.5" customHeight="1" x14ac:dyDescent="0.25">
      <c r="A196" s="29" t="str">
        <f>Référentiels!A196&amp;TEXT(Référentiels!B196,"000")</f>
        <v>CRP012</v>
      </c>
      <c r="B196" s="64" t="str">
        <f>+tbl_ProduitsRef[[#This Row],[Produit]]</f>
        <v>Crêpe Nutella banane</v>
      </c>
      <c r="C196" s="64" t="str">
        <f>IFERROR(INDEX(tbl_ProduitsRef[Famille], MATCH(tbl_Produits[[#This Row],[Cde_Prdt]], tbl_Produits[Cde_Prdt], 0)), "")</f>
        <v>Crêpes &amp; Gaufres</v>
      </c>
      <c r="D196" s="65">
        <f ca="1">SUMIF(tbl_Recettes[Cde_Prdt], tbl_Produits[[#This Row],[Cde_Prdt]], tbl_Recettes[Coût Moyen Portion])</f>
        <v>11.55</v>
      </c>
      <c r="E196" s="66">
        <f>IFERROR(
   INDEX(tbl_ProduitsRef[Prix Menu],MATCH(B196,tbl_ProduitsRef[Produit],0)),
   ""
)</f>
        <v>35</v>
      </c>
      <c r="F196" s="66">
        <f ca="1">tbl_Produits[[#This Row],[Prix Menu]] - tbl_Produits[[#This Row],[Coût Moyen Portion]]</f>
        <v>23.45</v>
      </c>
      <c r="G196" s="67">
        <f ca="1">IF(tbl_Produits[[#This Row],[Prix Menu]]&gt;0, tbl_Produits[[#This Row],[Marge Brute]] / tbl_Produits[[#This Row],[Prix Menu]], 0)</f>
        <v>0.66999999999999993</v>
      </c>
      <c r="H196" s="69">
        <f t="shared" ref="H196:H227" ca="1" si="6">IFERROR(
AVERAGE(G196*10, F196/2),
0)</f>
        <v>9.2124999999999986</v>
      </c>
      <c r="I196" s="67">
        <f ca="1">IF(tbl_Produits[[#This Row],[Prix Menu]]=0, 0, tbl_Produits[[#This Row],[Coût Moyen Portion]] / tbl_Produits[[#This Row],[Prix Menu]])</f>
        <v>0.33</v>
      </c>
      <c r="J196" s="67" t="str" cm="1">
        <f t="array" ref="J196">IFERROR(IF(Total_portions=0, 0, Charges_fixes_totales_periode / Total_portions),"Vérifier")</f>
        <v>Vérifier</v>
      </c>
      <c r="K196" s="131" cm="1">
        <f t="array" aca="1" ref="K196" ca="1">IFERROR(tbl_Produits[[#This Row],[Prix Menu]] - tbl_Produits[[#This Row],[Coût Moyen Portion]] - ChargesFixesPar_Portion[Charges fixes par portion],"Vérifier")</f>
        <v>-10763.55</v>
      </c>
      <c r="L196" s="132" t="str">
        <f ca="1">IF(OR(tbl_Produits[[#This Row],[Food cost % ]]&gt;0.35,tbl_Produits[[#This Row],[% de Chrg Fixe /Prdt]]&gt;0.2),"À améliorer","OK")</f>
        <v>À améliorer</v>
      </c>
      <c r="M19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7" spans="1:13" ht="16.5" customHeight="1" x14ac:dyDescent="0.25">
      <c r="A197" s="29" t="str">
        <f>Référentiels!A197&amp;TEXT(Référentiels!B197,"000")</f>
        <v>CRP013</v>
      </c>
      <c r="B197" s="64" t="str">
        <f>+tbl_ProduitsRef[[#This Row],[Produit]]</f>
        <v>Crêpe Nutella</v>
      </c>
      <c r="C197" s="64" t="str">
        <f>IFERROR(INDEX(tbl_ProduitsRef[Famille], MATCH(tbl_Produits[[#This Row],[Cde_Prdt]], tbl_Produits[Cde_Prdt], 0)), "")</f>
        <v>Crêpes &amp; Gaufres</v>
      </c>
      <c r="D197" s="65">
        <f ca="1">SUMIF(tbl_Recettes[Cde_Prdt], tbl_Produits[[#This Row],[Cde_Prdt]], tbl_Recettes[Coût Moyen Portion])</f>
        <v>11.375</v>
      </c>
      <c r="E197" s="66">
        <f>IFERROR(
   INDEX(tbl_ProduitsRef[Prix Menu],MATCH(B197,tbl_ProduitsRef[Produit],0)),
   ""
)</f>
        <v>35</v>
      </c>
      <c r="F197" s="66">
        <f ca="1">tbl_Produits[[#This Row],[Prix Menu]] - tbl_Produits[[#This Row],[Coût Moyen Portion]]</f>
        <v>23.625</v>
      </c>
      <c r="G197" s="67">
        <f ca="1">IF(tbl_Produits[[#This Row],[Prix Menu]]&gt;0, tbl_Produits[[#This Row],[Marge Brute]] / tbl_Produits[[#This Row],[Prix Menu]], 0)</f>
        <v>0.67500000000000004</v>
      </c>
      <c r="H197" s="69">
        <f t="shared" ca="1" si="6"/>
        <v>9.28125</v>
      </c>
      <c r="I197" s="67">
        <f ca="1">IF(tbl_Produits[[#This Row],[Prix Menu]]=0, 0, tbl_Produits[[#This Row],[Coût Moyen Portion]] / tbl_Produits[[#This Row],[Prix Menu]])</f>
        <v>0.32500000000000001</v>
      </c>
      <c r="J197" s="67" t="str" cm="1">
        <f t="array" ref="J197">IFERROR(IF(Total_portions=0, 0, Charges_fixes_totales_periode / Total_portions),"Vérifier")</f>
        <v>Vérifier</v>
      </c>
      <c r="K197" s="131" cm="1">
        <f t="array" aca="1" ref="K197" ca="1">IFERROR(tbl_Produits[[#This Row],[Prix Menu]] - tbl_Produits[[#This Row],[Coût Moyen Portion]] - ChargesFixesPar_Portion[Charges fixes par portion],"Vérifier")</f>
        <v>-10763.375</v>
      </c>
      <c r="L197" s="132" t="str">
        <f ca="1">IF(OR(tbl_Produits[[#This Row],[Food cost % ]]&gt;0.35,tbl_Produits[[#This Row],[% de Chrg Fixe /Prdt]]&gt;0.2),"À améliorer","OK")</f>
        <v>À améliorer</v>
      </c>
      <c r="M19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8" spans="1:13" ht="16.5" customHeight="1" x14ac:dyDescent="0.25">
      <c r="A198" s="29" t="str">
        <f>Référentiels!A198&amp;TEXT(Référentiels!B198,"000")</f>
        <v>CRP014</v>
      </c>
      <c r="B198" s="64" t="str">
        <f>+tbl_ProduitsRef[[#This Row],[Produit]]</f>
        <v>Crêpe Miel ou Amlou</v>
      </c>
      <c r="C198" s="64" t="str">
        <f>IFERROR(INDEX(tbl_ProduitsRef[Famille], MATCH(tbl_Produits[[#This Row],[Cde_Prdt]], tbl_Produits[Cde_Prdt], 0)), "")</f>
        <v>Crêpes &amp; Gaufres</v>
      </c>
      <c r="D198" s="65">
        <f ca="1">SUMIF(tbl_Recettes[Cde_Prdt], tbl_Produits[[#This Row],[Cde_Prdt]], tbl_Recettes[Coût Moyen Portion])</f>
        <v>25</v>
      </c>
      <c r="E198" s="66">
        <f>IFERROR(
   INDEX(tbl_ProduitsRef[Prix Menu],MATCH(B198,tbl_ProduitsRef[Produit],0)),
   ""
)</f>
        <v>35</v>
      </c>
      <c r="F198" s="66">
        <f ca="1">tbl_Produits[[#This Row],[Prix Menu]] - tbl_Produits[[#This Row],[Coût Moyen Portion]]</f>
        <v>10</v>
      </c>
      <c r="G198" s="67">
        <f ca="1">IF(tbl_Produits[[#This Row],[Prix Menu]]&gt;0, tbl_Produits[[#This Row],[Marge Brute]] / tbl_Produits[[#This Row],[Prix Menu]], 0)</f>
        <v>0.2857142857142857</v>
      </c>
      <c r="H198" s="69">
        <f t="shared" ca="1" si="6"/>
        <v>3.9285714285714284</v>
      </c>
      <c r="I198" s="67">
        <f ca="1">IF(tbl_Produits[[#This Row],[Prix Menu]]=0, 0, tbl_Produits[[#This Row],[Coût Moyen Portion]] / tbl_Produits[[#This Row],[Prix Menu]])</f>
        <v>0.7142857142857143</v>
      </c>
      <c r="J198" s="67" t="str" cm="1">
        <f t="array" ref="J198">IFERROR(IF(Total_portions=0, 0, Charges_fixes_totales_periode / Total_portions),"Vérifier")</f>
        <v>Vérifier</v>
      </c>
      <c r="K198" s="131" cm="1">
        <f t="array" aca="1" ref="K198" ca="1">IFERROR(tbl_Produits[[#This Row],[Prix Menu]] - tbl_Produits[[#This Row],[Coût Moyen Portion]] - ChargesFixesPar_Portion[Charges fixes par portion],"Vérifier")</f>
        <v>-10777</v>
      </c>
      <c r="L198" s="132" t="str">
        <f ca="1">IF(OR(tbl_Produits[[#This Row],[Food cost % ]]&gt;0.35,tbl_Produits[[#This Row],[% de Chrg Fixe /Prdt]]&gt;0.2),"À améliorer","OK")</f>
        <v>À améliorer</v>
      </c>
      <c r="M19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199" spans="1:13" ht="16.5" customHeight="1" x14ac:dyDescent="0.25">
      <c r="A199" s="29" t="str">
        <f>Référentiels!A199&amp;TEXT(Référentiels!B199,"000")</f>
        <v>CRP015</v>
      </c>
      <c r="B199" s="64" t="str">
        <f>+tbl_ProduitsRef[[#This Row],[Produit]]</f>
        <v>Crêpe au choix</v>
      </c>
      <c r="C199" s="64" t="str">
        <f>IFERROR(INDEX(tbl_ProduitsRef[Famille], MATCH(tbl_Produits[[#This Row],[Cde_Prdt]], tbl_Produits[Cde_Prdt], 0)), "")</f>
        <v>Crêpes &amp; Gaufres</v>
      </c>
      <c r="D199" s="65">
        <f ca="1">SUMIF(tbl_Recettes[Cde_Prdt], tbl_Produits[[#This Row],[Cde_Prdt]], tbl_Recettes[Coût Moyen Portion])</f>
        <v>10</v>
      </c>
      <c r="E199" s="66">
        <f>IFERROR(
   INDEX(tbl_ProduitsRef[Prix Menu],MATCH(B199,tbl_ProduitsRef[Produit],0)),
   ""
)</f>
        <v>30</v>
      </c>
      <c r="F199" s="66">
        <f ca="1">tbl_Produits[[#This Row],[Prix Menu]] - tbl_Produits[[#This Row],[Coût Moyen Portion]]</f>
        <v>20</v>
      </c>
      <c r="G199" s="67">
        <f ca="1">IF(tbl_Produits[[#This Row],[Prix Menu]]&gt;0, tbl_Produits[[#This Row],[Marge Brute]] / tbl_Produits[[#This Row],[Prix Menu]], 0)</f>
        <v>0.66666666666666663</v>
      </c>
      <c r="H199" s="69">
        <f t="shared" ca="1" si="6"/>
        <v>8.3333333333333321</v>
      </c>
      <c r="I199" s="67">
        <f ca="1">IF(tbl_Produits[[#This Row],[Prix Menu]]=0, 0, tbl_Produits[[#This Row],[Coût Moyen Portion]] / tbl_Produits[[#This Row],[Prix Menu]])</f>
        <v>0.33333333333333331</v>
      </c>
      <c r="J199" s="67" t="str" cm="1">
        <f t="array" ref="J199">IFERROR(IF(Total_portions=0, 0, Charges_fixes_totales_periode / Total_portions),"Vérifier")</f>
        <v>Vérifier</v>
      </c>
      <c r="K199" s="131" cm="1">
        <f t="array" aca="1" ref="K199" ca="1">IFERROR(tbl_Produits[[#This Row],[Prix Menu]] - tbl_Produits[[#This Row],[Coût Moyen Portion]] - ChargesFixesPar_Portion[Charges fixes par portion],"Vérifier")</f>
        <v>-10767</v>
      </c>
      <c r="L199" s="132" t="str">
        <f ca="1">IF(OR(tbl_Produits[[#This Row],[Food cost % ]]&gt;0.35,tbl_Produits[[#This Row],[% de Chrg Fixe /Prdt]]&gt;0.2),"À améliorer","OK")</f>
        <v>À améliorer</v>
      </c>
      <c r="M19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0" spans="1:13" ht="16.5" customHeight="1" x14ac:dyDescent="0.25">
      <c r="A200" s="29" t="str">
        <f>Référentiels!A200&amp;TEXT(Référentiels!B200,"000")</f>
        <v>CRP016</v>
      </c>
      <c r="B200" s="64" t="str">
        <f>+tbl_ProduitsRef[[#This Row],[Produit]]</f>
        <v>Crêpe fruit de mer</v>
      </c>
      <c r="C200" s="64" t="str">
        <f>IFERROR(INDEX(tbl_ProduitsRef[Famille], MATCH(tbl_Produits[[#This Row],[Cde_Prdt]], tbl_Produits[Cde_Prdt], 0)), "")</f>
        <v>Crêpes &amp; Gaufres</v>
      </c>
      <c r="D200" s="65">
        <f ca="1">SUMIF(tbl_Recettes[Cde_Prdt], tbl_Produits[[#This Row],[Cde_Prdt]], tbl_Recettes[Coût Moyen Portion])</f>
        <v>53</v>
      </c>
      <c r="E200" s="66">
        <f>IFERROR(
   INDEX(tbl_ProduitsRef[Prix Menu],MATCH(B200,tbl_ProduitsRef[Produit],0)),
   ""
)</f>
        <v>45</v>
      </c>
      <c r="F200" s="66">
        <f ca="1">tbl_Produits[[#This Row],[Prix Menu]] - tbl_Produits[[#This Row],[Coût Moyen Portion]]</f>
        <v>-8</v>
      </c>
      <c r="G200" s="67">
        <f ca="1">IF(tbl_Produits[[#This Row],[Prix Menu]]&gt;0, tbl_Produits[[#This Row],[Marge Brute]] / tbl_Produits[[#This Row],[Prix Menu]], 0)</f>
        <v>-0.17777777777777778</v>
      </c>
      <c r="H200" s="69">
        <f t="shared" ca="1" si="6"/>
        <v>-2.8888888888888888</v>
      </c>
      <c r="I200" s="67">
        <f ca="1">IF(tbl_Produits[[#This Row],[Prix Menu]]=0, 0, tbl_Produits[[#This Row],[Coût Moyen Portion]] / tbl_Produits[[#This Row],[Prix Menu]])</f>
        <v>1.1777777777777778</v>
      </c>
      <c r="J200" s="67" t="str" cm="1">
        <f t="array" ref="J200">IFERROR(IF(Total_portions=0, 0, Charges_fixes_totales_periode / Total_portions),"Vérifier")</f>
        <v>Vérifier</v>
      </c>
      <c r="K200" s="131" cm="1">
        <f t="array" aca="1" ref="K200" ca="1">IFERROR(tbl_Produits[[#This Row],[Prix Menu]] - tbl_Produits[[#This Row],[Coût Moyen Portion]] - ChargesFixesPar_Portion[Charges fixes par portion],"Vérifier")</f>
        <v>-10795</v>
      </c>
      <c r="L200" s="132" t="str">
        <f ca="1">IF(OR(tbl_Produits[[#This Row],[Food cost % ]]&gt;0.35,tbl_Produits[[#This Row],[% de Chrg Fixe /Prdt]]&gt;0.2),"À améliorer","OK")</f>
        <v>À améliorer</v>
      </c>
      <c r="M20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1" spans="1:13" ht="16.5" customHeight="1" x14ac:dyDescent="0.25">
      <c r="A201" s="29" t="str">
        <f>Référentiels!A201&amp;TEXT(Référentiels!B201,"000")</f>
        <v>CRP017</v>
      </c>
      <c r="B201" s="64" t="str">
        <f>+tbl_ProduitsRef[[#This Row],[Produit]]</f>
        <v>Crêpe viande hachée</v>
      </c>
      <c r="C201" s="64" t="str">
        <f>IFERROR(INDEX(tbl_ProduitsRef[Famille], MATCH(tbl_Produits[[#This Row],[Cde_Prdt]], tbl_Produits[Cde_Prdt], 0)), "")</f>
        <v>Crêpes &amp; Gaufres</v>
      </c>
      <c r="D201" s="65">
        <f ca="1">SUMIF(tbl_Recettes[Cde_Prdt], tbl_Produits[[#This Row],[Cde_Prdt]], tbl_Recettes[Coût Moyen Portion])</f>
        <v>19.020000000000003</v>
      </c>
      <c r="E201" s="66">
        <f>IFERROR(
   INDEX(tbl_ProduitsRef[Prix Menu],MATCH(B201,tbl_ProduitsRef[Produit],0)),
   ""
)</f>
        <v>40</v>
      </c>
      <c r="F201" s="66">
        <f ca="1">tbl_Produits[[#This Row],[Prix Menu]] - tbl_Produits[[#This Row],[Coût Moyen Portion]]</f>
        <v>20.979999999999997</v>
      </c>
      <c r="G201" s="67">
        <f ca="1">IF(tbl_Produits[[#This Row],[Prix Menu]]&gt;0, tbl_Produits[[#This Row],[Marge Brute]] / tbl_Produits[[#This Row],[Prix Menu]], 0)</f>
        <v>0.52449999999999997</v>
      </c>
      <c r="H201" s="69">
        <f t="shared" ca="1" si="6"/>
        <v>7.8674999999999988</v>
      </c>
      <c r="I201" s="67">
        <f ca="1">IF(tbl_Produits[[#This Row],[Prix Menu]]=0, 0, tbl_Produits[[#This Row],[Coût Moyen Portion]] / tbl_Produits[[#This Row],[Prix Menu]])</f>
        <v>0.47550000000000009</v>
      </c>
      <c r="J201" s="67" t="str" cm="1">
        <f t="array" ref="J201">IFERROR(IF(Total_portions=0, 0, Charges_fixes_totales_periode / Total_portions),"Vérifier")</f>
        <v>Vérifier</v>
      </c>
      <c r="K201" s="131" cm="1">
        <f t="array" aca="1" ref="K201" ca="1">IFERROR(tbl_Produits[[#This Row],[Prix Menu]] - tbl_Produits[[#This Row],[Coût Moyen Portion]] - ChargesFixesPar_Portion[Charges fixes par portion],"Vérifier")</f>
        <v>-10766.02</v>
      </c>
      <c r="L201" s="132" t="str">
        <f ca="1">IF(OR(tbl_Produits[[#This Row],[Food cost % ]]&gt;0.35,tbl_Produits[[#This Row],[% de Chrg Fixe /Prdt]]&gt;0.2),"À améliorer","OK")</f>
        <v>À améliorer</v>
      </c>
      <c r="M20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2" spans="1:13" ht="16.5" customHeight="1" x14ac:dyDescent="0.25">
      <c r="A202" s="29" t="str">
        <f>Référentiels!A202&amp;TEXT(Référentiels!B202,"000")</f>
        <v>CRP018</v>
      </c>
      <c r="B202" s="64" t="str">
        <f>+tbl_ProduitsRef[[#This Row],[Produit]]</f>
        <v>Crêpe poulet champignon</v>
      </c>
      <c r="C202" s="64" t="str">
        <f>IFERROR(INDEX(tbl_ProduitsRef[Famille], MATCH(tbl_Produits[[#This Row],[Cde_Prdt]], tbl_Produits[Cde_Prdt], 0)), "")</f>
        <v>Crêpes &amp; Gaufres</v>
      </c>
      <c r="D202" s="65">
        <f ca="1">SUMIF(tbl_Recettes[Cde_Prdt], tbl_Produits[[#This Row],[Cde_Prdt]], tbl_Recettes[Coût Moyen Portion])</f>
        <v>24.72</v>
      </c>
      <c r="E202" s="66">
        <f>IFERROR(
   INDEX(tbl_ProduitsRef[Prix Menu],MATCH(B202,tbl_ProduitsRef[Produit],0)),
   ""
)</f>
        <v>35</v>
      </c>
      <c r="F202" s="66">
        <f ca="1">tbl_Produits[[#This Row],[Prix Menu]] - tbl_Produits[[#This Row],[Coût Moyen Portion]]</f>
        <v>10.280000000000001</v>
      </c>
      <c r="G202" s="67">
        <f ca="1">IF(tbl_Produits[[#This Row],[Prix Menu]]&gt;0, tbl_Produits[[#This Row],[Marge Brute]] / tbl_Produits[[#This Row],[Prix Menu]], 0)</f>
        <v>0.29371428571428576</v>
      </c>
      <c r="H202" s="69">
        <f t="shared" ca="1" si="6"/>
        <v>4.0385714285714291</v>
      </c>
      <c r="I202" s="67">
        <f ca="1">IF(tbl_Produits[[#This Row],[Prix Menu]]=0, 0, tbl_Produits[[#This Row],[Coût Moyen Portion]] / tbl_Produits[[#This Row],[Prix Menu]])</f>
        <v>0.70628571428571429</v>
      </c>
      <c r="J202" s="67" t="str" cm="1">
        <f t="array" ref="J202">IFERROR(IF(Total_portions=0, 0, Charges_fixes_totales_periode / Total_portions),"Vérifier")</f>
        <v>Vérifier</v>
      </c>
      <c r="K202" s="131" cm="1">
        <f t="array" aca="1" ref="K202" ca="1">IFERROR(tbl_Produits[[#This Row],[Prix Menu]] - tbl_Produits[[#This Row],[Coût Moyen Portion]] - ChargesFixesPar_Portion[Charges fixes par portion],"Vérifier")</f>
        <v>-10776.72</v>
      </c>
      <c r="L202" s="132" t="str">
        <f ca="1">IF(OR(tbl_Produits[[#This Row],[Food cost % ]]&gt;0.35,tbl_Produits[[#This Row],[% de Chrg Fixe /Prdt]]&gt;0.2),"À améliorer","OK")</f>
        <v>À améliorer</v>
      </c>
      <c r="M20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3" spans="1:13" ht="16.5" customHeight="1" x14ac:dyDescent="0.25">
      <c r="A203" s="29" t="str">
        <f>Référentiels!A203&amp;TEXT(Référentiels!B203,"000")</f>
        <v>CRP019</v>
      </c>
      <c r="B203" s="64" t="str">
        <f>+tbl_ProduitsRef[[#This Row],[Produit]]</f>
        <v>Crêpe fromage</v>
      </c>
      <c r="C203" s="64" t="str">
        <f>IFERROR(INDEX(tbl_ProduitsRef[Famille], MATCH(tbl_Produits[[#This Row],[Cde_Prdt]], tbl_Produits[Cde_Prdt], 0)), "")</f>
        <v>Crêpes &amp; Gaufres</v>
      </c>
      <c r="D203" s="65">
        <f ca="1">SUMIF(tbl_Recettes[Cde_Prdt], tbl_Produits[[#This Row],[Cde_Prdt]], tbl_Recettes[Coût Moyen Portion])</f>
        <v>16.84</v>
      </c>
      <c r="E203" s="66">
        <f>IFERROR(
   INDEX(tbl_ProduitsRef[Prix Menu],MATCH(B203,tbl_ProduitsRef[Produit],0)),
   ""
)</f>
        <v>35</v>
      </c>
      <c r="F203" s="66">
        <f ca="1">tbl_Produits[[#This Row],[Prix Menu]] - tbl_Produits[[#This Row],[Coût Moyen Portion]]</f>
        <v>18.16</v>
      </c>
      <c r="G203" s="67">
        <f ca="1">IF(tbl_Produits[[#This Row],[Prix Menu]]&gt;0, tbl_Produits[[#This Row],[Marge Brute]] / tbl_Produits[[#This Row],[Prix Menu]], 0)</f>
        <v>0.51885714285714291</v>
      </c>
      <c r="H203" s="69">
        <f t="shared" ca="1" si="6"/>
        <v>7.1342857142857143</v>
      </c>
      <c r="I203" s="67">
        <f ca="1">IF(tbl_Produits[[#This Row],[Prix Menu]]=0, 0, tbl_Produits[[#This Row],[Coût Moyen Portion]] / tbl_Produits[[#This Row],[Prix Menu]])</f>
        <v>0.48114285714285715</v>
      </c>
      <c r="J203" s="67" t="str" cm="1">
        <f t="array" ref="J203">IFERROR(IF(Total_portions=0, 0, Charges_fixes_totales_periode / Total_portions),"Vérifier")</f>
        <v>Vérifier</v>
      </c>
      <c r="K203" s="131" cm="1">
        <f t="array" aca="1" ref="K203" ca="1">IFERROR(tbl_Produits[[#This Row],[Prix Menu]] - tbl_Produits[[#This Row],[Coût Moyen Portion]] - ChargesFixesPar_Portion[Charges fixes par portion],"Vérifier")</f>
        <v>-10768.84</v>
      </c>
      <c r="L203" s="132" t="str">
        <f ca="1">IF(OR(tbl_Produits[[#This Row],[Food cost % ]]&gt;0.35,tbl_Produits[[#This Row],[% de Chrg Fixe /Prdt]]&gt;0.2),"À améliorer","OK")</f>
        <v>À améliorer</v>
      </c>
      <c r="M20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4" spans="1:13" ht="16.5" customHeight="1" x14ac:dyDescent="0.25">
      <c r="A204" s="29" t="str">
        <f>Référentiels!A204&amp;TEXT(Référentiels!B204,"000")</f>
        <v>CRP020</v>
      </c>
      <c r="B204" s="64" t="str">
        <f>+tbl_ProduitsRef[[#This Row],[Produit]]</f>
        <v>Crêpe dinde fumée</v>
      </c>
      <c r="C204" s="64" t="str">
        <f>IFERROR(INDEX(tbl_ProduitsRef[Famille], MATCH(tbl_Produits[[#This Row],[Cde_Prdt]], tbl_Produits[Cde_Prdt], 0)), "")</f>
        <v>Crêpes &amp; Gaufres</v>
      </c>
      <c r="D204" s="65">
        <f ca="1">SUMIF(tbl_Recettes[Cde_Prdt], tbl_Produits[[#This Row],[Cde_Prdt]], tbl_Recettes[Coût Moyen Portion])</f>
        <v>26.32</v>
      </c>
      <c r="E204" s="66">
        <f>IFERROR(
   INDEX(tbl_ProduitsRef[Prix Menu],MATCH(B204,tbl_ProduitsRef[Produit],0)),
   ""
)</f>
        <v>35</v>
      </c>
      <c r="F204" s="66">
        <f ca="1">tbl_Produits[[#This Row],[Prix Menu]] - tbl_Produits[[#This Row],[Coût Moyen Portion]]</f>
        <v>8.68</v>
      </c>
      <c r="G204" s="67">
        <f ca="1">IF(tbl_Produits[[#This Row],[Prix Menu]]&gt;0, tbl_Produits[[#This Row],[Marge Brute]] / tbl_Produits[[#This Row],[Prix Menu]], 0)</f>
        <v>0.248</v>
      </c>
      <c r="H204" s="69">
        <f t="shared" ca="1" si="6"/>
        <v>3.41</v>
      </c>
      <c r="I204" s="67">
        <f ca="1">IF(tbl_Produits[[#This Row],[Prix Menu]]=0, 0, tbl_Produits[[#This Row],[Coût Moyen Portion]] / tbl_Produits[[#This Row],[Prix Menu]])</f>
        <v>0.752</v>
      </c>
      <c r="J204" s="67" t="str" cm="1">
        <f t="array" ref="J204">IFERROR(IF(Total_portions=0, 0, Charges_fixes_totales_periode / Total_portions),"Vérifier")</f>
        <v>Vérifier</v>
      </c>
      <c r="K204" s="131" cm="1">
        <f t="array" aca="1" ref="K204" ca="1">IFERROR(tbl_Produits[[#This Row],[Prix Menu]] - tbl_Produits[[#This Row],[Coût Moyen Portion]] - ChargesFixesPar_Portion[Charges fixes par portion],"Vérifier")</f>
        <v>-10778.32</v>
      </c>
      <c r="L204" s="132" t="str">
        <f ca="1">IF(OR(tbl_Produits[[#This Row],[Food cost % ]]&gt;0.35,tbl_Produits[[#This Row],[% de Chrg Fixe /Prdt]]&gt;0.2),"À améliorer","OK")</f>
        <v>À améliorer</v>
      </c>
      <c r="M20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05" spans="1:13" ht="16.5" customHeight="1" x14ac:dyDescent="0.25">
      <c r="A205" s="29" t="str">
        <f>Référentiels!A205&amp;TEXT(Référentiels!B205,"000")</f>
        <v>BCH001</v>
      </c>
      <c r="B205" s="64" t="str">
        <f>+tbl_ProduitsRef[[#This Row],[Produit]]</f>
        <v>Nespresso</v>
      </c>
      <c r="C205" s="64" t="str">
        <f>IFERROR(INDEX(tbl_ProduitsRef[Famille], MATCH(tbl_Produits[[#This Row],[Cde_Prdt]], tbl_Produits[Cde_Prdt], 0)), "")</f>
        <v>Boissons chaudes</v>
      </c>
      <c r="D205" s="65">
        <f ca="1">SUMIF(tbl_Recettes[Cde_Prdt], tbl_Produits[[#This Row],[Cde_Prdt]], tbl_Recettes[Coût Moyen Portion])</f>
        <v>11</v>
      </c>
      <c r="E205" s="66">
        <f>IFERROR(
   INDEX(tbl_ProduitsRef[Prix Menu],MATCH(B205,tbl_ProduitsRef[Produit],0)),
   ""
)</f>
        <v>18</v>
      </c>
      <c r="F205" s="66">
        <f ca="1">tbl_Produits[[#This Row],[Prix Menu]] - tbl_Produits[[#This Row],[Coût Moyen Portion]]</f>
        <v>7</v>
      </c>
      <c r="G205" s="67">
        <f ca="1">IF(tbl_Produits[[#This Row],[Prix Menu]]&gt;0, tbl_Produits[[#This Row],[Marge Brute]] / tbl_Produits[[#This Row],[Prix Menu]], 0)</f>
        <v>0.3888888888888889</v>
      </c>
      <c r="H205" s="69">
        <f t="shared" ca="1" si="6"/>
        <v>3.6944444444444446</v>
      </c>
      <c r="I205" s="67">
        <f ca="1">IF(tbl_Produits[[#This Row],[Prix Menu]]=0, 0, tbl_Produits[[#This Row],[Coût Moyen Portion]] / tbl_Produits[[#This Row],[Prix Menu]])</f>
        <v>0.61111111111111116</v>
      </c>
      <c r="J205" s="67" t="str" cm="1">
        <f t="array" ref="J205">IFERROR(IF(Total_portions=0, 0, Charges_fixes_totales_periode / Total_portions),"Vérifier")</f>
        <v>Vérifier</v>
      </c>
      <c r="K205" s="131" cm="1">
        <f t="array" aca="1" ref="K205" ca="1">IFERROR(tbl_Produits[[#This Row],[Prix Menu]] - tbl_Produits[[#This Row],[Coût Moyen Portion]] - ChargesFixesPar_Portion[Charges fixes par portion],"Vérifier")</f>
        <v>-10780</v>
      </c>
      <c r="L205" s="132" t="str">
        <f ca="1">IF(OR(tbl_Produits[[#This Row],[Food cost % ]]&gt;0.35,tbl_Produits[[#This Row],[% de Chrg Fixe /Prdt]]&gt;0.2),"À améliorer","OK")</f>
        <v>À améliorer</v>
      </c>
      <c r="M205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06" spans="1:13" ht="16.5" customHeight="1" x14ac:dyDescent="0.25">
      <c r="A206" s="29" t="str">
        <f>Référentiels!A206&amp;TEXT(Référentiels!B206,"000")</f>
        <v>BCH002</v>
      </c>
      <c r="B206" s="64" t="str">
        <f>+tbl_ProduitsRef[[#This Row],[Produit]]</f>
        <v>Nespresso Double</v>
      </c>
      <c r="C206" s="64" t="str">
        <f>IFERROR(INDEX(tbl_ProduitsRef[Famille], MATCH(tbl_Produits[[#This Row],[Cde_Prdt]], tbl_Produits[Cde_Prdt], 0)), "")</f>
        <v>Boissons chaudes</v>
      </c>
      <c r="D206" s="65">
        <f ca="1">SUMIF(tbl_Recettes[Cde_Prdt], tbl_Produits[[#This Row],[Cde_Prdt]], tbl_Recettes[Coût Moyen Portion])</f>
        <v>22</v>
      </c>
      <c r="E206" s="66">
        <f>IFERROR(
   INDEX(tbl_ProduitsRef[Prix Menu],MATCH(B206,tbl_ProduitsRef[Produit],0)),
   ""
)</f>
        <v>24</v>
      </c>
      <c r="F206" s="66">
        <f ca="1">tbl_Produits[[#This Row],[Prix Menu]] - tbl_Produits[[#This Row],[Coût Moyen Portion]]</f>
        <v>2</v>
      </c>
      <c r="G206" s="67">
        <f ca="1">IF(tbl_Produits[[#This Row],[Prix Menu]]&gt;0, tbl_Produits[[#This Row],[Marge Brute]] / tbl_Produits[[#This Row],[Prix Menu]], 0)</f>
        <v>8.3333333333333329E-2</v>
      </c>
      <c r="H206" s="69">
        <f t="shared" ca="1" si="6"/>
        <v>0.91666666666666663</v>
      </c>
      <c r="I206" s="67">
        <f ca="1">IF(tbl_Produits[[#This Row],[Prix Menu]]=0, 0, tbl_Produits[[#This Row],[Coût Moyen Portion]] / tbl_Produits[[#This Row],[Prix Menu]])</f>
        <v>0.91666666666666663</v>
      </c>
      <c r="J206" s="67" t="str" cm="1">
        <f t="array" ref="J206">IFERROR(IF(Total_portions=0, 0, Charges_fixes_totales_periode / Total_portions),"Vérifier")</f>
        <v>Vérifier</v>
      </c>
      <c r="K206" s="131" cm="1">
        <f t="array" aca="1" ref="K206" ca="1">IFERROR(tbl_Produits[[#This Row],[Prix Menu]] - tbl_Produits[[#This Row],[Coût Moyen Portion]] - ChargesFixesPar_Portion[Charges fixes par portion],"Vérifier")</f>
        <v>-10785</v>
      </c>
      <c r="L206" s="132" t="str">
        <f ca="1">IF(OR(tbl_Produits[[#This Row],[Food cost % ]]&gt;0.35,tbl_Produits[[#This Row],[% de Chrg Fixe /Prdt]]&gt;0.2),"À améliorer","OK")</f>
        <v>À améliorer</v>
      </c>
      <c r="M206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07" spans="1:13" ht="16.5" customHeight="1" x14ac:dyDescent="0.25">
      <c r="A207" s="29" t="str">
        <f>Référentiels!A207&amp;TEXT(Référentiels!B207,"000")</f>
        <v>BCH003</v>
      </c>
      <c r="B207" s="64" t="str">
        <f>+tbl_ProduitsRef[[#This Row],[Produit]]</f>
        <v>Nespresso Aromatisé</v>
      </c>
      <c r="C207" s="64" t="str">
        <f>IFERROR(INDEX(tbl_ProduitsRef[Famille], MATCH(tbl_Produits[[#This Row],[Cde_Prdt]], tbl_Produits[Cde_Prdt], 0)), "")</f>
        <v>Boissons chaudes</v>
      </c>
      <c r="D207" s="65">
        <f ca="1">SUMIF(tbl_Recettes[Cde_Prdt], tbl_Produits[[#This Row],[Cde_Prdt]], tbl_Recettes[Coût Moyen Portion])</f>
        <v>11.5</v>
      </c>
      <c r="E207" s="66">
        <f>IFERROR(
   INDEX(tbl_ProduitsRef[Prix Menu],MATCH(B207,tbl_ProduitsRef[Produit],0)),
   ""
)</f>
        <v>22</v>
      </c>
      <c r="F207" s="66">
        <f ca="1">tbl_Produits[[#This Row],[Prix Menu]] - tbl_Produits[[#This Row],[Coût Moyen Portion]]</f>
        <v>10.5</v>
      </c>
      <c r="G207" s="67">
        <f ca="1">IF(tbl_Produits[[#This Row],[Prix Menu]]&gt;0, tbl_Produits[[#This Row],[Marge Brute]] / tbl_Produits[[#This Row],[Prix Menu]], 0)</f>
        <v>0.47727272727272729</v>
      </c>
      <c r="H207" s="69">
        <f t="shared" ca="1" si="6"/>
        <v>5.0113636363636367</v>
      </c>
      <c r="I207" s="67">
        <f ca="1">IF(tbl_Produits[[#This Row],[Prix Menu]]=0, 0, tbl_Produits[[#This Row],[Coût Moyen Portion]] / tbl_Produits[[#This Row],[Prix Menu]])</f>
        <v>0.52272727272727271</v>
      </c>
      <c r="J207" s="67" t="str" cm="1">
        <f t="array" ref="J207">IFERROR(IF(Total_portions=0, 0, Charges_fixes_totales_periode / Total_portions),"Vérifier")</f>
        <v>Vérifier</v>
      </c>
      <c r="K207" s="131" cm="1">
        <f t="array" aca="1" ref="K207" ca="1">IFERROR(tbl_Produits[[#This Row],[Prix Menu]] - tbl_Produits[[#This Row],[Coût Moyen Portion]] - ChargesFixesPar_Portion[Charges fixes par portion],"Vérifier")</f>
        <v>-10776.5</v>
      </c>
      <c r="L207" s="132" t="str">
        <f ca="1">IF(OR(tbl_Produits[[#This Row],[Food cost % ]]&gt;0.35,tbl_Produits[[#This Row],[% de Chrg Fixe /Prdt]]&gt;0.2),"À améliorer","OK")</f>
        <v>À améliorer</v>
      </c>
      <c r="M207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08" spans="1:13" ht="16.5" customHeight="1" x14ac:dyDescent="0.25">
      <c r="A208" s="29" t="str">
        <f>Référentiels!A208&amp;TEXT(Référentiels!B208,"000")</f>
        <v>BCH004</v>
      </c>
      <c r="B208" s="64" t="str">
        <f>+tbl_ProduitsRef[[#This Row],[Produit]]</f>
        <v>Nespresso Au lait</v>
      </c>
      <c r="C208" s="64" t="str">
        <f>IFERROR(INDEX(tbl_ProduitsRef[Famille], MATCH(tbl_Produits[[#This Row],[Cde_Prdt]], tbl_Produits[Cde_Prdt], 0)), "")</f>
        <v>Boissons chaudes</v>
      </c>
      <c r="D208" s="65">
        <f ca="1">SUMIF(tbl_Recettes[Cde_Prdt], tbl_Produits[[#This Row],[Cde_Prdt]], tbl_Recettes[Coût Moyen Portion])</f>
        <v>12.8</v>
      </c>
      <c r="E208" s="66">
        <f>IFERROR(
   INDEX(tbl_ProduitsRef[Prix Menu],MATCH(B208,tbl_ProduitsRef[Produit],0)),
   ""
)</f>
        <v>20</v>
      </c>
      <c r="F208" s="66">
        <f ca="1">tbl_Produits[[#This Row],[Prix Menu]] - tbl_Produits[[#This Row],[Coût Moyen Portion]]</f>
        <v>7.1999999999999993</v>
      </c>
      <c r="G208" s="67">
        <f ca="1">IF(tbl_Produits[[#This Row],[Prix Menu]]&gt;0, tbl_Produits[[#This Row],[Marge Brute]] / tbl_Produits[[#This Row],[Prix Menu]], 0)</f>
        <v>0.36</v>
      </c>
      <c r="H208" s="69">
        <f t="shared" ca="1" si="6"/>
        <v>3.5999999999999996</v>
      </c>
      <c r="I208" s="67">
        <f ca="1">IF(tbl_Produits[[#This Row],[Prix Menu]]=0, 0, tbl_Produits[[#This Row],[Coût Moyen Portion]] / tbl_Produits[[#This Row],[Prix Menu]])</f>
        <v>0.64</v>
      </c>
      <c r="J208" s="67" t="str" cm="1">
        <f t="array" ref="J208">IFERROR(IF(Total_portions=0, 0, Charges_fixes_totales_periode / Total_portions),"Vérifier")</f>
        <v>Vérifier</v>
      </c>
      <c r="K208" s="131" cm="1">
        <f t="array" aca="1" ref="K208" ca="1">IFERROR(tbl_Produits[[#This Row],[Prix Menu]] - tbl_Produits[[#This Row],[Coût Moyen Portion]] - ChargesFixesPar_Portion[Charges fixes par portion],"Vérifier")</f>
        <v>-10779.8</v>
      </c>
      <c r="L208" s="132" t="str">
        <f ca="1">IF(OR(tbl_Produits[[#This Row],[Food cost % ]]&gt;0.35,tbl_Produits[[#This Row],[% de Chrg Fixe /Prdt]]&gt;0.2),"À améliorer","OK")</f>
        <v>À améliorer</v>
      </c>
      <c r="M208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09" spans="1:13" ht="16.5" customHeight="1" x14ac:dyDescent="0.25">
      <c r="A209" s="29" t="str">
        <f>Référentiels!A209&amp;TEXT(Référentiels!B209,"000")</f>
        <v>BCH005</v>
      </c>
      <c r="B209" s="64" t="str">
        <f>+tbl_ProduitsRef[[#This Row],[Produit]]</f>
        <v>Café espresso</v>
      </c>
      <c r="C209" s="64" t="str">
        <f>IFERROR(INDEX(tbl_ProduitsRef[Famille], MATCH(tbl_Produits[[#This Row],[Cde_Prdt]], tbl_Produits[Cde_Prdt], 0)), "")</f>
        <v>Boissons chaudes</v>
      </c>
      <c r="D209" s="65">
        <f ca="1">SUMIF(tbl_Recettes[Cde_Prdt], tbl_Produits[[#This Row],[Cde_Prdt]], tbl_Recettes[Coût Moyen Portion])</f>
        <v>4</v>
      </c>
      <c r="E209" s="66">
        <f>IFERROR(
   INDEX(tbl_ProduitsRef[Prix Menu],MATCH(B209,tbl_ProduitsRef[Produit],0)),
   ""
)</f>
        <v>14</v>
      </c>
      <c r="F209" s="66">
        <f ca="1">tbl_Produits[[#This Row],[Prix Menu]] - tbl_Produits[[#This Row],[Coût Moyen Portion]]</f>
        <v>10</v>
      </c>
      <c r="G209" s="67">
        <f ca="1">IF(tbl_Produits[[#This Row],[Prix Menu]]&gt;0, tbl_Produits[[#This Row],[Marge Brute]] / tbl_Produits[[#This Row],[Prix Menu]], 0)</f>
        <v>0.7142857142857143</v>
      </c>
      <c r="H209" s="69">
        <f t="shared" ca="1" si="6"/>
        <v>6.0714285714285712</v>
      </c>
      <c r="I209" s="67">
        <f ca="1">IF(tbl_Produits[[#This Row],[Prix Menu]]=0, 0, tbl_Produits[[#This Row],[Coût Moyen Portion]] / tbl_Produits[[#This Row],[Prix Menu]])</f>
        <v>0.2857142857142857</v>
      </c>
      <c r="J209" s="67" t="str" cm="1">
        <f t="array" ref="J209">IFERROR(IF(Total_portions=0, 0, Charges_fixes_totales_periode / Total_portions),"Vérifier")</f>
        <v>Vérifier</v>
      </c>
      <c r="K209" s="131" cm="1">
        <f t="array" aca="1" ref="K209" ca="1">IFERROR(tbl_Produits[[#This Row],[Prix Menu]] - tbl_Produits[[#This Row],[Coût Moyen Portion]] - ChargesFixesPar_Portion[Charges fixes par portion],"Vérifier")</f>
        <v>-10777</v>
      </c>
      <c r="L209" s="132" t="str">
        <f ca="1">IF(OR(tbl_Produits[[#This Row],[Food cost % ]]&gt;0.35,tbl_Produits[[#This Row],[% de Chrg Fixe /Prdt]]&gt;0.2),"À améliorer","OK")</f>
        <v>À améliorer</v>
      </c>
      <c r="M209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10" spans="1:13" ht="16.5" customHeight="1" x14ac:dyDescent="0.25">
      <c r="A210" s="29" t="str">
        <f>Référentiels!A210&amp;TEXT(Référentiels!B210,"000")</f>
        <v>BCH006</v>
      </c>
      <c r="B210" s="64" t="str">
        <f>+tbl_ProduitsRef[[#This Row],[Produit]]</f>
        <v>Café espresso Aromatisé</v>
      </c>
      <c r="C210" s="64" t="str">
        <f>IFERROR(INDEX(tbl_ProduitsRef[Famille], MATCH(tbl_Produits[[#This Row],[Cde_Prdt]], tbl_Produits[Cde_Prdt], 0)), "")</f>
        <v>Boissons chaudes</v>
      </c>
      <c r="D210" s="65">
        <f ca="1">SUMIF(tbl_Recettes[Cde_Prdt], tbl_Produits[[#This Row],[Cde_Prdt]], tbl_Recettes[Coût Moyen Portion])</f>
        <v>4.5</v>
      </c>
      <c r="E210" s="66">
        <f>IFERROR(
   INDEX(tbl_ProduitsRef[Prix Menu],MATCH(B210,tbl_ProduitsRef[Produit],0)),
   ""
)</f>
        <v>18</v>
      </c>
      <c r="F210" s="66">
        <f ca="1">tbl_Produits[[#This Row],[Prix Menu]] - tbl_Produits[[#This Row],[Coût Moyen Portion]]</f>
        <v>13.5</v>
      </c>
      <c r="G210" s="67">
        <f ca="1">IF(tbl_Produits[[#This Row],[Prix Menu]]&gt;0, tbl_Produits[[#This Row],[Marge Brute]] / tbl_Produits[[#This Row],[Prix Menu]], 0)</f>
        <v>0.75</v>
      </c>
      <c r="H210" s="69">
        <f t="shared" ca="1" si="6"/>
        <v>7.125</v>
      </c>
      <c r="I210" s="67">
        <f ca="1">IF(tbl_Produits[[#This Row],[Prix Menu]]=0, 0, tbl_Produits[[#This Row],[Coût Moyen Portion]] / tbl_Produits[[#This Row],[Prix Menu]])</f>
        <v>0.25</v>
      </c>
      <c r="J210" s="67" t="str" cm="1">
        <f t="array" ref="J210">IFERROR(IF(Total_portions=0, 0, Charges_fixes_totales_periode / Total_portions),"Vérifier")</f>
        <v>Vérifier</v>
      </c>
      <c r="K210" s="131" cm="1">
        <f t="array" aca="1" ref="K210" ca="1">IFERROR(tbl_Produits[[#This Row],[Prix Menu]] - tbl_Produits[[#This Row],[Coût Moyen Portion]] - ChargesFixesPar_Portion[Charges fixes par portion],"Vérifier")</f>
        <v>-10773.5</v>
      </c>
      <c r="L210" s="132" t="str">
        <f ca="1">IF(OR(tbl_Produits[[#This Row],[Food cost % ]]&gt;0.35,tbl_Produits[[#This Row],[% de Chrg Fixe /Prdt]]&gt;0.2),"À améliorer","OK")</f>
        <v>À améliorer</v>
      </c>
      <c r="M210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11" spans="1:13" ht="16.5" customHeight="1" x14ac:dyDescent="0.25">
      <c r="A211" s="29" t="str">
        <f>Référentiels!A211&amp;TEXT(Référentiels!B211,"000")</f>
        <v>BCH007</v>
      </c>
      <c r="B211" s="64" t="str">
        <f>+tbl_ProduitsRef[[#This Row],[Produit]]</f>
        <v>Café espresso au Lait Aromatisé</v>
      </c>
      <c r="C211" s="64" t="str">
        <f>IFERROR(INDEX(tbl_ProduitsRef[Famille], MATCH(tbl_Produits[[#This Row],[Cde_Prdt]], tbl_Produits[Cde_Prdt], 0)), "")</f>
        <v>Boissons chaudes</v>
      </c>
      <c r="D211" s="65">
        <f ca="1">SUMIF(tbl_Recettes[Cde_Prdt], tbl_Produits[[#This Row],[Cde_Prdt]], tbl_Recettes[Coût Moyen Portion])</f>
        <v>6.2</v>
      </c>
      <c r="E211" s="66">
        <f>IFERROR(
   INDEX(tbl_ProduitsRef[Prix Menu],MATCH(B211,tbl_ProduitsRef[Produit],0)),
   ""
)</f>
        <v>19</v>
      </c>
      <c r="F211" s="66">
        <f ca="1">tbl_Produits[[#This Row],[Prix Menu]] - tbl_Produits[[#This Row],[Coût Moyen Portion]]</f>
        <v>12.8</v>
      </c>
      <c r="G211" s="67">
        <f ca="1">IF(tbl_Produits[[#This Row],[Prix Menu]]&gt;0, tbl_Produits[[#This Row],[Marge Brute]] / tbl_Produits[[#This Row],[Prix Menu]], 0)</f>
        <v>0.67368421052631577</v>
      </c>
      <c r="H211" s="69">
        <f t="shared" ca="1" si="6"/>
        <v>6.5684210526315789</v>
      </c>
      <c r="I211" s="67">
        <f ca="1">IF(tbl_Produits[[#This Row],[Prix Menu]]=0, 0, tbl_Produits[[#This Row],[Coût Moyen Portion]] / tbl_Produits[[#This Row],[Prix Menu]])</f>
        <v>0.32631578947368423</v>
      </c>
      <c r="J211" s="67" t="str" cm="1">
        <f t="array" ref="J211">IFERROR(IF(Total_portions=0, 0, Charges_fixes_totales_periode / Total_portions),"Vérifier")</f>
        <v>Vérifier</v>
      </c>
      <c r="K211" s="131" cm="1">
        <f t="array" aca="1" ref="K211" ca="1">IFERROR(tbl_Produits[[#This Row],[Prix Menu]] - tbl_Produits[[#This Row],[Coût Moyen Portion]] - ChargesFixesPar_Portion[Charges fixes par portion],"Vérifier")</f>
        <v>-10774.2</v>
      </c>
      <c r="L211" s="132" t="str">
        <f ca="1">IF(OR(tbl_Produits[[#This Row],[Food cost % ]]&gt;0.35,tbl_Produits[[#This Row],[% de Chrg Fixe /Prdt]]&gt;0.2),"À améliorer","OK")</f>
        <v>À améliorer</v>
      </c>
      <c r="M211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12" spans="1:13" ht="16.5" customHeight="1" x14ac:dyDescent="0.25">
      <c r="A212" s="29" t="str">
        <f>Référentiels!A212&amp;TEXT(Référentiels!B212,"000")</f>
        <v>BCH008</v>
      </c>
      <c r="B212" s="64" t="str">
        <f>+tbl_ProduitsRef[[#This Row],[Produit]]</f>
        <v>Café espresso au Lait</v>
      </c>
      <c r="C212" s="64" t="str">
        <f>IFERROR(INDEX(tbl_ProduitsRef[Famille], MATCH(tbl_Produits[[#This Row],[Cde_Prdt]], tbl_Produits[Cde_Prdt], 0)), "")</f>
        <v>Boissons chaudes</v>
      </c>
      <c r="D212" s="65">
        <f ca="1">SUMIF(tbl_Recettes[Cde_Prdt], tbl_Produits[[#This Row],[Cde_Prdt]], tbl_Recettes[Coût Moyen Portion])</f>
        <v>5.5</v>
      </c>
      <c r="E212" s="66">
        <f>IFERROR(
   INDEX(tbl_ProduitsRef[Prix Menu],MATCH(B212,tbl_ProduitsRef[Produit],0)),
   ""
)</f>
        <v>17</v>
      </c>
      <c r="F212" s="66">
        <f ca="1">tbl_Produits[[#This Row],[Prix Menu]] - tbl_Produits[[#This Row],[Coût Moyen Portion]]</f>
        <v>11.5</v>
      </c>
      <c r="G212" s="67">
        <f ca="1">IF(tbl_Produits[[#This Row],[Prix Menu]]&gt;0, tbl_Produits[[#This Row],[Marge Brute]] / tbl_Produits[[#This Row],[Prix Menu]], 0)</f>
        <v>0.67647058823529416</v>
      </c>
      <c r="H212" s="69">
        <f t="shared" ca="1" si="6"/>
        <v>6.257352941176471</v>
      </c>
      <c r="I212" s="67">
        <f ca="1">IF(tbl_Produits[[#This Row],[Prix Menu]]=0, 0, tbl_Produits[[#This Row],[Coût Moyen Portion]] / tbl_Produits[[#This Row],[Prix Menu]])</f>
        <v>0.3235294117647059</v>
      </c>
      <c r="J212" s="67" t="str" cm="1">
        <f t="array" ref="J212">IFERROR(IF(Total_portions=0, 0, Charges_fixes_totales_periode / Total_portions),"Vérifier")</f>
        <v>Vérifier</v>
      </c>
      <c r="K212" s="131" cm="1">
        <f t="array" aca="1" ref="K212" ca="1">IFERROR(tbl_Produits[[#This Row],[Prix Menu]] - tbl_Produits[[#This Row],[Coût Moyen Portion]] - ChargesFixesPar_Portion[Charges fixes par portion],"Vérifier")</f>
        <v>-10775.5</v>
      </c>
      <c r="L212" s="132" t="str">
        <f ca="1">IF(OR(tbl_Produits[[#This Row],[Food cost % ]]&gt;0.35,tbl_Produits[[#This Row],[% de Chrg Fixe /Prdt]]&gt;0.2),"À améliorer","OK")</f>
        <v>À améliorer</v>
      </c>
      <c r="M212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13" spans="1:13" ht="16.5" customHeight="1" x14ac:dyDescent="0.25">
      <c r="A213" s="29" t="str">
        <f>Référentiels!A213&amp;TEXT(Référentiels!B213,"000")</f>
        <v>BCH009</v>
      </c>
      <c r="B213" s="64" t="str">
        <f>+tbl_ProduitsRef[[#This Row],[Produit]]</f>
        <v>Café Américain</v>
      </c>
      <c r="C213" s="64" t="str">
        <f>IFERROR(INDEX(tbl_ProduitsRef[Famille], MATCH(tbl_Produits[[#This Row],[Cde_Prdt]], tbl_Produits[Cde_Prdt], 0)), "")</f>
        <v>Boissons chaudes</v>
      </c>
      <c r="D213" s="65">
        <f ca="1">SUMIF(tbl_Recettes[Cde_Prdt], tbl_Produits[[#This Row],[Cde_Prdt]], tbl_Recettes[Coût Moyen Portion])</f>
        <v>8</v>
      </c>
      <c r="E213" s="66">
        <f>IFERROR(
   INDEX(tbl_ProduitsRef[Prix Menu],MATCH(B213,tbl_ProduitsRef[Produit],0)),
   ""
)</f>
        <v>16</v>
      </c>
      <c r="F213" s="66">
        <f ca="1">tbl_Produits[[#This Row],[Prix Menu]] - tbl_Produits[[#This Row],[Coût Moyen Portion]]</f>
        <v>8</v>
      </c>
      <c r="G213" s="67">
        <f ca="1">IF(tbl_Produits[[#This Row],[Prix Menu]]&gt;0, tbl_Produits[[#This Row],[Marge Brute]] / tbl_Produits[[#This Row],[Prix Menu]], 0)</f>
        <v>0.5</v>
      </c>
      <c r="H213" s="69">
        <f t="shared" ca="1" si="6"/>
        <v>4.5</v>
      </c>
      <c r="I213" s="67">
        <f ca="1">IF(tbl_Produits[[#This Row],[Prix Menu]]=0, 0, tbl_Produits[[#This Row],[Coût Moyen Portion]] / tbl_Produits[[#This Row],[Prix Menu]])</f>
        <v>0.5</v>
      </c>
      <c r="J213" s="67" t="str" cm="1">
        <f t="array" ref="J213">IFERROR(IF(Total_portions=0, 0, Charges_fixes_totales_periode / Total_portions),"Vérifier")</f>
        <v>Vérifier</v>
      </c>
      <c r="K213" s="131" cm="1">
        <f t="array" aca="1" ref="K213" ca="1">IFERROR(tbl_Produits[[#This Row],[Prix Menu]] - tbl_Produits[[#This Row],[Coût Moyen Portion]] - ChargesFixesPar_Portion[Charges fixes par portion],"Vérifier")</f>
        <v>-10779</v>
      </c>
      <c r="L213" s="132" t="str">
        <f ca="1">IF(OR(tbl_Produits[[#This Row],[Food cost % ]]&gt;0.35,tbl_Produits[[#This Row],[% de Chrg Fixe /Prdt]]&gt;0.2),"À améliorer","OK")</f>
        <v>À améliorer</v>
      </c>
      <c r="M213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14" spans="1:13" ht="16.5" customHeight="1" x14ac:dyDescent="0.25">
      <c r="A214" s="29" t="str">
        <f>Référentiels!A214&amp;TEXT(Référentiels!B214,"000")</f>
        <v>BCH010</v>
      </c>
      <c r="B214" s="64" t="str">
        <f>+tbl_ProduitsRef[[#This Row],[Produit]]</f>
        <v>Café Américain Aromatisé</v>
      </c>
      <c r="C214" s="64" t="str">
        <f>IFERROR(INDEX(tbl_ProduitsRef[Famille], MATCH(tbl_Produits[[#This Row],[Cde_Prdt]], tbl_Produits[Cde_Prdt], 0)), "")</f>
        <v>Boissons chaudes</v>
      </c>
      <c r="D214" s="65">
        <f ca="1">SUMIF(tbl_Recettes[Cde_Prdt], tbl_Produits[[#This Row],[Cde_Prdt]], tbl_Recettes[Coût Moyen Portion])</f>
        <v>8.4</v>
      </c>
      <c r="E214" s="66">
        <f>IFERROR(
   INDEX(tbl_ProduitsRef[Prix Menu],MATCH(B214,tbl_ProduitsRef[Produit],0)),
   ""
)</f>
        <v>18</v>
      </c>
      <c r="F214" s="66">
        <f ca="1">tbl_Produits[[#This Row],[Prix Menu]] - tbl_Produits[[#This Row],[Coût Moyen Portion]]</f>
        <v>9.6</v>
      </c>
      <c r="G214" s="67">
        <f ca="1">IF(tbl_Produits[[#This Row],[Prix Menu]]&gt;0, tbl_Produits[[#This Row],[Marge Brute]] / tbl_Produits[[#This Row],[Prix Menu]], 0)</f>
        <v>0.53333333333333333</v>
      </c>
      <c r="H214" s="69">
        <f t="shared" ca="1" si="6"/>
        <v>5.0666666666666664</v>
      </c>
      <c r="I214" s="67">
        <f ca="1">IF(tbl_Produits[[#This Row],[Prix Menu]]=0, 0, tbl_Produits[[#This Row],[Coût Moyen Portion]] / tbl_Produits[[#This Row],[Prix Menu]])</f>
        <v>0.46666666666666667</v>
      </c>
      <c r="J214" s="67" t="str" cm="1">
        <f t="array" ref="J214">IFERROR(IF(Total_portions=0, 0, Charges_fixes_totales_periode / Total_portions),"Vérifier")</f>
        <v>Vérifier</v>
      </c>
      <c r="K214" s="131" cm="1">
        <f t="array" aca="1" ref="K214" ca="1">IFERROR(tbl_Produits[[#This Row],[Prix Menu]] - tbl_Produits[[#This Row],[Coût Moyen Portion]] - ChargesFixesPar_Portion[Charges fixes par portion],"Vérifier")</f>
        <v>-10777.4</v>
      </c>
      <c r="L214" s="132" t="str">
        <f ca="1">IF(OR(tbl_Produits[[#This Row],[Food cost % ]]&gt;0.35,tbl_Produits[[#This Row],[% de Chrg Fixe /Prdt]]&gt;0.2),"À améliorer","OK")</f>
        <v>À améliorer</v>
      </c>
      <c r="M214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15" spans="1:13" ht="16.5" customHeight="1" x14ac:dyDescent="0.25">
      <c r="A215" s="29" t="str">
        <f>Référentiels!A215&amp;TEXT(Référentiels!B215,"000")</f>
        <v>BCH011</v>
      </c>
      <c r="B215" s="64" t="str">
        <f>+tbl_ProduitsRef[[#This Row],[Produit]]</f>
        <v>Café Regraga</v>
      </c>
      <c r="C215" s="64" t="str">
        <f>IFERROR(INDEX(tbl_ProduitsRef[Famille], MATCH(tbl_Produits[[#This Row],[Cde_Prdt]], tbl_Produits[Cde_Prdt], 0)), "")</f>
        <v>Boissons chaudes</v>
      </c>
      <c r="D215" s="65">
        <f ca="1">SUMIF(tbl_Recettes[Cde_Prdt], tbl_Produits[[#This Row],[Cde_Prdt]], tbl_Recettes[Coût Moyen Portion])</f>
        <v>12.574999999999999</v>
      </c>
      <c r="E215" s="66">
        <f>IFERROR(
   INDEX(tbl_ProduitsRef[Prix Menu],MATCH(B215,tbl_ProduitsRef[Produit],0)),
   ""
)</f>
        <v>32</v>
      </c>
      <c r="F215" s="66">
        <f ca="1">tbl_Produits[[#This Row],[Prix Menu]] - tbl_Produits[[#This Row],[Coût Moyen Portion]]</f>
        <v>19.425000000000001</v>
      </c>
      <c r="G215" s="67">
        <f ca="1">IF(tbl_Produits[[#This Row],[Prix Menu]]&gt;0, tbl_Produits[[#This Row],[Marge Brute]] / tbl_Produits[[#This Row],[Prix Menu]], 0)</f>
        <v>0.60703125000000002</v>
      </c>
      <c r="H215" s="69">
        <f t="shared" ca="1" si="6"/>
        <v>7.8914062500000002</v>
      </c>
      <c r="I215" s="67">
        <f ca="1">IF(tbl_Produits[[#This Row],[Prix Menu]]=0, 0, tbl_Produits[[#This Row],[Coût Moyen Portion]] / tbl_Produits[[#This Row],[Prix Menu]])</f>
        <v>0.39296874999999998</v>
      </c>
      <c r="J215" s="67" t="str" cm="1">
        <f t="array" ref="J215">IFERROR(IF(Total_portions=0, 0, Charges_fixes_totales_periode / Total_portions),"Vérifier")</f>
        <v>Vérifier</v>
      </c>
      <c r="K215" s="131" cm="1">
        <f t="array" aca="1" ref="K215" ca="1">IFERROR(tbl_Produits[[#This Row],[Prix Menu]] - tbl_Produits[[#This Row],[Coût Moyen Portion]] - ChargesFixesPar_Portion[Charges fixes par portion],"Vérifier")</f>
        <v>-10767.575000000001</v>
      </c>
      <c r="L215" s="132" t="str">
        <f ca="1">IF(OR(tbl_Produits[[#This Row],[Food cost % ]]&gt;0.35,tbl_Produits[[#This Row],[% de Chrg Fixe /Prdt]]&gt;0.2),"À améliorer","OK")</f>
        <v>À améliorer</v>
      </c>
      <c r="M215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16" spans="1:13" ht="16.5" customHeight="1" x14ac:dyDescent="0.25">
      <c r="A216" s="29" t="str">
        <f>Référentiels!A216&amp;TEXT(Référentiels!B216,"000")</f>
        <v>BCH012</v>
      </c>
      <c r="B216" s="64" t="str">
        <f>+tbl_ProduitsRef[[#This Row],[Produit]]</f>
        <v>Cappuccino Viennois</v>
      </c>
      <c r="C216" s="64" t="str">
        <f>IFERROR(INDEX(tbl_ProduitsRef[Famille], MATCH(tbl_Produits[[#This Row],[Cde_Prdt]], tbl_Produits[Cde_Prdt], 0)), "")</f>
        <v>Boissons chaudes</v>
      </c>
      <c r="D216" s="65">
        <f ca="1">SUMIF(tbl_Recettes[Cde_Prdt], tbl_Produits[[#This Row],[Cde_Prdt]], tbl_Recettes[Coût Moyen Portion])</f>
        <v>13.75</v>
      </c>
      <c r="E216" s="66">
        <f>IFERROR(
   INDEX(tbl_ProduitsRef[Prix Menu],MATCH(B216,tbl_ProduitsRef[Produit],0)),
   ""
)</f>
        <v>25</v>
      </c>
      <c r="F216" s="66">
        <f ca="1">tbl_Produits[[#This Row],[Prix Menu]] - tbl_Produits[[#This Row],[Coût Moyen Portion]]</f>
        <v>11.25</v>
      </c>
      <c r="G216" s="67">
        <f ca="1">IF(tbl_Produits[[#This Row],[Prix Menu]]&gt;0, tbl_Produits[[#This Row],[Marge Brute]] / tbl_Produits[[#This Row],[Prix Menu]], 0)</f>
        <v>0.45</v>
      </c>
      <c r="H216" s="69">
        <f t="shared" ca="1" si="6"/>
        <v>5.0625</v>
      </c>
      <c r="I216" s="67">
        <f ca="1">IF(tbl_Produits[[#This Row],[Prix Menu]]=0, 0, tbl_Produits[[#This Row],[Coût Moyen Portion]] / tbl_Produits[[#This Row],[Prix Menu]])</f>
        <v>0.55000000000000004</v>
      </c>
      <c r="J216" s="67" t="str" cm="1">
        <f t="array" ref="J216">IFERROR(IF(Total_portions=0, 0, Charges_fixes_totales_periode / Total_portions),"Vérifier")</f>
        <v>Vérifier</v>
      </c>
      <c r="K216" s="131" cm="1">
        <f t="array" aca="1" ref="K216" ca="1">IFERROR(tbl_Produits[[#This Row],[Prix Menu]] - tbl_Produits[[#This Row],[Coût Moyen Portion]] - ChargesFixesPar_Portion[Charges fixes par portion],"Vérifier")</f>
        <v>-10775.75</v>
      </c>
      <c r="L216" s="132" t="str">
        <f ca="1">IF(OR(tbl_Produits[[#This Row],[Food cost % ]]&gt;0.35,tbl_Produits[[#This Row],[% de Chrg Fixe /Prdt]]&gt;0.2),"À améliorer","OK")</f>
        <v>À améliorer</v>
      </c>
      <c r="M216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17" spans="1:13" ht="16.5" customHeight="1" x14ac:dyDescent="0.25">
      <c r="A217" s="29" t="str">
        <f>Référentiels!A217&amp;TEXT(Référentiels!B217,"000")</f>
        <v>BCH013</v>
      </c>
      <c r="B217" s="64" t="str">
        <f>+tbl_ProduitsRef[[#This Row],[Produit]]</f>
        <v>Cappuccino Italien</v>
      </c>
      <c r="C217" s="64" t="str">
        <f>IFERROR(INDEX(tbl_ProduitsRef[Famille], MATCH(tbl_Produits[[#This Row],[Cde_Prdt]], tbl_Produits[Cde_Prdt], 0)), "")</f>
        <v>Boissons chaudes</v>
      </c>
      <c r="D217" s="65">
        <f ca="1">SUMIF(tbl_Recettes[Cde_Prdt], tbl_Produits[[#This Row],[Cde_Prdt]], tbl_Recettes[Coût Moyen Portion])</f>
        <v>6.5</v>
      </c>
      <c r="E217" s="66">
        <f>IFERROR(
   INDEX(tbl_ProduitsRef[Prix Menu],MATCH(B217,tbl_ProduitsRef[Produit],0)),
   ""
)</f>
        <v>22</v>
      </c>
      <c r="F217" s="66">
        <f ca="1">tbl_Produits[[#This Row],[Prix Menu]] - tbl_Produits[[#This Row],[Coût Moyen Portion]]</f>
        <v>15.5</v>
      </c>
      <c r="G217" s="67">
        <f ca="1">IF(tbl_Produits[[#This Row],[Prix Menu]]&gt;0, tbl_Produits[[#This Row],[Marge Brute]] / tbl_Produits[[#This Row],[Prix Menu]], 0)</f>
        <v>0.70454545454545459</v>
      </c>
      <c r="H217" s="69">
        <f t="shared" ca="1" si="6"/>
        <v>7.3977272727272734</v>
      </c>
      <c r="I217" s="67">
        <f ca="1">IF(tbl_Produits[[#This Row],[Prix Menu]]=0, 0, tbl_Produits[[#This Row],[Coût Moyen Portion]] / tbl_Produits[[#This Row],[Prix Menu]])</f>
        <v>0.29545454545454547</v>
      </c>
      <c r="J217" s="67" t="str" cm="1">
        <f t="array" ref="J217">IFERROR(IF(Total_portions=0, 0, Charges_fixes_totales_periode / Total_portions),"Vérifier")</f>
        <v>Vérifier</v>
      </c>
      <c r="K217" s="131" cm="1">
        <f t="array" aca="1" ref="K217" ca="1">IFERROR(tbl_Produits[[#This Row],[Prix Menu]] - tbl_Produits[[#This Row],[Coût Moyen Portion]] - ChargesFixesPar_Portion[Charges fixes par portion],"Vérifier")</f>
        <v>-10771.5</v>
      </c>
      <c r="L217" s="132" t="str">
        <f ca="1">IF(OR(tbl_Produits[[#This Row],[Food cost % ]]&gt;0.35,tbl_Produits[[#This Row],[% de Chrg Fixe /Prdt]]&gt;0.2),"À améliorer","OK")</f>
        <v>À améliorer</v>
      </c>
      <c r="M217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18" spans="1:13" ht="16.5" customHeight="1" x14ac:dyDescent="0.25">
      <c r="A218" s="29" t="str">
        <f>Référentiels!A218&amp;TEXT(Référentiels!B218,"000")</f>
        <v>BCH014</v>
      </c>
      <c r="B218" s="64" t="str">
        <f>+tbl_ProduitsRef[[#This Row],[Produit]]</f>
        <v>Cappuccino Italien Aromatisé</v>
      </c>
      <c r="C218" s="64" t="str">
        <f>IFERROR(INDEX(tbl_ProduitsRef[Famille], MATCH(tbl_Produits[[#This Row],[Cde_Prdt]], tbl_Produits[Cde_Prdt], 0)), "")</f>
        <v>Boissons chaudes</v>
      </c>
      <c r="D218" s="65">
        <f ca="1">SUMIF(tbl_Recettes[Cde_Prdt], tbl_Produits[[#This Row],[Cde_Prdt]], tbl_Recettes[Coût Moyen Portion])</f>
        <v>6</v>
      </c>
      <c r="E218" s="66">
        <f>IFERROR(
   INDEX(tbl_ProduitsRef[Prix Menu],MATCH(B218,tbl_ProduitsRef[Produit],0)),
   ""
)</f>
        <v>20</v>
      </c>
      <c r="F218" s="66">
        <f ca="1">tbl_Produits[[#This Row],[Prix Menu]] - tbl_Produits[[#This Row],[Coût Moyen Portion]]</f>
        <v>14</v>
      </c>
      <c r="G218" s="67">
        <f ca="1">IF(tbl_Produits[[#This Row],[Prix Menu]]&gt;0, tbl_Produits[[#This Row],[Marge Brute]] / tbl_Produits[[#This Row],[Prix Menu]], 0)</f>
        <v>0.7</v>
      </c>
      <c r="H218" s="69">
        <f t="shared" ca="1" si="6"/>
        <v>7</v>
      </c>
      <c r="I218" s="67">
        <f ca="1">IF(tbl_Produits[[#This Row],[Prix Menu]]=0, 0, tbl_Produits[[#This Row],[Coût Moyen Portion]] / tbl_Produits[[#This Row],[Prix Menu]])</f>
        <v>0.3</v>
      </c>
      <c r="J218" s="67" t="str" cm="1">
        <f t="array" ref="J218">IFERROR(IF(Total_portions=0, 0, Charges_fixes_totales_periode / Total_portions),"Vérifier")</f>
        <v>Vérifier</v>
      </c>
      <c r="K218" s="131" cm="1">
        <f t="array" aca="1" ref="K218" ca="1">IFERROR(tbl_Produits[[#This Row],[Prix Menu]] - tbl_Produits[[#This Row],[Coût Moyen Portion]] - ChargesFixesPar_Portion[Charges fixes par portion],"Vérifier")</f>
        <v>-10773</v>
      </c>
      <c r="L218" s="132" t="str">
        <f ca="1">IF(OR(tbl_Produits[[#This Row],[Food cost % ]]&gt;0.35,tbl_Produits[[#This Row],[% de Chrg Fixe /Prdt]]&gt;0.2),"À améliorer","OK")</f>
        <v>À améliorer</v>
      </c>
      <c r="M218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19" spans="1:13" ht="16.5" customHeight="1" x14ac:dyDescent="0.25">
      <c r="A219" s="29" t="str">
        <f>Référentiels!A219&amp;TEXT(Référentiels!B219,"000")</f>
        <v>BCH015</v>
      </c>
      <c r="B219" s="64" t="str">
        <f>+tbl_ProduitsRef[[#This Row],[Produit]]</f>
        <v>Cappuccino Viennois Aromatisé</v>
      </c>
      <c r="C219" s="64" t="str">
        <f>IFERROR(INDEX(tbl_ProduitsRef[Famille], MATCH(tbl_Produits[[#This Row],[Cde_Prdt]], tbl_Produits[Cde_Prdt], 0)), "")</f>
        <v>Boissons chaudes</v>
      </c>
      <c r="D219" s="65">
        <f ca="1">SUMIF(tbl_Recettes[Cde_Prdt], tbl_Produits[[#This Row],[Cde_Prdt]], tbl_Recettes[Coût Moyen Portion])</f>
        <v>25.799999999999997</v>
      </c>
      <c r="E219" s="66">
        <f>IFERROR(
   INDEX(tbl_ProduitsRef[Prix Menu],MATCH(B219,tbl_ProduitsRef[Produit],0)),
   ""
)</f>
        <v>25</v>
      </c>
      <c r="F219" s="66">
        <f ca="1">tbl_Produits[[#This Row],[Prix Menu]] - tbl_Produits[[#This Row],[Coût Moyen Portion]]</f>
        <v>-0.79999999999999716</v>
      </c>
      <c r="G219" s="67">
        <f ca="1">IF(tbl_Produits[[#This Row],[Prix Menu]]&gt;0, tbl_Produits[[#This Row],[Marge Brute]] / tbl_Produits[[#This Row],[Prix Menu]], 0)</f>
        <v>-3.199999999999989E-2</v>
      </c>
      <c r="H219" s="69">
        <f t="shared" ca="1" si="6"/>
        <v>-0.35999999999999877</v>
      </c>
      <c r="I219" s="67">
        <f ca="1">IF(tbl_Produits[[#This Row],[Prix Menu]]=0, 0, tbl_Produits[[#This Row],[Coût Moyen Portion]] / tbl_Produits[[#This Row],[Prix Menu]])</f>
        <v>1.0319999999999998</v>
      </c>
      <c r="J219" s="67" t="str" cm="1">
        <f t="array" ref="J219">IFERROR(IF(Total_portions=0, 0, Charges_fixes_totales_periode / Total_portions),"Vérifier")</f>
        <v>Vérifier</v>
      </c>
      <c r="K219" s="131" cm="1">
        <f t="array" aca="1" ref="K219" ca="1">IFERROR(tbl_Produits[[#This Row],[Prix Menu]] - tbl_Produits[[#This Row],[Coût Moyen Portion]] - ChargesFixesPar_Portion[Charges fixes par portion],"Vérifier")</f>
        <v>-10787.8</v>
      </c>
      <c r="L219" s="132" t="str">
        <f ca="1">IF(OR(tbl_Produits[[#This Row],[Food cost % ]]&gt;0.35,tbl_Produits[[#This Row],[% de Chrg Fixe /Prdt]]&gt;0.2),"À améliorer","OK")</f>
        <v>À améliorer</v>
      </c>
      <c r="M219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20" spans="1:13" ht="16.5" customHeight="1" x14ac:dyDescent="0.25">
      <c r="A220" s="29" t="str">
        <f>Référentiels!A220&amp;TEXT(Référentiels!B220,"000")</f>
        <v>BCH016</v>
      </c>
      <c r="B220" s="64" t="str">
        <f>+tbl_ProduitsRef[[#This Row],[Produit]]</f>
        <v>Latte macchiato</v>
      </c>
      <c r="C220" s="64" t="str">
        <f>IFERROR(INDEX(tbl_ProduitsRef[Famille], MATCH(tbl_Produits[[#This Row],[Cde_Prdt]], tbl_Produits[Cde_Prdt], 0)), "")</f>
        <v>Boissons chaudes</v>
      </c>
      <c r="D220" s="65">
        <f ca="1">SUMIF(tbl_Recettes[Cde_Prdt], tbl_Produits[[#This Row],[Cde_Prdt]], tbl_Recettes[Coût Moyen Portion])</f>
        <v>13.5</v>
      </c>
      <c r="E220" s="66">
        <f>IFERROR(
   INDEX(tbl_ProduitsRef[Prix Menu],MATCH(B220,tbl_ProduitsRef[Produit],0)),
   ""
)</f>
        <v>20</v>
      </c>
      <c r="F220" s="66">
        <f ca="1">tbl_Produits[[#This Row],[Prix Menu]] - tbl_Produits[[#This Row],[Coût Moyen Portion]]</f>
        <v>6.5</v>
      </c>
      <c r="G220" s="67">
        <f ca="1">IF(tbl_Produits[[#This Row],[Prix Menu]]&gt;0, tbl_Produits[[#This Row],[Marge Brute]] / tbl_Produits[[#This Row],[Prix Menu]], 0)</f>
        <v>0.32500000000000001</v>
      </c>
      <c r="H220" s="69">
        <f t="shared" ca="1" si="6"/>
        <v>3.25</v>
      </c>
      <c r="I220" s="67">
        <f ca="1">IF(tbl_Produits[[#This Row],[Prix Menu]]=0, 0, tbl_Produits[[#This Row],[Coût Moyen Portion]] / tbl_Produits[[#This Row],[Prix Menu]])</f>
        <v>0.67500000000000004</v>
      </c>
      <c r="J220" s="67" t="str" cm="1">
        <f t="array" ref="J220">IFERROR(IF(Total_portions=0, 0, Charges_fixes_totales_periode / Total_portions),"Vérifier")</f>
        <v>Vérifier</v>
      </c>
      <c r="K220" s="131" cm="1">
        <f t="array" aca="1" ref="K220" ca="1">IFERROR(tbl_Produits[[#This Row],[Prix Menu]] - tbl_Produits[[#This Row],[Coût Moyen Portion]] - ChargesFixesPar_Portion[Charges fixes par portion],"Vérifier")</f>
        <v>-10780.5</v>
      </c>
      <c r="L220" s="132" t="str">
        <f ca="1">IF(OR(tbl_Produits[[#This Row],[Food cost % ]]&gt;0.35,tbl_Produits[[#This Row],[% de Chrg Fixe /Prdt]]&gt;0.2),"À améliorer","OK")</f>
        <v>À améliorer</v>
      </c>
      <c r="M220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21" spans="1:13" ht="16.5" customHeight="1" x14ac:dyDescent="0.25">
      <c r="A221" s="29" t="str">
        <f>Référentiels!A221&amp;TEXT(Référentiels!B221,"000")</f>
        <v>BCH017</v>
      </c>
      <c r="B221" s="64" t="str">
        <f>+tbl_ProduitsRef[[#This Row],[Produit]]</f>
        <v xml:space="preserve"> Marroccino</v>
      </c>
      <c r="C221" s="64" t="str">
        <f>IFERROR(INDEX(tbl_ProduitsRef[Famille], MATCH(tbl_Produits[[#This Row],[Cde_Prdt]], tbl_Produits[Cde_Prdt], 0)), "")</f>
        <v>Boissons chaudes</v>
      </c>
      <c r="D221" s="65">
        <f ca="1">SUMIF(tbl_Recettes[Cde_Prdt], tbl_Produits[[#This Row],[Cde_Prdt]], tbl_Recettes[Coût Moyen Portion])</f>
        <v>19.36</v>
      </c>
      <c r="E221" s="66">
        <f>IFERROR(
   INDEX(tbl_ProduitsRef[Prix Menu],MATCH(B221,tbl_ProduitsRef[Produit],0)),
   ""
)</f>
        <v>27</v>
      </c>
      <c r="F221" s="66">
        <f ca="1">tbl_Produits[[#This Row],[Prix Menu]] - tbl_Produits[[#This Row],[Coût Moyen Portion]]</f>
        <v>7.6400000000000006</v>
      </c>
      <c r="G221" s="67">
        <f ca="1">IF(tbl_Produits[[#This Row],[Prix Menu]]&gt;0, tbl_Produits[[#This Row],[Marge Brute]] / tbl_Produits[[#This Row],[Prix Menu]], 0)</f>
        <v>0.28296296296296297</v>
      </c>
      <c r="H221" s="69">
        <f t="shared" ca="1" si="6"/>
        <v>3.3248148148148151</v>
      </c>
      <c r="I221" s="67">
        <f ca="1">IF(tbl_Produits[[#This Row],[Prix Menu]]=0, 0, tbl_Produits[[#This Row],[Coût Moyen Portion]] / tbl_Produits[[#This Row],[Prix Menu]])</f>
        <v>0.71703703703703703</v>
      </c>
      <c r="J221" s="67" t="str" cm="1">
        <f t="array" ref="J221">IFERROR(IF(Total_portions=0, 0, Charges_fixes_totales_periode / Total_portions),"Vérifier")</f>
        <v>Vérifier</v>
      </c>
      <c r="K221" s="131" cm="1">
        <f t="array" aca="1" ref="K221" ca="1">IFERROR(tbl_Produits[[#This Row],[Prix Menu]] - tbl_Produits[[#This Row],[Coût Moyen Portion]] - ChargesFixesPar_Portion[Charges fixes par portion],"Vérifier")</f>
        <v>-10779.36</v>
      </c>
      <c r="L221" s="132" t="str">
        <f ca="1">IF(OR(tbl_Produits[[#This Row],[Food cost % ]]&gt;0.35,tbl_Produits[[#This Row],[% de Chrg Fixe /Prdt]]&gt;0.2),"À améliorer","OK")</f>
        <v>À améliorer</v>
      </c>
      <c r="M221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22" spans="1:13" ht="16.5" customHeight="1" x14ac:dyDescent="0.25">
      <c r="A222" s="29" t="str">
        <f>Référentiels!A222&amp;TEXT(Référentiels!B222,"000")</f>
        <v>BCH018</v>
      </c>
      <c r="B222" s="64" t="str">
        <f>+tbl_ProduitsRef[[#This Row],[Produit]]</f>
        <v>Mocaccino</v>
      </c>
      <c r="C222" s="64" t="str">
        <f>IFERROR(INDEX(tbl_ProduitsRef[Famille], MATCH(tbl_Produits[[#This Row],[Cde_Prdt]], tbl_Produits[Cde_Prdt], 0)), "")</f>
        <v>Boissons chaudes</v>
      </c>
      <c r="D222" s="65">
        <f>SUMIF(tbl_Recettes[Cde_Prdt], tbl_Produits[[#This Row],[Cde_Prdt]], tbl_Recettes[Coût Moyen Portion])</f>
        <v>0</v>
      </c>
      <c r="E222" s="66">
        <f>IFERROR(
   INDEX(tbl_ProduitsRef[Prix Menu],MATCH(B222,tbl_ProduitsRef[Produit],0)),
   ""
)</f>
        <v>27</v>
      </c>
      <c r="F222" s="66">
        <f>tbl_Produits[[#This Row],[Prix Menu]] - tbl_Produits[[#This Row],[Coût Moyen Portion]]</f>
        <v>27</v>
      </c>
      <c r="G222" s="67">
        <f>IF(tbl_Produits[[#This Row],[Prix Menu]]&gt;0, tbl_Produits[[#This Row],[Marge Brute]] / tbl_Produits[[#This Row],[Prix Menu]], 0)</f>
        <v>1</v>
      </c>
      <c r="H222" s="69">
        <f t="shared" si="6"/>
        <v>11.75</v>
      </c>
      <c r="I222" s="67">
        <f>IF(tbl_Produits[[#This Row],[Prix Menu]]=0, 0, tbl_Produits[[#This Row],[Coût Moyen Portion]] / tbl_Produits[[#This Row],[Prix Menu]])</f>
        <v>0</v>
      </c>
      <c r="J222" s="67" t="str" cm="1">
        <f t="array" ref="J222">IFERROR(IF(Total_portions=0, 0, Charges_fixes_totales_periode / Total_portions),"Vérifier")</f>
        <v>Vérifier</v>
      </c>
      <c r="K222" s="131" cm="1">
        <f t="array" ref="K222">IFERROR(tbl_Produits[[#This Row],[Prix Menu]] - tbl_Produits[[#This Row],[Coût Moyen Portion]] - ChargesFixesPar_Portion[Charges fixes par portion],"Vérifier")</f>
        <v>-10760</v>
      </c>
      <c r="L222" s="132" t="str">
        <f>IF(OR(tbl_Produits[[#This Row],[Food cost % ]]&gt;0.35,tbl_Produits[[#This Row],[% de Chrg Fixe /Prdt]]&gt;0.2),"À améliorer","OK")</f>
        <v>À améliorer</v>
      </c>
      <c r="M222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23" spans="1:13" ht="16.5" customHeight="1" x14ac:dyDescent="0.25">
      <c r="A223" s="29" t="str">
        <f>Référentiels!A223&amp;TEXT(Référentiels!B223,"000")</f>
        <v>BCH019</v>
      </c>
      <c r="B223" s="64" t="str">
        <f>+tbl_ProduitsRef[[#This Row],[Produit]]</f>
        <v>Duchesse</v>
      </c>
      <c r="C223" s="64" t="str">
        <f>IFERROR(INDEX(tbl_ProduitsRef[Famille], MATCH(tbl_Produits[[#This Row],[Cde_Prdt]], tbl_Produits[Cde_Prdt], 0)), "")</f>
        <v>Boissons chaudes</v>
      </c>
      <c r="D223" s="65">
        <f>SUMIF(tbl_Recettes[Cde_Prdt], tbl_Produits[[#This Row],[Cde_Prdt]], tbl_Recettes[Coût Moyen Portion])</f>
        <v>0</v>
      </c>
      <c r="E223" s="66">
        <f>IFERROR(
   INDEX(tbl_ProduitsRef[Prix Menu],MATCH(B223,tbl_ProduitsRef[Produit],0)),
   ""
)</f>
        <v>25</v>
      </c>
      <c r="F223" s="66">
        <f>tbl_Produits[[#This Row],[Prix Menu]] - tbl_Produits[[#This Row],[Coût Moyen Portion]]</f>
        <v>25</v>
      </c>
      <c r="G223" s="67">
        <f>IF(tbl_Produits[[#This Row],[Prix Menu]]&gt;0, tbl_Produits[[#This Row],[Marge Brute]] / tbl_Produits[[#This Row],[Prix Menu]], 0)</f>
        <v>1</v>
      </c>
      <c r="H223" s="69">
        <f t="shared" si="6"/>
        <v>11.25</v>
      </c>
      <c r="I223" s="67">
        <f>IF(tbl_Produits[[#This Row],[Prix Menu]]=0, 0, tbl_Produits[[#This Row],[Coût Moyen Portion]] / tbl_Produits[[#This Row],[Prix Menu]])</f>
        <v>0</v>
      </c>
      <c r="J223" s="67" t="str" cm="1">
        <f t="array" ref="J223">IFERROR(IF(Total_portions=0, 0, Charges_fixes_totales_periode / Total_portions),"Vérifier")</f>
        <v>Vérifier</v>
      </c>
      <c r="K223" s="131" cm="1">
        <f t="array" ref="K223">IFERROR(tbl_Produits[[#This Row],[Prix Menu]] - tbl_Produits[[#This Row],[Coût Moyen Portion]] - ChargesFixesPar_Portion[Charges fixes par portion],"Vérifier")</f>
        <v>-10762</v>
      </c>
      <c r="L223" s="132" t="str">
        <f>IF(OR(tbl_Produits[[#This Row],[Food cost % ]]&gt;0.35,tbl_Produits[[#This Row],[% de Chrg Fixe /Prdt]]&gt;0.2),"À améliorer","OK")</f>
        <v>À améliorer</v>
      </c>
      <c r="M223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24" spans="1:13" ht="16.5" customHeight="1" x14ac:dyDescent="0.25">
      <c r="A224" s="29" t="str">
        <f>Référentiels!A224&amp;TEXT(Référentiels!B224,"000")</f>
        <v>BCH020</v>
      </c>
      <c r="B224" s="64" t="str">
        <f>+tbl_ProduitsRef[[#This Row],[Produit]]</f>
        <v>Chocolat chaud Regraga</v>
      </c>
      <c r="C224" s="64" t="str">
        <f>IFERROR(INDEX(tbl_ProduitsRef[Famille], MATCH(tbl_Produits[[#This Row],[Cde_Prdt]], tbl_Produits[Cde_Prdt], 0)), "")</f>
        <v>Boissons chaudes</v>
      </c>
      <c r="D224" s="65">
        <f ca="1">SUMIF(tbl_Recettes[Cde_Prdt], tbl_Produits[[#This Row],[Cde_Prdt]], tbl_Recettes[Coût Moyen Portion])</f>
        <v>26.75</v>
      </c>
      <c r="E224" s="66">
        <f>IFERROR(
   INDEX(tbl_ProduitsRef[Prix Menu],MATCH(B224,tbl_ProduitsRef[Produit],0)),
   ""
)</f>
        <v>29</v>
      </c>
      <c r="F224" s="66">
        <f ca="1">tbl_Produits[[#This Row],[Prix Menu]] - tbl_Produits[[#This Row],[Coût Moyen Portion]]</f>
        <v>2.25</v>
      </c>
      <c r="G224" s="67">
        <f ca="1">IF(tbl_Produits[[#This Row],[Prix Menu]]&gt;0, tbl_Produits[[#This Row],[Marge Brute]] / tbl_Produits[[#This Row],[Prix Menu]], 0)</f>
        <v>7.7586206896551727E-2</v>
      </c>
      <c r="H224" s="69">
        <f t="shared" ca="1" si="6"/>
        <v>0.95043103448275867</v>
      </c>
      <c r="I224" s="67">
        <f ca="1">IF(tbl_Produits[[#This Row],[Prix Menu]]=0, 0, tbl_Produits[[#This Row],[Coût Moyen Portion]] / tbl_Produits[[#This Row],[Prix Menu]])</f>
        <v>0.92241379310344829</v>
      </c>
      <c r="J224" s="67" t="str" cm="1">
        <f t="array" ref="J224">IFERROR(IF(Total_portions=0, 0, Charges_fixes_totales_periode / Total_portions),"Vérifier")</f>
        <v>Vérifier</v>
      </c>
      <c r="K224" s="131" cm="1">
        <f t="array" aca="1" ref="K224" ca="1">IFERROR(tbl_Produits[[#This Row],[Prix Menu]] - tbl_Produits[[#This Row],[Coût Moyen Portion]] - ChargesFixesPar_Portion[Charges fixes par portion],"Vérifier")</f>
        <v>-10784.75</v>
      </c>
      <c r="L224" s="132" t="str">
        <f ca="1">IF(OR(tbl_Produits[[#This Row],[Food cost % ]]&gt;0.35,tbl_Produits[[#This Row],[% de Chrg Fixe /Prdt]]&gt;0.2),"À améliorer","OK")</f>
        <v>À améliorer</v>
      </c>
      <c r="M224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25" spans="1:13" ht="16.5" customHeight="1" x14ac:dyDescent="0.25">
      <c r="A225" s="29" t="str">
        <f>Référentiels!A225&amp;TEXT(Référentiels!B225,"000")</f>
        <v>BCH021</v>
      </c>
      <c r="B225" s="64" t="str">
        <f>+tbl_ProduitsRef[[#This Row],[Produit]]</f>
        <v>Chocolat chaud Nutty</v>
      </c>
      <c r="C225" s="64" t="str">
        <f>IFERROR(INDEX(tbl_ProduitsRef[Famille], MATCH(tbl_Produits[[#This Row],[Cde_Prdt]], tbl_Produits[Cde_Prdt], 0)), "")</f>
        <v>Boissons chaudes</v>
      </c>
      <c r="D225" s="65">
        <f ca="1">SUMIF(tbl_Recettes[Cde_Prdt], tbl_Produits[[#This Row],[Cde_Prdt]], tbl_Recettes[Coût Moyen Portion])</f>
        <v>13.5</v>
      </c>
      <c r="E225" s="66">
        <f>IFERROR(
   INDEX(tbl_ProduitsRef[Prix Menu],MATCH(B225,tbl_ProduitsRef[Produit],0)),
   ""
)</f>
        <v>28</v>
      </c>
      <c r="F225" s="66">
        <f ca="1">tbl_Produits[[#This Row],[Prix Menu]] - tbl_Produits[[#This Row],[Coût Moyen Portion]]</f>
        <v>14.5</v>
      </c>
      <c r="G225" s="67">
        <f ca="1">IF(tbl_Produits[[#This Row],[Prix Menu]]&gt;0, tbl_Produits[[#This Row],[Marge Brute]] / tbl_Produits[[#This Row],[Prix Menu]], 0)</f>
        <v>0.5178571428571429</v>
      </c>
      <c r="H225" s="69">
        <f t="shared" ca="1" si="6"/>
        <v>6.2142857142857144</v>
      </c>
      <c r="I225" s="67">
        <f ca="1">IF(tbl_Produits[[#This Row],[Prix Menu]]=0, 0, tbl_Produits[[#This Row],[Coût Moyen Portion]] / tbl_Produits[[#This Row],[Prix Menu]])</f>
        <v>0.48214285714285715</v>
      </c>
      <c r="J225" s="67" t="str" cm="1">
        <f t="array" ref="J225">IFERROR(IF(Total_portions=0, 0, Charges_fixes_totales_periode / Total_portions),"Vérifier")</f>
        <v>Vérifier</v>
      </c>
      <c r="K225" s="131" cm="1">
        <f t="array" aca="1" ref="K225" ca="1">IFERROR(tbl_Produits[[#This Row],[Prix Menu]] - tbl_Produits[[#This Row],[Coût Moyen Portion]] - ChargesFixesPar_Portion[Charges fixes par portion],"Vérifier")</f>
        <v>-10772.5</v>
      </c>
      <c r="L225" s="132" t="str">
        <f ca="1">IF(OR(tbl_Produits[[#This Row],[Food cost % ]]&gt;0.35,tbl_Produits[[#This Row],[% de Chrg Fixe /Prdt]]&gt;0.2),"À améliorer","OK")</f>
        <v>À améliorer</v>
      </c>
      <c r="M225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26" spans="1:13" ht="16.5" customHeight="1" x14ac:dyDescent="0.25">
      <c r="A226" s="29" t="str">
        <f>Référentiels!A226&amp;TEXT(Référentiels!B226,"000")</f>
        <v>BCH022</v>
      </c>
      <c r="B226" s="64" t="str">
        <f>+tbl_ProduitsRef[[#This Row],[Produit]]</f>
        <v>Chocolat chaud Viennois</v>
      </c>
      <c r="C226" s="64" t="str">
        <f>IFERROR(INDEX(tbl_ProduitsRef[Famille], MATCH(tbl_Produits[[#This Row],[Cde_Prdt]], tbl_Produits[Cde_Prdt], 0)), "")</f>
        <v>Boissons chaudes</v>
      </c>
      <c r="D226" s="65">
        <f ca="1">SUMIF(tbl_Recettes[Cde_Prdt], tbl_Produits[[#This Row],[Cde_Prdt]], tbl_Recettes[Coût Moyen Portion])</f>
        <v>12.75</v>
      </c>
      <c r="E226" s="66">
        <f>IFERROR(
   INDEX(tbl_ProduitsRef[Prix Menu],MATCH(B226,tbl_ProduitsRef[Produit],0)),
   ""
)</f>
        <v>23</v>
      </c>
      <c r="F226" s="66">
        <f ca="1">tbl_Produits[[#This Row],[Prix Menu]] - tbl_Produits[[#This Row],[Coût Moyen Portion]]</f>
        <v>10.25</v>
      </c>
      <c r="G226" s="67">
        <f ca="1">IF(tbl_Produits[[#This Row],[Prix Menu]]&gt;0, tbl_Produits[[#This Row],[Marge Brute]] / tbl_Produits[[#This Row],[Prix Menu]], 0)</f>
        <v>0.44565217391304346</v>
      </c>
      <c r="H226" s="69">
        <f t="shared" ca="1" si="6"/>
        <v>4.7907608695652169</v>
      </c>
      <c r="I226" s="67">
        <f ca="1">IF(tbl_Produits[[#This Row],[Prix Menu]]=0, 0, tbl_Produits[[#This Row],[Coût Moyen Portion]] / tbl_Produits[[#This Row],[Prix Menu]])</f>
        <v>0.55434782608695654</v>
      </c>
      <c r="J226" s="67" t="str" cm="1">
        <f t="array" ref="J226">IFERROR(IF(Total_portions=0, 0, Charges_fixes_totales_periode / Total_portions),"Vérifier")</f>
        <v>Vérifier</v>
      </c>
      <c r="K226" s="131" cm="1">
        <f t="array" aca="1" ref="K226" ca="1">IFERROR(tbl_Produits[[#This Row],[Prix Menu]] - tbl_Produits[[#This Row],[Coût Moyen Portion]] - ChargesFixesPar_Portion[Charges fixes par portion],"Vérifier")</f>
        <v>-10776.75</v>
      </c>
      <c r="L226" s="132" t="str">
        <f ca="1">IF(OR(tbl_Produits[[#This Row],[Food cost % ]]&gt;0.35,tbl_Produits[[#This Row],[% de Chrg Fixe /Prdt]]&gt;0.2),"À améliorer","OK")</f>
        <v>À améliorer</v>
      </c>
      <c r="M226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27" spans="1:13" ht="16.5" customHeight="1" x14ac:dyDescent="0.25">
      <c r="A227" s="29" t="str">
        <f>Référentiels!A227&amp;TEXT(Référentiels!B227,"000")</f>
        <v>BCH023</v>
      </c>
      <c r="B227" s="64" t="str">
        <f>+tbl_ProduitsRef[[#This Row],[Produit]]</f>
        <v>Chocolat chaud Diablo</v>
      </c>
      <c r="C227" s="64" t="str">
        <f>IFERROR(INDEX(tbl_ProduitsRef[Famille], MATCH(tbl_Produits[[#This Row],[Cde_Prdt]], tbl_Produits[Cde_Prdt], 0)), "")</f>
        <v>Boissons chaudes</v>
      </c>
      <c r="D227" s="65">
        <f ca="1">SUMIF(tbl_Recettes[Cde_Prdt], tbl_Produits[[#This Row],[Cde_Prdt]], tbl_Recettes[Coût Moyen Portion])</f>
        <v>13.07</v>
      </c>
      <c r="E227" s="66">
        <f>IFERROR(
   INDEX(tbl_ProduitsRef[Prix Menu],MATCH(B227,tbl_ProduitsRef[Produit],0)),
   ""
)</f>
        <v>25</v>
      </c>
      <c r="F227" s="66">
        <f ca="1">tbl_Produits[[#This Row],[Prix Menu]] - tbl_Produits[[#This Row],[Coût Moyen Portion]]</f>
        <v>11.93</v>
      </c>
      <c r="G227" s="67">
        <f ca="1">IF(tbl_Produits[[#This Row],[Prix Menu]]&gt;0, tbl_Produits[[#This Row],[Marge Brute]] / tbl_Produits[[#This Row],[Prix Menu]], 0)</f>
        <v>0.47720000000000001</v>
      </c>
      <c r="H227" s="69">
        <f t="shared" ca="1" si="6"/>
        <v>5.3685</v>
      </c>
      <c r="I227" s="67">
        <f ca="1">IF(tbl_Produits[[#This Row],[Prix Menu]]=0, 0, tbl_Produits[[#This Row],[Coût Moyen Portion]] / tbl_Produits[[#This Row],[Prix Menu]])</f>
        <v>0.52280000000000004</v>
      </c>
      <c r="J227" s="67" t="str" cm="1">
        <f t="array" ref="J227">IFERROR(IF(Total_portions=0, 0, Charges_fixes_totales_periode / Total_portions),"Vérifier")</f>
        <v>Vérifier</v>
      </c>
      <c r="K227" s="131" cm="1">
        <f t="array" aca="1" ref="K227" ca="1">IFERROR(tbl_Produits[[#This Row],[Prix Menu]] - tbl_Produits[[#This Row],[Coût Moyen Portion]] - ChargesFixesPar_Portion[Charges fixes par portion],"Vérifier")</f>
        <v>-10775.07</v>
      </c>
      <c r="L227" s="132" t="str">
        <f ca="1">IF(OR(tbl_Produits[[#This Row],[Food cost % ]]&gt;0.35,tbl_Produits[[#This Row],[% de Chrg Fixe /Prdt]]&gt;0.2),"À améliorer","OK")</f>
        <v>À améliorer</v>
      </c>
      <c r="M227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28" spans="1:13" ht="16.5" customHeight="1" x14ac:dyDescent="0.25">
      <c r="A228" s="29" t="str">
        <f>Référentiels!A228&amp;TEXT(Référentiels!B228,"000")</f>
        <v>BCH024</v>
      </c>
      <c r="B228" s="64" t="str">
        <f>+tbl_ProduitsRef[[#This Row],[Produit]]</f>
        <v>Chocolat Fondu mixte</v>
      </c>
      <c r="C228" s="64" t="str">
        <f>IFERROR(INDEX(tbl_ProduitsRef[Famille], MATCH(tbl_Produits[[#This Row],[Cde_Prdt]], tbl_Produits[Cde_Prdt], 0)), "")</f>
        <v>Boissons chaudes</v>
      </c>
      <c r="D228" s="65">
        <f ca="1">SUMIF(tbl_Recettes[Cde_Prdt], tbl_Produits[[#This Row],[Cde_Prdt]], tbl_Recettes[Coût Moyen Portion])</f>
        <v>15</v>
      </c>
      <c r="E228" s="66">
        <f>IFERROR(
   INDEX(tbl_ProduitsRef[Prix Menu],MATCH(B228,tbl_ProduitsRef[Produit],0)),
   ""
)</f>
        <v>25</v>
      </c>
      <c r="F228" s="66">
        <f ca="1">tbl_Produits[[#This Row],[Prix Menu]] - tbl_Produits[[#This Row],[Coût Moyen Portion]]</f>
        <v>10</v>
      </c>
      <c r="G228" s="67">
        <f ca="1">IF(tbl_Produits[[#This Row],[Prix Menu]]&gt;0, tbl_Produits[[#This Row],[Marge Brute]] / tbl_Produits[[#This Row],[Prix Menu]], 0)</f>
        <v>0.4</v>
      </c>
      <c r="H228" s="69">
        <f t="shared" ref="H228:H258" ca="1" si="7">IFERROR(
AVERAGE(G228*10, F228/2),
0)</f>
        <v>4.5</v>
      </c>
      <c r="I228" s="67">
        <f ca="1">IF(tbl_Produits[[#This Row],[Prix Menu]]=0, 0, tbl_Produits[[#This Row],[Coût Moyen Portion]] / tbl_Produits[[#This Row],[Prix Menu]])</f>
        <v>0.6</v>
      </c>
      <c r="J228" s="67" t="str" cm="1">
        <f t="array" ref="J228">IFERROR(IF(Total_portions=0, 0, Charges_fixes_totales_periode / Total_portions),"Vérifier")</f>
        <v>Vérifier</v>
      </c>
      <c r="K228" s="131" cm="1">
        <f t="array" aca="1" ref="K228" ca="1">IFERROR(tbl_Produits[[#This Row],[Prix Menu]] - tbl_Produits[[#This Row],[Coût Moyen Portion]] - ChargesFixesPar_Portion[Charges fixes par portion],"Vérifier")</f>
        <v>-10777</v>
      </c>
      <c r="L228" s="132" t="str">
        <f ca="1">IF(OR(tbl_Produits[[#This Row],[Food cost % ]]&gt;0.35,tbl_Produits[[#This Row],[% de Chrg Fixe /Prdt]]&gt;0.2),"À améliorer","OK")</f>
        <v>À améliorer</v>
      </c>
      <c r="M228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29" spans="1:13" ht="16.5" customHeight="1" x14ac:dyDescent="0.25">
      <c r="A229" s="29" t="str">
        <f>Référentiels!A229&amp;TEXT(Référentiels!B229,"000")</f>
        <v>BCH025</v>
      </c>
      <c r="B229" s="64" t="str">
        <f>+tbl_ProduitsRef[[#This Row],[Produit]]</f>
        <v>Chocolat Fondu Noire</v>
      </c>
      <c r="C229" s="64" t="str">
        <f>IFERROR(INDEX(tbl_ProduitsRef[Famille], MATCH(tbl_Produits[[#This Row],[Cde_Prdt]], tbl_Produits[Cde_Prdt], 0)), "")</f>
        <v>Boissons chaudes</v>
      </c>
      <c r="D229" s="65">
        <f>SUMIF(tbl_Recettes[Cde_Prdt], tbl_Produits[[#This Row],[Cde_Prdt]], tbl_Recettes[Coût Moyen Portion])</f>
        <v>0</v>
      </c>
      <c r="E229" s="66">
        <f>IFERROR(
   INDEX(tbl_ProduitsRef[Prix Menu],MATCH(B229,tbl_ProduitsRef[Produit],0)),
   ""
)</f>
        <v>25</v>
      </c>
      <c r="F229" s="66">
        <f>tbl_Produits[[#This Row],[Prix Menu]] - tbl_Produits[[#This Row],[Coût Moyen Portion]]</f>
        <v>25</v>
      </c>
      <c r="G229" s="67">
        <f>IF(tbl_Produits[[#This Row],[Prix Menu]]&gt;0, tbl_Produits[[#This Row],[Marge Brute]] / tbl_Produits[[#This Row],[Prix Menu]], 0)</f>
        <v>1</v>
      </c>
      <c r="H229" s="69">
        <f t="shared" si="7"/>
        <v>11.25</v>
      </c>
      <c r="I229" s="67">
        <f>IF(tbl_Produits[[#This Row],[Prix Menu]]=0, 0, tbl_Produits[[#This Row],[Coût Moyen Portion]] / tbl_Produits[[#This Row],[Prix Menu]])</f>
        <v>0</v>
      </c>
      <c r="J229" s="67" t="str" cm="1">
        <f t="array" ref="J229">IFERROR(IF(Total_portions=0, 0, Charges_fixes_totales_periode / Total_portions),"Vérifier")</f>
        <v>Vérifier</v>
      </c>
      <c r="K229" s="131" cm="1">
        <f t="array" ref="K229">IFERROR(tbl_Produits[[#This Row],[Prix Menu]] - tbl_Produits[[#This Row],[Coût Moyen Portion]] - ChargesFixesPar_Portion[Charges fixes par portion],"Vérifier")</f>
        <v>-10762</v>
      </c>
      <c r="L229" s="132" t="str">
        <f>IF(OR(tbl_Produits[[#This Row],[Food cost % ]]&gt;0.35,tbl_Produits[[#This Row],[% de Chrg Fixe /Prdt]]&gt;0.2),"À améliorer","OK")</f>
        <v>À améliorer</v>
      </c>
      <c r="M229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30" spans="1:13" ht="16.5" customHeight="1" x14ac:dyDescent="0.25">
      <c r="A230" s="29" t="str">
        <f>Référentiels!A230&amp;TEXT(Référentiels!B230,"000")</f>
        <v>BCH026</v>
      </c>
      <c r="B230" s="64" t="str">
        <f>+tbl_ProduitsRef[[#This Row],[Produit]]</f>
        <v>Chocolat Fondu Blanc</v>
      </c>
      <c r="C230" s="64" t="str">
        <f>IFERROR(INDEX(tbl_ProduitsRef[Famille], MATCH(tbl_Produits[[#This Row],[Cde_Prdt]], tbl_Produits[Cde_Prdt], 0)), "")</f>
        <v>Boissons chaudes</v>
      </c>
      <c r="D230" s="65">
        <f>SUMIF(tbl_Recettes[Cde_Prdt], tbl_Produits[[#This Row],[Cde_Prdt]], tbl_Recettes[Coût Moyen Portion])</f>
        <v>0</v>
      </c>
      <c r="E230" s="66">
        <f>IFERROR(
   INDEX(tbl_ProduitsRef[Prix Menu],MATCH(B230,tbl_ProduitsRef[Produit],0)),
   ""
)</f>
        <v>25</v>
      </c>
      <c r="F230" s="66">
        <f>tbl_Produits[[#This Row],[Prix Menu]] - tbl_Produits[[#This Row],[Coût Moyen Portion]]</f>
        <v>25</v>
      </c>
      <c r="G230" s="67">
        <f>IF(tbl_Produits[[#This Row],[Prix Menu]]&gt;0, tbl_Produits[[#This Row],[Marge Brute]] / tbl_Produits[[#This Row],[Prix Menu]], 0)</f>
        <v>1</v>
      </c>
      <c r="H230" s="69">
        <f t="shared" si="7"/>
        <v>11.25</v>
      </c>
      <c r="I230" s="67">
        <f>IF(tbl_Produits[[#This Row],[Prix Menu]]=0, 0, tbl_Produits[[#This Row],[Coût Moyen Portion]] / tbl_Produits[[#This Row],[Prix Menu]])</f>
        <v>0</v>
      </c>
      <c r="J230" s="67" t="str" cm="1">
        <f t="array" ref="J230">IFERROR(IF(Total_portions=0, 0, Charges_fixes_totales_periode / Total_portions),"Vérifier")</f>
        <v>Vérifier</v>
      </c>
      <c r="K230" s="131" cm="1">
        <f t="array" ref="K230">IFERROR(tbl_Produits[[#This Row],[Prix Menu]] - tbl_Produits[[#This Row],[Coût Moyen Portion]] - ChargesFixesPar_Portion[Charges fixes par portion],"Vérifier")</f>
        <v>-10762</v>
      </c>
      <c r="L230" s="132" t="str">
        <f>IF(OR(tbl_Produits[[#This Row],[Food cost % ]]&gt;0.35,tbl_Produits[[#This Row],[% de Chrg Fixe /Prdt]]&gt;0.2),"À améliorer","OK")</f>
        <v>À améliorer</v>
      </c>
      <c r="M230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31" spans="1:13" ht="16.5" customHeight="1" x14ac:dyDescent="0.25">
      <c r="A231" s="29" t="str">
        <f>Référentiels!A231&amp;TEXT(Référentiels!B231,"000")</f>
        <v>BCH027</v>
      </c>
      <c r="B231" s="64" t="str">
        <f>+tbl_ProduitsRef[[#This Row],[Produit]]</f>
        <v>Chocolat chaud Classique</v>
      </c>
      <c r="C231" s="64" t="str">
        <f>IFERROR(INDEX(tbl_ProduitsRef[Famille], MATCH(tbl_Produits[[#This Row],[Cde_Prdt]], tbl_Produits[Cde_Prdt], 0)), "")</f>
        <v>Boissons chaudes</v>
      </c>
      <c r="D231" s="65">
        <f ca="1">SUMIF(tbl_Recettes[Cde_Prdt], tbl_Produits[[#This Row],[Cde_Prdt]], tbl_Recettes[Coût Moyen Portion])</f>
        <v>7.5</v>
      </c>
      <c r="E231" s="66">
        <f>IFERROR(
   INDEX(tbl_ProduitsRef[Prix Menu],MATCH(B231,tbl_ProduitsRef[Produit],0)),
   ""
)</f>
        <v>17</v>
      </c>
      <c r="F231" s="66">
        <f ca="1">tbl_Produits[[#This Row],[Prix Menu]] - tbl_Produits[[#This Row],[Coût Moyen Portion]]</f>
        <v>9.5</v>
      </c>
      <c r="G231" s="67">
        <f ca="1">IF(tbl_Produits[[#This Row],[Prix Menu]]&gt;0, tbl_Produits[[#This Row],[Marge Brute]] / tbl_Produits[[#This Row],[Prix Menu]], 0)</f>
        <v>0.55882352941176472</v>
      </c>
      <c r="H231" s="69">
        <f t="shared" ca="1" si="7"/>
        <v>5.1691176470588234</v>
      </c>
      <c r="I231" s="67">
        <f ca="1">IF(tbl_Produits[[#This Row],[Prix Menu]]=0, 0, tbl_Produits[[#This Row],[Coût Moyen Portion]] / tbl_Produits[[#This Row],[Prix Menu]])</f>
        <v>0.44117647058823528</v>
      </c>
      <c r="J231" s="67" t="str" cm="1">
        <f t="array" ref="J231">IFERROR(IF(Total_portions=0, 0, Charges_fixes_totales_periode / Total_portions),"Vérifier")</f>
        <v>Vérifier</v>
      </c>
      <c r="K231" s="131" cm="1">
        <f t="array" aca="1" ref="K231" ca="1">IFERROR(tbl_Produits[[#This Row],[Prix Menu]] - tbl_Produits[[#This Row],[Coût Moyen Portion]] - ChargesFixesPar_Portion[Charges fixes par portion],"Vérifier")</f>
        <v>-10777.5</v>
      </c>
      <c r="L231" s="132" t="str">
        <f ca="1">IF(OR(tbl_Produits[[#This Row],[Food cost % ]]&gt;0.35,tbl_Produits[[#This Row],[% de Chrg Fixe /Prdt]]&gt;0.2),"À améliorer","OK")</f>
        <v>À améliorer</v>
      </c>
      <c r="M231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32" spans="1:13" ht="16.5" customHeight="1" x14ac:dyDescent="0.25">
      <c r="A232" s="29" t="str">
        <f>Référentiels!A232&amp;TEXT(Référentiels!B232,"000")</f>
        <v>BCH028</v>
      </c>
      <c r="B232" s="64" t="str">
        <f>+tbl_ProduitsRef[[#This Row],[Produit]]</f>
        <v>Thés marocains Grand</v>
      </c>
      <c r="C232" s="64" t="str">
        <f>IFERROR(INDEX(tbl_ProduitsRef[Famille], MATCH(tbl_Produits[[#This Row],[Cde_Prdt]], tbl_Produits[Cde_Prdt], 0)), "")</f>
        <v>Boissons chaudes</v>
      </c>
      <c r="D232" s="65">
        <f ca="1">SUMIF(tbl_Recettes[Cde_Prdt], tbl_Produits[[#This Row],[Cde_Prdt]], tbl_Recettes[Coût Moyen Portion])</f>
        <v>5.5050000000000008</v>
      </c>
      <c r="E232" s="66">
        <f>IFERROR(
   INDEX(tbl_ProduitsRef[Prix Menu],MATCH(B232,tbl_ProduitsRef[Produit],0)),
   ""
)</f>
        <v>30</v>
      </c>
      <c r="F232" s="66">
        <f ca="1">tbl_Produits[[#This Row],[Prix Menu]] - tbl_Produits[[#This Row],[Coût Moyen Portion]]</f>
        <v>24.494999999999997</v>
      </c>
      <c r="G232" s="67">
        <f ca="1">IF(tbl_Produits[[#This Row],[Prix Menu]]&gt;0, tbl_Produits[[#This Row],[Marge Brute]] / tbl_Produits[[#This Row],[Prix Menu]], 0)</f>
        <v>0.81649999999999989</v>
      </c>
      <c r="H232" s="69">
        <f t="shared" ca="1" si="7"/>
        <v>10.206249999999999</v>
      </c>
      <c r="I232" s="67">
        <f ca="1">IF(tbl_Produits[[#This Row],[Prix Menu]]=0, 0, tbl_Produits[[#This Row],[Coût Moyen Portion]] / tbl_Produits[[#This Row],[Prix Menu]])</f>
        <v>0.18350000000000002</v>
      </c>
      <c r="J232" s="67" t="str" cm="1">
        <f t="array" ref="J232">IFERROR(IF(Total_portions=0, 0, Charges_fixes_totales_periode / Total_portions),"Vérifier")</f>
        <v>Vérifier</v>
      </c>
      <c r="K232" s="131" cm="1">
        <f t="array" aca="1" ref="K232" ca="1">IFERROR(tbl_Produits[[#This Row],[Prix Menu]] - tbl_Produits[[#This Row],[Coût Moyen Portion]] - ChargesFixesPar_Portion[Charges fixes par portion],"Vérifier")</f>
        <v>-10762.504999999999</v>
      </c>
      <c r="L232" s="132" t="str">
        <f ca="1">IF(OR(tbl_Produits[[#This Row],[Food cost % ]]&gt;0.35,tbl_Produits[[#This Row],[% de Chrg Fixe /Prdt]]&gt;0.2),"À améliorer","OK")</f>
        <v>À améliorer</v>
      </c>
      <c r="M232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33" spans="1:13" ht="16.5" customHeight="1" x14ac:dyDescent="0.25">
      <c r="A233" s="29" t="str">
        <f>Référentiels!A233&amp;TEXT(Référentiels!B233,"000")</f>
        <v>BCH029</v>
      </c>
      <c r="B233" s="64" t="str">
        <f>+tbl_ProduitsRef[[#This Row],[Produit]]</f>
        <v>Thés marocains Moyen</v>
      </c>
      <c r="C233" s="64" t="str">
        <f>IFERROR(INDEX(tbl_ProduitsRef[Famille], MATCH(tbl_Produits[[#This Row],[Cde_Prdt]], tbl_Produits[Cde_Prdt], 0)), "")</f>
        <v>Boissons chaudes</v>
      </c>
      <c r="D233" s="65">
        <f ca="1">SUMIF(tbl_Recettes[Cde_Prdt], tbl_Produits[[#This Row],[Cde_Prdt]], tbl_Recettes[Coût Moyen Portion])</f>
        <v>3.6840000000000002</v>
      </c>
      <c r="E233" s="66">
        <f>IFERROR(
   INDEX(tbl_ProduitsRef[Prix Menu],MATCH(B233,tbl_ProduitsRef[Produit],0)),
   ""
)</f>
        <v>22</v>
      </c>
      <c r="F233" s="66">
        <f ca="1">tbl_Produits[[#This Row],[Prix Menu]] - tbl_Produits[[#This Row],[Coût Moyen Portion]]</f>
        <v>18.315999999999999</v>
      </c>
      <c r="G233" s="67">
        <f ca="1">IF(tbl_Produits[[#This Row],[Prix Menu]]&gt;0, tbl_Produits[[#This Row],[Marge Brute]] / tbl_Produits[[#This Row],[Prix Menu]], 0)</f>
        <v>0.83254545454545448</v>
      </c>
      <c r="H233" s="69">
        <f t="shared" ca="1" si="7"/>
        <v>8.741727272727271</v>
      </c>
      <c r="I233" s="67">
        <f ca="1">IF(tbl_Produits[[#This Row],[Prix Menu]]=0, 0, tbl_Produits[[#This Row],[Coût Moyen Portion]] / tbl_Produits[[#This Row],[Prix Menu]])</f>
        <v>0.16745454545454547</v>
      </c>
      <c r="J233" s="67" t="str" cm="1">
        <f t="array" ref="J233">IFERROR(IF(Total_portions=0, 0, Charges_fixes_totales_periode / Total_portions),"Vérifier")</f>
        <v>Vérifier</v>
      </c>
      <c r="K233" s="131" cm="1">
        <f t="array" aca="1" ref="K233" ca="1">IFERROR(tbl_Produits[[#This Row],[Prix Menu]] - tbl_Produits[[#This Row],[Coût Moyen Portion]] - ChargesFixesPar_Portion[Charges fixes par portion],"Vérifier")</f>
        <v>-10768.683999999999</v>
      </c>
      <c r="L233" s="132" t="str">
        <f ca="1">IF(OR(tbl_Produits[[#This Row],[Food cost % ]]&gt;0.35,tbl_Produits[[#This Row],[% de Chrg Fixe /Prdt]]&gt;0.2),"À améliorer","OK")</f>
        <v>À améliorer</v>
      </c>
      <c r="M233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34" spans="1:13" ht="16.5" customHeight="1" x14ac:dyDescent="0.25">
      <c r="A234" s="29" t="str">
        <f>Référentiels!A234&amp;TEXT(Référentiels!B234,"000")</f>
        <v>BCH030</v>
      </c>
      <c r="B234" s="64" t="str">
        <f>+tbl_ProduitsRef[[#This Row],[Produit]]</f>
        <v>Thés marocains Petit</v>
      </c>
      <c r="C234" s="64" t="str">
        <f>IFERROR(INDEX(tbl_ProduitsRef[Famille], MATCH(tbl_Produits[[#This Row],[Cde_Prdt]], tbl_Produits[Cde_Prdt], 0)), "")</f>
        <v>Boissons chaudes</v>
      </c>
      <c r="D234" s="65">
        <f ca="1">SUMIF(tbl_Recettes[Cde_Prdt], tbl_Produits[[#This Row],[Cde_Prdt]], tbl_Recettes[Coût Moyen Portion])</f>
        <v>5.87</v>
      </c>
      <c r="E234" s="66">
        <f>IFERROR(
   INDEX(tbl_ProduitsRef[Prix Menu],MATCH(B234,tbl_ProduitsRef[Produit],0)),
   ""
)</f>
        <v>15</v>
      </c>
      <c r="F234" s="66">
        <f ca="1">tbl_Produits[[#This Row],[Prix Menu]] - tbl_Produits[[#This Row],[Coût Moyen Portion]]</f>
        <v>9.129999999999999</v>
      </c>
      <c r="G234" s="67">
        <f ca="1">IF(tbl_Produits[[#This Row],[Prix Menu]]&gt;0, tbl_Produits[[#This Row],[Marge Brute]] / tbl_Produits[[#This Row],[Prix Menu]], 0)</f>
        <v>0.60866666666666658</v>
      </c>
      <c r="H234" s="69">
        <f t="shared" ca="1" si="7"/>
        <v>5.3258333333333328</v>
      </c>
      <c r="I234" s="67">
        <f ca="1">IF(tbl_Produits[[#This Row],[Prix Menu]]=0, 0, tbl_Produits[[#This Row],[Coût Moyen Portion]] / tbl_Produits[[#This Row],[Prix Menu]])</f>
        <v>0.39133333333333337</v>
      </c>
      <c r="J234" s="67" t="str" cm="1">
        <f t="array" ref="J234">IFERROR(IF(Total_portions=0, 0, Charges_fixes_totales_periode / Total_portions),"Vérifier")</f>
        <v>Vérifier</v>
      </c>
      <c r="K234" s="131" cm="1">
        <f t="array" aca="1" ref="K234" ca="1">IFERROR(tbl_Produits[[#This Row],[Prix Menu]] - tbl_Produits[[#This Row],[Coût Moyen Portion]] - ChargesFixesPar_Portion[Charges fixes par portion],"Vérifier")</f>
        <v>-10777.87</v>
      </c>
      <c r="L234" s="132" t="str">
        <f ca="1">IF(OR(tbl_Produits[[#This Row],[Food cost % ]]&gt;0.35,tbl_Produits[[#This Row],[% de Chrg Fixe /Prdt]]&gt;0.2),"À améliorer","OK")</f>
        <v>À améliorer</v>
      </c>
      <c r="M234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35" spans="1:13" ht="16.5" customHeight="1" x14ac:dyDescent="0.25">
      <c r="A235" s="29" t="str">
        <f>Référentiels!A235&amp;TEXT(Référentiels!B235,"000")</f>
        <v>BCH031</v>
      </c>
      <c r="B235" s="64" t="str">
        <f>+tbl_ProduitsRef[[#This Row],[Produit]]</f>
        <v>Thés marocains Verveine</v>
      </c>
      <c r="C235" s="64" t="str">
        <f>IFERROR(INDEX(tbl_ProduitsRef[Famille], MATCH(tbl_Produits[[#This Row],[Cde_Prdt]], tbl_Produits[Cde_Prdt], 0)), "")</f>
        <v>Boissons chaudes</v>
      </c>
      <c r="D235" s="65">
        <f ca="1">SUMIF(tbl_Recettes[Cde_Prdt], tbl_Produits[[#This Row],[Cde_Prdt]], tbl_Recettes[Coût Moyen Portion])</f>
        <v>1.05</v>
      </c>
      <c r="E235" s="66">
        <f>IFERROR(
   INDEX(tbl_ProduitsRef[Prix Menu],MATCH(B235,tbl_ProduitsRef[Produit],0)),
   ""
)</f>
        <v>15</v>
      </c>
      <c r="F235" s="66">
        <f ca="1">tbl_Produits[[#This Row],[Prix Menu]] - tbl_Produits[[#This Row],[Coût Moyen Portion]]</f>
        <v>13.95</v>
      </c>
      <c r="G235" s="67">
        <f ca="1">IF(tbl_Produits[[#This Row],[Prix Menu]]&gt;0, tbl_Produits[[#This Row],[Marge Brute]] / tbl_Produits[[#This Row],[Prix Menu]], 0)</f>
        <v>0.92999999999999994</v>
      </c>
      <c r="H235" s="69">
        <f t="shared" ca="1" si="7"/>
        <v>8.1374999999999993</v>
      </c>
      <c r="I235" s="67">
        <f ca="1">IF(tbl_Produits[[#This Row],[Prix Menu]]=0, 0, tbl_Produits[[#This Row],[Coût Moyen Portion]] / tbl_Produits[[#This Row],[Prix Menu]])</f>
        <v>7.0000000000000007E-2</v>
      </c>
      <c r="J235" s="67" t="str" cm="1">
        <f t="array" ref="J235">IFERROR(IF(Total_portions=0, 0, Charges_fixes_totales_periode / Total_portions),"Vérifier")</f>
        <v>Vérifier</v>
      </c>
      <c r="K235" s="131" cm="1">
        <f t="array" aca="1" ref="K235" ca="1">IFERROR(tbl_Produits[[#This Row],[Prix Menu]] - tbl_Produits[[#This Row],[Coût Moyen Portion]] - ChargesFixesPar_Portion[Charges fixes par portion],"Vérifier")</f>
        <v>-10773.05</v>
      </c>
      <c r="L235" s="132" t="str">
        <f ca="1">IF(OR(tbl_Produits[[#This Row],[Food cost % ]]&gt;0.35,tbl_Produits[[#This Row],[% de Chrg Fixe /Prdt]]&gt;0.2),"À améliorer","OK")</f>
        <v>À améliorer</v>
      </c>
      <c r="M235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36" spans="1:13" ht="16.5" customHeight="1" x14ac:dyDescent="0.25">
      <c r="A236" s="29" t="str">
        <f>Référentiels!A236&amp;TEXT(Référentiels!B236,"000")</f>
        <v>BCH032</v>
      </c>
      <c r="B236" s="64" t="str">
        <f>+tbl_ProduitsRef[[#This Row],[Produit]]</f>
        <v>Thés marocains Lipton</v>
      </c>
      <c r="C236" s="64" t="str">
        <f>IFERROR(INDEX(tbl_ProduitsRef[Famille], MATCH(tbl_Produits[[#This Row],[Cde_Prdt]], tbl_Produits[Cde_Prdt], 0)), "")</f>
        <v>Boissons chaudes</v>
      </c>
      <c r="D236" s="65">
        <f ca="1">SUMIF(tbl_Recettes[Cde_Prdt], tbl_Produits[[#This Row],[Cde_Prdt]], tbl_Recettes[Coût Moyen Portion])</f>
        <v>2.25</v>
      </c>
      <c r="E236" s="66">
        <f>IFERROR(
   INDEX(tbl_ProduitsRef[Prix Menu],MATCH(B236,tbl_ProduitsRef[Produit],0)),
   ""
)</f>
        <v>15</v>
      </c>
      <c r="F236" s="66">
        <f ca="1">tbl_Produits[[#This Row],[Prix Menu]] - tbl_Produits[[#This Row],[Coût Moyen Portion]]</f>
        <v>12.75</v>
      </c>
      <c r="G236" s="67">
        <f ca="1">IF(tbl_Produits[[#This Row],[Prix Menu]]&gt;0, tbl_Produits[[#This Row],[Marge Brute]] / tbl_Produits[[#This Row],[Prix Menu]], 0)</f>
        <v>0.85</v>
      </c>
      <c r="H236" s="69">
        <f t="shared" ca="1" si="7"/>
        <v>7.4375</v>
      </c>
      <c r="I236" s="67">
        <f ca="1">IF(tbl_Produits[[#This Row],[Prix Menu]]=0, 0, tbl_Produits[[#This Row],[Coût Moyen Portion]] / tbl_Produits[[#This Row],[Prix Menu]])</f>
        <v>0.15</v>
      </c>
      <c r="J236" s="67" t="str" cm="1">
        <f t="array" ref="J236">IFERROR(IF(Total_portions=0, 0, Charges_fixes_totales_periode / Total_portions),"Vérifier")</f>
        <v>Vérifier</v>
      </c>
      <c r="K236" s="131" cm="1">
        <f t="array" aca="1" ref="K236" ca="1">IFERROR(tbl_Produits[[#This Row],[Prix Menu]] - tbl_Produits[[#This Row],[Coût Moyen Portion]] - ChargesFixesPar_Portion[Charges fixes par portion],"Vérifier")</f>
        <v>-10774.25</v>
      </c>
      <c r="L236" s="132" t="str">
        <f ca="1">IF(OR(tbl_Produits[[#This Row],[Food cost % ]]&gt;0.35,tbl_Produits[[#This Row],[% de Chrg Fixe /Prdt]]&gt;0.2),"À améliorer","OK")</f>
        <v>À améliorer</v>
      </c>
      <c r="M236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37" spans="1:13" ht="16.5" customHeight="1" x14ac:dyDescent="0.25">
      <c r="A237" s="29" t="str">
        <f>Référentiels!A237&amp;TEXT(Référentiels!B237,"000")</f>
        <v>BCH033</v>
      </c>
      <c r="B237" s="64" t="str">
        <f>+tbl_ProduitsRef[[#This Row],[Produit]]</f>
        <v>Thés marocains Infusions</v>
      </c>
      <c r="C237" s="64" t="str">
        <f>IFERROR(INDEX(tbl_ProduitsRef[Famille], MATCH(tbl_Produits[[#This Row],[Cde_Prdt]], tbl_Produits[Cde_Prdt], 0)), "")</f>
        <v>Boissons chaudes</v>
      </c>
      <c r="D237" s="65">
        <f>SUMIF(tbl_Recettes[Cde_Prdt], tbl_Produits[[#This Row],[Cde_Prdt]], tbl_Recettes[Coût Moyen Portion])</f>
        <v>0</v>
      </c>
      <c r="E237" s="66">
        <f>IFERROR(
   INDEX(tbl_ProduitsRef[Prix Menu],MATCH(B237,tbl_ProduitsRef[Produit],0)),
   ""
)</f>
        <v>20</v>
      </c>
      <c r="F237" s="66">
        <f>tbl_Produits[[#This Row],[Prix Menu]] - tbl_Produits[[#This Row],[Coût Moyen Portion]]</f>
        <v>20</v>
      </c>
      <c r="G237" s="67">
        <f>IF(tbl_Produits[[#This Row],[Prix Menu]]&gt;0, tbl_Produits[[#This Row],[Marge Brute]] / tbl_Produits[[#This Row],[Prix Menu]], 0)</f>
        <v>1</v>
      </c>
      <c r="H237" s="69">
        <f t="shared" si="7"/>
        <v>10</v>
      </c>
      <c r="I237" s="67">
        <f>IF(tbl_Produits[[#This Row],[Prix Menu]]=0, 0, tbl_Produits[[#This Row],[Coût Moyen Portion]] / tbl_Produits[[#This Row],[Prix Menu]])</f>
        <v>0</v>
      </c>
      <c r="J237" s="67" t="str" cm="1">
        <f t="array" ref="J237">IFERROR(IF(Total_portions=0, 0, Charges_fixes_totales_periode / Total_portions),"Vérifier")</f>
        <v>Vérifier</v>
      </c>
      <c r="K237" s="131" cm="1">
        <f t="array" ref="K237">IFERROR(tbl_Produits[[#This Row],[Prix Menu]] - tbl_Produits[[#This Row],[Coût Moyen Portion]] - ChargesFixesPar_Portion[Charges fixes par portion],"Vérifier")</f>
        <v>-10767</v>
      </c>
      <c r="L237" s="132" t="str">
        <f>IF(OR(tbl_Produits[[#This Row],[Food cost % ]]&gt;0.35,tbl_Produits[[#This Row],[% de Chrg Fixe /Prdt]]&gt;0.2),"À améliorer","OK")</f>
        <v>À améliorer</v>
      </c>
      <c r="M237" s="18">
        <f>IFERROR( (SUMIF(tbl_Charges_Fixes[Famille affectée],tbl_Produits[[#This Row],[Famille]],tbl_Charges_Fixes[Montant_Mensuel])) / (SUMIF(tbl_Ventes[Famille],tbl_Produits[[#This Row],[Famille]],tbl_Ventes[Qté Vendue])), 0)</f>
        <v>22.860875244937947</v>
      </c>
    </row>
    <row r="238" spans="1:13" ht="16.5" customHeight="1" x14ac:dyDescent="0.25">
      <c r="A238" s="29" t="str">
        <f>Référentiels!A238&amp;TEXT(Référentiels!B238,"000")</f>
        <v>JUS001</v>
      </c>
      <c r="B238" s="64" t="str">
        <f>+tbl_ProduitsRef[[#This Row],[Produit]]</f>
        <v>Jus orange</v>
      </c>
      <c r="C238" s="64" t="str">
        <f>IFERROR(INDEX(tbl_ProduitsRef[Famille], MATCH(tbl_Produits[[#This Row],[Cde_Prdt]], tbl_Produits[Cde_Prdt], 0)), "")</f>
        <v>Jus Frais</v>
      </c>
      <c r="D238" s="65">
        <f ca="1">SUMIF(tbl_Recettes[Cde_Prdt], tbl_Produits[[#This Row],[Cde_Prdt]], tbl_Recettes[Coût Moyen Portion])</f>
        <v>8</v>
      </c>
      <c r="E238" s="66">
        <f>IFERROR(
   INDEX(tbl_ProduitsRef[Prix Menu],MATCH(B238,tbl_ProduitsRef[Produit],0)),
   ""
)</f>
        <v>23</v>
      </c>
      <c r="F238" s="66">
        <f ca="1">tbl_Produits[[#This Row],[Prix Menu]] - tbl_Produits[[#This Row],[Coût Moyen Portion]]</f>
        <v>15</v>
      </c>
      <c r="G238" s="67">
        <f ca="1">IF(tbl_Produits[[#This Row],[Prix Menu]]&gt;0, tbl_Produits[[#This Row],[Marge Brute]] / tbl_Produits[[#This Row],[Prix Menu]], 0)</f>
        <v>0.65217391304347827</v>
      </c>
      <c r="H238" s="69">
        <f t="shared" ca="1" si="7"/>
        <v>7.0108695652173916</v>
      </c>
      <c r="I238" s="67">
        <f ca="1">IF(tbl_Produits[[#This Row],[Prix Menu]]=0, 0, tbl_Produits[[#This Row],[Coût Moyen Portion]] / tbl_Produits[[#This Row],[Prix Menu]])</f>
        <v>0.34782608695652173</v>
      </c>
      <c r="J238" s="67" t="str" cm="1">
        <f t="array" ref="J238">IFERROR(IF(Total_portions=0, 0, Charges_fixes_totales_periode / Total_portions),"Vérifier")</f>
        <v>Vérifier</v>
      </c>
      <c r="K238" s="131" cm="1">
        <f t="array" aca="1" ref="K238" ca="1">IFERROR(tbl_Produits[[#This Row],[Prix Menu]] - tbl_Produits[[#This Row],[Coût Moyen Portion]] - ChargesFixesPar_Portion[Charges fixes par portion],"Vérifier")</f>
        <v>-10772</v>
      </c>
      <c r="L238" s="132" t="str">
        <f ca="1">IF(OR(tbl_Produits[[#This Row],[Food cost % ]]&gt;0.35,tbl_Produits[[#This Row],[% de Chrg Fixe /Prdt]]&gt;0.2),"À améliorer","OK")</f>
        <v>À améliorer</v>
      </c>
      <c r="M238" s="18">
        <f>IFERROR( (SUMIF(tbl_Charges_Fixes[Famille affectée],tbl_Produits[[#This Row],[Famille]],tbl_Charges_Fixes[Montant_Mensuel])) / (SUMIF(tbl_Ventes[Famille],tbl_Produits[[#This Row],[Famille]],tbl_Ventes[Qté Vendue])), 0)</f>
        <v>25.688073394495412</v>
      </c>
    </row>
    <row r="239" spans="1:13" ht="16.5" customHeight="1" x14ac:dyDescent="0.25">
      <c r="A239" s="29" t="str">
        <f>Référentiels!A239&amp;TEXT(Référentiels!B239,"000")</f>
        <v>JUS002</v>
      </c>
      <c r="B239" s="64" t="str">
        <f>+tbl_ProduitsRef[[#This Row],[Produit]]</f>
        <v>Jus banane</v>
      </c>
      <c r="C239" s="64" t="str">
        <f>IFERROR(INDEX(tbl_ProduitsRef[Famille], MATCH(tbl_Produits[[#This Row],[Cde_Prdt]], tbl_Produits[Cde_Prdt], 0)), "")</f>
        <v>Jus Frais</v>
      </c>
      <c r="D239" s="65">
        <f ca="1">SUMIF(tbl_Recettes[Cde_Prdt], tbl_Produits[[#This Row],[Cde_Prdt]], tbl_Recettes[Coût Moyen Portion])</f>
        <v>0.8</v>
      </c>
      <c r="E239" s="66">
        <f>IFERROR(
   INDEX(tbl_ProduitsRef[Prix Menu],MATCH(B239,tbl_ProduitsRef[Produit],0)),
   ""
)</f>
        <v>23</v>
      </c>
      <c r="F239" s="66">
        <f ca="1">tbl_Produits[[#This Row],[Prix Menu]] - tbl_Produits[[#This Row],[Coût Moyen Portion]]</f>
        <v>22.2</v>
      </c>
      <c r="G239" s="67">
        <f ca="1">IF(tbl_Produits[[#This Row],[Prix Menu]]&gt;0, tbl_Produits[[#This Row],[Marge Brute]] / tbl_Produits[[#This Row],[Prix Menu]], 0)</f>
        <v>0.9652173913043478</v>
      </c>
      <c r="H239" s="69">
        <f t="shared" ca="1" si="7"/>
        <v>10.376086956521739</v>
      </c>
      <c r="I239" s="67">
        <f ca="1">IF(tbl_Produits[[#This Row],[Prix Menu]]=0, 0, tbl_Produits[[#This Row],[Coût Moyen Portion]] / tbl_Produits[[#This Row],[Prix Menu]])</f>
        <v>3.4782608695652174E-2</v>
      </c>
      <c r="J239" s="67" t="str" cm="1">
        <f t="array" ref="J239">IFERROR(IF(Total_portions=0, 0, Charges_fixes_totales_periode / Total_portions),"Vérifier")</f>
        <v>Vérifier</v>
      </c>
      <c r="K239" s="131" cm="1">
        <f t="array" aca="1" ref="K239" ca="1">IFERROR(tbl_Produits[[#This Row],[Prix Menu]] - tbl_Produits[[#This Row],[Coût Moyen Portion]] - ChargesFixesPar_Portion[Charges fixes par portion],"Vérifier")</f>
        <v>-10764.8</v>
      </c>
      <c r="L239" s="132" t="str">
        <f ca="1">IF(OR(tbl_Produits[[#This Row],[Food cost % ]]&gt;0.35,tbl_Produits[[#This Row],[% de Chrg Fixe /Prdt]]&gt;0.2),"À améliorer","OK")</f>
        <v>À améliorer</v>
      </c>
      <c r="M239" s="18">
        <f>IFERROR( (SUMIF(tbl_Charges_Fixes[Famille affectée],tbl_Produits[[#This Row],[Famille]],tbl_Charges_Fixes[Montant_Mensuel])) / (SUMIF(tbl_Ventes[Famille],tbl_Produits[[#This Row],[Famille]],tbl_Ventes[Qté Vendue])), 0)</f>
        <v>25.688073394495412</v>
      </c>
    </row>
    <row r="240" spans="1:13" ht="16.5" customHeight="1" x14ac:dyDescent="0.25">
      <c r="A240" s="29" t="str">
        <f>Référentiels!A240&amp;TEXT(Référentiels!B240,"000")</f>
        <v>JUS003</v>
      </c>
      <c r="B240" s="64" t="str">
        <f>+tbl_ProduitsRef[[#This Row],[Produit]]</f>
        <v>Jus fraise</v>
      </c>
      <c r="C240" s="64" t="str">
        <f>IFERROR(INDEX(tbl_ProduitsRef[Famille], MATCH(tbl_Produits[[#This Row],[Cde_Prdt]], tbl_Produits[Cde_Prdt], 0)), "")</f>
        <v>Jus Frais</v>
      </c>
      <c r="D240" s="65">
        <f ca="1">SUMIF(tbl_Recettes[Cde_Prdt], tbl_Produits[[#This Row],[Cde_Prdt]], tbl_Recettes[Coût Moyen Portion])</f>
        <v>2.25</v>
      </c>
      <c r="E240" s="66">
        <f>IFERROR(
   INDEX(tbl_ProduitsRef[Prix Menu],MATCH(B240,tbl_ProduitsRef[Produit],0)),
   ""
)</f>
        <v>27</v>
      </c>
      <c r="F240" s="66">
        <f ca="1">tbl_Produits[[#This Row],[Prix Menu]] - tbl_Produits[[#This Row],[Coût Moyen Portion]]</f>
        <v>24.75</v>
      </c>
      <c r="G240" s="67">
        <f ca="1">IF(tbl_Produits[[#This Row],[Prix Menu]]&gt;0, tbl_Produits[[#This Row],[Marge Brute]] / tbl_Produits[[#This Row],[Prix Menu]], 0)</f>
        <v>0.91666666666666663</v>
      </c>
      <c r="H240" s="69">
        <f t="shared" ca="1" si="7"/>
        <v>10.770833333333332</v>
      </c>
      <c r="I240" s="67">
        <f ca="1">IF(tbl_Produits[[#This Row],[Prix Menu]]=0, 0, tbl_Produits[[#This Row],[Coût Moyen Portion]] / tbl_Produits[[#This Row],[Prix Menu]])</f>
        <v>8.3333333333333329E-2</v>
      </c>
      <c r="J240" s="67" t="str" cm="1">
        <f t="array" ref="J240">IFERROR(IF(Total_portions=0, 0, Charges_fixes_totales_periode / Total_portions),"Vérifier")</f>
        <v>Vérifier</v>
      </c>
      <c r="K240" s="131" cm="1">
        <f t="array" aca="1" ref="K240" ca="1">IFERROR(tbl_Produits[[#This Row],[Prix Menu]] - tbl_Produits[[#This Row],[Coût Moyen Portion]] - ChargesFixesPar_Portion[Charges fixes par portion],"Vérifier")</f>
        <v>-10762.25</v>
      </c>
      <c r="L240" s="132" t="str">
        <f ca="1">IF(OR(tbl_Produits[[#This Row],[Food cost % ]]&gt;0.35,tbl_Produits[[#This Row],[% de Chrg Fixe /Prdt]]&gt;0.2),"À améliorer","OK")</f>
        <v>À améliorer</v>
      </c>
      <c r="M240" s="18">
        <f>IFERROR( (SUMIF(tbl_Charges_Fixes[Famille affectée],tbl_Produits[[#This Row],[Famille]],tbl_Charges_Fixes[Montant_Mensuel])) / (SUMIF(tbl_Ventes[Famille],tbl_Produits[[#This Row],[Famille]],tbl_Ventes[Qté Vendue])), 0)</f>
        <v>25.688073394495412</v>
      </c>
    </row>
    <row r="241" spans="1:13" ht="16.5" customHeight="1" x14ac:dyDescent="0.25">
      <c r="A241" s="29" t="str">
        <f>Référentiels!A241&amp;TEXT(Référentiels!B241,"000")</f>
        <v>JUS004</v>
      </c>
      <c r="B241" s="64" t="str">
        <f>+tbl_ProduitsRef[[#This Row],[Produit]]</f>
        <v>Jus mangue</v>
      </c>
      <c r="C241" s="64" t="str">
        <f>IFERROR(INDEX(tbl_ProduitsRef[Famille], MATCH(tbl_Produits[[#This Row],[Cde_Prdt]], tbl_Produits[Cde_Prdt], 0)), "")</f>
        <v>Jus Frais</v>
      </c>
      <c r="D241" s="65">
        <f ca="1">SUMIF(tbl_Recettes[Cde_Prdt], tbl_Produits[[#This Row],[Cde_Prdt]], tbl_Recettes[Coût Moyen Portion])</f>
        <v>7.5</v>
      </c>
      <c r="E241" s="66">
        <f>IFERROR(
   INDEX(tbl_ProduitsRef[Prix Menu],MATCH(B241,tbl_ProduitsRef[Produit],0)),
   ""
)</f>
        <v>29</v>
      </c>
      <c r="F241" s="66">
        <f ca="1">tbl_Produits[[#This Row],[Prix Menu]] - tbl_Produits[[#This Row],[Coût Moyen Portion]]</f>
        <v>21.5</v>
      </c>
      <c r="G241" s="67">
        <f ca="1">IF(tbl_Produits[[#This Row],[Prix Menu]]&gt;0, tbl_Produits[[#This Row],[Marge Brute]] / tbl_Produits[[#This Row],[Prix Menu]], 0)</f>
        <v>0.74137931034482762</v>
      </c>
      <c r="H241" s="69">
        <f t="shared" ca="1" si="7"/>
        <v>9.0818965517241388</v>
      </c>
      <c r="I241" s="67">
        <f ca="1">IF(tbl_Produits[[#This Row],[Prix Menu]]=0, 0, tbl_Produits[[#This Row],[Coût Moyen Portion]] / tbl_Produits[[#This Row],[Prix Menu]])</f>
        <v>0.25862068965517243</v>
      </c>
      <c r="J241" s="67" t="str" cm="1">
        <f t="array" ref="J241">IFERROR(IF(Total_portions=0, 0, Charges_fixes_totales_periode / Total_portions),"Vérifier")</f>
        <v>Vérifier</v>
      </c>
      <c r="K241" s="131" cm="1">
        <f t="array" aca="1" ref="K241" ca="1">IFERROR(tbl_Produits[[#This Row],[Prix Menu]] - tbl_Produits[[#This Row],[Coût Moyen Portion]] - ChargesFixesPar_Portion[Charges fixes par portion],"Vérifier")</f>
        <v>-10765.5</v>
      </c>
      <c r="L241" s="132" t="str">
        <f ca="1">IF(OR(tbl_Produits[[#This Row],[Food cost % ]]&gt;0.35,tbl_Produits[[#This Row],[% de Chrg Fixe /Prdt]]&gt;0.2),"À améliorer","OK")</f>
        <v>À améliorer</v>
      </c>
      <c r="M241" s="18">
        <f>IFERROR( (SUMIF(tbl_Charges_Fixes[Famille affectée],tbl_Produits[[#This Row],[Famille]],tbl_Charges_Fixes[Montant_Mensuel])) / (SUMIF(tbl_Ventes[Famille],tbl_Produits[[#This Row],[Famille]],tbl_Ventes[Qté Vendue])), 0)</f>
        <v>25.688073394495412</v>
      </c>
    </row>
    <row r="242" spans="1:13" ht="16.5" customHeight="1" x14ac:dyDescent="0.25">
      <c r="A242" s="29" t="str">
        <f>Référentiels!A242&amp;TEXT(Référentiels!B242,"000")</f>
        <v>JUS005</v>
      </c>
      <c r="B242" s="64" t="str">
        <f>+tbl_ProduitsRef[[#This Row],[Produit]]</f>
        <v>Jus kiwi</v>
      </c>
      <c r="C242" s="64" t="str">
        <f>IFERROR(INDEX(tbl_ProduitsRef[Famille], MATCH(tbl_Produits[[#This Row],[Cde_Prdt]], tbl_Produits[Cde_Prdt], 0)), "")</f>
        <v>Jus Frais</v>
      </c>
      <c r="D242" s="65">
        <f ca="1">SUMIF(tbl_Recettes[Cde_Prdt], tbl_Produits[[#This Row],[Cde_Prdt]], tbl_Recettes[Coût Moyen Portion])</f>
        <v>10</v>
      </c>
      <c r="E242" s="66">
        <f>IFERROR(
   INDEX(tbl_ProduitsRef[Prix Menu],MATCH(B242,tbl_ProduitsRef[Produit],0)),
   ""
)</f>
        <v>25</v>
      </c>
      <c r="F242" s="66">
        <f ca="1">tbl_Produits[[#This Row],[Prix Menu]] - tbl_Produits[[#This Row],[Coût Moyen Portion]]</f>
        <v>15</v>
      </c>
      <c r="G242" s="67">
        <f ca="1">IF(tbl_Produits[[#This Row],[Prix Menu]]&gt;0, tbl_Produits[[#This Row],[Marge Brute]] / tbl_Produits[[#This Row],[Prix Menu]], 0)</f>
        <v>0.6</v>
      </c>
      <c r="H242" s="69">
        <f t="shared" ca="1" si="7"/>
        <v>6.75</v>
      </c>
      <c r="I242" s="67">
        <f ca="1">IF(tbl_Produits[[#This Row],[Prix Menu]]=0, 0, tbl_Produits[[#This Row],[Coût Moyen Portion]] / tbl_Produits[[#This Row],[Prix Menu]])</f>
        <v>0.4</v>
      </c>
      <c r="J242" s="67" t="str" cm="1">
        <f t="array" ref="J242">IFERROR(IF(Total_portions=0, 0, Charges_fixes_totales_periode / Total_portions),"Vérifier")</f>
        <v>Vérifier</v>
      </c>
      <c r="K242" s="131" cm="1">
        <f t="array" aca="1" ref="K242" ca="1">IFERROR(tbl_Produits[[#This Row],[Prix Menu]] - tbl_Produits[[#This Row],[Coût Moyen Portion]] - ChargesFixesPar_Portion[Charges fixes par portion],"Vérifier")</f>
        <v>-10772</v>
      </c>
      <c r="L242" s="132" t="str">
        <f ca="1">IF(OR(tbl_Produits[[#This Row],[Food cost % ]]&gt;0.35,tbl_Produits[[#This Row],[% de Chrg Fixe /Prdt]]&gt;0.2),"À améliorer","OK")</f>
        <v>À améliorer</v>
      </c>
      <c r="M242" s="18">
        <f>IFERROR( (SUMIF(tbl_Charges_Fixes[Famille affectée],tbl_Produits[[#This Row],[Famille]],tbl_Charges_Fixes[Montant_Mensuel])) / (SUMIF(tbl_Ventes[Famille],tbl_Produits[[#This Row],[Famille]],tbl_Ventes[Qté Vendue])), 0)</f>
        <v>25.688073394495412</v>
      </c>
    </row>
    <row r="243" spans="1:13" ht="16.5" customHeight="1" x14ac:dyDescent="0.25">
      <c r="A243" s="29" t="str">
        <f>Référentiels!A243&amp;TEXT(Référentiels!B243,"000")</f>
        <v>JUS006</v>
      </c>
      <c r="B243" s="64" t="str">
        <f>+tbl_ProduitsRef[[#This Row],[Produit]]</f>
        <v>Jus pomme</v>
      </c>
      <c r="C243" s="64" t="str">
        <f>IFERROR(INDEX(tbl_ProduitsRef[Famille], MATCH(tbl_Produits[[#This Row],[Cde_Prdt]], tbl_Produits[Cde_Prdt], 0)), "")</f>
        <v>Jus Frais</v>
      </c>
      <c r="D243" s="65">
        <f ca="1">SUMIF(tbl_Recettes[Cde_Prdt], tbl_Produits[[#This Row],[Cde_Prdt]], tbl_Recettes[Coût Moyen Portion])</f>
        <v>4</v>
      </c>
      <c r="E243" s="66">
        <f>IFERROR(
   INDEX(tbl_ProduitsRef[Prix Menu],MATCH(B243,tbl_ProduitsRef[Produit],0)),
   ""
)</f>
        <v>23</v>
      </c>
      <c r="F243" s="66">
        <f ca="1">tbl_Produits[[#This Row],[Prix Menu]] - tbl_Produits[[#This Row],[Coût Moyen Portion]]</f>
        <v>19</v>
      </c>
      <c r="G243" s="67">
        <f ca="1">IF(tbl_Produits[[#This Row],[Prix Menu]]&gt;0, tbl_Produits[[#This Row],[Marge Brute]] / tbl_Produits[[#This Row],[Prix Menu]], 0)</f>
        <v>0.82608695652173914</v>
      </c>
      <c r="H243" s="69">
        <f t="shared" ca="1" si="7"/>
        <v>8.8804347826086953</v>
      </c>
      <c r="I243" s="67">
        <f ca="1">IF(tbl_Produits[[#This Row],[Prix Menu]]=0, 0, tbl_Produits[[#This Row],[Coût Moyen Portion]] / tbl_Produits[[#This Row],[Prix Menu]])</f>
        <v>0.17391304347826086</v>
      </c>
      <c r="J243" s="67" t="str" cm="1">
        <f t="array" ref="J243">IFERROR(IF(Total_portions=0, 0, Charges_fixes_totales_periode / Total_portions),"Vérifier")</f>
        <v>Vérifier</v>
      </c>
      <c r="K243" s="131" cm="1">
        <f t="array" aca="1" ref="K243" ca="1">IFERROR(tbl_Produits[[#This Row],[Prix Menu]] - tbl_Produits[[#This Row],[Coût Moyen Portion]] - ChargesFixesPar_Portion[Charges fixes par portion],"Vérifier")</f>
        <v>-10768</v>
      </c>
      <c r="L243" s="132" t="str">
        <f ca="1">IF(OR(tbl_Produits[[#This Row],[Food cost % ]]&gt;0.35,tbl_Produits[[#This Row],[% de Chrg Fixe /Prdt]]&gt;0.2),"À améliorer","OK")</f>
        <v>À améliorer</v>
      </c>
      <c r="M243" s="18">
        <f>IFERROR( (SUMIF(tbl_Charges_Fixes[Famille affectée],tbl_Produits[[#This Row],[Famille]],tbl_Charges_Fixes[Montant_Mensuel])) / (SUMIF(tbl_Ventes[Famille],tbl_Produits[[#This Row],[Famille]],tbl_Ventes[Qté Vendue])), 0)</f>
        <v>25.688073394495412</v>
      </c>
    </row>
    <row r="244" spans="1:13" ht="16.5" customHeight="1" x14ac:dyDescent="0.25">
      <c r="A244" s="29" t="str">
        <f>Référentiels!A244&amp;TEXT(Référentiels!B244,"000")</f>
        <v>JUS007</v>
      </c>
      <c r="B244" s="64" t="str">
        <f>+tbl_ProduitsRef[[#This Row],[Produit]]</f>
        <v>Jus pêche</v>
      </c>
      <c r="C244" s="64" t="str">
        <f>IFERROR(INDEX(tbl_ProduitsRef[Famille], MATCH(tbl_Produits[[#This Row],[Cde_Prdt]], tbl_Produits[Cde_Prdt], 0)), "")</f>
        <v>Jus Frais</v>
      </c>
      <c r="D244" s="65">
        <f ca="1">SUMIF(tbl_Recettes[Cde_Prdt], tbl_Produits[[#This Row],[Cde_Prdt]], tbl_Recettes[Coût Moyen Portion])</f>
        <v>0.03</v>
      </c>
      <c r="E244" s="66">
        <f>IFERROR(
   INDEX(tbl_ProduitsRef[Prix Menu],MATCH(B244,tbl_ProduitsRef[Produit],0)),
   ""
)</f>
        <v>25</v>
      </c>
      <c r="F244" s="66">
        <f ca="1">tbl_Produits[[#This Row],[Prix Menu]] - tbl_Produits[[#This Row],[Coût Moyen Portion]]</f>
        <v>24.97</v>
      </c>
      <c r="G244" s="67">
        <f ca="1">IF(tbl_Produits[[#This Row],[Prix Menu]]&gt;0, tbl_Produits[[#This Row],[Marge Brute]] / tbl_Produits[[#This Row],[Prix Menu]], 0)</f>
        <v>0.99879999999999991</v>
      </c>
      <c r="H244" s="69">
        <f t="shared" ca="1" si="7"/>
        <v>11.236499999999999</v>
      </c>
      <c r="I244" s="67">
        <f ca="1">IF(tbl_Produits[[#This Row],[Prix Menu]]=0, 0, tbl_Produits[[#This Row],[Coût Moyen Portion]] / tbl_Produits[[#This Row],[Prix Menu]])</f>
        <v>1.1999999999999999E-3</v>
      </c>
      <c r="J244" s="67" t="str" cm="1">
        <f t="array" ref="J244">IFERROR(IF(Total_portions=0, 0, Charges_fixes_totales_periode / Total_portions),"Vérifier")</f>
        <v>Vérifier</v>
      </c>
      <c r="K244" s="131" cm="1">
        <f t="array" aca="1" ref="K244" ca="1">IFERROR(tbl_Produits[[#This Row],[Prix Menu]] - tbl_Produits[[#This Row],[Coût Moyen Portion]] - ChargesFixesPar_Portion[Charges fixes par portion],"Vérifier")</f>
        <v>-10762.03</v>
      </c>
      <c r="L244" s="132" t="str">
        <f ca="1">IF(OR(tbl_Produits[[#This Row],[Food cost % ]]&gt;0.35,tbl_Produits[[#This Row],[% de Chrg Fixe /Prdt]]&gt;0.2),"À améliorer","OK")</f>
        <v>À améliorer</v>
      </c>
      <c r="M244" s="18">
        <f>IFERROR( (SUMIF(tbl_Charges_Fixes[Famille affectée],tbl_Produits[[#This Row],[Famille]],tbl_Charges_Fixes[Montant_Mensuel])) / (SUMIF(tbl_Ventes[Famille],tbl_Produits[[#This Row],[Famille]],tbl_Ventes[Qté Vendue])), 0)</f>
        <v>25.688073394495412</v>
      </c>
    </row>
    <row r="245" spans="1:13" ht="16.5" customHeight="1" x14ac:dyDescent="0.25">
      <c r="A245" s="29" t="str">
        <f>Référentiels!A245&amp;TEXT(Référentiels!B245,"000")</f>
        <v>JUS008</v>
      </c>
      <c r="B245" s="64" t="str">
        <f>+tbl_ProduitsRef[[#This Row],[Produit]]</f>
        <v>Jus framboise</v>
      </c>
      <c r="C245" s="64" t="str">
        <f>IFERROR(INDEX(tbl_ProduitsRef[Famille], MATCH(tbl_Produits[[#This Row],[Cde_Prdt]], tbl_Produits[Cde_Prdt], 0)), "")</f>
        <v>Jus Frais</v>
      </c>
      <c r="D245" s="65">
        <f ca="1">SUMIF(tbl_Recettes[Cde_Prdt], tbl_Produits[[#This Row],[Cde_Prdt]], tbl_Recettes[Coût Moyen Portion])</f>
        <v>6.4</v>
      </c>
      <c r="E245" s="66">
        <f>IFERROR(
   INDEX(tbl_ProduitsRef[Prix Menu],MATCH(B245,tbl_ProduitsRef[Produit],0)),
   ""
)</f>
        <v>32</v>
      </c>
      <c r="F245" s="66">
        <f ca="1">tbl_Produits[[#This Row],[Prix Menu]] - tbl_Produits[[#This Row],[Coût Moyen Portion]]</f>
        <v>25.6</v>
      </c>
      <c r="G245" s="67">
        <f ca="1">IF(tbl_Produits[[#This Row],[Prix Menu]]&gt;0, tbl_Produits[[#This Row],[Marge Brute]] / tbl_Produits[[#This Row],[Prix Menu]], 0)</f>
        <v>0.8</v>
      </c>
      <c r="H245" s="69">
        <f t="shared" ca="1" si="7"/>
        <v>10.4</v>
      </c>
      <c r="I245" s="67">
        <f ca="1">IF(tbl_Produits[[#This Row],[Prix Menu]]=0, 0, tbl_Produits[[#This Row],[Coût Moyen Portion]] / tbl_Produits[[#This Row],[Prix Menu]])</f>
        <v>0.2</v>
      </c>
      <c r="J245" s="67" t="str" cm="1">
        <f t="array" ref="J245">IFERROR(IF(Total_portions=0, 0, Charges_fixes_totales_periode / Total_portions),"Vérifier")</f>
        <v>Vérifier</v>
      </c>
      <c r="K245" s="131" cm="1">
        <f t="array" aca="1" ref="K245" ca="1">IFERROR(tbl_Produits[[#This Row],[Prix Menu]] - tbl_Produits[[#This Row],[Coût Moyen Portion]] - ChargesFixesPar_Portion[Charges fixes par portion],"Vérifier")</f>
        <v>-10761.4</v>
      </c>
      <c r="L245" s="132" t="str">
        <f ca="1">IF(OR(tbl_Produits[[#This Row],[Food cost % ]]&gt;0.35,tbl_Produits[[#This Row],[% de Chrg Fixe /Prdt]]&gt;0.2),"À améliorer","OK")</f>
        <v>À améliorer</v>
      </c>
      <c r="M245" s="18">
        <f>IFERROR( (SUMIF(tbl_Charges_Fixes[Famille affectée],tbl_Produits[[#This Row],[Famille]],tbl_Charges_Fixes[Montant_Mensuel])) / (SUMIF(tbl_Ventes[Famille],tbl_Produits[[#This Row],[Famille]],tbl_Ventes[Qté Vendue])), 0)</f>
        <v>25.688073394495412</v>
      </c>
    </row>
    <row r="246" spans="1:13" ht="16.5" customHeight="1" x14ac:dyDescent="0.25">
      <c r="A246" s="29" t="str">
        <f>Référentiels!A246&amp;TEXT(Référentiels!B246,"000")</f>
        <v>JUS009</v>
      </c>
      <c r="B246" s="64" t="str">
        <f>+tbl_ProduitsRef[[#This Row],[Produit]]</f>
        <v>Jus avocat</v>
      </c>
      <c r="C246" s="64" t="str">
        <f>IFERROR(INDEX(tbl_ProduitsRef[Famille], MATCH(tbl_Produits[[#This Row],[Cde_Prdt]], tbl_Produits[Cde_Prdt], 0)), "")</f>
        <v>Jus Frais</v>
      </c>
      <c r="D246" s="65">
        <f ca="1">SUMIF(tbl_Recettes[Cde_Prdt], tbl_Produits[[#This Row],[Cde_Prdt]], tbl_Recettes[Coût Moyen Portion])</f>
        <v>10</v>
      </c>
      <c r="E246" s="66">
        <f>IFERROR(
   INDEX(tbl_ProduitsRef[Prix Menu],MATCH(B246,tbl_ProduitsRef[Produit],0)),
   ""
)</f>
        <v>29</v>
      </c>
      <c r="F246" s="66">
        <f ca="1">tbl_Produits[[#This Row],[Prix Menu]] - tbl_Produits[[#This Row],[Coût Moyen Portion]]</f>
        <v>19</v>
      </c>
      <c r="G246" s="67">
        <f ca="1">IF(tbl_Produits[[#This Row],[Prix Menu]]&gt;0, tbl_Produits[[#This Row],[Marge Brute]] / tbl_Produits[[#This Row],[Prix Menu]], 0)</f>
        <v>0.65517241379310343</v>
      </c>
      <c r="H246" s="69">
        <f t="shared" ca="1" si="7"/>
        <v>8.025862068965516</v>
      </c>
      <c r="I246" s="67">
        <f ca="1">IF(tbl_Produits[[#This Row],[Prix Menu]]=0, 0, tbl_Produits[[#This Row],[Coût Moyen Portion]] / tbl_Produits[[#This Row],[Prix Menu]])</f>
        <v>0.34482758620689657</v>
      </c>
      <c r="J246" s="67" t="str" cm="1">
        <f t="array" ref="J246">IFERROR(IF(Total_portions=0, 0, Charges_fixes_totales_periode / Total_portions),"Vérifier")</f>
        <v>Vérifier</v>
      </c>
      <c r="K246" s="131" cm="1">
        <f t="array" aca="1" ref="K246" ca="1">IFERROR(tbl_Produits[[#This Row],[Prix Menu]] - tbl_Produits[[#This Row],[Coût Moyen Portion]] - ChargesFixesPar_Portion[Charges fixes par portion],"Vérifier")</f>
        <v>-10768</v>
      </c>
      <c r="L246" s="132" t="str">
        <f ca="1">IF(OR(tbl_Produits[[#This Row],[Food cost % ]]&gt;0.35,tbl_Produits[[#This Row],[% de Chrg Fixe /Prdt]]&gt;0.2),"À améliorer","OK")</f>
        <v>À améliorer</v>
      </c>
      <c r="M246" s="18">
        <f>IFERROR( (SUMIF(tbl_Charges_Fixes[Famille affectée],tbl_Produits[[#This Row],[Famille]],tbl_Charges_Fixes[Montant_Mensuel])) / (SUMIF(tbl_Ventes[Famille],tbl_Produits[[#This Row],[Famille]],tbl_Ventes[Qté Vendue])), 0)</f>
        <v>25.688073394495412</v>
      </c>
    </row>
    <row r="247" spans="1:13" ht="16.5" customHeight="1" x14ac:dyDescent="0.25">
      <c r="A247" s="29" t="str">
        <f>Référentiels!A247&amp;TEXT(Référentiels!B247,"000")</f>
        <v>JUS010</v>
      </c>
      <c r="B247" s="64" t="str">
        <f>+tbl_ProduitsRef[[#This Row],[Produit]]</f>
        <v>Jus ananas</v>
      </c>
      <c r="C247" s="64" t="str">
        <f>IFERROR(INDEX(tbl_ProduitsRef[Famille], MATCH(tbl_Produits[[#This Row],[Cde_Prdt]], tbl_Produits[Cde_Prdt], 0)), "")</f>
        <v>Jus Frais</v>
      </c>
      <c r="D247" s="65">
        <f ca="1">SUMIF(tbl_Recettes[Cde_Prdt], tbl_Produits[[#This Row],[Cde_Prdt]], tbl_Recettes[Coût Moyen Portion])</f>
        <v>7.5</v>
      </c>
      <c r="E247" s="66">
        <f>IFERROR(
   INDEX(tbl_ProduitsRef[Prix Menu],MATCH(B247,tbl_ProduitsRef[Produit],0)),
   ""
)</f>
        <v>29</v>
      </c>
      <c r="F247" s="66">
        <f ca="1">tbl_Produits[[#This Row],[Prix Menu]] - tbl_Produits[[#This Row],[Coût Moyen Portion]]</f>
        <v>21.5</v>
      </c>
      <c r="G247" s="67">
        <f ca="1">IF(tbl_Produits[[#This Row],[Prix Menu]]&gt;0, tbl_Produits[[#This Row],[Marge Brute]] / tbl_Produits[[#This Row],[Prix Menu]], 0)</f>
        <v>0.74137931034482762</v>
      </c>
      <c r="H247" s="69">
        <f t="shared" ca="1" si="7"/>
        <v>9.0818965517241388</v>
      </c>
      <c r="I247" s="67">
        <f ca="1">IF(tbl_Produits[[#This Row],[Prix Menu]]=0, 0, tbl_Produits[[#This Row],[Coût Moyen Portion]] / tbl_Produits[[#This Row],[Prix Menu]])</f>
        <v>0.25862068965517243</v>
      </c>
      <c r="J247" s="67" t="str" cm="1">
        <f t="array" ref="J247">IFERROR(IF(Total_portions=0, 0, Charges_fixes_totales_periode / Total_portions),"Vérifier")</f>
        <v>Vérifier</v>
      </c>
      <c r="K247" s="131" cm="1">
        <f t="array" aca="1" ref="K247" ca="1">IFERROR(tbl_Produits[[#This Row],[Prix Menu]] - tbl_Produits[[#This Row],[Coût Moyen Portion]] - ChargesFixesPar_Portion[Charges fixes par portion],"Vérifier")</f>
        <v>-10765.5</v>
      </c>
      <c r="L247" s="132" t="str">
        <f ca="1">IF(OR(tbl_Produits[[#This Row],[Food cost % ]]&gt;0.35,tbl_Produits[[#This Row],[% de Chrg Fixe /Prdt]]&gt;0.2),"À améliorer","OK")</f>
        <v>À améliorer</v>
      </c>
      <c r="M247" s="18">
        <f>IFERROR( (SUMIF(tbl_Charges_Fixes[Famille affectée],tbl_Produits[[#This Row],[Famille]],tbl_Charges_Fixes[Montant_Mensuel])) / (SUMIF(tbl_Ventes[Famille],tbl_Produits[[#This Row],[Famille]],tbl_Ventes[Qté Vendue])), 0)</f>
        <v>25.688073394495412</v>
      </c>
    </row>
    <row r="248" spans="1:13" ht="16.5" customHeight="1" x14ac:dyDescent="0.25">
      <c r="A248" s="29" t="str">
        <f>Référentiels!A248&amp;TEXT(Référentiels!B248,"000")</f>
        <v>JUS011</v>
      </c>
      <c r="B248" s="64" t="str">
        <f>+tbl_ProduitsRef[[#This Row],[Produit]]</f>
        <v>Jus panaché</v>
      </c>
      <c r="C248" s="64" t="str">
        <f>IFERROR(INDEX(tbl_ProduitsRef[Famille], MATCH(tbl_Produits[[#This Row],[Cde_Prdt]], tbl_Produits[Cde_Prdt], 0)), "")</f>
        <v>Jus Frais</v>
      </c>
      <c r="D248" s="65">
        <f ca="1">SUMIF(tbl_Recettes[Cde_Prdt], tbl_Produits[[#This Row],[Cde_Prdt]], tbl_Recettes[Coût Moyen Portion])</f>
        <v>4.5999999999999996</v>
      </c>
      <c r="E248" s="66">
        <f>IFERROR(
   INDEX(tbl_ProduitsRef[Prix Menu],MATCH(B248,tbl_ProduitsRef[Produit],0)),
   ""
)</f>
        <v>35</v>
      </c>
      <c r="F248" s="66">
        <f ca="1">tbl_Produits[[#This Row],[Prix Menu]] - tbl_Produits[[#This Row],[Coût Moyen Portion]]</f>
        <v>30.4</v>
      </c>
      <c r="G248" s="67">
        <f ca="1">IF(tbl_Produits[[#This Row],[Prix Menu]]&gt;0, tbl_Produits[[#This Row],[Marge Brute]] / tbl_Produits[[#This Row],[Prix Menu]], 0)</f>
        <v>0.86857142857142855</v>
      </c>
      <c r="H248" s="69">
        <f t="shared" ca="1" si="7"/>
        <v>11.942857142857143</v>
      </c>
      <c r="I248" s="67">
        <f ca="1">IF(tbl_Produits[[#This Row],[Prix Menu]]=0, 0, tbl_Produits[[#This Row],[Coût Moyen Portion]] / tbl_Produits[[#This Row],[Prix Menu]])</f>
        <v>0.13142857142857142</v>
      </c>
      <c r="J248" s="67" t="str" cm="1">
        <f t="array" ref="J248">IFERROR(IF(Total_portions=0, 0, Charges_fixes_totales_periode / Total_portions),"Vérifier")</f>
        <v>Vérifier</v>
      </c>
      <c r="K248" s="131" cm="1">
        <f t="array" aca="1" ref="K248" ca="1">IFERROR(tbl_Produits[[#This Row],[Prix Menu]] - tbl_Produits[[#This Row],[Coût Moyen Portion]] - ChargesFixesPar_Portion[Charges fixes par portion],"Vérifier")</f>
        <v>-10756.6</v>
      </c>
      <c r="L248" s="132" t="str">
        <f ca="1">IF(OR(tbl_Produits[[#This Row],[Food cost % ]]&gt;0.35,tbl_Produits[[#This Row],[% de Chrg Fixe /Prdt]]&gt;0.2),"À améliorer","OK")</f>
        <v>À améliorer</v>
      </c>
      <c r="M248" s="18">
        <f>IFERROR( (SUMIF(tbl_Charges_Fixes[Famille affectée],tbl_Produits[[#This Row],[Famille]],tbl_Charges_Fixes[Montant_Mensuel])) / (SUMIF(tbl_Ventes[Famille],tbl_Produits[[#This Row],[Famille]],tbl_Ventes[Qté Vendue])), 0)</f>
        <v>25.688073394495412</v>
      </c>
    </row>
    <row r="249" spans="1:13" ht="16.5" customHeight="1" x14ac:dyDescent="0.25">
      <c r="A249" s="29" t="str">
        <f>Référentiels!A249&amp;TEXT(Référentiels!B249,"000")</f>
        <v>MKS001</v>
      </c>
      <c r="B249" s="64" t="str">
        <f>+tbl_ProduitsRef[[#This Row],[Produit]]</f>
        <v>Milkshakes Oreo</v>
      </c>
      <c r="C249" s="64" t="str">
        <f>IFERROR(INDEX(tbl_ProduitsRef[Famille], MATCH(tbl_Produits[[#This Row],[Cde_Prdt]], tbl_Produits[Cde_Prdt], 0)), "")</f>
        <v>Milkshakes</v>
      </c>
      <c r="D249" s="65">
        <f ca="1">SUMIF(tbl_Recettes[Cde_Prdt], tbl_Produits[[#This Row],[Cde_Prdt]], tbl_Recettes[Coût Moyen Portion])</f>
        <v>15</v>
      </c>
      <c r="E249" s="66">
        <f>IFERROR(
   INDEX(tbl_ProduitsRef[Prix Menu],MATCH(B249,tbl_ProduitsRef[Produit],0)),
   ""
)</f>
        <v>38</v>
      </c>
      <c r="F249" s="66">
        <f ca="1">tbl_Produits[[#This Row],[Prix Menu]] - tbl_Produits[[#This Row],[Coût Moyen Portion]]</f>
        <v>23</v>
      </c>
      <c r="G249" s="67">
        <f ca="1">IF(tbl_Produits[[#This Row],[Prix Menu]]&gt;0, tbl_Produits[[#This Row],[Marge Brute]] / tbl_Produits[[#This Row],[Prix Menu]], 0)</f>
        <v>0.60526315789473684</v>
      </c>
      <c r="H249" s="69">
        <f t="shared" ca="1" si="7"/>
        <v>8.776315789473685</v>
      </c>
      <c r="I249" s="67">
        <f ca="1">IF(tbl_Produits[[#This Row],[Prix Menu]]=0, 0, tbl_Produits[[#This Row],[Coût Moyen Portion]] / tbl_Produits[[#This Row],[Prix Menu]])</f>
        <v>0.39473684210526316</v>
      </c>
      <c r="J249" s="67" t="str" cm="1">
        <f t="array" ref="J249">IFERROR(IF(Total_portions=0, 0, Charges_fixes_totales_periode / Total_portions),"Vérifier")</f>
        <v>Vérifier</v>
      </c>
      <c r="K249" s="131" cm="1">
        <f t="array" aca="1" ref="K249" ca="1">IFERROR(tbl_Produits[[#This Row],[Prix Menu]] - tbl_Produits[[#This Row],[Coût Moyen Portion]] - ChargesFixesPar_Portion[Charges fixes par portion],"Vérifier")</f>
        <v>-10764</v>
      </c>
      <c r="L249" s="132" t="str">
        <f ca="1">IF(OR(tbl_Produits[[#This Row],[Food cost % ]]&gt;0.35,tbl_Produits[[#This Row],[% de Chrg Fixe /Prdt]]&gt;0.2),"À améliorer","OK")</f>
        <v>À améliorer</v>
      </c>
      <c r="M249" s="18">
        <f>IFERROR( (SUMIF(tbl_Charges_Fixes[Famille affectée],tbl_Produits[[#This Row],[Famille]],tbl_Charges_Fixes[Montant_Mensuel])) / (SUMIF(tbl_Ventes[Famille],tbl_Produits[[#This Row],[Famille]],tbl_Ventes[Qté Vendue])), 0)</f>
        <v>44.472681067344347</v>
      </c>
    </row>
    <row r="250" spans="1:13" ht="16.5" customHeight="1" x14ac:dyDescent="0.25">
      <c r="A250" s="29" t="str">
        <f>Référentiels!A250&amp;TEXT(Référentiels!B250,"000")</f>
        <v>MKS002</v>
      </c>
      <c r="B250" s="64" t="str">
        <f>+tbl_ProduitsRef[[#This Row],[Produit]]</f>
        <v>Milkshakes Snickers</v>
      </c>
      <c r="C250" s="64" t="str">
        <f>IFERROR(INDEX(tbl_ProduitsRef[Famille], MATCH(tbl_Produits[[#This Row],[Cde_Prdt]], tbl_Produits[Cde_Prdt], 0)), "")</f>
        <v>Milkshakes</v>
      </c>
      <c r="D250" s="65">
        <f ca="1">SUMIF(tbl_Recettes[Cde_Prdt], tbl_Produits[[#This Row],[Cde_Prdt]], tbl_Recettes[Coût Moyen Portion])</f>
        <v>16.5</v>
      </c>
      <c r="E250" s="66">
        <f>IFERROR(
   INDEX(tbl_ProduitsRef[Prix Menu],MATCH(B250,tbl_ProduitsRef[Produit],0)),
   ""
)</f>
        <v>38</v>
      </c>
      <c r="F250" s="66">
        <f ca="1">tbl_Produits[[#This Row],[Prix Menu]] - tbl_Produits[[#This Row],[Coût Moyen Portion]]</f>
        <v>21.5</v>
      </c>
      <c r="G250" s="67">
        <f ca="1">IF(tbl_Produits[[#This Row],[Prix Menu]]&gt;0, tbl_Produits[[#This Row],[Marge Brute]] / tbl_Produits[[#This Row],[Prix Menu]], 0)</f>
        <v>0.56578947368421051</v>
      </c>
      <c r="H250" s="69">
        <f t="shared" ca="1" si="7"/>
        <v>8.2039473684210531</v>
      </c>
      <c r="I250" s="67">
        <f ca="1">IF(tbl_Produits[[#This Row],[Prix Menu]]=0, 0, tbl_Produits[[#This Row],[Coût Moyen Portion]] / tbl_Produits[[#This Row],[Prix Menu]])</f>
        <v>0.43421052631578949</v>
      </c>
      <c r="J250" s="67" t="str" cm="1">
        <f t="array" ref="J250">IFERROR(IF(Total_portions=0, 0, Charges_fixes_totales_periode / Total_portions),"Vérifier")</f>
        <v>Vérifier</v>
      </c>
      <c r="K250" s="131" cm="1">
        <f t="array" aca="1" ref="K250" ca="1">IFERROR(tbl_Produits[[#This Row],[Prix Menu]] - tbl_Produits[[#This Row],[Coût Moyen Portion]] - ChargesFixesPar_Portion[Charges fixes par portion],"Vérifier")</f>
        <v>-10765.5</v>
      </c>
      <c r="L250" s="132" t="str">
        <f ca="1">IF(OR(tbl_Produits[[#This Row],[Food cost % ]]&gt;0.35,tbl_Produits[[#This Row],[% de Chrg Fixe /Prdt]]&gt;0.2),"À améliorer","OK")</f>
        <v>À améliorer</v>
      </c>
      <c r="M250" s="18">
        <f>IFERROR( (SUMIF(tbl_Charges_Fixes[Famille affectée],tbl_Produits[[#This Row],[Famille]],tbl_Charges_Fixes[Montant_Mensuel])) / (SUMIF(tbl_Ventes[Famille],tbl_Produits[[#This Row],[Famille]],tbl_Ventes[Qté Vendue])), 0)</f>
        <v>44.472681067344347</v>
      </c>
    </row>
    <row r="251" spans="1:13" ht="16.5" customHeight="1" x14ac:dyDescent="0.25">
      <c r="A251" s="29" t="str">
        <f>Référentiels!A251&amp;TEXT(Référentiels!B251,"000")</f>
        <v>MKS003</v>
      </c>
      <c r="B251" s="64" t="str">
        <f>+tbl_ProduitsRef[[#This Row],[Produit]]</f>
        <v>Milkshakes KitKat</v>
      </c>
      <c r="C251" s="64" t="str">
        <f>IFERROR(INDEX(tbl_ProduitsRef[Famille], MATCH(tbl_Produits[[#This Row],[Cde_Prdt]], tbl_Produits[Cde_Prdt], 0)), "")</f>
        <v>Milkshakes</v>
      </c>
      <c r="D251" s="65">
        <f ca="1">SUMIF(tbl_Recettes[Cde_Prdt], tbl_Produits[[#This Row],[Cde_Prdt]], tbl_Recettes[Coût Moyen Portion])</f>
        <v>15</v>
      </c>
      <c r="E251" s="66">
        <f>IFERROR(
   INDEX(tbl_ProduitsRef[Prix Menu],MATCH(B251,tbl_ProduitsRef[Produit],0)),
   ""
)</f>
        <v>38</v>
      </c>
      <c r="F251" s="66">
        <f ca="1">tbl_Produits[[#This Row],[Prix Menu]] - tbl_Produits[[#This Row],[Coût Moyen Portion]]</f>
        <v>23</v>
      </c>
      <c r="G251" s="67">
        <f ca="1">IF(tbl_Produits[[#This Row],[Prix Menu]]&gt;0, tbl_Produits[[#This Row],[Marge Brute]] / tbl_Produits[[#This Row],[Prix Menu]], 0)</f>
        <v>0.60526315789473684</v>
      </c>
      <c r="H251" s="69">
        <f t="shared" ca="1" si="7"/>
        <v>8.776315789473685</v>
      </c>
      <c r="I251" s="67">
        <f ca="1">IF(tbl_Produits[[#This Row],[Prix Menu]]=0, 0, tbl_Produits[[#This Row],[Coût Moyen Portion]] / tbl_Produits[[#This Row],[Prix Menu]])</f>
        <v>0.39473684210526316</v>
      </c>
      <c r="J251" s="67" t="str" cm="1">
        <f t="array" ref="J251">IFERROR(IF(Total_portions=0, 0, Charges_fixes_totales_periode / Total_portions),"Vérifier")</f>
        <v>Vérifier</v>
      </c>
      <c r="K251" s="131" cm="1">
        <f t="array" aca="1" ref="K251" ca="1">IFERROR(tbl_Produits[[#This Row],[Prix Menu]] - tbl_Produits[[#This Row],[Coût Moyen Portion]] - ChargesFixesPar_Portion[Charges fixes par portion],"Vérifier")</f>
        <v>-10764</v>
      </c>
      <c r="L251" s="132" t="str">
        <f ca="1">IF(OR(tbl_Produits[[#This Row],[Food cost % ]]&gt;0.35,tbl_Produits[[#This Row],[% de Chrg Fixe /Prdt]]&gt;0.2),"À améliorer","OK")</f>
        <v>À améliorer</v>
      </c>
      <c r="M251" s="18">
        <f>IFERROR( (SUMIF(tbl_Charges_Fixes[Famille affectée],tbl_Produits[[#This Row],[Famille]],tbl_Charges_Fixes[Montant_Mensuel])) / (SUMIF(tbl_Ventes[Famille],tbl_Produits[[#This Row],[Famille]],tbl_Ventes[Qté Vendue])), 0)</f>
        <v>44.472681067344347</v>
      </c>
    </row>
    <row r="252" spans="1:13" ht="16.5" customHeight="1" x14ac:dyDescent="0.25">
      <c r="A252" s="29" t="str">
        <f>Référentiels!A252&amp;TEXT(Référentiels!B252,"000")</f>
        <v>MKS004</v>
      </c>
      <c r="B252" s="64" t="str">
        <f>+tbl_ProduitsRef[[#This Row],[Produit]]</f>
        <v>Milkshakes Kinder Bueno</v>
      </c>
      <c r="C252" s="64" t="str">
        <f>IFERROR(INDEX(tbl_ProduitsRef[Famille], MATCH(tbl_Produits[[#This Row],[Cde_Prdt]], tbl_Produits[Cde_Prdt], 0)), "")</f>
        <v>Milkshakes</v>
      </c>
      <c r="D252" s="65">
        <f ca="1">SUMIF(tbl_Recettes[Cde_Prdt], tbl_Produits[[#This Row],[Cde_Prdt]], tbl_Recettes[Coût Moyen Portion])</f>
        <v>15</v>
      </c>
      <c r="E252" s="66">
        <f>IFERROR(
   INDEX(tbl_ProduitsRef[Prix Menu],MATCH(B252,tbl_ProduitsRef[Produit],0)),
   ""
)</f>
        <v>38</v>
      </c>
      <c r="F252" s="66">
        <f ca="1">tbl_Produits[[#This Row],[Prix Menu]] - tbl_Produits[[#This Row],[Coût Moyen Portion]]</f>
        <v>23</v>
      </c>
      <c r="G252" s="67">
        <f ca="1">IF(tbl_Produits[[#This Row],[Prix Menu]]&gt;0, tbl_Produits[[#This Row],[Marge Brute]] / tbl_Produits[[#This Row],[Prix Menu]], 0)</f>
        <v>0.60526315789473684</v>
      </c>
      <c r="H252" s="69">
        <f t="shared" ca="1" si="7"/>
        <v>8.776315789473685</v>
      </c>
      <c r="I252" s="67">
        <f ca="1">IF(tbl_Produits[[#This Row],[Prix Menu]]=0, 0, tbl_Produits[[#This Row],[Coût Moyen Portion]] / tbl_Produits[[#This Row],[Prix Menu]])</f>
        <v>0.39473684210526316</v>
      </c>
      <c r="J252" s="67" t="str" cm="1">
        <f t="array" ref="J252">IFERROR(IF(Total_portions=0, 0, Charges_fixes_totales_periode / Total_portions),"Vérifier")</f>
        <v>Vérifier</v>
      </c>
      <c r="K252" s="131" cm="1">
        <f t="array" aca="1" ref="K252" ca="1">IFERROR(tbl_Produits[[#This Row],[Prix Menu]] - tbl_Produits[[#This Row],[Coût Moyen Portion]] - ChargesFixesPar_Portion[Charges fixes par portion],"Vérifier")</f>
        <v>-10764</v>
      </c>
      <c r="L252" s="132" t="str">
        <f ca="1">IF(OR(tbl_Produits[[#This Row],[Food cost % ]]&gt;0.35,tbl_Produits[[#This Row],[% de Chrg Fixe /Prdt]]&gt;0.2),"À améliorer","OK")</f>
        <v>À améliorer</v>
      </c>
      <c r="M252" s="18">
        <f>IFERROR( (SUMIF(tbl_Charges_Fixes[Famille affectée],tbl_Produits[[#This Row],[Famille]],tbl_Charges_Fixes[Montant_Mensuel])) / (SUMIF(tbl_Ventes[Famille],tbl_Produits[[#This Row],[Famille]],tbl_Ventes[Qté Vendue])), 0)</f>
        <v>44.472681067344347</v>
      </c>
    </row>
    <row r="253" spans="1:13" ht="16.5" customHeight="1" x14ac:dyDescent="0.25">
      <c r="A253" s="29" t="str">
        <f>Référentiels!A253&amp;TEXT(Référentiels!B253,"000")</f>
        <v>MKS005</v>
      </c>
      <c r="B253" s="64" t="str">
        <f>+tbl_ProduitsRef[[#This Row],[Produit]]</f>
        <v>Milkshakes Fraise</v>
      </c>
      <c r="C253" s="64" t="str">
        <f>IFERROR(INDEX(tbl_ProduitsRef[Famille], MATCH(tbl_Produits[[#This Row],[Cde_Prdt]], tbl_Produits[Cde_Prdt], 0)), "")</f>
        <v>Milkshakes</v>
      </c>
      <c r="D253" s="65">
        <f ca="1">SUMIF(tbl_Recettes[Cde_Prdt], tbl_Produits[[#This Row],[Cde_Prdt]], tbl_Recettes[Coût Moyen Portion])</f>
        <v>9.1999999999999993</v>
      </c>
      <c r="E253" s="66">
        <f>IFERROR(
   INDEX(tbl_ProduitsRef[Prix Menu],MATCH(B253,tbl_ProduitsRef[Produit],0)),
   ""
)</f>
        <v>38</v>
      </c>
      <c r="F253" s="66">
        <f ca="1">tbl_Produits[[#This Row],[Prix Menu]] - tbl_Produits[[#This Row],[Coût Moyen Portion]]</f>
        <v>28.8</v>
      </c>
      <c r="G253" s="67">
        <f ca="1">IF(tbl_Produits[[#This Row],[Prix Menu]]&gt;0, tbl_Produits[[#This Row],[Marge Brute]] / tbl_Produits[[#This Row],[Prix Menu]], 0)</f>
        <v>0.75789473684210529</v>
      </c>
      <c r="H253" s="69">
        <f t="shared" ca="1" si="7"/>
        <v>10.989473684210527</v>
      </c>
      <c r="I253" s="67">
        <f ca="1">IF(tbl_Produits[[#This Row],[Prix Menu]]=0, 0, tbl_Produits[[#This Row],[Coût Moyen Portion]] / tbl_Produits[[#This Row],[Prix Menu]])</f>
        <v>0.24210526315789471</v>
      </c>
      <c r="J253" s="67" t="str" cm="1">
        <f t="array" ref="J253">IFERROR(IF(Total_portions=0, 0, Charges_fixes_totales_periode / Total_portions),"Vérifier")</f>
        <v>Vérifier</v>
      </c>
      <c r="K253" s="131" cm="1">
        <f t="array" aca="1" ref="K253" ca="1">IFERROR(tbl_Produits[[#This Row],[Prix Menu]] - tbl_Produits[[#This Row],[Coût Moyen Portion]] - ChargesFixesPar_Portion[Charges fixes par portion],"Vérifier")</f>
        <v>-10758.2</v>
      </c>
      <c r="L253" s="132" t="str">
        <f ca="1">IF(OR(tbl_Produits[[#This Row],[Food cost % ]]&gt;0.35,tbl_Produits[[#This Row],[% de Chrg Fixe /Prdt]]&gt;0.2),"À améliorer","OK")</f>
        <v>À améliorer</v>
      </c>
      <c r="M253" s="18">
        <f>IFERROR( (SUMIF(tbl_Charges_Fixes[Famille affectée],tbl_Produits[[#This Row],[Famille]],tbl_Charges_Fixes[Montant_Mensuel])) / (SUMIF(tbl_Ventes[Famille],tbl_Produits[[#This Row],[Famille]],tbl_Ventes[Qté Vendue])), 0)</f>
        <v>44.472681067344347</v>
      </c>
    </row>
    <row r="254" spans="1:13" ht="16.5" customHeight="1" x14ac:dyDescent="0.25">
      <c r="A254" s="29" t="str">
        <f>Référentiels!A254&amp;TEXT(Référentiels!B254,"000")</f>
        <v>MKS006</v>
      </c>
      <c r="B254" s="64" t="str">
        <f>+tbl_ProduitsRef[[#This Row],[Produit]]</f>
        <v>Milkshakes Noisette</v>
      </c>
      <c r="C254" s="64" t="str">
        <f>IFERROR(INDEX(tbl_ProduitsRef[Famille], MATCH(tbl_Produits[[#This Row],[Cde_Prdt]], tbl_Produits[Cde_Prdt], 0)), "")</f>
        <v>Milkshakes</v>
      </c>
      <c r="D254" s="65">
        <f ca="1">SUMIF(tbl_Recettes[Cde_Prdt], tbl_Produits[[#This Row],[Cde_Prdt]], tbl_Recettes[Coût Moyen Portion])</f>
        <v>17.3</v>
      </c>
      <c r="E254" s="66">
        <f>IFERROR(
   INDEX(tbl_ProduitsRef[Prix Menu],MATCH(B254,tbl_ProduitsRef[Produit],0)),
   ""
)</f>
        <v>35</v>
      </c>
      <c r="F254" s="66">
        <f ca="1">tbl_Produits[[#This Row],[Prix Menu]] - tbl_Produits[[#This Row],[Coût Moyen Portion]]</f>
        <v>17.7</v>
      </c>
      <c r="G254" s="67">
        <f ca="1">IF(tbl_Produits[[#This Row],[Prix Menu]]&gt;0, tbl_Produits[[#This Row],[Marge Brute]] / tbl_Produits[[#This Row],[Prix Menu]], 0)</f>
        <v>0.50571428571428567</v>
      </c>
      <c r="H254" s="69">
        <f t="shared" ca="1" si="7"/>
        <v>6.9535714285714283</v>
      </c>
      <c r="I254" s="67">
        <f ca="1">IF(tbl_Produits[[#This Row],[Prix Menu]]=0, 0, tbl_Produits[[#This Row],[Coût Moyen Portion]] / tbl_Produits[[#This Row],[Prix Menu]])</f>
        <v>0.49428571428571433</v>
      </c>
      <c r="J254" s="67" t="str" cm="1">
        <f t="array" ref="J254">IFERROR(IF(Total_portions=0, 0, Charges_fixes_totales_periode / Total_portions),"Vérifier")</f>
        <v>Vérifier</v>
      </c>
      <c r="K254" s="131" cm="1">
        <f t="array" aca="1" ref="K254" ca="1">IFERROR(tbl_Produits[[#This Row],[Prix Menu]] - tbl_Produits[[#This Row],[Coût Moyen Portion]] - ChargesFixesPar_Portion[Charges fixes par portion],"Vérifier")</f>
        <v>-10769.3</v>
      </c>
      <c r="L254" s="132" t="str">
        <f ca="1">IF(OR(tbl_Produits[[#This Row],[Food cost % ]]&gt;0.35,tbl_Produits[[#This Row],[% de Chrg Fixe /Prdt]]&gt;0.2),"À améliorer","OK")</f>
        <v>À améliorer</v>
      </c>
      <c r="M254" s="18">
        <f>IFERROR( (SUMIF(tbl_Charges_Fixes[Famille affectée],tbl_Produits[[#This Row],[Famille]],tbl_Charges_Fixes[Montant_Mensuel])) / (SUMIF(tbl_Ventes[Famille],tbl_Produits[[#This Row],[Famille]],tbl_Ventes[Qté Vendue])), 0)</f>
        <v>44.472681067344347</v>
      </c>
    </row>
    <row r="255" spans="1:13" ht="16.5" customHeight="1" x14ac:dyDescent="0.25">
      <c r="A255" s="29" t="str">
        <f>Référentiels!A255&amp;TEXT(Référentiels!B255,"000")</f>
        <v>MKS007</v>
      </c>
      <c r="B255" s="64" t="str">
        <f>+tbl_ProduitsRef[[#This Row],[Produit]]</f>
        <v>Milkshakes Caramel</v>
      </c>
      <c r="C255" s="64" t="str">
        <f>IFERROR(INDEX(tbl_ProduitsRef[Famille], MATCH(tbl_Produits[[#This Row],[Cde_Prdt]], tbl_Produits[Cde_Prdt], 0)), "")</f>
        <v>Milkshakes</v>
      </c>
      <c r="D255" s="65">
        <f ca="1">SUMIF(tbl_Recettes[Cde_Prdt], tbl_Produits[[#This Row],[Cde_Prdt]], tbl_Recettes[Coût Moyen Portion])</f>
        <v>11.75</v>
      </c>
      <c r="E255" s="66">
        <f>IFERROR(
   INDEX(tbl_ProduitsRef[Prix Menu],MATCH(B255,tbl_ProduitsRef[Produit],0)),
   ""
)</f>
        <v>35</v>
      </c>
      <c r="F255" s="66">
        <f ca="1">tbl_Produits[[#This Row],[Prix Menu]] - tbl_Produits[[#This Row],[Coût Moyen Portion]]</f>
        <v>23.25</v>
      </c>
      <c r="G255" s="67">
        <f ca="1">IF(tbl_Produits[[#This Row],[Prix Menu]]&gt;0, tbl_Produits[[#This Row],[Marge Brute]] / tbl_Produits[[#This Row],[Prix Menu]], 0)</f>
        <v>0.66428571428571426</v>
      </c>
      <c r="H255" s="69">
        <f t="shared" ca="1" si="7"/>
        <v>9.1339285714285712</v>
      </c>
      <c r="I255" s="67">
        <f ca="1">IF(tbl_Produits[[#This Row],[Prix Menu]]=0, 0, tbl_Produits[[#This Row],[Coût Moyen Portion]] / tbl_Produits[[#This Row],[Prix Menu]])</f>
        <v>0.33571428571428569</v>
      </c>
      <c r="J255" s="67" t="str" cm="1">
        <f t="array" ref="J255">IFERROR(IF(Total_portions=0, 0, Charges_fixes_totales_periode / Total_portions),"Vérifier")</f>
        <v>Vérifier</v>
      </c>
      <c r="K255" s="131" cm="1">
        <f t="array" aca="1" ref="K255" ca="1">IFERROR(tbl_Produits[[#This Row],[Prix Menu]] - tbl_Produits[[#This Row],[Coût Moyen Portion]] - ChargesFixesPar_Portion[Charges fixes par portion],"Vérifier")</f>
        <v>-10763.75</v>
      </c>
      <c r="L255" s="132" t="str">
        <f ca="1">IF(OR(tbl_Produits[[#This Row],[Food cost % ]]&gt;0.35,tbl_Produits[[#This Row],[% de Chrg Fixe /Prdt]]&gt;0.2),"À améliorer","OK")</f>
        <v>À améliorer</v>
      </c>
      <c r="M255" s="18">
        <f>IFERROR( (SUMIF(tbl_Charges_Fixes[Famille affectée],tbl_Produits[[#This Row],[Famille]],tbl_Charges_Fixes[Montant_Mensuel])) / (SUMIF(tbl_Ventes[Famille],tbl_Produits[[#This Row],[Famille]],tbl_Ventes[Qté Vendue])), 0)</f>
        <v>44.472681067344347</v>
      </c>
    </row>
    <row r="256" spans="1:13" ht="16.5" customHeight="1" x14ac:dyDescent="0.25">
      <c r="A256" s="29" t="str">
        <f>Référentiels!A256&amp;TEXT(Référentiels!B256,"000")</f>
        <v>MKS008</v>
      </c>
      <c r="B256" s="64" t="str">
        <f>+tbl_ProduitsRef[[#This Row],[Produit]]</f>
        <v>Milkshakes Chocolat</v>
      </c>
      <c r="C256" s="64" t="str">
        <f>IFERROR(INDEX(tbl_ProduitsRef[Famille], MATCH(tbl_Produits[[#This Row],[Cde_Prdt]], tbl_Produits[Cde_Prdt], 0)), "")</f>
        <v>Milkshakes</v>
      </c>
      <c r="D256" s="65">
        <f ca="1">SUMIF(tbl_Recettes[Cde_Prdt], tbl_Produits[[#This Row],[Cde_Prdt]], tbl_Recettes[Coût Moyen Portion])</f>
        <v>9</v>
      </c>
      <c r="E256" s="66">
        <f>IFERROR(
   INDEX(tbl_ProduitsRef[Prix Menu],MATCH(B256,tbl_ProduitsRef[Produit],0)),
   ""
)</f>
        <v>35</v>
      </c>
      <c r="F256" s="66">
        <f ca="1">tbl_Produits[[#This Row],[Prix Menu]] - tbl_Produits[[#This Row],[Coût Moyen Portion]]</f>
        <v>26</v>
      </c>
      <c r="G256" s="67">
        <f ca="1">IF(tbl_Produits[[#This Row],[Prix Menu]]&gt;0, tbl_Produits[[#This Row],[Marge Brute]] / tbl_Produits[[#This Row],[Prix Menu]], 0)</f>
        <v>0.74285714285714288</v>
      </c>
      <c r="H256" s="69">
        <f t="shared" ca="1" si="7"/>
        <v>10.214285714285715</v>
      </c>
      <c r="I256" s="67">
        <f ca="1">IF(tbl_Produits[[#This Row],[Prix Menu]]=0, 0, tbl_Produits[[#This Row],[Coût Moyen Portion]] / tbl_Produits[[#This Row],[Prix Menu]])</f>
        <v>0.25714285714285712</v>
      </c>
      <c r="J256" s="67" t="str" cm="1">
        <f t="array" ref="J256">IFERROR(IF(Total_portions=0, 0, Charges_fixes_totales_periode / Total_portions),"Vérifier")</f>
        <v>Vérifier</v>
      </c>
      <c r="K256" s="131" cm="1">
        <f t="array" aca="1" ref="K256" ca="1">IFERROR(tbl_Produits[[#This Row],[Prix Menu]] - tbl_Produits[[#This Row],[Coût Moyen Portion]] - ChargesFixesPar_Portion[Charges fixes par portion],"Vérifier")</f>
        <v>-10761</v>
      </c>
      <c r="L256" s="132" t="str">
        <f ca="1">IF(OR(tbl_Produits[[#This Row],[Food cost % ]]&gt;0.35,tbl_Produits[[#This Row],[% de Chrg Fixe /Prdt]]&gt;0.2),"À améliorer","OK")</f>
        <v>À améliorer</v>
      </c>
      <c r="M256" s="18">
        <f>IFERROR( (SUMIF(tbl_Charges_Fixes[Famille affectée],tbl_Produits[[#This Row],[Famille]],tbl_Charges_Fixes[Montant_Mensuel])) / (SUMIF(tbl_Ventes[Famille],tbl_Produits[[#This Row],[Famille]],tbl_Ventes[Qté Vendue])), 0)</f>
        <v>44.472681067344347</v>
      </c>
    </row>
    <row r="257" spans="1:13" ht="16.5" customHeight="1" x14ac:dyDescent="0.25">
      <c r="A257" s="29" t="str">
        <f>Référentiels!A257&amp;TEXT(Référentiels!B257,"000")</f>
        <v>SmCk001</v>
      </c>
      <c r="B257" s="64" t="str">
        <f>+tbl_ProduitsRef[[#This Row],[Produit]]</f>
        <v>Smoothies Chocolat</v>
      </c>
      <c r="C257" s="64" t="str">
        <f>IFERROR(INDEX(tbl_ProduitsRef[Famille], MATCH(tbl_Produits[[#This Row],[Cde_Prdt]], tbl_Produits[Cde_Prdt], 0)), "")</f>
        <v>Smoothies &amp; Coctails</v>
      </c>
      <c r="D257" s="65">
        <f ca="1">SUMIF(tbl_Recettes[Cde_Prdt], tbl_Produits[[#This Row],[Cde_Prdt]], tbl_Recettes[Coût Moyen Portion])</f>
        <v>4.8</v>
      </c>
      <c r="E257" s="66">
        <f>IFERROR(
   INDEX(tbl_ProduitsRef[Prix Menu],MATCH(B257,tbl_ProduitsRef[Produit],0)),
   ""
)</f>
        <v>39</v>
      </c>
      <c r="F257" s="66">
        <f ca="1">tbl_Produits[[#This Row],[Prix Menu]] - tbl_Produits[[#This Row],[Coût Moyen Portion]]</f>
        <v>34.200000000000003</v>
      </c>
      <c r="G257" s="67">
        <f ca="1">IF(tbl_Produits[[#This Row],[Prix Menu]]&gt;0, tbl_Produits[[#This Row],[Marge Brute]] / tbl_Produits[[#This Row],[Prix Menu]], 0)</f>
        <v>0.87692307692307703</v>
      </c>
      <c r="H257" s="69">
        <f t="shared" ca="1" si="7"/>
        <v>12.934615384615386</v>
      </c>
      <c r="I257" s="67">
        <f ca="1">IF(tbl_Produits[[#This Row],[Prix Menu]]=0, 0, tbl_Produits[[#This Row],[Coût Moyen Portion]] / tbl_Produits[[#This Row],[Prix Menu]])</f>
        <v>0.12307692307692307</v>
      </c>
      <c r="J257" s="67" t="str" cm="1">
        <f t="array" ref="J257">IFERROR(IF(Total_portions=0, 0, Charges_fixes_totales_periode / Total_portions),"Vérifier")</f>
        <v>Vérifier</v>
      </c>
      <c r="K257" s="131" cm="1">
        <f t="array" aca="1" ref="K257" ca="1">IFERROR(tbl_Produits[[#This Row],[Prix Menu]] - tbl_Produits[[#This Row],[Coût Moyen Portion]] - ChargesFixesPar_Portion[Charges fixes par portion],"Vérifier")</f>
        <v>-10752.8</v>
      </c>
      <c r="L257" s="132" t="str">
        <f ca="1">IF(OR(tbl_Produits[[#This Row],[Food cost % ]]&gt;0.35,tbl_Produits[[#This Row],[% de Chrg Fixe /Prdt]]&gt;0.2),"À améliorer","OK")</f>
        <v>À améliorer</v>
      </c>
      <c r="M25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58" spans="1:13" ht="16.5" customHeight="1" x14ac:dyDescent="0.25">
      <c r="A258" s="29" t="str">
        <f>Référentiels!A258&amp;TEXT(Référentiels!B258,"000")</f>
        <v>SmCk002</v>
      </c>
      <c r="B258" s="64" t="str">
        <f>+tbl_ProduitsRef[[#This Row],[Produit]]</f>
        <v>Smoothies Mangue</v>
      </c>
      <c r="C258" s="64" t="str">
        <f>IFERROR(INDEX(tbl_ProduitsRef[Famille], MATCH(tbl_Produits[[#This Row],[Cde_Prdt]], tbl_Produits[Cde_Prdt], 0)), "")</f>
        <v>Smoothies &amp; Coctails</v>
      </c>
      <c r="D258" s="65">
        <f ca="1">SUMIF(tbl_Recettes[Cde_Prdt], tbl_Produits[[#This Row],[Cde_Prdt]], tbl_Recettes[Coût Moyen Portion])</f>
        <v>8.25</v>
      </c>
      <c r="E258" s="66">
        <f>IFERROR(
   INDEX(tbl_ProduitsRef[Prix Menu],MATCH(B258,tbl_ProduitsRef[Produit],0)),
   ""
)</f>
        <v>35</v>
      </c>
      <c r="F258" s="66">
        <f ca="1">tbl_Produits[[#This Row],[Prix Menu]] - tbl_Produits[[#This Row],[Coût Moyen Portion]]</f>
        <v>26.75</v>
      </c>
      <c r="G258" s="67">
        <f ca="1">IF(tbl_Produits[[#This Row],[Prix Menu]]&gt;0, tbl_Produits[[#This Row],[Marge Brute]] / tbl_Produits[[#This Row],[Prix Menu]], 0)</f>
        <v>0.76428571428571423</v>
      </c>
      <c r="H258" s="69">
        <f t="shared" ca="1" si="7"/>
        <v>10.508928571428571</v>
      </c>
      <c r="I258" s="67">
        <f ca="1">IF(tbl_Produits[[#This Row],[Prix Menu]]=0, 0, tbl_Produits[[#This Row],[Coût Moyen Portion]] / tbl_Produits[[#This Row],[Prix Menu]])</f>
        <v>0.23571428571428571</v>
      </c>
      <c r="J258" s="67" t="str" cm="1">
        <f t="array" ref="J258">IFERROR(IF(Total_portions=0, 0, Charges_fixes_totales_periode / Total_portions),"Vérifier")</f>
        <v>Vérifier</v>
      </c>
      <c r="K258" s="131" cm="1">
        <f t="array" aca="1" ref="K258" ca="1">IFERROR(tbl_Produits[[#This Row],[Prix Menu]] - tbl_Produits[[#This Row],[Coût Moyen Portion]] - ChargesFixesPar_Portion[Charges fixes par portion],"Vérifier")</f>
        <v>-10760.25</v>
      </c>
      <c r="L258" s="132" t="str">
        <f ca="1">IF(OR(tbl_Produits[[#This Row],[Food cost % ]]&gt;0.35,tbl_Produits[[#This Row],[% de Chrg Fixe /Prdt]]&gt;0.2),"À améliorer","OK")</f>
        <v>À améliorer</v>
      </c>
      <c r="M25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59" spans="1:13" ht="16.5" customHeight="1" x14ac:dyDescent="0.25">
      <c r="A259" s="29" t="str">
        <f>Référentiels!A259&amp;TEXT(Référentiels!B259,"000")</f>
        <v>SmCk003</v>
      </c>
      <c r="B259" s="64" t="str">
        <f>+tbl_ProduitsRef[[#This Row],[Produit]]</f>
        <v>Smoothies Fruit de passion</v>
      </c>
      <c r="C259" s="64" t="str">
        <f>IFERROR(INDEX(tbl_ProduitsRef[Famille], MATCH(tbl_Produits[[#This Row],[Cde_Prdt]], tbl_Produits[Cde_Prdt], 0)), "")</f>
        <v>Smoothies &amp; Coctails</v>
      </c>
      <c r="D259" s="65">
        <f ca="1">SUMIF(tbl_Recettes[Cde_Prdt], tbl_Produits[[#This Row],[Cde_Prdt]], tbl_Recettes[Coût Moyen Portion])</f>
        <v>20.9</v>
      </c>
      <c r="E259" s="66">
        <f>IFERROR(
   INDEX(tbl_ProduitsRef[Prix Menu],MATCH(B259,tbl_ProduitsRef[Produit],0)),
   ""
)</f>
        <v>35</v>
      </c>
      <c r="F259" s="66">
        <f ca="1">tbl_Produits[[#This Row],[Prix Menu]] - tbl_Produits[[#This Row],[Coût Moyen Portion]]</f>
        <v>14.100000000000001</v>
      </c>
      <c r="G259" s="67">
        <f ca="1">IF(tbl_Produits[[#This Row],[Prix Menu]]&gt;0, tbl_Produits[[#This Row],[Marge Brute]] / tbl_Produits[[#This Row],[Prix Menu]], 0)</f>
        <v>0.40285714285714291</v>
      </c>
      <c r="H259" s="69">
        <f ca="1">IFERROR(
  AVERAGE(G259*10, F259/2),
0)</f>
        <v>5.5392857142857146</v>
      </c>
      <c r="I259" s="67">
        <f ca="1">IF(tbl_Produits[[#This Row],[Prix Menu]]=0, 0, tbl_Produits[[#This Row],[Coût Moyen Portion]] / tbl_Produits[[#This Row],[Prix Menu]])</f>
        <v>0.59714285714285709</v>
      </c>
      <c r="J259" s="67" t="str" cm="1">
        <f t="array" ref="J259">IFERROR(IF(Total_portions=0, 0, Charges_fixes_totales_periode / Total_portions),"Vérifier")</f>
        <v>Vérifier</v>
      </c>
      <c r="K259" s="131" cm="1">
        <f t="array" aca="1" ref="K259" ca="1">IFERROR(tbl_Produits[[#This Row],[Prix Menu]] - tbl_Produits[[#This Row],[Coût Moyen Portion]] - ChargesFixesPar_Portion[Charges fixes par portion],"Vérifier")</f>
        <v>-10772.9</v>
      </c>
      <c r="L259" s="132" t="str">
        <f ca="1">IF(OR(tbl_Produits[[#This Row],[Food cost % ]]&gt;0.35,tbl_Produits[[#This Row],[% de Chrg Fixe /Prdt]]&gt;0.2),"À améliorer","OK")</f>
        <v>À améliorer</v>
      </c>
      <c r="M25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60" spans="1:13" ht="16.5" customHeight="1" x14ac:dyDescent="0.25">
      <c r="A260" s="29" t="str">
        <f>Référentiels!A260&amp;TEXT(Référentiels!B260,"000")</f>
        <v>SmCk004</v>
      </c>
      <c r="B260" s="64" t="str">
        <f>+tbl_ProduitsRef[[#This Row],[Produit]]</f>
        <v>Smoothies Banane</v>
      </c>
      <c r="C260" s="64" t="str">
        <f>IFERROR(INDEX(tbl_ProduitsRef[Famille], MATCH(tbl_Produits[[#This Row],[Cde_Prdt]], tbl_Produits[Cde_Prdt], 0)), "")</f>
        <v>Smoothies &amp; Coctails</v>
      </c>
      <c r="D260" s="65">
        <f ca="1">SUMIF(tbl_Recettes[Cde_Prdt], tbl_Produits[[#This Row],[Cde_Prdt]], tbl_Recettes[Coût Moyen Portion])</f>
        <v>9.5500000000000007</v>
      </c>
      <c r="E260" s="66">
        <f>IFERROR(
   INDEX(tbl_ProduitsRef[Prix Menu],MATCH(B260,tbl_ProduitsRef[Produit],0)),
   ""
)</f>
        <v>35</v>
      </c>
      <c r="F260" s="66">
        <f ca="1">tbl_Produits[[#This Row],[Prix Menu]] - tbl_Produits[[#This Row],[Coût Moyen Portion]]</f>
        <v>25.45</v>
      </c>
      <c r="G260" s="67">
        <f ca="1">IF(tbl_Produits[[#This Row],[Prix Menu]]&gt;0, tbl_Produits[[#This Row],[Marge Brute]] / tbl_Produits[[#This Row],[Prix Menu]], 0)</f>
        <v>0.72714285714285709</v>
      </c>
      <c r="H260" s="69">
        <f t="shared" ref="H260:H276" ca="1" si="8">IFERROR(
AVERAGE(G260*10, F260/2),
0)</f>
        <v>9.9982142857142851</v>
      </c>
      <c r="I260" s="67">
        <f ca="1">IF(tbl_Produits[[#This Row],[Prix Menu]]=0, 0, tbl_Produits[[#This Row],[Coût Moyen Portion]] / tbl_Produits[[#This Row],[Prix Menu]])</f>
        <v>0.27285714285714285</v>
      </c>
      <c r="J260" s="67" t="str" cm="1">
        <f t="array" ref="J260">IFERROR(IF(Total_portions=0, 0, Charges_fixes_totales_periode / Total_portions),"Vérifier")</f>
        <v>Vérifier</v>
      </c>
      <c r="K260" s="131" cm="1">
        <f t="array" aca="1" ref="K260" ca="1">IFERROR(tbl_Produits[[#This Row],[Prix Menu]] - tbl_Produits[[#This Row],[Coût Moyen Portion]] - ChargesFixesPar_Portion[Charges fixes par portion],"Vérifier")</f>
        <v>-10761.55</v>
      </c>
      <c r="L260" s="132" t="str">
        <f ca="1">IF(OR(tbl_Produits[[#This Row],[Food cost % ]]&gt;0.35,tbl_Produits[[#This Row],[% de Chrg Fixe /Prdt]]&gt;0.2),"À améliorer","OK")</f>
        <v>À améliorer</v>
      </c>
      <c r="M26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61" spans="1:13" ht="16.5" customHeight="1" x14ac:dyDescent="0.25">
      <c r="A261" s="29" t="str">
        <f>Référentiels!A261&amp;TEXT(Référentiels!B261,"000")</f>
        <v>SmCk005</v>
      </c>
      <c r="B261" s="64" t="str">
        <f>+tbl_ProduitsRef[[#This Row],[Produit]]</f>
        <v>Smoothies Framboise</v>
      </c>
      <c r="C261" s="64" t="str">
        <f>IFERROR(INDEX(tbl_ProduitsRef[Famille], MATCH(tbl_Produits[[#This Row],[Cde_Prdt]], tbl_Produits[Cde_Prdt], 0)), "")</f>
        <v>Smoothies &amp; Coctails</v>
      </c>
      <c r="D261" s="65">
        <f ca="1">SUMIF(tbl_Recettes[Cde_Prdt], tbl_Produits[[#This Row],[Cde_Prdt]], tbl_Recettes[Coût Moyen Portion])</f>
        <v>6.9</v>
      </c>
      <c r="E261" s="66">
        <f>IFERROR(
   INDEX(tbl_ProduitsRef[Prix Menu],MATCH(B261,tbl_ProduitsRef[Produit],0)),
   ""
)</f>
        <v>35</v>
      </c>
      <c r="F261" s="66">
        <f ca="1">tbl_Produits[[#This Row],[Prix Menu]] - tbl_Produits[[#This Row],[Coût Moyen Portion]]</f>
        <v>28.1</v>
      </c>
      <c r="G261" s="67">
        <f ca="1">IF(tbl_Produits[[#This Row],[Prix Menu]]&gt;0, tbl_Produits[[#This Row],[Marge Brute]] / tbl_Produits[[#This Row],[Prix Menu]], 0)</f>
        <v>0.80285714285714294</v>
      </c>
      <c r="H261" s="69">
        <f t="shared" ca="1" si="8"/>
        <v>11.039285714285715</v>
      </c>
      <c r="I261" s="67">
        <f ca="1">IF(tbl_Produits[[#This Row],[Prix Menu]]=0, 0, tbl_Produits[[#This Row],[Coût Moyen Portion]] / tbl_Produits[[#This Row],[Prix Menu]])</f>
        <v>0.19714285714285715</v>
      </c>
      <c r="J261" s="67" t="str" cm="1">
        <f t="array" ref="J261">IFERROR(IF(Total_portions=0, 0, Charges_fixes_totales_periode / Total_portions),"Vérifier")</f>
        <v>Vérifier</v>
      </c>
      <c r="K261" s="131" cm="1">
        <f t="array" aca="1" ref="K261" ca="1">IFERROR(tbl_Produits[[#This Row],[Prix Menu]] - tbl_Produits[[#This Row],[Coût Moyen Portion]] - ChargesFixesPar_Portion[Charges fixes par portion],"Vérifier")</f>
        <v>-10758.9</v>
      </c>
      <c r="L261" s="132" t="str">
        <f ca="1">IF(OR(tbl_Produits[[#This Row],[Food cost % ]]&gt;0.35,tbl_Produits[[#This Row],[% de Chrg Fixe /Prdt]]&gt;0.2),"À améliorer","OK")</f>
        <v>À améliorer</v>
      </c>
      <c r="M26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62" spans="1:13" ht="16.5" customHeight="1" x14ac:dyDescent="0.25">
      <c r="A262" s="29" t="str">
        <f>Référentiels!A262&amp;TEXT(Référentiels!B262,"000")</f>
        <v>SmCk006</v>
      </c>
      <c r="B262" s="64" t="str">
        <f>+tbl_ProduitsRef[[#This Row],[Produit]]</f>
        <v>Cocktails Mama Africa</v>
      </c>
      <c r="C262" s="64" t="str">
        <f>IFERROR(INDEX(tbl_ProduitsRef[Famille], MATCH(tbl_Produits[[#This Row],[Cde_Prdt]], tbl_Produits[Cde_Prdt], 0)), "")</f>
        <v>Smoothies &amp; Coctails</v>
      </c>
      <c r="D262" s="65">
        <f ca="1">SUMIF(tbl_Recettes[Cde_Prdt], tbl_Produits[[#This Row],[Cde_Prdt]], tbl_Recettes[Coût Moyen Portion])</f>
        <v>7.63</v>
      </c>
      <c r="E262" s="66">
        <f>IFERROR(
   INDEX(tbl_ProduitsRef[Prix Menu],MATCH(B262,tbl_ProduitsRef[Produit],0)),
   ""
)</f>
        <v>45</v>
      </c>
      <c r="F262" s="66">
        <f ca="1">tbl_Produits[[#This Row],[Prix Menu]] - tbl_Produits[[#This Row],[Coût Moyen Portion]]</f>
        <v>37.369999999999997</v>
      </c>
      <c r="G262" s="67">
        <f ca="1">IF(tbl_Produits[[#This Row],[Prix Menu]]&gt;0, tbl_Produits[[#This Row],[Marge Brute]] / tbl_Produits[[#This Row],[Prix Menu]], 0)</f>
        <v>0.83044444444444443</v>
      </c>
      <c r="H262" s="69">
        <f t="shared" ca="1" si="8"/>
        <v>13.494722222222222</v>
      </c>
      <c r="I262" s="67">
        <f ca="1">IF(tbl_Produits[[#This Row],[Prix Menu]]=0, 0, tbl_Produits[[#This Row],[Coût Moyen Portion]] / tbl_Produits[[#This Row],[Prix Menu]])</f>
        <v>0.16955555555555554</v>
      </c>
      <c r="J262" s="67" t="str" cm="1">
        <f t="array" ref="J262">IFERROR(IF(Total_portions=0, 0, Charges_fixes_totales_periode / Total_portions),"Vérifier")</f>
        <v>Vérifier</v>
      </c>
      <c r="K262" s="131" cm="1">
        <f t="array" aca="1" ref="K262" ca="1">IFERROR(tbl_Produits[[#This Row],[Prix Menu]] - tbl_Produits[[#This Row],[Coût Moyen Portion]] - ChargesFixesPar_Portion[Charges fixes par portion],"Vérifier")</f>
        <v>-10749.63</v>
      </c>
      <c r="L262" s="132" t="str">
        <f ca="1">IF(OR(tbl_Produits[[#This Row],[Food cost % ]]&gt;0.35,tbl_Produits[[#This Row],[% de Chrg Fixe /Prdt]]&gt;0.2),"À améliorer","OK")</f>
        <v>À améliorer</v>
      </c>
      <c r="M26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63" spans="1:13" ht="16.5" customHeight="1" x14ac:dyDescent="0.25">
      <c r="A263" s="29" t="str">
        <f>Référentiels!A263&amp;TEXT(Référentiels!B263,"000")</f>
        <v>SmCk007</v>
      </c>
      <c r="B263" s="64" t="str">
        <f>+tbl_ProduitsRef[[#This Row],[Produit]]</f>
        <v>Cocktails Exotique</v>
      </c>
      <c r="C263" s="64" t="str">
        <f>IFERROR(INDEX(tbl_ProduitsRef[Famille], MATCH(tbl_Produits[[#This Row],[Cde_Prdt]], tbl_Produits[Cde_Prdt], 0)), "")</f>
        <v>Smoothies &amp; Coctails</v>
      </c>
      <c r="D263" s="65">
        <f ca="1">SUMIF(tbl_Recettes[Cde_Prdt], tbl_Produits[[#This Row],[Cde_Prdt]], tbl_Recettes[Coût Moyen Portion])</f>
        <v>16.82</v>
      </c>
      <c r="E263" s="66">
        <f>IFERROR(
   INDEX(tbl_ProduitsRef[Prix Menu],MATCH(B263,tbl_ProduitsRef[Produit],0)),
   ""
)</f>
        <v>40</v>
      </c>
      <c r="F263" s="66">
        <f ca="1">tbl_Produits[[#This Row],[Prix Menu]] - tbl_Produits[[#This Row],[Coût Moyen Portion]]</f>
        <v>23.18</v>
      </c>
      <c r="G263" s="67">
        <f ca="1">IF(tbl_Produits[[#This Row],[Prix Menu]]&gt;0, tbl_Produits[[#This Row],[Marge Brute]] / tbl_Produits[[#This Row],[Prix Menu]], 0)</f>
        <v>0.57950000000000002</v>
      </c>
      <c r="H263" s="69">
        <f t="shared" ca="1" si="8"/>
        <v>8.692499999999999</v>
      </c>
      <c r="I263" s="67">
        <f ca="1">IF(tbl_Produits[[#This Row],[Prix Menu]]=0, 0, tbl_Produits[[#This Row],[Coût Moyen Portion]] / tbl_Produits[[#This Row],[Prix Menu]])</f>
        <v>0.42049999999999998</v>
      </c>
      <c r="J263" s="67" t="str" cm="1">
        <f t="array" ref="J263">IFERROR(IF(Total_portions=0, 0, Charges_fixes_totales_periode / Total_portions),"Vérifier")</f>
        <v>Vérifier</v>
      </c>
      <c r="K263" s="131" cm="1">
        <f t="array" aca="1" ref="K263" ca="1">IFERROR(tbl_Produits[[#This Row],[Prix Menu]] - tbl_Produits[[#This Row],[Coût Moyen Portion]] - ChargesFixesPar_Portion[Charges fixes par portion],"Vérifier")</f>
        <v>-10763.82</v>
      </c>
      <c r="L263" s="132" t="str">
        <f ca="1">IF(OR(tbl_Produits[[#This Row],[Food cost % ]]&gt;0.35,tbl_Produits[[#This Row],[% de Chrg Fixe /Prdt]]&gt;0.2),"À améliorer","OK")</f>
        <v>À améliorer</v>
      </c>
      <c r="M26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64" spans="1:13" ht="16.5" customHeight="1" x14ac:dyDescent="0.25">
      <c r="A264" s="29" t="str">
        <f>Référentiels!A264&amp;TEXT(Référentiels!B264,"000")</f>
        <v>SmCk008</v>
      </c>
      <c r="B264" s="64" t="str">
        <f>+tbl_ProduitsRef[[#This Row],[Produit]]</f>
        <v>Cocktails Fuji</v>
      </c>
      <c r="C264" s="64" t="str">
        <f>IFERROR(INDEX(tbl_ProduitsRef[Famille], MATCH(tbl_Produits[[#This Row],[Cde_Prdt]], tbl_Produits[Cde_Prdt], 0)), "")</f>
        <v>Smoothies &amp; Coctails</v>
      </c>
      <c r="D264" s="65">
        <f ca="1">SUMIF(tbl_Recettes[Cde_Prdt], tbl_Produits[[#This Row],[Cde_Prdt]], tbl_Recettes[Coût Moyen Portion])</f>
        <v>9.1999999999999993</v>
      </c>
      <c r="E264" s="66">
        <f>IFERROR(
   INDEX(tbl_ProduitsRef[Prix Menu],MATCH(B264,tbl_ProduitsRef[Produit],0)),
   ""
)</f>
        <v>40</v>
      </c>
      <c r="F264" s="66">
        <f ca="1">tbl_Produits[[#This Row],[Prix Menu]] - tbl_Produits[[#This Row],[Coût Moyen Portion]]</f>
        <v>30.8</v>
      </c>
      <c r="G264" s="67">
        <f ca="1">IF(tbl_Produits[[#This Row],[Prix Menu]]&gt;0, tbl_Produits[[#This Row],[Marge Brute]] / tbl_Produits[[#This Row],[Prix Menu]], 0)</f>
        <v>0.77</v>
      </c>
      <c r="H264" s="69">
        <f t="shared" ca="1" si="8"/>
        <v>11.55</v>
      </c>
      <c r="I264" s="67">
        <f ca="1">IF(tbl_Produits[[#This Row],[Prix Menu]]=0, 0, tbl_Produits[[#This Row],[Coût Moyen Portion]] / tbl_Produits[[#This Row],[Prix Menu]])</f>
        <v>0.22999999999999998</v>
      </c>
      <c r="J264" s="67" t="str" cm="1">
        <f t="array" ref="J264">IFERROR(IF(Total_portions=0, 0, Charges_fixes_totales_periode / Total_portions),"Vérifier")</f>
        <v>Vérifier</v>
      </c>
      <c r="K264" s="131" cm="1">
        <f t="array" aca="1" ref="K264" ca="1">IFERROR(tbl_Produits[[#This Row],[Prix Menu]] - tbl_Produits[[#This Row],[Coût Moyen Portion]] - ChargesFixesPar_Portion[Charges fixes par portion],"Vérifier")</f>
        <v>-10756.2</v>
      </c>
      <c r="L264" s="132" t="str">
        <f ca="1">IF(OR(tbl_Produits[[#This Row],[Food cost % ]]&gt;0.35,tbl_Produits[[#This Row],[% de Chrg Fixe /Prdt]]&gt;0.2),"À améliorer","OK")</f>
        <v>À améliorer</v>
      </c>
      <c r="M26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65" spans="1:13" ht="16.5" customHeight="1" x14ac:dyDescent="0.25">
      <c r="A265" s="29" t="str">
        <f>Référentiels!A265&amp;TEXT(Référentiels!B265,"000")</f>
        <v>SmCk009</v>
      </c>
      <c r="B265" s="64" t="str">
        <f>+tbl_ProduitsRef[[#This Row],[Produit]]</f>
        <v>Cocktails Fruit rouge</v>
      </c>
      <c r="C265" s="64" t="str">
        <f>IFERROR(INDEX(tbl_ProduitsRef[Famille], MATCH(tbl_Produits[[#This Row],[Cde_Prdt]], tbl_Produits[Cde_Prdt], 0)), "")</f>
        <v>Smoothies &amp; Coctails</v>
      </c>
      <c r="D265" s="65">
        <f ca="1">SUMIF(tbl_Recettes[Cde_Prdt], tbl_Produits[[#This Row],[Cde_Prdt]], tbl_Recettes[Coût Moyen Portion])</f>
        <v>7.7799999999999994</v>
      </c>
      <c r="E265" s="66">
        <f>IFERROR(
   INDEX(tbl_ProduitsRef[Prix Menu],MATCH(B265,tbl_ProduitsRef[Produit],0)),
   ""
)</f>
        <v>38</v>
      </c>
      <c r="F265" s="66">
        <f ca="1">tbl_Produits[[#This Row],[Prix Menu]] - tbl_Produits[[#This Row],[Coût Moyen Portion]]</f>
        <v>30.22</v>
      </c>
      <c r="G265" s="67">
        <f ca="1">IF(tbl_Produits[[#This Row],[Prix Menu]]&gt;0, tbl_Produits[[#This Row],[Marge Brute]] / tbl_Produits[[#This Row],[Prix Menu]], 0)</f>
        <v>0.79526315789473678</v>
      </c>
      <c r="H265" s="69">
        <f t="shared" ca="1" si="8"/>
        <v>11.531315789473684</v>
      </c>
      <c r="I265" s="67">
        <f ca="1">IF(tbl_Produits[[#This Row],[Prix Menu]]=0, 0, tbl_Produits[[#This Row],[Coût Moyen Portion]] / tbl_Produits[[#This Row],[Prix Menu]])</f>
        <v>0.20473684210526313</v>
      </c>
      <c r="J265" s="67" t="str" cm="1">
        <f t="array" ref="J265">IFERROR(IF(Total_portions=0, 0, Charges_fixes_totales_periode / Total_portions),"Vérifier")</f>
        <v>Vérifier</v>
      </c>
      <c r="K265" s="131" cm="1">
        <f t="array" aca="1" ref="K265" ca="1">IFERROR(tbl_Produits[[#This Row],[Prix Menu]] - tbl_Produits[[#This Row],[Coût Moyen Portion]] - ChargesFixesPar_Portion[Charges fixes par portion],"Vérifier")</f>
        <v>-10756.78</v>
      </c>
      <c r="L265" s="132" t="str">
        <f ca="1">IF(OR(tbl_Produits[[#This Row],[Food cost % ]]&gt;0.35,tbl_Produits[[#This Row],[% de Chrg Fixe /Prdt]]&gt;0.2),"À améliorer","OK")</f>
        <v>À améliorer</v>
      </c>
      <c r="M26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66" spans="1:13" ht="16.5" customHeight="1" x14ac:dyDescent="0.25">
      <c r="A266" s="29" t="str">
        <f>Référentiels!A266&amp;TEXT(Référentiels!B266,"000")</f>
        <v>SmCk010</v>
      </c>
      <c r="B266" s="64" t="str">
        <f>+tbl_ProduitsRef[[#This Row],[Produit]]</f>
        <v>Cocktails Top énergie</v>
      </c>
      <c r="C266" s="64" t="str">
        <f>IFERROR(INDEX(tbl_ProduitsRef[Famille], MATCH(tbl_Produits[[#This Row],[Cde_Prdt]], tbl_Produits[Cde_Prdt], 0)), "")</f>
        <v>Smoothies &amp; Coctails</v>
      </c>
      <c r="D266" s="65">
        <f ca="1">SUMIF(tbl_Recettes[Cde_Prdt], tbl_Produits[[#This Row],[Cde_Prdt]], tbl_Recettes[Coût Moyen Portion])</f>
        <v>10.5</v>
      </c>
      <c r="E266" s="66">
        <f>IFERROR(
   INDEX(tbl_ProduitsRef[Prix Menu],MATCH(B266,tbl_ProduitsRef[Produit],0)),
   ""
)</f>
        <v>35</v>
      </c>
      <c r="F266" s="66">
        <f ca="1">tbl_Produits[[#This Row],[Prix Menu]] - tbl_Produits[[#This Row],[Coût Moyen Portion]]</f>
        <v>24.5</v>
      </c>
      <c r="G266" s="67">
        <f ca="1">IF(tbl_Produits[[#This Row],[Prix Menu]]&gt;0, tbl_Produits[[#This Row],[Marge Brute]] / tbl_Produits[[#This Row],[Prix Menu]], 0)</f>
        <v>0.7</v>
      </c>
      <c r="H266" s="69">
        <f t="shared" ca="1" si="8"/>
        <v>9.625</v>
      </c>
      <c r="I266" s="67">
        <f ca="1">IF(tbl_Produits[[#This Row],[Prix Menu]]=0, 0, tbl_Produits[[#This Row],[Coût Moyen Portion]] / tbl_Produits[[#This Row],[Prix Menu]])</f>
        <v>0.3</v>
      </c>
      <c r="J266" s="67" t="str" cm="1">
        <f t="array" ref="J266">IFERROR(IF(Total_portions=0, 0, Charges_fixes_totales_periode / Total_portions),"Vérifier")</f>
        <v>Vérifier</v>
      </c>
      <c r="K266" s="131" cm="1">
        <f t="array" aca="1" ref="K266" ca="1">IFERROR(tbl_Produits[[#This Row],[Prix Menu]] - tbl_Produits[[#This Row],[Coût Moyen Portion]] - ChargesFixesPar_Portion[Charges fixes par portion],"Vérifier")</f>
        <v>-10762.5</v>
      </c>
      <c r="L266" s="132" t="str">
        <f ca="1">IF(OR(tbl_Produits[[#This Row],[Food cost % ]]&gt;0.35,tbl_Produits[[#This Row],[% de Chrg Fixe /Prdt]]&gt;0.2),"À améliorer","OK")</f>
        <v>À améliorer</v>
      </c>
      <c r="M26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67" spans="1:13" ht="16.5" customHeight="1" x14ac:dyDescent="0.25">
      <c r="A267" s="29" t="str">
        <f>Référentiels!A267&amp;TEXT(Référentiels!B267,"000")</f>
        <v>SmCk011</v>
      </c>
      <c r="B267" s="64" t="str">
        <f>+tbl_ProduitsRef[[#This Row],[Produit]]</f>
        <v>Cocktails Pina colada</v>
      </c>
      <c r="C267" s="64" t="str">
        <f>IFERROR(INDEX(tbl_ProduitsRef[Famille], MATCH(tbl_Produits[[#This Row],[Cde_Prdt]], tbl_Produits[Cde_Prdt], 0)), "")</f>
        <v>Smoothies &amp; Coctails</v>
      </c>
      <c r="D267" s="65">
        <f ca="1">SUMIF(tbl_Recettes[Cde_Prdt], tbl_Produits[[#This Row],[Cde_Prdt]], tbl_Recettes[Coût Moyen Portion])</f>
        <v>9.125</v>
      </c>
      <c r="E267" s="66">
        <f>IFERROR(
   INDEX(tbl_ProduitsRef[Prix Menu],MATCH(B267,tbl_ProduitsRef[Produit],0)),
   ""
)</f>
        <v>38</v>
      </c>
      <c r="F267" s="66">
        <f ca="1">tbl_Produits[[#This Row],[Prix Menu]] - tbl_Produits[[#This Row],[Coût Moyen Portion]]</f>
        <v>28.875</v>
      </c>
      <c r="G267" s="67">
        <f ca="1">IF(tbl_Produits[[#This Row],[Prix Menu]]&gt;0, tbl_Produits[[#This Row],[Marge Brute]] / tbl_Produits[[#This Row],[Prix Menu]], 0)</f>
        <v>0.75986842105263153</v>
      </c>
      <c r="H267" s="69">
        <f t="shared" ca="1" si="8"/>
        <v>11.018092105263158</v>
      </c>
      <c r="I267" s="67">
        <f ca="1">IF(tbl_Produits[[#This Row],[Prix Menu]]=0, 0, tbl_Produits[[#This Row],[Coût Moyen Portion]] / tbl_Produits[[#This Row],[Prix Menu]])</f>
        <v>0.24013157894736842</v>
      </c>
      <c r="J267" s="67" t="str" cm="1">
        <f t="array" ref="J267">IFERROR(IF(Total_portions=0, 0, Charges_fixes_totales_periode / Total_portions),"Vérifier")</f>
        <v>Vérifier</v>
      </c>
      <c r="K267" s="131" cm="1">
        <f t="array" aca="1" ref="K267" ca="1">IFERROR(tbl_Produits[[#This Row],[Prix Menu]] - tbl_Produits[[#This Row],[Coût Moyen Portion]] - ChargesFixesPar_Portion[Charges fixes par portion],"Vérifier")</f>
        <v>-10758.125</v>
      </c>
      <c r="L267" s="132" t="str">
        <f ca="1">IF(OR(tbl_Produits[[#This Row],[Food cost % ]]&gt;0.35,tbl_Produits[[#This Row],[% de Chrg Fixe /Prdt]]&gt;0.2),"À améliorer","OK")</f>
        <v>À améliorer</v>
      </c>
      <c r="M267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68" spans="1:13" ht="16.5" customHeight="1" x14ac:dyDescent="0.25">
      <c r="A268" s="29" t="str">
        <f>Référentiels!A268&amp;TEXT(Référentiels!B268,"000")</f>
        <v>SmCk012</v>
      </c>
      <c r="B268" s="64" t="str">
        <f>+tbl_ProduitsRef[[#This Row],[Produit]]</f>
        <v>Cocktails Mojito strawberry</v>
      </c>
      <c r="C268" s="64" t="str">
        <f>IFERROR(INDEX(tbl_ProduitsRef[Famille], MATCH(tbl_Produits[[#This Row],[Cde_Prdt]], tbl_Produits[Cde_Prdt], 0)), "")</f>
        <v>Smoothies &amp; Coctails</v>
      </c>
      <c r="D268" s="65">
        <f ca="1">SUMIF(tbl_Recettes[Cde_Prdt], tbl_Produits[[#This Row],[Cde_Prdt]], tbl_Recettes[Coût Moyen Portion])</f>
        <v>4.55</v>
      </c>
      <c r="E268" s="66">
        <f>IFERROR(
   INDEX(tbl_ProduitsRef[Prix Menu],MATCH(B268,tbl_ProduitsRef[Produit],0)),
   ""
)</f>
        <v>32</v>
      </c>
      <c r="F268" s="66">
        <f ca="1">tbl_Produits[[#This Row],[Prix Menu]] - tbl_Produits[[#This Row],[Coût Moyen Portion]]</f>
        <v>27.45</v>
      </c>
      <c r="G268" s="67">
        <f ca="1">IF(tbl_Produits[[#This Row],[Prix Menu]]&gt;0, tbl_Produits[[#This Row],[Marge Brute]] / tbl_Produits[[#This Row],[Prix Menu]], 0)</f>
        <v>0.85781249999999998</v>
      </c>
      <c r="H268" s="69">
        <f t="shared" ca="1" si="8"/>
        <v>11.151562500000001</v>
      </c>
      <c r="I268" s="67">
        <f ca="1">IF(tbl_Produits[[#This Row],[Prix Menu]]=0, 0, tbl_Produits[[#This Row],[Coût Moyen Portion]] / tbl_Produits[[#This Row],[Prix Menu]])</f>
        <v>0.14218749999999999</v>
      </c>
      <c r="J268" s="67" t="str" cm="1">
        <f t="array" ref="J268">IFERROR(IF(Total_portions=0, 0, Charges_fixes_totales_periode / Total_portions),"Vérifier")</f>
        <v>Vérifier</v>
      </c>
      <c r="K268" s="131" cm="1">
        <f t="array" aca="1" ref="K268" ca="1">IFERROR(tbl_Produits[[#This Row],[Prix Menu]] - tbl_Produits[[#This Row],[Coût Moyen Portion]] - ChargesFixesPar_Portion[Charges fixes par portion],"Vérifier")</f>
        <v>-10759.55</v>
      </c>
      <c r="L268" s="132" t="str">
        <f ca="1">IF(OR(tbl_Produits[[#This Row],[Food cost % ]]&gt;0.35,tbl_Produits[[#This Row],[% de Chrg Fixe /Prdt]]&gt;0.2),"À améliorer","OK")</f>
        <v>À améliorer</v>
      </c>
      <c r="M268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69" spans="1:13" ht="16.5" customHeight="1" x14ac:dyDescent="0.25">
      <c r="A269" s="29" t="str">
        <f>Référentiels!A269&amp;TEXT(Référentiels!B269,"000")</f>
        <v>SmCk013</v>
      </c>
      <c r="B269" s="64" t="str">
        <f>+tbl_ProduitsRef[[#This Row],[Produit]]</f>
        <v>Cocktails Virgin mojito</v>
      </c>
      <c r="C269" s="64" t="str">
        <f>IFERROR(INDEX(tbl_ProduitsRef[Famille], MATCH(tbl_Produits[[#This Row],[Cde_Prdt]], tbl_Produits[Cde_Prdt], 0)), "")</f>
        <v>Smoothies &amp; Coctails</v>
      </c>
      <c r="D269" s="65">
        <f ca="1">SUMIF(tbl_Recettes[Cde_Prdt], tbl_Produits[[#This Row],[Cde_Prdt]], tbl_Recettes[Coût Moyen Portion])</f>
        <v>2.8250000000000002</v>
      </c>
      <c r="E269" s="66">
        <f>IFERROR(
   INDEX(tbl_ProduitsRef[Prix Menu],MATCH(B269,tbl_ProduitsRef[Produit],0)),
   ""
)</f>
        <v>30</v>
      </c>
      <c r="F269" s="66">
        <f ca="1">tbl_Produits[[#This Row],[Prix Menu]] - tbl_Produits[[#This Row],[Coût Moyen Portion]]</f>
        <v>27.175000000000001</v>
      </c>
      <c r="G269" s="67">
        <f ca="1">IF(tbl_Produits[[#This Row],[Prix Menu]]&gt;0, tbl_Produits[[#This Row],[Marge Brute]] / tbl_Produits[[#This Row],[Prix Menu]], 0)</f>
        <v>0.90583333333333338</v>
      </c>
      <c r="H269" s="69">
        <f t="shared" ca="1" si="8"/>
        <v>11.322916666666668</v>
      </c>
      <c r="I269" s="67">
        <f ca="1">IF(tbl_Produits[[#This Row],[Prix Menu]]=0, 0, tbl_Produits[[#This Row],[Coût Moyen Portion]] / tbl_Produits[[#This Row],[Prix Menu]])</f>
        <v>9.4166666666666676E-2</v>
      </c>
      <c r="J269" s="67" t="str" cm="1">
        <f t="array" ref="J269">IFERROR(IF(Total_portions=0, 0, Charges_fixes_totales_periode / Total_portions),"Vérifier")</f>
        <v>Vérifier</v>
      </c>
      <c r="K269" s="131" cm="1">
        <f t="array" aca="1" ref="K269" ca="1">IFERROR(tbl_Produits[[#This Row],[Prix Menu]] - tbl_Produits[[#This Row],[Coût Moyen Portion]] - ChargesFixesPar_Portion[Charges fixes par portion],"Vérifier")</f>
        <v>-10759.825000000001</v>
      </c>
      <c r="L269" s="132" t="str">
        <f ca="1">IF(OR(tbl_Produits[[#This Row],[Food cost % ]]&gt;0.35,tbl_Produits[[#This Row],[% de Chrg Fixe /Prdt]]&gt;0.2),"À améliorer","OK")</f>
        <v>À améliorer</v>
      </c>
      <c r="M269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70" spans="1:13" ht="16.5" customHeight="1" x14ac:dyDescent="0.25">
      <c r="A270" s="29" t="str">
        <f>Référentiels!A270&amp;TEXT(Référentiels!B270,"000")</f>
        <v>SmCk014</v>
      </c>
      <c r="B270" s="64" t="str">
        <f>+tbl_ProduitsRef[[#This Row],[Produit]]</f>
        <v>Cocktails Citronnade maison</v>
      </c>
      <c r="C270" s="64" t="str">
        <f>IFERROR(INDEX(tbl_ProduitsRef[Famille], MATCH(tbl_Produits[[#This Row],[Cde_Prdt]], tbl_Produits[Cde_Prdt], 0)), "")</f>
        <v>Smoothies &amp; Coctails</v>
      </c>
      <c r="D270" s="65">
        <f ca="1">SUMIF(tbl_Recettes[Cde_Prdt], tbl_Produits[[#This Row],[Cde_Prdt]], tbl_Recettes[Coût Moyen Portion])</f>
        <v>4.71</v>
      </c>
      <c r="E270" s="66">
        <f>IFERROR(
   INDEX(tbl_ProduitsRef[Prix Menu],MATCH(B270,tbl_ProduitsRef[Produit],0)),
   ""
)</f>
        <v>30</v>
      </c>
      <c r="F270" s="66">
        <f ca="1">tbl_Produits[[#This Row],[Prix Menu]] - tbl_Produits[[#This Row],[Coût Moyen Portion]]</f>
        <v>25.29</v>
      </c>
      <c r="G270" s="67">
        <f ca="1">IF(tbl_Produits[[#This Row],[Prix Menu]]&gt;0, tbl_Produits[[#This Row],[Marge Brute]] / tbl_Produits[[#This Row],[Prix Menu]], 0)</f>
        <v>0.84299999999999997</v>
      </c>
      <c r="H270" s="69">
        <f t="shared" ca="1" si="8"/>
        <v>10.5375</v>
      </c>
      <c r="I270" s="67">
        <f ca="1">IF(tbl_Produits[[#This Row],[Prix Menu]]=0, 0, tbl_Produits[[#This Row],[Coût Moyen Portion]] / tbl_Produits[[#This Row],[Prix Menu]])</f>
        <v>0.157</v>
      </c>
      <c r="J270" s="67" t="str" cm="1">
        <f t="array" ref="J270">IFERROR(IF(Total_portions=0, 0, Charges_fixes_totales_periode / Total_portions),"Vérifier")</f>
        <v>Vérifier</v>
      </c>
      <c r="K270" s="131" cm="1">
        <f t="array" aca="1" ref="K270" ca="1">IFERROR(tbl_Produits[[#This Row],[Prix Menu]] - tbl_Produits[[#This Row],[Coût Moyen Portion]] - ChargesFixesPar_Portion[Charges fixes par portion],"Vérifier")</f>
        <v>-10761.71</v>
      </c>
      <c r="L270" s="132" t="str">
        <f ca="1">IF(OR(tbl_Produits[[#This Row],[Food cost % ]]&gt;0.35,tbl_Produits[[#This Row],[% de Chrg Fixe /Prdt]]&gt;0.2),"À améliorer","OK")</f>
        <v>À améliorer</v>
      </c>
      <c r="M270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71" spans="1:13" ht="16.5" customHeight="1" x14ac:dyDescent="0.25">
      <c r="A271" s="29" t="str">
        <f>Référentiels!A271&amp;TEXT(Référentiels!B271,"000")</f>
        <v>BFR001</v>
      </c>
      <c r="B271" s="64" t="str">
        <f>+tbl_ProduitsRef[[#This Row],[Produit]]</f>
        <v>Soft drinks Soda</v>
      </c>
      <c r="C271" s="64" t="str">
        <f>IFERROR(INDEX(tbl_ProduitsRef[Famille], MATCH(tbl_Produits[[#This Row],[Cde_Prdt]], tbl_Produits[Cde_Prdt], 0)), "")</f>
        <v>Boissons froides</v>
      </c>
      <c r="D271" s="65">
        <f ca="1">SUMIF(tbl_Recettes[Cde_Prdt], tbl_Produits[[#This Row],[Cde_Prdt]], tbl_Recettes[Coût Moyen Portion])</f>
        <v>9</v>
      </c>
      <c r="E271" s="66">
        <f>IFERROR(
   INDEX(tbl_ProduitsRef[Prix Menu],MATCH(B271,tbl_ProduitsRef[Produit],0)),
   ""
)</f>
        <v>30</v>
      </c>
      <c r="F271" s="66">
        <f ca="1">tbl_Produits[[#This Row],[Prix Menu]] - tbl_Produits[[#This Row],[Coût Moyen Portion]]</f>
        <v>21</v>
      </c>
      <c r="G271" s="67">
        <f ca="1">IF(tbl_Produits[[#This Row],[Prix Menu]]&gt;0, tbl_Produits[[#This Row],[Marge Brute]] / tbl_Produits[[#This Row],[Prix Menu]], 0)</f>
        <v>0.7</v>
      </c>
      <c r="H271" s="69">
        <f t="shared" ca="1" si="8"/>
        <v>8.75</v>
      </c>
      <c r="I271" s="67">
        <f ca="1">IF(tbl_Produits[[#This Row],[Prix Menu]]=0, 0, tbl_Produits[[#This Row],[Coût Moyen Portion]] / tbl_Produits[[#This Row],[Prix Menu]])</f>
        <v>0.3</v>
      </c>
      <c r="J271" s="67" t="str" cm="1">
        <f t="array" ref="J271">IFERROR(IF(Total_portions=0, 0, Charges_fixes_totales_periode / Total_portions),"Vérifier")</f>
        <v>Vérifier</v>
      </c>
      <c r="K271" s="131" cm="1">
        <f t="array" aca="1" ref="K271" ca="1">IFERROR(tbl_Produits[[#This Row],[Prix Menu]] - tbl_Produits[[#This Row],[Coût Moyen Portion]] - ChargesFixesPar_Portion[Charges fixes par portion],"Vérifier")</f>
        <v>-10766</v>
      </c>
      <c r="L271" s="132" t="str">
        <f ca="1">IF(OR(tbl_Produits[[#This Row],[Food cost % ]]&gt;0.35,tbl_Produits[[#This Row],[% de Chrg Fixe /Prdt]]&gt;0.2),"À améliorer","OK")</f>
        <v>À améliorer</v>
      </c>
      <c r="M271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72" spans="1:13" ht="16.5" customHeight="1" x14ac:dyDescent="0.25">
      <c r="A272" s="29" t="str">
        <f>Référentiels!A272&amp;TEXT(Référentiels!B272,"000")</f>
        <v>BFR002</v>
      </c>
      <c r="B272" s="64" t="str">
        <f>+tbl_ProduitsRef[[#This Row],[Produit]]</f>
        <v>Eau minérale 1,5L</v>
      </c>
      <c r="C272" s="64" t="str">
        <f>IFERROR(INDEX(tbl_ProduitsRef[Famille], MATCH(tbl_Produits[[#This Row],[Cde_Prdt]], tbl_Produits[Cde_Prdt], 0)), "")</f>
        <v>Boissons froides</v>
      </c>
      <c r="D272" s="65">
        <f ca="1">SUMIF(tbl_Recettes[Cde_Prdt], tbl_Produits[[#This Row],[Cde_Prdt]], tbl_Recettes[Coût Moyen Portion])</f>
        <v>4.5</v>
      </c>
      <c r="E272" s="66">
        <f>IFERROR(
   INDEX(tbl_ProduitsRef[Prix Menu],MATCH(B272,tbl_ProduitsRef[Produit],0)),
   ""
)</f>
        <v>14</v>
      </c>
      <c r="F272" s="66">
        <f ca="1">tbl_Produits[[#This Row],[Prix Menu]] - tbl_Produits[[#This Row],[Coût Moyen Portion]]</f>
        <v>9.5</v>
      </c>
      <c r="G272" s="67">
        <f ca="1">IF(tbl_Produits[[#This Row],[Prix Menu]]&gt;0, tbl_Produits[[#This Row],[Marge Brute]] / tbl_Produits[[#This Row],[Prix Menu]], 0)</f>
        <v>0.6785714285714286</v>
      </c>
      <c r="H272" s="69">
        <f t="shared" ca="1" si="8"/>
        <v>5.7678571428571432</v>
      </c>
      <c r="I272" s="67">
        <f ca="1">IF(tbl_Produits[[#This Row],[Prix Menu]]=0, 0, tbl_Produits[[#This Row],[Coût Moyen Portion]] / tbl_Produits[[#This Row],[Prix Menu]])</f>
        <v>0.32142857142857145</v>
      </c>
      <c r="J272" s="67" t="str" cm="1">
        <f t="array" ref="J272">IFERROR(IF(Total_portions=0, 0, Charges_fixes_totales_periode / Total_portions),"Vérifier")</f>
        <v>Vérifier</v>
      </c>
      <c r="K272" s="131" cm="1">
        <f t="array" aca="1" ref="K272" ca="1">IFERROR(tbl_Produits[[#This Row],[Prix Menu]] - tbl_Produits[[#This Row],[Coût Moyen Portion]] - ChargesFixesPar_Portion[Charges fixes par portion],"Vérifier")</f>
        <v>-10777.5</v>
      </c>
      <c r="L272" s="132" t="str">
        <f ca="1">IF(OR(tbl_Produits[[#This Row],[Food cost % ]]&gt;0.35,tbl_Produits[[#This Row],[% de Chrg Fixe /Prdt]]&gt;0.2),"À améliorer","OK")</f>
        <v>À améliorer</v>
      </c>
      <c r="M272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73" spans="1:13" ht="16.5" customHeight="1" x14ac:dyDescent="0.25">
      <c r="A273" s="29" t="str">
        <f>Référentiels!A273&amp;TEXT(Référentiels!B273,"000")</f>
        <v>BFR003</v>
      </c>
      <c r="B273" s="64" t="str">
        <f>+tbl_ProduitsRef[[#This Row],[Produit]]</f>
        <v>Eau minérale 50cl</v>
      </c>
      <c r="C273" s="64" t="str">
        <f>IFERROR(INDEX(tbl_ProduitsRef[Famille], MATCH(tbl_Produits[[#This Row],[Cde_Prdt]], tbl_Produits[Cde_Prdt], 0)), "")</f>
        <v>Boissons froides</v>
      </c>
      <c r="D273" s="65">
        <f ca="1">SUMIF(tbl_Recettes[Cde_Prdt], tbl_Produits[[#This Row],[Cde_Prdt]], tbl_Recettes[Coût Moyen Portion])</f>
        <v>3</v>
      </c>
      <c r="E273" s="66">
        <f>IFERROR(
   INDEX(tbl_ProduitsRef[Prix Menu],MATCH(B273,tbl_ProduitsRef[Produit],0)),
   ""
)</f>
        <v>8</v>
      </c>
      <c r="F273" s="66">
        <f ca="1">tbl_Produits[[#This Row],[Prix Menu]] - tbl_Produits[[#This Row],[Coût Moyen Portion]]</f>
        <v>5</v>
      </c>
      <c r="G273" s="67">
        <f ca="1">IF(tbl_Produits[[#This Row],[Prix Menu]]&gt;0, tbl_Produits[[#This Row],[Marge Brute]] / tbl_Produits[[#This Row],[Prix Menu]], 0)</f>
        <v>0.625</v>
      </c>
      <c r="H273" s="69">
        <f t="shared" ca="1" si="8"/>
        <v>4.375</v>
      </c>
      <c r="I273" s="67">
        <f ca="1">IF(tbl_Produits[[#This Row],[Prix Menu]]=0, 0, tbl_Produits[[#This Row],[Coût Moyen Portion]] / tbl_Produits[[#This Row],[Prix Menu]])</f>
        <v>0.375</v>
      </c>
      <c r="J273" s="67" t="str" cm="1">
        <f t="array" ref="J273">IFERROR(IF(Total_portions=0, 0, Charges_fixes_totales_periode / Total_portions),"Vérifier")</f>
        <v>Vérifier</v>
      </c>
      <c r="K273" s="131" cm="1">
        <f t="array" aca="1" ref="K273" ca="1">IFERROR(tbl_Produits[[#This Row],[Prix Menu]] - tbl_Produits[[#This Row],[Coût Moyen Portion]] - ChargesFixesPar_Portion[Charges fixes par portion],"Vérifier")</f>
        <v>-10782</v>
      </c>
      <c r="L273" s="132" t="str">
        <f ca="1">IF(OR(tbl_Produits[[#This Row],[Food cost % ]]&gt;0.35,tbl_Produits[[#This Row],[% de Chrg Fixe /Prdt]]&gt;0.2),"À améliorer","OK")</f>
        <v>À améliorer</v>
      </c>
      <c r="M273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74" spans="1:13" ht="16.5" customHeight="1" x14ac:dyDescent="0.25">
      <c r="A274" s="29" t="str">
        <f>Référentiels!A274&amp;TEXT(Référentiels!B274,"000")</f>
        <v>BFR004</v>
      </c>
      <c r="B274" s="64" t="str">
        <f>+tbl_ProduitsRef[[#This Row],[Produit]]</f>
        <v>Eau minérale 33 cl</v>
      </c>
      <c r="C274" s="64" t="str">
        <f>IFERROR(INDEX(tbl_ProduitsRef[Famille], MATCH(tbl_Produits[[#This Row],[Cde_Prdt]], tbl_Produits[Cde_Prdt], 0)), "")</f>
        <v>Boissons froides</v>
      </c>
      <c r="D274" s="65">
        <f ca="1">SUMIF(tbl_Recettes[Cde_Prdt], tbl_Produits[[#This Row],[Cde_Prdt]], tbl_Recettes[Coût Moyen Portion])</f>
        <v>2</v>
      </c>
      <c r="E274" s="66">
        <f>IFERROR(
   INDEX(tbl_ProduitsRef[Prix Menu],MATCH(B274,tbl_ProduitsRef[Produit],0)),
   ""
)</f>
        <v>4</v>
      </c>
      <c r="F274" s="66">
        <f ca="1">tbl_Produits[[#This Row],[Prix Menu]] - tbl_Produits[[#This Row],[Coût Moyen Portion]]</f>
        <v>2</v>
      </c>
      <c r="G274" s="67">
        <f ca="1">IF(tbl_Produits[[#This Row],[Prix Menu]]&gt;0, tbl_Produits[[#This Row],[Marge Brute]] / tbl_Produits[[#This Row],[Prix Menu]], 0)</f>
        <v>0.5</v>
      </c>
      <c r="H274" s="69">
        <f t="shared" ca="1" si="8"/>
        <v>3</v>
      </c>
      <c r="I274" s="67">
        <f ca="1">IF(tbl_Produits[[#This Row],[Prix Menu]]=0, 0, tbl_Produits[[#This Row],[Coût Moyen Portion]] / tbl_Produits[[#This Row],[Prix Menu]])</f>
        <v>0.5</v>
      </c>
      <c r="J274" s="67" t="str" cm="1">
        <f t="array" ref="J274">IFERROR(IF(Total_portions=0, 0, Charges_fixes_totales_periode / Total_portions),"Vérifier")</f>
        <v>Vérifier</v>
      </c>
      <c r="K274" s="131" cm="1">
        <f t="array" aca="1" ref="K274" ca="1">IFERROR(tbl_Produits[[#This Row],[Prix Menu]] - tbl_Produits[[#This Row],[Coût Moyen Portion]] - ChargesFixesPar_Portion[Charges fixes par portion],"Vérifier")</f>
        <v>-10785</v>
      </c>
      <c r="L274" s="132" t="str">
        <f ca="1">IF(OR(tbl_Produits[[#This Row],[Food cost % ]]&gt;0.35,tbl_Produits[[#This Row],[% de Chrg Fixe /Prdt]]&gt;0.2),"À améliorer","OK")</f>
        <v>À améliorer</v>
      </c>
      <c r="M274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75" spans="1:13" ht="16.5" customHeight="1" x14ac:dyDescent="0.25">
      <c r="A275" s="29" t="str">
        <f>Référentiels!A275&amp;TEXT(Référentiels!B275,"000")</f>
        <v>BFR005</v>
      </c>
      <c r="B275" s="64" t="str">
        <f>+tbl_ProduitsRef[[#This Row],[Produit]]</f>
        <v>Soft drinks Oulmes</v>
      </c>
      <c r="C275" s="64" t="str">
        <f>IFERROR(INDEX(tbl_ProduitsRef[Famille], MATCH(tbl_Produits[[#This Row],[Cde_Prdt]], tbl_Produits[Cde_Prdt], 0)), "")</f>
        <v>Boissons froides</v>
      </c>
      <c r="D275" s="65">
        <f ca="1">SUMIF(tbl_Recettes[Cde_Prdt], tbl_Produits[[#This Row],[Cde_Prdt]], tbl_Recettes[Coût Moyen Portion])</f>
        <v>3</v>
      </c>
      <c r="E275" s="66">
        <f>IFERROR(
   INDEX(tbl_ProduitsRef[Prix Menu],MATCH(B275,tbl_ProduitsRef[Produit],0)),
   ""
)</f>
        <v>16</v>
      </c>
      <c r="F275" s="66">
        <f ca="1">tbl_Produits[[#This Row],[Prix Menu]] - tbl_Produits[[#This Row],[Coût Moyen Portion]]</f>
        <v>13</v>
      </c>
      <c r="G275" s="67">
        <f ca="1">IF(tbl_Produits[[#This Row],[Prix Menu]]&gt;0, tbl_Produits[[#This Row],[Marge Brute]] / tbl_Produits[[#This Row],[Prix Menu]], 0)</f>
        <v>0.8125</v>
      </c>
      <c r="H275" s="69">
        <f t="shared" ca="1" si="8"/>
        <v>7.3125</v>
      </c>
      <c r="I275" s="67">
        <f ca="1">IF(tbl_Produits[[#This Row],[Prix Menu]]=0, 0, tbl_Produits[[#This Row],[Coût Moyen Portion]] / tbl_Produits[[#This Row],[Prix Menu]])</f>
        <v>0.1875</v>
      </c>
      <c r="J275" s="67" t="str" cm="1">
        <f t="array" ref="J275">IFERROR(IF(Total_portions=0, 0, Charges_fixes_totales_periode / Total_portions),"Vérifier")</f>
        <v>Vérifier</v>
      </c>
      <c r="K275" s="131" cm="1">
        <f t="array" aca="1" ref="K275" ca="1">IFERROR(tbl_Produits[[#This Row],[Prix Menu]] - tbl_Produits[[#This Row],[Coût Moyen Portion]] - ChargesFixesPar_Portion[Charges fixes par portion],"Vérifier")</f>
        <v>-10774</v>
      </c>
      <c r="L275" s="132" t="str">
        <f ca="1">IF(OR(tbl_Produits[[#This Row],[Food cost % ]]&gt;0.35,tbl_Produits[[#This Row],[% de Chrg Fixe /Prdt]]&gt;0.2),"À améliorer","OK")</f>
        <v>À améliorer</v>
      </c>
      <c r="M275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  <row r="276" spans="1:13" ht="16.5" customHeight="1" x14ac:dyDescent="0.25">
      <c r="A276" s="30" t="str">
        <f>Référentiels!A276&amp;TEXT(Référentiels!B276,"000")</f>
        <v>BFR006</v>
      </c>
      <c r="B276" s="70" t="str">
        <f>+tbl_ProduitsRef[[#This Row],[Produit]]</f>
        <v>Soft drinks boisson énergétique</v>
      </c>
      <c r="C276" s="64" t="str">
        <f>IFERROR(INDEX(tbl_ProduitsRef[Famille], MATCH(tbl_Produits[[#This Row],[Cde_Prdt]], tbl_Produits[Cde_Prdt], 0)), "")</f>
        <v>Boissons froides</v>
      </c>
      <c r="D276" s="65">
        <f ca="1">SUMIF(tbl_Recettes[Cde_Prdt], tbl_Produits[[#This Row],[Cde_Prdt]], tbl_Recettes[Coût Moyen Portion])</f>
        <v>14</v>
      </c>
      <c r="E276" s="71">
        <f>IFERROR(
   INDEX(tbl_ProduitsRef[Prix Menu],MATCH(B276,tbl_ProduitsRef[Produit],0)),
   ""
)</f>
        <v>30</v>
      </c>
      <c r="F276" s="71">
        <f ca="1">tbl_Produits[[#This Row],[Prix Menu]] - tbl_Produits[[#This Row],[Coût Moyen Portion]]</f>
        <v>16</v>
      </c>
      <c r="G276" s="72">
        <f ca="1">IF(tbl_Produits[[#This Row],[Prix Menu]]&gt;0, tbl_Produits[[#This Row],[Marge Brute]] / tbl_Produits[[#This Row],[Prix Menu]], 0)</f>
        <v>0.53333333333333333</v>
      </c>
      <c r="H276" s="73">
        <f t="shared" ca="1" si="8"/>
        <v>6.6666666666666661</v>
      </c>
      <c r="I276" s="67">
        <f ca="1">IF(tbl_Produits[[#This Row],[Prix Menu]]=0, 0, tbl_Produits[[#This Row],[Coût Moyen Portion]] / tbl_Produits[[#This Row],[Prix Menu]])</f>
        <v>0.46666666666666667</v>
      </c>
      <c r="J276" s="67" t="str" cm="1">
        <f t="array" ref="J276">IFERROR(IF(Total_portions=0, 0, Charges_fixes_totales_periode / Total_portions),"Vérifier")</f>
        <v>Vérifier</v>
      </c>
      <c r="K276" s="131" cm="1">
        <f t="array" aca="1" ref="K276" ca="1">IFERROR(tbl_Produits[[#This Row],[Prix Menu]] - tbl_Produits[[#This Row],[Coût Moyen Portion]] - ChargesFixesPar_Portion[Charges fixes par portion],"Vérifier")</f>
        <v>-10771</v>
      </c>
      <c r="L276" s="133" t="str">
        <f ca="1">IF(OR(tbl_Produits[[#This Row],[Food cost % ]]&gt;0.35,tbl_Produits[[#This Row],[% de Chrg Fixe /Prdt]]&gt;0.2),"À améliorer","OK")</f>
        <v>À améliorer</v>
      </c>
      <c r="M276" s="18">
        <f>IFERROR( (SUMIF(tbl_Charges_Fixes[Famille affectée],tbl_Produits[[#This Row],[Famille]],tbl_Charges_Fixes[Montant_Mensuel])) / (SUMIF(tbl_Ventes[Famille],tbl_Produits[[#This Row],[Famille]],tbl_Ventes[Qté Vendue])), 0)</f>
        <v>0</v>
      </c>
    </row>
  </sheetData>
  <conditionalFormatting sqref="A1:XFD1048576">
    <cfRule type="containsText" dxfId="6" priority="1" operator="containsText" text="Vérifier">
      <formula>NOT(ISERROR(SEARCH("Vérifier",A1)))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B788-57D0-42E4-BC97-BB7E36FCFD71}">
  <sheetPr>
    <tabColor theme="4" tint="0.39997558519241921"/>
  </sheetPr>
  <dimension ref="A1:G976"/>
  <sheetViews>
    <sheetView topLeftCell="A883" workbookViewId="0">
      <selection activeCell="H2" sqref="H2"/>
    </sheetView>
  </sheetViews>
  <sheetFormatPr baseColWidth="10" defaultRowHeight="15" x14ac:dyDescent="0.25"/>
  <cols>
    <col min="1" max="1" width="42.28515625" bestFit="1" customWidth="1"/>
    <col min="2" max="2" width="11.5703125" bestFit="1" customWidth="1"/>
    <col min="3" max="3" width="13.140625" bestFit="1" customWidth="1"/>
    <col min="4" max="4" width="37.140625" bestFit="1" customWidth="1"/>
    <col min="5" max="5" width="11.140625" bestFit="1" customWidth="1"/>
    <col min="6" max="6" width="8.140625" bestFit="1" customWidth="1"/>
    <col min="7" max="7" width="21.28515625" bestFit="1" customWidth="1"/>
  </cols>
  <sheetData>
    <row r="1" spans="1:7" x14ac:dyDescent="0.25">
      <c r="A1" t="s">
        <v>41</v>
      </c>
      <c r="B1" t="s">
        <v>42</v>
      </c>
      <c r="C1" t="s">
        <v>199</v>
      </c>
      <c r="D1" t="s">
        <v>200</v>
      </c>
      <c r="E1" t="s">
        <v>201</v>
      </c>
      <c r="F1" t="s">
        <v>202</v>
      </c>
      <c r="G1" t="s">
        <v>191</v>
      </c>
    </row>
    <row r="2" spans="1:7" x14ac:dyDescent="0.25">
      <c r="A2" t="s">
        <v>70</v>
      </c>
      <c r="B2" t="s">
        <v>203</v>
      </c>
      <c r="C2" t="s">
        <v>204</v>
      </c>
      <c r="D2" t="s">
        <v>205</v>
      </c>
      <c r="E2">
        <v>2</v>
      </c>
      <c r="F2" t="s">
        <v>206</v>
      </c>
      <c r="G2">
        <f ca="1">IFERROR(tbl_Recettes[[#This Row],[Quantité]] * IFERROR(_xlfn.XLOOKUP(tbl_Recettes[[#This Row],[Cde_Ingrdt]], tbl_Stock[Cde_Ingrdt], tbl_Stock[CMP effectif]),0),0)</f>
        <v>2.4</v>
      </c>
    </row>
    <row r="3" spans="1:7" x14ac:dyDescent="0.25">
      <c r="A3" t="s">
        <v>70</v>
      </c>
      <c r="B3" t="s">
        <v>203</v>
      </c>
      <c r="C3" t="s">
        <v>207</v>
      </c>
      <c r="D3" t="s">
        <v>208</v>
      </c>
      <c r="E3">
        <v>50</v>
      </c>
      <c r="F3" t="s">
        <v>209</v>
      </c>
      <c r="G3">
        <f ca="1">IFERROR(tbl_Recettes[[#This Row],[Quantité]] * IFERROR(_xlfn.XLOOKUP(tbl_Recettes[[#This Row],[Cde_Ingrdt]], tbl_Stock[Cde_Ingrdt], tbl_Stock[CMP effectif]),0),0)</f>
        <v>5</v>
      </c>
    </row>
    <row r="4" spans="1:7" x14ac:dyDescent="0.25">
      <c r="A4" t="s">
        <v>70</v>
      </c>
      <c r="B4" t="s">
        <v>203</v>
      </c>
      <c r="C4" t="s">
        <v>210</v>
      </c>
      <c r="D4" t="s">
        <v>211</v>
      </c>
      <c r="E4">
        <v>2</v>
      </c>
      <c r="F4" t="s">
        <v>206</v>
      </c>
      <c r="G4">
        <f ca="1">IFERROR(tbl_Recettes[[#This Row],[Quantité]] * IFERROR(_xlfn.XLOOKUP(tbl_Recettes[[#This Row],[Cde_Ingrdt]], tbl_Stock[Cde_Ingrdt], tbl_Stock[CMP effectif]),0),0)</f>
        <v>1.8</v>
      </c>
    </row>
    <row r="5" spans="1:7" x14ac:dyDescent="0.25">
      <c r="A5" t="s">
        <v>70</v>
      </c>
      <c r="B5" t="s">
        <v>203</v>
      </c>
      <c r="C5" t="s">
        <v>212</v>
      </c>
      <c r="D5" t="s">
        <v>213</v>
      </c>
      <c r="E5">
        <v>60</v>
      </c>
      <c r="F5" t="s">
        <v>209</v>
      </c>
      <c r="G5">
        <f ca="1">IFERROR(tbl_Recettes[[#This Row],[Quantité]] * IFERROR(_xlfn.XLOOKUP(tbl_Recettes[[#This Row],[Cde_Ingrdt]], tbl_Stock[Cde_Ingrdt], tbl_Stock[CMP effectif]),0),0)</f>
        <v>34.199999999999996</v>
      </c>
    </row>
    <row r="6" spans="1:7" x14ac:dyDescent="0.25">
      <c r="A6" t="s">
        <v>70</v>
      </c>
      <c r="B6" t="s">
        <v>203</v>
      </c>
      <c r="C6" t="s">
        <v>214</v>
      </c>
      <c r="D6" t="s">
        <v>215</v>
      </c>
      <c r="E6">
        <v>40</v>
      </c>
      <c r="F6" t="s">
        <v>209</v>
      </c>
      <c r="G6">
        <f ca="1">IFERROR(tbl_Recettes[[#This Row],[Quantité]] * IFERROR(_xlfn.XLOOKUP(tbl_Recettes[[#This Row],[Cde_Ingrdt]], tbl_Stock[Cde_Ingrdt], tbl_Stock[CMP effectif]),0),0)</f>
        <v>2</v>
      </c>
    </row>
    <row r="7" spans="1:7" x14ac:dyDescent="0.25">
      <c r="A7" t="s">
        <v>71</v>
      </c>
      <c r="B7" t="s">
        <v>216</v>
      </c>
      <c r="C7" t="s">
        <v>217</v>
      </c>
      <c r="D7" t="s">
        <v>218</v>
      </c>
      <c r="E7">
        <v>3</v>
      </c>
      <c r="F7" t="s">
        <v>206</v>
      </c>
      <c r="G7">
        <f ca="1">IFERROR(tbl_Recettes[[#This Row],[Quantité]] * IFERROR(_xlfn.XLOOKUP(tbl_Recettes[[#This Row],[Cde_Ingrdt]], tbl_Stock[Cde_Ingrdt], tbl_Stock[CMP effectif]),0),0)</f>
        <v>7.5</v>
      </c>
    </row>
    <row r="8" spans="1:7" x14ac:dyDescent="0.25">
      <c r="A8" t="s">
        <v>71</v>
      </c>
      <c r="B8" t="s">
        <v>216</v>
      </c>
      <c r="C8" t="s">
        <v>210</v>
      </c>
      <c r="D8" t="s">
        <v>211</v>
      </c>
      <c r="E8">
        <v>2</v>
      </c>
      <c r="F8" t="s">
        <v>206</v>
      </c>
      <c r="G8">
        <f ca="1">IFERROR(tbl_Recettes[[#This Row],[Quantité]] * IFERROR(_xlfn.XLOOKUP(tbl_Recettes[[#This Row],[Cde_Ingrdt]], tbl_Stock[Cde_Ingrdt], tbl_Stock[CMP effectif]),0),0)</f>
        <v>1.8</v>
      </c>
    </row>
    <row r="9" spans="1:7" x14ac:dyDescent="0.25">
      <c r="A9" t="s">
        <v>71</v>
      </c>
      <c r="B9" t="s">
        <v>216</v>
      </c>
      <c r="C9" t="s">
        <v>219</v>
      </c>
      <c r="D9" t="s">
        <v>220</v>
      </c>
      <c r="E9">
        <v>60</v>
      </c>
      <c r="F9" t="s">
        <v>221</v>
      </c>
      <c r="G9">
        <f ca="1">IFERROR(tbl_Recettes[[#This Row],[Quantité]] * IFERROR(_xlfn.XLOOKUP(tbl_Recettes[[#This Row],[Cde_Ingrdt]], tbl_Stock[Cde_Ingrdt], tbl_Stock[CMP effectif]),0),0)</f>
        <v>9</v>
      </c>
    </row>
    <row r="10" spans="1:7" x14ac:dyDescent="0.25">
      <c r="A10" t="s">
        <v>71</v>
      </c>
      <c r="B10" t="s">
        <v>216</v>
      </c>
      <c r="C10" t="s">
        <v>222</v>
      </c>
      <c r="D10" t="s">
        <v>223</v>
      </c>
      <c r="E10">
        <v>50</v>
      </c>
      <c r="F10" t="s">
        <v>209</v>
      </c>
      <c r="G10">
        <f ca="1">IFERROR(tbl_Recettes[[#This Row],[Quantité]] * IFERROR(_xlfn.XLOOKUP(tbl_Recettes[[#This Row],[Cde_Ingrdt]], tbl_Stock[Cde_Ingrdt], tbl_Stock[CMP effectif]),0),0)</f>
        <v>2</v>
      </c>
    </row>
    <row r="11" spans="1:7" x14ac:dyDescent="0.25">
      <c r="A11" t="s">
        <v>71</v>
      </c>
      <c r="B11" t="s">
        <v>216</v>
      </c>
      <c r="C11" t="s">
        <v>224</v>
      </c>
      <c r="D11" t="s">
        <v>225</v>
      </c>
      <c r="E11">
        <v>40</v>
      </c>
      <c r="F11" t="s">
        <v>209</v>
      </c>
      <c r="G11">
        <f ca="1">IFERROR(tbl_Recettes[[#This Row],[Quantité]] * IFERROR(_xlfn.XLOOKUP(tbl_Recettes[[#This Row],[Cde_Ingrdt]], tbl_Stock[Cde_Ingrdt], tbl_Stock[CMP effectif]),0),0)</f>
        <v>16</v>
      </c>
    </row>
    <row r="12" spans="1:7" x14ac:dyDescent="0.25">
      <c r="A12" t="s">
        <v>71</v>
      </c>
      <c r="B12" t="s">
        <v>216</v>
      </c>
      <c r="C12" t="s">
        <v>226</v>
      </c>
      <c r="D12" t="s">
        <v>227</v>
      </c>
      <c r="E12">
        <v>60</v>
      </c>
      <c r="F12" t="s">
        <v>209</v>
      </c>
      <c r="G12">
        <f ca="1">IFERROR(tbl_Recettes[[#This Row],[Quantité]] * IFERROR(_xlfn.XLOOKUP(tbl_Recettes[[#This Row],[Cde_Ingrdt]], tbl_Stock[Cde_Ingrdt], tbl_Stock[CMP effectif]),0),0)</f>
        <v>6</v>
      </c>
    </row>
    <row r="13" spans="1:7" x14ac:dyDescent="0.25">
      <c r="A13" t="s">
        <v>71</v>
      </c>
      <c r="B13" t="s">
        <v>216</v>
      </c>
      <c r="C13" t="s">
        <v>214</v>
      </c>
      <c r="D13" t="s">
        <v>215</v>
      </c>
      <c r="E13">
        <v>40</v>
      </c>
      <c r="F13" t="s">
        <v>209</v>
      </c>
      <c r="G13">
        <f ca="1">IFERROR(tbl_Recettes[[#This Row],[Quantité]] * IFERROR(_xlfn.XLOOKUP(tbl_Recettes[[#This Row],[Cde_Ingrdt]], tbl_Stock[Cde_Ingrdt], tbl_Stock[CMP effectif]),0),0)</f>
        <v>2</v>
      </c>
    </row>
    <row r="14" spans="1:7" x14ac:dyDescent="0.25">
      <c r="A14" t="s">
        <v>228</v>
      </c>
      <c r="B14" t="s">
        <v>229</v>
      </c>
      <c r="C14" t="s">
        <v>217</v>
      </c>
      <c r="D14" t="s">
        <v>218</v>
      </c>
      <c r="E14">
        <v>3</v>
      </c>
      <c r="F14" t="s">
        <v>206</v>
      </c>
      <c r="G14">
        <f ca="1">IFERROR(tbl_Recettes[[#This Row],[Quantité]] * IFERROR(_xlfn.XLOOKUP(tbl_Recettes[[#This Row],[Cde_Ingrdt]], tbl_Stock[Cde_Ingrdt], tbl_Stock[CMP effectif]),0),0)</f>
        <v>7.5</v>
      </c>
    </row>
    <row r="15" spans="1:7" x14ac:dyDescent="0.25">
      <c r="A15" t="s">
        <v>228</v>
      </c>
      <c r="B15" t="s">
        <v>229</v>
      </c>
      <c r="C15" t="s">
        <v>210</v>
      </c>
      <c r="D15" t="s">
        <v>211</v>
      </c>
      <c r="E15">
        <v>2</v>
      </c>
      <c r="F15" t="s">
        <v>206</v>
      </c>
      <c r="G15">
        <f ca="1">IFERROR(tbl_Recettes[[#This Row],[Quantité]] * IFERROR(_xlfn.XLOOKUP(tbl_Recettes[[#This Row],[Cde_Ingrdt]], tbl_Stock[Cde_Ingrdt], tbl_Stock[CMP effectif]),0),0)</f>
        <v>1.8</v>
      </c>
    </row>
    <row r="16" spans="1:7" x14ac:dyDescent="0.25">
      <c r="A16" t="s">
        <v>228</v>
      </c>
      <c r="B16" t="s">
        <v>229</v>
      </c>
      <c r="C16" t="s">
        <v>226</v>
      </c>
      <c r="D16" t="s">
        <v>227</v>
      </c>
      <c r="E16">
        <v>60</v>
      </c>
      <c r="F16" t="s">
        <v>209</v>
      </c>
      <c r="G16">
        <f ca="1">IFERROR(tbl_Recettes[[#This Row],[Quantité]] * IFERROR(_xlfn.XLOOKUP(tbl_Recettes[[#This Row],[Cde_Ingrdt]], tbl_Stock[Cde_Ingrdt], tbl_Stock[CMP effectif]),0),0)</f>
        <v>6</v>
      </c>
    </row>
    <row r="17" spans="1:7" x14ac:dyDescent="0.25">
      <c r="A17" t="s">
        <v>228</v>
      </c>
      <c r="B17" t="s">
        <v>229</v>
      </c>
      <c r="C17" t="s">
        <v>214</v>
      </c>
      <c r="D17" t="s">
        <v>215</v>
      </c>
      <c r="E17">
        <v>40</v>
      </c>
      <c r="F17" t="s">
        <v>209</v>
      </c>
      <c r="G17">
        <f ca="1">IFERROR(tbl_Recettes[[#This Row],[Quantité]] * IFERROR(_xlfn.XLOOKUP(tbl_Recettes[[#This Row],[Cde_Ingrdt]], tbl_Stock[Cde_Ingrdt], tbl_Stock[CMP effectif]),0),0)</f>
        <v>2</v>
      </c>
    </row>
    <row r="18" spans="1:7" x14ac:dyDescent="0.25">
      <c r="A18" t="s">
        <v>230</v>
      </c>
      <c r="B18" t="s">
        <v>231</v>
      </c>
      <c r="C18" t="s">
        <v>204</v>
      </c>
      <c r="D18" t="s">
        <v>205</v>
      </c>
      <c r="E18">
        <v>2</v>
      </c>
      <c r="F18" t="s">
        <v>206</v>
      </c>
      <c r="G18">
        <f ca="1">IFERROR(tbl_Recettes[[#This Row],[Quantité]] * IFERROR(_xlfn.XLOOKUP(tbl_Recettes[[#This Row],[Cde_Ingrdt]], tbl_Stock[Cde_Ingrdt], tbl_Stock[CMP effectif]),0),0)</f>
        <v>2.4</v>
      </c>
    </row>
    <row r="19" spans="1:7" x14ac:dyDescent="0.25">
      <c r="A19" t="s">
        <v>230</v>
      </c>
      <c r="B19" t="s">
        <v>231</v>
      </c>
      <c r="C19" t="s">
        <v>210</v>
      </c>
      <c r="D19" t="s">
        <v>211</v>
      </c>
      <c r="E19">
        <v>2</v>
      </c>
      <c r="F19" t="s">
        <v>206</v>
      </c>
      <c r="G19">
        <f ca="1">IFERROR(tbl_Recettes[[#This Row],[Quantité]] * IFERROR(_xlfn.XLOOKUP(tbl_Recettes[[#This Row],[Cde_Ingrdt]], tbl_Stock[Cde_Ingrdt], tbl_Stock[CMP effectif]),0),0)</f>
        <v>1.8</v>
      </c>
    </row>
    <row r="20" spans="1:7" x14ac:dyDescent="0.25">
      <c r="A20" t="s">
        <v>230</v>
      </c>
      <c r="B20" t="s">
        <v>231</v>
      </c>
      <c r="C20" t="s">
        <v>232</v>
      </c>
      <c r="D20" t="s">
        <v>233</v>
      </c>
      <c r="E20">
        <v>40</v>
      </c>
      <c r="F20" t="s">
        <v>209</v>
      </c>
      <c r="G20">
        <f ca="1">IFERROR(tbl_Recettes[[#This Row],[Quantité]] * IFERROR(_xlfn.XLOOKUP(tbl_Recettes[[#This Row],[Cde_Ingrdt]], tbl_Stock[Cde_Ingrdt], tbl_Stock[CMP effectif]),0),0)</f>
        <v>6</v>
      </c>
    </row>
    <row r="21" spans="1:7" x14ac:dyDescent="0.25">
      <c r="A21" t="s">
        <v>230</v>
      </c>
      <c r="B21" t="s">
        <v>231</v>
      </c>
      <c r="C21" t="s">
        <v>102</v>
      </c>
      <c r="D21" t="s">
        <v>234</v>
      </c>
      <c r="E21">
        <v>60</v>
      </c>
      <c r="F21" t="s">
        <v>209</v>
      </c>
      <c r="G21">
        <f ca="1">IFERROR(tbl_Recettes[[#This Row],[Quantité]] * IFERROR(_xlfn.XLOOKUP(tbl_Recettes[[#This Row],[Cde_Ingrdt]], tbl_Stock[Cde_Ingrdt], tbl_Stock[CMP effectif]),0),0)</f>
        <v>10.799999999999999</v>
      </c>
    </row>
    <row r="22" spans="1:7" x14ac:dyDescent="0.25">
      <c r="A22" t="s">
        <v>230</v>
      </c>
      <c r="B22" t="s">
        <v>231</v>
      </c>
      <c r="C22" t="s">
        <v>214</v>
      </c>
      <c r="D22" t="s">
        <v>215</v>
      </c>
      <c r="E22">
        <v>40</v>
      </c>
      <c r="F22" t="s">
        <v>209</v>
      </c>
      <c r="G22">
        <f ca="1">IFERROR(tbl_Recettes[[#This Row],[Quantité]] * IFERROR(_xlfn.XLOOKUP(tbl_Recettes[[#This Row],[Cde_Ingrdt]], tbl_Stock[Cde_Ingrdt], tbl_Stock[CMP effectif]),0),0)</f>
        <v>2</v>
      </c>
    </row>
    <row r="23" spans="1:7" x14ac:dyDescent="0.25">
      <c r="A23" t="s">
        <v>235</v>
      </c>
      <c r="B23" t="s">
        <v>236</v>
      </c>
      <c r="C23" t="s">
        <v>237</v>
      </c>
      <c r="D23" t="s">
        <v>238</v>
      </c>
      <c r="E23">
        <v>1</v>
      </c>
      <c r="F23" t="s">
        <v>206</v>
      </c>
      <c r="G23">
        <f ca="1">IFERROR(tbl_Recettes[[#This Row],[Quantité]] * IFERROR(_xlfn.XLOOKUP(tbl_Recettes[[#This Row],[Cde_Ingrdt]], tbl_Stock[Cde_Ingrdt], tbl_Stock[CMP effectif]),0),0)</f>
        <v>2</v>
      </c>
    </row>
    <row r="24" spans="1:7" x14ac:dyDescent="0.25">
      <c r="A24" t="s">
        <v>235</v>
      </c>
      <c r="B24" t="s">
        <v>236</v>
      </c>
      <c r="C24" t="s">
        <v>239</v>
      </c>
      <c r="D24" t="s">
        <v>240</v>
      </c>
      <c r="E24">
        <v>30</v>
      </c>
      <c r="F24" t="s">
        <v>209</v>
      </c>
      <c r="G24">
        <f ca="1">IFERROR(tbl_Recettes[[#This Row],[Quantité]] * IFERROR(_xlfn.XLOOKUP(tbl_Recettes[[#This Row],[Cde_Ingrdt]], tbl_Stock[Cde_Ingrdt], tbl_Stock[CMP effectif]),0),0)</f>
        <v>3</v>
      </c>
    </row>
    <row r="25" spans="1:7" x14ac:dyDescent="0.25">
      <c r="A25" t="s">
        <v>235</v>
      </c>
      <c r="B25" t="s">
        <v>236</v>
      </c>
      <c r="C25" t="s">
        <v>241</v>
      </c>
      <c r="D25" t="s">
        <v>242</v>
      </c>
      <c r="E25">
        <v>20</v>
      </c>
      <c r="F25" t="s">
        <v>209</v>
      </c>
      <c r="G25">
        <f ca="1">IFERROR(tbl_Recettes[[#This Row],[Quantité]] * IFERROR(_xlfn.XLOOKUP(tbl_Recettes[[#This Row],[Cde_Ingrdt]], tbl_Stock[Cde_Ingrdt], tbl_Stock[CMP effectif]),0),0)</f>
        <v>2</v>
      </c>
    </row>
    <row r="26" spans="1:7" x14ac:dyDescent="0.25">
      <c r="A26" t="s">
        <v>235</v>
      </c>
      <c r="B26" t="s">
        <v>236</v>
      </c>
      <c r="C26" t="s">
        <v>214</v>
      </c>
      <c r="D26" t="s">
        <v>215</v>
      </c>
      <c r="E26">
        <v>30</v>
      </c>
      <c r="F26" t="s">
        <v>209</v>
      </c>
      <c r="G26">
        <f ca="1">IFERROR(tbl_Recettes[[#This Row],[Quantité]] * IFERROR(_xlfn.XLOOKUP(tbl_Recettes[[#This Row],[Cde_Ingrdt]], tbl_Stock[Cde_Ingrdt], tbl_Stock[CMP effectif]),0),0)</f>
        <v>1.5</v>
      </c>
    </row>
    <row r="27" spans="1:7" x14ac:dyDescent="0.25">
      <c r="A27" t="s">
        <v>235</v>
      </c>
      <c r="B27" t="s">
        <v>236</v>
      </c>
      <c r="C27" t="s">
        <v>243</v>
      </c>
      <c r="D27" t="s">
        <v>244</v>
      </c>
      <c r="E27">
        <v>30</v>
      </c>
      <c r="F27" t="s">
        <v>209</v>
      </c>
      <c r="G27">
        <f ca="1">IFERROR(tbl_Recettes[[#This Row],[Quantité]] * IFERROR(_xlfn.XLOOKUP(tbl_Recettes[[#This Row],[Cde_Ingrdt]], tbl_Stock[Cde_Ingrdt], tbl_Stock[CMP effectif]),0),0)</f>
        <v>15</v>
      </c>
    </row>
    <row r="28" spans="1:7" x14ac:dyDescent="0.25">
      <c r="A28" t="s">
        <v>235</v>
      </c>
      <c r="B28" t="s">
        <v>236</v>
      </c>
      <c r="C28" t="s">
        <v>245</v>
      </c>
      <c r="D28" t="s">
        <v>246</v>
      </c>
      <c r="E28">
        <v>10</v>
      </c>
      <c r="F28" t="s">
        <v>221</v>
      </c>
      <c r="G28">
        <f ca="1">IFERROR(tbl_Recettes[[#This Row],[Quantité]] * IFERROR(_xlfn.XLOOKUP(tbl_Recettes[[#This Row],[Cde_Ingrdt]], tbl_Stock[Cde_Ingrdt], tbl_Stock[CMP effectif]),0),0)</f>
        <v>1</v>
      </c>
    </row>
    <row r="29" spans="1:7" x14ac:dyDescent="0.25">
      <c r="A29" t="s">
        <v>247</v>
      </c>
      <c r="B29" t="s">
        <v>248</v>
      </c>
      <c r="C29" t="s">
        <v>249</v>
      </c>
      <c r="D29" t="s">
        <v>250</v>
      </c>
      <c r="E29">
        <v>1</v>
      </c>
      <c r="F29" t="s">
        <v>206</v>
      </c>
      <c r="G29">
        <f ca="1">IFERROR(tbl_Recettes[[#This Row],[Quantité]] * IFERROR(_xlfn.XLOOKUP(tbl_Recettes[[#This Row],[Cde_Ingrdt]], tbl_Stock[Cde_Ingrdt], tbl_Stock[CMP effectif]),0),0)</f>
        <v>7</v>
      </c>
    </row>
    <row r="30" spans="1:7" x14ac:dyDescent="0.25">
      <c r="A30" t="s">
        <v>247</v>
      </c>
      <c r="B30" t="s">
        <v>248</v>
      </c>
      <c r="C30" t="s">
        <v>210</v>
      </c>
      <c r="D30" t="s">
        <v>211</v>
      </c>
      <c r="E30">
        <v>2</v>
      </c>
      <c r="F30" t="s">
        <v>206</v>
      </c>
      <c r="G30">
        <f ca="1">IFERROR(tbl_Recettes[[#This Row],[Quantité]] * IFERROR(_xlfn.XLOOKUP(tbl_Recettes[[#This Row],[Cde_Ingrdt]], tbl_Stock[Cde_Ingrdt], tbl_Stock[CMP effectif]),0),0)</f>
        <v>1.8</v>
      </c>
    </row>
    <row r="31" spans="1:7" x14ac:dyDescent="0.25">
      <c r="A31" t="s">
        <v>247</v>
      </c>
      <c r="B31" t="s">
        <v>248</v>
      </c>
      <c r="C31" t="s">
        <v>251</v>
      </c>
      <c r="D31" t="s">
        <v>252</v>
      </c>
      <c r="E31">
        <v>30</v>
      </c>
      <c r="F31" t="s">
        <v>221</v>
      </c>
      <c r="G31">
        <f ca="1">IFERROR(tbl_Recettes[[#This Row],[Quantité]] * IFERROR(_xlfn.XLOOKUP(tbl_Recettes[[#This Row],[Cde_Ingrdt]], tbl_Stock[Cde_Ingrdt], tbl_Stock[CMP effectif]),0),0)</f>
        <v>2.6999999999999997</v>
      </c>
    </row>
    <row r="32" spans="1:7" x14ac:dyDescent="0.25">
      <c r="A32" t="s">
        <v>247</v>
      </c>
      <c r="B32" t="s">
        <v>248</v>
      </c>
      <c r="C32" t="s">
        <v>253</v>
      </c>
      <c r="D32" t="s">
        <v>254</v>
      </c>
      <c r="E32">
        <v>30</v>
      </c>
      <c r="F32" t="s">
        <v>209</v>
      </c>
      <c r="G32">
        <f ca="1">IFERROR(tbl_Recettes[[#This Row],[Quantité]] * IFERROR(_xlfn.XLOOKUP(tbl_Recettes[[#This Row],[Cde_Ingrdt]], tbl_Stock[Cde_Ingrdt], tbl_Stock[CMP effectif]),0),0)</f>
        <v>2.1</v>
      </c>
    </row>
    <row r="33" spans="1:7" x14ac:dyDescent="0.25">
      <c r="A33" t="s">
        <v>247</v>
      </c>
      <c r="B33" t="s">
        <v>248</v>
      </c>
      <c r="C33" t="s">
        <v>255</v>
      </c>
      <c r="D33" t="s">
        <v>256</v>
      </c>
      <c r="E33">
        <v>40</v>
      </c>
      <c r="F33" t="s">
        <v>209</v>
      </c>
      <c r="G33">
        <f ca="1">IFERROR(tbl_Recettes[[#This Row],[Quantité]] * IFERROR(_xlfn.XLOOKUP(tbl_Recettes[[#This Row],[Cde_Ingrdt]], tbl_Stock[Cde_Ingrdt], tbl_Stock[CMP effectif]),0),0)</f>
        <v>2.8000000000000003</v>
      </c>
    </row>
    <row r="34" spans="1:7" x14ac:dyDescent="0.25">
      <c r="A34" t="s">
        <v>257</v>
      </c>
      <c r="B34" t="s">
        <v>258</v>
      </c>
      <c r="C34" t="s">
        <v>210</v>
      </c>
      <c r="D34" t="s">
        <v>211</v>
      </c>
      <c r="E34">
        <v>2</v>
      </c>
      <c r="F34" t="s">
        <v>206</v>
      </c>
      <c r="G34">
        <f ca="1">IFERROR(tbl_Recettes[[#This Row],[Quantité]] * IFERROR(_xlfn.XLOOKUP(tbl_Recettes[[#This Row],[Cde_Ingrdt]], tbl_Stock[Cde_Ingrdt], tbl_Stock[CMP effectif]),0),0)</f>
        <v>1.8</v>
      </c>
    </row>
    <row r="35" spans="1:7" x14ac:dyDescent="0.25">
      <c r="A35" t="s">
        <v>257</v>
      </c>
      <c r="B35" t="s">
        <v>258</v>
      </c>
      <c r="C35" t="s">
        <v>259</v>
      </c>
      <c r="D35" t="s">
        <v>260</v>
      </c>
      <c r="E35">
        <v>1</v>
      </c>
      <c r="F35" t="s">
        <v>206</v>
      </c>
      <c r="G35">
        <f ca="1">IFERROR(tbl_Recettes[[#This Row],[Quantité]] * IFERROR(_xlfn.XLOOKUP(tbl_Recettes[[#This Row],[Cde_Ingrdt]], tbl_Stock[Cde_Ingrdt], tbl_Stock[CMP effectif]),0),0)</f>
        <v>8</v>
      </c>
    </row>
    <row r="36" spans="1:7" x14ac:dyDescent="0.25">
      <c r="A36" t="s">
        <v>257</v>
      </c>
      <c r="B36" t="s">
        <v>258</v>
      </c>
      <c r="C36" t="s">
        <v>261</v>
      </c>
      <c r="D36" t="s">
        <v>262</v>
      </c>
      <c r="E36">
        <v>1</v>
      </c>
      <c r="F36" t="s">
        <v>206</v>
      </c>
      <c r="G36">
        <f ca="1">IFERROR(tbl_Recettes[[#This Row],[Quantité]] * IFERROR(_xlfn.XLOOKUP(tbl_Recettes[[#This Row],[Cde_Ingrdt]], tbl_Stock[Cde_Ingrdt], tbl_Stock[CMP effectif]),0),0)</f>
        <v>1</v>
      </c>
    </row>
    <row r="37" spans="1:7" x14ac:dyDescent="0.25">
      <c r="A37" t="s">
        <v>257</v>
      </c>
      <c r="B37" t="s">
        <v>258</v>
      </c>
      <c r="C37" t="s">
        <v>263</v>
      </c>
      <c r="D37" t="s">
        <v>264</v>
      </c>
      <c r="E37">
        <v>40</v>
      </c>
      <c r="F37" t="s">
        <v>209</v>
      </c>
      <c r="G37">
        <f ca="1">IFERROR(tbl_Recettes[[#This Row],[Quantité]] * IFERROR(_xlfn.XLOOKUP(tbl_Recettes[[#This Row],[Cde_Ingrdt]], tbl_Stock[Cde_Ingrdt], tbl_Stock[CMP effectif]),0),0)</f>
        <v>4</v>
      </c>
    </row>
    <row r="38" spans="1:7" x14ac:dyDescent="0.25">
      <c r="A38" t="s">
        <v>265</v>
      </c>
      <c r="B38" t="s">
        <v>266</v>
      </c>
      <c r="C38" t="s">
        <v>217</v>
      </c>
      <c r="D38" t="s">
        <v>218</v>
      </c>
      <c r="E38">
        <v>3</v>
      </c>
      <c r="F38" t="s">
        <v>206</v>
      </c>
      <c r="G38">
        <f ca="1">IFERROR(tbl_Recettes[[#This Row],[Quantité]] * IFERROR(_xlfn.XLOOKUP(tbl_Recettes[[#This Row],[Cde_Ingrdt]], tbl_Stock[Cde_Ingrdt], tbl_Stock[CMP effectif]),0),0)</f>
        <v>7.5</v>
      </c>
    </row>
    <row r="39" spans="1:7" x14ac:dyDescent="0.25">
      <c r="A39" t="s">
        <v>265</v>
      </c>
      <c r="B39" t="s">
        <v>266</v>
      </c>
      <c r="C39" t="s">
        <v>210</v>
      </c>
      <c r="D39" t="s">
        <v>211</v>
      </c>
      <c r="E39">
        <v>2</v>
      </c>
      <c r="F39" t="s">
        <v>206</v>
      </c>
      <c r="G39">
        <f ca="1">IFERROR(tbl_Recettes[[#This Row],[Quantité]] * IFERROR(_xlfn.XLOOKUP(tbl_Recettes[[#This Row],[Cde_Ingrdt]], tbl_Stock[Cde_Ingrdt], tbl_Stock[CMP effectif]),0),0)</f>
        <v>1.8</v>
      </c>
    </row>
    <row r="40" spans="1:7" x14ac:dyDescent="0.25">
      <c r="A40" t="s">
        <v>265</v>
      </c>
      <c r="B40" t="s">
        <v>266</v>
      </c>
      <c r="C40" t="s">
        <v>102</v>
      </c>
      <c r="D40" t="s">
        <v>234</v>
      </c>
      <c r="E40">
        <v>40</v>
      </c>
      <c r="F40" t="s">
        <v>209</v>
      </c>
      <c r="G40">
        <f ca="1">IFERROR(tbl_Recettes[[#This Row],[Quantité]] * IFERROR(_xlfn.XLOOKUP(tbl_Recettes[[#This Row],[Cde_Ingrdt]], tbl_Stock[Cde_Ingrdt], tbl_Stock[CMP effectif]),0),0)</f>
        <v>7.1999999999999993</v>
      </c>
    </row>
    <row r="41" spans="1:7" x14ac:dyDescent="0.25">
      <c r="A41" t="s">
        <v>265</v>
      </c>
      <c r="B41" t="s">
        <v>266</v>
      </c>
      <c r="C41" t="s">
        <v>267</v>
      </c>
      <c r="D41" t="s">
        <v>82</v>
      </c>
      <c r="E41">
        <v>1</v>
      </c>
      <c r="F41" t="s">
        <v>206</v>
      </c>
      <c r="G41">
        <f ca="1">IFERROR(tbl_Recettes[[#This Row],[Quantité]] * IFERROR(_xlfn.XLOOKUP(tbl_Recettes[[#This Row],[Cde_Ingrdt]], tbl_Stock[Cde_Ingrdt], tbl_Stock[CMP effectif]),0),0)</f>
        <v>1.2</v>
      </c>
    </row>
    <row r="42" spans="1:7" x14ac:dyDescent="0.25">
      <c r="A42" t="s">
        <v>265</v>
      </c>
      <c r="B42" t="s">
        <v>266</v>
      </c>
      <c r="C42" t="s">
        <v>102</v>
      </c>
      <c r="D42" t="s">
        <v>234</v>
      </c>
      <c r="E42">
        <v>40</v>
      </c>
      <c r="F42" t="s">
        <v>209</v>
      </c>
      <c r="G42">
        <f ca="1">IFERROR(tbl_Recettes[[#This Row],[Quantité]] * IFERROR(_xlfn.XLOOKUP(tbl_Recettes[[#This Row],[Cde_Ingrdt]], tbl_Stock[Cde_Ingrdt], tbl_Stock[CMP effectif]),0),0)</f>
        <v>7.1999999999999993</v>
      </c>
    </row>
    <row r="43" spans="1:7" x14ac:dyDescent="0.25">
      <c r="A43" t="s">
        <v>79</v>
      </c>
      <c r="B43" t="s">
        <v>268</v>
      </c>
      <c r="C43" t="s">
        <v>217</v>
      </c>
      <c r="D43" t="s">
        <v>218</v>
      </c>
      <c r="E43">
        <v>3</v>
      </c>
      <c r="F43" t="s">
        <v>206</v>
      </c>
      <c r="G43">
        <f ca="1">IFERROR(tbl_Recettes[[#This Row],[Quantité]] * IFERROR(_xlfn.XLOOKUP(tbl_Recettes[[#This Row],[Cde_Ingrdt]], tbl_Stock[Cde_Ingrdt], tbl_Stock[CMP effectif]),0),0)</f>
        <v>7.5</v>
      </c>
    </row>
    <row r="44" spans="1:7" x14ac:dyDescent="0.25">
      <c r="A44" t="s">
        <v>79</v>
      </c>
      <c r="B44" t="s">
        <v>268</v>
      </c>
      <c r="C44" t="s">
        <v>210</v>
      </c>
      <c r="D44" t="s">
        <v>211</v>
      </c>
      <c r="E44">
        <v>2</v>
      </c>
      <c r="F44" t="s">
        <v>206</v>
      </c>
      <c r="G44">
        <f ca="1">IFERROR(tbl_Recettes[[#This Row],[Quantité]] * IFERROR(_xlfn.XLOOKUP(tbl_Recettes[[#This Row],[Cde_Ingrdt]], tbl_Stock[Cde_Ingrdt], tbl_Stock[CMP effectif]),0),0)</f>
        <v>1.8</v>
      </c>
    </row>
    <row r="45" spans="1:7" x14ac:dyDescent="0.25">
      <c r="A45" t="s">
        <v>79</v>
      </c>
      <c r="B45" t="s">
        <v>268</v>
      </c>
      <c r="C45" t="s">
        <v>92</v>
      </c>
      <c r="D45" t="s">
        <v>269</v>
      </c>
      <c r="E45">
        <v>50</v>
      </c>
      <c r="F45" t="s">
        <v>209</v>
      </c>
      <c r="G45">
        <f ca="1">IFERROR(tbl_Recettes[[#This Row],[Quantité]] * IFERROR(_xlfn.XLOOKUP(tbl_Recettes[[#This Row],[Cde_Ingrdt]], tbl_Stock[Cde_Ingrdt], tbl_Stock[CMP effectif]),0),0)</f>
        <v>15</v>
      </c>
    </row>
    <row r="46" spans="1:7" x14ac:dyDescent="0.25">
      <c r="A46" t="s">
        <v>79</v>
      </c>
      <c r="B46" t="s">
        <v>268</v>
      </c>
      <c r="C46" t="s">
        <v>214</v>
      </c>
      <c r="D46" t="s">
        <v>215</v>
      </c>
      <c r="E46">
        <v>40</v>
      </c>
      <c r="F46" t="s">
        <v>209</v>
      </c>
      <c r="G46">
        <f ca="1">IFERROR(tbl_Recettes[[#This Row],[Quantité]] * IFERROR(_xlfn.XLOOKUP(tbl_Recettes[[#This Row],[Cde_Ingrdt]], tbl_Stock[Cde_Ingrdt], tbl_Stock[CMP effectif]),0),0)</f>
        <v>2</v>
      </c>
    </row>
    <row r="47" spans="1:7" x14ac:dyDescent="0.25">
      <c r="A47" t="s">
        <v>57</v>
      </c>
      <c r="B47" t="s">
        <v>270</v>
      </c>
      <c r="C47" t="s">
        <v>271</v>
      </c>
      <c r="D47" t="s">
        <v>272</v>
      </c>
      <c r="E47">
        <v>1</v>
      </c>
      <c r="F47" t="s">
        <v>206</v>
      </c>
      <c r="G47">
        <f ca="1">IFERROR(tbl_Recettes[[#This Row],[Quantité]] * IFERROR(_xlfn.XLOOKUP(tbl_Recettes[[#This Row],[Cde_Ingrdt]], tbl_Stock[Cde_Ingrdt], tbl_Stock[CMP effectif]),0),0)</f>
        <v>2</v>
      </c>
    </row>
    <row r="48" spans="1:7" x14ac:dyDescent="0.25">
      <c r="A48" t="s">
        <v>57</v>
      </c>
      <c r="B48" t="s">
        <v>270</v>
      </c>
      <c r="C48" t="s">
        <v>273</v>
      </c>
      <c r="D48" t="s">
        <v>274</v>
      </c>
      <c r="E48">
        <v>1</v>
      </c>
      <c r="F48" t="s">
        <v>206</v>
      </c>
      <c r="G48">
        <f ca="1">IFERROR(tbl_Recettes[[#This Row],[Quantité]] * IFERROR(_xlfn.XLOOKUP(tbl_Recettes[[#This Row],[Cde_Ingrdt]], tbl_Stock[Cde_Ingrdt], tbl_Stock[CMP effectif]),0),0)</f>
        <v>2</v>
      </c>
    </row>
    <row r="49" spans="1:7" x14ac:dyDescent="0.25">
      <c r="A49" t="s">
        <v>57</v>
      </c>
      <c r="B49" t="s">
        <v>270</v>
      </c>
      <c r="C49" t="s">
        <v>275</v>
      </c>
      <c r="D49" t="s">
        <v>276</v>
      </c>
      <c r="E49">
        <v>1</v>
      </c>
      <c r="F49" t="s">
        <v>206</v>
      </c>
      <c r="G49">
        <f ca="1">IFERROR(tbl_Recettes[[#This Row],[Quantité]] * IFERROR(_xlfn.XLOOKUP(tbl_Recettes[[#This Row],[Cde_Ingrdt]], tbl_Stock[Cde_Ingrdt], tbl_Stock[CMP effectif]),0),0)</f>
        <v>2</v>
      </c>
    </row>
    <row r="50" spans="1:7" x14ac:dyDescent="0.25">
      <c r="A50" t="s">
        <v>57</v>
      </c>
      <c r="B50" t="s">
        <v>270</v>
      </c>
      <c r="C50" t="s">
        <v>277</v>
      </c>
      <c r="D50" t="s">
        <v>278</v>
      </c>
      <c r="E50">
        <v>20</v>
      </c>
      <c r="F50" t="s">
        <v>209</v>
      </c>
      <c r="G50">
        <f ca="1">IFERROR(tbl_Recettes[[#This Row],[Quantité]] * IFERROR(_xlfn.XLOOKUP(tbl_Recettes[[#This Row],[Cde_Ingrdt]], tbl_Stock[Cde_Ingrdt], tbl_Stock[CMP effectif]),0),0)</f>
        <v>1</v>
      </c>
    </row>
    <row r="51" spans="1:7" x14ac:dyDescent="0.25">
      <c r="A51" t="s">
        <v>57</v>
      </c>
      <c r="B51" t="s">
        <v>270</v>
      </c>
      <c r="C51" t="s">
        <v>279</v>
      </c>
      <c r="D51" t="s">
        <v>280</v>
      </c>
      <c r="E51">
        <v>20</v>
      </c>
      <c r="F51" t="s">
        <v>209</v>
      </c>
      <c r="G51">
        <f ca="1">IFERROR(tbl_Recettes[[#This Row],[Quantité]] * IFERROR(_xlfn.XLOOKUP(tbl_Recettes[[#This Row],[Cde_Ingrdt]], tbl_Stock[Cde_Ingrdt], tbl_Stock[CMP effectif]),0),0)</f>
        <v>1</v>
      </c>
    </row>
    <row r="52" spans="1:7" x14ac:dyDescent="0.25">
      <c r="A52" t="s">
        <v>57</v>
      </c>
      <c r="B52" t="s">
        <v>270</v>
      </c>
      <c r="C52" t="s">
        <v>281</v>
      </c>
      <c r="D52" t="s">
        <v>282</v>
      </c>
      <c r="E52">
        <v>10</v>
      </c>
      <c r="F52" t="s">
        <v>209</v>
      </c>
      <c r="G52">
        <f ca="1">IFERROR(tbl_Recettes[[#This Row],[Quantité]] * IFERROR(_xlfn.XLOOKUP(tbl_Recettes[[#This Row],[Cde_Ingrdt]], tbl_Stock[Cde_Ingrdt], tbl_Stock[CMP effectif]),0),0)</f>
        <v>6</v>
      </c>
    </row>
    <row r="53" spans="1:7" x14ac:dyDescent="0.25">
      <c r="A53" t="s">
        <v>57</v>
      </c>
      <c r="B53" t="s">
        <v>270</v>
      </c>
      <c r="C53" t="s">
        <v>283</v>
      </c>
      <c r="D53" t="s">
        <v>284</v>
      </c>
      <c r="E53">
        <v>10</v>
      </c>
      <c r="F53" t="s">
        <v>221</v>
      </c>
      <c r="G53">
        <f ca="1">IFERROR(tbl_Recettes[[#This Row],[Quantité]] * IFERROR(_xlfn.XLOOKUP(tbl_Recettes[[#This Row],[Cde_Ingrdt]], tbl_Stock[Cde_Ingrdt], tbl_Stock[CMP effectif]),0),0)</f>
        <v>4</v>
      </c>
    </row>
    <row r="54" spans="1:7" x14ac:dyDescent="0.25">
      <c r="A54" t="s">
        <v>57</v>
      </c>
      <c r="B54" t="s">
        <v>270</v>
      </c>
      <c r="C54" t="s">
        <v>214</v>
      </c>
      <c r="D54" t="s">
        <v>215</v>
      </c>
      <c r="E54">
        <v>40</v>
      </c>
      <c r="F54" t="s">
        <v>209</v>
      </c>
      <c r="G54">
        <f ca="1">IFERROR(tbl_Recettes[[#This Row],[Quantité]] * IFERROR(_xlfn.XLOOKUP(tbl_Recettes[[#This Row],[Cde_Ingrdt]], tbl_Stock[Cde_Ingrdt], tbl_Stock[CMP effectif]),0),0)</f>
        <v>2</v>
      </c>
    </row>
    <row r="55" spans="1:7" x14ac:dyDescent="0.25">
      <c r="A55" t="s">
        <v>57</v>
      </c>
      <c r="B55" t="s">
        <v>270</v>
      </c>
      <c r="C55" t="s">
        <v>210</v>
      </c>
      <c r="D55" t="s">
        <v>211</v>
      </c>
      <c r="E55">
        <v>1</v>
      </c>
      <c r="F55" t="s">
        <v>206</v>
      </c>
      <c r="G55">
        <f ca="1">IFERROR(tbl_Recettes[[#This Row],[Quantité]] * IFERROR(_xlfn.XLOOKUP(tbl_Recettes[[#This Row],[Cde_Ingrdt]], tbl_Stock[Cde_Ingrdt], tbl_Stock[CMP effectif]),0),0)</f>
        <v>0.9</v>
      </c>
    </row>
    <row r="56" spans="1:7" x14ac:dyDescent="0.25">
      <c r="A56" t="s">
        <v>285</v>
      </c>
      <c r="B56" t="s">
        <v>286</v>
      </c>
      <c r="C56" t="s">
        <v>287</v>
      </c>
      <c r="D56" t="s">
        <v>288</v>
      </c>
      <c r="E56">
        <v>1</v>
      </c>
      <c r="F56" t="s">
        <v>206</v>
      </c>
      <c r="G56">
        <f ca="1">IFERROR(tbl_Recettes[[#This Row],[Quantité]] * IFERROR(_xlfn.XLOOKUP(tbl_Recettes[[#This Row],[Cde_Ingrdt]], tbl_Stock[Cde_Ingrdt], tbl_Stock[CMP effectif]),0),0)</f>
        <v>3</v>
      </c>
    </row>
    <row r="57" spans="1:7" x14ac:dyDescent="0.25">
      <c r="A57" t="s">
        <v>285</v>
      </c>
      <c r="B57" t="s">
        <v>286</v>
      </c>
      <c r="C57" t="s">
        <v>289</v>
      </c>
      <c r="D57" t="s">
        <v>290</v>
      </c>
      <c r="E57">
        <v>1</v>
      </c>
      <c r="F57" t="s">
        <v>206</v>
      </c>
      <c r="G57">
        <f ca="1">IFERROR(tbl_Recettes[[#This Row],[Quantité]] * IFERROR(_xlfn.XLOOKUP(tbl_Recettes[[#This Row],[Cde_Ingrdt]], tbl_Stock[Cde_Ingrdt], tbl_Stock[CMP effectif]),0),0)</f>
        <v>4</v>
      </c>
    </row>
    <row r="58" spans="1:7" x14ac:dyDescent="0.25">
      <c r="A58" t="s">
        <v>285</v>
      </c>
      <c r="B58" t="s">
        <v>286</v>
      </c>
      <c r="C58" t="s">
        <v>277</v>
      </c>
      <c r="D58" t="s">
        <v>278</v>
      </c>
      <c r="E58">
        <v>20</v>
      </c>
      <c r="F58" t="s">
        <v>209</v>
      </c>
      <c r="G58">
        <f ca="1">IFERROR(tbl_Recettes[[#This Row],[Quantité]] * IFERROR(_xlfn.XLOOKUP(tbl_Recettes[[#This Row],[Cde_Ingrdt]], tbl_Stock[Cde_Ingrdt], tbl_Stock[CMP effectif]),0),0)</f>
        <v>1</v>
      </c>
    </row>
    <row r="59" spans="1:7" x14ac:dyDescent="0.25">
      <c r="A59" t="s">
        <v>285</v>
      </c>
      <c r="B59" t="s">
        <v>286</v>
      </c>
      <c r="C59" t="s">
        <v>283</v>
      </c>
      <c r="D59" t="s">
        <v>284</v>
      </c>
      <c r="E59">
        <v>40</v>
      </c>
      <c r="F59" t="s">
        <v>221</v>
      </c>
      <c r="G59">
        <f ca="1">IFERROR(tbl_Recettes[[#This Row],[Quantité]] * IFERROR(_xlfn.XLOOKUP(tbl_Recettes[[#This Row],[Cde_Ingrdt]], tbl_Stock[Cde_Ingrdt], tbl_Stock[CMP effectif]),0),0)</f>
        <v>16</v>
      </c>
    </row>
    <row r="60" spans="1:7" x14ac:dyDescent="0.25">
      <c r="A60" t="s">
        <v>285</v>
      </c>
      <c r="B60" t="s">
        <v>286</v>
      </c>
      <c r="C60" t="s">
        <v>279</v>
      </c>
      <c r="D60" t="s">
        <v>280</v>
      </c>
      <c r="E60">
        <v>20</v>
      </c>
      <c r="F60" t="s">
        <v>209</v>
      </c>
      <c r="G60">
        <f ca="1">IFERROR(tbl_Recettes[[#This Row],[Quantité]] * IFERROR(_xlfn.XLOOKUP(tbl_Recettes[[#This Row],[Cde_Ingrdt]], tbl_Stock[Cde_Ingrdt], tbl_Stock[CMP effectif]),0),0)</f>
        <v>1</v>
      </c>
    </row>
    <row r="61" spans="1:7" x14ac:dyDescent="0.25">
      <c r="A61" t="s">
        <v>291</v>
      </c>
      <c r="B61" t="s">
        <v>292</v>
      </c>
      <c r="C61" t="s">
        <v>210</v>
      </c>
      <c r="D61" t="s">
        <v>211</v>
      </c>
      <c r="E61">
        <v>3</v>
      </c>
      <c r="F61" t="s">
        <v>206</v>
      </c>
      <c r="G61">
        <f ca="1">IFERROR(tbl_Recettes[[#This Row],[Quantité]] * IFERROR(_xlfn.XLOOKUP(tbl_Recettes[[#This Row],[Cde_Ingrdt]], tbl_Stock[Cde_Ingrdt], tbl_Stock[CMP effectif]),0),0)</f>
        <v>2.7</v>
      </c>
    </row>
    <row r="62" spans="1:7" x14ac:dyDescent="0.25">
      <c r="A62" t="s">
        <v>291</v>
      </c>
      <c r="B62" t="s">
        <v>292</v>
      </c>
      <c r="C62" t="s">
        <v>293</v>
      </c>
      <c r="D62" t="s">
        <v>294</v>
      </c>
      <c r="E62">
        <v>50</v>
      </c>
      <c r="F62" t="s">
        <v>209</v>
      </c>
      <c r="G62">
        <f ca="1">IFERROR(tbl_Recettes[[#This Row],[Quantité]] * IFERROR(_xlfn.XLOOKUP(tbl_Recettes[[#This Row],[Cde_Ingrdt]], tbl_Stock[Cde_Ingrdt], tbl_Stock[CMP effectif]),0),0)</f>
        <v>5</v>
      </c>
    </row>
    <row r="63" spans="1:7" x14ac:dyDescent="0.25">
      <c r="A63" t="s">
        <v>291</v>
      </c>
      <c r="B63" t="s">
        <v>292</v>
      </c>
      <c r="C63" t="s">
        <v>295</v>
      </c>
      <c r="D63" t="s">
        <v>296</v>
      </c>
      <c r="E63">
        <v>10</v>
      </c>
      <c r="F63" t="s">
        <v>209</v>
      </c>
      <c r="G63">
        <f ca="1">IFERROR(tbl_Recettes[[#This Row],[Quantité]] * IFERROR(_xlfn.XLOOKUP(tbl_Recettes[[#This Row],[Cde_Ingrdt]], tbl_Stock[Cde_Ingrdt], tbl_Stock[CMP effectif]),0),0)</f>
        <v>0.4</v>
      </c>
    </row>
    <row r="64" spans="1:7" x14ac:dyDescent="0.25">
      <c r="A64" t="s">
        <v>291</v>
      </c>
      <c r="B64" t="s">
        <v>292</v>
      </c>
      <c r="C64" t="s">
        <v>297</v>
      </c>
      <c r="D64" t="s">
        <v>298</v>
      </c>
      <c r="E64">
        <v>10</v>
      </c>
      <c r="F64" t="s">
        <v>221</v>
      </c>
      <c r="G64">
        <f ca="1">IFERROR(tbl_Recettes[[#This Row],[Quantité]] * IFERROR(_xlfn.XLOOKUP(tbl_Recettes[[#This Row],[Cde_Ingrdt]], tbl_Stock[Cde_Ingrdt], tbl_Stock[CMP effectif]),0),0)</f>
        <v>0.89999999999999991</v>
      </c>
    </row>
    <row r="65" spans="1:7" x14ac:dyDescent="0.25">
      <c r="A65" t="s">
        <v>291</v>
      </c>
      <c r="B65" t="s">
        <v>292</v>
      </c>
      <c r="C65" t="s">
        <v>299</v>
      </c>
      <c r="D65" t="s">
        <v>300</v>
      </c>
      <c r="E65">
        <v>1</v>
      </c>
      <c r="F65" t="s">
        <v>209</v>
      </c>
      <c r="G65">
        <f ca="1">IFERROR(tbl_Recettes[[#This Row],[Quantité]] * IFERROR(_xlfn.XLOOKUP(tbl_Recettes[[#This Row],[Cde_Ingrdt]], tbl_Stock[Cde_Ingrdt], tbl_Stock[CMP effectif]),0),0)</f>
        <v>0.09</v>
      </c>
    </row>
    <row r="66" spans="1:7" x14ac:dyDescent="0.25">
      <c r="A66" t="s">
        <v>301</v>
      </c>
      <c r="B66" t="s">
        <v>302</v>
      </c>
      <c r="C66" t="s">
        <v>210</v>
      </c>
      <c r="D66" t="s">
        <v>211</v>
      </c>
      <c r="E66">
        <v>3</v>
      </c>
      <c r="F66" t="s">
        <v>206</v>
      </c>
      <c r="G66">
        <f ca="1">IFERROR(tbl_Recettes[[#This Row],[Quantité]] * IFERROR(_xlfn.XLOOKUP(tbl_Recettes[[#This Row],[Cde_Ingrdt]], tbl_Stock[Cde_Ingrdt], tbl_Stock[CMP effectif]),0),0)</f>
        <v>2.7</v>
      </c>
    </row>
    <row r="67" spans="1:7" x14ac:dyDescent="0.25">
      <c r="A67" t="s">
        <v>301</v>
      </c>
      <c r="B67" t="s">
        <v>302</v>
      </c>
      <c r="C67" t="s">
        <v>303</v>
      </c>
      <c r="D67" t="s">
        <v>304</v>
      </c>
      <c r="E67">
        <v>50</v>
      </c>
      <c r="F67" t="s">
        <v>209</v>
      </c>
      <c r="G67">
        <f ca="1">IFERROR(tbl_Recettes[[#This Row],[Quantité]] * IFERROR(_xlfn.XLOOKUP(tbl_Recettes[[#This Row],[Cde_Ingrdt]], tbl_Stock[Cde_Ingrdt], tbl_Stock[CMP effectif]),0),0)</f>
        <v>8.2000000000000011</v>
      </c>
    </row>
    <row r="68" spans="1:7" x14ac:dyDescent="0.25">
      <c r="A68" t="s">
        <v>301</v>
      </c>
      <c r="B68" t="s">
        <v>302</v>
      </c>
      <c r="C68" t="s">
        <v>102</v>
      </c>
      <c r="D68" t="s">
        <v>234</v>
      </c>
      <c r="E68">
        <v>50</v>
      </c>
      <c r="F68" t="s">
        <v>209</v>
      </c>
      <c r="G68">
        <f ca="1">IFERROR(tbl_Recettes[[#This Row],[Quantité]] * IFERROR(_xlfn.XLOOKUP(tbl_Recettes[[#This Row],[Cde_Ingrdt]], tbl_Stock[Cde_Ingrdt], tbl_Stock[CMP effectif]),0),0)</f>
        <v>9</v>
      </c>
    </row>
    <row r="69" spans="1:7" x14ac:dyDescent="0.25">
      <c r="A69" t="s">
        <v>301</v>
      </c>
      <c r="B69" t="s">
        <v>302</v>
      </c>
      <c r="C69" t="s">
        <v>297</v>
      </c>
      <c r="D69" t="s">
        <v>298</v>
      </c>
      <c r="E69">
        <v>10</v>
      </c>
      <c r="F69" t="s">
        <v>221</v>
      </c>
      <c r="G69">
        <f ca="1">IFERROR(tbl_Recettes[[#This Row],[Quantité]] * IFERROR(_xlfn.XLOOKUP(tbl_Recettes[[#This Row],[Cde_Ingrdt]], tbl_Stock[Cde_Ingrdt], tbl_Stock[CMP effectif]),0),0)</f>
        <v>0.89999999999999991</v>
      </c>
    </row>
    <row r="70" spans="1:7" x14ac:dyDescent="0.25">
      <c r="A70" t="s">
        <v>301</v>
      </c>
      <c r="B70" t="s">
        <v>302</v>
      </c>
      <c r="C70" t="s">
        <v>299</v>
      </c>
      <c r="D70" t="s">
        <v>300</v>
      </c>
      <c r="E70">
        <v>1</v>
      </c>
      <c r="F70" t="s">
        <v>209</v>
      </c>
      <c r="G70">
        <f ca="1">IFERROR(tbl_Recettes[[#This Row],[Quantité]] * IFERROR(_xlfn.XLOOKUP(tbl_Recettes[[#This Row],[Cde_Ingrdt]], tbl_Stock[Cde_Ingrdt], tbl_Stock[CMP effectif]),0),0)</f>
        <v>0.09</v>
      </c>
    </row>
    <row r="71" spans="1:7" x14ac:dyDescent="0.25">
      <c r="A71" t="s">
        <v>305</v>
      </c>
      <c r="B71" t="s">
        <v>306</v>
      </c>
      <c r="C71" t="s">
        <v>210</v>
      </c>
      <c r="D71" t="s">
        <v>211</v>
      </c>
      <c r="E71">
        <v>3</v>
      </c>
      <c r="F71" t="s">
        <v>206</v>
      </c>
      <c r="G71">
        <f ca="1">IFERROR(tbl_Recettes[[#This Row],[Quantité]] * IFERROR(_xlfn.XLOOKUP(tbl_Recettes[[#This Row],[Cde_Ingrdt]], tbl_Stock[Cde_Ingrdt], tbl_Stock[CMP effectif]),0),0)</f>
        <v>2.7</v>
      </c>
    </row>
    <row r="72" spans="1:7" x14ac:dyDescent="0.25">
      <c r="A72" t="s">
        <v>305</v>
      </c>
      <c r="B72" t="s">
        <v>306</v>
      </c>
      <c r="C72" t="s">
        <v>303</v>
      </c>
      <c r="D72" t="s">
        <v>304</v>
      </c>
      <c r="E72">
        <v>30</v>
      </c>
      <c r="F72" t="s">
        <v>209</v>
      </c>
      <c r="G72">
        <f ca="1">IFERROR(tbl_Recettes[[#This Row],[Quantité]] * IFERROR(_xlfn.XLOOKUP(tbl_Recettes[[#This Row],[Cde_Ingrdt]], tbl_Stock[Cde_Ingrdt], tbl_Stock[CMP effectif]),0),0)</f>
        <v>4.92</v>
      </c>
    </row>
    <row r="73" spans="1:7" x14ac:dyDescent="0.25">
      <c r="A73" t="s">
        <v>305</v>
      </c>
      <c r="B73" t="s">
        <v>306</v>
      </c>
      <c r="C73" t="s">
        <v>102</v>
      </c>
      <c r="D73" t="s">
        <v>234</v>
      </c>
      <c r="E73">
        <v>30</v>
      </c>
      <c r="F73" t="s">
        <v>209</v>
      </c>
      <c r="G73">
        <f ca="1">IFERROR(tbl_Recettes[[#This Row],[Quantité]] * IFERROR(_xlfn.XLOOKUP(tbl_Recettes[[#This Row],[Cde_Ingrdt]], tbl_Stock[Cde_Ingrdt], tbl_Stock[CMP effectif]),0),0)</f>
        <v>5.3999999999999995</v>
      </c>
    </row>
    <row r="74" spans="1:7" x14ac:dyDescent="0.25">
      <c r="A74" t="s">
        <v>305</v>
      </c>
      <c r="B74" t="s">
        <v>306</v>
      </c>
      <c r="C74" t="s">
        <v>307</v>
      </c>
      <c r="D74" t="s">
        <v>308</v>
      </c>
      <c r="E74">
        <v>60</v>
      </c>
      <c r="F74" t="s">
        <v>209</v>
      </c>
      <c r="G74">
        <f ca="1">IFERROR(tbl_Recettes[[#This Row],[Quantité]] * IFERROR(_xlfn.XLOOKUP(tbl_Recettes[[#This Row],[Cde_Ingrdt]], tbl_Stock[Cde_Ingrdt], tbl_Stock[CMP effectif]),0),0)</f>
        <v>0.6</v>
      </c>
    </row>
    <row r="75" spans="1:7" x14ac:dyDescent="0.25">
      <c r="A75" t="s">
        <v>305</v>
      </c>
      <c r="B75" t="s">
        <v>306</v>
      </c>
      <c r="C75" t="s">
        <v>309</v>
      </c>
      <c r="D75" t="s">
        <v>310</v>
      </c>
      <c r="E75">
        <v>30</v>
      </c>
      <c r="F75" t="s">
        <v>209</v>
      </c>
      <c r="G75">
        <f ca="1">IFERROR(tbl_Recettes[[#This Row],[Quantité]] * IFERROR(_xlfn.XLOOKUP(tbl_Recettes[[#This Row],[Cde_Ingrdt]], tbl_Stock[Cde_Ingrdt], tbl_Stock[CMP effectif]),0),0)</f>
        <v>0.3</v>
      </c>
    </row>
    <row r="76" spans="1:7" x14ac:dyDescent="0.25">
      <c r="A76" t="s">
        <v>305</v>
      </c>
      <c r="B76" t="s">
        <v>306</v>
      </c>
      <c r="C76" t="s">
        <v>311</v>
      </c>
      <c r="D76" t="s">
        <v>312</v>
      </c>
      <c r="E76">
        <v>0.25</v>
      </c>
      <c r="F76" t="s">
        <v>206</v>
      </c>
      <c r="G76">
        <f ca="1">IFERROR(tbl_Recettes[[#This Row],[Quantité]] * IFERROR(_xlfn.XLOOKUP(tbl_Recettes[[#This Row],[Cde_Ingrdt]], tbl_Stock[Cde_Ingrdt], tbl_Stock[CMP effectif]),0),0)</f>
        <v>5</v>
      </c>
    </row>
    <row r="77" spans="1:7" x14ac:dyDescent="0.25">
      <c r="A77" t="s">
        <v>305</v>
      </c>
      <c r="B77" t="s">
        <v>306</v>
      </c>
      <c r="C77" t="s">
        <v>297</v>
      </c>
      <c r="D77" t="s">
        <v>298</v>
      </c>
      <c r="E77">
        <v>20</v>
      </c>
      <c r="F77" t="s">
        <v>221</v>
      </c>
      <c r="G77">
        <f ca="1">IFERROR(tbl_Recettes[[#This Row],[Quantité]] * IFERROR(_xlfn.XLOOKUP(tbl_Recettes[[#This Row],[Cde_Ingrdt]], tbl_Stock[Cde_Ingrdt], tbl_Stock[CMP effectif]),0),0)</f>
        <v>1.7999999999999998</v>
      </c>
    </row>
    <row r="78" spans="1:7" x14ac:dyDescent="0.25">
      <c r="A78" t="s">
        <v>305</v>
      </c>
      <c r="B78" t="s">
        <v>306</v>
      </c>
      <c r="C78" t="s">
        <v>299</v>
      </c>
      <c r="D78" t="s">
        <v>300</v>
      </c>
      <c r="E78">
        <v>1</v>
      </c>
      <c r="F78" t="s">
        <v>209</v>
      </c>
      <c r="G78">
        <f ca="1">IFERROR(tbl_Recettes[[#This Row],[Quantité]] * IFERROR(_xlfn.XLOOKUP(tbl_Recettes[[#This Row],[Cde_Ingrdt]], tbl_Stock[Cde_Ingrdt], tbl_Stock[CMP effectif]),0),0)</f>
        <v>0.09</v>
      </c>
    </row>
    <row r="79" spans="1:7" x14ac:dyDescent="0.25">
      <c r="A79" t="s">
        <v>313</v>
      </c>
      <c r="B79" t="s">
        <v>314</v>
      </c>
      <c r="C79" t="s">
        <v>210</v>
      </c>
      <c r="D79" t="s">
        <v>211</v>
      </c>
      <c r="E79">
        <v>3</v>
      </c>
      <c r="F79" t="s">
        <v>206</v>
      </c>
      <c r="G79">
        <f ca="1">IFERROR(tbl_Recettes[[#This Row],[Quantité]] * IFERROR(_xlfn.XLOOKUP(tbl_Recettes[[#This Row],[Cde_Ingrdt]], tbl_Stock[Cde_Ingrdt], tbl_Stock[CMP effectif]),0),0)</f>
        <v>2.7</v>
      </c>
    </row>
    <row r="80" spans="1:7" x14ac:dyDescent="0.25">
      <c r="A80" t="s">
        <v>313</v>
      </c>
      <c r="B80" t="s">
        <v>314</v>
      </c>
      <c r="C80" t="s">
        <v>307</v>
      </c>
      <c r="D80" t="s">
        <v>308</v>
      </c>
      <c r="E80">
        <v>60</v>
      </c>
      <c r="F80" t="s">
        <v>209</v>
      </c>
      <c r="G80">
        <f ca="1">IFERROR(tbl_Recettes[[#This Row],[Quantité]] * IFERROR(_xlfn.XLOOKUP(tbl_Recettes[[#This Row],[Cde_Ingrdt]], tbl_Stock[Cde_Ingrdt], tbl_Stock[CMP effectif]),0),0)</f>
        <v>0.6</v>
      </c>
    </row>
    <row r="81" spans="1:7" x14ac:dyDescent="0.25">
      <c r="A81" t="s">
        <v>313</v>
      </c>
      <c r="B81" t="s">
        <v>314</v>
      </c>
      <c r="C81" t="s">
        <v>309</v>
      </c>
      <c r="D81" t="s">
        <v>310</v>
      </c>
      <c r="E81">
        <v>30</v>
      </c>
      <c r="F81" t="s">
        <v>209</v>
      </c>
      <c r="G81">
        <f ca="1">IFERROR(tbl_Recettes[[#This Row],[Quantité]] * IFERROR(_xlfn.XLOOKUP(tbl_Recettes[[#This Row],[Cde_Ingrdt]], tbl_Stock[Cde_Ingrdt], tbl_Stock[CMP effectif]),0),0)</f>
        <v>0.3</v>
      </c>
    </row>
    <row r="82" spans="1:7" x14ac:dyDescent="0.25">
      <c r="A82" t="s">
        <v>313</v>
      </c>
      <c r="B82" t="s">
        <v>314</v>
      </c>
      <c r="C82" t="s">
        <v>315</v>
      </c>
      <c r="D82" t="s">
        <v>316</v>
      </c>
      <c r="E82">
        <v>20</v>
      </c>
      <c r="F82" t="s">
        <v>209</v>
      </c>
      <c r="G82">
        <f ca="1">IFERROR(tbl_Recettes[[#This Row],[Quantité]] * IFERROR(_xlfn.XLOOKUP(tbl_Recettes[[#This Row],[Cde_Ingrdt]], tbl_Stock[Cde_Ingrdt], tbl_Stock[CMP effectif]),0),0)</f>
        <v>2</v>
      </c>
    </row>
    <row r="83" spans="1:7" x14ac:dyDescent="0.25">
      <c r="A83" t="s">
        <v>313</v>
      </c>
      <c r="B83" t="s">
        <v>314</v>
      </c>
      <c r="C83" t="s">
        <v>311</v>
      </c>
      <c r="D83" t="s">
        <v>312</v>
      </c>
      <c r="E83">
        <v>0.3</v>
      </c>
      <c r="F83" t="s">
        <v>206</v>
      </c>
      <c r="G83">
        <f ca="1">IFERROR(tbl_Recettes[[#This Row],[Quantité]] * IFERROR(_xlfn.XLOOKUP(tbl_Recettes[[#This Row],[Cde_Ingrdt]], tbl_Stock[Cde_Ingrdt], tbl_Stock[CMP effectif]),0),0)</f>
        <v>6</v>
      </c>
    </row>
    <row r="84" spans="1:7" x14ac:dyDescent="0.25">
      <c r="A84" t="s">
        <v>313</v>
      </c>
      <c r="B84" t="s">
        <v>314</v>
      </c>
      <c r="C84" t="s">
        <v>297</v>
      </c>
      <c r="D84" t="s">
        <v>298</v>
      </c>
      <c r="E84">
        <v>20</v>
      </c>
      <c r="F84" t="s">
        <v>221</v>
      </c>
      <c r="G84">
        <f ca="1">IFERROR(tbl_Recettes[[#This Row],[Quantité]] * IFERROR(_xlfn.XLOOKUP(tbl_Recettes[[#This Row],[Cde_Ingrdt]], tbl_Stock[Cde_Ingrdt], tbl_Stock[CMP effectif]),0),0)</f>
        <v>1.7999999999999998</v>
      </c>
    </row>
    <row r="85" spans="1:7" x14ac:dyDescent="0.25">
      <c r="A85" t="s">
        <v>313</v>
      </c>
      <c r="B85" t="s">
        <v>314</v>
      </c>
      <c r="C85" t="s">
        <v>299</v>
      </c>
      <c r="D85" t="s">
        <v>300</v>
      </c>
      <c r="E85">
        <v>1</v>
      </c>
      <c r="F85" t="s">
        <v>209</v>
      </c>
      <c r="G85">
        <f ca="1">IFERROR(tbl_Recettes[[#This Row],[Quantité]] * IFERROR(_xlfn.XLOOKUP(tbl_Recettes[[#This Row],[Cde_Ingrdt]], tbl_Stock[Cde_Ingrdt], tbl_Stock[CMP effectif]),0),0)</f>
        <v>0.09</v>
      </c>
    </row>
    <row r="86" spans="1:7" x14ac:dyDescent="0.25">
      <c r="A86" t="s">
        <v>80</v>
      </c>
      <c r="B86" t="s">
        <v>317</v>
      </c>
      <c r="C86" t="s">
        <v>210</v>
      </c>
      <c r="D86" t="s">
        <v>211</v>
      </c>
      <c r="E86">
        <v>3</v>
      </c>
      <c r="F86" t="s">
        <v>206</v>
      </c>
      <c r="G86">
        <f ca="1">IFERROR(tbl_Recettes[[#This Row],[Quantité]] * IFERROR(_xlfn.XLOOKUP(tbl_Recettes[[#This Row],[Cde_Ingrdt]], tbl_Stock[Cde_Ingrdt], tbl_Stock[CMP effectif]),0),0)</f>
        <v>2.7</v>
      </c>
    </row>
    <row r="87" spans="1:7" x14ac:dyDescent="0.25">
      <c r="A87" t="s">
        <v>80</v>
      </c>
      <c r="B87" t="s">
        <v>317</v>
      </c>
      <c r="C87" t="s">
        <v>253</v>
      </c>
      <c r="D87" t="s">
        <v>254</v>
      </c>
      <c r="E87">
        <v>40</v>
      </c>
      <c r="F87" t="s">
        <v>209</v>
      </c>
      <c r="G87">
        <f ca="1">IFERROR(tbl_Recettes[[#This Row],[Quantité]] * IFERROR(_xlfn.XLOOKUP(tbl_Recettes[[#This Row],[Cde_Ingrdt]], tbl_Stock[Cde_Ingrdt], tbl_Stock[CMP effectif]),0),0)</f>
        <v>2.8000000000000003</v>
      </c>
    </row>
    <row r="88" spans="1:7" x14ac:dyDescent="0.25">
      <c r="A88" t="s">
        <v>80</v>
      </c>
      <c r="B88" t="s">
        <v>317</v>
      </c>
      <c r="C88" t="s">
        <v>309</v>
      </c>
      <c r="D88" t="s">
        <v>310</v>
      </c>
      <c r="E88">
        <v>20</v>
      </c>
      <c r="F88" t="s">
        <v>209</v>
      </c>
      <c r="G88">
        <f ca="1">IFERROR(tbl_Recettes[[#This Row],[Quantité]] * IFERROR(_xlfn.XLOOKUP(tbl_Recettes[[#This Row],[Cde_Ingrdt]], tbl_Stock[Cde_Ingrdt], tbl_Stock[CMP effectif]),0),0)</f>
        <v>0.2</v>
      </c>
    </row>
    <row r="89" spans="1:7" x14ac:dyDescent="0.25">
      <c r="A89" t="s">
        <v>80</v>
      </c>
      <c r="B89" t="s">
        <v>317</v>
      </c>
      <c r="C89" t="s">
        <v>297</v>
      </c>
      <c r="D89" t="s">
        <v>298</v>
      </c>
      <c r="E89">
        <v>20</v>
      </c>
      <c r="F89" t="s">
        <v>221</v>
      </c>
      <c r="G89">
        <f ca="1">IFERROR(tbl_Recettes[[#This Row],[Quantité]] * IFERROR(_xlfn.XLOOKUP(tbl_Recettes[[#This Row],[Cde_Ingrdt]], tbl_Stock[Cde_Ingrdt], tbl_Stock[CMP effectif]),0),0)</f>
        <v>1.7999999999999998</v>
      </c>
    </row>
    <row r="90" spans="1:7" x14ac:dyDescent="0.25">
      <c r="A90" t="s">
        <v>80</v>
      </c>
      <c r="B90" t="s">
        <v>317</v>
      </c>
      <c r="C90" t="s">
        <v>299</v>
      </c>
      <c r="D90" t="s">
        <v>300</v>
      </c>
      <c r="E90">
        <v>1</v>
      </c>
      <c r="F90" t="s">
        <v>209</v>
      </c>
      <c r="G90">
        <f ca="1">IFERROR(tbl_Recettes[[#This Row],[Quantité]] * IFERROR(_xlfn.XLOOKUP(tbl_Recettes[[#This Row],[Cde_Ingrdt]], tbl_Stock[Cde_Ingrdt], tbl_Stock[CMP effectif]),0),0)</f>
        <v>0.09</v>
      </c>
    </row>
    <row r="91" spans="1:7" x14ac:dyDescent="0.25">
      <c r="A91" t="s">
        <v>318</v>
      </c>
      <c r="B91" t="s">
        <v>319</v>
      </c>
      <c r="C91" t="s">
        <v>210</v>
      </c>
      <c r="D91" t="s">
        <v>211</v>
      </c>
      <c r="E91">
        <v>3</v>
      </c>
      <c r="F91" t="s">
        <v>206</v>
      </c>
      <c r="G91">
        <f ca="1">IFERROR(tbl_Recettes[[#This Row],[Quantité]] * IFERROR(_xlfn.XLOOKUP(tbl_Recettes[[#This Row],[Cde_Ingrdt]], tbl_Stock[Cde_Ingrdt], tbl_Stock[CMP effectif]),0),0)</f>
        <v>2.7</v>
      </c>
    </row>
    <row r="92" spans="1:7" x14ac:dyDescent="0.25">
      <c r="A92" t="s">
        <v>318</v>
      </c>
      <c r="B92" t="s">
        <v>319</v>
      </c>
      <c r="C92" t="s">
        <v>303</v>
      </c>
      <c r="D92" t="s">
        <v>304</v>
      </c>
      <c r="E92">
        <v>50</v>
      </c>
      <c r="F92" t="s">
        <v>209</v>
      </c>
      <c r="G92">
        <f ca="1">IFERROR(tbl_Recettes[[#This Row],[Quantité]] * IFERROR(_xlfn.XLOOKUP(tbl_Recettes[[#This Row],[Cde_Ingrdt]], tbl_Stock[Cde_Ingrdt], tbl_Stock[CMP effectif]),0),0)</f>
        <v>8.2000000000000011</v>
      </c>
    </row>
    <row r="93" spans="1:7" x14ac:dyDescent="0.25">
      <c r="A93" t="s">
        <v>318</v>
      </c>
      <c r="B93" t="s">
        <v>319</v>
      </c>
      <c r="C93" t="s">
        <v>297</v>
      </c>
      <c r="D93" t="s">
        <v>298</v>
      </c>
      <c r="E93">
        <v>20</v>
      </c>
      <c r="F93" t="s">
        <v>221</v>
      </c>
      <c r="G93">
        <f ca="1">IFERROR(tbl_Recettes[[#This Row],[Quantité]] * IFERROR(_xlfn.XLOOKUP(tbl_Recettes[[#This Row],[Cde_Ingrdt]], tbl_Stock[Cde_Ingrdt], tbl_Stock[CMP effectif]),0),0)</f>
        <v>1.7999999999999998</v>
      </c>
    </row>
    <row r="94" spans="1:7" x14ac:dyDescent="0.25">
      <c r="A94" t="s">
        <v>318</v>
      </c>
      <c r="B94" t="s">
        <v>319</v>
      </c>
      <c r="C94" t="s">
        <v>299</v>
      </c>
      <c r="D94" t="s">
        <v>300</v>
      </c>
      <c r="E94">
        <v>1</v>
      </c>
      <c r="F94" t="s">
        <v>209</v>
      </c>
      <c r="G94">
        <f ca="1">IFERROR(tbl_Recettes[[#This Row],[Quantité]] * IFERROR(_xlfn.XLOOKUP(tbl_Recettes[[#This Row],[Cde_Ingrdt]], tbl_Stock[Cde_Ingrdt], tbl_Stock[CMP effectif]),0),0)</f>
        <v>0.09</v>
      </c>
    </row>
    <row r="95" spans="1:7" x14ac:dyDescent="0.25">
      <c r="A95" t="s">
        <v>320</v>
      </c>
      <c r="B95" t="s">
        <v>321</v>
      </c>
      <c r="C95" t="s">
        <v>210</v>
      </c>
      <c r="D95" t="s">
        <v>211</v>
      </c>
      <c r="E95">
        <v>3</v>
      </c>
      <c r="F95" t="s">
        <v>206</v>
      </c>
      <c r="G95">
        <f ca="1">IFERROR(tbl_Recettes[[#This Row],[Quantité]] * IFERROR(_xlfn.XLOOKUP(tbl_Recettes[[#This Row],[Cde_Ingrdt]], tbl_Stock[Cde_Ingrdt], tbl_Stock[CMP effectif]),0),0)</f>
        <v>2.7</v>
      </c>
    </row>
    <row r="96" spans="1:7" x14ac:dyDescent="0.25">
      <c r="A96" t="s">
        <v>320</v>
      </c>
      <c r="B96" t="s">
        <v>321</v>
      </c>
      <c r="C96" t="s">
        <v>297</v>
      </c>
      <c r="D96" t="s">
        <v>298</v>
      </c>
      <c r="E96">
        <v>10</v>
      </c>
      <c r="F96" t="s">
        <v>221</v>
      </c>
      <c r="G96">
        <f ca="1">IFERROR(tbl_Recettes[[#This Row],[Quantité]] * IFERROR(_xlfn.XLOOKUP(tbl_Recettes[[#This Row],[Cde_Ingrdt]], tbl_Stock[Cde_Ingrdt], tbl_Stock[CMP effectif]),0),0)</f>
        <v>0.89999999999999991</v>
      </c>
    </row>
    <row r="97" spans="1:7" x14ac:dyDescent="0.25">
      <c r="A97" t="s">
        <v>320</v>
      </c>
      <c r="B97" t="s">
        <v>321</v>
      </c>
      <c r="C97" t="s">
        <v>299</v>
      </c>
      <c r="D97" t="s">
        <v>300</v>
      </c>
      <c r="E97">
        <v>1</v>
      </c>
      <c r="F97" t="s">
        <v>209</v>
      </c>
      <c r="G97">
        <f ca="1">IFERROR(tbl_Recettes[[#This Row],[Quantité]] * IFERROR(_xlfn.XLOOKUP(tbl_Recettes[[#This Row],[Cde_Ingrdt]], tbl_Stock[Cde_Ingrdt], tbl_Stock[CMP effectif]),0),0)</f>
        <v>0.09</v>
      </c>
    </row>
    <row r="98" spans="1:7" x14ac:dyDescent="0.25">
      <c r="A98" t="s">
        <v>322</v>
      </c>
      <c r="B98" t="s">
        <v>323</v>
      </c>
      <c r="C98" t="s">
        <v>204</v>
      </c>
      <c r="D98" t="s">
        <v>205</v>
      </c>
      <c r="E98">
        <v>2</v>
      </c>
      <c r="F98" t="s">
        <v>206</v>
      </c>
      <c r="G98">
        <f ca="1">IFERROR(tbl_Recettes[[#This Row],[Quantité]] * IFERROR(_xlfn.XLOOKUP(tbl_Recettes[[#This Row],[Cde_Ingrdt]], tbl_Stock[Cde_Ingrdt], tbl_Stock[CMP effectif]),0),0)</f>
        <v>2.4</v>
      </c>
    </row>
    <row r="99" spans="1:7" x14ac:dyDescent="0.25">
      <c r="A99" t="s">
        <v>322</v>
      </c>
      <c r="B99" t="s">
        <v>323</v>
      </c>
      <c r="C99" t="s">
        <v>102</v>
      </c>
      <c r="D99" t="s">
        <v>234</v>
      </c>
      <c r="E99">
        <v>100</v>
      </c>
      <c r="F99" t="s">
        <v>209</v>
      </c>
      <c r="G99">
        <f ca="1">IFERROR(tbl_Recettes[[#This Row],[Quantité]] * IFERROR(_xlfn.XLOOKUP(tbl_Recettes[[#This Row],[Cde_Ingrdt]], tbl_Stock[Cde_Ingrdt], tbl_Stock[CMP effectif]),0),0)</f>
        <v>18</v>
      </c>
    </row>
    <row r="100" spans="1:7" x14ac:dyDescent="0.25">
      <c r="A100" t="s">
        <v>322</v>
      </c>
      <c r="B100" t="s">
        <v>323</v>
      </c>
      <c r="C100" t="s">
        <v>324</v>
      </c>
      <c r="D100" t="s">
        <v>325</v>
      </c>
      <c r="E100">
        <v>100</v>
      </c>
      <c r="F100" t="s">
        <v>209</v>
      </c>
      <c r="G100">
        <f ca="1">IFERROR(tbl_Recettes[[#This Row],[Quantité]] * IFERROR(_xlfn.XLOOKUP(tbl_Recettes[[#This Row],[Cde_Ingrdt]], tbl_Stock[Cde_Ingrdt], tbl_Stock[CMP effectif]),0),0)</f>
        <v>15</v>
      </c>
    </row>
    <row r="101" spans="1:7" x14ac:dyDescent="0.25">
      <c r="A101" t="s">
        <v>322</v>
      </c>
      <c r="B101" t="s">
        <v>323</v>
      </c>
      <c r="C101" t="s">
        <v>210</v>
      </c>
      <c r="D101" t="s">
        <v>211</v>
      </c>
      <c r="E101">
        <v>2</v>
      </c>
      <c r="F101" t="s">
        <v>206</v>
      </c>
      <c r="G101">
        <f ca="1">IFERROR(tbl_Recettes[[#This Row],[Quantité]] * IFERROR(_xlfn.XLOOKUP(tbl_Recettes[[#This Row],[Cde_Ingrdt]], tbl_Stock[Cde_Ingrdt], tbl_Stock[CMP effectif]),0),0)</f>
        <v>1.8</v>
      </c>
    </row>
    <row r="102" spans="1:7" x14ac:dyDescent="0.25">
      <c r="A102" t="s">
        <v>326</v>
      </c>
      <c r="B102" t="s">
        <v>327</v>
      </c>
      <c r="C102" t="s">
        <v>275</v>
      </c>
      <c r="D102" t="s">
        <v>276</v>
      </c>
      <c r="E102">
        <v>1</v>
      </c>
      <c r="F102" t="s">
        <v>206</v>
      </c>
      <c r="G102">
        <f ca="1">IFERROR(tbl_Recettes[[#This Row],[Quantité]] * IFERROR(_xlfn.XLOOKUP(tbl_Recettes[[#This Row],[Cde_Ingrdt]], tbl_Stock[Cde_Ingrdt], tbl_Stock[CMP effectif]),0),0)</f>
        <v>2</v>
      </c>
    </row>
    <row r="103" spans="1:7" x14ac:dyDescent="0.25">
      <c r="A103" t="s">
        <v>326</v>
      </c>
      <c r="B103" t="s">
        <v>327</v>
      </c>
      <c r="C103" t="s">
        <v>281</v>
      </c>
      <c r="D103" t="s">
        <v>282</v>
      </c>
      <c r="E103">
        <v>30</v>
      </c>
      <c r="F103" t="s">
        <v>209</v>
      </c>
      <c r="G103">
        <f ca="1">IFERROR(tbl_Recettes[[#This Row],[Quantité]] * IFERROR(_xlfn.XLOOKUP(tbl_Recettes[[#This Row],[Cde_Ingrdt]], tbl_Stock[Cde_Ingrdt], tbl_Stock[CMP effectif]),0),0)</f>
        <v>18</v>
      </c>
    </row>
    <row r="104" spans="1:7" x14ac:dyDescent="0.25">
      <c r="A104" t="s">
        <v>326</v>
      </c>
      <c r="B104" t="s">
        <v>327</v>
      </c>
      <c r="C104" t="s">
        <v>283</v>
      </c>
      <c r="D104" t="s">
        <v>284</v>
      </c>
      <c r="E104">
        <v>20</v>
      </c>
      <c r="F104" t="s">
        <v>221</v>
      </c>
      <c r="G104">
        <f ca="1">IFERROR(tbl_Recettes[[#This Row],[Quantité]] * IFERROR(_xlfn.XLOOKUP(tbl_Recettes[[#This Row],[Cde_Ingrdt]], tbl_Stock[Cde_Ingrdt], tbl_Stock[CMP effectif]),0),0)</f>
        <v>8</v>
      </c>
    </row>
    <row r="105" spans="1:7" x14ac:dyDescent="0.25">
      <c r="A105" t="s">
        <v>326</v>
      </c>
      <c r="B105" t="s">
        <v>327</v>
      </c>
      <c r="C105" t="s">
        <v>214</v>
      </c>
      <c r="D105" t="s">
        <v>215</v>
      </c>
      <c r="E105">
        <v>40</v>
      </c>
      <c r="F105" t="s">
        <v>209</v>
      </c>
      <c r="G105">
        <f ca="1">IFERROR(tbl_Recettes[[#This Row],[Quantité]] * IFERROR(_xlfn.XLOOKUP(tbl_Recettes[[#This Row],[Cde_Ingrdt]], tbl_Stock[Cde_Ingrdt], tbl_Stock[CMP effectif]),0),0)</f>
        <v>2</v>
      </c>
    </row>
    <row r="106" spans="1:7" x14ac:dyDescent="0.25">
      <c r="A106" t="s">
        <v>326</v>
      </c>
      <c r="B106" t="s">
        <v>327</v>
      </c>
      <c r="C106" t="s">
        <v>328</v>
      </c>
      <c r="D106" t="s">
        <v>1264</v>
      </c>
      <c r="E106">
        <v>20</v>
      </c>
      <c r="F106" t="s">
        <v>209</v>
      </c>
      <c r="G106">
        <f ca="1">IFERROR(tbl_Recettes[[#This Row],[Quantité]] * IFERROR(_xlfn.XLOOKUP(tbl_Recettes[[#This Row],[Cde_Ingrdt]], tbl_Stock[Cde_Ingrdt], tbl_Stock[CMP effectif]),0),0)</f>
        <v>3</v>
      </c>
    </row>
    <row r="107" spans="1:7" x14ac:dyDescent="0.25">
      <c r="A107" t="s">
        <v>329</v>
      </c>
      <c r="B107" t="s">
        <v>330</v>
      </c>
      <c r="C107" t="s">
        <v>204</v>
      </c>
      <c r="D107" t="s">
        <v>205</v>
      </c>
      <c r="E107">
        <v>2</v>
      </c>
      <c r="F107" t="s">
        <v>206</v>
      </c>
      <c r="G107">
        <f ca="1">IFERROR(tbl_Recettes[[#This Row],[Quantité]] * IFERROR(_xlfn.XLOOKUP(tbl_Recettes[[#This Row],[Cde_Ingrdt]], tbl_Stock[Cde_Ingrdt], tbl_Stock[CMP effectif]),0),0)</f>
        <v>2.4</v>
      </c>
    </row>
    <row r="108" spans="1:7" x14ac:dyDescent="0.25">
      <c r="A108" t="s">
        <v>329</v>
      </c>
      <c r="B108" t="s">
        <v>330</v>
      </c>
      <c r="C108" t="s">
        <v>303</v>
      </c>
      <c r="D108" t="s">
        <v>304</v>
      </c>
      <c r="E108">
        <v>40</v>
      </c>
      <c r="F108" t="s">
        <v>209</v>
      </c>
      <c r="G108">
        <f ca="1">IFERROR(tbl_Recettes[[#This Row],[Quantité]] * IFERROR(_xlfn.XLOOKUP(tbl_Recettes[[#This Row],[Cde_Ingrdt]], tbl_Stock[Cde_Ingrdt], tbl_Stock[CMP effectif]),0),0)</f>
        <v>6.5600000000000005</v>
      </c>
    </row>
    <row r="109" spans="1:7" x14ac:dyDescent="0.25">
      <c r="A109" t="s">
        <v>329</v>
      </c>
      <c r="B109" t="s">
        <v>330</v>
      </c>
      <c r="C109" t="s">
        <v>102</v>
      </c>
      <c r="D109" t="s">
        <v>234</v>
      </c>
      <c r="E109">
        <v>60</v>
      </c>
      <c r="F109" t="s">
        <v>209</v>
      </c>
      <c r="G109">
        <f ca="1">IFERROR(tbl_Recettes[[#This Row],[Quantité]] * IFERROR(_xlfn.XLOOKUP(tbl_Recettes[[#This Row],[Cde_Ingrdt]], tbl_Stock[Cde_Ingrdt], tbl_Stock[CMP effectif]),0),0)</f>
        <v>10.799999999999999</v>
      </c>
    </row>
    <row r="110" spans="1:7" x14ac:dyDescent="0.25">
      <c r="A110" t="s">
        <v>329</v>
      </c>
      <c r="B110" t="s">
        <v>330</v>
      </c>
      <c r="C110" t="s">
        <v>210</v>
      </c>
      <c r="D110" t="s">
        <v>211</v>
      </c>
      <c r="E110">
        <v>2</v>
      </c>
      <c r="F110" t="s">
        <v>206</v>
      </c>
      <c r="G110">
        <f ca="1">IFERROR(tbl_Recettes[[#This Row],[Quantité]] * IFERROR(_xlfn.XLOOKUP(tbl_Recettes[[#This Row],[Cde_Ingrdt]], tbl_Stock[Cde_Ingrdt], tbl_Stock[CMP effectif]),0),0)</f>
        <v>1.8</v>
      </c>
    </row>
    <row r="111" spans="1:7" x14ac:dyDescent="0.25">
      <c r="A111" t="s">
        <v>331</v>
      </c>
      <c r="B111" t="s">
        <v>332</v>
      </c>
      <c r="C111" t="s">
        <v>324</v>
      </c>
      <c r="D111" t="s">
        <v>325</v>
      </c>
      <c r="E111">
        <v>100</v>
      </c>
      <c r="F111" t="s">
        <v>209</v>
      </c>
      <c r="G111">
        <f ca="1">IFERROR(tbl_Recettes[[#This Row],[Quantité]] * IFERROR(_xlfn.XLOOKUP(tbl_Recettes[[#This Row],[Cde_Ingrdt]], tbl_Stock[Cde_Ingrdt], tbl_Stock[CMP effectif]),0),0)</f>
        <v>15</v>
      </c>
    </row>
    <row r="112" spans="1:7" x14ac:dyDescent="0.25">
      <c r="A112" t="s">
        <v>333</v>
      </c>
      <c r="B112" t="s">
        <v>334</v>
      </c>
      <c r="C112" t="s">
        <v>281</v>
      </c>
      <c r="D112" t="s">
        <v>282</v>
      </c>
      <c r="E112">
        <v>100</v>
      </c>
      <c r="F112" t="s">
        <v>209</v>
      </c>
      <c r="G112">
        <f ca="1">IFERROR(tbl_Recettes[[#This Row],[Quantité]] * IFERROR(_xlfn.XLOOKUP(tbl_Recettes[[#This Row],[Cde_Ingrdt]], tbl_Stock[Cde_Ingrdt], tbl_Stock[CMP effectif]),0),0)</f>
        <v>60</v>
      </c>
    </row>
    <row r="113" spans="1:7" x14ac:dyDescent="0.25">
      <c r="A113" t="s">
        <v>335</v>
      </c>
      <c r="B113" t="s">
        <v>336</v>
      </c>
      <c r="C113" t="s">
        <v>105</v>
      </c>
      <c r="D113" t="s">
        <v>337</v>
      </c>
      <c r="E113">
        <v>100</v>
      </c>
      <c r="F113" t="s">
        <v>209</v>
      </c>
      <c r="G113">
        <f ca="1">IFERROR(tbl_Recettes[[#This Row],[Quantité]] * IFERROR(_xlfn.XLOOKUP(tbl_Recettes[[#This Row],[Cde_Ingrdt]], tbl_Stock[Cde_Ingrdt], tbl_Stock[CMP effectif]),0),0)</f>
        <v>21.5</v>
      </c>
    </row>
    <row r="114" spans="1:7" x14ac:dyDescent="0.25">
      <c r="A114" t="s">
        <v>338</v>
      </c>
      <c r="B114" t="s">
        <v>339</v>
      </c>
      <c r="C114" t="s">
        <v>297</v>
      </c>
      <c r="D114" t="s">
        <v>298</v>
      </c>
      <c r="E114">
        <v>50</v>
      </c>
      <c r="F114" t="s">
        <v>221</v>
      </c>
      <c r="G114">
        <f ca="1">IFERROR(tbl_Recettes[[#This Row],[Quantité]] * IFERROR(_xlfn.XLOOKUP(tbl_Recettes[[#This Row],[Cde_Ingrdt]], tbl_Stock[Cde_Ingrdt], tbl_Stock[CMP effectif]),0),0)</f>
        <v>4.5</v>
      </c>
    </row>
    <row r="115" spans="1:7" x14ac:dyDescent="0.25">
      <c r="A115" t="s">
        <v>81</v>
      </c>
      <c r="B115" t="s">
        <v>340</v>
      </c>
      <c r="C115" t="s">
        <v>341</v>
      </c>
      <c r="D115" t="s">
        <v>342</v>
      </c>
      <c r="E115">
        <v>1</v>
      </c>
      <c r="F115" t="s">
        <v>206</v>
      </c>
      <c r="G115">
        <f ca="1">IFERROR(tbl_Recettes[[#This Row],[Quantité]] * IFERROR(_xlfn.XLOOKUP(tbl_Recettes[[#This Row],[Cde_Ingrdt]], tbl_Stock[Cde_Ingrdt], tbl_Stock[CMP effectif]),0),0)</f>
        <v>7</v>
      </c>
    </row>
    <row r="116" spans="1:7" x14ac:dyDescent="0.25">
      <c r="A116" t="s">
        <v>343</v>
      </c>
      <c r="B116" t="s">
        <v>344</v>
      </c>
      <c r="C116" t="s">
        <v>287</v>
      </c>
      <c r="D116" t="s">
        <v>288</v>
      </c>
      <c r="E116">
        <v>1</v>
      </c>
      <c r="F116" t="s">
        <v>206</v>
      </c>
      <c r="G116">
        <f ca="1">IFERROR(tbl_Recettes[[#This Row],[Quantité]] * IFERROR(_xlfn.XLOOKUP(tbl_Recettes[[#This Row],[Cde_Ingrdt]], tbl_Stock[Cde_Ingrdt], tbl_Stock[CMP effectif]),0),0)</f>
        <v>3</v>
      </c>
    </row>
    <row r="117" spans="1:7" x14ac:dyDescent="0.25">
      <c r="A117" t="s">
        <v>274</v>
      </c>
      <c r="B117" t="s">
        <v>345</v>
      </c>
      <c r="C117" t="s">
        <v>273</v>
      </c>
      <c r="D117" t="s">
        <v>274</v>
      </c>
      <c r="E117">
        <v>1</v>
      </c>
      <c r="F117" t="s">
        <v>206</v>
      </c>
      <c r="G117">
        <f ca="1">IFERROR(tbl_Recettes[[#This Row],[Quantité]] * IFERROR(_xlfn.XLOOKUP(tbl_Recettes[[#This Row],[Cde_Ingrdt]], tbl_Stock[Cde_Ingrdt], tbl_Stock[CMP effectif]),0),0)</f>
        <v>2</v>
      </c>
    </row>
    <row r="118" spans="1:7" x14ac:dyDescent="0.25">
      <c r="A118" t="s">
        <v>346</v>
      </c>
      <c r="B118" t="s">
        <v>347</v>
      </c>
      <c r="C118" t="s">
        <v>217</v>
      </c>
      <c r="D118" t="s">
        <v>218</v>
      </c>
      <c r="E118">
        <v>3</v>
      </c>
      <c r="F118" t="s">
        <v>206</v>
      </c>
      <c r="G118">
        <f ca="1">IFERROR(tbl_Recettes[[#This Row],[Quantité]] * IFERROR(_xlfn.XLOOKUP(tbl_Recettes[[#This Row],[Cde_Ingrdt]], tbl_Stock[Cde_Ingrdt], tbl_Stock[CMP effectif]),0),0)</f>
        <v>7.5</v>
      </c>
    </row>
    <row r="119" spans="1:7" x14ac:dyDescent="0.25">
      <c r="A119" t="s">
        <v>82</v>
      </c>
      <c r="B119" t="s">
        <v>348</v>
      </c>
      <c r="C119" t="s">
        <v>267</v>
      </c>
      <c r="D119" t="s">
        <v>82</v>
      </c>
      <c r="E119">
        <v>2</v>
      </c>
      <c r="F119" t="s">
        <v>206</v>
      </c>
      <c r="G119">
        <f ca="1">IFERROR(tbl_Recettes[[#This Row],[Quantité]] * IFERROR(_xlfn.XLOOKUP(tbl_Recettes[[#This Row],[Cde_Ingrdt]], tbl_Stock[Cde_Ingrdt], tbl_Stock[CMP effectif]),0),0)</f>
        <v>2.4</v>
      </c>
    </row>
    <row r="120" spans="1:7" x14ac:dyDescent="0.25">
      <c r="A120" t="s">
        <v>349</v>
      </c>
      <c r="B120" t="s">
        <v>350</v>
      </c>
      <c r="C120" t="s">
        <v>351</v>
      </c>
      <c r="D120" t="s">
        <v>352</v>
      </c>
      <c r="E120">
        <v>60</v>
      </c>
      <c r="F120" t="s">
        <v>209</v>
      </c>
      <c r="G120">
        <f ca="1">IFERROR(tbl_Recettes[[#This Row],[Quantité]] * IFERROR(_xlfn.XLOOKUP(tbl_Recettes[[#This Row],[Cde_Ingrdt]], tbl_Stock[Cde_Ingrdt], tbl_Stock[CMP effectif]),0),0)</f>
        <v>4.2</v>
      </c>
    </row>
    <row r="121" spans="1:7" x14ac:dyDescent="0.25">
      <c r="A121" t="s">
        <v>349</v>
      </c>
      <c r="B121" t="s">
        <v>350</v>
      </c>
      <c r="C121" t="s">
        <v>293</v>
      </c>
      <c r="D121" t="s">
        <v>294</v>
      </c>
      <c r="E121">
        <v>60</v>
      </c>
      <c r="F121" t="s">
        <v>209</v>
      </c>
      <c r="G121">
        <f ca="1">IFERROR(tbl_Recettes[[#This Row],[Quantité]] * IFERROR(_xlfn.XLOOKUP(tbl_Recettes[[#This Row],[Cde_Ingrdt]], tbl_Stock[Cde_Ingrdt], tbl_Stock[CMP effectif]),0),0)</f>
        <v>6</v>
      </c>
    </row>
    <row r="122" spans="1:7" x14ac:dyDescent="0.25">
      <c r="A122" t="s">
        <v>349</v>
      </c>
      <c r="B122" t="s">
        <v>350</v>
      </c>
      <c r="C122" t="s">
        <v>353</v>
      </c>
      <c r="D122" t="s">
        <v>354</v>
      </c>
      <c r="E122">
        <v>80</v>
      </c>
      <c r="F122" t="s">
        <v>209</v>
      </c>
      <c r="G122">
        <f ca="1">IFERROR(tbl_Recettes[[#This Row],[Quantité]] * IFERROR(_xlfn.XLOOKUP(tbl_Recettes[[#This Row],[Cde_Ingrdt]], tbl_Stock[Cde_Ingrdt], tbl_Stock[CMP effectif]),0),0)</f>
        <v>64</v>
      </c>
    </row>
    <row r="123" spans="1:7" x14ac:dyDescent="0.25">
      <c r="A123" t="s">
        <v>349</v>
      </c>
      <c r="B123" t="s">
        <v>350</v>
      </c>
      <c r="C123" t="s">
        <v>255</v>
      </c>
      <c r="D123" t="s">
        <v>256</v>
      </c>
      <c r="E123">
        <v>40</v>
      </c>
      <c r="F123" t="s">
        <v>209</v>
      </c>
      <c r="G123">
        <f ca="1">IFERROR(tbl_Recettes[[#This Row],[Quantité]] * IFERROR(_xlfn.XLOOKUP(tbl_Recettes[[#This Row],[Cde_Ingrdt]], tbl_Stock[Cde_Ingrdt], tbl_Stock[CMP effectif]),0),0)</f>
        <v>2.8000000000000003</v>
      </c>
    </row>
    <row r="124" spans="1:7" x14ac:dyDescent="0.25">
      <c r="A124" t="s">
        <v>349</v>
      </c>
      <c r="B124" t="s">
        <v>350</v>
      </c>
      <c r="C124" t="s">
        <v>355</v>
      </c>
      <c r="D124" t="s">
        <v>356</v>
      </c>
      <c r="E124">
        <v>40</v>
      </c>
      <c r="F124" t="s">
        <v>209</v>
      </c>
      <c r="G124">
        <f ca="1">IFERROR(tbl_Recettes[[#This Row],[Quantité]] * IFERROR(_xlfn.XLOOKUP(tbl_Recettes[[#This Row],[Cde_Ingrdt]], tbl_Stock[Cde_Ingrdt], tbl_Stock[CMP effectif]),0),0)</f>
        <v>2</v>
      </c>
    </row>
    <row r="125" spans="1:7" x14ac:dyDescent="0.25">
      <c r="A125" t="s">
        <v>349</v>
      </c>
      <c r="B125" t="s">
        <v>350</v>
      </c>
      <c r="C125" t="s">
        <v>357</v>
      </c>
      <c r="D125" t="s">
        <v>358</v>
      </c>
      <c r="E125">
        <v>40</v>
      </c>
      <c r="F125" t="s">
        <v>209</v>
      </c>
      <c r="G125">
        <f ca="1">IFERROR(tbl_Recettes[[#This Row],[Quantité]] * IFERROR(_xlfn.XLOOKUP(tbl_Recettes[[#This Row],[Cde_Ingrdt]], tbl_Stock[Cde_Ingrdt], tbl_Stock[CMP effectif]),0),0)</f>
        <v>2</v>
      </c>
    </row>
    <row r="126" spans="1:7" x14ac:dyDescent="0.25">
      <c r="A126" t="s">
        <v>349</v>
      </c>
      <c r="B126" t="s">
        <v>350</v>
      </c>
      <c r="C126" t="s">
        <v>359</v>
      </c>
      <c r="D126" t="s">
        <v>360</v>
      </c>
      <c r="E126">
        <v>30</v>
      </c>
      <c r="F126" t="s">
        <v>209</v>
      </c>
      <c r="G126">
        <f ca="1">IFERROR(tbl_Recettes[[#This Row],[Quantité]] * IFERROR(_xlfn.XLOOKUP(tbl_Recettes[[#This Row],[Cde_Ingrdt]], tbl_Stock[Cde_Ingrdt], tbl_Stock[CMP effectif]),0),0)</f>
        <v>1.5</v>
      </c>
    </row>
    <row r="127" spans="1:7" x14ac:dyDescent="0.25">
      <c r="A127" t="s">
        <v>349</v>
      </c>
      <c r="B127" t="s">
        <v>350</v>
      </c>
      <c r="C127" t="s">
        <v>361</v>
      </c>
      <c r="D127" t="s">
        <v>362</v>
      </c>
      <c r="E127">
        <v>30</v>
      </c>
      <c r="F127" t="s">
        <v>209</v>
      </c>
      <c r="G127">
        <f ca="1">IFERROR(tbl_Recettes[[#This Row],[Quantité]] * IFERROR(_xlfn.XLOOKUP(tbl_Recettes[[#This Row],[Cde_Ingrdt]], tbl_Stock[Cde_Ingrdt], tbl_Stock[CMP effectif]),0),0)</f>
        <v>3.5999999999999996</v>
      </c>
    </row>
    <row r="128" spans="1:7" x14ac:dyDescent="0.25">
      <c r="A128" t="s">
        <v>349</v>
      </c>
      <c r="B128" t="s">
        <v>350</v>
      </c>
      <c r="C128" t="s">
        <v>363</v>
      </c>
      <c r="D128" t="s">
        <v>364</v>
      </c>
      <c r="E128">
        <v>40</v>
      </c>
      <c r="F128" t="s">
        <v>209</v>
      </c>
      <c r="G128">
        <f ca="1">IFERROR(tbl_Recettes[[#This Row],[Quantité]] * IFERROR(_xlfn.XLOOKUP(tbl_Recettes[[#This Row],[Cde_Ingrdt]], tbl_Stock[Cde_Ingrdt], tbl_Stock[CMP effectif]),0),0)</f>
        <v>4</v>
      </c>
    </row>
    <row r="129" spans="1:7" x14ac:dyDescent="0.25">
      <c r="A129" t="s">
        <v>349</v>
      </c>
      <c r="B129" t="s">
        <v>350</v>
      </c>
      <c r="C129" t="s">
        <v>222</v>
      </c>
      <c r="D129" t="s">
        <v>223</v>
      </c>
      <c r="E129">
        <v>40</v>
      </c>
      <c r="F129" t="s">
        <v>209</v>
      </c>
      <c r="G129">
        <f ca="1">IFERROR(tbl_Recettes[[#This Row],[Quantité]] * IFERROR(_xlfn.XLOOKUP(tbl_Recettes[[#This Row],[Cde_Ingrdt]], tbl_Stock[Cde_Ingrdt], tbl_Stock[CMP effectif]),0),0)</f>
        <v>1.6</v>
      </c>
    </row>
    <row r="130" spans="1:7" x14ac:dyDescent="0.25">
      <c r="A130" t="s">
        <v>349</v>
      </c>
      <c r="B130" t="s">
        <v>350</v>
      </c>
      <c r="C130" t="s">
        <v>365</v>
      </c>
      <c r="D130" t="s">
        <v>366</v>
      </c>
      <c r="E130">
        <v>0.5</v>
      </c>
      <c r="F130" t="s">
        <v>206</v>
      </c>
      <c r="G130">
        <f ca="1">IFERROR(tbl_Recettes[[#This Row],[Quantité]] * IFERROR(_xlfn.XLOOKUP(tbl_Recettes[[#This Row],[Cde_Ingrdt]], tbl_Stock[Cde_Ingrdt], tbl_Stock[CMP effectif]),0),0)</f>
        <v>4</v>
      </c>
    </row>
    <row r="131" spans="1:7" x14ac:dyDescent="0.25">
      <c r="A131" t="s">
        <v>367</v>
      </c>
      <c r="B131" t="s">
        <v>368</v>
      </c>
      <c r="C131" t="s">
        <v>369</v>
      </c>
      <c r="D131" t="s">
        <v>370</v>
      </c>
      <c r="E131">
        <v>0.5</v>
      </c>
      <c r="F131" t="s">
        <v>206</v>
      </c>
      <c r="G131">
        <f ca="1">IFERROR(tbl_Recettes[[#This Row],[Quantité]] * IFERROR(_xlfn.XLOOKUP(tbl_Recettes[[#This Row],[Cde_Ingrdt]], tbl_Stock[Cde_Ingrdt], tbl_Stock[CMP effectif]),0),0)</f>
        <v>4</v>
      </c>
    </row>
    <row r="132" spans="1:7" x14ac:dyDescent="0.25">
      <c r="A132" t="s">
        <v>367</v>
      </c>
      <c r="B132" t="s">
        <v>368</v>
      </c>
      <c r="C132" t="s">
        <v>351</v>
      </c>
      <c r="D132" t="s">
        <v>352</v>
      </c>
      <c r="E132">
        <v>40</v>
      </c>
      <c r="F132" t="s">
        <v>209</v>
      </c>
      <c r="G132">
        <f ca="1">IFERROR(tbl_Recettes[[#This Row],[Quantité]] * IFERROR(_xlfn.XLOOKUP(tbl_Recettes[[#This Row],[Cde_Ingrdt]], tbl_Stock[Cde_Ingrdt], tbl_Stock[CMP effectif]),0),0)</f>
        <v>2.8000000000000003</v>
      </c>
    </row>
    <row r="133" spans="1:7" x14ac:dyDescent="0.25">
      <c r="A133" t="s">
        <v>367</v>
      </c>
      <c r="B133" t="s">
        <v>368</v>
      </c>
      <c r="C133" t="s">
        <v>353</v>
      </c>
      <c r="D133" t="s">
        <v>354</v>
      </c>
      <c r="E133">
        <v>40</v>
      </c>
      <c r="F133" t="s">
        <v>209</v>
      </c>
      <c r="G133">
        <f ca="1">IFERROR(tbl_Recettes[[#This Row],[Quantité]] * IFERROR(_xlfn.XLOOKUP(tbl_Recettes[[#This Row],[Cde_Ingrdt]], tbl_Stock[Cde_Ingrdt], tbl_Stock[CMP effectif]),0),0)</f>
        <v>32</v>
      </c>
    </row>
    <row r="134" spans="1:7" x14ac:dyDescent="0.25">
      <c r="A134" t="s">
        <v>367</v>
      </c>
      <c r="B134" t="s">
        <v>368</v>
      </c>
      <c r="C134" t="s">
        <v>293</v>
      </c>
      <c r="D134" t="s">
        <v>294</v>
      </c>
      <c r="E134">
        <v>60</v>
      </c>
      <c r="F134" t="s">
        <v>209</v>
      </c>
      <c r="G134">
        <f ca="1">IFERROR(tbl_Recettes[[#This Row],[Quantité]] * IFERROR(_xlfn.XLOOKUP(tbl_Recettes[[#This Row],[Cde_Ingrdt]], tbl_Stock[Cde_Ingrdt], tbl_Stock[CMP effectif]),0),0)</f>
        <v>6</v>
      </c>
    </row>
    <row r="135" spans="1:7" x14ac:dyDescent="0.25">
      <c r="A135" t="s">
        <v>367</v>
      </c>
      <c r="B135" t="s">
        <v>368</v>
      </c>
      <c r="C135" t="s">
        <v>371</v>
      </c>
      <c r="D135" t="s">
        <v>372</v>
      </c>
      <c r="E135">
        <v>40</v>
      </c>
      <c r="F135" t="s">
        <v>209</v>
      </c>
      <c r="G135">
        <f ca="1">IFERROR(tbl_Recettes[[#This Row],[Quantité]] * IFERROR(_xlfn.XLOOKUP(tbl_Recettes[[#This Row],[Cde_Ingrdt]], tbl_Stock[Cde_Ingrdt], tbl_Stock[CMP effectif]),0),0)</f>
        <v>4</v>
      </c>
    </row>
    <row r="136" spans="1:7" x14ac:dyDescent="0.25">
      <c r="A136" t="s">
        <v>367</v>
      </c>
      <c r="B136" t="s">
        <v>368</v>
      </c>
      <c r="C136" t="s">
        <v>373</v>
      </c>
      <c r="D136" t="s">
        <v>374</v>
      </c>
      <c r="E136">
        <v>20</v>
      </c>
      <c r="F136" t="s">
        <v>221</v>
      </c>
      <c r="G136">
        <f ca="1">IFERROR(tbl_Recettes[[#This Row],[Quantité]] * IFERROR(_xlfn.XLOOKUP(tbl_Recettes[[#This Row],[Cde_Ingrdt]], tbl_Stock[Cde_Ingrdt], tbl_Stock[CMP effectif]),0),0)</f>
        <v>0.5</v>
      </c>
    </row>
    <row r="137" spans="1:7" x14ac:dyDescent="0.25">
      <c r="A137" t="s">
        <v>375</v>
      </c>
      <c r="B137" t="s">
        <v>376</v>
      </c>
      <c r="C137" t="s">
        <v>377</v>
      </c>
      <c r="D137" t="s">
        <v>378</v>
      </c>
      <c r="E137">
        <v>80</v>
      </c>
      <c r="F137" t="s">
        <v>209</v>
      </c>
      <c r="G137">
        <f ca="1">IFERROR(tbl_Recettes[[#This Row],[Quantité]] * IFERROR(_xlfn.XLOOKUP(tbl_Recettes[[#This Row],[Cde_Ingrdt]], tbl_Stock[Cde_Ingrdt], tbl_Stock[CMP effectif]),0),0)</f>
        <v>40</v>
      </c>
    </row>
    <row r="138" spans="1:7" x14ac:dyDescent="0.25">
      <c r="A138" t="s">
        <v>375</v>
      </c>
      <c r="B138" t="s">
        <v>376</v>
      </c>
      <c r="C138" t="s">
        <v>355</v>
      </c>
      <c r="D138" t="s">
        <v>356</v>
      </c>
      <c r="E138">
        <v>40</v>
      </c>
      <c r="F138" t="s">
        <v>209</v>
      </c>
      <c r="G138">
        <f ca="1">IFERROR(tbl_Recettes[[#This Row],[Quantité]] * IFERROR(_xlfn.XLOOKUP(tbl_Recettes[[#This Row],[Cde_Ingrdt]], tbl_Stock[Cde_Ingrdt], tbl_Stock[CMP effectif]),0),0)</f>
        <v>2</v>
      </c>
    </row>
    <row r="139" spans="1:7" x14ac:dyDescent="0.25">
      <c r="A139" t="s">
        <v>375</v>
      </c>
      <c r="B139" t="s">
        <v>376</v>
      </c>
      <c r="C139" t="s">
        <v>255</v>
      </c>
      <c r="D139" t="s">
        <v>256</v>
      </c>
      <c r="E139">
        <v>40</v>
      </c>
      <c r="F139" t="s">
        <v>209</v>
      </c>
      <c r="G139">
        <f ca="1">IFERROR(tbl_Recettes[[#This Row],[Quantité]] * IFERROR(_xlfn.XLOOKUP(tbl_Recettes[[#This Row],[Cde_Ingrdt]], tbl_Stock[Cde_Ingrdt], tbl_Stock[CMP effectif]),0),0)</f>
        <v>2.8000000000000003</v>
      </c>
    </row>
    <row r="140" spans="1:7" x14ac:dyDescent="0.25">
      <c r="A140" t="s">
        <v>379</v>
      </c>
      <c r="B140" t="s">
        <v>380</v>
      </c>
      <c r="C140" t="s">
        <v>381</v>
      </c>
      <c r="D140" t="s">
        <v>382</v>
      </c>
      <c r="E140">
        <v>60</v>
      </c>
      <c r="F140" t="s">
        <v>209</v>
      </c>
      <c r="G140">
        <f ca="1">IFERROR(tbl_Recettes[[#This Row],[Quantité]] * IFERROR(_xlfn.XLOOKUP(tbl_Recettes[[#This Row],[Cde_Ingrdt]], tbl_Stock[Cde_Ingrdt], tbl_Stock[CMP effectif]),0),0)</f>
        <v>6</v>
      </c>
    </row>
    <row r="141" spans="1:7" x14ac:dyDescent="0.25">
      <c r="A141" t="s">
        <v>379</v>
      </c>
      <c r="B141" t="s">
        <v>380</v>
      </c>
      <c r="C141" t="s">
        <v>353</v>
      </c>
      <c r="D141" t="s">
        <v>354</v>
      </c>
      <c r="E141">
        <v>40</v>
      </c>
      <c r="F141" t="s">
        <v>209</v>
      </c>
      <c r="G141">
        <f ca="1">IFERROR(tbl_Recettes[[#This Row],[Quantité]] * IFERROR(_xlfn.XLOOKUP(tbl_Recettes[[#This Row],[Cde_Ingrdt]], tbl_Stock[Cde_Ingrdt], tbl_Stock[CMP effectif]),0),0)</f>
        <v>32</v>
      </c>
    </row>
    <row r="142" spans="1:7" x14ac:dyDescent="0.25">
      <c r="A142" t="s">
        <v>379</v>
      </c>
      <c r="B142" t="s">
        <v>380</v>
      </c>
      <c r="C142" t="s">
        <v>293</v>
      </c>
      <c r="D142" t="s">
        <v>294</v>
      </c>
      <c r="E142">
        <v>60</v>
      </c>
      <c r="F142" t="s">
        <v>209</v>
      </c>
      <c r="G142">
        <f ca="1">IFERROR(tbl_Recettes[[#This Row],[Quantité]] * IFERROR(_xlfn.XLOOKUP(tbl_Recettes[[#This Row],[Cde_Ingrdt]], tbl_Stock[Cde_Ingrdt], tbl_Stock[CMP effectif]),0),0)</f>
        <v>6</v>
      </c>
    </row>
    <row r="143" spans="1:7" x14ac:dyDescent="0.25">
      <c r="A143" t="s">
        <v>379</v>
      </c>
      <c r="B143" t="s">
        <v>380</v>
      </c>
      <c r="C143" t="s">
        <v>355</v>
      </c>
      <c r="D143" t="s">
        <v>356</v>
      </c>
      <c r="E143">
        <v>40</v>
      </c>
      <c r="F143" t="s">
        <v>209</v>
      </c>
      <c r="G143">
        <f ca="1">IFERROR(tbl_Recettes[[#This Row],[Quantité]] * IFERROR(_xlfn.XLOOKUP(tbl_Recettes[[#This Row],[Cde_Ingrdt]], tbl_Stock[Cde_Ingrdt], tbl_Stock[CMP effectif]),0),0)</f>
        <v>2</v>
      </c>
    </row>
    <row r="144" spans="1:7" x14ac:dyDescent="0.25">
      <c r="A144" t="s">
        <v>379</v>
      </c>
      <c r="B144" t="s">
        <v>380</v>
      </c>
      <c r="C144" t="s">
        <v>255</v>
      </c>
      <c r="D144" t="s">
        <v>256</v>
      </c>
      <c r="E144">
        <v>40</v>
      </c>
      <c r="F144" t="s">
        <v>209</v>
      </c>
      <c r="G144">
        <f ca="1">IFERROR(tbl_Recettes[[#This Row],[Quantité]] * IFERROR(_xlfn.XLOOKUP(tbl_Recettes[[#This Row],[Cde_Ingrdt]], tbl_Stock[Cde_Ingrdt], tbl_Stock[CMP effectif]),0),0)</f>
        <v>2.8000000000000003</v>
      </c>
    </row>
    <row r="145" spans="1:7" x14ac:dyDescent="0.25">
      <c r="A145" t="s">
        <v>379</v>
      </c>
      <c r="B145" t="s">
        <v>380</v>
      </c>
      <c r="C145" t="s">
        <v>219</v>
      </c>
      <c r="D145" t="s">
        <v>220</v>
      </c>
      <c r="E145">
        <v>20</v>
      </c>
      <c r="F145" t="s">
        <v>221</v>
      </c>
      <c r="G145">
        <f ca="1">IFERROR(tbl_Recettes[[#This Row],[Quantité]] * IFERROR(_xlfn.XLOOKUP(tbl_Recettes[[#This Row],[Cde_Ingrdt]], tbl_Stock[Cde_Ingrdt], tbl_Stock[CMP effectif]),0),0)</f>
        <v>3</v>
      </c>
    </row>
    <row r="146" spans="1:7" x14ac:dyDescent="0.25">
      <c r="A146" t="s">
        <v>383</v>
      </c>
      <c r="B146" t="s">
        <v>384</v>
      </c>
      <c r="C146" t="s">
        <v>385</v>
      </c>
      <c r="D146" t="s">
        <v>386</v>
      </c>
      <c r="E146">
        <v>0.5</v>
      </c>
      <c r="F146" t="s">
        <v>206</v>
      </c>
      <c r="G146">
        <f ca="1">IFERROR(tbl_Recettes[[#This Row],[Quantité]] * IFERROR(_xlfn.XLOOKUP(tbl_Recettes[[#This Row],[Cde_Ingrdt]], tbl_Stock[Cde_Ingrdt], tbl_Stock[CMP effectif]),0),0)</f>
        <v>4</v>
      </c>
    </row>
    <row r="147" spans="1:7" x14ac:dyDescent="0.25">
      <c r="A147" t="s">
        <v>383</v>
      </c>
      <c r="B147" t="s">
        <v>384</v>
      </c>
      <c r="C147" t="s">
        <v>222</v>
      </c>
      <c r="D147" t="s">
        <v>223</v>
      </c>
      <c r="E147">
        <v>40</v>
      </c>
      <c r="F147" t="s">
        <v>209</v>
      </c>
      <c r="G147">
        <f ca="1">IFERROR(tbl_Recettes[[#This Row],[Quantité]] * IFERROR(_xlfn.XLOOKUP(tbl_Recettes[[#This Row],[Cde_Ingrdt]], tbl_Stock[Cde_Ingrdt], tbl_Stock[CMP effectif]),0),0)</f>
        <v>1.6</v>
      </c>
    </row>
    <row r="148" spans="1:7" x14ac:dyDescent="0.25">
      <c r="A148" t="s">
        <v>383</v>
      </c>
      <c r="B148" t="s">
        <v>384</v>
      </c>
      <c r="C148" t="s">
        <v>387</v>
      </c>
      <c r="D148" t="s">
        <v>388</v>
      </c>
      <c r="E148">
        <v>30</v>
      </c>
      <c r="F148" t="s">
        <v>209</v>
      </c>
      <c r="G148">
        <f ca="1">IFERROR(tbl_Recettes[[#This Row],[Quantité]] * IFERROR(_xlfn.XLOOKUP(tbl_Recettes[[#This Row],[Cde_Ingrdt]], tbl_Stock[Cde_Ingrdt], tbl_Stock[CMP effectif]),0),0)</f>
        <v>6</v>
      </c>
    </row>
    <row r="149" spans="1:7" x14ac:dyDescent="0.25">
      <c r="A149" t="s">
        <v>383</v>
      </c>
      <c r="B149" t="s">
        <v>384</v>
      </c>
      <c r="C149" t="s">
        <v>389</v>
      </c>
      <c r="D149" t="s">
        <v>390</v>
      </c>
      <c r="E149">
        <v>100</v>
      </c>
      <c r="F149" t="s">
        <v>209</v>
      </c>
      <c r="G149">
        <f ca="1">IFERROR(tbl_Recettes[[#This Row],[Quantité]] * IFERROR(_xlfn.XLOOKUP(tbl_Recettes[[#This Row],[Cde_Ingrdt]], tbl_Stock[Cde_Ingrdt], tbl_Stock[CMP effectif]),0),0)</f>
        <v>7.0000000000000009</v>
      </c>
    </row>
    <row r="150" spans="1:7" x14ac:dyDescent="0.25">
      <c r="A150" t="s">
        <v>383</v>
      </c>
      <c r="B150" t="s">
        <v>384</v>
      </c>
      <c r="C150" t="s">
        <v>391</v>
      </c>
      <c r="D150" t="s">
        <v>392</v>
      </c>
      <c r="E150">
        <v>20</v>
      </c>
      <c r="F150" t="s">
        <v>209</v>
      </c>
      <c r="G150">
        <f ca="1">IFERROR(tbl_Recettes[[#This Row],[Quantité]] * IFERROR(_xlfn.XLOOKUP(tbl_Recettes[[#This Row],[Cde_Ingrdt]], tbl_Stock[Cde_Ingrdt], tbl_Stock[CMP effectif]),0),0)</f>
        <v>8</v>
      </c>
    </row>
    <row r="151" spans="1:7" x14ac:dyDescent="0.25">
      <c r="A151" t="s">
        <v>383</v>
      </c>
      <c r="B151" t="s">
        <v>384</v>
      </c>
      <c r="C151" t="s">
        <v>393</v>
      </c>
      <c r="D151" t="s">
        <v>394</v>
      </c>
      <c r="E151">
        <v>40</v>
      </c>
      <c r="F151" t="s">
        <v>221</v>
      </c>
      <c r="G151">
        <f ca="1">IFERROR(tbl_Recettes[[#This Row],[Quantité]] * IFERROR(_xlfn.XLOOKUP(tbl_Recettes[[#This Row],[Cde_Ingrdt]], tbl_Stock[Cde_Ingrdt], tbl_Stock[CMP effectif]),0),0)</f>
        <v>8</v>
      </c>
    </row>
    <row r="152" spans="1:7" x14ac:dyDescent="0.25">
      <c r="A152" t="s">
        <v>395</v>
      </c>
      <c r="B152" t="s">
        <v>396</v>
      </c>
      <c r="C152" t="s">
        <v>385</v>
      </c>
      <c r="D152" t="s">
        <v>386</v>
      </c>
      <c r="E152">
        <v>0.5</v>
      </c>
      <c r="F152" t="s">
        <v>206</v>
      </c>
      <c r="G152">
        <f ca="1">IFERROR(tbl_Recettes[[#This Row],[Quantité]] * IFERROR(_xlfn.XLOOKUP(tbl_Recettes[[#This Row],[Cde_Ingrdt]], tbl_Stock[Cde_Ingrdt], tbl_Stock[CMP effectif]),0),0)</f>
        <v>4</v>
      </c>
    </row>
    <row r="153" spans="1:7" x14ac:dyDescent="0.25">
      <c r="A153" t="s">
        <v>395</v>
      </c>
      <c r="B153" t="s">
        <v>396</v>
      </c>
      <c r="C153" t="s">
        <v>363</v>
      </c>
      <c r="D153" t="s">
        <v>364</v>
      </c>
      <c r="E153">
        <v>40</v>
      </c>
      <c r="F153" t="s">
        <v>209</v>
      </c>
      <c r="G153">
        <f ca="1">IFERROR(tbl_Recettes[[#This Row],[Quantité]] * IFERROR(_xlfn.XLOOKUP(tbl_Recettes[[#This Row],[Cde_Ingrdt]], tbl_Stock[Cde_Ingrdt], tbl_Stock[CMP effectif]),0),0)</f>
        <v>4</v>
      </c>
    </row>
    <row r="154" spans="1:7" x14ac:dyDescent="0.25">
      <c r="A154" t="s">
        <v>395</v>
      </c>
      <c r="B154" t="s">
        <v>396</v>
      </c>
      <c r="C154" t="s">
        <v>397</v>
      </c>
      <c r="D154" t="s">
        <v>398</v>
      </c>
      <c r="E154">
        <v>60</v>
      </c>
      <c r="F154" t="s">
        <v>209</v>
      </c>
      <c r="G154">
        <f ca="1">IFERROR(tbl_Recettes[[#This Row],[Quantité]] * IFERROR(_xlfn.XLOOKUP(tbl_Recettes[[#This Row],[Cde_Ingrdt]], tbl_Stock[Cde_Ingrdt], tbl_Stock[CMP effectif]),0),0)</f>
        <v>0.6</v>
      </c>
    </row>
    <row r="155" spans="1:7" x14ac:dyDescent="0.25">
      <c r="A155" t="s">
        <v>395</v>
      </c>
      <c r="B155" t="s">
        <v>396</v>
      </c>
      <c r="C155" t="s">
        <v>307</v>
      </c>
      <c r="D155" t="s">
        <v>308</v>
      </c>
      <c r="E155">
        <v>40</v>
      </c>
      <c r="F155" t="s">
        <v>209</v>
      </c>
      <c r="G155">
        <f ca="1">IFERROR(tbl_Recettes[[#This Row],[Quantité]] * IFERROR(_xlfn.XLOOKUP(tbl_Recettes[[#This Row],[Cde_Ingrdt]], tbl_Stock[Cde_Ingrdt], tbl_Stock[CMP effectif]),0),0)</f>
        <v>0.4</v>
      </c>
    </row>
    <row r="156" spans="1:7" x14ac:dyDescent="0.25">
      <c r="A156" t="s">
        <v>395</v>
      </c>
      <c r="B156" t="s">
        <v>396</v>
      </c>
      <c r="C156" t="s">
        <v>210</v>
      </c>
      <c r="D156" t="s">
        <v>211</v>
      </c>
      <c r="E156">
        <v>1</v>
      </c>
      <c r="F156" t="s">
        <v>206</v>
      </c>
      <c r="G156">
        <f ca="1">IFERROR(tbl_Recettes[[#This Row],[Quantité]] * IFERROR(_xlfn.XLOOKUP(tbl_Recettes[[#This Row],[Cde_Ingrdt]], tbl_Stock[Cde_Ingrdt], tbl_Stock[CMP effectif]),0),0)</f>
        <v>0.9</v>
      </c>
    </row>
    <row r="157" spans="1:7" x14ac:dyDescent="0.25">
      <c r="A157" t="s">
        <v>395</v>
      </c>
      <c r="B157" t="s">
        <v>396</v>
      </c>
      <c r="C157" t="s">
        <v>399</v>
      </c>
      <c r="D157" t="s">
        <v>400</v>
      </c>
      <c r="E157">
        <v>60</v>
      </c>
      <c r="F157" t="s">
        <v>209</v>
      </c>
      <c r="G157">
        <f ca="1">IFERROR(tbl_Recettes[[#This Row],[Quantité]] * IFERROR(_xlfn.XLOOKUP(tbl_Recettes[[#This Row],[Cde_Ingrdt]], tbl_Stock[Cde_Ingrdt], tbl_Stock[CMP effectif]),0),0)</f>
        <v>9</v>
      </c>
    </row>
    <row r="158" spans="1:7" x14ac:dyDescent="0.25">
      <c r="A158" t="s">
        <v>395</v>
      </c>
      <c r="B158" t="s">
        <v>396</v>
      </c>
      <c r="C158" t="s">
        <v>401</v>
      </c>
      <c r="D158" t="s">
        <v>402</v>
      </c>
      <c r="E158">
        <v>40</v>
      </c>
      <c r="F158" t="s">
        <v>209</v>
      </c>
      <c r="G158">
        <f ca="1">IFERROR(tbl_Recettes[[#This Row],[Quantité]] * IFERROR(_xlfn.XLOOKUP(tbl_Recettes[[#This Row],[Cde_Ingrdt]], tbl_Stock[Cde_Ingrdt], tbl_Stock[CMP effectif]),0),0)</f>
        <v>0.4</v>
      </c>
    </row>
    <row r="159" spans="1:7" x14ac:dyDescent="0.25">
      <c r="A159" t="s">
        <v>395</v>
      </c>
      <c r="B159" t="s">
        <v>396</v>
      </c>
      <c r="C159" t="s">
        <v>315</v>
      </c>
      <c r="D159" t="s">
        <v>316</v>
      </c>
      <c r="E159">
        <v>40</v>
      </c>
      <c r="F159" t="s">
        <v>209</v>
      </c>
      <c r="G159">
        <f ca="1">IFERROR(tbl_Recettes[[#This Row],[Quantité]] * IFERROR(_xlfn.XLOOKUP(tbl_Recettes[[#This Row],[Cde_Ingrdt]], tbl_Stock[Cde_Ingrdt], tbl_Stock[CMP effectif]),0),0)</f>
        <v>4</v>
      </c>
    </row>
    <row r="160" spans="1:7" x14ac:dyDescent="0.25">
      <c r="A160" t="s">
        <v>395</v>
      </c>
      <c r="B160" t="s">
        <v>396</v>
      </c>
      <c r="C160" t="s">
        <v>403</v>
      </c>
      <c r="D160" t="s">
        <v>404</v>
      </c>
      <c r="E160">
        <v>50</v>
      </c>
      <c r="F160" t="s">
        <v>209</v>
      </c>
      <c r="G160">
        <f ca="1">IFERROR(tbl_Recettes[[#This Row],[Quantité]] * IFERROR(_xlfn.XLOOKUP(tbl_Recettes[[#This Row],[Cde_Ingrdt]], tbl_Stock[Cde_Ingrdt], tbl_Stock[CMP effectif]),0),0)</f>
        <v>1</v>
      </c>
    </row>
    <row r="161" spans="1:7" x14ac:dyDescent="0.25">
      <c r="A161" t="s">
        <v>72</v>
      </c>
      <c r="B161" t="s">
        <v>405</v>
      </c>
      <c r="C161" t="s">
        <v>406</v>
      </c>
      <c r="D161" t="s">
        <v>407</v>
      </c>
      <c r="E161">
        <v>1000</v>
      </c>
      <c r="F161" t="s">
        <v>209</v>
      </c>
      <c r="G161">
        <f ca="1">IFERROR(tbl_Recettes[[#This Row],[Quantité]] * IFERROR(_xlfn.XLOOKUP(tbl_Recettes[[#This Row],[Cde_Ingrdt]], tbl_Stock[Cde_Ingrdt], tbl_Stock[CMP effectif]),0),0)</f>
        <v>70</v>
      </c>
    </row>
    <row r="162" spans="1:7" x14ac:dyDescent="0.25">
      <c r="A162" t="s">
        <v>408</v>
      </c>
      <c r="B162" t="s">
        <v>409</v>
      </c>
      <c r="C162" t="s">
        <v>406</v>
      </c>
      <c r="D162" t="s">
        <v>407</v>
      </c>
      <c r="E162">
        <v>1000</v>
      </c>
      <c r="F162" t="s">
        <v>209</v>
      </c>
      <c r="G162">
        <f ca="1">IFERROR(tbl_Recettes[[#This Row],[Quantité]] * IFERROR(_xlfn.XLOOKUP(tbl_Recettes[[#This Row],[Cde_Ingrdt]], tbl_Stock[Cde_Ingrdt], tbl_Stock[CMP effectif]),0),0)</f>
        <v>70</v>
      </c>
    </row>
    <row r="163" spans="1:7" x14ac:dyDescent="0.25">
      <c r="A163" t="s">
        <v>410</v>
      </c>
      <c r="B163" t="s">
        <v>411</v>
      </c>
      <c r="C163" t="s">
        <v>412</v>
      </c>
      <c r="D163" t="s">
        <v>413</v>
      </c>
      <c r="E163">
        <v>1</v>
      </c>
      <c r="F163" t="s">
        <v>206</v>
      </c>
      <c r="G163">
        <f ca="1">IFERROR(tbl_Recettes[[#This Row],[Quantité]] * IFERROR(_xlfn.XLOOKUP(tbl_Recettes[[#This Row],[Cde_Ingrdt]], tbl_Stock[Cde_Ingrdt], tbl_Stock[CMP effectif]),0),0)</f>
        <v>8</v>
      </c>
    </row>
    <row r="164" spans="1:7" x14ac:dyDescent="0.25">
      <c r="A164" t="s">
        <v>414</v>
      </c>
      <c r="B164" t="s">
        <v>415</v>
      </c>
      <c r="C164" t="s">
        <v>416</v>
      </c>
      <c r="D164" t="s">
        <v>417</v>
      </c>
      <c r="E164">
        <v>1000</v>
      </c>
      <c r="F164" t="s">
        <v>209</v>
      </c>
      <c r="G164">
        <f ca="1">IFERROR(tbl_Recettes[[#This Row],[Quantité]] * IFERROR(_xlfn.XLOOKUP(tbl_Recettes[[#This Row],[Cde_Ingrdt]], tbl_Stock[Cde_Ingrdt], tbl_Stock[CMP effectif]),0),0)</f>
        <v>100</v>
      </c>
    </row>
    <row r="165" spans="1:7" x14ac:dyDescent="0.25">
      <c r="A165" t="s">
        <v>414</v>
      </c>
      <c r="B165" t="s">
        <v>415</v>
      </c>
      <c r="C165" t="s">
        <v>303</v>
      </c>
      <c r="D165" t="s">
        <v>304</v>
      </c>
      <c r="E165">
        <v>100</v>
      </c>
      <c r="F165" t="s">
        <v>209</v>
      </c>
      <c r="G165">
        <f ca="1">IFERROR(tbl_Recettes[[#This Row],[Quantité]] * IFERROR(_xlfn.XLOOKUP(tbl_Recettes[[#This Row],[Cde_Ingrdt]], tbl_Stock[Cde_Ingrdt], tbl_Stock[CMP effectif]),0),0)</f>
        <v>16.400000000000002</v>
      </c>
    </row>
    <row r="166" spans="1:7" x14ac:dyDescent="0.25">
      <c r="A166" t="s">
        <v>418</v>
      </c>
      <c r="B166" t="s">
        <v>419</v>
      </c>
      <c r="C166" t="s">
        <v>389</v>
      </c>
      <c r="D166" t="s">
        <v>390</v>
      </c>
      <c r="E166">
        <v>1000</v>
      </c>
      <c r="F166" t="s">
        <v>209</v>
      </c>
      <c r="G166">
        <f ca="1">IFERROR(tbl_Recettes[[#This Row],[Quantité]] * IFERROR(_xlfn.XLOOKUP(tbl_Recettes[[#This Row],[Cde_Ingrdt]], tbl_Stock[Cde_Ingrdt], tbl_Stock[CMP effectif]),0),0)</f>
        <v>70</v>
      </c>
    </row>
    <row r="167" spans="1:7" x14ac:dyDescent="0.25">
      <c r="A167" t="s">
        <v>418</v>
      </c>
      <c r="B167" t="s">
        <v>419</v>
      </c>
      <c r="C167" t="s">
        <v>315</v>
      </c>
      <c r="D167" t="s">
        <v>316</v>
      </c>
      <c r="E167">
        <v>10</v>
      </c>
      <c r="F167" t="s">
        <v>209</v>
      </c>
      <c r="G167">
        <f ca="1">IFERROR(tbl_Recettes[[#This Row],[Quantité]] * IFERROR(_xlfn.XLOOKUP(tbl_Recettes[[#This Row],[Cde_Ingrdt]], tbl_Stock[Cde_Ingrdt], tbl_Stock[CMP effectif]),0),0)</f>
        <v>1</v>
      </c>
    </row>
    <row r="168" spans="1:7" x14ac:dyDescent="0.25">
      <c r="A168" t="s">
        <v>418</v>
      </c>
      <c r="B168" t="s">
        <v>419</v>
      </c>
      <c r="C168" t="s">
        <v>420</v>
      </c>
      <c r="D168" t="s">
        <v>421</v>
      </c>
      <c r="E168">
        <v>10</v>
      </c>
      <c r="F168" t="s">
        <v>209</v>
      </c>
      <c r="G168">
        <f ca="1">IFERROR(tbl_Recettes[[#This Row],[Quantité]] * IFERROR(_xlfn.XLOOKUP(tbl_Recettes[[#This Row],[Cde_Ingrdt]], tbl_Stock[Cde_Ingrdt], tbl_Stock[CMP effectif]),0),0)</f>
        <v>0.25</v>
      </c>
    </row>
    <row r="169" spans="1:7" x14ac:dyDescent="0.25">
      <c r="A169" t="s">
        <v>418</v>
      </c>
      <c r="B169" t="s">
        <v>419</v>
      </c>
      <c r="C169" t="s">
        <v>422</v>
      </c>
      <c r="D169" t="s">
        <v>423</v>
      </c>
      <c r="E169">
        <v>10</v>
      </c>
      <c r="F169" t="s">
        <v>209</v>
      </c>
      <c r="G169">
        <f ca="1">IFERROR(tbl_Recettes[[#This Row],[Quantité]] * IFERROR(_xlfn.XLOOKUP(tbl_Recettes[[#This Row],[Cde_Ingrdt]], tbl_Stock[Cde_Ingrdt], tbl_Stock[CMP effectif]),0),0)</f>
        <v>0.2</v>
      </c>
    </row>
    <row r="170" spans="1:7" x14ac:dyDescent="0.25">
      <c r="A170" t="s">
        <v>418</v>
      </c>
      <c r="B170" t="s">
        <v>419</v>
      </c>
      <c r="C170" t="s">
        <v>309</v>
      </c>
      <c r="D170" t="s">
        <v>310</v>
      </c>
      <c r="E170">
        <v>30</v>
      </c>
      <c r="F170" t="s">
        <v>209</v>
      </c>
      <c r="G170">
        <f ca="1">IFERROR(tbl_Recettes[[#This Row],[Quantité]] * IFERROR(_xlfn.XLOOKUP(tbl_Recettes[[#This Row],[Cde_Ingrdt]], tbl_Stock[Cde_Ingrdt], tbl_Stock[CMP effectif]),0),0)</f>
        <v>0.3</v>
      </c>
    </row>
    <row r="171" spans="1:7" x14ac:dyDescent="0.25">
      <c r="A171" t="s">
        <v>424</v>
      </c>
      <c r="B171" t="s">
        <v>425</v>
      </c>
      <c r="C171" t="s">
        <v>426</v>
      </c>
      <c r="D171" t="s">
        <v>427</v>
      </c>
      <c r="E171">
        <v>1000</v>
      </c>
      <c r="F171" t="s">
        <v>209</v>
      </c>
      <c r="G171">
        <f ca="1">IFERROR(tbl_Recettes[[#This Row],[Quantité]] * IFERROR(_xlfn.XLOOKUP(tbl_Recettes[[#This Row],[Cde_Ingrdt]], tbl_Stock[Cde_Ingrdt], tbl_Stock[CMP effectif]),0),0)</f>
        <v>70</v>
      </c>
    </row>
    <row r="172" spans="1:7" x14ac:dyDescent="0.25">
      <c r="A172" t="s">
        <v>428</v>
      </c>
      <c r="B172" t="s">
        <v>429</v>
      </c>
      <c r="C172" t="s">
        <v>389</v>
      </c>
      <c r="D172" t="s">
        <v>390</v>
      </c>
      <c r="E172">
        <v>1000</v>
      </c>
      <c r="F172" t="s">
        <v>209</v>
      </c>
      <c r="G172">
        <f ca="1">IFERROR(tbl_Recettes[[#This Row],[Quantité]] * IFERROR(_xlfn.XLOOKUP(tbl_Recettes[[#This Row],[Cde_Ingrdt]], tbl_Stock[Cde_Ingrdt], tbl_Stock[CMP effectif]),0),0)</f>
        <v>70</v>
      </c>
    </row>
    <row r="173" spans="1:7" x14ac:dyDescent="0.25">
      <c r="A173" t="s">
        <v>430</v>
      </c>
      <c r="B173" t="s">
        <v>431</v>
      </c>
      <c r="C173" t="s">
        <v>389</v>
      </c>
      <c r="D173" t="s">
        <v>390</v>
      </c>
      <c r="E173">
        <v>1000</v>
      </c>
      <c r="F173" t="s">
        <v>209</v>
      </c>
      <c r="G173">
        <f ca="1">IFERROR(tbl_Recettes[[#This Row],[Quantité]] * IFERROR(_xlfn.XLOOKUP(tbl_Recettes[[#This Row],[Cde_Ingrdt]], tbl_Stock[Cde_Ingrdt], tbl_Stock[CMP effectif]),0),0)</f>
        <v>70</v>
      </c>
    </row>
    <row r="174" spans="1:7" x14ac:dyDescent="0.25">
      <c r="A174" t="s">
        <v>430</v>
      </c>
      <c r="B174" t="s">
        <v>431</v>
      </c>
      <c r="C174" t="s">
        <v>315</v>
      </c>
      <c r="D174" t="s">
        <v>316</v>
      </c>
      <c r="E174">
        <v>20</v>
      </c>
      <c r="F174" t="s">
        <v>209</v>
      </c>
      <c r="G174">
        <f ca="1">IFERROR(tbl_Recettes[[#This Row],[Quantité]] * IFERROR(_xlfn.XLOOKUP(tbl_Recettes[[#This Row],[Cde_Ingrdt]], tbl_Stock[Cde_Ingrdt], tbl_Stock[CMP effectif]),0),0)</f>
        <v>2</v>
      </c>
    </row>
    <row r="175" spans="1:7" x14ac:dyDescent="0.25">
      <c r="A175" t="s">
        <v>430</v>
      </c>
      <c r="B175" t="s">
        <v>431</v>
      </c>
      <c r="C175" t="s">
        <v>309</v>
      </c>
      <c r="D175" t="s">
        <v>310</v>
      </c>
      <c r="E175">
        <v>20</v>
      </c>
      <c r="F175" t="s">
        <v>209</v>
      </c>
      <c r="G175">
        <f ca="1">IFERROR(tbl_Recettes[[#This Row],[Quantité]] * IFERROR(_xlfn.XLOOKUP(tbl_Recettes[[#This Row],[Cde_Ingrdt]], tbl_Stock[Cde_Ingrdt], tbl_Stock[CMP effectif]),0),0)</f>
        <v>0.2</v>
      </c>
    </row>
    <row r="176" spans="1:7" x14ac:dyDescent="0.25">
      <c r="A176" t="s">
        <v>83</v>
      </c>
      <c r="B176" t="s">
        <v>432</v>
      </c>
      <c r="C176" t="s">
        <v>433</v>
      </c>
      <c r="D176" t="s">
        <v>434</v>
      </c>
      <c r="E176">
        <v>1000</v>
      </c>
      <c r="F176" t="s">
        <v>209</v>
      </c>
      <c r="G176">
        <f ca="1">IFERROR(tbl_Recettes[[#This Row],[Quantité]] * IFERROR(_xlfn.XLOOKUP(tbl_Recettes[[#This Row],[Cde_Ingrdt]], tbl_Stock[Cde_Ingrdt], tbl_Stock[CMP effectif]),0),0)</f>
        <v>100</v>
      </c>
    </row>
    <row r="177" spans="1:7" x14ac:dyDescent="0.25">
      <c r="A177" t="s">
        <v>435</v>
      </c>
      <c r="B177" t="s">
        <v>436</v>
      </c>
      <c r="C177" t="s">
        <v>226</v>
      </c>
      <c r="D177" t="s">
        <v>227</v>
      </c>
      <c r="E177">
        <v>1000</v>
      </c>
      <c r="F177" t="s">
        <v>209</v>
      </c>
      <c r="G177">
        <f ca="1">IFERROR(tbl_Recettes[[#This Row],[Quantité]] * IFERROR(_xlfn.XLOOKUP(tbl_Recettes[[#This Row],[Cde_Ingrdt]], tbl_Stock[Cde_Ingrdt], tbl_Stock[CMP effectif]),0),0)</f>
        <v>100</v>
      </c>
    </row>
    <row r="178" spans="1:7" x14ac:dyDescent="0.25">
      <c r="A178" t="s">
        <v>437</v>
      </c>
      <c r="B178" t="s">
        <v>438</v>
      </c>
      <c r="C178" t="s">
        <v>439</v>
      </c>
      <c r="D178" t="s">
        <v>440</v>
      </c>
      <c r="E178">
        <v>1000</v>
      </c>
      <c r="F178" t="s">
        <v>209</v>
      </c>
      <c r="G178">
        <f ca="1">IFERROR(tbl_Recettes[[#This Row],[Quantité]] * IFERROR(_xlfn.XLOOKUP(tbl_Recettes[[#This Row],[Cde_Ingrdt]], tbl_Stock[Cde_Ingrdt], tbl_Stock[CMP effectif]),0),0)</f>
        <v>100</v>
      </c>
    </row>
    <row r="179" spans="1:7" x14ac:dyDescent="0.25">
      <c r="A179" t="s">
        <v>441</v>
      </c>
      <c r="B179" t="s">
        <v>442</v>
      </c>
      <c r="C179" t="s">
        <v>443</v>
      </c>
      <c r="D179" t="s">
        <v>444</v>
      </c>
      <c r="E179">
        <v>1000</v>
      </c>
      <c r="F179" t="s">
        <v>209</v>
      </c>
      <c r="G179">
        <f ca="1">IFERROR(tbl_Recettes[[#This Row],[Quantité]] * IFERROR(_xlfn.XLOOKUP(tbl_Recettes[[#This Row],[Cde_Ingrdt]], tbl_Stock[Cde_Ingrdt], tbl_Stock[CMP effectif]),0),0)</f>
        <v>100</v>
      </c>
    </row>
    <row r="180" spans="1:7" x14ac:dyDescent="0.25">
      <c r="A180" t="s">
        <v>445</v>
      </c>
      <c r="B180" t="s">
        <v>446</v>
      </c>
      <c r="C180" t="s">
        <v>447</v>
      </c>
      <c r="D180" t="s">
        <v>448</v>
      </c>
      <c r="E180">
        <v>1000</v>
      </c>
      <c r="F180" t="s">
        <v>209</v>
      </c>
      <c r="G180">
        <f ca="1">IFERROR(tbl_Recettes[[#This Row],[Quantité]] * IFERROR(_xlfn.XLOOKUP(tbl_Recettes[[#This Row],[Cde_Ingrdt]], tbl_Stock[Cde_Ingrdt], tbl_Stock[CMP effectif]),0),0)</f>
        <v>450</v>
      </c>
    </row>
    <row r="181" spans="1:7" x14ac:dyDescent="0.25">
      <c r="A181" t="s">
        <v>449</v>
      </c>
      <c r="B181" t="s">
        <v>450</v>
      </c>
      <c r="C181" t="s">
        <v>451</v>
      </c>
      <c r="D181" t="s">
        <v>452</v>
      </c>
      <c r="E181">
        <v>1000</v>
      </c>
      <c r="F181" t="s">
        <v>209</v>
      </c>
      <c r="G181">
        <f ca="1">IFERROR(tbl_Recettes[[#This Row],[Quantité]] * IFERROR(_xlfn.XLOOKUP(tbl_Recettes[[#This Row],[Cde_Ingrdt]], tbl_Stock[Cde_Ingrdt], tbl_Stock[CMP effectif]),0),0)</f>
        <v>300</v>
      </c>
    </row>
    <row r="182" spans="1:7" x14ac:dyDescent="0.25">
      <c r="A182" t="s">
        <v>453</v>
      </c>
      <c r="B182" t="s">
        <v>454</v>
      </c>
      <c r="C182" t="s">
        <v>455</v>
      </c>
      <c r="D182" t="s">
        <v>456</v>
      </c>
      <c r="E182">
        <v>1000</v>
      </c>
      <c r="F182" t="s">
        <v>209</v>
      </c>
      <c r="G182">
        <f ca="1">IFERROR(tbl_Recettes[[#This Row],[Quantité]] * IFERROR(_xlfn.XLOOKUP(tbl_Recettes[[#This Row],[Cde_Ingrdt]], tbl_Stock[Cde_Ingrdt], tbl_Stock[CMP effectif]),0),0)</f>
        <v>120</v>
      </c>
    </row>
    <row r="183" spans="1:7" x14ac:dyDescent="0.25">
      <c r="A183" t="s">
        <v>457</v>
      </c>
      <c r="B183" t="s">
        <v>458</v>
      </c>
      <c r="C183" t="s">
        <v>459</v>
      </c>
      <c r="D183" t="s">
        <v>460</v>
      </c>
      <c r="E183">
        <v>1000</v>
      </c>
      <c r="F183" t="s">
        <v>209</v>
      </c>
      <c r="G183">
        <f ca="1">IFERROR(tbl_Recettes[[#This Row],[Quantité]] * IFERROR(_xlfn.XLOOKUP(tbl_Recettes[[#This Row],[Cde_Ingrdt]], tbl_Stock[Cde_Ingrdt], tbl_Stock[CMP effectif]),0),0)</f>
        <v>90</v>
      </c>
    </row>
    <row r="184" spans="1:7" x14ac:dyDescent="0.25">
      <c r="A184" t="s">
        <v>58</v>
      </c>
      <c r="B184" t="s">
        <v>461</v>
      </c>
      <c r="C184" t="s">
        <v>462</v>
      </c>
      <c r="D184" t="s">
        <v>463</v>
      </c>
      <c r="E184">
        <v>1000</v>
      </c>
      <c r="F184" t="s">
        <v>209</v>
      </c>
      <c r="G184">
        <f ca="1">IFERROR(tbl_Recettes[[#This Row],[Quantité]] * IFERROR(_xlfn.XLOOKUP(tbl_Recettes[[#This Row],[Cde_Ingrdt]], tbl_Stock[Cde_Ingrdt], tbl_Stock[CMP effectif]),0),0)</f>
        <v>120</v>
      </c>
    </row>
    <row r="185" spans="1:7" x14ac:dyDescent="0.25">
      <c r="A185" t="s">
        <v>464</v>
      </c>
      <c r="B185" t="s">
        <v>465</v>
      </c>
      <c r="C185" t="s">
        <v>466</v>
      </c>
      <c r="D185" t="s">
        <v>467</v>
      </c>
      <c r="E185">
        <v>1000</v>
      </c>
      <c r="F185" t="s">
        <v>209</v>
      </c>
      <c r="G185">
        <f ca="1">IFERROR(tbl_Recettes[[#This Row],[Quantité]] * IFERROR(_xlfn.XLOOKUP(tbl_Recettes[[#This Row],[Cde_Ingrdt]], tbl_Stock[Cde_Ingrdt], tbl_Stock[CMP effectif]),0),0)</f>
        <v>100</v>
      </c>
    </row>
    <row r="186" spans="1:7" x14ac:dyDescent="0.25">
      <c r="A186" t="s">
        <v>464</v>
      </c>
      <c r="B186" t="s">
        <v>465</v>
      </c>
      <c r="C186" t="s">
        <v>468</v>
      </c>
      <c r="D186" t="s">
        <v>469</v>
      </c>
      <c r="E186">
        <v>1000</v>
      </c>
      <c r="F186" t="s">
        <v>209</v>
      </c>
      <c r="G186">
        <f ca="1">IFERROR(tbl_Recettes[[#This Row],[Quantité]] * IFERROR(_xlfn.XLOOKUP(tbl_Recettes[[#This Row],[Cde_Ingrdt]], tbl_Stock[Cde_Ingrdt], tbl_Stock[CMP effectif]),0),0)</f>
        <v>100</v>
      </c>
    </row>
    <row r="187" spans="1:7" x14ac:dyDescent="0.25">
      <c r="A187" t="s">
        <v>470</v>
      </c>
      <c r="B187" t="s">
        <v>471</v>
      </c>
      <c r="C187" t="s">
        <v>472</v>
      </c>
      <c r="D187" t="s">
        <v>473</v>
      </c>
      <c r="E187">
        <v>1000</v>
      </c>
      <c r="F187" t="s">
        <v>209</v>
      </c>
      <c r="G187">
        <f ca="1">IFERROR(tbl_Recettes[[#This Row],[Quantité]] * IFERROR(_xlfn.XLOOKUP(tbl_Recettes[[#This Row],[Cde_Ingrdt]], tbl_Stock[Cde_Ingrdt], tbl_Stock[CMP effectif]),0),0)</f>
        <v>90</v>
      </c>
    </row>
    <row r="188" spans="1:7" x14ac:dyDescent="0.25">
      <c r="A188" t="s">
        <v>474</v>
      </c>
      <c r="B188" t="s">
        <v>475</v>
      </c>
      <c r="C188" t="s">
        <v>476</v>
      </c>
      <c r="D188" t="s">
        <v>477</v>
      </c>
      <c r="E188">
        <v>1000</v>
      </c>
      <c r="F188" t="s">
        <v>209</v>
      </c>
      <c r="G188">
        <f ca="1">IFERROR(tbl_Recettes[[#This Row],[Quantité]] * IFERROR(_xlfn.XLOOKUP(tbl_Recettes[[#This Row],[Cde_Ingrdt]], tbl_Stock[Cde_Ingrdt], tbl_Stock[CMP effectif]),0),0)</f>
        <v>80</v>
      </c>
    </row>
    <row r="189" spans="1:7" x14ac:dyDescent="0.25">
      <c r="A189" t="s">
        <v>474</v>
      </c>
      <c r="B189" t="s">
        <v>475</v>
      </c>
      <c r="C189" t="s">
        <v>478</v>
      </c>
      <c r="D189" t="s">
        <v>479</v>
      </c>
      <c r="E189">
        <v>1000</v>
      </c>
      <c r="F189" t="s">
        <v>209</v>
      </c>
      <c r="G189">
        <f ca="1">IFERROR(tbl_Recettes[[#This Row],[Quantité]] * IFERROR(_xlfn.XLOOKUP(tbl_Recettes[[#This Row],[Cde_Ingrdt]], tbl_Stock[Cde_Ingrdt], tbl_Stock[CMP effectif]),0),0)</f>
        <v>80</v>
      </c>
    </row>
    <row r="190" spans="1:7" x14ac:dyDescent="0.25">
      <c r="A190" t="s">
        <v>480</v>
      </c>
      <c r="B190" t="s">
        <v>481</v>
      </c>
      <c r="C190" t="s">
        <v>482</v>
      </c>
      <c r="D190" t="s">
        <v>483</v>
      </c>
      <c r="E190">
        <v>1000</v>
      </c>
      <c r="F190" t="s">
        <v>209</v>
      </c>
      <c r="G190">
        <f ca="1">IFERROR(tbl_Recettes[[#This Row],[Quantité]] * IFERROR(_xlfn.XLOOKUP(tbl_Recettes[[#This Row],[Cde_Ingrdt]], tbl_Stock[Cde_Ingrdt], tbl_Stock[CMP effectif]),0),0)</f>
        <v>120</v>
      </c>
    </row>
    <row r="191" spans="1:7" x14ac:dyDescent="0.25">
      <c r="A191" t="s">
        <v>484</v>
      </c>
      <c r="B191" t="s">
        <v>485</v>
      </c>
      <c r="C191" t="s">
        <v>486</v>
      </c>
      <c r="D191" t="s">
        <v>487</v>
      </c>
      <c r="E191">
        <v>1000</v>
      </c>
      <c r="F191" t="s">
        <v>209</v>
      </c>
      <c r="G191">
        <f ca="1">IFERROR(tbl_Recettes[[#This Row],[Quantité]] * IFERROR(_xlfn.XLOOKUP(tbl_Recettes[[#This Row],[Cde_Ingrdt]], tbl_Stock[Cde_Ingrdt], tbl_Stock[CMP effectif]),0),0)</f>
        <v>900</v>
      </c>
    </row>
    <row r="192" spans="1:7" x14ac:dyDescent="0.25">
      <c r="A192" t="s">
        <v>84</v>
      </c>
      <c r="B192" t="s">
        <v>488</v>
      </c>
      <c r="C192" t="s">
        <v>489</v>
      </c>
      <c r="D192" t="s">
        <v>84</v>
      </c>
      <c r="E192">
        <v>1000</v>
      </c>
      <c r="F192" t="s">
        <v>209</v>
      </c>
      <c r="G192">
        <f ca="1">IFERROR(tbl_Recettes[[#This Row],[Quantité]] * IFERROR(_xlfn.XLOOKUP(tbl_Recettes[[#This Row],[Cde_Ingrdt]], tbl_Stock[Cde_Ingrdt], tbl_Stock[CMP effectif]),0),0)</f>
        <v>100</v>
      </c>
    </row>
    <row r="193" spans="1:7" x14ac:dyDescent="0.25">
      <c r="A193" t="s">
        <v>84</v>
      </c>
      <c r="B193" t="s">
        <v>488</v>
      </c>
      <c r="C193" t="s">
        <v>315</v>
      </c>
      <c r="D193" t="s">
        <v>316</v>
      </c>
      <c r="E193">
        <v>60</v>
      </c>
      <c r="F193" t="s">
        <v>209</v>
      </c>
      <c r="G193">
        <f ca="1">IFERROR(tbl_Recettes[[#This Row],[Quantité]] * IFERROR(_xlfn.XLOOKUP(tbl_Recettes[[#This Row],[Cde_Ingrdt]], tbl_Stock[Cde_Ingrdt], tbl_Stock[CMP effectif]),0),0)</f>
        <v>6</v>
      </c>
    </row>
    <row r="194" spans="1:7" x14ac:dyDescent="0.25">
      <c r="A194" t="s">
        <v>84</v>
      </c>
      <c r="B194" t="s">
        <v>488</v>
      </c>
      <c r="C194" t="s">
        <v>309</v>
      </c>
      <c r="D194" t="s">
        <v>310</v>
      </c>
      <c r="E194">
        <v>30</v>
      </c>
      <c r="F194" t="s">
        <v>209</v>
      </c>
      <c r="G194">
        <f ca="1">IFERROR(tbl_Recettes[[#This Row],[Quantité]] * IFERROR(_xlfn.XLOOKUP(tbl_Recettes[[#This Row],[Cde_Ingrdt]], tbl_Stock[Cde_Ingrdt], tbl_Stock[CMP effectif]),0),0)</f>
        <v>0.3</v>
      </c>
    </row>
    <row r="195" spans="1:7" x14ac:dyDescent="0.25">
      <c r="A195" t="s">
        <v>490</v>
      </c>
      <c r="B195" t="s">
        <v>491</v>
      </c>
      <c r="C195" t="s">
        <v>492</v>
      </c>
      <c r="D195" t="s">
        <v>493</v>
      </c>
      <c r="E195">
        <v>1000</v>
      </c>
      <c r="F195" t="s">
        <v>209</v>
      </c>
      <c r="G195">
        <f ca="1">IFERROR(tbl_Recettes[[#This Row],[Quantité]] * IFERROR(_xlfn.XLOOKUP(tbl_Recettes[[#This Row],[Cde_Ingrdt]], tbl_Stock[Cde_Ingrdt], tbl_Stock[CMP effectif]),0),0)</f>
        <v>100</v>
      </c>
    </row>
    <row r="196" spans="1:7" x14ac:dyDescent="0.25">
      <c r="A196" t="s">
        <v>494</v>
      </c>
      <c r="B196" t="s">
        <v>377</v>
      </c>
      <c r="C196" t="s">
        <v>495</v>
      </c>
      <c r="D196" t="s">
        <v>496</v>
      </c>
      <c r="E196">
        <v>1000</v>
      </c>
      <c r="F196" t="s">
        <v>209</v>
      </c>
      <c r="G196">
        <f ca="1">IFERROR(tbl_Recettes[[#This Row],[Quantité]] * IFERROR(_xlfn.XLOOKUP(tbl_Recettes[[#This Row],[Cde_Ingrdt]], tbl_Stock[Cde_Ingrdt], tbl_Stock[CMP effectif]),0),0)</f>
        <v>100</v>
      </c>
    </row>
    <row r="197" spans="1:7" x14ac:dyDescent="0.25">
      <c r="A197" t="s">
        <v>494</v>
      </c>
      <c r="B197" t="s">
        <v>377</v>
      </c>
      <c r="C197" t="s">
        <v>497</v>
      </c>
      <c r="D197" t="s">
        <v>498</v>
      </c>
      <c r="E197">
        <v>50</v>
      </c>
      <c r="F197" t="s">
        <v>209</v>
      </c>
      <c r="G197">
        <f ca="1">IFERROR(tbl_Recettes[[#This Row],[Quantité]] * IFERROR(_xlfn.XLOOKUP(tbl_Recettes[[#This Row],[Cde_Ingrdt]], tbl_Stock[Cde_Ingrdt], tbl_Stock[CMP effectif]),0),0)</f>
        <v>1.5</v>
      </c>
    </row>
    <row r="198" spans="1:7" x14ac:dyDescent="0.25">
      <c r="A198" t="s">
        <v>499</v>
      </c>
      <c r="B198" t="s">
        <v>212</v>
      </c>
      <c r="C198" t="s">
        <v>495</v>
      </c>
      <c r="D198" t="s">
        <v>496</v>
      </c>
      <c r="E198">
        <v>350</v>
      </c>
      <c r="F198" t="s">
        <v>209</v>
      </c>
      <c r="G198">
        <f ca="1">IFERROR(tbl_Recettes[[#This Row],[Quantité]] * IFERROR(_xlfn.XLOOKUP(tbl_Recettes[[#This Row],[Cde_Ingrdt]], tbl_Stock[Cde_Ingrdt], tbl_Stock[CMP effectif]),0),0)</f>
        <v>35</v>
      </c>
    </row>
    <row r="199" spans="1:7" x14ac:dyDescent="0.25">
      <c r="A199" t="s">
        <v>499</v>
      </c>
      <c r="B199" t="s">
        <v>212</v>
      </c>
      <c r="C199" t="s">
        <v>497</v>
      </c>
      <c r="D199" t="s">
        <v>498</v>
      </c>
      <c r="E199">
        <v>30</v>
      </c>
      <c r="F199" t="s">
        <v>209</v>
      </c>
      <c r="G199">
        <f ca="1">IFERROR(tbl_Recettes[[#This Row],[Quantité]] * IFERROR(_xlfn.XLOOKUP(tbl_Recettes[[#This Row],[Cde_Ingrdt]], tbl_Stock[Cde_Ingrdt], tbl_Stock[CMP effectif]),0),0)</f>
        <v>0.89999999999999991</v>
      </c>
    </row>
    <row r="200" spans="1:7" x14ac:dyDescent="0.25">
      <c r="A200" t="s">
        <v>500</v>
      </c>
      <c r="B200" t="s">
        <v>501</v>
      </c>
      <c r="C200" t="s">
        <v>502</v>
      </c>
      <c r="D200" t="s">
        <v>503</v>
      </c>
      <c r="E200">
        <v>100</v>
      </c>
      <c r="F200" t="s">
        <v>209</v>
      </c>
      <c r="G200">
        <f ca="1">IFERROR(tbl_Recettes[[#This Row],[Quantité]] * IFERROR(_xlfn.XLOOKUP(tbl_Recettes[[#This Row],[Cde_Ingrdt]], tbl_Stock[Cde_Ingrdt], tbl_Stock[CMP effectif]),0),0)</f>
        <v>3</v>
      </c>
    </row>
    <row r="201" spans="1:7" x14ac:dyDescent="0.25">
      <c r="A201" t="s">
        <v>500</v>
      </c>
      <c r="B201" t="s">
        <v>501</v>
      </c>
      <c r="C201" t="s">
        <v>389</v>
      </c>
      <c r="D201" t="s">
        <v>390</v>
      </c>
      <c r="E201">
        <v>120</v>
      </c>
      <c r="F201" t="s">
        <v>209</v>
      </c>
      <c r="G201">
        <f ca="1">IFERROR(tbl_Recettes[[#This Row],[Quantité]] * IFERROR(_xlfn.XLOOKUP(tbl_Recettes[[#This Row],[Cde_Ingrdt]], tbl_Stock[Cde_Ingrdt], tbl_Stock[CMP effectif]),0),0)</f>
        <v>8.4</v>
      </c>
    </row>
    <row r="202" spans="1:7" x14ac:dyDescent="0.25">
      <c r="A202" t="s">
        <v>500</v>
      </c>
      <c r="B202" t="s">
        <v>501</v>
      </c>
      <c r="C202" t="s">
        <v>293</v>
      </c>
      <c r="D202" t="s">
        <v>294</v>
      </c>
      <c r="E202">
        <v>50</v>
      </c>
      <c r="F202" t="s">
        <v>209</v>
      </c>
      <c r="G202">
        <f ca="1">IFERROR(tbl_Recettes[[#This Row],[Quantité]] * IFERROR(_xlfn.XLOOKUP(tbl_Recettes[[#This Row],[Cde_Ingrdt]], tbl_Stock[Cde_Ingrdt], tbl_Stock[CMP effectif]),0),0)</f>
        <v>5</v>
      </c>
    </row>
    <row r="203" spans="1:7" x14ac:dyDescent="0.25">
      <c r="A203" t="s">
        <v>500</v>
      </c>
      <c r="B203" t="s">
        <v>501</v>
      </c>
      <c r="C203" t="s">
        <v>353</v>
      </c>
      <c r="D203" t="s">
        <v>354</v>
      </c>
      <c r="E203">
        <v>40</v>
      </c>
      <c r="F203" t="s">
        <v>209</v>
      </c>
      <c r="G203">
        <f ca="1">IFERROR(tbl_Recettes[[#This Row],[Quantité]] * IFERROR(_xlfn.XLOOKUP(tbl_Recettes[[#This Row],[Cde_Ingrdt]], tbl_Stock[Cde_Ingrdt], tbl_Stock[CMP effectif]),0),0)</f>
        <v>32</v>
      </c>
    </row>
    <row r="204" spans="1:7" x14ac:dyDescent="0.25">
      <c r="A204" t="s">
        <v>500</v>
      </c>
      <c r="B204" t="s">
        <v>501</v>
      </c>
      <c r="C204" t="s">
        <v>504</v>
      </c>
      <c r="D204" t="s">
        <v>505</v>
      </c>
      <c r="E204">
        <v>40</v>
      </c>
      <c r="F204" t="s">
        <v>209</v>
      </c>
      <c r="G204">
        <f ca="1">IFERROR(tbl_Recettes[[#This Row],[Quantité]] * IFERROR(_xlfn.XLOOKUP(tbl_Recettes[[#This Row],[Cde_Ingrdt]], tbl_Stock[Cde_Ingrdt], tbl_Stock[CMP effectif]),0),0)</f>
        <v>6</v>
      </c>
    </row>
    <row r="205" spans="1:7" x14ac:dyDescent="0.25">
      <c r="A205" t="s">
        <v>500</v>
      </c>
      <c r="B205" t="s">
        <v>501</v>
      </c>
      <c r="C205" t="s">
        <v>315</v>
      </c>
      <c r="D205" t="s">
        <v>316</v>
      </c>
      <c r="E205">
        <v>15</v>
      </c>
      <c r="F205" t="s">
        <v>209</v>
      </c>
      <c r="G205">
        <f ca="1">IFERROR(tbl_Recettes[[#This Row],[Quantité]] * IFERROR(_xlfn.XLOOKUP(tbl_Recettes[[#This Row],[Cde_Ingrdt]], tbl_Stock[Cde_Ingrdt], tbl_Stock[CMP effectif]),0),0)</f>
        <v>1.5</v>
      </c>
    </row>
    <row r="206" spans="1:7" x14ac:dyDescent="0.25">
      <c r="A206" t="s">
        <v>500</v>
      </c>
      <c r="B206" t="s">
        <v>501</v>
      </c>
      <c r="C206" t="s">
        <v>420</v>
      </c>
      <c r="D206" t="s">
        <v>421</v>
      </c>
      <c r="E206">
        <v>15</v>
      </c>
      <c r="F206" t="s">
        <v>209</v>
      </c>
      <c r="G206">
        <f ca="1">IFERROR(tbl_Recettes[[#This Row],[Quantité]] * IFERROR(_xlfn.XLOOKUP(tbl_Recettes[[#This Row],[Cde_Ingrdt]], tbl_Stock[Cde_Ingrdt], tbl_Stock[CMP effectif]),0),0)</f>
        <v>0.375</v>
      </c>
    </row>
    <row r="207" spans="1:7" x14ac:dyDescent="0.25">
      <c r="A207" t="s">
        <v>500</v>
      </c>
      <c r="B207" t="s">
        <v>501</v>
      </c>
      <c r="C207" t="s">
        <v>422</v>
      </c>
      <c r="D207" t="s">
        <v>423</v>
      </c>
      <c r="E207">
        <v>15</v>
      </c>
      <c r="F207" t="s">
        <v>209</v>
      </c>
      <c r="G207">
        <f ca="1">IFERROR(tbl_Recettes[[#This Row],[Quantité]] * IFERROR(_xlfn.XLOOKUP(tbl_Recettes[[#This Row],[Cde_Ingrdt]], tbl_Stock[Cde_Ingrdt], tbl_Stock[CMP effectif]),0),0)</f>
        <v>0.3</v>
      </c>
    </row>
    <row r="208" spans="1:7" x14ac:dyDescent="0.25">
      <c r="A208" t="s">
        <v>500</v>
      </c>
      <c r="B208" t="s">
        <v>501</v>
      </c>
      <c r="C208" t="s">
        <v>506</v>
      </c>
      <c r="D208" t="s">
        <v>507</v>
      </c>
      <c r="E208">
        <v>30</v>
      </c>
      <c r="F208" t="s">
        <v>209</v>
      </c>
      <c r="G208">
        <f ca="1">IFERROR(tbl_Recettes[[#This Row],[Quantité]] * IFERROR(_xlfn.XLOOKUP(tbl_Recettes[[#This Row],[Cde_Ingrdt]], tbl_Stock[Cde_Ingrdt], tbl_Stock[CMP effectif]),0),0)</f>
        <v>0.89999999999999991</v>
      </c>
    </row>
    <row r="209" spans="1:7" x14ac:dyDescent="0.25">
      <c r="A209" t="s">
        <v>500</v>
      </c>
      <c r="B209" t="s">
        <v>501</v>
      </c>
      <c r="C209" t="s">
        <v>307</v>
      </c>
      <c r="D209" t="s">
        <v>308</v>
      </c>
      <c r="E209">
        <v>40</v>
      </c>
      <c r="F209" t="s">
        <v>209</v>
      </c>
      <c r="G209">
        <f ca="1">IFERROR(tbl_Recettes[[#This Row],[Quantité]] * IFERROR(_xlfn.XLOOKUP(tbl_Recettes[[#This Row],[Cde_Ingrdt]], tbl_Stock[Cde_Ingrdt], tbl_Stock[CMP effectif]),0),0)</f>
        <v>0.4</v>
      </c>
    </row>
    <row r="210" spans="1:7" x14ac:dyDescent="0.25">
      <c r="A210" t="s">
        <v>500</v>
      </c>
      <c r="B210" t="s">
        <v>501</v>
      </c>
      <c r="C210" t="s">
        <v>508</v>
      </c>
      <c r="D210" t="s">
        <v>509</v>
      </c>
      <c r="E210">
        <v>1</v>
      </c>
      <c r="F210" t="s">
        <v>206</v>
      </c>
      <c r="G210">
        <f ca="1">IFERROR(tbl_Recettes[[#This Row],[Quantité]] * IFERROR(_xlfn.XLOOKUP(tbl_Recettes[[#This Row],[Cde_Ingrdt]], tbl_Stock[Cde_Ingrdt], tbl_Stock[CMP effectif]),0),0)</f>
        <v>1</v>
      </c>
    </row>
    <row r="211" spans="1:7" x14ac:dyDescent="0.25">
      <c r="A211" t="s">
        <v>500</v>
      </c>
      <c r="B211" t="s">
        <v>501</v>
      </c>
      <c r="C211" t="s">
        <v>510</v>
      </c>
      <c r="D211" t="s">
        <v>511</v>
      </c>
      <c r="E211">
        <v>1</v>
      </c>
      <c r="F211" t="s">
        <v>209</v>
      </c>
      <c r="G211">
        <f ca="1">IFERROR(tbl_Recettes[[#This Row],[Quantité]] * IFERROR(_xlfn.XLOOKUP(tbl_Recettes[[#This Row],[Cde_Ingrdt]], tbl_Stock[Cde_Ingrdt], tbl_Stock[CMP effectif]),0),0)</f>
        <v>33</v>
      </c>
    </row>
    <row r="212" spans="1:7" x14ac:dyDescent="0.25">
      <c r="A212" t="s">
        <v>73</v>
      </c>
      <c r="B212" t="s">
        <v>495</v>
      </c>
      <c r="C212" t="s">
        <v>512</v>
      </c>
      <c r="D212" t="s">
        <v>513</v>
      </c>
      <c r="E212">
        <v>250</v>
      </c>
      <c r="F212" t="s">
        <v>209</v>
      </c>
      <c r="G212">
        <f ca="1">IFERROR(tbl_Recettes[[#This Row],[Quantité]] * IFERROR(_xlfn.XLOOKUP(tbl_Recettes[[#This Row],[Cde_Ingrdt]], tbl_Stock[Cde_Ingrdt], tbl_Stock[CMP effectif]),0),0)</f>
        <v>22.5</v>
      </c>
    </row>
    <row r="213" spans="1:7" x14ac:dyDescent="0.25">
      <c r="A213" t="s">
        <v>73</v>
      </c>
      <c r="B213" t="s">
        <v>495</v>
      </c>
      <c r="C213" t="s">
        <v>307</v>
      </c>
      <c r="D213" t="s">
        <v>308</v>
      </c>
      <c r="E213">
        <v>90</v>
      </c>
      <c r="F213" t="s">
        <v>209</v>
      </c>
      <c r="G213">
        <f ca="1">IFERROR(tbl_Recettes[[#This Row],[Quantité]] * IFERROR(_xlfn.XLOOKUP(tbl_Recettes[[#This Row],[Cde_Ingrdt]], tbl_Stock[Cde_Ingrdt], tbl_Stock[CMP effectif]),0),0)</f>
        <v>0.9</v>
      </c>
    </row>
    <row r="214" spans="1:7" x14ac:dyDescent="0.25">
      <c r="A214" t="s">
        <v>73</v>
      </c>
      <c r="B214" t="s">
        <v>495</v>
      </c>
      <c r="C214" t="s">
        <v>315</v>
      </c>
      <c r="D214" t="s">
        <v>316</v>
      </c>
      <c r="E214">
        <v>25</v>
      </c>
      <c r="F214" t="s">
        <v>209</v>
      </c>
      <c r="G214">
        <f ca="1">IFERROR(tbl_Recettes[[#This Row],[Quantité]] * IFERROR(_xlfn.XLOOKUP(tbl_Recettes[[#This Row],[Cde_Ingrdt]], tbl_Stock[Cde_Ingrdt], tbl_Stock[CMP effectif]),0),0)</f>
        <v>2.5</v>
      </c>
    </row>
    <row r="215" spans="1:7" x14ac:dyDescent="0.25">
      <c r="A215" t="s">
        <v>73</v>
      </c>
      <c r="B215" t="s">
        <v>495</v>
      </c>
      <c r="C215" t="s">
        <v>420</v>
      </c>
      <c r="D215" t="s">
        <v>421</v>
      </c>
      <c r="E215">
        <v>25</v>
      </c>
      <c r="F215" t="s">
        <v>209</v>
      </c>
      <c r="G215">
        <f ca="1">IFERROR(tbl_Recettes[[#This Row],[Quantité]] * IFERROR(_xlfn.XLOOKUP(tbl_Recettes[[#This Row],[Cde_Ingrdt]], tbl_Stock[Cde_Ingrdt], tbl_Stock[CMP effectif]),0),0)</f>
        <v>0.625</v>
      </c>
    </row>
    <row r="216" spans="1:7" x14ac:dyDescent="0.25">
      <c r="A216" t="s">
        <v>73</v>
      </c>
      <c r="B216" t="s">
        <v>495</v>
      </c>
      <c r="C216" t="s">
        <v>309</v>
      </c>
      <c r="D216" t="s">
        <v>310</v>
      </c>
      <c r="E216">
        <v>40</v>
      </c>
      <c r="F216" t="s">
        <v>209</v>
      </c>
      <c r="G216">
        <f ca="1">IFERROR(tbl_Recettes[[#This Row],[Quantité]] * IFERROR(_xlfn.XLOOKUP(tbl_Recettes[[#This Row],[Cde_Ingrdt]], tbl_Stock[Cde_Ingrdt], tbl_Stock[CMP effectif]),0),0)</f>
        <v>0.4</v>
      </c>
    </row>
    <row r="217" spans="1:7" x14ac:dyDescent="0.25">
      <c r="A217" t="s">
        <v>73</v>
      </c>
      <c r="B217" t="s">
        <v>495</v>
      </c>
      <c r="C217" t="s">
        <v>514</v>
      </c>
      <c r="D217" t="s">
        <v>515</v>
      </c>
      <c r="E217">
        <v>10</v>
      </c>
      <c r="F217" t="s">
        <v>209</v>
      </c>
      <c r="G217">
        <f ca="1">IFERROR(tbl_Recettes[[#This Row],[Quantité]] * IFERROR(_xlfn.XLOOKUP(tbl_Recettes[[#This Row],[Cde_Ingrdt]], tbl_Stock[Cde_Ingrdt], tbl_Stock[CMP effectif]),0),0)</f>
        <v>0.66</v>
      </c>
    </row>
    <row r="218" spans="1:7" x14ac:dyDescent="0.25">
      <c r="A218" t="s">
        <v>73</v>
      </c>
      <c r="B218" t="s">
        <v>495</v>
      </c>
      <c r="C218" t="s">
        <v>516</v>
      </c>
      <c r="D218" t="s">
        <v>517</v>
      </c>
      <c r="E218">
        <v>5</v>
      </c>
      <c r="F218" t="s">
        <v>209</v>
      </c>
      <c r="G218">
        <f ca="1">IFERROR(tbl_Recettes[[#This Row],[Quantité]] * IFERROR(_xlfn.XLOOKUP(tbl_Recettes[[#This Row],[Cde_Ingrdt]], tbl_Stock[Cde_Ingrdt], tbl_Stock[CMP effectif]),0),0)</f>
        <v>0.5</v>
      </c>
    </row>
    <row r="219" spans="1:7" x14ac:dyDescent="0.25">
      <c r="A219" t="s">
        <v>73</v>
      </c>
      <c r="B219" t="s">
        <v>495</v>
      </c>
      <c r="C219" t="s">
        <v>297</v>
      </c>
      <c r="D219" t="s">
        <v>298</v>
      </c>
      <c r="E219">
        <v>15</v>
      </c>
      <c r="F219" t="s">
        <v>221</v>
      </c>
      <c r="G219">
        <f ca="1">IFERROR(tbl_Recettes[[#This Row],[Quantité]] * IFERROR(_xlfn.XLOOKUP(tbl_Recettes[[#This Row],[Cde_Ingrdt]], tbl_Stock[Cde_Ingrdt], tbl_Stock[CMP effectif]),0),0)</f>
        <v>1.3499999999999999</v>
      </c>
    </row>
    <row r="220" spans="1:7" x14ac:dyDescent="0.25">
      <c r="A220" t="s">
        <v>73</v>
      </c>
      <c r="B220" t="s">
        <v>495</v>
      </c>
      <c r="C220" t="s">
        <v>518</v>
      </c>
      <c r="D220" t="s">
        <v>1274</v>
      </c>
      <c r="E220">
        <v>5</v>
      </c>
      <c r="F220" t="s">
        <v>209</v>
      </c>
      <c r="G220">
        <f ca="1">IFERROR(tbl_Recettes[[#This Row],[Quantité]] * IFERROR(_xlfn.XLOOKUP(tbl_Recettes[[#This Row],[Cde_Ingrdt]], tbl_Stock[Cde_Ingrdt], tbl_Stock[CMP effectif]),0),0)</f>
        <v>0.89999999999999991</v>
      </c>
    </row>
    <row r="221" spans="1:7" x14ac:dyDescent="0.25">
      <c r="A221" t="s">
        <v>519</v>
      </c>
      <c r="B221" t="s">
        <v>512</v>
      </c>
      <c r="C221" t="s">
        <v>293</v>
      </c>
      <c r="D221" t="s">
        <v>294</v>
      </c>
      <c r="E221">
        <v>80</v>
      </c>
      <c r="F221" t="s">
        <v>209</v>
      </c>
      <c r="G221">
        <f ca="1">IFERROR(tbl_Recettes[[#This Row],[Quantité]] * IFERROR(_xlfn.XLOOKUP(tbl_Recettes[[#This Row],[Cde_Ingrdt]], tbl_Stock[Cde_Ingrdt], tbl_Stock[CMP effectif]),0),0)</f>
        <v>8</v>
      </c>
    </row>
    <row r="222" spans="1:7" x14ac:dyDescent="0.25">
      <c r="A222" t="s">
        <v>519</v>
      </c>
      <c r="B222" t="s">
        <v>512</v>
      </c>
      <c r="C222" t="s">
        <v>353</v>
      </c>
      <c r="D222" t="s">
        <v>354</v>
      </c>
      <c r="E222">
        <v>60</v>
      </c>
      <c r="F222" t="s">
        <v>209</v>
      </c>
      <c r="G222">
        <f ca="1">IFERROR(tbl_Recettes[[#This Row],[Quantité]] * IFERROR(_xlfn.XLOOKUP(tbl_Recettes[[#This Row],[Cde_Ingrdt]], tbl_Stock[Cde_Ingrdt], tbl_Stock[CMP effectif]),0),0)</f>
        <v>48</v>
      </c>
    </row>
    <row r="223" spans="1:7" x14ac:dyDescent="0.25">
      <c r="A223" t="s">
        <v>519</v>
      </c>
      <c r="B223" t="s">
        <v>512</v>
      </c>
      <c r="C223" t="s">
        <v>504</v>
      </c>
      <c r="D223" t="s">
        <v>505</v>
      </c>
      <c r="E223">
        <v>60</v>
      </c>
      <c r="F223" t="s">
        <v>209</v>
      </c>
      <c r="G223">
        <f ca="1">IFERROR(tbl_Recettes[[#This Row],[Quantité]] * IFERROR(_xlfn.XLOOKUP(tbl_Recettes[[#This Row],[Cde_Ingrdt]], tbl_Stock[Cde_Ingrdt], tbl_Stock[CMP effectif]),0),0)</f>
        <v>9</v>
      </c>
    </row>
    <row r="224" spans="1:7" x14ac:dyDescent="0.25">
      <c r="A224" t="s">
        <v>519</v>
      </c>
      <c r="B224" t="s">
        <v>512</v>
      </c>
      <c r="C224" t="s">
        <v>520</v>
      </c>
      <c r="D224" t="s">
        <v>521</v>
      </c>
      <c r="E224">
        <v>10</v>
      </c>
      <c r="F224" t="s">
        <v>209</v>
      </c>
      <c r="G224">
        <f ca="1">IFERROR(tbl_Recettes[[#This Row],[Quantité]] * IFERROR(_xlfn.XLOOKUP(tbl_Recettes[[#This Row],[Cde_Ingrdt]], tbl_Stock[Cde_Ingrdt], tbl_Stock[CMP effectif]),0),0)</f>
        <v>0.70000000000000007</v>
      </c>
    </row>
    <row r="225" spans="1:7" x14ac:dyDescent="0.25">
      <c r="A225" t="s">
        <v>519</v>
      </c>
      <c r="B225" t="s">
        <v>512</v>
      </c>
      <c r="C225" t="s">
        <v>518</v>
      </c>
      <c r="D225" t="s">
        <v>1274</v>
      </c>
      <c r="E225">
        <v>5</v>
      </c>
      <c r="F225" t="s">
        <v>209</v>
      </c>
      <c r="G225">
        <f ca="1">IFERROR(tbl_Recettes[[#This Row],[Quantité]] * IFERROR(_xlfn.XLOOKUP(tbl_Recettes[[#This Row],[Cde_Ingrdt]], tbl_Stock[Cde_Ingrdt], tbl_Stock[CMP effectif]),0),0)</f>
        <v>0.89999999999999991</v>
      </c>
    </row>
    <row r="226" spans="1:7" x14ac:dyDescent="0.25">
      <c r="A226" t="s">
        <v>519</v>
      </c>
      <c r="B226" t="s">
        <v>512</v>
      </c>
      <c r="C226" t="s">
        <v>297</v>
      </c>
      <c r="D226" t="s">
        <v>298</v>
      </c>
      <c r="E226">
        <v>20</v>
      </c>
      <c r="F226" t="s">
        <v>221</v>
      </c>
      <c r="G226">
        <f ca="1">IFERROR(tbl_Recettes[[#This Row],[Quantité]] * IFERROR(_xlfn.XLOOKUP(tbl_Recettes[[#This Row],[Cde_Ingrdt]], tbl_Stock[Cde_Ingrdt], tbl_Stock[CMP effectif]),0),0)</f>
        <v>1.7999999999999998</v>
      </c>
    </row>
    <row r="227" spans="1:7" x14ac:dyDescent="0.25">
      <c r="A227" t="s">
        <v>519</v>
      </c>
      <c r="B227" t="s">
        <v>512</v>
      </c>
      <c r="C227" t="s">
        <v>516</v>
      </c>
      <c r="D227" t="s">
        <v>517</v>
      </c>
      <c r="E227">
        <v>10</v>
      </c>
      <c r="F227" t="s">
        <v>209</v>
      </c>
      <c r="G227">
        <f ca="1">IFERROR(tbl_Recettes[[#This Row],[Quantité]] * IFERROR(_xlfn.XLOOKUP(tbl_Recettes[[#This Row],[Cde_Ingrdt]], tbl_Stock[Cde_Ingrdt], tbl_Stock[CMP effectif]),0),0)</f>
        <v>1</v>
      </c>
    </row>
    <row r="228" spans="1:7" x14ac:dyDescent="0.25">
      <c r="A228" t="s">
        <v>522</v>
      </c>
      <c r="B228" t="s">
        <v>523</v>
      </c>
      <c r="C228" t="s">
        <v>523</v>
      </c>
      <c r="D228" t="s">
        <v>524</v>
      </c>
      <c r="E228">
        <v>100</v>
      </c>
      <c r="F228" t="s">
        <v>209</v>
      </c>
      <c r="G228">
        <f ca="1">IFERROR(tbl_Recettes[[#This Row],[Quantité]] * IFERROR(_xlfn.XLOOKUP(tbl_Recettes[[#This Row],[Cde_Ingrdt]], tbl_Stock[Cde_Ingrdt], tbl_Stock[CMP effectif]),0),0)</f>
        <v>9</v>
      </c>
    </row>
    <row r="229" spans="1:7" x14ac:dyDescent="0.25">
      <c r="A229" t="s">
        <v>522</v>
      </c>
      <c r="B229" t="s">
        <v>523</v>
      </c>
      <c r="C229" t="s">
        <v>307</v>
      </c>
      <c r="D229" t="s">
        <v>308</v>
      </c>
      <c r="E229">
        <v>60</v>
      </c>
      <c r="F229" t="s">
        <v>209</v>
      </c>
      <c r="G229">
        <f ca="1">IFERROR(tbl_Recettes[[#This Row],[Quantité]] * IFERROR(_xlfn.XLOOKUP(tbl_Recettes[[#This Row],[Cde_Ingrdt]], tbl_Stock[Cde_Ingrdt], tbl_Stock[CMP effectif]),0),0)</f>
        <v>0.6</v>
      </c>
    </row>
    <row r="230" spans="1:7" x14ac:dyDescent="0.25">
      <c r="A230" t="s">
        <v>522</v>
      </c>
      <c r="B230" t="s">
        <v>523</v>
      </c>
      <c r="C230" t="s">
        <v>309</v>
      </c>
      <c r="D230" t="s">
        <v>310</v>
      </c>
      <c r="E230">
        <v>40</v>
      </c>
      <c r="F230" t="s">
        <v>209</v>
      </c>
      <c r="G230">
        <f ca="1">IFERROR(tbl_Recettes[[#This Row],[Quantité]] * IFERROR(_xlfn.XLOOKUP(tbl_Recettes[[#This Row],[Cde_Ingrdt]], tbl_Stock[Cde_Ingrdt], tbl_Stock[CMP effectif]),0),0)</f>
        <v>0.4</v>
      </c>
    </row>
    <row r="231" spans="1:7" x14ac:dyDescent="0.25">
      <c r="A231" t="s">
        <v>522</v>
      </c>
      <c r="B231" t="s">
        <v>523</v>
      </c>
      <c r="C231" t="s">
        <v>401</v>
      </c>
      <c r="D231" t="s">
        <v>402</v>
      </c>
      <c r="E231">
        <v>40</v>
      </c>
      <c r="F231" t="s">
        <v>209</v>
      </c>
      <c r="G231">
        <f ca="1">IFERROR(tbl_Recettes[[#This Row],[Quantité]] * IFERROR(_xlfn.XLOOKUP(tbl_Recettes[[#This Row],[Cde_Ingrdt]], tbl_Stock[Cde_Ingrdt], tbl_Stock[CMP effectif]),0),0)</f>
        <v>0.4</v>
      </c>
    </row>
    <row r="232" spans="1:7" x14ac:dyDescent="0.25">
      <c r="A232" t="s">
        <v>522</v>
      </c>
      <c r="B232" t="s">
        <v>523</v>
      </c>
      <c r="C232" t="s">
        <v>525</v>
      </c>
      <c r="D232" t="s">
        <v>526</v>
      </c>
      <c r="E232">
        <v>30</v>
      </c>
      <c r="F232" t="s">
        <v>209</v>
      </c>
      <c r="G232">
        <f ca="1">IFERROR(tbl_Recettes[[#This Row],[Quantité]] * IFERROR(_xlfn.XLOOKUP(tbl_Recettes[[#This Row],[Cde_Ingrdt]], tbl_Stock[Cde_Ingrdt], tbl_Stock[CMP effectif]),0),0)</f>
        <v>1.2</v>
      </c>
    </row>
    <row r="233" spans="1:7" x14ac:dyDescent="0.25">
      <c r="A233" t="s">
        <v>522</v>
      </c>
      <c r="B233" t="s">
        <v>523</v>
      </c>
      <c r="C233" t="s">
        <v>520</v>
      </c>
      <c r="D233" t="s">
        <v>521</v>
      </c>
      <c r="E233">
        <v>5</v>
      </c>
      <c r="F233" t="s">
        <v>209</v>
      </c>
      <c r="G233">
        <f ca="1">IFERROR(tbl_Recettes[[#This Row],[Quantité]] * IFERROR(_xlfn.XLOOKUP(tbl_Recettes[[#This Row],[Cde_Ingrdt]], tbl_Stock[Cde_Ingrdt], tbl_Stock[CMP effectif]),0),0)</f>
        <v>0.35000000000000003</v>
      </c>
    </row>
    <row r="234" spans="1:7" x14ac:dyDescent="0.25">
      <c r="A234" t="s">
        <v>522</v>
      </c>
      <c r="B234" t="s">
        <v>523</v>
      </c>
      <c r="C234" t="s">
        <v>297</v>
      </c>
      <c r="D234" t="s">
        <v>298</v>
      </c>
      <c r="E234">
        <v>10</v>
      </c>
      <c r="F234" t="s">
        <v>221</v>
      </c>
      <c r="G234">
        <f ca="1">IFERROR(tbl_Recettes[[#This Row],[Quantité]] * IFERROR(_xlfn.XLOOKUP(tbl_Recettes[[#This Row],[Cde_Ingrdt]], tbl_Stock[Cde_Ingrdt], tbl_Stock[CMP effectif]),0),0)</f>
        <v>0.89999999999999991</v>
      </c>
    </row>
    <row r="235" spans="1:7" x14ac:dyDescent="0.25">
      <c r="A235" t="s">
        <v>522</v>
      </c>
      <c r="B235" t="s">
        <v>523</v>
      </c>
      <c r="C235" t="s">
        <v>508</v>
      </c>
      <c r="D235" t="s">
        <v>509</v>
      </c>
      <c r="E235">
        <v>1</v>
      </c>
      <c r="F235" t="s">
        <v>206</v>
      </c>
      <c r="G235">
        <f ca="1">IFERROR(tbl_Recettes[[#This Row],[Quantité]] * IFERROR(_xlfn.XLOOKUP(tbl_Recettes[[#This Row],[Cde_Ingrdt]], tbl_Stock[Cde_Ingrdt], tbl_Stock[CMP effectif]),0),0)</f>
        <v>1</v>
      </c>
    </row>
    <row r="236" spans="1:7" x14ac:dyDescent="0.25">
      <c r="A236" t="s">
        <v>522</v>
      </c>
      <c r="B236" t="s">
        <v>523</v>
      </c>
      <c r="C236" t="s">
        <v>518</v>
      </c>
      <c r="D236" t="s">
        <v>1274</v>
      </c>
      <c r="E236">
        <v>5</v>
      </c>
      <c r="F236" t="s">
        <v>209</v>
      </c>
      <c r="G236">
        <f ca="1">IFERROR(tbl_Recettes[[#This Row],[Quantité]] * IFERROR(_xlfn.XLOOKUP(tbl_Recettes[[#This Row],[Cde_Ingrdt]], tbl_Stock[Cde_Ingrdt], tbl_Stock[CMP effectif]),0),0)</f>
        <v>0.89999999999999991</v>
      </c>
    </row>
    <row r="237" spans="1:7" x14ac:dyDescent="0.25">
      <c r="A237" t="s">
        <v>527</v>
      </c>
      <c r="B237" t="s">
        <v>528</v>
      </c>
      <c r="C237" t="s">
        <v>495</v>
      </c>
      <c r="D237" t="s">
        <v>496</v>
      </c>
      <c r="E237">
        <v>500</v>
      </c>
      <c r="F237" t="s">
        <v>209</v>
      </c>
      <c r="G237">
        <f ca="1">IFERROR(tbl_Recettes[[#This Row],[Quantité]] * IFERROR(_xlfn.XLOOKUP(tbl_Recettes[[#This Row],[Cde_Ingrdt]], tbl_Stock[Cde_Ingrdt], tbl_Stock[CMP effectif]),0),0)</f>
        <v>50</v>
      </c>
    </row>
    <row r="238" spans="1:7" x14ac:dyDescent="0.25">
      <c r="A238" t="s">
        <v>529</v>
      </c>
      <c r="B238" t="s">
        <v>530</v>
      </c>
      <c r="C238" t="s">
        <v>495</v>
      </c>
      <c r="D238" t="s">
        <v>496</v>
      </c>
      <c r="E238">
        <v>500</v>
      </c>
      <c r="F238" t="s">
        <v>209</v>
      </c>
      <c r="G238">
        <f ca="1">IFERROR(tbl_Recettes[[#This Row],[Quantité]] * IFERROR(_xlfn.XLOOKUP(tbl_Recettes[[#This Row],[Cde_Ingrdt]], tbl_Stock[Cde_Ingrdt], tbl_Stock[CMP effectif]),0),0)</f>
        <v>50</v>
      </c>
    </row>
    <row r="239" spans="1:7" x14ac:dyDescent="0.25">
      <c r="A239" t="s">
        <v>531</v>
      </c>
      <c r="B239" t="s">
        <v>532</v>
      </c>
      <c r="C239" t="s">
        <v>512</v>
      </c>
      <c r="D239" t="s">
        <v>513</v>
      </c>
      <c r="E239">
        <v>500</v>
      </c>
      <c r="F239" t="s">
        <v>209</v>
      </c>
      <c r="G239">
        <f ca="1">IFERROR(tbl_Recettes[[#This Row],[Quantité]] * IFERROR(_xlfn.XLOOKUP(tbl_Recettes[[#This Row],[Cde_Ingrdt]], tbl_Stock[Cde_Ingrdt], tbl_Stock[CMP effectif]),0),0)</f>
        <v>45</v>
      </c>
    </row>
    <row r="240" spans="1:7" x14ac:dyDescent="0.25">
      <c r="A240" t="s">
        <v>533</v>
      </c>
      <c r="B240" t="s">
        <v>399</v>
      </c>
      <c r="C240" t="s">
        <v>377</v>
      </c>
      <c r="D240" t="s">
        <v>378</v>
      </c>
      <c r="E240">
        <v>180</v>
      </c>
      <c r="F240" t="s">
        <v>209</v>
      </c>
      <c r="G240">
        <f ca="1">IFERROR(tbl_Recettes[[#This Row],[Quantité]] * IFERROR(_xlfn.XLOOKUP(tbl_Recettes[[#This Row],[Cde_Ingrdt]], tbl_Stock[Cde_Ingrdt], tbl_Stock[CMP effectif]),0),0)</f>
        <v>90</v>
      </c>
    </row>
    <row r="241" spans="1:7" x14ac:dyDescent="0.25">
      <c r="A241" t="s">
        <v>533</v>
      </c>
      <c r="B241" t="s">
        <v>399</v>
      </c>
      <c r="C241" t="s">
        <v>534</v>
      </c>
      <c r="D241" t="s">
        <v>535</v>
      </c>
      <c r="E241">
        <v>40</v>
      </c>
      <c r="F241" t="s">
        <v>221</v>
      </c>
      <c r="G241">
        <f ca="1">IFERROR(tbl_Recettes[[#This Row],[Quantité]] * IFERROR(_xlfn.XLOOKUP(tbl_Recettes[[#This Row],[Cde_Ingrdt]], tbl_Stock[Cde_Ingrdt], tbl_Stock[CMP effectif]),0),0)</f>
        <v>2.4</v>
      </c>
    </row>
    <row r="242" spans="1:7" x14ac:dyDescent="0.25">
      <c r="A242" t="s">
        <v>533</v>
      </c>
      <c r="B242" t="s">
        <v>399</v>
      </c>
      <c r="C242" t="s">
        <v>536</v>
      </c>
      <c r="D242" t="s">
        <v>537</v>
      </c>
      <c r="E242">
        <v>20</v>
      </c>
      <c r="F242" t="s">
        <v>209</v>
      </c>
      <c r="G242">
        <f ca="1">IFERROR(tbl_Recettes[[#This Row],[Quantité]] * IFERROR(_xlfn.XLOOKUP(tbl_Recettes[[#This Row],[Cde_Ingrdt]], tbl_Stock[Cde_Ingrdt], tbl_Stock[CMP effectif]),0),0)</f>
        <v>2</v>
      </c>
    </row>
    <row r="243" spans="1:7" x14ac:dyDescent="0.25">
      <c r="A243" t="s">
        <v>538</v>
      </c>
      <c r="B243" t="s">
        <v>539</v>
      </c>
      <c r="C243" t="s">
        <v>523</v>
      </c>
      <c r="D243" t="s">
        <v>524</v>
      </c>
      <c r="E243">
        <v>120</v>
      </c>
      <c r="F243" t="s">
        <v>209</v>
      </c>
      <c r="G243">
        <f ca="1">IFERROR(tbl_Recettes[[#This Row],[Quantité]] * IFERROR(_xlfn.XLOOKUP(tbl_Recettes[[#This Row],[Cde_Ingrdt]], tbl_Stock[Cde_Ingrdt], tbl_Stock[CMP effectif]),0),0)</f>
        <v>10.799999999999999</v>
      </c>
    </row>
    <row r="244" spans="1:7" x14ac:dyDescent="0.25">
      <c r="A244" t="s">
        <v>538</v>
      </c>
      <c r="B244" t="s">
        <v>539</v>
      </c>
      <c r="C244" t="s">
        <v>377</v>
      </c>
      <c r="D244" t="s">
        <v>378</v>
      </c>
      <c r="E244">
        <v>60</v>
      </c>
      <c r="F244" t="s">
        <v>209</v>
      </c>
      <c r="G244">
        <f ca="1">IFERROR(tbl_Recettes[[#This Row],[Quantité]] * IFERROR(_xlfn.XLOOKUP(tbl_Recettes[[#This Row],[Cde_Ingrdt]], tbl_Stock[Cde_Ingrdt], tbl_Stock[CMP effectif]),0),0)</f>
        <v>30</v>
      </c>
    </row>
    <row r="245" spans="1:7" x14ac:dyDescent="0.25">
      <c r="A245" t="s">
        <v>538</v>
      </c>
      <c r="B245" t="s">
        <v>539</v>
      </c>
      <c r="C245" t="s">
        <v>353</v>
      </c>
      <c r="D245" t="s">
        <v>354</v>
      </c>
      <c r="E245">
        <v>60</v>
      </c>
      <c r="F245" t="s">
        <v>209</v>
      </c>
      <c r="G245">
        <f ca="1">IFERROR(tbl_Recettes[[#This Row],[Quantité]] * IFERROR(_xlfn.XLOOKUP(tbl_Recettes[[#This Row],[Cde_Ingrdt]], tbl_Stock[Cde_Ingrdt], tbl_Stock[CMP effectif]),0),0)</f>
        <v>48</v>
      </c>
    </row>
    <row r="246" spans="1:7" x14ac:dyDescent="0.25">
      <c r="A246" t="s">
        <v>538</v>
      </c>
      <c r="B246" t="s">
        <v>539</v>
      </c>
      <c r="C246" t="s">
        <v>540</v>
      </c>
      <c r="D246" t="s">
        <v>541</v>
      </c>
      <c r="E246">
        <v>20</v>
      </c>
      <c r="F246" t="s">
        <v>221</v>
      </c>
      <c r="G246">
        <f ca="1">IFERROR(tbl_Recettes[[#This Row],[Quantité]] * IFERROR(_xlfn.XLOOKUP(tbl_Recettes[[#This Row],[Cde_Ingrdt]], tbl_Stock[Cde_Ingrdt], tbl_Stock[CMP effectif]),0),0)</f>
        <v>3</v>
      </c>
    </row>
    <row r="247" spans="1:7" x14ac:dyDescent="0.25">
      <c r="A247" t="s">
        <v>542</v>
      </c>
      <c r="B247" t="s">
        <v>543</v>
      </c>
      <c r="C247" t="s">
        <v>530</v>
      </c>
      <c r="D247" t="s">
        <v>544</v>
      </c>
      <c r="E247">
        <v>180</v>
      </c>
      <c r="F247" t="s">
        <v>209</v>
      </c>
      <c r="G247">
        <f ca="1">IFERROR(tbl_Recettes[[#This Row],[Quantité]] * IFERROR(_xlfn.XLOOKUP(tbl_Recettes[[#This Row],[Cde_Ingrdt]], tbl_Stock[Cde_Ingrdt], tbl_Stock[CMP effectif]),0),0)</f>
        <v>36</v>
      </c>
    </row>
    <row r="248" spans="1:7" x14ac:dyDescent="0.25">
      <c r="A248" t="s">
        <v>542</v>
      </c>
      <c r="B248" t="s">
        <v>543</v>
      </c>
      <c r="C248" t="s">
        <v>545</v>
      </c>
      <c r="D248" t="s">
        <v>546</v>
      </c>
      <c r="E248">
        <v>40</v>
      </c>
      <c r="F248" t="s">
        <v>209</v>
      </c>
      <c r="G248">
        <f ca="1">IFERROR(tbl_Recettes[[#This Row],[Quantité]] * IFERROR(_xlfn.XLOOKUP(tbl_Recettes[[#This Row],[Cde_Ingrdt]], tbl_Stock[Cde_Ingrdt], tbl_Stock[CMP effectif]),0),0)</f>
        <v>4</v>
      </c>
    </row>
    <row r="249" spans="1:7" x14ac:dyDescent="0.25">
      <c r="A249" t="s">
        <v>542</v>
      </c>
      <c r="B249" t="s">
        <v>543</v>
      </c>
      <c r="C249" t="s">
        <v>293</v>
      </c>
      <c r="D249" t="s">
        <v>294</v>
      </c>
      <c r="E249">
        <v>40</v>
      </c>
      <c r="F249" t="s">
        <v>209</v>
      </c>
      <c r="G249">
        <f ca="1">IFERROR(tbl_Recettes[[#This Row],[Quantité]] * IFERROR(_xlfn.XLOOKUP(tbl_Recettes[[#This Row],[Cde_Ingrdt]], tbl_Stock[Cde_Ingrdt], tbl_Stock[CMP effectif]),0),0)</f>
        <v>4</v>
      </c>
    </row>
    <row r="250" spans="1:7" x14ac:dyDescent="0.25">
      <c r="A250" t="s">
        <v>547</v>
      </c>
      <c r="B250" t="s">
        <v>548</v>
      </c>
      <c r="C250" t="s">
        <v>523</v>
      </c>
      <c r="D250" t="s">
        <v>524</v>
      </c>
      <c r="E250">
        <v>180</v>
      </c>
      <c r="F250" t="s">
        <v>209</v>
      </c>
      <c r="G250">
        <f ca="1">IFERROR(tbl_Recettes[[#This Row],[Quantité]] * IFERROR(_xlfn.XLOOKUP(tbl_Recettes[[#This Row],[Cde_Ingrdt]], tbl_Stock[Cde_Ingrdt], tbl_Stock[CMP effectif]),0),0)</f>
        <v>16.2</v>
      </c>
    </row>
    <row r="251" spans="1:7" x14ac:dyDescent="0.25">
      <c r="A251" t="s">
        <v>547</v>
      </c>
      <c r="B251" t="s">
        <v>548</v>
      </c>
      <c r="C251" t="s">
        <v>549</v>
      </c>
      <c r="D251" t="s">
        <v>550</v>
      </c>
      <c r="E251">
        <v>40</v>
      </c>
      <c r="F251" t="s">
        <v>221</v>
      </c>
      <c r="G251">
        <f ca="1">IFERROR(tbl_Recettes[[#This Row],[Quantité]] * IFERROR(_xlfn.XLOOKUP(tbl_Recettes[[#This Row],[Cde_Ingrdt]], tbl_Stock[Cde_Ingrdt], tbl_Stock[CMP effectif]),0),0)</f>
        <v>3.5999999999999996</v>
      </c>
    </row>
    <row r="252" spans="1:7" x14ac:dyDescent="0.25">
      <c r="A252" t="s">
        <v>547</v>
      </c>
      <c r="B252" t="s">
        <v>548</v>
      </c>
      <c r="C252" t="s">
        <v>293</v>
      </c>
      <c r="D252" t="s">
        <v>294</v>
      </c>
      <c r="E252">
        <v>40</v>
      </c>
      <c r="F252" t="s">
        <v>209</v>
      </c>
      <c r="G252">
        <f ca="1">IFERROR(tbl_Recettes[[#This Row],[Quantité]] * IFERROR(_xlfn.XLOOKUP(tbl_Recettes[[#This Row],[Cde_Ingrdt]], tbl_Stock[Cde_Ingrdt], tbl_Stock[CMP effectif]),0),0)</f>
        <v>4</v>
      </c>
    </row>
    <row r="253" spans="1:7" x14ac:dyDescent="0.25">
      <c r="A253" t="s">
        <v>547</v>
      </c>
      <c r="B253" t="s">
        <v>548</v>
      </c>
      <c r="C253" t="s">
        <v>311</v>
      </c>
      <c r="D253" t="s">
        <v>312</v>
      </c>
      <c r="E253">
        <v>0.5</v>
      </c>
      <c r="F253" t="s">
        <v>206</v>
      </c>
      <c r="G253">
        <f ca="1">IFERROR(tbl_Recettes[[#This Row],[Quantité]] * IFERROR(_xlfn.XLOOKUP(tbl_Recettes[[#This Row],[Cde_Ingrdt]], tbl_Stock[Cde_Ingrdt], tbl_Stock[CMP effectif]),0),0)</f>
        <v>10</v>
      </c>
    </row>
    <row r="254" spans="1:7" x14ac:dyDescent="0.25">
      <c r="A254" t="s">
        <v>551</v>
      </c>
      <c r="B254" t="s">
        <v>552</v>
      </c>
      <c r="C254" t="s">
        <v>553</v>
      </c>
      <c r="D254" t="s">
        <v>554</v>
      </c>
      <c r="E254">
        <v>250</v>
      </c>
      <c r="F254" t="s">
        <v>209</v>
      </c>
      <c r="G254">
        <f ca="1">IFERROR(tbl_Recettes[[#This Row],[Quantité]] * IFERROR(_xlfn.XLOOKUP(tbl_Recettes[[#This Row],[Cde_Ingrdt]], tbl_Stock[Cde_Ingrdt], tbl_Stock[CMP effectif]),0),0)</f>
        <v>22.5</v>
      </c>
    </row>
    <row r="255" spans="1:7" x14ac:dyDescent="0.25">
      <c r="A255" t="s">
        <v>551</v>
      </c>
      <c r="B255" t="s">
        <v>552</v>
      </c>
      <c r="C255" t="s">
        <v>555</v>
      </c>
      <c r="D255" t="s">
        <v>556</v>
      </c>
      <c r="E255">
        <v>100</v>
      </c>
      <c r="F255" t="s">
        <v>209</v>
      </c>
      <c r="G255">
        <f ca="1">IFERROR(tbl_Recettes[[#This Row],[Quantité]] * IFERROR(_xlfn.XLOOKUP(tbl_Recettes[[#This Row],[Cde_Ingrdt]], tbl_Stock[Cde_Ingrdt], tbl_Stock[CMP effectif]),0),0)</f>
        <v>2</v>
      </c>
    </row>
    <row r="256" spans="1:7" x14ac:dyDescent="0.25">
      <c r="A256" t="s">
        <v>551</v>
      </c>
      <c r="B256" t="s">
        <v>552</v>
      </c>
      <c r="C256" t="s">
        <v>297</v>
      </c>
      <c r="D256" t="s">
        <v>298</v>
      </c>
      <c r="E256">
        <v>15</v>
      </c>
      <c r="F256" t="s">
        <v>221</v>
      </c>
      <c r="G256">
        <f ca="1">IFERROR(tbl_Recettes[[#This Row],[Quantité]] * IFERROR(_xlfn.XLOOKUP(tbl_Recettes[[#This Row],[Cde_Ingrdt]], tbl_Stock[Cde_Ingrdt], tbl_Stock[CMP effectif]),0),0)</f>
        <v>1.3499999999999999</v>
      </c>
    </row>
    <row r="257" spans="1:7" x14ac:dyDescent="0.25">
      <c r="A257" t="s">
        <v>551</v>
      </c>
      <c r="B257" t="s">
        <v>552</v>
      </c>
      <c r="C257" t="s">
        <v>518</v>
      </c>
      <c r="D257" t="s">
        <v>1274</v>
      </c>
      <c r="E257">
        <v>5</v>
      </c>
      <c r="F257" t="s">
        <v>209</v>
      </c>
      <c r="G257">
        <f ca="1">IFERROR(tbl_Recettes[[#This Row],[Quantité]] * IFERROR(_xlfn.XLOOKUP(tbl_Recettes[[#This Row],[Cde_Ingrdt]], tbl_Stock[Cde_Ingrdt], tbl_Stock[CMP effectif]),0),0)</f>
        <v>0.89999999999999991</v>
      </c>
    </row>
    <row r="258" spans="1:7" x14ac:dyDescent="0.25">
      <c r="A258" t="s">
        <v>557</v>
      </c>
      <c r="B258" t="s">
        <v>558</v>
      </c>
      <c r="C258" t="s">
        <v>559</v>
      </c>
      <c r="D258" t="s">
        <v>560</v>
      </c>
      <c r="E258">
        <v>250</v>
      </c>
      <c r="F258" t="s">
        <v>209</v>
      </c>
      <c r="G258">
        <f ca="1">IFERROR(tbl_Recettes[[#This Row],[Quantité]] * IFERROR(_xlfn.XLOOKUP(tbl_Recettes[[#This Row],[Cde_Ingrdt]], tbl_Stock[Cde_Ingrdt], tbl_Stock[CMP effectif]),0),0)</f>
        <v>112.5</v>
      </c>
    </row>
    <row r="259" spans="1:7" x14ac:dyDescent="0.25">
      <c r="A259" t="s">
        <v>557</v>
      </c>
      <c r="B259" t="s">
        <v>558</v>
      </c>
      <c r="C259" t="s">
        <v>297</v>
      </c>
      <c r="D259" t="s">
        <v>298</v>
      </c>
      <c r="E259">
        <v>10</v>
      </c>
      <c r="F259" t="s">
        <v>221</v>
      </c>
      <c r="G259">
        <f ca="1">IFERROR(tbl_Recettes[[#This Row],[Quantité]] * IFERROR(_xlfn.XLOOKUP(tbl_Recettes[[#This Row],[Cde_Ingrdt]], tbl_Stock[Cde_Ingrdt], tbl_Stock[CMP effectif]),0),0)</f>
        <v>0.89999999999999991</v>
      </c>
    </row>
    <row r="260" spans="1:7" x14ac:dyDescent="0.25">
      <c r="A260" t="s">
        <v>557</v>
      </c>
      <c r="B260" t="s">
        <v>558</v>
      </c>
      <c r="C260" t="s">
        <v>555</v>
      </c>
      <c r="D260" t="s">
        <v>556</v>
      </c>
      <c r="E260">
        <v>100</v>
      </c>
      <c r="F260" t="s">
        <v>209</v>
      </c>
      <c r="G260">
        <f ca="1">IFERROR(tbl_Recettes[[#This Row],[Quantité]] * IFERROR(_xlfn.XLOOKUP(tbl_Recettes[[#This Row],[Cde_Ingrdt]], tbl_Stock[Cde_Ingrdt], tbl_Stock[CMP effectif]),0),0)</f>
        <v>2</v>
      </c>
    </row>
    <row r="261" spans="1:7" x14ac:dyDescent="0.25">
      <c r="A261" t="s">
        <v>557</v>
      </c>
      <c r="B261" t="s">
        <v>558</v>
      </c>
      <c r="C261" t="s">
        <v>299</v>
      </c>
      <c r="D261" t="s">
        <v>300</v>
      </c>
      <c r="E261">
        <v>3</v>
      </c>
      <c r="F261" t="s">
        <v>209</v>
      </c>
      <c r="G261">
        <f ca="1">IFERROR(tbl_Recettes[[#This Row],[Quantité]] * IFERROR(_xlfn.XLOOKUP(tbl_Recettes[[#This Row],[Cde_Ingrdt]], tbl_Stock[Cde_Ingrdt], tbl_Stock[CMP effectif]),0),0)</f>
        <v>0.27</v>
      </c>
    </row>
    <row r="262" spans="1:7" x14ac:dyDescent="0.25">
      <c r="A262" t="s">
        <v>561</v>
      </c>
      <c r="B262" t="s">
        <v>562</v>
      </c>
      <c r="C262" t="s">
        <v>563</v>
      </c>
      <c r="D262" t="s">
        <v>564</v>
      </c>
      <c r="E262">
        <v>250</v>
      </c>
      <c r="F262" t="s">
        <v>209</v>
      </c>
      <c r="G262">
        <f ca="1">IFERROR(tbl_Recettes[[#This Row],[Quantité]] * IFERROR(_xlfn.XLOOKUP(tbl_Recettes[[#This Row],[Cde_Ingrdt]], tbl_Stock[Cde_Ingrdt], tbl_Stock[CMP effectif]),0),0)</f>
        <v>22.5</v>
      </c>
    </row>
    <row r="263" spans="1:7" x14ac:dyDescent="0.25">
      <c r="A263" t="s">
        <v>561</v>
      </c>
      <c r="B263" t="s">
        <v>562</v>
      </c>
      <c r="C263" t="s">
        <v>251</v>
      </c>
      <c r="D263" t="s">
        <v>252</v>
      </c>
      <c r="E263">
        <v>50</v>
      </c>
      <c r="F263" t="s">
        <v>221</v>
      </c>
      <c r="G263">
        <f ca="1">IFERROR(tbl_Recettes[[#This Row],[Quantité]] * IFERROR(_xlfn.XLOOKUP(tbl_Recettes[[#This Row],[Cde_Ingrdt]], tbl_Stock[Cde_Ingrdt], tbl_Stock[CMP effectif]),0),0)</f>
        <v>4.5</v>
      </c>
    </row>
    <row r="264" spans="1:7" x14ac:dyDescent="0.25">
      <c r="A264" t="s">
        <v>561</v>
      </c>
      <c r="B264" t="s">
        <v>562</v>
      </c>
      <c r="C264" t="s">
        <v>555</v>
      </c>
      <c r="D264" t="s">
        <v>556</v>
      </c>
      <c r="E264">
        <v>100</v>
      </c>
      <c r="F264" t="s">
        <v>209</v>
      </c>
      <c r="G264">
        <f ca="1">IFERROR(tbl_Recettes[[#This Row],[Quantité]] * IFERROR(_xlfn.XLOOKUP(tbl_Recettes[[#This Row],[Cde_Ingrdt]], tbl_Stock[Cde_Ingrdt], tbl_Stock[CMP effectif]),0),0)</f>
        <v>2</v>
      </c>
    </row>
    <row r="265" spans="1:7" x14ac:dyDescent="0.25">
      <c r="A265" t="s">
        <v>565</v>
      </c>
      <c r="B265" t="s">
        <v>566</v>
      </c>
      <c r="C265" t="s">
        <v>567</v>
      </c>
      <c r="D265" t="s">
        <v>568</v>
      </c>
      <c r="E265">
        <v>250</v>
      </c>
      <c r="F265" t="s">
        <v>209</v>
      </c>
      <c r="G265">
        <f ca="1">IFERROR(tbl_Recettes[[#This Row],[Quantité]] * IFERROR(_xlfn.XLOOKUP(tbl_Recettes[[#This Row],[Cde_Ingrdt]], tbl_Stock[Cde_Ingrdt], tbl_Stock[CMP effectif]),0),0)</f>
        <v>37.5</v>
      </c>
    </row>
    <row r="266" spans="1:7" x14ac:dyDescent="0.25">
      <c r="A266" t="s">
        <v>565</v>
      </c>
      <c r="B266" t="s">
        <v>566</v>
      </c>
      <c r="C266" t="s">
        <v>555</v>
      </c>
      <c r="D266" t="s">
        <v>556</v>
      </c>
      <c r="E266">
        <v>100</v>
      </c>
      <c r="F266" t="s">
        <v>209</v>
      </c>
      <c r="G266">
        <f ca="1">IFERROR(tbl_Recettes[[#This Row],[Quantité]] * IFERROR(_xlfn.XLOOKUP(tbl_Recettes[[#This Row],[Cde_Ingrdt]], tbl_Stock[Cde_Ingrdt], tbl_Stock[CMP effectif]),0),0)</f>
        <v>2</v>
      </c>
    </row>
    <row r="267" spans="1:7" x14ac:dyDescent="0.25">
      <c r="A267" t="s">
        <v>565</v>
      </c>
      <c r="B267" t="s">
        <v>566</v>
      </c>
      <c r="C267" t="s">
        <v>297</v>
      </c>
      <c r="D267" t="s">
        <v>298</v>
      </c>
      <c r="E267">
        <v>10</v>
      </c>
      <c r="F267" t="s">
        <v>221</v>
      </c>
      <c r="G267">
        <f ca="1">IFERROR(tbl_Recettes[[#This Row],[Quantité]] * IFERROR(_xlfn.XLOOKUP(tbl_Recettes[[#This Row],[Cde_Ingrdt]], tbl_Stock[Cde_Ingrdt], tbl_Stock[CMP effectif]),0),0)</f>
        <v>0.89999999999999991</v>
      </c>
    </row>
    <row r="268" spans="1:7" x14ac:dyDescent="0.25">
      <c r="A268" t="s">
        <v>569</v>
      </c>
      <c r="B268" t="s">
        <v>570</v>
      </c>
      <c r="C268" t="s">
        <v>571</v>
      </c>
      <c r="D268" t="s">
        <v>572</v>
      </c>
      <c r="E268">
        <v>180</v>
      </c>
      <c r="F268" t="s">
        <v>209</v>
      </c>
      <c r="G268">
        <f ca="1">IFERROR(tbl_Recettes[[#This Row],[Quantité]] * IFERROR(_xlfn.XLOOKUP(tbl_Recettes[[#This Row],[Cde_Ingrdt]], tbl_Stock[Cde_Ingrdt], tbl_Stock[CMP effectif]),0),0)</f>
        <v>21.599999999999998</v>
      </c>
    </row>
    <row r="269" spans="1:7" x14ac:dyDescent="0.25">
      <c r="A269" t="s">
        <v>569</v>
      </c>
      <c r="B269" t="s">
        <v>570</v>
      </c>
      <c r="C269" t="s">
        <v>309</v>
      </c>
      <c r="D269" t="s">
        <v>310</v>
      </c>
      <c r="E269">
        <v>40</v>
      </c>
      <c r="F269" t="s">
        <v>209</v>
      </c>
      <c r="G269">
        <f ca="1">IFERROR(tbl_Recettes[[#This Row],[Quantité]] * IFERROR(_xlfn.XLOOKUP(tbl_Recettes[[#This Row],[Cde_Ingrdt]], tbl_Stock[Cde_Ingrdt], tbl_Stock[CMP effectif]),0),0)</f>
        <v>0.4</v>
      </c>
    </row>
    <row r="270" spans="1:7" x14ac:dyDescent="0.25">
      <c r="A270" t="s">
        <v>569</v>
      </c>
      <c r="B270" t="s">
        <v>570</v>
      </c>
      <c r="C270" t="s">
        <v>315</v>
      </c>
      <c r="D270" t="s">
        <v>316</v>
      </c>
      <c r="E270">
        <v>40</v>
      </c>
      <c r="F270" t="s">
        <v>209</v>
      </c>
      <c r="G270">
        <f ca="1">IFERROR(tbl_Recettes[[#This Row],[Quantité]] * IFERROR(_xlfn.XLOOKUP(tbl_Recettes[[#This Row],[Cde_Ingrdt]], tbl_Stock[Cde_Ingrdt], tbl_Stock[CMP effectif]),0),0)</f>
        <v>4</v>
      </c>
    </row>
    <row r="271" spans="1:7" x14ac:dyDescent="0.25">
      <c r="A271" t="s">
        <v>569</v>
      </c>
      <c r="B271" t="s">
        <v>570</v>
      </c>
      <c r="C271" t="s">
        <v>573</v>
      </c>
      <c r="D271" t="s">
        <v>574</v>
      </c>
      <c r="E271">
        <v>40</v>
      </c>
      <c r="F271" t="s">
        <v>209</v>
      </c>
      <c r="G271">
        <f ca="1">IFERROR(tbl_Recettes[[#This Row],[Quantité]] * IFERROR(_xlfn.XLOOKUP(tbl_Recettes[[#This Row],[Cde_Ingrdt]], tbl_Stock[Cde_Ingrdt], tbl_Stock[CMP effectif]),0),0)</f>
        <v>4</v>
      </c>
    </row>
    <row r="272" spans="1:7" x14ac:dyDescent="0.25">
      <c r="A272" t="s">
        <v>569</v>
      </c>
      <c r="B272" t="s">
        <v>570</v>
      </c>
      <c r="C272" t="s">
        <v>219</v>
      </c>
      <c r="D272" t="s">
        <v>220</v>
      </c>
      <c r="E272">
        <v>40</v>
      </c>
      <c r="F272" t="s">
        <v>221</v>
      </c>
      <c r="G272">
        <f ca="1">IFERROR(tbl_Recettes[[#This Row],[Quantité]] * IFERROR(_xlfn.XLOOKUP(tbl_Recettes[[#This Row],[Cde_Ingrdt]], tbl_Stock[Cde_Ingrdt], tbl_Stock[CMP effectif]),0),0)</f>
        <v>6</v>
      </c>
    </row>
    <row r="273" spans="1:7" x14ac:dyDescent="0.25">
      <c r="A273" t="s">
        <v>569</v>
      </c>
      <c r="B273" t="s">
        <v>570</v>
      </c>
      <c r="C273" t="s">
        <v>297</v>
      </c>
      <c r="D273" t="s">
        <v>298</v>
      </c>
      <c r="E273">
        <v>10</v>
      </c>
      <c r="F273" t="s">
        <v>221</v>
      </c>
      <c r="G273">
        <f ca="1">IFERROR(tbl_Recettes[[#This Row],[Quantité]] * IFERROR(_xlfn.XLOOKUP(tbl_Recettes[[#This Row],[Cde_Ingrdt]], tbl_Stock[Cde_Ingrdt], tbl_Stock[CMP effectif]),0),0)</f>
        <v>0.89999999999999991</v>
      </c>
    </row>
    <row r="274" spans="1:7" x14ac:dyDescent="0.25">
      <c r="A274" t="s">
        <v>575</v>
      </c>
      <c r="B274" t="s">
        <v>576</v>
      </c>
      <c r="C274" t="s">
        <v>389</v>
      </c>
      <c r="D274" t="s">
        <v>390</v>
      </c>
      <c r="E274">
        <v>180</v>
      </c>
      <c r="F274" t="s">
        <v>209</v>
      </c>
      <c r="G274">
        <f ca="1">IFERROR(tbl_Recettes[[#This Row],[Quantité]] * IFERROR(_xlfn.XLOOKUP(tbl_Recettes[[#This Row],[Cde_Ingrdt]], tbl_Stock[Cde_Ingrdt], tbl_Stock[CMP effectif]),0),0)</f>
        <v>12.600000000000001</v>
      </c>
    </row>
    <row r="275" spans="1:7" x14ac:dyDescent="0.25">
      <c r="A275" t="s">
        <v>575</v>
      </c>
      <c r="B275" t="s">
        <v>576</v>
      </c>
      <c r="C275" t="s">
        <v>555</v>
      </c>
      <c r="D275" t="s">
        <v>556</v>
      </c>
      <c r="E275">
        <v>100</v>
      </c>
      <c r="F275" t="s">
        <v>209</v>
      </c>
      <c r="G275">
        <f ca="1">IFERROR(tbl_Recettes[[#This Row],[Quantité]] * IFERROR(_xlfn.XLOOKUP(tbl_Recettes[[#This Row],[Cde_Ingrdt]], tbl_Stock[Cde_Ingrdt], tbl_Stock[CMP effectif]),0),0)</f>
        <v>2</v>
      </c>
    </row>
    <row r="276" spans="1:7" x14ac:dyDescent="0.25">
      <c r="A276" t="s">
        <v>575</v>
      </c>
      <c r="B276" t="s">
        <v>576</v>
      </c>
      <c r="C276" t="s">
        <v>416</v>
      </c>
      <c r="D276" t="s">
        <v>417</v>
      </c>
      <c r="E276">
        <v>180</v>
      </c>
      <c r="F276" t="s">
        <v>209</v>
      </c>
      <c r="G276">
        <f ca="1">IFERROR(tbl_Recettes[[#This Row],[Quantité]] * IFERROR(_xlfn.XLOOKUP(tbl_Recettes[[#This Row],[Cde_Ingrdt]], tbl_Stock[Cde_Ingrdt], tbl_Stock[CMP effectif]),0),0)</f>
        <v>18</v>
      </c>
    </row>
    <row r="277" spans="1:7" x14ac:dyDescent="0.25">
      <c r="A277" t="s">
        <v>575</v>
      </c>
      <c r="B277" t="s">
        <v>576</v>
      </c>
      <c r="C277" t="s">
        <v>573</v>
      </c>
      <c r="D277" t="s">
        <v>574</v>
      </c>
      <c r="E277">
        <v>40</v>
      </c>
      <c r="F277" t="s">
        <v>209</v>
      </c>
      <c r="G277">
        <f ca="1">IFERROR(tbl_Recettes[[#This Row],[Quantité]] * IFERROR(_xlfn.XLOOKUP(tbl_Recettes[[#This Row],[Cde_Ingrdt]], tbl_Stock[Cde_Ingrdt], tbl_Stock[CMP effectif]),0),0)</f>
        <v>4</v>
      </c>
    </row>
    <row r="278" spans="1:7" x14ac:dyDescent="0.25">
      <c r="A278" t="s">
        <v>575</v>
      </c>
      <c r="B278" t="s">
        <v>576</v>
      </c>
      <c r="C278" t="s">
        <v>577</v>
      </c>
      <c r="D278" t="s">
        <v>578</v>
      </c>
      <c r="E278">
        <v>10</v>
      </c>
      <c r="F278" t="s">
        <v>209</v>
      </c>
      <c r="G278">
        <f ca="1">IFERROR(tbl_Recettes[[#This Row],[Quantité]] * IFERROR(_xlfn.XLOOKUP(tbl_Recettes[[#This Row],[Cde_Ingrdt]], tbl_Stock[Cde_Ingrdt], tbl_Stock[CMP effectif]),0),0)</f>
        <v>1.5</v>
      </c>
    </row>
    <row r="279" spans="1:7" x14ac:dyDescent="0.25">
      <c r="A279" t="s">
        <v>575</v>
      </c>
      <c r="B279" t="s">
        <v>576</v>
      </c>
      <c r="C279" t="s">
        <v>303</v>
      </c>
      <c r="D279" t="s">
        <v>304</v>
      </c>
      <c r="E279">
        <v>40</v>
      </c>
      <c r="F279" t="s">
        <v>209</v>
      </c>
      <c r="G279">
        <f ca="1">IFERROR(tbl_Recettes[[#This Row],[Quantité]] * IFERROR(_xlfn.XLOOKUP(tbl_Recettes[[#This Row],[Cde_Ingrdt]], tbl_Stock[Cde_Ingrdt], tbl_Stock[CMP effectif]),0),0)</f>
        <v>6.5600000000000005</v>
      </c>
    </row>
    <row r="280" spans="1:7" x14ac:dyDescent="0.25">
      <c r="A280" t="s">
        <v>575</v>
      </c>
      <c r="B280" t="s">
        <v>576</v>
      </c>
      <c r="C280" t="s">
        <v>579</v>
      </c>
      <c r="D280" t="s">
        <v>580</v>
      </c>
      <c r="E280">
        <v>40</v>
      </c>
      <c r="F280" t="s">
        <v>221</v>
      </c>
      <c r="G280">
        <f ca="1">IFERROR(tbl_Recettes[[#This Row],[Quantité]] * IFERROR(_xlfn.XLOOKUP(tbl_Recettes[[#This Row],[Cde_Ingrdt]], tbl_Stock[Cde_Ingrdt], tbl_Stock[CMP effectif]),0),0)</f>
        <v>2</v>
      </c>
    </row>
    <row r="281" spans="1:7" x14ac:dyDescent="0.25">
      <c r="A281" t="s">
        <v>581</v>
      </c>
      <c r="B281" t="s">
        <v>582</v>
      </c>
      <c r="C281" t="s">
        <v>389</v>
      </c>
      <c r="D281" t="s">
        <v>390</v>
      </c>
      <c r="E281">
        <v>180</v>
      </c>
      <c r="F281" t="s">
        <v>209</v>
      </c>
      <c r="G281">
        <f ca="1">IFERROR(tbl_Recettes[[#This Row],[Quantité]] * IFERROR(_xlfn.XLOOKUP(tbl_Recettes[[#This Row],[Cde_Ingrdt]], tbl_Stock[Cde_Ingrdt], tbl_Stock[CMP effectif]),0),0)</f>
        <v>12.600000000000001</v>
      </c>
    </row>
    <row r="282" spans="1:7" x14ac:dyDescent="0.25">
      <c r="A282" t="s">
        <v>581</v>
      </c>
      <c r="B282" t="s">
        <v>582</v>
      </c>
      <c r="C282" t="s">
        <v>253</v>
      </c>
      <c r="D282" t="s">
        <v>254</v>
      </c>
      <c r="E282">
        <v>60</v>
      </c>
      <c r="F282" t="s">
        <v>209</v>
      </c>
      <c r="G282">
        <f ca="1">IFERROR(tbl_Recettes[[#This Row],[Quantité]] * IFERROR(_xlfn.XLOOKUP(tbl_Recettes[[#This Row],[Cde_Ingrdt]], tbl_Stock[Cde_Ingrdt], tbl_Stock[CMP effectif]),0),0)</f>
        <v>4.2</v>
      </c>
    </row>
    <row r="283" spans="1:7" x14ac:dyDescent="0.25">
      <c r="A283" t="s">
        <v>581</v>
      </c>
      <c r="B283" t="s">
        <v>582</v>
      </c>
      <c r="C283" t="s">
        <v>324</v>
      </c>
      <c r="D283" t="s">
        <v>325</v>
      </c>
      <c r="E283">
        <v>40</v>
      </c>
      <c r="F283" t="s">
        <v>209</v>
      </c>
      <c r="G283">
        <f ca="1">IFERROR(tbl_Recettes[[#This Row],[Quantité]] * IFERROR(_xlfn.XLOOKUP(tbl_Recettes[[#This Row],[Cde_Ingrdt]], tbl_Stock[Cde_Ingrdt], tbl_Stock[CMP effectif]),0),0)</f>
        <v>6</v>
      </c>
    </row>
    <row r="284" spans="1:7" x14ac:dyDescent="0.25">
      <c r="A284" t="s">
        <v>581</v>
      </c>
      <c r="B284" t="s">
        <v>582</v>
      </c>
      <c r="C284" t="s">
        <v>579</v>
      </c>
      <c r="D284" t="s">
        <v>580</v>
      </c>
      <c r="E284">
        <v>40</v>
      </c>
      <c r="F284" t="s">
        <v>221</v>
      </c>
      <c r="G284">
        <f ca="1">IFERROR(tbl_Recettes[[#This Row],[Quantité]] * IFERROR(_xlfn.XLOOKUP(tbl_Recettes[[#This Row],[Cde_Ingrdt]], tbl_Stock[Cde_Ingrdt], tbl_Stock[CMP effectif]),0),0)</f>
        <v>2</v>
      </c>
    </row>
    <row r="285" spans="1:7" x14ac:dyDescent="0.25">
      <c r="A285" t="s">
        <v>583</v>
      </c>
      <c r="B285" t="s">
        <v>584</v>
      </c>
      <c r="C285" t="s">
        <v>389</v>
      </c>
      <c r="D285" t="s">
        <v>390</v>
      </c>
      <c r="E285">
        <v>150</v>
      </c>
      <c r="F285" t="s">
        <v>209</v>
      </c>
      <c r="G285">
        <f ca="1">IFERROR(tbl_Recettes[[#This Row],[Quantité]] * IFERROR(_xlfn.XLOOKUP(tbl_Recettes[[#This Row],[Cde_Ingrdt]], tbl_Stock[Cde_Ingrdt], tbl_Stock[CMP effectif]),0),0)</f>
        <v>10.500000000000002</v>
      </c>
    </row>
    <row r="286" spans="1:7" x14ac:dyDescent="0.25">
      <c r="A286" t="s">
        <v>583</v>
      </c>
      <c r="B286" t="s">
        <v>584</v>
      </c>
      <c r="C286" t="s">
        <v>573</v>
      </c>
      <c r="D286" t="s">
        <v>574</v>
      </c>
      <c r="E286">
        <v>60</v>
      </c>
      <c r="F286" t="s">
        <v>209</v>
      </c>
      <c r="G286">
        <f ca="1">IFERROR(tbl_Recettes[[#This Row],[Quantité]] * IFERROR(_xlfn.XLOOKUP(tbl_Recettes[[#This Row],[Cde_Ingrdt]], tbl_Stock[Cde_Ingrdt], tbl_Stock[CMP effectif]),0),0)</f>
        <v>6</v>
      </c>
    </row>
    <row r="287" spans="1:7" x14ac:dyDescent="0.25">
      <c r="A287" t="s">
        <v>583</v>
      </c>
      <c r="B287" t="s">
        <v>584</v>
      </c>
      <c r="C287" t="s">
        <v>545</v>
      </c>
      <c r="D287" t="s">
        <v>546</v>
      </c>
      <c r="E287">
        <v>40</v>
      </c>
      <c r="F287" t="s">
        <v>209</v>
      </c>
      <c r="G287">
        <f ca="1">IFERROR(tbl_Recettes[[#This Row],[Quantité]] * IFERROR(_xlfn.XLOOKUP(tbl_Recettes[[#This Row],[Cde_Ingrdt]], tbl_Stock[Cde_Ingrdt], tbl_Stock[CMP effectif]),0),0)</f>
        <v>4</v>
      </c>
    </row>
    <row r="288" spans="1:7" x14ac:dyDescent="0.25">
      <c r="A288" t="s">
        <v>583</v>
      </c>
      <c r="B288" t="s">
        <v>584</v>
      </c>
      <c r="C288" t="s">
        <v>309</v>
      </c>
      <c r="D288" t="s">
        <v>310</v>
      </c>
      <c r="E288">
        <v>30</v>
      </c>
      <c r="F288" t="s">
        <v>209</v>
      </c>
      <c r="G288">
        <f ca="1">IFERROR(tbl_Recettes[[#This Row],[Quantité]] * IFERROR(_xlfn.XLOOKUP(tbl_Recettes[[#This Row],[Cde_Ingrdt]], tbl_Stock[Cde_Ingrdt], tbl_Stock[CMP effectif]),0),0)</f>
        <v>0.3</v>
      </c>
    </row>
    <row r="289" spans="1:7" x14ac:dyDescent="0.25">
      <c r="A289" t="s">
        <v>585</v>
      </c>
      <c r="B289" t="s">
        <v>586</v>
      </c>
      <c r="C289" t="s">
        <v>389</v>
      </c>
      <c r="D289" t="s">
        <v>390</v>
      </c>
      <c r="E289">
        <v>150</v>
      </c>
      <c r="F289" t="s">
        <v>209</v>
      </c>
      <c r="G289">
        <f ca="1">IFERROR(tbl_Recettes[[#This Row],[Quantité]] * IFERROR(_xlfn.XLOOKUP(tbl_Recettes[[#This Row],[Cde_Ingrdt]], tbl_Stock[Cde_Ingrdt], tbl_Stock[CMP effectif]),0),0)</f>
        <v>10.500000000000002</v>
      </c>
    </row>
    <row r="290" spans="1:7" x14ac:dyDescent="0.25">
      <c r="A290" t="s">
        <v>585</v>
      </c>
      <c r="B290" t="s">
        <v>586</v>
      </c>
      <c r="C290" t="s">
        <v>545</v>
      </c>
      <c r="D290" t="s">
        <v>546</v>
      </c>
      <c r="E290">
        <v>40</v>
      </c>
      <c r="F290" t="s">
        <v>209</v>
      </c>
      <c r="G290">
        <f ca="1">IFERROR(tbl_Recettes[[#This Row],[Quantité]] * IFERROR(_xlfn.XLOOKUP(tbl_Recettes[[#This Row],[Cde_Ingrdt]], tbl_Stock[Cde_Ingrdt], tbl_Stock[CMP effectif]),0),0)</f>
        <v>4</v>
      </c>
    </row>
    <row r="291" spans="1:7" x14ac:dyDescent="0.25">
      <c r="A291" t="s">
        <v>585</v>
      </c>
      <c r="B291" t="s">
        <v>586</v>
      </c>
      <c r="C291" t="s">
        <v>587</v>
      </c>
      <c r="D291" t="s">
        <v>588</v>
      </c>
      <c r="E291">
        <v>20</v>
      </c>
      <c r="F291" t="s">
        <v>209</v>
      </c>
      <c r="G291">
        <f ca="1">IFERROR(tbl_Recettes[[#This Row],[Quantité]] * IFERROR(_xlfn.XLOOKUP(tbl_Recettes[[#This Row],[Cde_Ingrdt]], tbl_Stock[Cde_Ingrdt], tbl_Stock[CMP effectif]),0),0)</f>
        <v>2</v>
      </c>
    </row>
    <row r="292" spans="1:7" x14ac:dyDescent="0.25">
      <c r="A292" t="s">
        <v>585</v>
      </c>
      <c r="B292" t="s">
        <v>586</v>
      </c>
      <c r="C292" t="s">
        <v>309</v>
      </c>
      <c r="D292" t="s">
        <v>310</v>
      </c>
      <c r="E292">
        <v>30</v>
      </c>
      <c r="F292" t="s">
        <v>209</v>
      </c>
      <c r="G292">
        <f ca="1">IFERROR(tbl_Recettes[[#This Row],[Quantité]] * IFERROR(_xlfn.XLOOKUP(tbl_Recettes[[#This Row],[Cde_Ingrdt]], tbl_Stock[Cde_Ingrdt], tbl_Stock[CMP effectif]),0),0)</f>
        <v>0.3</v>
      </c>
    </row>
    <row r="293" spans="1:7" x14ac:dyDescent="0.25">
      <c r="A293" t="s">
        <v>589</v>
      </c>
      <c r="B293" t="s">
        <v>590</v>
      </c>
      <c r="C293" t="s">
        <v>389</v>
      </c>
      <c r="D293" t="s">
        <v>390</v>
      </c>
      <c r="E293">
        <v>150</v>
      </c>
      <c r="F293" t="s">
        <v>209</v>
      </c>
      <c r="G293">
        <f ca="1">IFERROR(tbl_Recettes[[#This Row],[Quantité]] * IFERROR(_xlfn.XLOOKUP(tbl_Recettes[[#This Row],[Cde_Ingrdt]], tbl_Stock[Cde_Ingrdt], tbl_Stock[CMP effectif]),0),0)</f>
        <v>10.500000000000002</v>
      </c>
    </row>
    <row r="294" spans="1:7" x14ac:dyDescent="0.25">
      <c r="A294" t="s">
        <v>589</v>
      </c>
      <c r="B294" t="s">
        <v>590</v>
      </c>
      <c r="C294" t="s">
        <v>315</v>
      </c>
      <c r="D294" t="s">
        <v>316</v>
      </c>
      <c r="E294">
        <v>30</v>
      </c>
      <c r="F294" t="s">
        <v>209</v>
      </c>
      <c r="G294">
        <f ca="1">IFERROR(tbl_Recettes[[#This Row],[Quantité]] * IFERROR(_xlfn.XLOOKUP(tbl_Recettes[[#This Row],[Cde_Ingrdt]], tbl_Stock[Cde_Ingrdt], tbl_Stock[CMP effectif]),0),0)</f>
        <v>3</v>
      </c>
    </row>
    <row r="295" spans="1:7" x14ac:dyDescent="0.25">
      <c r="A295" t="s">
        <v>589</v>
      </c>
      <c r="B295" t="s">
        <v>590</v>
      </c>
      <c r="C295" t="s">
        <v>309</v>
      </c>
      <c r="D295" t="s">
        <v>310</v>
      </c>
      <c r="E295">
        <v>30</v>
      </c>
      <c r="F295" t="s">
        <v>209</v>
      </c>
      <c r="G295">
        <f ca="1">IFERROR(tbl_Recettes[[#This Row],[Quantité]] * IFERROR(_xlfn.XLOOKUP(tbl_Recettes[[#This Row],[Cde_Ingrdt]], tbl_Stock[Cde_Ingrdt], tbl_Stock[CMP effectif]),0),0)</f>
        <v>0.3</v>
      </c>
    </row>
    <row r="296" spans="1:7" x14ac:dyDescent="0.25">
      <c r="A296" t="s">
        <v>589</v>
      </c>
      <c r="B296" t="s">
        <v>590</v>
      </c>
      <c r="C296" t="s">
        <v>297</v>
      </c>
      <c r="D296" t="s">
        <v>298</v>
      </c>
      <c r="E296">
        <v>15</v>
      </c>
      <c r="F296" t="s">
        <v>221</v>
      </c>
      <c r="G296">
        <f ca="1">IFERROR(tbl_Recettes[[#This Row],[Quantité]] * IFERROR(_xlfn.XLOOKUP(tbl_Recettes[[#This Row],[Cde_Ingrdt]], tbl_Stock[Cde_Ingrdt], tbl_Stock[CMP effectif]),0),0)</f>
        <v>1.3499999999999999</v>
      </c>
    </row>
    <row r="297" spans="1:7" x14ac:dyDescent="0.25">
      <c r="A297" t="s">
        <v>52</v>
      </c>
      <c r="B297" t="s">
        <v>591</v>
      </c>
      <c r="C297" t="s">
        <v>592</v>
      </c>
      <c r="D297" t="s">
        <v>593</v>
      </c>
      <c r="E297">
        <v>500</v>
      </c>
      <c r="F297" t="s">
        <v>209</v>
      </c>
      <c r="G297">
        <f ca="1">IFERROR(tbl_Recettes[[#This Row],[Quantité]] * IFERROR(_xlfn.XLOOKUP(tbl_Recettes[[#This Row],[Cde_Ingrdt]], tbl_Stock[Cde_Ingrdt], tbl_Stock[CMP effectif]),0),0)</f>
        <v>40</v>
      </c>
    </row>
    <row r="298" spans="1:7" x14ac:dyDescent="0.25">
      <c r="A298" t="s">
        <v>52</v>
      </c>
      <c r="B298" t="s">
        <v>591</v>
      </c>
      <c r="C298" t="s">
        <v>506</v>
      </c>
      <c r="D298" t="s">
        <v>507</v>
      </c>
      <c r="E298">
        <v>80</v>
      </c>
      <c r="F298" t="s">
        <v>209</v>
      </c>
      <c r="G298">
        <f ca="1">IFERROR(tbl_Recettes[[#This Row],[Quantité]] * IFERROR(_xlfn.XLOOKUP(tbl_Recettes[[#This Row],[Cde_Ingrdt]], tbl_Stock[Cde_Ingrdt], tbl_Stock[CMP effectif]),0),0)</f>
        <v>2.4</v>
      </c>
    </row>
    <row r="299" spans="1:7" x14ac:dyDescent="0.25">
      <c r="A299" t="s">
        <v>52</v>
      </c>
      <c r="B299" t="s">
        <v>591</v>
      </c>
      <c r="C299" t="s">
        <v>397</v>
      </c>
      <c r="D299" t="s">
        <v>398</v>
      </c>
      <c r="E299">
        <v>150</v>
      </c>
      <c r="F299" t="s">
        <v>209</v>
      </c>
      <c r="G299">
        <f ca="1">IFERROR(tbl_Recettes[[#This Row],[Quantité]] * IFERROR(_xlfn.XLOOKUP(tbl_Recettes[[#This Row],[Cde_Ingrdt]], tbl_Stock[Cde_Ingrdt], tbl_Stock[CMP effectif]),0),0)</f>
        <v>1.5</v>
      </c>
    </row>
    <row r="300" spans="1:7" x14ac:dyDescent="0.25">
      <c r="A300" t="s">
        <v>52</v>
      </c>
      <c r="B300" t="s">
        <v>591</v>
      </c>
      <c r="C300" t="s">
        <v>309</v>
      </c>
      <c r="D300" t="s">
        <v>310</v>
      </c>
      <c r="E300">
        <v>100</v>
      </c>
      <c r="F300" t="s">
        <v>209</v>
      </c>
      <c r="G300">
        <f ca="1">IFERROR(tbl_Recettes[[#This Row],[Quantité]] * IFERROR(_xlfn.XLOOKUP(tbl_Recettes[[#This Row],[Cde_Ingrdt]], tbl_Stock[Cde_Ingrdt], tbl_Stock[CMP effectif]),0),0)</f>
        <v>1</v>
      </c>
    </row>
    <row r="301" spans="1:7" x14ac:dyDescent="0.25">
      <c r="A301" t="s">
        <v>52</v>
      </c>
      <c r="B301" t="s">
        <v>591</v>
      </c>
      <c r="C301" t="s">
        <v>307</v>
      </c>
      <c r="D301" t="s">
        <v>308</v>
      </c>
      <c r="E301">
        <v>90</v>
      </c>
      <c r="F301" t="s">
        <v>209</v>
      </c>
      <c r="G301">
        <f ca="1">IFERROR(tbl_Recettes[[#This Row],[Quantité]] * IFERROR(_xlfn.XLOOKUP(tbl_Recettes[[#This Row],[Cde_Ingrdt]], tbl_Stock[Cde_Ingrdt], tbl_Stock[CMP effectif]),0),0)</f>
        <v>0.9</v>
      </c>
    </row>
    <row r="302" spans="1:7" x14ac:dyDescent="0.25">
      <c r="A302" t="s">
        <v>52</v>
      </c>
      <c r="B302" t="s">
        <v>591</v>
      </c>
      <c r="C302" t="s">
        <v>297</v>
      </c>
      <c r="D302" t="s">
        <v>298</v>
      </c>
      <c r="E302">
        <v>20</v>
      </c>
      <c r="F302" t="s">
        <v>221</v>
      </c>
      <c r="G302">
        <f ca="1">IFERROR(tbl_Recettes[[#This Row],[Quantité]] * IFERROR(_xlfn.XLOOKUP(tbl_Recettes[[#This Row],[Cde_Ingrdt]], tbl_Stock[Cde_Ingrdt], tbl_Stock[CMP effectif]),0),0)</f>
        <v>1.7999999999999998</v>
      </c>
    </row>
    <row r="303" spans="1:7" x14ac:dyDescent="0.25">
      <c r="A303" t="s">
        <v>52</v>
      </c>
      <c r="B303" t="s">
        <v>591</v>
      </c>
      <c r="C303" t="s">
        <v>518</v>
      </c>
      <c r="D303" t="s">
        <v>1274</v>
      </c>
      <c r="E303">
        <v>5</v>
      </c>
      <c r="F303" t="s">
        <v>209</v>
      </c>
      <c r="G303">
        <f ca="1">IFERROR(tbl_Recettes[[#This Row],[Quantité]] * IFERROR(_xlfn.XLOOKUP(tbl_Recettes[[#This Row],[Cde_Ingrdt]], tbl_Stock[Cde_Ingrdt], tbl_Stock[CMP effectif]),0),0)</f>
        <v>0.89999999999999991</v>
      </c>
    </row>
    <row r="304" spans="1:7" x14ac:dyDescent="0.25">
      <c r="A304" t="s">
        <v>594</v>
      </c>
      <c r="B304" t="s">
        <v>595</v>
      </c>
      <c r="C304" t="s">
        <v>592</v>
      </c>
      <c r="D304" t="s">
        <v>593</v>
      </c>
      <c r="E304">
        <v>1000</v>
      </c>
      <c r="F304" t="s">
        <v>209</v>
      </c>
      <c r="G304">
        <f ca="1">IFERROR(tbl_Recettes[[#This Row],[Quantité]] * IFERROR(_xlfn.XLOOKUP(tbl_Recettes[[#This Row],[Cde_Ingrdt]], tbl_Stock[Cde_Ingrdt], tbl_Stock[CMP effectif]),0),0)</f>
        <v>80</v>
      </c>
    </row>
    <row r="305" spans="1:7" x14ac:dyDescent="0.25">
      <c r="A305" t="s">
        <v>594</v>
      </c>
      <c r="B305" t="s">
        <v>595</v>
      </c>
      <c r="C305" t="s">
        <v>506</v>
      </c>
      <c r="D305" t="s">
        <v>507</v>
      </c>
      <c r="E305">
        <v>150</v>
      </c>
      <c r="F305" t="s">
        <v>209</v>
      </c>
      <c r="G305">
        <f ca="1">IFERROR(tbl_Recettes[[#This Row],[Quantité]] * IFERROR(_xlfn.XLOOKUP(tbl_Recettes[[#This Row],[Cde_Ingrdt]], tbl_Stock[Cde_Ingrdt], tbl_Stock[CMP effectif]),0),0)</f>
        <v>4.5</v>
      </c>
    </row>
    <row r="306" spans="1:7" x14ac:dyDescent="0.25">
      <c r="A306" t="s">
        <v>594</v>
      </c>
      <c r="B306" t="s">
        <v>595</v>
      </c>
      <c r="C306" t="s">
        <v>397</v>
      </c>
      <c r="D306" t="s">
        <v>398</v>
      </c>
      <c r="E306">
        <v>300</v>
      </c>
      <c r="F306" t="s">
        <v>209</v>
      </c>
      <c r="G306">
        <f ca="1">IFERROR(tbl_Recettes[[#This Row],[Quantité]] * IFERROR(_xlfn.XLOOKUP(tbl_Recettes[[#This Row],[Cde_Ingrdt]], tbl_Stock[Cde_Ingrdt], tbl_Stock[CMP effectif]),0),0)</f>
        <v>3</v>
      </c>
    </row>
    <row r="307" spans="1:7" x14ac:dyDescent="0.25">
      <c r="A307" t="s">
        <v>594</v>
      </c>
      <c r="B307" t="s">
        <v>595</v>
      </c>
      <c r="C307" t="s">
        <v>309</v>
      </c>
      <c r="D307" t="s">
        <v>310</v>
      </c>
      <c r="E307">
        <v>200</v>
      </c>
      <c r="F307" t="s">
        <v>209</v>
      </c>
      <c r="G307">
        <f ca="1">IFERROR(tbl_Recettes[[#This Row],[Quantité]] * IFERROR(_xlfn.XLOOKUP(tbl_Recettes[[#This Row],[Cde_Ingrdt]], tbl_Stock[Cde_Ingrdt], tbl_Stock[CMP effectif]),0),0)</f>
        <v>2</v>
      </c>
    </row>
    <row r="308" spans="1:7" x14ac:dyDescent="0.25">
      <c r="A308" t="s">
        <v>594</v>
      </c>
      <c r="B308" t="s">
        <v>595</v>
      </c>
      <c r="C308" t="s">
        <v>307</v>
      </c>
      <c r="D308" t="s">
        <v>308</v>
      </c>
      <c r="E308">
        <v>180</v>
      </c>
      <c r="F308" t="s">
        <v>209</v>
      </c>
      <c r="G308">
        <f ca="1">IFERROR(tbl_Recettes[[#This Row],[Quantité]] * IFERROR(_xlfn.XLOOKUP(tbl_Recettes[[#This Row],[Cde_Ingrdt]], tbl_Stock[Cde_Ingrdt], tbl_Stock[CMP effectif]),0),0)</f>
        <v>1.8</v>
      </c>
    </row>
    <row r="309" spans="1:7" x14ac:dyDescent="0.25">
      <c r="A309" t="s">
        <v>594</v>
      </c>
      <c r="B309" t="s">
        <v>595</v>
      </c>
      <c r="C309" t="s">
        <v>297</v>
      </c>
      <c r="D309" t="s">
        <v>298</v>
      </c>
      <c r="E309">
        <v>50</v>
      </c>
      <c r="F309" t="s">
        <v>221</v>
      </c>
      <c r="G309">
        <f ca="1">IFERROR(tbl_Recettes[[#This Row],[Quantité]] * IFERROR(_xlfn.XLOOKUP(tbl_Recettes[[#This Row],[Cde_Ingrdt]], tbl_Stock[Cde_Ingrdt], tbl_Stock[CMP effectif]),0),0)</f>
        <v>4.5</v>
      </c>
    </row>
    <row r="310" spans="1:7" x14ac:dyDescent="0.25">
      <c r="A310" t="s">
        <v>594</v>
      </c>
      <c r="B310" t="s">
        <v>595</v>
      </c>
      <c r="C310" t="s">
        <v>518</v>
      </c>
      <c r="D310" t="s">
        <v>1274</v>
      </c>
      <c r="E310">
        <v>10</v>
      </c>
      <c r="F310" t="s">
        <v>209</v>
      </c>
      <c r="G310">
        <f ca="1">IFERROR(tbl_Recettes[[#This Row],[Quantité]] * IFERROR(_xlfn.XLOOKUP(tbl_Recettes[[#This Row],[Cde_Ingrdt]], tbl_Stock[Cde_Ingrdt], tbl_Stock[CMP effectif]),0),0)</f>
        <v>1.7999999999999998</v>
      </c>
    </row>
    <row r="311" spans="1:7" x14ac:dyDescent="0.25">
      <c r="A311" t="s">
        <v>596</v>
      </c>
      <c r="B311" t="s">
        <v>597</v>
      </c>
      <c r="C311" t="s">
        <v>598</v>
      </c>
      <c r="D311" t="s">
        <v>599</v>
      </c>
      <c r="E311">
        <v>500</v>
      </c>
      <c r="F311" t="s">
        <v>209</v>
      </c>
      <c r="G311">
        <f ca="1">IFERROR(tbl_Recettes[[#This Row],[Quantité]] * IFERROR(_xlfn.XLOOKUP(tbl_Recettes[[#This Row],[Cde_Ingrdt]], tbl_Stock[Cde_Ingrdt], tbl_Stock[CMP effectif]),0),0)</f>
        <v>35</v>
      </c>
    </row>
    <row r="312" spans="1:7" x14ac:dyDescent="0.25">
      <c r="A312" t="s">
        <v>596</v>
      </c>
      <c r="B312" t="s">
        <v>597</v>
      </c>
      <c r="C312" t="s">
        <v>600</v>
      </c>
      <c r="D312" t="s">
        <v>601</v>
      </c>
      <c r="E312">
        <v>80</v>
      </c>
      <c r="F312" t="s">
        <v>209</v>
      </c>
      <c r="G312">
        <f ca="1">IFERROR(tbl_Recettes[[#This Row],[Quantité]] * IFERROR(_xlfn.XLOOKUP(tbl_Recettes[[#This Row],[Cde_Ingrdt]], tbl_Stock[Cde_Ingrdt], tbl_Stock[CMP effectif]),0),0)</f>
        <v>0.64</v>
      </c>
    </row>
    <row r="313" spans="1:7" x14ac:dyDescent="0.25">
      <c r="A313" t="s">
        <v>596</v>
      </c>
      <c r="B313" t="s">
        <v>597</v>
      </c>
      <c r="C313" t="s">
        <v>401</v>
      </c>
      <c r="D313" t="s">
        <v>402</v>
      </c>
      <c r="E313">
        <v>80</v>
      </c>
      <c r="F313" t="s">
        <v>209</v>
      </c>
      <c r="G313">
        <f ca="1">IFERROR(tbl_Recettes[[#This Row],[Quantité]] * IFERROR(_xlfn.XLOOKUP(tbl_Recettes[[#This Row],[Cde_Ingrdt]], tbl_Stock[Cde_Ingrdt], tbl_Stock[CMP effectif]),0),0)</f>
        <v>0.8</v>
      </c>
    </row>
    <row r="314" spans="1:7" x14ac:dyDescent="0.25">
      <c r="A314" t="s">
        <v>596</v>
      </c>
      <c r="B314" t="s">
        <v>597</v>
      </c>
      <c r="C314" t="s">
        <v>397</v>
      </c>
      <c r="D314" t="s">
        <v>398</v>
      </c>
      <c r="E314">
        <v>150</v>
      </c>
      <c r="F314" t="s">
        <v>209</v>
      </c>
      <c r="G314">
        <f ca="1">IFERROR(tbl_Recettes[[#This Row],[Quantité]] * IFERROR(_xlfn.XLOOKUP(tbl_Recettes[[#This Row],[Cde_Ingrdt]], tbl_Stock[Cde_Ingrdt], tbl_Stock[CMP effectif]),0),0)</f>
        <v>1.5</v>
      </c>
    </row>
    <row r="315" spans="1:7" x14ac:dyDescent="0.25">
      <c r="A315" t="s">
        <v>596</v>
      </c>
      <c r="B315" t="s">
        <v>597</v>
      </c>
      <c r="C315" t="s">
        <v>309</v>
      </c>
      <c r="D315" t="s">
        <v>310</v>
      </c>
      <c r="E315">
        <v>60</v>
      </c>
      <c r="F315" t="s">
        <v>209</v>
      </c>
      <c r="G315">
        <f ca="1">IFERROR(tbl_Recettes[[#This Row],[Quantité]] * IFERROR(_xlfn.XLOOKUP(tbl_Recettes[[#This Row],[Cde_Ingrdt]], tbl_Stock[Cde_Ingrdt], tbl_Stock[CMP effectif]),0),0)</f>
        <v>0.6</v>
      </c>
    </row>
    <row r="316" spans="1:7" x14ac:dyDescent="0.25">
      <c r="A316" t="s">
        <v>596</v>
      </c>
      <c r="B316" t="s">
        <v>597</v>
      </c>
      <c r="C316" t="s">
        <v>307</v>
      </c>
      <c r="D316" t="s">
        <v>308</v>
      </c>
      <c r="E316">
        <v>40</v>
      </c>
      <c r="F316" t="s">
        <v>209</v>
      </c>
      <c r="G316">
        <f ca="1">IFERROR(tbl_Recettes[[#This Row],[Quantité]] * IFERROR(_xlfn.XLOOKUP(tbl_Recettes[[#This Row],[Cde_Ingrdt]], tbl_Stock[Cde_Ingrdt], tbl_Stock[CMP effectif]),0),0)</f>
        <v>0.4</v>
      </c>
    </row>
    <row r="317" spans="1:7" x14ac:dyDescent="0.25">
      <c r="A317" t="s">
        <v>596</v>
      </c>
      <c r="B317" t="s">
        <v>597</v>
      </c>
      <c r="C317" t="s">
        <v>297</v>
      </c>
      <c r="D317" t="s">
        <v>298</v>
      </c>
      <c r="E317">
        <v>15</v>
      </c>
      <c r="F317" t="s">
        <v>221</v>
      </c>
      <c r="G317">
        <f ca="1">IFERROR(tbl_Recettes[[#This Row],[Quantité]] * IFERROR(_xlfn.XLOOKUP(tbl_Recettes[[#This Row],[Cde_Ingrdt]], tbl_Stock[Cde_Ingrdt], tbl_Stock[CMP effectif]),0),0)</f>
        <v>1.3499999999999999</v>
      </c>
    </row>
    <row r="318" spans="1:7" x14ac:dyDescent="0.25">
      <c r="A318" t="s">
        <v>596</v>
      </c>
      <c r="B318" t="s">
        <v>597</v>
      </c>
      <c r="C318" t="s">
        <v>518</v>
      </c>
      <c r="D318" t="s">
        <v>1274</v>
      </c>
      <c r="E318">
        <v>5</v>
      </c>
      <c r="F318" t="s">
        <v>209</v>
      </c>
      <c r="G318">
        <f ca="1">IFERROR(tbl_Recettes[[#This Row],[Quantité]] * IFERROR(_xlfn.XLOOKUP(tbl_Recettes[[#This Row],[Cde_Ingrdt]], tbl_Stock[Cde_Ingrdt], tbl_Stock[CMP effectif]),0),0)</f>
        <v>0.89999999999999991</v>
      </c>
    </row>
    <row r="319" spans="1:7" x14ac:dyDescent="0.25">
      <c r="A319" t="s">
        <v>77</v>
      </c>
      <c r="B319" t="s">
        <v>602</v>
      </c>
      <c r="C319" t="s">
        <v>598</v>
      </c>
      <c r="D319" t="s">
        <v>599</v>
      </c>
      <c r="E319">
        <v>1000</v>
      </c>
      <c r="F319" t="s">
        <v>209</v>
      </c>
      <c r="G319">
        <f ca="1">IFERROR(tbl_Recettes[[#This Row],[Quantité]] * IFERROR(_xlfn.XLOOKUP(tbl_Recettes[[#This Row],[Cde_Ingrdt]], tbl_Stock[Cde_Ingrdt], tbl_Stock[CMP effectif]),0),0)</f>
        <v>70</v>
      </c>
    </row>
    <row r="320" spans="1:7" x14ac:dyDescent="0.25">
      <c r="A320" t="s">
        <v>77</v>
      </c>
      <c r="B320" t="s">
        <v>602</v>
      </c>
      <c r="C320" t="s">
        <v>600</v>
      </c>
      <c r="D320" t="s">
        <v>601</v>
      </c>
      <c r="E320">
        <v>160</v>
      </c>
      <c r="F320" t="s">
        <v>209</v>
      </c>
      <c r="G320">
        <f ca="1">IFERROR(tbl_Recettes[[#This Row],[Quantité]] * IFERROR(_xlfn.XLOOKUP(tbl_Recettes[[#This Row],[Cde_Ingrdt]], tbl_Stock[Cde_Ingrdt], tbl_Stock[CMP effectif]),0),0)</f>
        <v>1.28</v>
      </c>
    </row>
    <row r="321" spans="1:7" x14ac:dyDescent="0.25">
      <c r="A321" t="s">
        <v>77</v>
      </c>
      <c r="B321" t="s">
        <v>602</v>
      </c>
      <c r="C321" t="s">
        <v>401</v>
      </c>
      <c r="D321" t="s">
        <v>402</v>
      </c>
      <c r="E321">
        <v>160</v>
      </c>
      <c r="F321" t="s">
        <v>209</v>
      </c>
      <c r="G321">
        <f ca="1">IFERROR(tbl_Recettes[[#This Row],[Quantité]] * IFERROR(_xlfn.XLOOKUP(tbl_Recettes[[#This Row],[Cde_Ingrdt]], tbl_Stock[Cde_Ingrdt], tbl_Stock[CMP effectif]),0),0)</f>
        <v>1.6</v>
      </c>
    </row>
    <row r="322" spans="1:7" x14ac:dyDescent="0.25">
      <c r="A322" t="s">
        <v>77</v>
      </c>
      <c r="B322" t="s">
        <v>602</v>
      </c>
      <c r="C322" t="s">
        <v>397</v>
      </c>
      <c r="D322" t="s">
        <v>398</v>
      </c>
      <c r="E322">
        <v>300</v>
      </c>
      <c r="F322" t="s">
        <v>209</v>
      </c>
      <c r="G322">
        <f ca="1">IFERROR(tbl_Recettes[[#This Row],[Quantité]] * IFERROR(_xlfn.XLOOKUP(tbl_Recettes[[#This Row],[Cde_Ingrdt]], tbl_Stock[Cde_Ingrdt], tbl_Stock[CMP effectif]),0),0)</f>
        <v>3</v>
      </c>
    </row>
    <row r="323" spans="1:7" x14ac:dyDescent="0.25">
      <c r="A323" t="s">
        <v>77</v>
      </c>
      <c r="B323" t="s">
        <v>602</v>
      </c>
      <c r="C323" t="s">
        <v>309</v>
      </c>
      <c r="D323" t="s">
        <v>310</v>
      </c>
      <c r="E323">
        <v>120</v>
      </c>
      <c r="F323" t="s">
        <v>209</v>
      </c>
      <c r="G323">
        <f ca="1">IFERROR(tbl_Recettes[[#This Row],[Quantité]] * IFERROR(_xlfn.XLOOKUP(tbl_Recettes[[#This Row],[Cde_Ingrdt]], tbl_Stock[Cde_Ingrdt], tbl_Stock[CMP effectif]),0),0)</f>
        <v>1.2</v>
      </c>
    </row>
    <row r="324" spans="1:7" x14ac:dyDescent="0.25">
      <c r="A324" t="s">
        <v>77</v>
      </c>
      <c r="B324" t="s">
        <v>602</v>
      </c>
      <c r="C324" t="s">
        <v>307</v>
      </c>
      <c r="D324" t="s">
        <v>308</v>
      </c>
      <c r="E324">
        <v>100</v>
      </c>
      <c r="F324" t="s">
        <v>209</v>
      </c>
      <c r="G324">
        <f ca="1">IFERROR(tbl_Recettes[[#This Row],[Quantité]] * IFERROR(_xlfn.XLOOKUP(tbl_Recettes[[#This Row],[Cde_Ingrdt]], tbl_Stock[Cde_Ingrdt], tbl_Stock[CMP effectif]),0),0)</f>
        <v>1</v>
      </c>
    </row>
    <row r="325" spans="1:7" x14ac:dyDescent="0.25">
      <c r="A325" t="s">
        <v>77</v>
      </c>
      <c r="B325" t="s">
        <v>602</v>
      </c>
      <c r="C325" t="s">
        <v>297</v>
      </c>
      <c r="D325" t="s">
        <v>298</v>
      </c>
      <c r="E325">
        <v>30</v>
      </c>
      <c r="F325" t="s">
        <v>221</v>
      </c>
      <c r="G325">
        <f ca="1">IFERROR(tbl_Recettes[[#This Row],[Quantité]] * IFERROR(_xlfn.XLOOKUP(tbl_Recettes[[#This Row],[Cde_Ingrdt]], tbl_Stock[Cde_Ingrdt], tbl_Stock[CMP effectif]),0),0)</f>
        <v>2.6999999999999997</v>
      </c>
    </row>
    <row r="326" spans="1:7" x14ac:dyDescent="0.25">
      <c r="A326" t="s">
        <v>77</v>
      </c>
      <c r="B326" t="s">
        <v>602</v>
      </c>
      <c r="C326" t="s">
        <v>518</v>
      </c>
      <c r="D326" t="s">
        <v>1274</v>
      </c>
      <c r="E326">
        <v>10</v>
      </c>
      <c r="F326" t="s">
        <v>209</v>
      </c>
      <c r="G326">
        <f ca="1">IFERROR(tbl_Recettes[[#This Row],[Quantité]] * IFERROR(_xlfn.XLOOKUP(tbl_Recettes[[#This Row],[Cde_Ingrdt]], tbl_Stock[Cde_Ingrdt], tbl_Stock[CMP effectif]),0),0)</f>
        <v>1.7999999999999998</v>
      </c>
    </row>
    <row r="327" spans="1:7" x14ac:dyDescent="0.25">
      <c r="A327" t="s">
        <v>603</v>
      </c>
      <c r="B327" t="s">
        <v>604</v>
      </c>
      <c r="C327" t="s">
        <v>605</v>
      </c>
      <c r="D327" t="s">
        <v>606</v>
      </c>
      <c r="E327">
        <v>500</v>
      </c>
      <c r="F327" t="s">
        <v>209</v>
      </c>
      <c r="G327">
        <f ca="1">IFERROR(tbl_Recettes[[#This Row],[Quantité]] * IFERROR(_xlfn.XLOOKUP(tbl_Recettes[[#This Row],[Cde_Ingrdt]], tbl_Stock[Cde_Ingrdt], tbl_Stock[CMP effectif]),0),0)</f>
        <v>30</v>
      </c>
    </row>
    <row r="328" spans="1:7" x14ac:dyDescent="0.25">
      <c r="A328" t="s">
        <v>603</v>
      </c>
      <c r="B328" t="s">
        <v>604</v>
      </c>
      <c r="C328" t="s">
        <v>309</v>
      </c>
      <c r="D328" t="s">
        <v>310</v>
      </c>
      <c r="E328">
        <v>150</v>
      </c>
      <c r="F328" t="s">
        <v>209</v>
      </c>
      <c r="G328">
        <f ca="1">IFERROR(tbl_Recettes[[#This Row],[Quantité]] * IFERROR(_xlfn.XLOOKUP(tbl_Recettes[[#This Row],[Cde_Ingrdt]], tbl_Stock[Cde_Ingrdt], tbl_Stock[CMP effectif]),0),0)</f>
        <v>1.5</v>
      </c>
    </row>
    <row r="329" spans="1:7" x14ac:dyDescent="0.25">
      <c r="A329" t="s">
        <v>603</v>
      </c>
      <c r="B329" t="s">
        <v>604</v>
      </c>
      <c r="C329" t="s">
        <v>607</v>
      </c>
      <c r="D329" t="s">
        <v>608</v>
      </c>
      <c r="E329">
        <v>30</v>
      </c>
      <c r="F329" t="s">
        <v>209</v>
      </c>
      <c r="G329">
        <f ca="1">IFERROR(tbl_Recettes[[#This Row],[Quantité]] * IFERROR(_xlfn.XLOOKUP(tbl_Recettes[[#This Row],[Cde_Ingrdt]], tbl_Stock[Cde_Ingrdt], tbl_Stock[CMP effectif]),0),0)</f>
        <v>2.1</v>
      </c>
    </row>
    <row r="330" spans="1:7" x14ac:dyDescent="0.25">
      <c r="A330" t="s">
        <v>603</v>
      </c>
      <c r="B330" t="s">
        <v>604</v>
      </c>
      <c r="C330" t="s">
        <v>297</v>
      </c>
      <c r="D330" t="s">
        <v>298</v>
      </c>
      <c r="E330">
        <v>20</v>
      </c>
      <c r="F330" t="s">
        <v>221</v>
      </c>
      <c r="G330">
        <f ca="1">IFERROR(tbl_Recettes[[#This Row],[Quantité]] * IFERROR(_xlfn.XLOOKUP(tbl_Recettes[[#This Row],[Cde_Ingrdt]], tbl_Stock[Cde_Ingrdt], tbl_Stock[CMP effectif]),0),0)</f>
        <v>1.7999999999999998</v>
      </c>
    </row>
    <row r="331" spans="1:7" x14ac:dyDescent="0.25">
      <c r="A331" t="s">
        <v>603</v>
      </c>
      <c r="B331" t="s">
        <v>604</v>
      </c>
      <c r="C331" t="s">
        <v>609</v>
      </c>
      <c r="D331" t="s">
        <v>610</v>
      </c>
      <c r="E331">
        <v>5</v>
      </c>
      <c r="F331" t="s">
        <v>209</v>
      </c>
      <c r="G331">
        <f ca="1">IFERROR(tbl_Recettes[[#This Row],[Quantité]] * IFERROR(_xlfn.XLOOKUP(tbl_Recettes[[#This Row],[Cde_Ingrdt]], tbl_Stock[Cde_Ingrdt], tbl_Stock[CMP effectif]),0),0)</f>
        <v>0.43999999999999995</v>
      </c>
    </row>
    <row r="332" spans="1:7" x14ac:dyDescent="0.25">
      <c r="A332" t="s">
        <v>611</v>
      </c>
      <c r="B332" t="s">
        <v>612</v>
      </c>
      <c r="C332" t="s">
        <v>605</v>
      </c>
      <c r="D332" t="s">
        <v>606</v>
      </c>
      <c r="E332">
        <v>1000</v>
      </c>
      <c r="F332" t="s">
        <v>209</v>
      </c>
      <c r="G332">
        <f ca="1">IFERROR(tbl_Recettes[[#This Row],[Quantité]] * IFERROR(_xlfn.XLOOKUP(tbl_Recettes[[#This Row],[Cde_Ingrdt]], tbl_Stock[Cde_Ingrdt], tbl_Stock[CMP effectif]),0),0)</f>
        <v>60</v>
      </c>
    </row>
    <row r="333" spans="1:7" x14ac:dyDescent="0.25">
      <c r="A333" t="s">
        <v>611</v>
      </c>
      <c r="B333" t="s">
        <v>612</v>
      </c>
      <c r="C333" t="s">
        <v>309</v>
      </c>
      <c r="D333" t="s">
        <v>310</v>
      </c>
      <c r="E333">
        <v>300</v>
      </c>
      <c r="F333" t="s">
        <v>209</v>
      </c>
      <c r="G333">
        <f ca="1">IFERROR(tbl_Recettes[[#This Row],[Quantité]] * IFERROR(_xlfn.XLOOKUP(tbl_Recettes[[#This Row],[Cde_Ingrdt]], tbl_Stock[Cde_Ingrdt], tbl_Stock[CMP effectif]),0),0)</f>
        <v>3</v>
      </c>
    </row>
    <row r="334" spans="1:7" x14ac:dyDescent="0.25">
      <c r="A334" t="s">
        <v>611</v>
      </c>
      <c r="B334" t="s">
        <v>612</v>
      </c>
      <c r="C334" t="s">
        <v>607</v>
      </c>
      <c r="D334" t="s">
        <v>608</v>
      </c>
      <c r="E334">
        <v>60</v>
      </c>
      <c r="F334" t="s">
        <v>209</v>
      </c>
      <c r="G334">
        <f ca="1">IFERROR(tbl_Recettes[[#This Row],[Quantité]] * IFERROR(_xlfn.XLOOKUP(tbl_Recettes[[#This Row],[Cde_Ingrdt]], tbl_Stock[Cde_Ingrdt], tbl_Stock[CMP effectif]),0),0)</f>
        <v>4.2</v>
      </c>
    </row>
    <row r="335" spans="1:7" x14ac:dyDescent="0.25">
      <c r="A335" t="s">
        <v>611</v>
      </c>
      <c r="B335" t="s">
        <v>612</v>
      </c>
      <c r="C335" t="s">
        <v>297</v>
      </c>
      <c r="D335" t="s">
        <v>298</v>
      </c>
      <c r="E335">
        <v>40</v>
      </c>
      <c r="F335" t="s">
        <v>221</v>
      </c>
      <c r="G335">
        <f ca="1">IFERROR(tbl_Recettes[[#This Row],[Quantité]] * IFERROR(_xlfn.XLOOKUP(tbl_Recettes[[#This Row],[Cde_Ingrdt]], tbl_Stock[Cde_Ingrdt], tbl_Stock[CMP effectif]),0),0)</f>
        <v>3.5999999999999996</v>
      </c>
    </row>
    <row r="336" spans="1:7" x14ac:dyDescent="0.25">
      <c r="A336" t="s">
        <v>611</v>
      </c>
      <c r="B336" t="s">
        <v>612</v>
      </c>
      <c r="C336" t="s">
        <v>609</v>
      </c>
      <c r="D336" t="s">
        <v>610</v>
      </c>
      <c r="E336">
        <v>10</v>
      </c>
      <c r="F336" t="s">
        <v>209</v>
      </c>
      <c r="G336">
        <f ca="1">IFERROR(tbl_Recettes[[#This Row],[Quantité]] * IFERROR(_xlfn.XLOOKUP(tbl_Recettes[[#This Row],[Cde_Ingrdt]], tbl_Stock[Cde_Ingrdt], tbl_Stock[CMP effectif]),0),0)</f>
        <v>0.87999999999999989</v>
      </c>
    </row>
    <row r="337" spans="1:7" x14ac:dyDescent="0.25">
      <c r="A337" t="s">
        <v>613</v>
      </c>
      <c r="B337" t="s">
        <v>614</v>
      </c>
      <c r="C337" t="s">
        <v>615</v>
      </c>
      <c r="D337" t="s">
        <v>616</v>
      </c>
      <c r="E337">
        <v>500</v>
      </c>
      <c r="F337" t="s">
        <v>209</v>
      </c>
      <c r="G337">
        <f ca="1">IFERROR(tbl_Recettes[[#This Row],[Quantité]] * IFERROR(_xlfn.XLOOKUP(tbl_Recettes[[#This Row],[Cde_Ingrdt]], tbl_Stock[Cde_Ingrdt], tbl_Stock[CMP effectif]),0),0)</f>
        <v>50</v>
      </c>
    </row>
    <row r="338" spans="1:7" x14ac:dyDescent="0.25">
      <c r="A338" t="s">
        <v>613</v>
      </c>
      <c r="B338" t="s">
        <v>614</v>
      </c>
      <c r="C338" t="s">
        <v>309</v>
      </c>
      <c r="D338" t="s">
        <v>310</v>
      </c>
      <c r="E338">
        <v>100</v>
      </c>
      <c r="F338" t="s">
        <v>209</v>
      </c>
      <c r="G338">
        <f ca="1">IFERROR(tbl_Recettes[[#This Row],[Quantité]] * IFERROR(_xlfn.XLOOKUP(tbl_Recettes[[#This Row],[Cde_Ingrdt]], tbl_Stock[Cde_Ingrdt], tbl_Stock[CMP effectif]),0),0)</f>
        <v>1</v>
      </c>
    </row>
    <row r="339" spans="1:7" x14ac:dyDescent="0.25">
      <c r="A339" t="s">
        <v>613</v>
      </c>
      <c r="B339" t="s">
        <v>614</v>
      </c>
      <c r="C339" t="s">
        <v>555</v>
      </c>
      <c r="D339" t="s">
        <v>556</v>
      </c>
      <c r="E339">
        <v>100</v>
      </c>
      <c r="F339" t="s">
        <v>209</v>
      </c>
      <c r="G339">
        <f ca="1">IFERROR(tbl_Recettes[[#This Row],[Quantité]] * IFERROR(_xlfn.XLOOKUP(tbl_Recettes[[#This Row],[Cde_Ingrdt]], tbl_Stock[Cde_Ingrdt], tbl_Stock[CMP effectif]),0),0)</f>
        <v>2</v>
      </c>
    </row>
    <row r="340" spans="1:7" x14ac:dyDescent="0.25">
      <c r="A340" t="s">
        <v>75</v>
      </c>
      <c r="B340" t="s">
        <v>617</v>
      </c>
      <c r="C340" t="s">
        <v>615</v>
      </c>
      <c r="D340" t="s">
        <v>616</v>
      </c>
      <c r="E340">
        <v>1000</v>
      </c>
      <c r="F340" t="s">
        <v>209</v>
      </c>
      <c r="G340">
        <f ca="1">IFERROR(tbl_Recettes[[#This Row],[Quantité]] * IFERROR(_xlfn.XLOOKUP(tbl_Recettes[[#This Row],[Cde_Ingrdt]], tbl_Stock[Cde_Ingrdt], tbl_Stock[CMP effectif]),0),0)</f>
        <v>100</v>
      </c>
    </row>
    <row r="341" spans="1:7" x14ac:dyDescent="0.25">
      <c r="A341" t="s">
        <v>75</v>
      </c>
      <c r="B341" t="s">
        <v>617</v>
      </c>
      <c r="C341" t="s">
        <v>309</v>
      </c>
      <c r="D341" t="s">
        <v>310</v>
      </c>
      <c r="E341">
        <v>200</v>
      </c>
      <c r="F341" t="s">
        <v>209</v>
      </c>
      <c r="G341">
        <f ca="1">IFERROR(tbl_Recettes[[#This Row],[Quantité]] * IFERROR(_xlfn.XLOOKUP(tbl_Recettes[[#This Row],[Cde_Ingrdt]], tbl_Stock[Cde_Ingrdt], tbl_Stock[CMP effectif]),0),0)</f>
        <v>2</v>
      </c>
    </row>
    <row r="342" spans="1:7" x14ac:dyDescent="0.25">
      <c r="A342" t="s">
        <v>75</v>
      </c>
      <c r="B342" t="s">
        <v>617</v>
      </c>
      <c r="C342" t="s">
        <v>555</v>
      </c>
      <c r="D342" t="s">
        <v>556</v>
      </c>
      <c r="E342">
        <v>300</v>
      </c>
      <c r="F342" t="s">
        <v>209</v>
      </c>
      <c r="G342">
        <f ca="1">IFERROR(tbl_Recettes[[#This Row],[Quantité]] * IFERROR(_xlfn.XLOOKUP(tbl_Recettes[[#This Row],[Cde_Ingrdt]], tbl_Stock[Cde_Ingrdt], tbl_Stock[CMP effectif]),0),0)</f>
        <v>6</v>
      </c>
    </row>
    <row r="343" spans="1:7" x14ac:dyDescent="0.25">
      <c r="A343" t="s">
        <v>618</v>
      </c>
      <c r="B343" t="s">
        <v>619</v>
      </c>
      <c r="C343" t="s">
        <v>615</v>
      </c>
      <c r="D343" t="s">
        <v>616</v>
      </c>
      <c r="E343">
        <v>500</v>
      </c>
      <c r="F343" t="s">
        <v>209</v>
      </c>
      <c r="G343">
        <f ca="1">IFERROR(tbl_Recettes[[#This Row],[Quantité]] * IFERROR(_xlfn.XLOOKUP(tbl_Recettes[[#This Row],[Cde_Ingrdt]], tbl_Stock[Cde_Ingrdt], tbl_Stock[CMP effectif]),0),0)</f>
        <v>50</v>
      </c>
    </row>
    <row r="344" spans="1:7" x14ac:dyDescent="0.25">
      <c r="A344" t="s">
        <v>618</v>
      </c>
      <c r="B344" t="s">
        <v>619</v>
      </c>
      <c r="C344" t="s">
        <v>518</v>
      </c>
      <c r="D344" t="s">
        <v>1274</v>
      </c>
      <c r="E344">
        <v>20</v>
      </c>
      <c r="F344" t="s">
        <v>209</v>
      </c>
      <c r="G344">
        <f ca="1">IFERROR(tbl_Recettes[[#This Row],[Quantité]] * IFERROR(_xlfn.XLOOKUP(tbl_Recettes[[#This Row],[Cde_Ingrdt]], tbl_Stock[Cde_Ingrdt], tbl_Stock[CMP effectif]),0),0)</f>
        <v>3.5999999999999996</v>
      </c>
    </row>
    <row r="345" spans="1:7" x14ac:dyDescent="0.25">
      <c r="A345" t="s">
        <v>618</v>
      </c>
      <c r="B345" t="s">
        <v>619</v>
      </c>
      <c r="C345" t="s">
        <v>297</v>
      </c>
      <c r="D345" t="s">
        <v>298</v>
      </c>
      <c r="E345">
        <v>50</v>
      </c>
      <c r="F345" t="s">
        <v>221</v>
      </c>
      <c r="G345">
        <f ca="1">IFERROR(tbl_Recettes[[#This Row],[Quantité]] * IFERROR(_xlfn.XLOOKUP(tbl_Recettes[[#This Row],[Cde_Ingrdt]], tbl_Stock[Cde_Ingrdt], tbl_Stock[CMP effectif]),0),0)</f>
        <v>4.5</v>
      </c>
    </row>
    <row r="346" spans="1:7" x14ac:dyDescent="0.25">
      <c r="A346" t="s">
        <v>620</v>
      </c>
      <c r="B346" t="s">
        <v>621</v>
      </c>
      <c r="C346" t="s">
        <v>615</v>
      </c>
      <c r="D346" t="s">
        <v>616</v>
      </c>
      <c r="E346">
        <v>1000</v>
      </c>
      <c r="F346" t="s">
        <v>209</v>
      </c>
      <c r="G346">
        <f ca="1">IFERROR(tbl_Recettes[[#This Row],[Quantité]] * IFERROR(_xlfn.XLOOKUP(tbl_Recettes[[#This Row],[Cde_Ingrdt]], tbl_Stock[Cde_Ingrdt], tbl_Stock[CMP effectif]),0),0)</f>
        <v>100</v>
      </c>
    </row>
    <row r="347" spans="1:7" x14ac:dyDescent="0.25">
      <c r="A347" t="s">
        <v>620</v>
      </c>
      <c r="B347" t="s">
        <v>621</v>
      </c>
      <c r="C347" t="s">
        <v>518</v>
      </c>
      <c r="D347" t="s">
        <v>1274</v>
      </c>
      <c r="E347">
        <v>40</v>
      </c>
      <c r="F347" t="s">
        <v>209</v>
      </c>
      <c r="G347">
        <f ca="1">IFERROR(tbl_Recettes[[#This Row],[Quantité]] * IFERROR(_xlfn.XLOOKUP(tbl_Recettes[[#This Row],[Cde_Ingrdt]], tbl_Stock[Cde_Ingrdt], tbl_Stock[CMP effectif]),0),0)</f>
        <v>7.1999999999999993</v>
      </c>
    </row>
    <row r="348" spans="1:7" x14ac:dyDescent="0.25">
      <c r="A348" t="s">
        <v>620</v>
      </c>
      <c r="B348" t="s">
        <v>621</v>
      </c>
      <c r="C348" t="s">
        <v>297</v>
      </c>
      <c r="D348" t="s">
        <v>298</v>
      </c>
      <c r="E348">
        <v>100</v>
      </c>
      <c r="F348" t="s">
        <v>221</v>
      </c>
      <c r="G348">
        <f ca="1">IFERROR(tbl_Recettes[[#This Row],[Quantité]] * IFERROR(_xlfn.XLOOKUP(tbl_Recettes[[#This Row],[Cde_Ingrdt]], tbl_Stock[Cde_Ingrdt], tbl_Stock[CMP effectif]),0),0)</f>
        <v>9</v>
      </c>
    </row>
    <row r="349" spans="1:7" x14ac:dyDescent="0.25">
      <c r="A349" t="s">
        <v>74</v>
      </c>
      <c r="B349" t="s">
        <v>622</v>
      </c>
      <c r="C349" t="s">
        <v>605</v>
      </c>
      <c r="D349" t="s">
        <v>606</v>
      </c>
      <c r="E349">
        <v>500</v>
      </c>
      <c r="F349" t="s">
        <v>209</v>
      </c>
      <c r="G349">
        <f ca="1">IFERROR(tbl_Recettes[[#This Row],[Quantité]] * IFERROR(_xlfn.XLOOKUP(tbl_Recettes[[#This Row],[Cde_Ingrdt]], tbl_Stock[Cde_Ingrdt], tbl_Stock[CMP effectif]),0),0)</f>
        <v>30</v>
      </c>
    </row>
    <row r="350" spans="1:7" x14ac:dyDescent="0.25">
      <c r="A350" t="s">
        <v>74</v>
      </c>
      <c r="B350" t="s">
        <v>622</v>
      </c>
      <c r="C350" t="s">
        <v>623</v>
      </c>
      <c r="D350" t="s">
        <v>624</v>
      </c>
      <c r="E350">
        <v>0.5</v>
      </c>
      <c r="F350" t="s">
        <v>206</v>
      </c>
      <c r="G350">
        <f ca="1">IFERROR(tbl_Recettes[[#This Row],[Quantité]] * IFERROR(_xlfn.XLOOKUP(tbl_Recettes[[#This Row],[Cde_Ingrdt]], tbl_Stock[Cde_Ingrdt], tbl_Stock[CMP effectif]),0),0)</f>
        <v>1</v>
      </c>
    </row>
    <row r="351" spans="1:7" x14ac:dyDescent="0.25">
      <c r="A351" t="s">
        <v>74</v>
      </c>
      <c r="B351" t="s">
        <v>622</v>
      </c>
      <c r="C351" t="s">
        <v>625</v>
      </c>
      <c r="D351" t="s">
        <v>626</v>
      </c>
      <c r="E351">
        <v>30</v>
      </c>
      <c r="F351" t="s">
        <v>209</v>
      </c>
      <c r="G351">
        <f ca="1">IFERROR(tbl_Recettes[[#This Row],[Quantité]] * IFERROR(_xlfn.XLOOKUP(tbl_Recettes[[#This Row],[Cde_Ingrdt]], tbl_Stock[Cde_Ingrdt], tbl_Stock[CMP effectif]),0),0)</f>
        <v>3</v>
      </c>
    </row>
    <row r="352" spans="1:7" x14ac:dyDescent="0.25">
      <c r="A352" t="s">
        <v>74</v>
      </c>
      <c r="B352" t="s">
        <v>622</v>
      </c>
      <c r="C352" t="s">
        <v>309</v>
      </c>
      <c r="D352" t="s">
        <v>310</v>
      </c>
      <c r="E352">
        <v>60</v>
      </c>
      <c r="F352" t="s">
        <v>209</v>
      </c>
      <c r="G352">
        <f ca="1">IFERROR(tbl_Recettes[[#This Row],[Quantité]] * IFERROR(_xlfn.XLOOKUP(tbl_Recettes[[#This Row],[Cde_Ingrdt]], tbl_Stock[Cde_Ingrdt], tbl_Stock[CMP effectif]),0),0)</f>
        <v>0.6</v>
      </c>
    </row>
    <row r="353" spans="1:7" x14ac:dyDescent="0.25">
      <c r="A353" t="s">
        <v>74</v>
      </c>
      <c r="B353" t="s">
        <v>622</v>
      </c>
      <c r="C353" t="s">
        <v>297</v>
      </c>
      <c r="D353" t="s">
        <v>298</v>
      </c>
      <c r="E353">
        <v>15</v>
      </c>
      <c r="F353" t="s">
        <v>221</v>
      </c>
      <c r="G353">
        <f ca="1">IFERROR(tbl_Recettes[[#This Row],[Quantité]] * IFERROR(_xlfn.XLOOKUP(tbl_Recettes[[#This Row],[Cde_Ingrdt]], tbl_Stock[Cde_Ingrdt], tbl_Stock[CMP effectif]),0),0)</f>
        <v>1.3499999999999999</v>
      </c>
    </row>
    <row r="354" spans="1:7" x14ac:dyDescent="0.25">
      <c r="A354" t="s">
        <v>74</v>
      </c>
      <c r="B354" t="s">
        <v>622</v>
      </c>
      <c r="C354" t="s">
        <v>518</v>
      </c>
      <c r="D354" t="s">
        <v>1274</v>
      </c>
      <c r="E354">
        <v>5</v>
      </c>
      <c r="F354" t="s">
        <v>209</v>
      </c>
      <c r="G354">
        <f ca="1">IFERROR(tbl_Recettes[[#This Row],[Quantité]] * IFERROR(_xlfn.XLOOKUP(tbl_Recettes[[#This Row],[Cde_Ingrdt]], tbl_Stock[Cde_Ingrdt], tbl_Stock[CMP effectif]),0),0)</f>
        <v>0.89999999999999991</v>
      </c>
    </row>
    <row r="355" spans="1:7" x14ac:dyDescent="0.25">
      <c r="A355" t="s">
        <v>54</v>
      </c>
      <c r="B355" t="s">
        <v>627</v>
      </c>
      <c r="C355" t="s">
        <v>605</v>
      </c>
      <c r="D355" t="s">
        <v>606</v>
      </c>
      <c r="E355">
        <v>1000</v>
      </c>
      <c r="F355" t="s">
        <v>209</v>
      </c>
      <c r="G355">
        <f ca="1">IFERROR(tbl_Recettes[[#This Row],[Quantité]] * IFERROR(_xlfn.XLOOKUP(tbl_Recettes[[#This Row],[Cde_Ingrdt]], tbl_Stock[Cde_Ingrdt], tbl_Stock[CMP effectif]),0),0)</f>
        <v>60</v>
      </c>
    </row>
    <row r="356" spans="1:7" x14ac:dyDescent="0.25">
      <c r="A356" t="s">
        <v>54</v>
      </c>
      <c r="B356" t="s">
        <v>627</v>
      </c>
      <c r="C356" t="s">
        <v>623</v>
      </c>
      <c r="D356" t="s">
        <v>624</v>
      </c>
      <c r="E356">
        <v>1</v>
      </c>
      <c r="F356" t="s">
        <v>206</v>
      </c>
      <c r="G356">
        <f ca="1">IFERROR(tbl_Recettes[[#This Row],[Quantité]] * IFERROR(_xlfn.XLOOKUP(tbl_Recettes[[#This Row],[Cde_Ingrdt]], tbl_Stock[Cde_Ingrdt], tbl_Stock[CMP effectif]),0),0)</f>
        <v>2</v>
      </c>
    </row>
    <row r="357" spans="1:7" x14ac:dyDescent="0.25">
      <c r="A357" t="s">
        <v>54</v>
      </c>
      <c r="B357" t="s">
        <v>627</v>
      </c>
      <c r="C357" t="s">
        <v>625</v>
      </c>
      <c r="D357" t="s">
        <v>626</v>
      </c>
      <c r="E357">
        <v>60</v>
      </c>
      <c r="F357" t="s">
        <v>209</v>
      </c>
      <c r="G357">
        <f ca="1">IFERROR(tbl_Recettes[[#This Row],[Quantité]] * IFERROR(_xlfn.XLOOKUP(tbl_Recettes[[#This Row],[Cde_Ingrdt]], tbl_Stock[Cde_Ingrdt], tbl_Stock[CMP effectif]),0),0)</f>
        <v>6</v>
      </c>
    </row>
    <row r="358" spans="1:7" x14ac:dyDescent="0.25">
      <c r="A358" t="s">
        <v>54</v>
      </c>
      <c r="B358" t="s">
        <v>627</v>
      </c>
      <c r="C358" t="s">
        <v>309</v>
      </c>
      <c r="D358" t="s">
        <v>310</v>
      </c>
      <c r="E358">
        <v>120</v>
      </c>
      <c r="F358" t="s">
        <v>209</v>
      </c>
      <c r="G358">
        <f ca="1">IFERROR(tbl_Recettes[[#This Row],[Quantité]] * IFERROR(_xlfn.XLOOKUP(tbl_Recettes[[#This Row],[Cde_Ingrdt]], tbl_Stock[Cde_Ingrdt], tbl_Stock[CMP effectif]),0),0)</f>
        <v>1.2</v>
      </c>
    </row>
    <row r="359" spans="1:7" x14ac:dyDescent="0.25">
      <c r="A359" t="s">
        <v>54</v>
      </c>
      <c r="B359" t="s">
        <v>627</v>
      </c>
      <c r="C359" t="s">
        <v>297</v>
      </c>
      <c r="D359" t="s">
        <v>298</v>
      </c>
      <c r="E359">
        <v>30</v>
      </c>
      <c r="F359" t="s">
        <v>221</v>
      </c>
      <c r="G359">
        <f ca="1">IFERROR(tbl_Recettes[[#This Row],[Quantité]] * IFERROR(_xlfn.XLOOKUP(tbl_Recettes[[#This Row],[Cde_Ingrdt]], tbl_Stock[Cde_Ingrdt], tbl_Stock[CMP effectif]),0),0)</f>
        <v>2.6999999999999997</v>
      </c>
    </row>
    <row r="360" spans="1:7" x14ac:dyDescent="0.25">
      <c r="A360" t="s">
        <v>54</v>
      </c>
      <c r="B360" t="s">
        <v>627</v>
      </c>
      <c r="C360" t="s">
        <v>518</v>
      </c>
      <c r="D360" t="s">
        <v>1274</v>
      </c>
      <c r="E360">
        <v>10</v>
      </c>
      <c r="F360" t="s">
        <v>209</v>
      </c>
      <c r="G360">
        <f ca="1">IFERROR(tbl_Recettes[[#This Row],[Quantité]] * IFERROR(_xlfn.XLOOKUP(tbl_Recettes[[#This Row],[Cde_Ingrdt]], tbl_Stock[Cde_Ingrdt], tbl_Stock[CMP effectif]),0),0)</f>
        <v>1.7999999999999998</v>
      </c>
    </row>
    <row r="361" spans="1:7" x14ac:dyDescent="0.25">
      <c r="A361" t="s">
        <v>628</v>
      </c>
      <c r="B361" t="s">
        <v>629</v>
      </c>
      <c r="C361" t="s">
        <v>630</v>
      </c>
      <c r="D361" t="s">
        <v>631</v>
      </c>
      <c r="E361">
        <v>500</v>
      </c>
      <c r="F361" t="s">
        <v>209</v>
      </c>
      <c r="G361">
        <f ca="1">IFERROR(tbl_Recettes[[#This Row],[Quantité]] * IFERROR(_xlfn.XLOOKUP(tbl_Recettes[[#This Row],[Cde_Ingrdt]], tbl_Stock[Cde_Ingrdt], tbl_Stock[CMP effectif]),0),0)</f>
        <v>45</v>
      </c>
    </row>
    <row r="362" spans="1:7" x14ac:dyDescent="0.25">
      <c r="A362" t="s">
        <v>628</v>
      </c>
      <c r="B362" t="s">
        <v>629</v>
      </c>
      <c r="C362" t="s">
        <v>309</v>
      </c>
      <c r="D362" t="s">
        <v>310</v>
      </c>
      <c r="E362">
        <v>60</v>
      </c>
      <c r="F362" t="s">
        <v>209</v>
      </c>
      <c r="G362">
        <f ca="1">IFERROR(tbl_Recettes[[#This Row],[Quantité]] * IFERROR(_xlfn.XLOOKUP(tbl_Recettes[[#This Row],[Cde_Ingrdt]], tbl_Stock[Cde_Ingrdt], tbl_Stock[CMP effectif]),0),0)</f>
        <v>0.6</v>
      </c>
    </row>
    <row r="363" spans="1:7" x14ac:dyDescent="0.25">
      <c r="A363" t="s">
        <v>628</v>
      </c>
      <c r="B363" t="s">
        <v>629</v>
      </c>
      <c r="C363" t="s">
        <v>307</v>
      </c>
      <c r="D363" t="s">
        <v>308</v>
      </c>
      <c r="E363">
        <v>40</v>
      </c>
      <c r="F363" t="s">
        <v>209</v>
      </c>
      <c r="G363">
        <f ca="1">IFERROR(tbl_Recettes[[#This Row],[Quantité]] * IFERROR(_xlfn.XLOOKUP(tbl_Recettes[[#This Row],[Cde_Ingrdt]], tbl_Stock[Cde_Ingrdt], tbl_Stock[CMP effectif]),0),0)</f>
        <v>0.4</v>
      </c>
    </row>
    <row r="364" spans="1:7" x14ac:dyDescent="0.25">
      <c r="A364" t="s">
        <v>628</v>
      </c>
      <c r="B364" t="s">
        <v>629</v>
      </c>
      <c r="C364" t="s">
        <v>297</v>
      </c>
      <c r="D364" t="s">
        <v>298</v>
      </c>
      <c r="E364">
        <v>15</v>
      </c>
      <c r="F364" t="s">
        <v>221</v>
      </c>
      <c r="G364">
        <f ca="1">IFERROR(tbl_Recettes[[#This Row],[Quantité]] * IFERROR(_xlfn.XLOOKUP(tbl_Recettes[[#This Row],[Cde_Ingrdt]], tbl_Stock[Cde_Ingrdt], tbl_Stock[CMP effectif]),0),0)</f>
        <v>1.3499999999999999</v>
      </c>
    </row>
    <row r="365" spans="1:7" x14ac:dyDescent="0.25">
      <c r="A365" t="s">
        <v>628</v>
      </c>
      <c r="B365" t="s">
        <v>629</v>
      </c>
      <c r="C365" t="s">
        <v>518</v>
      </c>
      <c r="D365" t="s">
        <v>1274</v>
      </c>
      <c r="E365">
        <v>5</v>
      </c>
      <c r="F365" t="s">
        <v>209</v>
      </c>
      <c r="G365">
        <f ca="1">IFERROR(tbl_Recettes[[#This Row],[Quantité]] * IFERROR(_xlfn.XLOOKUP(tbl_Recettes[[#This Row],[Cde_Ingrdt]], tbl_Stock[Cde_Ingrdt], tbl_Stock[CMP effectif]),0),0)</f>
        <v>0.89999999999999991</v>
      </c>
    </row>
    <row r="366" spans="1:7" x14ac:dyDescent="0.25">
      <c r="A366" t="s">
        <v>78</v>
      </c>
      <c r="B366" t="s">
        <v>632</v>
      </c>
      <c r="C366" t="s">
        <v>630</v>
      </c>
      <c r="D366" t="s">
        <v>631</v>
      </c>
      <c r="E366">
        <v>1000</v>
      </c>
      <c r="F366" t="s">
        <v>209</v>
      </c>
      <c r="G366">
        <f ca="1">IFERROR(tbl_Recettes[[#This Row],[Quantité]] * IFERROR(_xlfn.XLOOKUP(tbl_Recettes[[#This Row],[Cde_Ingrdt]], tbl_Stock[Cde_Ingrdt], tbl_Stock[CMP effectif]),0),0)</f>
        <v>90</v>
      </c>
    </row>
    <row r="367" spans="1:7" x14ac:dyDescent="0.25">
      <c r="A367" t="s">
        <v>78</v>
      </c>
      <c r="B367" t="s">
        <v>632</v>
      </c>
      <c r="C367" t="s">
        <v>309</v>
      </c>
      <c r="D367" t="s">
        <v>310</v>
      </c>
      <c r="E367">
        <v>120</v>
      </c>
      <c r="F367" t="s">
        <v>209</v>
      </c>
      <c r="G367">
        <f ca="1">IFERROR(tbl_Recettes[[#This Row],[Quantité]] * IFERROR(_xlfn.XLOOKUP(tbl_Recettes[[#This Row],[Cde_Ingrdt]], tbl_Stock[Cde_Ingrdt], tbl_Stock[CMP effectif]),0),0)</f>
        <v>1.2</v>
      </c>
    </row>
    <row r="368" spans="1:7" x14ac:dyDescent="0.25">
      <c r="A368" t="s">
        <v>78</v>
      </c>
      <c r="B368" t="s">
        <v>632</v>
      </c>
      <c r="C368" t="s">
        <v>307</v>
      </c>
      <c r="D368" t="s">
        <v>308</v>
      </c>
      <c r="E368">
        <v>80</v>
      </c>
      <c r="F368" t="s">
        <v>209</v>
      </c>
      <c r="G368">
        <f ca="1">IFERROR(tbl_Recettes[[#This Row],[Quantité]] * IFERROR(_xlfn.XLOOKUP(tbl_Recettes[[#This Row],[Cde_Ingrdt]], tbl_Stock[Cde_Ingrdt], tbl_Stock[CMP effectif]),0),0)</f>
        <v>0.8</v>
      </c>
    </row>
    <row r="369" spans="1:7" x14ac:dyDescent="0.25">
      <c r="A369" t="s">
        <v>78</v>
      </c>
      <c r="B369" t="s">
        <v>632</v>
      </c>
      <c r="C369" t="s">
        <v>297</v>
      </c>
      <c r="D369" t="s">
        <v>298</v>
      </c>
      <c r="E369">
        <v>30</v>
      </c>
      <c r="F369" t="s">
        <v>221</v>
      </c>
      <c r="G369">
        <f ca="1">IFERROR(tbl_Recettes[[#This Row],[Quantité]] * IFERROR(_xlfn.XLOOKUP(tbl_Recettes[[#This Row],[Cde_Ingrdt]], tbl_Stock[Cde_Ingrdt], tbl_Stock[CMP effectif]),0),0)</f>
        <v>2.6999999999999997</v>
      </c>
    </row>
    <row r="370" spans="1:7" x14ac:dyDescent="0.25">
      <c r="A370" t="s">
        <v>78</v>
      </c>
      <c r="B370" t="s">
        <v>632</v>
      </c>
      <c r="C370" t="s">
        <v>518</v>
      </c>
      <c r="D370" t="s">
        <v>1274</v>
      </c>
      <c r="E370">
        <v>5</v>
      </c>
      <c r="F370" t="s">
        <v>209</v>
      </c>
      <c r="G370">
        <f ca="1">IFERROR(tbl_Recettes[[#This Row],[Quantité]] * IFERROR(_xlfn.XLOOKUP(tbl_Recettes[[#This Row],[Cde_Ingrdt]], tbl_Stock[Cde_Ingrdt], tbl_Stock[CMP effectif]),0),0)</f>
        <v>0.89999999999999991</v>
      </c>
    </row>
    <row r="371" spans="1:7" x14ac:dyDescent="0.25">
      <c r="A371" t="s">
        <v>633</v>
      </c>
      <c r="B371" t="s">
        <v>634</v>
      </c>
      <c r="C371" t="s">
        <v>635</v>
      </c>
      <c r="D371" t="s">
        <v>636</v>
      </c>
      <c r="E371">
        <v>500</v>
      </c>
      <c r="F371" t="s">
        <v>209</v>
      </c>
      <c r="G371">
        <f ca="1">IFERROR(tbl_Recettes[[#This Row],[Quantité]] * IFERROR(_xlfn.XLOOKUP(tbl_Recettes[[#This Row],[Cde_Ingrdt]], tbl_Stock[Cde_Ingrdt], tbl_Stock[CMP effectif]),0),0)</f>
        <v>22.5</v>
      </c>
    </row>
    <row r="372" spans="1:7" x14ac:dyDescent="0.25">
      <c r="A372" t="s">
        <v>633</v>
      </c>
      <c r="B372" t="s">
        <v>634</v>
      </c>
      <c r="C372" t="s">
        <v>623</v>
      </c>
      <c r="D372" t="s">
        <v>624</v>
      </c>
      <c r="E372">
        <v>0.5</v>
      </c>
      <c r="F372" t="s">
        <v>206</v>
      </c>
      <c r="G372">
        <f ca="1">IFERROR(tbl_Recettes[[#This Row],[Quantité]] * IFERROR(_xlfn.XLOOKUP(tbl_Recettes[[#This Row],[Cde_Ingrdt]], tbl_Stock[Cde_Ingrdt], tbl_Stock[CMP effectif]),0),0)</f>
        <v>1</v>
      </c>
    </row>
    <row r="373" spans="1:7" x14ac:dyDescent="0.25">
      <c r="A373" t="s">
        <v>633</v>
      </c>
      <c r="B373" t="s">
        <v>634</v>
      </c>
      <c r="C373" t="s">
        <v>625</v>
      </c>
      <c r="D373" t="s">
        <v>626</v>
      </c>
      <c r="E373">
        <v>30</v>
      </c>
      <c r="F373" t="s">
        <v>209</v>
      </c>
      <c r="G373">
        <f ca="1">IFERROR(tbl_Recettes[[#This Row],[Quantité]] * IFERROR(_xlfn.XLOOKUP(tbl_Recettes[[#This Row],[Cde_Ingrdt]], tbl_Stock[Cde_Ingrdt], tbl_Stock[CMP effectif]),0),0)</f>
        <v>3</v>
      </c>
    </row>
    <row r="374" spans="1:7" x14ac:dyDescent="0.25">
      <c r="A374" t="s">
        <v>633</v>
      </c>
      <c r="B374" t="s">
        <v>634</v>
      </c>
      <c r="C374" t="s">
        <v>309</v>
      </c>
      <c r="D374" t="s">
        <v>310</v>
      </c>
      <c r="E374">
        <v>60</v>
      </c>
      <c r="F374" t="s">
        <v>209</v>
      </c>
      <c r="G374">
        <f ca="1">IFERROR(tbl_Recettes[[#This Row],[Quantité]] * IFERROR(_xlfn.XLOOKUP(tbl_Recettes[[#This Row],[Cde_Ingrdt]], tbl_Stock[Cde_Ingrdt], tbl_Stock[CMP effectif]),0),0)</f>
        <v>0.6</v>
      </c>
    </row>
    <row r="375" spans="1:7" x14ac:dyDescent="0.25">
      <c r="A375" t="s">
        <v>633</v>
      </c>
      <c r="B375" t="s">
        <v>634</v>
      </c>
      <c r="C375" t="s">
        <v>297</v>
      </c>
      <c r="D375" t="s">
        <v>298</v>
      </c>
      <c r="E375">
        <v>15</v>
      </c>
      <c r="F375" t="s">
        <v>221</v>
      </c>
      <c r="G375">
        <f ca="1">IFERROR(tbl_Recettes[[#This Row],[Quantité]] * IFERROR(_xlfn.XLOOKUP(tbl_Recettes[[#This Row],[Cde_Ingrdt]], tbl_Stock[Cde_Ingrdt], tbl_Stock[CMP effectif]),0),0)</f>
        <v>1.3499999999999999</v>
      </c>
    </row>
    <row r="376" spans="1:7" x14ac:dyDescent="0.25">
      <c r="A376" t="s">
        <v>637</v>
      </c>
      <c r="B376" t="s">
        <v>638</v>
      </c>
      <c r="C376" t="s">
        <v>635</v>
      </c>
      <c r="D376" t="s">
        <v>636</v>
      </c>
      <c r="E376">
        <v>1000</v>
      </c>
      <c r="F376" t="s">
        <v>209</v>
      </c>
      <c r="G376">
        <f ca="1">IFERROR(tbl_Recettes[[#This Row],[Quantité]] * IFERROR(_xlfn.XLOOKUP(tbl_Recettes[[#This Row],[Cde_Ingrdt]], tbl_Stock[Cde_Ingrdt], tbl_Stock[CMP effectif]),0),0)</f>
        <v>45</v>
      </c>
    </row>
    <row r="377" spans="1:7" x14ac:dyDescent="0.25">
      <c r="A377" t="s">
        <v>637</v>
      </c>
      <c r="B377" t="s">
        <v>638</v>
      </c>
      <c r="C377" t="s">
        <v>623</v>
      </c>
      <c r="D377" t="s">
        <v>624</v>
      </c>
      <c r="E377">
        <v>1</v>
      </c>
      <c r="F377" t="s">
        <v>206</v>
      </c>
      <c r="G377">
        <f ca="1">IFERROR(tbl_Recettes[[#This Row],[Quantité]] * IFERROR(_xlfn.XLOOKUP(tbl_Recettes[[#This Row],[Cde_Ingrdt]], tbl_Stock[Cde_Ingrdt], tbl_Stock[CMP effectif]),0),0)</f>
        <v>2</v>
      </c>
    </row>
    <row r="378" spans="1:7" x14ac:dyDescent="0.25">
      <c r="A378" t="s">
        <v>637</v>
      </c>
      <c r="B378" t="s">
        <v>638</v>
      </c>
      <c r="C378" t="s">
        <v>625</v>
      </c>
      <c r="D378" t="s">
        <v>626</v>
      </c>
      <c r="E378">
        <v>60</v>
      </c>
      <c r="F378" t="s">
        <v>209</v>
      </c>
      <c r="G378">
        <f ca="1">IFERROR(tbl_Recettes[[#This Row],[Quantité]] * IFERROR(_xlfn.XLOOKUP(tbl_Recettes[[#This Row],[Cde_Ingrdt]], tbl_Stock[Cde_Ingrdt], tbl_Stock[CMP effectif]),0),0)</f>
        <v>6</v>
      </c>
    </row>
    <row r="379" spans="1:7" x14ac:dyDescent="0.25">
      <c r="A379" t="s">
        <v>637</v>
      </c>
      <c r="B379" t="s">
        <v>638</v>
      </c>
      <c r="C379" t="s">
        <v>309</v>
      </c>
      <c r="D379" t="s">
        <v>310</v>
      </c>
      <c r="E379">
        <v>120</v>
      </c>
      <c r="F379" t="s">
        <v>209</v>
      </c>
      <c r="G379">
        <f ca="1">IFERROR(tbl_Recettes[[#This Row],[Quantité]] * IFERROR(_xlfn.XLOOKUP(tbl_Recettes[[#This Row],[Cde_Ingrdt]], tbl_Stock[Cde_Ingrdt], tbl_Stock[CMP effectif]),0),0)</f>
        <v>1.2</v>
      </c>
    </row>
    <row r="380" spans="1:7" x14ac:dyDescent="0.25">
      <c r="A380" t="s">
        <v>637</v>
      </c>
      <c r="B380" t="s">
        <v>638</v>
      </c>
      <c r="C380" t="s">
        <v>297</v>
      </c>
      <c r="D380" t="s">
        <v>298</v>
      </c>
      <c r="E380">
        <v>30</v>
      </c>
      <c r="F380" t="s">
        <v>221</v>
      </c>
      <c r="G380">
        <f ca="1">IFERROR(tbl_Recettes[[#This Row],[Quantité]] * IFERROR(_xlfn.XLOOKUP(tbl_Recettes[[#This Row],[Cde_Ingrdt]], tbl_Stock[Cde_Ingrdt], tbl_Stock[CMP effectif]),0),0)</f>
        <v>2.6999999999999997</v>
      </c>
    </row>
    <row r="381" spans="1:7" x14ac:dyDescent="0.25">
      <c r="A381" t="s">
        <v>639</v>
      </c>
      <c r="B381" t="s">
        <v>640</v>
      </c>
      <c r="C381" t="s">
        <v>641</v>
      </c>
      <c r="D381" t="s">
        <v>642</v>
      </c>
      <c r="E381">
        <v>300</v>
      </c>
      <c r="F381" t="s">
        <v>209</v>
      </c>
      <c r="G381">
        <f ca="1">IFERROR(tbl_Recettes[[#This Row],[Quantité]] * IFERROR(_xlfn.XLOOKUP(tbl_Recettes[[#This Row],[Cde_Ingrdt]], tbl_Stock[Cde_Ingrdt], tbl_Stock[CMP effectif]),0),0)</f>
        <v>24</v>
      </c>
    </row>
    <row r="382" spans="1:7" x14ac:dyDescent="0.25">
      <c r="A382" t="s">
        <v>639</v>
      </c>
      <c r="B382" t="s">
        <v>640</v>
      </c>
      <c r="C382" t="s">
        <v>643</v>
      </c>
      <c r="D382" t="s">
        <v>644</v>
      </c>
      <c r="E382">
        <v>80</v>
      </c>
      <c r="F382" t="s">
        <v>209</v>
      </c>
      <c r="G382">
        <f ca="1">IFERROR(tbl_Recettes[[#This Row],[Quantité]] * IFERROR(_xlfn.XLOOKUP(tbl_Recettes[[#This Row],[Cde_Ingrdt]], tbl_Stock[Cde_Ingrdt], tbl_Stock[CMP effectif]),0),0)</f>
        <v>4.8</v>
      </c>
    </row>
    <row r="383" spans="1:7" x14ac:dyDescent="0.25">
      <c r="A383" t="s">
        <v>639</v>
      </c>
      <c r="B383" t="s">
        <v>640</v>
      </c>
      <c r="C383" t="s">
        <v>309</v>
      </c>
      <c r="D383" t="s">
        <v>310</v>
      </c>
      <c r="E383">
        <v>60</v>
      </c>
      <c r="F383" t="s">
        <v>209</v>
      </c>
      <c r="G383">
        <f ca="1">IFERROR(tbl_Recettes[[#This Row],[Quantité]] * IFERROR(_xlfn.XLOOKUP(tbl_Recettes[[#This Row],[Cde_Ingrdt]], tbl_Stock[Cde_Ingrdt], tbl_Stock[CMP effectif]),0),0)</f>
        <v>0.6</v>
      </c>
    </row>
    <row r="384" spans="1:7" x14ac:dyDescent="0.25">
      <c r="A384" t="s">
        <v>639</v>
      </c>
      <c r="B384" t="s">
        <v>640</v>
      </c>
      <c r="C384" t="s">
        <v>645</v>
      </c>
      <c r="D384" t="s">
        <v>646</v>
      </c>
      <c r="E384">
        <v>30</v>
      </c>
      <c r="F384" t="s">
        <v>209</v>
      </c>
      <c r="G384">
        <f ca="1">IFERROR(tbl_Recettes[[#This Row],[Quantité]] * IFERROR(_xlfn.XLOOKUP(tbl_Recettes[[#This Row],[Cde_Ingrdt]], tbl_Stock[Cde_Ingrdt], tbl_Stock[CMP effectif]),0),0)</f>
        <v>3.5999999999999996</v>
      </c>
    </row>
    <row r="385" spans="1:7" x14ac:dyDescent="0.25">
      <c r="A385" t="s">
        <v>639</v>
      </c>
      <c r="B385" t="s">
        <v>640</v>
      </c>
      <c r="C385" t="s">
        <v>297</v>
      </c>
      <c r="D385" t="s">
        <v>298</v>
      </c>
      <c r="E385">
        <v>30</v>
      </c>
      <c r="F385" t="s">
        <v>221</v>
      </c>
      <c r="G385">
        <f ca="1">IFERROR(tbl_Recettes[[#This Row],[Quantité]] * IFERROR(_xlfn.XLOOKUP(tbl_Recettes[[#This Row],[Cde_Ingrdt]], tbl_Stock[Cde_Ingrdt], tbl_Stock[CMP effectif]),0),0)</f>
        <v>2.6999999999999997</v>
      </c>
    </row>
    <row r="386" spans="1:7" x14ac:dyDescent="0.25">
      <c r="A386" t="s">
        <v>639</v>
      </c>
      <c r="B386" t="s">
        <v>640</v>
      </c>
      <c r="C386" t="s">
        <v>609</v>
      </c>
      <c r="D386" t="s">
        <v>610</v>
      </c>
      <c r="E386">
        <v>5</v>
      </c>
      <c r="F386" t="s">
        <v>209</v>
      </c>
      <c r="G386">
        <f ca="1">IFERROR(tbl_Recettes[[#This Row],[Quantité]] * IFERROR(_xlfn.XLOOKUP(tbl_Recettes[[#This Row],[Cde_Ingrdt]], tbl_Stock[Cde_Ingrdt], tbl_Stock[CMP effectif]),0),0)</f>
        <v>0.43999999999999995</v>
      </c>
    </row>
    <row r="387" spans="1:7" x14ac:dyDescent="0.25">
      <c r="A387" t="s">
        <v>647</v>
      </c>
      <c r="B387" t="s">
        <v>648</v>
      </c>
      <c r="C387" t="s">
        <v>635</v>
      </c>
      <c r="D387" t="s">
        <v>636</v>
      </c>
      <c r="E387">
        <v>300</v>
      </c>
      <c r="F387" t="s">
        <v>209</v>
      </c>
      <c r="G387">
        <f ca="1">IFERROR(tbl_Recettes[[#This Row],[Quantité]] * IFERROR(_xlfn.XLOOKUP(tbl_Recettes[[#This Row],[Cde_Ingrdt]], tbl_Stock[Cde_Ingrdt], tbl_Stock[CMP effectif]),0),0)</f>
        <v>13.5</v>
      </c>
    </row>
    <row r="388" spans="1:7" x14ac:dyDescent="0.25">
      <c r="A388" t="s">
        <v>647</v>
      </c>
      <c r="B388" t="s">
        <v>648</v>
      </c>
      <c r="C388" t="s">
        <v>623</v>
      </c>
      <c r="D388" t="s">
        <v>624</v>
      </c>
      <c r="E388">
        <v>0.5</v>
      </c>
      <c r="F388" t="s">
        <v>206</v>
      </c>
      <c r="G388">
        <f ca="1">IFERROR(tbl_Recettes[[#This Row],[Quantité]] * IFERROR(_xlfn.XLOOKUP(tbl_Recettes[[#This Row],[Cde_Ingrdt]], tbl_Stock[Cde_Ingrdt], tbl_Stock[CMP effectif]),0),0)</f>
        <v>1</v>
      </c>
    </row>
    <row r="389" spans="1:7" x14ac:dyDescent="0.25">
      <c r="A389" t="s">
        <v>647</v>
      </c>
      <c r="B389" t="s">
        <v>648</v>
      </c>
      <c r="C389" t="s">
        <v>625</v>
      </c>
      <c r="D389" t="s">
        <v>626</v>
      </c>
      <c r="E389">
        <v>30</v>
      </c>
      <c r="F389" t="s">
        <v>209</v>
      </c>
      <c r="G389">
        <f ca="1">IFERROR(tbl_Recettes[[#This Row],[Quantité]] * IFERROR(_xlfn.XLOOKUP(tbl_Recettes[[#This Row],[Cde_Ingrdt]], tbl_Stock[Cde_Ingrdt], tbl_Stock[CMP effectif]),0),0)</f>
        <v>3</v>
      </c>
    </row>
    <row r="390" spans="1:7" x14ac:dyDescent="0.25">
      <c r="A390" t="s">
        <v>647</v>
      </c>
      <c r="B390" t="s">
        <v>648</v>
      </c>
      <c r="C390" t="s">
        <v>309</v>
      </c>
      <c r="D390" t="s">
        <v>310</v>
      </c>
      <c r="E390">
        <v>60</v>
      </c>
      <c r="F390" t="s">
        <v>209</v>
      </c>
      <c r="G390">
        <f ca="1">IFERROR(tbl_Recettes[[#This Row],[Quantité]] * IFERROR(_xlfn.XLOOKUP(tbl_Recettes[[#This Row],[Cde_Ingrdt]], tbl_Stock[Cde_Ingrdt], tbl_Stock[CMP effectif]),0),0)</f>
        <v>0.6</v>
      </c>
    </row>
    <row r="391" spans="1:7" x14ac:dyDescent="0.25">
      <c r="A391" t="s">
        <v>649</v>
      </c>
      <c r="B391" t="s">
        <v>650</v>
      </c>
      <c r="C391" t="s">
        <v>462</v>
      </c>
      <c r="D391" t="s">
        <v>463</v>
      </c>
      <c r="E391">
        <v>150</v>
      </c>
      <c r="F391" t="s">
        <v>209</v>
      </c>
      <c r="G391">
        <f ca="1">IFERROR(tbl_Recettes[[#This Row],[Quantité]] * IFERROR(_xlfn.XLOOKUP(tbl_Recettes[[#This Row],[Cde_Ingrdt]], tbl_Stock[Cde_Ingrdt], tbl_Stock[CMP effectif]),0),0)</f>
        <v>18</v>
      </c>
    </row>
    <row r="392" spans="1:7" x14ac:dyDescent="0.25">
      <c r="A392" t="s">
        <v>649</v>
      </c>
      <c r="B392" t="s">
        <v>650</v>
      </c>
      <c r="C392" t="s">
        <v>651</v>
      </c>
      <c r="D392" t="s">
        <v>652</v>
      </c>
      <c r="E392">
        <v>20</v>
      </c>
      <c r="F392" t="s">
        <v>209</v>
      </c>
      <c r="G392">
        <f ca="1">IFERROR(tbl_Recettes[[#This Row],[Quantité]] * IFERROR(_xlfn.XLOOKUP(tbl_Recettes[[#This Row],[Cde_Ingrdt]], tbl_Stock[Cde_Ingrdt], tbl_Stock[CMP effectif]),0),0)</f>
        <v>0.4</v>
      </c>
    </row>
    <row r="393" spans="1:7" x14ac:dyDescent="0.25">
      <c r="A393" t="s">
        <v>653</v>
      </c>
      <c r="B393" t="s">
        <v>654</v>
      </c>
      <c r="C393" t="s">
        <v>459</v>
      </c>
      <c r="D393" t="s">
        <v>460</v>
      </c>
      <c r="E393">
        <v>150</v>
      </c>
      <c r="F393" t="s">
        <v>209</v>
      </c>
      <c r="G393">
        <f ca="1">IFERROR(tbl_Recettes[[#This Row],[Quantité]] * IFERROR(_xlfn.XLOOKUP(tbl_Recettes[[#This Row],[Cde_Ingrdt]], tbl_Stock[Cde_Ingrdt], tbl_Stock[CMP effectif]),0),0)</f>
        <v>13.5</v>
      </c>
    </row>
    <row r="394" spans="1:7" x14ac:dyDescent="0.25">
      <c r="A394" t="s">
        <v>653</v>
      </c>
      <c r="B394" t="s">
        <v>654</v>
      </c>
      <c r="C394" t="s">
        <v>651</v>
      </c>
      <c r="D394" t="s">
        <v>652</v>
      </c>
      <c r="E394">
        <v>10</v>
      </c>
      <c r="F394" t="s">
        <v>209</v>
      </c>
      <c r="G394">
        <f ca="1">IFERROR(tbl_Recettes[[#This Row],[Quantité]] * IFERROR(_xlfn.XLOOKUP(tbl_Recettes[[#This Row],[Cde_Ingrdt]], tbl_Stock[Cde_Ingrdt], tbl_Stock[CMP effectif]),0),0)</f>
        <v>0.2</v>
      </c>
    </row>
    <row r="395" spans="1:7" x14ac:dyDescent="0.25">
      <c r="A395" t="s">
        <v>655</v>
      </c>
      <c r="B395" t="s">
        <v>656</v>
      </c>
      <c r="C395" t="s">
        <v>476</v>
      </c>
      <c r="D395" t="s">
        <v>477</v>
      </c>
      <c r="E395">
        <v>180</v>
      </c>
      <c r="F395" t="s">
        <v>209</v>
      </c>
      <c r="G395">
        <f ca="1">IFERROR(tbl_Recettes[[#This Row],[Quantité]] * IFERROR(_xlfn.XLOOKUP(tbl_Recettes[[#This Row],[Cde_Ingrdt]], tbl_Stock[Cde_Ingrdt], tbl_Stock[CMP effectif]),0),0)</f>
        <v>14.4</v>
      </c>
    </row>
    <row r="396" spans="1:7" x14ac:dyDescent="0.25">
      <c r="A396" t="s">
        <v>655</v>
      </c>
      <c r="B396" t="s">
        <v>656</v>
      </c>
      <c r="C396" t="s">
        <v>219</v>
      </c>
      <c r="D396" t="s">
        <v>220</v>
      </c>
      <c r="E396">
        <v>80</v>
      </c>
      <c r="F396" t="s">
        <v>221</v>
      </c>
      <c r="G396">
        <f ca="1">IFERROR(tbl_Recettes[[#This Row],[Quantité]] * IFERROR(_xlfn.XLOOKUP(tbl_Recettes[[#This Row],[Cde_Ingrdt]], tbl_Stock[Cde_Ingrdt], tbl_Stock[CMP effectif]),0),0)</f>
        <v>12</v>
      </c>
    </row>
    <row r="397" spans="1:7" x14ac:dyDescent="0.25">
      <c r="A397" t="s">
        <v>655</v>
      </c>
      <c r="B397" t="s">
        <v>656</v>
      </c>
      <c r="C397" t="s">
        <v>210</v>
      </c>
      <c r="D397" t="s">
        <v>211</v>
      </c>
      <c r="E397">
        <v>1</v>
      </c>
      <c r="F397" t="s">
        <v>206</v>
      </c>
      <c r="G397">
        <f ca="1">IFERROR(tbl_Recettes[[#This Row],[Quantité]] * IFERROR(_xlfn.XLOOKUP(tbl_Recettes[[#This Row],[Cde_Ingrdt]], tbl_Stock[Cde_Ingrdt], tbl_Stock[CMP effectif]),0),0)</f>
        <v>0.9</v>
      </c>
    </row>
    <row r="398" spans="1:7" x14ac:dyDescent="0.25">
      <c r="A398" t="s">
        <v>657</v>
      </c>
      <c r="B398" t="s">
        <v>658</v>
      </c>
      <c r="C398" t="s">
        <v>659</v>
      </c>
      <c r="D398" t="s">
        <v>660</v>
      </c>
      <c r="E398">
        <v>200</v>
      </c>
      <c r="F398" t="s">
        <v>209</v>
      </c>
      <c r="G398">
        <f ca="1">IFERROR(tbl_Recettes[[#This Row],[Quantité]] * IFERROR(_xlfn.XLOOKUP(tbl_Recettes[[#This Row],[Cde_Ingrdt]], tbl_Stock[Cde_Ingrdt], tbl_Stock[CMP effectif]),0),0)</f>
        <v>20</v>
      </c>
    </row>
    <row r="399" spans="1:7" x14ac:dyDescent="0.25">
      <c r="A399" t="s">
        <v>657</v>
      </c>
      <c r="B399" t="s">
        <v>658</v>
      </c>
      <c r="C399" t="s">
        <v>219</v>
      </c>
      <c r="D399" t="s">
        <v>220</v>
      </c>
      <c r="E399">
        <v>80</v>
      </c>
      <c r="F399" t="s">
        <v>221</v>
      </c>
      <c r="G399">
        <f ca="1">IFERROR(tbl_Recettes[[#This Row],[Quantité]] * IFERROR(_xlfn.XLOOKUP(tbl_Recettes[[#This Row],[Cde_Ingrdt]], tbl_Stock[Cde_Ingrdt], tbl_Stock[CMP effectif]),0),0)</f>
        <v>12</v>
      </c>
    </row>
    <row r="400" spans="1:7" x14ac:dyDescent="0.25">
      <c r="A400" t="s">
        <v>657</v>
      </c>
      <c r="B400" t="s">
        <v>658</v>
      </c>
      <c r="C400" t="s">
        <v>516</v>
      </c>
      <c r="D400" t="s">
        <v>517</v>
      </c>
      <c r="E400">
        <v>20</v>
      </c>
      <c r="F400" t="s">
        <v>209</v>
      </c>
      <c r="G400">
        <f ca="1">IFERROR(tbl_Recettes[[#This Row],[Quantité]] * IFERROR(_xlfn.XLOOKUP(tbl_Recettes[[#This Row],[Cde_Ingrdt]], tbl_Stock[Cde_Ingrdt], tbl_Stock[CMP effectif]),0),0)</f>
        <v>2</v>
      </c>
    </row>
    <row r="401" spans="1:7" x14ac:dyDescent="0.25">
      <c r="A401" t="s">
        <v>76</v>
      </c>
      <c r="B401" t="s">
        <v>661</v>
      </c>
      <c r="C401" t="s">
        <v>662</v>
      </c>
      <c r="D401" t="s">
        <v>663</v>
      </c>
      <c r="E401">
        <v>150</v>
      </c>
      <c r="F401" t="s">
        <v>209</v>
      </c>
      <c r="G401">
        <f ca="1">IFERROR(tbl_Recettes[[#This Row],[Quantité]] * IFERROR(_xlfn.XLOOKUP(tbl_Recettes[[#This Row],[Cde_Ingrdt]], tbl_Stock[Cde_Ingrdt], tbl_Stock[CMP effectif]),0),0)</f>
        <v>3</v>
      </c>
    </row>
    <row r="402" spans="1:7" x14ac:dyDescent="0.25">
      <c r="A402" t="s">
        <v>76</v>
      </c>
      <c r="B402" t="s">
        <v>661</v>
      </c>
      <c r="C402" t="s">
        <v>615</v>
      </c>
      <c r="D402" t="s">
        <v>616</v>
      </c>
      <c r="E402">
        <v>200</v>
      </c>
      <c r="F402" t="s">
        <v>209</v>
      </c>
      <c r="G402">
        <f ca="1">IFERROR(tbl_Recettes[[#This Row],[Quantité]] * IFERROR(_xlfn.XLOOKUP(tbl_Recettes[[#This Row],[Cde_Ingrdt]], tbl_Stock[Cde_Ingrdt], tbl_Stock[CMP effectif]),0),0)</f>
        <v>20</v>
      </c>
    </row>
    <row r="403" spans="1:7" x14ac:dyDescent="0.25">
      <c r="A403" t="s">
        <v>76</v>
      </c>
      <c r="B403" t="s">
        <v>661</v>
      </c>
      <c r="C403" t="s">
        <v>555</v>
      </c>
      <c r="D403" t="s">
        <v>556</v>
      </c>
      <c r="E403">
        <v>200</v>
      </c>
      <c r="F403" t="s">
        <v>209</v>
      </c>
      <c r="G403">
        <f ca="1">IFERROR(tbl_Recettes[[#This Row],[Quantité]] * IFERROR(_xlfn.XLOOKUP(tbl_Recettes[[#This Row],[Cde_Ingrdt]], tbl_Stock[Cde_Ingrdt], tbl_Stock[CMP effectif]),0),0)</f>
        <v>4</v>
      </c>
    </row>
    <row r="404" spans="1:7" x14ac:dyDescent="0.25">
      <c r="A404" t="s">
        <v>76</v>
      </c>
      <c r="B404" t="s">
        <v>661</v>
      </c>
      <c r="C404" t="s">
        <v>664</v>
      </c>
      <c r="D404" t="s">
        <v>665</v>
      </c>
      <c r="E404">
        <v>40</v>
      </c>
      <c r="F404" t="s">
        <v>209</v>
      </c>
      <c r="G404">
        <f ca="1">IFERROR(tbl_Recettes[[#This Row],[Quantité]] * IFERROR(_xlfn.XLOOKUP(tbl_Recettes[[#This Row],[Cde_Ingrdt]], tbl_Stock[Cde_Ingrdt], tbl_Stock[CMP effectif]),0),0)</f>
        <v>1.2</v>
      </c>
    </row>
    <row r="405" spans="1:7" x14ac:dyDescent="0.25">
      <c r="A405" t="s">
        <v>76</v>
      </c>
      <c r="B405" t="s">
        <v>661</v>
      </c>
      <c r="C405" t="s">
        <v>297</v>
      </c>
      <c r="D405" t="s">
        <v>298</v>
      </c>
      <c r="E405">
        <v>15</v>
      </c>
      <c r="F405" t="s">
        <v>221</v>
      </c>
      <c r="G405">
        <f ca="1">IFERROR(tbl_Recettes[[#This Row],[Quantité]] * IFERROR(_xlfn.XLOOKUP(tbl_Recettes[[#This Row],[Cde_Ingrdt]], tbl_Stock[Cde_Ingrdt], tbl_Stock[CMP effectif]),0),0)</f>
        <v>1.3499999999999999</v>
      </c>
    </row>
    <row r="406" spans="1:7" x14ac:dyDescent="0.25">
      <c r="A406" t="s">
        <v>666</v>
      </c>
      <c r="B406" t="s">
        <v>667</v>
      </c>
      <c r="C406" t="s">
        <v>662</v>
      </c>
      <c r="D406" t="s">
        <v>663</v>
      </c>
      <c r="E406">
        <v>150</v>
      </c>
      <c r="F406" t="s">
        <v>209</v>
      </c>
      <c r="G406">
        <f ca="1">IFERROR(tbl_Recettes[[#This Row],[Quantité]] * IFERROR(_xlfn.XLOOKUP(tbl_Recettes[[#This Row],[Cde_Ingrdt]], tbl_Stock[Cde_Ingrdt], tbl_Stock[CMP effectif]),0),0)</f>
        <v>3</v>
      </c>
    </row>
    <row r="407" spans="1:7" x14ac:dyDescent="0.25">
      <c r="A407" t="s">
        <v>666</v>
      </c>
      <c r="B407" t="s">
        <v>667</v>
      </c>
      <c r="C407" t="s">
        <v>635</v>
      </c>
      <c r="D407" t="s">
        <v>636</v>
      </c>
      <c r="E407">
        <v>200</v>
      </c>
      <c r="F407" t="s">
        <v>209</v>
      </c>
      <c r="G407">
        <f ca="1">IFERROR(tbl_Recettes[[#This Row],[Quantité]] * IFERROR(_xlfn.XLOOKUP(tbl_Recettes[[#This Row],[Cde_Ingrdt]], tbl_Stock[Cde_Ingrdt], tbl_Stock[CMP effectif]),0),0)</f>
        <v>9</v>
      </c>
    </row>
    <row r="408" spans="1:7" x14ac:dyDescent="0.25">
      <c r="A408" t="s">
        <v>666</v>
      </c>
      <c r="B408" t="s">
        <v>667</v>
      </c>
      <c r="C408" t="s">
        <v>555</v>
      </c>
      <c r="D408" t="s">
        <v>556</v>
      </c>
      <c r="E408">
        <v>200</v>
      </c>
      <c r="F408" t="s">
        <v>209</v>
      </c>
      <c r="G408">
        <f ca="1">IFERROR(tbl_Recettes[[#This Row],[Quantité]] * IFERROR(_xlfn.XLOOKUP(tbl_Recettes[[#This Row],[Cde_Ingrdt]], tbl_Stock[Cde_Ingrdt], tbl_Stock[CMP effectif]),0),0)</f>
        <v>4</v>
      </c>
    </row>
    <row r="409" spans="1:7" x14ac:dyDescent="0.25">
      <c r="A409" t="s">
        <v>666</v>
      </c>
      <c r="B409" t="s">
        <v>667</v>
      </c>
      <c r="C409" t="s">
        <v>664</v>
      </c>
      <c r="D409" t="s">
        <v>665</v>
      </c>
      <c r="E409">
        <v>40</v>
      </c>
      <c r="F409" t="s">
        <v>209</v>
      </c>
      <c r="G409">
        <f ca="1">IFERROR(tbl_Recettes[[#This Row],[Quantité]] * IFERROR(_xlfn.XLOOKUP(tbl_Recettes[[#This Row],[Cde_Ingrdt]], tbl_Stock[Cde_Ingrdt], tbl_Stock[CMP effectif]),0),0)</f>
        <v>1.2</v>
      </c>
    </row>
    <row r="410" spans="1:7" x14ac:dyDescent="0.25">
      <c r="A410" t="s">
        <v>668</v>
      </c>
      <c r="B410" t="s">
        <v>669</v>
      </c>
      <c r="C410" t="s">
        <v>670</v>
      </c>
      <c r="D410" t="s">
        <v>671</v>
      </c>
      <c r="E410">
        <v>1</v>
      </c>
      <c r="F410" t="s">
        <v>206</v>
      </c>
      <c r="G410">
        <f ca="1">IFERROR(tbl_Recettes[[#This Row],[Quantité]] * IFERROR(_xlfn.XLOOKUP(tbl_Recettes[[#This Row],[Cde_Ingrdt]], tbl_Stock[Cde_Ingrdt], tbl_Stock[CMP effectif]),0),0)</f>
        <v>8</v>
      </c>
    </row>
    <row r="411" spans="1:7" x14ac:dyDescent="0.25">
      <c r="A411" t="s">
        <v>668</v>
      </c>
      <c r="B411" t="s">
        <v>669</v>
      </c>
      <c r="C411" t="s">
        <v>672</v>
      </c>
      <c r="D411" t="s">
        <v>673</v>
      </c>
      <c r="E411">
        <v>1</v>
      </c>
      <c r="F411" t="s">
        <v>206</v>
      </c>
      <c r="G411">
        <f ca="1">IFERROR(tbl_Recettes[[#This Row],[Quantité]] * IFERROR(_xlfn.XLOOKUP(tbl_Recettes[[#This Row],[Cde_Ingrdt]], tbl_Stock[Cde_Ingrdt], tbl_Stock[CMP effectif]),0),0)</f>
        <v>8</v>
      </c>
    </row>
    <row r="412" spans="1:7" x14ac:dyDescent="0.25">
      <c r="A412" t="s">
        <v>668</v>
      </c>
      <c r="B412" t="s">
        <v>669</v>
      </c>
      <c r="C412" t="s">
        <v>674</v>
      </c>
      <c r="D412" t="s">
        <v>675</v>
      </c>
      <c r="E412">
        <v>1</v>
      </c>
      <c r="F412" t="s">
        <v>206</v>
      </c>
      <c r="G412">
        <f ca="1">IFERROR(tbl_Recettes[[#This Row],[Quantité]] * IFERROR(_xlfn.XLOOKUP(tbl_Recettes[[#This Row],[Cde_Ingrdt]], tbl_Stock[Cde_Ingrdt], tbl_Stock[CMP effectif]),0),0)</f>
        <v>8</v>
      </c>
    </row>
    <row r="413" spans="1:7" x14ac:dyDescent="0.25">
      <c r="A413" t="s">
        <v>668</v>
      </c>
      <c r="B413" t="s">
        <v>669</v>
      </c>
      <c r="C413" t="s">
        <v>676</v>
      </c>
      <c r="D413" t="s">
        <v>677</v>
      </c>
      <c r="E413">
        <v>1</v>
      </c>
      <c r="F413" t="s">
        <v>206</v>
      </c>
      <c r="G413">
        <f ca="1">IFERROR(tbl_Recettes[[#This Row],[Quantité]] * IFERROR(_xlfn.XLOOKUP(tbl_Recettes[[#This Row],[Cde_Ingrdt]], tbl_Stock[Cde_Ingrdt], tbl_Stock[CMP effectif]),0),0)</f>
        <v>8</v>
      </c>
    </row>
    <row r="414" spans="1:7" x14ac:dyDescent="0.25">
      <c r="A414" t="s">
        <v>668</v>
      </c>
      <c r="B414" t="s">
        <v>669</v>
      </c>
      <c r="C414" t="s">
        <v>678</v>
      </c>
      <c r="D414" t="s">
        <v>679</v>
      </c>
      <c r="E414">
        <v>1</v>
      </c>
      <c r="F414" t="s">
        <v>206</v>
      </c>
      <c r="G414">
        <f ca="1">IFERROR(tbl_Recettes[[#This Row],[Quantité]] * IFERROR(_xlfn.XLOOKUP(tbl_Recettes[[#This Row],[Cde_Ingrdt]], tbl_Stock[Cde_Ingrdt], tbl_Stock[CMP effectif]),0),0)</f>
        <v>8</v>
      </c>
    </row>
    <row r="415" spans="1:7" x14ac:dyDescent="0.25">
      <c r="A415" t="s">
        <v>680</v>
      </c>
      <c r="B415" t="s">
        <v>681</v>
      </c>
      <c r="C415" t="s">
        <v>307</v>
      </c>
      <c r="D415" t="s">
        <v>308</v>
      </c>
      <c r="E415">
        <v>180</v>
      </c>
      <c r="F415" t="s">
        <v>209</v>
      </c>
      <c r="G415">
        <f ca="1">IFERROR(tbl_Recettes[[#This Row],[Quantité]] * IFERROR(_xlfn.XLOOKUP(tbl_Recettes[[#This Row],[Cde_Ingrdt]], tbl_Stock[Cde_Ingrdt], tbl_Stock[CMP effectif]),0),0)</f>
        <v>1.8</v>
      </c>
    </row>
    <row r="416" spans="1:7" x14ac:dyDescent="0.25">
      <c r="A416" t="s">
        <v>680</v>
      </c>
      <c r="B416" t="s">
        <v>681</v>
      </c>
      <c r="C416" t="s">
        <v>420</v>
      </c>
      <c r="D416" t="s">
        <v>421</v>
      </c>
      <c r="E416">
        <v>60</v>
      </c>
      <c r="F416" t="s">
        <v>209</v>
      </c>
      <c r="G416">
        <f ca="1">IFERROR(tbl_Recettes[[#This Row],[Quantité]] * IFERROR(_xlfn.XLOOKUP(tbl_Recettes[[#This Row],[Cde_Ingrdt]], tbl_Stock[Cde_Ingrdt], tbl_Stock[CMP effectif]),0),0)</f>
        <v>1.5</v>
      </c>
    </row>
    <row r="417" spans="1:7" x14ac:dyDescent="0.25">
      <c r="A417" t="s">
        <v>680</v>
      </c>
      <c r="B417" t="s">
        <v>681</v>
      </c>
      <c r="C417" t="s">
        <v>315</v>
      </c>
      <c r="D417" t="s">
        <v>316</v>
      </c>
      <c r="E417">
        <v>60</v>
      </c>
      <c r="F417" t="s">
        <v>209</v>
      </c>
      <c r="G417">
        <f ca="1">IFERROR(tbl_Recettes[[#This Row],[Quantité]] * IFERROR(_xlfn.XLOOKUP(tbl_Recettes[[#This Row],[Cde_Ingrdt]], tbl_Stock[Cde_Ingrdt], tbl_Stock[CMP effectif]),0),0)</f>
        <v>6</v>
      </c>
    </row>
    <row r="418" spans="1:7" x14ac:dyDescent="0.25">
      <c r="A418" t="s">
        <v>682</v>
      </c>
      <c r="B418" t="s">
        <v>683</v>
      </c>
      <c r="C418" t="s">
        <v>385</v>
      </c>
      <c r="D418" t="s">
        <v>386</v>
      </c>
      <c r="E418">
        <v>0.5</v>
      </c>
      <c r="F418" t="s">
        <v>206</v>
      </c>
      <c r="G418">
        <f ca="1">IFERROR(tbl_Recettes[[#This Row],[Quantité]] * IFERROR(_xlfn.XLOOKUP(tbl_Recettes[[#This Row],[Cde_Ingrdt]], tbl_Stock[Cde_Ingrdt], tbl_Stock[CMP effectif]),0),0)</f>
        <v>4</v>
      </c>
    </row>
    <row r="419" spans="1:7" x14ac:dyDescent="0.25">
      <c r="A419" t="s">
        <v>682</v>
      </c>
      <c r="B419" t="s">
        <v>683</v>
      </c>
      <c r="C419" t="s">
        <v>684</v>
      </c>
      <c r="D419" t="s">
        <v>685</v>
      </c>
      <c r="E419">
        <v>60</v>
      </c>
      <c r="F419" t="s">
        <v>209</v>
      </c>
      <c r="G419">
        <f ca="1">IFERROR(tbl_Recettes[[#This Row],[Quantité]] * IFERROR(_xlfn.XLOOKUP(tbl_Recettes[[#This Row],[Cde_Ingrdt]], tbl_Stock[Cde_Ingrdt], tbl_Stock[CMP effectif]),0),0)</f>
        <v>0.36</v>
      </c>
    </row>
    <row r="420" spans="1:7" x14ac:dyDescent="0.25">
      <c r="A420" t="s">
        <v>682</v>
      </c>
      <c r="B420" t="s">
        <v>683</v>
      </c>
      <c r="C420" t="s">
        <v>307</v>
      </c>
      <c r="D420" t="s">
        <v>308</v>
      </c>
      <c r="E420">
        <v>80</v>
      </c>
      <c r="F420" t="s">
        <v>209</v>
      </c>
      <c r="G420">
        <f ca="1">IFERROR(tbl_Recettes[[#This Row],[Quantité]] * IFERROR(_xlfn.XLOOKUP(tbl_Recettes[[#This Row],[Cde_Ingrdt]], tbl_Stock[Cde_Ingrdt], tbl_Stock[CMP effectif]),0),0)</f>
        <v>0.8</v>
      </c>
    </row>
    <row r="421" spans="1:7" x14ac:dyDescent="0.25">
      <c r="A421" t="s">
        <v>682</v>
      </c>
      <c r="B421" t="s">
        <v>683</v>
      </c>
      <c r="C421" t="s">
        <v>309</v>
      </c>
      <c r="D421" t="s">
        <v>310</v>
      </c>
      <c r="E421">
        <v>30</v>
      </c>
      <c r="F421" t="s">
        <v>209</v>
      </c>
      <c r="G421">
        <f ca="1">IFERROR(tbl_Recettes[[#This Row],[Quantité]] * IFERROR(_xlfn.XLOOKUP(tbl_Recettes[[#This Row],[Cde_Ingrdt]], tbl_Stock[Cde_Ingrdt], tbl_Stock[CMP effectif]),0),0)</f>
        <v>0.3</v>
      </c>
    </row>
    <row r="422" spans="1:7" x14ac:dyDescent="0.25">
      <c r="A422" t="s">
        <v>682</v>
      </c>
      <c r="B422" t="s">
        <v>683</v>
      </c>
      <c r="C422" t="s">
        <v>399</v>
      </c>
      <c r="D422" t="s">
        <v>400</v>
      </c>
      <c r="E422">
        <v>90</v>
      </c>
      <c r="F422" t="s">
        <v>209</v>
      </c>
      <c r="G422">
        <f ca="1">IFERROR(tbl_Recettes[[#This Row],[Quantité]] * IFERROR(_xlfn.XLOOKUP(tbl_Recettes[[#This Row],[Cde_Ingrdt]], tbl_Stock[Cde_Ingrdt], tbl_Stock[CMP effectif]),0),0)</f>
        <v>13.5</v>
      </c>
    </row>
    <row r="423" spans="1:7" x14ac:dyDescent="0.25">
      <c r="A423" t="s">
        <v>686</v>
      </c>
      <c r="B423" t="s">
        <v>687</v>
      </c>
      <c r="C423" t="s">
        <v>385</v>
      </c>
      <c r="D423" t="s">
        <v>386</v>
      </c>
      <c r="E423">
        <v>0.5</v>
      </c>
      <c r="F423" t="s">
        <v>206</v>
      </c>
      <c r="G423">
        <f ca="1">IFERROR(tbl_Recettes[[#This Row],[Quantité]] * IFERROR(_xlfn.XLOOKUP(tbl_Recettes[[#This Row],[Cde_Ingrdt]], tbl_Stock[Cde_Ingrdt], tbl_Stock[CMP effectif]),0),0)</f>
        <v>4</v>
      </c>
    </row>
    <row r="424" spans="1:7" x14ac:dyDescent="0.25">
      <c r="A424" t="s">
        <v>686</v>
      </c>
      <c r="B424" t="s">
        <v>687</v>
      </c>
      <c r="C424" t="s">
        <v>307</v>
      </c>
      <c r="D424" t="s">
        <v>308</v>
      </c>
      <c r="E424">
        <v>90</v>
      </c>
      <c r="F424" t="s">
        <v>209</v>
      </c>
      <c r="G424">
        <f ca="1">IFERROR(tbl_Recettes[[#This Row],[Quantité]] * IFERROR(_xlfn.XLOOKUP(tbl_Recettes[[#This Row],[Cde_Ingrdt]], tbl_Stock[Cde_Ingrdt], tbl_Stock[CMP effectif]),0),0)</f>
        <v>0.9</v>
      </c>
    </row>
    <row r="425" spans="1:7" x14ac:dyDescent="0.25">
      <c r="A425" t="s">
        <v>686</v>
      </c>
      <c r="B425" t="s">
        <v>687</v>
      </c>
      <c r="C425" t="s">
        <v>309</v>
      </c>
      <c r="D425" t="s">
        <v>310</v>
      </c>
      <c r="E425">
        <v>50</v>
      </c>
      <c r="F425" t="s">
        <v>209</v>
      </c>
      <c r="G425">
        <f ca="1">IFERROR(tbl_Recettes[[#This Row],[Quantité]] * IFERROR(_xlfn.XLOOKUP(tbl_Recettes[[#This Row],[Cde_Ingrdt]], tbl_Stock[Cde_Ingrdt], tbl_Stock[CMP effectif]),0),0)</f>
        <v>0.5</v>
      </c>
    </row>
    <row r="426" spans="1:7" x14ac:dyDescent="0.25">
      <c r="A426" t="s">
        <v>686</v>
      </c>
      <c r="B426" t="s">
        <v>687</v>
      </c>
      <c r="C426" t="s">
        <v>684</v>
      </c>
      <c r="D426" t="s">
        <v>685</v>
      </c>
      <c r="E426">
        <v>70</v>
      </c>
      <c r="F426" t="s">
        <v>209</v>
      </c>
      <c r="G426">
        <f ca="1">IFERROR(tbl_Recettes[[#This Row],[Quantité]] * IFERROR(_xlfn.XLOOKUP(tbl_Recettes[[#This Row],[Cde_Ingrdt]], tbl_Stock[Cde_Ingrdt], tbl_Stock[CMP effectif]),0),0)</f>
        <v>0.42</v>
      </c>
    </row>
    <row r="427" spans="1:7" x14ac:dyDescent="0.25">
      <c r="A427" t="s">
        <v>688</v>
      </c>
      <c r="B427" t="s">
        <v>689</v>
      </c>
      <c r="C427" t="s">
        <v>397</v>
      </c>
      <c r="D427" t="s">
        <v>398</v>
      </c>
      <c r="E427">
        <v>400</v>
      </c>
      <c r="F427" t="s">
        <v>209</v>
      </c>
      <c r="G427">
        <f ca="1">IFERROR(tbl_Recettes[[#This Row],[Quantité]] * IFERROR(_xlfn.XLOOKUP(tbl_Recettes[[#This Row],[Cde_Ingrdt]], tbl_Stock[Cde_Ingrdt], tbl_Stock[CMP effectif]),0),0)</f>
        <v>4</v>
      </c>
    </row>
    <row r="428" spans="1:7" x14ac:dyDescent="0.25">
      <c r="A428" t="s">
        <v>690</v>
      </c>
      <c r="B428" t="s">
        <v>691</v>
      </c>
      <c r="C428" t="s">
        <v>307</v>
      </c>
      <c r="D428" t="s">
        <v>308</v>
      </c>
      <c r="E428">
        <v>360</v>
      </c>
      <c r="F428" t="s">
        <v>209</v>
      </c>
      <c r="G428">
        <f ca="1">IFERROR(tbl_Recettes[[#This Row],[Quantité]] * IFERROR(_xlfn.XLOOKUP(tbl_Recettes[[#This Row],[Cde_Ingrdt]], tbl_Stock[Cde_Ingrdt], tbl_Stock[CMP effectif]),0),0)</f>
        <v>3.6</v>
      </c>
    </row>
    <row r="429" spans="1:7" x14ac:dyDescent="0.25">
      <c r="A429" t="s">
        <v>690</v>
      </c>
      <c r="B429" t="s">
        <v>691</v>
      </c>
      <c r="C429" t="s">
        <v>309</v>
      </c>
      <c r="D429" t="s">
        <v>310</v>
      </c>
      <c r="E429">
        <v>200</v>
      </c>
      <c r="F429" t="s">
        <v>209</v>
      </c>
      <c r="G429">
        <f ca="1">IFERROR(tbl_Recettes[[#This Row],[Quantité]] * IFERROR(_xlfn.XLOOKUP(tbl_Recettes[[#This Row],[Cde_Ingrdt]], tbl_Stock[Cde_Ingrdt], tbl_Stock[CMP effectif]),0),0)</f>
        <v>2</v>
      </c>
    </row>
    <row r="430" spans="1:7" x14ac:dyDescent="0.25">
      <c r="A430" t="s">
        <v>692</v>
      </c>
      <c r="B430" t="s">
        <v>693</v>
      </c>
      <c r="C430" t="s">
        <v>694</v>
      </c>
      <c r="D430" t="s">
        <v>695</v>
      </c>
      <c r="E430">
        <v>1</v>
      </c>
      <c r="F430" t="s">
        <v>206</v>
      </c>
      <c r="G430">
        <f ca="1">IFERROR(tbl_Recettes[[#This Row],[Quantité]] * IFERROR(_xlfn.XLOOKUP(tbl_Recettes[[#This Row],[Cde_Ingrdt]], tbl_Stock[Cde_Ingrdt], tbl_Stock[CMP effectif]),0),0)</f>
        <v>5</v>
      </c>
    </row>
    <row r="431" spans="1:7" x14ac:dyDescent="0.25">
      <c r="A431" t="s">
        <v>696</v>
      </c>
      <c r="B431" t="s">
        <v>697</v>
      </c>
      <c r="C431" t="s">
        <v>293</v>
      </c>
      <c r="D431" t="s">
        <v>294</v>
      </c>
      <c r="E431">
        <v>80</v>
      </c>
      <c r="F431" t="s">
        <v>209</v>
      </c>
      <c r="G431">
        <f ca="1">IFERROR(tbl_Recettes[[#This Row],[Quantité]] * IFERROR(_xlfn.XLOOKUP(tbl_Recettes[[#This Row],[Cde_Ingrdt]], tbl_Stock[Cde_Ingrdt], tbl_Stock[CMP effectif]),0),0)</f>
        <v>8</v>
      </c>
    </row>
    <row r="432" spans="1:7" x14ac:dyDescent="0.25">
      <c r="A432" t="s">
        <v>696</v>
      </c>
      <c r="B432" t="s">
        <v>697</v>
      </c>
      <c r="C432" t="s">
        <v>353</v>
      </c>
      <c r="D432" t="s">
        <v>354</v>
      </c>
      <c r="E432">
        <v>60</v>
      </c>
      <c r="F432" t="s">
        <v>209</v>
      </c>
      <c r="G432">
        <f ca="1">IFERROR(tbl_Recettes[[#This Row],[Quantité]] * IFERROR(_xlfn.XLOOKUP(tbl_Recettes[[#This Row],[Cde_Ingrdt]], tbl_Stock[Cde_Ingrdt], tbl_Stock[CMP effectif]),0),0)</f>
        <v>48</v>
      </c>
    </row>
    <row r="433" spans="1:7" x14ac:dyDescent="0.25">
      <c r="A433" t="s">
        <v>696</v>
      </c>
      <c r="B433" t="s">
        <v>697</v>
      </c>
      <c r="C433" t="s">
        <v>651</v>
      </c>
      <c r="D433" t="s">
        <v>652</v>
      </c>
      <c r="E433">
        <v>30</v>
      </c>
      <c r="F433" t="s">
        <v>209</v>
      </c>
      <c r="G433">
        <f ca="1">IFERROR(tbl_Recettes[[#This Row],[Quantité]] * IFERROR(_xlfn.XLOOKUP(tbl_Recettes[[#This Row],[Cde_Ingrdt]], tbl_Stock[Cde_Ingrdt], tbl_Stock[CMP effectif]),0),0)</f>
        <v>0.6</v>
      </c>
    </row>
    <row r="434" spans="1:7" x14ac:dyDescent="0.25">
      <c r="A434" t="s">
        <v>698</v>
      </c>
      <c r="B434" t="s">
        <v>699</v>
      </c>
      <c r="C434" t="s">
        <v>700</v>
      </c>
      <c r="D434" t="s">
        <v>701</v>
      </c>
      <c r="E434">
        <v>120</v>
      </c>
      <c r="F434" t="s">
        <v>209</v>
      </c>
      <c r="G434">
        <f ca="1">IFERROR(tbl_Recettes[[#This Row],[Quantité]] * IFERROR(_xlfn.XLOOKUP(tbl_Recettes[[#This Row],[Cde_Ingrdt]], tbl_Stock[Cde_Ingrdt], tbl_Stock[CMP effectif]),0),0)</f>
        <v>6</v>
      </c>
    </row>
    <row r="435" spans="1:7" x14ac:dyDescent="0.25">
      <c r="A435" t="s">
        <v>698</v>
      </c>
      <c r="B435" t="s">
        <v>699</v>
      </c>
      <c r="C435" t="s">
        <v>472</v>
      </c>
      <c r="D435" t="s">
        <v>473</v>
      </c>
      <c r="E435">
        <v>80</v>
      </c>
      <c r="F435" t="s">
        <v>209</v>
      </c>
      <c r="G435">
        <f ca="1">IFERROR(tbl_Recettes[[#This Row],[Quantité]] * IFERROR(_xlfn.XLOOKUP(tbl_Recettes[[#This Row],[Cde_Ingrdt]], tbl_Stock[Cde_Ingrdt], tbl_Stock[CMP effectif]),0),0)</f>
        <v>7.1999999999999993</v>
      </c>
    </row>
    <row r="436" spans="1:7" x14ac:dyDescent="0.25">
      <c r="A436" t="s">
        <v>698</v>
      </c>
      <c r="B436" t="s">
        <v>699</v>
      </c>
      <c r="C436" t="s">
        <v>105</v>
      </c>
      <c r="D436" t="s">
        <v>337</v>
      </c>
      <c r="E436">
        <v>50</v>
      </c>
      <c r="F436" t="s">
        <v>209</v>
      </c>
      <c r="G436">
        <f ca="1">IFERROR(tbl_Recettes[[#This Row],[Quantité]] * IFERROR(_xlfn.XLOOKUP(tbl_Recettes[[#This Row],[Cde_Ingrdt]], tbl_Stock[Cde_Ingrdt], tbl_Stock[CMP effectif]),0),0)</f>
        <v>10.75</v>
      </c>
    </row>
    <row r="437" spans="1:7" x14ac:dyDescent="0.25">
      <c r="A437" t="s">
        <v>698</v>
      </c>
      <c r="B437" t="s">
        <v>699</v>
      </c>
      <c r="C437" t="s">
        <v>219</v>
      </c>
      <c r="D437" t="s">
        <v>220</v>
      </c>
      <c r="E437">
        <v>40</v>
      </c>
      <c r="F437" t="s">
        <v>221</v>
      </c>
      <c r="G437">
        <f ca="1">IFERROR(tbl_Recettes[[#This Row],[Quantité]] * IFERROR(_xlfn.XLOOKUP(tbl_Recettes[[#This Row],[Cde_Ingrdt]], tbl_Stock[Cde_Ingrdt], tbl_Stock[CMP effectif]),0),0)</f>
        <v>6</v>
      </c>
    </row>
    <row r="438" spans="1:7" x14ac:dyDescent="0.25">
      <c r="A438" t="s">
        <v>698</v>
      </c>
      <c r="B438" t="s">
        <v>699</v>
      </c>
      <c r="C438" t="s">
        <v>303</v>
      </c>
      <c r="D438" t="s">
        <v>304</v>
      </c>
      <c r="E438">
        <v>50</v>
      </c>
      <c r="F438" t="s">
        <v>209</v>
      </c>
      <c r="G438">
        <f ca="1">IFERROR(tbl_Recettes[[#This Row],[Quantité]] * IFERROR(_xlfn.XLOOKUP(tbl_Recettes[[#This Row],[Cde_Ingrdt]], tbl_Stock[Cde_Ingrdt], tbl_Stock[CMP effectif]),0),0)</f>
        <v>8.2000000000000011</v>
      </c>
    </row>
    <row r="439" spans="1:7" x14ac:dyDescent="0.25">
      <c r="A439" t="s">
        <v>702</v>
      </c>
      <c r="B439" t="s">
        <v>703</v>
      </c>
      <c r="C439" t="s">
        <v>700</v>
      </c>
      <c r="D439" t="s">
        <v>701</v>
      </c>
      <c r="E439">
        <v>120</v>
      </c>
      <c r="F439" t="s">
        <v>209</v>
      </c>
      <c r="G439">
        <f ca="1">IFERROR(tbl_Recettes[[#This Row],[Quantité]] * IFERROR(_xlfn.XLOOKUP(tbl_Recettes[[#This Row],[Cde_Ingrdt]], tbl_Stock[Cde_Ingrdt], tbl_Stock[CMP effectif]),0),0)</f>
        <v>6</v>
      </c>
    </row>
    <row r="440" spans="1:7" x14ac:dyDescent="0.25">
      <c r="A440" t="s">
        <v>702</v>
      </c>
      <c r="B440" t="s">
        <v>703</v>
      </c>
      <c r="C440" t="s">
        <v>389</v>
      </c>
      <c r="D440" t="s">
        <v>390</v>
      </c>
      <c r="E440">
        <v>80</v>
      </c>
      <c r="F440" t="s">
        <v>209</v>
      </c>
      <c r="G440">
        <f ca="1">IFERROR(tbl_Recettes[[#This Row],[Quantité]] * IFERROR(_xlfn.XLOOKUP(tbl_Recettes[[#This Row],[Cde_Ingrdt]], tbl_Stock[Cde_Ingrdt], tbl_Stock[CMP effectif]),0),0)</f>
        <v>5.6000000000000005</v>
      </c>
    </row>
    <row r="441" spans="1:7" x14ac:dyDescent="0.25">
      <c r="A441" t="s">
        <v>702</v>
      </c>
      <c r="B441" t="s">
        <v>703</v>
      </c>
      <c r="C441" t="s">
        <v>102</v>
      </c>
      <c r="D441" t="s">
        <v>234</v>
      </c>
      <c r="E441">
        <v>40</v>
      </c>
      <c r="F441" t="s">
        <v>209</v>
      </c>
      <c r="G441">
        <f ca="1">IFERROR(tbl_Recettes[[#This Row],[Quantité]] * IFERROR(_xlfn.XLOOKUP(tbl_Recettes[[#This Row],[Cde_Ingrdt]], tbl_Stock[Cde_Ingrdt], tbl_Stock[CMP effectif]),0),0)</f>
        <v>7.1999999999999993</v>
      </c>
    </row>
    <row r="442" spans="1:7" x14ac:dyDescent="0.25">
      <c r="A442" t="s">
        <v>702</v>
      </c>
      <c r="B442" t="s">
        <v>703</v>
      </c>
      <c r="C442" t="s">
        <v>219</v>
      </c>
      <c r="D442" t="s">
        <v>220</v>
      </c>
      <c r="E442">
        <v>60</v>
      </c>
      <c r="F442" t="s">
        <v>221</v>
      </c>
      <c r="G442">
        <f ca="1">IFERROR(tbl_Recettes[[#This Row],[Quantité]] * IFERROR(_xlfn.XLOOKUP(tbl_Recettes[[#This Row],[Cde_Ingrdt]], tbl_Stock[Cde_Ingrdt], tbl_Stock[CMP effectif]),0),0)</f>
        <v>9</v>
      </c>
    </row>
    <row r="443" spans="1:7" x14ac:dyDescent="0.25">
      <c r="A443" t="s">
        <v>702</v>
      </c>
      <c r="B443" t="s">
        <v>703</v>
      </c>
      <c r="C443" t="s">
        <v>303</v>
      </c>
      <c r="D443" t="s">
        <v>304</v>
      </c>
      <c r="E443">
        <v>30</v>
      </c>
      <c r="F443" t="s">
        <v>209</v>
      </c>
      <c r="G443">
        <f ca="1">IFERROR(tbl_Recettes[[#This Row],[Quantité]] * IFERROR(_xlfn.XLOOKUP(tbl_Recettes[[#This Row],[Cde_Ingrdt]], tbl_Stock[Cde_Ingrdt], tbl_Stock[CMP effectif]),0),0)</f>
        <v>4.92</v>
      </c>
    </row>
    <row r="444" spans="1:7" x14ac:dyDescent="0.25">
      <c r="A444" t="s">
        <v>704</v>
      </c>
      <c r="B444" t="s">
        <v>705</v>
      </c>
      <c r="C444" t="s">
        <v>706</v>
      </c>
      <c r="D444" t="s">
        <v>707</v>
      </c>
      <c r="E444">
        <v>3</v>
      </c>
      <c r="F444" t="s">
        <v>206</v>
      </c>
      <c r="G444">
        <f ca="1">IFERROR(tbl_Recettes[[#This Row],[Quantité]] * IFERROR(_xlfn.XLOOKUP(tbl_Recettes[[#This Row],[Cde_Ingrdt]], tbl_Stock[Cde_Ingrdt], tbl_Stock[CMP effectif]),0),0)</f>
        <v>6</v>
      </c>
    </row>
    <row r="445" spans="1:7" x14ac:dyDescent="0.25">
      <c r="A445" t="s">
        <v>704</v>
      </c>
      <c r="B445" t="s">
        <v>705</v>
      </c>
      <c r="C445" t="s">
        <v>293</v>
      </c>
      <c r="D445" t="s">
        <v>294</v>
      </c>
      <c r="E445">
        <v>40</v>
      </c>
      <c r="F445" t="s">
        <v>209</v>
      </c>
      <c r="G445">
        <f ca="1">IFERROR(tbl_Recettes[[#This Row],[Quantité]] * IFERROR(_xlfn.XLOOKUP(tbl_Recettes[[#This Row],[Cde_Ingrdt]], tbl_Stock[Cde_Ingrdt], tbl_Stock[CMP effectif]),0),0)</f>
        <v>4</v>
      </c>
    </row>
    <row r="446" spans="1:7" x14ac:dyDescent="0.25">
      <c r="A446" t="s">
        <v>704</v>
      </c>
      <c r="B446" t="s">
        <v>705</v>
      </c>
      <c r="C446" t="s">
        <v>353</v>
      </c>
      <c r="D446" t="s">
        <v>354</v>
      </c>
      <c r="E446">
        <v>30</v>
      </c>
      <c r="F446" t="s">
        <v>209</v>
      </c>
      <c r="G446">
        <f ca="1">IFERROR(tbl_Recettes[[#This Row],[Quantité]] * IFERROR(_xlfn.XLOOKUP(tbl_Recettes[[#This Row],[Cde_Ingrdt]], tbl_Stock[Cde_Ingrdt], tbl_Stock[CMP effectif]),0),0)</f>
        <v>24</v>
      </c>
    </row>
    <row r="447" spans="1:7" x14ac:dyDescent="0.25">
      <c r="A447" t="s">
        <v>704</v>
      </c>
      <c r="B447" t="s">
        <v>705</v>
      </c>
      <c r="C447" t="s">
        <v>523</v>
      </c>
      <c r="D447" t="s">
        <v>524</v>
      </c>
      <c r="E447">
        <v>30</v>
      </c>
      <c r="F447" t="s">
        <v>209</v>
      </c>
      <c r="G447">
        <f ca="1">IFERROR(tbl_Recettes[[#This Row],[Quantité]] * IFERROR(_xlfn.XLOOKUP(tbl_Recettes[[#This Row],[Cde_Ingrdt]], tbl_Stock[Cde_Ingrdt], tbl_Stock[CMP effectif]),0),0)</f>
        <v>2.6999999999999997</v>
      </c>
    </row>
    <row r="448" spans="1:7" x14ac:dyDescent="0.25">
      <c r="A448" t="s">
        <v>704</v>
      </c>
      <c r="B448" t="s">
        <v>705</v>
      </c>
      <c r="C448" t="s">
        <v>303</v>
      </c>
      <c r="D448" t="s">
        <v>304</v>
      </c>
      <c r="E448">
        <v>20</v>
      </c>
      <c r="F448" t="s">
        <v>209</v>
      </c>
      <c r="G448">
        <f ca="1">IFERROR(tbl_Recettes[[#This Row],[Quantité]] * IFERROR(_xlfn.XLOOKUP(tbl_Recettes[[#This Row],[Cde_Ingrdt]], tbl_Stock[Cde_Ingrdt], tbl_Stock[CMP effectif]),0),0)</f>
        <v>3.2800000000000002</v>
      </c>
    </row>
    <row r="449" spans="1:7" x14ac:dyDescent="0.25">
      <c r="A449" t="s">
        <v>708</v>
      </c>
      <c r="B449" t="s">
        <v>709</v>
      </c>
      <c r="C449" t="s">
        <v>706</v>
      </c>
      <c r="D449" t="s">
        <v>707</v>
      </c>
      <c r="E449">
        <v>3</v>
      </c>
      <c r="F449" t="s">
        <v>206</v>
      </c>
      <c r="G449">
        <f ca="1">IFERROR(tbl_Recettes[[#This Row],[Quantité]] * IFERROR(_xlfn.XLOOKUP(tbl_Recettes[[#This Row],[Cde_Ingrdt]], tbl_Stock[Cde_Ingrdt], tbl_Stock[CMP effectif]),0),0)</f>
        <v>6</v>
      </c>
    </row>
    <row r="450" spans="1:7" x14ac:dyDescent="0.25">
      <c r="A450" t="s">
        <v>708</v>
      </c>
      <c r="B450" t="s">
        <v>709</v>
      </c>
      <c r="C450" t="s">
        <v>389</v>
      </c>
      <c r="D450" t="s">
        <v>390</v>
      </c>
      <c r="E450">
        <v>60</v>
      </c>
      <c r="F450" t="s">
        <v>209</v>
      </c>
      <c r="G450">
        <f ca="1">IFERROR(tbl_Recettes[[#This Row],[Quantité]] * IFERROR(_xlfn.XLOOKUP(tbl_Recettes[[#This Row],[Cde_Ingrdt]], tbl_Stock[Cde_Ingrdt], tbl_Stock[CMP effectif]),0),0)</f>
        <v>4.2</v>
      </c>
    </row>
    <row r="451" spans="1:7" x14ac:dyDescent="0.25">
      <c r="A451" t="s">
        <v>708</v>
      </c>
      <c r="B451" t="s">
        <v>709</v>
      </c>
      <c r="C451" t="s">
        <v>309</v>
      </c>
      <c r="D451" t="s">
        <v>310</v>
      </c>
      <c r="E451">
        <v>20</v>
      </c>
      <c r="F451" t="s">
        <v>209</v>
      </c>
      <c r="G451">
        <f ca="1">IFERROR(tbl_Recettes[[#This Row],[Quantité]] * IFERROR(_xlfn.XLOOKUP(tbl_Recettes[[#This Row],[Cde_Ingrdt]], tbl_Stock[Cde_Ingrdt], tbl_Stock[CMP effectif]),0),0)</f>
        <v>0.2</v>
      </c>
    </row>
    <row r="452" spans="1:7" x14ac:dyDescent="0.25">
      <c r="A452" t="s">
        <v>708</v>
      </c>
      <c r="B452" t="s">
        <v>709</v>
      </c>
      <c r="C452" t="s">
        <v>518</v>
      </c>
      <c r="D452" t="s">
        <v>1274</v>
      </c>
      <c r="E452">
        <v>5</v>
      </c>
      <c r="F452" t="s">
        <v>209</v>
      </c>
      <c r="G452">
        <f ca="1">IFERROR(tbl_Recettes[[#This Row],[Quantité]] * IFERROR(_xlfn.XLOOKUP(tbl_Recettes[[#This Row],[Cde_Ingrdt]], tbl_Stock[Cde_Ingrdt], tbl_Stock[CMP effectif]),0),0)</f>
        <v>0.89999999999999991</v>
      </c>
    </row>
    <row r="453" spans="1:7" x14ac:dyDescent="0.25">
      <c r="A453" t="s">
        <v>710</v>
      </c>
      <c r="B453" t="s">
        <v>711</v>
      </c>
      <c r="C453" t="s">
        <v>712</v>
      </c>
      <c r="D453" t="s">
        <v>713</v>
      </c>
      <c r="E453">
        <v>3</v>
      </c>
      <c r="F453" t="s">
        <v>206</v>
      </c>
      <c r="G453">
        <f ca="1">IFERROR(tbl_Recettes[[#This Row],[Quantité]] * IFERROR(_xlfn.XLOOKUP(tbl_Recettes[[#This Row],[Cde_Ingrdt]], tbl_Stock[Cde_Ingrdt], tbl_Stock[CMP effectif]),0),0)</f>
        <v>6</v>
      </c>
    </row>
    <row r="454" spans="1:7" x14ac:dyDescent="0.25">
      <c r="A454" t="s">
        <v>710</v>
      </c>
      <c r="B454" t="s">
        <v>711</v>
      </c>
      <c r="C454" t="s">
        <v>389</v>
      </c>
      <c r="D454" t="s">
        <v>390</v>
      </c>
      <c r="E454">
        <v>60</v>
      </c>
      <c r="F454" t="s">
        <v>209</v>
      </c>
      <c r="G454">
        <f ca="1">IFERROR(tbl_Recettes[[#This Row],[Quantité]] * IFERROR(_xlfn.XLOOKUP(tbl_Recettes[[#This Row],[Cde_Ingrdt]], tbl_Stock[Cde_Ingrdt], tbl_Stock[CMP effectif]),0),0)</f>
        <v>4.2</v>
      </c>
    </row>
    <row r="455" spans="1:7" x14ac:dyDescent="0.25">
      <c r="A455" t="s">
        <v>710</v>
      </c>
      <c r="B455" t="s">
        <v>711</v>
      </c>
      <c r="C455" t="s">
        <v>401</v>
      </c>
      <c r="D455" t="s">
        <v>402</v>
      </c>
      <c r="E455">
        <v>20</v>
      </c>
      <c r="F455" t="s">
        <v>209</v>
      </c>
      <c r="G455">
        <f ca="1">IFERROR(tbl_Recettes[[#This Row],[Quantité]] * IFERROR(_xlfn.XLOOKUP(tbl_Recettes[[#This Row],[Cde_Ingrdt]], tbl_Stock[Cde_Ingrdt], tbl_Stock[CMP effectif]),0),0)</f>
        <v>0.2</v>
      </c>
    </row>
    <row r="456" spans="1:7" x14ac:dyDescent="0.25">
      <c r="A456" t="s">
        <v>710</v>
      </c>
      <c r="B456" t="s">
        <v>711</v>
      </c>
      <c r="C456" t="s">
        <v>714</v>
      </c>
      <c r="D456" t="s">
        <v>715</v>
      </c>
      <c r="E456">
        <v>30</v>
      </c>
      <c r="F456" t="s">
        <v>209</v>
      </c>
      <c r="G456">
        <f ca="1">IFERROR(tbl_Recettes[[#This Row],[Quantité]] * IFERROR(_xlfn.XLOOKUP(tbl_Recettes[[#This Row],[Cde_Ingrdt]], tbl_Stock[Cde_Ingrdt], tbl_Stock[CMP effectif]),0),0)</f>
        <v>2.4</v>
      </c>
    </row>
    <row r="457" spans="1:7" x14ac:dyDescent="0.25">
      <c r="A457" t="s">
        <v>710</v>
      </c>
      <c r="B457" t="s">
        <v>711</v>
      </c>
      <c r="C457" t="s">
        <v>716</v>
      </c>
      <c r="D457" t="s">
        <v>717</v>
      </c>
      <c r="E457">
        <v>10</v>
      </c>
      <c r="F457" t="s">
        <v>221</v>
      </c>
      <c r="G457">
        <f ca="1">IFERROR(tbl_Recettes[[#This Row],[Quantité]] * IFERROR(_xlfn.XLOOKUP(tbl_Recettes[[#This Row],[Cde_Ingrdt]], tbl_Stock[Cde_Ingrdt], tbl_Stock[CMP effectif]),0),0)</f>
        <v>1.25</v>
      </c>
    </row>
    <row r="458" spans="1:7" x14ac:dyDescent="0.25">
      <c r="A458" t="s">
        <v>718</v>
      </c>
      <c r="B458" t="s">
        <v>719</v>
      </c>
      <c r="C458" t="s">
        <v>555</v>
      </c>
      <c r="D458" t="s">
        <v>556</v>
      </c>
      <c r="E458">
        <v>200</v>
      </c>
      <c r="F458" t="s">
        <v>209</v>
      </c>
      <c r="G458">
        <f ca="1">IFERROR(tbl_Recettes[[#This Row],[Quantité]] * IFERROR(_xlfn.XLOOKUP(tbl_Recettes[[#This Row],[Cde_Ingrdt]], tbl_Stock[Cde_Ingrdt], tbl_Stock[CMP effectif]),0),0)</f>
        <v>4</v>
      </c>
    </row>
    <row r="459" spans="1:7" x14ac:dyDescent="0.25">
      <c r="A459" t="s">
        <v>718</v>
      </c>
      <c r="B459" t="s">
        <v>719</v>
      </c>
      <c r="C459" t="s">
        <v>720</v>
      </c>
      <c r="D459" t="s">
        <v>721</v>
      </c>
      <c r="E459">
        <v>1</v>
      </c>
      <c r="F459" t="s">
        <v>206</v>
      </c>
      <c r="G459">
        <f ca="1">IFERROR(tbl_Recettes[[#This Row],[Quantité]] * IFERROR(_xlfn.XLOOKUP(tbl_Recettes[[#This Row],[Cde_Ingrdt]], tbl_Stock[Cde_Ingrdt], tbl_Stock[CMP effectif]),0),0)</f>
        <v>1</v>
      </c>
    </row>
    <row r="460" spans="1:7" x14ac:dyDescent="0.25">
      <c r="A460" t="s">
        <v>718</v>
      </c>
      <c r="B460" t="s">
        <v>719</v>
      </c>
      <c r="C460" t="s">
        <v>237</v>
      </c>
      <c r="D460" t="s">
        <v>238</v>
      </c>
      <c r="E460">
        <v>1</v>
      </c>
      <c r="F460" t="s">
        <v>206</v>
      </c>
      <c r="G460">
        <f ca="1">IFERROR(tbl_Recettes[[#This Row],[Quantité]] * IFERROR(_xlfn.XLOOKUP(tbl_Recettes[[#This Row],[Cde_Ingrdt]], tbl_Stock[Cde_Ingrdt], tbl_Stock[CMP effectif]),0),0)</f>
        <v>2</v>
      </c>
    </row>
    <row r="461" spans="1:7" x14ac:dyDescent="0.25">
      <c r="A461" t="s">
        <v>722</v>
      </c>
      <c r="B461" t="s">
        <v>723</v>
      </c>
      <c r="C461" t="s">
        <v>706</v>
      </c>
      <c r="D461" t="s">
        <v>707</v>
      </c>
      <c r="E461">
        <v>3</v>
      </c>
      <c r="F461" t="s">
        <v>206</v>
      </c>
      <c r="G461">
        <f ca="1">IFERROR(tbl_Recettes[[#This Row],[Quantité]] * IFERROR(_xlfn.XLOOKUP(tbl_Recettes[[#This Row],[Cde_Ingrdt]], tbl_Stock[Cde_Ingrdt], tbl_Stock[CMP effectif]),0),0)</f>
        <v>6</v>
      </c>
    </row>
    <row r="462" spans="1:7" x14ac:dyDescent="0.25">
      <c r="A462" t="s">
        <v>722</v>
      </c>
      <c r="B462" t="s">
        <v>723</v>
      </c>
      <c r="C462" t="s">
        <v>303</v>
      </c>
      <c r="D462" t="s">
        <v>304</v>
      </c>
      <c r="E462">
        <v>60</v>
      </c>
      <c r="F462" t="s">
        <v>209</v>
      </c>
      <c r="G462">
        <f ca="1">IFERROR(tbl_Recettes[[#This Row],[Quantité]] * IFERROR(_xlfn.XLOOKUP(tbl_Recettes[[#This Row],[Cde_Ingrdt]], tbl_Stock[Cde_Ingrdt], tbl_Stock[CMP effectif]),0),0)</f>
        <v>9.84</v>
      </c>
    </row>
    <row r="463" spans="1:7" x14ac:dyDescent="0.25">
      <c r="A463" t="s">
        <v>722</v>
      </c>
      <c r="B463" t="s">
        <v>723</v>
      </c>
      <c r="C463" t="s">
        <v>214</v>
      </c>
      <c r="D463" t="s">
        <v>215</v>
      </c>
      <c r="E463">
        <v>60</v>
      </c>
      <c r="F463" t="s">
        <v>209</v>
      </c>
      <c r="G463">
        <f ca="1">IFERROR(tbl_Recettes[[#This Row],[Quantité]] * IFERROR(_xlfn.XLOOKUP(tbl_Recettes[[#This Row],[Cde_Ingrdt]], tbl_Stock[Cde_Ingrdt], tbl_Stock[CMP effectif]),0),0)</f>
        <v>3</v>
      </c>
    </row>
    <row r="464" spans="1:7" x14ac:dyDescent="0.25">
      <c r="A464" t="s">
        <v>724</v>
      </c>
      <c r="B464" t="s">
        <v>725</v>
      </c>
      <c r="C464" t="s">
        <v>726</v>
      </c>
      <c r="D464" t="s">
        <v>727</v>
      </c>
      <c r="E464">
        <v>1</v>
      </c>
      <c r="F464" t="s">
        <v>206</v>
      </c>
      <c r="G464">
        <f ca="1">IFERROR(tbl_Recettes[[#This Row],[Quantité]] * IFERROR(_xlfn.XLOOKUP(tbl_Recettes[[#This Row],[Cde_Ingrdt]], tbl_Stock[Cde_Ingrdt], tbl_Stock[CMP effectif]),0),0)</f>
        <v>1.3</v>
      </c>
    </row>
    <row r="465" spans="1:7" x14ac:dyDescent="0.25">
      <c r="A465" t="s">
        <v>724</v>
      </c>
      <c r="B465" t="s">
        <v>725</v>
      </c>
      <c r="C465" t="s">
        <v>728</v>
      </c>
      <c r="D465" t="s">
        <v>729</v>
      </c>
      <c r="E465">
        <v>120</v>
      </c>
      <c r="F465" t="s">
        <v>209</v>
      </c>
      <c r="G465">
        <f ca="1">IFERROR(tbl_Recettes[[#This Row],[Quantité]] * IFERROR(_xlfn.XLOOKUP(tbl_Recettes[[#This Row],[Cde_Ingrdt]], tbl_Stock[Cde_Ingrdt], tbl_Stock[CMP effectif]),0),0)</f>
        <v>7.1999999999999993</v>
      </c>
    </row>
    <row r="466" spans="1:7" x14ac:dyDescent="0.25">
      <c r="A466" t="s">
        <v>724</v>
      </c>
      <c r="B466" t="s">
        <v>725</v>
      </c>
      <c r="C466" t="s">
        <v>730</v>
      </c>
      <c r="D466" t="s">
        <v>731</v>
      </c>
      <c r="E466">
        <v>0.5</v>
      </c>
      <c r="F466" t="s">
        <v>206</v>
      </c>
      <c r="G466">
        <f ca="1">IFERROR(tbl_Recettes[[#This Row],[Quantité]] * IFERROR(_xlfn.XLOOKUP(tbl_Recettes[[#This Row],[Cde_Ingrdt]], tbl_Stock[Cde_Ingrdt], tbl_Stock[CMP effectif]),0),0)</f>
        <v>3</v>
      </c>
    </row>
    <row r="467" spans="1:7" x14ac:dyDescent="0.25">
      <c r="A467" t="s">
        <v>724</v>
      </c>
      <c r="B467" t="s">
        <v>725</v>
      </c>
      <c r="C467" t="s">
        <v>307</v>
      </c>
      <c r="D467" t="s">
        <v>308</v>
      </c>
      <c r="E467">
        <v>20</v>
      </c>
      <c r="F467" t="s">
        <v>209</v>
      </c>
      <c r="G467">
        <f ca="1">IFERROR(tbl_Recettes[[#This Row],[Quantité]] * IFERROR(_xlfn.XLOOKUP(tbl_Recettes[[#This Row],[Cde_Ingrdt]], tbl_Stock[Cde_Ingrdt], tbl_Stock[CMP effectif]),0),0)</f>
        <v>0.2</v>
      </c>
    </row>
    <row r="468" spans="1:7" x14ac:dyDescent="0.25">
      <c r="A468" t="s">
        <v>724</v>
      </c>
      <c r="B468" t="s">
        <v>725</v>
      </c>
      <c r="C468" t="s">
        <v>309</v>
      </c>
      <c r="D468" t="s">
        <v>310</v>
      </c>
      <c r="E468">
        <v>20</v>
      </c>
      <c r="F468" t="s">
        <v>209</v>
      </c>
      <c r="G468">
        <f ca="1">IFERROR(tbl_Recettes[[#This Row],[Quantité]] * IFERROR(_xlfn.XLOOKUP(tbl_Recettes[[#This Row],[Cde_Ingrdt]], tbl_Stock[Cde_Ingrdt], tbl_Stock[CMP effectif]),0),0)</f>
        <v>0.2</v>
      </c>
    </row>
    <row r="469" spans="1:7" x14ac:dyDescent="0.25">
      <c r="A469" t="s">
        <v>724</v>
      </c>
      <c r="B469" t="s">
        <v>725</v>
      </c>
      <c r="C469" t="s">
        <v>732</v>
      </c>
      <c r="D469" t="s">
        <v>733</v>
      </c>
      <c r="E469">
        <v>20</v>
      </c>
      <c r="F469" t="s">
        <v>221</v>
      </c>
      <c r="G469">
        <f ca="1">IFERROR(tbl_Recettes[[#This Row],[Quantité]] * IFERROR(_xlfn.XLOOKUP(tbl_Recettes[[#This Row],[Cde_Ingrdt]], tbl_Stock[Cde_Ingrdt], tbl_Stock[CMP effectif]),0),0)</f>
        <v>3</v>
      </c>
    </row>
    <row r="470" spans="1:7" x14ac:dyDescent="0.25">
      <c r="A470" t="s">
        <v>734</v>
      </c>
      <c r="B470" t="s">
        <v>735</v>
      </c>
      <c r="C470" t="s">
        <v>726</v>
      </c>
      <c r="D470" t="s">
        <v>727</v>
      </c>
      <c r="E470">
        <v>1</v>
      </c>
      <c r="F470" t="s">
        <v>206</v>
      </c>
      <c r="G470">
        <f ca="1">IFERROR(tbl_Recettes[[#This Row],[Quantité]] * IFERROR(_xlfn.XLOOKUP(tbl_Recettes[[#This Row],[Cde_Ingrdt]], tbl_Stock[Cde_Ingrdt], tbl_Stock[CMP effectif]),0),0)</f>
        <v>1.3</v>
      </c>
    </row>
    <row r="471" spans="1:7" x14ac:dyDescent="0.25">
      <c r="A471" t="s">
        <v>734</v>
      </c>
      <c r="B471" t="s">
        <v>735</v>
      </c>
      <c r="C471" t="s">
        <v>728</v>
      </c>
      <c r="D471" t="s">
        <v>729</v>
      </c>
      <c r="E471">
        <v>100</v>
      </c>
      <c r="F471" t="s">
        <v>209</v>
      </c>
      <c r="G471">
        <f ca="1">IFERROR(tbl_Recettes[[#This Row],[Quantité]] * IFERROR(_xlfn.XLOOKUP(tbl_Recettes[[#This Row],[Cde_Ingrdt]], tbl_Stock[Cde_Ingrdt], tbl_Stock[CMP effectif]),0),0)</f>
        <v>6</v>
      </c>
    </row>
    <row r="472" spans="1:7" x14ac:dyDescent="0.25">
      <c r="A472" t="s">
        <v>734</v>
      </c>
      <c r="B472" t="s">
        <v>735</v>
      </c>
      <c r="C472" t="s">
        <v>730</v>
      </c>
      <c r="D472" t="s">
        <v>731</v>
      </c>
      <c r="E472">
        <v>0.5</v>
      </c>
      <c r="F472" t="s">
        <v>206</v>
      </c>
      <c r="G472">
        <f ca="1">IFERROR(tbl_Recettes[[#This Row],[Quantité]] * IFERROR(_xlfn.XLOOKUP(tbl_Recettes[[#This Row],[Cde_Ingrdt]], tbl_Stock[Cde_Ingrdt], tbl_Stock[CMP effectif]),0),0)</f>
        <v>3</v>
      </c>
    </row>
    <row r="473" spans="1:7" x14ac:dyDescent="0.25">
      <c r="A473" t="s">
        <v>734</v>
      </c>
      <c r="B473" t="s">
        <v>735</v>
      </c>
      <c r="C473" t="s">
        <v>307</v>
      </c>
      <c r="D473" t="s">
        <v>308</v>
      </c>
      <c r="E473">
        <v>20</v>
      </c>
      <c r="F473" t="s">
        <v>209</v>
      </c>
      <c r="G473">
        <f ca="1">IFERROR(tbl_Recettes[[#This Row],[Quantité]] * IFERROR(_xlfn.XLOOKUP(tbl_Recettes[[#This Row],[Cde_Ingrdt]], tbl_Stock[Cde_Ingrdt], tbl_Stock[CMP effectif]),0),0)</f>
        <v>0.2</v>
      </c>
    </row>
    <row r="474" spans="1:7" x14ac:dyDescent="0.25">
      <c r="A474" t="s">
        <v>734</v>
      </c>
      <c r="B474" t="s">
        <v>735</v>
      </c>
      <c r="C474" t="s">
        <v>732</v>
      </c>
      <c r="D474" t="s">
        <v>733</v>
      </c>
      <c r="E474">
        <v>20</v>
      </c>
      <c r="F474" t="s">
        <v>221</v>
      </c>
      <c r="G474">
        <f ca="1">IFERROR(tbl_Recettes[[#This Row],[Quantité]] * IFERROR(_xlfn.XLOOKUP(tbl_Recettes[[#This Row],[Cde_Ingrdt]], tbl_Stock[Cde_Ingrdt], tbl_Stock[CMP effectif]),0),0)</f>
        <v>3</v>
      </c>
    </row>
    <row r="475" spans="1:7" x14ac:dyDescent="0.25">
      <c r="A475" t="s">
        <v>736</v>
      </c>
      <c r="B475" t="s">
        <v>737</v>
      </c>
      <c r="C475" t="s">
        <v>738</v>
      </c>
      <c r="D475" t="s">
        <v>739</v>
      </c>
      <c r="E475">
        <v>120</v>
      </c>
      <c r="F475" t="s">
        <v>209</v>
      </c>
      <c r="G475">
        <f ca="1">IFERROR(tbl_Recettes[[#This Row],[Quantité]] * IFERROR(_xlfn.XLOOKUP(tbl_Recettes[[#This Row],[Cde_Ingrdt]], tbl_Stock[Cde_Ingrdt], tbl_Stock[CMP effectif]),0),0)</f>
        <v>9.6</v>
      </c>
    </row>
    <row r="476" spans="1:7" x14ac:dyDescent="0.25">
      <c r="A476" t="s">
        <v>736</v>
      </c>
      <c r="B476" t="s">
        <v>737</v>
      </c>
      <c r="C476" t="s">
        <v>377</v>
      </c>
      <c r="D476" t="s">
        <v>378</v>
      </c>
      <c r="E476">
        <v>80</v>
      </c>
      <c r="F476" t="s">
        <v>209</v>
      </c>
      <c r="G476">
        <f ca="1">IFERROR(tbl_Recettes[[#This Row],[Quantité]] * IFERROR(_xlfn.XLOOKUP(tbl_Recettes[[#This Row],[Cde_Ingrdt]], tbl_Stock[Cde_Ingrdt], tbl_Stock[CMP effectif]),0),0)</f>
        <v>40</v>
      </c>
    </row>
    <row r="477" spans="1:7" x14ac:dyDescent="0.25">
      <c r="A477" t="s">
        <v>736</v>
      </c>
      <c r="B477" t="s">
        <v>737</v>
      </c>
      <c r="C477" t="s">
        <v>545</v>
      </c>
      <c r="D477" t="s">
        <v>546</v>
      </c>
      <c r="E477">
        <v>50</v>
      </c>
      <c r="F477" t="s">
        <v>209</v>
      </c>
      <c r="G477">
        <f ca="1">IFERROR(tbl_Recettes[[#This Row],[Quantité]] * IFERROR(_xlfn.XLOOKUP(tbl_Recettes[[#This Row],[Cde_Ingrdt]], tbl_Stock[Cde_Ingrdt], tbl_Stock[CMP effectif]),0),0)</f>
        <v>5</v>
      </c>
    </row>
    <row r="478" spans="1:7" x14ac:dyDescent="0.25">
      <c r="A478" t="s">
        <v>736</v>
      </c>
      <c r="B478" t="s">
        <v>737</v>
      </c>
      <c r="C478" t="s">
        <v>536</v>
      </c>
      <c r="D478" t="s">
        <v>537</v>
      </c>
      <c r="E478">
        <v>20</v>
      </c>
      <c r="F478" t="s">
        <v>209</v>
      </c>
      <c r="G478">
        <f ca="1">IFERROR(tbl_Recettes[[#This Row],[Quantité]] * IFERROR(_xlfn.XLOOKUP(tbl_Recettes[[#This Row],[Cde_Ingrdt]], tbl_Stock[Cde_Ingrdt], tbl_Stock[CMP effectif]),0),0)</f>
        <v>2</v>
      </c>
    </row>
    <row r="479" spans="1:7" x14ac:dyDescent="0.25">
      <c r="A479" t="s">
        <v>736</v>
      </c>
      <c r="B479" t="s">
        <v>737</v>
      </c>
      <c r="C479" t="s">
        <v>297</v>
      </c>
      <c r="D479" t="s">
        <v>298</v>
      </c>
      <c r="E479">
        <v>10</v>
      </c>
      <c r="F479" t="s">
        <v>221</v>
      </c>
      <c r="G479">
        <f ca="1">IFERROR(tbl_Recettes[[#This Row],[Quantité]] * IFERROR(_xlfn.XLOOKUP(tbl_Recettes[[#This Row],[Cde_Ingrdt]], tbl_Stock[Cde_Ingrdt], tbl_Stock[CMP effectif]),0),0)</f>
        <v>0.89999999999999991</v>
      </c>
    </row>
    <row r="480" spans="1:7" x14ac:dyDescent="0.25">
      <c r="A480" t="s">
        <v>740</v>
      </c>
      <c r="B480" t="s">
        <v>741</v>
      </c>
      <c r="C480" t="s">
        <v>738</v>
      </c>
      <c r="D480" t="s">
        <v>739</v>
      </c>
      <c r="E480">
        <v>120</v>
      </c>
      <c r="F480" t="s">
        <v>209</v>
      </c>
      <c r="G480">
        <f ca="1">IFERROR(tbl_Recettes[[#This Row],[Quantité]] * IFERROR(_xlfn.XLOOKUP(tbl_Recettes[[#This Row],[Cde_Ingrdt]], tbl_Stock[Cde_Ingrdt], tbl_Stock[CMP effectif]),0),0)</f>
        <v>9.6</v>
      </c>
    </row>
    <row r="481" spans="1:7" x14ac:dyDescent="0.25">
      <c r="A481" t="s">
        <v>740</v>
      </c>
      <c r="B481" t="s">
        <v>741</v>
      </c>
      <c r="C481" t="s">
        <v>293</v>
      </c>
      <c r="D481" t="s">
        <v>294</v>
      </c>
      <c r="E481">
        <v>60</v>
      </c>
      <c r="F481" t="s">
        <v>209</v>
      </c>
      <c r="G481">
        <f ca="1">IFERROR(tbl_Recettes[[#This Row],[Quantité]] * IFERROR(_xlfn.XLOOKUP(tbl_Recettes[[#This Row],[Cde_Ingrdt]], tbl_Stock[Cde_Ingrdt], tbl_Stock[CMP effectif]),0),0)</f>
        <v>6</v>
      </c>
    </row>
    <row r="482" spans="1:7" x14ac:dyDescent="0.25">
      <c r="A482" t="s">
        <v>740</v>
      </c>
      <c r="B482" t="s">
        <v>741</v>
      </c>
      <c r="C482" t="s">
        <v>353</v>
      </c>
      <c r="D482" t="s">
        <v>354</v>
      </c>
      <c r="E482">
        <v>40</v>
      </c>
      <c r="F482" t="s">
        <v>209</v>
      </c>
      <c r="G482">
        <f ca="1">IFERROR(tbl_Recettes[[#This Row],[Quantité]] * IFERROR(_xlfn.XLOOKUP(tbl_Recettes[[#This Row],[Cde_Ingrdt]], tbl_Stock[Cde_Ingrdt], tbl_Stock[CMP effectif]),0),0)</f>
        <v>32</v>
      </c>
    </row>
    <row r="483" spans="1:7" x14ac:dyDescent="0.25">
      <c r="A483" t="s">
        <v>740</v>
      </c>
      <c r="B483" t="s">
        <v>741</v>
      </c>
      <c r="C483" t="s">
        <v>504</v>
      </c>
      <c r="D483" t="s">
        <v>505</v>
      </c>
      <c r="E483">
        <v>40</v>
      </c>
      <c r="F483" t="s">
        <v>209</v>
      </c>
      <c r="G483">
        <f ca="1">IFERROR(tbl_Recettes[[#This Row],[Quantité]] * IFERROR(_xlfn.XLOOKUP(tbl_Recettes[[#This Row],[Cde_Ingrdt]], tbl_Stock[Cde_Ingrdt], tbl_Stock[CMP effectif]),0),0)</f>
        <v>6</v>
      </c>
    </row>
    <row r="484" spans="1:7" x14ac:dyDescent="0.25">
      <c r="A484" t="s">
        <v>740</v>
      </c>
      <c r="B484" t="s">
        <v>741</v>
      </c>
      <c r="C484" t="s">
        <v>219</v>
      </c>
      <c r="D484" t="s">
        <v>220</v>
      </c>
      <c r="E484">
        <v>50</v>
      </c>
      <c r="F484" t="s">
        <v>221</v>
      </c>
      <c r="G484">
        <f ca="1">IFERROR(tbl_Recettes[[#This Row],[Quantité]] * IFERROR(_xlfn.XLOOKUP(tbl_Recettes[[#This Row],[Cde_Ingrdt]], tbl_Stock[Cde_Ingrdt], tbl_Stock[CMP effectif]),0),0)</f>
        <v>7.5</v>
      </c>
    </row>
    <row r="485" spans="1:7" x14ac:dyDescent="0.25">
      <c r="A485" t="s">
        <v>740</v>
      </c>
      <c r="B485" t="s">
        <v>741</v>
      </c>
      <c r="C485" t="s">
        <v>222</v>
      </c>
      <c r="D485" t="s">
        <v>223</v>
      </c>
      <c r="E485">
        <v>30</v>
      </c>
      <c r="F485" t="s">
        <v>209</v>
      </c>
      <c r="G485">
        <f ca="1">IFERROR(tbl_Recettes[[#This Row],[Quantité]] * IFERROR(_xlfn.XLOOKUP(tbl_Recettes[[#This Row],[Cde_Ingrdt]], tbl_Stock[Cde_Ingrdt], tbl_Stock[CMP effectif]),0),0)</f>
        <v>1.2</v>
      </c>
    </row>
    <row r="486" spans="1:7" x14ac:dyDescent="0.25">
      <c r="A486" t="s">
        <v>740</v>
      </c>
      <c r="B486" t="s">
        <v>741</v>
      </c>
      <c r="C486" t="s">
        <v>297</v>
      </c>
      <c r="D486" t="s">
        <v>298</v>
      </c>
      <c r="E486">
        <v>10</v>
      </c>
      <c r="F486" t="s">
        <v>221</v>
      </c>
      <c r="G486">
        <f ca="1">IFERROR(tbl_Recettes[[#This Row],[Quantité]] * IFERROR(_xlfn.XLOOKUP(tbl_Recettes[[#This Row],[Cde_Ingrdt]], tbl_Stock[Cde_Ingrdt], tbl_Stock[CMP effectif]),0),0)</f>
        <v>0.89999999999999991</v>
      </c>
    </row>
    <row r="487" spans="1:7" x14ac:dyDescent="0.25">
      <c r="A487" t="s">
        <v>740</v>
      </c>
      <c r="B487" t="s">
        <v>741</v>
      </c>
      <c r="C487" t="s">
        <v>742</v>
      </c>
      <c r="D487" t="s">
        <v>743</v>
      </c>
      <c r="E487">
        <v>5</v>
      </c>
      <c r="F487" t="s">
        <v>209</v>
      </c>
      <c r="G487">
        <f ca="1">IFERROR(tbl_Recettes[[#This Row],[Quantité]] * IFERROR(_xlfn.XLOOKUP(tbl_Recettes[[#This Row],[Cde_Ingrdt]], tbl_Stock[Cde_Ingrdt], tbl_Stock[CMP effectif]),0),0)</f>
        <v>0.5</v>
      </c>
    </row>
    <row r="488" spans="1:7" x14ac:dyDescent="0.25">
      <c r="A488" t="s">
        <v>744</v>
      </c>
      <c r="B488" t="s">
        <v>745</v>
      </c>
      <c r="C488" t="s">
        <v>738</v>
      </c>
      <c r="D488" t="s">
        <v>739</v>
      </c>
      <c r="E488">
        <v>120</v>
      </c>
      <c r="F488" t="s">
        <v>209</v>
      </c>
      <c r="G488">
        <f ca="1">IFERROR(tbl_Recettes[[#This Row],[Quantité]] * IFERROR(_xlfn.XLOOKUP(tbl_Recettes[[#This Row],[Cde_Ingrdt]], tbl_Stock[Cde_Ingrdt], tbl_Stock[CMP effectif]),0),0)</f>
        <v>9.6</v>
      </c>
    </row>
    <row r="489" spans="1:7" x14ac:dyDescent="0.25">
      <c r="A489" t="s">
        <v>744</v>
      </c>
      <c r="B489" t="s">
        <v>745</v>
      </c>
      <c r="C489" t="s">
        <v>389</v>
      </c>
      <c r="D489" t="s">
        <v>390</v>
      </c>
      <c r="E489">
        <v>80</v>
      </c>
      <c r="F489" t="s">
        <v>209</v>
      </c>
      <c r="G489">
        <f ca="1">IFERROR(tbl_Recettes[[#This Row],[Quantité]] * IFERROR(_xlfn.XLOOKUP(tbl_Recettes[[#This Row],[Cde_Ingrdt]], tbl_Stock[Cde_Ingrdt], tbl_Stock[CMP effectif]),0),0)</f>
        <v>5.6000000000000005</v>
      </c>
    </row>
    <row r="490" spans="1:7" x14ac:dyDescent="0.25">
      <c r="A490" t="s">
        <v>744</v>
      </c>
      <c r="B490" t="s">
        <v>745</v>
      </c>
      <c r="C490" t="s">
        <v>311</v>
      </c>
      <c r="D490" t="s">
        <v>312</v>
      </c>
      <c r="E490">
        <v>0.3</v>
      </c>
      <c r="F490" t="s">
        <v>206</v>
      </c>
      <c r="G490">
        <f ca="1">IFERROR(tbl_Recettes[[#This Row],[Quantité]] * IFERROR(_xlfn.XLOOKUP(tbl_Recettes[[#This Row],[Cde_Ingrdt]], tbl_Stock[Cde_Ingrdt], tbl_Stock[CMP effectif]),0),0)</f>
        <v>6</v>
      </c>
    </row>
    <row r="491" spans="1:7" x14ac:dyDescent="0.25">
      <c r="A491" t="s">
        <v>744</v>
      </c>
      <c r="B491" t="s">
        <v>745</v>
      </c>
      <c r="C491" t="s">
        <v>545</v>
      </c>
      <c r="D491" t="s">
        <v>546</v>
      </c>
      <c r="E491">
        <v>50</v>
      </c>
      <c r="F491" t="s">
        <v>209</v>
      </c>
      <c r="G491">
        <f ca="1">IFERROR(tbl_Recettes[[#This Row],[Quantité]] * IFERROR(_xlfn.XLOOKUP(tbl_Recettes[[#This Row],[Cde_Ingrdt]], tbl_Stock[Cde_Ingrdt], tbl_Stock[CMP effectif]),0),0)</f>
        <v>5</v>
      </c>
    </row>
    <row r="492" spans="1:7" x14ac:dyDescent="0.25">
      <c r="A492" t="s">
        <v>744</v>
      </c>
      <c r="B492" t="s">
        <v>745</v>
      </c>
      <c r="C492" t="s">
        <v>309</v>
      </c>
      <c r="D492" t="s">
        <v>310</v>
      </c>
      <c r="E492">
        <v>20</v>
      </c>
      <c r="F492" t="s">
        <v>209</v>
      </c>
      <c r="G492">
        <f ca="1">IFERROR(tbl_Recettes[[#This Row],[Quantité]] * IFERROR(_xlfn.XLOOKUP(tbl_Recettes[[#This Row],[Cde_Ingrdt]], tbl_Stock[Cde_Ingrdt], tbl_Stock[CMP effectif]),0),0)</f>
        <v>0.2</v>
      </c>
    </row>
    <row r="493" spans="1:7" x14ac:dyDescent="0.25">
      <c r="A493" t="s">
        <v>746</v>
      </c>
      <c r="B493" t="s">
        <v>747</v>
      </c>
      <c r="C493" t="s">
        <v>748</v>
      </c>
      <c r="D493" t="s">
        <v>749</v>
      </c>
      <c r="E493">
        <v>120</v>
      </c>
      <c r="F493" t="s">
        <v>209</v>
      </c>
      <c r="G493">
        <f ca="1">IFERROR(tbl_Recettes[[#This Row],[Quantité]] * IFERROR(_xlfn.XLOOKUP(tbl_Recettes[[#This Row],[Cde_Ingrdt]], tbl_Stock[Cde_Ingrdt], tbl_Stock[CMP effectif]),0),0)</f>
        <v>4.8</v>
      </c>
    </row>
    <row r="494" spans="1:7" x14ac:dyDescent="0.25">
      <c r="A494" t="s">
        <v>746</v>
      </c>
      <c r="B494" t="s">
        <v>747</v>
      </c>
      <c r="C494" t="s">
        <v>102</v>
      </c>
      <c r="D494" t="s">
        <v>234</v>
      </c>
      <c r="E494">
        <v>60</v>
      </c>
      <c r="F494" t="s">
        <v>209</v>
      </c>
      <c r="G494">
        <f ca="1">IFERROR(tbl_Recettes[[#This Row],[Quantité]] * IFERROR(_xlfn.XLOOKUP(tbl_Recettes[[#This Row],[Cde_Ingrdt]], tbl_Stock[Cde_Ingrdt], tbl_Stock[CMP effectif]),0),0)</f>
        <v>10.799999999999999</v>
      </c>
    </row>
    <row r="495" spans="1:7" x14ac:dyDescent="0.25">
      <c r="A495" t="s">
        <v>746</v>
      </c>
      <c r="B495" t="s">
        <v>747</v>
      </c>
      <c r="C495" t="s">
        <v>545</v>
      </c>
      <c r="D495" t="s">
        <v>546</v>
      </c>
      <c r="E495">
        <v>50</v>
      </c>
      <c r="F495" t="s">
        <v>209</v>
      </c>
      <c r="G495">
        <f ca="1">IFERROR(tbl_Recettes[[#This Row],[Quantité]] * IFERROR(_xlfn.XLOOKUP(tbl_Recettes[[#This Row],[Cde_Ingrdt]], tbl_Stock[Cde_Ingrdt], tbl_Stock[CMP effectif]),0),0)</f>
        <v>5</v>
      </c>
    </row>
    <row r="496" spans="1:7" x14ac:dyDescent="0.25">
      <c r="A496" t="s">
        <v>746</v>
      </c>
      <c r="B496" t="s">
        <v>747</v>
      </c>
      <c r="C496" t="s">
        <v>210</v>
      </c>
      <c r="D496" t="s">
        <v>211</v>
      </c>
      <c r="E496">
        <v>1</v>
      </c>
      <c r="F496" t="s">
        <v>206</v>
      </c>
      <c r="G496">
        <f ca="1">IFERROR(tbl_Recettes[[#This Row],[Quantité]] * IFERROR(_xlfn.XLOOKUP(tbl_Recettes[[#This Row],[Cde_Ingrdt]], tbl_Stock[Cde_Ingrdt], tbl_Stock[CMP effectif]),0),0)</f>
        <v>0.9</v>
      </c>
    </row>
    <row r="497" spans="1:7" x14ac:dyDescent="0.25">
      <c r="A497" t="s">
        <v>746</v>
      </c>
      <c r="B497" t="s">
        <v>747</v>
      </c>
      <c r="C497" t="s">
        <v>391</v>
      </c>
      <c r="D497" t="s">
        <v>392</v>
      </c>
      <c r="E497">
        <v>10</v>
      </c>
      <c r="F497" t="s">
        <v>209</v>
      </c>
      <c r="G497">
        <f ca="1">IFERROR(tbl_Recettes[[#This Row],[Quantité]] * IFERROR(_xlfn.XLOOKUP(tbl_Recettes[[#This Row],[Cde_Ingrdt]], tbl_Stock[Cde_Ingrdt], tbl_Stock[CMP effectif]),0),0)</f>
        <v>4</v>
      </c>
    </row>
    <row r="498" spans="1:7" x14ac:dyDescent="0.25">
      <c r="A498" t="s">
        <v>746</v>
      </c>
      <c r="B498" t="s">
        <v>747</v>
      </c>
      <c r="C498" t="s">
        <v>299</v>
      </c>
      <c r="D498" t="s">
        <v>300</v>
      </c>
      <c r="E498">
        <v>2</v>
      </c>
      <c r="F498" t="s">
        <v>209</v>
      </c>
      <c r="G498">
        <f ca="1">IFERROR(tbl_Recettes[[#This Row],[Quantité]] * IFERROR(_xlfn.XLOOKUP(tbl_Recettes[[#This Row],[Cde_Ingrdt]], tbl_Stock[Cde_Ingrdt], tbl_Stock[CMP effectif]),0),0)</f>
        <v>0.18</v>
      </c>
    </row>
    <row r="499" spans="1:7" x14ac:dyDescent="0.25">
      <c r="A499" t="s">
        <v>750</v>
      </c>
      <c r="B499" t="s">
        <v>751</v>
      </c>
      <c r="C499" t="s">
        <v>748</v>
      </c>
      <c r="D499" t="s">
        <v>749</v>
      </c>
      <c r="E499">
        <v>120</v>
      </c>
      <c r="F499" t="s">
        <v>209</v>
      </c>
      <c r="G499">
        <f ca="1">IFERROR(tbl_Recettes[[#This Row],[Quantité]] * IFERROR(_xlfn.XLOOKUP(tbl_Recettes[[#This Row],[Cde_Ingrdt]], tbl_Stock[Cde_Ingrdt], tbl_Stock[CMP effectif]),0),0)</f>
        <v>4.8</v>
      </c>
    </row>
    <row r="500" spans="1:7" x14ac:dyDescent="0.25">
      <c r="A500" t="s">
        <v>750</v>
      </c>
      <c r="B500" t="s">
        <v>751</v>
      </c>
      <c r="C500" t="s">
        <v>472</v>
      </c>
      <c r="D500" t="s">
        <v>473</v>
      </c>
      <c r="E500">
        <v>100</v>
      </c>
      <c r="F500" t="s">
        <v>209</v>
      </c>
      <c r="G500">
        <f ca="1">IFERROR(tbl_Recettes[[#This Row],[Quantité]] * IFERROR(_xlfn.XLOOKUP(tbl_Recettes[[#This Row],[Cde_Ingrdt]], tbl_Stock[Cde_Ingrdt], tbl_Stock[CMP effectif]),0),0)</f>
        <v>9</v>
      </c>
    </row>
    <row r="501" spans="1:7" x14ac:dyDescent="0.25">
      <c r="A501" t="s">
        <v>750</v>
      </c>
      <c r="B501" t="s">
        <v>751</v>
      </c>
      <c r="C501" t="s">
        <v>219</v>
      </c>
      <c r="D501" t="s">
        <v>220</v>
      </c>
      <c r="E501">
        <v>60</v>
      </c>
      <c r="F501" t="s">
        <v>221</v>
      </c>
      <c r="G501">
        <f ca="1">IFERROR(tbl_Recettes[[#This Row],[Quantité]] * IFERROR(_xlfn.XLOOKUP(tbl_Recettes[[#This Row],[Cde_Ingrdt]], tbl_Stock[Cde_Ingrdt], tbl_Stock[CMP effectif]),0),0)</f>
        <v>9</v>
      </c>
    </row>
    <row r="502" spans="1:7" x14ac:dyDescent="0.25">
      <c r="A502" t="s">
        <v>750</v>
      </c>
      <c r="B502" t="s">
        <v>751</v>
      </c>
      <c r="C502" t="s">
        <v>309</v>
      </c>
      <c r="D502" t="s">
        <v>310</v>
      </c>
      <c r="E502">
        <v>30</v>
      </c>
      <c r="F502" t="s">
        <v>209</v>
      </c>
      <c r="G502">
        <f ca="1">IFERROR(tbl_Recettes[[#This Row],[Quantité]] * IFERROR(_xlfn.XLOOKUP(tbl_Recettes[[#This Row],[Cde_Ingrdt]], tbl_Stock[Cde_Ingrdt], tbl_Stock[CMP effectif]),0),0)</f>
        <v>0.3</v>
      </c>
    </row>
    <row r="503" spans="1:7" x14ac:dyDescent="0.25">
      <c r="A503" t="s">
        <v>750</v>
      </c>
      <c r="B503" t="s">
        <v>751</v>
      </c>
      <c r="C503" t="s">
        <v>297</v>
      </c>
      <c r="D503" t="s">
        <v>298</v>
      </c>
      <c r="E503">
        <v>10</v>
      </c>
      <c r="F503" t="s">
        <v>221</v>
      </c>
      <c r="G503">
        <f ca="1">IFERROR(tbl_Recettes[[#This Row],[Quantité]] * IFERROR(_xlfn.XLOOKUP(tbl_Recettes[[#This Row],[Cde_Ingrdt]], tbl_Stock[Cde_Ingrdt], tbl_Stock[CMP effectif]),0),0)</f>
        <v>0.89999999999999991</v>
      </c>
    </row>
    <row r="504" spans="1:7" x14ac:dyDescent="0.25">
      <c r="A504" t="s">
        <v>750</v>
      </c>
      <c r="B504" t="s">
        <v>751</v>
      </c>
      <c r="C504" t="s">
        <v>391</v>
      </c>
      <c r="D504" t="s">
        <v>392</v>
      </c>
      <c r="E504">
        <v>10</v>
      </c>
      <c r="F504" t="s">
        <v>209</v>
      </c>
      <c r="G504">
        <f ca="1">IFERROR(tbl_Recettes[[#This Row],[Quantité]] * IFERROR(_xlfn.XLOOKUP(tbl_Recettes[[#This Row],[Cde_Ingrdt]], tbl_Stock[Cde_Ingrdt], tbl_Stock[CMP effectif]),0),0)</f>
        <v>4</v>
      </c>
    </row>
    <row r="505" spans="1:7" x14ac:dyDescent="0.25">
      <c r="A505" t="s">
        <v>752</v>
      </c>
      <c r="B505" t="s">
        <v>753</v>
      </c>
      <c r="C505" t="s">
        <v>700</v>
      </c>
      <c r="D505" t="s">
        <v>701</v>
      </c>
      <c r="E505">
        <v>120</v>
      </c>
      <c r="F505" t="s">
        <v>209</v>
      </c>
      <c r="G505">
        <f ca="1">IFERROR(tbl_Recettes[[#This Row],[Quantité]] * IFERROR(_xlfn.XLOOKUP(tbl_Recettes[[#This Row],[Cde_Ingrdt]], tbl_Stock[Cde_Ingrdt], tbl_Stock[CMP effectif]),0),0)</f>
        <v>6</v>
      </c>
    </row>
    <row r="506" spans="1:7" x14ac:dyDescent="0.25">
      <c r="A506" t="s">
        <v>752</v>
      </c>
      <c r="B506" t="s">
        <v>753</v>
      </c>
      <c r="C506" t="s">
        <v>99</v>
      </c>
      <c r="D506" t="s">
        <v>754</v>
      </c>
      <c r="E506">
        <v>60</v>
      </c>
      <c r="F506" t="s">
        <v>209</v>
      </c>
      <c r="G506">
        <f ca="1">IFERROR(tbl_Recettes[[#This Row],[Quantité]] * IFERROR(_xlfn.XLOOKUP(tbl_Recettes[[#This Row],[Cde_Ingrdt]], tbl_Stock[Cde_Ingrdt], tbl_Stock[CMP effectif]),0),0)</f>
        <v>15</v>
      </c>
    </row>
    <row r="507" spans="1:7" x14ac:dyDescent="0.25">
      <c r="A507" t="s">
        <v>752</v>
      </c>
      <c r="B507" t="s">
        <v>753</v>
      </c>
      <c r="C507" t="s">
        <v>293</v>
      </c>
      <c r="D507" t="s">
        <v>294</v>
      </c>
      <c r="E507">
        <v>40</v>
      </c>
      <c r="F507" t="s">
        <v>209</v>
      </c>
      <c r="G507">
        <f ca="1">IFERROR(tbl_Recettes[[#This Row],[Quantité]] * IFERROR(_xlfn.XLOOKUP(tbl_Recettes[[#This Row],[Cde_Ingrdt]], tbl_Stock[Cde_Ingrdt], tbl_Stock[CMP effectif]),0),0)</f>
        <v>4</v>
      </c>
    </row>
    <row r="508" spans="1:7" x14ac:dyDescent="0.25">
      <c r="A508" t="s">
        <v>752</v>
      </c>
      <c r="B508" t="s">
        <v>753</v>
      </c>
      <c r="C508" t="s">
        <v>311</v>
      </c>
      <c r="D508" t="s">
        <v>312</v>
      </c>
      <c r="E508">
        <v>0.3</v>
      </c>
      <c r="F508" t="s">
        <v>206</v>
      </c>
      <c r="G508">
        <f ca="1">IFERROR(tbl_Recettes[[#This Row],[Quantité]] * IFERROR(_xlfn.XLOOKUP(tbl_Recettes[[#This Row],[Cde_Ingrdt]], tbl_Stock[Cde_Ingrdt], tbl_Stock[CMP effectif]),0),0)</f>
        <v>6</v>
      </c>
    </row>
    <row r="509" spans="1:7" x14ac:dyDescent="0.25">
      <c r="A509" t="s">
        <v>752</v>
      </c>
      <c r="B509" t="s">
        <v>753</v>
      </c>
      <c r="C509" t="s">
        <v>307</v>
      </c>
      <c r="D509" t="s">
        <v>308</v>
      </c>
      <c r="E509">
        <v>30</v>
      </c>
      <c r="F509" t="s">
        <v>209</v>
      </c>
      <c r="G509">
        <f ca="1">IFERROR(tbl_Recettes[[#This Row],[Quantité]] * IFERROR(_xlfn.XLOOKUP(tbl_Recettes[[#This Row],[Cde_Ingrdt]], tbl_Stock[Cde_Ingrdt], tbl_Stock[CMP effectif]),0),0)</f>
        <v>0.3</v>
      </c>
    </row>
    <row r="510" spans="1:7" x14ac:dyDescent="0.25">
      <c r="A510" t="s">
        <v>752</v>
      </c>
      <c r="B510" t="s">
        <v>753</v>
      </c>
      <c r="C510" t="s">
        <v>545</v>
      </c>
      <c r="D510" t="s">
        <v>546</v>
      </c>
      <c r="E510">
        <v>50</v>
      </c>
      <c r="F510" t="s">
        <v>209</v>
      </c>
      <c r="G510">
        <f ca="1">IFERROR(tbl_Recettes[[#This Row],[Quantité]] * IFERROR(_xlfn.XLOOKUP(tbl_Recettes[[#This Row],[Cde_Ingrdt]], tbl_Stock[Cde_Ingrdt], tbl_Stock[CMP effectif]),0),0)</f>
        <v>5</v>
      </c>
    </row>
    <row r="511" spans="1:7" x14ac:dyDescent="0.25">
      <c r="A511" t="s">
        <v>755</v>
      </c>
      <c r="B511" t="s">
        <v>756</v>
      </c>
      <c r="C511" t="s">
        <v>757</v>
      </c>
      <c r="D511" t="s">
        <v>758</v>
      </c>
      <c r="E511">
        <v>50</v>
      </c>
      <c r="F511" t="s">
        <v>209</v>
      </c>
      <c r="G511">
        <f ca="1">IFERROR(tbl_Recettes[[#This Row],[Quantité]] * IFERROR(_xlfn.XLOOKUP(tbl_Recettes[[#This Row],[Cde_Ingrdt]], tbl_Stock[Cde_Ingrdt], tbl_Stock[CMP effectif]),0),0)</f>
        <v>5</v>
      </c>
    </row>
    <row r="512" spans="1:7" x14ac:dyDescent="0.25">
      <c r="A512" t="s">
        <v>755</v>
      </c>
      <c r="B512" t="s">
        <v>756</v>
      </c>
      <c r="C512" t="s">
        <v>748</v>
      </c>
      <c r="D512" t="s">
        <v>749</v>
      </c>
      <c r="E512">
        <v>50</v>
      </c>
      <c r="F512" t="s">
        <v>209</v>
      </c>
      <c r="G512">
        <f ca="1">IFERROR(tbl_Recettes[[#This Row],[Quantité]] * IFERROR(_xlfn.XLOOKUP(tbl_Recettes[[#This Row],[Cde_Ingrdt]], tbl_Stock[Cde_Ingrdt], tbl_Stock[CMP effectif]),0),0)</f>
        <v>2</v>
      </c>
    </row>
    <row r="513" spans="1:7" x14ac:dyDescent="0.25">
      <c r="A513" t="s">
        <v>755</v>
      </c>
      <c r="B513" t="s">
        <v>756</v>
      </c>
      <c r="C513" t="s">
        <v>738</v>
      </c>
      <c r="D513" t="s">
        <v>739</v>
      </c>
      <c r="E513">
        <v>50</v>
      </c>
      <c r="F513" t="s">
        <v>209</v>
      </c>
      <c r="G513">
        <f ca="1">IFERROR(tbl_Recettes[[#This Row],[Quantité]] * IFERROR(_xlfn.XLOOKUP(tbl_Recettes[[#This Row],[Cde_Ingrdt]], tbl_Stock[Cde_Ingrdt], tbl_Stock[CMP effectif]),0),0)</f>
        <v>4</v>
      </c>
    </row>
    <row r="514" spans="1:7" x14ac:dyDescent="0.25">
      <c r="A514" t="s">
        <v>755</v>
      </c>
      <c r="B514" t="s">
        <v>756</v>
      </c>
      <c r="C514" t="s">
        <v>377</v>
      </c>
      <c r="D514" t="s">
        <v>378</v>
      </c>
      <c r="E514">
        <v>50</v>
      </c>
      <c r="F514" t="s">
        <v>209</v>
      </c>
      <c r="G514">
        <f ca="1">IFERROR(tbl_Recettes[[#This Row],[Quantité]] * IFERROR(_xlfn.XLOOKUP(tbl_Recettes[[#This Row],[Cde_Ingrdt]], tbl_Stock[Cde_Ingrdt], tbl_Stock[CMP effectif]),0),0)</f>
        <v>25</v>
      </c>
    </row>
    <row r="515" spans="1:7" x14ac:dyDescent="0.25">
      <c r="A515" t="s">
        <v>755</v>
      </c>
      <c r="B515" t="s">
        <v>756</v>
      </c>
      <c r="C515" t="s">
        <v>293</v>
      </c>
      <c r="D515" t="s">
        <v>294</v>
      </c>
      <c r="E515">
        <v>20</v>
      </c>
      <c r="F515" t="s">
        <v>209</v>
      </c>
      <c r="G515">
        <f ca="1">IFERROR(tbl_Recettes[[#This Row],[Quantité]] * IFERROR(_xlfn.XLOOKUP(tbl_Recettes[[#This Row],[Cde_Ingrdt]], tbl_Stock[Cde_Ingrdt], tbl_Stock[CMP effectif]),0),0)</f>
        <v>2</v>
      </c>
    </row>
    <row r="516" spans="1:7" x14ac:dyDescent="0.25">
      <c r="A516" t="s">
        <v>755</v>
      </c>
      <c r="B516" t="s">
        <v>756</v>
      </c>
      <c r="C516" t="s">
        <v>504</v>
      </c>
      <c r="D516" t="s">
        <v>505</v>
      </c>
      <c r="E516">
        <v>20</v>
      </c>
      <c r="F516" t="s">
        <v>209</v>
      </c>
      <c r="G516">
        <f ca="1">IFERROR(tbl_Recettes[[#This Row],[Quantité]] * IFERROR(_xlfn.XLOOKUP(tbl_Recettes[[#This Row],[Cde_Ingrdt]], tbl_Stock[Cde_Ingrdt], tbl_Stock[CMP effectif]),0),0)</f>
        <v>3</v>
      </c>
    </row>
    <row r="517" spans="1:7" x14ac:dyDescent="0.25">
      <c r="A517" t="s">
        <v>755</v>
      </c>
      <c r="B517" t="s">
        <v>756</v>
      </c>
      <c r="C517" t="s">
        <v>353</v>
      </c>
      <c r="D517" t="s">
        <v>354</v>
      </c>
      <c r="E517">
        <v>20</v>
      </c>
      <c r="F517" t="s">
        <v>209</v>
      </c>
      <c r="G517">
        <f ca="1">IFERROR(tbl_Recettes[[#This Row],[Quantité]] * IFERROR(_xlfn.XLOOKUP(tbl_Recettes[[#This Row],[Cde_Ingrdt]], tbl_Stock[Cde_Ingrdt], tbl_Stock[CMP effectif]),0),0)</f>
        <v>16</v>
      </c>
    </row>
    <row r="518" spans="1:7" x14ac:dyDescent="0.25">
      <c r="A518" t="s">
        <v>755</v>
      </c>
      <c r="B518" t="s">
        <v>756</v>
      </c>
      <c r="C518" t="s">
        <v>472</v>
      </c>
      <c r="D518" t="s">
        <v>473</v>
      </c>
      <c r="E518">
        <v>50</v>
      </c>
      <c r="F518" t="s">
        <v>209</v>
      </c>
      <c r="G518">
        <f ca="1">IFERROR(tbl_Recettes[[#This Row],[Quantité]] * IFERROR(_xlfn.XLOOKUP(tbl_Recettes[[#This Row],[Cde_Ingrdt]], tbl_Stock[Cde_Ingrdt], tbl_Stock[CMP effectif]),0),0)</f>
        <v>4.5</v>
      </c>
    </row>
    <row r="519" spans="1:7" x14ac:dyDescent="0.25">
      <c r="A519" t="s">
        <v>755</v>
      </c>
      <c r="B519" t="s">
        <v>756</v>
      </c>
      <c r="C519" t="s">
        <v>219</v>
      </c>
      <c r="D519" t="s">
        <v>220</v>
      </c>
      <c r="E519">
        <v>40</v>
      </c>
      <c r="F519" t="s">
        <v>221</v>
      </c>
      <c r="G519">
        <f ca="1">IFERROR(tbl_Recettes[[#This Row],[Quantité]] * IFERROR(_xlfn.XLOOKUP(tbl_Recettes[[#This Row],[Cde_Ingrdt]], tbl_Stock[Cde_Ingrdt], tbl_Stock[CMP effectif]),0),0)</f>
        <v>6</v>
      </c>
    </row>
    <row r="520" spans="1:7" x14ac:dyDescent="0.25">
      <c r="A520" t="s">
        <v>755</v>
      </c>
      <c r="B520" t="s">
        <v>756</v>
      </c>
      <c r="C520" t="s">
        <v>545</v>
      </c>
      <c r="D520" t="s">
        <v>546</v>
      </c>
      <c r="E520">
        <v>40</v>
      </c>
      <c r="F520" t="s">
        <v>209</v>
      </c>
      <c r="G520">
        <f ca="1">IFERROR(tbl_Recettes[[#This Row],[Quantité]] * IFERROR(_xlfn.XLOOKUP(tbl_Recettes[[#This Row],[Cde_Ingrdt]], tbl_Stock[Cde_Ingrdt], tbl_Stock[CMP effectif]),0),0)</f>
        <v>4</v>
      </c>
    </row>
    <row r="521" spans="1:7" x14ac:dyDescent="0.25">
      <c r="A521" t="s">
        <v>755</v>
      </c>
      <c r="B521" t="s">
        <v>756</v>
      </c>
      <c r="C521" t="s">
        <v>303</v>
      </c>
      <c r="D521" t="s">
        <v>304</v>
      </c>
      <c r="E521">
        <v>60</v>
      </c>
      <c r="F521" t="s">
        <v>209</v>
      </c>
      <c r="G521">
        <f ca="1">IFERROR(tbl_Recettes[[#This Row],[Quantité]] * IFERROR(_xlfn.XLOOKUP(tbl_Recettes[[#This Row],[Cde_Ingrdt]], tbl_Stock[Cde_Ingrdt], tbl_Stock[CMP effectif]),0),0)</f>
        <v>9.84</v>
      </c>
    </row>
    <row r="522" spans="1:7" x14ac:dyDescent="0.25">
      <c r="A522" t="s">
        <v>759</v>
      </c>
      <c r="B522" t="s">
        <v>760</v>
      </c>
      <c r="C522" t="s">
        <v>761</v>
      </c>
      <c r="D522" t="s">
        <v>762</v>
      </c>
      <c r="E522">
        <v>150</v>
      </c>
      <c r="F522" t="s">
        <v>209</v>
      </c>
      <c r="G522">
        <f ca="1">IFERROR(tbl_Recettes[[#This Row],[Quantité]] * IFERROR(_xlfn.XLOOKUP(tbl_Recettes[[#This Row],[Cde_Ingrdt]], tbl_Stock[Cde_Ingrdt], tbl_Stock[CMP effectif]),0),0)</f>
        <v>4.5</v>
      </c>
    </row>
    <row r="523" spans="1:7" x14ac:dyDescent="0.25">
      <c r="A523" t="s">
        <v>759</v>
      </c>
      <c r="B523" t="s">
        <v>760</v>
      </c>
      <c r="C523" t="s">
        <v>293</v>
      </c>
      <c r="D523" t="s">
        <v>294</v>
      </c>
      <c r="E523">
        <v>60</v>
      </c>
      <c r="F523" t="s">
        <v>209</v>
      </c>
      <c r="G523">
        <f ca="1">IFERROR(tbl_Recettes[[#This Row],[Quantité]] * IFERROR(_xlfn.XLOOKUP(tbl_Recettes[[#This Row],[Cde_Ingrdt]], tbl_Stock[Cde_Ingrdt], tbl_Stock[CMP effectif]),0),0)</f>
        <v>6</v>
      </c>
    </row>
    <row r="524" spans="1:7" x14ac:dyDescent="0.25">
      <c r="A524" t="s">
        <v>759</v>
      </c>
      <c r="B524" t="s">
        <v>760</v>
      </c>
      <c r="C524" t="s">
        <v>353</v>
      </c>
      <c r="D524" t="s">
        <v>354</v>
      </c>
      <c r="E524">
        <v>40</v>
      </c>
      <c r="F524" t="s">
        <v>209</v>
      </c>
      <c r="G524">
        <f ca="1">IFERROR(tbl_Recettes[[#This Row],[Quantité]] * IFERROR(_xlfn.XLOOKUP(tbl_Recettes[[#This Row],[Cde_Ingrdt]], tbl_Stock[Cde_Ingrdt], tbl_Stock[CMP effectif]),0),0)</f>
        <v>32</v>
      </c>
    </row>
    <row r="525" spans="1:7" x14ac:dyDescent="0.25">
      <c r="A525" t="s">
        <v>759</v>
      </c>
      <c r="B525" t="s">
        <v>760</v>
      </c>
      <c r="C525" t="s">
        <v>504</v>
      </c>
      <c r="D525" t="s">
        <v>505</v>
      </c>
      <c r="E525">
        <v>40</v>
      </c>
      <c r="F525" t="s">
        <v>209</v>
      </c>
      <c r="G525">
        <f ca="1">IFERROR(tbl_Recettes[[#This Row],[Quantité]] * IFERROR(_xlfn.XLOOKUP(tbl_Recettes[[#This Row],[Cde_Ingrdt]], tbl_Stock[Cde_Ingrdt], tbl_Stock[CMP effectif]),0),0)</f>
        <v>6</v>
      </c>
    </row>
    <row r="526" spans="1:7" x14ac:dyDescent="0.25">
      <c r="A526" t="s">
        <v>759</v>
      </c>
      <c r="B526" t="s">
        <v>760</v>
      </c>
      <c r="C526" t="s">
        <v>219</v>
      </c>
      <c r="D526" t="s">
        <v>220</v>
      </c>
      <c r="E526">
        <v>50</v>
      </c>
      <c r="F526" t="s">
        <v>221</v>
      </c>
      <c r="G526">
        <f ca="1">IFERROR(tbl_Recettes[[#This Row],[Quantité]] * IFERROR(_xlfn.XLOOKUP(tbl_Recettes[[#This Row],[Cde_Ingrdt]], tbl_Stock[Cde_Ingrdt], tbl_Stock[CMP effectif]),0),0)</f>
        <v>7.5</v>
      </c>
    </row>
    <row r="527" spans="1:7" x14ac:dyDescent="0.25">
      <c r="A527" t="s">
        <v>759</v>
      </c>
      <c r="B527" t="s">
        <v>760</v>
      </c>
      <c r="C527" t="s">
        <v>545</v>
      </c>
      <c r="D527" t="s">
        <v>546</v>
      </c>
      <c r="E527">
        <v>40</v>
      </c>
      <c r="F527" t="s">
        <v>209</v>
      </c>
      <c r="G527">
        <f ca="1">IFERROR(tbl_Recettes[[#This Row],[Quantité]] * IFERROR(_xlfn.XLOOKUP(tbl_Recettes[[#This Row],[Cde_Ingrdt]], tbl_Stock[Cde_Ingrdt], tbl_Stock[CMP effectif]),0),0)</f>
        <v>4</v>
      </c>
    </row>
    <row r="528" spans="1:7" x14ac:dyDescent="0.25">
      <c r="A528" t="s">
        <v>763</v>
      </c>
      <c r="B528" t="s">
        <v>764</v>
      </c>
      <c r="C528" t="s">
        <v>761</v>
      </c>
      <c r="D528" t="s">
        <v>762</v>
      </c>
      <c r="E528">
        <v>150</v>
      </c>
      <c r="F528" t="s">
        <v>209</v>
      </c>
      <c r="G528">
        <f ca="1">IFERROR(tbl_Recettes[[#This Row],[Quantité]] * IFERROR(_xlfn.XLOOKUP(tbl_Recettes[[#This Row],[Cde_Ingrdt]], tbl_Stock[Cde_Ingrdt], tbl_Stock[CMP effectif]),0),0)</f>
        <v>4.5</v>
      </c>
    </row>
    <row r="529" spans="1:7" x14ac:dyDescent="0.25">
      <c r="A529" t="s">
        <v>763</v>
      </c>
      <c r="B529" t="s">
        <v>764</v>
      </c>
      <c r="C529" t="s">
        <v>472</v>
      </c>
      <c r="D529" t="s">
        <v>473</v>
      </c>
      <c r="E529">
        <v>100</v>
      </c>
      <c r="F529" t="s">
        <v>209</v>
      </c>
      <c r="G529">
        <f ca="1">IFERROR(tbl_Recettes[[#This Row],[Quantité]] * IFERROR(_xlfn.XLOOKUP(tbl_Recettes[[#This Row],[Cde_Ingrdt]], tbl_Stock[Cde_Ingrdt], tbl_Stock[CMP effectif]),0),0)</f>
        <v>9</v>
      </c>
    </row>
    <row r="530" spans="1:7" x14ac:dyDescent="0.25">
      <c r="A530" t="s">
        <v>763</v>
      </c>
      <c r="B530" t="s">
        <v>764</v>
      </c>
      <c r="C530" t="s">
        <v>219</v>
      </c>
      <c r="D530" t="s">
        <v>220</v>
      </c>
      <c r="E530">
        <v>60</v>
      </c>
      <c r="F530" t="s">
        <v>221</v>
      </c>
      <c r="G530">
        <f ca="1">IFERROR(tbl_Recettes[[#This Row],[Quantité]] * IFERROR(_xlfn.XLOOKUP(tbl_Recettes[[#This Row],[Cde_Ingrdt]], tbl_Stock[Cde_Ingrdt], tbl_Stock[CMP effectif]),0),0)</f>
        <v>9</v>
      </c>
    </row>
    <row r="531" spans="1:7" x14ac:dyDescent="0.25">
      <c r="A531" t="s">
        <v>763</v>
      </c>
      <c r="B531" t="s">
        <v>764</v>
      </c>
      <c r="C531" t="s">
        <v>303</v>
      </c>
      <c r="D531" t="s">
        <v>304</v>
      </c>
      <c r="E531">
        <v>40</v>
      </c>
      <c r="F531" t="s">
        <v>209</v>
      </c>
      <c r="G531">
        <f ca="1">IFERROR(tbl_Recettes[[#This Row],[Quantité]] * IFERROR(_xlfn.XLOOKUP(tbl_Recettes[[#This Row],[Cde_Ingrdt]], tbl_Stock[Cde_Ingrdt], tbl_Stock[CMP effectif]),0),0)</f>
        <v>6.5600000000000005</v>
      </c>
    </row>
    <row r="532" spans="1:7" x14ac:dyDescent="0.25">
      <c r="A532" t="s">
        <v>765</v>
      </c>
      <c r="B532" t="s">
        <v>766</v>
      </c>
      <c r="C532" t="s">
        <v>757</v>
      </c>
      <c r="D532" t="s">
        <v>758</v>
      </c>
      <c r="E532">
        <v>150</v>
      </c>
      <c r="F532" t="s">
        <v>209</v>
      </c>
      <c r="G532">
        <f ca="1">IFERROR(tbl_Recettes[[#This Row],[Quantité]] * IFERROR(_xlfn.XLOOKUP(tbl_Recettes[[#This Row],[Cde_Ingrdt]], tbl_Stock[Cde_Ingrdt], tbl_Stock[CMP effectif]),0),0)</f>
        <v>15</v>
      </c>
    </row>
    <row r="533" spans="1:7" x14ac:dyDescent="0.25">
      <c r="A533" t="s">
        <v>765</v>
      </c>
      <c r="B533" t="s">
        <v>766</v>
      </c>
      <c r="C533" t="s">
        <v>293</v>
      </c>
      <c r="D533" t="s">
        <v>294</v>
      </c>
      <c r="E533">
        <v>60</v>
      </c>
      <c r="F533" t="s">
        <v>209</v>
      </c>
      <c r="G533">
        <f ca="1">IFERROR(tbl_Recettes[[#This Row],[Quantité]] * IFERROR(_xlfn.XLOOKUP(tbl_Recettes[[#This Row],[Cde_Ingrdt]], tbl_Stock[Cde_Ingrdt], tbl_Stock[CMP effectif]),0),0)</f>
        <v>6</v>
      </c>
    </row>
    <row r="534" spans="1:7" x14ac:dyDescent="0.25">
      <c r="A534" t="s">
        <v>765</v>
      </c>
      <c r="B534" t="s">
        <v>766</v>
      </c>
      <c r="C534" t="s">
        <v>353</v>
      </c>
      <c r="D534" t="s">
        <v>354</v>
      </c>
      <c r="E534">
        <v>40</v>
      </c>
      <c r="F534" t="s">
        <v>209</v>
      </c>
      <c r="G534">
        <f ca="1">IFERROR(tbl_Recettes[[#This Row],[Quantité]] * IFERROR(_xlfn.XLOOKUP(tbl_Recettes[[#This Row],[Cde_Ingrdt]], tbl_Stock[Cde_Ingrdt], tbl_Stock[CMP effectif]),0),0)</f>
        <v>32</v>
      </c>
    </row>
    <row r="535" spans="1:7" x14ac:dyDescent="0.25">
      <c r="A535" t="s">
        <v>765</v>
      </c>
      <c r="B535" t="s">
        <v>766</v>
      </c>
      <c r="C535" t="s">
        <v>504</v>
      </c>
      <c r="D535" t="s">
        <v>505</v>
      </c>
      <c r="E535">
        <v>40</v>
      </c>
      <c r="F535" t="s">
        <v>209</v>
      </c>
      <c r="G535">
        <f ca="1">IFERROR(tbl_Recettes[[#This Row],[Quantité]] * IFERROR(_xlfn.XLOOKUP(tbl_Recettes[[#This Row],[Cde_Ingrdt]], tbl_Stock[Cde_Ingrdt], tbl_Stock[CMP effectif]),0),0)</f>
        <v>6</v>
      </c>
    </row>
    <row r="536" spans="1:7" x14ac:dyDescent="0.25">
      <c r="A536" t="s">
        <v>765</v>
      </c>
      <c r="B536" t="s">
        <v>766</v>
      </c>
      <c r="C536" t="s">
        <v>219</v>
      </c>
      <c r="D536" t="s">
        <v>220</v>
      </c>
      <c r="E536">
        <v>50</v>
      </c>
      <c r="F536" t="s">
        <v>221</v>
      </c>
      <c r="G536">
        <f ca="1">IFERROR(tbl_Recettes[[#This Row],[Quantité]] * IFERROR(_xlfn.XLOOKUP(tbl_Recettes[[#This Row],[Cde_Ingrdt]], tbl_Stock[Cde_Ingrdt], tbl_Stock[CMP effectif]),0),0)</f>
        <v>7.5</v>
      </c>
    </row>
    <row r="537" spans="1:7" x14ac:dyDescent="0.25">
      <c r="A537" t="s">
        <v>765</v>
      </c>
      <c r="B537" t="s">
        <v>766</v>
      </c>
      <c r="C537" t="s">
        <v>545</v>
      </c>
      <c r="D537" t="s">
        <v>546</v>
      </c>
      <c r="E537">
        <v>40</v>
      </c>
      <c r="F537" t="s">
        <v>209</v>
      </c>
      <c r="G537">
        <f ca="1">IFERROR(tbl_Recettes[[#This Row],[Quantité]] * IFERROR(_xlfn.XLOOKUP(tbl_Recettes[[#This Row],[Cde_Ingrdt]], tbl_Stock[Cde_Ingrdt], tbl_Stock[CMP effectif]),0),0)</f>
        <v>4</v>
      </c>
    </row>
    <row r="538" spans="1:7" x14ac:dyDescent="0.25">
      <c r="A538" t="s">
        <v>767</v>
      </c>
      <c r="B538" t="s">
        <v>768</v>
      </c>
      <c r="C538" t="s">
        <v>757</v>
      </c>
      <c r="D538" t="s">
        <v>758</v>
      </c>
      <c r="E538">
        <v>150</v>
      </c>
      <c r="F538" t="s">
        <v>209</v>
      </c>
      <c r="G538">
        <f ca="1">IFERROR(tbl_Recettes[[#This Row],[Quantité]] * IFERROR(_xlfn.XLOOKUP(tbl_Recettes[[#This Row],[Cde_Ingrdt]], tbl_Stock[Cde_Ingrdt], tbl_Stock[CMP effectif]),0),0)</f>
        <v>15</v>
      </c>
    </row>
    <row r="539" spans="1:7" x14ac:dyDescent="0.25">
      <c r="A539" t="s">
        <v>767</v>
      </c>
      <c r="B539" t="s">
        <v>768</v>
      </c>
      <c r="C539" t="s">
        <v>472</v>
      </c>
      <c r="D539" t="s">
        <v>473</v>
      </c>
      <c r="E539">
        <v>100</v>
      </c>
      <c r="F539" t="s">
        <v>209</v>
      </c>
      <c r="G539">
        <f ca="1">IFERROR(tbl_Recettes[[#This Row],[Quantité]] * IFERROR(_xlfn.XLOOKUP(tbl_Recettes[[#This Row],[Cde_Ingrdt]], tbl_Stock[Cde_Ingrdt], tbl_Stock[CMP effectif]),0),0)</f>
        <v>9</v>
      </c>
    </row>
    <row r="540" spans="1:7" x14ac:dyDescent="0.25">
      <c r="A540" t="s">
        <v>767</v>
      </c>
      <c r="B540" t="s">
        <v>768</v>
      </c>
      <c r="C540" t="s">
        <v>219</v>
      </c>
      <c r="D540" t="s">
        <v>220</v>
      </c>
      <c r="E540">
        <v>60</v>
      </c>
      <c r="F540" t="s">
        <v>221</v>
      </c>
      <c r="G540">
        <f ca="1">IFERROR(tbl_Recettes[[#This Row],[Quantité]] * IFERROR(_xlfn.XLOOKUP(tbl_Recettes[[#This Row],[Cde_Ingrdt]], tbl_Stock[Cde_Ingrdt], tbl_Stock[CMP effectif]),0),0)</f>
        <v>9</v>
      </c>
    </row>
    <row r="541" spans="1:7" x14ac:dyDescent="0.25">
      <c r="A541" t="s">
        <v>767</v>
      </c>
      <c r="B541" t="s">
        <v>768</v>
      </c>
      <c r="C541" t="s">
        <v>303</v>
      </c>
      <c r="D541" t="s">
        <v>304</v>
      </c>
      <c r="E541">
        <v>40</v>
      </c>
      <c r="F541" t="s">
        <v>209</v>
      </c>
      <c r="G541">
        <f ca="1">IFERROR(tbl_Recettes[[#This Row],[Quantité]] * IFERROR(_xlfn.XLOOKUP(tbl_Recettes[[#This Row],[Cde_Ingrdt]], tbl_Stock[Cde_Ingrdt], tbl_Stock[CMP effectif]),0),0)</f>
        <v>6.5600000000000005</v>
      </c>
    </row>
    <row r="542" spans="1:7" x14ac:dyDescent="0.25">
      <c r="A542" t="s">
        <v>62</v>
      </c>
      <c r="B542" t="s">
        <v>769</v>
      </c>
      <c r="C542" t="s">
        <v>770</v>
      </c>
      <c r="D542" t="s">
        <v>771</v>
      </c>
      <c r="E542">
        <v>120</v>
      </c>
      <c r="F542" t="s">
        <v>209</v>
      </c>
      <c r="G542">
        <f ca="1">IFERROR(tbl_Recettes[[#This Row],[Quantité]] * IFERROR(_xlfn.XLOOKUP(tbl_Recettes[[#This Row],[Cde_Ingrdt]], tbl_Stock[Cde_Ingrdt], tbl_Stock[CMP effectif]),0),0)</f>
        <v>7.1999999999999993</v>
      </c>
    </row>
    <row r="543" spans="1:7" x14ac:dyDescent="0.25">
      <c r="A543" t="s">
        <v>62</v>
      </c>
      <c r="B543" t="s">
        <v>769</v>
      </c>
      <c r="C543" t="s">
        <v>772</v>
      </c>
      <c r="D543" t="s">
        <v>773</v>
      </c>
      <c r="E543">
        <v>100</v>
      </c>
      <c r="F543" t="s">
        <v>209</v>
      </c>
      <c r="G543">
        <f ca="1">IFERROR(tbl_Recettes[[#This Row],[Quantité]] * IFERROR(_xlfn.XLOOKUP(tbl_Recettes[[#This Row],[Cde_Ingrdt]], tbl_Stock[Cde_Ingrdt], tbl_Stock[CMP effectif]),0),0)</f>
        <v>10</v>
      </c>
    </row>
    <row r="544" spans="1:7" x14ac:dyDescent="0.25">
      <c r="A544" t="s">
        <v>62</v>
      </c>
      <c r="B544" t="s">
        <v>769</v>
      </c>
      <c r="C544" t="s">
        <v>573</v>
      </c>
      <c r="D544" t="s">
        <v>574</v>
      </c>
      <c r="E544">
        <v>40</v>
      </c>
      <c r="F544" t="s">
        <v>209</v>
      </c>
      <c r="G544">
        <f ca="1">IFERROR(tbl_Recettes[[#This Row],[Quantité]] * IFERROR(_xlfn.XLOOKUP(tbl_Recettes[[#This Row],[Cde_Ingrdt]], tbl_Stock[Cde_Ingrdt], tbl_Stock[CMP effectif]),0),0)</f>
        <v>4</v>
      </c>
    </row>
    <row r="545" spans="1:7" x14ac:dyDescent="0.25">
      <c r="A545" t="s">
        <v>62</v>
      </c>
      <c r="B545" t="s">
        <v>769</v>
      </c>
      <c r="C545" t="s">
        <v>307</v>
      </c>
      <c r="D545" t="s">
        <v>308</v>
      </c>
      <c r="E545">
        <v>30</v>
      </c>
      <c r="F545" t="s">
        <v>209</v>
      </c>
      <c r="G545">
        <f ca="1">IFERROR(tbl_Recettes[[#This Row],[Quantité]] * IFERROR(_xlfn.XLOOKUP(tbl_Recettes[[#This Row],[Cde_Ingrdt]], tbl_Stock[Cde_Ingrdt], tbl_Stock[CMP effectif]),0),0)</f>
        <v>0.3</v>
      </c>
    </row>
    <row r="546" spans="1:7" x14ac:dyDescent="0.25">
      <c r="A546" t="s">
        <v>62</v>
      </c>
      <c r="B546" t="s">
        <v>769</v>
      </c>
      <c r="C546" t="s">
        <v>303</v>
      </c>
      <c r="D546" t="s">
        <v>304</v>
      </c>
      <c r="E546">
        <v>30</v>
      </c>
      <c r="F546" t="s">
        <v>209</v>
      </c>
      <c r="G546">
        <f ca="1">IFERROR(tbl_Recettes[[#This Row],[Quantité]] * IFERROR(_xlfn.XLOOKUP(tbl_Recettes[[#This Row],[Cde_Ingrdt]], tbl_Stock[Cde_Ingrdt], tbl_Stock[CMP effectif]),0),0)</f>
        <v>4.92</v>
      </c>
    </row>
    <row r="547" spans="1:7" x14ac:dyDescent="0.25">
      <c r="A547" t="s">
        <v>774</v>
      </c>
      <c r="B547" t="s">
        <v>775</v>
      </c>
      <c r="C547" t="s">
        <v>249</v>
      </c>
      <c r="D547" t="s">
        <v>250</v>
      </c>
      <c r="E547">
        <v>1</v>
      </c>
      <c r="F547" t="s">
        <v>206</v>
      </c>
      <c r="G547">
        <f ca="1">IFERROR(tbl_Recettes[[#This Row],[Quantité]] * IFERROR(_xlfn.XLOOKUP(tbl_Recettes[[#This Row],[Cde_Ingrdt]], tbl_Stock[Cde_Ingrdt], tbl_Stock[CMP effectif]),0),0)</f>
        <v>7</v>
      </c>
    </row>
    <row r="548" spans="1:7" x14ac:dyDescent="0.25">
      <c r="A548" t="s">
        <v>774</v>
      </c>
      <c r="B548" t="s">
        <v>775</v>
      </c>
      <c r="C548" t="s">
        <v>472</v>
      </c>
      <c r="D548" t="s">
        <v>473</v>
      </c>
      <c r="E548">
        <v>120</v>
      </c>
      <c r="F548" t="s">
        <v>209</v>
      </c>
      <c r="G548">
        <f ca="1">IFERROR(tbl_Recettes[[#This Row],[Quantité]] * IFERROR(_xlfn.XLOOKUP(tbl_Recettes[[#This Row],[Cde_Ingrdt]], tbl_Stock[Cde_Ingrdt], tbl_Stock[CMP effectif]),0),0)</f>
        <v>10.799999999999999</v>
      </c>
    </row>
    <row r="549" spans="1:7" x14ac:dyDescent="0.25">
      <c r="A549" t="s">
        <v>774</v>
      </c>
      <c r="B549" t="s">
        <v>775</v>
      </c>
      <c r="C549" t="s">
        <v>776</v>
      </c>
      <c r="D549" t="s">
        <v>777</v>
      </c>
      <c r="E549">
        <v>30</v>
      </c>
      <c r="F549" t="s">
        <v>209</v>
      </c>
      <c r="G549">
        <f ca="1">IFERROR(tbl_Recettes[[#This Row],[Quantité]] * IFERROR(_xlfn.XLOOKUP(tbl_Recettes[[#This Row],[Cde_Ingrdt]], tbl_Stock[Cde_Ingrdt], tbl_Stock[CMP effectif]),0),0)</f>
        <v>0.89999999999999991</v>
      </c>
    </row>
    <row r="550" spans="1:7" x14ac:dyDescent="0.25">
      <c r="A550" t="s">
        <v>774</v>
      </c>
      <c r="B550" t="s">
        <v>775</v>
      </c>
      <c r="C550" t="s">
        <v>778</v>
      </c>
      <c r="D550" t="s">
        <v>779</v>
      </c>
      <c r="E550">
        <v>20</v>
      </c>
      <c r="F550" t="s">
        <v>209</v>
      </c>
      <c r="G550">
        <f ca="1">IFERROR(tbl_Recettes[[#This Row],[Quantité]] * IFERROR(_xlfn.XLOOKUP(tbl_Recettes[[#This Row],[Cde_Ingrdt]], tbl_Stock[Cde_Ingrdt], tbl_Stock[CMP effectif]),0),0)</f>
        <v>1.6</v>
      </c>
    </row>
    <row r="551" spans="1:7" x14ac:dyDescent="0.25">
      <c r="A551" t="s">
        <v>774</v>
      </c>
      <c r="B551" t="s">
        <v>775</v>
      </c>
      <c r="C551" t="s">
        <v>780</v>
      </c>
      <c r="D551" t="s">
        <v>781</v>
      </c>
      <c r="E551">
        <v>20</v>
      </c>
      <c r="F551" t="s">
        <v>209</v>
      </c>
      <c r="G551">
        <f ca="1">IFERROR(tbl_Recettes[[#This Row],[Quantité]] * IFERROR(_xlfn.XLOOKUP(tbl_Recettes[[#This Row],[Cde_Ingrdt]], tbl_Stock[Cde_Ingrdt], tbl_Stock[CMP effectif]),0),0)</f>
        <v>4</v>
      </c>
    </row>
    <row r="552" spans="1:7" x14ac:dyDescent="0.25">
      <c r="A552" t="s">
        <v>774</v>
      </c>
      <c r="B552" t="s">
        <v>775</v>
      </c>
      <c r="C552" t="s">
        <v>251</v>
      </c>
      <c r="D552" t="s">
        <v>252</v>
      </c>
      <c r="E552">
        <v>20</v>
      </c>
      <c r="F552" t="s">
        <v>221</v>
      </c>
      <c r="G552">
        <f ca="1">IFERROR(tbl_Recettes[[#This Row],[Quantité]] * IFERROR(_xlfn.XLOOKUP(tbl_Recettes[[#This Row],[Cde_Ingrdt]], tbl_Stock[Cde_Ingrdt], tbl_Stock[CMP effectif]),0),0)</f>
        <v>1.7999999999999998</v>
      </c>
    </row>
    <row r="553" spans="1:7" x14ac:dyDescent="0.25">
      <c r="A553" t="s">
        <v>782</v>
      </c>
      <c r="B553" t="s">
        <v>783</v>
      </c>
      <c r="C553" t="s">
        <v>249</v>
      </c>
      <c r="D553" t="s">
        <v>250</v>
      </c>
      <c r="E553">
        <v>1</v>
      </c>
      <c r="F553" t="s">
        <v>206</v>
      </c>
      <c r="G553">
        <f ca="1">IFERROR(tbl_Recettes[[#This Row],[Quantité]] * IFERROR(_xlfn.XLOOKUP(tbl_Recettes[[#This Row],[Cde_Ingrdt]], tbl_Stock[Cde_Ingrdt], tbl_Stock[CMP effectif]),0),0)</f>
        <v>7</v>
      </c>
    </row>
    <row r="554" spans="1:7" x14ac:dyDescent="0.25">
      <c r="A554" t="s">
        <v>782</v>
      </c>
      <c r="B554" t="s">
        <v>783</v>
      </c>
      <c r="C554" t="s">
        <v>472</v>
      </c>
      <c r="D554" t="s">
        <v>473</v>
      </c>
      <c r="E554">
        <v>200</v>
      </c>
      <c r="F554" t="s">
        <v>209</v>
      </c>
      <c r="G554">
        <f ca="1">IFERROR(tbl_Recettes[[#This Row],[Quantité]] * IFERROR(_xlfn.XLOOKUP(tbl_Recettes[[#This Row],[Cde_Ingrdt]], tbl_Stock[Cde_Ingrdt], tbl_Stock[CMP effectif]),0),0)</f>
        <v>18</v>
      </c>
    </row>
    <row r="555" spans="1:7" x14ac:dyDescent="0.25">
      <c r="A555" t="s">
        <v>782</v>
      </c>
      <c r="B555" t="s">
        <v>783</v>
      </c>
      <c r="C555" t="s">
        <v>730</v>
      </c>
      <c r="D555" t="s">
        <v>731</v>
      </c>
      <c r="E555">
        <v>0.5</v>
      </c>
      <c r="F555" t="s">
        <v>206</v>
      </c>
      <c r="G555">
        <f ca="1">IFERROR(tbl_Recettes[[#This Row],[Quantité]] * IFERROR(_xlfn.XLOOKUP(tbl_Recettes[[#This Row],[Cde_Ingrdt]], tbl_Stock[Cde_Ingrdt], tbl_Stock[CMP effectif]),0),0)</f>
        <v>3</v>
      </c>
    </row>
    <row r="556" spans="1:7" x14ac:dyDescent="0.25">
      <c r="A556" t="s">
        <v>782</v>
      </c>
      <c r="B556" t="s">
        <v>783</v>
      </c>
      <c r="C556" t="s">
        <v>778</v>
      </c>
      <c r="D556" t="s">
        <v>779</v>
      </c>
      <c r="E556">
        <v>20</v>
      </c>
      <c r="F556" t="s">
        <v>209</v>
      </c>
      <c r="G556">
        <f ca="1">IFERROR(tbl_Recettes[[#This Row],[Quantité]] * IFERROR(_xlfn.XLOOKUP(tbl_Recettes[[#This Row],[Cde_Ingrdt]], tbl_Stock[Cde_Ingrdt], tbl_Stock[CMP effectif]),0),0)</f>
        <v>1.6</v>
      </c>
    </row>
    <row r="557" spans="1:7" x14ac:dyDescent="0.25">
      <c r="A557" t="s">
        <v>782</v>
      </c>
      <c r="B557" t="s">
        <v>783</v>
      </c>
      <c r="C557" t="s">
        <v>780</v>
      </c>
      <c r="D557" t="s">
        <v>781</v>
      </c>
      <c r="E557">
        <v>30</v>
      </c>
      <c r="F557" t="s">
        <v>209</v>
      </c>
      <c r="G557">
        <f ca="1">IFERROR(tbl_Recettes[[#This Row],[Quantité]] * IFERROR(_xlfn.XLOOKUP(tbl_Recettes[[#This Row],[Cde_Ingrdt]], tbl_Stock[Cde_Ingrdt], tbl_Stock[CMP effectif]),0),0)</f>
        <v>6</v>
      </c>
    </row>
    <row r="558" spans="1:7" x14ac:dyDescent="0.25">
      <c r="A558" t="s">
        <v>782</v>
      </c>
      <c r="B558" t="s">
        <v>783</v>
      </c>
      <c r="C558" t="s">
        <v>784</v>
      </c>
      <c r="D558" t="s">
        <v>785</v>
      </c>
      <c r="E558">
        <v>20</v>
      </c>
      <c r="F558" t="s">
        <v>221</v>
      </c>
      <c r="G558">
        <f ca="1">IFERROR(tbl_Recettes[[#This Row],[Quantité]] * IFERROR(_xlfn.XLOOKUP(tbl_Recettes[[#This Row],[Cde_Ingrdt]], tbl_Stock[Cde_Ingrdt], tbl_Stock[CMP effectif]),0),0)</f>
        <v>0.6</v>
      </c>
    </row>
    <row r="559" spans="1:7" x14ac:dyDescent="0.25">
      <c r="A559" t="s">
        <v>786</v>
      </c>
      <c r="B559" t="s">
        <v>787</v>
      </c>
      <c r="C559" t="s">
        <v>249</v>
      </c>
      <c r="D559" t="s">
        <v>250</v>
      </c>
      <c r="E559">
        <v>1</v>
      </c>
      <c r="F559" t="s">
        <v>206</v>
      </c>
      <c r="G559">
        <f ca="1">IFERROR(tbl_Recettes[[#This Row],[Quantité]] * IFERROR(_xlfn.XLOOKUP(tbl_Recettes[[#This Row],[Cde_Ingrdt]], tbl_Stock[Cde_Ingrdt], tbl_Stock[CMP effectif]),0),0)</f>
        <v>7</v>
      </c>
    </row>
    <row r="560" spans="1:7" x14ac:dyDescent="0.25">
      <c r="A560" t="s">
        <v>786</v>
      </c>
      <c r="B560" t="s">
        <v>787</v>
      </c>
      <c r="C560" t="s">
        <v>472</v>
      </c>
      <c r="D560" t="s">
        <v>473</v>
      </c>
      <c r="E560">
        <v>120</v>
      </c>
      <c r="F560" t="s">
        <v>209</v>
      </c>
      <c r="G560">
        <f ca="1">IFERROR(tbl_Recettes[[#This Row],[Quantité]] * IFERROR(_xlfn.XLOOKUP(tbl_Recettes[[#This Row],[Cde_Ingrdt]], tbl_Stock[Cde_Ingrdt], tbl_Stock[CMP effectif]),0),0)</f>
        <v>10.799999999999999</v>
      </c>
    </row>
    <row r="561" spans="1:7" x14ac:dyDescent="0.25">
      <c r="A561" t="s">
        <v>786</v>
      </c>
      <c r="B561" t="s">
        <v>787</v>
      </c>
      <c r="C561" t="s">
        <v>210</v>
      </c>
      <c r="D561" t="s">
        <v>211</v>
      </c>
      <c r="E561">
        <v>1</v>
      </c>
      <c r="F561" t="s">
        <v>206</v>
      </c>
      <c r="G561">
        <f ca="1">IFERROR(tbl_Recettes[[#This Row],[Quantité]] * IFERROR(_xlfn.XLOOKUP(tbl_Recettes[[#This Row],[Cde_Ingrdt]], tbl_Stock[Cde_Ingrdt], tbl_Stock[CMP effectif]),0),0)</f>
        <v>0.9</v>
      </c>
    </row>
    <row r="562" spans="1:7" x14ac:dyDescent="0.25">
      <c r="A562" t="s">
        <v>786</v>
      </c>
      <c r="B562" t="s">
        <v>787</v>
      </c>
      <c r="C562" t="s">
        <v>776</v>
      </c>
      <c r="D562" t="s">
        <v>777</v>
      </c>
      <c r="E562">
        <v>30</v>
      </c>
      <c r="F562" t="s">
        <v>209</v>
      </c>
      <c r="G562">
        <f ca="1">IFERROR(tbl_Recettes[[#This Row],[Quantité]] * IFERROR(_xlfn.XLOOKUP(tbl_Recettes[[#This Row],[Cde_Ingrdt]], tbl_Stock[Cde_Ingrdt], tbl_Stock[CMP effectif]),0),0)</f>
        <v>0.89999999999999991</v>
      </c>
    </row>
    <row r="563" spans="1:7" x14ac:dyDescent="0.25">
      <c r="A563" t="s">
        <v>786</v>
      </c>
      <c r="B563" t="s">
        <v>787</v>
      </c>
      <c r="C563" t="s">
        <v>778</v>
      </c>
      <c r="D563" t="s">
        <v>779</v>
      </c>
      <c r="E563">
        <v>20</v>
      </c>
      <c r="F563" t="s">
        <v>209</v>
      </c>
      <c r="G563">
        <f ca="1">IFERROR(tbl_Recettes[[#This Row],[Quantité]] * IFERROR(_xlfn.XLOOKUP(tbl_Recettes[[#This Row],[Cde_Ingrdt]], tbl_Stock[Cde_Ingrdt], tbl_Stock[CMP effectif]),0),0)</f>
        <v>1.6</v>
      </c>
    </row>
    <row r="564" spans="1:7" x14ac:dyDescent="0.25">
      <c r="A564" t="s">
        <v>786</v>
      </c>
      <c r="B564" t="s">
        <v>787</v>
      </c>
      <c r="C564" t="s">
        <v>780</v>
      </c>
      <c r="D564" t="s">
        <v>781</v>
      </c>
      <c r="E564">
        <v>20</v>
      </c>
      <c r="F564" t="s">
        <v>209</v>
      </c>
      <c r="G564">
        <f ca="1">IFERROR(tbl_Recettes[[#This Row],[Quantité]] * IFERROR(_xlfn.XLOOKUP(tbl_Recettes[[#This Row],[Cde_Ingrdt]], tbl_Stock[Cde_Ingrdt], tbl_Stock[CMP effectif]),0),0)</f>
        <v>4</v>
      </c>
    </row>
    <row r="565" spans="1:7" x14ac:dyDescent="0.25">
      <c r="A565" t="s">
        <v>786</v>
      </c>
      <c r="B565" t="s">
        <v>787</v>
      </c>
      <c r="C565" t="s">
        <v>784</v>
      </c>
      <c r="D565" t="s">
        <v>785</v>
      </c>
      <c r="E565">
        <v>20</v>
      </c>
      <c r="F565" t="s">
        <v>221</v>
      </c>
      <c r="G565">
        <f ca="1">IFERROR(tbl_Recettes[[#This Row],[Quantité]] * IFERROR(_xlfn.XLOOKUP(tbl_Recettes[[#This Row],[Cde_Ingrdt]], tbl_Stock[Cde_Ingrdt], tbl_Stock[CMP effectif]),0),0)</f>
        <v>0.6</v>
      </c>
    </row>
    <row r="566" spans="1:7" x14ac:dyDescent="0.25">
      <c r="A566" t="s">
        <v>788</v>
      </c>
      <c r="B566" t="s">
        <v>789</v>
      </c>
      <c r="C566" t="s">
        <v>249</v>
      </c>
      <c r="D566" t="s">
        <v>250</v>
      </c>
      <c r="E566">
        <v>1</v>
      </c>
      <c r="F566" t="s">
        <v>206</v>
      </c>
      <c r="G566">
        <f ca="1">IFERROR(tbl_Recettes[[#This Row],[Quantité]] * IFERROR(_xlfn.XLOOKUP(tbl_Recettes[[#This Row],[Cde_Ingrdt]], tbl_Stock[Cde_Ingrdt], tbl_Stock[CMP effectif]),0),0)</f>
        <v>7</v>
      </c>
    </row>
    <row r="567" spans="1:7" x14ac:dyDescent="0.25">
      <c r="A567" t="s">
        <v>788</v>
      </c>
      <c r="B567" t="s">
        <v>789</v>
      </c>
      <c r="C567" t="s">
        <v>472</v>
      </c>
      <c r="D567" t="s">
        <v>473</v>
      </c>
      <c r="E567">
        <v>120</v>
      </c>
      <c r="F567" t="s">
        <v>209</v>
      </c>
      <c r="G567">
        <f ca="1">IFERROR(tbl_Recettes[[#This Row],[Quantité]] * IFERROR(_xlfn.XLOOKUP(tbl_Recettes[[#This Row],[Cde_Ingrdt]], tbl_Stock[Cde_Ingrdt], tbl_Stock[CMP effectif]),0),0)</f>
        <v>10.799999999999999</v>
      </c>
    </row>
    <row r="568" spans="1:7" x14ac:dyDescent="0.25">
      <c r="A568" t="s">
        <v>788</v>
      </c>
      <c r="B568" t="s">
        <v>789</v>
      </c>
      <c r="C568" t="s">
        <v>573</v>
      </c>
      <c r="D568" t="s">
        <v>574</v>
      </c>
      <c r="E568">
        <v>40</v>
      </c>
      <c r="F568" t="s">
        <v>209</v>
      </c>
      <c r="G568">
        <f ca="1">IFERROR(tbl_Recettes[[#This Row],[Quantité]] * IFERROR(_xlfn.XLOOKUP(tbl_Recettes[[#This Row],[Cde_Ingrdt]], tbl_Stock[Cde_Ingrdt], tbl_Stock[CMP effectif]),0),0)</f>
        <v>4</v>
      </c>
    </row>
    <row r="569" spans="1:7" x14ac:dyDescent="0.25">
      <c r="A569" t="s">
        <v>788</v>
      </c>
      <c r="B569" t="s">
        <v>789</v>
      </c>
      <c r="C569" t="s">
        <v>776</v>
      </c>
      <c r="D569" t="s">
        <v>777</v>
      </c>
      <c r="E569">
        <v>30</v>
      </c>
      <c r="F569" t="s">
        <v>209</v>
      </c>
      <c r="G569">
        <f ca="1">IFERROR(tbl_Recettes[[#This Row],[Quantité]] * IFERROR(_xlfn.XLOOKUP(tbl_Recettes[[#This Row],[Cde_Ingrdt]], tbl_Stock[Cde_Ingrdt], tbl_Stock[CMP effectif]),0),0)</f>
        <v>0.89999999999999991</v>
      </c>
    </row>
    <row r="570" spans="1:7" x14ac:dyDescent="0.25">
      <c r="A570" t="s">
        <v>790</v>
      </c>
      <c r="B570" t="s">
        <v>791</v>
      </c>
      <c r="C570" t="s">
        <v>249</v>
      </c>
      <c r="D570" t="s">
        <v>250</v>
      </c>
      <c r="E570">
        <v>1</v>
      </c>
      <c r="F570" t="s">
        <v>206</v>
      </c>
      <c r="G570">
        <f ca="1">IFERROR(tbl_Recettes[[#This Row],[Quantité]] * IFERROR(_xlfn.XLOOKUP(tbl_Recettes[[#This Row],[Cde_Ingrdt]], tbl_Stock[Cde_Ingrdt], tbl_Stock[CMP effectif]),0),0)</f>
        <v>7</v>
      </c>
    </row>
    <row r="571" spans="1:7" x14ac:dyDescent="0.25">
      <c r="A571" t="s">
        <v>790</v>
      </c>
      <c r="B571" t="s">
        <v>791</v>
      </c>
      <c r="C571" t="s">
        <v>389</v>
      </c>
      <c r="D571" t="s">
        <v>390</v>
      </c>
      <c r="E571">
        <v>100</v>
      </c>
      <c r="F571" t="s">
        <v>209</v>
      </c>
      <c r="G571">
        <f ca="1">IFERROR(tbl_Recettes[[#This Row],[Quantité]] * IFERROR(_xlfn.XLOOKUP(tbl_Recettes[[#This Row],[Cde_Ingrdt]], tbl_Stock[Cde_Ingrdt], tbl_Stock[CMP effectif]),0),0)</f>
        <v>7.0000000000000009</v>
      </c>
    </row>
    <row r="572" spans="1:7" x14ac:dyDescent="0.25">
      <c r="A572" t="s">
        <v>790</v>
      </c>
      <c r="B572" t="s">
        <v>791</v>
      </c>
      <c r="C572" t="s">
        <v>730</v>
      </c>
      <c r="D572" t="s">
        <v>731</v>
      </c>
      <c r="E572">
        <v>0.5</v>
      </c>
      <c r="F572" t="s">
        <v>206</v>
      </c>
      <c r="G572">
        <f ca="1">IFERROR(tbl_Recettes[[#This Row],[Quantité]] * IFERROR(_xlfn.XLOOKUP(tbl_Recettes[[#This Row],[Cde_Ingrdt]], tbl_Stock[Cde_Ingrdt], tbl_Stock[CMP effectif]),0),0)</f>
        <v>3</v>
      </c>
    </row>
    <row r="573" spans="1:7" x14ac:dyDescent="0.25">
      <c r="A573" t="s">
        <v>790</v>
      </c>
      <c r="B573" t="s">
        <v>791</v>
      </c>
      <c r="C573" t="s">
        <v>309</v>
      </c>
      <c r="D573" t="s">
        <v>310</v>
      </c>
      <c r="E573">
        <v>20</v>
      </c>
      <c r="F573" t="s">
        <v>209</v>
      </c>
      <c r="G573">
        <f ca="1">IFERROR(tbl_Recettes[[#This Row],[Quantité]] * IFERROR(_xlfn.XLOOKUP(tbl_Recettes[[#This Row],[Cde_Ingrdt]], tbl_Stock[Cde_Ingrdt], tbl_Stock[CMP effectif]),0),0)</f>
        <v>0.2</v>
      </c>
    </row>
    <row r="574" spans="1:7" x14ac:dyDescent="0.25">
      <c r="A574" t="s">
        <v>792</v>
      </c>
      <c r="B574" t="s">
        <v>793</v>
      </c>
      <c r="C574" t="s">
        <v>249</v>
      </c>
      <c r="D574" t="s">
        <v>250</v>
      </c>
      <c r="E574">
        <v>1</v>
      </c>
      <c r="F574" t="s">
        <v>206</v>
      </c>
      <c r="G574">
        <f ca="1">IFERROR(tbl_Recettes[[#This Row],[Quantité]] * IFERROR(_xlfn.XLOOKUP(tbl_Recettes[[#This Row],[Cde_Ingrdt]], tbl_Stock[Cde_Ingrdt], tbl_Stock[CMP effectif]),0),0)</f>
        <v>7</v>
      </c>
    </row>
    <row r="575" spans="1:7" x14ac:dyDescent="0.25">
      <c r="A575" t="s">
        <v>792</v>
      </c>
      <c r="B575" t="s">
        <v>793</v>
      </c>
      <c r="C575" t="s">
        <v>472</v>
      </c>
      <c r="D575" t="s">
        <v>473</v>
      </c>
      <c r="E575">
        <v>120</v>
      </c>
      <c r="F575" t="s">
        <v>209</v>
      </c>
      <c r="G575">
        <f ca="1">IFERROR(tbl_Recettes[[#This Row],[Quantité]] * IFERROR(_xlfn.XLOOKUP(tbl_Recettes[[#This Row],[Cde_Ingrdt]], tbl_Stock[Cde_Ingrdt], tbl_Stock[CMP effectif]),0),0)</f>
        <v>10.799999999999999</v>
      </c>
    </row>
    <row r="576" spans="1:7" x14ac:dyDescent="0.25">
      <c r="A576" t="s">
        <v>792</v>
      </c>
      <c r="B576" t="s">
        <v>793</v>
      </c>
      <c r="C576" t="s">
        <v>730</v>
      </c>
      <c r="D576" t="s">
        <v>731</v>
      </c>
      <c r="E576">
        <v>0.5</v>
      </c>
      <c r="F576" t="s">
        <v>206</v>
      </c>
      <c r="G576">
        <f ca="1">IFERROR(tbl_Recettes[[#This Row],[Quantité]] * IFERROR(_xlfn.XLOOKUP(tbl_Recettes[[#This Row],[Cde_Ingrdt]], tbl_Stock[Cde_Ingrdt], tbl_Stock[CMP effectif]),0),0)</f>
        <v>3</v>
      </c>
    </row>
    <row r="577" spans="1:7" x14ac:dyDescent="0.25">
      <c r="A577" t="s">
        <v>792</v>
      </c>
      <c r="B577" t="s">
        <v>793</v>
      </c>
      <c r="C577" t="s">
        <v>309</v>
      </c>
      <c r="D577" t="s">
        <v>310</v>
      </c>
      <c r="E577">
        <v>20</v>
      </c>
      <c r="F577" t="s">
        <v>209</v>
      </c>
      <c r="G577">
        <f ca="1">IFERROR(tbl_Recettes[[#This Row],[Quantité]] * IFERROR(_xlfn.XLOOKUP(tbl_Recettes[[#This Row],[Cde_Ingrdt]], tbl_Stock[Cde_Ingrdt], tbl_Stock[CMP effectif]),0),0)</f>
        <v>0.2</v>
      </c>
    </row>
    <row r="578" spans="1:7" x14ac:dyDescent="0.25">
      <c r="A578" t="s">
        <v>794</v>
      </c>
      <c r="B578" t="s">
        <v>795</v>
      </c>
      <c r="C578" t="s">
        <v>796</v>
      </c>
      <c r="D578" t="s">
        <v>797</v>
      </c>
      <c r="E578">
        <v>1</v>
      </c>
      <c r="F578" t="s">
        <v>206</v>
      </c>
      <c r="G578">
        <f ca="1">IFERROR(tbl_Recettes[[#This Row],[Quantité]] * IFERROR(_xlfn.XLOOKUP(tbl_Recettes[[#This Row],[Cde_Ingrdt]], tbl_Stock[Cde_Ingrdt], tbl_Stock[CMP effectif]),0),0)</f>
        <v>3.5</v>
      </c>
    </row>
    <row r="579" spans="1:7" x14ac:dyDescent="0.25">
      <c r="A579" t="s">
        <v>794</v>
      </c>
      <c r="B579" t="s">
        <v>795</v>
      </c>
      <c r="C579" t="s">
        <v>472</v>
      </c>
      <c r="D579" t="s">
        <v>473</v>
      </c>
      <c r="E579">
        <v>80</v>
      </c>
      <c r="F579" t="s">
        <v>209</v>
      </c>
      <c r="G579">
        <f ca="1">IFERROR(tbl_Recettes[[#This Row],[Quantité]] * IFERROR(_xlfn.XLOOKUP(tbl_Recettes[[#This Row],[Cde_Ingrdt]], tbl_Stock[Cde_Ingrdt], tbl_Stock[CMP effectif]),0),0)</f>
        <v>7.1999999999999993</v>
      </c>
    </row>
    <row r="580" spans="1:7" x14ac:dyDescent="0.25">
      <c r="A580" t="s">
        <v>794</v>
      </c>
      <c r="B580" t="s">
        <v>795</v>
      </c>
      <c r="C580" t="s">
        <v>728</v>
      </c>
      <c r="D580" t="s">
        <v>729</v>
      </c>
      <c r="E580">
        <v>80</v>
      </c>
      <c r="F580" t="s">
        <v>209</v>
      </c>
      <c r="G580">
        <f ca="1">IFERROR(tbl_Recettes[[#This Row],[Quantité]] * IFERROR(_xlfn.XLOOKUP(tbl_Recettes[[#This Row],[Cde_Ingrdt]], tbl_Stock[Cde_Ingrdt], tbl_Stock[CMP effectif]),0),0)</f>
        <v>4.8</v>
      </c>
    </row>
    <row r="581" spans="1:7" x14ac:dyDescent="0.25">
      <c r="A581" t="s">
        <v>794</v>
      </c>
      <c r="B581" t="s">
        <v>795</v>
      </c>
      <c r="C581" t="s">
        <v>303</v>
      </c>
      <c r="D581" t="s">
        <v>304</v>
      </c>
      <c r="E581">
        <v>30</v>
      </c>
      <c r="F581" t="s">
        <v>209</v>
      </c>
      <c r="G581">
        <f ca="1">IFERROR(tbl_Recettes[[#This Row],[Quantité]] * IFERROR(_xlfn.XLOOKUP(tbl_Recettes[[#This Row],[Cde_Ingrdt]], tbl_Stock[Cde_Ingrdt], tbl_Stock[CMP effectif]),0),0)</f>
        <v>4.92</v>
      </c>
    </row>
    <row r="582" spans="1:7" x14ac:dyDescent="0.25">
      <c r="A582" t="s">
        <v>794</v>
      </c>
      <c r="B582" t="s">
        <v>795</v>
      </c>
      <c r="C582" t="s">
        <v>798</v>
      </c>
      <c r="D582" t="s">
        <v>799</v>
      </c>
      <c r="E582">
        <v>20</v>
      </c>
      <c r="F582" t="s">
        <v>221</v>
      </c>
      <c r="G582">
        <f ca="1">IFERROR(tbl_Recettes[[#This Row],[Quantité]] * IFERROR(_xlfn.XLOOKUP(tbl_Recettes[[#This Row],[Cde_Ingrdt]], tbl_Stock[Cde_Ingrdt], tbl_Stock[CMP effectif]),0),0)</f>
        <v>3</v>
      </c>
    </row>
    <row r="583" spans="1:7" x14ac:dyDescent="0.25">
      <c r="A583" t="s">
        <v>800</v>
      </c>
      <c r="B583" t="s">
        <v>801</v>
      </c>
      <c r="C583" t="s">
        <v>796</v>
      </c>
      <c r="D583" t="s">
        <v>797</v>
      </c>
      <c r="E583">
        <v>1</v>
      </c>
      <c r="F583" t="s">
        <v>206</v>
      </c>
      <c r="G583">
        <f ca="1">IFERROR(tbl_Recettes[[#This Row],[Quantité]] * IFERROR(_xlfn.XLOOKUP(tbl_Recettes[[#This Row],[Cde_Ingrdt]], tbl_Stock[Cde_Ingrdt], tbl_Stock[CMP effectif]),0),0)</f>
        <v>3.5</v>
      </c>
    </row>
    <row r="584" spans="1:7" x14ac:dyDescent="0.25">
      <c r="A584" t="s">
        <v>800</v>
      </c>
      <c r="B584" t="s">
        <v>801</v>
      </c>
      <c r="C584" t="s">
        <v>472</v>
      </c>
      <c r="D584" t="s">
        <v>473</v>
      </c>
      <c r="E584">
        <v>100</v>
      </c>
      <c r="F584" t="s">
        <v>209</v>
      </c>
      <c r="G584">
        <f ca="1">IFERROR(tbl_Recettes[[#This Row],[Quantité]] * IFERROR(_xlfn.XLOOKUP(tbl_Recettes[[#This Row],[Cde_Ingrdt]], tbl_Stock[Cde_Ingrdt], tbl_Stock[CMP effectif]),0),0)</f>
        <v>9</v>
      </c>
    </row>
    <row r="585" spans="1:7" x14ac:dyDescent="0.25">
      <c r="A585" t="s">
        <v>800</v>
      </c>
      <c r="B585" t="s">
        <v>801</v>
      </c>
      <c r="C585" t="s">
        <v>303</v>
      </c>
      <c r="D585" t="s">
        <v>304</v>
      </c>
      <c r="E585">
        <v>30</v>
      </c>
      <c r="F585" t="s">
        <v>209</v>
      </c>
      <c r="G585">
        <f ca="1">IFERROR(tbl_Recettes[[#This Row],[Quantité]] * IFERROR(_xlfn.XLOOKUP(tbl_Recettes[[#This Row],[Cde_Ingrdt]], tbl_Stock[Cde_Ingrdt], tbl_Stock[CMP effectif]),0),0)</f>
        <v>4.92</v>
      </c>
    </row>
    <row r="586" spans="1:7" x14ac:dyDescent="0.25">
      <c r="A586" t="s">
        <v>800</v>
      </c>
      <c r="B586" t="s">
        <v>801</v>
      </c>
      <c r="C586" t="s">
        <v>798</v>
      </c>
      <c r="D586" t="s">
        <v>799</v>
      </c>
      <c r="E586">
        <v>20</v>
      </c>
      <c r="F586" t="s">
        <v>221</v>
      </c>
      <c r="G586">
        <f ca="1">IFERROR(tbl_Recettes[[#This Row],[Quantité]] * IFERROR(_xlfn.XLOOKUP(tbl_Recettes[[#This Row],[Cde_Ingrdt]], tbl_Stock[Cde_Ingrdt], tbl_Stock[CMP effectif]),0),0)</f>
        <v>3</v>
      </c>
    </row>
    <row r="587" spans="1:7" x14ac:dyDescent="0.25">
      <c r="A587" t="s">
        <v>802</v>
      </c>
      <c r="B587" t="s">
        <v>803</v>
      </c>
      <c r="C587" t="s">
        <v>796</v>
      </c>
      <c r="D587" t="s">
        <v>797</v>
      </c>
      <c r="E587">
        <v>1</v>
      </c>
      <c r="F587" t="s">
        <v>206</v>
      </c>
      <c r="G587">
        <f ca="1">IFERROR(tbl_Recettes[[#This Row],[Quantité]] * IFERROR(_xlfn.XLOOKUP(tbl_Recettes[[#This Row],[Cde_Ingrdt]], tbl_Stock[Cde_Ingrdt], tbl_Stock[CMP effectif]),0),0)</f>
        <v>3.5</v>
      </c>
    </row>
    <row r="588" spans="1:7" x14ac:dyDescent="0.25">
      <c r="A588" t="s">
        <v>802</v>
      </c>
      <c r="B588" t="s">
        <v>803</v>
      </c>
      <c r="C588" t="s">
        <v>728</v>
      </c>
      <c r="D588" t="s">
        <v>729</v>
      </c>
      <c r="E588">
        <v>100</v>
      </c>
      <c r="F588" t="s">
        <v>209</v>
      </c>
      <c r="G588">
        <f ca="1">IFERROR(tbl_Recettes[[#This Row],[Quantité]] * IFERROR(_xlfn.XLOOKUP(tbl_Recettes[[#This Row],[Cde_Ingrdt]], tbl_Stock[Cde_Ingrdt], tbl_Stock[CMP effectif]),0),0)</f>
        <v>6</v>
      </c>
    </row>
    <row r="589" spans="1:7" x14ac:dyDescent="0.25">
      <c r="A589" t="s">
        <v>802</v>
      </c>
      <c r="B589" t="s">
        <v>803</v>
      </c>
      <c r="C589" t="s">
        <v>303</v>
      </c>
      <c r="D589" t="s">
        <v>304</v>
      </c>
      <c r="E589">
        <v>30</v>
      </c>
      <c r="F589" t="s">
        <v>209</v>
      </c>
      <c r="G589">
        <f ca="1">IFERROR(tbl_Recettes[[#This Row],[Quantité]] * IFERROR(_xlfn.XLOOKUP(tbl_Recettes[[#This Row],[Cde_Ingrdt]], tbl_Stock[Cde_Ingrdt], tbl_Stock[CMP effectif]),0),0)</f>
        <v>4.92</v>
      </c>
    </row>
    <row r="590" spans="1:7" x14ac:dyDescent="0.25">
      <c r="A590" t="s">
        <v>804</v>
      </c>
      <c r="B590" t="s">
        <v>805</v>
      </c>
      <c r="C590" t="s">
        <v>796</v>
      </c>
      <c r="D590" t="s">
        <v>797</v>
      </c>
      <c r="E590">
        <v>1</v>
      </c>
      <c r="F590" t="s">
        <v>206</v>
      </c>
      <c r="G590">
        <f ca="1">IFERROR(tbl_Recettes[[#This Row],[Quantité]] * IFERROR(_xlfn.XLOOKUP(tbl_Recettes[[#This Row],[Cde_Ingrdt]], tbl_Stock[Cde_Ingrdt], tbl_Stock[CMP effectif]),0),0)</f>
        <v>3.5</v>
      </c>
    </row>
    <row r="591" spans="1:7" x14ac:dyDescent="0.25">
      <c r="A591" t="s">
        <v>804</v>
      </c>
      <c r="B591" t="s">
        <v>805</v>
      </c>
      <c r="C591" t="s">
        <v>412</v>
      </c>
      <c r="D591" t="s">
        <v>413</v>
      </c>
      <c r="E591">
        <v>100</v>
      </c>
      <c r="F591" t="s">
        <v>206</v>
      </c>
      <c r="G591">
        <f ca="1">IFERROR(tbl_Recettes[[#This Row],[Quantité]] * IFERROR(_xlfn.XLOOKUP(tbl_Recettes[[#This Row],[Cde_Ingrdt]], tbl_Stock[Cde_Ingrdt], tbl_Stock[CMP effectif]),0),0)</f>
        <v>800</v>
      </c>
    </row>
    <row r="592" spans="1:7" x14ac:dyDescent="0.25">
      <c r="A592" t="s">
        <v>804</v>
      </c>
      <c r="B592" t="s">
        <v>805</v>
      </c>
      <c r="C592" t="s">
        <v>303</v>
      </c>
      <c r="D592" t="s">
        <v>304</v>
      </c>
      <c r="E592">
        <v>30</v>
      </c>
      <c r="F592" t="s">
        <v>209</v>
      </c>
      <c r="G592">
        <f ca="1">IFERROR(tbl_Recettes[[#This Row],[Quantité]] * IFERROR(_xlfn.XLOOKUP(tbl_Recettes[[#This Row],[Cde_Ingrdt]], tbl_Stock[Cde_Ingrdt], tbl_Stock[CMP effectif]),0),0)</f>
        <v>4.92</v>
      </c>
    </row>
    <row r="593" spans="1:7" x14ac:dyDescent="0.25">
      <c r="A593" t="s">
        <v>804</v>
      </c>
      <c r="B593" t="s">
        <v>805</v>
      </c>
      <c r="C593" t="s">
        <v>798</v>
      </c>
      <c r="D593" t="s">
        <v>799</v>
      </c>
      <c r="E593">
        <v>20</v>
      </c>
      <c r="F593" t="s">
        <v>221</v>
      </c>
      <c r="G593">
        <f ca="1">IFERROR(tbl_Recettes[[#This Row],[Quantité]] * IFERROR(_xlfn.XLOOKUP(tbl_Recettes[[#This Row],[Cde_Ingrdt]], tbl_Stock[Cde_Ingrdt], tbl_Stock[CMP effectif]),0),0)</f>
        <v>3</v>
      </c>
    </row>
    <row r="594" spans="1:7" x14ac:dyDescent="0.25">
      <c r="A594" t="s">
        <v>806</v>
      </c>
      <c r="B594" t="s">
        <v>807</v>
      </c>
      <c r="C594" t="s">
        <v>808</v>
      </c>
      <c r="D594" t="s">
        <v>809</v>
      </c>
      <c r="E594">
        <v>1</v>
      </c>
      <c r="F594" t="s">
        <v>206</v>
      </c>
      <c r="G594">
        <f ca="1">IFERROR(tbl_Recettes[[#This Row],[Quantité]] * IFERROR(_xlfn.XLOOKUP(tbl_Recettes[[#This Row],[Cde_Ingrdt]], tbl_Stock[Cde_Ingrdt], tbl_Stock[CMP effectif]),0),0)</f>
        <v>5</v>
      </c>
    </row>
    <row r="595" spans="1:7" x14ac:dyDescent="0.25">
      <c r="A595" t="s">
        <v>806</v>
      </c>
      <c r="B595" t="s">
        <v>807</v>
      </c>
      <c r="C595" t="s">
        <v>219</v>
      </c>
      <c r="D595" t="s">
        <v>220</v>
      </c>
      <c r="E595">
        <v>60</v>
      </c>
      <c r="F595" t="s">
        <v>221</v>
      </c>
      <c r="G595">
        <f ca="1">IFERROR(tbl_Recettes[[#This Row],[Quantité]] * IFERROR(_xlfn.XLOOKUP(tbl_Recettes[[#This Row],[Cde_Ingrdt]], tbl_Stock[Cde_Ingrdt], tbl_Stock[CMP effectif]),0),0)</f>
        <v>9</v>
      </c>
    </row>
    <row r="596" spans="1:7" x14ac:dyDescent="0.25">
      <c r="A596" t="s">
        <v>806</v>
      </c>
      <c r="B596" t="s">
        <v>807</v>
      </c>
      <c r="C596" t="s">
        <v>810</v>
      </c>
      <c r="D596" t="s">
        <v>811</v>
      </c>
      <c r="E596">
        <v>20</v>
      </c>
      <c r="F596" t="s">
        <v>209</v>
      </c>
      <c r="G596">
        <f ca="1">IFERROR(tbl_Recettes[[#This Row],[Quantité]] * IFERROR(_xlfn.XLOOKUP(tbl_Recettes[[#This Row],[Cde_Ingrdt]], tbl_Stock[Cde_Ingrdt], tbl_Stock[CMP effectif]),0),0)</f>
        <v>1</v>
      </c>
    </row>
    <row r="597" spans="1:7" x14ac:dyDescent="0.25">
      <c r="A597" t="s">
        <v>806</v>
      </c>
      <c r="B597" t="s">
        <v>807</v>
      </c>
      <c r="C597" t="s">
        <v>293</v>
      </c>
      <c r="D597" t="s">
        <v>294</v>
      </c>
      <c r="E597">
        <v>40</v>
      </c>
      <c r="F597" t="s">
        <v>209</v>
      </c>
      <c r="G597">
        <f ca="1">IFERROR(tbl_Recettes[[#This Row],[Quantité]] * IFERROR(_xlfn.XLOOKUP(tbl_Recettes[[#This Row],[Cde_Ingrdt]], tbl_Stock[Cde_Ingrdt], tbl_Stock[CMP effectif]),0),0)</f>
        <v>4</v>
      </c>
    </row>
    <row r="598" spans="1:7" x14ac:dyDescent="0.25">
      <c r="A598" t="s">
        <v>806</v>
      </c>
      <c r="B598" t="s">
        <v>807</v>
      </c>
      <c r="C598" t="s">
        <v>353</v>
      </c>
      <c r="D598" t="s">
        <v>354</v>
      </c>
      <c r="E598">
        <v>40</v>
      </c>
      <c r="F598" t="s">
        <v>209</v>
      </c>
      <c r="G598">
        <f ca="1">IFERROR(tbl_Recettes[[#This Row],[Quantité]] * IFERROR(_xlfn.XLOOKUP(tbl_Recettes[[#This Row],[Cde_Ingrdt]], tbl_Stock[Cde_Ingrdt], tbl_Stock[CMP effectif]),0),0)</f>
        <v>32</v>
      </c>
    </row>
    <row r="599" spans="1:7" x14ac:dyDescent="0.25">
      <c r="A599" t="s">
        <v>806</v>
      </c>
      <c r="B599" t="s">
        <v>807</v>
      </c>
      <c r="C599" t="s">
        <v>504</v>
      </c>
      <c r="D599" t="s">
        <v>505</v>
      </c>
      <c r="E599">
        <v>40</v>
      </c>
      <c r="F599" t="s">
        <v>209</v>
      </c>
      <c r="G599">
        <f ca="1">IFERROR(tbl_Recettes[[#This Row],[Quantité]] * IFERROR(_xlfn.XLOOKUP(tbl_Recettes[[#This Row],[Cde_Ingrdt]], tbl_Stock[Cde_Ingrdt], tbl_Stock[CMP effectif]),0),0)</f>
        <v>6</v>
      </c>
    </row>
    <row r="600" spans="1:7" x14ac:dyDescent="0.25">
      <c r="A600" t="s">
        <v>806</v>
      </c>
      <c r="B600" t="s">
        <v>807</v>
      </c>
      <c r="C600" t="s">
        <v>812</v>
      </c>
      <c r="D600" t="s">
        <v>813</v>
      </c>
      <c r="E600">
        <v>20</v>
      </c>
      <c r="F600" t="s">
        <v>209</v>
      </c>
      <c r="G600">
        <f ca="1">IFERROR(tbl_Recettes[[#This Row],[Quantité]] * IFERROR(_xlfn.XLOOKUP(tbl_Recettes[[#This Row],[Cde_Ingrdt]], tbl_Stock[Cde_Ingrdt], tbl_Stock[CMP effectif]),0),0)</f>
        <v>1.2</v>
      </c>
    </row>
    <row r="601" spans="1:7" x14ac:dyDescent="0.25">
      <c r="A601" t="s">
        <v>806</v>
      </c>
      <c r="B601" t="s">
        <v>807</v>
      </c>
      <c r="C601" t="s">
        <v>303</v>
      </c>
      <c r="D601" t="s">
        <v>304</v>
      </c>
      <c r="E601">
        <v>40</v>
      </c>
      <c r="F601" t="s">
        <v>209</v>
      </c>
      <c r="G601">
        <f ca="1">IFERROR(tbl_Recettes[[#This Row],[Quantité]] * IFERROR(_xlfn.XLOOKUP(tbl_Recettes[[#This Row],[Cde_Ingrdt]], tbl_Stock[Cde_Ingrdt], tbl_Stock[CMP effectif]),0),0)</f>
        <v>6.5600000000000005</v>
      </c>
    </row>
    <row r="602" spans="1:7" x14ac:dyDescent="0.25">
      <c r="A602" t="s">
        <v>814</v>
      </c>
      <c r="B602" t="s">
        <v>815</v>
      </c>
      <c r="C602" t="s">
        <v>808</v>
      </c>
      <c r="D602" t="s">
        <v>809</v>
      </c>
      <c r="E602">
        <v>1</v>
      </c>
      <c r="F602" t="s">
        <v>206</v>
      </c>
      <c r="G602">
        <f ca="1">IFERROR(tbl_Recettes[[#This Row],[Quantité]] * IFERROR(_xlfn.XLOOKUP(tbl_Recettes[[#This Row],[Cde_Ingrdt]], tbl_Stock[Cde_Ingrdt], tbl_Stock[CMP effectif]),0),0)</f>
        <v>5</v>
      </c>
    </row>
    <row r="603" spans="1:7" x14ac:dyDescent="0.25">
      <c r="A603" t="s">
        <v>814</v>
      </c>
      <c r="B603" t="s">
        <v>815</v>
      </c>
      <c r="C603" t="s">
        <v>219</v>
      </c>
      <c r="D603" t="s">
        <v>220</v>
      </c>
      <c r="E603">
        <v>60</v>
      </c>
      <c r="F603" t="s">
        <v>221</v>
      </c>
      <c r="G603">
        <f ca="1">IFERROR(tbl_Recettes[[#This Row],[Quantité]] * IFERROR(_xlfn.XLOOKUP(tbl_Recettes[[#This Row],[Cde_Ingrdt]], tbl_Stock[Cde_Ingrdt], tbl_Stock[CMP effectif]),0),0)</f>
        <v>9</v>
      </c>
    </row>
    <row r="604" spans="1:7" x14ac:dyDescent="0.25">
      <c r="A604" t="s">
        <v>814</v>
      </c>
      <c r="B604" t="s">
        <v>815</v>
      </c>
      <c r="C604" t="s">
        <v>293</v>
      </c>
      <c r="D604" t="s">
        <v>294</v>
      </c>
      <c r="E604">
        <v>30</v>
      </c>
      <c r="F604" t="s">
        <v>209</v>
      </c>
      <c r="G604">
        <f ca="1">IFERROR(tbl_Recettes[[#This Row],[Quantité]] * IFERROR(_xlfn.XLOOKUP(tbl_Recettes[[#This Row],[Cde_Ingrdt]], tbl_Stock[Cde_Ingrdt], tbl_Stock[CMP effectif]),0),0)</f>
        <v>3</v>
      </c>
    </row>
    <row r="605" spans="1:7" x14ac:dyDescent="0.25">
      <c r="A605" t="s">
        <v>814</v>
      </c>
      <c r="B605" t="s">
        <v>815</v>
      </c>
      <c r="C605" t="s">
        <v>353</v>
      </c>
      <c r="D605" t="s">
        <v>354</v>
      </c>
      <c r="E605">
        <v>30</v>
      </c>
      <c r="F605" t="s">
        <v>209</v>
      </c>
      <c r="G605">
        <f ca="1">IFERROR(tbl_Recettes[[#This Row],[Quantité]] * IFERROR(_xlfn.XLOOKUP(tbl_Recettes[[#This Row],[Cde_Ingrdt]], tbl_Stock[Cde_Ingrdt], tbl_Stock[CMP effectif]),0),0)</f>
        <v>24</v>
      </c>
    </row>
    <row r="606" spans="1:7" x14ac:dyDescent="0.25">
      <c r="A606" t="s">
        <v>814</v>
      </c>
      <c r="B606" t="s">
        <v>815</v>
      </c>
      <c r="C606" t="s">
        <v>472</v>
      </c>
      <c r="D606" t="s">
        <v>473</v>
      </c>
      <c r="E606">
        <v>40</v>
      </c>
      <c r="F606" t="s">
        <v>209</v>
      </c>
      <c r="G606">
        <f ca="1">IFERROR(tbl_Recettes[[#This Row],[Quantité]] * IFERROR(_xlfn.XLOOKUP(tbl_Recettes[[#This Row],[Cde_Ingrdt]], tbl_Stock[Cde_Ingrdt], tbl_Stock[CMP effectif]),0),0)</f>
        <v>3.5999999999999996</v>
      </c>
    </row>
    <row r="607" spans="1:7" x14ac:dyDescent="0.25">
      <c r="A607" t="s">
        <v>814</v>
      </c>
      <c r="B607" t="s">
        <v>815</v>
      </c>
      <c r="C607" t="s">
        <v>600</v>
      </c>
      <c r="D607" t="s">
        <v>601</v>
      </c>
      <c r="E607">
        <v>30</v>
      </c>
      <c r="F607" t="s">
        <v>209</v>
      </c>
      <c r="G607">
        <f ca="1">IFERROR(tbl_Recettes[[#This Row],[Quantité]] * IFERROR(_xlfn.XLOOKUP(tbl_Recettes[[#This Row],[Cde_Ingrdt]], tbl_Stock[Cde_Ingrdt], tbl_Stock[CMP effectif]),0),0)</f>
        <v>0.24</v>
      </c>
    </row>
    <row r="608" spans="1:7" x14ac:dyDescent="0.25">
      <c r="A608" t="s">
        <v>814</v>
      </c>
      <c r="B608" t="s">
        <v>815</v>
      </c>
      <c r="C608" t="s">
        <v>315</v>
      </c>
      <c r="D608" t="s">
        <v>316</v>
      </c>
      <c r="E608">
        <v>30</v>
      </c>
      <c r="F608" t="s">
        <v>209</v>
      </c>
      <c r="G608">
        <f ca="1">IFERROR(tbl_Recettes[[#This Row],[Quantité]] * IFERROR(_xlfn.XLOOKUP(tbl_Recettes[[#This Row],[Cde_Ingrdt]], tbl_Stock[Cde_Ingrdt], tbl_Stock[CMP effectif]),0),0)</f>
        <v>3</v>
      </c>
    </row>
    <row r="609" spans="1:7" x14ac:dyDescent="0.25">
      <c r="A609" t="s">
        <v>814</v>
      </c>
      <c r="B609" t="s">
        <v>815</v>
      </c>
      <c r="C609" t="s">
        <v>389</v>
      </c>
      <c r="D609" t="s">
        <v>390</v>
      </c>
      <c r="E609">
        <v>40</v>
      </c>
      <c r="F609" t="s">
        <v>209</v>
      </c>
      <c r="G609">
        <f ca="1">IFERROR(tbl_Recettes[[#This Row],[Quantité]] * IFERROR(_xlfn.XLOOKUP(tbl_Recettes[[#This Row],[Cde_Ingrdt]], tbl_Stock[Cde_Ingrdt], tbl_Stock[CMP effectif]),0),0)</f>
        <v>2.8000000000000003</v>
      </c>
    </row>
    <row r="610" spans="1:7" x14ac:dyDescent="0.25">
      <c r="A610" t="s">
        <v>814</v>
      </c>
      <c r="B610" t="s">
        <v>815</v>
      </c>
      <c r="C610" t="s">
        <v>573</v>
      </c>
      <c r="D610" t="s">
        <v>574</v>
      </c>
      <c r="E610">
        <v>30</v>
      </c>
      <c r="F610" t="s">
        <v>209</v>
      </c>
      <c r="G610">
        <f ca="1">IFERROR(tbl_Recettes[[#This Row],[Quantité]] * IFERROR(_xlfn.XLOOKUP(tbl_Recettes[[#This Row],[Cde_Ingrdt]], tbl_Stock[Cde_Ingrdt], tbl_Stock[CMP effectif]),0),0)</f>
        <v>3</v>
      </c>
    </row>
    <row r="611" spans="1:7" x14ac:dyDescent="0.25">
      <c r="A611" t="s">
        <v>814</v>
      </c>
      <c r="B611" t="s">
        <v>815</v>
      </c>
      <c r="C611" t="s">
        <v>303</v>
      </c>
      <c r="D611" t="s">
        <v>304</v>
      </c>
      <c r="E611">
        <v>40</v>
      </c>
      <c r="F611" t="s">
        <v>209</v>
      </c>
      <c r="G611">
        <f ca="1">IFERROR(tbl_Recettes[[#This Row],[Quantité]] * IFERROR(_xlfn.XLOOKUP(tbl_Recettes[[#This Row],[Cde_Ingrdt]], tbl_Stock[Cde_Ingrdt], tbl_Stock[CMP effectif]),0),0)</f>
        <v>6.5600000000000005</v>
      </c>
    </row>
    <row r="612" spans="1:7" x14ac:dyDescent="0.25">
      <c r="A612" t="s">
        <v>816</v>
      </c>
      <c r="B612" t="s">
        <v>817</v>
      </c>
      <c r="C612" t="s">
        <v>808</v>
      </c>
      <c r="D612" t="s">
        <v>809</v>
      </c>
      <c r="E612">
        <v>180</v>
      </c>
      <c r="F612" t="s">
        <v>206</v>
      </c>
      <c r="G612">
        <f ca="1">IFERROR(tbl_Recettes[[#This Row],[Quantité]] * IFERROR(_xlfn.XLOOKUP(tbl_Recettes[[#This Row],[Cde_Ingrdt]], tbl_Stock[Cde_Ingrdt], tbl_Stock[CMP effectif]),0),0)</f>
        <v>900</v>
      </c>
    </row>
    <row r="613" spans="1:7" x14ac:dyDescent="0.25">
      <c r="A613" t="s">
        <v>816</v>
      </c>
      <c r="B613" t="s">
        <v>817</v>
      </c>
      <c r="C613" t="s">
        <v>219</v>
      </c>
      <c r="D613" t="s">
        <v>220</v>
      </c>
      <c r="E613">
        <v>60</v>
      </c>
      <c r="F613" t="s">
        <v>221</v>
      </c>
      <c r="G613">
        <f ca="1">IFERROR(tbl_Recettes[[#This Row],[Quantité]] * IFERROR(_xlfn.XLOOKUP(tbl_Recettes[[#This Row],[Cde_Ingrdt]], tbl_Stock[Cde_Ingrdt], tbl_Stock[CMP effectif]),0),0)</f>
        <v>9</v>
      </c>
    </row>
    <row r="614" spans="1:7" x14ac:dyDescent="0.25">
      <c r="A614" t="s">
        <v>816</v>
      </c>
      <c r="B614" t="s">
        <v>817</v>
      </c>
      <c r="C614" t="s">
        <v>818</v>
      </c>
      <c r="D614" t="s">
        <v>819</v>
      </c>
      <c r="E614">
        <v>40</v>
      </c>
      <c r="F614" t="s">
        <v>209</v>
      </c>
      <c r="G614">
        <f ca="1">IFERROR(tbl_Recettes[[#This Row],[Quantité]] * IFERROR(_xlfn.XLOOKUP(tbl_Recettes[[#This Row],[Cde_Ingrdt]], tbl_Stock[Cde_Ingrdt], tbl_Stock[CMP effectif]),0),0)</f>
        <v>12</v>
      </c>
    </row>
    <row r="615" spans="1:7" x14ac:dyDescent="0.25">
      <c r="A615" t="s">
        <v>816</v>
      </c>
      <c r="B615" t="s">
        <v>817</v>
      </c>
      <c r="C615" t="s">
        <v>232</v>
      </c>
      <c r="D615" t="s">
        <v>233</v>
      </c>
      <c r="E615">
        <v>30</v>
      </c>
      <c r="F615" t="s">
        <v>209</v>
      </c>
      <c r="G615">
        <f ca="1">IFERROR(tbl_Recettes[[#This Row],[Quantité]] * IFERROR(_xlfn.XLOOKUP(tbl_Recettes[[#This Row],[Cde_Ingrdt]], tbl_Stock[Cde_Ingrdt], tbl_Stock[CMP effectif]),0),0)</f>
        <v>4.5</v>
      </c>
    </row>
    <row r="616" spans="1:7" x14ac:dyDescent="0.25">
      <c r="A616" t="s">
        <v>816</v>
      </c>
      <c r="B616" t="s">
        <v>817</v>
      </c>
      <c r="C616" t="s">
        <v>820</v>
      </c>
      <c r="D616" t="s">
        <v>821</v>
      </c>
      <c r="E616">
        <v>30</v>
      </c>
      <c r="F616" t="s">
        <v>209</v>
      </c>
      <c r="G616">
        <f ca="1">IFERROR(tbl_Recettes[[#This Row],[Quantité]] * IFERROR(_xlfn.XLOOKUP(tbl_Recettes[[#This Row],[Cde_Ingrdt]], tbl_Stock[Cde_Ingrdt], tbl_Stock[CMP effectif]),0),0)</f>
        <v>10.799999999999999</v>
      </c>
    </row>
    <row r="617" spans="1:7" x14ac:dyDescent="0.25">
      <c r="A617" t="s">
        <v>816</v>
      </c>
      <c r="B617" t="s">
        <v>817</v>
      </c>
      <c r="C617" t="s">
        <v>822</v>
      </c>
      <c r="D617" t="s">
        <v>823</v>
      </c>
      <c r="E617">
        <v>30</v>
      </c>
      <c r="F617" t="s">
        <v>209</v>
      </c>
      <c r="G617">
        <f ca="1">IFERROR(tbl_Recettes[[#This Row],[Quantité]] * IFERROR(_xlfn.XLOOKUP(tbl_Recettes[[#This Row],[Cde_Ingrdt]], tbl_Stock[Cde_Ingrdt], tbl_Stock[CMP effectif]),0),0)</f>
        <v>7.5</v>
      </c>
    </row>
    <row r="618" spans="1:7" x14ac:dyDescent="0.25">
      <c r="A618" t="s">
        <v>824</v>
      </c>
      <c r="B618" t="s">
        <v>825</v>
      </c>
      <c r="C618" t="s">
        <v>808</v>
      </c>
      <c r="D618" t="s">
        <v>809</v>
      </c>
      <c r="E618">
        <v>1</v>
      </c>
      <c r="F618" t="s">
        <v>206</v>
      </c>
      <c r="G618">
        <f ca="1">IFERROR(tbl_Recettes[[#This Row],[Quantité]] * IFERROR(_xlfn.XLOOKUP(tbl_Recettes[[#This Row],[Cde_Ingrdt]], tbl_Stock[Cde_Ingrdt], tbl_Stock[CMP effectif]),0),0)</f>
        <v>5</v>
      </c>
    </row>
    <row r="619" spans="1:7" x14ac:dyDescent="0.25">
      <c r="A619" t="s">
        <v>824</v>
      </c>
      <c r="B619" t="s">
        <v>825</v>
      </c>
      <c r="C619" t="s">
        <v>219</v>
      </c>
      <c r="D619" t="s">
        <v>220</v>
      </c>
      <c r="E619">
        <v>60</v>
      </c>
      <c r="F619" t="s">
        <v>221</v>
      </c>
      <c r="G619">
        <f ca="1">IFERROR(tbl_Recettes[[#This Row],[Quantité]] * IFERROR(_xlfn.XLOOKUP(tbl_Recettes[[#This Row],[Cde_Ingrdt]], tbl_Stock[Cde_Ingrdt], tbl_Stock[CMP effectif]),0),0)</f>
        <v>9</v>
      </c>
    </row>
    <row r="620" spans="1:7" x14ac:dyDescent="0.25">
      <c r="A620" t="s">
        <v>824</v>
      </c>
      <c r="B620" t="s">
        <v>825</v>
      </c>
      <c r="C620" t="s">
        <v>818</v>
      </c>
      <c r="D620" t="s">
        <v>819</v>
      </c>
      <c r="E620">
        <v>80</v>
      </c>
      <c r="F620" t="s">
        <v>209</v>
      </c>
      <c r="G620">
        <f ca="1">IFERROR(tbl_Recettes[[#This Row],[Quantité]] * IFERROR(_xlfn.XLOOKUP(tbl_Recettes[[#This Row],[Cde_Ingrdt]], tbl_Stock[Cde_Ingrdt], tbl_Stock[CMP effectif]),0),0)</f>
        <v>24</v>
      </c>
    </row>
    <row r="621" spans="1:7" x14ac:dyDescent="0.25">
      <c r="A621" t="s">
        <v>824</v>
      </c>
      <c r="B621" t="s">
        <v>825</v>
      </c>
      <c r="C621" t="s">
        <v>826</v>
      </c>
      <c r="D621" t="s">
        <v>827</v>
      </c>
      <c r="E621">
        <v>40</v>
      </c>
      <c r="F621" t="s">
        <v>209</v>
      </c>
      <c r="G621">
        <f ca="1">IFERROR(tbl_Recettes[[#This Row],[Quantité]] * IFERROR(_xlfn.XLOOKUP(tbl_Recettes[[#This Row],[Cde_Ingrdt]], tbl_Stock[Cde_Ingrdt], tbl_Stock[CMP effectif]),0),0)</f>
        <v>6</v>
      </c>
    </row>
    <row r="622" spans="1:7" x14ac:dyDescent="0.25">
      <c r="A622" t="s">
        <v>828</v>
      </c>
      <c r="B622" t="s">
        <v>829</v>
      </c>
      <c r="C622" t="s">
        <v>808</v>
      </c>
      <c r="D622" t="s">
        <v>809</v>
      </c>
      <c r="E622">
        <v>1</v>
      </c>
      <c r="F622" t="s">
        <v>206</v>
      </c>
      <c r="G622">
        <f ca="1">IFERROR(tbl_Recettes[[#This Row],[Quantité]] * IFERROR(_xlfn.XLOOKUP(tbl_Recettes[[#This Row],[Cde_Ingrdt]], tbl_Stock[Cde_Ingrdt], tbl_Stock[CMP effectif]),0),0)</f>
        <v>5</v>
      </c>
    </row>
    <row r="623" spans="1:7" x14ac:dyDescent="0.25">
      <c r="A623" t="s">
        <v>828</v>
      </c>
      <c r="B623" t="s">
        <v>829</v>
      </c>
      <c r="C623" t="s">
        <v>728</v>
      </c>
      <c r="D623" t="s">
        <v>729</v>
      </c>
      <c r="E623">
        <v>80</v>
      </c>
      <c r="F623" t="s">
        <v>209</v>
      </c>
      <c r="G623">
        <f ca="1">IFERROR(tbl_Recettes[[#This Row],[Quantité]] * IFERROR(_xlfn.XLOOKUP(tbl_Recettes[[#This Row],[Cde_Ingrdt]], tbl_Stock[Cde_Ingrdt], tbl_Stock[CMP effectif]),0),0)</f>
        <v>4.8</v>
      </c>
    </row>
    <row r="624" spans="1:7" x14ac:dyDescent="0.25">
      <c r="A624" t="s">
        <v>828</v>
      </c>
      <c r="B624" t="s">
        <v>829</v>
      </c>
      <c r="C624" t="s">
        <v>573</v>
      </c>
      <c r="D624" t="s">
        <v>574</v>
      </c>
      <c r="E624">
        <v>40</v>
      </c>
      <c r="F624" t="s">
        <v>209</v>
      </c>
      <c r="G624">
        <f ca="1">IFERROR(tbl_Recettes[[#This Row],[Quantité]] * IFERROR(_xlfn.XLOOKUP(tbl_Recettes[[#This Row],[Cde_Ingrdt]], tbl_Stock[Cde_Ingrdt], tbl_Stock[CMP effectif]),0),0)</f>
        <v>4</v>
      </c>
    </row>
    <row r="625" spans="1:7" x14ac:dyDescent="0.25">
      <c r="A625" t="s">
        <v>828</v>
      </c>
      <c r="B625" t="s">
        <v>829</v>
      </c>
      <c r="C625" t="s">
        <v>830</v>
      </c>
      <c r="D625" t="s">
        <v>831</v>
      </c>
      <c r="E625">
        <v>40</v>
      </c>
      <c r="F625" t="s">
        <v>209</v>
      </c>
      <c r="G625">
        <f ca="1">IFERROR(tbl_Recettes[[#This Row],[Quantité]] * IFERROR(_xlfn.XLOOKUP(tbl_Recettes[[#This Row],[Cde_Ingrdt]], tbl_Stock[Cde_Ingrdt], tbl_Stock[CMP effectif]),0),0)</f>
        <v>8</v>
      </c>
    </row>
    <row r="626" spans="1:7" x14ac:dyDescent="0.25">
      <c r="A626" t="s">
        <v>832</v>
      </c>
      <c r="B626" t="s">
        <v>833</v>
      </c>
      <c r="C626" t="s">
        <v>808</v>
      </c>
      <c r="D626" t="s">
        <v>809</v>
      </c>
      <c r="E626">
        <v>1</v>
      </c>
      <c r="F626" t="s">
        <v>206</v>
      </c>
      <c r="G626">
        <f ca="1">IFERROR(tbl_Recettes[[#This Row],[Quantité]] * IFERROR(_xlfn.XLOOKUP(tbl_Recettes[[#This Row],[Cde_Ingrdt]], tbl_Stock[Cde_Ingrdt], tbl_Stock[CMP effectif]),0),0)</f>
        <v>5</v>
      </c>
    </row>
    <row r="627" spans="1:7" x14ac:dyDescent="0.25">
      <c r="A627" t="s">
        <v>832</v>
      </c>
      <c r="B627" t="s">
        <v>833</v>
      </c>
      <c r="C627" t="s">
        <v>472</v>
      </c>
      <c r="D627" t="s">
        <v>473</v>
      </c>
      <c r="E627">
        <v>80</v>
      </c>
      <c r="F627" t="s">
        <v>209</v>
      </c>
      <c r="G627">
        <f ca="1">IFERROR(tbl_Recettes[[#This Row],[Quantité]] * IFERROR(_xlfn.XLOOKUP(tbl_Recettes[[#This Row],[Cde_Ingrdt]], tbl_Stock[Cde_Ingrdt], tbl_Stock[CMP effectif]),0),0)</f>
        <v>7.1999999999999993</v>
      </c>
    </row>
    <row r="628" spans="1:7" x14ac:dyDescent="0.25">
      <c r="A628" t="s">
        <v>832</v>
      </c>
      <c r="B628" t="s">
        <v>833</v>
      </c>
      <c r="C628" t="s">
        <v>514</v>
      </c>
      <c r="D628" t="s">
        <v>515</v>
      </c>
      <c r="E628">
        <v>5</v>
      </c>
      <c r="F628" t="s">
        <v>209</v>
      </c>
      <c r="G628">
        <f ca="1">IFERROR(tbl_Recettes[[#This Row],[Quantité]] * IFERROR(_xlfn.XLOOKUP(tbl_Recettes[[#This Row],[Cde_Ingrdt]], tbl_Stock[Cde_Ingrdt], tbl_Stock[CMP effectif]),0),0)</f>
        <v>0.33</v>
      </c>
    </row>
    <row r="629" spans="1:7" x14ac:dyDescent="0.25">
      <c r="A629" t="s">
        <v>832</v>
      </c>
      <c r="B629" t="s">
        <v>833</v>
      </c>
      <c r="C629" t="s">
        <v>219</v>
      </c>
      <c r="D629" t="s">
        <v>220</v>
      </c>
      <c r="E629">
        <v>60</v>
      </c>
      <c r="F629" t="s">
        <v>221</v>
      </c>
      <c r="G629">
        <f ca="1">IFERROR(tbl_Recettes[[#This Row],[Quantité]] * IFERROR(_xlfn.XLOOKUP(tbl_Recettes[[#This Row],[Cde_Ingrdt]], tbl_Stock[Cde_Ingrdt], tbl_Stock[CMP effectif]),0),0)</f>
        <v>9</v>
      </c>
    </row>
    <row r="630" spans="1:7" x14ac:dyDescent="0.25">
      <c r="A630" t="s">
        <v>832</v>
      </c>
      <c r="B630" t="s">
        <v>833</v>
      </c>
      <c r="C630" t="s">
        <v>303</v>
      </c>
      <c r="D630" t="s">
        <v>304</v>
      </c>
      <c r="E630">
        <v>40</v>
      </c>
      <c r="F630" t="s">
        <v>209</v>
      </c>
      <c r="G630">
        <f ca="1">IFERROR(tbl_Recettes[[#This Row],[Quantité]] * IFERROR(_xlfn.XLOOKUP(tbl_Recettes[[#This Row],[Cde_Ingrdt]], tbl_Stock[Cde_Ingrdt], tbl_Stock[CMP effectif]),0),0)</f>
        <v>6.5600000000000005</v>
      </c>
    </row>
    <row r="631" spans="1:7" x14ac:dyDescent="0.25">
      <c r="A631" t="s">
        <v>834</v>
      </c>
      <c r="B631" t="s">
        <v>835</v>
      </c>
      <c r="C631" t="s">
        <v>808</v>
      </c>
      <c r="D631" t="s">
        <v>809</v>
      </c>
      <c r="E631">
        <v>1</v>
      </c>
      <c r="F631" t="s">
        <v>206</v>
      </c>
      <c r="G631">
        <f ca="1">IFERROR(tbl_Recettes[[#This Row],[Quantité]] * IFERROR(_xlfn.XLOOKUP(tbl_Recettes[[#This Row],[Cde_Ingrdt]], tbl_Stock[Cde_Ingrdt], tbl_Stock[CMP effectif]),0),0)</f>
        <v>5</v>
      </c>
    </row>
    <row r="632" spans="1:7" x14ac:dyDescent="0.25">
      <c r="A632" t="s">
        <v>834</v>
      </c>
      <c r="B632" t="s">
        <v>835</v>
      </c>
      <c r="C632" t="s">
        <v>399</v>
      </c>
      <c r="D632" t="s">
        <v>400</v>
      </c>
      <c r="E632">
        <v>60</v>
      </c>
      <c r="F632" t="s">
        <v>209</v>
      </c>
      <c r="G632">
        <f ca="1">IFERROR(tbl_Recettes[[#This Row],[Quantité]] * IFERROR(_xlfn.XLOOKUP(tbl_Recettes[[#This Row],[Cde_Ingrdt]], tbl_Stock[Cde_Ingrdt], tbl_Stock[CMP effectif]),0),0)</f>
        <v>9</v>
      </c>
    </row>
    <row r="633" spans="1:7" x14ac:dyDescent="0.25">
      <c r="A633" t="s">
        <v>834</v>
      </c>
      <c r="B633" t="s">
        <v>835</v>
      </c>
      <c r="C633" t="s">
        <v>219</v>
      </c>
      <c r="D633" t="s">
        <v>220</v>
      </c>
      <c r="E633">
        <v>60</v>
      </c>
      <c r="F633" t="s">
        <v>221</v>
      </c>
      <c r="G633">
        <f ca="1">IFERROR(tbl_Recettes[[#This Row],[Quantité]] * IFERROR(_xlfn.XLOOKUP(tbl_Recettes[[#This Row],[Cde_Ingrdt]], tbl_Stock[Cde_Ingrdt], tbl_Stock[CMP effectif]),0),0)</f>
        <v>9</v>
      </c>
    </row>
    <row r="634" spans="1:7" x14ac:dyDescent="0.25">
      <c r="A634" t="s">
        <v>834</v>
      </c>
      <c r="B634" t="s">
        <v>835</v>
      </c>
      <c r="C634" t="s">
        <v>812</v>
      </c>
      <c r="D634" t="s">
        <v>813</v>
      </c>
      <c r="E634">
        <v>20</v>
      </c>
      <c r="F634" t="s">
        <v>209</v>
      </c>
      <c r="G634">
        <f ca="1">IFERROR(tbl_Recettes[[#This Row],[Quantité]] * IFERROR(_xlfn.XLOOKUP(tbl_Recettes[[#This Row],[Cde_Ingrdt]], tbl_Stock[Cde_Ingrdt], tbl_Stock[CMP effectif]),0),0)</f>
        <v>1.2</v>
      </c>
    </row>
    <row r="635" spans="1:7" x14ac:dyDescent="0.25">
      <c r="A635" t="s">
        <v>834</v>
      </c>
      <c r="B635" t="s">
        <v>835</v>
      </c>
      <c r="C635" t="s">
        <v>776</v>
      </c>
      <c r="D635" t="s">
        <v>777</v>
      </c>
      <c r="E635">
        <v>30</v>
      </c>
      <c r="F635" t="s">
        <v>209</v>
      </c>
      <c r="G635">
        <f ca="1">IFERROR(tbl_Recettes[[#This Row],[Quantité]] * IFERROR(_xlfn.XLOOKUP(tbl_Recettes[[#This Row],[Cde_Ingrdt]], tbl_Stock[Cde_Ingrdt], tbl_Stock[CMP effectif]),0),0)</f>
        <v>0.89999999999999991</v>
      </c>
    </row>
    <row r="636" spans="1:7" x14ac:dyDescent="0.25">
      <c r="A636" t="s">
        <v>834</v>
      </c>
      <c r="B636" t="s">
        <v>835</v>
      </c>
      <c r="C636" t="s">
        <v>303</v>
      </c>
      <c r="D636" t="s">
        <v>304</v>
      </c>
      <c r="E636">
        <v>40</v>
      </c>
      <c r="F636" t="s">
        <v>209</v>
      </c>
      <c r="G636">
        <f ca="1">IFERROR(tbl_Recettes[[#This Row],[Quantité]] * IFERROR(_xlfn.XLOOKUP(tbl_Recettes[[#This Row],[Cde_Ingrdt]], tbl_Stock[Cde_Ingrdt], tbl_Stock[CMP effectif]),0),0)</f>
        <v>6.5600000000000005</v>
      </c>
    </row>
    <row r="637" spans="1:7" x14ac:dyDescent="0.25">
      <c r="A637" t="s">
        <v>836</v>
      </c>
      <c r="B637" t="s">
        <v>837</v>
      </c>
      <c r="C637" t="s">
        <v>808</v>
      </c>
      <c r="D637" t="s">
        <v>809</v>
      </c>
      <c r="E637">
        <v>1</v>
      </c>
      <c r="F637" t="s">
        <v>206</v>
      </c>
      <c r="G637">
        <f ca="1">IFERROR(tbl_Recettes[[#This Row],[Quantité]] * IFERROR(_xlfn.XLOOKUP(tbl_Recettes[[#This Row],[Cde_Ingrdt]], tbl_Stock[Cde_Ingrdt], tbl_Stock[CMP effectif]),0),0)</f>
        <v>5</v>
      </c>
    </row>
    <row r="638" spans="1:7" x14ac:dyDescent="0.25">
      <c r="A638" t="s">
        <v>836</v>
      </c>
      <c r="B638" t="s">
        <v>837</v>
      </c>
      <c r="C638" t="s">
        <v>222</v>
      </c>
      <c r="D638" t="s">
        <v>223</v>
      </c>
      <c r="E638">
        <v>20</v>
      </c>
      <c r="F638" t="s">
        <v>209</v>
      </c>
      <c r="G638">
        <f ca="1">IFERROR(tbl_Recettes[[#This Row],[Quantité]] * IFERROR(_xlfn.XLOOKUP(tbl_Recettes[[#This Row],[Cde_Ingrdt]], tbl_Stock[Cde_Ingrdt], tbl_Stock[CMP effectif]),0),0)</f>
        <v>0.8</v>
      </c>
    </row>
    <row r="639" spans="1:7" x14ac:dyDescent="0.25">
      <c r="A639" t="s">
        <v>836</v>
      </c>
      <c r="B639" t="s">
        <v>837</v>
      </c>
      <c r="C639" t="s">
        <v>600</v>
      </c>
      <c r="D639" t="s">
        <v>601</v>
      </c>
      <c r="E639">
        <v>30</v>
      </c>
      <c r="F639" t="s">
        <v>209</v>
      </c>
      <c r="G639">
        <f ca="1">IFERROR(tbl_Recettes[[#This Row],[Quantité]] * IFERROR(_xlfn.XLOOKUP(tbl_Recettes[[#This Row],[Cde_Ingrdt]], tbl_Stock[Cde_Ingrdt], tbl_Stock[CMP effectif]),0),0)</f>
        <v>0.24</v>
      </c>
    </row>
    <row r="640" spans="1:7" x14ac:dyDescent="0.25">
      <c r="A640" t="s">
        <v>836</v>
      </c>
      <c r="B640" t="s">
        <v>837</v>
      </c>
      <c r="C640" t="s">
        <v>838</v>
      </c>
      <c r="D640" t="s">
        <v>839</v>
      </c>
      <c r="E640">
        <v>30</v>
      </c>
      <c r="F640" t="s">
        <v>209</v>
      </c>
      <c r="G640">
        <f ca="1">IFERROR(tbl_Recettes[[#This Row],[Quantité]] * IFERROR(_xlfn.XLOOKUP(tbl_Recettes[[#This Row],[Cde_Ingrdt]], tbl_Stock[Cde_Ingrdt], tbl_Stock[CMP effectif]),0),0)</f>
        <v>3</v>
      </c>
    </row>
    <row r="641" spans="1:7" x14ac:dyDescent="0.25">
      <c r="A641" t="s">
        <v>836</v>
      </c>
      <c r="B641" t="s">
        <v>837</v>
      </c>
      <c r="C641" t="s">
        <v>315</v>
      </c>
      <c r="D641" t="s">
        <v>316</v>
      </c>
      <c r="E641">
        <v>10</v>
      </c>
      <c r="F641" t="s">
        <v>209</v>
      </c>
      <c r="G641">
        <f ca="1">IFERROR(tbl_Recettes[[#This Row],[Quantité]] * IFERROR(_xlfn.XLOOKUP(tbl_Recettes[[#This Row],[Cde_Ingrdt]], tbl_Stock[Cde_Ingrdt], tbl_Stock[CMP effectif]),0),0)</f>
        <v>1</v>
      </c>
    </row>
    <row r="642" spans="1:7" x14ac:dyDescent="0.25">
      <c r="A642" t="s">
        <v>836</v>
      </c>
      <c r="B642" t="s">
        <v>837</v>
      </c>
      <c r="C642" t="s">
        <v>420</v>
      </c>
      <c r="D642" t="s">
        <v>421</v>
      </c>
      <c r="E642">
        <v>10</v>
      </c>
      <c r="F642" t="s">
        <v>209</v>
      </c>
      <c r="G642">
        <f ca="1">IFERROR(tbl_Recettes[[#This Row],[Quantité]] * IFERROR(_xlfn.XLOOKUP(tbl_Recettes[[#This Row],[Cde_Ingrdt]], tbl_Stock[Cde_Ingrdt], tbl_Stock[CMP effectif]),0),0)</f>
        <v>0.25</v>
      </c>
    </row>
    <row r="643" spans="1:7" x14ac:dyDescent="0.25">
      <c r="A643" t="s">
        <v>836</v>
      </c>
      <c r="B643" t="s">
        <v>837</v>
      </c>
      <c r="C643" t="s">
        <v>422</v>
      </c>
      <c r="D643" t="s">
        <v>423</v>
      </c>
      <c r="E643">
        <v>10</v>
      </c>
      <c r="F643" t="s">
        <v>209</v>
      </c>
      <c r="G643">
        <f ca="1">IFERROR(tbl_Recettes[[#This Row],[Quantité]] * IFERROR(_xlfn.XLOOKUP(tbl_Recettes[[#This Row],[Cde_Ingrdt]], tbl_Stock[Cde_Ingrdt], tbl_Stock[CMP effectif]),0),0)</f>
        <v>0.2</v>
      </c>
    </row>
    <row r="644" spans="1:7" x14ac:dyDescent="0.25">
      <c r="A644" t="s">
        <v>836</v>
      </c>
      <c r="B644" t="s">
        <v>837</v>
      </c>
      <c r="C644" t="s">
        <v>840</v>
      </c>
      <c r="D644" t="s">
        <v>841</v>
      </c>
      <c r="E644">
        <v>2</v>
      </c>
      <c r="F644" t="s">
        <v>209</v>
      </c>
      <c r="G644">
        <f ca="1">IFERROR(tbl_Recettes[[#This Row],[Quantité]] * IFERROR(_xlfn.XLOOKUP(tbl_Recettes[[#This Row],[Cde_Ingrdt]], tbl_Stock[Cde_Ingrdt], tbl_Stock[CMP effectif]),0),0)</f>
        <v>0.1</v>
      </c>
    </row>
    <row r="645" spans="1:7" x14ac:dyDescent="0.25">
      <c r="A645" t="s">
        <v>836</v>
      </c>
      <c r="B645" t="s">
        <v>837</v>
      </c>
      <c r="C645" t="s">
        <v>219</v>
      </c>
      <c r="D645" t="s">
        <v>220</v>
      </c>
      <c r="E645">
        <v>60</v>
      </c>
      <c r="F645" t="s">
        <v>221</v>
      </c>
      <c r="G645">
        <f ca="1">IFERROR(tbl_Recettes[[#This Row],[Quantité]] * IFERROR(_xlfn.XLOOKUP(tbl_Recettes[[#This Row],[Cde_Ingrdt]], tbl_Stock[Cde_Ingrdt], tbl_Stock[CMP effectif]),0),0)</f>
        <v>9</v>
      </c>
    </row>
    <row r="646" spans="1:7" x14ac:dyDescent="0.25">
      <c r="A646" t="s">
        <v>836</v>
      </c>
      <c r="B646" t="s">
        <v>837</v>
      </c>
      <c r="C646" t="s">
        <v>818</v>
      </c>
      <c r="D646" t="s">
        <v>819</v>
      </c>
      <c r="E646">
        <v>40</v>
      </c>
      <c r="F646" t="s">
        <v>209</v>
      </c>
      <c r="G646">
        <f ca="1">IFERROR(tbl_Recettes[[#This Row],[Quantité]] * IFERROR(_xlfn.XLOOKUP(tbl_Recettes[[#This Row],[Cde_Ingrdt]], tbl_Stock[Cde_Ingrdt], tbl_Stock[CMP effectif]),0),0)</f>
        <v>12</v>
      </c>
    </row>
    <row r="647" spans="1:7" x14ac:dyDescent="0.25">
      <c r="A647" t="s">
        <v>842</v>
      </c>
      <c r="B647" t="s">
        <v>843</v>
      </c>
      <c r="C647" t="s">
        <v>808</v>
      </c>
      <c r="D647" t="s">
        <v>809</v>
      </c>
      <c r="E647">
        <v>1</v>
      </c>
      <c r="F647" t="s">
        <v>206</v>
      </c>
      <c r="G647">
        <f ca="1">IFERROR(tbl_Recettes[[#This Row],[Quantité]] * IFERROR(_xlfn.XLOOKUP(tbl_Recettes[[#This Row],[Cde_Ingrdt]], tbl_Stock[Cde_Ingrdt], tbl_Stock[CMP effectif]),0),0)</f>
        <v>5</v>
      </c>
    </row>
    <row r="648" spans="1:7" x14ac:dyDescent="0.25">
      <c r="A648" t="s">
        <v>842</v>
      </c>
      <c r="B648" t="s">
        <v>843</v>
      </c>
      <c r="C648" t="s">
        <v>219</v>
      </c>
      <c r="D648" t="s">
        <v>220</v>
      </c>
      <c r="E648">
        <v>60</v>
      </c>
      <c r="F648" t="s">
        <v>221</v>
      </c>
      <c r="G648">
        <f ca="1">IFERROR(tbl_Recettes[[#This Row],[Quantité]] * IFERROR(_xlfn.XLOOKUP(tbl_Recettes[[#This Row],[Cde_Ingrdt]], tbl_Stock[Cde_Ingrdt], tbl_Stock[CMP effectif]),0),0)</f>
        <v>9</v>
      </c>
    </row>
    <row r="649" spans="1:7" x14ac:dyDescent="0.25">
      <c r="A649" t="s">
        <v>842</v>
      </c>
      <c r="B649" t="s">
        <v>843</v>
      </c>
      <c r="C649" t="s">
        <v>818</v>
      </c>
      <c r="D649" t="s">
        <v>819</v>
      </c>
      <c r="E649">
        <v>80</v>
      </c>
      <c r="F649" t="s">
        <v>209</v>
      </c>
      <c r="G649">
        <f ca="1">IFERROR(tbl_Recettes[[#This Row],[Quantité]] * IFERROR(_xlfn.XLOOKUP(tbl_Recettes[[#This Row],[Cde_Ingrdt]], tbl_Stock[Cde_Ingrdt], tbl_Stock[CMP effectif]),0),0)</f>
        <v>24</v>
      </c>
    </row>
    <row r="650" spans="1:7" x14ac:dyDescent="0.25">
      <c r="A650" t="s">
        <v>842</v>
      </c>
      <c r="B650" t="s">
        <v>843</v>
      </c>
      <c r="C650" t="s">
        <v>742</v>
      </c>
      <c r="D650" t="s">
        <v>743</v>
      </c>
      <c r="E650">
        <v>5</v>
      </c>
      <c r="F650" t="s">
        <v>209</v>
      </c>
      <c r="G650">
        <f ca="1">IFERROR(tbl_Recettes[[#This Row],[Quantité]] * IFERROR(_xlfn.XLOOKUP(tbl_Recettes[[#This Row],[Cde_Ingrdt]], tbl_Stock[Cde_Ingrdt], tbl_Stock[CMP effectif]),0),0)</f>
        <v>0.5</v>
      </c>
    </row>
    <row r="651" spans="1:7" x14ac:dyDescent="0.25">
      <c r="A651" t="s">
        <v>844</v>
      </c>
      <c r="B651" t="s">
        <v>845</v>
      </c>
      <c r="C651" t="s">
        <v>846</v>
      </c>
      <c r="D651" t="s">
        <v>847</v>
      </c>
      <c r="E651">
        <v>1</v>
      </c>
      <c r="F651" t="s">
        <v>206</v>
      </c>
      <c r="G651">
        <f ca="1">IFERROR(tbl_Recettes[[#This Row],[Quantité]] * IFERROR(_xlfn.XLOOKUP(tbl_Recettes[[#This Row],[Cde_Ingrdt]], tbl_Stock[Cde_Ingrdt], tbl_Stock[CMP effectif]),0),0)</f>
        <v>5</v>
      </c>
    </row>
    <row r="652" spans="1:7" x14ac:dyDescent="0.25">
      <c r="A652" t="s">
        <v>844</v>
      </c>
      <c r="B652" t="s">
        <v>845</v>
      </c>
      <c r="C652" t="s">
        <v>472</v>
      </c>
      <c r="D652" t="s">
        <v>473</v>
      </c>
      <c r="E652">
        <v>60</v>
      </c>
      <c r="F652" t="s">
        <v>209</v>
      </c>
      <c r="G652">
        <f ca="1">IFERROR(tbl_Recettes[[#This Row],[Quantité]] * IFERROR(_xlfn.XLOOKUP(tbl_Recettes[[#This Row],[Cde_Ingrdt]], tbl_Stock[Cde_Ingrdt], tbl_Stock[CMP effectif]),0),0)</f>
        <v>5.3999999999999995</v>
      </c>
    </row>
    <row r="653" spans="1:7" x14ac:dyDescent="0.25">
      <c r="A653" t="s">
        <v>844</v>
      </c>
      <c r="B653" t="s">
        <v>845</v>
      </c>
      <c r="C653" t="s">
        <v>728</v>
      </c>
      <c r="D653" t="s">
        <v>729</v>
      </c>
      <c r="E653">
        <v>60</v>
      </c>
      <c r="F653" t="s">
        <v>209</v>
      </c>
      <c r="G653">
        <f ca="1">IFERROR(tbl_Recettes[[#This Row],[Quantité]] * IFERROR(_xlfn.XLOOKUP(tbl_Recettes[[#This Row],[Cde_Ingrdt]], tbl_Stock[Cde_Ingrdt], tbl_Stock[CMP effectif]),0),0)</f>
        <v>3.5999999999999996</v>
      </c>
    </row>
    <row r="654" spans="1:7" x14ac:dyDescent="0.25">
      <c r="A654" t="s">
        <v>844</v>
      </c>
      <c r="B654" t="s">
        <v>845</v>
      </c>
      <c r="C654" t="s">
        <v>403</v>
      </c>
      <c r="D654" t="s">
        <v>404</v>
      </c>
      <c r="E654">
        <v>50</v>
      </c>
      <c r="F654" t="s">
        <v>209</v>
      </c>
      <c r="G654">
        <f ca="1">IFERROR(tbl_Recettes[[#This Row],[Quantité]] * IFERROR(_xlfn.XLOOKUP(tbl_Recettes[[#This Row],[Cde_Ingrdt]], tbl_Stock[Cde_Ingrdt], tbl_Stock[CMP effectif]),0),0)</f>
        <v>1</v>
      </c>
    </row>
    <row r="655" spans="1:7" x14ac:dyDescent="0.25">
      <c r="A655" t="s">
        <v>844</v>
      </c>
      <c r="B655" t="s">
        <v>845</v>
      </c>
      <c r="C655" t="s">
        <v>848</v>
      </c>
      <c r="D655" t="s">
        <v>849</v>
      </c>
      <c r="E655">
        <v>40</v>
      </c>
      <c r="F655" t="s">
        <v>209</v>
      </c>
      <c r="G655">
        <f ca="1">IFERROR(tbl_Recettes[[#This Row],[Quantité]] * IFERROR(_xlfn.XLOOKUP(tbl_Recettes[[#This Row],[Cde_Ingrdt]], tbl_Stock[Cde_Ingrdt], tbl_Stock[CMP effectif]),0),0)</f>
        <v>2.8000000000000003</v>
      </c>
    </row>
    <row r="656" spans="1:7" x14ac:dyDescent="0.25">
      <c r="A656" t="s">
        <v>844</v>
      </c>
      <c r="B656" t="s">
        <v>845</v>
      </c>
      <c r="C656" t="s">
        <v>303</v>
      </c>
      <c r="D656" t="s">
        <v>304</v>
      </c>
      <c r="E656">
        <v>30</v>
      </c>
      <c r="F656" t="s">
        <v>209</v>
      </c>
      <c r="G656">
        <f ca="1">IFERROR(tbl_Recettes[[#This Row],[Quantité]] * IFERROR(_xlfn.XLOOKUP(tbl_Recettes[[#This Row],[Cde_Ingrdt]], tbl_Stock[Cde_Ingrdt], tbl_Stock[CMP effectif]),0),0)</f>
        <v>4.92</v>
      </c>
    </row>
    <row r="657" spans="1:7" x14ac:dyDescent="0.25">
      <c r="A657" t="s">
        <v>844</v>
      </c>
      <c r="B657" t="s">
        <v>845</v>
      </c>
      <c r="C657" t="s">
        <v>219</v>
      </c>
      <c r="D657" t="s">
        <v>220</v>
      </c>
      <c r="E657">
        <v>30</v>
      </c>
      <c r="F657" t="s">
        <v>221</v>
      </c>
      <c r="G657">
        <f ca="1">IFERROR(tbl_Recettes[[#This Row],[Quantité]] * IFERROR(_xlfn.XLOOKUP(tbl_Recettes[[#This Row],[Cde_Ingrdt]], tbl_Stock[Cde_Ingrdt], tbl_Stock[CMP effectif]),0),0)</f>
        <v>4.5</v>
      </c>
    </row>
    <row r="658" spans="1:7" x14ac:dyDescent="0.25">
      <c r="A658" t="s">
        <v>850</v>
      </c>
      <c r="B658" t="s">
        <v>851</v>
      </c>
      <c r="C658" t="s">
        <v>846</v>
      </c>
      <c r="D658" t="s">
        <v>847</v>
      </c>
      <c r="E658">
        <v>1</v>
      </c>
      <c r="F658" t="s">
        <v>206</v>
      </c>
      <c r="G658">
        <f ca="1">IFERROR(tbl_Recettes[[#This Row],[Quantité]] * IFERROR(_xlfn.XLOOKUP(tbl_Recettes[[#This Row],[Cde_Ingrdt]], tbl_Stock[Cde_Ingrdt], tbl_Stock[CMP effectif]),0),0)</f>
        <v>5</v>
      </c>
    </row>
    <row r="659" spans="1:7" x14ac:dyDescent="0.25">
      <c r="A659" t="s">
        <v>850</v>
      </c>
      <c r="B659" t="s">
        <v>851</v>
      </c>
      <c r="C659" t="s">
        <v>472</v>
      </c>
      <c r="D659" t="s">
        <v>473</v>
      </c>
      <c r="E659">
        <v>100</v>
      </c>
      <c r="F659" t="s">
        <v>209</v>
      </c>
      <c r="G659">
        <f ca="1">IFERROR(tbl_Recettes[[#This Row],[Quantité]] * IFERROR(_xlfn.XLOOKUP(tbl_Recettes[[#This Row],[Cde_Ingrdt]], tbl_Stock[Cde_Ingrdt], tbl_Stock[CMP effectif]),0),0)</f>
        <v>9</v>
      </c>
    </row>
    <row r="660" spans="1:7" x14ac:dyDescent="0.25">
      <c r="A660" t="s">
        <v>850</v>
      </c>
      <c r="B660" t="s">
        <v>851</v>
      </c>
      <c r="C660" t="s">
        <v>403</v>
      </c>
      <c r="D660" t="s">
        <v>404</v>
      </c>
      <c r="E660">
        <v>50</v>
      </c>
      <c r="F660" t="s">
        <v>209</v>
      </c>
      <c r="G660">
        <f ca="1">IFERROR(tbl_Recettes[[#This Row],[Quantité]] * IFERROR(_xlfn.XLOOKUP(tbl_Recettes[[#This Row],[Cde_Ingrdt]], tbl_Stock[Cde_Ingrdt], tbl_Stock[CMP effectif]),0),0)</f>
        <v>1</v>
      </c>
    </row>
    <row r="661" spans="1:7" x14ac:dyDescent="0.25">
      <c r="A661" t="s">
        <v>850</v>
      </c>
      <c r="B661" t="s">
        <v>851</v>
      </c>
      <c r="C661" t="s">
        <v>848</v>
      </c>
      <c r="D661" t="s">
        <v>849</v>
      </c>
      <c r="E661">
        <v>40</v>
      </c>
      <c r="F661" t="s">
        <v>209</v>
      </c>
      <c r="G661">
        <f ca="1">IFERROR(tbl_Recettes[[#This Row],[Quantité]] * IFERROR(_xlfn.XLOOKUP(tbl_Recettes[[#This Row],[Cde_Ingrdt]], tbl_Stock[Cde_Ingrdt], tbl_Stock[CMP effectif]),0),0)</f>
        <v>2.8000000000000003</v>
      </c>
    </row>
    <row r="662" spans="1:7" x14ac:dyDescent="0.25">
      <c r="A662" t="s">
        <v>850</v>
      </c>
      <c r="B662" t="s">
        <v>851</v>
      </c>
      <c r="C662" t="s">
        <v>303</v>
      </c>
      <c r="D662" t="s">
        <v>304</v>
      </c>
      <c r="E662">
        <v>30</v>
      </c>
      <c r="F662" t="s">
        <v>209</v>
      </c>
      <c r="G662">
        <f ca="1">IFERROR(tbl_Recettes[[#This Row],[Quantité]] * IFERROR(_xlfn.XLOOKUP(tbl_Recettes[[#This Row],[Cde_Ingrdt]], tbl_Stock[Cde_Ingrdt], tbl_Stock[CMP effectif]),0),0)</f>
        <v>4.92</v>
      </c>
    </row>
    <row r="663" spans="1:7" x14ac:dyDescent="0.25">
      <c r="A663" t="s">
        <v>850</v>
      </c>
      <c r="B663" t="s">
        <v>851</v>
      </c>
      <c r="C663" t="s">
        <v>219</v>
      </c>
      <c r="D663" t="s">
        <v>220</v>
      </c>
      <c r="E663">
        <v>30</v>
      </c>
      <c r="F663" t="s">
        <v>221</v>
      </c>
      <c r="G663">
        <f ca="1">IFERROR(tbl_Recettes[[#This Row],[Quantité]] * IFERROR(_xlfn.XLOOKUP(tbl_Recettes[[#This Row],[Cde_Ingrdt]], tbl_Stock[Cde_Ingrdt], tbl_Stock[CMP effectif]),0),0)</f>
        <v>4.5</v>
      </c>
    </row>
    <row r="664" spans="1:7" x14ac:dyDescent="0.25">
      <c r="A664" t="s">
        <v>852</v>
      </c>
      <c r="B664" t="s">
        <v>853</v>
      </c>
      <c r="C664" t="s">
        <v>846</v>
      </c>
      <c r="D664" t="s">
        <v>847</v>
      </c>
      <c r="E664">
        <v>1</v>
      </c>
      <c r="F664" t="s">
        <v>206</v>
      </c>
      <c r="G664">
        <f ca="1">IFERROR(tbl_Recettes[[#This Row],[Quantité]] * IFERROR(_xlfn.XLOOKUP(tbl_Recettes[[#This Row],[Cde_Ingrdt]], tbl_Stock[Cde_Ingrdt], tbl_Stock[CMP effectif]),0),0)</f>
        <v>5</v>
      </c>
    </row>
    <row r="665" spans="1:7" x14ac:dyDescent="0.25">
      <c r="A665" t="s">
        <v>852</v>
      </c>
      <c r="B665" t="s">
        <v>853</v>
      </c>
      <c r="C665" t="s">
        <v>728</v>
      </c>
      <c r="D665" t="s">
        <v>729</v>
      </c>
      <c r="E665">
        <v>100</v>
      </c>
      <c r="F665" t="s">
        <v>209</v>
      </c>
      <c r="G665">
        <f ca="1">IFERROR(tbl_Recettes[[#This Row],[Quantité]] * IFERROR(_xlfn.XLOOKUP(tbl_Recettes[[#This Row],[Cde_Ingrdt]], tbl_Stock[Cde_Ingrdt], tbl_Stock[CMP effectif]),0),0)</f>
        <v>6</v>
      </c>
    </row>
    <row r="666" spans="1:7" x14ac:dyDescent="0.25">
      <c r="A666" t="s">
        <v>852</v>
      </c>
      <c r="B666" t="s">
        <v>853</v>
      </c>
      <c r="C666" t="s">
        <v>403</v>
      </c>
      <c r="D666" t="s">
        <v>404</v>
      </c>
      <c r="E666">
        <v>50</v>
      </c>
      <c r="F666" t="s">
        <v>209</v>
      </c>
      <c r="G666">
        <f ca="1">IFERROR(tbl_Recettes[[#This Row],[Quantité]] * IFERROR(_xlfn.XLOOKUP(tbl_Recettes[[#This Row],[Cde_Ingrdt]], tbl_Stock[Cde_Ingrdt], tbl_Stock[CMP effectif]),0),0)</f>
        <v>1</v>
      </c>
    </row>
    <row r="667" spans="1:7" x14ac:dyDescent="0.25">
      <c r="A667" t="s">
        <v>852</v>
      </c>
      <c r="B667" t="s">
        <v>853</v>
      </c>
      <c r="C667" t="s">
        <v>848</v>
      </c>
      <c r="D667" t="s">
        <v>849</v>
      </c>
      <c r="E667">
        <v>40</v>
      </c>
      <c r="F667" t="s">
        <v>209</v>
      </c>
      <c r="G667">
        <f ca="1">IFERROR(tbl_Recettes[[#This Row],[Quantité]] * IFERROR(_xlfn.XLOOKUP(tbl_Recettes[[#This Row],[Cde_Ingrdt]], tbl_Stock[Cde_Ingrdt], tbl_Stock[CMP effectif]),0),0)</f>
        <v>2.8000000000000003</v>
      </c>
    </row>
    <row r="668" spans="1:7" x14ac:dyDescent="0.25">
      <c r="A668" t="s">
        <v>852</v>
      </c>
      <c r="B668" t="s">
        <v>853</v>
      </c>
      <c r="C668" t="s">
        <v>303</v>
      </c>
      <c r="D668" t="s">
        <v>304</v>
      </c>
      <c r="E668">
        <v>30</v>
      </c>
      <c r="F668" t="s">
        <v>209</v>
      </c>
      <c r="G668">
        <f ca="1">IFERROR(tbl_Recettes[[#This Row],[Quantité]] * IFERROR(_xlfn.XLOOKUP(tbl_Recettes[[#This Row],[Cde_Ingrdt]], tbl_Stock[Cde_Ingrdt], tbl_Stock[CMP effectif]),0),0)</f>
        <v>4.92</v>
      </c>
    </row>
    <row r="669" spans="1:7" x14ac:dyDescent="0.25">
      <c r="A669" t="s">
        <v>852</v>
      </c>
      <c r="B669" t="s">
        <v>853</v>
      </c>
      <c r="C669" t="s">
        <v>219</v>
      </c>
      <c r="D669" t="s">
        <v>220</v>
      </c>
      <c r="E669">
        <v>30</v>
      </c>
      <c r="F669" t="s">
        <v>221</v>
      </c>
      <c r="G669">
        <f ca="1">IFERROR(tbl_Recettes[[#This Row],[Quantité]] * IFERROR(_xlfn.XLOOKUP(tbl_Recettes[[#This Row],[Cde_Ingrdt]], tbl_Stock[Cde_Ingrdt], tbl_Stock[CMP effectif]),0),0)</f>
        <v>4.5</v>
      </c>
    </row>
    <row r="670" spans="1:7" x14ac:dyDescent="0.25">
      <c r="A670" t="s">
        <v>854</v>
      </c>
      <c r="B670" t="s">
        <v>855</v>
      </c>
      <c r="C670" t="s">
        <v>846</v>
      </c>
      <c r="D670" t="s">
        <v>847</v>
      </c>
      <c r="E670">
        <v>2</v>
      </c>
      <c r="F670" t="s">
        <v>206</v>
      </c>
      <c r="G670">
        <f ca="1">IFERROR(tbl_Recettes[[#This Row],[Quantité]] * IFERROR(_xlfn.XLOOKUP(tbl_Recettes[[#This Row],[Cde_Ingrdt]], tbl_Stock[Cde_Ingrdt], tbl_Stock[CMP effectif]),0),0)</f>
        <v>10</v>
      </c>
    </row>
    <row r="671" spans="1:7" x14ac:dyDescent="0.25">
      <c r="A671" t="s">
        <v>854</v>
      </c>
      <c r="B671" t="s">
        <v>855</v>
      </c>
      <c r="C671" t="s">
        <v>472</v>
      </c>
      <c r="D671" t="s">
        <v>473</v>
      </c>
      <c r="E671">
        <v>60</v>
      </c>
      <c r="F671" t="s">
        <v>209</v>
      </c>
      <c r="G671">
        <f ca="1">IFERROR(tbl_Recettes[[#This Row],[Quantité]] * IFERROR(_xlfn.XLOOKUP(tbl_Recettes[[#This Row],[Cde_Ingrdt]], tbl_Stock[Cde_Ingrdt], tbl_Stock[CMP effectif]),0),0)</f>
        <v>5.3999999999999995</v>
      </c>
    </row>
    <row r="672" spans="1:7" x14ac:dyDescent="0.25">
      <c r="A672" t="s">
        <v>854</v>
      </c>
      <c r="B672" t="s">
        <v>855</v>
      </c>
      <c r="C672" t="s">
        <v>728</v>
      </c>
      <c r="D672" t="s">
        <v>729</v>
      </c>
      <c r="E672">
        <v>60</v>
      </c>
      <c r="F672" t="s">
        <v>209</v>
      </c>
      <c r="G672">
        <f ca="1">IFERROR(tbl_Recettes[[#This Row],[Quantité]] * IFERROR(_xlfn.XLOOKUP(tbl_Recettes[[#This Row],[Cde_Ingrdt]], tbl_Stock[Cde_Ingrdt], tbl_Stock[CMP effectif]),0),0)</f>
        <v>3.5999999999999996</v>
      </c>
    </row>
    <row r="673" spans="1:7" x14ac:dyDescent="0.25">
      <c r="A673" t="s">
        <v>854</v>
      </c>
      <c r="B673" t="s">
        <v>855</v>
      </c>
      <c r="C673" t="s">
        <v>303</v>
      </c>
      <c r="D673" t="s">
        <v>304</v>
      </c>
      <c r="E673">
        <v>30</v>
      </c>
      <c r="F673" t="s">
        <v>209</v>
      </c>
      <c r="G673">
        <f ca="1">IFERROR(tbl_Recettes[[#This Row],[Quantité]] * IFERROR(_xlfn.XLOOKUP(tbl_Recettes[[#This Row],[Cde_Ingrdt]], tbl_Stock[Cde_Ingrdt], tbl_Stock[CMP effectif]),0),0)</f>
        <v>4.92</v>
      </c>
    </row>
    <row r="674" spans="1:7" x14ac:dyDescent="0.25">
      <c r="A674" t="s">
        <v>854</v>
      </c>
      <c r="B674" t="s">
        <v>855</v>
      </c>
      <c r="C674" t="s">
        <v>251</v>
      </c>
      <c r="D674" t="s">
        <v>252</v>
      </c>
      <c r="E674">
        <v>30</v>
      </c>
      <c r="F674" t="s">
        <v>221</v>
      </c>
      <c r="G674">
        <f ca="1">IFERROR(tbl_Recettes[[#This Row],[Quantité]] * IFERROR(_xlfn.XLOOKUP(tbl_Recettes[[#This Row],[Cde_Ingrdt]], tbl_Stock[Cde_Ingrdt], tbl_Stock[CMP effectif]),0),0)</f>
        <v>2.6999999999999997</v>
      </c>
    </row>
    <row r="675" spans="1:7" x14ac:dyDescent="0.25">
      <c r="A675" t="s">
        <v>856</v>
      </c>
      <c r="B675" t="s">
        <v>857</v>
      </c>
      <c r="C675" t="s">
        <v>846</v>
      </c>
      <c r="D675" t="s">
        <v>847</v>
      </c>
      <c r="E675">
        <v>2</v>
      </c>
      <c r="F675" t="s">
        <v>206</v>
      </c>
      <c r="G675">
        <f ca="1">IFERROR(tbl_Recettes[[#This Row],[Quantité]] * IFERROR(_xlfn.XLOOKUP(tbl_Recettes[[#This Row],[Cde_Ingrdt]], tbl_Stock[Cde_Ingrdt], tbl_Stock[CMP effectif]),0),0)</f>
        <v>10</v>
      </c>
    </row>
    <row r="676" spans="1:7" x14ac:dyDescent="0.25">
      <c r="A676" t="s">
        <v>856</v>
      </c>
      <c r="B676" t="s">
        <v>857</v>
      </c>
      <c r="C676" t="s">
        <v>472</v>
      </c>
      <c r="D676" t="s">
        <v>473</v>
      </c>
      <c r="E676">
        <v>100</v>
      </c>
      <c r="F676" t="s">
        <v>209</v>
      </c>
      <c r="G676">
        <f ca="1">IFERROR(tbl_Recettes[[#This Row],[Quantité]] * IFERROR(_xlfn.XLOOKUP(tbl_Recettes[[#This Row],[Cde_Ingrdt]], tbl_Stock[Cde_Ingrdt], tbl_Stock[CMP effectif]),0),0)</f>
        <v>9</v>
      </c>
    </row>
    <row r="677" spans="1:7" x14ac:dyDescent="0.25">
      <c r="A677" t="s">
        <v>856</v>
      </c>
      <c r="B677" t="s">
        <v>857</v>
      </c>
      <c r="C677" t="s">
        <v>303</v>
      </c>
      <c r="D677" t="s">
        <v>304</v>
      </c>
      <c r="E677">
        <v>30</v>
      </c>
      <c r="F677" t="s">
        <v>209</v>
      </c>
      <c r="G677">
        <f ca="1">IFERROR(tbl_Recettes[[#This Row],[Quantité]] * IFERROR(_xlfn.XLOOKUP(tbl_Recettes[[#This Row],[Cde_Ingrdt]], tbl_Stock[Cde_Ingrdt], tbl_Stock[CMP effectif]),0),0)</f>
        <v>4.92</v>
      </c>
    </row>
    <row r="678" spans="1:7" x14ac:dyDescent="0.25">
      <c r="A678" t="s">
        <v>856</v>
      </c>
      <c r="B678" t="s">
        <v>857</v>
      </c>
      <c r="C678" t="s">
        <v>251</v>
      </c>
      <c r="D678" t="s">
        <v>252</v>
      </c>
      <c r="E678">
        <v>30</v>
      </c>
      <c r="F678" t="s">
        <v>221</v>
      </c>
      <c r="G678">
        <f ca="1">IFERROR(tbl_Recettes[[#This Row],[Quantité]] * IFERROR(_xlfn.XLOOKUP(tbl_Recettes[[#This Row],[Cde_Ingrdt]], tbl_Stock[Cde_Ingrdt], tbl_Stock[CMP effectif]),0),0)</f>
        <v>2.6999999999999997</v>
      </c>
    </row>
    <row r="679" spans="1:7" x14ac:dyDescent="0.25">
      <c r="A679" t="s">
        <v>68</v>
      </c>
      <c r="B679" t="s">
        <v>858</v>
      </c>
      <c r="C679" t="s">
        <v>846</v>
      </c>
      <c r="D679" t="s">
        <v>847</v>
      </c>
      <c r="E679">
        <v>2</v>
      </c>
      <c r="F679" t="s">
        <v>206</v>
      </c>
      <c r="G679">
        <f ca="1">IFERROR(tbl_Recettes[[#This Row],[Quantité]] * IFERROR(_xlfn.XLOOKUP(tbl_Recettes[[#This Row],[Cde_Ingrdt]], tbl_Stock[Cde_Ingrdt], tbl_Stock[CMP effectif]),0),0)</f>
        <v>10</v>
      </c>
    </row>
    <row r="680" spans="1:7" x14ac:dyDescent="0.25">
      <c r="A680" t="s">
        <v>68</v>
      </c>
      <c r="B680" t="s">
        <v>858</v>
      </c>
      <c r="C680" t="s">
        <v>728</v>
      </c>
      <c r="D680" t="s">
        <v>729</v>
      </c>
      <c r="E680">
        <v>100</v>
      </c>
      <c r="F680" t="s">
        <v>209</v>
      </c>
      <c r="G680">
        <f ca="1">IFERROR(tbl_Recettes[[#This Row],[Quantité]] * IFERROR(_xlfn.XLOOKUP(tbl_Recettes[[#This Row],[Cde_Ingrdt]], tbl_Stock[Cde_Ingrdt], tbl_Stock[CMP effectif]),0),0)</f>
        <v>6</v>
      </c>
    </row>
    <row r="681" spans="1:7" x14ac:dyDescent="0.25">
      <c r="A681" t="s">
        <v>68</v>
      </c>
      <c r="B681" t="s">
        <v>858</v>
      </c>
      <c r="C681" t="s">
        <v>303</v>
      </c>
      <c r="D681" t="s">
        <v>304</v>
      </c>
      <c r="E681">
        <v>30</v>
      </c>
      <c r="F681" t="s">
        <v>209</v>
      </c>
      <c r="G681">
        <f ca="1">IFERROR(tbl_Recettes[[#This Row],[Quantité]] * IFERROR(_xlfn.XLOOKUP(tbl_Recettes[[#This Row],[Cde_Ingrdt]], tbl_Stock[Cde_Ingrdt], tbl_Stock[CMP effectif]),0),0)</f>
        <v>4.92</v>
      </c>
    </row>
    <row r="682" spans="1:7" x14ac:dyDescent="0.25">
      <c r="A682" t="s">
        <v>68</v>
      </c>
      <c r="B682" t="s">
        <v>858</v>
      </c>
      <c r="C682" t="s">
        <v>251</v>
      </c>
      <c r="D682" t="s">
        <v>252</v>
      </c>
      <c r="E682">
        <v>30</v>
      </c>
      <c r="F682" t="s">
        <v>221</v>
      </c>
      <c r="G682">
        <f ca="1">IFERROR(tbl_Recettes[[#This Row],[Quantité]] * IFERROR(_xlfn.XLOOKUP(tbl_Recettes[[#This Row],[Cde_Ingrdt]], tbl_Stock[Cde_Ingrdt], tbl_Stock[CMP effectif]),0),0)</f>
        <v>2.6999999999999997</v>
      </c>
    </row>
    <row r="683" spans="1:7" x14ac:dyDescent="0.25">
      <c r="A683" t="s">
        <v>61</v>
      </c>
      <c r="B683" t="s">
        <v>859</v>
      </c>
      <c r="C683" t="s">
        <v>412</v>
      </c>
      <c r="D683" t="s">
        <v>413</v>
      </c>
      <c r="E683">
        <v>1</v>
      </c>
      <c r="F683" t="s">
        <v>206</v>
      </c>
      <c r="G683">
        <f ca="1">IFERROR(tbl_Recettes[[#This Row],[Quantité]] * IFERROR(_xlfn.XLOOKUP(tbl_Recettes[[#This Row],[Cde_Ingrdt]], tbl_Stock[Cde_Ingrdt], tbl_Stock[CMP effectif]),0),0)</f>
        <v>8</v>
      </c>
    </row>
    <row r="684" spans="1:7" x14ac:dyDescent="0.25">
      <c r="A684" t="s">
        <v>61</v>
      </c>
      <c r="B684" t="s">
        <v>859</v>
      </c>
      <c r="C684" t="s">
        <v>324</v>
      </c>
      <c r="D684" t="s">
        <v>325</v>
      </c>
      <c r="E684">
        <v>40</v>
      </c>
      <c r="F684" t="s">
        <v>209</v>
      </c>
      <c r="G684">
        <f ca="1">IFERROR(tbl_Recettes[[#This Row],[Quantité]] * IFERROR(_xlfn.XLOOKUP(tbl_Recettes[[#This Row],[Cde_Ingrdt]], tbl_Stock[Cde_Ingrdt], tbl_Stock[CMP effectif]),0),0)</f>
        <v>6</v>
      </c>
    </row>
    <row r="685" spans="1:7" x14ac:dyDescent="0.25">
      <c r="A685" t="s">
        <v>61</v>
      </c>
      <c r="B685" t="s">
        <v>859</v>
      </c>
      <c r="C685" t="s">
        <v>102</v>
      </c>
      <c r="D685" t="s">
        <v>234</v>
      </c>
      <c r="E685">
        <v>40</v>
      </c>
      <c r="F685" t="s">
        <v>209</v>
      </c>
      <c r="G685">
        <f ca="1">IFERROR(tbl_Recettes[[#This Row],[Quantité]] * IFERROR(_xlfn.XLOOKUP(tbl_Recettes[[#This Row],[Cde_Ingrdt]], tbl_Stock[Cde_Ingrdt], tbl_Stock[CMP effectif]),0),0)</f>
        <v>7.1999999999999993</v>
      </c>
    </row>
    <row r="686" spans="1:7" x14ac:dyDescent="0.25">
      <c r="A686" t="s">
        <v>860</v>
      </c>
      <c r="B686" t="s">
        <v>861</v>
      </c>
      <c r="C686" t="s">
        <v>862</v>
      </c>
      <c r="D686" t="s">
        <v>863</v>
      </c>
      <c r="E686">
        <v>1</v>
      </c>
      <c r="F686" t="s">
        <v>206</v>
      </c>
      <c r="G686">
        <f ca="1">IFERROR(tbl_Recettes[[#This Row],[Quantité]] * IFERROR(_xlfn.XLOOKUP(tbl_Recettes[[#This Row],[Cde_Ingrdt]], tbl_Stock[Cde_Ingrdt], tbl_Stock[CMP effectif]),0),0)</f>
        <v>15</v>
      </c>
    </row>
    <row r="687" spans="1:7" x14ac:dyDescent="0.25">
      <c r="A687" t="s">
        <v>860</v>
      </c>
      <c r="B687" t="s">
        <v>861</v>
      </c>
      <c r="C687" t="s">
        <v>864</v>
      </c>
      <c r="D687" t="s">
        <v>865</v>
      </c>
      <c r="E687">
        <v>30</v>
      </c>
      <c r="F687" t="s">
        <v>209</v>
      </c>
      <c r="G687">
        <f ca="1">IFERROR(tbl_Recettes[[#This Row],[Quantité]] * IFERROR(_xlfn.XLOOKUP(tbl_Recettes[[#This Row],[Cde_Ingrdt]], tbl_Stock[Cde_Ingrdt], tbl_Stock[CMP effectif]),0),0)</f>
        <v>3.75</v>
      </c>
    </row>
    <row r="688" spans="1:7" x14ac:dyDescent="0.25">
      <c r="A688" t="s">
        <v>860</v>
      </c>
      <c r="B688" t="s">
        <v>861</v>
      </c>
      <c r="C688" t="s">
        <v>866</v>
      </c>
      <c r="D688" t="s">
        <v>867</v>
      </c>
      <c r="E688">
        <v>1</v>
      </c>
      <c r="F688" t="s">
        <v>206</v>
      </c>
      <c r="G688">
        <f ca="1">IFERROR(tbl_Recettes[[#This Row],[Quantité]] * IFERROR(_xlfn.XLOOKUP(tbl_Recettes[[#This Row],[Cde_Ingrdt]], tbl_Stock[Cde_Ingrdt], tbl_Stock[CMP effectif]),0),0)</f>
        <v>7</v>
      </c>
    </row>
    <row r="689" spans="1:7" x14ac:dyDescent="0.25">
      <c r="A689" t="s">
        <v>860</v>
      </c>
      <c r="B689" t="s">
        <v>861</v>
      </c>
      <c r="C689" t="s">
        <v>868</v>
      </c>
      <c r="D689" t="s">
        <v>869</v>
      </c>
      <c r="E689">
        <v>1</v>
      </c>
      <c r="F689" t="s">
        <v>206</v>
      </c>
      <c r="G689">
        <f ca="1">IFERROR(tbl_Recettes[[#This Row],[Quantité]] * IFERROR(_xlfn.XLOOKUP(tbl_Recettes[[#This Row],[Cde_Ingrdt]], tbl_Stock[Cde_Ingrdt], tbl_Stock[CMP effectif]),0),0)</f>
        <v>5</v>
      </c>
    </row>
    <row r="690" spans="1:7" x14ac:dyDescent="0.25">
      <c r="A690" t="s">
        <v>860</v>
      </c>
      <c r="B690" t="s">
        <v>861</v>
      </c>
      <c r="C690" t="s">
        <v>870</v>
      </c>
      <c r="D690" t="s">
        <v>871</v>
      </c>
      <c r="E690">
        <v>30</v>
      </c>
      <c r="F690" t="s">
        <v>209</v>
      </c>
      <c r="G690">
        <f ca="1">IFERROR(tbl_Recettes[[#This Row],[Quantité]] * IFERROR(_xlfn.XLOOKUP(tbl_Recettes[[#This Row],[Cde_Ingrdt]], tbl_Stock[Cde_Ingrdt], tbl_Stock[CMP effectif]),0),0)</f>
        <v>12</v>
      </c>
    </row>
    <row r="691" spans="1:7" x14ac:dyDescent="0.25">
      <c r="A691" t="s">
        <v>872</v>
      </c>
      <c r="B691" t="s">
        <v>873</v>
      </c>
      <c r="C691" t="s">
        <v>862</v>
      </c>
      <c r="D691" t="s">
        <v>863</v>
      </c>
      <c r="E691">
        <v>1</v>
      </c>
      <c r="F691" t="s">
        <v>206</v>
      </c>
      <c r="G691">
        <f ca="1">IFERROR(tbl_Recettes[[#This Row],[Quantité]] * IFERROR(_xlfn.XLOOKUP(tbl_Recettes[[#This Row],[Cde_Ingrdt]], tbl_Stock[Cde_Ingrdt], tbl_Stock[CMP effectif]),0),0)</f>
        <v>15</v>
      </c>
    </row>
    <row r="692" spans="1:7" x14ac:dyDescent="0.25">
      <c r="A692" t="s">
        <v>872</v>
      </c>
      <c r="B692" t="s">
        <v>873</v>
      </c>
      <c r="C692" t="s">
        <v>864</v>
      </c>
      <c r="D692" t="s">
        <v>865</v>
      </c>
      <c r="E692">
        <v>25</v>
      </c>
      <c r="F692" t="s">
        <v>209</v>
      </c>
      <c r="G692">
        <f ca="1">IFERROR(tbl_Recettes[[#This Row],[Quantité]] * IFERROR(_xlfn.XLOOKUP(tbl_Recettes[[#This Row],[Cde_Ingrdt]], tbl_Stock[Cde_Ingrdt], tbl_Stock[CMP effectif]),0),0)</f>
        <v>3.125</v>
      </c>
    </row>
    <row r="693" spans="1:7" x14ac:dyDescent="0.25">
      <c r="A693" t="s">
        <v>872</v>
      </c>
      <c r="B693" t="s">
        <v>873</v>
      </c>
      <c r="C693" t="s">
        <v>874</v>
      </c>
      <c r="D693" t="s">
        <v>875</v>
      </c>
      <c r="E693">
        <v>20</v>
      </c>
      <c r="F693" t="s">
        <v>221</v>
      </c>
      <c r="G693">
        <f ca="1">IFERROR(tbl_Recettes[[#This Row],[Quantité]] * IFERROR(_xlfn.XLOOKUP(tbl_Recettes[[#This Row],[Cde_Ingrdt]], tbl_Stock[Cde_Ingrdt], tbl_Stock[CMP effectif]),0),0)</f>
        <v>3</v>
      </c>
    </row>
    <row r="694" spans="1:7" x14ac:dyDescent="0.25">
      <c r="A694" t="s">
        <v>872</v>
      </c>
      <c r="B694" t="s">
        <v>873</v>
      </c>
      <c r="C694" t="s">
        <v>328</v>
      </c>
      <c r="D694" t="s">
        <v>1264</v>
      </c>
      <c r="E694">
        <v>20</v>
      </c>
      <c r="F694" t="s">
        <v>209</v>
      </c>
      <c r="G694">
        <f ca="1">IFERROR(tbl_Recettes[[#This Row],[Quantité]] * IFERROR(_xlfn.XLOOKUP(tbl_Recettes[[#This Row],[Cde_Ingrdt]], tbl_Stock[Cde_Ingrdt], tbl_Stock[CMP effectif]),0),0)</f>
        <v>3</v>
      </c>
    </row>
    <row r="695" spans="1:7" x14ac:dyDescent="0.25">
      <c r="A695" t="s">
        <v>872</v>
      </c>
      <c r="B695" t="s">
        <v>873</v>
      </c>
      <c r="C695" t="s">
        <v>876</v>
      </c>
      <c r="D695" t="s">
        <v>877</v>
      </c>
      <c r="E695">
        <v>80</v>
      </c>
      <c r="F695" t="s">
        <v>209</v>
      </c>
      <c r="G695">
        <f ca="1">IFERROR(tbl_Recettes[[#This Row],[Quantité]] * IFERROR(_xlfn.XLOOKUP(tbl_Recettes[[#This Row],[Cde_Ingrdt]], tbl_Stock[Cde_Ingrdt], tbl_Stock[CMP effectif]),0),0)</f>
        <v>0.8</v>
      </c>
    </row>
    <row r="696" spans="1:7" x14ac:dyDescent="0.25">
      <c r="A696" t="s">
        <v>872</v>
      </c>
      <c r="B696" t="s">
        <v>873</v>
      </c>
      <c r="C696" t="s">
        <v>870</v>
      </c>
      <c r="D696" t="s">
        <v>871</v>
      </c>
      <c r="E696">
        <v>30</v>
      </c>
      <c r="F696" t="s">
        <v>209</v>
      </c>
      <c r="G696">
        <f ca="1">IFERROR(tbl_Recettes[[#This Row],[Quantité]] * IFERROR(_xlfn.XLOOKUP(tbl_Recettes[[#This Row],[Cde_Ingrdt]], tbl_Stock[Cde_Ingrdt], tbl_Stock[CMP effectif]),0),0)</f>
        <v>12</v>
      </c>
    </row>
    <row r="697" spans="1:7" x14ac:dyDescent="0.25">
      <c r="A697" t="s">
        <v>878</v>
      </c>
      <c r="B697" t="s">
        <v>879</v>
      </c>
      <c r="C697" t="s">
        <v>862</v>
      </c>
      <c r="D697" t="s">
        <v>863</v>
      </c>
      <c r="E697">
        <v>1</v>
      </c>
      <c r="F697" t="s">
        <v>206</v>
      </c>
      <c r="G697">
        <f ca="1">IFERROR(tbl_Recettes[[#This Row],[Quantité]] * IFERROR(_xlfn.XLOOKUP(tbl_Recettes[[#This Row],[Cde_Ingrdt]], tbl_Stock[Cde_Ingrdt], tbl_Stock[CMP effectif]),0),0)</f>
        <v>15</v>
      </c>
    </row>
    <row r="698" spans="1:7" x14ac:dyDescent="0.25">
      <c r="A698" t="s">
        <v>878</v>
      </c>
      <c r="B698" t="s">
        <v>879</v>
      </c>
      <c r="C698" t="s">
        <v>880</v>
      </c>
      <c r="D698" t="s">
        <v>881</v>
      </c>
      <c r="E698">
        <v>1</v>
      </c>
      <c r="F698" t="s">
        <v>206</v>
      </c>
      <c r="G698">
        <f ca="1">IFERROR(tbl_Recettes[[#This Row],[Quantité]] * IFERROR(_xlfn.XLOOKUP(tbl_Recettes[[#This Row],[Cde_Ingrdt]], tbl_Stock[Cde_Ingrdt], tbl_Stock[CMP effectif]),0),0)</f>
        <v>12</v>
      </c>
    </row>
    <row r="699" spans="1:7" x14ac:dyDescent="0.25">
      <c r="A699" t="s">
        <v>878</v>
      </c>
      <c r="B699" t="s">
        <v>879</v>
      </c>
      <c r="C699" t="s">
        <v>874</v>
      </c>
      <c r="D699" t="s">
        <v>875</v>
      </c>
      <c r="E699">
        <v>20</v>
      </c>
      <c r="F699" t="s">
        <v>221</v>
      </c>
      <c r="G699">
        <f ca="1">IFERROR(tbl_Recettes[[#This Row],[Quantité]] * IFERROR(_xlfn.XLOOKUP(tbl_Recettes[[#This Row],[Cde_Ingrdt]], tbl_Stock[Cde_Ingrdt], tbl_Stock[CMP effectif]),0),0)</f>
        <v>3</v>
      </c>
    </row>
    <row r="700" spans="1:7" x14ac:dyDescent="0.25">
      <c r="A700" t="s">
        <v>882</v>
      </c>
      <c r="B700" t="s">
        <v>883</v>
      </c>
      <c r="C700" t="s">
        <v>862</v>
      </c>
      <c r="D700" t="s">
        <v>863</v>
      </c>
      <c r="E700">
        <v>1</v>
      </c>
      <c r="F700" t="s">
        <v>206</v>
      </c>
      <c r="G700">
        <f ca="1">IFERROR(tbl_Recettes[[#This Row],[Quantité]] * IFERROR(_xlfn.XLOOKUP(tbl_Recettes[[#This Row],[Cde_Ingrdt]], tbl_Stock[Cde_Ingrdt], tbl_Stock[CMP effectif]),0),0)</f>
        <v>15</v>
      </c>
    </row>
    <row r="701" spans="1:7" x14ac:dyDescent="0.25">
      <c r="A701" t="s">
        <v>882</v>
      </c>
      <c r="B701" t="s">
        <v>883</v>
      </c>
      <c r="C701" t="s">
        <v>864</v>
      </c>
      <c r="D701" t="s">
        <v>865</v>
      </c>
      <c r="E701">
        <v>30</v>
      </c>
      <c r="F701" t="s">
        <v>209</v>
      </c>
      <c r="G701">
        <f ca="1">IFERROR(tbl_Recettes[[#This Row],[Quantité]] * IFERROR(_xlfn.XLOOKUP(tbl_Recettes[[#This Row],[Cde_Ingrdt]], tbl_Stock[Cde_Ingrdt], tbl_Stock[CMP effectif]),0),0)</f>
        <v>3.75</v>
      </c>
    </row>
    <row r="702" spans="1:7" x14ac:dyDescent="0.25">
      <c r="A702" t="s">
        <v>882</v>
      </c>
      <c r="B702" t="s">
        <v>883</v>
      </c>
      <c r="C702" t="s">
        <v>876</v>
      </c>
      <c r="D702" t="s">
        <v>877</v>
      </c>
      <c r="E702">
        <v>80</v>
      </c>
      <c r="F702" t="s">
        <v>209</v>
      </c>
      <c r="G702">
        <f ca="1">IFERROR(tbl_Recettes[[#This Row],[Quantité]] * IFERROR(_xlfn.XLOOKUP(tbl_Recettes[[#This Row],[Cde_Ingrdt]], tbl_Stock[Cde_Ingrdt], tbl_Stock[CMP effectif]),0),0)</f>
        <v>0.8</v>
      </c>
    </row>
    <row r="703" spans="1:7" x14ac:dyDescent="0.25">
      <c r="A703" t="s">
        <v>884</v>
      </c>
      <c r="B703" t="s">
        <v>885</v>
      </c>
      <c r="C703" t="s">
        <v>862</v>
      </c>
      <c r="D703" t="s">
        <v>863</v>
      </c>
      <c r="E703">
        <v>1</v>
      </c>
      <c r="F703" t="s">
        <v>206</v>
      </c>
      <c r="G703">
        <f ca="1">IFERROR(tbl_Recettes[[#This Row],[Quantité]] * IFERROR(_xlfn.XLOOKUP(tbl_Recettes[[#This Row],[Cde_Ingrdt]], tbl_Stock[Cde_Ingrdt], tbl_Stock[CMP effectif]),0),0)</f>
        <v>15</v>
      </c>
    </row>
    <row r="704" spans="1:7" x14ac:dyDescent="0.25">
      <c r="A704" t="s">
        <v>884</v>
      </c>
      <c r="B704" t="s">
        <v>885</v>
      </c>
      <c r="C704" t="s">
        <v>864</v>
      </c>
      <c r="D704" t="s">
        <v>865</v>
      </c>
      <c r="E704">
        <v>35</v>
      </c>
      <c r="F704" t="s">
        <v>209</v>
      </c>
      <c r="G704">
        <f ca="1">IFERROR(tbl_Recettes[[#This Row],[Quantité]] * IFERROR(_xlfn.XLOOKUP(tbl_Recettes[[#This Row],[Cde_Ingrdt]], tbl_Stock[Cde_Ingrdt], tbl_Stock[CMP effectif]),0),0)</f>
        <v>4.375</v>
      </c>
    </row>
    <row r="705" spans="1:7" x14ac:dyDescent="0.25">
      <c r="A705" t="s">
        <v>886</v>
      </c>
      <c r="B705" t="s">
        <v>887</v>
      </c>
      <c r="C705" t="s">
        <v>862</v>
      </c>
      <c r="D705" t="s">
        <v>863</v>
      </c>
      <c r="E705">
        <v>1</v>
      </c>
      <c r="F705" t="s">
        <v>206</v>
      </c>
      <c r="G705">
        <f ca="1">IFERROR(tbl_Recettes[[#This Row],[Quantité]] * IFERROR(_xlfn.XLOOKUP(tbl_Recettes[[#This Row],[Cde_Ingrdt]], tbl_Stock[Cde_Ingrdt], tbl_Stock[CMP effectif]),0),0)</f>
        <v>15</v>
      </c>
    </row>
    <row r="706" spans="1:7" x14ac:dyDescent="0.25">
      <c r="A706" t="s">
        <v>886</v>
      </c>
      <c r="B706" t="s">
        <v>887</v>
      </c>
      <c r="C706" t="s">
        <v>281</v>
      </c>
      <c r="D706" t="s">
        <v>282</v>
      </c>
      <c r="E706">
        <v>30</v>
      </c>
      <c r="F706" t="s">
        <v>209</v>
      </c>
      <c r="G706">
        <f ca="1">IFERROR(tbl_Recettes[[#This Row],[Quantité]] * IFERROR(_xlfn.XLOOKUP(tbl_Recettes[[#This Row],[Cde_Ingrdt]], tbl_Stock[Cde_Ingrdt], tbl_Stock[CMP effectif]),0),0)</f>
        <v>18</v>
      </c>
    </row>
    <row r="707" spans="1:7" x14ac:dyDescent="0.25">
      <c r="A707" t="s">
        <v>888</v>
      </c>
      <c r="B707" t="s">
        <v>889</v>
      </c>
      <c r="C707" t="s">
        <v>862</v>
      </c>
      <c r="D707" t="s">
        <v>863</v>
      </c>
      <c r="E707">
        <v>1</v>
      </c>
      <c r="F707" t="s">
        <v>206</v>
      </c>
      <c r="G707">
        <f ca="1">IFERROR(tbl_Recettes[[#This Row],[Quantité]] * IFERROR(_xlfn.XLOOKUP(tbl_Recettes[[#This Row],[Cde_Ingrdt]], tbl_Stock[Cde_Ingrdt], tbl_Stock[CMP effectif]),0),0)</f>
        <v>15</v>
      </c>
    </row>
    <row r="708" spans="1:7" x14ac:dyDescent="0.25">
      <c r="A708" t="s">
        <v>888</v>
      </c>
      <c r="B708" t="s">
        <v>889</v>
      </c>
      <c r="C708" t="s">
        <v>890</v>
      </c>
      <c r="D708" t="s">
        <v>891</v>
      </c>
      <c r="E708">
        <v>20</v>
      </c>
      <c r="F708" t="s">
        <v>221</v>
      </c>
      <c r="G708">
        <f ca="1">IFERROR(tbl_Recettes[[#This Row],[Quantité]] * IFERROR(_xlfn.XLOOKUP(tbl_Recettes[[#This Row],[Cde_Ingrdt]], tbl_Stock[Cde_Ingrdt], tbl_Stock[CMP effectif]),0),0)</f>
        <v>3</v>
      </c>
    </row>
    <row r="709" spans="1:7" x14ac:dyDescent="0.25">
      <c r="A709" t="s">
        <v>888</v>
      </c>
      <c r="B709" t="s">
        <v>889</v>
      </c>
      <c r="C709" t="s">
        <v>892</v>
      </c>
      <c r="D709" t="s">
        <v>893</v>
      </c>
      <c r="E709">
        <v>5</v>
      </c>
      <c r="F709" t="s">
        <v>209</v>
      </c>
      <c r="G709">
        <f ca="1">IFERROR(tbl_Recettes[[#This Row],[Quantité]] * IFERROR(_xlfn.XLOOKUP(tbl_Recettes[[#This Row],[Cde_Ingrdt]], tbl_Stock[Cde_Ingrdt], tbl_Stock[CMP effectif]),0),0)</f>
        <v>3.5000000000000003E-2</v>
      </c>
    </row>
    <row r="710" spans="1:7" x14ac:dyDescent="0.25">
      <c r="A710" t="s">
        <v>894</v>
      </c>
      <c r="B710" t="s">
        <v>895</v>
      </c>
      <c r="C710" t="s">
        <v>896</v>
      </c>
      <c r="D710" t="s">
        <v>897</v>
      </c>
      <c r="E710">
        <v>1</v>
      </c>
      <c r="F710" t="s">
        <v>206</v>
      </c>
      <c r="G710">
        <f ca="1">IFERROR(tbl_Recettes[[#This Row],[Quantité]] * IFERROR(_xlfn.XLOOKUP(tbl_Recettes[[#This Row],[Cde_Ingrdt]], tbl_Stock[Cde_Ingrdt], tbl_Stock[CMP effectif]),0),0)</f>
        <v>15</v>
      </c>
    </row>
    <row r="711" spans="1:7" x14ac:dyDescent="0.25">
      <c r="A711" t="s">
        <v>898</v>
      </c>
      <c r="B711" t="s">
        <v>899</v>
      </c>
      <c r="C711" t="s">
        <v>900</v>
      </c>
      <c r="D711" t="s">
        <v>898</v>
      </c>
      <c r="E711">
        <v>1</v>
      </c>
      <c r="F711" t="s">
        <v>206</v>
      </c>
      <c r="G711">
        <f ca="1">IFERROR(tbl_Recettes[[#This Row],[Quantité]] * IFERROR(_xlfn.XLOOKUP(tbl_Recettes[[#This Row],[Cde_Ingrdt]], tbl_Stock[Cde_Ingrdt], tbl_Stock[CMP effectif]),0),0)</f>
        <v>15</v>
      </c>
    </row>
    <row r="712" spans="1:7" x14ac:dyDescent="0.25">
      <c r="A712" t="s">
        <v>901</v>
      </c>
      <c r="B712" t="s">
        <v>902</v>
      </c>
      <c r="C712" t="s">
        <v>903</v>
      </c>
      <c r="D712" t="s">
        <v>901</v>
      </c>
      <c r="E712">
        <v>1</v>
      </c>
      <c r="F712" t="s">
        <v>206</v>
      </c>
      <c r="G712">
        <f ca="1">IFERROR(tbl_Recettes[[#This Row],[Quantité]] * IFERROR(_xlfn.XLOOKUP(tbl_Recettes[[#This Row],[Cde_Ingrdt]], tbl_Stock[Cde_Ingrdt], tbl_Stock[CMP effectif]),0),0)</f>
        <v>16</v>
      </c>
    </row>
    <row r="713" spans="1:7" x14ac:dyDescent="0.25">
      <c r="A713" t="s">
        <v>904</v>
      </c>
      <c r="B713" t="s">
        <v>905</v>
      </c>
      <c r="C713" t="s">
        <v>906</v>
      </c>
      <c r="D713" t="s">
        <v>907</v>
      </c>
      <c r="E713">
        <v>1</v>
      </c>
      <c r="F713" t="s">
        <v>206</v>
      </c>
      <c r="G713">
        <f ca="1">IFERROR(tbl_Recettes[[#This Row],[Quantité]] * IFERROR(_xlfn.XLOOKUP(tbl_Recettes[[#This Row],[Cde_Ingrdt]], tbl_Stock[Cde_Ingrdt], tbl_Stock[CMP effectif]),0),0)</f>
        <v>16</v>
      </c>
    </row>
    <row r="714" spans="1:7" x14ac:dyDescent="0.25">
      <c r="A714" t="s">
        <v>908</v>
      </c>
      <c r="B714" t="s">
        <v>909</v>
      </c>
      <c r="C714" t="s">
        <v>910</v>
      </c>
      <c r="D714" t="s">
        <v>908</v>
      </c>
      <c r="E714">
        <v>1</v>
      </c>
      <c r="F714" t="s">
        <v>206</v>
      </c>
      <c r="G714">
        <f ca="1">IFERROR(tbl_Recettes[[#This Row],[Quantité]] * IFERROR(_xlfn.XLOOKUP(tbl_Recettes[[#This Row],[Cde_Ingrdt]], tbl_Stock[Cde_Ingrdt], tbl_Stock[CMP effectif]),0),0)</f>
        <v>15</v>
      </c>
    </row>
    <row r="715" spans="1:7" x14ac:dyDescent="0.25">
      <c r="A715" t="s">
        <v>911</v>
      </c>
      <c r="B715" t="s">
        <v>912</v>
      </c>
      <c r="C715" t="s">
        <v>913</v>
      </c>
      <c r="D715" t="s">
        <v>911</v>
      </c>
      <c r="E715">
        <v>1</v>
      </c>
      <c r="F715" t="s">
        <v>206</v>
      </c>
      <c r="G715">
        <f ca="1">IFERROR(tbl_Recettes[[#This Row],[Quantité]] * IFERROR(_xlfn.XLOOKUP(tbl_Recettes[[#This Row],[Cde_Ingrdt]], tbl_Stock[Cde_Ingrdt], tbl_Stock[CMP effectif]),0),0)</f>
        <v>15</v>
      </c>
    </row>
    <row r="716" spans="1:7" x14ac:dyDescent="0.25">
      <c r="A716" t="s">
        <v>914</v>
      </c>
      <c r="B716" t="s">
        <v>915</v>
      </c>
      <c r="C716" t="s">
        <v>916</v>
      </c>
      <c r="D716" t="s">
        <v>917</v>
      </c>
      <c r="E716">
        <v>1</v>
      </c>
      <c r="F716" t="s">
        <v>206</v>
      </c>
      <c r="G716">
        <f ca="1">IFERROR(tbl_Recettes[[#This Row],[Quantité]] * IFERROR(_xlfn.XLOOKUP(tbl_Recettes[[#This Row],[Cde_Ingrdt]], tbl_Stock[Cde_Ingrdt], tbl_Stock[CMP effectif]),0),0)</f>
        <v>7</v>
      </c>
    </row>
    <row r="717" spans="1:7" x14ac:dyDescent="0.25">
      <c r="A717" t="s">
        <v>914</v>
      </c>
      <c r="B717" t="s">
        <v>915</v>
      </c>
      <c r="C717" t="s">
        <v>97</v>
      </c>
      <c r="D717" t="s">
        <v>918</v>
      </c>
      <c r="E717">
        <v>80</v>
      </c>
      <c r="F717" t="s">
        <v>209</v>
      </c>
      <c r="G717">
        <f ca="1">IFERROR(tbl_Recettes[[#This Row],[Quantité]] * IFERROR(_xlfn.XLOOKUP(tbl_Recettes[[#This Row],[Cde_Ingrdt]], tbl_Stock[Cde_Ingrdt], tbl_Stock[CMP effectif]),0),0)</f>
        <v>13.200000000000001</v>
      </c>
    </row>
    <row r="718" spans="1:7" x14ac:dyDescent="0.25">
      <c r="A718" t="s">
        <v>914</v>
      </c>
      <c r="B718" t="s">
        <v>915</v>
      </c>
      <c r="C718" t="s">
        <v>210</v>
      </c>
      <c r="D718" t="s">
        <v>211</v>
      </c>
      <c r="E718">
        <v>1</v>
      </c>
      <c r="F718" t="s">
        <v>206</v>
      </c>
      <c r="G718">
        <f ca="1">IFERROR(tbl_Recettes[[#This Row],[Quantité]] * IFERROR(_xlfn.XLOOKUP(tbl_Recettes[[#This Row],[Cde_Ingrdt]], tbl_Stock[Cde_Ingrdt], tbl_Stock[CMP effectif]),0),0)</f>
        <v>0.9</v>
      </c>
    </row>
    <row r="719" spans="1:7" x14ac:dyDescent="0.25">
      <c r="A719" t="s">
        <v>919</v>
      </c>
      <c r="B719" t="s">
        <v>920</v>
      </c>
      <c r="C719" t="s">
        <v>916</v>
      </c>
      <c r="D719" t="s">
        <v>917</v>
      </c>
      <c r="E719">
        <v>1</v>
      </c>
      <c r="F719" t="s">
        <v>206</v>
      </c>
      <c r="G719">
        <f ca="1">IFERROR(tbl_Recettes[[#This Row],[Quantité]] * IFERROR(_xlfn.XLOOKUP(tbl_Recettes[[#This Row],[Cde_Ingrdt]], tbl_Stock[Cde_Ingrdt], tbl_Stock[CMP effectif]),0),0)</f>
        <v>7</v>
      </c>
    </row>
    <row r="720" spans="1:7" x14ac:dyDescent="0.25">
      <c r="A720" t="s">
        <v>919</v>
      </c>
      <c r="B720" t="s">
        <v>920</v>
      </c>
      <c r="C720" t="s">
        <v>293</v>
      </c>
      <c r="D720" t="s">
        <v>294</v>
      </c>
      <c r="E720">
        <v>60</v>
      </c>
      <c r="F720" t="s">
        <v>209</v>
      </c>
      <c r="G720">
        <f ca="1">IFERROR(tbl_Recettes[[#This Row],[Quantité]] * IFERROR(_xlfn.XLOOKUP(tbl_Recettes[[#This Row],[Cde_Ingrdt]], tbl_Stock[Cde_Ingrdt], tbl_Stock[CMP effectif]),0),0)</f>
        <v>6</v>
      </c>
    </row>
    <row r="721" spans="1:7" x14ac:dyDescent="0.25">
      <c r="A721" t="s">
        <v>919</v>
      </c>
      <c r="B721" t="s">
        <v>920</v>
      </c>
      <c r="C721" t="s">
        <v>353</v>
      </c>
      <c r="D721" t="s">
        <v>354</v>
      </c>
      <c r="E721">
        <v>40</v>
      </c>
      <c r="F721" t="s">
        <v>209</v>
      </c>
      <c r="G721">
        <f ca="1">IFERROR(tbl_Recettes[[#This Row],[Quantité]] * IFERROR(_xlfn.XLOOKUP(tbl_Recettes[[#This Row],[Cde_Ingrdt]], tbl_Stock[Cde_Ingrdt], tbl_Stock[CMP effectif]),0),0)</f>
        <v>32</v>
      </c>
    </row>
    <row r="722" spans="1:7" x14ac:dyDescent="0.25">
      <c r="A722" t="s">
        <v>919</v>
      </c>
      <c r="B722" t="s">
        <v>920</v>
      </c>
      <c r="C722" t="s">
        <v>504</v>
      </c>
      <c r="D722" t="s">
        <v>505</v>
      </c>
      <c r="E722">
        <v>40</v>
      </c>
      <c r="F722" t="s">
        <v>209</v>
      </c>
      <c r="G722">
        <f ca="1">IFERROR(tbl_Recettes[[#This Row],[Quantité]] * IFERROR(_xlfn.XLOOKUP(tbl_Recettes[[#This Row],[Cde_Ingrdt]], tbl_Stock[Cde_Ingrdt], tbl_Stock[CMP effectif]),0),0)</f>
        <v>6</v>
      </c>
    </row>
    <row r="723" spans="1:7" x14ac:dyDescent="0.25">
      <c r="A723" t="s">
        <v>919</v>
      </c>
      <c r="B723" t="s">
        <v>920</v>
      </c>
      <c r="C723" t="s">
        <v>921</v>
      </c>
      <c r="D723" t="s">
        <v>922</v>
      </c>
      <c r="E723">
        <v>40</v>
      </c>
      <c r="F723" t="s">
        <v>209</v>
      </c>
      <c r="G723">
        <f ca="1">IFERROR(tbl_Recettes[[#This Row],[Quantité]] * IFERROR(_xlfn.XLOOKUP(tbl_Recettes[[#This Row],[Cde_Ingrdt]], tbl_Stock[Cde_Ingrdt], tbl_Stock[CMP effectif]),0),0)</f>
        <v>2</v>
      </c>
    </row>
    <row r="724" spans="1:7" x14ac:dyDescent="0.25">
      <c r="A724" t="s">
        <v>923</v>
      </c>
      <c r="B724" t="s">
        <v>924</v>
      </c>
      <c r="C724" t="s">
        <v>916</v>
      </c>
      <c r="D724" t="s">
        <v>917</v>
      </c>
      <c r="E724">
        <v>1</v>
      </c>
      <c r="F724" t="s">
        <v>206</v>
      </c>
      <c r="G724">
        <f ca="1">IFERROR(tbl_Recettes[[#This Row],[Quantité]] * IFERROR(_xlfn.XLOOKUP(tbl_Recettes[[#This Row],[Cde_Ingrdt]], tbl_Stock[Cde_Ingrdt], tbl_Stock[CMP effectif]),0),0)</f>
        <v>7</v>
      </c>
    </row>
    <row r="725" spans="1:7" x14ac:dyDescent="0.25">
      <c r="A725" t="s">
        <v>923</v>
      </c>
      <c r="B725" t="s">
        <v>924</v>
      </c>
      <c r="C725" t="s">
        <v>476</v>
      </c>
      <c r="D725" t="s">
        <v>477</v>
      </c>
      <c r="E725">
        <v>80</v>
      </c>
      <c r="F725" t="s">
        <v>209</v>
      </c>
      <c r="G725">
        <f ca="1">IFERROR(tbl_Recettes[[#This Row],[Quantité]] * IFERROR(_xlfn.XLOOKUP(tbl_Recettes[[#This Row],[Cde_Ingrdt]], tbl_Stock[Cde_Ingrdt], tbl_Stock[CMP effectif]),0),0)</f>
        <v>6.4</v>
      </c>
    </row>
    <row r="726" spans="1:7" x14ac:dyDescent="0.25">
      <c r="A726" t="s">
        <v>923</v>
      </c>
      <c r="B726" t="s">
        <v>924</v>
      </c>
      <c r="C726" t="s">
        <v>309</v>
      </c>
      <c r="D726" t="s">
        <v>310</v>
      </c>
      <c r="E726">
        <v>30</v>
      </c>
      <c r="F726" t="s">
        <v>209</v>
      </c>
      <c r="G726">
        <f ca="1">IFERROR(tbl_Recettes[[#This Row],[Quantité]] * IFERROR(_xlfn.XLOOKUP(tbl_Recettes[[#This Row],[Cde_Ingrdt]], tbl_Stock[Cde_Ingrdt], tbl_Stock[CMP effectif]),0),0)</f>
        <v>0.3</v>
      </c>
    </row>
    <row r="727" spans="1:7" x14ac:dyDescent="0.25">
      <c r="A727" t="s">
        <v>923</v>
      </c>
      <c r="B727" t="s">
        <v>924</v>
      </c>
      <c r="C727" t="s">
        <v>307</v>
      </c>
      <c r="D727" t="s">
        <v>308</v>
      </c>
      <c r="E727">
        <v>40</v>
      </c>
      <c r="F727" t="s">
        <v>209</v>
      </c>
      <c r="G727">
        <f ca="1">IFERROR(tbl_Recettes[[#This Row],[Quantité]] * IFERROR(_xlfn.XLOOKUP(tbl_Recettes[[#This Row],[Cde_Ingrdt]], tbl_Stock[Cde_Ingrdt], tbl_Stock[CMP effectif]),0),0)</f>
        <v>0.4</v>
      </c>
    </row>
    <row r="728" spans="1:7" x14ac:dyDescent="0.25">
      <c r="A728" t="s">
        <v>923</v>
      </c>
      <c r="B728" t="s">
        <v>924</v>
      </c>
      <c r="C728" t="s">
        <v>303</v>
      </c>
      <c r="D728" t="s">
        <v>304</v>
      </c>
      <c r="E728">
        <v>30</v>
      </c>
      <c r="F728" t="s">
        <v>209</v>
      </c>
      <c r="G728">
        <f ca="1">IFERROR(tbl_Recettes[[#This Row],[Quantité]] * IFERROR(_xlfn.XLOOKUP(tbl_Recettes[[#This Row],[Cde_Ingrdt]], tbl_Stock[Cde_Ingrdt], tbl_Stock[CMP effectif]),0),0)</f>
        <v>4.92</v>
      </c>
    </row>
    <row r="729" spans="1:7" x14ac:dyDescent="0.25">
      <c r="A729" t="s">
        <v>925</v>
      </c>
      <c r="B729" t="s">
        <v>926</v>
      </c>
      <c r="C729" t="s">
        <v>916</v>
      </c>
      <c r="D729" t="s">
        <v>917</v>
      </c>
      <c r="E729">
        <v>1</v>
      </c>
      <c r="F729" t="s">
        <v>206</v>
      </c>
      <c r="G729">
        <f ca="1">IFERROR(tbl_Recettes[[#This Row],[Quantité]] * IFERROR(_xlfn.XLOOKUP(tbl_Recettes[[#This Row],[Cde_Ingrdt]], tbl_Stock[Cde_Ingrdt], tbl_Stock[CMP effectif]),0),0)</f>
        <v>7</v>
      </c>
    </row>
    <row r="730" spans="1:7" x14ac:dyDescent="0.25">
      <c r="A730" t="s">
        <v>925</v>
      </c>
      <c r="B730" t="s">
        <v>926</v>
      </c>
      <c r="C730" t="s">
        <v>728</v>
      </c>
      <c r="D730" t="s">
        <v>729</v>
      </c>
      <c r="E730">
        <v>80</v>
      </c>
      <c r="F730" t="s">
        <v>209</v>
      </c>
      <c r="G730">
        <f ca="1">IFERROR(tbl_Recettes[[#This Row],[Quantité]] * IFERROR(_xlfn.XLOOKUP(tbl_Recettes[[#This Row],[Cde_Ingrdt]], tbl_Stock[Cde_Ingrdt], tbl_Stock[CMP effectif]),0),0)</f>
        <v>4.8</v>
      </c>
    </row>
    <row r="731" spans="1:7" x14ac:dyDescent="0.25">
      <c r="A731" t="s">
        <v>925</v>
      </c>
      <c r="B731" t="s">
        <v>926</v>
      </c>
      <c r="C731" t="s">
        <v>311</v>
      </c>
      <c r="D731" t="s">
        <v>312</v>
      </c>
      <c r="E731">
        <v>0.3</v>
      </c>
      <c r="F731" t="s">
        <v>206</v>
      </c>
      <c r="G731">
        <f ca="1">IFERROR(tbl_Recettes[[#This Row],[Quantité]] * IFERROR(_xlfn.XLOOKUP(tbl_Recettes[[#This Row],[Cde_Ingrdt]], tbl_Stock[Cde_Ingrdt], tbl_Stock[CMP effectif]),0),0)</f>
        <v>6</v>
      </c>
    </row>
    <row r="732" spans="1:7" x14ac:dyDescent="0.25">
      <c r="A732" t="s">
        <v>925</v>
      </c>
      <c r="B732" t="s">
        <v>926</v>
      </c>
      <c r="C732" t="s">
        <v>921</v>
      </c>
      <c r="D732" t="s">
        <v>922</v>
      </c>
      <c r="E732">
        <v>40</v>
      </c>
      <c r="F732" t="s">
        <v>209</v>
      </c>
      <c r="G732">
        <f ca="1">IFERROR(tbl_Recettes[[#This Row],[Quantité]] * IFERROR(_xlfn.XLOOKUP(tbl_Recettes[[#This Row],[Cde_Ingrdt]], tbl_Stock[Cde_Ingrdt], tbl_Stock[CMP effectif]),0),0)</f>
        <v>2</v>
      </c>
    </row>
    <row r="733" spans="1:7" x14ac:dyDescent="0.25">
      <c r="A733" t="s">
        <v>925</v>
      </c>
      <c r="B733" t="s">
        <v>926</v>
      </c>
      <c r="C733" t="s">
        <v>303</v>
      </c>
      <c r="D733" t="s">
        <v>304</v>
      </c>
      <c r="E733">
        <v>30</v>
      </c>
      <c r="F733" t="s">
        <v>209</v>
      </c>
      <c r="G733">
        <f ca="1">IFERROR(tbl_Recettes[[#This Row],[Quantité]] * IFERROR(_xlfn.XLOOKUP(tbl_Recettes[[#This Row],[Cde_Ingrdt]], tbl_Stock[Cde_Ingrdt], tbl_Stock[CMP effectif]),0),0)</f>
        <v>4.92</v>
      </c>
    </row>
    <row r="734" spans="1:7" x14ac:dyDescent="0.25">
      <c r="A734" t="s">
        <v>927</v>
      </c>
      <c r="B734" t="s">
        <v>928</v>
      </c>
      <c r="C734" t="s">
        <v>916</v>
      </c>
      <c r="D734" t="s">
        <v>917</v>
      </c>
      <c r="E734">
        <v>1</v>
      </c>
      <c r="F734" t="s">
        <v>206</v>
      </c>
      <c r="G734">
        <f ca="1">IFERROR(tbl_Recettes[[#This Row],[Quantité]] * IFERROR(_xlfn.XLOOKUP(tbl_Recettes[[#This Row],[Cde_Ingrdt]], tbl_Stock[Cde_Ingrdt], tbl_Stock[CMP effectif]),0),0)</f>
        <v>7</v>
      </c>
    </row>
    <row r="735" spans="1:7" x14ac:dyDescent="0.25">
      <c r="A735" t="s">
        <v>927</v>
      </c>
      <c r="B735" t="s">
        <v>928</v>
      </c>
      <c r="C735" t="s">
        <v>303</v>
      </c>
      <c r="D735" t="s">
        <v>304</v>
      </c>
      <c r="E735">
        <v>60</v>
      </c>
      <c r="F735" t="s">
        <v>209</v>
      </c>
      <c r="G735">
        <f ca="1">IFERROR(tbl_Recettes[[#This Row],[Quantité]] * IFERROR(_xlfn.XLOOKUP(tbl_Recettes[[#This Row],[Cde_Ingrdt]], tbl_Stock[Cde_Ingrdt], tbl_Stock[CMP effectif]),0),0)</f>
        <v>9.84</v>
      </c>
    </row>
    <row r="736" spans="1:7" x14ac:dyDescent="0.25">
      <c r="A736" t="s">
        <v>929</v>
      </c>
      <c r="B736" t="s">
        <v>930</v>
      </c>
      <c r="C736" t="s">
        <v>916</v>
      </c>
      <c r="D736" t="s">
        <v>917</v>
      </c>
      <c r="E736">
        <v>1</v>
      </c>
      <c r="F736" t="s">
        <v>206</v>
      </c>
      <c r="G736">
        <f ca="1">IFERROR(tbl_Recettes[[#This Row],[Quantité]] * IFERROR(_xlfn.XLOOKUP(tbl_Recettes[[#This Row],[Cde_Ingrdt]], tbl_Stock[Cde_Ingrdt], tbl_Stock[CMP effectif]),0),0)</f>
        <v>7</v>
      </c>
    </row>
    <row r="737" spans="1:7" x14ac:dyDescent="0.25">
      <c r="A737" t="s">
        <v>929</v>
      </c>
      <c r="B737" t="s">
        <v>930</v>
      </c>
      <c r="C737" t="s">
        <v>102</v>
      </c>
      <c r="D737" t="s">
        <v>234</v>
      </c>
      <c r="E737">
        <v>80</v>
      </c>
      <c r="F737" t="s">
        <v>209</v>
      </c>
      <c r="G737">
        <f ca="1">IFERROR(tbl_Recettes[[#This Row],[Quantité]] * IFERROR(_xlfn.XLOOKUP(tbl_Recettes[[#This Row],[Cde_Ingrdt]], tbl_Stock[Cde_Ingrdt], tbl_Stock[CMP effectif]),0),0)</f>
        <v>14.399999999999999</v>
      </c>
    </row>
    <row r="738" spans="1:7" x14ac:dyDescent="0.25">
      <c r="A738" t="s">
        <v>929</v>
      </c>
      <c r="B738" t="s">
        <v>930</v>
      </c>
      <c r="C738" t="s">
        <v>303</v>
      </c>
      <c r="D738" t="s">
        <v>304</v>
      </c>
      <c r="E738">
        <v>30</v>
      </c>
      <c r="F738" t="s">
        <v>209</v>
      </c>
      <c r="G738">
        <f ca="1">IFERROR(tbl_Recettes[[#This Row],[Quantité]] * IFERROR(_xlfn.XLOOKUP(tbl_Recettes[[#This Row],[Cde_Ingrdt]], tbl_Stock[Cde_Ingrdt], tbl_Stock[CMP effectif]),0),0)</f>
        <v>4.92</v>
      </c>
    </row>
    <row r="739" spans="1:7" x14ac:dyDescent="0.25">
      <c r="A739" t="s">
        <v>931</v>
      </c>
      <c r="B739" t="s">
        <v>932</v>
      </c>
      <c r="C739" t="s">
        <v>916</v>
      </c>
      <c r="D739" t="s">
        <v>917</v>
      </c>
      <c r="E739">
        <v>1</v>
      </c>
      <c r="F739" t="s">
        <v>206</v>
      </c>
      <c r="G739">
        <f ca="1">IFERROR(tbl_Recettes[[#This Row],[Quantité]] * IFERROR(_xlfn.XLOOKUP(tbl_Recettes[[#This Row],[Cde_Ingrdt]], tbl_Stock[Cde_Ingrdt], tbl_Stock[CMP effectif]),0),0)</f>
        <v>7</v>
      </c>
    </row>
    <row r="740" spans="1:7" x14ac:dyDescent="0.25">
      <c r="A740" t="s">
        <v>931</v>
      </c>
      <c r="B740" t="s">
        <v>932</v>
      </c>
      <c r="C740" t="s">
        <v>864</v>
      </c>
      <c r="D740" t="s">
        <v>865</v>
      </c>
      <c r="E740">
        <v>30</v>
      </c>
      <c r="F740" t="s">
        <v>209</v>
      </c>
      <c r="G740">
        <f ca="1">IFERROR(tbl_Recettes[[#This Row],[Quantité]] * IFERROR(_xlfn.XLOOKUP(tbl_Recettes[[#This Row],[Cde_Ingrdt]], tbl_Stock[Cde_Ingrdt], tbl_Stock[CMP effectif]),0),0)</f>
        <v>3.75</v>
      </c>
    </row>
    <row r="741" spans="1:7" x14ac:dyDescent="0.25">
      <c r="A741" t="s">
        <v>931</v>
      </c>
      <c r="B741" t="s">
        <v>932</v>
      </c>
      <c r="C741" t="s">
        <v>933</v>
      </c>
      <c r="D741" t="s">
        <v>934</v>
      </c>
      <c r="E741">
        <v>1</v>
      </c>
      <c r="F741" t="s">
        <v>206</v>
      </c>
      <c r="G741">
        <f ca="1">IFERROR(tbl_Recettes[[#This Row],[Quantité]] * IFERROR(_xlfn.XLOOKUP(tbl_Recettes[[#This Row],[Cde_Ingrdt]], tbl_Stock[Cde_Ingrdt], tbl_Stock[CMP effectif]),0),0)</f>
        <v>7</v>
      </c>
    </row>
    <row r="742" spans="1:7" x14ac:dyDescent="0.25">
      <c r="A742" t="s">
        <v>931</v>
      </c>
      <c r="B742" t="s">
        <v>932</v>
      </c>
      <c r="C742" t="s">
        <v>868</v>
      </c>
      <c r="D742" t="s">
        <v>869</v>
      </c>
      <c r="E742">
        <v>1</v>
      </c>
      <c r="F742" t="s">
        <v>206</v>
      </c>
      <c r="G742">
        <f ca="1">IFERROR(tbl_Recettes[[#This Row],[Quantité]] * IFERROR(_xlfn.XLOOKUP(tbl_Recettes[[#This Row],[Cde_Ingrdt]], tbl_Stock[Cde_Ingrdt], tbl_Stock[CMP effectif]),0),0)</f>
        <v>5</v>
      </c>
    </row>
    <row r="743" spans="1:7" x14ac:dyDescent="0.25">
      <c r="A743" t="s">
        <v>931</v>
      </c>
      <c r="B743" t="s">
        <v>932</v>
      </c>
      <c r="C743" t="s">
        <v>870</v>
      </c>
      <c r="D743" t="s">
        <v>871</v>
      </c>
      <c r="E743">
        <v>30</v>
      </c>
      <c r="F743" t="s">
        <v>209</v>
      </c>
      <c r="G743">
        <f ca="1">IFERROR(tbl_Recettes[[#This Row],[Quantité]] * IFERROR(_xlfn.XLOOKUP(tbl_Recettes[[#This Row],[Cde_Ingrdt]], tbl_Stock[Cde_Ingrdt], tbl_Stock[CMP effectif]),0),0)</f>
        <v>12</v>
      </c>
    </row>
    <row r="744" spans="1:7" x14ac:dyDescent="0.25">
      <c r="A744" t="s">
        <v>935</v>
      </c>
      <c r="B744" t="s">
        <v>936</v>
      </c>
      <c r="C744" t="s">
        <v>916</v>
      </c>
      <c r="D744" t="s">
        <v>917</v>
      </c>
      <c r="E744">
        <v>1</v>
      </c>
      <c r="F744" t="s">
        <v>206</v>
      </c>
      <c r="G744">
        <f ca="1">IFERROR(tbl_Recettes[[#This Row],[Quantité]] * IFERROR(_xlfn.XLOOKUP(tbl_Recettes[[#This Row],[Cde_Ingrdt]], tbl_Stock[Cde_Ingrdt], tbl_Stock[CMP effectif]),0),0)</f>
        <v>7</v>
      </c>
    </row>
    <row r="745" spans="1:7" x14ac:dyDescent="0.25">
      <c r="A745" t="s">
        <v>935</v>
      </c>
      <c r="B745" t="s">
        <v>936</v>
      </c>
      <c r="C745" t="s">
        <v>864</v>
      </c>
      <c r="D745" t="s">
        <v>865</v>
      </c>
      <c r="E745">
        <v>25</v>
      </c>
      <c r="F745" t="s">
        <v>209</v>
      </c>
      <c r="G745">
        <f ca="1">IFERROR(tbl_Recettes[[#This Row],[Quantité]] * IFERROR(_xlfn.XLOOKUP(tbl_Recettes[[#This Row],[Cde_Ingrdt]], tbl_Stock[Cde_Ingrdt], tbl_Stock[CMP effectif]),0),0)</f>
        <v>3.125</v>
      </c>
    </row>
    <row r="746" spans="1:7" x14ac:dyDescent="0.25">
      <c r="A746" t="s">
        <v>935</v>
      </c>
      <c r="B746" t="s">
        <v>936</v>
      </c>
      <c r="C746" t="s">
        <v>874</v>
      </c>
      <c r="D746" t="s">
        <v>875</v>
      </c>
      <c r="E746">
        <v>20</v>
      </c>
      <c r="F746" t="s">
        <v>221</v>
      </c>
      <c r="G746">
        <f ca="1">IFERROR(tbl_Recettes[[#This Row],[Quantité]] * IFERROR(_xlfn.XLOOKUP(tbl_Recettes[[#This Row],[Cde_Ingrdt]], tbl_Stock[Cde_Ingrdt], tbl_Stock[CMP effectif]),0),0)</f>
        <v>3</v>
      </c>
    </row>
    <row r="747" spans="1:7" x14ac:dyDescent="0.25">
      <c r="A747" t="s">
        <v>935</v>
      </c>
      <c r="B747" t="s">
        <v>936</v>
      </c>
      <c r="C747" t="s">
        <v>328</v>
      </c>
      <c r="D747" t="s">
        <v>1264</v>
      </c>
      <c r="E747">
        <v>20</v>
      </c>
      <c r="F747" t="s">
        <v>209</v>
      </c>
      <c r="G747">
        <f ca="1">IFERROR(tbl_Recettes[[#This Row],[Quantité]] * IFERROR(_xlfn.XLOOKUP(tbl_Recettes[[#This Row],[Cde_Ingrdt]], tbl_Stock[Cde_Ingrdt], tbl_Stock[CMP effectif]),0),0)</f>
        <v>3</v>
      </c>
    </row>
    <row r="748" spans="1:7" x14ac:dyDescent="0.25">
      <c r="A748" t="s">
        <v>935</v>
      </c>
      <c r="B748" t="s">
        <v>936</v>
      </c>
      <c r="C748" t="s">
        <v>876</v>
      </c>
      <c r="D748" t="s">
        <v>877</v>
      </c>
      <c r="E748">
        <v>80</v>
      </c>
      <c r="F748" t="s">
        <v>209</v>
      </c>
      <c r="G748">
        <f ca="1">IFERROR(tbl_Recettes[[#This Row],[Quantité]] * IFERROR(_xlfn.XLOOKUP(tbl_Recettes[[#This Row],[Cde_Ingrdt]], tbl_Stock[Cde_Ingrdt], tbl_Stock[CMP effectif]),0),0)</f>
        <v>0.8</v>
      </c>
    </row>
    <row r="749" spans="1:7" x14ac:dyDescent="0.25">
      <c r="A749" t="s">
        <v>935</v>
      </c>
      <c r="B749" t="s">
        <v>936</v>
      </c>
      <c r="C749" t="s">
        <v>870</v>
      </c>
      <c r="D749" t="s">
        <v>871</v>
      </c>
      <c r="E749">
        <v>30</v>
      </c>
      <c r="F749" t="s">
        <v>209</v>
      </c>
      <c r="G749">
        <f ca="1">IFERROR(tbl_Recettes[[#This Row],[Quantité]] * IFERROR(_xlfn.XLOOKUP(tbl_Recettes[[#This Row],[Cde_Ingrdt]], tbl_Stock[Cde_Ingrdt], tbl_Stock[CMP effectif]),0),0)</f>
        <v>12</v>
      </c>
    </row>
    <row r="750" spans="1:7" x14ac:dyDescent="0.25">
      <c r="A750" t="s">
        <v>937</v>
      </c>
      <c r="B750" t="s">
        <v>938</v>
      </c>
      <c r="C750" t="s">
        <v>916</v>
      </c>
      <c r="D750" t="s">
        <v>917</v>
      </c>
      <c r="E750">
        <v>1</v>
      </c>
      <c r="F750" t="s">
        <v>206</v>
      </c>
      <c r="G750">
        <f ca="1">IFERROR(tbl_Recettes[[#This Row],[Quantité]] * IFERROR(_xlfn.XLOOKUP(tbl_Recettes[[#This Row],[Cde_Ingrdt]], tbl_Stock[Cde_Ingrdt], tbl_Stock[CMP effectif]),0),0)</f>
        <v>7</v>
      </c>
    </row>
    <row r="751" spans="1:7" x14ac:dyDescent="0.25">
      <c r="A751" t="s">
        <v>937</v>
      </c>
      <c r="B751" t="s">
        <v>938</v>
      </c>
      <c r="C751" t="s">
        <v>880</v>
      </c>
      <c r="D751" t="s">
        <v>881</v>
      </c>
      <c r="E751">
        <v>1</v>
      </c>
      <c r="F751" t="s">
        <v>206</v>
      </c>
      <c r="G751">
        <f ca="1">IFERROR(tbl_Recettes[[#This Row],[Quantité]] * IFERROR(_xlfn.XLOOKUP(tbl_Recettes[[#This Row],[Cde_Ingrdt]], tbl_Stock[Cde_Ingrdt], tbl_Stock[CMP effectif]),0),0)</f>
        <v>12</v>
      </c>
    </row>
    <row r="752" spans="1:7" x14ac:dyDescent="0.25">
      <c r="A752" t="s">
        <v>937</v>
      </c>
      <c r="B752" t="s">
        <v>938</v>
      </c>
      <c r="C752" t="s">
        <v>874</v>
      </c>
      <c r="D752" t="s">
        <v>875</v>
      </c>
      <c r="E752">
        <v>20</v>
      </c>
      <c r="F752" t="s">
        <v>221</v>
      </c>
      <c r="G752">
        <f ca="1">IFERROR(tbl_Recettes[[#This Row],[Quantité]] * IFERROR(_xlfn.XLOOKUP(tbl_Recettes[[#This Row],[Cde_Ingrdt]], tbl_Stock[Cde_Ingrdt], tbl_Stock[CMP effectif]),0),0)</f>
        <v>3</v>
      </c>
    </row>
    <row r="753" spans="1:7" x14ac:dyDescent="0.25">
      <c r="A753" t="s">
        <v>939</v>
      </c>
      <c r="B753" t="s">
        <v>940</v>
      </c>
      <c r="C753" t="s">
        <v>916</v>
      </c>
      <c r="D753" t="s">
        <v>917</v>
      </c>
      <c r="E753">
        <v>1</v>
      </c>
      <c r="F753" t="s">
        <v>206</v>
      </c>
      <c r="G753">
        <f ca="1">IFERROR(tbl_Recettes[[#This Row],[Quantité]] * IFERROR(_xlfn.XLOOKUP(tbl_Recettes[[#This Row],[Cde_Ingrdt]], tbl_Stock[Cde_Ingrdt], tbl_Stock[CMP effectif]),0),0)</f>
        <v>7</v>
      </c>
    </row>
    <row r="754" spans="1:7" x14ac:dyDescent="0.25">
      <c r="A754" t="s">
        <v>939</v>
      </c>
      <c r="B754" t="s">
        <v>940</v>
      </c>
      <c r="C754" t="s">
        <v>864</v>
      </c>
      <c r="D754" t="s">
        <v>865</v>
      </c>
      <c r="E754">
        <v>30</v>
      </c>
      <c r="F754" t="s">
        <v>209</v>
      </c>
      <c r="G754">
        <f ca="1">IFERROR(tbl_Recettes[[#This Row],[Quantité]] * IFERROR(_xlfn.XLOOKUP(tbl_Recettes[[#This Row],[Cde_Ingrdt]], tbl_Stock[Cde_Ingrdt], tbl_Stock[CMP effectif]),0),0)</f>
        <v>3.75</v>
      </c>
    </row>
    <row r="755" spans="1:7" x14ac:dyDescent="0.25">
      <c r="A755" t="s">
        <v>939</v>
      </c>
      <c r="B755" t="s">
        <v>940</v>
      </c>
      <c r="C755" t="s">
        <v>876</v>
      </c>
      <c r="D755" t="s">
        <v>877</v>
      </c>
      <c r="E755">
        <v>80</v>
      </c>
      <c r="F755" t="s">
        <v>209</v>
      </c>
      <c r="G755">
        <f ca="1">IFERROR(tbl_Recettes[[#This Row],[Quantité]] * IFERROR(_xlfn.XLOOKUP(tbl_Recettes[[#This Row],[Cde_Ingrdt]], tbl_Stock[Cde_Ingrdt], tbl_Stock[CMP effectif]),0),0)</f>
        <v>0.8</v>
      </c>
    </row>
    <row r="756" spans="1:7" x14ac:dyDescent="0.25">
      <c r="A756" t="s">
        <v>941</v>
      </c>
      <c r="B756" t="s">
        <v>942</v>
      </c>
      <c r="C756" t="s">
        <v>916</v>
      </c>
      <c r="D756" t="s">
        <v>917</v>
      </c>
      <c r="E756">
        <v>1</v>
      </c>
      <c r="F756" t="s">
        <v>206</v>
      </c>
      <c r="G756">
        <f ca="1">IFERROR(tbl_Recettes[[#This Row],[Quantité]] * IFERROR(_xlfn.XLOOKUP(tbl_Recettes[[#This Row],[Cde_Ingrdt]], tbl_Stock[Cde_Ingrdt], tbl_Stock[CMP effectif]),0),0)</f>
        <v>7</v>
      </c>
    </row>
    <row r="757" spans="1:7" x14ac:dyDescent="0.25">
      <c r="A757" t="s">
        <v>941</v>
      </c>
      <c r="B757" t="s">
        <v>942</v>
      </c>
      <c r="C757" t="s">
        <v>864</v>
      </c>
      <c r="D757" t="s">
        <v>865</v>
      </c>
      <c r="E757">
        <v>35</v>
      </c>
      <c r="F757" t="s">
        <v>209</v>
      </c>
      <c r="G757">
        <f ca="1">IFERROR(tbl_Recettes[[#This Row],[Quantité]] * IFERROR(_xlfn.XLOOKUP(tbl_Recettes[[#This Row],[Cde_Ingrdt]], tbl_Stock[Cde_Ingrdt], tbl_Stock[CMP effectif]),0),0)</f>
        <v>4.375</v>
      </c>
    </row>
    <row r="758" spans="1:7" x14ac:dyDescent="0.25">
      <c r="A758" t="s">
        <v>943</v>
      </c>
      <c r="B758" t="s">
        <v>944</v>
      </c>
      <c r="C758" t="s">
        <v>916</v>
      </c>
      <c r="D758" t="s">
        <v>917</v>
      </c>
      <c r="E758">
        <v>1</v>
      </c>
      <c r="F758" t="s">
        <v>206</v>
      </c>
      <c r="G758">
        <f ca="1">IFERROR(tbl_Recettes[[#This Row],[Quantité]] * IFERROR(_xlfn.XLOOKUP(tbl_Recettes[[#This Row],[Cde_Ingrdt]], tbl_Stock[Cde_Ingrdt], tbl_Stock[CMP effectif]),0),0)</f>
        <v>7</v>
      </c>
    </row>
    <row r="759" spans="1:7" x14ac:dyDescent="0.25">
      <c r="A759" t="s">
        <v>943</v>
      </c>
      <c r="B759" t="s">
        <v>944</v>
      </c>
      <c r="C759" t="s">
        <v>281</v>
      </c>
      <c r="D759" t="s">
        <v>282</v>
      </c>
      <c r="E759">
        <v>30</v>
      </c>
      <c r="F759" t="s">
        <v>209</v>
      </c>
      <c r="G759">
        <f ca="1">IFERROR(tbl_Recettes[[#This Row],[Quantité]] * IFERROR(_xlfn.XLOOKUP(tbl_Recettes[[#This Row],[Cde_Ingrdt]], tbl_Stock[Cde_Ingrdt], tbl_Stock[CMP effectif]),0),0)</f>
        <v>18</v>
      </c>
    </row>
    <row r="760" spans="1:7" x14ac:dyDescent="0.25">
      <c r="A760" t="s">
        <v>945</v>
      </c>
      <c r="B760" t="s">
        <v>946</v>
      </c>
      <c r="C760" t="s">
        <v>916</v>
      </c>
      <c r="D760" t="s">
        <v>917</v>
      </c>
      <c r="E760">
        <v>1</v>
      </c>
      <c r="F760" t="s">
        <v>206</v>
      </c>
      <c r="G760">
        <f ca="1">IFERROR(tbl_Recettes[[#This Row],[Quantité]] * IFERROR(_xlfn.XLOOKUP(tbl_Recettes[[#This Row],[Cde_Ingrdt]], tbl_Stock[Cde_Ingrdt], tbl_Stock[CMP effectif]),0),0)</f>
        <v>7</v>
      </c>
    </row>
    <row r="761" spans="1:7" x14ac:dyDescent="0.25">
      <c r="A761" t="s">
        <v>945</v>
      </c>
      <c r="B761" t="s">
        <v>946</v>
      </c>
      <c r="C761" t="s">
        <v>890</v>
      </c>
      <c r="D761" t="s">
        <v>891</v>
      </c>
      <c r="E761">
        <v>20</v>
      </c>
      <c r="F761" t="s">
        <v>221</v>
      </c>
      <c r="G761">
        <f ca="1">IFERROR(tbl_Recettes[[#This Row],[Quantité]] * IFERROR(_xlfn.XLOOKUP(tbl_Recettes[[#This Row],[Cde_Ingrdt]], tbl_Stock[Cde_Ingrdt], tbl_Stock[CMP effectif]),0),0)</f>
        <v>3</v>
      </c>
    </row>
    <row r="762" spans="1:7" x14ac:dyDescent="0.25">
      <c r="A762" t="s">
        <v>947</v>
      </c>
      <c r="B762" t="s">
        <v>948</v>
      </c>
      <c r="C762" t="s">
        <v>868</v>
      </c>
      <c r="D762" t="s">
        <v>869</v>
      </c>
      <c r="E762">
        <v>3</v>
      </c>
      <c r="F762" t="s">
        <v>206</v>
      </c>
      <c r="G762">
        <f ca="1">IFERROR(tbl_Recettes[[#This Row],[Quantité]] * IFERROR(_xlfn.XLOOKUP(tbl_Recettes[[#This Row],[Cde_Ingrdt]], tbl_Stock[Cde_Ingrdt], tbl_Stock[CMP effectif]),0),0)</f>
        <v>15</v>
      </c>
    </row>
    <row r="763" spans="1:7" x14ac:dyDescent="0.25">
      <c r="A763" t="s">
        <v>947</v>
      </c>
      <c r="B763" t="s">
        <v>948</v>
      </c>
      <c r="C763" t="s">
        <v>949</v>
      </c>
      <c r="D763" t="s">
        <v>950</v>
      </c>
      <c r="E763">
        <v>80</v>
      </c>
      <c r="F763" t="s">
        <v>209</v>
      </c>
      <c r="G763">
        <f ca="1">IFERROR(tbl_Recettes[[#This Row],[Quantité]] * IFERROR(_xlfn.XLOOKUP(tbl_Recettes[[#This Row],[Cde_Ingrdt]], tbl_Stock[Cde_Ingrdt], tbl_Stock[CMP effectif]),0),0)</f>
        <v>2.72</v>
      </c>
    </row>
    <row r="764" spans="1:7" x14ac:dyDescent="0.25">
      <c r="A764" t="s">
        <v>947</v>
      </c>
      <c r="B764" t="s">
        <v>948</v>
      </c>
      <c r="C764" t="s">
        <v>870</v>
      </c>
      <c r="D764" t="s">
        <v>871</v>
      </c>
      <c r="E764">
        <v>30</v>
      </c>
      <c r="F764" t="s">
        <v>209</v>
      </c>
      <c r="G764">
        <f ca="1">IFERROR(tbl_Recettes[[#This Row],[Quantité]] * IFERROR(_xlfn.XLOOKUP(tbl_Recettes[[#This Row],[Cde_Ingrdt]], tbl_Stock[Cde_Ingrdt], tbl_Stock[CMP effectif]),0),0)</f>
        <v>12</v>
      </c>
    </row>
    <row r="765" spans="1:7" x14ac:dyDescent="0.25">
      <c r="A765" t="s">
        <v>951</v>
      </c>
      <c r="B765" t="s">
        <v>952</v>
      </c>
      <c r="C765" t="s">
        <v>868</v>
      </c>
      <c r="D765" t="s">
        <v>869</v>
      </c>
      <c r="E765">
        <v>3</v>
      </c>
      <c r="F765" t="s">
        <v>206</v>
      </c>
      <c r="G765">
        <f ca="1">IFERROR(tbl_Recettes[[#This Row],[Quantité]] * IFERROR(_xlfn.XLOOKUP(tbl_Recettes[[#This Row],[Cde_Ingrdt]], tbl_Stock[Cde_Ingrdt], tbl_Stock[CMP effectif]),0),0)</f>
        <v>15</v>
      </c>
    </row>
    <row r="766" spans="1:7" x14ac:dyDescent="0.25">
      <c r="A766" t="s">
        <v>951</v>
      </c>
      <c r="B766" t="s">
        <v>952</v>
      </c>
      <c r="C766" t="s">
        <v>328</v>
      </c>
      <c r="D766" t="s">
        <v>1264</v>
      </c>
      <c r="E766">
        <v>20</v>
      </c>
      <c r="F766" t="s">
        <v>209</v>
      </c>
      <c r="G766">
        <f ca="1">IFERROR(tbl_Recettes[[#This Row],[Quantité]] * IFERROR(_xlfn.XLOOKUP(tbl_Recettes[[#This Row],[Cde_Ingrdt]], tbl_Stock[Cde_Ingrdt], tbl_Stock[CMP effectif]),0),0)</f>
        <v>3</v>
      </c>
    </row>
    <row r="767" spans="1:7" x14ac:dyDescent="0.25">
      <c r="A767" t="s">
        <v>951</v>
      </c>
      <c r="B767" t="s">
        <v>952</v>
      </c>
      <c r="C767" t="s">
        <v>876</v>
      </c>
      <c r="D767" t="s">
        <v>877</v>
      </c>
      <c r="E767">
        <v>80</v>
      </c>
      <c r="F767" t="s">
        <v>209</v>
      </c>
      <c r="G767">
        <f ca="1">IFERROR(tbl_Recettes[[#This Row],[Quantité]] * IFERROR(_xlfn.XLOOKUP(tbl_Recettes[[#This Row],[Cde_Ingrdt]], tbl_Stock[Cde_Ingrdt], tbl_Stock[CMP effectif]),0),0)</f>
        <v>0.8</v>
      </c>
    </row>
    <row r="768" spans="1:7" x14ac:dyDescent="0.25">
      <c r="A768" t="s">
        <v>951</v>
      </c>
      <c r="B768" t="s">
        <v>952</v>
      </c>
      <c r="C768" t="s">
        <v>874</v>
      </c>
      <c r="D768" t="s">
        <v>875</v>
      </c>
      <c r="E768">
        <v>20</v>
      </c>
      <c r="F768" t="s">
        <v>221</v>
      </c>
      <c r="G768">
        <f ca="1">IFERROR(tbl_Recettes[[#This Row],[Quantité]] * IFERROR(_xlfn.XLOOKUP(tbl_Recettes[[#This Row],[Cde_Ingrdt]], tbl_Stock[Cde_Ingrdt], tbl_Stock[CMP effectif]),0),0)</f>
        <v>3</v>
      </c>
    </row>
    <row r="769" spans="1:7" x14ac:dyDescent="0.25">
      <c r="A769" t="s">
        <v>951</v>
      </c>
      <c r="B769" t="s">
        <v>952</v>
      </c>
      <c r="C769" t="s">
        <v>870</v>
      </c>
      <c r="D769" t="s">
        <v>871</v>
      </c>
      <c r="E769">
        <v>30</v>
      </c>
      <c r="F769" t="s">
        <v>209</v>
      </c>
      <c r="G769">
        <f ca="1">IFERROR(tbl_Recettes[[#This Row],[Quantité]] * IFERROR(_xlfn.XLOOKUP(tbl_Recettes[[#This Row],[Cde_Ingrdt]], tbl_Stock[Cde_Ingrdt], tbl_Stock[CMP effectif]),0),0)</f>
        <v>12</v>
      </c>
    </row>
    <row r="770" spans="1:7" x14ac:dyDescent="0.25">
      <c r="A770" t="s">
        <v>953</v>
      </c>
      <c r="B770" t="s">
        <v>954</v>
      </c>
      <c r="C770" t="s">
        <v>868</v>
      </c>
      <c r="D770" t="s">
        <v>869</v>
      </c>
      <c r="E770">
        <v>3</v>
      </c>
      <c r="F770" t="s">
        <v>206</v>
      </c>
      <c r="G770">
        <f ca="1">IFERROR(tbl_Recettes[[#This Row],[Quantité]] * IFERROR(_xlfn.XLOOKUP(tbl_Recettes[[#This Row],[Cde_Ingrdt]], tbl_Stock[Cde_Ingrdt], tbl_Stock[CMP effectif]),0),0)</f>
        <v>15</v>
      </c>
    </row>
    <row r="771" spans="1:7" x14ac:dyDescent="0.25">
      <c r="A771" t="s">
        <v>953</v>
      </c>
      <c r="B771" t="s">
        <v>954</v>
      </c>
      <c r="C771" t="s">
        <v>890</v>
      </c>
      <c r="D771" t="s">
        <v>891</v>
      </c>
      <c r="E771">
        <v>30</v>
      </c>
      <c r="F771" t="s">
        <v>221</v>
      </c>
      <c r="G771">
        <f ca="1">IFERROR(tbl_Recettes[[#This Row],[Quantité]] * IFERROR(_xlfn.XLOOKUP(tbl_Recettes[[#This Row],[Cde_Ingrdt]], tbl_Stock[Cde_Ingrdt], tbl_Stock[CMP effectif]),0),0)</f>
        <v>4.5</v>
      </c>
    </row>
    <row r="772" spans="1:7" x14ac:dyDescent="0.25">
      <c r="A772" t="s">
        <v>953</v>
      </c>
      <c r="B772" t="s">
        <v>954</v>
      </c>
      <c r="C772" t="s">
        <v>870</v>
      </c>
      <c r="D772" t="s">
        <v>871</v>
      </c>
      <c r="E772">
        <v>30</v>
      </c>
      <c r="F772" t="s">
        <v>209</v>
      </c>
      <c r="G772">
        <f ca="1">IFERROR(tbl_Recettes[[#This Row],[Quantité]] * IFERROR(_xlfn.XLOOKUP(tbl_Recettes[[#This Row],[Cde_Ingrdt]], tbl_Stock[Cde_Ingrdt], tbl_Stock[CMP effectif]),0),0)</f>
        <v>12</v>
      </c>
    </row>
    <row r="773" spans="1:7" x14ac:dyDescent="0.25">
      <c r="A773" t="s">
        <v>955</v>
      </c>
      <c r="B773" t="s">
        <v>910</v>
      </c>
      <c r="C773" t="s">
        <v>868</v>
      </c>
      <c r="D773" t="s">
        <v>869</v>
      </c>
      <c r="E773">
        <v>3</v>
      </c>
      <c r="F773" t="s">
        <v>206</v>
      </c>
      <c r="G773">
        <f ca="1">IFERROR(tbl_Recettes[[#This Row],[Quantité]] * IFERROR(_xlfn.XLOOKUP(tbl_Recettes[[#This Row],[Cde_Ingrdt]], tbl_Stock[Cde_Ingrdt], tbl_Stock[CMP effectif]),0),0)</f>
        <v>15</v>
      </c>
    </row>
    <row r="774" spans="1:7" x14ac:dyDescent="0.25">
      <c r="A774" t="s">
        <v>955</v>
      </c>
      <c r="B774" t="s">
        <v>910</v>
      </c>
      <c r="C774" t="s">
        <v>876</v>
      </c>
      <c r="D774" t="s">
        <v>877</v>
      </c>
      <c r="E774">
        <v>80</v>
      </c>
      <c r="F774" t="s">
        <v>209</v>
      </c>
      <c r="G774">
        <f ca="1">IFERROR(tbl_Recettes[[#This Row],[Quantité]] * IFERROR(_xlfn.XLOOKUP(tbl_Recettes[[#This Row],[Cde_Ingrdt]], tbl_Stock[Cde_Ingrdt], tbl_Stock[CMP effectif]),0),0)</f>
        <v>0.8</v>
      </c>
    </row>
    <row r="775" spans="1:7" x14ac:dyDescent="0.25">
      <c r="A775" t="s">
        <v>955</v>
      </c>
      <c r="B775" t="s">
        <v>910</v>
      </c>
      <c r="C775" t="s">
        <v>890</v>
      </c>
      <c r="D775" t="s">
        <v>891</v>
      </c>
      <c r="E775">
        <v>20</v>
      </c>
      <c r="F775" t="s">
        <v>221</v>
      </c>
      <c r="G775">
        <f ca="1">IFERROR(tbl_Recettes[[#This Row],[Quantité]] * IFERROR(_xlfn.XLOOKUP(tbl_Recettes[[#This Row],[Cde_Ingrdt]], tbl_Stock[Cde_Ingrdt], tbl_Stock[CMP effectif]),0),0)</f>
        <v>3</v>
      </c>
    </row>
    <row r="776" spans="1:7" x14ac:dyDescent="0.25">
      <c r="A776" t="s">
        <v>955</v>
      </c>
      <c r="B776" t="s">
        <v>910</v>
      </c>
      <c r="C776" t="s">
        <v>870</v>
      </c>
      <c r="D776" t="s">
        <v>871</v>
      </c>
      <c r="E776">
        <v>30</v>
      </c>
      <c r="F776" t="s">
        <v>209</v>
      </c>
      <c r="G776">
        <f ca="1">IFERROR(tbl_Recettes[[#This Row],[Quantité]] * IFERROR(_xlfn.XLOOKUP(tbl_Recettes[[#This Row],[Cde_Ingrdt]], tbl_Stock[Cde_Ingrdt], tbl_Stock[CMP effectif]),0),0)</f>
        <v>12</v>
      </c>
    </row>
    <row r="777" spans="1:7" x14ac:dyDescent="0.25">
      <c r="A777" t="s">
        <v>956</v>
      </c>
      <c r="B777" t="s">
        <v>906</v>
      </c>
      <c r="C777" t="s">
        <v>868</v>
      </c>
      <c r="D777" t="s">
        <v>869</v>
      </c>
      <c r="E777">
        <v>2</v>
      </c>
      <c r="F777" t="s">
        <v>206</v>
      </c>
      <c r="G777">
        <f ca="1">IFERROR(tbl_Recettes[[#This Row],[Quantité]] * IFERROR(_xlfn.XLOOKUP(tbl_Recettes[[#This Row],[Cde_Ingrdt]], tbl_Stock[Cde_Ingrdt], tbl_Stock[CMP effectif]),0),0)</f>
        <v>10</v>
      </c>
    </row>
    <row r="778" spans="1:7" x14ac:dyDescent="0.25">
      <c r="A778" t="s">
        <v>956</v>
      </c>
      <c r="B778" t="s">
        <v>906</v>
      </c>
      <c r="C778" t="s">
        <v>870</v>
      </c>
      <c r="D778" t="s">
        <v>871</v>
      </c>
      <c r="E778">
        <v>20</v>
      </c>
      <c r="F778" t="s">
        <v>209</v>
      </c>
      <c r="G778">
        <f ca="1">IFERROR(tbl_Recettes[[#This Row],[Quantité]] * IFERROR(_xlfn.XLOOKUP(tbl_Recettes[[#This Row],[Cde_Ingrdt]], tbl_Stock[Cde_Ingrdt], tbl_Stock[CMP effectif]),0),0)</f>
        <v>8</v>
      </c>
    </row>
    <row r="779" spans="1:7" x14ac:dyDescent="0.25">
      <c r="A779" t="s">
        <v>957</v>
      </c>
      <c r="B779" t="s">
        <v>896</v>
      </c>
      <c r="C779" t="s">
        <v>868</v>
      </c>
      <c r="D779" t="s">
        <v>869</v>
      </c>
      <c r="E779">
        <v>1</v>
      </c>
      <c r="F779" t="s">
        <v>206</v>
      </c>
      <c r="G779">
        <f ca="1">IFERROR(tbl_Recettes[[#This Row],[Quantité]] * IFERROR(_xlfn.XLOOKUP(tbl_Recettes[[#This Row],[Cde_Ingrdt]], tbl_Stock[Cde_Ingrdt], tbl_Stock[CMP effectif]),0),0)</f>
        <v>5</v>
      </c>
    </row>
    <row r="780" spans="1:7" x14ac:dyDescent="0.25">
      <c r="A780" t="s">
        <v>958</v>
      </c>
      <c r="B780" t="s">
        <v>900</v>
      </c>
      <c r="C780" t="s">
        <v>959</v>
      </c>
      <c r="D780" t="s">
        <v>960</v>
      </c>
      <c r="E780">
        <v>10</v>
      </c>
      <c r="F780" t="s">
        <v>206</v>
      </c>
      <c r="G780">
        <f ca="1">IFERROR(tbl_Recettes[[#This Row],[Quantité]] * IFERROR(_xlfn.XLOOKUP(tbl_Recettes[[#This Row],[Cde_Ingrdt]], tbl_Stock[Cde_Ingrdt], tbl_Stock[CMP effectif]),0),0)</f>
        <v>5</v>
      </c>
    </row>
    <row r="781" spans="1:7" x14ac:dyDescent="0.25">
      <c r="A781" t="s">
        <v>958</v>
      </c>
      <c r="B781" t="s">
        <v>900</v>
      </c>
      <c r="C781" t="s">
        <v>830</v>
      </c>
      <c r="D781" t="s">
        <v>831</v>
      </c>
      <c r="E781">
        <v>60</v>
      </c>
      <c r="F781" t="s">
        <v>209</v>
      </c>
      <c r="G781">
        <f ca="1">IFERROR(tbl_Recettes[[#This Row],[Quantité]] * IFERROR(_xlfn.XLOOKUP(tbl_Recettes[[#This Row],[Cde_Ingrdt]], tbl_Stock[Cde_Ingrdt], tbl_Stock[CMP effectif]),0),0)</f>
        <v>12</v>
      </c>
    </row>
    <row r="782" spans="1:7" x14ac:dyDescent="0.25">
      <c r="A782" t="s">
        <v>958</v>
      </c>
      <c r="B782" t="s">
        <v>900</v>
      </c>
      <c r="C782" t="s">
        <v>210</v>
      </c>
      <c r="D782" t="s">
        <v>211</v>
      </c>
      <c r="E782">
        <v>1</v>
      </c>
      <c r="F782" t="s">
        <v>206</v>
      </c>
      <c r="G782">
        <f ca="1">IFERROR(tbl_Recettes[[#This Row],[Quantité]] * IFERROR(_xlfn.XLOOKUP(tbl_Recettes[[#This Row],[Cde_Ingrdt]], tbl_Stock[Cde_Ingrdt], tbl_Stock[CMP effectif]),0),0)</f>
        <v>0.9</v>
      </c>
    </row>
    <row r="783" spans="1:7" x14ac:dyDescent="0.25">
      <c r="A783" t="s">
        <v>958</v>
      </c>
      <c r="B783" t="s">
        <v>900</v>
      </c>
      <c r="C783" t="s">
        <v>892</v>
      </c>
      <c r="D783" t="s">
        <v>893</v>
      </c>
      <c r="E783">
        <v>20</v>
      </c>
      <c r="F783" t="s">
        <v>209</v>
      </c>
      <c r="G783">
        <f ca="1">IFERROR(tbl_Recettes[[#This Row],[Quantité]] * IFERROR(_xlfn.XLOOKUP(tbl_Recettes[[#This Row],[Cde_Ingrdt]], tbl_Stock[Cde_Ingrdt], tbl_Stock[CMP effectif]),0),0)</f>
        <v>0.14000000000000001</v>
      </c>
    </row>
    <row r="784" spans="1:7" x14ac:dyDescent="0.25">
      <c r="A784" t="s">
        <v>958</v>
      </c>
      <c r="B784" t="s">
        <v>900</v>
      </c>
      <c r="C784" t="s">
        <v>961</v>
      </c>
      <c r="D784" t="s">
        <v>962</v>
      </c>
      <c r="E784">
        <v>30</v>
      </c>
      <c r="F784" t="s">
        <v>221</v>
      </c>
      <c r="G784">
        <f ca="1">IFERROR(tbl_Recettes[[#This Row],[Quantité]] * IFERROR(_xlfn.XLOOKUP(tbl_Recettes[[#This Row],[Cde_Ingrdt]], tbl_Stock[Cde_Ingrdt], tbl_Stock[CMP effectif]),0),0)</f>
        <v>7.5</v>
      </c>
    </row>
    <row r="785" spans="1:7" x14ac:dyDescent="0.25">
      <c r="A785" t="s">
        <v>963</v>
      </c>
      <c r="B785" t="s">
        <v>903</v>
      </c>
      <c r="C785" t="s">
        <v>952</v>
      </c>
      <c r="D785" t="s">
        <v>964</v>
      </c>
      <c r="E785">
        <v>1</v>
      </c>
      <c r="F785" t="s">
        <v>206</v>
      </c>
      <c r="G785">
        <f ca="1">IFERROR(tbl_Recettes[[#This Row],[Quantité]] * IFERROR(_xlfn.XLOOKUP(tbl_Recettes[[#This Row],[Cde_Ingrdt]], tbl_Stock[Cde_Ingrdt], tbl_Stock[CMP effectif]),0),0)</f>
        <v>15</v>
      </c>
    </row>
    <row r="786" spans="1:7" x14ac:dyDescent="0.25">
      <c r="A786" t="s">
        <v>963</v>
      </c>
      <c r="B786" t="s">
        <v>903</v>
      </c>
      <c r="C786" t="s">
        <v>868</v>
      </c>
      <c r="D786" t="s">
        <v>869</v>
      </c>
      <c r="E786">
        <v>1</v>
      </c>
      <c r="F786" t="s">
        <v>206</v>
      </c>
      <c r="G786">
        <f ca="1">IFERROR(tbl_Recettes[[#This Row],[Quantité]] * IFERROR(_xlfn.XLOOKUP(tbl_Recettes[[#This Row],[Cde_Ingrdt]], tbl_Stock[Cde_Ingrdt], tbl_Stock[CMP effectif]),0),0)</f>
        <v>5</v>
      </c>
    </row>
    <row r="787" spans="1:7" x14ac:dyDescent="0.25">
      <c r="A787" t="s">
        <v>965</v>
      </c>
      <c r="B787" t="s">
        <v>913</v>
      </c>
      <c r="C787" t="s">
        <v>954</v>
      </c>
      <c r="D787" t="s">
        <v>966</v>
      </c>
      <c r="E787">
        <v>120</v>
      </c>
      <c r="F787" t="s">
        <v>221</v>
      </c>
      <c r="G787">
        <f ca="1">IFERROR(tbl_Recettes[[#This Row],[Quantité]] * IFERROR(_xlfn.XLOOKUP(tbl_Recettes[[#This Row],[Cde_Ingrdt]], tbl_Stock[Cde_Ingrdt], tbl_Stock[CMP effectif]),0),0)</f>
        <v>12</v>
      </c>
    </row>
    <row r="788" spans="1:7" x14ac:dyDescent="0.25">
      <c r="A788" t="s">
        <v>965</v>
      </c>
      <c r="B788" t="s">
        <v>913</v>
      </c>
      <c r="C788" t="s">
        <v>967</v>
      </c>
      <c r="D788" t="s">
        <v>968</v>
      </c>
      <c r="E788">
        <v>2</v>
      </c>
      <c r="F788" t="s">
        <v>206</v>
      </c>
      <c r="G788">
        <f ca="1">IFERROR(tbl_Recettes[[#This Row],[Quantité]] * IFERROR(_xlfn.XLOOKUP(tbl_Recettes[[#This Row],[Cde_Ingrdt]], tbl_Stock[Cde_Ingrdt], tbl_Stock[CMP effectif]),0),0)</f>
        <v>3.6</v>
      </c>
    </row>
    <row r="789" spans="1:7" x14ac:dyDescent="0.25">
      <c r="A789" t="s">
        <v>965</v>
      </c>
      <c r="B789" t="s">
        <v>913</v>
      </c>
      <c r="C789" t="s">
        <v>892</v>
      </c>
      <c r="D789" t="s">
        <v>893</v>
      </c>
      <c r="E789">
        <v>30</v>
      </c>
      <c r="F789" t="s">
        <v>209</v>
      </c>
      <c r="G789">
        <f ca="1">IFERROR(tbl_Recettes[[#This Row],[Quantité]] * IFERROR(_xlfn.XLOOKUP(tbl_Recettes[[#This Row],[Cde_Ingrdt]], tbl_Stock[Cde_Ingrdt], tbl_Stock[CMP effectif]),0),0)</f>
        <v>0.21</v>
      </c>
    </row>
    <row r="790" spans="1:7" x14ac:dyDescent="0.25">
      <c r="A790" t="s">
        <v>965</v>
      </c>
      <c r="B790" t="s">
        <v>913</v>
      </c>
      <c r="C790" t="s">
        <v>497</v>
      </c>
      <c r="D790" t="s">
        <v>498</v>
      </c>
      <c r="E790">
        <v>5</v>
      </c>
      <c r="F790" t="s">
        <v>209</v>
      </c>
      <c r="G790">
        <f ca="1">IFERROR(tbl_Recettes[[#This Row],[Quantité]] * IFERROR(_xlfn.XLOOKUP(tbl_Recettes[[#This Row],[Cde_Ingrdt]], tbl_Stock[Cde_Ingrdt], tbl_Stock[CMP effectif]),0),0)</f>
        <v>0.15</v>
      </c>
    </row>
    <row r="791" spans="1:7" x14ac:dyDescent="0.25">
      <c r="A791" t="s">
        <v>965</v>
      </c>
      <c r="B791" t="s">
        <v>913</v>
      </c>
      <c r="C791" t="s">
        <v>609</v>
      </c>
      <c r="D791" t="s">
        <v>610</v>
      </c>
      <c r="E791">
        <v>1</v>
      </c>
      <c r="F791" t="s">
        <v>209</v>
      </c>
      <c r="G791">
        <f ca="1">IFERROR(tbl_Recettes[[#This Row],[Quantité]] * IFERROR(_xlfn.XLOOKUP(tbl_Recettes[[#This Row],[Cde_Ingrdt]], tbl_Stock[Cde_Ingrdt], tbl_Stock[CMP effectif]),0),0)</f>
        <v>8.7999999999999995E-2</v>
      </c>
    </row>
    <row r="792" spans="1:7" x14ac:dyDescent="0.25">
      <c r="A792" t="s">
        <v>969</v>
      </c>
      <c r="B792" t="s">
        <v>970</v>
      </c>
      <c r="C792" t="s">
        <v>971</v>
      </c>
      <c r="D792" t="s">
        <v>972</v>
      </c>
      <c r="E792">
        <v>1</v>
      </c>
      <c r="F792" t="s">
        <v>206</v>
      </c>
      <c r="G792">
        <f ca="1">IFERROR(tbl_Recettes[[#This Row],[Quantité]] * IFERROR(_xlfn.XLOOKUP(tbl_Recettes[[#This Row],[Cde_Ingrdt]], tbl_Stock[Cde_Ingrdt], tbl_Stock[CMP effectif]),0),0)</f>
        <v>17</v>
      </c>
    </row>
    <row r="793" spans="1:7" x14ac:dyDescent="0.25">
      <c r="A793" t="s">
        <v>973</v>
      </c>
      <c r="B793" t="s">
        <v>974</v>
      </c>
      <c r="C793" t="s">
        <v>975</v>
      </c>
      <c r="D793" t="s">
        <v>976</v>
      </c>
      <c r="E793">
        <v>30</v>
      </c>
      <c r="F793" t="s">
        <v>209</v>
      </c>
      <c r="G793">
        <f ca="1">IFERROR(tbl_Recettes[[#This Row],[Quantité]] * IFERROR(_xlfn.XLOOKUP(tbl_Recettes[[#This Row],[Cde_Ingrdt]], tbl_Stock[Cde_Ingrdt], tbl_Stock[CMP effectif]),0),0)</f>
        <v>0.6</v>
      </c>
    </row>
    <row r="794" spans="1:7" x14ac:dyDescent="0.25">
      <c r="A794" t="s">
        <v>973</v>
      </c>
      <c r="B794" t="s">
        <v>974</v>
      </c>
      <c r="C794" t="s">
        <v>876</v>
      </c>
      <c r="D794" t="s">
        <v>877</v>
      </c>
      <c r="E794">
        <v>80</v>
      </c>
      <c r="F794" t="s">
        <v>209</v>
      </c>
      <c r="G794">
        <f ca="1">IFERROR(tbl_Recettes[[#This Row],[Quantité]] * IFERROR(_xlfn.XLOOKUP(tbl_Recettes[[#This Row],[Cde_Ingrdt]], tbl_Stock[Cde_Ingrdt], tbl_Stock[CMP effectif]),0),0)</f>
        <v>0.8</v>
      </c>
    </row>
    <row r="795" spans="1:7" x14ac:dyDescent="0.25">
      <c r="A795" t="s">
        <v>973</v>
      </c>
      <c r="B795" t="s">
        <v>974</v>
      </c>
      <c r="C795" t="s">
        <v>977</v>
      </c>
      <c r="D795" t="s">
        <v>978</v>
      </c>
      <c r="E795">
        <v>100</v>
      </c>
      <c r="F795" t="s">
        <v>209</v>
      </c>
      <c r="G795">
        <f ca="1">IFERROR(tbl_Recettes[[#This Row],[Quantité]] * IFERROR(_xlfn.XLOOKUP(tbl_Recettes[[#This Row],[Cde_Ingrdt]], tbl_Stock[Cde_Ingrdt], tbl_Stock[CMP effectif]),0),0)</f>
        <v>2</v>
      </c>
    </row>
    <row r="796" spans="1:7" x14ac:dyDescent="0.25">
      <c r="A796" t="s">
        <v>973</v>
      </c>
      <c r="B796" t="s">
        <v>974</v>
      </c>
      <c r="C796" t="s">
        <v>979</v>
      </c>
      <c r="D796" t="s">
        <v>980</v>
      </c>
      <c r="E796">
        <v>80</v>
      </c>
      <c r="F796" t="s">
        <v>209</v>
      </c>
      <c r="G796">
        <f ca="1">IFERROR(tbl_Recettes[[#This Row],[Quantité]] * IFERROR(_xlfn.XLOOKUP(tbl_Recettes[[#This Row],[Cde_Ingrdt]], tbl_Stock[Cde_Ingrdt], tbl_Stock[CMP effectif]),0),0)</f>
        <v>1.2</v>
      </c>
    </row>
    <row r="797" spans="1:7" x14ac:dyDescent="0.25">
      <c r="A797" t="s">
        <v>981</v>
      </c>
      <c r="B797" t="s">
        <v>982</v>
      </c>
      <c r="C797" t="s">
        <v>983</v>
      </c>
      <c r="D797" t="s">
        <v>984</v>
      </c>
      <c r="E797">
        <v>80</v>
      </c>
      <c r="F797" t="s">
        <v>209</v>
      </c>
      <c r="G797">
        <f ca="1">IFERROR(tbl_Recettes[[#This Row],[Quantité]] * IFERROR(_xlfn.XLOOKUP(tbl_Recettes[[#This Row],[Cde_Ingrdt]], tbl_Stock[Cde_Ingrdt], tbl_Stock[CMP effectif]),0),0)</f>
        <v>6.4</v>
      </c>
    </row>
    <row r="798" spans="1:7" x14ac:dyDescent="0.25">
      <c r="A798" t="s">
        <v>985</v>
      </c>
      <c r="B798" t="s">
        <v>986</v>
      </c>
      <c r="C798" t="s">
        <v>355</v>
      </c>
      <c r="D798" t="s">
        <v>356</v>
      </c>
      <c r="E798">
        <v>150</v>
      </c>
      <c r="F798" t="s">
        <v>209</v>
      </c>
      <c r="G798">
        <f ca="1">IFERROR(tbl_Recettes[[#This Row],[Quantité]] * IFERROR(_xlfn.XLOOKUP(tbl_Recettes[[#This Row],[Cde_Ingrdt]], tbl_Stock[Cde_Ingrdt], tbl_Stock[CMP effectif]),0),0)</f>
        <v>7.5</v>
      </c>
    </row>
    <row r="799" spans="1:7" x14ac:dyDescent="0.25">
      <c r="A799" t="s">
        <v>987</v>
      </c>
      <c r="B799" t="s">
        <v>988</v>
      </c>
      <c r="C799" t="s">
        <v>357</v>
      </c>
      <c r="D799" t="s">
        <v>358</v>
      </c>
      <c r="E799">
        <v>150</v>
      </c>
      <c r="F799" t="s">
        <v>209</v>
      </c>
      <c r="G799">
        <f ca="1">IFERROR(tbl_Recettes[[#This Row],[Quantité]] * IFERROR(_xlfn.XLOOKUP(tbl_Recettes[[#This Row],[Cde_Ingrdt]], tbl_Stock[Cde_Ingrdt], tbl_Stock[CMP effectif]),0),0)</f>
        <v>7.5</v>
      </c>
    </row>
    <row r="800" spans="1:7" x14ac:dyDescent="0.25">
      <c r="A800" t="s">
        <v>989</v>
      </c>
      <c r="B800" t="s">
        <v>990</v>
      </c>
      <c r="C800" t="s">
        <v>255</v>
      </c>
      <c r="D800" t="s">
        <v>256</v>
      </c>
      <c r="E800">
        <v>100</v>
      </c>
      <c r="F800" t="s">
        <v>209</v>
      </c>
      <c r="G800">
        <f ca="1">IFERROR(tbl_Recettes[[#This Row],[Quantité]] * IFERROR(_xlfn.XLOOKUP(tbl_Recettes[[#This Row],[Cde_Ingrdt]], tbl_Stock[Cde_Ingrdt], tbl_Stock[CMP effectif]),0),0)</f>
        <v>7.0000000000000009</v>
      </c>
    </row>
    <row r="801" spans="1:7" x14ac:dyDescent="0.25">
      <c r="A801" t="s">
        <v>989</v>
      </c>
      <c r="B801" t="s">
        <v>990</v>
      </c>
      <c r="C801" t="s">
        <v>991</v>
      </c>
      <c r="D801" t="s">
        <v>992</v>
      </c>
      <c r="E801">
        <v>200</v>
      </c>
      <c r="F801" t="s">
        <v>221</v>
      </c>
      <c r="G801">
        <f ca="1">IFERROR(tbl_Recettes[[#This Row],[Quantité]] * IFERROR(_xlfn.XLOOKUP(tbl_Recettes[[#This Row],[Cde_Ingrdt]], tbl_Stock[Cde_Ingrdt], tbl_Stock[CMP effectif]),0),0)</f>
        <v>3</v>
      </c>
    </row>
    <row r="802" spans="1:7" x14ac:dyDescent="0.25">
      <c r="A802" t="s">
        <v>993</v>
      </c>
      <c r="B802" t="s">
        <v>994</v>
      </c>
      <c r="C802" t="s">
        <v>979</v>
      </c>
      <c r="D802" t="s">
        <v>980</v>
      </c>
      <c r="E802">
        <v>150</v>
      </c>
      <c r="F802" t="s">
        <v>209</v>
      </c>
      <c r="G802">
        <f ca="1">IFERROR(tbl_Recettes[[#This Row],[Quantité]] * IFERROR(_xlfn.XLOOKUP(tbl_Recettes[[#This Row],[Cde_Ingrdt]], tbl_Stock[Cde_Ingrdt], tbl_Stock[CMP effectif]),0),0)</f>
        <v>2.25</v>
      </c>
    </row>
    <row r="803" spans="1:7" x14ac:dyDescent="0.25">
      <c r="A803" t="s">
        <v>995</v>
      </c>
      <c r="B803" t="s">
        <v>996</v>
      </c>
      <c r="C803" t="s">
        <v>997</v>
      </c>
      <c r="D803" t="s">
        <v>998</v>
      </c>
      <c r="E803">
        <v>200</v>
      </c>
      <c r="F803" t="s">
        <v>209</v>
      </c>
      <c r="G803">
        <f ca="1">IFERROR(tbl_Recettes[[#This Row],[Quantité]] * IFERROR(_xlfn.XLOOKUP(tbl_Recettes[[#This Row],[Cde_Ingrdt]], tbl_Stock[Cde_Ingrdt], tbl_Stock[CMP effectif]),0),0)</f>
        <v>10</v>
      </c>
    </row>
    <row r="804" spans="1:7" x14ac:dyDescent="0.25">
      <c r="A804" t="s">
        <v>999</v>
      </c>
      <c r="B804" t="s">
        <v>1000</v>
      </c>
      <c r="C804" t="s">
        <v>1001</v>
      </c>
      <c r="D804" t="s">
        <v>1002</v>
      </c>
      <c r="E804">
        <v>1</v>
      </c>
      <c r="F804" t="s">
        <v>209</v>
      </c>
      <c r="G804">
        <f ca="1">IFERROR(tbl_Recettes[[#This Row],[Quantité]] * IFERROR(_xlfn.XLOOKUP(tbl_Recettes[[#This Row],[Cde_Ingrdt]], tbl_Stock[Cde_Ingrdt], tbl_Stock[CMP effectif]),0),0)</f>
        <v>0.03</v>
      </c>
    </row>
    <row r="805" spans="1:7" x14ac:dyDescent="0.25">
      <c r="A805" t="s">
        <v>1003</v>
      </c>
      <c r="B805" t="s">
        <v>1004</v>
      </c>
      <c r="C805" t="s">
        <v>977</v>
      </c>
      <c r="D805" t="s">
        <v>978</v>
      </c>
      <c r="E805">
        <v>200</v>
      </c>
      <c r="F805" t="s">
        <v>209</v>
      </c>
      <c r="G805">
        <f ca="1">IFERROR(tbl_Recettes[[#This Row],[Quantité]] * IFERROR(_xlfn.XLOOKUP(tbl_Recettes[[#This Row],[Cde_Ingrdt]], tbl_Stock[Cde_Ingrdt], tbl_Stock[CMP effectif]),0),0)</f>
        <v>4</v>
      </c>
    </row>
    <row r="806" spans="1:7" x14ac:dyDescent="0.25">
      <c r="A806" t="s">
        <v>1005</v>
      </c>
      <c r="B806" t="s">
        <v>1006</v>
      </c>
      <c r="C806" t="s">
        <v>876</v>
      </c>
      <c r="D806" t="s">
        <v>877</v>
      </c>
      <c r="E806">
        <v>80</v>
      </c>
      <c r="F806" t="s">
        <v>209</v>
      </c>
      <c r="G806">
        <f ca="1">IFERROR(tbl_Recettes[[#This Row],[Quantité]] * IFERROR(_xlfn.XLOOKUP(tbl_Recettes[[#This Row],[Cde_Ingrdt]], tbl_Stock[Cde_Ingrdt], tbl_Stock[CMP effectif]),0),0)</f>
        <v>0.8</v>
      </c>
    </row>
    <row r="807" spans="1:7" x14ac:dyDescent="0.25">
      <c r="A807" t="s">
        <v>49</v>
      </c>
      <c r="B807" t="s">
        <v>1007</v>
      </c>
      <c r="C807" t="s">
        <v>975</v>
      </c>
      <c r="D807" t="s">
        <v>976</v>
      </c>
      <c r="E807">
        <v>400</v>
      </c>
      <c r="F807" t="s">
        <v>209</v>
      </c>
      <c r="G807">
        <f ca="1">IFERROR(tbl_Recettes[[#This Row],[Quantité]] * IFERROR(_xlfn.XLOOKUP(tbl_Recettes[[#This Row],[Cde_Ingrdt]], tbl_Stock[Cde_Ingrdt], tbl_Stock[CMP effectif]),0),0)</f>
        <v>8</v>
      </c>
    </row>
    <row r="808" spans="1:7" x14ac:dyDescent="0.25">
      <c r="A808" t="s">
        <v>1008</v>
      </c>
      <c r="B808" t="s">
        <v>1009</v>
      </c>
      <c r="C808" t="s">
        <v>991</v>
      </c>
      <c r="D808" t="s">
        <v>992</v>
      </c>
      <c r="E808">
        <v>200</v>
      </c>
      <c r="F808" t="s">
        <v>221</v>
      </c>
      <c r="G808">
        <f ca="1">IFERROR(tbl_Recettes[[#This Row],[Quantité]] * IFERROR(_xlfn.XLOOKUP(tbl_Recettes[[#This Row],[Cde_Ingrdt]], tbl_Stock[Cde_Ingrdt], tbl_Stock[CMP effectif]),0),0)</f>
        <v>3</v>
      </c>
    </row>
    <row r="809" spans="1:7" x14ac:dyDescent="0.25">
      <c r="A809" t="s">
        <v>1008</v>
      </c>
      <c r="B809" t="s">
        <v>1009</v>
      </c>
      <c r="C809" t="s">
        <v>868</v>
      </c>
      <c r="D809" t="s">
        <v>869</v>
      </c>
      <c r="E809">
        <v>1</v>
      </c>
      <c r="F809" t="s">
        <v>206</v>
      </c>
      <c r="G809">
        <f ca="1">IFERROR(tbl_Recettes[[#This Row],[Quantité]] * IFERROR(_xlfn.XLOOKUP(tbl_Recettes[[#This Row],[Cde_Ingrdt]], tbl_Stock[Cde_Ingrdt], tbl_Stock[CMP effectif]),0),0)</f>
        <v>5</v>
      </c>
    </row>
    <row r="810" spans="1:7" x14ac:dyDescent="0.25">
      <c r="A810" t="s">
        <v>1008</v>
      </c>
      <c r="B810" t="s">
        <v>1009</v>
      </c>
      <c r="C810" t="s">
        <v>933</v>
      </c>
      <c r="D810" t="s">
        <v>934</v>
      </c>
      <c r="E810">
        <v>1</v>
      </c>
      <c r="F810" t="s">
        <v>206</v>
      </c>
      <c r="G810">
        <f ca="1">IFERROR(tbl_Recettes[[#This Row],[Quantité]] * IFERROR(_xlfn.XLOOKUP(tbl_Recettes[[#This Row],[Cde_Ingrdt]], tbl_Stock[Cde_Ingrdt], tbl_Stock[CMP effectif]),0),0)</f>
        <v>7</v>
      </c>
    </row>
    <row r="811" spans="1:7" x14ac:dyDescent="0.25">
      <c r="A811" t="s">
        <v>51</v>
      </c>
      <c r="B811" t="s">
        <v>1010</v>
      </c>
      <c r="C811" t="s">
        <v>991</v>
      </c>
      <c r="D811" t="s">
        <v>992</v>
      </c>
      <c r="E811">
        <v>200</v>
      </c>
      <c r="F811" t="s">
        <v>221</v>
      </c>
      <c r="G811">
        <f ca="1">IFERROR(tbl_Recettes[[#This Row],[Quantité]] * IFERROR(_xlfn.XLOOKUP(tbl_Recettes[[#This Row],[Cde_Ingrdt]], tbl_Stock[Cde_Ingrdt], tbl_Stock[CMP effectif]),0),0)</f>
        <v>3</v>
      </c>
    </row>
    <row r="812" spans="1:7" x14ac:dyDescent="0.25">
      <c r="A812" t="s">
        <v>51</v>
      </c>
      <c r="B812" t="s">
        <v>1010</v>
      </c>
      <c r="C812" t="s">
        <v>868</v>
      </c>
      <c r="D812" t="s">
        <v>869</v>
      </c>
      <c r="E812">
        <v>1</v>
      </c>
      <c r="F812" t="s">
        <v>206</v>
      </c>
      <c r="G812">
        <f ca="1">IFERROR(tbl_Recettes[[#This Row],[Quantité]] * IFERROR(_xlfn.XLOOKUP(tbl_Recettes[[#This Row],[Cde_Ingrdt]], tbl_Stock[Cde_Ingrdt], tbl_Stock[CMP effectif]),0),0)</f>
        <v>5</v>
      </c>
    </row>
    <row r="813" spans="1:7" x14ac:dyDescent="0.25">
      <c r="A813" t="s">
        <v>51</v>
      </c>
      <c r="B813" t="s">
        <v>1010</v>
      </c>
      <c r="C813" t="s">
        <v>1011</v>
      </c>
      <c r="D813" t="s">
        <v>1012</v>
      </c>
      <c r="E813">
        <v>1</v>
      </c>
      <c r="F813" t="s">
        <v>206</v>
      </c>
      <c r="G813">
        <f ca="1">IFERROR(tbl_Recettes[[#This Row],[Quantité]] * IFERROR(_xlfn.XLOOKUP(tbl_Recettes[[#This Row],[Cde_Ingrdt]], tbl_Stock[Cde_Ingrdt], tbl_Stock[CMP effectif]),0),0)</f>
        <v>7</v>
      </c>
    </row>
    <row r="814" spans="1:7" x14ac:dyDescent="0.25">
      <c r="A814" t="s">
        <v>51</v>
      </c>
      <c r="B814" t="s">
        <v>1010</v>
      </c>
      <c r="C814" t="s">
        <v>874</v>
      </c>
      <c r="D814" t="s">
        <v>875</v>
      </c>
      <c r="E814">
        <v>10</v>
      </c>
      <c r="F814" t="s">
        <v>221</v>
      </c>
      <c r="G814">
        <f ca="1">IFERROR(tbl_Recettes[[#This Row],[Quantité]] * IFERROR(_xlfn.XLOOKUP(tbl_Recettes[[#This Row],[Cde_Ingrdt]], tbl_Stock[Cde_Ingrdt], tbl_Stock[CMP effectif]),0),0)</f>
        <v>1.5</v>
      </c>
    </row>
    <row r="815" spans="1:7" x14ac:dyDescent="0.25">
      <c r="A815" t="s">
        <v>1013</v>
      </c>
      <c r="B815" t="s">
        <v>1014</v>
      </c>
      <c r="C815" t="s">
        <v>991</v>
      </c>
      <c r="D815" t="s">
        <v>992</v>
      </c>
      <c r="E815">
        <v>200</v>
      </c>
      <c r="F815" t="s">
        <v>221</v>
      </c>
      <c r="G815">
        <f ca="1">IFERROR(tbl_Recettes[[#This Row],[Quantité]] * IFERROR(_xlfn.XLOOKUP(tbl_Recettes[[#This Row],[Cde_Ingrdt]], tbl_Stock[Cde_Ingrdt], tbl_Stock[CMP effectif]),0),0)</f>
        <v>3</v>
      </c>
    </row>
    <row r="816" spans="1:7" x14ac:dyDescent="0.25">
      <c r="A816" t="s">
        <v>1013</v>
      </c>
      <c r="B816" t="s">
        <v>1014</v>
      </c>
      <c r="C816" t="s">
        <v>868</v>
      </c>
      <c r="D816" t="s">
        <v>869</v>
      </c>
      <c r="E816">
        <v>1</v>
      </c>
      <c r="F816" t="s">
        <v>206</v>
      </c>
      <c r="G816">
        <f ca="1">IFERROR(tbl_Recettes[[#This Row],[Quantité]] * IFERROR(_xlfn.XLOOKUP(tbl_Recettes[[#This Row],[Cde_Ingrdt]], tbl_Stock[Cde_Ingrdt], tbl_Stock[CMP effectif]),0),0)</f>
        <v>5</v>
      </c>
    </row>
    <row r="817" spans="1:7" x14ac:dyDescent="0.25">
      <c r="A817" t="s">
        <v>1013</v>
      </c>
      <c r="B817" t="s">
        <v>1014</v>
      </c>
      <c r="C817" t="s">
        <v>866</v>
      </c>
      <c r="D817" t="s">
        <v>867</v>
      </c>
      <c r="E817">
        <v>1</v>
      </c>
      <c r="F817" t="s">
        <v>206</v>
      </c>
      <c r="G817">
        <f ca="1">IFERROR(tbl_Recettes[[#This Row],[Quantité]] * IFERROR(_xlfn.XLOOKUP(tbl_Recettes[[#This Row],[Cde_Ingrdt]], tbl_Stock[Cde_Ingrdt], tbl_Stock[CMP effectif]),0),0)</f>
        <v>7</v>
      </c>
    </row>
    <row r="818" spans="1:7" x14ac:dyDescent="0.25">
      <c r="A818" t="s">
        <v>1015</v>
      </c>
      <c r="B818" t="s">
        <v>1016</v>
      </c>
      <c r="C818" t="s">
        <v>991</v>
      </c>
      <c r="D818" t="s">
        <v>992</v>
      </c>
      <c r="E818">
        <v>200</v>
      </c>
      <c r="F818" t="s">
        <v>221</v>
      </c>
      <c r="G818">
        <f ca="1">IFERROR(tbl_Recettes[[#This Row],[Quantité]] * IFERROR(_xlfn.XLOOKUP(tbl_Recettes[[#This Row],[Cde_Ingrdt]], tbl_Stock[Cde_Ingrdt], tbl_Stock[CMP effectif]),0),0)</f>
        <v>3</v>
      </c>
    </row>
    <row r="819" spans="1:7" x14ac:dyDescent="0.25">
      <c r="A819" t="s">
        <v>1015</v>
      </c>
      <c r="B819" t="s">
        <v>1016</v>
      </c>
      <c r="C819" t="s">
        <v>868</v>
      </c>
      <c r="D819" t="s">
        <v>869</v>
      </c>
      <c r="E819">
        <v>1</v>
      </c>
      <c r="F819" t="s">
        <v>206</v>
      </c>
      <c r="G819">
        <f ca="1">IFERROR(tbl_Recettes[[#This Row],[Quantité]] * IFERROR(_xlfn.XLOOKUP(tbl_Recettes[[#This Row],[Cde_Ingrdt]], tbl_Stock[Cde_Ingrdt], tbl_Stock[CMP effectif]),0),0)</f>
        <v>5</v>
      </c>
    </row>
    <row r="820" spans="1:7" x14ac:dyDescent="0.25">
      <c r="A820" t="s">
        <v>1015</v>
      </c>
      <c r="B820" t="s">
        <v>1016</v>
      </c>
      <c r="C820" t="s">
        <v>1017</v>
      </c>
      <c r="D820" t="s">
        <v>1018</v>
      </c>
      <c r="E820">
        <v>1</v>
      </c>
      <c r="F820" t="s">
        <v>206</v>
      </c>
      <c r="G820">
        <f ca="1">IFERROR(tbl_Recettes[[#This Row],[Quantité]] * IFERROR(_xlfn.XLOOKUP(tbl_Recettes[[#This Row],[Cde_Ingrdt]], tbl_Stock[Cde_Ingrdt], tbl_Stock[CMP effectif]),0),0)</f>
        <v>7</v>
      </c>
    </row>
    <row r="821" spans="1:7" x14ac:dyDescent="0.25">
      <c r="A821" t="s">
        <v>1019</v>
      </c>
      <c r="B821" t="s">
        <v>1020</v>
      </c>
      <c r="C821" t="s">
        <v>991</v>
      </c>
      <c r="D821" t="s">
        <v>992</v>
      </c>
      <c r="E821">
        <v>200</v>
      </c>
      <c r="F821" t="s">
        <v>221</v>
      </c>
      <c r="G821">
        <f ca="1">IFERROR(tbl_Recettes[[#This Row],[Quantité]] * IFERROR(_xlfn.XLOOKUP(tbl_Recettes[[#This Row],[Cde_Ingrdt]], tbl_Stock[Cde_Ingrdt], tbl_Stock[CMP effectif]),0),0)</f>
        <v>3</v>
      </c>
    </row>
    <row r="822" spans="1:7" x14ac:dyDescent="0.25">
      <c r="A822" t="s">
        <v>1019</v>
      </c>
      <c r="B822" t="s">
        <v>1020</v>
      </c>
      <c r="C822" t="s">
        <v>868</v>
      </c>
      <c r="D822" t="s">
        <v>869</v>
      </c>
      <c r="E822">
        <v>1</v>
      </c>
      <c r="F822" t="s">
        <v>206</v>
      </c>
      <c r="G822">
        <f ca="1">IFERROR(tbl_Recettes[[#This Row],[Quantité]] * IFERROR(_xlfn.XLOOKUP(tbl_Recettes[[#This Row],[Cde_Ingrdt]], tbl_Stock[Cde_Ingrdt], tbl_Stock[CMP effectif]),0),0)</f>
        <v>5</v>
      </c>
    </row>
    <row r="823" spans="1:7" x14ac:dyDescent="0.25">
      <c r="A823" t="s">
        <v>1019</v>
      </c>
      <c r="B823" t="s">
        <v>1020</v>
      </c>
      <c r="C823" t="s">
        <v>979</v>
      </c>
      <c r="D823" t="s">
        <v>980</v>
      </c>
      <c r="E823">
        <v>80</v>
      </c>
      <c r="F823" t="s">
        <v>209</v>
      </c>
      <c r="G823">
        <f ca="1">IFERROR(tbl_Recettes[[#This Row],[Quantité]] * IFERROR(_xlfn.XLOOKUP(tbl_Recettes[[#This Row],[Cde_Ingrdt]], tbl_Stock[Cde_Ingrdt], tbl_Stock[CMP effectif]),0),0)</f>
        <v>1.2</v>
      </c>
    </row>
    <row r="824" spans="1:7" x14ac:dyDescent="0.25">
      <c r="A824" t="s">
        <v>1021</v>
      </c>
      <c r="B824" t="s">
        <v>1022</v>
      </c>
      <c r="C824" t="s">
        <v>991</v>
      </c>
      <c r="D824" t="s">
        <v>992</v>
      </c>
      <c r="E824">
        <v>200</v>
      </c>
      <c r="F824" t="s">
        <v>221</v>
      </c>
      <c r="G824">
        <f ca="1">IFERROR(tbl_Recettes[[#This Row],[Quantité]] * IFERROR(_xlfn.XLOOKUP(tbl_Recettes[[#This Row],[Cde_Ingrdt]], tbl_Stock[Cde_Ingrdt], tbl_Stock[CMP effectif]),0),0)</f>
        <v>3</v>
      </c>
    </row>
    <row r="825" spans="1:7" x14ac:dyDescent="0.25">
      <c r="A825" t="s">
        <v>1021</v>
      </c>
      <c r="B825" t="s">
        <v>1022</v>
      </c>
      <c r="C825" t="s">
        <v>868</v>
      </c>
      <c r="D825" t="s">
        <v>869</v>
      </c>
      <c r="E825">
        <v>1</v>
      </c>
      <c r="F825" t="s">
        <v>206</v>
      </c>
      <c r="G825">
        <f ca="1">IFERROR(tbl_Recettes[[#This Row],[Quantité]] * IFERROR(_xlfn.XLOOKUP(tbl_Recettes[[#This Row],[Cde_Ingrdt]], tbl_Stock[Cde_Ingrdt], tbl_Stock[CMP effectif]),0),0)</f>
        <v>5</v>
      </c>
    </row>
    <row r="826" spans="1:7" x14ac:dyDescent="0.25">
      <c r="A826" t="s">
        <v>1021</v>
      </c>
      <c r="B826" t="s">
        <v>1022</v>
      </c>
      <c r="C826" t="s">
        <v>1023</v>
      </c>
      <c r="D826" t="s">
        <v>1024</v>
      </c>
      <c r="E826">
        <v>30</v>
      </c>
      <c r="F826" t="s">
        <v>209</v>
      </c>
      <c r="G826">
        <f ca="1">IFERROR(tbl_Recettes[[#This Row],[Quantité]] * IFERROR(_xlfn.XLOOKUP(tbl_Recettes[[#This Row],[Cde_Ingrdt]], tbl_Stock[Cde_Ingrdt], tbl_Stock[CMP effectif]),0),0)</f>
        <v>9.3000000000000007</v>
      </c>
    </row>
    <row r="827" spans="1:7" x14ac:dyDescent="0.25">
      <c r="A827" t="s">
        <v>1025</v>
      </c>
      <c r="B827" t="s">
        <v>1026</v>
      </c>
      <c r="C827" t="s">
        <v>991</v>
      </c>
      <c r="D827" t="s">
        <v>992</v>
      </c>
      <c r="E827">
        <v>200</v>
      </c>
      <c r="F827" t="s">
        <v>221</v>
      </c>
      <c r="G827">
        <f ca="1">IFERROR(tbl_Recettes[[#This Row],[Quantité]] * IFERROR(_xlfn.XLOOKUP(tbl_Recettes[[#This Row],[Cde_Ingrdt]], tbl_Stock[Cde_Ingrdt], tbl_Stock[CMP effectif]),0),0)</f>
        <v>3</v>
      </c>
    </row>
    <row r="828" spans="1:7" x14ac:dyDescent="0.25">
      <c r="A828" t="s">
        <v>1025</v>
      </c>
      <c r="B828" t="s">
        <v>1026</v>
      </c>
      <c r="C828" t="s">
        <v>868</v>
      </c>
      <c r="D828" t="s">
        <v>869</v>
      </c>
      <c r="E828">
        <v>1</v>
      </c>
      <c r="F828" t="s">
        <v>206</v>
      </c>
      <c r="G828">
        <f ca="1">IFERROR(tbl_Recettes[[#This Row],[Quantité]] * IFERROR(_xlfn.XLOOKUP(tbl_Recettes[[#This Row],[Cde_Ingrdt]], tbl_Stock[Cde_Ingrdt], tbl_Stock[CMP effectif]),0),0)</f>
        <v>5</v>
      </c>
    </row>
    <row r="829" spans="1:7" x14ac:dyDescent="0.25">
      <c r="A829" t="s">
        <v>1025</v>
      </c>
      <c r="B829" t="s">
        <v>1026</v>
      </c>
      <c r="C829" t="s">
        <v>874</v>
      </c>
      <c r="D829" t="s">
        <v>875</v>
      </c>
      <c r="E829">
        <v>25</v>
      </c>
      <c r="F829" t="s">
        <v>221</v>
      </c>
      <c r="G829">
        <f ca="1">IFERROR(tbl_Recettes[[#This Row],[Quantité]] * IFERROR(_xlfn.XLOOKUP(tbl_Recettes[[#This Row],[Cde_Ingrdt]], tbl_Stock[Cde_Ingrdt], tbl_Stock[CMP effectif]),0),0)</f>
        <v>3.75</v>
      </c>
    </row>
    <row r="830" spans="1:7" x14ac:dyDescent="0.25">
      <c r="A830" t="s">
        <v>1027</v>
      </c>
      <c r="B830" t="s">
        <v>1028</v>
      </c>
      <c r="C830" t="s">
        <v>991</v>
      </c>
      <c r="D830" t="s">
        <v>992</v>
      </c>
      <c r="E830">
        <v>200</v>
      </c>
      <c r="F830" t="s">
        <v>221</v>
      </c>
      <c r="G830">
        <f ca="1">IFERROR(tbl_Recettes[[#This Row],[Quantité]] * IFERROR(_xlfn.XLOOKUP(tbl_Recettes[[#This Row],[Cde_Ingrdt]], tbl_Stock[Cde_Ingrdt], tbl_Stock[CMP effectif]),0),0)</f>
        <v>3</v>
      </c>
    </row>
    <row r="831" spans="1:7" x14ac:dyDescent="0.25">
      <c r="A831" t="s">
        <v>1027</v>
      </c>
      <c r="B831" t="s">
        <v>1028</v>
      </c>
      <c r="C831" t="s">
        <v>868</v>
      </c>
      <c r="D831" t="s">
        <v>869</v>
      </c>
      <c r="E831">
        <v>1</v>
      </c>
      <c r="F831" t="s">
        <v>206</v>
      </c>
      <c r="G831">
        <f ca="1">IFERROR(tbl_Recettes[[#This Row],[Quantité]] * IFERROR(_xlfn.XLOOKUP(tbl_Recettes[[#This Row],[Cde_Ingrdt]], tbl_Stock[Cde_Ingrdt], tbl_Stock[CMP effectif]),0),0)</f>
        <v>5</v>
      </c>
    </row>
    <row r="832" spans="1:7" x14ac:dyDescent="0.25">
      <c r="A832" t="s">
        <v>1027</v>
      </c>
      <c r="B832" t="s">
        <v>1028</v>
      </c>
      <c r="C832" t="s">
        <v>1029</v>
      </c>
      <c r="D832" t="s">
        <v>1030</v>
      </c>
      <c r="E832">
        <v>10</v>
      </c>
      <c r="F832" t="s">
        <v>209</v>
      </c>
      <c r="G832">
        <f ca="1">IFERROR(tbl_Recettes[[#This Row],[Quantité]] * IFERROR(_xlfn.XLOOKUP(tbl_Recettes[[#This Row],[Cde_Ingrdt]], tbl_Stock[Cde_Ingrdt], tbl_Stock[CMP effectif]),0),0)</f>
        <v>1</v>
      </c>
    </row>
    <row r="833" spans="1:7" x14ac:dyDescent="0.25">
      <c r="A833" t="s">
        <v>1031</v>
      </c>
      <c r="B833" t="s">
        <v>1032</v>
      </c>
      <c r="C833" t="s">
        <v>991</v>
      </c>
      <c r="D833" t="s">
        <v>992</v>
      </c>
      <c r="E833">
        <v>200</v>
      </c>
      <c r="F833" t="s">
        <v>221</v>
      </c>
      <c r="G833">
        <f ca="1">IFERROR(tbl_Recettes[[#This Row],[Quantité]] * IFERROR(_xlfn.XLOOKUP(tbl_Recettes[[#This Row],[Cde_Ingrdt]], tbl_Stock[Cde_Ingrdt], tbl_Stock[CMP effectif]),0),0)</f>
        <v>3</v>
      </c>
    </row>
    <row r="834" spans="1:7" x14ac:dyDescent="0.25">
      <c r="A834" t="s">
        <v>1031</v>
      </c>
      <c r="B834" t="s">
        <v>1032</v>
      </c>
      <c r="C834" t="s">
        <v>876</v>
      </c>
      <c r="D834" t="s">
        <v>877</v>
      </c>
      <c r="E834">
        <v>80</v>
      </c>
      <c r="F834" t="s">
        <v>209</v>
      </c>
      <c r="G834">
        <f ca="1">IFERROR(tbl_Recettes[[#This Row],[Quantité]] * IFERROR(_xlfn.XLOOKUP(tbl_Recettes[[#This Row],[Cde_Ingrdt]], tbl_Stock[Cde_Ingrdt], tbl_Stock[CMP effectif]),0),0)</f>
        <v>0.8</v>
      </c>
    </row>
    <row r="835" spans="1:7" x14ac:dyDescent="0.25">
      <c r="A835" t="s">
        <v>1031</v>
      </c>
      <c r="B835" t="s">
        <v>1032</v>
      </c>
      <c r="C835" t="s">
        <v>1029</v>
      </c>
      <c r="D835" t="s">
        <v>1030</v>
      </c>
      <c r="E835">
        <v>10</v>
      </c>
      <c r="F835" t="s">
        <v>209</v>
      </c>
      <c r="G835">
        <f ca="1">IFERROR(tbl_Recettes[[#This Row],[Quantité]] * IFERROR(_xlfn.XLOOKUP(tbl_Recettes[[#This Row],[Cde_Ingrdt]], tbl_Stock[Cde_Ingrdt], tbl_Stock[CMP effectif]),0),0)</f>
        <v>1</v>
      </c>
    </row>
    <row r="836" spans="1:7" x14ac:dyDescent="0.25">
      <c r="A836" t="s">
        <v>1033</v>
      </c>
      <c r="B836" t="s">
        <v>1034</v>
      </c>
      <c r="C836" t="s">
        <v>355</v>
      </c>
      <c r="D836" t="s">
        <v>356</v>
      </c>
      <c r="E836">
        <v>120</v>
      </c>
      <c r="F836" t="s">
        <v>209</v>
      </c>
      <c r="G836">
        <f ca="1">IFERROR(tbl_Recettes[[#This Row],[Quantité]] * IFERROR(_xlfn.XLOOKUP(tbl_Recettes[[#This Row],[Cde_Ingrdt]], tbl_Stock[Cde_Ingrdt], tbl_Stock[CMP effectif]),0),0)</f>
        <v>6</v>
      </c>
    </row>
    <row r="837" spans="1:7" x14ac:dyDescent="0.25">
      <c r="A837" t="s">
        <v>1033</v>
      </c>
      <c r="B837" t="s">
        <v>1034</v>
      </c>
      <c r="C837" t="s">
        <v>991</v>
      </c>
      <c r="D837" t="s">
        <v>992</v>
      </c>
      <c r="E837">
        <v>150</v>
      </c>
      <c r="F837" t="s">
        <v>221</v>
      </c>
      <c r="G837">
        <f ca="1">IFERROR(tbl_Recettes[[#This Row],[Quantité]] * IFERROR(_xlfn.XLOOKUP(tbl_Recettes[[#This Row],[Cde_Ingrdt]], tbl_Stock[Cde_Ingrdt], tbl_Stock[CMP effectif]),0),0)</f>
        <v>2.25</v>
      </c>
    </row>
    <row r="838" spans="1:7" x14ac:dyDescent="0.25">
      <c r="A838" t="s">
        <v>1035</v>
      </c>
      <c r="B838" t="s">
        <v>1036</v>
      </c>
      <c r="C838" t="s">
        <v>1037</v>
      </c>
      <c r="D838" t="s">
        <v>1038</v>
      </c>
      <c r="E838">
        <v>80</v>
      </c>
      <c r="F838" t="s">
        <v>209</v>
      </c>
      <c r="G838">
        <f ca="1">IFERROR(tbl_Recettes[[#This Row],[Quantité]] * IFERROR(_xlfn.XLOOKUP(tbl_Recettes[[#This Row],[Cde_Ingrdt]], tbl_Stock[Cde_Ingrdt], tbl_Stock[CMP effectif]),0),0)</f>
        <v>16</v>
      </c>
    </row>
    <row r="839" spans="1:7" x14ac:dyDescent="0.25">
      <c r="A839" t="s">
        <v>1035</v>
      </c>
      <c r="B839" t="s">
        <v>1036</v>
      </c>
      <c r="C839" t="s">
        <v>975</v>
      </c>
      <c r="D839" t="s">
        <v>976</v>
      </c>
      <c r="E839">
        <v>120</v>
      </c>
      <c r="F839" t="s">
        <v>209</v>
      </c>
      <c r="G839">
        <f ca="1">IFERROR(tbl_Recettes[[#This Row],[Quantité]] * IFERROR(_xlfn.XLOOKUP(tbl_Recettes[[#This Row],[Cde_Ingrdt]], tbl_Stock[Cde_Ingrdt], tbl_Stock[CMP effectif]),0),0)</f>
        <v>2.4</v>
      </c>
    </row>
    <row r="840" spans="1:7" x14ac:dyDescent="0.25">
      <c r="A840" t="s">
        <v>1035</v>
      </c>
      <c r="B840" t="s">
        <v>1036</v>
      </c>
      <c r="C840" t="s">
        <v>1039</v>
      </c>
      <c r="D840" t="s">
        <v>1040</v>
      </c>
      <c r="E840">
        <v>1</v>
      </c>
      <c r="F840" t="s">
        <v>206</v>
      </c>
      <c r="G840">
        <f ca="1">IFERROR(tbl_Recettes[[#This Row],[Quantité]] * IFERROR(_xlfn.XLOOKUP(tbl_Recettes[[#This Row],[Cde_Ingrdt]], tbl_Stock[Cde_Ingrdt], tbl_Stock[CMP effectif]),0),0)</f>
        <v>2.5</v>
      </c>
    </row>
    <row r="841" spans="1:7" x14ac:dyDescent="0.25">
      <c r="A841" t="s">
        <v>1041</v>
      </c>
      <c r="B841" t="s">
        <v>1042</v>
      </c>
      <c r="C841" t="s">
        <v>876</v>
      </c>
      <c r="D841" t="s">
        <v>877</v>
      </c>
      <c r="E841">
        <v>80</v>
      </c>
      <c r="F841" t="s">
        <v>209</v>
      </c>
      <c r="G841">
        <f ca="1">IFERROR(tbl_Recettes[[#This Row],[Quantité]] * IFERROR(_xlfn.XLOOKUP(tbl_Recettes[[#This Row],[Cde_Ingrdt]], tbl_Stock[Cde_Ingrdt], tbl_Stock[CMP effectif]),0),0)</f>
        <v>0.8</v>
      </c>
    </row>
    <row r="842" spans="1:7" x14ac:dyDescent="0.25">
      <c r="A842" t="s">
        <v>1041</v>
      </c>
      <c r="B842" t="s">
        <v>1042</v>
      </c>
      <c r="C842" t="s">
        <v>991</v>
      </c>
      <c r="D842" t="s">
        <v>992</v>
      </c>
      <c r="E842">
        <v>150</v>
      </c>
      <c r="F842" t="s">
        <v>221</v>
      </c>
      <c r="G842">
        <f ca="1">IFERROR(tbl_Recettes[[#This Row],[Quantité]] * IFERROR(_xlfn.XLOOKUP(tbl_Recettes[[#This Row],[Cde_Ingrdt]], tbl_Stock[Cde_Ingrdt], tbl_Stock[CMP effectif]),0),0)</f>
        <v>2.25</v>
      </c>
    </row>
    <row r="843" spans="1:7" x14ac:dyDescent="0.25">
      <c r="A843" t="s">
        <v>1041</v>
      </c>
      <c r="B843" t="s">
        <v>1042</v>
      </c>
      <c r="C843" t="s">
        <v>1039</v>
      </c>
      <c r="D843" t="s">
        <v>1040</v>
      </c>
      <c r="E843">
        <v>1</v>
      </c>
      <c r="F843" t="s">
        <v>206</v>
      </c>
      <c r="G843">
        <f ca="1">IFERROR(tbl_Recettes[[#This Row],[Quantité]] * IFERROR(_xlfn.XLOOKUP(tbl_Recettes[[#This Row],[Cde_Ingrdt]], tbl_Stock[Cde_Ingrdt], tbl_Stock[CMP effectif]),0),0)</f>
        <v>2.5</v>
      </c>
    </row>
    <row r="844" spans="1:7" x14ac:dyDescent="0.25">
      <c r="A844" t="s">
        <v>1041</v>
      </c>
      <c r="B844" t="s">
        <v>1042</v>
      </c>
      <c r="C844" t="s">
        <v>283</v>
      </c>
      <c r="D844" t="s">
        <v>284</v>
      </c>
      <c r="E844">
        <v>10</v>
      </c>
      <c r="F844" t="s">
        <v>221</v>
      </c>
      <c r="G844">
        <f ca="1">IFERROR(tbl_Recettes[[#This Row],[Quantité]] * IFERROR(_xlfn.XLOOKUP(tbl_Recettes[[#This Row],[Cde_Ingrdt]], tbl_Stock[Cde_Ingrdt], tbl_Stock[CMP effectif]),0),0)</f>
        <v>4</v>
      </c>
    </row>
    <row r="845" spans="1:7" x14ac:dyDescent="0.25">
      <c r="A845" t="s">
        <v>1043</v>
      </c>
      <c r="B845" t="s">
        <v>1044</v>
      </c>
      <c r="C845" t="s">
        <v>983</v>
      </c>
      <c r="D845" t="s">
        <v>984</v>
      </c>
      <c r="E845">
        <v>30</v>
      </c>
      <c r="F845" t="s">
        <v>209</v>
      </c>
      <c r="G845">
        <f ca="1">IFERROR(tbl_Recettes[[#This Row],[Quantité]] * IFERROR(_xlfn.XLOOKUP(tbl_Recettes[[#This Row],[Cde_Ingrdt]], tbl_Stock[Cde_Ingrdt], tbl_Stock[CMP effectif]),0),0)</f>
        <v>2.4</v>
      </c>
    </row>
    <row r="846" spans="1:7" x14ac:dyDescent="0.25">
      <c r="A846" t="s">
        <v>1043</v>
      </c>
      <c r="B846" t="s">
        <v>1044</v>
      </c>
      <c r="C846" t="s">
        <v>977</v>
      </c>
      <c r="D846" t="s">
        <v>978</v>
      </c>
      <c r="E846">
        <v>100</v>
      </c>
      <c r="F846" t="s">
        <v>209</v>
      </c>
      <c r="G846">
        <f ca="1">IFERROR(tbl_Recettes[[#This Row],[Quantité]] * IFERROR(_xlfn.XLOOKUP(tbl_Recettes[[#This Row],[Cde_Ingrdt]], tbl_Stock[Cde_Ingrdt], tbl_Stock[CMP effectif]),0),0)</f>
        <v>2</v>
      </c>
    </row>
    <row r="847" spans="1:7" x14ac:dyDescent="0.25">
      <c r="A847" t="s">
        <v>1043</v>
      </c>
      <c r="B847" t="s">
        <v>1044</v>
      </c>
      <c r="C847" t="s">
        <v>1039</v>
      </c>
      <c r="D847" t="s">
        <v>1040</v>
      </c>
      <c r="E847">
        <v>1</v>
      </c>
      <c r="F847" t="s">
        <v>206</v>
      </c>
      <c r="G847">
        <f ca="1">IFERROR(tbl_Recettes[[#This Row],[Quantité]] * IFERROR(_xlfn.XLOOKUP(tbl_Recettes[[#This Row],[Cde_Ingrdt]], tbl_Stock[Cde_Ingrdt], tbl_Stock[CMP effectif]),0),0)</f>
        <v>2.5</v>
      </c>
    </row>
    <row r="848" spans="1:7" x14ac:dyDescent="0.25">
      <c r="A848" t="s">
        <v>1045</v>
      </c>
      <c r="B848" t="s">
        <v>1046</v>
      </c>
      <c r="C848" t="s">
        <v>1047</v>
      </c>
      <c r="D848" t="s">
        <v>1048</v>
      </c>
      <c r="E848">
        <v>1</v>
      </c>
      <c r="F848" t="s">
        <v>206</v>
      </c>
      <c r="G848">
        <f ca="1">IFERROR(tbl_Recettes[[#This Row],[Quantité]] * IFERROR(_xlfn.XLOOKUP(tbl_Recettes[[#This Row],[Cde_Ingrdt]], tbl_Stock[Cde_Ingrdt], tbl_Stock[CMP effectif]),0),0)</f>
        <v>11</v>
      </c>
    </row>
    <row r="849" spans="1:7" x14ac:dyDescent="0.25">
      <c r="A849" t="s">
        <v>1045</v>
      </c>
      <c r="B849" t="s">
        <v>1046</v>
      </c>
      <c r="C849" t="s">
        <v>1049</v>
      </c>
      <c r="D849" t="s">
        <v>1050</v>
      </c>
      <c r="E849">
        <v>10</v>
      </c>
      <c r="F849" t="s">
        <v>221</v>
      </c>
      <c r="G849">
        <f ca="1">IFERROR(tbl_Recettes[[#This Row],[Quantité]] * IFERROR(_xlfn.XLOOKUP(tbl_Recettes[[#This Row],[Cde_Ingrdt]], tbl_Stock[Cde_Ingrdt], tbl_Stock[CMP effectif]),0),0)</f>
        <v>0.5</v>
      </c>
    </row>
    <row r="850" spans="1:7" x14ac:dyDescent="0.25">
      <c r="A850" t="s">
        <v>1048</v>
      </c>
      <c r="B850" t="s">
        <v>1051</v>
      </c>
      <c r="C850" t="s">
        <v>1047</v>
      </c>
      <c r="D850" t="s">
        <v>1048</v>
      </c>
      <c r="E850">
        <v>1</v>
      </c>
      <c r="F850" t="s">
        <v>206</v>
      </c>
      <c r="G850">
        <f ca="1">IFERROR(tbl_Recettes[[#This Row],[Quantité]] * IFERROR(_xlfn.XLOOKUP(tbl_Recettes[[#This Row],[Cde_Ingrdt]], tbl_Stock[Cde_Ingrdt], tbl_Stock[CMP effectif]),0),0)</f>
        <v>11</v>
      </c>
    </row>
    <row r="851" spans="1:7" x14ac:dyDescent="0.25">
      <c r="A851" t="s">
        <v>64</v>
      </c>
      <c r="B851" t="s">
        <v>1052</v>
      </c>
      <c r="C851" t="s">
        <v>1047</v>
      </c>
      <c r="D851" t="s">
        <v>1048</v>
      </c>
      <c r="E851">
        <v>2</v>
      </c>
      <c r="F851" t="s">
        <v>206</v>
      </c>
      <c r="G851">
        <f ca="1">IFERROR(tbl_Recettes[[#This Row],[Quantité]] * IFERROR(_xlfn.XLOOKUP(tbl_Recettes[[#This Row],[Cde_Ingrdt]], tbl_Stock[Cde_Ingrdt], tbl_Stock[CMP effectif]),0),0)</f>
        <v>22</v>
      </c>
    </row>
    <row r="852" spans="1:7" x14ac:dyDescent="0.25">
      <c r="A852" t="s">
        <v>1053</v>
      </c>
      <c r="B852" t="s">
        <v>1054</v>
      </c>
      <c r="C852" t="s">
        <v>991</v>
      </c>
      <c r="D852" t="s">
        <v>992</v>
      </c>
      <c r="E852">
        <v>120</v>
      </c>
      <c r="F852" t="s">
        <v>221</v>
      </c>
      <c r="G852">
        <f ca="1">IFERROR(tbl_Recettes[[#This Row],[Quantité]] * IFERROR(_xlfn.XLOOKUP(tbl_Recettes[[#This Row],[Cde_Ingrdt]], tbl_Stock[Cde_Ingrdt], tbl_Stock[CMP effectif]),0),0)</f>
        <v>1.7999999999999998</v>
      </c>
    </row>
    <row r="853" spans="1:7" x14ac:dyDescent="0.25">
      <c r="A853" t="s">
        <v>1053</v>
      </c>
      <c r="B853" t="s">
        <v>1054</v>
      </c>
      <c r="C853" t="s">
        <v>1047</v>
      </c>
      <c r="D853" t="s">
        <v>1048</v>
      </c>
      <c r="E853">
        <v>1</v>
      </c>
      <c r="F853" t="s">
        <v>206</v>
      </c>
      <c r="G853">
        <f ca="1">IFERROR(tbl_Recettes[[#This Row],[Quantité]] * IFERROR(_xlfn.XLOOKUP(tbl_Recettes[[#This Row],[Cde_Ingrdt]], tbl_Stock[Cde_Ingrdt], tbl_Stock[CMP effectif]),0),0)</f>
        <v>11</v>
      </c>
    </row>
    <row r="854" spans="1:7" x14ac:dyDescent="0.25">
      <c r="A854" t="s">
        <v>1055</v>
      </c>
      <c r="B854" t="s">
        <v>1056</v>
      </c>
      <c r="C854" t="s">
        <v>1057</v>
      </c>
      <c r="D854" t="s">
        <v>1058</v>
      </c>
      <c r="E854">
        <v>1</v>
      </c>
      <c r="F854" t="s">
        <v>206</v>
      </c>
      <c r="G854">
        <f ca="1">IFERROR(tbl_Recettes[[#This Row],[Quantité]] * IFERROR(_xlfn.XLOOKUP(tbl_Recettes[[#This Row],[Cde_Ingrdt]], tbl_Stock[Cde_Ingrdt], tbl_Stock[CMP effectif]),0),0)</f>
        <v>4</v>
      </c>
    </row>
    <row r="855" spans="1:7" x14ac:dyDescent="0.25">
      <c r="A855" t="s">
        <v>1059</v>
      </c>
      <c r="B855" t="s">
        <v>1060</v>
      </c>
      <c r="C855" t="s">
        <v>1049</v>
      </c>
      <c r="D855" t="s">
        <v>1050</v>
      </c>
      <c r="E855">
        <v>10</v>
      </c>
      <c r="F855" t="s">
        <v>221</v>
      </c>
      <c r="G855">
        <f ca="1">IFERROR(tbl_Recettes[[#This Row],[Quantité]] * IFERROR(_xlfn.XLOOKUP(tbl_Recettes[[#This Row],[Cde_Ingrdt]], tbl_Stock[Cde_Ingrdt], tbl_Stock[CMP effectif]),0),0)</f>
        <v>0.5</v>
      </c>
    </row>
    <row r="856" spans="1:7" x14ac:dyDescent="0.25">
      <c r="A856" t="s">
        <v>1059</v>
      </c>
      <c r="B856" t="s">
        <v>1060</v>
      </c>
      <c r="C856" t="s">
        <v>1057</v>
      </c>
      <c r="D856" t="s">
        <v>1058</v>
      </c>
      <c r="E856">
        <v>1</v>
      </c>
      <c r="F856" t="s">
        <v>206</v>
      </c>
      <c r="G856">
        <f ca="1">IFERROR(tbl_Recettes[[#This Row],[Quantité]] * IFERROR(_xlfn.XLOOKUP(tbl_Recettes[[#This Row],[Cde_Ingrdt]], tbl_Stock[Cde_Ingrdt], tbl_Stock[CMP effectif]),0),0)</f>
        <v>4</v>
      </c>
    </row>
    <row r="857" spans="1:7" x14ac:dyDescent="0.25">
      <c r="A857" t="s">
        <v>1061</v>
      </c>
      <c r="B857" t="s">
        <v>1062</v>
      </c>
      <c r="C857" t="s">
        <v>1049</v>
      </c>
      <c r="D857" t="s">
        <v>1050</v>
      </c>
      <c r="E857">
        <v>8</v>
      </c>
      <c r="F857" t="s">
        <v>221</v>
      </c>
      <c r="G857">
        <f ca="1">IFERROR(tbl_Recettes[[#This Row],[Quantité]] * IFERROR(_xlfn.XLOOKUP(tbl_Recettes[[#This Row],[Cde_Ingrdt]], tbl_Stock[Cde_Ingrdt], tbl_Stock[CMP effectif]),0),0)</f>
        <v>0.4</v>
      </c>
    </row>
    <row r="858" spans="1:7" x14ac:dyDescent="0.25">
      <c r="A858" t="s">
        <v>1061</v>
      </c>
      <c r="B858" t="s">
        <v>1062</v>
      </c>
      <c r="C858" t="s">
        <v>1057</v>
      </c>
      <c r="D858" t="s">
        <v>1058</v>
      </c>
      <c r="E858">
        <v>1</v>
      </c>
      <c r="F858" t="s">
        <v>206</v>
      </c>
      <c r="G858">
        <f ca="1">IFERROR(tbl_Recettes[[#This Row],[Quantité]] * IFERROR(_xlfn.XLOOKUP(tbl_Recettes[[#This Row],[Cde_Ingrdt]], tbl_Stock[Cde_Ingrdt], tbl_Stock[CMP effectif]),0),0)</f>
        <v>4</v>
      </c>
    </row>
    <row r="859" spans="1:7" x14ac:dyDescent="0.25">
      <c r="A859" t="s">
        <v>1061</v>
      </c>
      <c r="B859" t="s">
        <v>1062</v>
      </c>
      <c r="C859" t="s">
        <v>991</v>
      </c>
      <c r="D859" t="s">
        <v>992</v>
      </c>
      <c r="E859">
        <v>120</v>
      </c>
      <c r="F859" t="s">
        <v>221</v>
      </c>
      <c r="G859">
        <f ca="1">IFERROR(tbl_Recettes[[#This Row],[Quantité]] * IFERROR(_xlfn.XLOOKUP(tbl_Recettes[[#This Row],[Cde_Ingrdt]], tbl_Stock[Cde_Ingrdt], tbl_Stock[CMP effectif]),0),0)</f>
        <v>1.7999999999999998</v>
      </c>
    </row>
    <row r="860" spans="1:7" x14ac:dyDescent="0.25">
      <c r="A860" t="s">
        <v>1063</v>
      </c>
      <c r="B860" t="s">
        <v>1064</v>
      </c>
      <c r="C860" t="s">
        <v>1049</v>
      </c>
      <c r="D860" t="s">
        <v>1050</v>
      </c>
      <c r="E860">
        <v>8</v>
      </c>
      <c r="F860" t="s">
        <v>221</v>
      </c>
      <c r="G860">
        <f ca="1">IFERROR(tbl_Recettes[[#This Row],[Quantité]] * IFERROR(_xlfn.XLOOKUP(tbl_Recettes[[#This Row],[Cde_Ingrdt]], tbl_Stock[Cde_Ingrdt], tbl_Stock[CMP effectif]),0),0)</f>
        <v>0.4</v>
      </c>
    </row>
    <row r="861" spans="1:7" x14ac:dyDescent="0.25">
      <c r="A861" t="s">
        <v>1063</v>
      </c>
      <c r="B861" t="s">
        <v>1064</v>
      </c>
      <c r="C861" t="s">
        <v>1057</v>
      </c>
      <c r="D861" t="s">
        <v>1058</v>
      </c>
      <c r="E861">
        <v>2</v>
      </c>
      <c r="F861" t="s">
        <v>206</v>
      </c>
      <c r="G861">
        <f ca="1">IFERROR(tbl_Recettes[[#This Row],[Quantité]] * IFERROR(_xlfn.XLOOKUP(tbl_Recettes[[#This Row],[Cde_Ingrdt]], tbl_Stock[Cde_Ingrdt], tbl_Stock[CMP effectif]),0),0)</f>
        <v>8</v>
      </c>
    </row>
    <row r="862" spans="1:7" x14ac:dyDescent="0.25">
      <c r="A862" t="s">
        <v>50</v>
      </c>
      <c r="B862" t="s">
        <v>1065</v>
      </c>
      <c r="C862" t="s">
        <v>1057</v>
      </c>
      <c r="D862" t="s">
        <v>1058</v>
      </c>
      <c r="E862">
        <v>2</v>
      </c>
      <c r="F862" t="s">
        <v>206</v>
      </c>
      <c r="G862">
        <f ca="1">IFERROR(tbl_Recettes[[#This Row],[Quantité]] * IFERROR(_xlfn.XLOOKUP(tbl_Recettes[[#This Row],[Cde_Ingrdt]], tbl_Stock[Cde_Ingrdt], tbl_Stock[CMP effectif]),0),0)</f>
        <v>8</v>
      </c>
    </row>
    <row r="863" spans="1:7" x14ac:dyDescent="0.25">
      <c r="A863" t="s">
        <v>1066</v>
      </c>
      <c r="B863" t="s">
        <v>1067</v>
      </c>
      <c r="C863" t="s">
        <v>1068</v>
      </c>
      <c r="D863" t="s">
        <v>1069</v>
      </c>
      <c r="E863">
        <v>15</v>
      </c>
      <c r="F863" t="s">
        <v>221</v>
      </c>
      <c r="G863">
        <f ca="1">IFERROR(tbl_Recettes[[#This Row],[Quantité]] * IFERROR(_xlfn.XLOOKUP(tbl_Recettes[[#This Row],[Cde_Ingrdt]], tbl_Stock[Cde_Ingrdt], tbl_Stock[CMP effectif]),0),0)</f>
        <v>1.2</v>
      </c>
    </row>
    <row r="864" spans="1:7" x14ac:dyDescent="0.25">
      <c r="A864" t="s">
        <v>1066</v>
      </c>
      <c r="B864" t="s">
        <v>1067</v>
      </c>
      <c r="C864" t="s">
        <v>864</v>
      </c>
      <c r="D864" t="s">
        <v>865</v>
      </c>
      <c r="E864">
        <v>15</v>
      </c>
      <c r="F864" t="s">
        <v>209</v>
      </c>
      <c r="G864">
        <f ca="1">IFERROR(tbl_Recettes[[#This Row],[Quantité]] * IFERROR(_xlfn.XLOOKUP(tbl_Recettes[[#This Row],[Cde_Ingrdt]], tbl_Stock[Cde_Ingrdt], tbl_Stock[CMP effectif]),0),0)</f>
        <v>1.875</v>
      </c>
    </row>
    <row r="865" spans="1:7" x14ac:dyDescent="0.25">
      <c r="A865" t="s">
        <v>1066</v>
      </c>
      <c r="B865" t="s">
        <v>1067</v>
      </c>
      <c r="C865" t="s">
        <v>991</v>
      </c>
      <c r="D865" t="s">
        <v>992</v>
      </c>
      <c r="E865">
        <v>100</v>
      </c>
      <c r="F865" t="s">
        <v>221</v>
      </c>
      <c r="G865">
        <f ca="1">IFERROR(tbl_Recettes[[#This Row],[Quantité]] * IFERROR(_xlfn.XLOOKUP(tbl_Recettes[[#This Row],[Cde_Ingrdt]], tbl_Stock[Cde_Ingrdt], tbl_Stock[CMP effectif]),0),0)</f>
        <v>1.5</v>
      </c>
    </row>
    <row r="866" spans="1:7" x14ac:dyDescent="0.25">
      <c r="A866" t="s">
        <v>1066</v>
      </c>
      <c r="B866" t="s">
        <v>1067</v>
      </c>
      <c r="C866" t="s">
        <v>870</v>
      </c>
      <c r="D866" t="s">
        <v>871</v>
      </c>
      <c r="E866">
        <v>20</v>
      </c>
      <c r="F866" t="s">
        <v>209</v>
      </c>
      <c r="G866">
        <f ca="1">IFERROR(tbl_Recettes[[#This Row],[Quantité]] * IFERROR(_xlfn.XLOOKUP(tbl_Recettes[[#This Row],[Cde_Ingrdt]], tbl_Stock[Cde_Ingrdt], tbl_Stock[CMP effectif]),0),0)</f>
        <v>8</v>
      </c>
    </row>
    <row r="867" spans="1:7" x14ac:dyDescent="0.25">
      <c r="A867" t="s">
        <v>1070</v>
      </c>
      <c r="B867" t="s">
        <v>1071</v>
      </c>
      <c r="C867" t="s">
        <v>1057</v>
      </c>
      <c r="D867" t="s">
        <v>1058</v>
      </c>
      <c r="E867">
        <v>1</v>
      </c>
      <c r="F867" t="s">
        <v>206</v>
      </c>
      <c r="G867">
        <f ca="1">IFERROR(tbl_Recettes[[#This Row],[Quantité]] * IFERROR(_xlfn.XLOOKUP(tbl_Recettes[[#This Row],[Cde_Ingrdt]], tbl_Stock[Cde_Ingrdt], tbl_Stock[CMP effectif]),0),0)</f>
        <v>4</v>
      </c>
    </row>
    <row r="868" spans="1:7" x14ac:dyDescent="0.25">
      <c r="A868" t="s">
        <v>1070</v>
      </c>
      <c r="B868" t="s">
        <v>1071</v>
      </c>
      <c r="C868" t="s">
        <v>1029</v>
      </c>
      <c r="D868" t="s">
        <v>1030</v>
      </c>
      <c r="E868">
        <v>10</v>
      </c>
      <c r="F868" t="s">
        <v>209</v>
      </c>
      <c r="G868">
        <f ca="1">IFERROR(tbl_Recettes[[#This Row],[Quantité]] * IFERROR(_xlfn.XLOOKUP(tbl_Recettes[[#This Row],[Cde_Ingrdt]], tbl_Stock[Cde_Ingrdt], tbl_Stock[CMP effectif]),0),0)</f>
        <v>1</v>
      </c>
    </row>
    <row r="869" spans="1:7" x14ac:dyDescent="0.25">
      <c r="A869" t="s">
        <v>1070</v>
      </c>
      <c r="B869" t="s">
        <v>1071</v>
      </c>
      <c r="C869" t="s">
        <v>991</v>
      </c>
      <c r="D869" t="s">
        <v>992</v>
      </c>
      <c r="E869">
        <v>100</v>
      </c>
      <c r="F869" t="s">
        <v>221</v>
      </c>
      <c r="G869">
        <f ca="1">IFERROR(tbl_Recettes[[#This Row],[Quantité]] * IFERROR(_xlfn.XLOOKUP(tbl_Recettes[[#This Row],[Cde_Ingrdt]], tbl_Stock[Cde_Ingrdt], tbl_Stock[CMP effectif]),0),0)</f>
        <v>1.5</v>
      </c>
    </row>
    <row r="870" spans="1:7" x14ac:dyDescent="0.25">
      <c r="A870" t="s">
        <v>1072</v>
      </c>
      <c r="B870" t="s">
        <v>1073</v>
      </c>
      <c r="C870" t="s">
        <v>1057</v>
      </c>
      <c r="D870" t="s">
        <v>1058</v>
      </c>
      <c r="E870">
        <v>1</v>
      </c>
      <c r="F870" t="s">
        <v>206</v>
      </c>
      <c r="G870">
        <f ca="1">IFERROR(tbl_Recettes[[#This Row],[Quantité]] * IFERROR(_xlfn.XLOOKUP(tbl_Recettes[[#This Row],[Cde_Ingrdt]], tbl_Stock[Cde_Ingrdt], tbl_Stock[CMP effectif]),0),0)</f>
        <v>4</v>
      </c>
    </row>
    <row r="871" spans="1:7" x14ac:dyDescent="0.25">
      <c r="A871" t="s">
        <v>1072</v>
      </c>
      <c r="B871" t="s">
        <v>1073</v>
      </c>
      <c r="C871" t="s">
        <v>1074</v>
      </c>
      <c r="D871" t="s">
        <v>1075</v>
      </c>
      <c r="E871">
        <v>15</v>
      </c>
      <c r="F871" t="s">
        <v>209</v>
      </c>
      <c r="G871">
        <f ca="1">IFERROR(tbl_Recettes[[#This Row],[Quantité]] * IFERROR(_xlfn.XLOOKUP(tbl_Recettes[[#This Row],[Cde_Ingrdt]], tbl_Stock[Cde_Ingrdt], tbl_Stock[CMP effectif]),0),0)</f>
        <v>2.25</v>
      </c>
    </row>
    <row r="872" spans="1:7" x14ac:dyDescent="0.25">
      <c r="A872" t="s">
        <v>1072</v>
      </c>
      <c r="B872" t="s">
        <v>1073</v>
      </c>
      <c r="C872" t="s">
        <v>991</v>
      </c>
      <c r="D872" t="s">
        <v>992</v>
      </c>
      <c r="E872">
        <v>100</v>
      </c>
      <c r="F872" t="s">
        <v>221</v>
      </c>
      <c r="G872">
        <f ca="1">IFERROR(tbl_Recettes[[#This Row],[Quantité]] * IFERROR(_xlfn.XLOOKUP(tbl_Recettes[[#This Row],[Cde_Ingrdt]], tbl_Stock[Cde_Ingrdt], tbl_Stock[CMP effectif]),0),0)</f>
        <v>1.5</v>
      </c>
    </row>
    <row r="873" spans="1:7" x14ac:dyDescent="0.25">
      <c r="A873" t="s">
        <v>1072</v>
      </c>
      <c r="B873" t="s">
        <v>1073</v>
      </c>
      <c r="C873" t="s">
        <v>870</v>
      </c>
      <c r="D873" t="s">
        <v>871</v>
      </c>
      <c r="E873">
        <v>15</v>
      </c>
      <c r="F873" t="s">
        <v>209</v>
      </c>
      <c r="G873">
        <f ca="1">IFERROR(tbl_Recettes[[#This Row],[Quantité]] * IFERROR(_xlfn.XLOOKUP(tbl_Recettes[[#This Row],[Cde_Ingrdt]], tbl_Stock[Cde_Ingrdt], tbl_Stock[CMP effectif]),0),0)</f>
        <v>6</v>
      </c>
    </row>
    <row r="874" spans="1:7" x14ac:dyDescent="0.25">
      <c r="A874" t="s">
        <v>1076</v>
      </c>
      <c r="B874" t="s">
        <v>1077</v>
      </c>
      <c r="C874" t="s">
        <v>1057</v>
      </c>
      <c r="D874" t="s">
        <v>1058</v>
      </c>
      <c r="E874">
        <v>1</v>
      </c>
      <c r="F874" t="s">
        <v>206</v>
      </c>
      <c r="G874">
        <f ca="1">IFERROR(tbl_Recettes[[#This Row],[Quantité]] * IFERROR(_xlfn.XLOOKUP(tbl_Recettes[[#This Row],[Cde_Ingrdt]], tbl_Stock[Cde_Ingrdt], tbl_Stock[CMP effectif]),0),0)</f>
        <v>4</v>
      </c>
    </row>
    <row r="875" spans="1:7" x14ac:dyDescent="0.25">
      <c r="A875" t="s">
        <v>1076</v>
      </c>
      <c r="B875" t="s">
        <v>1077</v>
      </c>
      <c r="C875" t="s">
        <v>991</v>
      </c>
      <c r="D875" t="s">
        <v>992</v>
      </c>
      <c r="E875">
        <v>100</v>
      </c>
      <c r="F875" t="s">
        <v>221</v>
      </c>
      <c r="G875">
        <f ca="1">IFERROR(tbl_Recettes[[#This Row],[Quantité]] * IFERROR(_xlfn.XLOOKUP(tbl_Recettes[[#This Row],[Cde_Ingrdt]], tbl_Stock[Cde_Ingrdt], tbl_Stock[CMP effectif]),0),0)</f>
        <v>1.5</v>
      </c>
    </row>
    <row r="876" spans="1:7" x14ac:dyDescent="0.25">
      <c r="A876" t="s">
        <v>1076</v>
      </c>
      <c r="B876" t="s">
        <v>1077</v>
      </c>
      <c r="C876" t="s">
        <v>1049</v>
      </c>
      <c r="D876" t="s">
        <v>1050</v>
      </c>
      <c r="E876">
        <v>10</v>
      </c>
      <c r="F876" t="s">
        <v>221</v>
      </c>
      <c r="G876">
        <f ca="1">IFERROR(tbl_Recettes[[#This Row],[Quantité]] * IFERROR(_xlfn.XLOOKUP(tbl_Recettes[[#This Row],[Cde_Ingrdt]], tbl_Stock[Cde_Ingrdt], tbl_Stock[CMP effectif]),0),0)</f>
        <v>0.5</v>
      </c>
    </row>
    <row r="877" spans="1:7" x14ac:dyDescent="0.25">
      <c r="A877" t="s">
        <v>1078</v>
      </c>
      <c r="B877" t="s">
        <v>1079</v>
      </c>
      <c r="C877" t="s">
        <v>870</v>
      </c>
      <c r="D877" t="s">
        <v>871</v>
      </c>
      <c r="E877">
        <v>15</v>
      </c>
      <c r="F877" t="s">
        <v>209</v>
      </c>
      <c r="G877">
        <f ca="1">IFERROR(tbl_Recettes[[#This Row],[Quantité]] * IFERROR(_xlfn.XLOOKUP(tbl_Recettes[[#This Row],[Cde_Ingrdt]], tbl_Stock[Cde_Ingrdt], tbl_Stock[CMP effectif]),0),0)</f>
        <v>6</v>
      </c>
    </row>
    <row r="878" spans="1:7" x14ac:dyDescent="0.25">
      <c r="A878" t="s">
        <v>1078</v>
      </c>
      <c r="B878" t="s">
        <v>1079</v>
      </c>
      <c r="C878" t="s">
        <v>1057</v>
      </c>
      <c r="D878" t="s">
        <v>1058</v>
      </c>
      <c r="E878">
        <v>1</v>
      </c>
      <c r="F878" t="s">
        <v>206</v>
      </c>
      <c r="G878">
        <f ca="1">IFERROR(tbl_Recettes[[#This Row],[Quantité]] * IFERROR(_xlfn.XLOOKUP(tbl_Recettes[[#This Row],[Cde_Ingrdt]], tbl_Stock[Cde_Ingrdt], tbl_Stock[CMP effectif]),0),0)</f>
        <v>4</v>
      </c>
    </row>
    <row r="879" spans="1:7" x14ac:dyDescent="0.25">
      <c r="A879" t="s">
        <v>1078</v>
      </c>
      <c r="B879" t="s">
        <v>1079</v>
      </c>
      <c r="C879" t="s">
        <v>991</v>
      </c>
      <c r="D879" t="s">
        <v>992</v>
      </c>
      <c r="E879">
        <v>100</v>
      </c>
      <c r="F879" t="s">
        <v>221</v>
      </c>
      <c r="G879">
        <f ca="1">IFERROR(tbl_Recettes[[#This Row],[Quantité]] * IFERROR(_xlfn.XLOOKUP(tbl_Recettes[[#This Row],[Cde_Ingrdt]], tbl_Stock[Cde_Ingrdt], tbl_Stock[CMP effectif]),0),0)</f>
        <v>1.5</v>
      </c>
    </row>
    <row r="880" spans="1:7" x14ac:dyDescent="0.25">
      <c r="A880" t="s">
        <v>1078</v>
      </c>
      <c r="B880" t="s">
        <v>1079</v>
      </c>
      <c r="C880" t="s">
        <v>1049</v>
      </c>
      <c r="D880" t="s">
        <v>1050</v>
      </c>
      <c r="E880">
        <v>8</v>
      </c>
      <c r="F880" t="s">
        <v>221</v>
      </c>
      <c r="G880">
        <f ca="1">IFERROR(tbl_Recettes[[#This Row],[Quantité]] * IFERROR(_xlfn.XLOOKUP(tbl_Recettes[[#This Row],[Cde_Ingrdt]], tbl_Stock[Cde_Ingrdt], tbl_Stock[CMP effectif]),0),0)</f>
        <v>0.4</v>
      </c>
    </row>
    <row r="881" spans="1:7" x14ac:dyDescent="0.25">
      <c r="A881" t="s">
        <v>1080</v>
      </c>
      <c r="B881" t="s">
        <v>1081</v>
      </c>
      <c r="C881" t="s">
        <v>870</v>
      </c>
      <c r="D881" t="s">
        <v>871</v>
      </c>
      <c r="E881">
        <v>20</v>
      </c>
      <c r="F881" t="s">
        <v>209</v>
      </c>
      <c r="G881">
        <f ca="1">IFERROR(tbl_Recettes[[#This Row],[Quantité]] * IFERROR(_xlfn.XLOOKUP(tbl_Recettes[[#This Row],[Cde_Ingrdt]], tbl_Stock[Cde_Ingrdt], tbl_Stock[CMP effectif]),0),0)</f>
        <v>8</v>
      </c>
    </row>
    <row r="882" spans="1:7" x14ac:dyDescent="0.25">
      <c r="A882" t="s">
        <v>1080</v>
      </c>
      <c r="B882" t="s">
        <v>1081</v>
      </c>
      <c r="C882" t="s">
        <v>1057</v>
      </c>
      <c r="D882" t="s">
        <v>1058</v>
      </c>
      <c r="E882">
        <v>1</v>
      </c>
      <c r="F882" t="s">
        <v>206</v>
      </c>
      <c r="G882">
        <f ca="1">IFERROR(tbl_Recettes[[#This Row],[Quantité]] * IFERROR(_xlfn.XLOOKUP(tbl_Recettes[[#This Row],[Cde_Ingrdt]], tbl_Stock[Cde_Ingrdt], tbl_Stock[CMP effectif]),0),0)</f>
        <v>4</v>
      </c>
    </row>
    <row r="883" spans="1:7" x14ac:dyDescent="0.25">
      <c r="A883" t="s">
        <v>1080</v>
      </c>
      <c r="B883" t="s">
        <v>1081</v>
      </c>
      <c r="C883" t="s">
        <v>991</v>
      </c>
      <c r="D883" t="s">
        <v>992</v>
      </c>
      <c r="E883">
        <v>100</v>
      </c>
      <c r="F883" t="s">
        <v>221</v>
      </c>
      <c r="G883">
        <f ca="1">IFERROR(tbl_Recettes[[#This Row],[Quantité]] * IFERROR(_xlfn.XLOOKUP(tbl_Recettes[[#This Row],[Cde_Ingrdt]], tbl_Stock[Cde_Ingrdt], tbl_Stock[CMP effectif]),0),0)</f>
        <v>1.5</v>
      </c>
    </row>
    <row r="884" spans="1:7" x14ac:dyDescent="0.25">
      <c r="A884" t="s">
        <v>1277</v>
      </c>
      <c r="B884" t="s">
        <v>1297</v>
      </c>
      <c r="C884" t="s">
        <v>1074</v>
      </c>
      <c r="D884" t="s">
        <v>1075</v>
      </c>
      <c r="E884">
        <v>100</v>
      </c>
      <c r="F884" t="s">
        <v>209</v>
      </c>
      <c r="G884">
        <f ca="1">IFERROR(tbl_Recettes[[#This Row],[Quantité]] * IFERROR(_xlfn.XLOOKUP(tbl_Recettes[[#This Row],[Cde_Ingrdt]], tbl_Stock[Cde_Ingrdt], tbl_Stock[CMP effectif]),0),0)</f>
        <v>15</v>
      </c>
    </row>
    <row r="885" spans="1:7" x14ac:dyDescent="0.25">
      <c r="A885" t="s">
        <v>1277</v>
      </c>
      <c r="B885" t="s">
        <v>1297</v>
      </c>
      <c r="C885" t="s">
        <v>1057</v>
      </c>
      <c r="D885" t="s">
        <v>1058</v>
      </c>
      <c r="E885">
        <v>1</v>
      </c>
      <c r="F885" t="s">
        <v>206</v>
      </c>
      <c r="G885">
        <f ca="1">IFERROR(tbl_Recettes[[#This Row],[Quantité]] * IFERROR(_xlfn.XLOOKUP(tbl_Recettes[[#This Row],[Cde_Ingrdt]], tbl_Stock[Cde_Ingrdt], tbl_Stock[CMP effectif]),0),0)</f>
        <v>4</v>
      </c>
    </row>
    <row r="886" spans="1:7" x14ac:dyDescent="0.25">
      <c r="A886" t="s">
        <v>1277</v>
      </c>
      <c r="B886" t="s">
        <v>1297</v>
      </c>
      <c r="C886" t="s">
        <v>518</v>
      </c>
      <c r="D886" t="s">
        <v>1274</v>
      </c>
      <c r="E886">
        <v>2</v>
      </c>
      <c r="F886" t="s">
        <v>209</v>
      </c>
      <c r="G886">
        <f ca="1">IFERROR(tbl_Recettes[[#This Row],[Quantité]] * IFERROR(_xlfn.XLOOKUP(tbl_Recettes[[#This Row],[Cde_Ingrdt]], tbl_Stock[Cde_Ingrdt], tbl_Stock[CMP effectif]),0),0)</f>
        <v>0.36</v>
      </c>
    </row>
    <row r="887" spans="1:7" x14ac:dyDescent="0.25">
      <c r="A887" t="s">
        <v>1078</v>
      </c>
      <c r="B887" t="s">
        <v>1079</v>
      </c>
      <c r="C887" t="s">
        <v>870</v>
      </c>
      <c r="D887" t="s">
        <v>871</v>
      </c>
      <c r="E887">
        <v>20</v>
      </c>
      <c r="F887" t="s">
        <v>209</v>
      </c>
      <c r="G887">
        <f ca="1">IFERROR(tbl_Recettes[[#This Row],[Quantité]] * IFERROR(_xlfn.XLOOKUP(tbl_Recettes[[#This Row],[Cde_Ingrdt]], tbl_Stock[Cde_Ingrdt], tbl_Stock[CMP effectif]),0),0)</f>
        <v>8</v>
      </c>
    </row>
    <row r="888" spans="1:7" x14ac:dyDescent="0.25">
      <c r="A888" t="s">
        <v>1078</v>
      </c>
      <c r="B888" t="s">
        <v>1079</v>
      </c>
      <c r="C888" t="s">
        <v>1057</v>
      </c>
      <c r="D888" t="s">
        <v>1058</v>
      </c>
      <c r="E888">
        <v>1</v>
      </c>
      <c r="F888" t="s">
        <v>206</v>
      </c>
      <c r="G888">
        <f ca="1">IFERROR(tbl_Recettes[[#This Row],[Quantité]] * IFERROR(_xlfn.XLOOKUP(tbl_Recettes[[#This Row],[Cde_Ingrdt]], tbl_Stock[Cde_Ingrdt], tbl_Stock[CMP effectif]),0),0)</f>
        <v>4</v>
      </c>
    </row>
    <row r="889" spans="1:7" x14ac:dyDescent="0.25">
      <c r="A889" t="s">
        <v>1078</v>
      </c>
      <c r="B889" t="s">
        <v>1079</v>
      </c>
      <c r="C889" t="s">
        <v>991</v>
      </c>
      <c r="D889" t="s">
        <v>992</v>
      </c>
      <c r="E889">
        <v>100</v>
      </c>
      <c r="F889" t="s">
        <v>221</v>
      </c>
      <c r="G889">
        <f ca="1">IFERROR(tbl_Recettes[[#This Row],[Quantité]] * IFERROR(_xlfn.XLOOKUP(tbl_Recettes[[#This Row],[Cde_Ingrdt]], tbl_Stock[Cde_Ingrdt], tbl_Stock[CMP effectif]),0),0)</f>
        <v>1.5</v>
      </c>
    </row>
    <row r="890" spans="1:7" x14ac:dyDescent="0.25">
      <c r="A890" t="s">
        <v>1078</v>
      </c>
      <c r="B890" t="s">
        <v>1079</v>
      </c>
      <c r="C890" t="s">
        <v>1049</v>
      </c>
      <c r="D890" t="s">
        <v>1050</v>
      </c>
      <c r="E890">
        <v>8</v>
      </c>
      <c r="F890" t="s">
        <v>221</v>
      </c>
      <c r="G890">
        <f ca="1">IFERROR(tbl_Recettes[[#This Row],[Quantité]] * IFERROR(_xlfn.XLOOKUP(tbl_Recettes[[#This Row],[Cde_Ingrdt]], tbl_Stock[Cde_Ingrdt], tbl_Stock[CMP effectif]),0),0)</f>
        <v>0.4</v>
      </c>
    </row>
    <row r="891" spans="1:7" x14ac:dyDescent="0.25">
      <c r="A891" t="s">
        <v>1082</v>
      </c>
      <c r="B891" t="s">
        <v>1083</v>
      </c>
      <c r="C891" t="s">
        <v>1057</v>
      </c>
      <c r="D891" t="s">
        <v>1058</v>
      </c>
      <c r="E891">
        <v>1</v>
      </c>
      <c r="F891" t="s">
        <v>206</v>
      </c>
      <c r="G891">
        <f ca="1">IFERROR(tbl_Recettes[[#This Row],[Quantité]] * IFERROR(_xlfn.XLOOKUP(tbl_Recettes[[#This Row],[Cde_Ingrdt]], tbl_Stock[Cde_Ingrdt], tbl_Stock[CMP effectif]),0),0)</f>
        <v>4</v>
      </c>
    </row>
    <row r="892" spans="1:7" x14ac:dyDescent="0.25">
      <c r="A892" t="s">
        <v>1082</v>
      </c>
      <c r="B892" t="s">
        <v>1083</v>
      </c>
      <c r="C892" t="s">
        <v>991</v>
      </c>
      <c r="D892" t="s">
        <v>992</v>
      </c>
      <c r="E892">
        <v>100</v>
      </c>
      <c r="F892" t="s">
        <v>221</v>
      </c>
      <c r="G892">
        <f ca="1">IFERROR(tbl_Recettes[[#This Row],[Quantité]] * IFERROR(_xlfn.XLOOKUP(tbl_Recettes[[#This Row],[Cde_Ingrdt]], tbl_Stock[Cde_Ingrdt], tbl_Stock[CMP effectif]),0),0)</f>
        <v>1.5</v>
      </c>
    </row>
    <row r="893" spans="1:7" x14ac:dyDescent="0.25">
      <c r="A893" t="s">
        <v>1084</v>
      </c>
      <c r="B893" t="s">
        <v>1085</v>
      </c>
      <c r="C893" t="s">
        <v>991</v>
      </c>
      <c r="D893" t="s">
        <v>992</v>
      </c>
      <c r="E893">
        <v>120</v>
      </c>
      <c r="F893" t="s">
        <v>221</v>
      </c>
      <c r="G893">
        <f ca="1">IFERROR(tbl_Recettes[[#This Row],[Quantité]] * IFERROR(_xlfn.XLOOKUP(tbl_Recettes[[#This Row],[Cde_Ingrdt]], tbl_Stock[Cde_Ingrdt], tbl_Stock[CMP effectif]),0),0)</f>
        <v>1.7999999999999998</v>
      </c>
    </row>
    <row r="894" spans="1:7" x14ac:dyDescent="0.25">
      <c r="A894" t="s">
        <v>1084</v>
      </c>
      <c r="B894" t="s">
        <v>1085</v>
      </c>
      <c r="C894" t="s">
        <v>1057</v>
      </c>
      <c r="D894" t="s">
        <v>1058</v>
      </c>
      <c r="E894">
        <v>1</v>
      </c>
      <c r="F894" t="s">
        <v>206</v>
      </c>
      <c r="G894">
        <f ca="1">IFERROR(tbl_Recettes[[#This Row],[Quantité]] * IFERROR(_xlfn.XLOOKUP(tbl_Recettes[[#This Row],[Cde_Ingrdt]], tbl_Stock[Cde_Ingrdt], tbl_Stock[CMP effectif]),0),0)</f>
        <v>4</v>
      </c>
    </row>
    <row r="895" spans="1:7" x14ac:dyDescent="0.25">
      <c r="A895" t="s">
        <v>1084</v>
      </c>
      <c r="B895" t="s">
        <v>1085</v>
      </c>
      <c r="C895" t="s">
        <v>1074</v>
      </c>
      <c r="D895" t="s">
        <v>1075</v>
      </c>
      <c r="E895">
        <v>40</v>
      </c>
      <c r="F895" t="s">
        <v>209</v>
      </c>
      <c r="G895">
        <f ca="1">IFERROR(tbl_Recettes[[#This Row],[Quantité]] * IFERROR(_xlfn.XLOOKUP(tbl_Recettes[[#This Row],[Cde_Ingrdt]], tbl_Stock[Cde_Ingrdt], tbl_Stock[CMP effectif]),0),0)</f>
        <v>6</v>
      </c>
    </row>
    <row r="896" spans="1:7" x14ac:dyDescent="0.25">
      <c r="A896" t="s">
        <v>1084</v>
      </c>
      <c r="B896" t="s">
        <v>1085</v>
      </c>
      <c r="C896" t="s">
        <v>1068</v>
      </c>
      <c r="D896" t="s">
        <v>1069</v>
      </c>
      <c r="E896">
        <v>10</v>
      </c>
      <c r="F896" t="s">
        <v>221</v>
      </c>
      <c r="G896">
        <f ca="1">IFERROR(tbl_Recettes[[#This Row],[Quantité]] * IFERROR(_xlfn.XLOOKUP(tbl_Recettes[[#This Row],[Cde_Ingrdt]], tbl_Stock[Cde_Ingrdt], tbl_Stock[CMP effectif]),0),0)</f>
        <v>0.8</v>
      </c>
    </row>
    <row r="897" spans="1:7" x14ac:dyDescent="0.25">
      <c r="A897" t="s">
        <v>1084</v>
      </c>
      <c r="B897" t="s">
        <v>1085</v>
      </c>
      <c r="C897" t="s">
        <v>870</v>
      </c>
      <c r="D897" t="s">
        <v>871</v>
      </c>
      <c r="E897">
        <v>20</v>
      </c>
      <c r="F897" t="s">
        <v>209</v>
      </c>
      <c r="G897">
        <f ca="1">IFERROR(tbl_Recettes[[#This Row],[Quantité]] * IFERROR(_xlfn.XLOOKUP(tbl_Recettes[[#This Row],[Cde_Ingrdt]], tbl_Stock[Cde_Ingrdt], tbl_Stock[CMP effectif]),0),0)</f>
        <v>8</v>
      </c>
    </row>
    <row r="898" spans="1:7" x14ac:dyDescent="0.25">
      <c r="A898" t="s">
        <v>1084</v>
      </c>
      <c r="B898" t="s">
        <v>1085</v>
      </c>
      <c r="C898" t="s">
        <v>1086</v>
      </c>
      <c r="D898" t="s">
        <v>1087</v>
      </c>
      <c r="E898">
        <v>3</v>
      </c>
      <c r="F898" t="s">
        <v>209</v>
      </c>
      <c r="G898">
        <f ca="1">IFERROR(tbl_Recettes[[#This Row],[Quantité]] * IFERROR(_xlfn.XLOOKUP(tbl_Recettes[[#This Row],[Cde_Ingrdt]], tbl_Stock[Cde_Ingrdt], tbl_Stock[CMP effectif]),0),0)</f>
        <v>0.15000000000000002</v>
      </c>
    </row>
    <row r="899" spans="1:7" x14ac:dyDescent="0.25">
      <c r="A899" t="s">
        <v>1084</v>
      </c>
      <c r="B899" t="s">
        <v>1085</v>
      </c>
      <c r="C899" t="s">
        <v>1088</v>
      </c>
      <c r="D899" t="s">
        <v>1089</v>
      </c>
      <c r="E899">
        <v>20</v>
      </c>
      <c r="F899" t="s">
        <v>221</v>
      </c>
      <c r="G899">
        <f ca="1">IFERROR(tbl_Recettes[[#This Row],[Quantité]] * IFERROR(_xlfn.XLOOKUP(tbl_Recettes[[#This Row],[Cde_Ingrdt]], tbl_Stock[Cde_Ingrdt], tbl_Stock[CMP effectif]),0),0)</f>
        <v>6</v>
      </c>
    </row>
    <row r="900" spans="1:7" x14ac:dyDescent="0.25">
      <c r="A900" t="s">
        <v>1090</v>
      </c>
      <c r="B900" t="s">
        <v>1091</v>
      </c>
      <c r="C900" t="s">
        <v>1074</v>
      </c>
      <c r="D900" t="s">
        <v>1075</v>
      </c>
      <c r="E900">
        <v>40</v>
      </c>
      <c r="F900" t="s">
        <v>209</v>
      </c>
      <c r="G900">
        <f ca="1">IFERROR(tbl_Recettes[[#This Row],[Quantité]] * IFERROR(_xlfn.XLOOKUP(tbl_Recettes[[#This Row],[Cde_Ingrdt]], tbl_Stock[Cde_Ingrdt], tbl_Stock[CMP effectif]),0),0)</f>
        <v>6</v>
      </c>
    </row>
    <row r="901" spans="1:7" x14ac:dyDescent="0.25">
      <c r="A901" t="s">
        <v>1090</v>
      </c>
      <c r="B901" t="s">
        <v>1091</v>
      </c>
      <c r="C901" t="s">
        <v>1049</v>
      </c>
      <c r="D901" t="s">
        <v>1050</v>
      </c>
      <c r="E901">
        <v>5</v>
      </c>
      <c r="F901" t="s">
        <v>221</v>
      </c>
      <c r="G901">
        <f ca="1">IFERROR(tbl_Recettes[[#This Row],[Quantité]] * IFERROR(_xlfn.XLOOKUP(tbl_Recettes[[#This Row],[Cde_Ingrdt]], tbl_Stock[Cde_Ingrdt], tbl_Stock[CMP effectif]),0),0)</f>
        <v>0.25</v>
      </c>
    </row>
    <row r="902" spans="1:7" x14ac:dyDescent="0.25">
      <c r="A902" t="s">
        <v>1090</v>
      </c>
      <c r="B902" t="s">
        <v>1091</v>
      </c>
      <c r="C902" t="s">
        <v>864</v>
      </c>
      <c r="D902" t="s">
        <v>865</v>
      </c>
      <c r="E902">
        <v>10</v>
      </c>
      <c r="F902" t="s">
        <v>209</v>
      </c>
      <c r="G902">
        <f ca="1">IFERROR(tbl_Recettes[[#This Row],[Quantité]] * IFERROR(_xlfn.XLOOKUP(tbl_Recettes[[#This Row],[Cde_Ingrdt]], tbl_Stock[Cde_Ingrdt], tbl_Stock[CMP effectif]),0),0)</f>
        <v>1.25</v>
      </c>
    </row>
    <row r="903" spans="1:7" x14ac:dyDescent="0.25">
      <c r="A903" t="s">
        <v>1090</v>
      </c>
      <c r="B903" t="s">
        <v>1091</v>
      </c>
      <c r="C903" t="s">
        <v>870</v>
      </c>
      <c r="D903" t="s">
        <v>871</v>
      </c>
      <c r="E903">
        <v>15</v>
      </c>
      <c r="F903" t="s">
        <v>209</v>
      </c>
      <c r="G903">
        <f ca="1">IFERROR(tbl_Recettes[[#This Row],[Quantité]] * IFERROR(_xlfn.XLOOKUP(tbl_Recettes[[#This Row],[Cde_Ingrdt]], tbl_Stock[Cde_Ingrdt], tbl_Stock[CMP effectif]),0),0)</f>
        <v>6</v>
      </c>
    </row>
    <row r="904" spans="1:7" x14ac:dyDescent="0.25">
      <c r="A904" t="s">
        <v>1092</v>
      </c>
      <c r="B904" t="s">
        <v>1093</v>
      </c>
      <c r="C904" t="s">
        <v>1074</v>
      </c>
      <c r="D904" t="s">
        <v>1075</v>
      </c>
      <c r="E904">
        <v>30</v>
      </c>
      <c r="F904" t="s">
        <v>209</v>
      </c>
      <c r="G904">
        <f ca="1">IFERROR(tbl_Recettes[[#This Row],[Quantité]] * IFERROR(_xlfn.XLOOKUP(tbl_Recettes[[#This Row],[Cde_Ingrdt]], tbl_Stock[Cde_Ingrdt], tbl_Stock[CMP effectif]),0),0)</f>
        <v>4.5</v>
      </c>
    </row>
    <row r="905" spans="1:7" x14ac:dyDescent="0.25">
      <c r="A905" t="s">
        <v>1092</v>
      </c>
      <c r="B905" t="s">
        <v>1093</v>
      </c>
      <c r="C905" t="s">
        <v>1074</v>
      </c>
      <c r="D905" t="s">
        <v>1075</v>
      </c>
      <c r="E905">
        <v>30</v>
      </c>
      <c r="F905" t="s">
        <v>209</v>
      </c>
      <c r="G905">
        <f ca="1">IFERROR(tbl_Recettes[[#This Row],[Quantité]] * IFERROR(_xlfn.XLOOKUP(tbl_Recettes[[#This Row],[Cde_Ingrdt]], tbl_Stock[Cde_Ingrdt], tbl_Stock[CMP effectif]),0),0)</f>
        <v>4.5</v>
      </c>
    </row>
    <row r="906" spans="1:7" x14ac:dyDescent="0.25">
      <c r="A906" t="s">
        <v>1092</v>
      </c>
      <c r="B906" t="s">
        <v>1093</v>
      </c>
      <c r="C906" t="s">
        <v>1074</v>
      </c>
      <c r="D906" t="s">
        <v>1075</v>
      </c>
      <c r="E906">
        <v>30</v>
      </c>
      <c r="F906" t="s">
        <v>209</v>
      </c>
      <c r="G906">
        <f ca="1">IFERROR(tbl_Recettes[[#This Row],[Quantité]] * IFERROR(_xlfn.XLOOKUP(tbl_Recettes[[#This Row],[Cde_Ingrdt]], tbl_Stock[Cde_Ingrdt], tbl_Stock[CMP effectif]),0),0)</f>
        <v>4.5</v>
      </c>
    </row>
    <row r="907" spans="1:7" x14ac:dyDescent="0.25">
      <c r="A907" t="s">
        <v>1092</v>
      </c>
      <c r="B907" t="s">
        <v>1093</v>
      </c>
      <c r="C907" t="s">
        <v>991</v>
      </c>
      <c r="D907" t="s">
        <v>992</v>
      </c>
      <c r="E907">
        <v>100</v>
      </c>
      <c r="F907" t="s">
        <v>221</v>
      </c>
      <c r="G907">
        <f ca="1">IFERROR(tbl_Recettes[[#This Row],[Quantité]] * IFERROR(_xlfn.XLOOKUP(tbl_Recettes[[#This Row],[Cde_Ingrdt]], tbl_Stock[Cde_Ingrdt], tbl_Stock[CMP effectif]),0),0)</f>
        <v>1.5</v>
      </c>
    </row>
    <row r="908" spans="1:7" x14ac:dyDescent="0.25">
      <c r="A908" t="s">
        <v>1094</v>
      </c>
      <c r="B908" t="s">
        <v>1095</v>
      </c>
      <c r="C908" t="s">
        <v>870</v>
      </c>
      <c r="D908" t="s">
        <v>871</v>
      </c>
      <c r="E908">
        <v>15</v>
      </c>
      <c r="F908" t="s">
        <v>209</v>
      </c>
      <c r="G908">
        <f ca="1">IFERROR(tbl_Recettes[[#This Row],[Quantité]] * IFERROR(_xlfn.XLOOKUP(tbl_Recettes[[#This Row],[Cde_Ingrdt]], tbl_Stock[Cde_Ingrdt], tbl_Stock[CMP effectif]),0),0)</f>
        <v>6</v>
      </c>
    </row>
    <row r="909" spans="1:7" x14ac:dyDescent="0.25">
      <c r="A909" t="s">
        <v>1094</v>
      </c>
      <c r="B909" t="s">
        <v>1095</v>
      </c>
      <c r="C909" t="s">
        <v>1074</v>
      </c>
      <c r="D909" t="s">
        <v>1075</v>
      </c>
      <c r="E909">
        <v>40</v>
      </c>
      <c r="F909" t="s">
        <v>209</v>
      </c>
      <c r="G909">
        <f ca="1">IFERROR(tbl_Recettes[[#This Row],[Quantité]] * IFERROR(_xlfn.XLOOKUP(tbl_Recettes[[#This Row],[Cde_Ingrdt]], tbl_Stock[Cde_Ingrdt], tbl_Stock[CMP effectif]),0),0)</f>
        <v>6</v>
      </c>
    </row>
    <row r="910" spans="1:7" x14ac:dyDescent="0.25">
      <c r="A910" t="s">
        <v>1094</v>
      </c>
      <c r="B910" t="s">
        <v>1095</v>
      </c>
      <c r="C910" t="s">
        <v>579</v>
      </c>
      <c r="D910" t="s">
        <v>580</v>
      </c>
      <c r="E910">
        <v>15</v>
      </c>
      <c r="F910" t="s">
        <v>221</v>
      </c>
      <c r="G910">
        <f ca="1">IFERROR(tbl_Recettes[[#This Row],[Quantité]] * IFERROR(_xlfn.XLOOKUP(tbl_Recettes[[#This Row],[Cde_Ingrdt]], tbl_Stock[Cde_Ingrdt], tbl_Stock[CMP effectif]),0),0)</f>
        <v>0.75</v>
      </c>
    </row>
    <row r="911" spans="1:7" x14ac:dyDescent="0.25">
      <c r="A911" t="s">
        <v>1096</v>
      </c>
      <c r="B911" t="s">
        <v>1097</v>
      </c>
      <c r="C911" t="s">
        <v>1074</v>
      </c>
      <c r="D911" t="s">
        <v>1075</v>
      </c>
      <c r="E911">
        <v>40</v>
      </c>
      <c r="F911" t="s">
        <v>209</v>
      </c>
      <c r="G911">
        <f ca="1">IFERROR(tbl_Recettes[[#This Row],[Quantité]] * IFERROR(_xlfn.XLOOKUP(tbl_Recettes[[#This Row],[Cde_Ingrdt]], tbl_Stock[Cde_Ingrdt], tbl_Stock[CMP effectif]),0),0)</f>
        <v>6</v>
      </c>
    </row>
    <row r="912" spans="1:7" x14ac:dyDescent="0.25">
      <c r="A912" t="s">
        <v>1096</v>
      </c>
      <c r="B912" t="s">
        <v>1097</v>
      </c>
      <c r="C912" t="s">
        <v>991</v>
      </c>
      <c r="D912" t="s">
        <v>992</v>
      </c>
      <c r="E912">
        <v>100</v>
      </c>
      <c r="F912" t="s">
        <v>221</v>
      </c>
      <c r="G912">
        <f ca="1">IFERROR(tbl_Recettes[[#This Row],[Quantité]] * IFERROR(_xlfn.XLOOKUP(tbl_Recettes[[#This Row],[Cde_Ingrdt]], tbl_Stock[Cde_Ingrdt], tbl_Stock[CMP effectif]),0),0)</f>
        <v>1.5</v>
      </c>
    </row>
    <row r="913" spans="1:7" x14ac:dyDescent="0.25">
      <c r="A913" t="s">
        <v>1098</v>
      </c>
      <c r="B913" t="s">
        <v>1099</v>
      </c>
      <c r="C913" t="s">
        <v>1074</v>
      </c>
      <c r="D913" t="s">
        <v>1075</v>
      </c>
      <c r="E913">
        <v>40</v>
      </c>
      <c r="F913" t="s">
        <v>209</v>
      </c>
      <c r="G913">
        <f ca="1">IFERROR(tbl_Recettes[[#This Row],[Quantité]] * IFERROR(_xlfn.XLOOKUP(tbl_Recettes[[#This Row],[Cde_Ingrdt]], tbl_Stock[Cde_Ingrdt], tbl_Stock[CMP effectif]),0),0)</f>
        <v>6</v>
      </c>
    </row>
    <row r="914" spans="1:7" x14ac:dyDescent="0.25">
      <c r="A914" t="s">
        <v>1098</v>
      </c>
      <c r="B914" t="s">
        <v>1099</v>
      </c>
      <c r="C914" t="s">
        <v>1057</v>
      </c>
      <c r="D914" t="s">
        <v>1058</v>
      </c>
      <c r="E914">
        <v>1</v>
      </c>
      <c r="F914" t="s">
        <v>206</v>
      </c>
      <c r="G914">
        <f ca="1">IFERROR(tbl_Recettes[[#This Row],[Quantité]] * IFERROR(_xlfn.XLOOKUP(tbl_Recettes[[#This Row],[Cde_Ingrdt]], tbl_Stock[Cde_Ingrdt], tbl_Stock[CMP effectif]),0),0)</f>
        <v>4</v>
      </c>
    </row>
    <row r="915" spans="1:7" x14ac:dyDescent="0.25">
      <c r="A915" t="s">
        <v>1098</v>
      </c>
      <c r="B915" t="s">
        <v>1099</v>
      </c>
      <c r="C915" t="s">
        <v>1029</v>
      </c>
      <c r="D915" t="s">
        <v>1030</v>
      </c>
      <c r="E915">
        <v>15</v>
      </c>
      <c r="F915" t="s">
        <v>209</v>
      </c>
      <c r="G915">
        <f ca="1">IFERROR(tbl_Recettes[[#This Row],[Quantité]] * IFERROR(_xlfn.XLOOKUP(tbl_Recettes[[#This Row],[Cde_Ingrdt]], tbl_Stock[Cde_Ingrdt], tbl_Stock[CMP effectif]),0),0)</f>
        <v>1.5</v>
      </c>
    </row>
    <row r="916" spans="1:7" x14ac:dyDescent="0.25">
      <c r="A916" t="s">
        <v>1098</v>
      </c>
      <c r="B916" t="s">
        <v>1099</v>
      </c>
      <c r="C916" t="s">
        <v>991</v>
      </c>
      <c r="D916" t="s">
        <v>992</v>
      </c>
      <c r="E916">
        <v>100</v>
      </c>
      <c r="F916" t="s">
        <v>221</v>
      </c>
      <c r="G916">
        <f ca="1">IFERROR(tbl_Recettes[[#This Row],[Quantité]] * IFERROR(_xlfn.XLOOKUP(tbl_Recettes[[#This Row],[Cde_Ingrdt]], tbl_Stock[Cde_Ingrdt], tbl_Stock[CMP effectif]),0),0)</f>
        <v>1.5</v>
      </c>
    </row>
    <row r="917" spans="1:7" x14ac:dyDescent="0.25">
      <c r="A917" t="s">
        <v>1098</v>
      </c>
      <c r="B917" t="s">
        <v>1099</v>
      </c>
      <c r="C917" t="s">
        <v>892</v>
      </c>
      <c r="D917" t="s">
        <v>893</v>
      </c>
      <c r="E917">
        <v>10</v>
      </c>
      <c r="F917" t="s">
        <v>209</v>
      </c>
      <c r="G917">
        <f ca="1">IFERROR(tbl_Recettes[[#This Row],[Quantité]] * IFERROR(_xlfn.XLOOKUP(tbl_Recettes[[#This Row],[Cde_Ingrdt]], tbl_Stock[Cde_Ingrdt], tbl_Stock[CMP effectif]),0),0)</f>
        <v>7.0000000000000007E-2</v>
      </c>
    </row>
    <row r="918" spans="1:7" x14ac:dyDescent="0.25">
      <c r="A918" t="s">
        <v>1100</v>
      </c>
      <c r="B918" t="s">
        <v>1101</v>
      </c>
      <c r="C918" t="s">
        <v>1102</v>
      </c>
      <c r="D918" t="s">
        <v>1103</v>
      </c>
      <c r="E918">
        <v>15</v>
      </c>
      <c r="F918" t="s">
        <v>209</v>
      </c>
      <c r="G918">
        <f ca="1">IFERROR(tbl_Recettes[[#This Row],[Quantité]] * IFERROR(_xlfn.XLOOKUP(tbl_Recettes[[#This Row],[Cde_Ingrdt]], tbl_Stock[Cde_Ingrdt], tbl_Stock[CMP effectif]),0),0)</f>
        <v>3.15</v>
      </c>
    </row>
    <row r="919" spans="1:7" x14ac:dyDescent="0.25">
      <c r="A919" t="s">
        <v>1100</v>
      </c>
      <c r="B919" t="s">
        <v>1101</v>
      </c>
      <c r="C919" t="s">
        <v>1104</v>
      </c>
      <c r="D919" t="s">
        <v>1105</v>
      </c>
      <c r="E919">
        <v>1.5</v>
      </c>
      <c r="F919" t="s">
        <v>206</v>
      </c>
      <c r="G919">
        <f ca="1">IFERROR(tbl_Recettes[[#This Row],[Quantité]] * IFERROR(_xlfn.XLOOKUP(tbl_Recettes[[#This Row],[Cde_Ingrdt]], tbl_Stock[Cde_Ingrdt], tbl_Stock[CMP effectif]),0),0)</f>
        <v>2.25</v>
      </c>
    </row>
    <row r="920" spans="1:7" x14ac:dyDescent="0.25">
      <c r="A920" t="s">
        <v>1100</v>
      </c>
      <c r="B920" t="s">
        <v>1101</v>
      </c>
      <c r="C920" t="s">
        <v>892</v>
      </c>
      <c r="D920" t="s">
        <v>893</v>
      </c>
      <c r="E920">
        <v>15</v>
      </c>
      <c r="F920" t="s">
        <v>209</v>
      </c>
      <c r="G920">
        <f ca="1">IFERROR(tbl_Recettes[[#This Row],[Quantité]] * IFERROR(_xlfn.XLOOKUP(tbl_Recettes[[#This Row],[Cde_Ingrdt]], tbl_Stock[Cde_Ingrdt], tbl_Stock[CMP effectif]),0),0)</f>
        <v>0.105</v>
      </c>
    </row>
    <row r="921" spans="1:7" x14ac:dyDescent="0.25">
      <c r="A921" t="s">
        <v>1106</v>
      </c>
      <c r="B921" t="s">
        <v>1107</v>
      </c>
      <c r="C921" t="s">
        <v>1102</v>
      </c>
      <c r="D921" t="s">
        <v>1103</v>
      </c>
      <c r="E921">
        <v>10</v>
      </c>
      <c r="F921" t="s">
        <v>209</v>
      </c>
      <c r="G921">
        <f ca="1">IFERROR(tbl_Recettes[[#This Row],[Quantité]] * IFERROR(_xlfn.XLOOKUP(tbl_Recettes[[#This Row],[Cde_Ingrdt]], tbl_Stock[Cde_Ingrdt], tbl_Stock[CMP effectif]),0),0)</f>
        <v>2.1</v>
      </c>
    </row>
    <row r="922" spans="1:7" x14ac:dyDescent="0.25">
      <c r="A922" t="s">
        <v>1106</v>
      </c>
      <c r="B922" t="s">
        <v>1107</v>
      </c>
      <c r="C922" t="s">
        <v>1104</v>
      </c>
      <c r="D922" t="s">
        <v>1105</v>
      </c>
      <c r="E922">
        <v>1</v>
      </c>
      <c r="F922" t="s">
        <v>206</v>
      </c>
      <c r="G922">
        <f ca="1">IFERROR(tbl_Recettes[[#This Row],[Quantité]] * IFERROR(_xlfn.XLOOKUP(tbl_Recettes[[#This Row],[Cde_Ingrdt]], tbl_Stock[Cde_Ingrdt], tbl_Stock[CMP effectif]),0),0)</f>
        <v>1.5</v>
      </c>
    </row>
    <row r="923" spans="1:7" x14ac:dyDescent="0.25">
      <c r="A923" t="s">
        <v>1106</v>
      </c>
      <c r="B923" t="s">
        <v>1107</v>
      </c>
      <c r="C923" t="s">
        <v>892</v>
      </c>
      <c r="D923" t="s">
        <v>893</v>
      </c>
      <c r="E923">
        <v>12</v>
      </c>
      <c r="F923" t="s">
        <v>209</v>
      </c>
      <c r="G923">
        <f ca="1">IFERROR(tbl_Recettes[[#This Row],[Quantité]] * IFERROR(_xlfn.XLOOKUP(tbl_Recettes[[#This Row],[Cde_Ingrdt]], tbl_Stock[Cde_Ingrdt], tbl_Stock[CMP effectif]),0),0)</f>
        <v>8.4000000000000005E-2</v>
      </c>
    </row>
    <row r="924" spans="1:7" x14ac:dyDescent="0.25">
      <c r="A924" t="s">
        <v>1108</v>
      </c>
      <c r="B924" t="s">
        <v>1109</v>
      </c>
      <c r="C924" t="s">
        <v>1110</v>
      </c>
      <c r="D924" t="s">
        <v>1111</v>
      </c>
      <c r="E924">
        <v>1</v>
      </c>
      <c r="F924" t="s">
        <v>206</v>
      </c>
      <c r="G924">
        <f ca="1">IFERROR(tbl_Recettes[[#This Row],[Quantité]] * IFERROR(_xlfn.XLOOKUP(tbl_Recettes[[#This Row],[Cde_Ingrdt]], tbl_Stock[Cde_Ingrdt], tbl_Stock[CMP effectif]),0),0)</f>
        <v>1.5</v>
      </c>
    </row>
    <row r="925" spans="1:7" x14ac:dyDescent="0.25">
      <c r="A925" t="s">
        <v>1108</v>
      </c>
      <c r="B925" t="s">
        <v>1109</v>
      </c>
      <c r="C925" t="s">
        <v>991</v>
      </c>
      <c r="D925" t="s">
        <v>992</v>
      </c>
      <c r="E925">
        <v>50</v>
      </c>
      <c r="F925" t="s">
        <v>221</v>
      </c>
      <c r="G925">
        <f ca="1">IFERROR(tbl_Recettes[[#This Row],[Quantité]] * IFERROR(_xlfn.XLOOKUP(tbl_Recettes[[#This Row],[Cde_Ingrdt]], tbl_Stock[Cde_Ingrdt], tbl_Stock[CMP effectif]),0),0)</f>
        <v>0.75</v>
      </c>
    </row>
    <row r="926" spans="1:7" x14ac:dyDescent="0.25">
      <c r="A926" t="s">
        <v>1112</v>
      </c>
      <c r="B926" t="s">
        <v>1113</v>
      </c>
      <c r="C926" t="s">
        <v>1114</v>
      </c>
      <c r="D926" t="s">
        <v>1115</v>
      </c>
      <c r="E926">
        <v>1</v>
      </c>
      <c r="F926" t="s">
        <v>209</v>
      </c>
      <c r="G926">
        <f ca="1">IFERROR(tbl_Recettes[[#This Row],[Quantité]] * IFERROR(_xlfn.XLOOKUP(tbl_Recettes[[#This Row],[Cde_Ingrdt]], tbl_Stock[Cde_Ingrdt], tbl_Stock[CMP effectif]),0),0)</f>
        <v>0.3</v>
      </c>
    </row>
    <row r="927" spans="1:7" x14ac:dyDescent="0.25">
      <c r="A927" t="s">
        <v>1112</v>
      </c>
      <c r="B927" t="s">
        <v>1113</v>
      </c>
      <c r="C927" t="s">
        <v>991</v>
      </c>
      <c r="D927" t="s">
        <v>992</v>
      </c>
      <c r="E927">
        <v>50</v>
      </c>
      <c r="F927" t="s">
        <v>221</v>
      </c>
      <c r="G927">
        <f ca="1">IFERROR(tbl_Recettes[[#This Row],[Quantité]] * IFERROR(_xlfn.XLOOKUP(tbl_Recettes[[#This Row],[Cde_Ingrdt]], tbl_Stock[Cde_Ingrdt], tbl_Stock[CMP effectif]),0),0)</f>
        <v>0.75</v>
      </c>
    </row>
    <row r="928" spans="1:7" x14ac:dyDescent="0.25">
      <c r="A928" t="s">
        <v>1116</v>
      </c>
      <c r="B928" t="s">
        <v>1117</v>
      </c>
      <c r="C928" t="s">
        <v>1102</v>
      </c>
      <c r="D928" t="s">
        <v>1103</v>
      </c>
      <c r="E928">
        <v>5</v>
      </c>
      <c r="F928" t="s">
        <v>209</v>
      </c>
      <c r="G928">
        <f ca="1">IFERROR(tbl_Recettes[[#This Row],[Quantité]] * IFERROR(_xlfn.XLOOKUP(tbl_Recettes[[#This Row],[Cde_Ingrdt]], tbl_Stock[Cde_Ingrdt], tbl_Stock[CMP effectif]),0),0)</f>
        <v>1.05</v>
      </c>
    </row>
    <row r="929" spans="1:7" x14ac:dyDescent="0.25">
      <c r="A929" t="s">
        <v>1116</v>
      </c>
      <c r="B929" t="s">
        <v>1117</v>
      </c>
      <c r="C929" t="s">
        <v>1104</v>
      </c>
      <c r="D929" t="s">
        <v>1105</v>
      </c>
      <c r="E929">
        <v>0.5</v>
      </c>
      <c r="F929" t="s">
        <v>206</v>
      </c>
      <c r="G929">
        <f ca="1">IFERROR(tbl_Recettes[[#This Row],[Quantité]] * IFERROR(_xlfn.XLOOKUP(tbl_Recettes[[#This Row],[Cde_Ingrdt]], tbl_Stock[Cde_Ingrdt], tbl_Stock[CMP effectif]),0),0)</f>
        <v>0.75</v>
      </c>
    </row>
    <row r="930" spans="1:7" x14ac:dyDescent="0.25">
      <c r="A930" t="s">
        <v>1116</v>
      </c>
      <c r="B930" t="s">
        <v>1117</v>
      </c>
      <c r="C930" t="s">
        <v>892</v>
      </c>
      <c r="D930" t="s">
        <v>893</v>
      </c>
      <c r="E930">
        <v>10</v>
      </c>
      <c r="F930" t="s">
        <v>209</v>
      </c>
      <c r="G930">
        <f ca="1">IFERROR(tbl_Recettes[[#This Row],[Quantité]] * IFERROR(_xlfn.XLOOKUP(tbl_Recettes[[#This Row],[Cde_Ingrdt]], tbl_Stock[Cde_Ingrdt], tbl_Stock[CMP effectif]),0),0)</f>
        <v>7.0000000000000007E-2</v>
      </c>
    </row>
    <row r="931" spans="1:7" x14ac:dyDescent="0.25">
      <c r="A931" t="s">
        <v>1116</v>
      </c>
      <c r="B931" t="s">
        <v>1117</v>
      </c>
      <c r="C931" t="s">
        <v>1118</v>
      </c>
      <c r="D931" t="s">
        <v>1119</v>
      </c>
      <c r="E931">
        <v>2</v>
      </c>
      <c r="F931" t="s">
        <v>206</v>
      </c>
      <c r="G931">
        <f ca="1">IFERROR(tbl_Recettes[[#This Row],[Quantité]] * IFERROR(_xlfn.XLOOKUP(tbl_Recettes[[#This Row],[Cde_Ingrdt]], tbl_Stock[Cde_Ingrdt], tbl_Stock[CMP effectif]),0),0)</f>
        <v>4</v>
      </c>
    </row>
    <row r="932" spans="1:7" x14ac:dyDescent="0.25">
      <c r="A932" t="s">
        <v>1120</v>
      </c>
      <c r="B932" t="s">
        <v>1121</v>
      </c>
      <c r="C932" t="s">
        <v>357</v>
      </c>
      <c r="D932" t="s">
        <v>358</v>
      </c>
      <c r="E932">
        <v>80</v>
      </c>
      <c r="F932" t="s">
        <v>209</v>
      </c>
      <c r="G932">
        <f ca="1">IFERROR(tbl_Recettes[[#This Row],[Quantité]] * IFERROR(_xlfn.XLOOKUP(tbl_Recettes[[#This Row],[Cde_Ingrdt]], tbl_Stock[Cde_Ingrdt], tbl_Stock[CMP effectif]),0),0)</f>
        <v>4</v>
      </c>
    </row>
    <row r="933" spans="1:7" x14ac:dyDescent="0.25">
      <c r="A933" t="s">
        <v>1120</v>
      </c>
      <c r="B933" t="s">
        <v>1121</v>
      </c>
      <c r="C933" t="s">
        <v>355</v>
      </c>
      <c r="D933" t="s">
        <v>356</v>
      </c>
      <c r="E933">
        <v>60</v>
      </c>
      <c r="F933" t="s">
        <v>209</v>
      </c>
      <c r="G933">
        <f ca="1">IFERROR(tbl_Recettes[[#This Row],[Quantité]] * IFERROR(_xlfn.XLOOKUP(tbl_Recettes[[#This Row],[Cde_Ingrdt]], tbl_Stock[Cde_Ingrdt], tbl_Stock[CMP effectif]),0),0)</f>
        <v>3</v>
      </c>
    </row>
    <row r="934" spans="1:7" x14ac:dyDescent="0.25">
      <c r="A934" t="s">
        <v>1120</v>
      </c>
      <c r="B934" t="s">
        <v>1121</v>
      </c>
      <c r="C934" t="s">
        <v>1122</v>
      </c>
      <c r="D934" t="s">
        <v>1123</v>
      </c>
      <c r="E934">
        <v>2</v>
      </c>
      <c r="F934" t="s">
        <v>209</v>
      </c>
      <c r="G934">
        <f ca="1">IFERROR(tbl_Recettes[[#This Row],[Quantité]] * IFERROR(_xlfn.XLOOKUP(tbl_Recettes[[#This Row],[Cde_Ingrdt]], tbl_Stock[Cde_Ingrdt], tbl_Stock[CMP effectif]),0),0)</f>
        <v>0.18</v>
      </c>
    </row>
    <row r="935" spans="1:7" x14ac:dyDescent="0.25">
      <c r="A935" t="s">
        <v>1120</v>
      </c>
      <c r="B935" t="s">
        <v>1121</v>
      </c>
      <c r="C935" t="s">
        <v>497</v>
      </c>
      <c r="D935" t="s">
        <v>498</v>
      </c>
      <c r="E935">
        <v>10</v>
      </c>
      <c r="F935" t="s">
        <v>209</v>
      </c>
      <c r="G935">
        <f ca="1">IFERROR(tbl_Recettes[[#This Row],[Quantité]] * IFERROR(_xlfn.XLOOKUP(tbl_Recettes[[#This Row],[Cde_Ingrdt]], tbl_Stock[Cde_Ingrdt], tbl_Stock[CMP effectif]),0),0)</f>
        <v>0.3</v>
      </c>
    </row>
    <row r="936" spans="1:7" x14ac:dyDescent="0.25">
      <c r="A936" t="s">
        <v>1120</v>
      </c>
      <c r="B936" t="s">
        <v>1121</v>
      </c>
      <c r="C936" t="s">
        <v>1104</v>
      </c>
      <c r="D936" t="s">
        <v>1105</v>
      </c>
      <c r="E936">
        <v>0.1</v>
      </c>
      <c r="F936" t="s">
        <v>206</v>
      </c>
      <c r="G936">
        <f ca="1">IFERROR(tbl_Recettes[[#This Row],[Quantité]] * IFERROR(_xlfn.XLOOKUP(tbl_Recettes[[#This Row],[Cde_Ingrdt]], tbl_Stock[Cde_Ingrdt], tbl_Stock[CMP effectif]),0),0)</f>
        <v>0.15000000000000002</v>
      </c>
    </row>
    <row r="937" spans="1:7" x14ac:dyDescent="0.25">
      <c r="A937" t="s">
        <v>1124</v>
      </c>
      <c r="B937" t="s">
        <v>1125</v>
      </c>
      <c r="C937" t="s">
        <v>1126</v>
      </c>
      <c r="D937" t="s">
        <v>1127</v>
      </c>
      <c r="E937">
        <v>60</v>
      </c>
      <c r="F937" t="s">
        <v>209</v>
      </c>
      <c r="G937">
        <f ca="1">IFERROR(tbl_Recettes[[#This Row],[Quantité]] * IFERROR(_xlfn.XLOOKUP(tbl_Recettes[[#This Row],[Cde_Ingrdt]], tbl_Stock[Cde_Ingrdt], tbl_Stock[CMP effectif]),0),0)</f>
        <v>1.7999999999999998</v>
      </c>
    </row>
    <row r="938" spans="1:7" x14ac:dyDescent="0.25">
      <c r="A938" t="s">
        <v>1124</v>
      </c>
      <c r="B938" t="s">
        <v>1125</v>
      </c>
      <c r="C938" t="s">
        <v>1037</v>
      </c>
      <c r="D938" t="s">
        <v>1038</v>
      </c>
      <c r="E938">
        <v>60</v>
      </c>
      <c r="F938" t="s">
        <v>209</v>
      </c>
      <c r="G938">
        <f ca="1">IFERROR(tbl_Recettes[[#This Row],[Quantité]] * IFERROR(_xlfn.XLOOKUP(tbl_Recettes[[#This Row],[Cde_Ingrdt]], tbl_Stock[Cde_Ingrdt], tbl_Stock[CMP effectif]),0),0)</f>
        <v>12</v>
      </c>
    </row>
    <row r="939" spans="1:7" x14ac:dyDescent="0.25">
      <c r="A939" t="s">
        <v>1124</v>
      </c>
      <c r="B939" t="s">
        <v>1125</v>
      </c>
      <c r="C939" t="s">
        <v>1128</v>
      </c>
      <c r="D939" t="s">
        <v>1129</v>
      </c>
      <c r="E939">
        <v>40</v>
      </c>
      <c r="F939" t="s">
        <v>221</v>
      </c>
      <c r="G939">
        <f ca="1">IFERROR(tbl_Recettes[[#This Row],[Quantité]] * IFERROR(_xlfn.XLOOKUP(tbl_Recettes[[#This Row],[Cde_Ingrdt]], tbl_Stock[Cde_Ingrdt], tbl_Stock[CMP effectif]),0),0)</f>
        <v>2.52</v>
      </c>
    </row>
    <row r="940" spans="1:7" x14ac:dyDescent="0.25">
      <c r="A940" t="s">
        <v>1124</v>
      </c>
      <c r="B940" t="s">
        <v>1125</v>
      </c>
      <c r="C940" t="s">
        <v>1049</v>
      </c>
      <c r="D940" t="s">
        <v>1050</v>
      </c>
      <c r="E940">
        <v>10</v>
      </c>
      <c r="F940" t="s">
        <v>221</v>
      </c>
      <c r="G940">
        <f ca="1">IFERROR(tbl_Recettes[[#This Row],[Quantité]] * IFERROR(_xlfn.XLOOKUP(tbl_Recettes[[#This Row],[Cde_Ingrdt]], tbl_Stock[Cde_Ingrdt], tbl_Stock[CMP effectif]),0),0)</f>
        <v>0.5</v>
      </c>
    </row>
    <row r="941" spans="1:7" x14ac:dyDescent="0.25">
      <c r="A941" t="s">
        <v>1130</v>
      </c>
      <c r="B941" t="s">
        <v>1131</v>
      </c>
      <c r="C941" t="s">
        <v>977</v>
      </c>
      <c r="D941" t="s">
        <v>978</v>
      </c>
      <c r="E941">
        <v>100</v>
      </c>
      <c r="F941" t="s">
        <v>209</v>
      </c>
      <c r="G941">
        <f ca="1">IFERROR(tbl_Recettes[[#This Row],[Quantité]] * IFERROR(_xlfn.XLOOKUP(tbl_Recettes[[#This Row],[Cde_Ingrdt]], tbl_Stock[Cde_Ingrdt], tbl_Stock[CMP effectif]),0),0)</f>
        <v>2</v>
      </c>
    </row>
    <row r="942" spans="1:7" x14ac:dyDescent="0.25">
      <c r="A942" t="s">
        <v>1130</v>
      </c>
      <c r="B942" t="s">
        <v>1131</v>
      </c>
      <c r="C942" t="s">
        <v>997</v>
      </c>
      <c r="D942" t="s">
        <v>998</v>
      </c>
      <c r="E942">
        <v>100</v>
      </c>
      <c r="F942" t="s">
        <v>209</v>
      </c>
      <c r="G942">
        <f ca="1">IFERROR(tbl_Recettes[[#This Row],[Quantité]] * IFERROR(_xlfn.XLOOKUP(tbl_Recettes[[#This Row],[Cde_Ingrdt]], tbl_Stock[Cde_Ingrdt], tbl_Stock[CMP effectif]),0),0)</f>
        <v>5</v>
      </c>
    </row>
    <row r="943" spans="1:7" x14ac:dyDescent="0.25">
      <c r="A943" t="s">
        <v>1130</v>
      </c>
      <c r="B943" t="s">
        <v>1131</v>
      </c>
      <c r="C943" t="s">
        <v>497</v>
      </c>
      <c r="D943" t="s">
        <v>498</v>
      </c>
      <c r="E943">
        <v>40</v>
      </c>
      <c r="F943" t="s">
        <v>209</v>
      </c>
      <c r="G943">
        <f ca="1">IFERROR(tbl_Recettes[[#This Row],[Quantité]] * IFERROR(_xlfn.XLOOKUP(tbl_Recettes[[#This Row],[Cde_Ingrdt]], tbl_Stock[Cde_Ingrdt], tbl_Stock[CMP effectif]),0),0)</f>
        <v>1.2</v>
      </c>
    </row>
    <row r="944" spans="1:7" x14ac:dyDescent="0.25">
      <c r="A944" t="s">
        <v>1130</v>
      </c>
      <c r="B944" t="s">
        <v>1131</v>
      </c>
      <c r="C944" t="s">
        <v>1049</v>
      </c>
      <c r="D944" t="s">
        <v>1050</v>
      </c>
      <c r="E944">
        <v>10</v>
      </c>
      <c r="F944" t="s">
        <v>221</v>
      </c>
      <c r="G944">
        <f ca="1">IFERROR(tbl_Recettes[[#This Row],[Quantité]] * IFERROR(_xlfn.XLOOKUP(tbl_Recettes[[#This Row],[Cde_Ingrdt]], tbl_Stock[Cde_Ingrdt], tbl_Stock[CMP effectif]),0),0)</f>
        <v>0.5</v>
      </c>
    </row>
    <row r="945" spans="1:7" x14ac:dyDescent="0.25">
      <c r="A945" t="s">
        <v>1130</v>
      </c>
      <c r="B945" t="s">
        <v>1131</v>
      </c>
      <c r="C945" t="s">
        <v>997</v>
      </c>
      <c r="D945" t="s">
        <v>998</v>
      </c>
      <c r="E945">
        <v>10</v>
      </c>
      <c r="F945" t="s">
        <v>209</v>
      </c>
      <c r="G945">
        <f ca="1">IFERROR(tbl_Recettes[[#This Row],[Quantité]] * IFERROR(_xlfn.XLOOKUP(tbl_Recettes[[#This Row],[Cde_Ingrdt]], tbl_Stock[Cde_Ingrdt], tbl_Stock[CMP effectif]),0),0)</f>
        <v>0.5</v>
      </c>
    </row>
    <row r="946" spans="1:7" x14ac:dyDescent="0.25">
      <c r="A946" t="s">
        <v>1132</v>
      </c>
      <c r="B946" t="s">
        <v>1133</v>
      </c>
      <c r="C946" t="s">
        <v>979</v>
      </c>
      <c r="D946" t="s">
        <v>980</v>
      </c>
      <c r="E946">
        <v>60</v>
      </c>
      <c r="F946" t="s">
        <v>209</v>
      </c>
      <c r="G946">
        <f ca="1">IFERROR(tbl_Recettes[[#This Row],[Quantité]] * IFERROR(_xlfn.XLOOKUP(tbl_Recettes[[#This Row],[Cde_Ingrdt]], tbl_Stock[Cde_Ingrdt], tbl_Stock[CMP effectif]),0),0)</f>
        <v>0.89999999999999991</v>
      </c>
    </row>
    <row r="947" spans="1:7" x14ac:dyDescent="0.25">
      <c r="A947" t="s">
        <v>1132</v>
      </c>
      <c r="B947" t="s">
        <v>1133</v>
      </c>
      <c r="C947" t="s">
        <v>983</v>
      </c>
      <c r="D947" t="s">
        <v>984</v>
      </c>
      <c r="E947">
        <v>40</v>
      </c>
      <c r="F947" t="s">
        <v>209</v>
      </c>
      <c r="G947">
        <f ca="1">IFERROR(tbl_Recettes[[#This Row],[Quantité]] * IFERROR(_xlfn.XLOOKUP(tbl_Recettes[[#This Row],[Cde_Ingrdt]], tbl_Stock[Cde_Ingrdt], tbl_Stock[CMP effectif]),0),0)</f>
        <v>3.2</v>
      </c>
    </row>
    <row r="948" spans="1:7" x14ac:dyDescent="0.25">
      <c r="A948" t="s">
        <v>1132</v>
      </c>
      <c r="B948" t="s">
        <v>1133</v>
      </c>
      <c r="C948" t="s">
        <v>1134</v>
      </c>
      <c r="D948" t="s">
        <v>1135</v>
      </c>
      <c r="E948">
        <v>50</v>
      </c>
      <c r="F948" t="s">
        <v>209</v>
      </c>
      <c r="G948">
        <f ca="1">IFERROR(tbl_Recettes[[#This Row],[Quantité]] * IFERROR(_xlfn.XLOOKUP(tbl_Recettes[[#This Row],[Cde_Ingrdt]], tbl_Stock[Cde_Ingrdt], tbl_Stock[CMP effectif]),0),0)</f>
        <v>2.5</v>
      </c>
    </row>
    <row r="949" spans="1:7" x14ac:dyDescent="0.25">
      <c r="A949" t="s">
        <v>1132</v>
      </c>
      <c r="B949" t="s">
        <v>1133</v>
      </c>
      <c r="C949" t="s">
        <v>1049</v>
      </c>
      <c r="D949" t="s">
        <v>1050</v>
      </c>
      <c r="E949">
        <v>10</v>
      </c>
      <c r="F949" t="s">
        <v>221</v>
      </c>
      <c r="G949">
        <f ca="1">IFERROR(tbl_Recettes[[#This Row],[Quantité]] * IFERROR(_xlfn.XLOOKUP(tbl_Recettes[[#This Row],[Cde_Ingrdt]], tbl_Stock[Cde_Ingrdt], tbl_Stock[CMP effectif]),0),0)</f>
        <v>0.5</v>
      </c>
    </row>
    <row r="950" spans="1:7" x14ac:dyDescent="0.25">
      <c r="A950" t="s">
        <v>1132</v>
      </c>
      <c r="B950" t="s">
        <v>1133</v>
      </c>
      <c r="C950" t="s">
        <v>949</v>
      </c>
      <c r="D950" t="s">
        <v>950</v>
      </c>
      <c r="E950">
        <v>20</v>
      </c>
      <c r="F950" t="s">
        <v>209</v>
      </c>
      <c r="G950">
        <f ca="1">IFERROR(tbl_Recettes[[#This Row],[Quantité]] * IFERROR(_xlfn.XLOOKUP(tbl_Recettes[[#This Row],[Cde_Ingrdt]], tbl_Stock[Cde_Ingrdt], tbl_Stock[CMP effectif]),0),0)</f>
        <v>0.68</v>
      </c>
    </row>
    <row r="951" spans="1:7" x14ac:dyDescent="0.25">
      <c r="A951" t="s">
        <v>1136</v>
      </c>
      <c r="B951" t="s">
        <v>1137</v>
      </c>
      <c r="C951" t="s">
        <v>975</v>
      </c>
      <c r="D951" t="s">
        <v>976</v>
      </c>
      <c r="E951">
        <v>200</v>
      </c>
      <c r="F951" t="s">
        <v>209</v>
      </c>
      <c r="G951">
        <f ca="1">IFERROR(tbl_Recettes[[#This Row],[Quantité]] * IFERROR(_xlfn.XLOOKUP(tbl_Recettes[[#This Row],[Cde_Ingrdt]], tbl_Stock[Cde_Ingrdt], tbl_Stock[CMP effectif]),0),0)</f>
        <v>4</v>
      </c>
    </row>
    <row r="952" spans="1:7" x14ac:dyDescent="0.25">
      <c r="A952" t="s">
        <v>1136</v>
      </c>
      <c r="B952" t="s">
        <v>1137</v>
      </c>
      <c r="C952" t="s">
        <v>401</v>
      </c>
      <c r="D952" t="s">
        <v>402</v>
      </c>
      <c r="E952">
        <v>100</v>
      </c>
      <c r="F952" t="s">
        <v>209</v>
      </c>
      <c r="G952">
        <f ca="1">IFERROR(tbl_Recettes[[#This Row],[Quantité]] * IFERROR(_xlfn.XLOOKUP(tbl_Recettes[[#This Row],[Cde_Ingrdt]], tbl_Stock[Cde_Ingrdt], tbl_Stock[CMP effectif]),0),0)</f>
        <v>1</v>
      </c>
    </row>
    <row r="953" spans="1:7" x14ac:dyDescent="0.25">
      <c r="A953" t="s">
        <v>1136</v>
      </c>
      <c r="B953" t="s">
        <v>1137</v>
      </c>
      <c r="C953" t="s">
        <v>1122</v>
      </c>
      <c r="D953" t="s">
        <v>1123</v>
      </c>
      <c r="E953">
        <v>10</v>
      </c>
      <c r="F953" t="s">
        <v>209</v>
      </c>
      <c r="G953">
        <f ca="1">IFERROR(tbl_Recettes[[#This Row],[Quantité]] * IFERROR(_xlfn.XLOOKUP(tbl_Recettes[[#This Row],[Cde_Ingrdt]], tbl_Stock[Cde_Ingrdt], tbl_Stock[CMP effectif]),0),0)</f>
        <v>0.89999999999999991</v>
      </c>
    </row>
    <row r="954" spans="1:7" x14ac:dyDescent="0.25">
      <c r="A954" t="s">
        <v>1136</v>
      </c>
      <c r="B954" t="s">
        <v>1137</v>
      </c>
      <c r="C954" t="s">
        <v>283</v>
      </c>
      <c r="D954" t="s">
        <v>284</v>
      </c>
      <c r="E954">
        <v>10</v>
      </c>
      <c r="F954" t="s">
        <v>221</v>
      </c>
      <c r="G954">
        <f ca="1">IFERROR(tbl_Recettes[[#This Row],[Quantité]] * IFERROR(_xlfn.XLOOKUP(tbl_Recettes[[#This Row],[Cde_Ingrdt]], tbl_Stock[Cde_Ingrdt], tbl_Stock[CMP effectif]),0),0)</f>
        <v>4</v>
      </c>
    </row>
    <row r="955" spans="1:7" x14ac:dyDescent="0.25">
      <c r="A955" t="s">
        <v>1136</v>
      </c>
      <c r="B955" t="s">
        <v>1137</v>
      </c>
      <c r="C955" t="s">
        <v>975</v>
      </c>
      <c r="D955" t="s">
        <v>976</v>
      </c>
      <c r="E955">
        <v>30</v>
      </c>
      <c r="F955" t="s">
        <v>209</v>
      </c>
      <c r="G955">
        <f ca="1">IFERROR(tbl_Recettes[[#This Row],[Quantité]] * IFERROR(_xlfn.XLOOKUP(tbl_Recettes[[#This Row],[Cde_Ingrdt]], tbl_Stock[Cde_Ingrdt], tbl_Stock[CMP effectif]),0),0)</f>
        <v>0.6</v>
      </c>
    </row>
    <row r="956" spans="1:7" x14ac:dyDescent="0.25">
      <c r="A956" t="s">
        <v>69</v>
      </c>
      <c r="B956" t="s">
        <v>1138</v>
      </c>
      <c r="C956" t="s">
        <v>357</v>
      </c>
      <c r="D956" t="s">
        <v>358</v>
      </c>
      <c r="E956">
        <v>100</v>
      </c>
      <c r="F956" t="s">
        <v>209</v>
      </c>
      <c r="G956">
        <f ca="1">IFERROR(tbl_Recettes[[#This Row],[Quantité]] * IFERROR(_xlfn.XLOOKUP(tbl_Recettes[[#This Row],[Cde_Ingrdt]], tbl_Stock[Cde_Ingrdt], tbl_Stock[CMP effectif]),0),0)</f>
        <v>5</v>
      </c>
    </row>
    <row r="957" spans="1:7" x14ac:dyDescent="0.25">
      <c r="A957" t="s">
        <v>69</v>
      </c>
      <c r="B957" t="s">
        <v>1138</v>
      </c>
      <c r="C957" t="s">
        <v>1128</v>
      </c>
      <c r="D957" t="s">
        <v>1129</v>
      </c>
      <c r="E957">
        <v>40</v>
      </c>
      <c r="F957" t="s">
        <v>221</v>
      </c>
      <c r="G957">
        <f ca="1">IFERROR(tbl_Recettes[[#This Row],[Quantité]] * IFERROR(_xlfn.XLOOKUP(tbl_Recettes[[#This Row],[Cde_Ingrdt]], tbl_Stock[Cde_Ingrdt], tbl_Stock[CMP effectif]),0),0)</f>
        <v>2.52</v>
      </c>
    </row>
    <row r="958" spans="1:7" x14ac:dyDescent="0.25">
      <c r="A958" t="s">
        <v>69</v>
      </c>
      <c r="B958" t="s">
        <v>1138</v>
      </c>
      <c r="C958" t="s">
        <v>579</v>
      </c>
      <c r="D958" t="s">
        <v>580</v>
      </c>
      <c r="E958">
        <v>30</v>
      </c>
      <c r="F958" t="s">
        <v>221</v>
      </c>
      <c r="G958">
        <f ca="1">IFERROR(tbl_Recettes[[#This Row],[Quantité]] * IFERROR(_xlfn.XLOOKUP(tbl_Recettes[[#This Row],[Cde_Ingrdt]], tbl_Stock[Cde_Ingrdt], tbl_Stock[CMP effectif]),0),0)</f>
        <v>1.5</v>
      </c>
    </row>
    <row r="959" spans="1:7" x14ac:dyDescent="0.25">
      <c r="A959" t="s">
        <v>69</v>
      </c>
      <c r="B959" t="s">
        <v>1138</v>
      </c>
      <c r="C959" t="s">
        <v>892</v>
      </c>
      <c r="D959" t="s">
        <v>893</v>
      </c>
      <c r="E959">
        <v>15</v>
      </c>
      <c r="F959" t="s">
        <v>209</v>
      </c>
      <c r="G959">
        <f ca="1">IFERROR(tbl_Recettes[[#This Row],[Quantité]] * IFERROR(_xlfn.XLOOKUP(tbl_Recettes[[#This Row],[Cde_Ingrdt]], tbl_Stock[Cde_Ingrdt], tbl_Stock[CMP effectif]),0),0)</f>
        <v>0.105</v>
      </c>
    </row>
    <row r="960" spans="1:7" x14ac:dyDescent="0.25">
      <c r="A960" t="s">
        <v>53</v>
      </c>
      <c r="B960" t="s">
        <v>1139</v>
      </c>
      <c r="C960" t="s">
        <v>979</v>
      </c>
      <c r="D960" t="s">
        <v>980</v>
      </c>
      <c r="E960">
        <v>100</v>
      </c>
      <c r="F960" t="s">
        <v>209</v>
      </c>
      <c r="G960">
        <f ca="1">IFERROR(tbl_Recettes[[#This Row],[Quantité]] * IFERROR(_xlfn.XLOOKUP(tbl_Recettes[[#This Row],[Cde_Ingrdt]], tbl_Stock[Cde_Ingrdt], tbl_Stock[CMP effectif]),0),0)</f>
        <v>1.5</v>
      </c>
    </row>
    <row r="961" spans="1:7" x14ac:dyDescent="0.25">
      <c r="A961" t="s">
        <v>53</v>
      </c>
      <c r="B961" t="s">
        <v>1139</v>
      </c>
      <c r="C961" t="s">
        <v>497</v>
      </c>
      <c r="D961" t="s">
        <v>498</v>
      </c>
      <c r="E961">
        <v>30</v>
      </c>
      <c r="F961" t="s">
        <v>209</v>
      </c>
      <c r="G961">
        <f ca="1">IFERROR(tbl_Recettes[[#This Row],[Quantité]] * IFERROR(_xlfn.XLOOKUP(tbl_Recettes[[#This Row],[Cde_Ingrdt]], tbl_Stock[Cde_Ingrdt], tbl_Stock[CMP effectif]),0),0)</f>
        <v>0.89999999999999991</v>
      </c>
    </row>
    <row r="962" spans="1:7" x14ac:dyDescent="0.25">
      <c r="A962" t="s">
        <v>53</v>
      </c>
      <c r="B962" t="s">
        <v>1139</v>
      </c>
      <c r="C962" t="s">
        <v>1049</v>
      </c>
      <c r="D962" t="s">
        <v>1050</v>
      </c>
      <c r="E962">
        <v>10</v>
      </c>
      <c r="F962" t="s">
        <v>221</v>
      </c>
      <c r="G962">
        <f ca="1">IFERROR(tbl_Recettes[[#This Row],[Quantité]] * IFERROR(_xlfn.XLOOKUP(tbl_Recettes[[#This Row],[Cde_Ingrdt]], tbl_Stock[Cde_Ingrdt], tbl_Stock[CMP effectif]),0),0)</f>
        <v>0.5</v>
      </c>
    </row>
    <row r="963" spans="1:7" x14ac:dyDescent="0.25">
      <c r="A963" t="s">
        <v>53</v>
      </c>
      <c r="B963" t="s">
        <v>1139</v>
      </c>
      <c r="C963" t="s">
        <v>1104</v>
      </c>
      <c r="D963" t="s">
        <v>1105</v>
      </c>
      <c r="E963">
        <v>0.1</v>
      </c>
      <c r="F963" t="s">
        <v>206</v>
      </c>
      <c r="G963">
        <f ca="1">IFERROR(tbl_Recettes[[#This Row],[Quantité]] * IFERROR(_xlfn.XLOOKUP(tbl_Recettes[[#This Row],[Cde_Ingrdt]], tbl_Stock[Cde_Ingrdt], tbl_Stock[CMP effectif]),0),0)</f>
        <v>0.15000000000000002</v>
      </c>
    </row>
    <row r="964" spans="1:7" x14ac:dyDescent="0.25">
      <c r="A964" t="s">
        <v>53</v>
      </c>
      <c r="B964" t="s">
        <v>1139</v>
      </c>
      <c r="C964" t="s">
        <v>1140</v>
      </c>
      <c r="D964" t="s">
        <v>1141</v>
      </c>
      <c r="E964">
        <v>0.5</v>
      </c>
      <c r="F964" t="s">
        <v>206</v>
      </c>
      <c r="G964">
        <f ca="1">IFERROR(tbl_Recettes[[#This Row],[Quantité]] * IFERROR(_xlfn.XLOOKUP(tbl_Recettes[[#This Row],[Cde_Ingrdt]], tbl_Stock[Cde_Ingrdt], tbl_Stock[CMP effectif]),0),0)</f>
        <v>1.5</v>
      </c>
    </row>
    <row r="965" spans="1:7" x14ac:dyDescent="0.25">
      <c r="A965" t="s">
        <v>55</v>
      </c>
      <c r="B965" t="s">
        <v>1142</v>
      </c>
      <c r="C965" t="s">
        <v>497</v>
      </c>
      <c r="D965" t="s">
        <v>498</v>
      </c>
      <c r="E965">
        <v>15</v>
      </c>
      <c r="F965" t="s">
        <v>209</v>
      </c>
      <c r="G965">
        <f ca="1">IFERROR(tbl_Recettes[[#This Row],[Quantité]] * IFERROR(_xlfn.XLOOKUP(tbl_Recettes[[#This Row],[Cde_Ingrdt]], tbl_Stock[Cde_Ingrdt], tbl_Stock[CMP effectif]),0),0)</f>
        <v>0.44999999999999996</v>
      </c>
    </row>
    <row r="966" spans="1:7" x14ac:dyDescent="0.25">
      <c r="A966" t="s">
        <v>55</v>
      </c>
      <c r="B966" t="s">
        <v>1142</v>
      </c>
      <c r="C966" t="s">
        <v>1049</v>
      </c>
      <c r="D966" t="s">
        <v>1050</v>
      </c>
      <c r="E966">
        <v>10</v>
      </c>
      <c r="F966" t="s">
        <v>221</v>
      </c>
      <c r="G966">
        <f ca="1">IFERROR(tbl_Recettes[[#This Row],[Quantité]] * IFERROR(_xlfn.XLOOKUP(tbl_Recettes[[#This Row],[Cde_Ingrdt]], tbl_Stock[Cde_Ingrdt], tbl_Stock[CMP effectif]),0),0)</f>
        <v>0.5</v>
      </c>
    </row>
    <row r="967" spans="1:7" x14ac:dyDescent="0.25">
      <c r="A967" t="s">
        <v>55</v>
      </c>
      <c r="B967" t="s">
        <v>1142</v>
      </c>
      <c r="C967" t="s">
        <v>1104</v>
      </c>
      <c r="D967" t="s">
        <v>1105</v>
      </c>
      <c r="E967">
        <v>0.25</v>
      </c>
      <c r="F967" t="s">
        <v>206</v>
      </c>
      <c r="G967">
        <f ca="1">IFERROR(tbl_Recettes[[#This Row],[Quantité]] * IFERROR(_xlfn.XLOOKUP(tbl_Recettes[[#This Row],[Cde_Ingrdt]], tbl_Stock[Cde_Ingrdt], tbl_Stock[CMP effectif]),0),0)</f>
        <v>0.375</v>
      </c>
    </row>
    <row r="968" spans="1:7" x14ac:dyDescent="0.25">
      <c r="A968" t="s">
        <v>55</v>
      </c>
      <c r="B968" t="s">
        <v>1142</v>
      </c>
      <c r="C968" t="s">
        <v>1140</v>
      </c>
      <c r="D968" t="s">
        <v>1141</v>
      </c>
      <c r="E968">
        <v>0.5</v>
      </c>
      <c r="F968" t="s">
        <v>206</v>
      </c>
      <c r="G968">
        <f ca="1">IFERROR(tbl_Recettes[[#This Row],[Quantité]] * IFERROR(_xlfn.XLOOKUP(tbl_Recettes[[#This Row],[Cde_Ingrdt]], tbl_Stock[Cde_Ingrdt], tbl_Stock[CMP effectif]),0),0)</f>
        <v>1.5</v>
      </c>
    </row>
    <row r="969" spans="1:7" x14ac:dyDescent="0.25">
      <c r="A969" t="s">
        <v>1143</v>
      </c>
      <c r="B969" t="s">
        <v>1144</v>
      </c>
      <c r="C969" t="s">
        <v>497</v>
      </c>
      <c r="D969" t="s">
        <v>498</v>
      </c>
      <c r="E969">
        <v>150</v>
      </c>
      <c r="F969" t="s">
        <v>209</v>
      </c>
      <c r="G969">
        <f ca="1">IFERROR(tbl_Recettes[[#This Row],[Quantité]] * IFERROR(_xlfn.XLOOKUP(tbl_Recettes[[#This Row],[Cde_Ingrdt]], tbl_Stock[Cde_Ingrdt], tbl_Stock[CMP effectif]),0),0)</f>
        <v>4.5</v>
      </c>
    </row>
    <row r="970" spans="1:7" x14ac:dyDescent="0.25">
      <c r="A970" t="s">
        <v>1143</v>
      </c>
      <c r="B970" t="s">
        <v>1144</v>
      </c>
      <c r="C970" t="s">
        <v>892</v>
      </c>
      <c r="D970" t="s">
        <v>893</v>
      </c>
      <c r="E970">
        <v>30</v>
      </c>
      <c r="F970" t="s">
        <v>209</v>
      </c>
      <c r="G970">
        <f ca="1">IFERROR(tbl_Recettes[[#This Row],[Quantité]] * IFERROR(_xlfn.XLOOKUP(tbl_Recettes[[#This Row],[Cde_Ingrdt]], tbl_Stock[Cde_Ingrdt], tbl_Stock[CMP effectif]),0),0)</f>
        <v>0.21</v>
      </c>
    </row>
    <row r="971" spans="1:7" x14ac:dyDescent="0.25">
      <c r="A971" t="s">
        <v>56</v>
      </c>
      <c r="B971" t="s">
        <v>1145</v>
      </c>
      <c r="C971" t="s">
        <v>1146</v>
      </c>
      <c r="D971" t="s">
        <v>1147</v>
      </c>
      <c r="E971">
        <v>1</v>
      </c>
      <c r="F971" t="s">
        <v>206</v>
      </c>
      <c r="G971">
        <f ca="1">IFERROR(tbl_Recettes[[#This Row],[Quantité]] * IFERROR(_xlfn.XLOOKUP(tbl_Recettes[[#This Row],[Cde_Ingrdt]], tbl_Stock[Cde_Ingrdt], tbl_Stock[CMP effectif]),0),0)</f>
        <v>9</v>
      </c>
    </row>
    <row r="972" spans="1:7" x14ac:dyDescent="0.25">
      <c r="A972" t="s">
        <v>63</v>
      </c>
      <c r="B972" t="s">
        <v>1148</v>
      </c>
      <c r="C972" t="s">
        <v>1149</v>
      </c>
      <c r="D972" t="s">
        <v>1150</v>
      </c>
      <c r="E972">
        <v>1</v>
      </c>
      <c r="F972" t="s">
        <v>206</v>
      </c>
      <c r="G972">
        <f ca="1">IFERROR(tbl_Recettes[[#This Row],[Quantité]] * IFERROR(_xlfn.XLOOKUP(tbl_Recettes[[#This Row],[Cde_Ingrdt]], tbl_Stock[Cde_Ingrdt], tbl_Stock[CMP effectif]),0),0)</f>
        <v>4.5</v>
      </c>
    </row>
    <row r="973" spans="1:7" x14ac:dyDescent="0.25">
      <c r="A973" t="s">
        <v>59</v>
      </c>
      <c r="B973" t="s">
        <v>1151</v>
      </c>
      <c r="C973" t="s">
        <v>1152</v>
      </c>
      <c r="D973" t="s">
        <v>1153</v>
      </c>
      <c r="E973">
        <v>1</v>
      </c>
      <c r="F973" t="s">
        <v>206</v>
      </c>
      <c r="G973">
        <f ca="1">IFERROR(tbl_Recettes[[#This Row],[Quantité]] * IFERROR(_xlfn.XLOOKUP(tbl_Recettes[[#This Row],[Cde_Ingrdt]], tbl_Stock[Cde_Ingrdt], tbl_Stock[CMP effectif]),0),0)</f>
        <v>3</v>
      </c>
    </row>
    <row r="974" spans="1:7" x14ac:dyDescent="0.25">
      <c r="A974" t="s">
        <v>60</v>
      </c>
      <c r="B974" t="s">
        <v>1154</v>
      </c>
      <c r="C974" t="s">
        <v>1155</v>
      </c>
      <c r="D974" t="s">
        <v>1156</v>
      </c>
      <c r="E974">
        <v>1</v>
      </c>
      <c r="F974" t="s">
        <v>206</v>
      </c>
      <c r="G974">
        <f ca="1">IFERROR(tbl_Recettes[[#This Row],[Quantité]] * IFERROR(_xlfn.XLOOKUP(tbl_Recettes[[#This Row],[Cde_Ingrdt]], tbl_Stock[Cde_Ingrdt], tbl_Stock[CMP effectif]),0),0)</f>
        <v>2</v>
      </c>
    </row>
    <row r="975" spans="1:7" x14ac:dyDescent="0.25">
      <c r="A975" t="s">
        <v>66</v>
      </c>
      <c r="B975" t="s">
        <v>1157</v>
      </c>
      <c r="C975" t="s">
        <v>1140</v>
      </c>
      <c r="D975" t="s">
        <v>1141</v>
      </c>
      <c r="E975">
        <v>1</v>
      </c>
      <c r="F975" t="s">
        <v>206</v>
      </c>
      <c r="G975">
        <f ca="1">IFERROR(tbl_Recettes[[#This Row],[Quantité]] * IFERROR(_xlfn.XLOOKUP(tbl_Recettes[[#This Row],[Cde_Ingrdt]], tbl_Stock[Cde_Ingrdt], tbl_Stock[CMP effectif]),0),0)</f>
        <v>3</v>
      </c>
    </row>
    <row r="976" spans="1:7" x14ac:dyDescent="0.25">
      <c r="A976" t="s">
        <v>1158</v>
      </c>
      <c r="B976" t="s">
        <v>1159</v>
      </c>
      <c r="C976" t="s">
        <v>1160</v>
      </c>
      <c r="D976" t="s">
        <v>1161</v>
      </c>
      <c r="E976">
        <v>1</v>
      </c>
      <c r="F976" t="s">
        <v>206</v>
      </c>
      <c r="G976">
        <f ca="1">IFERROR(tbl_Recettes[[#This Row],[Quantité]] * IFERROR(_xlfn.XLOOKUP(tbl_Recettes[[#This Row],[Cde_Ingrdt]], tbl_Stock[Cde_Ingrdt], tbl_Stock[CMP effectif]),0),0)</f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1">
    <tabColor theme="9" tint="-0.249977111117893"/>
  </sheetPr>
  <dimension ref="A1:P267"/>
  <sheetViews>
    <sheetView topLeftCell="F1" zoomScale="85" zoomScaleNormal="85" workbookViewId="0">
      <selection activeCell="M2" sqref="M2:M267"/>
    </sheetView>
  </sheetViews>
  <sheetFormatPr baseColWidth="10" defaultRowHeight="15" x14ac:dyDescent="0.25"/>
  <cols>
    <col min="1" max="1" width="22" bestFit="1" customWidth="1"/>
    <col min="2" max="2" width="44.42578125" bestFit="1" customWidth="1"/>
    <col min="3" max="3" width="12.28515625" bestFit="1" customWidth="1"/>
    <col min="4" max="4" width="28.85546875" bestFit="1" customWidth="1"/>
    <col min="5" max="5" width="19.140625" bestFit="1" customWidth="1"/>
    <col min="6" max="6" width="26.140625" bestFit="1" customWidth="1"/>
    <col min="7" max="7" width="26.7109375" bestFit="1" customWidth="1"/>
    <col min="8" max="8" width="22.140625" style="21" bestFit="1" customWidth="1"/>
    <col min="9" max="9" width="19.5703125" bestFit="1" customWidth="1"/>
    <col min="10" max="10" width="26" style="21" bestFit="1" customWidth="1"/>
    <col min="11" max="11" width="20.85546875" style="21" bestFit="1" customWidth="1"/>
    <col min="12" max="12" width="19.85546875" style="7" bestFit="1" customWidth="1"/>
    <col min="13" max="13" width="23.28515625" style="7" bestFit="1" customWidth="1"/>
    <col min="14" max="14" width="20.28515625" bestFit="1" customWidth="1"/>
    <col min="15" max="15" width="19.5703125" bestFit="1" customWidth="1"/>
    <col min="16" max="16" width="12.42578125" bestFit="1" customWidth="1"/>
  </cols>
  <sheetData>
    <row r="1" spans="1:16" ht="15.75" customHeight="1" x14ac:dyDescent="0.25">
      <c r="A1" s="8" t="s">
        <v>199</v>
      </c>
      <c r="B1" s="3" t="s">
        <v>200</v>
      </c>
      <c r="C1" s="3" t="s">
        <v>202</v>
      </c>
      <c r="D1" s="15" t="s">
        <v>1162</v>
      </c>
      <c r="E1" s="4" t="s">
        <v>1163</v>
      </c>
      <c r="F1" s="4" t="s">
        <v>1164</v>
      </c>
      <c r="G1" s="15" t="s">
        <v>1165</v>
      </c>
      <c r="H1" s="15" t="s">
        <v>1166</v>
      </c>
      <c r="I1" s="4" t="s">
        <v>1167</v>
      </c>
      <c r="J1" s="20" t="s">
        <v>1168</v>
      </c>
      <c r="K1" s="20" t="s">
        <v>1169</v>
      </c>
      <c r="L1" s="14" t="s">
        <v>1170</v>
      </c>
      <c r="M1" s="14" t="s">
        <v>1171</v>
      </c>
      <c r="N1" s="4" t="s">
        <v>1172</v>
      </c>
      <c r="O1" s="4" t="s">
        <v>1173</v>
      </c>
      <c r="P1" s="4" t="s">
        <v>1174</v>
      </c>
    </row>
    <row r="2" spans="1:16" x14ac:dyDescent="0.25">
      <c r="A2" t="str">
        <f>IFERROR(VLOOKUP(B2,Référentiels!$M$2:$N$267,2,FALSE),"Ingrédient non trouvé")</f>
        <v>BOU001</v>
      </c>
      <c r="B2" t="str">
        <f>+tbl_IngrédientsRef[[#This Row],[Ingrédient]]</f>
        <v>Pain Varie Pistolet</v>
      </c>
      <c r="C2" t="str">
        <f>INDEX(tbl_IngrédientsRef[Unité], MATCH(A2, tbl_IngrédientsRef[Cde_Ingrdt],0))</f>
        <v>Pièce</v>
      </c>
      <c r="D2" s="21">
        <f>IFERROR(INDEX(tbl_IngrédientsRef[[#This Row],[PU_effectif_g/ml]], MATCH(tbl_Stock[[#This Row],[Cde_Ingrdt]], tbl_IngrédientsRef[[#This Row],[Cde_Ingrdt]], 0)), 0)</f>
        <v>2.5</v>
      </c>
      <c r="E2">
        <v>1500</v>
      </c>
      <c r="F2" s="57">
        <f>tbl_Stock[[#This Row],[Stock Départ]] * INDEX(tbl_IngrédientsRef[Prix/Uni Base], MATCH(tbl_Stock[[#This Row],[Cde_Ingrdt]], tbl_IngrédientsRef[Cde_Ingrdt], 0))</f>
        <v>3750</v>
      </c>
      <c r="G2">
        <f>SUMIF(tbl_Achats[Cde_Ingrdt],tbl_Stock[[#This Row],[Cde_Ingrdt]],tbl_Achats[Qté d''Achat])</f>
        <v>0</v>
      </c>
      <c r="H2" s="21">
        <f t="array" ref="H2">SUMPRODUCT((tbl_Achats[Cde_Ingrdt]=tbl_Stock[[#This Row],[Cde_Ingrdt]]) * tbl_Achats[Qté d''Achat] * tbl_Achats[Prix Achat Unitaire])</f>
        <v>0</v>
      </c>
      <c r="I2">
        <v>250</v>
      </c>
      <c r="J2" s="21">
        <f ca="1">tbl_Stock[[#This Row],[Stock Courant]] * tbl_Stock[[#This Row],[CMP effectif]]</f>
        <v>2500</v>
      </c>
      <c r="K2">
        <f ca="1">tbl_Stock[[#This Row],[Stock Départ]] + SUMIF(tbl_Achats[Cde_Ingrdt],tbl_Stock[[#This Row],[Cde_Ingrdt]],tbl_Achats[[#This Row],[Qté d''Achat]])</f>
        <v>1500</v>
      </c>
      <c r="L2" s="7">
        <f ca="1">IFERROR((tbl_Stock[[#This Row],[Valeur stock initiale]] + tbl_Stock[[#This Row],[ Valeur Achat]]) / tbl_Stock[[#This Row],[Quantité totale]], 0)</f>
        <v>2.5</v>
      </c>
      <c r="M2" s="7">
        <f>SUMIF(tbl_Sorties[[Code ingrédient ]], tbl_Stock[[#This Row],[Cde_Ingrdt]], tbl_Sorties[Qté Sortie])</f>
        <v>500</v>
      </c>
      <c r="N2" s="57">
        <f>tbl_Stock[[#This Row],[Stock Départ]] + tbl_Stock[[#This Row],[Achats Cumulées]] - tbl_Stock[[#This Row],[ Sortie cumulée]]</f>
        <v>1000</v>
      </c>
      <c r="O2">
        <v>1000</v>
      </c>
      <c r="P2" t="str">
        <f>IF(tbl_Stock[[#This Row],[Stock Courant]] &lt; tbl_Stock[[#This Row],[Seuil critique]], "⚠️ Alerte", "OK")</f>
        <v>OK</v>
      </c>
    </row>
    <row r="3" spans="1:16" x14ac:dyDescent="0.25">
      <c r="A3" t="str">
        <f>IFERROR(VLOOKUP(B3,Référentiels!$M$2:$N$267,2,FALSE),"Ingrédient non trouvé")</f>
        <v>BOU002</v>
      </c>
      <c r="B3" t="str">
        <f>+tbl_IngrédientsRef[[#This Row],[Ingrédient]]</f>
        <v>Pain Berger</v>
      </c>
      <c r="C3" t="str">
        <f>INDEX(tbl_IngrédientsRef[Unité], MATCH(A3, tbl_IngrédientsRef[Cde_Ingrdt],0))</f>
        <v>Pièce</v>
      </c>
      <c r="D3" s="21">
        <f>IFERROR(INDEX(tbl_IngrédientsRef[[#This Row],[PU_effectif_g/ml]], MATCH(tbl_Stock[[#This Row],[Cde_Ingrdt]], tbl_IngrédientsRef[[#This Row],[Cde_Ingrdt]], 0)), 0)</f>
        <v>1.5</v>
      </c>
      <c r="E3">
        <v>1500</v>
      </c>
      <c r="F3" s="57">
        <f>tbl_Stock[[#This Row],[Stock Départ]] * INDEX(tbl_IngrédientsRef[Prix/Uni Base], MATCH(tbl_Stock[[#This Row],[Cde_Ingrdt]], tbl_IngrédientsRef[Cde_Ingrdt], 0))</f>
        <v>2250</v>
      </c>
      <c r="G3">
        <f>SUMIF(tbl_Achats[Cde_Ingrdt],tbl_Stock[[#This Row],[Cde_Ingrdt]],tbl_Achats[Qté d''Achat])</f>
        <v>0</v>
      </c>
      <c r="H3" s="21">
        <f t="array" ref="H3">SUMPRODUCT((tbl_Achats[Cde_Ingrdt]=tbl_Stock[[#This Row],[Cde_Ingrdt]]) * tbl_Achats[Qté d''Achat] * tbl_Achats[Prix Achat Unitaire])</f>
        <v>0</v>
      </c>
      <c r="I3">
        <v>230</v>
      </c>
      <c r="J3" s="21">
        <f ca="1">tbl_Stock[[#This Row],[Stock Courant]] * tbl_Stock[[#This Row],[CMP effectif]]</f>
        <v>2250</v>
      </c>
      <c r="K3">
        <f ca="1">tbl_Stock[[#This Row],[Stock Départ]] + SUMIF(tbl_Achats[Cde_Ingrdt],tbl_Stock[[#This Row],[Cde_Ingrdt]],tbl_Achats[[#This Row],[Qté d''Achat]])</f>
        <v>1500</v>
      </c>
      <c r="L3" s="7">
        <f ca="1">IFERROR((tbl_Stock[[#This Row],[Valeur stock initiale]] + tbl_Stock[[#This Row],[ Valeur Achat]]) / tbl_Stock[[#This Row],[Quantité totale]], 0)</f>
        <v>1.5</v>
      </c>
      <c r="M3" s="7">
        <f>SUMIF(tbl_Sorties[[Code ingrédient ]], tbl_Stock[[#This Row],[Cde_Ingrdt]], tbl_Sorties[Qté Sortie])</f>
        <v>0</v>
      </c>
      <c r="N3" s="57">
        <f>tbl_Stock[[#This Row],[Stock Départ]] + tbl_Stock[[#This Row],[Achats Cumulées]] - tbl_Stock[[#This Row],[ Sortie cumulée]]</f>
        <v>1500</v>
      </c>
      <c r="O3">
        <v>80000</v>
      </c>
      <c r="P3" t="str">
        <f>IF(tbl_Stock[[#This Row],[Stock Courant]] &lt; tbl_Stock[[#This Row],[Seuil critique]], "⚠️ Alerte", "OK")</f>
        <v>⚠️ Alerte</v>
      </c>
    </row>
    <row r="4" spans="1:16" x14ac:dyDescent="0.25">
      <c r="A4" t="str">
        <f>IFERROR(VLOOKUP(B4,Référentiels!$M$2:$N$267,2,FALSE),"Ingrédient non trouvé")</f>
        <v>BOU003</v>
      </c>
      <c r="B4" t="str">
        <f>+tbl_IngrédientsRef[[#This Row],[Ingrédient]]</f>
        <v>Pain Grillé</v>
      </c>
      <c r="C4" t="str">
        <f>INDEX(tbl_IngrédientsRef[Unité], MATCH(A4, tbl_IngrédientsRef[Cde_Ingrdt],0))</f>
        <v>Pièce</v>
      </c>
      <c r="D4" s="21">
        <f>IFERROR(INDEX(tbl_IngrédientsRef[[#This Row],[PU_effectif_g/ml]], MATCH(tbl_Stock[[#This Row],[Cde_Ingrdt]], tbl_IngrédientsRef[[#This Row],[Cde_Ingrdt]], 0)), 0)</f>
        <v>2</v>
      </c>
      <c r="E4">
        <v>1500</v>
      </c>
      <c r="F4" s="57">
        <f>tbl_Stock[[#This Row],[Stock Départ]] * INDEX(tbl_IngrédientsRef[Prix/Uni Base], MATCH(tbl_Stock[[#This Row],[Cde_Ingrdt]], tbl_IngrédientsRef[Cde_Ingrdt], 0))</f>
        <v>3000</v>
      </c>
      <c r="G4">
        <f>SUMIF(tbl_Achats[Cde_Ingrdt],tbl_Stock[[#This Row],[Cde_Ingrdt]],tbl_Achats[Qté d''Achat])</f>
        <v>0</v>
      </c>
      <c r="H4" s="21">
        <f t="array" ref="H4">SUMPRODUCT((tbl_Achats[Cde_Ingrdt]=tbl_Stock[[#This Row],[Cde_Ingrdt]]) * tbl_Achats[Qté d''Achat] * tbl_Achats[Prix Achat Unitaire])</f>
        <v>0</v>
      </c>
      <c r="I4">
        <v>300</v>
      </c>
      <c r="J4" s="21">
        <f ca="1">tbl_Stock[[#This Row],[Stock Courant]] * tbl_Stock[[#This Row],[CMP effectif]]</f>
        <v>3000</v>
      </c>
      <c r="K4">
        <f ca="1">tbl_Stock[[#This Row],[Stock Départ]] + SUMIF(tbl_Achats[Cde_Ingrdt],tbl_Stock[[#This Row],[Cde_Ingrdt]],tbl_Achats[[#This Row],[Qté d''Achat]])</f>
        <v>1500</v>
      </c>
      <c r="L4" s="7">
        <f ca="1">IFERROR((tbl_Stock[[#This Row],[Valeur stock initiale]] + tbl_Stock[[#This Row],[ Valeur Achat]]) / tbl_Stock[[#This Row],[Quantité totale]], 0)</f>
        <v>2</v>
      </c>
      <c r="M4" s="7">
        <f>SUMIF(tbl_Sorties[[Code ingrédient ]], tbl_Stock[[#This Row],[Cde_Ingrdt]], tbl_Sorties[Qté Sortie])</f>
        <v>0</v>
      </c>
      <c r="N4" s="57">
        <f>tbl_Stock[[#This Row],[Stock Départ]] + tbl_Stock[[#This Row],[Achats Cumulées]] - tbl_Stock[[#This Row],[ Sortie cumulée]]</f>
        <v>1500</v>
      </c>
      <c r="O4">
        <v>100</v>
      </c>
      <c r="P4" t="str">
        <f>IF(tbl_Stock[[#This Row],[Stock Courant]] &lt; tbl_Stock[[#This Row],[Seuil critique]], "⚠️ Alerte", "OK")</f>
        <v>OK</v>
      </c>
    </row>
    <row r="5" spans="1:16" x14ac:dyDescent="0.25">
      <c r="A5" t="str">
        <f>IFERROR(VLOOKUP(B5,Référentiels!$M$2:$N$267,2,FALSE),"Ingrédient non trouvé")</f>
        <v>BOU004</v>
      </c>
      <c r="B5" t="str">
        <f>+tbl_IngrédientsRef[[#This Row],[Ingrédient]]</f>
        <v>Toast Céréale</v>
      </c>
      <c r="C5" t="str">
        <f>INDEX(tbl_IngrédientsRef[Unité], MATCH(A5, tbl_IngrédientsRef[Cde_Ingrdt],0))</f>
        <v>Pièce</v>
      </c>
      <c r="D5" s="21">
        <f>IFERROR(INDEX(tbl_IngrédientsRef[[#This Row],[PU_effectif_g/ml]], MATCH(tbl_Stock[[#This Row],[Cde_Ingrdt]], tbl_IngrédientsRef[[#This Row],[Cde_Ingrdt]], 0)), 0)</f>
        <v>1.2</v>
      </c>
      <c r="E5">
        <v>1500</v>
      </c>
      <c r="F5" s="57">
        <f>tbl_Stock[[#This Row],[Stock Départ]] * INDEX(tbl_IngrédientsRef[Prix/Uni Base], MATCH(tbl_Stock[[#This Row],[Cde_Ingrdt]], tbl_IngrédientsRef[Cde_Ingrdt], 0))</f>
        <v>1800</v>
      </c>
      <c r="G5">
        <f>SUMIF(tbl_Achats[Cde_Ingrdt],tbl_Stock[[#This Row],[Cde_Ingrdt]],tbl_Achats[Qté d''Achat])</f>
        <v>0</v>
      </c>
      <c r="H5" s="21">
        <f t="array" ref="H5">SUMPRODUCT((tbl_Achats[Cde_Ingrdt]=tbl_Stock[[#This Row],[Cde_Ingrdt]]) * tbl_Achats[Qté d''Achat] * tbl_Achats[Prix Achat Unitaire])</f>
        <v>0</v>
      </c>
      <c r="I5">
        <v>340</v>
      </c>
      <c r="J5" s="21">
        <f ca="1">tbl_Stock[[#This Row],[Stock Courant]] * tbl_Stock[[#This Row],[CMP effectif]]</f>
        <v>1788</v>
      </c>
      <c r="K5">
        <f ca="1">tbl_Stock[[#This Row],[Stock Départ]] + SUMIF(tbl_Achats[Cde_Ingrdt],tbl_Stock[[#This Row],[Cde_Ingrdt]],tbl_Achats[[#This Row],[Qté d''Achat]])</f>
        <v>1500</v>
      </c>
      <c r="L5" s="7">
        <f ca="1">IFERROR((tbl_Stock[[#This Row],[Valeur stock initiale]] + tbl_Stock[[#This Row],[ Valeur Achat]]) / tbl_Stock[[#This Row],[Quantité totale]], 0)</f>
        <v>1.2</v>
      </c>
      <c r="M5" s="7">
        <f>SUMIF(tbl_Sorties[[Code ingrédient ]], tbl_Stock[[#This Row],[Cde_Ingrdt]], tbl_Sorties[Qté Sortie])</f>
        <v>10</v>
      </c>
      <c r="N5" s="57">
        <f>tbl_Stock[[#This Row],[Stock Départ]] + tbl_Stock[[#This Row],[Achats Cumulées]] - tbl_Stock[[#This Row],[ Sortie cumulée]]</f>
        <v>1490</v>
      </c>
      <c r="O5">
        <v>100</v>
      </c>
      <c r="P5" t="str">
        <f>IF(tbl_Stock[[#This Row],[Stock Courant]] &lt; tbl_Stock[[#This Row],[Seuil critique]], "⚠️ Alerte", "OK")</f>
        <v>OK</v>
      </c>
    </row>
    <row r="6" spans="1:16" x14ac:dyDescent="0.25">
      <c r="A6" t="str">
        <f>IFERROR(VLOOKUP(B6,Référentiels!$M$2:$N$267,2,FALSE),"Ingrédient non trouvé")</f>
        <v>BOU005</v>
      </c>
      <c r="B6" t="str">
        <f>+tbl_IngrédientsRef[[#This Row],[Ingrédient]]</f>
        <v>Croissant</v>
      </c>
      <c r="C6" t="str">
        <f>INDEX(tbl_IngrédientsRef[Unité], MATCH(A6, tbl_IngrédientsRef[Cde_Ingrdt],0))</f>
        <v>Pièce</v>
      </c>
      <c r="D6" s="21">
        <f>IFERROR(INDEX(tbl_IngrédientsRef[[#This Row],[PU_effectif_g/ml]], MATCH(tbl_Stock[[#This Row],[Cde_Ingrdt]], tbl_IngrédientsRef[[#This Row],[Cde_Ingrdt]], 0)), 0)</f>
        <v>4</v>
      </c>
      <c r="E6">
        <v>1500</v>
      </c>
      <c r="F6" s="57">
        <f>tbl_Stock[[#This Row],[Stock Départ]] * INDEX(tbl_IngrédientsRef[Prix/Uni Base], MATCH(tbl_Stock[[#This Row],[Cde_Ingrdt]], tbl_IngrédientsRef[Cde_Ingrdt], 0))</f>
        <v>6000</v>
      </c>
      <c r="G6">
        <f>SUMIF(tbl_Achats[Cde_Ingrdt],tbl_Stock[[#This Row],[Cde_Ingrdt]],tbl_Achats[Qté d''Achat])</f>
        <v>0</v>
      </c>
      <c r="H6" s="21">
        <f t="array" ref="H6">SUMPRODUCT((tbl_Achats[Cde_Ingrdt]=tbl_Stock[[#This Row],[Cde_Ingrdt]]) * tbl_Achats[Qté d''Achat] * tbl_Achats[Prix Achat Unitaire])</f>
        <v>0</v>
      </c>
      <c r="I6">
        <v>250</v>
      </c>
      <c r="J6" s="21">
        <f ca="1">tbl_Stock[[#This Row],[Stock Courant]] * tbl_Stock[[#This Row],[CMP effectif]]</f>
        <v>6000</v>
      </c>
      <c r="K6">
        <f ca="1">tbl_Stock[[#This Row],[Stock Départ]] + SUMIF(tbl_Achats[Cde_Ingrdt],tbl_Stock[[#This Row],[Cde_Ingrdt]],tbl_Achats[[#This Row],[Qté d''Achat]])</f>
        <v>1500</v>
      </c>
      <c r="L6" s="7">
        <f ca="1">IFERROR((tbl_Stock[[#This Row],[Valeur stock initiale]] + tbl_Stock[[#This Row],[ Valeur Achat]]) / tbl_Stock[[#This Row],[Quantité totale]], 0)</f>
        <v>4</v>
      </c>
      <c r="M6" s="7">
        <f>SUMIF(tbl_Sorties[[Code ingrédient ]], tbl_Stock[[#This Row],[Cde_Ingrdt]], tbl_Sorties[Qté Sortie])</f>
        <v>0</v>
      </c>
      <c r="N6" s="57">
        <f>tbl_Stock[[#This Row],[Stock Départ]] + tbl_Stock[[#This Row],[Achats Cumulées]] - tbl_Stock[[#This Row],[ Sortie cumulée]]</f>
        <v>1500</v>
      </c>
      <c r="O6">
        <v>100</v>
      </c>
      <c r="P6" t="str">
        <f>IF(tbl_Stock[[#This Row],[Stock Courant]] &lt; tbl_Stock[[#This Row],[Seuil critique]], "⚠️ Alerte", "OK")</f>
        <v>OK</v>
      </c>
    </row>
    <row r="7" spans="1:16" x14ac:dyDescent="0.25">
      <c r="A7" t="str">
        <f>IFERROR(VLOOKUP(B7,Référentiels!$M$2:$N$267,2,FALSE),"Ingrédient non trouvé")</f>
        <v>BOU006</v>
      </c>
      <c r="B7" t="str">
        <f>+tbl_IngrédientsRef[[#This Row],[Ingrédient]]</f>
        <v>Pain Au Chocolat P</v>
      </c>
      <c r="C7" t="str">
        <f>INDEX(tbl_IngrédientsRef[Unité], MATCH(A7, tbl_IngrédientsRef[Cde_Ingrdt],0))</f>
        <v>Pièce</v>
      </c>
      <c r="D7" s="21">
        <f>IFERROR(INDEX(tbl_IngrédientsRef[[#This Row],[PU_effectif_g/ml]], MATCH(tbl_Stock[[#This Row],[Cde_Ingrdt]], tbl_IngrédientsRef[[#This Row],[Cde_Ingrdt]], 0)), 0)</f>
        <v>3</v>
      </c>
      <c r="E7">
        <v>1500</v>
      </c>
      <c r="F7" s="57">
        <f>tbl_Stock[[#This Row],[Stock Départ]] * INDEX(tbl_IngrédientsRef[Prix/Uni Base], MATCH(tbl_Stock[[#This Row],[Cde_Ingrdt]], tbl_IngrédientsRef[Cde_Ingrdt], 0))</f>
        <v>4500</v>
      </c>
      <c r="G7">
        <f>SUMIF(tbl_Achats[Cde_Ingrdt],tbl_Stock[[#This Row],[Cde_Ingrdt]],tbl_Achats[Qté d''Achat])</f>
        <v>0</v>
      </c>
      <c r="H7" s="21">
        <f t="array" ref="H7">SUMPRODUCT((tbl_Achats[Cde_Ingrdt]=tbl_Stock[[#This Row],[Cde_Ingrdt]]) * tbl_Achats[Qté d''Achat] * tbl_Achats[Prix Achat Unitaire])</f>
        <v>0</v>
      </c>
      <c r="I7">
        <v>230</v>
      </c>
      <c r="J7" s="21">
        <f ca="1">tbl_Stock[[#This Row],[Stock Courant]] * tbl_Stock[[#This Row],[CMP effectif]]</f>
        <v>4500</v>
      </c>
      <c r="K7">
        <f ca="1">tbl_Stock[[#This Row],[Stock Départ]] + SUMIF(tbl_Achats[Cde_Ingrdt],tbl_Stock[[#This Row],[Cde_Ingrdt]],tbl_Achats[[#This Row],[Qté d''Achat]])</f>
        <v>1500</v>
      </c>
      <c r="L7" s="7">
        <f ca="1">IFERROR((tbl_Stock[[#This Row],[Valeur stock initiale]] + tbl_Stock[[#This Row],[ Valeur Achat]]) / tbl_Stock[[#This Row],[Quantité totale]], 0)</f>
        <v>3</v>
      </c>
      <c r="M7" s="7">
        <f>SUMIF(tbl_Sorties[[Code ingrédient ]], tbl_Stock[[#This Row],[Cde_Ingrdt]], tbl_Sorties[Qté Sortie])</f>
        <v>0</v>
      </c>
      <c r="N7" s="57">
        <f>tbl_Stock[[#This Row],[Stock Départ]] + tbl_Stock[[#This Row],[Achats Cumulées]] - tbl_Stock[[#This Row],[ Sortie cumulée]]</f>
        <v>1500</v>
      </c>
      <c r="O7">
        <v>100</v>
      </c>
      <c r="P7" t="str">
        <f>IF(tbl_Stock[[#This Row],[Stock Courant]] &lt; tbl_Stock[[#This Row],[Seuil critique]], "⚠️ Alerte", "OK")</f>
        <v>OK</v>
      </c>
    </row>
    <row r="8" spans="1:16" x14ac:dyDescent="0.25">
      <c r="A8" t="str">
        <f>IFERROR(VLOOKUP(B8,Référentiels!$M$2:$N$267,2,FALSE),"Ingrédient non trouvé")</f>
        <v>BOU007</v>
      </c>
      <c r="B8" t="str">
        <f>+tbl_IngrédientsRef[[#This Row],[Ingrédient]]</f>
        <v>Pain Au Chocolat G</v>
      </c>
      <c r="C8" t="str">
        <f>INDEX(tbl_IngrédientsRef[Unité], MATCH(A8, tbl_IngrédientsRef[Cde_Ingrdt],0))</f>
        <v>Pièce</v>
      </c>
      <c r="D8" s="21">
        <f>IFERROR(INDEX(tbl_IngrédientsRef[[#This Row],[PU_effectif_g/ml]], MATCH(tbl_Stock[[#This Row],[Cde_Ingrdt]], tbl_IngrédientsRef[[#This Row],[Cde_Ingrdt]], 0)), 0)</f>
        <v>7</v>
      </c>
      <c r="E8">
        <v>1500</v>
      </c>
      <c r="F8" s="57">
        <f>tbl_Stock[[#This Row],[Stock Départ]] * INDEX(tbl_IngrédientsRef[Prix/Uni Base], MATCH(tbl_Stock[[#This Row],[Cde_Ingrdt]], tbl_IngrédientsRef[Cde_Ingrdt], 0))</f>
        <v>10500</v>
      </c>
      <c r="G8">
        <f>SUMIF(tbl_Achats[Cde_Ingrdt],tbl_Stock[[#This Row],[Cde_Ingrdt]],tbl_Achats[Qté d''Achat])</f>
        <v>0</v>
      </c>
      <c r="H8" s="21">
        <f t="array" ref="H8">SUMPRODUCT((tbl_Achats[Cde_Ingrdt]=tbl_Stock[[#This Row],[Cde_Ingrdt]]) * tbl_Achats[Qté d''Achat] * tbl_Achats[Prix Achat Unitaire])</f>
        <v>0</v>
      </c>
      <c r="I8">
        <v>300</v>
      </c>
      <c r="J8" s="21">
        <f ca="1">tbl_Stock[[#This Row],[Stock Courant]] * tbl_Stock[[#This Row],[CMP effectif]]</f>
        <v>10500</v>
      </c>
      <c r="K8">
        <f ca="1">tbl_Stock[[#This Row],[Stock Départ]] + SUMIF(tbl_Achats[Cde_Ingrdt],tbl_Stock[[#This Row],[Cde_Ingrdt]],tbl_Achats[[#This Row],[Qté d''Achat]])</f>
        <v>1500</v>
      </c>
      <c r="L8" s="7">
        <f ca="1">IFERROR((tbl_Stock[[#This Row],[Valeur stock initiale]] + tbl_Stock[[#This Row],[ Valeur Achat]]) / tbl_Stock[[#This Row],[Quantité totale]], 0)</f>
        <v>7</v>
      </c>
      <c r="M8" s="7">
        <f>SUMIF(tbl_Sorties[[Code ingrédient ]], tbl_Stock[[#This Row],[Cde_Ingrdt]], tbl_Sorties[Qté Sortie])</f>
        <v>0</v>
      </c>
      <c r="N8" s="57">
        <f>tbl_Stock[[#This Row],[Stock Départ]] + tbl_Stock[[#This Row],[Achats Cumulées]] - tbl_Stock[[#This Row],[ Sortie cumulée]]</f>
        <v>1500</v>
      </c>
      <c r="O8">
        <v>100</v>
      </c>
      <c r="P8" t="str">
        <f>IF(tbl_Stock[[#This Row],[Stock Courant]] &lt; tbl_Stock[[#This Row],[Seuil critique]], "⚠️ Alerte", "OK")</f>
        <v>OK</v>
      </c>
    </row>
    <row r="9" spans="1:16" x14ac:dyDescent="0.25">
      <c r="A9" t="str">
        <f>IFERROR(VLOOKUP(B9,Référentiels!$M$2:$N$267,2,FALSE),"Ingrédient non trouvé")</f>
        <v>BOU008</v>
      </c>
      <c r="B9" t="str">
        <f>+tbl_IngrédientsRef[[#This Row],[Ingrédient]]</f>
        <v>Rghifa</v>
      </c>
      <c r="C9" t="str">
        <f>INDEX(tbl_IngrédientsRef[Unité], MATCH(A9, tbl_IngrédientsRef[Cde_Ingrdt],0))</f>
        <v>Pièce</v>
      </c>
      <c r="D9" s="21">
        <f>IFERROR(INDEX(tbl_IngrédientsRef[[#This Row],[PU_effectif_g/ml]], MATCH(tbl_Stock[[#This Row],[Cde_Ingrdt]], tbl_IngrédientsRef[[#This Row],[Cde_Ingrdt]], 0)), 0)</f>
        <v>2</v>
      </c>
      <c r="E9">
        <v>1500</v>
      </c>
      <c r="F9" s="57">
        <f>tbl_Stock[[#This Row],[Stock Départ]] * INDEX(tbl_IngrédientsRef[Prix/Uni Base], MATCH(tbl_Stock[[#This Row],[Cde_Ingrdt]], tbl_IngrédientsRef[Cde_Ingrdt], 0))</f>
        <v>3000</v>
      </c>
      <c r="G9">
        <f>SUMIF(tbl_Achats[Cde_Ingrdt],tbl_Stock[[#This Row],[Cde_Ingrdt]],tbl_Achats[Qté d''Achat])</f>
        <v>0</v>
      </c>
      <c r="H9" s="21">
        <f t="array" ref="H9">SUMPRODUCT((tbl_Achats[Cde_Ingrdt]=tbl_Stock[[#This Row],[Cde_Ingrdt]]) * tbl_Achats[Qté d''Achat] * tbl_Achats[Prix Achat Unitaire])</f>
        <v>0</v>
      </c>
      <c r="I9">
        <v>340</v>
      </c>
      <c r="J9" s="21">
        <f ca="1">tbl_Stock[[#This Row],[Stock Courant]] * tbl_Stock[[#This Row],[CMP effectif]]</f>
        <v>3000</v>
      </c>
      <c r="K9">
        <f ca="1">tbl_Stock[[#This Row],[Stock Départ]] + SUMIF(tbl_Achats[Cde_Ingrdt],tbl_Stock[[#This Row],[Cde_Ingrdt]],tbl_Achats[[#This Row],[Qté d''Achat]])</f>
        <v>1500</v>
      </c>
      <c r="L9" s="7">
        <f ca="1">IFERROR((tbl_Stock[[#This Row],[Valeur stock initiale]] + tbl_Stock[[#This Row],[ Valeur Achat]]) / tbl_Stock[[#This Row],[Quantité totale]], 0)</f>
        <v>2</v>
      </c>
      <c r="M9" s="7">
        <f>SUMIF(tbl_Sorties[[Code ingrédient ]], tbl_Stock[[#This Row],[Cde_Ingrdt]], tbl_Sorties[Qté Sortie])</f>
        <v>0</v>
      </c>
      <c r="N9" s="57">
        <f>tbl_Stock[[#This Row],[Stock Départ]] + tbl_Stock[[#This Row],[Achats Cumulées]] - tbl_Stock[[#This Row],[ Sortie cumulée]]</f>
        <v>1500</v>
      </c>
      <c r="O9">
        <v>100</v>
      </c>
      <c r="P9" t="str">
        <f>IF(tbl_Stock[[#This Row],[Stock Courant]] &lt; tbl_Stock[[#This Row],[Seuil critique]], "⚠️ Alerte", "OK")</f>
        <v>OK</v>
      </c>
    </row>
    <row r="10" spans="1:16" x14ac:dyDescent="0.25">
      <c r="A10" t="str">
        <f>IFERROR(VLOOKUP(B10,Référentiels!$M$2:$N$267,2,FALSE),"Ingrédient non trouvé")</f>
        <v>BOU009</v>
      </c>
      <c r="B10" t="str">
        <f>+tbl_IngrédientsRef[[#This Row],[Ingrédient]]</f>
        <v>Harcha</v>
      </c>
      <c r="C10" t="str">
        <f>INDEX(tbl_IngrédientsRef[Unité], MATCH(A10, tbl_IngrédientsRef[Cde_Ingrdt],0))</f>
        <v>Pièce</v>
      </c>
      <c r="D10" s="21">
        <f>IFERROR(INDEX(tbl_IngrédientsRef[[#This Row],[PU_effectif_g/ml]], MATCH(tbl_Stock[[#This Row],[Cde_Ingrdt]], tbl_IngrédientsRef[[#This Row],[Cde_Ingrdt]], 0)), 0)</f>
        <v>2</v>
      </c>
      <c r="E10">
        <v>1500</v>
      </c>
      <c r="F10" s="57">
        <f>tbl_Stock[[#This Row],[Stock Départ]] * INDEX(tbl_IngrédientsRef[Prix/Uni Base], MATCH(tbl_Stock[[#This Row],[Cde_Ingrdt]], tbl_IngrédientsRef[Cde_Ingrdt], 0))</f>
        <v>3000</v>
      </c>
      <c r="G10">
        <f>SUMIF(tbl_Achats[Cde_Ingrdt],tbl_Stock[[#This Row],[Cde_Ingrdt]],tbl_Achats[Qté d''Achat])</f>
        <v>0</v>
      </c>
      <c r="H10" s="21">
        <f t="array" ref="H10">SUMPRODUCT((tbl_Achats[Cde_Ingrdt]=tbl_Stock[[#This Row],[Cde_Ingrdt]]) * tbl_Achats[Qté d''Achat] * tbl_Achats[Prix Achat Unitaire])</f>
        <v>0</v>
      </c>
      <c r="I10">
        <v>250</v>
      </c>
      <c r="J10" s="21">
        <f ca="1">tbl_Stock[[#This Row],[Stock Courant]] * tbl_Stock[[#This Row],[CMP effectif]]</f>
        <v>3000</v>
      </c>
      <c r="K10">
        <f ca="1">tbl_Stock[[#This Row],[Stock Départ]] + SUMIF(tbl_Achats[Cde_Ingrdt],tbl_Stock[[#This Row],[Cde_Ingrdt]],tbl_Achats[[#This Row],[Qté d''Achat]])</f>
        <v>1500</v>
      </c>
      <c r="L10" s="7">
        <f ca="1">IFERROR((tbl_Stock[[#This Row],[Valeur stock initiale]] + tbl_Stock[[#This Row],[ Valeur Achat]]) / tbl_Stock[[#This Row],[Quantité totale]], 0)</f>
        <v>2</v>
      </c>
      <c r="M10" s="7">
        <f>SUMIF(tbl_Sorties[[Code ingrédient ]], tbl_Stock[[#This Row],[Cde_Ingrdt]], tbl_Sorties[Qté Sortie])</f>
        <v>0</v>
      </c>
      <c r="N10" s="57">
        <f>tbl_Stock[[#This Row],[Stock Départ]] + tbl_Stock[[#This Row],[Achats Cumulées]] - tbl_Stock[[#This Row],[ Sortie cumulée]]</f>
        <v>1500</v>
      </c>
      <c r="O10">
        <v>100</v>
      </c>
      <c r="P10" t="str">
        <f>IF(tbl_Stock[[#This Row],[Stock Courant]] &lt; tbl_Stock[[#This Row],[Seuil critique]], "⚠️ Alerte", "OK")</f>
        <v>OK</v>
      </c>
    </row>
    <row r="11" spans="1:16" x14ac:dyDescent="0.25">
      <c r="A11" t="str">
        <f>IFERROR(VLOOKUP(B11,Référentiels!$M$2:$N$267,2,FALSE),"Ingrédient non trouvé")</f>
        <v>BOU010</v>
      </c>
      <c r="B11" t="str">
        <f>+tbl_IngrédientsRef[[#This Row],[Ingrédient]]</f>
        <v>Baghrire</v>
      </c>
      <c r="C11" t="str">
        <f>INDEX(tbl_IngrédientsRef[Unité], MATCH(A11, tbl_IngrédientsRef[Cde_Ingrdt],0))</f>
        <v>Pièce</v>
      </c>
      <c r="D11" s="21">
        <f>IFERROR(INDEX(tbl_IngrédientsRef[[#This Row],[PU_effectif_g/ml]], MATCH(tbl_Stock[[#This Row],[Cde_Ingrdt]], tbl_IngrédientsRef[[#This Row],[Cde_Ingrdt]], 0)), 0)</f>
        <v>2</v>
      </c>
      <c r="E11">
        <v>1500</v>
      </c>
      <c r="F11" s="57">
        <f>tbl_Stock[[#This Row],[Stock Départ]] * INDEX(tbl_IngrédientsRef[Prix/Uni Base], MATCH(tbl_Stock[[#This Row],[Cde_Ingrdt]], tbl_IngrédientsRef[Cde_Ingrdt], 0))</f>
        <v>3000</v>
      </c>
      <c r="G11">
        <f>SUMIF(tbl_Achats[Cde_Ingrdt],tbl_Stock[[#This Row],[Cde_Ingrdt]],tbl_Achats[Qté d''Achat])</f>
        <v>0</v>
      </c>
      <c r="H11" s="21">
        <f t="array" ref="H11">SUMPRODUCT((tbl_Achats[Cde_Ingrdt]=tbl_Stock[[#This Row],[Cde_Ingrdt]]) * tbl_Achats[Qté d''Achat] * tbl_Achats[Prix Achat Unitaire])</f>
        <v>0</v>
      </c>
      <c r="I11">
        <v>230</v>
      </c>
      <c r="J11" s="21">
        <f ca="1">tbl_Stock[[#This Row],[Stock Courant]] * tbl_Stock[[#This Row],[CMP effectif]]</f>
        <v>3000</v>
      </c>
      <c r="K11">
        <f ca="1">tbl_Stock[[#This Row],[Stock Départ]] + SUMIF(tbl_Achats[Cde_Ingrdt],tbl_Stock[[#This Row],[Cde_Ingrdt]],tbl_Achats[[#This Row],[Qté d''Achat]])</f>
        <v>1500</v>
      </c>
      <c r="L11" s="7">
        <f ca="1">IFERROR((tbl_Stock[[#This Row],[Valeur stock initiale]] + tbl_Stock[[#This Row],[ Valeur Achat]]) / tbl_Stock[[#This Row],[Quantité totale]], 0)</f>
        <v>2</v>
      </c>
      <c r="M11" s="7">
        <f>SUMIF(tbl_Sorties[[Code ingrédient ]], tbl_Stock[[#This Row],[Cde_Ingrdt]], tbl_Sorties[Qté Sortie])</f>
        <v>0</v>
      </c>
      <c r="N11" s="57">
        <f>tbl_Stock[[#This Row],[Stock Départ]] + tbl_Stock[[#This Row],[Achats Cumulées]] - tbl_Stock[[#This Row],[ Sortie cumulée]]</f>
        <v>1500</v>
      </c>
      <c r="O11">
        <v>100</v>
      </c>
      <c r="P11" t="str">
        <f>IF(tbl_Stock[[#This Row],[Stock Courant]] &lt; tbl_Stock[[#This Row],[Seuil critique]], "⚠️ Alerte", "OK")</f>
        <v>OK</v>
      </c>
    </row>
    <row r="12" spans="1:16" x14ac:dyDescent="0.25">
      <c r="A12" t="str">
        <f>IFERROR(VLOOKUP(B12,Référentiels!$M$2:$N$267,2,FALSE),"Ingrédient non trouvé")</f>
        <v>BOU011</v>
      </c>
      <c r="B12" t="str">
        <f>+tbl_IngrédientsRef[[#This Row],[Ingrédient]]</f>
        <v>Pizza Base</v>
      </c>
      <c r="C12" t="str">
        <f>INDEX(tbl_IngrédientsRef[Unité], MATCH(A12, tbl_IngrédientsRef[Cde_Ingrdt],0))</f>
        <v>Pièce</v>
      </c>
      <c r="D12" s="21">
        <f>IFERROR(INDEX(tbl_IngrédientsRef[[#This Row],[PU_effectif_g/ml]], MATCH(tbl_Stock[[#This Row],[Cde_Ingrdt]], tbl_IngrédientsRef[[#This Row],[Cde_Ingrdt]], 0)), 0)</f>
        <v>5</v>
      </c>
      <c r="E12">
        <v>1500</v>
      </c>
      <c r="F12" s="57">
        <f>tbl_Stock[[#This Row],[Stock Départ]] * INDEX(tbl_IngrédientsRef[Prix/Uni Base], MATCH(tbl_Stock[[#This Row],[Cde_Ingrdt]], tbl_IngrédientsRef[Cde_Ingrdt], 0))</f>
        <v>7500</v>
      </c>
      <c r="G12">
        <f>SUMIF(tbl_Achats[Cde_Ingrdt],tbl_Stock[[#This Row],[Cde_Ingrdt]],tbl_Achats[Qté d''Achat])</f>
        <v>0</v>
      </c>
      <c r="H12" s="21">
        <f t="array" ref="H12">SUMPRODUCT((tbl_Achats[Cde_Ingrdt]=tbl_Stock[[#This Row],[Cde_Ingrdt]]) * tbl_Achats[Qté d''Achat] * tbl_Achats[Prix Achat Unitaire])</f>
        <v>0</v>
      </c>
      <c r="I12">
        <v>300</v>
      </c>
      <c r="J12" s="21">
        <f ca="1">tbl_Stock[[#This Row],[Stock Courant]] * tbl_Stock[[#This Row],[CMP effectif]]</f>
        <v>7500</v>
      </c>
      <c r="K12">
        <f ca="1">tbl_Stock[[#This Row],[Stock Départ]] + SUMIF(tbl_Achats[Cde_Ingrdt],tbl_Stock[[#This Row],[Cde_Ingrdt]],tbl_Achats[[#This Row],[Qté d''Achat]])</f>
        <v>1500</v>
      </c>
      <c r="L12" s="7">
        <f ca="1">IFERROR((tbl_Stock[[#This Row],[Valeur stock initiale]] + tbl_Stock[[#This Row],[ Valeur Achat]]) / tbl_Stock[[#This Row],[Quantité totale]], 0)</f>
        <v>5</v>
      </c>
      <c r="M12" s="7">
        <f>SUMIF(tbl_Sorties[[Code ingrédient ]], tbl_Stock[[#This Row],[Cde_Ingrdt]], tbl_Sorties[Qté Sortie])</f>
        <v>0</v>
      </c>
      <c r="N12" s="57">
        <f>tbl_Stock[[#This Row],[Stock Départ]] + tbl_Stock[[#This Row],[Achats Cumulées]] - tbl_Stock[[#This Row],[ Sortie cumulée]]</f>
        <v>1500</v>
      </c>
      <c r="O12">
        <v>100</v>
      </c>
      <c r="P12" t="str">
        <f>IF(tbl_Stock[[#This Row],[Stock Courant]] &lt; tbl_Stock[[#This Row],[Seuil critique]], "⚠️ Alerte", "OK")</f>
        <v>OK</v>
      </c>
    </row>
    <row r="13" spans="1:16" x14ac:dyDescent="0.25">
      <c r="A13" t="str">
        <f>IFERROR(VLOOKUP(B13,Référentiels!$M$2:$N$267,2,FALSE),"Ingrédient non trouvé")</f>
        <v>BOU012</v>
      </c>
      <c r="B13" t="str">
        <f>+tbl_IngrédientsRef[[#This Row],[Ingrédient]]</f>
        <v>Croûtons</v>
      </c>
      <c r="C13" t="str">
        <f>INDEX(tbl_IngrédientsRef[Unité], MATCH(A13, tbl_IngrédientsRef[Cde_Ingrdt],0))</f>
        <v>g</v>
      </c>
      <c r="D13" s="21">
        <f>IFERROR(INDEX(tbl_IngrédientsRef[[#This Row],[PU_effectif_g/ml]], MATCH(tbl_Stock[[#This Row],[Cde_Ingrdt]], tbl_IngrédientsRef[[#This Row],[Cde_Ingrdt]], 0)), 0)</f>
        <v>0.2</v>
      </c>
      <c r="E13">
        <v>1500</v>
      </c>
      <c r="F13" s="57">
        <f>tbl_Stock[[#This Row],[Stock Départ]] * INDEX(tbl_IngrédientsRef[Prix/Uni Base], MATCH(tbl_Stock[[#This Row],[Cde_Ingrdt]], tbl_IngrédientsRef[Cde_Ingrdt], 0))</f>
        <v>300</v>
      </c>
      <c r="G13">
        <f>SUMIF(tbl_Achats[Cde_Ingrdt],tbl_Stock[[#This Row],[Cde_Ingrdt]],tbl_Achats[Qté d''Achat])</f>
        <v>0</v>
      </c>
      <c r="H13" s="21">
        <f t="array" ref="H13">SUMPRODUCT((tbl_Achats[Cde_Ingrdt]=tbl_Stock[[#This Row],[Cde_Ingrdt]]) * tbl_Achats[Qté d''Achat] * tbl_Achats[Prix Achat Unitaire])</f>
        <v>0</v>
      </c>
      <c r="I13">
        <v>340</v>
      </c>
      <c r="J13" s="21">
        <f ca="1">tbl_Stock[[#This Row],[Stock Courant]] * tbl_Stock[[#This Row],[CMP effectif]]</f>
        <v>300</v>
      </c>
      <c r="K13">
        <f ca="1">tbl_Stock[[#This Row],[Stock Départ]] + SUMIF(tbl_Achats[Cde_Ingrdt],tbl_Stock[[#This Row],[Cde_Ingrdt]],tbl_Achats[[#This Row],[Qté d''Achat]])</f>
        <v>1500</v>
      </c>
      <c r="L13" s="7">
        <f ca="1">IFERROR((tbl_Stock[[#This Row],[Valeur stock initiale]] + tbl_Stock[[#This Row],[ Valeur Achat]]) / tbl_Stock[[#This Row],[Quantité totale]], 0)</f>
        <v>0.2</v>
      </c>
      <c r="M13" s="7">
        <f>SUMIF(tbl_Sorties[[Code ingrédient ]], tbl_Stock[[#This Row],[Cde_Ingrdt]], tbl_Sorties[Qté Sortie])</f>
        <v>0</v>
      </c>
      <c r="N13" s="57">
        <f>tbl_Stock[[#This Row],[Stock Départ]] + tbl_Stock[[#This Row],[Achats Cumulées]] - tbl_Stock[[#This Row],[ Sortie cumulée]]</f>
        <v>1500</v>
      </c>
      <c r="O13">
        <v>100</v>
      </c>
      <c r="P13" t="str">
        <f>IF(tbl_Stock[[#This Row],[Stock Courant]] &lt; tbl_Stock[[#This Row],[Seuil critique]], "⚠️ Alerte", "OK")</f>
        <v>OK</v>
      </c>
    </row>
    <row r="14" spans="1:16" x14ac:dyDescent="0.25">
      <c r="A14" t="str">
        <f>IFERROR(VLOOKUP(B14,Référentiels!$M$2:$N$267,2,FALSE),"Ingrédient non trouvé")</f>
        <v>BOU013</v>
      </c>
      <c r="B14" t="str">
        <f>+tbl_IngrédientsRef[[#This Row],[Ingrédient]]</f>
        <v>Pain Burger</v>
      </c>
      <c r="C14" t="str">
        <f>INDEX(tbl_IngrédientsRef[Unité], MATCH(A14, tbl_IngrédientsRef[Cde_Ingrdt],0))</f>
        <v>Pièce</v>
      </c>
      <c r="D14" s="21">
        <f>IFERROR(INDEX(tbl_IngrédientsRef[[#This Row],[PU_effectif_g/ml]], MATCH(tbl_Stock[[#This Row],[Cde_Ingrdt]], tbl_IngrédientsRef[[#This Row],[Cde_Ingrdt]], 0)), 0)</f>
        <v>7</v>
      </c>
      <c r="E14">
        <v>1500</v>
      </c>
      <c r="F14" s="57">
        <f>tbl_Stock[[#This Row],[Stock Départ]] * INDEX(tbl_IngrédientsRef[Prix/Uni Base], MATCH(tbl_Stock[[#This Row],[Cde_Ingrdt]], tbl_IngrédientsRef[Cde_Ingrdt], 0))</f>
        <v>10500</v>
      </c>
      <c r="G14">
        <f>SUMIF(tbl_Achats[Cde_Ingrdt],tbl_Stock[[#This Row],[Cde_Ingrdt]],tbl_Achats[Qté d''Achat])</f>
        <v>0</v>
      </c>
      <c r="H14" s="21">
        <f t="array" ref="H14">SUMPRODUCT((tbl_Achats[Cde_Ingrdt]=tbl_Stock[[#This Row],[Cde_Ingrdt]]) * tbl_Achats[Qté d''Achat] * tbl_Achats[Prix Achat Unitaire])</f>
        <v>0</v>
      </c>
      <c r="I14">
        <v>250</v>
      </c>
      <c r="J14" s="21">
        <f ca="1">tbl_Stock[[#This Row],[Stock Courant]] * tbl_Stock[[#This Row],[CMP effectif]]</f>
        <v>10500</v>
      </c>
      <c r="K14">
        <f ca="1">tbl_Stock[[#This Row],[Stock Départ]] + SUMIF(tbl_Achats[Cde_Ingrdt],tbl_Stock[[#This Row],[Cde_Ingrdt]],tbl_Achats[[#This Row],[Qté d''Achat]])</f>
        <v>1500</v>
      </c>
      <c r="L14" s="7">
        <f ca="1">IFERROR((tbl_Stock[[#This Row],[Valeur stock initiale]] + tbl_Stock[[#This Row],[ Valeur Achat]]) / tbl_Stock[[#This Row],[Quantité totale]], 0)</f>
        <v>7</v>
      </c>
      <c r="M14" s="7">
        <f>SUMIF(tbl_Sorties[[Code ingrédient ]], tbl_Stock[[#This Row],[Cde_Ingrdt]], tbl_Sorties[Qté Sortie])</f>
        <v>0</v>
      </c>
      <c r="N14" s="57">
        <f>tbl_Stock[[#This Row],[Stock Départ]] + tbl_Stock[[#This Row],[Achats Cumulées]] - tbl_Stock[[#This Row],[ Sortie cumulée]]</f>
        <v>1500</v>
      </c>
      <c r="O14">
        <v>100</v>
      </c>
      <c r="P14" t="str">
        <f>IF(tbl_Stock[[#This Row],[Stock Courant]] &lt; tbl_Stock[[#This Row],[Seuil critique]], "⚠️ Alerte", "OK")</f>
        <v>OK</v>
      </c>
    </row>
    <row r="15" spans="1:16" x14ac:dyDescent="0.25">
      <c r="A15" t="str">
        <f>IFERROR(VLOOKUP(B15,Référentiels!$M$2:$N$267,2,FALSE),"Ingrédient non trouvé")</f>
        <v>BOU014</v>
      </c>
      <c r="B15" t="str">
        <f>+tbl_IngrédientsRef[[#This Row],[Ingrédient]]</f>
        <v>Tortilla</v>
      </c>
      <c r="C15" t="str">
        <f>INDEX(tbl_IngrédientsRef[Unité], MATCH(A15, tbl_IngrédientsRef[Cde_Ingrdt],0))</f>
        <v>Pièce</v>
      </c>
      <c r="D15" s="21">
        <f>IFERROR(INDEX(tbl_IngrédientsRef[[#This Row],[PU_effectif_g/ml]], MATCH(tbl_Stock[[#This Row],[Cde_Ingrdt]], tbl_IngrédientsRef[[#This Row],[Cde_Ingrdt]], 0)), 0)</f>
        <v>5</v>
      </c>
      <c r="E15">
        <v>1500</v>
      </c>
      <c r="F15" s="57">
        <f>tbl_Stock[[#This Row],[Stock Départ]] * INDEX(tbl_IngrédientsRef[Prix/Uni Base], MATCH(tbl_Stock[[#This Row],[Cde_Ingrdt]], tbl_IngrédientsRef[Cde_Ingrdt], 0))</f>
        <v>7500</v>
      </c>
      <c r="G15">
        <f>SUMIF(tbl_Achats[Cde_Ingrdt],tbl_Stock[[#This Row],[Cde_Ingrdt]],tbl_Achats[Qté d''Achat])</f>
        <v>0</v>
      </c>
      <c r="H15" s="21">
        <f t="array" ref="H15">SUMPRODUCT((tbl_Achats[Cde_Ingrdt]=tbl_Stock[[#This Row],[Cde_Ingrdt]]) * tbl_Achats[Qté d''Achat] * tbl_Achats[Prix Achat Unitaire])</f>
        <v>0</v>
      </c>
      <c r="I15">
        <v>230</v>
      </c>
      <c r="J15" s="21">
        <f ca="1">tbl_Stock[[#This Row],[Stock Courant]] * tbl_Stock[[#This Row],[CMP effectif]]</f>
        <v>7500</v>
      </c>
      <c r="K15">
        <f ca="1">tbl_Stock[[#This Row],[Stock Départ]] + SUMIF(tbl_Achats[Cde_Ingrdt],tbl_Stock[[#This Row],[Cde_Ingrdt]],tbl_Achats[[#This Row],[Qté d''Achat]])</f>
        <v>1500</v>
      </c>
      <c r="L15" s="7">
        <f ca="1">IFERROR((tbl_Stock[[#This Row],[Valeur stock initiale]] + tbl_Stock[[#This Row],[ Valeur Achat]]) / tbl_Stock[[#This Row],[Quantité totale]], 0)</f>
        <v>5</v>
      </c>
      <c r="M15" s="7">
        <f>SUMIF(tbl_Sorties[[Code ingrédient ]], tbl_Stock[[#This Row],[Cde_Ingrdt]], tbl_Sorties[Qté Sortie])</f>
        <v>0</v>
      </c>
      <c r="N15" s="57">
        <f>tbl_Stock[[#This Row],[Stock Départ]] + tbl_Stock[[#This Row],[Achats Cumulées]] - tbl_Stock[[#This Row],[ Sortie cumulée]]</f>
        <v>1500</v>
      </c>
      <c r="O15">
        <v>100</v>
      </c>
      <c r="P15" t="str">
        <f>IF(tbl_Stock[[#This Row],[Stock Courant]] &lt; tbl_Stock[[#This Row],[Seuil critique]], "⚠️ Alerte", "OK")</f>
        <v>OK</v>
      </c>
    </row>
    <row r="16" spans="1:16" x14ac:dyDescent="0.25">
      <c r="A16" t="str">
        <f>IFERROR(VLOOKUP(B16,Référentiels!$M$2:$N$267,2,FALSE),"Ingrédient non trouvé")</f>
        <v>BOU015</v>
      </c>
      <c r="B16" t="str">
        <f>+tbl_IngrédientsRef[[#This Row],[Ingrédient]]</f>
        <v>Gauffre</v>
      </c>
      <c r="C16" t="str">
        <f>INDEX(tbl_IngrédientsRef[Unité], MATCH(A16, tbl_IngrédientsRef[Cde_Ingrdt],0))</f>
        <v>Pièce</v>
      </c>
      <c r="D16" s="21">
        <f>IFERROR(INDEX(tbl_IngrédientsRef[[#This Row],[PU_effectif_g/ml]], MATCH(tbl_Stock[[#This Row],[Cde_Ingrdt]], tbl_IngrédientsRef[[#This Row],[Cde_Ingrdt]], 0)), 0)</f>
        <v>15</v>
      </c>
      <c r="E16">
        <v>1500</v>
      </c>
      <c r="F16" s="57">
        <f>tbl_Stock[[#This Row],[Stock Départ]] * INDEX(tbl_IngrédientsRef[Prix/Uni Base], MATCH(tbl_Stock[[#This Row],[Cde_Ingrdt]], tbl_IngrédientsRef[Cde_Ingrdt], 0))</f>
        <v>22500</v>
      </c>
      <c r="G16">
        <f>SUMIF(tbl_Achats[Cde_Ingrdt],tbl_Stock[[#This Row],[Cde_Ingrdt]],tbl_Achats[Qté d''Achat])</f>
        <v>0</v>
      </c>
      <c r="H16" s="21">
        <f t="array" ref="H16">SUMPRODUCT((tbl_Achats[Cde_Ingrdt]=tbl_Stock[[#This Row],[Cde_Ingrdt]]) * tbl_Achats[Qté d''Achat] * tbl_Achats[Prix Achat Unitaire])</f>
        <v>0</v>
      </c>
      <c r="I16">
        <v>300</v>
      </c>
      <c r="J16" s="21">
        <f ca="1">tbl_Stock[[#This Row],[Stock Courant]] * tbl_Stock[[#This Row],[CMP effectif]]</f>
        <v>22500</v>
      </c>
      <c r="K16">
        <f ca="1">tbl_Stock[[#This Row],[Stock Départ]] + SUMIF(tbl_Achats[Cde_Ingrdt],tbl_Stock[[#This Row],[Cde_Ingrdt]],tbl_Achats[[#This Row],[Qté d''Achat]])</f>
        <v>1500</v>
      </c>
      <c r="L16" s="7">
        <f ca="1">IFERROR((tbl_Stock[[#This Row],[Valeur stock initiale]] + tbl_Stock[[#This Row],[ Valeur Achat]]) / tbl_Stock[[#This Row],[Quantité totale]], 0)</f>
        <v>15</v>
      </c>
      <c r="M16" s="7">
        <f>SUMIF(tbl_Sorties[[Code ingrédient ]], tbl_Stock[[#This Row],[Cde_Ingrdt]], tbl_Sorties[Qté Sortie])</f>
        <v>0</v>
      </c>
      <c r="N16" s="57">
        <f>tbl_Stock[[#This Row],[Stock Départ]] + tbl_Stock[[#This Row],[Achats Cumulées]] - tbl_Stock[[#This Row],[ Sortie cumulée]]</f>
        <v>1500</v>
      </c>
      <c r="O16">
        <v>100</v>
      </c>
      <c r="P16" t="str">
        <f>IF(tbl_Stock[[#This Row],[Stock Courant]] &lt; tbl_Stock[[#This Row],[Seuil critique]], "⚠️ Alerte", "OK")</f>
        <v>OK</v>
      </c>
    </row>
    <row r="17" spans="1:16" x14ac:dyDescent="0.25">
      <c r="A17" t="str">
        <f>IFERROR(VLOOKUP(B17,Référentiels!$M$2:$N$267,2,FALSE),"Ingrédient non trouvé")</f>
        <v>BOU016</v>
      </c>
      <c r="B17" t="str">
        <f>+tbl_IngrédientsRef[[#This Row],[Ingrédient]]</f>
        <v>Tafernoute</v>
      </c>
      <c r="C17" t="str">
        <f>INDEX(tbl_IngrédientsRef[Unité], MATCH(A17, tbl_IngrédientsRef[Cde_Ingrdt],0))</f>
        <v>Pièce</v>
      </c>
      <c r="D17" s="21">
        <f>IFERROR(INDEX(tbl_IngrédientsRef[[#This Row],[PU_effectif_g/ml]], MATCH(tbl_Stock[[#This Row],[Cde_Ingrdt]], tbl_IngrédientsRef[[#This Row],[Cde_Ingrdt]], 0)), 0)</f>
        <v>5</v>
      </c>
      <c r="E17">
        <v>1500</v>
      </c>
      <c r="F17" s="57">
        <f>tbl_Stock[[#This Row],[Stock Départ]] * INDEX(tbl_IngrédientsRef[Prix/Uni Base], MATCH(tbl_Stock[[#This Row],[Cde_Ingrdt]], tbl_IngrédientsRef[Cde_Ingrdt], 0))</f>
        <v>7500</v>
      </c>
      <c r="G17">
        <f>SUMIF(tbl_Achats[Cde_Ingrdt],tbl_Stock[[#This Row],[Cde_Ingrdt]],tbl_Achats[Qté d''Achat])</f>
        <v>0</v>
      </c>
      <c r="H17" s="21">
        <f t="array" ref="H17">SUMPRODUCT((tbl_Achats[Cde_Ingrdt]=tbl_Stock[[#This Row],[Cde_Ingrdt]]) * tbl_Achats[Qté d''Achat] * tbl_Achats[Prix Achat Unitaire])</f>
        <v>0</v>
      </c>
      <c r="I17">
        <v>340</v>
      </c>
      <c r="J17" s="21">
        <f ca="1">tbl_Stock[[#This Row],[Stock Courant]] * tbl_Stock[[#This Row],[CMP effectif]]</f>
        <v>7500</v>
      </c>
      <c r="K17">
        <f ca="1">tbl_Stock[[#This Row],[Stock Départ]] + SUMIF(tbl_Achats[Cde_Ingrdt],tbl_Stock[[#This Row],[Cde_Ingrdt]],tbl_Achats[[#This Row],[Qté d''Achat]])</f>
        <v>1500</v>
      </c>
      <c r="L17" s="7">
        <f ca="1">IFERROR((tbl_Stock[[#This Row],[Valeur stock initiale]] + tbl_Stock[[#This Row],[ Valeur Achat]]) / tbl_Stock[[#This Row],[Quantité totale]], 0)</f>
        <v>5</v>
      </c>
      <c r="M17" s="7">
        <f>SUMIF(tbl_Sorties[[Code ingrédient ]], tbl_Stock[[#This Row],[Cde_Ingrdt]], tbl_Sorties[Qté Sortie])</f>
        <v>0</v>
      </c>
      <c r="N17" s="57">
        <f>tbl_Stock[[#This Row],[Stock Départ]] + tbl_Stock[[#This Row],[Achats Cumulées]] - tbl_Stock[[#This Row],[ Sortie cumulée]]</f>
        <v>1500</v>
      </c>
      <c r="O17">
        <v>100</v>
      </c>
      <c r="P17" t="str">
        <f>IF(tbl_Stock[[#This Row],[Stock Courant]] &lt; tbl_Stock[[#This Row],[Seuil critique]], "⚠️ Alerte", "OK")</f>
        <v>OK</v>
      </c>
    </row>
    <row r="18" spans="1:16" x14ac:dyDescent="0.25">
      <c r="A18" t="str">
        <f>IFERROR(VLOOKUP(B18,Référentiels!$M$2:$N$267,2,FALSE),"Ingrédient non trouvé")</f>
        <v>BOU017</v>
      </c>
      <c r="B18" t="str">
        <f>+tbl_IngrédientsRef[[#This Row],[Ingrédient]]</f>
        <v>Pain Libanais</v>
      </c>
      <c r="C18" t="str">
        <f>INDEX(tbl_IngrédientsRef[Unité], MATCH(A18, tbl_IngrédientsRef[Cde_Ingrdt],0))</f>
        <v>Pièce</v>
      </c>
      <c r="D18" s="21">
        <f>IFERROR(INDEX(tbl_IngrédientsRef[[#This Row],[PU_effectif_g/ml]], MATCH(tbl_Stock[[#This Row],[Cde_Ingrdt]], tbl_IngrédientsRef[[#This Row],[Cde_Ingrdt]], 0)), 0)</f>
        <v>1.3</v>
      </c>
      <c r="E18">
        <v>1500</v>
      </c>
      <c r="F18" s="57">
        <f>tbl_Stock[[#This Row],[Stock Départ]] * INDEX(tbl_IngrédientsRef[Prix/Uni Base], MATCH(tbl_Stock[[#This Row],[Cde_Ingrdt]], tbl_IngrédientsRef[Cde_Ingrdt], 0))</f>
        <v>1950</v>
      </c>
      <c r="G18">
        <f>SUMIF(tbl_Achats[Cde_Ingrdt],tbl_Stock[[#This Row],[Cde_Ingrdt]],tbl_Achats[Qté d''Achat])</f>
        <v>0</v>
      </c>
      <c r="H18" s="21">
        <f t="array" ref="H18">SUMPRODUCT((tbl_Achats[Cde_Ingrdt]=tbl_Stock[[#This Row],[Cde_Ingrdt]]) * tbl_Achats[Qté d''Achat] * tbl_Achats[Prix Achat Unitaire])</f>
        <v>0</v>
      </c>
      <c r="I18">
        <v>250</v>
      </c>
      <c r="J18" s="21">
        <f ca="1">tbl_Stock[[#This Row],[Stock Courant]] * tbl_Stock[[#This Row],[CMP effectif]]</f>
        <v>1950</v>
      </c>
      <c r="K18">
        <f ca="1">tbl_Stock[[#This Row],[Stock Départ]] + SUMIF(tbl_Achats[Cde_Ingrdt],tbl_Stock[[#This Row],[Cde_Ingrdt]],tbl_Achats[[#This Row],[Qté d''Achat]])</f>
        <v>1500</v>
      </c>
      <c r="L18" s="7">
        <f ca="1">IFERROR((tbl_Stock[[#This Row],[Valeur stock initiale]] + tbl_Stock[[#This Row],[ Valeur Achat]]) / tbl_Stock[[#This Row],[Quantité totale]], 0)</f>
        <v>1.3</v>
      </c>
      <c r="M18" s="7">
        <f>SUMIF(tbl_Sorties[[Code ingrédient ]], tbl_Stock[[#This Row],[Cde_Ingrdt]], tbl_Sorties[Qté Sortie])</f>
        <v>0</v>
      </c>
      <c r="N18" s="57">
        <f>tbl_Stock[[#This Row],[Stock Départ]] + tbl_Stock[[#This Row],[Achats Cumulées]] - tbl_Stock[[#This Row],[ Sortie cumulée]]</f>
        <v>1500</v>
      </c>
      <c r="O18">
        <v>100</v>
      </c>
      <c r="P18" t="str">
        <f>IF(tbl_Stock[[#This Row],[Stock Courant]] &lt; tbl_Stock[[#This Row],[Seuil critique]], "⚠️ Alerte", "OK")</f>
        <v>OK</v>
      </c>
    </row>
    <row r="19" spans="1:16" x14ac:dyDescent="0.25">
      <c r="A19" t="str">
        <f>IFERROR(VLOOKUP(B19,Référentiels!$M$2:$N$267,2,FALSE),"Ingrédient non trouvé")</f>
        <v>BOU018</v>
      </c>
      <c r="B19" t="str">
        <f>+tbl_IngrédientsRef[[#This Row],[Ingrédient]]</f>
        <v>Pain Panini</v>
      </c>
      <c r="C19" t="str">
        <f>INDEX(tbl_IngrédientsRef[Unité], MATCH(A19, tbl_IngrédientsRef[Cde_Ingrdt],0))</f>
        <v>Pièce</v>
      </c>
      <c r="D19" s="21">
        <f>IFERROR(INDEX(tbl_IngrédientsRef[[#This Row],[PU_effectif_g/ml]], MATCH(tbl_Stock[[#This Row],[Cde_Ingrdt]], tbl_IngrédientsRef[[#This Row],[Cde_Ingrdt]], 0)), 0)</f>
        <v>3.5</v>
      </c>
      <c r="E19">
        <v>1500</v>
      </c>
      <c r="F19" s="57">
        <f>tbl_Stock[[#This Row],[Stock Départ]] * INDEX(tbl_IngrédientsRef[Prix/Uni Base], MATCH(tbl_Stock[[#This Row],[Cde_Ingrdt]], tbl_IngrédientsRef[Cde_Ingrdt], 0))</f>
        <v>5250</v>
      </c>
      <c r="G19">
        <f>SUMIF(tbl_Achats[Cde_Ingrdt],tbl_Stock[[#This Row],[Cde_Ingrdt]],tbl_Achats[Qté d''Achat])</f>
        <v>0</v>
      </c>
      <c r="H19" s="21">
        <f t="array" ref="H19">SUMPRODUCT((tbl_Achats[Cde_Ingrdt]=tbl_Stock[[#This Row],[Cde_Ingrdt]]) * tbl_Achats[Qté d''Achat] * tbl_Achats[Prix Achat Unitaire])</f>
        <v>0</v>
      </c>
      <c r="I19">
        <v>230</v>
      </c>
      <c r="J19" s="21">
        <f ca="1">tbl_Stock[[#This Row],[Stock Courant]] * tbl_Stock[[#This Row],[CMP effectif]]</f>
        <v>5250</v>
      </c>
      <c r="K19">
        <f ca="1">tbl_Stock[[#This Row],[Stock Départ]] + SUMIF(tbl_Achats[Cde_Ingrdt],tbl_Stock[[#This Row],[Cde_Ingrdt]],tbl_Achats[[#This Row],[Qté d''Achat]])</f>
        <v>1500</v>
      </c>
      <c r="L19" s="7">
        <f ca="1">IFERROR((tbl_Stock[[#This Row],[Valeur stock initiale]] + tbl_Stock[[#This Row],[ Valeur Achat]]) / tbl_Stock[[#This Row],[Quantité totale]], 0)</f>
        <v>3.5</v>
      </c>
      <c r="M19" s="7">
        <f>SUMIF(tbl_Sorties[[Code ingrédient ]], tbl_Stock[[#This Row],[Cde_Ingrdt]], tbl_Sorties[Qté Sortie])</f>
        <v>0</v>
      </c>
      <c r="N19" s="57">
        <f>tbl_Stock[[#This Row],[Stock Départ]] + tbl_Stock[[#This Row],[Achats Cumulées]] - tbl_Stock[[#This Row],[ Sortie cumulée]]</f>
        <v>1500</v>
      </c>
      <c r="O19">
        <v>100</v>
      </c>
      <c r="P19" t="str">
        <f>IF(tbl_Stock[[#This Row],[Stock Courant]] &lt; tbl_Stock[[#This Row],[Seuil critique]], "⚠️ Alerte", "OK")</f>
        <v>OK</v>
      </c>
    </row>
    <row r="20" spans="1:16" x14ac:dyDescent="0.25">
      <c r="A20" t="str">
        <f>IFERROR(VLOOKUP(B20,Référentiels!$M$2:$N$267,2,FALSE),"Ingrédient non trouvé")</f>
        <v>BOU019</v>
      </c>
      <c r="B20" t="str">
        <f>+tbl_IngrédientsRef[[#This Row],[Ingrédient]]</f>
        <v>Crêpe</v>
      </c>
      <c r="C20" t="str">
        <f>INDEX(tbl_IngrédientsRef[Unité], MATCH(A20, tbl_IngrédientsRef[Cde_Ingrdt],0))</f>
        <v>Pièce</v>
      </c>
      <c r="D20" s="21">
        <f>IFERROR(INDEX(tbl_IngrédientsRef[[#This Row],[PU_effectif_g/ml]], MATCH(tbl_Stock[[#This Row],[Cde_Ingrdt]], tbl_IngrédientsRef[[#This Row],[Cde_Ingrdt]], 0)), 0)</f>
        <v>7</v>
      </c>
      <c r="E20">
        <v>1500</v>
      </c>
      <c r="F20" s="57">
        <f>tbl_Stock[[#This Row],[Stock Départ]] * INDEX(tbl_IngrédientsRef[Prix/Uni Base], MATCH(tbl_Stock[[#This Row],[Cde_Ingrdt]], tbl_IngrédientsRef[Cde_Ingrdt], 0))</f>
        <v>10500</v>
      </c>
      <c r="G20">
        <f>SUMIF(tbl_Achats[Cde_Ingrdt],tbl_Stock[[#This Row],[Cde_Ingrdt]],tbl_Achats[Qté d''Achat])</f>
        <v>0</v>
      </c>
      <c r="H20" s="21">
        <f t="array" ref="H20">SUMPRODUCT((tbl_Achats[Cde_Ingrdt]=tbl_Stock[[#This Row],[Cde_Ingrdt]]) * tbl_Achats[Qté d''Achat] * tbl_Achats[Prix Achat Unitaire])</f>
        <v>0</v>
      </c>
      <c r="I20">
        <v>300</v>
      </c>
      <c r="J20" s="21">
        <f ca="1">tbl_Stock[[#This Row],[Stock Courant]] * tbl_Stock[[#This Row],[CMP effectif]]</f>
        <v>10500</v>
      </c>
      <c r="K20">
        <f ca="1">tbl_Stock[[#This Row],[Stock Départ]] + SUMIF(tbl_Achats[Cde_Ingrdt],tbl_Stock[[#This Row],[Cde_Ingrdt]],tbl_Achats[[#This Row],[Qté d''Achat]])</f>
        <v>1500</v>
      </c>
      <c r="L20" s="7">
        <f ca="1">IFERROR((tbl_Stock[[#This Row],[Valeur stock initiale]] + tbl_Stock[[#This Row],[ Valeur Achat]]) / tbl_Stock[[#This Row],[Quantité totale]], 0)</f>
        <v>7</v>
      </c>
      <c r="M20" s="7">
        <f>SUMIF(tbl_Sorties[[Code ingrédient ]], tbl_Stock[[#This Row],[Cde_Ingrdt]], tbl_Sorties[Qté Sortie])</f>
        <v>0</v>
      </c>
      <c r="N20" s="57">
        <f>tbl_Stock[[#This Row],[Stock Départ]] + tbl_Stock[[#This Row],[Achats Cumulées]] - tbl_Stock[[#This Row],[ Sortie cumulée]]</f>
        <v>1500</v>
      </c>
      <c r="O20">
        <v>100</v>
      </c>
      <c r="P20" t="str">
        <f>IF(tbl_Stock[[#This Row],[Stock Courant]] &lt; tbl_Stock[[#This Row],[Seuil critique]], "⚠️ Alerte", "OK")</f>
        <v>OK</v>
      </c>
    </row>
    <row r="21" spans="1:16" x14ac:dyDescent="0.25">
      <c r="A21" t="str">
        <f>IFERROR(VLOOKUP(B21,Référentiels!$M$2:$N$267,2,FALSE),"Ingrédient non trouvé")</f>
        <v>FEC001</v>
      </c>
      <c r="B21" t="str">
        <f>+tbl_IngrédientsRef[[#This Row],[Ingrédient]]</f>
        <v>Feuille De Brick</v>
      </c>
      <c r="C21" t="str">
        <f>INDEX(tbl_IngrédientsRef[Unité], MATCH(A21, tbl_IngrédientsRef[Cde_Ingrdt],0))</f>
        <v>Pièce</v>
      </c>
      <c r="D21" s="21">
        <f>IFERROR(INDEX(tbl_IngrédientsRef[[#This Row],[PU_effectif_g/ml]], MATCH(tbl_Stock[[#This Row],[Cde_Ingrdt]], tbl_IngrédientsRef[[#This Row],[Cde_Ingrdt]], 0)), 0)</f>
        <v>2</v>
      </c>
      <c r="E21">
        <v>1500</v>
      </c>
      <c r="F21" s="57">
        <f>tbl_Stock[[#This Row],[Stock Départ]] * INDEX(tbl_IngrédientsRef[Prix/Uni Base], MATCH(tbl_Stock[[#This Row],[Cde_Ingrdt]], tbl_IngrédientsRef[Cde_Ingrdt], 0))</f>
        <v>3000</v>
      </c>
      <c r="G21">
        <f>SUMIF(tbl_Achats[Cde_Ingrdt],tbl_Stock[[#This Row],[Cde_Ingrdt]],tbl_Achats[Qté d''Achat])</f>
        <v>0</v>
      </c>
      <c r="H21" s="21">
        <f t="array" ref="H21">SUMPRODUCT((tbl_Achats[Cde_Ingrdt]=tbl_Stock[[#This Row],[Cde_Ingrdt]]) * tbl_Achats[Qté d''Achat] * tbl_Achats[Prix Achat Unitaire])</f>
        <v>0</v>
      </c>
      <c r="I21">
        <v>340</v>
      </c>
      <c r="J21" s="21">
        <f ca="1">tbl_Stock[[#This Row],[Stock Courant]] * tbl_Stock[[#This Row],[CMP effectif]]</f>
        <v>3000</v>
      </c>
      <c r="K21">
        <f ca="1">tbl_Stock[[#This Row],[Stock Départ]] + SUMIF(tbl_Achats[Cde_Ingrdt],tbl_Stock[[#This Row],[Cde_Ingrdt]],tbl_Achats[[#This Row],[Qté d''Achat]])</f>
        <v>1500</v>
      </c>
      <c r="L21" s="7">
        <f ca="1">IFERROR((tbl_Stock[[#This Row],[Valeur stock initiale]] + tbl_Stock[[#This Row],[ Valeur Achat]]) / tbl_Stock[[#This Row],[Quantité totale]], 0)</f>
        <v>2</v>
      </c>
      <c r="M21" s="7">
        <f>SUMIF(tbl_Sorties[[Code ingrédient ]], tbl_Stock[[#This Row],[Cde_Ingrdt]], tbl_Sorties[Qté Sortie])</f>
        <v>0</v>
      </c>
      <c r="N21" s="57">
        <f>tbl_Stock[[#This Row],[Stock Départ]] + tbl_Stock[[#This Row],[Achats Cumulées]] - tbl_Stock[[#This Row],[ Sortie cumulée]]</f>
        <v>1500</v>
      </c>
      <c r="O21">
        <v>100</v>
      </c>
      <c r="P21" t="str">
        <f>IF(tbl_Stock[[#This Row],[Stock Courant]] &lt; tbl_Stock[[#This Row],[Seuil critique]], "⚠️ Alerte", "OK")</f>
        <v>OK</v>
      </c>
    </row>
    <row r="22" spans="1:16" x14ac:dyDescent="0.25">
      <c r="A22" t="str">
        <f>IFERROR(VLOOKUP(B22,Référentiels!$M$2:$N$267,2,FALSE),"Ingrédient non trouvé")</f>
        <v>FEC002</v>
      </c>
      <c r="B22" t="str">
        <f>+tbl_IngrédientsRef[[#This Row],[Ingrédient]]</f>
        <v>Feuille De Nems</v>
      </c>
      <c r="C22" t="str">
        <f>INDEX(tbl_IngrédientsRef[Unité], MATCH(A22, tbl_IngrédientsRef[Cde_Ingrdt],0))</f>
        <v>Pièce</v>
      </c>
      <c r="D22" s="21">
        <f>IFERROR(INDEX(tbl_IngrédientsRef[[#This Row],[PU_effectif_g/ml]], MATCH(tbl_Stock[[#This Row],[Cde_Ingrdt]], tbl_IngrédientsRef[[#This Row],[Cde_Ingrdt]], 0)), 0)</f>
        <v>2</v>
      </c>
      <c r="E22">
        <v>1500</v>
      </c>
      <c r="F22" s="57">
        <f>tbl_Stock[[#This Row],[Stock Départ]] * INDEX(tbl_IngrédientsRef[Prix/Uni Base], MATCH(tbl_Stock[[#This Row],[Cde_Ingrdt]], tbl_IngrédientsRef[Cde_Ingrdt], 0))</f>
        <v>3000</v>
      </c>
      <c r="G22">
        <f>SUMIF(tbl_Achats[Cde_Ingrdt],tbl_Stock[[#This Row],[Cde_Ingrdt]],tbl_Achats[Qté d''Achat])</f>
        <v>0</v>
      </c>
      <c r="H22" s="21">
        <f t="array" ref="H22">SUMPRODUCT((tbl_Achats[Cde_Ingrdt]=tbl_Stock[[#This Row],[Cde_Ingrdt]]) * tbl_Achats[Qté d''Achat] * tbl_Achats[Prix Achat Unitaire])</f>
        <v>0</v>
      </c>
      <c r="I22">
        <v>250</v>
      </c>
      <c r="J22" s="21">
        <f ca="1">tbl_Stock[[#This Row],[Stock Courant]] * tbl_Stock[[#This Row],[CMP effectif]]</f>
        <v>3000</v>
      </c>
      <c r="K22">
        <f ca="1">tbl_Stock[[#This Row],[Stock Départ]] + SUMIF(tbl_Achats[Cde_Ingrdt],tbl_Stock[[#This Row],[Cde_Ingrdt]],tbl_Achats[[#This Row],[Qté d''Achat]])</f>
        <v>1500</v>
      </c>
      <c r="L22" s="7">
        <f ca="1">IFERROR((tbl_Stock[[#This Row],[Valeur stock initiale]] + tbl_Stock[[#This Row],[ Valeur Achat]]) / tbl_Stock[[#This Row],[Quantité totale]], 0)</f>
        <v>2</v>
      </c>
      <c r="M22" s="7">
        <f>SUMIF(tbl_Sorties[[Code ingrédient ]], tbl_Stock[[#This Row],[Cde_Ingrdt]], tbl_Sorties[Qté Sortie])</f>
        <v>0</v>
      </c>
      <c r="N22" s="57">
        <f>tbl_Stock[[#This Row],[Stock Départ]] + tbl_Stock[[#This Row],[Achats Cumulées]] - tbl_Stock[[#This Row],[ Sortie cumulée]]</f>
        <v>1500</v>
      </c>
      <c r="O22">
        <v>100</v>
      </c>
      <c r="P22" t="str">
        <f>IF(tbl_Stock[[#This Row],[Stock Courant]] &lt; tbl_Stock[[#This Row],[Seuil critique]], "⚠️ Alerte", "OK")</f>
        <v>OK</v>
      </c>
    </row>
    <row r="23" spans="1:16" x14ac:dyDescent="0.25">
      <c r="A23" t="str">
        <f>IFERROR(VLOOKUP(B23,Référentiels!$M$2:$N$267,2,FALSE),"Ingrédient non trouvé")</f>
        <v>FEC003</v>
      </c>
      <c r="B23" t="str">
        <f>+tbl_IngrédientsRef[[#This Row],[Ingrédient]]</f>
        <v>Vermicelle De Riz</v>
      </c>
      <c r="C23" t="str">
        <f>INDEX(tbl_IngrédientsRef[Unité], MATCH(A23, tbl_IngrédientsRef[Cde_Ingrdt],0))</f>
        <v>g</v>
      </c>
      <c r="D23" s="21">
        <f>IFERROR(INDEX(tbl_IngrédientsRef[[#This Row],[PU_effectif_g/ml]], MATCH(tbl_Stock[[#This Row],[Cde_Ingrdt]], tbl_IngrédientsRef[[#This Row],[Cde_Ingrdt]], 0)), 0)</f>
        <v>0.08</v>
      </c>
      <c r="E23">
        <v>1500</v>
      </c>
      <c r="F23" s="57">
        <f>tbl_Stock[[#This Row],[Stock Départ]] * INDEX(tbl_IngrédientsRef[Prix/Uni Base], MATCH(tbl_Stock[[#This Row],[Cde_Ingrdt]], tbl_IngrédientsRef[Cde_Ingrdt], 0))</f>
        <v>120</v>
      </c>
      <c r="G23">
        <f>SUMIF(tbl_Achats[Cde_Ingrdt],tbl_Stock[[#This Row],[Cde_Ingrdt]],tbl_Achats[Qté d''Achat])</f>
        <v>0</v>
      </c>
      <c r="H23" s="21">
        <f t="array" ref="H23">SUMPRODUCT((tbl_Achats[Cde_Ingrdt]=tbl_Stock[[#This Row],[Cde_Ingrdt]]) * tbl_Achats[Qté d''Achat] * tbl_Achats[Prix Achat Unitaire])</f>
        <v>0</v>
      </c>
      <c r="I23">
        <v>230</v>
      </c>
      <c r="J23" s="21">
        <f ca="1">tbl_Stock[[#This Row],[Stock Courant]] * tbl_Stock[[#This Row],[CMP effectif]]</f>
        <v>120</v>
      </c>
      <c r="K23">
        <f ca="1">tbl_Stock[[#This Row],[Stock Départ]] + SUMIF(tbl_Achats[Cde_Ingrdt],tbl_Stock[[#This Row],[Cde_Ingrdt]],tbl_Achats[[#This Row],[Qté d''Achat]])</f>
        <v>1500</v>
      </c>
      <c r="L23" s="7">
        <f ca="1">IFERROR((tbl_Stock[[#This Row],[Valeur stock initiale]] + tbl_Stock[[#This Row],[ Valeur Achat]]) / tbl_Stock[[#This Row],[Quantité totale]], 0)</f>
        <v>0.08</v>
      </c>
      <c r="M23" s="7">
        <f>SUMIF(tbl_Sorties[[Code ingrédient ]], tbl_Stock[[#This Row],[Cde_Ingrdt]], tbl_Sorties[Qté Sortie])</f>
        <v>0</v>
      </c>
      <c r="N23" s="57">
        <f>tbl_Stock[[#This Row],[Stock Départ]] + tbl_Stock[[#This Row],[Achats Cumulées]] - tbl_Stock[[#This Row],[ Sortie cumulée]]</f>
        <v>1500</v>
      </c>
      <c r="O23">
        <v>100</v>
      </c>
      <c r="P23" t="str">
        <f>IF(tbl_Stock[[#This Row],[Stock Courant]] &lt; tbl_Stock[[#This Row],[Seuil critique]], "⚠️ Alerte", "OK")</f>
        <v>OK</v>
      </c>
    </row>
    <row r="24" spans="1:16" x14ac:dyDescent="0.25">
      <c r="A24" t="str">
        <f>IFERROR(VLOOKUP(B24,Référentiels!$M$2:$N$267,2,FALSE),"Ingrédient non trouvé")</f>
        <v>FEC004</v>
      </c>
      <c r="B24" t="str">
        <f>+tbl_IngrédientsRef[[#This Row],[Ingrédient]]</f>
        <v>Riz Cuit</v>
      </c>
      <c r="C24" t="str">
        <f>INDEX(tbl_IngrédientsRef[Unité], MATCH(A24, tbl_IngrédientsRef[Cde_Ingrdt],0))</f>
        <v>g</v>
      </c>
      <c r="D24" s="21">
        <f>IFERROR(INDEX(tbl_IngrédientsRef[[#This Row],[PU_effectif_g/ml]], MATCH(tbl_Stock[[#This Row],[Cde_Ingrdt]], tbl_IngrédientsRef[[#This Row],[Cde_Ingrdt]], 0)), 0)</f>
        <v>0.02</v>
      </c>
      <c r="E24">
        <v>1500</v>
      </c>
      <c r="F24" s="57">
        <f>tbl_Stock[[#This Row],[Stock Départ]] * INDEX(tbl_IngrédientsRef[Prix/Uni Base], MATCH(tbl_Stock[[#This Row],[Cde_Ingrdt]], tbl_IngrédientsRef[Cde_Ingrdt], 0))</f>
        <v>30</v>
      </c>
      <c r="G24">
        <f>SUMIF(tbl_Achats[Cde_Ingrdt],tbl_Stock[[#This Row],[Cde_Ingrdt]],tbl_Achats[Qté d''Achat])</f>
        <v>0</v>
      </c>
      <c r="H24" s="21">
        <f t="array" ref="H24">SUMPRODUCT((tbl_Achats[Cde_Ingrdt]=tbl_Stock[[#This Row],[Cde_Ingrdt]]) * tbl_Achats[Qté d''Achat] * tbl_Achats[Prix Achat Unitaire])</f>
        <v>0</v>
      </c>
      <c r="I24">
        <v>300</v>
      </c>
      <c r="J24" s="21">
        <f ca="1">tbl_Stock[[#This Row],[Stock Courant]] * tbl_Stock[[#This Row],[CMP effectif]]</f>
        <v>30</v>
      </c>
      <c r="K24">
        <f ca="1">tbl_Stock[[#This Row],[Stock Départ]] + SUMIF(tbl_Achats[Cde_Ingrdt],tbl_Stock[[#This Row],[Cde_Ingrdt]],tbl_Achats[[#This Row],[Qté d''Achat]])</f>
        <v>1500</v>
      </c>
      <c r="L24" s="7">
        <f ca="1">IFERROR((tbl_Stock[[#This Row],[Valeur stock initiale]] + tbl_Stock[[#This Row],[ Valeur Achat]]) / tbl_Stock[[#This Row],[Quantité totale]], 0)</f>
        <v>0.02</v>
      </c>
      <c r="M24" s="7">
        <f>SUMIF(tbl_Sorties[[Code ingrédient ]], tbl_Stock[[#This Row],[Cde_Ingrdt]], tbl_Sorties[Qté Sortie])</f>
        <v>0</v>
      </c>
      <c r="N24" s="57">
        <f>tbl_Stock[[#This Row],[Stock Départ]] + tbl_Stock[[#This Row],[Achats Cumulées]] - tbl_Stock[[#This Row],[ Sortie cumulée]]</f>
        <v>1500</v>
      </c>
      <c r="O24">
        <v>100</v>
      </c>
      <c r="P24" t="str">
        <f>IF(tbl_Stock[[#This Row],[Stock Courant]] &lt; tbl_Stock[[#This Row],[Seuil critique]], "⚠️ Alerte", "OK")</f>
        <v>OK</v>
      </c>
    </row>
    <row r="25" spans="1:16" x14ac:dyDescent="0.25">
      <c r="A25" t="str">
        <f>IFERROR(VLOOKUP(B25,Référentiels!$M$2:$N$267,2,FALSE),"Ingrédient non trouvé")</f>
        <v>FEC005</v>
      </c>
      <c r="B25" t="str">
        <f>+tbl_IngrédientsRef[[#This Row],[Ingrédient]]</f>
        <v>Riz Rond Spécial Paella</v>
      </c>
      <c r="C25" t="str">
        <f>INDEX(tbl_IngrédientsRef[Unité], MATCH(A25, tbl_IngrédientsRef[Cde_Ingrdt],0))</f>
        <v>g</v>
      </c>
      <c r="D25" s="21">
        <f>IFERROR(INDEX(tbl_IngrédientsRef[[#This Row],[PU_effectif_g/ml]], MATCH(tbl_Stock[[#This Row],[Cde_Ingrdt]], tbl_IngrédientsRef[[#This Row],[Cde_Ingrdt]], 0)), 0)</f>
        <v>0.03</v>
      </c>
      <c r="E25">
        <v>1500</v>
      </c>
      <c r="F25" s="57">
        <f>tbl_Stock[[#This Row],[Stock Départ]] * INDEX(tbl_IngrédientsRef[Prix/Uni Base], MATCH(tbl_Stock[[#This Row],[Cde_Ingrdt]], tbl_IngrédientsRef[Cde_Ingrdt], 0))</f>
        <v>45</v>
      </c>
      <c r="G25">
        <f>SUMIF(tbl_Achats[Cde_Ingrdt],tbl_Stock[[#This Row],[Cde_Ingrdt]],tbl_Achats[Qté d''Achat])</f>
        <v>0</v>
      </c>
      <c r="H25" s="21">
        <f t="array" ref="H25">SUMPRODUCT((tbl_Achats[Cde_Ingrdt]=tbl_Stock[[#This Row],[Cde_Ingrdt]]) * tbl_Achats[Qté d''Achat] * tbl_Achats[Prix Achat Unitaire])</f>
        <v>0</v>
      </c>
      <c r="I25">
        <v>340</v>
      </c>
      <c r="J25" s="21">
        <f ca="1">tbl_Stock[[#This Row],[Stock Courant]] * tbl_Stock[[#This Row],[CMP effectif]]</f>
        <v>45</v>
      </c>
      <c r="K25">
        <f ca="1">tbl_Stock[[#This Row],[Stock Départ]] + SUMIF(tbl_Achats[Cde_Ingrdt],tbl_Stock[[#This Row],[Cde_Ingrdt]],tbl_Achats[[#This Row],[Qté d''Achat]])</f>
        <v>1500</v>
      </c>
      <c r="L25" s="7">
        <f ca="1">IFERROR((tbl_Stock[[#This Row],[Valeur stock initiale]] + tbl_Stock[[#This Row],[ Valeur Achat]]) / tbl_Stock[[#This Row],[Quantité totale]], 0)</f>
        <v>0.03</v>
      </c>
      <c r="M25" s="7">
        <f>SUMIF(tbl_Sorties[[Code ingrédient ]], tbl_Stock[[#This Row],[Cde_Ingrdt]], tbl_Sorties[Qté Sortie])</f>
        <v>0</v>
      </c>
      <c r="N25" s="57">
        <f>tbl_Stock[[#This Row],[Stock Départ]] + tbl_Stock[[#This Row],[Achats Cumulées]] - tbl_Stock[[#This Row],[ Sortie cumulée]]</f>
        <v>1500</v>
      </c>
      <c r="O25">
        <v>100</v>
      </c>
      <c r="P25" t="str">
        <f>IF(tbl_Stock[[#This Row],[Stock Courant]] &lt; tbl_Stock[[#This Row],[Seuil critique]], "⚠️ Alerte", "OK")</f>
        <v>OK</v>
      </c>
    </row>
    <row r="26" spans="1:16" x14ac:dyDescent="0.25">
      <c r="A26" t="str">
        <f>IFERROR(VLOOKUP(B26,Référentiels!$M$2:$N$267,2,FALSE),"Ingrédient non trouvé")</f>
        <v>FEC006</v>
      </c>
      <c r="B26" t="str">
        <f>+tbl_IngrédientsRef[[#This Row],[Ingrédient]]</f>
        <v>Ebly</v>
      </c>
      <c r="C26" t="str">
        <f>INDEX(tbl_IngrédientsRef[Unité], MATCH(A26, tbl_IngrédientsRef[Cde_Ingrdt],0))</f>
        <v>g</v>
      </c>
      <c r="D26" s="21">
        <f>IFERROR(INDEX(tbl_IngrédientsRef[[#This Row],[PU_effectif_g/ml]], MATCH(tbl_Stock[[#This Row],[Cde_Ingrdt]], tbl_IngrédientsRef[[#This Row],[Cde_Ingrdt]], 0)), 0)</f>
        <v>7.0000000000000007E-2</v>
      </c>
      <c r="E26">
        <v>1500</v>
      </c>
      <c r="F26" s="57">
        <f>tbl_Stock[[#This Row],[Stock Départ]] * INDEX(tbl_IngrédientsRef[Prix/Uni Base], MATCH(tbl_Stock[[#This Row],[Cde_Ingrdt]], tbl_IngrédientsRef[Cde_Ingrdt], 0))</f>
        <v>105.00000000000001</v>
      </c>
      <c r="G26">
        <f>SUMIF(tbl_Achats[Cde_Ingrdt],tbl_Stock[[#This Row],[Cde_Ingrdt]],tbl_Achats[Qté d''Achat])</f>
        <v>0</v>
      </c>
      <c r="H26" s="21">
        <f t="array" ref="H26">SUMPRODUCT((tbl_Achats[Cde_Ingrdt]=tbl_Stock[[#This Row],[Cde_Ingrdt]]) * tbl_Achats[Qté d''Achat] * tbl_Achats[Prix Achat Unitaire])</f>
        <v>0</v>
      </c>
      <c r="I26">
        <v>250</v>
      </c>
      <c r="J26" s="21">
        <f ca="1">tbl_Stock[[#This Row],[Stock Courant]] * tbl_Stock[[#This Row],[CMP effectif]]</f>
        <v>70</v>
      </c>
      <c r="K26">
        <f ca="1">tbl_Stock[[#This Row],[Stock Départ]] + SUMIF(tbl_Achats[Cde_Ingrdt],tbl_Stock[[#This Row],[Cde_Ingrdt]],tbl_Achats[[#This Row],[Qté d''Achat]])</f>
        <v>1500</v>
      </c>
      <c r="L26" s="7">
        <f ca="1">IFERROR((tbl_Stock[[#This Row],[Valeur stock initiale]] + tbl_Stock[[#This Row],[ Valeur Achat]]) / tbl_Stock[[#This Row],[Quantité totale]], 0)</f>
        <v>7.0000000000000007E-2</v>
      </c>
      <c r="M26" s="7">
        <f>SUMIF(tbl_Sorties[[Code ingrédient ]], tbl_Stock[[#This Row],[Cde_Ingrdt]], tbl_Sorties[Qté Sortie])</f>
        <v>500</v>
      </c>
      <c r="N26" s="57">
        <f>tbl_Stock[[#This Row],[Stock Départ]] + tbl_Stock[[#This Row],[Achats Cumulées]] - tbl_Stock[[#This Row],[ Sortie cumulée]]</f>
        <v>1000</v>
      </c>
      <c r="O26">
        <v>100</v>
      </c>
      <c r="P26" t="str">
        <f>IF(tbl_Stock[[#This Row],[Stock Courant]] &lt; tbl_Stock[[#This Row],[Seuil critique]], "⚠️ Alerte", "OK")</f>
        <v>OK</v>
      </c>
    </row>
    <row r="27" spans="1:16" x14ac:dyDescent="0.25">
      <c r="A27" t="str">
        <f>IFERROR(VLOOKUP(B27,Référentiels!$M$2:$N$267,2,FALSE),"Ingrédient non trouvé")</f>
        <v>FEC007</v>
      </c>
      <c r="B27" t="str">
        <f>+tbl_IngrédientsRef[[#This Row],[Ingrédient]]</f>
        <v>Semoule Couscous</v>
      </c>
      <c r="C27" t="str">
        <f>INDEX(tbl_IngrédientsRef[Unité], MATCH(A27, tbl_IngrédientsRef[Cde_Ingrdt],0))</f>
        <v>g</v>
      </c>
      <c r="D27" s="21">
        <f>IFERROR(INDEX(tbl_IngrédientsRef[[#This Row],[PU_effectif_g/ml]], MATCH(tbl_Stock[[#This Row],[Cde_Ingrdt]], tbl_IngrédientsRef[[#This Row],[Cde_Ingrdt]], 0)), 0)</f>
        <v>0.02</v>
      </c>
      <c r="E27">
        <v>1500</v>
      </c>
      <c r="F27" s="57">
        <f>tbl_Stock[[#This Row],[Stock Départ]] * INDEX(tbl_IngrédientsRef[Prix/Uni Base], MATCH(tbl_Stock[[#This Row],[Cde_Ingrdt]], tbl_IngrédientsRef[Cde_Ingrdt], 0))</f>
        <v>30</v>
      </c>
      <c r="G27">
        <f>SUMIF(tbl_Achats[Cde_Ingrdt],tbl_Stock[[#This Row],[Cde_Ingrdt]],tbl_Achats[Qté d''Achat])</f>
        <v>0</v>
      </c>
      <c r="H27" s="21">
        <f t="array" ref="H27">SUMPRODUCT((tbl_Achats[Cde_Ingrdt]=tbl_Stock[[#This Row],[Cde_Ingrdt]]) * tbl_Achats[Qté d''Achat] * tbl_Achats[Prix Achat Unitaire])</f>
        <v>0</v>
      </c>
      <c r="I27">
        <v>230</v>
      </c>
      <c r="J27" s="21">
        <f ca="1">tbl_Stock[[#This Row],[Stock Courant]] * tbl_Stock[[#This Row],[CMP effectif]]</f>
        <v>30</v>
      </c>
      <c r="K27">
        <f ca="1">tbl_Stock[[#This Row],[Stock Départ]] + SUMIF(tbl_Achats[Cde_Ingrdt],tbl_Stock[[#This Row],[Cde_Ingrdt]],tbl_Achats[[#This Row],[Qté d''Achat]])</f>
        <v>1500</v>
      </c>
      <c r="L27" s="7">
        <f ca="1">IFERROR((tbl_Stock[[#This Row],[Valeur stock initiale]] + tbl_Stock[[#This Row],[ Valeur Achat]]) / tbl_Stock[[#This Row],[Quantité totale]], 0)</f>
        <v>0.02</v>
      </c>
      <c r="M27" s="7">
        <f>SUMIF(tbl_Sorties[[Code ingrédient ]], tbl_Stock[[#This Row],[Cde_Ingrdt]], tbl_Sorties[Qté Sortie])</f>
        <v>0</v>
      </c>
      <c r="N27" s="57">
        <f>tbl_Stock[[#This Row],[Stock Départ]] + tbl_Stock[[#This Row],[Achats Cumulées]] - tbl_Stock[[#This Row],[ Sortie cumulée]]</f>
        <v>1500</v>
      </c>
      <c r="O27">
        <v>100</v>
      </c>
      <c r="P27" t="str">
        <f>IF(tbl_Stock[[#This Row],[Stock Courant]] &lt; tbl_Stock[[#This Row],[Seuil critique]], "⚠️ Alerte", "OK")</f>
        <v>OK</v>
      </c>
    </row>
    <row r="28" spans="1:16" x14ac:dyDescent="0.25">
      <c r="A28" t="str">
        <f>IFERROR(VLOOKUP(B28,Référentiels!$M$2:$N$267,2,FALSE),"Ingrédient non trouvé")</f>
        <v>PST001</v>
      </c>
      <c r="B28" t="str">
        <f>+tbl_IngrédientsRef[[#This Row],[Ingrédient]]</f>
        <v>Tagliatelle</v>
      </c>
      <c r="C28" t="str">
        <f>INDEX(tbl_IngrédientsRef[Unité], MATCH(A28, tbl_IngrédientsRef[Cde_Ingrdt],0))</f>
        <v>g</v>
      </c>
      <c r="D28" s="21">
        <f>IFERROR(INDEX(tbl_IngrédientsRef[[#This Row],[PU_effectif_g/ml]], MATCH(tbl_Stock[[#This Row],[Cde_Ingrdt]], tbl_IngrédientsRef[[#This Row],[Cde_Ingrdt]], 0)), 0)</f>
        <v>0.08</v>
      </c>
      <c r="E28">
        <v>1500</v>
      </c>
      <c r="F28" s="57">
        <f>tbl_Stock[[#This Row],[Stock Départ]] * INDEX(tbl_IngrédientsRef[Prix/Uni Base], MATCH(tbl_Stock[[#This Row],[Cde_Ingrdt]], tbl_IngrédientsRef[Cde_Ingrdt], 0))</f>
        <v>120</v>
      </c>
      <c r="G28">
        <f>SUMIF(tbl_Achats[Cde_Ingrdt],tbl_Stock[[#This Row],[Cde_Ingrdt]],tbl_Achats[Qté d''Achat])</f>
        <v>0</v>
      </c>
      <c r="H28" s="21">
        <f t="array" ref="H28">SUMPRODUCT((tbl_Achats[Cde_Ingrdt]=tbl_Stock[[#This Row],[Cde_Ingrdt]]) * tbl_Achats[Qté d''Achat] * tbl_Achats[Prix Achat Unitaire])</f>
        <v>0</v>
      </c>
      <c r="I28">
        <v>300</v>
      </c>
      <c r="J28" s="21">
        <f ca="1">tbl_Stock[[#This Row],[Stock Courant]] * tbl_Stock[[#This Row],[CMP effectif]]</f>
        <v>120</v>
      </c>
      <c r="K28">
        <f ca="1">tbl_Stock[[#This Row],[Stock Départ]] + SUMIF(tbl_Achats[Cde_Ingrdt],tbl_Stock[[#This Row],[Cde_Ingrdt]],tbl_Achats[[#This Row],[Qté d''Achat]])</f>
        <v>1500</v>
      </c>
      <c r="L28" s="7">
        <f ca="1">IFERROR((tbl_Stock[[#This Row],[Valeur stock initiale]] + tbl_Stock[[#This Row],[ Valeur Achat]]) / tbl_Stock[[#This Row],[Quantité totale]], 0)</f>
        <v>0.08</v>
      </c>
      <c r="M28" s="7">
        <f>SUMIF(tbl_Sorties[[Code ingrédient ]], tbl_Stock[[#This Row],[Cde_Ingrdt]], tbl_Sorties[Qté Sortie])</f>
        <v>0</v>
      </c>
      <c r="N28" s="57">
        <f>tbl_Stock[[#This Row],[Stock Départ]] + tbl_Stock[[#This Row],[Achats Cumulées]] - tbl_Stock[[#This Row],[ Sortie cumulée]]</f>
        <v>1500</v>
      </c>
      <c r="O28">
        <v>100</v>
      </c>
      <c r="P28" t="str">
        <f>IF(tbl_Stock[[#This Row],[Stock Courant]] &lt; tbl_Stock[[#This Row],[Seuil critique]], "⚠️ Alerte", "OK")</f>
        <v>OK</v>
      </c>
    </row>
    <row r="29" spans="1:16" x14ac:dyDescent="0.25">
      <c r="A29" t="str">
        <f>IFERROR(VLOOKUP(B29,Référentiels!$M$2:$N$267,2,FALSE),"Ingrédient non trouvé")</f>
        <v>PST002</v>
      </c>
      <c r="B29" t="str">
        <f>+tbl_IngrédientsRef[[#This Row],[Ingrédient]]</f>
        <v>Spaghetti</v>
      </c>
      <c r="C29" t="str">
        <f>INDEX(tbl_IngrédientsRef[Unité], MATCH(A29, tbl_IngrédientsRef[Cde_Ingrdt],0))</f>
        <v>g</v>
      </c>
      <c r="D29" s="21">
        <f>IFERROR(INDEX(tbl_IngrédientsRef[[#This Row],[PU_effectif_g/ml]], MATCH(tbl_Stock[[#This Row],[Cde_Ingrdt]], tbl_IngrédientsRef[[#This Row],[Cde_Ingrdt]], 0)), 0)</f>
        <v>0.04</v>
      </c>
      <c r="E29">
        <v>1500</v>
      </c>
      <c r="F29" s="57">
        <f>tbl_Stock[[#This Row],[Stock Départ]] * INDEX(tbl_IngrédientsRef[Prix/Uni Base], MATCH(tbl_Stock[[#This Row],[Cde_Ingrdt]], tbl_IngrédientsRef[Cde_Ingrdt], 0))</f>
        <v>60</v>
      </c>
      <c r="G29">
        <f>SUMIF(tbl_Achats[Cde_Ingrdt],tbl_Stock[[#This Row],[Cde_Ingrdt]],tbl_Achats[Qté d''Achat])</f>
        <v>0</v>
      </c>
      <c r="H29" s="21">
        <f t="array" ref="H29">SUMPRODUCT((tbl_Achats[Cde_Ingrdt]=tbl_Stock[[#This Row],[Cde_Ingrdt]]) * tbl_Achats[Qté d''Achat] * tbl_Achats[Prix Achat Unitaire])</f>
        <v>0</v>
      </c>
      <c r="I29">
        <v>340</v>
      </c>
      <c r="J29" s="21">
        <f ca="1">tbl_Stock[[#This Row],[Stock Courant]] * tbl_Stock[[#This Row],[CMP effectif]]</f>
        <v>60</v>
      </c>
      <c r="K29">
        <f ca="1">tbl_Stock[[#This Row],[Stock Départ]] + SUMIF(tbl_Achats[Cde_Ingrdt],tbl_Stock[[#This Row],[Cde_Ingrdt]],tbl_Achats[[#This Row],[Qté d''Achat]])</f>
        <v>1500</v>
      </c>
      <c r="L29" s="7">
        <f ca="1">IFERROR((tbl_Stock[[#This Row],[Valeur stock initiale]] + tbl_Stock[[#This Row],[ Valeur Achat]]) / tbl_Stock[[#This Row],[Quantité totale]], 0)</f>
        <v>0.04</v>
      </c>
      <c r="M29" s="7">
        <f>SUMIF(tbl_Sorties[[Code ingrédient ]], tbl_Stock[[#This Row],[Cde_Ingrdt]], tbl_Sorties[Qté Sortie])</f>
        <v>0</v>
      </c>
      <c r="N29" s="57">
        <f>tbl_Stock[[#This Row],[Stock Départ]] + tbl_Stock[[#This Row],[Achats Cumulées]] - tbl_Stock[[#This Row],[ Sortie cumulée]]</f>
        <v>1500</v>
      </c>
      <c r="O29">
        <v>100</v>
      </c>
      <c r="P29" t="str">
        <f>IF(tbl_Stock[[#This Row],[Stock Courant]] &lt; tbl_Stock[[#This Row],[Seuil critique]], "⚠️ Alerte", "OK")</f>
        <v>OK</v>
      </c>
    </row>
    <row r="30" spans="1:16" x14ac:dyDescent="0.25">
      <c r="A30" t="str">
        <f>IFERROR(VLOOKUP(B30,Référentiels!$M$2:$N$267,2,FALSE),"Ingrédient non trouvé")</f>
        <v>PST003</v>
      </c>
      <c r="B30" t="str">
        <f>+tbl_IngrédientsRef[[#This Row],[Ingrédient]]</f>
        <v>Penne</v>
      </c>
      <c r="C30" t="str">
        <f>INDEX(tbl_IngrédientsRef[Unité], MATCH(A30, tbl_IngrédientsRef[Cde_Ingrdt],0))</f>
        <v>g</v>
      </c>
      <c r="D30" s="21">
        <f>IFERROR(INDEX(tbl_IngrédientsRef[[#This Row],[PU_effectif_g/ml]], MATCH(tbl_Stock[[#This Row],[Cde_Ingrdt]], tbl_IngrédientsRef[[#This Row],[Cde_Ingrdt]], 0)), 0)</f>
        <v>0.05</v>
      </c>
      <c r="E30">
        <v>1500</v>
      </c>
      <c r="F30" s="57">
        <f>tbl_Stock[[#This Row],[Stock Départ]] * INDEX(tbl_IngrédientsRef[Prix/Uni Base], MATCH(tbl_Stock[[#This Row],[Cde_Ingrdt]], tbl_IngrédientsRef[Cde_Ingrdt], 0))</f>
        <v>75</v>
      </c>
      <c r="G30">
        <f>SUMIF(tbl_Achats[Cde_Ingrdt],tbl_Stock[[#This Row],[Cde_Ingrdt]],tbl_Achats[Qté d''Achat])</f>
        <v>0</v>
      </c>
      <c r="H30" s="21">
        <f t="array" ref="H30">SUMPRODUCT((tbl_Achats[Cde_Ingrdt]=tbl_Stock[[#This Row],[Cde_Ingrdt]]) * tbl_Achats[Qté d''Achat] * tbl_Achats[Prix Achat Unitaire])</f>
        <v>0</v>
      </c>
      <c r="I30">
        <v>250</v>
      </c>
      <c r="J30" s="21">
        <f ca="1">tbl_Stock[[#This Row],[Stock Courant]] * tbl_Stock[[#This Row],[CMP effectif]]</f>
        <v>75</v>
      </c>
      <c r="K30">
        <f ca="1">tbl_Stock[[#This Row],[Stock Départ]] + SUMIF(tbl_Achats[Cde_Ingrdt],tbl_Stock[[#This Row],[Cde_Ingrdt]],tbl_Achats[[#This Row],[Qté d''Achat]])</f>
        <v>1500</v>
      </c>
      <c r="L30" s="7">
        <f ca="1">IFERROR((tbl_Stock[[#This Row],[Valeur stock initiale]] + tbl_Stock[[#This Row],[ Valeur Achat]]) / tbl_Stock[[#This Row],[Quantité totale]], 0)</f>
        <v>0.05</v>
      </c>
      <c r="M30" s="7">
        <f>SUMIF(tbl_Sorties[[Code ingrédient ]], tbl_Stock[[#This Row],[Cde_Ingrdt]], tbl_Sorties[Qté Sortie])</f>
        <v>0</v>
      </c>
      <c r="N30" s="57">
        <f>tbl_Stock[[#This Row],[Stock Départ]] + tbl_Stock[[#This Row],[Achats Cumulées]] - tbl_Stock[[#This Row],[ Sortie cumulée]]</f>
        <v>1500</v>
      </c>
      <c r="O30">
        <v>100</v>
      </c>
      <c r="P30" t="str">
        <f>IF(tbl_Stock[[#This Row],[Stock Courant]] &lt; tbl_Stock[[#This Row],[Seuil critique]], "⚠️ Alerte", "OK")</f>
        <v>OK</v>
      </c>
    </row>
    <row r="31" spans="1:16" x14ac:dyDescent="0.25">
      <c r="A31" t="str">
        <f>IFERROR(VLOOKUP(B31,Référentiels!$M$2:$N$267,2,FALSE),"Ingrédient non trouvé")</f>
        <v>PST004</v>
      </c>
      <c r="B31" t="str">
        <f>+tbl_IngrédientsRef[[#This Row],[Ingrédient]]</f>
        <v>Cannelloni</v>
      </c>
      <c r="C31" t="str">
        <f>INDEX(tbl_IngrédientsRef[Unité], MATCH(A31, tbl_IngrédientsRef[Cde_Ingrdt],0))</f>
        <v>g</v>
      </c>
      <c r="D31" s="21">
        <f>IFERROR(INDEX(tbl_IngrédientsRef[[#This Row],[PU_effectif_g/ml]], MATCH(tbl_Stock[[#This Row],[Cde_Ingrdt]], tbl_IngrédientsRef[[#This Row],[Cde_Ingrdt]], 0)), 0)</f>
        <v>0.03</v>
      </c>
      <c r="E31">
        <v>1500</v>
      </c>
      <c r="F31" s="57">
        <f>tbl_Stock[[#This Row],[Stock Départ]] * INDEX(tbl_IngrédientsRef[Prix/Uni Base], MATCH(tbl_Stock[[#This Row],[Cde_Ingrdt]], tbl_IngrédientsRef[Cde_Ingrdt], 0))</f>
        <v>45</v>
      </c>
      <c r="G31">
        <f>SUMIF(tbl_Achats[Cde_Ingrdt],tbl_Stock[[#This Row],[Cde_Ingrdt]],tbl_Achats[Qté d''Achat])</f>
        <v>0</v>
      </c>
      <c r="H31" s="21">
        <f t="array" ref="H31">SUMPRODUCT((tbl_Achats[Cde_Ingrdt]=tbl_Stock[[#This Row],[Cde_Ingrdt]]) * tbl_Achats[Qté d''Achat] * tbl_Achats[Prix Achat Unitaire])</f>
        <v>0</v>
      </c>
      <c r="I31">
        <v>230</v>
      </c>
      <c r="J31" s="21">
        <f ca="1">tbl_Stock[[#This Row],[Stock Courant]] * tbl_Stock[[#This Row],[CMP effectif]]</f>
        <v>45</v>
      </c>
      <c r="K31">
        <f ca="1">tbl_Stock[[#This Row],[Stock Départ]] + SUMIF(tbl_Achats[Cde_Ingrdt],tbl_Stock[[#This Row],[Cde_Ingrdt]],tbl_Achats[[#This Row],[Qté d''Achat]])</f>
        <v>1500</v>
      </c>
      <c r="L31" s="7">
        <f ca="1">IFERROR((tbl_Stock[[#This Row],[Valeur stock initiale]] + tbl_Stock[[#This Row],[ Valeur Achat]]) / tbl_Stock[[#This Row],[Quantité totale]], 0)</f>
        <v>0.03</v>
      </c>
      <c r="M31" s="7">
        <f>SUMIF(tbl_Sorties[[Code ingrédient ]], tbl_Stock[[#This Row],[Cde_Ingrdt]], tbl_Sorties[Qté Sortie])</f>
        <v>0</v>
      </c>
      <c r="N31" s="57">
        <f>tbl_Stock[[#This Row],[Stock Départ]] + tbl_Stock[[#This Row],[Achats Cumulées]] - tbl_Stock[[#This Row],[ Sortie cumulée]]</f>
        <v>1500</v>
      </c>
      <c r="O31">
        <v>100</v>
      </c>
      <c r="P31" t="str">
        <f>IF(tbl_Stock[[#This Row],[Stock Courant]] &lt; tbl_Stock[[#This Row],[Seuil critique]], "⚠️ Alerte", "OK")</f>
        <v>OK</v>
      </c>
    </row>
    <row r="32" spans="1:16" x14ac:dyDescent="0.25">
      <c r="A32" t="str">
        <f>IFERROR(VLOOKUP(B32,Référentiels!$M$2:$N$267,2,FALSE),"Ingrédient non trouvé")</f>
        <v>PST005</v>
      </c>
      <c r="B32" t="str">
        <f>+tbl_IngrédientsRef[[#This Row],[Ingrédient]]</f>
        <v>Lasagne</v>
      </c>
      <c r="C32" t="str">
        <f>INDEX(tbl_IngrédientsRef[Unité], MATCH(A32, tbl_IngrédientsRef[Cde_Ingrdt],0))</f>
        <v>g</v>
      </c>
      <c r="D32" s="21">
        <f>IFERROR(INDEX(tbl_IngrédientsRef[[#This Row],[PU_effectif_g/ml]], MATCH(tbl_Stock[[#This Row],[Cde_Ingrdt]], tbl_IngrédientsRef[[#This Row],[Cde_Ingrdt]], 0)), 0)</f>
        <v>0.1</v>
      </c>
      <c r="E32">
        <v>1500</v>
      </c>
      <c r="F32" s="57">
        <f>tbl_Stock[[#This Row],[Stock Départ]] * INDEX(tbl_IngrédientsRef[Prix/Uni Base], MATCH(tbl_Stock[[#This Row],[Cde_Ingrdt]], tbl_IngrédientsRef[Cde_Ingrdt], 0))</f>
        <v>150</v>
      </c>
      <c r="G32">
        <f>SUMIF(tbl_Achats[Cde_Ingrdt],tbl_Stock[[#This Row],[Cde_Ingrdt]],tbl_Achats[Qté d''Achat])</f>
        <v>0</v>
      </c>
      <c r="H32" s="21">
        <f t="array" ref="H32">SUMPRODUCT((tbl_Achats[Cde_Ingrdt]=tbl_Stock[[#This Row],[Cde_Ingrdt]]) * tbl_Achats[Qté d''Achat] * tbl_Achats[Prix Achat Unitaire])</f>
        <v>0</v>
      </c>
      <c r="I32">
        <v>300</v>
      </c>
      <c r="J32" s="21">
        <f ca="1">tbl_Stock[[#This Row],[Stock Courant]] * tbl_Stock[[#This Row],[CMP effectif]]</f>
        <v>150</v>
      </c>
      <c r="K32">
        <f ca="1">tbl_Stock[[#This Row],[Stock Départ]] + SUMIF(tbl_Achats[Cde_Ingrdt],tbl_Stock[[#This Row],[Cde_Ingrdt]],tbl_Achats[[#This Row],[Qté d''Achat]])</f>
        <v>1500</v>
      </c>
      <c r="L32" s="7">
        <f ca="1">IFERROR((tbl_Stock[[#This Row],[Valeur stock initiale]] + tbl_Stock[[#This Row],[ Valeur Achat]]) / tbl_Stock[[#This Row],[Quantité totale]], 0)</f>
        <v>0.1</v>
      </c>
      <c r="M32" s="7">
        <f>SUMIF(tbl_Sorties[[Code ingrédient ]], tbl_Stock[[#This Row],[Cde_Ingrdt]], tbl_Sorties[Qté Sortie])</f>
        <v>0</v>
      </c>
      <c r="N32" s="57">
        <f>tbl_Stock[[#This Row],[Stock Départ]] + tbl_Stock[[#This Row],[Achats Cumulées]] - tbl_Stock[[#This Row],[ Sortie cumulée]]</f>
        <v>1500</v>
      </c>
      <c r="O32">
        <v>100</v>
      </c>
      <c r="P32" t="str">
        <f>IF(tbl_Stock[[#This Row],[Stock Courant]] &lt; tbl_Stock[[#This Row],[Seuil critique]], "⚠️ Alerte", "OK")</f>
        <v>OK</v>
      </c>
    </row>
    <row r="33" spans="1:16" x14ac:dyDescent="0.25">
      <c r="A33" t="str">
        <f>IFERROR(VLOOKUP(B33,Référentiels!$M$2:$N$267,2,FALSE),"Ingrédient non trouvé")</f>
        <v>PST006</v>
      </c>
      <c r="B33" t="str">
        <f>+tbl_IngrédientsRef[[#This Row],[Ingrédient]]</f>
        <v>Linguini</v>
      </c>
      <c r="C33" t="str">
        <f>INDEX(tbl_IngrédientsRef[Unité], MATCH(A33, tbl_IngrédientsRef[Cde_Ingrdt],0))</f>
        <v>g</v>
      </c>
      <c r="D33" s="21">
        <f>IFERROR(INDEX(tbl_IngrédientsRef[[#This Row],[PU_effectif_g/ml]], MATCH(tbl_Stock[[#This Row],[Cde_Ingrdt]], tbl_IngrédientsRef[[#This Row],[Cde_Ingrdt]], 0)), 0)</f>
        <v>0.06</v>
      </c>
      <c r="E33">
        <v>1500</v>
      </c>
      <c r="F33" s="57">
        <f>tbl_Stock[[#This Row],[Stock Départ]] * INDEX(tbl_IngrédientsRef[Prix/Uni Base], MATCH(tbl_Stock[[#This Row],[Cde_Ingrdt]], tbl_IngrédientsRef[Cde_Ingrdt], 0))</f>
        <v>90</v>
      </c>
      <c r="G33">
        <f>SUMIF(tbl_Achats[Cde_Ingrdt],tbl_Stock[[#This Row],[Cde_Ingrdt]],tbl_Achats[Qté d''Achat])</f>
        <v>0</v>
      </c>
      <c r="H33" s="21">
        <f t="array" ref="H33">SUMPRODUCT((tbl_Achats[Cde_Ingrdt]=tbl_Stock[[#This Row],[Cde_Ingrdt]]) * tbl_Achats[Qté d''Achat] * tbl_Achats[Prix Achat Unitaire])</f>
        <v>0</v>
      </c>
      <c r="I33">
        <v>340</v>
      </c>
      <c r="J33" s="21">
        <f ca="1">tbl_Stock[[#This Row],[Stock Courant]] * tbl_Stock[[#This Row],[CMP effectif]]</f>
        <v>90</v>
      </c>
      <c r="K33">
        <f ca="1">tbl_Stock[[#This Row],[Stock Départ]] + SUMIF(tbl_Achats[Cde_Ingrdt],tbl_Stock[[#This Row],[Cde_Ingrdt]],tbl_Achats[[#This Row],[Qté d''Achat]])</f>
        <v>1500</v>
      </c>
      <c r="L33" s="7">
        <f ca="1">IFERROR((tbl_Stock[[#This Row],[Valeur stock initiale]] + tbl_Stock[[#This Row],[ Valeur Achat]]) / tbl_Stock[[#This Row],[Quantité totale]], 0)</f>
        <v>0.06</v>
      </c>
      <c r="M33" s="7">
        <f>SUMIF(tbl_Sorties[[Code ingrédient ]], tbl_Stock[[#This Row],[Cde_Ingrdt]], tbl_Sorties[Qté Sortie])</f>
        <v>0</v>
      </c>
      <c r="N33" s="57">
        <f>tbl_Stock[[#This Row],[Stock Départ]] + tbl_Stock[[#This Row],[Achats Cumulées]] - tbl_Stock[[#This Row],[ Sortie cumulée]]</f>
        <v>1500</v>
      </c>
      <c r="O33">
        <v>100</v>
      </c>
      <c r="P33" t="str">
        <f>IF(tbl_Stock[[#This Row],[Stock Courant]] &lt; tbl_Stock[[#This Row],[Seuil critique]], "⚠️ Alerte", "OK")</f>
        <v>OK</v>
      </c>
    </row>
    <row r="34" spans="1:16" x14ac:dyDescent="0.25">
      <c r="A34" t="str">
        <f>IFERROR(VLOOKUP(B34,Référentiels!$M$2:$N$267,2,FALSE),"Ingrédient non trouvé")</f>
        <v>VSP001</v>
      </c>
      <c r="B34" t="str">
        <f>+tbl_IngrédientsRef[[#This Row],[Ingrédient]]</f>
        <v>Lapin</v>
      </c>
      <c r="C34" t="str">
        <f>INDEX(tbl_IngrédientsRef[Unité], MATCH(A34, tbl_IngrédientsRef[Cde_Ingrdt],0))</f>
        <v>g</v>
      </c>
      <c r="D34" s="21">
        <f>IFERROR(INDEX(tbl_IngrédientsRef[[#This Row],[PU_effectif_g/ml]], MATCH(tbl_Stock[[#This Row],[Cde_Ingrdt]], tbl_IngrédientsRef[[#This Row],[Cde_Ingrdt]], 0)), 0)</f>
        <v>0.09</v>
      </c>
      <c r="E34">
        <v>1500</v>
      </c>
      <c r="F34" s="57">
        <f>tbl_Stock[[#This Row],[Stock Départ]] * INDEX(tbl_IngrédientsRef[Prix/Uni Base], MATCH(tbl_Stock[[#This Row],[Cde_Ingrdt]], tbl_IngrédientsRef[Cde_Ingrdt], 0))</f>
        <v>135</v>
      </c>
      <c r="G34">
        <f>SUMIF(tbl_Achats[Cde_Ingrdt],tbl_Stock[[#This Row],[Cde_Ingrdt]],tbl_Achats[Qté d''Achat])</f>
        <v>0</v>
      </c>
      <c r="H34" s="21">
        <f t="array" ref="H34">SUMPRODUCT((tbl_Achats[Cde_Ingrdt]=tbl_Stock[[#This Row],[Cde_Ingrdt]]) * tbl_Achats[Qté d''Achat] * tbl_Achats[Prix Achat Unitaire])</f>
        <v>0</v>
      </c>
      <c r="I34">
        <v>250</v>
      </c>
      <c r="J34" s="21">
        <f ca="1">tbl_Stock[[#This Row],[Stock Courant]] * tbl_Stock[[#This Row],[CMP effectif]]</f>
        <v>135</v>
      </c>
      <c r="K34">
        <f ca="1">tbl_Stock[[#This Row],[Stock Départ]] + SUMIF(tbl_Achats[Cde_Ingrdt],tbl_Stock[[#This Row],[Cde_Ingrdt]],tbl_Achats[[#This Row],[Qté d''Achat]])</f>
        <v>1500</v>
      </c>
      <c r="L34" s="7">
        <f ca="1">IFERROR((tbl_Stock[[#This Row],[Valeur stock initiale]] + tbl_Stock[[#This Row],[ Valeur Achat]]) / tbl_Stock[[#This Row],[Quantité totale]], 0)</f>
        <v>0.09</v>
      </c>
      <c r="M34" s="7">
        <f>SUMIF(tbl_Sorties[[Code ingrédient ]], tbl_Stock[[#This Row],[Cde_Ingrdt]], tbl_Sorties[Qté Sortie])</f>
        <v>0</v>
      </c>
      <c r="N34" s="57">
        <f>tbl_Stock[[#This Row],[Stock Départ]] + tbl_Stock[[#This Row],[Achats Cumulées]] - tbl_Stock[[#This Row],[ Sortie cumulée]]</f>
        <v>1500</v>
      </c>
      <c r="O34">
        <v>100</v>
      </c>
      <c r="P34" t="str">
        <f>IF(tbl_Stock[[#This Row],[Stock Courant]] &lt; tbl_Stock[[#This Row],[Seuil critique]], "⚠️ Alerte", "OK")</f>
        <v>OK</v>
      </c>
    </row>
    <row r="35" spans="1:16" x14ac:dyDescent="0.25">
      <c r="A35" t="str">
        <f>IFERROR(VLOOKUP(B35,Référentiels!$M$2:$N$267,2,FALSE),"Ingrédient non trouvé")</f>
        <v>VOL001</v>
      </c>
      <c r="B35" t="str">
        <f>+tbl_IngrédientsRef[[#This Row],[Ingrédient]]</f>
        <v>Blanc De Poulet</v>
      </c>
      <c r="C35" t="str">
        <f>INDEX(tbl_IngrédientsRef[Unité], MATCH(A35, tbl_IngrédientsRef[Cde_Ingrdt],0))</f>
        <v>g</v>
      </c>
      <c r="D35" s="21">
        <f>IFERROR(INDEX(tbl_IngrédientsRef[[#This Row],[PU_effectif_g/ml]], MATCH(tbl_Stock[[#This Row],[Cde_Ingrdt]], tbl_IngrédientsRef[[#This Row],[Cde_Ingrdt]], 0)), 0)</f>
        <v>7.0000000000000007E-2</v>
      </c>
      <c r="E35">
        <v>1500</v>
      </c>
      <c r="F35" s="57">
        <f>tbl_Stock[[#This Row],[Stock Départ]] * INDEX(tbl_IngrédientsRef[Prix/Uni Base], MATCH(tbl_Stock[[#This Row],[Cde_Ingrdt]], tbl_IngrédientsRef[Cde_Ingrdt], 0))</f>
        <v>105.00000000000001</v>
      </c>
      <c r="G35">
        <f>SUMIF(tbl_Achats[Cde_Ingrdt],tbl_Stock[[#This Row],[Cde_Ingrdt]],tbl_Achats[Qté d''Achat])</f>
        <v>0</v>
      </c>
      <c r="H35" s="21">
        <f t="array" ref="H35">SUMPRODUCT((tbl_Achats[Cde_Ingrdt]=tbl_Stock[[#This Row],[Cde_Ingrdt]]) * tbl_Achats[Qté d''Achat] * tbl_Achats[Prix Achat Unitaire])</f>
        <v>0</v>
      </c>
      <c r="I35">
        <v>230</v>
      </c>
      <c r="J35" s="21">
        <f ca="1">tbl_Stock[[#This Row],[Stock Courant]] * tbl_Stock[[#This Row],[CMP effectif]]</f>
        <v>105.00000000000001</v>
      </c>
      <c r="K35">
        <f ca="1">tbl_Stock[[#This Row],[Stock Départ]] + SUMIF(tbl_Achats[Cde_Ingrdt],tbl_Stock[[#This Row],[Cde_Ingrdt]],tbl_Achats[[#This Row],[Qté d''Achat]])</f>
        <v>1500</v>
      </c>
      <c r="L35" s="7">
        <f ca="1">IFERROR((tbl_Stock[[#This Row],[Valeur stock initiale]] + tbl_Stock[[#This Row],[ Valeur Achat]]) / tbl_Stock[[#This Row],[Quantité totale]], 0)</f>
        <v>7.0000000000000007E-2</v>
      </c>
      <c r="M35" s="7">
        <f>SUMIF(tbl_Sorties[[Code ingrédient ]], tbl_Stock[[#This Row],[Cde_Ingrdt]], tbl_Sorties[Qté Sortie])</f>
        <v>0</v>
      </c>
      <c r="N35" s="57">
        <f>tbl_Stock[[#This Row],[Stock Départ]] + tbl_Stock[[#This Row],[Achats Cumulées]] - tbl_Stock[[#This Row],[ Sortie cumulée]]</f>
        <v>1500</v>
      </c>
      <c r="O35">
        <v>100</v>
      </c>
      <c r="P35" t="str">
        <f>IF(tbl_Stock[[#This Row],[Stock Courant]] &lt; tbl_Stock[[#This Row],[Seuil critique]], "⚠️ Alerte", "OK")</f>
        <v>OK</v>
      </c>
    </row>
    <row r="36" spans="1:16" x14ac:dyDescent="0.25">
      <c r="A36" t="str">
        <f>IFERROR(VLOOKUP(B36,Référentiels!$M$2:$N$267,2,FALSE),"Ingrédient non trouvé")</f>
        <v>VOL002</v>
      </c>
      <c r="B36" t="str">
        <f>+tbl_IngrédientsRef[[#This Row],[Ingrédient]]</f>
        <v>Filet Poulet</v>
      </c>
      <c r="C36" t="str">
        <f>INDEX(tbl_IngrédientsRef[Unité], MATCH(A36, tbl_IngrédientsRef[Cde_Ingrdt],0))</f>
        <v>g</v>
      </c>
      <c r="D36" s="21">
        <f>IFERROR(INDEX(tbl_IngrédientsRef[[#This Row],[PU_effectif_g/ml]], MATCH(tbl_Stock[[#This Row],[Cde_Ingrdt]], tbl_IngrédientsRef[[#This Row],[Cde_Ingrdt]], 0)), 0)</f>
        <v>7.0000000000000007E-2</v>
      </c>
      <c r="E36">
        <v>1500</v>
      </c>
      <c r="F36" s="57">
        <f>tbl_Stock[[#This Row],[Stock Départ]] * INDEX(tbl_IngrédientsRef[Prix/Uni Base], MATCH(tbl_Stock[[#This Row],[Cde_Ingrdt]], tbl_IngrédientsRef[Cde_Ingrdt], 0))</f>
        <v>105.00000000000001</v>
      </c>
      <c r="G36">
        <f>SUMIF(tbl_Achats[Cde_Ingrdt],tbl_Stock[[#This Row],[Cde_Ingrdt]],tbl_Achats[Qté d''Achat])</f>
        <v>0</v>
      </c>
      <c r="H36" s="21">
        <f t="array" ref="H36">SUMPRODUCT((tbl_Achats[Cde_Ingrdt]=tbl_Stock[[#This Row],[Cde_Ingrdt]]) * tbl_Achats[Qté d''Achat] * tbl_Achats[Prix Achat Unitaire])</f>
        <v>0</v>
      </c>
      <c r="I36">
        <v>300</v>
      </c>
      <c r="J36" s="21">
        <f ca="1">tbl_Stock[[#This Row],[Stock Courant]] * tbl_Stock[[#This Row],[CMP effectif]]</f>
        <v>105.00000000000001</v>
      </c>
      <c r="K36">
        <f ca="1">tbl_Stock[[#This Row],[Stock Départ]] + SUMIF(tbl_Achats[Cde_Ingrdt],tbl_Stock[[#This Row],[Cde_Ingrdt]],tbl_Achats[[#This Row],[Qté d''Achat]])</f>
        <v>1500</v>
      </c>
      <c r="L36" s="7">
        <f ca="1">IFERROR((tbl_Stock[[#This Row],[Valeur stock initiale]] + tbl_Stock[[#This Row],[ Valeur Achat]]) / tbl_Stock[[#This Row],[Quantité totale]], 0)</f>
        <v>7.0000000000000007E-2</v>
      </c>
      <c r="M36" s="7">
        <f>SUMIF(tbl_Sorties[[Code ingrédient ]], tbl_Stock[[#This Row],[Cde_Ingrdt]], tbl_Sorties[Qté Sortie])</f>
        <v>0</v>
      </c>
      <c r="N36" s="57">
        <f>tbl_Stock[[#This Row],[Stock Départ]] + tbl_Stock[[#This Row],[Achats Cumulées]] - tbl_Stock[[#This Row],[ Sortie cumulée]]</f>
        <v>1500</v>
      </c>
      <c r="O36">
        <v>100</v>
      </c>
      <c r="P36" t="str">
        <f>IF(tbl_Stock[[#This Row],[Stock Courant]] &lt; tbl_Stock[[#This Row],[Seuil critique]], "⚠️ Alerte", "OK")</f>
        <v>OK</v>
      </c>
    </row>
    <row r="37" spans="1:16" x14ac:dyDescent="0.25">
      <c r="A37" t="str">
        <f>IFERROR(VLOOKUP(B37,Référentiels!$M$2:$N$267,2,FALSE),"Ingrédient non trouvé")</f>
        <v>VOL003</v>
      </c>
      <c r="B37" t="str">
        <f>+tbl_IngrédientsRef[[#This Row],[Ingrédient]]</f>
        <v>Escalope Poulet</v>
      </c>
      <c r="C37" t="str">
        <f>INDEX(tbl_IngrédientsRef[Unité], MATCH(A37, tbl_IngrédientsRef[Cde_Ingrdt],0))</f>
        <v>g</v>
      </c>
      <c r="D37" s="21">
        <f>IFERROR(INDEX(tbl_IngrédientsRef[[#This Row],[PU_effectif_g/ml]], MATCH(tbl_Stock[[#This Row],[Cde_Ingrdt]], tbl_IngrédientsRef[[#This Row],[Cde_Ingrdt]], 0)), 0)</f>
        <v>0.1</v>
      </c>
      <c r="E37">
        <v>1500</v>
      </c>
      <c r="F37" s="57">
        <f>tbl_Stock[[#This Row],[Stock Départ]] * INDEX(tbl_IngrédientsRef[Prix/Uni Base], MATCH(tbl_Stock[[#This Row],[Cde_Ingrdt]], tbl_IngrédientsRef[Cde_Ingrdt], 0))</f>
        <v>150</v>
      </c>
      <c r="G37">
        <f>SUMIF(tbl_Achats[Cde_Ingrdt],tbl_Stock[[#This Row],[Cde_Ingrdt]],tbl_Achats[Qté d''Achat])</f>
        <v>0</v>
      </c>
      <c r="H37" s="21">
        <f t="array" ref="H37">SUMPRODUCT((tbl_Achats[Cde_Ingrdt]=tbl_Stock[[#This Row],[Cde_Ingrdt]]) * tbl_Achats[Qté d''Achat] * tbl_Achats[Prix Achat Unitaire])</f>
        <v>0</v>
      </c>
      <c r="I37">
        <v>340</v>
      </c>
      <c r="J37" s="21">
        <f ca="1">tbl_Stock[[#This Row],[Stock Courant]] * tbl_Stock[[#This Row],[CMP effectif]]</f>
        <v>150</v>
      </c>
      <c r="K37">
        <f ca="1">tbl_Stock[[#This Row],[Stock Départ]] + SUMIF(tbl_Achats[Cde_Ingrdt],tbl_Stock[[#This Row],[Cde_Ingrdt]],tbl_Achats[[#This Row],[Qté d''Achat]])</f>
        <v>1500</v>
      </c>
      <c r="L37" s="7">
        <f ca="1">IFERROR((tbl_Stock[[#This Row],[Valeur stock initiale]] + tbl_Stock[[#This Row],[ Valeur Achat]]) / tbl_Stock[[#This Row],[Quantité totale]], 0)</f>
        <v>0.1</v>
      </c>
      <c r="M37" s="7">
        <f>SUMIF(tbl_Sorties[[Code ingrédient ]], tbl_Stock[[#This Row],[Cde_Ingrdt]], tbl_Sorties[Qté Sortie])</f>
        <v>0</v>
      </c>
      <c r="N37" s="57">
        <f>tbl_Stock[[#This Row],[Stock Départ]] + tbl_Stock[[#This Row],[Achats Cumulées]] - tbl_Stock[[#This Row],[ Sortie cumulée]]</f>
        <v>1500</v>
      </c>
      <c r="O37">
        <v>100</v>
      </c>
      <c r="P37" t="str">
        <f>IF(tbl_Stock[[#This Row],[Stock Courant]] &lt; tbl_Stock[[#This Row],[Seuil critique]], "⚠️ Alerte", "OK")</f>
        <v>OK</v>
      </c>
    </row>
    <row r="38" spans="1:16" x14ac:dyDescent="0.25">
      <c r="A38" t="str">
        <f>IFERROR(VLOOKUP(B38,Référentiels!$M$2:$N$267,2,FALSE),"Ingrédient non trouvé")</f>
        <v>VOL004</v>
      </c>
      <c r="B38" t="str">
        <f>+tbl_IngrédientsRef[[#This Row],[Ingrédient]]</f>
        <v>Brochette Poulet</v>
      </c>
      <c r="C38" t="str">
        <f>INDEX(tbl_IngrédientsRef[Unité], MATCH(A38, tbl_IngrédientsRef[Cde_Ingrdt],0))</f>
        <v>g</v>
      </c>
      <c r="D38" s="21">
        <f>IFERROR(INDEX(tbl_IngrédientsRef[[#This Row],[PU_effectif_g/ml]], MATCH(tbl_Stock[[#This Row],[Cde_Ingrdt]], tbl_IngrédientsRef[[#This Row],[Cde_Ingrdt]], 0)), 0)</f>
        <v>0.1</v>
      </c>
      <c r="E38">
        <v>1500</v>
      </c>
      <c r="F38" s="57">
        <f>tbl_Stock[[#This Row],[Stock Départ]] * INDEX(tbl_IngrédientsRef[Prix/Uni Base], MATCH(tbl_Stock[[#This Row],[Cde_Ingrdt]], tbl_IngrédientsRef[Cde_Ingrdt], 0))</f>
        <v>150</v>
      </c>
      <c r="G38">
        <f>SUMIF(tbl_Achats[Cde_Ingrdt],tbl_Stock[[#This Row],[Cde_Ingrdt]],tbl_Achats[Qté d''Achat])</f>
        <v>0</v>
      </c>
      <c r="H38" s="21">
        <f t="array" ref="H38">SUMPRODUCT((tbl_Achats[Cde_Ingrdt]=tbl_Stock[[#This Row],[Cde_Ingrdt]]) * tbl_Achats[Qté d''Achat] * tbl_Achats[Prix Achat Unitaire])</f>
        <v>0</v>
      </c>
      <c r="I38">
        <v>250</v>
      </c>
      <c r="J38" s="21">
        <f ca="1">tbl_Stock[[#This Row],[Stock Courant]] * tbl_Stock[[#This Row],[CMP effectif]]</f>
        <v>150</v>
      </c>
      <c r="K38">
        <f ca="1">tbl_Stock[[#This Row],[Stock Départ]] + SUMIF(tbl_Achats[Cde_Ingrdt],tbl_Stock[[#This Row],[Cde_Ingrdt]],tbl_Achats[[#This Row],[Qté d''Achat]])</f>
        <v>1500</v>
      </c>
      <c r="L38" s="7">
        <f ca="1">IFERROR((tbl_Stock[[#This Row],[Valeur stock initiale]] + tbl_Stock[[#This Row],[ Valeur Achat]]) / tbl_Stock[[#This Row],[Quantité totale]], 0)</f>
        <v>0.1</v>
      </c>
      <c r="M38" s="7">
        <f>SUMIF(tbl_Sorties[[Code ingrédient ]], tbl_Stock[[#This Row],[Cde_Ingrdt]], tbl_Sorties[Qté Sortie])</f>
        <v>0</v>
      </c>
      <c r="N38" s="57">
        <f>tbl_Stock[[#This Row],[Stock Départ]] + tbl_Stock[[#This Row],[Achats Cumulées]] - tbl_Stock[[#This Row],[ Sortie cumulée]]</f>
        <v>1500</v>
      </c>
      <c r="O38">
        <v>100</v>
      </c>
      <c r="P38" t="str">
        <f>IF(tbl_Stock[[#This Row],[Stock Courant]] &lt; tbl_Stock[[#This Row],[Seuil critique]], "⚠️ Alerte", "OK")</f>
        <v>OK</v>
      </c>
    </row>
    <row r="39" spans="1:16" x14ac:dyDescent="0.25">
      <c r="A39" t="str">
        <f>IFERROR(VLOOKUP(B39,Référentiels!$M$2:$N$267,2,FALSE),"Ingrédient non trouvé")</f>
        <v>VOL005</v>
      </c>
      <c r="B39" t="str">
        <f>+tbl_IngrédientsRef[[#This Row],[Ingrédient]]</f>
        <v>Emincé Poulet</v>
      </c>
      <c r="C39" t="str">
        <f>INDEX(tbl_IngrédientsRef[Unité], MATCH(A39, tbl_IngrédientsRef[Cde_Ingrdt],0))</f>
        <v>g</v>
      </c>
      <c r="D39" s="21">
        <f>IFERROR(INDEX(tbl_IngrédientsRef[[#This Row],[PU_effectif_g/ml]], MATCH(tbl_Stock[[#This Row],[Cde_Ingrdt]], tbl_IngrédientsRef[[#This Row],[Cde_Ingrdt]], 0)), 0)</f>
        <v>0.06</v>
      </c>
      <c r="E39">
        <v>1500</v>
      </c>
      <c r="F39" s="57">
        <f>tbl_Stock[[#This Row],[Stock Départ]] * INDEX(tbl_IngrédientsRef[Prix/Uni Base], MATCH(tbl_Stock[[#This Row],[Cde_Ingrdt]], tbl_IngrédientsRef[Cde_Ingrdt], 0))</f>
        <v>90</v>
      </c>
      <c r="G39">
        <f>SUMIF(tbl_Achats[Cde_Ingrdt],tbl_Stock[[#This Row],[Cde_Ingrdt]],tbl_Achats[Qté d''Achat])</f>
        <v>0</v>
      </c>
      <c r="H39" s="21">
        <f t="array" ref="H39">SUMPRODUCT((tbl_Achats[Cde_Ingrdt]=tbl_Stock[[#This Row],[Cde_Ingrdt]]) * tbl_Achats[Qté d''Achat] * tbl_Achats[Prix Achat Unitaire])</f>
        <v>0</v>
      </c>
      <c r="I39">
        <v>230</v>
      </c>
      <c r="J39" s="21">
        <f ca="1">tbl_Stock[[#This Row],[Stock Courant]] * tbl_Stock[[#This Row],[CMP effectif]]</f>
        <v>90</v>
      </c>
      <c r="K39">
        <f ca="1">tbl_Stock[[#This Row],[Stock Départ]] + SUMIF(tbl_Achats[Cde_Ingrdt],tbl_Stock[[#This Row],[Cde_Ingrdt]],tbl_Achats[[#This Row],[Qté d''Achat]])</f>
        <v>1500</v>
      </c>
      <c r="L39" s="7">
        <f ca="1">IFERROR((tbl_Stock[[#This Row],[Valeur stock initiale]] + tbl_Stock[[#This Row],[ Valeur Achat]]) / tbl_Stock[[#This Row],[Quantité totale]], 0)</f>
        <v>0.06</v>
      </c>
      <c r="M39" s="7">
        <f>SUMIF(tbl_Sorties[[Code ingrédient ]], tbl_Stock[[#This Row],[Cde_Ingrdt]], tbl_Sorties[Qté Sortie])</f>
        <v>0</v>
      </c>
      <c r="N39" s="57">
        <f>tbl_Stock[[#This Row],[Stock Départ]] + tbl_Stock[[#This Row],[Achats Cumulées]] - tbl_Stock[[#This Row],[ Sortie cumulée]]</f>
        <v>1500</v>
      </c>
      <c r="O39">
        <v>100</v>
      </c>
      <c r="P39" t="str">
        <f>IF(tbl_Stock[[#This Row],[Stock Courant]] &lt; tbl_Stock[[#This Row],[Seuil critique]], "⚠️ Alerte", "OK")</f>
        <v>OK</v>
      </c>
    </row>
    <row r="40" spans="1:16" x14ac:dyDescent="0.25">
      <c r="A40" t="str">
        <f>IFERROR(VLOOKUP(B40,Référentiels!$M$2:$N$267,2,FALSE),"Ingrédient non trouvé")</f>
        <v>VOL006</v>
      </c>
      <c r="B40" t="str">
        <f>+tbl_IngrédientsRef[[#This Row],[Ingrédient]]</f>
        <v>Cordon Bleu Poulet</v>
      </c>
      <c r="C40" t="str">
        <f>INDEX(tbl_IngrédientsRef[Unité], MATCH(A40, tbl_IngrédientsRef[Cde_Ingrdt],0))</f>
        <v>Pièce</v>
      </c>
      <c r="D40" s="21">
        <f>IFERROR(INDEX(tbl_IngrédientsRef[[#This Row],[PU_effectif_g/ml]], MATCH(tbl_Stock[[#This Row],[Cde_Ingrdt]], tbl_IngrédientsRef[[#This Row],[Cde_Ingrdt]], 0)), 0)</f>
        <v>8</v>
      </c>
      <c r="E40">
        <v>300</v>
      </c>
      <c r="F40" s="57">
        <f>tbl_Stock[[#This Row],[Stock Départ]] * INDEX(tbl_IngrédientsRef[Prix/Uni Base], MATCH(tbl_Stock[[#This Row],[Cde_Ingrdt]], tbl_IngrédientsRef[Cde_Ingrdt], 0))</f>
        <v>2400</v>
      </c>
      <c r="G40">
        <f>SUMIF(tbl_Achats[Cde_Ingrdt],tbl_Stock[[#This Row],[Cde_Ingrdt]],tbl_Achats[Qté d''Achat])</f>
        <v>0</v>
      </c>
      <c r="H40" s="21">
        <f t="array" ref="H40">SUMPRODUCT((tbl_Achats[Cde_Ingrdt]=tbl_Stock[[#This Row],[Cde_Ingrdt]]) * tbl_Achats[Qté d''Achat] * tbl_Achats[Prix Achat Unitaire])</f>
        <v>0</v>
      </c>
      <c r="I40">
        <v>300</v>
      </c>
      <c r="J40" s="21">
        <f ca="1">tbl_Stock[[#This Row],[Stock Courant]] * tbl_Stock[[#This Row],[CMP effectif]]</f>
        <v>2400</v>
      </c>
      <c r="K40">
        <f ca="1">tbl_Stock[[#This Row],[Stock Départ]] + SUMIF(tbl_Achats[Cde_Ingrdt],tbl_Stock[[#This Row],[Cde_Ingrdt]],tbl_Achats[[#This Row],[Qté d''Achat]])</f>
        <v>300</v>
      </c>
      <c r="L40" s="7">
        <f ca="1">IFERROR((tbl_Stock[[#This Row],[Valeur stock initiale]] + tbl_Stock[[#This Row],[ Valeur Achat]]) / tbl_Stock[[#This Row],[Quantité totale]], 0)</f>
        <v>8</v>
      </c>
      <c r="M40" s="7">
        <f>SUMIF(tbl_Sorties[[Code ingrédient ]], tbl_Stock[[#This Row],[Cde_Ingrdt]], tbl_Sorties[Qté Sortie])</f>
        <v>0</v>
      </c>
      <c r="N40" s="57">
        <f>tbl_Stock[[#This Row],[Stock Départ]] + tbl_Stock[[#This Row],[Achats Cumulées]] - tbl_Stock[[#This Row],[ Sortie cumulée]]</f>
        <v>300</v>
      </c>
      <c r="O40">
        <v>100</v>
      </c>
      <c r="P40" t="str">
        <f>IF(tbl_Stock[[#This Row],[Stock Courant]] &lt; tbl_Stock[[#This Row],[Seuil critique]], "⚠️ Alerte", "OK")</f>
        <v>OK</v>
      </c>
    </row>
    <row r="41" spans="1:16" x14ac:dyDescent="0.25">
      <c r="A41" t="str">
        <f>IFERROR(VLOOKUP(B41,Référentiels!$M$2:$N$267,2,FALSE),"Ingrédient non trouvé")</f>
        <v>VOL007</v>
      </c>
      <c r="B41" t="str">
        <f>+tbl_IngrédientsRef[[#This Row],[Ingrédient]]</f>
        <v>Saucisse Poulet</v>
      </c>
      <c r="C41" t="str">
        <f>INDEX(tbl_IngrédientsRef[Unité], MATCH(A41, tbl_IngrédientsRef[Cde_Ingrdt],0))</f>
        <v>g</v>
      </c>
      <c r="D41" s="21">
        <f>IFERROR(INDEX(tbl_IngrédientsRef[[#This Row],[PU_effectif_g/ml]], MATCH(tbl_Stock[[#This Row],[Cde_Ingrdt]], tbl_IngrédientsRef[[#This Row],[Cde_Ingrdt]], 0)), 0)</f>
        <v>7.0000000000000007E-2</v>
      </c>
      <c r="E41">
        <v>1500</v>
      </c>
      <c r="F41" s="57">
        <f>tbl_Stock[[#This Row],[Stock Départ]] * INDEX(tbl_IngrédientsRef[Prix/Uni Base], MATCH(tbl_Stock[[#This Row],[Cde_Ingrdt]], tbl_IngrédientsRef[Cde_Ingrdt], 0))</f>
        <v>105.00000000000001</v>
      </c>
      <c r="G41">
        <f>SUMIF(tbl_Achats[Cde_Ingrdt],tbl_Stock[[#This Row],[Cde_Ingrdt]],tbl_Achats[Qté d''Achat])</f>
        <v>0</v>
      </c>
      <c r="H41" s="21">
        <f t="array" ref="H41">SUMPRODUCT((tbl_Achats[Cde_Ingrdt]=tbl_Stock[[#This Row],[Cde_Ingrdt]]) * tbl_Achats[Qté d''Achat] * tbl_Achats[Prix Achat Unitaire])</f>
        <v>0</v>
      </c>
      <c r="I41">
        <v>340</v>
      </c>
      <c r="J41" s="21">
        <f ca="1">tbl_Stock[[#This Row],[Stock Courant]] * tbl_Stock[[#This Row],[CMP effectif]]</f>
        <v>87.780000000000015</v>
      </c>
      <c r="K41">
        <f ca="1">tbl_Stock[[#This Row],[Stock Départ]] + SUMIF(tbl_Achats[Cde_Ingrdt],tbl_Stock[[#This Row],[Cde_Ingrdt]],tbl_Achats[[#This Row],[Qté d''Achat]])</f>
        <v>1500</v>
      </c>
      <c r="L41" s="7">
        <f ca="1">IFERROR((tbl_Stock[[#This Row],[Valeur stock initiale]] + tbl_Stock[[#This Row],[ Valeur Achat]]) / tbl_Stock[[#This Row],[Quantité totale]], 0)</f>
        <v>7.0000000000000007E-2</v>
      </c>
      <c r="M41" s="7">
        <f>SUMIF(tbl_Sorties[[Code ingrédient ]], tbl_Stock[[#This Row],[Cde_Ingrdt]], tbl_Sorties[Qté Sortie])</f>
        <v>246</v>
      </c>
      <c r="N41" s="57">
        <f>tbl_Stock[[#This Row],[Stock Départ]] + tbl_Stock[[#This Row],[Achats Cumulées]] - tbl_Stock[[#This Row],[ Sortie cumulée]]</f>
        <v>1254</v>
      </c>
      <c r="O41">
        <v>100</v>
      </c>
      <c r="P41" t="str">
        <f>IF(tbl_Stock[[#This Row],[Stock Courant]] &lt; tbl_Stock[[#This Row],[Seuil critique]], "⚠️ Alerte", "OK")</f>
        <v>OK</v>
      </c>
    </row>
    <row r="42" spans="1:16" x14ac:dyDescent="0.25">
      <c r="A42" t="str">
        <f>IFERROR(VLOOKUP(B42,Référentiels!$M$2:$N$267,2,FALSE),"Ingrédient non trouvé")</f>
        <v>VOL008</v>
      </c>
      <c r="B42" t="str">
        <f>+tbl_IngrédientsRef[[#This Row],[Ingrédient]]</f>
        <v>Poulet Beldi (Tajine)</v>
      </c>
      <c r="C42" t="str">
        <f>INDEX(tbl_IngrédientsRef[Unité], MATCH(A42, tbl_IngrédientsRef[Cde_Ingrdt],0))</f>
        <v>g</v>
      </c>
      <c r="D42" s="21">
        <f>IFERROR(INDEX(tbl_IngrédientsRef[[#This Row],[PU_effectif_g/ml]], MATCH(tbl_Stock[[#This Row],[Cde_Ingrdt]], tbl_IngrédientsRef[[#This Row],[Cde_Ingrdt]], 0)), 0)</f>
        <v>0.06</v>
      </c>
      <c r="E42">
        <v>1500</v>
      </c>
      <c r="F42" s="57">
        <f>tbl_Stock[[#This Row],[Stock Départ]] * INDEX(tbl_IngrédientsRef[Prix/Uni Base], MATCH(tbl_Stock[[#This Row],[Cde_Ingrdt]], tbl_IngrédientsRef[Cde_Ingrdt], 0))</f>
        <v>90</v>
      </c>
      <c r="G42">
        <f>SUMIF(tbl_Achats[Cde_Ingrdt],tbl_Stock[[#This Row],[Cde_Ingrdt]],tbl_Achats[Qté d''Achat])</f>
        <v>0</v>
      </c>
      <c r="H42" s="21">
        <f t="array" ref="H42">SUMPRODUCT((tbl_Achats[Cde_Ingrdt]=tbl_Stock[[#This Row],[Cde_Ingrdt]]) * tbl_Achats[Qté d''Achat] * tbl_Achats[Prix Achat Unitaire])</f>
        <v>0</v>
      </c>
      <c r="I42">
        <v>250</v>
      </c>
      <c r="J42" s="21">
        <f ca="1">tbl_Stock[[#This Row],[Stock Courant]] * tbl_Stock[[#This Row],[CMP effectif]]</f>
        <v>90</v>
      </c>
      <c r="K42">
        <f ca="1">tbl_Stock[[#This Row],[Stock Départ]] + SUMIF(tbl_Achats[Cde_Ingrdt],tbl_Stock[[#This Row],[Cde_Ingrdt]],tbl_Achats[[#This Row],[Qté d''Achat]])</f>
        <v>1500</v>
      </c>
      <c r="L42" s="7">
        <f ca="1">IFERROR((tbl_Stock[[#This Row],[Valeur stock initiale]] + tbl_Stock[[#This Row],[ Valeur Achat]]) / tbl_Stock[[#This Row],[Quantité totale]], 0)</f>
        <v>0.06</v>
      </c>
      <c r="M42" s="7">
        <f>SUMIF(tbl_Sorties[[Code ingrédient ]], tbl_Stock[[#This Row],[Cde_Ingrdt]], tbl_Sorties[Qté Sortie])</f>
        <v>0</v>
      </c>
      <c r="N42" s="57">
        <f>tbl_Stock[[#This Row],[Stock Départ]] + tbl_Stock[[#This Row],[Achats Cumulées]] - tbl_Stock[[#This Row],[ Sortie cumulée]]</f>
        <v>1500</v>
      </c>
      <c r="O42">
        <v>100</v>
      </c>
      <c r="P42" t="str">
        <f>IF(tbl_Stock[[#This Row],[Stock Courant]] &lt; tbl_Stock[[#This Row],[Seuil critique]], "⚠️ Alerte", "OK")</f>
        <v>OK</v>
      </c>
    </row>
    <row r="43" spans="1:16" x14ac:dyDescent="0.25">
      <c r="A43" t="str">
        <f>IFERROR(VLOOKUP(B43,Référentiels!$M$2:$N$267,2,FALSE),"Ingrédient non trouvé")</f>
        <v>VOL009</v>
      </c>
      <c r="B43" t="str">
        <f>+tbl_IngrédientsRef[[#This Row],[Ingrédient]]</f>
        <v>Poulet Fermier (Tajine)</v>
      </c>
      <c r="C43" t="str">
        <f>INDEX(tbl_IngrédientsRef[Unité], MATCH(A43, tbl_IngrédientsRef[Cde_Ingrdt],0))</f>
        <v>g</v>
      </c>
      <c r="D43" s="21">
        <f>IFERROR(INDEX(tbl_IngrédientsRef[[#This Row],[PU_effectif_g/ml]], MATCH(tbl_Stock[[#This Row],[Cde_Ingrdt]], tbl_IngrédientsRef[[#This Row],[Cde_Ingrdt]], 0)), 0)</f>
        <v>4.4999999999999998E-2</v>
      </c>
      <c r="E43">
        <v>1500</v>
      </c>
      <c r="F43" s="57">
        <f>tbl_Stock[[#This Row],[Stock Départ]] * INDEX(tbl_IngrédientsRef[Prix/Uni Base], MATCH(tbl_Stock[[#This Row],[Cde_Ingrdt]], tbl_IngrédientsRef[Cde_Ingrdt], 0))</f>
        <v>67.5</v>
      </c>
      <c r="G43">
        <f>SUMIF(tbl_Achats[Cde_Ingrdt],tbl_Stock[[#This Row],[Cde_Ingrdt]],tbl_Achats[Qté d''Achat])</f>
        <v>0</v>
      </c>
      <c r="H43" s="21">
        <f t="array" ref="H43">SUMPRODUCT((tbl_Achats[Cde_Ingrdt]=tbl_Stock[[#This Row],[Cde_Ingrdt]]) * tbl_Achats[Qté d''Achat] * tbl_Achats[Prix Achat Unitaire])</f>
        <v>0</v>
      </c>
      <c r="I43">
        <v>230</v>
      </c>
      <c r="J43" s="21">
        <f ca="1">tbl_Stock[[#This Row],[Stock Courant]] * tbl_Stock[[#This Row],[CMP effectif]]</f>
        <v>67.5</v>
      </c>
      <c r="K43">
        <f ca="1">tbl_Stock[[#This Row],[Stock Départ]] + SUMIF(tbl_Achats[Cde_Ingrdt],tbl_Stock[[#This Row],[Cde_Ingrdt]],tbl_Achats[[#This Row],[Qté d''Achat]])</f>
        <v>1500</v>
      </c>
      <c r="L43" s="7">
        <f ca="1">IFERROR((tbl_Stock[[#This Row],[Valeur stock initiale]] + tbl_Stock[[#This Row],[ Valeur Achat]]) / tbl_Stock[[#This Row],[Quantité totale]], 0)</f>
        <v>4.4999999999999998E-2</v>
      </c>
      <c r="M43" s="7">
        <f>SUMIF(tbl_Sorties[[Code ingrédient ]], tbl_Stock[[#This Row],[Cde_Ingrdt]], tbl_Sorties[Qté Sortie])</f>
        <v>0</v>
      </c>
      <c r="N43" s="57">
        <f>tbl_Stock[[#This Row],[Stock Départ]] + tbl_Stock[[#This Row],[Achats Cumulées]] - tbl_Stock[[#This Row],[ Sortie cumulée]]</f>
        <v>1500</v>
      </c>
      <c r="O43">
        <v>100</v>
      </c>
      <c r="P43" t="str">
        <f>IF(tbl_Stock[[#This Row],[Stock Courant]] &lt; tbl_Stock[[#This Row],[Seuil critique]], "⚠️ Alerte", "OK")</f>
        <v>OK</v>
      </c>
    </row>
    <row r="44" spans="1:16" x14ac:dyDescent="0.25">
      <c r="A44" t="str">
        <f>IFERROR(VLOOKUP(B44,Référentiels!$M$2:$N$267,2,FALSE),"Ingrédient non trouvé")</f>
        <v>BOE001</v>
      </c>
      <c r="B44" t="str">
        <f>+tbl_IngrédientsRef[[#This Row],[Ingrédient]]</f>
        <v>Viande Hachée Nature</v>
      </c>
      <c r="C44" t="str">
        <f>INDEX(tbl_IngrédientsRef[Unité], MATCH(A44, tbl_IngrédientsRef[Cde_Ingrdt],0))</f>
        <v>g</v>
      </c>
      <c r="D44" s="21">
        <f>IFERROR(INDEX(tbl_IngrédientsRef[[#This Row],[PU_effectif_g/ml]], MATCH(tbl_Stock[[#This Row],[Cde_Ingrdt]], tbl_IngrédientsRef[[#This Row],[Cde_Ingrdt]], 0)), 0)</f>
        <v>0.09</v>
      </c>
      <c r="E44">
        <v>1500</v>
      </c>
      <c r="F44" s="57">
        <f>tbl_Stock[[#This Row],[Stock Départ]] * INDEX(tbl_IngrédientsRef[Prix/Uni Base], MATCH(tbl_Stock[[#This Row],[Cde_Ingrdt]], tbl_IngrédientsRef[Cde_Ingrdt], 0))</f>
        <v>135</v>
      </c>
      <c r="G44">
        <f>SUMIF(tbl_Achats[Cde_Ingrdt],tbl_Stock[[#This Row],[Cde_Ingrdt]],tbl_Achats[Qté d''Achat])</f>
        <v>0</v>
      </c>
      <c r="H44" s="21">
        <f t="array" ref="H44">SUMPRODUCT((tbl_Achats[Cde_Ingrdt]=tbl_Stock[[#This Row],[Cde_Ingrdt]]) * tbl_Achats[Qté d''Achat] * tbl_Achats[Prix Achat Unitaire])</f>
        <v>0</v>
      </c>
      <c r="I44">
        <v>300</v>
      </c>
      <c r="J44" s="21">
        <f ca="1">tbl_Stock[[#This Row],[Stock Courant]] * tbl_Stock[[#This Row],[CMP effectif]]</f>
        <v>102.14999999999999</v>
      </c>
      <c r="K44">
        <f ca="1">tbl_Stock[[#This Row],[Stock Départ]] + SUMIF(tbl_Achats[Cde_Ingrdt],tbl_Stock[[#This Row],[Cde_Ingrdt]],tbl_Achats[[#This Row],[Qté d''Achat]])</f>
        <v>1500</v>
      </c>
      <c r="L44" s="7">
        <f ca="1">IFERROR((tbl_Stock[[#This Row],[Valeur stock initiale]] + tbl_Stock[[#This Row],[ Valeur Achat]]) / tbl_Stock[[#This Row],[Quantité totale]], 0)</f>
        <v>0.09</v>
      </c>
      <c r="M44" s="7">
        <f>SUMIF(tbl_Sorties[[Code ingrédient ]], tbl_Stock[[#This Row],[Cde_Ingrdt]], tbl_Sorties[Qté Sortie])</f>
        <v>365</v>
      </c>
      <c r="N44" s="57">
        <f>tbl_Stock[[#This Row],[Stock Départ]] + tbl_Stock[[#This Row],[Achats Cumulées]] - tbl_Stock[[#This Row],[ Sortie cumulée]]</f>
        <v>1135</v>
      </c>
      <c r="O44">
        <v>100</v>
      </c>
      <c r="P44" t="str">
        <f>IF(tbl_Stock[[#This Row],[Stock Courant]] &lt; tbl_Stock[[#This Row],[Seuil critique]], "⚠️ Alerte", "OK")</f>
        <v>OK</v>
      </c>
    </row>
    <row r="45" spans="1:16" x14ac:dyDescent="0.25">
      <c r="A45" t="str">
        <f>IFERROR(VLOOKUP(B45,Référentiels!$M$2:$N$267,2,FALSE),"Ingrédient non trouvé")</f>
        <v>BOE002</v>
      </c>
      <c r="B45" t="str">
        <f>+tbl_IngrédientsRef[[#This Row],[Ingrédient]]</f>
        <v>Viande Hachée Préparée</v>
      </c>
      <c r="C45" t="str">
        <f>INDEX(tbl_IngrédientsRef[Unité], MATCH(A45, tbl_IngrédientsRef[Cde_Ingrdt],0))</f>
        <v>g</v>
      </c>
      <c r="D45" s="21">
        <f>IFERROR(INDEX(tbl_IngrédientsRef[[#This Row],[PU_effectif_g/ml]], MATCH(tbl_Stock[[#This Row],[Cde_Ingrdt]], tbl_IngrédientsRef[[#This Row],[Cde_Ingrdt]], 0)), 0)</f>
        <v>0.08</v>
      </c>
      <c r="E45">
        <v>1500</v>
      </c>
      <c r="F45" s="57">
        <f>tbl_Stock[[#This Row],[Stock Départ]] * INDEX(tbl_IngrédientsRef[Prix/Uni Base], MATCH(tbl_Stock[[#This Row],[Cde_Ingrdt]], tbl_IngrédientsRef[Cde_Ingrdt], 0))</f>
        <v>120</v>
      </c>
      <c r="G45">
        <f>SUMIF(tbl_Achats[Cde_Ingrdt],tbl_Stock[[#This Row],[Cde_Ingrdt]],tbl_Achats[Qté d''Achat])</f>
        <v>0</v>
      </c>
      <c r="H45" s="21">
        <f t="array" ref="H45">SUMPRODUCT((tbl_Achats[Cde_Ingrdt]=tbl_Stock[[#This Row],[Cde_Ingrdt]]) * tbl_Achats[Qté d''Achat] * tbl_Achats[Prix Achat Unitaire])</f>
        <v>0</v>
      </c>
      <c r="I45">
        <v>340</v>
      </c>
      <c r="J45" s="21">
        <f ca="1">tbl_Stock[[#This Row],[Stock Courant]] * tbl_Stock[[#This Row],[CMP effectif]]</f>
        <v>120</v>
      </c>
      <c r="K45">
        <f ca="1">tbl_Stock[[#This Row],[Stock Départ]] + SUMIF(tbl_Achats[Cde_Ingrdt],tbl_Stock[[#This Row],[Cde_Ingrdt]],tbl_Achats[[#This Row],[Qté d''Achat]])</f>
        <v>1500</v>
      </c>
      <c r="L45" s="7">
        <f ca="1">IFERROR((tbl_Stock[[#This Row],[Valeur stock initiale]] + tbl_Stock[[#This Row],[ Valeur Achat]]) / tbl_Stock[[#This Row],[Quantité totale]], 0)</f>
        <v>0.08</v>
      </c>
      <c r="M45" s="7">
        <f>SUMIF(tbl_Sorties[[Code ingrédient ]], tbl_Stock[[#This Row],[Cde_Ingrdt]], tbl_Sorties[Qté Sortie])</f>
        <v>0</v>
      </c>
      <c r="N45" s="57">
        <f>tbl_Stock[[#This Row],[Stock Départ]] + tbl_Stock[[#This Row],[Achats Cumulées]] - tbl_Stock[[#This Row],[ Sortie cumulée]]</f>
        <v>1500</v>
      </c>
      <c r="O45">
        <v>100</v>
      </c>
      <c r="P45" t="str">
        <f>IF(tbl_Stock[[#This Row],[Stock Courant]] &lt; tbl_Stock[[#This Row],[Seuil critique]], "⚠️ Alerte", "OK")</f>
        <v>OK</v>
      </c>
    </row>
    <row r="46" spans="1:16" x14ac:dyDescent="0.25">
      <c r="A46" t="str">
        <f>IFERROR(VLOOKUP(B46,Référentiels!$M$2:$N$267,2,FALSE),"Ingrédient non trouvé")</f>
        <v>BOE003</v>
      </c>
      <c r="B46" t="str">
        <f>+tbl_IngrédientsRef[[#This Row],[Ingrédient]]</f>
        <v>Viande Hachée Graisse</v>
      </c>
      <c r="C46" t="str">
        <f>INDEX(tbl_IngrédientsRef[Unité], MATCH(A46, tbl_IngrédientsRef[Cde_Ingrdt],0))</f>
        <v>g</v>
      </c>
      <c r="D46" s="21">
        <f>IFERROR(INDEX(tbl_IngrédientsRef[[#This Row],[PU_effectif_g/ml]], MATCH(tbl_Stock[[#This Row],[Cde_Ingrdt]], tbl_IngrédientsRef[[#This Row],[Cde_Ingrdt]], 0)), 0)</f>
        <v>0.08</v>
      </c>
      <c r="E46">
        <v>1500</v>
      </c>
      <c r="F46" s="57">
        <f>tbl_Stock[[#This Row],[Stock Départ]] * INDEX(tbl_IngrédientsRef[Prix/Uni Base], MATCH(tbl_Stock[[#This Row],[Cde_Ingrdt]], tbl_IngrédientsRef[Cde_Ingrdt], 0))</f>
        <v>120</v>
      </c>
      <c r="G46">
        <f>SUMIF(tbl_Achats[Cde_Ingrdt],tbl_Stock[[#This Row],[Cde_Ingrdt]],tbl_Achats[Qté d''Achat])</f>
        <v>0</v>
      </c>
      <c r="H46" s="21">
        <f t="array" ref="H46">SUMPRODUCT((tbl_Achats[Cde_Ingrdt]=tbl_Stock[[#This Row],[Cde_Ingrdt]]) * tbl_Achats[Qté d''Achat] * tbl_Achats[Prix Achat Unitaire])</f>
        <v>0</v>
      </c>
      <c r="I46">
        <v>250</v>
      </c>
      <c r="J46" s="21">
        <f ca="1">tbl_Stock[[#This Row],[Stock Courant]] * tbl_Stock[[#This Row],[CMP effectif]]</f>
        <v>120</v>
      </c>
      <c r="K46">
        <f ca="1">tbl_Stock[[#This Row],[Stock Départ]] + SUMIF(tbl_Achats[Cde_Ingrdt],tbl_Stock[[#This Row],[Cde_Ingrdt]],tbl_Achats[[#This Row],[Qté d''Achat]])</f>
        <v>1500</v>
      </c>
      <c r="L46" s="7">
        <f ca="1">IFERROR((tbl_Stock[[#This Row],[Valeur stock initiale]] + tbl_Stock[[#This Row],[ Valeur Achat]]) / tbl_Stock[[#This Row],[Quantité totale]], 0)</f>
        <v>0.08</v>
      </c>
      <c r="M46" s="7">
        <f>SUMIF(tbl_Sorties[[Code ingrédient ]], tbl_Stock[[#This Row],[Cde_Ingrdt]], tbl_Sorties[Qté Sortie])</f>
        <v>0</v>
      </c>
      <c r="N46" s="57">
        <f>tbl_Stock[[#This Row],[Stock Départ]] + tbl_Stock[[#This Row],[Achats Cumulées]] - tbl_Stock[[#This Row],[ Sortie cumulée]]</f>
        <v>1500</v>
      </c>
      <c r="O46">
        <v>100</v>
      </c>
      <c r="P46" t="str">
        <f>IF(tbl_Stock[[#This Row],[Stock Courant]] &lt; tbl_Stock[[#This Row],[Seuil critique]], "⚠️ Alerte", "OK")</f>
        <v>OK</v>
      </c>
    </row>
    <row r="47" spans="1:16" x14ac:dyDescent="0.25">
      <c r="A47" t="str">
        <f>IFERROR(VLOOKUP(B47,Référentiels!$M$2:$N$267,2,FALSE),"Ingrédient non trouvé")</f>
        <v>BOE004</v>
      </c>
      <c r="B47" t="str">
        <f>+tbl_IngrédientsRef[[#This Row],[Ingrédient]]</f>
        <v>Rate Farcie</v>
      </c>
      <c r="C47" t="str">
        <f>INDEX(tbl_IngrédientsRef[Unité], MATCH(A47, tbl_IngrédientsRef[Cde_Ingrdt],0))</f>
        <v>g</v>
      </c>
      <c r="D47" s="21">
        <f>IFERROR(INDEX(tbl_IngrédientsRef[[#This Row],[PU_effectif_g/ml]], MATCH(tbl_Stock[[#This Row],[Cde_Ingrdt]], tbl_IngrédientsRef[[#This Row],[Cde_Ingrdt]], 0)), 0)</f>
        <v>0.1</v>
      </c>
      <c r="E47">
        <v>1500</v>
      </c>
      <c r="F47" s="57">
        <f>tbl_Stock[[#This Row],[Stock Départ]] * INDEX(tbl_IngrédientsRef[Prix/Uni Base], MATCH(tbl_Stock[[#This Row],[Cde_Ingrdt]], tbl_IngrédientsRef[Cde_Ingrdt], 0))</f>
        <v>150</v>
      </c>
      <c r="G47">
        <f>SUMIF(tbl_Achats[Cde_Ingrdt],tbl_Stock[[#This Row],[Cde_Ingrdt]],tbl_Achats[Qté d''Achat])</f>
        <v>0</v>
      </c>
      <c r="H47" s="21">
        <f t="array" ref="H47">SUMPRODUCT((tbl_Achats[Cde_Ingrdt]=tbl_Stock[[#This Row],[Cde_Ingrdt]]) * tbl_Achats[Qté d''Achat] * tbl_Achats[Prix Achat Unitaire])</f>
        <v>0</v>
      </c>
      <c r="I47">
        <v>230</v>
      </c>
      <c r="J47" s="21">
        <f ca="1">tbl_Stock[[#This Row],[Stock Courant]] * tbl_Stock[[#This Row],[CMP effectif]]</f>
        <v>150</v>
      </c>
      <c r="K47">
        <f ca="1">tbl_Stock[[#This Row],[Stock Départ]] + SUMIF(tbl_Achats[Cde_Ingrdt],tbl_Stock[[#This Row],[Cde_Ingrdt]],tbl_Achats[[#This Row],[Qté d''Achat]])</f>
        <v>1500</v>
      </c>
      <c r="L47" s="7">
        <f ca="1">IFERROR((tbl_Stock[[#This Row],[Valeur stock initiale]] + tbl_Stock[[#This Row],[ Valeur Achat]]) / tbl_Stock[[#This Row],[Quantité totale]], 0)</f>
        <v>0.1</v>
      </c>
      <c r="M47" s="7">
        <f>SUMIF(tbl_Sorties[[Code ingrédient ]], tbl_Stock[[#This Row],[Cde_Ingrdt]], tbl_Sorties[Qté Sortie])</f>
        <v>0</v>
      </c>
      <c r="N47" s="57">
        <f>tbl_Stock[[#This Row],[Stock Départ]] + tbl_Stock[[#This Row],[Achats Cumulées]] - tbl_Stock[[#This Row],[ Sortie cumulée]]</f>
        <v>1500</v>
      </c>
      <c r="O47">
        <v>100</v>
      </c>
      <c r="P47" t="str">
        <f>IF(tbl_Stock[[#This Row],[Stock Courant]] &lt; tbl_Stock[[#This Row],[Seuil critique]], "⚠️ Alerte", "OK")</f>
        <v>OK</v>
      </c>
    </row>
    <row r="48" spans="1:16" x14ac:dyDescent="0.25">
      <c r="A48" t="str">
        <f>IFERROR(VLOOKUP(B48,Référentiels!$M$2:$N$267,2,FALSE),"Ingrédient non trouvé")</f>
        <v>BOE005</v>
      </c>
      <c r="B48" t="str">
        <f>+tbl_IngrédientsRef[[#This Row],[Ingrédient]]</f>
        <v>Viande Begri (Tajine)</v>
      </c>
      <c r="C48" t="str">
        <f>INDEX(tbl_IngrédientsRef[Unité], MATCH(A48, tbl_IngrédientsRef[Cde_Ingrdt],0))</f>
        <v>g</v>
      </c>
      <c r="D48" s="21">
        <f>IFERROR(INDEX(tbl_IngrédientsRef[[#This Row],[PU_effectif_g/ml]], MATCH(tbl_Stock[[#This Row],[Cde_Ingrdt]], tbl_IngrédientsRef[[#This Row],[Cde_Ingrdt]], 0)), 0)</f>
        <v>0.1</v>
      </c>
      <c r="E48">
        <v>1500</v>
      </c>
      <c r="F48" s="57">
        <f>tbl_Stock[[#This Row],[Stock Départ]] * INDEX(tbl_IngrédientsRef[Prix/Uni Base], MATCH(tbl_Stock[[#This Row],[Cde_Ingrdt]], tbl_IngrédientsRef[Cde_Ingrdt], 0))</f>
        <v>150</v>
      </c>
      <c r="G48">
        <f>SUMIF(tbl_Achats[Cde_Ingrdt],tbl_Stock[[#This Row],[Cde_Ingrdt]],tbl_Achats[Qté d''Achat])</f>
        <v>0</v>
      </c>
      <c r="H48" s="21">
        <f t="array" ref="H48">SUMPRODUCT((tbl_Achats[Cde_Ingrdt]=tbl_Stock[[#This Row],[Cde_Ingrdt]]) * tbl_Achats[Qté d''Achat] * tbl_Achats[Prix Achat Unitaire])</f>
        <v>0</v>
      </c>
      <c r="I48">
        <v>300</v>
      </c>
      <c r="J48" s="21">
        <f ca="1">tbl_Stock[[#This Row],[Stock Courant]] * tbl_Stock[[#This Row],[CMP effectif]]</f>
        <v>150</v>
      </c>
      <c r="K48">
        <f ca="1">tbl_Stock[[#This Row],[Stock Départ]] + SUMIF(tbl_Achats[Cde_Ingrdt],tbl_Stock[[#This Row],[Cde_Ingrdt]],tbl_Achats[[#This Row],[Qté d''Achat]])</f>
        <v>1500</v>
      </c>
      <c r="L48" s="7">
        <f ca="1">IFERROR((tbl_Stock[[#This Row],[Valeur stock initiale]] + tbl_Stock[[#This Row],[ Valeur Achat]]) / tbl_Stock[[#This Row],[Quantité totale]], 0)</f>
        <v>0.1</v>
      </c>
      <c r="M48" s="7">
        <f>SUMIF(tbl_Sorties[[Code ingrédient ]], tbl_Stock[[#This Row],[Cde_Ingrdt]], tbl_Sorties[Qté Sortie])</f>
        <v>0</v>
      </c>
      <c r="N48" s="57">
        <f>tbl_Stock[[#This Row],[Stock Départ]] + tbl_Stock[[#This Row],[Achats Cumulées]] - tbl_Stock[[#This Row],[ Sortie cumulée]]</f>
        <v>1500</v>
      </c>
      <c r="O48">
        <v>100</v>
      </c>
      <c r="P48" t="str">
        <f>IF(tbl_Stock[[#This Row],[Stock Courant]] &lt; tbl_Stock[[#This Row],[Seuil critique]], "⚠️ Alerte", "OK")</f>
        <v>OK</v>
      </c>
    </row>
    <row r="49" spans="1:16" x14ac:dyDescent="0.25">
      <c r="A49" t="str">
        <f>IFERROR(VLOOKUP(B49,Référentiels!$M$2:$N$267,2,FALSE),"Ingrédient non trouvé")</f>
        <v>BOE006</v>
      </c>
      <c r="B49" t="str">
        <f>+tbl_IngrédientsRef[[#This Row],[Ingrédient]]</f>
        <v>Pepperoni</v>
      </c>
      <c r="C49" t="str">
        <f>INDEX(tbl_IngrédientsRef[Unité], MATCH(A49, tbl_IngrédientsRef[Cde_Ingrdt],0))</f>
        <v>g</v>
      </c>
      <c r="D49" s="21">
        <f>IFERROR(INDEX(tbl_IngrédientsRef[[#This Row],[PU_effectif_g/ml]], MATCH(tbl_Stock[[#This Row],[Cde_Ingrdt]], tbl_IngrédientsRef[[#This Row],[Cde_Ingrdt]], 0)), 0)</f>
        <v>0.15</v>
      </c>
      <c r="E49">
        <v>1500</v>
      </c>
      <c r="F49" s="57">
        <f>tbl_Stock[[#This Row],[Stock Départ]] * INDEX(tbl_IngrédientsRef[Prix/Uni Base], MATCH(tbl_Stock[[#This Row],[Cde_Ingrdt]], tbl_IngrédientsRef[Cde_Ingrdt], 0))</f>
        <v>225</v>
      </c>
      <c r="G49">
        <f>SUMIF(tbl_Achats[Cde_Ingrdt],tbl_Stock[[#This Row],[Cde_Ingrdt]],tbl_Achats[Qté d''Achat])</f>
        <v>0</v>
      </c>
      <c r="H49" s="21">
        <f t="array" ref="H49">SUMPRODUCT((tbl_Achats[Cde_Ingrdt]=tbl_Stock[[#This Row],[Cde_Ingrdt]]) * tbl_Achats[Qté d''Achat] * tbl_Achats[Prix Achat Unitaire])</f>
        <v>0</v>
      </c>
      <c r="I49">
        <v>340</v>
      </c>
      <c r="J49" s="21">
        <f ca="1">tbl_Stock[[#This Row],[Stock Courant]] * tbl_Stock[[#This Row],[CMP effectif]]</f>
        <v>225</v>
      </c>
      <c r="K49">
        <f ca="1">tbl_Stock[[#This Row],[Stock Départ]] + SUMIF(tbl_Achats[Cde_Ingrdt],tbl_Stock[[#This Row],[Cde_Ingrdt]],tbl_Achats[[#This Row],[Qté d''Achat]])</f>
        <v>1500</v>
      </c>
      <c r="L49" s="7">
        <f ca="1">IFERROR((tbl_Stock[[#This Row],[Valeur stock initiale]] + tbl_Stock[[#This Row],[ Valeur Achat]]) / tbl_Stock[[#This Row],[Quantité totale]], 0)</f>
        <v>0.15</v>
      </c>
      <c r="M49" s="7">
        <f>SUMIF(tbl_Sorties[[Code ingrédient ]], tbl_Stock[[#This Row],[Cde_Ingrdt]], tbl_Sorties[Qté Sortie])</f>
        <v>0</v>
      </c>
      <c r="N49" s="57">
        <f>tbl_Stock[[#This Row],[Stock Départ]] + tbl_Stock[[#This Row],[Achats Cumulées]] - tbl_Stock[[#This Row],[ Sortie cumulée]]</f>
        <v>1500</v>
      </c>
      <c r="O49">
        <v>100</v>
      </c>
      <c r="P49" t="str">
        <f>IF(tbl_Stock[[#This Row],[Stock Courant]] &lt; tbl_Stock[[#This Row],[Seuil critique]], "⚠️ Alerte", "OK")</f>
        <v>OK</v>
      </c>
    </row>
    <row r="50" spans="1:16" x14ac:dyDescent="0.25">
      <c r="A50" t="str">
        <f>IFERROR(VLOOKUP(B50,Référentiels!$M$2:$N$267,2,FALSE),"Ingrédient non trouvé")</f>
        <v>BOE007</v>
      </c>
      <c r="B50" t="str">
        <f>+tbl_IngrédientsRef[[#This Row],[Ingrédient]]</f>
        <v>Emincé De Viande</v>
      </c>
      <c r="C50" t="str">
        <f>INDEX(tbl_IngrédientsRef[Unité], MATCH(A50, tbl_IngrédientsRef[Cde_Ingrdt],0))</f>
        <v>g</v>
      </c>
      <c r="D50" s="21">
        <f>IFERROR(INDEX(tbl_IngrédientsRef[[#This Row],[PU_effectif_g/ml]], MATCH(tbl_Stock[[#This Row],[Cde_Ingrdt]], tbl_IngrédientsRef[[#This Row],[Cde_Ingrdt]], 0)), 0)</f>
        <v>0.1</v>
      </c>
      <c r="E50">
        <v>1500</v>
      </c>
      <c r="F50" s="57">
        <f>tbl_Stock[[#This Row],[Stock Départ]] * INDEX(tbl_IngrédientsRef[Prix/Uni Base], MATCH(tbl_Stock[[#This Row],[Cde_Ingrdt]], tbl_IngrédientsRef[Cde_Ingrdt], 0))</f>
        <v>150</v>
      </c>
      <c r="G50">
        <f>SUMIF(tbl_Achats[Cde_Ingrdt],tbl_Stock[[#This Row],[Cde_Ingrdt]],tbl_Achats[Qté d''Achat])</f>
        <v>0</v>
      </c>
      <c r="H50" s="21">
        <f t="array" ref="H50">SUMPRODUCT((tbl_Achats[Cde_Ingrdt]=tbl_Stock[[#This Row],[Cde_Ingrdt]]) * tbl_Achats[Qté d''Achat] * tbl_Achats[Prix Achat Unitaire])</f>
        <v>0</v>
      </c>
      <c r="I50">
        <v>250</v>
      </c>
      <c r="J50" s="21">
        <f ca="1">tbl_Stock[[#This Row],[Stock Courant]] * tbl_Stock[[#This Row],[CMP effectif]]</f>
        <v>150</v>
      </c>
      <c r="K50">
        <f ca="1">tbl_Stock[[#This Row],[Stock Départ]] + SUMIF(tbl_Achats[Cde_Ingrdt],tbl_Stock[[#This Row],[Cde_Ingrdt]],tbl_Achats[[#This Row],[Qté d''Achat]])</f>
        <v>1500</v>
      </c>
      <c r="L50" s="7">
        <f ca="1">IFERROR((tbl_Stock[[#This Row],[Valeur stock initiale]] + tbl_Stock[[#This Row],[ Valeur Achat]]) / tbl_Stock[[#This Row],[Quantité totale]], 0)</f>
        <v>0.1</v>
      </c>
      <c r="M50" s="7">
        <f>SUMIF(tbl_Sorties[[Code ingrédient ]], tbl_Stock[[#This Row],[Cde_Ingrdt]], tbl_Sorties[Qté Sortie])</f>
        <v>0</v>
      </c>
      <c r="N50" s="57">
        <f>tbl_Stock[[#This Row],[Stock Départ]] + tbl_Stock[[#This Row],[Achats Cumulées]] - tbl_Stock[[#This Row],[ Sortie cumulée]]</f>
        <v>1500</v>
      </c>
      <c r="O50">
        <v>100</v>
      </c>
      <c r="P50" t="str">
        <f>IF(tbl_Stock[[#This Row],[Stock Courant]] &lt; tbl_Stock[[#This Row],[Seuil critique]], "⚠️ Alerte", "OK")</f>
        <v>OK</v>
      </c>
    </row>
    <row r="51" spans="1:16" x14ac:dyDescent="0.25">
      <c r="A51" t="str">
        <f>IFERROR(VLOOKUP(B51,Référentiels!$M$2:$N$267,2,FALSE),"Ingrédient non trouvé")</f>
        <v>BOE008</v>
      </c>
      <c r="B51" t="str">
        <f>+tbl_IngrédientsRef[[#This Row],[Ingrédient]]</f>
        <v>Emincé De Bœuf</v>
      </c>
      <c r="C51" t="str">
        <f>INDEX(tbl_IngrédientsRef[Unité], MATCH(A51, tbl_IngrédientsRef[Cde_Ingrdt],0))</f>
        <v>g</v>
      </c>
      <c r="D51" s="21">
        <f>IFERROR(INDEX(tbl_IngrédientsRef[[#This Row],[PU_effectif_g/ml]], MATCH(tbl_Stock[[#This Row],[Cde_Ingrdt]], tbl_IngrédientsRef[[#This Row],[Cde_Ingrdt]], 0)), 0)</f>
        <v>0.12</v>
      </c>
      <c r="E51">
        <v>1500</v>
      </c>
      <c r="F51" s="57">
        <f>tbl_Stock[[#This Row],[Stock Départ]] * INDEX(tbl_IngrédientsRef[Prix/Uni Base], MATCH(tbl_Stock[[#This Row],[Cde_Ingrdt]], tbl_IngrédientsRef[Cde_Ingrdt], 0))</f>
        <v>180</v>
      </c>
      <c r="G51">
        <f>SUMIF(tbl_Achats[Cde_Ingrdt],tbl_Stock[[#This Row],[Cde_Ingrdt]],tbl_Achats[Qté d''Achat])</f>
        <v>0</v>
      </c>
      <c r="H51" s="21">
        <f t="array" ref="H51">SUMPRODUCT((tbl_Achats[Cde_Ingrdt]=tbl_Stock[[#This Row],[Cde_Ingrdt]]) * tbl_Achats[Qté d''Achat] * tbl_Achats[Prix Achat Unitaire])</f>
        <v>0</v>
      </c>
      <c r="I51">
        <v>230</v>
      </c>
      <c r="J51" s="21">
        <f ca="1">tbl_Stock[[#This Row],[Stock Courant]] * tbl_Stock[[#This Row],[CMP effectif]]</f>
        <v>180</v>
      </c>
      <c r="K51">
        <f ca="1">tbl_Stock[[#This Row],[Stock Départ]] + SUMIF(tbl_Achats[Cde_Ingrdt],tbl_Stock[[#This Row],[Cde_Ingrdt]],tbl_Achats[[#This Row],[Qté d''Achat]])</f>
        <v>1500</v>
      </c>
      <c r="L51" s="7">
        <f ca="1">IFERROR((tbl_Stock[[#This Row],[Valeur stock initiale]] + tbl_Stock[[#This Row],[ Valeur Achat]]) / tbl_Stock[[#This Row],[Quantité totale]], 0)</f>
        <v>0.12</v>
      </c>
      <c r="M51" s="7">
        <f>SUMIF(tbl_Sorties[[Code ingrédient ]], tbl_Stock[[#This Row],[Cde_Ingrdt]], tbl_Sorties[Qté Sortie])</f>
        <v>0</v>
      </c>
      <c r="N51" s="57">
        <f>tbl_Stock[[#This Row],[Stock Départ]] + tbl_Stock[[#This Row],[Achats Cumulées]] - tbl_Stock[[#This Row],[ Sortie cumulée]]</f>
        <v>1500</v>
      </c>
      <c r="O51">
        <v>100</v>
      </c>
      <c r="P51" t="str">
        <f>IF(tbl_Stock[[#This Row],[Stock Courant]] &lt; tbl_Stock[[#This Row],[Seuil critique]], "⚠️ Alerte", "OK")</f>
        <v>OK</v>
      </c>
    </row>
    <row r="52" spans="1:16" x14ac:dyDescent="0.25">
      <c r="A52" t="str">
        <f>IFERROR(VLOOKUP(B52,Référentiels!$M$2:$N$267,2,FALSE),"Ingrédient non trouvé")</f>
        <v>BOE009</v>
      </c>
      <c r="B52" t="str">
        <f>+tbl_IngrédientsRef[[#This Row],[Ingrédient]]</f>
        <v>Faux-Filet Bœuf</v>
      </c>
      <c r="C52" t="str">
        <f>INDEX(tbl_IngrédientsRef[Unité], MATCH(A52, tbl_IngrédientsRef[Cde_Ingrdt],0))</f>
        <v>g</v>
      </c>
      <c r="D52" s="21">
        <f>IFERROR(INDEX(tbl_IngrédientsRef[[#This Row],[PU_effectif_g/ml]], MATCH(tbl_Stock[[#This Row],[Cde_Ingrdt]], tbl_IngrédientsRef[[#This Row],[Cde_Ingrdt]], 0)), 0)</f>
        <v>0.15</v>
      </c>
      <c r="E52">
        <v>1500</v>
      </c>
      <c r="F52" s="57">
        <f>tbl_Stock[[#This Row],[Stock Départ]] * INDEX(tbl_IngrédientsRef[Prix/Uni Base], MATCH(tbl_Stock[[#This Row],[Cde_Ingrdt]], tbl_IngrédientsRef[Cde_Ingrdt], 0))</f>
        <v>225</v>
      </c>
      <c r="G52">
        <f>SUMIF(tbl_Achats[Cde_Ingrdt],tbl_Stock[[#This Row],[Cde_Ingrdt]],tbl_Achats[Qté d''Achat])</f>
        <v>0</v>
      </c>
      <c r="H52" s="21">
        <f t="array" ref="H52">SUMPRODUCT((tbl_Achats[Cde_Ingrdt]=tbl_Stock[[#This Row],[Cde_Ingrdt]]) * tbl_Achats[Qté d''Achat] * tbl_Achats[Prix Achat Unitaire])</f>
        <v>0</v>
      </c>
      <c r="I52">
        <v>300</v>
      </c>
      <c r="J52" s="21">
        <f ca="1">tbl_Stock[[#This Row],[Stock Courant]] * tbl_Stock[[#This Row],[CMP effectif]]</f>
        <v>225</v>
      </c>
      <c r="K52">
        <f ca="1">tbl_Stock[[#This Row],[Stock Départ]] + SUMIF(tbl_Achats[Cde_Ingrdt],tbl_Stock[[#This Row],[Cde_Ingrdt]],tbl_Achats[[#This Row],[Qté d''Achat]])</f>
        <v>1500</v>
      </c>
      <c r="L52" s="7">
        <f ca="1">IFERROR((tbl_Stock[[#This Row],[Valeur stock initiale]] + tbl_Stock[[#This Row],[ Valeur Achat]]) / tbl_Stock[[#This Row],[Quantité totale]], 0)</f>
        <v>0.15</v>
      </c>
      <c r="M52" s="7">
        <f>SUMIF(tbl_Sorties[[Code ingrédient ]], tbl_Stock[[#This Row],[Cde_Ingrdt]], tbl_Sorties[Qté Sortie])</f>
        <v>0</v>
      </c>
      <c r="N52" s="57">
        <f>tbl_Stock[[#This Row],[Stock Départ]] + tbl_Stock[[#This Row],[Achats Cumulées]] - tbl_Stock[[#This Row],[ Sortie cumulée]]</f>
        <v>1500</v>
      </c>
      <c r="O52">
        <v>100</v>
      </c>
      <c r="P52" t="str">
        <f>IF(tbl_Stock[[#This Row],[Stock Courant]] &lt; tbl_Stock[[#This Row],[Seuil critique]], "⚠️ Alerte", "OK")</f>
        <v>OK</v>
      </c>
    </row>
    <row r="53" spans="1:16" x14ac:dyDescent="0.25">
      <c r="A53" t="str">
        <f>IFERROR(VLOOKUP(B53,Référentiels!$M$2:$N$267,2,FALSE),"Ingrédient non trouvé")</f>
        <v>BOE010</v>
      </c>
      <c r="B53" t="str">
        <f>+tbl_IngrédientsRef[[#This Row],[Ingrédient]]</f>
        <v>Filet Bœuf</v>
      </c>
      <c r="C53" t="str">
        <f>INDEX(tbl_IngrédientsRef[Unité], MATCH(A53, tbl_IngrédientsRef[Cde_Ingrdt],0))</f>
        <v>g</v>
      </c>
      <c r="D53" s="21">
        <f>IFERROR(INDEX(tbl_IngrédientsRef[[#This Row],[PU_effectif_g/ml]], MATCH(tbl_Stock[[#This Row],[Cde_Ingrdt]], tbl_IngrédientsRef[[#This Row],[Cde_Ingrdt]], 0)), 0)</f>
        <v>0.45</v>
      </c>
      <c r="E53">
        <v>1500</v>
      </c>
      <c r="F53" s="57">
        <f>tbl_Stock[[#This Row],[Stock Départ]] * INDEX(tbl_IngrédientsRef[Prix/Uni Base], MATCH(tbl_Stock[[#This Row],[Cde_Ingrdt]], tbl_IngrédientsRef[Cde_Ingrdt], 0))</f>
        <v>675</v>
      </c>
      <c r="G53">
        <f>SUMIF(tbl_Achats[Cde_Ingrdt],tbl_Stock[[#This Row],[Cde_Ingrdt]],tbl_Achats[Qté d''Achat])</f>
        <v>0</v>
      </c>
      <c r="H53" s="21">
        <f t="array" ref="H53">SUMPRODUCT((tbl_Achats[Cde_Ingrdt]=tbl_Stock[[#This Row],[Cde_Ingrdt]]) * tbl_Achats[Qté d''Achat] * tbl_Achats[Prix Achat Unitaire])</f>
        <v>0</v>
      </c>
      <c r="I53">
        <v>340</v>
      </c>
      <c r="J53" s="21">
        <f ca="1">tbl_Stock[[#This Row],[Stock Courant]] * tbl_Stock[[#This Row],[CMP effectif]]</f>
        <v>675</v>
      </c>
      <c r="K53">
        <f ca="1">tbl_Stock[[#This Row],[Stock Départ]] + SUMIF(tbl_Achats[Cde_Ingrdt],tbl_Stock[[#This Row],[Cde_Ingrdt]],tbl_Achats[[#This Row],[Qté d''Achat]])</f>
        <v>1500</v>
      </c>
      <c r="L53" s="7">
        <f ca="1">IFERROR((tbl_Stock[[#This Row],[Valeur stock initiale]] + tbl_Stock[[#This Row],[ Valeur Achat]]) / tbl_Stock[[#This Row],[Quantité totale]], 0)</f>
        <v>0.45</v>
      </c>
      <c r="M53" s="7">
        <f>SUMIF(tbl_Sorties[[Code ingrédient ]], tbl_Stock[[#This Row],[Cde_Ingrdt]], tbl_Sorties[Qté Sortie])</f>
        <v>0</v>
      </c>
      <c r="N53" s="57">
        <f>tbl_Stock[[#This Row],[Stock Départ]] + tbl_Stock[[#This Row],[Achats Cumulées]] - tbl_Stock[[#This Row],[ Sortie cumulée]]</f>
        <v>1500</v>
      </c>
      <c r="O53">
        <v>100</v>
      </c>
      <c r="P53" t="str">
        <f>IF(tbl_Stock[[#This Row],[Stock Courant]] &lt; tbl_Stock[[#This Row],[Seuil critique]], "⚠️ Alerte", "OK")</f>
        <v>OK</v>
      </c>
    </row>
    <row r="54" spans="1:16" x14ac:dyDescent="0.25">
      <c r="A54" t="str">
        <f>IFERROR(VLOOKUP(B54,Référentiels!$M$2:$N$267,2,FALSE),"Ingrédient non trouvé")</f>
        <v>AGN001</v>
      </c>
      <c r="B54" t="str">
        <f>+tbl_IngrédientsRef[[#This Row],[Ingrédient]]</f>
        <v>Viande De Maazi</v>
      </c>
      <c r="C54" t="str">
        <f>INDEX(tbl_IngrédientsRef[Unité], MATCH(A54, tbl_IngrédientsRef[Cde_Ingrdt],0))</f>
        <v>g</v>
      </c>
      <c r="D54" s="21">
        <f>IFERROR(INDEX(tbl_IngrédientsRef[[#This Row],[PU_effectif_g/ml]], MATCH(tbl_Stock[[#This Row],[Cde_Ingrdt]], tbl_IngrédientsRef[[#This Row],[Cde_Ingrdt]], 0)), 0)</f>
        <v>0.08</v>
      </c>
      <c r="E54">
        <v>1500</v>
      </c>
      <c r="F54" s="57">
        <f>tbl_Stock[[#This Row],[Stock Départ]] * INDEX(tbl_IngrédientsRef[Prix/Uni Base], MATCH(tbl_Stock[[#This Row],[Cde_Ingrdt]], tbl_IngrédientsRef[Cde_Ingrdt], 0))</f>
        <v>120</v>
      </c>
      <c r="G54">
        <f>SUMIF(tbl_Achats[Cde_Ingrdt],tbl_Stock[[#This Row],[Cde_Ingrdt]],tbl_Achats[Qté d''Achat])</f>
        <v>0</v>
      </c>
      <c r="H54" s="21">
        <f t="array" ref="H54">SUMPRODUCT((tbl_Achats[Cde_Ingrdt]=tbl_Stock[[#This Row],[Cde_Ingrdt]]) * tbl_Achats[Qté d''Achat] * tbl_Achats[Prix Achat Unitaire])</f>
        <v>0</v>
      </c>
      <c r="I54">
        <v>250</v>
      </c>
      <c r="J54" s="21">
        <f ca="1">tbl_Stock[[#This Row],[Stock Courant]] * tbl_Stock[[#This Row],[CMP effectif]]</f>
        <v>120</v>
      </c>
      <c r="K54">
        <f ca="1">tbl_Stock[[#This Row],[Stock Départ]] + SUMIF(tbl_Achats[Cde_Ingrdt],tbl_Stock[[#This Row],[Cde_Ingrdt]],tbl_Achats[[#This Row],[Qté d''Achat]])</f>
        <v>1500</v>
      </c>
      <c r="L54" s="7">
        <f ca="1">IFERROR((tbl_Stock[[#This Row],[Valeur stock initiale]] + tbl_Stock[[#This Row],[ Valeur Achat]]) / tbl_Stock[[#This Row],[Quantité totale]], 0)</f>
        <v>0.08</v>
      </c>
      <c r="M54" s="7">
        <f>SUMIF(tbl_Sorties[[Code ingrédient ]], tbl_Stock[[#This Row],[Cde_Ingrdt]], tbl_Sorties[Qté Sortie])</f>
        <v>0</v>
      </c>
      <c r="N54" s="57">
        <f>tbl_Stock[[#This Row],[Stock Départ]] + tbl_Stock[[#This Row],[Achats Cumulées]] - tbl_Stock[[#This Row],[ Sortie cumulée]]</f>
        <v>1500</v>
      </c>
      <c r="O54">
        <v>100</v>
      </c>
      <c r="P54" t="str">
        <f>IF(tbl_Stock[[#This Row],[Stock Courant]] &lt; tbl_Stock[[#This Row],[Seuil critique]], "⚠️ Alerte", "OK")</f>
        <v>OK</v>
      </c>
    </row>
    <row r="55" spans="1:16" x14ac:dyDescent="0.25">
      <c r="A55" t="str">
        <f>IFERROR(VLOOKUP(B55,Référentiels!$M$2:$N$267,2,FALSE),"Ingrédient non trouvé")</f>
        <v>AGN002</v>
      </c>
      <c r="B55" t="str">
        <f>+tbl_IngrédientsRef[[#This Row],[Ingrédient]]</f>
        <v>Vande D'Agneau (Tagine)</v>
      </c>
      <c r="C55" t="str">
        <f>INDEX(tbl_IngrédientsRef[Unité], MATCH(A55, tbl_IngrédientsRef[Cde_Ingrdt],0))</f>
        <v>g</v>
      </c>
      <c r="D55" s="21">
        <f>IFERROR(INDEX(tbl_IngrédientsRef[[#This Row],[PU_effectif_g/ml]], MATCH(tbl_Stock[[#This Row],[Cde_Ingrdt]], tbl_IngrédientsRef[[#This Row],[Cde_Ingrdt]], 0)), 0)</f>
        <v>7.0000000000000007E-2</v>
      </c>
      <c r="E55">
        <v>1500</v>
      </c>
      <c r="F55" s="57">
        <f>tbl_Stock[[#This Row],[Stock Départ]] * INDEX(tbl_IngrédientsRef[Prix/Uni Base], MATCH(tbl_Stock[[#This Row],[Cde_Ingrdt]], tbl_IngrédientsRef[Cde_Ingrdt], 0))</f>
        <v>105.00000000000001</v>
      </c>
      <c r="G55">
        <f>SUMIF(tbl_Achats[Cde_Ingrdt],tbl_Stock[[#This Row],[Cde_Ingrdt]],tbl_Achats[Qté d''Achat])</f>
        <v>0</v>
      </c>
      <c r="H55" s="21">
        <f t="array" ref="H55">SUMPRODUCT((tbl_Achats[Cde_Ingrdt]=tbl_Stock[[#This Row],[Cde_Ingrdt]]) * tbl_Achats[Qté d''Achat] * tbl_Achats[Prix Achat Unitaire])</f>
        <v>0</v>
      </c>
      <c r="I55">
        <v>230</v>
      </c>
      <c r="J55" s="21">
        <f ca="1">tbl_Stock[[#This Row],[Stock Courant]] * tbl_Stock[[#This Row],[CMP effectif]]</f>
        <v>105.00000000000001</v>
      </c>
      <c r="K55">
        <f ca="1">tbl_Stock[[#This Row],[Stock Départ]] + SUMIF(tbl_Achats[Cde_Ingrdt],tbl_Stock[[#This Row],[Cde_Ingrdt]],tbl_Achats[[#This Row],[Qté d''Achat]])</f>
        <v>1500</v>
      </c>
      <c r="L55" s="7">
        <f ca="1">IFERROR((tbl_Stock[[#This Row],[Valeur stock initiale]] + tbl_Stock[[#This Row],[ Valeur Achat]]) / tbl_Stock[[#This Row],[Quantité totale]], 0)</f>
        <v>7.0000000000000007E-2</v>
      </c>
      <c r="M55" s="7">
        <f>SUMIF(tbl_Sorties[[Code ingrédient ]], tbl_Stock[[#This Row],[Cde_Ingrdt]], tbl_Sorties[Qté Sortie])</f>
        <v>0</v>
      </c>
      <c r="N55" s="57">
        <f>tbl_Stock[[#This Row],[Stock Départ]] + tbl_Stock[[#This Row],[Achats Cumulées]] - tbl_Stock[[#This Row],[ Sortie cumulée]]</f>
        <v>1500</v>
      </c>
      <c r="O55">
        <v>100</v>
      </c>
      <c r="P55" t="str">
        <f>IF(tbl_Stock[[#This Row],[Stock Courant]] &lt; tbl_Stock[[#This Row],[Seuil critique]], "⚠️ Alerte", "OK")</f>
        <v>OK</v>
      </c>
    </row>
    <row r="56" spans="1:16" x14ac:dyDescent="0.25">
      <c r="A56" t="str">
        <f>IFERROR(VLOOKUP(B56,Référentiels!$M$2:$N$267,2,FALSE),"Ingrédient non trouvé")</f>
        <v>AGN003</v>
      </c>
      <c r="B56" t="str">
        <f>+tbl_IngrédientsRef[[#This Row],[Ingrédient]]</f>
        <v>Saucisse De Foie Agneau</v>
      </c>
      <c r="C56" t="str">
        <f>INDEX(tbl_IngrédientsRef[Unité], MATCH(A56, tbl_IngrédientsRef[Cde_Ingrdt],0))</f>
        <v>g</v>
      </c>
      <c r="D56" s="21">
        <f>IFERROR(INDEX(tbl_IngrédientsRef[[#This Row],[PU_effectif_g/ml]], MATCH(tbl_Stock[[#This Row],[Cde_Ingrdt]], tbl_IngrédientsRef[[#This Row],[Cde_Ingrdt]], 0)), 0)</f>
        <v>0.12</v>
      </c>
      <c r="E56">
        <v>1500</v>
      </c>
      <c r="F56" s="57">
        <f>tbl_Stock[[#This Row],[Stock Départ]] * INDEX(tbl_IngrédientsRef[Prix/Uni Base], MATCH(tbl_Stock[[#This Row],[Cde_Ingrdt]], tbl_IngrédientsRef[Cde_Ingrdt], 0))</f>
        <v>180</v>
      </c>
      <c r="G56">
        <f>SUMIF(tbl_Achats[Cde_Ingrdt],tbl_Stock[[#This Row],[Cde_Ingrdt]],tbl_Achats[Qté d''Achat])</f>
        <v>0</v>
      </c>
      <c r="H56" s="21">
        <f t="array" ref="H56">SUMPRODUCT((tbl_Achats[Cde_Ingrdt]=tbl_Stock[[#This Row],[Cde_Ingrdt]]) * tbl_Achats[Qté d''Achat] * tbl_Achats[Prix Achat Unitaire])</f>
        <v>0</v>
      </c>
      <c r="I56">
        <v>300</v>
      </c>
      <c r="J56" s="21">
        <f ca="1">tbl_Stock[[#This Row],[Stock Courant]] * tbl_Stock[[#This Row],[CMP effectif]]</f>
        <v>180</v>
      </c>
      <c r="K56">
        <f ca="1">tbl_Stock[[#This Row],[Stock Départ]] + SUMIF(tbl_Achats[Cde_Ingrdt],tbl_Stock[[#This Row],[Cde_Ingrdt]],tbl_Achats[[#This Row],[Qté d''Achat]])</f>
        <v>1500</v>
      </c>
      <c r="L56" s="7">
        <f ca="1">IFERROR((tbl_Stock[[#This Row],[Valeur stock initiale]] + tbl_Stock[[#This Row],[ Valeur Achat]]) / tbl_Stock[[#This Row],[Quantité totale]], 0)</f>
        <v>0.12</v>
      </c>
      <c r="M56" s="7">
        <f>SUMIF(tbl_Sorties[[Code ingrédient ]], tbl_Stock[[#This Row],[Cde_Ingrdt]], tbl_Sorties[Qté Sortie])</f>
        <v>0</v>
      </c>
      <c r="N56" s="57">
        <f>tbl_Stock[[#This Row],[Stock Départ]] + tbl_Stock[[#This Row],[Achats Cumulées]] - tbl_Stock[[#This Row],[ Sortie cumulée]]</f>
        <v>1500</v>
      </c>
      <c r="O56">
        <v>100</v>
      </c>
      <c r="P56" t="str">
        <f>IF(tbl_Stock[[#This Row],[Stock Courant]] &lt; tbl_Stock[[#This Row],[Seuil critique]], "⚠️ Alerte", "OK")</f>
        <v>OK</v>
      </c>
    </row>
    <row r="57" spans="1:16" x14ac:dyDescent="0.25">
      <c r="A57" t="str">
        <f>IFERROR(VLOOKUP(B57,Référentiels!$M$2:$N$267,2,FALSE),"Ingrédient non trouvé")</f>
        <v>AGN004</v>
      </c>
      <c r="B57" t="str">
        <f>+tbl_IngrédientsRef[[#This Row],[Ingrédient]]</f>
        <v>Côtelettes D'Agneau</v>
      </c>
      <c r="C57" t="str">
        <f>INDEX(tbl_IngrédientsRef[Unité], MATCH(A57, tbl_IngrédientsRef[Cde_Ingrdt],0))</f>
        <v>g</v>
      </c>
      <c r="D57" s="21">
        <f>IFERROR(INDEX(tbl_IngrédientsRef[[#This Row],[PU_effectif_g/ml]], MATCH(tbl_Stock[[#This Row],[Cde_Ingrdt]], tbl_IngrédientsRef[[#This Row],[Cde_Ingrdt]], 0)), 0)</f>
        <v>0.1</v>
      </c>
      <c r="E57">
        <v>1500</v>
      </c>
      <c r="F57" s="57">
        <f>tbl_Stock[[#This Row],[Stock Départ]] * INDEX(tbl_IngrédientsRef[Prix/Uni Base], MATCH(tbl_Stock[[#This Row],[Cde_Ingrdt]], tbl_IngrédientsRef[Cde_Ingrdt], 0))</f>
        <v>150</v>
      </c>
      <c r="G57">
        <f>SUMIF(tbl_Achats[Cde_Ingrdt],tbl_Stock[[#This Row],[Cde_Ingrdt]],tbl_Achats[Qté d''Achat])</f>
        <v>0</v>
      </c>
      <c r="H57" s="21">
        <f t="array" ref="H57">SUMPRODUCT((tbl_Achats[Cde_Ingrdt]=tbl_Stock[[#This Row],[Cde_Ingrdt]]) * tbl_Achats[Qté d''Achat] * tbl_Achats[Prix Achat Unitaire])</f>
        <v>0</v>
      </c>
      <c r="I57">
        <v>340</v>
      </c>
      <c r="J57" s="21">
        <f ca="1">tbl_Stock[[#This Row],[Stock Courant]] * tbl_Stock[[#This Row],[CMP effectif]]</f>
        <v>144.5</v>
      </c>
      <c r="K57">
        <f ca="1">tbl_Stock[[#This Row],[Stock Départ]] + SUMIF(tbl_Achats[Cde_Ingrdt],tbl_Stock[[#This Row],[Cde_Ingrdt]],tbl_Achats[[#This Row],[Qté d''Achat]])</f>
        <v>1500</v>
      </c>
      <c r="L57" s="7">
        <f ca="1">IFERROR((tbl_Stock[[#This Row],[Valeur stock initiale]] + tbl_Stock[[#This Row],[ Valeur Achat]]) / tbl_Stock[[#This Row],[Quantité totale]], 0)</f>
        <v>0.1</v>
      </c>
      <c r="M57" s="7">
        <f>SUMIF(tbl_Sorties[[Code ingrédient ]], tbl_Stock[[#This Row],[Cde_Ingrdt]], tbl_Sorties[Qté Sortie])</f>
        <v>55</v>
      </c>
      <c r="N57" s="57">
        <f>tbl_Stock[[#This Row],[Stock Départ]] + tbl_Stock[[#This Row],[Achats Cumulées]] - tbl_Stock[[#This Row],[ Sortie cumulée]]</f>
        <v>1445</v>
      </c>
      <c r="O57">
        <v>100</v>
      </c>
      <c r="P57" t="str">
        <f>IF(tbl_Stock[[#This Row],[Stock Courant]] &lt; tbl_Stock[[#This Row],[Seuil critique]], "⚠️ Alerte", "OK")</f>
        <v>OK</v>
      </c>
    </row>
    <row r="58" spans="1:16" x14ac:dyDescent="0.25">
      <c r="A58" t="str">
        <f>IFERROR(VLOOKUP(B58,Référentiels!$M$2:$N$267,2,FALSE),"Ingrédient non trouvé")</f>
        <v>AGN005</v>
      </c>
      <c r="B58" t="str">
        <f>+tbl_IngrédientsRef[[#This Row],[Ingrédient]]</f>
        <v>Souris D'Agneau</v>
      </c>
      <c r="C58" t="str">
        <f>INDEX(tbl_IngrédientsRef[Unité], MATCH(A58, tbl_IngrédientsRef[Cde_Ingrdt],0))</f>
        <v>g</v>
      </c>
      <c r="D58" s="21">
        <f>IFERROR(INDEX(tbl_IngrédientsRef[[#This Row],[PU_effectif_g/ml]], MATCH(tbl_Stock[[#This Row],[Cde_Ingrdt]], tbl_IngrédientsRef[[#This Row],[Cde_Ingrdt]], 0)), 0)</f>
        <v>0.09</v>
      </c>
      <c r="E58">
        <v>1500</v>
      </c>
      <c r="F58" s="57">
        <f>tbl_Stock[[#This Row],[Stock Départ]] * INDEX(tbl_IngrédientsRef[Prix/Uni Base], MATCH(tbl_Stock[[#This Row],[Cde_Ingrdt]], tbl_IngrédientsRef[Cde_Ingrdt], 0))</f>
        <v>135</v>
      </c>
      <c r="G58">
        <f>SUMIF(tbl_Achats[Cde_Ingrdt],tbl_Stock[[#This Row],[Cde_Ingrdt]],tbl_Achats[Qté d''Achat])</f>
        <v>0</v>
      </c>
      <c r="H58" s="21">
        <f t="array" ref="H58">SUMPRODUCT((tbl_Achats[Cde_Ingrdt]=tbl_Stock[[#This Row],[Cde_Ingrdt]]) * tbl_Achats[Qté d''Achat] * tbl_Achats[Prix Achat Unitaire])</f>
        <v>0</v>
      </c>
      <c r="I58">
        <v>250</v>
      </c>
      <c r="J58" s="21">
        <f ca="1">tbl_Stock[[#This Row],[Stock Courant]] * tbl_Stock[[#This Row],[CMP effectif]]</f>
        <v>135</v>
      </c>
      <c r="K58">
        <f ca="1">tbl_Stock[[#This Row],[Stock Départ]] + SUMIF(tbl_Achats[Cde_Ingrdt],tbl_Stock[[#This Row],[Cde_Ingrdt]],tbl_Achats[[#This Row],[Qté d''Achat]])</f>
        <v>1500</v>
      </c>
      <c r="L58" s="7">
        <f ca="1">IFERROR((tbl_Stock[[#This Row],[Valeur stock initiale]] + tbl_Stock[[#This Row],[ Valeur Achat]]) / tbl_Stock[[#This Row],[Quantité totale]], 0)</f>
        <v>0.09</v>
      </c>
      <c r="M58" s="7">
        <f>SUMIF(tbl_Sorties[[Code ingrédient ]], tbl_Stock[[#This Row],[Cde_Ingrdt]], tbl_Sorties[Qté Sortie])</f>
        <v>0</v>
      </c>
      <c r="N58" s="57">
        <f>tbl_Stock[[#This Row],[Stock Départ]] + tbl_Stock[[#This Row],[Achats Cumulées]] - tbl_Stock[[#This Row],[ Sortie cumulée]]</f>
        <v>1500</v>
      </c>
      <c r="O58">
        <v>100</v>
      </c>
      <c r="P58" t="str">
        <f>IF(tbl_Stock[[#This Row],[Stock Courant]] &lt; tbl_Stock[[#This Row],[Seuil critique]], "⚠️ Alerte", "OK")</f>
        <v>OK</v>
      </c>
    </row>
    <row r="59" spans="1:16" x14ac:dyDescent="0.25">
      <c r="A59" t="str">
        <f>IFERROR(VLOOKUP(B59,Référentiels!$M$2:$N$267,2,FALSE),"Ingrédient non trouvé")</f>
        <v>AGN006</v>
      </c>
      <c r="B59" t="str">
        <f>+tbl_IngrédientsRef[[#This Row],[Ingrédient]]</f>
        <v>Foie D'Agneau</v>
      </c>
      <c r="C59" t="str">
        <f>INDEX(tbl_IngrédientsRef[Unité], MATCH(A59, tbl_IngrédientsRef[Cde_Ingrdt],0))</f>
        <v>g</v>
      </c>
      <c r="D59" s="21">
        <f>IFERROR(INDEX(tbl_IngrédientsRef[[#This Row],[PU_effectif_g/ml]], MATCH(tbl_Stock[[#This Row],[Cde_Ingrdt]], tbl_IngrédientsRef[[#This Row],[Cde_Ingrdt]], 0)), 0)</f>
        <v>0.09</v>
      </c>
      <c r="E59">
        <v>1500</v>
      </c>
      <c r="F59" s="57">
        <f>tbl_Stock[[#This Row],[Stock Départ]] * INDEX(tbl_IngrédientsRef[Prix/Uni Base], MATCH(tbl_Stock[[#This Row],[Cde_Ingrdt]], tbl_IngrédientsRef[Cde_Ingrdt], 0))</f>
        <v>135</v>
      </c>
      <c r="G59">
        <f>SUMIF(tbl_Achats[Cde_Ingrdt],tbl_Stock[[#This Row],[Cde_Ingrdt]],tbl_Achats[Qté d''Achat])</f>
        <v>0</v>
      </c>
      <c r="H59" s="21">
        <f t="array" ref="H59">SUMPRODUCT((tbl_Achats[Cde_Ingrdt]=tbl_Stock[[#This Row],[Cde_Ingrdt]]) * tbl_Achats[Qté d''Achat] * tbl_Achats[Prix Achat Unitaire])</f>
        <v>0</v>
      </c>
      <c r="I59">
        <v>230</v>
      </c>
      <c r="J59" s="21">
        <f ca="1">tbl_Stock[[#This Row],[Stock Courant]] * tbl_Stock[[#This Row],[CMP effectif]]</f>
        <v>135</v>
      </c>
      <c r="K59">
        <f ca="1">tbl_Stock[[#This Row],[Stock Départ]] + SUMIF(tbl_Achats[Cde_Ingrdt],tbl_Stock[[#This Row],[Cde_Ingrdt]],tbl_Achats[[#This Row],[Qté d''Achat]])</f>
        <v>1500</v>
      </c>
      <c r="L59" s="7">
        <f ca="1">IFERROR((tbl_Stock[[#This Row],[Valeur stock initiale]] + tbl_Stock[[#This Row],[ Valeur Achat]]) / tbl_Stock[[#This Row],[Quantité totale]], 0)</f>
        <v>0.09</v>
      </c>
      <c r="M59" s="7">
        <f>SUMIF(tbl_Sorties[[Code ingrédient ]], tbl_Stock[[#This Row],[Cde_Ingrdt]], tbl_Sorties[Qté Sortie])</f>
        <v>0</v>
      </c>
      <c r="N59" s="57">
        <f>tbl_Stock[[#This Row],[Stock Départ]] + tbl_Stock[[#This Row],[Achats Cumulées]] - tbl_Stock[[#This Row],[ Sortie cumulée]]</f>
        <v>1500</v>
      </c>
      <c r="O59">
        <v>100</v>
      </c>
      <c r="P59" t="str">
        <f>IF(tbl_Stock[[#This Row],[Stock Courant]] &lt; tbl_Stock[[#This Row],[Seuil critique]], "⚠️ Alerte", "OK")</f>
        <v>OK</v>
      </c>
    </row>
    <row r="60" spans="1:16" x14ac:dyDescent="0.25">
      <c r="A60" t="str">
        <f>IFERROR(VLOOKUP(B60,Référentiels!$M$2:$N$267,2,FALSE),"Ingrédient non trouvé")</f>
        <v>AGN007</v>
      </c>
      <c r="B60" t="str">
        <f>+tbl_IngrédientsRef[[#This Row],[Ingrédient]]</f>
        <v>Chich Kebab Agneau</v>
      </c>
      <c r="C60" t="str">
        <f>INDEX(tbl_IngrédientsRef[Unité], MATCH(A60, tbl_IngrédientsRef[Cde_Ingrdt],0))</f>
        <v>g</v>
      </c>
      <c r="D60" s="21">
        <f>IFERROR(INDEX(tbl_IngrédientsRef[[#This Row],[PU_effectif_g/ml]], MATCH(tbl_Stock[[#This Row],[Cde_Ingrdt]], tbl_IngrédientsRef[[#This Row],[Cde_Ingrdt]], 0)), 0)</f>
        <v>0.1</v>
      </c>
      <c r="E60">
        <v>1500</v>
      </c>
      <c r="F60" s="57">
        <f>tbl_Stock[[#This Row],[Stock Départ]] * INDEX(tbl_IngrédientsRef[Prix/Uni Base], MATCH(tbl_Stock[[#This Row],[Cde_Ingrdt]], tbl_IngrédientsRef[Cde_Ingrdt], 0))</f>
        <v>150</v>
      </c>
      <c r="G60">
        <f>SUMIF(tbl_Achats[Cde_Ingrdt],tbl_Stock[[#This Row],[Cde_Ingrdt]],tbl_Achats[Qté d''Achat])</f>
        <v>0</v>
      </c>
      <c r="H60" s="21">
        <f t="array" ref="H60">SUMPRODUCT((tbl_Achats[Cde_Ingrdt]=tbl_Stock[[#This Row],[Cde_Ingrdt]]) * tbl_Achats[Qté d''Achat] * tbl_Achats[Prix Achat Unitaire])</f>
        <v>0</v>
      </c>
      <c r="I60">
        <v>300</v>
      </c>
      <c r="J60" s="21">
        <f ca="1">tbl_Stock[[#This Row],[Stock Courant]] * tbl_Stock[[#This Row],[CMP effectif]]</f>
        <v>150</v>
      </c>
      <c r="K60">
        <f ca="1">tbl_Stock[[#This Row],[Stock Départ]] + SUMIF(tbl_Achats[Cde_Ingrdt],tbl_Stock[[#This Row],[Cde_Ingrdt]],tbl_Achats[[#This Row],[Qté d''Achat]])</f>
        <v>1500</v>
      </c>
      <c r="L60" s="7">
        <f ca="1">IFERROR((tbl_Stock[[#This Row],[Valeur stock initiale]] + tbl_Stock[[#This Row],[ Valeur Achat]]) / tbl_Stock[[#This Row],[Quantité totale]], 0)</f>
        <v>0.1</v>
      </c>
      <c r="M60" s="7">
        <f>SUMIF(tbl_Sorties[[Code ingrédient ]], tbl_Stock[[#This Row],[Cde_Ingrdt]], tbl_Sorties[Qté Sortie])</f>
        <v>0</v>
      </c>
      <c r="N60" s="57">
        <f>tbl_Stock[[#This Row],[Stock Départ]] + tbl_Stock[[#This Row],[Achats Cumulées]] - tbl_Stock[[#This Row],[ Sortie cumulée]]</f>
        <v>1500</v>
      </c>
      <c r="O60">
        <v>100</v>
      </c>
      <c r="P60" t="str">
        <f>IF(tbl_Stock[[#This Row],[Stock Courant]] &lt; tbl_Stock[[#This Row],[Seuil critique]], "⚠️ Alerte", "OK")</f>
        <v>OK</v>
      </c>
    </row>
    <row r="61" spans="1:16" x14ac:dyDescent="0.25">
      <c r="A61" t="str">
        <f>IFERROR(VLOOKUP(B61,Référentiels!$M$2:$N$267,2,FALSE),"Ingrédient non trouvé")</f>
        <v>AGN008</v>
      </c>
      <c r="B61" t="str">
        <f>+tbl_IngrédientsRef[[#This Row],[Ingrédient]]</f>
        <v>Kebab D'Agneau</v>
      </c>
      <c r="C61" t="str">
        <f>INDEX(tbl_IngrédientsRef[Unité], MATCH(A61, tbl_IngrédientsRef[Cde_Ingrdt],0))</f>
        <v>g</v>
      </c>
      <c r="D61" s="21">
        <f>IFERROR(INDEX(tbl_IngrédientsRef[[#This Row],[PU_effectif_g/ml]], MATCH(tbl_Stock[[#This Row],[Cde_Ingrdt]], tbl_IngrédientsRef[[#This Row],[Cde_Ingrdt]], 0)), 0)</f>
        <v>0.1</v>
      </c>
      <c r="E61">
        <v>1500</v>
      </c>
      <c r="F61" s="57">
        <f>tbl_Stock[[#This Row],[Stock Départ]] * INDEX(tbl_IngrédientsRef[Prix/Uni Base], MATCH(tbl_Stock[[#This Row],[Cde_Ingrdt]], tbl_IngrédientsRef[Cde_Ingrdt], 0))</f>
        <v>150</v>
      </c>
      <c r="G61">
        <f>SUMIF(tbl_Achats[Cde_Ingrdt],tbl_Stock[[#This Row],[Cde_Ingrdt]],tbl_Achats[Qté d''Achat])</f>
        <v>0</v>
      </c>
      <c r="H61" s="21">
        <f t="array" ref="H61">SUMPRODUCT((tbl_Achats[Cde_Ingrdt]=tbl_Stock[[#This Row],[Cde_Ingrdt]]) * tbl_Achats[Qté d''Achat] * tbl_Achats[Prix Achat Unitaire])</f>
        <v>0</v>
      </c>
      <c r="I61">
        <v>340</v>
      </c>
      <c r="J61" s="21">
        <f ca="1">tbl_Stock[[#This Row],[Stock Courant]] * tbl_Stock[[#This Row],[CMP effectif]]</f>
        <v>150</v>
      </c>
      <c r="K61">
        <f ca="1">tbl_Stock[[#This Row],[Stock Départ]] + SUMIF(tbl_Achats[Cde_Ingrdt],tbl_Stock[[#This Row],[Cde_Ingrdt]],tbl_Achats[[#This Row],[Qté d''Achat]])</f>
        <v>1500</v>
      </c>
      <c r="L61" s="7">
        <f ca="1">IFERROR((tbl_Stock[[#This Row],[Valeur stock initiale]] + tbl_Stock[[#This Row],[ Valeur Achat]]) / tbl_Stock[[#This Row],[Quantité totale]], 0)</f>
        <v>0.1</v>
      </c>
      <c r="M61" s="7">
        <f>SUMIF(tbl_Sorties[[Code ingrédient ]], tbl_Stock[[#This Row],[Cde_Ingrdt]], tbl_Sorties[Qté Sortie])</f>
        <v>0</v>
      </c>
      <c r="N61" s="57">
        <f>tbl_Stock[[#This Row],[Stock Départ]] + tbl_Stock[[#This Row],[Achats Cumulées]] - tbl_Stock[[#This Row],[ Sortie cumulée]]</f>
        <v>1500</v>
      </c>
      <c r="O61">
        <v>100</v>
      </c>
      <c r="P61" t="str">
        <f>IF(tbl_Stock[[#This Row],[Stock Courant]] &lt; tbl_Stock[[#This Row],[Seuil critique]], "⚠️ Alerte", "OK")</f>
        <v>OK</v>
      </c>
    </row>
    <row r="62" spans="1:16" x14ac:dyDescent="0.25">
      <c r="A62" t="str">
        <f>IFERROR(VLOOKUP(B62,Référentiels!$M$2:$N$267,2,FALSE),"Ingrédient non trouvé")</f>
        <v>AGN009</v>
      </c>
      <c r="B62" t="str">
        <f>+tbl_IngrédientsRef[[#This Row],[Ingrédient]]</f>
        <v>Cervelle D'Agneau</v>
      </c>
      <c r="C62" t="str">
        <f>INDEX(tbl_IngrédientsRef[Unité], MATCH(A62, tbl_IngrédientsRef[Cde_Ingrdt],0))</f>
        <v>g</v>
      </c>
      <c r="D62" s="21">
        <f>IFERROR(INDEX(tbl_IngrédientsRef[[#This Row],[PU_effectif_g/ml]], MATCH(tbl_Stock[[#This Row],[Cde_Ingrdt]], tbl_IngrédientsRef[[#This Row],[Cde_Ingrdt]], 0)), 0)</f>
        <v>0.1</v>
      </c>
      <c r="E62">
        <v>1500</v>
      </c>
      <c r="F62" s="57">
        <f>tbl_Stock[[#This Row],[Stock Départ]] * INDEX(tbl_IngrédientsRef[Prix/Uni Base], MATCH(tbl_Stock[[#This Row],[Cde_Ingrdt]], tbl_IngrédientsRef[Cde_Ingrdt], 0))</f>
        <v>150</v>
      </c>
      <c r="G62">
        <f>SUMIF(tbl_Achats[Cde_Ingrdt],tbl_Stock[[#This Row],[Cde_Ingrdt]],tbl_Achats[Qté d''Achat])</f>
        <v>0</v>
      </c>
      <c r="H62" s="21">
        <f t="array" ref="H62">SUMPRODUCT((tbl_Achats[Cde_Ingrdt]=tbl_Stock[[#This Row],[Cde_Ingrdt]]) * tbl_Achats[Qté d''Achat] * tbl_Achats[Prix Achat Unitaire])</f>
        <v>0</v>
      </c>
      <c r="I62">
        <v>250</v>
      </c>
      <c r="J62" s="21">
        <f ca="1">tbl_Stock[[#This Row],[Stock Courant]] * tbl_Stock[[#This Row],[CMP effectif]]</f>
        <v>150</v>
      </c>
      <c r="K62">
        <f ca="1">tbl_Stock[[#This Row],[Stock Départ]] + SUMIF(tbl_Achats[Cde_Ingrdt],tbl_Stock[[#This Row],[Cde_Ingrdt]],tbl_Achats[[#This Row],[Qté d''Achat]])</f>
        <v>1500</v>
      </c>
      <c r="L62" s="7">
        <f ca="1">IFERROR((tbl_Stock[[#This Row],[Valeur stock initiale]] + tbl_Stock[[#This Row],[ Valeur Achat]]) / tbl_Stock[[#This Row],[Quantité totale]], 0)</f>
        <v>0.1</v>
      </c>
      <c r="M62" s="7">
        <f>SUMIF(tbl_Sorties[[Code ingrédient ]], tbl_Stock[[#This Row],[Cde_Ingrdt]], tbl_Sorties[Qté Sortie])</f>
        <v>0</v>
      </c>
      <c r="N62" s="57">
        <f>tbl_Stock[[#This Row],[Stock Départ]] + tbl_Stock[[#This Row],[Achats Cumulées]] - tbl_Stock[[#This Row],[ Sortie cumulée]]</f>
        <v>1500</v>
      </c>
      <c r="O62">
        <v>100</v>
      </c>
      <c r="P62" t="str">
        <f>IF(tbl_Stock[[#This Row],[Stock Courant]] &lt; tbl_Stock[[#This Row],[Seuil critique]], "⚠️ Alerte", "OK")</f>
        <v>OK</v>
      </c>
    </row>
    <row r="63" spans="1:16" x14ac:dyDescent="0.25">
      <c r="A63" t="str">
        <f>IFERROR(VLOOKUP(B63,Référentiels!$M$2:$N$267,2,FALSE),"Ingrédient non trouvé")</f>
        <v>AGN010</v>
      </c>
      <c r="B63" t="str">
        <f>+tbl_IngrédientsRef[[#This Row],[Ingrédient]]</f>
        <v>Merguez D'Agneau Piquant</v>
      </c>
      <c r="C63" t="str">
        <f>INDEX(tbl_IngrédientsRef[Unité], MATCH(A63, tbl_IngrédientsRef[Cde_Ingrdt],0))</f>
        <v>g</v>
      </c>
      <c r="D63" s="21">
        <f>IFERROR(INDEX(tbl_IngrédientsRef[[#This Row],[PU_effectif_g/ml]], MATCH(tbl_Stock[[#This Row],[Cde_Ingrdt]], tbl_IngrédientsRef[[#This Row],[Cde_Ingrdt]], 0)), 0)</f>
        <v>0.1</v>
      </c>
      <c r="E63">
        <v>1500</v>
      </c>
      <c r="F63" s="57">
        <f>tbl_Stock[[#This Row],[Stock Départ]] * INDEX(tbl_IngrédientsRef[Prix/Uni Base], MATCH(tbl_Stock[[#This Row],[Cde_Ingrdt]], tbl_IngrédientsRef[Cde_Ingrdt], 0))</f>
        <v>150</v>
      </c>
      <c r="G63">
        <f>SUMIF(tbl_Achats[Cde_Ingrdt],tbl_Stock[[#This Row],[Cde_Ingrdt]],tbl_Achats[Qté d''Achat])</f>
        <v>0</v>
      </c>
      <c r="H63" s="21">
        <f t="array" ref="H63">SUMPRODUCT((tbl_Achats[Cde_Ingrdt]=tbl_Stock[[#This Row],[Cde_Ingrdt]]) * tbl_Achats[Qté d''Achat] * tbl_Achats[Prix Achat Unitaire])</f>
        <v>0</v>
      </c>
      <c r="I63">
        <v>230</v>
      </c>
      <c r="J63" s="21">
        <f ca="1">tbl_Stock[[#This Row],[Stock Courant]] * tbl_Stock[[#This Row],[CMP effectif]]</f>
        <v>150</v>
      </c>
      <c r="K63">
        <f ca="1">tbl_Stock[[#This Row],[Stock Départ]] + SUMIF(tbl_Achats[Cde_Ingrdt],tbl_Stock[[#This Row],[Cde_Ingrdt]],tbl_Achats[[#This Row],[Qté d''Achat]])</f>
        <v>1500</v>
      </c>
      <c r="L63" s="7">
        <f ca="1">IFERROR((tbl_Stock[[#This Row],[Valeur stock initiale]] + tbl_Stock[[#This Row],[ Valeur Achat]]) / tbl_Stock[[#This Row],[Quantité totale]], 0)</f>
        <v>0.1</v>
      </c>
      <c r="M63" s="7">
        <f>SUMIF(tbl_Sorties[[Code ingrédient ]], tbl_Stock[[#This Row],[Cde_Ingrdt]], tbl_Sorties[Qté Sortie])</f>
        <v>0</v>
      </c>
      <c r="N63" s="57">
        <f>tbl_Stock[[#This Row],[Stock Départ]] + tbl_Stock[[#This Row],[Achats Cumulées]] - tbl_Stock[[#This Row],[ Sortie cumulée]]</f>
        <v>1500</v>
      </c>
      <c r="O63">
        <v>100</v>
      </c>
      <c r="P63" t="str">
        <f>IF(tbl_Stock[[#This Row],[Stock Courant]] &lt; tbl_Stock[[#This Row],[Seuil critique]], "⚠️ Alerte", "OK")</f>
        <v>OK</v>
      </c>
    </row>
    <row r="64" spans="1:16" x14ac:dyDescent="0.25">
      <c r="A64" t="str">
        <f>IFERROR(VLOOKUP(B64,Référentiels!$M$2:$N$267,2,FALSE),"Ingrédient non trouvé")</f>
        <v>AGN011</v>
      </c>
      <c r="B64" t="str">
        <f>+tbl_IngrédientsRef[[#This Row],[Ingrédient]]</f>
        <v>Merguez D'Agneau Nature</v>
      </c>
      <c r="C64" t="str">
        <f>INDEX(tbl_IngrédientsRef[Unité], MATCH(A64, tbl_IngrédientsRef[Cde_Ingrdt],0))</f>
        <v>g</v>
      </c>
      <c r="D64" s="21">
        <f>IFERROR(INDEX(tbl_IngrédientsRef[[#This Row],[PU_effectif_g/ml]], MATCH(tbl_Stock[[#This Row],[Cde_Ingrdt]], tbl_IngrédientsRef[[#This Row],[Cde_Ingrdt]], 0)), 0)</f>
        <v>0.1</v>
      </c>
      <c r="E64">
        <v>1500</v>
      </c>
      <c r="F64" s="57">
        <f>tbl_Stock[[#This Row],[Stock Départ]] * INDEX(tbl_IngrédientsRef[Prix/Uni Base], MATCH(tbl_Stock[[#This Row],[Cde_Ingrdt]], tbl_IngrédientsRef[Cde_Ingrdt], 0))</f>
        <v>150</v>
      </c>
      <c r="G64">
        <f>SUMIF(tbl_Achats[Cde_Ingrdt],tbl_Stock[[#This Row],[Cde_Ingrdt]],tbl_Achats[Qté d''Achat])</f>
        <v>0</v>
      </c>
      <c r="H64" s="21">
        <f t="array" ref="H64">SUMPRODUCT((tbl_Achats[Cde_Ingrdt]=tbl_Stock[[#This Row],[Cde_Ingrdt]]) * tbl_Achats[Qté d''Achat] * tbl_Achats[Prix Achat Unitaire])</f>
        <v>0</v>
      </c>
      <c r="I64">
        <v>300</v>
      </c>
      <c r="J64" s="21">
        <f ca="1">tbl_Stock[[#This Row],[Stock Courant]] * tbl_Stock[[#This Row],[CMP effectif]]</f>
        <v>150</v>
      </c>
      <c r="K64">
        <f ca="1">tbl_Stock[[#This Row],[Stock Départ]] + SUMIF(tbl_Achats[Cde_Ingrdt],tbl_Stock[[#This Row],[Cde_Ingrdt]],tbl_Achats[[#This Row],[Qté d''Achat]])</f>
        <v>1500</v>
      </c>
      <c r="L64" s="7">
        <f ca="1">IFERROR((tbl_Stock[[#This Row],[Valeur stock initiale]] + tbl_Stock[[#This Row],[ Valeur Achat]]) / tbl_Stock[[#This Row],[Quantité totale]], 0)</f>
        <v>0.1</v>
      </c>
      <c r="M64" s="7">
        <f>SUMIF(tbl_Sorties[[Code ingrédient ]], tbl_Stock[[#This Row],[Cde_Ingrdt]], tbl_Sorties[Qté Sortie])</f>
        <v>0</v>
      </c>
      <c r="N64" s="57">
        <f>tbl_Stock[[#This Row],[Stock Départ]] + tbl_Stock[[#This Row],[Achats Cumulées]] - tbl_Stock[[#This Row],[ Sortie cumulée]]</f>
        <v>1500</v>
      </c>
      <c r="O64">
        <v>100</v>
      </c>
      <c r="P64" t="str">
        <f>IF(tbl_Stock[[#This Row],[Stock Courant]] &lt; tbl_Stock[[#This Row],[Seuil critique]], "⚠️ Alerte", "OK")</f>
        <v>OK</v>
      </c>
    </row>
    <row r="65" spans="1:16" x14ac:dyDescent="0.25">
      <c r="A65" t="str">
        <f>IFERROR(VLOOKUP(B65,Référentiels!$M$2:$N$267,2,FALSE),"Ingrédient non trouvé")</f>
        <v>VEA001</v>
      </c>
      <c r="B65" t="str">
        <f>+tbl_IngrédientsRef[[#This Row],[Ingrédient]]</f>
        <v>Saucisse De Veau</v>
      </c>
      <c r="C65" t="str">
        <f>INDEX(tbl_IngrédientsRef[Unité], MATCH(A65, tbl_IngrédientsRef[Cde_Ingrdt],0))</f>
        <v>g</v>
      </c>
      <c r="D65" s="21">
        <f>IFERROR(INDEX(tbl_IngrédientsRef[[#This Row],[PU_effectif_g/ml]], MATCH(tbl_Stock[[#This Row],[Cde_Ingrdt]], tbl_IngrédientsRef[[#This Row],[Cde_Ingrdt]], 0)), 0)</f>
        <v>0.1</v>
      </c>
      <c r="E65">
        <v>1500</v>
      </c>
      <c r="F65" s="57">
        <f>tbl_Stock[[#This Row],[Stock Départ]] * INDEX(tbl_IngrédientsRef[Prix/Uni Base], MATCH(tbl_Stock[[#This Row],[Cde_Ingrdt]], tbl_IngrédientsRef[Cde_Ingrdt], 0))</f>
        <v>150</v>
      </c>
      <c r="G65">
        <f>SUMIF(tbl_Achats[Cde_Ingrdt],tbl_Stock[[#This Row],[Cde_Ingrdt]],tbl_Achats[Qté d''Achat])</f>
        <v>0</v>
      </c>
      <c r="H65" s="21">
        <f t="array" ref="H65">SUMPRODUCT((tbl_Achats[Cde_Ingrdt]=tbl_Stock[[#This Row],[Cde_Ingrdt]]) * tbl_Achats[Qté d''Achat] * tbl_Achats[Prix Achat Unitaire])</f>
        <v>0</v>
      </c>
      <c r="I65">
        <v>340</v>
      </c>
      <c r="J65" s="21">
        <f ca="1">tbl_Stock[[#This Row],[Stock Courant]] * tbl_Stock[[#This Row],[CMP effectif]]</f>
        <v>150</v>
      </c>
      <c r="K65">
        <f ca="1">tbl_Stock[[#This Row],[Stock Départ]] + SUMIF(tbl_Achats[Cde_Ingrdt],tbl_Stock[[#This Row],[Cde_Ingrdt]],tbl_Achats[[#This Row],[Qté d''Achat]])</f>
        <v>1500</v>
      </c>
      <c r="L65" s="7">
        <f ca="1">IFERROR((tbl_Stock[[#This Row],[Valeur stock initiale]] + tbl_Stock[[#This Row],[ Valeur Achat]]) / tbl_Stock[[#This Row],[Quantité totale]], 0)</f>
        <v>0.1</v>
      </c>
      <c r="M65" s="7">
        <f>SUMIF(tbl_Sorties[[Code ingrédient ]], tbl_Stock[[#This Row],[Cde_Ingrdt]], tbl_Sorties[Qté Sortie])</f>
        <v>0</v>
      </c>
      <c r="N65" s="57">
        <f>tbl_Stock[[#This Row],[Stock Départ]] + tbl_Stock[[#This Row],[Achats Cumulées]] - tbl_Stock[[#This Row],[ Sortie cumulée]]</f>
        <v>1500</v>
      </c>
      <c r="O65">
        <v>100</v>
      </c>
      <c r="P65" t="str">
        <f>IF(tbl_Stock[[#This Row],[Stock Courant]] &lt; tbl_Stock[[#This Row],[Seuil critique]], "⚠️ Alerte", "OK")</f>
        <v>OK</v>
      </c>
    </row>
    <row r="66" spans="1:16" x14ac:dyDescent="0.25">
      <c r="A66" t="str">
        <f>IFERROR(VLOOKUP(B66,Référentiels!$M$2:$N$267,2,FALSE),"Ingrédient non trouvé")</f>
        <v>VEA002</v>
      </c>
      <c r="B66" t="str">
        <f>+tbl_IngrédientsRef[[#This Row],[Ingrédient]]</f>
        <v>Filet Veau</v>
      </c>
      <c r="C66" t="str">
        <f>INDEX(tbl_IngrédientsRef[Unité], MATCH(A66, tbl_IngrédientsRef[Cde_Ingrdt],0))</f>
        <v>g</v>
      </c>
      <c r="D66" s="21">
        <f>IFERROR(INDEX(tbl_IngrédientsRef[[#This Row],[PU_effectif_g/ml]], MATCH(tbl_Stock[[#This Row],[Cde_Ingrdt]], tbl_IngrédientsRef[[#This Row],[Cde_Ingrdt]], 0)), 0)</f>
        <v>0.45</v>
      </c>
      <c r="E66">
        <v>1500</v>
      </c>
      <c r="F66" s="57">
        <f>tbl_Stock[[#This Row],[Stock Départ]] * INDEX(tbl_IngrédientsRef[Prix/Uni Base], MATCH(tbl_Stock[[#This Row],[Cde_Ingrdt]], tbl_IngrédientsRef[Cde_Ingrdt], 0))</f>
        <v>675</v>
      </c>
      <c r="G66">
        <f>SUMIF(tbl_Achats[Cde_Ingrdt],tbl_Stock[[#This Row],[Cde_Ingrdt]],tbl_Achats[Qté d''Achat])</f>
        <v>0</v>
      </c>
      <c r="H66" s="21">
        <f t="array" ref="H66">SUMPRODUCT((tbl_Achats[Cde_Ingrdt]=tbl_Stock[[#This Row],[Cde_Ingrdt]]) * tbl_Achats[Qté d''Achat] * tbl_Achats[Prix Achat Unitaire])</f>
        <v>0</v>
      </c>
      <c r="I66">
        <v>250</v>
      </c>
      <c r="J66" s="21">
        <f ca="1">tbl_Stock[[#This Row],[Stock Courant]] * tbl_Stock[[#This Row],[CMP effectif]]</f>
        <v>675</v>
      </c>
      <c r="K66">
        <f ca="1">tbl_Stock[[#This Row],[Stock Départ]] + SUMIF(tbl_Achats[Cde_Ingrdt],tbl_Stock[[#This Row],[Cde_Ingrdt]],tbl_Achats[[#This Row],[Qté d''Achat]])</f>
        <v>1500</v>
      </c>
      <c r="L66" s="7">
        <f ca="1">IFERROR((tbl_Stock[[#This Row],[Valeur stock initiale]] + tbl_Stock[[#This Row],[ Valeur Achat]]) / tbl_Stock[[#This Row],[Quantité totale]], 0)</f>
        <v>0.45</v>
      </c>
      <c r="M66" s="7">
        <f>SUMIF(tbl_Sorties[[Code ingrédient ]], tbl_Stock[[#This Row],[Cde_Ingrdt]], tbl_Sorties[Qté Sortie])</f>
        <v>0</v>
      </c>
      <c r="N66" s="57">
        <f>tbl_Stock[[#This Row],[Stock Départ]] + tbl_Stock[[#This Row],[Achats Cumulées]] - tbl_Stock[[#This Row],[ Sortie cumulée]]</f>
        <v>1500</v>
      </c>
      <c r="O66">
        <v>100</v>
      </c>
      <c r="P66" t="str">
        <f>IF(tbl_Stock[[#This Row],[Stock Courant]] &lt; tbl_Stock[[#This Row],[Seuil critique]], "⚠️ Alerte", "OK")</f>
        <v>OK</v>
      </c>
    </row>
    <row r="67" spans="1:16" x14ac:dyDescent="0.25">
      <c r="A67" t="str">
        <f>IFERROR(VLOOKUP(B67,Référentiels!$M$2:$N$267,2,FALSE),"Ingrédient non trouvé")</f>
        <v>VEA003</v>
      </c>
      <c r="B67" t="str">
        <f>+tbl_IngrédientsRef[[#This Row],[Ingrédient]]</f>
        <v>Jarret De Veau</v>
      </c>
      <c r="C67" t="str">
        <f>INDEX(tbl_IngrédientsRef[Unité], MATCH(A67, tbl_IngrédientsRef[Cde_Ingrdt],0))</f>
        <v>g</v>
      </c>
      <c r="D67" s="21">
        <f>IFERROR(INDEX(tbl_IngrédientsRef[[#This Row],[PU_effectif_g/ml]], MATCH(tbl_Stock[[#This Row],[Cde_Ingrdt]], tbl_IngrédientsRef[[#This Row],[Cde_Ingrdt]], 0)), 0)</f>
        <v>0.09</v>
      </c>
      <c r="E67">
        <v>1500</v>
      </c>
      <c r="F67" s="57">
        <f>tbl_Stock[[#This Row],[Stock Départ]] * INDEX(tbl_IngrédientsRef[Prix/Uni Base], MATCH(tbl_Stock[[#This Row],[Cde_Ingrdt]], tbl_IngrédientsRef[Cde_Ingrdt], 0))</f>
        <v>135</v>
      </c>
      <c r="G67">
        <f>SUMIF(tbl_Achats[Cde_Ingrdt],tbl_Stock[[#This Row],[Cde_Ingrdt]],tbl_Achats[Qté d''Achat])</f>
        <v>0</v>
      </c>
      <c r="H67" s="21">
        <f t="array" ref="H67">SUMPRODUCT((tbl_Achats[Cde_Ingrdt]=tbl_Stock[[#This Row],[Cde_Ingrdt]]) * tbl_Achats[Qté d''Achat] * tbl_Achats[Prix Achat Unitaire])</f>
        <v>0</v>
      </c>
      <c r="I67">
        <v>230</v>
      </c>
      <c r="J67" s="21">
        <f ca="1">tbl_Stock[[#This Row],[Stock Courant]] * tbl_Stock[[#This Row],[CMP effectif]]</f>
        <v>135</v>
      </c>
      <c r="K67">
        <f ca="1">tbl_Stock[[#This Row],[Stock Départ]] + SUMIF(tbl_Achats[Cde_Ingrdt],tbl_Stock[[#This Row],[Cde_Ingrdt]],tbl_Achats[[#This Row],[Qté d''Achat]])</f>
        <v>1500</v>
      </c>
      <c r="L67" s="7">
        <f ca="1">IFERROR((tbl_Stock[[#This Row],[Valeur stock initiale]] + tbl_Stock[[#This Row],[ Valeur Achat]]) / tbl_Stock[[#This Row],[Quantité totale]], 0)</f>
        <v>0.09</v>
      </c>
      <c r="M67" s="7">
        <f>SUMIF(tbl_Sorties[[Code ingrédient ]], tbl_Stock[[#This Row],[Cde_Ingrdt]], tbl_Sorties[Qté Sortie])</f>
        <v>0</v>
      </c>
      <c r="N67" s="57">
        <f>tbl_Stock[[#This Row],[Stock Départ]] + tbl_Stock[[#This Row],[Achats Cumulées]] - tbl_Stock[[#This Row],[ Sortie cumulée]]</f>
        <v>1500</v>
      </c>
      <c r="O67">
        <v>100</v>
      </c>
      <c r="P67" t="str">
        <f>IF(tbl_Stock[[#This Row],[Stock Courant]] &lt; tbl_Stock[[#This Row],[Seuil critique]], "⚠️ Alerte", "OK")</f>
        <v>OK</v>
      </c>
    </row>
    <row r="68" spans="1:16" x14ac:dyDescent="0.25">
      <c r="A68" t="str">
        <f>IFERROR(VLOOKUP(B68,Référentiels!$M$2:$N$267,2,FALSE),"Ingrédient non trouvé")</f>
        <v>VEA004</v>
      </c>
      <c r="B68" t="str">
        <f>+tbl_IngrédientsRef[[#This Row],[Ingrédient]]</f>
        <v>Viande De Veau (Tajine)</v>
      </c>
      <c r="C68" t="str">
        <f>INDEX(tbl_IngrédientsRef[Unité], MATCH(A68, tbl_IngrédientsRef[Cde_Ingrdt],0))</f>
        <v>g</v>
      </c>
      <c r="D68" s="21">
        <f>IFERROR(INDEX(tbl_IngrédientsRef[[#This Row],[PU_effectif_g/ml]], MATCH(tbl_Stock[[#This Row],[Cde_Ingrdt]], tbl_IngrédientsRef[[#This Row],[Cde_Ingrdt]], 0)), 0)</f>
        <v>0.08</v>
      </c>
      <c r="E68">
        <v>1500</v>
      </c>
      <c r="F68" s="57">
        <f>tbl_Stock[[#This Row],[Stock Départ]] * INDEX(tbl_IngrédientsRef[Prix/Uni Base], MATCH(tbl_Stock[[#This Row],[Cde_Ingrdt]], tbl_IngrédientsRef[Cde_Ingrdt], 0))</f>
        <v>120</v>
      </c>
      <c r="G68">
        <f>SUMIF(tbl_Achats[Cde_Ingrdt],tbl_Stock[[#This Row],[Cde_Ingrdt]],tbl_Achats[Qté d''Achat])</f>
        <v>0</v>
      </c>
      <c r="H68" s="21">
        <f t="array" ref="H68">SUMPRODUCT((tbl_Achats[Cde_Ingrdt]=tbl_Stock[[#This Row],[Cde_Ingrdt]]) * tbl_Achats[Qté d''Achat] * tbl_Achats[Prix Achat Unitaire])</f>
        <v>0</v>
      </c>
      <c r="I68">
        <v>300</v>
      </c>
      <c r="J68" s="21">
        <f ca="1">tbl_Stock[[#This Row],[Stock Courant]] * tbl_Stock[[#This Row],[CMP effectif]]</f>
        <v>120</v>
      </c>
      <c r="K68">
        <f ca="1">tbl_Stock[[#This Row],[Stock Départ]] + SUMIF(tbl_Achats[Cde_Ingrdt],tbl_Stock[[#This Row],[Cde_Ingrdt]],tbl_Achats[[#This Row],[Qté d''Achat]])</f>
        <v>1500</v>
      </c>
      <c r="L68" s="7">
        <f ca="1">IFERROR((tbl_Stock[[#This Row],[Valeur stock initiale]] + tbl_Stock[[#This Row],[ Valeur Achat]]) / tbl_Stock[[#This Row],[Quantité totale]], 0)</f>
        <v>0.08</v>
      </c>
      <c r="M68" s="7">
        <f>SUMIF(tbl_Sorties[[Code ingrédient ]], tbl_Stock[[#This Row],[Cde_Ingrdt]], tbl_Sorties[Qté Sortie])</f>
        <v>0</v>
      </c>
      <c r="N68" s="57">
        <f>tbl_Stock[[#This Row],[Stock Départ]] + tbl_Stock[[#This Row],[Achats Cumulées]] - tbl_Stock[[#This Row],[ Sortie cumulée]]</f>
        <v>1500</v>
      </c>
      <c r="O68">
        <v>100</v>
      </c>
      <c r="P68" t="str">
        <f>IF(tbl_Stock[[#This Row],[Stock Courant]] &lt; tbl_Stock[[#This Row],[Seuil critique]], "⚠️ Alerte", "OK")</f>
        <v>OK</v>
      </c>
    </row>
    <row r="69" spans="1:16" x14ac:dyDescent="0.25">
      <c r="A69" t="str">
        <f>IFERROR(VLOOKUP(B69,Référentiels!$M$2:$N$267,2,FALSE),"Ingrédient non trouvé")</f>
        <v>VEA005</v>
      </c>
      <c r="B69" t="str">
        <f>+tbl_IngrédientsRef[[#This Row],[Ingrédient]]</f>
        <v>Saucisse De Foie De Veau</v>
      </c>
      <c r="C69" t="str">
        <f>INDEX(tbl_IngrédientsRef[Unité], MATCH(A69, tbl_IngrédientsRef[Cde_Ingrdt],0))</f>
        <v>g</v>
      </c>
      <c r="D69" s="21">
        <f>IFERROR(INDEX(tbl_IngrédientsRef[[#This Row],[PU_effectif_g/ml]], MATCH(tbl_Stock[[#This Row],[Cde_Ingrdt]], tbl_IngrédientsRef[[#This Row],[Cde_Ingrdt]], 0)), 0)</f>
        <v>0.1</v>
      </c>
      <c r="E69">
        <v>1500</v>
      </c>
      <c r="F69" s="57">
        <f>tbl_Stock[[#This Row],[Stock Départ]] * INDEX(tbl_IngrédientsRef[Prix/Uni Base], MATCH(tbl_Stock[[#This Row],[Cde_Ingrdt]], tbl_IngrédientsRef[Cde_Ingrdt], 0))</f>
        <v>150</v>
      </c>
      <c r="G69">
        <f>SUMIF(tbl_Achats[Cde_Ingrdt],tbl_Stock[[#This Row],[Cde_Ingrdt]],tbl_Achats[Qté d''Achat])</f>
        <v>0</v>
      </c>
      <c r="H69" s="21">
        <f t="array" ref="H69">SUMPRODUCT((tbl_Achats[Cde_Ingrdt]=tbl_Stock[[#This Row],[Cde_Ingrdt]]) * tbl_Achats[Qté d''Achat] * tbl_Achats[Prix Achat Unitaire])</f>
        <v>0</v>
      </c>
      <c r="I69">
        <v>340</v>
      </c>
      <c r="J69" s="21">
        <f ca="1">tbl_Stock[[#This Row],[Stock Courant]] * tbl_Stock[[#This Row],[CMP effectif]]</f>
        <v>150</v>
      </c>
      <c r="K69">
        <f ca="1">tbl_Stock[[#This Row],[Stock Départ]] + SUMIF(tbl_Achats[Cde_Ingrdt],tbl_Stock[[#This Row],[Cde_Ingrdt]],tbl_Achats[[#This Row],[Qté d''Achat]])</f>
        <v>1500</v>
      </c>
      <c r="L69" s="7">
        <f ca="1">IFERROR((tbl_Stock[[#This Row],[Valeur stock initiale]] + tbl_Stock[[#This Row],[ Valeur Achat]]) / tbl_Stock[[#This Row],[Quantité totale]], 0)</f>
        <v>0.1</v>
      </c>
      <c r="M69" s="7">
        <f>SUMIF(tbl_Sorties[[Code ingrédient ]], tbl_Stock[[#This Row],[Cde_Ingrdt]], tbl_Sorties[Qté Sortie])</f>
        <v>0</v>
      </c>
      <c r="N69" s="57">
        <f>tbl_Stock[[#This Row],[Stock Départ]] + tbl_Stock[[#This Row],[Achats Cumulées]] - tbl_Stock[[#This Row],[ Sortie cumulée]]</f>
        <v>1500</v>
      </c>
      <c r="O69">
        <v>100</v>
      </c>
      <c r="P69" t="str">
        <f>IF(tbl_Stock[[#This Row],[Stock Courant]] &lt; tbl_Stock[[#This Row],[Seuil critique]], "⚠️ Alerte", "OK")</f>
        <v>OK</v>
      </c>
    </row>
    <row r="70" spans="1:16" x14ac:dyDescent="0.25">
      <c r="A70" t="str">
        <f>IFERROR(VLOOKUP(B70,Référentiels!$M$2:$N$267,2,FALSE),"Ingrédient non trouvé")</f>
        <v>VEA006</v>
      </c>
      <c r="B70" t="str">
        <f>+tbl_IngrédientsRef[[#This Row],[Ingrédient]]</f>
        <v>Tranche De Veau</v>
      </c>
      <c r="C70" t="str">
        <f>INDEX(tbl_IngrédientsRef[Unité], MATCH(A70, tbl_IngrédientsRef[Cde_Ingrdt],0))</f>
        <v>g</v>
      </c>
      <c r="D70" s="21">
        <f>IFERROR(INDEX(tbl_IngrédientsRef[[#This Row],[PU_effectif_g/ml]], MATCH(tbl_Stock[[#This Row],[Cde_Ingrdt]], tbl_IngrédientsRef[[#This Row],[Cde_Ingrdt]], 0)), 0)</f>
        <v>0.9</v>
      </c>
      <c r="E70">
        <v>1500</v>
      </c>
      <c r="F70" s="57">
        <f>tbl_Stock[[#This Row],[Stock Départ]] * INDEX(tbl_IngrédientsRef[Prix/Uni Base], MATCH(tbl_Stock[[#This Row],[Cde_Ingrdt]], tbl_IngrédientsRef[Cde_Ingrdt], 0))</f>
        <v>1350</v>
      </c>
      <c r="G70">
        <f>SUMIF(tbl_Achats[Cde_Ingrdt],tbl_Stock[[#This Row],[Cde_Ingrdt]],tbl_Achats[Qté d''Achat])</f>
        <v>0</v>
      </c>
      <c r="H70" s="21">
        <f t="array" ref="H70">SUMPRODUCT((tbl_Achats[Cde_Ingrdt]=tbl_Stock[[#This Row],[Cde_Ingrdt]]) * tbl_Achats[Qté d''Achat] * tbl_Achats[Prix Achat Unitaire])</f>
        <v>0</v>
      </c>
      <c r="I70">
        <v>250</v>
      </c>
      <c r="J70" s="21">
        <f ca="1">tbl_Stock[[#This Row],[Stock Courant]] * tbl_Stock[[#This Row],[CMP effectif]]</f>
        <v>1350</v>
      </c>
      <c r="K70">
        <f ca="1">tbl_Stock[[#This Row],[Stock Départ]] + SUMIF(tbl_Achats[Cde_Ingrdt],tbl_Stock[[#This Row],[Cde_Ingrdt]],tbl_Achats[[#This Row],[Qté d''Achat]])</f>
        <v>1500</v>
      </c>
      <c r="L70" s="7">
        <f ca="1">IFERROR((tbl_Stock[[#This Row],[Valeur stock initiale]] + tbl_Stock[[#This Row],[ Valeur Achat]]) / tbl_Stock[[#This Row],[Quantité totale]], 0)</f>
        <v>0.9</v>
      </c>
      <c r="M70" s="7">
        <f>SUMIF(tbl_Sorties[[Code ingrédient ]], tbl_Stock[[#This Row],[Cde_Ingrdt]], tbl_Sorties[Qté Sortie])</f>
        <v>0</v>
      </c>
      <c r="N70" s="57">
        <f>tbl_Stock[[#This Row],[Stock Départ]] + tbl_Stock[[#This Row],[Achats Cumulées]] - tbl_Stock[[#This Row],[ Sortie cumulée]]</f>
        <v>1500</v>
      </c>
      <c r="O70">
        <v>100</v>
      </c>
      <c r="P70" t="str">
        <f>IF(tbl_Stock[[#This Row],[Stock Courant]] &lt; tbl_Stock[[#This Row],[Seuil critique]], "⚠️ Alerte", "OK")</f>
        <v>OK</v>
      </c>
    </row>
    <row r="71" spans="1:16" x14ac:dyDescent="0.25">
      <c r="A71" t="str">
        <f>IFERROR(VLOOKUP(B71,Référentiels!$M$2:$N$267,2,FALSE),"Ingrédient non trouvé")</f>
        <v>VEA007</v>
      </c>
      <c r="B71" t="str">
        <f>+tbl_IngrédientsRef[[#This Row],[Ingrédient]]</f>
        <v>Rumsteak Veau</v>
      </c>
      <c r="C71" t="str">
        <f>INDEX(tbl_IngrédientsRef[Unité], MATCH(A71, tbl_IngrédientsRef[Cde_Ingrdt],0))</f>
        <v>g</v>
      </c>
      <c r="D71" s="21">
        <f>IFERROR(INDEX(tbl_IngrédientsRef[[#This Row],[PU_effectif_g/ml]], MATCH(tbl_Stock[[#This Row],[Cde_Ingrdt]], tbl_IngrédientsRef[[#This Row],[Cde_Ingrdt]], 0)), 0)</f>
        <v>0.1</v>
      </c>
      <c r="E71">
        <v>1500</v>
      </c>
      <c r="F71" s="57">
        <f>tbl_Stock[[#This Row],[Stock Départ]] * INDEX(tbl_IngrédientsRef[Prix/Uni Base], MATCH(tbl_Stock[[#This Row],[Cde_Ingrdt]], tbl_IngrédientsRef[Cde_Ingrdt], 0))</f>
        <v>150</v>
      </c>
      <c r="G71">
        <f>SUMIF(tbl_Achats[Cde_Ingrdt],tbl_Stock[[#This Row],[Cde_Ingrdt]],tbl_Achats[Qté d''Achat])</f>
        <v>0</v>
      </c>
      <c r="H71" s="21">
        <f t="array" ref="H71">SUMPRODUCT((tbl_Achats[Cde_Ingrdt]=tbl_Stock[[#This Row],[Cde_Ingrdt]]) * tbl_Achats[Qté d''Achat] * tbl_Achats[Prix Achat Unitaire])</f>
        <v>0</v>
      </c>
      <c r="I71">
        <v>230</v>
      </c>
      <c r="J71" s="21">
        <f ca="1">tbl_Stock[[#This Row],[Stock Courant]] * tbl_Stock[[#This Row],[CMP effectif]]</f>
        <v>150</v>
      </c>
      <c r="K71">
        <f ca="1">tbl_Stock[[#This Row],[Stock Départ]] + SUMIF(tbl_Achats[Cde_Ingrdt],tbl_Stock[[#This Row],[Cde_Ingrdt]],tbl_Achats[[#This Row],[Qté d''Achat]])</f>
        <v>1500</v>
      </c>
      <c r="L71" s="7">
        <f ca="1">IFERROR((tbl_Stock[[#This Row],[Valeur stock initiale]] + tbl_Stock[[#This Row],[ Valeur Achat]]) / tbl_Stock[[#This Row],[Quantité totale]], 0)</f>
        <v>0.1</v>
      </c>
      <c r="M71" s="7">
        <f>SUMIF(tbl_Sorties[[Code ingrédient ]], tbl_Stock[[#This Row],[Cde_Ingrdt]], tbl_Sorties[Qté Sortie])</f>
        <v>0</v>
      </c>
      <c r="N71" s="57">
        <f>tbl_Stock[[#This Row],[Stock Départ]] + tbl_Stock[[#This Row],[Achats Cumulées]] - tbl_Stock[[#This Row],[ Sortie cumulée]]</f>
        <v>1500</v>
      </c>
      <c r="O71">
        <v>100</v>
      </c>
      <c r="P71" t="str">
        <f>IF(tbl_Stock[[#This Row],[Stock Courant]] &lt; tbl_Stock[[#This Row],[Seuil critique]], "⚠️ Alerte", "OK")</f>
        <v>OK</v>
      </c>
    </row>
    <row r="72" spans="1:16" x14ac:dyDescent="0.25">
      <c r="A72" t="str">
        <f>IFERROR(VLOOKUP(B72,Référentiels!$M$2:$N$267,2,FALSE),"Ingrédient non trouvé")</f>
        <v>VEA008</v>
      </c>
      <c r="B72" t="str">
        <f>+tbl_IngrédientsRef[[#This Row],[Ingrédient]]</f>
        <v>Entrecôte Veau</v>
      </c>
      <c r="C72" t="str">
        <f>INDEX(tbl_IngrédientsRef[Unité], MATCH(A72, tbl_IngrédientsRef[Cde_Ingrdt],0))</f>
        <v>g</v>
      </c>
      <c r="D72" s="21">
        <f>IFERROR(INDEX(tbl_IngrédientsRef[[#This Row],[PU_effectif_g/ml]], MATCH(tbl_Stock[[#This Row],[Cde_Ingrdt]], tbl_IngrédientsRef[[#This Row],[Cde_Ingrdt]], 0)), 0)</f>
        <v>0.3</v>
      </c>
      <c r="E72">
        <v>1500</v>
      </c>
      <c r="F72" s="57">
        <f>tbl_Stock[[#This Row],[Stock Départ]] * INDEX(tbl_IngrédientsRef[Prix/Uni Base], MATCH(tbl_Stock[[#This Row],[Cde_Ingrdt]], tbl_IngrédientsRef[Cde_Ingrdt], 0))</f>
        <v>450</v>
      </c>
      <c r="G72">
        <f>SUMIF(tbl_Achats[Cde_Ingrdt],tbl_Stock[[#This Row],[Cde_Ingrdt]],tbl_Achats[Qté d''Achat])</f>
        <v>0</v>
      </c>
      <c r="H72" s="21">
        <f t="array" ref="H72">SUMPRODUCT((tbl_Achats[Cde_Ingrdt]=tbl_Stock[[#This Row],[Cde_Ingrdt]]) * tbl_Achats[Qté d''Achat] * tbl_Achats[Prix Achat Unitaire])</f>
        <v>0</v>
      </c>
      <c r="I72">
        <v>300</v>
      </c>
      <c r="J72" s="21">
        <f ca="1">tbl_Stock[[#This Row],[Stock Courant]] * tbl_Stock[[#This Row],[CMP effectif]]</f>
        <v>450</v>
      </c>
      <c r="K72">
        <f ca="1">tbl_Stock[[#This Row],[Stock Départ]] + SUMIF(tbl_Achats[Cde_Ingrdt],tbl_Stock[[#This Row],[Cde_Ingrdt]],tbl_Achats[[#This Row],[Qté d''Achat]])</f>
        <v>1500</v>
      </c>
      <c r="L72" s="7">
        <f ca="1">IFERROR((tbl_Stock[[#This Row],[Valeur stock initiale]] + tbl_Stock[[#This Row],[ Valeur Achat]]) / tbl_Stock[[#This Row],[Quantité totale]], 0)</f>
        <v>0.3</v>
      </c>
      <c r="M72" s="7">
        <f>SUMIF(tbl_Sorties[[Code ingrédient ]], tbl_Stock[[#This Row],[Cde_Ingrdt]], tbl_Sorties[Qté Sortie])</f>
        <v>0</v>
      </c>
      <c r="N72" s="57">
        <f>tbl_Stock[[#This Row],[Stock Départ]] + tbl_Stock[[#This Row],[Achats Cumulées]] - tbl_Stock[[#This Row],[ Sortie cumulée]]</f>
        <v>1500</v>
      </c>
      <c r="O72">
        <v>100</v>
      </c>
      <c r="P72" t="str">
        <f>IF(tbl_Stock[[#This Row],[Stock Courant]] &lt; tbl_Stock[[#This Row],[Seuil critique]], "⚠️ Alerte", "OK")</f>
        <v>OK</v>
      </c>
    </row>
    <row r="73" spans="1:16" x14ac:dyDescent="0.25">
      <c r="A73" t="str">
        <f>IFERROR(VLOOKUP(B73,Référentiels!$M$2:$N$267,2,FALSE),"Ingrédient non trouvé")</f>
        <v>VEA009</v>
      </c>
      <c r="B73" t="str">
        <f>+tbl_IngrédientsRef[[#This Row],[Ingrédient]]</f>
        <v>Faux-Filet Veau</v>
      </c>
      <c r="C73" t="str">
        <f>INDEX(tbl_IngrédientsRef[Unité], MATCH(A73, tbl_IngrédientsRef[Cde_Ingrdt],0))</f>
        <v>g</v>
      </c>
      <c r="D73" s="21">
        <f>IFERROR(INDEX(tbl_IngrédientsRef[[#This Row],[PU_effectif_g/ml]], MATCH(tbl_Stock[[#This Row],[Cde_Ingrdt]], tbl_IngrédientsRef[[#This Row],[Cde_Ingrdt]], 0)), 0)</f>
        <v>0.12</v>
      </c>
      <c r="E73">
        <v>1500</v>
      </c>
      <c r="F73" s="57">
        <f>tbl_Stock[[#This Row],[Stock Départ]] * INDEX(tbl_IngrédientsRef[Prix/Uni Base], MATCH(tbl_Stock[[#This Row],[Cde_Ingrdt]], tbl_IngrédientsRef[Cde_Ingrdt], 0))</f>
        <v>180</v>
      </c>
      <c r="G73">
        <f>SUMIF(tbl_Achats[Cde_Ingrdt],tbl_Stock[[#This Row],[Cde_Ingrdt]],tbl_Achats[Qté d''Achat])</f>
        <v>0</v>
      </c>
      <c r="H73" s="21">
        <f t="array" ref="H73">SUMPRODUCT((tbl_Achats[Cde_Ingrdt]=tbl_Stock[[#This Row],[Cde_Ingrdt]]) * tbl_Achats[Qté d''Achat] * tbl_Achats[Prix Achat Unitaire])</f>
        <v>0</v>
      </c>
      <c r="I73">
        <v>340</v>
      </c>
      <c r="J73" s="21">
        <f ca="1">tbl_Stock[[#This Row],[Stock Courant]] * tbl_Stock[[#This Row],[CMP effectif]]</f>
        <v>180</v>
      </c>
      <c r="K73">
        <f ca="1">tbl_Stock[[#This Row],[Stock Départ]] + SUMIF(tbl_Achats[Cde_Ingrdt],tbl_Stock[[#This Row],[Cde_Ingrdt]],tbl_Achats[[#This Row],[Qté d''Achat]])</f>
        <v>1500</v>
      </c>
      <c r="L73" s="7">
        <f ca="1">IFERROR((tbl_Stock[[#This Row],[Valeur stock initiale]] + tbl_Stock[[#This Row],[ Valeur Achat]]) / tbl_Stock[[#This Row],[Quantité totale]], 0)</f>
        <v>0.12</v>
      </c>
      <c r="M73" s="7">
        <f>SUMIF(tbl_Sorties[[Code ingrédient ]], tbl_Stock[[#This Row],[Cde_Ingrdt]], tbl_Sorties[Qté Sortie])</f>
        <v>0</v>
      </c>
      <c r="N73" s="57">
        <f>tbl_Stock[[#This Row],[Stock Départ]] + tbl_Stock[[#This Row],[Achats Cumulées]] - tbl_Stock[[#This Row],[ Sortie cumulée]]</f>
        <v>1500</v>
      </c>
      <c r="O73">
        <v>100</v>
      </c>
      <c r="P73" t="str">
        <f>IF(tbl_Stock[[#This Row],[Stock Courant]] &lt; tbl_Stock[[#This Row],[Seuil critique]], "⚠️ Alerte", "OK")</f>
        <v>OK</v>
      </c>
    </row>
    <row r="74" spans="1:16" x14ac:dyDescent="0.25">
      <c r="A74" t="str">
        <f>IFERROR(VLOOKUP(B74,Référentiels!$M$2:$N$267,2,FALSE),"Ingrédient non trouvé")</f>
        <v>VEA010</v>
      </c>
      <c r="B74" t="str">
        <f>+tbl_IngrédientsRef[[#This Row],[Ingrédient]]</f>
        <v>Foie Veau</v>
      </c>
      <c r="C74" t="str">
        <f>INDEX(tbl_IngrédientsRef[Unité], MATCH(A74, tbl_IngrédientsRef[Cde_Ingrdt],0))</f>
        <v>g</v>
      </c>
      <c r="D74" s="21">
        <f>IFERROR(INDEX(tbl_IngrédientsRef[[#This Row],[PU_effectif_g/ml]], MATCH(tbl_Stock[[#This Row],[Cde_Ingrdt]], tbl_IngrédientsRef[[#This Row],[Cde_Ingrdt]], 0)), 0)</f>
        <v>0.12</v>
      </c>
      <c r="E74">
        <v>1500</v>
      </c>
      <c r="F74" s="57">
        <f>tbl_Stock[[#This Row],[Stock Départ]] * INDEX(tbl_IngrédientsRef[Prix/Uni Base], MATCH(tbl_Stock[[#This Row],[Cde_Ingrdt]], tbl_IngrédientsRef[Cde_Ingrdt], 0))</f>
        <v>180</v>
      </c>
      <c r="G74">
        <f>SUMIF(tbl_Achats[Cde_Ingrdt],tbl_Stock[[#This Row],[Cde_Ingrdt]],tbl_Achats[Qté d''Achat])</f>
        <v>0</v>
      </c>
      <c r="H74" s="21">
        <f t="array" ref="H74">SUMPRODUCT((tbl_Achats[Cde_Ingrdt]=tbl_Stock[[#This Row],[Cde_Ingrdt]]) * tbl_Achats[Qté d''Achat] * tbl_Achats[Prix Achat Unitaire])</f>
        <v>0</v>
      </c>
      <c r="I74">
        <v>250</v>
      </c>
      <c r="J74" s="21">
        <f ca="1">tbl_Stock[[#This Row],[Stock Courant]] * tbl_Stock[[#This Row],[CMP effectif]]</f>
        <v>180</v>
      </c>
      <c r="K74">
        <f ca="1">tbl_Stock[[#This Row],[Stock Départ]] + SUMIF(tbl_Achats[Cde_Ingrdt],tbl_Stock[[#This Row],[Cde_Ingrdt]],tbl_Achats[[#This Row],[Qté d''Achat]])</f>
        <v>1500</v>
      </c>
      <c r="L74" s="7">
        <f ca="1">IFERROR((tbl_Stock[[#This Row],[Valeur stock initiale]] + tbl_Stock[[#This Row],[ Valeur Achat]]) / tbl_Stock[[#This Row],[Quantité totale]], 0)</f>
        <v>0.12</v>
      </c>
      <c r="M74" s="7">
        <f>SUMIF(tbl_Sorties[[Code ingrédient ]], tbl_Stock[[#This Row],[Cde_Ingrdt]], tbl_Sorties[Qté Sortie])</f>
        <v>0</v>
      </c>
      <c r="N74" s="57">
        <f>tbl_Stock[[#This Row],[Stock Départ]] + tbl_Stock[[#This Row],[Achats Cumulées]] - tbl_Stock[[#This Row],[ Sortie cumulée]]</f>
        <v>1500</v>
      </c>
      <c r="O74">
        <v>100</v>
      </c>
      <c r="P74" t="str">
        <f>IF(tbl_Stock[[#This Row],[Stock Courant]] &lt; tbl_Stock[[#This Row],[Seuil critique]], "⚠️ Alerte", "OK")</f>
        <v>OK</v>
      </c>
    </row>
    <row r="75" spans="1:16" x14ac:dyDescent="0.25">
      <c r="A75" t="str">
        <f>IFERROR(VLOOKUP(B75,Référentiels!$M$2:$N$267,2,FALSE),"Ingrédient non trouvé")</f>
        <v>VEA011</v>
      </c>
      <c r="B75" t="str">
        <f>+tbl_IngrédientsRef[[#This Row],[Ingrédient]]</f>
        <v>Escalope Veau</v>
      </c>
      <c r="C75" t="str">
        <f>INDEX(tbl_IngrédientsRef[Unité], MATCH(A75, tbl_IngrédientsRef[Cde_Ingrdt],0))</f>
        <v>g</v>
      </c>
      <c r="D75" s="21">
        <f>IFERROR(INDEX(tbl_IngrédientsRef[[#This Row],[PU_effectif_g/ml]], MATCH(tbl_Stock[[#This Row],[Cde_Ingrdt]], tbl_IngrédientsRef[[#This Row],[Cde_Ingrdt]], 0)), 0)</f>
        <v>0.12</v>
      </c>
      <c r="E75">
        <v>1500</v>
      </c>
      <c r="F75" s="57">
        <f>tbl_Stock[[#This Row],[Stock Départ]] * INDEX(tbl_IngrédientsRef[Prix/Uni Base], MATCH(tbl_Stock[[#This Row],[Cde_Ingrdt]], tbl_IngrédientsRef[Cde_Ingrdt], 0))</f>
        <v>180</v>
      </c>
      <c r="G75">
        <f>SUMIF(tbl_Achats[Cde_Ingrdt],tbl_Stock[[#This Row],[Cde_Ingrdt]],tbl_Achats[Qté d''Achat])</f>
        <v>0</v>
      </c>
      <c r="H75" s="21">
        <f t="array" ref="H75">SUMPRODUCT((tbl_Achats[Cde_Ingrdt]=tbl_Stock[[#This Row],[Cde_Ingrdt]]) * tbl_Achats[Qté d''Achat] * tbl_Achats[Prix Achat Unitaire])</f>
        <v>0</v>
      </c>
      <c r="I75">
        <v>230</v>
      </c>
      <c r="J75" s="21">
        <f ca="1">tbl_Stock[[#This Row],[Stock Courant]] * tbl_Stock[[#This Row],[CMP effectif]]</f>
        <v>180</v>
      </c>
      <c r="K75">
        <f ca="1">tbl_Stock[[#This Row],[Stock Départ]] + SUMIF(tbl_Achats[Cde_Ingrdt],tbl_Stock[[#This Row],[Cde_Ingrdt]],tbl_Achats[[#This Row],[Qté d''Achat]])</f>
        <v>1500</v>
      </c>
      <c r="L75" s="7">
        <f ca="1">IFERROR((tbl_Stock[[#This Row],[Valeur stock initiale]] + tbl_Stock[[#This Row],[ Valeur Achat]]) / tbl_Stock[[#This Row],[Quantité totale]], 0)</f>
        <v>0.12</v>
      </c>
      <c r="M75" s="7">
        <f>SUMIF(tbl_Sorties[[Code ingrédient ]], tbl_Stock[[#This Row],[Cde_Ingrdt]], tbl_Sorties[Qté Sortie])</f>
        <v>0</v>
      </c>
      <c r="N75" s="57">
        <f>tbl_Stock[[#This Row],[Stock Départ]] + tbl_Stock[[#This Row],[Achats Cumulées]] - tbl_Stock[[#This Row],[ Sortie cumulée]]</f>
        <v>1500</v>
      </c>
      <c r="O75">
        <v>100</v>
      </c>
      <c r="P75" t="str">
        <f>IF(tbl_Stock[[#This Row],[Stock Courant]] &lt; tbl_Stock[[#This Row],[Seuil critique]], "⚠️ Alerte", "OK")</f>
        <v>OK</v>
      </c>
    </row>
    <row r="76" spans="1:16" x14ac:dyDescent="0.25">
      <c r="A76" t="str">
        <f>IFERROR(VLOOKUP(B76,Référentiels!$M$2:$N$267,2,FALSE),"Ingrédient non trouvé")</f>
        <v>POI001</v>
      </c>
      <c r="B76" t="str">
        <f>+tbl_IngrédientsRef[[#This Row],[Ingrédient]]</f>
        <v>Saumon Fumé</v>
      </c>
      <c r="C76" t="str">
        <f>INDEX(tbl_IngrédientsRef[Unité], MATCH(A76, tbl_IngrédientsRef[Cde_Ingrdt],0))</f>
        <v>g</v>
      </c>
      <c r="D76" s="21">
        <f>IFERROR(INDEX(tbl_IngrédientsRef[[#This Row],[PU_effectif_g/ml]], MATCH(tbl_Stock[[#This Row],[Cde_Ingrdt]], tbl_IngrédientsRef[[#This Row],[Cde_Ingrdt]], 0)), 0)</f>
        <v>0.56999999999999995</v>
      </c>
      <c r="E76">
        <v>1500</v>
      </c>
      <c r="F76" s="57">
        <f>tbl_Stock[[#This Row],[Stock Départ]] * INDEX(tbl_IngrédientsRef[Prix/Uni Base], MATCH(tbl_Stock[[#This Row],[Cde_Ingrdt]], tbl_IngrédientsRef[Cde_Ingrdt], 0))</f>
        <v>854.99999999999989</v>
      </c>
      <c r="G76">
        <f>SUMIF(tbl_Achats[Cde_Ingrdt],tbl_Stock[[#This Row],[Cde_Ingrdt]],tbl_Achats[Qté d''Achat])</f>
        <v>0</v>
      </c>
      <c r="H76" s="21">
        <f t="array" ref="H76">SUMPRODUCT((tbl_Achats[Cde_Ingrdt]=tbl_Stock[[#This Row],[Cde_Ingrdt]]) * tbl_Achats[Qté d''Achat] * tbl_Achats[Prix Achat Unitaire])</f>
        <v>0</v>
      </c>
      <c r="I76">
        <v>300</v>
      </c>
      <c r="J76" s="21">
        <f ca="1">tbl_Stock[[#This Row],[Stock Courant]] * tbl_Stock[[#This Row],[CMP effectif]]</f>
        <v>854.99999999999989</v>
      </c>
      <c r="K76">
        <f ca="1">tbl_Stock[[#This Row],[Stock Départ]] + SUMIF(tbl_Achats[Cde_Ingrdt],tbl_Stock[[#This Row],[Cde_Ingrdt]],tbl_Achats[[#This Row],[Qté d''Achat]])</f>
        <v>1500</v>
      </c>
      <c r="L76" s="7">
        <f ca="1">IFERROR((tbl_Stock[[#This Row],[Valeur stock initiale]] + tbl_Stock[[#This Row],[ Valeur Achat]]) / tbl_Stock[[#This Row],[Quantité totale]], 0)</f>
        <v>0.56999999999999995</v>
      </c>
      <c r="M76" s="7">
        <f>SUMIF(tbl_Sorties[[Code ingrédient ]], tbl_Stock[[#This Row],[Cde_Ingrdt]], tbl_Sorties[Qté Sortie])</f>
        <v>0</v>
      </c>
      <c r="N76" s="57">
        <f>tbl_Stock[[#This Row],[Stock Départ]] + tbl_Stock[[#This Row],[Achats Cumulées]] - tbl_Stock[[#This Row],[ Sortie cumulée]]</f>
        <v>1500</v>
      </c>
      <c r="O76">
        <v>100</v>
      </c>
      <c r="P76" t="str">
        <f>IF(tbl_Stock[[#This Row],[Stock Courant]] &lt; tbl_Stock[[#This Row],[Seuil critique]], "⚠️ Alerte", "OK")</f>
        <v>OK</v>
      </c>
    </row>
    <row r="77" spans="1:16" x14ac:dyDescent="0.25">
      <c r="A77" t="str">
        <f>IFERROR(VLOOKUP(B77,Référentiels!$M$2:$N$267,2,FALSE),"Ingrédient non trouvé")</f>
        <v>POI002</v>
      </c>
      <c r="B77" t="str">
        <f>+tbl_IngrédientsRef[[#This Row],[Ingrédient]]</f>
        <v>Saumon Frais</v>
      </c>
      <c r="C77" t="str">
        <f>INDEX(tbl_IngrédientsRef[Unité], MATCH(A77, tbl_IngrédientsRef[Cde_Ingrdt],0))</f>
        <v>g</v>
      </c>
      <c r="D77" s="21">
        <f>IFERROR(INDEX(tbl_IngrédientsRef[[#This Row],[PU_effectif_g/ml]], MATCH(tbl_Stock[[#This Row],[Cde_Ingrdt]], tbl_IngrédientsRef[[#This Row],[Cde_Ingrdt]], 0)), 0)</f>
        <v>0.5</v>
      </c>
      <c r="E77">
        <v>1500</v>
      </c>
      <c r="F77" s="57">
        <f>tbl_Stock[[#This Row],[Stock Départ]] * INDEX(tbl_IngrédientsRef[Prix/Uni Base], MATCH(tbl_Stock[[#This Row],[Cde_Ingrdt]], tbl_IngrédientsRef[Cde_Ingrdt], 0))</f>
        <v>750</v>
      </c>
      <c r="G77">
        <f>SUMIF(tbl_Achats[Cde_Ingrdt],tbl_Stock[[#This Row],[Cde_Ingrdt]],tbl_Achats[Qté d''Achat])</f>
        <v>0</v>
      </c>
      <c r="H77" s="21">
        <f t="array" ref="H77">SUMPRODUCT((tbl_Achats[Cde_Ingrdt]=tbl_Stock[[#This Row],[Cde_Ingrdt]]) * tbl_Achats[Qté d''Achat] * tbl_Achats[Prix Achat Unitaire])</f>
        <v>0</v>
      </c>
      <c r="I77">
        <v>340</v>
      </c>
      <c r="J77" s="21">
        <f ca="1">tbl_Stock[[#This Row],[Stock Courant]] * tbl_Stock[[#This Row],[CMP effectif]]</f>
        <v>750</v>
      </c>
      <c r="K77">
        <f ca="1">tbl_Stock[[#This Row],[Stock Départ]] + SUMIF(tbl_Achats[Cde_Ingrdt],tbl_Stock[[#This Row],[Cde_Ingrdt]],tbl_Achats[[#This Row],[Qté d''Achat]])</f>
        <v>1500</v>
      </c>
      <c r="L77" s="7">
        <f ca="1">IFERROR((tbl_Stock[[#This Row],[Valeur stock initiale]] + tbl_Stock[[#This Row],[ Valeur Achat]]) / tbl_Stock[[#This Row],[Quantité totale]], 0)</f>
        <v>0.5</v>
      </c>
      <c r="M77" s="7">
        <f>SUMIF(tbl_Sorties[[Code ingrédient ]], tbl_Stock[[#This Row],[Cde_Ingrdt]], tbl_Sorties[Qté Sortie])</f>
        <v>0</v>
      </c>
      <c r="N77" s="57">
        <f>tbl_Stock[[#This Row],[Stock Départ]] + tbl_Stock[[#This Row],[Achats Cumulées]] - tbl_Stock[[#This Row],[ Sortie cumulée]]</f>
        <v>1500</v>
      </c>
      <c r="O77">
        <v>100</v>
      </c>
      <c r="P77" t="str">
        <f>IF(tbl_Stock[[#This Row],[Stock Courant]] &lt; tbl_Stock[[#This Row],[Seuil critique]], "⚠️ Alerte", "OK")</f>
        <v>OK</v>
      </c>
    </row>
    <row r="78" spans="1:16" x14ac:dyDescent="0.25">
      <c r="A78" t="str">
        <f>IFERROR(VLOOKUP(B78,Référentiels!$M$2:$N$267,2,FALSE),"Ingrédient non trouvé")</f>
        <v>POI003</v>
      </c>
      <c r="B78" t="str">
        <f>+tbl_IngrédientsRef[[#This Row],[Ingrédient]]</f>
        <v>Darne De Saumon</v>
      </c>
      <c r="C78" t="str">
        <f>INDEX(tbl_IngrédientsRef[Unité], MATCH(A78, tbl_IngrédientsRef[Cde_Ingrdt],0))</f>
        <v>g</v>
      </c>
      <c r="D78" s="21">
        <f>IFERROR(INDEX(tbl_IngrédientsRef[[#This Row],[PU_effectif_g/ml]], MATCH(tbl_Stock[[#This Row],[Cde_Ingrdt]], tbl_IngrédientsRef[[#This Row],[Cde_Ingrdt]], 0)), 0)</f>
        <v>0.7</v>
      </c>
      <c r="E78">
        <v>1500</v>
      </c>
      <c r="F78" s="57">
        <f>tbl_Stock[[#This Row],[Stock Départ]] * INDEX(tbl_IngrédientsRef[Prix/Uni Base], MATCH(tbl_Stock[[#This Row],[Cde_Ingrdt]], tbl_IngrédientsRef[Cde_Ingrdt], 0))</f>
        <v>1050</v>
      </c>
      <c r="G78">
        <f>SUMIF(tbl_Achats[Cde_Ingrdt],tbl_Stock[[#This Row],[Cde_Ingrdt]],tbl_Achats[Qté d''Achat])</f>
        <v>0</v>
      </c>
      <c r="H78" s="21">
        <f t="array" ref="H78">SUMPRODUCT((tbl_Achats[Cde_Ingrdt]=tbl_Stock[[#This Row],[Cde_Ingrdt]]) * tbl_Achats[Qté d''Achat] * tbl_Achats[Prix Achat Unitaire])</f>
        <v>0</v>
      </c>
      <c r="I78">
        <v>250</v>
      </c>
      <c r="J78" s="21">
        <f ca="1">tbl_Stock[[#This Row],[Stock Courant]] * tbl_Stock[[#This Row],[CMP effectif]]</f>
        <v>1050</v>
      </c>
      <c r="K78">
        <f ca="1">tbl_Stock[[#This Row],[Stock Départ]] + SUMIF(tbl_Achats[Cde_Ingrdt],tbl_Stock[[#This Row],[Cde_Ingrdt]],tbl_Achats[[#This Row],[Qté d''Achat]])</f>
        <v>1500</v>
      </c>
      <c r="L78" s="7">
        <f ca="1">IFERROR((tbl_Stock[[#This Row],[Valeur stock initiale]] + tbl_Stock[[#This Row],[ Valeur Achat]]) / tbl_Stock[[#This Row],[Quantité totale]], 0)</f>
        <v>0.7</v>
      </c>
      <c r="M78" s="7">
        <f>SUMIF(tbl_Sorties[[Code ingrédient ]], tbl_Stock[[#This Row],[Cde_Ingrdt]], tbl_Sorties[Qté Sortie])</f>
        <v>0</v>
      </c>
      <c r="N78" s="57">
        <f>tbl_Stock[[#This Row],[Stock Départ]] + tbl_Stock[[#This Row],[Achats Cumulées]] - tbl_Stock[[#This Row],[ Sortie cumulée]]</f>
        <v>1500</v>
      </c>
      <c r="O78">
        <v>100</v>
      </c>
      <c r="P78" t="str">
        <f>IF(tbl_Stock[[#This Row],[Stock Courant]] &lt; tbl_Stock[[#This Row],[Seuil critique]], "⚠️ Alerte", "OK")</f>
        <v>OK</v>
      </c>
    </row>
    <row r="79" spans="1:16" x14ac:dyDescent="0.25">
      <c r="A79" t="str">
        <f>IFERROR(VLOOKUP(B79,Référentiels!$M$2:$N$267,2,FALSE),"Ingrédient non trouvé")</f>
        <v>POI004</v>
      </c>
      <c r="B79" t="str">
        <f>+tbl_IngrédientsRef[[#This Row],[Ingrédient]]</f>
        <v>Saint-Pierre</v>
      </c>
      <c r="C79" t="str">
        <f>INDEX(tbl_IngrédientsRef[Unité], MATCH(A79, tbl_IngrédientsRef[Cde_Ingrdt],0))</f>
        <v>g</v>
      </c>
      <c r="D79" s="21">
        <f>IFERROR(INDEX(tbl_IngrédientsRef[[#This Row],[PU_effectif_g/ml]], MATCH(tbl_Stock[[#This Row],[Cde_Ingrdt]], tbl_IngrédientsRef[[#This Row],[Cde_Ingrdt]], 0)), 0)</f>
        <v>0.2</v>
      </c>
      <c r="E79">
        <v>1500</v>
      </c>
      <c r="F79" s="57">
        <f>tbl_Stock[[#This Row],[Stock Départ]] * INDEX(tbl_IngrédientsRef[Prix/Uni Base], MATCH(tbl_Stock[[#This Row],[Cde_Ingrdt]], tbl_IngrédientsRef[Cde_Ingrdt], 0))</f>
        <v>300</v>
      </c>
      <c r="G79">
        <f>SUMIF(tbl_Achats[Cde_Ingrdt],tbl_Stock[[#This Row],[Cde_Ingrdt]],tbl_Achats[Qté d''Achat])</f>
        <v>0</v>
      </c>
      <c r="H79" s="21">
        <f t="array" ref="H79">SUMPRODUCT((tbl_Achats[Cde_Ingrdt]=tbl_Stock[[#This Row],[Cde_Ingrdt]]) * tbl_Achats[Qté d''Achat] * tbl_Achats[Prix Achat Unitaire])</f>
        <v>0</v>
      </c>
      <c r="I79">
        <v>230</v>
      </c>
      <c r="J79" s="21">
        <f ca="1">tbl_Stock[[#This Row],[Stock Courant]] * tbl_Stock[[#This Row],[CMP effectif]]</f>
        <v>300</v>
      </c>
      <c r="K79">
        <f ca="1">tbl_Stock[[#This Row],[Stock Départ]] + SUMIF(tbl_Achats[Cde_Ingrdt],tbl_Stock[[#This Row],[Cde_Ingrdt]],tbl_Achats[[#This Row],[Qté d''Achat]])</f>
        <v>1500</v>
      </c>
      <c r="L79" s="7">
        <f ca="1">IFERROR((tbl_Stock[[#This Row],[Valeur stock initiale]] + tbl_Stock[[#This Row],[ Valeur Achat]]) / tbl_Stock[[#This Row],[Quantité totale]], 0)</f>
        <v>0.2</v>
      </c>
      <c r="M79" s="7">
        <f>SUMIF(tbl_Sorties[[Code ingrédient ]], tbl_Stock[[#This Row],[Cde_Ingrdt]], tbl_Sorties[Qté Sortie])</f>
        <v>0</v>
      </c>
      <c r="N79" s="57">
        <f>tbl_Stock[[#This Row],[Stock Départ]] + tbl_Stock[[#This Row],[Achats Cumulées]] - tbl_Stock[[#This Row],[ Sortie cumulée]]</f>
        <v>1500</v>
      </c>
      <c r="O79">
        <v>100</v>
      </c>
      <c r="P79" t="str">
        <f>IF(tbl_Stock[[#This Row],[Stock Courant]] &lt; tbl_Stock[[#This Row],[Seuil critique]], "⚠️ Alerte", "OK")</f>
        <v>OK</v>
      </c>
    </row>
    <row r="80" spans="1:16" x14ac:dyDescent="0.25">
      <c r="A80" t="str">
        <f>IFERROR(VLOOKUP(B80,Référentiels!$M$2:$N$267,2,FALSE),"Ingrédient non trouvé")</f>
        <v>POI005</v>
      </c>
      <c r="B80" t="str">
        <f>+tbl_IngrédientsRef[[#This Row],[Ingrédient]]</f>
        <v>Poissons Variés (Sardines, Merlan, Sole)</v>
      </c>
      <c r="C80" t="str">
        <f>INDEX(tbl_IngrédientsRef[Unité], MATCH(A80, tbl_IngrédientsRef[Cde_Ingrdt],0))</f>
        <v>g</v>
      </c>
      <c r="D80" s="21">
        <f>IFERROR(INDEX(tbl_IngrédientsRef[[#This Row],[PU_effectif_g/ml]], MATCH(tbl_Stock[[#This Row],[Cde_Ingrdt]], tbl_IngrédientsRef[[#This Row],[Cde_Ingrdt]], 0)), 0)</f>
        <v>0.1</v>
      </c>
      <c r="E80">
        <v>1500</v>
      </c>
      <c r="F80" s="57">
        <f>tbl_Stock[[#This Row],[Stock Départ]] * INDEX(tbl_IngrédientsRef[Prix/Uni Base], MATCH(tbl_Stock[[#This Row],[Cde_Ingrdt]], tbl_IngrédientsRef[Cde_Ingrdt], 0))</f>
        <v>150</v>
      </c>
      <c r="G80">
        <f>SUMIF(tbl_Achats[Cde_Ingrdt],tbl_Stock[[#This Row],[Cde_Ingrdt]],tbl_Achats[Qté d''Achat])</f>
        <v>0</v>
      </c>
      <c r="H80" s="21">
        <f t="array" ref="H80">SUMPRODUCT((tbl_Achats[Cde_Ingrdt]=tbl_Stock[[#This Row],[Cde_Ingrdt]]) * tbl_Achats[Qté d''Achat] * tbl_Achats[Prix Achat Unitaire])</f>
        <v>0</v>
      </c>
      <c r="I80">
        <v>300</v>
      </c>
      <c r="J80" s="21">
        <f ca="1">tbl_Stock[[#This Row],[Stock Courant]] * tbl_Stock[[#This Row],[CMP effectif]]</f>
        <v>150</v>
      </c>
      <c r="K80">
        <f ca="1">tbl_Stock[[#This Row],[Stock Départ]] + SUMIF(tbl_Achats[Cde_Ingrdt],tbl_Stock[[#This Row],[Cde_Ingrdt]],tbl_Achats[[#This Row],[Qté d''Achat]])</f>
        <v>1500</v>
      </c>
      <c r="L80" s="7">
        <f ca="1">IFERROR((tbl_Stock[[#This Row],[Valeur stock initiale]] + tbl_Stock[[#This Row],[ Valeur Achat]]) / tbl_Stock[[#This Row],[Quantité totale]], 0)</f>
        <v>0.1</v>
      </c>
      <c r="M80" s="7">
        <f>SUMIF(tbl_Sorties[[Code ingrédient ]], tbl_Stock[[#This Row],[Cde_Ingrdt]], tbl_Sorties[Qté Sortie])</f>
        <v>0</v>
      </c>
      <c r="N80" s="57">
        <f>tbl_Stock[[#This Row],[Stock Départ]] + tbl_Stock[[#This Row],[Achats Cumulées]] - tbl_Stock[[#This Row],[ Sortie cumulée]]</f>
        <v>1500</v>
      </c>
      <c r="O80">
        <v>100</v>
      </c>
      <c r="P80" t="str">
        <f>IF(tbl_Stock[[#This Row],[Stock Courant]] &lt; tbl_Stock[[#This Row],[Seuil critique]], "⚠️ Alerte", "OK")</f>
        <v>OK</v>
      </c>
    </row>
    <row r="81" spans="1:16" x14ac:dyDescent="0.25">
      <c r="A81" t="str">
        <f>IFERROR(VLOOKUP(B81,Référentiels!$M$2:$N$267,2,FALSE),"Ingrédient non trouvé")</f>
        <v>POI006</v>
      </c>
      <c r="B81" t="str">
        <f>+tbl_IngrédientsRef[[#This Row],[Ingrédient]]</f>
        <v>Poisson Du Jours</v>
      </c>
      <c r="C81" t="str">
        <f>INDEX(tbl_IngrédientsRef[Unité], MATCH(A81, tbl_IngrédientsRef[Cde_Ingrdt],0))</f>
        <v>g</v>
      </c>
      <c r="D81" s="21">
        <f>IFERROR(INDEX(tbl_IngrédientsRef[[#This Row],[PU_effectif_g/ml]], MATCH(tbl_Stock[[#This Row],[Cde_Ingrdt]], tbl_IngrédientsRef[[#This Row],[Cde_Ingrdt]], 0)), 0)</f>
        <v>0.09</v>
      </c>
      <c r="E81">
        <v>1500</v>
      </c>
      <c r="F81" s="57">
        <f>tbl_Stock[[#This Row],[Stock Départ]] * INDEX(tbl_IngrédientsRef[Prix/Uni Base], MATCH(tbl_Stock[[#This Row],[Cde_Ingrdt]], tbl_IngrédientsRef[Cde_Ingrdt], 0))</f>
        <v>135</v>
      </c>
      <c r="G81">
        <f>SUMIF(tbl_Achats[Cde_Ingrdt],tbl_Stock[[#This Row],[Cde_Ingrdt]],tbl_Achats[Qté d''Achat])</f>
        <v>0</v>
      </c>
      <c r="H81" s="21">
        <f t="array" ref="H81">SUMPRODUCT((tbl_Achats[Cde_Ingrdt]=tbl_Stock[[#This Row],[Cde_Ingrdt]]) * tbl_Achats[Qté d''Achat] * tbl_Achats[Prix Achat Unitaire])</f>
        <v>0</v>
      </c>
      <c r="I81">
        <v>340</v>
      </c>
      <c r="J81" s="21">
        <f ca="1">tbl_Stock[[#This Row],[Stock Courant]] * tbl_Stock[[#This Row],[CMP effectif]]</f>
        <v>135</v>
      </c>
      <c r="K81">
        <f ca="1">tbl_Stock[[#This Row],[Stock Départ]] + SUMIF(tbl_Achats[Cde_Ingrdt],tbl_Stock[[#This Row],[Cde_Ingrdt]],tbl_Achats[[#This Row],[Qté d''Achat]])</f>
        <v>1500</v>
      </c>
      <c r="L81" s="7">
        <f ca="1">IFERROR((tbl_Stock[[#This Row],[Valeur stock initiale]] + tbl_Stock[[#This Row],[ Valeur Achat]]) / tbl_Stock[[#This Row],[Quantité totale]], 0)</f>
        <v>0.09</v>
      </c>
      <c r="M81" s="7">
        <f>SUMIF(tbl_Sorties[[Code ingrédient ]], tbl_Stock[[#This Row],[Cde_Ingrdt]], tbl_Sorties[Qté Sortie])</f>
        <v>0</v>
      </c>
      <c r="N81" s="57">
        <f>tbl_Stock[[#This Row],[Stock Départ]] + tbl_Stock[[#This Row],[Achats Cumulées]] - tbl_Stock[[#This Row],[ Sortie cumulée]]</f>
        <v>1500</v>
      </c>
      <c r="O81">
        <v>100</v>
      </c>
      <c r="P81" t="str">
        <f>IF(tbl_Stock[[#This Row],[Stock Courant]] &lt; tbl_Stock[[#This Row],[Seuil critique]], "⚠️ Alerte", "OK")</f>
        <v>OK</v>
      </c>
    </row>
    <row r="82" spans="1:16" x14ac:dyDescent="0.25">
      <c r="A82" t="str">
        <f>IFERROR(VLOOKUP(B82,Référentiels!$M$2:$N$267,2,FALSE),"Ingrédient non trouvé")</f>
        <v>POI007</v>
      </c>
      <c r="B82" t="str">
        <f>+tbl_IngrédientsRef[[#This Row],[Ingrédient]]</f>
        <v>Filet De Poisson Blanc</v>
      </c>
      <c r="C82" t="str">
        <f>INDEX(tbl_IngrédientsRef[Unité], MATCH(A82, tbl_IngrédientsRef[Cde_Ingrdt],0))</f>
        <v>g</v>
      </c>
      <c r="D82" s="21">
        <f>IFERROR(INDEX(tbl_IngrédientsRef[[#This Row],[PU_effectif_g/ml]], MATCH(tbl_Stock[[#This Row],[Cde_Ingrdt]], tbl_IngrédientsRef[[#This Row],[Cde_Ingrdt]], 0)), 0)</f>
        <v>0.09</v>
      </c>
      <c r="E82">
        <v>1500</v>
      </c>
      <c r="F82" s="57">
        <f>tbl_Stock[[#This Row],[Stock Départ]] * INDEX(tbl_IngrédientsRef[Prix/Uni Base], MATCH(tbl_Stock[[#This Row],[Cde_Ingrdt]], tbl_IngrédientsRef[Cde_Ingrdt], 0))</f>
        <v>135</v>
      </c>
      <c r="G82">
        <f>SUMIF(tbl_Achats[Cde_Ingrdt],tbl_Stock[[#This Row],[Cde_Ingrdt]],tbl_Achats[Qté d''Achat])</f>
        <v>0</v>
      </c>
      <c r="H82" s="21">
        <f t="array" ref="H82">SUMPRODUCT((tbl_Achats[Cde_Ingrdt]=tbl_Stock[[#This Row],[Cde_Ingrdt]]) * tbl_Achats[Qté d''Achat] * tbl_Achats[Prix Achat Unitaire])</f>
        <v>0</v>
      </c>
      <c r="I82">
        <v>250</v>
      </c>
      <c r="J82" s="21">
        <f ca="1">tbl_Stock[[#This Row],[Stock Courant]] * tbl_Stock[[#This Row],[CMP effectif]]</f>
        <v>135</v>
      </c>
      <c r="K82">
        <f ca="1">tbl_Stock[[#This Row],[Stock Départ]] + SUMIF(tbl_Achats[Cde_Ingrdt],tbl_Stock[[#This Row],[Cde_Ingrdt]],tbl_Achats[[#This Row],[Qté d''Achat]])</f>
        <v>1500</v>
      </c>
      <c r="L82" s="7">
        <f ca="1">IFERROR((tbl_Stock[[#This Row],[Valeur stock initiale]] + tbl_Stock[[#This Row],[ Valeur Achat]]) / tbl_Stock[[#This Row],[Quantité totale]], 0)</f>
        <v>0.09</v>
      </c>
      <c r="M82" s="7">
        <f>SUMIF(tbl_Sorties[[Code ingrédient ]], tbl_Stock[[#This Row],[Cde_Ingrdt]], tbl_Sorties[Qté Sortie])</f>
        <v>0</v>
      </c>
      <c r="N82" s="57">
        <f>tbl_Stock[[#This Row],[Stock Départ]] + tbl_Stock[[#This Row],[Achats Cumulées]] - tbl_Stock[[#This Row],[ Sortie cumulée]]</f>
        <v>1500</v>
      </c>
      <c r="O82">
        <v>100</v>
      </c>
      <c r="P82" t="str">
        <f>IF(tbl_Stock[[#This Row],[Stock Courant]] &lt; tbl_Stock[[#This Row],[Seuil critique]], "⚠️ Alerte", "OK")</f>
        <v>OK</v>
      </c>
    </row>
    <row r="83" spans="1:16" x14ac:dyDescent="0.25">
      <c r="A83" t="str">
        <f>IFERROR(VLOOKUP(B83,Référentiels!$M$2:$N$267,2,FALSE),"Ingrédient non trouvé")</f>
        <v>POI008</v>
      </c>
      <c r="B83" t="str">
        <f>+tbl_IngrédientsRef[[#This Row],[Ingrédient]]</f>
        <v>Poissons Friture</v>
      </c>
      <c r="C83" t="str">
        <f>INDEX(tbl_IngrédientsRef[Unité], MATCH(A83, tbl_IngrédientsRef[Cde_Ingrdt],0))</f>
        <v>g</v>
      </c>
      <c r="D83" s="21">
        <f>IFERROR(INDEX(tbl_IngrédientsRef[[#This Row],[PU_effectif_g/ml]], MATCH(tbl_Stock[[#This Row],[Cde_Ingrdt]], tbl_IngrédientsRef[[#This Row],[Cde_Ingrdt]], 0)), 0)</f>
        <v>0.08</v>
      </c>
      <c r="E83">
        <v>1500</v>
      </c>
      <c r="F83" s="57">
        <f>tbl_Stock[[#This Row],[Stock Départ]] * INDEX(tbl_IngrédientsRef[Prix/Uni Base], MATCH(tbl_Stock[[#This Row],[Cde_Ingrdt]], tbl_IngrédientsRef[Cde_Ingrdt], 0))</f>
        <v>120</v>
      </c>
      <c r="G83">
        <f>SUMIF(tbl_Achats[Cde_Ingrdt],tbl_Stock[[#This Row],[Cde_Ingrdt]],tbl_Achats[Qté d''Achat])</f>
        <v>0</v>
      </c>
      <c r="H83" s="21">
        <f t="array" ref="H83">SUMPRODUCT((tbl_Achats[Cde_Ingrdt]=tbl_Stock[[#This Row],[Cde_Ingrdt]]) * tbl_Achats[Qté d''Achat] * tbl_Achats[Prix Achat Unitaire])</f>
        <v>0</v>
      </c>
      <c r="I83">
        <v>230</v>
      </c>
      <c r="J83" s="21">
        <f ca="1">tbl_Stock[[#This Row],[Stock Courant]] * tbl_Stock[[#This Row],[CMP effectif]]</f>
        <v>120</v>
      </c>
      <c r="K83">
        <f ca="1">tbl_Stock[[#This Row],[Stock Départ]] + SUMIF(tbl_Achats[Cde_Ingrdt],tbl_Stock[[#This Row],[Cde_Ingrdt]],tbl_Achats[[#This Row],[Qté d''Achat]])</f>
        <v>1500</v>
      </c>
      <c r="L83" s="7">
        <f ca="1">IFERROR((tbl_Stock[[#This Row],[Valeur stock initiale]] + tbl_Stock[[#This Row],[ Valeur Achat]]) / tbl_Stock[[#This Row],[Quantité totale]], 0)</f>
        <v>0.08</v>
      </c>
      <c r="M83" s="7">
        <f>SUMIF(tbl_Sorties[[Code ingrédient ]], tbl_Stock[[#This Row],[Cde_Ingrdt]], tbl_Sorties[Qté Sortie])</f>
        <v>0</v>
      </c>
      <c r="N83" s="57">
        <f>tbl_Stock[[#This Row],[Stock Départ]] + tbl_Stock[[#This Row],[Achats Cumulées]] - tbl_Stock[[#This Row],[ Sortie cumulée]]</f>
        <v>1500</v>
      </c>
      <c r="O83">
        <v>100</v>
      </c>
      <c r="P83" t="str">
        <f>IF(tbl_Stock[[#This Row],[Stock Courant]] &lt; tbl_Stock[[#This Row],[Seuil critique]], "⚠️ Alerte", "OK")</f>
        <v>OK</v>
      </c>
    </row>
    <row r="84" spans="1:16" x14ac:dyDescent="0.25">
      <c r="A84" t="str">
        <f>IFERROR(VLOOKUP(B84,Référentiels!$M$2:$N$267,2,FALSE),"Ingrédient non trouvé")</f>
        <v>POI009</v>
      </c>
      <c r="B84" t="str">
        <f>+tbl_IngrédientsRef[[#This Row],[Ingrédient]]</f>
        <v>Poisson Au Gros Sel</v>
      </c>
      <c r="C84" t="str">
        <f>INDEX(tbl_IngrédientsRef[Unité], MATCH(A84, tbl_IngrédientsRef[Cde_Ingrdt],0))</f>
        <v>g</v>
      </c>
      <c r="D84" s="21">
        <f>IFERROR(INDEX(tbl_IngrédientsRef[[#This Row],[PU_effectif_g/ml]], MATCH(tbl_Stock[[#This Row],[Cde_Ingrdt]], tbl_IngrédientsRef[[#This Row],[Cde_Ingrdt]], 0)), 0)</f>
        <v>0.08</v>
      </c>
      <c r="E84">
        <v>1500</v>
      </c>
      <c r="F84" s="57">
        <f>tbl_Stock[[#This Row],[Stock Départ]] * INDEX(tbl_IngrédientsRef[Prix/Uni Base], MATCH(tbl_Stock[[#This Row],[Cde_Ingrdt]], tbl_IngrédientsRef[Cde_Ingrdt], 0))</f>
        <v>120</v>
      </c>
      <c r="G84">
        <f>SUMIF(tbl_Achats[Cde_Ingrdt],tbl_Stock[[#This Row],[Cde_Ingrdt]],tbl_Achats[Qté d''Achat])</f>
        <v>0</v>
      </c>
      <c r="H84" s="21">
        <f t="array" ref="H84">SUMPRODUCT((tbl_Achats[Cde_Ingrdt]=tbl_Stock[[#This Row],[Cde_Ingrdt]]) * tbl_Achats[Qté d''Achat] * tbl_Achats[Prix Achat Unitaire])</f>
        <v>0</v>
      </c>
      <c r="I84">
        <v>300</v>
      </c>
      <c r="J84" s="21">
        <f ca="1">tbl_Stock[[#This Row],[Stock Courant]] * tbl_Stock[[#This Row],[CMP effectif]]</f>
        <v>120</v>
      </c>
      <c r="K84">
        <f ca="1">tbl_Stock[[#This Row],[Stock Départ]] + SUMIF(tbl_Achats[Cde_Ingrdt],tbl_Stock[[#This Row],[Cde_Ingrdt]],tbl_Achats[[#This Row],[Qté d''Achat]])</f>
        <v>1500</v>
      </c>
      <c r="L84" s="7">
        <f ca="1">IFERROR((tbl_Stock[[#This Row],[Valeur stock initiale]] + tbl_Stock[[#This Row],[ Valeur Achat]]) / tbl_Stock[[#This Row],[Quantité totale]], 0)</f>
        <v>0.08</v>
      </c>
      <c r="M84" s="7">
        <f>SUMIF(tbl_Sorties[[Code ingrédient ]], tbl_Stock[[#This Row],[Cde_Ingrdt]], tbl_Sorties[Qté Sortie])</f>
        <v>0</v>
      </c>
      <c r="N84" s="57">
        <f>tbl_Stock[[#This Row],[Stock Départ]] + tbl_Stock[[#This Row],[Achats Cumulées]] - tbl_Stock[[#This Row],[ Sortie cumulée]]</f>
        <v>1500</v>
      </c>
      <c r="O84">
        <v>100</v>
      </c>
      <c r="P84" t="str">
        <f>IF(tbl_Stock[[#This Row],[Stock Courant]] &lt; tbl_Stock[[#This Row],[Seuil critique]], "⚠️ Alerte", "OK")</f>
        <v>OK</v>
      </c>
    </row>
    <row r="85" spans="1:16" x14ac:dyDescent="0.25">
      <c r="A85" t="str">
        <f>IFERROR(VLOOKUP(B85,Référentiels!$M$2:$N$267,2,FALSE),"Ingrédient non trouvé")</f>
        <v>POI010</v>
      </c>
      <c r="B85" t="str">
        <f>+tbl_IngrédientsRef[[#This Row],[Ingrédient]]</f>
        <v>Thon</v>
      </c>
      <c r="C85" t="str">
        <f>INDEX(tbl_IngrédientsRef[Unité], MATCH(A85, tbl_IngrédientsRef[Cde_Ingrdt],0))</f>
        <v>g</v>
      </c>
      <c r="D85" s="21">
        <f>IFERROR(INDEX(tbl_IngrédientsRef[[#This Row],[PU_effectif_g/ml]], MATCH(tbl_Stock[[#This Row],[Cde_Ingrdt]], tbl_IngrédientsRef[[#This Row],[Cde_Ingrdt]], 0)), 0)</f>
        <v>0.15</v>
      </c>
      <c r="E85">
        <v>1500</v>
      </c>
      <c r="F85" s="57">
        <f>tbl_Stock[[#This Row],[Stock Départ]] * INDEX(tbl_IngrédientsRef[Prix/Uni Base], MATCH(tbl_Stock[[#This Row],[Cde_Ingrdt]], tbl_IngrédientsRef[Cde_Ingrdt], 0))</f>
        <v>225</v>
      </c>
      <c r="G85">
        <f>SUMIF(tbl_Achats[Cde_Ingrdt],tbl_Stock[[#This Row],[Cde_Ingrdt]],tbl_Achats[Qté d''Achat])</f>
        <v>0</v>
      </c>
      <c r="H85" s="21">
        <f t="array" ref="H85">SUMPRODUCT((tbl_Achats[Cde_Ingrdt]=tbl_Stock[[#This Row],[Cde_Ingrdt]]) * tbl_Achats[Qté d''Achat] * tbl_Achats[Prix Achat Unitaire])</f>
        <v>0</v>
      </c>
      <c r="I85">
        <v>340</v>
      </c>
      <c r="J85" s="21">
        <f ca="1">tbl_Stock[[#This Row],[Stock Courant]] * tbl_Stock[[#This Row],[CMP effectif]]</f>
        <v>225</v>
      </c>
      <c r="K85">
        <f ca="1">tbl_Stock[[#This Row],[Stock Départ]] + SUMIF(tbl_Achats[Cde_Ingrdt],tbl_Stock[[#This Row],[Cde_Ingrdt]],tbl_Achats[[#This Row],[Qté d''Achat]])</f>
        <v>1500</v>
      </c>
      <c r="L85" s="7">
        <f ca="1">IFERROR((tbl_Stock[[#This Row],[Valeur stock initiale]] + tbl_Stock[[#This Row],[ Valeur Achat]]) / tbl_Stock[[#This Row],[Quantité totale]], 0)</f>
        <v>0.15</v>
      </c>
      <c r="M85" s="7">
        <f>SUMIF(tbl_Sorties[[Code ingrédient ]], tbl_Stock[[#This Row],[Cde_Ingrdt]], tbl_Sorties[Qté Sortie])</f>
        <v>0</v>
      </c>
      <c r="N85" s="57">
        <f>tbl_Stock[[#This Row],[Stock Départ]] + tbl_Stock[[#This Row],[Achats Cumulées]] - tbl_Stock[[#This Row],[ Sortie cumulée]]</f>
        <v>1500</v>
      </c>
      <c r="O85">
        <v>100</v>
      </c>
      <c r="P85" t="str">
        <f>IF(tbl_Stock[[#This Row],[Stock Courant]] &lt; tbl_Stock[[#This Row],[Seuil critique]], "⚠️ Alerte", "OK")</f>
        <v>OK</v>
      </c>
    </row>
    <row r="86" spans="1:16" x14ac:dyDescent="0.25">
      <c r="A86" t="str">
        <f>IFERROR(VLOOKUP(B86,Référentiels!$M$2:$N$267,2,FALSE),"Ingrédient non trouvé")</f>
        <v>FDM001</v>
      </c>
      <c r="B86" t="str">
        <f>+tbl_IngrédientsRef[[#This Row],[Ingrédient]]</f>
        <v>Crevettes</v>
      </c>
      <c r="C86" t="str">
        <f>INDEX(tbl_IngrédientsRef[Unité], MATCH(A86, tbl_IngrédientsRef[Cde_Ingrdt],0))</f>
        <v>g</v>
      </c>
      <c r="D86" s="21">
        <f>IFERROR(INDEX(tbl_IngrédientsRef[[#This Row],[PU_effectif_g/ml]], MATCH(tbl_Stock[[#This Row],[Cde_Ingrdt]], tbl_IngrédientsRef[[#This Row],[Cde_Ingrdt]], 0)), 0)</f>
        <v>0.1</v>
      </c>
      <c r="E86">
        <v>1500</v>
      </c>
      <c r="F86" s="57">
        <f>tbl_Stock[[#This Row],[Stock Départ]] * INDEX(tbl_IngrédientsRef[Prix/Uni Base], MATCH(tbl_Stock[[#This Row],[Cde_Ingrdt]], tbl_IngrédientsRef[Cde_Ingrdt], 0))</f>
        <v>150</v>
      </c>
      <c r="G86">
        <f>SUMIF(tbl_Achats[Cde_Ingrdt],tbl_Stock[[#This Row],[Cde_Ingrdt]],tbl_Achats[Qté d''Achat])</f>
        <v>0</v>
      </c>
      <c r="H86" s="21">
        <f t="array" ref="H86">SUMPRODUCT((tbl_Achats[Cde_Ingrdt]=tbl_Stock[[#This Row],[Cde_Ingrdt]]) * tbl_Achats[Qté d''Achat] * tbl_Achats[Prix Achat Unitaire])</f>
        <v>0</v>
      </c>
      <c r="I86">
        <v>250</v>
      </c>
      <c r="J86" s="21">
        <f ca="1">tbl_Stock[[#This Row],[Stock Courant]] * tbl_Stock[[#This Row],[CMP effectif]]</f>
        <v>150</v>
      </c>
      <c r="K86">
        <f ca="1">tbl_Stock[[#This Row],[Stock Départ]] + SUMIF(tbl_Achats[Cde_Ingrdt],tbl_Stock[[#This Row],[Cde_Ingrdt]],tbl_Achats[[#This Row],[Qté d''Achat]])</f>
        <v>1500</v>
      </c>
      <c r="L86" s="7">
        <f ca="1">IFERROR((tbl_Stock[[#This Row],[Valeur stock initiale]] + tbl_Stock[[#This Row],[ Valeur Achat]]) / tbl_Stock[[#This Row],[Quantité totale]], 0)</f>
        <v>0.1</v>
      </c>
      <c r="M86" s="7">
        <f>SUMIF(tbl_Sorties[[Code ingrédient ]], tbl_Stock[[#This Row],[Cde_Ingrdt]], tbl_Sorties[Qté Sortie])</f>
        <v>0</v>
      </c>
      <c r="N86" s="57">
        <f>tbl_Stock[[#This Row],[Stock Départ]] + tbl_Stock[[#This Row],[Achats Cumulées]] - tbl_Stock[[#This Row],[ Sortie cumulée]]</f>
        <v>1500</v>
      </c>
      <c r="O86">
        <v>100</v>
      </c>
      <c r="P86" t="str">
        <f>IF(tbl_Stock[[#This Row],[Stock Courant]] &lt; tbl_Stock[[#This Row],[Seuil critique]], "⚠️ Alerte", "OK")</f>
        <v>OK</v>
      </c>
    </row>
    <row r="87" spans="1:16" x14ac:dyDescent="0.25">
      <c r="A87" t="str">
        <f>IFERROR(VLOOKUP(B87,Référentiels!$M$2:$N$267,2,FALSE),"Ingrédient non trouvé")</f>
        <v>FDM002</v>
      </c>
      <c r="B87" t="str">
        <f>+tbl_IngrédientsRef[[#This Row],[Ingrédient]]</f>
        <v>Calamars</v>
      </c>
      <c r="C87" t="str">
        <f>INDEX(tbl_IngrédientsRef[Unité], MATCH(A87, tbl_IngrédientsRef[Cde_Ingrdt],0))</f>
        <v>g</v>
      </c>
      <c r="D87" s="21">
        <f>IFERROR(INDEX(tbl_IngrédientsRef[[#This Row],[PU_effectif_g/ml]], MATCH(tbl_Stock[[#This Row],[Cde_Ingrdt]], tbl_IngrédientsRef[[#This Row],[Cde_Ingrdt]], 0)), 0)</f>
        <v>0.8</v>
      </c>
      <c r="E87">
        <v>1500</v>
      </c>
      <c r="F87" s="57">
        <f>tbl_Stock[[#This Row],[Stock Départ]] * INDEX(tbl_IngrédientsRef[Prix/Uni Base], MATCH(tbl_Stock[[#This Row],[Cde_Ingrdt]], tbl_IngrédientsRef[Cde_Ingrdt], 0))</f>
        <v>1200</v>
      </c>
      <c r="G87">
        <f>SUMIF(tbl_Achats[Cde_Ingrdt],tbl_Stock[[#This Row],[Cde_Ingrdt]],tbl_Achats[Qté d''Achat])</f>
        <v>0</v>
      </c>
      <c r="H87" s="21">
        <f t="array" ref="H87">SUMPRODUCT((tbl_Achats[Cde_Ingrdt]=tbl_Stock[[#This Row],[Cde_Ingrdt]]) * tbl_Achats[Qté d''Achat] * tbl_Achats[Prix Achat Unitaire])</f>
        <v>0</v>
      </c>
      <c r="I87">
        <v>230</v>
      </c>
      <c r="J87" s="21">
        <f ca="1">tbl_Stock[[#This Row],[Stock Courant]] * tbl_Stock[[#This Row],[CMP effectif]]</f>
        <v>1200</v>
      </c>
      <c r="K87">
        <f ca="1">tbl_Stock[[#This Row],[Stock Départ]] + SUMIF(tbl_Achats[Cde_Ingrdt],tbl_Stock[[#This Row],[Cde_Ingrdt]],tbl_Achats[[#This Row],[Qté d''Achat]])</f>
        <v>1500</v>
      </c>
      <c r="L87" s="7">
        <f ca="1">IFERROR((tbl_Stock[[#This Row],[Valeur stock initiale]] + tbl_Stock[[#This Row],[ Valeur Achat]]) / tbl_Stock[[#This Row],[Quantité totale]], 0)</f>
        <v>0.8</v>
      </c>
      <c r="M87" s="7">
        <f>SUMIF(tbl_Sorties[[Code ingrédient ]], tbl_Stock[[#This Row],[Cde_Ingrdt]], tbl_Sorties[Qté Sortie])</f>
        <v>0</v>
      </c>
      <c r="N87" s="57">
        <f>tbl_Stock[[#This Row],[Stock Départ]] + tbl_Stock[[#This Row],[Achats Cumulées]] - tbl_Stock[[#This Row],[ Sortie cumulée]]</f>
        <v>1500</v>
      </c>
      <c r="O87">
        <v>100</v>
      </c>
      <c r="P87" t="str">
        <f>IF(tbl_Stock[[#This Row],[Stock Courant]] &lt; tbl_Stock[[#This Row],[Seuil critique]], "⚠️ Alerte", "OK")</f>
        <v>OK</v>
      </c>
    </row>
    <row r="88" spans="1:16" x14ac:dyDescent="0.25">
      <c r="A88" t="str">
        <f>IFERROR(VLOOKUP(B88,Référentiels!$M$2:$N$267,2,FALSE),"Ingrédient non trouvé")</f>
        <v>FDM003</v>
      </c>
      <c r="B88" t="str">
        <f>+tbl_IngrédientsRef[[#This Row],[Ingrédient]]</f>
        <v>Crevettes Grise</v>
      </c>
      <c r="C88" t="str">
        <f>INDEX(tbl_IngrédientsRef[Unité], MATCH(A88, tbl_IngrédientsRef[Cde_Ingrdt],0))</f>
        <v>g</v>
      </c>
      <c r="D88" s="21">
        <f>IFERROR(INDEX(tbl_IngrédientsRef[[#This Row],[PU_effectif_g/ml]], MATCH(tbl_Stock[[#This Row],[Cde_Ingrdt]], tbl_IngrédientsRef[[#This Row],[Cde_Ingrdt]], 0)), 0)</f>
        <v>0.1</v>
      </c>
      <c r="E88">
        <v>1500</v>
      </c>
      <c r="F88" s="57">
        <f>tbl_Stock[[#This Row],[Stock Départ]] * INDEX(tbl_IngrédientsRef[Prix/Uni Base], MATCH(tbl_Stock[[#This Row],[Cde_Ingrdt]], tbl_IngrédientsRef[Cde_Ingrdt], 0))</f>
        <v>150</v>
      </c>
      <c r="G88">
        <f>SUMIF(tbl_Achats[Cde_Ingrdt],tbl_Stock[[#This Row],[Cde_Ingrdt]],tbl_Achats[Qté d''Achat])</f>
        <v>0</v>
      </c>
      <c r="H88" s="21">
        <f t="array" ref="H88">SUMPRODUCT((tbl_Achats[Cde_Ingrdt]=tbl_Stock[[#This Row],[Cde_Ingrdt]]) * tbl_Achats[Qté d''Achat] * tbl_Achats[Prix Achat Unitaire])</f>
        <v>0</v>
      </c>
      <c r="I88">
        <v>300</v>
      </c>
      <c r="J88" s="21">
        <f ca="1">tbl_Stock[[#This Row],[Stock Courant]] * tbl_Stock[[#This Row],[CMP effectif]]</f>
        <v>150</v>
      </c>
      <c r="K88">
        <f ca="1">tbl_Stock[[#This Row],[Stock Départ]] + SUMIF(tbl_Achats[Cde_Ingrdt],tbl_Stock[[#This Row],[Cde_Ingrdt]],tbl_Achats[[#This Row],[Qté d''Achat]])</f>
        <v>1500</v>
      </c>
      <c r="L88" s="7">
        <f ca="1">IFERROR((tbl_Stock[[#This Row],[Valeur stock initiale]] + tbl_Stock[[#This Row],[ Valeur Achat]]) / tbl_Stock[[#This Row],[Quantité totale]], 0)</f>
        <v>0.1</v>
      </c>
      <c r="M88" s="7">
        <f>SUMIF(tbl_Sorties[[Code ingrédient ]], tbl_Stock[[#This Row],[Cde_Ingrdt]], tbl_Sorties[Qté Sortie])</f>
        <v>0</v>
      </c>
      <c r="N88" s="57">
        <f>tbl_Stock[[#This Row],[Stock Départ]] + tbl_Stock[[#This Row],[Achats Cumulées]] - tbl_Stock[[#This Row],[ Sortie cumulée]]</f>
        <v>1500</v>
      </c>
      <c r="O88">
        <v>100</v>
      </c>
      <c r="P88" t="str">
        <f>IF(tbl_Stock[[#This Row],[Stock Courant]] &lt; tbl_Stock[[#This Row],[Seuil critique]], "⚠️ Alerte", "OK")</f>
        <v>OK</v>
      </c>
    </row>
    <row r="89" spans="1:16" x14ac:dyDescent="0.25">
      <c r="A89" t="str">
        <f>IFERROR(VLOOKUP(B89,Référentiels!$M$2:$N$267,2,FALSE),"Ingrédient non trouvé")</f>
        <v>FDM004</v>
      </c>
      <c r="B89" t="str">
        <f>+tbl_IngrédientsRef[[#This Row],[Ingrédient]]</f>
        <v>Moules</v>
      </c>
      <c r="C89" t="str">
        <f>INDEX(tbl_IngrédientsRef[Unité], MATCH(A89, tbl_IngrédientsRef[Cde_Ingrdt],0))</f>
        <v>g</v>
      </c>
      <c r="D89" s="21">
        <f>IFERROR(INDEX(tbl_IngrédientsRef[[#This Row],[PU_effectif_g/ml]], MATCH(tbl_Stock[[#This Row],[Cde_Ingrdt]], tbl_IngrédientsRef[[#This Row],[Cde_Ingrdt]], 0)), 0)</f>
        <v>0.15</v>
      </c>
      <c r="E89">
        <v>1500</v>
      </c>
      <c r="F89" s="57">
        <f>tbl_Stock[[#This Row],[Stock Départ]] * INDEX(tbl_IngrédientsRef[Prix/Uni Base], MATCH(tbl_Stock[[#This Row],[Cde_Ingrdt]], tbl_IngrédientsRef[Cde_Ingrdt], 0))</f>
        <v>225</v>
      </c>
      <c r="G89">
        <f>SUMIF(tbl_Achats[Cde_Ingrdt],tbl_Stock[[#This Row],[Cde_Ingrdt]],tbl_Achats[Qté d''Achat])</f>
        <v>0</v>
      </c>
      <c r="H89" s="21">
        <f t="array" ref="H89">SUMPRODUCT((tbl_Achats[Cde_Ingrdt]=tbl_Stock[[#This Row],[Cde_Ingrdt]]) * tbl_Achats[Qté d''Achat] * tbl_Achats[Prix Achat Unitaire])</f>
        <v>0</v>
      </c>
      <c r="I89">
        <v>340</v>
      </c>
      <c r="J89" s="21">
        <f ca="1">tbl_Stock[[#This Row],[Stock Courant]] * tbl_Stock[[#This Row],[CMP effectif]]</f>
        <v>225</v>
      </c>
      <c r="K89">
        <f ca="1">tbl_Stock[[#This Row],[Stock Départ]] + SUMIF(tbl_Achats[Cde_Ingrdt],tbl_Stock[[#This Row],[Cde_Ingrdt]],tbl_Achats[[#This Row],[Qté d''Achat]])</f>
        <v>1500</v>
      </c>
      <c r="L89" s="7">
        <f ca="1">IFERROR((tbl_Stock[[#This Row],[Valeur stock initiale]] + tbl_Stock[[#This Row],[ Valeur Achat]]) / tbl_Stock[[#This Row],[Quantité totale]], 0)</f>
        <v>0.15</v>
      </c>
      <c r="M89" s="7">
        <f>SUMIF(tbl_Sorties[[Code ingrédient ]], tbl_Stock[[#This Row],[Cde_Ingrdt]], tbl_Sorties[Qté Sortie])</f>
        <v>0</v>
      </c>
      <c r="N89" s="57">
        <f>tbl_Stock[[#This Row],[Stock Départ]] + tbl_Stock[[#This Row],[Achats Cumulées]] - tbl_Stock[[#This Row],[ Sortie cumulée]]</f>
        <v>1500</v>
      </c>
      <c r="O89">
        <v>100</v>
      </c>
      <c r="P89" t="str">
        <f>IF(tbl_Stock[[#This Row],[Stock Courant]] &lt; tbl_Stock[[#This Row],[Seuil critique]], "⚠️ Alerte", "OK")</f>
        <v>OK</v>
      </c>
    </row>
    <row r="90" spans="1:16" x14ac:dyDescent="0.25">
      <c r="A90" t="str">
        <f>IFERROR(VLOOKUP(B90,Référentiels!$M$2:$N$267,2,FALSE),"Ingrédient non trouvé")</f>
        <v>FDM005</v>
      </c>
      <c r="B90" t="str">
        <f>+tbl_IngrédientsRef[[#This Row],[Ingrédient]]</f>
        <v>Vermicelle De Crevette</v>
      </c>
      <c r="C90" t="str">
        <f>INDEX(tbl_IngrédientsRef[Unité], MATCH(A90, tbl_IngrédientsRef[Cde_Ingrdt],0))</f>
        <v>g</v>
      </c>
      <c r="D90" s="21">
        <f>IFERROR(INDEX(tbl_IngrédientsRef[[#This Row],[PU_effectif_g/ml]], MATCH(tbl_Stock[[#This Row],[Cde_Ingrdt]], tbl_IngrédientsRef[[#This Row],[Cde_Ingrdt]], 0)), 0)</f>
        <v>0.12</v>
      </c>
      <c r="E90">
        <v>1500</v>
      </c>
      <c r="F90" s="57">
        <f>tbl_Stock[[#This Row],[Stock Départ]] * INDEX(tbl_IngrédientsRef[Prix/Uni Base], MATCH(tbl_Stock[[#This Row],[Cde_Ingrdt]], tbl_IngrédientsRef[Cde_Ingrdt], 0))</f>
        <v>180</v>
      </c>
      <c r="G90">
        <f>SUMIF(tbl_Achats[Cde_Ingrdt],tbl_Stock[[#This Row],[Cde_Ingrdt]],tbl_Achats[Qté d''Achat])</f>
        <v>0</v>
      </c>
      <c r="H90" s="21">
        <f t="array" ref="H90">SUMPRODUCT((tbl_Achats[Cde_Ingrdt]=tbl_Stock[[#This Row],[Cde_Ingrdt]]) * tbl_Achats[Qté d''Achat] * tbl_Achats[Prix Achat Unitaire])</f>
        <v>0</v>
      </c>
      <c r="I90">
        <v>250</v>
      </c>
      <c r="J90" s="21">
        <f ca="1">tbl_Stock[[#This Row],[Stock Courant]] * tbl_Stock[[#This Row],[CMP effectif]]</f>
        <v>180</v>
      </c>
      <c r="K90">
        <f ca="1">tbl_Stock[[#This Row],[Stock Départ]] + SUMIF(tbl_Achats[Cde_Ingrdt],tbl_Stock[[#This Row],[Cde_Ingrdt]],tbl_Achats[[#This Row],[Qté d''Achat]])</f>
        <v>1500</v>
      </c>
      <c r="L90" s="7">
        <f ca="1">IFERROR((tbl_Stock[[#This Row],[Valeur stock initiale]] + tbl_Stock[[#This Row],[ Valeur Achat]]) / tbl_Stock[[#This Row],[Quantité totale]], 0)</f>
        <v>0.12</v>
      </c>
      <c r="M90" s="7">
        <f>SUMIF(tbl_Sorties[[Code ingrédient ]], tbl_Stock[[#This Row],[Cde_Ingrdt]], tbl_Sorties[Qté Sortie])</f>
        <v>0</v>
      </c>
      <c r="N90" s="57">
        <f>tbl_Stock[[#This Row],[Stock Départ]] + tbl_Stock[[#This Row],[Achats Cumulées]] - tbl_Stock[[#This Row],[ Sortie cumulée]]</f>
        <v>1500</v>
      </c>
      <c r="O90">
        <v>100</v>
      </c>
      <c r="P90" t="str">
        <f>IF(tbl_Stock[[#This Row],[Stock Courant]] &lt; tbl_Stock[[#This Row],[Seuil critique]], "⚠️ Alerte", "OK")</f>
        <v>OK</v>
      </c>
    </row>
    <row r="91" spans="1:16" x14ac:dyDescent="0.25">
      <c r="A91" t="str">
        <f>IFERROR(VLOOKUP(B91,Référentiels!$M$2:$N$267,2,FALSE),"Ingrédient non trouvé")</f>
        <v>CHA001</v>
      </c>
      <c r="B91" t="str">
        <f>+tbl_IngrédientsRef[[#This Row],[Ingrédient]]</f>
        <v>Khlie</v>
      </c>
      <c r="C91" t="str">
        <f>INDEX(tbl_IngrédientsRef[Unité], MATCH(A91, tbl_IngrédientsRef[Cde_Ingrdt],0))</f>
        <v>g</v>
      </c>
      <c r="D91" s="21">
        <f>IFERROR(INDEX(tbl_IngrédientsRef[[#This Row],[PU_effectif_g/ml]], MATCH(tbl_Stock[[#This Row],[Cde_Ingrdt]], tbl_IngrédientsRef[[#This Row],[Cde_Ingrdt]], 0)), 0)</f>
        <v>0.3</v>
      </c>
      <c r="E91">
        <v>1500</v>
      </c>
      <c r="F91" s="57">
        <f>tbl_Stock[[#This Row],[Stock Départ]] * INDEX(tbl_IngrédientsRef[Prix/Uni Base], MATCH(tbl_Stock[[#This Row],[Cde_Ingrdt]], tbl_IngrédientsRef[Cde_Ingrdt], 0))</f>
        <v>450</v>
      </c>
      <c r="G91">
        <f>SUMIF(tbl_Achats[Cde_Ingrdt],tbl_Stock[[#This Row],[Cde_Ingrdt]],tbl_Achats[Qté d''Achat])</f>
        <v>0</v>
      </c>
      <c r="H91" s="21">
        <f t="array" ref="H91">SUMPRODUCT((tbl_Achats[Cde_Ingrdt]=tbl_Stock[[#This Row],[Cde_Ingrdt]]) * tbl_Achats[Qté d''Achat] * tbl_Achats[Prix Achat Unitaire])</f>
        <v>0</v>
      </c>
      <c r="I91">
        <v>230</v>
      </c>
      <c r="J91" s="21">
        <f ca="1">tbl_Stock[[#This Row],[Stock Courant]] * tbl_Stock[[#This Row],[CMP effectif]]</f>
        <v>450</v>
      </c>
      <c r="K91">
        <f ca="1">tbl_Stock[[#This Row],[Stock Départ]] + SUMIF(tbl_Achats[Cde_Ingrdt],tbl_Stock[[#This Row],[Cde_Ingrdt]],tbl_Achats[[#This Row],[Qté d''Achat]])</f>
        <v>1500</v>
      </c>
      <c r="L91" s="7">
        <f ca="1">IFERROR((tbl_Stock[[#This Row],[Valeur stock initiale]] + tbl_Stock[[#This Row],[ Valeur Achat]]) / tbl_Stock[[#This Row],[Quantité totale]], 0)</f>
        <v>0.3</v>
      </c>
      <c r="M91" s="7">
        <f>SUMIF(tbl_Sorties[[Code ingrédient ]], tbl_Stock[[#This Row],[Cde_Ingrdt]], tbl_Sorties[Qté Sortie])</f>
        <v>0</v>
      </c>
      <c r="N91" s="57">
        <f>tbl_Stock[[#This Row],[Stock Départ]] + tbl_Stock[[#This Row],[Achats Cumulées]] - tbl_Stock[[#This Row],[ Sortie cumulée]]</f>
        <v>1500</v>
      </c>
      <c r="O91">
        <v>100</v>
      </c>
      <c r="P91" t="str">
        <f>IF(tbl_Stock[[#This Row],[Stock Courant]] &lt; tbl_Stock[[#This Row],[Seuil critique]], "⚠️ Alerte", "OK")</f>
        <v>OK</v>
      </c>
    </row>
    <row r="92" spans="1:16" x14ac:dyDescent="0.25">
      <c r="A92" t="str">
        <f>IFERROR(VLOOKUP(B92,Référentiels!$M$2:$N$267,2,FALSE),"Ingrédient non trouvé")</f>
        <v>CHA002</v>
      </c>
      <c r="B92" t="str">
        <f>+tbl_IngrédientsRef[[#This Row],[Ingrédient]]</f>
        <v>Garniture Maison (From+Charcu)</v>
      </c>
      <c r="C92" t="str">
        <f>INDEX(tbl_IngrédientsRef[Unité], MATCH(A92, tbl_IngrédientsRef[Cde_Ingrdt],0))</f>
        <v>g</v>
      </c>
      <c r="D92" s="21">
        <f>IFERROR(INDEX(tbl_IngrédientsRef[[#This Row],[PU_effectif_g/ml]], MATCH(tbl_Stock[[#This Row],[Cde_Ingrdt]], tbl_IngrédientsRef[[#This Row],[Cde_Ingrdt]], 0)), 0)</f>
        <v>0.16500000000000001</v>
      </c>
      <c r="E92">
        <v>1500</v>
      </c>
      <c r="F92" s="57">
        <f>tbl_Stock[[#This Row],[Stock Départ]] * INDEX(tbl_IngrédientsRef[Prix/Uni Base], MATCH(tbl_Stock[[#This Row],[Cde_Ingrdt]], tbl_IngrédientsRef[Cde_Ingrdt], 0))</f>
        <v>247.5</v>
      </c>
      <c r="G92">
        <f>SUMIF(tbl_Achats[Cde_Ingrdt],tbl_Stock[[#This Row],[Cde_Ingrdt]],tbl_Achats[Qté d''Achat])</f>
        <v>0</v>
      </c>
      <c r="H92" s="21">
        <f t="array" ref="H92">SUMPRODUCT((tbl_Achats[Cde_Ingrdt]=tbl_Stock[[#This Row],[Cde_Ingrdt]]) * tbl_Achats[Qté d''Achat] * tbl_Achats[Prix Achat Unitaire])</f>
        <v>0</v>
      </c>
      <c r="I92">
        <v>300</v>
      </c>
      <c r="J92" s="21">
        <f ca="1">tbl_Stock[[#This Row],[Stock Courant]] * tbl_Stock[[#This Row],[CMP effectif]]</f>
        <v>247.5</v>
      </c>
      <c r="K92">
        <f ca="1">tbl_Stock[[#This Row],[Stock Départ]] + SUMIF(tbl_Achats[Cde_Ingrdt],tbl_Stock[[#This Row],[Cde_Ingrdt]],tbl_Achats[[#This Row],[Qté d''Achat]])</f>
        <v>1500</v>
      </c>
      <c r="L92" s="7">
        <f ca="1">IFERROR((tbl_Stock[[#This Row],[Valeur stock initiale]] + tbl_Stock[[#This Row],[ Valeur Achat]]) / tbl_Stock[[#This Row],[Quantité totale]], 0)</f>
        <v>0.16500000000000001</v>
      </c>
      <c r="M92" s="7">
        <f>SUMIF(tbl_Sorties[[Code ingrédient ]], tbl_Stock[[#This Row],[Cde_Ingrdt]], tbl_Sorties[Qté Sortie])</f>
        <v>0</v>
      </c>
      <c r="N92" s="57">
        <f>tbl_Stock[[#This Row],[Stock Départ]] + tbl_Stock[[#This Row],[Achats Cumulées]] - tbl_Stock[[#This Row],[ Sortie cumulée]]</f>
        <v>1500</v>
      </c>
      <c r="O92">
        <v>100</v>
      </c>
      <c r="P92" t="str">
        <f>IF(tbl_Stock[[#This Row],[Stock Courant]] &lt; tbl_Stock[[#This Row],[Seuil critique]], "⚠️ Alerte", "OK")</f>
        <v>OK</v>
      </c>
    </row>
    <row r="93" spans="1:16" x14ac:dyDescent="0.25">
      <c r="A93" t="str">
        <f>IFERROR(VLOOKUP(B93,Référentiels!$M$2:$N$267,2,FALSE),"Ingrédient non trouvé")</f>
        <v>CHA003</v>
      </c>
      <c r="B93" t="str">
        <f>+tbl_IngrédientsRef[[#This Row],[Ingrédient]]</f>
        <v>Jambon De Dinde</v>
      </c>
      <c r="C93" t="str">
        <f>INDEX(tbl_IngrédientsRef[Unité], MATCH(A93, tbl_IngrédientsRef[Cde_Ingrdt],0))</f>
        <v>g</v>
      </c>
      <c r="D93" s="21">
        <f>IFERROR(INDEX(tbl_IngrédientsRef[[#This Row],[PU_effectif_g/ml]], MATCH(tbl_Stock[[#This Row],[Cde_Ingrdt]], tbl_IngrédientsRef[[#This Row],[Cde_Ingrdt]], 0)), 0)</f>
        <v>0.25</v>
      </c>
      <c r="E93">
        <v>1500</v>
      </c>
      <c r="F93" s="57">
        <f>tbl_Stock[[#This Row],[Stock Départ]] * INDEX(tbl_IngrédientsRef[Prix/Uni Base], MATCH(tbl_Stock[[#This Row],[Cde_Ingrdt]], tbl_IngrédientsRef[Cde_Ingrdt], 0))</f>
        <v>375</v>
      </c>
      <c r="G93">
        <f>SUMIF(tbl_Achats[Cde_Ingrdt],tbl_Stock[[#This Row],[Cde_Ingrdt]],tbl_Achats[Qté d''Achat])</f>
        <v>0</v>
      </c>
      <c r="H93" s="21">
        <f t="array" ref="H93">SUMPRODUCT((tbl_Achats[Cde_Ingrdt]=tbl_Stock[[#This Row],[Cde_Ingrdt]]) * tbl_Achats[Qté d''Achat] * tbl_Achats[Prix Achat Unitaire])</f>
        <v>0</v>
      </c>
      <c r="I93">
        <v>340</v>
      </c>
      <c r="J93" s="21">
        <f ca="1">tbl_Stock[[#This Row],[Stock Courant]] * tbl_Stock[[#This Row],[CMP effectif]]</f>
        <v>375</v>
      </c>
      <c r="K93">
        <f ca="1">tbl_Stock[[#This Row],[Stock Départ]] + SUMIF(tbl_Achats[Cde_Ingrdt],tbl_Stock[[#This Row],[Cde_Ingrdt]],tbl_Achats[[#This Row],[Qté d''Achat]])</f>
        <v>1500</v>
      </c>
      <c r="L93" s="7">
        <f ca="1">IFERROR((tbl_Stock[[#This Row],[Valeur stock initiale]] + tbl_Stock[[#This Row],[ Valeur Achat]]) / tbl_Stock[[#This Row],[Quantité totale]], 0)</f>
        <v>0.25</v>
      </c>
      <c r="M93" s="7">
        <f>SUMIF(tbl_Sorties[[Code ingrédient ]], tbl_Stock[[#This Row],[Cde_Ingrdt]], tbl_Sorties[Qté Sortie])</f>
        <v>0</v>
      </c>
      <c r="N93" s="57">
        <f>tbl_Stock[[#This Row],[Stock Départ]] + tbl_Stock[[#This Row],[Achats Cumulées]] - tbl_Stock[[#This Row],[ Sortie cumulée]]</f>
        <v>1500</v>
      </c>
      <c r="O93">
        <v>100</v>
      </c>
      <c r="P93" t="str">
        <f>IF(tbl_Stock[[#This Row],[Stock Courant]] &lt; tbl_Stock[[#This Row],[Seuil critique]], "⚠️ Alerte", "OK")</f>
        <v>OK</v>
      </c>
    </row>
    <row r="94" spans="1:16" x14ac:dyDescent="0.25">
      <c r="A94" t="str">
        <f>IFERROR(VLOOKUP(B94,Référentiels!$M$2:$N$267,2,FALSE),"Ingrédient non trouvé")</f>
        <v>CHA004</v>
      </c>
      <c r="B94" t="str">
        <f>+tbl_IngrédientsRef[[#This Row],[Ingrédient]]</f>
        <v>Dinde Fumée</v>
      </c>
      <c r="C94" t="str">
        <f>INDEX(tbl_IngrédientsRef[Unité], MATCH(A94, tbl_IngrédientsRef[Cde_Ingrdt],0))</f>
        <v>g</v>
      </c>
      <c r="D94" s="21">
        <f>IFERROR(INDEX(tbl_IngrédientsRef[[#This Row],[PU_effectif_g/ml]], MATCH(tbl_Stock[[#This Row],[Cde_Ingrdt]], tbl_IngrédientsRef[[#This Row],[Cde_Ingrdt]], 0)), 0)</f>
        <v>0.18</v>
      </c>
      <c r="E94">
        <v>1500</v>
      </c>
      <c r="F94" s="57">
        <f>tbl_Stock[[#This Row],[Stock Départ]] * INDEX(tbl_IngrédientsRef[Prix/Uni Base], MATCH(tbl_Stock[[#This Row],[Cde_Ingrdt]], tbl_IngrédientsRef[Cde_Ingrdt], 0))</f>
        <v>270</v>
      </c>
      <c r="G94">
        <f>SUMIF(tbl_Achats[Cde_Ingrdt],tbl_Stock[[#This Row],[Cde_Ingrdt]],tbl_Achats[Qté d''Achat])</f>
        <v>0</v>
      </c>
      <c r="H94" s="21">
        <f t="array" ref="H94">SUMPRODUCT((tbl_Achats[Cde_Ingrdt]=tbl_Stock[[#This Row],[Cde_Ingrdt]]) * tbl_Achats[Qté d''Achat] * tbl_Achats[Prix Achat Unitaire])</f>
        <v>0</v>
      </c>
      <c r="I94">
        <v>250</v>
      </c>
      <c r="J94" s="21">
        <f ca="1">tbl_Stock[[#This Row],[Stock Courant]] * tbl_Stock[[#This Row],[CMP effectif]]</f>
        <v>270</v>
      </c>
      <c r="K94">
        <f ca="1">tbl_Stock[[#This Row],[Stock Départ]] + SUMIF(tbl_Achats[Cde_Ingrdt],tbl_Stock[[#This Row],[Cde_Ingrdt]],tbl_Achats[[#This Row],[Qté d''Achat]])</f>
        <v>1500</v>
      </c>
      <c r="L94" s="7">
        <f ca="1">IFERROR((tbl_Stock[[#This Row],[Valeur stock initiale]] + tbl_Stock[[#This Row],[ Valeur Achat]]) / tbl_Stock[[#This Row],[Quantité totale]], 0)</f>
        <v>0.18</v>
      </c>
      <c r="M94" s="7">
        <f>SUMIF(tbl_Sorties[[Code ingrédient ]], tbl_Stock[[#This Row],[Cde_Ingrdt]], tbl_Sorties[Qté Sortie])</f>
        <v>0</v>
      </c>
      <c r="N94" s="57">
        <f>tbl_Stock[[#This Row],[Stock Départ]] + tbl_Stock[[#This Row],[Achats Cumulées]] - tbl_Stock[[#This Row],[ Sortie cumulée]]</f>
        <v>1500</v>
      </c>
      <c r="O94">
        <v>100</v>
      </c>
      <c r="P94" t="str">
        <f>IF(tbl_Stock[[#This Row],[Stock Courant]] &lt; tbl_Stock[[#This Row],[Seuil critique]], "⚠️ Alerte", "OK")</f>
        <v>OK</v>
      </c>
    </row>
    <row r="95" spans="1:16" x14ac:dyDescent="0.25">
      <c r="A95" t="str">
        <f>IFERROR(VLOOKUP(B95,Référentiels!$M$2:$N$267,2,FALSE),"Ingrédient non trouvé")</f>
        <v>CHA005</v>
      </c>
      <c r="B95" t="str">
        <f>+tbl_IngrédientsRef[[#This Row],[Ingrédient]]</f>
        <v>Charcuterie (Mix)</v>
      </c>
      <c r="C95" t="str">
        <f>INDEX(tbl_IngrédientsRef[Unité], MATCH(A95, tbl_IngrédientsRef[Cde_Ingrdt],0))</f>
        <v>g</v>
      </c>
      <c r="D95" s="21">
        <f>IFERROR(INDEX(tbl_IngrédientsRef[[#This Row],[PU_effectif_g/ml]], MATCH(tbl_Stock[[#This Row],[Cde_Ingrdt]], tbl_IngrédientsRef[[#This Row],[Cde_Ingrdt]], 0)), 0)</f>
        <v>0.215</v>
      </c>
      <c r="E95">
        <v>1500</v>
      </c>
      <c r="F95" s="57">
        <f>tbl_Stock[[#This Row],[Stock Départ]] * INDEX(tbl_IngrédientsRef[Prix/Uni Base], MATCH(tbl_Stock[[#This Row],[Cde_Ingrdt]], tbl_IngrédientsRef[Cde_Ingrdt], 0))</f>
        <v>322.5</v>
      </c>
      <c r="G95">
        <f>SUMIF(tbl_Achats[Cde_Ingrdt],tbl_Stock[[#This Row],[Cde_Ingrdt]],tbl_Achats[Qté d''Achat])</f>
        <v>0</v>
      </c>
      <c r="H95" s="21">
        <f t="array" ref="H95">SUMPRODUCT((tbl_Achats[Cde_Ingrdt]=tbl_Stock[[#This Row],[Cde_Ingrdt]]) * tbl_Achats[Qté d''Achat] * tbl_Achats[Prix Achat Unitaire])</f>
        <v>0</v>
      </c>
      <c r="I95">
        <v>230</v>
      </c>
      <c r="J95" s="21">
        <f ca="1">tbl_Stock[[#This Row],[Stock Courant]] * tbl_Stock[[#This Row],[CMP effectif]]</f>
        <v>322.5</v>
      </c>
      <c r="K95">
        <f ca="1">tbl_Stock[[#This Row],[Stock Départ]] + SUMIF(tbl_Achats[Cde_Ingrdt],tbl_Stock[[#This Row],[Cde_Ingrdt]],tbl_Achats[[#This Row],[Qté d''Achat]])</f>
        <v>1500</v>
      </c>
      <c r="L95" s="7">
        <f ca="1">IFERROR((tbl_Stock[[#This Row],[Valeur stock initiale]] + tbl_Stock[[#This Row],[ Valeur Achat]]) / tbl_Stock[[#This Row],[Quantité totale]], 0)</f>
        <v>0.215</v>
      </c>
      <c r="M95" s="7">
        <f>SUMIF(tbl_Sorties[[Code ingrédient ]], tbl_Stock[[#This Row],[Cde_Ingrdt]], tbl_Sorties[Qté Sortie])</f>
        <v>0</v>
      </c>
      <c r="N95" s="57">
        <f>tbl_Stock[[#This Row],[Stock Départ]] + tbl_Stock[[#This Row],[Achats Cumulées]] - tbl_Stock[[#This Row],[ Sortie cumulée]]</f>
        <v>1500</v>
      </c>
      <c r="O95">
        <v>100</v>
      </c>
      <c r="P95" t="str">
        <f>IF(tbl_Stock[[#This Row],[Stock Courant]] &lt; tbl_Stock[[#This Row],[Seuil critique]], "⚠️ Alerte", "OK")</f>
        <v>OK</v>
      </c>
    </row>
    <row r="96" spans="1:16" x14ac:dyDescent="0.25">
      <c r="A96" t="str">
        <f>IFERROR(VLOOKUP(B96,Référentiels!$M$2:$N$267,2,FALSE),"Ingrédient non trouvé")</f>
        <v>PRL001</v>
      </c>
      <c r="B96" t="str">
        <f>+tbl_IngrédientsRef[[#This Row],[Ingrédient]]</f>
        <v>Oeufs Entiers</v>
      </c>
      <c r="C96" t="str">
        <f>INDEX(tbl_IngrédientsRef[Unité], MATCH(A96, tbl_IngrédientsRef[Cde_Ingrdt],0))</f>
        <v>Pièce</v>
      </c>
      <c r="D96" s="21">
        <f>IFERROR(INDEX(tbl_IngrédientsRef[[#This Row],[PU_effectif_g/ml]], MATCH(tbl_Stock[[#This Row],[Cde_Ingrdt]], tbl_IngrédientsRef[[#This Row],[Cde_Ingrdt]], 0)), 0)</f>
        <v>0.9</v>
      </c>
      <c r="E96">
        <v>1500</v>
      </c>
      <c r="F96" s="57">
        <f>tbl_Stock[[#This Row],[Stock Départ]] * INDEX(tbl_IngrédientsRef[Prix/Uni Base], MATCH(tbl_Stock[[#This Row],[Cde_Ingrdt]], tbl_IngrédientsRef[Cde_Ingrdt], 0))</f>
        <v>1350</v>
      </c>
      <c r="G96">
        <f>SUMIF(tbl_Achats[Cde_Ingrdt],tbl_Stock[[#This Row],[Cde_Ingrdt]],tbl_Achats[Qté d''Achat])</f>
        <v>0</v>
      </c>
      <c r="H96" s="21">
        <f t="array" ref="H96">SUMPRODUCT((tbl_Achats[Cde_Ingrdt]=tbl_Stock[[#This Row],[Cde_Ingrdt]]) * tbl_Achats[Qté d''Achat] * tbl_Achats[Prix Achat Unitaire])</f>
        <v>0</v>
      </c>
      <c r="I96">
        <v>300</v>
      </c>
      <c r="J96" s="21">
        <f ca="1">tbl_Stock[[#This Row],[Stock Courant]] * tbl_Stock[[#This Row],[CMP effectif]]</f>
        <v>1350</v>
      </c>
      <c r="K96">
        <f ca="1">tbl_Stock[[#This Row],[Stock Départ]] + SUMIF(tbl_Achats[Cde_Ingrdt],tbl_Stock[[#This Row],[Cde_Ingrdt]],tbl_Achats[[#This Row],[Qté d''Achat]])</f>
        <v>1500</v>
      </c>
      <c r="L96" s="7">
        <f ca="1">IFERROR((tbl_Stock[[#This Row],[Valeur stock initiale]] + tbl_Stock[[#This Row],[ Valeur Achat]]) / tbl_Stock[[#This Row],[Quantité totale]], 0)</f>
        <v>0.9</v>
      </c>
      <c r="M96" s="7">
        <f>SUMIF(tbl_Sorties[[Code ingrédient ]], tbl_Stock[[#This Row],[Cde_Ingrdt]], tbl_Sorties[Qté Sortie])</f>
        <v>0</v>
      </c>
      <c r="N96" s="57">
        <f>tbl_Stock[[#This Row],[Stock Départ]] + tbl_Stock[[#This Row],[Achats Cumulées]] - tbl_Stock[[#This Row],[ Sortie cumulée]]</f>
        <v>1500</v>
      </c>
      <c r="O96">
        <v>100</v>
      </c>
      <c r="P96" t="str">
        <f>IF(tbl_Stock[[#This Row],[Stock Courant]] &lt; tbl_Stock[[#This Row],[Seuil critique]], "⚠️ Alerte", "OK")</f>
        <v>OK</v>
      </c>
    </row>
    <row r="97" spans="1:16" x14ac:dyDescent="0.25">
      <c r="A97" t="str">
        <f>IFERROR(VLOOKUP(B97,Référentiels!$M$2:$N$267,2,FALSE),"Ingrédient non trouvé")</f>
        <v>PRL002</v>
      </c>
      <c r="B97" t="str">
        <f>+tbl_IngrédientsRef[[#This Row],[Ingrédient]]</f>
        <v>Oeufs Jaune</v>
      </c>
      <c r="C97" t="str">
        <f>INDEX(tbl_IngrédientsRef[Unité], MATCH(A97, tbl_IngrédientsRef[Cde_Ingrdt],0))</f>
        <v>Pièce</v>
      </c>
      <c r="D97" s="21">
        <f>IFERROR(INDEX(tbl_IngrédientsRef[[#This Row],[PU_effectif_g/ml]], MATCH(tbl_Stock[[#This Row],[Cde_Ingrdt]], tbl_IngrédientsRef[[#This Row],[Cde_Ingrdt]], 0)), 0)</f>
        <v>1.8</v>
      </c>
      <c r="E97">
        <v>1500</v>
      </c>
      <c r="F97" s="57">
        <f>tbl_Stock[[#This Row],[Stock Départ]] * INDEX(tbl_IngrédientsRef[Prix/Uni Base], MATCH(tbl_Stock[[#This Row],[Cde_Ingrdt]], tbl_IngrédientsRef[Cde_Ingrdt], 0))</f>
        <v>2700</v>
      </c>
      <c r="G97">
        <f>SUMIF(tbl_Achats[Cde_Ingrdt],tbl_Stock[[#This Row],[Cde_Ingrdt]],tbl_Achats[Qté d''Achat])</f>
        <v>0</v>
      </c>
      <c r="H97" s="21">
        <f t="array" ref="H97">SUMPRODUCT((tbl_Achats[Cde_Ingrdt]=tbl_Stock[[#This Row],[Cde_Ingrdt]]) * tbl_Achats[Qté d''Achat] * tbl_Achats[Prix Achat Unitaire])</f>
        <v>0</v>
      </c>
      <c r="I97">
        <v>340</v>
      </c>
      <c r="J97" s="21">
        <f ca="1">tbl_Stock[[#This Row],[Stock Courant]] * tbl_Stock[[#This Row],[CMP effectif]]</f>
        <v>2700</v>
      </c>
      <c r="K97">
        <f ca="1">tbl_Stock[[#This Row],[Stock Départ]] + SUMIF(tbl_Achats[Cde_Ingrdt],tbl_Stock[[#This Row],[Cde_Ingrdt]],tbl_Achats[[#This Row],[Qté d''Achat]])</f>
        <v>1500</v>
      </c>
      <c r="L97" s="7">
        <f ca="1">IFERROR((tbl_Stock[[#This Row],[Valeur stock initiale]] + tbl_Stock[[#This Row],[ Valeur Achat]]) / tbl_Stock[[#This Row],[Quantité totale]], 0)</f>
        <v>1.8</v>
      </c>
      <c r="M97" s="7">
        <f>SUMIF(tbl_Sorties[[Code ingrédient ]], tbl_Stock[[#This Row],[Cde_Ingrdt]], tbl_Sorties[Qté Sortie])</f>
        <v>0</v>
      </c>
      <c r="N97" s="57">
        <f>tbl_Stock[[#This Row],[Stock Départ]] + tbl_Stock[[#This Row],[Achats Cumulées]] - tbl_Stock[[#This Row],[ Sortie cumulée]]</f>
        <v>1500</v>
      </c>
      <c r="O97">
        <v>100</v>
      </c>
      <c r="P97" t="str">
        <f>IF(tbl_Stock[[#This Row],[Stock Courant]] &lt; tbl_Stock[[#This Row],[Seuil critique]], "⚠️ Alerte", "OK")</f>
        <v>OK</v>
      </c>
    </row>
    <row r="98" spans="1:16" x14ac:dyDescent="0.25">
      <c r="A98" t="str">
        <f>IFERROR(VLOOKUP(B98,Référentiels!$M$2:$N$267,2,FALSE),"Ingrédient non trouvé")</f>
        <v>PRL003</v>
      </c>
      <c r="B98" t="str">
        <f>+tbl_IngrédientsRef[[#This Row],[Ingrédient]]</f>
        <v>Yaourt</v>
      </c>
      <c r="C98" t="str">
        <f>INDEX(tbl_IngrédientsRef[Unité], MATCH(A98, tbl_IngrédientsRef[Cde_Ingrdt],0))</f>
        <v>Pièce</v>
      </c>
      <c r="D98" s="21">
        <f>IFERROR(INDEX(tbl_IngrédientsRef[[#This Row],[PU_effectif_g/ml]], MATCH(tbl_Stock[[#This Row],[Cde_Ingrdt]], tbl_IngrédientsRef[[#This Row],[Cde_Ingrdt]], 0)), 0)</f>
        <v>2.5</v>
      </c>
      <c r="E98">
        <v>1500</v>
      </c>
      <c r="F98" s="57">
        <f>tbl_Stock[[#This Row],[Stock Départ]] * INDEX(tbl_IngrédientsRef[Prix/Uni Base], MATCH(tbl_Stock[[#This Row],[Cde_Ingrdt]], tbl_IngrédientsRef[Cde_Ingrdt], 0))</f>
        <v>3750</v>
      </c>
      <c r="G98">
        <f>SUMIF(tbl_Achats[Cde_Ingrdt],tbl_Stock[[#This Row],[Cde_Ingrdt]],tbl_Achats[Qté d''Achat])</f>
        <v>0</v>
      </c>
      <c r="H98" s="21">
        <f t="array" ref="H98">SUMPRODUCT((tbl_Achats[Cde_Ingrdt]=tbl_Stock[[#This Row],[Cde_Ingrdt]]) * tbl_Achats[Qté d''Achat] * tbl_Achats[Prix Achat Unitaire])</f>
        <v>0</v>
      </c>
      <c r="I98">
        <v>250</v>
      </c>
      <c r="J98" s="21">
        <f ca="1">tbl_Stock[[#This Row],[Stock Courant]] * tbl_Stock[[#This Row],[CMP effectif]]</f>
        <v>3750</v>
      </c>
      <c r="K98">
        <f ca="1">tbl_Stock[[#This Row],[Stock Départ]] + SUMIF(tbl_Achats[Cde_Ingrdt],tbl_Stock[[#This Row],[Cde_Ingrdt]],tbl_Achats[[#This Row],[Qté d''Achat]])</f>
        <v>1500</v>
      </c>
      <c r="L98" s="7">
        <f ca="1">IFERROR((tbl_Stock[[#This Row],[Valeur stock initiale]] + tbl_Stock[[#This Row],[ Valeur Achat]]) / tbl_Stock[[#This Row],[Quantité totale]], 0)</f>
        <v>2.5</v>
      </c>
      <c r="M98" s="7">
        <f>SUMIF(tbl_Sorties[[Code ingrédient ]], tbl_Stock[[#This Row],[Cde_Ingrdt]], tbl_Sorties[Qté Sortie])</f>
        <v>0</v>
      </c>
      <c r="N98" s="57">
        <f>tbl_Stock[[#This Row],[Stock Départ]] + tbl_Stock[[#This Row],[Achats Cumulées]] - tbl_Stock[[#This Row],[ Sortie cumulée]]</f>
        <v>1500</v>
      </c>
      <c r="O98">
        <v>100</v>
      </c>
      <c r="P98" t="str">
        <f>IF(tbl_Stock[[#This Row],[Stock Courant]] &lt; tbl_Stock[[#This Row],[Seuil critique]], "⚠️ Alerte", "OK")</f>
        <v>OK</v>
      </c>
    </row>
    <row r="99" spans="1:16" x14ac:dyDescent="0.25">
      <c r="A99" t="str">
        <f>IFERROR(VLOOKUP(B99,Référentiels!$M$2:$N$267,2,FALSE),"Ingrédient non trouvé")</f>
        <v>PRL004</v>
      </c>
      <c r="B99" t="str">
        <f>+tbl_IngrédientsRef[[#This Row],[Ingrédient]]</f>
        <v>Oeufs Blanc</v>
      </c>
      <c r="C99" t="str">
        <f>INDEX(tbl_IngrédientsRef[Unité], MATCH(A99, tbl_IngrédientsRef[Cde_Ingrdt],0))</f>
        <v>Pièce</v>
      </c>
      <c r="D99" s="21">
        <f>IFERROR(INDEX(tbl_IngrédientsRef[[#This Row],[PU_effectif_g/ml]], MATCH(tbl_Stock[[#This Row],[Cde_Ingrdt]], tbl_IngrédientsRef[[#This Row],[Cde_Ingrdt]], 0)), 0)</f>
        <v>1.8</v>
      </c>
      <c r="E99">
        <v>1500</v>
      </c>
      <c r="F99" s="57">
        <f>tbl_Stock[[#This Row],[Stock Départ]] * INDEX(tbl_IngrédientsRef[Prix/Uni Base], MATCH(tbl_Stock[[#This Row],[Cde_Ingrdt]], tbl_IngrédientsRef[Cde_Ingrdt], 0))</f>
        <v>2700</v>
      </c>
      <c r="G99">
        <f>SUMIF(tbl_Achats[Cde_Ingrdt],tbl_Stock[[#This Row],[Cde_Ingrdt]],tbl_Achats[Qté d''Achat])</f>
        <v>0</v>
      </c>
      <c r="H99" s="21">
        <f t="array" ref="H99">SUMPRODUCT((tbl_Achats[Cde_Ingrdt]=tbl_Stock[[#This Row],[Cde_Ingrdt]]) * tbl_Achats[Qté d''Achat] * tbl_Achats[Prix Achat Unitaire])</f>
        <v>0</v>
      </c>
      <c r="I99">
        <v>230</v>
      </c>
      <c r="J99" s="21">
        <f ca="1">tbl_Stock[[#This Row],[Stock Courant]] * tbl_Stock[[#This Row],[CMP effectif]]</f>
        <v>2700</v>
      </c>
      <c r="K99">
        <f ca="1">tbl_Stock[[#This Row],[Stock Départ]] + SUMIF(tbl_Achats[Cde_Ingrdt],tbl_Stock[[#This Row],[Cde_Ingrdt]],tbl_Achats[[#This Row],[Qté d''Achat]])</f>
        <v>1500</v>
      </c>
      <c r="L99" s="7">
        <f ca="1">IFERROR((tbl_Stock[[#This Row],[Valeur stock initiale]] + tbl_Stock[[#This Row],[ Valeur Achat]]) / tbl_Stock[[#This Row],[Quantité totale]], 0)</f>
        <v>1.8</v>
      </c>
      <c r="M99" s="7">
        <f>SUMIF(tbl_Sorties[[Code ingrédient ]], tbl_Stock[[#This Row],[Cde_Ingrdt]], tbl_Sorties[Qté Sortie])</f>
        <v>0</v>
      </c>
      <c r="N99" s="57">
        <f>tbl_Stock[[#This Row],[Stock Départ]] + tbl_Stock[[#This Row],[Achats Cumulées]] - tbl_Stock[[#This Row],[ Sortie cumulée]]</f>
        <v>1500</v>
      </c>
      <c r="O99">
        <v>100</v>
      </c>
      <c r="P99" t="str">
        <f>IF(tbl_Stock[[#This Row],[Stock Courant]] &lt; tbl_Stock[[#This Row],[Seuil critique]], "⚠️ Alerte", "OK")</f>
        <v>OK</v>
      </c>
    </row>
    <row r="100" spans="1:16" x14ac:dyDescent="0.25">
      <c r="A100" t="str">
        <f>IFERROR(VLOOKUP(B100,Référentiels!$M$2:$N$267,2,FALSE),"Ingrédient non trouvé")</f>
        <v>PRL005</v>
      </c>
      <c r="B100" t="str">
        <f>+tbl_IngrédientsRef[[#This Row],[Ingrédient]]</f>
        <v>Fromage Blanc</v>
      </c>
      <c r="C100" t="str">
        <f>INDEX(tbl_IngrédientsRef[Unité], MATCH(A100, tbl_IngrédientsRef[Cde_Ingrdt],0))</f>
        <v>g</v>
      </c>
      <c r="D100" s="21">
        <f>IFERROR(INDEX(tbl_IngrédientsRef[[#This Row],[PU_effectif_g/ml]], MATCH(tbl_Stock[[#This Row],[Cde_Ingrdt]], tbl_IngrédientsRef[[#This Row],[Cde_Ingrdt]], 0)), 0)</f>
        <v>0.05</v>
      </c>
      <c r="E100">
        <v>1500</v>
      </c>
      <c r="F100" s="57">
        <f>tbl_Stock[[#This Row],[Stock Départ]] * INDEX(tbl_IngrédientsRef[Prix/Uni Base], MATCH(tbl_Stock[[#This Row],[Cde_Ingrdt]], tbl_IngrédientsRef[Cde_Ingrdt], 0))</f>
        <v>75</v>
      </c>
      <c r="G100">
        <f>SUMIF(tbl_Achats[Cde_Ingrdt],tbl_Stock[[#This Row],[Cde_Ingrdt]],tbl_Achats[Qté d''Achat])</f>
        <v>0</v>
      </c>
      <c r="H100" s="21">
        <f t="array" ref="H100">SUMPRODUCT((tbl_Achats[Cde_Ingrdt]=tbl_Stock[[#This Row],[Cde_Ingrdt]]) * tbl_Achats[Qté d''Achat] * tbl_Achats[Prix Achat Unitaire])</f>
        <v>0</v>
      </c>
      <c r="I100">
        <v>300</v>
      </c>
      <c r="J100" s="21">
        <f ca="1">tbl_Stock[[#This Row],[Stock Courant]] * tbl_Stock[[#This Row],[CMP effectif]]</f>
        <v>75</v>
      </c>
      <c r="K100">
        <f ca="1">tbl_Stock[[#This Row],[Stock Départ]] + SUMIF(tbl_Achats[Cde_Ingrdt],tbl_Stock[[#This Row],[Cde_Ingrdt]],tbl_Achats[[#This Row],[Qté d''Achat]])</f>
        <v>1500</v>
      </c>
      <c r="L100" s="7">
        <f ca="1">IFERROR((tbl_Stock[[#This Row],[Valeur stock initiale]] + tbl_Stock[[#This Row],[ Valeur Achat]]) / tbl_Stock[[#This Row],[Quantité totale]], 0)</f>
        <v>0.05</v>
      </c>
      <c r="M100" s="7">
        <f>SUMIF(tbl_Sorties[[Code ingrédient ]], tbl_Stock[[#This Row],[Cde_Ingrdt]], tbl_Sorties[Qté Sortie])</f>
        <v>0</v>
      </c>
      <c r="N100" s="57">
        <f>tbl_Stock[[#This Row],[Stock Départ]] + tbl_Stock[[#This Row],[Achats Cumulées]] - tbl_Stock[[#This Row],[ Sortie cumulée]]</f>
        <v>1500</v>
      </c>
      <c r="O100">
        <v>100</v>
      </c>
      <c r="P100" t="str">
        <f>IF(tbl_Stock[[#This Row],[Stock Courant]] &lt; tbl_Stock[[#This Row],[Seuil critique]], "⚠️ Alerte", "OK")</f>
        <v>OK</v>
      </c>
    </row>
    <row r="101" spans="1:16" x14ac:dyDescent="0.25">
      <c r="A101" t="str">
        <f>IFERROR(VLOOKUP(B101,Référentiels!$M$2:$N$267,2,FALSE),"Ingrédient non trouvé")</f>
        <v>PRL006</v>
      </c>
      <c r="B101" t="str">
        <f>+tbl_IngrédientsRef[[#This Row],[Ingrédient]]</f>
        <v>Fromage Triangle</v>
      </c>
      <c r="C101" t="str">
        <f>INDEX(tbl_IngrédientsRef[Unité], MATCH(A101, tbl_IngrédientsRef[Cde_Ingrdt],0))</f>
        <v>Pièce</v>
      </c>
      <c r="D101" s="21">
        <f>IFERROR(INDEX(tbl_IngrédientsRef[[#This Row],[PU_effectif_g/ml]], MATCH(tbl_Stock[[#This Row],[Cde_Ingrdt]], tbl_IngrédientsRef[[#This Row],[Cde_Ingrdt]], 0)), 0)</f>
        <v>1.2</v>
      </c>
      <c r="E101">
        <v>1500</v>
      </c>
      <c r="F101" s="57">
        <f>tbl_Stock[[#This Row],[Stock Départ]] * INDEX(tbl_IngrédientsRef[Prix/Uni Base], MATCH(tbl_Stock[[#This Row],[Cde_Ingrdt]], tbl_IngrédientsRef[Cde_Ingrdt], 0))</f>
        <v>1800</v>
      </c>
      <c r="G101">
        <f>SUMIF(tbl_Achats[Cde_Ingrdt],tbl_Stock[[#This Row],[Cde_Ingrdt]],tbl_Achats[Qté d''Achat])</f>
        <v>0</v>
      </c>
      <c r="H101" s="21">
        <f t="array" ref="H101">SUMPRODUCT((tbl_Achats[Cde_Ingrdt]=tbl_Stock[[#This Row],[Cde_Ingrdt]]) * tbl_Achats[Qté d''Achat] * tbl_Achats[Prix Achat Unitaire])</f>
        <v>0</v>
      </c>
      <c r="I101">
        <v>340</v>
      </c>
      <c r="J101" s="21">
        <f ca="1">tbl_Stock[[#This Row],[Stock Courant]] * tbl_Stock[[#This Row],[CMP effectif]]</f>
        <v>1800</v>
      </c>
      <c r="K101">
        <f ca="1">tbl_Stock[[#This Row],[Stock Départ]] + SUMIF(tbl_Achats[Cde_Ingrdt],tbl_Stock[[#This Row],[Cde_Ingrdt]],tbl_Achats[[#This Row],[Qté d''Achat]])</f>
        <v>1500</v>
      </c>
      <c r="L101" s="7">
        <f ca="1">IFERROR((tbl_Stock[[#This Row],[Valeur stock initiale]] + tbl_Stock[[#This Row],[ Valeur Achat]]) / tbl_Stock[[#This Row],[Quantité totale]], 0)</f>
        <v>1.2</v>
      </c>
      <c r="M101" s="7">
        <f>SUMIF(tbl_Sorties[[Code ingrédient ]], tbl_Stock[[#This Row],[Cde_Ingrdt]], tbl_Sorties[Qté Sortie])</f>
        <v>0</v>
      </c>
      <c r="N101" s="57">
        <f>tbl_Stock[[#This Row],[Stock Départ]] + tbl_Stock[[#This Row],[Achats Cumulées]] - tbl_Stock[[#This Row],[ Sortie cumulée]]</f>
        <v>1500</v>
      </c>
      <c r="O101">
        <v>100</v>
      </c>
      <c r="P101" t="str">
        <f>IF(tbl_Stock[[#This Row],[Stock Courant]] &lt; tbl_Stock[[#This Row],[Seuil critique]], "⚠️ Alerte", "OK")</f>
        <v>OK</v>
      </c>
    </row>
    <row r="102" spans="1:16" x14ac:dyDescent="0.25">
      <c r="A102" t="str">
        <f>IFERROR(VLOOKUP(B102,Référentiels!$M$2:$N$267,2,FALSE),"Ingrédient non trouvé")</f>
        <v>PRL007</v>
      </c>
      <c r="B102" t="str">
        <f>+tbl_IngrédientsRef[[#This Row],[Ingrédient]]</f>
        <v>Fromage Râpé</v>
      </c>
      <c r="C102" t="str">
        <f>INDEX(tbl_IngrédientsRef[Unité], MATCH(A102, tbl_IngrédientsRef[Cde_Ingrdt],0))</f>
        <v>g</v>
      </c>
      <c r="D102" s="21">
        <f>IFERROR(INDEX(tbl_IngrédientsRef[[#This Row],[PU_effectif_g/ml]], MATCH(tbl_Stock[[#This Row],[Cde_Ingrdt]], tbl_IngrédientsRef[[#This Row],[Cde_Ingrdt]], 0)), 0)</f>
        <v>0.16400000000000001</v>
      </c>
      <c r="E102">
        <v>1500</v>
      </c>
      <c r="F102" s="57">
        <f>tbl_Stock[[#This Row],[Stock Départ]] * INDEX(tbl_IngrédientsRef[Prix/Uni Base], MATCH(tbl_Stock[[#This Row],[Cde_Ingrdt]], tbl_IngrédientsRef[Cde_Ingrdt], 0))</f>
        <v>246</v>
      </c>
      <c r="G102">
        <f>SUMIF(tbl_Achats[Cde_Ingrdt],tbl_Stock[[#This Row],[Cde_Ingrdt]],tbl_Achats[Qté d''Achat])</f>
        <v>0</v>
      </c>
      <c r="H102" s="21">
        <f t="array" ref="H102">SUMPRODUCT((tbl_Achats[Cde_Ingrdt]=tbl_Stock[[#This Row],[Cde_Ingrdt]]) * tbl_Achats[Qté d''Achat] * tbl_Achats[Prix Achat Unitaire])</f>
        <v>0</v>
      </c>
      <c r="I102">
        <v>250</v>
      </c>
      <c r="J102" s="21">
        <f ca="1">tbl_Stock[[#This Row],[Stock Courant]] * tbl_Stock[[#This Row],[CMP effectif]]</f>
        <v>246</v>
      </c>
      <c r="K102">
        <f ca="1">tbl_Stock[[#This Row],[Stock Départ]] + SUMIF(tbl_Achats[Cde_Ingrdt],tbl_Stock[[#This Row],[Cde_Ingrdt]],tbl_Achats[[#This Row],[Qté d''Achat]])</f>
        <v>1500</v>
      </c>
      <c r="L102" s="7">
        <f ca="1">IFERROR((tbl_Stock[[#This Row],[Valeur stock initiale]] + tbl_Stock[[#This Row],[ Valeur Achat]]) / tbl_Stock[[#This Row],[Quantité totale]], 0)</f>
        <v>0.16400000000000001</v>
      </c>
      <c r="M102" s="7">
        <f>SUMIF(tbl_Sorties[[Code ingrédient ]], tbl_Stock[[#This Row],[Cde_Ingrdt]], tbl_Sorties[Qté Sortie])</f>
        <v>0</v>
      </c>
      <c r="N102" s="57">
        <f>tbl_Stock[[#This Row],[Stock Départ]] + tbl_Stock[[#This Row],[Achats Cumulées]] - tbl_Stock[[#This Row],[ Sortie cumulée]]</f>
        <v>1500</v>
      </c>
      <c r="O102">
        <v>100</v>
      </c>
      <c r="P102" t="str">
        <f>IF(tbl_Stock[[#This Row],[Stock Courant]] &lt; tbl_Stock[[#This Row],[Seuil critique]], "⚠️ Alerte", "OK")</f>
        <v>OK</v>
      </c>
    </row>
    <row r="103" spans="1:16" x14ac:dyDescent="0.25">
      <c r="A103" t="str">
        <f>IFERROR(VLOOKUP(B103,Référentiels!$M$2:$N$267,2,FALSE),"Ingrédient non trouvé")</f>
        <v>PRL005</v>
      </c>
      <c r="B103" t="str">
        <f>+tbl_IngrédientsRef[[#This Row],[Ingrédient]]</f>
        <v>Fromage Blanc</v>
      </c>
      <c r="C103" t="str">
        <f>INDEX(tbl_IngrédientsRef[Unité], MATCH(A103, tbl_IngrédientsRef[Cde_Ingrdt],0))</f>
        <v>g</v>
      </c>
      <c r="D103" s="21">
        <f>IFERROR(INDEX(tbl_IngrédientsRef[[#This Row],[PU_effectif_g/ml]], MATCH(tbl_Stock[[#This Row],[Cde_Ingrdt]], tbl_IngrédientsRef[[#This Row],[Cde_Ingrdt]], 0)), 0)</f>
        <v>0</v>
      </c>
      <c r="E103">
        <v>1500</v>
      </c>
      <c r="F103" s="57">
        <f>tbl_Stock[[#This Row],[Stock Départ]] * INDEX(tbl_IngrédientsRef[Prix/Uni Base], MATCH(tbl_Stock[[#This Row],[Cde_Ingrdt]], tbl_IngrédientsRef[Cde_Ingrdt], 0))</f>
        <v>75</v>
      </c>
      <c r="G103">
        <f>SUMIF(tbl_Achats[Cde_Ingrdt],tbl_Stock[[#This Row],[Cde_Ingrdt]],tbl_Achats[Qté d''Achat])</f>
        <v>0</v>
      </c>
      <c r="H103" s="21">
        <f t="array" ref="H103">SUMPRODUCT((tbl_Achats[Cde_Ingrdt]=tbl_Stock[[#This Row],[Cde_Ingrdt]]) * tbl_Achats[Qté d''Achat] * tbl_Achats[Prix Achat Unitaire])</f>
        <v>0</v>
      </c>
      <c r="I103">
        <v>230</v>
      </c>
      <c r="J103" s="21">
        <f ca="1">tbl_Stock[[#This Row],[Stock Courant]] * tbl_Stock[[#This Row],[CMP effectif]]</f>
        <v>75</v>
      </c>
      <c r="K103">
        <f ca="1">tbl_Stock[[#This Row],[Stock Départ]] + SUMIF(tbl_Achats[Cde_Ingrdt],tbl_Stock[[#This Row],[Cde_Ingrdt]],tbl_Achats[[#This Row],[Qté d''Achat]])</f>
        <v>1500</v>
      </c>
      <c r="L103" s="7">
        <f ca="1">IFERROR((tbl_Stock[[#This Row],[Valeur stock initiale]] + tbl_Stock[[#This Row],[ Valeur Achat]]) / tbl_Stock[[#This Row],[Quantité totale]], 0)</f>
        <v>0.05</v>
      </c>
      <c r="M103" s="7">
        <f>SUMIF(tbl_Sorties[[Code ingrédient ]], tbl_Stock[[#This Row],[Cde_Ingrdt]], tbl_Sorties[Qté Sortie])</f>
        <v>0</v>
      </c>
      <c r="N103" s="57">
        <f>tbl_Stock[[#This Row],[Stock Départ]] + tbl_Stock[[#This Row],[Achats Cumulées]] - tbl_Stock[[#This Row],[ Sortie cumulée]]</f>
        <v>1500</v>
      </c>
      <c r="O103">
        <v>100</v>
      </c>
      <c r="P103" t="str">
        <f>IF(tbl_Stock[[#This Row],[Stock Courant]] &lt; tbl_Stock[[#This Row],[Seuil critique]], "⚠️ Alerte", "OK")</f>
        <v>OK</v>
      </c>
    </row>
    <row r="104" spans="1:16" x14ac:dyDescent="0.25">
      <c r="A104" t="str">
        <f>IFERROR(VLOOKUP(B104,Référentiels!$M$2:$N$267,2,FALSE),"Ingrédient non trouvé")</f>
        <v>PRL009</v>
      </c>
      <c r="B104" t="str">
        <f>+tbl_IngrédientsRef[[#This Row],[Ingrédient]]</f>
        <v>Fromage Spécial</v>
      </c>
      <c r="C104" t="str">
        <f>INDEX(tbl_IngrédientsRef[Unité], MATCH(A104, tbl_IngrédientsRef[Cde_Ingrdt],0))</f>
        <v>g</v>
      </c>
      <c r="D104" s="21">
        <f>IFERROR(INDEX(tbl_IngrédientsRef[[#This Row],[PU_effectif_g/ml]], MATCH(tbl_Stock[[#This Row],[Cde_Ingrdt]], tbl_IngrédientsRef[[#This Row],[Cde_Ingrdt]], 0)), 0)</f>
        <v>0.4</v>
      </c>
      <c r="E104">
        <v>1500</v>
      </c>
      <c r="F104" s="57">
        <f>tbl_Stock[[#This Row],[Stock Départ]] * INDEX(tbl_IngrédientsRef[Prix/Uni Base], MATCH(tbl_Stock[[#This Row],[Cde_Ingrdt]], tbl_IngrédientsRef[Cde_Ingrdt], 0))</f>
        <v>600</v>
      </c>
      <c r="G104">
        <f>SUMIF(tbl_Achats[Cde_Ingrdt],tbl_Stock[[#This Row],[Cde_Ingrdt]],tbl_Achats[Qté d''Achat])</f>
        <v>0</v>
      </c>
      <c r="H104" s="21">
        <f t="array" ref="H104">SUMPRODUCT((tbl_Achats[Cde_Ingrdt]=tbl_Stock[[#This Row],[Cde_Ingrdt]]) * tbl_Achats[Qté d''Achat] * tbl_Achats[Prix Achat Unitaire])</f>
        <v>0</v>
      </c>
      <c r="I104">
        <v>300</v>
      </c>
      <c r="J104" s="21">
        <f ca="1">tbl_Stock[[#This Row],[Stock Courant]] * tbl_Stock[[#This Row],[CMP effectif]]</f>
        <v>600</v>
      </c>
      <c r="K104">
        <f ca="1">tbl_Stock[[#This Row],[Stock Départ]] + SUMIF(tbl_Achats[Cde_Ingrdt],tbl_Stock[[#This Row],[Cde_Ingrdt]],tbl_Achats[[#This Row],[Qté d''Achat]])</f>
        <v>1500</v>
      </c>
      <c r="L104" s="7">
        <f ca="1">IFERROR((tbl_Stock[[#This Row],[Valeur stock initiale]] + tbl_Stock[[#This Row],[ Valeur Achat]]) / tbl_Stock[[#This Row],[Quantité totale]], 0)</f>
        <v>0.4</v>
      </c>
      <c r="M104" s="7">
        <f>SUMIF(tbl_Sorties[[Code ingrédient ]], tbl_Stock[[#This Row],[Cde_Ingrdt]], tbl_Sorties[Qté Sortie])</f>
        <v>0</v>
      </c>
      <c r="N104" s="57">
        <f>tbl_Stock[[#This Row],[Stock Départ]] + tbl_Stock[[#This Row],[Achats Cumulées]] - tbl_Stock[[#This Row],[ Sortie cumulée]]</f>
        <v>1500</v>
      </c>
      <c r="O104">
        <v>100</v>
      </c>
      <c r="P104" t="str">
        <f>IF(tbl_Stock[[#This Row],[Stock Courant]] &lt; tbl_Stock[[#This Row],[Seuil critique]], "⚠️ Alerte", "OK")</f>
        <v>OK</v>
      </c>
    </row>
    <row r="105" spans="1:16" x14ac:dyDescent="0.25">
      <c r="A105" t="str">
        <f>IFERROR(VLOOKUP(B105,Référentiels!$M$2:$N$267,2,FALSE),"Ingrédient non trouvé")</f>
        <v>PRL010</v>
      </c>
      <c r="B105" t="str">
        <f>+tbl_IngrédientsRef[[#This Row],[Ingrédient]]</f>
        <v>Lait</v>
      </c>
      <c r="C105" t="str">
        <f>INDEX(tbl_IngrédientsRef[Unité], MATCH(A105, tbl_IngrédientsRef[Cde_Ingrdt],0))</f>
        <v>ml</v>
      </c>
      <c r="D105" s="21">
        <f>IFERROR(INDEX(tbl_IngrédientsRef[[#This Row],[PU_effectif_g/ml]], MATCH(tbl_Stock[[#This Row],[Cde_Ingrdt]], tbl_IngrédientsRef[[#This Row],[Cde_Ingrdt]], 0)), 0)</f>
        <v>1.4999999999999999E-2</v>
      </c>
      <c r="E105">
        <v>1500</v>
      </c>
      <c r="F105" s="57">
        <f>tbl_Stock[[#This Row],[Stock Départ]] * INDEX(tbl_IngrédientsRef[Prix/Uni Base], MATCH(tbl_Stock[[#This Row],[Cde_Ingrdt]], tbl_IngrédientsRef[Cde_Ingrdt], 0))</f>
        <v>22.5</v>
      </c>
      <c r="G105">
        <f>SUMIF(tbl_Achats[Cde_Ingrdt],tbl_Stock[[#This Row],[Cde_Ingrdt]],tbl_Achats[Qté d''Achat])</f>
        <v>0</v>
      </c>
      <c r="H105" s="21">
        <f t="array" ref="H105">SUMPRODUCT((tbl_Achats[Cde_Ingrdt]=tbl_Stock[[#This Row],[Cde_Ingrdt]]) * tbl_Achats[Qté d''Achat] * tbl_Achats[Prix Achat Unitaire])</f>
        <v>0</v>
      </c>
      <c r="I105">
        <v>340</v>
      </c>
      <c r="J105" s="21">
        <f ca="1">tbl_Stock[[#This Row],[Stock Courant]] * tbl_Stock[[#This Row],[CMP effectif]]</f>
        <v>22.5</v>
      </c>
      <c r="K105">
        <f ca="1">tbl_Stock[[#This Row],[Stock Départ]] + SUMIF(tbl_Achats[Cde_Ingrdt],tbl_Stock[[#This Row],[Cde_Ingrdt]],tbl_Achats[[#This Row],[Qté d''Achat]])</f>
        <v>1500</v>
      </c>
      <c r="L105" s="7">
        <f ca="1">IFERROR((tbl_Stock[[#This Row],[Valeur stock initiale]] + tbl_Stock[[#This Row],[ Valeur Achat]]) / tbl_Stock[[#This Row],[Quantité totale]], 0)</f>
        <v>1.4999999999999999E-2</v>
      </c>
      <c r="M105" s="7">
        <f>SUMIF(tbl_Sorties[[Code ingrédient ]], tbl_Stock[[#This Row],[Cde_Ingrdt]], tbl_Sorties[Qté Sortie])</f>
        <v>0</v>
      </c>
      <c r="N105" s="57">
        <f>tbl_Stock[[#This Row],[Stock Départ]] + tbl_Stock[[#This Row],[Achats Cumulées]] - tbl_Stock[[#This Row],[ Sortie cumulée]]</f>
        <v>1500</v>
      </c>
      <c r="O105">
        <v>100</v>
      </c>
      <c r="P105" t="str">
        <f>IF(tbl_Stock[[#This Row],[Stock Courant]] &lt; tbl_Stock[[#This Row],[Seuil critique]], "⚠️ Alerte", "OK")</f>
        <v>OK</v>
      </c>
    </row>
    <row r="106" spans="1:16" x14ac:dyDescent="0.25">
      <c r="A106" t="str">
        <f>IFERROR(VLOOKUP(B106,Référentiels!$M$2:$N$267,2,FALSE),"Ingrédient non trouvé")</f>
        <v>PRL011</v>
      </c>
      <c r="B106" t="str">
        <f>+tbl_IngrédientsRef[[#This Row],[Ingrédient]]</f>
        <v>Lait Concentré</v>
      </c>
      <c r="C106" t="str">
        <f>INDEX(tbl_IngrédientsRef[Unité], MATCH(A106, tbl_IngrédientsRef[Cde_Ingrdt],0))</f>
        <v>ml</v>
      </c>
      <c r="D106" s="21">
        <f>IFERROR(INDEX(tbl_IngrédientsRef[[#This Row],[PU_effectif_g/ml]], MATCH(tbl_Stock[[#This Row],[Cde_Ingrdt]], tbl_IngrédientsRef[[#This Row],[Cde_Ingrdt]], 0)), 0)</f>
        <v>0.08</v>
      </c>
      <c r="E106">
        <v>1500</v>
      </c>
      <c r="F106" s="57">
        <f>tbl_Stock[[#This Row],[Stock Départ]] * INDEX(tbl_IngrédientsRef[Prix/Uni Base], MATCH(tbl_Stock[[#This Row],[Cde_Ingrdt]], tbl_IngrédientsRef[Cde_Ingrdt], 0))</f>
        <v>120</v>
      </c>
      <c r="G106">
        <f>SUMIF(tbl_Achats[Cde_Ingrdt],tbl_Stock[[#This Row],[Cde_Ingrdt]],tbl_Achats[Qté d''Achat])</f>
        <v>0</v>
      </c>
      <c r="H106" s="21">
        <f t="array" ref="H106">SUMPRODUCT((tbl_Achats[Cde_Ingrdt]=tbl_Stock[[#This Row],[Cde_Ingrdt]]) * tbl_Achats[Qté d''Achat] * tbl_Achats[Prix Achat Unitaire])</f>
        <v>0</v>
      </c>
      <c r="I106">
        <v>250</v>
      </c>
      <c r="J106" s="21">
        <f ca="1">tbl_Stock[[#This Row],[Stock Courant]] * tbl_Stock[[#This Row],[CMP effectif]]</f>
        <v>120</v>
      </c>
      <c r="K106">
        <f ca="1">tbl_Stock[[#This Row],[Stock Départ]] + SUMIF(tbl_Achats[Cde_Ingrdt],tbl_Stock[[#This Row],[Cde_Ingrdt]],tbl_Achats[[#This Row],[Qté d''Achat]])</f>
        <v>1500</v>
      </c>
      <c r="L106" s="7">
        <f ca="1">IFERROR((tbl_Stock[[#This Row],[Valeur stock initiale]] + tbl_Stock[[#This Row],[ Valeur Achat]]) / tbl_Stock[[#This Row],[Quantité totale]], 0)</f>
        <v>0.08</v>
      </c>
      <c r="M106" s="7">
        <f>SUMIF(tbl_Sorties[[Code ingrédient ]], tbl_Stock[[#This Row],[Cde_Ingrdt]], tbl_Sorties[Qté Sortie])</f>
        <v>0</v>
      </c>
      <c r="N106" s="57">
        <f>tbl_Stock[[#This Row],[Stock Départ]] + tbl_Stock[[#This Row],[Achats Cumulées]] - tbl_Stock[[#This Row],[ Sortie cumulée]]</f>
        <v>1500</v>
      </c>
      <c r="O106">
        <v>100</v>
      </c>
      <c r="P106" t="str">
        <f>IF(tbl_Stock[[#This Row],[Stock Courant]] &lt; tbl_Stock[[#This Row],[Seuil critique]], "⚠️ Alerte", "OK")</f>
        <v>OK</v>
      </c>
    </row>
    <row r="107" spans="1:16" x14ac:dyDescent="0.25">
      <c r="A107" t="str">
        <f>IFERROR(VLOOKUP(B107,Référentiels!$M$2:$N$267,2,FALSE),"Ingrédient non trouvé")</f>
        <v>PRL012</v>
      </c>
      <c r="B107" t="str">
        <f>+tbl_IngrédientsRef[[#This Row],[Ingrédient]]</f>
        <v>Beurre De Table</v>
      </c>
      <c r="C107" t="str">
        <f>INDEX(tbl_IngrédientsRef[Unité], MATCH(A107, tbl_IngrédientsRef[Cde_Ingrdt],0))</f>
        <v>g</v>
      </c>
      <c r="D107" s="21">
        <f>IFERROR(INDEX(tbl_IngrédientsRef[[#This Row],[PU_effectif_g/ml]], MATCH(tbl_Stock[[#This Row],[Cde_Ingrdt]], tbl_IngrédientsRef[[#This Row],[Cde_Ingrdt]], 0)), 0)</f>
        <v>0.05</v>
      </c>
      <c r="E107">
        <v>1500</v>
      </c>
      <c r="F107" s="57">
        <f>tbl_Stock[[#This Row],[Stock Départ]] * INDEX(tbl_IngrédientsRef[Prix/Uni Base], MATCH(tbl_Stock[[#This Row],[Cde_Ingrdt]], tbl_IngrédientsRef[Cde_Ingrdt], 0))</f>
        <v>75</v>
      </c>
      <c r="G107">
        <f>SUMIF(tbl_Achats[Cde_Ingrdt],tbl_Stock[[#This Row],[Cde_Ingrdt]],tbl_Achats[Qté d''Achat])</f>
        <v>0</v>
      </c>
      <c r="H107" s="21">
        <f t="array" ref="H107">SUMPRODUCT((tbl_Achats[Cde_Ingrdt]=tbl_Stock[[#This Row],[Cde_Ingrdt]]) * tbl_Achats[Qté d''Achat] * tbl_Achats[Prix Achat Unitaire])</f>
        <v>0</v>
      </c>
      <c r="I107">
        <v>230</v>
      </c>
      <c r="J107" s="21">
        <f ca="1">tbl_Stock[[#This Row],[Stock Courant]] * tbl_Stock[[#This Row],[CMP effectif]]</f>
        <v>75</v>
      </c>
      <c r="K107">
        <f ca="1">tbl_Stock[[#This Row],[Stock Départ]] + SUMIF(tbl_Achats[Cde_Ingrdt],tbl_Stock[[#This Row],[Cde_Ingrdt]],tbl_Achats[[#This Row],[Qté d''Achat]])</f>
        <v>1500</v>
      </c>
      <c r="L107" s="7">
        <f ca="1">IFERROR((tbl_Stock[[#This Row],[Valeur stock initiale]] + tbl_Stock[[#This Row],[ Valeur Achat]]) / tbl_Stock[[#This Row],[Quantité totale]], 0)</f>
        <v>0.05</v>
      </c>
      <c r="M107" s="7">
        <f>SUMIF(tbl_Sorties[[Code ingrédient ]], tbl_Stock[[#This Row],[Cde_Ingrdt]], tbl_Sorties[Qté Sortie])</f>
        <v>0</v>
      </c>
      <c r="N107" s="57">
        <f>tbl_Stock[[#This Row],[Stock Départ]] + tbl_Stock[[#This Row],[Achats Cumulées]] - tbl_Stock[[#This Row],[ Sortie cumulée]]</f>
        <v>1500</v>
      </c>
      <c r="O107">
        <v>100</v>
      </c>
      <c r="P107" t="str">
        <f>IF(tbl_Stock[[#This Row],[Stock Courant]] &lt; tbl_Stock[[#This Row],[Seuil critique]], "⚠️ Alerte", "OK")</f>
        <v>OK</v>
      </c>
    </row>
    <row r="108" spans="1:16" x14ac:dyDescent="0.25">
      <c r="A108" t="str">
        <f>IFERROR(VLOOKUP(B108,Référentiels!$M$2:$N$267,2,FALSE),"Ingrédient non trouvé")</f>
        <v>PRL013</v>
      </c>
      <c r="B108" t="str">
        <f>+tbl_IngrédientsRef[[#This Row],[Ingrédient]]</f>
        <v>Beurre Cuisine</v>
      </c>
      <c r="C108" t="str">
        <f>INDEX(tbl_IngrédientsRef[Unité], MATCH(A108, tbl_IngrédientsRef[Cde_Ingrdt],0))</f>
        <v>g</v>
      </c>
      <c r="D108" s="21">
        <f>IFERROR(INDEX(tbl_IngrédientsRef[[#This Row],[PU_effectif_g/ml]], MATCH(tbl_Stock[[#This Row],[Cde_Ingrdt]], tbl_IngrédientsRef[[#This Row],[Cde_Ingrdt]], 0)), 0)</f>
        <v>0.04</v>
      </c>
      <c r="E108">
        <v>1500</v>
      </c>
      <c r="F108" s="57">
        <f>tbl_Stock[[#This Row],[Stock Départ]] * INDEX(tbl_IngrédientsRef[Prix/Uni Base], MATCH(tbl_Stock[[#This Row],[Cde_Ingrdt]], tbl_IngrédientsRef[Cde_Ingrdt], 0))</f>
        <v>60</v>
      </c>
      <c r="G108">
        <f>SUMIF(tbl_Achats[Cde_Ingrdt],tbl_Stock[[#This Row],[Cde_Ingrdt]],tbl_Achats[Qté d''Achat])</f>
        <v>0</v>
      </c>
      <c r="H108" s="21">
        <f t="array" ref="H108">SUMPRODUCT((tbl_Achats[Cde_Ingrdt]=tbl_Stock[[#This Row],[Cde_Ingrdt]]) * tbl_Achats[Qté d''Achat] * tbl_Achats[Prix Achat Unitaire])</f>
        <v>0</v>
      </c>
      <c r="I108">
        <v>300</v>
      </c>
      <c r="J108" s="21">
        <f ca="1">tbl_Stock[[#This Row],[Stock Courant]] * tbl_Stock[[#This Row],[CMP effectif]]</f>
        <v>60</v>
      </c>
      <c r="K108">
        <f ca="1">tbl_Stock[[#This Row],[Stock Départ]] + SUMIF(tbl_Achats[Cde_Ingrdt],tbl_Stock[[#This Row],[Cde_Ingrdt]],tbl_Achats[[#This Row],[Qté d''Achat]])</f>
        <v>1500</v>
      </c>
      <c r="L108" s="7">
        <f ca="1">IFERROR((tbl_Stock[[#This Row],[Valeur stock initiale]] + tbl_Stock[[#This Row],[ Valeur Achat]]) / tbl_Stock[[#This Row],[Quantité totale]], 0)</f>
        <v>0.04</v>
      </c>
      <c r="M108" s="7">
        <f>SUMIF(tbl_Sorties[[Code ingrédient ]], tbl_Stock[[#This Row],[Cde_Ingrdt]], tbl_Sorties[Qté Sortie])</f>
        <v>0</v>
      </c>
      <c r="N108" s="57">
        <f>tbl_Stock[[#This Row],[Stock Départ]] + tbl_Stock[[#This Row],[Achats Cumulées]] - tbl_Stock[[#This Row],[ Sortie cumulée]]</f>
        <v>1500</v>
      </c>
      <c r="O108">
        <v>100</v>
      </c>
      <c r="P108" t="str">
        <f>IF(tbl_Stock[[#This Row],[Stock Courant]] &lt; tbl_Stock[[#This Row],[Seuil critique]], "⚠️ Alerte", "OK")</f>
        <v>OK</v>
      </c>
    </row>
    <row r="109" spans="1:16" x14ac:dyDescent="0.25">
      <c r="A109" t="str">
        <f>IFERROR(VLOOKUP(B109,Référentiels!$M$2:$N$267,2,FALSE),"Ingrédient non trouvé")</f>
        <v>PRL014</v>
      </c>
      <c r="B109" t="str">
        <f>+tbl_IngrédientsRef[[#This Row],[Ingrédient]]</f>
        <v>Edam</v>
      </c>
      <c r="C109" t="str">
        <f>INDEX(tbl_IngrédientsRef[Unité], MATCH(A109, tbl_IngrédientsRef[Cde_Ingrdt],0))</f>
        <v>g</v>
      </c>
      <c r="D109" s="21">
        <f>IFERROR(INDEX(tbl_IngrédientsRef[[#This Row],[PU_effectif_g/ml]], MATCH(tbl_Stock[[#This Row],[Cde_Ingrdt]], tbl_IngrédientsRef[[#This Row],[Cde_Ingrdt]], 0)), 0)</f>
        <v>0.15</v>
      </c>
      <c r="E109">
        <v>1500</v>
      </c>
      <c r="F109" s="57">
        <f>tbl_Stock[[#This Row],[Stock Départ]] * INDEX(tbl_IngrédientsRef[Prix/Uni Base], MATCH(tbl_Stock[[#This Row],[Cde_Ingrdt]], tbl_IngrédientsRef[Cde_Ingrdt], 0))</f>
        <v>225</v>
      </c>
      <c r="G109">
        <f>SUMIF(tbl_Achats[Cde_Ingrdt],tbl_Stock[[#This Row],[Cde_Ingrdt]],tbl_Achats[Qté d''Achat])</f>
        <v>0</v>
      </c>
      <c r="H109" s="21">
        <f t="array" ref="H109">SUMPRODUCT((tbl_Achats[Cde_Ingrdt]=tbl_Stock[[#This Row],[Cde_Ingrdt]]) * tbl_Achats[Qté d''Achat] * tbl_Achats[Prix Achat Unitaire])</f>
        <v>0</v>
      </c>
      <c r="I109">
        <v>340</v>
      </c>
      <c r="J109" s="21">
        <f ca="1">tbl_Stock[[#This Row],[Stock Courant]] * tbl_Stock[[#This Row],[CMP effectif]]</f>
        <v>225</v>
      </c>
      <c r="K109">
        <f ca="1">tbl_Stock[[#This Row],[Stock Départ]] + SUMIF(tbl_Achats[Cde_Ingrdt],tbl_Stock[[#This Row],[Cde_Ingrdt]],tbl_Achats[[#This Row],[Qté d''Achat]])</f>
        <v>1500</v>
      </c>
      <c r="L109" s="7">
        <f ca="1">IFERROR((tbl_Stock[[#This Row],[Valeur stock initiale]] + tbl_Stock[[#This Row],[ Valeur Achat]]) / tbl_Stock[[#This Row],[Quantité totale]], 0)</f>
        <v>0.15</v>
      </c>
      <c r="M109" s="7">
        <f>SUMIF(tbl_Sorties[[Code ingrédient ]], tbl_Stock[[#This Row],[Cde_Ingrdt]], tbl_Sorties[Qté Sortie])</f>
        <v>0</v>
      </c>
      <c r="N109" s="57">
        <f>tbl_Stock[[#This Row],[Stock Départ]] + tbl_Stock[[#This Row],[Achats Cumulées]] - tbl_Stock[[#This Row],[ Sortie cumulée]]</f>
        <v>1500</v>
      </c>
      <c r="O109">
        <v>100</v>
      </c>
      <c r="P109" t="str">
        <f>IF(tbl_Stock[[#This Row],[Stock Courant]] &lt; tbl_Stock[[#This Row],[Seuil critique]], "⚠️ Alerte", "OK")</f>
        <v>OK</v>
      </c>
    </row>
    <row r="110" spans="1:16" x14ac:dyDescent="0.25">
      <c r="A110" t="str">
        <f>IFERROR(VLOOKUP(B110,Référentiels!$M$2:$N$267,2,FALSE),"Ingrédient non trouvé")</f>
        <v>PRL015</v>
      </c>
      <c r="B110" t="str">
        <f>+tbl_IngrédientsRef[[#This Row],[Ingrédient]]</f>
        <v>Manchego</v>
      </c>
      <c r="C110" t="str">
        <f>INDEX(tbl_IngrédientsRef[Unité], MATCH(A110, tbl_IngrédientsRef[Cde_Ingrdt],0))</f>
        <v>g</v>
      </c>
      <c r="D110" s="21">
        <f>IFERROR(INDEX(tbl_IngrédientsRef[[#This Row],[PU_effectif_g/ml]], MATCH(tbl_Stock[[#This Row],[Cde_Ingrdt]], tbl_IngrédientsRef[[#This Row],[Cde_Ingrdt]], 0)), 0)</f>
        <v>0.5</v>
      </c>
      <c r="E110">
        <v>1500</v>
      </c>
      <c r="F110" s="57">
        <f>tbl_Stock[[#This Row],[Stock Départ]] * INDEX(tbl_IngrédientsRef[Prix/Uni Base], MATCH(tbl_Stock[[#This Row],[Cde_Ingrdt]], tbl_IngrédientsRef[Cde_Ingrdt], 0))</f>
        <v>750</v>
      </c>
      <c r="G110">
        <f>SUMIF(tbl_Achats[Cde_Ingrdt],tbl_Stock[[#This Row],[Cde_Ingrdt]],tbl_Achats[Qté d''Achat])</f>
        <v>0</v>
      </c>
      <c r="H110" s="21">
        <f t="array" ref="H110">SUMPRODUCT((tbl_Achats[Cde_Ingrdt]=tbl_Stock[[#This Row],[Cde_Ingrdt]]) * tbl_Achats[Qté d''Achat] * tbl_Achats[Prix Achat Unitaire])</f>
        <v>0</v>
      </c>
      <c r="I110">
        <v>250</v>
      </c>
      <c r="J110" s="21">
        <f ca="1">tbl_Stock[[#This Row],[Stock Courant]] * tbl_Stock[[#This Row],[CMP effectif]]</f>
        <v>750</v>
      </c>
      <c r="K110">
        <f ca="1">tbl_Stock[[#This Row],[Stock Départ]] + SUMIF(tbl_Achats[Cde_Ingrdt],tbl_Stock[[#This Row],[Cde_Ingrdt]],tbl_Achats[[#This Row],[Qté d''Achat]])</f>
        <v>1500</v>
      </c>
      <c r="L110" s="7">
        <f ca="1">IFERROR((tbl_Stock[[#This Row],[Valeur stock initiale]] + tbl_Stock[[#This Row],[ Valeur Achat]]) / tbl_Stock[[#This Row],[Quantité totale]], 0)</f>
        <v>0.5</v>
      </c>
      <c r="M110" s="7">
        <f>SUMIF(tbl_Sorties[[Code ingrédient ]], tbl_Stock[[#This Row],[Cde_Ingrdt]], tbl_Sorties[Qté Sortie])</f>
        <v>0</v>
      </c>
      <c r="N110" s="57">
        <f>tbl_Stock[[#This Row],[Stock Départ]] + tbl_Stock[[#This Row],[Achats Cumulées]] - tbl_Stock[[#This Row],[ Sortie cumulée]]</f>
        <v>1500</v>
      </c>
      <c r="O110">
        <v>100</v>
      </c>
      <c r="P110" t="str">
        <f>IF(tbl_Stock[[#This Row],[Stock Courant]] &lt; tbl_Stock[[#This Row],[Seuil critique]], "⚠️ Alerte", "OK")</f>
        <v>OK</v>
      </c>
    </row>
    <row r="111" spans="1:16" x14ac:dyDescent="0.25">
      <c r="A111" t="str">
        <f>IFERROR(VLOOKUP(B111,Référentiels!$M$2:$N$267,2,FALSE),"Ingrédient non trouvé")</f>
        <v>PRL016</v>
      </c>
      <c r="B111" t="str">
        <f>+tbl_IngrédientsRef[[#This Row],[Ingrédient]]</f>
        <v>Parmesan</v>
      </c>
      <c r="C111" t="str">
        <f>INDEX(tbl_IngrédientsRef[Unité], MATCH(A111, tbl_IngrédientsRef[Cde_Ingrdt],0))</f>
        <v>g</v>
      </c>
      <c r="D111" s="21">
        <f>IFERROR(INDEX(tbl_IngrédientsRef[[#This Row],[PU_effectif_g/ml]], MATCH(tbl_Stock[[#This Row],[Cde_Ingrdt]], tbl_IngrédientsRef[[#This Row],[Cde_Ingrdt]], 0)), 0)</f>
        <v>0.4</v>
      </c>
      <c r="E111">
        <v>1500</v>
      </c>
      <c r="F111" s="57">
        <f>tbl_Stock[[#This Row],[Stock Départ]] * INDEX(tbl_IngrédientsRef[Prix/Uni Base], MATCH(tbl_Stock[[#This Row],[Cde_Ingrdt]], tbl_IngrédientsRef[Cde_Ingrdt], 0))</f>
        <v>600</v>
      </c>
      <c r="G111">
        <f>SUMIF(tbl_Achats[Cde_Ingrdt],tbl_Stock[[#This Row],[Cde_Ingrdt]],tbl_Achats[Qté d''Achat])</f>
        <v>0</v>
      </c>
      <c r="H111" s="21">
        <f t="array" ref="H111">SUMPRODUCT((tbl_Achats[Cde_Ingrdt]=tbl_Stock[[#This Row],[Cde_Ingrdt]]) * tbl_Achats[Qté d''Achat] * tbl_Achats[Prix Achat Unitaire])</f>
        <v>0</v>
      </c>
      <c r="I111">
        <v>230</v>
      </c>
      <c r="J111" s="21">
        <f ca="1">tbl_Stock[[#This Row],[Stock Courant]] * tbl_Stock[[#This Row],[CMP effectif]]</f>
        <v>600</v>
      </c>
      <c r="K111">
        <f ca="1">tbl_Stock[[#This Row],[Stock Départ]] + SUMIF(tbl_Achats[Cde_Ingrdt],tbl_Stock[[#This Row],[Cde_Ingrdt]],tbl_Achats[[#This Row],[Qté d''Achat]])</f>
        <v>1500</v>
      </c>
      <c r="L111" s="7">
        <f ca="1">IFERROR((tbl_Stock[[#This Row],[Valeur stock initiale]] + tbl_Stock[[#This Row],[ Valeur Achat]]) / tbl_Stock[[#This Row],[Quantité totale]], 0)</f>
        <v>0.4</v>
      </c>
      <c r="M111" s="7">
        <f>SUMIF(tbl_Sorties[[Code ingrédient ]], tbl_Stock[[#This Row],[Cde_Ingrdt]], tbl_Sorties[Qté Sortie])</f>
        <v>0</v>
      </c>
      <c r="N111" s="57">
        <f>tbl_Stock[[#This Row],[Stock Départ]] + tbl_Stock[[#This Row],[Achats Cumulées]] - tbl_Stock[[#This Row],[ Sortie cumulée]]</f>
        <v>1500</v>
      </c>
      <c r="O111">
        <v>100</v>
      </c>
      <c r="P111" t="str">
        <f>IF(tbl_Stock[[#This Row],[Stock Courant]] &lt; tbl_Stock[[#This Row],[Seuil critique]], "⚠️ Alerte", "OK")</f>
        <v>OK</v>
      </c>
    </row>
    <row r="112" spans="1:16" x14ac:dyDescent="0.25">
      <c r="A112" t="str">
        <f>IFERROR(VLOOKUP(B112,Référentiels!$M$2:$N$267,2,FALSE),"Ingrédient non trouvé")</f>
        <v>PRL017</v>
      </c>
      <c r="B112" t="str">
        <f>+tbl_IngrédientsRef[[#This Row],[Ingrédient]]</f>
        <v>Mozzarella</v>
      </c>
      <c r="C112" t="str">
        <f>INDEX(tbl_IngrédientsRef[Unité], MATCH(A112, tbl_IngrédientsRef[Cde_Ingrdt],0))</f>
        <v>g</v>
      </c>
      <c r="D112" s="21">
        <f>IFERROR(INDEX(tbl_IngrédientsRef[[#This Row],[PU_effectif_g/ml]], MATCH(tbl_Stock[[#This Row],[Cde_Ingrdt]], tbl_IngrédientsRef[[#This Row],[Cde_Ingrdt]], 0)), 0)</f>
        <v>0.3</v>
      </c>
      <c r="E112">
        <v>1500</v>
      </c>
      <c r="F112" s="57">
        <f>tbl_Stock[[#This Row],[Stock Départ]] * INDEX(tbl_IngrédientsRef[Prix/Uni Base], MATCH(tbl_Stock[[#This Row],[Cde_Ingrdt]], tbl_IngrédientsRef[Cde_Ingrdt], 0))</f>
        <v>450</v>
      </c>
      <c r="G112">
        <f>SUMIF(tbl_Achats[Cde_Ingrdt],tbl_Stock[[#This Row],[Cde_Ingrdt]],tbl_Achats[Qté d''Achat])</f>
        <v>0</v>
      </c>
      <c r="H112" s="21">
        <f t="array" ref="H112">SUMPRODUCT((tbl_Achats[Cde_Ingrdt]=tbl_Stock[[#This Row],[Cde_Ingrdt]]) * tbl_Achats[Qté d''Achat] * tbl_Achats[Prix Achat Unitaire])</f>
        <v>0</v>
      </c>
      <c r="I112">
        <v>300</v>
      </c>
      <c r="J112" s="21">
        <f ca="1">tbl_Stock[[#This Row],[Stock Courant]] * tbl_Stock[[#This Row],[CMP effectif]]</f>
        <v>450</v>
      </c>
      <c r="K112">
        <f ca="1">tbl_Stock[[#This Row],[Stock Départ]] + SUMIF(tbl_Achats[Cde_Ingrdt],tbl_Stock[[#This Row],[Cde_Ingrdt]],tbl_Achats[[#This Row],[Qté d''Achat]])</f>
        <v>1500</v>
      </c>
      <c r="L112" s="7">
        <f ca="1">IFERROR((tbl_Stock[[#This Row],[Valeur stock initiale]] + tbl_Stock[[#This Row],[ Valeur Achat]]) / tbl_Stock[[#This Row],[Quantité totale]], 0)</f>
        <v>0.3</v>
      </c>
      <c r="M112" s="7">
        <f>SUMIF(tbl_Sorties[[Code ingrédient ]], tbl_Stock[[#This Row],[Cde_Ingrdt]], tbl_Sorties[Qté Sortie])</f>
        <v>0</v>
      </c>
      <c r="N112" s="57">
        <f>tbl_Stock[[#This Row],[Stock Départ]] + tbl_Stock[[#This Row],[Achats Cumulées]] - tbl_Stock[[#This Row],[ Sortie cumulée]]</f>
        <v>1500</v>
      </c>
      <c r="O112">
        <v>100</v>
      </c>
      <c r="P112" t="str">
        <f>IF(tbl_Stock[[#This Row],[Stock Courant]] &lt; tbl_Stock[[#This Row],[Seuil critique]], "⚠️ Alerte", "OK")</f>
        <v>OK</v>
      </c>
    </row>
    <row r="113" spans="1:16" x14ac:dyDescent="0.25">
      <c r="A113" t="str">
        <f>IFERROR(VLOOKUP(B113,Référentiels!$M$2:$N$267,2,FALSE),"Ingrédient non trouvé")</f>
        <v>PRL018</v>
      </c>
      <c r="B113" t="str">
        <f>+tbl_IngrédientsRef[[#This Row],[Ingrédient]]</f>
        <v>Emmental</v>
      </c>
      <c r="C113" t="str">
        <f>INDEX(tbl_IngrédientsRef[Unité], MATCH(A113, tbl_IngrédientsRef[Cde_Ingrdt],0))</f>
        <v>g</v>
      </c>
      <c r="D113" s="21">
        <f>IFERROR(INDEX(tbl_IngrédientsRef[[#This Row],[PU_effectif_g/ml]], MATCH(tbl_Stock[[#This Row],[Cde_Ingrdt]], tbl_IngrédientsRef[[#This Row],[Cde_Ingrdt]], 0)), 0)</f>
        <v>0.25</v>
      </c>
      <c r="E113">
        <v>1500</v>
      </c>
      <c r="F113" s="57">
        <f>tbl_Stock[[#This Row],[Stock Départ]] * INDEX(tbl_IngrédientsRef[Prix/Uni Base], MATCH(tbl_Stock[[#This Row],[Cde_Ingrdt]], tbl_IngrédientsRef[Cde_Ingrdt], 0))</f>
        <v>375</v>
      </c>
      <c r="G113">
        <f>SUMIF(tbl_Achats[Cde_Ingrdt],tbl_Stock[[#This Row],[Cde_Ingrdt]],tbl_Achats[Qté d''Achat])</f>
        <v>0</v>
      </c>
      <c r="H113" s="21">
        <f t="array" ref="H113">SUMPRODUCT((tbl_Achats[Cde_Ingrdt]=tbl_Stock[[#This Row],[Cde_Ingrdt]]) * tbl_Achats[Qté d''Achat] * tbl_Achats[Prix Achat Unitaire])</f>
        <v>0</v>
      </c>
      <c r="I113">
        <v>340</v>
      </c>
      <c r="J113" s="21">
        <f ca="1">tbl_Stock[[#This Row],[Stock Courant]] * tbl_Stock[[#This Row],[CMP effectif]]</f>
        <v>375</v>
      </c>
      <c r="K113">
        <f ca="1">tbl_Stock[[#This Row],[Stock Départ]] + SUMIF(tbl_Achats[Cde_Ingrdt],tbl_Stock[[#This Row],[Cde_Ingrdt]],tbl_Achats[[#This Row],[Qté d''Achat]])</f>
        <v>1500</v>
      </c>
      <c r="L113" s="7">
        <f ca="1">IFERROR((tbl_Stock[[#This Row],[Valeur stock initiale]] + tbl_Stock[[#This Row],[ Valeur Achat]]) / tbl_Stock[[#This Row],[Quantité totale]], 0)</f>
        <v>0.25</v>
      </c>
      <c r="M113" s="7">
        <f>SUMIF(tbl_Sorties[[Code ingrédient ]], tbl_Stock[[#This Row],[Cde_Ingrdt]], tbl_Sorties[Qté Sortie])</f>
        <v>0</v>
      </c>
      <c r="N113" s="57">
        <f>tbl_Stock[[#This Row],[Stock Départ]] + tbl_Stock[[#This Row],[Achats Cumulées]] - tbl_Stock[[#This Row],[ Sortie cumulée]]</f>
        <v>1500</v>
      </c>
      <c r="O113">
        <v>100</v>
      </c>
      <c r="P113" t="str">
        <f>IF(tbl_Stock[[#This Row],[Stock Courant]] &lt; tbl_Stock[[#This Row],[Seuil critique]], "⚠️ Alerte", "OK")</f>
        <v>OK</v>
      </c>
    </row>
    <row r="114" spans="1:16" x14ac:dyDescent="0.25">
      <c r="A114" t="str">
        <f>IFERROR(VLOOKUP(B114,Référentiels!$M$2:$N$267,2,FALSE),"Ingrédient non trouvé")</f>
        <v>PRL019</v>
      </c>
      <c r="B114" t="str">
        <f>+tbl_IngrédientsRef[[#This Row],[Ingrédient]]</f>
        <v>Bleu</v>
      </c>
      <c r="C114" t="str">
        <f>INDEX(tbl_IngrédientsRef[Unité], MATCH(A114, tbl_IngrédientsRef[Cde_Ingrdt],0))</f>
        <v>g</v>
      </c>
      <c r="D114" s="21">
        <f>IFERROR(INDEX(tbl_IngrédientsRef[[#This Row],[PU_effectif_g/ml]], MATCH(tbl_Stock[[#This Row],[Cde_Ingrdt]], tbl_IngrédientsRef[[#This Row],[Cde_Ingrdt]], 0)), 0)</f>
        <v>0.36</v>
      </c>
      <c r="E114">
        <v>1500</v>
      </c>
      <c r="F114" s="57">
        <f>tbl_Stock[[#This Row],[Stock Départ]] * INDEX(tbl_IngrédientsRef[Prix/Uni Base], MATCH(tbl_Stock[[#This Row],[Cde_Ingrdt]], tbl_IngrédientsRef[Cde_Ingrdt], 0))</f>
        <v>540</v>
      </c>
      <c r="G114">
        <f>SUMIF(tbl_Achats[Cde_Ingrdt],tbl_Stock[[#This Row],[Cde_Ingrdt]],tbl_Achats[Qté d''Achat])</f>
        <v>0</v>
      </c>
      <c r="H114" s="21">
        <f t="array" ref="H114">SUMPRODUCT((tbl_Achats[Cde_Ingrdt]=tbl_Stock[[#This Row],[Cde_Ingrdt]]) * tbl_Achats[Qté d''Achat] * tbl_Achats[Prix Achat Unitaire])</f>
        <v>0</v>
      </c>
      <c r="I114">
        <v>250</v>
      </c>
      <c r="J114" s="21">
        <f ca="1">tbl_Stock[[#This Row],[Stock Courant]] * tbl_Stock[[#This Row],[CMP effectif]]</f>
        <v>540</v>
      </c>
      <c r="K114">
        <f ca="1">tbl_Stock[[#This Row],[Stock Départ]] + SUMIF(tbl_Achats[Cde_Ingrdt],tbl_Stock[[#This Row],[Cde_Ingrdt]],tbl_Achats[[#This Row],[Qté d''Achat]])</f>
        <v>1500</v>
      </c>
      <c r="L114" s="7">
        <f ca="1">IFERROR((tbl_Stock[[#This Row],[Valeur stock initiale]] + tbl_Stock[[#This Row],[ Valeur Achat]]) / tbl_Stock[[#This Row],[Quantité totale]], 0)</f>
        <v>0.36</v>
      </c>
      <c r="M114" s="7">
        <f>SUMIF(tbl_Sorties[[Code ingrédient ]], tbl_Stock[[#This Row],[Cde_Ingrdt]], tbl_Sorties[Qté Sortie])</f>
        <v>0</v>
      </c>
      <c r="N114" s="57">
        <f>tbl_Stock[[#This Row],[Stock Départ]] + tbl_Stock[[#This Row],[Achats Cumulées]] - tbl_Stock[[#This Row],[ Sortie cumulée]]</f>
        <v>1500</v>
      </c>
      <c r="O114">
        <v>100</v>
      </c>
      <c r="P114" t="str">
        <f>IF(tbl_Stock[[#This Row],[Stock Courant]] &lt; tbl_Stock[[#This Row],[Seuil critique]], "⚠️ Alerte", "OK")</f>
        <v>OK</v>
      </c>
    </row>
    <row r="115" spans="1:16" x14ac:dyDescent="0.25">
      <c r="A115" t="str">
        <f>IFERROR(VLOOKUP(B115,Référentiels!$M$2:$N$267,2,FALSE),"Ingrédient non trouvé")</f>
        <v>PRL020</v>
      </c>
      <c r="B115" t="str">
        <f>+tbl_IngrédientsRef[[#This Row],[Ingrédient]]</f>
        <v>Jben Arabi</v>
      </c>
      <c r="C115" t="str">
        <f>INDEX(tbl_IngrédientsRef[Unité], MATCH(A115, tbl_IngrédientsRef[Cde_Ingrdt],0))</f>
        <v>g</v>
      </c>
      <c r="D115" s="21">
        <f>IFERROR(INDEX(tbl_IngrédientsRef[[#This Row],[PU_effectif_g/ml]], MATCH(tbl_Stock[[#This Row],[Cde_Ingrdt]], tbl_IngrédientsRef[[#This Row],[Cde_Ingrdt]], 0)), 0)</f>
        <v>0.1</v>
      </c>
      <c r="E115">
        <v>1500</v>
      </c>
      <c r="F115" s="57">
        <f>tbl_Stock[[#This Row],[Stock Départ]] * INDEX(tbl_IngrédientsRef[Prix/Uni Base], MATCH(tbl_Stock[[#This Row],[Cde_Ingrdt]], tbl_IngrédientsRef[Cde_Ingrdt], 0))</f>
        <v>150</v>
      </c>
      <c r="G115">
        <f>SUMIF(tbl_Achats[Cde_Ingrdt],tbl_Stock[[#This Row],[Cde_Ingrdt]],tbl_Achats[Qté d''Achat])</f>
        <v>0</v>
      </c>
      <c r="H115" s="21">
        <f t="array" ref="H115">SUMPRODUCT((tbl_Achats[Cde_Ingrdt]=tbl_Stock[[#This Row],[Cde_Ingrdt]]) * tbl_Achats[Qté d''Achat] * tbl_Achats[Prix Achat Unitaire])</f>
        <v>0</v>
      </c>
      <c r="I115">
        <v>230</v>
      </c>
      <c r="J115" s="21">
        <f ca="1">tbl_Stock[[#This Row],[Stock Courant]] * tbl_Stock[[#This Row],[CMP effectif]]</f>
        <v>150</v>
      </c>
      <c r="K115">
        <f ca="1">tbl_Stock[[#This Row],[Stock Départ]] + SUMIF(tbl_Achats[Cde_Ingrdt],tbl_Stock[[#This Row],[Cde_Ingrdt]],tbl_Achats[[#This Row],[Qté d''Achat]])</f>
        <v>1500</v>
      </c>
      <c r="L115" s="7">
        <f ca="1">IFERROR((tbl_Stock[[#This Row],[Valeur stock initiale]] + tbl_Stock[[#This Row],[ Valeur Achat]]) / tbl_Stock[[#This Row],[Quantité totale]], 0)</f>
        <v>0.1</v>
      </c>
      <c r="M115" s="7">
        <f>SUMIF(tbl_Sorties[[Code ingrédient ]], tbl_Stock[[#This Row],[Cde_Ingrdt]], tbl_Sorties[Qté Sortie])</f>
        <v>0</v>
      </c>
      <c r="N115" s="57">
        <f>tbl_Stock[[#This Row],[Stock Départ]] + tbl_Stock[[#This Row],[Achats Cumulées]] - tbl_Stock[[#This Row],[ Sortie cumulée]]</f>
        <v>1500</v>
      </c>
      <c r="O115">
        <v>100</v>
      </c>
      <c r="P115" t="str">
        <f>IF(tbl_Stock[[#This Row],[Stock Courant]] &lt; tbl_Stock[[#This Row],[Seuil critique]], "⚠️ Alerte", "OK")</f>
        <v>OK</v>
      </c>
    </row>
    <row r="116" spans="1:16" x14ac:dyDescent="0.25">
      <c r="A116" t="str">
        <f>IFERROR(VLOOKUP(B116,Référentiels!$M$2:$N$267,2,FALSE),"Ingrédient non trouvé")</f>
        <v>PRL021</v>
      </c>
      <c r="B116" t="str">
        <f>+tbl_IngrédientsRef[[#This Row],[Ingrédient]]</f>
        <v>Fromage Rouge</v>
      </c>
      <c r="C116" t="str">
        <f>INDEX(tbl_IngrédientsRef[Unité], MATCH(A116, tbl_IngrédientsRef[Cde_Ingrdt],0))</f>
        <v>g</v>
      </c>
      <c r="D116" s="21">
        <f>IFERROR(INDEX(tbl_IngrédientsRef[[#This Row],[PU_effectif_g/ml]], MATCH(tbl_Stock[[#This Row],[Cde_Ingrdt]], tbl_IngrédientsRef[[#This Row],[Cde_Ingrdt]], 0)), 0)</f>
        <v>0.15</v>
      </c>
      <c r="E116">
        <v>1500</v>
      </c>
      <c r="F116" s="57">
        <f>tbl_Stock[[#This Row],[Stock Départ]] * INDEX(tbl_IngrédientsRef[Prix/Uni Base], MATCH(tbl_Stock[[#This Row],[Cde_Ingrdt]], tbl_IngrédientsRef[Cde_Ingrdt], 0))</f>
        <v>225</v>
      </c>
      <c r="G116">
        <f>SUMIF(tbl_Achats[Cde_Ingrdt],tbl_Stock[[#This Row],[Cde_Ingrdt]],tbl_Achats[Qté d''Achat])</f>
        <v>0</v>
      </c>
      <c r="H116" s="21">
        <f t="array" ref="H116">SUMPRODUCT((tbl_Achats[Cde_Ingrdt]=tbl_Stock[[#This Row],[Cde_Ingrdt]]) * tbl_Achats[Qté d''Achat] * tbl_Achats[Prix Achat Unitaire])</f>
        <v>0</v>
      </c>
      <c r="I116">
        <v>300</v>
      </c>
      <c r="J116" s="21">
        <f ca="1">tbl_Stock[[#This Row],[Stock Courant]] * tbl_Stock[[#This Row],[CMP effectif]]</f>
        <v>225</v>
      </c>
      <c r="K116">
        <f ca="1">tbl_Stock[[#This Row],[Stock Départ]] + SUMIF(tbl_Achats[Cde_Ingrdt],tbl_Stock[[#This Row],[Cde_Ingrdt]],tbl_Achats[[#This Row],[Qté d''Achat]])</f>
        <v>1500</v>
      </c>
      <c r="L116" s="7">
        <f ca="1">IFERROR((tbl_Stock[[#This Row],[Valeur stock initiale]] + tbl_Stock[[#This Row],[ Valeur Achat]]) / tbl_Stock[[#This Row],[Quantité totale]], 0)</f>
        <v>0.15</v>
      </c>
      <c r="M116" s="7">
        <f>SUMIF(tbl_Sorties[[Code ingrédient ]], tbl_Stock[[#This Row],[Cde_Ingrdt]], tbl_Sorties[Qté Sortie])</f>
        <v>0</v>
      </c>
      <c r="N116" s="57">
        <f>tbl_Stock[[#This Row],[Stock Départ]] + tbl_Stock[[#This Row],[Achats Cumulées]] - tbl_Stock[[#This Row],[ Sortie cumulée]]</f>
        <v>1500</v>
      </c>
      <c r="O116">
        <v>100</v>
      </c>
      <c r="P116" t="str">
        <f>IF(tbl_Stock[[#This Row],[Stock Courant]] &lt; tbl_Stock[[#This Row],[Seuil critique]], "⚠️ Alerte", "OK")</f>
        <v>OK</v>
      </c>
    </row>
    <row r="117" spans="1:16" x14ac:dyDescent="0.25">
      <c r="A117" t="str">
        <f>IFERROR(VLOOKUP(B117,Référentiels!$M$2:$N$267,2,FALSE),"Ingrédient non trouvé")</f>
        <v>PRL022</v>
      </c>
      <c r="B117" t="str">
        <f>+tbl_IngrédientsRef[[#This Row],[Ingrédient]]</f>
        <v>Fromage Gratiné</v>
      </c>
      <c r="C117" t="str">
        <f>INDEX(tbl_IngrédientsRef[Unité], MATCH(A117, tbl_IngrédientsRef[Cde_Ingrdt],0))</f>
        <v>g</v>
      </c>
      <c r="D117" s="21">
        <f>IFERROR(INDEX(tbl_IngrédientsRef[[#This Row],[PU_effectif_g/ml]], MATCH(tbl_Stock[[#This Row],[Cde_Ingrdt]], tbl_IngrédientsRef[[#This Row],[Cde_Ingrdt]], 0)), 0)</f>
        <v>0.15</v>
      </c>
      <c r="E117">
        <v>1500</v>
      </c>
      <c r="F117" s="57">
        <f>tbl_Stock[[#This Row],[Stock Départ]] * INDEX(tbl_IngrédientsRef[Prix/Uni Base], MATCH(tbl_Stock[[#This Row],[Cde_Ingrdt]], tbl_IngrédientsRef[Cde_Ingrdt], 0))</f>
        <v>225</v>
      </c>
      <c r="G117">
        <f>SUMIF(tbl_Achats[Cde_Ingrdt],tbl_Stock[[#This Row],[Cde_Ingrdt]],tbl_Achats[Qté d''Achat])</f>
        <v>0</v>
      </c>
      <c r="H117" s="21">
        <f t="array" ref="H117">SUMPRODUCT((tbl_Achats[Cde_Ingrdt]=tbl_Stock[[#This Row],[Cde_Ingrdt]]) * tbl_Achats[Qté d''Achat] * tbl_Achats[Prix Achat Unitaire])</f>
        <v>0</v>
      </c>
      <c r="I117">
        <v>340</v>
      </c>
      <c r="J117" s="21">
        <f ca="1">tbl_Stock[[#This Row],[Stock Courant]] * tbl_Stock[[#This Row],[CMP effectif]]</f>
        <v>225</v>
      </c>
      <c r="K117">
        <f ca="1">tbl_Stock[[#This Row],[Stock Départ]] + SUMIF(tbl_Achats[Cde_Ingrdt],tbl_Stock[[#This Row],[Cde_Ingrdt]],tbl_Achats[[#This Row],[Qté d''Achat]])</f>
        <v>1500</v>
      </c>
      <c r="L117" s="7">
        <f ca="1">IFERROR((tbl_Stock[[#This Row],[Valeur stock initiale]] + tbl_Stock[[#This Row],[ Valeur Achat]]) / tbl_Stock[[#This Row],[Quantité totale]], 0)</f>
        <v>0.15</v>
      </c>
      <c r="M117" s="7">
        <f>SUMIF(tbl_Sorties[[Code ingrédient ]], tbl_Stock[[#This Row],[Cde_Ingrdt]], tbl_Sorties[Qté Sortie])</f>
        <v>0</v>
      </c>
      <c r="N117" s="57">
        <f>tbl_Stock[[#This Row],[Stock Départ]] + tbl_Stock[[#This Row],[Achats Cumulées]] - tbl_Stock[[#This Row],[ Sortie cumulée]]</f>
        <v>1500</v>
      </c>
      <c r="O117">
        <v>100</v>
      </c>
      <c r="P117" t="str">
        <f>IF(tbl_Stock[[#This Row],[Stock Courant]] &lt; tbl_Stock[[#This Row],[Seuil critique]], "⚠️ Alerte", "OK")</f>
        <v>OK</v>
      </c>
    </row>
    <row r="118" spans="1:16" x14ac:dyDescent="0.25">
      <c r="A118" t="str">
        <f>IFERROR(VLOOKUP(B118,Référentiels!$M$2:$N$267,2,FALSE),"Ingrédient non trouvé")</f>
        <v>PRL023</v>
      </c>
      <c r="B118" t="str">
        <f>+tbl_IngrédientsRef[[#This Row],[Ingrédient]]</f>
        <v>Crème Fraîche</v>
      </c>
      <c r="C118" t="str">
        <f>INDEX(tbl_IngrédientsRef[Unité], MATCH(A118, tbl_IngrédientsRef[Cde_Ingrdt],0))</f>
        <v>g</v>
      </c>
      <c r="D118" s="21">
        <f>IFERROR(INDEX(tbl_IngrédientsRef[[#This Row],[PU_effectif_g/ml]], MATCH(tbl_Stock[[#This Row],[Cde_Ingrdt]], tbl_IngrédientsRef[[#This Row],[Cde_Ingrdt]], 0)), 0)</f>
        <v>0.1</v>
      </c>
      <c r="E118">
        <v>1500</v>
      </c>
      <c r="F118" s="57">
        <f>tbl_Stock[[#This Row],[Stock Départ]] * INDEX(tbl_IngrédientsRef[Prix/Uni Base], MATCH(tbl_Stock[[#This Row],[Cde_Ingrdt]], tbl_IngrédientsRef[Cde_Ingrdt], 0))</f>
        <v>150</v>
      </c>
      <c r="G118">
        <f>SUMIF(tbl_Achats[Cde_Ingrdt],tbl_Stock[[#This Row],[Cde_Ingrdt]],tbl_Achats[Qté d''Achat])</f>
        <v>0</v>
      </c>
      <c r="H118" s="21">
        <f t="array" ref="H118">SUMPRODUCT((tbl_Achats[Cde_Ingrdt]=tbl_Stock[[#This Row],[Cde_Ingrdt]]) * tbl_Achats[Qté d''Achat] * tbl_Achats[Prix Achat Unitaire])</f>
        <v>0</v>
      </c>
      <c r="I118">
        <v>250</v>
      </c>
      <c r="J118" s="21">
        <f ca="1">tbl_Stock[[#This Row],[Stock Courant]] * tbl_Stock[[#This Row],[CMP effectif]]</f>
        <v>150</v>
      </c>
      <c r="K118">
        <f ca="1">tbl_Stock[[#This Row],[Stock Départ]] + SUMIF(tbl_Achats[Cde_Ingrdt],tbl_Stock[[#This Row],[Cde_Ingrdt]],tbl_Achats[[#This Row],[Qté d''Achat]])</f>
        <v>1500</v>
      </c>
      <c r="L118" s="7">
        <f ca="1">IFERROR((tbl_Stock[[#This Row],[Valeur stock initiale]] + tbl_Stock[[#This Row],[ Valeur Achat]]) / tbl_Stock[[#This Row],[Quantité totale]], 0)</f>
        <v>0.1</v>
      </c>
      <c r="M118" s="7">
        <f>SUMIF(tbl_Sorties[[Code ingrédient ]], tbl_Stock[[#This Row],[Cde_Ingrdt]], tbl_Sorties[Qté Sortie])</f>
        <v>0</v>
      </c>
      <c r="N118" s="57">
        <f>tbl_Stock[[#This Row],[Stock Départ]] + tbl_Stock[[#This Row],[Achats Cumulées]] - tbl_Stock[[#This Row],[ Sortie cumulée]]</f>
        <v>1500</v>
      </c>
      <c r="O118">
        <v>100</v>
      </c>
      <c r="P118" t="str">
        <f>IF(tbl_Stock[[#This Row],[Stock Courant]] &lt; tbl_Stock[[#This Row],[Seuil critique]], "⚠️ Alerte", "OK")</f>
        <v>OK</v>
      </c>
    </row>
    <row r="119" spans="1:16" x14ac:dyDescent="0.25">
      <c r="A119" t="str">
        <f>IFERROR(VLOOKUP(B119,Référentiels!$M$2:$N$267,2,FALSE),"Ingrédient non trouvé")</f>
        <v>PRL024</v>
      </c>
      <c r="B119" t="str">
        <f>+tbl_IngrédientsRef[[#This Row],[Ingrédient]]</f>
        <v>Mascarpone</v>
      </c>
      <c r="C119" t="str">
        <f>INDEX(tbl_IngrédientsRef[Unité], MATCH(A119, tbl_IngrédientsRef[Cde_Ingrdt],0))</f>
        <v>g</v>
      </c>
      <c r="D119" s="21">
        <f>IFERROR(INDEX(tbl_IngrédientsRef[[#This Row],[PU_effectif_g/ml]], MATCH(tbl_Stock[[#This Row],[Cde_Ingrdt]], tbl_IngrédientsRef[[#This Row],[Cde_Ingrdt]], 0)), 0)</f>
        <v>0.2</v>
      </c>
      <c r="E119">
        <v>1500</v>
      </c>
      <c r="F119" s="57">
        <f>tbl_Stock[[#This Row],[Stock Départ]] * INDEX(tbl_IngrédientsRef[Prix/Uni Base], MATCH(tbl_Stock[[#This Row],[Cde_Ingrdt]], tbl_IngrédientsRef[Cde_Ingrdt], 0))</f>
        <v>300</v>
      </c>
      <c r="G119">
        <f>SUMIF(tbl_Achats[Cde_Ingrdt],tbl_Stock[[#This Row],[Cde_Ingrdt]],tbl_Achats[Qté d''Achat])</f>
        <v>0</v>
      </c>
      <c r="H119" s="21">
        <f t="array" ref="H119">SUMPRODUCT((tbl_Achats[Cde_Ingrdt]=tbl_Stock[[#This Row],[Cde_Ingrdt]]) * tbl_Achats[Qté d''Achat] * tbl_Achats[Prix Achat Unitaire])</f>
        <v>0</v>
      </c>
      <c r="I119">
        <v>230</v>
      </c>
      <c r="J119" s="21">
        <f ca="1">tbl_Stock[[#This Row],[Stock Courant]] * tbl_Stock[[#This Row],[CMP effectif]]</f>
        <v>300</v>
      </c>
      <c r="K119">
        <f ca="1">tbl_Stock[[#This Row],[Stock Départ]] + SUMIF(tbl_Achats[Cde_Ingrdt],tbl_Stock[[#This Row],[Cde_Ingrdt]],tbl_Achats[[#This Row],[Qté d''Achat]])</f>
        <v>1500</v>
      </c>
      <c r="L119" s="7">
        <f ca="1">IFERROR((tbl_Stock[[#This Row],[Valeur stock initiale]] + tbl_Stock[[#This Row],[ Valeur Achat]]) / tbl_Stock[[#This Row],[Quantité totale]], 0)</f>
        <v>0.2</v>
      </c>
      <c r="M119" s="7">
        <f>SUMIF(tbl_Sorties[[Code ingrédient ]], tbl_Stock[[#This Row],[Cde_Ingrdt]], tbl_Sorties[Qté Sortie])</f>
        <v>0</v>
      </c>
      <c r="N119" s="57">
        <f>tbl_Stock[[#This Row],[Stock Départ]] + tbl_Stock[[#This Row],[Achats Cumulées]] - tbl_Stock[[#This Row],[ Sortie cumulée]]</f>
        <v>1500</v>
      </c>
      <c r="O119">
        <v>100</v>
      </c>
      <c r="P119" t="str">
        <f>IF(tbl_Stock[[#This Row],[Stock Courant]] &lt; tbl_Stock[[#This Row],[Seuil critique]], "⚠️ Alerte", "OK")</f>
        <v>OK</v>
      </c>
    </row>
    <row r="120" spans="1:16" x14ac:dyDescent="0.25">
      <c r="A120" t="str">
        <f>IFERROR(VLOOKUP(B120,Référentiels!$M$2:$N$267,2,FALSE),"Ingrédient non trouvé")</f>
        <v>PRL025</v>
      </c>
      <c r="B120" t="str">
        <f>+tbl_IngrédientsRef[[#This Row],[Ingrédient]]</f>
        <v>Lait De Coco</v>
      </c>
      <c r="C120" t="str">
        <f>INDEX(tbl_IngrédientsRef[Unité], MATCH(A120, tbl_IngrédientsRef[Cde_Ingrdt],0))</f>
        <v>ml</v>
      </c>
      <c r="D120" s="21">
        <f>IFERROR(INDEX(tbl_IngrédientsRef[[#This Row],[PU_effectif_g/ml]], MATCH(tbl_Stock[[#This Row],[Cde_Ingrdt]], tbl_IngrédientsRef[[#This Row],[Cde_Ingrdt]], 0)), 0)</f>
        <v>6.3E-2</v>
      </c>
      <c r="E120">
        <v>1500</v>
      </c>
      <c r="F120" s="57">
        <f>tbl_Stock[[#This Row],[Stock Départ]] * INDEX(tbl_IngrédientsRef[Prix/Uni Base], MATCH(tbl_Stock[[#This Row],[Cde_Ingrdt]], tbl_IngrédientsRef[Cde_Ingrdt], 0))</f>
        <v>94.5</v>
      </c>
      <c r="G120">
        <f>SUMIF(tbl_Achats[Cde_Ingrdt],tbl_Stock[[#This Row],[Cde_Ingrdt]],tbl_Achats[Qté d''Achat])</f>
        <v>0</v>
      </c>
      <c r="H120" s="21">
        <f t="array" ref="H120">SUMPRODUCT((tbl_Achats[Cde_Ingrdt]=tbl_Stock[[#This Row],[Cde_Ingrdt]]) * tbl_Achats[Qté d''Achat] * tbl_Achats[Prix Achat Unitaire])</f>
        <v>0</v>
      </c>
      <c r="I120">
        <v>300</v>
      </c>
      <c r="J120" s="21">
        <f ca="1">tbl_Stock[[#This Row],[Stock Courant]] * tbl_Stock[[#This Row],[CMP effectif]]</f>
        <v>94.5</v>
      </c>
      <c r="K120">
        <f ca="1">tbl_Stock[[#This Row],[Stock Départ]] + SUMIF(tbl_Achats[Cde_Ingrdt],tbl_Stock[[#This Row],[Cde_Ingrdt]],tbl_Achats[[#This Row],[Qté d''Achat]])</f>
        <v>1500</v>
      </c>
      <c r="L120" s="7">
        <f ca="1">IFERROR((tbl_Stock[[#This Row],[Valeur stock initiale]] + tbl_Stock[[#This Row],[ Valeur Achat]]) / tbl_Stock[[#This Row],[Quantité totale]], 0)</f>
        <v>6.3E-2</v>
      </c>
      <c r="M120" s="7">
        <f>SUMIF(tbl_Sorties[[Code ingrédient ]], tbl_Stock[[#This Row],[Cde_Ingrdt]], tbl_Sorties[Qté Sortie])</f>
        <v>0</v>
      </c>
      <c r="N120" s="57">
        <f>tbl_Stock[[#This Row],[Stock Départ]] + tbl_Stock[[#This Row],[Achats Cumulées]] - tbl_Stock[[#This Row],[ Sortie cumulée]]</f>
        <v>1500</v>
      </c>
      <c r="O120">
        <v>100</v>
      </c>
      <c r="P120" t="str">
        <f>IF(tbl_Stock[[#This Row],[Stock Courant]] &lt; tbl_Stock[[#This Row],[Seuil critique]], "⚠️ Alerte", "OK")</f>
        <v>OK</v>
      </c>
    </row>
    <row r="121" spans="1:16" x14ac:dyDescent="0.25">
      <c r="A121" t="str">
        <f>IFERROR(VLOOKUP(B121,Référentiels!$M$2:$N$267,2,FALSE),"Ingrédient non trouvé")</f>
        <v>PRL026</v>
      </c>
      <c r="B121" t="str">
        <f>+tbl_IngrédientsRef[[#This Row],[Ingrédient]]</f>
        <v>Cheddar</v>
      </c>
      <c r="C121" t="str">
        <f>INDEX(tbl_IngrédientsRef[Unité], MATCH(A121, tbl_IngrédientsRef[Cde_Ingrdt],0))</f>
        <v>g</v>
      </c>
      <c r="D121" s="21">
        <f>IFERROR(INDEX(tbl_IngrédientsRef[[#This Row],[PU_effectif_g/ml]], MATCH(tbl_Stock[[#This Row],[Cde_Ingrdt]], tbl_IngrédientsRef[[#This Row],[Cde_Ingrdt]], 0)), 0)</f>
        <v>0.2</v>
      </c>
      <c r="E121">
        <v>1500</v>
      </c>
      <c r="F121" s="57">
        <f>tbl_Stock[[#This Row],[Stock Départ]] * INDEX(tbl_IngrédientsRef[Prix/Uni Base], MATCH(tbl_Stock[[#This Row],[Cde_Ingrdt]], tbl_IngrédientsRef[Cde_Ingrdt], 0))</f>
        <v>300</v>
      </c>
      <c r="G121">
        <f>SUMIF(tbl_Achats[Cde_Ingrdt],tbl_Stock[[#This Row],[Cde_Ingrdt]],tbl_Achats[Qté d''Achat])</f>
        <v>0</v>
      </c>
      <c r="H121" s="21">
        <f t="array" ref="H121">SUMPRODUCT((tbl_Achats[Cde_Ingrdt]=tbl_Stock[[#This Row],[Cde_Ingrdt]]) * tbl_Achats[Qté d''Achat] * tbl_Achats[Prix Achat Unitaire])</f>
        <v>0</v>
      </c>
      <c r="I121">
        <v>340</v>
      </c>
      <c r="J121" s="21">
        <f ca="1">tbl_Stock[[#This Row],[Stock Courant]] * tbl_Stock[[#This Row],[CMP effectif]]</f>
        <v>300</v>
      </c>
      <c r="K121">
        <f ca="1">tbl_Stock[[#This Row],[Stock Départ]] + SUMIF(tbl_Achats[Cde_Ingrdt],tbl_Stock[[#This Row],[Cde_Ingrdt]],tbl_Achats[[#This Row],[Qté d''Achat]])</f>
        <v>1500</v>
      </c>
      <c r="L121" s="7">
        <f ca="1">IFERROR((tbl_Stock[[#This Row],[Valeur stock initiale]] + tbl_Stock[[#This Row],[ Valeur Achat]]) / tbl_Stock[[#This Row],[Quantité totale]], 0)</f>
        <v>0.2</v>
      </c>
      <c r="M121" s="7">
        <f>SUMIF(tbl_Sorties[[Code ingrédient ]], tbl_Stock[[#This Row],[Cde_Ingrdt]], tbl_Sorties[Qté Sortie])</f>
        <v>0</v>
      </c>
      <c r="N121" s="57">
        <f>tbl_Stock[[#This Row],[Stock Départ]] + tbl_Stock[[#This Row],[Achats Cumulées]] - tbl_Stock[[#This Row],[ Sortie cumulée]]</f>
        <v>1500</v>
      </c>
      <c r="O121">
        <v>100</v>
      </c>
      <c r="P121" t="str">
        <f>IF(tbl_Stock[[#This Row],[Stock Courant]] &lt; tbl_Stock[[#This Row],[Seuil critique]], "⚠️ Alerte", "OK")</f>
        <v>OK</v>
      </c>
    </row>
    <row r="122" spans="1:16" x14ac:dyDescent="0.25">
      <c r="A122" t="str">
        <f>IFERROR(VLOOKUP(B122,Référentiels!$M$2:$N$267,2,FALSE),"Ingrédient non trouvé")</f>
        <v>FRU001</v>
      </c>
      <c r="B122" t="str">
        <f>+tbl_IngrédientsRef[[#This Row],[Ingrédient]]</f>
        <v>Avocat</v>
      </c>
      <c r="C122" t="str">
        <f>INDEX(tbl_IngrédientsRef[Unité], MATCH(A122, tbl_IngrédientsRef[Cde_Ingrdt],0))</f>
        <v>g</v>
      </c>
      <c r="D122" s="21">
        <f>IFERROR(INDEX(tbl_IngrédientsRef[[#This Row],[PU_effectif_g/ml]], MATCH(tbl_Stock[[#This Row],[Cde_Ingrdt]], tbl_IngrédientsRef[[#This Row],[Cde_Ingrdt]], 0)), 0)</f>
        <v>7.0000000000000007E-2</v>
      </c>
      <c r="E122">
        <v>1500</v>
      </c>
      <c r="F122" s="57">
        <f>tbl_Stock[[#This Row],[Stock Départ]] * INDEX(tbl_IngrédientsRef[Prix/Uni Base], MATCH(tbl_Stock[[#This Row],[Cde_Ingrdt]], tbl_IngrédientsRef[Cde_Ingrdt], 0))</f>
        <v>105.00000000000001</v>
      </c>
      <c r="G122">
        <f>SUMIF(tbl_Achats[Cde_Ingrdt],tbl_Stock[[#This Row],[Cde_Ingrdt]],tbl_Achats[Qté d''Achat])</f>
        <v>0</v>
      </c>
      <c r="H122" s="21">
        <f t="array" ref="H122">SUMPRODUCT((tbl_Achats[Cde_Ingrdt]=tbl_Stock[[#This Row],[Cde_Ingrdt]]) * tbl_Achats[Qté d''Achat] * tbl_Achats[Prix Achat Unitaire])</f>
        <v>0</v>
      </c>
      <c r="I122">
        <v>250</v>
      </c>
      <c r="J122" s="21">
        <f ca="1">tbl_Stock[[#This Row],[Stock Courant]] * tbl_Stock[[#This Row],[CMP effectif]]</f>
        <v>105.00000000000001</v>
      </c>
      <c r="K122">
        <f ca="1">tbl_Stock[[#This Row],[Stock Départ]] + SUMIF(tbl_Achats[Cde_Ingrdt],tbl_Stock[[#This Row],[Cde_Ingrdt]],tbl_Achats[[#This Row],[Qté d''Achat]])</f>
        <v>1500</v>
      </c>
      <c r="L122" s="7">
        <f ca="1">IFERROR((tbl_Stock[[#This Row],[Valeur stock initiale]] + tbl_Stock[[#This Row],[ Valeur Achat]]) / tbl_Stock[[#This Row],[Quantité totale]], 0)</f>
        <v>7.0000000000000007E-2</v>
      </c>
      <c r="M122" s="7">
        <f>SUMIF(tbl_Sorties[[Code ingrédient ]], tbl_Stock[[#This Row],[Cde_Ingrdt]], tbl_Sorties[Qté Sortie])</f>
        <v>0</v>
      </c>
      <c r="N122" s="57">
        <f>tbl_Stock[[#This Row],[Stock Départ]] + tbl_Stock[[#This Row],[Achats Cumulées]] - tbl_Stock[[#This Row],[ Sortie cumulée]]</f>
        <v>1500</v>
      </c>
      <c r="O122">
        <v>100</v>
      </c>
      <c r="P122" t="str">
        <f>IF(tbl_Stock[[#This Row],[Stock Courant]] &lt; tbl_Stock[[#This Row],[Seuil critique]], "⚠️ Alerte", "OK")</f>
        <v>OK</v>
      </c>
    </row>
    <row r="123" spans="1:16" x14ac:dyDescent="0.25">
      <c r="A123" t="str">
        <f>IFERROR(VLOOKUP(B123,Référentiels!$M$2:$N$267,2,FALSE),"Ingrédient non trouvé")</f>
        <v>FRU002</v>
      </c>
      <c r="B123" t="str">
        <f>+tbl_IngrédientsRef[[#This Row],[Ingrédient]]</f>
        <v>Guacamole D’Avocat</v>
      </c>
      <c r="C123" t="str">
        <f>INDEX(tbl_IngrédientsRef[Unité], MATCH(A123, tbl_IngrédientsRef[Cde_Ingrdt],0))</f>
        <v>g</v>
      </c>
      <c r="D123" s="21">
        <f>IFERROR(INDEX(tbl_IngrédientsRef[[#This Row],[PU_effectif_g/ml]], MATCH(tbl_Stock[[#This Row],[Cde_Ingrdt]], tbl_IngrédientsRef[[#This Row],[Cde_Ingrdt]], 0)), 0)</f>
        <v>0.1</v>
      </c>
      <c r="E123">
        <v>1500</v>
      </c>
      <c r="F123" s="57">
        <f>tbl_Stock[[#This Row],[Stock Départ]] * INDEX(tbl_IngrédientsRef[Prix/Uni Base], MATCH(tbl_Stock[[#This Row],[Cde_Ingrdt]], tbl_IngrédientsRef[Cde_Ingrdt], 0))</f>
        <v>150</v>
      </c>
      <c r="G123">
        <f>SUMIF(tbl_Achats[Cde_Ingrdt],tbl_Stock[[#This Row],[Cde_Ingrdt]],tbl_Achats[Qté d''Achat])</f>
        <v>0</v>
      </c>
      <c r="H123" s="21">
        <f t="array" ref="H123">SUMPRODUCT((tbl_Achats[Cde_Ingrdt]=tbl_Stock[[#This Row],[Cde_Ingrdt]]) * tbl_Achats[Qté d''Achat] * tbl_Achats[Prix Achat Unitaire])</f>
        <v>0</v>
      </c>
      <c r="I123">
        <v>230</v>
      </c>
      <c r="J123" s="21">
        <f ca="1">tbl_Stock[[#This Row],[Stock Courant]] * tbl_Stock[[#This Row],[CMP effectif]]</f>
        <v>150</v>
      </c>
      <c r="K123">
        <f ca="1">tbl_Stock[[#This Row],[Stock Départ]] + SUMIF(tbl_Achats[Cde_Ingrdt],tbl_Stock[[#This Row],[Cde_Ingrdt]],tbl_Achats[[#This Row],[Qté d''Achat]])</f>
        <v>1500</v>
      </c>
      <c r="L123" s="7">
        <f ca="1">IFERROR((tbl_Stock[[#This Row],[Valeur stock initiale]] + tbl_Stock[[#This Row],[ Valeur Achat]]) / tbl_Stock[[#This Row],[Quantité totale]], 0)</f>
        <v>0.1</v>
      </c>
      <c r="M123" s="7">
        <f>SUMIF(tbl_Sorties[[Code ingrédient ]], tbl_Stock[[#This Row],[Cde_Ingrdt]], tbl_Sorties[Qté Sortie])</f>
        <v>0</v>
      </c>
      <c r="N123" s="57">
        <f>tbl_Stock[[#This Row],[Stock Départ]] + tbl_Stock[[#This Row],[Achats Cumulées]] - tbl_Stock[[#This Row],[ Sortie cumulée]]</f>
        <v>1500</v>
      </c>
      <c r="O123">
        <v>100</v>
      </c>
      <c r="P123" t="str">
        <f>IF(tbl_Stock[[#This Row],[Stock Courant]] &lt; tbl_Stock[[#This Row],[Seuil critique]], "⚠️ Alerte", "OK")</f>
        <v>OK</v>
      </c>
    </row>
    <row r="124" spans="1:16" x14ac:dyDescent="0.25">
      <c r="A124" t="str">
        <f>IFERROR(VLOOKUP(B124,Référentiels!$M$2:$N$267,2,FALSE),"Ingrédient non trouvé")</f>
        <v>FRU003</v>
      </c>
      <c r="B124" t="str">
        <f>+tbl_IngrédientsRef[[#This Row],[Ingrédient]]</f>
        <v>Cerise</v>
      </c>
      <c r="C124" t="str">
        <f>INDEX(tbl_IngrédientsRef[Unité], MATCH(A124, tbl_IngrédientsRef[Cde_Ingrdt],0))</f>
        <v>g</v>
      </c>
      <c r="D124" s="21">
        <f>IFERROR(INDEX(tbl_IngrédientsRef[[#This Row],[PU_effectif_g/ml]], MATCH(tbl_Stock[[#This Row],[Cde_Ingrdt]], tbl_IngrédientsRef[[#This Row],[Cde_Ingrdt]], 0)), 0)</f>
        <v>0.05</v>
      </c>
      <c r="E124">
        <v>1500</v>
      </c>
      <c r="F124" s="57">
        <f>tbl_Stock[[#This Row],[Stock Départ]] * INDEX(tbl_IngrédientsRef[Prix/Uni Base], MATCH(tbl_Stock[[#This Row],[Cde_Ingrdt]], tbl_IngrédientsRef[Cde_Ingrdt], 0))</f>
        <v>75</v>
      </c>
      <c r="G124">
        <f>SUMIF(tbl_Achats[Cde_Ingrdt],tbl_Stock[[#This Row],[Cde_Ingrdt]],tbl_Achats[Qté d''Achat])</f>
        <v>0</v>
      </c>
      <c r="H124" s="21">
        <f t="array" ref="H124">SUMPRODUCT((tbl_Achats[Cde_Ingrdt]=tbl_Stock[[#This Row],[Cde_Ingrdt]]) * tbl_Achats[Qté d''Achat] * tbl_Achats[Prix Achat Unitaire])</f>
        <v>0</v>
      </c>
      <c r="I124">
        <v>300</v>
      </c>
      <c r="J124" s="21">
        <f ca="1">tbl_Stock[[#This Row],[Stock Courant]] * tbl_Stock[[#This Row],[CMP effectif]]</f>
        <v>75</v>
      </c>
      <c r="K124">
        <f ca="1">tbl_Stock[[#This Row],[Stock Départ]] + SUMIF(tbl_Achats[Cde_Ingrdt],tbl_Stock[[#This Row],[Cde_Ingrdt]],tbl_Achats[[#This Row],[Qté d''Achat]])</f>
        <v>1500</v>
      </c>
      <c r="L124" s="7">
        <f ca="1">IFERROR((tbl_Stock[[#This Row],[Valeur stock initiale]] + tbl_Stock[[#This Row],[ Valeur Achat]]) / tbl_Stock[[#This Row],[Quantité totale]], 0)</f>
        <v>0.05</v>
      </c>
      <c r="M124" s="7">
        <f>SUMIF(tbl_Sorties[[Code ingrédient ]], tbl_Stock[[#This Row],[Cde_Ingrdt]], tbl_Sorties[Qté Sortie])</f>
        <v>0</v>
      </c>
      <c r="N124" s="57">
        <f>tbl_Stock[[#This Row],[Stock Départ]] + tbl_Stock[[#This Row],[Achats Cumulées]] - tbl_Stock[[#This Row],[ Sortie cumulée]]</f>
        <v>1500</v>
      </c>
      <c r="O124">
        <v>100</v>
      </c>
      <c r="P124" t="str">
        <f>IF(tbl_Stock[[#This Row],[Stock Courant]] &lt; tbl_Stock[[#This Row],[Seuil critique]], "⚠️ Alerte", "OK")</f>
        <v>OK</v>
      </c>
    </row>
    <row r="125" spans="1:16" x14ac:dyDescent="0.25">
      <c r="A125" t="str">
        <f>IFERROR(VLOOKUP(B125,Référentiels!$M$2:$N$267,2,FALSE),"Ingrédient non trouvé")</f>
        <v>FRU004</v>
      </c>
      <c r="B125" t="str">
        <f>+tbl_IngrédientsRef[[#This Row],[Ingrédient]]</f>
        <v>Banane</v>
      </c>
      <c r="C125" t="str">
        <f>INDEX(tbl_IngrédientsRef[Unité], MATCH(A125, tbl_IngrédientsRef[Cde_Ingrdt],0))</f>
        <v>g</v>
      </c>
      <c r="D125" s="21">
        <f>IFERROR(INDEX(tbl_IngrédientsRef[[#This Row],[PU_effectif_g/ml]], MATCH(tbl_Stock[[#This Row],[Cde_Ingrdt]], tbl_IngrédientsRef[[#This Row],[Cde_Ingrdt]], 0)), 0)</f>
        <v>0.01</v>
      </c>
      <c r="E125">
        <v>1500</v>
      </c>
      <c r="F125" s="57">
        <f>tbl_Stock[[#This Row],[Stock Départ]] * INDEX(tbl_IngrédientsRef[Prix/Uni Base], MATCH(tbl_Stock[[#This Row],[Cde_Ingrdt]], tbl_IngrédientsRef[Cde_Ingrdt], 0))</f>
        <v>15</v>
      </c>
      <c r="G125">
        <f>SUMIF(tbl_Achats[Cde_Ingrdt],tbl_Stock[[#This Row],[Cde_Ingrdt]],tbl_Achats[Qté d''Achat])</f>
        <v>0</v>
      </c>
      <c r="H125" s="21">
        <f t="array" ref="H125">SUMPRODUCT((tbl_Achats[Cde_Ingrdt]=tbl_Stock[[#This Row],[Cde_Ingrdt]]) * tbl_Achats[Qté d''Achat] * tbl_Achats[Prix Achat Unitaire])</f>
        <v>0</v>
      </c>
      <c r="I125">
        <v>340</v>
      </c>
      <c r="J125" s="21">
        <f ca="1">tbl_Stock[[#This Row],[Stock Courant]] * tbl_Stock[[#This Row],[CMP effectif]]</f>
        <v>15</v>
      </c>
      <c r="K125">
        <f ca="1">tbl_Stock[[#This Row],[Stock Départ]] + SUMIF(tbl_Achats[Cde_Ingrdt],tbl_Stock[[#This Row],[Cde_Ingrdt]],tbl_Achats[[#This Row],[Qté d''Achat]])</f>
        <v>1500</v>
      </c>
      <c r="L125" s="7">
        <f ca="1">IFERROR((tbl_Stock[[#This Row],[Valeur stock initiale]] + tbl_Stock[[#This Row],[ Valeur Achat]]) / tbl_Stock[[#This Row],[Quantité totale]], 0)</f>
        <v>0.01</v>
      </c>
      <c r="M125" s="7">
        <f>SUMIF(tbl_Sorties[[Code ingrédient ]], tbl_Stock[[#This Row],[Cde_Ingrdt]], tbl_Sorties[Qté Sortie])</f>
        <v>0</v>
      </c>
      <c r="N125" s="57">
        <f>tbl_Stock[[#This Row],[Stock Départ]] + tbl_Stock[[#This Row],[Achats Cumulées]] - tbl_Stock[[#This Row],[ Sortie cumulée]]</f>
        <v>1500</v>
      </c>
      <c r="O125">
        <v>100</v>
      </c>
      <c r="P125" t="str">
        <f>IF(tbl_Stock[[#This Row],[Stock Courant]] &lt; tbl_Stock[[#This Row],[Seuil critique]], "⚠️ Alerte", "OK")</f>
        <v>OK</v>
      </c>
    </row>
    <row r="126" spans="1:16" x14ac:dyDescent="0.25">
      <c r="A126" t="str">
        <f>IFERROR(VLOOKUP(B126,Référentiels!$M$2:$N$267,2,FALSE),"Ingrédient non trouvé")</f>
        <v>FRU005</v>
      </c>
      <c r="B126" t="str">
        <f>+tbl_IngrédientsRef[[#This Row],[Ingrédient]]</f>
        <v>Goyave</v>
      </c>
      <c r="C126" t="str">
        <f>INDEX(tbl_IngrédientsRef[Unité], MATCH(A126, tbl_IngrédientsRef[Cde_Ingrdt],0))</f>
        <v>g</v>
      </c>
      <c r="D126" s="21">
        <f>IFERROR(INDEX(tbl_IngrédientsRef[[#This Row],[PU_effectif_g/ml]], MATCH(tbl_Stock[[#This Row],[Cde_Ingrdt]], tbl_IngrédientsRef[[#This Row],[Cde_Ingrdt]], 0)), 0)</f>
        <v>0.03</v>
      </c>
      <c r="E126">
        <v>1500</v>
      </c>
      <c r="F126" s="57">
        <f>tbl_Stock[[#This Row],[Stock Départ]] * INDEX(tbl_IngrédientsRef[Prix/Uni Base], MATCH(tbl_Stock[[#This Row],[Cde_Ingrdt]], tbl_IngrédientsRef[Cde_Ingrdt], 0))</f>
        <v>45</v>
      </c>
      <c r="G126">
        <f>SUMIF(tbl_Achats[Cde_Ingrdt],tbl_Stock[[#This Row],[Cde_Ingrdt]],tbl_Achats[Qté d''Achat])</f>
        <v>0</v>
      </c>
      <c r="H126" s="21">
        <f t="array" ref="H126">SUMPRODUCT((tbl_Achats[Cde_Ingrdt]=tbl_Stock[[#This Row],[Cde_Ingrdt]]) * tbl_Achats[Qté d''Achat] * tbl_Achats[Prix Achat Unitaire])</f>
        <v>0</v>
      </c>
      <c r="I126">
        <v>250</v>
      </c>
      <c r="J126" s="21">
        <f ca="1">tbl_Stock[[#This Row],[Stock Courant]] * tbl_Stock[[#This Row],[CMP effectif]]</f>
        <v>45</v>
      </c>
      <c r="K126">
        <f ca="1">tbl_Stock[[#This Row],[Stock Départ]] + SUMIF(tbl_Achats[Cde_Ingrdt],tbl_Stock[[#This Row],[Cde_Ingrdt]],tbl_Achats[[#This Row],[Qté d''Achat]])</f>
        <v>1500</v>
      </c>
      <c r="L126" s="7">
        <f ca="1">IFERROR((tbl_Stock[[#This Row],[Valeur stock initiale]] + tbl_Stock[[#This Row],[ Valeur Achat]]) / tbl_Stock[[#This Row],[Quantité totale]], 0)</f>
        <v>0.03</v>
      </c>
      <c r="M126" s="7">
        <f>SUMIF(tbl_Sorties[[Code ingrédient ]], tbl_Stock[[#This Row],[Cde_Ingrdt]], tbl_Sorties[Qté Sortie])</f>
        <v>0</v>
      </c>
      <c r="N126" s="57">
        <f>tbl_Stock[[#This Row],[Stock Départ]] + tbl_Stock[[#This Row],[Achats Cumulées]] - tbl_Stock[[#This Row],[ Sortie cumulée]]</f>
        <v>1500</v>
      </c>
      <c r="O126">
        <v>100</v>
      </c>
      <c r="P126" t="str">
        <f>IF(tbl_Stock[[#This Row],[Stock Courant]] &lt; tbl_Stock[[#This Row],[Seuil critique]], "⚠️ Alerte", "OK")</f>
        <v>OK</v>
      </c>
    </row>
    <row r="127" spans="1:16" x14ac:dyDescent="0.25">
      <c r="A127" t="str">
        <f>IFERROR(VLOOKUP(B127,Référentiels!$M$2:$N$267,2,FALSE),"Ingrédient non trouvé")</f>
        <v>FRU006</v>
      </c>
      <c r="B127" t="str">
        <f>+tbl_IngrédientsRef[[#This Row],[Ingrédient]]</f>
        <v>Mangue</v>
      </c>
      <c r="C127" t="str">
        <f>INDEX(tbl_IngrédientsRef[Unité], MATCH(A127, tbl_IngrédientsRef[Cde_Ingrdt],0))</f>
        <v>g</v>
      </c>
      <c r="D127" s="21">
        <f>IFERROR(INDEX(tbl_IngrédientsRef[[#This Row],[PU_effectif_g/ml]], MATCH(tbl_Stock[[#This Row],[Cde_Ingrdt]], tbl_IngrédientsRef[[#This Row],[Cde_Ingrdt]], 0)), 0)</f>
        <v>0.05</v>
      </c>
      <c r="E127">
        <v>1500</v>
      </c>
      <c r="F127" s="57">
        <f>tbl_Stock[[#This Row],[Stock Départ]] * INDEX(tbl_IngrédientsRef[Prix/Uni Base], MATCH(tbl_Stock[[#This Row],[Cde_Ingrdt]], tbl_IngrédientsRef[Cde_Ingrdt], 0))</f>
        <v>75</v>
      </c>
      <c r="G127">
        <f>SUMIF(tbl_Achats[Cde_Ingrdt],tbl_Stock[[#This Row],[Cde_Ingrdt]],tbl_Achats[Qté d''Achat])</f>
        <v>0</v>
      </c>
      <c r="H127" s="21">
        <f t="array" ref="H127">SUMPRODUCT((tbl_Achats[Cde_Ingrdt]=tbl_Stock[[#This Row],[Cde_Ingrdt]]) * tbl_Achats[Qté d''Achat] * tbl_Achats[Prix Achat Unitaire])</f>
        <v>0</v>
      </c>
      <c r="I127">
        <v>230</v>
      </c>
      <c r="J127" s="21">
        <f ca="1">tbl_Stock[[#This Row],[Stock Courant]] * tbl_Stock[[#This Row],[CMP effectif]]</f>
        <v>75</v>
      </c>
      <c r="K127">
        <f ca="1">tbl_Stock[[#This Row],[Stock Départ]] + SUMIF(tbl_Achats[Cde_Ingrdt],tbl_Stock[[#This Row],[Cde_Ingrdt]],tbl_Achats[[#This Row],[Qté d''Achat]])</f>
        <v>1500</v>
      </c>
      <c r="L127" s="7">
        <f ca="1">IFERROR((tbl_Stock[[#This Row],[Valeur stock initiale]] + tbl_Stock[[#This Row],[ Valeur Achat]]) / tbl_Stock[[#This Row],[Quantité totale]], 0)</f>
        <v>0.05</v>
      </c>
      <c r="M127" s="7">
        <f>SUMIF(tbl_Sorties[[Code ingrédient ]], tbl_Stock[[#This Row],[Cde_Ingrdt]], tbl_Sorties[Qté Sortie])</f>
        <v>0</v>
      </c>
      <c r="N127" s="57">
        <f>tbl_Stock[[#This Row],[Stock Départ]] + tbl_Stock[[#This Row],[Achats Cumulées]] - tbl_Stock[[#This Row],[ Sortie cumulée]]</f>
        <v>1500</v>
      </c>
      <c r="O127">
        <v>100</v>
      </c>
      <c r="P127" t="str">
        <f>IF(tbl_Stock[[#This Row],[Stock Courant]] &lt; tbl_Stock[[#This Row],[Seuil critique]], "⚠️ Alerte", "OK")</f>
        <v>OK</v>
      </c>
    </row>
    <row r="128" spans="1:16" x14ac:dyDescent="0.25">
      <c r="A128" t="str">
        <f>IFERROR(VLOOKUP(B128,Référentiels!$M$2:$N$267,2,FALSE),"Ingrédient non trouvé")</f>
        <v>FRU007</v>
      </c>
      <c r="B128" t="str">
        <f>+tbl_IngrédientsRef[[#This Row],[Ingrédient]]</f>
        <v>Fraise</v>
      </c>
      <c r="C128" t="str">
        <f>INDEX(tbl_IngrédientsRef[Unité], MATCH(A128, tbl_IngrédientsRef[Cde_Ingrdt],0))</f>
        <v>g</v>
      </c>
      <c r="D128" s="21">
        <f>IFERROR(INDEX(tbl_IngrédientsRef[[#This Row],[PU_effectif_g/ml]], MATCH(tbl_Stock[[#This Row],[Cde_Ingrdt]], tbl_IngrédientsRef[[#This Row],[Cde_Ingrdt]], 0)), 0)</f>
        <v>1.4999999999999999E-2</v>
      </c>
      <c r="E128">
        <v>1500</v>
      </c>
      <c r="F128" s="57">
        <f>tbl_Stock[[#This Row],[Stock Départ]] * INDEX(tbl_IngrédientsRef[Prix/Uni Base], MATCH(tbl_Stock[[#This Row],[Cde_Ingrdt]], tbl_IngrédientsRef[Cde_Ingrdt], 0))</f>
        <v>22.5</v>
      </c>
      <c r="G128">
        <f>SUMIF(tbl_Achats[Cde_Ingrdt],tbl_Stock[[#This Row],[Cde_Ingrdt]],tbl_Achats[Qté d''Achat])</f>
        <v>0</v>
      </c>
      <c r="H128" s="21">
        <f t="array" ref="H128">SUMPRODUCT((tbl_Achats[Cde_Ingrdt]=tbl_Stock[[#This Row],[Cde_Ingrdt]]) * tbl_Achats[Qté d''Achat] * tbl_Achats[Prix Achat Unitaire])</f>
        <v>0</v>
      </c>
      <c r="I128">
        <v>300</v>
      </c>
      <c r="J128" s="21">
        <f ca="1">tbl_Stock[[#This Row],[Stock Courant]] * tbl_Stock[[#This Row],[CMP effectif]]</f>
        <v>22.5</v>
      </c>
      <c r="K128">
        <f ca="1">tbl_Stock[[#This Row],[Stock Départ]] + SUMIF(tbl_Achats[Cde_Ingrdt],tbl_Stock[[#This Row],[Cde_Ingrdt]],tbl_Achats[[#This Row],[Qté d''Achat]])</f>
        <v>1500</v>
      </c>
      <c r="L128" s="7">
        <f ca="1">IFERROR((tbl_Stock[[#This Row],[Valeur stock initiale]] + tbl_Stock[[#This Row],[ Valeur Achat]]) / tbl_Stock[[#This Row],[Quantité totale]], 0)</f>
        <v>1.4999999999999999E-2</v>
      </c>
      <c r="M128" s="7">
        <f>SUMIF(tbl_Sorties[[Code ingrédient ]], tbl_Stock[[#This Row],[Cde_Ingrdt]], tbl_Sorties[Qté Sortie])</f>
        <v>0</v>
      </c>
      <c r="N128" s="57">
        <f>tbl_Stock[[#This Row],[Stock Départ]] + tbl_Stock[[#This Row],[Achats Cumulées]] - tbl_Stock[[#This Row],[ Sortie cumulée]]</f>
        <v>1500</v>
      </c>
      <c r="O128">
        <v>100</v>
      </c>
      <c r="P128" t="str">
        <f>IF(tbl_Stock[[#This Row],[Stock Courant]] &lt; tbl_Stock[[#This Row],[Seuil critique]], "⚠️ Alerte", "OK")</f>
        <v>OK</v>
      </c>
    </row>
    <row r="129" spans="1:16" x14ac:dyDescent="0.25">
      <c r="A129" t="str">
        <f>IFERROR(VLOOKUP(B129,Référentiels!$M$2:$N$267,2,FALSE),"Ingrédient non trouvé")</f>
        <v>FRU008</v>
      </c>
      <c r="B129" t="str">
        <f>+tbl_IngrédientsRef[[#This Row],[Ingrédient]]</f>
        <v>Framboise</v>
      </c>
      <c r="C129" t="str">
        <f>INDEX(tbl_IngrédientsRef[Unité], MATCH(A129, tbl_IngrédientsRef[Cde_Ingrdt],0))</f>
        <v>g</v>
      </c>
      <c r="D129" s="21">
        <f>IFERROR(INDEX(tbl_IngrédientsRef[[#This Row],[PU_effectif_g/ml]], MATCH(tbl_Stock[[#This Row],[Cde_Ingrdt]], tbl_IngrédientsRef[[#This Row],[Cde_Ingrdt]], 0)), 0)</f>
        <v>0.08</v>
      </c>
      <c r="E129">
        <v>1500</v>
      </c>
      <c r="F129" s="57">
        <f>tbl_Stock[[#This Row],[Stock Départ]] * INDEX(tbl_IngrédientsRef[Prix/Uni Base], MATCH(tbl_Stock[[#This Row],[Cde_Ingrdt]], tbl_IngrédientsRef[Cde_Ingrdt], 0))</f>
        <v>120</v>
      </c>
      <c r="G129">
        <f>SUMIF(tbl_Achats[Cde_Ingrdt],tbl_Stock[[#This Row],[Cde_Ingrdt]],tbl_Achats[Qté d''Achat])</f>
        <v>0</v>
      </c>
      <c r="H129" s="21">
        <f t="array" ref="H129">SUMPRODUCT((tbl_Achats[Cde_Ingrdt]=tbl_Stock[[#This Row],[Cde_Ingrdt]]) * tbl_Achats[Qté d''Achat] * tbl_Achats[Prix Achat Unitaire])</f>
        <v>0</v>
      </c>
      <c r="I129">
        <v>340</v>
      </c>
      <c r="J129" s="21">
        <f ca="1">tbl_Stock[[#This Row],[Stock Courant]] * tbl_Stock[[#This Row],[CMP effectif]]</f>
        <v>120</v>
      </c>
      <c r="K129">
        <f ca="1">tbl_Stock[[#This Row],[Stock Départ]] + SUMIF(tbl_Achats[Cde_Ingrdt],tbl_Stock[[#This Row],[Cde_Ingrdt]],tbl_Achats[[#This Row],[Qté d''Achat]])</f>
        <v>1500</v>
      </c>
      <c r="L129" s="7">
        <f ca="1">IFERROR((tbl_Stock[[#This Row],[Valeur stock initiale]] + tbl_Stock[[#This Row],[ Valeur Achat]]) / tbl_Stock[[#This Row],[Quantité totale]], 0)</f>
        <v>0.08</v>
      </c>
      <c r="M129" s="7">
        <f>SUMIF(tbl_Sorties[[Code ingrédient ]], tbl_Stock[[#This Row],[Cde_Ingrdt]], tbl_Sorties[Qté Sortie])</f>
        <v>0</v>
      </c>
      <c r="N129" s="57">
        <f>tbl_Stock[[#This Row],[Stock Départ]] + tbl_Stock[[#This Row],[Achats Cumulées]] - tbl_Stock[[#This Row],[ Sortie cumulée]]</f>
        <v>1500</v>
      </c>
      <c r="O129">
        <v>100</v>
      </c>
      <c r="P129" t="str">
        <f>IF(tbl_Stock[[#This Row],[Stock Courant]] &lt; tbl_Stock[[#This Row],[Seuil critique]], "⚠️ Alerte", "OK")</f>
        <v>OK</v>
      </c>
    </row>
    <row r="130" spans="1:16" x14ac:dyDescent="0.25">
      <c r="A130" t="str">
        <f>IFERROR(VLOOKUP(B130,Référentiels!$M$2:$N$267,2,FALSE),"Ingrédient non trouvé")</f>
        <v>FRU009</v>
      </c>
      <c r="B130" t="str">
        <f>+tbl_IngrédientsRef[[#This Row],[Ingrédient]]</f>
        <v>Pêche</v>
      </c>
      <c r="C130" t="str">
        <f>INDEX(tbl_IngrédientsRef[Unité], MATCH(A130, tbl_IngrédientsRef[Cde_Ingrdt],0))</f>
        <v>g</v>
      </c>
      <c r="D130" s="21">
        <f>IFERROR(INDEX(tbl_IngrédientsRef[[#This Row],[PU_effectif_g/ml]], MATCH(tbl_Stock[[#This Row],[Cde_Ingrdt]], tbl_IngrédientsRef[[#This Row],[Cde_Ingrdt]], 0)), 0)</f>
        <v>0.03</v>
      </c>
      <c r="E130">
        <v>1500</v>
      </c>
      <c r="F130" s="57">
        <f>tbl_Stock[[#This Row],[Stock Départ]] * INDEX(tbl_IngrédientsRef[Prix/Uni Base], MATCH(tbl_Stock[[#This Row],[Cde_Ingrdt]], tbl_IngrédientsRef[Cde_Ingrdt], 0))</f>
        <v>45</v>
      </c>
      <c r="G130">
        <f>SUMIF(tbl_Achats[Cde_Ingrdt],tbl_Stock[[#This Row],[Cde_Ingrdt]],tbl_Achats[Qté d''Achat])</f>
        <v>0</v>
      </c>
      <c r="H130" s="21">
        <f t="array" ref="H130">SUMPRODUCT((tbl_Achats[Cde_Ingrdt]=tbl_Stock[[#This Row],[Cde_Ingrdt]]) * tbl_Achats[Qté d''Achat] * tbl_Achats[Prix Achat Unitaire])</f>
        <v>0</v>
      </c>
      <c r="I130">
        <v>250</v>
      </c>
      <c r="J130" s="21">
        <f ca="1">tbl_Stock[[#This Row],[Stock Courant]] * tbl_Stock[[#This Row],[CMP effectif]]</f>
        <v>45</v>
      </c>
      <c r="K130">
        <f ca="1">tbl_Stock[[#This Row],[Stock Départ]] + SUMIF(tbl_Achats[Cde_Ingrdt],tbl_Stock[[#This Row],[Cde_Ingrdt]],tbl_Achats[[#This Row],[Qté d''Achat]])</f>
        <v>1500</v>
      </c>
      <c r="L130" s="7">
        <f ca="1">IFERROR((tbl_Stock[[#This Row],[Valeur stock initiale]] + tbl_Stock[[#This Row],[ Valeur Achat]]) / tbl_Stock[[#This Row],[Quantité totale]], 0)</f>
        <v>0.03</v>
      </c>
      <c r="M130" s="7">
        <f>SUMIF(tbl_Sorties[[Code ingrédient ]], tbl_Stock[[#This Row],[Cde_Ingrdt]], tbl_Sorties[Qté Sortie])</f>
        <v>0</v>
      </c>
      <c r="N130" s="57">
        <f>tbl_Stock[[#This Row],[Stock Départ]] + tbl_Stock[[#This Row],[Achats Cumulées]] - tbl_Stock[[#This Row],[ Sortie cumulée]]</f>
        <v>1500</v>
      </c>
      <c r="O130">
        <v>100</v>
      </c>
      <c r="P130" t="str">
        <f>IF(tbl_Stock[[#This Row],[Stock Courant]] &lt; tbl_Stock[[#This Row],[Seuil critique]], "⚠️ Alerte", "OK")</f>
        <v>OK</v>
      </c>
    </row>
    <row r="131" spans="1:16" x14ac:dyDescent="0.25">
      <c r="A131" t="str">
        <f>IFERROR(VLOOKUP(B131,Référentiels!$M$2:$N$267,2,FALSE),"Ingrédient non trouvé")</f>
        <v>FRU010</v>
      </c>
      <c r="B131" t="str">
        <f>+tbl_IngrédientsRef[[#This Row],[Ingrédient]]</f>
        <v>Pomme</v>
      </c>
      <c r="C131" t="str">
        <f>INDEX(tbl_IngrédientsRef[Unité], MATCH(A131, tbl_IngrédientsRef[Cde_Ingrdt],0))</f>
        <v>g</v>
      </c>
      <c r="D131" s="21">
        <f>IFERROR(INDEX(tbl_IngrédientsRef[[#This Row],[PU_effectif_g/ml]], MATCH(tbl_Stock[[#This Row],[Cde_Ingrdt]], tbl_IngrédientsRef[[#This Row],[Cde_Ingrdt]], 0)), 0)</f>
        <v>0.02</v>
      </c>
      <c r="E131">
        <v>1500</v>
      </c>
      <c r="F131" s="57">
        <f>tbl_Stock[[#This Row],[Stock Départ]] * INDEX(tbl_IngrédientsRef[Prix/Uni Base], MATCH(tbl_Stock[[#This Row],[Cde_Ingrdt]], tbl_IngrédientsRef[Cde_Ingrdt], 0))</f>
        <v>30</v>
      </c>
      <c r="G131">
        <f>SUMIF(tbl_Achats[Cde_Ingrdt],tbl_Stock[[#This Row],[Cde_Ingrdt]],tbl_Achats[Qté d''Achat])</f>
        <v>0</v>
      </c>
      <c r="H131" s="21">
        <f t="array" ref="H131">SUMPRODUCT((tbl_Achats[Cde_Ingrdt]=tbl_Stock[[#This Row],[Cde_Ingrdt]]) * tbl_Achats[Qté d''Achat] * tbl_Achats[Prix Achat Unitaire])</f>
        <v>0</v>
      </c>
      <c r="I131">
        <v>230</v>
      </c>
      <c r="J131" s="21">
        <f ca="1">tbl_Stock[[#This Row],[Stock Courant]] * tbl_Stock[[#This Row],[CMP effectif]]</f>
        <v>30</v>
      </c>
      <c r="K131">
        <f ca="1">tbl_Stock[[#This Row],[Stock Départ]] + SUMIF(tbl_Achats[Cde_Ingrdt],tbl_Stock[[#This Row],[Cde_Ingrdt]],tbl_Achats[[#This Row],[Qté d''Achat]])</f>
        <v>1500</v>
      </c>
      <c r="L131" s="7">
        <f ca="1">IFERROR((tbl_Stock[[#This Row],[Valeur stock initiale]] + tbl_Stock[[#This Row],[ Valeur Achat]]) / tbl_Stock[[#This Row],[Quantité totale]], 0)</f>
        <v>0.02</v>
      </c>
      <c r="M131" s="7">
        <f>SUMIF(tbl_Sorties[[Code ingrédient ]], tbl_Stock[[#This Row],[Cde_Ingrdt]], tbl_Sorties[Qté Sortie])</f>
        <v>0</v>
      </c>
      <c r="N131" s="57">
        <f>tbl_Stock[[#This Row],[Stock Départ]] + tbl_Stock[[#This Row],[Achats Cumulées]] - tbl_Stock[[#This Row],[ Sortie cumulée]]</f>
        <v>1500</v>
      </c>
      <c r="O131">
        <v>100</v>
      </c>
      <c r="P131" t="str">
        <f>IF(tbl_Stock[[#This Row],[Stock Courant]] &lt; tbl_Stock[[#This Row],[Seuil critique]], "⚠️ Alerte", "OK")</f>
        <v>OK</v>
      </c>
    </row>
    <row r="132" spans="1:16" x14ac:dyDescent="0.25">
      <c r="A132" t="str">
        <f>IFERROR(VLOOKUP(B132,Référentiels!$M$2:$N$267,2,FALSE),"Ingrédient non trouvé")</f>
        <v>FRU011</v>
      </c>
      <c r="B132" t="str">
        <f>+tbl_IngrédientsRef[[#This Row],[Ingrédient]]</f>
        <v>Kiwi</v>
      </c>
      <c r="C132" t="str">
        <f>INDEX(tbl_IngrédientsRef[Unité], MATCH(A132, tbl_IngrédientsRef[Cde_Ingrdt],0))</f>
        <v>g</v>
      </c>
      <c r="D132" s="21">
        <f>IFERROR(INDEX(tbl_IngrédientsRef[[#This Row],[PU_effectif_g/ml]], MATCH(tbl_Stock[[#This Row],[Cde_Ingrdt]], tbl_IngrédientsRef[[#This Row],[Cde_Ingrdt]], 0)), 0)</f>
        <v>0.05</v>
      </c>
      <c r="E132">
        <v>1500</v>
      </c>
      <c r="F132" s="57">
        <f>tbl_Stock[[#This Row],[Stock Départ]] * INDEX(tbl_IngrédientsRef[Prix/Uni Base], MATCH(tbl_Stock[[#This Row],[Cde_Ingrdt]], tbl_IngrédientsRef[Cde_Ingrdt], 0))</f>
        <v>75</v>
      </c>
      <c r="G132">
        <f>SUMIF(tbl_Achats[Cde_Ingrdt],tbl_Stock[[#This Row],[Cde_Ingrdt]],tbl_Achats[Qté d''Achat])</f>
        <v>0</v>
      </c>
      <c r="H132" s="21">
        <f t="array" ref="H132">SUMPRODUCT((tbl_Achats[Cde_Ingrdt]=tbl_Stock[[#This Row],[Cde_Ingrdt]]) * tbl_Achats[Qté d''Achat] * tbl_Achats[Prix Achat Unitaire])</f>
        <v>0</v>
      </c>
      <c r="I132">
        <v>300</v>
      </c>
      <c r="J132" s="21">
        <f ca="1">tbl_Stock[[#This Row],[Stock Courant]] * tbl_Stock[[#This Row],[CMP effectif]]</f>
        <v>75</v>
      </c>
      <c r="K132">
        <f ca="1">tbl_Stock[[#This Row],[Stock Départ]] + SUMIF(tbl_Achats[Cde_Ingrdt],tbl_Stock[[#This Row],[Cde_Ingrdt]],tbl_Achats[[#This Row],[Qté d''Achat]])</f>
        <v>1500</v>
      </c>
      <c r="L132" s="7">
        <f ca="1">IFERROR((tbl_Stock[[#This Row],[Valeur stock initiale]] + tbl_Stock[[#This Row],[ Valeur Achat]]) / tbl_Stock[[#This Row],[Quantité totale]], 0)</f>
        <v>0.05</v>
      </c>
      <c r="M132" s="7">
        <f>SUMIF(tbl_Sorties[[Code ingrédient ]], tbl_Stock[[#This Row],[Cde_Ingrdt]], tbl_Sorties[Qté Sortie])</f>
        <v>0</v>
      </c>
      <c r="N132" s="57">
        <f>tbl_Stock[[#This Row],[Stock Départ]] + tbl_Stock[[#This Row],[Achats Cumulées]] - tbl_Stock[[#This Row],[ Sortie cumulée]]</f>
        <v>1500</v>
      </c>
      <c r="O132">
        <v>100</v>
      </c>
      <c r="P132" t="str">
        <f>IF(tbl_Stock[[#This Row],[Stock Courant]] &lt; tbl_Stock[[#This Row],[Seuil critique]], "⚠️ Alerte", "OK")</f>
        <v>OK</v>
      </c>
    </row>
    <row r="133" spans="1:16" x14ac:dyDescent="0.25">
      <c r="A133" t="str">
        <f>IFERROR(VLOOKUP(B133,Référentiels!$M$2:$N$267,2,FALSE),"Ingrédient non trouvé")</f>
        <v>FRU012</v>
      </c>
      <c r="B133" t="str">
        <f>+tbl_IngrédientsRef[[#This Row],[Ingrédient]]</f>
        <v>Ananas</v>
      </c>
      <c r="C133" t="str">
        <f>INDEX(tbl_IngrédientsRef[Unité], MATCH(A133, tbl_IngrédientsRef[Cde_Ingrdt],0))</f>
        <v>g</v>
      </c>
      <c r="D133" s="21">
        <f>IFERROR(INDEX(tbl_IngrédientsRef[[#This Row],[PU_effectif_g/ml]], MATCH(tbl_Stock[[#This Row],[Cde_Ingrdt]], tbl_IngrédientsRef[[#This Row],[Cde_Ingrdt]], 0)), 0)</f>
        <v>0.05</v>
      </c>
      <c r="E133">
        <v>1500</v>
      </c>
      <c r="F133" s="57">
        <f>tbl_Stock[[#This Row],[Stock Départ]] * INDEX(tbl_IngrédientsRef[Prix/Uni Base], MATCH(tbl_Stock[[#This Row],[Cde_Ingrdt]], tbl_IngrédientsRef[Cde_Ingrdt], 0))</f>
        <v>75</v>
      </c>
      <c r="G133">
        <f>SUMIF(tbl_Achats[Cde_Ingrdt],tbl_Stock[[#This Row],[Cde_Ingrdt]],tbl_Achats[Qté d''Achat])</f>
        <v>0</v>
      </c>
      <c r="H133" s="21">
        <f t="array" ref="H133">SUMPRODUCT((tbl_Achats[Cde_Ingrdt]=tbl_Stock[[#This Row],[Cde_Ingrdt]]) * tbl_Achats[Qté d''Achat] * tbl_Achats[Prix Achat Unitaire])</f>
        <v>0</v>
      </c>
      <c r="I133">
        <v>340</v>
      </c>
      <c r="J133" s="21">
        <f ca="1">tbl_Stock[[#This Row],[Stock Courant]] * tbl_Stock[[#This Row],[CMP effectif]]</f>
        <v>75</v>
      </c>
      <c r="K133">
        <f ca="1">tbl_Stock[[#This Row],[Stock Départ]] + SUMIF(tbl_Achats[Cde_Ingrdt],tbl_Stock[[#This Row],[Cde_Ingrdt]],tbl_Achats[[#This Row],[Qté d''Achat]])</f>
        <v>1500</v>
      </c>
      <c r="L133" s="7">
        <f ca="1">IFERROR((tbl_Stock[[#This Row],[Valeur stock initiale]] + tbl_Stock[[#This Row],[ Valeur Achat]]) / tbl_Stock[[#This Row],[Quantité totale]], 0)</f>
        <v>0.05</v>
      </c>
      <c r="M133" s="7">
        <f>SUMIF(tbl_Sorties[[Code ingrédient ]], tbl_Stock[[#This Row],[Cde_Ingrdt]], tbl_Sorties[Qté Sortie])</f>
        <v>0</v>
      </c>
      <c r="N133" s="57">
        <f>tbl_Stock[[#This Row],[Stock Départ]] + tbl_Stock[[#This Row],[Achats Cumulées]] - tbl_Stock[[#This Row],[ Sortie cumulée]]</f>
        <v>1500</v>
      </c>
      <c r="O133">
        <v>100</v>
      </c>
      <c r="P133" t="str">
        <f>IF(tbl_Stock[[#This Row],[Stock Courant]] &lt; tbl_Stock[[#This Row],[Seuil critique]], "⚠️ Alerte", "OK")</f>
        <v>OK</v>
      </c>
    </row>
    <row r="134" spans="1:16" x14ac:dyDescent="0.25">
      <c r="A134" t="str">
        <f>IFERROR(VLOOKUP(B134,Référentiels!$M$2:$N$267,2,FALSE),"Ingrédient non trouvé")</f>
        <v>FRU013</v>
      </c>
      <c r="B134" t="str">
        <f>+tbl_IngrédientsRef[[#This Row],[Ingrédient]]</f>
        <v>Orange</v>
      </c>
      <c r="C134" t="str">
        <f>INDEX(tbl_IngrédientsRef[Unité], MATCH(A134, tbl_IngrédientsRef[Cde_Ingrdt],0))</f>
        <v>g</v>
      </c>
      <c r="D134" s="21">
        <f>IFERROR(INDEX(tbl_IngrédientsRef[[#This Row],[PU_effectif_g/ml]], MATCH(tbl_Stock[[#This Row],[Cde_Ingrdt]], tbl_IngrédientsRef[[#This Row],[Cde_Ingrdt]], 0)), 0)</f>
        <v>0.02</v>
      </c>
      <c r="E134">
        <v>1500</v>
      </c>
      <c r="F134" s="57">
        <f>tbl_Stock[[#This Row],[Stock Départ]] * INDEX(tbl_IngrédientsRef[Prix/Uni Base], MATCH(tbl_Stock[[#This Row],[Cde_Ingrdt]], tbl_IngrédientsRef[Cde_Ingrdt], 0))</f>
        <v>30</v>
      </c>
      <c r="G134">
        <f>SUMIF(tbl_Achats[Cde_Ingrdt],tbl_Stock[[#This Row],[Cde_Ingrdt]],tbl_Achats[Qté d''Achat])</f>
        <v>0</v>
      </c>
      <c r="H134" s="21">
        <f t="array" ref="H134">SUMPRODUCT((tbl_Achats[Cde_Ingrdt]=tbl_Stock[[#This Row],[Cde_Ingrdt]]) * tbl_Achats[Qté d''Achat] * tbl_Achats[Prix Achat Unitaire])</f>
        <v>0</v>
      </c>
      <c r="I134">
        <v>250</v>
      </c>
      <c r="J134" s="21">
        <f ca="1">tbl_Stock[[#This Row],[Stock Courant]] * tbl_Stock[[#This Row],[CMP effectif]]</f>
        <v>30</v>
      </c>
      <c r="K134">
        <f ca="1">tbl_Stock[[#This Row],[Stock Départ]] + SUMIF(tbl_Achats[Cde_Ingrdt],tbl_Stock[[#This Row],[Cde_Ingrdt]],tbl_Achats[[#This Row],[Qté d''Achat]])</f>
        <v>1500</v>
      </c>
      <c r="L134" s="7">
        <f ca="1">IFERROR((tbl_Stock[[#This Row],[Valeur stock initiale]] + tbl_Stock[[#This Row],[ Valeur Achat]]) / tbl_Stock[[#This Row],[Quantité totale]], 0)</f>
        <v>0.02</v>
      </c>
      <c r="M134" s="7">
        <f>SUMIF(tbl_Sorties[[Code ingrédient ]], tbl_Stock[[#This Row],[Cde_Ingrdt]], tbl_Sorties[Qté Sortie])</f>
        <v>0</v>
      </c>
      <c r="N134" s="57">
        <f>tbl_Stock[[#This Row],[Stock Départ]] + tbl_Stock[[#This Row],[Achats Cumulées]] - tbl_Stock[[#This Row],[ Sortie cumulée]]</f>
        <v>1500</v>
      </c>
      <c r="O134">
        <v>100</v>
      </c>
      <c r="P134" t="str">
        <f>IF(tbl_Stock[[#This Row],[Stock Courant]] &lt; tbl_Stock[[#This Row],[Seuil critique]], "⚠️ Alerte", "OK")</f>
        <v>OK</v>
      </c>
    </row>
    <row r="135" spans="1:16" x14ac:dyDescent="0.25">
      <c r="A135" t="str">
        <f>IFERROR(VLOOKUP(B135,Référentiels!$M$2:$N$267,2,FALSE),"Ingrédient non trouvé")</f>
        <v>FRU014</v>
      </c>
      <c r="B135" t="str">
        <f>+tbl_IngrédientsRef[[#This Row],[Ingrédient]]</f>
        <v>Datte</v>
      </c>
      <c r="C135" t="str">
        <f>INDEX(tbl_IngrédientsRef[Unité], MATCH(A135, tbl_IngrédientsRef[Cde_Ingrdt],0))</f>
        <v>g</v>
      </c>
      <c r="D135" s="21">
        <f>IFERROR(INDEX(tbl_IngrédientsRef[[#This Row],[PU_effectif_g/ml]], MATCH(tbl_Stock[[#This Row],[Cde_Ingrdt]], tbl_IngrédientsRef[[#This Row],[Cde_Ingrdt]], 0)), 0)</f>
        <v>0.09</v>
      </c>
      <c r="E135">
        <v>1500</v>
      </c>
      <c r="F135" s="57">
        <f>tbl_Stock[[#This Row],[Stock Départ]] * INDEX(tbl_IngrédientsRef[Prix/Uni Base], MATCH(tbl_Stock[[#This Row],[Cde_Ingrdt]], tbl_IngrédientsRef[Cde_Ingrdt], 0))</f>
        <v>135</v>
      </c>
      <c r="G135">
        <f>SUMIF(tbl_Achats[Cde_Ingrdt],tbl_Stock[[#This Row],[Cde_Ingrdt]],tbl_Achats[Qté d''Achat])</f>
        <v>0</v>
      </c>
      <c r="H135" s="21">
        <f t="array" ref="H135">SUMPRODUCT((tbl_Achats[Cde_Ingrdt]=tbl_Stock[[#This Row],[Cde_Ingrdt]]) * tbl_Achats[Qté d''Achat] * tbl_Achats[Prix Achat Unitaire])</f>
        <v>0</v>
      </c>
      <c r="I135">
        <v>230</v>
      </c>
      <c r="J135" s="21">
        <f ca="1">tbl_Stock[[#This Row],[Stock Courant]] * tbl_Stock[[#This Row],[CMP effectif]]</f>
        <v>135</v>
      </c>
      <c r="K135">
        <f ca="1">tbl_Stock[[#This Row],[Stock Départ]] + SUMIF(tbl_Achats[Cde_Ingrdt],tbl_Stock[[#This Row],[Cde_Ingrdt]],tbl_Achats[[#This Row],[Qté d''Achat]])</f>
        <v>1500</v>
      </c>
      <c r="L135" s="7">
        <f ca="1">IFERROR((tbl_Stock[[#This Row],[Valeur stock initiale]] + tbl_Stock[[#This Row],[ Valeur Achat]]) / tbl_Stock[[#This Row],[Quantité totale]], 0)</f>
        <v>0.09</v>
      </c>
      <c r="M135" s="7">
        <f>SUMIF(tbl_Sorties[[Code ingrédient ]], tbl_Stock[[#This Row],[Cde_Ingrdt]], tbl_Sorties[Qté Sortie])</f>
        <v>0</v>
      </c>
      <c r="N135" s="57">
        <f>tbl_Stock[[#This Row],[Stock Départ]] + tbl_Stock[[#This Row],[Achats Cumulées]] - tbl_Stock[[#This Row],[ Sortie cumulée]]</f>
        <v>1500</v>
      </c>
      <c r="O135">
        <v>100</v>
      </c>
      <c r="P135" t="str">
        <f>IF(tbl_Stock[[#This Row],[Stock Courant]] &lt; tbl_Stock[[#This Row],[Seuil critique]], "⚠️ Alerte", "OK")</f>
        <v>OK</v>
      </c>
    </row>
    <row r="136" spans="1:16" x14ac:dyDescent="0.25">
      <c r="A136" t="str">
        <f>IFERROR(VLOOKUP(B136,Référentiels!$M$2:$N$267,2,FALSE),"Ingrédient non trouvé")</f>
        <v>FRU015</v>
      </c>
      <c r="B136" t="str">
        <f>+tbl_IngrédientsRef[[#This Row],[Ingrédient]]</f>
        <v>Fruits De La Passion</v>
      </c>
      <c r="C136" t="str">
        <f>INDEX(tbl_IngrédientsRef[Unité], MATCH(A136, tbl_IngrédientsRef[Cde_Ingrdt],0))</f>
        <v>g</v>
      </c>
      <c r="D136" s="21">
        <f>IFERROR(INDEX(tbl_IngrédientsRef[[#This Row],[PU_effectif_g/ml]], MATCH(tbl_Stock[[#This Row],[Cde_Ingrdt]], tbl_IngrédientsRef[[#This Row],[Cde_Ingrdt]], 0)), 0)</f>
        <v>0.2</v>
      </c>
      <c r="E136">
        <v>1500</v>
      </c>
      <c r="F136" s="57">
        <f>tbl_Stock[[#This Row],[Stock Départ]] * INDEX(tbl_IngrédientsRef[Prix/Uni Base], MATCH(tbl_Stock[[#This Row],[Cde_Ingrdt]], tbl_IngrédientsRef[Cde_Ingrdt], 0))</f>
        <v>300</v>
      </c>
      <c r="G136">
        <f>SUMIF(tbl_Achats[Cde_Ingrdt],tbl_Stock[[#This Row],[Cde_Ingrdt]],tbl_Achats[Qté d''Achat])</f>
        <v>0</v>
      </c>
      <c r="H136" s="21">
        <f t="array" ref="H136">SUMPRODUCT((tbl_Achats[Cde_Ingrdt]=tbl_Stock[[#This Row],[Cde_Ingrdt]]) * tbl_Achats[Qté d''Achat] * tbl_Achats[Prix Achat Unitaire])</f>
        <v>0</v>
      </c>
      <c r="I136">
        <v>300</v>
      </c>
      <c r="J136" s="21">
        <f ca="1">tbl_Stock[[#This Row],[Stock Courant]] * tbl_Stock[[#This Row],[CMP effectif]]</f>
        <v>300</v>
      </c>
      <c r="K136">
        <f ca="1">tbl_Stock[[#This Row],[Stock Départ]] + SUMIF(tbl_Achats[Cde_Ingrdt],tbl_Stock[[#This Row],[Cde_Ingrdt]],tbl_Achats[[#This Row],[Qté d''Achat]])</f>
        <v>1500</v>
      </c>
      <c r="L136" s="7">
        <f ca="1">IFERROR((tbl_Stock[[#This Row],[Valeur stock initiale]] + tbl_Stock[[#This Row],[ Valeur Achat]]) / tbl_Stock[[#This Row],[Quantité totale]], 0)</f>
        <v>0.2</v>
      </c>
      <c r="M136" s="7">
        <f>SUMIF(tbl_Sorties[[Code ingrédient ]], tbl_Stock[[#This Row],[Cde_Ingrdt]], tbl_Sorties[Qté Sortie])</f>
        <v>0</v>
      </c>
      <c r="N136" s="57">
        <f>tbl_Stock[[#This Row],[Stock Départ]] + tbl_Stock[[#This Row],[Achats Cumulées]] - tbl_Stock[[#This Row],[ Sortie cumulée]]</f>
        <v>1500</v>
      </c>
      <c r="O136">
        <v>100</v>
      </c>
      <c r="P136" t="str">
        <f>IF(tbl_Stock[[#This Row],[Stock Courant]] &lt; tbl_Stock[[#This Row],[Seuil critique]], "⚠️ Alerte", "OK")</f>
        <v>OK</v>
      </c>
    </row>
    <row r="137" spans="1:16" x14ac:dyDescent="0.25">
      <c r="A137" t="str">
        <f>IFERROR(VLOOKUP(B137,Référentiels!$M$2:$N$267,2,FALSE),"Ingrédient non trouvé")</f>
        <v>FRU016</v>
      </c>
      <c r="B137" t="str">
        <f>+tbl_IngrédientsRef[[#This Row],[Ingrédient]]</f>
        <v>Fruits Frais (Assiette)</v>
      </c>
      <c r="C137" t="str">
        <f>INDEX(tbl_IngrédientsRef[Unité], MATCH(A137, tbl_IngrédientsRef[Cde_Ingrdt],0))</f>
        <v>Pièce</v>
      </c>
      <c r="D137" s="21">
        <f>IFERROR(INDEX(tbl_IngrédientsRef[[#This Row],[PU_effectif_g/ml]], MATCH(tbl_Stock[[#This Row],[Cde_Ingrdt]], tbl_IngrédientsRef[[#This Row],[Cde_Ingrdt]], 0)), 0)</f>
        <v>17</v>
      </c>
      <c r="E137">
        <v>1500</v>
      </c>
      <c r="F137" s="57">
        <f>tbl_Stock[[#This Row],[Stock Départ]] * INDEX(tbl_IngrédientsRef[Prix/Uni Base], MATCH(tbl_Stock[[#This Row],[Cde_Ingrdt]], tbl_IngrédientsRef[Cde_Ingrdt], 0))</f>
        <v>25500</v>
      </c>
      <c r="G137">
        <f>SUMIF(tbl_Achats[Cde_Ingrdt],tbl_Stock[[#This Row],[Cde_Ingrdt]],tbl_Achats[Qté d''Achat])</f>
        <v>0</v>
      </c>
      <c r="H137" s="21">
        <f t="array" ref="H137">SUMPRODUCT((tbl_Achats[Cde_Ingrdt]=tbl_Stock[[#This Row],[Cde_Ingrdt]]) * tbl_Achats[Qté d''Achat] * tbl_Achats[Prix Achat Unitaire])</f>
        <v>0</v>
      </c>
      <c r="I137">
        <v>340</v>
      </c>
      <c r="J137" s="21">
        <f ca="1">tbl_Stock[[#This Row],[Stock Courant]] * tbl_Stock[[#This Row],[CMP effectif]]</f>
        <v>25500</v>
      </c>
      <c r="K137">
        <f ca="1">tbl_Stock[[#This Row],[Stock Départ]] + SUMIF(tbl_Achats[Cde_Ingrdt],tbl_Stock[[#This Row],[Cde_Ingrdt]],tbl_Achats[[#This Row],[Qté d''Achat]])</f>
        <v>1500</v>
      </c>
      <c r="L137" s="7">
        <f ca="1">IFERROR((tbl_Stock[[#This Row],[Valeur stock initiale]] + tbl_Stock[[#This Row],[ Valeur Achat]]) / tbl_Stock[[#This Row],[Quantité totale]], 0)</f>
        <v>17</v>
      </c>
      <c r="M137" s="7">
        <f>SUMIF(tbl_Sorties[[Code ingrédient ]], tbl_Stock[[#This Row],[Cde_Ingrdt]], tbl_Sorties[Qté Sortie])</f>
        <v>0</v>
      </c>
      <c r="N137" s="57">
        <f>tbl_Stock[[#This Row],[Stock Départ]] + tbl_Stock[[#This Row],[Achats Cumulées]] - tbl_Stock[[#This Row],[ Sortie cumulée]]</f>
        <v>1500</v>
      </c>
      <c r="O137">
        <v>100</v>
      </c>
      <c r="P137" t="str">
        <f>IF(tbl_Stock[[#This Row],[Stock Courant]] &lt; tbl_Stock[[#This Row],[Seuil critique]], "⚠️ Alerte", "OK")</f>
        <v>OK</v>
      </c>
    </row>
    <row r="138" spans="1:16" x14ac:dyDescent="0.25">
      <c r="A138" t="str">
        <f>IFERROR(VLOOKUP(B138,Référentiels!$M$2:$N$267,2,FALSE),"Ingrédient non trouvé")</f>
        <v>FRU017</v>
      </c>
      <c r="B138" t="str">
        <f>+tbl_IngrédientsRef[[#This Row],[Ingrédient]]</f>
        <v>Fruits Saison (Selon Arrivage)</v>
      </c>
      <c r="C138" t="str">
        <f>INDEX(tbl_IngrédientsRef[Unité], MATCH(A138, tbl_IngrédientsRef[Cde_Ingrdt],0))</f>
        <v>Pièce</v>
      </c>
      <c r="D138" s="21">
        <f>IFERROR(INDEX(tbl_IngrédientsRef[[#This Row],[PU_effectif_g/ml]], MATCH(tbl_Stock[[#This Row],[Cde_Ingrdt]], tbl_IngrédientsRef[[#This Row],[Cde_Ingrdt]], 0)), 0)</f>
        <v>12</v>
      </c>
      <c r="E138">
        <v>1500</v>
      </c>
      <c r="F138" s="57">
        <f>tbl_Stock[[#This Row],[Stock Départ]] * INDEX(tbl_IngrédientsRef[Prix/Uni Base], MATCH(tbl_Stock[[#This Row],[Cde_Ingrdt]], tbl_IngrédientsRef[Cde_Ingrdt], 0))</f>
        <v>18000</v>
      </c>
      <c r="G138">
        <f>SUMIF(tbl_Achats[Cde_Ingrdt],tbl_Stock[[#This Row],[Cde_Ingrdt]],tbl_Achats[Qté d''Achat])</f>
        <v>0</v>
      </c>
      <c r="H138" s="21">
        <f t="array" ref="H138">SUMPRODUCT((tbl_Achats[Cde_Ingrdt]=tbl_Stock[[#This Row],[Cde_Ingrdt]]) * tbl_Achats[Qté d''Achat] * tbl_Achats[Prix Achat Unitaire])</f>
        <v>0</v>
      </c>
      <c r="I138">
        <v>250</v>
      </c>
      <c r="J138" s="21">
        <f ca="1">tbl_Stock[[#This Row],[Stock Courant]] * tbl_Stock[[#This Row],[CMP effectif]]</f>
        <v>18000</v>
      </c>
      <c r="K138">
        <f ca="1">tbl_Stock[[#This Row],[Stock Départ]] + SUMIF(tbl_Achats[Cde_Ingrdt],tbl_Stock[[#This Row],[Cde_Ingrdt]],tbl_Achats[[#This Row],[Qté d''Achat]])</f>
        <v>1500</v>
      </c>
      <c r="L138" s="7">
        <f ca="1">IFERROR((tbl_Stock[[#This Row],[Valeur stock initiale]] + tbl_Stock[[#This Row],[ Valeur Achat]]) / tbl_Stock[[#This Row],[Quantité totale]], 0)</f>
        <v>12</v>
      </c>
      <c r="M138" s="7">
        <f>SUMIF(tbl_Sorties[[Code ingrédient ]], tbl_Stock[[#This Row],[Cde_Ingrdt]], tbl_Sorties[Qté Sortie])</f>
        <v>0</v>
      </c>
      <c r="N138" s="57">
        <f>tbl_Stock[[#This Row],[Stock Départ]] + tbl_Stock[[#This Row],[Achats Cumulées]] - tbl_Stock[[#This Row],[ Sortie cumulée]]</f>
        <v>1500</v>
      </c>
      <c r="O138">
        <v>100</v>
      </c>
      <c r="P138" t="str">
        <f>IF(tbl_Stock[[#This Row],[Stock Courant]] &lt; tbl_Stock[[#This Row],[Seuil critique]], "⚠️ Alerte", "OK")</f>
        <v>OK</v>
      </c>
    </row>
    <row r="139" spans="1:16" x14ac:dyDescent="0.25">
      <c r="A139" t="str">
        <f>IFERROR(VLOOKUP(B139,Référentiels!$M$2:$N$267,2,FALSE),"Ingrédient non trouvé")</f>
        <v>FRU018</v>
      </c>
      <c r="B139" t="str">
        <f>+tbl_IngrédientsRef[[#This Row],[Ingrédient]]</f>
        <v>Macédoine De Fruits</v>
      </c>
      <c r="C139" t="str">
        <f>INDEX(tbl_IngrédientsRef[Unité], MATCH(A139, tbl_IngrédientsRef[Cde_Ingrdt],0))</f>
        <v>g</v>
      </c>
      <c r="D139" s="21">
        <f>IFERROR(INDEX(tbl_IngrédientsRef[[#This Row],[PU_effectif_g/ml]], MATCH(tbl_Stock[[#This Row],[Cde_Ingrdt]], tbl_IngrédientsRef[[#This Row],[Cde_Ingrdt]], 0)), 0)</f>
        <v>3.4000000000000002E-2</v>
      </c>
      <c r="E139">
        <v>1500</v>
      </c>
      <c r="F139" s="57">
        <f>tbl_Stock[[#This Row],[Stock Départ]] * INDEX(tbl_IngrédientsRef[Prix/Uni Base], MATCH(tbl_Stock[[#This Row],[Cde_Ingrdt]], tbl_IngrédientsRef[Cde_Ingrdt], 0))</f>
        <v>51.000000000000007</v>
      </c>
      <c r="G139">
        <f>SUMIF(tbl_Achats[Cde_Ingrdt],tbl_Stock[[#This Row],[Cde_Ingrdt]],tbl_Achats[Qté d''Achat])</f>
        <v>0</v>
      </c>
      <c r="H139" s="21">
        <f t="array" ref="H139">SUMPRODUCT((tbl_Achats[Cde_Ingrdt]=tbl_Stock[[#This Row],[Cde_Ingrdt]]) * tbl_Achats[Qté d''Achat] * tbl_Achats[Prix Achat Unitaire])</f>
        <v>0</v>
      </c>
      <c r="I139">
        <v>230</v>
      </c>
      <c r="J139" s="21">
        <f ca="1">tbl_Stock[[#This Row],[Stock Courant]] * tbl_Stock[[#This Row],[CMP effectif]]</f>
        <v>51.000000000000007</v>
      </c>
      <c r="K139">
        <f ca="1">tbl_Stock[[#This Row],[Stock Départ]] + SUMIF(tbl_Achats[Cde_Ingrdt],tbl_Stock[[#This Row],[Cde_Ingrdt]],tbl_Achats[[#This Row],[Qté d''Achat]])</f>
        <v>1500</v>
      </c>
      <c r="L139" s="7">
        <f ca="1">IFERROR((tbl_Stock[[#This Row],[Valeur stock initiale]] + tbl_Stock[[#This Row],[ Valeur Achat]]) / tbl_Stock[[#This Row],[Quantité totale]], 0)</f>
        <v>3.4000000000000002E-2</v>
      </c>
      <c r="M139" s="7">
        <f>SUMIF(tbl_Sorties[[Code ingrédient ]], tbl_Stock[[#This Row],[Cde_Ingrdt]], tbl_Sorties[Qté Sortie])</f>
        <v>0</v>
      </c>
      <c r="N139" s="57">
        <f>tbl_Stock[[#This Row],[Stock Départ]] + tbl_Stock[[#This Row],[Achats Cumulées]] - tbl_Stock[[#This Row],[ Sortie cumulée]]</f>
        <v>1500</v>
      </c>
      <c r="O139">
        <v>100</v>
      </c>
      <c r="P139" t="str">
        <f>IF(tbl_Stock[[#This Row],[Stock Courant]] &lt; tbl_Stock[[#This Row],[Seuil critique]], "⚠️ Alerte", "OK")</f>
        <v>OK</v>
      </c>
    </row>
    <row r="140" spans="1:16" x14ac:dyDescent="0.25">
      <c r="A140" t="str">
        <f>IFERROR(VLOOKUP(B140,Référentiels!$M$2:$N$267,2,FALSE),"Ingrédient non trouvé")</f>
        <v>LEG001</v>
      </c>
      <c r="B140" t="str">
        <f>+tbl_IngrédientsRef[[#This Row],[Ingrédient]]</f>
        <v>Garniture De Légumes</v>
      </c>
      <c r="C140" t="str">
        <f>INDEX(tbl_IngrédientsRef[Unité], MATCH(A140, tbl_IngrédientsRef[Cde_Ingrdt],0))</f>
        <v>g</v>
      </c>
      <c r="D140" s="21">
        <f>IFERROR(INDEX(tbl_IngrédientsRef[[#This Row],[PU_effectif_g/ml]], MATCH(tbl_Stock[[#This Row],[Cde_Ingrdt]], tbl_IngrédientsRef[[#This Row],[Cde_Ingrdt]], 0)), 0)</f>
        <v>0.02</v>
      </c>
      <c r="E140">
        <v>1500</v>
      </c>
      <c r="F140" s="57">
        <f>tbl_Stock[[#This Row],[Stock Départ]] * INDEX(tbl_IngrédientsRef[Prix/Uni Base], MATCH(tbl_Stock[[#This Row],[Cde_Ingrdt]], tbl_IngrédientsRef[Cde_Ingrdt], 0))</f>
        <v>30</v>
      </c>
      <c r="G140">
        <f>SUMIF(tbl_Achats[Cde_Ingrdt],tbl_Stock[[#This Row],[Cde_Ingrdt]],tbl_Achats[Qté d''Achat])</f>
        <v>0</v>
      </c>
      <c r="H140" s="21">
        <f t="array" ref="H140">SUMPRODUCT((tbl_Achats[Cde_Ingrdt]=tbl_Stock[[#This Row],[Cde_Ingrdt]]) * tbl_Achats[Qté d''Achat] * tbl_Achats[Prix Achat Unitaire])</f>
        <v>0</v>
      </c>
      <c r="I140">
        <v>300</v>
      </c>
      <c r="J140" s="21">
        <f ca="1">tbl_Stock[[#This Row],[Stock Courant]] * tbl_Stock[[#This Row],[CMP effectif]]</f>
        <v>30</v>
      </c>
      <c r="K140">
        <f ca="1">tbl_Stock[[#This Row],[Stock Départ]] + SUMIF(tbl_Achats[Cde_Ingrdt],tbl_Stock[[#This Row],[Cde_Ingrdt]],tbl_Achats[[#This Row],[Qté d''Achat]])</f>
        <v>1500</v>
      </c>
      <c r="L140" s="7">
        <f ca="1">IFERROR((tbl_Stock[[#This Row],[Valeur stock initiale]] + tbl_Stock[[#This Row],[ Valeur Achat]]) / tbl_Stock[[#This Row],[Quantité totale]], 0)</f>
        <v>0.02</v>
      </c>
      <c r="M140" s="7">
        <f>SUMIF(tbl_Sorties[[Code ingrédient ]], tbl_Stock[[#This Row],[Cde_Ingrdt]], tbl_Sorties[Qté Sortie])</f>
        <v>0</v>
      </c>
      <c r="N140" s="57">
        <f>tbl_Stock[[#This Row],[Stock Départ]] + tbl_Stock[[#This Row],[Achats Cumulées]] - tbl_Stock[[#This Row],[ Sortie cumulée]]</f>
        <v>1500</v>
      </c>
      <c r="O140">
        <v>100</v>
      </c>
      <c r="P140" t="str">
        <f>IF(tbl_Stock[[#This Row],[Stock Courant]] &lt; tbl_Stock[[#This Row],[Seuil critique]], "⚠️ Alerte", "OK")</f>
        <v>OK</v>
      </c>
    </row>
    <row r="141" spans="1:16" x14ac:dyDescent="0.25">
      <c r="A141" t="str">
        <f>IFERROR(VLOOKUP(B141,Référentiels!$M$2:$N$267,2,FALSE),"Ingrédient non trouvé")</f>
        <v>LEG002</v>
      </c>
      <c r="B141" t="str">
        <f>+tbl_IngrédientsRef[[#This Row],[Ingrédient]]</f>
        <v>Tomate</v>
      </c>
      <c r="C141" t="str">
        <f>INDEX(tbl_IngrédientsRef[Unité], MATCH(A141, tbl_IngrédientsRef[Cde_Ingrdt],0))</f>
        <v>g</v>
      </c>
      <c r="D141" s="21">
        <f>IFERROR(INDEX(tbl_IngrédientsRef[[#This Row],[PU_effectif_g/ml]], MATCH(tbl_Stock[[#This Row],[Cde_Ingrdt]], tbl_IngrédientsRef[[#This Row],[Cde_Ingrdt]], 0)), 0)</f>
        <v>0.01</v>
      </c>
      <c r="E141">
        <v>1500</v>
      </c>
      <c r="F141" s="57">
        <f>tbl_Stock[[#This Row],[Stock Départ]] * INDEX(tbl_IngrédientsRef[Prix/Uni Base], MATCH(tbl_Stock[[#This Row],[Cde_Ingrdt]], tbl_IngrédientsRef[Cde_Ingrdt], 0))</f>
        <v>15</v>
      </c>
      <c r="G141">
        <f>SUMIF(tbl_Achats[Cde_Ingrdt],tbl_Stock[[#This Row],[Cde_Ingrdt]],tbl_Achats[Qté d''Achat])</f>
        <v>0</v>
      </c>
      <c r="H141" s="21">
        <f t="array" ref="H141">SUMPRODUCT((tbl_Achats[Cde_Ingrdt]=tbl_Stock[[#This Row],[Cde_Ingrdt]]) * tbl_Achats[Qté d''Achat] * tbl_Achats[Prix Achat Unitaire])</f>
        <v>0</v>
      </c>
      <c r="I141">
        <v>340</v>
      </c>
      <c r="J141" s="21">
        <f ca="1">tbl_Stock[[#This Row],[Stock Courant]] * tbl_Stock[[#This Row],[CMP effectif]]</f>
        <v>15</v>
      </c>
      <c r="K141">
        <f ca="1">tbl_Stock[[#This Row],[Stock Départ]] + SUMIF(tbl_Achats[Cde_Ingrdt],tbl_Stock[[#This Row],[Cde_Ingrdt]],tbl_Achats[[#This Row],[Qté d''Achat]])</f>
        <v>1500</v>
      </c>
      <c r="L141" s="7">
        <f ca="1">IFERROR((tbl_Stock[[#This Row],[Valeur stock initiale]] + tbl_Stock[[#This Row],[ Valeur Achat]]) / tbl_Stock[[#This Row],[Quantité totale]], 0)</f>
        <v>0.01</v>
      </c>
      <c r="M141" s="7">
        <f>SUMIF(tbl_Sorties[[Code ingrédient ]], tbl_Stock[[#This Row],[Cde_Ingrdt]], tbl_Sorties[Qté Sortie])</f>
        <v>0</v>
      </c>
      <c r="N141" s="57">
        <f>tbl_Stock[[#This Row],[Stock Départ]] + tbl_Stock[[#This Row],[Achats Cumulées]] - tbl_Stock[[#This Row],[ Sortie cumulée]]</f>
        <v>1500</v>
      </c>
      <c r="O141">
        <v>100</v>
      </c>
      <c r="P141" t="str">
        <f>IF(tbl_Stock[[#This Row],[Stock Courant]] &lt; tbl_Stock[[#This Row],[Seuil critique]], "⚠️ Alerte", "OK")</f>
        <v>OK</v>
      </c>
    </row>
    <row r="142" spans="1:16" x14ac:dyDescent="0.25">
      <c r="A142" t="str">
        <f>IFERROR(VLOOKUP(B142,Référentiels!$M$2:$N$267,2,FALSE),"Ingrédient non trouvé")</f>
        <v>LEG003</v>
      </c>
      <c r="B142" t="str">
        <f>+tbl_IngrédientsRef[[#This Row],[Ingrédient]]</f>
        <v>Tomate Cerise</v>
      </c>
      <c r="C142" t="str">
        <f>INDEX(tbl_IngrédientsRef[Unité], MATCH(A142, tbl_IngrédientsRef[Cde_Ingrdt],0))</f>
        <v>g</v>
      </c>
      <c r="D142" s="21">
        <f>IFERROR(INDEX(tbl_IngrédientsRef[[#This Row],[PU_effectif_g/ml]], MATCH(tbl_Stock[[#This Row],[Cde_Ingrdt]], tbl_IngrédientsRef[[#This Row],[Cde_Ingrdt]], 0)), 0)</f>
        <v>0.04</v>
      </c>
      <c r="E142">
        <v>1500</v>
      </c>
      <c r="F142" s="57">
        <f>tbl_Stock[[#This Row],[Stock Départ]] * INDEX(tbl_IngrédientsRef[Prix/Uni Base], MATCH(tbl_Stock[[#This Row],[Cde_Ingrdt]], tbl_IngrédientsRef[Cde_Ingrdt], 0))</f>
        <v>60</v>
      </c>
      <c r="G142">
        <f>SUMIF(tbl_Achats[Cde_Ingrdt],tbl_Stock[[#This Row],[Cde_Ingrdt]],tbl_Achats[Qté d''Achat])</f>
        <v>0</v>
      </c>
      <c r="H142" s="21">
        <f t="array" ref="H142">SUMPRODUCT((tbl_Achats[Cde_Ingrdt]=tbl_Stock[[#This Row],[Cde_Ingrdt]]) * tbl_Achats[Qté d''Achat] * tbl_Achats[Prix Achat Unitaire])</f>
        <v>0</v>
      </c>
      <c r="I142">
        <v>250</v>
      </c>
      <c r="J142" s="21">
        <f ca="1">tbl_Stock[[#This Row],[Stock Courant]] * tbl_Stock[[#This Row],[CMP effectif]]</f>
        <v>60</v>
      </c>
      <c r="K142">
        <f ca="1">tbl_Stock[[#This Row],[Stock Départ]] + SUMIF(tbl_Achats[Cde_Ingrdt],tbl_Stock[[#This Row],[Cde_Ingrdt]],tbl_Achats[[#This Row],[Qté d''Achat]])</f>
        <v>1500</v>
      </c>
      <c r="L142" s="7">
        <f ca="1">IFERROR((tbl_Stock[[#This Row],[Valeur stock initiale]] + tbl_Stock[[#This Row],[ Valeur Achat]]) / tbl_Stock[[#This Row],[Quantité totale]], 0)</f>
        <v>0.04</v>
      </c>
      <c r="M142" s="7">
        <f>SUMIF(tbl_Sorties[[Code ingrédient ]], tbl_Stock[[#This Row],[Cde_Ingrdt]], tbl_Sorties[Qté Sortie])</f>
        <v>0</v>
      </c>
      <c r="N142" s="57">
        <f>tbl_Stock[[#This Row],[Stock Départ]] + tbl_Stock[[#This Row],[Achats Cumulées]] - tbl_Stock[[#This Row],[ Sortie cumulée]]</f>
        <v>1500</v>
      </c>
      <c r="O142">
        <v>100</v>
      </c>
      <c r="P142" t="str">
        <f>IF(tbl_Stock[[#This Row],[Stock Courant]] &lt; tbl_Stock[[#This Row],[Seuil critique]], "⚠️ Alerte", "OK")</f>
        <v>OK</v>
      </c>
    </row>
    <row r="143" spans="1:16" x14ac:dyDescent="0.25">
      <c r="A143" t="str">
        <f>IFERROR(VLOOKUP(B143,Référentiels!$M$2:$N$267,2,FALSE),"Ingrédient non trouvé")</f>
        <v>LEG004</v>
      </c>
      <c r="B143" t="str">
        <f>+tbl_IngrédientsRef[[#This Row],[Ingrédient]]</f>
        <v>Tomates Séchées</v>
      </c>
      <c r="C143" t="str">
        <f>INDEX(tbl_IngrédientsRef[Unité], MATCH(A143, tbl_IngrédientsRef[Cde_Ingrdt],0))</f>
        <v>g</v>
      </c>
      <c r="D143" s="21">
        <f>IFERROR(INDEX(tbl_IngrédientsRef[[#This Row],[PU_effectif_g/ml]], MATCH(tbl_Stock[[#This Row],[Cde_Ingrdt]], tbl_IngrédientsRef[[#This Row],[Cde_Ingrdt]], 0)), 0)</f>
        <v>0.05</v>
      </c>
      <c r="E143">
        <v>1500</v>
      </c>
      <c r="F143" s="57">
        <f>tbl_Stock[[#This Row],[Stock Départ]] * INDEX(tbl_IngrédientsRef[Prix/Uni Base], MATCH(tbl_Stock[[#This Row],[Cde_Ingrdt]], tbl_IngrédientsRef[Cde_Ingrdt], 0))</f>
        <v>75</v>
      </c>
      <c r="G143">
        <f>SUMIF(tbl_Achats[Cde_Ingrdt],tbl_Stock[[#This Row],[Cde_Ingrdt]],tbl_Achats[Qté d''Achat])</f>
        <v>0</v>
      </c>
      <c r="H143" s="21">
        <f t="array" ref="H143">SUMPRODUCT((tbl_Achats[Cde_Ingrdt]=tbl_Stock[[#This Row],[Cde_Ingrdt]]) * tbl_Achats[Qté d''Achat] * tbl_Achats[Prix Achat Unitaire])</f>
        <v>0</v>
      </c>
      <c r="I143">
        <v>230</v>
      </c>
      <c r="J143" s="21">
        <f ca="1">tbl_Stock[[#This Row],[Stock Courant]] * tbl_Stock[[#This Row],[CMP effectif]]</f>
        <v>75</v>
      </c>
      <c r="K143">
        <f ca="1">tbl_Stock[[#This Row],[Stock Départ]] + SUMIF(tbl_Achats[Cde_Ingrdt],tbl_Stock[[#This Row],[Cde_Ingrdt]],tbl_Achats[[#This Row],[Qté d''Achat]])</f>
        <v>1500</v>
      </c>
      <c r="L143" s="7">
        <f ca="1">IFERROR((tbl_Stock[[#This Row],[Valeur stock initiale]] + tbl_Stock[[#This Row],[ Valeur Achat]]) / tbl_Stock[[#This Row],[Quantité totale]], 0)</f>
        <v>0.05</v>
      </c>
      <c r="M143" s="7">
        <f>SUMIF(tbl_Sorties[[Code ingrédient ]], tbl_Stock[[#This Row],[Cde_Ingrdt]], tbl_Sorties[Qté Sortie])</f>
        <v>0</v>
      </c>
      <c r="N143" s="57">
        <f>tbl_Stock[[#This Row],[Stock Départ]] + tbl_Stock[[#This Row],[Achats Cumulées]] - tbl_Stock[[#This Row],[ Sortie cumulée]]</f>
        <v>1500</v>
      </c>
      <c r="O143">
        <v>100</v>
      </c>
      <c r="P143" t="str">
        <f>IF(tbl_Stock[[#This Row],[Stock Courant]] &lt; tbl_Stock[[#This Row],[Seuil critique]], "⚠️ Alerte", "OK")</f>
        <v>OK</v>
      </c>
    </row>
    <row r="144" spans="1:16" x14ac:dyDescent="0.25">
      <c r="A144" t="str">
        <f>IFERROR(VLOOKUP(B144,Référentiels!$M$2:$N$267,2,FALSE),"Ingrédient non trouvé")</f>
        <v>LEG005</v>
      </c>
      <c r="B144" t="str">
        <f>+tbl_IngrédientsRef[[#This Row],[Ingrédient]]</f>
        <v>Purée De Tomate</v>
      </c>
      <c r="C144" t="str">
        <f>INDEX(tbl_IngrédientsRef[Unité], MATCH(A144, tbl_IngrédientsRef[Cde_Ingrdt],0))</f>
        <v>g</v>
      </c>
      <c r="D144" s="21">
        <f>IFERROR(INDEX(tbl_IngrédientsRef[[#This Row],[PU_effectif_g/ml]], MATCH(tbl_Stock[[#This Row],[Cde_Ingrdt]], tbl_IngrédientsRef[[#This Row],[Cde_Ingrdt]], 0)), 0)</f>
        <v>0.1</v>
      </c>
      <c r="E144">
        <v>1500</v>
      </c>
      <c r="F144" s="57">
        <f>tbl_Stock[[#This Row],[Stock Départ]] * INDEX(tbl_IngrédientsRef[Prix/Uni Base], MATCH(tbl_Stock[[#This Row],[Cde_Ingrdt]], tbl_IngrédientsRef[Cde_Ingrdt], 0))</f>
        <v>150</v>
      </c>
      <c r="G144">
        <f>SUMIF(tbl_Achats[Cde_Ingrdt],tbl_Stock[[#This Row],[Cde_Ingrdt]],tbl_Achats[Qté d''Achat])</f>
        <v>0</v>
      </c>
      <c r="H144" s="21">
        <f t="array" ref="H144">SUMPRODUCT((tbl_Achats[Cde_Ingrdt]=tbl_Stock[[#This Row],[Cde_Ingrdt]]) * tbl_Achats[Qté d''Achat] * tbl_Achats[Prix Achat Unitaire])</f>
        <v>0</v>
      </c>
      <c r="I144">
        <v>300</v>
      </c>
      <c r="J144" s="21">
        <f ca="1">tbl_Stock[[#This Row],[Stock Courant]] * tbl_Stock[[#This Row],[CMP effectif]]</f>
        <v>150</v>
      </c>
      <c r="K144">
        <f ca="1">tbl_Stock[[#This Row],[Stock Départ]] + SUMIF(tbl_Achats[Cde_Ingrdt],tbl_Stock[[#This Row],[Cde_Ingrdt]],tbl_Achats[[#This Row],[Qté d''Achat]])</f>
        <v>1500</v>
      </c>
      <c r="L144" s="7">
        <f ca="1">IFERROR((tbl_Stock[[#This Row],[Valeur stock initiale]] + tbl_Stock[[#This Row],[ Valeur Achat]]) / tbl_Stock[[#This Row],[Quantité totale]], 0)</f>
        <v>0.1</v>
      </c>
      <c r="M144" s="7">
        <f>SUMIF(tbl_Sorties[[Code ingrédient ]], tbl_Stock[[#This Row],[Cde_Ingrdt]], tbl_Sorties[Qté Sortie])</f>
        <v>0</v>
      </c>
      <c r="N144" s="57">
        <f>tbl_Stock[[#This Row],[Stock Départ]] + tbl_Stock[[#This Row],[Achats Cumulées]] - tbl_Stock[[#This Row],[ Sortie cumulée]]</f>
        <v>1500</v>
      </c>
      <c r="O144">
        <v>100</v>
      </c>
      <c r="P144" t="str">
        <f>IF(tbl_Stock[[#This Row],[Stock Courant]] &lt; tbl_Stock[[#This Row],[Seuil critique]], "⚠️ Alerte", "OK")</f>
        <v>OK</v>
      </c>
    </row>
    <row r="145" spans="1:16" x14ac:dyDescent="0.25">
      <c r="A145" t="str">
        <f>IFERROR(VLOOKUP(B145,Référentiels!$M$2:$N$267,2,FALSE),"Ingrédient non trouvé")</f>
        <v>LEG006</v>
      </c>
      <c r="B145" t="str">
        <f>+tbl_IngrédientsRef[[#This Row],[Ingrédient]]</f>
        <v>Pomme De Terre</v>
      </c>
      <c r="C145" t="str">
        <f>INDEX(tbl_IngrédientsRef[Unité], MATCH(A145, tbl_IngrédientsRef[Cde_Ingrdt],0))</f>
        <v>g</v>
      </c>
      <c r="D145" s="21">
        <f>IFERROR(INDEX(tbl_IngrédientsRef[[#This Row],[PU_effectif_g/ml]], MATCH(tbl_Stock[[#This Row],[Cde_Ingrdt]], tbl_IngrédientsRef[[#This Row],[Cde_Ingrdt]], 0)), 0)</f>
        <v>0.01</v>
      </c>
      <c r="E145">
        <v>1500</v>
      </c>
      <c r="F145" s="57">
        <f>tbl_Stock[[#This Row],[Stock Départ]] * INDEX(tbl_IngrédientsRef[Prix/Uni Base], MATCH(tbl_Stock[[#This Row],[Cde_Ingrdt]], tbl_IngrédientsRef[Cde_Ingrdt], 0))</f>
        <v>15</v>
      </c>
      <c r="G145">
        <f>SUMIF(tbl_Achats[Cde_Ingrdt],tbl_Stock[[#This Row],[Cde_Ingrdt]],tbl_Achats[Qté d''Achat])</f>
        <v>0</v>
      </c>
      <c r="H145" s="21">
        <f t="array" ref="H145">SUMPRODUCT((tbl_Achats[Cde_Ingrdt]=tbl_Stock[[#This Row],[Cde_Ingrdt]]) * tbl_Achats[Qté d''Achat] * tbl_Achats[Prix Achat Unitaire])</f>
        <v>0</v>
      </c>
      <c r="I145">
        <v>340</v>
      </c>
      <c r="J145" s="21">
        <f ca="1">tbl_Stock[[#This Row],[Stock Courant]] * tbl_Stock[[#This Row],[CMP effectif]]</f>
        <v>15</v>
      </c>
      <c r="K145">
        <f ca="1">tbl_Stock[[#This Row],[Stock Départ]] + SUMIF(tbl_Achats[Cde_Ingrdt],tbl_Stock[[#This Row],[Cde_Ingrdt]],tbl_Achats[[#This Row],[Qté d''Achat]])</f>
        <v>1500</v>
      </c>
      <c r="L145" s="7">
        <f ca="1">IFERROR((tbl_Stock[[#This Row],[Valeur stock initiale]] + tbl_Stock[[#This Row],[ Valeur Achat]]) / tbl_Stock[[#This Row],[Quantité totale]], 0)</f>
        <v>0.01</v>
      </c>
      <c r="M145" s="7">
        <f>SUMIF(tbl_Sorties[[Code ingrédient ]], tbl_Stock[[#This Row],[Cde_Ingrdt]], tbl_Sorties[Qté Sortie])</f>
        <v>0</v>
      </c>
      <c r="N145" s="57">
        <f>tbl_Stock[[#This Row],[Stock Départ]] + tbl_Stock[[#This Row],[Achats Cumulées]] - tbl_Stock[[#This Row],[ Sortie cumulée]]</f>
        <v>1500</v>
      </c>
      <c r="O145">
        <v>100</v>
      </c>
      <c r="P145" t="str">
        <f>IF(tbl_Stock[[#This Row],[Stock Courant]] &lt; tbl_Stock[[#This Row],[Seuil critique]], "⚠️ Alerte", "OK")</f>
        <v>OK</v>
      </c>
    </row>
    <row r="146" spans="1:16" x14ac:dyDescent="0.25">
      <c r="A146" t="str">
        <f>IFERROR(VLOOKUP(B146,Référentiels!$M$2:$N$267,2,FALSE),"Ingrédient non trouvé")</f>
        <v>LEG007</v>
      </c>
      <c r="B146" t="str">
        <f>+tbl_IngrédientsRef[[#This Row],[Ingrédient]]</f>
        <v>Oignon</v>
      </c>
      <c r="C146" t="str">
        <f>INDEX(tbl_IngrédientsRef[Unité], MATCH(A146, tbl_IngrédientsRef[Cde_Ingrdt],0))</f>
        <v>g</v>
      </c>
      <c r="D146" s="21">
        <f>IFERROR(INDEX(tbl_IngrédientsRef[[#This Row],[PU_effectif_g/ml]], MATCH(tbl_Stock[[#This Row],[Cde_Ingrdt]], tbl_IngrédientsRef[[#This Row],[Cde_Ingrdt]], 0)), 0)</f>
        <v>0.01</v>
      </c>
      <c r="E146">
        <v>1500</v>
      </c>
      <c r="F146" s="57">
        <f>tbl_Stock[[#This Row],[Stock Départ]] * INDEX(tbl_IngrédientsRef[Prix/Uni Base], MATCH(tbl_Stock[[#This Row],[Cde_Ingrdt]], tbl_IngrédientsRef[Cde_Ingrdt], 0))</f>
        <v>15</v>
      </c>
      <c r="G146">
        <f>SUMIF(tbl_Achats[Cde_Ingrdt],tbl_Stock[[#This Row],[Cde_Ingrdt]],tbl_Achats[Qté d''Achat])</f>
        <v>0</v>
      </c>
      <c r="H146" s="21">
        <f t="array" ref="H146">SUMPRODUCT((tbl_Achats[Cde_Ingrdt]=tbl_Stock[[#This Row],[Cde_Ingrdt]]) * tbl_Achats[Qté d''Achat] * tbl_Achats[Prix Achat Unitaire])</f>
        <v>0</v>
      </c>
      <c r="I146">
        <v>250</v>
      </c>
      <c r="J146" s="21">
        <f ca="1">tbl_Stock[[#This Row],[Stock Courant]] * tbl_Stock[[#This Row],[CMP effectif]]</f>
        <v>15</v>
      </c>
      <c r="K146">
        <f ca="1">tbl_Stock[[#This Row],[Stock Départ]] + SUMIF(tbl_Achats[Cde_Ingrdt],tbl_Stock[[#This Row],[Cde_Ingrdt]],tbl_Achats[[#This Row],[Qté d''Achat]])</f>
        <v>1500</v>
      </c>
      <c r="L146" s="7">
        <f ca="1">IFERROR((tbl_Stock[[#This Row],[Valeur stock initiale]] + tbl_Stock[[#This Row],[ Valeur Achat]]) / tbl_Stock[[#This Row],[Quantité totale]], 0)</f>
        <v>0.01</v>
      </c>
      <c r="M146" s="7">
        <f>SUMIF(tbl_Sorties[[Code ingrédient ]], tbl_Stock[[#This Row],[Cde_Ingrdt]], tbl_Sorties[Qté Sortie])</f>
        <v>0</v>
      </c>
      <c r="N146" s="57">
        <f>tbl_Stock[[#This Row],[Stock Départ]] + tbl_Stock[[#This Row],[Achats Cumulées]] - tbl_Stock[[#This Row],[ Sortie cumulée]]</f>
        <v>1500</v>
      </c>
      <c r="O146">
        <v>100</v>
      </c>
      <c r="P146" t="str">
        <f>IF(tbl_Stock[[#This Row],[Stock Courant]] &lt; tbl_Stock[[#This Row],[Seuil critique]], "⚠️ Alerte", "OK")</f>
        <v>OK</v>
      </c>
    </row>
    <row r="147" spans="1:16" x14ac:dyDescent="0.25">
      <c r="A147" t="str">
        <f>IFERROR(VLOOKUP(B147,Référentiels!$M$2:$N$267,2,FALSE),"Ingrédient non trouvé")</f>
        <v>LEG008</v>
      </c>
      <c r="B147" t="str">
        <f>+tbl_IngrédientsRef[[#This Row],[Ingrédient]]</f>
        <v>Laitue Romaine</v>
      </c>
      <c r="C147" t="str">
        <f>INDEX(tbl_IngrédientsRef[Unité], MATCH(A147, tbl_IngrédientsRef[Cde_Ingrdt],0))</f>
        <v>Pièce</v>
      </c>
      <c r="D147" s="21">
        <f>IFERROR(INDEX(tbl_IngrédientsRef[[#This Row],[PU_effectif_g/ml]], MATCH(tbl_Stock[[#This Row],[Cde_Ingrdt]], tbl_IngrédientsRef[[#This Row],[Cde_Ingrdt]], 0)), 0)</f>
        <v>8</v>
      </c>
      <c r="E147">
        <v>1500</v>
      </c>
      <c r="F147" s="57">
        <f>tbl_Stock[[#This Row],[Stock Départ]] * INDEX(tbl_IngrédientsRef[Prix/Uni Base], MATCH(tbl_Stock[[#This Row],[Cde_Ingrdt]], tbl_IngrédientsRef[Cde_Ingrdt], 0))</f>
        <v>12000</v>
      </c>
      <c r="G147">
        <f>SUMIF(tbl_Achats[Cde_Ingrdt],tbl_Stock[[#This Row],[Cde_Ingrdt]],tbl_Achats[Qté d''Achat])</f>
        <v>0</v>
      </c>
      <c r="H147" s="21">
        <f t="array" ref="H147">SUMPRODUCT((tbl_Achats[Cde_Ingrdt]=tbl_Stock[[#This Row],[Cde_Ingrdt]]) * tbl_Achats[Qté d''Achat] * tbl_Achats[Prix Achat Unitaire])</f>
        <v>0</v>
      </c>
      <c r="I147">
        <v>230</v>
      </c>
      <c r="J147" s="21">
        <f ca="1">tbl_Stock[[#This Row],[Stock Courant]] * tbl_Stock[[#This Row],[CMP effectif]]</f>
        <v>12000</v>
      </c>
      <c r="K147">
        <f ca="1">tbl_Stock[[#This Row],[Stock Départ]] + SUMIF(tbl_Achats[Cde_Ingrdt],tbl_Stock[[#This Row],[Cde_Ingrdt]],tbl_Achats[[#This Row],[Qté d''Achat]])</f>
        <v>1500</v>
      </c>
      <c r="L147" s="7">
        <f ca="1">IFERROR((tbl_Stock[[#This Row],[Valeur stock initiale]] + tbl_Stock[[#This Row],[ Valeur Achat]]) / tbl_Stock[[#This Row],[Quantité totale]], 0)</f>
        <v>8</v>
      </c>
      <c r="M147" s="7">
        <f>SUMIF(tbl_Sorties[[Code ingrédient ]], tbl_Stock[[#This Row],[Cde_Ingrdt]], tbl_Sorties[Qté Sortie])</f>
        <v>0</v>
      </c>
      <c r="N147" s="57">
        <f>tbl_Stock[[#This Row],[Stock Départ]] + tbl_Stock[[#This Row],[Achats Cumulées]] - tbl_Stock[[#This Row],[ Sortie cumulée]]</f>
        <v>1500</v>
      </c>
      <c r="O147">
        <v>100</v>
      </c>
      <c r="P147" t="str">
        <f>IF(tbl_Stock[[#This Row],[Stock Courant]] &lt; tbl_Stock[[#This Row],[Seuil critique]], "⚠️ Alerte", "OK")</f>
        <v>OK</v>
      </c>
    </row>
    <row r="148" spans="1:16" x14ac:dyDescent="0.25">
      <c r="A148" t="str">
        <f>IFERROR(VLOOKUP(B148,Référentiels!$M$2:$N$267,2,FALSE),"Ingrédient non trouvé")</f>
        <v>LEG009</v>
      </c>
      <c r="B148" t="str">
        <f>+tbl_IngrédientsRef[[#This Row],[Ingrédient]]</f>
        <v>Laitue Frisée</v>
      </c>
      <c r="C148" t="str">
        <f>INDEX(tbl_IngrédientsRef[Unité], MATCH(A148, tbl_IngrédientsRef[Cde_Ingrdt],0))</f>
        <v>Pièce</v>
      </c>
      <c r="D148" s="21">
        <f>IFERROR(INDEX(tbl_IngrédientsRef[[#This Row],[PU_effectif_g/ml]], MATCH(tbl_Stock[[#This Row],[Cde_Ingrdt]], tbl_IngrédientsRef[[#This Row],[Cde_Ingrdt]], 0)), 0)</f>
        <v>8</v>
      </c>
      <c r="E148">
        <v>1500</v>
      </c>
      <c r="F148" s="57">
        <f>tbl_Stock[[#This Row],[Stock Départ]] * INDEX(tbl_IngrédientsRef[Prix/Uni Base], MATCH(tbl_Stock[[#This Row],[Cde_Ingrdt]], tbl_IngrédientsRef[Cde_Ingrdt], 0))</f>
        <v>12000</v>
      </c>
      <c r="G148">
        <f>SUMIF(tbl_Achats[Cde_Ingrdt],tbl_Stock[[#This Row],[Cde_Ingrdt]],tbl_Achats[Qté d''Achat])</f>
        <v>0</v>
      </c>
      <c r="H148" s="21">
        <f t="array" ref="H148">SUMPRODUCT((tbl_Achats[Cde_Ingrdt]=tbl_Stock[[#This Row],[Cde_Ingrdt]]) * tbl_Achats[Qté d''Achat] * tbl_Achats[Prix Achat Unitaire])</f>
        <v>0</v>
      </c>
      <c r="I148">
        <v>300</v>
      </c>
      <c r="J148" s="21">
        <f ca="1">tbl_Stock[[#This Row],[Stock Courant]] * tbl_Stock[[#This Row],[CMP effectif]]</f>
        <v>12000</v>
      </c>
      <c r="K148">
        <f ca="1">tbl_Stock[[#This Row],[Stock Départ]] + SUMIF(tbl_Achats[Cde_Ingrdt],tbl_Stock[[#This Row],[Cde_Ingrdt]],tbl_Achats[[#This Row],[Qté d''Achat]])</f>
        <v>1500</v>
      </c>
      <c r="L148" s="7">
        <f ca="1">IFERROR((tbl_Stock[[#This Row],[Valeur stock initiale]] + tbl_Stock[[#This Row],[ Valeur Achat]]) / tbl_Stock[[#This Row],[Quantité totale]], 0)</f>
        <v>8</v>
      </c>
      <c r="M148" s="7">
        <f>SUMIF(tbl_Sorties[[Code ingrédient ]], tbl_Stock[[#This Row],[Cde_Ingrdt]], tbl_Sorties[Qté Sortie])</f>
        <v>0</v>
      </c>
      <c r="N148" s="57">
        <f>tbl_Stock[[#This Row],[Stock Départ]] + tbl_Stock[[#This Row],[Achats Cumulées]] - tbl_Stock[[#This Row],[ Sortie cumulée]]</f>
        <v>1500</v>
      </c>
      <c r="O148">
        <v>100</v>
      </c>
      <c r="P148" t="str">
        <f>IF(tbl_Stock[[#This Row],[Stock Courant]] &lt; tbl_Stock[[#This Row],[Seuil critique]], "⚠️ Alerte", "OK")</f>
        <v>OK</v>
      </c>
    </row>
    <row r="149" spans="1:16" x14ac:dyDescent="0.25">
      <c r="A149" t="str">
        <f>IFERROR(VLOOKUP(B149,Référentiels!$M$2:$N$267,2,FALSE),"Ingrédient non trouvé")</f>
        <v>LEG010</v>
      </c>
      <c r="B149" t="str">
        <f>+tbl_IngrédientsRef[[#This Row],[Ingrédient]]</f>
        <v>Laitue Iceberg</v>
      </c>
      <c r="C149" t="str">
        <f>INDEX(tbl_IngrédientsRef[Unité], MATCH(A149, tbl_IngrédientsRef[Cde_Ingrdt],0))</f>
        <v>Pièce</v>
      </c>
      <c r="D149" s="21">
        <f>IFERROR(INDEX(tbl_IngrédientsRef[[#This Row],[PU_effectif_g/ml]], MATCH(tbl_Stock[[#This Row],[Cde_Ingrdt]], tbl_IngrédientsRef[[#This Row],[Cde_Ingrdt]], 0)), 0)</f>
        <v>8</v>
      </c>
      <c r="E149">
        <v>1500</v>
      </c>
      <c r="F149" s="57">
        <f>tbl_Stock[[#This Row],[Stock Départ]] * INDEX(tbl_IngrédientsRef[Prix/Uni Base], MATCH(tbl_Stock[[#This Row],[Cde_Ingrdt]], tbl_IngrédientsRef[Cde_Ingrdt], 0))</f>
        <v>12000</v>
      </c>
      <c r="G149">
        <f>SUMIF(tbl_Achats[Cde_Ingrdt],tbl_Stock[[#This Row],[Cde_Ingrdt]],tbl_Achats[Qté d''Achat])</f>
        <v>0</v>
      </c>
      <c r="H149" s="21">
        <f t="array" ref="H149">SUMPRODUCT((tbl_Achats[Cde_Ingrdt]=tbl_Stock[[#This Row],[Cde_Ingrdt]]) * tbl_Achats[Qté d''Achat] * tbl_Achats[Prix Achat Unitaire])</f>
        <v>0</v>
      </c>
      <c r="I149">
        <v>340</v>
      </c>
      <c r="J149" s="21">
        <f ca="1">tbl_Stock[[#This Row],[Stock Courant]] * tbl_Stock[[#This Row],[CMP effectif]]</f>
        <v>12000</v>
      </c>
      <c r="K149">
        <f ca="1">tbl_Stock[[#This Row],[Stock Départ]] + SUMIF(tbl_Achats[Cde_Ingrdt],tbl_Stock[[#This Row],[Cde_Ingrdt]],tbl_Achats[[#This Row],[Qté d''Achat]])</f>
        <v>1500</v>
      </c>
      <c r="L149" s="7">
        <f ca="1">IFERROR((tbl_Stock[[#This Row],[Valeur stock initiale]] + tbl_Stock[[#This Row],[ Valeur Achat]]) / tbl_Stock[[#This Row],[Quantité totale]], 0)</f>
        <v>8</v>
      </c>
      <c r="M149" s="7">
        <f>SUMIF(tbl_Sorties[[Code ingrédient ]], tbl_Stock[[#This Row],[Cde_Ingrdt]], tbl_Sorties[Qté Sortie])</f>
        <v>0</v>
      </c>
      <c r="N149" s="57">
        <f>tbl_Stock[[#This Row],[Stock Départ]] + tbl_Stock[[#This Row],[Achats Cumulées]] - tbl_Stock[[#This Row],[ Sortie cumulée]]</f>
        <v>1500</v>
      </c>
      <c r="O149">
        <v>100</v>
      </c>
      <c r="P149" t="str">
        <f>IF(tbl_Stock[[#This Row],[Stock Courant]] &lt; tbl_Stock[[#This Row],[Seuil critique]], "⚠️ Alerte", "OK")</f>
        <v>OK</v>
      </c>
    </row>
    <row r="150" spans="1:16" x14ac:dyDescent="0.25">
      <c r="A150" t="str">
        <f>IFERROR(VLOOKUP(B150,Référentiels!$M$2:$N$267,2,FALSE),"Ingrédient non trouvé")</f>
        <v>LEG011</v>
      </c>
      <c r="B150" t="str">
        <f>+tbl_IngrédientsRef[[#This Row],[Ingrédient]]</f>
        <v>Salade Russe</v>
      </c>
      <c r="C150" t="str">
        <f>INDEX(tbl_IngrédientsRef[Unité], MATCH(A150, tbl_IngrédientsRef[Cde_Ingrdt],0))</f>
        <v>Pièce</v>
      </c>
      <c r="D150" s="21">
        <f>IFERROR(INDEX(tbl_IngrédientsRef[[#This Row],[PU_effectif_g/ml]], MATCH(tbl_Stock[[#This Row],[Cde_Ingrdt]], tbl_IngrédientsRef[[#This Row],[Cde_Ingrdt]], 0)), 0)</f>
        <v>8</v>
      </c>
      <c r="E150">
        <v>1500</v>
      </c>
      <c r="F150" s="57">
        <f>tbl_Stock[[#This Row],[Stock Départ]] * INDEX(tbl_IngrédientsRef[Prix/Uni Base], MATCH(tbl_Stock[[#This Row],[Cde_Ingrdt]], tbl_IngrédientsRef[Cde_Ingrdt], 0))</f>
        <v>12000</v>
      </c>
      <c r="G150">
        <f>SUMIF(tbl_Achats[Cde_Ingrdt],tbl_Stock[[#This Row],[Cde_Ingrdt]],tbl_Achats[Qté d''Achat])</f>
        <v>0</v>
      </c>
      <c r="H150" s="21">
        <f t="array" ref="H150">SUMPRODUCT((tbl_Achats[Cde_Ingrdt]=tbl_Stock[[#This Row],[Cde_Ingrdt]]) * tbl_Achats[Qté d''Achat] * tbl_Achats[Prix Achat Unitaire])</f>
        <v>0</v>
      </c>
      <c r="I150">
        <v>250</v>
      </c>
      <c r="J150" s="21">
        <f ca="1">tbl_Stock[[#This Row],[Stock Courant]] * tbl_Stock[[#This Row],[CMP effectif]]</f>
        <v>12000</v>
      </c>
      <c r="K150">
        <f ca="1">tbl_Stock[[#This Row],[Stock Départ]] + SUMIF(tbl_Achats[Cde_Ingrdt],tbl_Stock[[#This Row],[Cde_Ingrdt]],tbl_Achats[[#This Row],[Qté d''Achat]])</f>
        <v>1500</v>
      </c>
      <c r="L150" s="7">
        <f ca="1">IFERROR((tbl_Stock[[#This Row],[Valeur stock initiale]] + tbl_Stock[[#This Row],[ Valeur Achat]]) / tbl_Stock[[#This Row],[Quantité totale]], 0)</f>
        <v>8</v>
      </c>
      <c r="M150" s="7">
        <f>SUMIF(tbl_Sorties[[Code ingrédient ]], tbl_Stock[[#This Row],[Cde_Ingrdt]], tbl_Sorties[Qté Sortie])</f>
        <v>0</v>
      </c>
      <c r="N150" s="57">
        <f>tbl_Stock[[#This Row],[Stock Départ]] + tbl_Stock[[#This Row],[Achats Cumulées]] - tbl_Stock[[#This Row],[ Sortie cumulée]]</f>
        <v>1500</v>
      </c>
      <c r="O150">
        <v>100</v>
      </c>
      <c r="P150" t="str">
        <f>IF(tbl_Stock[[#This Row],[Stock Courant]] &lt; tbl_Stock[[#This Row],[Seuil critique]], "⚠️ Alerte", "OK")</f>
        <v>OK</v>
      </c>
    </row>
    <row r="151" spans="1:16" x14ac:dyDescent="0.25">
      <c r="A151" t="str">
        <f>IFERROR(VLOOKUP(B151,Référentiels!$M$2:$N$267,2,FALSE),"Ingrédient non trouvé")</f>
        <v>LEG012</v>
      </c>
      <c r="B151" t="str">
        <f>+tbl_IngrédientsRef[[#This Row],[Ingrédient]]</f>
        <v>Poivrons Vert</v>
      </c>
      <c r="C151" t="str">
        <f>INDEX(tbl_IngrédientsRef[Unité], MATCH(A151, tbl_IngrédientsRef[Cde_Ingrdt],0))</f>
        <v>g</v>
      </c>
      <c r="D151" s="21">
        <f>IFERROR(INDEX(tbl_IngrédientsRef[[#This Row],[PU_effectif_g/ml]], MATCH(tbl_Stock[[#This Row],[Cde_Ingrdt]], tbl_IngrédientsRef[[#This Row],[Cde_Ingrdt]], 0)), 0)</f>
        <v>0.1</v>
      </c>
      <c r="E151">
        <v>1500</v>
      </c>
      <c r="F151" s="57">
        <f>tbl_Stock[[#This Row],[Stock Départ]] * INDEX(tbl_IngrédientsRef[Prix/Uni Base], MATCH(tbl_Stock[[#This Row],[Cde_Ingrdt]], tbl_IngrédientsRef[Cde_Ingrdt], 0))</f>
        <v>150</v>
      </c>
      <c r="G151">
        <f>SUMIF(tbl_Achats[Cde_Ingrdt],tbl_Stock[[#This Row],[Cde_Ingrdt]],tbl_Achats[Qté d''Achat])</f>
        <v>0</v>
      </c>
      <c r="H151" s="21">
        <f t="array" ref="H151">SUMPRODUCT((tbl_Achats[Cde_Ingrdt]=tbl_Stock[[#This Row],[Cde_Ingrdt]]) * tbl_Achats[Qté d''Achat] * tbl_Achats[Prix Achat Unitaire])</f>
        <v>0</v>
      </c>
      <c r="I151">
        <v>230</v>
      </c>
      <c r="J151" s="21">
        <f ca="1">tbl_Stock[[#This Row],[Stock Courant]] * tbl_Stock[[#This Row],[CMP effectif]]</f>
        <v>150</v>
      </c>
      <c r="K151">
        <f ca="1">tbl_Stock[[#This Row],[Stock Départ]] + SUMIF(tbl_Achats[Cde_Ingrdt],tbl_Stock[[#This Row],[Cde_Ingrdt]],tbl_Achats[[#This Row],[Qté d''Achat]])</f>
        <v>1500</v>
      </c>
      <c r="L151" s="7">
        <f ca="1">IFERROR((tbl_Stock[[#This Row],[Valeur stock initiale]] + tbl_Stock[[#This Row],[ Valeur Achat]]) / tbl_Stock[[#This Row],[Quantité totale]], 0)</f>
        <v>0.1</v>
      </c>
      <c r="M151" s="7">
        <f>SUMIF(tbl_Sorties[[Code ingrédient ]], tbl_Stock[[#This Row],[Cde_Ingrdt]], tbl_Sorties[Qté Sortie])</f>
        <v>0</v>
      </c>
      <c r="N151" s="57">
        <f>tbl_Stock[[#This Row],[Stock Départ]] + tbl_Stock[[#This Row],[Achats Cumulées]] - tbl_Stock[[#This Row],[ Sortie cumulée]]</f>
        <v>1500</v>
      </c>
      <c r="O151">
        <v>100</v>
      </c>
      <c r="P151" t="str">
        <f>IF(tbl_Stock[[#This Row],[Stock Courant]] &lt; tbl_Stock[[#This Row],[Seuil critique]], "⚠️ Alerte", "OK")</f>
        <v>OK</v>
      </c>
    </row>
    <row r="152" spans="1:16" x14ac:dyDescent="0.25">
      <c r="A152" t="str">
        <f>IFERROR(VLOOKUP(B152,Référentiels!$M$2:$N$267,2,FALSE),"Ingrédient non trouvé")</f>
        <v>LEG013</v>
      </c>
      <c r="B152" t="str">
        <f>+tbl_IngrédientsRef[[#This Row],[Ingrédient]]</f>
        <v>Poivrons Rouge</v>
      </c>
      <c r="C152" t="str">
        <f>INDEX(tbl_IngrédientsRef[Unité], MATCH(A152, tbl_IngrédientsRef[Cde_Ingrdt],0))</f>
        <v>g</v>
      </c>
      <c r="D152" s="21">
        <f>IFERROR(INDEX(tbl_IngrédientsRef[[#This Row],[PU_effectif_g/ml]], MATCH(tbl_Stock[[#This Row],[Cde_Ingrdt]], tbl_IngrédientsRef[[#This Row],[Cde_Ingrdt]], 0)), 0)</f>
        <v>2.5000000000000001E-2</v>
      </c>
      <c r="E152">
        <v>1500</v>
      </c>
      <c r="F152" s="57">
        <f>tbl_Stock[[#This Row],[Stock Départ]] * INDEX(tbl_IngrédientsRef[Prix/Uni Base], MATCH(tbl_Stock[[#This Row],[Cde_Ingrdt]], tbl_IngrédientsRef[Cde_Ingrdt], 0))</f>
        <v>37.5</v>
      </c>
      <c r="G152">
        <f>SUMIF(tbl_Achats[Cde_Ingrdt],tbl_Stock[[#This Row],[Cde_Ingrdt]],tbl_Achats[Qté d''Achat])</f>
        <v>0</v>
      </c>
      <c r="H152" s="21">
        <f t="array" ref="H152">SUMPRODUCT((tbl_Achats[Cde_Ingrdt]=tbl_Stock[[#This Row],[Cde_Ingrdt]]) * tbl_Achats[Qté d''Achat] * tbl_Achats[Prix Achat Unitaire])</f>
        <v>0</v>
      </c>
      <c r="I152">
        <v>300</v>
      </c>
      <c r="J152" s="21">
        <f ca="1">tbl_Stock[[#This Row],[Stock Courant]] * tbl_Stock[[#This Row],[CMP effectif]]</f>
        <v>37.5</v>
      </c>
      <c r="K152">
        <f ca="1">tbl_Stock[[#This Row],[Stock Départ]] + SUMIF(tbl_Achats[Cde_Ingrdt],tbl_Stock[[#This Row],[Cde_Ingrdt]],tbl_Achats[[#This Row],[Qté d''Achat]])</f>
        <v>1500</v>
      </c>
      <c r="L152" s="7">
        <f ca="1">IFERROR((tbl_Stock[[#This Row],[Valeur stock initiale]] + tbl_Stock[[#This Row],[ Valeur Achat]]) / tbl_Stock[[#This Row],[Quantité totale]], 0)</f>
        <v>2.5000000000000001E-2</v>
      </c>
      <c r="M152" s="7">
        <f>SUMIF(tbl_Sorties[[Code ingrédient ]], tbl_Stock[[#This Row],[Cde_Ingrdt]], tbl_Sorties[Qté Sortie])</f>
        <v>0</v>
      </c>
      <c r="N152" s="57">
        <f>tbl_Stock[[#This Row],[Stock Départ]] + tbl_Stock[[#This Row],[Achats Cumulées]] - tbl_Stock[[#This Row],[ Sortie cumulée]]</f>
        <v>1500</v>
      </c>
      <c r="O152">
        <v>100</v>
      </c>
      <c r="P152" t="str">
        <f>IF(tbl_Stock[[#This Row],[Stock Courant]] &lt; tbl_Stock[[#This Row],[Seuil critique]], "⚠️ Alerte", "OK")</f>
        <v>OK</v>
      </c>
    </row>
    <row r="153" spans="1:16" x14ac:dyDescent="0.25">
      <c r="A153" t="str">
        <f>IFERROR(VLOOKUP(B153,Référentiels!$M$2:$N$267,2,FALSE),"Ingrédient non trouvé")</f>
        <v>LEG014</v>
      </c>
      <c r="B153" t="str">
        <f>+tbl_IngrédientsRef[[#This Row],[Ingrédient]]</f>
        <v>Poivrons Jaune</v>
      </c>
      <c r="C153" t="str">
        <f>INDEX(tbl_IngrédientsRef[Unité], MATCH(A153, tbl_IngrédientsRef[Cde_Ingrdt],0))</f>
        <v>g</v>
      </c>
      <c r="D153" s="21">
        <f>IFERROR(INDEX(tbl_IngrédientsRef[[#This Row],[PU_effectif_g/ml]], MATCH(tbl_Stock[[#This Row],[Cde_Ingrdt]], tbl_IngrédientsRef[[#This Row],[Cde_Ingrdt]], 0)), 0)</f>
        <v>0.02</v>
      </c>
      <c r="E153">
        <v>1500</v>
      </c>
      <c r="F153" s="57">
        <f>tbl_Stock[[#This Row],[Stock Départ]] * INDEX(tbl_IngrédientsRef[Prix/Uni Base], MATCH(tbl_Stock[[#This Row],[Cde_Ingrdt]], tbl_IngrédientsRef[Cde_Ingrdt], 0))</f>
        <v>30</v>
      </c>
      <c r="G153">
        <f>SUMIF(tbl_Achats[Cde_Ingrdt],tbl_Stock[[#This Row],[Cde_Ingrdt]],tbl_Achats[Qté d''Achat])</f>
        <v>0</v>
      </c>
      <c r="H153" s="21">
        <f t="array" ref="H153">SUMPRODUCT((tbl_Achats[Cde_Ingrdt]=tbl_Stock[[#This Row],[Cde_Ingrdt]]) * tbl_Achats[Qté d''Achat] * tbl_Achats[Prix Achat Unitaire])</f>
        <v>0</v>
      </c>
      <c r="I153">
        <v>340</v>
      </c>
      <c r="J153" s="21">
        <f ca="1">tbl_Stock[[#This Row],[Stock Courant]] * tbl_Stock[[#This Row],[CMP effectif]]</f>
        <v>30</v>
      </c>
      <c r="K153">
        <f ca="1">tbl_Stock[[#This Row],[Stock Départ]] + SUMIF(tbl_Achats[Cde_Ingrdt],tbl_Stock[[#This Row],[Cde_Ingrdt]],tbl_Achats[[#This Row],[Qté d''Achat]])</f>
        <v>1500</v>
      </c>
      <c r="L153" s="7">
        <f ca="1">IFERROR((tbl_Stock[[#This Row],[Valeur stock initiale]] + tbl_Stock[[#This Row],[ Valeur Achat]]) / tbl_Stock[[#This Row],[Quantité totale]], 0)</f>
        <v>0.02</v>
      </c>
      <c r="M153" s="7">
        <f>SUMIF(tbl_Sorties[[Code ingrédient ]], tbl_Stock[[#This Row],[Cde_Ingrdt]], tbl_Sorties[Qté Sortie])</f>
        <v>0</v>
      </c>
      <c r="N153" s="57">
        <f>tbl_Stock[[#This Row],[Stock Départ]] + tbl_Stock[[#This Row],[Achats Cumulées]] - tbl_Stock[[#This Row],[ Sortie cumulée]]</f>
        <v>1500</v>
      </c>
      <c r="O153">
        <v>100</v>
      </c>
      <c r="P153" t="str">
        <f>IF(tbl_Stock[[#This Row],[Stock Courant]] &lt; tbl_Stock[[#This Row],[Seuil critique]], "⚠️ Alerte", "OK")</f>
        <v>OK</v>
      </c>
    </row>
    <row r="154" spans="1:16" x14ac:dyDescent="0.25">
      <c r="A154" t="str">
        <f>IFERROR(VLOOKUP(B154,Référentiels!$M$2:$N$267,2,FALSE),"Ingrédient non trouvé")</f>
        <v>LEG015</v>
      </c>
      <c r="B154" t="str">
        <f>+tbl_IngrédientsRef[[#This Row],[Ingrédient]]</f>
        <v>Courgette</v>
      </c>
      <c r="C154" t="str">
        <f>INDEX(tbl_IngrédientsRef[Unité], MATCH(A154, tbl_IngrédientsRef[Cde_Ingrdt],0))</f>
        <v>g</v>
      </c>
      <c r="D154" s="21">
        <f>IFERROR(INDEX(tbl_IngrédientsRef[[#This Row],[PU_effectif_g/ml]], MATCH(tbl_Stock[[#This Row],[Cde_Ingrdt]], tbl_IngrédientsRef[[#This Row],[Cde_Ingrdt]], 0)), 0)</f>
        <v>8.0000000000000002E-3</v>
      </c>
      <c r="E154">
        <v>1500</v>
      </c>
      <c r="F154" s="57">
        <f>tbl_Stock[[#This Row],[Stock Départ]] * INDEX(tbl_IngrédientsRef[Prix/Uni Base], MATCH(tbl_Stock[[#This Row],[Cde_Ingrdt]], tbl_IngrédientsRef[Cde_Ingrdt], 0))</f>
        <v>12</v>
      </c>
      <c r="G154">
        <f>SUMIF(tbl_Achats[Cde_Ingrdt],tbl_Stock[[#This Row],[Cde_Ingrdt]],tbl_Achats[Qté d''Achat])</f>
        <v>0</v>
      </c>
      <c r="H154" s="21">
        <f t="array" ref="H154">SUMPRODUCT((tbl_Achats[Cde_Ingrdt]=tbl_Stock[[#This Row],[Cde_Ingrdt]]) * tbl_Achats[Qté d''Achat] * tbl_Achats[Prix Achat Unitaire])</f>
        <v>0</v>
      </c>
      <c r="I154">
        <v>250</v>
      </c>
      <c r="J154" s="21">
        <f ca="1">tbl_Stock[[#This Row],[Stock Courant]] * tbl_Stock[[#This Row],[CMP effectif]]</f>
        <v>12</v>
      </c>
      <c r="K154">
        <f ca="1">tbl_Stock[[#This Row],[Stock Départ]] + SUMIF(tbl_Achats[Cde_Ingrdt],tbl_Stock[[#This Row],[Cde_Ingrdt]],tbl_Achats[[#This Row],[Qté d''Achat]])</f>
        <v>1500</v>
      </c>
      <c r="L154" s="7">
        <f ca="1">IFERROR((tbl_Stock[[#This Row],[Valeur stock initiale]] + tbl_Stock[[#This Row],[ Valeur Achat]]) / tbl_Stock[[#This Row],[Quantité totale]], 0)</f>
        <v>8.0000000000000002E-3</v>
      </c>
      <c r="M154" s="7">
        <f>SUMIF(tbl_Sorties[[Code ingrédient ]], tbl_Stock[[#This Row],[Cde_Ingrdt]], tbl_Sorties[Qté Sortie])</f>
        <v>0</v>
      </c>
      <c r="N154" s="57">
        <f>tbl_Stock[[#This Row],[Stock Départ]] + tbl_Stock[[#This Row],[Achats Cumulées]] - tbl_Stock[[#This Row],[ Sortie cumulée]]</f>
        <v>1500</v>
      </c>
      <c r="O154">
        <v>100</v>
      </c>
      <c r="P154" t="str">
        <f>IF(tbl_Stock[[#This Row],[Stock Courant]] &lt; tbl_Stock[[#This Row],[Seuil critique]], "⚠️ Alerte", "OK")</f>
        <v>OK</v>
      </c>
    </row>
    <row r="155" spans="1:16" x14ac:dyDescent="0.25">
      <c r="A155" t="str">
        <f>IFERROR(VLOOKUP(B155,Référentiels!$M$2:$N$267,2,FALSE),"Ingrédient non trouvé")</f>
        <v>LEG016</v>
      </c>
      <c r="B155" t="str">
        <f>+tbl_IngrédientsRef[[#This Row],[Ingrédient]]</f>
        <v>Aubergine</v>
      </c>
      <c r="C155" t="str">
        <f>INDEX(tbl_IngrédientsRef[Unité], MATCH(A155, tbl_IngrédientsRef[Cde_Ingrdt],0))</f>
        <v>g</v>
      </c>
      <c r="D155" s="21">
        <f>IFERROR(INDEX(tbl_IngrédientsRef[[#This Row],[PU_effectif_g/ml]], MATCH(tbl_Stock[[#This Row],[Cde_Ingrdt]], tbl_IngrédientsRef[[#This Row],[Cde_Ingrdt]], 0)), 0)</f>
        <v>0.1</v>
      </c>
      <c r="E155">
        <v>1500</v>
      </c>
      <c r="F155" s="57">
        <f>tbl_Stock[[#This Row],[Stock Départ]] * INDEX(tbl_IngrédientsRef[Prix/Uni Base], MATCH(tbl_Stock[[#This Row],[Cde_Ingrdt]], tbl_IngrédientsRef[Cde_Ingrdt], 0))</f>
        <v>150</v>
      </c>
      <c r="G155">
        <f>SUMIF(tbl_Achats[Cde_Ingrdt],tbl_Stock[[#This Row],[Cde_Ingrdt]],tbl_Achats[Qté d''Achat])</f>
        <v>0</v>
      </c>
      <c r="H155" s="21">
        <f t="array" ref="H155">SUMPRODUCT((tbl_Achats[Cde_Ingrdt]=tbl_Stock[[#This Row],[Cde_Ingrdt]]) * tbl_Achats[Qté d''Achat] * tbl_Achats[Prix Achat Unitaire])</f>
        <v>0</v>
      </c>
      <c r="I155">
        <v>230</v>
      </c>
      <c r="J155" s="21">
        <f ca="1">tbl_Stock[[#This Row],[Stock Courant]] * tbl_Stock[[#This Row],[CMP effectif]]</f>
        <v>150</v>
      </c>
      <c r="K155">
        <f ca="1">tbl_Stock[[#This Row],[Stock Départ]] + SUMIF(tbl_Achats[Cde_Ingrdt],tbl_Stock[[#This Row],[Cde_Ingrdt]],tbl_Achats[[#This Row],[Qté d''Achat]])</f>
        <v>1500</v>
      </c>
      <c r="L155" s="7">
        <f ca="1">IFERROR((tbl_Stock[[#This Row],[Valeur stock initiale]] + tbl_Stock[[#This Row],[ Valeur Achat]]) / tbl_Stock[[#This Row],[Quantité totale]], 0)</f>
        <v>0.1</v>
      </c>
      <c r="M155" s="7">
        <f>SUMIF(tbl_Sorties[[Code ingrédient ]], tbl_Stock[[#This Row],[Cde_Ingrdt]], tbl_Sorties[Qté Sortie])</f>
        <v>0</v>
      </c>
      <c r="N155" s="57">
        <f>tbl_Stock[[#This Row],[Stock Départ]] + tbl_Stock[[#This Row],[Achats Cumulées]] - tbl_Stock[[#This Row],[ Sortie cumulée]]</f>
        <v>1500</v>
      </c>
      <c r="O155">
        <v>100</v>
      </c>
      <c r="P155" t="str">
        <f>IF(tbl_Stock[[#This Row],[Stock Courant]] &lt; tbl_Stock[[#This Row],[Seuil critique]], "⚠️ Alerte", "OK")</f>
        <v>OK</v>
      </c>
    </row>
    <row r="156" spans="1:16" x14ac:dyDescent="0.25">
      <c r="A156" t="str">
        <f>IFERROR(VLOOKUP(B156,Référentiels!$M$2:$N$267,2,FALSE),"Ingrédient non trouvé")</f>
        <v>LEG017</v>
      </c>
      <c r="B156" t="str">
        <f>+tbl_IngrédientsRef[[#This Row],[Ingrédient]]</f>
        <v>Epinards</v>
      </c>
      <c r="C156" t="str">
        <f>INDEX(tbl_IngrédientsRef[Unité], MATCH(A156, tbl_IngrédientsRef[Cde_Ingrdt],0))</f>
        <v>g</v>
      </c>
      <c r="D156" s="21">
        <f>IFERROR(INDEX(tbl_IngrédientsRef[[#This Row],[PU_effectif_g/ml]], MATCH(tbl_Stock[[#This Row],[Cde_Ingrdt]], tbl_IngrédientsRef[[#This Row],[Cde_Ingrdt]], 0)), 0)</f>
        <v>7.0000000000000007E-2</v>
      </c>
      <c r="E156">
        <v>1500</v>
      </c>
      <c r="F156" s="57">
        <f>tbl_Stock[[#This Row],[Stock Départ]] * INDEX(tbl_IngrédientsRef[Prix/Uni Base], MATCH(tbl_Stock[[#This Row],[Cde_Ingrdt]], tbl_IngrédientsRef[Cde_Ingrdt], 0))</f>
        <v>105.00000000000001</v>
      </c>
      <c r="G156">
        <f>SUMIF(tbl_Achats[Cde_Ingrdt],tbl_Stock[[#This Row],[Cde_Ingrdt]],tbl_Achats[Qté d''Achat])</f>
        <v>0</v>
      </c>
      <c r="H156" s="21">
        <f t="array" ref="H156">SUMPRODUCT((tbl_Achats[Cde_Ingrdt]=tbl_Stock[[#This Row],[Cde_Ingrdt]]) * tbl_Achats[Qté d''Achat] * tbl_Achats[Prix Achat Unitaire])</f>
        <v>0</v>
      </c>
      <c r="I156">
        <v>300</v>
      </c>
      <c r="J156" s="21">
        <f ca="1">tbl_Stock[[#This Row],[Stock Courant]] * tbl_Stock[[#This Row],[CMP effectif]]</f>
        <v>105.00000000000001</v>
      </c>
      <c r="K156">
        <f ca="1">tbl_Stock[[#This Row],[Stock Départ]] + SUMIF(tbl_Achats[Cde_Ingrdt],tbl_Stock[[#This Row],[Cde_Ingrdt]],tbl_Achats[[#This Row],[Qté d''Achat]])</f>
        <v>1500</v>
      </c>
      <c r="L156" s="7">
        <f ca="1">IFERROR((tbl_Stock[[#This Row],[Valeur stock initiale]] + tbl_Stock[[#This Row],[ Valeur Achat]]) / tbl_Stock[[#This Row],[Quantité totale]], 0)</f>
        <v>7.0000000000000007E-2</v>
      </c>
      <c r="M156" s="7">
        <f>SUMIF(tbl_Sorties[[Code ingrédient ]], tbl_Stock[[#This Row],[Cde_Ingrdt]], tbl_Sorties[Qté Sortie])</f>
        <v>0</v>
      </c>
      <c r="N156" s="57">
        <f>tbl_Stock[[#This Row],[Stock Départ]] + tbl_Stock[[#This Row],[Achats Cumulées]] - tbl_Stock[[#This Row],[ Sortie cumulée]]</f>
        <v>1500</v>
      </c>
      <c r="O156">
        <v>100</v>
      </c>
      <c r="P156" t="str">
        <f>IF(tbl_Stock[[#This Row],[Stock Courant]] &lt; tbl_Stock[[#This Row],[Seuil critique]], "⚠️ Alerte", "OK")</f>
        <v>OK</v>
      </c>
    </row>
    <row r="157" spans="1:16" x14ac:dyDescent="0.25">
      <c r="A157" t="str">
        <f>IFERROR(VLOOKUP(B157,Référentiels!$M$2:$N$267,2,FALSE),"Ingrédient non trouvé")</f>
        <v>LEG018</v>
      </c>
      <c r="B157" t="str">
        <f>+tbl_IngrédientsRef[[#This Row],[Ingrédient]]</f>
        <v>Champignons Frais</v>
      </c>
      <c r="C157" t="str">
        <f>INDEX(tbl_IngrédientsRef[Unité], MATCH(A157, tbl_IngrédientsRef[Cde_Ingrdt],0))</f>
        <v>g</v>
      </c>
      <c r="D157" s="21">
        <f>IFERROR(INDEX(tbl_IngrédientsRef[[#This Row],[PU_effectif_g/ml]], MATCH(tbl_Stock[[#This Row],[Cde_Ingrdt]], tbl_IngrédientsRef[[#This Row],[Cde_Ingrdt]], 0)), 0)</f>
        <v>0.1</v>
      </c>
      <c r="E157">
        <v>1500</v>
      </c>
      <c r="F157" s="57">
        <f>tbl_Stock[[#This Row],[Stock Départ]] * INDEX(tbl_IngrédientsRef[Prix/Uni Base], MATCH(tbl_Stock[[#This Row],[Cde_Ingrdt]], tbl_IngrédientsRef[Cde_Ingrdt], 0))</f>
        <v>150</v>
      </c>
      <c r="G157">
        <f>SUMIF(tbl_Achats[Cde_Ingrdt],tbl_Stock[[#This Row],[Cde_Ingrdt]],tbl_Achats[Qté d''Achat])</f>
        <v>0</v>
      </c>
      <c r="H157" s="21">
        <f t="array" ref="H157">SUMPRODUCT((tbl_Achats[Cde_Ingrdt]=tbl_Stock[[#This Row],[Cde_Ingrdt]]) * tbl_Achats[Qté d''Achat] * tbl_Achats[Prix Achat Unitaire])</f>
        <v>0</v>
      </c>
      <c r="I157">
        <v>340</v>
      </c>
      <c r="J157" s="21">
        <f ca="1">tbl_Stock[[#This Row],[Stock Courant]] * tbl_Stock[[#This Row],[CMP effectif]]</f>
        <v>150</v>
      </c>
      <c r="K157">
        <f ca="1">tbl_Stock[[#This Row],[Stock Départ]] + SUMIF(tbl_Achats[Cde_Ingrdt],tbl_Stock[[#This Row],[Cde_Ingrdt]],tbl_Achats[[#This Row],[Qté d''Achat]])</f>
        <v>1500</v>
      </c>
      <c r="L157" s="7">
        <f ca="1">IFERROR((tbl_Stock[[#This Row],[Valeur stock initiale]] + tbl_Stock[[#This Row],[ Valeur Achat]]) / tbl_Stock[[#This Row],[Quantité totale]], 0)</f>
        <v>0.1</v>
      </c>
      <c r="M157" s="7">
        <f>SUMIF(tbl_Sorties[[Code ingrédient ]], tbl_Stock[[#This Row],[Cde_Ingrdt]], tbl_Sorties[Qté Sortie])</f>
        <v>0</v>
      </c>
      <c r="N157" s="57">
        <f>tbl_Stock[[#This Row],[Stock Départ]] + tbl_Stock[[#This Row],[Achats Cumulées]] - tbl_Stock[[#This Row],[ Sortie cumulée]]</f>
        <v>1500</v>
      </c>
      <c r="O157">
        <v>100</v>
      </c>
      <c r="P157" t="str">
        <f>IF(tbl_Stock[[#This Row],[Stock Courant]] &lt; tbl_Stock[[#This Row],[Seuil critique]], "⚠️ Alerte", "OK")</f>
        <v>OK</v>
      </c>
    </row>
    <row r="158" spans="1:16" x14ac:dyDescent="0.25">
      <c r="A158" t="str">
        <f>IFERROR(VLOOKUP(B158,Référentiels!$M$2:$N$267,2,FALSE),"Ingrédient non trouvé")</f>
        <v>LEG019</v>
      </c>
      <c r="B158" t="str">
        <f>+tbl_IngrédientsRef[[#This Row],[Ingrédient]]</f>
        <v>Concombre</v>
      </c>
      <c r="C158" t="str">
        <f>INDEX(tbl_IngrédientsRef[Unité], MATCH(A158, tbl_IngrédientsRef[Cde_Ingrdt],0))</f>
        <v>g</v>
      </c>
      <c r="D158" s="21">
        <f>IFERROR(INDEX(tbl_IngrédientsRef[[#This Row],[PU_effectif_g/ml]], MATCH(tbl_Stock[[#This Row],[Cde_Ingrdt]], tbl_IngrédientsRef[[#This Row],[Cde_Ingrdt]], 0)), 0)</f>
        <v>6.0000000000000001E-3</v>
      </c>
      <c r="E158">
        <v>1500</v>
      </c>
      <c r="F158" s="57">
        <f>tbl_Stock[[#This Row],[Stock Départ]] * INDEX(tbl_IngrédientsRef[Prix/Uni Base], MATCH(tbl_Stock[[#This Row],[Cde_Ingrdt]], tbl_IngrédientsRef[Cde_Ingrdt], 0))</f>
        <v>9</v>
      </c>
      <c r="G158">
        <f>SUMIF(tbl_Achats[Cde_Ingrdt],tbl_Stock[[#This Row],[Cde_Ingrdt]],tbl_Achats[Qté d''Achat])</f>
        <v>0</v>
      </c>
      <c r="H158" s="21">
        <f t="array" ref="H158">SUMPRODUCT((tbl_Achats[Cde_Ingrdt]=tbl_Stock[[#This Row],[Cde_Ingrdt]]) * tbl_Achats[Qté d''Achat] * tbl_Achats[Prix Achat Unitaire])</f>
        <v>0</v>
      </c>
      <c r="I158">
        <v>250</v>
      </c>
      <c r="J158" s="21">
        <f ca="1">tbl_Stock[[#This Row],[Stock Courant]] * tbl_Stock[[#This Row],[CMP effectif]]</f>
        <v>9</v>
      </c>
      <c r="K158">
        <f ca="1">tbl_Stock[[#This Row],[Stock Départ]] + SUMIF(tbl_Achats[Cde_Ingrdt],tbl_Stock[[#This Row],[Cde_Ingrdt]],tbl_Achats[[#This Row],[Qté d''Achat]])</f>
        <v>1500</v>
      </c>
      <c r="L158" s="7">
        <f ca="1">IFERROR((tbl_Stock[[#This Row],[Valeur stock initiale]] + tbl_Stock[[#This Row],[ Valeur Achat]]) / tbl_Stock[[#This Row],[Quantité totale]], 0)</f>
        <v>6.0000000000000001E-3</v>
      </c>
      <c r="M158" s="7">
        <f>SUMIF(tbl_Sorties[[Code ingrédient ]], tbl_Stock[[#This Row],[Cde_Ingrdt]], tbl_Sorties[Qté Sortie])</f>
        <v>0</v>
      </c>
      <c r="N158" s="57">
        <f>tbl_Stock[[#This Row],[Stock Départ]] + tbl_Stock[[#This Row],[Achats Cumulées]] - tbl_Stock[[#This Row],[ Sortie cumulée]]</f>
        <v>1500</v>
      </c>
      <c r="O158">
        <v>100</v>
      </c>
      <c r="P158" t="str">
        <f>IF(tbl_Stock[[#This Row],[Stock Courant]] &lt; tbl_Stock[[#This Row],[Seuil critique]], "⚠️ Alerte", "OK")</f>
        <v>OK</v>
      </c>
    </row>
    <row r="159" spans="1:16" x14ac:dyDescent="0.25">
      <c r="A159" t="str">
        <f>IFERROR(VLOOKUP(B159,Référentiels!$M$2:$N$267,2,FALSE),"Ingrédient non trouvé")</f>
        <v>LEG020</v>
      </c>
      <c r="B159" t="str">
        <f>+tbl_IngrédientsRef[[#This Row],[Ingrédient]]</f>
        <v>Carotte</v>
      </c>
      <c r="C159" t="str">
        <f>INDEX(tbl_IngrédientsRef[Unité], MATCH(A159, tbl_IngrédientsRef[Cde_Ingrdt],0))</f>
        <v>g</v>
      </c>
      <c r="D159" s="21">
        <f>IFERROR(INDEX(tbl_IngrédientsRef[[#This Row],[PU_effectif_g/ml]], MATCH(tbl_Stock[[#This Row],[Cde_Ingrdt]], tbl_IngrédientsRef[[#This Row],[Cde_Ingrdt]], 0)), 0)</f>
        <v>0.01</v>
      </c>
      <c r="E159">
        <v>1500</v>
      </c>
      <c r="F159" s="57">
        <f>tbl_Stock[[#This Row],[Stock Départ]] * INDEX(tbl_IngrédientsRef[Prix/Uni Base], MATCH(tbl_Stock[[#This Row],[Cde_Ingrdt]], tbl_IngrédientsRef[Cde_Ingrdt], 0))</f>
        <v>15</v>
      </c>
      <c r="G159">
        <f>SUMIF(tbl_Achats[Cde_Ingrdt],tbl_Stock[[#This Row],[Cde_Ingrdt]],tbl_Achats[Qté d''Achat])</f>
        <v>0</v>
      </c>
      <c r="H159" s="21">
        <f t="array" ref="H159">SUMPRODUCT((tbl_Achats[Cde_Ingrdt]=tbl_Stock[[#This Row],[Cde_Ingrdt]]) * tbl_Achats[Qté d''Achat] * tbl_Achats[Prix Achat Unitaire])</f>
        <v>0</v>
      </c>
      <c r="I159">
        <v>230</v>
      </c>
      <c r="J159" s="21">
        <f ca="1">tbl_Stock[[#This Row],[Stock Courant]] * tbl_Stock[[#This Row],[CMP effectif]]</f>
        <v>15</v>
      </c>
      <c r="K159">
        <f ca="1">tbl_Stock[[#This Row],[Stock Départ]] + SUMIF(tbl_Achats[Cde_Ingrdt],tbl_Stock[[#This Row],[Cde_Ingrdt]],tbl_Achats[[#This Row],[Qté d''Achat]])</f>
        <v>1500</v>
      </c>
      <c r="L159" s="7">
        <f ca="1">IFERROR((tbl_Stock[[#This Row],[Valeur stock initiale]] + tbl_Stock[[#This Row],[ Valeur Achat]]) / tbl_Stock[[#This Row],[Quantité totale]], 0)</f>
        <v>0.01</v>
      </c>
      <c r="M159" s="7">
        <f>SUMIF(tbl_Sorties[[Code ingrédient ]], tbl_Stock[[#This Row],[Cde_Ingrdt]], tbl_Sorties[Qté Sortie])</f>
        <v>0</v>
      </c>
      <c r="N159" s="57">
        <f>tbl_Stock[[#This Row],[Stock Départ]] + tbl_Stock[[#This Row],[Achats Cumulées]] - tbl_Stock[[#This Row],[ Sortie cumulée]]</f>
        <v>1500</v>
      </c>
      <c r="O159">
        <v>100</v>
      </c>
      <c r="P159" t="str">
        <f>IF(tbl_Stock[[#This Row],[Stock Courant]] &lt; tbl_Stock[[#This Row],[Seuil critique]], "⚠️ Alerte", "OK")</f>
        <v>OK</v>
      </c>
    </row>
    <row r="160" spans="1:16" x14ac:dyDescent="0.25">
      <c r="A160" t="str">
        <f>IFERROR(VLOOKUP(B160,Référentiels!$M$2:$N$267,2,FALSE),"Ingrédient non trouvé")</f>
        <v>LEG021</v>
      </c>
      <c r="B160" t="str">
        <f>+tbl_IngrédientsRef[[#This Row],[Ingrédient]]</f>
        <v>Chou Rouge</v>
      </c>
      <c r="C160" t="str">
        <f>INDEX(tbl_IngrédientsRef[Unité], MATCH(A160, tbl_IngrédientsRef[Cde_Ingrdt],0))</f>
        <v>g</v>
      </c>
      <c r="D160" s="21">
        <f>IFERROR(INDEX(tbl_IngrédientsRef[[#This Row],[PU_effectif_g/ml]], MATCH(tbl_Stock[[#This Row],[Cde_Ingrdt]], tbl_IngrédientsRef[[#This Row],[Cde_Ingrdt]], 0)), 0)</f>
        <v>0.05</v>
      </c>
      <c r="E160">
        <v>1500</v>
      </c>
      <c r="F160" s="57">
        <f>tbl_Stock[[#This Row],[Stock Départ]] * INDEX(tbl_IngrédientsRef[Prix/Uni Base], MATCH(tbl_Stock[[#This Row],[Cde_Ingrdt]], tbl_IngrédientsRef[Cde_Ingrdt], 0))</f>
        <v>75</v>
      </c>
      <c r="G160">
        <f>SUMIF(tbl_Achats[Cde_Ingrdt],tbl_Stock[[#This Row],[Cde_Ingrdt]],tbl_Achats[Qté d''Achat])</f>
        <v>0</v>
      </c>
      <c r="H160" s="21">
        <f t="array" ref="H160">SUMPRODUCT((tbl_Achats[Cde_Ingrdt]=tbl_Stock[[#This Row],[Cde_Ingrdt]]) * tbl_Achats[Qté d''Achat] * tbl_Achats[Prix Achat Unitaire])</f>
        <v>0</v>
      </c>
      <c r="I160">
        <v>300</v>
      </c>
      <c r="J160" s="21">
        <f ca="1">tbl_Stock[[#This Row],[Stock Courant]] * tbl_Stock[[#This Row],[CMP effectif]]</f>
        <v>75</v>
      </c>
      <c r="K160">
        <f ca="1">tbl_Stock[[#This Row],[Stock Départ]] + SUMIF(tbl_Achats[Cde_Ingrdt],tbl_Stock[[#This Row],[Cde_Ingrdt]],tbl_Achats[[#This Row],[Qté d''Achat]])</f>
        <v>1500</v>
      </c>
      <c r="L160" s="7">
        <f ca="1">IFERROR((tbl_Stock[[#This Row],[Valeur stock initiale]] + tbl_Stock[[#This Row],[ Valeur Achat]]) / tbl_Stock[[#This Row],[Quantité totale]], 0)</f>
        <v>0.05</v>
      </c>
      <c r="M160" s="7">
        <f>SUMIF(tbl_Sorties[[Code ingrédient ]], tbl_Stock[[#This Row],[Cde_Ingrdt]], tbl_Sorties[Qté Sortie])</f>
        <v>0</v>
      </c>
      <c r="N160" s="57">
        <f>tbl_Stock[[#This Row],[Stock Départ]] + tbl_Stock[[#This Row],[Achats Cumulées]] - tbl_Stock[[#This Row],[ Sortie cumulée]]</f>
        <v>1500</v>
      </c>
      <c r="O160">
        <v>100</v>
      </c>
      <c r="P160" t="str">
        <f>IF(tbl_Stock[[#This Row],[Stock Courant]] &lt; tbl_Stock[[#This Row],[Seuil critique]], "⚠️ Alerte", "OK")</f>
        <v>OK</v>
      </c>
    </row>
    <row r="161" spans="1:16" x14ac:dyDescent="0.25">
      <c r="A161" t="str">
        <f>IFERROR(VLOOKUP(B161,Référentiels!$M$2:$N$267,2,FALSE),"Ingrédient non trouvé")</f>
        <v>LEG022</v>
      </c>
      <c r="B161" t="str">
        <f>+tbl_IngrédientsRef[[#This Row],[Ingrédient]]</f>
        <v>Salade Verte</v>
      </c>
      <c r="C161" t="str">
        <f>INDEX(tbl_IngrédientsRef[Unité], MATCH(A161, tbl_IngrédientsRef[Cde_Ingrdt],0))</f>
        <v>Pièce</v>
      </c>
      <c r="D161" s="21">
        <f>IFERROR(INDEX(tbl_IngrédientsRef[[#This Row],[PU_effectif_g/ml]], MATCH(tbl_Stock[[#This Row],[Cde_Ingrdt]], tbl_IngrédientsRef[[#This Row],[Cde_Ingrdt]], 0)), 0)</f>
        <v>6</v>
      </c>
      <c r="E161">
        <v>1500</v>
      </c>
      <c r="F161" s="57">
        <f>tbl_Stock[[#This Row],[Stock Départ]] * INDEX(tbl_IngrédientsRef[Prix/Uni Base], MATCH(tbl_Stock[[#This Row],[Cde_Ingrdt]], tbl_IngrédientsRef[Cde_Ingrdt], 0))</f>
        <v>9000</v>
      </c>
      <c r="G161">
        <f>SUMIF(tbl_Achats[Cde_Ingrdt],tbl_Stock[[#This Row],[Cde_Ingrdt]],tbl_Achats[Qté d''Achat])</f>
        <v>0</v>
      </c>
      <c r="H161" s="21">
        <f t="array" ref="H161">SUMPRODUCT((tbl_Achats[Cde_Ingrdt]=tbl_Stock[[#This Row],[Cde_Ingrdt]]) * tbl_Achats[Qté d''Achat] * tbl_Achats[Prix Achat Unitaire])</f>
        <v>0</v>
      </c>
      <c r="I161">
        <v>340</v>
      </c>
      <c r="J161" s="21">
        <f ca="1">tbl_Stock[[#This Row],[Stock Courant]] * tbl_Stock[[#This Row],[CMP effectif]]</f>
        <v>9000</v>
      </c>
      <c r="K161">
        <f ca="1">tbl_Stock[[#This Row],[Stock Départ]] + SUMIF(tbl_Achats[Cde_Ingrdt],tbl_Stock[[#This Row],[Cde_Ingrdt]],tbl_Achats[[#This Row],[Qté d''Achat]])</f>
        <v>1500</v>
      </c>
      <c r="L161" s="7">
        <f ca="1">IFERROR((tbl_Stock[[#This Row],[Valeur stock initiale]] + tbl_Stock[[#This Row],[ Valeur Achat]]) / tbl_Stock[[#This Row],[Quantité totale]], 0)</f>
        <v>6</v>
      </c>
      <c r="M161" s="7">
        <f>SUMIF(tbl_Sorties[[Code ingrédient ]], tbl_Stock[[#This Row],[Cde_Ingrdt]], tbl_Sorties[Qté Sortie])</f>
        <v>0</v>
      </c>
      <c r="N161" s="57">
        <f>tbl_Stock[[#This Row],[Stock Départ]] + tbl_Stock[[#This Row],[Achats Cumulées]] - tbl_Stock[[#This Row],[ Sortie cumulée]]</f>
        <v>1500</v>
      </c>
      <c r="O161">
        <v>100</v>
      </c>
      <c r="P161" t="str">
        <f>IF(tbl_Stock[[#This Row],[Stock Courant]] &lt; tbl_Stock[[#This Row],[Seuil critique]], "⚠️ Alerte", "OK")</f>
        <v>OK</v>
      </c>
    </row>
    <row r="162" spans="1:16" x14ac:dyDescent="0.25">
      <c r="A162" t="str">
        <f>IFERROR(VLOOKUP(B162,Référentiels!$M$2:$N$267,2,FALSE),"Ingrédient non trouvé")</f>
        <v>LEG008</v>
      </c>
      <c r="B162" t="str">
        <f>+tbl_IngrédientsRef[[#This Row],[Ingrédient]]</f>
        <v>Laitue Romaine</v>
      </c>
      <c r="C162" t="str">
        <f>INDEX(tbl_IngrédientsRef[Unité], MATCH(A162, tbl_IngrédientsRef[Cde_Ingrdt],0))</f>
        <v>Pièce</v>
      </c>
      <c r="D162" s="21">
        <f>IFERROR(INDEX(tbl_IngrédientsRef[[#This Row],[PU_effectif_g/ml]], MATCH(tbl_Stock[[#This Row],[Cde_Ingrdt]], tbl_IngrédientsRef[[#This Row],[Cde_Ingrdt]], 0)), 0)</f>
        <v>0</v>
      </c>
      <c r="E162">
        <v>1500</v>
      </c>
      <c r="F162" s="57">
        <f>tbl_Stock[[#This Row],[Stock Départ]] * INDEX(tbl_IngrédientsRef[Prix/Uni Base], MATCH(tbl_Stock[[#This Row],[Cde_Ingrdt]], tbl_IngrédientsRef[Cde_Ingrdt], 0))</f>
        <v>12000</v>
      </c>
      <c r="G162">
        <f>SUMIF(tbl_Achats[Cde_Ingrdt],tbl_Stock[[#This Row],[Cde_Ingrdt]],tbl_Achats[Qté d''Achat])</f>
        <v>0</v>
      </c>
      <c r="H162" s="21">
        <f t="array" ref="H162">SUMPRODUCT((tbl_Achats[Cde_Ingrdt]=tbl_Stock[[#This Row],[Cde_Ingrdt]]) * tbl_Achats[Qté d''Achat] * tbl_Achats[Prix Achat Unitaire])</f>
        <v>0</v>
      </c>
      <c r="I162">
        <v>250</v>
      </c>
      <c r="J162" s="21">
        <f ca="1">tbl_Stock[[#This Row],[Stock Courant]] * tbl_Stock[[#This Row],[CMP effectif]]</f>
        <v>12000</v>
      </c>
      <c r="K162">
        <f ca="1">tbl_Stock[[#This Row],[Stock Départ]] + SUMIF(tbl_Achats[Cde_Ingrdt],tbl_Stock[[#This Row],[Cde_Ingrdt]],tbl_Achats[[#This Row],[Qté d''Achat]])</f>
        <v>1500</v>
      </c>
      <c r="L162" s="7">
        <f ca="1">IFERROR((tbl_Stock[[#This Row],[Valeur stock initiale]] + tbl_Stock[[#This Row],[ Valeur Achat]]) / tbl_Stock[[#This Row],[Quantité totale]], 0)</f>
        <v>8</v>
      </c>
      <c r="M162" s="7">
        <f>SUMIF(tbl_Sorties[[Code ingrédient ]], tbl_Stock[[#This Row],[Cde_Ingrdt]], tbl_Sorties[Qté Sortie])</f>
        <v>0</v>
      </c>
      <c r="N162" s="57">
        <f>tbl_Stock[[#This Row],[Stock Départ]] + tbl_Stock[[#This Row],[Achats Cumulées]] - tbl_Stock[[#This Row],[ Sortie cumulée]]</f>
        <v>1500</v>
      </c>
      <c r="O162">
        <v>100</v>
      </c>
      <c r="P162" t="str">
        <f>IF(tbl_Stock[[#This Row],[Stock Courant]] &lt; tbl_Stock[[#This Row],[Seuil critique]], "⚠️ Alerte", "OK")</f>
        <v>OK</v>
      </c>
    </row>
    <row r="163" spans="1:16" x14ac:dyDescent="0.25">
      <c r="A163" t="str">
        <f>IFERROR(VLOOKUP(B163,Référentiels!$M$2:$N$267,2,FALSE),"Ingrédient non trouvé")</f>
        <v>LEG024</v>
      </c>
      <c r="B163" t="str">
        <f>+tbl_IngrédientsRef[[#This Row],[Ingrédient]]</f>
        <v>Haricots Vert</v>
      </c>
      <c r="C163" t="str">
        <f>INDEX(tbl_IngrédientsRef[Unité], MATCH(A163, tbl_IngrédientsRef[Cde_Ingrdt],0))</f>
        <v>g</v>
      </c>
      <c r="D163" s="21">
        <f>IFERROR(INDEX(tbl_IngrédientsRef[[#This Row],[PU_effectif_g/ml]], MATCH(tbl_Stock[[#This Row],[Cde_Ingrdt]], tbl_IngrédientsRef[[#This Row],[Cde_Ingrdt]], 0)), 0)</f>
        <v>0.1</v>
      </c>
      <c r="E163">
        <v>1500</v>
      </c>
      <c r="F163" s="57">
        <f>tbl_Stock[[#This Row],[Stock Départ]] * INDEX(tbl_IngrédientsRef[Prix/Uni Base], MATCH(tbl_Stock[[#This Row],[Cde_Ingrdt]], tbl_IngrédientsRef[Cde_Ingrdt], 0))</f>
        <v>150</v>
      </c>
      <c r="G163">
        <f>SUMIF(tbl_Achats[Cde_Ingrdt],tbl_Stock[[#This Row],[Cde_Ingrdt]],tbl_Achats[Qté d''Achat])</f>
        <v>0</v>
      </c>
      <c r="H163" s="21">
        <f t="array" ref="H163">SUMPRODUCT((tbl_Achats[Cde_Ingrdt]=tbl_Stock[[#This Row],[Cde_Ingrdt]]) * tbl_Achats[Qté d''Achat] * tbl_Achats[Prix Achat Unitaire])</f>
        <v>0</v>
      </c>
      <c r="I163">
        <v>230</v>
      </c>
      <c r="J163" s="21">
        <f ca="1">tbl_Stock[[#This Row],[Stock Courant]] * tbl_Stock[[#This Row],[CMP effectif]]</f>
        <v>150</v>
      </c>
      <c r="K163">
        <f ca="1">tbl_Stock[[#This Row],[Stock Départ]] + SUMIF(tbl_Achats[Cde_Ingrdt],tbl_Stock[[#This Row],[Cde_Ingrdt]],tbl_Achats[[#This Row],[Qté d''Achat]])</f>
        <v>1500</v>
      </c>
      <c r="L163" s="7">
        <f ca="1">IFERROR((tbl_Stock[[#This Row],[Valeur stock initiale]] + tbl_Stock[[#This Row],[ Valeur Achat]]) / tbl_Stock[[#This Row],[Quantité totale]], 0)</f>
        <v>0.1</v>
      </c>
      <c r="M163" s="7">
        <f>SUMIF(tbl_Sorties[[Code ingrédient ]], tbl_Stock[[#This Row],[Cde_Ingrdt]], tbl_Sorties[Qté Sortie])</f>
        <v>0</v>
      </c>
      <c r="N163" s="57">
        <f>tbl_Stock[[#This Row],[Stock Départ]] + tbl_Stock[[#This Row],[Achats Cumulées]] - tbl_Stock[[#This Row],[ Sortie cumulée]]</f>
        <v>1500</v>
      </c>
      <c r="O163">
        <v>100</v>
      </c>
      <c r="P163" t="str">
        <f>IF(tbl_Stock[[#This Row],[Stock Courant]] &lt; tbl_Stock[[#This Row],[Seuil critique]], "⚠️ Alerte", "OK")</f>
        <v>OK</v>
      </c>
    </row>
    <row r="164" spans="1:16" x14ac:dyDescent="0.25">
      <c r="A164" t="str">
        <f>IFERROR(VLOOKUP(B164,Référentiels!$M$2:$N$267,2,FALSE),"Ingrédient non trouvé")</f>
        <v>LEG025</v>
      </c>
      <c r="B164" t="str">
        <f>+tbl_IngrédientsRef[[#This Row],[Ingrédient]]</f>
        <v>Citron</v>
      </c>
      <c r="C164" t="str">
        <f>INDEX(tbl_IngrédientsRef[Unité], MATCH(A164, tbl_IngrédientsRef[Cde_Ingrdt],0))</f>
        <v>g</v>
      </c>
      <c r="D164" s="21">
        <f>IFERROR(INDEX(tbl_IngrédientsRef[[#This Row],[PU_effectif_g/ml]], MATCH(tbl_Stock[[#This Row],[Cde_Ingrdt]], tbl_IngrédientsRef[[#This Row],[Cde_Ingrdt]], 0)), 0)</f>
        <v>0.03</v>
      </c>
      <c r="E164">
        <v>1500</v>
      </c>
      <c r="F164" s="57">
        <f>tbl_Stock[[#This Row],[Stock Départ]] * INDEX(tbl_IngrédientsRef[Prix/Uni Base], MATCH(tbl_Stock[[#This Row],[Cde_Ingrdt]], tbl_IngrédientsRef[Cde_Ingrdt], 0))</f>
        <v>45</v>
      </c>
      <c r="G164">
        <f>SUMIF(tbl_Achats[Cde_Ingrdt],tbl_Stock[[#This Row],[Cde_Ingrdt]],tbl_Achats[Qté d''Achat])</f>
        <v>0</v>
      </c>
      <c r="H164" s="21">
        <f t="array" ref="H164">SUMPRODUCT((tbl_Achats[Cde_Ingrdt]=tbl_Stock[[#This Row],[Cde_Ingrdt]]) * tbl_Achats[Qté d''Achat] * tbl_Achats[Prix Achat Unitaire])</f>
        <v>0</v>
      </c>
      <c r="I164">
        <v>300</v>
      </c>
      <c r="J164" s="21">
        <f ca="1">tbl_Stock[[#This Row],[Stock Courant]] * tbl_Stock[[#This Row],[CMP effectif]]</f>
        <v>45</v>
      </c>
      <c r="K164">
        <f ca="1">tbl_Stock[[#This Row],[Stock Départ]] + SUMIF(tbl_Achats[Cde_Ingrdt],tbl_Stock[[#This Row],[Cde_Ingrdt]],tbl_Achats[[#This Row],[Qté d''Achat]])</f>
        <v>1500</v>
      </c>
      <c r="L164" s="7">
        <f ca="1">IFERROR((tbl_Stock[[#This Row],[Valeur stock initiale]] + tbl_Stock[[#This Row],[ Valeur Achat]]) / tbl_Stock[[#This Row],[Quantité totale]], 0)</f>
        <v>0.03</v>
      </c>
      <c r="M164" s="7">
        <f>SUMIF(tbl_Sorties[[Code ingrédient ]], tbl_Stock[[#This Row],[Cde_Ingrdt]], tbl_Sorties[Qté Sortie])</f>
        <v>0</v>
      </c>
      <c r="N164" s="57">
        <f>tbl_Stock[[#This Row],[Stock Départ]] + tbl_Stock[[#This Row],[Achats Cumulées]] - tbl_Stock[[#This Row],[ Sortie cumulée]]</f>
        <v>1500</v>
      </c>
      <c r="O164">
        <v>100</v>
      </c>
      <c r="P164" t="str">
        <f>IF(tbl_Stock[[#This Row],[Stock Courant]] &lt; tbl_Stock[[#This Row],[Seuil critique]], "⚠️ Alerte", "OK")</f>
        <v>OK</v>
      </c>
    </row>
    <row r="165" spans="1:16" x14ac:dyDescent="0.25">
      <c r="A165" t="str">
        <f>IFERROR(VLOOKUP(B165,Référentiels!$M$2:$N$267,2,FALSE),"Ingrédient non trouvé")</f>
        <v>LEG026</v>
      </c>
      <c r="B165" t="str">
        <f>+tbl_IngrédientsRef[[#This Row],[Ingrédient]]</f>
        <v>Célerie</v>
      </c>
      <c r="C165" t="str">
        <f>INDEX(tbl_IngrédientsRef[Unité], MATCH(A165, tbl_IngrédientsRef[Cde_Ingrdt],0))</f>
        <v>g</v>
      </c>
      <c r="D165" s="21">
        <f>IFERROR(INDEX(tbl_IngrédientsRef[[#This Row],[PU_effectif_g/ml]], MATCH(tbl_Stock[[#This Row],[Cde_Ingrdt]], tbl_IngrédientsRef[[#This Row],[Cde_Ingrdt]], 0)), 0)</f>
        <v>0.04</v>
      </c>
      <c r="E165">
        <v>1500</v>
      </c>
      <c r="F165" s="57">
        <f>tbl_Stock[[#This Row],[Stock Départ]] * INDEX(tbl_IngrédientsRef[Prix/Uni Base], MATCH(tbl_Stock[[#This Row],[Cde_Ingrdt]], tbl_IngrédientsRef[Cde_Ingrdt], 0))</f>
        <v>60</v>
      </c>
      <c r="G165">
        <f>SUMIF(tbl_Achats[Cde_Ingrdt],tbl_Stock[[#This Row],[Cde_Ingrdt]],tbl_Achats[Qté d''Achat])</f>
        <v>0</v>
      </c>
      <c r="H165" s="21">
        <f t="array" ref="H165">SUMPRODUCT((tbl_Achats[Cde_Ingrdt]=tbl_Stock[[#This Row],[Cde_Ingrdt]]) * tbl_Achats[Qté d''Achat] * tbl_Achats[Prix Achat Unitaire])</f>
        <v>0</v>
      </c>
      <c r="I165">
        <v>340</v>
      </c>
      <c r="J165" s="21">
        <f ca="1">tbl_Stock[[#This Row],[Stock Courant]] * tbl_Stock[[#This Row],[CMP effectif]]</f>
        <v>60</v>
      </c>
      <c r="K165">
        <f ca="1">tbl_Stock[[#This Row],[Stock Départ]] + SUMIF(tbl_Achats[Cde_Ingrdt],tbl_Stock[[#This Row],[Cde_Ingrdt]],tbl_Achats[[#This Row],[Qté d''Achat]])</f>
        <v>1500</v>
      </c>
      <c r="L165" s="7">
        <f ca="1">IFERROR((tbl_Stock[[#This Row],[Valeur stock initiale]] + tbl_Stock[[#This Row],[ Valeur Achat]]) / tbl_Stock[[#This Row],[Quantité totale]], 0)</f>
        <v>0.04</v>
      </c>
      <c r="M165" s="7">
        <f>SUMIF(tbl_Sorties[[Code ingrédient ]], tbl_Stock[[#This Row],[Cde_Ingrdt]], tbl_Sorties[Qté Sortie])</f>
        <v>0</v>
      </c>
      <c r="N165" s="57">
        <f>tbl_Stock[[#This Row],[Stock Départ]] + tbl_Stock[[#This Row],[Achats Cumulées]] - tbl_Stock[[#This Row],[ Sortie cumulée]]</f>
        <v>1500</v>
      </c>
      <c r="O165">
        <v>100</v>
      </c>
      <c r="P165" t="str">
        <f>IF(tbl_Stock[[#This Row],[Stock Courant]] &lt; tbl_Stock[[#This Row],[Seuil critique]], "⚠️ Alerte", "OK")</f>
        <v>OK</v>
      </c>
    </row>
    <row r="166" spans="1:16" x14ac:dyDescent="0.25">
      <c r="A166" t="str">
        <f>IFERROR(VLOOKUP(B166,Référentiels!$M$2:$N$267,2,FALSE),"Ingrédient non trouvé")</f>
        <v>LEG027</v>
      </c>
      <c r="B166" t="str">
        <f>+tbl_IngrédientsRef[[#This Row],[Ingrédient]]</f>
        <v>Ail</v>
      </c>
      <c r="C166" t="str">
        <f>INDEX(tbl_IngrédientsRef[Unité], MATCH(A166, tbl_IngrédientsRef[Cde_Ingrdt],0))</f>
        <v>g</v>
      </c>
      <c r="D166" s="21">
        <f>IFERROR(INDEX(tbl_IngrédientsRef[[#This Row],[PU_effectif_g/ml]], MATCH(tbl_Stock[[#This Row],[Cde_Ingrdt]], tbl_IngrédientsRef[[#This Row],[Cde_Ingrdt]], 0)), 0)</f>
        <v>7.0000000000000007E-2</v>
      </c>
      <c r="E166">
        <v>1500</v>
      </c>
      <c r="F166" s="57">
        <f>tbl_Stock[[#This Row],[Stock Départ]] * INDEX(tbl_IngrédientsRef[Prix/Uni Base], MATCH(tbl_Stock[[#This Row],[Cde_Ingrdt]], tbl_IngrédientsRef[Cde_Ingrdt], 0))</f>
        <v>105.00000000000001</v>
      </c>
      <c r="G166">
        <f>SUMIF(tbl_Achats[Cde_Ingrdt],tbl_Stock[[#This Row],[Cde_Ingrdt]],tbl_Achats[Qté d''Achat])</f>
        <v>0</v>
      </c>
      <c r="H166" s="21">
        <f t="array" ref="H166">SUMPRODUCT((tbl_Achats[Cde_Ingrdt]=tbl_Stock[[#This Row],[Cde_Ingrdt]]) * tbl_Achats[Qté d''Achat] * tbl_Achats[Prix Achat Unitaire])</f>
        <v>0</v>
      </c>
      <c r="I166">
        <v>250</v>
      </c>
      <c r="J166" s="21">
        <f ca="1">tbl_Stock[[#This Row],[Stock Courant]] * tbl_Stock[[#This Row],[CMP effectif]]</f>
        <v>105.00000000000001</v>
      </c>
      <c r="K166">
        <f ca="1">tbl_Stock[[#This Row],[Stock Départ]] + SUMIF(tbl_Achats[Cde_Ingrdt],tbl_Stock[[#This Row],[Cde_Ingrdt]],tbl_Achats[[#This Row],[Qté d''Achat]])</f>
        <v>1500</v>
      </c>
      <c r="L166" s="7">
        <f ca="1">IFERROR((tbl_Stock[[#This Row],[Valeur stock initiale]] + tbl_Stock[[#This Row],[ Valeur Achat]]) / tbl_Stock[[#This Row],[Quantité totale]], 0)</f>
        <v>7.0000000000000007E-2</v>
      </c>
      <c r="M166" s="7">
        <f>SUMIF(tbl_Sorties[[Code ingrédient ]], tbl_Stock[[#This Row],[Cde_Ingrdt]], tbl_Sorties[Qté Sortie])</f>
        <v>0</v>
      </c>
      <c r="N166" s="57">
        <f>tbl_Stock[[#This Row],[Stock Départ]] + tbl_Stock[[#This Row],[Achats Cumulées]] - tbl_Stock[[#This Row],[ Sortie cumulée]]</f>
        <v>1500</v>
      </c>
      <c r="O166">
        <v>100</v>
      </c>
      <c r="P166" t="str">
        <f>IF(tbl_Stock[[#This Row],[Stock Courant]] &lt; tbl_Stock[[#This Row],[Seuil critique]], "⚠️ Alerte", "OK")</f>
        <v>OK</v>
      </c>
    </row>
    <row r="167" spans="1:16" x14ac:dyDescent="0.25">
      <c r="A167" t="str">
        <f>IFERROR(VLOOKUP(B167,Référentiels!$M$2:$N$267,2,FALSE),"Ingrédient non trouvé")</f>
        <v>LEG028</v>
      </c>
      <c r="B167" t="str">
        <f>+tbl_IngrédientsRef[[#This Row],[Ingrédient]]</f>
        <v>Echalote</v>
      </c>
      <c r="C167" t="str">
        <f>INDEX(tbl_IngrédientsRef[Unité], MATCH(A167, tbl_IngrédientsRef[Cde_Ingrdt],0))</f>
        <v>g</v>
      </c>
      <c r="D167" s="21">
        <f>IFERROR(INDEX(tbl_IngrédientsRef[[#This Row],[PU_effectif_g/ml]], MATCH(tbl_Stock[[#This Row],[Cde_Ingrdt]], tbl_IngrédientsRef[[#This Row],[Cde_Ingrdt]], 0)), 0)</f>
        <v>0.1</v>
      </c>
      <c r="E167">
        <v>1500</v>
      </c>
      <c r="F167" s="57">
        <f>tbl_Stock[[#This Row],[Stock Départ]] * INDEX(tbl_IngrédientsRef[Prix/Uni Base], MATCH(tbl_Stock[[#This Row],[Cde_Ingrdt]], tbl_IngrédientsRef[Cde_Ingrdt], 0))</f>
        <v>150</v>
      </c>
      <c r="G167">
        <f>SUMIF(tbl_Achats[Cde_Ingrdt],tbl_Stock[[#This Row],[Cde_Ingrdt]],tbl_Achats[Qté d''Achat])</f>
        <v>0</v>
      </c>
      <c r="H167" s="21">
        <f t="array" ref="H167">SUMPRODUCT((tbl_Achats[Cde_Ingrdt]=tbl_Stock[[#This Row],[Cde_Ingrdt]]) * tbl_Achats[Qté d''Achat] * tbl_Achats[Prix Achat Unitaire])</f>
        <v>0</v>
      </c>
      <c r="I167">
        <v>230</v>
      </c>
      <c r="J167" s="21">
        <f ca="1">tbl_Stock[[#This Row],[Stock Courant]] * tbl_Stock[[#This Row],[CMP effectif]]</f>
        <v>150</v>
      </c>
      <c r="K167">
        <f ca="1">tbl_Stock[[#This Row],[Stock Départ]] + SUMIF(tbl_Achats[Cde_Ingrdt],tbl_Stock[[#This Row],[Cde_Ingrdt]],tbl_Achats[[#This Row],[Qté d''Achat]])</f>
        <v>1500</v>
      </c>
      <c r="L167" s="7">
        <f ca="1">IFERROR((tbl_Stock[[#This Row],[Valeur stock initiale]] + tbl_Stock[[#This Row],[ Valeur Achat]]) / tbl_Stock[[#This Row],[Quantité totale]], 0)</f>
        <v>0.1</v>
      </c>
      <c r="M167" s="7">
        <f>SUMIF(tbl_Sorties[[Code ingrédient ]], tbl_Stock[[#This Row],[Cde_Ingrdt]], tbl_Sorties[Qté Sortie])</f>
        <v>0</v>
      </c>
      <c r="N167" s="57">
        <f>tbl_Stock[[#This Row],[Stock Départ]] + tbl_Stock[[#This Row],[Achats Cumulées]] - tbl_Stock[[#This Row],[ Sortie cumulée]]</f>
        <v>1500</v>
      </c>
      <c r="O167">
        <v>100</v>
      </c>
      <c r="P167" t="str">
        <f>IF(tbl_Stock[[#This Row],[Stock Courant]] &lt; tbl_Stock[[#This Row],[Seuil critique]], "⚠️ Alerte", "OK")</f>
        <v>OK</v>
      </c>
    </row>
    <row r="168" spans="1:16" x14ac:dyDescent="0.25">
      <c r="A168" t="str">
        <f>IFERROR(VLOOKUP(B168,Référentiels!$M$2:$N$267,2,FALSE),"Ingrédient non trouvé")</f>
        <v>LEG029</v>
      </c>
      <c r="B168" t="str">
        <f>+tbl_IngrédientsRef[[#This Row],[Ingrédient]]</f>
        <v>Persil Frais</v>
      </c>
      <c r="C168" t="str">
        <f>INDEX(tbl_IngrédientsRef[Unité], MATCH(A168, tbl_IngrédientsRef[Cde_Ingrdt],0))</f>
        <v>g</v>
      </c>
      <c r="D168" s="21">
        <f>IFERROR(INDEX(tbl_IngrédientsRef[[#This Row],[PU_effectif_g/ml]], MATCH(tbl_Stock[[#This Row],[Cde_Ingrdt]], tbl_IngrédientsRef[[#This Row],[Cde_Ingrdt]], 0)), 0)</f>
        <v>0.1</v>
      </c>
      <c r="E168">
        <v>1500</v>
      </c>
      <c r="F168" s="57">
        <f>tbl_Stock[[#This Row],[Stock Départ]] * INDEX(tbl_IngrédientsRef[Prix/Uni Base], MATCH(tbl_Stock[[#This Row],[Cde_Ingrdt]], tbl_IngrédientsRef[Cde_Ingrdt], 0))</f>
        <v>150</v>
      </c>
      <c r="G168">
        <f>SUMIF(tbl_Achats[Cde_Ingrdt],tbl_Stock[[#This Row],[Cde_Ingrdt]],tbl_Achats[Qté d''Achat])</f>
        <v>0</v>
      </c>
      <c r="H168" s="21">
        <f t="array" ref="H168">SUMPRODUCT((tbl_Achats[Cde_Ingrdt]=tbl_Stock[[#This Row],[Cde_Ingrdt]]) * tbl_Achats[Qté d''Achat] * tbl_Achats[Prix Achat Unitaire])</f>
        <v>0</v>
      </c>
      <c r="I168">
        <v>300</v>
      </c>
      <c r="J168" s="21">
        <f ca="1">tbl_Stock[[#This Row],[Stock Courant]] * tbl_Stock[[#This Row],[CMP effectif]]</f>
        <v>150</v>
      </c>
      <c r="K168">
        <f ca="1">tbl_Stock[[#This Row],[Stock Départ]] + SUMIF(tbl_Achats[Cde_Ingrdt],tbl_Stock[[#This Row],[Cde_Ingrdt]],tbl_Achats[[#This Row],[Qté d''Achat]])</f>
        <v>1500</v>
      </c>
      <c r="L168" s="7">
        <f ca="1">IFERROR((tbl_Stock[[#This Row],[Valeur stock initiale]] + tbl_Stock[[#This Row],[ Valeur Achat]]) / tbl_Stock[[#This Row],[Quantité totale]], 0)</f>
        <v>0.1</v>
      </c>
      <c r="M168" s="7">
        <f>SUMIF(tbl_Sorties[[Code ingrédient ]], tbl_Stock[[#This Row],[Cde_Ingrdt]], tbl_Sorties[Qté Sortie])</f>
        <v>0</v>
      </c>
      <c r="N168" s="57">
        <f>tbl_Stock[[#This Row],[Stock Départ]] + tbl_Stock[[#This Row],[Achats Cumulées]] - tbl_Stock[[#This Row],[ Sortie cumulée]]</f>
        <v>1500</v>
      </c>
      <c r="O168">
        <v>100</v>
      </c>
      <c r="P168" t="str">
        <f>IF(tbl_Stock[[#This Row],[Stock Courant]] &lt; tbl_Stock[[#This Row],[Seuil critique]], "⚠️ Alerte", "OK")</f>
        <v>OK</v>
      </c>
    </row>
    <row r="169" spans="1:16" x14ac:dyDescent="0.25">
      <c r="A169" t="str">
        <f>IFERROR(VLOOKUP(B169,Référentiels!$M$2:$N$267,2,FALSE),"Ingrédient non trouvé")</f>
        <v>LEG030</v>
      </c>
      <c r="B169" t="str">
        <f>+tbl_IngrédientsRef[[#This Row],[Ingrédient]]</f>
        <v>Basilic</v>
      </c>
      <c r="C169" t="str">
        <f>INDEX(tbl_IngrédientsRef[Unité], MATCH(A169, tbl_IngrédientsRef[Cde_Ingrdt],0))</f>
        <v>g</v>
      </c>
      <c r="D169" s="21">
        <f>IFERROR(INDEX(tbl_IngrédientsRef[[#This Row],[PU_effectif_g/ml]], MATCH(tbl_Stock[[#This Row],[Cde_Ingrdt]], tbl_IngrédientsRef[[#This Row],[Cde_Ingrdt]], 0)), 0)</f>
        <v>0.1</v>
      </c>
      <c r="E169">
        <v>1500</v>
      </c>
      <c r="F169" s="57">
        <f>tbl_Stock[[#This Row],[Stock Départ]] * INDEX(tbl_IngrédientsRef[Prix/Uni Base], MATCH(tbl_Stock[[#This Row],[Cde_Ingrdt]], tbl_IngrédientsRef[Cde_Ingrdt], 0))</f>
        <v>150</v>
      </c>
      <c r="G169">
        <f>SUMIF(tbl_Achats[Cde_Ingrdt],tbl_Stock[[#This Row],[Cde_Ingrdt]],tbl_Achats[Qté d''Achat])</f>
        <v>0</v>
      </c>
      <c r="H169" s="21">
        <f t="array" ref="H169">SUMPRODUCT((tbl_Achats[Cde_Ingrdt]=tbl_Stock[[#This Row],[Cde_Ingrdt]]) * tbl_Achats[Qté d''Achat] * tbl_Achats[Prix Achat Unitaire])</f>
        <v>0</v>
      </c>
      <c r="I169">
        <v>340</v>
      </c>
      <c r="J169" s="21">
        <f ca="1">tbl_Stock[[#This Row],[Stock Courant]] * tbl_Stock[[#This Row],[CMP effectif]]</f>
        <v>150</v>
      </c>
      <c r="K169">
        <f ca="1">tbl_Stock[[#This Row],[Stock Départ]] + SUMIF(tbl_Achats[Cde_Ingrdt],tbl_Stock[[#This Row],[Cde_Ingrdt]],tbl_Achats[[#This Row],[Qté d''Achat]])</f>
        <v>1500</v>
      </c>
      <c r="L169" s="7">
        <f ca="1">IFERROR((tbl_Stock[[#This Row],[Valeur stock initiale]] + tbl_Stock[[#This Row],[ Valeur Achat]]) / tbl_Stock[[#This Row],[Quantité totale]], 0)</f>
        <v>0.1</v>
      </c>
      <c r="M169" s="7">
        <f>SUMIF(tbl_Sorties[[Code ingrédient ]], tbl_Stock[[#This Row],[Cde_Ingrdt]], tbl_Sorties[Qté Sortie])</f>
        <v>0</v>
      </c>
      <c r="N169" s="57">
        <f>tbl_Stock[[#This Row],[Stock Départ]] + tbl_Stock[[#This Row],[Achats Cumulées]] - tbl_Stock[[#This Row],[ Sortie cumulée]]</f>
        <v>1500</v>
      </c>
      <c r="O169">
        <v>100</v>
      </c>
      <c r="P169" t="str">
        <f>IF(tbl_Stock[[#This Row],[Stock Courant]] &lt; tbl_Stock[[#This Row],[Seuil critique]], "⚠️ Alerte", "OK")</f>
        <v>OK</v>
      </c>
    </row>
    <row r="170" spans="1:16" x14ac:dyDescent="0.25">
      <c r="A170" t="str">
        <f>IFERROR(VLOOKUP(B170,Référentiels!$M$2:$N$267,2,FALSE),"Ingrédient non trouvé")</f>
        <v>PRP001</v>
      </c>
      <c r="B170" t="str">
        <f>+tbl_IngrédientsRef[[#This Row],[Ingrédient]]</f>
        <v>Taktouka (Poivron + Tomate)</v>
      </c>
      <c r="C170" t="str">
        <f>INDEX(tbl_IngrédientsRef[Unité], MATCH(A170, tbl_IngrédientsRef[Cde_Ingrdt],0))</f>
        <v>Pièce</v>
      </c>
      <c r="D170" s="21">
        <f>IFERROR(INDEX(tbl_IngrédientsRef[[#This Row],[PU_effectif_g/ml]], MATCH(tbl_Stock[[#This Row],[Cde_Ingrdt]], tbl_IngrédientsRef[[#This Row],[Cde_Ingrdt]], 0)), 0)</f>
        <v>8</v>
      </c>
      <c r="E170">
        <v>1500</v>
      </c>
      <c r="F170" s="57">
        <f>tbl_Stock[[#This Row],[Stock Départ]] * INDEX(tbl_IngrédientsRef[Prix/Uni Base], MATCH(tbl_Stock[[#This Row],[Cde_Ingrdt]], tbl_IngrédientsRef[Cde_Ingrdt], 0))</f>
        <v>12000</v>
      </c>
      <c r="G170">
        <f>SUMIF(tbl_Achats[Cde_Ingrdt],tbl_Stock[[#This Row],[Cde_Ingrdt]],tbl_Achats[Qté d''Achat])</f>
        <v>0</v>
      </c>
      <c r="H170" s="21">
        <f t="array" ref="H170">SUMPRODUCT((tbl_Achats[Cde_Ingrdt]=tbl_Stock[[#This Row],[Cde_Ingrdt]]) * tbl_Achats[Qté d''Achat] * tbl_Achats[Prix Achat Unitaire])</f>
        <v>0</v>
      </c>
      <c r="I170">
        <v>250</v>
      </c>
      <c r="J170" s="21">
        <f ca="1">tbl_Stock[[#This Row],[Stock Courant]] * tbl_Stock[[#This Row],[CMP effectif]]</f>
        <v>12000</v>
      </c>
      <c r="K170">
        <f ca="1">tbl_Stock[[#This Row],[Stock Départ]] + SUMIF(tbl_Achats[Cde_Ingrdt],tbl_Stock[[#This Row],[Cde_Ingrdt]],tbl_Achats[[#This Row],[Qté d''Achat]])</f>
        <v>1500</v>
      </c>
      <c r="L170" s="7">
        <f ca="1">IFERROR((tbl_Stock[[#This Row],[Valeur stock initiale]] + tbl_Stock[[#This Row],[ Valeur Achat]]) / tbl_Stock[[#This Row],[Quantité totale]], 0)</f>
        <v>8</v>
      </c>
      <c r="M170" s="7">
        <f>SUMIF(tbl_Sorties[[Code ingrédient ]], tbl_Stock[[#This Row],[Cde_Ingrdt]], tbl_Sorties[Qté Sortie])</f>
        <v>0</v>
      </c>
      <c r="N170" s="57">
        <f>tbl_Stock[[#This Row],[Stock Départ]] + tbl_Stock[[#This Row],[Achats Cumulées]] - tbl_Stock[[#This Row],[ Sortie cumulée]]</f>
        <v>1500</v>
      </c>
      <c r="O170">
        <v>100</v>
      </c>
      <c r="P170" t="str">
        <f>IF(tbl_Stock[[#This Row],[Stock Courant]] &lt; tbl_Stock[[#This Row],[Seuil critique]], "⚠️ Alerte", "OK")</f>
        <v>OK</v>
      </c>
    </row>
    <row r="171" spans="1:16" x14ac:dyDescent="0.25">
      <c r="A171" t="str">
        <f>IFERROR(VLOOKUP(B171,Référentiels!$M$2:$N$267,2,FALSE),"Ingrédient non trouvé")</f>
        <v>PRP002</v>
      </c>
      <c r="B171" t="str">
        <f>+tbl_IngrédientsRef[[#This Row],[Ingrédient]]</f>
        <v>Zaalouk (Aubergine)</v>
      </c>
      <c r="C171" t="str">
        <f>INDEX(tbl_IngrédientsRef[Unité], MATCH(A171, tbl_IngrédientsRef[Cde_Ingrdt],0))</f>
        <v>Pièce</v>
      </c>
      <c r="D171" s="21">
        <f>IFERROR(INDEX(tbl_IngrédientsRef[[#This Row],[PU_effectif_g/ml]], MATCH(tbl_Stock[[#This Row],[Cde_Ingrdt]], tbl_IngrédientsRef[[#This Row],[Cde_Ingrdt]], 0)), 0)</f>
        <v>8</v>
      </c>
      <c r="E171">
        <v>1500</v>
      </c>
      <c r="F171" s="57">
        <f>tbl_Stock[[#This Row],[Stock Départ]] * INDEX(tbl_IngrédientsRef[Prix/Uni Base], MATCH(tbl_Stock[[#This Row],[Cde_Ingrdt]], tbl_IngrédientsRef[Cde_Ingrdt], 0))</f>
        <v>12000</v>
      </c>
      <c r="G171">
        <f>SUMIF(tbl_Achats[Cde_Ingrdt],tbl_Stock[[#This Row],[Cde_Ingrdt]],tbl_Achats[Qté d''Achat])</f>
        <v>0</v>
      </c>
      <c r="H171" s="21">
        <f t="array" ref="H171">SUMPRODUCT((tbl_Achats[Cde_Ingrdt]=tbl_Stock[[#This Row],[Cde_Ingrdt]]) * tbl_Achats[Qté d''Achat] * tbl_Achats[Prix Achat Unitaire])</f>
        <v>0</v>
      </c>
      <c r="I171">
        <v>230</v>
      </c>
      <c r="J171" s="21">
        <f ca="1">tbl_Stock[[#This Row],[Stock Courant]] * tbl_Stock[[#This Row],[CMP effectif]]</f>
        <v>12000</v>
      </c>
      <c r="K171">
        <f ca="1">tbl_Stock[[#This Row],[Stock Départ]] + SUMIF(tbl_Achats[Cde_Ingrdt],tbl_Stock[[#This Row],[Cde_Ingrdt]],tbl_Achats[[#This Row],[Qté d''Achat]])</f>
        <v>1500</v>
      </c>
      <c r="L171" s="7">
        <f ca="1">IFERROR((tbl_Stock[[#This Row],[Valeur stock initiale]] + tbl_Stock[[#This Row],[ Valeur Achat]]) / tbl_Stock[[#This Row],[Quantité totale]], 0)</f>
        <v>8</v>
      </c>
      <c r="M171" s="7">
        <f>SUMIF(tbl_Sorties[[Code ingrédient ]], tbl_Stock[[#This Row],[Cde_Ingrdt]], tbl_Sorties[Qté Sortie])</f>
        <v>0</v>
      </c>
      <c r="N171" s="57">
        <f>tbl_Stock[[#This Row],[Stock Départ]] + tbl_Stock[[#This Row],[Achats Cumulées]] - tbl_Stock[[#This Row],[ Sortie cumulée]]</f>
        <v>1500</v>
      </c>
      <c r="O171">
        <v>100</v>
      </c>
      <c r="P171" t="str">
        <f>IF(tbl_Stock[[#This Row],[Stock Courant]] &lt; tbl_Stock[[#This Row],[Seuil critique]], "⚠️ Alerte", "OK")</f>
        <v>OK</v>
      </c>
    </row>
    <row r="172" spans="1:16" x14ac:dyDescent="0.25">
      <c r="A172" t="str">
        <f>IFERROR(VLOOKUP(B172,Référentiels!$M$2:$N$267,2,FALSE),"Ingrédient non trouvé")</f>
        <v>PRP003</v>
      </c>
      <c r="B172" t="str">
        <f>+tbl_IngrédientsRef[[#This Row],[Ingrédient]]</f>
        <v>Courgette À La Charmoula</v>
      </c>
      <c r="C172" t="str">
        <f>INDEX(tbl_IngrédientsRef[Unité], MATCH(A172, tbl_IngrédientsRef[Cde_Ingrdt],0))</f>
        <v>Pièce</v>
      </c>
      <c r="D172" s="21">
        <f>IFERROR(INDEX(tbl_IngrédientsRef[[#This Row],[PU_effectif_g/ml]], MATCH(tbl_Stock[[#This Row],[Cde_Ingrdt]], tbl_IngrédientsRef[[#This Row],[Cde_Ingrdt]], 0)), 0)</f>
        <v>8</v>
      </c>
      <c r="E172">
        <v>1500</v>
      </c>
      <c r="F172" s="57">
        <f>tbl_Stock[[#This Row],[Stock Départ]] * INDEX(tbl_IngrédientsRef[Prix/Uni Base], MATCH(tbl_Stock[[#This Row],[Cde_Ingrdt]], tbl_IngrédientsRef[Cde_Ingrdt], 0))</f>
        <v>12000</v>
      </c>
      <c r="G172">
        <f>SUMIF(tbl_Achats[Cde_Ingrdt],tbl_Stock[[#This Row],[Cde_Ingrdt]],tbl_Achats[Qté d''Achat])</f>
        <v>0</v>
      </c>
      <c r="H172" s="21">
        <f t="array" ref="H172">SUMPRODUCT((tbl_Achats[Cde_Ingrdt]=tbl_Stock[[#This Row],[Cde_Ingrdt]]) * tbl_Achats[Qté d''Achat] * tbl_Achats[Prix Achat Unitaire])</f>
        <v>0</v>
      </c>
      <c r="I172">
        <v>300</v>
      </c>
      <c r="J172" s="21">
        <f ca="1">tbl_Stock[[#This Row],[Stock Courant]] * tbl_Stock[[#This Row],[CMP effectif]]</f>
        <v>12000</v>
      </c>
      <c r="K172">
        <f ca="1">tbl_Stock[[#This Row],[Stock Départ]] + SUMIF(tbl_Achats[Cde_Ingrdt],tbl_Stock[[#This Row],[Cde_Ingrdt]],tbl_Achats[[#This Row],[Qté d''Achat]])</f>
        <v>1500</v>
      </c>
      <c r="L172" s="7">
        <f ca="1">IFERROR((tbl_Stock[[#This Row],[Valeur stock initiale]] + tbl_Stock[[#This Row],[ Valeur Achat]]) / tbl_Stock[[#This Row],[Quantité totale]], 0)</f>
        <v>8</v>
      </c>
      <c r="M172" s="7">
        <f>SUMIF(tbl_Sorties[[Code ingrédient ]], tbl_Stock[[#This Row],[Cde_Ingrdt]], tbl_Sorties[Qté Sortie])</f>
        <v>0</v>
      </c>
      <c r="N172" s="57">
        <f>tbl_Stock[[#This Row],[Stock Départ]] + tbl_Stock[[#This Row],[Achats Cumulées]] - tbl_Stock[[#This Row],[ Sortie cumulée]]</f>
        <v>1500</v>
      </c>
      <c r="O172">
        <v>100</v>
      </c>
      <c r="P172" t="str">
        <f>IF(tbl_Stock[[#This Row],[Stock Courant]] &lt; tbl_Stock[[#This Row],[Seuil critique]], "⚠️ Alerte", "OK")</f>
        <v>OK</v>
      </c>
    </row>
    <row r="173" spans="1:16" x14ac:dyDescent="0.25">
      <c r="A173" t="str">
        <f>IFERROR(VLOOKUP(B173,Référentiels!$M$2:$N$267,2,FALSE),"Ingrédient non trouvé")</f>
        <v>PRP004</v>
      </c>
      <c r="B173" t="str">
        <f>+tbl_IngrédientsRef[[#This Row],[Ingrédient]]</f>
        <v>Carotte À La Charmoula</v>
      </c>
      <c r="C173" t="str">
        <f>INDEX(tbl_IngrédientsRef[Unité], MATCH(A173, tbl_IngrédientsRef[Cde_Ingrdt],0))</f>
        <v>Pièce</v>
      </c>
      <c r="D173" s="21">
        <f>IFERROR(INDEX(tbl_IngrédientsRef[[#This Row],[PU_effectif_g/ml]], MATCH(tbl_Stock[[#This Row],[Cde_Ingrdt]], tbl_IngrédientsRef[[#This Row],[Cde_Ingrdt]], 0)), 0)</f>
        <v>8</v>
      </c>
      <c r="E173">
        <v>1500</v>
      </c>
      <c r="F173" s="57">
        <f>tbl_Stock[[#This Row],[Stock Départ]] * INDEX(tbl_IngrédientsRef[Prix/Uni Base], MATCH(tbl_Stock[[#This Row],[Cde_Ingrdt]], tbl_IngrédientsRef[Cde_Ingrdt], 0))</f>
        <v>12000</v>
      </c>
      <c r="G173">
        <f>SUMIF(tbl_Achats[Cde_Ingrdt],tbl_Stock[[#This Row],[Cde_Ingrdt]],tbl_Achats[Qté d''Achat])</f>
        <v>0</v>
      </c>
      <c r="H173" s="21">
        <f t="array" ref="H173">SUMPRODUCT((tbl_Achats[Cde_Ingrdt]=tbl_Stock[[#This Row],[Cde_Ingrdt]]) * tbl_Achats[Qté d''Achat] * tbl_Achats[Prix Achat Unitaire])</f>
        <v>0</v>
      </c>
      <c r="I173">
        <v>340</v>
      </c>
      <c r="J173" s="21">
        <f ca="1">tbl_Stock[[#This Row],[Stock Courant]] * tbl_Stock[[#This Row],[CMP effectif]]</f>
        <v>12000</v>
      </c>
      <c r="K173">
        <f ca="1">tbl_Stock[[#This Row],[Stock Départ]] + SUMIF(tbl_Achats[Cde_Ingrdt],tbl_Stock[[#This Row],[Cde_Ingrdt]],tbl_Achats[[#This Row],[Qté d''Achat]])</f>
        <v>1500</v>
      </c>
      <c r="L173" s="7">
        <f ca="1">IFERROR((tbl_Stock[[#This Row],[Valeur stock initiale]] + tbl_Stock[[#This Row],[ Valeur Achat]]) / tbl_Stock[[#This Row],[Quantité totale]], 0)</f>
        <v>8</v>
      </c>
      <c r="M173" s="7">
        <f>SUMIF(tbl_Sorties[[Code ingrédient ]], tbl_Stock[[#This Row],[Cde_Ingrdt]], tbl_Sorties[Qté Sortie])</f>
        <v>0</v>
      </c>
      <c r="N173" s="57">
        <f>tbl_Stock[[#This Row],[Stock Départ]] + tbl_Stock[[#This Row],[Achats Cumulées]] - tbl_Stock[[#This Row],[ Sortie cumulée]]</f>
        <v>1500</v>
      </c>
      <c r="O173">
        <v>100</v>
      </c>
      <c r="P173" t="str">
        <f>IF(tbl_Stock[[#This Row],[Stock Courant]] &lt; tbl_Stock[[#This Row],[Seuil critique]], "⚠️ Alerte", "OK")</f>
        <v>OK</v>
      </c>
    </row>
    <row r="174" spans="1:16" x14ac:dyDescent="0.25">
      <c r="A174" t="str">
        <f>IFERROR(VLOOKUP(B174,Référentiels!$M$2:$N$267,2,FALSE),"Ingrédient non trouvé")</f>
        <v>PRP005</v>
      </c>
      <c r="B174" t="str">
        <f>+tbl_IngrédientsRef[[#This Row],[Ingrédient]]</f>
        <v>Pomme De Terre À La Charmoula</v>
      </c>
      <c r="C174" t="str">
        <f>INDEX(tbl_IngrédientsRef[Unité], MATCH(A174, tbl_IngrédientsRef[Cde_Ingrdt],0))</f>
        <v>Pièce</v>
      </c>
      <c r="D174" s="21">
        <f>IFERROR(INDEX(tbl_IngrédientsRef[[#This Row],[PU_effectif_g/ml]], MATCH(tbl_Stock[[#This Row],[Cde_Ingrdt]], tbl_IngrédientsRef[[#This Row],[Cde_Ingrdt]], 0)), 0)</f>
        <v>8</v>
      </c>
      <c r="E174">
        <v>1500</v>
      </c>
      <c r="F174" s="57">
        <f>tbl_Stock[[#This Row],[Stock Départ]] * INDEX(tbl_IngrédientsRef[Prix/Uni Base], MATCH(tbl_Stock[[#This Row],[Cde_Ingrdt]], tbl_IngrédientsRef[Cde_Ingrdt], 0))</f>
        <v>12000</v>
      </c>
      <c r="G174">
        <f>SUMIF(tbl_Achats[Cde_Ingrdt],tbl_Stock[[#This Row],[Cde_Ingrdt]],tbl_Achats[Qté d''Achat])</f>
        <v>0</v>
      </c>
      <c r="H174" s="21">
        <f t="array" ref="H174">SUMPRODUCT((tbl_Achats[Cde_Ingrdt]=tbl_Stock[[#This Row],[Cde_Ingrdt]]) * tbl_Achats[Qté d''Achat] * tbl_Achats[Prix Achat Unitaire])</f>
        <v>0</v>
      </c>
      <c r="I174">
        <v>250</v>
      </c>
      <c r="J174" s="21">
        <f ca="1">tbl_Stock[[#This Row],[Stock Courant]] * tbl_Stock[[#This Row],[CMP effectif]]</f>
        <v>12000</v>
      </c>
      <c r="K174">
        <f ca="1">tbl_Stock[[#This Row],[Stock Départ]] + SUMIF(tbl_Achats[Cde_Ingrdt],tbl_Stock[[#This Row],[Cde_Ingrdt]],tbl_Achats[[#This Row],[Qté d''Achat]])</f>
        <v>1500</v>
      </c>
      <c r="L174" s="7">
        <f ca="1">IFERROR((tbl_Stock[[#This Row],[Valeur stock initiale]] + tbl_Stock[[#This Row],[ Valeur Achat]]) / tbl_Stock[[#This Row],[Quantité totale]], 0)</f>
        <v>8</v>
      </c>
      <c r="M174" s="7">
        <f>SUMIF(tbl_Sorties[[Code ingrédient ]], tbl_Stock[[#This Row],[Cde_Ingrdt]], tbl_Sorties[Qté Sortie])</f>
        <v>0</v>
      </c>
      <c r="N174" s="57">
        <f>tbl_Stock[[#This Row],[Stock Départ]] + tbl_Stock[[#This Row],[Achats Cumulées]] - tbl_Stock[[#This Row],[ Sortie cumulée]]</f>
        <v>1500</v>
      </c>
      <c r="O174">
        <v>100</v>
      </c>
      <c r="P174" t="str">
        <f>IF(tbl_Stock[[#This Row],[Stock Courant]] &lt; tbl_Stock[[#This Row],[Seuil critique]], "⚠️ Alerte", "OK")</f>
        <v>OK</v>
      </c>
    </row>
    <row r="175" spans="1:16" x14ac:dyDescent="0.25">
      <c r="A175" t="str">
        <f>IFERROR(VLOOKUP(B175,Référentiels!$M$2:$N$267,2,FALSE),"Ingrédient non trouvé")</f>
        <v>PRP006</v>
      </c>
      <c r="B175" t="str">
        <f>+tbl_IngrédientsRef[[#This Row],[Ingrédient]]</f>
        <v>Sauce Béchamel</v>
      </c>
      <c r="C175" t="str">
        <f>INDEX(tbl_IngrédientsRef[Unité], MATCH(A175, tbl_IngrédientsRef[Cde_Ingrdt],0))</f>
        <v>g</v>
      </c>
      <c r="D175" s="21">
        <f>IFERROR(INDEX(tbl_IngrédientsRef[[#This Row],[PU_effectif_g/ml]], MATCH(tbl_Stock[[#This Row],[Cde_Ingrdt]], tbl_IngrédientsRef[[#This Row],[Cde_Ingrdt]], 0)), 0)</f>
        <v>0.05</v>
      </c>
      <c r="E175">
        <v>1500</v>
      </c>
      <c r="F175" s="57">
        <f>tbl_Stock[[#This Row],[Stock Départ]] * INDEX(tbl_IngrédientsRef[Prix/Uni Base], MATCH(tbl_Stock[[#This Row],[Cde_Ingrdt]], tbl_IngrédientsRef[Cde_Ingrdt], 0))</f>
        <v>75</v>
      </c>
      <c r="G175">
        <f>SUMIF(tbl_Achats[Cde_Ingrdt],tbl_Stock[[#This Row],[Cde_Ingrdt]],tbl_Achats[Qté d''Achat])</f>
        <v>0</v>
      </c>
      <c r="H175" s="21">
        <f t="array" ref="H175">SUMPRODUCT((tbl_Achats[Cde_Ingrdt]=tbl_Stock[[#This Row],[Cde_Ingrdt]]) * tbl_Achats[Qté d''Achat] * tbl_Achats[Prix Achat Unitaire])</f>
        <v>0</v>
      </c>
      <c r="I175">
        <v>230</v>
      </c>
      <c r="J175" s="21">
        <f ca="1">tbl_Stock[[#This Row],[Stock Courant]] * tbl_Stock[[#This Row],[CMP effectif]]</f>
        <v>75</v>
      </c>
      <c r="K175">
        <f ca="1">tbl_Stock[[#This Row],[Stock Départ]] + SUMIF(tbl_Achats[Cde_Ingrdt],tbl_Stock[[#This Row],[Cde_Ingrdt]],tbl_Achats[[#This Row],[Qté d''Achat]])</f>
        <v>1500</v>
      </c>
      <c r="L175" s="7">
        <f ca="1">IFERROR((tbl_Stock[[#This Row],[Valeur stock initiale]] + tbl_Stock[[#This Row],[ Valeur Achat]]) / tbl_Stock[[#This Row],[Quantité totale]], 0)</f>
        <v>0.05</v>
      </c>
      <c r="M175" s="7">
        <f>SUMIF(tbl_Sorties[[Code ingrédient ]], tbl_Stock[[#This Row],[Cde_Ingrdt]], tbl_Sorties[Qté Sortie])</f>
        <v>0</v>
      </c>
      <c r="N175" s="57">
        <f>tbl_Stock[[#This Row],[Stock Départ]] + tbl_Stock[[#This Row],[Achats Cumulées]] - tbl_Stock[[#This Row],[ Sortie cumulée]]</f>
        <v>1500</v>
      </c>
      <c r="O175">
        <v>100</v>
      </c>
      <c r="P175" t="str">
        <f>IF(tbl_Stock[[#This Row],[Stock Courant]] &lt; tbl_Stock[[#This Row],[Seuil critique]], "⚠️ Alerte", "OK")</f>
        <v>OK</v>
      </c>
    </row>
    <row r="176" spans="1:16" x14ac:dyDescent="0.25">
      <c r="A176" t="str">
        <f>IFERROR(VLOOKUP(B176,Référentiels!$M$2:$N$267,2,FALSE),"Ingrédient non trouvé")</f>
        <v>CDM001</v>
      </c>
      <c r="B176" t="str">
        <f>+tbl_IngrédientsRef[[#This Row],[Ingrédient]]</f>
        <v>Chantilly</v>
      </c>
      <c r="C176" t="str">
        <f>INDEX(tbl_IngrédientsRef[Unité], MATCH(A176, tbl_IngrédientsRef[Cde_Ingrdt],0))</f>
        <v>g</v>
      </c>
      <c r="D176" s="21">
        <f>IFERROR(INDEX(tbl_IngrédientsRef[[#This Row],[PU_effectif_g/ml]], MATCH(tbl_Stock[[#This Row],[Cde_Ingrdt]], tbl_IngrédientsRef[[#This Row],[Cde_Ingrdt]], 0)), 0)</f>
        <v>0.4</v>
      </c>
      <c r="E176">
        <v>1500</v>
      </c>
      <c r="F176" s="57">
        <f>tbl_Stock[[#This Row],[Stock Départ]] * INDEX(tbl_IngrédientsRef[Prix/Uni Base], MATCH(tbl_Stock[[#This Row],[Cde_Ingrdt]], tbl_IngrédientsRef[Cde_Ingrdt], 0))</f>
        <v>600</v>
      </c>
      <c r="G176">
        <f>SUMIF(tbl_Achats[Cde_Ingrdt],tbl_Stock[[#This Row],[Cde_Ingrdt]],tbl_Achats[Qté d''Achat])</f>
        <v>0</v>
      </c>
      <c r="H176" s="21">
        <f t="array" ref="H176">SUMPRODUCT((tbl_Achats[Cde_Ingrdt]=tbl_Stock[[#This Row],[Cde_Ingrdt]]) * tbl_Achats[Qté d''Achat] * tbl_Achats[Prix Achat Unitaire])</f>
        <v>0</v>
      </c>
      <c r="I176">
        <v>300</v>
      </c>
      <c r="J176" s="21">
        <f ca="1">tbl_Stock[[#This Row],[Stock Courant]] * tbl_Stock[[#This Row],[CMP effectif]]</f>
        <v>600</v>
      </c>
      <c r="K176">
        <f ca="1">tbl_Stock[[#This Row],[Stock Départ]] + SUMIF(tbl_Achats[Cde_Ingrdt],tbl_Stock[[#This Row],[Cde_Ingrdt]],tbl_Achats[[#This Row],[Qté d''Achat]])</f>
        <v>1500</v>
      </c>
      <c r="L176" s="7">
        <f ca="1">IFERROR((tbl_Stock[[#This Row],[Valeur stock initiale]] + tbl_Stock[[#This Row],[ Valeur Achat]]) / tbl_Stock[[#This Row],[Quantité totale]], 0)</f>
        <v>0.4</v>
      </c>
      <c r="M176" s="7">
        <f>SUMIF(tbl_Sorties[[Code ingrédient ]], tbl_Stock[[#This Row],[Cde_Ingrdt]], tbl_Sorties[Qté Sortie])</f>
        <v>0</v>
      </c>
      <c r="N176" s="57">
        <f>tbl_Stock[[#This Row],[Stock Départ]] + tbl_Stock[[#This Row],[Achats Cumulées]] - tbl_Stock[[#This Row],[ Sortie cumulée]]</f>
        <v>1500</v>
      </c>
      <c r="O176">
        <v>100</v>
      </c>
      <c r="P176" t="str">
        <f>IF(tbl_Stock[[#This Row],[Stock Courant]] &lt; tbl_Stock[[#This Row],[Seuil critique]], "⚠️ Alerte", "OK")</f>
        <v>OK</v>
      </c>
    </row>
    <row r="177" spans="1:16" x14ac:dyDescent="0.25">
      <c r="A177" t="str">
        <f>IFERROR(VLOOKUP(B177,Référentiels!$M$2:$N$267,2,FALSE),"Ingrédient non trouvé")</f>
        <v>CDM002</v>
      </c>
      <c r="B177" t="str">
        <f>+tbl_IngrédientsRef[[#This Row],[Ingrédient]]</f>
        <v>Cornichon</v>
      </c>
      <c r="C177" t="str">
        <f>INDEX(tbl_IngrédientsRef[Unité], MATCH(A177, tbl_IngrédientsRef[Cde_Ingrdt],0))</f>
        <v>g</v>
      </c>
      <c r="D177" s="21">
        <f>IFERROR(INDEX(tbl_IngrédientsRef[[#This Row],[PU_effectif_g/ml]], MATCH(tbl_Stock[[#This Row],[Cde_Ingrdt]], tbl_IngrédientsRef[[#This Row],[Cde_Ingrdt]], 0)), 0)</f>
        <v>0.08</v>
      </c>
      <c r="E177">
        <v>1500</v>
      </c>
      <c r="F177" s="57">
        <f>tbl_Stock[[#This Row],[Stock Départ]] * INDEX(tbl_IngrédientsRef[Prix/Uni Base], MATCH(tbl_Stock[[#This Row],[Cde_Ingrdt]], tbl_IngrédientsRef[Cde_Ingrdt], 0))</f>
        <v>120</v>
      </c>
      <c r="G177">
        <f>SUMIF(tbl_Achats[Cde_Ingrdt],tbl_Stock[[#This Row],[Cde_Ingrdt]],tbl_Achats[Qté d''Achat])</f>
        <v>0</v>
      </c>
      <c r="H177" s="21">
        <f t="array" ref="H177">SUMPRODUCT((tbl_Achats[Cde_Ingrdt]=tbl_Stock[[#This Row],[Cde_Ingrdt]]) * tbl_Achats[Qté d''Achat] * tbl_Achats[Prix Achat Unitaire])</f>
        <v>0</v>
      </c>
      <c r="I177">
        <v>340</v>
      </c>
      <c r="J177" s="21">
        <f ca="1">tbl_Stock[[#This Row],[Stock Courant]] * tbl_Stock[[#This Row],[CMP effectif]]</f>
        <v>120</v>
      </c>
      <c r="K177">
        <f ca="1">tbl_Stock[[#This Row],[Stock Départ]] + SUMIF(tbl_Achats[Cde_Ingrdt],tbl_Stock[[#This Row],[Cde_Ingrdt]],tbl_Achats[[#This Row],[Qté d''Achat]])</f>
        <v>1500</v>
      </c>
      <c r="L177" s="7">
        <f ca="1">IFERROR((tbl_Stock[[#This Row],[Valeur stock initiale]] + tbl_Stock[[#This Row],[ Valeur Achat]]) / tbl_Stock[[#This Row],[Quantité totale]], 0)</f>
        <v>0.08</v>
      </c>
      <c r="M177" s="7">
        <f>SUMIF(tbl_Sorties[[Code ingrédient ]], tbl_Stock[[#This Row],[Cde_Ingrdt]], tbl_Sorties[Qté Sortie])</f>
        <v>0</v>
      </c>
      <c r="N177" s="57">
        <f>tbl_Stock[[#This Row],[Stock Départ]] + tbl_Stock[[#This Row],[Achats Cumulées]] - tbl_Stock[[#This Row],[ Sortie cumulée]]</f>
        <v>1500</v>
      </c>
      <c r="O177">
        <v>100</v>
      </c>
      <c r="P177" t="str">
        <f>IF(tbl_Stock[[#This Row],[Stock Courant]] &lt; tbl_Stock[[#This Row],[Seuil critique]], "⚠️ Alerte", "OK")</f>
        <v>OK</v>
      </c>
    </row>
    <row r="178" spans="1:16" x14ac:dyDescent="0.25">
      <c r="A178" t="str">
        <f>IFERROR(VLOOKUP(B178,Référentiels!$M$2:$N$267,2,FALSE),"Ingrédient non trouvé")</f>
        <v>CDM003</v>
      </c>
      <c r="B178" t="str">
        <f>+tbl_IngrédientsRef[[#This Row],[Ingrédient]]</f>
        <v>Oignon Caramélisé</v>
      </c>
      <c r="C178" t="str">
        <f>INDEX(tbl_IngrédientsRef[Unité], MATCH(A178, tbl_IngrédientsRef[Cde_Ingrdt],0))</f>
        <v>g</v>
      </c>
      <c r="D178" s="21">
        <f>IFERROR(INDEX(tbl_IngrédientsRef[[#This Row],[PU_effectif_g/ml]], MATCH(tbl_Stock[[#This Row],[Cde_Ingrdt]], tbl_IngrédientsRef[[#This Row],[Cde_Ingrdt]], 0)), 0)</f>
        <v>0.03</v>
      </c>
      <c r="E178">
        <v>1500</v>
      </c>
      <c r="F178" s="57">
        <f>tbl_Stock[[#This Row],[Stock Départ]] * INDEX(tbl_IngrédientsRef[Prix/Uni Base], MATCH(tbl_Stock[[#This Row],[Cde_Ingrdt]], tbl_IngrédientsRef[Cde_Ingrdt], 0))</f>
        <v>45</v>
      </c>
      <c r="G178">
        <f>SUMIF(tbl_Achats[Cde_Ingrdt],tbl_Stock[[#This Row],[Cde_Ingrdt]],tbl_Achats[Qté d''Achat])</f>
        <v>0</v>
      </c>
      <c r="H178" s="21">
        <f t="array" ref="H178">SUMPRODUCT((tbl_Achats[Cde_Ingrdt]=tbl_Stock[[#This Row],[Cde_Ingrdt]]) * tbl_Achats[Qté d''Achat] * tbl_Achats[Prix Achat Unitaire])</f>
        <v>0</v>
      </c>
      <c r="I178">
        <v>250</v>
      </c>
      <c r="J178" s="21">
        <f ca="1">tbl_Stock[[#This Row],[Stock Courant]] * tbl_Stock[[#This Row],[CMP effectif]]</f>
        <v>45</v>
      </c>
      <c r="K178">
        <f ca="1">tbl_Stock[[#This Row],[Stock Départ]] + SUMIF(tbl_Achats[Cde_Ingrdt],tbl_Stock[[#This Row],[Cde_Ingrdt]],tbl_Achats[[#This Row],[Qté d''Achat]])</f>
        <v>1500</v>
      </c>
      <c r="L178" s="7">
        <f ca="1">IFERROR((tbl_Stock[[#This Row],[Valeur stock initiale]] + tbl_Stock[[#This Row],[ Valeur Achat]]) / tbl_Stock[[#This Row],[Quantité totale]], 0)</f>
        <v>0.03</v>
      </c>
      <c r="M178" s="7">
        <f>SUMIF(tbl_Sorties[[Code ingrédient ]], tbl_Stock[[#This Row],[Cde_Ingrdt]], tbl_Sorties[Qté Sortie])</f>
        <v>0</v>
      </c>
      <c r="N178" s="57">
        <f>tbl_Stock[[#This Row],[Stock Départ]] + tbl_Stock[[#This Row],[Achats Cumulées]] - tbl_Stock[[#This Row],[ Sortie cumulée]]</f>
        <v>1500</v>
      </c>
      <c r="O178">
        <v>100</v>
      </c>
      <c r="P178" t="str">
        <f>IF(tbl_Stock[[#This Row],[Stock Courant]] &lt; tbl_Stock[[#This Row],[Seuil critique]], "⚠️ Alerte", "OK")</f>
        <v>OK</v>
      </c>
    </row>
    <row r="179" spans="1:16" x14ac:dyDescent="0.25">
      <c r="A179" t="str">
        <f>IFERROR(VLOOKUP(B179,Référentiels!$M$2:$N$267,2,FALSE),"Ingrédient non trouvé")</f>
        <v>CDM004</v>
      </c>
      <c r="B179" t="str">
        <f>+tbl_IngrédientsRef[[#This Row],[Ingrédient]]</f>
        <v>Champignons En Boites</v>
      </c>
      <c r="C179" t="str">
        <f>INDEX(tbl_IngrédientsRef[Unité], MATCH(A179, tbl_IngrédientsRef[Cde_Ingrdt],0))</f>
        <v>Pièce</v>
      </c>
      <c r="D179" s="21">
        <f>IFERROR(INDEX(tbl_IngrédientsRef[[#This Row],[PU_effectif_g/ml]], MATCH(tbl_Stock[[#This Row],[Cde_Ingrdt]], tbl_IngrédientsRef[[#This Row],[Cde_Ingrdt]], 0)), 0)</f>
        <v>20</v>
      </c>
      <c r="E179">
        <v>1500</v>
      </c>
      <c r="F179" s="57">
        <f>tbl_Stock[[#This Row],[Stock Départ]] * INDEX(tbl_IngrédientsRef[Prix/Uni Base], MATCH(tbl_Stock[[#This Row],[Cde_Ingrdt]], tbl_IngrédientsRef[Cde_Ingrdt], 0))</f>
        <v>30000</v>
      </c>
      <c r="G179">
        <f>SUMIF(tbl_Achats[Cde_Ingrdt],tbl_Stock[[#This Row],[Cde_Ingrdt]],tbl_Achats[Qté d''Achat])</f>
        <v>0</v>
      </c>
      <c r="H179" s="21">
        <f t="array" ref="H179">SUMPRODUCT((tbl_Achats[Cde_Ingrdt]=tbl_Stock[[#This Row],[Cde_Ingrdt]]) * tbl_Achats[Qté d''Achat] * tbl_Achats[Prix Achat Unitaire])</f>
        <v>0</v>
      </c>
      <c r="I179">
        <v>230</v>
      </c>
      <c r="J179" s="21">
        <f ca="1">tbl_Stock[[#This Row],[Stock Courant]] * tbl_Stock[[#This Row],[CMP effectif]]</f>
        <v>30000</v>
      </c>
      <c r="K179">
        <f ca="1">tbl_Stock[[#This Row],[Stock Départ]] + SUMIF(tbl_Achats[Cde_Ingrdt],tbl_Stock[[#This Row],[Cde_Ingrdt]],tbl_Achats[[#This Row],[Qté d''Achat]])</f>
        <v>1500</v>
      </c>
      <c r="L179" s="7">
        <f ca="1">IFERROR((tbl_Stock[[#This Row],[Valeur stock initiale]] + tbl_Stock[[#This Row],[ Valeur Achat]]) / tbl_Stock[[#This Row],[Quantité totale]], 0)</f>
        <v>20</v>
      </c>
      <c r="M179" s="7">
        <f>SUMIF(tbl_Sorties[[Code ingrédient ]], tbl_Stock[[#This Row],[Cde_Ingrdt]], tbl_Sorties[Qté Sortie])</f>
        <v>0</v>
      </c>
      <c r="N179" s="57">
        <f>tbl_Stock[[#This Row],[Stock Départ]] + tbl_Stock[[#This Row],[Achats Cumulées]] - tbl_Stock[[#This Row],[ Sortie cumulée]]</f>
        <v>1500</v>
      </c>
      <c r="O179">
        <v>100</v>
      </c>
      <c r="P179" t="str">
        <f>IF(tbl_Stock[[#This Row],[Stock Courant]] &lt; tbl_Stock[[#This Row],[Seuil critique]], "⚠️ Alerte", "OK")</f>
        <v>OK</v>
      </c>
    </row>
    <row r="180" spans="1:16" x14ac:dyDescent="0.25">
      <c r="A180" t="str">
        <f>IFERROR(VLOOKUP(B180,Référentiels!$M$2:$N$267,2,FALSE),"Ingrédient non trouvé")</f>
        <v>CDM005</v>
      </c>
      <c r="B180" t="str">
        <f>+tbl_IngrédientsRef[[#This Row],[Ingrédient]]</f>
        <v>Câpres</v>
      </c>
      <c r="C180" t="str">
        <f>INDEX(tbl_IngrédientsRef[Unité], MATCH(A180, tbl_IngrédientsRef[Cde_Ingrdt],0))</f>
        <v>g</v>
      </c>
      <c r="D180" s="21">
        <f>IFERROR(INDEX(tbl_IngrédientsRef[[#This Row],[PU_effectif_g/ml]], MATCH(tbl_Stock[[#This Row],[Cde_Ingrdt]], tbl_IngrédientsRef[[#This Row],[Cde_Ingrdt]], 0)), 0)</f>
        <v>0.15</v>
      </c>
      <c r="E180">
        <v>1500</v>
      </c>
      <c r="F180" s="57">
        <f>tbl_Stock[[#This Row],[Stock Départ]] * INDEX(tbl_IngrédientsRef[Prix/Uni Base], MATCH(tbl_Stock[[#This Row],[Cde_Ingrdt]], tbl_IngrédientsRef[Cde_Ingrdt], 0))</f>
        <v>225</v>
      </c>
      <c r="G180">
        <f>SUMIF(tbl_Achats[Cde_Ingrdt],tbl_Stock[[#This Row],[Cde_Ingrdt]],tbl_Achats[Qté d''Achat])</f>
        <v>0</v>
      </c>
      <c r="H180" s="21">
        <f t="array" ref="H180">SUMPRODUCT((tbl_Achats[Cde_Ingrdt]=tbl_Stock[[#This Row],[Cde_Ingrdt]]) * tbl_Achats[Qté d''Achat] * tbl_Achats[Prix Achat Unitaire])</f>
        <v>0</v>
      </c>
      <c r="I180">
        <v>300</v>
      </c>
      <c r="J180" s="21">
        <f ca="1">tbl_Stock[[#This Row],[Stock Courant]] * tbl_Stock[[#This Row],[CMP effectif]]</f>
        <v>225</v>
      </c>
      <c r="K180">
        <f ca="1">tbl_Stock[[#This Row],[Stock Départ]] + SUMIF(tbl_Achats[Cde_Ingrdt],tbl_Stock[[#This Row],[Cde_Ingrdt]],tbl_Achats[[#This Row],[Qté d''Achat]])</f>
        <v>1500</v>
      </c>
      <c r="L180" s="7">
        <f ca="1">IFERROR((tbl_Stock[[#This Row],[Valeur stock initiale]] + tbl_Stock[[#This Row],[ Valeur Achat]]) / tbl_Stock[[#This Row],[Quantité totale]], 0)</f>
        <v>0.15</v>
      </c>
      <c r="M180" s="7">
        <f>SUMIF(tbl_Sorties[[Code ingrédient ]], tbl_Stock[[#This Row],[Cde_Ingrdt]], tbl_Sorties[Qté Sortie])</f>
        <v>0</v>
      </c>
      <c r="N180" s="57">
        <f>tbl_Stock[[#This Row],[Stock Départ]] + tbl_Stock[[#This Row],[Achats Cumulées]] - tbl_Stock[[#This Row],[ Sortie cumulée]]</f>
        <v>1500</v>
      </c>
      <c r="O180">
        <v>100</v>
      </c>
      <c r="P180" t="str">
        <f>IF(tbl_Stock[[#This Row],[Stock Courant]] &lt; tbl_Stock[[#This Row],[Seuil critique]], "⚠️ Alerte", "OK")</f>
        <v>OK</v>
      </c>
    </row>
    <row r="181" spans="1:16" x14ac:dyDescent="0.25">
      <c r="A181" t="str">
        <f>IFERROR(VLOOKUP(B181,Référentiels!$M$2:$N$267,2,FALSE),"Ingrédient non trouvé")</f>
        <v>CDM006</v>
      </c>
      <c r="B181" t="str">
        <f>+tbl_IngrédientsRef[[#This Row],[Ingrédient]]</f>
        <v>Citron Confit</v>
      </c>
      <c r="C181" t="str">
        <f>INDEX(tbl_IngrédientsRef[Unité], MATCH(A181, tbl_IngrédientsRef[Cde_Ingrdt],0))</f>
        <v>Pièce</v>
      </c>
      <c r="D181" s="21">
        <f>IFERROR(INDEX(tbl_IngrédientsRef[[#This Row],[PU_effectif_g/ml]], MATCH(tbl_Stock[[#This Row],[Cde_Ingrdt]], tbl_IngrédientsRef[[#This Row],[Cde_Ingrdt]], 0)), 0)</f>
        <v>2</v>
      </c>
      <c r="E181">
        <v>1500</v>
      </c>
      <c r="F181" s="57">
        <f>tbl_Stock[[#This Row],[Stock Départ]] * INDEX(tbl_IngrédientsRef[Prix/Uni Base], MATCH(tbl_Stock[[#This Row],[Cde_Ingrdt]], tbl_IngrédientsRef[Cde_Ingrdt], 0))</f>
        <v>3000</v>
      </c>
      <c r="G181">
        <f>SUMIF(tbl_Achats[Cde_Ingrdt],tbl_Stock[[#This Row],[Cde_Ingrdt]],tbl_Achats[Qté d''Achat])</f>
        <v>0</v>
      </c>
      <c r="H181" s="21">
        <f t="array" ref="H181">SUMPRODUCT((tbl_Achats[Cde_Ingrdt]=tbl_Stock[[#This Row],[Cde_Ingrdt]]) * tbl_Achats[Qté d''Achat] * tbl_Achats[Prix Achat Unitaire])</f>
        <v>0</v>
      </c>
      <c r="I181">
        <v>340</v>
      </c>
      <c r="J181" s="21">
        <f ca="1">tbl_Stock[[#This Row],[Stock Courant]] * tbl_Stock[[#This Row],[CMP effectif]]</f>
        <v>3000</v>
      </c>
      <c r="K181">
        <f ca="1">tbl_Stock[[#This Row],[Stock Départ]] + SUMIF(tbl_Achats[Cde_Ingrdt],tbl_Stock[[#This Row],[Cde_Ingrdt]],tbl_Achats[[#This Row],[Qté d''Achat]])</f>
        <v>1500</v>
      </c>
      <c r="L181" s="7">
        <f ca="1">IFERROR((tbl_Stock[[#This Row],[Valeur stock initiale]] + tbl_Stock[[#This Row],[ Valeur Achat]]) / tbl_Stock[[#This Row],[Quantité totale]], 0)</f>
        <v>2</v>
      </c>
      <c r="M181" s="7">
        <f>SUMIF(tbl_Sorties[[Code ingrédient ]], tbl_Stock[[#This Row],[Cde_Ingrdt]], tbl_Sorties[Qté Sortie])</f>
        <v>0</v>
      </c>
      <c r="N181" s="57">
        <f>tbl_Stock[[#This Row],[Stock Départ]] + tbl_Stock[[#This Row],[Achats Cumulées]] - tbl_Stock[[#This Row],[ Sortie cumulée]]</f>
        <v>1500</v>
      </c>
      <c r="O181">
        <v>100</v>
      </c>
      <c r="P181" t="str">
        <f>IF(tbl_Stock[[#This Row],[Stock Courant]] &lt; tbl_Stock[[#This Row],[Seuil critique]], "⚠️ Alerte", "OK")</f>
        <v>OK</v>
      </c>
    </row>
    <row r="182" spans="1:16" x14ac:dyDescent="0.25">
      <c r="A182" t="str">
        <f>IFERROR(VLOOKUP(B182,Référentiels!$M$2:$N$267,2,FALSE),"Ingrédient non trouvé")</f>
        <v>CDM007</v>
      </c>
      <c r="B182" t="str">
        <f>+tbl_IngrédientsRef[[#This Row],[Ingrédient]]</f>
        <v>Petits Pois</v>
      </c>
      <c r="C182" t="str">
        <f>INDEX(tbl_IngrédientsRef[Unité], MATCH(A182, tbl_IngrédientsRef[Cde_Ingrdt],0))</f>
        <v>g</v>
      </c>
      <c r="D182" s="21">
        <f>IFERROR(INDEX(tbl_IngrédientsRef[[#This Row],[PU_effectif_g/ml]], MATCH(tbl_Stock[[#This Row],[Cde_Ingrdt]], tbl_IngrédientsRef[[#This Row],[Cde_Ingrdt]], 0)), 0)</f>
        <v>0.03</v>
      </c>
      <c r="E182">
        <v>1500</v>
      </c>
      <c r="F182" s="57">
        <f>tbl_Stock[[#This Row],[Stock Départ]] * INDEX(tbl_IngrédientsRef[Prix/Uni Base], MATCH(tbl_Stock[[#This Row],[Cde_Ingrdt]], tbl_IngrédientsRef[Cde_Ingrdt], 0))</f>
        <v>45</v>
      </c>
      <c r="G182">
        <f>SUMIF(tbl_Achats[Cde_Ingrdt],tbl_Stock[[#This Row],[Cde_Ingrdt]],tbl_Achats[Qté d''Achat])</f>
        <v>0</v>
      </c>
      <c r="H182" s="21">
        <f t="array" ref="H182">SUMPRODUCT((tbl_Achats[Cde_Ingrdt]=tbl_Stock[[#This Row],[Cde_Ingrdt]]) * tbl_Achats[Qté d''Achat] * tbl_Achats[Prix Achat Unitaire])</f>
        <v>0</v>
      </c>
      <c r="I182">
        <v>250</v>
      </c>
      <c r="J182" s="21">
        <f ca="1">tbl_Stock[[#This Row],[Stock Courant]] * tbl_Stock[[#This Row],[CMP effectif]]</f>
        <v>45</v>
      </c>
      <c r="K182">
        <f ca="1">tbl_Stock[[#This Row],[Stock Départ]] + SUMIF(tbl_Achats[Cde_Ingrdt],tbl_Stock[[#This Row],[Cde_Ingrdt]],tbl_Achats[[#This Row],[Qté d''Achat]])</f>
        <v>1500</v>
      </c>
      <c r="L182" s="7">
        <f ca="1">IFERROR((tbl_Stock[[#This Row],[Valeur stock initiale]] + tbl_Stock[[#This Row],[ Valeur Achat]]) / tbl_Stock[[#This Row],[Quantité totale]], 0)</f>
        <v>0.03</v>
      </c>
      <c r="M182" s="7">
        <f>SUMIF(tbl_Sorties[[Code ingrédient ]], tbl_Stock[[#This Row],[Cde_Ingrdt]], tbl_Sorties[Qté Sortie])</f>
        <v>0</v>
      </c>
      <c r="N182" s="57">
        <f>tbl_Stock[[#This Row],[Stock Départ]] + tbl_Stock[[#This Row],[Achats Cumulées]] - tbl_Stock[[#This Row],[ Sortie cumulée]]</f>
        <v>1500</v>
      </c>
      <c r="O182">
        <v>100</v>
      </c>
      <c r="P182" t="str">
        <f>IF(tbl_Stock[[#This Row],[Stock Courant]] &lt; tbl_Stock[[#This Row],[Seuil critique]], "⚠️ Alerte", "OK")</f>
        <v>OK</v>
      </c>
    </row>
    <row r="183" spans="1:16" x14ac:dyDescent="0.25">
      <c r="A183" t="str">
        <f>IFERROR(VLOOKUP(B183,Référentiels!$M$2:$N$267,2,FALSE),"Ingrédient non trouvé")</f>
        <v>CDM008</v>
      </c>
      <c r="B183" t="str">
        <f>+tbl_IngrédientsRef[[#This Row],[Ingrédient]]</f>
        <v>Pois Chiche</v>
      </c>
      <c r="C183" t="str">
        <f>INDEX(tbl_IngrédientsRef[Unité], MATCH(A183, tbl_IngrédientsRef[Cde_Ingrdt],0))</f>
        <v>g</v>
      </c>
      <c r="D183" s="21">
        <f>IFERROR(INDEX(tbl_IngrédientsRef[[#This Row],[PU_effectif_g/ml]], MATCH(tbl_Stock[[#This Row],[Cde_Ingrdt]], tbl_IngrédientsRef[[#This Row],[Cde_Ingrdt]], 0)), 0)</f>
        <v>0.03</v>
      </c>
      <c r="E183">
        <v>1500</v>
      </c>
      <c r="F183" s="57">
        <f>tbl_Stock[[#This Row],[Stock Départ]] * INDEX(tbl_IngrédientsRef[Prix/Uni Base], MATCH(tbl_Stock[[#This Row],[Cde_Ingrdt]], tbl_IngrédientsRef[Cde_Ingrdt], 0))</f>
        <v>45</v>
      </c>
      <c r="G183">
        <f>SUMIF(tbl_Achats[Cde_Ingrdt],tbl_Stock[[#This Row],[Cde_Ingrdt]],tbl_Achats[Qté d''Achat])</f>
        <v>0</v>
      </c>
      <c r="H183" s="21">
        <f t="array" ref="H183">SUMPRODUCT((tbl_Achats[Cde_Ingrdt]=tbl_Stock[[#This Row],[Cde_Ingrdt]]) * tbl_Achats[Qté d''Achat] * tbl_Achats[Prix Achat Unitaire])</f>
        <v>0</v>
      </c>
      <c r="I183">
        <v>230</v>
      </c>
      <c r="J183" s="21">
        <f ca="1">tbl_Stock[[#This Row],[Stock Courant]] * tbl_Stock[[#This Row],[CMP effectif]]</f>
        <v>45</v>
      </c>
      <c r="K183">
        <f ca="1">tbl_Stock[[#This Row],[Stock Départ]] + SUMIF(tbl_Achats[Cde_Ingrdt],tbl_Stock[[#This Row],[Cde_Ingrdt]],tbl_Achats[[#This Row],[Qté d''Achat]])</f>
        <v>1500</v>
      </c>
      <c r="L183" s="7">
        <f ca="1">IFERROR((tbl_Stock[[#This Row],[Valeur stock initiale]] + tbl_Stock[[#This Row],[ Valeur Achat]]) / tbl_Stock[[#This Row],[Quantité totale]], 0)</f>
        <v>0.03</v>
      </c>
      <c r="M183" s="7">
        <f>SUMIF(tbl_Sorties[[Code ingrédient ]], tbl_Stock[[#This Row],[Cde_Ingrdt]], tbl_Sorties[Qté Sortie])</f>
        <v>0</v>
      </c>
      <c r="N183" s="57">
        <f>tbl_Stock[[#This Row],[Stock Départ]] + tbl_Stock[[#This Row],[Achats Cumulées]] - tbl_Stock[[#This Row],[ Sortie cumulée]]</f>
        <v>1500</v>
      </c>
      <c r="O183">
        <v>100</v>
      </c>
      <c r="P183" t="str">
        <f>IF(tbl_Stock[[#This Row],[Stock Courant]] &lt; tbl_Stock[[#This Row],[Seuil critique]], "⚠️ Alerte", "OK")</f>
        <v>OK</v>
      </c>
    </row>
    <row r="184" spans="1:16" x14ac:dyDescent="0.25">
      <c r="A184" t="str">
        <f>IFERROR(VLOOKUP(B184,Référentiels!$M$2:$N$267,2,FALSE),"Ingrédient non trouvé")</f>
        <v>CDM009</v>
      </c>
      <c r="B184" t="str">
        <f>+tbl_IngrédientsRef[[#This Row],[Ingrédient]]</f>
        <v>Raisins Secs</v>
      </c>
      <c r="C184" t="str">
        <f>INDEX(tbl_IngrédientsRef[Unité], MATCH(A184, tbl_IngrédientsRef[Cde_Ingrdt],0))</f>
        <v>g</v>
      </c>
      <c r="D184" s="21">
        <f>IFERROR(INDEX(tbl_IngrédientsRef[[#This Row],[PU_effectif_g/ml]], MATCH(tbl_Stock[[#This Row],[Cde_Ingrdt]], tbl_IngrédientsRef[[#This Row],[Cde_Ingrdt]], 0)), 0)</f>
        <v>7.0000000000000007E-2</v>
      </c>
      <c r="E184">
        <v>1500</v>
      </c>
      <c r="F184" s="57">
        <f>tbl_Stock[[#This Row],[Stock Départ]] * INDEX(tbl_IngrédientsRef[Prix/Uni Base], MATCH(tbl_Stock[[#This Row],[Cde_Ingrdt]], tbl_IngrédientsRef[Cde_Ingrdt], 0))</f>
        <v>105.00000000000001</v>
      </c>
      <c r="G184">
        <f>SUMIF(tbl_Achats[Cde_Ingrdt],tbl_Stock[[#This Row],[Cde_Ingrdt]],tbl_Achats[Qté d''Achat])</f>
        <v>0</v>
      </c>
      <c r="H184" s="21">
        <f t="array" ref="H184">SUMPRODUCT((tbl_Achats[Cde_Ingrdt]=tbl_Stock[[#This Row],[Cde_Ingrdt]]) * tbl_Achats[Qté d''Achat] * tbl_Achats[Prix Achat Unitaire])</f>
        <v>0</v>
      </c>
      <c r="I184">
        <v>300</v>
      </c>
      <c r="J184" s="21">
        <f ca="1">tbl_Stock[[#This Row],[Stock Courant]] * tbl_Stock[[#This Row],[CMP effectif]]</f>
        <v>105.00000000000001</v>
      </c>
      <c r="K184">
        <f ca="1">tbl_Stock[[#This Row],[Stock Départ]] + SUMIF(tbl_Achats[Cde_Ingrdt],tbl_Stock[[#This Row],[Cde_Ingrdt]],tbl_Achats[[#This Row],[Qté d''Achat]])</f>
        <v>1500</v>
      </c>
      <c r="L184" s="7">
        <f ca="1">IFERROR((tbl_Stock[[#This Row],[Valeur stock initiale]] + tbl_Stock[[#This Row],[ Valeur Achat]]) / tbl_Stock[[#This Row],[Quantité totale]], 0)</f>
        <v>7.0000000000000007E-2</v>
      </c>
      <c r="M184" s="7">
        <f>SUMIF(tbl_Sorties[[Code ingrédient ]], tbl_Stock[[#This Row],[Cde_Ingrdt]], tbl_Sorties[Qté Sortie])</f>
        <v>0</v>
      </c>
      <c r="N184" s="57">
        <f>tbl_Stock[[#This Row],[Stock Départ]] + tbl_Stock[[#This Row],[Achats Cumulées]] - tbl_Stock[[#This Row],[ Sortie cumulée]]</f>
        <v>1500</v>
      </c>
      <c r="O184">
        <v>100</v>
      </c>
      <c r="P184" t="str">
        <f>IF(tbl_Stock[[#This Row],[Stock Courant]] &lt; tbl_Stock[[#This Row],[Seuil critique]], "⚠️ Alerte", "OK")</f>
        <v>OK</v>
      </c>
    </row>
    <row r="185" spans="1:16" x14ac:dyDescent="0.25">
      <c r="A185" t="str">
        <f>IFERROR(VLOOKUP(B185,Référentiels!$M$2:$N$267,2,FALSE),"Ingrédient non trouvé")</f>
        <v>CDM010</v>
      </c>
      <c r="B185" t="str">
        <f>+tbl_IngrédientsRef[[#This Row],[Ingrédient]]</f>
        <v>Haricot Rouge</v>
      </c>
      <c r="C185" t="str">
        <f>INDEX(tbl_IngrédientsRef[Unité], MATCH(A185, tbl_IngrédientsRef[Cde_Ingrdt],0))</f>
        <v>g</v>
      </c>
      <c r="D185" s="21">
        <f>IFERROR(INDEX(tbl_IngrédientsRef[[#This Row],[PU_effectif_g/ml]], MATCH(tbl_Stock[[#This Row],[Cde_Ingrdt]], tbl_IngrédientsRef[[#This Row],[Cde_Ingrdt]], 0)), 0)</f>
        <v>7.0000000000000007E-2</v>
      </c>
      <c r="E185">
        <v>1500</v>
      </c>
      <c r="F185" s="57">
        <f>tbl_Stock[[#This Row],[Stock Départ]] * INDEX(tbl_IngrédientsRef[Prix/Uni Base], MATCH(tbl_Stock[[#This Row],[Cde_Ingrdt]], tbl_IngrédientsRef[Cde_Ingrdt], 0))</f>
        <v>105.00000000000001</v>
      </c>
      <c r="G185">
        <f>SUMIF(tbl_Achats[Cde_Ingrdt],tbl_Stock[[#This Row],[Cde_Ingrdt]],tbl_Achats[Qté d''Achat])</f>
        <v>0</v>
      </c>
      <c r="H185" s="21">
        <f t="array" ref="H185">SUMPRODUCT((tbl_Achats[Cde_Ingrdt]=tbl_Stock[[#This Row],[Cde_Ingrdt]]) * tbl_Achats[Qté d''Achat] * tbl_Achats[Prix Achat Unitaire])</f>
        <v>0</v>
      </c>
      <c r="I185">
        <v>340</v>
      </c>
      <c r="J185" s="21">
        <f ca="1">tbl_Stock[[#This Row],[Stock Courant]] * tbl_Stock[[#This Row],[CMP effectif]]</f>
        <v>105.00000000000001</v>
      </c>
      <c r="K185">
        <f ca="1">tbl_Stock[[#This Row],[Stock Départ]] + SUMIF(tbl_Achats[Cde_Ingrdt],tbl_Stock[[#This Row],[Cde_Ingrdt]],tbl_Achats[[#This Row],[Qté d''Achat]])</f>
        <v>1500</v>
      </c>
      <c r="L185" s="7">
        <f ca="1">IFERROR((tbl_Stock[[#This Row],[Valeur stock initiale]] + tbl_Stock[[#This Row],[ Valeur Achat]]) / tbl_Stock[[#This Row],[Quantité totale]], 0)</f>
        <v>7.0000000000000007E-2</v>
      </c>
      <c r="M185" s="7">
        <f>SUMIF(tbl_Sorties[[Code ingrédient ]], tbl_Stock[[#This Row],[Cde_Ingrdt]], tbl_Sorties[Qté Sortie])</f>
        <v>0</v>
      </c>
      <c r="N185" s="57">
        <f>tbl_Stock[[#This Row],[Stock Départ]] + tbl_Stock[[#This Row],[Achats Cumulées]] - tbl_Stock[[#This Row],[ Sortie cumulée]]</f>
        <v>1500</v>
      </c>
      <c r="O185">
        <v>100</v>
      </c>
      <c r="P185" t="str">
        <f>IF(tbl_Stock[[#This Row],[Stock Courant]] &lt; tbl_Stock[[#This Row],[Seuil critique]], "⚠️ Alerte", "OK")</f>
        <v>OK</v>
      </c>
    </row>
    <row r="186" spans="1:16" x14ac:dyDescent="0.25">
      <c r="A186" t="str">
        <f>IFERROR(VLOOKUP(B186,Référentiels!$M$2:$N$267,2,FALSE),"Ingrédient non trouvé")</f>
        <v>CDM011</v>
      </c>
      <c r="B186" t="str">
        <f>+tbl_IngrédientsRef[[#This Row],[Ingrédient]]</f>
        <v>Olive Verte</v>
      </c>
      <c r="C186" t="str">
        <f>INDEX(tbl_IngrédientsRef[Unité], MATCH(A186, tbl_IngrédientsRef[Cde_Ingrdt],0))</f>
        <v>g</v>
      </c>
      <c r="D186" s="21">
        <f>IFERROR(INDEX(tbl_IngrédientsRef[[#This Row],[PU_effectif_g/ml]], MATCH(tbl_Stock[[#This Row],[Cde_Ingrdt]], tbl_IngrédientsRef[[#This Row],[Cde_Ingrdt]], 0)), 0)</f>
        <v>0.1</v>
      </c>
      <c r="E186">
        <v>1500</v>
      </c>
      <c r="F186" s="57">
        <f>tbl_Stock[[#This Row],[Stock Départ]] * INDEX(tbl_IngrédientsRef[Prix/Uni Base], MATCH(tbl_Stock[[#This Row],[Cde_Ingrdt]], tbl_IngrédientsRef[Cde_Ingrdt], 0))</f>
        <v>150</v>
      </c>
      <c r="G186">
        <f>SUMIF(tbl_Achats[Cde_Ingrdt],tbl_Stock[[#This Row],[Cde_Ingrdt]],tbl_Achats[Qté d''Achat])</f>
        <v>0</v>
      </c>
      <c r="H186" s="21">
        <f t="array" ref="H186">SUMPRODUCT((tbl_Achats[Cde_Ingrdt]=tbl_Stock[[#This Row],[Cde_Ingrdt]]) * tbl_Achats[Qté d''Achat] * tbl_Achats[Prix Achat Unitaire])</f>
        <v>0</v>
      </c>
      <c r="I186">
        <v>250</v>
      </c>
      <c r="J186" s="21">
        <f ca="1">tbl_Stock[[#This Row],[Stock Courant]] * tbl_Stock[[#This Row],[CMP effectif]]</f>
        <v>150</v>
      </c>
      <c r="K186">
        <f ca="1">tbl_Stock[[#This Row],[Stock Départ]] + SUMIF(tbl_Achats[Cde_Ingrdt],tbl_Stock[[#This Row],[Cde_Ingrdt]],tbl_Achats[[#This Row],[Qté d''Achat]])</f>
        <v>1500</v>
      </c>
      <c r="L186" s="7">
        <f ca="1">IFERROR((tbl_Stock[[#This Row],[Valeur stock initiale]] + tbl_Stock[[#This Row],[ Valeur Achat]]) / tbl_Stock[[#This Row],[Quantité totale]], 0)</f>
        <v>0.1</v>
      </c>
      <c r="M186" s="7">
        <f>SUMIF(tbl_Sorties[[Code ingrédient ]], tbl_Stock[[#This Row],[Cde_Ingrdt]], tbl_Sorties[Qté Sortie])</f>
        <v>0</v>
      </c>
      <c r="N186" s="57">
        <f>tbl_Stock[[#This Row],[Stock Départ]] + tbl_Stock[[#This Row],[Achats Cumulées]] - tbl_Stock[[#This Row],[ Sortie cumulée]]</f>
        <v>1500</v>
      </c>
      <c r="O186">
        <v>100</v>
      </c>
      <c r="P186" t="str">
        <f>IF(tbl_Stock[[#This Row],[Stock Courant]] &lt; tbl_Stock[[#This Row],[Seuil critique]], "⚠️ Alerte", "OK")</f>
        <v>OK</v>
      </c>
    </row>
    <row r="187" spans="1:16" x14ac:dyDescent="0.25">
      <c r="A187" t="str">
        <f>IFERROR(VLOOKUP(B187,Référentiels!$M$2:$N$267,2,FALSE),"Ingrédient non trouvé")</f>
        <v>CDM012</v>
      </c>
      <c r="B187" t="str">
        <f>+tbl_IngrédientsRef[[#This Row],[Ingrédient]]</f>
        <v>Olive Noir</v>
      </c>
      <c r="C187" t="str">
        <f>INDEX(tbl_IngrédientsRef[Unité], MATCH(A187, tbl_IngrédientsRef[Cde_Ingrdt],0))</f>
        <v>g</v>
      </c>
      <c r="D187" s="21">
        <f>IFERROR(INDEX(tbl_IngrédientsRef[[#This Row],[PU_effectif_g/ml]], MATCH(tbl_Stock[[#This Row],[Cde_Ingrdt]], tbl_IngrédientsRef[[#This Row],[Cde_Ingrdt]], 0)), 0)</f>
        <v>0.06</v>
      </c>
      <c r="E187">
        <v>1500</v>
      </c>
      <c r="F187" s="57">
        <f>tbl_Stock[[#This Row],[Stock Départ]] * INDEX(tbl_IngrédientsRef[Prix/Uni Base], MATCH(tbl_Stock[[#This Row],[Cde_Ingrdt]], tbl_IngrédientsRef[Cde_Ingrdt], 0))</f>
        <v>90</v>
      </c>
      <c r="G187">
        <f>SUMIF(tbl_Achats[Cde_Ingrdt],tbl_Stock[[#This Row],[Cde_Ingrdt]],tbl_Achats[Qté d''Achat])</f>
        <v>0</v>
      </c>
      <c r="H187" s="21">
        <f t="array" ref="H187">SUMPRODUCT((tbl_Achats[Cde_Ingrdt]=tbl_Stock[[#This Row],[Cde_Ingrdt]]) * tbl_Achats[Qté d''Achat] * tbl_Achats[Prix Achat Unitaire])</f>
        <v>0</v>
      </c>
      <c r="I187">
        <v>230</v>
      </c>
      <c r="J187" s="21">
        <f ca="1">tbl_Stock[[#This Row],[Stock Courant]] * tbl_Stock[[#This Row],[CMP effectif]]</f>
        <v>90</v>
      </c>
      <c r="K187">
        <f ca="1">tbl_Stock[[#This Row],[Stock Départ]] + SUMIF(tbl_Achats[Cde_Ingrdt],tbl_Stock[[#This Row],[Cde_Ingrdt]],tbl_Achats[[#This Row],[Qté d''Achat]])</f>
        <v>1500</v>
      </c>
      <c r="L187" s="7">
        <f ca="1">IFERROR((tbl_Stock[[#This Row],[Valeur stock initiale]] + tbl_Stock[[#This Row],[ Valeur Achat]]) / tbl_Stock[[#This Row],[Quantité totale]], 0)</f>
        <v>0.06</v>
      </c>
      <c r="M187" s="7">
        <f>SUMIF(tbl_Sorties[[Code ingrédient ]], tbl_Stock[[#This Row],[Cde_Ingrdt]], tbl_Sorties[Qté Sortie])</f>
        <v>0</v>
      </c>
      <c r="N187" s="57">
        <f>tbl_Stock[[#This Row],[Stock Départ]] + tbl_Stock[[#This Row],[Achats Cumulées]] - tbl_Stock[[#This Row],[ Sortie cumulée]]</f>
        <v>1500</v>
      </c>
      <c r="O187">
        <v>100</v>
      </c>
      <c r="P187" t="str">
        <f>IF(tbl_Stock[[#This Row],[Stock Courant]] &lt; tbl_Stock[[#This Row],[Seuil critique]], "⚠️ Alerte", "OK")</f>
        <v>OK</v>
      </c>
    </row>
    <row r="188" spans="1:16" x14ac:dyDescent="0.25">
      <c r="A188" t="str">
        <f>IFERROR(VLOOKUP(B188,Référentiels!$M$2:$N$267,2,FALSE),"Ingrédient non trouvé")</f>
        <v>CDM013</v>
      </c>
      <c r="B188" t="str">
        <f>+tbl_IngrédientsRef[[#This Row],[Ingrédient]]</f>
        <v>Bouillon De Poisson</v>
      </c>
      <c r="C188" t="str">
        <f>INDEX(tbl_IngrédientsRef[Unité], MATCH(A188, tbl_IngrédientsRef[Cde_Ingrdt],0))</f>
        <v>Pièce</v>
      </c>
      <c r="D188" s="21">
        <f>IFERROR(INDEX(tbl_IngrédientsRef[[#This Row],[PU_effectif_g/ml]], MATCH(tbl_Stock[[#This Row],[Cde_Ingrdt]], tbl_IngrédientsRef[[#This Row],[Cde_Ingrdt]], 0)), 0)</f>
        <v>1</v>
      </c>
      <c r="E188">
        <v>1500</v>
      </c>
      <c r="F188" s="57">
        <f>tbl_Stock[[#This Row],[Stock Départ]] * INDEX(tbl_IngrédientsRef[Prix/Uni Base], MATCH(tbl_Stock[[#This Row],[Cde_Ingrdt]], tbl_IngrédientsRef[Cde_Ingrdt], 0))</f>
        <v>1500</v>
      </c>
      <c r="G188">
        <f>SUMIF(tbl_Achats[Cde_Ingrdt],tbl_Stock[[#This Row],[Cde_Ingrdt]],tbl_Achats[Qté d''Achat])</f>
        <v>0</v>
      </c>
      <c r="H188" s="21">
        <f t="array" ref="H188">SUMPRODUCT((tbl_Achats[Cde_Ingrdt]=tbl_Stock[[#This Row],[Cde_Ingrdt]]) * tbl_Achats[Qté d''Achat] * tbl_Achats[Prix Achat Unitaire])</f>
        <v>0</v>
      </c>
      <c r="I188">
        <v>300</v>
      </c>
      <c r="J188" s="21">
        <f ca="1">tbl_Stock[[#This Row],[Stock Courant]] * tbl_Stock[[#This Row],[CMP effectif]]</f>
        <v>1500</v>
      </c>
      <c r="K188">
        <f ca="1">tbl_Stock[[#This Row],[Stock Départ]] + SUMIF(tbl_Achats[Cde_Ingrdt],tbl_Stock[[#This Row],[Cde_Ingrdt]],tbl_Achats[[#This Row],[Qté d''Achat]])</f>
        <v>1500</v>
      </c>
      <c r="L188" s="7">
        <f ca="1">IFERROR((tbl_Stock[[#This Row],[Valeur stock initiale]] + tbl_Stock[[#This Row],[ Valeur Achat]]) / tbl_Stock[[#This Row],[Quantité totale]], 0)</f>
        <v>1</v>
      </c>
      <c r="M188" s="7">
        <f>SUMIF(tbl_Sorties[[Code ingrédient ]], tbl_Stock[[#This Row],[Cde_Ingrdt]], tbl_Sorties[Qté Sortie])</f>
        <v>0</v>
      </c>
      <c r="N188" s="57">
        <f>tbl_Stock[[#This Row],[Stock Départ]] + tbl_Stock[[#This Row],[Achats Cumulées]] - tbl_Stock[[#This Row],[ Sortie cumulée]]</f>
        <v>1500</v>
      </c>
      <c r="O188">
        <v>100</v>
      </c>
      <c r="P188" t="str">
        <f>IF(tbl_Stock[[#This Row],[Stock Courant]] &lt; tbl_Stock[[#This Row],[Seuil critique]], "⚠️ Alerte", "OK")</f>
        <v>OK</v>
      </c>
    </row>
    <row r="189" spans="1:16" x14ac:dyDescent="0.25">
      <c r="A189" t="str">
        <f>IFERROR(VLOOKUP(B189,Référentiels!$M$2:$N$267,2,FALSE),"Ingrédient non trouvé")</f>
        <v>CDM014</v>
      </c>
      <c r="B189" t="str">
        <f>+tbl_IngrédientsRef[[#This Row],[Ingrédient]]</f>
        <v>Bouillon De Volaille</v>
      </c>
      <c r="C189" t="str">
        <f>INDEX(tbl_IngrédientsRef[Unité], MATCH(A189, tbl_IngrédientsRef[Cde_Ingrdt],0))</f>
        <v>Pièce</v>
      </c>
      <c r="D189" s="21">
        <f>IFERROR(INDEX(tbl_IngrédientsRef[[#This Row],[PU_effectif_g/ml]], MATCH(tbl_Stock[[#This Row],[Cde_Ingrdt]], tbl_IngrédientsRef[[#This Row],[Cde_Ingrdt]], 0)), 0)</f>
        <v>1</v>
      </c>
      <c r="E189">
        <v>1500</v>
      </c>
      <c r="F189" s="57">
        <f>tbl_Stock[[#This Row],[Stock Départ]] * INDEX(tbl_IngrédientsRef[Prix/Uni Base], MATCH(tbl_Stock[[#This Row],[Cde_Ingrdt]], tbl_IngrédientsRef[Cde_Ingrdt], 0))</f>
        <v>1500</v>
      </c>
      <c r="G189">
        <f>SUMIF(tbl_Achats[Cde_Ingrdt],tbl_Stock[[#This Row],[Cde_Ingrdt]],tbl_Achats[Qté d''Achat])</f>
        <v>0</v>
      </c>
      <c r="H189" s="21">
        <f t="array" ref="H189">SUMPRODUCT((tbl_Achats[Cde_Ingrdt]=tbl_Stock[[#This Row],[Cde_Ingrdt]]) * tbl_Achats[Qté d''Achat] * tbl_Achats[Prix Achat Unitaire])</f>
        <v>0</v>
      </c>
      <c r="I189">
        <v>340</v>
      </c>
      <c r="J189" s="21">
        <f ca="1">tbl_Stock[[#This Row],[Stock Courant]] * tbl_Stock[[#This Row],[CMP effectif]]</f>
        <v>1500</v>
      </c>
      <c r="K189">
        <f ca="1">tbl_Stock[[#This Row],[Stock Départ]] + SUMIF(tbl_Achats[Cde_Ingrdt],tbl_Stock[[#This Row],[Cde_Ingrdt]],tbl_Achats[[#This Row],[Qté d''Achat]])</f>
        <v>1500</v>
      </c>
      <c r="L189" s="7">
        <f ca="1">IFERROR((tbl_Stock[[#This Row],[Valeur stock initiale]] + tbl_Stock[[#This Row],[ Valeur Achat]]) / tbl_Stock[[#This Row],[Quantité totale]], 0)</f>
        <v>1</v>
      </c>
      <c r="M189" s="7">
        <f>SUMIF(tbl_Sorties[[Code ingrédient ]], tbl_Stock[[#This Row],[Cde_Ingrdt]], tbl_Sorties[Qté Sortie])</f>
        <v>0</v>
      </c>
      <c r="N189" s="57">
        <f>tbl_Stock[[#This Row],[Stock Départ]] + tbl_Stock[[#This Row],[Achats Cumulées]] - tbl_Stock[[#This Row],[ Sortie cumulée]]</f>
        <v>1500</v>
      </c>
      <c r="O189">
        <v>100</v>
      </c>
      <c r="P189" t="str">
        <f>IF(tbl_Stock[[#This Row],[Stock Courant]] &lt; tbl_Stock[[#This Row],[Seuil critique]], "⚠️ Alerte", "OK")</f>
        <v>OK</v>
      </c>
    </row>
    <row r="190" spans="1:16" x14ac:dyDescent="0.25">
      <c r="A190" t="str">
        <f>IFERROR(VLOOKUP(B190,Référentiels!$M$2:$N$267,2,FALSE),"Ingrédient non trouvé")</f>
        <v>CDM015</v>
      </c>
      <c r="B190" t="str">
        <f>+tbl_IngrédientsRef[[#This Row],[Ingrédient]]</f>
        <v>Fruits Secs</v>
      </c>
      <c r="C190" t="str">
        <f>INDEX(tbl_IngrédientsRef[Unité], MATCH(A190, tbl_IngrédientsRef[Cde_Ingrdt],0))</f>
        <v>g</v>
      </c>
      <c r="D190" s="21">
        <f>IFERROR(INDEX(tbl_IngrédientsRef[[#This Row],[PU_effectif_g/ml]], MATCH(tbl_Stock[[#This Row],[Cde_Ingrdt]], tbl_IngrédientsRef[[#This Row],[Cde_Ingrdt]], 0)), 0)</f>
        <v>0.15</v>
      </c>
      <c r="E190">
        <v>1500</v>
      </c>
      <c r="F190" s="57">
        <f>tbl_Stock[[#This Row],[Stock Départ]] * INDEX(tbl_IngrédientsRef[Prix/Uni Base], MATCH(tbl_Stock[[#This Row],[Cde_Ingrdt]], tbl_IngrédientsRef[Cde_Ingrdt], 0))</f>
        <v>225</v>
      </c>
      <c r="G190">
        <f>SUMIF(tbl_Achats[Cde_Ingrdt],tbl_Stock[[#This Row],[Cde_Ingrdt]],tbl_Achats[Qté d''Achat])</f>
        <v>0</v>
      </c>
      <c r="H190" s="21">
        <f t="array" ref="H190">SUMPRODUCT((tbl_Achats[Cde_Ingrdt]=tbl_Stock[[#This Row],[Cde_Ingrdt]]) * tbl_Achats[Qté d''Achat] * tbl_Achats[Prix Achat Unitaire])</f>
        <v>0</v>
      </c>
      <c r="I190">
        <v>250</v>
      </c>
      <c r="J190" s="21">
        <f ca="1">tbl_Stock[[#This Row],[Stock Courant]] * tbl_Stock[[#This Row],[CMP effectif]]</f>
        <v>225</v>
      </c>
      <c r="K190">
        <f ca="1">tbl_Stock[[#This Row],[Stock Départ]] + SUMIF(tbl_Achats[Cde_Ingrdt],tbl_Stock[[#This Row],[Cde_Ingrdt]],tbl_Achats[[#This Row],[Qté d''Achat]])</f>
        <v>1500</v>
      </c>
      <c r="L190" s="7">
        <f ca="1">IFERROR((tbl_Stock[[#This Row],[Valeur stock initiale]] + tbl_Stock[[#This Row],[ Valeur Achat]]) / tbl_Stock[[#This Row],[Quantité totale]], 0)</f>
        <v>0.15</v>
      </c>
      <c r="M190" s="7">
        <f>SUMIF(tbl_Sorties[[Code ingrédient ]], tbl_Stock[[#This Row],[Cde_Ingrdt]], tbl_Sorties[Qté Sortie])</f>
        <v>0</v>
      </c>
      <c r="N190" s="57">
        <f>tbl_Stock[[#This Row],[Stock Départ]] + tbl_Stock[[#This Row],[Achats Cumulées]] - tbl_Stock[[#This Row],[ Sortie cumulée]]</f>
        <v>1500</v>
      </c>
      <c r="O190">
        <v>100</v>
      </c>
      <c r="P190" t="str">
        <f>IF(tbl_Stock[[#This Row],[Stock Courant]] &lt; tbl_Stock[[#This Row],[Seuil critique]], "⚠️ Alerte", "OK")</f>
        <v>OK</v>
      </c>
    </row>
    <row r="191" spans="1:16" x14ac:dyDescent="0.25">
      <c r="A191" t="str">
        <f>IFERROR(VLOOKUP(B191,Référentiels!$M$2:$N$267,2,FALSE),"Ingrédient non trouvé")</f>
        <v>CDM016</v>
      </c>
      <c r="B191" t="str">
        <f>+tbl_IngrédientsRef[[#This Row],[Ingrédient]]</f>
        <v>Noisettes</v>
      </c>
      <c r="C191" t="str">
        <f>INDEX(tbl_IngrédientsRef[Unité], MATCH(A191, tbl_IngrédientsRef[Cde_Ingrdt],0))</f>
        <v>g</v>
      </c>
      <c r="D191" s="21">
        <f>IFERROR(INDEX(tbl_IngrédientsRef[[#This Row],[PU_effectif_g/ml]], MATCH(tbl_Stock[[#This Row],[Cde_Ingrdt]], tbl_IngrédientsRef[[#This Row],[Cde_Ingrdt]], 0)), 0)</f>
        <v>0.31</v>
      </c>
      <c r="E191">
        <v>1500</v>
      </c>
      <c r="F191" s="57">
        <f>tbl_Stock[[#This Row],[Stock Départ]] * INDEX(tbl_IngrédientsRef[Prix/Uni Base], MATCH(tbl_Stock[[#This Row],[Cde_Ingrdt]], tbl_IngrédientsRef[Cde_Ingrdt], 0))</f>
        <v>465</v>
      </c>
      <c r="G191">
        <f>SUMIF(tbl_Achats[Cde_Ingrdt],tbl_Stock[[#This Row],[Cde_Ingrdt]],tbl_Achats[Qté d''Achat])</f>
        <v>0</v>
      </c>
      <c r="H191" s="21">
        <f t="array" ref="H191">SUMPRODUCT((tbl_Achats[Cde_Ingrdt]=tbl_Stock[[#This Row],[Cde_Ingrdt]]) * tbl_Achats[Qté d''Achat] * tbl_Achats[Prix Achat Unitaire])</f>
        <v>0</v>
      </c>
      <c r="I191">
        <v>230</v>
      </c>
      <c r="J191" s="21">
        <f ca="1">tbl_Stock[[#This Row],[Stock Courant]] * tbl_Stock[[#This Row],[CMP effectif]]</f>
        <v>465</v>
      </c>
      <c r="K191">
        <f ca="1">tbl_Stock[[#This Row],[Stock Départ]] + SUMIF(tbl_Achats[Cde_Ingrdt],tbl_Stock[[#This Row],[Cde_Ingrdt]],tbl_Achats[[#This Row],[Qté d''Achat]])</f>
        <v>1500</v>
      </c>
      <c r="L191" s="7">
        <f ca="1">IFERROR((tbl_Stock[[#This Row],[Valeur stock initiale]] + tbl_Stock[[#This Row],[ Valeur Achat]]) / tbl_Stock[[#This Row],[Quantité totale]], 0)</f>
        <v>0.31</v>
      </c>
      <c r="M191" s="7">
        <f>SUMIF(tbl_Sorties[[Code ingrédient ]], tbl_Stock[[#This Row],[Cde_Ingrdt]], tbl_Sorties[Qté Sortie])</f>
        <v>0</v>
      </c>
      <c r="N191" s="57">
        <f>tbl_Stock[[#This Row],[Stock Départ]] + tbl_Stock[[#This Row],[Achats Cumulées]] - tbl_Stock[[#This Row],[ Sortie cumulée]]</f>
        <v>1500</v>
      </c>
      <c r="O191">
        <v>100</v>
      </c>
      <c r="P191" t="str">
        <f>IF(tbl_Stock[[#This Row],[Stock Courant]] &lt; tbl_Stock[[#This Row],[Seuil critique]], "⚠️ Alerte", "OK")</f>
        <v>OK</v>
      </c>
    </row>
    <row r="192" spans="1:16" x14ac:dyDescent="0.25">
      <c r="A192" t="str">
        <f>IFERROR(VLOOKUP(B192,Référentiels!$M$2:$N$267,2,FALSE),"Ingrédient non trouvé")</f>
        <v>CDM017</v>
      </c>
      <c r="B192" t="str">
        <f>+tbl_IngrédientsRef[[#This Row],[Ingrédient]]</f>
        <v>Biscuit Cuillère</v>
      </c>
      <c r="C192" t="str">
        <f>INDEX(tbl_IngrédientsRef[Unité], MATCH(A192, tbl_IngrédientsRef[Cde_Ingrdt],0))</f>
        <v>Pièce</v>
      </c>
      <c r="D192" s="21">
        <f>IFERROR(INDEX(tbl_IngrédientsRef[[#This Row],[PU_effectif_g/ml]], MATCH(tbl_Stock[[#This Row],[Cde_Ingrdt]], tbl_IngrédientsRef[[#This Row],[Cde_Ingrdt]], 0)), 0)</f>
        <v>0.5</v>
      </c>
      <c r="E192">
        <v>1500</v>
      </c>
      <c r="F192" s="57">
        <f>tbl_Stock[[#This Row],[Stock Départ]] * INDEX(tbl_IngrédientsRef[Prix/Uni Base], MATCH(tbl_Stock[[#This Row],[Cde_Ingrdt]], tbl_IngrédientsRef[Cde_Ingrdt], 0))</f>
        <v>750</v>
      </c>
      <c r="G192">
        <f>SUMIF(tbl_Achats[Cde_Ingrdt],tbl_Stock[[#This Row],[Cde_Ingrdt]],tbl_Achats[Qté d''Achat])</f>
        <v>0</v>
      </c>
      <c r="H192" s="21">
        <f t="array" ref="H192">SUMPRODUCT((tbl_Achats[Cde_Ingrdt]=tbl_Stock[[#This Row],[Cde_Ingrdt]]) * tbl_Achats[Qté d''Achat] * tbl_Achats[Prix Achat Unitaire])</f>
        <v>0</v>
      </c>
      <c r="I192">
        <v>300</v>
      </c>
      <c r="J192" s="21">
        <f ca="1">tbl_Stock[[#This Row],[Stock Courant]] * tbl_Stock[[#This Row],[CMP effectif]]</f>
        <v>750</v>
      </c>
      <c r="K192">
        <f ca="1">tbl_Stock[[#This Row],[Stock Départ]] + SUMIF(tbl_Achats[Cde_Ingrdt],tbl_Stock[[#This Row],[Cde_Ingrdt]],tbl_Achats[[#This Row],[Qté d''Achat]])</f>
        <v>1500</v>
      </c>
      <c r="L192" s="7">
        <f ca="1">IFERROR((tbl_Stock[[#This Row],[Valeur stock initiale]] + tbl_Stock[[#This Row],[ Valeur Achat]]) / tbl_Stock[[#This Row],[Quantité totale]], 0)</f>
        <v>0.5</v>
      </c>
      <c r="M192" s="7">
        <f>SUMIF(tbl_Sorties[[Code ingrédient ]], tbl_Stock[[#This Row],[Cde_Ingrdt]], tbl_Sorties[Qté Sortie])</f>
        <v>0</v>
      </c>
      <c r="N192" s="57">
        <f>tbl_Stock[[#This Row],[Stock Départ]] + tbl_Stock[[#This Row],[Achats Cumulées]] - tbl_Stock[[#This Row],[ Sortie cumulée]]</f>
        <v>1500</v>
      </c>
      <c r="O192">
        <v>100</v>
      </c>
      <c r="P192" t="str">
        <f>IF(tbl_Stock[[#This Row],[Stock Courant]] &lt; tbl_Stock[[#This Row],[Seuil critique]], "⚠️ Alerte", "OK")</f>
        <v>OK</v>
      </c>
    </row>
    <row r="193" spans="1:16" x14ac:dyDescent="0.25">
      <c r="A193" t="str">
        <f>IFERROR(VLOOKUP(B193,Référentiels!$M$2:$N$267,2,FALSE),"Ingrédient non trouvé")</f>
        <v>CDM018</v>
      </c>
      <c r="B193" t="str">
        <f>+tbl_IngrédientsRef[[#This Row],[Ingrédient]]</f>
        <v>Quinoa</v>
      </c>
      <c r="C193" t="str">
        <f>INDEX(tbl_IngrédientsRef[Unité], MATCH(A193, tbl_IngrédientsRef[Cde_Ingrdt],0))</f>
        <v>g</v>
      </c>
      <c r="D193" s="21">
        <f>IFERROR(INDEX(tbl_IngrédientsRef[[#This Row],[PU_effectif_g/ml]], MATCH(tbl_Stock[[#This Row],[Cde_Ingrdt]], tbl_IngrédientsRef[[#This Row],[Cde_Ingrdt]], 0)), 0)</f>
        <v>0.1</v>
      </c>
      <c r="E193">
        <v>1500</v>
      </c>
      <c r="F193" s="57">
        <f>tbl_Stock[[#This Row],[Stock Départ]] * INDEX(tbl_IngrédientsRef[Prix/Uni Base], MATCH(tbl_Stock[[#This Row],[Cde_Ingrdt]], tbl_IngrédientsRef[Cde_Ingrdt], 0))</f>
        <v>150</v>
      </c>
      <c r="G193">
        <f>SUMIF(tbl_Achats[Cde_Ingrdt],tbl_Stock[[#This Row],[Cde_Ingrdt]],tbl_Achats[Qté d''Achat])</f>
        <v>0</v>
      </c>
      <c r="H193" s="21">
        <f t="array" ref="H193">SUMPRODUCT((tbl_Achats[Cde_Ingrdt]=tbl_Stock[[#This Row],[Cde_Ingrdt]]) * tbl_Achats[Qté d''Achat] * tbl_Achats[Prix Achat Unitaire])</f>
        <v>0</v>
      </c>
      <c r="I193">
        <v>340</v>
      </c>
      <c r="J193" s="21">
        <f ca="1">tbl_Stock[[#This Row],[Stock Courant]] * tbl_Stock[[#This Row],[CMP effectif]]</f>
        <v>150</v>
      </c>
      <c r="K193">
        <f ca="1">tbl_Stock[[#This Row],[Stock Départ]] + SUMIF(tbl_Achats[Cde_Ingrdt],tbl_Stock[[#This Row],[Cde_Ingrdt]],tbl_Achats[[#This Row],[Qté d''Achat]])</f>
        <v>1500</v>
      </c>
      <c r="L193" s="7">
        <f ca="1">IFERROR((tbl_Stock[[#This Row],[Valeur stock initiale]] + tbl_Stock[[#This Row],[ Valeur Achat]]) / tbl_Stock[[#This Row],[Quantité totale]], 0)</f>
        <v>0.1</v>
      </c>
      <c r="M193" s="7">
        <f>SUMIF(tbl_Sorties[[Code ingrédient ]], tbl_Stock[[#This Row],[Cde_Ingrdt]], tbl_Sorties[Qté Sortie])</f>
        <v>0</v>
      </c>
      <c r="N193" s="57">
        <f>tbl_Stock[[#This Row],[Stock Départ]] + tbl_Stock[[#This Row],[Achats Cumulées]] - tbl_Stock[[#This Row],[ Sortie cumulée]]</f>
        <v>1500</v>
      </c>
      <c r="O193">
        <v>100</v>
      </c>
      <c r="P193" t="str">
        <f>IF(tbl_Stock[[#This Row],[Stock Courant]] &lt; tbl_Stock[[#This Row],[Seuil critique]], "⚠️ Alerte", "OK")</f>
        <v>OK</v>
      </c>
    </row>
    <row r="194" spans="1:16" x14ac:dyDescent="0.25">
      <c r="A194" t="str">
        <f>IFERROR(VLOOKUP(B194,Référentiels!$M$2:$N$267,2,FALSE),"Ingrédient non trouvé")</f>
        <v>CDM019</v>
      </c>
      <c r="B194" t="str">
        <f>+tbl_IngrédientsRef[[#This Row],[Ingrédient]]</f>
        <v>Pruneau Sec</v>
      </c>
      <c r="C194" t="str">
        <f>INDEX(tbl_IngrédientsRef[Unité], MATCH(A194, tbl_IngrédientsRef[Cde_Ingrdt],0))</f>
        <v>g</v>
      </c>
      <c r="D194" s="21">
        <f>IFERROR(INDEX(tbl_IngrédientsRef[[#This Row],[PU_effectif_g/ml]], MATCH(tbl_Stock[[#This Row],[Cde_Ingrdt]], tbl_IngrédientsRef[[#This Row],[Cde_Ingrdt]], 0)), 0)</f>
        <v>0.06</v>
      </c>
      <c r="E194">
        <v>1500</v>
      </c>
      <c r="F194" s="57">
        <f>tbl_Stock[[#This Row],[Stock Départ]] * INDEX(tbl_IngrédientsRef[Prix/Uni Base], MATCH(tbl_Stock[[#This Row],[Cde_Ingrdt]], tbl_IngrédientsRef[Cde_Ingrdt], 0))</f>
        <v>90</v>
      </c>
      <c r="G194">
        <f>SUMIF(tbl_Achats[Cde_Ingrdt],tbl_Stock[[#This Row],[Cde_Ingrdt]],tbl_Achats[Qté d''Achat])</f>
        <v>0</v>
      </c>
      <c r="H194" s="21">
        <f t="array" ref="H194">SUMPRODUCT((tbl_Achats[Cde_Ingrdt]=tbl_Stock[[#This Row],[Cde_Ingrdt]]) * tbl_Achats[Qté d''Achat] * tbl_Achats[Prix Achat Unitaire])</f>
        <v>0</v>
      </c>
      <c r="I194">
        <v>250</v>
      </c>
      <c r="J194" s="21">
        <f ca="1">tbl_Stock[[#This Row],[Stock Courant]] * tbl_Stock[[#This Row],[CMP effectif]]</f>
        <v>90</v>
      </c>
      <c r="K194">
        <f ca="1">tbl_Stock[[#This Row],[Stock Départ]] + SUMIF(tbl_Achats[Cde_Ingrdt],tbl_Stock[[#This Row],[Cde_Ingrdt]],tbl_Achats[[#This Row],[Qté d''Achat]])</f>
        <v>1500</v>
      </c>
      <c r="L194" s="7">
        <f ca="1">IFERROR((tbl_Stock[[#This Row],[Valeur stock initiale]] + tbl_Stock[[#This Row],[ Valeur Achat]]) / tbl_Stock[[#This Row],[Quantité totale]], 0)</f>
        <v>0.06</v>
      </c>
      <c r="M194" s="7">
        <f>SUMIF(tbl_Sorties[[Code ingrédient ]], tbl_Stock[[#This Row],[Cde_Ingrdt]], tbl_Sorties[Qté Sortie])</f>
        <v>0</v>
      </c>
      <c r="N194" s="57">
        <f>tbl_Stock[[#This Row],[Stock Départ]] + tbl_Stock[[#This Row],[Achats Cumulées]] - tbl_Stock[[#This Row],[ Sortie cumulée]]</f>
        <v>1500</v>
      </c>
      <c r="O194">
        <v>100</v>
      </c>
      <c r="P194" t="str">
        <f>IF(tbl_Stock[[#This Row],[Stock Courant]] &lt; tbl_Stock[[#This Row],[Seuil critique]], "⚠️ Alerte", "OK")</f>
        <v>OK</v>
      </c>
    </row>
    <row r="195" spans="1:16" x14ac:dyDescent="0.25">
      <c r="A195" t="str">
        <f>IFERROR(VLOOKUP(B195,Référentiels!$M$2:$N$267,2,FALSE),"Ingrédient non trouvé")</f>
        <v>CDM020</v>
      </c>
      <c r="B195" t="str">
        <f>+tbl_IngrédientsRef[[#This Row],[Ingrédient]]</f>
        <v>Huile D’Olive</v>
      </c>
      <c r="C195" t="str">
        <f>INDEX(tbl_IngrédientsRef[Unité], MATCH(A195, tbl_IngrédientsRef[Cde_Ingrdt],0))</f>
        <v>ml</v>
      </c>
      <c r="D195" s="21">
        <f>IFERROR(INDEX(tbl_IngrédientsRef[[#This Row],[PU_effectif_g/ml]], MATCH(tbl_Stock[[#This Row],[Cde_Ingrdt]], tbl_IngrédientsRef[[#This Row],[Cde_Ingrdt]], 0)), 0)</f>
        <v>0.09</v>
      </c>
      <c r="E195">
        <v>1500</v>
      </c>
      <c r="F195" s="57">
        <f>tbl_Stock[[#This Row],[Stock Départ]] * INDEX(tbl_IngrédientsRef[Prix/Uni Base], MATCH(tbl_Stock[[#This Row],[Cde_Ingrdt]], tbl_IngrédientsRef[Cde_Ingrdt], 0))</f>
        <v>135</v>
      </c>
      <c r="G195">
        <f>SUMIF(tbl_Achats[Cde_Ingrdt],tbl_Stock[[#This Row],[Cde_Ingrdt]],tbl_Achats[Qté d''Achat])</f>
        <v>0</v>
      </c>
      <c r="H195" s="21">
        <f t="array" ref="H195">SUMPRODUCT((tbl_Achats[Cde_Ingrdt]=tbl_Stock[[#This Row],[Cde_Ingrdt]]) * tbl_Achats[Qté d''Achat] * tbl_Achats[Prix Achat Unitaire])</f>
        <v>0</v>
      </c>
      <c r="I195">
        <v>230</v>
      </c>
      <c r="J195" s="21">
        <f ca="1">tbl_Stock[[#This Row],[Stock Courant]] * tbl_Stock[[#This Row],[CMP effectif]]</f>
        <v>135</v>
      </c>
      <c r="K195">
        <f ca="1">tbl_Stock[[#This Row],[Stock Départ]] + SUMIF(tbl_Achats[Cde_Ingrdt],tbl_Stock[[#This Row],[Cde_Ingrdt]],tbl_Achats[[#This Row],[Qté d''Achat]])</f>
        <v>1500</v>
      </c>
      <c r="L195" s="7">
        <f ca="1">IFERROR((tbl_Stock[[#This Row],[Valeur stock initiale]] + tbl_Stock[[#This Row],[ Valeur Achat]]) / tbl_Stock[[#This Row],[Quantité totale]], 0)</f>
        <v>0.09</v>
      </c>
      <c r="M195" s="7">
        <f>SUMIF(tbl_Sorties[[Code ingrédient ]], tbl_Stock[[#This Row],[Cde_Ingrdt]], tbl_Sorties[Qté Sortie])</f>
        <v>0</v>
      </c>
      <c r="N195" s="57">
        <f>tbl_Stock[[#This Row],[Stock Départ]] + tbl_Stock[[#This Row],[Achats Cumulées]] - tbl_Stock[[#This Row],[ Sortie cumulée]]</f>
        <v>1500</v>
      </c>
      <c r="O195">
        <v>100</v>
      </c>
      <c r="P195" t="str">
        <f>IF(tbl_Stock[[#This Row],[Stock Courant]] &lt; tbl_Stock[[#This Row],[Seuil critique]], "⚠️ Alerte", "OK")</f>
        <v>OK</v>
      </c>
    </row>
    <row r="196" spans="1:16" x14ac:dyDescent="0.25">
      <c r="A196" t="str">
        <f>IFERROR(VLOOKUP(B196,Référentiels!$M$2:$N$267,2,FALSE),"Ingrédient non trouvé")</f>
        <v>CDM021</v>
      </c>
      <c r="B196" t="str">
        <f>+tbl_IngrédientsRef[[#This Row],[Ingrédient]]</f>
        <v>Tapenade D'Olive</v>
      </c>
      <c r="C196" t="str">
        <f>INDEX(tbl_IngrédientsRef[Unité], MATCH(A196, tbl_IngrédientsRef[Cde_Ingrdt],0))</f>
        <v>g</v>
      </c>
      <c r="D196" s="21">
        <f>IFERROR(INDEX(tbl_IngrédientsRef[[#This Row],[PU_effectif_g/ml]], MATCH(tbl_Stock[[#This Row],[Cde_Ingrdt]], tbl_IngrédientsRef[[#This Row],[Cde_Ingrdt]], 0)), 0)</f>
        <v>0.1</v>
      </c>
      <c r="E196">
        <v>1500</v>
      </c>
      <c r="F196" s="57">
        <f>tbl_Stock[[#This Row],[Stock Départ]] * INDEX(tbl_IngrédientsRef[Prix/Uni Base], MATCH(tbl_Stock[[#This Row],[Cde_Ingrdt]], tbl_IngrédientsRef[Cde_Ingrdt], 0))</f>
        <v>150</v>
      </c>
      <c r="G196">
        <f>SUMIF(tbl_Achats[Cde_Ingrdt],tbl_Stock[[#This Row],[Cde_Ingrdt]],tbl_Achats[Qté d''Achat])</f>
        <v>0</v>
      </c>
      <c r="H196" s="21">
        <f t="array" ref="H196">SUMPRODUCT((tbl_Achats[Cde_Ingrdt]=tbl_Stock[[#This Row],[Cde_Ingrdt]]) * tbl_Achats[Qté d''Achat] * tbl_Achats[Prix Achat Unitaire])</f>
        <v>0</v>
      </c>
      <c r="I196">
        <v>300</v>
      </c>
      <c r="J196" s="21">
        <f ca="1">tbl_Stock[[#This Row],[Stock Courant]] * tbl_Stock[[#This Row],[CMP effectif]]</f>
        <v>150</v>
      </c>
      <c r="K196">
        <f ca="1">tbl_Stock[[#This Row],[Stock Départ]] + SUMIF(tbl_Achats[Cde_Ingrdt],tbl_Stock[[#This Row],[Cde_Ingrdt]],tbl_Achats[[#This Row],[Qté d''Achat]])</f>
        <v>1500</v>
      </c>
      <c r="L196" s="7">
        <f ca="1">IFERROR((tbl_Stock[[#This Row],[Valeur stock initiale]] + tbl_Stock[[#This Row],[ Valeur Achat]]) / tbl_Stock[[#This Row],[Quantité totale]], 0)</f>
        <v>0.1</v>
      </c>
      <c r="M196" s="7">
        <f>SUMIF(tbl_Sorties[[Code ingrédient ]], tbl_Stock[[#This Row],[Cde_Ingrdt]], tbl_Sorties[Qté Sortie])</f>
        <v>0</v>
      </c>
      <c r="N196" s="57">
        <f>tbl_Stock[[#This Row],[Stock Départ]] + tbl_Stock[[#This Row],[Achats Cumulées]] - tbl_Stock[[#This Row],[ Sortie cumulée]]</f>
        <v>1500</v>
      </c>
      <c r="O196">
        <v>100</v>
      </c>
      <c r="P196" t="str">
        <f>IF(tbl_Stock[[#This Row],[Stock Courant]] &lt; tbl_Stock[[#This Row],[Seuil critique]], "⚠️ Alerte", "OK")</f>
        <v>OK</v>
      </c>
    </row>
    <row r="197" spans="1:16" x14ac:dyDescent="0.25">
      <c r="A197" t="str">
        <f>IFERROR(VLOOKUP(B197,Référentiels!$M$2:$N$267,2,FALSE),"Ingrédient non trouvé")</f>
        <v>SOS001</v>
      </c>
      <c r="B197" t="str">
        <f>+tbl_IngrédientsRef[[#This Row],[Ingrédient]]</f>
        <v>Sauce Caramel</v>
      </c>
      <c r="C197" t="str">
        <f>INDEX(tbl_IngrédientsRef[Unité], MATCH(A197, tbl_IngrédientsRef[Cde_Ingrdt],0))</f>
        <v>ml</v>
      </c>
      <c r="D197" s="21">
        <f>IFERROR(INDEX(tbl_IngrédientsRef[[#This Row],[PU_effectif_g/ml]], MATCH(tbl_Stock[[#This Row],[Cde_Ingrdt]], tbl_IngrédientsRef[[#This Row],[Cde_Ingrdt]], 0)), 0)</f>
        <v>0.15</v>
      </c>
      <c r="E197">
        <v>1500</v>
      </c>
      <c r="F197" s="57">
        <f>tbl_Stock[[#This Row],[Stock Départ]] * INDEX(tbl_IngrédientsRef[Prix/Uni Base], MATCH(tbl_Stock[[#This Row],[Cde_Ingrdt]], tbl_IngrédientsRef[Cde_Ingrdt], 0))</f>
        <v>225</v>
      </c>
      <c r="G197">
        <f>SUMIF(tbl_Achats[Cde_Ingrdt],tbl_Stock[[#This Row],[Cde_Ingrdt]],tbl_Achats[Qté d''Achat])</f>
        <v>0</v>
      </c>
      <c r="H197" s="21">
        <f t="array" ref="H197">SUMPRODUCT((tbl_Achats[Cde_Ingrdt]=tbl_Stock[[#This Row],[Cde_Ingrdt]]) * tbl_Achats[Qté d''Achat] * tbl_Achats[Prix Achat Unitaire])</f>
        <v>0</v>
      </c>
      <c r="I197">
        <v>340</v>
      </c>
      <c r="J197" s="21">
        <f ca="1">tbl_Stock[[#This Row],[Stock Courant]] * tbl_Stock[[#This Row],[CMP effectif]]</f>
        <v>225</v>
      </c>
      <c r="K197">
        <f ca="1">tbl_Stock[[#This Row],[Stock Départ]] + SUMIF(tbl_Achats[Cde_Ingrdt],tbl_Stock[[#This Row],[Cde_Ingrdt]],tbl_Achats[[#This Row],[Qté d''Achat]])</f>
        <v>1500</v>
      </c>
      <c r="L197" s="7">
        <f ca="1">IFERROR((tbl_Stock[[#This Row],[Valeur stock initiale]] + tbl_Stock[[#This Row],[ Valeur Achat]]) / tbl_Stock[[#This Row],[Quantité totale]], 0)</f>
        <v>0.15</v>
      </c>
      <c r="M197" s="7">
        <f>SUMIF(tbl_Sorties[[Code ingrédient ]], tbl_Stock[[#This Row],[Cde_Ingrdt]], tbl_Sorties[Qté Sortie])</f>
        <v>0</v>
      </c>
      <c r="N197" s="57">
        <f>tbl_Stock[[#This Row],[Stock Départ]] + tbl_Stock[[#This Row],[Achats Cumulées]] - tbl_Stock[[#This Row],[ Sortie cumulée]]</f>
        <v>1500</v>
      </c>
      <c r="O197">
        <v>100</v>
      </c>
      <c r="P197" t="str">
        <f>IF(tbl_Stock[[#This Row],[Stock Courant]] &lt; tbl_Stock[[#This Row],[Seuil critique]], "⚠️ Alerte", "OK")</f>
        <v>OK</v>
      </c>
    </row>
    <row r="198" spans="1:16" x14ac:dyDescent="0.25">
      <c r="A198" t="str">
        <f>IFERROR(VLOOKUP(B198,Référentiels!$M$2:$N$267,2,FALSE),"Ingrédient non trouvé")</f>
        <v>SOS002</v>
      </c>
      <c r="B198" t="str">
        <f>+tbl_IngrédientsRef[[#This Row],[Ingrédient]]</f>
        <v>Sauce Chocolat</v>
      </c>
      <c r="C198" t="str">
        <f>INDEX(tbl_IngrédientsRef[Unité], MATCH(A198, tbl_IngrédientsRef[Cde_Ingrdt],0))</f>
        <v>ml</v>
      </c>
      <c r="D198" s="21">
        <f>IFERROR(INDEX(tbl_IngrédientsRef[[#This Row],[PU_effectif_g/ml]], MATCH(tbl_Stock[[#This Row],[Cde_Ingrdt]], tbl_IngrédientsRef[[#This Row],[Cde_Ingrdt]], 0)), 0)</f>
        <v>0.15</v>
      </c>
      <c r="E198">
        <v>1500</v>
      </c>
      <c r="F198" s="57">
        <f>tbl_Stock[[#This Row],[Stock Départ]] * INDEX(tbl_IngrédientsRef[Prix/Uni Base], MATCH(tbl_Stock[[#This Row],[Cde_Ingrdt]], tbl_IngrédientsRef[Cde_Ingrdt], 0))</f>
        <v>225</v>
      </c>
      <c r="G198">
        <f>SUMIF(tbl_Achats[Cde_Ingrdt],tbl_Stock[[#This Row],[Cde_Ingrdt]],tbl_Achats[Qté d''Achat])</f>
        <v>0</v>
      </c>
      <c r="H198" s="21">
        <f t="array" ref="H198">SUMPRODUCT((tbl_Achats[Cde_Ingrdt]=tbl_Stock[[#This Row],[Cde_Ingrdt]]) * tbl_Achats[Qté d''Achat] * tbl_Achats[Prix Achat Unitaire])</f>
        <v>0</v>
      </c>
      <c r="I198">
        <v>250</v>
      </c>
      <c r="J198" s="21">
        <f ca="1">tbl_Stock[[#This Row],[Stock Courant]] * tbl_Stock[[#This Row],[CMP effectif]]</f>
        <v>225</v>
      </c>
      <c r="K198">
        <f ca="1">tbl_Stock[[#This Row],[Stock Départ]] + SUMIF(tbl_Achats[Cde_Ingrdt],tbl_Stock[[#This Row],[Cde_Ingrdt]],tbl_Achats[[#This Row],[Qté d''Achat]])</f>
        <v>1500</v>
      </c>
      <c r="L198" s="7">
        <f ca="1">IFERROR((tbl_Stock[[#This Row],[Valeur stock initiale]] + tbl_Stock[[#This Row],[ Valeur Achat]]) / tbl_Stock[[#This Row],[Quantité totale]], 0)</f>
        <v>0.15</v>
      </c>
      <c r="M198" s="7">
        <f>SUMIF(tbl_Sorties[[Code ingrédient ]], tbl_Stock[[#This Row],[Cde_Ingrdt]], tbl_Sorties[Qté Sortie])</f>
        <v>0</v>
      </c>
      <c r="N198" s="57">
        <f>tbl_Stock[[#This Row],[Stock Départ]] + tbl_Stock[[#This Row],[Achats Cumulées]] - tbl_Stock[[#This Row],[ Sortie cumulée]]</f>
        <v>1500</v>
      </c>
      <c r="O198">
        <v>100</v>
      </c>
      <c r="P198" t="str">
        <f>IF(tbl_Stock[[#This Row],[Stock Courant]] &lt; tbl_Stock[[#This Row],[Seuil critique]], "⚠️ Alerte", "OK")</f>
        <v>OK</v>
      </c>
    </row>
    <row r="199" spans="1:16" x14ac:dyDescent="0.25">
      <c r="A199" t="str">
        <f>IFERROR(VLOOKUP(B199,Référentiels!$M$2:$N$267,2,FALSE),"Ingrédient non trouvé")</f>
        <v>SOS003</v>
      </c>
      <c r="B199" t="str">
        <f>+tbl_IngrédientsRef[[#This Row],[Ingrédient]]</f>
        <v>Caramel Beurre Salé</v>
      </c>
      <c r="C199" t="str">
        <f>INDEX(tbl_IngrédientsRef[Unité], MATCH(A199, tbl_IngrédientsRef[Cde_Ingrdt],0))</f>
        <v>ml</v>
      </c>
      <c r="D199" s="21">
        <f>IFERROR(INDEX(tbl_IngrédientsRef[[#This Row],[PU_effectif_g/ml]], MATCH(tbl_Stock[[#This Row],[Cde_Ingrdt]], tbl_IngrédientsRef[[#This Row],[Cde_Ingrdt]], 0)), 0)</f>
        <v>0.25</v>
      </c>
      <c r="E199">
        <v>1500</v>
      </c>
      <c r="F199" s="57">
        <f>tbl_Stock[[#This Row],[Stock Départ]] * INDEX(tbl_IngrédientsRef[Prix/Uni Base], MATCH(tbl_Stock[[#This Row],[Cde_Ingrdt]], tbl_IngrédientsRef[Cde_Ingrdt], 0))</f>
        <v>375</v>
      </c>
      <c r="G199">
        <f>SUMIF(tbl_Achats[Cde_Ingrdt],tbl_Stock[[#This Row],[Cde_Ingrdt]],tbl_Achats[Qté d''Achat])</f>
        <v>0</v>
      </c>
      <c r="H199" s="21">
        <f t="array" ref="H199">SUMPRODUCT((tbl_Achats[Cde_Ingrdt]=tbl_Stock[[#This Row],[Cde_Ingrdt]]) * tbl_Achats[Qté d''Achat] * tbl_Achats[Prix Achat Unitaire])</f>
        <v>0</v>
      </c>
      <c r="I199">
        <v>230</v>
      </c>
      <c r="J199" s="21">
        <f ca="1">tbl_Stock[[#This Row],[Stock Courant]] * tbl_Stock[[#This Row],[CMP effectif]]</f>
        <v>375</v>
      </c>
      <c r="K199">
        <f ca="1">tbl_Stock[[#This Row],[Stock Départ]] + SUMIF(tbl_Achats[Cde_Ingrdt],tbl_Stock[[#This Row],[Cde_Ingrdt]],tbl_Achats[[#This Row],[Qté d''Achat]])</f>
        <v>1500</v>
      </c>
      <c r="L199" s="7">
        <f ca="1">IFERROR((tbl_Stock[[#This Row],[Valeur stock initiale]] + tbl_Stock[[#This Row],[ Valeur Achat]]) / tbl_Stock[[#This Row],[Quantité totale]], 0)</f>
        <v>0.25</v>
      </c>
      <c r="M199" s="7">
        <f>SUMIF(tbl_Sorties[[Code ingrédient ]], tbl_Stock[[#This Row],[Cde_Ingrdt]], tbl_Sorties[Qté Sortie])</f>
        <v>0</v>
      </c>
      <c r="N199" s="57">
        <f>tbl_Stock[[#This Row],[Stock Départ]] + tbl_Stock[[#This Row],[Achats Cumulées]] - tbl_Stock[[#This Row],[ Sortie cumulée]]</f>
        <v>1500</v>
      </c>
      <c r="O199">
        <v>100</v>
      </c>
      <c r="P199" t="str">
        <f>IF(tbl_Stock[[#This Row],[Stock Courant]] &lt; tbl_Stock[[#This Row],[Seuil critique]], "⚠️ Alerte", "OK")</f>
        <v>OK</v>
      </c>
    </row>
    <row r="200" spans="1:16" x14ac:dyDescent="0.25">
      <c r="A200" t="str">
        <f>IFERROR(VLOOKUP(B200,Référentiels!$M$2:$N$267,2,FALSE),"Ingrédient non trouvé")</f>
        <v>SOS004</v>
      </c>
      <c r="B200" t="str">
        <f>+tbl_IngrédientsRef[[#This Row],[Ingrédient]]</f>
        <v>Sauce Tomate</v>
      </c>
      <c r="C200" t="str">
        <f>INDEX(tbl_IngrédientsRef[Unité], MATCH(A200, tbl_IngrédientsRef[Cde_Ingrdt],0))</f>
        <v>ml</v>
      </c>
      <c r="D200" s="21">
        <f>IFERROR(INDEX(tbl_IngrédientsRef[[#This Row],[PU_effectif_g/ml]], MATCH(tbl_Stock[[#This Row],[Cde_Ingrdt]], tbl_IngrédientsRef[[#This Row],[Cde_Ingrdt]], 0)), 0)</f>
        <v>0.15</v>
      </c>
      <c r="E200">
        <v>1500</v>
      </c>
      <c r="F200" s="57">
        <f>tbl_Stock[[#This Row],[Stock Départ]] * INDEX(tbl_IngrédientsRef[Prix/Uni Base], MATCH(tbl_Stock[[#This Row],[Cde_Ingrdt]], tbl_IngrédientsRef[Cde_Ingrdt], 0))</f>
        <v>225</v>
      </c>
      <c r="G200">
        <f>SUMIF(tbl_Achats[Cde_Ingrdt],tbl_Stock[[#This Row],[Cde_Ingrdt]],tbl_Achats[Qté d''Achat])</f>
        <v>0</v>
      </c>
      <c r="H200" s="21">
        <f t="array" ref="H200">SUMPRODUCT((tbl_Achats[Cde_Ingrdt]=tbl_Stock[[#This Row],[Cde_Ingrdt]]) * tbl_Achats[Qté d''Achat] * tbl_Achats[Prix Achat Unitaire])</f>
        <v>0</v>
      </c>
      <c r="I200">
        <v>300</v>
      </c>
      <c r="J200" s="21">
        <f ca="1">tbl_Stock[[#This Row],[Stock Courant]] * tbl_Stock[[#This Row],[CMP effectif]]</f>
        <v>225</v>
      </c>
      <c r="K200">
        <f ca="1">tbl_Stock[[#This Row],[Stock Départ]] + SUMIF(tbl_Achats[Cde_Ingrdt],tbl_Stock[[#This Row],[Cde_Ingrdt]],tbl_Achats[[#This Row],[Qté d''Achat]])</f>
        <v>1500</v>
      </c>
      <c r="L200" s="7">
        <f ca="1">IFERROR((tbl_Stock[[#This Row],[Valeur stock initiale]] + tbl_Stock[[#This Row],[ Valeur Achat]]) / tbl_Stock[[#This Row],[Quantité totale]], 0)</f>
        <v>0.15</v>
      </c>
      <c r="M200" s="7">
        <f>SUMIF(tbl_Sorties[[Code ingrédient ]], tbl_Stock[[#This Row],[Cde_Ingrdt]], tbl_Sorties[Qté Sortie])</f>
        <v>0</v>
      </c>
      <c r="N200" s="57">
        <f>tbl_Stock[[#This Row],[Stock Départ]] + tbl_Stock[[#This Row],[Achats Cumulées]] - tbl_Stock[[#This Row],[ Sortie cumulée]]</f>
        <v>1500</v>
      </c>
      <c r="O200">
        <v>100</v>
      </c>
      <c r="P200" t="str">
        <f>IF(tbl_Stock[[#This Row],[Stock Courant]] &lt; tbl_Stock[[#This Row],[Seuil critique]], "⚠️ Alerte", "OK")</f>
        <v>OK</v>
      </c>
    </row>
    <row r="201" spans="1:16" x14ac:dyDescent="0.25">
      <c r="A201" t="str">
        <f>IFERROR(VLOOKUP(B201,Référentiels!$M$2:$N$267,2,FALSE),"Ingrédient non trouvé")</f>
        <v>SOS005</v>
      </c>
      <c r="B201" t="str">
        <f>+tbl_IngrédientsRef[[#This Row],[Ingrédient]]</f>
        <v>Sauce À L'Ail</v>
      </c>
      <c r="C201" t="str">
        <f>INDEX(tbl_IngrédientsRef[Unité], MATCH(A201, tbl_IngrédientsRef[Cde_Ingrdt],0))</f>
        <v>ml</v>
      </c>
      <c r="D201" s="21">
        <f>IFERROR(INDEX(tbl_IngrédientsRef[[#This Row],[PU_effectif_g/ml]], MATCH(tbl_Stock[[#This Row],[Cde_Ingrdt]], tbl_IngrédientsRef[[#This Row],[Cde_Ingrdt]], 0)), 0)</f>
        <v>0.15</v>
      </c>
      <c r="E201">
        <v>1500</v>
      </c>
      <c r="F201" s="57">
        <f>tbl_Stock[[#This Row],[Stock Départ]] * INDEX(tbl_IngrédientsRef[Prix/Uni Base], MATCH(tbl_Stock[[#This Row],[Cde_Ingrdt]], tbl_IngrédientsRef[Cde_Ingrdt], 0))</f>
        <v>225</v>
      </c>
      <c r="G201">
        <f>SUMIF(tbl_Achats[Cde_Ingrdt],tbl_Stock[[#This Row],[Cde_Ingrdt]],tbl_Achats[Qté d''Achat])</f>
        <v>0</v>
      </c>
      <c r="H201" s="21">
        <f t="array" ref="H201">SUMPRODUCT((tbl_Achats[Cde_Ingrdt]=tbl_Stock[[#This Row],[Cde_Ingrdt]]) * tbl_Achats[Qté d''Achat] * tbl_Achats[Prix Achat Unitaire])</f>
        <v>0</v>
      </c>
      <c r="I201">
        <v>340</v>
      </c>
      <c r="J201" s="21">
        <f ca="1">tbl_Stock[[#This Row],[Stock Courant]] * tbl_Stock[[#This Row],[CMP effectif]]</f>
        <v>225</v>
      </c>
      <c r="K201">
        <f ca="1">tbl_Stock[[#This Row],[Stock Départ]] + SUMIF(tbl_Achats[Cde_Ingrdt],tbl_Stock[[#This Row],[Cde_Ingrdt]],tbl_Achats[[#This Row],[Qté d''Achat]])</f>
        <v>1500</v>
      </c>
      <c r="L201" s="7">
        <f ca="1">IFERROR((tbl_Stock[[#This Row],[Valeur stock initiale]] + tbl_Stock[[#This Row],[ Valeur Achat]]) / tbl_Stock[[#This Row],[Quantité totale]], 0)</f>
        <v>0.15</v>
      </c>
      <c r="M201" s="7">
        <f>SUMIF(tbl_Sorties[[Code ingrédient ]], tbl_Stock[[#This Row],[Cde_Ingrdt]], tbl_Sorties[Qté Sortie])</f>
        <v>0</v>
      </c>
      <c r="N201" s="57">
        <f>tbl_Stock[[#This Row],[Stock Départ]] + tbl_Stock[[#This Row],[Achats Cumulées]] - tbl_Stock[[#This Row],[ Sortie cumulée]]</f>
        <v>1500</v>
      </c>
      <c r="O201">
        <v>100</v>
      </c>
      <c r="P201" t="str">
        <f>IF(tbl_Stock[[#This Row],[Stock Courant]] &lt; tbl_Stock[[#This Row],[Seuil critique]], "⚠️ Alerte", "OK")</f>
        <v>OK</v>
      </c>
    </row>
    <row r="202" spans="1:16" x14ac:dyDescent="0.25">
      <c r="A202" t="str">
        <f>IFERROR(VLOOKUP(B202,Référentiels!$M$2:$N$267,2,FALSE),"Ingrédient non trouvé")</f>
        <v>SOS006</v>
      </c>
      <c r="B202" t="str">
        <f>+tbl_IngrédientsRef[[#This Row],[Ingrédient]]</f>
        <v>Crème De Poireau</v>
      </c>
      <c r="C202" t="str">
        <f>INDEX(tbl_IngrédientsRef[Unité], MATCH(A202, tbl_IngrédientsRef[Cde_Ingrdt],0))</f>
        <v>ml</v>
      </c>
      <c r="D202" s="21">
        <f>IFERROR(INDEX(tbl_IngrédientsRef[[#This Row],[PU_effectif_g/ml]], MATCH(tbl_Stock[[#This Row],[Cde_Ingrdt]], tbl_IngrédientsRef[[#This Row],[Cde_Ingrdt]], 0)), 0)</f>
        <v>0.09</v>
      </c>
      <c r="E202">
        <v>1500</v>
      </c>
      <c r="F202" s="57">
        <f>tbl_Stock[[#This Row],[Stock Départ]] * INDEX(tbl_IngrédientsRef[Prix/Uni Base], MATCH(tbl_Stock[[#This Row],[Cde_Ingrdt]], tbl_IngrédientsRef[Cde_Ingrdt], 0))</f>
        <v>135</v>
      </c>
      <c r="G202">
        <f>SUMIF(tbl_Achats[Cde_Ingrdt],tbl_Stock[[#This Row],[Cde_Ingrdt]],tbl_Achats[Qté d''Achat])</f>
        <v>0</v>
      </c>
      <c r="H202" s="21">
        <f t="array" ref="H202">SUMPRODUCT((tbl_Achats[Cde_Ingrdt]=tbl_Stock[[#This Row],[Cde_Ingrdt]]) * tbl_Achats[Qté d''Achat] * tbl_Achats[Prix Achat Unitaire])</f>
        <v>0</v>
      </c>
      <c r="I202">
        <v>250</v>
      </c>
      <c r="J202" s="21">
        <f ca="1">tbl_Stock[[#This Row],[Stock Courant]] * tbl_Stock[[#This Row],[CMP effectif]]</f>
        <v>135</v>
      </c>
      <c r="K202">
        <f ca="1">tbl_Stock[[#This Row],[Stock Départ]] + SUMIF(tbl_Achats[Cde_Ingrdt],tbl_Stock[[#This Row],[Cde_Ingrdt]],tbl_Achats[[#This Row],[Qté d''Achat]])</f>
        <v>1500</v>
      </c>
      <c r="L202" s="7">
        <f ca="1">IFERROR((tbl_Stock[[#This Row],[Valeur stock initiale]] + tbl_Stock[[#This Row],[ Valeur Achat]]) / tbl_Stock[[#This Row],[Quantité totale]], 0)</f>
        <v>0.09</v>
      </c>
      <c r="M202" s="7">
        <f>SUMIF(tbl_Sorties[[Code ingrédient ]], tbl_Stock[[#This Row],[Cde_Ingrdt]], tbl_Sorties[Qté Sortie])</f>
        <v>0</v>
      </c>
      <c r="N202" s="57">
        <f>tbl_Stock[[#This Row],[Stock Départ]] + tbl_Stock[[#This Row],[Achats Cumulées]] - tbl_Stock[[#This Row],[ Sortie cumulée]]</f>
        <v>1500</v>
      </c>
      <c r="O202">
        <v>100</v>
      </c>
      <c r="P202" t="str">
        <f>IF(tbl_Stock[[#This Row],[Stock Courant]] &lt; tbl_Stock[[#This Row],[Seuil critique]], "⚠️ Alerte", "OK")</f>
        <v>OK</v>
      </c>
    </row>
    <row r="203" spans="1:16" x14ac:dyDescent="0.25">
      <c r="A203" t="str">
        <f>IFERROR(VLOOKUP(B203,Référentiels!$M$2:$N$267,2,FALSE),"Ingrédient non trouvé")</f>
        <v>SOS007</v>
      </c>
      <c r="B203" t="str">
        <f>+tbl_IngrédientsRef[[#This Row],[Ingrédient]]</f>
        <v>Charmoula</v>
      </c>
      <c r="C203" t="str">
        <f>INDEX(tbl_IngrédientsRef[Unité], MATCH(A203, tbl_IngrédientsRef[Cde_Ingrdt],0))</f>
        <v>g</v>
      </c>
      <c r="D203" s="21">
        <f>IFERROR(INDEX(tbl_IngrédientsRef[[#This Row],[PU_effectif_g/ml]], MATCH(tbl_Stock[[#This Row],[Cde_Ingrdt]], tbl_IngrédientsRef[[#This Row],[Cde_Ingrdt]], 0)), 0)</f>
        <v>0.02</v>
      </c>
      <c r="E203">
        <v>1500</v>
      </c>
      <c r="F203" s="57">
        <f>tbl_Stock[[#This Row],[Stock Départ]] * INDEX(tbl_IngrédientsRef[Prix/Uni Base], MATCH(tbl_Stock[[#This Row],[Cde_Ingrdt]], tbl_IngrédientsRef[Cde_Ingrdt], 0))</f>
        <v>30</v>
      </c>
      <c r="G203">
        <f>SUMIF(tbl_Achats[Cde_Ingrdt],tbl_Stock[[#This Row],[Cde_Ingrdt]],tbl_Achats[Qté d''Achat])</f>
        <v>0</v>
      </c>
      <c r="H203" s="21">
        <f t="array" ref="H203">SUMPRODUCT((tbl_Achats[Cde_Ingrdt]=tbl_Stock[[#This Row],[Cde_Ingrdt]]) * tbl_Achats[Qté d''Achat] * tbl_Achats[Prix Achat Unitaire])</f>
        <v>0</v>
      </c>
      <c r="I203">
        <v>230</v>
      </c>
      <c r="J203" s="21">
        <f ca="1">tbl_Stock[[#This Row],[Stock Courant]] * tbl_Stock[[#This Row],[CMP effectif]]</f>
        <v>30</v>
      </c>
      <c r="K203">
        <f ca="1">tbl_Stock[[#This Row],[Stock Départ]] + SUMIF(tbl_Achats[Cde_Ingrdt],tbl_Stock[[#This Row],[Cde_Ingrdt]],tbl_Achats[[#This Row],[Qté d''Achat]])</f>
        <v>1500</v>
      </c>
      <c r="L203" s="7">
        <f ca="1">IFERROR((tbl_Stock[[#This Row],[Valeur stock initiale]] + tbl_Stock[[#This Row],[ Valeur Achat]]) / tbl_Stock[[#This Row],[Quantité totale]], 0)</f>
        <v>0.02</v>
      </c>
      <c r="M203" s="7">
        <f>SUMIF(tbl_Sorties[[Code ingrédient ]], tbl_Stock[[#This Row],[Cde_Ingrdt]], tbl_Sorties[Qté Sortie])</f>
        <v>0</v>
      </c>
      <c r="N203" s="57">
        <f>tbl_Stock[[#This Row],[Stock Départ]] + tbl_Stock[[#This Row],[Achats Cumulées]] - tbl_Stock[[#This Row],[ Sortie cumulée]]</f>
        <v>1500</v>
      </c>
      <c r="O203">
        <v>100</v>
      </c>
      <c r="P203" t="str">
        <f>IF(tbl_Stock[[#This Row],[Stock Courant]] &lt; tbl_Stock[[#This Row],[Seuil critique]], "⚠️ Alerte", "OK")</f>
        <v>OK</v>
      </c>
    </row>
    <row r="204" spans="1:16" x14ac:dyDescent="0.25">
      <c r="A204" t="str">
        <f>IFERROR(VLOOKUP(B204,Référentiels!$M$2:$N$267,2,FALSE),"Ingrédient non trouvé")</f>
        <v>SOS008</v>
      </c>
      <c r="B204" t="str">
        <f>+tbl_IngrédientsRef[[#This Row],[Ingrédient]]</f>
        <v>Sauce Chawarma</v>
      </c>
      <c r="C204" t="str">
        <f>INDEX(tbl_IngrédientsRef[Unité], MATCH(A204, tbl_IngrédientsRef[Cde_Ingrdt],0))</f>
        <v>ml</v>
      </c>
      <c r="D204" s="21">
        <f>IFERROR(INDEX(tbl_IngrédientsRef[[#This Row],[PU_effectif_g/ml]], MATCH(tbl_Stock[[#This Row],[Cde_Ingrdt]], tbl_IngrédientsRef[[#This Row],[Cde_Ingrdt]], 0)), 0)</f>
        <v>0.15</v>
      </c>
      <c r="E204">
        <v>1500</v>
      </c>
      <c r="F204" s="57">
        <f>tbl_Stock[[#This Row],[Stock Départ]] * INDEX(tbl_IngrédientsRef[Prix/Uni Base], MATCH(tbl_Stock[[#This Row],[Cde_Ingrdt]], tbl_IngrédientsRef[Cde_Ingrdt], 0))</f>
        <v>225</v>
      </c>
      <c r="G204">
        <f>SUMIF(tbl_Achats[Cde_Ingrdt],tbl_Stock[[#This Row],[Cde_Ingrdt]],tbl_Achats[Qté d''Achat])</f>
        <v>0</v>
      </c>
      <c r="H204" s="21">
        <f t="array" ref="H204">SUMPRODUCT((tbl_Achats[Cde_Ingrdt]=tbl_Stock[[#This Row],[Cde_Ingrdt]]) * tbl_Achats[Qté d''Achat] * tbl_Achats[Prix Achat Unitaire])</f>
        <v>0</v>
      </c>
      <c r="I204">
        <v>300</v>
      </c>
      <c r="J204" s="21">
        <f ca="1">tbl_Stock[[#This Row],[Stock Courant]] * tbl_Stock[[#This Row],[CMP effectif]]</f>
        <v>225</v>
      </c>
      <c r="K204">
        <f ca="1">tbl_Stock[[#This Row],[Stock Départ]] + SUMIF(tbl_Achats[Cde_Ingrdt],tbl_Stock[[#This Row],[Cde_Ingrdt]],tbl_Achats[[#This Row],[Qté d''Achat]])</f>
        <v>1500</v>
      </c>
      <c r="L204" s="7">
        <f ca="1">IFERROR((tbl_Stock[[#This Row],[Valeur stock initiale]] + tbl_Stock[[#This Row],[ Valeur Achat]]) / tbl_Stock[[#This Row],[Quantité totale]], 0)</f>
        <v>0.15</v>
      </c>
      <c r="M204" s="7">
        <f>SUMIF(tbl_Sorties[[Code ingrédient ]], tbl_Stock[[#This Row],[Cde_Ingrdt]], tbl_Sorties[Qté Sortie])</f>
        <v>0</v>
      </c>
      <c r="N204" s="57">
        <f>tbl_Stock[[#This Row],[Stock Départ]] + tbl_Stock[[#This Row],[Achats Cumulées]] - tbl_Stock[[#This Row],[ Sortie cumulée]]</f>
        <v>1500</v>
      </c>
      <c r="O204">
        <v>100</v>
      </c>
      <c r="P204" t="str">
        <f>IF(tbl_Stock[[#This Row],[Stock Courant]] &lt; tbl_Stock[[#This Row],[Seuil critique]], "⚠️ Alerte", "OK")</f>
        <v>OK</v>
      </c>
    </row>
    <row r="205" spans="1:16" x14ac:dyDescent="0.25">
      <c r="A205" t="str">
        <f>IFERROR(VLOOKUP(B205,Référentiels!$M$2:$N$267,2,FALSE),"Ingrédient non trouvé")</f>
        <v>SOS009</v>
      </c>
      <c r="B205" t="str">
        <f>+tbl_IngrédientsRef[[#This Row],[Ingrédient]]</f>
        <v>Sauce Panini</v>
      </c>
      <c r="C205" t="str">
        <f>INDEX(tbl_IngrédientsRef[Unité], MATCH(A205, tbl_IngrédientsRef[Cde_Ingrdt],0))</f>
        <v>ml</v>
      </c>
      <c r="D205" s="21">
        <f>IFERROR(INDEX(tbl_IngrédientsRef[[#This Row],[PU_effectif_g/ml]], MATCH(tbl_Stock[[#This Row],[Cde_Ingrdt]], tbl_IngrédientsRef[[#This Row],[Cde_Ingrdt]], 0)), 0)</f>
        <v>0.15</v>
      </c>
      <c r="E205">
        <v>1500</v>
      </c>
      <c r="F205" s="57">
        <f>tbl_Stock[[#This Row],[Stock Départ]] * INDEX(tbl_IngrédientsRef[Prix/Uni Base], MATCH(tbl_Stock[[#This Row],[Cde_Ingrdt]], tbl_IngrédientsRef[Cde_Ingrdt], 0))</f>
        <v>225</v>
      </c>
      <c r="G205">
        <f>SUMIF(tbl_Achats[Cde_Ingrdt],tbl_Stock[[#This Row],[Cde_Ingrdt]],tbl_Achats[Qté d''Achat])</f>
        <v>0</v>
      </c>
      <c r="H205" s="21">
        <f t="array" ref="H205">SUMPRODUCT((tbl_Achats[Cde_Ingrdt]=tbl_Stock[[#This Row],[Cde_Ingrdt]]) * tbl_Achats[Qté d''Achat] * tbl_Achats[Prix Achat Unitaire])</f>
        <v>0</v>
      </c>
      <c r="I205">
        <v>340</v>
      </c>
      <c r="J205" s="21">
        <f ca="1">tbl_Stock[[#This Row],[Stock Courant]] * tbl_Stock[[#This Row],[CMP effectif]]</f>
        <v>225</v>
      </c>
      <c r="K205">
        <f ca="1">tbl_Stock[[#This Row],[Stock Départ]] + SUMIF(tbl_Achats[Cde_Ingrdt],tbl_Stock[[#This Row],[Cde_Ingrdt]],tbl_Achats[[#This Row],[Qté d''Achat]])</f>
        <v>1500</v>
      </c>
      <c r="L205" s="7">
        <f ca="1">IFERROR((tbl_Stock[[#This Row],[Valeur stock initiale]] + tbl_Stock[[#This Row],[ Valeur Achat]]) / tbl_Stock[[#This Row],[Quantité totale]], 0)</f>
        <v>0.15</v>
      </c>
      <c r="M205" s="7">
        <f>SUMIF(tbl_Sorties[[Code ingrédient ]], tbl_Stock[[#This Row],[Cde_Ingrdt]], tbl_Sorties[Qté Sortie])</f>
        <v>0</v>
      </c>
      <c r="N205" s="57">
        <f>tbl_Stock[[#This Row],[Stock Départ]] + tbl_Stock[[#This Row],[Achats Cumulées]] - tbl_Stock[[#This Row],[ Sortie cumulée]]</f>
        <v>1500</v>
      </c>
      <c r="O205">
        <v>100</v>
      </c>
      <c r="P205" t="str">
        <f>IF(tbl_Stock[[#This Row],[Stock Courant]] &lt; tbl_Stock[[#This Row],[Seuil critique]], "⚠️ Alerte", "OK")</f>
        <v>OK</v>
      </c>
    </row>
    <row r="206" spans="1:16" x14ac:dyDescent="0.25">
      <c r="A206" t="str">
        <f>IFERROR(VLOOKUP(B206,Référentiels!$M$2:$N$267,2,FALSE),"Ingrédient non trouvé")</f>
        <v>SOS010</v>
      </c>
      <c r="B206" t="str">
        <f>+tbl_IngrédientsRef[[#This Row],[Ingrédient]]</f>
        <v>Vinaigrette Provençale</v>
      </c>
      <c r="C206" t="str">
        <f>INDEX(tbl_IngrédientsRef[Unité], MATCH(A206, tbl_IngrédientsRef[Cde_Ingrdt],0))</f>
        <v>ml</v>
      </c>
      <c r="D206" s="21">
        <f>IFERROR(INDEX(tbl_IngrédientsRef[[#This Row],[PU_effectif_g/ml]], MATCH(tbl_Stock[[#This Row],[Cde_Ingrdt]], tbl_IngrédientsRef[[#This Row],[Cde_Ingrdt]], 0)), 0)</f>
        <v>0.1</v>
      </c>
      <c r="E206">
        <v>1500</v>
      </c>
      <c r="F206" s="57">
        <f>tbl_Stock[[#This Row],[Stock Départ]] * INDEX(tbl_IngrédientsRef[Prix/Uni Base], MATCH(tbl_Stock[[#This Row],[Cde_Ingrdt]], tbl_IngrédientsRef[Cde_Ingrdt], 0))</f>
        <v>150</v>
      </c>
      <c r="G206">
        <f>SUMIF(tbl_Achats[Cde_Ingrdt],tbl_Stock[[#This Row],[Cde_Ingrdt]],tbl_Achats[Qté d''Achat])</f>
        <v>0</v>
      </c>
      <c r="H206" s="21">
        <f t="array" ref="H206">SUMPRODUCT((tbl_Achats[Cde_Ingrdt]=tbl_Stock[[#This Row],[Cde_Ingrdt]]) * tbl_Achats[Qté d''Achat] * tbl_Achats[Prix Achat Unitaire])</f>
        <v>0</v>
      </c>
      <c r="I206">
        <v>250</v>
      </c>
      <c r="J206" s="21">
        <f ca="1">tbl_Stock[[#This Row],[Stock Courant]] * tbl_Stock[[#This Row],[CMP effectif]]</f>
        <v>150</v>
      </c>
      <c r="K206">
        <f ca="1">tbl_Stock[[#This Row],[Stock Départ]] + SUMIF(tbl_Achats[Cde_Ingrdt],tbl_Stock[[#This Row],[Cde_Ingrdt]],tbl_Achats[[#This Row],[Qté d''Achat]])</f>
        <v>1500</v>
      </c>
      <c r="L206" s="7">
        <f ca="1">IFERROR((tbl_Stock[[#This Row],[Valeur stock initiale]] + tbl_Stock[[#This Row],[ Valeur Achat]]) / tbl_Stock[[#This Row],[Quantité totale]], 0)</f>
        <v>0.1</v>
      </c>
      <c r="M206" s="7">
        <f>SUMIF(tbl_Sorties[[Code ingrédient ]], tbl_Stock[[#This Row],[Cde_Ingrdt]], tbl_Sorties[Qté Sortie])</f>
        <v>0</v>
      </c>
      <c r="N206" s="57">
        <f>tbl_Stock[[#This Row],[Stock Départ]] + tbl_Stock[[#This Row],[Achats Cumulées]] - tbl_Stock[[#This Row],[ Sortie cumulée]]</f>
        <v>1500</v>
      </c>
      <c r="O206">
        <v>100</v>
      </c>
      <c r="P206" t="str">
        <f>IF(tbl_Stock[[#This Row],[Stock Courant]] &lt; tbl_Stock[[#This Row],[Seuil critique]], "⚠️ Alerte", "OK")</f>
        <v>OK</v>
      </c>
    </row>
    <row r="207" spans="1:16" x14ac:dyDescent="0.25">
      <c r="A207" t="str">
        <f>IFERROR(VLOOKUP(B207,Référentiels!$M$2:$N$267,2,FALSE),"Ingrédient non trouvé")</f>
        <v>SOS011</v>
      </c>
      <c r="B207" t="str">
        <f>+tbl_IngrédientsRef[[#This Row],[Ingrédient]]</f>
        <v>Sauce César</v>
      </c>
      <c r="C207" t="str">
        <f>INDEX(tbl_IngrédientsRef[Unité], MATCH(A207, tbl_IngrédientsRef[Cde_Ingrdt],0))</f>
        <v>ml</v>
      </c>
      <c r="D207" s="21">
        <f>IFERROR(INDEX(tbl_IngrédientsRef[[#This Row],[PU_effectif_g/ml]], MATCH(tbl_Stock[[#This Row],[Cde_Ingrdt]], tbl_IngrédientsRef[[#This Row],[Cde_Ingrdt]], 0)), 0)</f>
        <v>0.2</v>
      </c>
      <c r="E207">
        <v>1500</v>
      </c>
      <c r="F207" s="57">
        <f>tbl_Stock[[#This Row],[Stock Départ]] * INDEX(tbl_IngrédientsRef[Prix/Uni Base], MATCH(tbl_Stock[[#This Row],[Cde_Ingrdt]], tbl_IngrédientsRef[Cde_Ingrdt], 0))</f>
        <v>300</v>
      </c>
      <c r="G207">
        <f>SUMIF(tbl_Achats[Cde_Ingrdt],tbl_Stock[[#This Row],[Cde_Ingrdt]],tbl_Achats[Qté d''Achat])</f>
        <v>0</v>
      </c>
      <c r="H207" s="21">
        <f t="array" ref="H207">SUMPRODUCT((tbl_Achats[Cde_Ingrdt]=tbl_Stock[[#This Row],[Cde_Ingrdt]]) * tbl_Achats[Qté d''Achat] * tbl_Achats[Prix Achat Unitaire])</f>
        <v>0</v>
      </c>
      <c r="I207">
        <v>230</v>
      </c>
      <c r="J207" s="21">
        <f ca="1">tbl_Stock[[#This Row],[Stock Courant]] * tbl_Stock[[#This Row],[CMP effectif]]</f>
        <v>300</v>
      </c>
      <c r="K207">
        <f ca="1">tbl_Stock[[#This Row],[Stock Départ]] + SUMIF(tbl_Achats[Cde_Ingrdt],tbl_Stock[[#This Row],[Cde_Ingrdt]],tbl_Achats[[#This Row],[Qté d''Achat]])</f>
        <v>1500</v>
      </c>
      <c r="L207" s="7">
        <f ca="1">IFERROR((tbl_Stock[[#This Row],[Valeur stock initiale]] + tbl_Stock[[#This Row],[ Valeur Achat]]) / tbl_Stock[[#This Row],[Quantité totale]], 0)</f>
        <v>0.2</v>
      </c>
      <c r="M207" s="7">
        <f>SUMIF(tbl_Sorties[[Code ingrédient ]], tbl_Stock[[#This Row],[Cde_Ingrdt]], tbl_Sorties[Qté Sortie])</f>
        <v>0</v>
      </c>
      <c r="N207" s="57">
        <f>tbl_Stock[[#This Row],[Stock Départ]] + tbl_Stock[[#This Row],[Achats Cumulées]] - tbl_Stock[[#This Row],[ Sortie cumulée]]</f>
        <v>1500</v>
      </c>
      <c r="O207">
        <v>100</v>
      </c>
      <c r="P207" t="str">
        <f>IF(tbl_Stock[[#This Row],[Stock Courant]] &lt; tbl_Stock[[#This Row],[Seuil critique]], "⚠️ Alerte", "OK")</f>
        <v>OK</v>
      </c>
    </row>
    <row r="208" spans="1:16" x14ac:dyDescent="0.25">
      <c r="A208" t="str">
        <f>IFERROR(VLOOKUP(B208,Référentiels!$M$2:$N$267,2,FALSE),"Ingrédient non trouvé")</f>
        <v>SOS012</v>
      </c>
      <c r="B208" t="str">
        <f>+tbl_IngrédientsRef[[#This Row],[Ingrédient]]</f>
        <v>Sauce Fromagère</v>
      </c>
      <c r="C208" t="str">
        <f>INDEX(tbl_IngrédientsRef[Unité], MATCH(A208, tbl_IngrédientsRef[Cde_Ingrdt],0))</f>
        <v>ml</v>
      </c>
      <c r="D208" s="21">
        <f>IFERROR(INDEX(tbl_IngrédientsRef[[#This Row],[PU_effectif_g/ml]], MATCH(tbl_Stock[[#This Row],[Cde_Ingrdt]], tbl_IngrédientsRef[[#This Row],[Cde_Ingrdt]], 0)), 0)</f>
        <v>0.09</v>
      </c>
      <c r="E208">
        <v>1500</v>
      </c>
      <c r="F208" s="57">
        <f>tbl_Stock[[#This Row],[Stock Départ]] * INDEX(tbl_IngrédientsRef[Prix/Uni Base], MATCH(tbl_Stock[[#This Row],[Cde_Ingrdt]], tbl_IngrédientsRef[Cde_Ingrdt], 0))</f>
        <v>135</v>
      </c>
      <c r="G208">
        <f>SUMIF(tbl_Achats[Cde_Ingrdt],tbl_Stock[[#This Row],[Cde_Ingrdt]],tbl_Achats[Qté d''Achat])</f>
        <v>0</v>
      </c>
      <c r="H208" s="21">
        <f t="array" ref="H208">SUMPRODUCT((tbl_Achats[Cde_Ingrdt]=tbl_Stock[[#This Row],[Cde_Ingrdt]]) * tbl_Achats[Qté d''Achat] * tbl_Achats[Prix Achat Unitaire])</f>
        <v>0</v>
      </c>
      <c r="I208">
        <v>300</v>
      </c>
      <c r="J208" s="21">
        <f ca="1">tbl_Stock[[#This Row],[Stock Courant]] * tbl_Stock[[#This Row],[CMP effectif]]</f>
        <v>135</v>
      </c>
      <c r="K208">
        <f ca="1">tbl_Stock[[#This Row],[Stock Départ]] + SUMIF(tbl_Achats[Cde_Ingrdt],tbl_Stock[[#This Row],[Cde_Ingrdt]],tbl_Achats[[#This Row],[Qté d''Achat]])</f>
        <v>1500</v>
      </c>
      <c r="L208" s="7">
        <f ca="1">IFERROR((tbl_Stock[[#This Row],[Valeur stock initiale]] + tbl_Stock[[#This Row],[ Valeur Achat]]) / tbl_Stock[[#This Row],[Quantité totale]], 0)</f>
        <v>0.09</v>
      </c>
      <c r="M208" s="7">
        <f>SUMIF(tbl_Sorties[[Code ingrédient ]], tbl_Stock[[#This Row],[Cde_Ingrdt]], tbl_Sorties[Qté Sortie])</f>
        <v>0</v>
      </c>
      <c r="N208" s="57">
        <f>tbl_Stock[[#This Row],[Stock Départ]] + tbl_Stock[[#This Row],[Achats Cumulées]] - tbl_Stock[[#This Row],[ Sortie cumulée]]</f>
        <v>1500</v>
      </c>
      <c r="O208">
        <v>100</v>
      </c>
      <c r="P208" t="str">
        <f>IF(tbl_Stock[[#This Row],[Stock Courant]] &lt; tbl_Stock[[#This Row],[Seuil critique]], "⚠️ Alerte", "OK")</f>
        <v>OK</v>
      </c>
    </row>
    <row r="209" spans="1:16" x14ac:dyDescent="0.25">
      <c r="A209" t="str">
        <f>IFERROR(VLOOKUP(B209,Référentiels!$M$2:$N$267,2,FALSE),"Ingrédient non trouvé")</f>
        <v>SOS013</v>
      </c>
      <c r="B209" t="str">
        <f>+tbl_IngrédientsRef[[#This Row],[Ingrédient]]</f>
        <v>Moutarde À L’Ancienne</v>
      </c>
      <c r="C209" t="str">
        <f>INDEX(tbl_IngrédientsRef[Unité], MATCH(A209, tbl_IngrédientsRef[Cde_Ingrdt],0))</f>
        <v>g</v>
      </c>
      <c r="D209" s="21">
        <f>IFERROR(INDEX(tbl_IngrédientsRef[[#This Row],[PU_effectif_g/ml]], MATCH(tbl_Stock[[#This Row],[Cde_Ingrdt]], tbl_IngrédientsRef[[#This Row],[Cde_Ingrdt]], 0)), 0)</f>
        <v>0.1</v>
      </c>
      <c r="E209">
        <v>1500</v>
      </c>
      <c r="F209" s="57">
        <f>tbl_Stock[[#This Row],[Stock Départ]] * INDEX(tbl_IngrédientsRef[Prix/Uni Base], MATCH(tbl_Stock[[#This Row],[Cde_Ingrdt]], tbl_IngrédientsRef[Cde_Ingrdt], 0))</f>
        <v>150</v>
      </c>
      <c r="G209">
        <f>SUMIF(tbl_Achats[Cde_Ingrdt],tbl_Stock[[#This Row],[Cde_Ingrdt]],tbl_Achats[Qté d''Achat])</f>
        <v>0</v>
      </c>
      <c r="H209" s="21">
        <f t="array" ref="H209">SUMPRODUCT((tbl_Achats[Cde_Ingrdt]=tbl_Stock[[#This Row],[Cde_Ingrdt]]) * tbl_Achats[Qté d''Achat] * tbl_Achats[Prix Achat Unitaire])</f>
        <v>0</v>
      </c>
      <c r="I209">
        <v>340</v>
      </c>
      <c r="J209" s="21">
        <f ca="1">tbl_Stock[[#This Row],[Stock Courant]] * tbl_Stock[[#This Row],[CMP effectif]]</f>
        <v>150</v>
      </c>
      <c r="K209">
        <f ca="1">tbl_Stock[[#This Row],[Stock Départ]] + SUMIF(tbl_Achats[Cde_Ingrdt],tbl_Stock[[#This Row],[Cde_Ingrdt]],tbl_Achats[[#This Row],[Qté d''Achat]])</f>
        <v>1500</v>
      </c>
      <c r="L209" s="7">
        <f ca="1">IFERROR((tbl_Stock[[#This Row],[Valeur stock initiale]] + tbl_Stock[[#This Row],[ Valeur Achat]]) / tbl_Stock[[#This Row],[Quantité totale]], 0)</f>
        <v>0.1</v>
      </c>
      <c r="M209" s="7">
        <f>SUMIF(tbl_Sorties[[Code ingrédient ]], tbl_Stock[[#This Row],[Cde_Ingrdt]], tbl_Sorties[Qté Sortie])</f>
        <v>0</v>
      </c>
      <c r="N209" s="57">
        <f>tbl_Stock[[#This Row],[Stock Départ]] + tbl_Stock[[#This Row],[Achats Cumulées]] - tbl_Stock[[#This Row],[ Sortie cumulée]]</f>
        <v>1500</v>
      </c>
      <c r="O209">
        <v>100</v>
      </c>
      <c r="P209" t="str">
        <f>IF(tbl_Stock[[#This Row],[Stock Courant]] &lt; tbl_Stock[[#This Row],[Seuil critique]], "⚠️ Alerte", "OK")</f>
        <v>OK</v>
      </c>
    </row>
    <row r="210" spans="1:16" x14ac:dyDescent="0.25">
      <c r="A210" t="str">
        <f>IFERROR(VLOOKUP(B210,Référentiels!$M$2:$N$267,2,FALSE),"Ingrédient non trouvé")</f>
        <v>SOS014</v>
      </c>
      <c r="B210" t="str">
        <f>+tbl_IngrédientsRef[[#This Row],[Ingrédient]]</f>
        <v>Huile À L’Ail</v>
      </c>
      <c r="C210" t="str">
        <f>INDEX(tbl_IngrédientsRef[Unité], MATCH(A210, tbl_IngrédientsRef[Cde_Ingrdt],0))</f>
        <v>ml</v>
      </c>
      <c r="D210" s="21">
        <f>IFERROR(INDEX(tbl_IngrédientsRef[[#This Row],[PU_effectif_g/ml]], MATCH(tbl_Stock[[#This Row],[Cde_Ingrdt]], tbl_IngrédientsRef[[#This Row],[Cde_Ingrdt]], 0)), 0)</f>
        <v>0.1</v>
      </c>
      <c r="E210">
        <v>1500</v>
      </c>
      <c r="F210" s="57">
        <f>tbl_Stock[[#This Row],[Stock Départ]] * INDEX(tbl_IngrédientsRef[Prix/Uni Base], MATCH(tbl_Stock[[#This Row],[Cde_Ingrdt]], tbl_IngrédientsRef[Cde_Ingrdt], 0))</f>
        <v>150</v>
      </c>
      <c r="G210">
        <f>SUMIF(tbl_Achats[Cde_Ingrdt],tbl_Stock[[#This Row],[Cde_Ingrdt]],tbl_Achats[Qté d''Achat])</f>
        <v>0</v>
      </c>
      <c r="H210" s="21">
        <f t="array" ref="H210">SUMPRODUCT((tbl_Achats[Cde_Ingrdt]=tbl_Stock[[#This Row],[Cde_Ingrdt]]) * tbl_Achats[Qté d''Achat] * tbl_Achats[Prix Achat Unitaire])</f>
        <v>0</v>
      </c>
      <c r="I210">
        <v>250</v>
      </c>
      <c r="J210" s="21">
        <f ca="1">tbl_Stock[[#This Row],[Stock Courant]] * tbl_Stock[[#This Row],[CMP effectif]]</f>
        <v>150</v>
      </c>
      <c r="K210">
        <f ca="1">tbl_Stock[[#This Row],[Stock Départ]] + SUMIF(tbl_Achats[Cde_Ingrdt],tbl_Stock[[#This Row],[Cde_Ingrdt]],tbl_Achats[[#This Row],[Qté d''Achat]])</f>
        <v>1500</v>
      </c>
      <c r="L210" s="7">
        <f ca="1">IFERROR((tbl_Stock[[#This Row],[Valeur stock initiale]] + tbl_Stock[[#This Row],[ Valeur Achat]]) / tbl_Stock[[#This Row],[Quantité totale]], 0)</f>
        <v>0.1</v>
      </c>
      <c r="M210" s="7">
        <f>SUMIF(tbl_Sorties[[Code ingrédient ]], tbl_Stock[[#This Row],[Cde_Ingrdt]], tbl_Sorties[Qté Sortie])</f>
        <v>0</v>
      </c>
      <c r="N210" s="57">
        <f>tbl_Stock[[#This Row],[Stock Départ]] + tbl_Stock[[#This Row],[Achats Cumulées]] - tbl_Stock[[#This Row],[ Sortie cumulée]]</f>
        <v>1500</v>
      </c>
      <c r="O210">
        <v>100</v>
      </c>
      <c r="P210" t="str">
        <f>IF(tbl_Stock[[#This Row],[Stock Courant]] &lt; tbl_Stock[[#This Row],[Seuil critique]], "⚠️ Alerte", "OK")</f>
        <v>OK</v>
      </c>
    </row>
    <row r="211" spans="1:16" x14ac:dyDescent="0.25">
      <c r="A211" t="str">
        <f>IFERROR(VLOOKUP(B211,Référentiels!$M$2:$N$267,2,FALSE),"Ingrédient non trouvé")</f>
        <v>SOS015</v>
      </c>
      <c r="B211" t="str">
        <f>+tbl_IngrédientsRef[[#This Row],[Ingrédient]]</f>
        <v>Sauce Soja</v>
      </c>
      <c r="C211" t="str">
        <f>INDEX(tbl_IngrédientsRef[Unité], MATCH(A211, tbl_IngrédientsRef[Cde_Ingrdt],0))</f>
        <v>ml</v>
      </c>
      <c r="D211" s="21">
        <f>IFERROR(INDEX(tbl_IngrédientsRef[[#This Row],[PU_effectif_g/ml]], MATCH(tbl_Stock[[#This Row],[Cde_Ingrdt]], tbl_IngrédientsRef[[#This Row],[Cde_Ingrdt]], 0)), 0)</f>
        <v>0.125</v>
      </c>
      <c r="E211">
        <v>1500</v>
      </c>
      <c r="F211" s="57">
        <f>tbl_Stock[[#This Row],[Stock Départ]] * INDEX(tbl_IngrédientsRef[Prix/Uni Base], MATCH(tbl_Stock[[#This Row],[Cde_Ingrdt]], tbl_IngrédientsRef[Cde_Ingrdt], 0))</f>
        <v>187.5</v>
      </c>
      <c r="G211">
        <f>SUMIF(tbl_Achats[Cde_Ingrdt],tbl_Stock[[#This Row],[Cde_Ingrdt]],tbl_Achats[Qté d''Achat])</f>
        <v>0</v>
      </c>
      <c r="H211" s="21">
        <f t="array" ref="H211">SUMPRODUCT((tbl_Achats[Cde_Ingrdt]=tbl_Stock[[#This Row],[Cde_Ingrdt]]) * tbl_Achats[Qté d''Achat] * tbl_Achats[Prix Achat Unitaire])</f>
        <v>0</v>
      </c>
      <c r="I211">
        <v>230</v>
      </c>
      <c r="J211" s="21">
        <f ca="1">tbl_Stock[[#This Row],[Stock Courant]] * tbl_Stock[[#This Row],[CMP effectif]]</f>
        <v>187.5</v>
      </c>
      <c r="K211">
        <f ca="1">tbl_Stock[[#This Row],[Stock Départ]] + SUMIF(tbl_Achats[Cde_Ingrdt],tbl_Stock[[#This Row],[Cde_Ingrdt]],tbl_Achats[[#This Row],[Qté d''Achat]])</f>
        <v>1500</v>
      </c>
      <c r="L211" s="7">
        <f ca="1">IFERROR((tbl_Stock[[#This Row],[Valeur stock initiale]] + tbl_Stock[[#This Row],[ Valeur Achat]]) / tbl_Stock[[#This Row],[Quantité totale]], 0)</f>
        <v>0.125</v>
      </c>
      <c r="M211" s="7">
        <f>SUMIF(tbl_Sorties[[Code ingrédient ]], tbl_Stock[[#This Row],[Cde_Ingrdt]], tbl_Sorties[Qté Sortie])</f>
        <v>0</v>
      </c>
      <c r="N211" s="57">
        <f>tbl_Stock[[#This Row],[Stock Départ]] + tbl_Stock[[#This Row],[Achats Cumulées]] - tbl_Stock[[#This Row],[ Sortie cumulée]]</f>
        <v>1500</v>
      </c>
      <c r="O211">
        <v>100</v>
      </c>
      <c r="P211" t="str">
        <f>IF(tbl_Stock[[#This Row],[Stock Courant]] &lt; tbl_Stock[[#This Row],[Seuil critique]], "⚠️ Alerte", "OK")</f>
        <v>OK</v>
      </c>
    </row>
    <row r="212" spans="1:16" x14ac:dyDescent="0.25">
      <c r="A212" t="str">
        <f>IFERROR(VLOOKUP(B212,Référentiels!$M$2:$N$267,2,FALSE),"Ingrédient non trouvé")</f>
        <v>SOS016</v>
      </c>
      <c r="B212" t="str">
        <f>+tbl_IngrédientsRef[[#This Row],[Ingrédient]]</f>
        <v>Sauce Salade</v>
      </c>
      <c r="C212" t="str">
        <f>INDEX(tbl_IngrédientsRef[Unité], MATCH(A212, tbl_IngrédientsRef[Cde_Ingrdt],0))</f>
        <v>ml</v>
      </c>
      <c r="D212" s="21">
        <f>IFERROR(INDEX(tbl_IngrédientsRef[[#This Row],[PU_effectif_g/ml]], MATCH(tbl_Stock[[#This Row],[Cde_Ingrdt]], tbl_IngrédientsRef[[#This Row],[Cde_Ingrdt]], 0)), 0)</f>
        <v>2.5000000000000001E-2</v>
      </c>
      <c r="E212">
        <v>1500</v>
      </c>
      <c r="F212" s="57">
        <f>tbl_Stock[[#This Row],[Stock Départ]] * INDEX(tbl_IngrédientsRef[Prix/Uni Base], MATCH(tbl_Stock[[#This Row],[Cde_Ingrdt]], tbl_IngrédientsRef[Cde_Ingrdt], 0))</f>
        <v>37.5</v>
      </c>
      <c r="G212">
        <f>SUMIF(tbl_Achats[Cde_Ingrdt],tbl_Stock[[#This Row],[Cde_Ingrdt]],tbl_Achats[Qté d''Achat])</f>
        <v>0</v>
      </c>
      <c r="H212" s="21">
        <f t="array" ref="H212">SUMPRODUCT((tbl_Achats[Cde_Ingrdt]=tbl_Stock[[#This Row],[Cde_Ingrdt]]) * tbl_Achats[Qté d''Achat] * tbl_Achats[Prix Achat Unitaire])</f>
        <v>0</v>
      </c>
      <c r="I212">
        <v>300</v>
      </c>
      <c r="J212" s="21">
        <f ca="1">tbl_Stock[[#This Row],[Stock Courant]] * tbl_Stock[[#This Row],[CMP effectif]]</f>
        <v>37.5</v>
      </c>
      <c r="K212">
        <f ca="1">tbl_Stock[[#This Row],[Stock Départ]] + SUMIF(tbl_Achats[Cde_Ingrdt],tbl_Stock[[#This Row],[Cde_Ingrdt]],tbl_Achats[[#This Row],[Qté d''Achat]])</f>
        <v>1500</v>
      </c>
      <c r="L212" s="7">
        <f ca="1">IFERROR((tbl_Stock[[#This Row],[Valeur stock initiale]] + tbl_Stock[[#This Row],[ Valeur Achat]]) / tbl_Stock[[#This Row],[Quantité totale]], 0)</f>
        <v>2.5000000000000001E-2</v>
      </c>
      <c r="M212" s="7">
        <f>SUMIF(tbl_Sorties[[Code ingrédient ]], tbl_Stock[[#This Row],[Cde_Ingrdt]], tbl_Sorties[Qté Sortie])</f>
        <v>0</v>
      </c>
      <c r="N212" s="57">
        <f>tbl_Stock[[#This Row],[Stock Départ]] + tbl_Stock[[#This Row],[Achats Cumulées]] - tbl_Stock[[#This Row],[ Sortie cumulée]]</f>
        <v>1500</v>
      </c>
      <c r="O212">
        <v>100</v>
      </c>
      <c r="P212" t="str">
        <f>IF(tbl_Stock[[#This Row],[Stock Courant]] &lt; tbl_Stock[[#This Row],[Seuil critique]], "⚠️ Alerte", "OK")</f>
        <v>OK</v>
      </c>
    </row>
    <row r="213" spans="1:16" x14ac:dyDescent="0.25">
      <c r="A213" t="str">
        <f>IFERROR(VLOOKUP(B213,Référentiels!$M$2:$N$267,2,FALSE),"Ingrédient non trouvé")</f>
        <v>SOS017</v>
      </c>
      <c r="B213" t="str">
        <f>+tbl_IngrédientsRef[[#This Row],[Ingrédient]]</f>
        <v>Sauce Hollandaise</v>
      </c>
      <c r="C213" t="str">
        <f>INDEX(tbl_IngrédientsRef[Unité], MATCH(A213, tbl_IngrédientsRef[Cde_Ingrdt],0))</f>
        <v>ml</v>
      </c>
      <c r="D213" s="21">
        <f>IFERROR(INDEX(tbl_IngrédientsRef[[#This Row],[PU_effectif_g/ml]], MATCH(tbl_Stock[[#This Row],[Cde_Ingrdt]], tbl_IngrédientsRef[[#This Row],[Cde_Ingrdt]], 0)), 0)</f>
        <v>0.06</v>
      </c>
      <c r="E213">
        <v>1500</v>
      </c>
      <c r="F213" s="57">
        <f>tbl_Stock[[#This Row],[Stock Départ]] * INDEX(tbl_IngrédientsRef[Prix/Uni Base], MATCH(tbl_Stock[[#This Row],[Cde_Ingrdt]], tbl_IngrédientsRef[Cde_Ingrdt], 0))</f>
        <v>90</v>
      </c>
      <c r="G213">
        <f>SUMIF(tbl_Achats[Cde_Ingrdt],tbl_Stock[[#This Row],[Cde_Ingrdt]],tbl_Achats[Qté d''Achat])</f>
        <v>0</v>
      </c>
      <c r="H213" s="21">
        <f t="array" ref="H213">SUMPRODUCT((tbl_Achats[Cde_Ingrdt]=tbl_Stock[[#This Row],[Cde_Ingrdt]]) * tbl_Achats[Qté d''Achat] * tbl_Achats[Prix Achat Unitaire])</f>
        <v>0</v>
      </c>
      <c r="I213">
        <v>340</v>
      </c>
      <c r="J213" s="21">
        <f ca="1">tbl_Stock[[#This Row],[Stock Courant]] * tbl_Stock[[#This Row],[CMP effectif]]</f>
        <v>90</v>
      </c>
      <c r="K213">
        <f ca="1">tbl_Stock[[#This Row],[Stock Départ]] + SUMIF(tbl_Achats[Cde_Ingrdt],tbl_Stock[[#This Row],[Cde_Ingrdt]],tbl_Achats[[#This Row],[Qté d''Achat]])</f>
        <v>1500</v>
      </c>
      <c r="L213" s="7">
        <f ca="1">IFERROR((tbl_Stock[[#This Row],[Valeur stock initiale]] + tbl_Stock[[#This Row],[ Valeur Achat]]) / tbl_Stock[[#This Row],[Quantité totale]], 0)</f>
        <v>0.06</v>
      </c>
      <c r="M213" s="7">
        <f>SUMIF(tbl_Sorties[[Code ingrédient ]], tbl_Stock[[#This Row],[Cde_Ingrdt]], tbl_Sorties[Qté Sortie])</f>
        <v>0</v>
      </c>
      <c r="N213" s="57">
        <f>tbl_Stock[[#This Row],[Stock Départ]] + tbl_Stock[[#This Row],[Achats Cumulées]] - tbl_Stock[[#This Row],[ Sortie cumulée]]</f>
        <v>1500</v>
      </c>
      <c r="O213">
        <v>100</v>
      </c>
      <c r="P213" t="str">
        <f>IF(tbl_Stock[[#This Row],[Stock Courant]] &lt; tbl_Stock[[#This Row],[Seuil critique]], "⚠️ Alerte", "OK")</f>
        <v>OK</v>
      </c>
    </row>
    <row r="214" spans="1:16" x14ac:dyDescent="0.25">
      <c r="A214" t="str">
        <f>IFERROR(VLOOKUP(B214,Référentiels!$M$2:$N$267,2,FALSE),"Ingrédient non trouvé")</f>
        <v>SOS018</v>
      </c>
      <c r="B214" t="str">
        <f>+tbl_IngrédientsRef[[#This Row],[Ingrédient]]</f>
        <v>Sauce Burger</v>
      </c>
      <c r="C214" t="str">
        <f>INDEX(tbl_IngrédientsRef[Unité], MATCH(A214, tbl_IngrédientsRef[Cde_Ingrdt],0))</f>
        <v>ml</v>
      </c>
      <c r="D214" s="21">
        <f>IFERROR(INDEX(tbl_IngrédientsRef[[#This Row],[PU_effectif_g/ml]], MATCH(tbl_Stock[[#This Row],[Cde_Ingrdt]], tbl_IngrédientsRef[[#This Row],[Cde_Ingrdt]], 0)), 0)</f>
        <v>0.03</v>
      </c>
      <c r="E214">
        <v>1500</v>
      </c>
      <c r="F214" s="57">
        <f>tbl_Stock[[#This Row],[Stock Départ]] * INDEX(tbl_IngrédientsRef[Prix/Uni Base], MATCH(tbl_Stock[[#This Row],[Cde_Ingrdt]], tbl_IngrédientsRef[Cde_Ingrdt], 0))</f>
        <v>45</v>
      </c>
      <c r="G214">
        <f>SUMIF(tbl_Achats[Cde_Ingrdt],tbl_Stock[[#This Row],[Cde_Ingrdt]],tbl_Achats[Qté d''Achat])</f>
        <v>0</v>
      </c>
      <c r="H214" s="21">
        <f t="array" ref="H214">SUMPRODUCT((tbl_Achats[Cde_Ingrdt]=tbl_Stock[[#This Row],[Cde_Ingrdt]]) * tbl_Achats[Qté d''Achat] * tbl_Achats[Prix Achat Unitaire])</f>
        <v>0</v>
      </c>
      <c r="I214">
        <v>250</v>
      </c>
      <c r="J214" s="21">
        <f ca="1">tbl_Stock[[#This Row],[Stock Courant]] * tbl_Stock[[#This Row],[CMP effectif]]</f>
        <v>45</v>
      </c>
      <c r="K214">
        <f ca="1">tbl_Stock[[#This Row],[Stock Départ]] + SUMIF(tbl_Achats[Cde_Ingrdt],tbl_Stock[[#This Row],[Cde_Ingrdt]],tbl_Achats[[#This Row],[Qté d''Achat]])</f>
        <v>1500</v>
      </c>
      <c r="L214" s="7">
        <f ca="1">IFERROR((tbl_Stock[[#This Row],[Valeur stock initiale]] + tbl_Stock[[#This Row],[ Valeur Achat]]) / tbl_Stock[[#This Row],[Quantité totale]], 0)</f>
        <v>0.03</v>
      </c>
      <c r="M214" s="7">
        <f>SUMIF(tbl_Sorties[[Code ingrédient ]], tbl_Stock[[#This Row],[Cde_Ingrdt]], tbl_Sorties[Qté Sortie])</f>
        <v>0</v>
      </c>
      <c r="N214" s="57">
        <f>tbl_Stock[[#This Row],[Stock Départ]] + tbl_Stock[[#This Row],[Achats Cumulées]] - tbl_Stock[[#This Row],[ Sortie cumulée]]</f>
        <v>1500</v>
      </c>
      <c r="O214">
        <v>100</v>
      </c>
      <c r="P214" t="str">
        <f>IF(tbl_Stock[[#This Row],[Stock Courant]] &lt; tbl_Stock[[#This Row],[Seuil critique]], "⚠️ Alerte", "OK")</f>
        <v>OK</v>
      </c>
    </row>
    <row r="215" spans="1:16" x14ac:dyDescent="0.25">
      <c r="A215" t="str">
        <f>IFERROR(VLOOKUP(B215,Référentiels!$M$2:$N$267,2,FALSE),"Ingrédient non trouvé")</f>
        <v>SOS019</v>
      </c>
      <c r="B215" t="str">
        <f>+tbl_IngrédientsRef[[#This Row],[Ingrédient]]</f>
        <v>Sauce Crème Légère</v>
      </c>
      <c r="C215" t="str">
        <f>INDEX(tbl_IngrédientsRef[Unité], MATCH(A215, tbl_IngrédientsRef[Cde_Ingrdt],0))</f>
        <v>ml</v>
      </c>
      <c r="D215" s="21">
        <f>IFERROR(INDEX(tbl_IngrédientsRef[[#This Row],[PU_effectif_g/ml]], MATCH(tbl_Stock[[#This Row],[Cde_Ingrdt]], tbl_IngrédientsRef[[#This Row],[Cde_Ingrdt]], 0)), 0)</f>
        <v>0.05</v>
      </c>
      <c r="E215">
        <v>1500</v>
      </c>
      <c r="F215" s="57">
        <f>tbl_Stock[[#This Row],[Stock Départ]] * INDEX(tbl_IngrédientsRef[Prix/Uni Base], MATCH(tbl_Stock[[#This Row],[Cde_Ingrdt]], tbl_IngrédientsRef[Cde_Ingrdt], 0))</f>
        <v>75</v>
      </c>
      <c r="G215">
        <f>SUMIF(tbl_Achats[Cde_Ingrdt],tbl_Stock[[#This Row],[Cde_Ingrdt]],tbl_Achats[Qté d''Achat])</f>
        <v>0</v>
      </c>
      <c r="H215" s="21">
        <f t="array" ref="H215">SUMPRODUCT((tbl_Achats[Cde_Ingrdt]=tbl_Stock[[#This Row],[Cde_Ingrdt]]) * tbl_Achats[Qté d''Achat] * tbl_Achats[Prix Achat Unitaire])</f>
        <v>0</v>
      </c>
      <c r="I215">
        <v>230</v>
      </c>
      <c r="J215" s="21">
        <f ca="1">tbl_Stock[[#This Row],[Stock Courant]] * tbl_Stock[[#This Row],[CMP effectif]]</f>
        <v>75</v>
      </c>
      <c r="K215">
        <f ca="1">tbl_Stock[[#This Row],[Stock Départ]] + SUMIF(tbl_Achats[Cde_Ingrdt],tbl_Stock[[#This Row],[Cde_Ingrdt]],tbl_Achats[[#This Row],[Qté d''Achat]])</f>
        <v>1500</v>
      </c>
      <c r="L215" s="7">
        <f ca="1">IFERROR((tbl_Stock[[#This Row],[Valeur stock initiale]] + tbl_Stock[[#This Row],[ Valeur Achat]]) / tbl_Stock[[#This Row],[Quantité totale]], 0)</f>
        <v>0.05</v>
      </c>
      <c r="M215" s="7">
        <f>SUMIF(tbl_Sorties[[Code ingrédient ]], tbl_Stock[[#This Row],[Cde_Ingrdt]], tbl_Sorties[Qté Sortie])</f>
        <v>0</v>
      </c>
      <c r="N215" s="57">
        <f>tbl_Stock[[#This Row],[Stock Départ]] + tbl_Stock[[#This Row],[Achats Cumulées]] - tbl_Stock[[#This Row],[ Sortie cumulée]]</f>
        <v>1500</v>
      </c>
      <c r="O215">
        <v>100</v>
      </c>
      <c r="P215" t="str">
        <f>IF(tbl_Stock[[#This Row],[Stock Courant]] &lt; tbl_Stock[[#This Row],[Seuil critique]], "⚠️ Alerte", "OK")</f>
        <v>OK</v>
      </c>
    </row>
    <row r="216" spans="1:16" x14ac:dyDescent="0.25">
      <c r="A216" t="str">
        <f>IFERROR(VLOOKUP(B216,Référentiels!$M$2:$N$267,2,FALSE),"Ingrédient non trouvé")</f>
        <v>EPI001</v>
      </c>
      <c r="B216" t="str">
        <f>+tbl_IngrédientsRef[[#This Row],[Ingrédient]]</f>
        <v>Épices Marocaines</v>
      </c>
      <c r="C216" t="str">
        <f>INDEX(tbl_IngrédientsRef[Unité], MATCH(A216, tbl_IngrédientsRef[Cde_Ingrdt],0))</f>
        <v>g</v>
      </c>
      <c r="D216" s="21">
        <f>IFERROR(INDEX(tbl_IngrédientsRef[[#This Row],[PU_effectif_g/ml]], MATCH(tbl_Stock[[#This Row],[Cde_Ingrdt]], tbl_IngrédientsRef[[#This Row],[Cde_Ingrdt]], 0)), 0)</f>
        <v>0.18</v>
      </c>
      <c r="E216">
        <v>1500</v>
      </c>
      <c r="F216" s="57">
        <f>tbl_Stock[[#This Row],[Stock Départ]] * INDEX(tbl_IngrédientsRef[Prix/Uni Base], MATCH(tbl_Stock[[#This Row],[Cde_Ingrdt]], tbl_IngrédientsRef[Cde_Ingrdt], 0))</f>
        <v>270</v>
      </c>
      <c r="G216">
        <f>SUMIF(tbl_Achats[Cde_Ingrdt],tbl_Stock[[#This Row],[Cde_Ingrdt]],tbl_Achats[Qté d''Achat])</f>
        <v>0</v>
      </c>
      <c r="H216" s="21">
        <f t="array" ref="H216">SUMPRODUCT((tbl_Achats[Cde_Ingrdt]=tbl_Stock[[#This Row],[Cde_Ingrdt]]) * tbl_Achats[Qté d''Achat] * tbl_Achats[Prix Achat Unitaire])</f>
        <v>0</v>
      </c>
      <c r="I216">
        <v>300</v>
      </c>
      <c r="J216" s="21">
        <f ca="1">tbl_Stock[[#This Row],[Stock Courant]] * tbl_Stock[[#This Row],[CMP effectif]]</f>
        <v>270</v>
      </c>
      <c r="K216">
        <f ca="1">tbl_Stock[[#This Row],[Stock Départ]] + SUMIF(tbl_Achats[Cde_Ingrdt],tbl_Stock[[#This Row],[Cde_Ingrdt]],tbl_Achats[[#This Row],[Qté d''Achat]])</f>
        <v>1500</v>
      </c>
      <c r="L216" s="7">
        <f ca="1">IFERROR((tbl_Stock[[#This Row],[Valeur stock initiale]] + tbl_Stock[[#This Row],[ Valeur Achat]]) / tbl_Stock[[#This Row],[Quantité totale]], 0)</f>
        <v>0.18</v>
      </c>
      <c r="M216" s="7">
        <f>SUMIF(tbl_Sorties[[Code ingrédient ]], tbl_Stock[[#This Row],[Cde_Ingrdt]], tbl_Sorties[Qté Sortie])</f>
        <v>0</v>
      </c>
      <c r="N216" s="57">
        <f>tbl_Stock[[#This Row],[Stock Départ]] + tbl_Stock[[#This Row],[Achats Cumulées]] - tbl_Stock[[#This Row],[ Sortie cumulée]]</f>
        <v>1500</v>
      </c>
      <c r="O216">
        <v>100</v>
      </c>
      <c r="P216" t="str">
        <f>IF(tbl_Stock[[#This Row],[Stock Courant]] &lt; tbl_Stock[[#This Row],[Seuil critique]], "⚠️ Alerte", "OK")</f>
        <v>OK</v>
      </c>
    </row>
    <row r="217" spans="1:16" x14ac:dyDescent="0.25">
      <c r="A217" t="str">
        <f>IFERROR(VLOOKUP(B217,Référentiels!$M$2:$N$267,2,FALSE),"Ingrédient non trouvé")</f>
        <v>EPI002</v>
      </c>
      <c r="B217" t="str">
        <f>+tbl_IngrédientsRef[[#This Row],[Ingrédient]]</f>
        <v>Safran</v>
      </c>
      <c r="C217" t="str">
        <f>INDEX(tbl_IngrédientsRef[Unité], MATCH(A217, tbl_IngrédientsRef[Cde_Ingrdt],0))</f>
        <v>g</v>
      </c>
      <c r="D217" s="21">
        <f>IFERROR(INDEX(tbl_IngrédientsRef[[#This Row],[PU_effectif_g/ml]], MATCH(tbl_Stock[[#This Row],[Cde_Ingrdt]], tbl_IngrédientsRef[[#This Row],[Cde_Ingrdt]], 0)), 0)</f>
        <v>33</v>
      </c>
      <c r="E217">
        <v>1500</v>
      </c>
      <c r="F217" s="57">
        <f>tbl_Stock[[#This Row],[Stock Départ]] * INDEX(tbl_IngrédientsRef[Prix/Uni Base], MATCH(tbl_Stock[[#This Row],[Cde_Ingrdt]], tbl_IngrédientsRef[Cde_Ingrdt], 0))</f>
        <v>49500</v>
      </c>
      <c r="G217">
        <f>SUMIF(tbl_Achats[Cde_Ingrdt],tbl_Stock[[#This Row],[Cde_Ingrdt]],tbl_Achats[Qté d''Achat])</f>
        <v>0</v>
      </c>
      <c r="H217" s="21">
        <f t="array" ref="H217">SUMPRODUCT((tbl_Achats[Cde_Ingrdt]=tbl_Stock[[#This Row],[Cde_Ingrdt]]) * tbl_Achats[Qté d''Achat] * tbl_Achats[Prix Achat Unitaire])</f>
        <v>0</v>
      </c>
      <c r="I217">
        <v>340</v>
      </c>
      <c r="J217" s="21">
        <f ca="1">tbl_Stock[[#This Row],[Stock Courant]] * tbl_Stock[[#This Row],[CMP effectif]]</f>
        <v>49500</v>
      </c>
      <c r="K217">
        <f ca="1">tbl_Stock[[#This Row],[Stock Départ]] + SUMIF(tbl_Achats[Cde_Ingrdt],tbl_Stock[[#This Row],[Cde_Ingrdt]],tbl_Achats[[#This Row],[Qté d''Achat]])</f>
        <v>1500</v>
      </c>
      <c r="L217" s="7">
        <f ca="1">IFERROR((tbl_Stock[[#This Row],[Valeur stock initiale]] + tbl_Stock[[#This Row],[ Valeur Achat]]) / tbl_Stock[[#This Row],[Quantité totale]], 0)</f>
        <v>33</v>
      </c>
      <c r="M217" s="7">
        <f>SUMIF(tbl_Sorties[[Code ingrédient ]], tbl_Stock[[#This Row],[Cde_Ingrdt]], tbl_Sorties[Qté Sortie])</f>
        <v>0</v>
      </c>
      <c r="N217" s="57">
        <f>tbl_Stock[[#This Row],[Stock Départ]] + tbl_Stock[[#This Row],[Achats Cumulées]] - tbl_Stock[[#This Row],[ Sortie cumulée]]</f>
        <v>1500</v>
      </c>
      <c r="O217">
        <v>100</v>
      </c>
      <c r="P217" t="str">
        <f>IF(tbl_Stock[[#This Row],[Stock Courant]] &lt; tbl_Stock[[#This Row],[Seuil critique]], "⚠️ Alerte", "OK")</f>
        <v>OK</v>
      </c>
    </row>
    <row r="218" spans="1:16" x14ac:dyDescent="0.25">
      <c r="A218" t="str">
        <f>IFERROR(VLOOKUP(B218,Référentiels!$M$2:$N$267,2,FALSE),"Ingrédient non trouvé")</f>
        <v>EPI003</v>
      </c>
      <c r="B218" t="str">
        <f>+tbl_IngrédientsRef[[#This Row],[Ingrédient]]</f>
        <v>Cannelle</v>
      </c>
      <c r="C218" t="str">
        <f>INDEX(tbl_IngrédientsRef[Unité], MATCH(A218, tbl_IngrédientsRef[Cde_Ingrdt],0))</f>
        <v>g</v>
      </c>
      <c r="D218" s="21">
        <f>IFERROR(INDEX(tbl_IngrédientsRef[[#This Row],[PU_effectif_g/ml]], MATCH(tbl_Stock[[#This Row],[Cde_Ingrdt]], tbl_IngrédientsRef[[#This Row],[Cde_Ingrdt]], 0)), 0)</f>
        <v>8.7999999999999995E-2</v>
      </c>
      <c r="E218">
        <v>1500</v>
      </c>
      <c r="F218" s="57">
        <f>tbl_Stock[[#This Row],[Stock Départ]] * INDEX(tbl_IngrédientsRef[Prix/Uni Base], MATCH(tbl_Stock[[#This Row],[Cde_Ingrdt]], tbl_IngrédientsRef[Cde_Ingrdt], 0))</f>
        <v>132</v>
      </c>
      <c r="G218">
        <f>SUMIF(tbl_Achats[Cde_Ingrdt],tbl_Stock[[#This Row],[Cde_Ingrdt]],tbl_Achats[Qté d''Achat])</f>
        <v>0</v>
      </c>
      <c r="H218" s="21">
        <f t="array" ref="H218">SUMPRODUCT((tbl_Achats[Cde_Ingrdt]=tbl_Stock[[#This Row],[Cde_Ingrdt]]) * tbl_Achats[Qté d''Achat] * tbl_Achats[Prix Achat Unitaire])</f>
        <v>0</v>
      </c>
      <c r="I218">
        <v>250</v>
      </c>
      <c r="J218" s="21">
        <f ca="1">tbl_Stock[[#This Row],[Stock Courant]] * tbl_Stock[[#This Row],[CMP effectif]]</f>
        <v>132</v>
      </c>
      <c r="K218">
        <f ca="1">tbl_Stock[[#This Row],[Stock Départ]] + SUMIF(tbl_Achats[Cde_Ingrdt],tbl_Stock[[#This Row],[Cde_Ingrdt]],tbl_Achats[[#This Row],[Qté d''Achat]])</f>
        <v>1500</v>
      </c>
      <c r="L218" s="7">
        <f ca="1">IFERROR((tbl_Stock[[#This Row],[Valeur stock initiale]] + tbl_Stock[[#This Row],[ Valeur Achat]]) / tbl_Stock[[#This Row],[Quantité totale]], 0)</f>
        <v>8.7999999999999995E-2</v>
      </c>
      <c r="M218" s="7">
        <f>SUMIF(tbl_Sorties[[Code ingrédient ]], tbl_Stock[[#This Row],[Cde_Ingrdt]], tbl_Sorties[Qté Sortie])</f>
        <v>0</v>
      </c>
      <c r="N218" s="57">
        <f>tbl_Stock[[#This Row],[Stock Départ]] + tbl_Stock[[#This Row],[Achats Cumulées]] - tbl_Stock[[#This Row],[ Sortie cumulée]]</f>
        <v>1500</v>
      </c>
      <c r="O218">
        <v>100</v>
      </c>
      <c r="P218" t="str">
        <f>IF(tbl_Stock[[#This Row],[Stock Courant]] &lt; tbl_Stock[[#This Row],[Seuil critique]], "⚠️ Alerte", "OK")</f>
        <v>OK</v>
      </c>
    </row>
    <row r="219" spans="1:16" x14ac:dyDescent="0.25">
      <c r="A219" t="str">
        <f>IFERROR(VLOOKUP(B219,Référentiels!$M$2:$N$267,2,FALSE),"Ingrédient non trouvé")</f>
        <v>EPI004</v>
      </c>
      <c r="B219" t="str">
        <f>+tbl_IngrédientsRef[[#This Row],[Ingrédient]]</f>
        <v>Amandes</v>
      </c>
      <c r="C219" t="str">
        <f>INDEX(tbl_IngrédientsRef[Unité], MATCH(A219, tbl_IngrédientsRef[Cde_Ingrdt],0))</f>
        <v>g</v>
      </c>
      <c r="D219" s="21">
        <f>IFERROR(INDEX(tbl_IngrédientsRef[[#This Row],[PU_effectif_g/ml]], MATCH(tbl_Stock[[#This Row],[Cde_Ingrdt]], tbl_IngrédientsRef[[#This Row],[Cde_Ingrdt]], 0)), 0)</f>
        <v>0.12</v>
      </c>
      <c r="E219">
        <v>1500</v>
      </c>
      <c r="F219" s="57">
        <f>tbl_Stock[[#This Row],[Stock Départ]] * INDEX(tbl_IngrédientsRef[Prix/Uni Base], MATCH(tbl_Stock[[#This Row],[Cde_Ingrdt]], tbl_IngrédientsRef[Cde_Ingrdt], 0))</f>
        <v>180</v>
      </c>
      <c r="G219">
        <f>SUMIF(tbl_Achats[Cde_Ingrdt],tbl_Stock[[#This Row],[Cde_Ingrdt]],tbl_Achats[Qté d''Achat])</f>
        <v>0</v>
      </c>
      <c r="H219" s="21">
        <f t="array" ref="H219">SUMPRODUCT((tbl_Achats[Cde_Ingrdt]=tbl_Stock[[#This Row],[Cde_Ingrdt]]) * tbl_Achats[Qté d''Achat] * tbl_Achats[Prix Achat Unitaire])</f>
        <v>0</v>
      </c>
      <c r="I219">
        <v>230</v>
      </c>
      <c r="J219" s="21">
        <f ca="1">tbl_Stock[[#This Row],[Stock Courant]] * tbl_Stock[[#This Row],[CMP effectif]]</f>
        <v>180</v>
      </c>
      <c r="K219">
        <f ca="1">tbl_Stock[[#This Row],[Stock Départ]] + SUMIF(tbl_Achats[Cde_Ingrdt],tbl_Stock[[#This Row],[Cde_Ingrdt]],tbl_Achats[[#This Row],[Qté d''Achat]])</f>
        <v>1500</v>
      </c>
      <c r="L219" s="7">
        <f ca="1">IFERROR((tbl_Stock[[#This Row],[Valeur stock initiale]] + tbl_Stock[[#This Row],[ Valeur Achat]]) / tbl_Stock[[#This Row],[Quantité totale]], 0)</f>
        <v>0.12</v>
      </c>
      <c r="M219" s="7">
        <f>SUMIF(tbl_Sorties[[Code ingrédient ]], tbl_Stock[[#This Row],[Cde_Ingrdt]], tbl_Sorties[Qté Sortie])</f>
        <v>0</v>
      </c>
      <c r="N219" s="57">
        <f>tbl_Stock[[#This Row],[Stock Départ]] + tbl_Stock[[#This Row],[Achats Cumulées]] - tbl_Stock[[#This Row],[ Sortie cumulée]]</f>
        <v>1500</v>
      </c>
      <c r="O219">
        <v>100</v>
      </c>
      <c r="P219" t="str">
        <f>IF(tbl_Stock[[#This Row],[Stock Courant]] &lt; tbl_Stock[[#This Row],[Seuil critique]], "⚠️ Alerte", "OK")</f>
        <v>OK</v>
      </c>
    </row>
    <row r="220" spans="1:16" x14ac:dyDescent="0.25">
      <c r="A220" t="str">
        <f>IFERROR(VLOOKUP(B220,Référentiels!$M$2:$N$267,2,FALSE),"Ingrédient non trouvé")</f>
        <v>EPI005</v>
      </c>
      <c r="B220" t="str">
        <f>+tbl_IngrédientsRef[[#This Row],[Ingrédient]]</f>
        <v>Sel, Poivre</v>
      </c>
      <c r="C220" t="str">
        <f>INDEX(tbl_IngrédientsRef[Unité], MATCH(A220, tbl_IngrédientsRef[Cde_Ingrdt],0))</f>
        <v>g</v>
      </c>
      <c r="D220" s="21">
        <f>IFERROR(INDEX(tbl_IngrédientsRef[[#This Row],[PU_effectif_g/ml]], MATCH(tbl_Stock[[#This Row],[Cde_Ingrdt]], tbl_IngrédientsRef[[#This Row],[Cde_Ingrdt]], 0)), 0)</f>
        <v>0.09</v>
      </c>
      <c r="E220">
        <v>1500</v>
      </c>
      <c r="F220" s="57">
        <f>tbl_Stock[[#This Row],[Stock Départ]] * INDEX(tbl_IngrédientsRef[Prix/Uni Base], MATCH(tbl_Stock[[#This Row],[Cde_Ingrdt]], tbl_IngrédientsRef[Cde_Ingrdt], 0))</f>
        <v>135</v>
      </c>
      <c r="G220">
        <f>SUMIF(tbl_Achats[Cde_Ingrdt],tbl_Stock[[#This Row],[Cde_Ingrdt]],tbl_Achats[Qté d''Achat])</f>
        <v>0</v>
      </c>
      <c r="H220" s="21">
        <f t="array" ref="H220">SUMPRODUCT((tbl_Achats[Cde_Ingrdt]=tbl_Stock[[#This Row],[Cde_Ingrdt]]) * tbl_Achats[Qté d''Achat] * tbl_Achats[Prix Achat Unitaire])</f>
        <v>0</v>
      </c>
      <c r="I220">
        <v>300</v>
      </c>
      <c r="J220" s="21">
        <f ca="1">tbl_Stock[[#This Row],[Stock Courant]] * tbl_Stock[[#This Row],[CMP effectif]]</f>
        <v>135</v>
      </c>
      <c r="K220">
        <f ca="1">tbl_Stock[[#This Row],[Stock Départ]] + SUMIF(tbl_Achats[Cde_Ingrdt],tbl_Stock[[#This Row],[Cde_Ingrdt]],tbl_Achats[[#This Row],[Qté d''Achat]])</f>
        <v>1500</v>
      </c>
      <c r="L220" s="7">
        <f ca="1">IFERROR((tbl_Stock[[#This Row],[Valeur stock initiale]] + tbl_Stock[[#This Row],[ Valeur Achat]]) / tbl_Stock[[#This Row],[Quantité totale]], 0)</f>
        <v>0.09</v>
      </c>
      <c r="M220" s="7">
        <f>SUMIF(tbl_Sorties[[Code ingrédient ]], tbl_Stock[[#This Row],[Cde_Ingrdt]], tbl_Sorties[Qté Sortie])</f>
        <v>0</v>
      </c>
      <c r="N220" s="57">
        <f>tbl_Stock[[#This Row],[Stock Départ]] + tbl_Stock[[#This Row],[Achats Cumulées]] - tbl_Stock[[#This Row],[ Sortie cumulée]]</f>
        <v>1500</v>
      </c>
      <c r="O220">
        <v>100</v>
      </c>
      <c r="P220" t="str">
        <f>IF(tbl_Stock[[#This Row],[Stock Courant]] &lt; tbl_Stock[[#This Row],[Seuil critique]], "⚠️ Alerte", "OK")</f>
        <v>OK</v>
      </c>
    </row>
    <row r="221" spans="1:16" x14ac:dyDescent="0.25">
      <c r="A221" t="str">
        <f>IFERROR(VLOOKUP(B221,Référentiels!$M$2:$N$267,2,FALSE),"Ingrédient non trouvé")</f>
        <v>EPI006</v>
      </c>
      <c r="B221" t="str">
        <f>+tbl_IngrédientsRef[[#This Row],[Ingrédient]]</f>
        <v>Gingembre</v>
      </c>
      <c r="C221" t="str">
        <f>INDEX(tbl_IngrédientsRef[Unité], MATCH(A221, tbl_IngrédientsRef[Cde_Ingrdt],0))</f>
        <v>g</v>
      </c>
      <c r="D221" s="21">
        <f>IFERROR(INDEX(tbl_IngrédientsRef[[#This Row],[PU_effectif_g/ml]], MATCH(tbl_Stock[[#This Row],[Cde_Ingrdt]], tbl_IngrédientsRef[[#This Row],[Cde_Ingrdt]], 0)), 0)</f>
        <v>0.09</v>
      </c>
      <c r="E221">
        <v>1500</v>
      </c>
      <c r="F221" s="57">
        <f>tbl_Stock[[#This Row],[Stock Départ]] * INDEX(tbl_IngrédientsRef[Prix/Uni Base], MATCH(tbl_Stock[[#This Row],[Cde_Ingrdt]], tbl_IngrédientsRef[Cde_Ingrdt], 0))</f>
        <v>135</v>
      </c>
      <c r="G221">
        <f>SUMIF(tbl_Achats[Cde_Ingrdt],tbl_Stock[[#This Row],[Cde_Ingrdt]],tbl_Achats[Qté d''Achat])</f>
        <v>0</v>
      </c>
      <c r="H221" s="21">
        <f t="array" ref="H221">SUMPRODUCT((tbl_Achats[Cde_Ingrdt]=tbl_Stock[[#This Row],[Cde_Ingrdt]]) * tbl_Achats[Qté d''Achat] * tbl_Achats[Prix Achat Unitaire])</f>
        <v>0</v>
      </c>
      <c r="I221">
        <v>340</v>
      </c>
      <c r="J221" s="21">
        <f ca="1">tbl_Stock[[#This Row],[Stock Courant]] * tbl_Stock[[#This Row],[CMP effectif]]</f>
        <v>135</v>
      </c>
      <c r="K221">
        <f ca="1">tbl_Stock[[#This Row],[Stock Départ]] + SUMIF(tbl_Achats[Cde_Ingrdt],tbl_Stock[[#This Row],[Cde_Ingrdt]],tbl_Achats[[#This Row],[Qté d''Achat]])</f>
        <v>1500</v>
      </c>
      <c r="L221" s="7">
        <f ca="1">IFERROR((tbl_Stock[[#This Row],[Valeur stock initiale]] + tbl_Stock[[#This Row],[ Valeur Achat]]) / tbl_Stock[[#This Row],[Quantité totale]], 0)</f>
        <v>0.09</v>
      </c>
      <c r="M221" s="7">
        <f>SUMIF(tbl_Sorties[[Code ingrédient ]], tbl_Stock[[#This Row],[Cde_Ingrdt]], tbl_Sorties[Qté Sortie])</f>
        <v>0</v>
      </c>
      <c r="N221" s="57">
        <f>tbl_Stock[[#This Row],[Stock Départ]] + tbl_Stock[[#This Row],[Achats Cumulées]] - tbl_Stock[[#This Row],[ Sortie cumulée]]</f>
        <v>1500</v>
      </c>
      <c r="O221">
        <v>100</v>
      </c>
      <c r="P221" t="str">
        <f>IF(tbl_Stock[[#This Row],[Stock Courant]] &lt; tbl_Stock[[#This Row],[Seuil critique]], "⚠️ Alerte", "OK")</f>
        <v>OK</v>
      </c>
    </row>
    <row r="222" spans="1:16" x14ac:dyDescent="0.25">
      <c r="A222" t="str">
        <f>IFERROR(VLOOKUP(B222,Référentiels!$M$2:$N$267,2,FALSE),"Ingrédient non trouvé")</f>
        <v>EPI007</v>
      </c>
      <c r="B222" t="str">
        <f>+tbl_IngrédientsRef[[#This Row],[Ingrédient]]</f>
        <v>Coriandre</v>
      </c>
      <c r="C222" t="str">
        <f>INDEX(tbl_IngrédientsRef[Unité], MATCH(A222, tbl_IngrédientsRef[Cde_Ingrdt],0))</f>
        <v>g</v>
      </c>
      <c r="D222" s="21">
        <f>IFERROR(INDEX(tbl_IngrédientsRef[[#This Row],[PU_effectif_g/ml]], MATCH(tbl_Stock[[#This Row],[Cde_Ingrdt]], tbl_IngrédientsRef[[#This Row],[Cde_Ingrdt]], 0)), 0)</f>
        <v>6.6000000000000003E-2</v>
      </c>
      <c r="E222">
        <v>1500</v>
      </c>
      <c r="F222" s="57">
        <f>tbl_Stock[[#This Row],[Stock Départ]] * INDEX(tbl_IngrédientsRef[Prix/Uni Base], MATCH(tbl_Stock[[#This Row],[Cde_Ingrdt]], tbl_IngrédientsRef[Cde_Ingrdt], 0))</f>
        <v>99</v>
      </c>
      <c r="G222">
        <f>SUMIF(tbl_Achats[Cde_Ingrdt],tbl_Stock[[#This Row],[Cde_Ingrdt]],tbl_Achats[Qté d''Achat])</f>
        <v>0</v>
      </c>
      <c r="H222" s="21">
        <f t="array" ref="H222">SUMPRODUCT((tbl_Achats[Cde_Ingrdt]=tbl_Stock[[#This Row],[Cde_Ingrdt]]) * tbl_Achats[Qté d''Achat] * tbl_Achats[Prix Achat Unitaire])</f>
        <v>0</v>
      </c>
      <c r="I222">
        <v>250</v>
      </c>
      <c r="J222" s="21">
        <f ca="1">tbl_Stock[[#This Row],[Stock Courant]] * tbl_Stock[[#This Row],[CMP effectif]]</f>
        <v>99</v>
      </c>
      <c r="K222">
        <f ca="1">tbl_Stock[[#This Row],[Stock Départ]] + SUMIF(tbl_Achats[Cde_Ingrdt],tbl_Stock[[#This Row],[Cde_Ingrdt]],tbl_Achats[[#This Row],[Qté d''Achat]])</f>
        <v>1500</v>
      </c>
      <c r="L222" s="7">
        <f ca="1">IFERROR((tbl_Stock[[#This Row],[Valeur stock initiale]] + tbl_Stock[[#This Row],[ Valeur Achat]]) / tbl_Stock[[#This Row],[Quantité totale]], 0)</f>
        <v>6.6000000000000003E-2</v>
      </c>
      <c r="M222" s="7">
        <f>SUMIF(tbl_Sorties[[Code ingrédient ]], tbl_Stock[[#This Row],[Cde_Ingrdt]], tbl_Sorties[Qté Sortie])</f>
        <v>0</v>
      </c>
      <c r="N222" s="57">
        <f>tbl_Stock[[#This Row],[Stock Départ]] + tbl_Stock[[#This Row],[Achats Cumulées]] - tbl_Stock[[#This Row],[ Sortie cumulée]]</f>
        <v>1500</v>
      </c>
      <c r="O222">
        <v>100</v>
      </c>
      <c r="P222" t="str">
        <f>IF(tbl_Stock[[#This Row],[Stock Courant]] &lt; tbl_Stock[[#This Row],[Seuil critique]], "⚠️ Alerte", "OK")</f>
        <v>OK</v>
      </c>
    </row>
    <row r="223" spans="1:16" x14ac:dyDescent="0.25">
      <c r="A223" t="str">
        <f>IFERROR(VLOOKUP(B223,Référentiels!$M$2:$N$267,2,FALSE),"Ingrédient non trouvé")</f>
        <v>EPI008</v>
      </c>
      <c r="B223" t="str">
        <f>+tbl_IngrédientsRef[[#This Row],[Ingrédient]]</f>
        <v>Origan</v>
      </c>
      <c r="C223" t="str">
        <f>INDEX(tbl_IngrédientsRef[Unité], MATCH(A223, tbl_IngrédientsRef[Cde_Ingrdt],0))</f>
        <v>g</v>
      </c>
      <c r="D223" s="21">
        <f>IFERROR(INDEX(tbl_IngrédientsRef[[#This Row],[PU_effectif_g/ml]], MATCH(tbl_Stock[[#This Row],[Cde_Ingrdt]], tbl_IngrédientsRef[[#This Row],[Cde_Ingrdt]], 0)), 0)</f>
        <v>0.05</v>
      </c>
      <c r="E223">
        <v>1500</v>
      </c>
      <c r="F223" s="57">
        <f>tbl_Stock[[#This Row],[Stock Départ]] * INDEX(tbl_IngrédientsRef[Prix/Uni Base], MATCH(tbl_Stock[[#This Row],[Cde_Ingrdt]], tbl_IngrédientsRef[Cde_Ingrdt], 0))</f>
        <v>75</v>
      </c>
      <c r="G223">
        <f>SUMIF(tbl_Achats[Cde_Ingrdt],tbl_Stock[[#This Row],[Cde_Ingrdt]],tbl_Achats[Qté d''Achat])</f>
        <v>0</v>
      </c>
      <c r="H223" s="21">
        <f t="array" ref="H223">SUMPRODUCT((tbl_Achats[Cde_Ingrdt]=tbl_Stock[[#This Row],[Cde_Ingrdt]]) * tbl_Achats[Qté d''Achat] * tbl_Achats[Prix Achat Unitaire])</f>
        <v>0</v>
      </c>
      <c r="I223">
        <v>230</v>
      </c>
      <c r="J223" s="21">
        <f ca="1">tbl_Stock[[#This Row],[Stock Courant]] * tbl_Stock[[#This Row],[CMP effectif]]</f>
        <v>75</v>
      </c>
      <c r="K223">
        <f ca="1">tbl_Stock[[#This Row],[Stock Départ]] + SUMIF(tbl_Achats[Cde_Ingrdt],tbl_Stock[[#This Row],[Cde_Ingrdt]],tbl_Achats[[#This Row],[Qté d''Achat]])</f>
        <v>1500</v>
      </c>
      <c r="L223" s="7">
        <f ca="1">IFERROR((tbl_Stock[[#This Row],[Valeur stock initiale]] + tbl_Stock[[#This Row],[ Valeur Achat]]) / tbl_Stock[[#This Row],[Quantité totale]], 0)</f>
        <v>0.05</v>
      </c>
      <c r="M223" s="7">
        <f>SUMIF(tbl_Sorties[[Code ingrédient ]], tbl_Stock[[#This Row],[Cde_Ingrdt]], tbl_Sorties[Qté Sortie])</f>
        <v>0</v>
      </c>
      <c r="N223" s="57">
        <f>tbl_Stock[[#This Row],[Stock Départ]] + tbl_Stock[[#This Row],[Achats Cumulées]] - tbl_Stock[[#This Row],[ Sortie cumulée]]</f>
        <v>1500</v>
      </c>
      <c r="O223">
        <v>100</v>
      </c>
      <c r="P223" t="str">
        <f>IF(tbl_Stock[[#This Row],[Stock Courant]] &lt; tbl_Stock[[#This Row],[Seuil critique]], "⚠️ Alerte", "OK")</f>
        <v>OK</v>
      </c>
    </row>
    <row r="224" spans="1:16" x14ac:dyDescent="0.25">
      <c r="A224" t="str">
        <f>IFERROR(VLOOKUP(B224,Référentiels!$M$2:$N$267,2,FALSE),"Ingrédient non trouvé")</f>
        <v>EPI009</v>
      </c>
      <c r="B224" t="str">
        <f>+tbl_IngrédientsRef[[#This Row],[Ingrédient]]</f>
        <v>Piments Fort</v>
      </c>
      <c r="C224" t="str">
        <f>INDEX(tbl_IngrédientsRef[Unité], MATCH(A224, tbl_IngrédientsRef[Cde_Ingrdt],0))</f>
        <v>g</v>
      </c>
      <c r="D224" s="21">
        <f>IFERROR(INDEX(tbl_IngrédientsRef[[#This Row],[PU_effectif_g/ml]], MATCH(tbl_Stock[[#This Row],[Cde_Ingrdt]], tbl_IngrédientsRef[[#This Row],[Cde_Ingrdt]], 0)), 0)</f>
        <v>0.05</v>
      </c>
      <c r="E224">
        <v>1500</v>
      </c>
      <c r="F224" s="57">
        <f>tbl_Stock[[#This Row],[Stock Départ]] * INDEX(tbl_IngrédientsRef[Prix/Uni Base], MATCH(tbl_Stock[[#This Row],[Cde_Ingrdt]], tbl_IngrédientsRef[Cde_Ingrdt], 0))</f>
        <v>75</v>
      </c>
      <c r="G224">
        <f>SUMIF(tbl_Achats[Cde_Ingrdt],tbl_Stock[[#This Row],[Cde_Ingrdt]],tbl_Achats[Qté d''Achat])</f>
        <v>0</v>
      </c>
      <c r="H224" s="21">
        <f t="array" ref="H224">SUMPRODUCT((tbl_Achats[Cde_Ingrdt]=tbl_Stock[[#This Row],[Cde_Ingrdt]]) * tbl_Achats[Qté d''Achat] * tbl_Achats[Prix Achat Unitaire])</f>
        <v>0</v>
      </c>
      <c r="I224">
        <v>300</v>
      </c>
      <c r="J224" s="21">
        <f ca="1">tbl_Stock[[#This Row],[Stock Courant]] * tbl_Stock[[#This Row],[CMP effectif]]</f>
        <v>75</v>
      </c>
      <c r="K224">
        <f ca="1">tbl_Stock[[#This Row],[Stock Départ]] + SUMIF(tbl_Achats[Cde_Ingrdt],tbl_Stock[[#This Row],[Cde_Ingrdt]],tbl_Achats[[#This Row],[Qté d''Achat]])</f>
        <v>1500</v>
      </c>
      <c r="L224" s="7">
        <f ca="1">IFERROR((tbl_Stock[[#This Row],[Valeur stock initiale]] + tbl_Stock[[#This Row],[ Valeur Achat]]) / tbl_Stock[[#This Row],[Quantité totale]], 0)</f>
        <v>0.05</v>
      </c>
      <c r="M224" s="7">
        <f>SUMIF(tbl_Sorties[[Code ingrédient ]], tbl_Stock[[#This Row],[Cde_Ingrdt]], tbl_Sorties[Qté Sortie])</f>
        <v>0</v>
      </c>
      <c r="N224" s="57">
        <f>tbl_Stock[[#This Row],[Stock Départ]] + tbl_Stock[[#This Row],[Achats Cumulées]] - tbl_Stock[[#This Row],[ Sortie cumulée]]</f>
        <v>1500</v>
      </c>
      <c r="O224">
        <v>100</v>
      </c>
      <c r="P224" t="str">
        <f>IF(tbl_Stock[[#This Row],[Stock Courant]] &lt; tbl_Stock[[#This Row],[Seuil critique]], "⚠️ Alerte", "OK")</f>
        <v>OK</v>
      </c>
    </row>
    <row r="225" spans="1:16" x14ac:dyDescent="0.25">
      <c r="A225" t="str">
        <f>IFERROR(VLOOKUP(B225,Référentiels!$M$2:$N$267,2,FALSE),"Ingrédient non trouvé")</f>
        <v>EPI010</v>
      </c>
      <c r="B225" t="str">
        <f>+tbl_IngrédientsRef[[#This Row],[Ingrédient]]</f>
        <v>Thé Vert</v>
      </c>
      <c r="C225" t="str">
        <f>INDEX(tbl_IngrédientsRef[Unité], MATCH(A225, tbl_IngrédientsRef[Cde_Ingrdt],0))</f>
        <v>g</v>
      </c>
      <c r="D225" s="21">
        <f>IFERROR(INDEX(tbl_IngrédientsRef[[#This Row],[PU_effectif_g/ml]], MATCH(tbl_Stock[[#This Row],[Cde_Ingrdt]], tbl_IngrédientsRef[[#This Row],[Cde_Ingrdt]], 0)), 0)</f>
        <v>0.21</v>
      </c>
      <c r="E225">
        <v>1500</v>
      </c>
      <c r="F225" s="57">
        <f>tbl_Stock[[#This Row],[Stock Départ]] * INDEX(tbl_IngrédientsRef[Prix/Uni Base], MATCH(tbl_Stock[[#This Row],[Cde_Ingrdt]], tbl_IngrédientsRef[Cde_Ingrdt], 0))</f>
        <v>315</v>
      </c>
      <c r="G225">
        <f>SUMIF(tbl_Achats[Cde_Ingrdt],tbl_Stock[[#This Row],[Cde_Ingrdt]],tbl_Achats[Qté d''Achat])</f>
        <v>0</v>
      </c>
      <c r="H225" s="21">
        <f t="array" ref="H225">SUMPRODUCT((tbl_Achats[Cde_Ingrdt]=tbl_Stock[[#This Row],[Cde_Ingrdt]]) * tbl_Achats[Qté d''Achat] * tbl_Achats[Prix Achat Unitaire])</f>
        <v>0</v>
      </c>
      <c r="I225">
        <v>340</v>
      </c>
      <c r="J225" s="21">
        <f ca="1">tbl_Stock[[#This Row],[Stock Courant]] * tbl_Stock[[#This Row],[CMP effectif]]</f>
        <v>315</v>
      </c>
      <c r="K225">
        <f ca="1">tbl_Stock[[#This Row],[Stock Départ]] + SUMIF(tbl_Achats[Cde_Ingrdt],tbl_Stock[[#This Row],[Cde_Ingrdt]],tbl_Achats[[#This Row],[Qté d''Achat]])</f>
        <v>1500</v>
      </c>
      <c r="L225" s="7">
        <f ca="1">IFERROR((tbl_Stock[[#This Row],[Valeur stock initiale]] + tbl_Stock[[#This Row],[ Valeur Achat]]) / tbl_Stock[[#This Row],[Quantité totale]], 0)</f>
        <v>0.21</v>
      </c>
      <c r="M225" s="7">
        <f>SUMIF(tbl_Sorties[[Code ingrédient ]], tbl_Stock[[#This Row],[Cde_Ingrdt]], tbl_Sorties[Qté Sortie])</f>
        <v>0</v>
      </c>
      <c r="N225" s="57">
        <f>tbl_Stock[[#This Row],[Stock Départ]] + tbl_Stock[[#This Row],[Achats Cumulées]] - tbl_Stock[[#This Row],[ Sortie cumulée]]</f>
        <v>1500</v>
      </c>
      <c r="O225">
        <v>100</v>
      </c>
      <c r="P225" t="str">
        <f>IF(tbl_Stock[[#This Row],[Stock Courant]] &lt; tbl_Stock[[#This Row],[Seuil critique]], "⚠️ Alerte", "OK")</f>
        <v>OK</v>
      </c>
    </row>
    <row r="226" spans="1:16" x14ac:dyDescent="0.25">
      <c r="A226" t="str">
        <f>IFERROR(VLOOKUP(B226,Référentiels!$M$2:$N$267,2,FALSE),"Ingrédient non trouvé")</f>
        <v>PSU001</v>
      </c>
      <c r="B226" t="str">
        <f>+tbl_IngrédientsRef[[#This Row],[Ingrédient]]</f>
        <v>Confiture</v>
      </c>
      <c r="C226" t="str">
        <f>INDEX(tbl_IngrédientsRef[Unité], MATCH(A226, tbl_IngrédientsRef[Cde_Ingrdt],0))</f>
        <v>g</v>
      </c>
      <c r="D226" s="21">
        <f>IFERROR(INDEX(tbl_IngrédientsRef[[#This Row],[PU_effectif_g/ml]], MATCH(tbl_Stock[[#This Row],[Cde_Ingrdt]], tbl_IngrédientsRef[[#This Row],[Cde_Ingrdt]], 0)), 0)</f>
        <v>0.05</v>
      </c>
      <c r="E226">
        <v>1500</v>
      </c>
      <c r="F226" s="57">
        <f>tbl_Stock[[#This Row],[Stock Départ]] * INDEX(tbl_IngrédientsRef[Prix/Uni Base], MATCH(tbl_Stock[[#This Row],[Cde_Ingrdt]], tbl_IngrédientsRef[Cde_Ingrdt], 0))</f>
        <v>75</v>
      </c>
      <c r="G226">
        <f>SUMIF(tbl_Achats[Cde_Ingrdt],tbl_Stock[[#This Row],[Cde_Ingrdt]],tbl_Achats[Qté d''Achat])</f>
        <v>0</v>
      </c>
      <c r="H226" s="21">
        <f t="array" ref="H226">SUMPRODUCT((tbl_Achats[Cde_Ingrdt]=tbl_Stock[[#This Row],[Cde_Ingrdt]]) * tbl_Achats[Qté d''Achat] * tbl_Achats[Prix Achat Unitaire])</f>
        <v>0</v>
      </c>
      <c r="I226">
        <v>250</v>
      </c>
      <c r="J226" s="21">
        <f ca="1">tbl_Stock[[#This Row],[Stock Courant]] * tbl_Stock[[#This Row],[CMP effectif]]</f>
        <v>75</v>
      </c>
      <c r="K226">
        <f ca="1">tbl_Stock[[#This Row],[Stock Départ]] + SUMIF(tbl_Achats[Cde_Ingrdt],tbl_Stock[[#This Row],[Cde_Ingrdt]],tbl_Achats[[#This Row],[Qté d''Achat]])</f>
        <v>1500</v>
      </c>
      <c r="L226" s="7">
        <f ca="1">IFERROR((tbl_Stock[[#This Row],[Valeur stock initiale]] + tbl_Stock[[#This Row],[ Valeur Achat]]) / tbl_Stock[[#This Row],[Quantité totale]], 0)</f>
        <v>0.05</v>
      </c>
      <c r="M226" s="7">
        <f>SUMIF(tbl_Sorties[[Code ingrédient ]], tbl_Stock[[#This Row],[Cde_Ingrdt]], tbl_Sorties[Qté Sortie])</f>
        <v>0</v>
      </c>
      <c r="N226" s="57">
        <f>tbl_Stock[[#This Row],[Stock Départ]] + tbl_Stock[[#This Row],[Achats Cumulées]] - tbl_Stock[[#This Row],[ Sortie cumulée]]</f>
        <v>1500</v>
      </c>
      <c r="O226">
        <v>100</v>
      </c>
      <c r="P226" t="str">
        <f>IF(tbl_Stock[[#This Row],[Stock Courant]] &lt; tbl_Stock[[#This Row],[Seuil critique]], "⚠️ Alerte", "OK")</f>
        <v>OK</v>
      </c>
    </row>
    <row r="227" spans="1:16" x14ac:dyDescent="0.25">
      <c r="A227" t="str">
        <f>IFERROR(VLOOKUP(B227,Référentiels!$M$2:$N$267,2,FALSE),"Ingrédient non trouvé")</f>
        <v>PSU002</v>
      </c>
      <c r="B227" t="str">
        <f>+tbl_IngrédientsRef[[#This Row],[Ingrédient]]</f>
        <v>Amlou Amande</v>
      </c>
      <c r="C227" t="str">
        <f>INDEX(tbl_IngrédientsRef[Unité], MATCH(A227, tbl_IngrédientsRef[Cde_Ingrdt],0))</f>
        <v>g</v>
      </c>
      <c r="D227" s="21">
        <f>IFERROR(INDEX(tbl_IngrédientsRef[[#This Row],[PU_effectif_g/ml]], MATCH(tbl_Stock[[#This Row],[Cde_Ingrdt]], tbl_IngrédientsRef[[#This Row],[Cde_Ingrdt]], 0)), 0)</f>
        <v>0.6</v>
      </c>
      <c r="E227">
        <v>1500</v>
      </c>
      <c r="F227" s="57">
        <f>tbl_Stock[[#This Row],[Stock Départ]] * INDEX(tbl_IngrédientsRef[Prix/Uni Base], MATCH(tbl_Stock[[#This Row],[Cde_Ingrdt]], tbl_IngrédientsRef[Cde_Ingrdt], 0))</f>
        <v>900</v>
      </c>
      <c r="G227">
        <f>SUMIF(tbl_Achats[Cde_Ingrdt],tbl_Stock[[#This Row],[Cde_Ingrdt]],tbl_Achats[Qté d''Achat])</f>
        <v>0</v>
      </c>
      <c r="H227" s="21">
        <f t="array" ref="H227">SUMPRODUCT((tbl_Achats[Cde_Ingrdt]=tbl_Stock[[#This Row],[Cde_Ingrdt]]) * tbl_Achats[Qté d''Achat] * tbl_Achats[Prix Achat Unitaire])</f>
        <v>0</v>
      </c>
      <c r="I227">
        <v>230</v>
      </c>
      <c r="J227" s="21">
        <f ca="1">tbl_Stock[[#This Row],[Stock Courant]] * tbl_Stock[[#This Row],[CMP effectif]]</f>
        <v>900</v>
      </c>
      <c r="K227">
        <f ca="1">tbl_Stock[[#This Row],[Stock Départ]] + SUMIF(tbl_Achats[Cde_Ingrdt],tbl_Stock[[#This Row],[Cde_Ingrdt]],tbl_Achats[[#This Row],[Qté d''Achat]])</f>
        <v>1500</v>
      </c>
      <c r="L227" s="7">
        <f ca="1">IFERROR((tbl_Stock[[#This Row],[Valeur stock initiale]] + tbl_Stock[[#This Row],[ Valeur Achat]]) / tbl_Stock[[#This Row],[Quantité totale]], 0)</f>
        <v>0.6</v>
      </c>
      <c r="M227" s="7">
        <f>SUMIF(tbl_Sorties[[Code ingrédient ]], tbl_Stock[[#This Row],[Cde_Ingrdt]], tbl_Sorties[Qté Sortie])</f>
        <v>0</v>
      </c>
      <c r="N227" s="57">
        <f>tbl_Stock[[#This Row],[Stock Départ]] + tbl_Stock[[#This Row],[Achats Cumulées]] - tbl_Stock[[#This Row],[ Sortie cumulée]]</f>
        <v>1500</v>
      </c>
      <c r="O227">
        <v>100</v>
      </c>
      <c r="P227" t="str">
        <f>IF(tbl_Stock[[#This Row],[Stock Courant]] &lt; tbl_Stock[[#This Row],[Seuil critique]], "⚠️ Alerte", "OK")</f>
        <v>OK</v>
      </c>
    </row>
    <row r="228" spans="1:16" x14ac:dyDescent="0.25">
      <c r="A228" t="str">
        <f>IFERROR(VLOOKUP(B228,Référentiels!$M$2:$N$267,2,FALSE),"Ingrédient non trouvé")</f>
        <v>PSU003</v>
      </c>
      <c r="B228" t="str">
        <f>+tbl_IngrédientsRef[[#This Row],[Ingrédient]]</f>
        <v>Nutella</v>
      </c>
      <c r="C228" t="str">
        <f>INDEX(tbl_IngrédientsRef[Unité], MATCH(A228, tbl_IngrédientsRef[Cde_Ingrdt],0))</f>
        <v>g</v>
      </c>
      <c r="D228" s="21">
        <f>IFERROR(INDEX(tbl_IngrédientsRef[[#This Row],[PU_effectif_g/ml]], MATCH(tbl_Stock[[#This Row],[Cde_Ingrdt]], tbl_IngrédientsRef[[#This Row],[Cde_Ingrdt]], 0)), 0)</f>
        <v>0.125</v>
      </c>
      <c r="E228">
        <v>1500</v>
      </c>
      <c r="F228" s="57">
        <f>tbl_Stock[[#This Row],[Stock Départ]] * INDEX(tbl_IngrédientsRef[Prix/Uni Base], MATCH(tbl_Stock[[#This Row],[Cde_Ingrdt]], tbl_IngrédientsRef[Cde_Ingrdt], 0))</f>
        <v>187.5</v>
      </c>
      <c r="G228">
        <f>SUMIF(tbl_Achats[Cde_Ingrdt],tbl_Stock[[#This Row],[Cde_Ingrdt]],tbl_Achats[Qté d''Achat])</f>
        <v>0</v>
      </c>
      <c r="H228" s="21">
        <f t="array" ref="H228">SUMPRODUCT((tbl_Achats[Cde_Ingrdt]=tbl_Stock[[#This Row],[Cde_Ingrdt]]) * tbl_Achats[Qté d''Achat] * tbl_Achats[Prix Achat Unitaire])</f>
        <v>0</v>
      </c>
      <c r="I228">
        <v>300</v>
      </c>
      <c r="J228" s="21">
        <f ca="1">tbl_Stock[[#This Row],[Stock Courant]] * tbl_Stock[[#This Row],[CMP effectif]]</f>
        <v>187.5</v>
      </c>
      <c r="K228">
        <f ca="1">tbl_Stock[[#This Row],[Stock Départ]] + SUMIF(tbl_Achats[Cde_Ingrdt],tbl_Stock[[#This Row],[Cde_Ingrdt]],tbl_Achats[[#This Row],[Qté d''Achat]])</f>
        <v>1500</v>
      </c>
      <c r="L228" s="7">
        <f ca="1">IFERROR((tbl_Stock[[#This Row],[Valeur stock initiale]] + tbl_Stock[[#This Row],[ Valeur Achat]]) / tbl_Stock[[#This Row],[Quantité totale]], 0)</f>
        <v>0.125</v>
      </c>
      <c r="M228" s="7">
        <f>SUMIF(tbl_Sorties[[Code ingrédient ]], tbl_Stock[[#This Row],[Cde_Ingrdt]], tbl_Sorties[Qté Sortie])</f>
        <v>0</v>
      </c>
      <c r="N228" s="57">
        <f>tbl_Stock[[#This Row],[Stock Départ]] + tbl_Stock[[#This Row],[Achats Cumulées]] - tbl_Stock[[#This Row],[ Sortie cumulée]]</f>
        <v>1500</v>
      </c>
      <c r="O228">
        <v>100</v>
      </c>
      <c r="P228" t="str">
        <f>IF(tbl_Stock[[#This Row],[Stock Courant]] &lt; tbl_Stock[[#This Row],[Seuil critique]], "⚠️ Alerte", "OK")</f>
        <v>OK</v>
      </c>
    </row>
    <row r="229" spans="1:16" x14ac:dyDescent="0.25">
      <c r="A229" t="str">
        <f>IFERROR(VLOOKUP(B229,Référentiels!$M$2:$N$267,2,FALSE),"Ingrédient non trouvé")</f>
        <v>PSU004</v>
      </c>
      <c r="B229" t="str">
        <f>+tbl_IngrédientsRef[[#This Row],[Ingrédient]]</f>
        <v>Kit Kat</v>
      </c>
      <c r="C229" t="str">
        <f>INDEX(tbl_IngrédientsRef[Unité], MATCH(A229, tbl_IngrédientsRef[Cde_Ingrdt],0))</f>
        <v>Pièce</v>
      </c>
      <c r="D229" s="21">
        <f>IFERROR(INDEX(tbl_IngrédientsRef[[#This Row],[PU_effectif_g/ml]], MATCH(tbl_Stock[[#This Row],[Cde_Ingrdt]], tbl_IngrédientsRef[[#This Row],[Cde_Ingrdt]], 0)), 0)</f>
        <v>7</v>
      </c>
      <c r="E229">
        <v>1500</v>
      </c>
      <c r="F229" s="57">
        <f>tbl_Stock[[#This Row],[Stock Départ]] * INDEX(tbl_IngrédientsRef[Prix/Uni Base], MATCH(tbl_Stock[[#This Row],[Cde_Ingrdt]], tbl_IngrédientsRef[Cde_Ingrdt], 0))</f>
        <v>10500</v>
      </c>
      <c r="G229">
        <f>SUMIF(tbl_Achats[Cde_Ingrdt],tbl_Stock[[#This Row],[Cde_Ingrdt]],tbl_Achats[Qté d''Achat])</f>
        <v>0</v>
      </c>
      <c r="H229" s="21">
        <f t="array" ref="H229">SUMPRODUCT((tbl_Achats[Cde_Ingrdt]=tbl_Stock[[#This Row],[Cde_Ingrdt]]) * tbl_Achats[Qté d''Achat] * tbl_Achats[Prix Achat Unitaire])</f>
        <v>0</v>
      </c>
      <c r="I229">
        <v>340</v>
      </c>
      <c r="J229" s="21">
        <f ca="1">tbl_Stock[[#This Row],[Stock Courant]] * tbl_Stock[[#This Row],[CMP effectif]]</f>
        <v>10500</v>
      </c>
      <c r="K229">
        <f ca="1">tbl_Stock[[#This Row],[Stock Départ]] + SUMIF(tbl_Achats[Cde_Ingrdt],tbl_Stock[[#This Row],[Cde_Ingrdt]],tbl_Achats[[#This Row],[Qté d''Achat]])</f>
        <v>1500</v>
      </c>
      <c r="L229" s="7">
        <f ca="1">IFERROR((tbl_Stock[[#This Row],[Valeur stock initiale]] + tbl_Stock[[#This Row],[ Valeur Achat]]) / tbl_Stock[[#This Row],[Quantité totale]], 0)</f>
        <v>7</v>
      </c>
      <c r="M229" s="7">
        <f>SUMIF(tbl_Sorties[[Code ingrédient ]], tbl_Stock[[#This Row],[Cde_Ingrdt]], tbl_Sorties[Qté Sortie])</f>
        <v>0</v>
      </c>
      <c r="N229" s="57">
        <f>tbl_Stock[[#This Row],[Stock Départ]] + tbl_Stock[[#This Row],[Achats Cumulées]] - tbl_Stock[[#This Row],[ Sortie cumulée]]</f>
        <v>1500</v>
      </c>
      <c r="O229">
        <v>100</v>
      </c>
      <c r="P229" t="str">
        <f>IF(tbl_Stock[[#This Row],[Stock Courant]] &lt; tbl_Stock[[#This Row],[Seuil critique]], "⚠️ Alerte", "OK")</f>
        <v>OK</v>
      </c>
    </row>
    <row r="230" spans="1:16" x14ac:dyDescent="0.25">
      <c r="A230" t="str">
        <f>IFERROR(VLOOKUP(B230,Référentiels!$M$2:$N$267,2,FALSE),"Ingrédient non trouvé")</f>
        <v>PSU005</v>
      </c>
      <c r="B230" t="str">
        <f>+tbl_IngrédientsRef[[#This Row],[Ingrédient]]</f>
        <v>Oreo</v>
      </c>
      <c r="C230" t="str">
        <f>INDEX(tbl_IngrédientsRef[Unité], MATCH(A230, tbl_IngrédientsRef[Cde_Ingrdt],0))</f>
        <v>Pièce</v>
      </c>
      <c r="D230" s="21">
        <f>IFERROR(INDEX(tbl_IngrédientsRef[[#This Row],[PU_effectif_g/ml]], MATCH(tbl_Stock[[#This Row],[Cde_Ingrdt]], tbl_IngrédientsRef[[#This Row],[Cde_Ingrdt]], 0)), 0)</f>
        <v>7</v>
      </c>
      <c r="E230">
        <v>1500</v>
      </c>
      <c r="F230" s="57">
        <f>tbl_Stock[[#This Row],[Stock Départ]] * INDEX(tbl_IngrédientsRef[Prix/Uni Base], MATCH(tbl_Stock[[#This Row],[Cde_Ingrdt]], tbl_IngrédientsRef[Cde_Ingrdt], 0))</f>
        <v>10500</v>
      </c>
      <c r="G230">
        <f>SUMIF(tbl_Achats[Cde_Ingrdt],tbl_Stock[[#This Row],[Cde_Ingrdt]],tbl_Achats[Qté d''Achat])</f>
        <v>0</v>
      </c>
      <c r="H230" s="21">
        <f t="array" ref="H230">SUMPRODUCT((tbl_Achats[Cde_Ingrdt]=tbl_Stock[[#This Row],[Cde_Ingrdt]]) * tbl_Achats[Qté d''Achat] * tbl_Achats[Prix Achat Unitaire])</f>
        <v>0</v>
      </c>
      <c r="I230">
        <v>250</v>
      </c>
      <c r="J230" s="21">
        <f ca="1">tbl_Stock[[#This Row],[Stock Courant]] * tbl_Stock[[#This Row],[CMP effectif]]</f>
        <v>10500</v>
      </c>
      <c r="K230">
        <f ca="1">tbl_Stock[[#This Row],[Stock Départ]] + SUMIF(tbl_Achats[Cde_Ingrdt],tbl_Stock[[#This Row],[Cde_Ingrdt]],tbl_Achats[[#This Row],[Qté d''Achat]])</f>
        <v>1500</v>
      </c>
      <c r="L230" s="7">
        <f ca="1">IFERROR((tbl_Stock[[#This Row],[Valeur stock initiale]] + tbl_Stock[[#This Row],[ Valeur Achat]]) / tbl_Stock[[#This Row],[Quantité totale]], 0)</f>
        <v>7</v>
      </c>
      <c r="M230" s="7">
        <f>SUMIF(tbl_Sorties[[Code ingrédient ]], tbl_Stock[[#This Row],[Cde_Ingrdt]], tbl_Sorties[Qté Sortie])</f>
        <v>0</v>
      </c>
      <c r="N230" s="57">
        <f>tbl_Stock[[#This Row],[Stock Départ]] + tbl_Stock[[#This Row],[Achats Cumulées]] - tbl_Stock[[#This Row],[ Sortie cumulée]]</f>
        <v>1500</v>
      </c>
      <c r="O230">
        <v>100</v>
      </c>
      <c r="P230" t="str">
        <f>IF(tbl_Stock[[#This Row],[Stock Courant]] &lt; tbl_Stock[[#This Row],[Seuil critique]], "⚠️ Alerte", "OK")</f>
        <v>OK</v>
      </c>
    </row>
    <row r="231" spans="1:16" x14ac:dyDescent="0.25">
      <c r="A231" t="str">
        <f>IFERROR(VLOOKUP(B231,Référentiels!$M$2:$N$267,2,FALSE),"Ingrédient non trouvé")</f>
        <v>PSU006</v>
      </c>
      <c r="B231" t="str">
        <f>+tbl_IngrédientsRef[[#This Row],[Ingrédient]]</f>
        <v>Kinder Bueno</v>
      </c>
      <c r="C231" t="str">
        <f>INDEX(tbl_IngrédientsRef[Unité], MATCH(A231, tbl_IngrédientsRef[Cde_Ingrdt],0))</f>
        <v>Pièce</v>
      </c>
      <c r="D231" s="21">
        <f>IFERROR(INDEX(tbl_IngrédientsRef[[#This Row],[PU_effectif_g/ml]], MATCH(tbl_Stock[[#This Row],[Cde_Ingrdt]], tbl_IngrédientsRef[[#This Row],[Cde_Ingrdt]], 0)), 0)</f>
        <v>7</v>
      </c>
      <c r="E231">
        <v>1500</v>
      </c>
      <c r="F231" s="57">
        <f>tbl_Stock[[#This Row],[Stock Départ]] * INDEX(tbl_IngrédientsRef[Prix/Uni Base], MATCH(tbl_Stock[[#This Row],[Cde_Ingrdt]], tbl_IngrédientsRef[Cde_Ingrdt], 0))</f>
        <v>10500</v>
      </c>
      <c r="G231">
        <f>SUMIF(tbl_Achats[Cde_Ingrdt],tbl_Stock[[#This Row],[Cde_Ingrdt]],tbl_Achats[Qté d''Achat])</f>
        <v>0</v>
      </c>
      <c r="H231" s="21">
        <f t="array" ref="H231">SUMPRODUCT((tbl_Achats[Cde_Ingrdt]=tbl_Stock[[#This Row],[Cde_Ingrdt]]) * tbl_Achats[Qté d''Achat] * tbl_Achats[Prix Achat Unitaire])</f>
        <v>0</v>
      </c>
      <c r="I231">
        <v>230</v>
      </c>
      <c r="J231" s="21">
        <f ca="1">tbl_Stock[[#This Row],[Stock Courant]] * tbl_Stock[[#This Row],[CMP effectif]]</f>
        <v>10500</v>
      </c>
      <c r="K231">
        <f ca="1">tbl_Stock[[#This Row],[Stock Départ]] + SUMIF(tbl_Achats[Cde_Ingrdt],tbl_Stock[[#This Row],[Cde_Ingrdt]],tbl_Achats[[#This Row],[Qté d''Achat]])</f>
        <v>1500</v>
      </c>
      <c r="L231" s="7">
        <f ca="1">IFERROR((tbl_Stock[[#This Row],[Valeur stock initiale]] + tbl_Stock[[#This Row],[ Valeur Achat]]) / tbl_Stock[[#This Row],[Quantité totale]], 0)</f>
        <v>7</v>
      </c>
      <c r="M231" s="7">
        <f>SUMIF(tbl_Sorties[[Code ingrédient ]], tbl_Stock[[#This Row],[Cde_Ingrdt]], tbl_Sorties[Qté Sortie])</f>
        <v>0</v>
      </c>
      <c r="N231" s="57">
        <f>tbl_Stock[[#This Row],[Stock Départ]] + tbl_Stock[[#This Row],[Achats Cumulées]] - tbl_Stock[[#This Row],[ Sortie cumulée]]</f>
        <v>1500</v>
      </c>
      <c r="O231">
        <v>100</v>
      </c>
      <c r="P231" t="str">
        <f>IF(tbl_Stock[[#This Row],[Stock Courant]] &lt; tbl_Stock[[#This Row],[Seuil critique]], "⚠️ Alerte", "OK")</f>
        <v>OK</v>
      </c>
    </row>
    <row r="232" spans="1:16" x14ac:dyDescent="0.25">
      <c r="A232" t="str">
        <f>IFERROR(VLOOKUP(B232,Référentiels!$M$2:$N$267,2,FALSE),"Ingrédient non trouvé")</f>
        <v>PSU007</v>
      </c>
      <c r="B232" t="str">
        <f>+tbl_IngrédientsRef[[#This Row],[Ingrédient]]</f>
        <v>Snikers</v>
      </c>
      <c r="C232" t="str">
        <f>INDEX(tbl_IngrédientsRef[Unité], MATCH(A232, tbl_IngrédientsRef[Cde_Ingrdt],0))</f>
        <v>Pièce</v>
      </c>
      <c r="D232" s="21">
        <f>IFERROR(INDEX(tbl_IngrédientsRef[[#This Row],[PU_effectif_g/ml]], MATCH(tbl_Stock[[#This Row],[Cde_Ingrdt]], tbl_IngrédientsRef[[#This Row],[Cde_Ingrdt]], 0)), 0)</f>
        <v>7</v>
      </c>
      <c r="E232">
        <v>1500</v>
      </c>
      <c r="F232" s="57">
        <f>tbl_Stock[[#This Row],[Stock Départ]] * INDEX(tbl_IngrédientsRef[Prix/Uni Base], MATCH(tbl_Stock[[#This Row],[Cde_Ingrdt]], tbl_IngrédientsRef[Cde_Ingrdt], 0))</f>
        <v>10500</v>
      </c>
      <c r="G232">
        <f>SUMIF(tbl_Achats[Cde_Ingrdt],tbl_Stock[[#This Row],[Cde_Ingrdt]],tbl_Achats[Qté d''Achat])</f>
        <v>0</v>
      </c>
      <c r="H232" s="21">
        <f t="array" ref="H232">SUMPRODUCT((tbl_Achats[Cde_Ingrdt]=tbl_Stock[[#This Row],[Cde_Ingrdt]]) * tbl_Achats[Qté d''Achat] * tbl_Achats[Prix Achat Unitaire])</f>
        <v>0</v>
      </c>
      <c r="I232">
        <v>300</v>
      </c>
      <c r="J232" s="21">
        <f ca="1">tbl_Stock[[#This Row],[Stock Courant]] * tbl_Stock[[#This Row],[CMP effectif]]</f>
        <v>10500</v>
      </c>
      <c r="K232">
        <f ca="1">tbl_Stock[[#This Row],[Stock Départ]] + SUMIF(tbl_Achats[Cde_Ingrdt],tbl_Stock[[#This Row],[Cde_Ingrdt]],tbl_Achats[[#This Row],[Qté d''Achat]])</f>
        <v>1500</v>
      </c>
      <c r="L232" s="7">
        <f ca="1">IFERROR((tbl_Stock[[#This Row],[Valeur stock initiale]] + tbl_Stock[[#This Row],[ Valeur Achat]]) / tbl_Stock[[#This Row],[Quantité totale]], 0)</f>
        <v>7</v>
      </c>
      <c r="M232" s="7">
        <f>SUMIF(tbl_Sorties[[Code ingrédient ]], tbl_Stock[[#This Row],[Cde_Ingrdt]], tbl_Sorties[Qté Sortie])</f>
        <v>0</v>
      </c>
      <c r="N232" s="57">
        <f>tbl_Stock[[#This Row],[Stock Départ]] + tbl_Stock[[#This Row],[Achats Cumulées]] - tbl_Stock[[#This Row],[ Sortie cumulée]]</f>
        <v>1500</v>
      </c>
      <c r="O232">
        <v>100</v>
      </c>
      <c r="P232" t="str">
        <f>IF(tbl_Stock[[#This Row],[Stock Courant]] &lt; tbl_Stock[[#This Row],[Seuil critique]], "⚠️ Alerte", "OK")</f>
        <v>OK</v>
      </c>
    </row>
    <row r="233" spans="1:16" x14ac:dyDescent="0.25">
      <c r="A233" t="str">
        <f>IFERROR(VLOOKUP(B233,Référentiels!$M$2:$N$267,2,FALSE),"Ingrédient non trouvé")</f>
        <v>PSU008</v>
      </c>
      <c r="B233" t="str">
        <f>+tbl_IngrédientsRef[[#This Row],[Ingrédient]]</f>
        <v>Chocolat Poudre</v>
      </c>
      <c r="C233" t="str">
        <f>INDEX(tbl_IngrédientsRef[Unité], MATCH(A233, tbl_IngrédientsRef[Cde_Ingrdt],0))</f>
        <v>g</v>
      </c>
      <c r="D233" s="21">
        <f>IFERROR(INDEX(tbl_IngrédientsRef[[#This Row],[PU_effectif_g/ml]], MATCH(tbl_Stock[[#This Row],[Cde_Ingrdt]], tbl_IngrédientsRef[[#This Row],[Cde_Ingrdt]], 0)), 0)</f>
        <v>0.1</v>
      </c>
      <c r="E233">
        <v>1500</v>
      </c>
      <c r="F233" s="57">
        <f>tbl_Stock[[#This Row],[Stock Départ]] * INDEX(tbl_IngrédientsRef[Prix/Uni Base], MATCH(tbl_Stock[[#This Row],[Cde_Ingrdt]], tbl_IngrédientsRef[Cde_Ingrdt], 0))</f>
        <v>150</v>
      </c>
      <c r="G233">
        <f>SUMIF(tbl_Achats[Cde_Ingrdt],tbl_Stock[[#This Row],[Cde_Ingrdt]],tbl_Achats[Qté d''Achat])</f>
        <v>0</v>
      </c>
      <c r="H233" s="21">
        <f t="array" ref="H233">SUMPRODUCT((tbl_Achats[Cde_Ingrdt]=tbl_Stock[[#This Row],[Cde_Ingrdt]]) * tbl_Achats[Qté d''Achat] * tbl_Achats[Prix Achat Unitaire])</f>
        <v>0</v>
      </c>
      <c r="I233">
        <v>340</v>
      </c>
      <c r="J233" s="21">
        <f ca="1">tbl_Stock[[#This Row],[Stock Courant]] * tbl_Stock[[#This Row],[CMP effectif]]</f>
        <v>150</v>
      </c>
      <c r="K233">
        <f ca="1">tbl_Stock[[#This Row],[Stock Départ]] + SUMIF(tbl_Achats[Cde_Ingrdt],tbl_Stock[[#This Row],[Cde_Ingrdt]],tbl_Achats[[#This Row],[Qté d''Achat]])</f>
        <v>1500</v>
      </c>
      <c r="L233" s="7">
        <f ca="1">IFERROR((tbl_Stock[[#This Row],[Valeur stock initiale]] + tbl_Stock[[#This Row],[ Valeur Achat]]) / tbl_Stock[[#This Row],[Quantité totale]], 0)</f>
        <v>0.1</v>
      </c>
      <c r="M233" s="7">
        <f>SUMIF(tbl_Sorties[[Code ingrédient ]], tbl_Stock[[#This Row],[Cde_Ingrdt]], tbl_Sorties[Qté Sortie])</f>
        <v>0</v>
      </c>
      <c r="N233" s="57">
        <f>tbl_Stock[[#This Row],[Stock Départ]] + tbl_Stock[[#This Row],[Achats Cumulées]] - tbl_Stock[[#This Row],[ Sortie cumulée]]</f>
        <v>1500</v>
      </c>
      <c r="O233">
        <v>100</v>
      </c>
      <c r="P233" t="str">
        <f>IF(tbl_Stock[[#This Row],[Stock Courant]] &lt; tbl_Stock[[#This Row],[Seuil critique]], "⚠️ Alerte", "OK")</f>
        <v>OK</v>
      </c>
    </row>
    <row r="234" spans="1:16" x14ac:dyDescent="0.25">
      <c r="A234" t="str">
        <f>IFERROR(VLOOKUP(B234,Référentiels!$M$2:$N$267,2,FALSE),"Ingrédient non trouvé")</f>
        <v>PSU009</v>
      </c>
      <c r="B234" t="str">
        <f>+tbl_IngrédientsRef[[#This Row],[Ingrédient]]</f>
        <v>Chocolat Fondu</v>
      </c>
      <c r="C234" t="str">
        <f>INDEX(tbl_IngrédientsRef[Unité], MATCH(A234, tbl_IngrédientsRef[Cde_Ingrdt],0))</f>
        <v>g</v>
      </c>
      <c r="D234" s="21">
        <f>IFERROR(INDEX(tbl_IngrédientsRef[[#This Row],[PU_effectif_g/ml]], MATCH(tbl_Stock[[#This Row],[Cde_Ingrdt]], tbl_IngrédientsRef[[#This Row],[Cde_Ingrdt]], 0)), 0)</f>
        <v>0.15</v>
      </c>
      <c r="E234">
        <v>1500</v>
      </c>
      <c r="F234" s="57">
        <f>tbl_Stock[[#This Row],[Stock Départ]] * INDEX(tbl_IngrédientsRef[Prix/Uni Base], MATCH(tbl_Stock[[#This Row],[Cde_Ingrdt]], tbl_IngrédientsRef[Cde_Ingrdt], 0))</f>
        <v>225</v>
      </c>
      <c r="G234">
        <f>SUMIF(tbl_Achats[Cde_Ingrdt],tbl_Stock[[#This Row],[Cde_Ingrdt]],tbl_Achats[Qté d''Achat])</f>
        <v>0</v>
      </c>
      <c r="H234" s="21">
        <f t="array" ref="H234">SUMPRODUCT((tbl_Achats[Cde_Ingrdt]=tbl_Stock[[#This Row],[Cde_Ingrdt]]) * tbl_Achats[Qté d''Achat] * tbl_Achats[Prix Achat Unitaire])</f>
        <v>0</v>
      </c>
      <c r="I234">
        <v>250</v>
      </c>
      <c r="J234" s="21">
        <f ca="1">tbl_Stock[[#This Row],[Stock Courant]] * tbl_Stock[[#This Row],[CMP effectif]]</f>
        <v>225</v>
      </c>
      <c r="K234">
        <f ca="1">tbl_Stock[[#This Row],[Stock Départ]] + SUMIF(tbl_Achats[Cde_Ingrdt],tbl_Stock[[#This Row],[Cde_Ingrdt]],tbl_Achats[[#This Row],[Qté d''Achat]])</f>
        <v>1500</v>
      </c>
      <c r="L234" s="7">
        <f ca="1">IFERROR((tbl_Stock[[#This Row],[Valeur stock initiale]] + tbl_Stock[[#This Row],[ Valeur Achat]]) / tbl_Stock[[#This Row],[Quantité totale]], 0)</f>
        <v>0.15</v>
      </c>
      <c r="M234" s="7">
        <f>SUMIF(tbl_Sorties[[Code ingrédient ]], tbl_Stock[[#This Row],[Cde_Ingrdt]], tbl_Sorties[Qté Sortie])</f>
        <v>0</v>
      </c>
      <c r="N234" s="57">
        <f>tbl_Stock[[#This Row],[Stock Départ]] + tbl_Stock[[#This Row],[Achats Cumulées]] - tbl_Stock[[#This Row],[ Sortie cumulée]]</f>
        <v>1500</v>
      </c>
      <c r="O234">
        <v>100</v>
      </c>
      <c r="P234" t="str">
        <f>IF(tbl_Stock[[#This Row],[Stock Courant]] &lt; tbl_Stock[[#This Row],[Seuil critique]], "⚠️ Alerte", "OK")</f>
        <v>OK</v>
      </c>
    </row>
    <row r="235" spans="1:16" x14ac:dyDescent="0.25">
      <c r="A235" t="str">
        <f>IFERROR(VLOOKUP(B235,Référentiels!$M$2:$N$267,2,FALSE),"Ingrédient non trouvé")</f>
        <v>PSU010</v>
      </c>
      <c r="B235" t="str">
        <f>+tbl_IngrédientsRef[[#This Row],[Ingrédient]]</f>
        <v>Chocolat Sauce</v>
      </c>
      <c r="C235" t="str">
        <f>INDEX(tbl_IngrédientsRef[Unité], MATCH(A235, tbl_IngrédientsRef[Cde_Ingrdt],0))</f>
        <v>ml</v>
      </c>
      <c r="D235" s="21">
        <f>IFERROR(INDEX(tbl_IngrédientsRef[[#This Row],[PU_effectif_g/ml]], MATCH(tbl_Stock[[#This Row],[Cde_Ingrdt]], tbl_IngrédientsRef[[#This Row],[Cde_Ingrdt]], 0)), 0)</f>
        <v>6.4000000000000001E-2</v>
      </c>
      <c r="E235">
        <v>1500</v>
      </c>
      <c r="F235" s="57">
        <f>tbl_Stock[[#This Row],[Stock Départ]] * INDEX(tbl_IngrédientsRef[Prix/Uni Base], MATCH(tbl_Stock[[#This Row],[Cde_Ingrdt]], tbl_IngrédientsRef[Cde_Ingrdt], 0))</f>
        <v>96</v>
      </c>
      <c r="G235">
        <f>SUMIF(tbl_Achats[Cde_Ingrdt],tbl_Stock[[#This Row],[Cde_Ingrdt]],tbl_Achats[Qté d''Achat])</f>
        <v>0</v>
      </c>
      <c r="H235" s="21">
        <f t="array" ref="H235">SUMPRODUCT((tbl_Achats[Cde_Ingrdt]=tbl_Stock[[#This Row],[Cde_Ingrdt]]) * tbl_Achats[Qté d''Achat] * tbl_Achats[Prix Achat Unitaire])</f>
        <v>0</v>
      </c>
      <c r="I235">
        <v>230</v>
      </c>
      <c r="J235" s="21">
        <f ca="1">tbl_Stock[[#This Row],[Stock Courant]] * tbl_Stock[[#This Row],[CMP effectif]]</f>
        <v>96</v>
      </c>
      <c r="K235">
        <f ca="1">tbl_Stock[[#This Row],[Stock Départ]] + SUMIF(tbl_Achats[Cde_Ingrdt],tbl_Stock[[#This Row],[Cde_Ingrdt]],tbl_Achats[[#This Row],[Qté d''Achat]])</f>
        <v>1500</v>
      </c>
      <c r="L235" s="7">
        <f ca="1">IFERROR((tbl_Stock[[#This Row],[Valeur stock initiale]] + tbl_Stock[[#This Row],[ Valeur Achat]]) / tbl_Stock[[#This Row],[Quantité totale]], 0)</f>
        <v>6.4000000000000001E-2</v>
      </c>
      <c r="M235" s="7">
        <f>SUMIF(tbl_Sorties[[Code ingrédient ]], tbl_Stock[[#This Row],[Cde_Ingrdt]], tbl_Sorties[Qté Sortie])</f>
        <v>0</v>
      </c>
      <c r="N235" s="57">
        <f>tbl_Stock[[#This Row],[Stock Départ]] + tbl_Stock[[#This Row],[Achats Cumulées]] - tbl_Stock[[#This Row],[ Sortie cumulée]]</f>
        <v>1500</v>
      </c>
      <c r="O235">
        <v>100</v>
      </c>
      <c r="P235" t="str">
        <f>IF(tbl_Stock[[#This Row],[Stock Courant]] &lt; tbl_Stock[[#This Row],[Seuil critique]], "⚠️ Alerte", "OK")</f>
        <v>OK</v>
      </c>
    </row>
    <row r="236" spans="1:16" x14ac:dyDescent="0.25">
      <c r="A236" t="str">
        <f>IFERROR(VLOOKUP(B236,Référentiels!$M$2:$N$267,2,FALSE),"Ingrédient non trouvé")</f>
        <v>PSU011</v>
      </c>
      <c r="B236" t="str">
        <f>+tbl_IngrédientsRef[[#This Row],[Ingrédient]]</f>
        <v>Chocolat Noir</v>
      </c>
      <c r="C236" t="str">
        <f>INDEX(tbl_IngrédientsRef[Unité], MATCH(A236, tbl_IngrédientsRef[Cde_Ingrdt],0))</f>
        <v>g</v>
      </c>
      <c r="D236" s="21">
        <f>IFERROR(INDEX(tbl_IngrédientsRef[[#This Row],[PU_effectif_g/ml]], MATCH(tbl_Stock[[#This Row],[Cde_Ingrdt]], tbl_IngrédientsRef[[#This Row],[Cde_Ingrdt]], 0)), 0)</f>
        <v>0.26</v>
      </c>
      <c r="E236">
        <v>1500</v>
      </c>
      <c r="F236" s="57">
        <f>tbl_Stock[[#This Row],[Stock Départ]] * INDEX(tbl_IngrédientsRef[Prix/Uni Base], MATCH(tbl_Stock[[#This Row],[Cde_Ingrdt]], tbl_IngrédientsRef[Cde_Ingrdt], 0))</f>
        <v>390</v>
      </c>
      <c r="G236">
        <f>SUMIF(tbl_Achats[Cde_Ingrdt],tbl_Stock[[#This Row],[Cde_Ingrdt]],tbl_Achats[Qté d''Achat])</f>
        <v>0</v>
      </c>
      <c r="H236" s="21">
        <f t="array" ref="H236">SUMPRODUCT((tbl_Achats[Cde_Ingrdt]=tbl_Stock[[#This Row],[Cde_Ingrdt]]) * tbl_Achats[Qté d''Achat] * tbl_Achats[Prix Achat Unitaire])</f>
        <v>0</v>
      </c>
      <c r="I236">
        <v>300</v>
      </c>
      <c r="J236" s="21">
        <f ca="1">tbl_Stock[[#This Row],[Stock Courant]] * tbl_Stock[[#This Row],[CMP effectif]]</f>
        <v>390</v>
      </c>
      <c r="K236">
        <f ca="1">tbl_Stock[[#This Row],[Stock Départ]] + SUMIF(tbl_Achats[Cde_Ingrdt],tbl_Stock[[#This Row],[Cde_Ingrdt]],tbl_Achats[[#This Row],[Qté d''Achat]])</f>
        <v>1500</v>
      </c>
      <c r="L236" s="7">
        <f ca="1">IFERROR((tbl_Stock[[#This Row],[Valeur stock initiale]] + tbl_Stock[[#This Row],[ Valeur Achat]]) / tbl_Stock[[#This Row],[Quantité totale]], 0)</f>
        <v>0.26</v>
      </c>
      <c r="M236" s="7">
        <f>SUMIF(tbl_Sorties[[Code ingrédient ]], tbl_Stock[[#This Row],[Cde_Ingrdt]], tbl_Sorties[Qté Sortie])</f>
        <v>0</v>
      </c>
      <c r="N236" s="57">
        <f>tbl_Stock[[#This Row],[Stock Départ]] + tbl_Stock[[#This Row],[Achats Cumulées]] - tbl_Stock[[#This Row],[ Sortie cumulée]]</f>
        <v>1500</v>
      </c>
      <c r="O236">
        <v>100</v>
      </c>
      <c r="P236" t="str">
        <f>IF(tbl_Stock[[#This Row],[Stock Courant]] &lt; tbl_Stock[[#This Row],[Seuil critique]], "⚠️ Alerte", "OK")</f>
        <v>OK</v>
      </c>
    </row>
    <row r="237" spans="1:16" x14ac:dyDescent="0.25">
      <c r="A237" t="str">
        <f>IFERROR(VLOOKUP(B237,Référentiels!$M$2:$N$267,2,FALSE),"Ingrédient non trouvé")</f>
        <v>PSU012</v>
      </c>
      <c r="B237" t="str">
        <f>+tbl_IngrédientsRef[[#This Row],[Ingrédient]]</f>
        <v>Chocolat Blanc</v>
      </c>
      <c r="C237" t="str">
        <f>INDEX(tbl_IngrédientsRef[Unité], MATCH(A237, tbl_IngrédientsRef[Cde_Ingrdt],0))</f>
        <v>g</v>
      </c>
      <c r="D237" s="21">
        <f>IFERROR(INDEX(tbl_IngrédientsRef[[#This Row],[PU_effectif_g/ml]], MATCH(tbl_Stock[[#This Row],[Cde_Ingrdt]], tbl_IngrédientsRef[[#This Row],[Cde_Ingrdt]], 0)), 0)</f>
        <v>0.04</v>
      </c>
      <c r="E237">
        <v>1500</v>
      </c>
      <c r="F237" s="57">
        <f>tbl_Stock[[#This Row],[Stock Départ]] * INDEX(tbl_IngrédientsRef[Prix/Uni Base], MATCH(tbl_Stock[[#This Row],[Cde_Ingrdt]], tbl_IngrédientsRef[Cde_Ingrdt], 0))</f>
        <v>60</v>
      </c>
      <c r="G237">
        <f>SUMIF(tbl_Achats[Cde_Ingrdt],tbl_Stock[[#This Row],[Cde_Ingrdt]],tbl_Achats[Qté d''Achat])</f>
        <v>0</v>
      </c>
      <c r="H237" s="21">
        <f t="array" ref="H237">SUMPRODUCT((tbl_Achats[Cde_Ingrdt]=tbl_Stock[[#This Row],[Cde_Ingrdt]]) * tbl_Achats[Qté d''Achat] * tbl_Achats[Prix Achat Unitaire])</f>
        <v>0</v>
      </c>
      <c r="I237">
        <v>340</v>
      </c>
      <c r="J237" s="21">
        <f ca="1">tbl_Stock[[#This Row],[Stock Courant]] * tbl_Stock[[#This Row],[CMP effectif]]</f>
        <v>60</v>
      </c>
      <c r="K237">
        <f ca="1">tbl_Stock[[#This Row],[Stock Départ]] + SUMIF(tbl_Achats[Cde_Ingrdt],tbl_Stock[[#This Row],[Cde_Ingrdt]],tbl_Achats[[#This Row],[Qté d''Achat]])</f>
        <v>1500</v>
      </c>
      <c r="L237" s="7">
        <f ca="1">IFERROR((tbl_Stock[[#This Row],[Valeur stock initiale]] + tbl_Stock[[#This Row],[ Valeur Achat]]) / tbl_Stock[[#This Row],[Quantité totale]], 0)</f>
        <v>0.04</v>
      </c>
      <c r="M237" s="7">
        <f>SUMIF(tbl_Sorties[[Code ingrédient ]], tbl_Stock[[#This Row],[Cde_Ingrdt]], tbl_Sorties[Qté Sortie])</f>
        <v>0</v>
      </c>
      <c r="N237" s="57">
        <f>tbl_Stock[[#This Row],[Stock Départ]] + tbl_Stock[[#This Row],[Achats Cumulées]] - tbl_Stock[[#This Row],[ Sortie cumulée]]</f>
        <v>1500</v>
      </c>
      <c r="O237">
        <v>100</v>
      </c>
      <c r="P237" t="str">
        <f>IF(tbl_Stock[[#This Row],[Stock Courant]] &lt; tbl_Stock[[#This Row],[Seuil critique]], "⚠️ Alerte", "OK")</f>
        <v>OK</v>
      </c>
    </row>
    <row r="238" spans="1:16" x14ac:dyDescent="0.25">
      <c r="A238" t="str">
        <f>IFERROR(VLOOKUP(B238,Référentiels!$M$2:$N$267,2,FALSE),"Ingrédient non trouvé")</f>
        <v>PSU013</v>
      </c>
      <c r="B238" t="str">
        <f>+tbl_IngrédientsRef[[#This Row],[Ingrédient]]</f>
        <v>Biscuit</v>
      </c>
      <c r="C238" t="str">
        <f>INDEX(tbl_IngrédientsRef[Unité], MATCH(A238, tbl_IngrédientsRef[Cde_Ingrdt],0))</f>
        <v>g</v>
      </c>
      <c r="D238" s="21">
        <f>IFERROR(INDEX(tbl_IngrédientsRef[[#This Row],[PU_effectif_g/ml]], MATCH(tbl_Stock[[#This Row],[Cde_Ingrdt]], tbl_IngrédientsRef[[#This Row],[Cde_Ingrdt]], 0)), 0)</f>
        <v>0.05</v>
      </c>
      <c r="E238">
        <v>1500</v>
      </c>
      <c r="F238" s="57">
        <f>tbl_Stock[[#This Row],[Stock Départ]] * INDEX(tbl_IngrédientsRef[Prix/Uni Base], MATCH(tbl_Stock[[#This Row],[Cde_Ingrdt]], tbl_IngrédientsRef[Cde_Ingrdt], 0))</f>
        <v>75</v>
      </c>
      <c r="G238">
        <f>SUMIF(tbl_Achats[Cde_Ingrdt],tbl_Stock[[#This Row],[Cde_Ingrdt]],tbl_Achats[Qté d''Achat])</f>
        <v>0</v>
      </c>
      <c r="H238" s="21">
        <f t="array" ref="H238">SUMPRODUCT((tbl_Achats[Cde_Ingrdt]=tbl_Stock[[#This Row],[Cde_Ingrdt]]) * tbl_Achats[Qté d''Achat] * tbl_Achats[Prix Achat Unitaire])</f>
        <v>0</v>
      </c>
      <c r="I238">
        <v>250</v>
      </c>
      <c r="J238" s="21">
        <f ca="1">tbl_Stock[[#This Row],[Stock Courant]] * tbl_Stock[[#This Row],[CMP effectif]]</f>
        <v>75</v>
      </c>
      <c r="K238">
        <f ca="1">tbl_Stock[[#This Row],[Stock Départ]] + SUMIF(tbl_Achats[Cde_Ingrdt],tbl_Stock[[#This Row],[Cde_Ingrdt]],tbl_Achats[[#This Row],[Qté d''Achat]])</f>
        <v>1500</v>
      </c>
      <c r="L238" s="7">
        <f ca="1">IFERROR((tbl_Stock[[#This Row],[Valeur stock initiale]] + tbl_Stock[[#This Row],[ Valeur Achat]]) / tbl_Stock[[#This Row],[Quantité totale]], 0)</f>
        <v>0.05</v>
      </c>
      <c r="M238" s="7">
        <f>SUMIF(tbl_Sorties[[Code ingrédient ]], tbl_Stock[[#This Row],[Cde_Ingrdt]], tbl_Sorties[Qté Sortie])</f>
        <v>0</v>
      </c>
      <c r="N238" s="57">
        <f>tbl_Stock[[#This Row],[Stock Départ]] + tbl_Stock[[#This Row],[Achats Cumulées]] - tbl_Stock[[#This Row],[ Sortie cumulée]]</f>
        <v>1500</v>
      </c>
      <c r="O238">
        <v>100</v>
      </c>
      <c r="P238" t="str">
        <f>IF(tbl_Stock[[#This Row],[Stock Courant]] &lt; tbl_Stock[[#This Row],[Seuil critique]], "⚠️ Alerte", "OK")</f>
        <v>OK</v>
      </c>
    </row>
    <row r="239" spans="1:16" x14ac:dyDescent="0.25">
      <c r="A239" t="str">
        <f>IFERROR(VLOOKUP(B239,Référentiels!$M$2:$N$267,2,FALSE),"Ingrédient non trouvé")</f>
        <v>PSU014</v>
      </c>
      <c r="B239" t="str">
        <f>+tbl_IngrédientsRef[[#This Row],[Ingrédient]]</f>
        <v>Caramel</v>
      </c>
      <c r="C239" t="str">
        <f>INDEX(tbl_IngrédientsRef[Unité], MATCH(A239, tbl_IngrédientsRef[Cde_Ingrdt],0))</f>
        <v>ml</v>
      </c>
      <c r="D239" s="21">
        <f>IFERROR(INDEX(tbl_IngrédientsRef[[#This Row],[PU_effectif_g/ml]], MATCH(tbl_Stock[[#This Row],[Cde_Ingrdt]], tbl_IngrédientsRef[[#This Row],[Cde_Ingrdt]], 0)), 0)</f>
        <v>0.2</v>
      </c>
      <c r="E239">
        <v>1500</v>
      </c>
      <c r="F239" s="57">
        <f>tbl_Stock[[#This Row],[Stock Départ]] * INDEX(tbl_IngrédientsRef[Prix/Uni Base], MATCH(tbl_Stock[[#This Row],[Cde_Ingrdt]], tbl_IngrédientsRef[Cde_Ingrdt], 0))</f>
        <v>300</v>
      </c>
      <c r="G239">
        <f>SUMIF(tbl_Achats[Cde_Ingrdt],tbl_Stock[[#This Row],[Cde_Ingrdt]],tbl_Achats[Qté d''Achat])</f>
        <v>0</v>
      </c>
      <c r="H239" s="21">
        <f t="array" ref="H239">SUMPRODUCT((tbl_Achats[Cde_Ingrdt]=tbl_Stock[[#This Row],[Cde_Ingrdt]]) * tbl_Achats[Qté d''Achat] * tbl_Achats[Prix Achat Unitaire])</f>
        <v>0</v>
      </c>
      <c r="I239">
        <v>230</v>
      </c>
      <c r="J239" s="21">
        <f ca="1">tbl_Stock[[#This Row],[Stock Courant]] * tbl_Stock[[#This Row],[CMP effectif]]</f>
        <v>300</v>
      </c>
      <c r="K239">
        <f ca="1">tbl_Stock[[#This Row],[Stock Départ]] + SUMIF(tbl_Achats[Cde_Ingrdt],tbl_Stock[[#This Row],[Cde_Ingrdt]],tbl_Achats[[#This Row],[Qté d''Achat]])</f>
        <v>1500</v>
      </c>
      <c r="L239" s="7">
        <f ca="1">IFERROR((tbl_Stock[[#This Row],[Valeur stock initiale]] + tbl_Stock[[#This Row],[ Valeur Achat]]) / tbl_Stock[[#This Row],[Quantité totale]], 0)</f>
        <v>0.2</v>
      </c>
      <c r="M239" s="7">
        <f>SUMIF(tbl_Sorties[[Code ingrédient ]], tbl_Stock[[#This Row],[Cde_Ingrdt]], tbl_Sorties[Qté Sortie])</f>
        <v>0</v>
      </c>
      <c r="N239" s="57">
        <f>tbl_Stock[[#This Row],[Stock Départ]] + tbl_Stock[[#This Row],[Achats Cumulées]] - tbl_Stock[[#This Row],[ Sortie cumulée]]</f>
        <v>1500</v>
      </c>
      <c r="O239">
        <v>100</v>
      </c>
      <c r="P239" t="str">
        <f>IF(tbl_Stock[[#This Row],[Stock Courant]] &lt; tbl_Stock[[#This Row],[Seuil critique]], "⚠️ Alerte", "OK")</f>
        <v>OK</v>
      </c>
    </row>
    <row r="240" spans="1:16" x14ac:dyDescent="0.25">
      <c r="A240" t="str">
        <f>IFERROR(VLOOKUP(B240,Référentiels!$M$2:$N$267,2,FALSE),"Ingrédient non trouvé")</f>
        <v>PSU015</v>
      </c>
      <c r="B240" t="str">
        <f>+tbl_IngrédientsRef[[#This Row],[Ingrédient]]</f>
        <v>Marshmallow</v>
      </c>
      <c r="C240" t="str">
        <f>INDEX(tbl_IngrédientsRef[Unité], MATCH(A240, tbl_IngrédientsRef[Cde_Ingrdt],0))</f>
        <v>ml</v>
      </c>
      <c r="D240" s="21">
        <f>IFERROR(INDEX(tbl_IngrédientsRef[[#This Row],[PU_effectif_g/ml]], MATCH(tbl_Stock[[#This Row],[Cde_Ingrdt]], tbl_IngrédientsRef[[#This Row],[Cde_Ingrdt]], 0)), 0)</f>
        <v>0.3</v>
      </c>
      <c r="E240">
        <v>1500</v>
      </c>
      <c r="F240" s="57">
        <f>tbl_Stock[[#This Row],[Stock Départ]] * INDEX(tbl_IngrédientsRef[Prix/Uni Base], MATCH(tbl_Stock[[#This Row],[Cde_Ingrdt]], tbl_IngrédientsRef[Cde_Ingrdt], 0))</f>
        <v>450</v>
      </c>
      <c r="G240">
        <f>SUMIF(tbl_Achats[Cde_Ingrdt],tbl_Stock[[#This Row],[Cde_Ingrdt]],tbl_Achats[Qté d''Achat])</f>
        <v>0</v>
      </c>
      <c r="H240" s="21">
        <f t="array" ref="H240">SUMPRODUCT((tbl_Achats[Cde_Ingrdt]=tbl_Stock[[#This Row],[Cde_Ingrdt]]) * tbl_Achats[Qté d''Achat] * tbl_Achats[Prix Achat Unitaire])</f>
        <v>0</v>
      </c>
      <c r="I240">
        <v>300</v>
      </c>
      <c r="J240" s="21">
        <f ca="1">tbl_Stock[[#This Row],[Stock Courant]] * tbl_Stock[[#This Row],[CMP effectif]]</f>
        <v>450</v>
      </c>
      <c r="K240">
        <f ca="1">tbl_Stock[[#This Row],[Stock Départ]] + SUMIF(tbl_Achats[Cde_Ingrdt],tbl_Stock[[#This Row],[Cde_Ingrdt]],tbl_Achats[[#This Row],[Qté d''Achat]])</f>
        <v>1500</v>
      </c>
      <c r="L240" s="7">
        <f ca="1">IFERROR((tbl_Stock[[#This Row],[Valeur stock initiale]] + tbl_Stock[[#This Row],[ Valeur Achat]]) / tbl_Stock[[#This Row],[Quantité totale]], 0)</f>
        <v>0.3</v>
      </c>
      <c r="M240" s="7">
        <f>SUMIF(tbl_Sorties[[Code ingrédient ]], tbl_Stock[[#This Row],[Cde_Ingrdt]], tbl_Sorties[Qté Sortie])</f>
        <v>0</v>
      </c>
      <c r="N240" s="57">
        <f>tbl_Stock[[#This Row],[Stock Départ]] + tbl_Stock[[#This Row],[Achats Cumulées]] - tbl_Stock[[#This Row],[ Sortie cumulée]]</f>
        <v>1500</v>
      </c>
      <c r="O240">
        <v>100</v>
      </c>
      <c r="P240" t="str">
        <f>IF(tbl_Stock[[#This Row],[Stock Courant]] &lt; tbl_Stock[[#This Row],[Seuil critique]], "⚠️ Alerte", "OK")</f>
        <v>OK</v>
      </c>
    </row>
    <row r="241" spans="1:16" x14ac:dyDescent="0.25">
      <c r="A241" t="str">
        <f>IFERROR(VLOOKUP(B241,Référentiels!$M$2:$N$267,2,FALSE),"Ingrédient non trouvé")</f>
        <v>PSU016</v>
      </c>
      <c r="B241" t="str">
        <f>+tbl_IngrédientsRef[[#This Row],[Ingrédient]]</f>
        <v>Sirop Aromatisé</v>
      </c>
      <c r="C241" t="str">
        <f>INDEX(tbl_IngrédientsRef[Unité], MATCH(A241, tbl_IngrédientsRef[Cde_Ingrdt],0))</f>
        <v>ml</v>
      </c>
      <c r="D241" s="21">
        <f>IFERROR(INDEX(tbl_IngrédientsRef[[#This Row],[PU_effectif_g/ml]], MATCH(tbl_Stock[[#This Row],[Cde_Ingrdt]], tbl_IngrédientsRef[[#This Row],[Cde_Ingrdt]], 0)), 0)</f>
        <v>0.05</v>
      </c>
      <c r="E241">
        <v>1500</v>
      </c>
      <c r="F241" s="57">
        <f>tbl_Stock[[#This Row],[Stock Départ]] * INDEX(tbl_IngrédientsRef[Prix/Uni Base], MATCH(tbl_Stock[[#This Row],[Cde_Ingrdt]], tbl_IngrédientsRef[Cde_Ingrdt], 0))</f>
        <v>75</v>
      </c>
      <c r="G241">
        <f>SUMIF(tbl_Achats[Cde_Ingrdt],tbl_Stock[[#This Row],[Cde_Ingrdt]],tbl_Achats[Qté d''Achat])</f>
        <v>0</v>
      </c>
      <c r="H241" s="21">
        <f t="array" ref="H241">SUMPRODUCT((tbl_Achats[Cde_Ingrdt]=tbl_Stock[[#This Row],[Cde_Ingrdt]]) * tbl_Achats[Qté d''Achat] * tbl_Achats[Prix Achat Unitaire])</f>
        <v>0</v>
      </c>
      <c r="I241">
        <v>340</v>
      </c>
      <c r="J241" s="21">
        <f ca="1">tbl_Stock[[#This Row],[Stock Courant]] * tbl_Stock[[#This Row],[CMP effectif]]</f>
        <v>75</v>
      </c>
      <c r="K241">
        <f ca="1">tbl_Stock[[#This Row],[Stock Départ]] + SUMIF(tbl_Achats[Cde_Ingrdt],tbl_Stock[[#This Row],[Cde_Ingrdt]],tbl_Achats[[#This Row],[Qté d''Achat]])</f>
        <v>1500</v>
      </c>
      <c r="L241" s="7">
        <f ca="1">IFERROR((tbl_Stock[[#This Row],[Valeur stock initiale]] + tbl_Stock[[#This Row],[ Valeur Achat]]) / tbl_Stock[[#This Row],[Quantité totale]], 0)</f>
        <v>0.05</v>
      </c>
      <c r="M241" s="7">
        <f>SUMIF(tbl_Sorties[[Code ingrédient ]], tbl_Stock[[#This Row],[Cde_Ingrdt]], tbl_Sorties[Qté Sortie])</f>
        <v>0</v>
      </c>
      <c r="N241" s="57">
        <f>tbl_Stock[[#This Row],[Stock Départ]] + tbl_Stock[[#This Row],[Achats Cumulées]] - tbl_Stock[[#This Row],[ Sortie cumulée]]</f>
        <v>1500</v>
      </c>
      <c r="O241">
        <v>100</v>
      </c>
      <c r="P241" t="str">
        <f>IF(tbl_Stock[[#This Row],[Stock Courant]] &lt; tbl_Stock[[#This Row],[Seuil critique]], "⚠️ Alerte", "OK")</f>
        <v>OK</v>
      </c>
    </row>
    <row r="242" spans="1:16" x14ac:dyDescent="0.25">
      <c r="A242" t="str">
        <f>IFERROR(VLOOKUP(B242,Référentiels!$M$2:$N$267,2,FALSE),"Ingrédient non trouvé")</f>
        <v>PSU017</v>
      </c>
      <c r="B242" t="str">
        <f>+tbl_IngrédientsRef[[#This Row],[Ingrédient]]</f>
        <v>Sucre</v>
      </c>
      <c r="C242" t="str">
        <f>INDEX(tbl_IngrédientsRef[Unité], MATCH(A242, tbl_IngrédientsRef[Cde_Ingrdt],0))</f>
        <v>g</v>
      </c>
      <c r="D242" s="21">
        <f>IFERROR(INDEX(tbl_IngrédientsRef[[#This Row],[PU_effectif_g/ml]], MATCH(tbl_Stock[[#This Row],[Cde_Ingrdt]], tbl_IngrédientsRef[[#This Row],[Cde_Ingrdt]], 0)), 0)</f>
        <v>7.0000000000000001E-3</v>
      </c>
      <c r="E242">
        <v>1500</v>
      </c>
      <c r="F242" s="57">
        <f>tbl_Stock[[#This Row],[Stock Départ]] * INDEX(tbl_IngrédientsRef[Prix/Uni Base], MATCH(tbl_Stock[[#This Row],[Cde_Ingrdt]], tbl_IngrédientsRef[Cde_Ingrdt], 0))</f>
        <v>10.5</v>
      </c>
      <c r="G242">
        <f>SUMIF(tbl_Achats[Cde_Ingrdt],tbl_Stock[[#This Row],[Cde_Ingrdt]],tbl_Achats[Qté d''Achat])</f>
        <v>0</v>
      </c>
      <c r="H242" s="21">
        <f t="array" ref="H242">SUMPRODUCT((tbl_Achats[Cde_Ingrdt]=tbl_Stock[[#This Row],[Cde_Ingrdt]]) * tbl_Achats[Qté d''Achat] * tbl_Achats[Prix Achat Unitaire])</f>
        <v>0</v>
      </c>
      <c r="I242">
        <v>250</v>
      </c>
      <c r="J242" s="21">
        <f ca="1">tbl_Stock[[#This Row],[Stock Courant]] * tbl_Stock[[#This Row],[CMP effectif]]</f>
        <v>10.5</v>
      </c>
      <c r="K242">
        <f ca="1">tbl_Stock[[#This Row],[Stock Départ]] + SUMIF(tbl_Achats[Cde_Ingrdt],tbl_Stock[[#This Row],[Cde_Ingrdt]],tbl_Achats[[#This Row],[Qté d''Achat]])</f>
        <v>1500</v>
      </c>
      <c r="L242" s="7">
        <f ca="1">IFERROR((tbl_Stock[[#This Row],[Valeur stock initiale]] + tbl_Stock[[#This Row],[ Valeur Achat]]) / tbl_Stock[[#This Row],[Quantité totale]], 0)</f>
        <v>7.0000000000000001E-3</v>
      </c>
      <c r="M242" s="7">
        <f>SUMIF(tbl_Sorties[[Code ingrédient ]], tbl_Stock[[#This Row],[Cde_Ingrdt]], tbl_Sorties[Qté Sortie])</f>
        <v>0</v>
      </c>
      <c r="N242" s="57">
        <f>tbl_Stock[[#This Row],[Stock Départ]] + tbl_Stock[[#This Row],[Achats Cumulées]] - tbl_Stock[[#This Row],[ Sortie cumulée]]</f>
        <v>1500</v>
      </c>
      <c r="O242">
        <v>100</v>
      </c>
      <c r="P242" t="str">
        <f>IF(tbl_Stock[[#This Row],[Stock Courant]] &lt; tbl_Stock[[#This Row],[Seuil critique]], "⚠️ Alerte", "OK")</f>
        <v>OK</v>
      </c>
    </row>
    <row r="243" spans="1:16" x14ac:dyDescent="0.25">
      <c r="A243" t="str">
        <f>IFERROR(VLOOKUP(B243,Référentiels!$M$2:$N$267,2,FALSE),"Ingrédient non trouvé")</f>
        <v>PSU018</v>
      </c>
      <c r="B243" t="str">
        <f>+tbl_IngrédientsRef[[#This Row],[Ingrédient]]</f>
        <v>Miel</v>
      </c>
      <c r="C243" t="str">
        <f>INDEX(tbl_IngrédientsRef[Unité], MATCH(A243, tbl_IngrédientsRef[Cde_Ingrdt],0))</f>
        <v>ml</v>
      </c>
      <c r="D243" s="21">
        <f>IFERROR(INDEX(tbl_IngrédientsRef[[#This Row],[PU_effectif_g/ml]], MATCH(tbl_Stock[[#This Row],[Cde_Ingrdt]], tbl_IngrédientsRef[[#This Row],[Cde_Ingrdt]], 0)), 0)</f>
        <v>0.4</v>
      </c>
      <c r="E243">
        <v>1500</v>
      </c>
      <c r="F243" s="57">
        <f>tbl_Stock[[#This Row],[Stock Départ]] * INDEX(tbl_IngrédientsRef[Prix/Uni Base], MATCH(tbl_Stock[[#This Row],[Cde_Ingrdt]], tbl_IngrédientsRef[Cde_Ingrdt], 0))</f>
        <v>600</v>
      </c>
      <c r="G243">
        <f>SUMIF(tbl_Achats[Cde_Ingrdt],tbl_Stock[[#This Row],[Cde_Ingrdt]],tbl_Achats[Qté d''Achat])</f>
        <v>0</v>
      </c>
      <c r="H243" s="21">
        <f t="array" ref="H243">SUMPRODUCT((tbl_Achats[Cde_Ingrdt]=tbl_Stock[[#This Row],[Cde_Ingrdt]]) * tbl_Achats[Qté d''Achat] * tbl_Achats[Prix Achat Unitaire])</f>
        <v>0</v>
      </c>
      <c r="I243">
        <v>230</v>
      </c>
      <c r="J243" s="21">
        <f ca="1">tbl_Stock[[#This Row],[Stock Courant]] * tbl_Stock[[#This Row],[CMP effectif]]</f>
        <v>600</v>
      </c>
      <c r="K243">
        <f ca="1">tbl_Stock[[#This Row],[Stock Départ]] + SUMIF(tbl_Achats[Cde_Ingrdt],tbl_Stock[[#This Row],[Cde_Ingrdt]],tbl_Achats[[#This Row],[Qté d''Achat]])</f>
        <v>1500</v>
      </c>
      <c r="L243" s="7">
        <f ca="1">IFERROR((tbl_Stock[[#This Row],[Valeur stock initiale]] + tbl_Stock[[#This Row],[ Valeur Achat]]) / tbl_Stock[[#This Row],[Quantité totale]], 0)</f>
        <v>0.4</v>
      </c>
      <c r="M243" s="7">
        <f>SUMIF(tbl_Sorties[[Code ingrédient ]], tbl_Stock[[#This Row],[Cde_Ingrdt]], tbl_Sorties[Qté Sortie])</f>
        <v>0</v>
      </c>
      <c r="N243" s="57">
        <f>tbl_Stock[[#This Row],[Stock Départ]] + tbl_Stock[[#This Row],[Achats Cumulées]] - tbl_Stock[[#This Row],[ Sortie cumulée]]</f>
        <v>1500</v>
      </c>
      <c r="O243">
        <v>100</v>
      </c>
      <c r="P243" t="str">
        <f>IF(tbl_Stock[[#This Row],[Stock Courant]] &lt; tbl_Stock[[#This Row],[Seuil critique]], "⚠️ Alerte", "OK")</f>
        <v>OK</v>
      </c>
    </row>
    <row r="244" spans="1:16" x14ac:dyDescent="0.25">
      <c r="A244" t="str">
        <f>IFERROR(VLOOKUP(B244,Référentiels!$M$2:$N$267,2,FALSE),"Ingrédient non trouvé")</f>
        <v>GLA001</v>
      </c>
      <c r="B244" t="str">
        <f>+tbl_IngrédientsRef[[#This Row],[Ingrédient]]</f>
        <v>Boules De Glace</v>
      </c>
      <c r="C244" t="str">
        <f>INDEX(tbl_IngrédientsRef[Unité], MATCH(A244, tbl_IngrédientsRef[Cde_Ingrdt],0))</f>
        <v>Pièce</v>
      </c>
      <c r="D244" s="21">
        <f>IFERROR(INDEX(tbl_IngrédientsRef[[#This Row],[PU_effectif_g/ml]], MATCH(tbl_Stock[[#This Row],[Cde_Ingrdt]], tbl_IngrédientsRef[[#This Row],[Cde_Ingrdt]], 0)), 0)</f>
        <v>5</v>
      </c>
      <c r="E244">
        <v>1500</v>
      </c>
      <c r="F244" s="57">
        <f>tbl_Stock[[#This Row],[Stock Départ]] * INDEX(tbl_IngrédientsRef[Prix/Uni Base], MATCH(tbl_Stock[[#This Row],[Cde_Ingrdt]], tbl_IngrédientsRef[Cde_Ingrdt], 0))</f>
        <v>7500</v>
      </c>
      <c r="G244">
        <f>SUMIF(tbl_Achats[Cde_Ingrdt],tbl_Stock[[#This Row],[Cde_Ingrdt]],tbl_Achats[Qté d''Achat])</f>
        <v>0</v>
      </c>
      <c r="H244" s="21">
        <f t="array" ref="H244">SUMPRODUCT((tbl_Achats[Cde_Ingrdt]=tbl_Stock[[#This Row],[Cde_Ingrdt]]) * tbl_Achats[Qté d''Achat] * tbl_Achats[Prix Achat Unitaire])</f>
        <v>0</v>
      </c>
      <c r="I244">
        <v>300</v>
      </c>
      <c r="J244" s="21">
        <f ca="1">tbl_Stock[[#This Row],[Stock Courant]] * tbl_Stock[[#This Row],[CMP effectif]]</f>
        <v>7500</v>
      </c>
      <c r="K244">
        <f ca="1">tbl_Stock[[#This Row],[Stock Départ]] + SUMIF(tbl_Achats[Cde_Ingrdt],tbl_Stock[[#This Row],[Cde_Ingrdt]],tbl_Achats[[#This Row],[Qté d''Achat]])</f>
        <v>1500</v>
      </c>
      <c r="L244" s="7">
        <f ca="1">IFERROR((tbl_Stock[[#This Row],[Valeur stock initiale]] + tbl_Stock[[#This Row],[ Valeur Achat]]) / tbl_Stock[[#This Row],[Quantité totale]], 0)</f>
        <v>5</v>
      </c>
      <c r="M244" s="7">
        <f>SUMIF(tbl_Sorties[[Code ingrédient ]], tbl_Stock[[#This Row],[Cde_Ingrdt]], tbl_Sorties[Qté Sortie])</f>
        <v>0</v>
      </c>
      <c r="N244" s="57">
        <f>tbl_Stock[[#This Row],[Stock Départ]] + tbl_Stock[[#This Row],[Achats Cumulées]] - tbl_Stock[[#This Row],[ Sortie cumulée]]</f>
        <v>1500</v>
      </c>
      <c r="O244">
        <v>100</v>
      </c>
      <c r="P244" t="str">
        <f>IF(tbl_Stock[[#This Row],[Stock Courant]] &lt; tbl_Stock[[#This Row],[Seuil critique]], "⚠️ Alerte", "OK")</f>
        <v>OK</v>
      </c>
    </row>
    <row r="245" spans="1:16" x14ac:dyDescent="0.25">
      <c r="A245" t="str">
        <f>IFERROR(VLOOKUP(B245,Référentiels!$M$2:$N$267,2,FALSE),"Ingrédient non trouvé")</f>
        <v>DES001</v>
      </c>
      <c r="B245" t="str">
        <f>+tbl_IngrédientsRef[[#This Row],[Ingrédient]]</f>
        <v>Tiramisu</v>
      </c>
      <c r="C245" t="str">
        <f>INDEX(tbl_IngrédientsRef[Unité], MATCH(A245, tbl_IngrédientsRef[Cde_Ingrdt],0))</f>
        <v>Pièce</v>
      </c>
      <c r="D245" s="21">
        <f>IFERROR(INDEX(tbl_IngrédientsRef[[#This Row],[PU_effectif_g/ml]], MATCH(tbl_Stock[[#This Row],[Cde_Ingrdt]], tbl_IngrédientsRef[[#This Row],[Cde_Ingrdt]], 0)), 0)</f>
        <v>15</v>
      </c>
      <c r="E245">
        <v>1500</v>
      </c>
      <c r="F245" s="57">
        <f>tbl_Stock[[#This Row],[Stock Départ]] * INDEX(tbl_IngrédientsRef[Prix/Uni Base], MATCH(tbl_Stock[[#This Row],[Cde_Ingrdt]], tbl_IngrédientsRef[Cde_Ingrdt], 0))</f>
        <v>22500</v>
      </c>
      <c r="G245">
        <f>SUMIF(tbl_Achats[Cde_Ingrdt],tbl_Stock[[#This Row],[Cde_Ingrdt]],tbl_Achats[Qté d''Achat])</f>
        <v>0</v>
      </c>
      <c r="H245" s="21">
        <f t="array" ref="H245">SUMPRODUCT((tbl_Achats[Cde_Ingrdt]=tbl_Stock[[#This Row],[Cde_Ingrdt]]) * tbl_Achats[Qté d''Achat] * tbl_Achats[Prix Achat Unitaire])</f>
        <v>0</v>
      </c>
      <c r="I245">
        <v>340</v>
      </c>
      <c r="J245" s="21">
        <f ca="1">tbl_Stock[[#This Row],[Stock Courant]] * tbl_Stock[[#This Row],[CMP effectif]]</f>
        <v>22500</v>
      </c>
      <c r="K245">
        <f ca="1">tbl_Stock[[#This Row],[Stock Départ]] + SUMIF(tbl_Achats[Cde_Ingrdt],tbl_Stock[[#This Row],[Cde_Ingrdt]],tbl_Achats[[#This Row],[Qté d''Achat]])</f>
        <v>1500</v>
      </c>
      <c r="L245" s="7">
        <f ca="1">IFERROR((tbl_Stock[[#This Row],[Valeur stock initiale]] + tbl_Stock[[#This Row],[ Valeur Achat]]) / tbl_Stock[[#This Row],[Quantité totale]], 0)</f>
        <v>15</v>
      </c>
      <c r="M245" s="7">
        <f>SUMIF(tbl_Sorties[[Code ingrédient ]], tbl_Stock[[#This Row],[Cde_Ingrdt]], tbl_Sorties[Qté Sortie])</f>
        <v>0</v>
      </c>
      <c r="N245" s="57">
        <f>tbl_Stock[[#This Row],[Stock Départ]] + tbl_Stock[[#This Row],[Achats Cumulées]] - tbl_Stock[[#This Row],[ Sortie cumulée]]</f>
        <v>1500</v>
      </c>
      <c r="O245">
        <v>100</v>
      </c>
      <c r="P245" t="str">
        <f>IF(tbl_Stock[[#This Row],[Stock Courant]] &lt; tbl_Stock[[#This Row],[Seuil critique]], "⚠️ Alerte", "OK")</f>
        <v>OK</v>
      </c>
    </row>
    <row r="246" spans="1:16" x14ac:dyDescent="0.25">
      <c r="A246" t="str">
        <f>IFERROR(VLOOKUP(B246,Référentiels!$M$2:$N$267,2,FALSE),"Ingrédient non trouvé")</f>
        <v>DES002</v>
      </c>
      <c r="B246" t="str">
        <f>+tbl_IngrédientsRef[[#This Row],[Ingrédient]]</f>
        <v>Fondant Chocolat</v>
      </c>
      <c r="C246" t="str">
        <f>INDEX(tbl_IngrédientsRef[Unité], MATCH(A246, tbl_IngrédientsRef[Cde_Ingrdt],0))</f>
        <v>Pièce</v>
      </c>
      <c r="D246" s="21">
        <f>IFERROR(INDEX(tbl_IngrédientsRef[[#This Row],[PU_effectif_g/ml]], MATCH(tbl_Stock[[#This Row],[Cde_Ingrdt]], tbl_IngrédientsRef[[#This Row],[Cde_Ingrdt]], 0)), 0)</f>
        <v>15</v>
      </c>
      <c r="E246">
        <v>1500</v>
      </c>
      <c r="F246" s="57">
        <f>tbl_Stock[[#This Row],[Stock Départ]] * INDEX(tbl_IngrédientsRef[Prix/Uni Base], MATCH(tbl_Stock[[#This Row],[Cde_Ingrdt]], tbl_IngrédientsRef[Cde_Ingrdt], 0))</f>
        <v>22500</v>
      </c>
      <c r="G246">
        <f>SUMIF(tbl_Achats[Cde_Ingrdt],tbl_Stock[[#This Row],[Cde_Ingrdt]],tbl_Achats[Qté d''Achat])</f>
        <v>0</v>
      </c>
      <c r="H246" s="21">
        <f t="array" ref="H246">SUMPRODUCT((tbl_Achats[Cde_Ingrdt]=tbl_Stock[[#This Row],[Cde_Ingrdt]]) * tbl_Achats[Qté d''Achat] * tbl_Achats[Prix Achat Unitaire])</f>
        <v>0</v>
      </c>
      <c r="I246">
        <v>250</v>
      </c>
      <c r="J246" s="21">
        <f ca="1">tbl_Stock[[#This Row],[Stock Courant]] * tbl_Stock[[#This Row],[CMP effectif]]</f>
        <v>22500</v>
      </c>
      <c r="K246">
        <f ca="1">tbl_Stock[[#This Row],[Stock Départ]] + SUMIF(tbl_Achats[Cde_Ingrdt],tbl_Stock[[#This Row],[Cde_Ingrdt]],tbl_Achats[[#This Row],[Qté d''Achat]])</f>
        <v>1500</v>
      </c>
      <c r="L246" s="7">
        <f ca="1">IFERROR((tbl_Stock[[#This Row],[Valeur stock initiale]] + tbl_Stock[[#This Row],[ Valeur Achat]]) / tbl_Stock[[#This Row],[Quantité totale]], 0)</f>
        <v>15</v>
      </c>
      <c r="M246" s="7">
        <f>SUMIF(tbl_Sorties[[Code ingrédient ]], tbl_Stock[[#This Row],[Cde_Ingrdt]], tbl_Sorties[Qté Sortie])</f>
        <v>0</v>
      </c>
      <c r="N246" s="57">
        <f>tbl_Stock[[#This Row],[Stock Départ]] + tbl_Stock[[#This Row],[Achats Cumulées]] - tbl_Stock[[#This Row],[ Sortie cumulée]]</f>
        <v>1500</v>
      </c>
      <c r="O246">
        <v>100</v>
      </c>
      <c r="P246" t="str">
        <f>IF(tbl_Stock[[#This Row],[Stock Courant]] &lt; tbl_Stock[[#This Row],[Seuil critique]], "⚠️ Alerte", "OK")</f>
        <v>OK</v>
      </c>
    </row>
    <row r="247" spans="1:16" x14ac:dyDescent="0.25">
      <c r="A247" t="str">
        <f>IFERROR(VLOOKUP(B247,Référentiels!$M$2:$N$267,2,FALSE),"Ingrédient non trouvé")</f>
        <v>DES003</v>
      </c>
      <c r="B247" t="str">
        <f>+tbl_IngrédientsRef[[#This Row],[Ingrédient]]</f>
        <v>Crème Catalane</v>
      </c>
      <c r="C247" t="str">
        <f>INDEX(tbl_IngrédientsRef[Unité], MATCH(A247, tbl_IngrédientsRef[Cde_Ingrdt],0))</f>
        <v>ml</v>
      </c>
      <c r="D247" s="21">
        <f>IFERROR(INDEX(tbl_IngrédientsRef[[#This Row],[PU_effectif_g/ml]], MATCH(tbl_Stock[[#This Row],[Cde_Ingrdt]], tbl_IngrédientsRef[[#This Row],[Cde_Ingrdt]], 0)), 0)</f>
        <v>0.1</v>
      </c>
      <c r="E247">
        <v>1500</v>
      </c>
      <c r="F247" s="57">
        <f>tbl_Stock[[#This Row],[Stock Départ]] * INDEX(tbl_IngrédientsRef[Prix/Uni Base], MATCH(tbl_Stock[[#This Row],[Cde_Ingrdt]], tbl_IngrédientsRef[Cde_Ingrdt], 0))</f>
        <v>150</v>
      </c>
      <c r="G247">
        <f>SUMIF(tbl_Achats[Cde_Ingrdt],tbl_Stock[[#This Row],[Cde_Ingrdt]],tbl_Achats[Qté d''Achat])</f>
        <v>0</v>
      </c>
      <c r="H247" s="21">
        <f t="array" ref="H247">SUMPRODUCT((tbl_Achats[Cde_Ingrdt]=tbl_Stock[[#This Row],[Cde_Ingrdt]]) * tbl_Achats[Qté d''Achat] * tbl_Achats[Prix Achat Unitaire])</f>
        <v>0</v>
      </c>
      <c r="I247">
        <v>230</v>
      </c>
      <c r="J247" s="21">
        <f ca="1">tbl_Stock[[#This Row],[Stock Courant]] * tbl_Stock[[#This Row],[CMP effectif]]</f>
        <v>150</v>
      </c>
      <c r="K247">
        <f ca="1">tbl_Stock[[#This Row],[Stock Départ]] + SUMIF(tbl_Achats[Cde_Ingrdt],tbl_Stock[[#This Row],[Cde_Ingrdt]],tbl_Achats[[#This Row],[Qté d''Achat]])</f>
        <v>1500</v>
      </c>
      <c r="L247" s="7">
        <f ca="1">IFERROR((tbl_Stock[[#This Row],[Valeur stock initiale]] + tbl_Stock[[#This Row],[ Valeur Achat]]) / tbl_Stock[[#This Row],[Quantité totale]], 0)</f>
        <v>0.1</v>
      </c>
      <c r="M247" s="7">
        <f>SUMIF(tbl_Sorties[[Code ingrédient ]], tbl_Stock[[#This Row],[Cde_Ingrdt]], tbl_Sorties[Qté Sortie])</f>
        <v>0</v>
      </c>
      <c r="N247" s="57">
        <f>tbl_Stock[[#This Row],[Stock Départ]] + tbl_Stock[[#This Row],[Achats Cumulées]] - tbl_Stock[[#This Row],[ Sortie cumulée]]</f>
        <v>1500</v>
      </c>
      <c r="O247">
        <v>100</v>
      </c>
      <c r="P247" t="str">
        <f>IF(tbl_Stock[[#This Row],[Stock Courant]] &lt; tbl_Stock[[#This Row],[Seuil critique]], "⚠️ Alerte", "OK")</f>
        <v>OK</v>
      </c>
    </row>
    <row r="248" spans="1:16" x14ac:dyDescent="0.25">
      <c r="A248" t="str">
        <f>IFERROR(VLOOKUP(B248,Référentiels!$M$2:$N$267,2,FALSE),"Ingrédient non trouvé")</f>
        <v>DES004</v>
      </c>
      <c r="B248" t="str">
        <f>+tbl_IngrédientsRef[[#This Row],[Ingrédient]]</f>
        <v>Cheesecake</v>
      </c>
      <c r="C248" t="str">
        <f>INDEX(tbl_IngrédientsRef[Unité], MATCH(A248, tbl_IngrédientsRef[Cde_Ingrdt],0))</f>
        <v>Pièce</v>
      </c>
      <c r="D248" s="21">
        <f>IFERROR(INDEX(tbl_IngrédientsRef[[#This Row],[PU_effectif_g/ml]], MATCH(tbl_Stock[[#This Row],[Cde_Ingrdt]], tbl_IngrédientsRef[[#This Row],[Cde_Ingrdt]], 0)), 0)</f>
        <v>15</v>
      </c>
      <c r="E248">
        <v>1500</v>
      </c>
      <c r="F248" s="57">
        <f>tbl_Stock[[#This Row],[Stock Départ]] * INDEX(tbl_IngrédientsRef[Prix/Uni Base], MATCH(tbl_Stock[[#This Row],[Cde_Ingrdt]], tbl_IngrédientsRef[Cde_Ingrdt], 0))</f>
        <v>22500</v>
      </c>
      <c r="G248">
        <f>SUMIF(tbl_Achats[Cde_Ingrdt],tbl_Stock[[#This Row],[Cde_Ingrdt]],tbl_Achats[Qté d''Achat])</f>
        <v>0</v>
      </c>
      <c r="H248" s="21">
        <f t="array" ref="H248">SUMPRODUCT((tbl_Achats[Cde_Ingrdt]=tbl_Stock[[#This Row],[Cde_Ingrdt]]) * tbl_Achats[Qté d''Achat] * tbl_Achats[Prix Achat Unitaire])</f>
        <v>0</v>
      </c>
      <c r="I248">
        <v>300</v>
      </c>
      <c r="J248" s="21">
        <f ca="1">tbl_Stock[[#This Row],[Stock Courant]] * tbl_Stock[[#This Row],[CMP effectif]]</f>
        <v>22500</v>
      </c>
      <c r="K248">
        <f ca="1">tbl_Stock[[#This Row],[Stock Départ]] + SUMIF(tbl_Achats[Cde_Ingrdt],tbl_Stock[[#This Row],[Cde_Ingrdt]],tbl_Achats[[#This Row],[Qté d''Achat]])</f>
        <v>1500</v>
      </c>
      <c r="L248" s="7">
        <f ca="1">IFERROR((tbl_Stock[[#This Row],[Valeur stock initiale]] + tbl_Stock[[#This Row],[ Valeur Achat]]) / tbl_Stock[[#This Row],[Quantité totale]], 0)</f>
        <v>15</v>
      </c>
      <c r="M248" s="7">
        <f>SUMIF(tbl_Sorties[[Code ingrédient ]], tbl_Stock[[#This Row],[Cde_Ingrdt]], tbl_Sorties[Qté Sortie])</f>
        <v>0</v>
      </c>
      <c r="N248" s="57">
        <f>tbl_Stock[[#This Row],[Stock Départ]] + tbl_Stock[[#This Row],[Achats Cumulées]] - tbl_Stock[[#This Row],[ Sortie cumulée]]</f>
        <v>1500</v>
      </c>
      <c r="O248">
        <v>100</v>
      </c>
      <c r="P248" t="str">
        <f>IF(tbl_Stock[[#This Row],[Stock Courant]] &lt; tbl_Stock[[#This Row],[Seuil critique]], "⚠️ Alerte", "OK")</f>
        <v>OK</v>
      </c>
    </row>
    <row r="249" spans="1:16" x14ac:dyDescent="0.25">
      <c r="A249" t="str">
        <f>IFERROR(VLOOKUP(B249,Référentiels!$M$2:$N$267,2,FALSE),"Ingrédient non trouvé")</f>
        <v>DES005</v>
      </c>
      <c r="B249" t="str">
        <f>+tbl_IngrédientsRef[[#This Row],[Ingrédient]]</f>
        <v>Patisserie À La Pièce</v>
      </c>
      <c r="C249" t="str">
        <f>INDEX(tbl_IngrédientsRef[Unité], MATCH(A249, tbl_IngrédientsRef[Cde_Ingrdt],0))</f>
        <v>Pièce</v>
      </c>
      <c r="D249" s="21">
        <f>IFERROR(INDEX(tbl_IngrédientsRef[[#This Row],[PU_effectif_g/ml]], MATCH(tbl_Stock[[#This Row],[Cde_Ingrdt]], tbl_IngrédientsRef[[#This Row],[Cde_Ingrdt]], 0)), 0)</f>
        <v>16</v>
      </c>
      <c r="E249">
        <v>1500</v>
      </c>
      <c r="F249" s="57">
        <f>tbl_Stock[[#This Row],[Stock Départ]] * INDEX(tbl_IngrédientsRef[Prix/Uni Base], MATCH(tbl_Stock[[#This Row],[Cde_Ingrdt]], tbl_IngrédientsRef[Cde_Ingrdt], 0))</f>
        <v>24000</v>
      </c>
      <c r="G249">
        <f>SUMIF(tbl_Achats[Cde_Ingrdt],tbl_Stock[[#This Row],[Cde_Ingrdt]],tbl_Achats[Qté d''Achat])</f>
        <v>0</v>
      </c>
      <c r="H249" s="21">
        <f t="array" ref="H249">SUMPRODUCT((tbl_Achats[Cde_Ingrdt]=tbl_Stock[[#This Row],[Cde_Ingrdt]]) * tbl_Achats[Qté d''Achat] * tbl_Achats[Prix Achat Unitaire])</f>
        <v>0</v>
      </c>
      <c r="I249">
        <v>340</v>
      </c>
      <c r="J249" s="21">
        <f ca="1">tbl_Stock[[#This Row],[Stock Courant]] * tbl_Stock[[#This Row],[CMP effectif]]</f>
        <v>24000</v>
      </c>
      <c r="K249">
        <f ca="1">tbl_Stock[[#This Row],[Stock Départ]] + SUMIF(tbl_Achats[Cde_Ingrdt],tbl_Stock[[#This Row],[Cde_Ingrdt]],tbl_Achats[[#This Row],[Qté d''Achat]])</f>
        <v>1500</v>
      </c>
      <c r="L249" s="7">
        <f ca="1">IFERROR((tbl_Stock[[#This Row],[Valeur stock initiale]] + tbl_Stock[[#This Row],[ Valeur Achat]]) / tbl_Stock[[#This Row],[Quantité totale]], 0)</f>
        <v>16</v>
      </c>
      <c r="M249" s="7">
        <f>SUMIF(tbl_Sorties[[Code ingrédient ]], tbl_Stock[[#This Row],[Cde_Ingrdt]], tbl_Sorties[Qté Sortie])</f>
        <v>0</v>
      </c>
      <c r="N249" s="57">
        <f>tbl_Stock[[#This Row],[Stock Départ]] + tbl_Stock[[#This Row],[Achats Cumulées]] - tbl_Stock[[#This Row],[ Sortie cumulée]]</f>
        <v>1500</v>
      </c>
      <c r="O249">
        <v>100</v>
      </c>
      <c r="P249" t="str">
        <f>IF(tbl_Stock[[#This Row],[Stock Courant]] &lt; tbl_Stock[[#This Row],[Seuil critique]], "⚠️ Alerte", "OK")</f>
        <v>OK</v>
      </c>
    </row>
    <row r="250" spans="1:16" x14ac:dyDescent="0.25">
      <c r="A250" t="str">
        <f>IFERROR(VLOOKUP(B250,Référentiels!$M$2:$N$267,2,FALSE),"Ingrédient non trouvé")</f>
        <v>DES006</v>
      </c>
      <c r="B250" t="str">
        <f>+tbl_IngrédientsRef[[#This Row],[Ingrédient]]</f>
        <v>American Cake</v>
      </c>
      <c r="C250" t="str">
        <f>INDEX(tbl_IngrédientsRef[Unité], MATCH(A250, tbl_IngrédientsRef[Cde_Ingrdt],0))</f>
        <v>Pièce</v>
      </c>
      <c r="D250" s="21">
        <f>IFERROR(INDEX(tbl_IngrédientsRef[[#This Row],[PU_effectif_g/ml]], MATCH(tbl_Stock[[#This Row],[Cde_Ingrdt]], tbl_IngrédientsRef[[#This Row],[Cde_Ingrdt]], 0)), 0)</f>
        <v>15</v>
      </c>
      <c r="E250">
        <v>1500</v>
      </c>
      <c r="F250" s="57">
        <f>tbl_Stock[[#This Row],[Stock Départ]] * INDEX(tbl_IngrédientsRef[Prix/Uni Base], MATCH(tbl_Stock[[#This Row],[Cde_Ingrdt]], tbl_IngrédientsRef[Cde_Ingrdt], 0))</f>
        <v>22500</v>
      </c>
      <c r="G250">
        <f>SUMIF(tbl_Achats[Cde_Ingrdt],tbl_Stock[[#This Row],[Cde_Ingrdt]],tbl_Achats[Qté d''Achat])</f>
        <v>0</v>
      </c>
      <c r="H250" s="21">
        <f t="array" ref="H250">SUMPRODUCT((tbl_Achats[Cde_Ingrdt]=tbl_Stock[[#This Row],[Cde_Ingrdt]]) * tbl_Achats[Qté d''Achat] * tbl_Achats[Prix Achat Unitaire])</f>
        <v>0</v>
      </c>
      <c r="I250">
        <v>250</v>
      </c>
      <c r="J250" s="21">
        <f ca="1">tbl_Stock[[#This Row],[Stock Courant]] * tbl_Stock[[#This Row],[CMP effectif]]</f>
        <v>22500</v>
      </c>
      <c r="K250">
        <f ca="1">tbl_Stock[[#This Row],[Stock Départ]] + SUMIF(tbl_Achats[Cde_Ingrdt],tbl_Stock[[#This Row],[Cde_Ingrdt]],tbl_Achats[[#This Row],[Qté d''Achat]])</f>
        <v>1500</v>
      </c>
      <c r="L250" s="7">
        <f ca="1">IFERROR((tbl_Stock[[#This Row],[Valeur stock initiale]] + tbl_Stock[[#This Row],[ Valeur Achat]]) / tbl_Stock[[#This Row],[Quantité totale]], 0)</f>
        <v>15</v>
      </c>
      <c r="M250" s="7">
        <f>SUMIF(tbl_Sorties[[Code ingrédient ]], tbl_Stock[[#This Row],[Cde_Ingrdt]], tbl_Sorties[Qté Sortie])</f>
        <v>0</v>
      </c>
      <c r="N250" s="57">
        <f>tbl_Stock[[#This Row],[Stock Départ]] + tbl_Stock[[#This Row],[Achats Cumulées]] - tbl_Stock[[#This Row],[ Sortie cumulée]]</f>
        <v>1500</v>
      </c>
      <c r="O250">
        <v>100</v>
      </c>
      <c r="P250" t="str">
        <f>IF(tbl_Stock[[#This Row],[Stock Courant]] &lt; tbl_Stock[[#This Row],[Seuil critique]], "⚠️ Alerte", "OK")</f>
        <v>OK</v>
      </c>
    </row>
    <row r="251" spans="1:16" x14ac:dyDescent="0.25">
      <c r="A251" t="str">
        <f>IFERROR(VLOOKUP(B251,Référentiels!$M$2:$N$267,2,FALSE),"Ingrédient non trouvé")</f>
        <v>DES007</v>
      </c>
      <c r="B251" t="str">
        <f>+tbl_IngrédientsRef[[#This Row],[Ingrédient]]</f>
        <v>Tarte Amande</v>
      </c>
      <c r="C251" t="str">
        <f>INDEX(tbl_IngrédientsRef[Unité], MATCH(A251, tbl_IngrédientsRef[Cde_Ingrdt],0))</f>
        <v>Pièce</v>
      </c>
      <c r="D251" s="21">
        <f>IFERROR(INDEX(tbl_IngrédientsRef[[#This Row],[PU_effectif_g/ml]], MATCH(tbl_Stock[[#This Row],[Cde_Ingrdt]], tbl_IngrédientsRef[[#This Row],[Cde_Ingrdt]], 0)), 0)</f>
        <v>15</v>
      </c>
      <c r="E251">
        <v>1500</v>
      </c>
      <c r="F251" s="57">
        <f>tbl_Stock[[#This Row],[Stock Départ]] * INDEX(tbl_IngrédientsRef[Prix/Uni Base], MATCH(tbl_Stock[[#This Row],[Cde_Ingrdt]], tbl_IngrédientsRef[Cde_Ingrdt], 0))</f>
        <v>22500</v>
      </c>
      <c r="G251">
        <f>SUMIF(tbl_Achats[Cde_Ingrdt],tbl_Stock[[#This Row],[Cde_Ingrdt]],tbl_Achats[Qté d''Achat])</f>
        <v>0</v>
      </c>
      <c r="H251" s="21">
        <f t="array" ref="H251">SUMPRODUCT((tbl_Achats[Cde_Ingrdt]=tbl_Stock[[#This Row],[Cde_Ingrdt]]) * tbl_Achats[Qté d''Achat] * tbl_Achats[Prix Achat Unitaire])</f>
        <v>0</v>
      </c>
      <c r="I251">
        <v>230</v>
      </c>
      <c r="J251" s="21">
        <f ca="1">tbl_Stock[[#This Row],[Stock Courant]] * tbl_Stock[[#This Row],[CMP effectif]]</f>
        <v>22500</v>
      </c>
      <c r="K251">
        <f ca="1">tbl_Stock[[#This Row],[Stock Départ]] + SUMIF(tbl_Achats[Cde_Ingrdt],tbl_Stock[[#This Row],[Cde_Ingrdt]],tbl_Achats[[#This Row],[Qté d''Achat]])</f>
        <v>1500</v>
      </c>
      <c r="L251" s="7">
        <f ca="1">IFERROR((tbl_Stock[[#This Row],[Valeur stock initiale]] + tbl_Stock[[#This Row],[ Valeur Achat]]) / tbl_Stock[[#This Row],[Quantité totale]], 0)</f>
        <v>15</v>
      </c>
      <c r="M251" s="7">
        <f>SUMIF(tbl_Sorties[[Code ingrédient ]], tbl_Stock[[#This Row],[Cde_Ingrdt]], tbl_Sorties[Qté Sortie])</f>
        <v>0</v>
      </c>
      <c r="N251" s="57">
        <f>tbl_Stock[[#This Row],[Stock Départ]] + tbl_Stock[[#This Row],[Achats Cumulées]] - tbl_Stock[[#This Row],[ Sortie cumulée]]</f>
        <v>1500</v>
      </c>
      <c r="O251">
        <v>100</v>
      </c>
      <c r="P251" t="str">
        <f>IF(tbl_Stock[[#This Row],[Stock Courant]] &lt; tbl_Stock[[#This Row],[Seuil critique]], "⚠️ Alerte", "OK")</f>
        <v>OK</v>
      </c>
    </row>
    <row r="252" spans="1:16" x14ac:dyDescent="0.25">
      <c r="A252" t="str">
        <f>IFERROR(VLOOKUP(B252,Référentiels!$M$2:$N$267,2,FALSE),"Ingrédient non trouvé")</f>
        <v>DES008</v>
      </c>
      <c r="B252" t="str">
        <f>+tbl_IngrédientsRef[[#This Row],[Ingrédient]]</f>
        <v>Tarte Noix</v>
      </c>
      <c r="C252" t="str">
        <f>INDEX(tbl_IngrédientsRef[Unité], MATCH(A252, tbl_IngrédientsRef[Cde_Ingrdt],0))</f>
        <v>Pièce</v>
      </c>
      <c r="D252" s="21">
        <f>IFERROR(INDEX(tbl_IngrédientsRef[[#This Row],[PU_effectif_g/ml]], MATCH(tbl_Stock[[#This Row],[Cde_Ingrdt]], tbl_IngrédientsRef[[#This Row],[Cde_Ingrdt]], 0)), 0)</f>
        <v>16</v>
      </c>
      <c r="E252">
        <v>1500</v>
      </c>
      <c r="F252" s="57">
        <f>tbl_Stock[[#This Row],[Stock Départ]] * INDEX(tbl_IngrédientsRef[Prix/Uni Base], MATCH(tbl_Stock[[#This Row],[Cde_Ingrdt]], tbl_IngrédientsRef[Cde_Ingrdt], 0))</f>
        <v>24000</v>
      </c>
      <c r="G252">
        <f>SUMIF(tbl_Achats[Cde_Ingrdt],tbl_Stock[[#This Row],[Cde_Ingrdt]],tbl_Achats[Qté d''Achat])</f>
        <v>0</v>
      </c>
      <c r="H252" s="21">
        <f t="array" ref="H252">SUMPRODUCT((tbl_Achats[Cde_Ingrdt]=tbl_Stock[[#This Row],[Cde_Ingrdt]]) * tbl_Achats[Qté d''Achat] * tbl_Achats[Prix Achat Unitaire])</f>
        <v>0</v>
      </c>
      <c r="I252">
        <v>300</v>
      </c>
      <c r="J252" s="21">
        <f ca="1">tbl_Stock[[#This Row],[Stock Courant]] * tbl_Stock[[#This Row],[CMP effectif]]</f>
        <v>24000</v>
      </c>
      <c r="K252">
        <f ca="1">tbl_Stock[[#This Row],[Stock Départ]] + SUMIF(tbl_Achats[Cde_Ingrdt],tbl_Stock[[#This Row],[Cde_Ingrdt]],tbl_Achats[[#This Row],[Qté d''Achat]])</f>
        <v>1500</v>
      </c>
      <c r="L252" s="7">
        <f ca="1">IFERROR((tbl_Stock[[#This Row],[Valeur stock initiale]] + tbl_Stock[[#This Row],[ Valeur Achat]]) / tbl_Stock[[#This Row],[Quantité totale]], 0)</f>
        <v>16</v>
      </c>
      <c r="M252" s="7">
        <f>SUMIF(tbl_Sorties[[Code ingrédient ]], tbl_Stock[[#This Row],[Cde_Ingrdt]], tbl_Sorties[Qté Sortie])</f>
        <v>0</v>
      </c>
      <c r="N252" s="57">
        <f>tbl_Stock[[#This Row],[Stock Départ]] + tbl_Stock[[#This Row],[Achats Cumulées]] - tbl_Stock[[#This Row],[ Sortie cumulée]]</f>
        <v>1500</v>
      </c>
      <c r="O252">
        <v>100</v>
      </c>
      <c r="P252" t="str">
        <f>IF(tbl_Stock[[#This Row],[Stock Courant]] &lt; tbl_Stock[[#This Row],[Seuil critique]], "⚠️ Alerte", "OK")</f>
        <v>OK</v>
      </c>
    </row>
    <row r="253" spans="1:16" x14ac:dyDescent="0.25">
      <c r="A253" t="str">
        <f>IFERROR(VLOOKUP(B253,Référentiels!$M$2:$N$267,2,FALSE),"Ingrédient non trouvé")</f>
        <v>DES009</v>
      </c>
      <c r="B253" t="str">
        <f>+tbl_IngrédientsRef[[#This Row],[Ingrédient]]</f>
        <v>Besboussa</v>
      </c>
      <c r="C253" t="str">
        <f>INDEX(tbl_IngrédientsRef[Unité], MATCH(A253, tbl_IngrédientsRef[Cde_Ingrdt],0))</f>
        <v>Pièce</v>
      </c>
      <c r="D253" s="21">
        <f>IFERROR(INDEX(tbl_IngrédientsRef[[#This Row],[PU_effectif_g/ml]], MATCH(tbl_Stock[[#This Row],[Cde_Ingrdt]], tbl_IngrédientsRef[[#This Row],[Cde_Ingrdt]], 0)), 0)</f>
        <v>15</v>
      </c>
      <c r="E253">
        <v>1500</v>
      </c>
      <c r="F253" s="57">
        <f>tbl_Stock[[#This Row],[Stock Départ]] * INDEX(tbl_IngrédientsRef[Prix/Uni Base], MATCH(tbl_Stock[[#This Row],[Cde_Ingrdt]], tbl_IngrédientsRef[Cde_Ingrdt], 0))</f>
        <v>22500</v>
      </c>
      <c r="G253">
        <f>SUMIF(tbl_Achats[Cde_Ingrdt],tbl_Stock[[#This Row],[Cde_Ingrdt]],tbl_Achats[Qté d''Achat])</f>
        <v>0</v>
      </c>
      <c r="H253" s="21">
        <f t="array" ref="H253">SUMPRODUCT((tbl_Achats[Cde_Ingrdt]=tbl_Stock[[#This Row],[Cde_Ingrdt]]) * tbl_Achats[Qté d''Achat] * tbl_Achats[Prix Achat Unitaire])</f>
        <v>0</v>
      </c>
      <c r="I253">
        <v>340</v>
      </c>
      <c r="J253" s="21">
        <f ca="1">tbl_Stock[[#This Row],[Stock Courant]] * tbl_Stock[[#This Row],[CMP effectif]]</f>
        <v>22500</v>
      </c>
      <c r="K253">
        <f ca="1">tbl_Stock[[#This Row],[Stock Départ]] + SUMIF(tbl_Achats[Cde_Ingrdt],tbl_Stock[[#This Row],[Cde_Ingrdt]],tbl_Achats[[#This Row],[Qté d''Achat]])</f>
        <v>1500</v>
      </c>
      <c r="L253" s="7">
        <f ca="1">IFERROR((tbl_Stock[[#This Row],[Valeur stock initiale]] + tbl_Stock[[#This Row],[ Valeur Achat]]) / tbl_Stock[[#This Row],[Quantité totale]], 0)</f>
        <v>15</v>
      </c>
      <c r="M253" s="7">
        <f>SUMIF(tbl_Sorties[[Code ingrédient ]], tbl_Stock[[#This Row],[Cde_Ingrdt]], tbl_Sorties[Qté Sortie])</f>
        <v>0</v>
      </c>
      <c r="N253" s="57">
        <f>tbl_Stock[[#This Row],[Stock Départ]] + tbl_Stock[[#This Row],[Achats Cumulées]] - tbl_Stock[[#This Row],[ Sortie cumulée]]</f>
        <v>1500</v>
      </c>
      <c r="O253">
        <v>100</v>
      </c>
      <c r="P253" t="str">
        <f>IF(tbl_Stock[[#This Row],[Stock Courant]] &lt; tbl_Stock[[#This Row],[Seuil critique]], "⚠️ Alerte", "OK")</f>
        <v>OK</v>
      </c>
    </row>
    <row r="254" spans="1:16" x14ac:dyDescent="0.25">
      <c r="A254" t="str">
        <f>IFERROR(VLOOKUP(B254,Référentiels!$M$2:$N$267,2,FALSE),"Ingrédient non trouvé")</f>
        <v>BOI001</v>
      </c>
      <c r="B254" t="str">
        <f>+tbl_IngrédientsRef[[#This Row],[Ingrédient]]</f>
        <v>Espresso</v>
      </c>
      <c r="C254" t="str">
        <f>INDEX(tbl_IngrédientsRef[Unité], MATCH(A254, tbl_IngrédientsRef[Cde_Ingrdt],0))</f>
        <v>Pièce</v>
      </c>
      <c r="D254" s="21">
        <f>IFERROR(INDEX(tbl_IngrédientsRef[[#This Row],[PU_effectif_g/ml]], MATCH(tbl_Stock[[#This Row],[Cde_Ingrdt]], tbl_IngrédientsRef[[#This Row],[Cde_Ingrdt]], 0)), 0)</f>
        <v>4</v>
      </c>
      <c r="E254">
        <v>1500</v>
      </c>
      <c r="F254" s="57">
        <f>tbl_Stock[[#This Row],[Stock Départ]] * INDEX(tbl_IngrédientsRef[Prix/Uni Base], MATCH(tbl_Stock[[#This Row],[Cde_Ingrdt]], tbl_IngrédientsRef[Cde_Ingrdt], 0))</f>
        <v>6000</v>
      </c>
      <c r="G254">
        <f>SUMIF(tbl_Achats[Cde_Ingrdt],tbl_Stock[[#This Row],[Cde_Ingrdt]],tbl_Achats[Qté d''Achat])</f>
        <v>0</v>
      </c>
      <c r="H254" s="21">
        <f t="array" ref="H254">SUMPRODUCT((tbl_Achats[Cde_Ingrdt]=tbl_Stock[[#This Row],[Cde_Ingrdt]]) * tbl_Achats[Qté d''Achat] * tbl_Achats[Prix Achat Unitaire])</f>
        <v>0</v>
      </c>
      <c r="I254">
        <v>250</v>
      </c>
      <c r="J254" s="21">
        <f ca="1">tbl_Stock[[#This Row],[Stock Courant]] * tbl_Stock[[#This Row],[CMP effectif]]</f>
        <v>6000</v>
      </c>
      <c r="K254">
        <f ca="1">tbl_Stock[[#This Row],[Stock Départ]] + SUMIF(tbl_Achats[Cde_Ingrdt],tbl_Stock[[#This Row],[Cde_Ingrdt]],tbl_Achats[[#This Row],[Qté d''Achat]])</f>
        <v>1500</v>
      </c>
      <c r="L254" s="7">
        <f ca="1">IFERROR((tbl_Stock[[#This Row],[Valeur stock initiale]] + tbl_Stock[[#This Row],[ Valeur Achat]]) / tbl_Stock[[#This Row],[Quantité totale]], 0)</f>
        <v>4</v>
      </c>
      <c r="M254" s="7">
        <f>SUMIF(tbl_Sorties[[Code ingrédient ]], tbl_Stock[[#This Row],[Cde_Ingrdt]], tbl_Sorties[Qté Sortie])</f>
        <v>0</v>
      </c>
      <c r="N254" s="57">
        <f>tbl_Stock[[#This Row],[Stock Départ]] + tbl_Stock[[#This Row],[Achats Cumulées]] - tbl_Stock[[#This Row],[ Sortie cumulée]]</f>
        <v>1500</v>
      </c>
      <c r="O254">
        <v>100</v>
      </c>
      <c r="P254" t="str">
        <f>IF(tbl_Stock[[#This Row],[Stock Courant]] &lt; tbl_Stock[[#This Row],[Seuil critique]], "⚠️ Alerte", "OK")</f>
        <v>OK</v>
      </c>
    </row>
    <row r="255" spans="1:16" x14ac:dyDescent="0.25">
      <c r="A255" t="str">
        <f>IFERROR(VLOOKUP(B255,Référentiels!$M$2:$N$267,2,FALSE),"Ingrédient non trouvé")</f>
        <v>BOI002</v>
      </c>
      <c r="B255" t="str">
        <f>+tbl_IngrédientsRef[[#This Row],[Ingrédient]]</f>
        <v>Nespresso</v>
      </c>
      <c r="C255" t="str">
        <f>INDEX(tbl_IngrédientsRef[Unité], MATCH(A255, tbl_IngrédientsRef[Cde_Ingrdt],0))</f>
        <v>Pièce</v>
      </c>
      <c r="D255" s="21">
        <f>IFERROR(INDEX(tbl_IngrédientsRef[[#This Row],[PU_effectif_g/ml]], MATCH(tbl_Stock[[#This Row],[Cde_Ingrdt]], tbl_IngrédientsRef[[#This Row],[Cde_Ingrdt]], 0)), 0)</f>
        <v>11</v>
      </c>
      <c r="E255">
        <v>1500</v>
      </c>
      <c r="F255" s="57">
        <f>tbl_Stock[[#This Row],[Stock Départ]] * INDEX(tbl_IngrédientsRef[Prix/Uni Base], MATCH(tbl_Stock[[#This Row],[Cde_Ingrdt]], tbl_IngrédientsRef[Cde_Ingrdt], 0))</f>
        <v>16500</v>
      </c>
      <c r="G255">
        <f>SUMIF(tbl_Achats[Cde_Ingrdt],tbl_Stock[[#This Row],[Cde_Ingrdt]],tbl_Achats[Qté d''Achat])</f>
        <v>0</v>
      </c>
      <c r="H255" s="21">
        <f t="array" ref="H255">SUMPRODUCT((tbl_Achats[Cde_Ingrdt]=tbl_Stock[[#This Row],[Cde_Ingrdt]]) * tbl_Achats[Qté d''Achat] * tbl_Achats[Prix Achat Unitaire])</f>
        <v>0</v>
      </c>
      <c r="I255">
        <v>230</v>
      </c>
      <c r="J255" s="21">
        <f ca="1">tbl_Stock[[#This Row],[Stock Courant]] * tbl_Stock[[#This Row],[CMP effectif]]</f>
        <v>16500</v>
      </c>
      <c r="K255">
        <f ca="1">tbl_Stock[[#This Row],[Stock Départ]] + SUMIF(tbl_Achats[Cde_Ingrdt],tbl_Stock[[#This Row],[Cde_Ingrdt]],tbl_Achats[[#This Row],[Qté d''Achat]])</f>
        <v>1500</v>
      </c>
      <c r="L255" s="7">
        <f ca="1">IFERROR((tbl_Stock[[#This Row],[Valeur stock initiale]] + tbl_Stock[[#This Row],[ Valeur Achat]]) / tbl_Stock[[#This Row],[Quantité totale]], 0)</f>
        <v>11</v>
      </c>
      <c r="M255" s="7">
        <f>SUMIF(tbl_Sorties[[Code ingrédient ]], tbl_Stock[[#This Row],[Cde_Ingrdt]], tbl_Sorties[Qté Sortie])</f>
        <v>0</v>
      </c>
      <c r="N255" s="57">
        <f>tbl_Stock[[#This Row],[Stock Départ]] + tbl_Stock[[#This Row],[Achats Cumulées]] - tbl_Stock[[#This Row],[ Sortie cumulée]]</f>
        <v>1500</v>
      </c>
      <c r="O255">
        <v>100</v>
      </c>
      <c r="P255" t="str">
        <f>IF(tbl_Stock[[#This Row],[Stock Courant]] &lt; tbl_Stock[[#This Row],[Seuil critique]], "⚠️ Alerte", "OK")</f>
        <v>OK</v>
      </c>
    </row>
    <row r="256" spans="1:16" x14ac:dyDescent="0.25">
      <c r="A256" t="str">
        <f>IFERROR(VLOOKUP(B256,Référentiels!$M$2:$N$267,2,FALSE),"Ingrédient non trouvé")</f>
        <v>BOI003</v>
      </c>
      <c r="B256" t="str">
        <f>+tbl_IngrédientsRef[[#This Row],[Ingrédient]]</f>
        <v>Menthe</v>
      </c>
      <c r="C256" t="str">
        <f>INDEX(tbl_IngrédientsRef[Unité], MATCH(A256, tbl_IngrédientsRef[Cde_Ingrdt],0))</f>
        <v>Pièce</v>
      </c>
      <c r="D256" s="21">
        <f>IFERROR(INDEX(tbl_IngrédientsRef[[#This Row],[PU_effectif_g/ml]], MATCH(tbl_Stock[[#This Row],[Cde_Ingrdt]], tbl_IngrédientsRef[[#This Row],[Cde_Ingrdt]], 0)), 0)</f>
        <v>1.5</v>
      </c>
      <c r="E256">
        <v>1500</v>
      </c>
      <c r="F256" s="57">
        <f>tbl_Stock[[#This Row],[Stock Départ]] * INDEX(tbl_IngrédientsRef[Prix/Uni Base], MATCH(tbl_Stock[[#This Row],[Cde_Ingrdt]], tbl_IngrédientsRef[Cde_Ingrdt], 0))</f>
        <v>2250</v>
      </c>
      <c r="G256">
        <f>SUMIF(tbl_Achats[Cde_Ingrdt],tbl_Stock[[#This Row],[Cde_Ingrdt]],tbl_Achats[Qté d''Achat])</f>
        <v>0</v>
      </c>
      <c r="H256" s="21">
        <f t="array" ref="H256">SUMPRODUCT((tbl_Achats[Cde_Ingrdt]=tbl_Stock[[#This Row],[Cde_Ingrdt]]) * tbl_Achats[Qté d''Achat] * tbl_Achats[Prix Achat Unitaire])</f>
        <v>0</v>
      </c>
      <c r="I256">
        <v>300</v>
      </c>
      <c r="J256" s="21">
        <f ca="1">tbl_Stock[[#This Row],[Stock Courant]] * tbl_Stock[[#This Row],[CMP effectif]]</f>
        <v>2250</v>
      </c>
      <c r="K256">
        <f ca="1">tbl_Stock[[#This Row],[Stock Départ]] + SUMIF(tbl_Achats[Cde_Ingrdt],tbl_Stock[[#This Row],[Cde_Ingrdt]],tbl_Achats[[#This Row],[Qté d''Achat]])</f>
        <v>1500</v>
      </c>
      <c r="L256" s="7">
        <f ca="1">IFERROR((tbl_Stock[[#This Row],[Valeur stock initiale]] + tbl_Stock[[#This Row],[ Valeur Achat]]) / tbl_Stock[[#This Row],[Quantité totale]], 0)</f>
        <v>1.5</v>
      </c>
      <c r="M256" s="7">
        <f>SUMIF(tbl_Sorties[[Code ingrédient ]], tbl_Stock[[#This Row],[Cde_Ingrdt]], tbl_Sorties[Qté Sortie])</f>
        <v>0</v>
      </c>
      <c r="N256" s="57">
        <f>tbl_Stock[[#This Row],[Stock Départ]] + tbl_Stock[[#This Row],[Achats Cumulées]] - tbl_Stock[[#This Row],[ Sortie cumulée]]</f>
        <v>1500</v>
      </c>
      <c r="O256">
        <v>100</v>
      </c>
      <c r="P256" t="str">
        <f>IF(tbl_Stock[[#This Row],[Stock Courant]] &lt; tbl_Stock[[#This Row],[Seuil critique]], "⚠️ Alerte", "OK")</f>
        <v>OK</v>
      </c>
    </row>
    <row r="257" spans="1:16" x14ac:dyDescent="0.25">
      <c r="A257" t="str">
        <f>IFERROR(VLOOKUP(B257,Référentiels!$M$2:$N$267,2,FALSE),"Ingrédient non trouvé")</f>
        <v>BOI004</v>
      </c>
      <c r="B257" t="str">
        <f>+tbl_IngrédientsRef[[#This Row],[Ingrédient]]</f>
        <v>Verveine</v>
      </c>
      <c r="C257" t="str">
        <f>INDEX(tbl_IngrédientsRef[Unité], MATCH(A257, tbl_IngrédientsRef[Cde_Ingrdt],0))</f>
        <v>g</v>
      </c>
      <c r="D257" s="21">
        <f>IFERROR(INDEX(tbl_IngrédientsRef[[#This Row],[PU_effectif_g/ml]], MATCH(tbl_Stock[[#This Row],[Cde_Ingrdt]], tbl_IngrédientsRef[[#This Row],[Cde_Ingrdt]], 0)), 0)</f>
        <v>0.3</v>
      </c>
      <c r="E257">
        <v>1500</v>
      </c>
      <c r="F257" s="57">
        <f>tbl_Stock[[#This Row],[Stock Départ]] * INDEX(tbl_IngrédientsRef[Prix/Uni Base], MATCH(tbl_Stock[[#This Row],[Cde_Ingrdt]], tbl_IngrédientsRef[Cde_Ingrdt], 0))</f>
        <v>450</v>
      </c>
      <c r="G257">
        <f>SUMIF(tbl_Achats[Cde_Ingrdt],tbl_Stock[[#This Row],[Cde_Ingrdt]],tbl_Achats[Qté d''Achat])</f>
        <v>0</v>
      </c>
      <c r="H257" s="21">
        <f t="array" ref="H257">SUMPRODUCT((tbl_Achats[Cde_Ingrdt]=tbl_Stock[[#This Row],[Cde_Ingrdt]]) * tbl_Achats[Qté d''Achat] * tbl_Achats[Prix Achat Unitaire])</f>
        <v>0</v>
      </c>
      <c r="I257">
        <v>340</v>
      </c>
      <c r="J257" s="21">
        <f ca="1">tbl_Stock[[#This Row],[Stock Courant]] * tbl_Stock[[#This Row],[CMP effectif]]</f>
        <v>450</v>
      </c>
      <c r="K257">
        <f ca="1">tbl_Stock[[#This Row],[Stock Départ]] + SUMIF(tbl_Achats[Cde_Ingrdt],tbl_Stock[[#This Row],[Cde_Ingrdt]],tbl_Achats[[#This Row],[Qté d''Achat]])</f>
        <v>1500</v>
      </c>
      <c r="L257" s="7">
        <f ca="1">IFERROR((tbl_Stock[[#This Row],[Valeur stock initiale]] + tbl_Stock[[#This Row],[ Valeur Achat]]) / tbl_Stock[[#This Row],[Quantité totale]], 0)</f>
        <v>0.3</v>
      </c>
      <c r="M257" s="7">
        <f>SUMIF(tbl_Sorties[[Code ingrédient ]], tbl_Stock[[#This Row],[Cde_Ingrdt]], tbl_Sorties[Qté Sortie])</f>
        <v>0</v>
      </c>
      <c r="N257" s="57">
        <f>tbl_Stock[[#This Row],[Stock Départ]] + tbl_Stock[[#This Row],[Achats Cumulées]] - tbl_Stock[[#This Row],[ Sortie cumulée]]</f>
        <v>1500</v>
      </c>
      <c r="O257">
        <v>100</v>
      </c>
      <c r="P257" t="str">
        <f>IF(tbl_Stock[[#This Row],[Stock Courant]] &lt; tbl_Stock[[#This Row],[Seuil critique]], "⚠️ Alerte", "OK")</f>
        <v>OK</v>
      </c>
    </row>
    <row r="258" spans="1:16" x14ac:dyDescent="0.25">
      <c r="A258" t="str">
        <f>IFERROR(VLOOKUP(B258,Référentiels!$M$2:$N$267,2,FALSE),"Ingrédient non trouvé")</f>
        <v>BOI005</v>
      </c>
      <c r="B258" t="str">
        <f>+tbl_IngrédientsRef[[#This Row],[Ingrédient]]</f>
        <v>Lipton</v>
      </c>
      <c r="C258" t="str">
        <f>INDEX(tbl_IngrédientsRef[Unité], MATCH(A258, tbl_IngrédientsRef[Cde_Ingrdt],0))</f>
        <v>Pièce</v>
      </c>
      <c r="D258" s="21">
        <f>IFERROR(INDEX(tbl_IngrédientsRef[[#This Row],[PU_effectif_g/ml]], MATCH(tbl_Stock[[#This Row],[Cde_Ingrdt]], tbl_IngrédientsRef[[#This Row],[Cde_Ingrdt]], 0)), 0)</f>
        <v>1.5</v>
      </c>
      <c r="E258">
        <v>1500</v>
      </c>
      <c r="F258" s="57">
        <f>tbl_Stock[[#This Row],[Stock Départ]] * INDEX(tbl_IngrédientsRef[Prix/Uni Base], MATCH(tbl_Stock[[#This Row],[Cde_Ingrdt]], tbl_IngrédientsRef[Cde_Ingrdt], 0))</f>
        <v>2250</v>
      </c>
      <c r="G258">
        <f>SUMIF(tbl_Achats[Cde_Ingrdt],tbl_Stock[[#This Row],[Cde_Ingrdt]],tbl_Achats[Qté d''Achat])</f>
        <v>0</v>
      </c>
      <c r="H258" s="21">
        <f t="array" ref="H258">SUMPRODUCT((tbl_Achats[Cde_Ingrdt]=tbl_Stock[[#This Row],[Cde_Ingrdt]]) * tbl_Achats[Qté d''Achat] * tbl_Achats[Prix Achat Unitaire])</f>
        <v>0</v>
      </c>
      <c r="I258">
        <v>250</v>
      </c>
      <c r="J258" s="21">
        <f ca="1">tbl_Stock[[#This Row],[Stock Courant]] * tbl_Stock[[#This Row],[CMP effectif]]</f>
        <v>2250</v>
      </c>
      <c r="K258">
        <f ca="1">tbl_Stock[[#This Row],[Stock Départ]] + SUMIF(tbl_Achats[Cde_Ingrdt],tbl_Stock[[#This Row],[Cde_Ingrdt]],tbl_Achats[[#This Row],[Qté d''Achat]])</f>
        <v>1500</v>
      </c>
      <c r="L258" s="7">
        <f ca="1">IFERROR((tbl_Stock[[#This Row],[Valeur stock initiale]] + tbl_Stock[[#This Row],[ Valeur Achat]]) / tbl_Stock[[#This Row],[Quantité totale]], 0)</f>
        <v>1.5</v>
      </c>
      <c r="M258" s="7">
        <f>SUMIF(tbl_Sorties[[Code ingrédient ]], tbl_Stock[[#This Row],[Cde_Ingrdt]], tbl_Sorties[Qté Sortie])</f>
        <v>0</v>
      </c>
      <c r="N258" s="57">
        <f>tbl_Stock[[#This Row],[Stock Départ]] + tbl_Stock[[#This Row],[Achats Cumulées]] - tbl_Stock[[#This Row],[ Sortie cumulée]]</f>
        <v>1500</v>
      </c>
      <c r="O258">
        <v>100</v>
      </c>
      <c r="P258" t="str">
        <f>IF(tbl_Stock[[#This Row],[Stock Courant]] &lt; tbl_Stock[[#This Row],[Seuil critique]], "⚠️ Alerte", "OK")</f>
        <v>OK</v>
      </c>
    </row>
    <row r="259" spans="1:16" x14ac:dyDescent="0.25">
      <c r="A259" t="str">
        <f>IFERROR(VLOOKUP(B259,Référentiels!$M$2:$N$267,2,FALSE),"Ingrédient non trouvé")</f>
        <v>BOI006</v>
      </c>
      <c r="B259" t="str">
        <f>+tbl_IngrédientsRef[[#This Row],[Ingrédient]]</f>
        <v>Herbes Marocaines</v>
      </c>
      <c r="C259" t="str">
        <f>INDEX(tbl_IngrédientsRef[Unité], MATCH(A259, tbl_IngrédientsRef[Cde_Ingrdt],0))</f>
        <v>Pièce</v>
      </c>
      <c r="D259" s="21">
        <f>IFERROR(INDEX(tbl_IngrédientsRef[[#This Row],[PU_effectif_g/ml]], MATCH(tbl_Stock[[#This Row],[Cde_Ingrdt]], tbl_IngrédientsRef[[#This Row],[Cde_Ingrdt]], 0)), 0)</f>
        <v>2</v>
      </c>
      <c r="E259">
        <v>1500</v>
      </c>
      <c r="F259" s="57">
        <f>tbl_Stock[[#This Row],[Stock Départ]] * INDEX(tbl_IngrédientsRef[Prix/Uni Base], MATCH(tbl_Stock[[#This Row],[Cde_Ingrdt]], tbl_IngrédientsRef[Cde_Ingrdt], 0))</f>
        <v>3000</v>
      </c>
      <c r="G259">
        <f>SUMIF(tbl_Achats[Cde_Ingrdt],tbl_Stock[[#This Row],[Cde_Ingrdt]],tbl_Achats[Qté d''Achat])</f>
        <v>0</v>
      </c>
      <c r="H259" s="21">
        <f t="array" ref="H259">SUMPRODUCT((tbl_Achats[Cde_Ingrdt]=tbl_Stock[[#This Row],[Cde_Ingrdt]]) * tbl_Achats[Qté d''Achat] * tbl_Achats[Prix Achat Unitaire])</f>
        <v>0</v>
      </c>
      <c r="I259">
        <v>230</v>
      </c>
      <c r="J259" s="21">
        <f ca="1">tbl_Stock[[#This Row],[Stock Courant]] * tbl_Stock[[#This Row],[CMP effectif]]</f>
        <v>3000</v>
      </c>
      <c r="K259">
        <f ca="1">tbl_Stock[[#This Row],[Stock Départ]] + SUMIF(tbl_Achats[Cde_Ingrdt],tbl_Stock[[#This Row],[Cde_Ingrdt]],tbl_Achats[[#This Row],[Qté d''Achat]])</f>
        <v>1500</v>
      </c>
      <c r="L259" s="7">
        <f ca="1">IFERROR((tbl_Stock[[#This Row],[Valeur stock initiale]] + tbl_Stock[[#This Row],[ Valeur Achat]]) / tbl_Stock[[#This Row],[Quantité totale]], 0)</f>
        <v>2</v>
      </c>
      <c r="M259" s="7">
        <f>SUMIF(tbl_Sorties[[Code ingrédient ]], tbl_Stock[[#This Row],[Cde_Ingrdt]], tbl_Sorties[Qté Sortie])</f>
        <v>0</v>
      </c>
      <c r="N259" s="57">
        <f>tbl_Stock[[#This Row],[Stock Départ]] + tbl_Stock[[#This Row],[Achats Cumulées]] - tbl_Stock[[#This Row],[ Sortie cumulée]]</f>
        <v>1500</v>
      </c>
      <c r="O259">
        <v>100</v>
      </c>
      <c r="P259" t="str">
        <f>IF(tbl_Stock[[#This Row],[Stock Courant]] &lt; tbl_Stock[[#This Row],[Seuil critique]], "⚠️ Alerte", "OK")</f>
        <v>OK</v>
      </c>
    </row>
    <row r="260" spans="1:16" x14ac:dyDescent="0.25">
      <c r="A260" t="str">
        <f>IFERROR(VLOOKUP(B260,Référentiels!$M$2:$N$267,2,FALSE),"Ingrédient non trouvé")</f>
        <v>BOI007</v>
      </c>
      <c r="B260" t="str">
        <f>+tbl_IngrédientsRef[[#This Row],[Ingrédient]]</f>
        <v>Soft Drinks</v>
      </c>
      <c r="C260" t="str">
        <f>INDEX(tbl_IngrédientsRef[Unité], MATCH(A260, tbl_IngrédientsRef[Cde_Ingrdt],0))</f>
        <v>Pièce</v>
      </c>
      <c r="D260" s="21">
        <f>IFERROR(INDEX(tbl_IngrédientsRef[[#This Row],[PU_effectif_g/ml]], MATCH(tbl_Stock[[#This Row],[Cde_Ingrdt]], tbl_IngrédientsRef[[#This Row],[Cde_Ingrdt]], 0)), 0)</f>
        <v>9</v>
      </c>
      <c r="E260">
        <v>1500</v>
      </c>
      <c r="F260" s="57">
        <f>tbl_Stock[[#This Row],[Stock Départ]] * INDEX(tbl_IngrédientsRef[Prix/Uni Base], MATCH(tbl_Stock[[#This Row],[Cde_Ingrdt]], tbl_IngrédientsRef[Cde_Ingrdt], 0))</f>
        <v>13500</v>
      </c>
      <c r="G260">
        <f>SUMIF(tbl_Achats[Cde_Ingrdt],tbl_Stock[[#This Row],[Cde_Ingrdt]],tbl_Achats[Qté d''Achat])</f>
        <v>0</v>
      </c>
      <c r="H260" s="21">
        <f t="array" ref="H260">SUMPRODUCT((tbl_Achats[Cde_Ingrdt]=tbl_Stock[[#This Row],[Cde_Ingrdt]]) * tbl_Achats[Qté d''Achat] * tbl_Achats[Prix Achat Unitaire])</f>
        <v>0</v>
      </c>
      <c r="I260">
        <v>300</v>
      </c>
      <c r="J260" s="21">
        <f ca="1">tbl_Stock[[#This Row],[Stock Courant]] * tbl_Stock[[#This Row],[CMP effectif]]</f>
        <v>13500</v>
      </c>
      <c r="K260">
        <f ca="1">tbl_Stock[[#This Row],[Stock Départ]] + SUMIF(tbl_Achats[Cde_Ingrdt],tbl_Stock[[#This Row],[Cde_Ingrdt]],tbl_Achats[[#This Row],[Qté d''Achat]])</f>
        <v>1500</v>
      </c>
      <c r="L260" s="7">
        <f ca="1">IFERROR((tbl_Stock[[#This Row],[Valeur stock initiale]] + tbl_Stock[[#This Row],[ Valeur Achat]]) / tbl_Stock[[#This Row],[Quantité totale]], 0)</f>
        <v>9</v>
      </c>
      <c r="M260" s="7">
        <f>SUMIF(tbl_Sorties[[Code ingrédient ]], tbl_Stock[[#This Row],[Cde_Ingrdt]], tbl_Sorties[Qté Sortie])</f>
        <v>0</v>
      </c>
      <c r="N260" s="57">
        <f>tbl_Stock[[#This Row],[Stock Départ]] + tbl_Stock[[#This Row],[Achats Cumulées]] - tbl_Stock[[#This Row],[ Sortie cumulée]]</f>
        <v>1500</v>
      </c>
      <c r="O260">
        <v>100</v>
      </c>
      <c r="P260" t="str">
        <f>IF(tbl_Stock[[#This Row],[Stock Courant]] &lt; tbl_Stock[[#This Row],[Seuil critique]], "⚠️ Alerte", "OK")</f>
        <v>OK</v>
      </c>
    </row>
    <row r="261" spans="1:16" x14ac:dyDescent="0.25">
      <c r="A261" t="str">
        <f>IFERROR(VLOOKUP(B261,Référentiels!$M$2:$N$267,2,FALSE),"Ingrédient non trouvé")</f>
        <v>BOI008</v>
      </c>
      <c r="B261" t="str">
        <f>+tbl_IngrédientsRef[[#This Row],[Ingrédient]]</f>
        <v>Eau Minérale 1,5L</v>
      </c>
      <c r="C261" t="str">
        <f>INDEX(tbl_IngrédientsRef[Unité], MATCH(A261, tbl_IngrédientsRef[Cde_Ingrdt],0))</f>
        <v>Pièce</v>
      </c>
      <c r="D261" s="21">
        <f>IFERROR(INDEX(tbl_IngrédientsRef[[#This Row],[PU_effectif_g/ml]], MATCH(tbl_Stock[[#This Row],[Cde_Ingrdt]], tbl_IngrédientsRef[[#This Row],[Cde_Ingrdt]], 0)), 0)</f>
        <v>4.5</v>
      </c>
      <c r="E261">
        <v>1500</v>
      </c>
      <c r="F261" s="57">
        <f>tbl_Stock[[#This Row],[Stock Départ]] * INDEX(tbl_IngrédientsRef[Prix/Uni Base], MATCH(tbl_Stock[[#This Row],[Cde_Ingrdt]], tbl_IngrédientsRef[Cde_Ingrdt], 0))</f>
        <v>6750</v>
      </c>
      <c r="G261">
        <f>SUMIF(tbl_Achats[Cde_Ingrdt],tbl_Stock[[#This Row],[Cde_Ingrdt]],tbl_Achats[Qté d''Achat])</f>
        <v>0</v>
      </c>
      <c r="H261" s="21">
        <f t="array" ref="H261">SUMPRODUCT((tbl_Achats[Cde_Ingrdt]=tbl_Stock[[#This Row],[Cde_Ingrdt]]) * tbl_Achats[Qté d''Achat] * tbl_Achats[Prix Achat Unitaire])</f>
        <v>0</v>
      </c>
      <c r="I261">
        <v>340</v>
      </c>
      <c r="J261" s="21">
        <f ca="1">tbl_Stock[[#This Row],[Stock Courant]] * tbl_Stock[[#This Row],[CMP effectif]]</f>
        <v>6300</v>
      </c>
      <c r="K261">
        <f ca="1">tbl_Stock[[#This Row],[Stock Départ]] + SUMIF(tbl_Achats[Cde_Ingrdt],tbl_Stock[[#This Row],[Cde_Ingrdt]],tbl_Achats[[#This Row],[Qté d''Achat]])</f>
        <v>1500</v>
      </c>
      <c r="L261" s="7">
        <f ca="1">IFERROR((tbl_Stock[[#This Row],[Valeur stock initiale]] + tbl_Stock[[#This Row],[ Valeur Achat]]) / tbl_Stock[[#This Row],[Quantité totale]], 0)</f>
        <v>4.5</v>
      </c>
      <c r="M261" s="7">
        <f>SUMIF(tbl_Sorties[[Code ingrédient ]], tbl_Stock[[#This Row],[Cde_Ingrdt]], tbl_Sorties[Qté Sortie])</f>
        <v>100</v>
      </c>
      <c r="N261" s="57">
        <f>tbl_Stock[[#This Row],[Stock Départ]] + tbl_Stock[[#This Row],[Achats Cumulées]] - tbl_Stock[[#This Row],[ Sortie cumulée]]</f>
        <v>1400</v>
      </c>
      <c r="O261">
        <v>100</v>
      </c>
      <c r="P261" t="str">
        <f>IF(tbl_Stock[[#This Row],[Stock Courant]] &lt; tbl_Stock[[#This Row],[Seuil critique]], "⚠️ Alerte", "OK")</f>
        <v>OK</v>
      </c>
    </row>
    <row r="262" spans="1:16" x14ac:dyDescent="0.25">
      <c r="A262" t="str">
        <f>IFERROR(VLOOKUP(B262,Référentiels!$M$2:$N$267,2,FALSE),"Ingrédient non trouvé")</f>
        <v>BOI009</v>
      </c>
      <c r="B262" t="str">
        <f>+tbl_IngrédientsRef[[#This Row],[Ingrédient]]</f>
        <v>Eau Minérale 50Cl</v>
      </c>
      <c r="C262" t="str">
        <f>INDEX(tbl_IngrédientsRef[Unité], MATCH(A262, tbl_IngrédientsRef[Cde_Ingrdt],0))</f>
        <v>Pièce</v>
      </c>
      <c r="D262" s="21">
        <f>IFERROR(INDEX(tbl_IngrédientsRef[[#This Row],[PU_effectif_g/ml]], MATCH(tbl_Stock[[#This Row],[Cde_Ingrdt]], tbl_IngrédientsRef[[#This Row],[Cde_Ingrdt]], 0)), 0)</f>
        <v>3</v>
      </c>
      <c r="E262">
        <v>1500</v>
      </c>
      <c r="F262" s="57">
        <f>tbl_Stock[[#This Row],[Stock Départ]] * INDEX(tbl_IngrédientsRef[Prix/Uni Base], MATCH(tbl_Stock[[#This Row],[Cde_Ingrdt]], tbl_IngrédientsRef[Cde_Ingrdt], 0))</f>
        <v>4500</v>
      </c>
      <c r="G262">
        <f>SUMIF(tbl_Achats[Cde_Ingrdt],tbl_Stock[[#This Row],[Cde_Ingrdt]],tbl_Achats[Qté d''Achat])</f>
        <v>0</v>
      </c>
      <c r="H262" s="21">
        <f t="array" ref="H262">SUMPRODUCT((tbl_Achats[Cde_Ingrdt]=tbl_Stock[[#This Row],[Cde_Ingrdt]]) * tbl_Achats[Qté d''Achat] * tbl_Achats[Prix Achat Unitaire])</f>
        <v>0</v>
      </c>
      <c r="I262">
        <v>340</v>
      </c>
      <c r="J262" s="21">
        <f ca="1">tbl_Stock[[#This Row],[Stock Courant]] * tbl_Stock[[#This Row],[CMP effectif]]</f>
        <v>4320</v>
      </c>
      <c r="K262">
        <f ca="1">tbl_Stock[[#This Row],[Stock Départ]] + SUMIF(tbl_Achats[Cde_Ingrdt],tbl_Stock[[#This Row],[Cde_Ingrdt]],tbl_Achats[[#This Row],[Qté d''Achat]])</f>
        <v>1500</v>
      </c>
      <c r="L262" s="7">
        <f ca="1">IFERROR((tbl_Stock[[#This Row],[Valeur stock initiale]] + tbl_Stock[[#This Row],[ Valeur Achat]]) / tbl_Stock[[#This Row],[Quantité totale]], 0)</f>
        <v>3</v>
      </c>
      <c r="M262" s="7">
        <f>SUMIF(tbl_Sorties[[Code ingrédient ]], tbl_Stock[[#This Row],[Cde_Ingrdt]], tbl_Sorties[Qté Sortie])</f>
        <v>60</v>
      </c>
      <c r="N262" s="57">
        <f>tbl_Stock[[#This Row],[Stock Départ]] + tbl_Stock[[#This Row],[Achats Cumulées]] - tbl_Stock[[#This Row],[ Sortie cumulée]]</f>
        <v>1440</v>
      </c>
      <c r="O262">
        <v>100</v>
      </c>
      <c r="P262" t="str">
        <f>IF(tbl_Stock[[#This Row],[Stock Courant]] &lt; tbl_Stock[[#This Row],[Seuil critique]], "⚠️ Alerte", "OK")</f>
        <v>OK</v>
      </c>
    </row>
    <row r="263" spans="1:16" x14ac:dyDescent="0.25">
      <c r="A263" t="str">
        <f>IFERROR(VLOOKUP(B263,Référentiels!$M$2:$N$267,2,FALSE),"Ingrédient non trouvé")</f>
        <v>BOI010</v>
      </c>
      <c r="B263" t="str">
        <f>+tbl_IngrédientsRef[[#This Row],[Ingrédient]]</f>
        <v>Eau Minérale 33Cl</v>
      </c>
      <c r="C263" t="str">
        <f>INDEX(tbl_IngrédientsRef[Unité], MATCH(A263, tbl_IngrédientsRef[Cde_Ingrdt],0))</f>
        <v>Pièce</v>
      </c>
      <c r="D263" s="21">
        <f>IFERROR(INDEX(tbl_IngrédientsRef[[#This Row],[PU_effectif_g/ml]], MATCH(tbl_Stock[[#This Row],[Cde_Ingrdt]], tbl_IngrédientsRef[[#This Row],[Cde_Ingrdt]], 0)), 0)</f>
        <v>2</v>
      </c>
      <c r="E263">
        <v>1500</v>
      </c>
      <c r="F263" s="57">
        <f>tbl_Stock[[#This Row],[Stock Départ]] * INDEX(tbl_IngrédientsRef[Prix/Uni Base], MATCH(tbl_Stock[[#This Row],[Cde_Ingrdt]], tbl_IngrédientsRef[Cde_Ingrdt], 0))</f>
        <v>3000</v>
      </c>
      <c r="G263">
        <f>SUMIF(tbl_Achats[Cde_Ingrdt],tbl_Stock[[#This Row],[Cde_Ingrdt]],tbl_Achats[Qté d''Achat])</f>
        <v>0</v>
      </c>
      <c r="H263" s="21">
        <f t="array" ref="H263">SUMPRODUCT((tbl_Achats[Cde_Ingrdt]=tbl_Stock[[#This Row],[Cde_Ingrdt]]) * tbl_Achats[Qté d''Achat] * tbl_Achats[Prix Achat Unitaire])</f>
        <v>0</v>
      </c>
      <c r="I263">
        <v>340</v>
      </c>
      <c r="J263" s="21">
        <f ca="1">tbl_Stock[[#This Row],[Stock Courant]] * tbl_Stock[[#This Row],[CMP effectif]]</f>
        <v>3000</v>
      </c>
      <c r="K263">
        <f ca="1">tbl_Stock[[#This Row],[Stock Départ]] + SUMIF(tbl_Achats[Cde_Ingrdt],tbl_Stock[[#This Row],[Cde_Ingrdt]],tbl_Achats[[#This Row],[Qté d''Achat]])</f>
        <v>1500</v>
      </c>
      <c r="L263" s="7">
        <f ca="1">IFERROR((tbl_Stock[[#This Row],[Valeur stock initiale]] + tbl_Stock[[#This Row],[ Valeur Achat]]) / tbl_Stock[[#This Row],[Quantité totale]], 0)</f>
        <v>2</v>
      </c>
      <c r="M263" s="7">
        <f>SUMIF(tbl_Sorties[[Code ingrédient ]], tbl_Stock[[#This Row],[Cde_Ingrdt]], tbl_Sorties[Qté Sortie])</f>
        <v>0</v>
      </c>
      <c r="N263" s="57">
        <f>tbl_Stock[[#This Row],[Stock Départ]] + tbl_Stock[[#This Row],[Achats Cumulées]] - tbl_Stock[[#This Row],[ Sortie cumulée]]</f>
        <v>1500</v>
      </c>
      <c r="O263">
        <v>100</v>
      </c>
      <c r="P263" t="str">
        <f>IF(tbl_Stock[[#This Row],[Stock Courant]] &lt; tbl_Stock[[#This Row],[Seuil critique]], "⚠️ Alerte", "OK")</f>
        <v>OK</v>
      </c>
    </row>
    <row r="264" spans="1:16" x14ac:dyDescent="0.25">
      <c r="A264" t="str">
        <f>IFERROR(VLOOKUP(B264,Référentiels!$M$2:$N$267,2,FALSE),"Ingrédient non trouvé")</f>
        <v>BOI011</v>
      </c>
      <c r="B264" t="str">
        <f>+tbl_IngrédientsRef[[#This Row],[Ingrédient]]</f>
        <v>Oulmes</v>
      </c>
      <c r="C264" t="str">
        <f>INDEX(tbl_IngrédientsRef[Unité], MATCH(A264, tbl_IngrédientsRef[Cde_Ingrdt],0))</f>
        <v>Pièce</v>
      </c>
      <c r="D264" s="21">
        <f>IFERROR(INDEX(tbl_IngrédientsRef[[#This Row],[PU_effectif_g/ml]], MATCH(tbl_Stock[[#This Row],[Cde_Ingrdt]], tbl_IngrédientsRef[[#This Row],[Cde_Ingrdt]], 0)), 0)</f>
        <v>3</v>
      </c>
      <c r="E264">
        <v>1500</v>
      </c>
      <c r="F264" s="57">
        <f>tbl_Stock[[#This Row],[Stock Départ]] * INDEX(tbl_IngrédientsRef[Prix/Uni Base], MATCH(tbl_Stock[[#This Row],[Cde_Ingrdt]], tbl_IngrédientsRef[Cde_Ingrdt], 0))</f>
        <v>4500</v>
      </c>
      <c r="G264">
        <f>SUMIF(tbl_Achats[Cde_Ingrdt],tbl_Stock[[#This Row],[Cde_Ingrdt]],tbl_Achats[Qté d''Achat])</f>
        <v>0</v>
      </c>
      <c r="H264" s="21">
        <f t="array" ref="H264">SUMPRODUCT((tbl_Achats[Cde_Ingrdt]=tbl_Stock[[#This Row],[Cde_Ingrdt]]) * tbl_Achats[Qté d''Achat] * tbl_Achats[Prix Achat Unitaire])</f>
        <v>0</v>
      </c>
      <c r="I264">
        <v>340</v>
      </c>
      <c r="J264" s="21">
        <f ca="1">tbl_Stock[[#This Row],[Stock Courant]] * tbl_Stock[[#This Row],[CMP effectif]]</f>
        <v>4500</v>
      </c>
      <c r="K264">
        <f ca="1">tbl_Stock[[#This Row],[Stock Départ]] + SUMIF(tbl_Achats[Cde_Ingrdt],tbl_Stock[[#This Row],[Cde_Ingrdt]],tbl_Achats[[#This Row],[Qté d''Achat]])</f>
        <v>1500</v>
      </c>
      <c r="L264" s="7">
        <f ca="1">IFERROR((tbl_Stock[[#This Row],[Valeur stock initiale]] + tbl_Stock[[#This Row],[ Valeur Achat]]) / tbl_Stock[[#This Row],[Quantité totale]], 0)</f>
        <v>3</v>
      </c>
      <c r="M264" s="7">
        <f>SUMIF(tbl_Sorties[[Code ingrédient ]], tbl_Stock[[#This Row],[Cde_Ingrdt]], tbl_Sorties[Qté Sortie])</f>
        <v>0</v>
      </c>
      <c r="N264" s="57">
        <f>tbl_Stock[[#This Row],[Stock Départ]] + tbl_Stock[[#This Row],[Achats Cumulées]] - tbl_Stock[[#This Row],[ Sortie cumulée]]</f>
        <v>1500</v>
      </c>
      <c r="O264">
        <v>100</v>
      </c>
      <c r="P264" t="str">
        <f>IF(tbl_Stock[[#This Row],[Stock Courant]] &lt; tbl_Stock[[#This Row],[Seuil critique]], "⚠️ Alerte", "OK")</f>
        <v>OK</v>
      </c>
    </row>
    <row r="265" spans="1:16" x14ac:dyDescent="0.25">
      <c r="A265" t="str">
        <f>IFERROR(VLOOKUP(B265,Référentiels!$M$2:$N$267,2,FALSE),"Ingrédient non trouvé")</f>
        <v>BOI012</v>
      </c>
      <c r="B265" t="str">
        <f>+tbl_IngrédientsRef[[#This Row],[Ingrédient]]</f>
        <v>Boisson Énergétique</v>
      </c>
      <c r="C265" t="str">
        <f>INDEX(tbl_IngrédientsRef[Unité], MATCH(A265, tbl_IngrédientsRef[Cde_Ingrdt],0))</f>
        <v>Pièce</v>
      </c>
      <c r="D265" s="21">
        <f>IFERROR(INDEX(tbl_IngrédientsRef[[#This Row],[PU_effectif_g/ml]], MATCH(tbl_Stock[[#This Row],[Cde_Ingrdt]], tbl_IngrédientsRef[[#This Row],[Cde_Ingrdt]], 0)), 0)</f>
        <v>14</v>
      </c>
      <c r="E265">
        <v>1500</v>
      </c>
      <c r="F265" s="57">
        <f>tbl_Stock[[#This Row],[Stock Départ]] * INDEX(tbl_IngrédientsRef[Prix/Uni Base], MATCH(tbl_Stock[[#This Row],[Cde_Ingrdt]], tbl_IngrédientsRef[Cde_Ingrdt], 0))</f>
        <v>21000</v>
      </c>
      <c r="G265">
        <f>SUMIF(tbl_Achats[Cde_Ingrdt],tbl_Stock[[#This Row],[Cde_Ingrdt]],tbl_Achats[Qté d''Achat])</f>
        <v>0</v>
      </c>
      <c r="H265" s="21">
        <f t="array" ref="H265">SUMPRODUCT((tbl_Achats[Cde_Ingrdt]=tbl_Stock[[#This Row],[Cde_Ingrdt]]) * tbl_Achats[Qté d''Achat] * tbl_Achats[Prix Achat Unitaire])</f>
        <v>0</v>
      </c>
      <c r="I265">
        <v>340</v>
      </c>
      <c r="J265" s="21">
        <f ca="1">tbl_Stock[[#This Row],[Stock Courant]] * tbl_Stock[[#This Row],[CMP effectif]]</f>
        <v>21000</v>
      </c>
      <c r="K265">
        <f ca="1">tbl_Stock[[#This Row],[Stock Départ]] + SUMIF(tbl_Achats[Cde_Ingrdt],tbl_Stock[[#This Row],[Cde_Ingrdt]],tbl_Achats[[#This Row],[Qté d''Achat]])</f>
        <v>1500</v>
      </c>
      <c r="L265" s="7">
        <f ca="1">IFERROR((tbl_Stock[[#This Row],[Valeur stock initiale]] + tbl_Stock[[#This Row],[ Valeur Achat]]) / tbl_Stock[[#This Row],[Quantité totale]], 0)</f>
        <v>14</v>
      </c>
      <c r="M265" s="7">
        <f>SUMIF(tbl_Sorties[[Code ingrédient ]], tbl_Stock[[#This Row],[Cde_Ingrdt]], tbl_Sorties[Qté Sortie])</f>
        <v>0</v>
      </c>
      <c r="N265" s="57">
        <f>tbl_Stock[[#This Row],[Stock Départ]] + tbl_Stock[[#This Row],[Achats Cumulées]] - tbl_Stock[[#This Row],[ Sortie cumulée]]</f>
        <v>1500</v>
      </c>
      <c r="O265">
        <v>100</v>
      </c>
      <c r="P265" t="str">
        <f>IF(tbl_Stock[[#This Row],[Stock Courant]] &lt; tbl_Stock[[#This Row],[Seuil critique]], "⚠️ Alerte", "OK")</f>
        <v>OK</v>
      </c>
    </row>
    <row r="266" spans="1:16" x14ac:dyDescent="0.25">
      <c r="A266" t="str">
        <f>IFERROR(VLOOKUP(B266,Référentiels!$M$2:$N$267,2,FALSE),"Ingrédient non trouvé")</f>
        <v>BOI013</v>
      </c>
      <c r="B266" t="str">
        <f>+tbl_IngrédientsRef[[#This Row],[Ingrédient]]</f>
        <v>Tagine Bissara</v>
      </c>
      <c r="C266" t="str">
        <f>INDEX(tbl_IngrédientsRef[Unité], MATCH(A266, tbl_IngrédientsRef[Cde_Ingrdt],0))</f>
        <v>Pièce</v>
      </c>
      <c r="D266" s="21">
        <f>IFERROR(INDEX(tbl_IngrédientsRef[[#This Row],[PU_effectif_g/ml]], MATCH(tbl_Stock[[#This Row],[Cde_Ingrdt]], tbl_IngrédientsRef[[#This Row],[Cde_Ingrdt]], 0)), 0)</f>
        <v>8</v>
      </c>
      <c r="E266">
        <v>1500</v>
      </c>
      <c r="F266" s="57">
        <f>tbl_Stock[[#This Row],[Stock Départ]] * INDEX(tbl_IngrédientsRef[Prix/Uni Base], MATCH(tbl_Stock[[#This Row],[Cde_Ingrdt]], tbl_IngrédientsRef[Cde_Ingrdt], 0))</f>
        <v>12000</v>
      </c>
      <c r="G266">
        <f>SUMIF(tbl_Achats[Cde_Ingrdt],tbl_Stock[[#This Row],[Cde_Ingrdt]],tbl_Achats[Qté d''Achat])</f>
        <v>0</v>
      </c>
      <c r="H266" s="21">
        <f t="array" ref="H266">SUMPRODUCT((tbl_Achats[Cde_Ingrdt]=tbl_Stock[[#This Row],[Cde_Ingrdt]]) * tbl_Achats[Qté d''Achat] * tbl_Achats[Prix Achat Unitaire])</f>
        <v>0</v>
      </c>
      <c r="I266">
        <v>340</v>
      </c>
      <c r="J266" s="21">
        <f ca="1">tbl_Stock[[#This Row],[Stock Courant]] * tbl_Stock[[#This Row],[CMP effectif]]</f>
        <v>12000</v>
      </c>
      <c r="K266">
        <f ca="1">tbl_Stock[[#This Row],[Stock Départ]] + SUMIF(tbl_Achats[Cde_Ingrdt],tbl_Stock[[#This Row],[Cde_Ingrdt]],tbl_Achats[[#This Row],[Qté d''Achat]])</f>
        <v>1500</v>
      </c>
      <c r="L266" s="7">
        <f ca="1">IFERROR((tbl_Stock[[#This Row],[Valeur stock initiale]] + tbl_Stock[[#This Row],[ Valeur Achat]]) / tbl_Stock[[#This Row],[Quantité totale]], 0)</f>
        <v>8</v>
      </c>
      <c r="M266" s="7">
        <f>SUMIF(tbl_Sorties[[Code ingrédient ]], tbl_Stock[[#This Row],[Cde_Ingrdt]], tbl_Sorties[Qté Sortie])</f>
        <v>0</v>
      </c>
      <c r="N266" s="57">
        <f>tbl_Stock[[#This Row],[Stock Départ]] + tbl_Stock[[#This Row],[Achats Cumulées]] - tbl_Stock[[#This Row],[ Sortie cumulée]]</f>
        <v>1500</v>
      </c>
      <c r="O266">
        <v>100</v>
      </c>
      <c r="P266" t="str">
        <f>IF(tbl_Stock[[#This Row],[Stock Courant]] &lt; tbl_Stock[[#This Row],[Seuil critique]], "⚠️ Alerte", "OK")</f>
        <v>OK</v>
      </c>
    </row>
    <row r="267" spans="1:16" x14ac:dyDescent="0.25">
      <c r="A267" t="str">
        <f>IFERROR(VLOOKUP(B267,Référentiels!$M$2:$N$267,2,FALSE),"Ingrédient non trouvé")</f>
        <v>BOI014</v>
      </c>
      <c r="B267" t="str">
        <f>+tbl_IngrédientsRef[[#This Row],[Ingrédient]]</f>
        <v>Thé Chamali</v>
      </c>
      <c r="C267" t="str">
        <f>INDEX(tbl_IngrédientsRef[Unité], MATCH(A267, tbl_IngrédientsRef[Cde_Ingrdt],0))</f>
        <v>Pièce</v>
      </c>
      <c r="D267" s="21">
        <f>IFERROR(INDEX(tbl_IngrédientsRef[[#This Row],[PU_effectif_g/ml]], MATCH(tbl_Stock[[#This Row],[Cde_Ingrdt]], tbl_IngrédientsRef[[#This Row],[Cde_Ingrdt]], 0)), 0)</f>
        <v>1</v>
      </c>
      <c r="E267">
        <v>1500</v>
      </c>
      <c r="F267" s="57">
        <f>tbl_Stock[[#This Row],[Stock Départ]] * INDEX(tbl_IngrédientsRef[Prix/Uni Base], MATCH(tbl_Stock[[#This Row],[Cde_Ingrdt]], tbl_IngrédientsRef[Cde_Ingrdt], 0))</f>
        <v>1500</v>
      </c>
      <c r="G267">
        <f>SUMIF(tbl_Achats[Cde_Ingrdt],tbl_Stock[[#This Row],[Cde_Ingrdt]],tbl_Achats[Qté d''Achat])</f>
        <v>0</v>
      </c>
      <c r="H267" s="21">
        <f t="array" ref="H267">SUMPRODUCT((tbl_Achats[Cde_Ingrdt]=tbl_Stock[[#This Row],[Cde_Ingrdt]]) * tbl_Achats[Qté d''Achat] * tbl_Achats[Prix Achat Unitaire])</f>
        <v>0</v>
      </c>
      <c r="I267">
        <v>340</v>
      </c>
      <c r="J267" s="21">
        <f ca="1">tbl_Stock[[#This Row],[Stock Courant]] * tbl_Stock[[#This Row],[CMP effectif]]</f>
        <v>1500</v>
      </c>
      <c r="K267">
        <f ca="1">tbl_Stock[[#This Row],[Stock Départ]] + SUMIF(tbl_Achats[Cde_Ingrdt],tbl_Stock[[#This Row],[Cde_Ingrdt]],tbl_Achats[[#This Row],[Qté d''Achat]])</f>
        <v>1500</v>
      </c>
      <c r="L267" s="7">
        <f ca="1">IFERROR((tbl_Stock[[#This Row],[Valeur stock initiale]] + tbl_Stock[[#This Row],[ Valeur Achat]]) / tbl_Stock[[#This Row],[Quantité totale]], 0)</f>
        <v>1</v>
      </c>
      <c r="M267" s="7">
        <f>SUMIF(tbl_Sorties[[Code ingrédient ]], tbl_Stock[[#This Row],[Cde_Ingrdt]], tbl_Sorties[Qté Sortie])</f>
        <v>0</v>
      </c>
      <c r="N267" s="57">
        <f>tbl_Stock[[#This Row],[Stock Départ]] + tbl_Stock[[#This Row],[Achats Cumulées]] - tbl_Stock[[#This Row],[ Sortie cumulée]]</f>
        <v>1500</v>
      </c>
      <c r="O267">
        <v>100</v>
      </c>
      <c r="P267" t="str">
        <f>IF(tbl_Stock[[#This Row],[Stock Courant]] &lt; tbl_Stock[[#This Row],[Seuil critique]], "⚠️ Alerte", "OK")</f>
        <v>OK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11">
    <tabColor theme="9" tint="-0.249977111117893"/>
  </sheetPr>
  <dimension ref="A1:R620"/>
  <sheetViews>
    <sheetView workbookViewId="0">
      <selection activeCell="E11" sqref="E11"/>
    </sheetView>
  </sheetViews>
  <sheetFormatPr baseColWidth="10" defaultRowHeight="15" x14ac:dyDescent="0.25"/>
  <cols>
    <col min="1" max="1" width="9.85546875" bestFit="1" customWidth="1"/>
    <col min="2" max="2" width="20.7109375" bestFit="1" customWidth="1"/>
    <col min="3" max="3" width="16.28515625" bestFit="1" customWidth="1"/>
    <col min="4" max="4" width="20.140625" bestFit="1" customWidth="1"/>
    <col min="5" max="5" width="19.5703125" bestFit="1" customWidth="1"/>
    <col min="6" max="6" width="16.42578125" bestFit="1" customWidth="1"/>
    <col min="7" max="7" width="17.42578125" style="10" bestFit="1" customWidth="1"/>
    <col min="8" max="8" width="22.140625" bestFit="1" customWidth="1"/>
    <col min="9" max="9" width="16.5703125" bestFit="1" customWidth="1"/>
    <col min="17" max="18" width="5.7109375" bestFit="1" customWidth="1"/>
  </cols>
  <sheetData>
    <row r="1" spans="1:18" s="13" customFormat="1" x14ac:dyDescent="0.25">
      <c r="A1" s="13" t="s">
        <v>39</v>
      </c>
      <c r="B1" s="13" t="s">
        <v>1175</v>
      </c>
      <c r="C1" s="13" t="s">
        <v>1176</v>
      </c>
      <c r="D1" s="13" t="s">
        <v>199</v>
      </c>
      <c r="E1" s="13" t="s">
        <v>1177</v>
      </c>
      <c r="F1" s="13" t="s">
        <v>1178</v>
      </c>
      <c r="G1" s="13" t="s">
        <v>1179</v>
      </c>
      <c r="H1" s="13" t="s">
        <v>1180</v>
      </c>
      <c r="I1" s="13" t="s">
        <v>1181</v>
      </c>
    </row>
    <row r="2" spans="1:18" x14ac:dyDescent="0.25">
      <c r="A2" s="5"/>
      <c r="D2" t="str">
        <f>IFERROR(VLOOKUP(E2,Référentiels!$M$2:$N$267,2,FALSE),"Ingrédient non trouvé")</f>
        <v>BOU001</v>
      </c>
      <c r="E2" t="s">
        <v>218</v>
      </c>
      <c r="F2">
        <v>0</v>
      </c>
      <c r="G2" s="10" t="s">
        <v>206</v>
      </c>
      <c r="H2">
        <v>0</v>
      </c>
      <c r="I2">
        <f>IFERROR(tbl_Achats[[#This Row],[Qté d''Achat]] * tbl_Achats[[#This Row],[Prix Achat Unitaire]], 0)</f>
        <v>0</v>
      </c>
    </row>
    <row r="3" spans="1:18" x14ac:dyDescent="0.25">
      <c r="A3" s="5"/>
      <c r="D3" t="str">
        <f>IFERROR(VLOOKUP(E3,Référentiels!$M$2:$N$267,2,FALSE),"Ingrédient non trouvé")</f>
        <v>BOU001</v>
      </c>
      <c r="E3" t="s">
        <v>218</v>
      </c>
      <c r="F3">
        <v>0</v>
      </c>
      <c r="G3" s="10" t="s">
        <v>206</v>
      </c>
      <c r="H3">
        <v>0</v>
      </c>
      <c r="I3">
        <f>IFERROR(tbl_Achats[[#This Row],[Qté d''Achat]] * tbl_Achats[[#This Row],[Prix Achat Unitaire]], 0)</f>
        <v>0</v>
      </c>
      <c r="R3" s="16" t="s">
        <v>209</v>
      </c>
    </row>
    <row r="4" spans="1:18" x14ac:dyDescent="0.25">
      <c r="A4" s="5"/>
      <c r="D4" t="str">
        <f>IFERROR(VLOOKUP(E4,Référentiels!$M$2:$N$267,2,FALSE),"Ingrédient non trouvé")</f>
        <v>FRU004</v>
      </c>
      <c r="E4" t="s">
        <v>877</v>
      </c>
      <c r="F4">
        <v>0</v>
      </c>
      <c r="G4" s="10" t="s">
        <v>1182</v>
      </c>
      <c r="H4">
        <v>0</v>
      </c>
      <c r="I4">
        <f>IFERROR(tbl_Achats[[#This Row],[Qté d''Achat]] * tbl_Achats[[#This Row],[Prix Achat Unitaire]], 0)</f>
        <v>0</v>
      </c>
      <c r="R4" s="16" t="s">
        <v>221</v>
      </c>
    </row>
    <row r="5" spans="1:18" x14ac:dyDescent="0.25">
      <c r="A5" s="5"/>
      <c r="D5" t="str">
        <f>IFERROR(VLOOKUP(E5,Référentiels!$M$2:$N$267,2,FALSE),"Ingrédient non trouvé")</f>
        <v>FRU004</v>
      </c>
      <c r="E5" t="s">
        <v>877</v>
      </c>
      <c r="F5">
        <v>0</v>
      </c>
      <c r="G5" s="10" t="s">
        <v>1182</v>
      </c>
      <c r="H5">
        <v>0</v>
      </c>
      <c r="I5">
        <f>IFERROR(tbl_Achats[[#This Row],[Qté d''Achat]] * tbl_Achats[[#This Row],[Prix Achat Unitaire]], 0)</f>
        <v>0</v>
      </c>
      <c r="R5" s="16" t="s">
        <v>1182</v>
      </c>
    </row>
    <row r="6" spans="1:18" x14ac:dyDescent="0.25">
      <c r="A6" s="5"/>
      <c r="D6" t="str">
        <f>IFERROR(VLOOKUP(E6,Référentiels!$M$2:$N$267,2,FALSE),"Ingrédient non trouvé")</f>
        <v>BOI008</v>
      </c>
      <c r="E6" t="s">
        <v>1150</v>
      </c>
      <c r="F6">
        <v>0</v>
      </c>
      <c r="G6" s="10" t="s">
        <v>206</v>
      </c>
      <c r="H6">
        <v>0</v>
      </c>
      <c r="I6">
        <f>IFERROR(tbl_Achats[[#This Row],[Qté d''Achat]] * tbl_Achats[[#This Row],[Prix Achat Unitaire]], 0)</f>
        <v>0</v>
      </c>
      <c r="R6" s="16" t="s">
        <v>1183</v>
      </c>
    </row>
    <row r="7" spans="1:18" x14ac:dyDescent="0.25">
      <c r="A7" s="5"/>
      <c r="D7" t="str">
        <f>IFERROR(VLOOKUP(E7,Référentiels!$M$2:$N$267,2,FALSE),"Ingrédient non trouvé")</f>
        <v>BOI009</v>
      </c>
      <c r="E7" t="s">
        <v>1184</v>
      </c>
      <c r="F7">
        <v>0</v>
      </c>
      <c r="G7" s="10" t="s">
        <v>206</v>
      </c>
      <c r="H7">
        <v>0</v>
      </c>
      <c r="I7">
        <f>IFERROR(tbl_Achats[[#This Row],[Qté d''Achat]] * tbl_Achats[[#This Row],[Prix Achat Unitaire]], 0)</f>
        <v>0</v>
      </c>
      <c r="R7" s="16" t="s">
        <v>206</v>
      </c>
    </row>
    <row r="8" spans="1:18" x14ac:dyDescent="0.25">
      <c r="A8" s="5"/>
      <c r="D8" t="str">
        <f>IFERROR(VLOOKUP(E8,Référentiels!$M$2:$N$267,2,FALSE),"Ingrédient non trouvé")</f>
        <v>BOI010</v>
      </c>
      <c r="E8" t="s">
        <v>1185</v>
      </c>
      <c r="F8">
        <v>0</v>
      </c>
      <c r="G8" s="10" t="s">
        <v>206</v>
      </c>
      <c r="H8">
        <v>0</v>
      </c>
      <c r="I8">
        <f>IFERROR(tbl_Achats[[#This Row],[Qté d''Achat]] * tbl_Achats[[#This Row],[Prix Achat Unitaire]], 0)</f>
        <v>0</v>
      </c>
      <c r="R8" s="16"/>
    </row>
    <row r="9" spans="1:18" x14ac:dyDescent="0.25">
      <c r="A9" s="5"/>
      <c r="D9" t="str">
        <f>IFERROR(VLOOKUP(E9,Référentiels!$M$2:$N$267,2,FALSE),"Ingrédient non trouvé")</f>
        <v>BOU004</v>
      </c>
      <c r="E9" t="s">
        <v>205</v>
      </c>
      <c r="F9">
        <v>0</v>
      </c>
      <c r="G9" s="10" t="s">
        <v>206</v>
      </c>
      <c r="H9">
        <v>0</v>
      </c>
      <c r="I9">
        <f>IFERROR(tbl_Achats[[#This Row],[Qté d''Achat]] * tbl_Achats[[#This Row],[Prix Achat Unitaire]], 0)</f>
        <v>0</v>
      </c>
    </row>
    <row r="10" spans="1:18" x14ac:dyDescent="0.25">
      <c r="A10" s="5"/>
      <c r="D10" t="str">
        <f>IFERROR(VLOOKUP(E10,Référentiels!$M$2:$N$267,2,FALSE),"Ingrédient non trouvé")</f>
        <v>BOU003</v>
      </c>
      <c r="E10" t="s">
        <v>238</v>
      </c>
      <c r="I10">
        <f>IFERROR(tbl_Achats[[#This Row],[Qté d''Achat]] * tbl_Achats[[#This Row],[Prix Achat Unitaire]], 0)</f>
        <v>0</v>
      </c>
    </row>
    <row r="11" spans="1:18" x14ac:dyDescent="0.25">
      <c r="A11" s="5"/>
      <c r="D11" t="str">
        <f>IFERROR(VLOOKUP(E11,Référentiels!$M$2:$N$267,2,FALSE),"Ingrédient non trouvé")</f>
        <v>BOE007</v>
      </c>
      <c r="E11" t="s">
        <v>1213</v>
      </c>
      <c r="I11">
        <f>IFERROR(tbl_Achats[[#This Row],[Qté d''Achat]] * tbl_Achats[[#This Row],[Prix Achat Unitaire]], 0)</f>
        <v>0</v>
      </c>
    </row>
    <row r="12" spans="1:18" x14ac:dyDescent="0.25">
      <c r="A12" s="5"/>
      <c r="D12" t="str">
        <f>IFERROR(VLOOKUP(E12,Référentiels!$M$2:$N$267,2,FALSE),"Ingrédient non trouvé")</f>
        <v>BOU004</v>
      </c>
      <c r="E12" t="s">
        <v>205</v>
      </c>
      <c r="I12">
        <f>IFERROR(tbl_Achats[[#This Row],[Qté d''Achat]] * tbl_Achats[[#This Row],[Prix Achat Unitaire]], 0)</f>
        <v>0</v>
      </c>
    </row>
    <row r="13" spans="1:18" x14ac:dyDescent="0.25">
      <c r="A13" s="5"/>
      <c r="D13" t="str">
        <f>IFERROR(VLOOKUP(E13,Référentiels!$M$2:$N$267,2,FALSE),"Ingrédient non trouvé")</f>
        <v>Ingrédient non trouvé</v>
      </c>
      <c r="I13">
        <f>IFERROR(tbl_Achats[[#This Row],[Qté d''Achat]] * tbl_Achats[[#This Row],[Prix Achat Unitaire]], 0)</f>
        <v>0</v>
      </c>
    </row>
    <row r="14" spans="1:18" x14ac:dyDescent="0.25">
      <c r="A14" s="5"/>
      <c r="D14" t="str">
        <f>IFERROR(VLOOKUP(E14,Référentiels!$M$2:$N$267,2,FALSE),"Ingrédient non trouvé")</f>
        <v>Ingrédient non trouvé</v>
      </c>
      <c r="I14">
        <f>IFERROR(tbl_Achats[[#This Row],[Qté d''Achat]] * tbl_Achats[[#This Row],[Prix Achat Unitaire]], 0)</f>
        <v>0</v>
      </c>
    </row>
    <row r="15" spans="1:18" x14ac:dyDescent="0.25">
      <c r="A15" s="5"/>
      <c r="D15" t="str">
        <f>IFERROR(VLOOKUP(E15,Référentiels!$M$2:$N$267,2,FALSE),"Ingrédient non trouvé")</f>
        <v>Ingrédient non trouvé</v>
      </c>
      <c r="I15">
        <f>IFERROR(tbl_Achats[[#This Row],[Qté d''Achat]] * tbl_Achats[[#This Row],[Prix Achat Unitaire]], 0)</f>
        <v>0</v>
      </c>
    </row>
    <row r="16" spans="1:18" x14ac:dyDescent="0.25">
      <c r="A16" s="5"/>
      <c r="D16" t="str">
        <f>IFERROR(VLOOKUP(E16,Référentiels!$M$2:$N$267,2,FALSE),"Ingrédient non trouvé")</f>
        <v>Ingrédient non trouvé</v>
      </c>
      <c r="I16">
        <f>IFERROR(tbl_Achats[[#This Row],[Qté d''Achat]] * tbl_Achats[[#This Row],[Prix Achat Unitaire]], 0)</f>
        <v>0</v>
      </c>
    </row>
    <row r="17" spans="1:9" x14ac:dyDescent="0.25">
      <c r="A17" s="5"/>
      <c r="D17" t="str">
        <f>IFERROR(VLOOKUP(E17,Référentiels!$M$2:$N$267,2,FALSE),"Ingrédient non trouvé")</f>
        <v>Ingrédient non trouvé</v>
      </c>
      <c r="I17">
        <f>IFERROR(tbl_Achats[[#This Row],[Qté d''Achat]] * tbl_Achats[[#This Row],[Prix Achat Unitaire]], 0)</f>
        <v>0</v>
      </c>
    </row>
    <row r="18" spans="1:9" x14ac:dyDescent="0.25">
      <c r="A18" s="5"/>
      <c r="D18" t="str">
        <f>IFERROR(VLOOKUP(E18,Référentiels!$M$2:$N$267,2,FALSE),"Ingrédient non trouvé")</f>
        <v>Ingrédient non trouvé</v>
      </c>
      <c r="I18">
        <f>IFERROR(tbl_Achats[[#This Row],[Qté d''Achat]] * tbl_Achats[[#This Row],[Prix Achat Unitaire]], 0)</f>
        <v>0</v>
      </c>
    </row>
    <row r="19" spans="1:9" x14ac:dyDescent="0.25">
      <c r="D19" t="str">
        <f>IFERROR(VLOOKUP(E19,Référentiels!$M$2:$N$267,2,FALSE),"Ingrédient non trouvé")</f>
        <v>Ingrédient non trouvé</v>
      </c>
      <c r="I19">
        <f>IFERROR(tbl_Achats[[#This Row],[Qté d''Achat]] * tbl_Achats[[#This Row],[Prix Achat Unitaire]], 0)</f>
        <v>0</v>
      </c>
    </row>
    <row r="20" spans="1:9" x14ac:dyDescent="0.25">
      <c r="D20" t="str">
        <f>IFERROR(VLOOKUP(E20,Référentiels!$M$2:$N$267,2,FALSE),"Ingrédient non trouvé")</f>
        <v>Ingrédient non trouvé</v>
      </c>
      <c r="I20">
        <f>IFERROR(tbl_Achats[[#This Row],[Qté d''Achat]] * tbl_Achats[[#This Row],[Prix Achat Unitaire]], 0)</f>
        <v>0</v>
      </c>
    </row>
    <row r="21" spans="1:9" x14ac:dyDescent="0.25">
      <c r="D21" t="str">
        <f>IFERROR(VLOOKUP(E21,Référentiels!$M$2:$N$267,2,FALSE),"Ingrédient non trouvé")</f>
        <v>Ingrédient non trouvé</v>
      </c>
      <c r="I21">
        <f>IFERROR(tbl_Achats[[#This Row],[Qté d''Achat]] * tbl_Achats[[#This Row],[Prix Achat Unitaire]], 0)</f>
        <v>0</v>
      </c>
    </row>
    <row r="22" spans="1:9" x14ac:dyDescent="0.25">
      <c r="D22" t="str">
        <f>IFERROR(VLOOKUP(E22,Référentiels!$M$2:$N$267,2,FALSE),"Ingrédient non trouvé")</f>
        <v>Ingrédient non trouvé</v>
      </c>
      <c r="I22">
        <f>IFERROR(tbl_Achats[[#This Row],[Qté d''Achat]] * tbl_Achats[[#This Row],[Prix Achat Unitaire]], 0)</f>
        <v>0</v>
      </c>
    </row>
    <row r="23" spans="1:9" x14ac:dyDescent="0.25">
      <c r="D23" t="str">
        <f>IFERROR(VLOOKUP(E23,Référentiels!$M$2:$N$267,2,FALSE),"Ingrédient non trouvé")</f>
        <v>Ingrédient non trouvé</v>
      </c>
      <c r="I23">
        <f>IFERROR(tbl_Achats[[#This Row],[Qté d''Achat]] * tbl_Achats[[#This Row],[Prix Achat Unitaire]], 0)</f>
        <v>0</v>
      </c>
    </row>
    <row r="24" spans="1:9" x14ac:dyDescent="0.25">
      <c r="D24" t="str">
        <f>IFERROR(VLOOKUP(E24,Référentiels!$M$2:$N$267,2,FALSE),"Ingrédient non trouvé")</f>
        <v>Ingrédient non trouvé</v>
      </c>
      <c r="I24">
        <f>IFERROR(tbl_Achats[[#This Row],[Qté d''Achat]] * tbl_Achats[[#This Row],[Prix Achat Unitaire]], 0)</f>
        <v>0</v>
      </c>
    </row>
    <row r="25" spans="1:9" x14ac:dyDescent="0.25">
      <c r="D25" t="str">
        <f>IFERROR(VLOOKUP(E25,Référentiels!$M$2:$N$267,2,FALSE),"Ingrédient non trouvé")</f>
        <v>Ingrédient non trouvé</v>
      </c>
      <c r="I25">
        <f>IFERROR(tbl_Achats[[#This Row],[Qté d''Achat]] * tbl_Achats[[#This Row],[Prix Achat Unitaire]], 0)</f>
        <v>0</v>
      </c>
    </row>
    <row r="26" spans="1:9" x14ac:dyDescent="0.25">
      <c r="D26" t="str">
        <f>IFERROR(VLOOKUP(E26,Référentiels!$M$2:$N$267,2,FALSE),"Ingrédient non trouvé")</f>
        <v>Ingrédient non trouvé</v>
      </c>
      <c r="I26">
        <f>IFERROR(tbl_Achats[[#This Row],[Qté d''Achat]] * tbl_Achats[[#This Row],[Prix Achat Unitaire]], 0)</f>
        <v>0</v>
      </c>
    </row>
    <row r="27" spans="1:9" x14ac:dyDescent="0.25">
      <c r="D27" t="str">
        <f>IFERROR(VLOOKUP(E27,Référentiels!$M$2:$N$267,2,FALSE),"Ingrédient non trouvé")</f>
        <v>Ingrédient non trouvé</v>
      </c>
      <c r="I27">
        <f>IFERROR(tbl_Achats[[#This Row],[Qté d''Achat]] * tbl_Achats[[#This Row],[Prix Achat Unitaire]], 0)</f>
        <v>0</v>
      </c>
    </row>
    <row r="28" spans="1:9" x14ac:dyDescent="0.25">
      <c r="D28" t="str">
        <f>IFERROR(VLOOKUP(E28,Référentiels!$M$2:$N$267,2,FALSE),"Ingrédient non trouvé")</f>
        <v>Ingrédient non trouvé</v>
      </c>
      <c r="I28">
        <f>IFERROR(tbl_Achats[[#This Row],[Qté d''Achat]] * tbl_Achats[[#This Row],[Prix Achat Unitaire]], 0)</f>
        <v>0</v>
      </c>
    </row>
    <row r="29" spans="1:9" x14ac:dyDescent="0.25">
      <c r="D29" t="str">
        <f>IFERROR(VLOOKUP(E29,Référentiels!$M$2:$N$267,2,FALSE),"Ingrédient non trouvé")</f>
        <v>Ingrédient non trouvé</v>
      </c>
      <c r="I29">
        <f>IFERROR(tbl_Achats[[#This Row],[Qté d''Achat]] * tbl_Achats[[#This Row],[Prix Achat Unitaire]], 0)</f>
        <v>0</v>
      </c>
    </row>
    <row r="30" spans="1:9" x14ac:dyDescent="0.25">
      <c r="D30" t="str">
        <f>IFERROR(VLOOKUP(E30,Référentiels!$M$2:$N$267,2,FALSE),"Ingrédient non trouvé")</f>
        <v>Ingrédient non trouvé</v>
      </c>
      <c r="I30">
        <f>IFERROR(tbl_Achats[[#This Row],[Qté d''Achat]] * tbl_Achats[[#This Row],[Prix Achat Unitaire]], 0)</f>
        <v>0</v>
      </c>
    </row>
    <row r="31" spans="1:9" x14ac:dyDescent="0.25">
      <c r="D31" t="str">
        <f>IFERROR(VLOOKUP(E31,Référentiels!$M$2:$N$267,2,FALSE),"Ingrédient non trouvé")</f>
        <v>Ingrédient non trouvé</v>
      </c>
      <c r="I31">
        <f>IFERROR(tbl_Achats[[#This Row],[Qté d''Achat]] * tbl_Achats[[#This Row],[Prix Achat Unitaire]], 0)</f>
        <v>0</v>
      </c>
    </row>
    <row r="32" spans="1:9" x14ac:dyDescent="0.25">
      <c r="D32" t="str">
        <f>IFERROR(VLOOKUP(E32,Référentiels!$M$2:$N$267,2,FALSE),"Ingrédient non trouvé")</f>
        <v>Ingrédient non trouvé</v>
      </c>
      <c r="I32">
        <f>IFERROR(tbl_Achats[[#This Row],[Qté d''Achat]] * tbl_Achats[[#This Row],[Prix Achat Unitaire]], 0)</f>
        <v>0</v>
      </c>
    </row>
    <row r="33" spans="4:9" x14ac:dyDescent="0.25">
      <c r="D33" t="str">
        <f>IFERROR(VLOOKUP(E33,Référentiels!$M$2:$N$267,2,FALSE),"Ingrédient non trouvé")</f>
        <v>Ingrédient non trouvé</v>
      </c>
      <c r="I33">
        <f>IFERROR(tbl_Achats[[#This Row],[Qté d''Achat]] * tbl_Achats[[#This Row],[Prix Achat Unitaire]], 0)</f>
        <v>0</v>
      </c>
    </row>
    <row r="34" spans="4:9" x14ac:dyDescent="0.25">
      <c r="D34" t="str">
        <f>IFERROR(VLOOKUP(E34,Référentiels!$M$2:$N$267,2,FALSE),"Ingrédient non trouvé")</f>
        <v>Ingrédient non trouvé</v>
      </c>
      <c r="I34">
        <f>IFERROR(tbl_Achats[[#This Row],[Qté d''Achat]] * tbl_Achats[[#This Row],[Prix Achat Unitaire]], 0)</f>
        <v>0</v>
      </c>
    </row>
    <row r="35" spans="4:9" x14ac:dyDescent="0.25">
      <c r="D35" t="str">
        <f>IFERROR(VLOOKUP(E35,Référentiels!$M$2:$N$267,2,FALSE),"Ingrédient non trouvé")</f>
        <v>Ingrédient non trouvé</v>
      </c>
      <c r="I35">
        <f>IFERROR(tbl_Achats[[#This Row],[Qté d''Achat]] * tbl_Achats[[#This Row],[Prix Achat Unitaire]], 0)</f>
        <v>0</v>
      </c>
    </row>
    <row r="36" spans="4:9" x14ac:dyDescent="0.25">
      <c r="D36" t="str">
        <f>IFERROR(VLOOKUP(E36,Référentiels!$M$2:$N$267,2,FALSE),"Ingrédient non trouvé")</f>
        <v>Ingrédient non trouvé</v>
      </c>
      <c r="I36">
        <f>IFERROR(tbl_Achats[[#This Row],[Qté d''Achat]] * tbl_Achats[[#This Row],[Prix Achat Unitaire]], 0)</f>
        <v>0</v>
      </c>
    </row>
    <row r="37" spans="4:9" x14ac:dyDescent="0.25">
      <c r="D37" t="str">
        <f>IFERROR(VLOOKUP(E37,Référentiels!$M$2:$N$267,2,FALSE),"Ingrédient non trouvé")</f>
        <v>Ingrédient non trouvé</v>
      </c>
      <c r="I37">
        <f>IFERROR(tbl_Achats[[#This Row],[Qté d''Achat]] * tbl_Achats[[#This Row],[Prix Achat Unitaire]], 0)</f>
        <v>0</v>
      </c>
    </row>
    <row r="38" spans="4:9" x14ac:dyDescent="0.25">
      <c r="D38" t="str">
        <f>IFERROR(VLOOKUP(E38,Référentiels!$M$2:$N$267,2,FALSE),"Ingrédient non trouvé")</f>
        <v>Ingrédient non trouvé</v>
      </c>
      <c r="I38">
        <f>IFERROR(tbl_Achats[[#This Row],[Qté d''Achat]] * tbl_Achats[[#This Row],[Prix Achat Unitaire]], 0)</f>
        <v>0</v>
      </c>
    </row>
    <row r="39" spans="4:9" x14ac:dyDescent="0.25">
      <c r="D39" t="str">
        <f>IFERROR(VLOOKUP(E39,Référentiels!$M$2:$N$267,2,FALSE),"Ingrédient non trouvé")</f>
        <v>Ingrédient non trouvé</v>
      </c>
      <c r="I39">
        <f>IFERROR(tbl_Achats[[#This Row],[Qté d''Achat]] * tbl_Achats[[#This Row],[Prix Achat Unitaire]], 0)</f>
        <v>0</v>
      </c>
    </row>
    <row r="40" spans="4:9" x14ac:dyDescent="0.25">
      <c r="D40" t="str">
        <f>IFERROR(VLOOKUP(E40,Référentiels!$M$2:$N$267,2,FALSE),"Ingrédient non trouvé")</f>
        <v>Ingrédient non trouvé</v>
      </c>
      <c r="I40">
        <f>IFERROR(tbl_Achats[[#This Row],[Qté d''Achat]] * tbl_Achats[[#This Row],[Prix Achat Unitaire]], 0)</f>
        <v>0</v>
      </c>
    </row>
    <row r="41" spans="4:9" x14ac:dyDescent="0.25">
      <c r="D41" t="str">
        <f>IFERROR(VLOOKUP(E41,Référentiels!$M$2:$N$267,2,FALSE),"Ingrédient non trouvé")</f>
        <v>Ingrédient non trouvé</v>
      </c>
      <c r="I41">
        <f>IFERROR(tbl_Achats[[#This Row],[Qté d''Achat]] * tbl_Achats[[#This Row],[Prix Achat Unitaire]], 0)</f>
        <v>0</v>
      </c>
    </row>
    <row r="42" spans="4:9" x14ac:dyDescent="0.25">
      <c r="D42" t="str">
        <f>IFERROR(VLOOKUP(E42,Référentiels!$M$2:$N$267,2,FALSE),"Ingrédient non trouvé")</f>
        <v>Ingrédient non trouvé</v>
      </c>
      <c r="I42">
        <f>IFERROR(tbl_Achats[[#This Row],[Qté d''Achat]] * tbl_Achats[[#This Row],[Prix Achat Unitaire]], 0)</f>
        <v>0</v>
      </c>
    </row>
    <row r="43" spans="4:9" x14ac:dyDescent="0.25">
      <c r="D43" t="str">
        <f>IFERROR(VLOOKUP(E43,Référentiels!$M$2:$N$267,2,FALSE),"Ingrédient non trouvé")</f>
        <v>Ingrédient non trouvé</v>
      </c>
      <c r="I43">
        <f>IFERROR(tbl_Achats[[#This Row],[Qté d''Achat]] * tbl_Achats[[#This Row],[Prix Achat Unitaire]], 0)</f>
        <v>0</v>
      </c>
    </row>
    <row r="44" spans="4:9" x14ac:dyDescent="0.25">
      <c r="D44" t="str">
        <f>IFERROR(VLOOKUP(E44,Référentiels!$M$2:$N$267,2,FALSE),"Ingrédient non trouvé")</f>
        <v>Ingrédient non trouvé</v>
      </c>
      <c r="I44">
        <f>IFERROR(tbl_Achats[[#This Row],[Qté d''Achat]] * tbl_Achats[[#This Row],[Prix Achat Unitaire]], 0)</f>
        <v>0</v>
      </c>
    </row>
    <row r="45" spans="4:9" x14ac:dyDescent="0.25">
      <c r="D45" t="str">
        <f>IFERROR(VLOOKUP(E45,Référentiels!$M$2:$N$267,2,FALSE),"Ingrédient non trouvé")</f>
        <v>Ingrédient non trouvé</v>
      </c>
      <c r="I45">
        <f>IFERROR(tbl_Achats[[#This Row],[Qté d''Achat]] * tbl_Achats[[#This Row],[Prix Achat Unitaire]], 0)</f>
        <v>0</v>
      </c>
    </row>
    <row r="46" spans="4:9" x14ac:dyDescent="0.25">
      <c r="D46" t="str">
        <f>IFERROR(VLOOKUP(E46,Référentiels!$M$2:$N$267,2,FALSE),"Ingrédient non trouvé")</f>
        <v>Ingrédient non trouvé</v>
      </c>
      <c r="I46">
        <f>IFERROR(tbl_Achats[[#This Row],[Qté d''Achat]] * tbl_Achats[[#This Row],[Prix Achat Unitaire]], 0)</f>
        <v>0</v>
      </c>
    </row>
    <row r="47" spans="4:9" x14ac:dyDescent="0.25">
      <c r="D47" t="str">
        <f>IFERROR(VLOOKUP(E47,Référentiels!$M$2:$N$267,2,FALSE),"Ingrédient non trouvé")</f>
        <v>Ingrédient non trouvé</v>
      </c>
      <c r="I47">
        <f>IFERROR(tbl_Achats[[#This Row],[Qté d''Achat]] * tbl_Achats[[#This Row],[Prix Achat Unitaire]], 0)</f>
        <v>0</v>
      </c>
    </row>
    <row r="48" spans="4:9" x14ac:dyDescent="0.25">
      <c r="D48" t="str">
        <f>IFERROR(VLOOKUP(E48,Référentiels!$M$2:$N$267,2,FALSE),"Ingrédient non trouvé")</f>
        <v>Ingrédient non trouvé</v>
      </c>
      <c r="I48">
        <f>IFERROR(tbl_Achats[[#This Row],[Qté d''Achat]] * tbl_Achats[[#This Row],[Prix Achat Unitaire]], 0)</f>
        <v>0</v>
      </c>
    </row>
    <row r="49" spans="4:9" x14ac:dyDescent="0.25">
      <c r="D49" t="str">
        <f>IFERROR(VLOOKUP(E49,Référentiels!$M$2:$N$267,2,FALSE),"Ingrédient non trouvé")</f>
        <v>Ingrédient non trouvé</v>
      </c>
      <c r="I49">
        <f>IFERROR(tbl_Achats[[#This Row],[Qté d''Achat]] * tbl_Achats[[#This Row],[Prix Achat Unitaire]], 0)</f>
        <v>0</v>
      </c>
    </row>
    <row r="50" spans="4:9" x14ac:dyDescent="0.25">
      <c r="D50" t="str">
        <f>IFERROR(VLOOKUP(E50,Référentiels!$M$2:$N$267,2,FALSE),"Ingrédient non trouvé")</f>
        <v>Ingrédient non trouvé</v>
      </c>
      <c r="I50">
        <f>IFERROR(tbl_Achats[[#This Row],[Qté d''Achat]] * tbl_Achats[[#This Row],[Prix Achat Unitaire]], 0)</f>
        <v>0</v>
      </c>
    </row>
    <row r="51" spans="4:9" x14ac:dyDescent="0.25">
      <c r="D51" t="str">
        <f>IFERROR(VLOOKUP(E51,Référentiels!$M$2:$N$267,2,FALSE),"Ingrédient non trouvé")</f>
        <v>Ingrédient non trouvé</v>
      </c>
      <c r="I51">
        <f>IFERROR(tbl_Achats[[#This Row],[Qté d''Achat]] * tbl_Achats[[#This Row],[Prix Achat Unitaire]], 0)</f>
        <v>0</v>
      </c>
    </row>
    <row r="52" spans="4:9" x14ac:dyDescent="0.25">
      <c r="D52" t="str">
        <f>IFERROR(VLOOKUP(E52,Référentiels!$M$2:$N$267,2,FALSE),"Ingrédient non trouvé")</f>
        <v>Ingrédient non trouvé</v>
      </c>
      <c r="I52">
        <f>IFERROR(tbl_Achats[[#This Row],[Qté d''Achat]] * tbl_Achats[[#This Row],[Prix Achat Unitaire]], 0)</f>
        <v>0</v>
      </c>
    </row>
    <row r="53" spans="4:9" x14ac:dyDescent="0.25">
      <c r="D53" t="str">
        <f>IFERROR(VLOOKUP(E53,Référentiels!$M$2:$N$267,2,FALSE),"Ingrédient non trouvé")</f>
        <v>Ingrédient non trouvé</v>
      </c>
      <c r="I53">
        <f>IFERROR(tbl_Achats[[#This Row],[Qté d''Achat]] * tbl_Achats[[#This Row],[Prix Achat Unitaire]], 0)</f>
        <v>0</v>
      </c>
    </row>
    <row r="54" spans="4:9" x14ac:dyDescent="0.25">
      <c r="D54" t="str">
        <f>IFERROR(VLOOKUP(E54,Référentiels!$M$2:$N$267,2,FALSE),"Ingrédient non trouvé")</f>
        <v>Ingrédient non trouvé</v>
      </c>
      <c r="I54">
        <f>IFERROR(tbl_Achats[[#This Row],[Qté d''Achat]] * tbl_Achats[[#This Row],[Prix Achat Unitaire]], 0)</f>
        <v>0</v>
      </c>
    </row>
    <row r="55" spans="4:9" x14ac:dyDescent="0.25">
      <c r="D55" t="str">
        <f>IFERROR(VLOOKUP(E55,Référentiels!$M$2:$N$267,2,FALSE),"Ingrédient non trouvé")</f>
        <v>Ingrédient non trouvé</v>
      </c>
      <c r="I55">
        <f>IFERROR(tbl_Achats[[#This Row],[Qté d''Achat]] * tbl_Achats[[#This Row],[Prix Achat Unitaire]], 0)</f>
        <v>0</v>
      </c>
    </row>
    <row r="56" spans="4:9" x14ac:dyDescent="0.25">
      <c r="D56" t="str">
        <f>IFERROR(VLOOKUP(E56,Référentiels!$M$2:$N$267,2,FALSE),"Ingrédient non trouvé")</f>
        <v>Ingrédient non trouvé</v>
      </c>
      <c r="I56">
        <f>IFERROR(tbl_Achats[[#This Row],[Qté d''Achat]] * tbl_Achats[[#This Row],[Prix Achat Unitaire]], 0)</f>
        <v>0</v>
      </c>
    </row>
    <row r="57" spans="4:9" x14ac:dyDescent="0.25">
      <c r="D57" t="str">
        <f>IFERROR(VLOOKUP(E57,Référentiels!$M$2:$N$267,2,FALSE),"Ingrédient non trouvé")</f>
        <v>Ingrédient non trouvé</v>
      </c>
      <c r="I57">
        <f>IFERROR(tbl_Achats[[#This Row],[Qté d''Achat]] * tbl_Achats[[#This Row],[Prix Achat Unitaire]], 0)</f>
        <v>0</v>
      </c>
    </row>
    <row r="58" spans="4:9" x14ac:dyDescent="0.25">
      <c r="D58" t="str">
        <f>IFERROR(VLOOKUP(E58,Référentiels!$M$2:$N$267,2,FALSE),"Ingrédient non trouvé")</f>
        <v>Ingrédient non trouvé</v>
      </c>
      <c r="I58">
        <f>IFERROR(tbl_Achats[[#This Row],[Qté d''Achat]] * tbl_Achats[[#This Row],[Prix Achat Unitaire]], 0)</f>
        <v>0</v>
      </c>
    </row>
    <row r="59" spans="4:9" x14ac:dyDescent="0.25">
      <c r="D59" t="str">
        <f>IFERROR(VLOOKUP(E59,Référentiels!$M$2:$N$267,2,FALSE),"Ingrédient non trouvé")</f>
        <v>Ingrédient non trouvé</v>
      </c>
      <c r="I59">
        <f>IFERROR(tbl_Achats[[#This Row],[Qté d''Achat]] * tbl_Achats[[#This Row],[Prix Achat Unitaire]], 0)</f>
        <v>0</v>
      </c>
    </row>
    <row r="60" spans="4:9" x14ac:dyDescent="0.25">
      <c r="D60" t="str">
        <f>IFERROR(VLOOKUP(E60,Référentiels!$M$2:$N$267,2,FALSE),"Ingrédient non trouvé")</f>
        <v>Ingrédient non trouvé</v>
      </c>
      <c r="I60">
        <f>IFERROR(tbl_Achats[[#This Row],[Qté d''Achat]] * tbl_Achats[[#This Row],[Prix Achat Unitaire]], 0)</f>
        <v>0</v>
      </c>
    </row>
    <row r="61" spans="4:9" x14ac:dyDescent="0.25">
      <c r="D61" t="str">
        <f>IFERROR(VLOOKUP(E61,Référentiels!$M$2:$N$267,2,FALSE),"Ingrédient non trouvé")</f>
        <v>Ingrédient non trouvé</v>
      </c>
      <c r="I61">
        <f>IFERROR(tbl_Achats[[#This Row],[Qté d''Achat]] * tbl_Achats[[#This Row],[Prix Achat Unitaire]], 0)</f>
        <v>0</v>
      </c>
    </row>
    <row r="62" spans="4:9" x14ac:dyDescent="0.25">
      <c r="D62" t="str">
        <f>IFERROR(VLOOKUP(E62,Référentiels!$M$2:$N$267,2,FALSE),"Ingrédient non trouvé")</f>
        <v>Ingrédient non trouvé</v>
      </c>
      <c r="I62">
        <f>IFERROR(tbl_Achats[[#This Row],[Qté d''Achat]] * tbl_Achats[[#This Row],[Prix Achat Unitaire]], 0)</f>
        <v>0</v>
      </c>
    </row>
    <row r="63" spans="4:9" x14ac:dyDescent="0.25">
      <c r="D63" t="str">
        <f>IFERROR(VLOOKUP(E63,Référentiels!$M$2:$N$267,2,FALSE),"Ingrédient non trouvé")</f>
        <v>Ingrédient non trouvé</v>
      </c>
      <c r="I63">
        <f>IFERROR(tbl_Achats[[#This Row],[Qté d''Achat]] * tbl_Achats[[#This Row],[Prix Achat Unitaire]], 0)</f>
        <v>0</v>
      </c>
    </row>
    <row r="64" spans="4:9" x14ac:dyDescent="0.25">
      <c r="D64" t="str">
        <f>IFERROR(VLOOKUP(E64,Référentiels!$M$2:$N$267,2,FALSE),"Ingrédient non trouvé")</f>
        <v>Ingrédient non trouvé</v>
      </c>
      <c r="I64">
        <f>IFERROR(tbl_Achats[[#This Row],[Qté d''Achat]] * tbl_Achats[[#This Row],[Prix Achat Unitaire]], 0)</f>
        <v>0</v>
      </c>
    </row>
    <row r="65" spans="4:9" x14ac:dyDescent="0.25">
      <c r="D65" t="str">
        <f>IFERROR(VLOOKUP(E65,Référentiels!$M$2:$N$267,2,FALSE),"Ingrédient non trouvé")</f>
        <v>Ingrédient non trouvé</v>
      </c>
      <c r="I65">
        <f>IFERROR(tbl_Achats[[#This Row],[Qté d''Achat]] * tbl_Achats[[#This Row],[Prix Achat Unitaire]], 0)</f>
        <v>0</v>
      </c>
    </row>
    <row r="66" spans="4:9" x14ac:dyDescent="0.25">
      <c r="D66" t="str">
        <f>IFERROR(VLOOKUP(E66,Référentiels!$M$2:$N$267,2,FALSE),"Ingrédient non trouvé")</f>
        <v>Ingrédient non trouvé</v>
      </c>
      <c r="I66">
        <f>IFERROR(tbl_Achats[[#This Row],[Qté d''Achat]] * tbl_Achats[[#This Row],[Prix Achat Unitaire]], 0)</f>
        <v>0</v>
      </c>
    </row>
    <row r="67" spans="4:9" x14ac:dyDescent="0.25">
      <c r="D67" t="str">
        <f>IFERROR(VLOOKUP(E67,Référentiels!$M$2:$N$267,2,FALSE),"Ingrédient non trouvé")</f>
        <v>Ingrédient non trouvé</v>
      </c>
      <c r="I67">
        <f>IFERROR(tbl_Achats[[#This Row],[Qté d''Achat]] * tbl_Achats[[#This Row],[Prix Achat Unitaire]], 0)</f>
        <v>0</v>
      </c>
    </row>
    <row r="68" spans="4:9" x14ac:dyDescent="0.25">
      <c r="D68" t="str">
        <f>IFERROR(VLOOKUP(E68,Référentiels!$M$2:$N$267,2,FALSE),"Ingrédient non trouvé")</f>
        <v>Ingrédient non trouvé</v>
      </c>
      <c r="I68">
        <f>IFERROR(tbl_Achats[[#This Row],[Qté d''Achat]] * tbl_Achats[[#This Row],[Prix Achat Unitaire]], 0)</f>
        <v>0</v>
      </c>
    </row>
    <row r="69" spans="4:9" x14ac:dyDescent="0.25">
      <c r="D69" t="str">
        <f>IFERROR(VLOOKUP(E69,Référentiels!$M$2:$N$267,2,FALSE),"Ingrédient non trouvé")</f>
        <v>Ingrédient non trouvé</v>
      </c>
      <c r="I69">
        <f>IFERROR(tbl_Achats[[#This Row],[Qté d''Achat]] * tbl_Achats[[#This Row],[Prix Achat Unitaire]], 0)</f>
        <v>0</v>
      </c>
    </row>
    <row r="70" spans="4:9" x14ac:dyDescent="0.25">
      <c r="D70" t="str">
        <f>IFERROR(VLOOKUP(E70,Référentiels!$M$2:$N$267,2,FALSE),"Ingrédient non trouvé")</f>
        <v>Ingrédient non trouvé</v>
      </c>
      <c r="I70">
        <f>IFERROR(tbl_Achats[[#This Row],[Qté d''Achat]] * tbl_Achats[[#This Row],[Prix Achat Unitaire]], 0)</f>
        <v>0</v>
      </c>
    </row>
    <row r="71" spans="4:9" x14ac:dyDescent="0.25">
      <c r="D71" t="str">
        <f>IFERROR(VLOOKUP(E71,Référentiels!$M$2:$N$267,2,FALSE),"Ingrédient non trouvé")</f>
        <v>Ingrédient non trouvé</v>
      </c>
      <c r="I71">
        <f>IFERROR(tbl_Achats[[#This Row],[Qté d''Achat]] * tbl_Achats[[#This Row],[Prix Achat Unitaire]], 0)</f>
        <v>0</v>
      </c>
    </row>
    <row r="72" spans="4:9" x14ac:dyDescent="0.25">
      <c r="D72" t="str">
        <f>IFERROR(VLOOKUP(E72,Référentiels!$M$2:$N$267,2,FALSE),"Ingrédient non trouvé")</f>
        <v>Ingrédient non trouvé</v>
      </c>
      <c r="I72">
        <f>IFERROR(tbl_Achats[[#This Row],[Qté d''Achat]] * tbl_Achats[[#This Row],[Prix Achat Unitaire]], 0)</f>
        <v>0</v>
      </c>
    </row>
    <row r="73" spans="4:9" x14ac:dyDescent="0.25">
      <c r="D73" t="str">
        <f>IFERROR(VLOOKUP(E73,Référentiels!$M$2:$N$267,2,FALSE),"Ingrédient non trouvé")</f>
        <v>Ingrédient non trouvé</v>
      </c>
      <c r="I73">
        <f>IFERROR(tbl_Achats[[#This Row],[Qté d''Achat]] * tbl_Achats[[#This Row],[Prix Achat Unitaire]], 0)</f>
        <v>0</v>
      </c>
    </row>
    <row r="74" spans="4:9" x14ac:dyDescent="0.25">
      <c r="D74" t="str">
        <f>IFERROR(VLOOKUP(E74,Référentiels!$M$2:$N$267,2,FALSE),"Ingrédient non trouvé")</f>
        <v>Ingrédient non trouvé</v>
      </c>
      <c r="I74">
        <f>IFERROR(tbl_Achats[[#This Row],[Qté d''Achat]] * tbl_Achats[[#This Row],[Prix Achat Unitaire]], 0)</f>
        <v>0</v>
      </c>
    </row>
    <row r="75" spans="4:9" x14ac:dyDescent="0.25">
      <c r="D75" t="str">
        <f>IFERROR(VLOOKUP(E75,Référentiels!$M$2:$N$267,2,FALSE),"Ingrédient non trouvé")</f>
        <v>Ingrédient non trouvé</v>
      </c>
      <c r="I75">
        <f>IFERROR(tbl_Achats[[#This Row],[Qté d''Achat]] * tbl_Achats[[#This Row],[Prix Achat Unitaire]], 0)</f>
        <v>0</v>
      </c>
    </row>
    <row r="76" spans="4:9" x14ac:dyDescent="0.25">
      <c r="D76" t="str">
        <f>IFERROR(VLOOKUP(E76,Référentiels!$M$2:$N$267,2,FALSE),"Ingrédient non trouvé")</f>
        <v>Ingrédient non trouvé</v>
      </c>
      <c r="I76">
        <f>IFERROR(tbl_Achats[[#This Row],[Qté d''Achat]] * tbl_Achats[[#This Row],[Prix Achat Unitaire]], 0)</f>
        <v>0</v>
      </c>
    </row>
    <row r="77" spans="4:9" x14ac:dyDescent="0.25">
      <c r="D77" t="str">
        <f>IFERROR(VLOOKUP(E77,Référentiels!$M$2:$N$267,2,FALSE),"Ingrédient non trouvé")</f>
        <v>Ingrédient non trouvé</v>
      </c>
      <c r="I77">
        <f>IFERROR(tbl_Achats[[#This Row],[Qté d''Achat]] * tbl_Achats[[#This Row],[Prix Achat Unitaire]], 0)</f>
        <v>0</v>
      </c>
    </row>
    <row r="78" spans="4:9" x14ac:dyDescent="0.25">
      <c r="D78" t="str">
        <f>IFERROR(VLOOKUP(E78,Référentiels!$M$2:$N$267,2,FALSE),"Ingrédient non trouvé")</f>
        <v>Ingrédient non trouvé</v>
      </c>
      <c r="I78">
        <f>IFERROR(tbl_Achats[[#This Row],[Qté d''Achat]] * tbl_Achats[[#This Row],[Prix Achat Unitaire]], 0)</f>
        <v>0</v>
      </c>
    </row>
    <row r="79" spans="4:9" x14ac:dyDescent="0.25">
      <c r="D79" t="str">
        <f>IFERROR(VLOOKUP(E79,Référentiels!$M$2:$N$267,2,FALSE),"Ingrédient non trouvé")</f>
        <v>Ingrédient non trouvé</v>
      </c>
      <c r="I79">
        <f>IFERROR(tbl_Achats[[#This Row],[Qté d''Achat]] * tbl_Achats[[#This Row],[Prix Achat Unitaire]], 0)</f>
        <v>0</v>
      </c>
    </row>
    <row r="80" spans="4:9" x14ac:dyDescent="0.25">
      <c r="D80" t="str">
        <f>IFERROR(VLOOKUP(E80,Référentiels!$M$2:$N$267,2,FALSE),"Ingrédient non trouvé")</f>
        <v>Ingrédient non trouvé</v>
      </c>
      <c r="I80">
        <f>IFERROR(tbl_Achats[[#This Row],[Qté d''Achat]] * tbl_Achats[[#This Row],[Prix Achat Unitaire]], 0)</f>
        <v>0</v>
      </c>
    </row>
    <row r="81" spans="4:9" x14ac:dyDescent="0.25">
      <c r="D81" t="str">
        <f>IFERROR(VLOOKUP(E81,Référentiels!$M$2:$N$267,2,FALSE),"Ingrédient non trouvé")</f>
        <v>Ingrédient non trouvé</v>
      </c>
      <c r="I81">
        <f>IFERROR(tbl_Achats[[#This Row],[Qté d''Achat]] * tbl_Achats[[#This Row],[Prix Achat Unitaire]], 0)</f>
        <v>0</v>
      </c>
    </row>
    <row r="82" spans="4:9" x14ac:dyDescent="0.25">
      <c r="D82" t="str">
        <f>IFERROR(VLOOKUP(E82,Référentiels!$M$2:$N$267,2,FALSE),"Ingrédient non trouvé")</f>
        <v>Ingrédient non trouvé</v>
      </c>
      <c r="I82">
        <f>IFERROR(tbl_Achats[[#This Row],[Qté d''Achat]] * tbl_Achats[[#This Row],[Prix Achat Unitaire]], 0)</f>
        <v>0</v>
      </c>
    </row>
    <row r="83" spans="4:9" x14ac:dyDescent="0.25">
      <c r="D83" t="str">
        <f>IFERROR(VLOOKUP(E83,Référentiels!$M$2:$N$267,2,FALSE),"Ingrédient non trouvé")</f>
        <v>Ingrédient non trouvé</v>
      </c>
      <c r="I83">
        <f>IFERROR(tbl_Achats[[#This Row],[Qté d''Achat]] * tbl_Achats[[#This Row],[Prix Achat Unitaire]], 0)</f>
        <v>0</v>
      </c>
    </row>
    <row r="84" spans="4:9" x14ac:dyDescent="0.25">
      <c r="D84" t="str">
        <f>IFERROR(VLOOKUP(E84,Référentiels!$M$2:$N$267,2,FALSE),"Ingrédient non trouvé")</f>
        <v>Ingrédient non trouvé</v>
      </c>
      <c r="I84">
        <f>IFERROR(tbl_Achats[[#This Row],[Qté d''Achat]] * tbl_Achats[[#This Row],[Prix Achat Unitaire]], 0)</f>
        <v>0</v>
      </c>
    </row>
    <row r="85" spans="4:9" x14ac:dyDescent="0.25">
      <c r="D85" t="str">
        <f>IFERROR(VLOOKUP(E85,Référentiels!$M$2:$N$267,2,FALSE),"Ingrédient non trouvé")</f>
        <v>Ingrédient non trouvé</v>
      </c>
      <c r="I85">
        <f>IFERROR(tbl_Achats[[#This Row],[Qté d''Achat]] * tbl_Achats[[#This Row],[Prix Achat Unitaire]], 0)</f>
        <v>0</v>
      </c>
    </row>
    <row r="86" spans="4:9" x14ac:dyDescent="0.25">
      <c r="D86" t="str">
        <f>IFERROR(VLOOKUP(E86,Référentiels!$M$2:$N$267,2,FALSE),"Ingrédient non trouvé")</f>
        <v>Ingrédient non trouvé</v>
      </c>
      <c r="I86">
        <f>IFERROR(tbl_Achats[[#This Row],[Qté d''Achat]] * tbl_Achats[[#This Row],[Prix Achat Unitaire]], 0)</f>
        <v>0</v>
      </c>
    </row>
    <row r="87" spans="4:9" x14ac:dyDescent="0.25">
      <c r="D87" t="str">
        <f>IFERROR(VLOOKUP(E87,Référentiels!$M$2:$N$267,2,FALSE),"Ingrédient non trouvé")</f>
        <v>Ingrédient non trouvé</v>
      </c>
      <c r="I87">
        <f>IFERROR(tbl_Achats[[#This Row],[Qté d''Achat]] * tbl_Achats[[#This Row],[Prix Achat Unitaire]], 0)</f>
        <v>0</v>
      </c>
    </row>
    <row r="88" spans="4:9" x14ac:dyDescent="0.25">
      <c r="D88" t="str">
        <f>IFERROR(VLOOKUP(E88,Référentiels!$M$2:$N$267,2,FALSE),"Ingrédient non trouvé")</f>
        <v>Ingrédient non trouvé</v>
      </c>
      <c r="I88">
        <f>IFERROR(tbl_Achats[[#This Row],[Qté d''Achat]] * tbl_Achats[[#This Row],[Prix Achat Unitaire]], 0)</f>
        <v>0</v>
      </c>
    </row>
    <row r="89" spans="4:9" x14ac:dyDescent="0.25">
      <c r="D89" t="str">
        <f>IFERROR(VLOOKUP(E89,Référentiels!$M$2:$N$267,2,FALSE),"Ingrédient non trouvé")</f>
        <v>Ingrédient non trouvé</v>
      </c>
      <c r="I89">
        <f>IFERROR(tbl_Achats[[#This Row],[Qté d''Achat]] * tbl_Achats[[#This Row],[Prix Achat Unitaire]], 0)</f>
        <v>0</v>
      </c>
    </row>
    <row r="90" spans="4:9" x14ac:dyDescent="0.25">
      <c r="D90" t="str">
        <f>IFERROR(VLOOKUP(E90,Référentiels!$M$2:$N$267,2,FALSE),"Ingrédient non trouvé")</f>
        <v>Ingrédient non trouvé</v>
      </c>
      <c r="I90">
        <f>IFERROR(tbl_Achats[[#This Row],[Qté d''Achat]] * tbl_Achats[[#This Row],[Prix Achat Unitaire]], 0)</f>
        <v>0</v>
      </c>
    </row>
    <row r="91" spans="4:9" x14ac:dyDescent="0.25">
      <c r="D91" t="str">
        <f>IFERROR(VLOOKUP(E91,Référentiels!$M$2:$N$267,2,FALSE),"Ingrédient non trouvé")</f>
        <v>Ingrédient non trouvé</v>
      </c>
      <c r="I91">
        <f>IFERROR(tbl_Achats[[#This Row],[Qté d''Achat]] * tbl_Achats[[#This Row],[Prix Achat Unitaire]], 0)</f>
        <v>0</v>
      </c>
    </row>
    <row r="92" spans="4:9" x14ac:dyDescent="0.25">
      <c r="D92" t="str">
        <f>IFERROR(VLOOKUP(E92,Référentiels!$M$2:$N$267,2,FALSE),"Ingrédient non trouvé")</f>
        <v>Ingrédient non trouvé</v>
      </c>
      <c r="I92">
        <f>IFERROR(tbl_Achats[[#This Row],[Qté d''Achat]] * tbl_Achats[[#This Row],[Prix Achat Unitaire]], 0)</f>
        <v>0</v>
      </c>
    </row>
    <row r="93" spans="4:9" x14ac:dyDescent="0.25">
      <c r="D93" t="str">
        <f>IFERROR(VLOOKUP(E93,Référentiels!$M$2:$N$267,2,FALSE),"Ingrédient non trouvé")</f>
        <v>Ingrédient non trouvé</v>
      </c>
      <c r="I93">
        <f>IFERROR(tbl_Achats[[#This Row],[Qté d''Achat]] * tbl_Achats[[#This Row],[Prix Achat Unitaire]], 0)</f>
        <v>0</v>
      </c>
    </row>
    <row r="94" spans="4:9" x14ac:dyDescent="0.25">
      <c r="D94" t="str">
        <f>IFERROR(VLOOKUP(E94,Référentiels!$M$2:$N$267,2,FALSE),"Ingrédient non trouvé")</f>
        <v>Ingrédient non trouvé</v>
      </c>
      <c r="I94">
        <f>IFERROR(tbl_Achats[[#This Row],[Qté d''Achat]] * tbl_Achats[[#This Row],[Prix Achat Unitaire]], 0)</f>
        <v>0</v>
      </c>
    </row>
    <row r="95" spans="4:9" x14ac:dyDescent="0.25">
      <c r="D95" t="str">
        <f>IFERROR(VLOOKUP(E95,Référentiels!$M$2:$N$267,2,FALSE),"Ingrédient non trouvé")</f>
        <v>Ingrédient non trouvé</v>
      </c>
      <c r="I95">
        <f>IFERROR(tbl_Achats[[#This Row],[Qté d''Achat]] * tbl_Achats[[#This Row],[Prix Achat Unitaire]], 0)</f>
        <v>0</v>
      </c>
    </row>
    <row r="96" spans="4:9" x14ac:dyDescent="0.25">
      <c r="D96" t="str">
        <f>IFERROR(VLOOKUP(E96,Référentiels!$M$2:$N$267,2,FALSE),"Ingrédient non trouvé")</f>
        <v>Ingrédient non trouvé</v>
      </c>
      <c r="I96">
        <f>IFERROR(tbl_Achats[[#This Row],[Qté d''Achat]] * tbl_Achats[[#This Row],[Prix Achat Unitaire]], 0)</f>
        <v>0</v>
      </c>
    </row>
    <row r="97" spans="4:9" x14ac:dyDescent="0.25">
      <c r="D97" t="str">
        <f>IFERROR(VLOOKUP(E97,Référentiels!$M$2:$N$267,2,FALSE),"Ingrédient non trouvé")</f>
        <v>Ingrédient non trouvé</v>
      </c>
      <c r="I97">
        <f>IFERROR(tbl_Achats[[#This Row],[Qté d''Achat]] * tbl_Achats[[#This Row],[Prix Achat Unitaire]], 0)</f>
        <v>0</v>
      </c>
    </row>
    <row r="98" spans="4:9" x14ac:dyDescent="0.25">
      <c r="D98" t="str">
        <f>IFERROR(VLOOKUP(E98,Référentiels!$M$2:$N$267,2,FALSE),"Ingrédient non trouvé")</f>
        <v>Ingrédient non trouvé</v>
      </c>
      <c r="I98">
        <f>IFERROR(tbl_Achats[[#This Row],[Qté d''Achat]] * tbl_Achats[[#This Row],[Prix Achat Unitaire]], 0)</f>
        <v>0</v>
      </c>
    </row>
    <row r="99" spans="4:9" x14ac:dyDescent="0.25">
      <c r="D99" t="str">
        <f>IFERROR(VLOOKUP(E99,Référentiels!$M$2:$N$267,2,FALSE),"Ingrédient non trouvé")</f>
        <v>Ingrédient non trouvé</v>
      </c>
      <c r="I99">
        <f>IFERROR(tbl_Achats[[#This Row],[Qté d''Achat]] * tbl_Achats[[#This Row],[Prix Achat Unitaire]], 0)</f>
        <v>0</v>
      </c>
    </row>
    <row r="100" spans="4:9" x14ac:dyDescent="0.25">
      <c r="D100" t="str">
        <f>IFERROR(VLOOKUP(E100,Référentiels!$M$2:$N$267,2,FALSE),"Ingrédient non trouvé")</f>
        <v>Ingrédient non trouvé</v>
      </c>
      <c r="I100">
        <f>IFERROR(tbl_Achats[[#This Row],[Qté d''Achat]] * tbl_Achats[[#This Row],[Prix Achat Unitaire]], 0)</f>
        <v>0</v>
      </c>
    </row>
    <row r="101" spans="4:9" x14ac:dyDescent="0.25">
      <c r="D101" t="str">
        <f>IFERROR(VLOOKUP(E101,Référentiels!$M$2:$N$267,2,FALSE),"Ingrédient non trouvé")</f>
        <v>Ingrédient non trouvé</v>
      </c>
      <c r="I101">
        <f>IFERROR(tbl_Achats[[#This Row],[Qté d''Achat]] * tbl_Achats[[#This Row],[Prix Achat Unitaire]], 0)</f>
        <v>0</v>
      </c>
    </row>
    <row r="102" spans="4:9" x14ac:dyDescent="0.25">
      <c r="D102" t="str">
        <f>IFERROR(VLOOKUP(E102,Référentiels!$M$2:$N$267,2,FALSE),"Ingrédient non trouvé")</f>
        <v>Ingrédient non trouvé</v>
      </c>
      <c r="I102">
        <f>IFERROR(tbl_Achats[[#This Row],[Qté d''Achat]] * tbl_Achats[[#This Row],[Prix Achat Unitaire]], 0)</f>
        <v>0</v>
      </c>
    </row>
    <row r="103" spans="4:9" x14ac:dyDescent="0.25">
      <c r="D103" t="str">
        <f>IFERROR(VLOOKUP(E103,Référentiels!$M$2:$N$267,2,FALSE),"Ingrédient non trouvé")</f>
        <v>Ingrédient non trouvé</v>
      </c>
      <c r="I103">
        <f>IFERROR(tbl_Achats[[#This Row],[Qté d''Achat]] * tbl_Achats[[#This Row],[Prix Achat Unitaire]], 0)</f>
        <v>0</v>
      </c>
    </row>
    <row r="104" spans="4:9" x14ac:dyDescent="0.25">
      <c r="D104" t="str">
        <f>IFERROR(VLOOKUP(E104,Référentiels!$M$2:$N$267,2,FALSE),"Ingrédient non trouvé")</f>
        <v>Ingrédient non trouvé</v>
      </c>
      <c r="I104">
        <f>IFERROR(tbl_Achats[[#This Row],[Qté d''Achat]] * tbl_Achats[[#This Row],[Prix Achat Unitaire]], 0)</f>
        <v>0</v>
      </c>
    </row>
    <row r="105" spans="4:9" x14ac:dyDescent="0.25">
      <c r="D105" t="str">
        <f>IFERROR(VLOOKUP(E105,Référentiels!$M$2:$N$267,2,FALSE),"Ingrédient non trouvé")</f>
        <v>Ingrédient non trouvé</v>
      </c>
      <c r="I105">
        <f>IFERROR(tbl_Achats[[#This Row],[Qté d''Achat]] * tbl_Achats[[#This Row],[Prix Achat Unitaire]], 0)</f>
        <v>0</v>
      </c>
    </row>
    <row r="106" spans="4:9" x14ac:dyDescent="0.25">
      <c r="D106" t="str">
        <f>IFERROR(VLOOKUP(E106,Référentiels!$M$2:$N$267,2,FALSE),"Ingrédient non trouvé")</f>
        <v>Ingrédient non trouvé</v>
      </c>
      <c r="I106">
        <f>IFERROR(tbl_Achats[[#This Row],[Qté d''Achat]] * tbl_Achats[[#This Row],[Prix Achat Unitaire]], 0)</f>
        <v>0</v>
      </c>
    </row>
    <row r="107" spans="4:9" x14ac:dyDescent="0.25">
      <c r="D107" t="str">
        <f>IFERROR(VLOOKUP(E107,Référentiels!$M$2:$N$267,2,FALSE),"Ingrédient non trouvé")</f>
        <v>Ingrédient non trouvé</v>
      </c>
      <c r="I107">
        <f>IFERROR(tbl_Achats[[#This Row],[Qté d''Achat]] * tbl_Achats[[#This Row],[Prix Achat Unitaire]], 0)</f>
        <v>0</v>
      </c>
    </row>
    <row r="108" spans="4:9" x14ac:dyDescent="0.25">
      <c r="D108" t="str">
        <f>IFERROR(VLOOKUP(E108,Référentiels!$M$2:$N$267,2,FALSE),"Ingrédient non trouvé")</f>
        <v>Ingrédient non trouvé</v>
      </c>
      <c r="I108">
        <f>IFERROR(tbl_Achats[[#This Row],[Qté d''Achat]] * tbl_Achats[[#This Row],[Prix Achat Unitaire]], 0)</f>
        <v>0</v>
      </c>
    </row>
    <row r="109" spans="4:9" x14ac:dyDescent="0.25">
      <c r="D109" t="str">
        <f>IFERROR(VLOOKUP(E109,Référentiels!$M$2:$N$267,2,FALSE),"Ingrédient non trouvé")</f>
        <v>Ingrédient non trouvé</v>
      </c>
      <c r="I109">
        <f>IFERROR(tbl_Achats[[#This Row],[Qté d''Achat]] * tbl_Achats[[#This Row],[Prix Achat Unitaire]], 0)</f>
        <v>0</v>
      </c>
    </row>
    <row r="110" spans="4:9" x14ac:dyDescent="0.25">
      <c r="D110" t="str">
        <f>IFERROR(VLOOKUP(E110,Référentiels!$M$2:$N$267,2,FALSE),"Ingrédient non trouvé")</f>
        <v>Ingrédient non trouvé</v>
      </c>
      <c r="I110">
        <f>IFERROR(tbl_Achats[[#This Row],[Qté d''Achat]] * tbl_Achats[[#This Row],[Prix Achat Unitaire]], 0)</f>
        <v>0</v>
      </c>
    </row>
    <row r="111" spans="4:9" x14ac:dyDescent="0.25">
      <c r="D111" t="str">
        <f>IFERROR(VLOOKUP(E111,Référentiels!$M$2:$N$267,2,FALSE),"Ingrédient non trouvé")</f>
        <v>Ingrédient non trouvé</v>
      </c>
      <c r="I111">
        <f>IFERROR(tbl_Achats[[#This Row],[Qté d''Achat]] * tbl_Achats[[#This Row],[Prix Achat Unitaire]], 0)</f>
        <v>0</v>
      </c>
    </row>
    <row r="112" spans="4:9" x14ac:dyDescent="0.25">
      <c r="D112" t="str">
        <f>IFERROR(VLOOKUP(E112,Référentiels!$M$2:$N$267,2,FALSE),"Ingrédient non trouvé")</f>
        <v>Ingrédient non trouvé</v>
      </c>
      <c r="I112">
        <f>IFERROR(tbl_Achats[[#This Row],[Qté d''Achat]] * tbl_Achats[[#This Row],[Prix Achat Unitaire]], 0)</f>
        <v>0</v>
      </c>
    </row>
    <row r="113" spans="4:9" x14ac:dyDescent="0.25">
      <c r="D113" t="str">
        <f>IFERROR(VLOOKUP(E113,Référentiels!$M$2:$N$267,2,FALSE),"Ingrédient non trouvé")</f>
        <v>Ingrédient non trouvé</v>
      </c>
      <c r="I113">
        <f>IFERROR(tbl_Achats[[#This Row],[Qté d''Achat]] * tbl_Achats[[#This Row],[Prix Achat Unitaire]], 0)</f>
        <v>0</v>
      </c>
    </row>
    <row r="114" spans="4:9" x14ac:dyDescent="0.25">
      <c r="D114" t="str">
        <f>IFERROR(VLOOKUP(E114,Référentiels!$M$2:$N$267,2,FALSE),"Ingrédient non trouvé")</f>
        <v>Ingrédient non trouvé</v>
      </c>
      <c r="I114">
        <f>IFERROR(tbl_Achats[[#This Row],[Qté d''Achat]] * tbl_Achats[[#This Row],[Prix Achat Unitaire]], 0)</f>
        <v>0</v>
      </c>
    </row>
    <row r="115" spans="4:9" x14ac:dyDescent="0.25">
      <c r="D115" t="str">
        <f>IFERROR(VLOOKUP(E115,Référentiels!$M$2:$N$267,2,FALSE),"Ingrédient non trouvé")</f>
        <v>Ingrédient non trouvé</v>
      </c>
      <c r="I115">
        <f>IFERROR(tbl_Achats[[#This Row],[Qté d''Achat]] * tbl_Achats[[#This Row],[Prix Achat Unitaire]], 0)</f>
        <v>0</v>
      </c>
    </row>
    <row r="116" spans="4:9" x14ac:dyDescent="0.25">
      <c r="D116" t="str">
        <f>IFERROR(VLOOKUP(E116,Référentiels!$M$2:$N$267,2,FALSE),"Ingrédient non trouvé")</f>
        <v>Ingrédient non trouvé</v>
      </c>
      <c r="I116">
        <f>IFERROR(tbl_Achats[[#This Row],[Qté d''Achat]] * tbl_Achats[[#This Row],[Prix Achat Unitaire]], 0)</f>
        <v>0</v>
      </c>
    </row>
    <row r="117" spans="4:9" x14ac:dyDescent="0.25">
      <c r="D117" t="str">
        <f>IFERROR(VLOOKUP(E117,Référentiels!$M$2:$N$267,2,FALSE),"Ingrédient non trouvé")</f>
        <v>Ingrédient non trouvé</v>
      </c>
      <c r="I117">
        <f>IFERROR(tbl_Achats[[#This Row],[Qté d''Achat]] * tbl_Achats[[#This Row],[Prix Achat Unitaire]], 0)</f>
        <v>0</v>
      </c>
    </row>
    <row r="118" spans="4:9" x14ac:dyDescent="0.25">
      <c r="D118" t="str">
        <f>IFERROR(VLOOKUP(E118,Référentiels!$M$2:$N$267,2,FALSE),"Ingrédient non trouvé")</f>
        <v>Ingrédient non trouvé</v>
      </c>
      <c r="I118">
        <f>IFERROR(tbl_Achats[[#This Row],[Qté d''Achat]] * tbl_Achats[[#This Row],[Prix Achat Unitaire]], 0)</f>
        <v>0</v>
      </c>
    </row>
    <row r="119" spans="4:9" x14ac:dyDescent="0.25">
      <c r="D119" t="str">
        <f>IFERROR(VLOOKUP(E119,Référentiels!$M$2:$N$267,2,FALSE),"Ingrédient non trouvé")</f>
        <v>Ingrédient non trouvé</v>
      </c>
      <c r="I119">
        <f>IFERROR(tbl_Achats[[#This Row],[Qté d''Achat]] * tbl_Achats[[#This Row],[Prix Achat Unitaire]], 0)</f>
        <v>0</v>
      </c>
    </row>
    <row r="120" spans="4:9" x14ac:dyDescent="0.25">
      <c r="D120" t="str">
        <f>IFERROR(VLOOKUP(E120,Référentiels!$M$2:$N$267,2,FALSE),"Ingrédient non trouvé")</f>
        <v>Ingrédient non trouvé</v>
      </c>
      <c r="I120">
        <f>IFERROR(tbl_Achats[[#This Row],[Qté d''Achat]] * tbl_Achats[[#This Row],[Prix Achat Unitaire]], 0)</f>
        <v>0</v>
      </c>
    </row>
    <row r="121" spans="4:9" x14ac:dyDescent="0.25">
      <c r="D121" t="str">
        <f>IFERROR(VLOOKUP(E121,Référentiels!$M$2:$N$267,2,FALSE),"Ingrédient non trouvé")</f>
        <v>Ingrédient non trouvé</v>
      </c>
      <c r="I121">
        <f>IFERROR(tbl_Achats[[#This Row],[Qté d''Achat]] * tbl_Achats[[#This Row],[Prix Achat Unitaire]], 0)</f>
        <v>0</v>
      </c>
    </row>
    <row r="122" spans="4:9" x14ac:dyDescent="0.25">
      <c r="D122" t="str">
        <f>IFERROR(VLOOKUP(E122,Référentiels!$M$2:$N$267,2,FALSE),"Ingrédient non trouvé")</f>
        <v>Ingrédient non trouvé</v>
      </c>
      <c r="I122">
        <f>IFERROR(tbl_Achats[[#This Row],[Qté d''Achat]] * tbl_Achats[[#This Row],[Prix Achat Unitaire]], 0)</f>
        <v>0</v>
      </c>
    </row>
    <row r="123" spans="4:9" x14ac:dyDescent="0.25">
      <c r="D123" t="str">
        <f>IFERROR(VLOOKUP(E123,Référentiels!$M$2:$N$267,2,FALSE),"Ingrédient non trouvé")</f>
        <v>Ingrédient non trouvé</v>
      </c>
      <c r="I123">
        <f>IFERROR(tbl_Achats[[#This Row],[Qté d''Achat]] * tbl_Achats[[#This Row],[Prix Achat Unitaire]], 0)</f>
        <v>0</v>
      </c>
    </row>
    <row r="124" spans="4:9" x14ac:dyDescent="0.25">
      <c r="D124" t="str">
        <f>IFERROR(VLOOKUP(E124,Référentiels!$M$2:$N$267,2,FALSE),"Ingrédient non trouvé")</f>
        <v>Ingrédient non trouvé</v>
      </c>
      <c r="I124">
        <f>IFERROR(tbl_Achats[[#This Row],[Qté d''Achat]] * tbl_Achats[[#This Row],[Prix Achat Unitaire]], 0)</f>
        <v>0</v>
      </c>
    </row>
    <row r="125" spans="4:9" x14ac:dyDescent="0.25">
      <c r="D125" t="str">
        <f>IFERROR(VLOOKUP(E125,Référentiels!$M$2:$N$267,2,FALSE),"Ingrédient non trouvé")</f>
        <v>Ingrédient non trouvé</v>
      </c>
      <c r="I125">
        <f>IFERROR(tbl_Achats[[#This Row],[Qté d''Achat]] * tbl_Achats[[#This Row],[Prix Achat Unitaire]], 0)</f>
        <v>0</v>
      </c>
    </row>
    <row r="126" spans="4:9" x14ac:dyDescent="0.25">
      <c r="D126" t="str">
        <f>IFERROR(VLOOKUP(E126,Référentiels!$M$2:$N$267,2,FALSE),"Ingrédient non trouvé")</f>
        <v>Ingrédient non trouvé</v>
      </c>
      <c r="I126">
        <f>IFERROR(tbl_Achats[[#This Row],[Qté d''Achat]] * tbl_Achats[[#This Row],[Prix Achat Unitaire]], 0)</f>
        <v>0</v>
      </c>
    </row>
    <row r="127" spans="4:9" x14ac:dyDescent="0.25">
      <c r="D127" t="str">
        <f>IFERROR(VLOOKUP(E127,Référentiels!$M$2:$N$267,2,FALSE),"Ingrédient non trouvé")</f>
        <v>Ingrédient non trouvé</v>
      </c>
      <c r="I127">
        <f>IFERROR(tbl_Achats[[#This Row],[Qté d''Achat]] * tbl_Achats[[#This Row],[Prix Achat Unitaire]], 0)</f>
        <v>0</v>
      </c>
    </row>
    <row r="128" spans="4:9" x14ac:dyDescent="0.25">
      <c r="D128" t="str">
        <f>IFERROR(VLOOKUP(E128,Référentiels!$M$2:$N$267,2,FALSE),"Ingrédient non trouvé")</f>
        <v>Ingrédient non trouvé</v>
      </c>
      <c r="I128">
        <f>IFERROR(tbl_Achats[[#This Row],[Qté d''Achat]] * tbl_Achats[[#This Row],[Prix Achat Unitaire]], 0)</f>
        <v>0</v>
      </c>
    </row>
    <row r="129" spans="4:9" x14ac:dyDescent="0.25">
      <c r="D129" t="str">
        <f>IFERROR(VLOOKUP(E129,Référentiels!$M$2:$N$267,2,FALSE),"Ingrédient non trouvé")</f>
        <v>Ingrédient non trouvé</v>
      </c>
      <c r="I129">
        <f>IFERROR(tbl_Achats[[#This Row],[Qté d''Achat]] * tbl_Achats[[#This Row],[Prix Achat Unitaire]], 0)</f>
        <v>0</v>
      </c>
    </row>
    <row r="130" spans="4:9" x14ac:dyDescent="0.25">
      <c r="D130" t="str">
        <f>IFERROR(VLOOKUP(E130,Référentiels!$M$2:$N$267,2,FALSE),"Ingrédient non trouvé")</f>
        <v>Ingrédient non trouvé</v>
      </c>
      <c r="I130">
        <f>IFERROR(tbl_Achats[[#This Row],[Qté d''Achat]] * tbl_Achats[[#This Row],[Prix Achat Unitaire]], 0)</f>
        <v>0</v>
      </c>
    </row>
    <row r="131" spans="4:9" x14ac:dyDescent="0.25">
      <c r="D131" t="str">
        <f>IFERROR(VLOOKUP(E131,Référentiels!$M$2:$N$267,2,FALSE),"Ingrédient non trouvé")</f>
        <v>Ingrédient non trouvé</v>
      </c>
      <c r="I131">
        <f>IFERROR(tbl_Achats[[#This Row],[Qté d''Achat]] * tbl_Achats[[#This Row],[Prix Achat Unitaire]], 0)</f>
        <v>0</v>
      </c>
    </row>
    <row r="132" spans="4:9" x14ac:dyDescent="0.25">
      <c r="D132" t="str">
        <f>IFERROR(VLOOKUP(E132,Référentiels!$M$2:$N$267,2,FALSE),"Ingrédient non trouvé")</f>
        <v>Ingrédient non trouvé</v>
      </c>
      <c r="I132">
        <f>IFERROR(tbl_Achats[[#This Row],[Qté d''Achat]] * tbl_Achats[[#This Row],[Prix Achat Unitaire]], 0)</f>
        <v>0</v>
      </c>
    </row>
    <row r="133" spans="4:9" x14ac:dyDescent="0.25">
      <c r="D133" t="str">
        <f>IFERROR(VLOOKUP(E133,Référentiels!$M$2:$N$267,2,FALSE),"Ingrédient non trouvé")</f>
        <v>Ingrédient non trouvé</v>
      </c>
      <c r="I133">
        <f>IFERROR(tbl_Achats[[#This Row],[Qté d''Achat]] * tbl_Achats[[#This Row],[Prix Achat Unitaire]], 0)</f>
        <v>0</v>
      </c>
    </row>
    <row r="134" spans="4:9" x14ac:dyDescent="0.25">
      <c r="D134" t="str">
        <f>IFERROR(VLOOKUP(E134,Référentiels!$M$2:$N$267,2,FALSE),"Ingrédient non trouvé")</f>
        <v>Ingrédient non trouvé</v>
      </c>
      <c r="I134">
        <f>IFERROR(tbl_Achats[[#This Row],[Qté d''Achat]] * tbl_Achats[[#This Row],[Prix Achat Unitaire]], 0)</f>
        <v>0</v>
      </c>
    </row>
    <row r="135" spans="4:9" x14ac:dyDescent="0.25">
      <c r="D135" t="str">
        <f>IFERROR(VLOOKUP(E135,Référentiels!$M$2:$N$267,2,FALSE),"Ingrédient non trouvé")</f>
        <v>Ingrédient non trouvé</v>
      </c>
      <c r="I135">
        <f>IFERROR(tbl_Achats[[#This Row],[Qté d''Achat]] * tbl_Achats[[#This Row],[Prix Achat Unitaire]], 0)</f>
        <v>0</v>
      </c>
    </row>
    <row r="136" spans="4:9" x14ac:dyDescent="0.25">
      <c r="D136" t="str">
        <f>IFERROR(VLOOKUP(E136,Référentiels!$M$2:$N$267,2,FALSE),"Ingrédient non trouvé")</f>
        <v>Ingrédient non trouvé</v>
      </c>
      <c r="I136">
        <f>IFERROR(tbl_Achats[[#This Row],[Qté d''Achat]] * tbl_Achats[[#This Row],[Prix Achat Unitaire]], 0)</f>
        <v>0</v>
      </c>
    </row>
    <row r="137" spans="4:9" x14ac:dyDescent="0.25">
      <c r="D137" t="str">
        <f>IFERROR(VLOOKUP(E137,Référentiels!$M$2:$N$267,2,FALSE),"Ingrédient non trouvé")</f>
        <v>Ingrédient non trouvé</v>
      </c>
      <c r="I137">
        <f>IFERROR(tbl_Achats[[#This Row],[Qté d''Achat]] * tbl_Achats[[#This Row],[Prix Achat Unitaire]], 0)</f>
        <v>0</v>
      </c>
    </row>
    <row r="138" spans="4:9" x14ac:dyDescent="0.25">
      <c r="D138" t="str">
        <f>IFERROR(VLOOKUP(E138,Référentiels!$M$2:$N$267,2,FALSE),"Ingrédient non trouvé")</f>
        <v>Ingrédient non trouvé</v>
      </c>
      <c r="I138">
        <f>IFERROR(tbl_Achats[[#This Row],[Qté d''Achat]] * tbl_Achats[[#This Row],[Prix Achat Unitaire]], 0)</f>
        <v>0</v>
      </c>
    </row>
    <row r="139" spans="4:9" x14ac:dyDescent="0.25">
      <c r="D139" t="str">
        <f>IFERROR(VLOOKUP(E139,Référentiels!$M$2:$N$267,2,FALSE),"Ingrédient non trouvé")</f>
        <v>Ingrédient non trouvé</v>
      </c>
      <c r="I139">
        <f>IFERROR(tbl_Achats[[#This Row],[Qté d''Achat]] * tbl_Achats[[#This Row],[Prix Achat Unitaire]], 0)</f>
        <v>0</v>
      </c>
    </row>
    <row r="140" spans="4:9" x14ac:dyDescent="0.25">
      <c r="D140" t="str">
        <f>IFERROR(VLOOKUP(E140,Référentiels!$M$2:$N$267,2,FALSE),"Ingrédient non trouvé")</f>
        <v>Ingrédient non trouvé</v>
      </c>
      <c r="I140">
        <f>IFERROR(tbl_Achats[[#This Row],[Qté d''Achat]] * tbl_Achats[[#This Row],[Prix Achat Unitaire]], 0)</f>
        <v>0</v>
      </c>
    </row>
    <row r="141" spans="4:9" x14ac:dyDescent="0.25">
      <c r="D141" t="str">
        <f>IFERROR(VLOOKUP(E141,Référentiels!$M$2:$N$267,2,FALSE),"Ingrédient non trouvé")</f>
        <v>Ingrédient non trouvé</v>
      </c>
      <c r="I141">
        <f>IFERROR(tbl_Achats[[#This Row],[Qté d''Achat]] * tbl_Achats[[#This Row],[Prix Achat Unitaire]], 0)</f>
        <v>0</v>
      </c>
    </row>
    <row r="142" spans="4:9" x14ac:dyDescent="0.25">
      <c r="D142" t="str">
        <f>IFERROR(VLOOKUP(E142,Référentiels!$M$2:$N$267,2,FALSE),"Ingrédient non trouvé")</f>
        <v>Ingrédient non trouvé</v>
      </c>
      <c r="I142">
        <f>IFERROR(tbl_Achats[[#This Row],[Qté d''Achat]] * tbl_Achats[[#This Row],[Prix Achat Unitaire]], 0)</f>
        <v>0</v>
      </c>
    </row>
    <row r="143" spans="4:9" x14ac:dyDescent="0.25">
      <c r="D143" t="str">
        <f>IFERROR(VLOOKUP(E143,Référentiels!$M$2:$N$267,2,FALSE),"Ingrédient non trouvé")</f>
        <v>Ingrédient non trouvé</v>
      </c>
      <c r="I143">
        <f>IFERROR(tbl_Achats[[#This Row],[Qté d''Achat]] * tbl_Achats[[#This Row],[Prix Achat Unitaire]], 0)</f>
        <v>0</v>
      </c>
    </row>
    <row r="144" spans="4:9" x14ac:dyDescent="0.25">
      <c r="D144" t="str">
        <f>IFERROR(VLOOKUP(E144,Référentiels!$M$2:$N$267,2,FALSE),"Ingrédient non trouvé")</f>
        <v>Ingrédient non trouvé</v>
      </c>
      <c r="I144">
        <f>IFERROR(tbl_Achats[[#This Row],[Qté d''Achat]] * tbl_Achats[[#This Row],[Prix Achat Unitaire]], 0)</f>
        <v>0</v>
      </c>
    </row>
    <row r="145" spans="4:9" x14ac:dyDescent="0.25">
      <c r="D145" t="str">
        <f>IFERROR(VLOOKUP(E145,Référentiels!$M$2:$N$267,2,FALSE),"Ingrédient non trouvé")</f>
        <v>Ingrédient non trouvé</v>
      </c>
      <c r="I145">
        <f>IFERROR(tbl_Achats[[#This Row],[Qté d''Achat]] * tbl_Achats[[#This Row],[Prix Achat Unitaire]], 0)</f>
        <v>0</v>
      </c>
    </row>
    <row r="146" spans="4:9" x14ac:dyDescent="0.25">
      <c r="D146" t="str">
        <f>IFERROR(VLOOKUP(E146,Référentiels!$M$2:$N$267,2,FALSE),"Ingrédient non trouvé")</f>
        <v>Ingrédient non trouvé</v>
      </c>
      <c r="I146">
        <f>IFERROR(tbl_Achats[[#This Row],[Qté d''Achat]] * tbl_Achats[[#This Row],[Prix Achat Unitaire]], 0)</f>
        <v>0</v>
      </c>
    </row>
    <row r="147" spans="4:9" x14ac:dyDescent="0.25">
      <c r="D147" t="str">
        <f>IFERROR(VLOOKUP(E147,Référentiels!$M$2:$N$267,2,FALSE),"Ingrédient non trouvé")</f>
        <v>Ingrédient non trouvé</v>
      </c>
      <c r="I147">
        <f>IFERROR(tbl_Achats[[#This Row],[Qté d''Achat]] * tbl_Achats[[#This Row],[Prix Achat Unitaire]], 0)</f>
        <v>0</v>
      </c>
    </row>
    <row r="148" spans="4:9" x14ac:dyDescent="0.25">
      <c r="D148" t="str">
        <f>IFERROR(VLOOKUP(E148,Référentiels!$M$2:$N$267,2,FALSE),"Ingrédient non trouvé")</f>
        <v>Ingrédient non trouvé</v>
      </c>
      <c r="I148">
        <f>IFERROR(tbl_Achats[[#This Row],[Qté d''Achat]] * tbl_Achats[[#This Row],[Prix Achat Unitaire]], 0)</f>
        <v>0</v>
      </c>
    </row>
    <row r="149" spans="4:9" x14ac:dyDescent="0.25">
      <c r="D149" t="str">
        <f>IFERROR(VLOOKUP(E149,Référentiels!$M$2:$N$267,2,FALSE),"Ingrédient non trouvé")</f>
        <v>Ingrédient non trouvé</v>
      </c>
      <c r="I149">
        <f>IFERROR(tbl_Achats[[#This Row],[Qté d''Achat]] * tbl_Achats[[#This Row],[Prix Achat Unitaire]], 0)</f>
        <v>0</v>
      </c>
    </row>
    <row r="150" spans="4:9" x14ac:dyDescent="0.25">
      <c r="D150" t="str">
        <f>IFERROR(VLOOKUP(E150,Référentiels!$M$2:$N$267,2,FALSE),"Ingrédient non trouvé")</f>
        <v>Ingrédient non trouvé</v>
      </c>
      <c r="I150">
        <f>IFERROR(tbl_Achats[[#This Row],[Qté d''Achat]] * tbl_Achats[[#This Row],[Prix Achat Unitaire]], 0)</f>
        <v>0</v>
      </c>
    </row>
    <row r="151" spans="4:9" x14ac:dyDescent="0.25">
      <c r="D151" t="str">
        <f>IFERROR(VLOOKUP(E151,Référentiels!$M$2:$N$267,2,FALSE),"Ingrédient non trouvé")</f>
        <v>Ingrédient non trouvé</v>
      </c>
      <c r="I151">
        <f>IFERROR(tbl_Achats[[#This Row],[Qté d''Achat]] * tbl_Achats[[#This Row],[Prix Achat Unitaire]], 0)</f>
        <v>0</v>
      </c>
    </row>
    <row r="152" spans="4:9" x14ac:dyDescent="0.25">
      <c r="D152" t="str">
        <f>IFERROR(VLOOKUP(E152,Référentiels!$M$2:$N$267,2,FALSE),"Ingrédient non trouvé")</f>
        <v>Ingrédient non trouvé</v>
      </c>
      <c r="I152">
        <f>IFERROR(tbl_Achats[[#This Row],[Qté d''Achat]] * tbl_Achats[[#This Row],[Prix Achat Unitaire]], 0)</f>
        <v>0</v>
      </c>
    </row>
    <row r="153" spans="4:9" x14ac:dyDescent="0.25">
      <c r="D153" t="str">
        <f>IFERROR(VLOOKUP(E153,Référentiels!$M$2:$N$267,2,FALSE),"Ingrédient non trouvé")</f>
        <v>Ingrédient non trouvé</v>
      </c>
      <c r="I153">
        <f>IFERROR(tbl_Achats[[#This Row],[Qté d''Achat]] * tbl_Achats[[#This Row],[Prix Achat Unitaire]], 0)</f>
        <v>0</v>
      </c>
    </row>
    <row r="154" spans="4:9" x14ac:dyDescent="0.25">
      <c r="D154" t="str">
        <f>IFERROR(VLOOKUP(E154,Référentiels!$M$2:$N$267,2,FALSE),"Ingrédient non trouvé")</f>
        <v>Ingrédient non trouvé</v>
      </c>
      <c r="I154">
        <f>IFERROR(tbl_Achats[[#This Row],[Qté d''Achat]] * tbl_Achats[[#This Row],[Prix Achat Unitaire]], 0)</f>
        <v>0</v>
      </c>
    </row>
    <row r="155" spans="4:9" x14ac:dyDescent="0.25">
      <c r="D155" t="str">
        <f>IFERROR(VLOOKUP(E155,Référentiels!$M$2:$N$267,2,FALSE),"Ingrédient non trouvé")</f>
        <v>Ingrédient non trouvé</v>
      </c>
      <c r="I155">
        <f>IFERROR(tbl_Achats[[#This Row],[Qté d''Achat]] * tbl_Achats[[#This Row],[Prix Achat Unitaire]], 0)</f>
        <v>0</v>
      </c>
    </row>
    <row r="156" spans="4:9" x14ac:dyDescent="0.25">
      <c r="D156" t="str">
        <f>IFERROR(VLOOKUP(E156,Référentiels!$M$2:$N$267,2,FALSE),"Ingrédient non trouvé")</f>
        <v>Ingrédient non trouvé</v>
      </c>
      <c r="I156">
        <f>IFERROR(tbl_Achats[[#This Row],[Qté d''Achat]] * tbl_Achats[[#This Row],[Prix Achat Unitaire]], 0)</f>
        <v>0</v>
      </c>
    </row>
    <row r="157" spans="4:9" x14ac:dyDescent="0.25">
      <c r="D157" t="str">
        <f>IFERROR(VLOOKUP(E157,Référentiels!$M$2:$N$267,2,FALSE),"Ingrédient non trouvé")</f>
        <v>Ingrédient non trouvé</v>
      </c>
      <c r="I157">
        <f>IFERROR(tbl_Achats[[#This Row],[Qté d''Achat]] * tbl_Achats[[#This Row],[Prix Achat Unitaire]], 0)</f>
        <v>0</v>
      </c>
    </row>
    <row r="158" spans="4:9" x14ac:dyDescent="0.25">
      <c r="D158" t="str">
        <f>IFERROR(VLOOKUP(E158,Référentiels!$M$2:$N$267,2,FALSE),"Ingrédient non trouvé")</f>
        <v>Ingrédient non trouvé</v>
      </c>
      <c r="I158">
        <f>IFERROR(tbl_Achats[[#This Row],[Qté d''Achat]] * tbl_Achats[[#This Row],[Prix Achat Unitaire]], 0)</f>
        <v>0</v>
      </c>
    </row>
    <row r="159" spans="4:9" x14ac:dyDescent="0.25">
      <c r="D159" t="str">
        <f>IFERROR(VLOOKUP(E159,Référentiels!$M$2:$N$267,2,FALSE),"Ingrédient non trouvé")</f>
        <v>Ingrédient non trouvé</v>
      </c>
      <c r="I159">
        <f>IFERROR(tbl_Achats[[#This Row],[Qté d''Achat]] * tbl_Achats[[#This Row],[Prix Achat Unitaire]], 0)</f>
        <v>0</v>
      </c>
    </row>
    <row r="160" spans="4:9" x14ac:dyDescent="0.25">
      <c r="D160" t="str">
        <f>IFERROR(VLOOKUP(E160,Référentiels!$M$2:$N$267,2,FALSE),"Ingrédient non trouvé")</f>
        <v>Ingrédient non trouvé</v>
      </c>
      <c r="I160">
        <f>IFERROR(tbl_Achats[[#This Row],[Qté d''Achat]] * tbl_Achats[[#This Row],[Prix Achat Unitaire]], 0)</f>
        <v>0</v>
      </c>
    </row>
    <row r="161" spans="4:9" x14ac:dyDescent="0.25">
      <c r="D161" t="str">
        <f>IFERROR(VLOOKUP(E161,Référentiels!$M$2:$N$267,2,FALSE),"Ingrédient non trouvé")</f>
        <v>Ingrédient non trouvé</v>
      </c>
      <c r="I161">
        <f>IFERROR(tbl_Achats[[#This Row],[Qté d''Achat]] * tbl_Achats[[#This Row],[Prix Achat Unitaire]], 0)</f>
        <v>0</v>
      </c>
    </row>
    <row r="162" spans="4:9" x14ac:dyDescent="0.25">
      <c r="D162" t="str">
        <f>IFERROR(VLOOKUP(E162,Référentiels!$M$2:$N$267,2,FALSE),"Ingrédient non trouvé")</f>
        <v>Ingrédient non trouvé</v>
      </c>
      <c r="I162">
        <f>IFERROR(tbl_Achats[[#This Row],[Qté d''Achat]] * tbl_Achats[[#This Row],[Prix Achat Unitaire]], 0)</f>
        <v>0</v>
      </c>
    </row>
    <row r="163" spans="4:9" x14ac:dyDescent="0.25">
      <c r="D163" t="str">
        <f>IFERROR(VLOOKUP(E163,Référentiels!$M$2:$N$267,2,FALSE),"Ingrédient non trouvé")</f>
        <v>Ingrédient non trouvé</v>
      </c>
      <c r="I163">
        <f>IFERROR(tbl_Achats[[#This Row],[Qté d''Achat]] * tbl_Achats[[#This Row],[Prix Achat Unitaire]], 0)</f>
        <v>0</v>
      </c>
    </row>
    <row r="164" spans="4:9" x14ac:dyDescent="0.25">
      <c r="D164" t="str">
        <f>IFERROR(VLOOKUP(E164,Référentiels!$M$2:$N$267,2,FALSE),"Ingrédient non trouvé")</f>
        <v>Ingrédient non trouvé</v>
      </c>
      <c r="I164">
        <f>IFERROR(tbl_Achats[[#This Row],[Qté d''Achat]] * tbl_Achats[[#This Row],[Prix Achat Unitaire]], 0)</f>
        <v>0</v>
      </c>
    </row>
    <row r="165" spans="4:9" x14ac:dyDescent="0.25">
      <c r="D165" t="str">
        <f>IFERROR(VLOOKUP(E165,Référentiels!$M$2:$N$267,2,FALSE),"Ingrédient non trouvé")</f>
        <v>Ingrédient non trouvé</v>
      </c>
      <c r="I165">
        <f>IFERROR(tbl_Achats[[#This Row],[Qté d''Achat]] * tbl_Achats[[#This Row],[Prix Achat Unitaire]], 0)</f>
        <v>0</v>
      </c>
    </row>
    <row r="166" spans="4:9" x14ac:dyDescent="0.25">
      <c r="D166" t="str">
        <f>IFERROR(VLOOKUP(E166,Référentiels!$M$2:$N$267,2,FALSE),"Ingrédient non trouvé")</f>
        <v>Ingrédient non trouvé</v>
      </c>
      <c r="I166">
        <f>IFERROR(tbl_Achats[[#This Row],[Qté d''Achat]] * tbl_Achats[[#This Row],[Prix Achat Unitaire]], 0)</f>
        <v>0</v>
      </c>
    </row>
    <row r="167" spans="4:9" x14ac:dyDescent="0.25">
      <c r="D167" t="str">
        <f>IFERROR(VLOOKUP(E167,Référentiels!$M$2:$N$267,2,FALSE),"Ingrédient non trouvé")</f>
        <v>Ingrédient non trouvé</v>
      </c>
      <c r="I167">
        <f>IFERROR(tbl_Achats[[#This Row],[Qté d''Achat]] * tbl_Achats[[#This Row],[Prix Achat Unitaire]], 0)</f>
        <v>0</v>
      </c>
    </row>
    <row r="168" spans="4:9" x14ac:dyDescent="0.25">
      <c r="D168" t="str">
        <f>IFERROR(VLOOKUP(E168,Référentiels!$M$2:$N$267,2,FALSE),"Ingrédient non trouvé")</f>
        <v>Ingrédient non trouvé</v>
      </c>
      <c r="I168">
        <f>IFERROR(tbl_Achats[[#This Row],[Qté d''Achat]] * tbl_Achats[[#This Row],[Prix Achat Unitaire]], 0)</f>
        <v>0</v>
      </c>
    </row>
    <row r="169" spans="4:9" x14ac:dyDescent="0.25">
      <c r="D169" t="str">
        <f>IFERROR(VLOOKUP(E169,Référentiels!$M$2:$N$267,2,FALSE),"Ingrédient non trouvé")</f>
        <v>Ingrédient non trouvé</v>
      </c>
      <c r="I169">
        <f>IFERROR(tbl_Achats[[#This Row],[Qté d''Achat]] * tbl_Achats[[#This Row],[Prix Achat Unitaire]], 0)</f>
        <v>0</v>
      </c>
    </row>
    <row r="170" spans="4:9" x14ac:dyDescent="0.25">
      <c r="D170" t="str">
        <f>IFERROR(VLOOKUP(E170,Référentiels!$M$2:$N$267,2,FALSE),"Ingrédient non trouvé")</f>
        <v>Ingrédient non trouvé</v>
      </c>
      <c r="I170">
        <f>IFERROR(tbl_Achats[[#This Row],[Qté d''Achat]] * tbl_Achats[[#This Row],[Prix Achat Unitaire]], 0)</f>
        <v>0</v>
      </c>
    </row>
    <row r="171" spans="4:9" x14ac:dyDescent="0.25">
      <c r="D171" t="str">
        <f>IFERROR(VLOOKUP(E171,Référentiels!$M$2:$N$267,2,FALSE),"Ingrédient non trouvé")</f>
        <v>Ingrédient non trouvé</v>
      </c>
      <c r="I171">
        <f>IFERROR(tbl_Achats[[#This Row],[Qté d''Achat]] * tbl_Achats[[#This Row],[Prix Achat Unitaire]], 0)</f>
        <v>0</v>
      </c>
    </row>
    <row r="172" spans="4:9" x14ac:dyDescent="0.25">
      <c r="D172" t="str">
        <f>IFERROR(VLOOKUP(E172,Référentiels!$M$2:$N$267,2,FALSE),"Ingrédient non trouvé")</f>
        <v>Ingrédient non trouvé</v>
      </c>
      <c r="I172">
        <f>IFERROR(tbl_Achats[[#This Row],[Qté d''Achat]] * tbl_Achats[[#This Row],[Prix Achat Unitaire]], 0)</f>
        <v>0</v>
      </c>
    </row>
    <row r="173" spans="4:9" x14ac:dyDescent="0.25">
      <c r="D173" t="str">
        <f>IFERROR(VLOOKUP(E173,Référentiels!$M$2:$N$267,2,FALSE),"Ingrédient non trouvé")</f>
        <v>Ingrédient non trouvé</v>
      </c>
      <c r="I173">
        <f>IFERROR(tbl_Achats[[#This Row],[Qté d''Achat]] * tbl_Achats[[#This Row],[Prix Achat Unitaire]], 0)</f>
        <v>0</v>
      </c>
    </row>
    <row r="174" spans="4:9" x14ac:dyDescent="0.25">
      <c r="D174" t="str">
        <f>IFERROR(VLOOKUP(E174,Référentiels!$M$2:$N$267,2,FALSE),"Ingrédient non trouvé")</f>
        <v>Ingrédient non trouvé</v>
      </c>
      <c r="I174">
        <f>IFERROR(tbl_Achats[[#This Row],[Qté d''Achat]] * tbl_Achats[[#This Row],[Prix Achat Unitaire]], 0)</f>
        <v>0</v>
      </c>
    </row>
    <row r="175" spans="4:9" x14ac:dyDescent="0.25">
      <c r="D175" t="str">
        <f>IFERROR(VLOOKUP(E175,Référentiels!$M$2:$N$267,2,FALSE),"Ingrédient non trouvé")</f>
        <v>Ingrédient non trouvé</v>
      </c>
      <c r="I175">
        <f>IFERROR(tbl_Achats[[#This Row],[Qté d''Achat]] * tbl_Achats[[#This Row],[Prix Achat Unitaire]], 0)</f>
        <v>0</v>
      </c>
    </row>
    <row r="176" spans="4:9" x14ac:dyDescent="0.25">
      <c r="D176" t="str">
        <f>IFERROR(VLOOKUP(E176,Référentiels!$M$2:$N$267,2,FALSE),"Ingrédient non trouvé")</f>
        <v>Ingrédient non trouvé</v>
      </c>
      <c r="I176">
        <f>IFERROR(tbl_Achats[[#This Row],[Qté d''Achat]] * tbl_Achats[[#This Row],[Prix Achat Unitaire]], 0)</f>
        <v>0</v>
      </c>
    </row>
    <row r="177" spans="4:9" x14ac:dyDescent="0.25">
      <c r="D177" t="str">
        <f>IFERROR(VLOOKUP(E177,Référentiels!$M$2:$N$267,2,FALSE),"Ingrédient non trouvé")</f>
        <v>Ingrédient non trouvé</v>
      </c>
      <c r="I177">
        <f>IFERROR(tbl_Achats[[#This Row],[Qté d''Achat]] * tbl_Achats[[#This Row],[Prix Achat Unitaire]], 0)</f>
        <v>0</v>
      </c>
    </row>
    <row r="178" spans="4:9" x14ac:dyDescent="0.25">
      <c r="D178" t="str">
        <f>IFERROR(VLOOKUP(E178,Référentiels!$M$2:$N$267,2,FALSE),"Ingrédient non trouvé")</f>
        <v>Ingrédient non trouvé</v>
      </c>
      <c r="I178">
        <f>IFERROR(tbl_Achats[[#This Row],[Qté d''Achat]] * tbl_Achats[[#This Row],[Prix Achat Unitaire]], 0)</f>
        <v>0</v>
      </c>
    </row>
    <row r="179" spans="4:9" x14ac:dyDescent="0.25">
      <c r="D179" t="str">
        <f>IFERROR(VLOOKUP(E179,Référentiels!$M$2:$N$267,2,FALSE),"Ingrédient non trouvé")</f>
        <v>Ingrédient non trouvé</v>
      </c>
      <c r="I179">
        <f>IFERROR(tbl_Achats[[#This Row],[Qté d''Achat]] * tbl_Achats[[#This Row],[Prix Achat Unitaire]], 0)</f>
        <v>0</v>
      </c>
    </row>
    <row r="180" spans="4:9" x14ac:dyDescent="0.25">
      <c r="D180" t="str">
        <f>IFERROR(VLOOKUP(E180,Référentiels!$M$2:$N$267,2,FALSE),"Ingrédient non trouvé")</f>
        <v>Ingrédient non trouvé</v>
      </c>
      <c r="I180">
        <f>IFERROR(tbl_Achats[[#This Row],[Qté d''Achat]] * tbl_Achats[[#This Row],[Prix Achat Unitaire]], 0)</f>
        <v>0</v>
      </c>
    </row>
    <row r="181" spans="4:9" x14ac:dyDescent="0.25">
      <c r="D181" t="str">
        <f>IFERROR(VLOOKUP(E181,Référentiels!$M$2:$N$267,2,FALSE),"Ingrédient non trouvé")</f>
        <v>Ingrédient non trouvé</v>
      </c>
      <c r="I181">
        <f>IFERROR(tbl_Achats[[#This Row],[Qté d''Achat]] * tbl_Achats[[#This Row],[Prix Achat Unitaire]], 0)</f>
        <v>0</v>
      </c>
    </row>
    <row r="182" spans="4:9" x14ac:dyDescent="0.25">
      <c r="D182" t="str">
        <f>IFERROR(VLOOKUP(E182,Référentiels!$M$2:$N$267,2,FALSE),"Ingrédient non trouvé")</f>
        <v>Ingrédient non trouvé</v>
      </c>
      <c r="I182">
        <f>IFERROR(tbl_Achats[[#This Row],[Qté d''Achat]] * tbl_Achats[[#This Row],[Prix Achat Unitaire]], 0)</f>
        <v>0</v>
      </c>
    </row>
    <row r="183" spans="4:9" x14ac:dyDescent="0.25">
      <c r="D183" t="str">
        <f>IFERROR(VLOOKUP(E183,Référentiels!$M$2:$N$267,2,FALSE),"Ingrédient non trouvé")</f>
        <v>Ingrédient non trouvé</v>
      </c>
      <c r="I183">
        <f>IFERROR(tbl_Achats[[#This Row],[Qté d''Achat]] * tbl_Achats[[#This Row],[Prix Achat Unitaire]], 0)</f>
        <v>0</v>
      </c>
    </row>
    <row r="184" spans="4:9" x14ac:dyDescent="0.25">
      <c r="D184" t="str">
        <f>IFERROR(VLOOKUP(E184,Référentiels!$M$2:$N$267,2,FALSE),"Ingrédient non trouvé")</f>
        <v>Ingrédient non trouvé</v>
      </c>
      <c r="I184">
        <f>IFERROR(tbl_Achats[[#This Row],[Qté d''Achat]] * tbl_Achats[[#This Row],[Prix Achat Unitaire]], 0)</f>
        <v>0</v>
      </c>
    </row>
    <row r="185" spans="4:9" x14ac:dyDescent="0.25">
      <c r="D185" t="str">
        <f>IFERROR(VLOOKUP(E185,Référentiels!$M$2:$N$267,2,FALSE),"Ingrédient non trouvé")</f>
        <v>Ingrédient non trouvé</v>
      </c>
      <c r="I185">
        <f>IFERROR(tbl_Achats[[#This Row],[Qté d''Achat]] * tbl_Achats[[#This Row],[Prix Achat Unitaire]], 0)</f>
        <v>0</v>
      </c>
    </row>
    <row r="186" spans="4:9" x14ac:dyDescent="0.25">
      <c r="D186" t="str">
        <f>IFERROR(VLOOKUP(E186,Référentiels!$M$2:$N$267,2,FALSE),"Ingrédient non trouvé")</f>
        <v>Ingrédient non trouvé</v>
      </c>
      <c r="I186">
        <f>IFERROR(tbl_Achats[[#This Row],[Qté d''Achat]] * tbl_Achats[[#This Row],[Prix Achat Unitaire]], 0)</f>
        <v>0</v>
      </c>
    </row>
    <row r="187" spans="4:9" x14ac:dyDescent="0.25">
      <c r="D187" t="str">
        <f>IFERROR(VLOOKUP(E187,Référentiels!$M$2:$N$267,2,FALSE),"Ingrédient non trouvé")</f>
        <v>Ingrédient non trouvé</v>
      </c>
      <c r="I187">
        <f>IFERROR(tbl_Achats[[#This Row],[Qté d''Achat]] * tbl_Achats[[#This Row],[Prix Achat Unitaire]], 0)</f>
        <v>0</v>
      </c>
    </row>
    <row r="188" spans="4:9" x14ac:dyDescent="0.25">
      <c r="D188" t="str">
        <f>IFERROR(VLOOKUP(E188,Référentiels!$M$2:$N$267,2,FALSE),"Ingrédient non trouvé")</f>
        <v>Ingrédient non trouvé</v>
      </c>
      <c r="I188">
        <f>IFERROR(tbl_Achats[[#This Row],[Qté d''Achat]] * tbl_Achats[[#This Row],[Prix Achat Unitaire]], 0)</f>
        <v>0</v>
      </c>
    </row>
    <row r="189" spans="4:9" x14ac:dyDescent="0.25">
      <c r="D189" t="str">
        <f>IFERROR(VLOOKUP(E189,Référentiels!$M$2:$N$267,2,FALSE),"Ingrédient non trouvé")</f>
        <v>Ingrédient non trouvé</v>
      </c>
      <c r="I189">
        <f>IFERROR(tbl_Achats[[#This Row],[Qté d''Achat]] * tbl_Achats[[#This Row],[Prix Achat Unitaire]], 0)</f>
        <v>0</v>
      </c>
    </row>
    <row r="190" spans="4:9" x14ac:dyDescent="0.25">
      <c r="D190" t="str">
        <f>IFERROR(VLOOKUP(E190,Référentiels!$M$2:$N$267,2,FALSE),"Ingrédient non trouvé")</f>
        <v>Ingrédient non trouvé</v>
      </c>
      <c r="I190">
        <f>IFERROR(tbl_Achats[[#This Row],[Qté d''Achat]] * tbl_Achats[[#This Row],[Prix Achat Unitaire]], 0)</f>
        <v>0</v>
      </c>
    </row>
    <row r="191" spans="4:9" x14ac:dyDescent="0.25">
      <c r="D191" t="str">
        <f>IFERROR(VLOOKUP(E191,Référentiels!$M$2:$N$267,2,FALSE),"Ingrédient non trouvé")</f>
        <v>Ingrédient non trouvé</v>
      </c>
      <c r="I191">
        <f>IFERROR(tbl_Achats[[#This Row],[Qté d''Achat]] * tbl_Achats[[#This Row],[Prix Achat Unitaire]], 0)</f>
        <v>0</v>
      </c>
    </row>
    <row r="192" spans="4:9" x14ac:dyDescent="0.25">
      <c r="D192" t="str">
        <f>IFERROR(VLOOKUP(E192,Référentiels!$M$2:$N$267,2,FALSE),"Ingrédient non trouvé")</f>
        <v>Ingrédient non trouvé</v>
      </c>
      <c r="I192">
        <f>IFERROR(tbl_Achats[[#This Row],[Qté d''Achat]] * tbl_Achats[[#This Row],[Prix Achat Unitaire]], 0)</f>
        <v>0</v>
      </c>
    </row>
    <row r="193" spans="4:9" x14ac:dyDescent="0.25">
      <c r="D193" t="str">
        <f>IFERROR(VLOOKUP(E193,Référentiels!$M$2:$N$267,2,FALSE),"Ingrédient non trouvé")</f>
        <v>Ingrédient non trouvé</v>
      </c>
      <c r="I193">
        <f>IFERROR(tbl_Achats[[#This Row],[Qté d''Achat]] * tbl_Achats[[#This Row],[Prix Achat Unitaire]], 0)</f>
        <v>0</v>
      </c>
    </row>
    <row r="194" spans="4:9" x14ac:dyDescent="0.25">
      <c r="D194" t="str">
        <f>IFERROR(VLOOKUP(E194,Référentiels!$M$2:$N$267,2,FALSE),"Ingrédient non trouvé")</f>
        <v>Ingrédient non trouvé</v>
      </c>
      <c r="I194">
        <f>IFERROR(tbl_Achats[[#This Row],[Qté d''Achat]] * tbl_Achats[[#This Row],[Prix Achat Unitaire]], 0)</f>
        <v>0</v>
      </c>
    </row>
    <row r="195" spans="4:9" x14ac:dyDescent="0.25">
      <c r="D195" t="str">
        <f>IFERROR(VLOOKUP(E195,Référentiels!$M$2:$N$267,2,FALSE),"Ingrédient non trouvé")</f>
        <v>Ingrédient non trouvé</v>
      </c>
      <c r="I195">
        <f>IFERROR(tbl_Achats[[#This Row],[Qté d''Achat]] * tbl_Achats[[#This Row],[Prix Achat Unitaire]], 0)</f>
        <v>0</v>
      </c>
    </row>
    <row r="196" spans="4:9" x14ac:dyDescent="0.25">
      <c r="D196" t="str">
        <f>IFERROR(VLOOKUP(E196,Référentiels!$M$2:$N$267,2,FALSE),"Ingrédient non trouvé")</f>
        <v>Ingrédient non trouvé</v>
      </c>
      <c r="I196">
        <f>IFERROR(tbl_Achats[[#This Row],[Qté d''Achat]] * tbl_Achats[[#This Row],[Prix Achat Unitaire]], 0)</f>
        <v>0</v>
      </c>
    </row>
    <row r="197" spans="4:9" x14ac:dyDescent="0.25">
      <c r="D197" t="str">
        <f>IFERROR(VLOOKUP(E197,Référentiels!$M$2:$N$267,2,FALSE),"Ingrédient non trouvé")</f>
        <v>Ingrédient non trouvé</v>
      </c>
      <c r="I197">
        <f>IFERROR(tbl_Achats[[#This Row],[Qté d''Achat]] * tbl_Achats[[#This Row],[Prix Achat Unitaire]], 0)</f>
        <v>0</v>
      </c>
    </row>
    <row r="198" spans="4:9" x14ac:dyDescent="0.25">
      <c r="D198" t="str">
        <f>IFERROR(VLOOKUP(E198,Référentiels!$M$2:$N$267,2,FALSE),"Ingrédient non trouvé")</f>
        <v>Ingrédient non trouvé</v>
      </c>
      <c r="I198">
        <f>IFERROR(tbl_Achats[[#This Row],[Qté d''Achat]] * tbl_Achats[[#This Row],[Prix Achat Unitaire]], 0)</f>
        <v>0</v>
      </c>
    </row>
    <row r="199" spans="4:9" x14ac:dyDescent="0.25">
      <c r="D199" t="str">
        <f>IFERROR(VLOOKUP(E199,Référentiels!$M$2:$N$267,2,FALSE),"Ingrédient non trouvé")</f>
        <v>Ingrédient non trouvé</v>
      </c>
      <c r="I199">
        <f>IFERROR(tbl_Achats[[#This Row],[Qté d''Achat]] * tbl_Achats[[#This Row],[Prix Achat Unitaire]], 0)</f>
        <v>0</v>
      </c>
    </row>
    <row r="200" spans="4:9" x14ac:dyDescent="0.25">
      <c r="D200" t="str">
        <f>IFERROR(VLOOKUP(E200,Référentiels!$M$2:$N$267,2,FALSE),"Ingrédient non trouvé")</f>
        <v>Ingrédient non trouvé</v>
      </c>
      <c r="I200">
        <f>IFERROR(tbl_Achats[[#This Row],[Qté d''Achat]] * tbl_Achats[[#This Row],[Prix Achat Unitaire]], 0)</f>
        <v>0</v>
      </c>
    </row>
    <row r="201" spans="4:9" x14ac:dyDescent="0.25">
      <c r="D201" t="str">
        <f>IFERROR(VLOOKUP(E201,Référentiels!$M$2:$N$267,2,FALSE),"Ingrédient non trouvé")</f>
        <v>Ingrédient non trouvé</v>
      </c>
      <c r="I201">
        <f>IFERROR(tbl_Achats[[#This Row],[Qté d''Achat]] * tbl_Achats[[#This Row],[Prix Achat Unitaire]], 0)</f>
        <v>0</v>
      </c>
    </row>
    <row r="202" spans="4:9" x14ac:dyDescent="0.25">
      <c r="D202" t="str">
        <f>IFERROR(VLOOKUP(E202,Référentiels!$M$2:$N$267,2,FALSE),"Ingrédient non trouvé")</f>
        <v>Ingrédient non trouvé</v>
      </c>
      <c r="I202">
        <f>IFERROR(tbl_Achats[[#This Row],[Qté d''Achat]] * tbl_Achats[[#This Row],[Prix Achat Unitaire]], 0)</f>
        <v>0</v>
      </c>
    </row>
    <row r="203" spans="4:9" x14ac:dyDescent="0.25">
      <c r="D203" t="str">
        <f>IFERROR(VLOOKUP(E203,Référentiels!$M$2:$N$267,2,FALSE),"Ingrédient non trouvé")</f>
        <v>Ingrédient non trouvé</v>
      </c>
      <c r="I203">
        <f>IFERROR(tbl_Achats[[#This Row],[Qté d''Achat]] * tbl_Achats[[#This Row],[Prix Achat Unitaire]], 0)</f>
        <v>0</v>
      </c>
    </row>
    <row r="204" spans="4:9" x14ac:dyDescent="0.25">
      <c r="D204" t="str">
        <f>IFERROR(VLOOKUP(E204,Référentiels!$M$2:$N$267,2,FALSE),"Ingrédient non trouvé")</f>
        <v>Ingrédient non trouvé</v>
      </c>
      <c r="I204">
        <f>IFERROR(tbl_Achats[[#This Row],[Qté d''Achat]] * tbl_Achats[[#This Row],[Prix Achat Unitaire]], 0)</f>
        <v>0</v>
      </c>
    </row>
    <row r="205" spans="4:9" x14ac:dyDescent="0.25">
      <c r="D205" t="str">
        <f>IFERROR(VLOOKUP(E205,Référentiels!$M$2:$N$267,2,FALSE),"Ingrédient non trouvé")</f>
        <v>Ingrédient non trouvé</v>
      </c>
      <c r="I205">
        <f>IFERROR(tbl_Achats[[#This Row],[Qté d''Achat]] * tbl_Achats[[#This Row],[Prix Achat Unitaire]], 0)</f>
        <v>0</v>
      </c>
    </row>
    <row r="206" spans="4:9" x14ac:dyDescent="0.25">
      <c r="D206" t="str">
        <f>IFERROR(VLOOKUP(E206,Référentiels!$M$2:$N$267,2,FALSE),"Ingrédient non trouvé")</f>
        <v>Ingrédient non trouvé</v>
      </c>
      <c r="I206">
        <f>IFERROR(tbl_Achats[[#This Row],[Qté d''Achat]] * tbl_Achats[[#This Row],[Prix Achat Unitaire]], 0)</f>
        <v>0</v>
      </c>
    </row>
    <row r="207" spans="4:9" x14ac:dyDescent="0.25">
      <c r="D207" t="str">
        <f>IFERROR(VLOOKUP(E207,Référentiels!$M$2:$N$267,2,FALSE),"Ingrédient non trouvé")</f>
        <v>Ingrédient non trouvé</v>
      </c>
      <c r="I207">
        <f>IFERROR(tbl_Achats[[#This Row],[Qté d''Achat]] * tbl_Achats[[#This Row],[Prix Achat Unitaire]], 0)</f>
        <v>0</v>
      </c>
    </row>
    <row r="208" spans="4:9" x14ac:dyDescent="0.25">
      <c r="D208" t="str">
        <f>IFERROR(VLOOKUP(E208,Référentiels!$M$2:$N$267,2,FALSE),"Ingrédient non trouvé")</f>
        <v>Ingrédient non trouvé</v>
      </c>
      <c r="I208">
        <f>IFERROR(tbl_Achats[[#This Row],[Qté d''Achat]] * tbl_Achats[[#This Row],[Prix Achat Unitaire]], 0)</f>
        <v>0</v>
      </c>
    </row>
    <row r="209" spans="4:9" x14ac:dyDescent="0.25">
      <c r="D209" t="str">
        <f>IFERROR(VLOOKUP(E209,Référentiels!$M$2:$N$267,2,FALSE),"Ingrédient non trouvé")</f>
        <v>Ingrédient non trouvé</v>
      </c>
      <c r="I209">
        <f>IFERROR(tbl_Achats[[#This Row],[Qté d''Achat]] * tbl_Achats[[#This Row],[Prix Achat Unitaire]], 0)</f>
        <v>0</v>
      </c>
    </row>
    <row r="210" spans="4:9" x14ac:dyDescent="0.25">
      <c r="D210" t="str">
        <f>IFERROR(VLOOKUP(E210,Référentiels!$M$2:$N$267,2,FALSE),"Ingrédient non trouvé")</f>
        <v>Ingrédient non trouvé</v>
      </c>
      <c r="I210">
        <f>IFERROR(tbl_Achats[[#This Row],[Qté d''Achat]] * tbl_Achats[[#This Row],[Prix Achat Unitaire]], 0)</f>
        <v>0</v>
      </c>
    </row>
    <row r="211" spans="4:9" x14ac:dyDescent="0.25">
      <c r="D211" t="str">
        <f>IFERROR(VLOOKUP(E211,Référentiels!$M$2:$N$267,2,FALSE),"Ingrédient non trouvé")</f>
        <v>Ingrédient non trouvé</v>
      </c>
      <c r="I211">
        <f>IFERROR(tbl_Achats[[#This Row],[Qté d''Achat]] * tbl_Achats[[#This Row],[Prix Achat Unitaire]], 0)</f>
        <v>0</v>
      </c>
    </row>
    <row r="212" spans="4:9" x14ac:dyDescent="0.25">
      <c r="D212" t="str">
        <f>IFERROR(VLOOKUP(E212,Référentiels!$M$2:$N$267,2,FALSE),"Ingrédient non trouvé")</f>
        <v>Ingrédient non trouvé</v>
      </c>
      <c r="I212">
        <f>IFERROR(tbl_Achats[[#This Row],[Qté d''Achat]] * tbl_Achats[[#This Row],[Prix Achat Unitaire]], 0)</f>
        <v>0</v>
      </c>
    </row>
    <row r="213" spans="4:9" x14ac:dyDescent="0.25">
      <c r="D213" t="str">
        <f>IFERROR(VLOOKUP(E213,Référentiels!$M$2:$N$267,2,FALSE),"Ingrédient non trouvé")</f>
        <v>Ingrédient non trouvé</v>
      </c>
      <c r="I213">
        <f>IFERROR(tbl_Achats[[#This Row],[Qté d''Achat]] * tbl_Achats[[#This Row],[Prix Achat Unitaire]], 0)</f>
        <v>0</v>
      </c>
    </row>
    <row r="214" spans="4:9" x14ac:dyDescent="0.25">
      <c r="D214" t="str">
        <f>IFERROR(VLOOKUP(E214,Référentiels!$M$2:$N$267,2,FALSE),"Ingrédient non trouvé")</f>
        <v>Ingrédient non trouvé</v>
      </c>
      <c r="I214">
        <f>IFERROR(tbl_Achats[[#This Row],[Qté d''Achat]] * tbl_Achats[[#This Row],[Prix Achat Unitaire]], 0)</f>
        <v>0</v>
      </c>
    </row>
    <row r="215" spans="4:9" x14ac:dyDescent="0.25">
      <c r="D215" t="str">
        <f>IFERROR(VLOOKUP(E215,Référentiels!$M$2:$N$267,2,FALSE),"Ingrédient non trouvé")</f>
        <v>Ingrédient non trouvé</v>
      </c>
      <c r="I215">
        <f>IFERROR(tbl_Achats[[#This Row],[Qté d''Achat]] * tbl_Achats[[#This Row],[Prix Achat Unitaire]], 0)</f>
        <v>0</v>
      </c>
    </row>
    <row r="216" spans="4:9" x14ac:dyDescent="0.25">
      <c r="D216" t="str">
        <f>IFERROR(VLOOKUP(E216,Référentiels!$M$2:$N$267,2,FALSE),"Ingrédient non trouvé")</f>
        <v>Ingrédient non trouvé</v>
      </c>
      <c r="I216">
        <f>IFERROR(tbl_Achats[[#This Row],[Qté d''Achat]] * tbl_Achats[[#This Row],[Prix Achat Unitaire]], 0)</f>
        <v>0</v>
      </c>
    </row>
    <row r="217" spans="4:9" x14ac:dyDescent="0.25">
      <c r="D217" t="str">
        <f>IFERROR(VLOOKUP(E217,Référentiels!$M$2:$N$267,2,FALSE),"Ingrédient non trouvé")</f>
        <v>Ingrédient non trouvé</v>
      </c>
      <c r="I217">
        <f>IFERROR(tbl_Achats[[#This Row],[Qté d''Achat]] * tbl_Achats[[#This Row],[Prix Achat Unitaire]], 0)</f>
        <v>0</v>
      </c>
    </row>
    <row r="218" spans="4:9" x14ac:dyDescent="0.25">
      <c r="D218" t="str">
        <f>IFERROR(VLOOKUP(E218,Référentiels!$M$2:$N$267,2,FALSE),"Ingrédient non trouvé")</f>
        <v>Ingrédient non trouvé</v>
      </c>
      <c r="I218">
        <f>IFERROR(tbl_Achats[[#This Row],[Qté d''Achat]] * tbl_Achats[[#This Row],[Prix Achat Unitaire]], 0)</f>
        <v>0</v>
      </c>
    </row>
    <row r="219" spans="4:9" x14ac:dyDescent="0.25">
      <c r="D219" t="str">
        <f>IFERROR(VLOOKUP(E219,Référentiels!$M$2:$N$267,2,FALSE),"Ingrédient non trouvé")</f>
        <v>Ingrédient non trouvé</v>
      </c>
      <c r="I219">
        <f>IFERROR(tbl_Achats[[#This Row],[Qté d''Achat]] * tbl_Achats[[#This Row],[Prix Achat Unitaire]], 0)</f>
        <v>0</v>
      </c>
    </row>
    <row r="220" spans="4:9" x14ac:dyDescent="0.25">
      <c r="D220" t="str">
        <f>IFERROR(VLOOKUP(E220,Référentiels!$M$2:$N$267,2,FALSE),"Ingrédient non trouvé")</f>
        <v>Ingrédient non trouvé</v>
      </c>
      <c r="I220">
        <f>IFERROR(tbl_Achats[[#This Row],[Qté d''Achat]] * tbl_Achats[[#This Row],[Prix Achat Unitaire]], 0)</f>
        <v>0</v>
      </c>
    </row>
    <row r="221" spans="4:9" x14ac:dyDescent="0.25">
      <c r="D221" t="str">
        <f>IFERROR(VLOOKUP(E221,Référentiels!$M$2:$N$267,2,FALSE),"Ingrédient non trouvé")</f>
        <v>Ingrédient non trouvé</v>
      </c>
      <c r="I221">
        <f>IFERROR(tbl_Achats[[#This Row],[Qté d''Achat]] * tbl_Achats[[#This Row],[Prix Achat Unitaire]], 0)</f>
        <v>0</v>
      </c>
    </row>
    <row r="222" spans="4:9" x14ac:dyDescent="0.25">
      <c r="D222" t="str">
        <f>IFERROR(VLOOKUP(E222,Référentiels!$M$2:$N$267,2,FALSE),"Ingrédient non trouvé")</f>
        <v>Ingrédient non trouvé</v>
      </c>
      <c r="I222">
        <f>IFERROR(tbl_Achats[[#This Row],[Qté d''Achat]] * tbl_Achats[[#This Row],[Prix Achat Unitaire]], 0)</f>
        <v>0</v>
      </c>
    </row>
    <row r="223" spans="4:9" x14ac:dyDescent="0.25">
      <c r="D223" t="str">
        <f>IFERROR(VLOOKUP(E223,Référentiels!$M$2:$N$267,2,FALSE),"Ingrédient non trouvé")</f>
        <v>Ingrédient non trouvé</v>
      </c>
      <c r="I223">
        <f>IFERROR(tbl_Achats[[#This Row],[Qté d''Achat]] * tbl_Achats[[#This Row],[Prix Achat Unitaire]], 0)</f>
        <v>0</v>
      </c>
    </row>
    <row r="224" spans="4:9" x14ac:dyDescent="0.25">
      <c r="D224" t="str">
        <f>IFERROR(VLOOKUP(E224,Référentiels!$M$2:$N$267,2,FALSE),"Ingrédient non trouvé")</f>
        <v>Ingrédient non trouvé</v>
      </c>
      <c r="I224">
        <f>IFERROR(tbl_Achats[[#This Row],[Qté d''Achat]] * tbl_Achats[[#This Row],[Prix Achat Unitaire]], 0)</f>
        <v>0</v>
      </c>
    </row>
    <row r="225" spans="4:9" x14ac:dyDescent="0.25">
      <c r="D225" t="str">
        <f>IFERROR(VLOOKUP(E225,Référentiels!$M$2:$N$267,2,FALSE),"Ingrédient non trouvé")</f>
        <v>Ingrédient non trouvé</v>
      </c>
      <c r="I225">
        <f>IFERROR(tbl_Achats[[#This Row],[Qté d''Achat]] * tbl_Achats[[#This Row],[Prix Achat Unitaire]], 0)</f>
        <v>0</v>
      </c>
    </row>
    <row r="226" spans="4:9" x14ac:dyDescent="0.25">
      <c r="D226" t="str">
        <f>IFERROR(VLOOKUP(E226,Référentiels!$M$2:$N$267,2,FALSE),"Ingrédient non trouvé")</f>
        <v>Ingrédient non trouvé</v>
      </c>
      <c r="I226">
        <f>IFERROR(tbl_Achats[[#This Row],[Qté d''Achat]] * tbl_Achats[[#This Row],[Prix Achat Unitaire]], 0)</f>
        <v>0</v>
      </c>
    </row>
    <row r="227" spans="4:9" x14ac:dyDescent="0.25">
      <c r="D227" t="str">
        <f>IFERROR(VLOOKUP(E227,Référentiels!$M$2:$N$267,2,FALSE),"Ingrédient non trouvé")</f>
        <v>Ingrédient non trouvé</v>
      </c>
      <c r="I227">
        <f>IFERROR(tbl_Achats[[#This Row],[Qté d''Achat]] * tbl_Achats[[#This Row],[Prix Achat Unitaire]], 0)</f>
        <v>0</v>
      </c>
    </row>
    <row r="228" spans="4:9" x14ac:dyDescent="0.25">
      <c r="D228" t="str">
        <f>IFERROR(VLOOKUP(E228,Référentiels!$M$2:$N$267,2,FALSE),"Ingrédient non trouvé")</f>
        <v>Ingrédient non trouvé</v>
      </c>
      <c r="I228">
        <f>IFERROR(tbl_Achats[[#This Row],[Qté d''Achat]] * tbl_Achats[[#This Row],[Prix Achat Unitaire]], 0)</f>
        <v>0</v>
      </c>
    </row>
    <row r="229" spans="4:9" x14ac:dyDescent="0.25">
      <c r="D229" t="str">
        <f>IFERROR(VLOOKUP(E229,Référentiels!$M$2:$N$267,2,FALSE),"Ingrédient non trouvé")</f>
        <v>Ingrédient non trouvé</v>
      </c>
      <c r="I229">
        <f>IFERROR(tbl_Achats[[#This Row],[Qté d''Achat]] * tbl_Achats[[#This Row],[Prix Achat Unitaire]], 0)</f>
        <v>0</v>
      </c>
    </row>
    <row r="230" spans="4:9" x14ac:dyDescent="0.25">
      <c r="D230" t="str">
        <f>IFERROR(VLOOKUP(E230,Référentiels!$M$2:$N$267,2,FALSE),"Ingrédient non trouvé")</f>
        <v>Ingrédient non trouvé</v>
      </c>
      <c r="I230">
        <f>IFERROR(tbl_Achats[[#This Row],[Qté d''Achat]] * tbl_Achats[[#This Row],[Prix Achat Unitaire]], 0)</f>
        <v>0</v>
      </c>
    </row>
    <row r="231" spans="4:9" x14ac:dyDescent="0.25">
      <c r="D231" t="str">
        <f>IFERROR(VLOOKUP(E231,Référentiels!$M$2:$N$267,2,FALSE),"Ingrédient non trouvé")</f>
        <v>Ingrédient non trouvé</v>
      </c>
      <c r="I231">
        <f>IFERROR(tbl_Achats[[#This Row],[Qté d''Achat]] * tbl_Achats[[#This Row],[Prix Achat Unitaire]], 0)</f>
        <v>0</v>
      </c>
    </row>
    <row r="232" spans="4:9" x14ac:dyDescent="0.25">
      <c r="D232" t="str">
        <f>IFERROR(VLOOKUP(E232,Référentiels!$M$2:$N$267,2,FALSE),"Ingrédient non trouvé")</f>
        <v>Ingrédient non trouvé</v>
      </c>
      <c r="I232">
        <f>IFERROR(tbl_Achats[[#This Row],[Qté d''Achat]] * tbl_Achats[[#This Row],[Prix Achat Unitaire]], 0)</f>
        <v>0</v>
      </c>
    </row>
    <row r="233" spans="4:9" x14ac:dyDescent="0.25">
      <c r="D233" t="str">
        <f>IFERROR(VLOOKUP(E233,Référentiels!$M$2:$N$267,2,FALSE),"Ingrédient non trouvé")</f>
        <v>Ingrédient non trouvé</v>
      </c>
      <c r="I233">
        <f>IFERROR(tbl_Achats[[#This Row],[Qté d''Achat]] * tbl_Achats[[#This Row],[Prix Achat Unitaire]], 0)</f>
        <v>0</v>
      </c>
    </row>
    <row r="234" spans="4:9" x14ac:dyDescent="0.25">
      <c r="D234" t="str">
        <f>IFERROR(VLOOKUP(E234,Référentiels!$M$2:$N$267,2,FALSE),"Ingrédient non trouvé")</f>
        <v>Ingrédient non trouvé</v>
      </c>
      <c r="I234">
        <f>IFERROR(tbl_Achats[[#This Row],[Qté d''Achat]] * tbl_Achats[[#This Row],[Prix Achat Unitaire]], 0)</f>
        <v>0</v>
      </c>
    </row>
    <row r="235" spans="4:9" x14ac:dyDescent="0.25">
      <c r="D235" t="str">
        <f>IFERROR(VLOOKUP(E235,Référentiels!$M$2:$N$267,2,FALSE),"Ingrédient non trouvé")</f>
        <v>Ingrédient non trouvé</v>
      </c>
      <c r="I235">
        <f>IFERROR(tbl_Achats[[#This Row],[Qté d''Achat]] * tbl_Achats[[#This Row],[Prix Achat Unitaire]], 0)</f>
        <v>0</v>
      </c>
    </row>
    <row r="236" spans="4:9" x14ac:dyDescent="0.25">
      <c r="D236" t="str">
        <f>IFERROR(VLOOKUP(E236,Référentiels!$M$2:$N$267,2,FALSE),"Ingrédient non trouvé")</f>
        <v>Ingrédient non trouvé</v>
      </c>
      <c r="I236">
        <f>IFERROR(tbl_Achats[[#This Row],[Qté d''Achat]] * tbl_Achats[[#This Row],[Prix Achat Unitaire]], 0)</f>
        <v>0</v>
      </c>
    </row>
    <row r="237" spans="4:9" x14ac:dyDescent="0.25">
      <c r="D237" t="str">
        <f>IFERROR(VLOOKUP(E237,Référentiels!$M$2:$N$267,2,FALSE),"Ingrédient non trouvé")</f>
        <v>Ingrédient non trouvé</v>
      </c>
      <c r="I237">
        <f>IFERROR(tbl_Achats[[#This Row],[Qté d''Achat]] * tbl_Achats[[#This Row],[Prix Achat Unitaire]], 0)</f>
        <v>0</v>
      </c>
    </row>
    <row r="238" spans="4:9" x14ac:dyDescent="0.25">
      <c r="D238" t="str">
        <f>IFERROR(VLOOKUP(E238,Référentiels!$M$2:$N$267,2,FALSE),"Ingrédient non trouvé")</f>
        <v>Ingrédient non trouvé</v>
      </c>
      <c r="I238">
        <f>IFERROR(tbl_Achats[[#This Row],[Qté d''Achat]] * tbl_Achats[[#This Row],[Prix Achat Unitaire]], 0)</f>
        <v>0</v>
      </c>
    </row>
    <row r="239" spans="4:9" x14ac:dyDescent="0.25">
      <c r="D239" t="str">
        <f>IFERROR(VLOOKUP(E239,Référentiels!$M$2:$N$267,2,FALSE),"Ingrédient non trouvé")</f>
        <v>Ingrédient non trouvé</v>
      </c>
      <c r="I239">
        <f>IFERROR(tbl_Achats[[#This Row],[Qté d''Achat]] * tbl_Achats[[#This Row],[Prix Achat Unitaire]], 0)</f>
        <v>0</v>
      </c>
    </row>
    <row r="240" spans="4:9" x14ac:dyDescent="0.25">
      <c r="D240" t="str">
        <f>IFERROR(VLOOKUP(E240,Référentiels!$M$2:$N$267,2,FALSE),"Ingrédient non trouvé")</f>
        <v>Ingrédient non trouvé</v>
      </c>
      <c r="I240">
        <f>IFERROR(tbl_Achats[[#This Row],[Qté d''Achat]] * tbl_Achats[[#This Row],[Prix Achat Unitaire]], 0)</f>
        <v>0</v>
      </c>
    </row>
    <row r="241" spans="4:9" x14ac:dyDescent="0.25">
      <c r="D241" t="str">
        <f>IFERROR(VLOOKUP(E241,Référentiels!$M$2:$N$267,2,FALSE),"Ingrédient non trouvé")</f>
        <v>Ingrédient non trouvé</v>
      </c>
      <c r="I241">
        <f>IFERROR(tbl_Achats[[#This Row],[Qté d''Achat]] * tbl_Achats[[#This Row],[Prix Achat Unitaire]], 0)</f>
        <v>0</v>
      </c>
    </row>
    <row r="242" spans="4:9" x14ac:dyDescent="0.25">
      <c r="D242" t="str">
        <f>IFERROR(VLOOKUP(E242,Référentiels!$M$2:$N$267,2,FALSE),"Ingrédient non trouvé")</f>
        <v>Ingrédient non trouvé</v>
      </c>
      <c r="I242">
        <f>IFERROR(tbl_Achats[[#This Row],[Qté d''Achat]] * tbl_Achats[[#This Row],[Prix Achat Unitaire]], 0)</f>
        <v>0</v>
      </c>
    </row>
    <row r="243" spans="4:9" x14ac:dyDescent="0.25">
      <c r="D243" t="str">
        <f>IFERROR(VLOOKUP(E243,Référentiels!$M$2:$N$267,2,FALSE),"Ingrédient non trouvé")</f>
        <v>Ingrédient non trouvé</v>
      </c>
      <c r="I243">
        <f>IFERROR(tbl_Achats[[#This Row],[Qté d''Achat]] * tbl_Achats[[#This Row],[Prix Achat Unitaire]], 0)</f>
        <v>0</v>
      </c>
    </row>
    <row r="244" spans="4:9" x14ac:dyDescent="0.25">
      <c r="D244" t="str">
        <f>IFERROR(VLOOKUP(E244,Référentiels!$M$2:$N$267,2,FALSE),"Ingrédient non trouvé")</f>
        <v>Ingrédient non trouvé</v>
      </c>
      <c r="I244">
        <f>IFERROR(tbl_Achats[[#This Row],[Qté d''Achat]] * tbl_Achats[[#This Row],[Prix Achat Unitaire]], 0)</f>
        <v>0</v>
      </c>
    </row>
    <row r="245" spans="4:9" x14ac:dyDescent="0.25">
      <c r="D245" t="str">
        <f>IFERROR(VLOOKUP(E245,Référentiels!$M$2:$N$267,2,FALSE),"Ingrédient non trouvé")</f>
        <v>Ingrédient non trouvé</v>
      </c>
      <c r="I245">
        <f>IFERROR(tbl_Achats[[#This Row],[Qté d''Achat]] * tbl_Achats[[#This Row],[Prix Achat Unitaire]], 0)</f>
        <v>0</v>
      </c>
    </row>
    <row r="246" spans="4:9" x14ac:dyDescent="0.25">
      <c r="D246" t="str">
        <f>IFERROR(VLOOKUP(E246,Référentiels!$M$2:$N$267,2,FALSE),"Ingrédient non trouvé")</f>
        <v>Ingrédient non trouvé</v>
      </c>
      <c r="I246">
        <f>IFERROR(tbl_Achats[[#This Row],[Qté d''Achat]] * tbl_Achats[[#This Row],[Prix Achat Unitaire]], 0)</f>
        <v>0</v>
      </c>
    </row>
    <row r="247" spans="4:9" x14ac:dyDescent="0.25">
      <c r="D247" t="str">
        <f>IFERROR(VLOOKUP(E247,Référentiels!$M$2:$N$267,2,FALSE),"Ingrédient non trouvé")</f>
        <v>Ingrédient non trouvé</v>
      </c>
      <c r="I247">
        <f>IFERROR(tbl_Achats[[#This Row],[Qté d''Achat]] * tbl_Achats[[#This Row],[Prix Achat Unitaire]], 0)</f>
        <v>0</v>
      </c>
    </row>
    <row r="248" spans="4:9" x14ac:dyDescent="0.25">
      <c r="D248" t="str">
        <f>IFERROR(VLOOKUP(E248,Référentiels!$M$2:$N$267,2,FALSE),"Ingrédient non trouvé")</f>
        <v>Ingrédient non trouvé</v>
      </c>
      <c r="I248">
        <f>IFERROR(tbl_Achats[[#This Row],[Qté d''Achat]] * tbl_Achats[[#This Row],[Prix Achat Unitaire]], 0)</f>
        <v>0</v>
      </c>
    </row>
    <row r="249" spans="4:9" x14ac:dyDescent="0.25">
      <c r="D249" t="str">
        <f>IFERROR(VLOOKUP(E249,Référentiels!$M$2:$N$267,2,FALSE),"Ingrédient non trouvé")</f>
        <v>Ingrédient non trouvé</v>
      </c>
      <c r="I249">
        <f>IFERROR(tbl_Achats[[#This Row],[Qté d''Achat]] * tbl_Achats[[#This Row],[Prix Achat Unitaire]], 0)</f>
        <v>0</v>
      </c>
    </row>
    <row r="250" spans="4:9" x14ac:dyDescent="0.25">
      <c r="D250" t="str">
        <f>IFERROR(VLOOKUP(E250,Référentiels!$M$2:$N$267,2,FALSE),"Ingrédient non trouvé")</f>
        <v>Ingrédient non trouvé</v>
      </c>
      <c r="I250">
        <f>IFERROR(tbl_Achats[[#This Row],[Qté d''Achat]] * tbl_Achats[[#This Row],[Prix Achat Unitaire]], 0)</f>
        <v>0</v>
      </c>
    </row>
    <row r="251" spans="4:9" x14ac:dyDescent="0.25">
      <c r="D251" t="str">
        <f>IFERROR(VLOOKUP(E251,Référentiels!$M$2:$N$267,2,FALSE),"Ingrédient non trouvé")</f>
        <v>Ingrédient non trouvé</v>
      </c>
      <c r="I251">
        <f>IFERROR(tbl_Achats[[#This Row],[Qté d''Achat]] * tbl_Achats[[#This Row],[Prix Achat Unitaire]], 0)</f>
        <v>0</v>
      </c>
    </row>
    <row r="252" spans="4:9" x14ac:dyDescent="0.25">
      <c r="D252" t="str">
        <f>IFERROR(VLOOKUP(E252,Référentiels!$M$2:$N$267,2,FALSE),"Ingrédient non trouvé")</f>
        <v>Ingrédient non trouvé</v>
      </c>
      <c r="I252">
        <f>IFERROR(tbl_Achats[[#This Row],[Qté d''Achat]] * tbl_Achats[[#This Row],[Prix Achat Unitaire]], 0)</f>
        <v>0</v>
      </c>
    </row>
    <row r="253" spans="4:9" x14ac:dyDescent="0.25">
      <c r="D253" t="str">
        <f>IFERROR(VLOOKUP(E253,Référentiels!$M$2:$N$267,2,FALSE),"Ingrédient non trouvé")</f>
        <v>Ingrédient non trouvé</v>
      </c>
      <c r="I253">
        <f>IFERROR(tbl_Achats[[#This Row],[Qté d''Achat]] * tbl_Achats[[#This Row],[Prix Achat Unitaire]], 0)</f>
        <v>0</v>
      </c>
    </row>
    <row r="254" spans="4:9" x14ac:dyDescent="0.25">
      <c r="D254" t="str">
        <f>IFERROR(VLOOKUP(E254,Référentiels!$M$2:$N$267,2,FALSE),"Ingrédient non trouvé")</f>
        <v>Ingrédient non trouvé</v>
      </c>
      <c r="I254">
        <f>IFERROR(tbl_Achats[[#This Row],[Qté d''Achat]] * tbl_Achats[[#This Row],[Prix Achat Unitaire]], 0)</f>
        <v>0</v>
      </c>
    </row>
    <row r="255" spans="4:9" x14ac:dyDescent="0.25">
      <c r="D255" t="str">
        <f>IFERROR(VLOOKUP(E255,Référentiels!$M$2:$N$267,2,FALSE),"Ingrédient non trouvé")</f>
        <v>Ingrédient non trouvé</v>
      </c>
      <c r="I255">
        <f>IFERROR(tbl_Achats[[#This Row],[Qté d''Achat]] * tbl_Achats[[#This Row],[Prix Achat Unitaire]], 0)</f>
        <v>0</v>
      </c>
    </row>
    <row r="256" spans="4:9" x14ac:dyDescent="0.25">
      <c r="D256" t="str">
        <f>IFERROR(VLOOKUP(E256,Référentiels!$M$2:$N$267,2,FALSE),"Ingrédient non trouvé")</f>
        <v>Ingrédient non trouvé</v>
      </c>
      <c r="I256">
        <f>IFERROR(tbl_Achats[[#This Row],[Qté d''Achat]] * tbl_Achats[[#This Row],[Prix Achat Unitaire]], 0)</f>
        <v>0</v>
      </c>
    </row>
    <row r="257" spans="4:9" x14ac:dyDescent="0.25">
      <c r="D257" t="str">
        <f>IFERROR(VLOOKUP(E257,Référentiels!$M$2:$N$267,2,FALSE),"Ingrédient non trouvé")</f>
        <v>Ingrédient non trouvé</v>
      </c>
      <c r="I257">
        <f>IFERROR(tbl_Achats[[#This Row],[Qté d''Achat]] * tbl_Achats[[#This Row],[Prix Achat Unitaire]], 0)</f>
        <v>0</v>
      </c>
    </row>
    <row r="258" spans="4:9" x14ac:dyDescent="0.25">
      <c r="D258" t="str">
        <f>IFERROR(VLOOKUP(E258,Référentiels!$M$2:$N$267,2,FALSE),"Ingrédient non trouvé")</f>
        <v>Ingrédient non trouvé</v>
      </c>
      <c r="I258">
        <f>IFERROR(tbl_Achats[[#This Row],[Qté d''Achat]] * tbl_Achats[[#This Row],[Prix Achat Unitaire]], 0)</f>
        <v>0</v>
      </c>
    </row>
    <row r="259" spans="4:9" x14ac:dyDescent="0.25">
      <c r="D259" t="str">
        <f>IFERROR(VLOOKUP(E259,Référentiels!$M$2:$N$267,2,FALSE),"Ingrédient non trouvé")</f>
        <v>Ingrédient non trouvé</v>
      </c>
      <c r="I259">
        <f>IFERROR(tbl_Achats[[#This Row],[Qté d''Achat]] * tbl_Achats[[#This Row],[Prix Achat Unitaire]], 0)</f>
        <v>0</v>
      </c>
    </row>
    <row r="260" spans="4:9" x14ac:dyDescent="0.25">
      <c r="D260" t="str">
        <f>IFERROR(VLOOKUP(E260,Référentiels!$M$2:$N$267,2,FALSE),"Ingrédient non trouvé")</f>
        <v>Ingrédient non trouvé</v>
      </c>
      <c r="I260">
        <f>IFERROR(tbl_Achats[[#This Row],[Qté d''Achat]] * tbl_Achats[[#This Row],[Prix Achat Unitaire]], 0)</f>
        <v>0</v>
      </c>
    </row>
    <row r="261" spans="4:9" x14ac:dyDescent="0.25">
      <c r="D261" t="str">
        <f>IFERROR(VLOOKUP(E261,Référentiels!$M$2:$N$267,2,FALSE),"Ingrédient non trouvé")</f>
        <v>Ingrédient non trouvé</v>
      </c>
      <c r="I261">
        <f>IFERROR(tbl_Achats[[#This Row],[Qté d''Achat]] * tbl_Achats[[#This Row],[Prix Achat Unitaire]], 0)</f>
        <v>0</v>
      </c>
    </row>
    <row r="262" spans="4:9" x14ac:dyDescent="0.25">
      <c r="D262" t="str">
        <f>IFERROR(VLOOKUP(E262,Référentiels!$M$2:$N$267,2,FALSE),"Ingrédient non trouvé")</f>
        <v>Ingrédient non trouvé</v>
      </c>
      <c r="I262">
        <f>IFERROR(tbl_Achats[[#This Row],[Qté d''Achat]] * tbl_Achats[[#This Row],[Prix Achat Unitaire]], 0)</f>
        <v>0</v>
      </c>
    </row>
    <row r="263" spans="4:9" x14ac:dyDescent="0.25">
      <c r="D263" t="str">
        <f>IFERROR(VLOOKUP(E263,Référentiels!$M$2:$N$267,2,FALSE),"Ingrédient non trouvé")</f>
        <v>Ingrédient non trouvé</v>
      </c>
      <c r="I263">
        <f>IFERROR(tbl_Achats[[#This Row],[Qté d''Achat]] * tbl_Achats[[#This Row],[Prix Achat Unitaire]], 0)</f>
        <v>0</v>
      </c>
    </row>
    <row r="264" spans="4:9" x14ac:dyDescent="0.25">
      <c r="D264" t="str">
        <f>IFERROR(VLOOKUP(E264,Référentiels!$M$2:$N$267,2,FALSE),"Ingrédient non trouvé")</f>
        <v>Ingrédient non trouvé</v>
      </c>
      <c r="I264">
        <f>IFERROR(tbl_Achats[[#This Row],[Qté d''Achat]] * tbl_Achats[[#This Row],[Prix Achat Unitaire]], 0)</f>
        <v>0</v>
      </c>
    </row>
    <row r="265" spans="4:9" x14ac:dyDescent="0.25">
      <c r="D265" t="str">
        <f>IFERROR(VLOOKUP(E265,Référentiels!$M$2:$N$267,2,FALSE),"Ingrédient non trouvé")</f>
        <v>Ingrédient non trouvé</v>
      </c>
      <c r="I265">
        <f>IFERROR(tbl_Achats[[#This Row],[Qté d''Achat]] * tbl_Achats[[#This Row],[Prix Achat Unitaire]], 0)</f>
        <v>0</v>
      </c>
    </row>
    <row r="266" spans="4:9" x14ac:dyDescent="0.25">
      <c r="D266" t="str">
        <f>IFERROR(VLOOKUP(E266,Référentiels!$M$2:$N$267,2,FALSE),"Ingrédient non trouvé")</f>
        <v>Ingrédient non trouvé</v>
      </c>
      <c r="I266">
        <f>IFERROR(tbl_Achats[[#This Row],[Qté d''Achat]] * tbl_Achats[[#This Row],[Prix Achat Unitaire]], 0)</f>
        <v>0</v>
      </c>
    </row>
    <row r="267" spans="4:9" x14ac:dyDescent="0.25">
      <c r="D267" t="str">
        <f>IFERROR(VLOOKUP(E267,Référentiels!$M$2:$N$267,2,FALSE),"Ingrédient non trouvé")</f>
        <v>Ingrédient non trouvé</v>
      </c>
      <c r="I267">
        <f>IFERROR(tbl_Achats[[#This Row],[Qté d''Achat]] * tbl_Achats[[#This Row],[Prix Achat Unitaire]], 0)</f>
        <v>0</v>
      </c>
    </row>
    <row r="268" spans="4:9" x14ac:dyDescent="0.25">
      <c r="D268" t="str">
        <f>IFERROR(VLOOKUP(E268,Référentiels!$M$2:$N$267,2,FALSE),"Ingrédient non trouvé")</f>
        <v>Ingrédient non trouvé</v>
      </c>
      <c r="I268">
        <f>IFERROR(tbl_Achats[[#This Row],[Qté d''Achat]] * tbl_Achats[[#This Row],[Prix Achat Unitaire]], 0)</f>
        <v>0</v>
      </c>
    </row>
    <row r="269" spans="4:9" x14ac:dyDescent="0.25">
      <c r="D269" t="str">
        <f>IFERROR(VLOOKUP(E269,Référentiels!$M$2:$N$267,2,FALSE),"Ingrédient non trouvé")</f>
        <v>Ingrédient non trouvé</v>
      </c>
      <c r="I269">
        <f>IFERROR(tbl_Achats[[#This Row],[Qté d''Achat]] * tbl_Achats[[#This Row],[Prix Achat Unitaire]], 0)</f>
        <v>0</v>
      </c>
    </row>
    <row r="270" spans="4:9" x14ac:dyDescent="0.25">
      <c r="D270" t="str">
        <f>IFERROR(VLOOKUP(E270,Référentiels!$M$2:$N$267,2,FALSE),"Ingrédient non trouvé")</f>
        <v>Ingrédient non trouvé</v>
      </c>
      <c r="I270">
        <f>IFERROR(tbl_Achats[[#This Row],[Qté d''Achat]] * tbl_Achats[[#This Row],[Prix Achat Unitaire]], 0)</f>
        <v>0</v>
      </c>
    </row>
    <row r="271" spans="4:9" x14ac:dyDescent="0.25">
      <c r="D271" t="str">
        <f>IFERROR(VLOOKUP(E271,Référentiels!$M$2:$N$267,2,FALSE),"Ingrédient non trouvé")</f>
        <v>Ingrédient non trouvé</v>
      </c>
      <c r="I271">
        <f>IFERROR(tbl_Achats[[#This Row],[Qté d''Achat]] * tbl_Achats[[#This Row],[Prix Achat Unitaire]], 0)</f>
        <v>0</v>
      </c>
    </row>
    <row r="272" spans="4:9" x14ac:dyDescent="0.25">
      <c r="D272" t="str">
        <f>IFERROR(VLOOKUP(E272,Référentiels!$M$2:$N$267,2,FALSE),"Ingrédient non trouvé")</f>
        <v>Ingrédient non trouvé</v>
      </c>
      <c r="I272">
        <f>IFERROR(tbl_Achats[[#This Row],[Qté d''Achat]] * tbl_Achats[[#This Row],[Prix Achat Unitaire]], 0)</f>
        <v>0</v>
      </c>
    </row>
    <row r="273" spans="4:9" x14ac:dyDescent="0.25">
      <c r="D273" t="str">
        <f>IFERROR(VLOOKUP(E273,Référentiels!$M$2:$N$267,2,FALSE),"Ingrédient non trouvé")</f>
        <v>Ingrédient non trouvé</v>
      </c>
      <c r="I273">
        <f>IFERROR(tbl_Achats[[#This Row],[Qté d''Achat]] * tbl_Achats[[#This Row],[Prix Achat Unitaire]], 0)</f>
        <v>0</v>
      </c>
    </row>
    <row r="274" spans="4:9" x14ac:dyDescent="0.25">
      <c r="D274" t="str">
        <f>IFERROR(VLOOKUP(E274,Référentiels!$M$2:$N$267,2,FALSE),"Ingrédient non trouvé")</f>
        <v>Ingrédient non trouvé</v>
      </c>
      <c r="I274">
        <f>IFERROR(tbl_Achats[[#This Row],[Qté d''Achat]] * tbl_Achats[[#This Row],[Prix Achat Unitaire]], 0)</f>
        <v>0</v>
      </c>
    </row>
    <row r="275" spans="4:9" x14ac:dyDescent="0.25">
      <c r="D275" t="str">
        <f>IFERROR(VLOOKUP(E275,Référentiels!$M$2:$N$267,2,FALSE),"Ingrédient non trouvé")</f>
        <v>Ingrédient non trouvé</v>
      </c>
      <c r="I275">
        <f>IFERROR(tbl_Achats[[#This Row],[Qté d''Achat]] * tbl_Achats[[#This Row],[Prix Achat Unitaire]], 0)</f>
        <v>0</v>
      </c>
    </row>
    <row r="276" spans="4:9" x14ac:dyDescent="0.25">
      <c r="D276" t="str">
        <f>IFERROR(VLOOKUP(E276,Référentiels!$M$2:$N$267,2,FALSE),"Ingrédient non trouvé")</f>
        <v>Ingrédient non trouvé</v>
      </c>
      <c r="I276">
        <f>IFERROR(tbl_Achats[[#This Row],[Qté d''Achat]] * tbl_Achats[[#This Row],[Prix Achat Unitaire]], 0)</f>
        <v>0</v>
      </c>
    </row>
    <row r="277" spans="4:9" x14ac:dyDescent="0.25">
      <c r="D277" t="str">
        <f>IFERROR(VLOOKUP(E277,Référentiels!$M$2:$N$267,2,FALSE),"Ingrédient non trouvé")</f>
        <v>Ingrédient non trouvé</v>
      </c>
      <c r="I277">
        <f>IFERROR(tbl_Achats[[#This Row],[Qté d''Achat]] * tbl_Achats[[#This Row],[Prix Achat Unitaire]], 0)</f>
        <v>0</v>
      </c>
    </row>
    <row r="278" spans="4:9" x14ac:dyDescent="0.25">
      <c r="D278" t="str">
        <f>IFERROR(VLOOKUP(E278,Référentiels!$M$2:$N$267,2,FALSE),"Ingrédient non trouvé")</f>
        <v>Ingrédient non trouvé</v>
      </c>
      <c r="I278">
        <f>IFERROR(tbl_Achats[[#This Row],[Qté d''Achat]] * tbl_Achats[[#This Row],[Prix Achat Unitaire]], 0)</f>
        <v>0</v>
      </c>
    </row>
    <row r="279" spans="4:9" x14ac:dyDescent="0.25">
      <c r="D279" t="str">
        <f>IFERROR(VLOOKUP(E279,Référentiels!$M$2:$N$267,2,FALSE),"Ingrédient non trouvé")</f>
        <v>Ingrédient non trouvé</v>
      </c>
      <c r="I279">
        <f>IFERROR(tbl_Achats[[#This Row],[Qté d''Achat]] * tbl_Achats[[#This Row],[Prix Achat Unitaire]], 0)</f>
        <v>0</v>
      </c>
    </row>
    <row r="280" spans="4:9" x14ac:dyDescent="0.25">
      <c r="D280" t="str">
        <f>IFERROR(VLOOKUP(E280,Référentiels!$M$2:$N$267,2,FALSE),"Ingrédient non trouvé")</f>
        <v>Ingrédient non trouvé</v>
      </c>
      <c r="I280">
        <f>IFERROR(tbl_Achats[[#This Row],[Qté d''Achat]] * tbl_Achats[[#This Row],[Prix Achat Unitaire]], 0)</f>
        <v>0</v>
      </c>
    </row>
    <row r="281" spans="4:9" x14ac:dyDescent="0.25">
      <c r="D281" t="str">
        <f>IFERROR(VLOOKUP(E281,Référentiels!$M$2:$N$267,2,FALSE),"Ingrédient non trouvé")</f>
        <v>Ingrédient non trouvé</v>
      </c>
      <c r="I281">
        <f>IFERROR(tbl_Achats[[#This Row],[Qté d''Achat]] * tbl_Achats[[#This Row],[Prix Achat Unitaire]], 0)</f>
        <v>0</v>
      </c>
    </row>
    <row r="282" spans="4:9" x14ac:dyDescent="0.25">
      <c r="D282" t="str">
        <f>IFERROR(VLOOKUP(E282,Référentiels!$M$2:$N$267,2,FALSE),"Ingrédient non trouvé")</f>
        <v>Ingrédient non trouvé</v>
      </c>
      <c r="I282">
        <f>IFERROR(tbl_Achats[[#This Row],[Qté d''Achat]] * tbl_Achats[[#This Row],[Prix Achat Unitaire]], 0)</f>
        <v>0</v>
      </c>
    </row>
    <row r="283" spans="4:9" x14ac:dyDescent="0.25">
      <c r="D283" t="str">
        <f>IFERROR(VLOOKUP(E283,Référentiels!$M$2:$N$267,2,FALSE),"Ingrédient non trouvé")</f>
        <v>Ingrédient non trouvé</v>
      </c>
      <c r="I283">
        <f>IFERROR(tbl_Achats[[#This Row],[Qté d''Achat]] * tbl_Achats[[#This Row],[Prix Achat Unitaire]], 0)</f>
        <v>0</v>
      </c>
    </row>
    <row r="284" spans="4:9" x14ac:dyDescent="0.25">
      <c r="D284" t="str">
        <f>IFERROR(VLOOKUP(E284,Référentiels!$M$2:$N$267,2,FALSE),"Ingrédient non trouvé")</f>
        <v>Ingrédient non trouvé</v>
      </c>
      <c r="I284">
        <f>IFERROR(tbl_Achats[[#This Row],[Qté d''Achat]] * tbl_Achats[[#This Row],[Prix Achat Unitaire]], 0)</f>
        <v>0</v>
      </c>
    </row>
    <row r="285" spans="4:9" x14ac:dyDescent="0.25">
      <c r="D285" t="str">
        <f>IFERROR(VLOOKUP(E285,Référentiels!$M$2:$N$267,2,FALSE),"Ingrédient non trouvé")</f>
        <v>Ingrédient non trouvé</v>
      </c>
      <c r="I285">
        <f>IFERROR(tbl_Achats[[#This Row],[Qté d''Achat]] * tbl_Achats[[#This Row],[Prix Achat Unitaire]], 0)</f>
        <v>0</v>
      </c>
    </row>
    <row r="286" spans="4:9" x14ac:dyDescent="0.25">
      <c r="D286" t="str">
        <f>IFERROR(VLOOKUP(E286,Référentiels!$M$2:$N$267,2,FALSE),"Ingrédient non trouvé")</f>
        <v>Ingrédient non trouvé</v>
      </c>
      <c r="I286">
        <f>IFERROR(tbl_Achats[[#This Row],[Qté d''Achat]] * tbl_Achats[[#This Row],[Prix Achat Unitaire]], 0)</f>
        <v>0</v>
      </c>
    </row>
    <row r="287" spans="4:9" x14ac:dyDescent="0.25">
      <c r="D287" t="str">
        <f>IFERROR(VLOOKUP(E287,Référentiels!$M$2:$N$267,2,FALSE),"Ingrédient non trouvé")</f>
        <v>Ingrédient non trouvé</v>
      </c>
      <c r="I287">
        <f>IFERROR(tbl_Achats[[#This Row],[Qté d''Achat]] * tbl_Achats[[#This Row],[Prix Achat Unitaire]], 0)</f>
        <v>0</v>
      </c>
    </row>
    <row r="288" spans="4:9" x14ac:dyDescent="0.25">
      <c r="D288" t="str">
        <f>IFERROR(VLOOKUP(E288,Référentiels!$M$2:$N$267,2,FALSE),"Ingrédient non trouvé")</f>
        <v>Ingrédient non trouvé</v>
      </c>
      <c r="I288">
        <f>IFERROR(tbl_Achats[[#This Row],[Qté d''Achat]] * tbl_Achats[[#This Row],[Prix Achat Unitaire]], 0)</f>
        <v>0</v>
      </c>
    </row>
    <row r="289" spans="4:9" x14ac:dyDescent="0.25">
      <c r="D289" t="str">
        <f>IFERROR(VLOOKUP(E289,Référentiels!$M$2:$N$267,2,FALSE),"Ingrédient non trouvé")</f>
        <v>Ingrédient non trouvé</v>
      </c>
      <c r="I289">
        <f>IFERROR(tbl_Achats[[#This Row],[Qté d''Achat]] * tbl_Achats[[#This Row],[Prix Achat Unitaire]], 0)</f>
        <v>0</v>
      </c>
    </row>
    <row r="290" spans="4:9" x14ac:dyDescent="0.25">
      <c r="D290" t="str">
        <f>IFERROR(VLOOKUP(E290,Référentiels!$M$2:$N$267,2,FALSE),"Ingrédient non trouvé")</f>
        <v>Ingrédient non trouvé</v>
      </c>
      <c r="I290">
        <f>IFERROR(tbl_Achats[[#This Row],[Qté d''Achat]] * tbl_Achats[[#This Row],[Prix Achat Unitaire]], 0)</f>
        <v>0</v>
      </c>
    </row>
    <row r="291" spans="4:9" x14ac:dyDescent="0.25">
      <c r="D291" t="str">
        <f>IFERROR(VLOOKUP(E291,Référentiels!$M$2:$N$267,2,FALSE),"Ingrédient non trouvé")</f>
        <v>Ingrédient non trouvé</v>
      </c>
      <c r="I291">
        <f>IFERROR(tbl_Achats[[#This Row],[Qté d''Achat]] * tbl_Achats[[#This Row],[Prix Achat Unitaire]], 0)</f>
        <v>0</v>
      </c>
    </row>
    <row r="292" spans="4:9" x14ac:dyDescent="0.25">
      <c r="D292" t="str">
        <f>IFERROR(VLOOKUP(E292,Référentiels!$M$2:$N$267,2,FALSE),"Ingrédient non trouvé")</f>
        <v>Ingrédient non trouvé</v>
      </c>
      <c r="I292">
        <f>IFERROR(tbl_Achats[[#This Row],[Qté d''Achat]] * tbl_Achats[[#This Row],[Prix Achat Unitaire]], 0)</f>
        <v>0</v>
      </c>
    </row>
    <row r="293" spans="4:9" x14ac:dyDescent="0.25">
      <c r="D293" t="str">
        <f>IFERROR(VLOOKUP(E293,Référentiels!$M$2:$N$267,2,FALSE),"Ingrédient non trouvé")</f>
        <v>Ingrédient non trouvé</v>
      </c>
      <c r="I293">
        <f>IFERROR(tbl_Achats[[#This Row],[Qté d''Achat]] * tbl_Achats[[#This Row],[Prix Achat Unitaire]], 0)</f>
        <v>0</v>
      </c>
    </row>
    <row r="294" spans="4:9" x14ac:dyDescent="0.25">
      <c r="D294" t="str">
        <f>IFERROR(VLOOKUP(E294,Référentiels!$M$2:$N$267,2,FALSE),"Ingrédient non trouvé")</f>
        <v>Ingrédient non trouvé</v>
      </c>
      <c r="I294">
        <f>IFERROR(tbl_Achats[[#This Row],[Qté d''Achat]] * tbl_Achats[[#This Row],[Prix Achat Unitaire]], 0)</f>
        <v>0</v>
      </c>
    </row>
    <row r="295" spans="4:9" x14ac:dyDescent="0.25">
      <c r="D295" t="str">
        <f>IFERROR(VLOOKUP(E295,Référentiels!$M$2:$N$267,2,FALSE),"Ingrédient non trouvé")</f>
        <v>Ingrédient non trouvé</v>
      </c>
      <c r="I295">
        <f>IFERROR(tbl_Achats[[#This Row],[Qté d''Achat]] * tbl_Achats[[#This Row],[Prix Achat Unitaire]], 0)</f>
        <v>0</v>
      </c>
    </row>
    <row r="296" spans="4:9" x14ac:dyDescent="0.25">
      <c r="D296" t="str">
        <f>IFERROR(VLOOKUP(E296,Référentiels!$M$2:$N$267,2,FALSE),"Ingrédient non trouvé")</f>
        <v>Ingrédient non trouvé</v>
      </c>
      <c r="I296">
        <f>IFERROR(tbl_Achats[[#This Row],[Qté d''Achat]] * tbl_Achats[[#This Row],[Prix Achat Unitaire]], 0)</f>
        <v>0</v>
      </c>
    </row>
    <row r="297" spans="4:9" x14ac:dyDescent="0.25">
      <c r="D297" t="str">
        <f>IFERROR(VLOOKUP(E297,Référentiels!$M$2:$N$267,2,FALSE),"Ingrédient non trouvé")</f>
        <v>Ingrédient non trouvé</v>
      </c>
      <c r="I297">
        <f>IFERROR(tbl_Achats[[#This Row],[Qté d''Achat]] * tbl_Achats[[#This Row],[Prix Achat Unitaire]], 0)</f>
        <v>0</v>
      </c>
    </row>
    <row r="298" spans="4:9" x14ac:dyDescent="0.25">
      <c r="D298" t="str">
        <f>IFERROR(VLOOKUP(E298,Référentiels!$M$2:$N$267,2,FALSE),"Ingrédient non trouvé")</f>
        <v>Ingrédient non trouvé</v>
      </c>
      <c r="I298">
        <f>IFERROR(tbl_Achats[[#This Row],[Qté d''Achat]] * tbl_Achats[[#This Row],[Prix Achat Unitaire]], 0)</f>
        <v>0</v>
      </c>
    </row>
    <row r="299" spans="4:9" x14ac:dyDescent="0.25">
      <c r="D299" t="str">
        <f>IFERROR(VLOOKUP(E299,Référentiels!$M$2:$N$267,2,FALSE),"Ingrédient non trouvé")</f>
        <v>Ingrédient non trouvé</v>
      </c>
      <c r="I299">
        <f>IFERROR(tbl_Achats[[#This Row],[Qté d''Achat]] * tbl_Achats[[#This Row],[Prix Achat Unitaire]], 0)</f>
        <v>0</v>
      </c>
    </row>
    <row r="300" spans="4:9" x14ac:dyDescent="0.25">
      <c r="D300" t="str">
        <f>IFERROR(VLOOKUP(E300,Référentiels!$M$2:$N$267,2,FALSE),"Ingrédient non trouvé")</f>
        <v>Ingrédient non trouvé</v>
      </c>
      <c r="I300">
        <f>IFERROR(tbl_Achats[[#This Row],[Qté d''Achat]] * tbl_Achats[[#This Row],[Prix Achat Unitaire]], 0)</f>
        <v>0</v>
      </c>
    </row>
    <row r="301" spans="4:9" x14ac:dyDescent="0.25">
      <c r="D301" t="str">
        <f>IFERROR(VLOOKUP(E301,Référentiels!$M$2:$N$267,2,FALSE),"Ingrédient non trouvé")</f>
        <v>Ingrédient non trouvé</v>
      </c>
      <c r="I301">
        <f>IFERROR(tbl_Achats[[#This Row],[Qté d''Achat]] * tbl_Achats[[#This Row],[Prix Achat Unitaire]], 0)</f>
        <v>0</v>
      </c>
    </row>
    <row r="302" spans="4:9" x14ac:dyDescent="0.25">
      <c r="D302" t="str">
        <f>IFERROR(VLOOKUP(E302,Référentiels!$M$2:$N$267,2,FALSE),"Ingrédient non trouvé")</f>
        <v>Ingrédient non trouvé</v>
      </c>
      <c r="I302">
        <f>IFERROR(tbl_Achats[[#This Row],[Qté d''Achat]] * tbl_Achats[[#This Row],[Prix Achat Unitaire]], 0)</f>
        <v>0</v>
      </c>
    </row>
    <row r="303" spans="4:9" x14ac:dyDescent="0.25">
      <c r="D303" t="str">
        <f>IFERROR(VLOOKUP(E303,Référentiels!$M$2:$N$267,2,FALSE),"Ingrédient non trouvé")</f>
        <v>Ingrédient non trouvé</v>
      </c>
      <c r="I303">
        <f>IFERROR(tbl_Achats[[#This Row],[Qté d''Achat]] * tbl_Achats[[#This Row],[Prix Achat Unitaire]], 0)</f>
        <v>0</v>
      </c>
    </row>
    <row r="304" spans="4:9" x14ac:dyDescent="0.25">
      <c r="D304" t="str">
        <f>IFERROR(VLOOKUP(E304,Référentiels!$M$2:$N$267,2,FALSE),"Ingrédient non trouvé")</f>
        <v>Ingrédient non trouvé</v>
      </c>
      <c r="I304">
        <f>IFERROR(tbl_Achats[[#This Row],[Qté d''Achat]] * tbl_Achats[[#This Row],[Prix Achat Unitaire]], 0)</f>
        <v>0</v>
      </c>
    </row>
    <row r="305" spans="4:9" x14ac:dyDescent="0.25">
      <c r="D305" t="str">
        <f>IFERROR(VLOOKUP(E305,Référentiels!$M$2:$N$267,2,FALSE),"Ingrédient non trouvé")</f>
        <v>Ingrédient non trouvé</v>
      </c>
      <c r="I305">
        <f>IFERROR(tbl_Achats[[#This Row],[Qté d''Achat]] * tbl_Achats[[#This Row],[Prix Achat Unitaire]], 0)</f>
        <v>0</v>
      </c>
    </row>
    <row r="306" spans="4:9" x14ac:dyDescent="0.25">
      <c r="D306" t="str">
        <f>IFERROR(VLOOKUP(E306,Référentiels!$M$2:$N$267,2,FALSE),"Ingrédient non trouvé")</f>
        <v>Ingrédient non trouvé</v>
      </c>
      <c r="I306">
        <f>IFERROR(tbl_Achats[[#This Row],[Qté d''Achat]] * tbl_Achats[[#This Row],[Prix Achat Unitaire]], 0)</f>
        <v>0</v>
      </c>
    </row>
    <row r="307" spans="4:9" x14ac:dyDescent="0.25">
      <c r="D307" t="str">
        <f>IFERROR(VLOOKUP(E307,Référentiels!$M$2:$N$267,2,FALSE),"Ingrédient non trouvé")</f>
        <v>Ingrédient non trouvé</v>
      </c>
      <c r="I307">
        <f>IFERROR(tbl_Achats[[#This Row],[Qté d''Achat]] * tbl_Achats[[#This Row],[Prix Achat Unitaire]], 0)</f>
        <v>0</v>
      </c>
    </row>
    <row r="308" spans="4:9" x14ac:dyDescent="0.25">
      <c r="D308" t="str">
        <f>IFERROR(VLOOKUP(E308,Référentiels!$M$2:$N$267,2,FALSE),"Ingrédient non trouvé")</f>
        <v>Ingrédient non trouvé</v>
      </c>
      <c r="I308">
        <f>IFERROR(tbl_Achats[[#This Row],[Qté d''Achat]] * tbl_Achats[[#This Row],[Prix Achat Unitaire]], 0)</f>
        <v>0</v>
      </c>
    </row>
    <row r="309" spans="4:9" x14ac:dyDescent="0.25">
      <c r="D309" t="str">
        <f>IFERROR(VLOOKUP(E309,Référentiels!$M$2:$N$267,2,FALSE),"Ingrédient non trouvé")</f>
        <v>Ingrédient non trouvé</v>
      </c>
      <c r="I309">
        <f>IFERROR(tbl_Achats[[#This Row],[Qté d''Achat]] * tbl_Achats[[#This Row],[Prix Achat Unitaire]], 0)</f>
        <v>0</v>
      </c>
    </row>
    <row r="310" spans="4:9" x14ac:dyDescent="0.25">
      <c r="D310" t="str">
        <f>IFERROR(VLOOKUP(E310,Référentiels!$M$2:$N$267,2,FALSE),"Ingrédient non trouvé")</f>
        <v>Ingrédient non trouvé</v>
      </c>
      <c r="I310">
        <f>IFERROR(tbl_Achats[[#This Row],[Qté d''Achat]] * tbl_Achats[[#This Row],[Prix Achat Unitaire]], 0)</f>
        <v>0</v>
      </c>
    </row>
    <row r="311" spans="4:9" x14ac:dyDescent="0.25">
      <c r="D311" t="str">
        <f>IFERROR(VLOOKUP(E311,Référentiels!$M$2:$N$267,2,FALSE),"Ingrédient non trouvé")</f>
        <v>Ingrédient non trouvé</v>
      </c>
      <c r="I311">
        <f>IFERROR(tbl_Achats[[#This Row],[Qté d''Achat]] * tbl_Achats[[#This Row],[Prix Achat Unitaire]], 0)</f>
        <v>0</v>
      </c>
    </row>
    <row r="312" spans="4:9" x14ac:dyDescent="0.25">
      <c r="D312" t="str">
        <f>IFERROR(VLOOKUP(E312,Référentiels!$M$2:$N$267,2,FALSE),"Ingrédient non trouvé")</f>
        <v>Ingrédient non trouvé</v>
      </c>
      <c r="I312">
        <f>IFERROR(tbl_Achats[[#This Row],[Qté d''Achat]] * tbl_Achats[[#This Row],[Prix Achat Unitaire]], 0)</f>
        <v>0</v>
      </c>
    </row>
    <row r="313" spans="4:9" x14ac:dyDescent="0.25">
      <c r="D313" t="str">
        <f>IFERROR(VLOOKUP(E313,Référentiels!$M$2:$N$267,2,FALSE),"Ingrédient non trouvé")</f>
        <v>Ingrédient non trouvé</v>
      </c>
      <c r="I313">
        <f>IFERROR(tbl_Achats[[#This Row],[Qté d''Achat]] * tbl_Achats[[#This Row],[Prix Achat Unitaire]], 0)</f>
        <v>0</v>
      </c>
    </row>
    <row r="314" spans="4:9" x14ac:dyDescent="0.25">
      <c r="D314" t="str">
        <f>IFERROR(VLOOKUP(E314,Référentiels!$M$2:$N$267,2,FALSE),"Ingrédient non trouvé")</f>
        <v>Ingrédient non trouvé</v>
      </c>
      <c r="I314">
        <f>IFERROR(tbl_Achats[[#This Row],[Qté d''Achat]] * tbl_Achats[[#This Row],[Prix Achat Unitaire]], 0)</f>
        <v>0</v>
      </c>
    </row>
    <row r="315" spans="4:9" x14ac:dyDescent="0.25">
      <c r="D315" t="str">
        <f>IFERROR(VLOOKUP(E315,Référentiels!$M$2:$N$267,2,FALSE),"Ingrédient non trouvé")</f>
        <v>Ingrédient non trouvé</v>
      </c>
      <c r="I315">
        <f>IFERROR(tbl_Achats[[#This Row],[Qté d''Achat]] * tbl_Achats[[#This Row],[Prix Achat Unitaire]], 0)</f>
        <v>0</v>
      </c>
    </row>
    <row r="316" spans="4:9" x14ac:dyDescent="0.25">
      <c r="D316" t="str">
        <f>IFERROR(VLOOKUP(E316,Référentiels!$M$2:$N$267,2,FALSE),"Ingrédient non trouvé")</f>
        <v>Ingrédient non trouvé</v>
      </c>
      <c r="I316">
        <f>IFERROR(tbl_Achats[[#This Row],[Qté d''Achat]] * tbl_Achats[[#This Row],[Prix Achat Unitaire]], 0)</f>
        <v>0</v>
      </c>
    </row>
    <row r="317" spans="4:9" x14ac:dyDescent="0.25">
      <c r="D317" t="str">
        <f>IFERROR(VLOOKUP(E317,Référentiels!$M$2:$N$267,2,FALSE),"Ingrédient non trouvé")</f>
        <v>Ingrédient non trouvé</v>
      </c>
      <c r="I317">
        <f>IFERROR(tbl_Achats[[#This Row],[Qté d''Achat]] * tbl_Achats[[#This Row],[Prix Achat Unitaire]], 0)</f>
        <v>0</v>
      </c>
    </row>
    <row r="318" spans="4:9" x14ac:dyDescent="0.25">
      <c r="D318" t="str">
        <f>IFERROR(VLOOKUP(E318,Référentiels!$M$2:$N$267,2,FALSE),"Ingrédient non trouvé")</f>
        <v>Ingrédient non trouvé</v>
      </c>
      <c r="I318">
        <f>IFERROR(tbl_Achats[[#This Row],[Qté d''Achat]] * tbl_Achats[[#This Row],[Prix Achat Unitaire]], 0)</f>
        <v>0</v>
      </c>
    </row>
    <row r="319" spans="4:9" x14ac:dyDescent="0.25">
      <c r="D319" t="str">
        <f>IFERROR(VLOOKUP(E319,Référentiels!$M$2:$N$267,2,FALSE),"Ingrédient non trouvé")</f>
        <v>Ingrédient non trouvé</v>
      </c>
      <c r="I319">
        <f>IFERROR(tbl_Achats[[#This Row],[Qté d''Achat]] * tbl_Achats[[#This Row],[Prix Achat Unitaire]], 0)</f>
        <v>0</v>
      </c>
    </row>
    <row r="320" spans="4:9" x14ac:dyDescent="0.25">
      <c r="D320" t="str">
        <f>IFERROR(VLOOKUP(E320,Référentiels!$M$2:$N$267,2,FALSE),"Ingrédient non trouvé")</f>
        <v>Ingrédient non trouvé</v>
      </c>
      <c r="I320">
        <f>IFERROR(tbl_Achats[[#This Row],[Qté d''Achat]] * tbl_Achats[[#This Row],[Prix Achat Unitaire]], 0)</f>
        <v>0</v>
      </c>
    </row>
    <row r="321" spans="4:9" x14ac:dyDescent="0.25">
      <c r="D321" t="str">
        <f>IFERROR(VLOOKUP(E321,Référentiels!$M$2:$N$267,2,FALSE),"Ingrédient non trouvé")</f>
        <v>Ingrédient non trouvé</v>
      </c>
      <c r="I321">
        <f>IFERROR(tbl_Achats[[#This Row],[Qté d''Achat]] * tbl_Achats[[#This Row],[Prix Achat Unitaire]], 0)</f>
        <v>0</v>
      </c>
    </row>
    <row r="322" spans="4:9" x14ac:dyDescent="0.25">
      <c r="D322" t="str">
        <f>IFERROR(VLOOKUP(E322,Référentiels!$M$2:$N$267,2,FALSE),"Ingrédient non trouvé")</f>
        <v>Ingrédient non trouvé</v>
      </c>
      <c r="I322">
        <f>IFERROR(tbl_Achats[[#This Row],[Qté d''Achat]] * tbl_Achats[[#This Row],[Prix Achat Unitaire]], 0)</f>
        <v>0</v>
      </c>
    </row>
    <row r="323" spans="4:9" x14ac:dyDescent="0.25">
      <c r="D323" t="str">
        <f>IFERROR(VLOOKUP(E323,Référentiels!$M$2:$N$267,2,FALSE),"Ingrédient non trouvé")</f>
        <v>Ingrédient non trouvé</v>
      </c>
      <c r="I323">
        <f>IFERROR(tbl_Achats[[#This Row],[Qté d''Achat]] * tbl_Achats[[#This Row],[Prix Achat Unitaire]], 0)</f>
        <v>0</v>
      </c>
    </row>
    <row r="324" spans="4:9" x14ac:dyDescent="0.25">
      <c r="D324" t="str">
        <f>IFERROR(VLOOKUP(E324,Référentiels!$M$2:$N$267,2,FALSE),"Ingrédient non trouvé")</f>
        <v>Ingrédient non trouvé</v>
      </c>
      <c r="I324">
        <f>IFERROR(tbl_Achats[[#This Row],[Qté d''Achat]] * tbl_Achats[[#This Row],[Prix Achat Unitaire]], 0)</f>
        <v>0</v>
      </c>
    </row>
    <row r="325" spans="4:9" x14ac:dyDescent="0.25">
      <c r="D325" t="str">
        <f>IFERROR(VLOOKUP(E325,Référentiels!$M$2:$N$267,2,FALSE),"Ingrédient non trouvé")</f>
        <v>Ingrédient non trouvé</v>
      </c>
      <c r="I325">
        <f>IFERROR(tbl_Achats[[#This Row],[Qté d''Achat]] * tbl_Achats[[#This Row],[Prix Achat Unitaire]], 0)</f>
        <v>0</v>
      </c>
    </row>
    <row r="326" spans="4:9" x14ac:dyDescent="0.25">
      <c r="D326" t="str">
        <f>IFERROR(VLOOKUP(E326,Référentiels!$M$2:$N$267,2,FALSE),"Ingrédient non trouvé")</f>
        <v>Ingrédient non trouvé</v>
      </c>
      <c r="I326">
        <f>IFERROR(tbl_Achats[[#This Row],[Qté d''Achat]] * tbl_Achats[[#This Row],[Prix Achat Unitaire]], 0)</f>
        <v>0</v>
      </c>
    </row>
    <row r="327" spans="4:9" x14ac:dyDescent="0.25">
      <c r="D327" t="str">
        <f>IFERROR(VLOOKUP(E327,Référentiels!$M$2:$N$267,2,FALSE),"Ingrédient non trouvé")</f>
        <v>Ingrédient non trouvé</v>
      </c>
      <c r="I327">
        <f>IFERROR(tbl_Achats[[#This Row],[Qté d''Achat]] * tbl_Achats[[#This Row],[Prix Achat Unitaire]], 0)</f>
        <v>0</v>
      </c>
    </row>
    <row r="328" spans="4:9" x14ac:dyDescent="0.25">
      <c r="D328" t="str">
        <f>IFERROR(VLOOKUP(E328,Référentiels!$M$2:$N$267,2,FALSE),"Ingrédient non trouvé")</f>
        <v>Ingrédient non trouvé</v>
      </c>
      <c r="I328">
        <f>IFERROR(tbl_Achats[[#This Row],[Qté d''Achat]] * tbl_Achats[[#This Row],[Prix Achat Unitaire]], 0)</f>
        <v>0</v>
      </c>
    </row>
    <row r="329" spans="4:9" x14ac:dyDescent="0.25">
      <c r="D329" t="str">
        <f>IFERROR(VLOOKUP(E329,Référentiels!$M$2:$N$267,2,FALSE),"Ingrédient non trouvé")</f>
        <v>Ingrédient non trouvé</v>
      </c>
      <c r="I329">
        <f>IFERROR(tbl_Achats[[#This Row],[Qté d''Achat]] * tbl_Achats[[#This Row],[Prix Achat Unitaire]], 0)</f>
        <v>0</v>
      </c>
    </row>
    <row r="330" spans="4:9" x14ac:dyDescent="0.25">
      <c r="D330" t="str">
        <f>IFERROR(VLOOKUP(E330,Référentiels!$M$2:$N$267,2,FALSE),"Ingrédient non trouvé")</f>
        <v>Ingrédient non trouvé</v>
      </c>
      <c r="I330">
        <f>IFERROR(tbl_Achats[[#This Row],[Qté d''Achat]] * tbl_Achats[[#This Row],[Prix Achat Unitaire]], 0)</f>
        <v>0</v>
      </c>
    </row>
    <row r="331" spans="4:9" x14ac:dyDescent="0.25">
      <c r="D331" t="str">
        <f>IFERROR(VLOOKUP(E331,Référentiels!$M$2:$N$267,2,FALSE),"Ingrédient non trouvé")</f>
        <v>Ingrédient non trouvé</v>
      </c>
      <c r="I331">
        <f>IFERROR(tbl_Achats[[#This Row],[Qté d''Achat]] * tbl_Achats[[#This Row],[Prix Achat Unitaire]], 0)</f>
        <v>0</v>
      </c>
    </row>
    <row r="332" spans="4:9" x14ac:dyDescent="0.25">
      <c r="D332" t="str">
        <f>IFERROR(VLOOKUP(E332,Référentiels!$M$2:$N$267,2,FALSE),"Ingrédient non trouvé")</f>
        <v>Ingrédient non trouvé</v>
      </c>
      <c r="I332">
        <f>IFERROR(tbl_Achats[[#This Row],[Qté d''Achat]] * tbl_Achats[[#This Row],[Prix Achat Unitaire]], 0)</f>
        <v>0</v>
      </c>
    </row>
    <row r="333" spans="4:9" x14ac:dyDescent="0.25">
      <c r="D333" t="str">
        <f>IFERROR(VLOOKUP(E333,Référentiels!$M$2:$N$267,2,FALSE),"Ingrédient non trouvé")</f>
        <v>Ingrédient non trouvé</v>
      </c>
      <c r="I333">
        <f>IFERROR(tbl_Achats[[#This Row],[Qté d''Achat]] * tbl_Achats[[#This Row],[Prix Achat Unitaire]], 0)</f>
        <v>0</v>
      </c>
    </row>
    <row r="334" spans="4:9" x14ac:dyDescent="0.25">
      <c r="D334" t="str">
        <f>IFERROR(VLOOKUP(E334,Référentiels!$M$2:$N$267,2,FALSE),"Ingrédient non trouvé")</f>
        <v>Ingrédient non trouvé</v>
      </c>
      <c r="I334">
        <f>IFERROR(tbl_Achats[[#This Row],[Qté d''Achat]] * tbl_Achats[[#This Row],[Prix Achat Unitaire]], 0)</f>
        <v>0</v>
      </c>
    </row>
    <row r="335" spans="4:9" x14ac:dyDescent="0.25">
      <c r="D335" t="str">
        <f>IFERROR(VLOOKUP(E335,Référentiels!$M$2:$N$267,2,FALSE),"Ingrédient non trouvé")</f>
        <v>Ingrédient non trouvé</v>
      </c>
      <c r="I335">
        <f>IFERROR(tbl_Achats[[#This Row],[Qté d''Achat]] * tbl_Achats[[#This Row],[Prix Achat Unitaire]], 0)</f>
        <v>0</v>
      </c>
    </row>
    <row r="336" spans="4:9" x14ac:dyDescent="0.25">
      <c r="D336" t="str">
        <f>IFERROR(VLOOKUP(E336,Référentiels!$M$2:$N$267,2,FALSE),"Ingrédient non trouvé")</f>
        <v>Ingrédient non trouvé</v>
      </c>
      <c r="I336">
        <f>IFERROR(tbl_Achats[[#This Row],[Qté d''Achat]] * tbl_Achats[[#This Row],[Prix Achat Unitaire]], 0)</f>
        <v>0</v>
      </c>
    </row>
    <row r="337" spans="4:9" x14ac:dyDescent="0.25">
      <c r="D337" t="str">
        <f>IFERROR(VLOOKUP(E337,Référentiels!$M$2:$N$267,2,FALSE),"Ingrédient non trouvé")</f>
        <v>Ingrédient non trouvé</v>
      </c>
      <c r="I337">
        <f>IFERROR(tbl_Achats[[#This Row],[Qté d''Achat]] * tbl_Achats[[#This Row],[Prix Achat Unitaire]], 0)</f>
        <v>0</v>
      </c>
    </row>
    <row r="338" spans="4:9" x14ac:dyDescent="0.25">
      <c r="D338" t="str">
        <f>IFERROR(VLOOKUP(E338,Référentiels!$M$2:$N$267,2,FALSE),"Ingrédient non trouvé")</f>
        <v>Ingrédient non trouvé</v>
      </c>
      <c r="I338">
        <f>IFERROR(tbl_Achats[[#This Row],[Qté d''Achat]] * tbl_Achats[[#This Row],[Prix Achat Unitaire]], 0)</f>
        <v>0</v>
      </c>
    </row>
    <row r="339" spans="4:9" x14ac:dyDescent="0.25">
      <c r="D339" t="str">
        <f>IFERROR(VLOOKUP(E339,Référentiels!$M$2:$N$267,2,FALSE),"Ingrédient non trouvé")</f>
        <v>Ingrédient non trouvé</v>
      </c>
      <c r="I339">
        <f>IFERROR(tbl_Achats[[#This Row],[Qté d''Achat]] * tbl_Achats[[#This Row],[Prix Achat Unitaire]], 0)</f>
        <v>0</v>
      </c>
    </row>
    <row r="340" spans="4:9" x14ac:dyDescent="0.25">
      <c r="D340" t="str">
        <f>IFERROR(VLOOKUP(E340,Référentiels!$M$2:$N$267,2,FALSE),"Ingrédient non trouvé")</f>
        <v>Ingrédient non trouvé</v>
      </c>
      <c r="I340">
        <f>IFERROR(tbl_Achats[[#This Row],[Qté d''Achat]] * tbl_Achats[[#This Row],[Prix Achat Unitaire]], 0)</f>
        <v>0</v>
      </c>
    </row>
    <row r="341" spans="4:9" x14ac:dyDescent="0.25">
      <c r="D341" t="str">
        <f>IFERROR(VLOOKUP(E341,Référentiels!$M$2:$N$267,2,FALSE),"Ingrédient non trouvé")</f>
        <v>Ingrédient non trouvé</v>
      </c>
      <c r="I341">
        <f>IFERROR(tbl_Achats[[#This Row],[Qté d''Achat]] * tbl_Achats[[#This Row],[Prix Achat Unitaire]], 0)</f>
        <v>0</v>
      </c>
    </row>
    <row r="342" spans="4:9" x14ac:dyDescent="0.25">
      <c r="D342" t="str">
        <f>IFERROR(VLOOKUP(E342,Référentiels!$M$2:$N$267,2,FALSE),"Ingrédient non trouvé")</f>
        <v>Ingrédient non trouvé</v>
      </c>
      <c r="I342">
        <f>IFERROR(tbl_Achats[[#This Row],[Qté d''Achat]] * tbl_Achats[[#This Row],[Prix Achat Unitaire]], 0)</f>
        <v>0</v>
      </c>
    </row>
    <row r="343" spans="4:9" x14ac:dyDescent="0.25">
      <c r="D343" t="str">
        <f>IFERROR(VLOOKUP(E343,Référentiels!$M$2:$N$267,2,FALSE),"Ingrédient non trouvé")</f>
        <v>Ingrédient non trouvé</v>
      </c>
      <c r="I343">
        <f>IFERROR(tbl_Achats[[#This Row],[Qté d''Achat]] * tbl_Achats[[#This Row],[Prix Achat Unitaire]], 0)</f>
        <v>0</v>
      </c>
    </row>
    <row r="344" spans="4:9" x14ac:dyDescent="0.25">
      <c r="D344" t="str">
        <f>IFERROR(VLOOKUP(E344,Référentiels!$M$2:$N$267,2,FALSE),"Ingrédient non trouvé")</f>
        <v>Ingrédient non trouvé</v>
      </c>
      <c r="I344">
        <f>IFERROR(tbl_Achats[[#This Row],[Qté d''Achat]] * tbl_Achats[[#This Row],[Prix Achat Unitaire]], 0)</f>
        <v>0</v>
      </c>
    </row>
    <row r="345" spans="4:9" x14ac:dyDescent="0.25">
      <c r="D345" t="str">
        <f>IFERROR(VLOOKUP(E345,Référentiels!$M$2:$N$267,2,FALSE),"Ingrédient non trouvé")</f>
        <v>Ingrédient non trouvé</v>
      </c>
      <c r="I345">
        <f>IFERROR(tbl_Achats[[#This Row],[Qté d''Achat]] * tbl_Achats[[#This Row],[Prix Achat Unitaire]], 0)</f>
        <v>0</v>
      </c>
    </row>
    <row r="346" spans="4:9" x14ac:dyDescent="0.25">
      <c r="D346" t="str">
        <f>IFERROR(VLOOKUP(E346,Référentiels!$M$2:$N$267,2,FALSE),"Ingrédient non trouvé")</f>
        <v>Ingrédient non trouvé</v>
      </c>
      <c r="I346">
        <f>IFERROR(tbl_Achats[[#This Row],[Qté d''Achat]] * tbl_Achats[[#This Row],[Prix Achat Unitaire]], 0)</f>
        <v>0</v>
      </c>
    </row>
    <row r="347" spans="4:9" x14ac:dyDescent="0.25">
      <c r="D347" t="str">
        <f>IFERROR(VLOOKUP(E347,Référentiels!$M$2:$N$267,2,FALSE),"Ingrédient non trouvé")</f>
        <v>Ingrédient non trouvé</v>
      </c>
      <c r="I347">
        <f>IFERROR(tbl_Achats[[#This Row],[Qté d''Achat]] * tbl_Achats[[#This Row],[Prix Achat Unitaire]], 0)</f>
        <v>0</v>
      </c>
    </row>
    <row r="348" spans="4:9" x14ac:dyDescent="0.25">
      <c r="D348" t="str">
        <f>IFERROR(VLOOKUP(E348,Référentiels!$M$2:$N$267,2,FALSE),"Ingrédient non trouvé")</f>
        <v>Ingrédient non trouvé</v>
      </c>
      <c r="I348">
        <f>IFERROR(tbl_Achats[[#This Row],[Qté d''Achat]] * tbl_Achats[[#This Row],[Prix Achat Unitaire]], 0)</f>
        <v>0</v>
      </c>
    </row>
    <row r="349" spans="4:9" x14ac:dyDescent="0.25">
      <c r="D349" t="str">
        <f>IFERROR(VLOOKUP(E349,Référentiels!$M$2:$N$267,2,FALSE),"Ingrédient non trouvé")</f>
        <v>Ingrédient non trouvé</v>
      </c>
      <c r="I349">
        <f>IFERROR(tbl_Achats[[#This Row],[Qté d''Achat]] * tbl_Achats[[#This Row],[Prix Achat Unitaire]], 0)</f>
        <v>0</v>
      </c>
    </row>
    <row r="350" spans="4:9" x14ac:dyDescent="0.25">
      <c r="D350" t="str">
        <f>IFERROR(VLOOKUP(E350,Référentiels!$M$2:$N$267,2,FALSE),"Ingrédient non trouvé")</f>
        <v>Ingrédient non trouvé</v>
      </c>
      <c r="I350">
        <f>IFERROR(tbl_Achats[[#This Row],[Qté d''Achat]] * tbl_Achats[[#This Row],[Prix Achat Unitaire]], 0)</f>
        <v>0</v>
      </c>
    </row>
    <row r="351" spans="4:9" x14ac:dyDescent="0.25">
      <c r="D351" t="str">
        <f>IFERROR(VLOOKUP(E351,Référentiels!$M$2:$N$267,2,FALSE),"Ingrédient non trouvé")</f>
        <v>Ingrédient non trouvé</v>
      </c>
      <c r="I351">
        <f>IFERROR(tbl_Achats[[#This Row],[Qté d''Achat]] * tbl_Achats[[#This Row],[Prix Achat Unitaire]], 0)</f>
        <v>0</v>
      </c>
    </row>
    <row r="352" spans="4:9" x14ac:dyDescent="0.25">
      <c r="D352" t="str">
        <f>IFERROR(VLOOKUP(E352,Référentiels!$M$2:$N$267,2,FALSE),"Ingrédient non trouvé")</f>
        <v>Ingrédient non trouvé</v>
      </c>
      <c r="I352">
        <f>IFERROR(tbl_Achats[[#This Row],[Qté d''Achat]] * tbl_Achats[[#This Row],[Prix Achat Unitaire]], 0)</f>
        <v>0</v>
      </c>
    </row>
    <row r="353" spans="4:9" x14ac:dyDescent="0.25">
      <c r="D353" t="str">
        <f>IFERROR(VLOOKUP(E353,Référentiels!$M$2:$N$267,2,FALSE),"Ingrédient non trouvé")</f>
        <v>Ingrédient non trouvé</v>
      </c>
      <c r="I353">
        <f>IFERROR(tbl_Achats[[#This Row],[Qté d''Achat]] * tbl_Achats[[#This Row],[Prix Achat Unitaire]], 0)</f>
        <v>0</v>
      </c>
    </row>
    <row r="354" spans="4:9" x14ac:dyDescent="0.25">
      <c r="D354" t="str">
        <f>IFERROR(VLOOKUP(E354,Référentiels!$M$2:$N$267,2,FALSE),"Ingrédient non trouvé")</f>
        <v>Ingrédient non trouvé</v>
      </c>
      <c r="I354">
        <f>IFERROR(tbl_Achats[[#This Row],[Qté d''Achat]] * tbl_Achats[[#This Row],[Prix Achat Unitaire]], 0)</f>
        <v>0</v>
      </c>
    </row>
    <row r="355" spans="4:9" x14ac:dyDescent="0.25">
      <c r="D355" t="str">
        <f>IFERROR(VLOOKUP(E355,Référentiels!$M$2:$N$267,2,FALSE),"Ingrédient non trouvé")</f>
        <v>Ingrédient non trouvé</v>
      </c>
      <c r="I355">
        <f>IFERROR(tbl_Achats[[#This Row],[Qté d''Achat]] * tbl_Achats[[#This Row],[Prix Achat Unitaire]], 0)</f>
        <v>0</v>
      </c>
    </row>
    <row r="356" spans="4:9" x14ac:dyDescent="0.25">
      <c r="D356" t="str">
        <f>IFERROR(VLOOKUP(E356,Référentiels!$M$2:$N$267,2,FALSE),"Ingrédient non trouvé")</f>
        <v>Ingrédient non trouvé</v>
      </c>
      <c r="I356">
        <f>IFERROR(tbl_Achats[[#This Row],[Qté d''Achat]] * tbl_Achats[[#This Row],[Prix Achat Unitaire]], 0)</f>
        <v>0</v>
      </c>
    </row>
    <row r="357" spans="4:9" x14ac:dyDescent="0.25">
      <c r="D357" t="str">
        <f>IFERROR(VLOOKUP(E357,Référentiels!$M$2:$N$267,2,FALSE),"Ingrédient non trouvé")</f>
        <v>Ingrédient non trouvé</v>
      </c>
      <c r="I357">
        <f>IFERROR(tbl_Achats[[#This Row],[Qté d''Achat]] * tbl_Achats[[#This Row],[Prix Achat Unitaire]], 0)</f>
        <v>0</v>
      </c>
    </row>
    <row r="358" spans="4:9" x14ac:dyDescent="0.25">
      <c r="D358" t="str">
        <f>IFERROR(VLOOKUP(E358,Référentiels!$M$2:$N$267,2,FALSE),"Ingrédient non trouvé")</f>
        <v>Ingrédient non trouvé</v>
      </c>
      <c r="I358">
        <f>IFERROR(tbl_Achats[[#This Row],[Qté d''Achat]] * tbl_Achats[[#This Row],[Prix Achat Unitaire]], 0)</f>
        <v>0</v>
      </c>
    </row>
    <row r="359" spans="4:9" x14ac:dyDescent="0.25">
      <c r="D359" t="str">
        <f>IFERROR(VLOOKUP(E359,Référentiels!$M$2:$N$267,2,FALSE),"Ingrédient non trouvé")</f>
        <v>Ingrédient non trouvé</v>
      </c>
      <c r="I359">
        <f>IFERROR(tbl_Achats[[#This Row],[Qté d''Achat]] * tbl_Achats[[#This Row],[Prix Achat Unitaire]], 0)</f>
        <v>0</v>
      </c>
    </row>
    <row r="360" spans="4:9" x14ac:dyDescent="0.25">
      <c r="D360" t="str">
        <f>IFERROR(VLOOKUP(E360,Référentiels!$M$2:$N$267,2,FALSE),"Ingrédient non trouvé")</f>
        <v>Ingrédient non trouvé</v>
      </c>
      <c r="I360">
        <f>IFERROR(tbl_Achats[[#This Row],[Qté d''Achat]] * tbl_Achats[[#This Row],[Prix Achat Unitaire]], 0)</f>
        <v>0</v>
      </c>
    </row>
    <row r="361" spans="4:9" x14ac:dyDescent="0.25">
      <c r="D361" t="str">
        <f>IFERROR(VLOOKUP(E361,Référentiels!$M$2:$N$267,2,FALSE),"Ingrédient non trouvé")</f>
        <v>Ingrédient non trouvé</v>
      </c>
      <c r="I361">
        <f>IFERROR(tbl_Achats[[#This Row],[Qté d''Achat]] * tbl_Achats[[#This Row],[Prix Achat Unitaire]], 0)</f>
        <v>0</v>
      </c>
    </row>
    <row r="362" spans="4:9" x14ac:dyDescent="0.25">
      <c r="D362" t="str">
        <f>IFERROR(VLOOKUP(E362,Référentiels!$M$2:$N$267,2,FALSE),"Ingrédient non trouvé")</f>
        <v>Ingrédient non trouvé</v>
      </c>
      <c r="I362">
        <f>IFERROR(tbl_Achats[[#This Row],[Qté d''Achat]] * tbl_Achats[[#This Row],[Prix Achat Unitaire]], 0)</f>
        <v>0</v>
      </c>
    </row>
    <row r="363" spans="4:9" x14ac:dyDescent="0.25">
      <c r="D363" t="str">
        <f>IFERROR(VLOOKUP(E363,Référentiels!$M$2:$N$267,2,FALSE),"Ingrédient non trouvé")</f>
        <v>Ingrédient non trouvé</v>
      </c>
      <c r="I363">
        <f>IFERROR(tbl_Achats[[#This Row],[Qté d''Achat]] * tbl_Achats[[#This Row],[Prix Achat Unitaire]], 0)</f>
        <v>0</v>
      </c>
    </row>
    <row r="364" spans="4:9" x14ac:dyDescent="0.25">
      <c r="D364" t="str">
        <f>IFERROR(VLOOKUP(E364,Référentiels!$M$2:$N$267,2,FALSE),"Ingrédient non trouvé")</f>
        <v>Ingrédient non trouvé</v>
      </c>
      <c r="I364">
        <f>IFERROR(tbl_Achats[[#This Row],[Qté d''Achat]] * tbl_Achats[[#This Row],[Prix Achat Unitaire]], 0)</f>
        <v>0</v>
      </c>
    </row>
    <row r="365" spans="4:9" x14ac:dyDescent="0.25">
      <c r="D365" t="str">
        <f>IFERROR(VLOOKUP(E365,Référentiels!$M$2:$N$267,2,FALSE),"Ingrédient non trouvé")</f>
        <v>Ingrédient non trouvé</v>
      </c>
      <c r="I365">
        <f>IFERROR(tbl_Achats[[#This Row],[Qté d''Achat]] * tbl_Achats[[#This Row],[Prix Achat Unitaire]], 0)</f>
        <v>0</v>
      </c>
    </row>
    <row r="366" spans="4:9" x14ac:dyDescent="0.25">
      <c r="D366" t="str">
        <f>IFERROR(VLOOKUP(E366,Référentiels!$M$2:$N$267,2,FALSE),"Ingrédient non trouvé")</f>
        <v>Ingrédient non trouvé</v>
      </c>
      <c r="I366">
        <f>IFERROR(tbl_Achats[[#This Row],[Qté d''Achat]] * tbl_Achats[[#This Row],[Prix Achat Unitaire]], 0)</f>
        <v>0</v>
      </c>
    </row>
    <row r="367" spans="4:9" x14ac:dyDescent="0.25">
      <c r="D367" t="str">
        <f>IFERROR(VLOOKUP(E367,Référentiels!$M$2:$N$267,2,FALSE),"Ingrédient non trouvé")</f>
        <v>Ingrédient non trouvé</v>
      </c>
      <c r="I367">
        <f>IFERROR(tbl_Achats[[#This Row],[Qté d''Achat]] * tbl_Achats[[#This Row],[Prix Achat Unitaire]], 0)</f>
        <v>0</v>
      </c>
    </row>
    <row r="368" spans="4:9" x14ac:dyDescent="0.25">
      <c r="D368" t="str">
        <f>IFERROR(VLOOKUP(E368,Référentiels!$M$2:$N$267,2,FALSE),"Ingrédient non trouvé")</f>
        <v>Ingrédient non trouvé</v>
      </c>
      <c r="I368">
        <f>IFERROR(tbl_Achats[[#This Row],[Qté d''Achat]] * tbl_Achats[[#This Row],[Prix Achat Unitaire]], 0)</f>
        <v>0</v>
      </c>
    </row>
    <row r="369" spans="4:9" x14ac:dyDescent="0.25">
      <c r="D369" t="str">
        <f>IFERROR(VLOOKUP(E369,Référentiels!$M$2:$N$267,2,FALSE),"Ingrédient non trouvé")</f>
        <v>Ingrédient non trouvé</v>
      </c>
      <c r="I369">
        <f>IFERROR(tbl_Achats[[#This Row],[Qté d''Achat]] * tbl_Achats[[#This Row],[Prix Achat Unitaire]], 0)</f>
        <v>0</v>
      </c>
    </row>
    <row r="370" spans="4:9" x14ac:dyDescent="0.25">
      <c r="D370" t="str">
        <f>IFERROR(VLOOKUP(E370,Référentiels!$M$2:$N$267,2,FALSE),"Ingrédient non trouvé")</f>
        <v>Ingrédient non trouvé</v>
      </c>
      <c r="I370">
        <f>IFERROR(tbl_Achats[[#This Row],[Qté d''Achat]] * tbl_Achats[[#This Row],[Prix Achat Unitaire]], 0)</f>
        <v>0</v>
      </c>
    </row>
    <row r="371" spans="4:9" x14ac:dyDescent="0.25">
      <c r="D371" t="str">
        <f>IFERROR(VLOOKUP(E371,Référentiels!$M$2:$N$267,2,FALSE),"Ingrédient non trouvé")</f>
        <v>Ingrédient non trouvé</v>
      </c>
      <c r="I371">
        <f>IFERROR(tbl_Achats[[#This Row],[Qté d''Achat]] * tbl_Achats[[#This Row],[Prix Achat Unitaire]], 0)</f>
        <v>0</v>
      </c>
    </row>
    <row r="372" spans="4:9" x14ac:dyDescent="0.25">
      <c r="D372" t="str">
        <f>IFERROR(VLOOKUP(E372,Référentiels!$M$2:$N$267,2,FALSE),"Ingrédient non trouvé")</f>
        <v>Ingrédient non trouvé</v>
      </c>
      <c r="I372">
        <f>IFERROR(tbl_Achats[[#This Row],[Qté d''Achat]] * tbl_Achats[[#This Row],[Prix Achat Unitaire]], 0)</f>
        <v>0</v>
      </c>
    </row>
    <row r="373" spans="4:9" x14ac:dyDescent="0.25">
      <c r="D373" t="str">
        <f>IFERROR(VLOOKUP(E373,Référentiels!$M$2:$N$267,2,FALSE),"Ingrédient non trouvé")</f>
        <v>Ingrédient non trouvé</v>
      </c>
      <c r="I373">
        <f>IFERROR(tbl_Achats[[#This Row],[Qté d''Achat]] * tbl_Achats[[#This Row],[Prix Achat Unitaire]], 0)</f>
        <v>0</v>
      </c>
    </row>
    <row r="374" spans="4:9" x14ac:dyDescent="0.25">
      <c r="D374" t="str">
        <f>IFERROR(VLOOKUP(E374,Référentiels!$M$2:$N$267,2,FALSE),"Ingrédient non trouvé")</f>
        <v>Ingrédient non trouvé</v>
      </c>
      <c r="I374">
        <f>IFERROR(tbl_Achats[[#This Row],[Qté d''Achat]] * tbl_Achats[[#This Row],[Prix Achat Unitaire]], 0)</f>
        <v>0</v>
      </c>
    </row>
    <row r="375" spans="4:9" x14ac:dyDescent="0.25">
      <c r="D375" t="str">
        <f>IFERROR(VLOOKUP(E375,Référentiels!$M$2:$N$267,2,FALSE),"Ingrédient non trouvé")</f>
        <v>Ingrédient non trouvé</v>
      </c>
      <c r="I375">
        <f>IFERROR(tbl_Achats[[#This Row],[Qté d''Achat]] * tbl_Achats[[#This Row],[Prix Achat Unitaire]], 0)</f>
        <v>0</v>
      </c>
    </row>
    <row r="376" spans="4:9" x14ac:dyDescent="0.25">
      <c r="D376" t="str">
        <f>IFERROR(VLOOKUP(E376,Référentiels!$M$2:$N$267,2,FALSE),"Ingrédient non trouvé")</f>
        <v>Ingrédient non trouvé</v>
      </c>
      <c r="I376">
        <f>IFERROR(tbl_Achats[[#This Row],[Qté d''Achat]] * tbl_Achats[[#This Row],[Prix Achat Unitaire]], 0)</f>
        <v>0</v>
      </c>
    </row>
    <row r="377" spans="4:9" x14ac:dyDescent="0.25">
      <c r="D377" t="str">
        <f>IFERROR(VLOOKUP(E377,Référentiels!$M$2:$N$267,2,FALSE),"Ingrédient non trouvé")</f>
        <v>Ingrédient non trouvé</v>
      </c>
      <c r="I377">
        <f>IFERROR(tbl_Achats[[#This Row],[Qté d''Achat]] * tbl_Achats[[#This Row],[Prix Achat Unitaire]], 0)</f>
        <v>0</v>
      </c>
    </row>
    <row r="378" spans="4:9" x14ac:dyDescent="0.25">
      <c r="D378" t="str">
        <f>IFERROR(VLOOKUP(E378,Référentiels!$M$2:$N$267,2,FALSE),"Ingrédient non trouvé")</f>
        <v>Ingrédient non trouvé</v>
      </c>
      <c r="I378">
        <f>IFERROR(tbl_Achats[[#This Row],[Qté d''Achat]] * tbl_Achats[[#This Row],[Prix Achat Unitaire]], 0)</f>
        <v>0</v>
      </c>
    </row>
    <row r="379" spans="4:9" x14ac:dyDescent="0.25">
      <c r="D379" t="str">
        <f>IFERROR(VLOOKUP(E379,Référentiels!$M$2:$N$267,2,FALSE),"Ingrédient non trouvé")</f>
        <v>Ingrédient non trouvé</v>
      </c>
      <c r="I379">
        <f>IFERROR(tbl_Achats[[#This Row],[Qté d''Achat]] * tbl_Achats[[#This Row],[Prix Achat Unitaire]], 0)</f>
        <v>0</v>
      </c>
    </row>
    <row r="380" spans="4:9" x14ac:dyDescent="0.25">
      <c r="D380" t="str">
        <f>IFERROR(VLOOKUP(E380,Référentiels!$M$2:$N$267,2,FALSE),"Ingrédient non trouvé")</f>
        <v>Ingrédient non trouvé</v>
      </c>
      <c r="I380">
        <f>IFERROR(tbl_Achats[[#This Row],[Qté d''Achat]] * tbl_Achats[[#This Row],[Prix Achat Unitaire]], 0)</f>
        <v>0</v>
      </c>
    </row>
    <row r="381" spans="4:9" x14ac:dyDescent="0.25">
      <c r="D381" t="str">
        <f>IFERROR(VLOOKUP(E381,Référentiels!$M$2:$N$267,2,FALSE),"Ingrédient non trouvé")</f>
        <v>Ingrédient non trouvé</v>
      </c>
      <c r="I381">
        <f>IFERROR(tbl_Achats[[#This Row],[Qté d''Achat]] * tbl_Achats[[#This Row],[Prix Achat Unitaire]], 0)</f>
        <v>0</v>
      </c>
    </row>
    <row r="382" spans="4:9" x14ac:dyDescent="0.25">
      <c r="D382" t="str">
        <f>IFERROR(VLOOKUP(E382,Référentiels!$M$2:$N$267,2,FALSE),"Ingrédient non trouvé")</f>
        <v>Ingrédient non trouvé</v>
      </c>
      <c r="I382">
        <f>IFERROR(tbl_Achats[[#This Row],[Qté d''Achat]] * tbl_Achats[[#This Row],[Prix Achat Unitaire]], 0)</f>
        <v>0</v>
      </c>
    </row>
    <row r="383" spans="4:9" x14ac:dyDescent="0.25">
      <c r="D383" t="str">
        <f>IFERROR(VLOOKUP(E383,Référentiels!$M$2:$N$267,2,FALSE),"Ingrédient non trouvé")</f>
        <v>Ingrédient non trouvé</v>
      </c>
      <c r="I383">
        <f>IFERROR(tbl_Achats[[#This Row],[Qté d''Achat]] * tbl_Achats[[#This Row],[Prix Achat Unitaire]], 0)</f>
        <v>0</v>
      </c>
    </row>
    <row r="384" spans="4:9" x14ac:dyDescent="0.25">
      <c r="D384" t="str">
        <f>IFERROR(VLOOKUP(E384,Référentiels!$M$2:$N$267,2,FALSE),"Ingrédient non trouvé")</f>
        <v>Ingrédient non trouvé</v>
      </c>
      <c r="I384">
        <f>IFERROR(tbl_Achats[[#This Row],[Qté d''Achat]] * tbl_Achats[[#This Row],[Prix Achat Unitaire]], 0)</f>
        <v>0</v>
      </c>
    </row>
    <row r="385" spans="4:9" x14ac:dyDescent="0.25">
      <c r="D385" t="str">
        <f>IFERROR(VLOOKUP(E385,Référentiels!$M$2:$N$267,2,FALSE),"Ingrédient non trouvé")</f>
        <v>Ingrédient non trouvé</v>
      </c>
      <c r="I385">
        <f>IFERROR(tbl_Achats[[#This Row],[Qté d''Achat]] * tbl_Achats[[#This Row],[Prix Achat Unitaire]], 0)</f>
        <v>0</v>
      </c>
    </row>
    <row r="386" spans="4:9" x14ac:dyDescent="0.25">
      <c r="D386" t="str">
        <f>IFERROR(VLOOKUP(E386,Référentiels!$M$2:$N$267,2,FALSE),"Ingrédient non trouvé")</f>
        <v>Ingrédient non trouvé</v>
      </c>
      <c r="I386">
        <f>IFERROR(tbl_Achats[[#This Row],[Qté d''Achat]] * tbl_Achats[[#This Row],[Prix Achat Unitaire]], 0)</f>
        <v>0</v>
      </c>
    </row>
    <row r="387" spans="4:9" x14ac:dyDescent="0.25">
      <c r="D387" t="str">
        <f>IFERROR(VLOOKUP(E387,Référentiels!$M$2:$N$267,2,FALSE),"Ingrédient non trouvé")</f>
        <v>Ingrédient non trouvé</v>
      </c>
      <c r="I387">
        <f>IFERROR(tbl_Achats[[#This Row],[Qté d''Achat]] * tbl_Achats[[#This Row],[Prix Achat Unitaire]], 0)</f>
        <v>0</v>
      </c>
    </row>
    <row r="388" spans="4:9" x14ac:dyDescent="0.25">
      <c r="D388" t="str">
        <f>IFERROR(VLOOKUP(E388,Référentiels!$M$2:$N$267,2,FALSE),"Ingrédient non trouvé")</f>
        <v>Ingrédient non trouvé</v>
      </c>
      <c r="I388">
        <f>IFERROR(tbl_Achats[[#This Row],[Qté d''Achat]] * tbl_Achats[[#This Row],[Prix Achat Unitaire]], 0)</f>
        <v>0</v>
      </c>
    </row>
    <row r="389" spans="4:9" x14ac:dyDescent="0.25">
      <c r="D389" t="str">
        <f>IFERROR(VLOOKUP(E389,Référentiels!$M$2:$N$267,2,FALSE),"Ingrédient non trouvé")</f>
        <v>Ingrédient non trouvé</v>
      </c>
      <c r="I389">
        <f>IFERROR(tbl_Achats[[#This Row],[Qté d''Achat]] * tbl_Achats[[#This Row],[Prix Achat Unitaire]], 0)</f>
        <v>0</v>
      </c>
    </row>
    <row r="390" spans="4:9" x14ac:dyDescent="0.25">
      <c r="D390" t="str">
        <f>IFERROR(VLOOKUP(E390,Référentiels!$M$2:$N$267,2,FALSE),"Ingrédient non trouvé")</f>
        <v>Ingrédient non trouvé</v>
      </c>
      <c r="I390">
        <f>IFERROR(tbl_Achats[[#This Row],[Qté d''Achat]] * tbl_Achats[[#This Row],[Prix Achat Unitaire]], 0)</f>
        <v>0</v>
      </c>
    </row>
    <row r="391" spans="4:9" x14ac:dyDescent="0.25">
      <c r="D391" t="str">
        <f>IFERROR(VLOOKUP(E391,Référentiels!$M$2:$N$267,2,FALSE),"Ingrédient non trouvé")</f>
        <v>Ingrédient non trouvé</v>
      </c>
      <c r="I391">
        <f>IFERROR(tbl_Achats[[#This Row],[Qté d''Achat]] * tbl_Achats[[#This Row],[Prix Achat Unitaire]], 0)</f>
        <v>0</v>
      </c>
    </row>
    <row r="392" spans="4:9" x14ac:dyDescent="0.25">
      <c r="D392" t="str">
        <f>IFERROR(VLOOKUP(E392,Référentiels!$M$2:$N$267,2,FALSE),"Ingrédient non trouvé")</f>
        <v>Ingrédient non trouvé</v>
      </c>
      <c r="I392">
        <f>IFERROR(tbl_Achats[[#This Row],[Qté d''Achat]] * tbl_Achats[[#This Row],[Prix Achat Unitaire]], 0)</f>
        <v>0</v>
      </c>
    </row>
    <row r="393" spans="4:9" x14ac:dyDescent="0.25">
      <c r="D393" t="str">
        <f>IFERROR(VLOOKUP(E393,Référentiels!$M$2:$N$267,2,FALSE),"Ingrédient non trouvé")</f>
        <v>Ingrédient non trouvé</v>
      </c>
      <c r="I393">
        <f>IFERROR(tbl_Achats[[#This Row],[Qté d''Achat]] * tbl_Achats[[#This Row],[Prix Achat Unitaire]], 0)</f>
        <v>0</v>
      </c>
    </row>
    <row r="394" spans="4:9" x14ac:dyDescent="0.25">
      <c r="D394" t="str">
        <f>IFERROR(VLOOKUP(E394,Référentiels!$M$2:$N$267,2,FALSE),"Ingrédient non trouvé")</f>
        <v>Ingrédient non trouvé</v>
      </c>
      <c r="I394">
        <f>IFERROR(tbl_Achats[[#This Row],[Qté d''Achat]] * tbl_Achats[[#This Row],[Prix Achat Unitaire]], 0)</f>
        <v>0</v>
      </c>
    </row>
    <row r="395" spans="4:9" x14ac:dyDescent="0.25">
      <c r="D395" t="str">
        <f>IFERROR(VLOOKUP(E395,Référentiels!$M$2:$N$267,2,FALSE),"Ingrédient non trouvé")</f>
        <v>Ingrédient non trouvé</v>
      </c>
      <c r="I395">
        <f>IFERROR(tbl_Achats[[#This Row],[Qté d''Achat]] * tbl_Achats[[#This Row],[Prix Achat Unitaire]], 0)</f>
        <v>0</v>
      </c>
    </row>
    <row r="396" spans="4:9" x14ac:dyDescent="0.25">
      <c r="D396" t="str">
        <f>IFERROR(VLOOKUP(E396,Référentiels!$M$2:$N$267,2,FALSE),"Ingrédient non trouvé")</f>
        <v>Ingrédient non trouvé</v>
      </c>
      <c r="I396">
        <f>IFERROR(tbl_Achats[[#This Row],[Qté d''Achat]] * tbl_Achats[[#This Row],[Prix Achat Unitaire]], 0)</f>
        <v>0</v>
      </c>
    </row>
    <row r="397" spans="4:9" x14ac:dyDescent="0.25">
      <c r="D397" t="str">
        <f>IFERROR(VLOOKUP(E397,Référentiels!$M$2:$N$267,2,FALSE),"Ingrédient non trouvé")</f>
        <v>Ingrédient non trouvé</v>
      </c>
      <c r="I397">
        <f>IFERROR(tbl_Achats[[#This Row],[Qté d''Achat]] * tbl_Achats[[#This Row],[Prix Achat Unitaire]], 0)</f>
        <v>0</v>
      </c>
    </row>
    <row r="398" spans="4:9" x14ac:dyDescent="0.25">
      <c r="D398" t="str">
        <f>IFERROR(VLOOKUP(E398,Référentiels!$M$2:$N$267,2,FALSE),"Ingrédient non trouvé")</f>
        <v>Ingrédient non trouvé</v>
      </c>
      <c r="I398">
        <f>IFERROR(tbl_Achats[[#This Row],[Qté d''Achat]] * tbl_Achats[[#This Row],[Prix Achat Unitaire]], 0)</f>
        <v>0</v>
      </c>
    </row>
    <row r="399" spans="4:9" x14ac:dyDescent="0.25">
      <c r="D399" t="str">
        <f>IFERROR(VLOOKUP(E399,Référentiels!$M$2:$N$267,2,FALSE),"Ingrédient non trouvé")</f>
        <v>Ingrédient non trouvé</v>
      </c>
      <c r="I399">
        <f>IFERROR(tbl_Achats[[#This Row],[Qté d''Achat]] * tbl_Achats[[#This Row],[Prix Achat Unitaire]], 0)</f>
        <v>0</v>
      </c>
    </row>
    <row r="400" spans="4:9" x14ac:dyDescent="0.25">
      <c r="D400" t="str">
        <f>IFERROR(VLOOKUP(E400,Référentiels!$M$2:$N$267,2,FALSE),"Ingrédient non trouvé")</f>
        <v>Ingrédient non trouvé</v>
      </c>
      <c r="I400">
        <f>IFERROR(tbl_Achats[[#This Row],[Qté d''Achat]] * tbl_Achats[[#This Row],[Prix Achat Unitaire]], 0)</f>
        <v>0</v>
      </c>
    </row>
    <row r="401" spans="4:9" x14ac:dyDescent="0.25">
      <c r="D401" t="str">
        <f>IFERROR(VLOOKUP(E401,Référentiels!$M$2:$N$267,2,FALSE),"Ingrédient non trouvé")</f>
        <v>Ingrédient non trouvé</v>
      </c>
      <c r="I401">
        <f>IFERROR(tbl_Achats[[#This Row],[Qté d''Achat]] * tbl_Achats[[#This Row],[Prix Achat Unitaire]], 0)</f>
        <v>0</v>
      </c>
    </row>
    <row r="402" spans="4:9" x14ac:dyDescent="0.25">
      <c r="D402" t="str">
        <f>IFERROR(VLOOKUP(E402,Référentiels!$M$2:$N$267,2,FALSE),"Ingrédient non trouvé")</f>
        <v>Ingrédient non trouvé</v>
      </c>
      <c r="I402">
        <f>IFERROR(tbl_Achats[[#This Row],[Qté d''Achat]] * tbl_Achats[[#This Row],[Prix Achat Unitaire]], 0)</f>
        <v>0</v>
      </c>
    </row>
    <row r="403" spans="4:9" x14ac:dyDescent="0.25">
      <c r="D403" t="str">
        <f>IFERROR(VLOOKUP(E403,Référentiels!$M$2:$N$267,2,FALSE),"Ingrédient non trouvé")</f>
        <v>Ingrédient non trouvé</v>
      </c>
      <c r="I403">
        <f>IFERROR(tbl_Achats[[#This Row],[Qté d''Achat]] * tbl_Achats[[#This Row],[Prix Achat Unitaire]], 0)</f>
        <v>0</v>
      </c>
    </row>
    <row r="404" spans="4:9" x14ac:dyDescent="0.25">
      <c r="D404" t="str">
        <f>IFERROR(VLOOKUP(E404,Référentiels!$M$2:$N$267,2,FALSE),"Ingrédient non trouvé")</f>
        <v>Ingrédient non trouvé</v>
      </c>
      <c r="I404">
        <f>IFERROR(tbl_Achats[[#This Row],[Qté d''Achat]] * tbl_Achats[[#This Row],[Prix Achat Unitaire]], 0)</f>
        <v>0</v>
      </c>
    </row>
    <row r="405" spans="4:9" x14ac:dyDescent="0.25">
      <c r="D405" t="str">
        <f>IFERROR(VLOOKUP(E405,Référentiels!$M$2:$N$267,2,FALSE),"Ingrédient non trouvé")</f>
        <v>Ingrédient non trouvé</v>
      </c>
      <c r="I405">
        <f>IFERROR(tbl_Achats[[#This Row],[Qté d''Achat]] * tbl_Achats[[#This Row],[Prix Achat Unitaire]], 0)</f>
        <v>0</v>
      </c>
    </row>
    <row r="406" spans="4:9" x14ac:dyDescent="0.25">
      <c r="D406" t="str">
        <f>IFERROR(VLOOKUP(E406,Référentiels!$M$2:$N$267,2,FALSE),"Ingrédient non trouvé")</f>
        <v>Ingrédient non trouvé</v>
      </c>
      <c r="I406">
        <f>IFERROR(tbl_Achats[[#This Row],[Qté d''Achat]] * tbl_Achats[[#This Row],[Prix Achat Unitaire]], 0)</f>
        <v>0</v>
      </c>
    </row>
    <row r="407" spans="4:9" x14ac:dyDescent="0.25">
      <c r="D407" t="str">
        <f>IFERROR(VLOOKUP(E407,Référentiels!$M$2:$N$267,2,FALSE),"Ingrédient non trouvé")</f>
        <v>Ingrédient non trouvé</v>
      </c>
      <c r="I407">
        <f>IFERROR(tbl_Achats[[#This Row],[Qté d''Achat]] * tbl_Achats[[#This Row],[Prix Achat Unitaire]], 0)</f>
        <v>0</v>
      </c>
    </row>
    <row r="408" spans="4:9" x14ac:dyDescent="0.25">
      <c r="D408" t="str">
        <f>IFERROR(VLOOKUP(E408,Référentiels!$M$2:$N$267,2,FALSE),"Ingrédient non trouvé")</f>
        <v>Ingrédient non trouvé</v>
      </c>
      <c r="I408">
        <f>IFERROR(tbl_Achats[[#This Row],[Qté d''Achat]] * tbl_Achats[[#This Row],[Prix Achat Unitaire]], 0)</f>
        <v>0</v>
      </c>
    </row>
    <row r="409" spans="4:9" x14ac:dyDescent="0.25">
      <c r="D409" t="str">
        <f>IFERROR(VLOOKUP(E409,Référentiels!$M$2:$N$267,2,FALSE),"Ingrédient non trouvé")</f>
        <v>Ingrédient non trouvé</v>
      </c>
      <c r="I409">
        <f>IFERROR(tbl_Achats[[#This Row],[Qté d''Achat]] * tbl_Achats[[#This Row],[Prix Achat Unitaire]], 0)</f>
        <v>0</v>
      </c>
    </row>
    <row r="410" spans="4:9" x14ac:dyDescent="0.25">
      <c r="D410" t="str">
        <f>IFERROR(VLOOKUP(E410,Référentiels!$M$2:$N$267,2,FALSE),"Ingrédient non trouvé")</f>
        <v>Ingrédient non trouvé</v>
      </c>
      <c r="I410">
        <f>IFERROR(tbl_Achats[[#This Row],[Qté d''Achat]] * tbl_Achats[[#This Row],[Prix Achat Unitaire]], 0)</f>
        <v>0</v>
      </c>
    </row>
    <row r="411" spans="4:9" x14ac:dyDescent="0.25">
      <c r="D411" t="str">
        <f>IFERROR(VLOOKUP(E411,Référentiels!$M$2:$N$267,2,FALSE),"Ingrédient non trouvé")</f>
        <v>Ingrédient non trouvé</v>
      </c>
      <c r="I411">
        <f>IFERROR(tbl_Achats[[#This Row],[Qté d''Achat]] * tbl_Achats[[#This Row],[Prix Achat Unitaire]], 0)</f>
        <v>0</v>
      </c>
    </row>
    <row r="412" spans="4:9" x14ac:dyDescent="0.25">
      <c r="D412" t="str">
        <f>IFERROR(VLOOKUP(E412,Référentiels!$M$2:$N$267,2,FALSE),"Ingrédient non trouvé")</f>
        <v>Ingrédient non trouvé</v>
      </c>
      <c r="I412">
        <f>IFERROR(tbl_Achats[[#This Row],[Qté d''Achat]] * tbl_Achats[[#This Row],[Prix Achat Unitaire]], 0)</f>
        <v>0</v>
      </c>
    </row>
    <row r="413" spans="4:9" x14ac:dyDescent="0.25">
      <c r="D413" t="str">
        <f>IFERROR(VLOOKUP(E413,Référentiels!$M$2:$N$267,2,FALSE),"Ingrédient non trouvé")</f>
        <v>Ingrédient non trouvé</v>
      </c>
      <c r="I413">
        <f>IFERROR(tbl_Achats[[#This Row],[Qté d''Achat]] * tbl_Achats[[#This Row],[Prix Achat Unitaire]], 0)</f>
        <v>0</v>
      </c>
    </row>
    <row r="414" spans="4:9" x14ac:dyDescent="0.25">
      <c r="D414" t="str">
        <f>IFERROR(VLOOKUP(E414,Référentiels!$M$2:$N$267,2,FALSE),"Ingrédient non trouvé")</f>
        <v>Ingrédient non trouvé</v>
      </c>
      <c r="I414">
        <f>IFERROR(tbl_Achats[[#This Row],[Qté d''Achat]] * tbl_Achats[[#This Row],[Prix Achat Unitaire]], 0)</f>
        <v>0</v>
      </c>
    </row>
    <row r="415" spans="4:9" x14ac:dyDescent="0.25">
      <c r="D415" t="str">
        <f>IFERROR(VLOOKUP(E415,Référentiels!$M$2:$N$267,2,FALSE),"Ingrédient non trouvé")</f>
        <v>Ingrédient non trouvé</v>
      </c>
      <c r="I415">
        <f>IFERROR(tbl_Achats[[#This Row],[Qté d''Achat]] * tbl_Achats[[#This Row],[Prix Achat Unitaire]], 0)</f>
        <v>0</v>
      </c>
    </row>
    <row r="416" spans="4:9" x14ac:dyDescent="0.25">
      <c r="D416" t="str">
        <f>IFERROR(VLOOKUP(E416,Référentiels!$M$2:$N$267,2,FALSE),"Ingrédient non trouvé")</f>
        <v>Ingrédient non trouvé</v>
      </c>
      <c r="I416">
        <f>IFERROR(tbl_Achats[[#This Row],[Qté d''Achat]] * tbl_Achats[[#This Row],[Prix Achat Unitaire]], 0)</f>
        <v>0</v>
      </c>
    </row>
    <row r="417" spans="4:9" x14ac:dyDescent="0.25">
      <c r="D417" t="str">
        <f>IFERROR(VLOOKUP(E417,Référentiels!$M$2:$N$267,2,FALSE),"Ingrédient non trouvé")</f>
        <v>Ingrédient non trouvé</v>
      </c>
      <c r="I417">
        <f>IFERROR(tbl_Achats[[#This Row],[Qté d''Achat]] * tbl_Achats[[#This Row],[Prix Achat Unitaire]], 0)</f>
        <v>0</v>
      </c>
    </row>
    <row r="418" spans="4:9" x14ac:dyDescent="0.25">
      <c r="D418" t="str">
        <f>IFERROR(VLOOKUP(E418,Référentiels!$M$2:$N$267,2,FALSE),"Ingrédient non trouvé")</f>
        <v>Ingrédient non trouvé</v>
      </c>
      <c r="I418">
        <f>IFERROR(tbl_Achats[[#This Row],[Qté d''Achat]] * tbl_Achats[[#This Row],[Prix Achat Unitaire]], 0)</f>
        <v>0</v>
      </c>
    </row>
    <row r="419" spans="4:9" x14ac:dyDescent="0.25">
      <c r="D419" t="str">
        <f>IFERROR(VLOOKUP(E419,Référentiels!$M$2:$N$267,2,FALSE),"Ingrédient non trouvé")</f>
        <v>Ingrédient non trouvé</v>
      </c>
      <c r="I419">
        <f>IFERROR(tbl_Achats[[#This Row],[Qté d''Achat]] * tbl_Achats[[#This Row],[Prix Achat Unitaire]], 0)</f>
        <v>0</v>
      </c>
    </row>
    <row r="420" spans="4:9" x14ac:dyDescent="0.25">
      <c r="D420" t="str">
        <f>IFERROR(VLOOKUP(E420,Référentiels!$M$2:$N$267,2,FALSE),"Ingrédient non trouvé")</f>
        <v>Ingrédient non trouvé</v>
      </c>
      <c r="I420">
        <f>IFERROR(tbl_Achats[[#This Row],[Qté d''Achat]] * tbl_Achats[[#This Row],[Prix Achat Unitaire]], 0)</f>
        <v>0</v>
      </c>
    </row>
    <row r="421" spans="4:9" x14ac:dyDescent="0.25">
      <c r="D421" t="str">
        <f>IFERROR(VLOOKUP(E421,Référentiels!$M$2:$N$267,2,FALSE),"Ingrédient non trouvé")</f>
        <v>Ingrédient non trouvé</v>
      </c>
      <c r="I421">
        <f>IFERROR(tbl_Achats[[#This Row],[Qté d''Achat]] * tbl_Achats[[#This Row],[Prix Achat Unitaire]], 0)</f>
        <v>0</v>
      </c>
    </row>
    <row r="422" spans="4:9" x14ac:dyDescent="0.25">
      <c r="D422" t="str">
        <f>IFERROR(VLOOKUP(E422,Référentiels!$M$2:$N$267,2,FALSE),"Ingrédient non trouvé")</f>
        <v>Ingrédient non trouvé</v>
      </c>
      <c r="I422">
        <f>IFERROR(tbl_Achats[[#This Row],[Qté d''Achat]] * tbl_Achats[[#This Row],[Prix Achat Unitaire]], 0)</f>
        <v>0</v>
      </c>
    </row>
    <row r="423" spans="4:9" x14ac:dyDescent="0.25">
      <c r="D423" t="str">
        <f>IFERROR(VLOOKUP(E423,Référentiels!$M$2:$N$267,2,FALSE),"Ingrédient non trouvé")</f>
        <v>Ingrédient non trouvé</v>
      </c>
      <c r="I423">
        <f>IFERROR(tbl_Achats[[#This Row],[Qté d''Achat]] * tbl_Achats[[#This Row],[Prix Achat Unitaire]], 0)</f>
        <v>0</v>
      </c>
    </row>
    <row r="424" spans="4:9" x14ac:dyDescent="0.25">
      <c r="D424" t="str">
        <f>IFERROR(VLOOKUP(E424,Référentiels!$M$2:$N$267,2,FALSE),"Ingrédient non trouvé")</f>
        <v>Ingrédient non trouvé</v>
      </c>
      <c r="I424">
        <f>IFERROR(tbl_Achats[[#This Row],[Qté d''Achat]] * tbl_Achats[[#This Row],[Prix Achat Unitaire]], 0)</f>
        <v>0</v>
      </c>
    </row>
    <row r="425" spans="4:9" x14ac:dyDescent="0.25">
      <c r="D425" t="str">
        <f>IFERROR(VLOOKUP(E425,Référentiels!$M$2:$N$267,2,FALSE),"Ingrédient non trouvé")</f>
        <v>Ingrédient non trouvé</v>
      </c>
      <c r="I425">
        <f>IFERROR(tbl_Achats[[#This Row],[Qté d''Achat]] * tbl_Achats[[#This Row],[Prix Achat Unitaire]], 0)</f>
        <v>0</v>
      </c>
    </row>
    <row r="426" spans="4:9" x14ac:dyDescent="0.25">
      <c r="D426" t="str">
        <f>IFERROR(VLOOKUP(E426,Référentiels!$M$2:$N$267,2,FALSE),"Ingrédient non trouvé")</f>
        <v>Ingrédient non trouvé</v>
      </c>
      <c r="I426">
        <f>IFERROR(tbl_Achats[[#This Row],[Qté d''Achat]] * tbl_Achats[[#This Row],[Prix Achat Unitaire]], 0)</f>
        <v>0</v>
      </c>
    </row>
    <row r="427" spans="4:9" x14ac:dyDescent="0.25">
      <c r="D427" t="str">
        <f>IFERROR(VLOOKUP(E427,Référentiels!$M$2:$N$267,2,FALSE),"Ingrédient non trouvé")</f>
        <v>Ingrédient non trouvé</v>
      </c>
      <c r="I427">
        <f>IFERROR(tbl_Achats[[#This Row],[Qté d''Achat]] * tbl_Achats[[#This Row],[Prix Achat Unitaire]], 0)</f>
        <v>0</v>
      </c>
    </row>
    <row r="428" spans="4:9" x14ac:dyDescent="0.25">
      <c r="D428" t="str">
        <f>IFERROR(VLOOKUP(E428,Référentiels!$M$2:$N$267,2,FALSE),"Ingrédient non trouvé")</f>
        <v>Ingrédient non trouvé</v>
      </c>
      <c r="I428">
        <f>IFERROR(tbl_Achats[[#This Row],[Qté d''Achat]] * tbl_Achats[[#This Row],[Prix Achat Unitaire]], 0)</f>
        <v>0</v>
      </c>
    </row>
    <row r="429" spans="4:9" x14ac:dyDescent="0.25">
      <c r="D429" t="str">
        <f>IFERROR(VLOOKUP(E429,Référentiels!$M$2:$N$267,2,FALSE),"Ingrédient non trouvé")</f>
        <v>Ingrédient non trouvé</v>
      </c>
      <c r="I429">
        <f>IFERROR(tbl_Achats[[#This Row],[Qté d''Achat]] * tbl_Achats[[#This Row],[Prix Achat Unitaire]], 0)</f>
        <v>0</v>
      </c>
    </row>
    <row r="430" spans="4:9" x14ac:dyDescent="0.25">
      <c r="D430" t="str">
        <f>IFERROR(VLOOKUP(E430,Référentiels!$M$2:$N$267,2,FALSE),"Ingrédient non trouvé")</f>
        <v>Ingrédient non trouvé</v>
      </c>
      <c r="I430">
        <f>IFERROR(tbl_Achats[[#This Row],[Qté d''Achat]] * tbl_Achats[[#This Row],[Prix Achat Unitaire]], 0)</f>
        <v>0</v>
      </c>
    </row>
    <row r="431" spans="4:9" x14ac:dyDescent="0.25">
      <c r="D431" t="str">
        <f>IFERROR(VLOOKUP(E431,Référentiels!$M$2:$N$267,2,FALSE),"Ingrédient non trouvé")</f>
        <v>Ingrédient non trouvé</v>
      </c>
      <c r="I431">
        <f>IFERROR(tbl_Achats[[#This Row],[Qté d''Achat]] * tbl_Achats[[#This Row],[Prix Achat Unitaire]], 0)</f>
        <v>0</v>
      </c>
    </row>
    <row r="432" spans="4:9" x14ac:dyDescent="0.25">
      <c r="D432" t="str">
        <f>IFERROR(VLOOKUP(E432,Référentiels!$M$2:$N$267,2,FALSE),"Ingrédient non trouvé")</f>
        <v>Ingrédient non trouvé</v>
      </c>
      <c r="I432">
        <f>IFERROR(tbl_Achats[[#This Row],[Qté d''Achat]] * tbl_Achats[[#This Row],[Prix Achat Unitaire]], 0)</f>
        <v>0</v>
      </c>
    </row>
    <row r="433" spans="4:9" x14ac:dyDescent="0.25">
      <c r="D433" t="str">
        <f>IFERROR(VLOOKUP(E433,Référentiels!$M$2:$N$267,2,FALSE),"Ingrédient non trouvé")</f>
        <v>Ingrédient non trouvé</v>
      </c>
      <c r="I433">
        <f>IFERROR(tbl_Achats[[#This Row],[Qté d''Achat]] * tbl_Achats[[#This Row],[Prix Achat Unitaire]], 0)</f>
        <v>0</v>
      </c>
    </row>
    <row r="434" spans="4:9" x14ac:dyDescent="0.25">
      <c r="D434" t="str">
        <f>IFERROR(VLOOKUP(E434,Référentiels!$M$2:$N$267,2,FALSE),"Ingrédient non trouvé")</f>
        <v>Ingrédient non trouvé</v>
      </c>
      <c r="I434">
        <f>IFERROR(tbl_Achats[[#This Row],[Qté d''Achat]] * tbl_Achats[[#This Row],[Prix Achat Unitaire]], 0)</f>
        <v>0</v>
      </c>
    </row>
    <row r="435" spans="4:9" x14ac:dyDescent="0.25">
      <c r="D435" t="str">
        <f>IFERROR(VLOOKUP(E435,Référentiels!$M$2:$N$267,2,FALSE),"Ingrédient non trouvé")</f>
        <v>Ingrédient non trouvé</v>
      </c>
      <c r="I435">
        <f>IFERROR(tbl_Achats[[#This Row],[Qté d''Achat]] * tbl_Achats[[#This Row],[Prix Achat Unitaire]], 0)</f>
        <v>0</v>
      </c>
    </row>
    <row r="436" spans="4:9" x14ac:dyDescent="0.25">
      <c r="D436" t="str">
        <f>IFERROR(VLOOKUP(E436,Référentiels!$M$2:$N$267,2,FALSE),"Ingrédient non trouvé")</f>
        <v>Ingrédient non trouvé</v>
      </c>
      <c r="I436">
        <f>IFERROR(tbl_Achats[[#This Row],[Qté d''Achat]] * tbl_Achats[[#This Row],[Prix Achat Unitaire]], 0)</f>
        <v>0</v>
      </c>
    </row>
    <row r="437" spans="4:9" x14ac:dyDescent="0.25">
      <c r="D437" t="str">
        <f>IFERROR(VLOOKUP(E437,Référentiels!$M$2:$N$267,2,FALSE),"Ingrédient non trouvé")</f>
        <v>Ingrédient non trouvé</v>
      </c>
      <c r="I437">
        <f>IFERROR(tbl_Achats[[#This Row],[Qté d''Achat]] * tbl_Achats[[#This Row],[Prix Achat Unitaire]], 0)</f>
        <v>0</v>
      </c>
    </row>
    <row r="438" spans="4:9" x14ac:dyDescent="0.25">
      <c r="D438" t="str">
        <f>IFERROR(VLOOKUP(E438,Référentiels!$M$2:$N$267,2,FALSE),"Ingrédient non trouvé")</f>
        <v>Ingrédient non trouvé</v>
      </c>
      <c r="I438">
        <f>IFERROR(tbl_Achats[[#This Row],[Qté d''Achat]] * tbl_Achats[[#This Row],[Prix Achat Unitaire]], 0)</f>
        <v>0</v>
      </c>
    </row>
    <row r="439" spans="4:9" x14ac:dyDescent="0.25">
      <c r="D439" t="str">
        <f>IFERROR(VLOOKUP(E439,Référentiels!$M$2:$N$267,2,FALSE),"Ingrédient non trouvé")</f>
        <v>Ingrédient non trouvé</v>
      </c>
      <c r="I439">
        <f>IFERROR(tbl_Achats[[#This Row],[Qté d''Achat]] * tbl_Achats[[#This Row],[Prix Achat Unitaire]], 0)</f>
        <v>0</v>
      </c>
    </row>
    <row r="440" spans="4:9" x14ac:dyDescent="0.25">
      <c r="D440" t="str">
        <f>IFERROR(VLOOKUP(E440,Référentiels!$M$2:$N$267,2,FALSE),"Ingrédient non trouvé")</f>
        <v>Ingrédient non trouvé</v>
      </c>
      <c r="I440">
        <f>IFERROR(tbl_Achats[[#This Row],[Qté d''Achat]] * tbl_Achats[[#This Row],[Prix Achat Unitaire]], 0)</f>
        <v>0</v>
      </c>
    </row>
    <row r="441" spans="4:9" x14ac:dyDescent="0.25">
      <c r="D441" t="str">
        <f>IFERROR(VLOOKUP(E441,Référentiels!$M$2:$N$267,2,FALSE),"Ingrédient non trouvé")</f>
        <v>Ingrédient non trouvé</v>
      </c>
      <c r="I441">
        <f>IFERROR(tbl_Achats[[#This Row],[Qté d''Achat]] * tbl_Achats[[#This Row],[Prix Achat Unitaire]], 0)</f>
        <v>0</v>
      </c>
    </row>
    <row r="442" spans="4:9" x14ac:dyDescent="0.25">
      <c r="D442" t="str">
        <f>IFERROR(VLOOKUP(E442,Référentiels!$M$2:$N$267,2,FALSE),"Ingrédient non trouvé")</f>
        <v>Ingrédient non trouvé</v>
      </c>
      <c r="I442">
        <f>IFERROR(tbl_Achats[[#This Row],[Qté d''Achat]] * tbl_Achats[[#This Row],[Prix Achat Unitaire]], 0)</f>
        <v>0</v>
      </c>
    </row>
    <row r="443" spans="4:9" x14ac:dyDescent="0.25">
      <c r="D443" t="str">
        <f>IFERROR(VLOOKUP(E443,Référentiels!$M$2:$N$267,2,FALSE),"Ingrédient non trouvé")</f>
        <v>Ingrédient non trouvé</v>
      </c>
      <c r="I443">
        <f>IFERROR(tbl_Achats[[#This Row],[Qté d''Achat]] * tbl_Achats[[#This Row],[Prix Achat Unitaire]], 0)</f>
        <v>0</v>
      </c>
    </row>
    <row r="444" spans="4:9" x14ac:dyDescent="0.25">
      <c r="D444" t="str">
        <f>IFERROR(VLOOKUP(E444,Référentiels!$M$2:$N$267,2,FALSE),"Ingrédient non trouvé")</f>
        <v>Ingrédient non trouvé</v>
      </c>
      <c r="I444">
        <f>IFERROR(tbl_Achats[[#This Row],[Qté d''Achat]] * tbl_Achats[[#This Row],[Prix Achat Unitaire]], 0)</f>
        <v>0</v>
      </c>
    </row>
    <row r="445" spans="4:9" x14ac:dyDescent="0.25">
      <c r="D445" t="str">
        <f>IFERROR(VLOOKUP(E445,Référentiels!$M$2:$N$267,2,FALSE),"Ingrédient non trouvé")</f>
        <v>Ingrédient non trouvé</v>
      </c>
      <c r="I445">
        <f>IFERROR(tbl_Achats[[#This Row],[Qté d''Achat]] * tbl_Achats[[#This Row],[Prix Achat Unitaire]], 0)</f>
        <v>0</v>
      </c>
    </row>
    <row r="446" spans="4:9" x14ac:dyDescent="0.25">
      <c r="D446" t="str">
        <f>IFERROR(VLOOKUP(E446,Référentiels!$M$2:$N$267,2,FALSE),"Ingrédient non trouvé")</f>
        <v>Ingrédient non trouvé</v>
      </c>
      <c r="I446">
        <f>IFERROR(tbl_Achats[[#This Row],[Qté d''Achat]] * tbl_Achats[[#This Row],[Prix Achat Unitaire]], 0)</f>
        <v>0</v>
      </c>
    </row>
    <row r="447" spans="4:9" x14ac:dyDescent="0.25">
      <c r="D447" t="str">
        <f>IFERROR(VLOOKUP(E447,Référentiels!$M$2:$N$267,2,FALSE),"Ingrédient non trouvé")</f>
        <v>Ingrédient non trouvé</v>
      </c>
      <c r="I447">
        <f>IFERROR(tbl_Achats[[#This Row],[Qté d''Achat]] * tbl_Achats[[#This Row],[Prix Achat Unitaire]], 0)</f>
        <v>0</v>
      </c>
    </row>
    <row r="448" spans="4:9" x14ac:dyDescent="0.25">
      <c r="D448" t="str">
        <f>IFERROR(VLOOKUP(E448,Référentiels!$M$2:$N$267,2,FALSE),"Ingrédient non trouvé")</f>
        <v>Ingrédient non trouvé</v>
      </c>
      <c r="I448">
        <f>IFERROR(tbl_Achats[[#This Row],[Qté d''Achat]] * tbl_Achats[[#This Row],[Prix Achat Unitaire]], 0)</f>
        <v>0</v>
      </c>
    </row>
    <row r="449" spans="4:9" x14ac:dyDescent="0.25">
      <c r="D449" t="str">
        <f>IFERROR(VLOOKUP(E449,Référentiels!$M$2:$N$267,2,FALSE),"Ingrédient non trouvé")</f>
        <v>Ingrédient non trouvé</v>
      </c>
      <c r="I449">
        <f>IFERROR(tbl_Achats[[#This Row],[Qté d''Achat]] * tbl_Achats[[#This Row],[Prix Achat Unitaire]], 0)</f>
        <v>0</v>
      </c>
    </row>
    <row r="450" spans="4:9" x14ac:dyDescent="0.25">
      <c r="D450" t="str">
        <f>IFERROR(VLOOKUP(E450,Référentiels!$M$2:$N$267,2,FALSE),"Ingrédient non trouvé")</f>
        <v>Ingrédient non trouvé</v>
      </c>
      <c r="I450">
        <f>IFERROR(tbl_Achats[[#This Row],[Qté d''Achat]] * tbl_Achats[[#This Row],[Prix Achat Unitaire]], 0)</f>
        <v>0</v>
      </c>
    </row>
    <row r="451" spans="4:9" x14ac:dyDescent="0.25">
      <c r="D451" t="str">
        <f>IFERROR(VLOOKUP(E451,Référentiels!$M$2:$N$267,2,FALSE),"Ingrédient non trouvé")</f>
        <v>Ingrédient non trouvé</v>
      </c>
      <c r="I451">
        <f>IFERROR(tbl_Achats[[#This Row],[Qté d''Achat]] * tbl_Achats[[#This Row],[Prix Achat Unitaire]], 0)</f>
        <v>0</v>
      </c>
    </row>
    <row r="452" spans="4:9" x14ac:dyDescent="0.25">
      <c r="D452" t="str">
        <f>IFERROR(VLOOKUP(E452,Référentiels!$M$2:$N$267,2,FALSE),"Ingrédient non trouvé")</f>
        <v>Ingrédient non trouvé</v>
      </c>
      <c r="I452">
        <f>IFERROR(tbl_Achats[[#This Row],[Qté d''Achat]] * tbl_Achats[[#This Row],[Prix Achat Unitaire]], 0)</f>
        <v>0</v>
      </c>
    </row>
    <row r="453" spans="4:9" x14ac:dyDescent="0.25">
      <c r="D453" t="str">
        <f>IFERROR(VLOOKUP(E453,Référentiels!$M$2:$N$267,2,FALSE),"Ingrédient non trouvé")</f>
        <v>Ingrédient non trouvé</v>
      </c>
      <c r="I453">
        <f>IFERROR(tbl_Achats[[#This Row],[Qté d''Achat]] * tbl_Achats[[#This Row],[Prix Achat Unitaire]], 0)</f>
        <v>0</v>
      </c>
    </row>
    <row r="454" spans="4:9" x14ac:dyDescent="0.25">
      <c r="D454" t="str">
        <f>IFERROR(VLOOKUP(E454,Référentiels!$M$2:$N$267,2,FALSE),"Ingrédient non trouvé")</f>
        <v>Ingrédient non trouvé</v>
      </c>
      <c r="I454">
        <f>IFERROR(tbl_Achats[[#This Row],[Qté d''Achat]] * tbl_Achats[[#This Row],[Prix Achat Unitaire]], 0)</f>
        <v>0</v>
      </c>
    </row>
    <row r="455" spans="4:9" x14ac:dyDescent="0.25">
      <c r="D455" t="str">
        <f>IFERROR(VLOOKUP(E455,Référentiels!$M$2:$N$267,2,FALSE),"Ingrédient non trouvé")</f>
        <v>Ingrédient non trouvé</v>
      </c>
      <c r="I455">
        <f>IFERROR(tbl_Achats[[#This Row],[Qté d''Achat]] * tbl_Achats[[#This Row],[Prix Achat Unitaire]], 0)</f>
        <v>0</v>
      </c>
    </row>
    <row r="456" spans="4:9" x14ac:dyDescent="0.25">
      <c r="D456" t="str">
        <f>IFERROR(VLOOKUP(E456,Référentiels!$M$2:$N$267,2,FALSE),"Ingrédient non trouvé")</f>
        <v>Ingrédient non trouvé</v>
      </c>
      <c r="I456">
        <f>IFERROR(tbl_Achats[[#This Row],[Qté d''Achat]] * tbl_Achats[[#This Row],[Prix Achat Unitaire]], 0)</f>
        <v>0</v>
      </c>
    </row>
    <row r="457" spans="4:9" x14ac:dyDescent="0.25">
      <c r="D457" t="str">
        <f>IFERROR(VLOOKUP(E457,Référentiels!$M$2:$N$267,2,FALSE),"Ingrédient non trouvé")</f>
        <v>Ingrédient non trouvé</v>
      </c>
      <c r="I457">
        <f>IFERROR(tbl_Achats[[#This Row],[Qté d''Achat]] * tbl_Achats[[#This Row],[Prix Achat Unitaire]], 0)</f>
        <v>0</v>
      </c>
    </row>
    <row r="458" spans="4:9" x14ac:dyDescent="0.25">
      <c r="D458" t="str">
        <f>IFERROR(VLOOKUP(E458,Référentiels!$M$2:$N$267,2,FALSE),"Ingrédient non trouvé")</f>
        <v>Ingrédient non trouvé</v>
      </c>
      <c r="I458">
        <f>IFERROR(tbl_Achats[[#This Row],[Qté d''Achat]] * tbl_Achats[[#This Row],[Prix Achat Unitaire]], 0)</f>
        <v>0</v>
      </c>
    </row>
    <row r="459" spans="4:9" x14ac:dyDescent="0.25">
      <c r="D459" t="str">
        <f>IFERROR(VLOOKUP(E459,Référentiels!$M$2:$N$267,2,FALSE),"Ingrédient non trouvé")</f>
        <v>Ingrédient non trouvé</v>
      </c>
      <c r="I459">
        <f>IFERROR(tbl_Achats[[#This Row],[Qté d''Achat]] * tbl_Achats[[#This Row],[Prix Achat Unitaire]], 0)</f>
        <v>0</v>
      </c>
    </row>
    <row r="460" spans="4:9" x14ac:dyDescent="0.25">
      <c r="D460" t="str">
        <f>IFERROR(VLOOKUP(E460,Référentiels!$M$2:$N$267,2,FALSE),"Ingrédient non trouvé")</f>
        <v>Ingrédient non trouvé</v>
      </c>
      <c r="I460">
        <f>IFERROR(tbl_Achats[[#This Row],[Qté d''Achat]] * tbl_Achats[[#This Row],[Prix Achat Unitaire]], 0)</f>
        <v>0</v>
      </c>
    </row>
    <row r="461" spans="4:9" x14ac:dyDescent="0.25">
      <c r="D461" t="str">
        <f>IFERROR(VLOOKUP(E461,Référentiels!$M$2:$N$267,2,FALSE),"Ingrédient non trouvé")</f>
        <v>Ingrédient non trouvé</v>
      </c>
      <c r="I461">
        <f>IFERROR(tbl_Achats[[#This Row],[Qté d''Achat]] * tbl_Achats[[#This Row],[Prix Achat Unitaire]], 0)</f>
        <v>0</v>
      </c>
    </row>
    <row r="462" spans="4:9" x14ac:dyDescent="0.25">
      <c r="D462" t="str">
        <f>IFERROR(VLOOKUP(E462,Référentiels!$M$2:$N$267,2,FALSE),"Ingrédient non trouvé")</f>
        <v>Ingrédient non trouvé</v>
      </c>
      <c r="I462">
        <f>IFERROR(tbl_Achats[[#This Row],[Qté d''Achat]] * tbl_Achats[[#This Row],[Prix Achat Unitaire]], 0)</f>
        <v>0</v>
      </c>
    </row>
    <row r="463" spans="4:9" x14ac:dyDescent="0.25">
      <c r="D463" t="str">
        <f>IFERROR(VLOOKUP(E463,Référentiels!$M$2:$N$267,2,FALSE),"Ingrédient non trouvé")</f>
        <v>Ingrédient non trouvé</v>
      </c>
      <c r="I463">
        <f>IFERROR(tbl_Achats[[#This Row],[Qté d''Achat]] * tbl_Achats[[#This Row],[Prix Achat Unitaire]], 0)</f>
        <v>0</v>
      </c>
    </row>
    <row r="464" spans="4:9" x14ac:dyDescent="0.25">
      <c r="D464" t="str">
        <f>IFERROR(VLOOKUP(E464,Référentiels!$M$2:$N$267,2,FALSE),"Ingrédient non trouvé")</f>
        <v>Ingrédient non trouvé</v>
      </c>
      <c r="I464">
        <f>IFERROR(tbl_Achats[[#This Row],[Qté d''Achat]] * tbl_Achats[[#This Row],[Prix Achat Unitaire]], 0)</f>
        <v>0</v>
      </c>
    </row>
    <row r="465" spans="4:9" x14ac:dyDescent="0.25">
      <c r="D465" t="str">
        <f>IFERROR(VLOOKUP(E465,Référentiels!$M$2:$N$267,2,FALSE),"Ingrédient non trouvé")</f>
        <v>Ingrédient non trouvé</v>
      </c>
      <c r="I465">
        <f>IFERROR(tbl_Achats[[#This Row],[Qté d''Achat]] * tbl_Achats[[#This Row],[Prix Achat Unitaire]], 0)</f>
        <v>0</v>
      </c>
    </row>
    <row r="466" spans="4:9" x14ac:dyDescent="0.25">
      <c r="D466" t="str">
        <f>IFERROR(VLOOKUP(E466,Référentiels!$M$2:$N$267,2,FALSE),"Ingrédient non trouvé")</f>
        <v>Ingrédient non trouvé</v>
      </c>
      <c r="I466">
        <f>IFERROR(tbl_Achats[[#This Row],[Qté d''Achat]] * tbl_Achats[[#This Row],[Prix Achat Unitaire]], 0)</f>
        <v>0</v>
      </c>
    </row>
    <row r="467" spans="4:9" x14ac:dyDescent="0.25">
      <c r="D467" t="str">
        <f>IFERROR(VLOOKUP(E467,Référentiels!$M$2:$N$267,2,FALSE),"Ingrédient non trouvé")</f>
        <v>Ingrédient non trouvé</v>
      </c>
      <c r="I467">
        <f>IFERROR(tbl_Achats[[#This Row],[Qté d''Achat]] * tbl_Achats[[#This Row],[Prix Achat Unitaire]], 0)</f>
        <v>0</v>
      </c>
    </row>
    <row r="468" spans="4:9" x14ac:dyDescent="0.25">
      <c r="D468" t="str">
        <f>IFERROR(VLOOKUP(E468,Référentiels!$M$2:$N$267,2,FALSE),"Ingrédient non trouvé")</f>
        <v>Ingrédient non trouvé</v>
      </c>
      <c r="I468">
        <f>IFERROR(tbl_Achats[[#This Row],[Qté d''Achat]] * tbl_Achats[[#This Row],[Prix Achat Unitaire]], 0)</f>
        <v>0</v>
      </c>
    </row>
    <row r="469" spans="4:9" x14ac:dyDescent="0.25">
      <c r="D469" t="str">
        <f>IFERROR(VLOOKUP(E469,Référentiels!$M$2:$N$267,2,FALSE),"Ingrédient non trouvé")</f>
        <v>Ingrédient non trouvé</v>
      </c>
      <c r="I469">
        <f>IFERROR(tbl_Achats[[#This Row],[Qté d''Achat]] * tbl_Achats[[#This Row],[Prix Achat Unitaire]], 0)</f>
        <v>0</v>
      </c>
    </row>
    <row r="470" spans="4:9" x14ac:dyDescent="0.25">
      <c r="D470" t="str">
        <f>IFERROR(VLOOKUP(E470,Référentiels!$M$2:$N$267,2,FALSE),"Ingrédient non trouvé")</f>
        <v>Ingrédient non trouvé</v>
      </c>
      <c r="I470">
        <f>IFERROR(tbl_Achats[[#This Row],[Qté d''Achat]] * tbl_Achats[[#This Row],[Prix Achat Unitaire]], 0)</f>
        <v>0</v>
      </c>
    </row>
    <row r="471" spans="4:9" x14ac:dyDescent="0.25">
      <c r="D471" t="str">
        <f>IFERROR(VLOOKUP(E471,Référentiels!$M$2:$N$267,2,FALSE),"Ingrédient non trouvé")</f>
        <v>Ingrédient non trouvé</v>
      </c>
      <c r="I471">
        <f>IFERROR(tbl_Achats[[#This Row],[Qté d''Achat]] * tbl_Achats[[#This Row],[Prix Achat Unitaire]], 0)</f>
        <v>0</v>
      </c>
    </row>
    <row r="472" spans="4:9" x14ac:dyDescent="0.25">
      <c r="D472" t="str">
        <f>IFERROR(VLOOKUP(E472,Référentiels!$M$2:$N$267,2,FALSE),"Ingrédient non trouvé")</f>
        <v>Ingrédient non trouvé</v>
      </c>
      <c r="I472">
        <f>IFERROR(tbl_Achats[[#This Row],[Qté d''Achat]] * tbl_Achats[[#This Row],[Prix Achat Unitaire]], 0)</f>
        <v>0</v>
      </c>
    </row>
    <row r="473" spans="4:9" x14ac:dyDescent="0.25">
      <c r="D473" t="str">
        <f>IFERROR(VLOOKUP(E473,Référentiels!$M$2:$N$267,2,FALSE),"Ingrédient non trouvé")</f>
        <v>Ingrédient non trouvé</v>
      </c>
      <c r="I473">
        <f>IFERROR(tbl_Achats[[#This Row],[Qté d''Achat]] * tbl_Achats[[#This Row],[Prix Achat Unitaire]], 0)</f>
        <v>0</v>
      </c>
    </row>
    <row r="474" spans="4:9" x14ac:dyDescent="0.25">
      <c r="D474" t="str">
        <f>IFERROR(VLOOKUP(E474,Référentiels!$M$2:$N$267,2,FALSE),"Ingrédient non trouvé")</f>
        <v>Ingrédient non trouvé</v>
      </c>
      <c r="I474">
        <f>IFERROR(tbl_Achats[[#This Row],[Qté d''Achat]] * tbl_Achats[[#This Row],[Prix Achat Unitaire]], 0)</f>
        <v>0</v>
      </c>
    </row>
    <row r="475" spans="4:9" x14ac:dyDescent="0.25">
      <c r="D475" t="str">
        <f>IFERROR(VLOOKUP(E475,Référentiels!$M$2:$N$267,2,FALSE),"Ingrédient non trouvé")</f>
        <v>Ingrédient non trouvé</v>
      </c>
      <c r="I475">
        <f>IFERROR(tbl_Achats[[#This Row],[Qté d''Achat]] * tbl_Achats[[#This Row],[Prix Achat Unitaire]], 0)</f>
        <v>0</v>
      </c>
    </row>
    <row r="476" spans="4:9" x14ac:dyDescent="0.25">
      <c r="D476" t="str">
        <f>IFERROR(VLOOKUP(E476,Référentiels!$M$2:$N$267,2,FALSE),"Ingrédient non trouvé")</f>
        <v>Ingrédient non trouvé</v>
      </c>
      <c r="I476">
        <f>IFERROR(tbl_Achats[[#This Row],[Qté d''Achat]] * tbl_Achats[[#This Row],[Prix Achat Unitaire]], 0)</f>
        <v>0</v>
      </c>
    </row>
    <row r="477" spans="4:9" x14ac:dyDescent="0.25">
      <c r="D477" t="str">
        <f>IFERROR(VLOOKUP(E477,Référentiels!$M$2:$N$267,2,FALSE),"Ingrédient non trouvé")</f>
        <v>Ingrédient non trouvé</v>
      </c>
      <c r="I477">
        <f>IFERROR(tbl_Achats[[#This Row],[Qté d''Achat]] * tbl_Achats[[#This Row],[Prix Achat Unitaire]], 0)</f>
        <v>0</v>
      </c>
    </row>
    <row r="478" spans="4:9" x14ac:dyDescent="0.25">
      <c r="D478" t="str">
        <f>IFERROR(VLOOKUP(E478,Référentiels!$M$2:$N$267,2,FALSE),"Ingrédient non trouvé")</f>
        <v>Ingrédient non trouvé</v>
      </c>
      <c r="I478">
        <f>IFERROR(tbl_Achats[[#This Row],[Qté d''Achat]] * tbl_Achats[[#This Row],[Prix Achat Unitaire]], 0)</f>
        <v>0</v>
      </c>
    </row>
    <row r="479" spans="4:9" x14ac:dyDescent="0.25">
      <c r="D479" t="str">
        <f>IFERROR(VLOOKUP(E479,Référentiels!$M$2:$N$267,2,FALSE),"Ingrédient non trouvé")</f>
        <v>Ingrédient non trouvé</v>
      </c>
      <c r="I479">
        <f>IFERROR(tbl_Achats[[#This Row],[Qté d''Achat]] * tbl_Achats[[#This Row],[Prix Achat Unitaire]], 0)</f>
        <v>0</v>
      </c>
    </row>
    <row r="480" spans="4:9" x14ac:dyDescent="0.25">
      <c r="D480" t="str">
        <f>IFERROR(VLOOKUP(E480,Référentiels!$M$2:$N$267,2,FALSE),"Ingrédient non trouvé")</f>
        <v>Ingrédient non trouvé</v>
      </c>
      <c r="I480">
        <f>IFERROR(tbl_Achats[[#This Row],[Qté d''Achat]] * tbl_Achats[[#This Row],[Prix Achat Unitaire]], 0)</f>
        <v>0</v>
      </c>
    </row>
    <row r="481" spans="4:9" x14ac:dyDescent="0.25">
      <c r="D481" t="str">
        <f>IFERROR(VLOOKUP(E481,Référentiels!$M$2:$N$267,2,FALSE),"Ingrédient non trouvé")</f>
        <v>Ingrédient non trouvé</v>
      </c>
      <c r="I481">
        <f>IFERROR(tbl_Achats[[#This Row],[Qté d''Achat]] * tbl_Achats[[#This Row],[Prix Achat Unitaire]], 0)</f>
        <v>0</v>
      </c>
    </row>
    <row r="482" spans="4:9" x14ac:dyDescent="0.25">
      <c r="D482" t="str">
        <f>IFERROR(VLOOKUP(E482,Référentiels!$M$2:$N$267,2,FALSE),"Ingrédient non trouvé")</f>
        <v>Ingrédient non trouvé</v>
      </c>
      <c r="I482">
        <f>IFERROR(tbl_Achats[[#This Row],[Qté d''Achat]] * tbl_Achats[[#This Row],[Prix Achat Unitaire]], 0)</f>
        <v>0</v>
      </c>
    </row>
    <row r="483" spans="4:9" x14ac:dyDescent="0.25">
      <c r="D483" t="str">
        <f>IFERROR(VLOOKUP(E483,Référentiels!$M$2:$N$267,2,FALSE),"Ingrédient non trouvé")</f>
        <v>Ingrédient non trouvé</v>
      </c>
      <c r="I483">
        <f>IFERROR(tbl_Achats[[#This Row],[Qté d''Achat]] * tbl_Achats[[#This Row],[Prix Achat Unitaire]], 0)</f>
        <v>0</v>
      </c>
    </row>
    <row r="484" spans="4:9" x14ac:dyDescent="0.25">
      <c r="D484" t="str">
        <f>IFERROR(VLOOKUP(E484,Référentiels!$M$2:$N$267,2,FALSE),"Ingrédient non trouvé")</f>
        <v>Ingrédient non trouvé</v>
      </c>
      <c r="I484">
        <f>IFERROR(tbl_Achats[[#This Row],[Qté d''Achat]] * tbl_Achats[[#This Row],[Prix Achat Unitaire]], 0)</f>
        <v>0</v>
      </c>
    </row>
    <row r="485" spans="4:9" x14ac:dyDescent="0.25">
      <c r="D485" t="str">
        <f>IFERROR(VLOOKUP(E485,Référentiels!$M$2:$N$267,2,FALSE),"Ingrédient non trouvé")</f>
        <v>Ingrédient non trouvé</v>
      </c>
      <c r="I485">
        <f>IFERROR(tbl_Achats[[#This Row],[Qté d''Achat]] * tbl_Achats[[#This Row],[Prix Achat Unitaire]], 0)</f>
        <v>0</v>
      </c>
    </row>
    <row r="486" spans="4:9" x14ac:dyDescent="0.25">
      <c r="D486" t="str">
        <f>IFERROR(VLOOKUP(E486,Référentiels!$M$2:$N$267,2,FALSE),"Ingrédient non trouvé")</f>
        <v>Ingrédient non trouvé</v>
      </c>
      <c r="I486">
        <f>IFERROR(tbl_Achats[[#This Row],[Qté d''Achat]] * tbl_Achats[[#This Row],[Prix Achat Unitaire]], 0)</f>
        <v>0</v>
      </c>
    </row>
    <row r="487" spans="4:9" x14ac:dyDescent="0.25">
      <c r="D487" t="str">
        <f>IFERROR(VLOOKUP(E487,Référentiels!$M$2:$N$267,2,FALSE),"Ingrédient non trouvé")</f>
        <v>Ingrédient non trouvé</v>
      </c>
      <c r="I487">
        <f>IFERROR(tbl_Achats[[#This Row],[Qté d''Achat]] * tbl_Achats[[#This Row],[Prix Achat Unitaire]], 0)</f>
        <v>0</v>
      </c>
    </row>
    <row r="488" spans="4:9" x14ac:dyDescent="0.25">
      <c r="D488" t="str">
        <f>IFERROR(VLOOKUP(E488,Référentiels!$M$2:$N$267,2,FALSE),"Ingrédient non trouvé")</f>
        <v>Ingrédient non trouvé</v>
      </c>
      <c r="I488">
        <f>IFERROR(tbl_Achats[[#This Row],[Qté d''Achat]] * tbl_Achats[[#This Row],[Prix Achat Unitaire]], 0)</f>
        <v>0</v>
      </c>
    </row>
    <row r="489" spans="4:9" x14ac:dyDescent="0.25">
      <c r="D489" t="str">
        <f>IFERROR(VLOOKUP(E489,Référentiels!$M$2:$N$267,2,FALSE),"Ingrédient non trouvé")</f>
        <v>Ingrédient non trouvé</v>
      </c>
      <c r="I489">
        <f>IFERROR(tbl_Achats[[#This Row],[Qté d''Achat]] * tbl_Achats[[#This Row],[Prix Achat Unitaire]], 0)</f>
        <v>0</v>
      </c>
    </row>
    <row r="490" spans="4:9" x14ac:dyDescent="0.25">
      <c r="D490" t="str">
        <f>IFERROR(VLOOKUP(E490,Référentiels!$M$2:$N$267,2,FALSE),"Ingrédient non trouvé")</f>
        <v>Ingrédient non trouvé</v>
      </c>
      <c r="I490">
        <f>IFERROR(tbl_Achats[[#This Row],[Qté d''Achat]] * tbl_Achats[[#This Row],[Prix Achat Unitaire]], 0)</f>
        <v>0</v>
      </c>
    </row>
    <row r="491" spans="4:9" x14ac:dyDescent="0.25">
      <c r="D491" t="str">
        <f>IFERROR(VLOOKUP(E491,Référentiels!$M$2:$N$267,2,FALSE),"Ingrédient non trouvé")</f>
        <v>Ingrédient non trouvé</v>
      </c>
      <c r="I491">
        <f>IFERROR(tbl_Achats[[#This Row],[Qté d''Achat]] * tbl_Achats[[#This Row],[Prix Achat Unitaire]], 0)</f>
        <v>0</v>
      </c>
    </row>
    <row r="492" spans="4:9" x14ac:dyDescent="0.25">
      <c r="D492" t="str">
        <f>IFERROR(VLOOKUP(E492,Référentiels!$M$2:$N$267,2,FALSE),"Ingrédient non trouvé")</f>
        <v>Ingrédient non trouvé</v>
      </c>
      <c r="I492">
        <f>IFERROR(tbl_Achats[[#This Row],[Qté d''Achat]] * tbl_Achats[[#This Row],[Prix Achat Unitaire]], 0)</f>
        <v>0</v>
      </c>
    </row>
    <row r="493" spans="4:9" x14ac:dyDescent="0.25">
      <c r="D493" t="str">
        <f>IFERROR(VLOOKUP(E493,Référentiels!$M$2:$N$267,2,FALSE),"Ingrédient non trouvé")</f>
        <v>Ingrédient non trouvé</v>
      </c>
      <c r="I493">
        <f>IFERROR(tbl_Achats[[#This Row],[Qté d''Achat]] * tbl_Achats[[#This Row],[Prix Achat Unitaire]], 0)</f>
        <v>0</v>
      </c>
    </row>
    <row r="494" spans="4:9" x14ac:dyDescent="0.25">
      <c r="D494" t="str">
        <f>IFERROR(VLOOKUP(E494,Référentiels!$M$2:$N$267,2,FALSE),"Ingrédient non trouvé")</f>
        <v>Ingrédient non trouvé</v>
      </c>
      <c r="I494">
        <f>IFERROR(tbl_Achats[[#This Row],[Qté d''Achat]] * tbl_Achats[[#This Row],[Prix Achat Unitaire]], 0)</f>
        <v>0</v>
      </c>
    </row>
    <row r="495" spans="4:9" x14ac:dyDescent="0.25">
      <c r="D495" t="str">
        <f>IFERROR(VLOOKUP(E495,Référentiels!$M$2:$N$267,2,FALSE),"Ingrédient non trouvé")</f>
        <v>Ingrédient non trouvé</v>
      </c>
      <c r="I495">
        <f>IFERROR(tbl_Achats[[#This Row],[Qté d''Achat]] * tbl_Achats[[#This Row],[Prix Achat Unitaire]], 0)</f>
        <v>0</v>
      </c>
    </row>
    <row r="496" spans="4:9" x14ac:dyDescent="0.25">
      <c r="D496" t="str">
        <f>IFERROR(VLOOKUP(E496,Référentiels!$M$2:$N$267,2,FALSE),"Ingrédient non trouvé")</f>
        <v>Ingrédient non trouvé</v>
      </c>
      <c r="I496">
        <f>IFERROR(tbl_Achats[[#This Row],[Qté d''Achat]] * tbl_Achats[[#This Row],[Prix Achat Unitaire]], 0)</f>
        <v>0</v>
      </c>
    </row>
    <row r="497" spans="4:9" x14ac:dyDescent="0.25">
      <c r="D497" t="str">
        <f>IFERROR(VLOOKUP(E497,Référentiels!$M$2:$N$267,2,FALSE),"Ingrédient non trouvé")</f>
        <v>Ingrédient non trouvé</v>
      </c>
      <c r="I497">
        <f>IFERROR(tbl_Achats[[#This Row],[Qté d''Achat]] * tbl_Achats[[#This Row],[Prix Achat Unitaire]], 0)</f>
        <v>0</v>
      </c>
    </row>
    <row r="498" spans="4:9" x14ac:dyDescent="0.25">
      <c r="D498" t="str">
        <f>IFERROR(VLOOKUP(E498,Référentiels!$M$2:$N$267,2,FALSE),"Ingrédient non trouvé")</f>
        <v>Ingrédient non trouvé</v>
      </c>
      <c r="I498">
        <f>IFERROR(tbl_Achats[[#This Row],[Qté d''Achat]] * tbl_Achats[[#This Row],[Prix Achat Unitaire]], 0)</f>
        <v>0</v>
      </c>
    </row>
    <row r="499" spans="4:9" x14ac:dyDescent="0.25">
      <c r="D499" t="str">
        <f>IFERROR(VLOOKUP(E499,Référentiels!$M$2:$N$267,2,FALSE),"Ingrédient non trouvé")</f>
        <v>Ingrédient non trouvé</v>
      </c>
      <c r="I499">
        <f>IFERROR(tbl_Achats[[#This Row],[Qté d''Achat]] * tbl_Achats[[#This Row],[Prix Achat Unitaire]], 0)</f>
        <v>0</v>
      </c>
    </row>
    <row r="500" spans="4:9" x14ac:dyDescent="0.25">
      <c r="D500" t="str">
        <f>IFERROR(VLOOKUP(E500,Référentiels!$M$2:$N$267,2,FALSE),"Ingrédient non trouvé")</f>
        <v>Ingrédient non trouvé</v>
      </c>
      <c r="I500">
        <f>IFERROR(tbl_Achats[[#This Row],[Qté d''Achat]] * tbl_Achats[[#This Row],[Prix Achat Unitaire]], 0)</f>
        <v>0</v>
      </c>
    </row>
    <row r="501" spans="4:9" x14ac:dyDescent="0.25">
      <c r="D501" t="str">
        <f>IFERROR(VLOOKUP(E501,Référentiels!$M$2:$N$267,2,FALSE),"Ingrédient non trouvé")</f>
        <v>Ingrédient non trouvé</v>
      </c>
      <c r="I501">
        <f>IFERROR(tbl_Achats[[#This Row],[Qté d''Achat]] * tbl_Achats[[#This Row],[Prix Achat Unitaire]], 0)</f>
        <v>0</v>
      </c>
    </row>
    <row r="502" spans="4:9" x14ac:dyDescent="0.25">
      <c r="D502" t="str">
        <f>IFERROR(VLOOKUP(E502,Référentiels!$M$2:$N$267,2,FALSE),"Ingrédient non trouvé")</f>
        <v>Ingrédient non trouvé</v>
      </c>
      <c r="I502">
        <f>IFERROR(tbl_Achats[[#This Row],[Qté d''Achat]] * tbl_Achats[[#This Row],[Prix Achat Unitaire]], 0)</f>
        <v>0</v>
      </c>
    </row>
    <row r="503" spans="4:9" x14ac:dyDescent="0.25">
      <c r="D503" t="str">
        <f>IFERROR(VLOOKUP(E503,Référentiels!$M$2:$N$267,2,FALSE),"Ingrédient non trouvé")</f>
        <v>Ingrédient non trouvé</v>
      </c>
      <c r="I503">
        <f>IFERROR(tbl_Achats[[#This Row],[Qté d''Achat]] * tbl_Achats[[#This Row],[Prix Achat Unitaire]], 0)</f>
        <v>0</v>
      </c>
    </row>
    <row r="504" spans="4:9" x14ac:dyDescent="0.25">
      <c r="D504" t="str">
        <f>IFERROR(VLOOKUP(E504,Référentiels!$M$2:$N$267,2,FALSE),"Ingrédient non trouvé")</f>
        <v>Ingrédient non trouvé</v>
      </c>
      <c r="I504">
        <f>IFERROR(tbl_Achats[[#This Row],[Qté d''Achat]] * tbl_Achats[[#This Row],[Prix Achat Unitaire]], 0)</f>
        <v>0</v>
      </c>
    </row>
    <row r="505" spans="4:9" x14ac:dyDescent="0.25">
      <c r="D505" t="str">
        <f>IFERROR(VLOOKUP(E505,Référentiels!$M$2:$N$267,2,FALSE),"Ingrédient non trouvé")</f>
        <v>Ingrédient non trouvé</v>
      </c>
      <c r="I505">
        <f>IFERROR(tbl_Achats[[#This Row],[Qté d''Achat]] * tbl_Achats[[#This Row],[Prix Achat Unitaire]], 0)</f>
        <v>0</v>
      </c>
    </row>
    <row r="506" spans="4:9" x14ac:dyDescent="0.25">
      <c r="D506" t="str">
        <f>IFERROR(VLOOKUP(E506,Référentiels!$M$2:$N$267,2,FALSE),"Ingrédient non trouvé")</f>
        <v>Ingrédient non trouvé</v>
      </c>
      <c r="I506">
        <f>IFERROR(tbl_Achats[[#This Row],[Qté d''Achat]] * tbl_Achats[[#This Row],[Prix Achat Unitaire]], 0)</f>
        <v>0</v>
      </c>
    </row>
    <row r="507" spans="4:9" x14ac:dyDescent="0.25">
      <c r="D507" t="str">
        <f>IFERROR(VLOOKUP(E507,Référentiels!$M$2:$N$267,2,FALSE),"Ingrédient non trouvé")</f>
        <v>Ingrédient non trouvé</v>
      </c>
      <c r="I507">
        <f>IFERROR(tbl_Achats[[#This Row],[Qté d''Achat]] * tbl_Achats[[#This Row],[Prix Achat Unitaire]], 0)</f>
        <v>0</v>
      </c>
    </row>
    <row r="508" spans="4:9" x14ac:dyDescent="0.25">
      <c r="D508" t="str">
        <f>IFERROR(VLOOKUP(E508,Référentiels!$M$2:$N$267,2,FALSE),"Ingrédient non trouvé")</f>
        <v>Ingrédient non trouvé</v>
      </c>
      <c r="I508">
        <f>IFERROR(tbl_Achats[[#This Row],[Qté d''Achat]] * tbl_Achats[[#This Row],[Prix Achat Unitaire]], 0)</f>
        <v>0</v>
      </c>
    </row>
    <row r="509" spans="4:9" x14ac:dyDescent="0.25">
      <c r="D509" t="str">
        <f>IFERROR(VLOOKUP(E509,Référentiels!$M$2:$N$267,2,FALSE),"Ingrédient non trouvé")</f>
        <v>Ingrédient non trouvé</v>
      </c>
      <c r="I509">
        <f>IFERROR(tbl_Achats[[#This Row],[Qté d''Achat]] * tbl_Achats[[#This Row],[Prix Achat Unitaire]], 0)</f>
        <v>0</v>
      </c>
    </row>
    <row r="510" spans="4:9" x14ac:dyDescent="0.25">
      <c r="D510" t="str">
        <f>IFERROR(VLOOKUP(E510,Référentiels!$M$2:$N$267,2,FALSE),"Ingrédient non trouvé")</f>
        <v>Ingrédient non trouvé</v>
      </c>
      <c r="I510">
        <f>IFERROR(tbl_Achats[[#This Row],[Qté d''Achat]] * tbl_Achats[[#This Row],[Prix Achat Unitaire]], 0)</f>
        <v>0</v>
      </c>
    </row>
    <row r="511" spans="4:9" x14ac:dyDescent="0.25">
      <c r="D511" t="str">
        <f>IFERROR(VLOOKUP(E511,Référentiels!$M$2:$N$267,2,FALSE),"Ingrédient non trouvé")</f>
        <v>Ingrédient non trouvé</v>
      </c>
      <c r="I511">
        <f>IFERROR(tbl_Achats[[#This Row],[Qté d''Achat]] * tbl_Achats[[#This Row],[Prix Achat Unitaire]], 0)</f>
        <v>0</v>
      </c>
    </row>
    <row r="512" spans="4:9" x14ac:dyDescent="0.25">
      <c r="D512" t="str">
        <f>IFERROR(VLOOKUP(E512,Référentiels!$M$2:$N$267,2,FALSE),"Ingrédient non trouvé")</f>
        <v>Ingrédient non trouvé</v>
      </c>
      <c r="I512">
        <f>IFERROR(tbl_Achats[[#This Row],[Qté d''Achat]] * tbl_Achats[[#This Row],[Prix Achat Unitaire]], 0)</f>
        <v>0</v>
      </c>
    </row>
    <row r="513" spans="4:9" x14ac:dyDescent="0.25">
      <c r="D513" t="str">
        <f>IFERROR(VLOOKUP(E513,Référentiels!$M$2:$N$267,2,FALSE),"Ingrédient non trouvé")</f>
        <v>Ingrédient non trouvé</v>
      </c>
      <c r="I513">
        <f>IFERROR(tbl_Achats[[#This Row],[Qté d''Achat]] * tbl_Achats[[#This Row],[Prix Achat Unitaire]], 0)</f>
        <v>0</v>
      </c>
    </row>
    <row r="514" spans="4:9" x14ac:dyDescent="0.25">
      <c r="D514" t="str">
        <f>IFERROR(VLOOKUP(E514,Référentiels!$M$2:$N$267,2,FALSE),"Ingrédient non trouvé")</f>
        <v>Ingrédient non trouvé</v>
      </c>
      <c r="I514">
        <f>IFERROR(tbl_Achats[[#This Row],[Qté d''Achat]] * tbl_Achats[[#This Row],[Prix Achat Unitaire]], 0)</f>
        <v>0</v>
      </c>
    </row>
    <row r="515" spans="4:9" x14ac:dyDescent="0.25">
      <c r="D515" t="str">
        <f>IFERROR(VLOOKUP(E515,Référentiels!$M$2:$N$267,2,FALSE),"Ingrédient non trouvé")</f>
        <v>Ingrédient non trouvé</v>
      </c>
      <c r="I515">
        <f>IFERROR(tbl_Achats[[#This Row],[Qté d''Achat]] * tbl_Achats[[#This Row],[Prix Achat Unitaire]], 0)</f>
        <v>0</v>
      </c>
    </row>
    <row r="516" spans="4:9" x14ac:dyDescent="0.25">
      <c r="D516" t="str">
        <f>IFERROR(VLOOKUP(E516,Référentiels!$M$2:$N$267,2,FALSE),"Ingrédient non trouvé")</f>
        <v>Ingrédient non trouvé</v>
      </c>
      <c r="I516">
        <f>IFERROR(tbl_Achats[[#This Row],[Qté d''Achat]] * tbl_Achats[[#This Row],[Prix Achat Unitaire]], 0)</f>
        <v>0</v>
      </c>
    </row>
    <row r="517" spans="4:9" x14ac:dyDescent="0.25">
      <c r="D517" t="str">
        <f>IFERROR(VLOOKUP(E517,Référentiels!$M$2:$N$267,2,FALSE),"Ingrédient non trouvé")</f>
        <v>Ingrédient non trouvé</v>
      </c>
      <c r="I517">
        <f>IFERROR(tbl_Achats[[#This Row],[Qté d''Achat]] * tbl_Achats[[#This Row],[Prix Achat Unitaire]], 0)</f>
        <v>0</v>
      </c>
    </row>
    <row r="518" spans="4:9" x14ac:dyDescent="0.25">
      <c r="D518" t="str">
        <f>IFERROR(VLOOKUP(E518,Référentiels!$M$2:$N$267,2,FALSE),"Ingrédient non trouvé")</f>
        <v>Ingrédient non trouvé</v>
      </c>
      <c r="I518">
        <f>IFERROR(tbl_Achats[[#This Row],[Qté d''Achat]] * tbl_Achats[[#This Row],[Prix Achat Unitaire]], 0)</f>
        <v>0</v>
      </c>
    </row>
    <row r="519" spans="4:9" x14ac:dyDescent="0.25">
      <c r="D519" t="str">
        <f>IFERROR(VLOOKUP(E519,Référentiels!$M$2:$N$267,2,FALSE),"Ingrédient non trouvé")</f>
        <v>Ingrédient non trouvé</v>
      </c>
      <c r="I519">
        <f>IFERROR(tbl_Achats[[#This Row],[Qté d''Achat]] * tbl_Achats[[#This Row],[Prix Achat Unitaire]], 0)</f>
        <v>0</v>
      </c>
    </row>
    <row r="520" spans="4:9" x14ac:dyDescent="0.25">
      <c r="D520" t="str">
        <f>IFERROR(VLOOKUP(E520,Référentiels!$M$2:$N$267,2,FALSE),"Ingrédient non trouvé")</f>
        <v>Ingrédient non trouvé</v>
      </c>
      <c r="I520">
        <f>IFERROR(tbl_Achats[[#This Row],[Qté d''Achat]] * tbl_Achats[[#This Row],[Prix Achat Unitaire]], 0)</f>
        <v>0</v>
      </c>
    </row>
    <row r="521" spans="4:9" x14ac:dyDescent="0.25">
      <c r="D521" t="str">
        <f>IFERROR(VLOOKUP(E521,Référentiels!$M$2:$N$267,2,FALSE),"Ingrédient non trouvé")</f>
        <v>Ingrédient non trouvé</v>
      </c>
      <c r="I521">
        <f>IFERROR(tbl_Achats[[#This Row],[Qté d''Achat]] * tbl_Achats[[#This Row],[Prix Achat Unitaire]], 0)</f>
        <v>0</v>
      </c>
    </row>
    <row r="522" spans="4:9" x14ac:dyDescent="0.25">
      <c r="D522" t="str">
        <f>IFERROR(VLOOKUP(E522,Référentiels!$M$2:$N$267,2,FALSE),"Ingrédient non trouvé")</f>
        <v>Ingrédient non trouvé</v>
      </c>
      <c r="I522">
        <f>IFERROR(tbl_Achats[[#This Row],[Qté d''Achat]] * tbl_Achats[[#This Row],[Prix Achat Unitaire]], 0)</f>
        <v>0</v>
      </c>
    </row>
    <row r="523" spans="4:9" x14ac:dyDescent="0.25">
      <c r="D523" t="str">
        <f>IFERROR(VLOOKUP(E523,Référentiels!$M$2:$N$267,2,FALSE),"Ingrédient non trouvé")</f>
        <v>Ingrédient non trouvé</v>
      </c>
      <c r="I523">
        <f>IFERROR(tbl_Achats[[#This Row],[Qté d''Achat]] * tbl_Achats[[#This Row],[Prix Achat Unitaire]], 0)</f>
        <v>0</v>
      </c>
    </row>
    <row r="524" spans="4:9" x14ac:dyDescent="0.25">
      <c r="D524" t="str">
        <f>IFERROR(VLOOKUP(E524,Référentiels!$M$2:$N$267,2,FALSE),"Ingrédient non trouvé")</f>
        <v>Ingrédient non trouvé</v>
      </c>
      <c r="I524">
        <f>IFERROR(tbl_Achats[[#This Row],[Qté d''Achat]] * tbl_Achats[[#This Row],[Prix Achat Unitaire]], 0)</f>
        <v>0</v>
      </c>
    </row>
    <row r="525" spans="4:9" x14ac:dyDescent="0.25">
      <c r="D525" t="str">
        <f>IFERROR(VLOOKUP(E525,Référentiels!$M$2:$N$267,2,FALSE),"Ingrédient non trouvé")</f>
        <v>Ingrédient non trouvé</v>
      </c>
      <c r="I525">
        <f>IFERROR(tbl_Achats[[#This Row],[Qté d''Achat]] * tbl_Achats[[#This Row],[Prix Achat Unitaire]], 0)</f>
        <v>0</v>
      </c>
    </row>
    <row r="526" spans="4:9" x14ac:dyDescent="0.25">
      <c r="D526" t="str">
        <f>IFERROR(VLOOKUP(E526,Référentiels!$M$2:$N$267,2,FALSE),"Ingrédient non trouvé")</f>
        <v>Ingrédient non trouvé</v>
      </c>
      <c r="I526">
        <f>IFERROR(tbl_Achats[[#This Row],[Qté d''Achat]] * tbl_Achats[[#This Row],[Prix Achat Unitaire]], 0)</f>
        <v>0</v>
      </c>
    </row>
    <row r="527" spans="4:9" x14ac:dyDescent="0.25">
      <c r="D527" t="str">
        <f>IFERROR(VLOOKUP(E527,Référentiels!$M$2:$N$267,2,FALSE),"Ingrédient non trouvé")</f>
        <v>Ingrédient non trouvé</v>
      </c>
      <c r="I527">
        <f>IFERROR(tbl_Achats[[#This Row],[Qté d''Achat]] * tbl_Achats[[#This Row],[Prix Achat Unitaire]], 0)</f>
        <v>0</v>
      </c>
    </row>
    <row r="528" spans="4:9" x14ac:dyDescent="0.25">
      <c r="D528" t="str">
        <f>IFERROR(VLOOKUP(E528,Référentiels!$M$2:$N$267,2,FALSE),"Ingrédient non trouvé")</f>
        <v>Ingrédient non trouvé</v>
      </c>
      <c r="I528">
        <f>IFERROR(tbl_Achats[[#This Row],[Qté d''Achat]] * tbl_Achats[[#This Row],[Prix Achat Unitaire]], 0)</f>
        <v>0</v>
      </c>
    </row>
    <row r="529" spans="4:9" x14ac:dyDescent="0.25">
      <c r="D529" t="str">
        <f>IFERROR(VLOOKUP(E529,Référentiels!$M$2:$N$267,2,FALSE),"Ingrédient non trouvé")</f>
        <v>Ingrédient non trouvé</v>
      </c>
      <c r="I529">
        <f>IFERROR(tbl_Achats[[#This Row],[Qté d''Achat]] * tbl_Achats[[#This Row],[Prix Achat Unitaire]], 0)</f>
        <v>0</v>
      </c>
    </row>
    <row r="530" spans="4:9" x14ac:dyDescent="0.25">
      <c r="D530" t="str">
        <f>IFERROR(VLOOKUP(E530,Référentiels!$M$2:$N$267,2,FALSE),"Ingrédient non trouvé")</f>
        <v>Ingrédient non trouvé</v>
      </c>
      <c r="I530">
        <f>IFERROR(tbl_Achats[[#This Row],[Qté d''Achat]] * tbl_Achats[[#This Row],[Prix Achat Unitaire]], 0)</f>
        <v>0</v>
      </c>
    </row>
    <row r="531" spans="4:9" x14ac:dyDescent="0.25">
      <c r="D531" t="str">
        <f>IFERROR(VLOOKUP(E531,Référentiels!$M$2:$N$267,2,FALSE),"Ingrédient non trouvé")</f>
        <v>Ingrédient non trouvé</v>
      </c>
      <c r="I531">
        <f>IFERROR(tbl_Achats[[#This Row],[Qté d''Achat]] * tbl_Achats[[#This Row],[Prix Achat Unitaire]], 0)</f>
        <v>0</v>
      </c>
    </row>
    <row r="532" spans="4:9" x14ac:dyDescent="0.25">
      <c r="D532" t="str">
        <f>IFERROR(VLOOKUP(E532,Référentiels!$M$2:$N$267,2,FALSE),"Ingrédient non trouvé")</f>
        <v>Ingrédient non trouvé</v>
      </c>
      <c r="I532">
        <f>IFERROR(tbl_Achats[[#This Row],[Qté d''Achat]] * tbl_Achats[[#This Row],[Prix Achat Unitaire]], 0)</f>
        <v>0</v>
      </c>
    </row>
    <row r="533" spans="4:9" x14ac:dyDescent="0.25">
      <c r="D533" t="str">
        <f>IFERROR(VLOOKUP(E533,Référentiels!$M$2:$N$267,2,FALSE),"Ingrédient non trouvé")</f>
        <v>Ingrédient non trouvé</v>
      </c>
      <c r="I533">
        <f>IFERROR(tbl_Achats[[#This Row],[Qté d''Achat]] * tbl_Achats[[#This Row],[Prix Achat Unitaire]], 0)</f>
        <v>0</v>
      </c>
    </row>
    <row r="534" spans="4:9" x14ac:dyDescent="0.25">
      <c r="D534" t="str">
        <f>IFERROR(VLOOKUP(E534,Référentiels!$M$2:$N$267,2,FALSE),"Ingrédient non trouvé")</f>
        <v>Ingrédient non trouvé</v>
      </c>
      <c r="I534">
        <f>IFERROR(tbl_Achats[[#This Row],[Qté d''Achat]] * tbl_Achats[[#This Row],[Prix Achat Unitaire]], 0)</f>
        <v>0</v>
      </c>
    </row>
    <row r="535" spans="4:9" x14ac:dyDescent="0.25">
      <c r="D535" t="str">
        <f>IFERROR(VLOOKUP(E535,Référentiels!$M$2:$N$267,2,FALSE),"Ingrédient non trouvé")</f>
        <v>Ingrédient non trouvé</v>
      </c>
      <c r="I535">
        <f>IFERROR(tbl_Achats[[#This Row],[Qté d''Achat]] * tbl_Achats[[#This Row],[Prix Achat Unitaire]], 0)</f>
        <v>0</v>
      </c>
    </row>
    <row r="536" spans="4:9" x14ac:dyDescent="0.25">
      <c r="D536" t="str">
        <f>IFERROR(VLOOKUP(E536,Référentiels!$M$2:$N$267,2,FALSE),"Ingrédient non trouvé")</f>
        <v>Ingrédient non trouvé</v>
      </c>
      <c r="I536">
        <f>IFERROR(tbl_Achats[[#This Row],[Qté d''Achat]] * tbl_Achats[[#This Row],[Prix Achat Unitaire]], 0)</f>
        <v>0</v>
      </c>
    </row>
    <row r="537" spans="4:9" x14ac:dyDescent="0.25">
      <c r="D537" t="str">
        <f>IFERROR(VLOOKUP(E537,Référentiels!$M$2:$N$267,2,FALSE),"Ingrédient non trouvé")</f>
        <v>Ingrédient non trouvé</v>
      </c>
      <c r="I537">
        <f>IFERROR(tbl_Achats[[#This Row],[Qté d''Achat]] * tbl_Achats[[#This Row],[Prix Achat Unitaire]], 0)</f>
        <v>0</v>
      </c>
    </row>
    <row r="538" spans="4:9" x14ac:dyDescent="0.25">
      <c r="D538" t="str">
        <f>IFERROR(VLOOKUP(E538,Référentiels!$M$2:$N$267,2,FALSE),"Ingrédient non trouvé")</f>
        <v>Ingrédient non trouvé</v>
      </c>
      <c r="I538">
        <f>IFERROR(tbl_Achats[[#This Row],[Qté d''Achat]] * tbl_Achats[[#This Row],[Prix Achat Unitaire]], 0)</f>
        <v>0</v>
      </c>
    </row>
    <row r="539" spans="4:9" x14ac:dyDescent="0.25">
      <c r="D539" t="str">
        <f>IFERROR(VLOOKUP(E539,Référentiels!$M$2:$N$267,2,FALSE),"Ingrédient non trouvé")</f>
        <v>Ingrédient non trouvé</v>
      </c>
      <c r="I539">
        <f>IFERROR(tbl_Achats[[#This Row],[Qté d''Achat]] * tbl_Achats[[#This Row],[Prix Achat Unitaire]], 0)</f>
        <v>0</v>
      </c>
    </row>
    <row r="540" spans="4:9" x14ac:dyDescent="0.25">
      <c r="D540" t="str">
        <f>IFERROR(VLOOKUP(E540,Référentiels!$M$2:$N$267,2,FALSE),"Ingrédient non trouvé")</f>
        <v>Ingrédient non trouvé</v>
      </c>
      <c r="I540">
        <f>IFERROR(tbl_Achats[[#This Row],[Qté d''Achat]] * tbl_Achats[[#This Row],[Prix Achat Unitaire]], 0)</f>
        <v>0</v>
      </c>
    </row>
    <row r="541" spans="4:9" x14ac:dyDescent="0.25">
      <c r="D541" t="str">
        <f>IFERROR(VLOOKUP(E541,Référentiels!$M$2:$N$267,2,FALSE),"Ingrédient non trouvé")</f>
        <v>Ingrédient non trouvé</v>
      </c>
      <c r="I541">
        <f>IFERROR(tbl_Achats[[#This Row],[Qté d''Achat]] * tbl_Achats[[#This Row],[Prix Achat Unitaire]], 0)</f>
        <v>0</v>
      </c>
    </row>
    <row r="542" spans="4:9" x14ac:dyDescent="0.25">
      <c r="D542" t="str">
        <f>IFERROR(VLOOKUP(E542,Référentiels!$M$2:$N$267,2,FALSE),"Ingrédient non trouvé")</f>
        <v>Ingrédient non trouvé</v>
      </c>
      <c r="I542">
        <f>IFERROR(tbl_Achats[[#This Row],[Qté d''Achat]] * tbl_Achats[[#This Row],[Prix Achat Unitaire]], 0)</f>
        <v>0</v>
      </c>
    </row>
    <row r="543" spans="4:9" x14ac:dyDescent="0.25">
      <c r="D543" t="str">
        <f>IFERROR(VLOOKUP(E543,Référentiels!$M$2:$N$267,2,FALSE),"Ingrédient non trouvé")</f>
        <v>Ingrédient non trouvé</v>
      </c>
      <c r="I543">
        <f>IFERROR(tbl_Achats[[#This Row],[Qté d''Achat]] * tbl_Achats[[#This Row],[Prix Achat Unitaire]], 0)</f>
        <v>0</v>
      </c>
    </row>
    <row r="544" spans="4:9" x14ac:dyDescent="0.25">
      <c r="D544" t="str">
        <f>IFERROR(VLOOKUP(E544,Référentiels!$M$2:$N$267,2,FALSE),"Ingrédient non trouvé")</f>
        <v>Ingrédient non trouvé</v>
      </c>
      <c r="I544">
        <f>IFERROR(tbl_Achats[[#This Row],[Qté d''Achat]] * tbl_Achats[[#This Row],[Prix Achat Unitaire]], 0)</f>
        <v>0</v>
      </c>
    </row>
    <row r="545" spans="4:9" x14ac:dyDescent="0.25">
      <c r="D545" t="str">
        <f>IFERROR(VLOOKUP(E545,Référentiels!$M$2:$N$267,2,FALSE),"Ingrédient non trouvé")</f>
        <v>Ingrédient non trouvé</v>
      </c>
      <c r="I545">
        <f>IFERROR(tbl_Achats[[#This Row],[Qté d''Achat]] * tbl_Achats[[#This Row],[Prix Achat Unitaire]], 0)</f>
        <v>0</v>
      </c>
    </row>
    <row r="546" spans="4:9" x14ac:dyDescent="0.25">
      <c r="D546" t="str">
        <f>IFERROR(VLOOKUP(E546,Référentiels!$M$2:$N$267,2,FALSE),"Ingrédient non trouvé")</f>
        <v>Ingrédient non trouvé</v>
      </c>
      <c r="I546">
        <f>IFERROR(tbl_Achats[[#This Row],[Qté d''Achat]] * tbl_Achats[[#This Row],[Prix Achat Unitaire]], 0)</f>
        <v>0</v>
      </c>
    </row>
    <row r="547" spans="4:9" x14ac:dyDescent="0.25">
      <c r="D547" t="str">
        <f>IFERROR(VLOOKUP(E547,Référentiels!$M$2:$N$267,2,FALSE),"Ingrédient non trouvé")</f>
        <v>Ingrédient non trouvé</v>
      </c>
      <c r="I547">
        <f>IFERROR(tbl_Achats[[#This Row],[Qté d''Achat]] * tbl_Achats[[#This Row],[Prix Achat Unitaire]], 0)</f>
        <v>0</v>
      </c>
    </row>
    <row r="548" spans="4:9" x14ac:dyDescent="0.25">
      <c r="D548" t="str">
        <f>IFERROR(VLOOKUP(E548,Référentiels!$M$2:$N$267,2,FALSE),"Ingrédient non trouvé")</f>
        <v>Ingrédient non trouvé</v>
      </c>
      <c r="I548">
        <f>IFERROR(tbl_Achats[[#This Row],[Qté d''Achat]] * tbl_Achats[[#This Row],[Prix Achat Unitaire]], 0)</f>
        <v>0</v>
      </c>
    </row>
    <row r="549" spans="4:9" x14ac:dyDescent="0.25">
      <c r="D549" t="str">
        <f>IFERROR(VLOOKUP(E549,Référentiels!$M$2:$N$267,2,FALSE),"Ingrédient non trouvé")</f>
        <v>Ingrédient non trouvé</v>
      </c>
      <c r="I549">
        <f>IFERROR(tbl_Achats[[#This Row],[Qté d''Achat]] * tbl_Achats[[#This Row],[Prix Achat Unitaire]], 0)</f>
        <v>0</v>
      </c>
    </row>
    <row r="550" spans="4:9" x14ac:dyDescent="0.25">
      <c r="D550" t="str">
        <f>IFERROR(VLOOKUP(E550,Référentiels!$M$2:$N$267,2,FALSE),"Ingrédient non trouvé")</f>
        <v>Ingrédient non trouvé</v>
      </c>
      <c r="I550">
        <f>IFERROR(tbl_Achats[[#This Row],[Qté d''Achat]] * tbl_Achats[[#This Row],[Prix Achat Unitaire]], 0)</f>
        <v>0</v>
      </c>
    </row>
    <row r="551" spans="4:9" x14ac:dyDescent="0.25">
      <c r="D551" t="str">
        <f>IFERROR(VLOOKUP(E551,Référentiels!$M$2:$N$267,2,FALSE),"Ingrédient non trouvé")</f>
        <v>Ingrédient non trouvé</v>
      </c>
      <c r="I551">
        <f>IFERROR(tbl_Achats[[#This Row],[Qté d''Achat]] * tbl_Achats[[#This Row],[Prix Achat Unitaire]], 0)</f>
        <v>0</v>
      </c>
    </row>
    <row r="552" spans="4:9" x14ac:dyDescent="0.25">
      <c r="D552" t="str">
        <f>IFERROR(VLOOKUP(E552,Référentiels!$M$2:$N$267,2,FALSE),"Ingrédient non trouvé")</f>
        <v>Ingrédient non trouvé</v>
      </c>
      <c r="I552">
        <f>IFERROR(tbl_Achats[[#This Row],[Qté d''Achat]] * tbl_Achats[[#This Row],[Prix Achat Unitaire]], 0)</f>
        <v>0</v>
      </c>
    </row>
    <row r="553" spans="4:9" x14ac:dyDescent="0.25">
      <c r="D553" t="str">
        <f>IFERROR(VLOOKUP(E553,Référentiels!$M$2:$N$267,2,FALSE),"Ingrédient non trouvé")</f>
        <v>Ingrédient non trouvé</v>
      </c>
      <c r="I553">
        <f>IFERROR(tbl_Achats[[#This Row],[Qté d''Achat]] * tbl_Achats[[#This Row],[Prix Achat Unitaire]], 0)</f>
        <v>0</v>
      </c>
    </row>
    <row r="554" spans="4:9" x14ac:dyDescent="0.25">
      <c r="D554" t="str">
        <f>IFERROR(VLOOKUP(E554,Référentiels!$M$2:$N$267,2,FALSE),"Ingrédient non trouvé")</f>
        <v>Ingrédient non trouvé</v>
      </c>
      <c r="I554">
        <f>IFERROR(tbl_Achats[[#This Row],[Qté d''Achat]] * tbl_Achats[[#This Row],[Prix Achat Unitaire]], 0)</f>
        <v>0</v>
      </c>
    </row>
    <row r="555" spans="4:9" x14ac:dyDescent="0.25">
      <c r="D555" t="str">
        <f>IFERROR(VLOOKUP(E555,Référentiels!$M$2:$N$267,2,FALSE),"Ingrédient non trouvé")</f>
        <v>Ingrédient non trouvé</v>
      </c>
      <c r="I555">
        <f>IFERROR(tbl_Achats[[#This Row],[Qté d''Achat]] * tbl_Achats[[#This Row],[Prix Achat Unitaire]], 0)</f>
        <v>0</v>
      </c>
    </row>
    <row r="556" spans="4:9" x14ac:dyDescent="0.25">
      <c r="D556" t="str">
        <f>IFERROR(VLOOKUP(E556,Référentiels!$M$2:$N$267,2,FALSE),"Ingrédient non trouvé")</f>
        <v>Ingrédient non trouvé</v>
      </c>
      <c r="I556">
        <f>IFERROR(tbl_Achats[[#This Row],[Qté d''Achat]] * tbl_Achats[[#This Row],[Prix Achat Unitaire]], 0)</f>
        <v>0</v>
      </c>
    </row>
    <row r="557" spans="4:9" x14ac:dyDescent="0.25">
      <c r="D557" t="str">
        <f>IFERROR(VLOOKUP(E557,Référentiels!$M$2:$N$267,2,FALSE),"Ingrédient non trouvé")</f>
        <v>Ingrédient non trouvé</v>
      </c>
      <c r="I557">
        <f>IFERROR(tbl_Achats[[#This Row],[Qté d''Achat]] * tbl_Achats[[#This Row],[Prix Achat Unitaire]], 0)</f>
        <v>0</v>
      </c>
    </row>
    <row r="558" spans="4:9" x14ac:dyDescent="0.25">
      <c r="D558" t="str">
        <f>IFERROR(VLOOKUP(E558,Référentiels!$M$2:$N$267,2,FALSE),"Ingrédient non trouvé")</f>
        <v>Ingrédient non trouvé</v>
      </c>
      <c r="I558">
        <f>IFERROR(tbl_Achats[[#This Row],[Qté d''Achat]] * tbl_Achats[[#This Row],[Prix Achat Unitaire]], 0)</f>
        <v>0</v>
      </c>
    </row>
    <row r="559" spans="4:9" x14ac:dyDescent="0.25">
      <c r="D559" t="str">
        <f>IFERROR(VLOOKUP(E559,Référentiels!$M$2:$N$267,2,FALSE),"Ingrédient non trouvé")</f>
        <v>Ingrédient non trouvé</v>
      </c>
      <c r="I559">
        <f>IFERROR(tbl_Achats[[#This Row],[Qté d''Achat]] * tbl_Achats[[#This Row],[Prix Achat Unitaire]], 0)</f>
        <v>0</v>
      </c>
    </row>
    <row r="560" spans="4:9" x14ac:dyDescent="0.25">
      <c r="D560" t="str">
        <f>IFERROR(VLOOKUP(E560,Référentiels!$M$2:$N$267,2,FALSE),"Ingrédient non trouvé")</f>
        <v>Ingrédient non trouvé</v>
      </c>
      <c r="I560">
        <f>IFERROR(tbl_Achats[[#This Row],[Qté d''Achat]] * tbl_Achats[[#This Row],[Prix Achat Unitaire]], 0)</f>
        <v>0</v>
      </c>
    </row>
    <row r="561" spans="4:9" x14ac:dyDescent="0.25">
      <c r="D561" t="str">
        <f>IFERROR(VLOOKUP(E561,Référentiels!$M$2:$N$267,2,FALSE),"Ingrédient non trouvé")</f>
        <v>Ingrédient non trouvé</v>
      </c>
      <c r="I561">
        <f>IFERROR(tbl_Achats[[#This Row],[Qté d''Achat]] * tbl_Achats[[#This Row],[Prix Achat Unitaire]], 0)</f>
        <v>0</v>
      </c>
    </row>
    <row r="562" spans="4:9" x14ac:dyDescent="0.25">
      <c r="D562" t="str">
        <f>IFERROR(VLOOKUP(E562,Référentiels!$M$2:$N$267,2,FALSE),"Ingrédient non trouvé")</f>
        <v>Ingrédient non trouvé</v>
      </c>
      <c r="I562">
        <f>IFERROR(tbl_Achats[[#This Row],[Qté d''Achat]] * tbl_Achats[[#This Row],[Prix Achat Unitaire]], 0)</f>
        <v>0</v>
      </c>
    </row>
    <row r="563" spans="4:9" x14ac:dyDescent="0.25">
      <c r="D563" t="str">
        <f>IFERROR(VLOOKUP(E563,Référentiels!$M$2:$N$267,2,FALSE),"Ingrédient non trouvé")</f>
        <v>Ingrédient non trouvé</v>
      </c>
      <c r="I563">
        <f>IFERROR(tbl_Achats[[#This Row],[Qté d''Achat]] * tbl_Achats[[#This Row],[Prix Achat Unitaire]], 0)</f>
        <v>0</v>
      </c>
    </row>
    <row r="564" spans="4:9" x14ac:dyDescent="0.25">
      <c r="D564" t="str">
        <f>IFERROR(VLOOKUP(E564,Référentiels!$M$2:$N$267,2,FALSE),"Ingrédient non trouvé")</f>
        <v>Ingrédient non trouvé</v>
      </c>
      <c r="I564">
        <f>IFERROR(tbl_Achats[[#This Row],[Qté d''Achat]] * tbl_Achats[[#This Row],[Prix Achat Unitaire]], 0)</f>
        <v>0</v>
      </c>
    </row>
    <row r="565" spans="4:9" x14ac:dyDescent="0.25">
      <c r="D565" t="str">
        <f>IFERROR(VLOOKUP(E565,Référentiels!$M$2:$N$267,2,FALSE),"Ingrédient non trouvé")</f>
        <v>Ingrédient non trouvé</v>
      </c>
      <c r="I565">
        <f>IFERROR(tbl_Achats[[#This Row],[Qté d''Achat]] * tbl_Achats[[#This Row],[Prix Achat Unitaire]], 0)</f>
        <v>0</v>
      </c>
    </row>
    <row r="566" spans="4:9" x14ac:dyDescent="0.25">
      <c r="D566" t="str">
        <f>IFERROR(VLOOKUP(E566,Référentiels!$M$2:$N$267,2,FALSE),"Ingrédient non trouvé")</f>
        <v>Ingrédient non trouvé</v>
      </c>
      <c r="I566">
        <f>IFERROR(tbl_Achats[[#This Row],[Qté d''Achat]] * tbl_Achats[[#This Row],[Prix Achat Unitaire]], 0)</f>
        <v>0</v>
      </c>
    </row>
    <row r="567" spans="4:9" x14ac:dyDescent="0.25">
      <c r="D567" t="str">
        <f>IFERROR(VLOOKUP(E567,Référentiels!$M$2:$N$267,2,FALSE),"Ingrédient non trouvé")</f>
        <v>Ingrédient non trouvé</v>
      </c>
      <c r="I567">
        <f>IFERROR(tbl_Achats[[#This Row],[Qté d''Achat]] * tbl_Achats[[#This Row],[Prix Achat Unitaire]], 0)</f>
        <v>0</v>
      </c>
    </row>
    <row r="568" spans="4:9" x14ac:dyDescent="0.25">
      <c r="D568" t="str">
        <f>IFERROR(VLOOKUP(E568,Référentiels!$M$2:$N$267,2,FALSE),"Ingrédient non trouvé")</f>
        <v>Ingrédient non trouvé</v>
      </c>
      <c r="I568">
        <f>IFERROR(tbl_Achats[[#This Row],[Qté d''Achat]] * tbl_Achats[[#This Row],[Prix Achat Unitaire]], 0)</f>
        <v>0</v>
      </c>
    </row>
    <row r="569" spans="4:9" x14ac:dyDescent="0.25">
      <c r="D569" t="str">
        <f>IFERROR(VLOOKUP(E569,Référentiels!$M$2:$N$267,2,FALSE),"Ingrédient non trouvé")</f>
        <v>Ingrédient non trouvé</v>
      </c>
      <c r="I569">
        <f>IFERROR(tbl_Achats[[#This Row],[Qté d''Achat]] * tbl_Achats[[#This Row],[Prix Achat Unitaire]], 0)</f>
        <v>0</v>
      </c>
    </row>
    <row r="570" spans="4:9" x14ac:dyDescent="0.25">
      <c r="D570" t="str">
        <f>IFERROR(VLOOKUP(E570,Référentiels!$M$2:$N$267,2,FALSE),"Ingrédient non trouvé")</f>
        <v>Ingrédient non trouvé</v>
      </c>
      <c r="I570">
        <f>IFERROR(tbl_Achats[[#This Row],[Qté d''Achat]] * tbl_Achats[[#This Row],[Prix Achat Unitaire]], 0)</f>
        <v>0</v>
      </c>
    </row>
    <row r="571" spans="4:9" x14ac:dyDescent="0.25">
      <c r="D571" t="str">
        <f>IFERROR(VLOOKUP(E571,Référentiels!$M$2:$N$267,2,FALSE),"Ingrédient non trouvé")</f>
        <v>Ingrédient non trouvé</v>
      </c>
      <c r="I571">
        <f>IFERROR(tbl_Achats[[#This Row],[Qté d''Achat]] * tbl_Achats[[#This Row],[Prix Achat Unitaire]], 0)</f>
        <v>0</v>
      </c>
    </row>
    <row r="572" spans="4:9" x14ac:dyDescent="0.25">
      <c r="D572" t="str">
        <f>IFERROR(VLOOKUP(E572,Référentiels!$M$2:$N$267,2,FALSE),"Ingrédient non trouvé")</f>
        <v>Ingrédient non trouvé</v>
      </c>
      <c r="I572">
        <f>IFERROR(tbl_Achats[[#This Row],[Qté d''Achat]] * tbl_Achats[[#This Row],[Prix Achat Unitaire]], 0)</f>
        <v>0</v>
      </c>
    </row>
    <row r="573" spans="4:9" x14ac:dyDescent="0.25">
      <c r="D573" t="str">
        <f>IFERROR(VLOOKUP(E573,Référentiels!$M$2:$N$267,2,FALSE),"Ingrédient non trouvé")</f>
        <v>Ingrédient non trouvé</v>
      </c>
      <c r="I573">
        <f>IFERROR(tbl_Achats[[#This Row],[Qté d''Achat]] * tbl_Achats[[#This Row],[Prix Achat Unitaire]], 0)</f>
        <v>0</v>
      </c>
    </row>
    <row r="574" spans="4:9" x14ac:dyDescent="0.25">
      <c r="D574" t="str">
        <f>IFERROR(VLOOKUP(E574,Référentiels!$M$2:$N$267,2,FALSE),"Ingrédient non trouvé")</f>
        <v>Ingrédient non trouvé</v>
      </c>
      <c r="I574">
        <f>IFERROR(tbl_Achats[[#This Row],[Qté d''Achat]] * tbl_Achats[[#This Row],[Prix Achat Unitaire]], 0)</f>
        <v>0</v>
      </c>
    </row>
    <row r="575" spans="4:9" x14ac:dyDescent="0.25">
      <c r="D575" t="str">
        <f>IFERROR(VLOOKUP(E575,Référentiels!$M$2:$N$267,2,FALSE),"Ingrédient non trouvé")</f>
        <v>Ingrédient non trouvé</v>
      </c>
      <c r="I575">
        <f>IFERROR(tbl_Achats[[#This Row],[Qté d''Achat]] * tbl_Achats[[#This Row],[Prix Achat Unitaire]], 0)</f>
        <v>0</v>
      </c>
    </row>
    <row r="576" spans="4:9" x14ac:dyDescent="0.25">
      <c r="D576" t="str">
        <f>IFERROR(VLOOKUP(E576,Référentiels!$M$2:$N$267,2,FALSE),"Ingrédient non trouvé")</f>
        <v>Ingrédient non trouvé</v>
      </c>
      <c r="I576">
        <f>IFERROR(tbl_Achats[[#This Row],[Qté d''Achat]] * tbl_Achats[[#This Row],[Prix Achat Unitaire]], 0)</f>
        <v>0</v>
      </c>
    </row>
    <row r="577" spans="4:9" x14ac:dyDescent="0.25">
      <c r="D577" t="str">
        <f>IFERROR(VLOOKUP(E577,Référentiels!$M$2:$N$267,2,FALSE),"Ingrédient non trouvé")</f>
        <v>Ingrédient non trouvé</v>
      </c>
      <c r="I577">
        <f>IFERROR(tbl_Achats[[#This Row],[Qté d''Achat]] * tbl_Achats[[#This Row],[Prix Achat Unitaire]], 0)</f>
        <v>0</v>
      </c>
    </row>
    <row r="578" spans="4:9" x14ac:dyDescent="0.25">
      <c r="D578" t="str">
        <f>IFERROR(VLOOKUP(E578,Référentiels!$M$2:$N$267,2,FALSE),"Ingrédient non trouvé")</f>
        <v>Ingrédient non trouvé</v>
      </c>
      <c r="I578">
        <f>IFERROR(tbl_Achats[[#This Row],[Qté d''Achat]] * tbl_Achats[[#This Row],[Prix Achat Unitaire]], 0)</f>
        <v>0</v>
      </c>
    </row>
    <row r="579" spans="4:9" x14ac:dyDescent="0.25">
      <c r="D579" t="str">
        <f>IFERROR(VLOOKUP(E579,Référentiels!$M$2:$N$267,2,FALSE),"Ingrédient non trouvé")</f>
        <v>Ingrédient non trouvé</v>
      </c>
      <c r="I579">
        <f>IFERROR(tbl_Achats[[#This Row],[Qté d''Achat]] * tbl_Achats[[#This Row],[Prix Achat Unitaire]], 0)</f>
        <v>0</v>
      </c>
    </row>
    <row r="580" spans="4:9" x14ac:dyDescent="0.25">
      <c r="D580" t="str">
        <f>IFERROR(VLOOKUP(E580,Référentiels!$M$2:$N$267,2,FALSE),"Ingrédient non trouvé")</f>
        <v>Ingrédient non trouvé</v>
      </c>
      <c r="I580">
        <f>IFERROR(tbl_Achats[[#This Row],[Qté d''Achat]] * tbl_Achats[[#This Row],[Prix Achat Unitaire]], 0)</f>
        <v>0</v>
      </c>
    </row>
    <row r="581" spans="4:9" x14ac:dyDescent="0.25">
      <c r="D581" t="str">
        <f>IFERROR(VLOOKUP(E581,Référentiels!$M$2:$N$267,2,FALSE),"Ingrédient non trouvé")</f>
        <v>Ingrédient non trouvé</v>
      </c>
      <c r="I581">
        <f>IFERROR(tbl_Achats[[#This Row],[Qté d''Achat]] * tbl_Achats[[#This Row],[Prix Achat Unitaire]], 0)</f>
        <v>0</v>
      </c>
    </row>
    <row r="582" spans="4:9" x14ac:dyDescent="0.25">
      <c r="D582" t="str">
        <f>IFERROR(VLOOKUP(E582,Référentiels!$M$2:$N$267,2,FALSE),"Ingrédient non trouvé")</f>
        <v>Ingrédient non trouvé</v>
      </c>
      <c r="I582">
        <f>IFERROR(tbl_Achats[[#This Row],[Qté d''Achat]] * tbl_Achats[[#This Row],[Prix Achat Unitaire]], 0)</f>
        <v>0</v>
      </c>
    </row>
    <row r="583" spans="4:9" x14ac:dyDescent="0.25">
      <c r="D583" t="str">
        <f>IFERROR(VLOOKUP(E583,Référentiels!$M$2:$N$267,2,FALSE),"Ingrédient non trouvé")</f>
        <v>Ingrédient non trouvé</v>
      </c>
      <c r="I583">
        <f>IFERROR(tbl_Achats[[#This Row],[Qté d''Achat]] * tbl_Achats[[#This Row],[Prix Achat Unitaire]], 0)</f>
        <v>0</v>
      </c>
    </row>
    <row r="584" spans="4:9" x14ac:dyDescent="0.25">
      <c r="D584" t="str">
        <f>IFERROR(VLOOKUP(E584,Référentiels!$M$2:$N$267,2,FALSE),"Ingrédient non trouvé")</f>
        <v>Ingrédient non trouvé</v>
      </c>
      <c r="I584">
        <f>IFERROR(tbl_Achats[[#This Row],[Qté d''Achat]] * tbl_Achats[[#This Row],[Prix Achat Unitaire]], 0)</f>
        <v>0</v>
      </c>
    </row>
    <row r="585" spans="4:9" x14ac:dyDescent="0.25">
      <c r="D585" t="str">
        <f>IFERROR(VLOOKUP(E585,Référentiels!$M$2:$N$267,2,FALSE),"Ingrédient non trouvé")</f>
        <v>Ingrédient non trouvé</v>
      </c>
      <c r="I585">
        <f>IFERROR(tbl_Achats[[#This Row],[Qté d''Achat]] * tbl_Achats[[#This Row],[Prix Achat Unitaire]], 0)</f>
        <v>0</v>
      </c>
    </row>
    <row r="586" spans="4:9" x14ac:dyDescent="0.25">
      <c r="D586" t="str">
        <f>IFERROR(VLOOKUP(E586,Référentiels!$M$2:$N$267,2,FALSE),"Ingrédient non trouvé")</f>
        <v>Ingrédient non trouvé</v>
      </c>
      <c r="I586">
        <f>IFERROR(tbl_Achats[[#This Row],[Qté d''Achat]] * tbl_Achats[[#This Row],[Prix Achat Unitaire]], 0)</f>
        <v>0</v>
      </c>
    </row>
    <row r="587" spans="4:9" x14ac:dyDescent="0.25">
      <c r="D587" t="str">
        <f>IFERROR(VLOOKUP(E587,Référentiels!$M$2:$N$267,2,FALSE),"Ingrédient non trouvé")</f>
        <v>Ingrédient non trouvé</v>
      </c>
      <c r="I587">
        <f>IFERROR(tbl_Achats[[#This Row],[Qté d''Achat]] * tbl_Achats[[#This Row],[Prix Achat Unitaire]], 0)</f>
        <v>0</v>
      </c>
    </row>
    <row r="588" spans="4:9" x14ac:dyDescent="0.25">
      <c r="D588" t="str">
        <f>IFERROR(VLOOKUP(E588,Référentiels!$M$2:$N$267,2,FALSE),"Ingrédient non trouvé")</f>
        <v>Ingrédient non trouvé</v>
      </c>
      <c r="I588">
        <f>IFERROR(tbl_Achats[[#This Row],[Qté d''Achat]] * tbl_Achats[[#This Row],[Prix Achat Unitaire]], 0)</f>
        <v>0</v>
      </c>
    </row>
    <row r="589" spans="4:9" x14ac:dyDescent="0.25">
      <c r="D589" t="str">
        <f>IFERROR(VLOOKUP(E589,Référentiels!$M$2:$N$267,2,FALSE),"Ingrédient non trouvé")</f>
        <v>Ingrédient non trouvé</v>
      </c>
      <c r="I589">
        <f>IFERROR(tbl_Achats[[#This Row],[Qté d''Achat]] * tbl_Achats[[#This Row],[Prix Achat Unitaire]], 0)</f>
        <v>0</v>
      </c>
    </row>
    <row r="590" spans="4:9" x14ac:dyDescent="0.25">
      <c r="D590" t="str">
        <f>IFERROR(VLOOKUP(E590,Référentiels!$M$2:$N$267,2,FALSE),"Ingrédient non trouvé")</f>
        <v>Ingrédient non trouvé</v>
      </c>
      <c r="I590">
        <f>IFERROR(tbl_Achats[[#This Row],[Qté d''Achat]] * tbl_Achats[[#This Row],[Prix Achat Unitaire]], 0)</f>
        <v>0</v>
      </c>
    </row>
    <row r="591" spans="4:9" x14ac:dyDescent="0.25">
      <c r="D591" t="str">
        <f>IFERROR(VLOOKUP(E591,Référentiels!$M$2:$N$267,2,FALSE),"Ingrédient non trouvé")</f>
        <v>Ingrédient non trouvé</v>
      </c>
      <c r="I591">
        <f>IFERROR(tbl_Achats[[#This Row],[Qté d''Achat]] * tbl_Achats[[#This Row],[Prix Achat Unitaire]], 0)</f>
        <v>0</v>
      </c>
    </row>
    <row r="592" spans="4:9" x14ac:dyDescent="0.25">
      <c r="D592" t="str">
        <f>IFERROR(VLOOKUP(E592,Référentiels!$M$2:$N$267,2,FALSE),"Ingrédient non trouvé")</f>
        <v>Ingrédient non trouvé</v>
      </c>
      <c r="I592">
        <f>IFERROR(tbl_Achats[[#This Row],[Qté d''Achat]] * tbl_Achats[[#This Row],[Prix Achat Unitaire]], 0)</f>
        <v>0</v>
      </c>
    </row>
    <row r="593" spans="4:9" x14ac:dyDescent="0.25">
      <c r="D593" t="str">
        <f>IFERROR(VLOOKUP(E593,Référentiels!$M$2:$N$267,2,FALSE),"Ingrédient non trouvé")</f>
        <v>Ingrédient non trouvé</v>
      </c>
      <c r="I593">
        <f>IFERROR(tbl_Achats[[#This Row],[Qté d''Achat]] * tbl_Achats[[#This Row],[Prix Achat Unitaire]], 0)</f>
        <v>0</v>
      </c>
    </row>
    <row r="594" spans="4:9" x14ac:dyDescent="0.25">
      <c r="D594" t="str">
        <f>IFERROR(VLOOKUP(E594,Référentiels!$M$2:$N$267,2,FALSE),"Ingrédient non trouvé")</f>
        <v>Ingrédient non trouvé</v>
      </c>
      <c r="I594">
        <f>IFERROR(tbl_Achats[[#This Row],[Qté d''Achat]] * tbl_Achats[[#This Row],[Prix Achat Unitaire]], 0)</f>
        <v>0</v>
      </c>
    </row>
    <row r="595" spans="4:9" x14ac:dyDescent="0.25">
      <c r="D595" t="str">
        <f>IFERROR(VLOOKUP(E595,Référentiels!$M$2:$N$267,2,FALSE),"Ingrédient non trouvé")</f>
        <v>Ingrédient non trouvé</v>
      </c>
      <c r="I595">
        <f>IFERROR(tbl_Achats[[#This Row],[Qté d''Achat]] * tbl_Achats[[#This Row],[Prix Achat Unitaire]], 0)</f>
        <v>0</v>
      </c>
    </row>
    <row r="596" spans="4:9" x14ac:dyDescent="0.25">
      <c r="D596" t="str">
        <f>IFERROR(VLOOKUP(E596,Référentiels!$M$2:$N$267,2,FALSE),"Ingrédient non trouvé")</f>
        <v>Ingrédient non trouvé</v>
      </c>
      <c r="I596">
        <f>IFERROR(tbl_Achats[[#This Row],[Qté d''Achat]] * tbl_Achats[[#This Row],[Prix Achat Unitaire]], 0)</f>
        <v>0</v>
      </c>
    </row>
    <row r="597" spans="4:9" x14ac:dyDescent="0.25">
      <c r="D597" t="str">
        <f>IFERROR(VLOOKUP(E597,Référentiels!$M$2:$N$267,2,FALSE),"Ingrédient non trouvé")</f>
        <v>Ingrédient non trouvé</v>
      </c>
      <c r="I597">
        <f>IFERROR(tbl_Achats[[#This Row],[Qté d''Achat]] * tbl_Achats[[#This Row],[Prix Achat Unitaire]], 0)</f>
        <v>0</v>
      </c>
    </row>
    <row r="598" spans="4:9" x14ac:dyDescent="0.25">
      <c r="D598" t="str">
        <f>IFERROR(VLOOKUP(E598,Référentiels!$M$2:$N$267,2,FALSE),"Ingrédient non trouvé")</f>
        <v>Ingrédient non trouvé</v>
      </c>
      <c r="I598">
        <f>IFERROR(tbl_Achats[[#This Row],[Qté d''Achat]] * tbl_Achats[[#This Row],[Prix Achat Unitaire]], 0)</f>
        <v>0</v>
      </c>
    </row>
    <row r="599" spans="4:9" x14ac:dyDescent="0.25">
      <c r="D599" t="str">
        <f>IFERROR(VLOOKUP(E599,Référentiels!$M$2:$N$267,2,FALSE),"Ingrédient non trouvé")</f>
        <v>Ingrédient non trouvé</v>
      </c>
      <c r="I599">
        <f>IFERROR(tbl_Achats[[#This Row],[Qté d''Achat]] * tbl_Achats[[#This Row],[Prix Achat Unitaire]], 0)</f>
        <v>0</v>
      </c>
    </row>
    <row r="600" spans="4:9" x14ac:dyDescent="0.25">
      <c r="D600" t="str">
        <f>IFERROR(VLOOKUP(E600,Référentiels!$M$2:$N$267,2,FALSE),"Ingrédient non trouvé")</f>
        <v>Ingrédient non trouvé</v>
      </c>
      <c r="I600">
        <f>IFERROR(tbl_Achats[[#This Row],[Qté d''Achat]] * tbl_Achats[[#This Row],[Prix Achat Unitaire]], 0)</f>
        <v>0</v>
      </c>
    </row>
    <row r="601" spans="4:9" x14ac:dyDescent="0.25">
      <c r="D601" t="str">
        <f>IFERROR(VLOOKUP(E601,Référentiels!$M$2:$N$267,2,FALSE),"Ingrédient non trouvé")</f>
        <v>Ingrédient non trouvé</v>
      </c>
      <c r="I601">
        <f>IFERROR(tbl_Achats[[#This Row],[Qté d''Achat]] * tbl_Achats[[#This Row],[Prix Achat Unitaire]], 0)</f>
        <v>0</v>
      </c>
    </row>
    <row r="602" spans="4:9" x14ac:dyDescent="0.25">
      <c r="D602" t="str">
        <f>IFERROR(VLOOKUP(E602,Référentiels!$M$2:$N$267,2,FALSE),"Ingrédient non trouvé")</f>
        <v>Ingrédient non trouvé</v>
      </c>
      <c r="I602">
        <f>IFERROR(tbl_Achats[[#This Row],[Qté d''Achat]] * tbl_Achats[[#This Row],[Prix Achat Unitaire]], 0)</f>
        <v>0</v>
      </c>
    </row>
    <row r="603" spans="4:9" x14ac:dyDescent="0.25">
      <c r="D603" t="str">
        <f>IFERROR(VLOOKUP(E603,Référentiels!$M$2:$N$267,2,FALSE),"Ingrédient non trouvé")</f>
        <v>Ingrédient non trouvé</v>
      </c>
      <c r="I603">
        <f>IFERROR(tbl_Achats[[#This Row],[Qté d''Achat]] * tbl_Achats[[#This Row],[Prix Achat Unitaire]], 0)</f>
        <v>0</v>
      </c>
    </row>
    <row r="604" spans="4:9" x14ac:dyDescent="0.25">
      <c r="D604" t="str">
        <f>IFERROR(VLOOKUP(E604,Référentiels!$M$2:$N$267,2,FALSE),"Ingrédient non trouvé")</f>
        <v>Ingrédient non trouvé</v>
      </c>
      <c r="I604">
        <f>IFERROR(tbl_Achats[[#This Row],[Qté d''Achat]] * tbl_Achats[[#This Row],[Prix Achat Unitaire]], 0)</f>
        <v>0</v>
      </c>
    </row>
    <row r="605" spans="4:9" x14ac:dyDescent="0.25">
      <c r="D605" t="str">
        <f>IFERROR(VLOOKUP(E605,Référentiels!$M$2:$N$267,2,FALSE),"Ingrédient non trouvé")</f>
        <v>Ingrédient non trouvé</v>
      </c>
      <c r="I605">
        <f>IFERROR(tbl_Achats[[#This Row],[Qté d''Achat]] * tbl_Achats[[#This Row],[Prix Achat Unitaire]], 0)</f>
        <v>0</v>
      </c>
    </row>
    <row r="606" spans="4:9" x14ac:dyDescent="0.25">
      <c r="D606" t="str">
        <f>IFERROR(VLOOKUP(E606,Référentiels!$M$2:$N$267,2,FALSE),"Ingrédient non trouvé")</f>
        <v>Ingrédient non trouvé</v>
      </c>
      <c r="I606">
        <f>IFERROR(tbl_Achats[[#This Row],[Qté d''Achat]] * tbl_Achats[[#This Row],[Prix Achat Unitaire]], 0)</f>
        <v>0</v>
      </c>
    </row>
    <row r="607" spans="4:9" x14ac:dyDescent="0.25">
      <c r="D607" t="str">
        <f>IFERROR(VLOOKUP(E607,Référentiels!$M$2:$N$267,2,FALSE),"Ingrédient non trouvé")</f>
        <v>Ingrédient non trouvé</v>
      </c>
      <c r="I607">
        <f>IFERROR(tbl_Achats[[#This Row],[Qté d''Achat]] * tbl_Achats[[#This Row],[Prix Achat Unitaire]], 0)</f>
        <v>0</v>
      </c>
    </row>
    <row r="608" spans="4:9" x14ac:dyDescent="0.25">
      <c r="D608" t="str">
        <f>IFERROR(VLOOKUP(E608,Référentiels!$M$2:$N$267,2,FALSE),"Ingrédient non trouvé")</f>
        <v>Ingrédient non trouvé</v>
      </c>
      <c r="I608">
        <f>IFERROR(tbl_Achats[[#This Row],[Qté d''Achat]] * tbl_Achats[[#This Row],[Prix Achat Unitaire]], 0)</f>
        <v>0</v>
      </c>
    </row>
    <row r="609" spans="4:9" x14ac:dyDescent="0.25">
      <c r="D609" t="str">
        <f>IFERROR(VLOOKUP(E609,Référentiels!$M$2:$N$267,2,FALSE),"Ingrédient non trouvé")</f>
        <v>Ingrédient non trouvé</v>
      </c>
      <c r="I609">
        <f>IFERROR(tbl_Achats[[#This Row],[Qté d''Achat]] * tbl_Achats[[#This Row],[Prix Achat Unitaire]], 0)</f>
        <v>0</v>
      </c>
    </row>
    <row r="610" spans="4:9" x14ac:dyDescent="0.25">
      <c r="D610" t="str">
        <f>IFERROR(VLOOKUP(E610,Référentiels!$M$2:$N$267,2,FALSE),"Ingrédient non trouvé")</f>
        <v>Ingrédient non trouvé</v>
      </c>
      <c r="I610">
        <f>IFERROR(tbl_Achats[[#This Row],[Qté d''Achat]] * tbl_Achats[[#This Row],[Prix Achat Unitaire]], 0)</f>
        <v>0</v>
      </c>
    </row>
    <row r="611" spans="4:9" x14ac:dyDescent="0.25">
      <c r="D611" t="str">
        <f>IFERROR(VLOOKUP(E611,Référentiels!$M$2:$N$267,2,FALSE),"Ingrédient non trouvé")</f>
        <v>Ingrédient non trouvé</v>
      </c>
      <c r="I611">
        <f>IFERROR(tbl_Achats[[#This Row],[Qté d''Achat]] * tbl_Achats[[#This Row],[Prix Achat Unitaire]], 0)</f>
        <v>0</v>
      </c>
    </row>
    <row r="612" spans="4:9" x14ac:dyDescent="0.25">
      <c r="D612" t="str">
        <f>IFERROR(VLOOKUP(E612,Référentiels!$M$2:$N$267,2,FALSE),"Ingrédient non trouvé")</f>
        <v>Ingrédient non trouvé</v>
      </c>
      <c r="I612">
        <f>IFERROR(tbl_Achats[[#This Row],[Qté d''Achat]] * tbl_Achats[[#This Row],[Prix Achat Unitaire]], 0)</f>
        <v>0</v>
      </c>
    </row>
    <row r="613" spans="4:9" x14ac:dyDescent="0.25">
      <c r="D613" t="str">
        <f>IFERROR(VLOOKUP(E613,Référentiels!$M$2:$N$267,2,FALSE),"Ingrédient non trouvé")</f>
        <v>Ingrédient non trouvé</v>
      </c>
      <c r="I613">
        <f>IFERROR(tbl_Achats[[#This Row],[Qté d''Achat]] * tbl_Achats[[#This Row],[Prix Achat Unitaire]], 0)</f>
        <v>0</v>
      </c>
    </row>
    <row r="614" spans="4:9" x14ac:dyDescent="0.25">
      <c r="D614" t="str">
        <f>IFERROR(VLOOKUP(E614,Référentiels!$M$2:$N$267,2,FALSE),"Ingrédient non trouvé")</f>
        <v>Ingrédient non trouvé</v>
      </c>
      <c r="I614">
        <f>IFERROR(tbl_Achats[[#This Row],[Qté d''Achat]] * tbl_Achats[[#This Row],[Prix Achat Unitaire]], 0)</f>
        <v>0</v>
      </c>
    </row>
    <row r="615" spans="4:9" x14ac:dyDescent="0.25">
      <c r="D615" t="str">
        <f>IFERROR(VLOOKUP(E615,Référentiels!$M$2:$N$267,2,FALSE),"Ingrédient non trouvé")</f>
        <v>Ingrédient non trouvé</v>
      </c>
      <c r="I615">
        <f>IFERROR(tbl_Achats[[#This Row],[Qté d''Achat]] * tbl_Achats[[#This Row],[Prix Achat Unitaire]], 0)</f>
        <v>0</v>
      </c>
    </row>
    <row r="616" spans="4:9" x14ac:dyDescent="0.25">
      <c r="D616" t="str">
        <f>IFERROR(VLOOKUP(E616,Référentiels!$M$2:$N$267,2,FALSE),"Ingrédient non trouvé")</f>
        <v>Ingrédient non trouvé</v>
      </c>
      <c r="I616">
        <f>IFERROR(tbl_Achats[[#This Row],[Qté d''Achat]] * tbl_Achats[[#This Row],[Prix Achat Unitaire]], 0)</f>
        <v>0</v>
      </c>
    </row>
    <row r="617" spans="4:9" x14ac:dyDescent="0.25">
      <c r="D617" t="str">
        <f>IFERROR(VLOOKUP(E617,Référentiels!$M$2:$N$267,2,FALSE),"Ingrédient non trouvé")</f>
        <v>Ingrédient non trouvé</v>
      </c>
      <c r="I617">
        <f>IFERROR(tbl_Achats[[#This Row],[Qté d''Achat]] * tbl_Achats[[#This Row],[Prix Achat Unitaire]], 0)</f>
        <v>0</v>
      </c>
    </row>
    <row r="618" spans="4:9" x14ac:dyDescent="0.25">
      <c r="D618" t="str">
        <f>IFERROR(VLOOKUP(E618,Référentiels!$M$2:$N$267,2,FALSE),"Ingrédient non trouvé")</f>
        <v>Ingrédient non trouvé</v>
      </c>
      <c r="I618">
        <f>IFERROR(tbl_Achats[[#This Row],[Qté d''Achat]] * tbl_Achats[[#This Row],[Prix Achat Unitaire]], 0)</f>
        <v>0</v>
      </c>
    </row>
    <row r="619" spans="4:9" x14ac:dyDescent="0.25">
      <c r="D619" t="str">
        <f>IFERROR(VLOOKUP(E619,Référentiels!$M$2:$N$267,2,FALSE),"Ingrédient non trouvé")</f>
        <v>Ingrédient non trouvé</v>
      </c>
      <c r="I619">
        <f>IFERROR(tbl_Achats[[#This Row],[Qté d''Achat]] * tbl_Achats[[#This Row],[Prix Achat Unitaire]], 0)</f>
        <v>0</v>
      </c>
    </row>
    <row r="620" spans="4:9" x14ac:dyDescent="0.25">
      <c r="D620" t="str">
        <f>IFERROR(VLOOKUP(E620,Référentiels!$M$2:$N$267,2,FALSE),"Ingrédient non trouvé")</f>
        <v>Ingrédient non trouvé</v>
      </c>
      <c r="I620">
        <f>IFERROR(tbl_Achats[[#This Row],[Qté d''Achat]] * tbl_Achats[[#This Row],[Prix Achat Unitaire]], 0)</f>
        <v>0</v>
      </c>
    </row>
  </sheetData>
  <dataValidations count="1">
    <dataValidation type="list" allowBlank="1" showInputMessage="1" showErrorMessage="1" sqref="G2:G620" xr:uid="{00000000-0002-0000-0600-000000000000}">
      <formula1>$R$3:$R$10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1E07FB-1771-4996-8105-20C9732DBC56}">
          <x14:formula1>
            <xm:f>Référentiels!$M$2:$M$267</xm:f>
          </x14:formula1>
          <xm:sqref>E2:E620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E500"/>
  <sheetViews>
    <sheetView workbookViewId="0">
      <selection activeCell="B13" sqref="B13"/>
    </sheetView>
  </sheetViews>
  <sheetFormatPr baseColWidth="10" defaultColWidth="22.5703125" defaultRowHeight="15" x14ac:dyDescent="0.25"/>
  <cols>
    <col min="1" max="1" width="20.7109375" bestFit="1" customWidth="1"/>
    <col min="2" max="2" width="20" bestFit="1" customWidth="1"/>
    <col min="3" max="4" width="20" customWidth="1"/>
    <col min="5" max="5" width="14.7109375" style="37" bestFit="1" customWidth="1"/>
  </cols>
  <sheetData>
    <row r="1" spans="1:4" x14ac:dyDescent="0.25">
      <c r="A1" s="28" t="s">
        <v>1186</v>
      </c>
      <c r="B1" s="18" t="s">
        <v>1187</v>
      </c>
      <c r="C1" s="58" t="s">
        <v>1188</v>
      </c>
      <c r="D1" s="33" t="s">
        <v>202</v>
      </c>
    </row>
    <row r="2" spans="1:4" x14ac:dyDescent="0.25">
      <c r="A2" s="34" t="str">
        <f>IFERROR(VLOOKUP(B2,Référentiels!$M$2:$N$267,2,FALSE),"")</f>
        <v>BOU004</v>
      </c>
      <c r="B2" s="35" t="s">
        <v>205</v>
      </c>
      <c r="C2" s="59">
        <v>10</v>
      </c>
      <c r="D2" s="36" t="str">
        <f>INDEX(tbl_IngrédientsRef[Unité], MATCH(A2, tbl_IngrédientsRef[Cde_Ingrdt],0))</f>
        <v>Pièce</v>
      </c>
    </row>
    <row r="3" spans="1:4" x14ac:dyDescent="0.25">
      <c r="A3" s="34" t="str">
        <f>IFERROR(VLOOKUP(B3,Référentiels!$M$2:$N$267,2,FALSE),"")</f>
        <v>BOU001</v>
      </c>
      <c r="B3" s="17" t="s">
        <v>218</v>
      </c>
      <c r="C3" s="59">
        <v>500</v>
      </c>
      <c r="D3" s="36" t="str">
        <f>INDEX(tbl_IngrédientsRef[Unité], MATCH(A3, tbl_IngrédientsRef[Cde_Ingrdt],0))</f>
        <v>Pièce</v>
      </c>
    </row>
    <row r="4" spans="1:4" x14ac:dyDescent="0.25">
      <c r="A4" s="34" t="str">
        <f>IFERROR(VLOOKUP(B4,Référentiels!$M$2:$N$267,2,FALSE),"")</f>
        <v>FEC006</v>
      </c>
      <c r="B4" s="17" t="s">
        <v>352</v>
      </c>
      <c r="C4" s="59">
        <v>500</v>
      </c>
      <c r="D4" s="36" t="str">
        <f>INDEX(tbl_IngrédientsRef[Unité], MATCH(A4, tbl_IngrédientsRef[Cde_Ingrdt],0))</f>
        <v>g</v>
      </c>
    </row>
    <row r="5" spans="1:4" x14ac:dyDescent="0.25">
      <c r="A5" s="34" t="str">
        <f>IFERROR(VLOOKUP(B5,Référentiels!$M$2:$N$267,2,FALSE),"")</f>
        <v>BOI009</v>
      </c>
      <c r="B5" s="17" t="s">
        <v>1184</v>
      </c>
      <c r="C5" s="59">
        <v>60</v>
      </c>
      <c r="D5" s="36" t="str">
        <f>INDEX(tbl_IngrédientsRef[Unité], MATCH(A5, tbl_IngrédientsRef[Cde_Ingrdt],0))</f>
        <v>Pièce</v>
      </c>
    </row>
    <row r="6" spans="1:4" x14ac:dyDescent="0.25">
      <c r="A6" s="34" t="str">
        <f>IFERROR(VLOOKUP(B6,Référentiels!$M$2:$N$267,2,FALSE),"")</f>
        <v>BOI008</v>
      </c>
      <c r="B6" s="17" t="s">
        <v>1150</v>
      </c>
      <c r="C6" s="59">
        <v>100</v>
      </c>
      <c r="D6" s="36" t="str">
        <f>INDEX(tbl_IngrédientsRef[Unité], MATCH(A6, tbl_IngrédientsRef[Cde_Ingrdt],0))</f>
        <v>Pièce</v>
      </c>
    </row>
    <row r="7" spans="1:4" x14ac:dyDescent="0.25">
      <c r="A7" s="34" t="str">
        <f>IFERROR(VLOOKUP(B7,Référentiels!$M$2:$N$267,2,FALSE),"")</f>
        <v>BOE001</v>
      </c>
      <c r="B7" s="17" t="s">
        <v>473</v>
      </c>
      <c r="C7" s="59">
        <v>365</v>
      </c>
      <c r="D7" s="36" t="str">
        <f>INDEX(tbl_IngrédientsRef[Unité], MATCH(A7, tbl_IngrédientsRef[Cde_Ingrdt],0))</f>
        <v>g</v>
      </c>
    </row>
    <row r="8" spans="1:4" x14ac:dyDescent="0.25">
      <c r="A8" s="34" t="str">
        <f>IFERROR(VLOOKUP(B8,Référentiels!$M$2:$N$267,2,FALSE),"")</f>
        <v>VOL007</v>
      </c>
      <c r="B8" s="17" t="s">
        <v>407</v>
      </c>
      <c r="C8" s="59">
        <v>246</v>
      </c>
      <c r="D8" s="36" t="str">
        <f>INDEX(tbl_IngrédientsRef[Unité], MATCH(A8, tbl_IngrédientsRef[Cde_Ingrdt],0))</f>
        <v>g</v>
      </c>
    </row>
    <row r="9" spans="1:4" x14ac:dyDescent="0.25">
      <c r="A9" s="34" t="str">
        <f>IFERROR(VLOOKUP(B9,Référentiels!$M$2:$N$267,2,FALSE),"")</f>
        <v>AGN004</v>
      </c>
      <c r="B9" s="17" t="s">
        <v>434</v>
      </c>
      <c r="C9" s="59">
        <v>55</v>
      </c>
      <c r="D9" s="36" t="str">
        <f>INDEX(tbl_IngrédientsRef[Unité], MATCH(A9, tbl_IngrédientsRef[Cde_Ingrdt],0))</f>
        <v>g</v>
      </c>
    </row>
    <row r="10" spans="1:4" x14ac:dyDescent="0.25">
      <c r="A10" s="34" t="str">
        <f>IFERROR(VLOOKUP(B10,Référentiels!$M$2:$N$267,2,FALSE),"")</f>
        <v>BOU006</v>
      </c>
      <c r="B10" s="17" t="s">
        <v>288</v>
      </c>
      <c r="C10" s="59"/>
      <c r="D10" s="36" t="str">
        <f>INDEX(tbl_IngrédientsRef[Unité], MATCH(A10, tbl_IngrédientsRef[Cde_Ingrdt],0))</f>
        <v>Pièce</v>
      </c>
    </row>
    <row r="11" spans="1:4" x14ac:dyDescent="0.25">
      <c r="A11" s="34" t="str">
        <f>IFERROR(VLOOKUP(B11,Référentiels!$M$2:$N$267,2,FALSE),"")</f>
        <v>BOU010</v>
      </c>
      <c r="B11" s="17" t="s">
        <v>276</v>
      </c>
      <c r="C11" s="59"/>
      <c r="D11" s="36" t="str">
        <f>INDEX(tbl_IngrédientsRef[Unité], MATCH(A11, tbl_IngrédientsRef[Cde_Ingrdt],0))</f>
        <v>Pièce</v>
      </c>
    </row>
    <row r="12" spans="1:4" x14ac:dyDescent="0.25">
      <c r="A12" s="34" t="str">
        <f>IFERROR(VLOOKUP(B12,Référentiels!$M$2:$N$267,2,FALSE),"")</f>
        <v>BOE006</v>
      </c>
      <c r="B12" s="17" t="s">
        <v>827</v>
      </c>
      <c r="C12" s="59"/>
      <c r="D12" s="36" t="str">
        <f>INDEX(tbl_IngrédientsRef[Unité], MATCH(A12, tbl_IngrédientsRef[Cde_Ingrdt],0))</f>
        <v>g</v>
      </c>
    </row>
    <row r="13" spans="1:4" x14ac:dyDescent="0.25">
      <c r="A13" s="34" t="str">
        <f>IFERROR(VLOOKUP(B13,Référentiels!$M$2:$N$267,2,FALSE),"")</f>
        <v>VEA007</v>
      </c>
      <c r="B13" s="17" t="s">
        <v>444</v>
      </c>
      <c r="C13" s="59"/>
      <c r="D13" s="36" t="str">
        <f>INDEX(tbl_IngrédientsRef[Unité], MATCH(A13, tbl_IngrédientsRef[Cde_Ingrdt],0))</f>
        <v>g</v>
      </c>
    </row>
    <row r="14" spans="1:4" x14ac:dyDescent="0.25">
      <c r="A14" s="34" t="str">
        <f>IFERROR(VLOOKUP(B14,Référentiels!$M$2:$N$267,2,FALSE),"")</f>
        <v/>
      </c>
      <c r="B14" s="17"/>
      <c r="C14" s="59"/>
      <c r="D14" s="36" t="e">
        <f>INDEX(tbl_IngrédientsRef[Unité], MATCH(A14, tbl_IngrédientsRef[Cde_Ingrdt],0))</f>
        <v>#N/A</v>
      </c>
    </row>
    <row r="15" spans="1:4" x14ac:dyDescent="0.25">
      <c r="A15" s="34" t="str">
        <f>IFERROR(VLOOKUP(B15,Référentiels!$M$2:$N$267,2,FALSE),"")</f>
        <v/>
      </c>
      <c r="B15" s="17"/>
      <c r="C15" s="59"/>
      <c r="D15" s="36" t="e">
        <f>INDEX(tbl_IngrédientsRef[Unité], MATCH(A15, tbl_IngrédientsRef[Cde_Ingrdt],0))</f>
        <v>#N/A</v>
      </c>
    </row>
    <row r="16" spans="1:4" x14ac:dyDescent="0.25">
      <c r="A16" s="34" t="str">
        <f>IFERROR(VLOOKUP(B16,Référentiels!$M$2:$N$267,2,FALSE),"")</f>
        <v/>
      </c>
      <c r="B16" s="17"/>
      <c r="C16" s="59"/>
      <c r="D16" s="36" t="e">
        <f>INDEX(tbl_IngrédientsRef[Unité], MATCH(A16, tbl_IngrédientsRef[Cde_Ingrdt],0))</f>
        <v>#N/A</v>
      </c>
    </row>
    <row r="17" spans="1:4" x14ac:dyDescent="0.25">
      <c r="A17" s="34" t="str">
        <f>IFERROR(VLOOKUP(B17,Référentiels!$M$2:$N$267,2,FALSE),"")</f>
        <v/>
      </c>
      <c r="B17" s="17"/>
      <c r="C17" s="59"/>
      <c r="D17" s="36" t="e">
        <f>INDEX(tbl_IngrédientsRef[Unité], MATCH(A17, tbl_IngrédientsRef[Cde_Ingrdt],0))</f>
        <v>#N/A</v>
      </c>
    </row>
    <row r="18" spans="1:4" x14ac:dyDescent="0.25">
      <c r="A18" s="34" t="str">
        <f>IFERROR(VLOOKUP(B18,Référentiels!$M$2:$N$267,2,FALSE),"")</f>
        <v/>
      </c>
      <c r="B18" s="17"/>
      <c r="C18" s="59"/>
      <c r="D18" s="36" t="e">
        <f>INDEX(tbl_IngrédientsRef[Unité], MATCH(A18, tbl_IngrédientsRef[Cde_Ingrdt],0))</f>
        <v>#N/A</v>
      </c>
    </row>
    <row r="19" spans="1:4" x14ac:dyDescent="0.25">
      <c r="A19" s="34" t="str">
        <f>IFERROR(VLOOKUP(B19,Référentiels!$M$2:$N$267,2,FALSE),"")</f>
        <v/>
      </c>
      <c r="B19" s="17"/>
      <c r="C19" s="59"/>
      <c r="D19" s="36" t="e">
        <f>INDEX(tbl_IngrédientsRef[Unité], MATCH(A19, tbl_IngrédientsRef[Cde_Ingrdt],0))</f>
        <v>#N/A</v>
      </c>
    </row>
    <row r="20" spans="1:4" x14ac:dyDescent="0.25">
      <c r="A20" s="34" t="str">
        <f>IFERROR(VLOOKUP(B20,Référentiels!$M$2:$N$267,2,FALSE),"")</f>
        <v/>
      </c>
      <c r="B20" s="17"/>
      <c r="C20" s="59"/>
      <c r="D20" s="36" t="e">
        <f>INDEX(tbl_IngrédientsRef[Unité], MATCH(A20, tbl_IngrédientsRef[Cde_Ingrdt],0))</f>
        <v>#N/A</v>
      </c>
    </row>
    <row r="21" spans="1:4" x14ac:dyDescent="0.25">
      <c r="A21" s="34" t="str">
        <f>IFERROR(VLOOKUP(B21,Référentiels!$M$2:$N$267,2,FALSE),"")</f>
        <v/>
      </c>
      <c r="B21" s="17"/>
      <c r="C21" s="59"/>
      <c r="D21" s="36" t="e">
        <f>INDEX(tbl_IngrédientsRef[Unité], MATCH(A21, tbl_IngrédientsRef[Cde_Ingrdt],0))</f>
        <v>#N/A</v>
      </c>
    </row>
    <row r="22" spans="1:4" x14ac:dyDescent="0.25">
      <c r="A22" s="34" t="str">
        <f>IFERROR(VLOOKUP(B22,Référentiels!$M$2:$N$267,2,FALSE),"")</f>
        <v/>
      </c>
      <c r="B22" s="17"/>
      <c r="C22" s="59"/>
      <c r="D22" s="36" t="e">
        <f>INDEX(tbl_IngrédientsRef[Unité], MATCH(A22, tbl_IngrédientsRef[Cde_Ingrdt],0))</f>
        <v>#N/A</v>
      </c>
    </row>
    <row r="23" spans="1:4" x14ac:dyDescent="0.25">
      <c r="A23" s="34" t="str">
        <f>IFERROR(VLOOKUP(B23,Référentiels!$M$2:$N$267,2,FALSE),"")</f>
        <v/>
      </c>
      <c r="B23" s="17"/>
      <c r="C23" s="59"/>
      <c r="D23" s="36" t="e">
        <f>INDEX(tbl_IngrédientsRef[Unité], MATCH(A23, tbl_IngrédientsRef[Cde_Ingrdt],0))</f>
        <v>#N/A</v>
      </c>
    </row>
    <row r="24" spans="1:4" x14ac:dyDescent="0.25">
      <c r="A24" s="34" t="str">
        <f>IFERROR(VLOOKUP(B24,Référentiels!$M$2:$N$267,2,FALSE),"")</f>
        <v/>
      </c>
      <c r="B24" s="17"/>
      <c r="C24" s="59"/>
      <c r="D24" s="36" t="e">
        <f>INDEX(tbl_IngrédientsRef[Unité], MATCH(A24, tbl_IngrédientsRef[Cde_Ingrdt],0))</f>
        <v>#N/A</v>
      </c>
    </row>
    <row r="25" spans="1:4" x14ac:dyDescent="0.25">
      <c r="A25" s="34" t="str">
        <f>IFERROR(VLOOKUP(B25,Référentiels!$M$2:$N$267,2,FALSE),"")</f>
        <v/>
      </c>
      <c r="B25" s="17"/>
      <c r="C25" s="59"/>
      <c r="D25" s="36" t="e">
        <f>INDEX(tbl_IngrédientsRef[Unité], MATCH(A25, tbl_IngrédientsRef[Cde_Ingrdt],0))</f>
        <v>#N/A</v>
      </c>
    </row>
    <row r="26" spans="1:4" x14ac:dyDescent="0.25">
      <c r="A26" s="34" t="str">
        <f>IFERROR(VLOOKUP(B26,Référentiels!$M$2:$N$267,2,FALSE),"")</f>
        <v/>
      </c>
      <c r="B26" s="17"/>
      <c r="C26" s="59"/>
      <c r="D26" s="36" t="e">
        <f>INDEX(tbl_IngrédientsRef[Unité], MATCH(A26, tbl_IngrédientsRef[Cde_Ingrdt],0))</f>
        <v>#N/A</v>
      </c>
    </row>
    <row r="27" spans="1:4" x14ac:dyDescent="0.25">
      <c r="A27" s="34" t="str">
        <f>IFERROR(VLOOKUP(B27,Référentiels!$M$2:$N$267,2,FALSE),"")</f>
        <v/>
      </c>
      <c r="B27" s="17"/>
      <c r="C27" s="59"/>
      <c r="D27" s="36" t="e">
        <f>INDEX(tbl_IngrédientsRef[Unité], MATCH(A27, tbl_IngrédientsRef[Cde_Ingrdt],0))</f>
        <v>#N/A</v>
      </c>
    </row>
    <row r="28" spans="1:4" x14ac:dyDescent="0.25">
      <c r="A28" s="34" t="str">
        <f>IFERROR(VLOOKUP(B28,Référentiels!$M$2:$N$267,2,FALSE),"")</f>
        <v/>
      </c>
      <c r="B28" s="17"/>
      <c r="C28" s="59"/>
      <c r="D28" s="36" t="e">
        <f>INDEX(tbl_IngrédientsRef[Unité], MATCH(A28, tbl_IngrédientsRef[Cde_Ingrdt],0))</f>
        <v>#N/A</v>
      </c>
    </row>
    <row r="29" spans="1:4" x14ac:dyDescent="0.25">
      <c r="A29" s="34" t="str">
        <f>IFERROR(VLOOKUP(B29,Référentiels!$M$2:$N$267,2,FALSE),"")</f>
        <v/>
      </c>
      <c r="B29" s="17"/>
      <c r="C29" s="59"/>
      <c r="D29" s="36" t="e">
        <f>INDEX(tbl_IngrédientsRef[Unité], MATCH(A29, tbl_IngrédientsRef[Cde_Ingrdt],0))</f>
        <v>#N/A</v>
      </c>
    </row>
    <row r="30" spans="1:4" x14ac:dyDescent="0.25">
      <c r="A30" s="34" t="str">
        <f>IFERROR(VLOOKUP(B30,Référentiels!$M$2:$N$267,2,FALSE),"")</f>
        <v/>
      </c>
      <c r="B30" s="17"/>
      <c r="C30" s="59"/>
      <c r="D30" s="36" t="e">
        <f>INDEX(tbl_IngrédientsRef[Unité], MATCH(A30, tbl_IngrédientsRef[Cde_Ingrdt],0))</f>
        <v>#N/A</v>
      </c>
    </row>
    <row r="31" spans="1:4" x14ac:dyDescent="0.25">
      <c r="A31" s="34" t="str">
        <f>IFERROR(VLOOKUP(B31,Référentiels!$M$2:$N$267,2,FALSE),"")</f>
        <v/>
      </c>
      <c r="B31" s="17"/>
      <c r="C31" s="59"/>
      <c r="D31" s="36" t="e">
        <f>INDEX(tbl_IngrédientsRef[Unité], MATCH(A31, tbl_IngrédientsRef[Cde_Ingrdt],0))</f>
        <v>#N/A</v>
      </c>
    </row>
    <row r="32" spans="1:4" x14ac:dyDescent="0.25">
      <c r="A32" s="34" t="str">
        <f>IFERROR(VLOOKUP(B32,Référentiels!$M$2:$N$267,2,FALSE),"")</f>
        <v/>
      </c>
      <c r="B32" s="17"/>
      <c r="C32" s="59"/>
      <c r="D32" s="36" t="e">
        <f>INDEX(tbl_IngrédientsRef[Unité], MATCH(A32, tbl_IngrédientsRef[Cde_Ingrdt],0))</f>
        <v>#N/A</v>
      </c>
    </row>
    <row r="33" spans="1:4" x14ac:dyDescent="0.25">
      <c r="A33" s="34" t="str">
        <f>IFERROR(VLOOKUP(B33,Référentiels!$M$2:$N$267,2,FALSE),"")</f>
        <v/>
      </c>
      <c r="B33" s="17"/>
      <c r="C33" s="59"/>
      <c r="D33" s="36" t="e">
        <f>INDEX(tbl_IngrédientsRef[Unité], MATCH(A33, tbl_IngrédientsRef[Cde_Ingrdt],0))</f>
        <v>#N/A</v>
      </c>
    </row>
    <row r="34" spans="1:4" x14ac:dyDescent="0.25">
      <c r="A34" s="34" t="str">
        <f>IFERROR(VLOOKUP(B34,Référentiels!$M$2:$N$267,2,FALSE),"")</f>
        <v/>
      </c>
      <c r="B34" s="17"/>
      <c r="C34" s="59"/>
      <c r="D34" s="36" t="e">
        <f>INDEX(tbl_IngrédientsRef[Unité], MATCH(A34, tbl_IngrédientsRef[Cde_Ingrdt],0))</f>
        <v>#N/A</v>
      </c>
    </row>
    <row r="35" spans="1:4" x14ac:dyDescent="0.25">
      <c r="A35" s="34" t="str">
        <f>IFERROR(VLOOKUP(B35,Référentiels!$M$2:$N$267,2,FALSE),"")</f>
        <v/>
      </c>
      <c r="B35" s="17"/>
      <c r="C35" s="59"/>
      <c r="D35" s="36" t="e">
        <f>INDEX(tbl_IngrédientsRef[Unité], MATCH(A35, tbl_IngrédientsRef[Cde_Ingrdt],0))</f>
        <v>#N/A</v>
      </c>
    </row>
    <row r="36" spans="1:4" x14ac:dyDescent="0.25">
      <c r="A36" s="34" t="str">
        <f>IFERROR(VLOOKUP(B36,Référentiels!$M$2:$N$267,2,FALSE),"")</f>
        <v/>
      </c>
      <c r="B36" s="17"/>
      <c r="C36" s="59"/>
      <c r="D36" s="36" t="e">
        <f>INDEX(tbl_IngrédientsRef[Unité], MATCH(A36, tbl_IngrédientsRef[Cde_Ingrdt],0))</f>
        <v>#N/A</v>
      </c>
    </row>
    <row r="37" spans="1:4" x14ac:dyDescent="0.25">
      <c r="A37" s="34" t="str">
        <f>IFERROR(VLOOKUP(B37,Référentiels!$M$2:$N$267,2,FALSE),"")</f>
        <v/>
      </c>
      <c r="B37" s="17"/>
      <c r="C37" s="59"/>
      <c r="D37" s="36" t="e">
        <f>INDEX(tbl_IngrédientsRef[Unité], MATCH(A37, tbl_IngrédientsRef[Cde_Ingrdt],0))</f>
        <v>#N/A</v>
      </c>
    </row>
    <row r="38" spans="1:4" x14ac:dyDescent="0.25">
      <c r="A38" s="34" t="str">
        <f>IFERROR(VLOOKUP(B38,Référentiels!$M$2:$N$267,2,FALSE),"")</f>
        <v/>
      </c>
      <c r="B38" s="17"/>
      <c r="C38" s="59"/>
      <c r="D38" s="36" t="e">
        <f>INDEX(tbl_IngrédientsRef[Unité], MATCH(A38, tbl_IngrédientsRef[Cde_Ingrdt],0))</f>
        <v>#N/A</v>
      </c>
    </row>
    <row r="39" spans="1:4" x14ac:dyDescent="0.25">
      <c r="A39" s="34" t="str">
        <f>IFERROR(VLOOKUP(B39,Référentiels!$M$2:$N$267,2,FALSE),"")</f>
        <v/>
      </c>
      <c r="B39" s="17"/>
      <c r="C39" s="59"/>
      <c r="D39" s="36" t="e">
        <f>INDEX(tbl_IngrédientsRef[Unité], MATCH(A39, tbl_IngrédientsRef[Cde_Ingrdt],0))</f>
        <v>#N/A</v>
      </c>
    </row>
    <row r="40" spans="1:4" x14ac:dyDescent="0.25">
      <c r="A40" s="34" t="str">
        <f>IFERROR(VLOOKUP(B40,Référentiels!$M$2:$N$267,2,FALSE),"")</f>
        <v/>
      </c>
      <c r="B40" s="17"/>
      <c r="C40" s="59"/>
      <c r="D40" s="36" t="e">
        <f>INDEX(tbl_IngrédientsRef[Unité], MATCH(A40, tbl_IngrédientsRef[Cde_Ingrdt],0))</f>
        <v>#N/A</v>
      </c>
    </row>
    <row r="41" spans="1:4" x14ac:dyDescent="0.25">
      <c r="A41" s="34" t="str">
        <f>IFERROR(VLOOKUP(B41,Référentiels!$M$2:$N$267,2,FALSE),"")</f>
        <v/>
      </c>
      <c r="B41" s="17"/>
      <c r="C41" s="59"/>
      <c r="D41" s="36" t="e">
        <f>INDEX(tbl_IngrédientsRef[Unité], MATCH(A41, tbl_IngrédientsRef[Cde_Ingrdt],0))</f>
        <v>#N/A</v>
      </c>
    </row>
    <row r="42" spans="1:4" x14ac:dyDescent="0.25">
      <c r="A42" s="34" t="str">
        <f>IFERROR(VLOOKUP(B42,Référentiels!$M$2:$N$267,2,FALSE),"")</f>
        <v/>
      </c>
      <c r="B42" s="17"/>
      <c r="C42" s="59"/>
      <c r="D42" s="36" t="e">
        <f>INDEX(tbl_IngrédientsRef[Unité], MATCH(A42, tbl_IngrédientsRef[Cde_Ingrdt],0))</f>
        <v>#N/A</v>
      </c>
    </row>
    <row r="43" spans="1:4" x14ac:dyDescent="0.25">
      <c r="A43" s="34" t="str">
        <f>IFERROR(VLOOKUP(B43,Référentiels!$M$2:$N$267,2,FALSE),"")</f>
        <v/>
      </c>
      <c r="B43" s="17"/>
      <c r="C43" s="59"/>
      <c r="D43" s="36" t="e">
        <f>INDEX(tbl_IngrédientsRef[Unité], MATCH(A43, tbl_IngrédientsRef[Cde_Ingrdt],0))</f>
        <v>#N/A</v>
      </c>
    </row>
    <row r="44" spans="1:4" x14ac:dyDescent="0.25">
      <c r="A44" s="34" t="str">
        <f>IFERROR(VLOOKUP(B44,Référentiels!$M$2:$N$267,2,FALSE),"")</f>
        <v/>
      </c>
      <c r="B44" s="17"/>
      <c r="C44" s="59"/>
      <c r="D44" s="36" t="e">
        <f>INDEX(tbl_IngrédientsRef[Unité], MATCH(A44, tbl_IngrédientsRef[Cde_Ingrdt],0))</f>
        <v>#N/A</v>
      </c>
    </row>
    <row r="45" spans="1:4" x14ac:dyDescent="0.25">
      <c r="A45" s="34" t="str">
        <f>IFERROR(VLOOKUP(B45,Référentiels!$M$2:$N$267,2,FALSE),"")</f>
        <v/>
      </c>
      <c r="B45" s="17"/>
      <c r="C45" s="59"/>
      <c r="D45" s="36" t="e">
        <f>INDEX(tbl_IngrédientsRef[Unité], MATCH(A45, tbl_IngrédientsRef[Cde_Ingrdt],0))</f>
        <v>#N/A</v>
      </c>
    </row>
    <row r="46" spans="1:4" x14ac:dyDescent="0.25">
      <c r="A46" s="34" t="str">
        <f>IFERROR(VLOOKUP(B46,Référentiels!$M$2:$N$267,2,FALSE),"")</f>
        <v/>
      </c>
      <c r="B46" s="17"/>
      <c r="C46" s="59"/>
      <c r="D46" s="36" t="e">
        <f>INDEX(tbl_IngrédientsRef[Unité], MATCH(A46, tbl_IngrédientsRef[Cde_Ingrdt],0))</f>
        <v>#N/A</v>
      </c>
    </row>
    <row r="47" spans="1:4" x14ac:dyDescent="0.25">
      <c r="A47" s="34" t="str">
        <f>IFERROR(VLOOKUP(B47,Référentiels!$M$2:$N$267,2,FALSE),"")</f>
        <v/>
      </c>
      <c r="B47" s="17"/>
      <c r="C47" s="59"/>
      <c r="D47" s="36" t="e">
        <f>INDEX(tbl_IngrédientsRef[Unité], MATCH(A47, tbl_IngrédientsRef[Cde_Ingrdt],0))</f>
        <v>#N/A</v>
      </c>
    </row>
    <row r="48" spans="1:4" x14ac:dyDescent="0.25">
      <c r="A48" s="34" t="str">
        <f>IFERROR(VLOOKUP(B48,Référentiels!$M$2:$N$267,2,FALSE),"")</f>
        <v/>
      </c>
      <c r="B48" s="17"/>
      <c r="C48" s="59"/>
      <c r="D48" s="36" t="e">
        <f>INDEX(tbl_IngrédientsRef[Unité], MATCH(A48, tbl_IngrédientsRef[Cde_Ingrdt],0))</f>
        <v>#N/A</v>
      </c>
    </row>
    <row r="49" spans="1:4" x14ac:dyDescent="0.25">
      <c r="A49" s="34" t="str">
        <f>IFERROR(VLOOKUP(B49,Référentiels!$M$2:$N$267,2,FALSE),"")</f>
        <v/>
      </c>
      <c r="B49" s="17"/>
      <c r="C49" s="59"/>
      <c r="D49" s="36" t="e">
        <f>INDEX(tbl_IngrédientsRef[Unité], MATCH(A49, tbl_IngrédientsRef[Cde_Ingrdt],0))</f>
        <v>#N/A</v>
      </c>
    </row>
    <row r="50" spans="1:4" x14ac:dyDescent="0.25">
      <c r="A50" s="34" t="str">
        <f>IFERROR(VLOOKUP(B50,Référentiels!$M$2:$N$267,2,FALSE),"")</f>
        <v/>
      </c>
      <c r="B50" s="17"/>
      <c r="C50" s="59"/>
      <c r="D50" s="36" t="e">
        <f>INDEX(tbl_IngrédientsRef[Unité], MATCH(A50, tbl_IngrédientsRef[Cde_Ingrdt],0))</f>
        <v>#N/A</v>
      </c>
    </row>
    <row r="51" spans="1:4" x14ac:dyDescent="0.25">
      <c r="A51" s="34" t="str">
        <f>IFERROR(VLOOKUP(B51,Référentiels!$M$2:$N$267,2,FALSE),"")</f>
        <v/>
      </c>
      <c r="B51" s="17"/>
      <c r="C51" s="59"/>
      <c r="D51" s="36" t="e">
        <f>INDEX(tbl_IngrédientsRef[Unité], MATCH(A51, tbl_IngrédientsRef[Cde_Ingrdt],0))</f>
        <v>#N/A</v>
      </c>
    </row>
    <row r="52" spans="1:4" x14ac:dyDescent="0.25">
      <c r="A52" s="34" t="str">
        <f>IFERROR(VLOOKUP(B52,Référentiels!$M$2:$N$267,2,FALSE),"")</f>
        <v/>
      </c>
      <c r="B52" s="17"/>
      <c r="C52" s="59"/>
      <c r="D52" s="36" t="e">
        <f>INDEX(tbl_IngrédientsRef[Unité], MATCH(A52, tbl_IngrédientsRef[Cde_Ingrdt],0))</f>
        <v>#N/A</v>
      </c>
    </row>
    <row r="53" spans="1:4" x14ac:dyDescent="0.25">
      <c r="A53" s="34" t="str">
        <f>IFERROR(VLOOKUP(B53,Référentiels!$M$2:$N$267,2,FALSE),"")</f>
        <v/>
      </c>
      <c r="B53" s="17"/>
      <c r="C53" s="59"/>
      <c r="D53" s="36" t="e">
        <f>INDEX(tbl_IngrédientsRef[Unité], MATCH(A53, tbl_IngrédientsRef[Cde_Ingrdt],0))</f>
        <v>#N/A</v>
      </c>
    </row>
    <row r="54" spans="1:4" x14ac:dyDescent="0.25">
      <c r="A54" s="34" t="str">
        <f>IFERROR(VLOOKUP(B54,Référentiels!$M$2:$N$267,2,FALSE),"")</f>
        <v/>
      </c>
      <c r="B54" s="17"/>
      <c r="C54" s="59"/>
      <c r="D54" s="36" t="e">
        <f>INDEX(tbl_IngrédientsRef[Unité], MATCH(A54, tbl_IngrédientsRef[Cde_Ingrdt],0))</f>
        <v>#N/A</v>
      </c>
    </row>
    <row r="55" spans="1:4" x14ac:dyDescent="0.25">
      <c r="A55" s="34" t="str">
        <f>IFERROR(VLOOKUP(B55,Référentiels!$M$2:$N$267,2,FALSE),"")</f>
        <v/>
      </c>
      <c r="B55" s="17"/>
      <c r="C55" s="59"/>
      <c r="D55" s="36" t="e">
        <f>INDEX(tbl_IngrédientsRef[Unité], MATCH(A55, tbl_IngrédientsRef[Cde_Ingrdt],0))</f>
        <v>#N/A</v>
      </c>
    </row>
    <row r="56" spans="1:4" x14ac:dyDescent="0.25">
      <c r="A56" s="34" t="str">
        <f>IFERROR(VLOOKUP(B56,Référentiels!$M$2:$N$267,2,FALSE),"")</f>
        <v/>
      </c>
      <c r="B56" s="17"/>
      <c r="C56" s="59"/>
      <c r="D56" s="36" t="e">
        <f>INDEX(tbl_IngrédientsRef[Unité], MATCH(A56, tbl_IngrédientsRef[Cde_Ingrdt],0))</f>
        <v>#N/A</v>
      </c>
    </row>
    <row r="57" spans="1:4" x14ac:dyDescent="0.25">
      <c r="A57" s="34" t="str">
        <f>IFERROR(VLOOKUP(B57,Référentiels!$M$2:$N$267,2,FALSE),"")</f>
        <v/>
      </c>
      <c r="B57" s="17"/>
      <c r="C57" s="59"/>
      <c r="D57" s="36" t="e">
        <f>INDEX(tbl_IngrédientsRef[Unité], MATCH(A57, tbl_IngrédientsRef[Cde_Ingrdt],0))</f>
        <v>#N/A</v>
      </c>
    </row>
    <row r="58" spans="1:4" x14ac:dyDescent="0.25">
      <c r="A58" s="34" t="str">
        <f>IFERROR(VLOOKUP(B58,Référentiels!$M$2:$N$267,2,FALSE),"")</f>
        <v/>
      </c>
      <c r="B58" s="17"/>
      <c r="C58" s="59"/>
      <c r="D58" s="36" t="e">
        <f>INDEX(tbl_IngrédientsRef[Unité], MATCH(A58, tbl_IngrédientsRef[Cde_Ingrdt],0))</f>
        <v>#N/A</v>
      </c>
    </row>
    <row r="59" spans="1:4" x14ac:dyDescent="0.25">
      <c r="A59" s="34" t="str">
        <f>IFERROR(VLOOKUP(B59,Référentiels!$M$2:$N$267,2,FALSE),"")</f>
        <v/>
      </c>
      <c r="B59" s="17"/>
      <c r="C59" s="59"/>
      <c r="D59" s="36" t="e">
        <f>INDEX(tbl_IngrédientsRef[Unité], MATCH(A59, tbl_IngrédientsRef[Cde_Ingrdt],0))</f>
        <v>#N/A</v>
      </c>
    </row>
    <row r="60" spans="1:4" x14ac:dyDescent="0.25">
      <c r="A60" s="34" t="str">
        <f>IFERROR(VLOOKUP(B60,Référentiels!$M$2:$N$267,2,FALSE),"")</f>
        <v/>
      </c>
      <c r="B60" s="17"/>
      <c r="C60" s="59"/>
      <c r="D60" s="36" t="e">
        <f>INDEX(tbl_IngrédientsRef[Unité], MATCH(A60, tbl_IngrédientsRef[Cde_Ingrdt],0))</f>
        <v>#N/A</v>
      </c>
    </row>
    <row r="61" spans="1:4" x14ac:dyDescent="0.25">
      <c r="A61" s="34" t="str">
        <f>IFERROR(VLOOKUP(B61,Référentiels!$M$2:$N$267,2,FALSE),"")</f>
        <v/>
      </c>
      <c r="B61" s="17"/>
      <c r="C61" s="59"/>
      <c r="D61" s="36" t="e">
        <f>INDEX(tbl_IngrédientsRef[Unité], MATCH(A61, tbl_IngrédientsRef[Cde_Ingrdt],0))</f>
        <v>#N/A</v>
      </c>
    </row>
    <row r="62" spans="1:4" x14ac:dyDescent="0.25">
      <c r="A62" s="34" t="str">
        <f>IFERROR(VLOOKUP(B62,Référentiels!$M$2:$N$267,2,FALSE),"")</f>
        <v/>
      </c>
      <c r="B62" s="17"/>
      <c r="C62" s="59"/>
      <c r="D62" s="36" t="e">
        <f>INDEX(tbl_IngrédientsRef[Unité], MATCH(A62, tbl_IngrédientsRef[Cde_Ingrdt],0))</f>
        <v>#N/A</v>
      </c>
    </row>
    <row r="63" spans="1:4" x14ac:dyDescent="0.25">
      <c r="A63" s="34" t="str">
        <f>IFERROR(VLOOKUP(B63,Référentiels!$M$2:$N$267,2,FALSE),"")</f>
        <v/>
      </c>
      <c r="B63" s="17"/>
      <c r="C63" s="59"/>
      <c r="D63" s="36" t="e">
        <f>INDEX(tbl_IngrédientsRef[Unité], MATCH(A63, tbl_IngrédientsRef[Cde_Ingrdt],0))</f>
        <v>#N/A</v>
      </c>
    </row>
    <row r="64" spans="1:4" x14ac:dyDescent="0.25">
      <c r="A64" s="34" t="str">
        <f>IFERROR(VLOOKUP(B64,Référentiels!$M$2:$N$267,2,FALSE),"")</f>
        <v/>
      </c>
      <c r="B64" s="17"/>
      <c r="C64" s="59"/>
      <c r="D64" s="36" t="e">
        <f>INDEX(tbl_IngrédientsRef[Unité], MATCH(A64, tbl_IngrédientsRef[Cde_Ingrdt],0))</f>
        <v>#N/A</v>
      </c>
    </row>
    <row r="65" spans="1:4" x14ac:dyDescent="0.25">
      <c r="A65" s="34" t="str">
        <f>IFERROR(VLOOKUP(B65,Référentiels!$M$2:$N$267,2,FALSE),"")</f>
        <v/>
      </c>
      <c r="B65" s="17"/>
      <c r="C65" s="59"/>
      <c r="D65" s="36" t="e">
        <f>INDEX(tbl_IngrédientsRef[Unité], MATCH(A65, tbl_IngrédientsRef[Cde_Ingrdt],0))</f>
        <v>#N/A</v>
      </c>
    </row>
    <row r="66" spans="1:4" x14ac:dyDescent="0.25">
      <c r="A66" s="34" t="str">
        <f>IFERROR(VLOOKUP(B66,Référentiels!$M$2:$N$267,2,FALSE),"")</f>
        <v/>
      </c>
      <c r="B66" s="17"/>
      <c r="C66" s="59"/>
      <c r="D66" s="36" t="e">
        <f>INDEX(tbl_IngrédientsRef[Unité], MATCH(A66, tbl_IngrédientsRef[Cde_Ingrdt],0))</f>
        <v>#N/A</v>
      </c>
    </row>
    <row r="67" spans="1:4" x14ac:dyDescent="0.25">
      <c r="A67" s="34" t="str">
        <f>IFERROR(VLOOKUP(B67,Référentiels!$M$2:$N$267,2,FALSE),"")</f>
        <v/>
      </c>
      <c r="B67" s="17"/>
      <c r="C67" s="59"/>
      <c r="D67" s="36" t="e">
        <f>INDEX(tbl_IngrédientsRef[Unité], MATCH(A67, tbl_IngrédientsRef[Cde_Ingrdt],0))</f>
        <v>#N/A</v>
      </c>
    </row>
    <row r="68" spans="1:4" x14ac:dyDescent="0.25">
      <c r="A68" s="34" t="str">
        <f>IFERROR(VLOOKUP(B68,Référentiels!$M$2:$N$267,2,FALSE),"")</f>
        <v/>
      </c>
      <c r="B68" s="17"/>
      <c r="C68" s="59"/>
      <c r="D68" s="36" t="e">
        <f>INDEX(tbl_IngrédientsRef[Unité], MATCH(A68, tbl_IngrédientsRef[Cde_Ingrdt],0))</f>
        <v>#N/A</v>
      </c>
    </row>
    <row r="69" spans="1:4" x14ac:dyDescent="0.25">
      <c r="A69" s="34" t="str">
        <f>IFERROR(VLOOKUP(B69,Référentiels!$M$2:$N$267,2,FALSE),"")</f>
        <v/>
      </c>
      <c r="B69" s="17"/>
      <c r="C69" s="59"/>
      <c r="D69" s="36" t="e">
        <f>INDEX(tbl_IngrédientsRef[Unité], MATCH(A69, tbl_IngrédientsRef[Cde_Ingrdt],0))</f>
        <v>#N/A</v>
      </c>
    </row>
    <row r="70" spans="1:4" x14ac:dyDescent="0.25">
      <c r="A70" s="34" t="str">
        <f>IFERROR(VLOOKUP(B70,Référentiels!$M$2:$N$267,2,FALSE),"")</f>
        <v/>
      </c>
      <c r="B70" s="17"/>
      <c r="C70" s="59"/>
      <c r="D70" s="36" t="e">
        <f>INDEX(tbl_IngrédientsRef[Unité], MATCH(A70, tbl_IngrédientsRef[Cde_Ingrdt],0))</f>
        <v>#N/A</v>
      </c>
    </row>
    <row r="71" spans="1:4" x14ac:dyDescent="0.25">
      <c r="A71" s="34" t="str">
        <f>IFERROR(VLOOKUP(B71,Référentiels!$M$2:$N$267,2,FALSE),"")</f>
        <v/>
      </c>
      <c r="B71" s="17"/>
      <c r="C71" s="59"/>
      <c r="D71" s="36" t="e">
        <f>INDEX(tbl_IngrédientsRef[Unité], MATCH(A71, tbl_IngrédientsRef[Cde_Ingrdt],0))</f>
        <v>#N/A</v>
      </c>
    </row>
    <row r="72" spans="1:4" x14ac:dyDescent="0.25">
      <c r="A72" s="34" t="str">
        <f>IFERROR(VLOOKUP(B72,Référentiels!$M$2:$N$267,2,FALSE),"")</f>
        <v/>
      </c>
      <c r="B72" s="17"/>
      <c r="C72" s="59"/>
      <c r="D72" s="36" t="e">
        <f>INDEX(tbl_IngrédientsRef[Unité], MATCH(A72, tbl_IngrédientsRef[Cde_Ingrdt],0))</f>
        <v>#N/A</v>
      </c>
    </row>
    <row r="73" spans="1:4" x14ac:dyDescent="0.25">
      <c r="A73" s="34" t="str">
        <f>IFERROR(VLOOKUP(B73,Référentiels!$M$2:$N$267,2,FALSE),"")</f>
        <v/>
      </c>
      <c r="B73" s="17"/>
      <c r="C73" s="59"/>
      <c r="D73" s="36" t="e">
        <f>INDEX(tbl_IngrédientsRef[Unité], MATCH(A73, tbl_IngrédientsRef[Cde_Ingrdt],0))</f>
        <v>#N/A</v>
      </c>
    </row>
    <row r="74" spans="1:4" x14ac:dyDescent="0.25">
      <c r="A74" s="34" t="str">
        <f>IFERROR(VLOOKUP(B74,Référentiels!$M$2:$N$267,2,FALSE),"")</f>
        <v/>
      </c>
      <c r="B74" s="17"/>
      <c r="C74" s="59"/>
      <c r="D74" s="36" t="e">
        <f>INDEX(tbl_IngrédientsRef[Unité], MATCH(A74, tbl_IngrédientsRef[Cde_Ingrdt],0))</f>
        <v>#N/A</v>
      </c>
    </row>
    <row r="75" spans="1:4" x14ac:dyDescent="0.25">
      <c r="A75" s="34" t="str">
        <f>IFERROR(VLOOKUP(B75,Référentiels!$M$2:$N$267,2,FALSE),"")</f>
        <v/>
      </c>
      <c r="B75" s="17"/>
      <c r="C75" s="59"/>
      <c r="D75" s="36" t="e">
        <f>INDEX(tbl_IngrédientsRef[Unité], MATCH(A75, tbl_IngrédientsRef[Cde_Ingrdt],0))</f>
        <v>#N/A</v>
      </c>
    </row>
    <row r="76" spans="1:4" x14ac:dyDescent="0.25">
      <c r="A76" s="34" t="str">
        <f>IFERROR(VLOOKUP(B76,Référentiels!$M$2:$N$267,2,FALSE),"")</f>
        <v/>
      </c>
      <c r="B76" s="17"/>
      <c r="C76" s="59"/>
      <c r="D76" s="36" t="e">
        <f>INDEX(tbl_IngrédientsRef[Unité], MATCH(A76, tbl_IngrédientsRef[Cde_Ingrdt],0))</f>
        <v>#N/A</v>
      </c>
    </row>
    <row r="77" spans="1:4" x14ac:dyDescent="0.25">
      <c r="A77" s="34" t="str">
        <f>IFERROR(VLOOKUP(B77,Référentiels!$M$2:$N$267,2,FALSE),"")</f>
        <v/>
      </c>
      <c r="B77" s="17"/>
      <c r="C77" s="59"/>
      <c r="D77" s="36" t="e">
        <f>INDEX(tbl_IngrédientsRef[Unité], MATCH(A77, tbl_IngrédientsRef[Cde_Ingrdt],0))</f>
        <v>#N/A</v>
      </c>
    </row>
    <row r="78" spans="1:4" x14ac:dyDescent="0.25">
      <c r="A78" s="34" t="str">
        <f>IFERROR(VLOOKUP(B78,Référentiels!$M$2:$N$267,2,FALSE),"")</f>
        <v/>
      </c>
      <c r="B78" s="17"/>
      <c r="C78" s="59"/>
      <c r="D78" s="36" t="e">
        <f>INDEX(tbl_IngrédientsRef[Unité], MATCH(A78, tbl_IngrédientsRef[Cde_Ingrdt],0))</f>
        <v>#N/A</v>
      </c>
    </row>
    <row r="79" spans="1:4" x14ac:dyDescent="0.25">
      <c r="A79" s="34" t="str">
        <f>IFERROR(VLOOKUP(B79,Référentiels!$M$2:$N$267,2,FALSE),"")</f>
        <v/>
      </c>
      <c r="B79" s="17"/>
      <c r="C79" s="59"/>
      <c r="D79" s="36" t="e">
        <f>INDEX(tbl_IngrédientsRef[Unité], MATCH(A79, tbl_IngrédientsRef[Cde_Ingrdt],0))</f>
        <v>#N/A</v>
      </c>
    </row>
    <row r="80" spans="1:4" x14ac:dyDescent="0.25">
      <c r="A80" s="34" t="str">
        <f>IFERROR(VLOOKUP(B80,Référentiels!$M$2:$N$267,2,FALSE),"")</f>
        <v/>
      </c>
      <c r="B80" s="17"/>
      <c r="C80" s="59"/>
      <c r="D80" s="36" t="e">
        <f>INDEX(tbl_IngrédientsRef[Unité], MATCH(A80, tbl_IngrédientsRef[Cde_Ingrdt],0))</f>
        <v>#N/A</v>
      </c>
    </row>
    <row r="81" spans="1:4" x14ac:dyDescent="0.25">
      <c r="A81" s="34" t="str">
        <f>IFERROR(VLOOKUP(B81,Référentiels!$M$2:$N$267,2,FALSE),"")</f>
        <v/>
      </c>
      <c r="B81" s="17"/>
      <c r="C81" s="59"/>
      <c r="D81" s="36" t="e">
        <f>INDEX(tbl_IngrédientsRef[Unité], MATCH(A81, tbl_IngrédientsRef[Cde_Ingrdt],0))</f>
        <v>#N/A</v>
      </c>
    </row>
    <row r="82" spans="1:4" x14ac:dyDescent="0.25">
      <c r="A82" s="34" t="str">
        <f>IFERROR(VLOOKUP(B82,Référentiels!$M$2:$N$267,2,FALSE),"")</f>
        <v/>
      </c>
      <c r="B82" s="17"/>
      <c r="C82" s="59"/>
      <c r="D82" s="36" t="e">
        <f>INDEX(tbl_IngrédientsRef[Unité], MATCH(A82, tbl_IngrédientsRef[Cde_Ingrdt],0))</f>
        <v>#N/A</v>
      </c>
    </row>
    <row r="83" spans="1:4" x14ac:dyDescent="0.25">
      <c r="A83" s="34" t="str">
        <f>IFERROR(VLOOKUP(B83,Référentiels!$M$2:$N$267,2,FALSE),"")</f>
        <v/>
      </c>
      <c r="B83" s="17"/>
      <c r="C83" s="59"/>
      <c r="D83" s="36" t="e">
        <f>INDEX(tbl_IngrédientsRef[Unité], MATCH(A83, tbl_IngrédientsRef[Cde_Ingrdt],0))</f>
        <v>#N/A</v>
      </c>
    </row>
    <row r="84" spans="1:4" x14ac:dyDescent="0.25">
      <c r="A84" s="34" t="str">
        <f>IFERROR(VLOOKUP(B84,Référentiels!$M$2:$N$267,2,FALSE),"")</f>
        <v/>
      </c>
      <c r="B84" s="17"/>
      <c r="C84" s="59"/>
      <c r="D84" s="36" t="e">
        <f>INDEX(tbl_IngrédientsRef[Unité], MATCH(A84, tbl_IngrédientsRef[Cde_Ingrdt],0))</f>
        <v>#N/A</v>
      </c>
    </row>
    <row r="85" spans="1:4" x14ac:dyDescent="0.25">
      <c r="A85" s="34" t="str">
        <f>IFERROR(VLOOKUP(B85,Référentiels!$M$2:$N$267,2,FALSE),"")</f>
        <v/>
      </c>
      <c r="B85" s="17"/>
      <c r="C85" s="59"/>
      <c r="D85" s="36" t="e">
        <f>INDEX(tbl_IngrédientsRef[Unité], MATCH(A85, tbl_IngrédientsRef[Cde_Ingrdt],0))</f>
        <v>#N/A</v>
      </c>
    </row>
    <row r="86" spans="1:4" x14ac:dyDescent="0.25">
      <c r="A86" s="34" t="str">
        <f>IFERROR(VLOOKUP(B86,Référentiels!$M$2:$N$267,2,FALSE),"")</f>
        <v/>
      </c>
      <c r="B86" s="17"/>
      <c r="C86" s="59"/>
      <c r="D86" s="36" t="e">
        <f>INDEX(tbl_IngrédientsRef[Unité], MATCH(A86, tbl_IngrédientsRef[Cde_Ingrdt],0))</f>
        <v>#N/A</v>
      </c>
    </row>
    <row r="87" spans="1:4" x14ac:dyDescent="0.25">
      <c r="A87" s="34" t="str">
        <f>IFERROR(VLOOKUP(B87,Référentiels!$M$2:$N$267,2,FALSE),"")</f>
        <v/>
      </c>
      <c r="B87" s="17"/>
      <c r="C87" s="59"/>
      <c r="D87" s="36" t="e">
        <f>INDEX(tbl_IngrédientsRef[Unité], MATCH(A87, tbl_IngrédientsRef[Cde_Ingrdt],0))</f>
        <v>#N/A</v>
      </c>
    </row>
    <row r="88" spans="1:4" x14ac:dyDescent="0.25">
      <c r="A88" s="34" t="str">
        <f>IFERROR(VLOOKUP(B88,Référentiels!$M$2:$N$267,2,FALSE),"")</f>
        <v/>
      </c>
      <c r="B88" s="17"/>
      <c r="C88" s="59"/>
      <c r="D88" s="36" t="e">
        <f>INDEX(tbl_IngrédientsRef[Unité], MATCH(A88, tbl_IngrédientsRef[Cde_Ingrdt],0))</f>
        <v>#N/A</v>
      </c>
    </row>
    <row r="89" spans="1:4" x14ac:dyDescent="0.25">
      <c r="A89" s="34" t="str">
        <f>IFERROR(VLOOKUP(B89,Référentiels!$M$2:$N$267,2,FALSE),"")</f>
        <v/>
      </c>
      <c r="B89" s="17"/>
      <c r="C89" s="59"/>
      <c r="D89" s="36" t="e">
        <f>INDEX(tbl_IngrédientsRef[Unité], MATCH(A89, tbl_IngrédientsRef[Cde_Ingrdt],0))</f>
        <v>#N/A</v>
      </c>
    </row>
    <row r="90" spans="1:4" x14ac:dyDescent="0.25">
      <c r="A90" s="34" t="str">
        <f>IFERROR(VLOOKUP(B90,Référentiels!$M$2:$N$267,2,FALSE),"")</f>
        <v/>
      </c>
      <c r="B90" s="17"/>
      <c r="C90" s="59"/>
      <c r="D90" s="36" t="e">
        <f>INDEX(tbl_IngrédientsRef[Unité], MATCH(A90, tbl_IngrédientsRef[Cde_Ingrdt],0))</f>
        <v>#N/A</v>
      </c>
    </row>
    <row r="91" spans="1:4" x14ac:dyDescent="0.25">
      <c r="A91" s="34" t="str">
        <f>IFERROR(VLOOKUP(B91,Référentiels!$M$2:$N$267,2,FALSE),"")</f>
        <v/>
      </c>
      <c r="B91" s="17"/>
      <c r="C91" s="59"/>
      <c r="D91" s="36" t="e">
        <f>INDEX(tbl_IngrédientsRef[Unité], MATCH(A91, tbl_IngrédientsRef[Cde_Ingrdt],0))</f>
        <v>#N/A</v>
      </c>
    </row>
    <row r="92" spans="1:4" x14ac:dyDescent="0.25">
      <c r="A92" s="34" t="str">
        <f>IFERROR(VLOOKUP(B92,Référentiels!$M$2:$N$267,2,FALSE),"")</f>
        <v/>
      </c>
      <c r="B92" s="17"/>
      <c r="C92" s="59"/>
      <c r="D92" s="36" t="e">
        <f>INDEX(tbl_IngrédientsRef[Unité], MATCH(A92, tbl_IngrédientsRef[Cde_Ingrdt],0))</f>
        <v>#N/A</v>
      </c>
    </row>
    <row r="93" spans="1:4" x14ac:dyDescent="0.25">
      <c r="A93" s="34" t="str">
        <f>IFERROR(VLOOKUP(B93,Référentiels!$M$2:$N$267,2,FALSE),"")</f>
        <v/>
      </c>
      <c r="B93" s="17"/>
      <c r="C93" s="59"/>
      <c r="D93" s="36" t="e">
        <f>INDEX(tbl_IngrédientsRef[Unité], MATCH(A93, tbl_IngrédientsRef[Cde_Ingrdt],0))</f>
        <v>#N/A</v>
      </c>
    </row>
    <row r="94" spans="1:4" x14ac:dyDescent="0.25">
      <c r="A94" s="34" t="str">
        <f>IFERROR(VLOOKUP(B94,Référentiels!$M$2:$N$267,2,FALSE),"")</f>
        <v/>
      </c>
      <c r="B94" s="17"/>
      <c r="C94" s="59"/>
      <c r="D94" s="36" t="e">
        <f>INDEX(tbl_IngrédientsRef[Unité], MATCH(A94, tbl_IngrédientsRef[Cde_Ingrdt],0))</f>
        <v>#N/A</v>
      </c>
    </row>
    <row r="95" spans="1:4" x14ac:dyDescent="0.25">
      <c r="A95" s="34" t="str">
        <f>IFERROR(VLOOKUP(B95,Référentiels!$M$2:$N$267,2,FALSE),"")</f>
        <v/>
      </c>
      <c r="B95" s="17"/>
      <c r="C95" s="59"/>
      <c r="D95" s="36" t="e">
        <f>INDEX(tbl_IngrédientsRef[Unité], MATCH(A95, tbl_IngrédientsRef[Cde_Ingrdt],0))</f>
        <v>#N/A</v>
      </c>
    </row>
    <row r="96" spans="1:4" x14ac:dyDescent="0.25">
      <c r="A96" s="34" t="str">
        <f>IFERROR(VLOOKUP(B96,Référentiels!$M$2:$N$267,2,FALSE),"")</f>
        <v/>
      </c>
      <c r="B96" s="17"/>
      <c r="C96" s="59"/>
      <c r="D96" s="36" t="e">
        <f>INDEX(tbl_IngrédientsRef[Unité], MATCH(A96, tbl_IngrédientsRef[Cde_Ingrdt],0))</f>
        <v>#N/A</v>
      </c>
    </row>
    <row r="97" spans="1:4" x14ac:dyDescent="0.25">
      <c r="A97" s="34" t="str">
        <f>IFERROR(VLOOKUP(B97,Référentiels!$M$2:$N$267,2,FALSE),"")</f>
        <v/>
      </c>
      <c r="B97" s="17"/>
      <c r="C97" s="59"/>
      <c r="D97" s="36" t="e">
        <f>INDEX(tbl_IngrédientsRef[Unité], MATCH(A97, tbl_IngrédientsRef[Cde_Ingrdt],0))</f>
        <v>#N/A</v>
      </c>
    </row>
    <row r="98" spans="1:4" x14ac:dyDescent="0.25">
      <c r="A98" s="34" t="str">
        <f>IFERROR(VLOOKUP(B98,Référentiels!$M$2:$N$267,2,FALSE),"")</f>
        <v/>
      </c>
      <c r="B98" s="17"/>
      <c r="C98" s="59"/>
      <c r="D98" s="36" t="e">
        <f>INDEX(tbl_IngrédientsRef[Unité], MATCH(A98, tbl_IngrédientsRef[Cde_Ingrdt],0))</f>
        <v>#N/A</v>
      </c>
    </row>
    <row r="99" spans="1:4" x14ac:dyDescent="0.25">
      <c r="A99" s="34" t="str">
        <f>IFERROR(VLOOKUP(B99,Référentiels!$M$2:$N$267,2,FALSE),"")</f>
        <v/>
      </c>
      <c r="B99" s="17"/>
      <c r="C99" s="59"/>
      <c r="D99" s="36" t="e">
        <f>INDEX(tbl_IngrédientsRef[Unité], MATCH(A99, tbl_IngrédientsRef[Cde_Ingrdt],0))</f>
        <v>#N/A</v>
      </c>
    </row>
    <row r="100" spans="1:4" x14ac:dyDescent="0.25">
      <c r="A100" s="34" t="str">
        <f>IFERROR(VLOOKUP(B100,Référentiels!$M$2:$N$267,2,FALSE),"")</f>
        <v/>
      </c>
      <c r="B100" s="17"/>
      <c r="C100" s="59"/>
      <c r="D100" s="36" t="e">
        <f>INDEX(tbl_IngrédientsRef[Unité], MATCH(A100, tbl_IngrédientsRef[Cde_Ingrdt],0))</f>
        <v>#N/A</v>
      </c>
    </row>
    <row r="101" spans="1:4" x14ac:dyDescent="0.25">
      <c r="A101" s="34" t="str">
        <f>IFERROR(VLOOKUP(B101,Référentiels!$M$2:$N$267,2,FALSE),"")</f>
        <v/>
      </c>
      <c r="B101" s="17"/>
      <c r="C101" s="59"/>
      <c r="D101" s="36" t="e">
        <f>INDEX(tbl_IngrédientsRef[Unité], MATCH(A101, tbl_IngrédientsRef[Cde_Ingrdt],0))</f>
        <v>#N/A</v>
      </c>
    </row>
    <row r="102" spans="1:4" x14ac:dyDescent="0.25">
      <c r="A102" s="34" t="str">
        <f>IFERROR(VLOOKUP(B102,Référentiels!$M$2:$N$267,2,FALSE),"")</f>
        <v/>
      </c>
      <c r="B102" s="17"/>
      <c r="C102" s="59"/>
      <c r="D102" s="36" t="e">
        <f>INDEX(tbl_IngrédientsRef[Unité], MATCH(A102, tbl_IngrédientsRef[Cde_Ingrdt],0))</f>
        <v>#N/A</v>
      </c>
    </row>
    <row r="103" spans="1:4" x14ac:dyDescent="0.25">
      <c r="A103" s="34" t="str">
        <f>IFERROR(VLOOKUP(B103,Référentiels!$M$2:$N$267,2,FALSE),"")</f>
        <v/>
      </c>
      <c r="B103" s="17"/>
      <c r="C103" s="59"/>
      <c r="D103" s="36" t="e">
        <f>INDEX(tbl_IngrédientsRef[Unité], MATCH(A103, tbl_IngrédientsRef[Cde_Ingrdt],0))</f>
        <v>#N/A</v>
      </c>
    </row>
    <row r="104" spans="1:4" x14ac:dyDescent="0.25">
      <c r="A104" s="34" t="str">
        <f>IFERROR(VLOOKUP(B104,Référentiels!$M$2:$N$267,2,FALSE),"")</f>
        <v/>
      </c>
      <c r="B104" s="17"/>
      <c r="C104" s="59"/>
      <c r="D104" s="36" t="e">
        <f>INDEX(tbl_IngrédientsRef[Unité], MATCH(A104, tbl_IngrédientsRef[Cde_Ingrdt],0))</f>
        <v>#N/A</v>
      </c>
    </row>
    <row r="105" spans="1:4" x14ac:dyDescent="0.25">
      <c r="A105" s="34" t="str">
        <f>IFERROR(VLOOKUP(B105,Référentiels!$M$2:$N$267,2,FALSE),"")</f>
        <v/>
      </c>
      <c r="B105" s="17"/>
      <c r="C105" s="59"/>
      <c r="D105" s="36" t="e">
        <f>INDEX(tbl_IngrédientsRef[Unité], MATCH(A105, tbl_IngrédientsRef[Cde_Ingrdt],0))</f>
        <v>#N/A</v>
      </c>
    </row>
    <row r="106" spans="1:4" x14ac:dyDescent="0.25">
      <c r="A106" s="34" t="str">
        <f>IFERROR(VLOOKUP(B106,Référentiels!$M$2:$N$267,2,FALSE),"")</f>
        <v/>
      </c>
      <c r="B106" s="17"/>
      <c r="C106" s="59"/>
      <c r="D106" s="36" t="e">
        <f>INDEX(tbl_IngrédientsRef[Unité], MATCH(A106, tbl_IngrédientsRef[Cde_Ingrdt],0))</f>
        <v>#N/A</v>
      </c>
    </row>
    <row r="107" spans="1:4" x14ac:dyDescent="0.25">
      <c r="A107" s="34" t="str">
        <f>IFERROR(VLOOKUP(B107,Référentiels!$M$2:$N$267,2,FALSE),"")</f>
        <v/>
      </c>
      <c r="B107" s="17"/>
      <c r="C107" s="59"/>
      <c r="D107" s="36" t="e">
        <f>INDEX(tbl_IngrédientsRef[Unité], MATCH(A107, tbl_IngrédientsRef[Cde_Ingrdt],0))</f>
        <v>#N/A</v>
      </c>
    </row>
    <row r="108" spans="1:4" x14ac:dyDescent="0.25">
      <c r="A108" s="34" t="str">
        <f>IFERROR(VLOOKUP(B108,Référentiels!$M$2:$N$267,2,FALSE),"")</f>
        <v/>
      </c>
      <c r="B108" s="17"/>
      <c r="C108" s="59"/>
      <c r="D108" s="36" t="e">
        <f>INDEX(tbl_IngrédientsRef[Unité], MATCH(A108, tbl_IngrédientsRef[Cde_Ingrdt],0))</f>
        <v>#N/A</v>
      </c>
    </row>
    <row r="109" spans="1:4" x14ac:dyDescent="0.25">
      <c r="A109" s="34" t="str">
        <f>IFERROR(VLOOKUP(B109,Référentiels!$M$2:$N$267,2,FALSE),"")</f>
        <v/>
      </c>
      <c r="B109" s="17"/>
      <c r="C109" s="59"/>
      <c r="D109" s="36" t="e">
        <f>INDEX(tbl_IngrédientsRef[Unité], MATCH(A109, tbl_IngrédientsRef[Cde_Ingrdt],0))</f>
        <v>#N/A</v>
      </c>
    </row>
    <row r="110" spans="1:4" x14ac:dyDescent="0.25">
      <c r="A110" s="34" t="str">
        <f>IFERROR(VLOOKUP(B110,Référentiels!$M$2:$N$267,2,FALSE),"")</f>
        <v/>
      </c>
      <c r="B110" s="17"/>
      <c r="C110" s="59"/>
      <c r="D110" s="36" t="e">
        <f>INDEX(tbl_IngrédientsRef[Unité], MATCH(A110, tbl_IngrédientsRef[Cde_Ingrdt],0))</f>
        <v>#N/A</v>
      </c>
    </row>
    <row r="111" spans="1:4" x14ac:dyDescent="0.25">
      <c r="A111" s="34" t="str">
        <f>IFERROR(VLOOKUP(B111,Référentiels!$M$2:$N$267,2,FALSE),"")</f>
        <v/>
      </c>
      <c r="B111" s="17"/>
      <c r="C111" s="59"/>
      <c r="D111" s="36" t="e">
        <f>INDEX(tbl_IngrédientsRef[Unité], MATCH(A111, tbl_IngrédientsRef[Cde_Ingrdt],0))</f>
        <v>#N/A</v>
      </c>
    </row>
    <row r="112" spans="1:4" x14ac:dyDescent="0.25">
      <c r="A112" s="34" t="str">
        <f>IFERROR(VLOOKUP(B112,Référentiels!$M$2:$N$267,2,FALSE),"")</f>
        <v/>
      </c>
      <c r="B112" s="17"/>
      <c r="C112" s="59"/>
      <c r="D112" s="36" t="e">
        <f>INDEX(tbl_IngrédientsRef[Unité], MATCH(A112, tbl_IngrédientsRef[Cde_Ingrdt],0))</f>
        <v>#N/A</v>
      </c>
    </row>
    <row r="113" spans="1:4" x14ac:dyDescent="0.25">
      <c r="A113" s="34" t="str">
        <f>IFERROR(VLOOKUP(B113,Référentiels!$M$2:$N$267,2,FALSE),"")</f>
        <v/>
      </c>
      <c r="B113" s="17"/>
      <c r="C113" s="59"/>
      <c r="D113" s="36" t="e">
        <f>INDEX(tbl_IngrédientsRef[Unité], MATCH(A113, tbl_IngrédientsRef[Cde_Ingrdt],0))</f>
        <v>#N/A</v>
      </c>
    </row>
    <row r="114" spans="1:4" x14ac:dyDescent="0.25">
      <c r="A114" s="34" t="str">
        <f>IFERROR(VLOOKUP(B114,Référentiels!$M$2:$N$267,2,FALSE),"")</f>
        <v/>
      </c>
      <c r="B114" s="17"/>
      <c r="C114" s="59"/>
      <c r="D114" s="36" t="e">
        <f>INDEX(tbl_IngrédientsRef[Unité], MATCH(A114, tbl_IngrédientsRef[Cde_Ingrdt],0))</f>
        <v>#N/A</v>
      </c>
    </row>
    <row r="115" spans="1:4" x14ac:dyDescent="0.25">
      <c r="A115" s="34" t="str">
        <f>IFERROR(VLOOKUP(B115,Référentiels!$M$2:$N$267,2,FALSE),"")</f>
        <v/>
      </c>
      <c r="B115" s="17"/>
      <c r="C115" s="59"/>
      <c r="D115" s="36" t="e">
        <f>INDEX(tbl_IngrédientsRef[Unité], MATCH(A115, tbl_IngrédientsRef[Cde_Ingrdt],0))</f>
        <v>#N/A</v>
      </c>
    </row>
    <row r="116" spans="1:4" x14ac:dyDescent="0.25">
      <c r="A116" s="34" t="str">
        <f>IFERROR(VLOOKUP(B116,Référentiels!$M$2:$N$267,2,FALSE),"")</f>
        <v/>
      </c>
      <c r="B116" s="17"/>
      <c r="C116" s="59"/>
      <c r="D116" s="36" t="e">
        <f>INDEX(tbl_IngrédientsRef[Unité], MATCH(A116, tbl_IngrédientsRef[Cde_Ingrdt],0))</f>
        <v>#N/A</v>
      </c>
    </row>
    <row r="117" spans="1:4" x14ac:dyDescent="0.25">
      <c r="A117" s="34" t="str">
        <f>IFERROR(VLOOKUP(B117,Référentiels!$M$2:$N$267,2,FALSE),"")</f>
        <v/>
      </c>
      <c r="B117" s="17"/>
      <c r="C117" s="59"/>
      <c r="D117" s="36" t="e">
        <f>INDEX(tbl_IngrédientsRef[Unité], MATCH(A117, tbl_IngrédientsRef[Cde_Ingrdt],0))</f>
        <v>#N/A</v>
      </c>
    </row>
    <row r="118" spans="1:4" x14ac:dyDescent="0.25">
      <c r="A118" s="34" t="str">
        <f>IFERROR(VLOOKUP(B118,Référentiels!$M$2:$N$267,2,FALSE),"")</f>
        <v/>
      </c>
      <c r="B118" s="17"/>
      <c r="C118" s="59"/>
      <c r="D118" s="36" t="e">
        <f>INDEX(tbl_IngrédientsRef[Unité], MATCH(A118, tbl_IngrédientsRef[Cde_Ingrdt],0))</f>
        <v>#N/A</v>
      </c>
    </row>
    <row r="119" spans="1:4" x14ac:dyDescent="0.25">
      <c r="A119" s="34" t="str">
        <f>IFERROR(VLOOKUP(B119,Référentiels!$M$2:$N$267,2,FALSE),"")</f>
        <v/>
      </c>
      <c r="B119" s="17"/>
      <c r="C119" s="59"/>
      <c r="D119" s="36" t="e">
        <f>INDEX(tbl_IngrédientsRef[Unité], MATCH(A119, tbl_IngrédientsRef[Cde_Ingrdt],0))</f>
        <v>#N/A</v>
      </c>
    </row>
    <row r="120" spans="1:4" x14ac:dyDescent="0.25">
      <c r="A120" s="34" t="str">
        <f>IFERROR(VLOOKUP(B120,Référentiels!$M$2:$N$267,2,FALSE),"")</f>
        <v/>
      </c>
      <c r="B120" s="17"/>
      <c r="C120" s="59"/>
      <c r="D120" s="36" t="e">
        <f>INDEX(tbl_IngrédientsRef[Unité], MATCH(A120, tbl_IngrédientsRef[Cde_Ingrdt],0))</f>
        <v>#N/A</v>
      </c>
    </row>
    <row r="121" spans="1:4" x14ac:dyDescent="0.25">
      <c r="A121" s="34" t="str">
        <f>IFERROR(VLOOKUP(B121,Référentiels!$M$2:$N$267,2,FALSE),"")</f>
        <v/>
      </c>
      <c r="B121" s="17"/>
      <c r="C121" s="59"/>
      <c r="D121" s="36" t="e">
        <f>INDEX(tbl_IngrédientsRef[Unité], MATCH(A121, tbl_IngrédientsRef[Cde_Ingrdt],0))</f>
        <v>#N/A</v>
      </c>
    </row>
    <row r="122" spans="1:4" x14ac:dyDescent="0.25">
      <c r="A122" s="34" t="str">
        <f>IFERROR(VLOOKUP(B122,Référentiels!$M$2:$N$267,2,FALSE),"")</f>
        <v/>
      </c>
      <c r="B122" s="17"/>
      <c r="C122" s="59"/>
      <c r="D122" s="36" t="e">
        <f>INDEX(tbl_IngrédientsRef[Unité], MATCH(A122, tbl_IngrédientsRef[Cde_Ingrdt],0))</f>
        <v>#N/A</v>
      </c>
    </row>
    <row r="123" spans="1:4" x14ac:dyDescent="0.25">
      <c r="A123" s="34" t="str">
        <f>IFERROR(VLOOKUP(B123,Référentiels!$M$2:$N$267,2,FALSE),"")</f>
        <v/>
      </c>
      <c r="B123" s="17"/>
      <c r="C123" s="59"/>
      <c r="D123" s="36" t="e">
        <f>INDEX(tbl_IngrédientsRef[Unité], MATCH(A123, tbl_IngrédientsRef[Cde_Ingrdt],0))</f>
        <v>#N/A</v>
      </c>
    </row>
    <row r="124" spans="1:4" x14ac:dyDescent="0.25">
      <c r="A124" s="34" t="str">
        <f>IFERROR(VLOOKUP(B124,Référentiels!$M$2:$N$267,2,FALSE),"")</f>
        <v/>
      </c>
      <c r="B124" s="17"/>
      <c r="C124" s="59"/>
      <c r="D124" s="36" t="e">
        <f>INDEX(tbl_IngrédientsRef[Unité], MATCH(A124, tbl_IngrédientsRef[Cde_Ingrdt],0))</f>
        <v>#N/A</v>
      </c>
    </row>
    <row r="125" spans="1:4" x14ac:dyDescent="0.25">
      <c r="A125" s="34" t="str">
        <f>IFERROR(VLOOKUP(B125,Référentiels!$M$2:$N$267,2,FALSE),"")</f>
        <v/>
      </c>
      <c r="B125" s="17"/>
      <c r="C125" s="59"/>
      <c r="D125" s="36" t="e">
        <f>INDEX(tbl_IngrédientsRef[Unité], MATCH(A125, tbl_IngrédientsRef[Cde_Ingrdt],0))</f>
        <v>#N/A</v>
      </c>
    </row>
    <row r="126" spans="1:4" x14ac:dyDescent="0.25">
      <c r="A126" s="34" t="str">
        <f>IFERROR(VLOOKUP(B126,Référentiels!$M$2:$N$267,2,FALSE),"")</f>
        <v/>
      </c>
      <c r="B126" s="17"/>
      <c r="C126" s="59"/>
      <c r="D126" s="36" t="e">
        <f>INDEX(tbl_IngrédientsRef[Unité], MATCH(A126, tbl_IngrédientsRef[Cde_Ingrdt],0))</f>
        <v>#N/A</v>
      </c>
    </row>
    <row r="127" spans="1:4" x14ac:dyDescent="0.25">
      <c r="A127" s="34" t="str">
        <f>IFERROR(VLOOKUP(B127,Référentiels!$M$2:$N$267,2,FALSE),"")</f>
        <v/>
      </c>
      <c r="B127" s="17"/>
      <c r="C127" s="59"/>
      <c r="D127" s="36" t="e">
        <f>INDEX(tbl_IngrédientsRef[Unité], MATCH(A127, tbl_IngrédientsRef[Cde_Ingrdt],0))</f>
        <v>#N/A</v>
      </c>
    </row>
    <row r="128" spans="1:4" x14ac:dyDescent="0.25">
      <c r="A128" s="34" t="str">
        <f>IFERROR(VLOOKUP(B128,Référentiels!$M$2:$N$267,2,FALSE),"")</f>
        <v/>
      </c>
      <c r="B128" s="17"/>
      <c r="C128" s="59"/>
      <c r="D128" s="36" t="e">
        <f>INDEX(tbl_IngrédientsRef[Unité], MATCH(A128, tbl_IngrédientsRef[Cde_Ingrdt],0))</f>
        <v>#N/A</v>
      </c>
    </row>
    <row r="129" spans="1:4" x14ac:dyDescent="0.25">
      <c r="A129" s="34" t="str">
        <f>IFERROR(VLOOKUP(B129,Référentiels!$M$2:$N$267,2,FALSE),"")</f>
        <v/>
      </c>
      <c r="B129" s="17"/>
      <c r="C129" s="59"/>
      <c r="D129" s="36" t="e">
        <f>INDEX(tbl_IngrédientsRef[Unité], MATCH(A129, tbl_IngrédientsRef[Cde_Ingrdt],0))</f>
        <v>#N/A</v>
      </c>
    </row>
    <row r="130" spans="1:4" x14ac:dyDescent="0.25">
      <c r="A130" s="34" t="str">
        <f>IFERROR(VLOOKUP(B130,Référentiels!$M$2:$N$267,2,FALSE),"")</f>
        <v/>
      </c>
      <c r="B130" s="17"/>
      <c r="C130" s="59"/>
      <c r="D130" s="36" t="e">
        <f>INDEX(tbl_IngrédientsRef[Unité], MATCH(A130, tbl_IngrédientsRef[Cde_Ingrdt],0))</f>
        <v>#N/A</v>
      </c>
    </row>
    <row r="131" spans="1:4" x14ac:dyDescent="0.25">
      <c r="A131" s="34" t="str">
        <f>IFERROR(VLOOKUP(B131,Référentiels!$M$2:$N$267,2,FALSE),"")</f>
        <v/>
      </c>
      <c r="B131" s="17"/>
      <c r="C131" s="59"/>
      <c r="D131" s="36" t="e">
        <f>INDEX(tbl_IngrédientsRef[Unité], MATCH(A131, tbl_IngrédientsRef[Cde_Ingrdt],0))</f>
        <v>#N/A</v>
      </c>
    </row>
    <row r="132" spans="1:4" x14ac:dyDescent="0.25">
      <c r="A132" s="34" t="str">
        <f>IFERROR(VLOOKUP(B132,Référentiels!$M$2:$N$267,2,FALSE),"")</f>
        <v/>
      </c>
      <c r="B132" s="17"/>
      <c r="C132" s="59"/>
      <c r="D132" s="36" t="e">
        <f>INDEX(tbl_IngrédientsRef[Unité], MATCH(A132, tbl_IngrédientsRef[Cde_Ingrdt],0))</f>
        <v>#N/A</v>
      </c>
    </row>
    <row r="133" spans="1:4" x14ac:dyDescent="0.25">
      <c r="A133" s="34" t="str">
        <f>IFERROR(VLOOKUP(B133,Référentiels!$M$2:$N$267,2,FALSE),"")</f>
        <v/>
      </c>
      <c r="B133" s="17"/>
      <c r="C133" s="59"/>
      <c r="D133" s="36" t="e">
        <f>INDEX(tbl_IngrédientsRef[Unité], MATCH(A133, tbl_IngrédientsRef[Cde_Ingrdt],0))</f>
        <v>#N/A</v>
      </c>
    </row>
    <row r="134" spans="1:4" x14ac:dyDescent="0.25">
      <c r="A134" s="34" t="str">
        <f>IFERROR(VLOOKUP(B134,Référentiels!$M$2:$N$267,2,FALSE),"")</f>
        <v/>
      </c>
      <c r="B134" s="17"/>
      <c r="C134" s="59"/>
      <c r="D134" s="36" t="e">
        <f>INDEX(tbl_IngrédientsRef[Unité], MATCH(A134, tbl_IngrédientsRef[Cde_Ingrdt],0))</f>
        <v>#N/A</v>
      </c>
    </row>
    <row r="135" spans="1:4" x14ac:dyDescent="0.25">
      <c r="A135" s="34" t="str">
        <f>IFERROR(VLOOKUP(B135,Référentiels!$M$2:$N$267,2,FALSE),"")</f>
        <v/>
      </c>
      <c r="B135" s="17"/>
      <c r="C135" s="59"/>
      <c r="D135" s="36" t="e">
        <f>INDEX(tbl_IngrédientsRef[Unité], MATCH(A135, tbl_IngrédientsRef[Cde_Ingrdt],0))</f>
        <v>#N/A</v>
      </c>
    </row>
    <row r="136" spans="1:4" x14ac:dyDescent="0.25">
      <c r="A136" s="34" t="str">
        <f>IFERROR(VLOOKUP(B136,Référentiels!$M$2:$N$267,2,FALSE),"")</f>
        <v/>
      </c>
      <c r="B136" s="17"/>
      <c r="C136" s="59"/>
      <c r="D136" s="36" t="e">
        <f>INDEX(tbl_IngrédientsRef[Unité], MATCH(A136, tbl_IngrédientsRef[Cde_Ingrdt],0))</f>
        <v>#N/A</v>
      </c>
    </row>
    <row r="137" spans="1:4" x14ac:dyDescent="0.25">
      <c r="A137" s="34" t="str">
        <f>IFERROR(VLOOKUP(B137,Référentiels!$M$2:$N$267,2,FALSE),"")</f>
        <v/>
      </c>
      <c r="B137" s="17"/>
      <c r="C137" s="59"/>
      <c r="D137" s="36" t="e">
        <f>INDEX(tbl_IngrédientsRef[Unité], MATCH(A137, tbl_IngrédientsRef[Cde_Ingrdt],0))</f>
        <v>#N/A</v>
      </c>
    </row>
    <row r="138" spans="1:4" x14ac:dyDescent="0.25">
      <c r="A138" s="34" t="str">
        <f>IFERROR(VLOOKUP(B138,Référentiels!$M$2:$N$267,2,FALSE),"")</f>
        <v/>
      </c>
      <c r="B138" s="17"/>
      <c r="C138" s="59"/>
      <c r="D138" s="36" t="e">
        <f>INDEX(tbl_IngrédientsRef[Unité], MATCH(A138, tbl_IngrédientsRef[Cde_Ingrdt],0))</f>
        <v>#N/A</v>
      </c>
    </row>
    <row r="139" spans="1:4" x14ac:dyDescent="0.25">
      <c r="A139" s="34" t="str">
        <f>IFERROR(VLOOKUP(B139,Référentiels!$M$2:$N$267,2,FALSE),"")</f>
        <v/>
      </c>
      <c r="B139" s="17"/>
      <c r="C139" s="59"/>
      <c r="D139" s="36" t="e">
        <f>INDEX(tbl_IngrédientsRef[Unité], MATCH(A139, tbl_IngrédientsRef[Cde_Ingrdt],0))</f>
        <v>#N/A</v>
      </c>
    </row>
    <row r="140" spans="1:4" x14ac:dyDescent="0.25">
      <c r="A140" s="34" t="str">
        <f>IFERROR(VLOOKUP(B140,Référentiels!$M$2:$N$267,2,FALSE),"")</f>
        <v/>
      </c>
      <c r="B140" s="17"/>
      <c r="C140" s="59"/>
      <c r="D140" s="36" t="e">
        <f>INDEX(tbl_IngrédientsRef[Unité], MATCH(A140, tbl_IngrédientsRef[Cde_Ingrdt],0))</f>
        <v>#N/A</v>
      </c>
    </row>
    <row r="141" spans="1:4" x14ac:dyDescent="0.25">
      <c r="A141" s="34" t="str">
        <f>IFERROR(VLOOKUP(B141,Référentiels!$M$2:$N$267,2,FALSE),"")</f>
        <v/>
      </c>
      <c r="B141" s="17"/>
      <c r="C141" s="59"/>
      <c r="D141" s="36" t="e">
        <f>INDEX(tbl_IngrédientsRef[Unité], MATCH(A141, tbl_IngrédientsRef[Cde_Ingrdt],0))</f>
        <v>#N/A</v>
      </c>
    </row>
    <row r="142" spans="1:4" x14ac:dyDescent="0.25">
      <c r="A142" s="34" t="str">
        <f>IFERROR(VLOOKUP(B142,Référentiels!$M$2:$N$267,2,FALSE),"")</f>
        <v/>
      </c>
      <c r="B142" s="17"/>
      <c r="C142" s="59"/>
      <c r="D142" s="36" t="e">
        <f>INDEX(tbl_IngrédientsRef[Unité], MATCH(A142, tbl_IngrédientsRef[Cde_Ingrdt],0))</f>
        <v>#N/A</v>
      </c>
    </row>
    <row r="143" spans="1:4" x14ac:dyDescent="0.25">
      <c r="A143" s="34" t="str">
        <f>IFERROR(VLOOKUP(B143,Référentiels!$M$2:$N$267,2,FALSE),"")</f>
        <v/>
      </c>
      <c r="B143" s="17"/>
      <c r="C143" s="59"/>
      <c r="D143" s="36" t="e">
        <f>INDEX(tbl_IngrédientsRef[Unité], MATCH(A143, tbl_IngrédientsRef[Cde_Ingrdt],0))</f>
        <v>#N/A</v>
      </c>
    </row>
    <row r="144" spans="1:4" x14ac:dyDescent="0.25">
      <c r="A144" s="34" t="str">
        <f>IFERROR(VLOOKUP(B144,Référentiels!$M$2:$N$267,2,FALSE),"")</f>
        <v/>
      </c>
      <c r="B144" s="17"/>
      <c r="C144" s="59"/>
      <c r="D144" s="36" t="e">
        <f>INDEX(tbl_IngrédientsRef[Unité], MATCH(A144, tbl_IngrédientsRef[Cde_Ingrdt],0))</f>
        <v>#N/A</v>
      </c>
    </row>
    <row r="145" spans="1:4" x14ac:dyDescent="0.25">
      <c r="A145" s="34" t="str">
        <f>IFERROR(VLOOKUP(B145,Référentiels!$M$2:$N$267,2,FALSE),"")</f>
        <v/>
      </c>
      <c r="B145" s="17"/>
      <c r="C145" s="59"/>
      <c r="D145" s="36" t="e">
        <f>INDEX(tbl_IngrédientsRef[Unité], MATCH(A145, tbl_IngrédientsRef[Cde_Ingrdt],0))</f>
        <v>#N/A</v>
      </c>
    </row>
    <row r="146" spans="1:4" x14ac:dyDescent="0.25">
      <c r="A146" s="34" t="str">
        <f>IFERROR(VLOOKUP(B146,Référentiels!$M$2:$N$267,2,FALSE),"")</f>
        <v/>
      </c>
      <c r="B146" s="17"/>
      <c r="C146" s="59"/>
      <c r="D146" s="36" t="e">
        <f>INDEX(tbl_IngrédientsRef[Unité], MATCH(A146, tbl_IngrédientsRef[Cde_Ingrdt],0))</f>
        <v>#N/A</v>
      </c>
    </row>
    <row r="147" spans="1:4" x14ac:dyDescent="0.25">
      <c r="A147" s="34" t="str">
        <f>IFERROR(VLOOKUP(B147,Référentiels!$M$2:$N$267,2,FALSE),"")</f>
        <v/>
      </c>
      <c r="B147" s="17"/>
      <c r="C147" s="59"/>
      <c r="D147" s="36" t="e">
        <f>INDEX(tbl_IngrédientsRef[Unité], MATCH(A147, tbl_IngrédientsRef[Cde_Ingrdt],0))</f>
        <v>#N/A</v>
      </c>
    </row>
    <row r="148" spans="1:4" x14ac:dyDescent="0.25">
      <c r="A148" s="34" t="str">
        <f>IFERROR(VLOOKUP(B148,Référentiels!$M$2:$N$267,2,FALSE),"")</f>
        <v/>
      </c>
      <c r="B148" s="17"/>
      <c r="C148" s="59"/>
      <c r="D148" s="36" t="e">
        <f>INDEX(tbl_IngrédientsRef[Unité], MATCH(A148, tbl_IngrédientsRef[Cde_Ingrdt],0))</f>
        <v>#N/A</v>
      </c>
    </row>
    <row r="149" spans="1:4" x14ac:dyDescent="0.25">
      <c r="A149" s="34" t="str">
        <f>IFERROR(VLOOKUP(B149,Référentiels!$M$2:$N$267,2,FALSE),"")</f>
        <v/>
      </c>
      <c r="B149" s="17"/>
      <c r="C149" s="59"/>
      <c r="D149" s="36" t="e">
        <f>INDEX(tbl_IngrédientsRef[Unité], MATCH(A149, tbl_IngrédientsRef[Cde_Ingrdt],0))</f>
        <v>#N/A</v>
      </c>
    </row>
    <row r="150" spans="1:4" x14ac:dyDescent="0.25">
      <c r="A150" s="34" t="str">
        <f>IFERROR(VLOOKUP(B150,Référentiels!$M$2:$N$267,2,FALSE),"")</f>
        <v/>
      </c>
      <c r="B150" s="17"/>
      <c r="C150" s="59"/>
      <c r="D150" s="36" t="e">
        <f>INDEX(tbl_IngrédientsRef[Unité], MATCH(A150, tbl_IngrédientsRef[Cde_Ingrdt],0))</f>
        <v>#N/A</v>
      </c>
    </row>
    <row r="151" spans="1:4" x14ac:dyDescent="0.25">
      <c r="A151" s="34" t="str">
        <f>IFERROR(VLOOKUP(B151,Référentiels!$M$2:$N$267,2,FALSE),"")</f>
        <v/>
      </c>
      <c r="B151" s="17"/>
      <c r="C151" s="59"/>
      <c r="D151" s="36" t="e">
        <f>INDEX(tbl_IngrédientsRef[Unité], MATCH(A151, tbl_IngrédientsRef[Cde_Ingrdt],0))</f>
        <v>#N/A</v>
      </c>
    </row>
    <row r="152" spans="1:4" x14ac:dyDescent="0.25">
      <c r="A152" s="34" t="str">
        <f>IFERROR(VLOOKUP(B152,Référentiels!$M$2:$N$267,2,FALSE),"")</f>
        <v/>
      </c>
      <c r="B152" s="17"/>
      <c r="C152" s="59"/>
      <c r="D152" s="36" t="e">
        <f>INDEX(tbl_IngrédientsRef[Unité], MATCH(A152, tbl_IngrédientsRef[Cde_Ingrdt],0))</f>
        <v>#N/A</v>
      </c>
    </row>
    <row r="153" spans="1:4" x14ac:dyDescent="0.25">
      <c r="A153" s="34" t="str">
        <f>IFERROR(VLOOKUP(B153,Référentiels!$M$2:$N$267,2,FALSE),"")</f>
        <v/>
      </c>
      <c r="B153" s="17"/>
      <c r="C153" s="59"/>
      <c r="D153" s="36" t="e">
        <f>INDEX(tbl_IngrédientsRef[Unité], MATCH(A153, tbl_IngrédientsRef[Cde_Ingrdt],0))</f>
        <v>#N/A</v>
      </c>
    </row>
    <row r="154" spans="1:4" x14ac:dyDescent="0.25">
      <c r="A154" s="34" t="str">
        <f>IFERROR(VLOOKUP(B154,Référentiels!$M$2:$N$267,2,FALSE),"")</f>
        <v/>
      </c>
      <c r="B154" s="17"/>
      <c r="C154" s="59"/>
      <c r="D154" s="36" t="e">
        <f>INDEX(tbl_IngrédientsRef[Unité], MATCH(A154, tbl_IngrédientsRef[Cde_Ingrdt],0))</f>
        <v>#N/A</v>
      </c>
    </row>
    <row r="155" spans="1:4" x14ac:dyDescent="0.25">
      <c r="A155" s="34" t="str">
        <f>IFERROR(VLOOKUP(B155,Référentiels!$M$2:$N$267,2,FALSE),"")</f>
        <v/>
      </c>
      <c r="B155" s="17"/>
      <c r="C155" s="59"/>
      <c r="D155" s="36" t="e">
        <f>INDEX(tbl_IngrédientsRef[Unité], MATCH(A155, tbl_IngrédientsRef[Cde_Ingrdt],0))</f>
        <v>#N/A</v>
      </c>
    </row>
    <row r="156" spans="1:4" x14ac:dyDescent="0.25">
      <c r="A156" s="34" t="str">
        <f>IFERROR(VLOOKUP(B156,Référentiels!$M$2:$N$267,2,FALSE),"")</f>
        <v/>
      </c>
      <c r="B156" s="17"/>
      <c r="C156" s="59"/>
      <c r="D156" s="36" t="e">
        <f>INDEX(tbl_IngrédientsRef[Unité], MATCH(A156, tbl_IngrédientsRef[Cde_Ingrdt],0))</f>
        <v>#N/A</v>
      </c>
    </row>
    <row r="157" spans="1:4" x14ac:dyDescent="0.25">
      <c r="A157" s="34" t="str">
        <f>IFERROR(VLOOKUP(B157,Référentiels!$M$2:$N$267,2,FALSE),"")</f>
        <v/>
      </c>
      <c r="B157" s="17"/>
      <c r="C157" s="59"/>
      <c r="D157" s="36" t="e">
        <f>INDEX(tbl_IngrédientsRef[Unité], MATCH(A157, tbl_IngrédientsRef[Cde_Ingrdt],0))</f>
        <v>#N/A</v>
      </c>
    </row>
    <row r="158" spans="1:4" x14ac:dyDescent="0.25">
      <c r="A158" s="34" t="str">
        <f>IFERROR(VLOOKUP(B158,Référentiels!$M$2:$N$267,2,FALSE),"")</f>
        <v/>
      </c>
      <c r="B158" s="17"/>
      <c r="C158" s="59"/>
      <c r="D158" s="36" t="e">
        <f>INDEX(tbl_IngrédientsRef[Unité], MATCH(A158, tbl_IngrédientsRef[Cde_Ingrdt],0))</f>
        <v>#N/A</v>
      </c>
    </row>
    <row r="159" spans="1:4" x14ac:dyDescent="0.25">
      <c r="A159" s="34" t="str">
        <f>IFERROR(VLOOKUP(B159,Référentiels!$M$2:$N$267,2,FALSE),"")</f>
        <v/>
      </c>
      <c r="B159" s="17"/>
      <c r="C159" s="59"/>
      <c r="D159" s="36" t="e">
        <f>INDEX(tbl_IngrédientsRef[Unité], MATCH(A159, tbl_IngrédientsRef[Cde_Ingrdt],0))</f>
        <v>#N/A</v>
      </c>
    </row>
    <row r="160" spans="1:4" x14ac:dyDescent="0.25">
      <c r="A160" s="34" t="str">
        <f>IFERROR(VLOOKUP(B160,Référentiels!$M$2:$N$267,2,FALSE),"")</f>
        <v/>
      </c>
      <c r="B160" s="17"/>
      <c r="C160" s="59"/>
      <c r="D160" s="36" t="e">
        <f>INDEX(tbl_IngrédientsRef[Unité], MATCH(A160, tbl_IngrédientsRef[Cde_Ingrdt],0))</f>
        <v>#N/A</v>
      </c>
    </row>
    <row r="161" spans="1:4" x14ac:dyDescent="0.25">
      <c r="A161" s="34" t="str">
        <f>IFERROR(VLOOKUP(B161,Référentiels!$M$2:$N$267,2,FALSE),"")</f>
        <v/>
      </c>
      <c r="B161" s="17"/>
      <c r="C161" s="59"/>
      <c r="D161" s="36" t="e">
        <f>INDEX(tbl_IngrédientsRef[Unité], MATCH(A161, tbl_IngrédientsRef[Cde_Ingrdt],0))</f>
        <v>#N/A</v>
      </c>
    </row>
    <row r="162" spans="1:4" x14ac:dyDescent="0.25">
      <c r="A162" s="34" t="str">
        <f>IFERROR(VLOOKUP(B162,Référentiels!$M$2:$N$267,2,FALSE),"")</f>
        <v/>
      </c>
      <c r="B162" s="17"/>
      <c r="C162" s="59"/>
      <c r="D162" s="36" t="e">
        <f>INDEX(tbl_IngrédientsRef[Unité], MATCH(A162, tbl_IngrédientsRef[Cde_Ingrdt],0))</f>
        <v>#N/A</v>
      </c>
    </row>
    <row r="163" spans="1:4" x14ac:dyDescent="0.25">
      <c r="A163" s="34" t="str">
        <f>IFERROR(VLOOKUP(B163,Référentiels!$M$2:$N$267,2,FALSE),"")</f>
        <v/>
      </c>
      <c r="B163" s="17"/>
      <c r="C163" s="59"/>
      <c r="D163" s="36" t="e">
        <f>INDEX(tbl_IngrédientsRef[Unité], MATCH(A163, tbl_IngrédientsRef[Cde_Ingrdt],0))</f>
        <v>#N/A</v>
      </c>
    </row>
    <row r="164" spans="1:4" x14ac:dyDescent="0.25">
      <c r="A164" s="34" t="str">
        <f>IFERROR(VLOOKUP(B164,Référentiels!$M$2:$N$267,2,FALSE),"")</f>
        <v/>
      </c>
      <c r="B164" s="17"/>
      <c r="C164" s="59"/>
      <c r="D164" s="36" t="e">
        <f>INDEX(tbl_IngrédientsRef[Unité], MATCH(A164, tbl_IngrédientsRef[Cde_Ingrdt],0))</f>
        <v>#N/A</v>
      </c>
    </row>
    <row r="165" spans="1:4" x14ac:dyDescent="0.25">
      <c r="A165" s="34" t="str">
        <f>IFERROR(VLOOKUP(B165,Référentiels!$M$2:$N$267,2,FALSE),"")</f>
        <v/>
      </c>
      <c r="B165" s="17"/>
      <c r="C165" s="59"/>
      <c r="D165" s="36" t="e">
        <f>INDEX(tbl_IngrédientsRef[Unité], MATCH(A165, tbl_IngrédientsRef[Cde_Ingrdt],0))</f>
        <v>#N/A</v>
      </c>
    </row>
    <row r="166" spans="1:4" x14ac:dyDescent="0.25">
      <c r="A166" s="34" t="str">
        <f>IFERROR(VLOOKUP(B166,Référentiels!$M$2:$N$267,2,FALSE),"")</f>
        <v/>
      </c>
      <c r="B166" s="17"/>
      <c r="C166" s="59"/>
      <c r="D166" s="36" t="e">
        <f>INDEX(tbl_IngrédientsRef[Unité], MATCH(A166, tbl_IngrédientsRef[Cde_Ingrdt],0))</f>
        <v>#N/A</v>
      </c>
    </row>
    <row r="167" spans="1:4" x14ac:dyDescent="0.25">
      <c r="A167" s="34" t="str">
        <f>IFERROR(VLOOKUP(B167,Référentiels!$M$2:$N$267,2,FALSE),"")</f>
        <v/>
      </c>
      <c r="B167" s="17"/>
      <c r="C167" s="59"/>
      <c r="D167" s="36" t="e">
        <f>INDEX(tbl_IngrédientsRef[Unité], MATCH(A167, tbl_IngrédientsRef[Cde_Ingrdt],0))</f>
        <v>#N/A</v>
      </c>
    </row>
    <row r="168" spans="1:4" x14ac:dyDescent="0.25">
      <c r="A168" s="34" t="str">
        <f>IFERROR(VLOOKUP(B168,Référentiels!$M$2:$N$267,2,FALSE),"")</f>
        <v/>
      </c>
      <c r="B168" s="17"/>
      <c r="C168" s="59"/>
      <c r="D168" s="36" t="e">
        <f>INDEX(tbl_IngrédientsRef[Unité], MATCH(A168, tbl_IngrédientsRef[Cde_Ingrdt],0))</f>
        <v>#N/A</v>
      </c>
    </row>
    <row r="169" spans="1:4" x14ac:dyDescent="0.25">
      <c r="A169" s="34" t="str">
        <f>IFERROR(VLOOKUP(B169,Référentiels!$M$2:$N$267,2,FALSE),"")</f>
        <v/>
      </c>
      <c r="B169" s="17"/>
      <c r="C169" s="59"/>
      <c r="D169" s="36" t="e">
        <f>INDEX(tbl_IngrédientsRef[Unité], MATCH(A169, tbl_IngrédientsRef[Cde_Ingrdt],0))</f>
        <v>#N/A</v>
      </c>
    </row>
    <row r="170" spans="1:4" x14ac:dyDescent="0.25">
      <c r="A170" s="34" t="str">
        <f>IFERROR(VLOOKUP(B170,Référentiels!$M$2:$N$267,2,FALSE),"")</f>
        <v/>
      </c>
      <c r="B170" s="17"/>
      <c r="C170" s="59"/>
      <c r="D170" s="36" t="e">
        <f>INDEX(tbl_IngrédientsRef[Unité], MATCH(A170, tbl_IngrédientsRef[Cde_Ingrdt],0))</f>
        <v>#N/A</v>
      </c>
    </row>
    <row r="171" spans="1:4" x14ac:dyDescent="0.25">
      <c r="A171" s="34" t="str">
        <f>IFERROR(VLOOKUP(B171,Référentiels!$M$2:$N$267,2,FALSE),"")</f>
        <v/>
      </c>
      <c r="B171" s="17"/>
      <c r="C171" s="59"/>
      <c r="D171" s="36" t="e">
        <f>INDEX(tbl_IngrédientsRef[Unité], MATCH(A171, tbl_IngrédientsRef[Cde_Ingrdt],0))</f>
        <v>#N/A</v>
      </c>
    </row>
    <row r="172" spans="1:4" x14ac:dyDescent="0.25">
      <c r="A172" s="34" t="str">
        <f>IFERROR(VLOOKUP(B172,Référentiels!$M$2:$N$267,2,FALSE),"")</f>
        <v/>
      </c>
      <c r="B172" s="17"/>
      <c r="C172" s="59"/>
      <c r="D172" s="36" t="e">
        <f>INDEX(tbl_IngrédientsRef[Unité], MATCH(A172, tbl_IngrédientsRef[Cde_Ingrdt],0))</f>
        <v>#N/A</v>
      </c>
    </row>
    <row r="173" spans="1:4" x14ac:dyDescent="0.25">
      <c r="A173" s="34" t="str">
        <f>IFERROR(VLOOKUP(B173,Référentiels!$M$2:$N$267,2,FALSE),"")</f>
        <v/>
      </c>
      <c r="B173" s="17"/>
      <c r="C173" s="59"/>
      <c r="D173" s="36" t="e">
        <f>INDEX(tbl_IngrédientsRef[Unité], MATCH(A173, tbl_IngrédientsRef[Cde_Ingrdt],0))</f>
        <v>#N/A</v>
      </c>
    </row>
    <row r="174" spans="1:4" x14ac:dyDescent="0.25">
      <c r="A174" s="34" t="str">
        <f>IFERROR(VLOOKUP(B174,Référentiels!$M$2:$N$267,2,FALSE),"")</f>
        <v/>
      </c>
      <c r="B174" s="17"/>
      <c r="C174" s="59"/>
      <c r="D174" s="36" t="e">
        <f>INDEX(tbl_IngrédientsRef[Unité], MATCH(A174, tbl_IngrédientsRef[Cde_Ingrdt],0))</f>
        <v>#N/A</v>
      </c>
    </row>
    <row r="175" spans="1:4" x14ac:dyDescent="0.25">
      <c r="A175" s="34" t="str">
        <f>IFERROR(VLOOKUP(B175,Référentiels!$M$2:$N$267,2,FALSE),"")</f>
        <v/>
      </c>
      <c r="B175" s="17"/>
      <c r="C175" s="59"/>
      <c r="D175" s="36" t="e">
        <f>INDEX(tbl_IngrédientsRef[Unité], MATCH(A175, tbl_IngrédientsRef[Cde_Ingrdt],0))</f>
        <v>#N/A</v>
      </c>
    </row>
    <row r="176" spans="1:4" x14ac:dyDescent="0.25">
      <c r="A176" s="34" t="str">
        <f>IFERROR(VLOOKUP(B176,Référentiels!$M$2:$N$267,2,FALSE),"")</f>
        <v/>
      </c>
      <c r="B176" s="17"/>
      <c r="C176" s="59"/>
      <c r="D176" s="36" t="e">
        <f>INDEX(tbl_IngrédientsRef[Unité], MATCH(A176, tbl_IngrédientsRef[Cde_Ingrdt],0))</f>
        <v>#N/A</v>
      </c>
    </row>
    <row r="177" spans="1:4" x14ac:dyDescent="0.25">
      <c r="A177" s="34" t="str">
        <f>IFERROR(VLOOKUP(B177,Référentiels!$M$2:$N$267,2,FALSE),"")</f>
        <v/>
      </c>
      <c r="B177" s="17"/>
      <c r="C177" s="59"/>
      <c r="D177" s="36" t="e">
        <f>INDEX(tbl_IngrédientsRef[Unité], MATCH(A177, tbl_IngrédientsRef[Cde_Ingrdt],0))</f>
        <v>#N/A</v>
      </c>
    </row>
    <row r="178" spans="1:4" x14ac:dyDescent="0.25">
      <c r="A178" s="34" t="str">
        <f>IFERROR(VLOOKUP(B178,Référentiels!$M$2:$N$267,2,FALSE),"")</f>
        <v/>
      </c>
      <c r="B178" s="17"/>
      <c r="C178" s="59"/>
      <c r="D178" s="36" t="e">
        <f>INDEX(tbl_IngrédientsRef[Unité], MATCH(A178, tbl_IngrédientsRef[Cde_Ingrdt],0))</f>
        <v>#N/A</v>
      </c>
    </row>
    <row r="179" spans="1:4" x14ac:dyDescent="0.25">
      <c r="A179" s="34" t="str">
        <f>IFERROR(VLOOKUP(B179,Référentiels!$M$2:$N$267,2,FALSE),"")</f>
        <v/>
      </c>
      <c r="B179" s="17"/>
      <c r="C179" s="59"/>
      <c r="D179" s="36" t="e">
        <f>INDEX(tbl_IngrédientsRef[Unité], MATCH(A179, tbl_IngrédientsRef[Cde_Ingrdt],0))</f>
        <v>#N/A</v>
      </c>
    </row>
    <row r="180" spans="1:4" x14ac:dyDescent="0.25">
      <c r="A180" s="34" t="str">
        <f>IFERROR(VLOOKUP(B180,Référentiels!$M$2:$N$267,2,FALSE),"")</f>
        <v/>
      </c>
      <c r="B180" s="17"/>
      <c r="C180" s="59"/>
      <c r="D180" s="36" t="e">
        <f>INDEX(tbl_IngrédientsRef[Unité], MATCH(A180, tbl_IngrédientsRef[Cde_Ingrdt],0))</f>
        <v>#N/A</v>
      </c>
    </row>
    <row r="181" spans="1:4" x14ac:dyDescent="0.25">
      <c r="A181" s="34" t="str">
        <f>IFERROR(VLOOKUP(B181,Référentiels!$M$2:$N$267,2,FALSE),"")</f>
        <v/>
      </c>
      <c r="B181" s="17"/>
      <c r="C181" s="59"/>
      <c r="D181" s="36" t="e">
        <f>INDEX(tbl_IngrédientsRef[Unité], MATCH(A181, tbl_IngrédientsRef[Cde_Ingrdt],0))</f>
        <v>#N/A</v>
      </c>
    </row>
    <row r="182" spans="1:4" x14ac:dyDescent="0.25">
      <c r="A182" s="34" t="str">
        <f>IFERROR(VLOOKUP(B182,Référentiels!$M$2:$N$267,2,FALSE),"")</f>
        <v/>
      </c>
      <c r="B182" s="17"/>
      <c r="C182" s="59"/>
      <c r="D182" s="36" t="e">
        <f>INDEX(tbl_IngrédientsRef[Unité], MATCH(A182, tbl_IngrédientsRef[Cde_Ingrdt],0))</f>
        <v>#N/A</v>
      </c>
    </row>
    <row r="183" spans="1:4" x14ac:dyDescent="0.25">
      <c r="A183" s="34" t="str">
        <f>IFERROR(VLOOKUP(B183,Référentiels!$M$2:$N$267,2,FALSE),"")</f>
        <v/>
      </c>
      <c r="B183" s="17"/>
      <c r="C183" s="59"/>
      <c r="D183" s="36" t="e">
        <f>INDEX(tbl_IngrédientsRef[Unité], MATCH(A183, tbl_IngrédientsRef[Cde_Ingrdt],0))</f>
        <v>#N/A</v>
      </c>
    </row>
    <row r="184" spans="1:4" x14ac:dyDescent="0.25">
      <c r="A184" s="34" t="str">
        <f>IFERROR(VLOOKUP(B184,Référentiels!$M$2:$N$267,2,FALSE),"")</f>
        <v/>
      </c>
      <c r="B184" s="17"/>
      <c r="C184" s="59"/>
      <c r="D184" s="36" t="e">
        <f>INDEX(tbl_IngrédientsRef[Unité], MATCH(A184, tbl_IngrédientsRef[Cde_Ingrdt],0))</f>
        <v>#N/A</v>
      </c>
    </row>
    <row r="185" spans="1:4" x14ac:dyDescent="0.25">
      <c r="A185" s="34" t="str">
        <f>IFERROR(VLOOKUP(B185,Référentiels!$M$2:$N$267,2,FALSE),"")</f>
        <v/>
      </c>
      <c r="B185" s="17"/>
      <c r="C185" s="59"/>
      <c r="D185" s="36" t="e">
        <f>INDEX(tbl_IngrédientsRef[Unité], MATCH(A185, tbl_IngrédientsRef[Cde_Ingrdt],0))</f>
        <v>#N/A</v>
      </c>
    </row>
    <row r="186" spans="1:4" x14ac:dyDescent="0.25">
      <c r="A186" s="34" t="str">
        <f>IFERROR(VLOOKUP(B186,Référentiels!$M$2:$N$267,2,FALSE),"")</f>
        <v/>
      </c>
      <c r="B186" s="17"/>
      <c r="C186" s="59"/>
      <c r="D186" s="36" t="e">
        <f>INDEX(tbl_IngrédientsRef[Unité], MATCH(A186, tbl_IngrédientsRef[Cde_Ingrdt],0))</f>
        <v>#N/A</v>
      </c>
    </row>
    <row r="187" spans="1:4" x14ac:dyDescent="0.25">
      <c r="A187" s="34" t="str">
        <f>IFERROR(VLOOKUP(B187,Référentiels!$M$2:$N$267,2,FALSE),"")</f>
        <v/>
      </c>
      <c r="B187" s="17"/>
      <c r="C187" s="59"/>
      <c r="D187" s="36" t="e">
        <f>INDEX(tbl_IngrédientsRef[Unité], MATCH(A187, tbl_IngrédientsRef[Cde_Ingrdt],0))</f>
        <v>#N/A</v>
      </c>
    </row>
    <row r="188" spans="1:4" x14ac:dyDescent="0.25">
      <c r="A188" s="34" t="str">
        <f>IFERROR(VLOOKUP(B188,Référentiels!$M$2:$N$267,2,FALSE),"")</f>
        <v/>
      </c>
      <c r="B188" s="17"/>
      <c r="C188" s="59"/>
      <c r="D188" s="36" t="e">
        <f>INDEX(tbl_IngrédientsRef[Unité], MATCH(A188, tbl_IngrédientsRef[Cde_Ingrdt],0))</f>
        <v>#N/A</v>
      </c>
    </row>
    <row r="189" spans="1:4" x14ac:dyDescent="0.25">
      <c r="A189" s="34" t="str">
        <f>IFERROR(VLOOKUP(B189,Référentiels!$M$2:$N$267,2,FALSE),"")</f>
        <v/>
      </c>
      <c r="B189" s="17"/>
      <c r="C189" s="59"/>
      <c r="D189" s="36" t="e">
        <f>INDEX(tbl_IngrédientsRef[Unité], MATCH(A189, tbl_IngrédientsRef[Cde_Ingrdt],0))</f>
        <v>#N/A</v>
      </c>
    </row>
    <row r="190" spans="1:4" x14ac:dyDescent="0.25">
      <c r="A190" s="34" t="str">
        <f>IFERROR(VLOOKUP(B190,Référentiels!$M$2:$N$267,2,FALSE),"")</f>
        <v/>
      </c>
      <c r="B190" s="17"/>
      <c r="C190" s="59"/>
      <c r="D190" s="36" t="e">
        <f>INDEX(tbl_IngrédientsRef[Unité], MATCH(A190, tbl_IngrédientsRef[Cde_Ingrdt],0))</f>
        <v>#N/A</v>
      </c>
    </row>
    <row r="191" spans="1:4" x14ac:dyDescent="0.25">
      <c r="A191" s="34" t="str">
        <f>IFERROR(VLOOKUP(B191,Référentiels!$M$2:$N$267,2,FALSE),"")</f>
        <v/>
      </c>
      <c r="B191" s="17"/>
      <c r="C191" s="59"/>
      <c r="D191" s="36" t="e">
        <f>INDEX(tbl_IngrédientsRef[Unité], MATCH(A191, tbl_IngrédientsRef[Cde_Ingrdt],0))</f>
        <v>#N/A</v>
      </c>
    </row>
    <row r="192" spans="1:4" x14ac:dyDescent="0.25">
      <c r="A192" s="34" t="str">
        <f>IFERROR(VLOOKUP(B192,Référentiels!$M$2:$N$267,2,FALSE),"")</f>
        <v/>
      </c>
      <c r="B192" s="17"/>
      <c r="C192" s="59"/>
      <c r="D192" s="36" t="e">
        <f>INDEX(tbl_IngrédientsRef[Unité], MATCH(A192, tbl_IngrédientsRef[Cde_Ingrdt],0))</f>
        <v>#N/A</v>
      </c>
    </row>
    <row r="193" spans="1:4" x14ac:dyDescent="0.25">
      <c r="A193" s="34" t="str">
        <f>IFERROR(VLOOKUP(B193,Référentiels!$M$2:$N$267,2,FALSE),"")</f>
        <v/>
      </c>
      <c r="B193" s="17"/>
      <c r="C193" s="59"/>
      <c r="D193" s="36" t="e">
        <f>INDEX(tbl_IngrédientsRef[Unité], MATCH(A193, tbl_IngrédientsRef[Cde_Ingrdt],0))</f>
        <v>#N/A</v>
      </c>
    </row>
    <row r="194" spans="1:4" x14ac:dyDescent="0.25">
      <c r="A194" s="34" t="str">
        <f>IFERROR(VLOOKUP(B194,Référentiels!$M$2:$N$267,2,FALSE),"")</f>
        <v/>
      </c>
      <c r="B194" s="17"/>
      <c r="C194" s="59"/>
      <c r="D194" s="36" t="e">
        <f>INDEX(tbl_IngrédientsRef[Unité], MATCH(A194, tbl_IngrédientsRef[Cde_Ingrdt],0))</f>
        <v>#N/A</v>
      </c>
    </row>
    <row r="195" spans="1:4" x14ac:dyDescent="0.25">
      <c r="A195" s="34" t="str">
        <f>IFERROR(VLOOKUP(B195,Référentiels!$M$2:$N$267,2,FALSE),"")</f>
        <v/>
      </c>
      <c r="B195" s="17"/>
      <c r="C195" s="59"/>
      <c r="D195" s="36" t="e">
        <f>INDEX(tbl_IngrédientsRef[Unité], MATCH(A195, tbl_IngrédientsRef[Cde_Ingrdt],0))</f>
        <v>#N/A</v>
      </c>
    </row>
    <row r="196" spans="1:4" x14ac:dyDescent="0.25">
      <c r="A196" s="34" t="str">
        <f>IFERROR(VLOOKUP(B196,Référentiels!$M$2:$N$267,2,FALSE),"")</f>
        <v/>
      </c>
      <c r="B196" s="17"/>
      <c r="C196" s="59"/>
      <c r="D196" s="36" t="e">
        <f>INDEX(tbl_IngrédientsRef[Unité], MATCH(A196, tbl_IngrédientsRef[Cde_Ingrdt],0))</f>
        <v>#N/A</v>
      </c>
    </row>
    <row r="197" spans="1:4" x14ac:dyDescent="0.25">
      <c r="A197" s="34" t="str">
        <f>IFERROR(VLOOKUP(B197,Référentiels!$M$2:$N$267,2,FALSE),"")</f>
        <v/>
      </c>
      <c r="B197" s="17"/>
      <c r="C197" s="59"/>
      <c r="D197" s="36" t="e">
        <f>INDEX(tbl_IngrédientsRef[Unité], MATCH(A197, tbl_IngrédientsRef[Cde_Ingrdt],0))</f>
        <v>#N/A</v>
      </c>
    </row>
    <row r="198" spans="1:4" x14ac:dyDescent="0.25">
      <c r="A198" s="34" t="str">
        <f>IFERROR(VLOOKUP(B198,Référentiels!$M$2:$N$267,2,FALSE),"")</f>
        <v/>
      </c>
      <c r="B198" s="17"/>
      <c r="C198" s="59"/>
      <c r="D198" s="36" t="e">
        <f>INDEX(tbl_IngrédientsRef[Unité], MATCH(A198, tbl_IngrédientsRef[Cde_Ingrdt],0))</f>
        <v>#N/A</v>
      </c>
    </row>
    <row r="199" spans="1:4" x14ac:dyDescent="0.25">
      <c r="A199" s="34" t="str">
        <f>IFERROR(VLOOKUP(B199,Référentiels!$M$2:$N$267,2,FALSE),"")</f>
        <v/>
      </c>
      <c r="B199" s="17"/>
      <c r="C199" s="59"/>
      <c r="D199" s="36" t="e">
        <f>INDEX(tbl_IngrédientsRef[Unité], MATCH(A199, tbl_IngrédientsRef[Cde_Ingrdt],0))</f>
        <v>#N/A</v>
      </c>
    </row>
    <row r="200" spans="1:4" x14ac:dyDescent="0.25">
      <c r="A200" s="34" t="str">
        <f>IFERROR(VLOOKUP(B200,Référentiels!$M$2:$N$267,2,FALSE),"")</f>
        <v/>
      </c>
      <c r="B200" s="17"/>
      <c r="C200" s="59"/>
      <c r="D200" s="36" t="e">
        <f>INDEX(tbl_IngrédientsRef[Unité], MATCH(A200, tbl_IngrédientsRef[Cde_Ingrdt],0))</f>
        <v>#N/A</v>
      </c>
    </row>
    <row r="201" spans="1:4" x14ac:dyDescent="0.25">
      <c r="A201" s="34" t="str">
        <f>IFERROR(VLOOKUP(B201,Référentiels!$M$2:$N$267,2,FALSE),"")</f>
        <v/>
      </c>
      <c r="B201" s="17"/>
      <c r="C201" s="59"/>
      <c r="D201" s="36" t="e">
        <f>INDEX(tbl_IngrédientsRef[Unité], MATCH(A201, tbl_IngrédientsRef[Cde_Ingrdt],0))</f>
        <v>#N/A</v>
      </c>
    </row>
    <row r="202" spans="1:4" x14ac:dyDescent="0.25">
      <c r="A202" s="34" t="str">
        <f>IFERROR(VLOOKUP(B202,Référentiels!$M$2:$N$267,2,FALSE),"")</f>
        <v/>
      </c>
      <c r="B202" s="17"/>
      <c r="C202" s="59"/>
      <c r="D202" s="36" t="e">
        <f>INDEX(tbl_IngrédientsRef[Unité], MATCH(A202, tbl_IngrédientsRef[Cde_Ingrdt],0))</f>
        <v>#N/A</v>
      </c>
    </row>
    <row r="203" spans="1:4" x14ac:dyDescent="0.25">
      <c r="A203" s="34" t="str">
        <f>IFERROR(VLOOKUP(B203,Référentiels!$M$2:$N$267,2,FALSE),"")</f>
        <v/>
      </c>
      <c r="B203" s="17"/>
      <c r="C203" s="59"/>
      <c r="D203" s="36" t="e">
        <f>INDEX(tbl_IngrédientsRef[Unité], MATCH(A203, tbl_IngrédientsRef[Cde_Ingrdt],0))</f>
        <v>#N/A</v>
      </c>
    </row>
    <row r="204" spans="1:4" x14ac:dyDescent="0.25">
      <c r="A204" s="34" t="str">
        <f>IFERROR(VLOOKUP(B204,Référentiels!$M$2:$N$267,2,FALSE),"")</f>
        <v/>
      </c>
      <c r="B204" s="17"/>
      <c r="C204" s="59"/>
      <c r="D204" s="36" t="e">
        <f>INDEX(tbl_IngrédientsRef[Unité], MATCH(A204, tbl_IngrédientsRef[Cde_Ingrdt],0))</f>
        <v>#N/A</v>
      </c>
    </row>
    <row r="205" spans="1:4" x14ac:dyDescent="0.25">
      <c r="A205" s="34" t="str">
        <f>IFERROR(VLOOKUP(B205,Référentiels!$M$2:$N$267,2,FALSE),"")</f>
        <v/>
      </c>
      <c r="B205" s="17"/>
      <c r="C205" s="59"/>
      <c r="D205" s="36" t="e">
        <f>INDEX(tbl_IngrédientsRef[Unité], MATCH(A205, tbl_IngrédientsRef[Cde_Ingrdt],0))</f>
        <v>#N/A</v>
      </c>
    </row>
    <row r="206" spans="1:4" x14ac:dyDescent="0.25">
      <c r="A206" s="34" t="str">
        <f>IFERROR(VLOOKUP(B206,Référentiels!$M$2:$N$267,2,FALSE),"")</f>
        <v/>
      </c>
      <c r="B206" s="17"/>
      <c r="C206" s="59"/>
      <c r="D206" s="36" t="e">
        <f>INDEX(tbl_IngrédientsRef[Unité], MATCH(A206, tbl_IngrédientsRef[Cde_Ingrdt],0))</f>
        <v>#N/A</v>
      </c>
    </row>
    <row r="207" spans="1:4" x14ac:dyDescent="0.25">
      <c r="A207" s="34" t="str">
        <f>IFERROR(VLOOKUP(B207,Référentiels!$M$2:$N$267,2,FALSE),"")</f>
        <v/>
      </c>
      <c r="B207" s="17"/>
      <c r="C207" s="59"/>
      <c r="D207" s="36" t="e">
        <f>INDEX(tbl_IngrédientsRef[Unité], MATCH(A207, tbl_IngrédientsRef[Cde_Ingrdt],0))</f>
        <v>#N/A</v>
      </c>
    </row>
    <row r="208" spans="1:4" x14ac:dyDescent="0.25">
      <c r="A208" s="34" t="str">
        <f>IFERROR(VLOOKUP(B208,Référentiels!$M$2:$N$267,2,FALSE),"")</f>
        <v/>
      </c>
      <c r="B208" s="17"/>
      <c r="C208" s="59"/>
      <c r="D208" s="36" t="e">
        <f>INDEX(tbl_IngrédientsRef[Unité], MATCH(A208, tbl_IngrédientsRef[Cde_Ingrdt],0))</f>
        <v>#N/A</v>
      </c>
    </row>
    <row r="209" spans="1:4" x14ac:dyDescent="0.25">
      <c r="A209" s="34" t="str">
        <f>IFERROR(VLOOKUP(B209,Référentiels!$M$2:$N$267,2,FALSE),"")</f>
        <v/>
      </c>
      <c r="B209" s="17"/>
      <c r="C209" s="59"/>
      <c r="D209" s="36" t="e">
        <f>INDEX(tbl_IngrédientsRef[Unité], MATCH(A209, tbl_IngrédientsRef[Cde_Ingrdt],0))</f>
        <v>#N/A</v>
      </c>
    </row>
    <row r="210" spans="1:4" x14ac:dyDescent="0.25">
      <c r="A210" s="34" t="str">
        <f>IFERROR(VLOOKUP(B210,Référentiels!$M$2:$N$267,2,FALSE),"")</f>
        <v/>
      </c>
      <c r="B210" s="17"/>
      <c r="C210" s="59"/>
      <c r="D210" s="36" t="e">
        <f>INDEX(tbl_IngrédientsRef[Unité], MATCH(A210, tbl_IngrédientsRef[Cde_Ingrdt],0))</f>
        <v>#N/A</v>
      </c>
    </row>
    <row r="211" spans="1:4" x14ac:dyDescent="0.25">
      <c r="A211" s="34" t="str">
        <f>IFERROR(VLOOKUP(B211,Référentiels!$M$2:$N$267,2,FALSE),"")</f>
        <v/>
      </c>
      <c r="B211" s="17"/>
      <c r="C211" s="59"/>
      <c r="D211" s="36" t="e">
        <f>INDEX(tbl_IngrédientsRef[Unité], MATCH(A211, tbl_IngrédientsRef[Cde_Ingrdt],0))</f>
        <v>#N/A</v>
      </c>
    </row>
    <row r="212" spans="1:4" x14ac:dyDescent="0.25">
      <c r="A212" s="34" t="str">
        <f>IFERROR(VLOOKUP(B212,Référentiels!$M$2:$N$267,2,FALSE),"")</f>
        <v/>
      </c>
      <c r="B212" s="17"/>
      <c r="C212" s="59"/>
      <c r="D212" s="36" t="e">
        <f>INDEX(tbl_IngrédientsRef[Unité], MATCH(A212, tbl_IngrédientsRef[Cde_Ingrdt],0))</f>
        <v>#N/A</v>
      </c>
    </row>
    <row r="213" spans="1:4" x14ac:dyDescent="0.25">
      <c r="A213" s="34" t="str">
        <f>IFERROR(VLOOKUP(B213,Référentiels!$M$2:$N$267,2,FALSE),"")</f>
        <v/>
      </c>
      <c r="B213" s="17"/>
      <c r="C213" s="59"/>
      <c r="D213" s="36" t="e">
        <f>INDEX(tbl_IngrédientsRef[Unité], MATCH(A213, tbl_IngrédientsRef[Cde_Ingrdt],0))</f>
        <v>#N/A</v>
      </c>
    </row>
    <row r="214" spans="1:4" x14ac:dyDescent="0.25">
      <c r="A214" s="34" t="str">
        <f>IFERROR(VLOOKUP(B214,Référentiels!$M$2:$N$267,2,FALSE),"")</f>
        <v/>
      </c>
      <c r="B214" s="17"/>
      <c r="C214" s="59"/>
      <c r="D214" s="36" t="e">
        <f>INDEX(tbl_IngrédientsRef[Unité], MATCH(A214, tbl_IngrédientsRef[Cde_Ingrdt],0))</f>
        <v>#N/A</v>
      </c>
    </row>
    <row r="215" spans="1:4" x14ac:dyDescent="0.25">
      <c r="A215" s="34" t="str">
        <f>IFERROR(VLOOKUP(B215,Référentiels!$M$2:$N$267,2,FALSE),"")</f>
        <v/>
      </c>
      <c r="B215" s="17"/>
      <c r="C215" s="59"/>
      <c r="D215" s="36" t="e">
        <f>INDEX(tbl_IngrédientsRef[Unité], MATCH(A215, tbl_IngrédientsRef[Cde_Ingrdt],0))</f>
        <v>#N/A</v>
      </c>
    </row>
    <row r="216" spans="1:4" x14ac:dyDescent="0.25">
      <c r="A216" s="34" t="str">
        <f>IFERROR(VLOOKUP(B216,Référentiels!$M$2:$N$267,2,FALSE),"")</f>
        <v/>
      </c>
      <c r="B216" s="17"/>
      <c r="C216" s="59"/>
      <c r="D216" s="36" t="e">
        <f>INDEX(tbl_IngrédientsRef[Unité], MATCH(A216, tbl_IngrédientsRef[Cde_Ingrdt],0))</f>
        <v>#N/A</v>
      </c>
    </row>
    <row r="217" spans="1:4" x14ac:dyDescent="0.25">
      <c r="A217" s="34" t="str">
        <f>IFERROR(VLOOKUP(B217,Référentiels!$M$2:$N$267,2,FALSE),"")</f>
        <v/>
      </c>
      <c r="B217" s="17"/>
      <c r="C217" s="59"/>
      <c r="D217" s="36" t="e">
        <f>INDEX(tbl_IngrédientsRef[Unité], MATCH(A217, tbl_IngrédientsRef[Cde_Ingrdt],0))</f>
        <v>#N/A</v>
      </c>
    </row>
    <row r="218" spans="1:4" x14ac:dyDescent="0.25">
      <c r="A218" s="34" t="str">
        <f>IFERROR(VLOOKUP(B218,Référentiels!$M$2:$N$267,2,FALSE),"")</f>
        <v/>
      </c>
      <c r="B218" s="17"/>
      <c r="C218" s="59"/>
      <c r="D218" s="36" t="e">
        <f>INDEX(tbl_IngrédientsRef[Unité], MATCH(A218, tbl_IngrédientsRef[Cde_Ingrdt],0))</f>
        <v>#N/A</v>
      </c>
    </row>
    <row r="219" spans="1:4" x14ac:dyDescent="0.25">
      <c r="A219" s="34" t="str">
        <f>IFERROR(VLOOKUP(B219,Référentiels!$M$2:$N$267,2,FALSE),"")</f>
        <v/>
      </c>
      <c r="B219" s="17"/>
      <c r="C219" s="59"/>
      <c r="D219" s="36" t="e">
        <f>INDEX(tbl_IngrédientsRef[Unité], MATCH(A219, tbl_IngrédientsRef[Cde_Ingrdt],0))</f>
        <v>#N/A</v>
      </c>
    </row>
    <row r="220" spans="1:4" x14ac:dyDescent="0.25">
      <c r="A220" s="34" t="str">
        <f>IFERROR(VLOOKUP(B220,Référentiels!$M$2:$N$267,2,FALSE),"")</f>
        <v/>
      </c>
      <c r="B220" s="17"/>
      <c r="C220" s="59"/>
      <c r="D220" s="36" t="e">
        <f>INDEX(tbl_IngrédientsRef[Unité], MATCH(A220, tbl_IngrédientsRef[Cde_Ingrdt],0))</f>
        <v>#N/A</v>
      </c>
    </row>
    <row r="221" spans="1:4" x14ac:dyDescent="0.25">
      <c r="A221" s="34" t="str">
        <f>IFERROR(VLOOKUP(B221,Référentiels!$M$2:$N$267,2,FALSE),"")</f>
        <v/>
      </c>
      <c r="B221" s="17"/>
      <c r="C221" s="59"/>
      <c r="D221" s="36" t="e">
        <f>INDEX(tbl_IngrédientsRef[Unité], MATCH(A221, tbl_IngrédientsRef[Cde_Ingrdt],0))</f>
        <v>#N/A</v>
      </c>
    </row>
    <row r="222" spans="1:4" x14ac:dyDescent="0.25">
      <c r="A222" s="34" t="str">
        <f>IFERROR(VLOOKUP(B222,Référentiels!$M$2:$N$267,2,FALSE),"")</f>
        <v/>
      </c>
      <c r="B222" s="17"/>
      <c r="C222" s="59"/>
      <c r="D222" s="36" t="e">
        <f>INDEX(tbl_IngrédientsRef[Unité], MATCH(A222, tbl_IngrédientsRef[Cde_Ingrdt],0))</f>
        <v>#N/A</v>
      </c>
    </row>
    <row r="223" spans="1:4" x14ac:dyDescent="0.25">
      <c r="A223" s="34" t="str">
        <f>IFERROR(VLOOKUP(B223,Référentiels!$M$2:$N$267,2,FALSE),"")</f>
        <v/>
      </c>
      <c r="B223" s="17"/>
      <c r="C223" s="59"/>
      <c r="D223" s="36" t="e">
        <f>INDEX(tbl_IngrédientsRef[Unité], MATCH(A223, tbl_IngrédientsRef[Cde_Ingrdt],0))</f>
        <v>#N/A</v>
      </c>
    </row>
    <row r="224" spans="1:4" x14ac:dyDescent="0.25">
      <c r="A224" s="34" t="str">
        <f>IFERROR(VLOOKUP(B224,Référentiels!$M$2:$N$267,2,FALSE),"")</f>
        <v/>
      </c>
      <c r="B224" s="17"/>
      <c r="C224" s="59"/>
      <c r="D224" s="36" t="e">
        <f>INDEX(tbl_IngrédientsRef[Unité], MATCH(A224, tbl_IngrédientsRef[Cde_Ingrdt],0))</f>
        <v>#N/A</v>
      </c>
    </row>
    <row r="225" spans="1:4" x14ac:dyDescent="0.25">
      <c r="A225" s="34" t="str">
        <f>IFERROR(VLOOKUP(B225,Référentiels!$M$2:$N$267,2,FALSE),"")</f>
        <v/>
      </c>
      <c r="B225" s="17"/>
      <c r="C225" s="59"/>
      <c r="D225" s="36" t="e">
        <f>INDEX(tbl_IngrédientsRef[Unité], MATCH(A225, tbl_IngrédientsRef[Cde_Ingrdt],0))</f>
        <v>#N/A</v>
      </c>
    </row>
    <row r="226" spans="1:4" x14ac:dyDescent="0.25">
      <c r="A226" s="34" t="str">
        <f>IFERROR(VLOOKUP(B226,Référentiels!$M$2:$N$267,2,FALSE),"")</f>
        <v/>
      </c>
      <c r="B226" s="17"/>
      <c r="C226" s="59"/>
      <c r="D226" s="36" t="e">
        <f>INDEX(tbl_IngrédientsRef[Unité], MATCH(A226, tbl_IngrédientsRef[Cde_Ingrdt],0))</f>
        <v>#N/A</v>
      </c>
    </row>
    <row r="227" spans="1:4" x14ac:dyDescent="0.25">
      <c r="A227" s="34" t="str">
        <f>IFERROR(VLOOKUP(B227,Référentiels!$M$2:$N$267,2,FALSE),"")</f>
        <v/>
      </c>
      <c r="B227" s="17"/>
      <c r="C227" s="59"/>
      <c r="D227" s="36" t="e">
        <f>INDEX(tbl_IngrédientsRef[Unité], MATCH(A227, tbl_IngrédientsRef[Cde_Ingrdt],0))</f>
        <v>#N/A</v>
      </c>
    </row>
    <row r="228" spans="1:4" x14ac:dyDescent="0.25">
      <c r="A228" s="34" t="str">
        <f>IFERROR(VLOOKUP(B228,Référentiels!$M$2:$N$267,2,FALSE),"")</f>
        <v/>
      </c>
      <c r="B228" s="17"/>
      <c r="C228" s="59"/>
      <c r="D228" s="36" t="e">
        <f>INDEX(tbl_IngrédientsRef[Unité], MATCH(A228, tbl_IngrédientsRef[Cde_Ingrdt],0))</f>
        <v>#N/A</v>
      </c>
    </row>
    <row r="229" spans="1:4" x14ac:dyDescent="0.25">
      <c r="A229" s="34" t="str">
        <f>IFERROR(VLOOKUP(B229,Référentiels!$M$2:$N$267,2,FALSE),"")</f>
        <v/>
      </c>
      <c r="B229" s="17"/>
      <c r="C229" s="59"/>
      <c r="D229" s="36" t="e">
        <f>INDEX(tbl_IngrédientsRef[Unité], MATCH(A229, tbl_IngrédientsRef[Cde_Ingrdt],0))</f>
        <v>#N/A</v>
      </c>
    </row>
    <row r="230" spans="1:4" x14ac:dyDescent="0.25">
      <c r="A230" s="34" t="str">
        <f>IFERROR(VLOOKUP(B230,Référentiels!$M$2:$N$267,2,FALSE),"")</f>
        <v/>
      </c>
      <c r="B230" s="17"/>
      <c r="C230" s="59"/>
      <c r="D230" s="36" t="e">
        <f>INDEX(tbl_IngrédientsRef[Unité], MATCH(A230, tbl_IngrédientsRef[Cde_Ingrdt],0))</f>
        <v>#N/A</v>
      </c>
    </row>
    <row r="231" spans="1:4" x14ac:dyDescent="0.25">
      <c r="A231" s="34" t="str">
        <f>IFERROR(VLOOKUP(B231,Référentiels!$M$2:$N$267,2,FALSE),"")</f>
        <v/>
      </c>
      <c r="B231" s="17"/>
      <c r="C231" s="59"/>
      <c r="D231" s="36" t="e">
        <f>INDEX(tbl_IngrédientsRef[Unité], MATCH(A231, tbl_IngrédientsRef[Cde_Ingrdt],0))</f>
        <v>#N/A</v>
      </c>
    </row>
    <row r="232" spans="1:4" x14ac:dyDescent="0.25">
      <c r="A232" s="34" t="str">
        <f>IFERROR(VLOOKUP(B232,Référentiels!$M$2:$N$267,2,FALSE),"")</f>
        <v/>
      </c>
      <c r="B232" s="17"/>
      <c r="C232" s="59"/>
      <c r="D232" s="36" t="e">
        <f>INDEX(tbl_IngrédientsRef[Unité], MATCH(A232, tbl_IngrédientsRef[Cde_Ingrdt],0))</f>
        <v>#N/A</v>
      </c>
    </row>
    <row r="233" spans="1:4" x14ac:dyDescent="0.25">
      <c r="A233" s="34" t="str">
        <f>IFERROR(VLOOKUP(B233,Référentiels!$M$2:$N$267,2,FALSE),"")</f>
        <v/>
      </c>
      <c r="B233" s="17"/>
      <c r="C233" s="59"/>
      <c r="D233" s="36" t="e">
        <f>INDEX(tbl_IngrédientsRef[Unité], MATCH(A233, tbl_IngrédientsRef[Cde_Ingrdt],0))</f>
        <v>#N/A</v>
      </c>
    </row>
    <row r="234" spans="1:4" x14ac:dyDescent="0.25">
      <c r="A234" s="34" t="str">
        <f>IFERROR(VLOOKUP(B234,Référentiels!$M$2:$N$267,2,FALSE),"")</f>
        <v/>
      </c>
      <c r="B234" s="17"/>
      <c r="C234" s="59"/>
      <c r="D234" s="36" t="e">
        <f>INDEX(tbl_IngrédientsRef[Unité], MATCH(A234, tbl_IngrédientsRef[Cde_Ingrdt],0))</f>
        <v>#N/A</v>
      </c>
    </row>
    <row r="235" spans="1:4" x14ac:dyDescent="0.25">
      <c r="A235" s="34" t="str">
        <f>IFERROR(VLOOKUP(B235,Référentiels!$M$2:$N$267,2,FALSE),"")</f>
        <v/>
      </c>
      <c r="B235" s="17"/>
      <c r="C235" s="59"/>
      <c r="D235" s="36" t="e">
        <f>INDEX(tbl_IngrédientsRef[Unité], MATCH(A235, tbl_IngrédientsRef[Cde_Ingrdt],0))</f>
        <v>#N/A</v>
      </c>
    </row>
    <row r="236" spans="1:4" x14ac:dyDescent="0.25">
      <c r="A236" s="34" t="str">
        <f>IFERROR(VLOOKUP(B236,Référentiels!$M$2:$N$267,2,FALSE),"")</f>
        <v/>
      </c>
      <c r="B236" s="17"/>
      <c r="C236" s="59"/>
      <c r="D236" s="36" t="e">
        <f>INDEX(tbl_IngrédientsRef[Unité], MATCH(A236, tbl_IngrédientsRef[Cde_Ingrdt],0))</f>
        <v>#N/A</v>
      </c>
    </row>
    <row r="237" spans="1:4" x14ac:dyDescent="0.25">
      <c r="A237" s="34" t="str">
        <f>IFERROR(VLOOKUP(B237,Référentiels!$M$2:$N$267,2,FALSE),"")</f>
        <v/>
      </c>
      <c r="B237" s="17"/>
      <c r="C237" s="59"/>
      <c r="D237" s="36" t="e">
        <f>INDEX(tbl_IngrédientsRef[Unité], MATCH(A237, tbl_IngrédientsRef[Cde_Ingrdt],0))</f>
        <v>#N/A</v>
      </c>
    </row>
    <row r="238" spans="1:4" x14ac:dyDescent="0.25">
      <c r="A238" s="34" t="str">
        <f>IFERROR(VLOOKUP(B238,Référentiels!$M$2:$N$267,2,FALSE),"")</f>
        <v/>
      </c>
      <c r="B238" s="17"/>
      <c r="C238" s="59"/>
      <c r="D238" s="36" t="e">
        <f>INDEX(tbl_IngrédientsRef[Unité], MATCH(A238, tbl_IngrédientsRef[Cde_Ingrdt],0))</f>
        <v>#N/A</v>
      </c>
    </row>
    <row r="239" spans="1:4" x14ac:dyDescent="0.25">
      <c r="A239" s="34" t="str">
        <f>IFERROR(VLOOKUP(B239,Référentiels!$M$2:$N$267,2,FALSE),"")</f>
        <v/>
      </c>
      <c r="B239" s="17"/>
      <c r="C239" s="59"/>
      <c r="D239" s="36" t="e">
        <f>INDEX(tbl_IngrédientsRef[Unité], MATCH(A239, tbl_IngrédientsRef[Cde_Ingrdt],0))</f>
        <v>#N/A</v>
      </c>
    </row>
    <row r="240" spans="1:4" x14ac:dyDescent="0.25">
      <c r="A240" s="34" t="str">
        <f>IFERROR(VLOOKUP(B240,Référentiels!$M$2:$N$267,2,FALSE),"")</f>
        <v/>
      </c>
      <c r="B240" s="17"/>
      <c r="C240" s="59"/>
      <c r="D240" s="36" t="e">
        <f>INDEX(tbl_IngrédientsRef[Unité], MATCH(A240, tbl_IngrédientsRef[Cde_Ingrdt],0))</f>
        <v>#N/A</v>
      </c>
    </row>
    <row r="241" spans="1:4" x14ac:dyDescent="0.25">
      <c r="A241" s="34" t="str">
        <f>IFERROR(VLOOKUP(B241,Référentiels!$M$2:$N$267,2,FALSE),"")</f>
        <v/>
      </c>
      <c r="B241" s="17"/>
      <c r="C241" s="59"/>
      <c r="D241" s="36" t="e">
        <f>INDEX(tbl_IngrédientsRef[Unité], MATCH(A241, tbl_IngrédientsRef[Cde_Ingrdt],0))</f>
        <v>#N/A</v>
      </c>
    </row>
    <row r="242" spans="1:4" x14ac:dyDescent="0.25">
      <c r="A242" s="34" t="str">
        <f>IFERROR(VLOOKUP(B242,Référentiels!$M$2:$N$267,2,FALSE),"")</f>
        <v/>
      </c>
      <c r="B242" s="17"/>
      <c r="C242" s="59"/>
      <c r="D242" s="36" t="e">
        <f>INDEX(tbl_IngrédientsRef[Unité], MATCH(A242, tbl_IngrédientsRef[Cde_Ingrdt],0))</f>
        <v>#N/A</v>
      </c>
    </row>
    <row r="243" spans="1:4" x14ac:dyDescent="0.25">
      <c r="A243" s="34" t="str">
        <f>IFERROR(VLOOKUP(B243,Référentiels!$M$2:$N$267,2,FALSE),"")</f>
        <v/>
      </c>
      <c r="B243" s="17"/>
      <c r="C243" s="59"/>
      <c r="D243" s="36" t="e">
        <f>INDEX(tbl_IngrédientsRef[Unité], MATCH(A243, tbl_IngrédientsRef[Cde_Ingrdt],0))</f>
        <v>#N/A</v>
      </c>
    </row>
    <row r="244" spans="1:4" x14ac:dyDescent="0.25">
      <c r="A244" s="34" t="str">
        <f>IFERROR(VLOOKUP(B244,Référentiels!$M$2:$N$267,2,FALSE),"")</f>
        <v/>
      </c>
      <c r="B244" s="17"/>
      <c r="C244" s="59"/>
      <c r="D244" s="36" t="e">
        <f>INDEX(tbl_IngrédientsRef[Unité], MATCH(A244, tbl_IngrédientsRef[Cde_Ingrdt],0))</f>
        <v>#N/A</v>
      </c>
    </row>
    <row r="245" spans="1:4" x14ac:dyDescent="0.25">
      <c r="A245" s="34" t="str">
        <f>IFERROR(VLOOKUP(B245,Référentiels!$M$2:$N$267,2,FALSE),"")</f>
        <v/>
      </c>
      <c r="B245" s="17"/>
      <c r="C245" s="59"/>
      <c r="D245" s="36" t="e">
        <f>INDEX(tbl_IngrédientsRef[Unité], MATCH(A245, tbl_IngrédientsRef[Cde_Ingrdt],0))</f>
        <v>#N/A</v>
      </c>
    </row>
    <row r="246" spans="1:4" x14ac:dyDescent="0.25">
      <c r="A246" s="34" t="str">
        <f>IFERROR(VLOOKUP(B246,Référentiels!$M$2:$N$267,2,FALSE),"")</f>
        <v/>
      </c>
      <c r="B246" s="17"/>
      <c r="C246" s="59"/>
      <c r="D246" s="36" t="e">
        <f>INDEX(tbl_IngrédientsRef[Unité], MATCH(A246, tbl_IngrédientsRef[Cde_Ingrdt],0))</f>
        <v>#N/A</v>
      </c>
    </row>
    <row r="247" spans="1:4" x14ac:dyDescent="0.25">
      <c r="A247" s="34" t="str">
        <f>IFERROR(VLOOKUP(B247,Référentiels!$M$2:$N$267,2,FALSE),"")</f>
        <v/>
      </c>
      <c r="B247" s="17"/>
      <c r="C247" s="59"/>
      <c r="D247" s="36" t="e">
        <f>INDEX(tbl_IngrédientsRef[Unité], MATCH(A247, tbl_IngrédientsRef[Cde_Ingrdt],0))</f>
        <v>#N/A</v>
      </c>
    </row>
    <row r="248" spans="1:4" x14ac:dyDescent="0.25">
      <c r="A248" s="34" t="str">
        <f>IFERROR(VLOOKUP(B248,Référentiels!$M$2:$N$267,2,FALSE),"")</f>
        <v/>
      </c>
      <c r="B248" s="17"/>
      <c r="C248" s="59"/>
      <c r="D248" s="36" t="e">
        <f>INDEX(tbl_IngrédientsRef[Unité], MATCH(A248, tbl_IngrédientsRef[Cde_Ingrdt],0))</f>
        <v>#N/A</v>
      </c>
    </row>
    <row r="249" spans="1:4" x14ac:dyDescent="0.25">
      <c r="A249" s="34" t="str">
        <f>IFERROR(VLOOKUP(B249,Référentiels!$M$2:$N$267,2,FALSE),"")</f>
        <v/>
      </c>
      <c r="B249" s="17"/>
      <c r="C249" s="59"/>
      <c r="D249" s="36" t="e">
        <f>INDEX(tbl_IngrédientsRef[Unité], MATCH(A249, tbl_IngrédientsRef[Cde_Ingrdt],0))</f>
        <v>#N/A</v>
      </c>
    </row>
    <row r="250" spans="1:4" x14ac:dyDescent="0.25">
      <c r="A250" s="34" t="str">
        <f>IFERROR(VLOOKUP(B250,Référentiels!$M$2:$N$267,2,FALSE),"")</f>
        <v/>
      </c>
      <c r="B250" s="17"/>
      <c r="C250" s="59"/>
      <c r="D250" s="36" t="e">
        <f>INDEX(tbl_IngrédientsRef[Unité], MATCH(A250, tbl_IngrédientsRef[Cde_Ingrdt],0))</f>
        <v>#N/A</v>
      </c>
    </row>
    <row r="251" spans="1:4" x14ac:dyDescent="0.25">
      <c r="A251" s="34" t="str">
        <f>IFERROR(VLOOKUP(B251,Référentiels!$M$2:$N$267,2,FALSE),"")</f>
        <v/>
      </c>
      <c r="B251" s="17"/>
      <c r="C251" s="59"/>
      <c r="D251" s="36" t="e">
        <f>INDEX(tbl_IngrédientsRef[Unité], MATCH(A251, tbl_IngrédientsRef[Cde_Ingrdt],0))</f>
        <v>#N/A</v>
      </c>
    </row>
    <row r="252" spans="1:4" x14ac:dyDescent="0.25">
      <c r="A252" s="34" t="str">
        <f>IFERROR(VLOOKUP(B252,Référentiels!$M$2:$N$267,2,FALSE),"")</f>
        <v/>
      </c>
      <c r="B252" s="17"/>
      <c r="C252" s="59"/>
      <c r="D252" s="36" t="e">
        <f>INDEX(tbl_IngrédientsRef[Unité], MATCH(A252, tbl_IngrédientsRef[Cde_Ingrdt],0))</f>
        <v>#N/A</v>
      </c>
    </row>
    <row r="253" spans="1:4" x14ac:dyDescent="0.25">
      <c r="A253" s="34" t="str">
        <f>IFERROR(VLOOKUP(B253,Référentiels!$M$2:$N$267,2,FALSE),"")</f>
        <v/>
      </c>
      <c r="B253" s="17"/>
      <c r="C253" s="59"/>
      <c r="D253" s="36" t="e">
        <f>INDEX(tbl_IngrédientsRef[Unité], MATCH(A253, tbl_IngrédientsRef[Cde_Ingrdt],0))</f>
        <v>#N/A</v>
      </c>
    </row>
    <row r="254" spans="1:4" x14ac:dyDescent="0.25">
      <c r="A254" s="34" t="str">
        <f>IFERROR(VLOOKUP(B254,Référentiels!$M$2:$N$267,2,FALSE),"")</f>
        <v/>
      </c>
      <c r="B254" s="17"/>
      <c r="C254" s="59"/>
      <c r="D254" s="36" t="e">
        <f>INDEX(tbl_IngrédientsRef[Unité], MATCH(A254, tbl_IngrédientsRef[Cde_Ingrdt],0))</f>
        <v>#N/A</v>
      </c>
    </row>
    <row r="255" spans="1:4" x14ac:dyDescent="0.25">
      <c r="A255" s="34" t="str">
        <f>IFERROR(VLOOKUP(B255,Référentiels!$M$2:$N$267,2,FALSE),"")</f>
        <v/>
      </c>
      <c r="B255" s="17"/>
      <c r="C255" s="59"/>
      <c r="D255" s="36" t="e">
        <f>INDEX(tbl_IngrédientsRef[Unité], MATCH(A255, tbl_IngrédientsRef[Cde_Ingrdt],0))</f>
        <v>#N/A</v>
      </c>
    </row>
    <row r="256" spans="1:4" x14ac:dyDescent="0.25">
      <c r="A256" s="34" t="str">
        <f>IFERROR(VLOOKUP(B256,Référentiels!$M$2:$N$267,2,FALSE),"")</f>
        <v/>
      </c>
      <c r="B256" s="17"/>
      <c r="C256" s="59"/>
      <c r="D256" s="36" t="e">
        <f>INDEX(tbl_IngrédientsRef[Unité], MATCH(A256, tbl_IngrédientsRef[Cde_Ingrdt],0))</f>
        <v>#N/A</v>
      </c>
    </row>
    <row r="257" spans="1:4" x14ac:dyDescent="0.25">
      <c r="A257" s="34" t="str">
        <f>IFERROR(VLOOKUP(B257,Référentiels!$M$2:$N$267,2,FALSE),"")</f>
        <v/>
      </c>
      <c r="B257" s="17"/>
      <c r="C257" s="59"/>
      <c r="D257" s="36" t="e">
        <f>INDEX(tbl_IngrédientsRef[Unité], MATCH(A257, tbl_IngrédientsRef[Cde_Ingrdt],0))</f>
        <v>#N/A</v>
      </c>
    </row>
    <row r="258" spans="1:4" x14ac:dyDescent="0.25">
      <c r="A258" s="34" t="str">
        <f>IFERROR(VLOOKUP(B258,Référentiels!$M$2:$N$267,2,FALSE),"")</f>
        <v/>
      </c>
      <c r="B258" s="17"/>
      <c r="C258" s="59"/>
      <c r="D258" s="36" t="e">
        <f>INDEX(tbl_IngrédientsRef[Unité], MATCH(A258, tbl_IngrédientsRef[Cde_Ingrdt],0))</f>
        <v>#N/A</v>
      </c>
    </row>
    <row r="259" spans="1:4" x14ac:dyDescent="0.25">
      <c r="A259" s="34" t="str">
        <f>IFERROR(VLOOKUP(B259,Référentiels!$M$2:$N$267,2,FALSE),"")</f>
        <v/>
      </c>
      <c r="B259" s="17"/>
      <c r="C259" s="59"/>
      <c r="D259" s="36" t="e">
        <f>INDEX(tbl_IngrédientsRef[Unité], MATCH(A259, tbl_IngrédientsRef[Cde_Ingrdt],0))</f>
        <v>#N/A</v>
      </c>
    </row>
    <row r="260" spans="1:4" x14ac:dyDescent="0.25">
      <c r="A260" s="34" t="str">
        <f>IFERROR(VLOOKUP(B260,Référentiels!$M$2:$N$267,2,FALSE),"")</f>
        <v/>
      </c>
      <c r="B260" s="17"/>
      <c r="C260" s="59"/>
      <c r="D260" s="36" t="e">
        <f>INDEX(tbl_IngrédientsRef[Unité], MATCH(A260, tbl_IngrédientsRef[Cde_Ingrdt],0))</f>
        <v>#N/A</v>
      </c>
    </row>
    <row r="261" spans="1:4" x14ac:dyDescent="0.25">
      <c r="A261" s="34" t="str">
        <f>IFERROR(VLOOKUP(B261,Référentiels!$M$2:$N$267,2,FALSE),"")</f>
        <v/>
      </c>
      <c r="B261" s="17"/>
      <c r="C261" s="59"/>
      <c r="D261" s="36" t="e">
        <f>INDEX(tbl_IngrédientsRef[Unité], MATCH(A261, tbl_IngrédientsRef[Cde_Ingrdt],0))</f>
        <v>#N/A</v>
      </c>
    </row>
    <row r="262" spans="1:4" x14ac:dyDescent="0.25">
      <c r="A262" s="34" t="str">
        <f>IFERROR(VLOOKUP(B262,Référentiels!$M$2:$N$267,2,FALSE),"")</f>
        <v/>
      </c>
      <c r="B262" s="17"/>
      <c r="C262" s="59"/>
      <c r="D262" s="36" t="e">
        <f>INDEX(tbl_IngrédientsRef[Unité], MATCH(A262, tbl_IngrédientsRef[Cde_Ingrdt],0))</f>
        <v>#N/A</v>
      </c>
    </row>
    <row r="263" spans="1:4" x14ac:dyDescent="0.25">
      <c r="A263" s="34" t="str">
        <f>IFERROR(VLOOKUP(B263,Référentiels!$M$2:$N$267,2,FALSE),"")</f>
        <v/>
      </c>
      <c r="B263" s="17"/>
      <c r="C263" s="59"/>
      <c r="D263" s="36" t="e">
        <f>INDEX(tbl_IngrédientsRef[Unité], MATCH(A263, tbl_IngrédientsRef[Cde_Ingrdt],0))</f>
        <v>#N/A</v>
      </c>
    </row>
    <row r="264" spans="1:4" x14ac:dyDescent="0.25">
      <c r="A264" s="34" t="str">
        <f>IFERROR(VLOOKUP(B264,Référentiels!$M$2:$N$267,2,FALSE),"")</f>
        <v/>
      </c>
      <c r="B264" s="17"/>
      <c r="C264" s="59"/>
      <c r="D264" s="36" t="e">
        <f>INDEX(tbl_IngrédientsRef[Unité], MATCH(A264, tbl_IngrédientsRef[Cde_Ingrdt],0))</f>
        <v>#N/A</v>
      </c>
    </row>
    <row r="265" spans="1:4" x14ac:dyDescent="0.25">
      <c r="A265" s="34" t="str">
        <f>IFERROR(VLOOKUP(B265,Référentiels!$M$2:$N$267,2,FALSE),"")</f>
        <v/>
      </c>
      <c r="B265" s="17"/>
      <c r="C265" s="59"/>
      <c r="D265" s="36" t="e">
        <f>INDEX(tbl_IngrédientsRef[Unité], MATCH(A265, tbl_IngrédientsRef[Cde_Ingrdt],0))</f>
        <v>#N/A</v>
      </c>
    </row>
    <row r="266" spans="1:4" x14ac:dyDescent="0.25">
      <c r="A266" s="34" t="str">
        <f>IFERROR(VLOOKUP(B266,Référentiels!$M$2:$N$267,2,FALSE),"")</f>
        <v/>
      </c>
      <c r="B266" s="17"/>
      <c r="C266" s="59"/>
      <c r="D266" s="36" t="e">
        <f>INDEX(tbl_IngrédientsRef[Unité], MATCH(A266, tbl_IngrédientsRef[Cde_Ingrdt],0))</f>
        <v>#N/A</v>
      </c>
    </row>
    <row r="267" spans="1:4" x14ac:dyDescent="0.25">
      <c r="A267" s="34" t="str">
        <f>IFERROR(VLOOKUP(B267,Référentiels!$M$2:$N$267,2,FALSE),"")</f>
        <v/>
      </c>
      <c r="B267" s="17"/>
      <c r="C267" s="59"/>
      <c r="D267" s="36" t="e">
        <f>INDEX(tbl_IngrédientsRef[Unité], MATCH(A267, tbl_IngrédientsRef[Cde_Ingrdt],0))</f>
        <v>#N/A</v>
      </c>
    </row>
    <row r="268" spans="1:4" x14ac:dyDescent="0.25">
      <c r="A268" s="34" t="str">
        <f>IFERROR(VLOOKUP(B268,Référentiels!$M$2:$N$267,2,FALSE),"")</f>
        <v/>
      </c>
      <c r="B268" s="17"/>
      <c r="C268" s="59"/>
      <c r="D268" s="36" t="e">
        <f>INDEX(tbl_IngrédientsRef[Unité], MATCH(A268, tbl_IngrédientsRef[Cde_Ingrdt],0))</f>
        <v>#N/A</v>
      </c>
    </row>
    <row r="269" spans="1:4" x14ac:dyDescent="0.25">
      <c r="A269" s="34" t="str">
        <f>IFERROR(VLOOKUP(B269,Référentiels!$M$2:$N$267,2,FALSE),"")</f>
        <v/>
      </c>
      <c r="B269" s="17"/>
      <c r="C269" s="59"/>
      <c r="D269" s="36" t="e">
        <f>INDEX(tbl_IngrédientsRef[Unité], MATCH(A269, tbl_IngrédientsRef[Cde_Ingrdt],0))</f>
        <v>#N/A</v>
      </c>
    </row>
    <row r="270" spans="1:4" x14ac:dyDescent="0.25">
      <c r="A270" s="34" t="str">
        <f>IFERROR(VLOOKUP(B270,Référentiels!$M$2:$N$267,2,FALSE),"")</f>
        <v/>
      </c>
      <c r="B270" s="17"/>
      <c r="C270" s="59"/>
      <c r="D270" s="36" t="e">
        <f>INDEX(tbl_IngrédientsRef[Unité], MATCH(A270, tbl_IngrédientsRef[Cde_Ingrdt],0))</f>
        <v>#N/A</v>
      </c>
    </row>
    <row r="271" spans="1:4" x14ac:dyDescent="0.25">
      <c r="A271" s="34" t="str">
        <f>IFERROR(VLOOKUP(B271,Référentiels!$M$2:$N$267,2,FALSE),"")</f>
        <v/>
      </c>
      <c r="B271" s="17"/>
      <c r="C271" s="59"/>
      <c r="D271" s="36" t="e">
        <f>INDEX(tbl_IngrédientsRef[Unité], MATCH(A271, tbl_IngrédientsRef[Cde_Ingrdt],0))</f>
        <v>#N/A</v>
      </c>
    </row>
    <row r="272" spans="1:4" x14ac:dyDescent="0.25">
      <c r="A272" s="34" t="str">
        <f>IFERROR(VLOOKUP(B272,Référentiels!$M$2:$N$267,2,FALSE),"")</f>
        <v/>
      </c>
      <c r="B272" s="17"/>
      <c r="C272" s="59"/>
      <c r="D272" s="36" t="e">
        <f>INDEX(tbl_IngrédientsRef[Unité], MATCH(A272, tbl_IngrédientsRef[Cde_Ingrdt],0))</f>
        <v>#N/A</v>
      </c>
    </row>
    <row r="273" spans="1:4" x14ac:dyDescent="0.25">
      <c r="A273" s="34" t="str">
        <f>IFERROR(VLOOKUP(B273,Référentiels!$M$2:$N$267,2,FALSE),"")</f>
        <v/>
      </c>
      <c r="B273" s="17"/>
      <c r="C273" s="59"/>
      <c r="D273" s="36" t="e">
        <f>INDEX(tbl_IngrédientsRef[Unité], MATCH(A273, tbl_IngrédientsRef[Cde_Ingrdt],0))</f>
        <v>#N/A</v>
      </c>
    </row>
    <row r="274" spans="1:4" x14ac:dyDescent="0.25">
      <c r="A274" s="34" t="str">
        <f>IFERROR(VLOOKUP(B274,Référentiels!$M$2:$N$267,2,FALSE),"")</f>
        <v/>
      </c>
      <c r="B274" s="17"/>
      <c r="C274" s="59"/>
      <c r="D274" s="36" t="e">
        <f>INDEX(tbl_IngrédientsRef[Unité], MATCH(A274, tbl_IngrédientsRef[Cde_Ingrdt],0))</f>
        <v>#N/A</v>
      </c>
    </row>
    <row r="275" spans="1:4" x14ac:dyDescent="0.25">
      <c r="A275" s="34" t="str">
        <f>IFERROR(VLOOKUP(B275,Référentiels!$M$2:$N$267,2,FALSE),"")</f>
        <v/>
      </c>
      <c r="B275" s="17"/>
      <c r="C275" s="59"/>
      <c r="D275" s="36" t="e">
        <f>INDEX(tbl_IngrédientsRef[Unité], MATCH(A275, tbl_IngrédientsRef[Cde_Ingrdt],0))</f>
        <v>#N/A</v>
      </c>
    </row>
    <row r="276" spans="1:4" x14ac:dyDescent="0.25">
      <c r="A276" s="34" t="str">
        <f>IFERROR(VLOOKUP(B276,Référentiels!$M$2:$N$267,2,FALSE),"")</f>
        <v/>
      </c>
      <c r="B276" s="17"/>
      <c r="C276" s="59"/>
      <c r="D276" s="36" t="e">
        <f>INDEX(tbl_IngrédientsRef[Unité], MATCH(A276, tbl_IngrédientsRef[Cde_Ingrdt],0))</f>
        <v>#N/A</v>
      </c>
    </row>
    <row r="277" spans="1:4" x14ac:dyDescent="0.25">
      <c r="A277" s="34" t="str">
        <f>IFERROR(VLOOKUP(B277,Référentiels!$M$2:$N$267,2,FALSE),"")</f>
        <v/>
      </c>
      <c r="B277" s="17"/>
      <c r="C277" s="59"/>
      <c r="D277" s="36" t="e">
        <f>INDEX(tbl_IngrédientsRef[Unité], MATCH(A277, tbl_IngrédientsRef[Cde_Ingrdt],0))</f>
        <v>#N/A</v>
      </c>
    </row>
    <row r="278" spans="1:4" x14ac:dyDescent="0.25">
      <c r="A278" s="34" t="str">
        <f>IFERROR(VLOOKUP(B278,Référentiels!$M$2:$N$267,2,FALSE),"")</f>
        <v/>
      </c>
      <c r="B278" s="17"/>
      <c r="C278" s="59"/>
      <c r="D278" s="36" t="e">
        <f>INDEX(tbl_IngrédientsRef[Unité], MATCH(A278, tbl_IngrédientsRef[Cde_Ingrdt],0))</f>
        <v>#N/A</v>
      </c>
    </row>
    <row r="279" spans="1:4" x14ac:dyDescent="0.25">
      <c r="A279" s="34" t="str">
        <f>IFERROR(VLOOKUP(B279,Référentiels!$M$2:$N$267,2,FALSE),"")</f>
        <v/>
      </c>
      <c r="B279" s="17"/>
      <c r="C279" s="59"/>
      <c r="D279" s="36" t="e">
        <f>INDEX(tbl_IngrédientsRef[Unité], MATCH(A279, tbl_IngrédientsRef[Cde_Ingrdt],0))</f>
        <v>#N/A</v>
      </c>
    </row>
    <row r="280" spans="1:4" x14ac:dyDescent="0.25">
      <c r="A280" s="34" t="str">
        <f>IFERROR(VLOOKUP(B280,Référentiels!$M$2:$N$267,2,FALSE),"")</f>
        <v/>
      </c>
      <c r="B280" s="17"/>
      <c r="C280" s="59"/>
      <c r="D280" s="36" t="e">
        <f>INDEX(tbl_IngrédientsRef[Unité], MATCH(A280, tbl_IngrédientsRef[Cde_Ingrdt],0))</f>
        <v>#N/A</v>
      </c>
    </row>
    <row r="281" spans="1:4" x14ac:dyDescent="0.25">
      <c r="A281" s="34" t="str">
        <f>IFERROR(VLOOKUP(B281,Référentiels!$M$2:$N$267,2,FALSE),"")</f>
        <v/>
      </c>
      <c r="B281" s="17"/>
      <c r="C281" s="59"/>
      <c r="D281" s="36" t="e">
        <f>INDEX(tbl_IngrédientsRef[Unité], MATCH(A281, tbl_IngrédientsRef[Cde_Ingrdt],0))</f>
        <v>#N/A</v>
      </c>
    </row>
    <row r="282" spans="1:4" x14ac:dyDescent="0.25">
      <c r="A282" s="34" t="str">
        <f>IFERROR(VLOOKUP(B282,Référentiels!$M$2:$N$267,2,FALSE),"")</f>
        <v/>
      </c>
      <c r="B282" s="17"/>
      <c r="C282" s="59"/>
      <c r="D282" s="36" t="e">
        <f>INDEX(tbl_IngrédientsRef[Unité], MATCH(A282, tbl_IngrédientsRef[Cde_Ingrdt],0))</f>
        <v>#N/A</v>
      </c>
    </row>
    <row r="283" spans="1:4" x14ac:dyDescent="0.25">
      <c r="A283" s="34" t="str">
        <f>IFERROR(VLOOKUP(B283,Référentiels!$M$2:$N$267,2,FALSE),"")</f>
        <v/>
      </c>
      <c r="B283" s="17"/>
      <c r="C283" s="59"/>
      <c r="D283" s="36" t="e">
        <f>INDEX(tbl_IngrédientsRef[Unité], MATCH(A283, tbl_IngrédientsRef[Cde_Ingrdt],0))</f>
        <v>#N/A</v>
      </c>
    </row>
    <row r="284" spans="1:4" x14ac:dyDescent="0.25">
      <c r="A284" s="34" t="str">
        <f>IFERROR(VLOOKUP(B284,Référentiels!$M$2:$N$267,2,FALSE),"")</f>
        <v/>
      </c>
      <c r="B284" s="17"/>
      <c r="C284" s="59"/>
      <c r="D284" s="36" t="e">
        <f>INDEX(tbl_IngrédientsRef[Unité], MATCH(A284, tbl_IngrédientsRef[Cde_Ingrdt],0))</f>
        <v>#N/A</v>
      </c>
    </row>
    <row r="285" spans="1:4" x14ac:dyDescent="0.25">
      <c r="A285" s="34" t="str">
        <f>IFERROR(VLOOKUP(B285,Référentiels!$M$2:$N$267,2,FALSE),"")</f>
        <v/>
      </c>
      <c r="B285" s="17"/>
      <c r="C285" s="59"/>
      <c r="D285" s="36" t="e">
        <f>INDEX(tbl_IngrédientsRef[Unité], MATCH(A285, tbl_IngrédientsRef[Cde_Ingrdt],0))</f>
        <v>#N/A</v>
      </c>
    </row>
    <row r="286" spans="1:4" x14ac:dyDescent="0.25">
      <c r="A286" s="34" t="str">
        <f>IFERROR(VLOOKUP(B286,Référentiels!$M$2:$N$267,2,FALSE),"")</f>
        <v/>
      </c>
      <c r="B286" s="17"/>
      <c r="C286" s="59"/>
      <c r="D286" s="36" t="e">
        <f>INDEX(tbl_IngrédientsRef[Unité], MATCH(A286, tbl_IngrédientsRef[Cde_Ingrdt],0))</f>
        <v>#N/A</v>
      </c>
    </row>
    <row r="287" spans="1:4" x14ac:dyDescent="0.25">
      <c r="A287" s="34" t="str">
        <f>IFERROR(VLOOKUP(B287,Référentiels!$M$2:$N$267,2,FALSE),"")</f>
        <v/>
      </c>
      <c r="B287" s="17"/>
      <c r="C287" s="59"/>
      <c r="D287" s="36" t="e">
        <f>INDEX(tbl_IngrédientsRef[Unité], MATCH(A287, tbl_IngrédientsRef[Cde_Ingrdt],0))</f>
        <v>#N/A</v>
      </c>
    </row>
    <row r="288" spans="1:4" x14ac:dyDescent="0.25">
      <c r="A288" s="34" t="str">
        <f>IFERROR(VLOOKUP(B288,Référentiels!$M$2:$N$267,2,FALSE),"")</f>
        <v/>
      </c>
      <c r="B288" s="17"/>
      <c r="C288" s="59"/>
      <c r="D288" s="36" t="e">
        <f>INDEX(tbl_IngrédientsRef[Unité], MATCH(A288, tbl_IngrédientsRef[Cde_Ingrdt],0))</f>
        <v>#N/A</v>
      </c>
    </row>
    <row r="289" spans="1:4" x14ac:dyDescent="0.25">
      <c r="A289" s="34" t="str">
        <f>IFERROR(VLOOKUP(B289,Référentiels!$M$2:$N$267,2,FALSE),"")</f>
        <v/>
      </c>
      <c r="B289" s="17"/>
      <c r="C289" s="59"/>
      <c r="D289" s="36" t="e">
        <f>INDEX(tbl_IngrédientsRef[Unité], MATCH(A289, tbl_IngrédientsRef[Cde_Ingrdt],0))</f>
        <v>#N/A</v>
      </c>
    </row>
    <row r="290" spans="1:4" x14ac:dyDescent="0.25">
      <c r="A290" s="34" t="str">
        <f>IFERROR(VLOOKUP(B290,Référentiels!$M$2:$N$267,2,FALSE),"")</f>
        <v/>
      </c>
      <c r="B290" s="17"/>
      <c r="C290" s="59"/>
      <c r="D290" s="36" t="e">
        <f>INDEX(tbl_IngrédientsRef[Unité], MATCH(A290, tbl_IngrédientsRef[Cde_Ingrdt],0))</f>
        <v>#N/A</v>
      </c>
    </row>
    <row r="291" spans="1:4" x14ac:dyDescent="0.25">
      <c r="A291" s="34" t="str">
        <f>IFERROR(VLOOKUP(B291,Référentiels!$M$2:$N$267,2,FALSE),"")</f>
        <v/>
      </c>
      <c r="B291" s="17"/>
      <c r="C291" s="59"/>
      <c r="D291" s="36" t="e">
        <f>INDEX(tbl_IngrédientsRef[Unité], MATCH(A291, tbl_IngrédientsRef[Cde_Ingrdt],0))</f>
        <v>#N/A</v>
      </c>
    </row>
    <row r="292" spans="1:4" x14ac:dyDescent="0.25">
      <c r="A292" s="34" t="str">
        <f>IFERROR(VLOOKUP(B292,Référentiels!$M$2:$N$267,2,FALSE),"")</f>
        <v/>
      </c>
      <c r="B292" s="17"/>
      <c r="C292" s="59"/>
      <c r="D292" s="36" t="e">
        <f>INDEX(tbl_IngrédientsRef[Unité], MATCH(A292, tbl_IngrédientsRef[Cde_Ingrdt],0))</f>
        <v>#N/A</v>
      </c>
    </row>
    <row r="293" spans="1:4" x14ac:dyDescent="0.25">
      <c r="A293" s="34" t="str">
        <f>IFERROR(VLOOKUP(B293,Référentiels!$M$2:$N$267,2,FALSE),"")</f>
        <v/>
      </c>
      <c r="B293" s="17"/>
      <c r="C293" s="59"/>
      <c r="D293" s="36" t="e">
        <f>INDEX(tbl_IngrédientsRef[Unité], MATCH(A293, tbl_IngrédientsRef[Cde_Ingrdt],0))</f>
        <v>#N/A</v>
      </c>
    </row>
    <row r="294" spans="1:4" x14ac:dyDescent="0.25">
      <c r="A294" s="34" t="str">
        <f>IFERROR(VLOOKUP(B294,Référentiels!$M$2:$N$267,2,FALSE),"")</f>
        <v/>
      </c>
      <c r="B294" s="17"/>
      <c r="C294" s="59"/>
      <c r="D294" s="36" t="e">
        <f>INDEX(tbl_IngrédientsRef[Unité], MATCH(A294, tbl_IngrédientsRef[Cde_Ingrdt],0))</f>
        <v>#N/A</v>
      </c>
    </row>
    <row r="295" spans="1:4" x14ac:dyDescent="0.25">
      <c r="A295" s="34" t="str">
        <f>IFERROR(VLOOKUP(B295,Référentiels!$M$2:$N$267,2,FALSE),"")</f>
        <v/>
      </c>
      <c r="B295" s="17"/>
      <c r="C295" s="59"/>
      <c r="D295" s="36" t="e">
        <f>INDEX(tbl_IngrédientsRef[Unité], MATCH(A295, tbl_IngrédientsRef[Cde_Ingrdt],0))</f>
        <v>#N/A</v>
      </c>
    </row>
    <row r="296" spans="1:4" x14ac:dyDescent="0.25">
      <c r="A296" s="34" t="str">
        <f>IFERROR(VLOOKUP(B296,Référentiels!$M$2:$N$267,2,FALSE),"")</f>
        <v/>
      </c>
      <c r="B296" s="17"/>
      <c r="C296" s="59"/>
      <c r="D296" s="36" t="e">
        <f>INDEX(tbl_IngrédientsRef[Unité], MATCH(A296, tbl_IngrédientsRef[Cde_Ingrdt],0))</f>
        <v>#N/A</v>
      </c>
    </row>
    <row r="297" spans="1:4" x14ac:dyDescent="0.25">
      <c r="A297" s="34" t="str">
        <f>IFERROR(VLOOKUP(B297,Référentiels!$M$2:$N$267,2,FALSE),"")</f>
        <v/>
      </c>
      <c r="B297" s="17"/>
      <c r="C297" s="59"/>
      <c r="D297" s="36" t="e">
        <f>INDEX(tbl_IngrédientsRef[Unité], MATCH(A297, tbl_IngrédientsRef[Cde_Ingrdt],0))</f>
        <v>#N/A</v>
      </c>
    </row>
    <row r="298" spans="1:4" x14ac:dyDescent="0.25">
      <c r="A298" s="34" t="str">
        <f>IFERROR(VLOOKUP(B298,Référentiels!$M$2:$N$267,2,FALSE),"")</f>
        <v/>
      </c>
      <c r="B298" s="17"/>
      <c r="C298" s="59"/>
      <c r="D298" s="36" t="e">
        <f>INDEX(tbl_IngrédientsRef[Unité], MATCH(A298, tbl_IngrédientsRef[Cde_Ingrdt],0))</f>
        <v>#N/A</v>
      </c>
    </row>
    <row r="299" spans="1:4" x14ac:dyDescent="0.25">
      <c r="A299" s="34" t="str">
        <f>IFERROR(VLOOKUP(B299,Référentiels!$M$2:$N$267,2,FALSE),"")</f>
        <v/>
      </c>
      <c r="B299" s="17"/>
      <c r="C299" s="59"/>
      <c r="D299" s="36" t="e">
        <f>INDEX(tbl_IngrédientsRef[Unité], MATCH(A299, tbl_IngrédientsRef[Cde_Ingrdt],0))</f>
        <v>#N/A</v>
      </c>
    </row>
    <row r="300" spans="1:4" x14ac:dyDescent="0.25">
      <c r="A300" s="34" t="str">
        <f>IFERROR(VLOOKUP(B300,Référentiels!$M$2:$N$267,2,FALSE),"")</f>
        <v/>
      </c>
      <c r="B300" s="17"/>
      <c r="C300" s="59"/>
      <c r="D300" s="36" t="e">
        <f>INDEX(tbl_IngrédientsRef[Unité], MATCH(A300, tbl_IngrédientsRef[Cde_Ingrdt],0))</f>
        <v>#N/A</v>
      </c>
    </row>
    <row r="301" spans="1:4" x14ac:dyDescent="0.25">
      <c r="A301" s="34" t="str">
        <f>IFERROR(VLOOKUP(B301,Référentiels!$M$2:$N$267,2,FALSE),"")</f>
        <v/>
      </c>
      <c r="B301" s="17"/>
      <c r="C301" s="59"/>
      <c r="D301" s="36" t="e">
        <f>INDEX(tbl_IngrédientsRef[Unité], MATCH(A301, tbl_IngrédientsRef[Cde_Ingrdt],0))</f>
        <v>#N/A</v>
      </c>
    </row>
    <row r="302" spans="1:4" x14ac:dyDescent="0.25">
      <c r="A302" s="34" t="str">
        <f>IFERROR(VLOOKUP(B302,Référentiels!$M$2:$N$267,2,FALSE),"")</f>
        <v/>
      </c>
      <c r="B302" s="17"/>
      <c r="C302" s="59"/>
      <c r="D302" s="36" t="e">
        <f>INDEX(tbl_IngrédientsRef[Unité], MATCH(A302, tbl_IngrédientsRef[Cde_Ingrdt],0))</f>
        <v>#N/A</v>
      </c>
    </row>
    <row r="303" spans="1:4" x14ac:dyDescent="0.25">
      <c r="A303" s="34" t="str">
        <f>IFERROR(VLOOKUP(B303,Référentiels!$M$2:$N$267,2,FALSE),"")</f>
        <v/>
      </c>
      <c r="B303" s="17"/>
      <c r="C303" s="59"/>
      <c r="D303" s="36" t="e">
        <f>INDEX(tbl_IngrédientsRef[Unité], MATCH(A303, tbl_IngrédientsRef[Cde_Ingrdt],0))</f>
        <v>#N/A</v>
      </c>
    </row>
    <row r="304" spans="1:4" x14ac:dyDescent="0.25">
      <c r="A304" s="34" t="str">
        <f>IFERROR(VLOOKUP(B304,Référentiels!$M$2:$N$267,2,FALSE),"")</f>
        <v/>
      </c>
      <c r="B304" s="17"/>
      <c r="C304" s="59"/>
      <c r="D304" s="36" t="e">
        <f>INDEX(tbl_IngrédientsRef[Unité], MATCH(A304, tbl_IngrédientsRef[Cde_Ingrdt],0))</f>
        <v>#N/A</v>
      </c>
    </row>
    <row r="305" spans="1:4" x14ac:dyDescent="0.25">
      <c r="A305" s="34" t="str">
        <f>IFERROR(VLOOKUP(B305,Référentiels!$M$2:$N$267,2,FALSE),"")</f>
        <v/>
      </c>
      <c r="B305" s="17"/>
      <c r="C305" s="59"/>
      <c r="D305" s="36" t="e">
        <f>INDEX(tbl_IngrédientsRef[Unité], MATCH(A305, tbl_IngrédientsRef[Cde_Ingrdt],0))</f>
        <v>#N/A</v>
      </c>
    </row>
    <row r="306" spans="1:4" x14ac:dyDescent="0.25">
      <c r="A306" s="34" t="str">
        <f>IFERROR(VLOOKUP(B306,Référentiels!$M$2:$N$267,2,FALSE),"")</f>
        <v/>
      </c>
      <c r="B306" s="17"/>
      <c r="C306" s="59"/>
      <c r="D306" s="36" t="e">
        <f>INDEX(tbl_IngrédientsRef[Unité], MATCH(A306, tbl_IngrédientsRef[Cde_Ingrdt],0))</f>
        <v>#N/A</v>
      </c>
    </row>
    <row r="307" spans="1:4" x14ac:dyDescent="0.25">
      <c r="A307" s="34" t="str">
        <f>IFERROR(VLOOKUP(B307,Référentiels!$M$2:$N$267,2,FALSE),"")</f>
        <v/>
      </c>
      <c r="B307" s="17"/>
      <c r="C307" s="59"/>
      <c r="D307" s="36" t="e">
        <f>INDEX(tbl_IngrédientsRef[Unité], MATCH(A307, tbl_IngrédientsRef[Cde_Ingrdt],0))</f>
        <v>#N/A</v>
      </c>
    </row>
    <row r="308" spans="1:4" x14ac:dyDescent="0.25">
      <c r="A308" s="34" t="str">
        <f>IFERROR(VLOOKUP(B308,Référentiels!$M$2:$N$267,2,FALSE),"")</f>
        <v/>
      </c>
      <c r="B308" s="17"/>
      <c r="C308" s="59"/>
      <c r="D308" s="36" t="e">
        <f>INDEX(tbl_IngrédientsRef[Unité], MATCH(A308, tbl_IngrédientsRef[Cde_Ingrdt],0))</f>
        <v>#N/A</v>
      </c>
    </row>
    <row r="309" spans="1:4" x14ac:dyDescent="0.25">
      <c r="A309" s="34" t="str">
        <f>IFERROR(VLOOKUP(B309,Référentiels!$M$2:$N$267,2,FALSE),"")</f>
        <v/>
      </c>
      <c r="B309" s="17"/>
      <c r="C309" s="59"/>
      <c r="D309" s="36" t="e">
        <f>INDEX(tbl_IngrédientsRef[Unité], MATCH(A309, tbl_IngrédientsRef[Cde_Ingrdt],0))</f>
        <v>#N/A</v>
      </c>
    </row>
    <row r="310" spans="1:4" x14ac:dyDescent="0.25">
      <c r="A310" s="34" t="str">
        <f>IFERROR(VLOOKUP(B310,Référentiels!$M$2:$N$267,2,FALSE),"")</f>
        <v/>
      </c>
      <c r="B310" s="17"/>
      <c r="C310" s="59"/>
      <c r="D310" s="36" t="e">
        <f>INDEX(tbl_IngrédientsRef[Unité], MATCH(A310, tbl_IngrédientsRef[Cde_Ingrdt],0))</f>
        <v>#N/A</v>
      </c>
    </row>
    <row r="311" spans="1:4" x14ac:dyDescent="0.25">
      <c r="A311" s="34" t="str">
        <f>IFERROR(VLOOKUP(B311,Référentiels!$M$2:$N$267,2,FALSE),"")</f>
        <v/>
      </c>
      <c r="B311" s="17"/>
      <c r="C311" s="59"/>
      <c r="D311" s="36" t="e">
        <f>INDEX(tbl_IngrédientsRef[Unité], MATCH(A311, tbl_IngrédientsRef[Cde_Ingrdt],0))</f>
        <v>#N/A</v>
      </c>
    </row>
    <row r="312" spans="1:4" x14ac:dyDescent="0.25">
      <c r="A312" s="34" t="str">
        <f>IFERROR(VLOOKUP(B312,Référentiels!$M$2:$N$267,2,FALSE),"")</f>
        <v/>
      </c>
      <c r="B312" s="17"/>
      <c r="C312" s="59"/>
      <c r="D312" s="36" t="e">
        <f>INDEX(tbl_IngrédientsRef[Unité], MATCH(A312, tbl_IngrédientsRef[Cde_Ingrdt],0))</f>
        <v>#N/A</v>
      </c>
    </row>
    <row r="313" spans="1:4" x14ac:dyDescent="0.25">
      <c r="A313" s="34" t="str">
        <f>IFERROR(VLOOKUP(B313,Référentiels!$M$2:$N$267,2,FALSE),"")</f>
        <v/>
      </c>
      <c r="B313" s="17"/>
      <c r="C313" s="59"/>
      <c r="D313" s="36" t="e">
        <f>INDEX(tbl_IngrédientsRef[Unité], MATCH(A313, tbl_IngrédientsRef[Cde_Ingrdt],0))</f>
        <v>#N/A</v>
      </c>
    </row>
    <row r="314" spans="1:4" x14ac:dyDescent="0.25">
      <c r="A314" s="34" t="str">
        <f>IFERROR(VLOOKUP(B314,Référentiels!$M$2:$N$267,2,FALSE),"")</f>
        <v/>
      </c>
      <c r="B314" s="17"/>
      <c r="C314" s="59"/>
      <c r="D314" s="36" t="e">
        <f>INDEX(tbl_IngrédientsRef[Unité], MATCH(A314, tbl_IngrédientsRef[Cde_Ingrdt],0))</f>
        <v>#N/A</v>
      </c>
    </row>
    <row r="315" spans="1:4" x14ac:dyDescent="0.25">
      <c r="A315" s="34" t="str">
        <f>IFERROR(VLOOKUP(B315,Référentiels!$M$2:$N$267,2,FALSE),"")</f>
        <v/>
      </c>
      <c r="B315" s="17"/>
      <c r="C315" s="59"/>
      <c r="D315" s="36" t="e">
        <f>INDEX(tbl_IngrédientsRef[Unité], MATCH(A315, tbl_IngrédientsRef[Cde_Ingrdt],0))</f>
        <v>#N/A</v>
      </c>
    </row>
    <row r="316" spans="1:4" x14ac:dyDescent="0.25">
      <c r="A316" s="34" t="str">
        <f>IFERROR(VLOOKUP(B316,Référentiels!$M$2:$N$267,2,FALSE),"")</f>
        <v/>
      </c>
      <c r="B316" s="17"/>
      <c r="C316" s="59"/>
      <c r="D316" s="36" t="e">
        <f>INDEX(tbl_IngrédientsRef[Unité], MATCH(A316, tbl_IngrédientsRef[Cde_Ingrdt],0))</f>
        <v>#N/A</v>
      </c>
    </row>
    <row r="317" spans="1:4" x14ac:dyDescent="0.25">
      <c r="A317" s="34" t="str">
        <f>IFERROR(VLOOKUP(B317,Référentiels!$M$2:$N$267,2,FALSE),"")</f>
        <v/>
      </c>
      <c r="B317" s="17"/>
      <c r="C317" s="59"/>
      <c r="D317" s="36" t="e">
        <f>INDEX(tbl_IngrédientsRef[Unité], MATCH(A317, tbl_IngrédientsRef[Cde_Ingrdt],0))</f>
        <v>#N/A</v>
      </c>
    </row>
    <row r="318" spans="1:4" x14ac:dyDescent="0.25">
      <c r="A318" s="34" t="str">
        <f>IFERROR(VLOOKUP(B318,Référentiels!$M$2:$N$267,2,FALSE),"")</f>
        <v/>
      </c>
      <c r="B318" s="17"/>
      <c r="C318" s="59"/>
      <c r="D318" s="36" t="e">
        <f>INDEX(tbl_IngrédientsRef[Unité], MATCH(A318, tbl_IngrédientsRef[Cde_Ingrdt],0))</f>
        <v>#N/A</v>
      </c>
    </row>
    <row r="319" spans="1:4" x14ac:dyDescent="0.25">
      <c r="A319" s="34" t="str">
        <f>IFERROR(VLOOKUP(B319,Référentiels!$M$2:$N$267,2,FALSE),"")</f>
        <v/>
      </c>
      <c r="B319" s="17"/>
      <c r="C319" s="59"/>
      <c r="D319" s="36" t="e">
        <f>INDEX(tbl_IngrédientsRef[Unité], MATCH(A319, tbl_IngrédientsRef[Cde_Ingrdt],0))</f>
        <v>#N/A</v>
      </c>
    </row>
    <row r="320" spans="1:4" x14ac:dyDescent="0.25">
      <c r="A320" s="34" t="str">
        <f>IFERROR(VLOOKUP(B320,Référentiels!$M$2:$N$267,2,FALSE),"")</f>
        <v/>
      </c>
      <c r="B320" s="17"/>
      <c r="C320" s="59"/>
      <c r="D320" s="36" t="e">
        <f>INDEX(tbl_IngrédientsRef[Unité], MATCH(A320, tbl_IngrédientsRef[Cde_Ingrdt],0))</f>
        <v>#N/A</v>
      </c>
    </row>
    <row r="321" spans="1:4" x14ac:dyDescent="0.25">
      <c r="A321" s="34" t="str">
        <f>IFERROR(VLOOKUP(B321,Référentiels!$M$2:$N$267,2,FALSE),"")</f>
        <v/>
      </c>
      <c r="B321" s="17"/>
      <c r="C321" s="59"/>
      <c r="D321" s="36" t="e">
        <f>INDEX(tbl_IngrédientsRef[Unité], MATCH(A321, tbl_IngrédientsRef[Cde_Ingrdt],0))</f>
        <v>#N/A</v>
      </c>
    </row>
    <row r="322" spans="1:4" x14ac:dyDescent="0.25">
      <c r="A322" s="34" t="str">
        <f>IFERROR(VLOOKUP(B322,Référentiels!$M$2:$N$267,2,FALSE),"")</f>
        <v/>
      </c>
      <c r="B322" s="17"/>
      <c r="C322" s="59"/>
      <c r="D322" s="36" t="e">
        <f>INDEX(tbl_IngrédientsRef[Unité], MATCH(A322, tbl_IngrédientsRef[Cde_Ingrdt],0))</f>
        <v>#N/A</v>
      </c>
    </row>
    <row r="323" spans="1:4" x14ac:dyDescent="0.25">
      <c r="A323" s="34" t="str">
        <f>IFERROR(VLOOKUP(B323,Référentiels!$M$2:$N$267,2,FALSE),"")</f>
        <v/>
      </c>
      <c r="B323" s="17"/>
      <c r="C323" s="59"/>
      <c r="D323" s="36" t="e">
        <f>INDEX(tbl_IngrédientsRef[Unité], MATCH(A323, tbl_IngrédientsRef[Cde_Ingrdt],0))</f>
        <v>#N/A</v>
      </c>
    </row>
    <row r="324" spans="1:4" x14ac:dyDescent="0.25">
      <c r="A324" s="34" t="str">
        <f>IFERROR(VLOOKUP(B324,Référentiels!$M$2:$N$267,2,FALSE),"")</f>
        <v/>
      </c>
      <c r="B324" s="17"/>
      <c r="C324" s="59"/>
      <c r="D324" s="36" t="e">
        <f>INDEX(tbl_IngrédientsRef[Unité], MATCH(A324, tbl_IngrédientsRef[Cde_Ingrdt],0))</f>
        <v>#N/A</v>
      </c>
    </row>
    <row r="325" spans="1:4" x14ac:dyDescent="0.25">
      <c r="A325" s="34" t="str">
        <f>IFERROR(VLOOKUP(B325,Référentiels!$M$2:$N$267,2,FALSE),"")</f>
        <v/>
      </c>
      <c r="B325" s="17"/>
      <c r="C325" s="59"/>
      <c r="D325" s="36" t="e">
        <f>INDEX(tbl_IngrédientsRef[Unité], MATCH(A325, tbl_IngrédientsRef[Cde_Ingrdt],0))</f>
        <v>#N/A</v>
      </c>
    </row>
    <row r="326" spans="1:4" x14ac:dyDescent="0.25">
      <c r="A326" s="34" t="str">
        <f>IFERROR(VLOOKUP(B326,Référentiels!$M$2:$N$267,2,FALSE),"")</f>
        <v/>
      </c>
      <c r="B326" s="17"/>
      <c r="C326" s="59"/>
      <c r="D326" s="36" t="e">
        <f>INDEX(tbl_IngrédientsRef[Unité], MATCH(A326, tbl_IngrédientsRef[Cde_Ingrdt],0))</f>
        <v>#N/A</v>
      </c>
    </row>
    <row r="327" spans="1:4" x14ac:dyDescent="0.25">
      <c r="A327" s="34" t="str">
        <f>IFERROR(VLOOKUP(B327,Référentiels!$M$2:$N$267,2,FALSE),"")</f>
        <v/>
      </c>
      <c r="B327" s="17"/>
      <c r="C327" s="59"/>
      <c r="D327" s="36" t="e">
        <f>INDEX(tbl_IngrédientsRef[Unité], MATCH(A327, tbl_IngrédientsRef[Cde_Ingrdt],0))</f>
        <v>#N/A</v>
      </c>
    </row>
    <row r="328" spans="1:4" x14ac:dyDescent="0.25">
      <c r="A328" s="34" t="str">
        <f>IFERROR(VLOOKUP(B328,Référentiels!$M$2:$N$267,2,FALSE),"")</f>
        <v/>
      </c>
      <c r="B328" s="17"/>
      <c r="C328" s="59"/>
      <c r="D328" s="36" t="e">
        <f>INDEX(tbl_IngrédientsRef[Unité], MATCH(A328, tbl_IngrédientsRef[Cde_Ingrdt],0))</f>
        <v>#N/A</v>
      </c>
    </row>
    <row r="329" spans="1:4" x14ac:dyDescent="0.25">
      <c r="A329" s="34" t="str">
        <f>IFERROR(VLOOKUP(B329,Référentiels!$M$2:$N$267,2,FALSE),"")</f>
        <v/>
      </c>
      <c r="B329" s="17"/>
      <c r="C329" s="59"/>
      <c r="D329" s="36" t="e">
        <f>INDEX(tbl_IngrédientsRef[Unité], MATCH(A329, tbl_IngrédientsRef[Cde_Ingrdt],0))</f>
        <v>#N/A</v>
      </c>
    </row>
    <row r="330" spans="1:4" x14ac:dyDescent="0.25">
      <c r="A330" s="34" t="str">
        <f>IFERROR(VLOOKUP(B330,Référentiels!$M$2:$N$267,2,FALSE),"")</f>
        <v/>
      </c>
      <c r="B330" s="17"/>
      <c r="C330" s="59"/>
      <c r="D330" s="36" t="e">
        <f>INDEX(tbl_IngrédientsRef[Unité], MATCH(A330, tbl_IngrédientsRef[Cde_Ingrdt],0))</f>
        <v>#N/A</v>
      </c>
    </row>
    <row r="331" spans="1:4" x14ac:dyDescent="0.25">
      <c r="A331" s="34" t="str">
        <f>IFERROR(VLOOKUP(B331,Référentiels!$M$2:$N$267,2,FALSE),"")</f>
        <v/>
      </c>
      <c r="B331" s="17"/>
      <c r="C331" s="59"/>
      <c r="D331" s="36" t="e">
        <f>INDEX(tbl_IngrédientsRef[Unité], MATCH(A331, tbl_IngrédientsRef[Cde_Ingrdt],0))</f>
        <v>#N/A</v>
      </c>
    </row>
    <row r="332" spans="1:4" x14ac:dyDescent="0.25">
      <c r="A332" s="34" t="str">
        <f>IFERROR(VLOOKUP(B332,Référentiels!$M$2:$N$267,2,FALSE),"")</f>
        <v/>
      </c>
      <c r="B332" s="17"/>
      <c r="C332" s="59"/>
      <c r="D332" s="36" t="e">
        <f>INDEX(tbl_IngrédientsRef[Unité], MATCH(A332, tbl_IngrédientsRef[Cde_Ingrdt],0))</f>
        <v>#N/A</v>
      </c>
    </row>
    <row r="333" spans="1:4" x14ac:dyDescent="0.25">
      <c r="A333" s="34" t="str">
        <f>IFERROR(VLOOKUP(B333,Référentiels!$M$2:$N$267,2,FALSE),"")</f>
        <v/>
      </c>
      <c r="B333" s="17"/>
      <c r="C333" s="59"/>
      <c r="D333" s="36" t="e">
        <f>INDEX(tbl_IngrédientsRef[Unité], MATCH(A333, tbl_IngrédientsRef[Cde_Ingrdt],0))</f>
        <v>#N/A</v>
      </c>
    </row>
    <row r="334" spans="1:4" x14ac:dyDescent="0.25">
      <c r="A334" s="34" t="str">
        <f>IFERROR(VLOOKUP(B334,Référentiels!$M$2:$N$267,2,FALSE),"")</f>
        <v/>
      </c>
      <c r="B334" s="17"/>
      <c r="C334" s="59"/>
      <c r="D334" s="36" t="e">
        <f>INDEX(tbl_IngrédientsRef[Unité], MATCH(A334, tbl_IngrédientsRef[Cde_Ingrdt],0))</f>
        <v>#N/A</v>
      </c>
    </row>
    <row r="335" spans="1:4" x14ac:dyDescent="0.25">
      <c r="A335" s="34" t="str">
        <f>IFERROR(VLOOKUP(B335,Référentiels!$M$2:$N$267,2,FALSE),"")</f>
        <v/>
      </c>
      <c r="B335" s="17"/>
      <c r="C335" s="59"/>
      <c r="D335" s="36" t="e">
        <f>INDEX(tbl_IngrédientsRef[Unité], MATCH(A335, tbl_IngrédientsRef[Cde_Ingrdt],0))</f>
        <v>#N/A</v>
      </c>
    </row>
    <row r="336" spans="1:4" x14ac:dyDescent="0.25">
      <c r="A336" s="34" t="str">
        <f>IFERROR(VLOOKUP(B336,Référentiels!$M$2:$N$267,2,FALSE),"")</f>
        <v/>
      </c>
      <c r="B336" s="17"/>
      <c r="C336" s="59"/>
      <c r="D336" s="36" t="e">
        <f>INDEX(tbl_IngrédientsRef[Unité], MATCH(A336, tbl_IngrédientsRef[Cde_Ingrdt],0))</f>
        <v>#N/A</v>
      </c>
    </row>
    <row r="337" spans="1:4" x14ac:dyDescent="0.25">
      <c r="A337" s="34" t="str">
        <f>IFERROR(VLOOKUP(B337,Référentiels!$M$2:$N$267,2,FALSE),"")</f>
        <v/>
      </c>
      <c r="B337" s="17"/>
      <c r="C337" s="59"/>
      <c r="D337" s="36" t="e">
        <f>INDEX(tbl_IngrédientsRef[Unité], MATCH(A337, tbl_IngrédientsRef[Cde_Ingrdt],0))</f>
        <v>#N/A</v>
      </c>
    </row>
    <row r="338" spans="1:4" x14ac:dyDescent="0.25">
      <c r="A338" s="34" t="str">
        <f>IFERROR(VLOOKUP(B338,Référentiels!$M$2:$N$267,2,FALSE),"")</f>
        <v/>
      </c>
      <c r="B338" s="17"/>
      <c r="C338" s="59"/>
      <c r="D338" s="36" t="e">
        <f>INDEX(tbl_IngrédientsRef[Unité], MATCH(A338, tbl_IngrédientsRef[Cde_Ingrdt],0))</f>
        <v>#N/A</v>
      </c>
    </row>
    <row r="339" spans="1:4" x14ac:dyDescent="0.25">
      <c r="A339" s="34" t="str">
        <f>IFERROR(VLOOKUP(B339,Référentiels!$M$2:$N$267,2,FALSE),"")</f>
        <v/>
      </c>
      <c r="B339" s="17"/>
      <c r="C339" s="59"/>
      <c r="D339" s="36" t="e">
        <f>INDEX(tbl_IngrédientsRef[Unité], MATCH(A339, tbl_IngrédientsRef[Cde_Ingrdt],0))</f>
        <v>#N/A</v>
      </c>
    </row>
    <row r="340" spans="1:4" x14ac:dyDescent="0.25">
      <c r="A340" s="34" t="str">
        <f>IFERROR(VLOOKUP(B340,Référentiels!$M$2:$N$267,2,FALSE),"")</f>
        <v/>
      </c>
      <c r="B340" s="17"/>
      <c r="C340" s="59"/>
      <c r="D340" s="36" t="e">
        <f>INDEX(tbl_IngrédientsRef[Unité], MATCH(A340, tbl_IngrédientsRef[Cde_Ingrdt],0))</f>
        <v>#N/A</v>
      </c>
    </row>
    <row r="341" spans="1:4" x14ac:dyDescent="0.25">
      <c r="A341" s="34" t="str">
        <f>IFERROR(VLOOKUP(B341,Référentiels!$M$2:$N$267,2,FALSE),"")</f>
        <v/>
      </c>
      <c r="B341" s="17"/>
      <c r="C341" s="59"/>
      <c r="D341" s="36" t="e">
        <f>INDEX(tbl_IngrédientsRef[Unité], MATCH(A341, tbl_IngrédientsRef[Cde_Ingrdt],0))</f>
        <v>#N/A</v>
      </c>
    </row>
    <row r="342" spans="1:4" x14ac:dyDescent="0.25">
      <c r="A342" s="34" t="str">
        <f>IFERROR(VLOOKUP(B342,Référentiels!$M$2:$N$267,2,FALSE),"")</f>
        <v/>
      </c>
      <c r="B342" s="17"/>
      <c r="C342" s="59"/>
      <c r="D342" s="36" t="e">
        <f>INDEX(tbl_IngrédientsRef[Unité], MATCH(A342, tbl_IngrédientsRef[Cde_Ingrdt],0))</f>
        <v>#N/A</v>
      </c>
    </row>
    <row r="343" spans="1:4" x14ac:dyDescent="0.25">
      <c r="A343" s="34" t="str">
        <f>IFERROR(VLOOKUP(B343,Référentiels!$M$2:$N$267,2,FALSE),"")</f>
        <v/>
      </c>
      <c r="B343" s="17"/>
      <c r="C343" s="59"/>
      <c r="D343" s="36" t="e">
        <f>INDEX(tbl_IngrédientsRef[Unité], MATCH(A343, tbl_IngrédientsRef[Cde_Ingrdt],0))</f>
        <v>#N/A</v>
      </c>
    </row>
    <row r="344" spans="1:4" x14ac:dyDescent="0.25">
      <c r="A344" s="34" t="str">
        <f>IFERROR(VLOOKUP(B344,Référentiels!$M$2:$N$267,2,FALSE),"")</f>
        <v/>
      </c>
      <c r="B344" s="17"/>
      <c r="C344" s="59"/>
      <c r="D344" s="36" t="e">
        <f>INDEX(tbl_IngrédientsRef[Unité], MATCH(A344, tbl_IngrédientsRef[Cde_Ingrdt],0))</f>
        <v>#N/A</v>
      </c>
    </row>
    <row r="345" spans="1:4" x14ac:dyDescent="0.25">
      <c r="A345" s="34" t="str">
        <f>IFERROR(VLOOKUP(B345,Référentiels!$M$2:$N$267,2,FALSE),"")</f>
        <v/>
      </c>
      <c r="B345" s="17"/>
      <c r="C345" s="59"/>
      <c r="D345" s="36" t="e">
        <f>INDEX(tbl_IngrédientsRef[Unité], MATCH(A345, tbl_IngrédientsRef[Cde_Ingrdt],0))</f>
        <v>#N/A</v>
      </c>
    </row>
    <row r="346" spans="1:4" x14ac:dyDescent="0.25">
      <c r="A346" s="34" t="str">
        <f>IFERROR(VLOOKUP(B346,Référentiels!$M$2:$N$267,2,FALSE),"")</f>
        <v/>
      </c>
      <c r="B346" s="17"/>
      <c r="C346" s="59"/>
      <c r="D346" s="36" t="e">
        <f>INDEX(tbl_IngrédientsRef[Unité], MATCH(A346, tbl_IngrédientsRef[Cde_Ingrdt],0))</f>
        <v>#N/A</v>
      </c>
    </row>
    <row r="347" spans="1:4" x14ac:dyDescent="0.25">
      <c r="A347" s="34" t="str">
        <f>IFERROR(VLOOKUP(B347,Référentiels!$M$2:$N$267,2,FALSE),"")</f>
        <v/>
      </c>
      <c r="B347" s="17"/>
      <c r="C347" s="59"/>
      <c r="D347" s="36" t="e">
        <f>INDEX(tbl_IngrédientsRef[Unité], MATCH(A347, tbl_IngrédientsRef[Cde_Ingrdt],0))</f>
        <v>#N/A</v>
      </c>
    </row>
    <row r="348" spans="1:4" x14ac:dyDescent="0.25">
      <c r="A348" s="34" t="str">
        <f>IFERROR(VLOOKUP(B348,Référentiels!$M$2:$N$267,2,FALSE),"")</f>
        <v/>
      </c>
      <c r="B348" s="17"/>
      <c r="C348" s="59"/>
      <c r="D348" s="36" t="e">
        <f>INDEX(tbl_IngrédientsRef[Unité], MATCH(A348, tbl_IngrédientsRef[Cde_Ingrdt],0))</f>
        <v>#N/A</v>
      </c>
    </row>
    <row r="349" spans="1:4" x14ac:dyDescent="0.25">
      <c r="A349" s="34" t="str">
        <f>IFERROR(VLOOKUP(B349,Référentiels!$M$2:$N$267,2,FALSE),"")</f>
        <v/>
      </c>
      <c r="B349" s="17"/>
      <c r="C349" s="59"/>
      <c r="D349" s="36" t="e">
        <f>INDEX(tbl_IngrédientsRef[Unité], MATCH(A349, tbl_IngrédientsRef[Cde_Ingrdt],0))</f>
        <v>#N/A</v>
      </c>
    </row>
    <row r="350" spans="1:4" x14ac:dyDescent="0.25">
      <c r="A350" s="34" t="str">
        <f>IFERROR(VLOOKUP(B350,Référentiels!$M$2:$N$267,2,FALSE),"")</f>
        <v/>
      </c>
      <c r="B350" s="17"/>
      <c r="C350" s="59"/>
      <c r="D350" s="36" t="e">
        <f>INDEX(tbl_IngrédientsRef[Unité], MATCH(A350, tbl_IngrédientsRef[Cde_Ingrdt],0))</f>
        <v>#N/A</v>
      </c>
    </row>
    <row r="351" spans="1:4" x14ac:dyDescent="0.25">
      <c r="A351" s="34" t="str">
        <f>IFERROR(VLOOKUP(B351,Référentiels!$M$2:$N$267,2,FALSE),"")</f>
        <v/>
      </c>
      <c r="B351" s="17"/>
      <c r="C351" s="59"/>
      <c r="D351" s="36" t="e">
        <f>INDEX(tbl_IngrédientsRef[Unité], MATCH(A351, tbl_IngrédientsRef[Cde_Ingrdt],0))</f>
        <v>#N/A</v>
      </c>
    </row>
    <row r="352" spans="1:4" x14ac:dyDescent="0.25">
      <c r="A352" s="34" t="str">
        <f>IFERROR(VLOOKUP(B352,Référentiels!$M$2:$N$267,2,FALSE),"")</f>
        <v/>
      </c>
      <c r="B352" s="17"/>
      <c r="C352" s="59"/>
      <c r="D352" s="36" t="e">
        <f>INDEX(tbl_IngrédientsRef[Unité], MATCH(A352, tbl_IngrédientsRef[Cde_Ingrdt],0))</f>
        <v>#N/A</v>
      </c>
    </row>
    <row r="353" spans="1:4" x14ac:dyDescent="0.25">
      <c r="A353" s="34" t="str">
        <f>IFERROR(VLOOKUP(B353,Référentiels!$M$2:$N$267,2,FALSE),"")</f>
        <v/>
      </c>
      <c r="B353" s="17"/>
      <c r="C353" s="59"/>
      <c r="D353" s="36" t="e">
        <f>INDEX(tbl_IngrédientsRef[Unité], MATCH(A353, tbl_IngrédientsRef[Cde_Ingrdt],0))</f>
        <v>#N/A</v>
      </c>
    </row>
    <row r="354" spans="1:4" x14ac:dyDescent="0.25">
      <c r="A354" s="34" t="str">
        <f>IFERROR(VLOOKUP(B354,Référentiels!$M$2:$N$267,2,FALSE),"")</f>
        <v/>
      </c>
      <c r="B354" s="17"/>
      <c r="C354" s="59"/>
      <c r="D354" s="36" t="e">
        <f>INDEX(tbl_IngrédientsRef[Unité], MATCH(A354, tbl_IngrédientsRef[Cde_Ingrdt],0))</f>
        <v>#N/A</v>
      </c>
    </row>
    <row r="355" spans="1:4" x14ac:dyDescent="0.25">
      <c r="A355" s="34" t="str">
        <f>IFERROR(VLOOKUP(B355,Référentiels!$M$2:$N$267,2,FALSE),"")</f>
        <v/>
      </c>
      <c r="B355" s="17"/>
      <c r="C355" s="59"/>
      <c r="D355" s="36" t="e">
        <f>INDEX(tbl_IngrédientsRef[Unité], MATCH(A355, tbl_IngrédientsRef[Cde_Ingrdt],0))</f>
        <v>#N/A</v>
      </c>
    </row>
    <row r="356" spans="1:4" x14ac:dyDescent="0.25">
      <c r="A356" s="34" t="str">
        <f>IFERROR(VLOOKUP(B356,Référentiels!$M$2:$N$267,2,FALSE),"")</f>
        <v/>
      </c>
      <c r="B356" s="17"/>
      <c r="C356" s="59"/>
      <c r="D356" s="36" t="e">
        <f>INDEX(tbl_IngrédientsRef[Unité], MATCH(A356, tbl_IngrédientsRef[Cde_Ingrdt],0))</f>
        <v>#N/A</v>
      </c>
    </row>
    <row r="357" spans="1:4" x14ac:dyDescent="0.25">
      <c r="A357" s="34" t="str">
        <f>IFERROR(VLOOKUP(B357,Référentiels!$M$2:$N$267,2,FALSE),"")</f>
        <v/>
      </c>
      <c r="B357" s="17"/>
      <c r="C357" s="59"/>
      <c r="D357" s="36" t="e">
        <f>INDEX(tbl_IngrédientsRef[Unité], MATCH(A357, tbl_IngrédientsRef[Cde_Ingrdt],0))</f>
        <v>#N/A</v>
      </c>
    </row>
    <row r="358" spans="1:4" x14ac:dyDescent="0.25">
      <c r="A358" s="34" t="str">
        <f>IFERROR(VLOOKUP(B358,Référentiels!$M$2:$N$267,2,FALSE),"")</f>
        <v/>
      </c>
      <c r="B358" s="17"/>
      <c r="C358" s="59"/>
      <c r="D358" s="36" t="e">
        <f>INDEX(tbl_IngrédientsRef[Unité], MATCH(A358, tbl_IngrédientsRef[Cde_Ingrdt],0))</f>
        <v>#N/A</v>
      </c>
    </row>
    <row r="359" spans="1:4" x14ac:dyDescent="0.25">
      <c r="A359" s="34" t="str">
        <f>IFERROR(VLOOKUP(B359,Référentiels!$M$2:$N$267,2,FALSE),"")</f>
        <v/>
      </c>
      <c r="B359" s="17"/>
      <c r="C359" s="59"/>
      <c r="D359" s="36" t="e">
        <f>INDEX(tbl_IngrédientsRef[Unité], MATCH(A359, tbl_IngrédientsRef[Cde_Ingrdt],0))</f>
        <v>#N/A</v>
      </c>
    </row>
    <row r="360" spans="1:4" x14ac:dyDescent="0.25">
      <c r="A360" s="34" t="str">
        <f>IFERROR(VLOOKUP(B360,Référentiels!$M$2:$N$267,2,FALSE),"")</f>
        <v/>
      </c>
      <c r="B360" s="17"/>
      <c r="C360" s="59"/>
      <c r="D360" s="36" t="e">
        <f>INDEX(tbl_IngrédientsRef[Unité], MATCH(A360, tbl_IngrédientsRef[Cde_Ingrdt],0))</f>
        <v>#N/A</v>
      </c>
    </row>
    <row r="361" spans="1:4" x14ac:dyDescent="0.25">
      <c r="A361" s="34" t="str">
        <f>IFERROR(VLOOKUP(B361,Référentiels!$M$2:$N$267,2,FALSE),"")</f>
        <v/>
      </c>
      <c r="B361" s="17"/>
      <c r="C361" s="59"/>
      <c r="D361" s="36" t="e">
        <f>INDEX(tbl_IngrédientsRef[Unité], MATCH(A361, tbl_IngrédientsRef[Cde_Ingrdt],0))</f>
        <v>#N/A</v>
      </c>
    </row>
    <row r="362" spans="1:4" x14ac:dyDescent="0.25">
      <c r="A362" s="34" t="str">
        <f>IFERROR(VLOOKUP(B362,Référentiels!$M$2:$N$267,2,FALSE),"")</f>
        <v/>
      </c>
      <c r="B362" s="17"/>
      <c r="C362" s="59"/>
      <c r="D362" s="36" t="e">
        <f>INDEX(tbl_IngrédientsRef[Unité], MATCH(A362, tbl_IngrédientsRef[Cde_Ingrdt],0))</f>
        <v>#N/A</v>
      </c>
    </row>
    <row r="363" spans="1:4" x14ac:dyDescent="0.25">
      <c r="A363" s="34" t="str">
        <f>IFERROR(VLOOKUP(B363,Référentiels!$M$2:$N$267,2,FALSE),"")</f>
        <v/>
      </c>
      <c r="B363" s="17"/>
      <c r="C363" s="59"/>
      <c r="D363" s="36" t="e">
        <f>INDEX(tbl_IngrédientsRef[Unité], MATCH(A363, tbl_IngrédientsRef[Cde_Ingrdt],0))</f>
        <v>#N/A</v>
      </c>
    </row>
    <row r="364" spans="1:4" x14ac:dyDescent="0.25">
      <c r="A364" s="34" t="str">
        <f>IFERROR(VLOOKUP(B364,Référentiels!$M$2:$N$267,2,FALSE),"")</f>
        <v/>
      </c>
      <c r="B364" s="17"/>
      <c r="C364" s="59"/>
      <c r="D364" s="36" t="e">
        <f>INDEX(tbl_IngrédientsRef[Unité], MATCH(A364, tbl_IngrédientsRef[Cde_Ingrdt],0))</f>
        <v>#N/A</v>
      </c>
    </row>
    <row r="365" spans="1:4" x14ac:dyDescent="0.25">
      <c r="A365" s="34" t="str">
        <f>IFERROR(VLOOKUP(B365,Référentiels!$M$2:$N$267,2,FALSE),"")</f>
        <v/>
      </c>
      <c r="B365" s="17"/>
      <c r="C365" s="59"/>
      <c r="D365" s="36" t="e">
        <f>INDEX(tbl_IngrédientsRef[Unité], MATCH(A365, tbl_IngrédientsRef[Cde_Ingrdt],0))</f>
        <v>#N/A</v>
      </c>
    </row>
    <row r="366" spans="1:4" x14ac:dyDescent="0.25">
      <c r="A366" s="34" t="str">
        <f>IFERROR(VLOOKUP(B366,Référentiels!$M$2:$N$267,2,FALSE),"")</f>
        <v/>
      </c>
      <c r="B366" s="17"/>
      <c r="C366" s="59"/>
      <c r="D366" s="36" t="e">
        <f>INDEX(tbl_IngrédientsRef[Unité], MATCH(A366, tbl_IngrédientsRef[Cde_Ingrdt],0))</f>
        <v>#N/A</v>
      </c>
    </row>
    <row r="367" spans="1:4" x14ac:dyDescent="0.25">
      <c r="A367" s="34" t="str">
        <f>IFERROR(VLOOKUP(B367,Référentiels!$M$2:$N$267,2,FALSE),"")</f>
        <v/>
      </c>
      <c r="B367" s="17"/>
      <c r="C367" s="59"/>
      <c r="D367" s="36" t="e">
        <f>INDEX(tbl_IngrédientsRef[Unité], MATCH(A367, tbl_IngrédientsRef[Cde_Ingrdt],0))</f>
        <v>#N/A</v>
      </c>
    </row>
    <row r="368" spans="1:4" x14ac:dyDescent="0.25">
      <c r="A368" s="34" t="str">
        <f>IFERROR(VLOOKUP(B368,Référentiels!$M$2:$N$267,2,FALSE),"")</f>
        <v/>
      </c>
      <c r="B368" s="17"/>
      <c r="C368" s="59"/>
      <c r="D368" s="36" t="e">
        <f>INDEX(tbl_IngrédientsRef[Unité], MATCH(A368, tbl_IngrédientsRef[Cde_Ingrdt],0))</f>
        <v>#N/A</v>
      </c>
    </row>
    <row r="369" spans="1:4" x14ac:dyDescent="0.25">
      <c r="A369" s="34" t="str">
        <f>IFERROR(VLOOKUP(B369,Référentiels!$M$2:$N$267,2,FALSE),"")</f>
        <v/>
      </c>
      <c r="B369" s="17"/>
      <c r="C369" s="59"/>
      <c r="D369" s="36" t="e">
        <f>INDEX(tbl_IngrédientsRef[Unité], MATCH(A369, tbl_IngrédientsRef[Cde_Ingrdt],0))</f>
        <v>#N/A</v>
      </c>
    </row>
    <row r="370" spans="1:4" x14ac:dyDescent="0.25">
      <c r="A370" s="34" t="str">
        <f>IFERROR(VLOOKUP(B370,Référentiels!$M$2:$N$267,2,FALSE),"")</f>
        <v/>
      </c>
      <c r="B370" s="17"/>
      <c r="C370" s="59"/>
      <c r="D370" s="36" t="e">
        <f>INDEX(tbl_IngrédientsRef[Unité], MATCH(A370, tbl_IngrédientsRef[Cde_Ingrdt],0))</f>
        <v>#N/A</v>
      </c>
    </row>
    <row r="371" spans="1:4" x14ac:dyDescent="0.25">
      <c r="A371" s="34" t="str">
        <f>IFERROR(VLOOKUP(B371,Référentiels!$M$2:$N$267,2,FALSE),"")</f>
        <v/>
      </c>
      <c r="B371" s="17"/>
      <c r="C371" s="59"/>
      <c r="D371" s="36" t="e">
        <f>INDEX(tbl_IngrédientsRef[Unité], MATCH(A371, tbl_IngrédientsRef[Cde_Ingrdt],0))</f>
        <v>#N/A</v>
      </c>
    </row>
    <row r="372" spans="1:4" x14ac:dyDescent="0.25">
      <c r="A372" s="34" t="str">
        <f>IFERROR(VLOOKUP(B372,Référentiels!$M$2:$N$267,2,FALSE),"")</f>
        <v/>
      </c>
      <c r="B372" s="17"/>
      <c r="C372" s="59"/>
      <c r="D372" s="36" t="e">
        <f>INDEX(tbl_IngrédientsRef[Unité], MATCH(A372, tbl_IngrédientsRef[Cde_Ingrdt],0))</f>
        <v>#N/A</v>
      </c>
    </row>
    <row r="373" spans="1:4" x14ac:dyDescent="0.25">
      <c r="A373" s="34" t="str">
        <f>IFERROR(VLOOKUP(B373,Référentiels!$M$2:$N$267,2,FALSE),"")</f>
        <v/>
      </c>
      <c r="B373" s="17"/>
      <c r="C373" s="59"/>
      <c r="D373" s="36" t="e">
        <f>INDEX(tbl_IngrédientsRef[Unité], MATCH(A373, tbl_IngrédientsRef[Cde_Ingrdt],0))</f>
        <v>#N/A</v>
      </c>
    </row>
    <row r="374" spans="1:4" x14ac:dyDescent="0.25">
      <c r="A374" s="34" t="str">
        <f>IFERROR(VLOOKUP(B374,Référentiels!$M$2:$N$267,2,FALSE),"")</f>
        <v/>
      </c>
      <c r="B374" s="17"/>
      <c r="C374" s="59"/>
      <c r="D374" s="36" t="e">
        <f>INDEX(tbl_IngrédientsRef[Unité], MATCH(A374, tbl_IngrédientsRef[Cde_Ingrdt],0))</f>
        <v>#N/A</v>
      </c>
    </row>
    <row r="375" spans="1:4" x14ac:dyDescent="0.25">
      <c r="A375" s="34" t="str">
        <f>IFERROR(VLOOKUP(B375,Référentiels!$M$2:$N$267,2,FALSE),"")</f>
        <v/>
      </c>
      <c r="B375" s="17"/>
      <c r="C375" s="59"/>
      <c r="D375" s="36" t="e">
        <f>INDEX(tbl_IngrédientsRef[Unité], MATCH(A375, tbl_IngrédientsRef[Cde_Ingrdt],0))</f>
        <v>#N/A</v>
      </c>
    </row>
    <row r="376" spans="1:4" x14ac:dyDescent="0.25">
      <c r="A376" s="34" t="str">
        <f>IFERROR(VLOOKUP(B376,Référentiels!$M$2:$N$267,2,FALSE),"")</f>
        <v/>
      </c>
      <c r="B376" s="17"/>
      <c r="C376" s="59"/>
      <c r="D376" s="36" t="e">
        <f>INDEX(tbl_IngrédientsRef[Unité], MATCH(A376, tbl_IngrédientsRef[Cde_Ingrdt],0))</f>
        <v>#N/A</v>
      </c>
    </row>
    <row r="377" spans="1:4" x14ac:dyDescent="0.25">
      <c r="A377" s="34" t="str">
        <f>IFERROR(VLOOKUP(B377,Référentiels!$M$2:$N$267,2,FALSE),"")</f>
        <v/>
      </c>
      <c r="B377" s="17"/>
      <c r="C377" s="59"/>
      <c r="D377" s="36" t="e">
        <f>INDEX(tbl_IngrédientsRef[Unité], MATCH(A377, tbl_IngrédientsRef[Cde_Ingrdt],0))</f>
        <v>#N/A</v>
      </c>
    </row>
    <row r="378" spans="1:4" x14ac:dyDescent="0.25">
      <c r="A378" s="34" t="str">
        <f>IFERROR(VLOOKUP(B378,Référentiels!$M$2:$N$267,2,FALSE),"")</f>
        <v/>
      </c>
      <c r="B378" s="17"/>
      <c r="C378" s="59"/>
      <c r="D378" s="36" t="e">
        <f>INDEX(tbl_IngrédientsRef[Unité], MATCH(A378, tbl_IngrédientsRef[Cde_Ingrdt],0))</f>
        <v>#N/A</v>
      </c>
    </row>
    <row r="379" spans="1:4" x14ac:dyDescent="0.25">
      <c r="A379" s="34" t="str">
        <f>IFERROR(VLOOKUP(B379,Référentiels!$M$2:$N$267,2,FALSE),"")</f>
        <v/>
      </c>
      <c r="B379" s="17"/>
      <c r="C379" s="59"/>
      <c r="D379" s="36" t="e">
        <f>INDEX(tbl_IngrédientsRef[Unité], MATCH(A379, tbl_IngrédientsRef[Cde_Ingrdt],0))</f>
        <v>#N/A</v>
      </c>
    </row>
    <row r="380" spans="1:4" x14ac:dyDescent="0.25">
      <c r="A380" s="34" t="str">
        <f>IFERROR(VLOOKUP(B380,Référentiels!$M$2:$N$267,2,FALSE),"")</f>
        <v/>
      </c>
      <c r="B380" s="17"/>
      <c r="C380" s="59"/>
      <c r="D380" s="36" t="e">
        <f>INDEX(tbl_IngrédientsRef[Unité], MATCH(A380, tbl_IngrédientsRef[Cde_Ingrdt],0))</f>
        <v>#N/A</v>
      </c>
    </row>
    <row r="381" spans="1:4" x14ac:dyDescent="0.25">
      <c r="A381" s="34" t="str">
        <f>IFERROR(VLOOKUP(B381,Référentiels!$M$2:$N$267,2,FALSE),"")</f>
        <v/>
      </c>
      <c r="B381" s="17"/>
      <c r="C381" s="59"/>
      <c r="D381" s="36" t="e">
        <f>INDEX(tbl_IngrédientsRef[Unité], MATCH(A381, tbl_IngrédientsRef[Cde_Ingrdt],0))</f>
        <v>#N/A</v>
      </c>
    </row>
    <row r="382" spans="1:4" x14ac:dyDescent="0.25">
      <c r="A382" s="34" t="str">
        <f>IFERROR(VLOOKUP(B382,Référentiels!$M$2:$N$267,2,FALSE),"")</f>
        <v/>
      </c>
      <c r="B382" s="17"/>
      <c r="C382" s="59"/>
      <c r="D382" s="36" t="e">
        <f>INDEX(tbl_IngrédientsRef[Unité], MATCH(A382, tbl_IngrédientsRef[Cde_Ingrdt],0))</f>
        <v>#N/A</v>
      </c>
    </row>
    <row r="383" spans="1:4" x14ac:dyDescent="0.25">
      <c r="A383" s="34" t="str">
        <f>IFERROR(VLOOKUP(B383,Référentiels!$M$2:$N$267,2,FALSE),"")</f>
        <v/>
      </c>
      <c r="B383" s="17"/>
      <c r="C383" s="59"/>
      <c r="D383" s="36" t="e">
        <f>INDEX(tbl_IngrédientsRef[Unité], MATCH(A383, tbl_IngrédientsRef[Cde_Ingrdt],0))</f>
        <v>#N/A</v>
      </c>
    </row>
    <row r="384" spans="1:4" x14ac:dyDescent="0.25">
      <c r="A384" s="34" t="str">
        <f>IFERROR(VLOOKUP(B384,Référentiels!$M$2:$N$267,2,FALSE),"")</f>
        <v/>
      </c>
      <c r="B384" s="17"/>
      <c r="C384" s="59"/>
      <c r="D384" s="36" t="e">
        <f>INDEX(tbl_IngrédientsRef[Unité], MATCH(A384, tbl_IngrédientsRef[Cde_Ingrdt],0))</f>
        <v>#N/A</v>
      </c>
    </row>
    <row r="385" spans="1:4" x14ac:dyDescent="0.25">
      <c r="A385" s="34" t="str">
        <f>IFERROR(VLOOKUP(B385,Référentiels!$M$2:$N$267,2,FALSE),"")</f>
        <v/>
      </c>
      <c r="B385" s="17"/>
      <c r="C385" s="59"/>
      <c r="D385" s="36" t="e">
        <f>INDEX(tbl_IngrédientsRef[Unité], MATCH(A385, tbl_IngrédientsRef[Cde_Ingrdt],0))</f>
        <v>#N/A</v>
      </c>
    </row>
    <row r="386" spans="1:4" x14ac:dyDescent="0.25">
      <c r="A386" s="34" t="str">
        <f>IFERROR(VLOOKUP(B386,Référentiels!$M$2:$N$267,2,FALSE),"")</f>
        <v/>
      </c>
      <c r="B386" s="17"/>
      <c r="C386" s="59"/>
      <c r="D386" s="36" t="e">
        <f>INDEX(tbl_IngrédientsRef[Unité], MATCH(A386, tbl_IngrédientsRef[Cde_Ingrdt],0))</f>
        <v>#N/A</v>
      </c>
    </row>
    <row r="387" spans="1:4" x14ac:dyDescent="0.25">
      <c r="A387" s="34" t="str">
        <f>IFERROR(VLOOKUP(B387,Référentiels!$M$2:$N$267,2,FALSE),"")</f>
        <v/>
      </c>
      <c r="B387" s="17"/>
      <c r="C387" s="59"/>
      <c r="D387" s="36" t="e">
        <f>INDEX(tbl_IngrédientsRef[Unité], MATCH(A387, tbl_IngrédientsRef[Cde_Ingrdt],0))</f>
        <v>#N/A</v>
      </c>
    </row>
    <row r="388" spans="1:4" x14ac:dyDescent="0.25">
      <c r="A388" s="34" t="str">
        <f>IFERROR(VLOOKUP(B388,Référentiels!$M$2:$N$267,2,FALSE),"")</f>
        <v/>
      </c>
      <c r="B388" s="17"/>
      <c r="C388" s="59"/>
      <c r="D388" s="36" t="e">
        <f>INDEX(tbl_IngrédientsRef[Unité], MATCH(A388, tbl_IngrédientsRef[Cde_Ingrdt],0))</f>
        <v>#N/A</v>
      </c>
    </row>
    <row r="389" spans="1:4" x14ac:dyDescent="0.25">
      <c r="A389" s="34" t="str">
        <f>IFERROR(VLOOKUP(B389,Référentiels!$M$2:$N$267,2,FALSE),"")</f>
        <v/>
      </c>
      <c r="B389" s="17"/>
      <c r="C389" s="59"/>
      <c r="D389" s="36" t="e">
        <f>INDEX(tbl_IngrédientsRef[Unité], MATCH(A389, tbl_IngrédientsRef[Cde_Ingrdt],0))</f>
        <v>#N/A</v>
      </c>
    </row>
    <row r="390" spans="1:4" x14ac:dyDescent="0.25">
      <c r="A390" s="34" t="str">
        <f>IFERROR(VLOOKUP(B390,Référentiels!$M$2:$N$267,2,FALSE),"")</f>
        <v/>
      </c>
      <c r="B390" s="17"/>
      <c r="C390" s="59"/>
      <c r="D390" s="36" t="e">
        <f>INDEX(tbl_IngrédientsRef[Unité], MATCH(A390, tbl_IngrédientsRef[Cde_Ingrdt],0))</f>
        <v>#N/A</v>
      </c>
    </row>
    <row r="391" spans="1:4" x14ac:dyDescent="0.25">
      <c r="A391" s="34" t="str">
        <f>IFERROR(VLOOKUP(B391,Référentiels!$M$2:$N$267,2,FALSE),"")</f>
        <v/>
      </c>
      <c r="B391" s="17"/>
      <c r="C391" s="59"/>
      <c r="D391" s="36" t="e">
        <f>INDEX(tbl_IngrédientsRef[Unité], MATCH(A391, tbl_IngrédientsRef[Cde_Ingrdt],0))</f>
        <v>#N/A</v>
      </c>
    </row>
    <row r="392" spans="1:4" x14ac:dyDescent="0.25">
      <c r="A392" s="34" t="str">
        <f>IFERROR(VLOOKUP(B392,Référentiels!$M$2:$N$267,2,FALSE),"")</f>
        <v/>
      </c>
      <c r="B392" s="17"/>
      <c r="C392" s="59"/>
      <c r="D392" s="36" t="e">
        <f>INDEX(tbl_IngrédientsRef[Unité], MATCH(A392, tbl_IngrédientsRef[Cde_Ingrdt],0))</f>
        <v>#N/A</v>
      </c>
    </row>
    <row r="393" spans="1:4" x14ac:dyDescent="0.25">
      <c r="A393" s="34" t="str">
        <f>IFERROR(VLOOKUP(B393,Référentiels!$M$2:$N$267,2,FALSE),"")</f>
        <v/>
      </c>
      <c r="B393" s="17"/>
      <c r="C393" s="59"/>
      <c r="D393" s="36" t="e">
        <f>INDEX(tbl_IngrédientsRef[Unité], MATCH(A393, tbl_IngrédientsRef[Cde_Ingrdt],0))</f>
        <v>#N/A</v>
      </c>
    </row>
    <row r="394" spans="1:4" x14ac:dyDescent="0.25">
      <c r="A394" s="34" t="str">
        <f>IFERROR(VLOOKUP(B394,Référentiels!$M$2:$N$267,2,FALSE),"")</f>
        <v/>
      </c>
      <c r="B394" s="17"/>
      <c r="C394" s="59"/>
      <c r="D394" s="36" t="e">
        <f>INDEX(tbl_IngrédientsRef[Unité], MATCH(A394, tbl_IngrédientsRef[Cde_Ingrdt],0))</f>
        <v>#N/A</v>
      </c>
    </row>
    <row r="395" spans="1:4" x14ac:dyDescent="0.25">
      <c r="A395" s="34" t="str">
        <f>IFERROR(VLOOKUP(B395,Référentiels!$M$2:$N$267,2,FALSE),"")</f>
        <v/>
      </c>
      <c r="B395" s="17"/>
      <c r="C395" s="59"/>
      <c r="D395" s="36" t="e">
        <f>INDEX(tbl_IngrédientsRef[Unité], MATCH(A395, tbl_IngrédientsRef[Cde_Ingrdt],0))</f>
        <v>#N/A</v>
      </c>
    </row>
    <row r="396" spans="1:4" x14ac:dyDescent="0.25">
      <c r="A396" s="34" t="str">
        <f>IFERROR(VLOOKUP(B396,Référentiels!$M$2:$N$267,2,FALSE),"")</f>
        <v/>
      </c>
      <c r="B396" s="17"/>
      <c r="C396" s="59"/>
      <c r="D396" s="36" t="e">
        <f>INDEX(tbl_IngrédientsRef[Unité], MATCH(A396, tbl_IngrédientsRef[Cde_Ingrdt],0))</f>
        <v>#N/A</v>
      </c>
    </row>
    <row r="397" spans="1:4" x14ac:dyDescent="0.25">
      <c r="A397" s="34" t="str">
        <f>IFERROR(VLOOKUP(B397,Référentiels!$M$2:$N$267,2,FALSE),"")</f>
        <v/>
      </c>
      <c r="B397" s="17"/>
      <c r="C397" s="59"/>
      <c r="D397" s="36" t="e">
        <f>INDEX(tbl_IngrédientsRef[Unité], MATCH(A397, tbl_IngrédientsRef[Cde_Ingrdt],0))</f>
        <v>#N/A</v>
      </c>
    </row>
    <row r="398" spans="1:4" x14ac:dyDescent="0.25">
      <c r="A398" s="34" t="str">
        <f>IFERROR(VLOOKUP(B398,Référentiels!$M$2:$N$267,2,FALSE),"")</f>
        <v/>
      </c>
      <c r="B398" s="17"/>
      <c r="C398" s="59"/>
      <c r="D398" s="36" t="e">
        <f>INDEX(tbl_IngrédientsRef[Unité], MATCH(A398, tbl_IngrédientsRef[Cde_Ingrdt],0))</f>
        <v>#N/A</v>
      </c>
    </row>
    <row r="399" spans="1:4" x14ac:dyDescent="0.25">
      <c r="A399" s="34" t="str">
        <f>IFERROR(VLOOKUP(B399,Référentiels!$M$2:$N$267,2,FALSE),"")</f>
        <v/>
      </c>
      <c r="B399" s="17"/>
      <c r="C399" s="59"/>
      <c r="D399" s="36" t="e">
        <f>INDEX(tbl_IngrédientsRef[Unité], MATCH(A399, tbl_IngrédientsRef[Cde_Ingrdt],0))</f>
        <v>#N/A</v>
      </c>
    </row>
    <row r="400" spans="1:4" x14ac:dyDescent="0.25">
      <c r="A400" s="34" t="str">
        <f>IFERROR(VLOOKUP(B400,Référentiels!$M$2:$N$267,2,FALSE),"")</f>
        <v/>
      </c>
      <c r="B400" s="17"/>
      <c r="C400" s="59"/>
      <c r="D400" s="36" t="e">
        <f>INDEX(tbl_IngrédientsRef[Unité], MATCH(A400, tbl_IngrédientsRef[Cde_Ingrdt],0))</f>
        <v>#N/A</v>
      </c>
    </row>
    <row r="401" spans="1:4" x14ac:dyDescent="0.25">
      <c r="A401" s="34" t="str">
        <f>IFERROR(VLOOKUP(B401,Référentiels!$M$2:$N$267,2,FALSE),"")</f>
        <v/>
      </c>
      <c r="B401" s="17"/>
      <c r="C401" s="59"/>
      <c r="D401" s="36" t="e">
        <f>INDEX(tbl_IngrédientsRef[Unité], MATCH(A401, tbl_IngrédientsRef[Cde_Ingrdt],0))</f>
        <v>#N/A</v>
      </c>
    </row>
    <row r="402" spans="1:4" x14ac:dyDescent="0.25">
      <c r="A402" s="34" t="str">
        <f>IFERROR(VLOOKUP(B402,Référentiels!$M$2:$N$267,2,FALSE),"")</f>
        <v/>
      </c>
      <c r="B402" s="17"/>
      <c r="C402" s="59"/>
      <c r="D402" s="36" t="e">
        <f>INDEX(tbl_IngrédientsRef[Unité], MATCH(A402, tbl_IngrédientsRef[Cde_Ingrdt],0))</f>
        <v>#N/A</v>
      </c>
    </row>
    <row r="403" spans="1:4" x14ac:dyDescent="0.25">
      <c r="A403" s="34" t="str">
        <f>IFERROR(VLOOKUP(B403,Référentiels!$M$2:$N$267,2,FALSE),"")</f>
        <v/>
      </c>
      <c r="B403" s="17"/>
      <c r="C403" s="59"/>
      <c r="D403" s="36" t="e">
        <f>INDEX(tbl_IngrédientsRef[Unité], MATCH(A403, tbl_IngrédientsRef[Cde_Ingrdt],0))</f>
        <v>#N/A</v>
      </c>
    </row>
    <row r="404" spans="1:4" x14ac:dyDescent="0.25">
      <c r="A404" s="34" t="str">
        <f>IFERROR(VLOOKUP(B404,Référentiels!$M$2:$N$267,2,FALSE),"")</f>
        <v/>
      </c>
      <c r="B404" s="17"/>
      <c r="C404" s="59"/>
      <c r="D404" s="36" t="e">
        <f>INDEX(tbl_IngrédientsRef[Unité], MATCH(A404, tbl_IngrédientsRef[Cde_Ingrdt],0))</f>
        <v>#N/A</v>
      </c>
    </row>
    <row r="405" spans="1:4" x14ac:dyDescent="0.25">
      <c r="A405" s="34" t="str">
        <f>IFERROR(VLOOKUP(B405,Référentiels!$M$2:$N$267,2,FALSE),"")</f>
        <v/>
      </c>
      <c r="B405" s="17"/>
      <c r="C405" s="59"/>
      <c r="D405" s="36" t="e">
        <f>INDEX(tbl_IngrédientsRef[Unité], MATCH(A405, tbl_IngrédientsRef[Cde_Ingrdt],0))</f>
        <v>#N/A</v>
      </c>
    </row>
    <row r="406" spans="1:4" x14ac:dyDescent="0.25">
      <c r="A406" s="34" t="str">
        <f>IFERROR(VLOOKUP(B406,Référentiels!$M$2:$N$267,2,FALSE),"")</f>
        <v/>
      </c>
      <c r="B406" s="17"/>
      <c r="C406" s="59"/>
      <c r="D406" s="36" t="e">
        <f>INDEX(tbl_IngrédientsRef[Unité], MATCH(A406, tbl_IngrédientsRef[Cde_Ingrdt],0))</f>
        <v>#N/A</v>
      </c>
    </row>
    <row r="407" spans="1:4" x14ac:dyDescent="0.25">
      <c r="A407" s="34" t="str">
        <f>IFERROR(VLOOKUP(B407,Référentiels!$M$2:$N$267,2,FALSE),"")</f>
        <v/>
      </c>
      <c r="B407" s="17"/>
      <c r="C407" s="59"/>
      <c r="D407" s="36" t="e">
        <f>INDEX(tbl_IngrédientsRef[Unité], MATCH(A407, tbl_IngrédientsRef[Cde_Ingrdt],0))</f>
        <v>#N/A</v>
      </c>
    </row>
    <row r="408" spans="1:4" x14ac:dyDescent="0.25">
      <c r="A408" s="34" t="str">
        <f>IFERROR(VLOOKUP(B408,Référentiels!$M$2:$N$267,2,FALSE),"")</f>
        <v/>
      </c>
      <c r="B408" s="17"/>
      <c r="C408" s="59"/>
      <c r="D408" s="36" t="e">
        <f>INDEX(tbl_IngrédientsRef[Unité], MATCH(A408, tbl_IngrédientsRef[Cde_Ingrdt],0))</f>
        <v>#N/A</v>
      </c>
    </row>
    <row r="409" spans="1:4" x14ac:dyDescent="0.25">
      <c r="A409" s="34" t="str">
        <f>IFERROR(VLOOKUP(B409,Référentiels!$M$2:$N$267,2,FALSE),"")</f>
        <v/>
      </c>
      <c r="B409" s="17"/>
      <c r="C409" s="59"/>
      <c r="D409" s="36" t="e">
        <f>INDEX(tbl_IngrédientsRef[Unité], MATCH(A409, tbl_IngrédientsRef[Cde_Ingrdt],0))</f>
        <v>#N/A</v>
      </c>
    </row>
    <row r="410" spans="1:4" x14ac:dyDescent="0.25">
      <c r="A410" s="34" t="str">
        <f>IFERROR(VLOOKUP(B410,Référentiels!$M$2:$N$267,2,FALSE),"")</f>
        <v/>
      </c>
      <c r="B410" s="17"/>
      <c r="C410" s="59"/>
      <c r="D410" s="36" t="e">
        <f>INDEX(tbl_IngrédientsRef[Unité], MATCH(A410, tbl_IngrédientsRef[Cde_Ingrdt],0))</f>
        <v>#N/A</v>
      </c>
    </row>
    <row r="411" spans="1:4" x14ac:dyDescent="0.25">
      <c r="A411" s="34" t="str">
        <f>IFERROR(VLOOKUP(B411,Référentiels!$M$2:$N$267,2,FALSE),"")</f>
        <v/>
      </c>
      <c r="B411" s="17"/>
      <c r="C411" s="59"/>
      <c r="D411" s="36" t="e">
        <f>INDEX(tbl_IngrédientsRef[Unité], MATCH(A411, tbl_IngrédientsRef[Cde_Ingrdt],0))</f>
        <v>#N/A</v>
      </c>
    </row>
    <row r="412" spans="1:4" x14ac:dyDescent="0.25">
      <c r="A412" s="34" t="str">
        <f>IFERROR(VLOOKUP(B412,Référentiels!$M$2:$N$267,2,FALSE),"")</f>
        <v/>
      </c>
      <c r="B412" s="17"/>
      <c r="C412" s="59"/>
      <c r="D412" s="36" t="e">
        <f>INDEX(tbl_IngrédientsRef[Unité], MATCH(A412, tbl_IngrédientsRef[Cde_Ingrdt],0))</f>
        <v>#N/A</v>
      </c>
    </row>
    <row r="413" spans="1:4" x14ac:dyDescent="0.25">
      <c r="A413" s="34" t="str">
        <f>IFERROR(VLOOKUP(B413,Référentiels!$M$2:$N$267,2,FALSE),"")</f>
        <v/>
      </c>
      <c r="B413" s="17"/>
      <c r="C413" s="59"/>
      <c r="D413" s="36" t="e">
        <f>INDEX(tbl_IngrédientsRef[Unité], MATCH(A413, tbl_IngrédientsRef[Cde_Ingrdt],0))</f>
        <v>#N/A</v>
      </c>
    </row>
    <row r="414" spans="1:4" x14ac:dyDescent="0.25">
      <c r="A414" s="34" t="str">
        <f>IFERROR(VLOOKUP(B414,Référentiels!$M$2:$N$267,2,FALSE),"")</f>
        <v/>
      </c>
      <c r="B414" s="17"/>
      <c r="C414" s="59"/>
      <c r="D414" s="36" t="e">
        <f>INDEX(tbl_IngrédientsRef[Unité], MATCH(A414, tbl_IngrédientsRef[Cde_Ingrdt],0))</f>
        <v>#N/A</v>
      </c>
    </row>
    <row r="415" spans="1:4" x14ac:dyDescent="0.25">
      <c r="A415" s="34" t="str">
        <f>IFERROR(VLOOKUP(B415,Référentiels!$M$2:$N$267,2,FALSE),"")</f>
        <v/>
      </c>
      <c r="B415" s="17"/>
      <c r="C415" s="59"/>
      <c r="D415" s="36" t="e">
        <f>INDEX(tbl_IngrédientsRef[Unité], MATCH(A415, tbl_IngrédientsRef[Cde_Ingrdt],0))</f>
        <v>#N/A</v>
      </c>
    </row>
    <row r="416" spans="1:4" x14ac:dyDescent="0.25">
      <c r="A416" s="34" t="str">
        <f>IFERROR(VLOOKUP(B416,Référentiels!$M$2:$N$267,2,FALSE),"")</f>
        <v/>
      </c>
      <c r="B416" s="17"/>
      <c r="C416" s="59"/>
      <c r="D416" s="36" t="e">
        <f>INDEX(tbl_IngrédientsRef[Unité], MATCH(A416, tbl_IngrédientsRef[Cde_Ingrdt],0))</f>
        <v>#N/A</v>
      </c>
    </row>
    <row r="417" spans="1:4" x14ac:dyDescent="0.25">
      <c r="A417" s="34" t="str">
        <f>IFERROR(VLOOKUP(B417,Référentiels!$M$2:$N$267,2,FALSE),"")</f>
        <v/>
      </c>
      <c r="B417" s="17"/>
      <c r="C417" s="59"/>
      <c r="D417" s="36" t="e">
        <f>INDEX(tbl_IngrédientsRef[Unité], MATCH(A417, tbl_IngrédientsRef[Cde_Ingrdt],0))</f>
        <v>#N/A</v>
      </c>
    </row>
    <row r="418" spans="1:4" x14ac:dyDescent="0.25">
      <c r="A418" s="34" t="str">
        <f>IFERROR(VLOOKUP(B418,Référentiels!$M$2:$N$267,2,FALSE),"")</f>
        <v/>
      </c>
      <c r="B418" s="17"/>
      <c r="C418" s="59"/>
      <c r="D418" s="36" t="e">
        <f>INDEX(tbl_IngrédientsRef[Unité], MATCH(A418, tbl_IngrédientsRef[Cde_Ingrdt],0))</f>
        <v>#N/A</v>
      </c>
    </row>
    <row r="419" spans="1:4" x14ac:dyDescent="0.25">
      <c r="A419" s="34" t="str">
        <f>IFERROR(VLOOKUP(B419,Référentiels!$M$2:$N$267,2,FALSE),"")</f>
        <v/>
      </c>
      <c r="B419" s="17"/>
      <c r="C419" s="59"/>
      <c r="D419" s="36" t="e">
        <f>INDEX(tbl_IngrédientsRef[Unité], MATCH(A419, tbl_IngrédientsRef[Cde_Ingrdt],0))</f>
        <v>#N/A</v>
      </c>
    </row>
    <row r="420" spans="1:4" x14ac:dyDescent="0.25">
      <c r="A420" s="34" t="str">
        <f>IFERROR(VLOOKUP(B420,Référentiels!$M$2:$N$267,2,FALSE),"")</f>
        <v/>
      </c>
      <c r="B420" s="17"/>
      <c r="C420" s="59"/>
      <c r="D420" s="36" t="e">
        <f>INDEX(tbl_IngrédientsRef[Unité], MATCH(A420, tbl_IngrédientsRef[Cde_Ingrdt],0))</f>
        <v>#N/A</v>
      </c>
    </row>
    <row r="421" spans="1:4" x14ac:dyDescent="0.25">
      <c r="A421" s="34" t="str">
        <f>IFERROR(VLOOKUP(B421,Référentiels!$M$2:$N$267,2,FALSE),"")</f>
        <v/>
      </c>
      <c r="B421" s="17"/>
      <c r="C421" s="59"/>
      <c r="D421" s="36" t="e">
        <f>INDEX(tbl_IngrédientsRef[Unité], MATCH(A421, tbl_IngrédientsRef[Cde_Ingrdt],0))</f>
        <v>#N/A</v>
      </c>
    </row>
    <row r="422" spans="1:4" x14ac:dyDescent="0.25">
      <c r="A422" s="34" t="str">
        <f>IFERROR(VLOOKUP(B422,Référentiels!$M$2:$N$267,2,FALSE),"")</f>
        <v/>
      </c>
      <c r="B422" s="17"/>
      <c r="C422" s="59"/>
      <c r="D422" s="36" t="e">
        <f>INDEX(tbl_IngrédientsRef[Unité], MATCH(A422, tbl_IngrédientsRef[Cde_Ingrdt],0))</f>
        <v>#N/A</v>
      </c>
    </row>
    <row r="423" spans="1:4" x14ac:dyDescent="0.25">
      <c r="A423" s="34" t="str">
        <f>IFERROR(VLOOKUP(B423,Référentiels!$M$2:$N$267,2,FALSE),"")</f>
        <v/>
      </c>
      <c r="B423" s="17"/>
      <c r="C423" s="59"/>
      <c r="D423" s="36" t="e">
        <f>INDEX(tbl_IngrédientsRef[Unité], MATCH(A423, tbl_IngrédientsRef[Cde_Ingrdt],0))</f>
        <v>#N/A</v>
      </c>
    </row>
    <row r="424" spans="1:4" x14ac:dyDescent="0.25">
      <c r="A424" s="34" t="str">
        <f>IFERROR(VLOOKUP(B424,Référentiels!$M$2:$N$267,2,FALSE),"")</f>
        <v/>
      </c>
      <c r="B424" s="17"/>
      <c r="C424" s="59"/>
      <c r="D424" s="36" t="e">
        <f>INDEX(tbl_IngrédientsRef[Unité], MATCH(A424, tbl_IngrédientsRef[Cde_Ingrdt],0))</f>
        <v>#N/A</v>
      </c>
    </row>
    <row r="425" spans="1:4" x14ac:dyDescent="0.25">
      <c r="A425" s="34" t="str">
        <f>IFERROR(VLOOKUP(B425,Référentiels!$M$2:$N$267,2,FALSE),"")</f>
        <v/>
      </c>
      <c r="B425" s="17"/>
      <c r="C425" s="59"/>
      <c r="D425" s="36" t="e">
        <f>INDEX(tbl_IngrédientsRef[Unité], MATCH(A425, tbl_IngrédientsRef[Cde_Ingrdt],0))</f>
        <v>#N/A</v>
      </c>
    </row>
    <row r="426" spans="1:4" x14ac:dyDescent="0.25">
      <c r="A426" s="34" t="str">
        <f>IFERROR(VLOOKUP(B426,Référentiels!$M$2:$N$267,2,FALSE),"")</f>
        <v/>
      </c>
      <c r="B426" s="17"/>
      <c r="C426" s="59"/>
      <c r="D426" s="36" t="e">
        <f>INDEX(tbl_IngrédientsRef[Unité], MATCH(A426, tbl_IngrédientsRef[Cde_Ingrdt],0))</f>
        <v>#N/A</v>
      </c>
    </row>
    <row r="427" spans="1:4" x14ac:dyDescent="0.25">
      <c r="A427" s="34" t="str">
        <f>IFERROR(VLOOKUP(B427,Référentiels!$M$2:$N$267,2,FALSE),"")</f>
        <v/>
      </c>
      <c r="B427" s="17"/>
      <c r="C427" s="59"/>
      <c r="D427" s="36" t="e">
        <f>INDEX(tbl_IngrédientsRef[Unité], MATCH(A427, tbl_IngrédientsRef[Cde_Ingrdt],0))</f>
        <v>#N/A</v>
      </c>
    </row>
    <row r="428" spans="1:4" x14ac:dyDescent="0.25">
      <c r="A428" s="34" t="str">
        <f>IFERROR(VLOOKUP(B428,Référentiels!$M$2:$N$267,2,FALSE),"")</f>
        <v/>
      </c>
      <c r="B428" s="17"/>
      <c r="C428" s="59"/>
      <c r="D428" s="36" t="e">
        <f>INDEX(tbl_IngrédientsRef[Unité], MATCH(A428, tbl_IngrédientsRef[Cde_Ingrdt],0))</f>
        <v>#N/A</v>
      </c>
    </row>
    <row r="429" spans="1:4" x14ac:dyDescent="0.25">
      <c r="A429" s="34" t="str">
        <f>IFERROR(VLOOKUP(B429,Référentiels!$M$2:$N$267,2,FALSE),"")</f>
        <v/>
      </c>
      <c r="B429" s="17"/>
      <c r="C429" s="59"/>
      <c r="D429" s="36" t="e">
        <f>INDEX(tbl_IngrédientsRef[Unité], MATCH(A429, tbl_IngrédientsRef[Cde_Ingrdt],0))</f>
        <v>#N/A</v>
      </c>
    </row>
    <row r="430" spans="1:4" x14ac:dyDescent="0.25">
      <c r="A430" s="34" t="str">
        <f>IFERROR(VLOOKUP(B430,Référentiels!$M$2:$N$267,2,FALSE),"")</f>
        <v/>
      </c>
      <c r="B430" s="17"/>
      <c r="C430" s="59"/>
      <c r="D430" s="36" t="e">
        <f>INDEX(tbl_IngrédientsRef[Unité], MATCH(A430, tbl_IngrédientsRef[Cde_Ingrdt],0))</f>
        <v>#N/A</v>
      </c>
    </row>
    <row r="431" spans="1:4" x14ac:dyDescent="0.25">
      <c r="A431" s="34" t="str">
        <f>IFERROR(VLOOKUP(B431,Référentiels!$M$2:$N$267,2,FALSE),"")</f>
        <v/>
      </c>
      <c r="B431" s="17"/>
      <c r="C431" s="59"/>
      <c r="D431" s="36" t="e">
        <f>INDEX(tbl_IngrédientsRef[Unité], MATCH(A431, tbl_IngrédientsRef[Cde_Ingrdt],0))</f>
        <v>#N/A</v>
      </c>
    </row>
    <row r="432" spans="1:4" x14ac:dyDescent="0.25">
      <c r="A432" s="34" t="str">
        <f>IFERROR(VLOOKUP(B432,Référentiels!$M$2:$N$267,2,FALSE),"")</f>
        <v/>
      </c>
      <c r="B432" s="17"/>
      <c r="C432" s="59"/>
      <c r="D432" s="36" t="e">
        <f>INDEX(tbl_IngrédientsRef[Unité], MATCH(A432, tbl_IngrédientsRef[Cde_Ingrdt],0))</f>
        <v>#N/A</v>
      </c>
    </row>
    <row r="433" spans="1:4" x14ac:dyDescent="0.25">
      <c r="A433" s="34" t="str">
        <f>IFERROR(VLOOKUP(B433,Référentiels!$M$2:$N$267,2,FALSE),"")</f>
        <v/>
      </c>
      <c r="B433" s="17"/>
      <c r="C433" s="59"/>
      <c r="D433" s="36" t="e">
        <f>INDEX(tbl_IngrédientsRef[Unité], MATCH(A433, tbl_IngrédientsRef[Cde_Ingrdt],0))</f>
        <v>#N/A</v>
      </c>
    </row>
    <row r="434" spans="1:4" x14ac:dyDescent="0.25">
      <c r="A434" s="34" t="str">
        <f>IFERROR(VLOOKUP(B434,Référentiels!$M$2:$N$267,2,FALSE),"")</f>
        <v/>
      </c>
      <c r="B434" s="17"/>
      <c r="C434" s="59"/>
      <c r="D434" s="36" t="e">
        <f>INDEX(tbl_IngrédientsRef[Unité], MATCH(A434, tbl_IngrédientsRef[Cde_Ingrdt],0))</f>
        <v>#N/A</v>
      </c>
    </row>
    <row r="435" spans="1:4" x14ac:dyDescent="0.25">
      <c r="A435" s="34" t="str">
        <f>IFERROR(VLOOKUP(B435,Référentiels!$M$2:$N$267,2,FALSE),"")</f>
        <v/>
      </c>
      <c r="B435" s="17"/>
      <c r="C435" s="59"/>
      <c r="D435" s="36" t="e">
        <f>INDEX(tbl_IngrédientsRef[Unité], MATCH(A435, tbl_IngrédientsRef[Cde_Ingrdt],0))</f>
        <v>#N/A</v>
      </c>
    </row>
    <row r="436" spans="1:4" x14ac:dyDescent="0.25">
      <c r="A436" s="34" t="str">
        <f>IFERROR(VLOOKUP(B436,Référentiels!$M$2:$N$267,2,FALSE),"")</f>
        <v/>
      </c>
      <c r="B436" s="17"/>
      <c r="C436" s="59"/>
      <c r="D436" s="36" t="e">
        <f>INDEX(tbl_IngrédientsRef[Unité], MATCH(A436, tbl_IngrédientsRef[Cde_Ingrdt],0))</f>
        <v>#N/A</v>
      </c>
    </row>
    <row r="437" spans="1:4" x14ac:dyDescent="0.25">
      <c r="A437" s="34" t="str">
        <f>IFERROR(VLOOKUP(B437,Référentiels!$M$2:$N$267,2,FALSE),"")</f>
        <v/>
      </c>
      <c r="B437" s="17"/>
      <c r="C437" s="59"/>
      <c r="D437" s="36" t="e">
        <f>INDEX(tbl_IngrédientsRef[Unité], MATCH(A437, tbl_IngrédientsRef[Cde_Ingrdt],0))</f>
        <v>#N/A</v>
      </c>
    </row>
    <row r="438" spans="1:4" x14ac:dyDescent="0.25">
      <c r="A438" s="34" t="str">
        <f>IFERROR(VLOOKUP(B438,Référentiels!$M$2:$N$267,2,FALSE),"")</f>
        <v/>
      </c>
      <c r="B438" s="17"/>
      <c r="C438" s="59"/>
      <c r="D438" s="36" t="e">
        <f>INDEX(tbl_IngrédientsRef[Unité], MATCH(A438, tbl_IngrédientsRef[Cde_Ingrdt],0))</f>
        <v>#N/A</v>
      </c>
    </row>
    <row r="439" spans="1:4" x14ac:dyDescent="0.25">
      <c r="A439" s="34" t="str">
        <f>IFERROR(VLOOKUP(B439,Référentiels!$M$2:$N$267,2,FALSE),"")</f>
        <v/>
      </c>
      <c r="B439" s="17"/>
      <c r="C439" s="59"/>
      <c r="D439" s="36" t="e">
        <f>INDEX(tbl_IngrédientsRef[Unité], MATCH(A439, tbl_IngrédientsRef[Cde_Ingrdt],0))</f>
        <v>#N/A</v>
      </c>
    </row>
    <row r="440" spans="1:4" x14ac:dyDescent="0.25">
      <c r="A440" s="34" t="str">
        <f>IFERROR(VLOOKUP(B440,Référentiels!$M$2:$N$267,2,FALSE),"")</f>
        <v/>
      </c>
      <c r="B440" s="17"/>
      <c r="C440" s="59"/>
      <c r="D440" s="36" t="e">
        <f>INDEX(tbl_IngrédientsRef[Unité], MATCH(A440, tbl_IngrédientsRef[Cde_Ingrdt],0))</f>
        <v>#N/A</v>
      </c>
    </row>
    <row r="441" spans="1:4" x14ac:dyDescent="0.25">
      <c r="A441" s="34" t="str">
        <f>IFERROR(VLOOKUP(B441,Référentiels!$M$2:$N$267,2,FALSE),"")</f>
        <v/>
      </c>
      <c r="B441" s="17"/>
      <c r="C441" s="59"/>
      <c r="D441" s="36" t="e">
        <f>INDEX(tbl_IngrédientsRef[Unité], MATCH(A441, tbl_IngrédientsRef[Cde_Ingrdt],0))</f>
        <v>#N/A</v>
      </c>
    </row>
    <row r="442" spans="1:4" x14ac:dyDescent="0.25">
      <c r="A442" s="34" t="str">
        <f>IFERROR(VLOOKUP(B442,Référentiels!$M$2:$N$267,2,FALSE),"")</f>
        <v/>
      </c>
      <c r="B442" s="17"/>
      <c r="C442" s="59"/>
      <c r="D442" s="36" t="e">
        <f>INDEX(tbl_IngrédientsRef[Unité], MATCH(A442, tbl_IngrédientsRef[Cde_Ingrdt],0))</f>
        <v>#N/A</v>
      </c>
    </row>
    <row r="443" spans="1:4" x14ac:dyDescent="0.25">
      <c r="A443" s="34" t="str">
        <f>IFERROR(VLOOKUP(B443,Référentiels!$M$2:$N$267,2,FALSE),"")</f>
        <v/>
      </c>
      <c r="B443" s="17"/>
      <c r="C443" s="59"/>
      <c r="D443" s="36" t="e">
        <f>INDEX(tbl_IngrédientsRef[Unité], MATCH(A443, tbl_IngrédientsRef[Cde_Ingrdt],0))</f>
        <v>#N/A</v>
      </c>
    </row>
    <row r="444" spans="1:4" x14ac:dyDescent="0.25">
      <c r="A444" s="34" t="str">
        <f>IFERROR(VLOOKUP(B444,Référentiels!$M$2:$N$267,2,FALSE),"")</f>
        <v/>
      </c>
      <c r="B444" s="17"/>
      <c r="C444" s="59"/>
      <c r="D444" s="36" t="e">
        <f>INDEX(tbl_IngrédientsRef[Unité], MATCH(A444, tbl_IngrédientsRef[Cde_Ingrdt],0))</f>
        <v>#N/A</v>
      </c>
    </row>
    <row r="445" spans="1:4" x14ac:dyDescent="0.25">
      <c r="A445" s="34" t="str">
        <f>IFERROR(VLOOKUP(B445,Référentiels!$M$2:$N$267,2,FALSE),"")</f>
        <v/>
      </c>
      <c r="B445" s="17"/>
      <c r="C445" s="59"/>
      <c r="D445" s="36" t="e">
        <f>INDEX(tbl_IngrédientsRef[Unité], MATCH(A445, tbl_IngrédientsRef[Cde_Ingrdt],0))</f>
        <v>#N/A</v>
      </c>
    </row>
    <row r="446" spans="1:4" x14ac:dyDescent="0.25">
      <c r="A446" s="34" t="str">
        <f>IFERROR(VLOOKUP(B446,Référentiels!$M$2:$N$267,2,FALSE),"")</f>
        <v/>
      </c>
      <c r="B446" s="17"/>
      <c r="C446" s="59"/>
      <c r="D446" s="36" t="e">
        <f>INDEX(tbl_IngrédientsRef[Unité], MATCH(A446, tbl_IngrédientsRef[Cde_Ingrdt],0))</f>
        <v>#N/A</v>
      </c>
    </row>
    <row r="447" spans="1:4" x14ac:dyDescent="0.25">
      <c r="A447" s="34" t="str">
        <f>IFERROR(VLOOKUP(B447,Référentiels!$M$2:$N$267,2,FALSE),"")</f>
        <v/>
      </c>
      <c r="B447" s="17"/>
      <c r="C447" s="59"/>
      <c r="D447" s="36" t="e">
        <f>INDEX(tbl_IngrédientsRef[Unité], MATCH(A447, tbl_IngrédientsRef[Cde_Ingrdt],0))</f>
        <v>#N/A</v>
      </c>
    </row>
    <row r="448" spans="1:4" x14ac:dyDescent="0.25">
      <c r="A448" s="34" t="str">
        <f>IFERROR(VLOOKUP(B448,Référentiels!$M$2:$N$267,2,FALSE),"")</f>
        <v/>
      </c>
      <c r="B448" s="17"/>
      <c r="C448" s="59"/>
      <c r="D448" s="36" t="e">
        <f>INDEX(tbl_IngrédientsRef[Unité], MATCH(A448, tbl_IngrédientsRef[Cde_Ingrdt],0))</f>
        <v>#N/A</v>
      </c>
    </row>
    <row r="449" spans="1:4" x14ac:dyDescent="0.25">
      <c r="A449" s="34" t="str">
        <f>IFERROR(VLOOKUP(B449,Référentiels!$M$2:$N$267,2,FALSE),"")</f>
        <v/>
      </c>
      <c r="B449" s="17"/>
      <c r="C449" s="59"/>
      <c r="D449" s="36" t="e">
        <f>INDEX(tbl_IngrédientsRef[Unité], MATCH(A449, tbl_IngrédientsRef[Cde_Ingrdt],0))</f>
        <v>#N/A</v>
      </c>
    </row>
    <row r="450" spans="1:4" x14ac:dyDescent="0.25">
      <c r="A450" s="34" t="str">
        <f>IFERROR(VLOOKUP(B450,Référentiels!$M$2:$N$267,2,FALSE),"")</f>
        <v/>
      </c>
      <c r="B450" s="17"/>
      <c r="C450" s="59"/>
      <c r="D450" s="36" t="e">
        <f>INDEX(tbl_IngrédientsRef[Unité], MATCH(A450, tbl_IngrédientsRef[Cde_Ingrdt],0))</f>
        <v>#N/A</v>
      </c>
    </row>
    <row r="451" spans="1:4" x14ac:dyDescent="0.25">
      <c r="A451" s="34" t="str">
        <f>IFERROR(VLOOKUP(B451,Référentiels!$M$2:$N$267,2,FALSE),"")</f>
        <v/>
      </c>
      <c r="B451" s="17"/>
      <c r="C451" s="59"/>
      <c r="D451" s="36" t="e">
        <f>INDEX(tbl_IngrédientsRef[Unité], MATCH(A451, tbl_IngrédientsRef[Cde_Ingrdt],0))</f>
        <v>#N/A</v>
      </c>
    </row>
    <row r="452" spans="1:4" x14ac:dyDescent="0.25">
      <c r="A452" s="34" t="str">
        <f>IFERROR(VLOOKUP(B452,Référentiels!$M$2:$N$267,2,FALSE),"")</f>
        <v/>
      </c>
      <c r="B452" s="17"/>
      <c r="C452" s="59"/>
      <c r="D452" s="36" t="e">
        <f>INDEX(tbl_IngrédientsRef[Unité], MATCH(A452, tbl_IngrédientsRef[Cde_Ingrdt],0))</f>
        <v>#N/A</v>
      </c>
    </row>
    <row r="453" spans="1:4" x14ac:dyDescent="0.25">
      <c r="A453" s="34" t="str">
        <f>IFERROR(VLOOKUP(B453,Référentiels!$M$2:$N$267,2,FALSE),"")</f>
        <v/>
      </c>
      <c r="B453" s="17"/>
      <c r="C453" s="59"/>
      <c r="D453" s="36" t="e">
        <f>INDEX(tbl_IngrédientsRef[Unité], MATCH(A453, tbl_IngrédientsRef[Cde_Ingrdt],0))</f>
        <v>#N/A</v>
      </c>
    </row>
    <row r="454" spans="1:4" x14ac:dyDescent="0.25">
      <c r="A454" s="34" t="str">
        <f>IFERROR(VLOOKUP(B454,Référentiels!$M$2:$N$267,2,FALSE),"")</f>
        <v/>
      </c>
      <c r="B454" s="17"/>
      <c r="C454" s="59"/>
      <c r="D454" s="36" t="e">
        <f>INDEX(tbl_IngrédientsRef[Unité], MATCH(A454, tbl_IngrédientsRef[Cde_Ingrdt],0))</f>
        <v>#N/A</v>
      </c>
    </row>
    <row r="455" spans="1:4" x14ac:dyDescent="0.25">
      <c r="A455" s="34" t="str">
        <f>IFERROR(VLOOKUP(B455,Référentiels!$M$2:$N$267,2,FALSE),"")</f>
        <v/>
      </c>
      <c r="B455" s="17"/>
      <c r="C455" s="59"/>
      <c r="D455" s="36" t="e">
        <f>INDEX(tbl_IngrédientsRef[Unité], MATCH(A455, tbl_IngrédientsRef[Cde_Ingrdt],0))</f>
        <v>#N/A</v>
      </c>
    </row>
    <row r="456" spans="1:4" x14ac:dyDescent="0.25">
      <c r="A456" s="34" t="str">
        <f>IFERROR(VLOOKUP(B456,Référentiels!$M$2:$N$267,2,FALSE),"")</f>
        <v/>
      </c>
      <c r="B456" s="17"/>
      <c r="C456" s="59"/>
      <c r="D456" s="36" t="e">
        <f>INDEX(tbl_IngrédientsRef[Unité], MATCH(A456, tbl_IngrédientsRef[Cde_Ingrdt],0))</f>
        <v>#N/A</v>
      </c>
    </row>
    <row r="457" spans="1:4" x14ac:dyDescent="0.25">
      <c r="A457" s="34" t="str">
        <f>IFERROR(VLOOKUP(B457,Référentiels!$M$2:$N$267,2,FALSE),"")</f>
        <v/>
      </c>
      <c r="B457" s="17"/>
      <c r="C457" s="59"/>
      <c r="D457" s="36" t="e">
        <f>INDEX(tbl_IngrédientsRef[Unité], MATCH(A457, tbl_IngrédientsRef[Cde_Ingrdt],0))</f>
        <v>#N/A</v>
      </c>
    </row>
    <row r="458" spans="1:4" x14ac:dyDescent="0.25">
      <c r="A458" s="34" t="str">
        <f>IFERROR(VLOOKUP(B458,Référentiels!$M$2:$N$267,2,FALSE),"")</f>
        <v/>
      </c>
      <c r="B458" s="17"/>
      <c r="C458" s="59"/>
      <c r="D458" s="36" t="e">
        <f>INDEX(tbl_IngrédientsRef[Unité], MATCH(A458, tbl_IngrédientsRef[Cde_Ingrdt],0))</f>
        <v>#N/A</v>
      </c>
    </row>
    <row r="459" spans="1:4" x14ac:dyDescent="0.25">
      <c r="A459" s="34" t="str">
        <f>IFERROR(VLOOKUP(B459,Référentiels!$M$2:$N$267,2,FALSE),"")</f>
        <v/>
      </c>
      <c r="B459" s="17"/>
      <c r="C459" s="59"/>
      <c r="D459" s="36" t="e">
        <f>INDEX(tbl_IngrédientsRef[Unité], MATCH(A459, tbl_IngrédientsRef[Cde_Ingrdt],0))</f>
        <v>#N/A</v>
      </c>
    </row>
    <row r="460" spans="1:4" x14ac:dyDescent="0.25">
      <c r="A460" s="34" t="str">
        <f>IFERROR(VLOOKUP(B460,Référentiels!$M$2:$N$267,2,FALSE),"")</f>
        <v/>
      </c>
      <c r="B460" s="17"/>
      <c r="C460" s="59"/>
      <c r="D460" s="36" t="e">
        <f>INDEX(tbl_IngrédientsRef[Unité], MATCH(A460, tbl_IngrédientsRef[Cde_Ingrdt],0))</f>
        <v>#N/A</v>
      </c>
    </row>
    <row r="461" spans="1:4" x14ac:dyDescent="0.25">
      <c r="A461" s="34" t="str">
        <f>IFERROR(VLOOKUP(B461,Référentiels!$M$2:$N$267,2,FALSE),"")</f>
        <v/>
      </c>
      <c r="B461" s="17"/>
      <c r="C461" s="59"/>
      <c r="D461" s="36" t="e">
        <f>INDEX(tbl_IngrédientsRef[Unité], MATCH(A461, tbl_IngrédientsRef[Cde_Ingrdt],0))</f>
        <v>#N/A</v>
      </c>
    </row>
    <row r="462" spans="1:4" x14ac:dyDescent="0.25">
      <c r="A462" s="34" t="str">
        <f>IFERROR(VLOOKUP(B462,Référentiels!$M$2:$N$267,2,FALSE),"")</f>
        <v/>
      </c>
      <c r="B462" s="17"/>
      <c r="C462" s="59"/>
      <c r="D462" s="36" t="e">
        <f>INDEX(tbl_IngrédientsRef[Unité], MATCH(A462, tbl_IngrédientsRef[Cde_Ingrdt],0))</f>
        <v>#N/A</v>
      </c>
    </row>
    <row r="463" spans="1:4" x14ac:dyDescent="0.25">
      <c r="A463" s="34" t="str">
        <f>IFERROR(VLOOKUP(B463,Référentiels!$M$2:$N$267,2,FALSE),"")</f>
        <v/>
      </c>
      <c r="B463" s="17"/>
      <c r="C463" s="59"/>
      <c r="D463" s="36" t="e">
        <f>INDEX(tbl_IngrédientsRef[Unité], MATCH(A463, tbl_IngrédientsRef[Cde_Ingrdt],0))</f>
        <v>#N/A</v>
      </c>
    </row>
    <row r="464" spans="1:4" x14ac:dyDescent="0.25">
      <c r="A464" s="34" t="str">
        <f>IFERROR(VLOOKUP(B464,Référentiels!$M$2:$N$267,2,FALSE),"")</f>
        <v/>
      </c>
      <c r="B464" s="17"/>
      <c r="C464" s="59"/>
      <c r="D464" s="36" t="e">
        <f>INDEX(tbl_IngrédientsRef[Unité], MATCH(A464, tbl_IngrédientsRef[Cde_Ingrdt],0))</f>
        <v>#N/A</v>
      </c>
    </row>
    <row r="465" spans="1:4" x14ac:dyDescent="0.25">
      <c r="A465" s="34" t="str">
        <f>IFERROR(VLOOKUP(B465,Référentiels!$M$2:$N$267,2,FALSE),"")</f>
        <v/>
      </c>
      <c r="B465" s="17"/>
      <c r="C465" s="59"/>
      <c r="D465" s="36" t="e">
        <f>INDEX(tbl_IngrédientsRef[Unité], MATCH(A465, tbl_IngrédientsRef[Cde_Ingrdt],0))</f>
        <v>#N/A</v>
      </c>
    </row>
    <row r="466" spans="1:4" x14ac:dyDescent="0.25">
      <c r="A466" s="34" t="str">
        <f>IFERROR(VLOOKUP(B466,Référentiels!$M$2:$N$267,2,FALSE),"")</f>
        <v/>
      </c>
      <c r="B466" s="17"/>
      <c r="C466" s="59"/>
      <c r="D466" s="36" t="e">
        <f>INDEX(tbl_IngrédientsRef[Unité], MATCH(A466, tbl_IngrédientsRef[Cde_Ingrdt],0))</f>
        <v>#N/A</v>
      </c>
    </row>
    <row r="467" spans="1:4" x14ac:dyDescent="0.25">
      <c r="A467" s="34" t="str">
        <f>IFERROR(VLOOKUP(B467,Référentiels!$M$2:$N$267,2,FALSE),"")</f>
        <v/>
      </c>
      <c r="B467" s="17"/>
      <c r="C467" s="59"/>
      <c r="D467" s="36" t="e">
        <f>INDEX(tbl_IngrédientsRef[Unité], MATCH(A467, tbl_IngrédientsRef[Cde_Ingrdt],0))</f>
        <v>#N/A</v>
      </c>
    </row>
    <row r="468" spans="1:4" x14ac:dyDescent="0.25">
      <c r="A468" s="34" t="str">
        <f>IFERROR(VLOOKUP(B468,Référentiels!$M$2:$N$267,2,FALSE),"")</f>
        <v/>
      </c>
      <c r="B468" s="17"/>
      <c r="C468" s="59"/>
      <c r="D468" s="36" t="e">
        <f>INDEX(tbl_IngrédientsRef[Unité], MATCH(A468, tbl_IngrédientsRef[Cde_Ingrdt],0))</f>
        <v>#N/A</v>
      </c>
    </row>
    <row r="469" spans="1:4" x14ac:dyDescent="0.25">
      <c r="A469" s="34" t="str">
        <f>IFERROR(VLOOKUP(B469,Référentiels!$M$2:$N$267,2,FALSE),"")</f>
        <v/>
      </c>
      <c r="B469" s="17"/>
      <c r="C469" s="59"/>
      <c r="D469" s="36" t="e">
        <f>INDEX(tbl_IngrédientsRef[Unité], MATCH(A469, tbl_IngrédientsRef[Cde_Ingrdt],0))</f>
        <v>#N/A</v>
      </c>
    </row>
    <row r="470" spans="1:4" x14ac:dyDescent="0.25">
      <c r="A470" s="34" t="str">
        <f>IFERROR(VLOOKUP(B470,Référentiels!$M$2:$N$267,2,FALSE),"")</f>
        <v/>
      </c>
      <c r="B470" s="17"/>
      <c r="C470" s="59"/>
      <c r="D470" s="36" t="e">
        <f>INDEX(tbl_IngrédientsRef[Unité], MATCH(A470, tbl_IngrédientsRef[Cde_Ingrdt],0))</f>
        <v>#N/A</v>
      </c>
    </row>
    <row r="471" spans="1:4" x14ac:dyDescent="0.25">
      <c r="A471" s="34" t="str">
        <f>IFERROR(VLOOKUP(B471,Référentiels!$M$2:$N$267,2,FALSE),"")</f>
        <v/>
      </c>
      <c r="B471" s="17"/>
      <c r="C471" s="59"/>
      <c r="D471" s="36" t="e">
        <f>INDEX(tbl_IngrédientsRef[Unité], MATCH(A471, tbl_IngrédientsRef[Cde_Ingrdt],0))</f>
        <v>#N/A</v>
      </c>
    </row>
    <row r="472" spans="1:4" x14ac:dyDescent="0.25">
      <c r="A472" s="34" t="str">
        <f>IFERROR(VLOOKUP(B472,Référentiels!$M$2:$N$267,2,FALSE),"")</f>
        <v/>
      </c>
      <c r="B472" s="17"/>
      <c r="C472" s="59"/>
      <c r="D472" s="36" t="e">
        <f>INDEX(tbl_IngrédientsRef[Unité], MATCH(A472, tbl_IngrédientsRef[Cde_Ingrdt],0))</f>
        <v>#N/A</v>
      </c>
    </row>
    <row r="473" spans="1:4" x14ac:dyDescent="0.25">
      <c r="A473" s="34" t="str">
        <f>IFERROR(VLOOKUP(B473,Référentiels!$M$2:$N$267,2,FALSE),"")</f>
        <v/>
      </c>
      <c r="B473" s="17"/>
      <c r="C473" s="59"/>
      <c r="D473" s="36" t="e">
        <f>INDEX(tbl_IngrédientsRef[Unité], MATCH(A473, tbl_IngrédientsRef[Cde_Ingrdt],0))</f>
        <v>#N/A</v>
      </c>
    </row>
    <row r="474" spans="1:4" x14ac:dyDescent="0.25">
      <c r="A474" s="34" t="str">
        <f>IFERROR(VLOOKUP(B474,Référentiels!$M$2:$N$267,2,FALSE),"")</f>
        <v/>
      </c>
      <c r="B474" s="17"/>
      <c r="C474" s="59"/>
      <c r="D474" s="36" t="e">
        <f>INDEX(tbl_IngrédientsRef[Unité], MATCH(A474, tbl_IngrédientsRef[Cde_Ingrdt],0))</f>
        <v>#N/A</v>
      </c>
    </row>
    <row r="475" spans="1:4" x14ac:dyDescent="0.25">
      <c r="A475" s="34" t="str">
        <f>IFERROR(VLOOKUP(B475,Référentiels!$M$2:$N$267,2,FALSE),"")</f>
        <v/>
      </c>
      <c r="B475" s="17"/>
      <c r="C475" s="59"/>
      <c r="D475" s="36" t="e">
        <f>INDEX(tbl_IngrédientsRef[Unité], MATCH(A475, tbl_IngrédientsRef[Cde_Ingrdt],0))</f>
        <v>#N/A</v>
      </c>
    </row>
    <row r="476" spans="1:4" x14ac:dyDescent="0.25">
      <c r="A476" s="34" t="str">
        <f>IFERROR(VLOOKUP(B476,Référentiels!$M$2:$N$267,2,FALSE),"")</f>
        <v/>
      </c>
      <c r="B476" s="17"/>
      <c r="C476" s="59"/>
      <c r="D476" s="36" t="e">
        <f>INDEX(tbl_IngrédientsRef[Unité], MATCH(A476, tbl_IngrédientsRef[Cde_Ingrdt],0))</f>
        <v>#N/A</v>
      </c>
    </row>
    <row r="477" spans="1:4" x14ac:dyDescent="0.25">
      <c r="A477" s="34" t="str">
        <f>IFERROR(VLOOKUP(B477,Référentiels!$M$2:$N$267,2,FALSE),"")</f>
        <v/>
      </c>
      <c r="B477" s="17"/>
      <c r="C477" s="59"/>
      <c r="D477" s="36" t="e">
        <f>INDEX(tbl_IngrédientsRef[Unité], MATCH(A477, tbl_IngrédientsRef[Cde_Ingrdt],0))</f>
        <v>#N/A</v>
      </c>
    </row>
    <row r="478" spans="1:4" x14ac:dyDescent="0.25">
      <c r="A478" s="34" t="str">
        <f>IFERROR(VLOOKUP(B478,Référentiels!$M$2:$N$267,2,FALSE),"")</f>
        <v/>
      </c>
      <c r="B478" s="17"/>
      <c r="C478" s="59"/>
      <c r="D478" s="36" t="e">
        <f>INDEX(tbl_IngrédientsRef[Unité], MATCH(A478, tbl_IngrédientsRef[Cde_Ingrdt],0))</f>
        <v>#N/A</v>
      </c>
    </row>
    <row r="479" spans="1:4" x14ac:dyDescent="0.25">
      <c r="A479" s="34" t="str">
        <f>IFERROR(VLOOKUP(B479,Référentiels!$M$2:$N$267,2,FALSE),"")</f>
        <v/>
      </c>
      <c r="B479" s="17"/>
      <c r="C479" s="59"/>
      <c r="D479" s="36" t="e">
        <f>INDEX(tbl_IngrédientsRef[Unité], MATCH(A479, tbl_IngrédientsRef[Cde_Ingrdt],0))</f>
        <v>#N/A</v>
      </c>
    </row>
    <row r="480" spans="1:4" x14ac:dyDescent="0.25">
      <c r="A480" s="34" t="str">
        <f>IFERROR(VLOOKUP(B480,Référentiels!$M$2:$N$267,2,FALSE),"")</f>
        <v/>
      </c>
      <c r="B480" s="17"/>
      <c r="C480" s="59"/>
      <c r="D480" s="36" t="e">
        <f>INDEX(tbl_IngrédientsRef[Unité], MATCH(A480, tbl_IngrédientsRef[Cde_Ingrdt],0))</f>
        <v>#N/A</v>
      </c>
    </row>
    <row r="481" spans="1:4" x14ac:dyDescent="0.25">
      <c r="A481" s="34" t="str">
        <f>IFERROR(VLOOKUP(B481,Référentiels!$M$2:$N$267,2,FALSE),"")</f>
        <v/>
      </c>
      <c r="B481" s="17"/>
      <c r="C481" s="59"/>
      <c r="D481" s="36" t="e">
        <f>INDEX(tbl_IngrédientsRef[Unité], MATCH(A481, tbl_IngrédientsRef[Cde_Ingrdt],0))</f>
        <v>#N/A</v>
      </c>
    </row>
    <row r="482" spans="1:4" x14ac:dyDescent="0.25">
      <c r="A482" s="34" t="str">
        <f>IFERROR(VLOOKUP(B482,Référentiels!$M$2:$N$267,2,FALSE),"")</f>
        <v/>
      </c>
      <c r="B482" s="17"/>
      <c r="C482" s="59"/>
      <c r="D482" s="36" t="e">
        <f>INDEX(tbl_IngrédientsRef[Unité], MATCH(A482, tbl_IngrédientsRef[Cde_Ingrdt],0))</f>
        <v>#N/A</v>
      </c>
    </row>
    <row r="483" spans="1:4" x14ac:dyDescent="0.25">
      <c r="A483" s="34" t="str">
        <f>IFERROR(VLOOKUP(B483,Référentiels!$M$2:$N$267,2,FALSE),"")</f>
        <v/>
      </c>
      <c r="B483" s="17"/>
      <c r="C483" s="59"/>
      <c r="D483" s="36" t="e">
        <f>INDEX(tbl_IngrédientsRef[Unité], MATCH(A483, tbl_IngrédientsRef[Cde_Ingrdt],0))</f>
        <v>#N/A</v>
      </c>
    </row>
    <row r="484" spans="1:4" x14ac:dyDescent="0.25">
      <c r="A484" s="34" t="str">
        <f>IFERROR(VLOOKUP(B484,Référentiels!$M$2:$N$267,2,FALSE),"")</f>
        <v/>
      </c>
      <c r="B484" s="17"/>
      <c r="C484" s="59"/>
      <c r="D484" s="36" t="e">
        <f>INDEX(tbl_IngrédientsRef[Unité], MATCH(A484, tbl_IngrédientsRef[Cde_Ingrdt],0))</f>
        <v>#N/A</v>
      </c>
    </row>
    <row r="485" spans="1:4" x14ac:dyDescent="0.25">
      <c r="A485" s="34" t="str">
        <f>IFERROR(VLOOKUP(B485,Référentiels!$M$2:$N$267,2,FALSE),"")</f>
        <v/>
      </c>
      <c r="B485" s="17"/>
      <c r="C485" s="59"/>
      <c r="D485" s="36" t="e">
        <f>INDEX(tbl_IngrédientsRef[Unité], MATCH(A485, tbl_IngrédientsRef[Cde_Ingrdt],0))</f>
        <v>#N/A</v>
      </c>
    </row>
    <row r="486" spans="1:4" x14ac:dyDescent="0.25">
      <c r="A486" s="34" t="str">
        <f>IFERROR(VLOOKUP(B486,Référentiels!$M$2:$N$267,2,FALSE),"")</f>
        <v/>
      </c>
      <c r="B486" s="17"/>
      <c r="C486" s="59"/>
      <c r="D486" s="36" t="e">
        <f>INDEX(tbl_IngrédientsRef[Unité], MATCH(A486, tbl_IngrédientsRef[Cde_Ingrdt],0))</f>
        <v>#N/A</v>
      </c>
    </row>
    <row r="487" spans="1:4" x14ac:dyDescent="0.25">
      <c r="A487" s="34" t="str">
        <f>IFERROR(VLOOKUP(B487,Référentiels!$M$2:$N$267,2,FALSE),"")</f>
        <v/>
      </c>
      <c r="B487" s="17"/>
      <c r="C487" s="59"/>
      <c r="D487" s="36" t="e">
        <f>INDEX(tbl_IngrédientsRef[Unité], MATCH(A487, tbl_IngrédientsRef[Cde_Ingrdt],0))</f>
        <v>#N/A</v>
      </c>
    </row>
    <row r="488" spans="1:4" x14ac:dyDescent="0.25">
      <c r="A488" s="34" t="str">
        <f>IFERROR(VLOOKUP(B488,Référentiels!$M$2:$N$267,2,FALSE),"")</f>
        <v/>
      </c>
      <c r="B488" s="17"/>
      <c r="C488" s="59"/>
      <c r="D488" s="36" t="e">
        <f>INDEX(tbl_IngrédientsRef[Unité], MATCH(A488, tbl_IngrédientsRef[Cde_Ingrdt],0))</f>
        <v>#N/A</v>
      </c>
    </row>
    <row r="489" spans="1:4" x14ac:dyDescent="0.25">
      <c r="A489" s="34" t="str">
        <f>IFERROR(VLOOKUP(B489,Référentiels!$M$2:$N$267,2,FALSE),"")</f>
        <v/>
      </c>
      <c r="B489" s="17"/>
      <c r="C489" s="59"/>
      <c r="D489" s="36" t="e">
        <f>INDEX(tbl_IngrédientsRef[Unité], MATCH(A489, tbl_IngrédientsRef[Cde_Ingrdt],0))</f>
        <v>#N/A</v>
      </c>
    </row>
    <row r="490" spans="1:4" x14ac:dyDescent="0.25">
      <c r="A490" s="34" t="str">
        <f>IFERROR(VLOOKUP(B490,Référentiels!$M$2:$N$267,2,FALSE),"")</f>
        <v/>
      </c>
      <c r="B490" s="17"/>
      <c r="C490" s="59"/>
      <c r="D490" s="36" t="e">
        <f>INDEX(tbl_IngrédientsRef[Unité], MATCH(A490, tbl_IngrédientsRef[Cde_Ingrdt],0))</f>
        <v>#N/A</v>
      </c>
    </row>
    <row r="491" spans="1:4" x14ac:dyDescent="0.25">
      <c r="A491" s="34" t="str">
        <f>IFERROR(VLOOKUP(B491,Référentiels!$M$2:$N$267,2,FALSE),"")</f>
        <v/>
      </c>
      <c r="B491" s="17"/>
      <c r="C491" s="59"/>
      <c r="D491" s="36" t="e">
        <f>INDEX(tbl_IngrédientsRef[Unité], MATCH(A491, tbl_IngrédientsRef[Cde_Ingrdt],0))</f>
        <v>#N/A</v>
      </c>
    </row>
    <row r="492" spans="1:4" x14ac:dyDescent="0.25">
      <c r="A492" s="34" t="str">
        <f>IFERROR(VLOOKUP(B492,Référentiels!$M$2:$N$267,2,FALSE),"")</f>
        <v/>
      </c>
      <c r="B492" s="17"/>
      <c r="C492" s="59"/>
      <c r="D492" s="36" t="e">
        <f>INDEX(tbl_IngrédientsRef[Unité], MATCH(A492, tbl_IngrédientsRef[Cde_Ingrdt],0))</f>
        <v>#N/A</v>
      </c>
    </row>
    <row r="493" spans="1:4" x14ac:dyDescent="0.25">
      <c r="A493" s="34" t="str">
        <f>IFERROR(VLOOKUP(B493,Référentiels!$M$2:$N$267,2,FALSE),"")</f>
        <v/>
      </c>
      <c r="B493" s="17"/>
      <c r="C493" s="59"/>
      <c r="D493" s="36" t="e">
        <f>INDEX(tbl_IngrédientsRef[Unité], MATCH(A493, tbl_IngrédientsRef[Cde_Ingrdt],0))</f>
        <v>#N/A</v>
      </c>
    </row>
    <row r="494" spans="1:4" x14ac:dyDescent="0.25">
      <c r="A494" s="34" t="str">
        <f>IFERROR(VLOOKUP(B494,Référentiels!$M$2:$N$267,2,FALSE),"")</f>
        <v/>
      </c>
      <c r="B494" s="17"/>
      <c r="C494" s="59"/>
      <c r="D494" s="36" t="e">
        <f>INDEX(tbl_IngrédientsRef[Unité], MATCH(A494, tbl_IngrédientsRef[Cde_Ingrdt],0))</f>
        <v>#N/A</v>
      </c>
    </row>
    <row r="495" spans="1:4" x14ac:dyDescent="0.25">
      <c r="A495" s="34" t="str">
        <f>IFERROR(VLOOKUP(B495,Référentiels!$M$2:$N$267,2,FALSE),"")</f>
        <v/>
      </c>
      <c r="B495" s="17"/>
      <c r="C495" s="59"/>
      <c r="D495" s="36" t="e">
        <f>INDEX(tbl_IngrédientsRef[Unité], MATCH(A495, tbl_IngrédientsRef[Cde_Ingrdt],0))</f>
        <v>#N/A</v>
      </c>
    </row>
    <row r="496" spans="1:4" x14ac:dyDescent="0.25">
      <c r="A496" s="34" t="str">
        <f>IFERROR(VLOOKUP(B496,Référentiels!$M$2:$N$267,2,FALSE),"")</f>
        <v/>
      </c>
      <c r="B496" s="17"/>
      <c r="C496" s="59"/>
      <c r="D496" s="36" t="e">
        <f>INDEX(tbl_IngrédientsRef[Unité], MATCH(A496, tbl_IngrédientsRef[Cde_Ingrdt],0))</f>
        <v>#N/A</v>
      </c>
    </row>
    <row r="497" spans="1:4" x14ac:dyDescent="0.25">
      <c r="A497" s="34" t="str">
        <f>IFERROR(VLOOKUP(B497,Référentiels!$M$2:$N$267,2,FALSE),"")</f>
        <v/>
      </c>
      <c r="B497" s="17"/>
      <c r="C497" s="59"/>
      <c r="D497" s="36" t="e">
        <f>INDEX(tbl_IngrédientsRef[Unité], MATCH(A497, tbl_IngrédientsRef[Cde_Ingrdt],0))</f>
        <v>#N/A</v>
      </c>
    </row>
    <row r="498" spans="1:4" x14ac:dyDescent="0.25">
      <c r="A498" s="34" t="str">
        <f>IFERROR(VLOOKUP(B498,Référentiels!$M$2:$N$267,2,FALSE),"")</f>
        <v/>
      </c>
      <c r="B498" s="17"/>
      <c r="C498" s="59"/>
      <c r="D498" s="36" t="e">
        <f>INDEX(tbl_IngrédientsRef[Unité], MATCH(A498, tbl_IngrédientsRef[Cde_Ingrdt],0))</f>
        <v>#N/A</v>
      </c>
    </row>
    <row r="499" spans="1:4" x14ac:dyDescent="0.25">
      <c r="A499" s="34" t="str">
        <f>IFERROR(VLOOKUP(B499,Référentiels!$M$2:$N$267,2,FALSE),"")</f>
        <v/>
      </c>
      <c r="B499" s="17"/>
      <c r="C499" s="59"/>
      <c r="D499" s="36" t="e">
        <f>INDEX(tbl_IngrédientsRef[Unité], MATCH(A499, tbl_IngrédientsRef[Cde_Ingrdt],0))</f>
        <v>#N/A</v>
      </c>
    </row>
    <row r="500" spans="1:4" x14ac:dyDescent="0.25">
      <c r="A500" s="34" t="str">
        <f>IFERROR(VLOOKUP(B500,Référentiels!$M$2:$N$267,2,FALSE),"")</f>
        <v/>
      </c>
      <c r="B500" s="19"/>
      <c r="C500" s="60"/>
      <c r="D500" s="36" t="e">
        <f>INDEX(tbl_IngrédientsRef[Unité], MATCH(A500, tbl_IngrédientsRef[Cde_Ingrdt],0))</f>
        <v>#N/A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9D6917-4653-482A-8F56-354C6C424012}">
          <x14:formula1>
            <xm:f>Référentiels!$M$2:$M$267</xm:f>
          </x14:formula1>
          <xm:sqref>B2:B500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S276"/>
  <sheetViews>
    <sheetView topLeftCell="A269" workbookViewId="0">
      <selection activeCell="Q255" sqref="Q255"/>
    </sheetView>
  </sheetViews>
  <sheetFormatPr baseColWidth="10" defaultColWidth="6" defaultRowHeight="15" x14ac:dyDescent="0.25"/>
  <cols>
    <col min="1" max="1" width="18" bestFit="1" customWidth="1"/>
    <col min="2" max="2" width="12.140625" bestFit="1" customWidth="1"/>
    <col min="3" max="3" width="5.85546875" customWidth="1"/>
    <col min="4" max="4" width="19.5703125" bestFit="1" customWidth="1"/>
    <col min="5" max="5" width="12.140625" bestFit="1" customWidth="1"/>
    <col min="6" max="6" width="6" customWidth="1"/>
    <col min="7" max="7" width="15.140625" bestFit="1" customWidth="1"/>
    <col min="8" max="8" width="48.42578125" bestFit="1" customWidth="1"/>
    <col min="9" max="9" width="26" bestFit="1" customWidth="1"/>
    <col min="10" max="10" width="17.42578125" bestFit="1" customWidth="1"/>
    <col min="11" max="11" width="19.28515625" bestFit="1" customWidth="1"/>
    <col min="12" max="12" width="6" customWidth="1"/>
    <col min="13" max="13" width="41.85546875" bestFit="1" customWidth="1"/>
    <col min="14" max="14" width="15.42578125" bestFit="1" customWidth="1"/>
    <col min="15" max="15" width="29.28515625" bestFit="1" customWidth="1"/>
    <col min="16" max="16" width="20.85546875" bestFit="1" customWidth="1"/>
    <col min="17" max="17" width="10.85546875" bestFit="1" customWidth="1"/>
    <col min="18" max="18" width="20.85546875" bestFit="1" customWidth="1"/>
    <col min="19" max="19" width="22.7109375" bestFit="1" customWidth="1"/>
    <col min="20" max="20" width="6" customWidth="1"/>
  </cols>
  <sheetData>
    <row r="1" spans="1:19" x14ac:dyDescent="0.25">
      <c r="A1" s="106" t="s">
        <v>1189</v>
      </c>
      <c r="B1" s="107" t="s">
        <v>1190</v>
      </c>
      <c r="C1" s="105"/>
      <c r="D1" s="107" t="s">
        <v>1191</v>
      </c>
      <c r="E1" s="113" t="s">
        <v>1190</v>
      </c>
      <c r="G1" s="108" t="s">
        <v>42</v>
      </c>
      <c r="H1" s="109" t="s">
        <v>41</v>
      </c>
      <c r="I1" s="109" t="s">
        <v>12</v>
      </c>
      <c r="J1" s="22" t="s">
        <v>44</v>
      </c>
      <c r="K1" s="109" t="s">
        <v>1192</v>
      </c>
      <c r="M1" s="108" t="s">
        <v>200</v>
      </c>
      <c r="N1" s="110" t="s">
        <v>199</v>
      </c>
      <c r="O1" s="109" t="s">
        <v>1193</v>
      </c>
      <c r="P1" s="22" t="s">
        <v>1194</v>
      </c>
      <c r="Q1" s="109" t="s">
        <v>202</v>
      </c>
      <c r="R1" s="109" t="s">
        <v>1195</v>
      </c>
      <c r="S1" s="109" t="s">
        <v>1196</v>
      </c>
    </row>
    <row r="2" spans="1:19" ht="16.5" customHeight="1" x14ac:dyDescent="0.3">
      <c r="A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2" s="111">
        <f>COUNTIF(A$2:$A2,A2)</f>
        <v>1</v>
      </c>
      <c r="D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2" s="111">
        <f>COUNTIF($D$2:D2,D2)</f>
        <v>1</v>
      </c>
      <c r="G2" s="89" t="str">
        <f>Référentiels!A2&amp;TEXT(Référentiels!B2,"000")</f>
        <v>PDJ001</v>
      </c>
      <c r="H2" s="64" t="s">
        <v>70</v>
      </c>
      <c r="I2" s="64" t="s">
        <v>20</v>
      </c>
      <c r="J2" s="23">
        <v>70</v>
      </c>
      <c r="K2" s="26">
        <f>IFERROR(
  SUMIFS(#REF!,#REF!, tbl_ProduitsRef[[#This Row],[Cde_Prdt]]),
0)</f>
        <v>0</v>
      </c>
      <c r="M2" s="91" t="s">
        <v>218</v>
      </c>
      <c r="N2" s="88" t="str">
        <f>Référentiels!D2&amp;TEXT(Référentiels!E2,"000")</f>
        <v>BOU001</v>
      </c>
      <c r="O2" s="64" t="s">
        <v>1197</v>
      </c>
      <c r="P2" s="23">
        <v>2.5</v>
      </c>
      <c r="Q2" s="88" t="s">
        <v>206</v>
      </c>
      <c r="R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2.5</v>
      </c>
      <c r="S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2.5</v>
      </c>
    </row>
    <row r="3" spans="1:19" ht="16.5" customHeight="1" x14ac:dyDescent="0.3">
      <c r="A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3" s="111">
        <f>COUNTIF(A$2:$A3,A3)</f>
        <v>2</v>
      </c>
      <c r="D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3" s="111">
        <f>COUNTIF($D$2:D3,D3)</f>
        <v>2</v>
      </c>
      <c r="G3" s="89" t="str">
        <f>Référentiels!A3&amp;TEXT(Référentiels!B3,"000")</f>
        <v>PDJ002</v>
      </c>
      <c r="H3" s="64" t="s">
        <v>71</v>
      </c>
      <c r="I3" s="64" t="s">
        <v>20</v>
      </c>
      <c r="J3" s="23">
        <v>70</v>
      </c>
      <c r="K3" s="26">
        <f>IFERROR(
  SUMIFS(#REF!,#REF!, tbl_ProduitsRef[[#This Row],[Cde_Prdt]]),
0)</f>
        <v>0</v>
      </c>
      <c r="M3" s="91" t="s">
        <v>1198</v>
      </c>
      <c r="N3" s="88" t="str">
        <f>Référentiels!D3&amp;TEXT(Référentiels!E3,"000")</f>
        <v>BOU002</v>
      </c>
      <c r="O3" s="64" t="s">
        <v>1197</v>
      </c>
      <c r="P3" s="23">
        <v>1.5</v>
      </c>
      <c r="Q3" s="88" t="s">
        <v>206</v>
      </c>
      <c r="R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1.5</v>
      </c>
      <c r="S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1.5</v>
      </c>
    </row>
    <row r="4" spans="1:19" ht="16.5" customHeight="1" x14ac:dyDescent="0.3">
      <c r="A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4" s="111">
        <f>COUNTIF(A$2:$A4,A4)</f>
        <v>3</v>
      </c>
      <c r="D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4" s="111">
        <f>COUNTIF($D$2:D4,D4)</f>
        <v>3</v>
      </c>
      <c r="G4" s="89" t="str">
        <f>Référentiels!A4&amp;TEXT(Référentiels!B4,"000")</f>
        <v>PDJ003</v>
      </c>
      <c r="H4" s="64" t="s">
        <v>228</v>
      </c>
      <c r="I4" s="64" t="s">
        <v>20</v>
      </c>
      <c r="J4" s="23">
        <v>60</v>
      </c>
      <c r="K4" s="26">
        <f>IFERROR(
  SUMIFS(#REF!,#REF!, tbl_ProduitsRef[[#This Row],[Cde_Prdt]]),
0)</f>
        <v>0</v>
      </c>
      <c r="M4" s="91" t="s">
        <v>238</v>
      </c>
      <c r="N4" s="88" t="str">
        <f>Référentiels!D4&amp;TEXT(Référentiels!E4,"000")</f>
        <v>BOU003</v>
      </c>
      <c r="O4" s="64" t="s">
        <v>1197</v>
      </c>
      <c r="P4" s="23">
        <v>2</v>
      </c>
      <c r="Q4" s="88" t="s">
        <v>206</v>
      </c>
      <c r="R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2</v>
      </c>
    </row>
    <row r="5" spans="1:19" ht="16.5" customHeight="1" x14ac:dyDescent="0.3">
      <c r="A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5" s="111">
        <f>COUNTIF(A$2:$A5,A5)</f>
        <v>4</v>
      </c>
      <c r="D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5" s="111">
        <f>COUNTIF($D$2:D5,D5)</f>
        <v>4</v>
      </c>
      <c r="G5" s="89" t="str">
        <f>Référentiels!A5&amp;TEXT(Référentiels!B5,"000")</f>
        <v>PDJ004</v>
      </c>
      <c r="H5" s="64" t="s">
        <v>230</v>
      </c>
      <c r="I5" s="64" t="s">
        <v>20</v>
      </c>
      <c r="J5" s="23">
        <v>55</v>
      </c>
      <c r="K5" s="26">
        <f>IFERROR(
  SUMIFS(#REF!,#REF!, tbl_ProduitsRef[[#This Row],[Cde_Prdt]]),
0)</f>
        <v>0</v>
      </c>
      <c r="M5" s="91" t="s">
        <v>205</v>
      </c>
      <c r="N5" s="88" t="str">
        <f>Référentiels!D5&amp;TEXT(Référentiels!E5,"000")</f>
        <v>BOU004</v>
      </c>
      <c r="O5" s="64" t="s">
        <v>1197</v>
      </c>
      <c r="P5" s="23">
        <v>1.2</v>
      </c>
      <c r="Q5" s="88" t="s">
        <v>206</v>
      </c>
      <c r="R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1.2</v>
      </c>
      <c r="S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1.2</v>
      </c>
    </row>
    <row r="6" spans="1:19" ht="16.5" customHeight="1" x14ac:dyDescent="0.3">
      <c r="A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6" s="111">
        <f>COUNTIF(A$2:$A6,A6)</f>
        <v>5</v>
      </c>
      <c r="D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6" s="111">
        <f>COUNTIF($D$2:D6,D6)</f>
        <v>5</v>
      </c>
      <c r="G6" s="89" t="str">
        <f>Référentiels!A6&amp;TEXT(Référentiels!B6,"000")</f>
        <v>PDJ005</v>
      </c>
      <c r="H6" s="64" t="s">
        <v>235</v>
      </c>
      <c r="I6" s="64" t="s">
        <v>20</v>
      </c>
      <c r="J6" s="23">
        <v>54</v>
      </c>
      <c r="K6" s="26">
        <f>IFERROR(
  SUMIFS(#REF!,#REF!, tbl_ProduitsRef[[#This Row],[Cde_Prdt]]),
0)</f>
        <v>0</v>
      </c>
      <c r="M6" s="91" t="s">
        <v>290</v>
      </c>
      <c r="N6" s="88" t="str">
        <f>Référentiels!D6&amp;TEXT(Référentiels!E6,"000")</f>
        <v>BOU005</v>
      </c>
      <c r="O6" s="64" t="s">
        <v>1197</v>
      </c>
      <c r="P6" s="23">
        <v>4</v>
      </c>
      <c r="Q6" s="88" t="s">
        <v>206</v>
      </c>
      <c r="R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</v>
      </c>
      <c r="S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4</v>
      </c>
    </row>
    <row r="7" spans="1:19" ht="16.5" customHeight="1" x14ac:dyDescent="0.3">
      <c r="A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7" s="111">
        <f>COUNTIF(A$2:$A7,A7)</f>
        <v>6</v>
      </c>
      <c r="D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7" s="111">
        <f>COUNTIF($D$2:D7,D7)</f>
        <v>6</v>
      </c>
      <c r="G7" s="89" t="str">
        <f>Référentiels!A7&amp;TEXT(Référentiels!B7,"000")</f>
        <v>PDJ006</v>
      </c>
      <c r="H7" s="64" t="s">
        <v>247</v>
      </c>
      <c r="I7" s="64" t="s">
        <v>20</v>
      </c>
      <c r="J7" s="23">
        <v>52</v>
      </c>
      <c r="K7" s="26">
        <f>IFERROR(
  SUMIFS(#REF!,#REF!, tbl_ProduitsRef[[#This Row],[Cde_Prdt]]),
0)</f>
        <v>0</v>
      </c>
      <c r="M7" s="91" t="s">
        <v>288</v>
      </c>
      <c r="N7" s="88" t="str">
        <f>Référentiels!D7&amp;TEXT(Référentiels!E7,"000")</f>
        <v>BOU006</v>
      </c>
      <c r="O7" s="64" t="s">
        <v>1197</v>
      </c>
      <c r="P7" s="23">
        <v>3</v>
      </c>
      <c r="Q7" s="88" t="s">
        <v>206</v>
      </c>
      <c r="R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</v>
      </c>
      <c r="S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3</v>
      </c>
    </row>
    <row r="8" spans="1:19" ht="16.5" customHeight="1" x14ac:dyDescent="0.3">
      <c r="A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8" s="111">
        <f>COUNTIF(A$2:$A8,A8)</f>
        <v>7</v>
      </c>
      <c r="D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8" s="111">
        <f>COUNTIF($D$2:D8,D8)</f>
        <v>7</v>
      </c>
      <c r="G8" s="89" t="str">
        <f>Référentiels!A8&amp;TEXT(Référentiels!B8,"000")</f>
        <v>PDJ007</v>
      </c>
      <c r="H8" s="64" t="s">
        <v>257</v>
      </c>
      <c r="I8" s="64" t="s">
        <v>20</v>
      </c>
      <c r="J8" s="23">
        <v>52</v>
      </c>
      <c r="K8" s="26">
        <f>IFERROR(
  SUMIFS(#REF!,#REF!, tbl_ProduitsRef[[#This Row],[Cde_Prdt]]),
0)</f>
        <v>0</v>
      </c>
      <c r="M8" s="91" t="s">
        <v>342</v>
      </c>
      <c r="N8" s="88" t="str">
        <f>Référentiels!D8&amp;TEXT(Référentiels!E8,"000")</f>
        <v>BOU007</v>
      </c>
      <c r="O8" s="64" t="s">
        <v>1197</v>
      </c>
      <c r="P8" s="23">
        <v>7</v>
      </c>
      <c r="Q8" s="88" t="s">
        <v>206</v>
      </c>
      <c r="R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</v>
      </c>
    </row>
    <row r="9" spans="1:19" ht="16.5" customHeight="1" x14ac:dyDescent="0.3">
      <c r="A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9" s="111">
        <f>COUNTIF(A$2:$A9,A9)</f>
        <v>8</v>
      </c>
      <c r="D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9" s="111">
        <f>COUNTIF($D$2:D9,D9)</f>
        <v>8</v>
      </c>
      <c r="G9" s="89" t="str">
        <f>Référentiels!A9&amp;TEXT(Référentiels!B9,"000")</f>
        <v>PDJ008</v>
      </c>
      <c r="H9" s="64" t="s">
        <v>265</v>
      </c>
      <c r="I9" s="64" t="s">
        <v>20</v>
      </c>
      <c r="J9" s="23">
        <v>48</v>
      </c>
      <c r="K9" s="26">
        <f>IFERROR(
  SUMIFS(#REF!,#REF!, tbl_ProduitsRef[[#This Row],[Cde_Prdt]]),
0)</f>
        <v>0</v>
      </c>
      <c r="M9" s="91" t="s">
        <v>272</v>
      </c>
      <c r="N9" s="88" t="str">
        <f>Référentiels!D9&amp;TEXT(Référentiels!E9,"000")</f>
        <v>BOU008</v>
      </c>
      <c r="O9" s="64" t="s">
        <v>1197</v>
      </c>
      <c r="P9" s="23">
        <v>2</v>
      </c>
      <c r="Q9" s="88" t="s">
        <v>206</v>
      </c>
      <c r="R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2</v>
      </c>
    </row>
    <row r="10" spans="1:19" ht="16.5" customHeight="1" x14ac:dyDescent="0.3">
      <c r="A1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10" s="111">
        <f>COUNTIF(A$2:$A10,A10)</f>
        <v>9</v>
      </c>
      <c r="D1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0" s="111">
        <f>COUNTIF($D$2:D10,D10)</f>
        <v>9</v>
      </c>
      <c r="G10" s="89" t="str">
        <f>Référentiels!A10&amp;TEXT(Référentiels!B10,"000")</f>
        <v>PDJ009</v>
      </c>
      <c r="H10" s="64" t="s">
        <v>79</v>
      </c>
      <c r="I10" s="64" t="s">
        <v>20</v>
      </c>
      <c r="J10" s="23">
        <v>45</v>
      </c>
      <c r="K10" s="26">
        <f>IFERROR(
  SUMIFS(#REF!,#REF!, tbl_ProduitsRef[[#This Row],[Cde_Prdt]]),
0)</f>
        <v>0</v>
      </c>
      <c r="M10" s="91" t="s">
        <v>274</v>
      </c>
      <c r="N10" s="88" t="str">
        <f>Référentiels!D10&amp;TEXT(Référentiels!E10,"000")</f>
        <v>BOU009</v>
      </c>
      <c r="O10" s="64" t="s">
        <v>1197</v>
      </c>
      <c r="P10" s="23">
        <v>2</v>
      </c>
      <c r="Q10" s="88" t="s">
        <v>206</v>
      </c>
      <c r="R1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1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2</v>
      </c>
    </row>
    <row r="11" spans="1:19" ht="16.5" customHeight="1" x14ac:dyDescent="0.3">
      <c r="A1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11" s="111">
        <f>COUNTIF(A$2:$A11,A11)</f>
        <v>10</v>
      </c>
      <c r="D1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1" s="111">
        <f>COUNTIF($D$2:D11,D11)</f>
        <v>10</v>
      </c>
      <c r="G11" s="89" t="str">
        <f>Référentiels!A11&amp;TEXT(Référentiels!B11,"000")</f>
        <v>PDJ010</v>
      </c>
      <c r="H11" s="64" t="s">
        <v>57</v>
      </c>
      <c r="I11" s="64" t="s">
        <v>20</v>
      </c>
      <c r="J11" s="23">
        <v>42</v>
      </c>
      <c r="K11" s="26">
        <f>IFERROR(
  SUMIFS(#REF!,#REF!, tbl_ProduitsRef[[#This Row],[Cde_Prdt]]),
0)</f>
        <v>0</v>
      </c>
      <c r="M11" s="91" t="s">
        <v>276</v>
      </c>
      <c r="N11" s="88" t="str">
        <f>Référentiels!D11&amp;TEXT(Référentiels!E11,"000")</f>
        <v>BOU010</v>
      </c>
      <c r="O11" s="64" t="s">
        <v>1197</v>
      </c>
      <c r="P11" s="23">
        <v>2</v>
      </c>
      <c r="Q11" s="88" t="s">
        <v>206</v>
      </c>
      <c r="R1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1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2</v>
      </c>
    </row>
    <row r="12" spans="1:19" ht="16.5" customHeight="1" x14ac:dyDescent="0.3">
      <c r="A1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PDJ</v>
      </c>
      <c r="B12" s="111">
        <f>COUNTIF(A$2:$A12,A12)</f>
        <v>11</v>
      </c>
      <c r="D1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2" s="111">
        <f>COUNTIF($D$2:D12,D12)</f>
        <v>11</v>
      </c>
      <c r="G12" s="89" t="str">
        <f>Référentiels!A12&amp;TEXT(Référentiels!B12,"000")</f>
        <v>PDJ011</v>
      </c>
      <c r="H12" s="64" t="s">
        <v>285</v>
      </c>
      <c r="I12" s="64" t="s">
        <v>20</v>
      </c>
      <c r="J12" s="23">
        <v>40</v>
      </c>
      <c r="K12" s="26">
        <f>IFERROR(
  SUMIFS(#REF!,#REF!, tbl_ProduitsRef[[#This Row],[Cde_Prdt]]),
0)</f>
        <v>0</v>
      </c>
      <c r="M12" s="91" t="s">
        <v>809</v>
      </c>
      <c r="N12" s="88" t="str">
        <f>Référentiels!D12&amp;TEXT(Référentiels!E12,"000")</f>
        <v>BOU011</v>
      </c>
      <c r="O12" s="64" t="s">
        <v>1197</v>
      </c>
      <c r="P12" s="23">
        <v>5</v>
      </c>
      <c r="Q12" s="88" t="s">
        <v>206</v>
      </c>
      <c r="R1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</v>
      </c>
      <c r="S1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5</v>
      </c>
    </row>
    <row r="13" spans="1:19" ht="16.5" customHeight="1" x14ac:dyDescent="0.3">
      <c r="A1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3" s="111">
        <f>COUNTIF(A$2:$A13,A13)</f>
        <v>1</v>
      </c>
      <c r="D1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3" s="111">
        <f>COUNTIF($D$2:D13,D13)</f>
        <v>12</v>
      </c>
      <c r="G13" s="89" t="str">
        <f>Référentiels!A13&amp;TEXT(Référentiels!B13,"000")</f>
        <v>OME001</v>
      </c>
      <c r="H13" s="64" t="s">
        <v>291</v>
      </c>
      <c r="I13" s="64" t="s">
        <v>21</v>
      </c>
      <c r="J13" s="23">
        <v>35</v>
      </c>
      <c r="K13" s="26">
        <f>IFERROR(
  SUMIFS(#REF!,#REF!, tbl_ProduitsRef[[#This Row],[Cde_Prdt]]),
0)</f>
        <v>0</v>
      </c>
      <c r="M13" s="91" t="s">
        <v>388</v>
      </c>
      <c r="N13" s="88" t="str">
        <f>Référentiels!D13&amp;TEXT(Référentiels!E13,"000")</f>
        <v>BOU012</v>
      </c>
      <c r="O13" s="64" t="s">
        <v>1197</v>
      </c>
      <c r="P13" s="23">
        <v>0.2</v>
      </c>
      <c r="Q13" s="88" t="s">
        <v>209</v>
      </c>
      <c r="R1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1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0.2</v>
      </c>
    </row>
    <row r="14" spans="1:19" ht="16.5" customHeight="1" x14ac:dyDescent="0.3">
      <c r="A1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4" s="111">
        <f>COUNTIF(A$2:$A14,A14)</f>
        <v>2</v>
      </c>
      <c r="D1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4" s="111">
        <f>COUNTIF($D$2:D14,D14)</f>
        <v>13</v>
      </c>
      <c r="G14" s="89" t="str">
        <f>Référentiels!A14&amp;TEXT(Référentiels!B14,"000")</f>
        <v>OME002</v>
      </c>
      <c r="H14" s="64" t="s">
        <v>301</v>
      </c>
      <c r="I14" s="64" t="s">
        <v>21</v>
      </c>
      <c r="J14" s="23">
        <v>25</v>
      </c>
      <c r="K14" s="26">
        <f>IFERROR(
  SUMIFS(#REF!,#REF!, tbl_ProduitsRef[[#This Row],[Cde_Prdt]]),
0)</f>
        <v>0</v>
      </c>
      <c r="M14" s="91" t="s">
        <v>1199</v>
      </c>
      <c r="N14" s="88" t="str">
        <f>Référentiels!D14&amp;TEXT(Référentiels!E14,"000")</f>
        <v>BOU013</v>
      </c>
      <c r="O14" s="64" t="s">
        <v>1197</v>
      </c>
      <c r="P14" s="23">
        <v>7</v>
      </c>
      <c r="Q14" s="88" t="s">
        <v>206</v>
      </c>
      <c r="R1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1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</v>
      </c>
    </row>
    <row r="15" spans="1:19" ht="16.5" customHeight="1" x14ac:dyDescent="0.3">
      <c r="A1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5" s="111">
        <f>COUNTIF(A$2:$A15,A15)</f>
        <v>3</v>
      </c>
      <c r="D1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5" s="111">
        <f>COUNTIF($D$2:D15,D15)</f>
        <v>14</v>
      </c>
      <c r="G15" s="89" t="str">
        <f>Référentiels!A15&amp;TEXT(Référentiels!B15,"000")</f>
        <v>OME003</v>
      </c>
      <c r="H15" s="64" t="s">
        <v>305</v>
      </c>
      <c r="I15" s="64" t="s">
        <v>21</v>
      </c>
      <c r="J15" s="23">
        <v>22</v>
      </c>
      <c r="K15" s="26">
        <f>IFERROR(
  SUMIFS(#REF!,#REF!, tbl_ProduitsRef[[#This Row],[Cde_Prdt]]),
0)</f>
        <v>0</v>
      </c>
      <c r="M15" s="91" t="s">
        <v>847</v>
      </c>
      <c r="N15" s="88" t="str">
        <f>Référentiels!D15&amp;TEXT(Référentiels!E15,"000")</f>
        <v>BOU014</v>
      </c>
      <c r="O15" s="64" t="s">
        <v>1197</v>
      </c>
      <c r="P15" s="23">
        <v>5</v>
      </c>
      <c r="Q15" s="88" t="s">
        <v>206</v>
      </c>
      <c r="R1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</v>
      </c>
      <c r="S1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5</v>
      </c>
    </row>
    <row r="16" spans="1:19" ht="16.5" customHeight="1" x14ac:dyDescent="0.3">
      <c r="A1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6" s="111">
        <f>COUNTIF(A$2:$A16,A16)</f>
        <v>4</v>
      </c>
      <c r="D1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6" s="111">
        <f>COUNTIF($D$2:D16,D16)</f>
        <v>15</v>
      </c>
      <c r="G16" s="89" t="str">
        <f>Référentiels!A16&amp;TEXT(Référentiels!B16,"000")</f>
        <v>OME004</v>
      </c>
      <c r="H16" s="64" t="s">
        <v>313</v>
      </c>
      <c r="I16" s="64" t="s">
        <v>21</v>
      </c>
      <c r="J16" s="23">
        <v>20</v>
      </c>
      <c r="K16" s="26">
        <f>IFERROR(
  SUMIFS(#REF!,#REF!, tbl_ProduitsRef[[#This Row],[Cde_Prdt]]),
0)</f>
        <v>0</v>
      </c>
      <c r="M16" s="91" t="s">
        <v>863</v>
      </c>
      <c r="N16" s="88" t="str">
        <f>Référentiels!D16&amp;TEXT(Référentiels!E16,"000")</f>
        <v>BOU015</v>
      </c>
      <c r="O16" s="64" t="s">
        <v>1197</v>
      </c>
      <c r="P16" s="23">
        <v>15</v>
      </c>
      <c r="Q16" s="88" t="s">
        <v>206</v>
      </c>
      <c r="R1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1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15</v>
      </c>
    </row>
    <row r="17" spans="1:19" ht="16.5" customHeight="1" x14ac:dyDescent="0.3">
      <c r="A1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7" s="111">
        <f>COUNTIF(A$2:$A17,A17)</f>
        <v>5</v>
      </c>
      <c r="D1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7" s="111">
        <f>COUNTIF($D$2:D17,D17)</f>
        <v>16</v>
      </c>
      <c r="G17" s="89" t="str">
        <f>Référentiels!A17&amp;TEXT(Référentiels!B17,"000")</f>
        <v>OME005</v>
      </c>
      <c r="H17" s="64" t="s">
        <v>80</v>
      </c>
      <c r="I17" s="64" t="s">
        <v>21</v>
      </c>
      <c r="J17" s="23">
        <v>18</v>
      </c>
      <c r="K17" s="26">
        <f>IFERROR(
  SUMIFS(#REF!,#REF!, tbl_ProduitsRef[[#This Row],[Cde_Prdt]]),
0)</f>
        <v>0</v>
      </c>
      <c r="M17" s="91" t="s">
        <v>695</v>
      </c>
      <c r="N17" s="88" t="str">
        <f>Référentiels!D17&amp;TEXT(Référentiels!E17,"000")</f>
        <v>BOU016</v>
      </c>
      <c r="O17" s="64" t="s">
        <v>1197</v>
      </c>
      <c r="P17" s="23">
        <v>5</v>
      </c>
      <c r="Q17" s="88" t="s">
        <v>206</v>
      </c>
      <c r="R1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</v>
      </c>
      <c r="S1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5</v>
      </c>
    </row>
    <row r="18" spans="1:19" ht="16.5" customHeight="1" x14ac:dyDescent="0.3">
      <c r="A1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8" s="111">
        <f>COUNTIF(A$2:$A18,A18)</f>
        <v>6</v>
      </c>
      <c r="D1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8" s="111">
        <f>COUNTIF($D$2:D18,D18)</f>
        <v>17</v>
      </c>
      <c r="G18" s="89" t="str">
        <f>Référentiels!A18&amp;TEXT(Référentiels!B18,"000")</f>
        <v>OME006</v>
      </c>
      <c r="H18" s="64" t="s">
        <v>318</v>
      </c>
      <c r="I18" s="64" t="s">
        <v>21</v>
      </c>
      <c r="J18" s="23">
        <v>15</v>
      </c>
      <c r="K18" s="26">
        <f>IFERROR(
  SUMIFS(#REF!,#REF!, tbl_ProduitsRef[[#This Row],[Cde_Prdt]]),
0)</f>
        <v>0</v>
      </c>
      <c r="M18" s="91" t="s">
        <v>727</v>
      </c>
      <c r="N18" s="88" t="str">
        <f>Référentiels!D18&amp;TEXT(Référentiels!E18,"000")</f>
        <v>BOU017</v>
      </c>
      <c r="O18" s="64" t="s">
        <v>1197</v>
      </c>
      <c r="P18" s="23">
        <v>1.3</v>
      </c>
      <c r="Q18" s="88" t="s">
        <v>206</v>
      </c>
      <c r="R1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1.3</v>
      </c>
      <c r="S1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1.3</v>
      </c>
    </row>
    <row r="19" spans="1:19" ht="16.5" customHeight="1" x14ac:dyDescent="0.3">
      <c r="A1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OME</v>
      </c>
      <c r="B19" s="111">
        <f>COUNTIF(A$2:$A19,A19)</f>
        <v>7</v>
      </c>
      <c r="D1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19" s="111">
        <f>COUNTIF($D$2:D19,D19)</f>
        <v>18</v>
      </c>
      <c r="G19" s="89" t="str">
        <f>Référentiels!A19&amp;TEXT(Référentiels!B19,"000")</f>
        <v>OME007</v>
      </c>
      <c r="H19" s="64" t="s">
        <v>320</v>
      </c>
      <c r="I19" s="64" t="s">
        <v>21</v>
      </c>
      <c r="J19" s="23">
        <v>10</v>
      </c>
      <c r="K19" s="26">
        <f>IFERROR(
  SUMIFS(#REF!,#REF!, tbl_ProduitsRef[[#This Row],[Cde_Prdt]]),
0)</f>
        <v>0</v>
      </c>
      <c r="M19" s="91" t="s">
        <v>797</v>
      </c>
      <c r="N19" s="88" t="str">
        <f>Référentiels!D19&amp;TEXT(Référentiels!E19,"000")</f>
        <v>BOU018</v>
      </c>
      <c r="O19" s="64" t="s">
        <v>1197</v>
      </c>
      <c r="P19" s="23">
        <v>3.5</v>
      </c>
      <c r="Q19" s="88" t="s">
        <v>206</v>
      </c>
      <c r="R1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3.5</v>
      </c>
      <c r="S1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3.5</v>
      </c>
    </row>
    <row r="20" spans="1:19" ht="16.5" customHeight="1" x14ac:dyDescent="0.3">
      <c r="A2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OND</v>
      </c>
      <c r="B20" s="111">
        <f>COUNTIF(A$2:$A20,A20)</f>
        <v>1</v>
      </c>
      <c r="D2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BOU</v>
      </c>
      <c r="E20" s="111">
        <f>COUNTIF($D$2:D20,D20)</f>
        <v>19</v>
      </c>
      <c r="G20" s="89" t="str">
        <f>Référentiels!A20&amp;TEXT(Référentiels!B20,"000")</f>
        <v>OND001</v>
      </c>
      <c r="H20" s="64" t="s">
        <v>322</v>
      </c>
      <c r="I20" s="64" t="s">
        <v>22</v>
      </c>
      <c r="J20" s="23">
        <v>28</v>
      </c>
      <c r="K20" s="26">
        <f>IFERROR(
  SUMIFS(#REF!,#REF!, tbl_ProduitsRef[[#This Row],[Cde_Prdt]]),
0)</f>
        <v>0</v>
      </c>
      <c r="M20" s="91" t="s">
        <v>917</v>
      </c>
      <c r="N20" s="88" t="str">
        <f>Référentiels!D20&amp;TEXT(Référentiels!E20,"000")</f>
        <v>BOU019</v>
      </c>
      <c r="O20" s="64" t="s">
        <v>1197</v>
      </c>
      <c r="P20" s="23">
        <v>7</v>
      </c>
      <c r="Q20" s="88" t="s">
        <v>206</v>
      </c>
      <c r="R2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</v>
      </c>
    </row>
    <row r="21" spans="1:19" ht="16.5" customHeight="1" x14ac:dyDescent="0.3">
      <c r="A2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OND</v>
      </c>
      <c r="B21" s="111">
        <f>COUNTIF(A$2:$A21,A21)</f>
        <v>2</v>
      </c>
      <c r="D2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1" s="111">
        <f>COUNTIF($D$2:D21,D21)</f>
        <v>1</v>
      </c>
      <c r="G21" s="89" t="str">
        <f>Référentiels!A21&amp;TEXT(Référentiels!B21,"000")</f>
        <v>OND002</v>
      </c>
      <c r="H21" s="64" t="s">
        <v>326</v>
      </c>
      <c r="I21" s="64" t="s">
        <v>22</v>
      </c>
      <c r="J21" s="23">
        <v>25</v>
      </c>
      <c r="K21" s="26">
        <f>IFERROR(
  SUMIFS(#REF!,#REF!, tbl_ProduitsRef[[#This Row],[Cde_Prdt]]),
0)</f>
        <v>0</v>
      </c>
      <c r="M21" s="91" t="s">
        <v>1200</v>
      </c>
      <c r="N21" s="88" t="str">
        <f>Référentiels!D21&amp;TEXT(Référentiels!E21,"000")</f>
        <v>FEC001</v>
      </c>
      <c r="O21" s="64" t="s">
        <v>1201</v>
      </c>
      <c r="P21" s="23">
        <v>2</v>
      </c>
      <c r="Q21" s="88" t="s">
        <v>206</v>
      </c>
      <c r="R2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2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2</v>
      </c>
    </row>
    <row r="22" spans="1:19" ht="16.5" customHeight="1" x14ac:dyDescent="0.3">
      <c r="A2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OND</v>
      </c>
      <c r="B22" s="111">
        <f>COUNTIF(A$2:$A22,A22)</f>
        <v>3</v>
      </c>
      <c r="D2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2" s="111">
        <f>COUNTIF($D$2:D22,D22)</f>
        <v>2</v>
      </c>
      <c r="G22" s="89" t="str">
        <f>Référentiels!A22&amp;TEXT(Référentiels!B22,"000")</f>
        <v>OND003</v>
      </c>
      <c r="H22" s="64" t="s">
        <v>329</v>
      </c>
      <c r="I22" s="64" t="s">
        <v>22</v>
      </c>
      <c r="J22" s="23">
        <v>24</v>
      </c>
      <c r="K22" s="26">
        <f>IFERROR(
  SUMIFS(#REF!,#REF!, tbl_ProduitsRef[[#This Row],[Cde_Prdt]]),
0)</f>
        <v>0</v>
      </c>
      <c r="M22" s="91" t="s">
        <v>1202</v>
      </c>
      <c r="N22" s="88" t="str">
        <f>Référentiels!D22&amp;TEXT(Référentiels!E22,"000")</f>
        <v>FEC002</v>
      </c>
      <c r="O22" s="64" t="s">
        <v>1201</v>
      </c>
      <c r="P22" s="23">
        <v>2</v>
      </c>
      <c r="Q22" s="88" t="s">
        <v>206</v>
      </c>
      <c r="R2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2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2</v>
      </c>
    </row>
    <row r="23" spans="1:19" ht="16.5" customHeight="1" x14ac:dyDescent="0.3">
      <c r="A2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3" s="111">
        <f>COUNTIF(A$2:$A23,A23)</f>
        <v>1</v>
      </c>
      <c r="D2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3" s="111">
        <f>COUNTIF($D$2:D23,D23)</f>
        <v>3</v>
      </c>
      <c r="G23" s="89" t="str">
        <f>Référentiels!A23&amp;TEXT(Référentiels!B23,"000")</f>
        <v>SUP001</v>
      </c>
      <c r="H23" s="64" t="s">
        <v>331</v>
      </c>
      <c r="I23" s="64" t="s">
        <v>23</v>
      </c>
      <c r="J23" s="23">
        <v>15</v>
      </c>
      <c r="K23" s="26">
        <f>IFERROR(
  SUMIFS(#REF!,#REF!, tbl_ProduitsRef[[#This Row],[Cde_Prdt]]),
0)</f>
        <v>0</v>
      </c>
      <c r="M23" s="91" t="s">
        <v>1203</v>
      </c>
      <c r="N23" s="88" t="str">
        <f>Référentiels!D23&amp;TEXT(Référentiels!E23,"000")</f>
        <v>FEC003</v>
      </c>
      <c r="O23" s="64" t="s">
        <v>1201</v>
      </c>
      <c r="P23" s="23">
        <v>0.08</v>
      </c>
      <c r="Q23" s="88" t="s">
        <v>209</v>
      </c>
      <c r="R2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2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0.08</v>
      </c>
    </row>
    <row r="24" spans="1:19" ht="16.5" customHeight="1" x14ac:dyDescent="0.3">
      <c r="A2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4" s="111">
        <f>COUNTIF(A$2:$A24,A24)</f>
        <v>2</v>
      </c>
      <c r="D2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4" s="111">
        <f>COUNTIF($D$2:D24,D24)</f>
        <v>4</v>
      </c>
      <c r="G24" s="89" t="str">
        <f>Référentiels!A24&amp;TEXT(Référentiels!B24,"000")</f>
        <v>SUP002</v>
      </c>
      <c r="H24" s="64" t="s">
        <v>333</v>
      </c>
      <c r="I24" s="64" t="s">
        <v>23</v>
      </c>
      <c r="J24" s="23">
        <v>12</v>
      </c>
      <c r="K24" s="26">
        <f>IFERROR(
  SUMIFS(#REF!,#REF!, tbl_ProduitsRef[[#This Row],[Cde_Prdt]]),
0)</f>
        <v>0</v>
      </c>
      <c r="M24" s="91" t="s">
        <v>1204</v>
      </c>
      <c r="N24" s="88" t="str">
        <f>Référentiels!D24&amp;TEXT(Référentiels!E24,"000")</f>
        <v>FEC004</v>
      </c>
      <c r="O24" s="88" t="s">
        <v>1201</v>
      </c>
      <c r="P24" s="23">
        <v>0.02</v>
      </c>
      <c r="Q24" s="88" t="s">
        <v>209</v>
      </c>
      <c r="R2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2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0.02</v>
      </c>
    </row>
    <row r="25" spans="1:19" ht="16.5" customHeight="1" x14ac:dyDescent="0.3">
      <c r="A2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5" s="111">
        <f>COUNTIF(A$2:$A25,A25)</f>
        <v>3</v>
      </c>
      <c r="D2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5" s="111">
        <f>COUNTIF($D$2:D25,D25)</f>
        <v>5</v>
      </c>
      <c r="G25" s="89" t="str">
        <f>Référentiels!A25&amp;TEXT(Référentiels!B25,"000")</f>
        <v>SUP003</v>
      </c>
      <c r="H25" s="64" t="s">
        <v>335</v>
      </c>
      <c r="I25" s="64" t="s">
        <v>23</v>
      </c>
      <c r="J25" s="23">
        <v>10</v>
      </c>
      <c r="K25" s="26">
        <f>IFERROR(
  SUMIFS(#REF!,#REF!, tbl_ProduitsRef[[#This Row],[Cde_Prdt]]),
0)</f>
        <v>0</v>
      </c>
      <c r="M25" s="91" t="s">
        <v>1205</v>
      </c>
      <c r="N25" s="88" t="str">
        <f>Référentiels!D25&amp;TEXT(Référentiels!E25,"000")</f>
        <v>FEC005</v>
      </c>
      <c r="O25" s="88" t="s">
        <v>1201</v>
      </c>
      <c r="P25" s="23">
        <v>0.03</v>
      </c>
      <c r="Q25" s="88" t="s">
        <v>209</v>
      </c>
      <c r="R2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2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0.03</v>
      </c>
    </row>
    <row r="26" spans="1:19" ht="16.5" customHeight="1" x14ac:dyDescent="0.3">
      <c r="A2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6" s="111">
        <f>COUNTIF(A$2:$A26,A26)</f>
        <v>4</v>
      </c>
      <c r="D2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6" s="111">
        <f>COUNTIF($D$2:D26,D26)</f>
        <v>6</v>
      </c>
      <c r="G26" s="89" t="str">
        <f>Référentiels!A26&amp;TEXT(Référentiels!B26,"000")</f>
        <v>SUP004</v>
      </c>
      <c r="H26" s="64" t="s">
        <v>338</v>
      </c>
      <c r="I26" s="64" t="s">
        <v>23</v>
      </c>
      <c r="J26" s="23">
        <v>8</v>
      </c>
      <c r="K26" s="26">
        <f>IFERROR(
  SUMIFS(#REF!,#REF!, tbl_ProduitsRef[[#This Row],[Cde_Prdt]]),
0)</f>
        <v>0</v>
      </c>
      <c r="M26" s="91" t="s">
        <v>352</v>
      </c>
      <c r="N26" s="88" t="str">
        <f>Référentiels!D26&amp;TEXT(Référentiels!E26,"000")</f>
        <v>FEC006</v>
      </c>
      <c r="O26" s="88" t="s">
        <v>1201</v>
      </c>
      <c r="P26" s="23">
        <v>7.0000000000000007E-2</v>
      </c>
      <c r="Q26" s="88" t="s">
        <v>209</v>
      </c>
      <c r="R2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2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7.0000000000000007E-2</v>
      </c>
    </row>
    <row r="27" spans="1:19" ht="16.5" customHeight="1" x14ac:dyDescent="0.3">
      <c r="A2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7" s="111">
        <f>COUNTIF(A$2:$A27,A27)</f>
        <v>5</v>
      </c>
      <c r="D2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FEC</v>
      </c>
      <c r="E27" s="111">
        <f>COUNTIF($D$2:D27,D27)</f>
        <v>7</v>
      </c>
      <c r="G27" s="89" t="str">
        <f>Référentiels!A27&amp;TEXT(Référentiels!B27,"000")</f>
        <v>SUP005</v>
      </c>
      <c r="H27" s="64" t="s">
        <v>81</v>
      </c>
      <c r="I27" s="64" t="s">
        <v>23</v>
      </c>
      <c r="J27" s="23">
        <v>9</v>
      </c>
      <c r="K27" s="26">
        <f>IFERROR(
  SUMIFS(#REF!,#REF!, tbl_ProduitsRef[[#This Row],[Cde_Prdt]]),
0)</f>
        <v>0</v>
      </c>
      <c r="M27" s="91" t="s">
        <v>663</v>
      </c>
      <c r="N27" s="88" t="str">
        <f>Référentiels!D27&amp;TEXT(Référentiels!E27,"000")</f>
        <v>FEC007</v>
      </c>
      <c r="O27" s="88" t="s">
        <v>1201</v>
      </c>
      <c r="P27" s="23">
        <v>0.02</v>
      </c>
      <c r="Q27" s="88" t="s">
        <v>209</v>
      </c>
      <c r="R2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2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0.02</v>
      </c>
    </row>
    <row r="28" spans="1:19" ht="16.5" customHeight="1" x14ac:dyDescent="0.3">
      <c r="A2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8" s="111">
        <f>COUNTIF(A$2:$A28,A28)</f>
        <v>6</v>
      </c>
      <c r="D2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28" s="111">
        <f>COUNTIF($D$2:D28,D28)</f>
        <v>1</v>
      </c>
      <c r="G28" s="89" t="str">
        <f>Référentiels!A28&amp;TEXT(Référentiels!B28,"000")</f>
        <v>SUP006</v>
      </c>
      <c r="H28" s="64" t="s">
        <v>343</v>
      </c>
      <c r="I28" s="64" t="s">
        <v>23</v>
      </c>
      <c r="J28" s="23">
        <v>5</v>
      </c>
      <c r="K28" s="26">
        <f>IFERROR(
  SUMIFS(#REF!,#REF!, tbl_ProduitsRef[[#This Row],[Cde_Prdt]]),
0)</f>
        <v>0</v>
      </c>
      <c r="M28" s="91" t="s">
        <v>739</v>
      </c>
      <c r="N28" s="88" t="str">
        <f>Référentiels!D28&amp;TEXT(Référentiels!E28,"000")</f>
        <v>PST001</v>
      </c>
      <c r="O28" s="64" t="s">
        <v>29</v>
      </c>
      <c r="P28" s="23">
        <v>0.08</v>
      </c>
      <c r="Q28" s="88" t="s">
        <v>209</v>
      </c>
      <c r="R2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2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0.08</v>
      </c>
    </row>
    <row r="29" spans="1:19" ht="16.5" customHeight="1" x14ac:dyDescent="0.3">
      <c r="A2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29" s="111">
        <f>COUNTIF(A$2:$A29,A29)</f>
        <v>7</v>
      </c>
      <c r="D2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29" s="111">
        <f>COUNTIF($D$2:D29,D29)</f>
        <v>2</v>
      </c>
      <c r="G29" s="89" t="str">
        <f>Référentiels!A29&amp;TEXT(Référentiels!B29,"000")</f>
        <v>SUP007</v>
      </c>
      <c r="H29" s="64" t="s">
        <v>274</v>
      </c>
      <c r="I29" s="64" t="s">
        <v>23</v>
      </c>
      <c r="J29" s="23">
        <v>5</v>
      </c>
      <c r="K29" s="26">
        <f>IFERROR(
  SUMIFS(#REF!,#REF!, tbl_ProduitsRef[[#This Row],[Cde_Prdt]]),
0)</f>
        <v>0</v>
      </c>
      <c r="M29" s="91" t="s">
        <v>749</v>
      </c>
      <c r="N29" s="88" t="str">
        <f>Référentiels!D29&amp;TEXT(Référentiels!E29,"000")</f>
        <v>PST002</v>
      </c>
      <c r="O29" s="64" t="s">
        <v>29</v>
      </c>
      <c r="P29" s="23">
        <v>0.04</v>
      </c>
      <c r="Q29" s="88" t="s">
        <v>209</v>
      </c>
      <c r="R2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2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0.04</v>
      </c>
    </row>
    <row r="30" spans="1:19" ht="16.5" customHeight="1" x14ac:dyDescent="0.3">
      <c r="A3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30" s="111">
        <f>COUNTIF(A$2:$A30,A30)</f>
        <v>8</v>
      </c>
      <c r="D3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30" s="111">
        <f>COUNTIF($D$2:D30,D30)</f>
        <v>3</v>
      </c>
      <c r="G30" s="89" t="str">
        <f>Référentiels!A30&amp;TEXT(Référentiels!B30,"000")</f>
        <v>SUP008</v>
      </c>
      <c r="H30" s="64" t="s">
        <v>346</v>
      </c>
      <c r="I30" s="64" t="s">
        <v>23</v>
      </c>
      <c r="J30" s="23">
        <v>4</v>
      </c>
      <c r="K30" s="26">
        <f>IFERROR(
  SUMIFS(#REF!,#REF!, tbl_ProduitsRef[[#This Row],[Cde_Prdt]]),
0)</f>
        <v>0</v>
      </c>
      <c r="M30" s="91" t="s">
        <v>701</v>
      </c>
      <c r="N30" s="88" t="str">
        <f>Référentiels!D30&amp;TEXT(Référentiels!E30,"000")</f>
        <v>PST003</v>
      </c>
      <c r="O30" s="64" t="s">
        <v>29</v>
      </c>
      <c r="P30" s="23">
        <v>0.05</v>
      </c>
      <c r="Q30" s="88" t="s">
        <v>209</v>
      </c>
      <c r="R3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3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31" spans="1:19" ht="16.5" customHeight="1" x14ac:dyDescent="0.3">
      <c r="A3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31" s="111">
        <f>COUNTIF(A$2:$A31,A31)</f>
        <v>9</v>
      </c>
      <c r="D3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31" s="111">
        <f>COUNTIF($D$2:D31,D31)</f>
        <v>4</v>
      </c>
      <c r="G31" s="89" t="str">
        <f>Référentiels!A31&amp;TEXT(Référentiels!B31,"000")</f>
        <v>SUP009</v>
      </c>
      <c r="H31" s="64" t="s">
        <v>1206</v>
      </c>
      <c r="I31" s="64" t="s">
        <v>23</v>
      </c>
      <c r="J31" s="23">
        <v>3</v>
      </c>
      <c r="K31" s="26">
        <f>IFERROR(
  SUMIFS(#REF!,#REF!, tbl_ProduitsRef[[#This Row],[Cde_Prdt]]),
0)</f>
        <v>0</v>
      </c>
      <c r="M31" s="91" t="s">
        <v>762</v>
      </c>
      <c r="N31" s="88" t="str">
        <f>Référentiels!D31&amp;TEXT(Référentiels!E31,"000")</f>
        <v>PST004</v>
      </c>
      <c r="O31" s="64" t="s">
        <v>29</v>
      </c>
      <c r="P31" s="23">
        <v>0.03</v>
      </c>
      <c r="Q31" s="88" t="s">
        <v>209</v>
      </c>
      <c r="R3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3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0.03</v>
      </c>
    </row>
    <row r="32" spans="1:19" ht="16.5" customHeight="1" x14ac:dyDescent="0.3">
      <c r="A3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SUP</v>
      </c>
      <c r="B32" s="111">
        <f>COUNTIF(A$2:$A32,A32)</f>
        <v>10</v>
      </c>
      <c r="D3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32" s="111">
        <f>COUNTIF($D$2:D32,D32)</f>
        <v>5</v>
      </c>
      <c r="G32" s="89" t="str">
        <f>Référentiels!A32&amp;TEXT(Référentiels!B32,"000")</f>
        <v>SUP010</v>
      </c>
      <c r="H32" s="64" t="s">
        <v>82</v>
      </c>
      <c r="I32" s="64" t="s">
        <v>23</v>
      </c>
      <c r="J32" s="23">
        <v>3</v>
      </c>
      <c r="K32" s="26">
        <f>IFERROR(
  SUMIFS(#REF!,#REF!, tbl_ProduitsRef[[#This Row],[Cde_Prdt]]),
0)</f>
        <v>0</v>
      </c>
      <c r="M32" s="91" t="s">
        <v>758</v>
      </c>
      <c r="N32" s="88" t="str">
        <f>Référentiels!D32&amp;TEXT(Référentiels!E32,"000")</f>
        <v>PST005</v>
      </c>
      <c r="O32" s="64" t="s">
        <v>29</v>
      </c>
      <c r="P32" s="23">
        <v>0.1</v>
      </c>
      <c r="Q32" s="88" t="s">
        <v>209</v>
      </c>
      <c r="R3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3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33" spans="1:19" ht="16.5" customHeight="1" x14ac:dyDescent="0.3">
      <c r="A3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3" s="111">
        <f>COUNTIF(A$2:$A33,A33)</f>
        <v>1</v>
      </c>
      <c r="D3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PST</v>
      </c>
      <c r="E33" s="111">
        <f>COUNTIF($D$2:D33,D33)</f>
        <v>6</v>
      </c>
      <c r="G33" s="89" t="str">
        <f>Référentiels!A33&amp;TEXT(Référentiels!B33,"000")</f>
        <v>ENT001</v>
      </c>
      <c r="H33" s="64" t="s">
        <v>349</v>
      </c>
      <c r="I33" s="64" t="s">
        <v>24</v>
      </c>
      <c r="J33" s="23">
        <v>90</v>
      </c>
      <c r="K33" s="26">
        <f>IFERROR(
  SUMIFS(#REF!,#REF!, tbl_ProduitsRef[[#This Row],[Cde_Prdt]]),
0)</f>
        <v>0</v>
      </c>
      <c r="M33" s="91" t="s">
        <v>771</v>
      </c>
      <c r="N33" s="88" t="str">
        <f>Référentiels!D33&amp;TEXT(Référentiels!E33,"000")</f>
        <v>PST006</v>
      </c>
      <c r="O33" s="64" t="s">
        <v>29</v>
      </c>
      <c r="P33" s="23">
        <v>0.06</v>
      </c>
      <c r="Q33" s="88" t="s">
        <v>209</v>
      </c>
      <c r="R3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3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0.06</v>
      </c>
    </row>
    <row r="34" spans="1:19" ht="16.5" customHeight="1" x14ac:dyDescent="0.3">
      <c r="A3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4" s="111">
        <f>COUNTIF(A$2:$A34,A34)</f>
        <v>2</v>
      </c>
      <c r="D3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VSP</v>
      </c>
      <c r="E34" s="111">
        <f>COUNTIF($D$2:D34,D34)</f>
        <v>1</v>
      </c>
      <c r="G34" s="89" t="str">
        <f>Référentiels!A34&amp;TEXT(Référentiels!B34,"000")</f>
        <v>ENT002</v>
      </c>
      <c r="H34" s="64" t="s">
        <v>367</v>
      </c>
      <c r="I34" s="64" t="s">
        <v>24</v>
      </c>
      <c r="J34" s="23">
        <v>80</v>
      </c>
      <c r="K34" s="26">
        <f>IFERROR(
  SUMIFS(#REF!,#REF!, tbl_ProduitsRef[[#This Row],[Cde_Prdt]]),
0)</f>
        <v>0</v>
      </c>
      <c r="M34" s="91" t="s">
        <v>631</v>
      </c>
      <c r="N34" s="88" t="str">
        <f>Référentiels!D34&amp;TEXT(Référentiels!E34,"000")</f>
        <v>VSP001</v>
      </c>
      <c r="O34" s="88" t="s">
        <v>1207</v>
      </c>
      <c r="P34" s="23">
        <v>0.09</v>
      </c>
      <c r="Q34" s="88" t="s">
        <v>209</v>
      </c>
      <c r="R3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3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0.09</v>
      </c>
    </row>
    <row r="35" spans="1:19" ht="16.5" customHeight="1" x14ac:dyDescent="0.3">
      <c r="A3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5" s="111">
        <f>COUNTIF(A$2:$A35,A35)</f>
        <v>3</v>
      </c>
      <c r="D3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5" s="111">
        <f>COUNTIF($D$2:D35,D35)</f>
        <v>1</v>
      </c>
      <c r="G35" s="89" t="str">
        <f>Référentiels!A35&amp;TEXT(Référentiels!B35,"000")</f>
        <v>ENT003</v>
      </c>
      <c r="H35" s="64" t="s">
        <v>375</v>
      </c>
      <c r="I35" s="64" t="s">
        <v>24</v>
      </c>
      <c r="J35" s="23">
        <v>80</v>
      </c>
      <c r="K35" s="26">
        <f>IFERROR(
  SUMIFS(#REF!,#REF!, tbl_ProduitsRef[[#This Row],[Cde_Prdt]]),
0)</f>
        <v>0</v>
      </c>
      <c r="M35" s="91" t="s">
        <v>1208</v>
      </c>
      <c r="N35" s="88" t="str">
        <f>Référentiels!D35&amp;TEXT(Référentiels!E35,"000")</f>
        <v>VOL001</v>
      </c>
      <c r="O35" s="88" t="s">
        <v>1209</v>
      </c>
      <c r="P35" s="23">
        <v>7.0000000000000007E-2</v>
      </c>
      <c r="Q35" s="88" t="s">
        <v>209</v>
      </c>
      <c r="R3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3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7.0000000000000007E-2</v>
      </c>
    </row>
    <row r="36" spans="1:19" ht="16.5" customHeight="1" x14ac:dyDescent="0.3">
      <c r="A3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6" s="111">
        <f>COUNTIF(A$2:$A36,A36)</f>
        <v>4</v>
      </c>
      <c r="D3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6" s="111">
        <f>COUNTIF($D$2:D36,D36)</f>
        <v>2</v>
      </c>
      <c r="G36" s="89" t="str">
        <f>Référentiels!A36&amp;TEXT(Référentiels!B36,"000")</f>
        <v>ENT004</v>
      </c>
      <c r="H36" s="64" t="s">
        <v>379</v>
      </c>
      <c r="I36" s="64" t="s">
        <v>24</v>
      </c>
      <c r="J36" s="23">
        <v>70</v>
      </c>
      <c r="K36" s="26">
        <f>IFERROR(
  SUMIFS(#REF!,#REF!, tbl_ProduitsRef[[#This Row],[Cde_Prdt]]),
0)</f>
        <v>0</v>
      </c>
      <c r="M36" s="91" t="s">
        <v>427</v>
      </c>
      <c r="N36" s="88" t="str">
        <f>Référentiels!D36&amp;TEXT(Référentiels!E36,"000")</f>
        <v>VOL002</v>
      </c>
      <c r="O36" s="88" t="s">
        <v>1209</v>
      </c>
      <c r="P36" s="23">
        <v>7.0000000000000007E-2</v>
      </c>
      <c r="Q36" s="88" t="s">
        <v>209</v>
      </c>
      <c r="R3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3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7.0000000000000007E-2</v>
      </c>
    </row>
    <row r="37" spans="1:19" ht="16.5" customHeight="1" x14ac:dyDescent="0.3">
      <c r="A3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7" s="111">
        <f>COUNTIF(A$2:$A37,A37)</f>
        <v>5</v>
      </c>
      <c r="D3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7" s="111">
        <f>COUNTIF($D$2:D37,D37)</f>
        <v>3</v>
      </c>
      <c r="G37" s="89" t="str">
        <f>Référentiels!A37&amp;TEXT(Référentiels!B37,"000")</f>
        <v>ENT005</v>
      </c>
      <c r="H37" s="64" t="s">
        <v>383</v>
      </c>
      <c r="I37" s="64" t="s">
        <v>24</v>
      </c>
      <c r="J37" s="23">
        <v>70</v>
      </c>
      <c r="K37" s="26">
        <f>IFERROR(
  SUMIFS(#REF!,#REF!, tbl_ProduitsRef[[#This Row],[Cde_Prdt]]),
0)</f>
        <v>0</v>
      </c>
      <c r="M37" s="91" t="s">
        <v>417</v>
      </c>
      <c r="N37" s="88" t="str">
        <f>Référentiels!D37&amp;TEXT(Référentiels!E37,"000")</f>
        <v>VOL003</v>
      </c>
      <c r="O37" s="88" t="s">
        <v>1209</v>
      </c>
      <c r="P37" s="23">
        <v>0.1</v>
      </c>
      <c r="Q37" s="88" t="s">
        <v>209</v>
      </c>
      <c r="R3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3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38" spans="1:19" ht="16.5" customHeight="1" x14ac:dyDescent="0.3">
      <c r="A3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8" s="111">
        <f>COUNTIF(A$2:$A38,A38)</f>
        <v>6</v>
      </c>
      <c r="D3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8" s="111">
        <f>COUNTIF($D$2:D38,D38)</f>
        <v>4</v>
      </c>
      <c r="G38" s="89" t="str">
        <f>Référentiels!A38&amp;TEXT(Référentiels!B38,"000")</f>
        <v>ENT006</v>
      </c>
      <c r="H38" s="64" t="s">
        <v>395</v>
      </c>
      <c r="I38" s="64" t="s">
        <v>24</v>
      </c>
      <c r="J38" s="23">
        <v>50</v>
      </c>
      <c r="K38" s="26">
        <f>IFERROR(
  SUMIFS(#REF!,#REF!, tbl_ProduitsRef[[#This Row],[Cde_Prdt]]),
0)</f>
        <v>0</v>
      </c>
      <c r="M38" s="91" t="s">
        <v>1210</v>
      </c>
      <c r="N38" s="88" t="str">
        <f>Référentiels!D38&amp;TEXT(Référentiels!E38,"000")</f>
        <v>VOL004</v>
      </c>
      <c r="O38" s="88" t="s">
        <v>1209</v>
      </c>
      <c r="P38" s="23">
        <v>0.1</v>
      </c>
      <c r="Q38" s="88" t="s">
        <v>209</v>
      </c>
      <c r="R3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3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39" spans="1:19" ht="16.5" customHeight="1" x14ac:dyDescent="0.3">
      <c r="A3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39" s="111">
        <f>COUNTIF(A$2:$A39,A39)</f>
        <v>7</v>
      </c>
      <c r="D3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39" s="111">
        <f>COUNTIF($D$2:D39,D39)</f>
        <v>5</v>
      </c>
      <c r="G39" s="89" t="str">
        <f>Référentiels!A39&amp;TEXT(Référentiels!B39,"000")</f>
        <v>ENT007</v>
      </c>
      <c r="H39" s="64" t="s">
        <v>668</v>
      </c>
      <c r="I39" s="64" t="s">
        <v>24</v>
      </c>
      <c r="J39" s="23">
        <v>45</v>
      </c>
      <c r="K39" s="26">
        <f>IFERROR(
  SUMIFS(#REF!,#REF!, tbl_ProduitsRef[[#This Row],[Cde_Prdt]]),
0)</f>
        <v>0</v>
      </c>
      <c r="M39" s="91" t="s">
        <v>729</v>
      </c>
      <c r="N39" s="88" t="str">
        <f>Référentiels!D39&amp;TEXT(Référentiels!E39,"000")</f>
        <v>VOL005</v>
      </c>
      <c r="O39" s="88" t="s">
        <v>1209</v>
      </c>
      <c r="P39" s="23">
        <v>0.06</v>
      </c>
      <c r="Q39" s="88" t="s">
        <v>209</v>
      </c>
      <c r="R3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3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0.06</v>
      </c>
    </row>
    <row r="40" spans="1:19" ht="16.5" customHeight="1" x14ac:dyDescent="0.3">
      <c r="A4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0" s="111">
        <f>COUNTIF(A$2:$A40,A40)</f>
        <v>8</v>
      </c>
      <c r="D4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40" s="111">
        <f>COUNTIF($D$2:D40,D40)</f>
        <v>6</v>
      </c>
      <c r="G40" s="89" t="str">
        <f>Référentiels!A40&amp;TEXT(Référentiels!B40,"000")</f>
        <v>ENT008</v>
      </c>
      <c r="H40" s="64" t="s">
        <v>680</v>
      </c>
      <c r="I40" s="64" t="s">
        <v>24</v>
      </c>
      <c r="J40" s="23">
        <v>40</v>
      </c>
      <c r="K40" s="26">
        <f>IFERROR(
  SUMIFS(#REF!,#REF!, tbl_ProduitsRef[[#This Row],[Cde_Prdt]]),
0)</f>
        <v>0</v>
      </c>
      <c r="M40" s="91" t="s">
        <v>413</v>
      </c>
      <c r="N40" s="88" t="str">
        <f>Référentiels!D40&amp;TEXT(Référentiels!E40,"000")</f>
        <v>VOL006</v>
      </c>
      <c r="O40" s="88" t="s">
        <v>1209</v>
      </c>
      <c r="P40" s="23">
        <v>8</v>
      </c>
      <c r="Q40" s="88" t="s">
        <v>206</v>
      </c>
      <c r="R4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4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8</v>
      </c>
    </row>
    <row r="41" spans="1:19" ht="16.5" customHeight="1" x14ac:dyDescent="0.3">
      <c r="A4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1" s="111">
        <f>COUNTIF(A$2:$A41,A41)</f>
        <v>9</v>
      </c>
      <c r="D4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41" s="111">
        <f>COUNTIF($D$2:D41,D41)</f>
        <v>7</v>
      </c>
      <c r="G41" s="89" t="str">
        <f>Référentiels!A41&amp;TEXT(Référentiels!B41,"000")</f>
        <v>ENT009</v>
      </c>
      <c r="H41" s="64" t="s">
        <v>682</v>
      </c>
      <c r="I41" s="64" t="s">
        <v>24</v>
      </c>
      <c r="J41" s="23">
        <v>38</v>
      </c>
      <c r="K41" s="26">
        <f>IFERROR(
  SUMIFS(#REF!,#REF!, tbl_ProduitsRef[[#This Row],[Cde_Prdt]]),
0)</f>
        <v>0</v>
      </c>
      <c r="M41" s="91" t="s">
        <v>407</v>
      </c>
      <c r="N41" s="88" t="str">
        <f>Référentiels!D41&amp;TEXT(Référentiels!E41,"000")</f>
        <v>VOL007</v>
      </c>
      <c r="O41" s="88" t="s">
        <v>1209</v>
      </c>
      <c r="P41" s="23">
        <v>7.0000000000000007E-2</v>
      </c>
      <c r="Q41" s="88" t="s">
        <v>209</v>
      </c>
      <c r="R4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4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7.0000000000000007E-2</v>
      </c>
    </row>
    <row r="42" spans="1:19" ht="16.5" customHeight="1" x14ac:dyDescent="0.3">
      <c r="A4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2" s="111">
        <f>COUNTIF(A$2:$A42,A42)</f>
        <v>10</v>
      </c>
      <c r="D4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42" s="111">
        <f>COUNTIF($D$2:D42,D42)</f>
        <v>8</v>
      </c>
      <c r="G42" s="89" t="str">
        <f>Référentiels!A42&amp;TEXT(Référentiels!B42,"000")</f>
        <v>ENT010</v>
      </c>
      <c r="H42" s="64" t="s">
        <v>686</v>
      </c>
      <c r="I42" s="64" t="s">
        <v>24</v>
      </c>
      <c r="J42" s="23">
        <v>30</v>
      </c>
      <c r="K42" s="26">
        <f>IFERROR(
  SUMIFS(#REF!,#REF!, tbl_ProduitsRef[[#This Row],[Cde_Prdt]]),
0)</f>
        <v>0</v>
      </c>
      <c r="M42" s="91" t="s">
        <v>606</v>
      </c>
      <c r="N42" s="88" t="str">
        <f>Référentiels!D42&amp;TEXT(Référentiels!E42,"000")</f>
        <v>VOL008</v>
      </c>
      <c r="O42" s="88" t="s">
        <v>1209</v>
      </c>
      <c r="P42" s="23">
        <v>0.06</v>
      </c>
      <c r="Q42" s="88" t="s">
        <v>209</v>
      </c>
      <c r="R4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4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0.06</v>
      </c>
    </row>
    <row r="43" spans="1:19" ht="16.5" customHeight="1" x14ac:dyDescent="0.3">
      <c r="A4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3" s="111">
        <f>COUNTIF(A$2:$A43,A43)</f>
        <v>11</v>
      </c>
      <c r="D4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VOL</v>
      </c>
      <c r="E43" s="111">
        <f>COUNTIF($D$2:D43,D43)</f>
        <v>9</v>
      </c>
      <c r="G43" s="89" t="str">
        <f>Référentiels!A43&amp;TEXT(Référentiels!B43,"000")</f>
        <v>ENT011</v>
      </c>
      <c r="H43" s="64" t="s">
        <v>698</v>
      </c>
      <c r="I43" s="64" t="s">
        <v>24</v>
      </c>
      <c r="J43" s="23">
        <v>65</v>
      </c>
      <c r="K43" s="26">
        <f>IFERROR(
  SUMIFS(#REF!,#REF!, tbl_ProduitsRef[[#This Row],[Cde_Prdt]]),
0)</f>
        <v>0</v>
      </c>
      <c r="M43" s="91" t="s">
        <v>636</v>
      </c>
      <c r="N43" s="88" t="str">
        <f>Référentiels!D43&amp;TEXT(Référentiels!E43,"000")</f>
        <v>VOL009</v>
      </c>
      <c r="O43" s="88" t="s">
        <v>1209</v>
      </c>
      <c r="P43" s="23">
        <v>4.4999999999999998E-2</v>
      </c>
      <c r="Q43" s="88" t="s">
        <v>209</v>
      </c>
      <c r="R4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45</v>
      </c>
      <c r="S4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4.4999999999999998E-2</v>
      </c>
    </row>
    <row r="44" spans="1:19" ht="16.5" customHeight="1" x14ac:dyDescent="0.3">
      <c r="A4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4" s="111">
        <f>COUNTIF(A$2:$A44,A44)</f>
        <v>12</v>
      </c>
      <c r="D4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44" s="111">
        <f>COUNTIF($D$2:D44,D44)</f>
        <v>1</v>
      </c>
      <c r="G44" s="89" t="str">
        <f>Référentiels!A44&amp;TEXT(Référentiels!B44,"000")</f>
        <v>ENT012</v>
      </c>
      <c r="H44" s="64" t="s">
        <v>702</v>
      </c>
      <c r="I44" s="64" t="s">
        <v>24</v>
      </c>
      <c r="J44" s="23">
        <v>60</v>
      </c>
      <c r="K44" s="26">
        <f>IFERROR(
  SUMIFS(#REF!,#REF!, tbl_ProduitsRef[[#This Row],[Cde_Prdt]]),
0)</f>
        <v>0</v>
      </c>
      <c r="M44" s="91" t="s">
        <v>473</v>
      </c>
      <c r="N44" s="88" t="str">
        <f>Référentiels!D44&amp;TEXT(Référentiels!E44,"000")</f>
        <v>BOE001</v>
      </c>
      <c r="O44" s="88" t="s">
        <v>1211</v>
      </c>
      <c r="P44" s="23">
        <v>0.09</v>
      </c>
      <c r="Q44" s="88" t="s">
        <v>209</v>
      </c>
      <c r="R4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4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0.09</v>
      </c>
    </row>
    <row r="45" spans="1:19" ht="16.5" customHeight="1" x14ac:dyDescent="0.3">
      <c r="A4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5" s="111">
        <f>COUNTIF(A$2:$A45,A45)</f>
        <v>13</v>
      </c>
      <c r="D4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45" s="111">
        <f>COUNTIF($D$2:D45,D45)</f>
        <v>2</v>
      </c>
      <c r="G45" s="89" t="str">
        <f>Référentiels!A45&amp;TEXT(Référentiels!B45,"000")</f>
        <v>ENT013</v>
      </c>
      <c r="H45" s="64" t="s">
        <v>708</v>
      </c>
      <c r="I45" s="64" t="s">
        <v>24</v>
      </c>
      <c r="J45" s="23">
        <v>50</v>
      </c>
      <c r="K45" s="26">
        <f>IFERROR(
  SUMIFS(#REF!,#REF!, tbl_ProduitsRef[[#This Row],[Cde_Prdt]]),
0)</f>
        <v>0</v>
      </c>
      <c r="M45" s="91" t="s">
        <v>477</v>
      </c>
      <c r="N45" s="88" t="str">
        <f>Référentiels!D45&amp;TEXT(Référentiels!E45,"000")</f>
        <v>BOE002</v>
      </c>
      <c r="O45" s="88" t="s">
        <v>1211</v>
      </c>
      <c r="P45" s="23">
        <v>0.08</v>
      </c>
      <c r="Q45" s="88" t="s">
        <v>209</v>
      </c>
      <c r="R4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4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0.08</v>
      </c>
    </row>
    <row r="46" spans="1:19" ht="16.5" customHeight="1" x14ac:dyDescent="0.3">
      <c r="A4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6" s="111">
        <f>COUNTIF(A$2:$A46,A46)</f>
        <v>14</v>
      </c>
      <c r="D4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46" s="111">
        <f>COUNTIF($D$2:D46,D46)</f>
        <v>3</v>
      </c>
      <c r="G46" s="89" t="str">
        <f>Référentiels!A46&amp;TEXT(Référentiels!B46,"000")</f>
        <v>ENT014</v>
      </c>
      <c r="H46" s="64" t="s">
        <v>722</v>
      </c>
      <c r="I46" s="64" t="s">
        <v>24</v>
      </c>
      <c r="J46" s="23">
        <v>35</v>
      </c>
      <c r="K46" s="26">
        <f>IFERROR(
  SUMIFS(#REF!,#REF!, tbl_ProduitsRef[[#This Row],[Cde_Prdt]]),
0)</f>
        <v>0</v>
      </c>
      <c r="M46" s="91" t="s">
        <v>479</v>
      </c>
      <c r="N46" s="88" t="str">
        <f>Référentiels!D46&amp;TEXT(Référentiels!E46,"000")</f>
        <v>BOE003</v>
      </c>
      <c r="O46" s="88" t="s">
        <v>1211</v>
      </c>
      <c r="P46" s="23">
        <v>0.08</v>
      </c>
      <c r="Q46" s="88" t="s">
        <v>209</v>
      </c>
      <c r="R4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4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0.08</v>
      </c>
    </row>
    <row r="47" spans="1:19" ht="16.5" customHeight="1" x14ac:dyDescent="0.3">
      <c r="A4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7" s="111">
        <f>COUNTIF(A$2:$A47,A47)</f>
        <v>15</v>
      </c>
      <c r="D4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47" s="111">
        <f>COUNTIF($D$2:D47,D47)</f>
        <v>4</v>
      </c>
      <c r="G47" s="89" t="str">
        <f>Référentiels!A47&amp;TEXT(Référentiels!B47,"000")</f>
        <v>ENT015</v>
      </c>
      <c r="H47" s="64" t="s">
        <v>710</v>
      </c>
      <c r="I47" s="64" t="s">
        <v>24</v>
      </c>
      <c r="J47" s="23">
        <v>45</v>
      </c>
      <c r="K47" s="26">
        <f>IFERROR(
  SUMIFS(#REF!,#REF!, tbl_ProduitsRef[[#This Row],[Cde_Prdt]]),
0)</f>
        <v>0</v>
      </c>
      <c r="M47" s="91" t="s">
        <v>493</v>
      </c>
      <c r="N47" s="88" t="str">
        <f>Référentiels!D47&amp;TEXT(Référentiels!E47,"000")</f>
        <v>BOE004</v>
      </c>
      <c r="O47" s="88" t="s">
        <v>1211</v>
      </c>
      <c r="P47" s="23">
        <v>0.1</v>
      </c>
      <c r="Q47" s="88" t="s">
        <v>209</v>
      </c>
      <c r="R4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4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48" spans="1:19" ht="16.5" customHeight="1" x14ac:dyDescent="0.3">
      <c r="A4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ENT</v>
      </c>
      <c r="B48" s="111">
        <f>COUNTIF(A$2:$A48,A48)</f>
        <v>16</v>
      </c>
      <c r="D4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48" s="111">
        <f>COUNTIF($D$2:D48,D48)</f>
        <v>5</v>
      </c>
      <c r="G48" s="89" t="str">
        <f>Référentiels!A48&amp;TEXT(Référentiels!B48,"000")</f>
        <v>ENT016</v>
      </c>
      <c r="H48" s="64" t="s">
        <v>718</v>
      </c>
      <c r="I48" s="64" t="s">
        <v>24</v>
      </c>
      <c r="J48" s="23">
        <v>45</v>
      </c>
      <c r="K48" s="26">
        <f>IFERROR(
  SUMIFS(#REF!,#REF!, tbl_ProduitsRef[[#This Row],[Cde_Prdt]]),
0)</f>
        <v>0</v>
      </c>
      <c r="M48" s="91" t="s">
        <v>1212</v>
      </c>
      <c r="N48" s="88" t="str">
        <f>Référentiels!D48&amp;TEXT(Référentiels!E48,"000")</f>
        <v>BOE005</v>
      </c>
      <c r="O48" s="88" t="s">
        <v>1211</v>
      </c>
      <c r="P48" s="23">
        <v>0.1</v>
      </c>
      <c r="Q48" s="88" t="s">
        <v>209</v>
      </c>
      <c r="R4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4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49" spans="1:19" ht="16.5" customHeight="1" x14ac:dyDescent="0.3">
      <c r="A4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49" s="111">
        <f>COUNTIF(A$2:$A49,A49)</f>
        <v>1</v>
      </c>
      <c r="D4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49" s="111">
        <f>COUNTIF($D$2:D49,D49)</f>
        <v>6</v>
      </c>
      <c r="G49" s="89" t="str">
        <f>Référentiels!A49&amp;TEXT(Référentiels!B49,"000")</f>
        <v>PUL001</v>
      </c>
      <c r="H49" s="64" t="s">
        <v>72</v>
      </c>
      <c r="I49" s="64" t="s">
        <v>25</v>
      </c>
      <c r="J49" s="23">
        <v>145</v>
      </c>
      <c r="K49" s="26">
        <f>IFERROR(
  SUMIFS(#REF!,#REF!, tbl_ProduitsRef[[#This Row],[Cde_Prdt]]),
0)</f>
        <v>0</v>
      </c>
      <c r="M49" s="91" t="s">
        <v>827</v>
      </c>
      <c r="N49" s="88" t="str">
        <f>Référentiels!D49&amp;TEXT(Référentiels!E49,"000")</f>
        <v>BOE006</v>
      </c>
      <c r="O49" s="88" t="s">
        <v>1211</v>
      </c>
      <c r="P49" s="23">
        <v>0.15</v>
      </c>
      <c r="Q49" s="88" t="s">
        <v>209</v>
      </c>
      <c r="R4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4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50" spans="1:19" ht="16.5" customHeight="1" x14ac:dyDescent="0.3">
      <c r="A5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0" s="111">
        <f>COUNTIF(A$2:$A50,A50)</f>
        <v>2</v>
      </c>
      <c r="D5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50" s="111">
        <f>COUNTIF($D$2:D50,D50)</f>
        <v>7</v>
      </c>
      <c r="G50" s="89" t="str">
        <f>Référentiels!A50&amp;TEXT(Référentiels!B50,"000")</f>
        <v>PUL002</v>
      </c>
      <c r="H50" s="64" t="s">
        <v>408</v>
      </c>
      <c r="I50" s="64" t="s">
        <v>25</v>
      </c>
      <c r="J50" s="23">
        <v>145</v>
      </c>
      <c r="K50" s="26">
        <f>IFERROR(
  SUMIFS(#REF!,#REF!, tbl_ProduitsRef[[#This Row],[Cde_Prdt]]),
0)</f>
        <v>0</v>
      </c>
      <c r="M50" s="91" t="s">
        <v>1213</v>
      </c>
      <c r="N50" s="88" t="str">
        <f>Référentiels!D50&amp;TEXT(Référentiels!E50,"000")</f>
        <v>BOE007</v>
      </c>
      <c r="O50" s="88" t="s">
        <v>1211</v>
      </c>
      <c r="P50" s="23">
        <v>0.1</v>
      </c>
      <c r="Q50" s="88" t="s">
        <v>209</v>
      </c>
      <c r="R5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5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51" spans="1:19" ht="16.5" customHeight="1" x14ac:dyDescent="0.3">
      <c r="A5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1" s="111">
        <f>COUNTIF(A$2:$A51,A51)</f>
        <v>3</v>
      </c>
      <c r="D5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51" s="111">
        <f>COUNTIF($D$2:D51,D51)</f>
        <v>8</v>
      </c>
      <c r="G51" s="89" t="str">
        <f>Référentiels!A51&amp;TEXT(Référentiels!B51,"000")</f>
        <v>PUL003</v>
      </c>
      <c r="H51" s="64" t="s">
        <v>410</v>
      </c>
      <c r="I51" s="64" t="s">
        <v>25</v>
      </c>
      <c r="J51" s="23">
        <v>145</v>
      </c>
      <c r="K51" s="26">
        <f>IFERROR(
  SUMIFS(#REF!,#REF!, tbl_ProduitsRef[[#This Row],[Cde_Prdt]]),
0)</f>
        <v>0</v>
      </c>
      <c r="M51" s="91" t="s">
        <v>1214</v>
      </c>
      <c r="N51" s="88" t="str">
        <f>Référentiels!D51&amp;TEXT(Référentiels!E51,"000")</f>
        <v>BOE008</v>
      </c>
      <c r="O51" s="88" t="s">
        <v>1211</v>
      </c>
      <c r="P51" s="23">
        <v>0.12</v>
      </c>
      <c r="Q51" s="88" t="s">
        <v>209</v>
      </c>
      <c r="R5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5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0.12</v>
      </c>
    </row>
    <row r="52" spans="1:19" ht="16.5" customHeight="1" x14ac:dyDescent="0.3">
      <c r="A5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2" s="111">
        <f>COUNTIF(A$2:$A52,A52)</f>
        <v>4</v>
      </c>
      <c r="D5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52" s="111">
        <f>COUNTIF($D$2:D52,D52)</f>
        <v>9</v>
      </c>
      <c r="G52" s="89" t="str">
        <f>Référentiels!A52&amp;TEXT(Référentiels!B52,"000")</f>
        <v>PUL004</v>
      </c>
      <c r="H52" s="64" t="s">
        <v>414</v>
      </c>
      <c r="I52" s="64" t="s">
        <v>25</v>
      </c>
      <c r="J52" s="23">
        <v>145</v>
      </c>
      <c r="K52" s="26">
        <f>IFERROR(
  SUMIFS(#REF!,#REF!, tbl_ProduitsRef[[#This Row],[Cde_Prdt]]),
0)</f>
        <v>0</v>
      </c>
      <c r="M52" s="91" t="s">
        <v>568</v>
      </c>
      <c r="N52" s="88" t="str">
        <f>Référentiels!D52&amp;TEXT(Référentiels!E52,"000")</f>
        <v>BOE009</v>
      </c>
      <c r="O52" s="88" t="s">
        <v>1211</v>
      </c>
      <c r="P52" s="23">
        <v>0.15</v>
      </c>
      <c r="Q52" s="88" t="s">
        <v>209</v>
      </c>
      <c r="R5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5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53" spans="1:19" ht="16.5" customHeight="1" x14ac:dyDescent="0.3">
      <c r="A5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3" s="111">
        <f>COUNTIF(A$2:$A53,A53)</f>
        <v>5</v>
      </c>
      <c r="D5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BOE</v>
      </c>
      <c r="E53" s="111">
        <f>COUNTIF($D$2:D53,D53)</f>
        <v>10</v>
      </c>
      <c r="G53" s="89" t="str">
        <f>Référentiels!A53&amp;TEXT(Référentiels!B53,"000")</f>
        <v>PUL005</v>
      </c>
      <c r="H53" s="64" t="s">
        <v>418</v>
      </c>
      <c r="I53" s="64" t="s">
        <v>25</v>
      </c>
      <c r="J53" s="23">
        <v>145</v>
      </c>
      <c r="K53" s="26">
        <f>IFERROR(
  SUMIFS(#REF!,#REF!, tbl_ProduitsRef[[#This Row],[Cde_Prdt]]),
0)</f>
        <v>0</v>
      </c>
      <c r="M53" s="91" t="s">
        <v>560</v>
      </c>
      <c r="N53" s="88" t="str">
        <f>Référentiels!D53&amp;TEXT(Référentiels!E53,"000")</f>
        <v>BOE010</v>
      </c>
      <c r="O53" s="88" t="s">
        <v>1211</v>
      </c>
      <c r="P53" s="23">
        <v>0.45</v>
      </c>
      <c r="Q53" s="88" t="s">
        <v>209</v>
      </c>
      <c r="R5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450</v>
      </c>
      <c r="S5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0.45</v>
      </c>
    </row>
    <row r="54" spans="1:19" ht="16.5" customHeight="1" x14ac:dyDescent="0.3">
      <c r="A5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4" s="111">
        <f>COUNTIF(A$2:$A54,A54)</f>
        <v>6</v>
      </c>
      <c r="D5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4" s="111">
        <f>COUNTIF($D$2:D54,D54)</f>
        <v>1</v>
      </c>
      <c r="G54" s="89" t="str">
        <f>Référentiels!A54&amp;TEXT(Référentiels!B54,"000")</f>
        <v>PUL006</v>
      </c>
      <c r="H54" s="64" t="s">
        <v>424</v>
      </c>
      <c r="I54" s="64" t="s">
        <v>25</v>
      </c>
      <c r="J54" s="23">
        <v>120</v>
      </c>
      <c r="K54" s="26">
        <f>IFERROR(
  SUMIFS(#REF!,#REF!, tbl_ProduitsRef[[#This Row],[Cde_Prdt]]),
0)</f>
        <v>0</v>
      </c>
      <c r="M54" s="91" t="s">
        <v>1215</v>
      </c>
      <c r="N54" s="88" t="str">
        <f>Référentiels!D54&amp;TEXT(Référentiels!E54,"000")</f>
        <v>AGN001</v>
      </c>
      <c r="O54" s="88" t="s">
        <v>1216</v>
      </c>
      <c r="P54" s="23">
        <v>0.08</v>
      </c>
      <c r="Q54" s="88" t="s">
        <v>209</v>
      </c>
      <c r="R5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5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0.08</v>
      </c>
    </row>
    <row r="55" spans="1:19" ht="16.5" customHeight="1" x14ac:dyDescent="0.3">
      <c r="A5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5" s="111">
        <f>COUNTIF(A$2:$A55,A55)</f>
        <v>7</v>
      </c>
      <c r="D5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5" s="111">
        <f>COUNTIF($D$2:D55,D55)</f>
        <v>2</v>
      </c>
      <c r="G55" s="89" t="str">
        <f>Référentiels!A55&amp;TEXT(Référentiels!B55,"000")</f>
        <v>PUL007</v>
      </c>
      <c r="H55" s="64" t="s">
        <v>428</v>
      </c>
      <c r="I55" s="64" t="s">
        <v>25</v>
      </c>
      <c r="J55" s="23">
        <v>120</v>
      </c>
      <c r="K55" s="26">
        <f>IFERROR(
  SUMIFS(#REF!,#REF!, tbl_ProduitsRef[[#This Row],[Cde_Prdt]]),
0)</f>
        <v>0</v>
      </c>
      <c r="M55" s="91" t="s">
        <v>1217</v>
      </c>
      <c r="N55" s="88" t="str">
        <f>Référentiels!D55&amp;TEXT(Référentiels!E55,"000")</f>
        <v>AGN002</v>
      </c>
      <c r="O55" s="88" t="s">
        <v>1216</v>
      </c>
      <c r="P55" s="23">
        <v>7.0000000000000007E-2</v>
      </c>
      <c r="Q55" s="88" t="s">
        <v>209</v>
      </c>
      <c r="R5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5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7.0000000000000007E-2</v>
      </c>
    </row>
    <row r="56" spans="1:19" ht="16.5" customHeight="1" x14ac:dyDescent="0.3">
      <c r="A5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6" s="111">
        <f>COUNTIF(A$2:$A56,A56)</f>
        <v>8</v>
      </c>
      <c r="D5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6" s="111">
        <f>COUNTIF($D$2:D56,D56)</f>
        <v>3</v>
      </c>
      <c r="G56" s="89" t="str">
        <f>Référentiels!A56&amp;TEXT(Référentiels!B56,"000")</f>
        <v>PUL008</v>
      </c>
      <c r="H56" s="64" t="s">
        <v>430</v>
      </c>
      <c r="I56" s="64" t="s">
        <v>25</v>
      </c>
      <c r="J56" s="23">
        <v>120</v>
      </c>
      <c r="K56" s="26">
        <f>IFERROR(
  SUMIFS(#REF!,#REF!, tbl_ProduitsRef[[#This Row],[Cde_Prdt]]),
0)</f>
        <v>0</v>
      </c>
      <c r="M56" s="91" t="s">
        <v>1218</v>
      </c>
      <c r="N56" s="88" t="str">
        <f>Référentiels!D56&amp;TEXT(Référentiels!E56,"000")</f>
        <v>AGN003</v>
      </c>
      <c r="O56" s="88" t="s">
        <v>1216</v>
      </c>
      <c r="P56" s="23">
        <v>0.12</v>
      </c>
      <c r="Q56" s="88" t="s">
        <v>209</v>
      </c>
      <c r="R5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5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0.12</v>
      </c>
    </row>
    <row r="57" spans="1:19" ht="16.5" customHeight="1" x14ac:dyDescent="0.3">
      <c r="A5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7" s="111">
        <f>COUNTIF(A$2:$A57,A57)</f>
        <v>9</v>
      </c>
      <c r="D5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7" s="111">
        <f>COUNTIF($D$2:D57,D57)</f>
        <v>4</v>
      </c>
      <c r="G57" s="89" t="str">
        <f>Référentiels!A57&amp;TEXT(Référentiels!B57,"000")</f>
        <v>PUL009</v>
      </c>
      <c r="H57" s="64" t="s">
        <v>1219</v>
      </c>
      <c r="I57" s="64" t="s">
        <v>25</v>
      </c>
      <c r="J57" s="23">
        <v>95</v>
      </c>
      <c r="K57" s="26">
        <f>IFERROR(
  SUMIFS(#REF!,#REF!, tbl_ProduitsRef[[#This Row],[Cde_Prdt]]),
0)</f>
        <v>0</v>
      </c>
      <c r="M57" s="91" t="s">
        <v>434</v>
      </c>
      <c r="N57" s="88" t="str">
        <f>Référentiels!D57&amp;TEXT(Référentiels!E57,"000")</f>
        <v>AGN004</v>
      </c>
      <c r="O57" s="88" t="s">
        <v>1216</v>
      </c>
      <c r="P57" s="23">
        <v>0.1</v>
      </c>
      <c r="Q57" s="88" t="s">
        <v>209</v>
      </c>
      <c r="R5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5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58" spans="1:19" ht="16.5" customHeight="1" x14ac:dyDescent="0.3">
      <c r="A5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8" s="111">
        <f>COUNTIF(A$2:$A58,A58)</f>
        <v>10</v>
      </c>
      <c r="D5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8" s="111">
        <f>COUNTIF($D$2:D58,D58)</f>
        <v>5</v>
      </c>
      <c r="G58" s="89" t="str">
        <f>Référentiels!A58&amp;TEXT(Référentiels!B58,"000")</f>
        <v>PUL010</v>
      </c>
      <c r="H58" s="64" t="s">
        <v>575</v>
      </c>
      <c r="I58" s="64" t="s">
        <v>25</v>
      </c>
      <c r="J58" s="23">
        <v>95</v>
      </c>
      <c r="K58" s="26">
        <f>IFERROR(
  SUMIFS(#REF!,#REF!, tbl_ProduitsRef[[#This Row],[Cde_Prdt]]),
0)</f>
        <v>0</v>
      </c>
      <c r="M58" s="91" t="s">
        <v>564</v>
      </c>
      <c r="N58" s="88" t="str">
        <f>Référentiels!D58&amp;TEXT(Référentiels!E58,"000")</f>
        <v>AGN005</v>
      </c>
      <c r="O58" s="88" t="s">
        <v>1216</v>
      </c>
      <c r="P58" s="23">
        <v>0.09</v>
      </c>
      <c r="Q58" s="88" t="s">
        <v>209</v>
      </c>
      <c r="R5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5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0.09</v>
      </c>
    </row>
    <row r="59" spans="1:19" ht="16.5" customHeight="1" x14ac:dyDescent="0.3">
      <c r="A5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59" s="111">
        <f>COUNTIF(A$2:$A59,A59)</f>
        <v>11</v>
      </c>
      <c r="D5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59" s="111">
        <f>COUNTIF($D$2:D59,D59)</f>
        <v>6</v>
      </c>
      <c r="G59" s="89" t="str">
        <f>Référentiels!A59&amp;TEXT(Référentiels!B59,"000")</f>
        <v>PUL011</v>
      </c>
      <c r="H59" s="64" t="s">
        <v>581</v>
      </c>
      <c r="I59" s="64" t="s">
        <v>25</v>
      </c>
      <c r="J59" s="23">
        <v>95</v>
      </c>
      <c r="K59" s="26">
        <f>IFERROR(
  SUMIFS(#REF!,#REF!, tbl_ProduitsRef[[#This Row],[Cde_Prdt]]),
0)</f>
        <v>0</v>
      </c>
      <c r="M59" s="91" t="s">
        <v>460</v>
      </c>
      <c r="N59" s="88" t="str">
        <f>Référentiels!D59&amp;TEXT(Référentiels!E59,"000")</f>
        <v>AGN006</v>
      </c>
      <c r="O59" s="88" t="s">
        <v>1216</v>
      </c>
      <c r="P59" s="23">
        <v>0.09</v>
      </c>
      <c r="Q59" s="88" t="s">
        <v>209</v>
      </c>
      <c r="R5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5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0.09</v>
      </c>
    </row>
    <row r="60" spans="1:19" ht="16.5" customHeight="1" x14ac:dyDescent="0.3">
      <c r="A6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60" s="111">
        <f>COUNTIF(A$2:$A60,A60)</f>
        <v>12</v>
      </c>
      <c r="D6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0" s="111">
        <f>COUNTIF($D$2:D60,D60)</f>
        <v>7</v>
      </c>
      <c r="G60" s="89" t="str">
        <f>Référentiels!A60&amp;TEXT(Référentiels!B60,"000")</f>
        <v>PUL012</v>
      </c>
      <c r="H60" s="64" t="s">
        <v>583</v>
      </c>
      <c r="I60" s="64" t="s">
        <v>25</v>
      </c>
      <c r="J60" s="23">
        <v>90</v>
      </c>
      <c r="K60" s="26">
        <f>IFERROR(
  SUMIFS(#REF!,#REF!, tbl_ProduitsRef[[#This Row],[Cde_Prdt]]),
0)</f>
        <v>0</v>
      </c>
      <c r="M60" s="91" t="s">
        <v>1220</v>
      </c>
      <c r="N60" s="88" t="str">
        <f>Référentiels!D60&amp;TEXT(Référentiels!E60,"000")</f>
        <v>AGN007</v>
      </c>
      <c r="O60" s="88" t="s">
        <v>1216</v>
      </c>
      <c r="P60" s="23">
        <v>0.1</v>
      </c>
      <c r="Q60" s="88" t="s">
        <v>209</v>
      </c>
      <c r="R6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61" spans="1:19" ht="16.5" customHeight="1" x14ac:dyDescent="0.3">
      <c r="A6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61" s="111">
        <f>COUNTIF(A$2:$A61,A61)</f>
        <v>13</v>
      </c>
      <c r="D6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1" s="111">
        <f>COUNTIF($D$2:D61,D61)</f>
        <v>8</v>
      </c>
      <c r="G61" s="89" t="str">
        <f>Référentiels!A61&amp;TEXT(Référentiels!B61,"000")</f>
        <v>PUL013</v>
      </c>
      <c r="H61" s="64" t="s">
        <v>585</v>
      </c>
      <c r="I61" s="64" t="s">
        <v>25</v>
      </c>
      <c r="J61" s="23">
        <v>90</v>
      </c>
      <c r="K61" s="26">
        <f>IFERROR(
  SUMIFS(#REF!,#REF!, tbl_ProduitsRef[[#This Row],[Cde_Prdt]]),
0)</f>
        <v>0</v>
      </c>
      <c r="M61" s="91" t="s">
        <v>1221</v>
      </c>
      <c r="N61" s="88" t="str">
        <f>Référentiels!D61&amp;TEXT(Référentiels!E61,"000")</f>
        <v>AGN008</v>
      </c>
      <c r="O61" s="88" t="s">
        <v>1216</v>
      </c>
      <c r="P61" s="23">
        <v>0.1</v>
      </c>
      <c r="Q61" s="88" t="s">
        <v>209</v>
      </c>
      <c r="R6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62" spans="1:19" ht="16.5" customHeight="1" x14ac:dyDescent="0.3">
      <c r="A6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PUL</v>
      </c>
      <c r="B62" s="111">
        <f>COUNTIF(A$2:$A62,A62)</f>
        <v>14</v>
      </c>
      <c r="D6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2" s="111">
        <f>COUNTIF($D$2:D62,D62)</f>
        <v>9</v>
      </c>
      <c r="G62" s="89" t="str">
        <f>Référentiels!A62&amp;TEXT(Référentiels!B62,"000")</f>
        <v>PUL014</v>
      </c>
      <c r="H62" s="64" t="s">
        <v>589</v>
      </c>
      <c r="I62" s="64" t="s">
        <v>25</v>
      </c>
      <c r="J62" s="23">
        <v>90</v>
      </c>
      <c r="K62" s="26">
        <f>IFERROR(
  SUMIFS(#REF!,#REF!, tbl_ProduitsRef[[#This Row],[Cde_Prdt]]),
0)</f>
        <v>0</v>
      </c>
      <c r="M62" s="91" t="s">
        <v>660</v>
      </c>
      <c r="N62" s="88" t="str">
        <f>Référentiels!D62&amp;TEXT(Référentiels!E62,"000")</f>
        <v>AGN009</v>
      </c>
      <c r="O62" s="88" t="s">
        <v>1216</v>
      </c>
      <c r="P62" s="23">
        <v>0.1</v>
      </c>
      <c r="Q62" s="88" t="s">
        <v>209</v>
      </c>
      <c r="R6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63" spans="1:19" ht="16.5" customHeight="1" x14ac:dyDescent="0.3">
      <c r="A6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3" s="111">
        <f>COUNTIF(A$2:$A63,A63)</f>
        <v>1</v>
      </c>
      <c r="D6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3" s="111">
        <f>COUNTIF($D$2:D63,D63)</f>
        <v>10</v>
      </c>
      <c r="G63" s="89" t="str">
        <f>Référentiels!A63&amp;TEXT(Référentiels!B63,"000")</f>
        <v>VIA001</v>
      </c>
      <c r="H63" s="64" t="s">
        <v>83</v>
      </c>
      <c r="I63" s="64" t="s">
        <v>26</v>
      </c>
      <c r="J63" s="23">
        <v>210</v>
      </c>
      <c r="K63" s="26">
        <f>IFERROR(
  SUMIFS(#REF!,#REF!, tbl_ProduitsRef[[#This Row],[Cde_Prdt]]),
0)</f>
        <v>0</v>
      </c>
      <c r="M63" s="91" t="s">
        <v>469</v>
      </c>
      <c r="N63" s="88" t="str">
        <f>Référentiels!D63&amp;TEXT(Référentiels!E63,"000")</f>
        <v>AGN010</v>
      </c>
      <c r="O63" s="88" t="s">
        <v>1216</v>
      </c>
      <c r="P63" s="23">
        <v>0.1</v>
      </c>
      <c r="Q63" s="88" t="s">
        <v>209</v>
      </c>
      <c r="R6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64" spans="1:19" ht="16.5" customHeight="1" x14ac:dyDescent="0.3">
      <c r="A6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4" s="111">
        <f>COUNTIF(A$2:$A64,A64)</f>
        <v>2</v>
      </c>
      <c r="D6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AGN</v>
      </c>
      <c r="E64" s="111">
        <f>COUNTIF($D$2:D64,D64)</f>
        <v>11</v>
      </c>
      <c r="G64" s="89" t="str">
        <f>Référentiels!A64&amp;TEXT(Référentiels!B64,"000")</f>
        <v>VIA002</v>
      </c>
      <c r="H64" s="64" t="s">
        <v>437</v>
      </c>
      <c r="I64" s="64" t="s">
        <v>26</v>
      </c>
      <c r="J64" s="23">
        <v>200</v>
      </c>
      <c r="K64" s="26">
        <f>IFERROR(
  SUMIFS(#REF!,#REF!, tbl_ProduitsRef[[#This Row],[Cde_Prdt]]),
0)</f>
        <v>0</v>
      </c>
      <c r="M64" s="91" t="s">
        <v>467</v>
      </c>
      <c r="N64" s="88" t="str">
        <f>Référentiels!D64&amp;TEXT(Référentiels!E64,"000")</f>
        <v>AGN011</v>
      </c>
      <c r="O64" s="88" t="s">
        <v>1216</v>
      </c>
      <c r="P64" s="23">
        <v>0.1</v>
      </c>
      <c r="Q64" s="88" t="s">
        <v>209</v>
      </c>
      <c r="R6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65" spans="1:19" ht="16.5" customHeight="1" x14ac:dyDescent="0.3">
      <c r="A6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5" s="111">
        <f>COUNTIF(A$2:$A65,A65)</f>
        <v>3</v>
      </c>
      <c r="D6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5" s="111">
        <f>COUNTIF($D$2:D65,D65)</f>
        <v>1</v>
      </c>
      <c r="G65" s="89" t="str">
        <f>Référentiels!A65&amp;TEXT(Référentiels!B65,"000")</f>
        <v>VIA003</v>
      </c>
      <c r="H65" s="64" t="s">
        <v>435</v>
      </c>
      <c r="I65" s="64" t="s">
        <v>26</v>
      </c>
      <c r="J65" s="23">
        <v>200</v>
      </c>
      <c r="K65" s="26">
        <f>IFERROR(
  SUMIFS(#REF!,#REF!, tbl_ProduitsRef[[#This Row],[Cde_Prdt]]),
0)</f>
        <v>0</v>
      </c>
      <c r="M65" s="91" t="s">
        <v>1222</v>
      </c>
      <c r="N65" s="88" t="str">
        <f>Référentiels!D65&amp;TEXT(Référentiels!E65,"000")</f>
        <v>VEA001</v>
      </c>
      <c r="O65" s="88" t="s">
        <v>1223</v>
      </c>
      <c r="P65" s="23">
        <v>0.1</v>
      </c>
      <c r="Q65" s="88" t="s">
        <v>209</v>
      </c>
      <c r="R6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66" spans="1:19" ht="16.5" customHeight="1" x14ac:dyDescent="0.3">
      <c r="A6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6" s="111">
        <f>COUNTIF(A$2:$A66,A66)</f>
        <v>4</v>
      </c>
      <c r="D6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6" s="111">
        <f>COUNTIF($D$2:D66,D66)</f>
        <v>2</v>
      </c>
      <c r="G66" s="89" t="str">
        <f>Référentiels!A66&amp;TEXT(Référentiels!B66,"000")</f>
        <v>VIA004</v>
      </c>
      <c r="H66" s="64" t="s">
        <v>441</v>
      </c>
      <c r="I66" s="64" t="s">
        <v>26</v>
      </c>
      <c r="J66" s="23">
        <v>200</v>
      </c>
      <c r="K66" s="26">
        <f>IFERROR(
  SUMIFS(#REF!,#REF!, tbl_ProduitsRef[[#This Row],[Cde_Prdt]]),
0)</f>
        <v>0</v>
      </c>
      <c r="M66" s="91" t="s">
        <v>448</v>
      </c>
      <c r="N66" s="88" t="str">
        <f>Référentiels!D66&amp;TEXT(Référentiels!E66,"000")</f>
        <v>VEA002</v>
      </c>
      <c r="O66" s="88" t="s">
        <v>1223</v>
      </c>
      <c r="P66" s="23">
        <v>0.45</v>
      </c>
      <c r="Q66" s="88" t="s">
        <v>209</v>
      </c>
      <c r="R6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450</v>
      </c>
      <c r="S6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0.45</v>
      </c>
    </row>
    <row r="67" spans="1:19" ht="16.5" customHeight="1" x14ac:dyDescent="0.3">
      <c r="A6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7" s="111">
        <f>COUNTIF(A$2:$A67,A67)</f>
        <v>5</v>
      </c>
      <c r="D6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7" s="111">
        <f>COUNTIF($D$2:D67,D67)</f>
        <v>3</v>
      </c>
      <c r="G67" s="89" t="str">
        <f>Référentiels!A67&amp;TEXT(Référentiels!B67,"000")</f>
        <v>VIA005</v>
      </c>
      <c r="H67" s="64" t="s">
        <v>445</v>
      </c>
      <c r="I67" s="64" t="s">
        <v>26</v>
      </c>
      <c r="J67" s="23">
        <v>200</v>
      </c>
      <c r="K67" s="26">
        <f>IFERROR(
  SUMIFS(#REF!,#REF!, tbl_ProduitsRef[[#This Row],[Cde_Prdt]]),
0)</f>
        <v>0</v>
      </c>
      <c r="M67" s="91" t="s">
        <v>1224</v>
      </c>
      <c r="N67" s="88" t="str">
        <f>Référentiels!D67&amp;TEXT(Référentiels!E67,"000")</f>
        <v>VEA003</v>
      </c>
      <c r="O67" s="88" t="s">
        <v>1223</v>
      </c>
      <c r="P67" s="23">
        <v>0.09</v>
      </c>
      <c r="Q67" s="88" t="s">
        <v>209</v>
      </c>
      <c r="R6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6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0.09</v>
      </c>
    </row>
    <row r="68" spans="1:19" ht="16.5" customHeight="1" x14ac:dyDescent="0.3">
      <c r="A6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8" s="111">
        <f>COUNTIF(A$2:$A68,A68)</f>
        <v>6</v>
      </c>
      <c r="D6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8" s="111">
        <f>COUNTIF($D$2:D68,D68)</f>
        <v>4</v>
      </c>
      <c r="G68" s="89" t="str">
        <f>Référentiels!A68&amp;TEXT(Référentiels!B68,"000")</f>
        <v>VIA006</v>
      </c>
      <c r="H68" s="64" t="s">
        <v>449</v>
      </c>
      <c r="I68" s="64" t="s">
        <v>26</v>
      </c>
      <c r="J68" s="23">
        <v>190</v>
      </c>
      <c r="K68" s="26">
        <f>IFERROR(
  SUMIFS(#REF!,#REF!, tbl_ProduitsRef[[#This Row],[Cde_Prdt]]),
0)</f>
        <v>0</v>
      </c>
      <c r="M68" s="91" t="s">
        <v>1225</v>
      </c>
      <c r="N68" s="88" t="str">
        <f>Référentiels!D68&amp;TEXT(Référentiels!E68,"000")</f>
        <v>VEA004</v>
      </c>
      <c r="O68" s="88" t="s">
        <v>1223</v>
      </c>
      <c r="P68" s="23">
        <v>0.08</v>
      </c>
      <c r="Q68" s="88" t="s">
        <v>209</v>
      </c>
      <c r="R6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6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0.08</v>
      </c>
    </row>
    <row r="69" spans="1:19" ht="16.5" customHeight="1" x14ac:dyDescent="0.3">
      <c r="A6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69" s="111">
        <f>COUNTIF(A$2:$A69,A69)</f>
        <v>7</v>
      </c>
      <c r="D6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69" s="111">
        <f>COUNTIF($D$2:D69,D69)</f>
        <v>5</v>
      </c>
      <c r="G69" s="89" t="str">
        <f>Référentiels!A69&amp;TEXT(Référentiels!B69,"000")</f>
        <v>VIA007</v>
      </c>
      <c r="H69" s="64" t="s">
        <v>453</v>
      </c>
      <c r="I69" s="64" t="s">
        <v>26</v>
      </c>
      <c r="J69" s="23">
        <v>190</v>
      </c>
      <c r="K69" s="26">
        <f>IFERROR(
  SUMIFS(#REF!,#REF!, tbl_ProduitsRef[[#This Row],[Cde_Prdt]]),
0)</f>
        <v>0</v>
      </c>
      <c r="M69" s="91" t="s">
        <v>1226</v>
      </c>
      <c r="N69" s="88" t="str">
        <f>Référentiels!D69&amp;TEXT(Référentiels!E69,"000")</f>
        <v>VEA005</v>
      </c>
      <c r="O69" s="88" t="s">
        <v>1223</v>
      </c>
      <c r="P69" s="23">
        <v>0.1</v>
      </c>
      <c r="Q69" s="88" t="s">
        <v>209</v>
      </c>
      <c r="R6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6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70" spans="1:19" ht="16.5" customHeight="1" x14ac:dyDescent="0.3">
      <c r="A7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0" s="111">
        <f>COUNTIF(A$2:$A70,A70)</f>
        <v>8</v>
      </c>
      <c r="D7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0" s="111">
        <f>COUNTIF($D$2:D70,D70)</f>
        <v>6</v>
      </c>
      <c r="G70" s="89" t="str">
        <f>Référentiels!A70&amp;TEXT(Référentiels!B70,"000")</f>
        <v>VIA008</v>
      </c>
      <c r="H70" s="64" t="s">
        <v>457</v>
      </c>
      <c r="I70" s="64" t="s">
        <v>26</v>
      </c>
      <c r="J70" s="23">
        <v>180</v>
      </c>
      <c r="K70" s="26">
        <f>IFERROR(
  SUMIFS(#REF!,#REF!, tbl_ProduitsRef[[#This Row],[Cde_Prdt]]),
0)</f>
        <v>0</v>
      </c>
      <c r="M70" s="91" t="s">
        <v>1227</v>
      </c>
      <c r="N70" s="88" t="str">
        <f>Référentiels!D70&amp;TEXT(Référentiels!E70,"000")</f>
        <v>VEA006</v>
      </c>
      <c r="O70" s="88" t="s">
        <v>1223</v>
      </c>
      <c r="P70" s="23">
        <v>0.9</v>
      </c>
      <c r="Q70" s="88" t="s">
        <v>209</v>
      </c>
      <c r="R7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900</v>
      </c>
      <c r="S7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0.9</v>
      </c>
    </row>
    <row r="71" spans="1:19" ht="16.5" customHeight="1" x14ac:dyDescent="0.3">
      <c r="A7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1" s="111">
        <f>COUNTIF(A$2:$A71,A71)</f>
        <v>9</v>
      </c>
      <c r="D7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1" s="111">
        <f>COUNTIF($D$2:D71,D71)</f>
        <v>7</v>
      </c>
      <c r="G71" s="89" t="str">
        <f>Référentiels!A71&amp;TEXT(Référentiels!B71,"000")</f>
        <v>VIA009</v>
      </c>
      <c r="H71" s="64" t="s">
        <v>58</v>
      </c>
      <c r="I71" s="64" t="s">
        <v>26</v>
      </c>
      <c r="J71" s="23">
        <v>180</v>
      </c>
      <c r="K71" s="26">
        <f>IFERROR(
  SUMIFS(#REF!,#REF!, tbl_ProduitsRef[[#This Row],[Cde_Prdt]]),
0)</f>
        <v>0</v>
      </c>
      <c r="M71" s="91" t="s">
        <v>444</v>
      </c>
      <c r="N71" s="88" t="str">
        <f>Référentiels!D71&amp;TEXT(Référentiels!E71,"000")</f>
        <v>VEA007</v>
      </c>
      <c r="O71" s="88" t="s">
        <v>1223</v>
      </c>
      <c r="P71" s="23">
        <v>0.1</v>
      </c>
      <c r="Q71" s="88" t="s">
        <v>209</v>
      </c>
      <c r="R7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7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72" spans="1:19" ht="16.5" customHeight="1" x14ac:dyDescent="0.3">
      <c r="A7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2" s="111">
        <f>COUNTIF(A$2:$A72,A72)</f>
        <v>10</v>
      </c>
      <c r="D7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2" s="111">
        <f>COUNTIF($D$2:D72,D72)</f>
        <v>8</v>
      </c>
      <c r="G72" s="89" t="str">
        <f>Référentiels!A72&amp;TEXT(Référentiels!B72,"000")</f>
        <v>VIA010</v>
      </c>
      <c r="H72" s="64" t="s">
        <v>464</v>
      </c>
      <c r="I72" s="64" t="s">
        <v>26</v>
      </c>
      <c r="J72" s="23">
        <v>180</v>
      </c>
      <c r="K72" s="26">
        <f>IFERROR(
  SUMIFS(#REF!,#REF!, tbl_ProduitsRef[[#This Row],[Cde_Prdt]]),
0)</f>
        <v>0</v>
      </c>
      <c r="M72" s="91" t="s">
        <v>452</v>
      </c>
      <c r="N72" s="88" t="str">
        <f>Référentiels!D72&amp;TEXT(Référentiels!E72,"000")</f>
        <v>VEA008</v>
      </c>
      <c r="O72" s="88" t="s">
        <v>1223</v>
      </c>
      <c r="P72" s="23">
        <v>0.3</v>
      </c>
      <c r="Q72" s="88" t="s">
        <v>209</v>
      </c>
      <c r="R7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7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0.3</v>
      </c>
    </row>
    <row r="73" spans="1:19" ht="16.5" customHeight="1" x14ac:dyDescent="0.3">
      <c r="A7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3" s="111">
        <f>COUNTIF(A$2:$A73,A73)</f>
        <v>11</v>
      </c>
      <c r="D7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3" s="111">
        <f>COUNTIF($D$2:D73,D73)</f>
        <v>9</v>
      </c>
      <c r="G73" s="89" t="str">
        <f>Référentiels!A73&amp;TEXT(Référentiels!B73,"000")</f>
        <v>VIA011</v>
      </c>
      <c r="H73" s="64" t="s">
        <v>474</v>
      </c>
      <c r="I73" s="64" t="s">
        <v>26</v>
      </c>
      <c r="J73" s="23">
        <v>160</v>
      </c>
      <c r="K73" s="26">
        <f>IFERROR(
  SUMIFS(#REF!,#REF!, tbl_ProduitsRef[[#This Row],[Cde_Prdt]]),
0)</f>
        <v>0</v>
      </c>
      <c r="M73" s="91" t="s">
        <v>456</v>
      </c>
      <c r="N73" s="88" t="str">
        <f>Référentiels!D73&amp;TEXT(Référentiels!E73,"000")</f>
        <v>VEA009</v>
      </c>
      <c r="O73" s="88" t="s">
        <v>1223</v>
      </c>
      <c r="P73" s="23">
        <v>0.12</v>
      </c>
      <c r="Q73" s="88" t="s">
        <v>209</v>
      </c>
      <c r="R7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7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0.12</v>
      </c>
    </row>
    <row r="74" spans="1:19" ht="16.5" customHeight="1" x14ac:dyDescent="0.3">
      <c r="A7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4" s="111">
        <f>COUNTIF(A$2:$A74,A74)</f>
        <v>12</v>
      </c>
      <c r="D7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4" s="111">
        <f>COUNTIF($D$2:D74,D74)</f>
        <v>10</v>
      </c>
      <c r="G74" s="89" t="str">
        <f>Référentiels!A74&amp;TEXT(Référentiels!B74,"000")</f>
        <v>VIA012</v>
      </c>
      <c r="H74" s="64" t="s">
        <v>470</v>
      </c>
      <c r="I74" s="64" t="s">
        <v>26</v>
      </c>
      <c r="J74" s="23">
        <v>175</v>
      </c>
      <c r="K74" s="26">
        <f>IFERROR(
  SUMIFS(#REF!,#REF!, tbl_ProduitsRef[[#This Row],[Cde_Prdt]]),
0)</f>
        <v>0</v>
      </c>
      <c r="M74" s="91" t="s">
        <v>463</v>
      </c>
      <c r="N74" s="88" t="str">
        <f>Référentiels!D74&amp;TEXT(Référentiels!E74,"000")</f>
        <v>VEA010</v>
      </c>
      <c r="O74" s="88" t="s">
        <v>1223</v>
      </c>
      <c r="P74" s="23">
        <v>0.12</v>
      </c>
      <c r="Q74" s="88" t="s">
        <v>209</v>
      </c>
      <c r="R7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7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0.12</v>
      </c>
    </row>
    <row r="75" spans="1:19" ht="16.5" customHeight="1" x14ac:dyDescent="0.3">
      <c r="A7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5" s="111">
        <f>COUNTIF(A$2:$A75,A75)</f>
        <v>13</v>
      </c>
      <c r="D7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VEA</v>
      </c>
      <c r="E75" s="111">
        <f>COUNTIF($D$2:D75,D75)</f>
        <v>11</v>
      </c>
      <c r="G75" s="89" t="str">
        <f>Référentiels!A75&amp;TEXT(Référentiels!B75,"000")</f>
        <v>VIA013</v>
      </c>
      <c r="H75" s="64" t="s">
        <v>480</v>
      </c>
      <c r="I75" s="64" t="s">
        <v>26</v>
      </c>
      <c r="J75" s="23">
        <v>170</v>
      </c>
      <c r="K75" s="26">
        <f>IFERROR(
  SUMIFS(#REF!,#REF!, tbl_ProduitsRef[[#This Row],[Cde_Prdt]]),
0)</f>
        <v>0</v>
      </c>
      <c r="M75" s="91" t="s">
        <v>483</v>
      </c>
      <c r="N75" s="88" t="str">
        <f>Référentiels!D75&amp;TEXT(Référentiels!E75,"000")</f>
        <v>VEA011</v>
      </c>
      <c r="O75" s="88" t="s">
        <v>1223</v>
      </c>
      <c r="P75" s="23">
        <v>0.12</v>
      </c>
      <c r="Q75" s="88" t="s">
        <v>209</v>
      </c>
      <c r="R7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7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0.12</v>
      </c>
    </row>
    <row r="76" spans="1:19" ht="16.5" customHeight="1" x14ac:dyDescent="0.3">
      <c r="A7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6" s="111">
        <f>COUNTIF(A$2:$A76,A76)</f>
        <v>14</v>
      </c>
      <c r="D7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76" s="111">
        <f>COUNTIF($D$2:D76,D76)</f>
        <v>1</v>
      </c>
      <c r="G76" s="89" t="str">
        <f>Référentiels!A76&amp;TEXT(Référentiels!B76,"000")</f>
        <v>VIA014</v>
      </c>
      <c r="H76" s="64" t="s">
        <v>484</v>
      </c>
      <c r="I76" s="64" t="s">
        <v>26</v>
      </c>
      <c r="J76" s="23">
        <v>170</v>
      </c>
      <c r="K76" s="26">
        <f>IFERROR(
  SUMIFS(#REF!,#REF!, tbl_ProduitsRef[[#This Row],[Cde_Prdt]]),
0)</f>
        <v>0</v>
      </c>
      <c r="M76" s="91" t="s">
        <v>213</v>
      </c>
      <c r="N76" s="88" t="str">
        <f>Référentiels!D76&amp;TEXT(Référentiels!E76,"000")</f>
        <v>POI001</v>
      </c>
      <c r="O76" s="88" t="s">
        <v>1228</v>
      </c>
      <c r="P76" s="23">
        <v>0.56999999999999995</v>
      </c>
      <c r="Q76" s="88" t="s">
        <v>209</v>
      </c>
      <c r="R7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570</v>
      </c>
      <c r="S7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0.56999999999999995</v>
      </c>
    </row>
    <row r="77" spans="1:19" ht="16.5" customHeight="1" x14ac:dyDescent="0.3">
      <c r="A7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7" s="111">
        <f>COUNTIF(A$2:$A77,A77)</f>
        <v>15</v>
      </c>
      <c r="D7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77" s="111">
        <f>COUNTIF($D$2:D77,D77)</f>
        <v>2</v>
      </c>
      <c r="G77" s="89" t="str">
        <f>Référentiels!A77&amp;TEXT(Référentiels!B77,"000")</f>
        <v>VIA015</v>
      </c>
      <c r="H77" s="64" t="s">
        <v>84</v>
      </c>
      <c r="I77" s="64" t="s">
        <v>26</v>
      </c>
      <c r="J77" s="23">
        <v>170</v>
      </c>
      <c r="K77" s="26">
        <f>IFERROR(
  SUMIFS(#REF!,#REF!, tbl_ProduitsRef[[#This Row],[Cde_Prdt]]),
0)</f>
        <v>0</v>
      </c>
      <c r="M77" s="91" t="s">
        <v>1229</v>
      </c>
      <c r="N77" s="88" t="str">
        <f>Référentiels!D77&amp;TEXT(Référentiels!E77,"000")</f>
        <v>POI002</v>
      </c>
      <c r="O77" s="88" t="s">
        <v>1228</v>
      </c>
      <c r="P77" s="23">
        <v>0.5</v>
      </c>
      <c r="Q77" s="88" t="s">
        <v>209</v>
      </c>
      <c r="R7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500</v>
      </c>
      <c r="S7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0.5</v>
      </c>
    </row>
    <row r="78" spans="1:19" ht="16.5" customHeight="1" x14ac:dyDescent="0.3">
      <c r="A7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8" s="111">
        <f>COUNTIF(A$2:$A78,A78)</f>
        <v>16</v>
      </c>
      <c r="D7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78" s="111">
        <f>COUNTIF($D$2:D78,D78)</f>
        <v>3</v>
      </c>
      <c r="G78" s="89" t="str">
        <f>Référentiels!A78&amp;TEXT(Référentiels!B78,"000")</f>
        <v>VIA016</v>
      </c>
      <c r="H78" s="64" t="s">
        <v>490</v>
      </c>
      <c r="I78" s="64" t="s">
        <v>26</v>
      </c>
      <c r="J78" s="23">
        <v>160</v>
      </c>
      <c r="K78" s="26">
        <f>IFERROR(
  SUMIFS(#REF!,#REF!, tbl_ProduitsRef[[#This Row],[Cde_Prdt]]),
0)</f>
        <v>0</v>
      </c>
      <c r="M78" s="91" t="s">
        <v>1230</v>
      </c>
      <c r="N78" s="88" t="str">
        <f>Référentiels!D78&amp;TEXT(Référentiels!E78,"000")</f>
        <v>POI003</v>
      </c>
      <c r="O78" s="88" t="s">
        <v>1228</v>
      </c>
      <c r="P78" s="23">
        <v>0.7</v>
      </c>
      <c r="Q78" s="88" t="s">
        <v>209</v>
      </c>
      <c r="R7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700</v>
      </c>
      <c r="S7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0.7</v>
      </c>
    </row>
    <row r="79" spans="1:19" ht="16.5" customHeight="1" x14ac:dyDescent="0.3">
      <c r="A7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79" s="111">
        <f>COUNTIF(A$2:$A79,A79)</f>
        <v>17</v>
      </c>
      <c r="D7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79" s="111">
        <f>COUNTIF($D$2:D79,D79)</f>
        <v>4</v>
      </c>
      <c r="G79" s="89" t="str">
        <f>Référentiels!A79&amp;TEXT(Référentiels!B79,"000")</f>
        <v>VIA017</v>
      </c>
      <c r="H79" s="64" t="s">
        <v>551</v>
      </c>
      <c r="I79" s="64" t="s">
        <v>26</v>
      </c>
      <c r="J79" s="23">
        <v>150</v>
      </c>
      <c r="K79" s="26">
        <f>IFERROR(
  SUMIFS(#REF!,#REF!, tbl_ProduitsRef[[#This Row],[Cde_Prdt]]),
0)</f>
        <v>0</v>
      </c>
      <c r="M79" s="91" t="s">
        <v>544</v>
      </c>
      <c r="N79" s="88" t="str">
        <f>Référentiels!D79&amp;TEXT(Référentiels!E79,"000")</f>
        <v>POI004</v>
      </c>
      <c r="O79" s="88" t="s">
        <v>1228</v>
      </c>
      <c r="P79" s="23">
        <v>0.2</v>
      </c>
      <c r="Q79" s="88" t="s">
        <v>209</v>
      </c>
      <c r="R7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7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0.2</v>
      </c>
    </row>
    <row r="80" spans="1:19" ht="16.5" customHeight="1" x14ac:dyDescent="0.3">
      <c r="A8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0" s="111">
        <f>COUNTIF(A$2:$A80,A80)</f>
        <v>18</v>
      </c>
      <c r="D8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0" s="111">
        <f>COUNTIF($D$2:D80,D80)</f>
        <v>5</v>
      </c>
      <c r="G80" s="89" t="str">
        <f>Référentiels!A80&amp;TEXT(Référentiels!B80,"000")</f>
        <v>VIA018</v>
      </c>
      <c r="H80" s="64" t="s">
        <v>557</v>
      </c>
      <c r="I80" s="64" t="s">
        <v>26</v>
      </c>
      <c r="J80" s="23">
        <v>130</v>
      </c>
      <c r="K80" s="26">
        <f>IFERROR(
  SUMIFS(#REF!,#REF!, tbl_ProduitsRef[[#This Row],[Cde_Prdt]]),
0)</f>
        <v>0</v>
      </c>
      <c r="M80" s="91" t="s">
        <v>1231</v>
      </c>
      <c r="N80" s="88" t="str">
        <f>Référentiels!D80&amp;TEXT(Référentiels!E80,"000")</f>
        <v>POI005</v>
      </c>
      <c r="O80" s="88" t="s">
        <v>1228</v>
      </c>
      <c r="P80" s="23">
        <v>0.1</v>
      </c>
      <c r="Q80" s="88" t="s">
        <v>209</v>
      </c>
      <c r="R8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8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81" spans="1:19" ht="16.5" customHeight="1" x14ac:dyDescent="0.3">
      <c r="A8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1" s="111">
        <f>COUNTIF(A$2:$A81,A81)</f>
        <v>19</v>
      </c>
      <c r="D8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1" s="111">
        <f>COUNTIF($D$2:D81,D81)</f>
        <v>6</v>
      </c>
      <c r="G81" s="89" t="str">
        <f>Référentiels!A81&amp;TEXT(Référentiels!B81,"000")</f>
        <v>VIA019</v>
      </c>
      <c r="H81" s="64" t="s">
        <v>561</v>
      </c>
      <c r="I81" s="64" t="s">
        <v>26</v>
      </c>
      <c r="J81" s="23">
        <v>120</v>
      </c>
      <c r="K81" s="26">
        <f>IFERROR(
  SUMIFS(#REF!,#REF!, tbl_ProduitsRef[[#This Row],[Cde_Prdt]]),
0)</f>
        <v>0</v>
      </c>
      <c r="M81" s="91" t="s">
        <v>513</v>
      </c>
      <c r="N81" s="88" t="str">
        <f>Référentiels!D81&amp;TEXT(Référentiels!E81,"000")</f>
        <v>POI006</v>
      </c>
      <c r="O81" s="88" t="s">
        <v>1228</v>
      </c>
      <c r="P81" s="23">
        <v>0.09</v>
      </c>
      <c r="Q81" s="88" t="s">
        <v>209</v>
      </c>
      <c r="R8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8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0.09</v>
      </c>
    </row>
    <row r="82" spans="1:19" ht="16.5" customHeight="1" x14ac:dyDescent="0.3">
      <c r="A8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2" s="111">
        <f>COUNTIF(A$2:$A82,A82)</f>
        <v>20</v>
      </c>
      <c r="D8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2" s="111">
        <f>COUNTIF($D$2:D82,D82)</f>
        <v>7</v>
      </c>
      <c r="G82" s="89" t="str">
        <f>Référentiels!A82&amp;TEXT(Référentiels!B82,"000")</f>
        <v>VIA020</v>
      </c>
      <c r="H82" s="64" t="s">
        <v>565</v>
      </c>
      <c r="I82" s="64" t="s">
        <v>26</v>
      </c>
      <c r="J82" s="23">
        <v>110</v>
      </c>
      <c r="K82" s="26">
        <f>IFERROR(
  SUMIFS(#REF!,#REF!, tbl_ProduitsRef[[#This Row],[Cde_Prdt]]),
0)</f>
        <v>0</v>
      </c>
      <c r="M82" s="91" t="s">
        <v>524</v>
      </c>
      <c r="N82" s="88" t="str">
        <f>Référentiels!D82&amp;TEXT(Référentiels!E82,"000")</f>
        <v>POI007</v>
      </c>
      <c r="O82" s="88" t="s">
        <v>1228</v>
      </c>
      <c r="P82" s="23">
        <v>0.09</v>
      </c>
      <c r="Q82" s="88" t="s">
        <v>209</v>
      </c>
      <c r="R8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8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0.09</v>
      </c>
    </row>
    <row r="83" spans="1:19" ht="16.5" customHeight="1" x14ac:dyDescent="0.3">
      <c r="A8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3" s="111">
        <f>COUNTIF(A$2:$A83,A83)</f>
        <v>21</v>
      </c>
      <c r="D8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3" s="111">
        <f>COUNTIF($D$2:D83,D83)</f>
        <v>8</v>
      </c>
      <c r="G83" s="89" t="str">
        <f>Référentiels!A83&amp;TEXT(Référentiels!B83,"000")</f>
        <v>VIA021</v>
      </c>
      <c r="H83" s="64" t="s">
        <v>569</v>
      </c>
      <c r="I83" s="64" t="s">
        <v>26</v>
      </c>
      <c r="J83" s="23">
        <v>110</v>
      </c>
      <c r="K83" s="26">
        <f>IFERROR(
  SUMIFS(#REF!,#REF!, tbl_ProduitsRef[[#This Row],[Cde_Prdt]]),
0)</f>
        <v>0</v>
      </c>
      <c r="M83" s="91" t="s">
        <v>1232</v>
      </c>
      <c r="N83" s="88" t="str">
        <f>Référentiels!D83&amp;TEXT(Référentiels!E83,"000")</f>
        <v>POI008</v>
      </c>
      <c r="O83" s="88" t="s">
        <v>1228</v>
      </c>
      <c r="P83" s="23">
        <v>0.08</v>
      </c>
      <c r="Q83" s="88" t="s">
        <v>209</v>
      </c>
      <c r="R8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8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0.08</v>
      </c>
    </row>
    <row r="84" spans="1:19" ht="16.5" customHeight="1" x14ac:dyDescent="0.3">
      <c r="A8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VIA</v>
      </c>
      <c r="B84" s="111">
        <f>COUNTIF(A$2:$A84,A84)</f>
        <v>22</v>
      </c>
      <c r="D8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4" s="111">
        <f>COUNTIF($D$2:D84,D84)</f>
        <v>9</v>
      </c>
      <c r="G84" s="89" t="str">
        <f>Référentiels!A84&amp;TEXT(Référentiels!B84,"000")</f>
        <v>VIA022</v>
      </c>
      <c r="H84" s="64" t="s">
        <v>690</v>
      </c>
      <c r="I84" s="64" t="s">
        <v>26</v>
      </c>
      <c r="J84" s="23">
        <v>10</v>
      </c>
      <c r="K84" s="26">
        <f>IFERROR(
  SUMIFS(#REF!,#REF!, tbl_ProduitsRef[[#This Row],[Cde_Prdt]]),
0)</f>
        <v>0</v>
      </c>
      <c r="M84" s="91" t="s">
        <v>1233</v>
      </c>
      <c r="N84" s="88" t="str">
        <f>Référentiels!D84&amp;TEXT(Référentiels!E84,"000")</f>
        <v>POI009</v>
      </c>
      <c r="O84" s="88" t="s">
        <v>1228</v>
      </c>
      <c r="P84" s="23">
        <v>0.08</v>
      </c>
      <c r="Q84" s="88" t="s">
        <v>209</v>
      </c>
      <c r="R8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8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0.08</v>
      </c>
    </row>
    <row r="85" spans="1:19" ht="16.5" customHeight="1" x14ac:dyDescent="0.3">
      <c r="A8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5" s="111">
        <f>COUNTIF(A$2:$A85,A85)</f>
        <v>1</v>
      </c>
      <c r="D8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POI</v>
      </c>
      <c r="E85" s="111">
        <f>COUNTIF($D$2:D85,D85)</f>
        <v>10</v>
      </c>
      <c r="G85" s="89" t="str">
        <f>Référentiels!A85&amp;TEXT(Référentiels!B85,"000")</f>
        <v>POI001</v>
      </c>
      <c r="H85" s="64" t="s">
        <v>499</v>
      </c>
      <c r="I85" s="64" t="s">
        <v>27</v>
      </c>
      <c r="J85" s="23">
        <v>90</v>
      </c>
      <c r="K85" s="26">
        <f>IFERROR(
  SUMIFS(#REF!,#REF!, tbl_ProduitsRef[[#This Row],[Cde_Prdt]]),
0)</f>
        <v>0</v>
      </c>
      <c r="M85" s="91" t="s">
        <v>400</v>
      </c>
      <c r="N85" s="88" t="str">
        <f>Référentiels!D85&amp;TEXT(Référentiels!E85,"000")</f>
        <v>POI010</v>
      </c>
      <c r="O85" s="88" t="s">
        <v>1228</v>
      </c>
      <c r="P85" s="23">
        <v>0.15</v>
      </c>
      <c r="Q85" s="88" t="s">
        <v>209</v>
      </c>
      <c r="R8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8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86" spans="1:19" ht="16.5" customHeight="1" x14ac:dyDescent="0.3">
      <c r="A8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6" s="111">
        <f>COUNTIF(A$2:$A86,A86)</f>
        <v>2</v>
      </c>
      <c r="D8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86" s="111">
        <f>COUNTIF($D$2:D86,D86)</f>
        <v>1</v>
      </c>
      <c r="G86" s="89" t="str">
        <f>Référentiels!A86&amp;TEXT(Référentiels!B86,"000")</f>
        <v>POI002</v>
      </c>
      <c r="H86" s="64" t="s">
        <v>494</v>
      </c>
      <c r="I86" s="64" t="s">
        <v>27</v>
      </c>
      <c r="J86" s="23">
        <v>200</v>
      </c>
      <c r="K86" s="26">
        <f>IFERROR(
  SUMIFS(#REF!,#REF!, tbl_ProduitsRef[[#This Row],[Cde_Prdt]]),
0)</f>
        <v>0</v>
      </c>
      <c r="M86" s="91" t="s">
        <v>294</v>
      </c>
      <c r="N86" s="88" t="str">
        <f>Référentiels!D86&amp;TEXT(Référentiels!E86,"000")</f>
        <v>FDM001</v>
      </c>
      <c r="O86" s="88" t="s">
        <v>1234</v>
      </c>
      <c r="P86" s="23">
        <v>0.1</v>
      </c>
      <c r="Q86" s="88" t="s">
        <v>209</v>
      </c>
      <c r="R8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8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87" spans="1:19" ht="16.5" customHeight="1" x14ac:dyDescent="0.3">
      <c r="A8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7" s="111">
        <f>COUNTIF(A$2:$A87,A87)</f>
        <v>3</v>
      </c>
      <c r="D8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87" s="111">
        <f>COUNTIF($D$2:D87,D87)</f>
        <v>2</v>
      </c>
      <c r="G87" s="89" t="str">
        <f>Référentiels!A87&amp;TEXT(Référentiels!B87,"000")</f>
        <v>POI003</v>
      </c>
      <c r="H87" s="64" t="s">
        <v>500</v>
      </c>
      <c r="I87" s="64" t="s">
        <v>27</v>
      </c>
      <c r="J87" s="23">
        <v>70</v>
      </c>
      <c r="K87" s="26">
        <f>IFERROR(
  SUMIFS(#REF!,#REF!, tbl_ProduitsRef[[#This Row],[Cde_Prdt]]),
0)</f>
        <v>0</v>
      </c>
      <c r="M87" s="91" t="s">
        <v>354</v>
      </c>
      <c r="N87" s="88" t="str">
        <f>Référentiels!D87&amp;TEXT(Référentiels!E87,"000")</f>
        <v>FDM002</v>
      </c>
      <c r="O87" s="88" t="s">
        <v>1234</v>
      </c>
      <c r="P87" s="23">
        <v>0.8</v>
      </c>
      <c r="Q87" s="88" t="s">
        <v>209</v>
      </c>
      <c r="R8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800</v>
      </c>
      <c r="S8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0.8</v>
      </c>
    </row>
    <row r="88" spans="1:19" ht="16.5" customHeight="1" x14ac:dyDescent="0.3">
      <c r="A8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8" s="111">
        <f>COUNTIF(A$2:$A88,A88)</f>
        <v>4</v>
      </c>
      <c r="D8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88" s="111">
        <f>COUNTIF($D$2:D88,D88)</f>
        <v>3</v>
      </c>
      <c r="G88" s="89" t="str">
        <f>Référentiels!A88&amp;TEXT(Référentiels!B88,"000")</f>
        <v>POI004</v>
      </c>
      <c r="H88" s="64" t="s">
        <v>529</v>
      </c>
      <c r="I88" s="64" t="s">
        <v>27</v>
      </c>
      <c r="J88" s="23">
        <v>400</v>
      </c>
      <c r="K88" s="26">
        <f>IFERROR(
  SUMIFS(#REF!,#REF!, tbl_ProduitsRef[[#This Row],[Cde_Prdt]]),
0)</f>
        <v>0</v>
      </c>
      <c r="M88" s="91" t="s">
        <v>372</v>
      </c>
      <c r="N88" s="88" t="str">
        <f>Référentiels!D88&amp;TEXT(Référentiels!E88,"000")</f>
        <v>FDM003</v>
      </c>
      <c r="O88" s="88" t="s">
        <v>1234</v>
      </c>
      <c r="P88" s="23">
        <v>0.1</v>
      </c>
      <c r="Q88" s="88" t="s">
        <v>209</v>
      </c>
      <c r="R8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8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89" spans="1:19" ht="16.5" customHeight="1" x14ac:dyDescent="0.3">
      <c r="A8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89" s="111">
        <f>COUNTIF(A$2:$A89,A89)</f>
        <v>5</v>
      </c>
      <c r="D8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89" s="111">
        <f>COUNTIF($D$2:D89,D89)</f>
        <v>4</v>
      </c>
      <c r="G89" s="89" t="str">
        <f>Référentiels!A89&amp;TEXT(Référentiels!B89,"000")</f>
        <v>POI005</v>
      </c>
      <c r="H89" s="64" t="s">
        <v>73</v>
      </c>
      <c r="I89" s="64" t="s">
        <v>27</v>
      </c>
      <c r="J89" s="23">
        <v>70</v>
      </c>
      <c r="K89" s="26">
        <f>IFERROR(
  SUMIFS(#REF!,#REF!, tbl_ProduitsRef[[#This Row],[Cde_Prdt]]),
0)</f>
        <v>0</v>
      </c>
      <c r="M89" s="91" t="s">
        <v>505</v>
      </c>
      <c r="N89" s="88" t="str">
        <f>Référentiels!D89&amp;TEXT(Référentiels!E89,"000")</f>
        <v>FDM004</v>
      </c>
      <c r="O89" s="88" t="s">
        <v>1234</v>
      </c>
      <c r="P89" s="23">
        <v>0.15</v>
      </c>
      <c r="Q89" s="88" t="s">
        <v>209</v>
      </c>
      <c r="R8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8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90" spans="1:19" ht="16.5" customHeight="1" x14ac:dyDescent="0.3">
      <c r="A9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0" s="111">
        <f>COUNTIF(A$2:$A90,A90)</f>
        <v>6</v>
      </c>
      <c r="D9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FDM</v>
      </c>
      <c r="E90" s="111">
        <f>COUNTIF($D$2:D90,D90)</f>
        <v>5</v>
      </c>
      <c r="G90" s="89" t="str">
        <f>Référentiels!A90&amp;TEXT(Référentiels!B90,"000")</f>
        <v>POI006</v>
      </c>
      <c r="H90" s="64" t="s">
        <v>519</v>
      </c>
      <c r="I90" s="64" t="s">
        <v>27</v>
      </c>
      <c r="J90" s="23">
        <v>65</v>
      </c>
      <c r="K90" s="26">
        <f>IFERROR(
  SUMIFS(#REF!,#REF!, tbl_ProduitsRef[[#This Row],[Cde_Prdt]]),
0)</f>
        <v>0</v>
      </c>
      <c r="M90" s="91" t="s">
        <v>1235</v>
      </c>
      <c r="N90" s="88" t="str">
        <f>Référentiels!D90&amp;TEXT(Référentiels!E90,"000")</f>
        <v>FDM005</v>
      </c>
      <c r="O90" s="88" t="s">
        <v>1234</v>
      </c>
      <c r="P90" s="23">
        <v>0.12</v>
      </c>
      <c r="Q90" s="88" t="s">
        <v>209</v>
      </c>
      <c r="R9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9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0.12</v>
      </c>
    </row>
    <row r="91" spans="1:19" ht="16.5" customHeight="1" x14ac:dyDescent="0.3">
      <c r="A9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1" s="111">
        <f>COUNTIF(A$2:$A91,A91)</f>
        <v>7</v>
      </c>
      <c r="D9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1" s="111">
        <f>COUNTIF($D$2:D91,D91)</f>
        <v>1</v>
      </c>
      <c r="G91" s="89" t="str">
        <f>Référentiels!A91&amp;TEXT(Référentiels!B91,"000")</f>
        <v>POI007</v>
      </c>
      <c r="H91" s="64" t="s">
        <v>522</v>
      </c>
      <c r="I91" s="64" t="s">
        <v>27</v>
      </c>
      <c r="J91" s="23">
        <v>40</v>
      </c>
      <c r="K91" s="26">
        <f>IFERROR(
  SUMIFS(#REF!,#REF!, tbl_ProduitsRef[[#This Row],[Cde_Prdt]]),
0)</f>
        <v>0</v>
      </c>
      <c r="M91" s="91" t="s">
        <v>269</v>
      </c>
      <c r="N91" s="88" t="str">
        <f>Référentiels!D91&amp;TEXT(Référentiels!E91,"000")</f>
        <v>CHA001</v>
      </c>
      <c r="O91" s="88" t="s">
        <v>335</v>
      </c>
      <c r="P91" s="23">
        <v>0.3</v>
      </c>
      <c r="Q91" s="88" t="s">
        <v>209</v>
      </c>
      <c r="R9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9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0.3</v>
      </c>
    </row>
    <row r="92" spans="1:19" ht="16.5" customHeight="1" x14ac:dyDescent="0.3">
      <c r="A9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2" s="111">
        <f>COUNTIF(A$2:$A92,A92)</f>
        <v>8</v>
      </c>
      <c r="D9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2" s="111">
        <f>COUNTIF($D$2:D92,D92)</f>
        <v>2</v>
      </c>
      <c r="G92" s="89" t="str">
        <f>Référentiels!A92&amp;TEXT(Référentiels!B92,"000")</f>
        <v>POI008</v>
      </c>
      <c r="H92" s="64" t="s">
        <v>527</v>
      </c>
      <c r="I92" s="64" t="s">
        <v>27</v>
      </c>
      <c r="J92" s="23">
        <v>600</v>
      </c>
      <c r="K92" s="26">
        <f>IFERROR(
  SUMIFS(#REF!,#REF!, tbl_ProduitsRef[[#This Row],[Cde_Prdt]]),
0)</f>
        <v>0</v>
      </c>
      <c r="M92" s="91" t="s">
        <v>1236</v>
      </c>
      <c r="N92" s="88" t="str">
        <f>Référentiels!D92&amp;TEXT(Référentiels!E92,"000")</f>
        <v>CHA002</v>
      </c>
      <c r="O92" s="88" t="s">
        <v>335</v>
      </c>
      <c r="P92" s="23">
        <v>0.16500000000000001</v>
      </c>
      <c r="Q92" s="88" t="s">
        <v>209</v>
      </c>
      <c r="R9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165</v>
      </c>
      <c r="S9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0.16500000000000001</v>
      </c>
    </row>
    <row r="93" spans="1:19" ht="16.5" customHeight="1" x14ac:dyDescent="0.3">
      <c r="A9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3" s="111">
        <f>COUNTIF(A$2:$A93,A93)</f>
        <v>9</v>
      </c>
      <c r="D9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3" s="111">
        <f>COUNTIF($D$2:D93,D93)</f>
        <v>3</v>
      </c>
      <c r="G93" s="89" t="str">
        <f>Référentiels!A93&amp;TEXT(Référentiels!B93,"000")</f>
        <v>POI009</v>
      </c>
      <c r="H93" s="64" t="s">
        <v>531</v>
      </c>
      <c r="I93" s="64" t="s">
        <v>27</v>
      </c>
      <c r="J93" s="23">
        <v>400</v>
      </c>
      <c r="K93" s="26">
        <f>IFERROR(
  SUMIFS(#REF!,#REF!, tbl_ProduitsRef[[#This Row],[Cde_Prdt]]),
0)</f>
        <v>0</v>
      </c>
      <c r="M93" s="91" t="s">
        <v>754</v>
      </c>
      <c r="N93" s="88" t="str">
        <f>Référentiels!D93&amp;TEXT(Référentiels!E93,"000")</f>
        <v>CHA003</v>
      </c>
      <c r="O93" s="88" t="s">
        <v>335</v>
      </c>
      <c r="P93" s="23">
        <v>0.25</v>
      </c>
      <c r="Q93" s="88" t="s">
        <v>209</v>
      </c>
      <c r="R9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250</v>
      </c>
      <c r="S9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0.25</v>
      </c>
    </row>
    <row r="94" spans="1:19" ht="16.5" customHeight="1" x14ac:dyDescent="0.3">
      <c r="A9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4" s="111">
        <f>COUNTIF(A$2:$A94,A94)</f>
        <v>10</v>
      </c>
      <c r="D9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4" s="111">
        <f>COUNTIF($D$2:D94,D94)</f>
        <v>4</v>
      </c>
      <c r="G94" s="89" t="str">
        <f>Référentiels!A94&amp;TEXT(Référentiels!B94,"000")</f>
        <v>POI010</v>
      </c>
      <c r="H94" s="64" t="s">
        <v>533</v>
      </c>
      <c r="I94" s="64" t="s">
        <v>27</v>
      </c>
      <c r="J94" s="23">
        <v>130</v>
      </c>
      <c r="K94" s="26">
        <f>IFERROR(
  SUMIFS(#REF!,#REF!, tbl_ProduitsRef[[#This Row],[Cde_Prdt]]),
0)</f>
        <v>0</v>
      </c>
      <c r="M94" s="91" t="s">
        <v>234</v>
      </c>
      <c r="N94" s="88" t="str">
        <f>Référentiels!D94&amp;TEXT(Référentiels!E94,"000")</f>
        <v>CHA004</v>
      </c>
      <c r="O94" s="88" t="s">
        <v>335</v>
      </c>
      <c r="P94" s="23">
        <v>0.18</v>
      </c>
      <c r="Q94" s="88" t="s">
        <v>209</v>
      </c>
      <c r="R9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180</v>
      </c>
      <c r="S9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0.18</v>
      </c>
    </row>
    <row r="95" spans="1:19" ht="16.5" customHeight="1" x14ac:dyDescent="0.3">
      <c r="A9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5" s="111">
        <f>COUNTIF(A$2:$A95,A95)</f>
        <v>11</v>
      </c>
      <c r="D9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CHA</v>
      </c>
      <c r="E95" s="111">
        <f>COUNTIF($D$2:D95,D95)</f>
        <v>5</v>
      </c>
      <c r="G95" s="89" t="str">
        <f>Référentiels!A95&amp;TEXT(Référentiels!B95,"000")</f>
        <v>POI011</v>
      </c>
      <c r="H95" s="64" t="s">
        <v>538</v>
      </c>
      <c r="I95" s="64" t="s">
        <v>27</v>
      </c>
      <c r="J95" s="23">
        <v>130</v>
      </c>
      <c r="K95" s="26">
        <f>IFERROR(
  SUMIFS(#REF!,#REF!, tbl_ProduitsRef[[#This Row],[Cde_Prdt]]),
0)</f>
        <v>0</v>
      </c>
      <c r="M95" s="91" t="s">
        <v>337</v>
      </c>
      <c r="N95" s="88" t="str">
        <f>Référentiels!D95&amp;TEXT(Référentiels!E95,"000")</f>
        <v>CHA005</v>
      </c>
      <c r="O95" s="88" t="s">
        <v>335</v>
      </c>
      <c r="P95" s="23">
        <v>0.215</v>
      </c>
      <c r="Q95" s="88" t="s">
        <v>209</v>
      </c>
      <c r="R9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215</v>
      </c>
      <c r="S9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0.215</v>
      </c>
    </row>
    <row r="96" spans="1:19" ht="16.5" customHeight="1" x14ac:dyDescent="0.3">
      <c r="A9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6" s="111">
        <f>COUNTIF(A$2:$A96,A96)</f>
        <v>12</v>
      </c>
      <c r="D9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96" s="111">
        <f>COUNTIF($D$2:D96,D96)</f>
        <v>1</v>
      </c>
      <c r="G96" s="89" t="str">
        <f>Référentiels!A96&amp;TEXT(Référentiels!B96,"000")</f>
        <v>POI012</v>
      </c>
      <c r="H96" s="64" t="s">
        <v>542</v>
      </c>
      <c r="I96" s="64" t="s">
        <v>27</v>
      </c>
      <c r="J96" s="23">
        <v>115</v>
      </c>
      <c r="K96" s="26">
        <f>IFERROR(
  SUMIFS(#REF!,#REF!, tbl_ProduitsRef[[#This Row],[Cde_Prdt]]),
0)</f>
        <v>0</v>
      </c>
      <c r="M96" s="91" t="s">
        <v>211</v>
      </c>
      <c r="N96" s="88" t="str">
        <f>Référentiels!D96&amp;TEXT(Référentiels!E96,"000")</f>
        <v>PRL001</v>
      </c>
      <c r="O96" s="88" t="s">
        <v>1237</v>
      </c>
      <c r="P96" s="23">
        <v>0.9</v>
      </c>
      <c r="Q96" s="88" t="s">
        <v>206</v>
      </c>
      <c r="R9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0.9</v>
      </c>
      <c r="S9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0.9</v>
      </c>
    </row>
    <row r="97" spans="1:19" ht="16.5" customHeight="1" x14ac:dyDescent="0.3">
      <c r="A9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7" s="111">
        <f>COUNTIF(A$2:$A97,A97)</f>
        <v>13</v>
      </c>
      <c r="D9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97" s="111">
        <f>COUNTIF($D$2:D97,D97)</f>
        <v>2</v>
      </c>
      <c r="G97" s="89" t="str">
        <f>Référentiels!A97&amp;TEXT(Référentiels!B97,"000")</f>
        <v>POI013</v>
      </c>
      <c r="H97" s="64" t="s">
        <v>547</v>
      </c>
      <c r="I97" s="64" t="s">
        <v>27</v>
      </c>
      <c r="J97" s="23">
        <v>110</v>
      </c>
      <c r="K97" s="26">
        <f>IFERROR(
  SUMIFS(#REF!,#REF!, tbl_ProduitsRef[[#This Row],[Cde_Prdt]]),
0)</f>
        <v>0</v>
      </c>
      <c r="M97" s="91" t="s">
        <v>968</v>
      </c>
      <c r="N97" s="88" t="str">
        <f>Référentiels!D97&amp;TEXT(Référentiels!E97,"000")</f>
        <v>PRL002</v>
      </c>
      <c r="O97" s="88" t="s">
        <v>1237</v>
      </c>
      <c r="P97" s="23">
        <f>+P96*2</f>
        <v>1.8</v>
      </c>
      <c r="Q97" s="88" t="s">
        <v>206</v>
      </c>
      <c r="R9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1.8</v>
      </c>
      <c r="S9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1.8</v>
      </c>
    </row>
    <row r="98" spans="1:19" ht="16.5" customHeight="1" x14ac:dyDescent="0.3">
      <c r="A9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8" s="111">
        <f>COUNTIF(A$2:$A98,A98)</f>
        <v>14</v>
      </c>
      <c r="D9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98" s="111">
        <f>COUNTIF($D$2:D98,D98)</f>
        <v>3</v>
      </c>
      <c r="G98" s="89" t="str">
        <f>Référentiels!A98&amp;TEXT(Référentiels!B98,"000")</f>
        <v>POI014</v>
      </c>
      <c r="H98" s="64" t="s">
        <v>696</v>
      </c>
      <c r="I98" s="64" t="s">
        <v>27</v>
      </c>
      <c r="J98" s="23">
        <v>70</v>
      </c>
      <c r="K98" s="26">
        <f>IFERROR(
  SUMIFS(#REF!,#REF!, tbl_ProduitsRef[[#This Row],[Cde_Prdt]]),
0)</f>
        <v>0</v>
      </c>
      <c r="M98" s="91" t="s">
        <v>1040</v>
      </c>
      <c r="N98" s="88" t="str">
        <f>Référentiels!D98&amp;TEXT(Référentiels!E98,"000")</f>
        <v>PRL003</v>
      </c>
      <c r="O98" s="88" t="s">
        <v>1237</v>
      </c>
      <c r="P98" s="23">
        <v>2.5</v>
      </c>
      <c r="Q98" s="88" t="s">
        <v>206</v>
      </c>
      <c r="R9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2.5</v>
      </c>
      <c r="S9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2.5</v>
      </c>
    </row>
    <row r="99" spans="1:19" ht="16.5" customHeight="1" x14ac:dyDescent="0.3">
      <c r="A9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POI</v>
      </c>
      <c r="B99" s="111">
        <f>COUNTIF(A$2:$A99,A99)</f>
        <v>15</v>
      </c>
      <c r="D9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99" s="111">
        <f>COUNTIF($D$2:D99,D99)</f>
        <v>4</v>
      </c>
      <c r="G99" s="89" t="str">
        <f>Référentiels!A99&amp;TEXT(Référentiels!B99,"000")</f>
        <v>POI015</v>
      </c>
      <c r="H99" s="64" t="s">
        <v>704</v>
      </c>
      <c r="I99" s="64" t="s">
        <v>27</v>
      </c>
      <c r="J99" s="23">
        <v>55</v>
      </c>
      <c r="K99" s="26">
        <f>IFERROR(
  SUMIFS(#REF!,#REF!, tbl_ProduitsRef[[#This Row],[Cde_Prdt]]),
0)</f>
        <v>0</v>
      </c>
      <c r="M99" s="91" t="s">
        <v>1238</v>
      </c>
      <c r="N99" s="88" t="str">
        <f>Référentiels!D99&amp;TEXT(Référentiels!E99,"000")</f>
        <v>PRL004</v>
      </c>
      <c r="O99" s="88" t="s">
        <v>1237</v>
      </c>
      <c r="P99" s="23">
        <f>+P97</f>
        <v>1.8</v>
      </c>
      <c r="Q99" s="88" t="s">
        <v>206</v>
      </c>
      <c r="R9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1.8</v>
      </c>
      <c r="S9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1.8</v>
      </c>
    </row>
    <row r="100" spans="1:19" ht="16.5" customHeight="1" x14ac:dyDescent="0.3">
      <c r="A10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0" s="111">
        <f>COUNTIF(A$2:$A100,A100)</f>
        <v>1</v>
      </c>
      <c r="D10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0" s="111">
        <f>COUNTIF($D$2:D100,D100)</f>
        <v>5</v>
      </c>
      <c r="G100" s="89" t="str">
        <f>Référentiels!A100&amp;TEXT(Référentiels!B100,"000")</f>
        <v>TAJ001</v>
      </c>
      <c r="H100" s="64" t="s">
        <v>52</v>
      </c>
      <c r="I100" s="64" t="s">
        <v>28</v>
      </c>
      <c r="J100" s="23">
        <v>115</v>
      </c>
      <c r="K100" s="26">
        <f>IFERROR(
  SUMIFS(#REF!,#REF!, tbl_ProduitsRef[[#This Row],[Cde_Prdt]]),
0)</f>
        <v>0</v>
      </c>
      <c r="M100" s="91" t="s">
        <v>215</v>
      </c>
      <c r="N100" s="88" t="str">
        <f>Référentiels!D100&amp;TEXT(Référentiels!E100,"000")</f>
        <v>PRL005</v>
      </c>
      <c r="O100" s="88" t="s">
        <v>1237</v>
      </c>
      <c r="P100" s="23">
        <v>0.05</v>
      </c>
      <c r="Q100" s="88" t="s">
        <v>209</v>
      </c>
      <c r="R10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0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101" spans="1:19" ht="16.5" customHeight="1" x14ac:dyDescent="0.3">
      <c r="A10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1" s="111">
        <f>COUNTIF(A$2:$A101,A101)</f>
        <v>2</v>
      </c>
      <c r="D10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1" s="111">
        <f>COUNTIF($D$2:D101,D101)</f>
        <v>6</v>
      </c>
      <c r="G101" s="89" t="str">
        <f>Référentiels!A101&amp;TEXT(Référentiels!B101,"000")</f>
        <v>TAJ002</v>
      </c>
      <c r="H101" s="64" t="s">
        <v>594</v>
      </c>
      <c r="I101" s="64" t="s">
        <v>28</v>
      </c>
      <c r="J101" s="23">
        <v>230</v>
      </c>
      <c r="K101" s="26">
        <f>IFERROR(
  SUMIFS(#REF!,#REF!, tbl_ProduitsRef[[#This Row],[Cde_Prdt]]),
0)</f>
        <v>0</v>
      </c>
      <c r="M101" s="91" t="s">
        <v>82</v>
      </c>
      <c r="N101" s="88" t="str">
        <f>Référentiels!D101&amp;TEXT(Référentiels!E101,"000")</f>
        <v>PRL006</v>
      </c>
      <c r="O101" s="88" t="s">
        <v>1237</v>
      </c>
      <c r="P101" s="23">
        <v>1.2</v>
      </c>
      <c r="Q101" s="88" t="s">
        <v>206</v>
      </c>
      <c r="R10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1.2</v>
      </c>
      <c r="S10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1.2</v>
      </c>
    </row>
    <row r="102" spans="1:19" ht="16.5" customHeight="1" x14ac:dyDescent="0.3">
      <c r="A10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2" s="111">
        <f>COUNTIF(A$2:$A102,A102)</f>
        <v>3</v>
      </c>
      <c r="D10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2" s="111">
        <f>COUNTIF($D$2:D102,D102)</f>
        <v>7</v>
      </c>
      <c r="G102" s="89" t="str">
        <f>Référentiels!A102&amp;TEXT(Référentiels!B102,"000")</f>
        <v>TAJ003</v>
      </c>
      <c r="H102" s="64" t="s">
        <v>596</v>
      </c>
      <c r="I102" s="64" t="s">
        <v>28</v>
      </c>
      <c r="J102" s="23">
        <v>115</v>
      </c>
      <c r="K102" s="26">
        <f>IFERROR(
  SUMIFS(#REF!,#REF!, tbl_ProduitsRef[[#This Row],[Cde_Prdt]]),
0)</f>
        <v>0</v>
      </c>
      <c r="M102" s="91" t="s">
        <v>304</v>
      </c>
      <c r="N102" s="88" t="str">
        <f>Référentiels!D102&amp;TEXT(Référentiels!E102,"000")</f>
        <v>PRL007</v>
      </c>
      <c r="O102" s="88" t="s">
        <v>1237</v>
      </c>
      <c r="P102" s="23">
        <v>0.16400000000000001</v>
      </c>
      <c r="Q102" s="88" t="s">
        <v>209</v>
      </c>
      <c r="R10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164</v>
      </c>
      <c r="S10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0.16400000000000001</v>
      </c>
    </row>
    <row r="103" spans="1:19" ht="16.5" customHeight="1" x14ac:dyDescent="0.3">
      <c r="A10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3" s="111">
        <f>COUNTIF(A$2:$A103,A103)</f>
        <v>4</v>
      </c>
      <c r="D10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3" s="111">
        <f>COUNTIF($D$2:D103,D103)</f>
        <v>8</v>
      </c>
      <c r="G103" s="89" t="str">
        <f>Référentiels!A103&amp;TEXT(Référentiels!B103,"000")</f>
        <v>TAJ004</v>
      </c>
      <c r="H103" s="64" t="s">
        <v>77</v>
      </c>
      <c r="I103" s="64" t="s">
        <v>28</v>
      </c>
      <c r="J103" s="23">
        <v>230</v>
      </c>
      <c r="K103" s="26">
        <f>IFERROR(
  SUMIFS(#REF!,#REF!, tbl_ProduitsRef[[#This Row],[Cde_Prdt]]),
0)</f>
        <v>0</v>
      </c>
      <c r="M103" s="91" t="s">
        <v>215</v>
      </c>
      <c r="N103" s="88" t="str">
        <f>Référentiels!D103&amp;TEXT(Référentiels!E103,"000")</f>
        <v>PRL008</v>
      </c>
      <c r="O103" s="88" t="s">
        <v>1237</v>
      </c>
      <c r="P103" s="23">
        <v>0.05</v>
      </c>
      <c r="Q103" s="88" t="s">
        <v>209</v>
      </c>
      <c r="R10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0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104" spans="1:19" ht="16.5" customHeight="1" x14ac:dyDescent="0.3">
      <c r="A10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4" s="111">
        <f>COUNTIF(A$2:$A104,A104)</f>
        <v>5</v>
      </c>
      <c r="D10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4" s="111">
        <f>COUNTIF($D$2:D104,D104)</f>
        <v>9</v>
      </c>
      <c r="G104" s="89" t="str">
        <f>Référentiels!A104&amp;TEXT(Référentiels!B104,"000")</f>
        <v>TAJ005</v>
      </c>
      <c r="H104" s="64" t="s">
        <v>603</v>
      </c>
      <c r="I104" s="64" t="s">
        <v>28</v>
      </c>
      <c r="J104" s="23">
        <v>105</v>
      </c>
      <c r="K104" s="26">
        <f>IFERROR(
  SUMIFS(#REF!,#REF!, tbl_ProduitsRef[[#This Row],[Cde_Prdt]]),
0)</f>
        <v>0</v>
      </c>
      <c r="M104" s="91" t="s">
        <v>225</v>
      </c>
      <c r="N104" s="88" t="str">
        <f>Référentiels!D104&amp;TEXT(Référentiels!E104,"000")</f>
        <v>PRL009</v>
      </c>
      <c r="O104" s="88" t="s">
        <v>1237</v>
      </c>
      <c r="P104" s="23">
        <v>0.4</v>
      </c>
      <c r="Q104" s="88" t="s">
        <v>209</v>
      </c>
      <c r="R10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400</v>
      </c>
      <c r="S10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0.4</v>
      </c>
    </row>
    <row r="105" spans="1:19" ht="16.5" customHeight="1" x14ac:dyDescent="0.3">
      <c r="A10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5" s="111">
        <f>COUNTIF(A$2:$A105,A105)</f>
        <v>6</v>
      </c>
      <c r="D10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5" s="111">
        <f>COUNTIF($D$2:D105,D105)</f>
        <v>10</v>
      </c>
      <c r="G105" s="89" t="str">
        <f>Référentiels!A105&amp;TEXT(Référentiels!B105,"000")</f>
        <v>TAJ006</v>
      </c>
      <c r="H105" s="64" t="s">
        <v>611</v>
      </c>
      <c r="I105" s="64" t="s">
        <v>28</v>
      </c>
      <c r="J105" s="23">
        <v>210</v>
      </c>
      <c r="K105" s="26">
        <f>IFERROR(
  SUMIFS(#REF!,#REF!, tbl_ProduitsRef[[#This Row],[Cde_Prdt]]),
0)</f>
        <v>0</v>
      </c>
      <c r="M105" s="91" t="s">
        <v>992</v>
      </c>
      <c r="N105" s="88" t="str">
        <f>Référentiels!D105&amp;TEXT(Référentiels!E105,"000")</f>
        <v>PRL010</v>
      </c>
      <c r="O105" s="88" t="s">
        <v>1237</v>
      </c>
      <c r="P105" s="23">
        <v>1.4999999999999999E-2</v>
      </c>
      <c r="Q105" s="88" t="s">
        <v>221</v>
      </c>
      <c r="R10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10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1.4999999999999999E-2</v>
      </c>
    </row>
    <row r="106" spans="1:19" ht="16.5" customHeight="1" x14ac:dyDescent="0.3">
      <c r="A10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6" s="111">
        <f>COUNTIF(A$2:$A106,A106)</f>
        <v>7</v>
      </c>
      <c r="D10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6" s="111">
        <f>COUNTIF($D$2:D106,D106)</f>
        <v>11</v>
      </c>
      <c r="G106" s="89" t="str">
        <f>Référentiels!A106&amp;TEXT(Référentiels!B106,"000")</f>
        <v>TAJ007</v>
      </c>
      <c r="H106" s="64" t="s">
        <v>74</v>
      </c>
      <c r="I106" s="64" t="s">
        <v>28</v>
      </c>
      <c r="J106" s="23">
        <v>110</v>
      </c>
      <c r="K106" s="26">
        <f>IFERROR(
  SUMIFS(#REF!,#REF!, tbl_ProduitsRef[[#This Row],[Cde_Prdt]]),
0)</f>
        <v>0</v>
      </c>
      <c r="M106" s="89" t="s">
        <v>1239</v>
      </c>
      <c r="N106" s="88" t="str">
        <f>Référentiels!D106&amp;TEXT(Référentiels!E106,"000")</f>
        <v>PRL011</v>
      </c>
      <c r="O106" s="88" t="s">
        <v>1237</v>
      </c>
      <c r="P106" s="23">
        <v>0.08</v>
      </c>
      <c r="Q106" s="88" t="s">
        <v>221</v>
      </c>
      <c r="R10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10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0.08</v>
      </c>
    </row>
    <row r="107" spans="1:19" ht="16.5" customHeight="1" x14ac:dyDescent="0.3">
      <c r="A10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7" s="111">
        <f>COUNTIF(A$2:$A107,A107)</f>
        <v>8</v>
      </c>
      <c r="D10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7" s="111">
        <f>COUNTIF($D$2:D107,D107)</f>
        <v>12</v>
      </c>
      <c r="G107" s="89" t="str">
        <f>Référentiels!A107&amp;TEXT(Référentiels!B107,"000")</f>
        <v>TAJ008</v>
      </c>
      <c r="H107" s="64" t="s">
        <v>54</v>
      </c>
      <c r="I107" s="64" t="s">
        <v>28</v>
      </c>
      <c r="J107" s="23">
        <v>210</v>
      </c>
      <c r="K107" s="26">
        <f>IFERROR(
  SUMIFS(#REF!,#REF!, tbl_ProduitsRef[[#This Row],[Cde_Prdt]]),
0)</f>
        <v>0</v>
      </c>
      <c r="M107" s="91" t="s">
        <v>278</v>
      </c>
      <c r="N107" s="88" t="str">
        <f>Référentiels!D107&amp;TEXT(Référentiels!E107,"000")</f>
        <v>PRL012</v>
      </c>
      <c r="O107" s="88" t="s">
        <v>1237</v>
      </c>
      <c r="P107" s="23">
        <v>0.05</v>
      </c>
      <c r="Q107" s="88" t="s">
        <v>209</v>
      </c>
      <c r="R10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0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108" spans="1:19" ht="16.5" customHeight="1" x14ac:dyDescent="0.3">
      <c r="A10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8" s="111">
        <f>COUNTIF(A$2:$A108,A108)</f>
        <v>9</v>
      </c>
      <c r="D10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8" s="111">
        <f>COUNTIF($D$2:D108,D108)</f>
        <v>13</v>
      </c>
      <c r="G108" s="89" t="str">
        <f>Référentiels!A108&amp;TEXT(Référentiels!B108,"000")</f>
        <v>TAJ009</v>
      </c>
      <c r="H108" s="64" t="s">
        <v>613</v>
      </c>
      <c r="I108" s="64" t="s">
        <v>28</v>
      </c>
      <c r="J108" s="23">
        <v>100</v>
      </c>
      <c r="K108" s="26">
        <f>IFERROR(
  SUMIFS(#REF!,#REF!, tbl_ProduitsRef[[#This Row],[Cde_Prdt]]),
0)</f>
        <v>0</v>
      </c>
      <c r="M108" s="91" t="s">
        <v>296</v>
      </c>
      <c r="N108" s="88" t="str">
        <f>Référentiels!D108&amp;TEXT(Référentiels!E108,"000")</f>
        <v>PRL013</v>
      </c>
      <c r="O108" s="88" t="s">
        <v>1237</v>
      </c>
      <c r="P108" s="23">
        <v>0.04</v>
      </c>
      <c r="Q108" s="88" t="s">
        <v>209</v>
      </c>
      <c r="R10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10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0.04</v>
      </c>
    </row>
    <row r="109" spans="1:19" ht="16.5" customHeight="1" x14ac:dyDescent="0.3">
      <c r="A10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09" s="111">
        <f>COUNTIF(A$2:$A109,A109)</f>
        <v>10</v>
      </c>
      <c r="D10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09" s="111">
        <f>COUNTIF($D$2:D109,D109)</f>
        <v>14</v>
      </c>
      <c r="G109" s="89" t="str">
        <f>Référentiels!A109&amp;TEXT(Référentiels!B109,"000")</f>
        <v>TAJ010</v>
      </c>
      <c r="H109" s="64" t="s">
        <v>75</v>
      </c>
      <c r="I109" s="64" t="s">
        <v>28</v>
      </c>
      <c r="J109" s="23">
        <v>200</v>
      </c>
      <c r="K109" s="26">
        <f>IFERROR(
  SUMIFS(#REF!,#REF!, tbl_ProduitsRef[[#This Row],[Cde_Prdt]]),
0)</f>
        <v>0</v>
      </c>
      <c r="M109" s="91" t="s">
        <v>233</v>
      </c>
      <c r="N109" s="88" t="str">
        <f>Référentiels!D109&amp;TEXT(Référentiels!E109,"000")</f>
        <v>PRL014</v>
      </c>
      <c r="O109" s="88" t="s">
        <v>1237</v>
      </c>
      <c r="P109" s="23">
        <v>0.15</v>
      </c>
      <c r="Q109" s="88" t="s">
        <v>209</v>
      </c>
      <c r="R10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0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110" spans="1:19" ht="16.5" customHeight="1" x14ac:dyDescent="0.3">
      <c r="A11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0" s="111">
        <f>COUNTIF(A$2:$A110,A110)</f>
        <v>11</v>
      </c>
      <c r="D11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0" s="111">
        <f>COUNTIF($D$2:D110,D110)</f>
        <v>15</v>
      </c>
      <c r="G110" s="89" t="str">
        <f>Référentiels!A110&amp;TEXT(Référentiels!B110,"000")</f>
        <v>TAJ011</v>
      </c>
      <c r="H110" s="64" t="s">
        <v>618</v>
      </c>
      <c r="I110" s="64" t="s">
        <v>28</v>
      </c>
      <c r="J110" s="23">
        <v>110</v>
      </c>
      <c r="K110" s="26">
        <f>IFERROR(
  SUMIFS(#REF!,#REF!, tbl_ProduitsRef[[#This Row],[Cde_Prdt]]),
0)</f>
        <v>0</v>
      </c>
      <c r="M110" s="91" t="s">
        <v>244</v>
      </c>
      <c r="N110" s="88" t="str">
        <f>Référentiels!D110&amp;TEXT(Référentiels!E110,"000")</f>
        <v>PRL015</v>
      </c>
      <c r="O110" s="88" t="s">
        <v>1237</v>
      </c>
      <c r="P110" s="23">
        <v>0.5</v>
      </c>
      <c r="Q110" s="88" t="s">
        <v>209</v>
      </c>
      <c r="R11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500</v>
      </c>
      <c r="S11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0.5</v>
      </c>
    </row>
    <row r="111" spans="1:19" ht="16.5" customHeight="1" x14ac:dyDescent="0.3">
      <c r="A11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1" s="111">
        <f>COUNTIF(A$2:$A111,A111)</f>
        <v>12</v>
      </c>
      <c r="D11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1" s="111">
        <f>COUNTIF($D$2:D111,D111)</f>
        <v>16</v>
      </c>
      <c r="G111" s="89" t="str">
        <f>Référentiels!A111&amp;TEXT(Référentiels!B111,"000")</f>
        <v>TAJ012</v>
      </c>
      <c r="H111" s="64" t="s">
        <v>620</v>
      </c>
      <c r="I111" s="64" t="s">
        <v>28</v>
      </c>
      <c r="J111" s="23">
        <v>200</v>
      </c>
      <c r="K111" s="26">
        <f>IFERROR(
  SUMIFS(#REF!,#REF!, tbl_ProduitsRef[[#This Row],[Cde_Prdt]]),
0)</f>
        <v>0</v>
      </c>
      <c r="M111" s="91" t="s">
        <v>392</v>
      </c>
      <c r="N111" s="88" t="str">
        <f>Référentiels!D111&amp;TEXT(Référentiels!E111,"000")</f>
        <v>PRL016</v>
      </c>
      <c r="O111" s="88" t="s">
        <v>1237</v>
      </c>
      <c r="P111" s="23">
        <v>0.4</v>
      </c>
      <c r="Q111" s="88" t="s">
        <v>209</v>
      </c>
      <c r="R11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400</v>
      </c>
      <c r="S11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0.4</v>
      </c>
    </row>
    <row r="112" spans="1:19" ht="16.5" customHeight="1" x14ac:dyDescent="0.3">
      <c r="A11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2" s="111">
        <f>COUNTIF(A$2:$A112,A112)</f>
        <v>13</v>
      </c>
      <c r="D11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2" s="111">
        <f>COUNTIF($D$2:D112,D112)</f>
        <v>17</v>
      </c>
      <c r="G112" s="89" t="str">
        <f>Référentiels!A112&amp;TEXT(Référentiels!B112,"000")</f>
        <v>TAJ013</v>
      </c>
      <c r="H112" s="64" t="s">
        <v>628</v>
      </c>
      <c r="I112" s="64" t="s">
        <v>28</v>
      </c>
      <c r="J112" s="23">
        <v>80</v>
      </c>
      <c r="K112" s="26">
        <f>IFERROR(
  SUMIFS(#REF!,#REF!, tbl_ProduitsRef[[#This Row],[Cde_Prdt]]),
0)</f>
        <v>0</v>
      </c>
      <c r="M112" s="91" t="s">
        <v>819</v>
      </c>
      <c r="N112" s="88" t="str">
        <f>Référentiels!D112&amp;TEXT(Référentiels!E112,"000")</f>
        <v>PRL017</v>
      </c>
      <c r="O112" s="88" t="s">
        <v>1237</v>
      </c>
      <c r="P112" s="23">
        <v>0.3</v>
      </c>
      <c r="Q112" s="88" t="s">
        <v>209</v>
      </c>
      <c r="R11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11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0.3</v>
      </c>
    </row>
    <row r="113" spans="1:19" ht="16.5" customHeight="1" x14ac:dyDescent="0.3">
      <c r="A11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3" s="111">
        <f>COUNTIF(A$2:$A113,A113)</f>
        <v>14</v>
      </c>
      <c r="D11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3" s="111">
        <f>COUNTIF($D$2:D113,D113)</f>
        <v>18</v>
      </c>
      <c r="G113" s="89" t="str">
        <f>Référentiels!A113&amp;TEXT(Référentiels!B113,"000")</f>
        <v>TAJ014</v>
      </c>
      <c r="H113" s="64" t="s">
        <v>78</v>
      </c>
      <c r="I113" s="64" t="s">
        <v>28</v>
      </c>
      <c r="J113" s="23">
        <v>160</v>
      </c>
      <c r="K113" s="26">
        <f>IFERROR(
  SUMIFS(#REF!,#REF!, tbl_ProduitsRef[[#This Row],[Cde_Prdt]]),
0)</f>
        <v>0</v>
      </c>
      <c r="M113" s="91" t="s">
        <v>823</v>
      </c>
      <c r="N113" s="88" t="str">
        <f>Référentiels!D113&amp;TEXT(Référentiels!E113,"000")</f>
        <v>PRL018</v>
      </c>
      <c r="O113" s="88" t="s">
        <v>1237</v>
      </c>
      <c r="P113" s="23">
        <v>0.25</v>
      </c>
      <c r="Q113" s="88" t="s">
        <v>209</v>
      </c>
      <c r="R11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250</v>
      </c>
      <c r="S11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0.25</v>
      </c>
    </row>
    <row r="114" spans="1:19" ht="16.5" customHeight="1" x14ac:dyDescent="0.3">
      <c r="A11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4" s="111">
        <f>COUNTIF(A$2:$A114,A114)</f>
        <v>15</v>
      </c>
      <c r="D11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4" s="111">
        <f>COUNTIF($D$2:D114,D114)</f>
        <v>19</v>
      </c>
      <c r="G114" s="89" t="str">
        <f>Référentiels!A114&amp;TEXT(Référentiels!B114,"000")</f>
        <v>TAJ015</v>
      </c>
      <c r="H114" s="64" t="s">
        <v>633</v>
      </c>
      <c r="I114" s="64" t="s">
        <v>28</v>
      </c>
      <c r="J114" s="23">
        <v>80</v>
      </c>
      <c r="K114" s="26">
        <f>IFERROR(
  SUMIFS(#REF!,#REF!, tbl_ProduitsRef[[#This Row],[Cde_Prdt]]),
0)</f>
        <v>0</v>
      </c>
      <c r="M114" s="91" t="s">
        <v>821</v>
      </c>
      <c r="N114" s="88" t="str">
        <f>Référentiels!D114&amp;TEXT(Référentiels!E114,"000")</f>
        <v>PRL019</v>
      </c>
      <c r="O114" s="88" t="s">
        <v>1237</v>
      </c>
      <c r="P114" s="23">
        <v>0.36</v>
      </c>
      <c r="Q114" s="88" t="s">
        <v>209</v>
      </c>
      <c r="R11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360</v>
      </c>
      <c r="S11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0.36</v>
      </c>
    </row>
    <row r="115" spans="1:19" ht="16.5" customHeight="1" x14ac:dyDescent="0.3">
      <c r="A11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5" s="111">
        <f>COUNTIF(A$2:$A115,A115)</f>
        <v>16</v>
      </c>
      <c r="D11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5" s="111">
        <f>COUNTIF($D$2:D115,D115)</f>
        <v>20</v>
      </c>
      <c r="G115" s="89" t="str">
        <f>Référentiels!A115&amp;TEXT(Référentiels!B115,"000")</f>
        <v>TAJ016</v>
      </c>
      <c r="H115" s="64" t="s">
        <v>637</v>
      </c>
      <c r="I115" s="64" t="s">
        <v>28</v>
      </c>
      <c r="J115" s="23">
        <v>160</v>
      </c>
      <c r="K115" s="26">
        <f>IFERROR(
  SUMIFS(#REF!,#REF!, tbl_ProduitsRef[[#This Row],[Cde_Prdt]]),
0)</f>
        <v>0</v>
      </c>
      <c r="M115" s="91" t="s">
        <v>264</v>
      </c>
      <c r="N115" s="88" t="str">
        <f>Référentiels!D115&amp;TEXT(Référentiels!E115,"000")</f>
        <v>PRL020</v>
      </c>
      <c r="O115" s="88" t="s">
        <v>1237</v>
      </c>
      <c r="P115" s="23">
        <v>0.1</v>
      </c>
      <c r="Q115" s="88" t="s">
        <v>209</v>
      </c>
      <c r="R11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1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116" spans="1:19" ht="16.5" customHeight="1" x14ac:dyDescent="0.3">
      <c r="A11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6" s="111">
        <f>COUNTIF(A$2:$A116,A116)</f>
        <v>17</v>
      </c>
      <c r="D11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6" s="111">
        <f>COUNTIF($D$2:D116,D116)</f>
        <v>21</v>
      </c>
      <c r="G116" s="89" t="str">
        <f>Référentiels!A116&amp;TEXT(Référentiels!B116,"000")</f>
        <v>TAJ017</v>
      </c>
      <c r="H116" s="64" t="s">
        <v>647</v>
      </c>
      <c r="I116" s="64" t="s">
        <v>28</v>
      </c>
      <c r="J116" s="23">
        <v>60</v>
      </c>
      <c r="K116" s="26">
        <f>IFERROR(
  SUMIFS(#REF!,#REF!, tbl_ProduitsRef[[#This Row],[Cde_Prdt]]),
0)</f>
        <v>0</v>
      </c>
      <c r="M116" s="91" t="s">
        <v>325</v>
      </c>
      <c r="N116" s="88" t="str">
        <f>Référentiels!D116&amp;TEXT(Référentiels!E116,"000")</f>
        <v>PRL021</v>
      </c>
      <c r="O116" s="88" t="s">
        <v>1237</v>
      </c>
      <c r="P116" s="23">
        <v>0.15</v>
      </c>
      <c r="Q116" s="88" t="s">
        <v>209</v>
      </c>
      <c r="R11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1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117" spans="1:19" ht="16.5" customHeight="1" x14ac:dyDescent="0.3">
      <c r="A11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7" s="111">
        <f>COUNTIF(A$2:$A117,A117)</f>
        <v>18</v>
      </c>
      <c r="D11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7" s="111">
        <f>COUNTIF($D$2:D117,D117)</f>
        <v>22</v>
      </c>
      <c r="G117" s="89" t="str">
        <f>Référentiels!A117&amp;TEXT(Référentiels!B117,"000")</f>
        <v>TAJ018</v>
      </c>
      <c r="H117" s="64" t="s">
        <v>639</v>
      </c>
      <c r="I117" s="64" t="s">
        <v>28</v>
      </c>
      <c r="J117" s="23">
        <v>70</v>
      </c>
      <c r="K117" s="26">
        <f>IFERROR(
  SUMIFS(#REF!,#REF!, tbl_ProduitsRef[[#This Row],[Cde_Prdt]]),
0)</f>
        <v>0</v>
      </c>
      <c r="M117" s="91" t="s">
        <v>1240</v>
      </c>
      <c r="N117" s="88" t="str">
        <f>Référentiels!D117&amp;TEXT(Référentiels!E117,"000")</f>
        <v>PRL022</v>
      </c>
      <c r="O117" s="88" t="s">
        <v>1237</v>
      </c>
      <c r="P117" s="23">
        <v>0.15</v>
      </c>
      <c r="Q117" s="88" t="s">
        <v>209</v>
      </c>
      <c r="R11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1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118" spans="1:19" ht="16.5" customHeight="1" x14ac:dyDescent="0.3">
      <c r="A11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8" s="111">
        <f>COUNTIF(A$2:$A118,A118)</f>
        <v>19</v>
      </c>
      <c r="D11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8" s="111">
        <f>COUNTIF($D$2:D118,D118)</f>
        <v>23</v>
      </c>
      <c r="G118" s="89" t="str">
        <f>Référentiels!A118&amp;TEXT(Référentiels!B118,"000")</f>
        <v>TAJ019</v>
      </c>
      <c r="H118" s="64" t="s">
        <v>649</v>
      </c>
      <c r="I118" s="64" t="s">
        <v>28</v>
      </c>
      <c r="J118" s="23">
        <v>60</v>
      </c>
      <c r="K118" s="26">
        <f>IFERROR(
  SUMIFS(#REF!,#REF!, tbl_ProduitsRef[[#This Row],[Cde_Prdt]]),
0)</f>
        <v>0</v>
      </c>
      <c r="M118" s="91" t="s">
        <v>546</v>
      </c>
      <c r="N118" s="88" t="str">
        <f>Référentiels!D118&amp;TEXT(Référentiels!E118,"000")</f>
        <v>PRL023</v>
      </c>
      <c r="O118" s="88" t="s">
        <v>1237</v>
      </c>
      <c r="P118" s="23">
        <v>0.1</v>
      </c>
      <c r="Q118" s="88" t="s">
        <v>209</v>
      </c>
      <c r="R11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1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119" spans="1:19" ht="16.5" customHeight="1" x14ac:dyDescent="0.3">
      <c r="A11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19" s="111">
        <f>COUNTIF(A$2:$A119,A119)</f>
        <v>20</v>
      </c>
      <c r="D11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19" s="111">
        <f>COUNTIF($D$2:D119,D119)</f>
        <v>24</v>
      </c>
      <c r="G119" s="89" t="str">
        <f>Référentiels!A119&amp;TEXT(Référentiels!B119,"000")</f>
        <v>TAJ020</v>
      </c>
      <c r="H119" s="64" t="s">
        <v>653</v>
      </c>
      <c r="I119" s="64" t="s">
        <v>28</v>
      </c>
      <c r="J119" s="23">
        <v>60</v>
      </c>
      <c r="K119" s="26">
        <f>IFERROR(
  SUMIFS(#REF!,#REF!, tbl_ProduitsRef[[#This Row],[Cde_Prdt]]),
0)</f>
        <v>0</v>
      </c>
      <c r="M119" s="91" t="s">
        <v>831</v>
      </c>
      <c r="N119" s="88" t="str">
        <f>Référentiels!D119&amp;TEXT(Référentiels!E119,"000")</f>
        <v>PRL024</v>
      </c>
      <c r="O119" s="88" t="s">
        <v>1237</v>
      </c>
      <c r="P119" s="23">
        <v>0.2</v>
      </c>
      <c r="Q119" s="88" t="s">
        <v>209</v>
      </c>
      <c r="R11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11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0.2</v>
      </c>
    </row>
    <row r="120" spans="1:19" ht="16.5" customHeight="1" x14ac:dyDescent="0.3">
      <c r="A12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0" s="111">
        <f>COUNTIF(A$2:$A120,A120)</f>
        <v>21</v>
      </c>
      <c r="D12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20" s="111">
        <f>COUNTIF($D$2:D120,D120)</f>
        <v>25</v>
      </c>
      <c r="G120" s="89" t="str">
        <f>Référentiels!A120&amp;TEXT(Référentiels!B120,"000")</f>
        <v>TAJ021</v>
      </c>
      <c r="H120" s="64" t="s">
        <v>655</v>
      </c>
      <c r="I120" s="64" t="s">
        <v>28</v>
      </c>
      <c r="J120" s="23">
        <v>55</v>
      </c>
      <c r="K120" s="26">
        <f>IFERROR(
  SUMIFS(#REF!,#REF!, tbl_ProduitsRef[[#This Row],[Cde_Prdt]]),
0)</f>
        <v>0</v>
      </c>
      <c r="M120" s="91" t="s">
        <v>1241</v>
      </c>
      <c r="N120" s="88" t="str">
        <f>Référentiels!D120&amp;TEXT(Référentiels!E120,"000")</f>
        <v>PRL025</v>
      </c>
      <c r="O120" s="88" t="s">
        <v>1237</v>
      </c>
      <c r="P120" s="23">
        <f>25.2/400</f>
        <v>6.3E-2</v>
      </c>
      <c r="Q120" s="88" t="s">
        <v>221</v>
      </c>
      <c r="R12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63</v>
      </c>
      <c r="S12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6.3E-2</v>
      </c>
    </row>
    <row r="121" spans="1:19" ht="16.5" customHeight="1" x14ac:dyDescent="0.3">
      <c r="A12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1" s="111">
        <f>COUNTIF(A$2:$A121,A121)</f>
        <v>22</v>
      </c>
      <c r="D12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PRL</v>
      </c>
      <c r="E121" s="111">
        <f>COUNTIF($D$2:D121,D121)</f>
        <v>26</v>
      </c>
      <c r="G121" s="89" t="str">
        <f>Référentiels!A121&amp;TEXT(Référentiels!B121,"000")</f>
        <v>TAJ022</v>
      </c>
      <c r="H121" s="64" t="s">
        <v>657</v>
      </c>
      <c r="I121" s="64" t="s">
        <v>28</v>
      </c>
      <c r="J121" s="23">
        <v>52</v>
      </c>
      <c r="K121" s="26">
        <f>IFERROR(
  SUMIFS(#REF!,#REF!, tbl_ProduitsRef[[#This Row],[Cde_Prdt]]),
0)</f>
        <v>0</v>
      </c>
      <c r="M121" s="91" t="s">
        <v>781</v>
      </c>
      <c r="N121" s="88" t="str">
        <f>Référentiels!D121&amp;TEXT(Référentiels!E121,"000")</f>
        <v>PRL026</v>
      </c>
      <c r="O121" s="88" t="s">
        <v>1237</v>
      </c>
      <c r="P121" s="23">
        <v>0.2</v>
      </c>
      <c r="Q121" s="88" t="s">
        <v>209</v>
      </c>
      <c r="R12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12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0.2</v>
      </c>
    </row>
    <row r="122" spans="1:19" ht="16.5" customHeight="1" x14ac:dyDescent="0.3">
      <c r="A12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2" s="111">
        <f>COUNTIF(A$2:$A122,A122)</f>
        <v>23</v>
      </c>
      <c r="D12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2" s="111">
        <f>COUNTIF($D$2:D122,D122)</f>
        <v>1</v>
      </c>
      <c r="G122" s="89" t="str">
        <f>Référentiels!A122&amp;TEXT(Référentiels!B122,"000")</f>
        <v>TAJ023</v>
      </c>
      <c r="H122" s="64" t="s">
        <v>666</v>
      </c>
      <c r="I122" s="64" t="s">
        <v>28</v>
      </c>
      <c r="J122" s="23">
        <v>50</v>
      </c>
      <c r="K122" s="26">
        <f>IFERROR(
  SUMIFS(#REF!,#REF!, tbl_ProduitsRef[[#This Row],[Cde_Prdt]]),
0)</f>
        <v>0</v>
      </c>
      <c r="M122" s="91" t="s">
        <v>256</v>
      </c>
      <c r="N122" s="88" t="str">
        <f>Référentiels!D122&amp;TEXT(Référentiels!E122,"000")</f>
        <v>FRU001</v>
      </c>
      <c r="O122" s="88" t="s">
        <v>1242</v>
      </c>
      <c r="P122" s="23">
        <v>7.0000000000000007E-2</v>
      </c>
      <c r="Q122" s="88" t="s">
        <v>209</v>
      </c>
      <c r="R12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2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7.0000000000000007E-2</v>
      </c>
    </row>
    <row r="123" spans="1:19" ht="16.5" customHeight="1" x14ac:dyDescent="0.3">
      <c r="A12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3" s="111">
        <f>COUNTIF(A$2:$A123,A123)</f>
        <v>24</v>
      </c>
      <c r="D12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3" s="111">
        <f>COUNTIF($D$2:D123,D123)</f>
        <v>2</v>
      </c>
      <c r="G123" s="89" t="str">
        <f>Référentiels!A123&amp;TEXT(Référentiels!B123,"000")</f>
        <v>TAJ024</v>
      </c>
      <c r="H123" s="64" t="s">
        <v>76</v>
      </c>
      <c r="I123" s="64" t="s">
        <v>28</v>
      </c>
      <c r="J123" s="23">
        <v>60</v>
      </c>
      <c r="K123" s="26">
        <f>IFERROR(
  SUMIFS(#REF!,#REF!, tbl_ProduitsRef[[#This Row],[Cde_Prdt]]),
0)</f>
        <v>0</v>
      </c>
      <c r="M123" s="91" t="s">
        <v>208</v>
      </c>
      <c r="N123" s="88" t="str">
        <f>Référentiels!D123&amp;TEXT(Référentiels!E123,"000")</f>
        <v>FRU002</v>
      </c>
      <c r="O123" s="88" t="s">
        <v>1242</v>
      </c>
      <c r="P123" s="23">
        <v>0.1</v>
      </c>
      <c r="Q123" s="88" t="s">
        <v>209</v>
      </c>
      <c r="R12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2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124" spans="1:19" ht="16.5" customHeight="1" x14ac:dyDescent="0.3">
      <c r="A12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TAJ</v>
      </c>
      <c r="B124" s="111">
        <f>COUNTIF(A$2:$A124,A124)</f>
        <v>25</v>
      </c>
      <c r="D12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4" s="111">
        <f>COUNTIF($D$2:D124,D124)</f>
        <v>3</v>
      </c>
      <c r="G124" s="89" t="str">
        <f>Référentiels!A124&amp;TEXT(Référentiels!B124,"000")</f>
        <v>TAJ025</v>
      </c>
      <c r="H124" s="64" t="s">
        <v>692</v>
      </c>
      <c r="I124" s="64" t="s">
        <v>28</v>
      </c>
      <c r="J124" s="23">
        <v>9</v>
      </c>
      <c r="K124" s="26">
        <f>IFERROR(
  SUMIFS(#REF!,#REF!, tbl_ProduitsRef[[#This Row],[Cde_Prdt]]),
0)</f>
        <v>0</v>
      </c>
      <c r="M124" s="91" t="s">
        <v>1135</v>
      </c>
      <c r="N124" s="88" t="str">
        <f>Référentiels!D124&amp;TEXT(Référentiels!E124,"000")</f>
        <v>FRU003</v>
      </c>
      <c r="O124" s="88" t="s">
        <v>1242</v>
      </c>
      <c r="P124" s="23">
        <v>0.05</v>
      </c>
      <c r="Q124" s="88" t="s">
        <v>209</v>
      </c>
      <c r="R12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2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125" spans="1:19" ht="16.5" customHeight="1" x14ac:dyDescent="0.3">
      <c r="A12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5" s="111">
        <f>COUNTIF(A$2:$A125,A125)</f>
        <v>1</v>
      </c>
      <c r="D12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5" s="111">
        <f>COUNTIF($D$2:D125,D125)</f>
        <v>4</v>
      </c>
      <c r="G125" s="89" t="str">
        <f>Référentiels!A125&amp;TEXT(Référentiels!B125,"000")</f>
        <v>PAT001</v>
      </c>
      <c r="H125" s="64" t="s">
        <v>736</v>
      </c>
      <c r="I125" s="64" t="s">
        <v>29</v>
      </c>
      <c r="J125" s="23">
        <v>90</v>
      </c>
      <c r="K125" s="26">
        <f>IFERROR(
  SUMIFS(#REF!,#REF!, tbl_ProduitsRef[[#This Row],[Cde_Prdt]]),
0)</f>
        <v>0</v>
      </c>
      <c r="M125" s="91" t="s">
        <v>877</v>
      </c>
      <c r="N125" s="88" t="str">
        <f>Référentiels!D125&amp;TEXT(Référentiels!E125,"000")</f>
        <v>FRU004</v>
      </c>
      <c r="O125" s="88" t="s">
        <v>1242</v>
      </c>
      <c r="P125" s="23">
        <v>0.01</v>
      </c>
      <c r="Q125" s="88" t="s">
        <v>209</v>
      </c>
      <c r="R12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2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0.01</v>
      </c>
    </row>
    <row r="126" spans="1:19" ht="16.5" customHeight="1" x14ac:dyDescent="0.3">
      <c r="A12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6" s="111">
        <f>COUNTIF(A$2:$A126,A126)</f>
        <v>2</v>
      </c>
      <c r="D12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6" s="111">
        <f>COUNTIF($D$2:D126,D126)</f>
        <v>5</v>
      </c>
      <c r="G126" s="89" t="str">
        <f>Référentiels!A126&amp;TEXT(Référentiels!B126,"000")</f>
        <v>PAT002</v>
      </c>
      <c r="H126" s="64" t="s">
        <v>740</v>
      </c>
      <c r="I126" s="64" t="s">
        <v>29</v>
      </c>
      <c r="J126" s="23">
        <v>80</v>
      </c>
      <c r="K126" s="26">
        <f>IFERROR(
  SUMIFS(#REF!,#REF!, tbl_ProduitsRef[[#This Row],[Cde_Prdt]]),
0)</f>
        <v>0</v>
      </c>
      <c r="M126" s="91" t="s">
        <v>1243</v>
      </c>
      <c r="N126" s="88" t="str">
        <f>Référentiels!D126&amp;TEXT(Référentiels!E126,"000")</f>
        <v>FRU005</v>
      </c>
      <c r="O126" s="88" t="s">
        <v>1242</v>
      </c>
      <c r="P126" s="23">
        <v>0.03</v>
      </c>
      <c r="Q126" s="88" t="s">
        <v>209</v>
      </c>
      <c r="R12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2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0.03</v>
      </c>
    </row>
    <row r="127" spans="1:19" ht="16.5" customHeight="1" x14ac:dyDescent="0.3">
      <c r="A12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7" s="111">
        <f>COUNTIF(A$2:$A127,A127)</f>
        <v>3</v>
      </c>
      <c r="D12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7" s="111">
        <f>COUNTIF($D$2:D127,D127)</f>
        <v>6</v>
      </c>
      <c r="G127" s="89" t="str">
        <f>Référentiels!A127&amp;TEXT(Référentiels!B127,"000")</f>
        <v>PAT003</v>
      </c>
      <c r="H127" s="64" t="s">
        <v>744</v>
      </c>
      <c r="I127" s="64" t="s">
        <v>29</v>
      </c>
      <c r="J127" s="23">
        <v>70</v>
      </c>
      <c r="K127" s="26">
        <f>IFERROR(
  SUMIFS(#REF!,#REF!, tbl_ProduitsRef[[#This Row],[Cde_Prdt]]),
0)</f>
        <v>0</v>
      </c>
      <c r="M127" s="91" t="s">
        <v>356</v>
      </c>
      <c r="N127" s="88" t="str">
        <f>Référentiels!D127&amp;TEXT(Référentiels!E127,"000")</f>
        <v>FRU006</v>
      </c>
      <c r="O127" s="88" t="s">
        <v>1242</v>
      </c>
      <c r="P127" s="23">
        <v>0.05</v>
      </c>
      <c r="Q127" s="88" t="s">
        <v>209</v>
      </c>
      <c r="R12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2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128" spans="1:19" ht="16.5" customHeight="1" x14ac:dyDescent="0.3">
      <c r="A12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8" s="111">
        <f>COUNTIF(A$2:$A128,A128)</f>
        <v>4</v>
      </c>
      <c r="D12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8" s="111">
        <f>COUNTIF($D$2:D128,D128)</f>
        <v>7</v>
      </c>
      <c r="G128" s="89" t="str">
        <f>Référentiels!A128&amp;TEXT(Référentiels!B128,"000")</f>
        <v>PAT004</v>
      </c>
      <c r="H128" s="64" t="s">
        <v>746</v>
      </c>
      <c r="I128" s="64" t="s">
        <v>29</v>
      </c>
      <c r="J128" s="23">
        <v>75</v>
      </c>
      <c r="K128" s="26">
        <f>IFERROR(
  SUMIFS(#REF!,#REF!, tbl_ProduitsRef[[#This Row],[Cde_Prdt]]),
0)</f>
        <v>0</v>
      </c>
      <c r="M128" s="91" t="s">
        <v>980</v>
      </c>
      <c r="N128" s="88" t="str">
        <f>Référentiels!D128&amp;TEXT(Référentiels!E128,"000")</f>
        <v>FRU007</v>
      </c>
      <c r="O128" s="88" t="s">
        <v>1242</v>
      </c>
      <c r="P128" s="23">
        <v>1.4999999999999999E-2</v>
      </c>
      <c r="Q128" s="88" t="s">
        <v>209</v>
      </c>
      <c r="R12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12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1.4999999999999999E-2</v>
      </c>
    </row>
    <row r="129" spans="1:19" ht="16.5" customHeight="1" x14ac:dyDescent="0.3">
      <c r="A12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29" s="111">
        <f>COUNTIF(A$2:$A129,A129)</f>
        <v>5</v>
      </c>
      <c r="D12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29" s="111">
        <f>COUNTIF($D$2:D129,D129)</f>
        <v>8</v>
      </c>
      <c r="G129" s="89" t="str">
        <f>Référentiels!A129&amp;TEXT(Référentiels!B129,"000")</f>
        <v>PAT005</v>
      </c>
      <c r="H129" s="64" t="s">
        <v>750</v>
      </c>
      <c r="I129" s="64" t="s">
        <v>29</v>
      </c>
      <c r="J129" s="23">
        <v>70</v>
      </c>
      <c r="K129" s="26">
        <f>IFERROR(
  SUMIFS(#REF!,#REF!, tbl_ProduitsRef[[#This Row],[Cde_Prdt]]),
0)</f>
        <v>0</v>
      </c>
      <c r="M129" s="91" t="s">
        <v>984</v>
      </c>
      <c r="N129" s="88" t="str">
        <f>Référentiels!D129&amp;TEXT(Référentiels!E129,"000")</f>
        <v>FRU008</v>
      </c>
      <c r="O129" s="88" t="s">
        <v>1242</v>
      </c>
      <c r="P129" s="23">
        <v>0.08</v>
      </c>
      <c r="Q129" s="88" t="s">
        <v>209</v>
      </c>
      <c r="R12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12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0.08</v>
      </c>
    </row>
    <row r="130" spans="1:19" ht="16.5" customHeight="1" x14ac:dyDescent="0.3">
      <c r="A13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0" s="111">
        <f>COUNTIF(A$2:$A130,A130)</f>
        <v>6</v>
      </c>
      <c r="D13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0" s="111">
        <f>COUNTIF($D$2:D130,D130)</f>
        <v>9</v>
      </c>
      <c r="G130" s="89" t="str">
        <f>Référentiels!A130&amp;TEXT(Référentiels!B130,"000")</f>
        <v>PAT006</v>
      </c>
      <c r="H130" s="64" t="s">
        <v>752</v>
      </c>
      <c r="I130" s="64" t="s">
        <v>29</v>
      </c>
      <c r="J130" s="23">
        <v>80</v>
      </c>
      <c r="K130" s="26">
        <f>IFERROR(
  SUMIFS(#REF!,#REF!, tbl_ProduitsRef[[#This Row],[Cde_Prdt]]),
0)</f>
        <v>0</v>
      </c>
      <c r="M130" s="91" t="s">
        <v>1002</v>
      </c>
      <c r="N130" s="88" t="str">
        <f>Référentiels!D130&amp;TEXT(Référentiels!E130,"000")</f>
        <v>FRU009</v>
      </c>
      <c r="O130" s="88" t="s">
        <v>1242</v>
      </c>
      <c r="P130" s="23">
        <v>0.03</v>
      </c>
      <c r="Q130" s="88" t="s">
        <v>209</v>
      </c>
      <c r="R13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3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0.03</v>
      </c>
    </row>
    <row r="131" spans="1:19" ht="16.5" customHeight="1" x14ac:dyDescent="0.3">
      <c r="A13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1" s="111">
        <f>COUNTIF(A$2:$A131,A131)</f>
        <v>7</v>
      </c>
      <c r="D13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1" s="111">
        <f>COUNTIF($D$2:D131,D131)</f>
        <v>10</v>
      </c>
      <c r="G131" s="89" t="str">
        <f>Référentiels!A131&amp;TEXT(Référentiels!B131,"000")</f>
        <v>PAT007</v>
      </c>
      <c r="H131" s="64" t="s">
        <v>755</v>
      </c>
      <c r="I131" s="64" t="s">
        <v>29</v>
      </c>
      <c r="J131" s="23">
        <v>110</v>
      </c>
      <c r="K131" s="26">
        <f>IFERROR(
  SUMIFS(#REF!,#REF!, tbl_ProduitsRef[[#This Row],[Cde_Prdt]]),
0)</f>
        <v>0</v>
      </c>
      <c r="M131" s="91" t="s">
        <v>978</v>
      </c>
      <c r="N131" s="88" t="str">
        <f>Référentiels!D131&amp;TEXT(Référentiels!E131,"000")</f>
        <v>FRU010</v>
      </c>
      <c r="O131" s="88" t="s">
        <v>1242</v>
      </c>
      <c r="P131" s="23">
        <v>0.02</v>
      </c>
      <c r="Q131" s="88" t="s">
        <v>209</v>
      </c>
      <c r="R13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3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0.02</v>
      </c>
    </row>
    <row r="132" spans="1:19" ht="16.5" customHeight="1" x14ac:dyDescent="0.3">
      <c r="A13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2" s="111">
        <f>COUNTIF(A$2:$A132,A132)</f>
        <v>8</v>
      </c>
      <c r="D13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2" s="111">
        <f>COUNTIF($D$2:D132,D132)</f>
        <v>11</v>
      </c>
      <c r="G132" s="89" t="str">
        <f>Référentiels!A132&amp;TEXT(Référentiels!B132,"000")</f>
        <v>PAT008</v>
      </c>
      <c r="H132" s="64" t="s">
        <v>759</v>
      </c>
      <c r="I132" s="64" t="s">
        <v>29</v>
      </c>
      <c r="J132" s="23">
        <v>90</v>
      </c>
      <c r="K132" s="26">
        <f>IFERROR(
  SUMIFS(#REF!,#REF!, tbl_ProduitsRef[[#This Row],[Cde_Prdt]]),
0)</f>
        <v>0</v>
      </c>
      <c r="M132" s="91" t="s">
        <v>998</v>
      </c>
      <c r="N132" s="88" t="str">
        <f>Référentiels!D132&amp;TEXT(Référentiels!E132,"000")</f>
        <v>FRU011</v>
      </c>
      <c r="O132" s="88" t="s">
        <v>1242</v>
      </c>
      <c r="P132" s="23">
        <v>0.05</v>
      </c>
      <c r="Q132" s="88" t="s">
        <v>209</v>
      </c>
      <c r="R13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3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133" spans="1:19" ht="16.5" customHeight="1" x14ac:dyDescent="0.3">
      <c r="A13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3" s="111">
        <f>COUNTIF(A$2:$A133,A133)</f>
        <v>9</v>
      </c>
      <c r="D13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3" s="111">
        <f>COUNTIF($D$2:D133,D133)</f>
        <v>12</v>
      </c>
      <c r="G133" s="89" t="str">
        <f>Référentiels!A133&amp;TEXT(Référentiels!B133,"000")</f>
        <v>PAT009</v>
      </c>
      <c r="H133" s="64" t="s">
        <v>763</v>
      </c>
      <c r="I133" s="64" t="s">
        <v>29</v>
      </c>
      <c r="J133" s="23">
        <v>80</v>
      </c>
      <c r="K133" s="26">
        <f>IFERROR(
  SUMIFS(#REF!,#REF!, tbl_ProduitsRef[[#This Row],[Cde_Prdt]]),
0)</f>
        <v>0</v>
      </c>
      <c r="M133" s="91" t="s">
        <v>358</v>
      </c>
      <c r="N133" s="88" t="str">
        <f>Référentiels!D133&amp;TEXT(Référentiels!E133,"000")</f>
        <v>FRU012</v>
      </c>
      <c r="O133" s="88" t="s">
        <v>1242</v>
      </c>
      <c r="P133" s="23">
        <v>0.05</v>
      </c>
      <c r="Q133" s="88" t="s">
        <v>209</v>
      </c>
      <c r="R13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3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134" spans="1:19" ht="16.5" customHeight="1" x14ac:dyDescent="0.3">
      <c r="A13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4" s="111">
        <f>COUNTIF(A$2:$A134,A134)</f>
        <v>10</v>
      </c>
      <c r="D13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4" s="111">
        <f>COUNTIF($D$2:D134,D134)</f>
        <v>13</v>
      </c>
      <c r="G134" s="89" t="str">
        <f>Référentiels!A134&amp;TEXT(Référentiels!B134,"000")</f>
        <v>PAT010</v>
      </c>
      <c r="H134" s="64" t="s">
        <v>765</v>
      </c>
      <c r="I134" s="64" t="s">
        <v>29</v>
      </c>
      <c r="J134" s="23">
        <v>80</v>
      </c>
      <c r="K134" s="26">
        <f>IFERROR(
  SUMIFS(#REF!,#REF!, tbl_ProduitsRef[[#This Row],[Cde_Prdt]]),
0)</f>
        <v>0</v>
      </c>
      <c r="M134" s="91" t="s">
        <v>976</v>
      </c>
      <c r="N134" s="88" t="str">
        <f>Référentiels!D134&amp;TEXT(Référentiels!E134,"000")</f>
        <v>FRU013</v>
      </c>
      <c r="O134" s="88" t="s">
        <v>1242</v>
      </c>
      <c r="P134" s="23">
        <v>0.02</v>
      </c>
      <c r="Q134" s="88" t="s">
        <v>209</v>
      </c>
      <c r="R13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3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0.02</v>
      </c>
    </row>
    <row r="135" spans="1:19" ht="16.5" customHeight="1" x14ac:dyDescent="0.3">
      <c r="A13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5" s="111">
        <f>COUNTIF(A$2:$A135,A135)</f>
        <v>11</v>
      </c>
      <c r="D13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5" s="111">
        <f>COUNTIF($D$2:D135,D135)</f>
        <v>14</v>
      </c>
      <c r="G135" s="89" t="str">
        <f>Référentiels!A135&amp;TEXT(Référentiels!B135,"000")</f>
        <v>PAT011</v>
      </c>
      <c r="H135" s="64" t="s">
        <v>767</v>
      </c>
      <c r="I135" s="64" t="s">
        <v>29</v>
      </c>
      <c r="J135" s="23">
        <v>75</v>
      </c>
      <c r="K135" s="26">
        <f>IFERROR(
  SUMIFS(#REF!,#REF!, tbl_ProduitsRef[[#This Row],[Cde_Prdt]]),
0)</f>
        <v>0</v>
      </c>
      <c r="M135" s="91" t="s">
        <v>1244</v>
      </c>
      <c r="N135" s="88" t="str">
        <f>Référentiels!D135&amp;TEXT(Référentiels!E135,"000")</f>
        <v>FRU014</v>
      </c>
      <c r="O135" s="88" t="s">
        <v>1242</v>
      </c>
      <c r="P135" s="23">
        <v>0.09</v>
      </c>
      <c r="Q135" s="88" t="s">
        <v>209</v>
      </c>
      <c r="R13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13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0.09</v>
      </c>
    </row>
    <row r="136" spans="1:19" ht="16.5" customHeight="1" x14ac:dyDescent="0.3">
      <c r="A13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PAT</v>
      </c>
      <c r="B136" s="111">
        <f>COUNTIF(A$2:$A136,A136)</f>
        <v>12</v>
      </c>
      <c r="D13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6" s="111">
        <f>COUNTIF($D$2:D136,D136)</f>
        <v>15</v>
      </c>
      <c r="G136" s="89" t="str">
        <f>Référentiels!A136&amp;TEXT(Référentiels!B136,"000")</f>
        <v>PAT012</v>
      </c>
      <c r="H136" s="64" t="s">
        <v>62</v>
      </c>
      <c r="I136" s="64" t="s">
        <v>29</v>
      </c>
      <c r="J136" s="23">
        <v>70</v>
      </c>
      <c r="K136" s="26">
        <f>IFERROR(
  SUMIFS(#REF!,#REF!, tbl_ProduitsRef[[#This Row],[Cde_Prdt]]),
0)</f>
        <v>0</v>
      </c>
      <c r="M136" s="91" t="s">
        <v>1245</v>
      </c>
      <c r="N136" s="88" t="str">
        <f>Référentiels!D136&amp;TEXT(Référentiels!E136,"000")</f>
        <v>FRU015</v>
      </c>
      <c r="O136" s="88" t="s">
        <v>1242</v>
      </c>
      <c r="P136" s="23">
        <v>0.2</v>
      </c>
      <c r="Q136" s="88" t="s">
        <v>209</v>
      </c>
      <c r="R13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13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0.2</v>
      </c>
    </row>
    <row r="137" spans="1:19" ht="16.5" customHeight="1" x14ac:dyDescent="0.3">
      <c r="A13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37" s="111">
        <f>COUNTIF(A$2:$A137,A137)</f>
        <v>1</v>
      </c>
      <c r="D13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7" s="111">
        <f>COUNTIF($D$2:D137,D137)</f>
        <v>16</v>
      </c>
      <c r="G137" s="89" t="str">
        <f>Référentiels!A137&amp;TEXT(Référentiels!B137,"000")</f>
        <v>PIZ001</v>
      </c>
      <c r="H137" s="64" t="s">
        <v>806</v>
      </c>
      <c r="I137" s="64" t="s">
        <v>30</v>
      </c>
      <c r="J137" s="23">
        <v>85</v>
      </c>
      <c r="K137" s="26">
        <f>IFERROR(
  SUMIFS(#REF!,#REF!, tbl_ProduitsRef[[#This Row],[Cde_Prdt]]),
0)</f>
        <v>0</v>
      </c>
      <c r="M137" s="91" t="s">
        <v>972</v>
      </c>
      <c r="N137" s="88" t="str">
        <f>Référentiels!D137&amp;TEXT(Référentiels!E137,"000")</f>
        <v>FRU016</v>
      </c>
      <c r="O137" s="88" t="s">
        <v>1242</v>
      </c>
      <c r="P137" s="23">
        <v>17</v>
      </c>
      <c r="Q137" s="88" t="s">
        <v>206</v>
      </c>
      <c r="R13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17</v>
      </c>
      <c r="S13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17</v>
      </c>
    </row>
    <row r="138" spans="1:19" ht="16.5" customHeight="1" x14ac:dyDescent="0.3">
      <c r="A13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38" s="111">
        <f>COUNTIF(A$2:$A138,A138)</f>
        <v>2</v>
      </c>
      <c r="D13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8" s="111">
        <f>COUNTIF($D$2:D138,D138)</f>
        <v>17</v>
      </c>
      <c r="G138" s="89" t="str">
        <f>Référentiels!A138&amp;TEXT(Référentiels!B138,"000")</f>
        <v>PIZ002</v>
      </c>
      <c r="H138" s="64" t="s">
        <v>814</v>
      </c>
      <c r="I138" s="64" t="s">
        <v>30</v>
      </c>
      <c r="J138" s="23">
        <v>75</v>
      </c>
      <c r="K138" s="26">
        <f>IFERROR(
  SUMIFS(#REF!,#REF!, tbl_ProduitsRef[[#This Row],[Cde_Prdt]]),
0)</f>
        <v>0</v>
      </c>
      <c r="M138" s="91" t="s">
        <v>1246</v>
      </c>
      <c r="N138" s="88" t="str">
        <f>Référentiels!D138&amp;TEXT(Référentiels!E138,"000")</f>
        <v>FRU017</v>
      </c>
      <c r="O138" s="88" t="s">
        <v>1242</v>
      </c>
      <c r="P138" s="23">
        <v>12</v>
      </c>
      <c r="Q138" s="88" t="s">
        <v>206</v>
      </c>
      <c r="R13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</v>
      </c>
      <c r="S13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12</v>
      </c>
    </row>
    <row r="139" spans="1:19" ht="16.5" customHeight="1" x14ac:dyDescent="0.3">
      <c r="A13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39" s="111">
        <f>COUNTIF(A$2:$A139,A139)</f>
        <v>3</v>
      </c>
      <c r="D13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FRU</v>
      </c>
      <c r="E139" s="111">
        <f>COUNTIF($D$2:D139,D139)</f>
        <v>18</v>
      </c>
      <c r="G139" s="89" t="str">
        <f>Référentiels!A139&amp;TEXT(Référentiels!B139,"000")</f>
        <v>PIZ003</v>
      </c>
      <c r="H139" s="64" t="s">
        <v>816</v>
      </c>
      <c r="I139" s="64" t="s">
        <v>30</v>
      </c>
      <c r="J139" s="23">
        <v>75</v>
      </c>
      <c r="K139" s="26">
        <f>IFERROR(
  SUMIFS(#REF!,#REF!, tbl_ProduitsRef[[#This Row],[Cde_Prdt]]),
0)</f>
        <v>0</v>
      </c>
      <c r="M139" s="91" t="s">
        <v>1247</v>
      </c>
      <c r="N139" s="88" t="str">
        <f>Référentiels!D139&amp;TEXT(Référentiels!E139,"000")</f>
        <v>FRU018</v>
      </c>
      <c r="O139" s="88" t="s">
        <v>1242</v>
      </c>
      <c r="P139" s="23">
        <v>3.4000000000000002E-2</v>
      </c>
      <c r="Q139" s="88" t="s">
        <v>209</v>
      </c>
      <c r="R13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34</v>
      </c>
      <c r="S13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3.4000000000000002E-2</v>
      </c>
    </row>
    <row r="140" spans="1:19" ht="16.5" customHeight="1" x14ac:dyDescent="0.3">
      <c r="A14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0" s="111">
        <f>COUNTIF(A$2:$A140,A140)</f>
        <v>4</v>
      </c>
      <c r="D14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0" s="111">
        <f>COUNTIF($D$2:D140,D140)</f>
        <v>1</v>
      </c>
      <c r="G140" s="89" t="str">
        <f>Référentiels!A140&amp;TEXT(Référentiels!B140,"000")</f>
        <v>PIZ004</v>
      </c>
      <c r="H140" s="64" t="s">
        <v>824</v>
      </c>
      <c r="I140" s="64" t="s">
        <v>30</v>
      </c>
      <c r="J140" s="23">
        <v>75</v>
      </c>
      <c r="K140" s="26">
        <f>IFERROR(
  SUMIFS(#REF!,#REF!, tbl_ProduitsRef[[#This Row],[Cde_Prdt]]),
0)</f>
        <v>0</v>
      </c>
      <c r="M140" s="91" t="s">
        <v>1248</v>
      </c>
      <c r="N140" s="88" t="str">
        <f>Référentiels!D140&amp;TEXT(Référentiels!E140,"000")</f>
        <v>LEG001</v>
      </c>
      <c r="O140" s="88" t="s">
        <v>1249</v>
      </c>
      <c r="P140" s="23">
        <v>0.02</v>
      </c>
      <c r="Q140" s="88" t="s">
        <v>209</v>
      </c>
      <c r="R14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4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0.02</v>
      </c>
    </row>
    <row r="141" spans="1:19" ht="16.5" customHeight="1" x14ac:dyDescent="0.3">
      <c r="A14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1" s="111">
        <f>COUNTIF(A$2:$A141,A141)</f>
        <v>5</v>
      </c>
      <c r="D14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1" s="111">
        <f>COUNTIF($D$2:D141,D141)</f>
        <v>2</v>
      </c>
      <c r="G141" s="89" t="str">
        <f>Référentiels!A141&amp;TEXT(Référentiels!B141,"000")</f>
        <v>PIZ005</v>
      </c>
      <c r="H141" s="64" t="s">
        <v>828</v>
      </c>
      <c r="I141" s="64" t="s">
        <v>30</v>
      </c>
      <c r="J141" s="23">
        <v>65</v>
      </c>
      <c r="K141" s="26">
        <f>IFERROR(
  SUMIFS(#REF!,#REF!, tbl_ProduitsRef[[#This Row],[Cde_Prdt]]),
0)</f>
        <v>0</v>
      </c>
      <c r="M141" s="91" t="s">
        <v>308</v>
      </c>
      <c r="N141" s="88" t="str">
        <f>Référentiels!D141&amp;TEXT(Référentiels!E141,"000")</f>
        <v>LEG002</v>
      </c>
      <c r="O141" s="88" t="s">
        <v>1249</v>
      </c>
      <c r="P141" s="23">
        <v>0.01</v>
      </c>
      <c r="Q141" s="88" t="s">
        <v>209</v>
      </c>
      <c r="R14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4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0.01</v>
      </c>
    </row>
    <row r="142" spans="1:19" ht="16.5" customHeight="1" x14ac:dyDescent="0.3">
      <c r="A14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2" s="111">
        <f>COUNTIF(A$2:$A142,A142)</f>
        <v>6</v>
      </c>
      <c r="D14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2" s="111">
        <f>COUNTIF($D$2:D142,D142)</f>
        <v>3</v>
      </c>
      <c r="G142" s="89" t="str">
        <f>Référentiels!A142&amp;TEXT(Référentiels!B142,"000")</f>
        <v>PIZ006</v>
      </c>
      <c r="H142" s="64" t="s">
        <v>832</v>
      </c>
      <c r="I142" s="64" t="s">
        <v>30</v>
      </c>
      <c r="J142" s="23">
        <v>65</v>
      </c>
      <c r="K142" s="26">
        <f>IFERROR(
  SUMIFS(#REF!,#REF!, tbl_ProduitsRef[[#This Row],[Cde_Prdt]]),
0)</f>
        <v>0</v>
      </c>
      <c r="M142" s="91" t="s">
        <v>223</v>
      </c>
      <c r="N142" s="88" t="str">
        <f>Référentiels!D142&amp;TEXT(Référentiels!E142,"000")</f>
        <v>LEG003</v>
      </c>
      <c r="O142" s="88" t="s">
        <v>1249</v>
      </c>
      <c r="P142" s="23">
        <v>0.04</v>
      </c>
      <c r="Q142" s="88" t="s">
        <v>209</v>
      </c>
      <c r="R14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14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0.04</v>
      </c>
    </row>
    <row r="143" spans="1:19" ht="16.5" customHeight="1" x14ac:dyDescent="0.3">
      <c r="A14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3" s="111">
        <f>COUNTIF(A$2:$A143,A143)</f>
        <v>7</v>
      </c>
      <c r="D14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3" s="111">
        <f>COUNTIF($D$2:D143,D143)</f>
        <v>4</v>
      </c>
      <c r="G143" s="89" t="str">
        <f>Référentiels!A143&amp;TEXT(Référentiels!B143,"000")</f>
        <v>PIZ007</v>
      </c>
      <c r="H143" s="64" t="s">
        <v>834</v>
      </c>
      <c r="I143" s="64" t="s">
        <v>30</v>
      </c>
      <c r="J143" s="23">
        <v>65</v>
      </c>
      <c r="K143" s="26">
        <f>IFERROR(
  SUMIFS(#REF!,#REF!, tbl_ProduitsRef[[#This Row],[Cde_Prdt]]),
0)</f>
        <v>0</v>
      </c>
      <c r="M143" s="91" t="s">
        <v>811</v>
      </c>
      <c r="N143" s="88" t="str">
        <f>Référentiels!D143&amp;TEXT(Référentiels!E143,"000")</f>
        <v>LEG004</v>
      </c>
      <c r="O143" s="88" t="s">
        <v>1249</v>
      </c>
      <c r="P143" s="23">
        <v>0.05</v>
      </c>
      <c r="Q143" s="88" t="s">
        <v>209</v>
      </c>
      <c r="R14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4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144" spans="1:19" ht="16.5" customHeight="1" x14ac:dyDescent="0.3">
      <c r="A14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4" s="111">
        <f>COUNTIF(A$2:$A144,A144)</f>
        <v>8</v>
      </c>
      <c r="D14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4" s="111">
        <f>COUNTIF($D$2:D144,D144)</f>
        <v>5</v>
      </c>
      <c r="G144" s="89" t="str">
        <f>Référentiels!A144&amp;TEXT(Référentiels!B144,"000")</f>
        <v>PIZ008</v>
      </c>
      <c r="H144" s="64" t="s">
        <v>836</v>
      </c>
      <c r="I144" s="64" t="s">
        <v>30</v>
      </c>
      <c r="J144" s="23">
        <v>55</v>
      </c>
      <c r="K144" s="26">
        <f>IFERROR(
  SUMIFS(#REF!,#REF!, tbl_ProduitsRef[[#This Row],[Cde_Prdt]]),
0)</f>
        <v>0</v>
      </c>
      <c r="M144" s="91" t="s">
        <v>240</v>
      </c>
      <c r="N144" s="88" t="str">
        <f>Référentiels!D144&amp;TEXT(Référentiels!E144,"000")</f>
        <v>LEG005</v>
      </c>
      <c r="O144" s="88" t="s">
        <v>1249</v>
      </c>
      <c r="P144" s="23">
        <v>0.1</v>
      </c>
      <c r="Q144" s="88" t="s">
        <v>209</v>
      </c>
      <c r="R14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4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145" spans="1:19" ht="16.5" customHeight="1" x14ac:dyDescent="0.3">
      <c r="A14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PIZ</v>
      </c>
      <c r="B145" s="111">
        <f>COUNTIF(A$2:$A145,A145)</f>
        <v>9</v>
      </c>
      <c r="D14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5" s="111">
        <f>COUNTIF($D$2:D145,D145)</f>
        <v>6</v>
      </c>
      <c r="G145" s="89" t="str">
        <f>Référentiels!A145&amp;TEXT(Référentiels!B145,"000")</f>
        <v>PIZ009</v>
      </c>
      <c r="H145" s="64" t="s">
        <v>842</v>
      </c>
      <c r="I145" s="64" t="s">
        <v>30</v>
      </c>
      <c r="J145" s="23">
        <v>55</v>
      </c>
      <c r="K145" s="26">
        <f>IFERROR(
  SUMIFS(#REF!,#REF!, tbl_ProduitsRef[[#This Row],[Cde_Prdt]]),
0)</f>
        <v>0</v>
      </c>
      <c r="M145" s="91" t="s">
        <v>1250</v>
      </c>
      <c r="N145" s="88" t="str">
        <f>Référentiels!D145&amp;TEXT(Référentiels!E145,"000")</f>
        <v>LEG006</v>
      </c>
      <c r="O145" s="88" t="s">
        <v>1249</v>
      </c>
      <c r="P145" s="23">
        <v>0.01</v>
      </c>
      <c r="Q145" s="88" t="s">
        <v>209</v>
      </c>
      <c r="R14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4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0.01</v>
      </c>
    </row>
    <row r="146" spans="1:19" ht="16.5" customHeight="1" x14ac:dyDescent="0.3">
      <c r="A14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46" s="111">
        <f>COUNTIF(A$2:$A146,A146)</f>
        <v>1</v>
      </c>
      <c r="D14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6" s="111">
        <f>COUNTIF($D$2:D146,D146)</f>
        <v>7</v>
      </c>
      <c r="G146" s="89" t="str">
        <f>Référentiels!A146&amp;TEXT(Référentiels!B146,"000")</f>
        <v>SNK001</v>
      </c>
      <c r="H146" s="64" t="s">
        <v>774</v>
      </c>
      <c r="I146" s="64" t="s">
        <v>31</v>
      </c>
      <c r="J146" s="23">
        <v>76</v>
      </c>
      <c r="K146" s="26">
        <f>IFERROR(
  SUMIFS(#REF!,#REF!, tbl_ProduitsRef[[#This Row],[Cde_Prdt]]),
0)</f>
        <v>0</v>
      </c>
      <c r="M146" s="91" t="s">
        <v>310</v>
      </c>
      <c r="N146" s="88" t="str">
        <f>Référentiels!D146&amp;TEXT(Référentiels!E146,"000")</f>
        <v>LEG007</v>
      </c>
      <c r="O146" s="88" t="s">
        <v>1249</v>
      </c>
      <c r="P146" s="23">
        <v>0.01</v>
      </c>
      <c r="Q146" s="88" t="s">
        <v>209</v>
      </c>
      <c r="R14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4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0.01</v>
      </c>
    </row>
    <row r="147" spans="1:19" ht="16.5" customHeight="1" x14ac:dyDescent="0.3">
      <c r="A14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47" s="111">
        <f>COUNTIF(A$2:$A147,A147)</f>
        <v>2</v>
      </c>
      <c r="D14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7" s="111">
        <f>COUNTIF($D$2:D147,D147)</f>
        <v>8</v>
      </c>
      <c r="G147" s="89" t="str">
        <f>Référentiels!A147&amp;TEXT(Référentiels!B147,"000")</f>
        <v>SNK002</v>
      </c>
      <c r="H147" s="64" t="s">
        <v>782</v>
      </c>
      <c r="I147" s="64" t="s">
        <v>31</v>
      </c>
      <c r="J147" s="23">
        <v>68</v>
      </c>
      <c r="K147" s="26">
        <f>IFERROR(
  SUMIFS(#REF!,#REF!, tbl_ProduitsRef[[#This Row],[Cde_Prdt]]),
0)</f>
        <v>0</v>
      </c>
      <c r="M147" s="91" t="s">
        <v>386</v>
      </c>
      <c r="N147" s="88" t="str">
        <f>Référentiels!D147&amp;TEXT(Référentiels!E147,"000")</f>
        <v>LEG008</v>
      </c>
      <c r="O147" s="88" t="s">
        <v>1249</v>
      </c>
      <c r="P147" s="23">
        <v>8</v>
      </c>
      <c r="Q147" s="88" t="s">
        <v>206</v>
      </c>
      <c r="R14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4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8</v>
      </c>
    </row>
    <row r="148" spans="1:19" ht="16.5" customHeight="1" x14ac:dyDescent="0.3">
      <c r="A14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48" s="111">
        <f>COUNTIF(A$2:$A148,A148)</f>
        <v>3</v>
      </c>
      <c r="D14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8" s="111">
        <f>COUNTIF($D$2:D148,D148)</f>
        <v>9</v>
      </c>
      <c r="G148" s="89" t="str">
        <f>Référentiels!A148&amp;TEXT(Référentiels!B148,"000")</f>
        <v>SNK003</v>
      </c>
      <c r="H148" s="64" t="s">
        <v>786</v>
      </c>
      <c r="I148" s="64" t="s">
        <v>31</v>
      </c>
      <c r="J148" s="23">
        <v>68</v>
      </c>
      <c r="K148" s="26">
        <f>IFERROR(
  SUMIFS(#REF!,#REF!, tbl_ProduitsRef[[#This Row],[Cde_Prdt]]),
0)</f>
        <v>0</v>
      </c>
      <c r="M148" s="91" t="s">
        <v>370</v>
      </c>
      <c r="N148" s="88" t="str">
        <f>Référentiels!D148&amp;TEXT(Référentiels!E148,"000")</f>
        <v>LEG009</v>
      </c>
      <c r="O148" s="88" t="s">
        <v>1249</v>
      </c>
      <c r="P148" s="23">
        <v>8</v>
      </c>
      <c r="Q148" s="88" t="s">
        <v>206</v>
      </c>
      <c r="R14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4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8</v>
      </c>
    </row>
    <row r="149" spans="1:19" ht="16.5" customHeight="1" x14ac:dyDescent="0.3">
      <c r="A14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49" s="111">
        <f>COUNTIF(A$2:$A149,A149)</f>
        <v>4</v>
      </c>
      <c r="D14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49" s="111">
        <f>COUNTIF($D$2:D149,D149)</f>
        <v>10</v>
      </c>
      <c r="G149" s="89" t="str">
        <f>Référentiels!A149&amp;TEXT(Référentiels!B149,"000")</f>
        <v>SNK004</v>
      </c>
      <c r="H149" s="64" t="s">
        <v>788</v>
      </c>
      <c r="I149" s="64" t="s">
        <v>31</v>
      </c>
      <c r="J149" s="23">
        <v>65</v>
      </c>
      <c r="K149" s="26">
        <f>IFERROR(
  SUMIFS(#REF!,#REF!, tbl_ProduitsRef[[#This Row],[Cde_Prdt]]),
0)</f>
        <v>0</v>
      </c>
      <c r="M149" s="91" t="s">
        <v>1251</v>
      </c>
      <c r="N149" s="88" t="str">
        <f>Référentiels!D149&amp;TEXT(Référentiels!E149,"000")</f>
        <v>LEG010</v>
      </c>
      <c r="O149" s="88" t="s">
        <v>1249</v>
      </c>
      <c r="P149" s="23">
        <v>8</v>
      </c>
      <c r="Q149" s="88" t="s">
        <v>206</v>
      </c>
      <c r="R14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4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8</v>
      </c>
    </row>
    <row r="150" spans="1:19" ht="16.5" customHeight="1" x14ac:dyDescent="0.3">
      <c r="A15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0" s="111">
        <f>COUNTIF(A$2:$A150,A150)</f>
        <v>5</v>
      </c>
      <c r="D15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0" s="111">
        <f>COUNTIF($D$2:D150,D150)</f>
        <v>11</v>
      </c>
      <c r="G150" s="89" t="str">
        <f>Référentiels!A150&amp;TEXT(Référentiels!B150,"000")</f>
        <v>SNK005</v>
      </c>
      <c r="H150" s="64" t="s">
        <v>790</v>
      </c>
      <c r="I150" s="64" t="s">
        <v>31</v>
      </c>
      <c r="J150" s="23">
        <v>60</v>
      </c>
      <c r="K150" s="26">
        <f>IFERROR(
  SUMIFS(#REF!,#REF!, tbl_ProduitsRef[[#This Row],[Cde_Prdt]]),
0)</f>
        <v>0</v>
      </c>
      <c r="M150" s="91" t="s">
        <v>366</v>
      </c>
      <c r="N150" s="88" t="str">
        <f>Référentiels!D150&amp;TEXT(Référentiels!E150,"000")</f>
        <v>LEG011</v>
      </c>
      <c r="O150" s="88" t="s">
        <v>1249</v>
      </c>
      <c r="P150" s="23">
        <v>8</v>
      </c>
      <c r="Q150" s="88" t="s">
        <v>206</v>
      </c>
      <c r="R15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5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8</v>
      </c>
    </row>
    <row r="151" spans="1:19" ht="16.5" customHeight="1" x14ac:dyDescent="0.3">
      <c r="A15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1" s="111">
        <f>COUNTIF(A$2:$A151,A151)</f>
        <v>6</v>
      </c>
      <c r="D15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1" s="111">
        <f>COUNTIF($D$2:D151,D151)</f>
        <v>12</v>
      </c>
      <c r="G151" s="89" t="str">
        <f>Référentiels!A151&amp;TEXT(Référentiels!B151,"000")</f>
        <v>SNK006</v>
      </c>
      <c r="H151" s="64" t="s">
        <v>792</v>
      </c>
      <c r="I151" s="64" t="s">
        <v>31</v>
      </c>
      <c r="J151" s="23">
        <v>60</v>
      </c>
      <c r="K151" s="26">
        <f>IFERROR(
  SUMIFS(#REF!,#REF!, tbl_ProduitsRef[[#This Row],[Cde_Prdt]]),
0)</f>
        <v>0</v>
      </c>
      <c r="M151" s="91" t="s">
        <v>316</v>
      </c>
      <c r="N151" s="88" t="str">
        <f>Référentiels!D151&amp;TEXT(Référentiels!E151,"000")</f>
        <v>LEG012</v>
      </c>
      <c r="O151" s="88" t="s">
        <v>1249</v>
      </c>
      <c r="P151" s="23">
        <v>0.1</v>
      </c>
      <c r="Q151" s="88" t="s">
        <v>209</v>
      </c>
      <c r="R15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5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152" spans="1:19" ht="16.5" customHeight="1" x14ac:dyDescent="0.3">
      <c r="A15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2" s="111">
        <f>COUNTIF(A$2:$A152,A152)</f>
        <v>7</v>
      </c>
      <c r="D15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2" s="111">
        <f>COUNTIF($D$2:D152,D152)</f>
        <v>13</v>
      </c>
      <c r="G152" s="89" t="str">
        <f>Référentiels!A152&amp;TEXT(Référentiels!B152,"000")</f>
        <v>SNK007</v>
      </c>
      <c r="H152" s="64" t="s">
        <v>794</v>
      </c>
      <c r="I152" s="64" t="s">
        <v>31</v>
      </c>
      <c r="J152" s="23">
        <v>50</v>
      </c>
      <c r="K152" s="26">
        <f>IFERROR(
  SUMIFS(#REF!,#REF!, tbl_ProduitsRef[[#This Row],[Cde_Prdt]]),
0)</f>
        <v>0</v>
      </c>
      <c r="M152" s="91" t="s">
        <v>421</v>
      </c>
      <c r="N152" s="88" t="str">
        <f>Référentiels!D152&amp;TEXT(Référentiels!E152,"000")</f>
        <v>LEG013</v>
      </c>
      <c r="O152" s="88" t="s">
        <v>1249</v>
      </c>
      <c r="P152" s="23">
        <v>2.5000000000000001E-2</v>
      </c>
      <c r="Q152" s="88" t="s">
        <v>209</v>
      </c>
      <c r="R15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</v>
      </c>
      <c r="S15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2.5000000000000001E-2</v>
      </c>
    </row>
    <row r="153" spans="1:19" ht="16.5" customHeight="1" x14ac:dyDescent="0.3">
      <c r="A15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3" s="111">
        <f>COUNTIF(A$2:$A153,A153)</f>
        <v>8</v>
      </c>
      <c r="D15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3" s="111">
        <f>COUNTIF($D$2:D153,D153)</f>
        <v>14</v>
      </c>
      <c r="G153" s="89" t="str">
        <f>Référentiels!A153&amp;TEXT(Référentiels!B153,"000")</f>
        <v>SNK008</v>
      </c>
      <c r="H153" s="64" t="s">
        <v>800</v>
      </c>
      <c r="I153" s="64" t="s">
        <v>31</v>
      </c>
      <c r="J153" s="23">
        <v>45</v>
      </c>
      <c r="K153" s="26">
        <f>IFERROR(
  SUMIFS(#REF!,#REF!, tbl_ProduitsRef[[#This Row],[Cde_Prdt]]),
0)</f>
        <v>0</v>
      </c>
      <c r="M153" s="91" t="s">
        <v>423</v>
      </c>
      <c r="N153" s="88" t="str">
        <f>Référentiels!D153&amp;TEXT(Référentiels!E153,"000")</f>
        <v>LEG014</v>
      </c>
      <c r="O153" s="88" t="s">
        <v>1249</v>
      </c>
      <c r="P153" s="23">
        <v>0.02</v>
      </c>
      <c r="Q153" s="88" t="s">
        <v>209</v>
      </c>
      <c r="R15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5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0.02</v>
      </c>
    </row>
    <row r="154" spans="1:19" ht="16.5" customHeight="1" x14ac:dyDescent="0.3">
      <c r="A15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4" s="111">
        <f>COUNTIF(A$2:$A154,A154)</f>
        <v>9</v>
      </c>
      <c r="D15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4" s="111">
        <f>COUNTIF($D$2:D154,D154)</f>
        <v>15</v>
      </c>
      <c r="G154" s="89" t="str">
        <f>Référentiels!A154&amp;TEXT(Référentiels!B154,"000")</f>
        <v>SNK009</v>
      </c>
      <c r="H154" s="64" t="s">
        <v>802</v>
      </c>
      <c r="I154" s="64" t="s">
        <v>31</v>
      </c>
      <c r="J154" s="23">
        <v>45</v>
      </c>
      <c r="K154" s="26">
        <f>IFERROR(
  SUMIFS(#REF!,#REF!, tbl_ProduitsRef[[#This Row],[Cde_Prdt]]),
0)</f>
        <v>0</v>
      </c>
      <c r="M154" s="91" t="s">
        <v>601</v>
      </c>
      <c r="N154" s="88" t="str">
        <f>Référentiels!D154&amp;TEXT(Référentiels!E154,"000")</f>
        <v>LEG015</v>
      </c>
      <c r="O154" s="88" t="s">
        <v>1249</v>
      </c>
      <c r="P154" s="23">
        <v>8.0000000000000002E-3</v>
      </c>
      <c r="Q154" s="88" t="s">
        <v>209</v>
      </c>
      <c r="R15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5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8.0000000000000002E-3</v>
      </c>
    </row>
    <row r="155" spans="1:19" ht="16.5" customHeight="1" x14ac:dyDescent="0.3">
      <c r="A15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5" s="111">
        <f>COUNTIF(A$2:$A155,A155)</f>
        <v>10</v>
      </c>
      <c r="D15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5" s="111">
        <f>COUNTIF($D$2:D155,D155)</f>
        <v>16</v>
      </c>
      <c r="G155" s="89" t="str">
        <f>Référentiels!A155&amp;TEXT(Référentiels!B155,"000")</f>
        <v>SNK010</v>
      </c>
      <c r="H155" s="64" t="s">
        <v>804</v>
      </c>
      <c r="I155" s="64" t="s">
        <v>31</v>
      </c>
      <c r="J155" s="23">
        <v>45</v>
      </c>
      <c r="K155" s="26">
        <f>IFERROR(
  SUMIFS(#REF!,#REF!, tbl_ProduitsRef[[#This Row],[Cde_Prdt]]),
0)</f>
        <v>0</v>
      </c>
      <c r="M155" s="91" t="s">
        <v>839</v>
      </c>
      <c r="N155" s="88" t="str">
        <f>Référentiels!D155&amp;TEXT(Référentiels!E155,"000")</f>
        <v>LEG016</v>
      </c>
      <c r="O155" s="88" t="s">
        <v>1249</v>
      </c>
      <c r="P155" s="23">
        <v>0.1</v>
      </c>
      <c r="Q155" s="88" t="s">
        <v>209</v>
      </c>
      <c r="R15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5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156" spans="1:19" ht="16.5" customHeight="1" x14ac:dyDescent="0.3">
      <c r="A15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6" s="111">
        <f>COUNTIF(A$2:$A156,A156)</f>
        <v>11</v>
      </c>
      <c r="D15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6" s="111">
        <f>COUNTIF($D$2:D156,D156)</f>
        <v>17</v>
      </c>
      <c r="G156" s="89" t="str">
        <f>Référentiels!A156&amp;TEXT(Référentiels!B156,"000")</f>
        <v>SNK011</v>
      </c>
      <c r="H156" s="64" t="s">
        <v>734</v>
      </c>
      <c r="I156" s="64" t="s">
        <v>31</v>
      </c>
      <c r="J156" s="23">
        <v>45</v>
      </c>
      <c r="K156" s="26">
        <f>IFERROR(
  SUMIFS(#REF!,#REF!, tbl_ProduitsRef[[#This Row],[Cde_Prdt]]),
0)</f>
        <v>0</v>
      </c>
      <c r="M156" s="91" t="s">
        <v>254</v>
      </c>
      <c r="N156" s="88" t="str">
        <f>Référentiels!D156&amp;TEXT(Référentiels!E156,"000")</f>
        <v>LEG017</v>
      </c>
      <c r="O156" s="88" t="s">
        <v>1249</v>
      </c>
      <c r="P156" s="23">
        <v>7.0000000000000007E-2</v>
      </c>
      <c r="Q156" s="88" t="s">
        <v>209</v>
      </c>
      <c r="R15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5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7.0000000000000007E-2</v>
      </c>
    </row>
    <row r="157" spans="1:19" ht="16.5" customHeight="1" x14ac:dyDescent="0.3">
      <c r="A15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7" s="111">
        <f>COUNTIF(A$2:$A157,A157)</f>
        <v>12</v>
      </c>
      <c r="D15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7" s="111">
        <f>COUNTIF($D$2:D157,D157)</f>
        <v>18</v>
      </c>
      <c r="G157" s="89" t="str">
        <f>Référentiels!A157&amp;TEXT(Référentiels!B157,"000")</f>
        <v>SNK012</v>
      </c>
      <c r="H157" s="64" t="s">
        <v>724</v>
      </c>
      <c r="I157" s="64" t="s">
        <v>31</v>
      </c>
      <c r="J157" s="23">
        <v>60</v>
      </c>
      <c r="K157" s="26">
        <f>IFERROR(
  SUMIFS(#REF!,#REF!, tbl_ProduitsRef[[#This Row],[Cde_Prdt]]),
0)</f>
        <v>0</v>
      </c>
      <c r="M157" s="91" t="s">
        <v>574</v>
      </c>
      <c r="N157" s="88" t="str">
        <f>Référentiels!D157&amp;TEXT(Référentiels!E157,"000")</f>
        <v>LEG018</v>
      </c>
      <c r="O157" s="88" t="s">
        <v>1249</v>
      </c>
      <c r="P157" s="23">
        <v>0.1</v>
      </c>
      <c r="Q157" s="88" t="s">
        <v>209</v>
      </c>
      <c r="R15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5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158" spans="1:19" ht="16.5" customHeight="1" x14ac:dyDescent="0.3">
      <c r="A15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8" s="111">
        <f>COUNTIF(A$2:$A158,A158)</f>
        <v>13</v>
      </c>
      <c r="D15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8" s="111">
        <f>COUNTIF($D$2:D158,D158)</f>
        <v>19</v>
      </c>
      <c r="G158" s="89" t="str">
        <f>Référentiels!A158&amp;TEXT(Référentiels!B158,"000")</f>
        <v>SNK013</v>
      </c>
      <c r="H158" s="64" t="s">
        <v>844</v>
      </c>
      <c r="I158" s="64" t="s">
        <v>31</v>
      </c>
      <c r="J158" s="23">
        <v>50</v>
      </c>
      <c r="K158" s="26">
        <f>IFERROR(
  SUMIFS(#REF!,#REF!, tbl_ProduitsRef[[#This Row],[Cde_Prdt]]),
0)</f>
        <v>0</v>
      </c>
      <c r="M158" s="91" t="s">
        <v>685</v>
      </c>
      <c r="N158" s="88" t="str">
        <f>Référentiels!D158&amp;TEXT(Référentiels!E158,"000")</f>
        <v>LEG019</v>
      </c>
      <c r="O158" s="88" t="s">
        <v>1249</v>
      </c>
      <c r="P158" s="23">
        <v>6.0000000000000001E-3</v>
      </c>
      <c r="Q158" s="88" t="s">
        <v>209</v>
      </c>
      <c r="R15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</v>
      </c>
      <c r="S15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6.0000000000000001E-3</v>
      </c>
    </row>
    <row r="159" spans="1:19" ht="16.5" customHeight="1" x14ac:dyDescent="0.3">
      <c r="A15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59" s="111">
        <f>COUNTIF(A$2:$A159,A159)</f>
        <v>14</v>
      </c>
      <c r="D15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59" s="111">
        <f>COUNTIF($D$2:D159,D159)</f>
        <v>20</v>
      </c>
      <c r="G159" s="89" t="str">
        <f>Référentiels!A159&amp;TEXT(Référentiels!B159,"000")</f>
        <v>SNK014</v>
      </c>
      <c r="H159" s="64" t="s">
        <v>850</v>
      </c>
      <c r="I159" s="64" t="s">
        <v>31</v>
      </c>
      <c r="J159" s="23">
        <v>45</v>
      </c>
      <c r="K159" s="26">
        <f>IFERROR(
  SUMIFS(#REF!,#REF!, tbl_ProduitsRef[[#This Row],[Cde_Prdt]]),
0)</f>
        <v>0</v>
      </c>
      <c r="M159" s="91" t="s">
        <v>402</v>
      </c>
      <c r="N159" s="88" t="str">
        <f>Référentiels!D159&amp;TEXT(Référentiels!E159,"000")</f>
        <v>LEG020</v>
      </c>
      <c r="O159" s="88" t="s">
        <v>1249</v>
      </c>
      <c r="P159" s="23">
        <v>0.01</v>
      </c>
      <c r="Q159" s="88" t="s">
        <v>209</v>
      </c>
      <c r="R15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</v>
      </c>
      <c r="S15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0.01</v>
      </c>
    </row>
    <row r="160" spans="1:19" ht="16.5" customHeight="1" x14ac:dyDescent="0.3">
      <c r="A16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0" s="111">
        <f>COUNTIF(A$2:$A160,A160)</f>
        <v>15</v>
      </c>
      <c r="D16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0" s="111">
        <f>COUNTIF($D$2:D160,D160)</f>
        <v>21</v>
      </c>
      <c r="G160" s="89" t="str">
        <f>Référentiels!A160&amp;TEXT(Référentiels!B160,"000")</f>
        <v>SNK015</v>
      </c>
      <c r="H160" s="64" t="s">
        <v>852</v>
      </c>
      <c r="I160" s="64" t="s">
        <v>31</v>
      </c>
      <c r="J160" s="23">
        <v>45</v>
      </c>
      <c r="K160" s="26">
        <f>IFERROR(
  SUMIFS(#REF!,#REF!, tbl_ProduitsRef[[#This Row],[Cde_Prdt]]),
0)</f>
        <v>0</v>
      </c>
      <c r="M160" s="91" t="s">
        <v>360</v>
      </c>
      <c r="N160" s="88" t="str">
        <f>Référentiels!D160&amp;TEXT(Référentiels!E160,"000")</f>
        <v>LEG021</v>
      </c>
      <c r="O160" s="88" t="s">
        <v>1249</v>
      </c>
      <c r="P160" s="23">
        <v>0.05</v>
      </c>
      <c r="Q160" s="88" t="s">
        <v>209</v>
      </c>
      <c r="R16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6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161" spans="1:19" ht="16.5" customHeight="1" x14ac:dyDescent="0.3">
      <c r="A16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1" s="111">
        <f>COUNTIF(A$2:$A161,A161)</f>
        <v>16</v>
      </c>
      <c r="D16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1" s="111">
        <f>COUNTIF($D$2:D161,D161)</f>
        <v>22</v>
      </c>
      <c r="G161" s="89" t="str">
        <f>Référentiels!A161&amp;TEXT(Référentiels!B161,"000")</f>
        <v>SNK016</v>
      </c>
      <c r="H161" s="64" t="s">
        <v>68</v>
      </c>
      <c r="I161" s="64" t="s">
        <v>31</v>
      </c>
      <c r="J161" s="23">
        <v>45</v>
      </c>
      <c r="K161" s="26">
        <f>IFERROR(
  SUMIFS(#REF!,#REF!, tbl_ProduitsRef[[#This Row],[Cde_Prdt]]),
0)</f>
        <v>0</v>
      </c>
      <c r="M161" s="91" t="s">
        <v>731</v>
      </c>
      <c r="N161" s="88" t="str">
        <f>Référentiels!D161&amp;TEXT(Référentiels!E161,"000")</f>
        <v>LEG022</v>
      </c>
      <c r="O161" s="88" t="s">
        <v>1249</v>
      </c>
      <c r="P161" s="23">
        <v>6</v>
      </c>
      <c r="Q161" s="88" t="s">
        <v>206</v>
      </c>
      <c r="R16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</v>
      </c>
      <c r="S16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6</v>
      </c>
    </row>
    <row r="162" spans="1:19" ht="16.5" customHeight="1" x14ac:dyDescent="0.3">
      <c r="A16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2" s="111">
        <f>COUNTIF(A$2:$A162,A162)</f>
        <v>17</v>
      </c>
      <c r="D16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2" s="111">
        <f>COUNTIF($D$2:D162,D162)</f>
        <v>23</v>
      </c>
      <c r="G162" s="89" t="str">
        <f>Référentiels!A162&amp;TEXT(Référentiels!B162,"000")</f>
        <v>SNK017</v>
      </c>
      <c r="H162" s="64" t="s">
        <v>61</v>
      </c>
      <c r="I162" s="64" t="s">
        <v>31</v>
      </c>
      <c r="J162" s="23">
        <v>45</v>
      </c>
      <c r="K162" s="26">
        <f>IFERROR(
  SUMIFS(#REF!,#REF!, tbl_ProduitsRef[[#This Row],[Cde_Prdt]]),
0)</f>
        <v>0</v>
      </c>
      <c r="M162" s="91" t="s">
        <v>386</v>
      </c>
      <c r="N162" s="88" t="str">
        <f>Référentiels!D162&amp;TEXT(Référentiels!E162,"000")</f>
        <v>LEG023</v>
      </c>
      <c r="O162" s="88" t="s">
        <v>1249</v>
      </c>
      <c r="P162" s="23">
        <v>8</v>
      </c>
      <c r="Q162" s="88" t="s">
        <v>206</v>
      </c>
      <c r="R16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6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8</v>
      </c>
    </row>
    <row r="163" spans="1:19" ht="16.5" customHeight="1" x14ac:dyDescent="0.3">
      <c r="A16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3" s="111">
        <f>COUNTIF(A$2:$A163,A163)</f>
        <v>18</v>
      </c>
      <c r="D16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3" s="111">
        <f>COUNTIF($D$2:D163,D163)</f>
        <v>24</v>
      </c>
      <c r="G163" s="89" t="str">
        <f>Référentiels!A163&amp;TEXT(Référentiels!B163,"000")</f>
        <v>SNK018</v>
      </c>
      <c r="H163" s="64" t="s">
        <v>854</v>
      </c>
      <c r="I163" s="64" t="s">
        <v>31</v>
      </c>
      <c r="J163" s="23">
        <v>50</v>
      </c>
      <c r="K163" s="26">
        <f>IFERROR(
  SUMIFS(#REF!,#REF!, tbl_ProduitsRef[[#This Row],[Cde_Prdt]]),
0)</f>
        <v>0</v>
      </c>
      <c r="M163" s="91" t="s">
        <v>364</v>
      </c>
      <c r="N163" s="88" t="str">
        <f>Référentiels!D163&amp;TEXT(Référentiels!E163,"000")</f>
        <v>LEG024</v>
      </c>
      <c r="O163" s="88" t="s">
        <v>1249</v>
      </c>
      <c r="P163" s="23">
        <v>0.1</v>
      </c>
      <c r="Q163" s="88" t="s">
        <v>209</v>
      </c>
      <c r="R16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6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164" spans="1:19" ht="16.5" customHeight="1" x14ac:dyDescent="0.3">
      <c r="A16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4" s="111">
        <f>COUNTIF(A$2:$A164,A164)</f>
        <v>19</v>
      </c>
      <c r="D16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4" s="111">
        <f>COUNTIF($D$2:D164,D164)</f>
        <v>25</v>
      </c>
      <c r="G164" s="89" t="str">
        <f>Référentiels!A164&amp;TEXT(Référentiels!B164,"000")</f>
        <v>SNK019</v>
      </c>
      <c r="H164" s="64" t="s">
        <v>856</v>
      </c>
      <c r="I164" s="64" t="s">
        <v>31</v>
      </c>
      <c r="J164" s="23">
        <v>45</v>
      </c>
      <c r="K164" s="26">
        <f>IFERROR(
  SUMIFS(#REF!,#REF!, tbl_ProduitsRef[[#This Row],[Cde_Prdt]]),
0)</f>
        <v>0</v>
      </c>
      <c r="M164" s="91" t="s">
        <v>498</v>
      </c>
      <c r="N164" s="88" t="str">
        <f>Référentiels!D164&amp;TEXT(Référentiels!E164,"000")</f>
        <v>LEG025</v>
      </c>
      <c r="O164" s="88" t="s">
        <v>1249</v>
      </c>
      <c r="P164" s="23">
        <v>0.03</v>
      </c>
      <c r="Q164" s="88" t="s">
        <v>209</v>
      </c>
      <c r="R16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6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0.03</v>
      </c>
    </row>
    <row r="165" spans="1:19" ht="16.5" customHeight="1" x14ac:dyDescent="0.3">
      <c r="A16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5" s="111">
        <f>COUNTIF(A$2:$A165,A165)</f>
        <v>20</v>
      </c>
      <c r="D16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5" s="111">
        <f>COUNTIF($D$2:D165,D165)</f>
        <v>26</v>
      </c>
      <c r="G165" s="89" t="str">
        <f>Référentiels!A165&amp;TEXT(Référentiels!B165,"000")</f>
        <v>SNK020</v>
      </c>
      <c r="H165" s="64" t="s">
        <v>1252</v>
      </c>
      <c r="I165" s="64" t="s">
        <v>31</v>
      </c>
      <c r="J165" s="23">
        <v>50</v>
      </c>
      <c r="K165" s="26">
        <f>IFERROR(
  SUMIFS(#REF!,#REF!, tbl_ProduitsRef[[#This Row],[Cde_Prdt]]),
0)</f>
        <v>0</v>
      </c>
      <c r="M165" s="91" t="s">
        <v>526</v>
      </c>
      <c r="N165" s="88" t="str">
        <f>Référentiels!D165&amp;TEXT(Référentiels!E165,"000")</f>
        <v>LEG026</v>
      </c>
      <c r="O165" s="88" t="s">
        <v>1249</v>
      </c>
      <c r="P165" s="23">
        <v>0.04</v>
      </c>
      <c r="Q165" s="88" t="s">
        <v>209</v>
      </c>
      <c r="R16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16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0.04</v>
      </c>
    </row>
    <row r="166" spans="1:19" ht="16.5" customHeight="1" x14ac:dyDescent="0.3">
      <c r="A16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6" s="111">
        <f>COUNTIF(A$2:$A166,A166)</f>
        <v>21</v>
      </c>
      <c r="D16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6" s="111">
        <f>COUNTIF($D$2:D166,D166)</f>
        <v>27</v>
      </c>
      <c r="G166" s="89" t="str">
        <f>Référentiels!A166&amp;TEXT(Référentiels!B166,"000")</f>
        <v>SNK021</v>
      </c>
      <c r="H166" s="64" t="s">
        <v>1253</v>
      </c>
      <c r="I166" s="64" t="s">
        <v>31</v>
      </c>
      <c r="J166" s="23">
        <v>35</v>
      </c>
      <c r="K166" s="26">
        <f>IFERROR(
  SUMIFS(#REF!,#REF!, tbl_ProduitsRef[[#This Row],[Cde_Prdt]]),
0)</f>
        <v>0</v>
      </c>
      <c r="M166" s="91" t="s">
        <v>521</v>
      </c>
      <c r="N166" s="88" t="str">
        <f>Référentiels!D166&amp;TEXT(Référentiels!E166,"000")</f>
        <v>LEG027</v>
      </c>
      <c r="O166" s="88" t="s">
        <v>1249</v>
      </c>
      <c r="P166" s="23">
        <v>7.0000000000000007E-2</v>
      </c>
      <c r="Q166" s="88" t="s">
        <v>209</v>
      </c>
      <c r="R16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6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7.0000000000000007E-2</v>
      </c>
    </row>
    <row r="167" spans="1:19" ht="16.5" customHeight="1" x14ac:dyDescent="0.3">
      <c r="A16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7" s="111">
        <f>COUNTIF(A$2:$A167,A167)</f>
        <v>22</v>
      </c>
      <c r="D16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7" s="111">
        <f>COUNTIF($D$2:D167,D167)</f>
        <v>28</v>
      </c>
      <c r="G167" s="89" t="str">
        <f>Référentiels!A167&amp;TEXT(Référentiels!B167,"000")</f>
        <v>SNK022</v>
      </c>
      <c r="H167" s="64" t="s">
        <v>1254</v>
      </c>
      <c r="I167" s="64" t="s">
        <v>31</v>
      </c>
      <c r="J167" s="23">
        <v>55</v>
      </c>
      <c r="K167" s="26">
        <f>IFERROR(
  SUMIFS(#REF!,#REF!, tbl_ProduitsRef[[#This Row],[Cde_Prdt]]),
0)</f>
        <v>0</v>
      </c>
      <c r="M167" s="91" t="s">
        <v>537</v>
      </c>
      <c r="N167" s="88" t="str">
        <f>Référentiels!D167&amp;TEXT(Référentiels!E167,"000")</f>
        <v>LEG028</v>
      </c>
      <c r="O167" s="88" t="s">
        <v>1249</v>
      </c>
      <c r="P167" s="23">
        <v>0.1</v>
      </c>
      <c r="Q167" s="88" t="s">
        <v>209</v>
      </c>
      <c r="R16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6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168" spans="1:19" ht="16.5" customHeight="1" x14ac:dyDescent="0.3">
      <c r="A16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SNK</v>
      </c>
      <c r="B168" s="111">
        <f>COUNTIF(A$2:$A168,A168)</f>
        <v>23</v>
      </c>
      <c r="D16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8" s="111">
        <f>COUNTIF($D$2:D168,D168)</f>
        <v>29</v>
      </c>
      <c r="G168" s="89" t="str">
        <f>Référentiels!A168&amp;TEXT(Référentiels!B168,"000")</f>
        <v>SNK023</v>
      </c>
      <c r="H168" s="64" t="s">
        <v>688</v>
      </c>
      <c r="I168" s="64" t="s">
        <v>31</v>
      </c>
      <c r="J168" s="23">
        <v>18</v>
      </c>
      <c r="K168" s="26">
        <f>IFERROR(
  SUMIFS(#REF!,#REF!, tbl_ProduitsRef[[#This Row],[Cde_Prdt]]),
0)</f>
        <v>0</v>
      </c>
      <c r="M168" s="91" t="s">
        <v>517</v>
      </c>
      <c r="N168" s="88" t="str">
        <f>Référentiels!D168&amp;TEXT(Référentiels!E168,"000")</f>
        <v>LEG029</v>
      </c>
      <c r="O168" s="88" t="s">
        <v>1249</v>
      </c>
      <c r="P168" s="23">
        <v>0.1</v>
      </c>
      <c r="Q168" s="88" t="s">
        <v>209</v>
      </c>
      <c r="R16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6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169" spans="1:19" ht="16.5" customHeight="1" x14ac:dyDescent="0.3">
      <c r="A16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69" s="111">
        <f>COUNTIF(A$2:$A169,A169)</f>
        <v>1</v>
      </c>
      <c r="D16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LEG</v>
      </c>
      <c r="E169" s="111">
        <f>COUNTIF($D$2:D169,D169)</f>
        <v>30</v>
      </c>
      <c r="G169" s="89" t="str">
        <f>Référentiels!A169&amp;TEXT(Référentiels!B169,"000")</f>
        <v>DES001</v>
      </c>
      <c r="H169" s="64" t="s">
        <v>947</v>
      </c>
      <c r="I169" s="64" t="s">
        <v>32</v>
      </c>
      <c r="J169" s="23">
        <v>49</v>
      </c>
      <c r="K169" s="26">
        <f>IFERROR(
  SUMIFS(#REF!,#REF!, tbl_ProduitsRef[[#This Row],[Cde_Prdt]]),
0)</f>
        <v>0</v>
      </c>
      <c r="M169" s="91" t="s">
        <v>743</v>
      </c>
      <c r="N169" s="88" t="str">
        <f>Référentiels!D169&amp;TEXT(Référentiels!E169,"000")</f>
        <v>LEG030</v>
      </c>
      <c r="O169" s="88" t="s">
        <v>1249</v>
      </c>
      <c r="P169" s="23">
        <v>0.1</v>
      </c>
      <c r="Q169" s="88" t="s">
        <v>209</v>
      </c>
      <c r="R16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6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170" spans="1:19" ht="16.5" customHeight="1" x14ac:dyDescent="0.3">
      <c r="A17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0" s="111">
        <f>COUNTIF(A$2:$A170,A170)</f>
        <v>2</v>
      </c>
      <c r="D17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0" s="111">
        <f>COUNTIF($D$2:D170,D170)</f>
        <v>1</v>
      </c>
      <c r="G170" s="89" t="str">
        <f>Référentiels!A170&amp;TEXT(Référentiels!B170,"000")</f>
        <v>DES002</v>
      </c>
      <c r="H170" s="64" t="s">
        <v>951</v>
      </c>
      <c r="I170" s="64" t="s">
        <v>32</v>
      </c>
      <c r="J170" s="23">
        <v>47</v>
      </c>
      <c r="K170" s="26">
        <f>IFERROR(
  SUMIFS(#REF!,#REF!, tbl_ProduitsRef[[#This Row],[Cde_Prdt]]),
0)</f>
        <v>0</v>
      </c>
      <c r="M170" s="91" t="s">
        <v>1255</v>
      </c>
      <c r="N170" s="88" t="str">
        <f>Référentiels!D170&amp;TEXT(Référentiels!E170,"000")</f>
        <v>PRP001</v>
      </c>
      <c r="O170" s="88" t="s">
        <v>1256</v>
      </c>
      <c r="P170" s="23">
        <v>8</v>
      </c>
      <c r="Q170" s="88" t="s">
        <v>206</v>
      </c>
      <c r="R17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8</v>
      </c>
    </row>
    <row r="171" spans="1:19" ht="16.5" customHeight="1" x14ac:dyDescent="0.3">
      <c r="A17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1" s="111">
        <f>COUNTIF(A$2:$A171,A171)</f>
        <v>3</v>
      </c>
      <c r="D17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1" s="111">
        <f>COUNTIF($D$2:D171,D171)</f>
        <v>2</v>
      </c>
      <c r="G171" s="89" t="str">
        <f>Référentiels!A171&amp;TEXT(Référentiels!B171,"000")</f>
        <v>DES003</v>
      </c>
      <c r="H171" s="64" t="s">
        <v>953</v>
      </c>
      <c r="I171" s="64" t="s">
        <v>32</v>
      </c>
      <c r="J171" s="23">
        <v>45</v>
      </c>
      <c r="K171" s="26">
        <f>IFERROR(
  SUMIFS(#REF!,#REF!, tbl_ProduitsRef[[#This Row],[Cde_Prdt]]),
0)</f>
        <v>0</v>
      </c>
      <c r="M171" s="91" t="s">
        <v>1257</v>
      </c>
      <c r="N171" s="88" t="str">
        <f>Référentiels!D171&amp;TEXT(Référentiels!E171,"000")</f>
        <v>PRP002</v>
      </c>
      <c r="O171" s="88" t="s">
        <v>1256</v>
      </c>
      <c r="P171" s="23">
        <v>8</v>
      </c>
      <c r="Q171" s="88" t="s">
        <v>206</v>
      </c>
      <c r="R17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8</v>
      </c>
    </row>
    <row r="172" spans="1:19" ht="16.5" customHeight="1" x14ac:dyDescent="0.3">
      <c r="A17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2" s="111">
        <f>COUNTIF(A$2:$A172,A172)</f>
        <v>4</v>
      </c>
      <c r="D17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2" s="111">
        <f>COUNTIF($D$2:D172,D172)</f>
        <v>3</v>
      </c>
      <c r="G172" s="89" t="str">
        <f>Référentiels!A172&amp;TEXT(Référentiels!B172,"000")</f>
        <v>DES004</v>
      </c>
      <c r="H172" s="64" t="s">
        <v>955</v>
      </c>
      <c r="I172" s="64" t="s">
        <v>32</v>
      </c>
      <c r="J172" s="23">
        <v>45</v>
      </c>
      <c r="K172" s="26">
        <f>IFERROR(
  SUMIFS(#REF!,#REF!, tbl_ProduitsRef[[#This Row],[Cde_Prdt]]),
0)</f>
        <v>0</v>
      </c>
      <c r="M172" s="91" t="s">
        <v>1258</v>
      </c>
      <c r="N172" s="88" t="str">
        <f>Référentiels!D172&amp;TEXT(Référentiels!E172,"000")</f>
        <v>PRP003</v>
      </c>
      <c r="O172" s="88" t="s">
        <v>1256</v>
      </c>
      <c r="P172" s="23">
        <v>8</v>
      </c>
      <c r="Q172" s="88" t="s">
        <v>206</v>
      </c>
      <c r="R17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8</v>
      </c>
    </row>
    <row r="173" spans="1:19" ht="16.5" customHeight="1" x14ac:dyDescent="0.3">
      <c r="A17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3" s="111">
        <f>COUNTIF(A$2:$A173,A173)</f>
        <v>5</v>
      </c>
      <c r="D17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3" s="111">
        <f>COUNTIF($D$2:D173,D173)</f>
        <v>4</v>
      </c>
      <c r="G173" s="89" t="str">
        <f>Référentiels!A173&amp;TEXT(Référentiels!B173,"000")</f>
        <v>DES005</v>
      </c>
      <c r="H173" s="64" t="s">
        <v>956</v>
      </c>
      <c r="I173" s="64" t="s">
        <v>32</v>
      </c>
      <c r="J173" s="23">
        <v>35</v>
      </c>
      <c r="K173" s="26">
        <f>IFERROR(
  SUMIFS(#REF!,#REF!, tbl_ProduitsRef[[#This Row],[Cde_Prdt]]),
0)</f>
        <v>0</v>
      </c>
      <c r="M173" s="91" t="s">
        <v>1259</v>
      </c>
      <c r="N173" s="88" t="str">
        <f>Référentiels!D173&amp;TEXT(Référentiels!E173,"000")</f>
        <v>PRP004</v>
      </c>
      <c r="O173" s="88" t="s">
        <v>1256</v>
      </c>
      <c r="P173" s="23">
        <v>8</v>
      </c>
      <c r="Q173" s="88" t="s">
        <v>206</v>
      </c>
      <c r="R17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8</v>
      </c>
    </row>
    <row r="174" spans="1:19" ht="16.5" customHeight="1" x14ac:dyDescent="0.3">
      <c r="A17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4" s="111">
        <f>COUNTIF(A$2:$A174,A174)</f>
        <v>6</v>
      </c>
      <c r="D17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4" s="111">
        <f>COUNTIF($D$2:D174,D174)</f>
        <v>5</v>
      </c>
      <c r="G174" s="89" t="str">
        <f>Référentiels!A174&amp;TEXT(Référentiels!B174,"000")</f>
        <v>DES006</v>
      </c>
      <c r="H174" s="64" t="s">
        <v>957</v>
      </c>
      <c r="I174" s="64" t="s">
        <v>32</v>
      </c>
      <c r="J174" s="23">
        <v>14</v>
      </c>
      <c r="K174" s="26">
        <f>IFERROR(
  SUMIFS(#REF!,#REF!, tbl_ProduitsRef[[#This Row],[Cde_Prdt]]),
0)</f>
        <v>0</v>
      </c>
      <c r="M174" s="91" t="s">
        <v>1260</v>
      </c>
      <c r="N174" s="88" t="str">
        <f>Référentiels!D174&amp;TEXT(Référentiels!E174,"000")</f>
        <v>PRP005</v>
      </c>
      <c r="O174" s="88" t="s">
        <v>1256</v>
      </c>
      <c r="P174" s="23">
        <v>8</v>
      </c>
      <c r="Q174" s="88" t="s">
        <v>206</v>
      </c>
      <c r="R17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17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8</v>
      </c>
    </row>
    <row r="175" spans="1:19" ht="16.5" customHeight="1" x14ac:dyDescent="0.3">
      <c r="A17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5" s="111">
        <f>COUNTIF(A$2:$A175,A175)</f>
        <v>7</v>
      </c>
      <c r="D17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PRP</v>
      </c>
      <c r="E175" s="111">
        <f>COUNTIF($D$2:D175,D175)</f>
        <v>6</v>
      </c>
      <c r="G175" s="89" t="str">
        <f>Référentiels!A175&amp;TEXT(Référentiels!B175,"000")</f>
        <v>DES007</v>
      </c>
      <c r="H175" s="64" t="s">
        <v>958</v>
      </c>
      <c r="I175" s="64" t="s">
        <v>32</v>
      </c>
      <c r="J175" s="23">
        <v>35</v>
      </c>
      <c r="K175" s="26">
        <f>IFERROR(
  SUMIFS(#REF!,#REF!, tbl_ProduitsRef[[#This Row],[Cde_Prdt]]),
0)</f>
        <v>0</v>
      </c>
      <c r="M175" s="91" t="s">
        <v>922</v>
      </c>
      <c r="N175" s="88" t="str">
        <f>Référentiels!D175&amp;TEXT(Référentiels!E175,"000")</f>
        <v>PRP006</v>
      </c>
      <c r="O175" s="88" t="s">
        <v>1256</v>
      </c>
      <c r="P175" s="23">
        <v>0.05</v>
      </c>
      <c r="Q175" s="88" t="s">
        <v>209</v>
      </c>
      <c r="R17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17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176" spans="1:19" ht="16.5" customHeight="1" x14ac:dyDescent="0.3">
      <c r="A17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6" s="111">
        <f>COUNTIF(A$2:$A176,A176)</f>
        <v>8</v>
      </c>
      <c r="D17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76" s="111">
        <f>COUNTIF($D$2:D176,D176)</f>
        <v>1</v>
      </c>
      <c r="G176" s="89" t="str">
        <f>Référentiels!A176&amp;TEXT(Référentiels!B176,"000")</f>
        <v>DES008</v>
      </c>
      <c r="H176" s="64" t="s">
        <v>963</v>
      </c>
      <c r="I176" s="64" t="s">
        <v>32</v>
      </c>
      <c r="J176" s="23">
        <v>35</v>
      </c>
      <c r="K176" s="26">
        <f>IFERROR(
  SUMIFS(#REF!,#REF!, tbl_ProduitsRef[[#This Row],[Cde_Prdt]]),
0)</f>
        <v>0</v>
      </c>
      <c r="M176" s="91" t="s">
        <v>871</v>
      </c>
      <c r="N176" s="88" t="str">
        <f>Référentiels!D176&amp;TEXT(Référentiels!E176,"000")</f>
        <v>CDM001</v>
      </c>
      <c r="O176" s="88" t="s">
        <v>1261</v>
      </c>
      <c r="P176" s="23">
        <v>0.4</v>
      </c>
      <c r="Q176" s="88" t="s">
        <v>209</v>
      </c>
      <c r="R17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400</v>
      </c>
      <c r="S17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0.4</v>
      </c>
    </row>
    <row r="177" spans="1:19" ht="16.5" customHeight="1" x14ac:dyDescent="0.3">
      <c r="A17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7" s="111">
        <f>COUNTIF(A$2:$A177,A177)</f>
        <v>9</v>
      </c>
      <c r="D17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77" s="111">
        <f>COUNTIF($D$2:D177,D177)</f>
        <v>2</v>
      </c>
      <c r="G177" s="89" t="str">
        <f>Référentiels!A177&amp;TEXT(Référentiels!B177,"000")</f>
        <v>DES009</v>
      </c>
      <c r="H177" s="64" t="s">
        <v>965</v>
      </c>
      <c r="I177" s="64" t="s">
        <v>32</v>
      </c>
      <c r="J177" s="23">
        <v>35</v>
      </c>
      <c r="K177" s="26">
        <f>IFERROR(
  SUMIFS(#REF!,#REF!, tbl_ProduitsRef[[#This Row],[Cde_Prdt]]),
0)</f>
        <v>0</v>
      </c>
      <c r="M177" s="91" t="s">
        <v>779</v>
      </c>
      <c r="N177" s="88" t="str">
        <f>Référentiels!D177&amp;TEXT(Référentiels!E177,"000")</f>
        <v>CDM002</v>
      </c>
      <c r="O177" s="88" t="s">
        <v>1261</v>
      </c>
      <c r="P177" s="23">
        <v>0.08</v>
      </c>
      <c r="Q177" s="88" t="s">
        <v>209</v>
      </c>
      <c r="R17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80</v>
      </c>
      <c r="S17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0.08</v>
      </c>
    </row>
    <row r="178" spans="1:19" ht="16.5" customHeight="1" x14ac:dyDescent="0.3">
      <c r="A17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8" s="111">
        <f>COUNTIF(A$2:$A178,A178)</f>
        <v>10</v>
      </c>
      <c r="D17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78" s="111">
        <f>COUNTIF($D$2:D178,D178)</f>
        <v>3</v>
      </c>
      <c r="G178" s="89" t="str">
        <f>Référentiels!A178&amp;TEXT(Référentiels!B178,"000")</f>
        <v>DES010</v>
      </c>
      <c r="H178" s="64" t="s">
        <v>969</v>
      </c>
      <c r="I178" s="64" t="s">
        <v>32</v>
      </c>
      <c r="J178" s="23">
        <v>45</v>
      </c>
      <c r="K178" s="26">
        <f>IFERROR(
  SUMIFS(#REF!,#REF!, tbl_ProduitsRef[[#This Row],[Cde_Prdt]]),
0)</f>
        <v>0</v>
      </c>
      <c r="M178" s="91" t="s">
        <v>777</v>
      </c>
      <c r="N178" s="88" t="str">
        <f>Référentiels!D178&amp;TEXT(Référentiels!E178,"000")</f>
        <v>CDM003</v>
      </c>
      <c r="O178" s="88" t="s">
        <v>1261</v>
      </c>
      <c r="P178" s="23">
        <v>0.03</v>
      </c>
      <c r="Q178" s="88" t="s">
        <v>209</v>
      </c>
      <c r="R17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7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0.03</v>
      </c>
    </row>
    <row r="179" spans="1:19" ht="16.5" customHeight="1" x14ac:dyDescent="0.3">
      <c r="A17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79" s="111">
        <f>COUNTIF(A$2:$A179,A179)</f>
        <v>11</v>
      </c>
      <c r="D17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79" s="111">
        <f>COUNTIF($D$2:D179,D179)</f>
        <v>4</v>
      </c>
      <c r="G179" s="89" t="str">
        <f>Référentiels!A179&amp;TEXT(Référentiels!B179,"000")</f>
        <v>DES011</v>
      </c>
      <c r="H179" s="64" t="s">
        <v>894</v>
      </c>
      <c r="I179" s="64" t="s">
        <v>32</v>
      </c>
      <c r="J179" s="23">
        <v>35</v>
      </c>
      <c r="K179" s="26">
        <f>IFERROR(
  SUMIFS(#REF!,#REF!, tbl_ProduitsRef[[#This Row],[Cde_Prdt]]),
0)</f>
        <v>0</v>
      </c>
      <c r="M179" s="91" t="s">
        <v>312</v>
      </c>
      <c r="N179" s="88" t="str">
        <f>Référentiels!D179&amp;TEXT(Référentiels!E179,"000")</f>
        <v>CDM004</v>
      </c>
      <c r="O179" s="88" t="s">
        <v>1261</v>
      </c>
      <c r="P179" s="23">
        <v>20</v>
      </c>
      <c r="Q179" s="88" t="s">
        <v>206</v>
      </c>
      <c r="R17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17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20</v>
      </c>
    </row>
    <row r="180" spans="1:19" ht="16.5" customHeight="1" x14ac:dyDescent="0.3">
      <c r="A18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0" s="111">
        <f>COUNTIF(A$2:$A180,A180)</f>
        <v>12</v>
      </c>
      <c r="D18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0" s="111">
        <f>COUNTIF($D$2:D180,D180)</f>
        <v>5</v>
      </c>
      <c r="G180" s="89" t="str">
        <f>Référentiels!A180&amp;TEXT(Référentiels!B180,"000")</f>
        <v>DES012</v>
      </c>
      <c r="H180" s="64" t="s">
        <v>901</v>
      </c>
      <c r="I180" s="64" t="s">
        <v>32</v>
      </c>
      <c r="J180" s="23">
        <v>18</v>
      </c>
      <c r="K180" s="26">
        <f>IFERROR(
  SUMIFS(#REF!,#REF!, tbl_ProduitsRef[[#This Row],[Cde_Prdt]]),
0)</f>
        <v>0</v>
      </c>
      <c r="M180" s="91" t="s">
        <v>578</v>
      </c>
      <c r="N180" s="88" t="str">
        <f>Référentiels!D180&amp;TEXT(Référentiels!E180,"000")</f>
        <v>CDM005</v>
      </c>
      <c r="O180" s="88" t="s">
        <v>1261</v>
      </c>
      <c r="P180" s="23">
        <v>0.15</v>
      </c>
      <c r="Q180" s="88" t="s">
        <v>209</v>
      </c>
      <c r="R18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8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181" spans="1:19" ht="16.5" customHeight="1" x14ac:dyDescent="0.3">
      <c r="A18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1" s="111">
        <f>COUNTIF(A$2:$A181,A181)</f>
        <v>13</v>
      </c>
      <c r="D18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1" s="111">
        <f>COUNTIF($D$2:D181,D181)</f>
        <v>6</v>
      </c>
      <c r="G181" s="89" t="str">
        <f>Référentiels!A181&amp;TEXT(Référentiels!B181,"000")</f>
        <v>DES013</v>
      </c>
      <c r="H181" s="64" t="s">
        <v>898</v>
      </c>
      <c r="I181" s="64" t="s">
        <v>32</v>
      </c>
      <c r="J181" s="23">
        <v>18</v>
      </c>
      <c r="K181" s="26">
        <f>IFERROR(
  SUMIFS(#REF!,#REF!, tbl_ProduitsRef[[#This Row],[Cde_Prdt]]),
0)</f>
        <v>0</v>
      </c>
      <c r="M181" s="91" t="s">
        <v>624</v>
      </c>
      <c r="N181" s="88" t="str">
        <f>Référentiels!D181&amp;TEXT(Référentiels!E181,"000")</f>
        <v>CDM006</v>
      </c>
      <c r="O181" s="88" t="s">
        <v>1261</v>
      </c>
      <c r="P181" s="23">
        <v>2</v>
      </c>
      <c r="Q181" s="88" t="s">
        <v>206</v>
      </c>
      <c r="R18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18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2</v>
      </c>
    </row>
    <row r="182" spans="1:19" ht="16.5" customHeight="1" x14ac:dyDescent="0.3">
      <c r="A18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2" s="111">
        <f>COUNTIF(A$2:$A182,A182)</f>
        <v>14</v>
      </c>
      <c r="D18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2" s="111">
        <f>COUNTIF($D$2:D182,D182)</f>
        <v>7</v>
      </c>
      <c r="G182" s="89" t="str">
        <f>Référentiels!A182&amp;TEXT(Référentiels!B182,"000")</f>
        <v>DES014</v>
      </c>
      <c r="H182" s="64" t="s">
        <v>904</v>
      </c>
      <c r="I182" s="64" t="s">
        <v>32</v>
      </c>
      <c r="J182" s="23">
        <v>18</v>
      </c>
      <c r="K182" s="26">
        <f>IFERROR(
  SUMIFS(#REF!,#REF!, tbl_ProduitsRef[[#This Row],[Cde_Prdt]]),
0)</f>
        <v>0</v>
      </c>
      <c r="M182" s="91" t="s">
        <v>507</v>
      </c>
      <c r="N182" s="88" t="str">
        <f>Référentiels!D182&amp;TEXT(Référentiels!E182,"000")</f>
        <v>CDM007</v>
      </c>
      <c r="O182" s="88" t="s">
        <v>1261</v>
      </c>
      <c r="P182" s="23">
        <v>0.03</v>
      </c>
      <c r="Q182" s="88" t="s">
        <v>209</v>
      </c>
      <c r="R18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8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0.03</v>
      </c>
    </row>
    <row r="183" spans="1:19" ht="16.5" customHeight="1" x14ac:dyDescent="0.3">
      <c r="A18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3" s="111">
        <f>COUNTIF(A$2:$A183,A183)</f>
        <v>15</v>
      </c>
      <c r="D18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3" s="111">
        <f>COUNTIF($D$2:D183,D183)</f>
        <v>8</v>
      </c>
      <c r="G183" s="89" t="str">
        <f>Référentiels!A183&amp;TEXT(Référentiels!B183,"000")</f>
        <v>DES015</v>
      </c>
      <c r="H183" s="64" t="s">
        <v>908</v>
      </c>
      <c r="I183" s="64" t="s">
        <v>32</v>
      </c>
      <c r="J183" s="23">
        <v>18</v>
      </c>
      <c r="K183" s="26">
        <f>IFERROR(
  SUMIFS(#REF!,#REF!, tbl_ProduitsRef[[#This Row],[Cde_Prdt]]),
0)</f>
        <v>0</v>
      </c>
      <c r="M183" s="91" t="s">
        <v>665</v>
      </c>
      <c r="N183" s="88" t="str">
        <f>Référentiels!D183&amp;TEXT(Référentiels!E183,"000")</f>
        <v>CDM008</v>
      </c>
      <c r="O183" s="88" t="s">
        <v>1261</v>
      </c>
      <c r="P183" s="23">
        <v>0.03</v>
      </c>
      <c r="Q183" s="88" t="s">
        <v>209</v>
      </c>
      <c r="R18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18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0.03</v>
      </c>
    </row>
    <row r="184" spans="1:19" ht="16.5" customHeight="1" x14ac:dyDescent="0.3">
      <c r="A18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DES</v>
      </c>
      <c r="B184" s="111">
        <f>COUNTIF(A$2:$A184,A184)</f>
        <v>16</v>
      </c>
      <c r="D18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4" s="111">
        <f>COUNTIF($D$2:D184,D184)</f>
        <v>9</v>
      </c>
      <c r="G184" s="89" t="str">
        <f>Référentiels!A184&amp;TEXT(Référentiels!B184,"000")</f>
        <v>DES016</v>
      </c>
      <c r="H184" s="64" t="s">
        <v>911</v>
      </c>
      <c r="I184" s="64" t="s">
        <v>32</v>
      </c>
      <c r="J184" s="23">
        <v>14</v>
      </c>
      <c r="K184" s="26">
        <f>IFERROR(
  SUMIFS(#REF!,#REF!, tbl_ProduitsRef[[#This Row],[Cde_Prdt]]),
0)</f>
        <v>0</v>
      </c>
      <c r="M184" s="91" t="s">
        <v>608</v>
      </c>
      <c r="N184" s="88" t="str">
        <f>Référentiels!D184&amp;TEXT(Référentiels!E184,"000")</f>
        <v>CDM009</v>
      </c>
      <c r="O184" s="88" t="s">
        <v>1261</v>
      </c>
      <c r="P184" s="23">
        <v>7.0000000000000007E-2</v>
      </c>
      <c r="Q184" s="88" t="s">
        <v>209</v>
      </c>
      <c r="R18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8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7.0000000000000007E-2</v>
      </c>
    </row>
    <row r="185" spans="1:19" ht="16.5" customHeight="1" x14ac:dyDescent="0.3">
      <c r="A18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5" s="111">
        <f>COUNTIF(A$2:$A185,A185)</f>
        <v>1</v>
      </c>
      <c r="D18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5" s="111">
        <f>COUNTIF($D$2:D185,D185)</f>
        <v>10</v>
      </c>
      <c r="G185" s="89" t="str">
        <f>Référentiels!A185&amp;TEXT(Référentiels!B185,"000")</f>
        <v>CRP001</v>
      </c>
      <c r="H185" s="64" t="s">
        <v>860</v>
      </c>
      <c r="I185" s="64" t="s">
        <v>33</v>
      </c>
      <c r="J185" s="23">
        <v>45</v>
      </c>
      <c r="K185" s="26">
        <f>IFERROR(
  SUMIFS(#REF!,#REF!, tbl_ProduitsRef[[#This Row],[Cde_Prdt]]),
0)</f>
        <v>0</v>
      </c>
      <c r="M185" s="91" t="s">
        <v>849</v>
      </c>
      <c r="N185" s="88" t="str">
        <f>Référentiels!D185&amp;TEXT(Référentiels!E185,"000")</f>
        <v>CDM010</v>
      </c>
      <c r="O185" s="88" t="s">
        <v>1261</v>
      </c>
      <c r="P185" s="23">
        <v>7.0000000000000007E-2</v>
      </c>
      <c r="Q185" s="88" t="s">
        <v>209</v>
      </c>
      <c r="R18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70</v>
      </c>
      <c r="S18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7.0000000000000007E-2</v>
      </c>
    </row>
    <row r="186" spans="1:19" ht="16.5" customHeight="1" x14ac:dyDescent="0.3">
      <c r="A18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6" s="111">
        <f>COUNTIF(A$2:$A186,A186)</f>
        <v>2</v>
      </c>
      <c r="D18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6" s="111">
        <f>COUNTIF($D$2:D186,D186)</f>
        <v>11</v>
      </c>
      <c r="G186" s="89" t="str">
        <f>Référentiels!A186&amp;TEXT(Référentiels!B186,"000")</f>
        <v>CRP002</v>
      </c>
      <c r="H186" s="64" t="s">
        <v>872</v>
      </c>
      <c r="I186" s="64" t="s">
        <v>33</v>
      </c>
      <c r="J186" s="23">
        <v>40</v>
      </c>
      <c r="K186" s="26">
        <f>IFERROR(
  SUMIFS(#REF!,#REF!, tbl_ProduitsRef[[#This Row],[Cde_Prdt]]),
0)</f>
        <v>0</v>
      </c>
      <c r="M186" s="91" t="s">
        <v>626</v>
      </c>
      <c r="N186" s="88" t="str">
        <f>Référentiels!D186&amp;TEXT(Référentiels!E186,"000")</f>
        <v>CDM011</v>
      </c>
      <c r="O186" s="88" t="s">
        <v>1261</v>
      </c>
      <c r="P186" s="23">
        <v>0.1</v>
      </c>
      <c r="Q186" s="88" t="s">
        <v>209</v>
      </c>
      <c r="R18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8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187" spans="1:19" ht="16.5" customHeight="1" x14ac:dyDescent="0.3">
      <c r="A18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7" s="111">
        <f>COUNTIF(A$2:$A187,A187)</f>
        <v>3</v>
      </c>
      <c r="D18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7" s="111">
        <f>COUNTIF($D$2:D187,D187)</f>
        <v>12</v>
      </c>
      <c r="G187" s="89" t="str">
        <f>Référentiels!A187&amp;TEXT(Référentiels!B187,"000")</f>
        <v>CRP003</v>
      </c>
      <c r="H187" s="64" t="s">
        <v>878</v>
      </c>
      <c r="I187" s="64" t="s">
        <v>33</v>
      </c>
      <c r="J187" s="23">
        <v>35</v>
      </c>
      <c r="K187" s="26">
        <f>IFERROR(
  SUMIFS(#REF!,#REF!, tbl_ProduitsRef[[#This Row],[Cde_Prdt]]),
0)</f>
        <v>0</v>
      </c>
      <c r="M187" s="91" t="s">
        <v>813</v>
      </c>
      <c r="N187" s="88" t="str">
        <f>Référentiels!D187&amp;TEXT(Référentiels!E187,"000")</f>
        <v>CDM012</v>
      </c>
      <c r="O187" s="88" t="s">
        <v>1261</v>
      </c>
      <c r="P187" s="23">
        <v>0.06</v>
      </c>
      <c r="Q187" s="88" t="s">
        <v>209</v>
      </c>
      <c r="R18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18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0.06</v>
      </c>
    </row>
    <row r="188" spans="1:19" ht="16.5" customHeight="1" x14ac:dyDescent="0.3">
      <c r="A18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8" s="111">
        <f>COUNTIF(A$2:$A188,A188)</f>
        <v>4</v>
      </c>
      <c r="D18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8" s="111">
        <f>COUNTIF($D$2:D188,D188)</f>
        <v>13</v>
      </c>
      <c r="G188" s="89" t="str">
        <f>Référentiels!A188&amp;TEXT(Référentiels!B188,"000")</f>
        <v>CRP004</v>
      </c>
      <c r="H188" s="64" t="s">
        <v>882</v>
      </c>
      <c r="I188" s="64" t="s">
        <v>33</v>
      </c>
      <c r="J188" s="23">
        <v>35</v>
      </c>
      <c r="K188" s="26">
        <f>IFERROR(
  SUMIFS(#REF!,#REF!, tbl_ProduitsRef[[#This Row],[Cde_Prdt]]),
0)</f>
        <v>0</v>
      </c>
      <c r="M188" s="91" t="s">
        <v>1262</v>
      </c>
      <c r="N188" s="88" t="str">
        <f>Référentiels!D188&amp;TEXT(Référentiels!E188,"000")</f>
        <v>CDM013</v>
      </c>
      <c r="O188" s="88" t="s">
        <v>1261</v>
      </c>
      <c r="P188" s="23">
        <v>1</v>
      </c>
      <c r="Q188" s="88" t="s">
        <v>206</v>
      </c>
      <c r="R18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</v>
      </c>
      <c r="S18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</v>
      </c>
    </row>
    <row r="189" spans="1:19" ht="16.5" customHeight="1" x14ac:dyDescent="0.3">
      <c r="A18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89" s="111">
        <f>COUNTIF(A$2:$A189,A189)</f>
        <v>5</v>
      </c>
      <c r="D18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89" s="111">
        <f>COUNTIF($D$2:D189,D189)</f>
        <v>14</v>
      </c>
      <c r="G189" s="89" t="str">
        <f>Référentiels!A189&amp;TEXT(Référentiels!B189,"000")</f>
        <v>CRP005</v>
      </c>
      <c r="H189" s="64" t="s">
        <v>884</v>
      </c>
      <c r="I189" s="64" t="s">
        <v>33</v>
      </c>
      <c r="J189" s="23">
        <v>35</v>
      </c>
      <c r="K189" s="26">
        <f>IFERROR(
  SUMIFS(#REF!,#REF!, tbl_ProduitsRef[[#This Row],[Cde_Prdt]]),
0)</f>
        <v>0</v>
      </c>
      <c r="M189" s="91" t="s">
        <v>1263</v>
      </c>
      <c r="N189" s="88" t="str">
        <f>Référentiels!D189&amp;TEXT(Référentiels!E189,"000")</f>
        <v>CDM014</v>
      </c>
      <c r="O189" s="88" t="s">
        <v>1261</v>
      </c>
      <c r="P189" s="23">
        <v>1</v>
      </c>
      <c r="Q189" s="88" t="s">
        <v>206</v>
      </c>
      <c r="R18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</v>
      </c>
      <c r="S18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</v>
      </c>
    </row>
    <row r="190" spans="1:19" ht="16.5" customHeight="1" x14ac:dyDescent="0.3">
      <c r="A19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0" s="111">
        <f>COUNTIF(A$2:$A190,A190)</f>
        <v>6</v>
      </c>
      <c r="D19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0" s="111">
        <f>COUNTIF($D$2:D190,D190)</f>
        <v>15</v>
      </c>
      <c r="G190" s="89" t="str">
        <f>Référentiels!A190&amp;TEXT(Référentiels!B190,"000")</f>
        <v>CRP006</v>
      </c>
      <c r="H190" s="64" t="s">
        <v>886</v>
      </c>
      <c r="I190" s="64" t="s">
        <v>33</v>
      </c>
      <c r="J190" s="23">
        <v>35</v>
      </c>
      <c r="K190" s="26">
        <f>IFERROR(
  SUMIFS(#REF!,#REF!, tbl_ProduitsRef[[#This Row],[Cde_Prdt]]),
0)</f>
        <v>0</v>
      </c>
      <c r="M190" s="91" t="s">
        <v>1264</v>
      </c>
      <c r="N190" s="88" t="str">
        <f>Référentiels!D190&amp;TEXT(Référentiels!E190,"000")</f>
        <v>CDM015</v>
      </c>
      <c r="O190" s="88" t="s">
        <v>1261</v>
      </c>
      <c r="P190" s="23">
        <v>0.15</v>
      </c>
      <c r="Q190" s="88" t="s">
        <v>209</v>
      </c>
      <c r="R19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9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191" spans="1:19" ht="16.5" customHeight="1" x14ac:dyDescent="0.3">
      <c r="A19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1" s="111">
        <f>COUNTIF(A$2:$A191,A191)</f>
        <v>7</v>
      </c>
      <c r="D19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1" s="111">
        <f>COUNTIF($D$2:D191,D191)</f>
        <v>16</v>
      </c>
      <c r="G191" s="89" t="str">
        <f>Référentiels!A191&amp;TEXT(Référentiels!B191,"000")</f>
        <v>CRP007</v>
      </c>
      <c r="H191" s="64" t="s">
        <v>888</v>
      </c>
      <c r="I191" s="64" t="s">
        <v>33</v>
      </c>
      <c r="J191" s="23">
        <v>30</v>
      </c>
      <c r="K191" s="26">
        <f>IFERROR(
  SUMIFS(#REF!,#REF!, tbl_ProduitsRef[[#This Row],[Cde_Prdt]]),
0)</f>
        <v>0</v>
      </c>
      <c r="M191" s="91" t="s">
        <v>1024</v>
      </c>
      <c r="N191" s="88" t="str">
        <f>Référentiels!D191&amp;TEXT(Référentiels!E191,"000")</f>
        <v>CDM016</v>
      </c>
      <c r="O191" s="88" t="s">
        <v>1261</v>
      </c>
      <c r="P191" s="23">
        <v>0.31</v>
      </c>
      <c r="Q191" s="88" t="s">
        <v>209</v>
      </c>
      <c r="R19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310</v>
      </c>
      <c r="S19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0.31</v>
      </c>
    </row>
    <row r="192" spans="1:19" ht="16.5" customHeight="1" x14ac:dyDescent="0.3">
      <c r="A19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2" s="111">
        <f>COUNTIF(A$2:$A192,A192)</f>
        <v>8</v>
      </c>
      <c r="D19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2" s="111">
        <f>COUNTIF($D$2:D192,D192)</f>
        <v>17</v>
      </c>
      <c r="G192" s="89" t="str">
        <f>Référentiels!A192&amp;TEXT(Référentiels!B192,"000")</f>
        <v>CRP008</v>
      </c>
      <c r="H192" s="64" t="s">
        <v>914</v>
      </c>
      <c r="I192" s="64" t="s">
        <v>33</v>
      </c>
      <c r="J192" s="23">
        <v>45</v>
      </c>
      <c r="K192" s="26">
        <f>IFERROR(
  SUMIFS(#REF!,#REF!, tbl_ProduitsRef[[#This Row],[Cde_Prdt]]),
0)</f>
        <v>0</v>
      </c>
      <c r="M192" s="91" t="s">
        <v>1265</v>
      </c>
      <c r="N192" s="88" t="str">
        <f>Référentiels!D192&amp;TEXT(Référentiels!E192,"000")</f>
        <v>CDM017</v>
      </c>
      <c r="O192" s="88" t="s">
        <v>1261</v>
      </c>
      <c r="P192" s="23">
        <v>0.5</v>
      </c>
      <c r="Q192" s="88" t="s">
        <v>206</v>
      </c>
      <c r="R19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0.5</v>
      </c>
      <c r="S19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0.5</v>
      </c>
    </row>
    <row r="193" spans="1:19" ht="16.5" customHeight="1" x14ac:dyDescent="0.3">
      <c r="A19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3" s="111">
        <f>COUNTIF(A$2:$A193,A193)</f>
        <v>9</v>
      </c>
      <c r="D19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3" s="111">
        <f>COUNTIF($D$2:D193,D193)</f>
        <v>18</v>
      </c>
      <c r="G193" s="89" t="str">
        <f>Référentiels!A193&amp;TEXT(Référentiels!B193,"000")</f>
        <v>CRP009</v>
      </c>
      <c r="H193" s="64" t="s">
        <v>931</v>
      </c>
      <c r="I193" s="64" t="s">
        <v>33</v>
      </c>
      <c r="J193" s="23">
        <v>45</v>
      </c>
      <c r="K193" s="26">
        <f>IFERROR(
  SUMIFS(#REF!,#REF!, tbl_ProduitsRef[[#This Row],[Cde_Prdt]]),
0)</f>
        <v>0</v>
      </c>
      <c r="M193" s="91" t="s">
        <v>382</v>
      </c>
      <c r="N193" s="88" t="str">
        <f>Référentiels!D193&amp;TEXT(Référentiels!E193,"000")</f>
        <v>CDM018</v>
      </c>
      <c r="O193" s="88" t="s">
        <v>1261</v>
      </c>
      <c r="P193" s="23">
        <v>0.1</v>
      </c>
      <c r="Q193" s="88" t="s">
        <v>209</v>
      </c>
      <c r="R19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9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194" spans="1:19" ht="16.5" customHeight="1" x14ac:dyDescent="0.3">
      <c r="A19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4" s="111">
        <f>COUNTIF(A$2:$A194,A194)</f>
        <v>10</v>
      </c>
      <c r="D19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4" s="111">
        <f>COUNTIF($D$2:D194,D194)</f>
        <v>19</v>
      </c>
      <c r="G194" s="89" t="str">
        <f>Référentiels!A194&amp;TEXT(Référentiels!B194,"000")</f>
        <v>CRP010</v>
      </c>
      <c r="H194" s="64" t="s">
        <v>935</v>
      </c>
      <c r="I194" s="64" t="s">
        <v>33</v>
      </c>
      <c r="J194" s="23">
        <v>40</v>
      </c>
      <c r="K194" s="26">
        <f>IFERROR(
  SUMIFS(#REF!,#REF!, tbl_ProduitsRef[[#This Row],[Cde_Prdt]]),
0)</f>
        <v>0</v>
      </c>
      <c r="M194" s="91" t="s">
        <v>1266</v>
      </c>
      <c r="N194" s="88" t="str">
        <f>Référentiels!D194&amp;TEXT(Référentiels!E194,"000")</f>
        <v>CDM019</v>
      </c>
      <c r="O194" s="88" t="s">
        <v>1261</v>
      </c>
      <c r="P194" s="23">
        <v>0.06</v>
      </c>
      <c r="Q194" s="88" t="s">
        <v>209</v>
      </c>
      <c r="R19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19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0.06</v>
      </c>
    </row>
    <row r="195" spans="1:19" ht="16.5" customHeight="1" x14ac:dyDescent="0.3">
      <c r="A19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5" s="111">
        <f>COUNTIF(A$2:$A195,A195)</f>
        <v>11</v>
      </c>
      <c r="D19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5" s="111">
        <f>COUNTIF($D$2:D195,D195)</f>
        <v>20</v>
      </c>
      <c r="G195" s="89" t="str">
        <f>Référentiels!A195&amp;TEXT(Référentiels!B195,"000")</f>
        <v>CRP011</v>
      </c>
      <c r="H195" s="64" t="s">
        <v>937</v>
      </c>
      <c r="I195" s="64" t="s">
        <v>33</v>
      </c>
      <c r="J195" s="23">
        <v>35</v>
      </c>
      <c r="K195" s="26">
        <f>IFERROR(
  SUMIFS(#REF!,#REF!, tbl_ProduitsRef[[#This Row],[Cde_Prdt]]),
0)</f>
        <v>0</v>
      </c>
      <c r="M195" s="91" t="s">
        <v>298</v>
      </c>
      <c r="N195" s="88" t="str">
        <f>Référentiels!D195&amp;TEXT(Référentiels!E195,"000")</f>
        <v>CDM020</v>
      </c>
      <c r="O195" s="88" t="s">
        <v>1261</v>
      </c>
      <c r="P195" s="23">
        <v>0.09</v>
      </c>
      <c r="Q195" s="88" t="s">
        <v>221</v>
      </c>
      <c r="R19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19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0.09</v>
      </c>
    </row>
    <row r="196" spans="1:19" ht="16.5" customHeight="1" x14ac:dyDescent="0.3">
      <c r="A19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6" s="111">
        <f>COUNTIF(A$2:$A196,A196)</f>
        <v>12</v>
      </c>
      <c r="D19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CDM</v>
      </c>
      <c r="E196" s="111">
        <f>COUNTIF($D$2:D196,D196)</f>
        <v>21</v>
      </c>
      <c r="G196" s="89" t="str">
        <f>Référentiels!A196&amp;TEXT(Référentiels!B196,"000")</f>
        <v>CRP012</v>
      </c>
      <c r="H196" s="64" t="s">
        <v>939</v>
      </c>
      <c r="I196" s="64" t="s">
        <v>33</v>
      </c>
      <c r="J196" s="23">
        <v>35</v>
      </c>
      <c r="K196" s="26">
        <f>IFERROR(
  SUMIFS(#REF!,#REF!, tbl_ProduitsRef[[#This Row],[Cde_Prdt]]),
0)</f>
        <v>0</v>
      </c>
      <c r="M196" s="91" t="s">
        <v>1267</v>
      </c>
      <c r="N196" s="88" t="str">
        <f>Référentiels!D196&amp;TEXT(Référentiels!E196,"000")</f>
        <v>CDM021</v>
      </c>
      <c r="O196" s="88" t="s">
        <v>1261</v>
      </c>
      <c r="P196" s="23">
        <v>0.1</v>
      </c>
      <c r="Q196" s="88" t="s">
        <v>209</v>
      </c>
      <c r="R19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19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197" spans="1:19" ht="16.5" customHeight="1" x14ac:dyDescent="0.3">
      <c r="A19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7" s="111">
        <f>COUNTIF(A$2:$A197,A197)</f>
        <v>13</v>
      </c>
      <c r="D19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197" s="111">
        <f>COUNTIF($D$2:D197,D197)</f>
        <v>1</v>
      </c>
      <c r="G197" s="89" t="str">
        <f>Référentiels!A197&amp;TEXT(Référentiels!B197,"000")</f>
        <v>CRP013</v>
      </c>
      <c r="H197" s="64" t="s">
        <v>941</v>
      </c>
      <c r="I197" s="64" t="s">
        <v>33</v>
      </c>
      <c r="J197" s="23">
        <v>35</v>
      </c>
      <c r="K197" s="26">
        <f>IFERROR(
  SUMIFS(#REF!,#REF!, tbl_ProduitsRef[[#This Row],[Cde_Prdt]]),
0)</f>
        <v>0</v>
      </c>
      <c r="M197" s="91" t="s">
        <v>875</v>
      </c>
      <c r="N197" s="88" t="str">
        <f>Référentiels!D197&amp;TEXT(Référentiels!E197,"000")</f>
        <v>SOS001</v>
      </c>
      <c r="O197" s="88" t="s">
        <v>1268</v>
      </c>
      <c r="P197" s="23">
        <v>0.15</v>
      </c>
      <c r="Q197" s="88" t="s">
        <v>221</v>
      </c>
      <c r="R19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9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198" spans="1:19" ht="16.5" customHeight="1" x14ac:dyDescent="0.3">
      <c r="A19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8" s="111">
        <f>COUNTIF(A$2:$A198,A198)</f>
        <v>14</v>
      </c>
      <c r="D19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198" s="111">
        <f>COUNTIF($D$2:D198,D198)</f>
        <v>2</v>
      </c>
      <c r="G198" s="89" t="str">
        <f>Référentiels!A198&amp;TEXT(Référentiels!B198,"000")</f>
        <v>CRP014</v>
      </c>
      <c r="H198" s="64" t="s">
        <v>943</v>
      </c>
      <c r="I198" s="64" t="s">
        <v>33</v>
      </c>
      <c r="J198" s="23">
        <v>35</v>
      </c>
      <c r="K198" s="26">
        <f>IFERROR(
  SUMIFS(#REF!,#REF!, tbl_ProduitsRef[[#This Row],[Cde_Prdt]]),
0)</f>
        <v>0</v>
      </c>
      <c r="M198" s="91" t="s">
        <v>891</v>
      </c>
      <c r="N198" s="88" t="str">
        <f>Référentiels!D198&amp;TEXT(Référentiels!E198,"000")</f>
        <v>SOS002</v>
      </c>
      <c r="O198" s="88" t="s">
        <v>1268</v>
      </c>
      <c r="P198" s="23">
        <v>0.15</v>
      </c>
      <c r="Q198" s="88" t="s">
        <v>221</v>
      </c>
      <c r="R19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19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199" spans="1:19" ht="16.5" customHeight="1" x14ac:dyDescent="0.3">
      <c r="A19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199" s="111">
        <f>COUNTIF(A$2:$A199,A199)</f>
        <v>15</v>
      </c>
      <c r="D19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199" s="111">
        <f>COUNTIF($D$2:D199,D199)</f>
        <v>3</v>
      </c>
      <c r="G199" s="89" t="str">
        <f>Référentiels!A199&amp;TEXT(Référentiels!B199,"000")</f>
        <v>CRP015</v>
      </c>
      <c r="H199" s="64" t="s">
        <v>945</v>
      </c>
      <c r="I199" s="64" t="s">
        <v>33</v>
      </c>
      <c r="J199" s="23">
        <v>30</v>
      </c>
      <c r="K199" s="26">
        <f>IFERROR(
  SUMIFS(#REF!,#REF!, tbl_ProduitsRef[[#This Row],[Cde_Prdt]]),
0)</f>
        <v>0</v>
      </c>
      <c r="M199" s="91" t="s">
        <v>962</v>
      </c>
      <c r="N199" s="88" t="str">
        <f>Référentiels!D199&amp;TEXT(Référentiels!E199,"000")</f>
        <v>SOS003</v>
      </c>
      <c r="O199" s="88" t="s">
        <v>1268</v>
      </c>
      <c r="P199" s="23">
        <v>0.25</v>
      </c>
      <c r="Q199" s="88" t="s">
        <v>221</v>
      </c>
      <c r="R19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250</v>
      </c>
      <c r="S19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0.25</v>
      </c>
    </row>
    <row r="200" spans="1:19" ht="16.5" customHeight="1" x14ac:dyDescent="0.3">
      <c r="A20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0" s="111">
        <f>COUNTIF(A$2:$A200,A200)</f>
        <v>16</v>
      </c>
      <c r="D20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0" s="111">
        <f>COUNTIF($D$2:D200,D200)</f>
        <v>4</v>
      </c>
      <c r="G200" s="89" t="str">
        <f>Référentiels!A200&amp;TEXT(Référentiels!B200,"000")</f>
        <v>CRP016</v>
      </c>
      <c r="H200" s="64" t="s">
        <v>919</v>
      </c>
      <c r="I200" s="64" t="s">
        <v>33</v>
      </c>
      <c r="J200" s="23">
        <v>45</v>
      </c>
      <c r="K200" s="26">
        <f>IFERROR(
  SUMIFS(#REF!,#REF!, tbl_ProduitsRef[[#This Row],[Cde_Prdt]]),
0)</f>
        <v>0</v>
      </c>
      <c r="M200" s="91" t="s">
        <v>220</v>
      </c>
      <c r="N200" s="88" t="str">
        <f>Référentiels!D200&amp;TEXT(Référentiels!E200,"000")</f>
        <v>SOS004</v>
      </c>
      <c r="O200" s="88" t="s">
        <v>1268</v>
      </c>
      <c r="P200" s="23">
        <v>0.15</v>
      </c>
      <c r="Q200" s="88" t="s">
        <v>221</v>
      </c>
      <c r="R20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0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201" spans="1:19" ht="16.5" customHeight="1" x14ac:dyDescent="0.3">
      <c r="A20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1" s="111">
        <f>COUNTIF(A$2:$A201,A201)</f>
        <v>17</v>
      </c>
      <c r="D20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1" s="111">
        <f>COUNTIF($D$2:D201,D201)</f>
        <v>5</v>
      </c>
      <c r="G201" s="89" t="str">
        <f>Référentiels!A201&amp;TEXT(Référentiels!B201,"000")</f>
        <v>CRP017</v>
      </c>
      <c r="H201" s="64" t="s">
        <v>923</v>
      </c>
      <c r="I201" s="64" t="s">
        <v>33</v>
      </c>
      <c r="J201" s="23">
        <v>40</v>
      </c>
      <c r="K201" s="26">
        <f>IFERROR(
  SUMIFS(#REF!,#REF!, tbl_ProduitsRef[[#This Row],[Cde_Prdt]]),
0)</f>
        <v>0</v>
      </c>
      <c r="M201" s="91" t="s">
        <v>1269</v>
      </c>
      <c r="N201" s="88" t="str">
        <f>Référentiels!D201&amp;TEXT(Référentiels!E201,"000")</f>
        <v>SOS005</v>
      </c>
      <c r="O201" s="88" t="s">
        <v>1268</v>
      </c>
      <c r="P201" s="23">
        <v>0.15</v>
      </c>
      <c r="Q201" s="88" t="s">
        <v>221</v>
      </c>
      <c r="R20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0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202" spans="1:19" ht="16.5" customHeight="1" x14ac:dyDescent="0.3">
      <c r="A20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2" s="111">
        <f>COUNTIF(A$2:$A202,A202)</f>
        <v>18</v>
      </c>
      <c r="D20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2" s="111">
        <f>COUNTIF($D$2:D202,D202)</f>
        <v>6</v>
      </c>
      <c r="G202" s="89" t="str">
        <f>Référentiels!A202&amp;TEXT(Référentiels!B202,"000")</f>
        <v>CRP018</v>
      </c>
      <c r="H202" s="64" t="s">
        <v>925</v>
      </c>
      <c r="I202" s="64" t="s">
        <v>33</v>
      </c>
      <c r="J202" s="23">
        <v>35</v>
      </c>
      <c r="K202" s="26">
        <f>IFERROR(
  SUMIFS(#REF!,#REF!, tbl_ProduitsRef[[#This Row],[Cde_Prdt]]),
0)</f>
        <v>0</v>
      </c>
      <c r="M202" s="91" t="s">
        <v>1270</v>
      </c>
      <c r="N202" s="88" t="str">
        <f>Référentiels!D202&amp;TEXT(Référentiels!E202,"000")</f>
        <v>SOS006</v>
      </c>
      <c r="O202" s="88" t="s">
        <v>1268</v>
      </c>
      <c r="P202" s="23">
        <v>0.09</v>
      </c>
      <c r="Q202" s="88" t="s">
        <v>221</v>
      </c>
      <c r="R20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20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0.09</v>
      </c>
    </row>
    <row r="203" spans="1:19" ht="16.5" customHeight="1" x14ac:dyDescent="0.3">
      <c r="A20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3" s="111">
        <f>COUNTIF(A$2:$A203,A203)</f>
        <v>19</v>
      </c>
      <c r="D20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3" s="111">
        <f>COUNTIF($D$2:D203,D203)</f>
        <v>7</v>
      </c>
      <c r="G203" s="89" t="str">
        <f>Référentiels!A203&amp;TEXT(Référentiels!B203,"000")</f>
        <v>CRP019</v>
      </c>
      <c r="H203" s="64" t="s">
        <v>927</v>
      </c>
      <c r="I203" s="64" t="s">
        <v>33</v>
      </c>
      <c r="J203" s="23">
        <v>35</v>
      </c>
      <c r="K203" s="26">
        <f>IFERROR(
  SUMIFS(#REF!,#REF!, tbl_ProduitsRef[[#This Row],[Cde_Prdt]]),
0)</f>
        <v>0</v>
      </c>
      <c r="M203" s="91" t="s">
        <v>652</v>
      </c>
      <c r="N203" s="88" t="str">
        <f>Référentiels!D203&amp;TEXT(Référentiels!E203,"000")</f>
        <v>SOS007</v>
      </c>
      <c r="O203" s="88" t="s">
        <v>1268</v>
      </c>
      <c r="P203" s="23">
        <v>0.02</v>
      </c>
      <c r="Q203" s="88" t="s">
        <v>209</v>
      </c>
      <c r="R20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</v>
      </c>
      <c r="S20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0.02</v>
      </c>
    </row>
    <row r="204" spans="1:19" ht="16.5" customHeight="1" x14ac:dyDescent="0.3">
      <c r="A20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CRP</v>
      </c>
      <c r="B204" s="111">
        <f>COUNTIF(A$2:$A204,A204)</f>
        <v>20</v>
      </c>
      <c r="D20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4" s="111">
        <f>COUNTIF($D$2:D204,D204)</f>
        <v>8</v>
      </c>
      <c r="G204" s="89" t="str">
        <f>Référentiels!A204&amp;TEXT(Référentiels!B204,"000")</f>
        <v>CRP020</v>
      </c>
      <c r="H204" s="64" t="s">
        <v>929</v>
      </c>
      <c r="I204" s="64" t="s">
        <v>33</v>
      </c>
      <c r="J204" s="23">
        <v>35</v>
      </c>
      <c r="K204" s="26">
        <f>IFERROR(
  SUMIFS(#REF!,#REF!, tbl_ProduitsRef[[#This Row],[Cde_Prdt]]),
0)</f>
        <v>0</v>
      </c>
      <c r="M204" s="91" t="s">
        <v>733</v>
      </c>
      <c r="N204" s="88" t="str">
        <f>Référentiels!D204&amp;TEXT(Référentiels!E204,"000")</f>
        <v>SOS008</v>
      </c>
      <c r="O204" s="88" t="s">
        <v>1268</v>
      </c>
      <c r="P204" s="23">
        <v>0.15</v>
      </c>
      <c r="Q204" s="88" t="s">
        <v>221</v>
      </c>
      <c r="R20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0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205" spans="1:19" ht="16.5" customHeight="1" x14ac:dyDescent="0.3">
      <c r="A20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5" s="111">
        <f>COUNTIF(A$2:$A205,A205)</f>
        <v>1</v>
      </c>
      <c r="D20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5" s="111">
        <f>COUNTIF($D$2:D205,D205)</f>
        <v>9</v>
      </c>
      <c r="G205" s="89" t="str">
        <f>Référentiels!A205&amp;TEXT(Référentiels!B205,"000")</f>
        <v>BCH001</v>
      </c>
      <c r="H205" s="64" t="s">
        <v>1048</v>
      </c>
      <c r="I205" s="64" t="s">
        <v>34</v>
      </c>
      <c r="J205" s="23">
        <v>18</v>
      </c>
      <c r="K205" s="26">
        <f>IFERROR(
  SUMIFS(#REF!,#REF!, tbl_ProduitsRef[[#This Row],[Cde_Prdt]]),
0)</f>
        <v>0</v>
      </c>
      <c r="M205" s="91" t="s">
        <v>1271</v>
      </c>
      <c r="N205" s="88" t="str">
        <f>Référentiels!D205&amp;TEXT(Référentiels!E205,"000")</f>
        <v>SOS009</v>
      </c>
      <c r="O205" s="88" t="s">
        <v>1268</v>
      </c>
      <c r="P205" s="23">
        <v>0.15</v>
      </c>
      <c r="Q205" s="88" t="s">
        <v>221</v>
      </c>
      <c r="R20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0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206" spans="1:19" ht="16.5" customHeight="1" x14ac:dyDescent="0.3">
      <c r="A20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6" s="111">
        <f>COUNTIF(A$2:$A206,A206)</f>
        <v>2</v>
      </c>
      <c r="D20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6" s="111">
        <f>COUNTIF($D$2:D206,D206)</f>
        <v>10</v>
      </c>
      <c r="G206" s="89" t="str">
        <f>Référentiels!A206&amp;TEXT(Référentiels!B206,"000")</f>
        <v>BCH002</v>
      </c>
      <c r="H206" s="64" t="s">
        <v>64</v>
      </c>
      <c r="I206" s="64" t="s">
        <v>34</v>
      </c>
      <c r="J206" s="23">
        <v>24</v>
      </c>
      <c r="K206" s="26">
        <f>IFERROR(
  SUMIFS(#REF!,#REF!, tbl_ProduitsRef[[#This Row],[Cde_Prdt]]),
0)</f>
        <v>0</v>
      </c>
      <c r="M206" s="91" t="s">
        <v>1272</v>
      </c>
      <c r="N206" s="88" t="str">
        <f>Référentiels!D206&amp;TEXT(Référentiels!E206,"000")</f>
        <v>SOS010</v>
      </c>
      <c r="O206" s="88" t="s">
        <v>1268</v>
      </c>
      <c r="P206" s="23">
        <v>0.1</v>
      </c>
      <c r="Q206" s="88" t="s">
        <v>221</v>
      </c>
      <c r="R20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0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207" spans="1:19" ht="16.5" customHeight="1" x14ac:dyDescent="0.3">
      <c r="A20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7" s="111">
        <f>COUNTIF(A$2:$A207,A207)</f>
        <v>3</v>
      </c>
      <c r="D20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7" s="111">
        <f>COUNTIF($D$2:D207,D207)</f>
        <v>11</v>
      </c>
      <c r="G207" s="89" t="str">
        <f>Référentiels!A207&amp;TEXT(Référentiels!B207,"000")</f>
        <v>BCH003</v>
      </c>
      <c r="H207" s="64" t="s">
        <v>1045</v>
      </c>
      <c r="I207" s="64" t="s">
        <v>34</v>
      </c>
      <c r="J207" s="23">
        <v>22</v>
      </c>
      <c r="K207" s="26">
        <f>IFERROR(
  SUMIFS(#REF!,#REF!, tbl_ProduitsRef[[#This Row],[Cde_Prdt]]),
0)</f>
        <v>0</v>
      </c>
      <c r="M207" s="91" t="s">
        <v>394</v>
      </c>
      <c r="N207" s="88" t="str">
        <f>Référentiels!D207&amp;TEXT(Référentiels!E207,"000")</f>
        <v>SOS011</v>
      </c>
      <c r="O207" s="88" t="s">
        <v>1268</v>
      </c>
      <c r="P207" s="23">
        <v>0.2</v>
      </c>
      <c r="Q207" s="88" t="s">
        <v>221</v>
      </c>
      <c r="R20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20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0.2</v>
      </c>
    </row>
    <row r="208" spans="1:19" ht="16.5" customHeight="1" x14ac:dyDescent="0.3">
      <c r="A20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8" s="111">
        <f>COUNTIF(A$2:$A208,A208)</f>
        <v>4</v>
      </c>
      <c r="D20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8" s="111">
        <f>COUNTIF($D$2:D208,D208)</f>
        <v>12</v>
      </c>
      <c r="G208" s="89" t="str">
        <f>Référentiels!A208&amp;TEXT(Référentiels!B208,"000")</f>
        <v>BCH004</v>
      </c>
      <c r="H208" s="64" t="s">
        <v>1053</v>
      </c>
      <c r="I208" s="64" t="s">
        <v>34</v>
      </c>
      <c r="J208" s="23">
        <v>20</v>
      </c>
      <c r="K208" s="26">
        <f>IFERROR(
  SUMIFS(#REF!,#REF!, tbl_ProduitsRef[[#This Row],[Cde_Prdt]]),
0)</f>
        <v>0</v>
      </c>
      <c r="M208" s="91" t="s">
        <v>252</v>
      </c>
      <c r="N208" s="88" t="str">
        <f>Référentiels!D208&amp;TEXT(Référentiels!E208,"000")</f>
        <v>SOS012</v>
      </c>
      <c r="O208" s="88" t="s">
        <v>1268</v>
      </c>
      <c r="P208" s="23">
        <v>0.09</v>
      </c>
      <c r="Q208" s="88" t="s">
        <v>221</v>
      </c>
      <c r="R20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20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0.09</v>
      </c>
    </row>
    <row r="209" spans="1:19" ht="16.5" customHeight="1" x14ac:dyDescent="0.3">
      <c r="A20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09" s="111">
        <f>COUNTIF(A$2:$A209,A209)</f>
        <v>5</v>
      </c>
      <c r="D20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09" s="111">
        <f>COUNTIF($D$2:D209,D209)</f>
        <v>13</v>
      </c>
      <c r="G209" s="89" t="str">
        <f>Référentiels!A209&amp;TEXT(Référentiels!B209,"000")</f>
        <v>BCH005</v>
      </c>
      <c r="H209" s="64" t="s">
        <v>1055</v>
      </c>
      <c r="I209" s="64" t="s">
        <v>34</v>
      </c>
      <c r="J209" s="23">
        <v>14</v>
      </c>
      <c r="K209" s="26">
        <f>IFERROR(
  SUMIFS(#REF!,#REF!, tbl_ProduitsRef[[#This Row],[Cde_Prdt]]),
0)</f>
        <v>0</v>
      </c>
      <c r="M209" s="91" t="s">
        <v>588</v>
      </c>
      <c r="N209" s="88" t="str">
        <f>Référentiels!D209&amp;TEXT(Référentiels!E209,"000")</f>
        <v>SOS013</v>
      </c>
      <c r="O209" s="88" t="s">
        <v>1268</v>
      </c>
      <c r="P209" s="23">
        <v>0.1</v>
      </c>
      <c r="Q209" s="88" t="s">
        <v>209</v>
      </c>
      <c r="R20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0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210" spans="1:19" ht="16.5" customHeight="1" x14ac:dyDescent="0.3">
      <c r="A21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0" s="111">
        <f>COUNTIF(A$2:$A210,A210)</f>
        <v>6</v>
      </c>
      <c r="D21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0" s="111">
        <f>COUNTIF($D$2:D210,D210)</f>
        <v>14</v>
      </c>
      <c r="G210" s="89" t="str">
        <f>Référentiels!A210&amp;TEXT(Référentiels!B210,"000")</f>
        <v>BCH006</v>
      </c>
      <c r="H210" s="64" t="s">
        <v>1059</v>
      </c>
      <c r="I210" s="64" t="s">
        <v>34</v>
      </c>
      <c r="J210" s="23">
        <v>18</v>
      </c>
      <c r="K210" s="26">
        <f>IFERROR(
  SUMIFS(#REF!,#REF!, tbl_ProduitsRef[[#This Row],[Cde_Prdt]]),
0)</f>
        <v>0</v>
      </c>
      <c r="M210" s="91" t="s">
        <v>246</v>
      </c>
      <c r="N210" s="88" t="str">
        <f>Référentiels!D210&amp;TEXT(Référentiels!E210,"000")</f>
        <v>SOS014</v>
      </c>
      <c r="O210" s="88" t="s">
        <v>1268</v>
      </c>
      <c r="P210" s="23">
        <v>0.1</v>
      </c>
      <c r="Q210" s="88" t="s">
        <v>221</v>
      </c>
      <c r="R21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1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211" spans="1:19" ht="16.5" customHeight="1" x14ac:dyDescent="0.3">
      <c r="A21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1" s="111">
        <f>COUNTIF(A$2:$A211,A211)</f>
        <v>7</v>
      </c>
      <c r="D21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1" s="111">
        <f>COUNTIF($D$2:D211,D211)</f>
        <v>15</v>
      </c>
      <c r="G211" s="89" t="str">
        <f>Référentiels!A211&amp;TEXT(Référentiels!B211,"000")</f>
        <v>BCH007</v>
      </c>
      <c r="H211" s="64" t="s">
        <v>1061</v>
      </c>
      <c r="I211" s="64" t="s">
        <v>34</v>
      </c>
      <c r="J211" s="23">
        <v>19</v>
      </c>
      <c r="K211" s="26">
        <f>IFERROR(
  SUMIFS(#REF!,#REF!, tbl_ProduitsRef[[#This Row],[Cde_Prdt]]),
0)</f>
        <v>0</v>
      </c>
      <c r="M211" s="91" t="s">
        <v>717</v>
      </c>
      <c r="N211" s="88" t="str">
        <f>Référentiels!D211&amp;TEXT(Référentiels!E211,"000")</f>
        <v>SOS015</v>
      </c>
      <c r="O211" s="88" t="s">
        <v>1268</v>
      </c>
      <c r="P211" s="23">
        <v>0.125</v>
      </c>
      <c r="Q211" s="88" t="s">
        <v>221</v>
      </c>
      <c r="R21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125</v>
      </c>
      <c r="S21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0.125</v>
      </c>
    </row>
    <row r="212" spans="1:19" ht="16.5" customHeight="1" x14ac:dyDescent="0.3">
      <c r="A21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2" s="111">
        <f>COUNTIF(A$2:$A212,A212)</f>
        <v>8</v>
      </c>
      <c r="D21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2" s="111">
        <f>COUNTIF($D$2:D212,D212)</f>
        <v>16</v>
      </c>
      <c r="G212" s="89" t="str">
        <f>Référentiels!A212&amp;TEXT(Référentiels!B212,"000")</f>
        <v>BCH008</v>
      </c>
      <c r="H212" s="64" t="s">
        <v>1082</v>
      </c>
      <c r="I212" s="64" t="s">
        <v>34</v>
      </c>
      <c r="J212" s="23">
        <v>17</v>
      </c>
      <c r="K212" s="26">
        <f>IFERROR(
  SUMIFS(#REF!,#REF!, tbl_ProduitsRef[[#This Row],[Cde_Prdt]]),
0)</f>
        <v>0</v>
      </c>
      <c r="M212" s="91" t="s">
        <v>374</v>
      </c>
      <c r="N212" s="88" t="str">
        <f>Référentiels!D212&amp;TEXT(Référentiels!E212,"000")</f>
        <v>SOS016</v>
      </c>
      <c r="O212" s="88" t="s">
        <v>1268</v>
      </c>
      <c r="P212" s="23">
        <v>2.5000000000000001E-2</v>
      </c>
      <c r="Q212" s="88" t="s">
        <v>221</v>
      </c>
      <c r="R21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25</v>
      </c>
      <c r="S21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2.5000000000000001E-2</v>
      </c>
    </row>
    <row r="213" spans="1:19" ht="16.5" customHeight="1" x14ac:dyDescent="0.3">
      <c r="A21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3" s="111">
        <f>COUNTIF(A$2:$A213,A213)</f>
        <v>9</v>
      </c>
      <c r="D21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3" s="111">
        <f>COUNTIF($D$2:D213,D213)</f>
        <v>17</v>
      </c>
      <c r="G213" s="89" t="str">
        <f>Référentiels!A213&amp;TEXT(Référentiels!B213,"000")</f>
        <v>BCH009</v>
      </c>
      <c r="H213" s="64" t="s">
        <v>50</v>
      </c>
      <c r="I213" s="64" t="s">
        <v>34</v>
      </c>
      <c r="J213" s="23">
        <v>16</v>
      </c>
      <c r="K213" s="26">
        <f>IFERROR(
  SUMIFS(#REF!,#REF!, tbl_ProduitsRef[[#This Row],[Cde_Prdt]]),
0)</f>
        <v>0</v>
      </c>
      <c r="M213" s="91" t="s">
        <v>535</v>
      </c>
      <c r="N213" s="88" t="str">
        <f>Référentiels!D213&amp;TEXT(Référentiels!E213,"000")</f>
        <v>SOS017</v>
      </c>
      <c r="O213" s="88" t="s">
        <v>1268</v>
      </c>
      <c r="P213" s="23">
        <v>0.06</v>
      </c>
      <c r="Q213" s="88" t="s">
        <v>221</v>
      </c>
      <c r="R21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</v>
      </c>
      <c r="S21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0.06</v>
      </c>
    </row>
    <row r="214" spans="1:19" ht="16.5" customHeight="1" x14ac:dyDescent="0.3">
      <c r="A21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4" s="111">
        <f>COUNTIF(A$2:$A214,A214)</f>
        <v>10</v>
      </c>
      <c r="D21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4" s="111">
        <f>COUNTIF($D$2:D214,D214)</f>
        <v>18</v>
      </c>
      <c r="G214" s="89" t="str">
        <f>Référentiels!A214&amp;TEXT(Référentiels!B214,"000")</f>
        <v>BCH010</v>
      </c>
      <c r="H214" s="64" t="s">
        <v>1063</v>
      </c>
      <c r="I214" s="64" t="s">
        <v>34</v>
      </c>
      <c r="J214" s="23">
        <v>18</v>
      </c>
      <c r="K214" s="26">
        <f>IFERROR(
  SUMIFS(#REF!,#REF!, tbl_ProduitsRef[[#This Row],[Cde_Prdt]]),
0)</f>
        <v>0</v>
      </c>
      <c r="M214" s="91" t="s">
        <v>785</v>
      </c>
      <c r="N214" s="88" t="str">
        <f>Référentiels!D214&amp;TEXT(Référentiels!E214,"000")</f>
        <v>SOS018</v>
      </c>
      <c r="O214" s="88" t="s">
        <v>1268</v>
      </c>
      <c r="P214" s="23">
        <v>0.03</v>
      </c>
      <c r="Q214" s="88" t="s">
        <v>221</v>
      </c>
      <c r="R21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</v>
      </c>
      <c r="S21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0.03</v>
      </c>
    </row>
    <row r="215" spans="1:19" ht="16.5" customHeight="1" x14ac:dyDescent="0.3">
      <c r="A21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5" s="111">
        <f>COUNTIF(A$2:$A215,A215)</f>
        <v>11</v>
      </c>
      <c r="D21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SOS</v>
      </c>
      <c r="E215" s="111">
        <f>COUNTIF($D$2:D215,D215)</f>
        <v>19</v>
      </c>
      <c r="G215" s="89" t="str">
        <f>Référentiels!A215&amp;TEXT(Référentiels!B215,"000")</f>
        <v>BCH011</v>
      </c>
      <c r="H215" s="64" t="s">
        <v>1066</v>
      </c>
      <c r="I215" s="64" t="s">
        <v>34</v>
      </c>
      <c r="J215" s="23">
        <v>32</v>
      </c>
      <c r="K215" s="26">
        <f>IFERROR(
  SUMIFS(#REF!,#REF!, tbl_ProduitsRef[[#This Row],[Cde_Prdt]]),
0)</f>
        <v>0</v>
      </c>
      <c r="M215" s="91" t="s">
        <v>1273</v>
      </c>
      <c r="N215" s="88" t="str">
        <f>Référentiels!D215&amp;TEXT(Référentiels!E215,"000")</f>
        <v>SOS019</v>
      </c>
      <c r="O215" s="88" t="s">
        <v>1268</v>
      </c>
      <c r="P215" s="23">
        <v>0.05</v>
      </c>
      <c r="Q215" s="88" t="s">
        <v>221</v>
      </c>
      <c r="R21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1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216" spans="1:19" ht="16.5" customHeight="1" x14ac:dyDescent="0.3">
      <c r="A21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6" s="111">
        <f>COUNTIF(A$2:$A216,A216)</f>
        <v>12</v>
      </c>
      <c r="D21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16" s="111">
        <f>COUNTIF($D$2:D216,D216)</f>
        <v>1</v>
      </c>
      <c r="G216" s="89" t="str">
        <f>Référentiels!A216&amp;TEXT(Référentiels!B216,"000")</f>
        <v>BCH012</v>
      </c>
      <c r="H216" s="64" t="s">
        <v>1072</v>
      </c>
      <c r="I216" s="64" t="s">
        <v>34</v>
      </c>
      <c r="J216" s="23">
        <v>25</v>
      </c>
      <c r="K216" s="26">
        <f>IFERROR(
  SUMIFS(#REF!,#REF!, tbl_ProduitsRef[[#This Row],[Cde_Prdt]]),
0)</f>
        <v>0</v>
      </c>
      <c r="M216" s="91" t="s">
        <v>1274</v>
      </c>
      <c r="N216" s="88" t="str">
        <f>Référentiels!D216&amp;TEXT(Référentiels!E216,"000")</f>
        <v>EPI001</v>
      </c>
      <c r="O216" s="88" t="s">
        <v>1275</v>
      </c>
      <c r="P216" s="23">
        <v>0.18</v>
      </c>
      <c r="Q216" s="88" t="s">
        <v>209</v>
      </c>
      <c r="R21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180</v>
      </c>
      <c r="S21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0.18</v>
      </c>
    </row>
    <row r="217" spans="1:19" ht="16.5" customHeight="1" x14ac:dyDescent="0.3">
      <c r="A21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7" s="111">
        <f>COUNTIF(A$2:$A217,A217)</f>
        <v>13</v>
      </c>
      <c r="D21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17" s="111">
        <f>COUNTIF($D$2:D217,D217)</f>
        <v>2</v>
      </c>
      <c r="G217" s="89" t="str">
        <f>Référentiels!A217&amp;TEXT(Référentiels!B217,"000")</f>
        <v>BCH013</v>
      </c>
      <c r="H217" s="64" t="s">
        <v>1070</v>
      </c>
      <c r="I217" s="64" t="s">
        <v>34</v>
      </c>
      <c r="J217" s="23">
        <v>22</v>
      </c>
      <c r="K217" s="26">
        <f>IFERROR(
  SUMIFS(#REF!,#REF!, tbl_ProduitsRef[[#This Row],[Cde_Prdt]]),
0)</f>
        <v>0</v>
      </c>
      <c r="M217" s="91" t="s">
        <v>511</v>
      </c>
      <c r="N217" s="88" t="str">
        <f>Référentiels!D217&amp;TEXT(Référentiels!E217,"000")</f>
        <v>EPI002</v>
      </c>
      <c r="O217" s="88" t="s">
        <v>1275</v>
      </c>
      <c r="P217" s="23">
        <v>33</v>
      </c>
      <c r="Q217" s="88" t="s">
        <v>209</v>
      </c>
      <c r="R21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33000</v>
      </c>
      <c r="S21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33</v>
      </c>
    </row>
    <row r="218" spans="1:19" ht="16.5" customHeight="1" x14ac:dyDescent="0.3">
      <c r="A21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8" s="111">
        <f>COUNTIF(A$2:$A218,A218)</f>
        <v>14</v>
      </c>
      <c r="D21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18" s="111">
        <f>COUNTIF($D$2:D218,D218)</f>
        <v>3</v>
      </c>
      <c r="G218" s="89" t="str">
        <f>Référentiels!A218&amp;TEXT(Référentiels!B218,"000")</f>
        <v>BCH014</v>
      </c>
      <c r="H218" s="64" t="s">
        <v>1076</v>
      </c>
      <c r="I218" s="64" t="s">
        <v>34</v>
      </c>
      <c r="J218" s="23">
        <v>20</v>
      </c>
      <c r="K218" s="26">
        <f>IFERROR(
  SUMIFS(#REF!,#REF!, tbl_ProduitsRef[[#This Row],[Cde_Prdt]]),
0)</f>
        <v>0</v>
      </c>
      <c r="M218" s="91" t="s">
        <v>610</v>
      </c>
      <c r="N218" s="88" t="str">
        <f>Référentiels!D218&amp;TEXT(Référentiels!E218,"000")</f>
        <v>EPI003</v>
      </c>
      <c r="O218" s="88" t="s">
        <v>1275</v>
      </c>
      <c r="P218" s="23">
        <v>8.7999999999999995E-2</v>
      </c>
      <c r="Q218" s="88" t="s">
        <v>209</v>
      </c>
      <c r="R21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88</v>
      </c>
      <c r="S21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8.7999999999999995E-2</v>
      </c>
    </row>
    <row r="219" spans="1:19" ht="16.5" customHeight="1" x14ac:dyDescent="0.3">
      <c r="A21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19" s="111">
        <f>COUNTIF(A$2:$A219,A219)</f>
        <v>15</v>
      </c>
      <c r="D21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19" s="111">
        <f>COUNTIF($D$2:D219,D219)</f>
        <v>4</v>
      </c>
      <c r="G219" s="89" t="str">
        <f>Référentiels!A219&amp;TEXT(Référentiels!B219,"000")</f>
        <v>BCH015</v>
      </c>
      <c r="H219" s="64" t="s">
        <v>1078</v>
      </c>
      <c r="I219" s="64" t="s">
        <v>34</v>
      </c>
      <c r="J219" s="23">
        <v>25</v>
      </c>
      <c r="K219" s="26">
        <f>IFERROR(
  SUMIFS(#REF!,#REF!, tbl_ProduitsRef[[#This Row],[Cde_Prdt]]),
0)</f>
        <v>0</v>
      </c>
      <c r="M219" s="91" t="s">
        <v>646</v>
      </c>
      <c r="N219" s="88" t="str">
        <f>Référentiels!D219&amp;TEXT(Référentiels!E219,"000")</f>
        <v>EPI004</v>
      </c>
      <c r="O219" s="88" t="s">
        <v>1275</v>
      </c>
      <c r="P219" s="23">
        <v>0.12</v>
      </c>
      <c r="Q219" s="88" t="s">
        <v>209</v>
      </c>
      <c r="R21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120</v>
      </c>
      <c r="S21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0.12</v>
      </c>
    </row>
    <row r="220" spans="1:19" ht="16.5" customHeight="1" x14ac:dyDescent="0.3">
      <c r="A22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0" s="111">
        <f>COUNTIF(A$2:$A220,A220)</f>
        <v>16</v>
      </c>
      <c r="D22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0" s="111">
        <f>COUNTIF($D$2:D220,D220)</f>
        <v>5</v>
      </c>
      <c r="G220" s="89" t="str">
        <f>Référentiels!A220&amp;TEXT(Référentiels!B220,"000")</f>
        <v>BCH016</v>
      </c>
      <c r="H220" s="64" t="s">
        <v>1080</v>
      </c>
      <c r="I220" s="64" t="s">
        <v>34</v>
      </c>
      <c r="J220" s="23">
        <v>20</v>
      </c>
      <c r="K220" s="26">
        <f>IFERROR(
  SUMIFS(#REF!,#REF!, tbl_ProduitsRef[[#This Row],[Cde_Prdt]]),
0)</f>
        <v>0</v>
      </c>
      <c r="M220" s="91" t="s">
        <v>1276</v>
      </c>
      <c r="N220" s="88" t="str">
        <f>Référentiels!D220&amp;TEXT(Référentiels!E220,"000")</f>
        <v>EPI005</v>
      </c>
      <c r="O220" s="88" t="s">
        <v>1275</v>
      </c>
      <c r="P220" s="23">
        <v>0.09</v>
      </c>
      <c r="Q220" s="88" t="s">
        <v>209</v>
      </c>
      <c r="R22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22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0.09</v>
      </c>
    </row>
    <row r="221" spans="1:19" ht="16.5" customHeight="1" x14ac:dyDescent="0.3">
      <c r="A22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1" s="111">
        <f>COUNTIF(A$2:$A221,A221)</f>
        <v>17</v>
      </c>
      <c r="D22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1" s="111">
        <f>COUNTIF($D$2:D221,D221)</f>
        <v>6</v>
      </c>
      <c r="G221" s="89" t="str">
        <f>Référentiels!A221&amp;TEXT(Référentiels!B221,"000")</f>
        <v>BCH017</v>
      </c>
      <c r="H221" s="64" t="s">
        <v>1277</v>
      </c>
      <c r="I221" s="64" t="s">
        <v>34</v>
      </c>
      <c r="J221" s="23">
        <v>27</v>
      </c>
      <c r="K221" s="26">
        <f>IFERROR(
  SUMIFS(#REF!,#REF!, tbl_ProduitsRef[[#This Row],[Cde_Prdt]]),
0)</f>
        <v>0</v>
      </c>
      <c r="M221" s="91" t="s">
        <v>1123</v>
      </c>
      <c r="N221" s="88" t="str">
        <f>Référentiels!D221&amp;TEXT(Référentiels!E221,"000")</f>
        <v>EPI006</v>
      </c>
      <c r="O221" s="88" t="s">
        <v>1275</v>
      </c>
      <c r="P221" s="23">
        <v>0.09</v>
      </c>
      <c r="Q221" s="88" t="s">
        <v>209</v>
      </c>
      <c r="R22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90</v>
      </c>
      <c r="S22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0.09</v>
      </c>
    </row>
    <row r="222" spans="1:19" ht="16.5" customHeight="1" x14ac:dyDescent="0.3">
      <c r="A22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2" s="111">
        <f>COUNTIF(A$2:$A222,A222)</f>
        <v>18</v>
      </c>
      <c r="D22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2" s="111">
        <f>COUNTIF($D$2:D222,D222)</f>
        <v>7</v>
      </c>
      <c r="G222" s="89" t="str">
        <f>Référentiels!A222&amp;TEXT(Référentiels!B222,"000")</f>
        <v>BCH018</v>
      </c>
      <c r="H222" s="64" t="s">
        <v>1278</v>
      </c>
      <c r="I222" s="64" t="s">
        <v>34</v>
      </c>
      <c r="J222" s="23">
        <v>27</v>
      </c>
      <c r="K222" s="26">
        <f>IFERROR(
  SUMIFS(#REF!,#REF!, tbl_ProduitsRef[[#This Row],[Cde_Prdt]]),
0)</f>
        <v>0</v>
      </c>
      <c r="M222" s="91" t="s">
        <v>515</v>
      </c>
      <c r="N222" s="88" t="str">
        <f>Référentiels!D222&amp;TEXT(Référentiels!E222,"000")</f>
        <v>EPI007</v>
      </c>
      <c r="O222" s="88" t="s">
        <v>1275</v>
      </c>
      <c r="P222" s="23">
        <v>6.6000000000000003E-2</v>
      </c>
      <c r="Q222" s="88" t="s">
        <v>209</v>
      </c>
      <c r="R22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66</v>
      </c>
      <c r="S22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6.6000000000000003E-2</v>
      </c>
    </row>
    <row r="223" spans="1:19" ht="16.5" customHeight="1" x14ac:dyDescent="0.3">
      <c r="A22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3" s="111">
        <f>COUNTIF(A$2:$A223,A223)</f>
        <v>19</v>
      </c>
      <c r="D22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3" s="111">
        <f>COUNTIF($D$2:D223,D223)</f>
        <v>8</v>
      </c>
      <c r="G223" s="89" t="str">
        <f>Référentiels!A223&amp;TEXT(Référentiels!B223,"000")</f>
        <v>BCH019</v>
      </c>
      <c r="H223" s="64" t="s">
        <v>1279</v>
      </c>
      <c r="I223" s="64" t="s">
        <v>34</v>
      </c>
      <c r="J223" s="23">
        <v>25</v>
      </c>
      <c r="K223" s="26">
        <f>IFERROR(
  SUMIFS(#REF!,#REF!, tbl_ProduitsRef[[#This Row],[Cde_Prdt]]),
0)</f>
        <v>0</v>
      </c>
      <c r="M223" s="91" t="s">
        <v>841</v>
      </c>
      <c r="N223" s="88" t="str">
        <f>Référentiels!D223&amp;TEXT(Référentiels!E223,"000")</f>
        <v>EPI008</v>
      </c>
      <c r="O223" s="88" t="s">
        <v>1275</v>
      </c>
      <c r="P223" s="23">
        <v>0.05</v>
      </c>
      <c r="Q223" s="88" t="s">
        <v>209</v>
      </c>
      <c r="R22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2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224" spans="1:19" ht="16.5" customHeight="1" x14ac:dyDescent="0.3">
      <c r="A22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4" s="111">
        <f>COUNTIF(A$2:$A224,A224)</f>
        <v>20</v>
      </c>
      <c r="D22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4" s="111">
        <f>COUNTIF($D$2:D224,D224)</f>
        <v>9</v>
      </c>
      <c r="G224" s="89" t="str">
        <f>Référentiels!A224&amp;TEXT(Référentiels!B224,"000")</f>
        <v>BCH020</v>
      </c>
      <c r="H224" s="64" t="s">
        <v>1084</v>
      </c>
      <c r="I224" s="64" t="s">
        <v>34</v>
      </c>
      <c r="J224" s="23">
        <v>29</v>
      </c>
      <c r="K224" s="26">
        <f>IFERROR(
  SUMIFS(#REF!,#REF!, tbl_ProduitsRef[[#This Row],[Cde_Prdt]]),
0)</f>
        <v>0</v>
      </c>
      <c r="M224" s="91" t="s">
        <v>1280</v>
      </c>
      <c r="N224" s="88" t="str">
        <f>Référentiels!D224&amp;TEXT(Référentiels!E224,"000")</f>
        <v>EPI009</v>
      </c>
      <c r="O224" s="88" t="s">
        <v>1275</v>
      </c>
      <c r="P224" s="23">
        <v>0.05</v>
      </c>
      <c r="Q224" s="88" t="s">
        <v>209</v>
      </c>
      <c r="R22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2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225" spans="1:19" ht="16.5" customHeight="1" x14ac:dyDescent="0.3">
      <c r="A22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5" s="111">
        <f>COUNTIF(A$2:$A225,A225)</f>
        <v>21</v>
      </c>
      <c r="D22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EPI</v>
      </c>
      <c r="E225" s="111">
        <f>COUNTIF($D$2:D225,D225)</f>
        <v>10</v>
      </c>
      <c r="G225" s="89" t="str">
        <f>Référentiels!A225&amp;TEXT(Référentiels!B225,"000")</f>
        <v>BCH021</v>
      </c>
      <c r="H225" s="64" t="s">
        <v>1090</v>
      </c>
      <c r="I225" s="64" t="s">
        <v>34</v>
      </c>
      <c r="J225" s="23">
        <v>28</v>
      </c>
      <c r="K225" s="26">
        <f>IFERROR(
  SUMIFS(#REF!,#REF!, tbl_ProduitsRef[[#This Row],[Cde_Prdt]]),
0)</f>
        <v>0</v>
      </c>
      <c r="M225" s="91" t="s">
        <v>1103</v>
      </c>
      <c r="N225" s="88" t="str">
        <f>Référentiels!D225&amp;TEXT(Référentiels!E225,"000")</f>
        <v>EPI010</v>
      </c>
      <c r="O225" s="88" t="s">
        <v>1275</v>
      </c>
      <c r="P225" s="23">
        <v>0.21</v>
      </c>
      <c r="Q225" s="88" t="s">
        <v>209</v>
      </c>
      <c r="R22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210</v>
      </c>
      <c r="S22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0.21</v>
      </c>
    </row>
    <row r="226" spans="1:19" ht="16.5" customHeight="1" x14ac:dyDescent="0.3">
      <c r="A22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6" s="111">
        <f>COUNTIF(A$2:$A226,A226)</f>
        <v>22</v>
      </c>
      <c r="D22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26" s="111">
        <f>COUNTIF($D$2:D226,D226)</f>
        <v>1</v>
      </c>
      <c r="G226" s="89" t="str">
        <f>Référentiels!A226&amp;TEXT(Référentiels!B226,"000")</f>
        <v>BCH022</v>
      </c>
      <c r="H226" s="64" t="s">
        <v>1094</v>
      </c>
      <c r="I226" s="64" t="s">
        <v>34</v>
      </c>
      <c r="J226" s="23">
        <v>23</v>
      </c>
      <c r="K226" s="26">
        <f>IFERROR(
  SUMIFS(#REF!,#REF!, tbl_ProduitsRef[[#This Row],[Cde_Prdt]]),
0)</f>
        <v>0</v>
      </c>
      <c r="M226" s="91" t="s">
        <v>280</v>
      </c>
      <c r="N226" s="88" t="str">
        <f>Référentiels!D226&amp;TEXT(Référentiels!E226,"000")</f>
        <v>PSU001</v>
      </c>
      <c r="O226" s="88" t="s">
        <v>1281</v>
      </c>
      <c r="P226" s="23">
        <v>0.05</v>
      </c>
      <c r="Q226" s="88" t="s">
        <v>209</v>
      </c>
      <c r="R22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2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227" spans="1:19" ht="16.5" customHeight="1" x14ac:dyDescent="0.3">
      <c r="A22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7" s="111">
        <f>COUNTIF(A$2:$A227,A227)</f>
        <v>23</v>
      </c>
      <c r="D22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27" s="111">
        <f>COUNTIF($D$2:D227,D227)</f>
        <v>2</v>
      </c>
      <c r="G227" s="89" t="str">
        <f>Référentiels!A227&amp;TEXT(Référentiels!B227,"000")</f>
        <v>BCH023</v>
      </c>
      <c r="H227" s="64" t="s">
        <v>1098</v>
      </c>
      <c r="I227" s="64" t="s">
        <v>34</v>
      </c>
      <c r="J227" s="23">
        <v>25</v>
      </c>
      <c r="K227" s="26">
        <f>IFERROR(
  SUMIFS(#REF!,#REF!, tbl_ProduitsRef[[#This Row],[Cde_Prdt]]),
0)</f>
        <v>0</v>
      </c>
      <c r="M227" s="91" t="s">
        <v>282</v>
      </c>
      <c r="N227" s="88" t="str">
        <f>Référentiels!D227&amp;TEXT(Référentiels!E227,"000")</f>
        <v>PSU002</v>
      </c>
      <c r="O227" s="88" t="s">
        <v>1281</v>
      </c>
      <c r="P227" s="23">
        <v>0.6</v>
      </c>
      <c r="Q227" s="88" t="s">
        <v>209</v>
      </c>
      <c r="R22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600</v>
      </c>
      <c r="S22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0.6</v>
      </c>
    </row>
    <row r="228" spans="1:19" ht="16.5" customHeight="1" x14ac:dyDescent="0.3">
      <c r="A22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8" s="111">
        <f>COUNTIF(A$2:$A228,A228)</f>
        <v>24</v>
      </c>
      <c r="D22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28" s="111">
        <f>COUNTIF($D$2:D228,D228)</f>
        <v>3</v>
      </c>
      <c r="G228" s="89" t="str">
        <f>Référentiels!A228&amp;TEXT(Référentiels!B228,"000")</f>
        <v>BCH024</v>
      </c>
      <c r="H228" s="64" t="s">
        <v>1092</v>
      </c>
      <c r="I228" s="64" t="s">
        <v>34</v>
      </c>
      <c r="J228" s="23">
        <v>25</v>
      </c>
      <c r="K228" s="26">
        <f>IFERROR(
  SUMIFS(#REF!,#REF!, tbl_ProduitsRef[[#This Row],[Cde_Prdt]]),
0)</f>
        <v>0</v>
      </c>
      <c r="M228" s="91" t="s">
        <v>865</v>
      </c>
      <c r="N228" s="88" t="str">
        <f>Référentiels!D228&amp;TEXT(Référentiels!E228,"000")</f>
        <v>PSU003</v>
      </c>
      <c r="O228" s="88" t="s">
        <v>1281</v>
      </c>
      <c r="P228" s="23">
        <v>0.125</v>
      </c>
      <c r="Q228" s="88" t="s">
        <v>209</v>
      </c>
      <c r="R22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125</v>
      </c>
      <c r="S22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0.125</v>
      </c>
    </row>
    <row r="229" spans="1:19" ht="16.5" customHeight="1" x14ac:dyDescent="0.3">
      <c r="A22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29" s="111">
        <f>COUNTIF(A$2:$A229,A229)</f>
        <v>25</v>
      </c>
      <c r="D22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29" s="111">
        <f>COUNTIF($D$2:D229,D229)</f>
        <v>4</v>
      </c>
      <c r="G229" s="89" t="str">
        <f>Référentiels!A229&amp;TEXT(Référentiels!B229,"000")</f>
        <v>BCH025</v>
      </c>
      <c r="H229" s="64" t="s">
        <v>1282</v>
      </c>
      <c r="I229" s="64" t="s">
        <v>34</v>
      </c>
      <c r="J229" s="23">
        <v>25</v>
      </c>
      <c r="K229" s="26">
        <f>IFERROR(
  SUMIFS(#REF!,#REF!, tbl_ProduitsRef[[#This Row],[Cde_Prdt]]),
0)</f>
        <v>0</v>
      </c>
      <c r="M229" s="91" t="s">
        <v>867</v>
      </c>
      <c r="N229" s="88" t="str">
        <f>Référentiels!D229&amp;TEXT(Référentiels!E229,"000")</f>
        <v>PSU004</v>
      </c>
      <c r="O229" s="88" t="s">
        <v>1281</v>
      </c>
      <c r="P229" s="23">
        <v>7</v>
      </c>
      <c r="Q229" s="88" t="s">
        <v>206</v>
      </c>
      <c r="R22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2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</v>
      </c>
    </row>
    <row r="230" spans="1:19" ht="16.5" customHeight="1" x14ac:dyDescent="0.3">
      <c r="A23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0" s="111">
        <f>COUNTIF(A$2:$A230,A230)</f>
        <v>26</v>
      </c>
      <c r="D23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0" s="111">
        <f>COUNTIF($D$2:D230,D230)</f>
        <v>5</v>
      </c>
      <c r="G230" s="89" t="str">
        <f>Référentiels!A230&amp;TEXT(Référentiels!B230,"000")</f>
        <v>BCH026</v>
      </c>
      <c r="H230" s="64" t="s">
        <v>1283</v>
      </c>
      <c r="I230" s="64" t="s">
        <v>34</v>
      </c>
      <c r="J230" s="23">
        <v>25</v>
      </c>
      <c r="K230" s="26">
        <f>IFERROR(
  SUMIFS(#REF!,#REF!, tbl_ProduitsRef[[#This Row],[Cde_Prdt]]),
0)</f>
        <v>0</v>
      </c>
      <c r="M230" s="91" t="s">
        <v>934</v>
      </c>
      <c r="N230" s="88" t="str">
        <f>Référentiels!D230&amp;TEXT(Référentiels!E230,"000")</f>
        <v>PSU005</v>
      </c>
      <c r="O230" s="88" t="s">
        <v>1281</v>
      </c>
      <c r="P230" s="23">
        <v>7</v>
      </c>
      <c r="Q230" s="88" t="s">
        <v>206</v>
      </c>
      <c r="R23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3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</v>
      </c>
    </row>
    <row r="231" spans="1:19" ht="16.5" customHeight="1" x14ac:dyDescent="0.3">
      <c r="A23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1" s="111">
        <f>COUNTIF(A$2:$A231,A231)</f>
        <v>27</v>
      </c>
      <c r="D23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1" s="111">
        <f>COUNTIF($D$2:D231,D231)</f>
        <v>6</v>
      </c>
      <c r="G231" s="89" t="str">
        <f>Référentiels!A231&amp;TEXT(Référentiels!B231,"000")</f>
        <v>BCH027</v>
      </c>
      <c r="H231" s="64" t="s">
        <v>1096</v>
      </c>
      <c r="I231" s="64" t="s">
        <v>34</v>
      </c>
      <c r="J231" s="23">
        <v>17</v>
      </c>
      <c r="K231" s="26">
        <f>IFERROR(
  SUMIFS(#REF!,#REF!, tbl_ProduitsRef[[#This Row],[Cde_Prdt]]),
0)</f>
        <v>0</v>
      </c>
      <c r="M231" s="91" t="s">
        <v>1018</v>
      </c>
      <c r="N231" s="88" t="str">
        <f>Référentiels!D231&amp;TEXT(Référentiels!E231,"000")</f>
        <v>PSU006</v>
      </c>
      <c r="O231" s="88" t="s">
        <v>1281</v>
      </c>
      <c r="P231" s="23">
        <v>7</v>
      </c>
      <c r="Q231" s="88" t="s">
        <v>206</v>
      </c>
      <c r="R23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3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</v>
      </c>
    </row>
    <row r="232" spans="1:19" ht="16.5" customHeight="1" x14ac:dyDescent="0.3">
      <c r="A23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2" s="111">
        <f>COUNTIF(A$2:$A232,A232)</f>
        <v>28</v>
      </c>
      <c r="D23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2" s="111">
        <f>COUNTIF($D$2:D232,D232)</f>
        <v>7</v>
      </c>
      <c r="G232" s="89" t="str">
        <f>Référentiels!A232&amp;TEXT(Référentiels!B232,"000")</f>
        <v>BCH028</v>
      </c>
      <c r="H232" s="64" t="s">
        <v>1100</v>
      </c>
      <c r="I232" s="64" t="s">
        <v>34</v>
      </c>
      <c r="J232" s="23">
        <v>30</v>
      </c>
      <c r="K232" s="26">
        <f>IFERROR(
  SUMIFS(#REF!,#REF!, tbl_ProduitsRef[[#This Row],[Cde_Prdt]]),
0)</f>
        <v>0</v>
      </c>
      <c r="M232" s="91" t="s">
        <v>1012</v>
      </c>
      <c r="N232" s="88" t="str">
        <f>Référentiels!D232&amp;TEXT(Référentiels!E232,"000")</f>
        <v>PSU007</v>
      </c>
      <c r="O232" s="88" t="s">
        <v>1281</v>
      </c>
      <c r="P232" s="23">
        <v>7</v>
      </c>
      <c r="Q232" s="88" t="s">
        <v>206</v>
      </c>
      <c r="R23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3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</v>
      </c>
    </row>
    <row r="233" spans="1:19" ht="16.5" customHeight="1" x14ac:dyDescent="0.3">
      <c r="A23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3" s="111">
        <f>COUNTIF(A$2:$A233,A233)</f>
        <v>29</v>
      </c>
      <c r="D23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3" s="111">
        <f>COUNTIF($D$2:D233,D233)</f>
        <v>8</v>
      </c>
      <c r="G233" s="89" t="str">
        <f>Référentiels!A233&amp;TEXT(Référentiels!B233,"000")</f>
        <v>BCH029</v>
      </c>
      <c r="H233" s="64" t="s">
        <v>1106</v>
      </c>
      <c r="I233" s="64" t="s">
        <v>34</v>
      </c>
      <c r="J233" s="23">
        <v>22</v>
      </c>
      <c r="K233" s="26">
        <f>IFERROR(
  SUMIFS(#REF!,#REF!, tbl_ProduitsRef[[#This Row],[Cde_Prdt]]),
0)</f>
        <v>0</v>
      </c>
      <c r="M233" s="91" t="s">
        <v>1030</v>
      </c>
      <c r="N233" s="88" t="str">
        <f>Référentiels!D233&amp;TEXT(Référentiels!E233,"000")</f>
        <v>PSU008</v>
      </c>
      <c r="O233" s="88" t="s">
        <v>1281</v>
      </c>
      <c r="P233" s="23">
        <v>0.1</v>
      </c>
      <c r="Q233" s="88" t="s">
        <v>209</v>
      </c>
      <c r="R23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3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234" spans="1:19" ht="16.5" customHeight="1" x14ac:dyDescent="0.3">
      <c r="A23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4" s="111">
        <f>COUNTIF(A$2:$A234,A234)</f>
        <v>30</v>
      </c>
      <c r="D23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4" s="111">
        <f>COUNTIF($D$2:D234,D234)</f>
        <v>9</v>
      </c>
      <c r="G234" s="89" t="str">
        <f>Référentiels!A234&amp;TEXT(Référentiels!B234,"000")</f>
        <v>BCH030</v>
      </c>
      <c r="H234" s="64" t="s">
        <v>1116</v>
      </c>
      <c r="I234" s="64" t="s">
        <v>34</v>
      </c>
      <c r="J234" s="23">
        <v>15</v>
      </c>
      <c r="K234" s="26">
        <f>IFERROR(
  SUMIFS(#REF!,#REF!, tbl_ProduitsRef[[#This Row],[Cde_Prdt]]),
0)</f>
        <v>0</v>
      </c>
      <c r="M234" s="91" t="s">
        <v>1075</v>
      </c>
      <c r="N234" s="88" t="str">
        <f>Référentiels!D234&amp;TEXT(Référentiels!E234,"000")</f>
        <v>PSU009</v>
      </c>
      <c r="O234" s="88" t="s">
        <v>1281</v>
      </c>
      <c r="P234" s="23">
        <v>0.15</v>
      </c>
      <c r="Q234" s="88" t="s">
        <v>209</v>
      </c>
      <c r="R23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150</v>
      </c>
      <c r="S23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0.15</v>
      </c>
    </row>
    <row r="235" spans="1:19" ht="16.5" customHeight="1" x14ac:dyDescent="0.3">
      <c r="A23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5" s="111">
        <f>COUNTIF(A$2:$A235,A235)</f>
        <v>31</v>
      </c>
      <c r="D23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5" s="111">
        <f>COUNTIF($D$2:D235,D235)</f>
        <v>10</v>
      </c>
      <c r="G235" s="89" t="str">
        <f>Référentiels!A235&amp;TEXT(Référentiels!B235,"000")</f>
        <v>BCH031</v>
      </c>
      <c r="H235" s="64" t="s">
        <v>1112</v>
      </c>
      <c r="I235" s="64" t="s">
        <v>34</v>
      </c>
      <c r="J235" s="23">
        <v>15</v>
      </c>
      <c r="K235" s="26">
        <f>IFERROR(
  SUMIFS(#REF!,#REF!, tbl_ProduitsRef[[#This Row],[Cde_Prdt]]),
0)</f>
        <v>0</v>
      </c>
      <c r="M235" s="91" t="s">
        <v>1284</v>
      </c>
      <c r="N235" s="88" t="str">
        <f>Référentiels!D235&amp;TEXT(Référentiels!E235,"000")</f>
        <v>PSU010</v>
      </c>
      <c r="O235" s="88" t="s">
        <v>1281</v>
      </c>
      <c r="P235" s="23">
        <v>6.4000000000000001E-2</v>
      </c>
      <c r="Q235" s="88" t="s">
        <v>221</v>
      </c>
      <c r="R23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64</v>
      </c>
      <c r="S23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6.4000000000000001E-2</v>
      </c>
    </row>
    <row r="236" spans="1:19" ht="16.5" customHeight="1" x14ac:dyDescent="0.3">
      <c r="A23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6" s="111">
        <f>COUNTIF(A$2:$A236,A236)</f>
        <v>32</v>
      </c>
      <c r="D23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6" s="111">
        <f>COUNTIF($D$2:D236,D236)</f>
        <v>11</v>
      </c>
      <c r="G236" s="89" t="str">
        <f>Référentiels!A236&amp;TEXT(Référentiels!B236,"000")</f>
        <v>BCH032</v>
      </c>
      <c r="H236" s="64" t="s">
        <v>1108</v>
      </c>
      <c r="I236" s="64" t="s">
        <v>34</v>
      </c>
      <c r="J236" s="23">
        <v>15</v>
      </c>
      <c r="K236" s="26">
        <f>IFERROR(
  SUMIFS(#REF!,#REF!, tbl_ProduitsRef[[#This Row],[Cde_Prdt]]),
0)</f>
        <v>0</v>
      </c>
      <c r="M236" s="91" t="s">
        <v>1285</v>
      </c>
      <c r="N236" s="88" t="str">
        <f>Référentiels!D236&amp;TEXT(Référentiels!E236,"000")</f>
        <v>PSU011</v>
      </c>
      <c r="O236" s="88" t="s">
        <v>1281</v>
      </c>
      <c r="P236" s="23">
        <v>0.26</v>
      </c>
      <c r="Q236" s="88" t="s">
        <v>209</v>
      </c>
      <c r="R23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260</v>
      </c>
      <c r="S23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0.26</v>
      </c>
    </row>
    <row r="237" spans="1:19" ht="16.5" customHeight="1" x14ac:dyDescent="0.3">
      <c r="A23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BCH</v>
      </c>
      <c r="B237" s="111">
        <f>COUNTIF(A$2:$A237,A237)</f>
        <v>33</v>
      </c>
      <c r="D23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7" s="111">
        <f>COUNTIF($D$2:D237,D237)</f>
        <v>12</v>
      </c>
      <c r="G237" s="89" t="str">
        <f>Référentiels!A237&amp;TEXT(Référentiels!B237,"000")</f>
        <v>BCH033</v>
      </c>
      <c r="H237" s="64" t="s">
        <v>1286</v>
      </c>
      <c r="I237" s="64" t="s">
        <v>34</v>
      </c>
      <c r="J237" s="23">
        <v>20</v>
      </c>
      <c r="K237" s="26">
        <f>IFERROR(
  SUMIFS(#REF!,#REF!, tbl_ProduitsRef[[#This Row],[Cde_Prdt]]),
0)</f>
        <v>0</v>
      </c>
      <c r="M237" s="91" t="s">
        <v>1287</v>
      </c>
      <c r="N237" s="88" t="str">
        <f>Référentiels!D237&amp;TEXT(Référentiels!E237,"000")</f>
        <v>PSU012</v>
      </c>
      <c r="O237" s="88" t="s">
        <v>1281</v>
      </c>
      <c r="P237" s="23">
        <v>0.04</v>
      </c>
      <c r="Q237" s="88" t="s">
        <v>209</v>
      </c>
      <c r="R23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</v>
      </c>
      <c r="S23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0.04</v>
      </c>
    </row>
    <row r="238" spans="1:19" ht="16.5" customHeight="1" x14ac:dyDescent="0.3">
      <c r="A23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38" s="111">
        <f>COUNTIF(A$2:$A238,A238)</f>
        <v>1</v>
      </c>
      <c r="D23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8" s="111">
        <f>COUNTIF($D$2:D238,D238)</f>
        <v>13</v>
      </c>
      <c r="G238" s="89" t="str">
        <f>Référentiels!A238&amp;TEXT(Référentiels!B238,"000")</f>
        <v>JUS001</v>
      </c>
      <c r="H238" s="64" t="s">
        <v>49</v>
      </c>
      <c r="I238" s="64" t="s">
        <v>35</v>
      </c>
      <c r="J238" s="23">
        <v>23</v>
      </c>
      <c r="K238" s="26">
        <f>IFERROR(
  SUMIFS(#REF!,#REF!, tbl_ProduitsRef[[#This Row],[Cde_Prdt]]),
0)</f>
        <v>0</v>
      </c>
      <c r="M238" s="91" t="s">
        <v>1087</v>
      </c>
      <c r="N238" s="88" t="str">
        <f>Référentiels!D238&amp;TEXT(Référentiels!E238,"000")</f>
        <v>PSU013</v>
      </c>
      <c r="O238" s="88" t="s">
        <v>1281</v>
      </c>
      <c r="P238" s="23">
        <v>0.05</v>
      </c>
      <c r="Q238" s="88" t="s">
        <v>209</v>
      </c>
      <c r="R23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3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239" spans="1:19" ht="16.5" customHeight="1" x14ac:dyDescent="0.3">
      <c r="A23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39" s="111">
        <f>COUNTIF(A$2:$A239,A239)</f>
        <v>2</v>
      </c>
      <c r="D23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39" s="111">
        <f>COUNTIF($D$2:D239,D239)</f>
        <v>14</v>
      </c>
      <c r="G239" s="89" t="str">
        <f>Référentiels!A239&amp;TEXT(Référentiels!B239,"000")</f>
        <v>JUS002</v>
      </c>
      <c r="H239" s="64" t="s">
        <v>1005</v>
      </c>
      <c r="I239" s="64" t="s">
        <v>35</v>
      </c>
      <c r="J239" s="23">
        <v>23</v>
      </c>
      <c r="K239" s="26">
        <f>IFERROR(
  SUMIFS(#REF!,#REF!, tbl_ProduitsRef[[#This Row],[Cde_Prdt]]),
0)</f>
        <v>0</v>
      </c>
      <c r="M239" s="91" t="s">
        <v>1288</v>
      </c>
      <c r="N239" s="88" t="str">
        <f>Référentiels!D239&amp;TEXT(Référentiels!E239,"000")</f>
        <v>PSU014</v>
      </c>
      <c r="O239" s="88" t="s">
        <v>1281</v>
      </c>
      <c r="P239" s="23">
        <v>0.2</v>
      </c>
      <c r="Q239" s="88" t="s">
        <v>221</v>
      </c>
      <c r="R23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200</v>
      </c>
      <c r="S23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0.2</v>
      </c>
    </row>
    <row r="240" spans="1:19" ht="16.5" customHeight="1" x14ac:dyDescent="0.3">
      <c r="A24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0" s="111">
        <f>COUNTIF(A$2:$A240,A240)</f>
        <v>3</v>
      </c>
      <c r="D24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40" s="111">
        <f>COUNTIF($D$2:D240,D240)</f>
        <v>15</v>
      </c>
      <c r="G240" s="89" t="str">
        <f>Référentiels!A240&amp;TEXT(Référentiels!B240,"000")</f>
        <v>JUS003</v>
      </c>
      <c r="H240" s="64" t="s">
        <v>993</v>
      </c>
      <c r="I240" s="64" t="s">
        <v>35</v>
      </c>
      <c r="J240" s="23">
        <v>27</v>
      </c>
      <c r="K240" s="26">
        <f>IFERROR(
  SUMIFS(#REF!,#REF!, tbl_ProduitsRef[[#This Row],[Cde_Prdt]]),
0)</f>
        <v>0</v>
      </c>
      <c r="M240" s="90" t="s">
        <v>1089</v>
      </c>
      <c r="N240" s="88" t="str">
        <f>Référentiels!D240&amp;TEXT(Référentiels!E240,"000")</f>
        <v>PSU015</v>
      </c>
      <c r="O240" s="88" t="s">
        <v>1281</v>
      </c>
      <c r="P240" s="23">
        <v>0.3</v>
      </c>
      <c r="Q240" s="88" t="s">
        <v>221</v>
      </c>
      <c r="R24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24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0.3</v>
      </c>
    </row>
    <row r="241" spans="1:19" ht="16.5" customHeight="1" x14ac:dyDescent="0.3">
      <c r="A24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1" s="111">
        <f>COUNTIF(A$2:$A241,A241)</f>
        <v>4</v>
      </c>
      <c r="D24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41" s="111">
        <f>COUNTIF($D$2:D241,D241)</f>
        <v>16</v>
      </c>
      <c r="G241" s="89" t="str">
        <f>Référentiels!A241&amp;TEXT(Référentiels!B241,"000")</f>
        <v>JUS004</v>
      </c>
      <c r="H241" s="64" t="s">
        <v>985</v>
      </c>
      <c r="I241" s="64" t="s">
        <v>35</v>
      </c>
      <c r="J241" s="23">
        <v>29</v>
      </c>
      <c r="K241" s="26">
        <f>IFERROR(
  SUMIFS(#REF!,#REF!, tbl_ProduitsRef[[#This Row],[Cde_Prdt]]),
0)</f>
        <v>0</v>
      </c>
      <c r="M241" s="90" t="s">
        <v>1289</v>
      </c>
      <c r="N241" s="88" t="str">
        <f>Référentiels!D241&amp;TEXT(Référentiels!E241,"000")</f>
        <v>PSU016</v>
      </c>
      <c r="O241" s="88" t="s">
        <v>1281</v>
      </c>
      <c r="P241" s="23">
        <v>0.05</v>
      </c>
      <c r="Q241" s="88" t="s">
        <v>221</v>
      </c>
      <c r="R24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50</v>
      </c>
      <c r="S24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0.05</v>
      </c>
    </row>
    <row r="242" spans="1:19" ht="16.5" customHeight="1" x14ac:dyDescent="0.3">
      <c r="A24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2" s="111">
        <f>COUNTIF(A$2:$A242,A242)</f>
        <v>5</v>
      </c>
      <c r="D24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42" s="111">
        <f>COUNTIF($D$2:D242,D242)</f>
        <v>17</v>
      </c>
      <c r="G242" s="89" t="str">
        <f>Référentiels!A242&amp;TEXT(Référentiels!B242,"000")</f>
        <v>JUS005</v>
      </c>
      <c r="H242" s="64" t="s">
        <v>995</v>
      </c>
      <c r="I242" s="64" t="s">
        <v>35</v>
      </c>
      <c r="J242" s="23">
        <v>25</v>
      </c>
      <c r="K242" s="26">
        <f>IFERROR(
  SUMIFS(#REF!,#REF!, tbl_ProduitsRef[[#This Row],[Cde_Prdt]]),
0)</f>
        <v>0</v>
      </c>
      <c r="M242" s="91" t="s">
        <v>893</v>
      </c>
      <c r="N242" s="88" t="str">
        <f>Référentiels!D242&amp;TEXT(Référentiels!E242,"000")</f>
        <v>PSU017</v>
      </c>
      <c r="O242" s="88" t="s">
        <v>1281</v>
      </c>
      <c r="P242" s="23">
        <v>7.0000000000000001E-3</v>
      </c>
      <c r="Q242" s="88" t="s">
        <v>209</v>
      </c>
      <c r="R24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7</v>
      </c>
      <c r="S24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7.0000000000000001E-3</v>
      </c>
    </row>
    <row r="243" spans="1:19" ht="16.5" customHeight="1" x14ac:dyDescent="0.3">
      <c r="A24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3" s="111">
        <f>COUNTIF(A$2:$A243,A243)</f>
        <v>6</v>
      </c>
      <c r="D24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PSU</v>
      </c>
      <c r="E243" s="111">
        <f>COUNTIF($D$2:D243,D243)</f>
        <v>18</v>
      </c>
      <c r="G243" s="89" t="str">
        <f>Référentiels!A243&amp;TEXT(Référentiels!B243,"000")</f>
        <v>JUS006</v>
      </c>
      <c r="H243" s="64" t="s">
        <v>1003</v>
      </c>
      <c r="I243" s="64" t="s">
        <v>35</v>
      </c>
      <c r="J243" s="23">
        <v>23</v>
      </c>
      <c r="K243" s="26">
        <f>IFERROR(
  SUMIFS(#REF!,#REF!, tbl_ProduitsRef[[#This Row],[Cde_Prdt]]),
0)</f>
        <v>0</v>
      </c>
      <c r="M243" s="91" t="s">
        <v>284</v>
      </c>
      <c r="N243" s="88" t="str">
        <f>Référentiels!D243&amp;TEXT(Référentiels!E243,"000")</f>
        <v>PSU018</v>
      </c>
      <c r="O243" s="88" t="s">
        <v>1281</v>
      </c>
      <c r="P243" s="23">
        <v>0.4</v>
      </c>
      <c r="Q243" s="88" t="s">
        <v>221</v>
      </c>
      <c r="R24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400</v>
      </c>
      <c r="S24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0.4</v>
      </c>
    </row>
    <row r="244" spans="1:19" ht="16.5" customHeight="1" x14ac:dyDescent="0.3">
      <c r="A24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4" s="111">
        <f>COUNTIF(A$2:$A244,A244)</f>
        <v>7</v>
      </c>
      <c r="D24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GLA</v>
      </c>
      <c r="E244" s="111">
        <f>COUNTIF($D$2:D244,D244)</f>
        <v>1</v>
      </c>
      <c r="G244" s="89" t="str">
        <f>Référentiels!A244&amp;TEXT(Référentiels!B244,"000")</f>
        <v>JUS007</v>
      </c>
      <c r="H244" s="64" t="s">
        <v>999</v>
      </c>
      <c r="I244" s="64" t="s">
        <v>35</v>
      </c>
      <c r="J244" s="23">
        <v>25</v>
      </c>
      <c r="K244" s="26">
        <f>IFERROR(
  SUMIFS(#REF!,#REF!, tbl_ProduitsRef[[#This Row],[Cde_Prdt]]),
0)</f>
        <v>0</v>
      </c>
      <c r="M244" s="91" t="s">
        <v>869</v>
      </c>
      <c r="N244" s="88" t="str">
        <f>Référentiels!D244&amp;TEXT(Référentiels!E244,"000")</f>
        <v>GLA001</v>
      </c>
      <c r="O244" s="88" t="s">
        <v>1290</v>
      </c>
      <c r="P244" s="23">
        <v>5</v>
      </c>
      <c r="Q244" s="88" t="s">
        <v>206</v>
      </c>
      <c r="R24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5</v>
      </c>
      <c r="S24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5</v>
      </c>
    </row>
    <row r="245" spans="1:19" ht="16.5" customHeight="1" x14ac:dyDescent="0.3">
      <c r="A24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5" s="111">
        <f>COUNTIF(A$2:$A245,A245)</f>
        <v>8</v>
      </c>
      <c r="D24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5" s="111">
        <f>COUNTIF($D$2:D245,D245)</f>
        <v>1</v>
      </c>
      <c r="G245" s="89" t="str">
        <f>Référentiels!A245&amp;TEXT(Référentiels!B245,"000")</f>
        <v>JUS008</v>
      </c>
      <c r="H245" s="64" t="s">
        <v>981</v>
      </c>
      <c r="I245" s="64" t="s">
        <v>35</v>
      </c>
      <c r="J245" s="23">
        <v>32</v>
      </c>
      <c r="K245" s="26">
        <f>IFERROR(
  SUMIFS(#REF!,#REF!, tbl_ProduitsRef[[#This Row],[Cde_Prdt]]),
0)</f>
        <v>0</v>
      </c>
      <c r="M245" s="91" t="s">
        <v>1291</v>
      </c>
      <c r="N245" s="88" t="str">
        <f>Référentiels!D245&amp;TEXT(Référentiels!E245,"000")</f>
        <v>DES001</v>
      </c>
      <c r="O245" s="88" t="s">
        <v>1292</v>
      </c>
      <c r="P245" s="23">
        <v>15</v>
      </c>
      <c r="Q245" s="88" t="s">
        <v>206</v>
      </c>
      <c r="R24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4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15</v>
      </c>
    </row>
    <row r="246" spans="1:19" ht="16.5" customHeight="1" x14ac:dyDescent="0.3">
      <c r="A24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6" s="111">
        <f>COUNTIF(A$2:$A246,A246)</f>
        <v>9</v>
      </c>
      <c r="D24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6" s="111">
        <f>COUNTIF($D$2:D246,D246)</f>
        <v>2</v>
      </c>
      <c r="G246" s="89" t="str">
        <f>Référentiels!A246&amp;TEXT(Référentiels!B246,"000")</f>
        <v>JUS009</v>
      </c>
      <c r="H246" s="64" t="s">
        <v>989</v>
      </c>
      <c r="I246" s="64" t="s">
        <v>35</v>
      </c>
      <c r="J246" s="23">
        <v>29</v>
      </c>
      <c r="K246" s="26">
        <f>IFERROR(
  SUMIFS(#REF!,#REF!, tbl_ProduitsRef[[#This Row],[Cde_Prdt]]),
0)</f>
        <v>0</v>
      </c>
      <c r="M246" s="91" t="s">
        <v>964</v>
      </c>
      <c r="N246" s="88" t="str">
        <f>Référentiels!D246&amp;TEXT(Référentiels!E246,"000")</f>
        <v>DES002</v>
      </c>
      <c r="O246" s="88" t="s">
        <v>1292</v>
      </c>
      <c r="P246" s="23">
        <v>15</v>
      </c>
      <c r="Q246" s="88" t="s">
        <v>206</v>
      </c>
      <c r="R24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4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15</v>
      </c>
    </row>
    <row r="247" spans="1:19" ht="16.5" customHeight="1" x14ac:dyDescent="0.3">
      <c r="A24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7" s="111">
        <f>COUNTIF(A$2:$A247,A247)</f>
        <v>10</v>
      </c>
      <c r="D24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7" s="111">
        <f>COUNTIF($D$2:D247,D247)</f>
        <v>3</v>
      </c>
      <c r="G247" s="89" t="str">
        <f>Référentiels!A247&amp;TEXT(Référentiels!B247,"000")</f>
        <v>JUS010</v>
      </c>
      <c r="H247" s="64" t="s">
        <v>987</v>
      </c>
      <c r="I247" s="64" t="s">
        <v>35</v>
      </c>
      <c r="J247" s="23">
        <v>29</v>
      </c>
      <c r="K247" s="26">
        <f>IFERROR(
  SUMIFS(#REF!,#REF!, tbl_ProduitsRef[[#This Row],[Cde_Prdt]]),
0)</f>
        <v>0</v>
      </c>
      <c r="M247" s="91" t="s">
        <v>966</v>
      </c>
      <c r="N247" s="88" t="str">
        <f>Référentiels!D247&amp;TEXT(Référentiels!E247,"000")</f>
        <v>DES003</v>
      </c>
      <c r="O247" s="88" t="s">
        <v>1292</v>
      </c>
      <c r="P247" s="23">
        <v>0.1</v>
      </c>
      <c r="Q247" s="88" t="s">
        <v>221</v>
      </c>
      <c r="R24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100</v>
      </c>
      <c r="S24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0.1</v>
      </c>
    </row>
    <row r="248" spans="1:19" ht="16.5" customHeight="1" x14ac:dyDescent="0.3">
      <c r="A24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JUS</v>
      </c>
      <c r="B248" s="111">
        <f>COUNTIF(A$2:$A248,A248)</f>
        <v>11</v>
      </c>
      <c r="D24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8" s="111">
        <f>COUNTIF($D$2:D248,D248)</f>
        <v>4</v>
      </c>
      <c r="G248" s="89" t="str">
        <f>Référentiels!A248&amp;TEXT(Référentiels!B248,"000")</f>
        <v>JUS011</v>
      </c>
      <c r="H248" s="64" t="s">
        <v>973</v>
      </c>
      <c r="I248" s="64" t="s">
        <v>35</v>
      </c>
      <c r="J248" s="23">
        <v>35</v>
      </c>
      <c r="K248" s="26">
        <f>IFERROR(
  SUMIFS(#REF!,#REF!, tbl_ProduitsRef[[#This Row],[Cde_Prdt]]),
0)</f>
        <v>0</v>
      </c>
      <c r="M248" s="91" t="s">
        <v>908</v>
      </c>
      <c r="N248" s="88" t="str">
        <f>Référentiels!D248&amp;TEXT(Référentiels!E248,"000")</f>
        <v>DES004</v>
      </c>
      <c r="O248" s="88" t="s">
        <v>1292</v>
      </c>
      <c r="P248" s="23">
        <v>15</v>
      </c>
      <c r="Q248" s="88" t="s">
        <v>206</v>
      </c>
      <c r="R24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4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15</v>
      </c>
    </row>
    <row r="249" spans="1:19" ht="16.5" customHeight="1" x14ac:dyDescent="0.3">
      <c r="A24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49" s="111">
        <f>COUNTIF(A$2:$A249,A249)</f>
        <v>1</v>
      </c>
      <c r="D24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49" s="111">
        <f>COUNTIF($D$2:D249,D249)</f>
        <v>5</v>
      </c>
      <c r="G249" s="89" t="str">
        <f>Référentiels!A249&amp;TEXT(Référentiels!B249,"000")</f>
        <v>MKS001</v>
      </c>
      <c r="H249" s="64" t="s">
        <v>1008</v>
      </c>
      <c r="I249" s="64" t="s">
        <v>36</v>
      </c>
      <c r="J249" s="23">
        <v>38</v>
      </c>
      <c r="K249" s="26">
        <f>IFERROR(
  SUMIFS(#REF!,#REF!, tbl_ProduitsRef[[#This Row],[Cde_Prdt]]),
0)</f>
        <v>0</v>
      </c>
      <c r="M249" s="91" t="s">
        <v>1293</v>
      </c>
      <c r="N249" s="88" t="str">
        <f>Référentiels!D249&amp;TEXT(Référentiels!E249,"000")</f>
        <v>DES005</v>
      </c>
      <c r="O249" s="88" t="s">
        <v>1292</v>
      </c>
      <c r="P249" s="23">
        <v>16</v>
      </c>
      <c r="Q249" s="88" t="s">
        <v>206</v>
      </c>
      <c r="R24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16</v>
      </c>
      <c r="S24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16</v>
      </c>
    </row>
    <row r="250" spans="1:19" ht="16.5" customHeight="1" x14ac:dyDescent="0.3">
      <c r="A25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0" s="111">
        <f>COUNTIF(A$2:$A250,A250)</f>
        <v>2</v>
      </c>
      <c r="D25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50" s="111">
        <f>COUNTIF($D$2:D250,D250)</f>
        <v>6</v>
      </c>
      <c r="G250" s="89" t="str">
        <f>Référentiels!A250&amp;TEXT(Référentiels!B250,"000")</f>
        <v>MKS002</v>
      </c>
      <c r="H250" s="64" t="s">
        <v>51</v>
      </c>
      <c r="I250" s="64" t="s">
        <v>36</v>
      </c>
      <c r="J250" s="23">
        <v>38</v>
      </c>
      <c r="K250" s="26">
        <f>IFERROR(
  SUMIFS(#REF!,#REF!, tbl_ProduitsRef[[#This Row],[Cde_Prdt]]),
0)</f>
        <v>0</v>
      </c>
      <c r="M250" s="91" t="s">
        <v>897</v>
      </c>
      <c r="N250" s="88" t="str">
        <f>Référentiels!D250&amp;TEXT(Référentiels!E250,"000")</f>
        <v>DES006</v>
      </c>
      <c r="O250" s="88" t="s">
        <v>1292</v>
      </c>
      <c r="P250" s="23">
        <v>15</v>
      </c>
      <c r="Q250" s="88" t="s">
        <v>206</v>
      </c>
      <c r="R25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5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15</v>
      </c>
    </row>
    <row r="251" spans="1:19" ht="16.5" customHeight="1" x14ac:dyDescent="0.3">
      <c r="A25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1" s="111">
        <f>COUNTIF(A$2:$A251,A251)</f>
        <v>3</v>
      </c>
      <c r="D25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51" s="111">
        <f>COUNTIF($D$2:D251,D251)</f>
        <v>7</v>
      </c>
      <c r="G251" s="89" t="str">
        <f>Référentiels!A251&amp;TEXT(Référentiels!B251,"000")</f>
        <v>MKS003</v>
      </c>
      <c r="H251" s="64" t="s">
        <v>1013</v>
      </c>
      <c r="I251" s="64" t="s">
        <v>36</v>
      </c>
      <c r="J251" s="23">
        <v>38</v>
      </c>
      <c r="K251" s="26">
        <f>IFERROR(
  SUMIFS(#REF!,#REF!, tbl_ProduitsRef[[#This Row],[Cde_Prdt]]),
0)</f>
        <v>0</v>
      </c>
      <c r="M251" s="91" t="s">
        <v>898</v>
      </c>
      <c r="N251" s="88" t="str">
        <f>Référentiels!D251&amp;TEXT(Référentiels!E251,"000")</f>
        <v>DES007</v>
      </c>
      <c r="O251" s="88" t="s">
        <v>1292</v>
      </c>
      <c r="P251" s="23">
        <v>15</v>
      </c>
      <c r="Q251" s="88" t="s">
        <v>206</v>
      </c>
      <c r="R25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5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15</v>
      </c>
    </row>
    <row r="252" spans="1:19" ht="16.5" customHeight="1" x14ac:dyDescent="0.3">
      <c r="A25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2" s="111">
        <f>COUNTIF(A$2:$A252,A252)</f>
        <v>4</v>
      </c>
      <c r="D25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52" s="111">
        <f>COUNTIF($D$2:D252,D252)</f>
        <v>8</v>
      </c>
      <c r="G252" s="89" t="str">
        <f>Référentiels!A252&amp;TEXT(Référentiels!B252,"000")</f>
        <v>MKS004</v>
      </c>
      <c r="H252" s="64" t="s">
        <v>1015</v>
      </c>
      <c r="I252" s="64" t="s">
        <v>36</v>
      </c>
      <c r="J252" s="23">
        <v>38</v>
      </c>
      <c r="K252" s="26">
        <f>IFERROR(
  SUMIFS(#REF!,#REF!, tbl_ProduitsRef[[#This Row],[Cde_Prdt]]),
0)</f>
        <v>0</v>
      </c>
      <c r="M252" s="91" t="s">
        <v>901</v>
      </c>
      <c r="N252" s="88" t="str">
        <f>Référentiels!D252&amp;TEXT(Référentiels!E252,"000")</f>
        <v>DES008</v>
      </c>
      <c r="O252" s="88" t="s">
        <v>1292</v>
      </c>
      <c r="P252" s="23">
        <v>16</v>
      </c>
      <c r="Q252" s="88" t="s">
        <v>206</v>
      </c>
      <c r="R25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16</v>
      </c>
      <c r="S25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16</v>
      </c>
    </row>
    <row r="253" spans="1:19" ht="16.5" customHeight="1" x14ac:dyDescent="0.3">
      <c r="A25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3" s="111">
        <f>COUNTIF(A$2:$A253,A253)</f>
        <v>5</v>
      </c>
      <c r="D25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DES</v>
      </c>
      <c r="E253" s="111">
        <f>COUNTIF($D$2:D253,D253)</f>
        <v>9</v>
      </c>
      <c r="G253" s="89" t="str">
        <f>Référentiels!A253&amp;TEXT(Référentiels!B253,"000")</f>
        <v>MKS005</v>
      </c>
      <c r="H253" s="64" t="s">
        <v>1019</v>
      </c>
      <c r="I253" s="64" t="s">
        <v>36</v>
      </c>
      <c r="J253" s="23">
        <v>38</v>
      </c>
      <c r="K253" s="26">
        <f>IFERROR(
  SUMIFS(#REF!,#REF!, tbl_ProduitsRef[[#This Row],[Cde_Prdt]]),
0)</f>
        <v>0</v>
      </c>
      <c r="M253" s="91" t="s">
        <v>911</v>
      </c>
      <c r="N253" s="88" t="str">
        <f>Référentiels!D253&amp;TEXT(Référentiels!E253,"000")</f>
        <v>DES009</v>
      </c>
      <c r="O253" s="88" t="s">
        <v>1292</v>
      </c>
      <c r="P253" s="23">
        <v>15</v>
      </c>
      <c r="Q253" s="88" t="s">
        <v>206</v>
      </c>
      <c r="R25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15</v>
      </c>
      <c r="S25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15</v>
      </c>
    </row>
    <row r="254" spans="1:19" ht="16.5" customHeight="1" x14ac:dyDescent="0.3">
      <c r="A25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4" s="111">
        <f>COUNTIF(A$2:$A254,A254)</f>
        <v>6</v>
      </c>
      <c r="D25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4" s="111">
        <f>COUNTIF($D$2:D254,D254)</f>
        <v>1</v>
      </c>
      <c r="G254" s="89" t="str">
        <f>Référentiels!A254&amp;TEXT(Référentiels!B254,"000")</f>
        <v>MKS006</v>
      </c>
      <c r="H254" s="64" t="s">
        <v>1021</v>
      </c>
      <c r="I254" s="64" t="s">
        <v>36</v>
      </c>
      <c r="J254" s="23">
        <v>35</v>
      </c>
      <c r="K254" s="26">
        <f>IFERROR(
  SUMIFS(#REF!,#REF!, tbl_ProduitsRef[[#This Row],[Cde_Prdt]]),
0)</f>
        <v>0</v>
      </c>
      <c r="M254" s="91" t="s">
        <v>1058</v>
      </c>
      <c r="N254" s="88" t="str">
        <f>Référentiels!D254&amp;TEXT(Référentiels!E254,"000")</f>
        <v>BOI001</v>
      </c>
      <c r="O254" s="88" t="s">
        <v>1294</v>
      </c>
      <c r="P254" s="23">
        <v>4</v>
      </c>
      <c r="Q254" s="88" t="s">
        <v>206</v>
      </c>
      <c r="R25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</v>
      </c>
      <c r="S25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4</v>
      </c>
    </row>
    <row r="255" spans="1:19" ht="16.5" customHeight="1" x14ac:dyDescent="0.3">
      <c r="A25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5" s="111">
        <f>COUNTIF(A$2:$A255,A255)</f>
        <v>7</v>
      </c>
      <c r="D25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5" s="111">
        <f>COUNTIF($D$2:D255,D255)</f>
        <v>2</v>
      </c>
      <c r="G255" s="89" t="str">
        <f>Référentiels!A255&amp;TEXT(Référentiels!B255,"000")</f>
        <v>MKS007</v>
      </c>
      <c r="H255" s="64" t="s">
        <v>1025</v>
      </c>
      <c r="I255" s="64" t="s">
        <v>36</v>
      </c>
      <c r="J255" s="23">
        <v>35</v>
      </c>
      <c r="K255" s="26">
        <f>IFERROR(
  SUMIFS(#REF!,#REF!, tbl_ProduitsRef[[#This Row],[Cde_Prdt]]),
0)</f>
        <v>0</v>
      </c>
      <c r="M255" s="91" t="s">
        <v>1048</v>
      </c>
      <c r="N255" s="88" t="str">
        <f>Référentiels!D255&amp;TEXT(Référentiels!E255,"000")</f>
        <v>BOI002</v>
      </c>
      <c r="O255" s="88" t="s">
        <v>1294</v>
      </c>
      <c r="P255" s="23">
        <v>11</v>
      </c>
      <c r="Q255" s="88" t="s">
        <v>206</v>
      </c>
      <c r="R25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11</v>
      </c>
      <c r="S25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11</v>
      </c>
    </row>
    <row r="256" spans="1:19" ht="16.5" customHeight="1" x14ac:dyDescent="0.3">
      <c r="A25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MKS</v>
      </c>
      <c r="B256" s="111">
        <f>COUNTIF(A$2:$A256,A256)</f>
        <v>8</v>
      </c>
      <c r="D25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6" s="111">
        <f>COUNTIF($D$2:D256,D256)</f>
        <v>3</v>
      </c>
      <c r="G256" s="89" t="str">
        <f>Référentiels!A256&amp;TEXT(Référentiels!B256,"000")</f>
        <v>MKS008</v>
      </c>
      <c r="H256" s="64" t="s">
        <v>1027</v>
      </c>
      <c r="I256" s="64" t="s">
        <v>36</v>
      </c>
      <c r="J256" s="23">
        <v>35</v>
      </c>
      <c r="K256" s="26">
        <f>IFERROR(
  SUMIFS(#REF!,#REF!, tbl_ProduitsRef[[#This Row],[Cde_Prdt]]),
0)</f>
        <v>0</v>
      </c>
      <c r="M256" s="91" t="s">
        <v>1105</v>
      </c>
      <c r="N256" s="88" t="str">
        <f>Référentiels!D256&amp;TEXT(Référentiels!E256,"000")</f>
        <v>BOI003</v>
      </c>
      <c r="O256" s="88" t="s">
        <v>1294</v>
      </c>
      <c r="P256" s="23">
        <v>1.5</v>
      </c>
      <c r="Q256" s="88" t="s">
        <v>206</v>
      </c>
      <c r="R25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1.5</v>
      </c>
      <c r="S25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1.5</v>
      </c>
    </row>
    <row r="257" spans="1:19" ht="16.5" customHeight="1" x14ac:dyDescent="0.3">
      <c r="A25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57" s="111">
        <f>COUNTIF(A$2:$A257,A257)</f>
        <v>1</v>
      </c>
      <c r="D257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7" s="111">
        <f>COUNTIF($D$2:D257,D257)</f>
        <v>4</v>
      </c>
      <c r="G257" s="89" t="str">
        <f>Référentiels!A257&amp;TEXT(Référentiels!B257,"000")</f>
        <v>SmCk001</v>
      </c>
      <c r="H257" s="64" t="s">
        <v>1031</v>
      </c>
      <c r="I257" s="64" t="s">
        <v>37</v>
      </c>
      <c r="J257" s="23">
        <v>39</v>
      </c>
      <c r="K257" s="26">
        <f>IFERROR(
  SUMIFS(#REF!,#REF!, tbl_ProduitsRef[[#This Row],[Cde_Prdt]]),
0)</f>
        <v>0</v>
      </c>
      <c r="M257" s="91" t="s">
        <v>1115</v>
      </c>
      <c r="N257" s="88" t="str">
        <f>Référentiels!D257&amp;TEXT(Référentiels!E257,"000")</f>
        <v>BOI004</v>
      </c>
      <c r="O257" s="88" t="s">
        <v>1294</v>
      </c>
      <c r="P257" s="23">
        <v>0.3</v>
      </c>
      <c r="Q257" s="88" t="s">
        <v>209</v>
      </c>
      <c r="R25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300</v>
      </c>
      <c r="S25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0.3</v>
      </c>
    </row>
    <row r="258" spans="1:19" ht="16.5" customHeight="1" x14ac:dyDescent="0.3">
      <c r="A25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58" s="111">
        <f>COUNTIF(A$2:$A258,A258)</f>
        <v>2</v>
      </c>
      <c r="D258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8" s="111">
        <f>COUNTIF($D$2:D258,D258)</f>
        <v>5</v>
      </c>
      <c r="G258" s="89" t="str">
        <f>Référentiels!A258&amp;TEXT(Référentiels!B258,"000")</f>
        <v>SmCk002</v>
      </c>
      <c r="H258" s="64" t="s">
        <v>1033</v>
      </c>
      <c r="I258" s="64" t="s">
        <v>37</v>
      </c>
      <c r="J258" s="23">
        <v>35</v>
      </c>
      <c r="K258" s="26">
        <f>IFERROR(
  SUMIFS(#REF!,#REF!, tbl_ProduitsRef[[#This Row],[Cde_Prdt]]),
0)</f>
        <v>0</v>
      </c>
      <c r="M258" s="91" t="s">
        <v>1111</v>
      </c>
      <c r="N258" s="88" t="str">
        <f>Référentiels!D258&amp;TEXT(Référentiels!E258,"000")</f>
        <v>BOI005</v>
      </c>
      <c r="O258" s="88" t="s">
        <v>1294</v>
      </c>
      <c r="P258" s="23">
        <v>1.5</v>
      </c>
      <c r="Q258" s="88" t="s">
        <v>206</v>
      </c>
      <c r="R258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1.5</v>
      </c>
      <c r="S258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1.5</v>
      </c>
    </row>
    <row r="259" spans="1:19" ht="16.5" customHeight="1" x14ac:dyDescent="0.3">
      <c r="A25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59" s="111">
        <f>COUNTIF(A$2:$A259,A259)</f>
        <v>3</v>
      </c>
      <c r="D259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59" s="111">
        <f>COUNTIF($D$2:D259,D259)</f>
        <v>6</v>
      </c>
      <c r="G259" s="89" t="str">
        <f>Référentiels!A259&amp;TEXT(Référentiels!B259,"000")</f>
        <v>SmCk003</v>
      </c>
      <c r="H259" s="64" t="s">
        <v>1035</v>
      </c>
      <c r="I259" s="64" t="s">
        <v>37</v>
      </c>
      <c r="J259" s="23">
        <v>35</v>
      </c>
      <c r="K259" s="26">
        <f>IFERROR(
  SUMIFS(#REF!,#REF!, tbl_ProduitsRef[[#This Row],[Cde_Prdt]]),
0)</f>
        <v>0</v>
      </c>
      <c r="M259" s="91" t="s">
        <v>1119</v>
      </c>
      <c r="N259" s="88" t="str">
        <f>Référentiels!D259&amp;TEXT(Référentiels!E259,"000")</f>
        <v>BOI006</v>
      </c>
      <c r="O259" s="88" t="s">
        <v>1294</v>
      </c>
      <c r="P259" s="23">
        <v>2</v>
      </c>
      <c r="Q259" s="88" t="s">
        <v>206</v>
      </c>
      <c r="R259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259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2</v>
      </c>
    </row>
    <row r="260" spans="1:19" ht="16.5" customHeight="1" x14ac:dyDescent="0.3">
      <c r="A26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0" s="111">
        <f>COUNTIF(A$2:$A260,A260)</f>
        <v>4</v>
      </c>
      <c r="D260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0" s="111">
        <f>COUNTIF($D$2:D260,D260)</f>
        <v>7</v>
      </c>
      <c r="G260" s="89" t="str">
        <f>Référentiels!A260&amp;TEXT(Référentiels!B260,"000")</f>
        <v>SmCk004</v>
      </c>
      <c r="H260" s="64" t="s">
        <v>1041</v>
      </c>
      <c r="I260" s="64" t="s">
        <v>37</v>
      </c>
      <c r="J260" s="23">
        <v>35</v>
      </c>
      <c r="K260" s="26">
        <f>IFERROR(
  SUMIFS(#REF!,#REF!, tbl_ProduitsRef[[#This Row],[Cde_Prdt]]),
0)</f>
        <v>0</v>
      </c>
      <c r="M260" s="91" t="s">
        <v>1147</v>
      </c>
      <c r="N260" s="88" t="str">
        <f>Référentiels!D260&amp;TEXT(Référentiels!E260,"000")</f>
        <v>BOI007</v>
      </c>
      <c r="O260" s="88" t="s">
        <v>1294</v>
      </c>
      <c r="P260" s="23">
        <v>9</v>
      </c>
      <c r="Q260" s="88" t="s">
        <v>206</v>
      </c>
      <c r="R260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9</v>
      </c>
      <c r="S260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9</v>
      </c>
    </row>
    <row r="261" spans="1:19" ht="16.5" customHeight="1" x14ac:dyDescent="0.3">
      <c r="A26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1" s="111">
        <f>COUNTIF(A$2:$A261,A261)</f>
        <v>5</v>
      </c>
      <c r="D261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1" s="111">
        <f>COUNTIF($D$2:D261,D261)</f>
        <v>8</v>
      </c>
      <c r="G261" s="89" t="str">
        <f>Référentiels!A261&amp;TEXT(Référentiels!B261,"000")</f>
        <v>SmCk005</v>
      </c>
      <c r="H261" s="64" t="s">
        <v>1043</v>
      </c>
      <c r="I261" s="64" t="s">
        <v>37</v>
      </c>
      <c r="J261" s="23">
        <v>35</v>
      </c>
      <c r="K261" s="26">
        <f>IFERROR(
  SUMIFS(#REF!,#REF!, tbl_ProduitsRef[[#This Row],[Cde_Prdt]]),
0)</f>
        <v>0</v>
      </c>
      <c r="M261" s="91" t="s">
        <v>1150</v>
      </c>
      <c r="N261" s="88" t="str">
        <f>Référentiels!D261&amp;TEXT(Référentiels!E261,"000")</f>
        <v>BOI008</v>
      </c>
      <c r="O261" s="88" t="s">
        <v>1294</v>
      </c>
      <c r="P261" s="23">
        <v>4.5</v>
      </c>
      <c r="Q261" s="88" t="s">
        <v>206</v>
      </c>
      <c r="R261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4.5</v>
      </c>
      <c r="S261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4.5</v>
      </c>
    </row>
    <row r="262" spans="1:19" ht="16.5" customHeight="1" x14ac:dyDescent="0.3">
      <c r="A26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2" s="111">
        <f>COUNTIF(A$2:$A262,A262)</f>
        <v>6</v>
      </c>
      <c r="D262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2" s="111">
        <f>COUNTIF($D$2:D262,D262)</f>
        <v>9</v>
      </c>
      <c r="G262" s="89" t="str">
        <f>Référentiels!A262&amp;TEXT(Référentiels!B262,"000")</f>
        <v>SmCk006</v>
      </c>
      <c r="H262" s="64" t="s">
        <v>1120</v>
      </c>
      <c r="I262" s="64" t="s">
        <v>37</v>
      </c>
      <c r="J262" s="23">
        <v>45</v>
      </c>
      <c r="K262" s="26">
        <f>IFERROR(
  SUMIFS(#REF!,#REF!, tbl_ProduitsRef[[#This Row],[Cde_Prdt]]),
0)</f>
        <v>0</v>
      </c>
      <c r="M262" s="91" t="s">
        <v>1184</v>
      </c>
      <c r="N262" s="88" t="str">
        <f>Référentiels!D262&amp;TEXT(Référentiels!E262,"000")</f>
        <v>BOI009</v>
      </c>
      <c r="O262" s="88" t="s">
        <v>1294</v>
      </c>
      <c r="P262" s="23">
        <v>3</v>
      </c>
      <c r="Q262" s="88" t="s">
        <v>206</v>
      </c>
      <c r="R262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</v>
      </c>
      <c r="S262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3</v>
      </c>
    </row>
    <row r="263" spans="1:19" ht="16.5" customHeight="1" x14ac:dyDescent="0.3">
      <c r="A26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3" s="111">
        <f>COUNTIF(A$2:$A263,A263)</f>
        <v>7</v>
      </c>
      <c r="D263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3" s="111">
        <f>COUNTIF($D$2:D263,D263)</f>
        <v>10</v>
      </c>
      <c r="G263" s="89" t="str">
        <f>Référentiels!A263&amp;TEXT(Référentiels!B263,"000")</f>
        <v>SmCk007</v>
      </c>
      <c r="H263" s="64" t="s">
        <v>1124</v>
      </c>
      <c r="I263" s="64" t="s">
        <v>37</v>
      </c>
      <c r="J263" s="23">
        <v>40</v>
      </c>
      <c r="K263" s="26">
        <f>IFERROR(
  SUMIFS(#REF!,#REF!, tbl_ProduitsRef[[#This Row],[Cde_Prdt]]),
0)</f>
        <v>0</v>
      </c>
      <c r="M263" s="91" t="s">
        <v>1185</v>
      </c>
      <c r="N263" s="88" t="str">
        <f>Référentiels!D263&amp;TEXT(Référentiels!E263,"000")</f>
        <v>BOI010</v>
      </c>
      <c r="O263" s="88" t="s">
        <v>1294</v>
      </c>
      <c r="P263" s="23">
        <v>2</v>
      </c>
      <c r="Q263" s="88" t="s">
        <v>206</v>
      </c>
      <c r="R263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2</v>
      </c>
      <c r="S263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2</v>
      </c>
    </row>
    <row r="264" spans="1:19" ht="16.5" customHeight="1" x14ac:dyDescent="0.3">
      <c r="A26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4" s="111">
        <f>COUNTIF(A$2:$A264,A264)</f>
        <v>8</v>
      </c>
      <c r="D264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4" s="111">
        <f>COUNTIF($D$2:D264,D264)</f>
        <v>11</v>
      </c>
      <c r="G264" s="89" t="str">
        <f>Référentiels!A264&amp;TEXT(Référentiels!B264,"000")</f>
        <v>SmCk008</v>
      </c>
      <c r="H264" s="64" t="s">
        <v>1130</v>
      </c>
      <c r="I264" s="64" t="s">
        <v>37</v>
      </c>
      <c r="J264" s="23">
        <v>40</v>
      </c>
      <c r="K264" s="26">
        <f>IFERROR(
  SUMIFS(#REF!,#REF!, tbl_ProduitsRef[[#This Row],[Cde_Prdt]]),
0)</f>
        <v>0</v>
      </c>
      <c r="M264" s="91" t="s">
        <v>1141</v>
      </c>
      <c r="N264" s="88" t="str">
        <f>Référentiels!D264&amp;TEXT(Référentiels!E264,"000")</f>
        <v>BOI011</v>
      </c>
      <c r="O264" s="88" t="s">
        <v>1294</v>
      </c>
      <c r="P264" s="23">
        <v>3</v>
      </c>
      <c r="Q264" s="88" t="s">
        <v>206</v>
      </c>
      <c r="R264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3</v>
      </c>
      <c r="S264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3</v>
      </c>
    </row>
    <row r="265" spans="1:19" ht="16.5" customHeight="1" x14ac:dyDescent="0.3">
      <c r="A26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5" s="111">
        <f>COUNTIF(A$2:$A265,A265)</f>
        <v>9</v>
      </c>
      <c r="D265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5" s="111">
        <f>COUNTIF($D$2:D265,D265)</f>
        <v>12</v>
      </c>
      <c r="G265" s="89" t="str">
        <f>Référentiels!A265&amp;TEXT(Référentiels!B265,"000")</f>
        <v>SmCk009</v>
      </c>
      <c r="H265" s="64" t="s">
        <v>1132</v>
      </c>
      <c r="I265" s="64" t="s">
        <v>37</v>
      </c>
      <c r="J265" s="23">
        <v>38</v>
      </c>
      <c r="K265" s="26">
        <f>IFERROR(
  SUMIFS(#REF!,#REF!, tbl_ProduitsRef[[#This Row],[Cde_Prdt]]),
0)</f>
        <v>0</v>
      </c>
      <c r="M265" s="91" t="s">
        <v>1295</v>
      </c>
      <c r="N265" s="88" t="str">
        <f>Référentiels!D265&amp;TEXT(Référentiels!E265,"000")</f>
        <v>BOI012</v>
      </c>
      <c r="O265" s="88" t="s">
        <v>1294</v>
      </c>
      <c r="P265" s="23">
        <v>14</v>
      </c>
      <c r="Q265" s="88" t="s">
        <v>206</v>
      </c>
      <c r="R265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14</v>
      </c>
      <c r="S265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14</v>
      </c>
    </row>
    <row r="266" spans="1:19" ht="16.5" customHeight="1" x14ac:dyDescent="0.3">
      <c r="A266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6" s="111">
        <f>COUNTIF(A$2:$A266,A266)</f>
        <v>10</v>
      </c>
      <c r="D266" s="38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6" s="111">
        <f>COUNTIF($D$2:D266,D266)</f>
        <v>13</v>
      </c>
      <c r="G266" s="89" t="str">
        <f>Référentiels!A266&amp;TEXT(Référentiels!B266,"000")</f>
        <v>SmCk010</v>
      </c>
      <c r="H266" s="64" t="s">
        <v>1136</v>
      </c>
      <c r="I266" s="64" t="s">
        <v>37</v>
      </c>
      <c r="J266" s="23">
        <v>35</v>
      </c>
      <c r="K266" s="26">
        <f>IFERROR(
  SUMIFS(#REF!,#REF!, tbl_ProduitsRef[[#This Row],[Cde_Prdt]]),
0)</f>
        <v>0</v>
      </c>
      <c r="M266" s="91" t="s">
        <v>260</v>
      </c>
      <c r="N266" s="88" t="str">
        <f>Référentiels!D266&amp;TEXT(Référentiels!E266,"000")</f>
        <v>BOI013</v>
      </c>
      <c r="O266" s="88" t="s">
        <v>1294</v>
      </c>
      <c r="P266" s="23">
        <v>8</v>
      </c>
      <c r="Q266" s="88" t="s">
        <v>206</v>
      </c>
      <c r="R266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8</v>
      </c>
      <c r="S266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8</v>
      </c>
    </row>
    <row r="267" spans="1:19" ht="16.5" customHeight="1" x14ac:dyDescent="0.3">
      <c r="A267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7" s="111">
        <f>COUNTIF(A$2:$A267,A267)</f>
        <v>11</v>
      </c>
      <c r="D267" s="32" t="str">
        <f>IF(tbl_IngrédientsRef[[#This Row],[Catégorie]]="Boulangerie","BOU",
IF(tbl_IngrédientsRef[[#This Row],[Catégorie]]="Féculents","FEC",
IF(tbl_IngrédientsRef[[#This Row],[Catégorie]]="Préparations","PRP",
IF(tbl_IngrédientsRef[[#This Row],[Catégorie]]="Viande Spécial","VSP",
IF(tbl_IngrédientsRef[[#This Row],[Catégorie]]="Pâtes","PST",
IF(tbl_IngrédientsRef[[#This Row],[Catégorie]]="Viande De Volaille","VOL",
IF(tbl_IngrédientsRef[[#This Row],[Catégorie]]="Viande De Boeuf","BOE",
IF(tbl_IngrédientsRef[[#This Row],[Catégorie]]="Viande d'Agneau","AGN",
IF(tbl_IngrédientsRef[[#This Row],[Catégorie]]="Viande De Veau","VEA",
IF(tbl_IngrédientsRef[[#This Row],[Catégorie]]="Charcuterie","CHA",
IF(tbl_IngrédientsRef[[#This Row],[Catégorie]]="Poissons","POI",
IF(tbl_IngrédientsRef[[#This Row],[Catégorie]]="Fruits de mer","FDM",
IF(tbl_IngrédientsRef[[#This Row],[Catégorie]]="Produits laitiers","PRL",
IF(tbl_IngrédientsRef[[#This Row],[Catégorie]]="Légumes","LEG",
IF(tbl_IngrédientsRef[[#This Row],[Catégorie]]="Fruits frais","FRU",
IF(tbl_IngrédientsRef[[#This Row],[Catégorie]]="Épicerie","EPI",
IF(tbl_IngrédientsRef[[#This Row],[Catégorie]]="Produits Sucrés","PSU",
IF(tbl_IngrédientsRef[[#This Row],[Catégorie]]="Condiments","CDM",
IF(tbl_IngrédientsRef[[#This Row],[Catégorie]]="Sauces","SOS",
IF(tbl_IngrédientsRef[[#This Row],[Catégorie]]="Glaces","GLA",
IF(tbl_IngrédientsRef[[#This Row],[Catégorie]]="Desserts","DES",
IF(tbl_IngrédientsRef[[#This Row],[Catégorie]]="Boissons chaudes &amp; froides","BOI",
"⚠️ Catégorie inconnue"))))))))))))))))))))))</f>
        <v>BOI</v>
      </c>
      <c r="E267" s="112">
        <f>COUNTIF($D$2:D267,D267)</f>
        <v>14</v>
      </c>
      <c r="G267" s="89" t="str">
        <f>Référentiels!A267&amp;TEXT(Référentiels!B267,"000")</f>
        <v>SmCk011</v>
      </c>
      <c r="H267" s="64" t="s">
        <v>69</v>
      </c>
      <c r="I267" s="64" t="s">
        <v>37</v>
      </c>
      <c r="J267" s="23">
        <v>38</v>
      </c>
      <c r="K267" s="26">
        <f>IFERROR(
  SUMIFS(#REF!,#REF!, tbl_ProduitsRef[[#This Row],[Cde_Prdt]]),
0)</f>
        <v>0</v>
      </c>
      <c r="M267" s="96" t="s">
        <v>262</v>
      </c>
      <c r="N267" s="88" t="str">
        <f>Référentiels!D267&amp;TEXT(Référentiels!E267,"000")</f>
        <v>BOI014</v>
      </c>
      <c r="O267" s="94" t="s">
        <v>1294</v>
      </c>
      <c r="P267" s="24">
        <v>1</v>
      </c>
      <c r="Q267" s="94" t="s">
        <v>206</v>
      </c>
      <c r="R267" s="23">
        <f>IFERROR(
  IF(tbl_IngrédientsRef[[#This Row],[Unité]]="g", (tbl_IngrédientsRef[[#This Row],[PU_effectif_g/ml]]*1000),
     IF(tbl_IngrédientsRef[[#This Row],[Unité]]="ml", tbl_IngrédientsRef[[#This Row],[PU_effectif_g/ml]]*1000,
        IF(tbl_IngrédientsRef[[#This Row],[Unité]]="pièce", tbl_IngrédientsRef[[#This Row],[PU_effectif_g/ml]],
           tbl_IngrédientsRef[[#This Row],[PU_effectif_g/ml]]        )
     )
  ),
0)</f>
        <v>1</v>
      </c>
      <c r="S267" s="25">
        <f>IF(tbl_IngrédientsRef[[#This Row],[Unité]]="kg", tbl_IngrédientsRef[[#This Row],[Prix Au kg ou L]]/1000, IF(tbl_IngrédientsRef[[#This Row],[Unité]]="L", tbl_IngrédientsRef[[#This Row],[Prix Au kg ou L]]/1000, tbl_IngrédientsRef[[#This Row],[Prix/Uni Base]]))</f>
        <v>1</v>
      </c>
    </row>
    <row r="268" spans="1:19" ht="16.5" customHeight="1" x14ac:dyDescent="0.3">
      <c r="A268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8" s="111">
        <f>COUNTIF(A$2:$A268,A268)</f>
        <v>12</v>
      </c>
      <c r="D268" s="38"/>
      <c r="E268" s="104"/>
      <c r="G268" s="89" t="str">
        <f>Référentiels!A268&amp;TEXT(Référentiels!B268,"000")</f>
        <v>SmCk012</v>
      </c>
      <c r="H268" s="64" t="s">
        <v>53</v>
      </c>
      <c r="I268" s="64" t="s">
        <v>37</v>
      </c>
      <c r="J268" s="23">
        <v>32</v>
      </c>
      <c r="K268" s="26">
        <f>IFERROR(
  SUMIFS(#REF!,#REF!, tbl_ProduitsRef[[#This Row],[Cde_Prdt]]),
0)</f>
        <v>0</v>
      </c>
    </row>
    <row r="269" spans="1:19" ht="16.5" customHeight="1" x14ac:dyDescent="0.3">
      <c r="A269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69" s="111">
        <f>COUNTIF(A$2:$A269,A269)</f>
        <v>13</v>
      </c>
      <c r="D269" s="38"/>
      <c r="E269" s="104"/>
      <c r="G269" s="89" t="str">
        <f>Référentiels!A269&amp;TEXT(Référentiels!B269,"000")</f>
        <v>SmCk013</v>
      </c>
      <c r="H269" s="64" t="s">
        <v>55</v>
      </c>
      <c r="I269" s="64" t="s">
        <v>37</v>
      </c>
      <c r="J269" s="23">
        <v>30</v>
      </c>
      <c r="K269" s="26">
        <f>IFERROR(
  SUMIFS(#REF!,#REF!, tbl_ProduitsRef[[#This Row],[Cde_Prdt]]),
0)</f>
        <v>0</v>
      </c>
    </row>
    <row r="270" spans="1:19" ht="16.5" customHeight="1" x14ac:dyDescent="0.3">
      <c r="A270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SmCk</v>
      </c>
      <c r="B270" s="111">
        <f>COUNTIF(A$2:$A270,A270)</f>
        <v>14</v>
      </c>
      <c r="D270" s="38"/>
      <c r="E270" s="104"/>
      <c r="G270" s="89" t="str">
        <f>Référentiels!A270&amp;TEXT(Référentiels!B270,"000")</f>
        <v>SmCk014</v>
      </c>
      <c r="H270" s="64" t="s">
        <v>1143</v>
      </c>
      <c r="I270" s="64" t="s">
        <v>37</v>
      </c>
      <c r="J270" s="23">
        <v>30</v>
      </c>
      <c r="K270" s="26">
        <f>IFERROR(
  SUMIFS(#REF!,#REF!, tbl_ProduitsRef[[#This Row],[Cde_Prdt]]),
0)</f>
        <v>0</v>
      </c>
    </row>
    <row r="271" spans="1:19" ht="16.5" customHeight="1" x14ac:dyDescent="0.3">
      <c r="A271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1" s="111">
        <f>COUNTIF(A$2:$A271,A271)</f>
        <v>1</v>
      </c>
      <c r="D271" s="38"/>
      <c r="E271" s="104"/>
      <c r="G271" s="89" t="str">
        <f>Référentiels!A271&amp;TEXT(Référentiels!B271,"000")</f>
        <v>BFR001</v>
      </c>
      <c r="H271" s="64" t="s">
        <v>56</v>
      </c>
      <c r="I271" s="64" t="s">
        <v>38</v>
      </c>
      <c r="J271" s="23">
        <v>30</v>
      </c>
      <c r="K271" s="26">
        <f>IFERROR(
  SUMIFS(#REF!,#REF!, tbl_ProduitsRef[[#This Row],[Cde_Prdt]]),
0)</f>
        <v>0</v>
      </c>
    </row>
    <row r="272" spans="1:19" ht="16.5" customHeight="1" x14ac:dyDescent="0.3">
      <c r="A272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2" s="111">
        <f>COUNTIF(A$2:$A272,A272)</f>
        <v>2</v>
      </c>
      <c r="D272" s="38"/>
      <c r="E272" s="104"/>
      <c r="G272" s="89" t="str">
        <f>Référentiels!A272&amp;TEXT(Référentiels!B272,"000")</f>
        <v>BFR002</v>
      </c>
      <c r="H272" s="64" t="s">
        <v>63</v>
      </c>
      <c r="I272" s="64" t="s">
        <v>38</v>
      </c>
      <c r="J272" s="23">
        <v>14</v>
      </c>
      <c r="K272" s="26">
        <f>IFERROR(
  SUMIFS(#REF!,#REF!, tbl_ProduitsRef[[#This Row],[Cde_Prdt]]),
0)</f>
        <v>0</v>
      </c>
    </row>
    <row r="273" spans="1:11" ht="16.5" customHeight="1" x14ac:dyDescent="0.3">
      <c r="A273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3" s="111">
        <f>COUNTIF(A$2:$A273,A273)</f>
        <v>3</v>
      </c>
      <c r="D273" s="38"/>
      <c r="E273" s="104"/>
      <c r="G273" s="89" t="str">
        <f>Référentiels!A273&amp;TEXT(Référentiels!B273,"000")</f>
        <v>BFR003</v>
      </c>
      <c r="H273" s="64" t="s">
        <v>59</v>
      </c>
      <c r="I273" s="64" t="s">
        <v>38</v>
      </c>
      <c r="J273" s="23">
        <v>8</v>
      </c>
      <c r="K273" s="26">
        <f>IFERROR(
  SUMIFS(#REF!,#REF!, tbl_ProduitsRef[[#This Row],[Cde_Prdt]]),
0)</f>
        <v>0</v>
      </c>
    </row>
    <row r="274" spans="1:11" ht="16.5" customHeight="1" x14ac:dyDescent="0.3">
      <c r="A274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4" s="111">
        <f>COUNTIF(A$2:$A274,A274)</f>
        <v>4</v>
      </c>
      <c r="D274" s="38"/>
      <c r="E274" s="104"/>
      <c r="G274" s="89" t="str">
        <f>Référentiels!A274&amp;TEXT(Référentiels!B274,"000")</f>
        <v>BFR004</v>
      </c>
      <c r="H274" s="64" t="s">
        <v>60</v>
      </c>
      <c r="I274" s="64" t="s">
        <v>38</v>
      </c>
      <c r="J274" s="23">
        <v>4</v>
      </c>
      <c r="K274" s="26">
        <f>IFERROR(
  SUMIFS(#REF!,#REF!, tbl_ProduitsRef[[#This Row],[Cde_Prdt]]),
0)</f>
        <v>0</v>
      </c>
    </row>
    <row r="275" spans="1:11" ht="16.5" customHeight="1" x14ac:dyDescent="0.3">
      <c r="A275" s="38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5" s="111">
        <f>COUNTIF(A$2:$A275,A275)</f>
        <v>5</v>
      </c>
      <c r="D275" s="38"/>
      <c r="E275" s="104"/>
      <c r="G275" s="89" t="str">
        <f>Référentiels!A275&amp;TEXT(Référentiels!B275,"000")</f>
        <v>BFR005</v>
      </c>
      <c r="H275" s="64" t="s">
        <v>66</v>
      </c>
      <c r="I275" s="64" t="s">
        <v>38</v>
      </c>
      <c r="J275" s="23">
        <v>16</v>
      </c>
      <c r="K275" s="26">
        <f>IFERROR(
  SUMIFS(#REF!,#REF!, tbl_ProduitsRef[[#This Row],[Cde_Prdt]]),
0)</f>
        <v>0</v>
      </c>
    </row>
    <row r="276" spans="1:11" ht="16.5" customHeight="1" x14ac:dyDescent="0.3">
      <c r="A276" s="32" t="str">
        <f>IF(tbl_ProduitsRef[[#This Row],[Famille]]="Petits déjeuners","PDJ",
IF(tbl_ProduitsRef[[#This Row],[Famille]]="À la carte","OND",
IF(tbl_ProduitsRef[[#This Row],[Famille]]="Œufs &amp; Omelettes","OME",
IF(tbl_ProduitsRef[[#This Row],[Famille]]="Suppléments","SUP",
IF(tbl_ProduitsRef[[#This Row],[Famille]]="Glaces &amp; Desserts","DES",
IF(tbl_ProduitsRef[[#This Row],[Famille]]="Crêpes &amp; Gaufres","CRP",
IF(tbl_ProduitsRef[[#This Row],[Famille]]="Boissons chaudes","BCH",
IF(tbl_ProduitsRef[[#This Row],[Famille]]="Smoothies &amp; Coctails","SmCk",
IF(tbl_ProduitsRef[[#This Row],[Famille]]="Boissons froides","BFR",
IF(tbl_ProduitsRef[[#This Row],[Famille]]="Milkshakes","MKS",
IF(tbl_ProduitsRef[[#This Row],[Famille]]="Jus Frais","JUS",
IF(tbl_ProduitsRef[[#This Row],[Famille]]="Poulet","PUL",
IF(tbl_ProduitsRef[[#This Row],[Famille]]="Boucherie","VIA",
IF(tbl_ProduitsRef[[#This Row],[Famille]]="Poissons &amp; Fruits de mer","POI",
IF(tbl_ProduitsRef[[#This Row],[Famille]]="Pâtes","PAT",
IF(tbl_ProduitsRef[[#This Row],[Famille]]="Pizzas","PIZ",
IF(tbl_ProduitsRef[[#This Row],[Famille]]="Entrées &amp; Salades","ENT",
IF(tbl_ProduitsRef[[#This Row],[Famille]]="Snack","SNK",
IF(tbl_ProduitsRef[[#This Row],[Famille]]="Tajines &amp; Coin marocain","TAJ")))))))))))))))))))</f>
        <v>BFR</v>
      </c>
      <c r="B276" s="112">
        <f>COUNTIF(A$2:$A276,A276)</f>
        <v>6</v>
      </c>
      <c r="D276" s="38"/>
      <c r="E276" s="104"/>
      <c r="G276" s="99" t="str">
        <f>Référentiels!A276&amp;TEXT(Référentiels!B276,"000")</f>
        <v>BFR006</v>
      </c>
      <c r="H276" s="70" t="s">
        <v>1158</v>
      </c>
      <c r="I276" s="70" t="s">
        <v>38</v>
      </c>
      <c r="J276" s="24">
        <v>30</v>
      </c>
      <c r="K276" s="27">
        <f>IFERROR(
  SUMIFS(#REF!,#REF!, tbl_ProduitsRef[[#This Row],[Cde_Prdt]]),
0)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6">
    <tabColor theme="9" tint="-0.249977111117893"/>
  </sheetPr>
  <dimension ref="A1:F119"/>
  <sheetViews>
    <sheetView topLeftCell="A109" zoomScale="85" zoomScaleNormal="85" workbookViewId="0">
      <selection activeCell="D115" sqref="D115"/>
    </sheetView>
  </sheetViews>
  <sheetFormatPr baseColWidth="10" defaultColWidth="41.140625" defaultRowHeight="16.5" x14ac:dyDescent="0.3"/>
  <cols>
    <col min="1" max="1" width="41" style="1" bestFit="1" customWidth="1"/>
    <col min="2" max="2" width="16.7109375" style="1" bestFit="1" customWidth="1"/>
    <col min="3" max="3" width="17" style="1" bestFit="1" customWidth="1"/>
    <col min="4" max="4" width="38.85546875" style="1" bestFit="1" customWidth="1"/>
    <col min="5" max="5" width="16.28515625" style="2" bestFit="1" customWidth="1"/>
    <col min="6" max="6" width="12.28515625" style="1" bestFit="1" customWidth="1"/>
    <col min="7" max="7" width="41.140625" style="1" customWidth="1"/>
    <col min="8" max="16384" width="41.140625" style="1"/>
  </cols>
  <sheetData>
    <row r="1" spans="1:6" x14ac:dyDescent="0.3">
      <c r="A1" s="78" t="s">
        <v>41</v>
      </c>
      <c r="B1" s="79" t="s">
        <v>42</v>
      </c>
      <c r="C1" s="80" t="s">
        <v>199</v>
      </c>
      <c r="D1" s="79" t="s">
        <v>200</v>
      </c>
      <c r="E1" s="79" t="s">
        <v>201</v>
      </c>
      <c r="F1" s="81" t="s">
        <v>202</v>
      </c>
    </row>
    <row r="2" spans="1:6" x14ac:dyDescent="0.3">
      <c r="A2" s="91" t="s">
        <v>70</v>
      </c>
      <c r="B2" s="88" t="str">
        <f>IFERROR(INDEX(tbl_ProduitsRef[Cde_Prdt],MATCH(A2,tbl_ProduitsRef[Produit],0)),"⚠️ Produit non trouvé")</f>
        <v>PDJ001</v>
      </c>
      <c r="C2" s="84" t="str">
        <f>IFERROR(VLOOKUP(D2,Référentiels!$M$2:$N$267,2,FALSE),"Ingrédient non trouvé")</f>
        <v>BOU004</v>
      </c>
      <c r="D2" s="88" t="s">
        <v>205</v>
      </c>
      <c r="E2" s="100">
        <v>2</v>
      </c>
      <c r="F2" s="86" t="str">
        <f>INDEX(tbl_IngrédientsRef[Unité], MATCH(C2, tbl_IngrédientsRef[Cde_Ingrdt],0))</f>
        <v>Pièce</v>
      </c>
    </row>
    <row r="3" spans="1:6" x14ac:dyDescent="0.3">
      <c r="A3" s="91" t="s">
        <v>70</v>
      </c>
      <c r="B3" s="88" t="str">
        <f>IFERROR(INDEX(tbl_ProduitsRef[Cde_Prdt],MATCH(A3,tbl_ProduitsRef[Produit],0)),"⚠️ Produit non trouvé")</f>
        <v>PDJ001</v>
      </c>
      <c r="C3" s="84" t="str">
        <f>IFERROR(VLOOKUP(D3,Référentiels!$M$2:$N$267,2,FALSE),"Ingrédient non trouvé")</f>
        <v>FRU002</v>
      </c>
      <c r="D3" s="88" t="s">
        <v>208</v>
      </c>
      <c r="E3" s="100">
        <v>50</v>
      </c>
      <c r="F3" s="86" t="str">
        <f>INDEX(tbl_IngrédientsRef[Unité], MATCH(C3, tbl_IngrédientsRef[Cde_Ingrdt],0))</f>
        <v>g</v>
      </c>
    </row>
    <row r="4" spans="1:6" x14ac:dyDescent="0.3">
      <c r="A4" s="91" t="s">
        <v>70</v>
      </c>
      <c r="B4" s="88" t="str">
        <f>IFERROR(INDEX(tbl_ProduitsRef[Cde_Prdt],MATCH(A4,tbl_ProduitsRef[Produit],0)),"⚠️ Produit non trouvé")</f>
        <v>PDJ001</v>
      </c>
      <c r="C4" s="84" t="str">
        <f>IFERROR(VLOOKUP(D4,Référentiels!$M$2:$N$267,2,FALSE),"Ingrédient non trouvé")</f>
        <v>PRL001</v>
      </c>
      <c r="D4" s="88" t="s">
        <v>211</v>
      </c>
      <c r="E4" s="100">
        <v>2</v>
      </c>
      <c r="F4" s="86" t="str">
        <f>INDEX(tbl_IngrédientsRef[Unité], MATCH(C4, tbl_IngrédientsRef[Cde_Ingrdt],0))</f>
        <v>Pièce</v>
      </c>
    </row>
    <row r="5" spans="1:6" x14ac:dyDescent="0.3">
      <c r="A5" s="91" t="s">
        <v>70</v>
      </c>
      <c r="B5" s="88" t="str">
        <f>IFERROR(INDEX(tbl_ProduitsRef[Cde_Prdt],MATCH(A5,tbl_ProduitsRef[Produit],0)),"⚠️ Produit non trouvé")</f>
        <v>PDJ001</v>
      </c>
      <c r="C5" s="84" t="str">
        <f>IFERROR(VLOOKUP(D5,Référentiels!$M$2:$N$267,2,FALSE),"Ingrédient non trouvé")</f>
        <v>POI001</v>
      </c>
      <c r="D5" s="88" t="s">
        <v>213</v>
      </c>
      <c r="E5" s="100">
        <v>60</v>
      </c>
      <c r="F5" s="86" t="str">
        <f>INDEX(tbl_IngrédientsRef[Unité], MATCH(C5, tbl_IngrédientsRef[Cde_Ingrdt],0))</f>
        <v>g</v>
      </c>
    </row>
    <row r="6" spans="1:6" x14ac:dyDescent="0.3">
      <c r="A6" s="91" t="s">
        <v>70</v>
      </c>
      <c r="B6" s="88" t="str">
        <f>IFERROR(INDEX(tbl_ProduitsRef[Cde_Prdt],MATCH(A6,tbl_ProduitsRef[Produit],0)),"⚠️ Produit non trouvé")</f>
        <v>PDJ001</v>
      </c>
      <c r="C6" s="84" t="str">
        <f>IFERROR(VLOOKUP(D6,Référentiels!$M$2:$N$267,2,FALSE),"Ingrédient non trouvé")</f>
        <v>PRL005</v>
      </c>
      <c r="D6" s="88" t="s">
        <v>215</v>
      </c>
      <c r="E6" s="100">
        <v>40</v>
      </c>
      <c r="F6" s="86" t="str">
        <f>INDEX(tbl_IngrédientsRef[Unité], MATCH(C6, tbl_IngrédientsRef[Cde_Ingrdt],0))</f>
        <v>g</v>
      </c>
    </row>
    <row r="7" spans="1:6" x14ac:dyDescent="0.3">
      <c r="A7" s="91" t="s">
        <v>71</v>
      </c>
      <c r="B7" s="88" t="str">
        <f>IFERROR(INDEX(tbl_ProduitsRef[Cde_Prdt],MATCH(A7,tbl_ProduitsRef[Produit],0)),"⚠️ Produit non trouvé")</f>
        <v>PDJ002</v>
      </c>
      <c r="C7" s="84" t="str">
        <f>IFERROR(VLOOKUP(D7,Référentiels!$M$2:$N$267,2,FALSE),"Ingrédient non trouvé")</f>
        <v>BOU001</v>
      </c>
      <c r="D7" s="88" t="s">
        <v>218</v>
      </c>
      <c r="E7" s="100">
        <v>3</v>
      </c>
      <c r="F7" s="86" t="str">
        <f>INDEX(tbl_IngrédientsRef[Unité], MATCH(C7, tbl_IngrédientsRef[Cde_Ingrdt],0))</f>
        <v>Pièce</v>
      </c>
    </row>
    <row r="8" spans="1:6" x14ac:dyDescent="0.3">
      <c r="A8" s="91" t="s">
        <v>71</v>
      </c>
      <c r="B8" s="88" t="str">
        <f>IFERROR(INDEX(tbl_ProduitsRef[Cde_Prdt],MATCH(A8,tbl_ProduitsRef[Produit],0)),"⚠️ Produit non trouvé")</f>
        <v>PDJ002</v>
      </c>
      <c r="C8" s="84" t="str">
        <f>IFERROR(VLOOKUP(D8,Référentiels!$M$2:$N$267,2,FALSE),"Ingrédient non trouvé")</f>
        <v>PRL001</v>
      </c>
      <c r="D8" s="88" t="s">
        <v>211</v>
      </c>
      <c r="E8" s="100">
        <v>2</v>
      </c>
      <c r="F8" s="86" t="str">
        <f>INDEX(tbl_IngrédientsRef[Unité], MATCH(C8, tbl_IngrédientsRef[Cde_Ingrdt],0))</f>
        <v>Pièce</v>
      </c>
    </row>
    <row r="9" spans="1:6" x14ac:dyDescent="0.3">
      <c r="A9" s="91" t="s">
        <v>71</v>
      </c>
      <c r="B9" s="88" t="str">
        <f>IFERROR(INDEX(tbl_ProduitsRef[Cde_Prdt],MATCH(A9,tbl_ProduitsRef[Produit],0)),"⚠️ Produit non trouvé")</f>
        <v>PDJ002</v>
      </c>
      <c r="C9" s="84" t="str">
        <f>IFERROR(VLOOKUP(D9,Référentiels!$M$2:$N$267,2,FALSE),"Ingrédient non trouvé")</f>
        <v>SOS004</v>
      </c>
      <c r="D9" s="88" t="s">
        <v>220</v>
      </c>
      <c r="E9" s="100">
        <v>60</v>
      </c>
      <c r="F9" s="86" t="str">
        <f>INDEX(tbl_IngrédientsRef[Unité], MATCH(C9, tbl_IngrédientsRef[Cde_Ingrdt],0))</f>
        <v>ml</v>
      </c>
    </row>
    <row r="10" spans="1:6" x14ac:dyDescent="0.3">
      <c r="A10" s="91" t="s">
        <v>71</v>
      </c>
      <c r="B10" s="88" t="str">
        <f>IFERROR(INDEX(tbl_ProduitsRef[Cde_Prdt],MATCH(A10,tbl_ProduitsRef[Produit],0)),"⚠️ Produit non trouvé")</f>
        <v>PDJ002</v>
      </c>
      <c r="C10" s="84" t="str">
        <f>IFERROR(VLOOKUP(D10,Référentiels!$M$2:$N$267,2,FALSE),"Ingrédient non trouvé")</f>
        <v>LEG003</v>
      </c>
      <c r="D10" s="88" t="s">
        <v>223</v>
      </c>
      <c r="E10" s="100">
        <v>50</v>
      </c>
      <c r="F10" s="86" t="str">
        <f>INDEX(tbl_IngrédientsRef[Unité], MATCH(C10, tbl_IngrédientsRef[Cde_Ingrdt],0))</f>
        <v>g</v>
      </c>
    </row>
    <row r="11" spans="1:6" x14ac:dyDescent="0.3">
      <c r="A11" s="91" t="s">
        <v>71</v>
      </c>
      <c r="B11" s="88" t="str">
        <f>IFERROR(INDEX(tbl_ProduitsRef[Cde_Prdt],MATCH(A11,tbl_ProduitsRef[Produit],0)),"⚠️ Produit non trouvé")</f>
        <v>PDJ002</v>
      </c>
      <c r="C11" s="84" t="str">
        <f>IFERROR(VLOOKUP(D11,Référentiels!$M$2:$N$267,2,FALSE),"Ingrédient non trouvé")</f>
        <v>PRL009</v>
      </c>
      <c r="D11" s="88" t="s">
        <v>225</v>
      </c>
      <c r="E11" s="100">
        <v>40</v>
      </c>
      <c r="F11" s="86" t="str">
        <f>INDEX(tbl_IngrédientsRef[Unité], MATCH(C11, tbl_IngrédientsRef[Cde_Ingrdt],0))</f>
        <v>g</v>
      </c>
    </row>
    <row r="12" spans="1:6" x14ac:dyDescent="0.3">
      <c r="A12" s="91" t="s">
        <v>71</v>
      </c>
      <c r="B12" s="88" t="str">
        <f>IFERROR(INDEX(tbl_ProduitsRef[Cde_Prdt],MATCH(A12,tbl_ProduitsRef[Produit],0)),"⚠️ Produit non trouvé")</f>
        <v>PDJ002</v>
      </c>
      <c r="C12" s="84" t="str">
        <f>IFERROR(VLOOKUP(D12,Référentiels!$M$2:$N$267,2,FALSE),"Ingrédient non trouvé")</f>
        <v>VEA001</v>
      </c>
      <c r="D12" s="88" t="s">
        <v>227</v>
      </c>
      <c r="E12" s="100">
        <v>60</v>
      </c>
      <c r="F12" s="86" t="str">
        <f>INDEX(tbl_IngrédientsRef[Unité], MATCH(C12, tbl_IngrédientsRef[Cde_Ingrdt],0))</f>
        <v>g</v>
      </c>
    </row>
    <row r="13" spans="1:6" x14ac:dyDescent="0.3">
      <c r="A13" s="91" t="s">
        <v>71</v>
      </c>
      <c r="B13" s="88" t="str">
        <f>IFERROR(INDEX(tbl_ProduitsRef[Cde_Prdt],MATCH(A13,tbl_ProduitsRef[Produit],0)),"⚠️ Produit non trouvé")</f>
        <v>PDJ002</v>
      </c>
      <c r="C13" s="84" t="str">
        <f>IFERROR(VLOOKUP(D13,Référentiels!$M$2:$N$267,2,FALSE),"Ingrédient non trouvé")</f>
        <v>PRL005</v>
      </c>
      <c r="D13" s="88" t="s">
        <v>215</v>
      </c>
      <c r="E13" s="100">
        <v>40</v>
      </c>
      <c r="F13" s="86" t="str">
        <f>INDEX(tbl_IngrédientsRef[Unité], MATCH(C13, tbl_IngrédientsRef[Cde_Ingrdt],0))</f>
        <v>g</v>
      </c>
    </row>
    <row r="14" spans="1:6" x14ac:dyDescent="0.3">
      <c r="A14" s="91" t="s">
        <v>228</v>
      </c>
      <c r="B14" s="88" t="str">
        <f>IFERROR(INDEX(tbl_ProduitsRef[Cde_Prdt],MATCH(A14,tbl_ProduitsRef[Produit],0)),"⚠️ Produit non trouvé")</f>
        <v>PDJ003</v>
      </c>
      <c r="C14" s="84" t="str">
        <f>IFERROR(VLOOKUP(D14,Référentiels!$M$2:$N$267,2,FALSE),"Ingrédient non trouvé")</f>
        <v>BOU001</v>
      </c>
      <c r="D14" s="88" t="s">
        <v>218</v>
      </c>
      <c r="E14" s="100">
        <v>3</v>
      </c>
      <c r="F14" s="86" t="str">
        <f>INDEX(tbl_IngrédientsRef[Unité], MATCH(C14, tbl_IngrédientsRef[Cde_Ingrdt],0))</f>
        <v>Pièce</v>
      </c>
    </row>
    <row r="15" spans="1:6" x14ac:dyDescent="0.3">
      <c r="A15" s="91" t="s">
        <v>228</v>
      </c>
      <c r="B15" s="88" t="str">
        <f>IFERROR(INDEX(tbl_ProduitsRef[Cde_Prdt],MATCH(A15,tbl_ProduitsRef[Produit],0)),"⚠️ Produit non trouvé")</f>
        <v>PDJ003</v>
      </c>
      <c r="C15" s="84" t="str">
        <f>IFERROR(VLOOKUP(D15,Référentiels!$M$2:$N$267,2,FALSE),"Ingrédient non trouvé")</f>
        <v>PRL001</v>
      </c>
      <c r="D15" s="88" t="s">
        <v>211</v>
      </c>
      <c r="E15" s="100">
        <v>2</v>
      </c>
      <c r="F15" s="86" t="str">
        <f>INDEX(tbl_IngrédientsRef[Unité], MATCH(C15, tbl_IngrédientsRef[Cde_Ingrdt],0))</f>
        <v>Pièce</v>
      </c>
    </row>
    <row r="16" spans="1:6" x14ac:dyDescent="0.3">
      <c r="A16" s="91" t="s">
        <v>228</v>
      </c>
      <c r="B16" s="88" t="str">
        <f>IFERROR(INDEX(tbl_ProduitsRef[Cde_Prdt],MATCH(A16,tbl_ProduitsRef[Produit],0)),"⚠️ Produit non trouvé")</f>
        <v>PDJ003</v>
      </c>
      <c r="C16" s="84" t="str">
        <f>IFERROR(VLOOKUP(D16,Référentiels!$M$2:$N$267,2,FALSE),"Ingrédient non trouvé")</f>
        <v>VEA001</v>
      </c>
      <c r="D16" s="88" t="s">
        <v>227</v>
      </c>
      <c r="E16" s="100">
        <v>60</v>
      </c>
      <c r="F16" s="86" t="str">
        <f>INDEX(tbl_IngrédientsRef[Unité], MATCH(C16, tbl_IngrédientsRef[Cde_Ingrdt],0))</f>
        <v>g</v>
      </c>
    </row>
    <row r="17" spans="1:6" x14ac:dyDescent="0.3">
      <c r="A17" s="91" t="s">
        <v>228</v>
      </c>
      <c r="B17" s="88" t="str">
        <f>IFERROR(INDEX(tbl_ProduitsRef[Cde_Prdt],MATCH(A17,tbl_ProduitsRef[Produit],0)),"⚠️ Produit non trouvé")</f>
        <v>PDJ003</v>
      </c>
      <c r="C17" s="84" t="str">
        <f>IFERROR(VLOOKUP(D17,Référentiels!$M$2:$N$267,2,FALSE),"Ingrédient non trouvé")</f>
        <v>PRL005</v>
      </c>
      <c r="D17" s="88" t="s">
        <v>215</v>
      </c>
      <c r="E17" s="100">
        <v>40</v>
      </c>
      <c r="F17" s="86" t="str">
        <f>INDEX(tbl_IngrédientsRef[Unité], MATCH(C17, tbl_IngrédientsRef[Cde_Ingrdt],0))</f>
        <v>g</v>
      </c>
    </row>
    <row r="18" spans="1:6" x14ac:dyDescent="0.3">
      <c r="A18" s="91" t="s">
        <v>230</v>
      </c>
      <c r="B18" s="88" t="str">
        <f>IFERROR(INDEX(tbl_ProduitsRef[Cde_Prdt],MATCH(A18,tbl_ProduitsRef[Produit],0)),"⚠️ Produit non trouvé")</f>
        <v>PDJ004</v>
      </c>
      <c r="C18" s="84" t="str">
        <f>IFERROR(VLOOKUP(D18,Référentiels!$M$2:$N$267,2,FALSE),"Ingrédient non trouvé")</f>
        <v>BOU004</v>
      </c>
      <c r="D18" s="88" t="s">
        <v>205</v>
      </c>
      <c r="E18" s="100">
        <v>2</v>
      </c>
      <c r="F18" s="86" t="str">
        <f>INDEX(tbl_IngrédientsRef[Unité], MATCH(C18, tbl_IngrédientsRef[Cde_Ingrdt],0))</f>
        <v>Pièce</v>
      </c>
    </row>
    <row r="19" spans="1:6" x14ac:dyDescent="0.3">
      <c r="A19" s="91" t="s">
        <v>230</v>
      </c>
      <c r="B19" s="88" t="str">
        <f>IFERROR(INDEX(tbl_ProduitsRef[Cde_Prdt],MATCH(A19,tbl_ProduitsRef[Produit],0)),"⚠️ Produit non trouvé")</f>
        <v>PDJ004</v>
      </c>
      <c r="C19" s="84" t="str">
        <f>IFERROR(VLOOKUP(D19,Référentiels!$M$2:$N$267,2,FALSE),"Ingrédient non trouvé")</f>
        <v>PRL001</v>
      </c>
      <c r="D19" s="88" t="s">
        <v>211</v>
      </c>
      <c r="E19" s="100">
        <v>2</v>
      </c>
      <c r="F19" s="86" t="str">
        <f>INDEX(tbl_IngrédientsRef[Unité], MATCH(C19, tbl_IngrédientsRef[Cde_Ingrdt],0))</f>
        <v>Pièce</v>
      </c>
    </row>
    <row r="20" spans="1:6" x14ac:dyDescent="0.3">
      <c r="A20" s="91" t="s">
        <v>230</v>
      </c>
      <c r="B20" s="88" t="str">
        <f>IFERROR(INDEX(tbl_ProduitsRef[Cde_Prdt],MATCH(A20,tbl_ProduitsRef[Produit],0)),"⚠️ Produit non trouvé")</f>
        <v>PDJ004</v>
      </c>
      <c r="C20" s="84" t="str">
        <f>IFERROR(VLOOKUP(D20,Référentiels!$M$2:$N$267,2,FALSE),"Ingrédient non trouvé")</f>
        <v>PRL014</v>
      </c>
      <c r="D20" s="88" t="s">
        <v>233</v>
      </c>
      <c r="E20" s="100">
        <v>40</v>
      </c>
      <c r="F20" s="86" t="str">
        <f>INDEX(tbl_IngrédientsRef[Unité], MATCH(C20, tbl_IngrédientsRef[Cde_Ingrdt],0))</f>
        <v>g</v>
      </c>
    </row>
    <row r="21" spans="1:6" x14ac:dyDescent="0.3">
      <c r="A21" s="91" t="s">
        <v>230</v>
      </c>
      <c r="B21" s="88" t="str">
        <f>IFERROR(INDEX(tbl_ProduitsRef[Cde_Prdt],MATCH(A21,tbl_ProduitsRef[Produit],0)),"⚠️ Produit non trouvé")</f>
        <v>PDJ004</v>
      </c>
      <c r="C21" s="84" t="str">
        <f>IFERROR(VLOOKUP(D21,Référentiels!$M$2:$N$267,2,FALSE),"Ingrédient non trouvé")</f>
        <v>CHA004</v>
      </c>
      <c r="D21" s="88" t="s">
        <v>234</v>
      </c>
      <c r="E21" s="100">
        <v>60</v>
      </c>
      <c r="F21" s="86" t="str">
        <f>INDEX(tbl_IngrédientsRef[Unité], MATCH(C21, tbl_IngrédientsRef[Cde_Ingrdt],0))</f>
        <v>g</v>
      </c>
    </row>
    <row r="22" spans="1:6" x14ac:dyDescent="0.3">
      <c r="A22" s="91" t="s">
        <v>230</v>
      </c>
      <c r="B22" s="88" t="str">
        <f>IFERROR(INDEX(tbl_ProduitsRef[Cde_Prdt],MATCH(A22,tbl_ProduitsRef[Produit],0)),"⚠️ Produit non trouvé")</f>
        <v>PDJ004</v>
      </c>
      <c r="C22" s="84" t="str">
        <f>IFERROR(VLOOKUP(D22,Référentiels!$M$2:$N$267,2,FALSE),"Ingrédient non trouvé")</f>
        <v>PRL005</v>
      </c>
      <c r="D22" s="88" t="s">
        <v>215</v>
      </c>
      <c r="E22" s="100">
        <v>40</v>
      </c>
      <c r="F22" s="86" t="str">
        <f>INDEX(tbl_IngrédientsRef[Unité], MATCH(C22, tbl_IngrédientsRef[Cde_Ingrdt],0))</f>
        <v>g</v>
      </c>
    </row>
    <row r="23" spans="1:6" x14ac:dyDescent="0.3">
      <c r="A23" s="91" t="s">
        <v>235</v>
      </c>
      <c r="B23" s="88" t="str">
        <f>IFERROR(INDEX(tbl_ProduitsRef[Cde_Prdt],MATCH(A23,tbl_ProduitsRef[Produit],0)),"⚠️ Produit non trouvé")</f>
        <v>PDJ005</v>
      </c>
      <c r="C23" s="84" t="str">
        <f>IFERROR(VLOOKUP(D23,Référentiels!$M$2:$N$267,2,FALSE),"Ingrédient non trouvé")</f>
        <v>BOU003</v>
      </c>
      <c r="D23" s="88" t="s">
        <v>238</v>
      </c>
      <c r="E23" s="100">
        <v>1</v>
      </c>
      <c r="F23" s="86" t="str">
        <f>INDEX(tbl_IngrédientsRef[Unité], MATCH(C23, tbl_IngrédientsRef[Cde_Ingrdt],0))</f>
        <v>Pièce</v>
      </c>
    </row>
    <row r="24" spans="1:6" x14ac:dyDescent="0.3">
      <c r="A24" s="91" t="s">
        <v>235</v>
      </c>
      <c r="B24" s="88" t="str">
        <f>IFERROR(INDEX(tbl_ProduitsRef[Cde_Prdt],MATCH(A24,tbl_ProduitsRef[Produit],0)),"⚠️ Produit non trouvé")</f>
        <v>PDJ005</v>
      </c>
      <c r="C24" s="84" t="str">
        <f>IFERROR(VLOOKUP(D24,Référentiels!$M$2:$N$267,2,FALSE),"Ingrédient non trouvé")</f>
        <v>LEG005</v>
      </c>
      <c r="D24" s="88" t="s">
        <v>240</v>
      </c>
      <c r="E24" s="100">
        <v>30</v>
      </c>
      <c r="F24" s="86" t="str">
        <f>INDEX(tbl_IngrédientsRef[Unité], MATCH(C24, tbl_IngrédientsRef[Cde_Ingrdt],0))</f>
        <v>g</v>
      </c>
    </row>
    <row r="25" spans="1:6" x14ac:dyDescent="0.3">
      <c r="A25" s="91" t="s">
        <v>235</v>
      </c>
      <c r="B25" s="88" t="str">
        <f>IFERROR(INDEX(tbl_ProduitsRef[Cde_Prdt],MATCH(A25,tbl_ProduitsRef[Produit],0)),"⚠️ Produit non trouvé")</f>
        <v>PDJ005</v>
      </c>
      <c r="C25" s="84" t="str">
        <f>IFERROR(VLOOKUP(D25,Référentiels!$M$2:$N$267,2,FALSE),"Ingrédient non trouvé")</f>
        <v>CDM021</v>
      </c>
      <c r="D25" s="88" t="s">
        <v>242</v>
      </c>
      <c r="E25" s="100">
        <v>20</v>
      </c>
      <c r="F25" s="86" t="str">
        <f>INDEX(tbl_IngrédientsRef[Unité], MATCH(C25, tbl_IngrédientsRef[Cde_Ingrdt],0))</f>
        <v>g</v>
      </c>
    </row>
    <row r="26" spans="1:6" x14ac:dyDescent="0.3">
      <c r="A26" s="91" t="s">
        <v>235</v>
      </c>
      <c r="B26" s="88" t="str">
        <f>IFERROR(INDEX(tbl_ProduitsRef[Cde_Prdt],MATCH(A26,tbl_ProduitsRef[Produit],0)),"⚠️ Produit non trouvé")</f>
        <v>PDJ005</v>
      </c>
      <c r="C26" s="84" t="str">
        <f>IFERROR(VLOOKUP(D26,Référentiels!$M$2:$N$267,2,FALSE),"Ingrédient non trouvé")</f>
        <v>PRL005</v>
      </c>
      <c r="D26" s="88" t="s">
        <v>215</v>
      </c>
      <c r="E26" s="100">
        <v>30</v>
      </c>
      <c r="F26" s="86" t="str">
        <f>INDEX(tbl_IngrédientsRef[Unité], MATCH(C26, tbl_IngrédientsRef[Cde_Ingrdt],0))</f>
        <v>g</v>
      </c>
    </row>
    <row r="27" spans="1:6" x14ac:dyDescent="0.3">
      <c r="A27" s="91" t="s">
        <v>235</v>
      </c>
      <c r="B27" s="88" t="str">
        <f>IFERROR(INDEX(tbl_ProduitsRef[Cde_Prdt],MATCH(A27,tbl_ProduitsRef[Produit],0)),"⚠️ Produit non trouvé")</f>
        <v>PDJ005</v>
      </c>
      <c r="C27" s="84" t="str">
        <f>IFERROR(VLOOKUP(D27,Référentiels!$M$2:$N$267,2,FALSE),"Ingrédient non trouvé")</f>
        <v>PRL015</v>
      </c>
      <c r="D27" s="88" t="s">
        <v>244</v>
      </c>
      <c r="E27" s="100">
        <v>30</v>
      </c>
      <c r="F27" s="86" t="str">
        <f>INDEX(tbl_IngrédientsRef[Unité], MATCH(C27, tbl_IngrédientsRef[Cde_Ingrdt],0))</f>
        <v>g</v>
      </c>
    </row>
    <row r="28" spans="1:6" x14ac:dyDescent="0.3">
      <c r="A28" s="91" t="s">
        <v>235</v>
      </c>
      <c r="B28" s="88" t="str">
        <f>IFERROR(INDEX(tbl_ProduitsRef[Cde_Prdt],MATCH(A28,tbl_ProduitsRef[Produit],0)),"⚠️ Produit non trouvé")</f>
        <v>PDJ005</v>
      </c>
      <c r="C28" s="84" t="str">
        <f>IFERROR(VLOOKUP(D28,Référentiels!$M$2:$N$267,2,FALSE),"Ingrédient non trouvé")</f>
        <v>SOS014</v>
      </c>
      <c r="D28" s="88" t="s">
        <v>246</v>
      </c>
      <c r="E28" s="100">
        <v>10</v>
      </c>
      <c r="F28" s="86" t="str">
        <f>INDEX(tbl_IngrédientsRef[Unité], MATCH(C28, tbl_IngrédientsRef[Cde_Ingrdt],0))</f>
        <v>ml</v>
      </c>
    </row>
    <row r="29" spans="1:6" x14ac:dyDescent="0.3">
      <c r="A29" s="91" t="s">
        <v>247</v>
      </c>
      <c r="B29" s="88" t="str">
        <f>IFERROR(INDEX(tbl_ProduitsRef[Cde_Prdt],MATCH(A29,tbl_ProduitsRef[Produit],0)),"⚠️ Produit non trouvé")</f>
        <v>PDJ006</v>
      </c>
      <c r="C29" s="84" t="str">
        <f>IFERROR(VLOOKUP(D29,Référentiels!$M$2:$N$267,2,FALSE),"Ingrédient non trouvé")</f>
        <v>BOU013</v>
      </c>
      <c r="D29" s="88" t="s">
        <v>250</v>
      </c>
      <c r="E29" s="100">
        <v>1</v>
      </c>
      <c r="F29" s="86" t="str">
        <f>INDEX(tbl_IngrédientsRef[Unité], MATCH(C29, tbl_IngrédientsRef[Cde_Ingrdt],0))</f>
        <v>Pièce</v>
      </c>
    </row>
    <row r="30" spans="1:6" x14ac:dyDescent="0.3">
      <c r="A30" s="91" t="s">
        <v>247</v>
      </c>
      <c r="B30" s="88" t="str">
        <f>IFERROR(INDEX(tbl_ProduitsRef[Cde_Prdt],MATCH(A30,tbl_ProduitsRef[Produit],0)),"⚠️ Produit non trouvé")</f>
        <v>PDJ006</v>
      </c>
      <c r="C30" s="84" t="str">
        <f>IFERROR(VLOOKUP(D30,Référentiels!$M$2:$N$267,2,FALSE),"Ingrédient non trouvé")</f>
        <v>PRL001</v>
      </c>
      <c r="D30" s="88" t="s">
        <v>211</v>
      </c>
      <c r="E30" s="100">
        <v>2</v>
      </c>
      <c r="F30" s="86" t="str">
        <f>INDEX(tbl_IngrédientsRef[Unité], MATCH(C30, tbl_IngrédientsRef[Cde_Ingrdt],0))</f>
        <v>Pièce</v>
      </c>
    </row>
    <row r="31" spans="1:6" x14ac:dyDescent="0.3">
      <c r="A31" s="91" t="s">
        <v>247</v>
      </c>
      <c r="B31" s="88" t="str">
        <f>IFERROR(INDEX(tbl_ProduitsRef[Cde_Prdt],MATCH(A31,tbl_ProduitsRef[Produit],0)),"⚠️ Produit non trouvé")</f>
        <v>PDJ006</v>
      </c>
      <c r="C31" s="84" t="str">
        <f>IFERROR(VLOOKUP(D31,Référentiels!$M$2:$N$267,2,FALSE),"Ingrédient non trouvé")</f>
        <v>SOS012</v>
      </c>
      <c r="D31" s="88" t="s">
        <v>252</v>
      </c>
      <c r="E31" s="100">
        <v>30</v>
      </c>
      <c r="F31" s="86" t="str">
        <f>INDEX(tbl_IngrédientsRef[Unité], MATCH(C31, tbl_IngrédientsRef[Cde_Ingrdt],0))</f>
        <v>ml</v>
      </c>
    </row>
    <row r="32" spans="1:6" x14ac:dyDescent="0.3">
      <c r="A32" s="91" t="s">
        <v>247</v>
      </c>
      <c r="B32" s="88" t="str">
        <f>IFERROR(INDEX(tbl_ProduitsRef[Cde_Prdt],MATCH(A32,tbl_ProduitsRef[Produit],0)),"⚠️ Produit non trouvé")</f>
        <v>PDJ006</v>
      </c>
      <c r="C32" s="84" t="str">
        <f>IFERROR(VLOOKUP(D32,Référentiels!$M$2:$N$267,2,FALSE),"Ingrédient non trouvé")</f>
        <v>LEG017</v>
      </c>
      <c r="D32" s="88" t="s">
        <v>254</v>
      </c>
      <c r="E32" s="100">
        <v>30</v>
      </c>
      <c r="F32" s="86" t="str">
        <f>INDEX(tbl_IngrédientsRef[Unité], MATCH(C32, tbl_IngrédientsRef[Cde_Ingrdt],0))</f>
        <v>g</v>
      </c>
    </row>
    <row r="33" spans="1:6" x14ac:dyDescent="0.3">
      <c r="A33" s="91" t="s">
        <v>247</v>
      </c>
      <c r="B33" s="88" t="str">
        <f>IFERROR(INDEX(tbl_ProduitsRef[Cde_Prdt],MATCH(A33,tbl_ProduitsRef[Produit],0)),"⚠️ Produit non trouvé")</f>
        <v>PDJ006</v>
      </c>
      <c r="C33" s="84" t="str">
        <f>IFERROR(VLOOKUP(D33,Référentiels!$M$2:$N$267,2,FALSE),"Ingrédient non trouvé")</f>
        <v>FRU001</v>
      </c>
      <c r="D33" s="88" t="s">
        <v>256</v>
      </c>
      <c r="E33" s="100">
        <v>40</v>
      </c>
      <c r="F33" s="86" t="str">
        <f>INDEX(tbl_IngrédientsRef[Unité], MATCH(C33, tbl_IngrédientsRef[Cde_Ingrdt],0))</f>
        <v>g</v>
      </c>
    </row>
    <row r="34" spans="1:6" x14ac:dyDescent="0.3">
      <c r="A34" s="91" t="s">
        <v>257</v>
      </c>
      <c r="B34" s="88" t="str">
        <f>IFERROR(INDEX(tbl_ProduitsRef[Cde_Prdt],MATCH(A34,tbl_ProduitsRef[Produit],0)),"⚠️ Produit non trouvé")</f>
        <v>PDJ007</v>
      </c>
      <c r="C34" s="84" t="str">
        <f>IFERROR(VLOOKUP(D34,Référentiels!$M$2:$N$267,2,FALSE),"Ingrédient non trouvé")</f>
        <v>PRL001</v>
      </c>
      <c r="D34" s="88" t="s">
        <v>211</v>
      </c>
      <c r="E34" s="100">
        <v>2</v>
      </c>
      <c r="F34" s="86" t="str">
        <f>INDEX(tbl_IngrédientsRef[Unité], MATCH(C34, tbl_IngrédientsRef[Cde_Ingrdt],0))</f>
        <v>Pièce</v>
      </c>
    </row>
    <row r="35" spans="1:6" x14ac:dyDescent="0.3">
      <c r="A35" s="91" t="s">
        <v>257</v>
      </c>
      <c r="B35" s="88" t="str">
        <f>IFERROR(INDEX(tbl_ProduitsRef[Cde_Prdt],MATCH(A35,tbl_ProduitsRef[Produit],0)),"⚠️ Produit non trouvé")</f>
        <v>PDJ007</v>
      </c>
      <c r="C35" s="84" t="str">
        <f>IFERROR(VLOOKUP(D35,Référentiels!$M$2:$N$267,2,FALSE),"Ingrédient non trouvé")</f>
        <v>BOI013</v>
      </c>
      <c r="D35" s="88" t="s">
        <v>260</v>
      </c>
      <c r="E35" s="100">
        <v>1</v>
      </c>
      <c r="F35" s="86" t="str">
        <f>INDEX(tbl_IngrédientsRef[Unité], MATCH(C35, tbl_IngrédientsRef[Cde_Ingrdt],0))</f>
        <v>Pièce</v>
      </c>
    </row>
    <row r="36" spans="1:6" x14ac:dyDescent="0.3">
      <c r="A36" s="91" t="s">
        <v>257</v>
      </c>
      <c r="B36" s="88" t="str">
        <f>IFERROR(INDEX(tbl_ProduitsRef[Cde_Prdt],MATCH(A36,tbl_ProduitsRef[Produit],0)),"⚠️ Produit non trouvé")</f>
        <v>PDJ007</v>
      </c>
      <c r="C36" s="84" t="str">
        <f>IFERROR(VLOOKUP(D36,Référentiels!$M$2:$N$267,2,FALSE),"Ingrédient non trouvé")</f>
        <v>BOI014</v>
      </c>
      <c r="D36" s="88" t="s">
        <v>262</v>
      </c>
      <c r="E36" s="100">
        <v>1</v>
      </c>
      <c r="F36" s="86" t="str">
        <f>INDEX(tbl_IngrédientsRef[Unité], MATCH(C36, tbl_IngrédientsRef[Cde_Ingrdt],0))</f>
        <v>Pièce</v>
      </c>
    </row>
    <row r="37" spans="1:6" x14ac:dyDescent="0.3">
      <c r="A37" s="91" t="s">
        <v>257</v>
      </c>
      <c r="B37" s="88" t="str">
        <f>IFERROR(INDEX(tbl_ProduitsRef[Cde_Prdt],MATCH(A37,tbl_ProduitsRef[Produit],0)),"⚠️ Produit non trouvé")</f>
        <v>PDJ007</v>
      </c>
      <c r="C37" s="84" t="str">
        <f>IFERROR(VLOOKUP(D37,Référentiels!$M$2:$N$267,2,FALSE),"Ingrédient non trouvé")</f>
        <v>PRL020</v>
      </c>
      <c r="D37" s="88" t="s">
        <v>264</v>
      </c>
      <c r="E37" s="100">
        <v>40</v>
      </c>
      <c r="F37" s="86" t="str">
        <f>INDEX(tbl_IngrédientsRef[Unité], MATCH(C37, tbl_IngrédientsRef[Cde_Ingrdt],0))</f>
        <v>g</v>
      </c>
    </row>
    <row r="38" spans="1:6" x14ac:dyDescent="0.3">
      <c r="A38" s="91" t="s">
        <v>265</v>
      </c>
      <c r="B38" s="88" t="str">
        <f>IFERROR(INDEX(tbl_ProduitsRef[Cde_Prdt],MATCH(A38,tbl_ProduitsRef[Produit],0)),"⚠️ Produit non trouvé")</f>
        <v>PDJ008</v>
      </c>
      <c r="C38" s="84" t="str">
        <f>IFERROR(VLOOKUP(D38,Référentiels!$M$2:$N$267,2,FALSE),"Ingrédient non trouvé")</f>
        <v>BOU001</v>
      </c>
      <c r="D38" s="88" t="s">
        <v>218</v>
      </c>
      <c r="E38" s="100">
        <v>3</v>
      </c>
      <c r="F38" s="86" t="str">
        <f>INDEX(tbl_IngrédientsRef[Unité], MATCH(C38, tbl_IngrédientsRef[Cde_Ingrdt],0))</f>
        <v>Pièce</v>
      </c>
    </row>
    <row r="39" spans="1:6" x14ac:dyDescent="0.3">
      <c r="A39" s="91" t="s">
        <v>265</v>
      </c>
      <c r="B39" s="88" t="str">
        <f>IFERROR(INDEX(tbl_ProduitsRef[Cde_Prdt],MATCH(A39,tbl_ProduitsRef[Produit],0)),"⚠️ Produit non trouvé")</f>
        <v>PDJ008</v>
      </c>
      <c r="C39" s="84" t="str">
        <f>IFERROR(VLOOKUP(D39,Référentiels!$M$2:$N$267,2,FALSE),"Ingrédient non trouvé")</f>
        <v>PRL001</v>
      </c>
      <c r="D39" s="88" t="s">
        <v>211</v>
      </c>
      <c r="E39" s="100">
        <v>2</v>
      </c>
      <c r="F39" s="86" t="str">
        <f>INDEX(tbl_IngrédientsRef[Unité], MATCH(C39, tbl_IngrédientsRef[Cde_Ingrdt],0))</f>
        <v>Pièce</v>
      </c>
    </row>
    <row r="40" spans="1:6" x14ac:dyDescent="0.3">
      <c r="A40" s="91" t="s">
        <v>265</v>
      </c>
      <c r="B40" s="88" t="str">
        <f>IFERROR(INDEX(tbl_ProduitsRef[Cde_Prdt],MATCH(A40,tbl_ProduitsRef[Produit],0)),"⚠️ Produit non trouvé")</f>
        <v>PDJ008</v>
      </c>
      <c r="C40" s="84" t="str">
        <f>IFERROR(VLOOKUP(D40,Référentiels!$M$2:$N$267,2,FALSE),"Ingrédient non trouvé")</f>
        <v>CHA004</v>
      </c>
      <c r="D40" s="88" t="s">
        <v>234</v>
      </c>
      <c r="E40" s="100">
        <v>40</v>
      </c>
      <c r="F40" s="86" t="str">
        <f>INDEX(tbl_IngrédientsRef[Unité], MATCH(C40, tbl_IngrédientsRef[Cde_Ingrdt],0))</f>
        <v>g</v>
      </c>
    </row>
    <row r="41" spans="1:6" x14ac:dyDescent="0.3">
      <c r="A41" s="91" t="s">
        <v>265</v>
      </c>
      <c r="B41" s="88" t="str">
        <f>IFERROR(INDEX(tbl_ProduitsRef[Cde_Prdt],MATCH(A41,tbl_ProduitsRef[Produit],0)),"⚠️ Produit non trouvé")</f>
        <v>PDJ008</v>
      </c>
      <c r="C41" s="84" t="str">
        <f>IFERROR(VLOOKUP(D41,Référentiels!$M$2:$N$267,2,FALSE),"Ingrédient non trouvé")</f>
        <v>PRL006</v>
      </c>
      <c r="D41" s="88" t="s">
        <v>82</v>
      </c>
      <c r="E41" s="100">
        <v>1</v>
      </c>
      <c r="F41" s="86" t="str">
        <f>INDEX(tbl_IngrédientsRef[Unité], MATCH(C41, tbl_IngrédientsRef[Cde_Ingrdt],0))</f>
        <v>Pièce</v>
      </c>
    </row>
    <row r="42" spans="1:6" x14ac:dyDescent="0.3">
      <c r="A42" s="91" t="s">
        <v>265</v>
      </c>
      <c r="B42" s="88" t="str">
        <f>IFERROR(INDEX(tbl_ProduitsRef[Cde_Prdt],MATCH(A42,tbl_ProduitsRef[Produit],0)),"⚠️ Produit non trouvé")</f>
        <v>PDJ008</v>
      </c>
      <c r="C42" s="84" t="str">
        <f>IFERROR(VLOOKUP(D42,Référentiels!$M$2:$N$267,2,FALSE),"Ingrédient non trouvé")</f>
        <v>CHA004</v>
      </c>
      <c r="D42" s="88" t="s">
        <v>234</v>
      </c>
      <c r="E42" s="100">
        <v>40</v>
      </c>
      <c r="F42" s="86" t="str">
        <f>INDEX(tbl_IngrédientsRef[Unité], MATCH(C42, tbl_IngrédientsRef[Cde_Ingrdt],0))</f>
        <v>g</v>
      </c>
    </row>
    <row r="43" spans="1:6" x14ac:dyDescent="0.3">
      <c r="A43" s="91" t="s">
        <v>79</v>
      </c>
      <c r="B43" s="88" t="str">
        <f>IFERROR(INDEX(tbl_ProduitsRef[Cde_Prdt],MATCH(A43,tbl_ProduitsRef[Produit],0)),"⚠️ Produit non trouvé")</f>
        <v>PDJ009</v>
      </c>
      <c r="C43" s="84" t="str">
        <f>IFERROR(VLOOKUP(D43,Référentiels!$M$2:$N$267,2,FALSE),"Ingrédient non trouvé")</f>
        <v>BOU001</v>
      </c>
      <c r="D43" s="88" t="s">
        <v>218</v>
      </c>
      <c r="E43" s="100">
        <v>3</v>
      </c>
      <c r="F43" s="86" t="str">
        <f>INDEX(tbl_IngrédientsRef[Unité], MATCH(C43, tbl_IngrédientsRef[Cde_Ingrdt],0))</f>
        <v>Pièce</v>
      </c>
    </row>
    <row r="44" spans="1:6" x14ac:dyDescent="0.3">
      <c r="A44" s="91" t="s">
        <v>79</v>
      </c>
      <c r="B44" s="88" t="str">
        <f>IFERROR(INDEX(tbl_ProduitsRef[Cde_Prdt],MATCH(A44,tbl_ProduitsRef[Produit],0)),"⚠️ Produit non trouvé")</f>
        <v>PDJ009</v>
      </c>
      <c r="C44" s="84" t="str">
        <f>IFERROR(VLOOKUP(D44,Référentiels!$M$2:$N$267,2,FALSE),"Ingrédient non trouvé")</f>
        <v>PRL001</v>
      </c>
      <c r="D44" s="88" t="s">
        <v>211</v>
      </c>
      <c r="E44" s="100">
        <v>2</v>
      </c>
      <c r="F44" s="86" t="str">
        <f>INDEX(tbl_IngrédientsRef[Unité], MATCH(C44, tbl_IngrédientsRef[Cde_Ingrdt],0))</f>
        <v>Pièce</v>
      </c>
    </row>
    <row r="45" spans="1:6" x14ac:dyDescent="0.3">
      <c r="A45" s="91" t="s">
        <v>79</v>
      </c>
      <c r="B45" s="88" t="str">
        <f>IFERROR(INDEX(tbl_ProduitsRef[Cde_Prdt],MATCH(A45,tbl_ProduitsRef[Produit],0)),"⚠️ Produit non trouvé")</f>
        <v>PDJ009</v>
      </c>
      <c r="C45" s="84" t="str">
        <f>IFERROR(VLOOKUP(D45,Référentiels!$M$2:$N$267,2,FALSE),"Ingrédient non trouvé")</f>
        <v>CHA001</v>
      </c>
      <c r="D45" s="88" t="s">
        <v>269</v>
      </c>
      <c r="E45" s="100">
        <v>50</v>
      </c>
      <c r="F45" s="86" t="str">
        <f>INDEX(tbl_IngrédientsRef[Unité], MATCH(C45, tbl_IngrédientsRef[Cde_Ingrdt],0))</f>
        <v>g</v>
      </c>
    </row>
    <row r="46" spans="1:6" x14ac:dyDescent="0.3">
      <c r="A46" s="91" t="s">
        <v>79</v>
      </c>
      <c r="B46" s="88" t="str">
        <f>IFERROR(INDEX(tbl_ProduitsRef[Cde_Prdt],MATCH(A46,tbl_ProduitsRef[Produit],0)),"⚠️ Produit non trouvé")</f>
        <v>PDJ009</v>
      </c>
      <c r="C46" s="84" t="str">
        <f>IFERROR(VLOOKUP(D46,Référentiels!$M$2:$N$267,2,FALSE),"Ingrédient non trouvé")</f>
        <v>PRL005</v>
      </c>
      <c r="D46" s="88" t="s">
        <v>215</v>
      </c>
      <c r="E46" s="100">
        <v>40</v>
      </c>
      <c r="F46" s="86" t="str">
        <f>INDEX(tbl_IngrédientsRef[Unité], MATCH(C46, tbl_IngrédientsRef[Cde_Ingrdt],0))</f>
        <v>g</v>
      </c>
    </row>
    <row r="47" spans="1:6" x14ac:dyDescent="0.3">
      <c r="A47" s="91" t="s">
        <v>57</v>
      </c>
      <c r="B47" s="88" t="str">
        <f>IFERROR(INDEX(tbl_ProduitsRef[Cde_Prdt],MATCH(A47,tbl_ProduitsRef[Produit],0)),"⚠️ Produit non trouvé")</f>
        <v>PDJ010</v>
      </c>
      <c r="C47" s="84" t="str">
        <f>IFERROR(VLOOKUP(D47,Référentiels!$M$2:$N$267,2,FALSE),"Ingrédient non trouvé")</f>
        <v>BOU008</v>
      </c>
      <c r="D47" s="88" t="s">
        <v>272</v>
      </c>
      <c r="E47" s="100">
        <v>1</v>
      </c>
      <c r="F47" s="86" t="str">
        <f>INDEX(tbl_IngrédientsRef[Unité], MATCH(C47, tbl_IngrédientsRef[Cde_Ingrdt],0))</f>
        <v>Pièce</v>
      </c>
    </row>
    <row r="48" spans="1:6" x14ac:dyDescent="0.3">
      <c r="A48" s="91" t="s">
        <v>57</v>
      </c>
      <c r="B48" s="88" t="str">
        <f>IFERROR(INDEX(tbl_ProduitsRef[Cde_Prdt],MATCH(A48,tbl_ProduitsRef[Produit],0)),"⚠️ Produit non trouvé")</f>
        <v>PDJ010</v>
      </c>
      <c r="C48" s="84" t="str">
        <f>IFERROR(VLOOKUP(D48,Référentiels!$M$2:$N$267,2,FALSE),"Ingrédient non trouvé")</f>
        <v>BOU009</v>
      </c>
      <c r="D48" s="88" t="s">
        <v>274</v>
      </c>
      <c r="E48" s="100">
        <v>1</v>
      </c>
      <c r="F48" s="86" t="str">
        <f>INDEX(tbl_IngrédientsRef[Unité], MATCH(C48, tbl_IngrédientsRef[Cde_Ingrdt],0))</f>
        <v>Pièce</v>
      </c>
    </row>
    <row r="49" spans="1:6" x14ac:dyDescent="0.3">
      <c r="A49" s="91" t="s">
        <v>57</v>
      </c>
      <c r="B49" s="88" t="str">
        <f>IFERROR(INDEX(tbl_ProduitsRef[Cde_Prdt],MATCH(A49,tbl_ProduitsRef[Produit],0)),"⚠️ Produit non trouvé")</f>
        <v>PDJ010</v>
      </c>
      <c r="C49" s="84" t="str">
        <f>IFERROR(VLOOKUP(D49,Référentiels!$M$2:$N$267,2,FALSE),"Ingrédient non trouvé")</f>
        <v>BOU010</v>
      </c>
      <c r="D49" s="88" t="s">
        <v>276</v>
      </c>
      <c r="E49" s="100">
        <v>1</v>
      </c>
      <c r="F49" s="86" t="str">
        <f>INDEX(tbl_IngrédientsRef[Unité], MATCH(C49, tbl_IngrédientsRef[Cde_Ingrdt],0))</f>
        <v>Pièce</v>
      </c>
    </row>
    <row r="50" spans="1:6" x14ac:dyDescent="0.3">
      <c r="A50" s="91" t="s">
        <v>57</v>
      </c>
      <c r="B50" s="88" t="str">
        <f>IFERROR(INDEX(tbl_ProduitsRef[Cde_Prdt],MATCH(A50,tbl_ProduitsRef[Produit],0)),"⚠️ Produit non trouvé")</f>
        <v>PDJ010</v>
      </c>
      <c r="C50" s="84" t="str">
        <f>IFERROR(VLOOKUP(D50,Référentiels!$M$2:$N$267,2,FALSE),"Ingrédient non trouvé")</f>
        <v>PRL012</v>
      </c>
      <c r="D50" s="88" t="s">
        <v>278</v>
      </c>
      <c r="E50" s="100">
        <v>20</v>
      </c>
      <c r="F50" s="86" t="str">
        <f>INDEX(tbl_IngrédientsRef[Unité], MATCH(C50, tbl_IngrédientsRef[Cde_Ingrdt],0))</f>
        <v>g</v>
      </c>
    </row>
    <row r="51" spans="1:6" x14ac:dyDescent="0.3">
      <c r="A51" s="91" t="s">
        <v>57</v>
      </c>
      <c r="B51" s="88" t="str">
        <f>IFERROR(INDEX(tbl_ProduitsRef[Cde_Prdt],MATCH(A51,tbl_ProduitsRef[Produit],0)),"⚠️ Produit non trouvé")</f>
        <v>PDJ010</v>
      </c>
      <c r="C51" s="84" t="str">
        <f>IFERROR(VLOOKUP(D51,Référentiels!$M$2:$N$267,2,FALSE),"Ingrédient non trouvé")</f>
        <v>PSU001</v>
      </c>
      <c r="D51" s="88" t="s">
        <v>280</v>
      </c>
      <c r="E51" s="100">
        <v>20</v>
      </c>
      <c r="F51" s="86" t="str">
        <f>INDEX(tbl_IngrédientsRef[Unité], MATCH(C51, tbl_IngrédientsRef[Cde_Ingrdt],0))</f>
        <v>g</v>
      </c>
    </row>
    <row r="52" spans="1:6" x14ac:dyDescent="0.3">
      <c r="A52" s="91" t="s">
        <v>57</v>
      </c>
      <c r="B52" s="88" t="str">
        <f>IFERROR(INDEX(tbl_ProduitsRef[Cde_Prdt],MATCH(A52,tbl_ProduitsRef[Produit],0)),"⚠️ Produit non trouvé")</f>
        <v>PDJ010</v>
      </c>
      <c r="C52" s="84" t="str">
        <f>IFERROR(VLOOKUP(D52,Référentiels!$M$2:$N$267,2,FALSE),"Ingrédient non trouvé")</f>
        <v>PSU002</v>
      </c>
      <c r="D52" s="88" t="s">
        <v>282</v>
      </c>
      <c r="E52" s="100">
        <v>10</v>
      </c>
      <c r="F52" s="86" t="str">
        <f>INDEX(tbl_IngrédientsRef[Unité], MATCH(C52, tbl_IngrédientsRef[Cde_Ingrdt],0))</f>
        <v>g</v>
      </c>
    </row>
    <row r="53" spans="1:6" x14ac:dyDescent="0.3">
      <c r="A53" s="91" t="s">
        <v>57</v>
      </c>
      <c r="B53" s="88" t="str">
        <f>IFERROR(INDEX(tbl_ProduitsRef[Cde_Prdt],MATCH(A53,tbl_ProduitsRef[Produit],0)),"⚠️ Produit non trouvé")</f>
        <v>PDJ010</v>
      </c>
      <c r="C53" s="84" t="str">
        <f>IFERROR(VLOOKUP(D53,Référentiels!$M$2:$N$267,2,FALSE),"Ingrédient non trouvé")</f>
        <v>PSU018</v>
      </c>
      <c r="D53" s="88" t="s">
        <v>284</v>
      </c>
      <c r="E53" s="100">
        <v>10</v>
      </c>
      <c r="F53" s="86" t="str">
        <f>INDEX(tbl_IngrédientsRef[Unité], MATCH(C53, tbl_IngrédientsRef[Cde_Ingrdt],0))</f>
        <v>ml</v>
      </c>
    </row>
    <row r="54" spans="1:6" x14ac:dyDescent="0.3">
      <c r="A54" s="91" t="s">
        <v>57</v>
      </c>
      <c r="B54" s="88" t="str">
        <f>IFERROR(INDEX(tbl_ProduitsRef[Cde_Prdt],MATCH(A54,tbl_ProduitsRef[Produit],0)),"⚠️ Produit non trouvé")</f>
        <v>PDJ010</v>
      </c>
      <c r="C54" s="84" t="str">
        <f>IFERROR(VLOOKUP(D54,Référentiels!$M$2:$N$267,2,FALSE),"Ingrédient non trouvé")</f>
        <v>PRL005</v>
      </c>
      <c r="D54" s="88" t="s">
        <v>215</v>
      </c>
      <c r="E54" s="100">
        <v>40</v>
      </c>
      <c r="F54" s="86" t="str">
        <f>INDEX(tbl_IngrédientsRef[Unité], MATCH(C54, tbl_IngrédientsRef[Cde_Ingrdt],0))</f>
        <v>g</v>
      </c>
    </row>
    <row r="55" spans="1:6" x14ac:dyDescent="0.3">
      <c r="A55" s="91" t="s">
        <v>57</v>
      </c>
      <c r="B55" s="88" t="str">
        <f>IFERROR(INDEX(tbl_ProduitsRef[Cde_Prdt],MATCH(A55,tbl_ProduitsRef[Produit],0)),"⚠️ Produit non trouvé")</f>
        <v>PDJ010</v>
      </c>
      <c r="C55" s="84" t="str">
        <f>IFERROR(VLOOKUP(D55,Référentiels!$M$2:$N$267,2,FALSE),"Ingrédient non trouvé")</f>
        <v>PRL001</v>
      </c>
      <c r="D55" s="88" t="s">
        <v>211</v>
      </c>
      <c r="E55" s="100">
        <v>1</v>
      </c>
      <c r="F55" s="86" t="str">
        <f>INDEX(tbl_IngrédientsRef[Unité], MATCH(C55, tbl_IngrédientsRef[Cde_Ingrdt],0))</f>
        <v>Pièce</v>
      </c>
    </row>
    <row r="56" spans="1:6" x14ac:dyDescent="0.3">
      <c r="A56" s="91" t="s">
        <v>285</v>
      </c>
      <c r="B56" s="88" t="str">
        <f>IFERROR(INDEX(tbl_ProduitsRef[Cde_Prdt],MATCH(A56,tbl_ProduitsRef[Produit],0)),"⚠️ Produit non trouvé")</f>
        <v>PDJ011</v>
      </c>
      <c r="C56" s="84" t="str">
        <f>IFERROR(VLOOKUP(D56,Référentiels!$M$2:$N$267,2,FALSE),"Ingrédient non trouvé")</f>
        <v>BOU006</v>
      </c>
      <c r="D56" s="88" t="s">
        <v>288</v>
      </c>
      <c r="E56" s="100">
        <v>1</v>
      </c>
      <c r="F56" s="86" t="str">
        <f>INDEX(tbl_IngrédientsRef[Unité], MATCH(C56, tbl_IngrédientsRef[Cde_Ingrdt],0))</f>
        <v>Pièce</v>
      </c>
    </row>
    <row r="57" spans="1:6" x14ac:dyDescent="0.3">
      <c r="A57" s="91" t="s">
        <v>285</v>
      </c>
      <c r="B57" s="88" t="str">
        <f>IFERROR(INDEX(tbl_ProduitsRef[Cde_Prdt],MATCH(A57,tbl_ProduitsRef[Produit],0)),"⚠️ Produit non trouvé")</f>
        <v>PDJ011</v>
      </c>
      <c r="C57" s="84" t="str">
        <f>IFERROR(VLOOKUP(D57,Référentiels!$M$2:$N$267,2,FALSE),"Ingrédient non trouvé")</f>
        <v>BOU005</v>
      </c>
      <c r="D57" s="88" t="s">
        <v>290</v>
      </c>
      <c r="E57" s="100">
        <v>1</v>
      </c>
      <c r="F57" s="86" t="str">
        <f>INDEX(tbl_IngrédientsRef[Unité], MATCH(C57, tbl_IngrédientsRef[Cde_Ingrdt],0))</f>
        <v>Pièce</v>
      </c>
    </row>
    <row r="58" spans="1:6" x14ac:dyDescent="0.3">
      <c r="A58" s="91" t="s">
        <v>285</v>
      </c>
      <c r="B58" s="88" t="str">
        <f>IFERROR(INDEX(tbl_ProduitsRef[Cde_Prdt],MATCH(A58,tbl_ProduitsRef[Produit],0)),"⚠️ Produit non trouvé")</f>
        <v>PDJ011</v>
      </c>
      <c r="C58" s="84" t="str">
        <f>IFERROR(VLOOKUP(D58,Référentiels!$M$2:$N$267,2,FALSE),"Ingrédient non trouvé")</f>
        <v>PRL012</v>
      </c>
      <c r="D58" s="88" t="s">
        <v>278</v>
      </c>
      <c r="E58" s="100">
        <v>20</v>
      </c>
      <c r="F58" s="86" t="str">
        <f>INDEX(tbl_IngrédientsRef[Unité], MATCH(C58, tbl_IngrédientsRef[Cde_Ingrdt],0))</f>
        <v>g</v>
      </c>
    </row>
    <row r="59" spans="1:6" x14ac:dyDescent="0.3">
      <c r="A59" s="91" t="s">
        <v>285</v>
      </c>
      <c r="B59" s="88" t="str">
        <f>IFERROR(INDEX(tbl_ProduitsRef[Cde_Prdt],MATCH(A59,tbl_ProduitsRef[Produit],0)),"⚠️ Produit non trouvé")</f>
        <v>PDJ011</v>
      </c>
      <c r="C59" s="84" t="str">
        <f>IFERROR(VLOOKUP(D59,Référentiels!$M$2:$N$267,2,FALSE),"Ingrédient non trouvé")</f>
        <v>PSU018</v>
      </c>
      <c r="D59" s="88" t="s">
        <v>284</v>
      </c>
      <c r="E59" s="100">
        <v>40</v>
      </c>
      <c r="F59" s="86" t="str">
        <f>INDEX(tbl_IngrédientsRef[Unité], MATCH(C59, tbl_IngrédientsRef[Cde_Ingrdt],0))</f>
        <v>ml</v>
      </c>
    </row>
    <row r="60" spans="1:6" x14ac:dyDescent="0.3">
      <c r="A60" s="91" t="s">
        <v>285</v>
      </c>
      <c r="B60" s="88" t="str">
        <f>IFERROR(INDEX(tbl_ProduitsRef[Cde_Prdt],MATCH(A60,tbl_ProduitsRef[Produit],0)),"⚠️ Produit non trouvé")</f>
        <v>PDJ011</v>
      </c>
      <c r="C60" s="84" t="str">
        <f>IFERROR(VLOOKUP(D60,Référentiels!$M$2:$N$267,2,FALSE),"Ingrédient non trouvé")</f>
        <v>PSU001</v>
      </c>
      <c r="D60" s="88" t="s">
        <v>280</v>
      </c>
      <c r="E60" s="100">
        <v>20</v>
      </c>
      <c r="F60" s="86" t="str">
        <f>INDEX(tbl_IngrédientsRef[Unité], MATCH(C60, tbl_IngrédientsRef[Cde_Ingrdt],0))</f>
        <v>g</v>
      </c>
    </row>
    <row r="61" spans="1:6" x14ac:dyDescent="0.3">
      <c r="A61" s="87" t="s">
        <v>291</v>
      </c>
      <c r="B61" s="88" t="str">
        <f>IFERROR(INDEX(tbl_ProduitsRef[Cde_Prdt],MATCH(A61,tbl_ProduitsRef[Produit],0)),"⚠️ Produit non trouvé")</f>
        <v>OME001</v>
      </c>
      <c r="C61" s="84" t="str">
        <f>IFERROR(VLOOKUP(D61,Référentiels!$M$2:$N$267,2,FALSE),"Ingrédient non trouvé")</f>
        <v>PRL001</v>
      </c>
      <c r="D61" s="85" t="s">
        <v>211</v>
      </c>
      <c r="E61" s="101">
        <v>3</v>
      </c>
      <c r="F61" s="86" t="str">
        <f>INDEX(tbl_IngrédientsRef[Unité], MATCH(C61, tbl_IngrédientsRef[Cde_Ingrdt],0))</f>
        <v>Pièce</v>
      </c>
    </row>
    <row r="62" spans="1:6" x14ac:dyDescent="0.3">
      <c r="A62" s="87" t="s">
        <v>291</v>
      </c>
      <c r="B62" s="88" t="str">
        <f>IFERROR(INDEX(tbl_ProduitsRef[Cde_Prdt],MATCH(A62,tbl_ProduitsRef[Produit],0)),"⚠️ Produit non trouvé")</f>
        <v>OME001</v>
      </c>
      <c r="C62" s="84" t="str">
        <f>IFERROR(VLOOKUP(D62,Référentiels!$M$2:$N$267,2,FALSE),"Ingrédient non trouvé")</f>
        <v>FDM001</v>
      </c>
      <c r="D62" s="85" t="s">
        <v>294</v>
      </c>
      <c r="E62" s="101">
        <v>50</v>
      </c>
      <c r="F62" s="86" t="str">
        <f>INDEX(tbl_IngrédientsRef[Unité], MATCH(C62, tbl_IngrédientsRef[Cde_Ingrdt],0))</f>
        <v>g</v>
      </c>
    </row>
    <row r="63" spans="1:6" x14ac:dyDescent="0.3">
      <c r="A63" s="87" t="s">
        <v>291</v>
      </c>
      <c r="B63" s="88" t="str">
        <f>IFERROR(INDEX(tbl_ProduitsRef[Cde_Prdt],MATCH(A63,tbl_ProduitsRef[Produit],0)),"⚠️ Produit non trouvé")</f>
        <v>OME001</v>
      </c>
      <c r="C63" s="84" t="str">
        <f>IFERROR(VLOOKUP(D63,Référentiels!$M$2:$N$267,2,FALSE),"Ingrédient non trouvé")</f>
        <v>PRL013</v>
      </c>
      <c r="D63" s="85" t="s">
        <v>296</v>
      </c>
      <c r="E63" s="101">
        <v>10</v>
      </c>
      <c r="F63" s="86" t="str">
        <f>INDEX(tbl_IngrédientsRef[Unité], MATCH(C63, tbl_IngrédientsRef[Cde_Ingrdt],0))</f>
        <v>g</v>
      </c>
    </row>
    <row r="64" spans="1:6" x14ac:dyDescent="0.3">
      <c r="A64" s="87" t="s">
        <v>291</v>
      </c>
      <c r="B64" s="88" t="str">
        <f>IFERROR(INDEX(tbl_ProduitsRef[Cde_Prdt],MATCH(A64,tbl_ProduitsRef[Produit],0)),"⚠️ Produit non trouvé")</f>
        <v>OME001</v>
      </c>
      <c r="C64" s="84" t="str">
        <f>IFERROR(VLOOKUP(D64,Référentiels!$M$2:$N$267,2,FALSE),"Ingrédient non trouvé")</f>
        <v>CDM020</v>
      </c>
      <c r="D64" s="85" t="s">
        <v>298</v>
      </c>
      <c r="E64" s="101">
        <v>10</v>
      </c>
      <c r="F64" s="86" t="str">
        <f>INDEX(tbl_IngrédientsRef[Unité], MATCH(C64, tbl_IngrédientsRef[Cde_Ingrdt],0))</f>
        <v>ml</v>
      </c>
    </row>
    <row r="65" spans="1:6" x14ac:dyDescent="0.3">
      <c r="A65" s="87" t="s">
        <v>291</v>
      </c>
      <c r="B65" s="88" t="str">
        <f>IFERROR(INDEX(tbl_ProduitsRef[Cde_Prdt],MATCH(A65,tbl_ProduitsRef[Produit],0)),"⚠️ Produit non trouvé")</f>
        <v>OME001</v>
      </c>
      <c r="C65" s="84" t="str">
        <f>IFERROR(VLOOKUP(D65,Référentiels!$M$2:$N$267,2,FALSE),"Ingrédient non trouvé")</f>
        <v>EPI005</v>
      </c>
      <c r="D65" s="85" t="s">
        <v>300</v>
      </c>
      <c r="E65" s="101">
        <v>1</v>
      </c>
      <c r="F65" s="86" t="str">
        <f>INDEX(tbl_IngrédientsRef[Unité], MATCH(C65, tbl_IngrédientsRef[Cde_Ingrdt],0))</f>
        <v>g</v>
      </c>
    </row>
    <row r="66" spans="1:6" x14ac:dyDescent="0.3">
      <c r="A66" s="87" t="s">
        <v>301</v>
      </c>
      <c r="B66" s="88" t="str">
        <f>IFERROR(INDEX(tbl_ProduitsRef[Cde_Prdt],MATCH(A66,tbl_ProduitsRef[Produit],0)),"⚠️ Produit non trouvé")</f>
        <v>OME002</v>
      </c>
      <c r="C66" s="84" t="str">
        <f>IFERROR(VLOOKUP(D66,Référentiels!$M$2:$N$267,2,FALSE),"Ingrédient non trouvé")</f>
        <v>PRL001</v>
      </c>
      <c r="D66" s="85" t="s">
        <v>211</v>
      </c>
      <c r="E66" s="101">
        <v>3</v>
      </c>
      <c r="F66" s="86" t="str">
        <f>INDEX(tbl_IngrédientsRef[Unité], MATCH(C66, tbl_IngrédientsRef[Cde_Ingrdt],0))</f>
        <v>Pièce</v>
      </c>
    </row>
    <row r="67" spans="1:6" x14ac:dyDescent="0.3">
      <c r="A67" s="87" t="s">
        <v>301</v>
      </c>
      <c r="B67" s="88" t="str">
        <f>IFERROR(INDEX(tbl_ProduitsRef[Cde_Prdt],MATCH(A67,tbl_ProduitsRef[Produit],0)),"⚠️ Produit non trouvé")</f>
        <v>OME002</v>
      </c>
      <c r="C67" s="84" t="str">
        <f>IFERROR(VLOOKUP(D67,Référentiels!$M$2:$N$267,2,FALSE),"Ingrédient non trouvé")</f>
        <v>PRL007</v>
      </c>
      <c r="D67" s="85" t="s">
        <v>304</v>
      </c>
      <c r="E67" s="101">
        <v>50</v>
      </c>
      <c r="F67" s="86" t="str">
        <f>INDEX(tbl_IngrédientsRef[Unité], MATCH(C67, tbl_IngrédientsRef[Cde_Ingrdt],0))</f>
        <v>g</v>
      </c>
    </row>
    <row r="68" spans="1:6" x14ac:dyDescent="0.3">
      <c r="A68" s="87" t="s">
        <v>301</v>
      </c>
      <c r="B68" s="88" t="str">
        <f>IFERROR(INDEX(tbl_ProduitsRef[Cde_Prdt],MATCH(A68,tbl_ProduitsRef[Produit],0)),"⚠️ Produit non trouvé")</f>
        <v>OME002</v>
      </c>
      <c r="C68" s="84" t="str">
        <f>IFERROR(VLOOKUP(D68,Référentiels!$M$2:$N$267,2,FALSE),"Ingrédient non trouvé")</f>
        <v>CHA004</v>
      </c>
      <c r="D68" s="85" t="s">
        <v>234</v>
      </c>
      <c r="E68" s="101">
        <v>50</v>
      </c>
      <c r="F68" s="86" t="str">
        <f>INDEX(tbl_IngrédientsRef[Unité], MATCH(C68, tbl_IngrédientsRef[Cde_Ingrdt],0))</f>
        <v>g</v>
      </c>
    </row>
    <row r="69" spans="1:6" x14ac:dyDescent="0.3">
      <c r="A69" s="87" t="s">
        <v>301</v>
      </c>
      <c r="B69" s="88" t="str">
        <f>IFERROR(INDEX(tbl_ProduitsRef[Cde_Prdt],MATCH(A69,tbl_ProduitsRef[Produit],0)),"⚠️ Produit non trouvé")</f>
        <v>OME002</v>
      </c>
      <c r="C69" s="84" t="str">
        <f>IFERROR(VLOOKUP(D69,Référentiels!$M$2:$N$267,2,FALSE),"Ingrédient non trouvé")</f>
        <v>CDM020</v>
      </c>
      <c r="D69" s="85" t="s">
        <v>298</v>
      </c>
      <c r="E69" s="101">
        <v>10</v>
      </c>
      <c r="F69" s="86" t="str">
        <f>INDEX(tbl_IngrédientsRef[Unité], MATCH(C69, tbl_IngrédientsRef[Cde_Ingrdt],0))</f>
        <v>ml</v>
      </c>
    </row>
    <row r="70" spans="1:6" x14ac:dyDescent="0.3">
      <c r="A70" s="87" t="s">
        <v>301</v>
      </c>
      <c r="B70" s="88" t="str">
        <f>IFERROR(INDEX(tbl_ProduitsRef[Cde_Prdt],MATCH(A70,tbl_ProduitsRef[Produit],0)),"⚠️ Produit non trouvé")</f>
        <v>OME002</v>
      </c>
      <c r="C70" s="84" t="str">
        <f>IFERROR(VLOOKUP(D70,Référentiels!$M$2:$N$267,2,FALSE),"Ingrédient non trouvé")</f>
        <v>EPI005</v>
      </c>
      <c r="D70" s="85" t="s">
        <v>300</v>
      </c>
      <c r="E70" s="101">
        <v>1</v>
      </c>
      <c r="F70" s="86" t="str">
        <f>INDEX(tbl_IngrédientsRef[Unité], MATCH(C70, tbl_IngrédientsRef[Cde_Ingrdt],0))</f>
        <v>g</v>
      </c>
    </row>
    <row r="71" spans="1:6" x14ac:dyDescent="0.3">
      <c r="A71" s="87" t="s">
        <v>305</v>
      </c>
      <c r="B71" s="88" t="str">
        <f>IFERROR(INDEX(tbl_ProduitsRef[Cde_Prdt],MATCH(A71,tbl_ProduitsRef[Produit],0)),"⚠️ Produit non trouvé")</f>
        <v>OME003</v>
      </c>
      <c r="C71" s="84" t="str">
        <f>IFERROR(VLOOKUP(D71,Référentiels!$M$2:$N$267,2,FALSE),"Ingrédient non trouvé")</f>
        <v>PRL001</v>
      </c>
      <c r="D71" s="85" t="s">
        <v>211</v>
      </c>
      <c r="E71" s="101">
        <v>3</v>
      </c>
      <c r="F71" s="86" t="str">
        <f>INDEX(tbl_IngrédientsRef[Unité], MATCH(C71, tbl_IngrédientsRef[Cde_Ingrdt],0))</f>
        <v>Pièce</v>
      </c>
    </row>
    <row r="72" spans="1:6" x14ac:dyDescent="0.3">
      <c r="A72" s="87" t="s">
        <v>305</v>
      </c>
      <c r="B72" s="88" t="str">
        <f>IFERROR(INDEX(tbl_ProduitsRef[Cde_Prdt],MATCH(A72,tbl_ProduitsRef[Produit],0)),"⚠️ Produit non trouvé")</f>
        <v>OME003</v>
      </c>
      <c r="C72" s="84" t="str">
        <f>IFERROR(VLOOKUP(D72,Référentiels!$M$2:$N$267,2,FALSE),"Ingrédient non trouvé")</f>
        <v>PRL007</v>
      </c>
      <c r="D72" s="85" t="s">
        <v>304</v>
      </c>
      <c r="E72" s="101">
        <v>30</v>
      </c>
      <c r="F72" s="86" t="str">
        <f>INDEX(tbl_IngrédientsRef[Unité], MATCH(C72, tbl_IngrédientsRef[Cde_Ingrdt],0))</f>
        <v>g</v>
      </c>
    </row>
    <row r="73" spans="1:6" x14ac:dyDescent="0.3">
      <c r="A73" s="87" t="s">
        <v>305</v>
      </c>
      <c r="B73" s="88" t="str">
        <f>IFERROR(INDEX(tbl_ProduitsRef[Cde_Prdt],MATCH(A73,tbl_ProduitsRef[Produit],0)),"⚠️ Produit non trouvé")</f>
        <v>OME003</v>
      </c>
      <c r="C73" s="84" t="str">
        <f>IFERROR(VLOOKUP(D73,Référentiels!$M$2:$N$267,2,FALSE),"Ingrédient non trouvé")</f>
        <v>CHA004</v>
      </c>
      <c r="D73" s="85" t="s">
        <v>234</v>
      </c>
      <c r="E73" s="101">
        <v>30</v>
      </c>
      <c r="F73" s="86" t="str">
        <f>INDEX(tbl_IngrédientsRef[Unité], MATCH(C73, tbl_IngrédientsRef[Cde_Ingrdt],0))</f>
        <v>g</v>
      </c>
    </row>
    <row r="74" spans="1:6" x14ac:dyDescent="0.3">
      <c r="A74" s="87" t="s">
        <v>305</v>
      </c>
      <c r="B74" s="88" t="str">
        <f>IFERROR(INDEX(tbl_ProduitsRef[Cde_Prdt],MATCH(A74,tbl_ProduitsRef[Produit],0)),"⚠️ Produit non trouvé")</f>
        <v>OME003</v>
      </c>
      <c r="C74" s="84" t="str">
        <f>IFERROR(VLOOKUP(D74,Référentiels!$M$2:$N$267,2,FALSE),"Ingrédient non trouvé")</f>
        <v>LEG002</v>
      </c>
      <c r="D74" s="85" t="s">
        <v>308</v>
      </c>
      <c r="E74" s="101">
        <v>60</v>
      </c>
      <c r="F74" s="86" t="str">
        <f>INDEX(tbl_IngrédientsRef[Unité], MATCH(C74, tbl_IngrédientsRef[Cde_Ingrdt],0))</f>
        <v>g</v>
      </c>
    </row>
    <row r="75" spans="1:6" x14ac:dyDescent="0.3">
      <c r="A75" s="87" t="s">
        <v>305</v>
      </c>
      <c r="B75" s="88" t="str">
        <f>IFERROR(INDEX(tbl_ProduitsRef[Cde_Prdt],MATCH(A75,tbl_ProduitsRef[Produit],0)),"⚠️ Produit non trouvé")</f>
        <v>OME003</v>
      </c>
      <c r="C75" s="84" t="str">
        <f>IFERROR(VLOOKUP(D75,Référentiels!$M$2:$N$267,2,FALSE),"Ingrédient non trouvé")</f>
        <v>LEG007</v>
      </c>
      <c r="D75" s="85" t="s">
        <v>310</v>
      </c>
      <c r="E75" s="101">
        <v>30</v>
      </c>
      <c r="F75" s="86" t="str">
        <f>INDEX(tbl_IngrédientsRef[Unité], MATCH(C75, tbl_IngrédientsRef[Cde_Ingrdt],0))</f>
        <v>g</v>
      </c>
    </row>
    <row r="76" spans="1:6" x14ac:dyDescent="0.3">
      <c r="A76" s="87" t="s">
        <v>305</v>
      </c>
      <c r="B76" s="88" t="str">
        <f>IFERROR(INDEX(tbl_ProduitsRef[Cde_Prdt],MATCH(A76,tbl_ProduitsRef[Produit],0)),"⚠️ Produit non trouvé")</f>
        <v>OME003</v>
      </c>
      <c r="C76" s="84" t="str">
        <f>IFERROR(VLOOKUP(D76,Référentiels!$M$2:$N$267,2,FALSE),"Ingrédient non trouvé")</f>
        <v>CDM004</v>
      </c>
      <c r="D76" s="85" t="s">
        <v>312</v>
      </c>
      <c r="E76" s="101">
        <v>0.25</v>
      </c>
      <c r="F76" s="86" t="str">
        <f>INDEX(tbl_IngrédientsRef[Unité], MATCH(C76, tbl_IngrédientsRef[Cde_Ingrdt],0))</f>
        <v>Pièce</v>
      </c>
    </row>
    <row r="77" spans="1:6" x14ac:dyDescent="0.3">
      <c r="A77" s="87" t="s">
        <v>305</v>
      </c>
      <c r="B77" s="88" t="str">
        <f>IFERROR(INDEX(tbl_ProduitsRef[Cde_Prdt],MATCH(A77,tbl_ProduitsRef[Produit],0)),"⚠️ Produit non trouvé")</f>
        <v>OME003</v>
      </c>
      <c r="C77" s="84" t="str">
        <f>IFERROR(VLOOKUP(D77,Référentiels!$M$2:$N$267,2,FALSE),"Ingrédient non trouvé")</f>
        <v>CDM020</v>
      </c>
      <c r="D77" s="85" t="s">
        <v>298</v>
      </c>
      <c r="E77" s="101">
        <v>20</v>
      </c>
      <c r="F77" s="86" t="str">
        <f>INDEX(tbl_IngrédientsRef[Unité], MATCH(C77, tbl_IngrédientsRef[Cde_Ingrdt],0))</f>
        <v>ml</v>
      </c>
    </row>
    <row r="78" spans="1:6" x14ac:dyDescent="0.3">
      <c r="A78" s="87" t="s">
        <v>305</v>
      </c>
      <c r="B78" s="88" t="str">
        <f>IFERROR(INDEX(tbl_ProduitsRef[Cde_Prdt],MATCH(A78,tbl_ProduitsRef[Produit],0)),"⚠️ Produit non trouvé")</f>
        <v>OME003</v>
      </c>
      <c r="C78" s="84" t="str">
        <f>IFERROR(VLOOKUP(D78,Référentiels!$M$2:$N$267,2,FALSE),"Ingrédient non trouvé")</f>
        <v>EPI005</v>
      </c>
      <c r="D78" s="85" t="s">
        <v>300</v>
      </c>
      <c r="E78" s="101">
        <v>1</v>
      </c>
      <c r="F78" s="86" t="str">
        <f>INDEX(tbl_IngrédientsRef[Unité], MATCH(C78, tbl_IngrédientsRef[Cde_Ingrdt],0))</f>
        <v>g</v>
      </c>
    </row>
    <row r="79" spans="1:6" x14ac:dyDescent="0.3">
      <c r="A79" s="87" t="s">
        <v>313</v>
      </c>
      <c r="B79" s="88" t="str">
        <f>IFERROR(INDEX(tbl_ProduitsRef[Cde_Prdt],MATCH(A79,tbl_ProduitsRef[Produit],0)),"⚠️ Produit non trouvé")</f>
        <v>OME004</v>
      </c>
      <c r="C79" s="84" t="str">
        <f>IFERROR(VLOOKUP(D79,Référentiels!$M$2:$N$267,2,FALSE),"Ingrédient non trouvé")</f>
        <v>PRL001</v>
      </c>
      <c r="D79" s="85" t="s">
        <v>211</v>
      </c>
      <c r="E79" s="101">
        <v>3</v>
      </c>
      <c r="F79" s="86" t="str">
        <f>INDEX(tbl_IngrédientsRef[Unité], MATCH(C79, tbl_IngrédientsRef[Cde_Ingrdt],0))</f>
        <v>Pièce</v>
      </c>
    </row>
    <row r="80" spans="1:6" x14ac:dyDescent="0.3">
      <c r="A80" s="87" t="s">
        <v>313</v>
      </c>
      <c r="B80" s="88" t="str">
        <f>IFERROR(INDEX(tbl_ProduitsRef[Cde_Prdt],MATCH(A80,tbl_ProduitsRef[Produit],0)),"⚠️ Produit non trouvé")</f>
        <v>OME004</v>
      </c>
      <c r="C80" s="84" t="str">
        <f>IFERROR(VLOOKUP(D80,Référentiels!$M$2:$N$267,2,FALSE),"Ingrédient non trouvé")</f>
        <v>LEG002</v>
      </c>
      <c r="D80" s="85" t="s">
        <v>308</v>
      </c>
      <c r="E80" s="101">
        <v>60</v>
      </c>
      <c r="F80" s="86" t="str">
        <f>INDEX(tbl_IngrédientsRef[Unité], MATCH(C80, tbl_IngrédientsRef[Cde_Ingrdt],0))</f>
        <v>g</v>
      </c>
    </row>
    <row r="81" spans="1:6" x14ac:dyDescent="0.3">
      <c r="A81" s="87" t="s">
        <v>313</v>
      </c>
      <c r="B81" s="88" t="str">
        <f>IFERROR(INDEX(tbl_ProduitsRef[Cde_Prdt],MATCH(A81,tbl_ProduitsRef[Produit],0)),"⚠️ Produit non trouvé")</f>
        <v>OME004</v>
      </c>
      <c r="C81" s="84" t="str">
        <f>IFERROR(VLOOKUP(D81,Référentiels!$M$2:$N$267,2,FALSE),"Ingrédient non trouvé")</f>
        <v>LEG007</v>
      </c>
      <c r="D81" s="85" t="s">
        <v>310</v>
      </c>
      <c r="E81" s="101">
        <v>30</v>
      </c>
      <c r="F81" s="86" t="str">
        <f>INDEX(tbl_IngrédientsRef[Unité], MATCH(C81, tbl_IngrédientsRef[Cde_Ingrdt],0))</f>
        <v>g</v>
      </c>
    </row>
    <row r="82" spans="1:6" x14ac:dyDescent="0.3">
      <c r="A82" s="87" t="s">
        <v>313</v>
      </c>
      <c r="B82" s="88" t="str">
        <f>IFERROR(INDEX(tbl_ProduitsRef[Cde_Prdt],MATCH(A82,tbl_ProduitsRef[Produit],0)),"⚠️ Produit non trouvé")</f>
        <v>OME004</v>
      </c>
      <c r="C82" s="84" t="str">
        <f>IFERROR(VLOOKUP(D82,Référentiels!$M$2:$N$267,2,FALSE),"Ingrédient non trouvé")</f>
        <v>LEG012</v>
      </c>
      <c r="D82" s="85" t="s">
        <v>316</v>
      </c>
      <c r="E82" s="101">
        <v>20</v>
      </c>
      <c r="F82" s="86" t="str">
        <f>INDEX(tbl_IngrédientsRef[Unité], MATCH(C82, tbl_IngrédientsRef[Cde_Ingrdt],0))</f>
        <v>g</v>
      </c>
    </row>
    <row r="83" spans="1:6" x14ac:dyDescent="0.3">
      <c r="A83" s="87" t="s">
        <v>313</v>
      </c>
      <c r="B83" s="88" t="str">
        <f>IFERROR(INDEX(tbl_ProduitsRef[Cde_Prdt],MATCH(A83,tbl_ProduitsRef[Produit],0)),"⚠️ Produit non trouvé")</f>
        <v>OME004</v>
      </c>
      <c r="C83" s="84" t="str">
        <f>IFERROR(VLOOKUP(D83,Référentiels!$M$2:$N$267,2,FALSE),"Ingrédient non trouvé")</f>
        <v>CDM004</v>
      </c>
      <c r="D83" s="85" t="s">
        <v>312</v>
      </c>
      <c r="E83" s="101">
        <v>0.3</v>
      </c>
      <c r="F83" s="86" t="str">
        <f>INDEX(tbl_IngrédientsRef[Unité], MATCH(C83, tbl_IngrédientsRef[Cde_Ingrdt],0))</f>
        <v>Pièce</v>
      </c>
    </row>
    <row r="84" spans="1:6" x14ac:dyDescent="0.3">
      <c r="A84" s="87" t="s">
        <v>313</v>
      </c>
      <c r="B84" s="88" t="str">
        <f>IFERROR(INDEX(tbl_ProduitsRef[Cde_Prdt],MATCH(A84,tbl_ProduitsRef[Produit],0)),"⚠️ Produit non trouvé")</f>
        <v>OME004</v>
      </c>
      <c r="C84" s="84" t="str">
        <f>IFERROR(VLOOKUP(D84,Référentiels!$M$2:$N$267,2,FALSE),"Ingrédient non trouvé")</f>
        <v>CDM020</v>
      </c>
      <c r="D84" s="85" t="s">
        <v>298</v>
      </c>
      <c r="E84" s="101">
        <v>20</v>
      </c>
      <c r="F84" s="86" t="str">
        <f>INDEX(tbl_IngrédientsRef[Unité], MATCH(C84, tbl_IngrédientsRef[Cde_Ingrdt],0))</f>
        <v>ml</v>
      </c>
    </row>
    <row r="85" spans="1:6" x14ac:dyDescent="0.3">
      <c r="A85" s="87" t="s">
        <v>313</v>
      </c>
      <c r="B85" s="88" t="str">
        <f>IFERROR(INDEX(tbl_ProduitsRef[Cde_Prdt],MATCH(A85,tbl_ProduitsRef[Produit],0)),"⚠️ Produit non trouvé")</f>
        <v>OME004</v>
      </c>
      <c r="C85" s="84" t="str">
        <f>IFERROR(VLOOKUP(D85,Référentiels!$M$2:$N$267,2,FALSE),"Ingrédient non trouvé")</f>
        <v>EPI005</v>
      </c>
      <c r="D85" s="85" t="s">
        <v>300</v>
      </c>
      <c r="E85" s="101">
        <v>1</v>
      </c>
      <c r="F85" s="86" t="str">
        <f>INDEX(tbl_IngrédientsRef[Unité], MATCH(C85, tbl_IngrédientsRef[Cde_Ingrdt],0))</f>
        <v>g</v>
      </c>
    </row>
    <row r="86" spans="1:6" x14ac:dyDescent="0.3">
      <c r="A86" s="87" t="s">
        <v>80</v>
      </c>
      <c r="B86" s="88" t="str">
        <f>IFERROR(INDEX(tbl_ProduitsRef[Cde_Prdt],MATCH(A86,tbl_ProduitsRef[Produit],0)),"⚠️ Produit non trouvé")</f>
        <v>OME005</v>
      </c>
      <c r="C86" s="84" t="str">
        <f>IFERROR(VLOOKUP(D86,Référentiels!$M$2:$N$267,2,FALSE),"Ingrédient non trouvé")</f>
        <v>PRL001</v>
      </c>
      <c r="D86" s="85" t="s">
        <v>211</v>
      </c>
      <c r="E86" s="101">
        <v>3</v>
      </c>
      <c r="F86" s="86" t="str">
        <f>INDEX(tbl_IngrédientsRef[Unité], MATCH(C86, tbl_IngrédientsRef[Cde_Ingrdt],0))</f>
        <v>Pièce</v>
      </c>
    </row>
    <row r="87" spans="1:6" x14ac:dyDescent="0.3">
      <c r="A87" s="87" t="s">
        <v>80</v>
      </c>
      <c r="B87" s="88" t="str">
        <f>IFERROR(INDEX(tbl_ProduitsRef[Cde_Prdt],MATCH(A87,tbl_ProduitsRef[Produit],0)),"⚠️ Produit non trouvé")</f>
        <v>OME005</v>
      </c>
      <c r="C87" s="84" t="str">
        <f>IFERROR(VLOOKUP(D87,Référentiels!$M$2:$N$267,2,FALSE),"Ingrédient non trouvé")</f>
        <v>LEG017</v>
      </c>
      <c r="D87" s="85" t="s">
        <v>254</v>
      </c>
      <c r="E87" s="101">
        <v>40</v>
      </c>
      <c r="F87" s="86" t="str">
        <f>INDEX(tbl_IngrédientsRef[Unité], MATCH(C87, tbl_IngrédientsRef[Cde_Ingrdt],0))</f>
        <v>g</v>
      </c>
    </row>
    <row r="88" spans="1:6" x14ac:dyDescent="0.3">
      <c r="A88" s="87" t="s">
        <v>80</v>
      </c>
      <c r="B88" s="88" t="str">
        <f>IFERROR(INDEX(tbl_ProduitsRef[Cde_Prdt],MATCH(A88,tbl_ProduitsRef[Produit],0)),"⚠️ Produit non trouvé")</f>
        <v>OME005</v>
      </c>
      <c r="C88" s="84" t="str">
        <f>IFERROR(VLOOKUP(D88,Référentiels!$M$2:$N$267,2,FALSE),"Ingrédient non trouvé")</f>
        <v>LEG007</v>
      </c>
      <c r="D88" s="85" t="s">
        <v>310</v>
      </c>
      <c r="E88" s="101">
        <v>20</v>
      </c>
      <c r="F88" s="86" t="str">
        <f>INDEX(tbl_IngrédientsRef[Unité], MATCH(C88, tbl_IngrédientsRef[Cde_Ingrdt],0))</f>
        <v>g</v>
      </c>
    </row>
    <row r="89" spans="1:6" x14ac:dyDescent="0.3">
      <c r="A89" s="87" t="s">
        <v>80</v>
      </c>
      <c r="B89" s="88" t="str">
        <f>IFERROR(INDEX(tbl_ProduitsRef[Cde_Prdt],MATCH(A89,tbl_ProduitsRef[Produit],0)),"⚠️ Produit non trouvé")</f>
        <v>OME005</v>
      </c>
      <c r="C89" s="84" t="str">
        <f>IFERROR(VLOOKUP(D89,Référentiels!$M$2:$N$267,2,FALSE),"Ingrédient non trouvé")</f>
        <v>CDM020</v>
      </c>
      <c r="D89" s="85" t="s">
        <v>298</v>
      </c>
      <c r="E89" s="101">
        <v>20</v>
      </c>
      <c r="F89" s="86" t="str">
        <f>INDEX(tbl_IngrédientsRef[Unité], MATCH(C89, tbl_IngrédientsRef[Cde_Ingrdt],0))</f>
        <v>ml</v>
      </c>
    </row>
    <row r="90" spans="1:6" x14ac:dyDescent="0.3">
      <c r="A90" s="87" t="s">
        <v>80</v>
      </c>
      <c r="B90" s="88" t="str">
        <f>IFERROR(INDEX(tbl_ProduitsRef[Cde_Prdt],MATCH(A90,tbl_ProduitsRef[Produit],0)),"⚠️ Produit non trouvé")</f>
        <v>OME005</v>
      </c>
      <c r="C90" s="84" t="str">
        <f>IFERROR(VLOOKUP(D90,Référentiels!$M$2:$N$267,2,FALSE),"Ingrédient non trouvé")</f>
        <v>EPI005</v>
      </c>
      <c r="D90" s="85" t="s">
        <v>300</v>
      </c>
      <c r="E90" s="101">
        <v>1</v>
      </c>
      <c r="F90" s="86" t="str">
        <f>INDEX(tbl_IngrédientsRef[Unité], MATCH(C90, tbl_IngrédientsRef[Cde_Ingrdt],0))</f>
        <v>g</v>
      </c>
    </row>
    <row r="91" spans="1:6" x14ac:dyDescent="0.3">
      <c r="A91" s="87" t="s">
        <v>318</v>
      </c>
      <c r="B91" s="88" t="str">
        <f>IFERROR(INDEX(tbl_ProduitsRef[Cde_Prdt],MATCH(A91,tbl_ProduitsRef[Produit],0)),"⚠️ Produit non trouvé")</f>
        <v>OME006</v>
      </c>
      <c r="C91" s="84" t="str">
        <f>IFERROR(VLOOKUP(D91,Référentiels!$M$2:$N$267,2,FALSE),"Ingrédient non trouvé")</f>
        <v>PRL001</v>
      </c>
      <c r="D91" s="85" t="s">
        <v>211</v>
      </c>
      <c r="E91" s="101">
        <v>3</v>
      </c>
      <c r="F91" s="86" t="str">
        <f>INDEX(tbl_IngrédientsRef[Unité], MATCH(C91, tbl_IngrédientsRef[Cde_Ingrdt],0))</f>
        <v>Pièce</v>
      </c>
    </row>
    <row r="92" spans="1:6" x14ac:dyDescent="0.3">
      <c r="A92" s="87" t="s">
        <v>318</v>
      </c>
      <c r="B92" s="88" t="str">
        <f>IFERROR(INDEX(tbl_ProduitsRef[Cde_Prdt],MATCH(A92,tbl_ProduitsRef[Produit],0)),"⚠️ Produit non trouvé")</f>
        <v>OME006</v>
      </c>
      <c r="C92" s="84" t="str">
        <f>IFERROR(VLOOKUP(D92,Référentiels!$M$2:$N$267,2,FALSE),"Ingrédient non trouvé")</f>
        <v>PRL007</v>
      </c>
      <c r="D92" s="85" t="s">
        <v>304</v>
      </c>
      <c r="E92" s="101">
        <v>50</v>
      </c>
      <c r="F92" s="86" t="str">
        <f>INDEX(tbl_IngrédientsRef[Unité], MATCH(C92, tbl_IngrédientsRef[Cde_Ingrdt],0))</f>
        <v>g</v>
      </c>
    </row>
    <row r="93" spans="1:6" x14ac:dyDescent="0.3">
      <c r="A93" s="87" t="s">
        <v>318</v>
      </c>
      <c r="B93" s="88" t="str">
        <f>IFERROR(INDEX(tbl_ProduitsRef[Cde_Prdt],MATCH(A93,tbl_ProduitsRef[Produit],0)),"⚠️ Produit non trouvé")</f>
        <v>OME006</v>
      </c>
      <c r="C93" s="84" t="str">
        <f>IFERROR(VLOOKUP(D93,Référentiels!$M$2:$N$267,2,FALSE),"Ingrédient non trouvé")</f>
        <v>CDM020</v>
      </c>
      <c r="D93" s="85" t="s">
        <v>298</v>
      </c>
      <c r="E93" s="101">
        <v>20</v>
      </c>
      <c r="F93" s="86" t="str">
        <f>INDEX(tbl_IngrédientsRef[Unité], MATCH(C93, tbl_IngrédientsRef[Cde_Ingrdt],0))</f>
        <v>ml</v>
      </c>
    </row>
    <row r="94" spans="1:6" x14ac:dyDescent="0.3">
      <c r="A94" s="87" t="s">
        <v>318</v>
      </c>
      <c r="B94" s="88" t="str">
        <f>IFERROR(INDEX(tbl_ProduitsRef[Cde_Prdt],MATCH(A94,tbl_ProduitsRef[Produit],0)),"⚠️ Produit non trouvé")</f>
        <v>OME006</v>
      </c>
      <c r="C94" s="84" t="str">
        <f>IFERROR(VLOOKUP(D94,Référentiels!$M$2:$N$267,2,FALSE),"Ingrédient non trouvé")</f>
        <v>EPI005</v>
      </c>
      <c r="D94" s="85" t="s">
        <v>300</v>
      </c>
      <c r="E94" s="101">
        <v>1</v>
      </c>
      <c r="F94" s="86" t="str">
        <f>INDEX(tbl_IngrédientsRef[Unité], MATCH(C94, tbl_IngrédientsRef[Cde_Ingrdt],0))</f>
        <v>g</v>
      </c>
    </row>
    <row r="95" spans="1:6" x14ac:dyDescent="0.3">
      <c r="A95" s="87" t="s">
        <v>320</v>
      </c>
      <c r="B95" s="88" t="str">
        <f>IFERROR(INDEX(tbl_ProduitsRef[Cde_Prdt],MATCH(A95,tbl_ProduitsRef[Produit],0)),"⚠️ Produit non trouvé")</f>
        <v>OME007</v>
      </c>
      <c r="C95" s="84" t="str">
        <f>IFERROR(VLOOKUP(D95,Référentiels!$M$2:$N$267,2,FALSE),"Ingrédient non trouvé")</f>
        <v>PRL001</v>
      </c>
      <c r="D95" s="85" t="s">
        <v>211</v>
      </c>
      <c r="E95" s="101">
        <v>3</v>
      </c>
      <c r="F95" s="86" t="str">
        <f>INDEX(tbl_IngrédientsRef[Unité], MATCH(C95, tbl_IngrédientsRef[Cde_Ingrdt],0))</f>
        <v>Pièce</v>
      </c>
    </row>
    <row r="96" spans="1:6" x14ac:dyDescent="0.3">
      <c r="A96" s="87" t="s">
        <v>320</v>
      </c>
      <c r="B96" s="88" t="str">
        <f>IFERROR(INDEX(tbl_ProduitsRef[Cde_Prdt],MATCH(A96,tbl_ProduitsRef[Produit],0)),"⚠️ Produit non trouvé")</f>
        <v>OME007</v>
      </c>
      <c r="C96" s="84" t="str">
        <f>IFERROR(VLOOKUP(D96,Référentiels!$M$2:$N$267,2,FALSE),"Ingrédient non trouvé")</f>
        <v>CDM020</v>
      </c>
      <c r="D96" s="85" t="s">
        <v>298</v>
      </c>
      <c r="E96" s="101">
        <v>10</v>
      </c>
      <c r="F96" s="86" t="str">
        <f>INDEX(tbl_IngrédientsRef[Unité], MATCH(C96, tbl_IngrédientsRef[Cde_Ingrdt],0))</f>
        <v>ml</v>
      </c>
    </row>
    <row r="97" spans="1:6" x14ac:dyDescent="0.3">
      <c r="A97" s="87" t="s">
        <v>320</v>
      </c>
      <c r="B97" s="88" t="str">
        <f>IFERROR(INDEX(tbl_ProduitsRef[Cde_Prdt],MATCH(A97,tbl_ProduitsRef[Produit],0)),"⚠️ Produit non trouvé")</f>
        <v>OME007</v>
      </c>
      <c r="C97" s="84" t="str">
        <f>IFERROR(VLOOKUP(D97,Référentiels!$M$2:$N$267,2,FALSE),"Ingrédient non trouvé")</f>
        <v>EPI005</v>
      </c>
      <c r="D97" s="85" t="s">
        <v>300</v>
      </c>
      <c r="E97" s="101">
        <v>1</v>
      </c>
      <c r="F97" s="86" t="str">
        <f>INDEX(tbl_IngrédientsRef[Unité], MATCH(C97, tbl_IngrédientsRef[Cde_Ingrdt],0))</f>
        <v>g</v>
      </c>
    </row>
    <row r="98" spans="1:6" x14ac:dyDescent="0.3">
      <c r="A98" s="87" t="s">
        <v>322</v>
      </c>
      <c r="B98" s="88" t="str">
        <f>IFERROR(INDEX(tbl_ProduitsRef[Cde_Prdt],MATCH(A98,tbl_ProduitsRef[Produit],0)),"⚠️ Produit non trouvé")</f>
        <v>OND001</v>
      </c>
      <c r="C98" s="84" t="str">
        <f>IFERROR(VLOOKUP(D98,Référentiels!$M$2:$N$267,2,FALSE),"Ingrédient non trouvé")</f>
        <v>BOU004</v>
      </c>
      <c r="D98" s="85" t="s">
        <v>205</v>
      </c>
      <c r="E98" s="101">
        <v>2</v>
      </c>
      <c r="F98" s="86" t="str">
        <f>INDEX(tbl_IngrédientsRef[Unité], MATCH(C98, tbl_IngrédientsRef[Cde_Ingrdt],0))</f>
        <v>Pièce</v>
      </c>
    </row>
    <row r="99" spans="1:6" x14ac:dyDescent="0.3">
      <c r="A99" s="87" t="s">
        <v>322</v>
      </c>
      <c r="B99" s="88" t="str">
        <f>IFERROR(INDEX(tbl_ProduitsRef[Cde_Prdt],MATCH(A99,tbl_ProduitsRef[Produit],0)),"⚠️ Produit non trouvé")</f>
        <v>OND001</v>
      </c>
      <c r="C99" s="84" t="str">
        <f>IFERROR(VLOOKUP(D99,Référentiels!$M$2:$N$267,2,FALSE),"Ingrédient non trouvé")</f>
        <v>CHA004</v>
      </c>
      <c r="D99" s="85" t="s">
        <v>234</v>
      </c>
      <c r="E99" s="101">
        <v>100</v>
      </c>
      <c r="F99" s="86" t="str">
        <f>INDEX(tbl_IngrédientsRef[Unité], MATCH(C99, tbl_IngrédientsRef[Cde_Ingrdt],0))</f>
        <v>g</v>
      </c>
    </row>
    <row r="100" spans="1:6" x14ac:dyDescent="0.3">
      <c r="A100" s="87" t="s">
        <v>322</v>
      </c>
      <c r="B100" s="88" t="str">
        <f>IFERROR(INDEX(tbl_ProduitsRef[Cde_Prdt],MATCH(A100,tbl_ProduitsRef[Produit],0)),"⚠️ Produit non trouvé")</f>
        <v>OND001</v>
      </c>
      <c r="C100" s="84" t="str">
        <f>IFERROR(VLOOKUP(D100,Référentiels!$M$2:$N$267,2,FALSE),"Ingrédient non trouvé")</f>
        <v>PRL021</v>
      </c>
      <c r="D100" s="85" t="s">
        <v>325</v>
      </c>
      <c r="E100" s="101">
        <v>100</v>
      </c>
      <c r="F100" s="86" t="str">
        <f>INDEX(tbl_IngrédientsRef[Unité], MATCH(C100, tbl_IngrédientsRef[Cde_Ingrdt],0))</f>
        <v>g</v>
      </c>
    </row>
    <row r="101" spans="1:6" x14ac:dyDescent="0.3">
      <c r="A101" s="87" t="s">
        <v>322</v>
      </c>
      <c r="B101" s="88" t="str">
        <f>IFERROR(INDEX(tbl_ProduitsRef[Cde_Prdt],MATCH(A101,tbl_ProduitsRef[Produit],0)),"⚠️ Produit non trouvé")</f>
        <v>OND001</v>
      </c>
      <c r="C101" s="84" t="str">
        <f>IFERROR(VLOOKUP(D101,Référentiels!$M$2:$N$267,2,FALSE),"Ingrédient non trouvé")</f>
        <v>PRL001</v>
      </c>
      <c r="D101" s="85" t="s">
        <v>211</v>
      </c>
      <c r="E101" s="101">
        <v>2</v>
      </c>
      <c r="F101" s="86" t="str">
        <f>INDEX(tbl_IngrédientsRef[Unité], MATCH(C101, tbl_IngrédientsRef[Cde_Ingrdt],0))</f>
        <v>Pièce</v>
      </c>
    </row>
    <row r="102" spans="1:6" x14ac:dyDescent="0.3">
      <c r="A102" s="87" t="s">
        <v>326</v>
      </c>
      <c r="B102" s="88" t="str">
        <f>IFERROR(INDEX(tbl_ProduitsRef[Cde_Prdt],MATCH(A102,tbl_ProduitsRef[Produit],0)),"⚠️ Produit non trouvé")</f>
        <v>OND002</v>
      </c>
      <c r="C102" s="84" t="str">
        <f>IFERROR(VLOOKUP(D102,Référentiels!$M$2:$N$267,2,FALSE),"Ingrédient non trouvé")</f>
        <v>BOU010</v>
      </c>
      <c r="D102" s="85" t="s">
        <v>276</v>
      </c>
      <c r="E102" s="101">
        <v>1</v>
      </c>
      <c r="F102" s="86" t="str">
        <f>INDEX(tbl_IngrédientsRef[Unité], MATCH(C102, tbl_IngrédientsRef[Cde_Ingrdt],0))</f>
        <v>Pièce</v>
      </c>
    </row>
    <row r="103" spans="1:6" x14ac:dyDescent="0.3">
      <c r="A103" s="87" t="s">
        <v>326</v>
      </c>
      <c r="B103" s="88" t="str">
        <f>IFERROR(INDEX(tbl_ProduitsRef[Cde_Prdt],MATCH(A103,tbl_ProduitsRef[Produit],0)),"⚠️ Produit non trouvé")</f>
        <v>OND002</v>
      </c>
      <c r="C103" s="84" t="str">
        <f>IFERROR(VLOOKUP(D103,Référentiels!$M$2:$N$267,2,FALSE),"Ingrédient non trouvé")</f>
        <v>PSU002</v>
      </c>
      <c r="D103" s="85" t="s">
        <v>282</v>
      </c>
      <c r="E103" s="101">
        <v>30</v>
      </c>
      <c r="F103" s="86" t="str">
        <f>INDEX(tbl_IngrédientsRef[Unité], MATCH(C103, tbl_IngrédientsRef[Cde_Ingrdt],0))</f>
        <v>g</v>
      </c>
    </row>
    <row r="104" spans="1:6" x14ac:dyDescent="0.3">
      <c r="A104" s="87" t="s">
        <v>326</v>
      </c>
      <c r="B104" s="88" t="str">
        <f>IFERROR(INDEX(tbl_ProduitsRef[Cde_Prdt],MATCH(A104,tbl_ProduitsRef[Produit],0)),"⚠️ Produit non trouvé")</f>
        <v>OND002</v>
      </c>
      <c r="C104" s="84" t="str">
        <f>IFERROR(VLOOKUP(D104,Référentiels!$M$2:$N$267,2,FALSE),"Ingrédient non trouvé")</f>
        <v>PSU018</v>
      </c>
      <c r="D104" s="85" t="s">
        <v>284</v>
      </c>
      <c r="E104" s="101">
        <v>20</v>
      </c>
      <c r="F104" s="86" t="str">
        <f>INDEX(tbl_IngrédientsRef[Unité], MATCH(C104, tbl_IngrédientsRef[Cde_Ingrdt],0))</f>
        <v>ml</v>
      </c>
    </row>
    <row r="105" spans="1:6" x14ac:dyDescent="0.3">
      <c r="A105" s="87" t="s">
        <v>326</v>
      </c>
      <c r="B105" s="88" t="str">
        <f>IFERROR(INDEX(tbl_ProduitsRef[Cde_Prdt],MATCH(A105,tbl_ProduitsRef[Produit],0)),"⚠️ Produit non trouvé")</f>
        <v>OND002</v>
      </c>
      <c r="C105" s="84" t="str">
        <f>IFERROR(VLOOKUP(D105,Référentiels!$M$2:$N$267,2,FALSE),"Ingrédient non trouvé")</f>
        <v>PRL005</v>
      </c>
      <c r="D105" s="85" t="s">
        <v>215</v>
      </c>
      <c r="E105" s="101">
        <v>40</v>
      </c>
      <c r="F105" s="86" t="str">
        <f>INDEX(tbl_IngrédientsRef[Unité], MATCH(C105, tbl_IngrédientsRef[Cde_Ingrdt],0))</f>
        <v>g</v>
      </c>
    </row>
    <row r="106" spans="1:6" x14ac:dyDescent="0.3">
      <c r="A106" s="87" t="s">
        <v>326</v>
      </c>
      <c r="B106" s="88" t="str">
        <f>IFERROR(INDEX(tbl_ProduitsRef[Cde_Prdt],MATCH(A106,tbl_ProduitsRef[Produit],0)),"⚠️ Produit non trouvé")</f>
        <v>OND002</v>
      </c>
      <c r="C106" s="84" t="str">
        <f>IFERROR(VLOOKUP(D106,Référentiels!$M$2:$N$267,2,FALSE),"Ingrédient non trouvé")</f>
        <v>CDM015</v>
      </c>
      <c r="D106" s="85" t="s">
        <v>1264</v>
      </c>
      <c r="E106" s="101">
        <v>20</v>
      </c>
      <c r="F106" s="86" t="str">
        <f>INDEX(tbl_IngrédientsRef[Unité], MATCH(C106, tbl_IngrédientsRef[Cde_Ingrdt],0))</f>
        <v>g</v>
      </c>
    </row>
    <row r="107" spans="1:6" x14ac:dyDescent="0.3">
      <c r="A107" s="87" t="s">
        <v>329</v>
      </c>
      <c r="B107" s="88" t="str">
        <f>IFERROR(INDEX(tbl_ProduitsRef[Cde_Prdt],MATCH(A107,tbl_ProduitsRef[Produit],0)),"⚠️ Produit non trouvé")</f>
        <v>OND003</v>
      </c>
      <c r="C107" s="84" t="str">
        <f>IFERROR(VLOOKUP(D107,Référentiels!$M$2:$N$267,2,FALSE),"Ingrédient non trouvé")</f>
        <v>BOU004</v>
      </c>
      <c r="D107" s="85" t="s">
        <v>205</v>
      </c>
      <c r="E107" s="101">
        <v>2</v>
      </c>
      <c r="F107" s="86" t="str">
        <f>INDEX(tbl_IngrédientsRef[Unité], MATCH(C107, tbl_IngrédientsRef[Cde_Ingrdt],0))</f>
        <v>Pièce</v>
      </c>
    </row>
    <row r="108" spans="1:6" x14ac:dyDescent="0.3">
      <c r="A108" s="87" t="s">
        <v>329</v>
      </c>
      <c r="B108" s="88" t="str">
        <f>IFERROR(INDEX(tbl_ProduitsRef[Cde_Prdt],MATCH(A108,tbl_ProduitsRef[Produit],0)),"⚠️ Produit non trouvé")</f>
        <v>OND003</v>
      </c>
      <c r="C108" s="84" t="str">
        <f>IFERROR(VLOOKUP(D108,Référentiels!$M$2:$N$267,2,FALSE),"Ingrédient non trouvé")</f>
        <v>PRL007</v>
      </c>
      <c r="D108" s="85" t="s">
        <v>304</v>
      </c>
      <c r="E108" s="101">
        <v>40</v>
      </c>
      <c r="F108" s="86" t="str">
        <f>INDEX(tbl_IngrédientsRef[Unité], MATCH(C108, tbl_IngrédientsRef[Cde_Ingrdt],0))</f>
        <v>g</v>
      </c>
    </row>
    <row r="109" spans="1:6" x14ac:dyDescent="0.3">
      <c r="A109" s="87" t="s">
        <v>329</v>
      </c>
      <c r="B109" s="88" t="str">
        <f>IFERROR(INDEX(tbl_ProduitsRef[Cde_Prdt],MATCH(A109,tbl_ProduitsRef[Produit],0)),"⚠️ Produit non trouvé")</f>
        <v>OND003</v>
      </c>
      <c r="C109" s="84" t="str">
        <f>IFERROR(VLOOKUP(D109,Référentiels!$M$2:$N$267,2,FALSE),"Ingrédient non trouvé")</f>
        <v>CHA004</v>
      </c>
      <c r="D109" s="85" t="s">
        <v>234</v>
      </c>
      <c r="E109" s="101">
        <v>60</v>
      </c>
      <c r="F109" s="86" t="str">
        <f>INDEX(tbl_IngrédientsRef[Unité], MATCH(C109, tbl_IngrédientsRef[Cde_Ingrdt],0))</f>
        <v>g</v>
      </c>
    </row>
    <row r="110" spans="1:6" x14ac:dyDescent="0.3">
      <c r="A110" s="87" t="s">
        <v>329</v>
      </c>
      <c r="B110" s="88" t="str">
        <f>IFERROR(INDEX(tbl_ProduitsRef[Cde_Prdt],MATCH(A110,tbl_ProduitsRef[Produit],0)),"⚠️ Produit non trouvé")</f>
        <v>OND003</v>
      </c>
      <c r="C110" s="84" t="str">
        <f>IFERROR(VLOOKUP(D110,Référentiels!$M$2:$N$267,2,FALSE),"Ingrédient non trouvé")</f>
        <v>PRL001</v>
      </c>
      <c r="D110" s="85" t="s">
        <v>211</v>
      </c>
      <c r="E110" s="101">
        <v>2</v>
      </c>
      <c r="F110" s="86" t="str">
        <f>INDEX(tbl_IngrédientsRef[Unité], MATCH(C110, tbl_IngrédientsRef[Cde_Ingrdt],0))</f>
        <v>Pièce</v>
      </c>
    </row>
    <row r="111" spans="1:6" x14ac:dyDescent="0.3">
      <c r="A111" s="91" t="s">
        <v>331</v>
      </c>
      <c r="B111" s="88" t="str">
        <f>IFERROR(INDEX(tbl_ProduitsRef[Cde_Prdt],MATCH(A111,tbl_ProduitsRef[Produit],0)),"⚠️ Produit non trouvé")</f>
        <v>SUP001</v>
      </c>
      <c r="C111" s="84" t="str">
        <f>IFERROR(VLOOKUP(D111,Référentiels!$M$2:$N$267,2,FALSE),"Ingrédient non trouvé")</f>
        <v>PRL021</v>
      </c>
      <c r="D111" s="88" t="s">
        <v>325</v>
      </c>
      <c r="E111" s="102">
        <v>100</v>
      </c>
      <c r="F111" s="86" t="str">
        <f>INDEX(tbl_IngrédientsRef[Unité], MATCH(C111, tbl_IngrédientsRef[Cde_Ingrdt],0))</f>
        <v>g</v>
      </c>
    </row>
    <row r="112" spans="1:6" x14ac:dyDescent="0.3">
      <c r="A112" s="91" t="s">
        <v>333</v>
      </c>
      <c r="B112" s="88" t="str">
        <f>IFERROR(INDEX(tbl_ProduitsRef[Cde_Prdt],MATCH(A112,tbl_ProduitsRef[Produit],0)),"⚠️ Produit non trouvé")</f>
        <v>SUP002</v>
      </c>
      <c r="C112" s="84" t="str">
        <f>IFERROR(VLOOKUP(D112,Référentiels!$M$2:$N$267,2,FALSE),"Ingrédient non trouvé")</f>
        <v>PSU002</v>
      </c>
      <c r="D112" s="88" t="s">
        <v>282</v>
      </c>
      <c r="E112" s="102">
        <v>100</v>
      </c>
      <c r="F112" s="86" t="str">
        <f>INDEX(tbl_IngrédientsRef[Unité], MATCH(C112, tbl_IngrédientsRef[Cde_Ingrdt],0))</f>
        <v>g</v>
      </c>
    </row>
    <row r="113" spans="1:6" x14ac:dyDescent="0.3">
      <c r="A113" s="91" t="s">
        <v>335</v>
      </c>
      <c r="B113" s="88" t="str">
        <f>IFERROR(INDEX(tbl_ProduitsRef[Cde_Prdt],MATCH(A113,tbl_ProduitsRef[Produit],0)),"⚠️ Produit non trouvé")</f>
        <v>SUP003</v>
      </c>
      <c r="C113" s="84" t="str">
        <f>IFERROR(VLOOKUP(D113,Référentiels!$M$2:$N$267,2,FALSE),"Ingrédient non trouvé")</f>
        <v>CHA005</v>
      </c>
      <c r="D113" s="88" t="s">
        <v>337</v>
      </c>
      <c r="E113" s="102">
        <v>100</v>
      </c>
      <c r="F113" s="86" t="str">
        <f>INDEX(tbl_IngrédientsRef[Unité], MATCH(C113, tbl_IngrédientsRef[Cde_Ingrdt],0))</f>
        <v>g</v>
      </c>
    </row>
    <row r="114" spans="1:6" x14ac:dyDescent="0.3">
      <c r="A114" s="91" t="s">
        <v>338</v>
      </c>
      <c r="B114" s="88" t="str">
        <f>IFERROR(INDEX(tbl_ProduitsRef[Cde_Prdt],MATCH(A114,tbl_ProduitsRef[Produit],0)),"⚠️ Produit non trouvé")</f>
        <v>SUP004</v>
      </c>
      <c r="C114" s="84" t="str">
        <f>IFERROR(VLOOKUP(D114,Référentiels!$M$2:$N$267,2,FALSE),"Ingrédient non trouvé")</f>
        <v>CDM020</v>
      </c>
      <c r="D114" s="88" t="s">
        <v>298</v>
      </c>
      <c r="E114" s="102">
        <v>50</v>
      </c>
      <c r="F114" s="86" t="str">
        <f>INDEX(tbl_IngrédientsRef[Unité], MATCH(C114, tbl_IngrédientsRef[Cde_Ingrdt],0))</f>
        <v>ml</v>
      </c>
    </row>
    <row r="115" spans="1:6" x14ac:dyDescent="0.3">
      <c r="A115" s="91" t="s">
        <v>81</v>
      </c>
      <c r="B115" s="88" t="str">
        <f>IFERROR(INDEX(tbl_ProduitsRef[Cde_Prdt],MATCH(A115,tbl_ProduitsRef[Produit],0)),"⚠️ Produit non trouvé")</f>
        <v>SUP005</v>
      </c>
      <c r="C115" s="84" t="str">
        <f>IFERROR(VLOOKUP(D115,Référentiels!$M$2:$N$267,2,FALSE),"Ingrédient non trouvé")</f>
        <v>BOU007</v>
      </c>
      <c r="D115" s="88" t="s">
        <v>342</v>
      </c>
      <c r="E115" s="102">
        <v>1</v>
      </c>
      <c r="F115" s="86" t="str">
        <f>INDEX(tbl_IngrédientsRef[Unité], MATCH(C115, tbl_IngrédientsRef[Cde_Ingrdt],0))</f>
        <v>Pièce</v>
      </c>
    </row>
    <row r="116" spans="1:6" x14ac:dyDescent="0.3">
      <c r="A116" s="91" t="s">
        <v>343</v>
      </c>
      <c r="B116" s="88" t="str">
        <f>IFERROR(INDEX(tbl_ProduitsRef[Cde_Prdt],MATCH(A116,tbl_ProduitsRef[Produit],0)),"⚠️ Produit non trouvé")</f>
        <v>SUP006</v>
      </c>
      <c r="C116" s="84" t="str">
        <f>IFERROR(VLOOKUP(D116,Référentiels!$M$2:$N$267,2,FALSE),"Ingrédient non trouvé")</f>
        <v>BOU006</v>
      </c>
      <c r="D116" s="88" t="s">
        <v>288</v>
      </c>
      <c r="E116" s="102">
        <v>1</v>
      </c>
      <c r="F116" s="86" t="str">
        <f>INDEX(tbl_IngrédientsRef[Unité], MATCH(C116, tbl_IngrédientsRef[Cde_Ingrdt],0))</f>
        <v>Pièce</v>
      </c>
    </row>
    <row r="117" spans="1:6" x14ac:dyDescent="0.3">
      <c r="A117" s="91" t="s">
        <v>274</v>
      </c>
      <c r="B117" s="88" t="str">
        <f>IFERROR(INDEX(tbl_ProduitsRef[Cde_Prdt],MATCH(A117,tbl_ProduitsRef[Produit],0)),"⚠️ Produit non trouvé")</f>
        <v>SUP007</v>
      </c>
      <c r="C117" s="84" t="str">
        <f>IFERROR(VLOOKUP(D117,Référentiels!$M$2:$N$267,2,FALSE),"Ingrédient non trouvé")</f>
        <v>BOU009</v>
      </c>
      <c r="D117" s="88" t="s">
        <v>274</v>
      </c>
      <c r="E117" s="102">
        <v>1</v>
      </c>
      <c r="F117" s="86" t="str">
        <f>INDEX(tbl_IngrédientsRef[Unité], MATCH(C117, tbl_IngrédientsRef[Cde_Ingrdt],0))</f>
        <v>Pièce</v>
      </c>
    </row>
    <row r="118" spans="1:6" x14ac:dyDescent="0.3">
      <c r="A118" s="91" t="s">
        <v>346</v>
      </c>
      <c r="B118" s="88" t="str">
        <f>IFERROR(INDEX(tbl_ProduitsRef[Cde_Prdt],MATCH(A118,tbl_ProduitsRef[Produit],0)),"⚠️ Produit non trouvé")</f>
        <v>SUP008</v>
      </c>
      <c r="C118" s="84" t="str">
        <f>IFERROR(VLOOKUP(D118,Référentiels!$M$2:$N$267,2,FALSE),"Ingrédient non trouvé")</f>
        <v>BOU001</v>
      </c>
      <c r="D118" s="88" t="s">
        <v>218</v>
      </c>
      <c r="E118" s="102">
        <v>3</v>
      </c>
      <c r="F118" s="86" t="str">
        <f>INDEX(tbl_IngrédientsRef[Unité], MATCH(C118, tbl_IngrédientsRef[Cde_Ingrdt],0))</f>
        <v>Pièce</v>
      </c>
    </row>
    <row r="119" spans="1:6" x14ac:dyDescent="0.3">
      <c r="A119" s="96" t="s">
        <v>82</v>
      </c>
      <c r="B119" s="94" t="str">
        <f>IFERROR(INDEX(tbl_ProduitsRef[Cde_Prdt],MATCH(A119,tbl_ProduitsRef[Produit],0)),"⚠️ Produit non trouvé")</f>
        <v>SUP010</v>
      </c>
      <c r="C119" s="97" t="str">
        <f>IFERROR(VLOOKUP(D119,Référentiels!$M$2:$N$267,2,FALSE),"Ingrédient non trouvé")</f>
        <v>PRL006</v>
      </c>
      <c r="D119" s="94" t="s">
        <v>82</v>
      </c>
      <c r="E119" s="103">
        <v>2</v>
      </c>
      <c r="F119" s="95" t="str">
        <f>INDEX(tbl_IngrédientsRef[Unité], MATCH(C119, tbl_IngrédientsRef[Cde_Ingrdt],0))</f>
        <v>Pièce</v>
      </c>
    </row>
  </sheetData>
  <conditionalFormatting sqref="F1">
    <cfRule type="containsText" dxfId="5" priority="1" operator="containsText" text="pièce">
      <formula>NOT(ISERROR(SEARCH("pièce",F1)))</formula>
    </cfRule>
  </conditionalFormatting>
  <conditionalFormatting sqref="F2:F1048576">
    <cfRule type="containsText" dxfId="4" priority="3" operator="containsText" text="pièce">
      <formula>NOT(ISERROR(SEARCH("pièce",F2)))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9DFB24-3CC9-47AB-83D4-1CF7EBAB8A76}">
          <x14:formula1>
            <xm:f>Référentiels!$M$2:$M$267</xm:f>
          </x14:formula1>
          <xm:sqref>D2:D119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7">
    <tabColor theme="9" tint="-0.249977111117893"/>
  </sheetPr>
  <dimension ref="A1:F345"/>
  <sheetViews>
    <sheetView zoomScale="85" zoomScaleNormal="85" workbookViewId="0">
      <selection activeCell="A12" sqref="A12"/>
    </sheetView>
  </sheetViews>
  <sheetFormatPr baseColWidth="10" defaultColWidth="14.5703125" defaultRowHeight="16.5" x14ac:dyDescent="0.3"/>
  <cols>
    <col min="1" max="1" width="48.42578125" style="1" bestFit="1" customWidth="1"/>
    <col min="2" max="2" width="16.7109375" style="1" bestFit="1" customWidth="1"/>
    <col min="3" max="3" width="17" style="1" bestFit="1" customWidth="1"/>
    <col min="4" max="4" width="41" style="1" bestFit="1" customWidth="1"/>
    <col min="5" max="5" width="16.28515625" style="1" bestFit="1" customWidth="1"/>
    <col min="6" max="6" width="12.28515625" style="1" bestFit="1" customWidth="1"/>
    <col min="7" max="7" width="14.5703125" style="1" customWidth="1"/>
    <col min="8" max="16384" width="14.5703125" style="1"/>
  </cols>
  <sheetData>
    <row r="1" spans="1:6" x14ac:dyDescent="0.3">
      <c r="A1" s="78" t="s">
        <v>41</v>
      </c>
      <c r="B1" s="79" t="s">
        <v>42</v>
      </c>
      <c r="C1" s="80" t="s">
        <v>199</v>
      </c>
      <c r="D1" s="79" t="s">
        <v>200</v>
      </c>
      <c r="E1" s="79" t="s">
        <v>201</v>
      </c>
      <c r="F1" s="81" t="s">
        <v>202</v>
      </c>
    </row>
    <row r="2" spans="1:6" x14ac:dyDescent="0.3">
      <c r="A2" s="89" t="s">
        <v>349</v>
      </c>
      <c r="B2" s="83" t="str">
        <f>IFERROR(INDEX(tbl_ProduitsRef[Cde_Prdt],MATCH(A2,tbl_ProduitsRef[Produit],0)),"⚠️ Produit non trouvé")</f>
        <v>ENT001</v>
      </c>
      <c r="C2" s="17" t="str">
        <f>IFERROR(VLOOKUP(D2,Référentiels!$M$2:$N$267,2,FALSE),"Ingrédient non trouvé")</f>
        <v>FEC006</v>
      </c>
      <c r="D2" s="88" t="s">
        <v>352</v>
      </c>
      <c r="E2" s="88">
        <v>60</v>
      </c>
      <c r="F2" s="86" t="str">
        <f>INDEX(tbl_IngrédientsRef[Unité], MATCH(C2, tbl_IngrédientsRef[Cde_Ingrdt],0))</f>
        <v>g</v>
      </c>
    </row>
    <row r="3" spans="1:6" x14ac:dyDescent="0.3">
      <c r="A3" s="89" t="s">
        <v>349</v>
      </c>
      <c r="B3" s="83" t="str">
        <f>IFERROR(INDEX(tbl_ProduitsRef[Cde_Prdt],MATCH(A3,tbl_ProduitsRef[Produit],0)),"⚠️ Produit non trouvé")</f>
        <v>ENT001</v>
      </c>
      <c r="C3" s="17" t="str">
        <f>IFERROR(VLOOKUP(D3,Référentiels!$M$2:$N$267,2,FALSE),"Ingrédient non trouvé")</f>
        <v>FDM001</v>
      </c>
      <c r="D3" s="88" t="s">
        <v>294</v>
      </c>
      <c r="E3" s="88">
        <v>60</v>
      </c>
      <c r="F3" s="86" t="str">
        <f>INDEX(tbl_IngrédientsRef[Unité], MATCH(C3, tbl_IngrédientsRef[Cde_Ingrdt],0))</f>
        <v>g</v>
      </c>
    </row>
    <row r="4" spans="1:6" x14ac:dyDescent="0.3">
      <c r="A4" s="89" t="s">
        <v>349</v>
      </c>
      <c r="B4" s="83" t="str">
        <f>IFERROR(INDEX(tbl_ProduitsRef[Cde_Prdt],MATCH(A4,tbl_ProduitsRef[Produit],0)),"⚠️ Produit non trouvé")</f>
        <v>ENT001</v>
      </c>
      <c r="C4" s="17" t="str">
        <f>IFERROR(VLOOKUP(D4,Référentiels!$M$2:$N$267,2,FALSE),"Ingrédient non trouvé")</f>
        <v>FDM002</v>
      </c>
      <c r="D4" s="88" t="s">
        <v>354</v>
      </c>
      <c r="E4" s="88">
        <v>80</v>
      </c>
      <c r="F4" s="86" t="str">
        <f>INDEX(tbl_IngrédientsRef[Unité], MATCH(C4, tbl_IngrédientsRef[Cde_Ingrdt],0))</f>
        <v>g</v>
      </c>
    </row>
    <row r="5" spans="1:6" x14ac:dyDescent="0.3">
      <c r="A5" s="89" t="s">
        <v>349</v>
      </c>
      <c r="B5" s="83" t="str">
        <f>IFERROR(INDEX(tbl_ProduitsRef[Cde_Prdt],MATCH(A5,tbl_ProduitsRef[Produit],0)),"⚠️ Produit non trouvé")</f>
        <v>ENT001</v>
      </c>
      <c r="C5" s="17" t="str">
        <f>IFERROR(VLOOKUP(D5,Référentiels!$M$2:$N$267,2,FALSE),"Ingrédient non trouvé")</f>
        <v>FRU001</v>
      </c>
      <c r="D5" s="88" t="s">
        <v>256</v>
      </c>
      <c r="E5" s="88">
        <v>40</v>
      </c>
      <c r="F5" s="86" t="str">
        <f>INDEX(tbl_IngrédientsRef[Unité], MATCH(C5, tbl_IngrédientsRef[Cde_Ingrdt],0))</f>
        <v>g</v>
      </c>
    </row>
    <row r="6" spans="1:6" x14ac:dyDescent="0.3">
      <c r="A6" s="89" t="s">
        <v>349</v>
      </c>
      <c r="B6" s="83" t="str">
        <f>IFERROR(INDEX(tbl_ProduitsRef[Cde_Prdt],MATCH(A6,tbl_ProduitsRef[Produit],0)),"⚠️ Produit non trouvé")</f>
        <v>ENT001</v>
      </c>
      <c r="C6" s="17" t="str">
        <f>IFERROR(VLOOKUP(D6,Référentiels!$M$2:$N$267,2,FALSE),"Ingrédient non trouvé")</f>
        <v>FRU006</v>
      </c>
      <c r="D6" s="88" t="s">
        <v>356</v>
      </c>
      <c r="E6" s="88">
        <v>40</v>
      </c>
      <c r="F6" s="86" t="str">
        <f>INDEX(tbl_IngrédientsRef[Unité], MATCH(C6, tbl_IngrédientsRef[Cde_Ingrdt],0))</f>
        <v>g</v>
      </c>
    </row>
    <row r="7" spans="1:6" x14ac:dyDescent="0.3">
      <c r="A7" s="89" t="s">
        <v>349</v>
      </c>
      <c r="B7" s="83" t="str">
        <f>IFERROR(INDEX(tbl_ProduitsRef[Cde_Prdt],MATCH(A7,tbl_ProduitsRef[Produit],0)),"⚠️ Produit non trouvé")</f>
        <v>ENT001</v>
      </c>
      <c r="C7" s="17" t="str">
        <f>IFERROR(VLOOKUP(D7,Référentiels!$M$2:$N$267,2,FALSE),"Ingrédient non trouvé")</f>
        <v>FRU012</v>
      </c>
      <c r="D7" s="88" t="s">
        <v>358</v>
      </c>
      <c r="E7" s="88">
        <v>40</v>
      </c>
      <c r="F7" s="86" t="str">
        <f>INDEX(tbl_IngrédientsRef[Unité], MATCH(C7, tbl_IngrédientsRef[Cde_Ingrdt],0))</f>
        <v>g</v>
      </c>
    </row>
    <row r="8" spans="1:6" x14ac:dyDescent="0.3">
      <c r="A8" s="89" t="s">
        <v>349</v>
      </c>
      <c r="B8" s="83" t="str">
        <f>IFERROR(INDEX(tbl_ProduitsRef[Cde_Prdt],MATCH(A8,tbl_ProduitsRef[Produit],0)),"⚠️ Produit non trouvé")</f>
        <v>ENT001</v>
      </c>
      <c r="C8" s="17" t="str">
        <f>IFERROR(VLOOKUP(D8,Référentiels!$M$2:$N$267,2,FALSE),"Ingrédient non trouvé")</f>
        <v>LEG021</v>
      </c>
      <c r="D8" s="88" t="s">
        <v>360</v>
      </c>
      <c r="E8" s="88">
        <v>30</v>
      </c>
      <c r="F8" s="86" t="str">
        <f>INDEX(tbl_IngrédientsRef[Unité], MATCH(C8, tbl_IngrédientsRef[Cde_Ingrdt],0))</f>
        <v>g</v>
      </c>
    </row>
    <row r="9" spans="1:6" x14ac:dyDescent="0.3">
      <c r="A9" s="89" t="s">
        <v>349</v>
      </c>
      <c r="B9" s="83" t="str">
        <f>IFERROR(INDEX(tbl_ProduitsRef[Cde_Prdt],MATCH(A9,tbl_ProduitsRef[Produit],0)),"⚠️ Produit non trouvé")</f>
        <v>ENT001</v>
      </c>
      <c r="C9" s="17" t="str">
        <f>IFERROR(VLOOKUP(D9,Référentiels!$M$2:$N$267,2,FALSE),"Ingrédient non trouvé")</f>
        <v>FDM005</v>
      </c>
      <c r="D9" s="88" t="s">
        <v>362</v>
      </c>
      <c r="E9" s="88">
        <v>30</v>
      </c>
      <c r="F9" s="86" t="str">
        <f>INDEX(tbl_IngrédientsRef[Unité], MATCH(C9, tbl_IngrédientsRef[Cde_Ingrdt],0))</f>
        <v>g</v>
      </c>
    </row>
    <row r="10" spans="1:6" x14ac:dyDescent="0.3">
      <c r="A10" s="89" t="s">
        <v>349</v>
      </c>
      <c r="B10" s="83" t="str">
        <f>IFERROR(INDEX(tbl_ProduitsRef[Cde_Prdt],MATCH(A10,tbl_ProduitsRef[Produit],0)),"⚠️ Produit non trouvé")</f>
        <v>ENT001</v>
      </c>
      <c r="C10" s="17" t="str">
        <f>IFERROR(VLOOKUP(D10,Référentiels!$M$2:$N$267,2,FALSE),"Ingrédient non trouvé")</f>
        <v>LEG024</v>
      </c>
      <c r="D10" s="88" t="s">
        <v>364</v>
      </c>
      <c r="E10" s="88">
        <v>40</v>
      </c>
      <c r="F10" s="86" t="str">
        <f>INDEX(tbl_IngrédientsRef[Unité], MATCH(C10, tbl_IngrédientsRef[Cde_Ingrdt],0))</f>
        <v>g</v>
      </c>
    </row>
    <row r="11" spans="1:6" x14ac:dyDescent="0.3">
      <c r="A11" s="89" t="s">
        <v>349</v>
      </c>
      <c r="B11" s="83" t="str">
        <f>IFERROR(INDEX(tbl_ProduitsRef[Cde_Prdt],MATCH(A11,tbl_ProduitsRef[Produit],0)),"⚠️ Produit non trouvé")</f>
        <v>ENT001</v>
      </c>
      <c r="C11" s="17" t="str">
        <f>IFERROR(VLOOKUP(D11,Référentiels!$M$2:$N$267,2,FALSE),"Ingrédient non trouvé")</f>
        <v>LEG003</v>
      </c>
      <c r="D11" s="88" t="s">
        <v>223</v>
      </c>
      <c r="E11" s="88">
        <v>40</v>
      </c>
      <c r="F11" s="86" t="str">
        <f>INDEX(tbl_IngrédientsRef[Unité], MATCH(C11, tbl_IngrédientsRef[Cde_Ingrdt],0))</f>
        <v>g</v>
      </c>
    </row>
    <row r="12" spans="1:6" x14ac:dyDescent="0.3">
      <c r="A12" s="89" t="s">
        <v>349</v>
      </c>
      <c r="B12" s="83" t="str">
        <f>IFERROR(INDEX(tbl_ProduitsRef[Cde_Prdt],MATCH(A12,tbl_ProduitsRef[Produit],0)),"⚠️ Produit non trouvé")</f>
        <v>ENT001</v>
      </c>
      <c r="C12" s="17" t="str">
        <f>IFERROR(VLOOKUP(D12,Référentiels!$M$2:$N$267,2,FALSE),"Ingrédient non trouvé")</f>
        <v>LEG011</v>
      </c>
      <c r="D12" s="88" t="s">
        <v>366</v>
      </c>
      <c r="E12" s="88">
        <v>0.5</v>
      </c>
      <c r="F12" s="86" t="str">
        <f>INDEX(tbl_IngrédientsRef[Unité], MATCH(C12, tbl_IngrédientsRef[Cde_Ingrdt],0))</f>
        <v>Pièce</v>
      </c>
    </row>
    <row r="13" spans="1:6" x14ac:dyDescent="0.3">
      <c r="A13" s="89" t="s">
        <v>367</v>
      </c>
      <c r="B13" s="83" t="str">
        <f>IFERROR(INDEX(tbl_ProduitsRef[Cde_Prdt],MATCH(A13,tbl_ProduitsRef[Produit],0)),"⚠️ Produit non trouvé")</f>
        <v>ENT002</v>
      </c>
      <c r="C13" s="17" t="str">
        <f>IFERROR(VLOOKUP(D13,Référentiels!$M$2:$N$267,2,FALSE),"Ingrédient non trouvé")</f>
        <v>LEG009</v>
      </c>
      <c r="D13" s="88" t="s">
        <v>370</v>
      </c>
      <c r="E13" s="88">
        <v>0.5</v>
      </c>
      <c r="F13" s="86" t="str">
        <f>INDEX(tbl_IngrédientsRef[Unité], MATCH(C13, tbl_IngrédientsRef[Cde_Ingrdt],0))</f>
        <v>Pièce</v>
      </c>
    </row>
    <row r="14" spans="1:6" x14ac:dyDescent="0.3">
      <c r="A14" s="89" t="s">
        <v>367</v>
      </c>
      <c r="B14" s="83" t="str">
        <f>IFERROR(INDEX(tbl_ProduitsRef[Cde_Prdt],MATCH(A14,tbl_ProduitsRef[Produit],0)),"⚠️ Produit non trouvé")</f>
        <v>ENT002</v>
      </c>
      <c r="C14" s="17" t="str">
        <f>IFERROR(VLOOKUP(D14,Référentiels!$M$2:$N$267,2,FALSE),"Ingrédient non trouvé")</f>
        <v>FEC006</v>
      </c>
      <c r="D14" s="88" t="s">
        <v>352</v>
      </c>
      <c r="E14" s="88">
        <v>40</v>
      </c>
      <c r="F14" s="86" t="str">
        <f>INDEX(tbl_IngrédientsRef[Unité], MATCH(C14, tbl_IngrédientsRef[Cde_Ingrdt],0))</f>
        <v>g</v>
      </c>
    </row>
    <row r="15" spans="1:6" x14ac:dyDescent="0.3">
      <c r="A15" s="89" t="s">
        <v>367</v>
      </c>
      <c r="B15" s="83" t="str">
        <f>IFERROR(INDEX(tbl_ProduitsRef[Cde_Prdt],MATCH(A15,tbl_ProduitsRef[Produit],0)),"⚠️ Produit non trouvé")</f>
        <v>ENT002</v>
      </c>
      <c r="C15" s="17" t="str">
        <f>IFERROR(VLOOKUP(D15,Référentiels!$M$2:$N$267,2,FALSE),"Ingrédient non trouvé")</f>
        <v>FDM002</v>
      </c>
      <c r="D15" s="88" t="s">
        <v>354</v>
      </c>
      <c r="E15" s="88">
        <v>40</v>
      </c>
      <c r="F15" s="86" t="str">
        <f>INDEX(tbl_IngrédientsRef[Unité], MATCH(C15, tbl_IngrédientsRef[Cde_Ingrdt],0))</f>
        <v>g</v>
      </c>
    </row>
    <row r="16" spans="1:6" x14ac:dyDescent="0.3">
      <c r="A16" s="89" t="s">
        <v>367</v>
      </c>
      <c r="B16" s="83" t="str">
        <f>IFERROR(INDEX(tbl_ProduitsRef[Cde_Prdt],MATCH(A16,tbl_ProduitsRef[Produit],0)),"⚠️ Produit non trouvé")</f>
        <v>ENT002</v>
      </c>
      <c r="C16" s="17" t="str">
        <f>IFERROR(VLOOKUP(D16,Référentiels!$M$2:$N$267,2,FALSE),"Ingrédient non trouvé")</f>
        <v>FDM001</v>
      </c>
      <c r="D16" s="88" t="s">
        <v>294</v>
      </c>
      <c r="E16" s="88">
        <v>60</v>
      </c>
      <c r="F16" s="86" t="str">
        <f>INDEX(tbl_IngrédientsRef[Unité], MATCH(C16, tbl_IngrédientsRef[Cde_Ingrdt],0))</f>
        <v>g</v>
      </c>
    </row>
    <row r="17" spans="1:6" x14ac:dyDescent="0.3">
      <c r="A17" s="89" t="s">
        <v>367</v>
      </c>
      <c r="B17" s="83" t="str">
        <f>IFERROR(INDEX(tbl_ProduitsRef[Cde_Prdt],MATCH(A17,tbl_ProduitsRef[Produit],0)),"⚠️ Produit non trouvé")</f>
        <v>ENT002</v>
      </c>
      <c r="C17" s="17" t="str">
        <f>IFERROR(VLOOKUP(D17,Référentiels!$M$2:$N$267,2,FALSE),"Ingrédient non trouvé")</f>
        <v>FDM003</v>
      </c>
      <c r="D17" s="88" t="s">
        <v>372</v>
      </c>
      <c r="E17" s="88">
        <v>40</v>
      </c>
      <c r="F17" s="86" t="str">
        <f>INDEX(tbl_IngrédientsRef[Unité], MATCH(C17, tbl_IngrédientsRef[Cde_Ingrdt],0))</f>
        <v>g</v>
      </c>
    </row>
    <row r="18" spans="1:6" x14ac:dyDescent="0.3">
      <c r="A18" s="89" t="s">
        <v>367</v>
      </c>
      <c r="B18" s="83" t="str">
        <f>IFERROR(INDEX(tbl_ProduitsRef[Cde_Prdt],MATCH(A18,tbl_ProduitsRef[Produit],0)),"⚠️ Produit non trouvé")</f>
        <v>ENT002</v>
      </c>
      <c r="C18" s="17" t="str">
        <f>IFERROR(VLOOKUP(D18,Référentiels!$M$2:$N$267,2,FALSE),"Ingrédient non trouvé")</f>
        <v>SOS016</v>
      </c>
      <c r="D18" s="88" t="s">
        <v>374</v>
      </c>
      <c r="E18" s="88">
        <v>20</v>
      </c>
      <c r="F18" s="86" t="str">
        <f>INDEX(tbl_IngrédientsRef[Unité], MATCH(C18, tbl_IngrédientsRef[Cde_Ingrdt],0))</f>
        <v>ml</v>
      </c>
    </row>
    <row r="19" spans="1:6" x14ac:dyDescent="0.3">
      <c r="A19" s="89" t="s">
        <v>375</v>
      </c>
      <c r="B19" s="83" t="str">
        <f>IFERROR(INDEX(tbl_ProduitsRef[Cde_Prdt],MATCH(A19,tbl_ProduitsRef[Produit],0)),"⚠️ Produit non trouvé")</f>
        <v>ENT003</v>
      </c>
      <c r="C19" s="17" t="str">
        <f>IFERROR(VLOOKUP(D19,Référentiels!$M$2:$N$267,2,FALSE),"Ingrédient non trouvé")</f>
        <v>POI002</v>
      </c>
      <c r="D19" s="88" t="s">
        <v>378</v>
      </c>
      <c r="E19" s="88">
        <v>80</v>
      </c>
      <c r="F19" s="86" t="str">
        <f>INDEX(tbl_IngrédientsRef[Unité], MATCH(C19, tbl_IngrédientsRef[Cde_Ingrdt],0))</f>
        <v>g</v>
      </c>
    </row>
    <row r="20" spans="1:6" x14ac:dyDescent="0.3">
      <c r="A20" s="89" t="s">
        <v>375</v>
      </c>
      <c r="B20" s="83" t="str">
        <f>IFERROR(INDEX(tbl_ProduitsRef[Cde_Prdt],MATCH(A20,tbl_ProduitsRef[Produit],0)),"⚠️ Produit non trouvé")</f>
        <v>ENT003</v>
      </c>
      <c r="C20" s="17" t="str">
        <f>IFERROR(VLOOKUP(D20,Référentiels!$M$2:$N$267,2,FALSE),"Ingrédient non trouvé")</f>
        <v>FRU006</v>
      </c>
      <c r="D20" s="88" t="s">
        <v>356</v>
      </c>
      <c r="E20" s="88">
        <v>40</v>
      </c>
      <c r="F20" s="86" t="str">
        <f>INDEX(tbl_IngrédientsRef[Unité], MATCH(C20, tbl_IngrédientsRef[Cde_Ingrdt],0))</f>
        <v>g</v>
      </c>
    </row>
    <row r="21" spans="1:6" x14ac:dyDescent="0.3">
      <c r="A21" s="89" t="s">
        <v>375</v>
      </c>
      <c r="B21" s="83" t="str">
        <f>IFERROR(INDEX(tbl_ProduitsRef[Cde_Prdt],MATCH(A21,tbl_ProduitsRef[Produit],0)),"⚠️ Produit non trouvé")</f>
        <v>ENT003</v>
      </c>
      <c r="C21" s="17" t="str">
        <f>IFERROR(VLOOKUP(D21,Référentiels!$M$2:$N$267,2,FALSE),"Ingrédient non trouvé")</f>
        <v>FRU001</v>
      </c>
      <c r="D21" s="88" t="s">
        <v>256</v>
      </c>
      <c r="E21" s="88">
        <v>40</v>
      </c>
      <c r="F21" s="86" t="str">
        <f>INDEX(tbl_IngrédientsRef[Unité], MATCH(C21, tbl_IngrédientsRef[Cde_Ingrdt],0))</f>
        <v>g</v>
      </c>
    </row>
    <row r="22" spans="1:6" x14ac:dyDescent="0.3">
      <c r="A22" s="89" t="s">
        <v>379</v>
      </c>
      <c r="B22" s="83" t="str">
        <f>IFERROR(INDEX(tbl_ProduitsRef[Cde_Prdt],MATCH(A22,tbl_ProduitsRef[Produit],0)),"⚠️ Produit non trouvé")</f>
        <v>ENT004</v>
      </c>
      <c r="C22" s="17" t="str">
        <f>IFERROR(VLOOKUP(D22,Référentiels!$M$2:$N$267,2,FALSE),"Ingrédient non trouvé")</f>
        <v>CDM018</v>
      </c>
      <c r="D22" s="88" t="s">
        <v>382</v>
      </c>
      <c r="E22" s="88">
        <v>60</v>
      </c>
      <c r="F22" s="86" t="str">
        <f>INDEX(tbl_IngrédientsRef[Unité], MATCH(C22, tbl_IngrédientsRef[Cde_Ingrdt],0))</f>
        <v>g</v>
      </c>
    </row>
    <row r="23" spans="1:6" x14ac:dyDescent="0.3">
      <c r="A23" s="89" t="s">
        <v>379</v>
      </c>
      <c r="B23" s="83" t="str">
        <f>IFERROR(INDEX(tbl_ProduitsRef[Cde_Prdt],MATCH(A23,tbl_ProduitsRef[Produit],0)),"⚠️ Produit non trouvé")</f>
        <v>ENT004</v>
      </c>
      <c r="C23" s="17" t="str">
        <f>IFERROR(VLOOKUP(D23,Référentiels!$M$2:$N$267,2,FALSE),"Ingrédient non trouvé")</f>
        <v>FDM002</v>
      </c>
      <c r="D23" s="88" t="s">
        <v>354</v>
      </c>
      <c r="E23" s="88">
        <v>40</v>
      </c>
      <c r="F23" s="86" t="str">
        <f>INDEX(tbl_IngrédientsRef[Unité], MATCH(C23, tbl_IngrédientsRef[Cde_Ingrdt],0))</f>
        <v>g</v>
      </c>
    </row>
    <row r="24" spans="1:6" x14ac:dyDescent="0.3">
      <c r="A24" s="89" t="s">
        <v>379</v>
      </c>
      <c r="B24" s="83" t="str">
        <f>IFERROR(INDEX(tbl_ProduitsRef[Cde_Prdt],MATCH(A24,tbl_ProduitsRef[Produit],0)),"⚠️ Produit non trouvé")</f>
        <v>ENT004</v>
      </c>
      <c r="C24" s="17" t="str">
        <f>IFERROR(VLOOKUP(D24,Référentiels!$M$2:$N$267,2,FALSE),"Ingrédient non trouvé")</f>
        <v>FDM001</v>
      </c>
      <c r="D24" s="88" t="s">
        <v>294</v>
      </c>
      <c r="E24" s="88">
        <v>60</v>
      </c>
      <c r="F24" s="86" t="str">
        <f>INDEX(tbl_IngrédientsRef[Unité], MATCH(C24, tbl_IngrédientsRef[Cde_Ingrdt],0))</f>
        <v>g</v>
      </c>
    </row>
    <row r="25" spans="1:6" x14ac:dyDescent="0.3">
      <c r="A25" s="89" t="s">
        <v>379</v>
      </c>
      <c r="B25" s="83" t="str">
        <f>IFERROR(INDEX(tbl_ProduitsRef[Cde_Prdt],MATCH(A25,tbl_ProduitsRef[Produit],0)),"⚠️ Produit non trouvé")</f>
        <v>ENT004</v>
      </c>
      <c r="C25" s="17" t="str">
        <f>IFERROR(VLOOKUP(D25,Référentiels!$M$2:$N$267,2,FALSE),"Ingrédient non trouvé")</f>
        <v>FRU006</v>
      </c>
      <c r="D25" s="88" t="s">
        <v>356</v>
      </c>
      <c r="E25" s="88">
        <v>40</v>
      </c>
      <c r="F25" s="86" t="str">
        <f>INDEX(tbl_IngrédientsRef[Unité], MATCH(C25, tbl_IngrédientsRef[Cde_Ingrdt],0))</f>
        <v>g</v>
      </c>
    </row>
    <row r="26" spans="1:6" x14ac:dyDescent="0.3">
      <c r="A26" s="89" t="s">
        <v>379</v>
      </c>
      <c r="B26" s="83" t="str">
        <f>IFERROR(INDEX(tbl_ProduitsRef[Cde_Prdt],MATCH(A26,tbl_ProduitsRef[Produit],0)),"⚠️ Produit non trouvé")</f>
        <v>ENT004</v>
      </c>
      <c r="C26" s="17" t="str">
        <f>IFERROR(VLOOKUP(D26,Référentiels!$M$2:$N$267,2,FALSE),"Ingrédient non trouvé")</f>
        <v>FRU001</v>
      </c>
      <c r="D26" s="88" t="s">
        <v>256</v>
      </c>
      <c r="E26" s="88">
        <v>40</v>
      </c>
      <c r="F26" s="86" t="str">
        <f>INDEX(tbl_IngrédientsRef[Unité], MATCH(C26, tbl_IngrédientsRef[Cde_Ingrdt],0))</f>
        <v>g</v>
      </c>
    </row>
    <row r="27" spans="1:6" x14ac:dyDescent="0.3">
      <c r="A27" s="89" t="s">
        <v>379</v>
      </c>
      <c r="B27" s="83" t="str">
        <f>IFERROR(INDEX(tbl_ProduitsRef[Cde_Prdt],MATCH(A27,tbl_ProduitsRef[Produit],0)),"⚠️ Produit non trouvé")</f>
        <v>ENT004</v>
      </c>
      <c r="C27" s="17" t="str">
        <f>IFERROR(VLOOKUP(D27,Référentiels!$M$2:$N$267,2,FALSE),"Ingrédient non trouvé")</f>
        <v>SOS004</v>
      </c>
      <c r="D27" s="88" t="s">
        <v>220</v>
      </c>
      <c r="E27" s="88">
        <v>20</v>
      </c>
      <c r="F27" s="86" t="str">
        <f>INDEX(tbl_IngrédientsRef[Unité], MATCH(C27, tbl_IngrédientsRef[Cde_Ingrdt],0))</f>
        <v>ml</v>
      </c>
    </row>
    <row r="28" spans="1:6" x14ac:dyDescent="0.3">
      <c r="A28" s="89" t="s">
        <v>383</v>
      </c>
      <c r="B28" s="83" t="str">
        <f>IFERROR(INDEX(tbl_ProduitsRef[Cde_Prdt],MATCH(A28,tbl_ProduitsRef[Produit],0)),"⚠️ Produit non trouvé")</f>
        <v>ENT005</v>
      </c>
      <c r="C28" s="17" t="str">
        <f>IFERROR(VLOOKUP(D28,Référentiels!$M$2:$N$267,2,FALSE),"Ingrédient non trouvé")</f>
        <v>LEG008</v>
      </c>
      <c r="D28" s="88" t="s">
        <v>386</v>
      </c>
      <c r="E28" s="88">
        <v>0.5</v>
      </c>
      <c r="F28" s="86" t="str">
        <f>INDEX(tbl_IngrédientsRef[Unité], MATCH(C28, tbl_IngrédientsRef[Cde_Ingrdt],0))</f>
        <v>Pièce</v>
      </c>
    </row>
    <row r="29" spans="1:6" x14ac:dyDescent="0.3">
      <c r="A29" s="89" t="s">
        <v>383</v>
      </c>
      <c r="B29" s="83" t="str">
        <f>IFERROR(INDEX(tbl_ProduitsRef[Cde_Prdt],MATCH(A29,tbl_ProduitsRef[Produit],0)),"⚠️ Produit non trouvé")</f>
        <v>ENT005</v>
      </c>
      <c r="C29" s="17" t="str">
        <f>IFERROR(VLOOKUP(D29,Référentiels!$M$2:$N$267,2,FALSE),"Ingrédient non trouvé")</f>
        <v>LEG003</v>
      </c>
      <c r="D29" s="88" t="s">
        <v>223</v>
      </c>
      <c r="E29" s="88">
        <v>40</v>
      </c>
      <c r="F29" s="86" t="str">
        <f>INDEX(tbl_IngrédientsRef[Unité], MATCH(C29, tbl_IngrédientsRef[Cde_Ingrdt],0))</f>
        <v>g</v>
      </c>
    </row>
    <row r="30" spans="1:6" x14ac:dyDescent="0.3">
      <c r="A30" s="89" t="s">
        <v>383</v>
      </c>
      <c r="B30" s="83" t="str">
        <f>IFERROR(INDEX(tbl_ProduitsRef[Cde_Prdt],MATCH(A30,tbl_ProduitsRef[Produit],0)),"⚠️ Produit non trouvé")</f>
        <v>ENT005</v>
      </c>
      <c r="C30" s="17" t="str">
        <f>IFERROR(VLOOKUP(D30,Référentiels!$M$2:$N$267,2,FALSE),"Ingrédient non trouvé")</f>
        <v>BOU012</v>
      </c>
      <c r="D30" s="88" t="s">
        <v>388</v>
      </c>
      <c r="E30" s="88">
        <v>30</v>
      </c>
      <c r="F30" s="86" t="str">
        <f>INDEX(tbl_IngrédientsRef[Unité], MATCH(C30, tbl_IngrédientsRef[Cde_Ingrdt],0))</f>
        <v>g</v>
      </c>
    </row>
    <row r="31" spans="1:6" x14ac:dyDescent="0.3">
      <c r="A31" s="89" t="s">
        <v>383</v>
      </c>
      <c r="B31" s="83" t="str">
        <f>IFERROR(INDEX(tbl_ProduitsRef[Cde_Prdt],MATCH(A31,tbl_ProduitsRef[Produit],0)),"⚠️ Produit non trouvé")</f>
        <v>ENT005</v>
      </c>
      <c r="C31" s="17" t="str">
        <f>IFERROR(VLOOKUP(D31,Référentiels!$M$2:$N$267,2,FALSE),"Ingrédient non trouvé")</f>
        <v>VOL001</v>
      </c>
      <c r="D31" s="88" t="s">
        <v>390</v>
      </c>
      <c r="E31" s="88">
        <v>100</v>
      </c>
      <c r="F31" s="86" t="str">
        <f>INDEX(tbl_IngrédientsRef[Unité], MATCH(C31, tbl_IngrédientsRef[Cde_Ingrdt],0))</f>
        <v>g</v>
      </c>
    </row>
    <row r="32" spans="1:6" x14ac:dyDescent="0.3">
      <c r="A32" s="89" t="s">
        <v>383</v>
      </c>
      <c r="B32" s="83" t="str">
        <f>IFERROR(INDEX(tbl_ProduitsRef[Cde_Prdt],MATCH(A32,tbl_ProduitsRef[Produit],0)),"⚠️ Produit non trouvé")</f>
        <v>ENT005</v>
      </c>
      <c r="C32" s="17" t="str">
        <f>IFERROR(VLOOKUP(D32,Référentiels!$M$2:$N$267,2,FALSE),"Ingrédient non trouvé")</f>
        <v>PRL016</v>
      </c>
      <c r="D32" s="88" t="s">
        <v>392</v>
      </c>
      <c r="E32" s="88">
        <v>20</v>
      </c>
      <c r="F32" s="86" t="str">
        <f>INDEX(tbl_IngrédientsRef[Unité], MATCH(C32, tbl_IngrédientsRef[Cde_Ingrdt],0))</f>
        <v>g</v>
      </c>
    </row>
    <row r="33" spans="1:6" x14ac:dyDescent="0.3">
      <c r="A33" s="89" t="s">
        <v>383</v>
      </c>
      <c r="B33" s="83" t="str">
        <f>IFERROR(INDEX(tbl_ProduitsRef[Cde_Prdt],MATCH(A33,tbl_ProduitsRef[Produit],0)),"⚠️ Produit non trouvé")</f>
        <v>ENT005</v>
      </c>
      <c r="C33" s="17" t="str">
        <f>IFERROR(VLOOKUP(D33,Référentiels!$M$2:$N$267,2,FALSE),"Ingrédient non trouvé")</f>
        <v>SOS011</v>
      </c>
      <c r="D33" s="88" t="s">
        <v>394</v>
      </c>
      <c r="E33" s="88">
        <v>40</v>
      </c>
      <c r="F33" s="86" t="str">
        <f>INDEX(tbl_IngrédientsRef[Unité], MATCH(C33, tbl_IngrédientsRef[Cde_Ingrdt],0))</f>
        <v>ml</v>
      </c>
    </row>
    <row r="34" spans="1:6" x14ac:dyDescent="0.3">
      <c r="A34" s="89" t="s">
        <v>395</v>
      </c>
      <c r="B34" s="83" t="str">
        <f>IFERROR(INDEX(tbl_ProduitsRef[Cde_Prdt],MATCH(A34,tbl_ProduitsRef[Produit],0)),"⚠️ Produit non trouvé")</f>
        <v>ENT006</v>
      </c>
      <c r="C34" s="17" t="str">
        <f>IFERROR(VLOOKUP(D34,Référentiels!$M$2:$N$267,2,FALSE),"Ingrédient non trouvé")</f>
        <v>LEG008</v>
      </c>
      <c r="D34" s="88" t="s">
        <v>386</v>
      </c>
      <c r="E34" s="88">
        <v>0.5</v>
      </c>
      <c r="F34" s="86" t="str">
        <f>INDEX(tbl_IngrédientsRef[Unité], MATCH(C34, tbl_IngrédientsRef[Cde_Ingrdt],0))</f>
        <v>Pièce</v>
      </c>
    </row>
    <row r="35" spans="1:6" x14ac:dyDescent="0.3">
      <c r="A35" s="89" t="s">
        <v>395</v>
      </c>
      <c r="B35" s="83" t="str">
        <f>IFERROR(INDEX(tbl_ProduitsRef[Cde_Prdt],MATCH(A35,tbl_ProduitsRef[Produit],0)),"⚠️ Produit non trouvé")</f>
        <v>ENT006</v>
      </c>
      <c r="C35" s="17" t="str">
        <f>IFERROR(VLOOKUP(D35,Référentiels!$M$2:$N$267,2,FALSE),"Ingrédient non trouvé")</f>
        <v>LEG024</v>
      </c>
      <c r="D35" s="88" t="s">
        <v>364</v>
      </c>
      <c r="E35" s="88">
        <v>40</v>
      </c>
      <c r="F35" s="86" t="str">
        <f>INDEX(tbl_IngrédientsRef[Unité], MATCH(C35, tbl_IngrédientsRef[Cde_Ingrdt],0))</f>
        <v>g</v>
      </c>
    </row>
    <row r="36" spans="1:6" x14ac:dyDescent="0.3">
      <c r="A36" s="89" t="s">
        <v>395</v>
      </c>
      <c r="B36" s="83" t="str">
        <f>IFERROR(INDEX(tbl_ProduitsRef[Cde_Prdt],MATCH(A36,tbl_ProduitsRef[Produit],0)),"⚠️ Produit non trouvé")</f>
        <v>ENT006</v>
      </c>
      <c r="C36" s="17" t="str">
        <f>IFERROR(VLOOKUP(D36,Référentiels!$M$2:$N$267,2,FALSE),"Ingrédient non trouvé")</f>
        <v>LEG006</v>
      </c>
      <c r="D36" s="88" t="s">
        <v>398</v>
      </c>
      <c r="E36" s="88">
        <v>60</v>
      </c>
      <c r="F36" s="86" t="str">
        <f>INDEX(tbl_IngrédientsRef[Unité], MATCH(C36, tbl_IngrédientsRef[Cde_Ingrdt],0))</f>
        <v>g</v>
      </c>
    </row>
    <row r="37" spans="1:6" x14ac:dyDescent="0.3">
      <c r="A37" s="89" t="s">
        <v>395</v>
      </c>
      <c r="B37" s="83" t="str">
        <f>IFERROR(INDEX(tbl_ProduitsRef[Cde_Prdt],MATCH(A37,tbl_ProduitsRef[Produit],0)),"⚠️ Produit non trouvé")</f>
        <v>ENT006</v>
      </c>
      <c r="C37" s="17" t="str">
        <f>IFERROR(VLOOKUP(D37,Référentiels!$M$2:$N$267,2,FALSE),"Ingrédient non trouvé")</f>
        <v>LEG002</v>
      </c>
      <c r="D37" s="88" t="s">
        <v>308</v>
      </c>
      <c r="E37" s="88">
        <v>40</v>
      </c>
      <c r="F37" s="86" t="str">
        <f>INDEX(tbl_IngrédientsRef[Unité], MATCH(C37, tbl_IngrédientsRef[Cde_Ingrdt],0))</f>
        <v>g</v>
      </c>
    </row>
    <row r="38" spans="1:6" x14ac:dyDescent="0.3">
      <c r="A38" s="89" t="s">
        <v>395</v>
      </c>
      <c r="B38" s="83" t="str">
        <f>IFERROR(INDEX(tbl_ProduitsRef[Cde_Prdt],MATCH(A38,tbl_ProduitsRef[Produit],0)),"⚠️ Produit non trouvé")</f>
        <v>ENT006</v>
      </c>
      <c r="C38" s="17" t="str">
        <f>IFERROR(VLOOKUP(D38,Référentiels!$M$2:$N$267,2,FALSE),"Ingrédient non trouvé")</f>
        <v>PRL001</v>
      </c>
      <c r="D38" s="88" t="s">
        <v>211</v>
      </c>
      <c r="E38" s="88">
        <v>1</v>
      </c>
      <c r="F38" s="86" t="str">
        <f>INDEX(tbl_IngrédientsRef[Unité], MATCH(C38, tbl_IngrédientsRef[Cde_Ingrdt],0))</f>
        <v>Pièce</v>
      </c>
    </row>
    <row r="39" spans="1:6" x14ac:dyDescent="0.3">
      <c r="A39" s="89" t="s">
        <v>395</v>
      </c>
      <c r="B39" s="83" t="str">
        <f>IFERROR(INDEX(tbl_ProduitsRef[Cde_Prdt],MATCH(A39,tbl_ProduitsRef[Produit],0)),"⚠️ Produit non trouvé")</f>
        <v>ENT006</v>
      </c>
      <c r="C39" s="17" t="str">
        <f>IFERROR(VLOOKUP(D39,Référentiels!$M$2:$N$267,2,FALSE),"Ingrédient non trouvé")</f>
        <v>POI010</v>
      </c>
      <c r="D39" s="88" t="s">
        <v>400</v>
      </c>
      <c r="E39" s="88">
        <v>60</v>
      </c>
      <c r="F39" s="86" t="str">
        <f>INDEX(tbl_IngrédientsRef[Unité], MATCH(C39, tbl_IngrédientsRef[Cde_Ingrdt],0))</f>
        <v>g</v>
      </c>
    </row>
    <row r="40" spans="1:6" x14ac:dyDescent="0.3">
      <c r="A40" s="89" t="s">
        <v>395</v>
      </c>
      <c r="B40" s="83" t="str">
        <f>IFERROR(INDEX(tbl_ProduitsRef[Cde_Prdt],MATCH(A40,tbl_ProduitsRef[Produit],0)),"⚠️ Produit non trouvé")</f>
        <v>ENT006</v>
      </c>
      <c r="C40" s="17" t="str">
        <f>IFERROR(VLOOKUP(D40,Référentiels!$M$2:$N$267,2,FALSE),"Ingrédient non trouvé")</f>
        <v>LEG020</v>
      </c>
      <c r="D40" s="88" t="s">
        <v>402</v>
      </c>
      <c r="E40" s="88">
        <v>40</v>
      </c>
      <c r="F40" s="86" t="str">
        <f>INDEX(tbl_IngrédientsRef[Unité], MATCH(C40, tbl_IngrédientsRef[Cde_Ingrdt],0))</f>
        <v>g</v>
      </c>
    </row>
    <row r="41" spans="1:6" x14ac:dyDescent="0.3">
      <c r="A41" s="89" t="s">
        <v>395</v>
      </c>
      <c r="B41" s="83" t="str">
        <f>IFERROR(INDEX(tbl_ProduitsRef[Cde_Prdt],MATCH(A41,tbl_ProduitsRef[Produit],0)),"⚠️ Produit non trouvé")</f>
        <v>ENT006</v>
      </c>
      <c r="C41" s="17" t="str">
        <f>IFERROR(VLOOKUP(D41,Référentiels!$M$2:$N$267,2,FALSE),"Ingrédient non trouvé")</f>
        <v>LEG012</v>
      </c>
      <c r="D41" s="88" t="s">
        <v>316</v>
      </c>
      <c r="E41" s="88">
        <v>40</v>
      </c>
      <c r="F41" s="86" t="str">
        <f>INDEX(tbl_IngrédientsRef[Unité], MATCH(C41, tbl_IngrédientsRef[Cde_Ingrdt],0))</f>
        <v>g</v>
      </c>
    </row>
    <row r="42" spans="1:6" x14ac:dyDescent="0.3">
      <c r="A42" s="89" t="s">
        <v>395</v>
      </c>
      <c r="B42" s="83" t="str">
        <f>IFERROR(INDEX(tbl_ProduitsRef[Cde_Prdt],MATCH(A42,tbl_ProduitsRef[Produit],0)),"⚠️ Produit non trouvé")</f>
        <v>ENT006</v>
      </c>
      <c r="C42" s="17" t="str">
        <f>IFERROR(VLOOKUP(D42,Référentiels!$M$2:$N$267,2,FALSE),"Ingrédient non trouvé")</f>
        <v>FEC004</v>
      </c>
      <c r="D42" s="88" t="s">
        <v>404</v>
      </c>
      <c r="E42" s="88">
        <v>50</v>
      </c>
      <c r="F42" s="86" t="str">
        <f>INDEX(tbl_IngrédientsRef[Unité], MATCH(C42, tbl_IngrédientsRef[Cde_Ingrdt],0))</f>
        <v>g</v>
      </c>
    </row>
    <row r="43" spans="1:6" x14ac:dyDescent="0.3">
      <c r="A43" s="82" t="s">
        <v>72</v>
      </c>
      <c r="B43" s="83" t="str">
        <f>IFERROR(INDEX(tbl_ProduitsRef[Cde_Prdt],MATCH(A43,tbl_ProduitsRef[Produit],0)),"⚠️ Produit non trouvé")</f>
        <v>PUL001</v>
      </c>
      <c r="C43" s="17" t="str">
        <f>IFERROR(VLOOKUP(D43,Référentiels!$M$2:$N$267,2,FALSE),"Ingrédient non trouvé")</f>
        <v>VOL007</v>
      </c>
      <c r="D43" s="85" t="s">
        <v>407</v>
      </c>
      <c r="E43" s="85">
        <v>1000</v>
      </c>
      <c r="F43" s="86" t="str">
        <f>INDEX(tbl_IngrédientsRef[Unité], MATCH(C43, tbl_IngrédientsRef[Cde_Ingrdt],0))</f>
        <v>g</v>
      </c>
    </row>
    <row r="44" spans="1:6" x14ac:dyDescent="0.3">
      <c r="A44" s="82" t="s">
        <v>408</v>
      </c>
      <c r="B44" s="83" t="str">
        <f>IFERROR(INDEX(tbl_ProduitsRef[Cde_Prdt],MATCH(A44,tbl_ProduitsRef[Produit],0)),"⚠️ Produit non trouvé")</f>
        <v>PUL002</v>
      </c>
      <c r="C44" s="17" t="str">
        <f>IFERROR(VLOOKUP(D44,Référentiels!$M$2:$N$267,2,FALSE),"Ingrédient non trouvé")</f>
        <v>VOL007</v>
      </c>
      <c r="D44" s="85" t="s">
        <v>407</v>
      </c>
      <c r="E44" s="85">
        <v>1000</v>
      </c>
      <c r="F44" s="86" t="str">
        <f>INDEX(tbl_IngrédientsRef[Unité], MATCH(C44, tbl_IngrédientsRef[Cde_Ingrdt],0))</f>
        <v>g</v>
      </c>
    </row>
    <row r="45" spans="1:6" x14ac:dyDescent="0.3">
      <c r="A45" s="82" t="s">
        <v>410</v>
      </c>
      <c r="B45" s="83" t="str">
        <f>IFERROR(INDEX(tbl_ProduitsRef[Cde_Prdt],MATCH(A45,tbl_ProduitsRef[Produit],0)),"⚠️ Produit non trouvé")</f>
        <v>PUL003</v>
      </c>
      <c r="C45" s="17" t="str">
        <f>IFERROR(VLOOKUP(D45,Référentiels!$M$2:$N$267,2,FALSE),"Ingrédient non trouvé")</f>
        <v>VOL006</v>
      </c>
      <c r="D45" s="85" t="s">
        <v>413</v>
      </c>
      <c r="E45" s="85">
        <v>1</v>
      </c>
      <c r="F45" s="86" t="str">
        <f>INDEX(tbl_IngrédientsRef[Unité], MATCH(C45, tbl_IngrédientsRef[Cde_Ingrdt],0))</f>
        <v>Pièce</v>
      </c>
    </row>
    <row r="46" spans="1:6" x14ac:dyDescent="0.3">
      <c r="A46" s="82" t="s">
        <v>414</v>
      </c>
      <c r="B46" s="83" t="str">
        <f>IFERROR(INDEX(tbl_ProduitsRef[Cde_Prdt],MATCH(A46,tbl_ProduitsRef[Produit],0)),"⚠️ Produit non trouvé")</f>
        <v>PUL004</v>
      </c>
      <c r="C46" s="17" t="str">
        <f>IFERROR(VLOOKUP(D46,Référentiels!$M$2:$N$267,2,FALSE),"Ingrédient non trouvé")</f>
        <v>VOL003</v>
      </c>
      <c r="D46" s="85" t="s">
        <v>417</v>
      </c>
      <c r="E46" s="85">
        <v>1000</v>
      </c>
      <c r="F46" s="86" t="str">
        <f>INDEX(tbl_IngrédientsRef[Unité], MATCH(C46, tbl_IngrédientsRef[Cde_Ingrdt],0))</f>
        <v>g</v>
      </c>
    </row>
    <row r="47" spans="1:6" x14ac:dyDescent="0.3">
      <c r="A47" s="82" t="s">
        <v>414</v>
      </c>
      <c r="B47" s="83" t="str">
        <f>IFERROR(INDEX(tbl_ProduitsRef[Cde_Prdt],MATCH(A47,tbl_ProduitsRef[Produit],0)),"⚠️ Produit non trouvé")</f>
        <v>PUL004</v>
      </c>
      <c r="C47" s="17" t="str">
        <f>IFERROR(VLOOKUP(D47,Référentiels!$M$2:$N$267,2,FALSE),"Ingrédient non trouvé")</f>
        <v>PRL007</v>
      </c>
      <c r="D47" s="85" t="s">
        <v>304</v>
      </c>
      <c r="E47" s="85">
        <v>100</v>
      </c>
      <c r="F47" s="86" t="str">
        <f>INDEX(tbl_IngrédientsRef[Unité], MATCH(C47, tbl_IngrédientsRef[Cde_Ingrdt],0))</f>
        <v>g</v>
      </c>
    </row>
    <row r="48" spans="1:6" x14ac:dyDescent="0.3">
      <c r="A48" s="82" t="s">
        <v>418</v>
      </c>
      <c r="B48" s="83" t="str">
        <f>IFERROR(INDEX(tbl_ProduitsRef[Cde_Prdt],MATCH(A48,tbl_ProduitsRef[Produit],0)),"⚠️ Produit non trouvé")</f>
        <v>PUL005</v>
      </c>
      <c r="C48" s="17" t="str">
        <f>IFERROR(VLOOKUP(D48,Référentiels!$M$2:$N$267,2,FALSE),"Ingrédient non trouvé")</f>
        <v>VOL001</v>
      </c>
      <c r="D48" s="85" t="s">
        <v>390</v>
      </c>
      <c r="E48" s="85">
        <v>1000</v>
      </c>
      <c r="F48" s="86" t="str">
        <f>INDEX(tbl_IngrédientsRef[Unité], MATCH(C48, tbl_IngrédientsRef[Cde_Ingrdt],0))</f>
        <v>g</v>
      </c>
    </row>
    <row r="49" spans="1:6" x14ac:dyDescent="0.3">
      <c r="A49" s="82" t="s">
        <v>418</v>
      </c>
      <c r="B49" s="83" t="str">
        <f>IFERROR(INDEX(tbl_ProduitsRef[Cde_Prdt],MATCH(A49,tbl_ProduitsRef[Produit],0)),"⚠️ Produit non trouvé")</f>
        <v>PUL005</v>
      </c>
      <c r="C49" s="17" t="str">
        <f>IFERROR(VLOOKUP(D49,Référentiels!$M$2:$N$267,2,FALSE),"Ingrédient non trouvé")</f>
        <v>LEG012</v>
      </c>
      <c r="D49" s="85" t="s">
        <v>316</v>
      </c>
      <c r="E49" s="85">
        <v>10</v>
      </c>
      <c r="F49" s="86" t="str">
        <f>INDEX(tbl_IngrédientsRef[Unité], MATCH(C49, tbl_IngrédientsRef[Cde_Ingrdt],0))</f>
        <v>g</v>
      </c>
    </row>
    <row r="50" spans="1:6" x14ac:dyDescent="0.3">
      <c r="A50" s="82" t="s">
        <v>418</v>
      </c>
      <c r="B50" s="83" t="str">
        <f>IFERROR(INDEX(tbl_ProduitsRef[Cde_Prdt],MATCH(A50,tbl_ProduitsRef[Produit],0)),"⚠️ Produit non trouvé")</f>
        <v>PUL005</v>
      </c>
      <c r="C50" s="17" t="str">
        <f>IFERROR(VLOOKUP(D50,Référentiels!$M$2:$N$267,2,FALSE),"Ingrédient non trouvé")</f>
        <v>LEG013</v>
      </c>
      <c r="D50" s="85" t="s">
        <v>421</v>
      </c>
      <c r="E50" s="85">
        <v>10</v>
      </c>
      <c r="F50" s="86" t="str">
        <f>INDEX(tbl_IngrédientsRef[Unité], MATCH(C50, tbl_IngrédientsRef[Cde_Ingrdt],0))</f>
        <v>g</v>
      </c>
    </row>
    <row r="51" spans="1:6" x14ac:dyDescent="0.3">
      <c r="A51" s="82" t="s">
        <v>418</v>
      </c>
      <c r="B51" s="83" t="str">
        <f>IFERROR(INDEX(tbl_ProduitsRef[Cde_Prdt],MATCH(A51,tbl_ProduitsRef[Produit],0)),"⚠️ Produit non trouvé")</f>
        <v>PUL005</v>
      </c>
      <c r="C51" s="17" t="str">
        <f>IFERROR(VLOOKUP(D51,Référentiels!$M$2:$N$267,2,FALSE),"Ingrédient non trouvé")</f>
        <v>LEG014</v>
      </c>
      <c r="D51" s="85" t="s">
        <v>423</v>
      </c>
      <c r="E51" s="85">
        <v>10</v>
      </c>
      <c r="F51" s="86" t="str">
        <f>INDEX(tbl_IngrédientsRef[Unité], MATCH(C51, tbl_IngrédientsRef[Cde_Ingrdt],0))</f>
        <v>g</v>
      </c>
    </row>
    <row r="52" spans="1:6" x14ac:dyDescent="0.3">
      <c r="A52" s="82" t="s">
        <v>418</v>
      </c>
      <c r="B52" s="83" t="str">
        <f>IFERROR(INDEX(tbl_ProduitsRef[Cde_Prdt],MATCH(A52,tbl_ProduitsRef[Produit],0)),"⚠️ Produit non trouvé")</f>
        <v>PUL005</v>
      </c>
      <c r="C52" s="17" t="str">
        <f>IFERROR(VLOOKUP(D52,Référentiels!$M$2:$N$267,2,FALSE),"Ingrédient non trouvé")</f>
        <v>LEG007</v>
      </c>
      <c r="D52" s="85" t="s">
        <v>310</v>
      </c>
      <c r="E52" s="85">
        <v>30</v>
      </c>
      <c r="F52" s="86" t="str">
        <f>INDEX(tbl_IngrédientsRef[Unité], MATCH(C52, tbl_IngrédientsRef[Cde_Ingrdt],0))</f>
        <v>g</v>
      </c>
    </row>
    <row r="53" spans="1:6" x14ac:dyDescent="0.3">
      <c r="A53" s="87" t="s">
        <v>424</v>
      </c>
      <c r="B53" s="83" t="str">
        <f>IFERROR(INDEX(tbl_ProduitsRef[Cde_Prdt],MATCH(A53,tbl_ProduitsRef[Produit],0)),"⚠️ Produit non trouvé")</f>
        <v>PUL006</v>
      </c>
      <c r="C53" s="17" t="str">
        <f>IFERROR(VLOOKUP(D53,Référentiels!$M$2:$N$267,2,FALSE),"Ingrédient non trouvé")</f>
        <v>VOL002</v>
      </c>
      <c r="D53" s="85" t="s">
        <v>427</v>
      </c>
      <c r="E53" s="85">
        <v>1000</v>
      </c>
      <c r="F53" s="86" t="str">
        <f>INDEX(tbl_IngrédientsRef[Unité], MATCH(C53, tbl_IngrédientsRef[Cde_Ingrdt],0))</f>
        <v>g</v>
      </c>
    </row>
    <row r="54" spans="1:6" x14ac:dyDescent="0.3">
      <c r="A54" s="82" t="s">
        <v>428</v>
      </c>
      <c r="B54" s="83" t="str">
        <f>IFERROR(INDEX(tbl_ProduitsRef[Cde_Prdt],MATCH(A54,tbl_ProduitsRef[Produit],0)),"⚠️ Produit non trouvé")</f>
        <v>PUL007</v>
      </c>
      <c r="C54" s="17" t="str">
        <f>IFERROR(VLOOKUP(D54,Référentiels!$M$2:$N$267,2,FALSE),"Ingrédient non trouvé")</f>
        <v>VOL001</v>
      </c>
      <c r="D54" s="85" t="s">
        <v>390</v>
      </c>
      <c r="E54" s="85">
        <v>1000</v>
      </c>
      <c r="F54" s="86" t="str">
        <f>INDEX(tbl_IngrédientsRef[Unité], MATCH(C54, tbl_IngrédientsRef[Cde_Ingrdt],0))</f>
        <v>g</v>
      </c>
    </row>
    <row r="55" spans="1:6" x14ac:dyDescent="0.3">
      <c r="A55" s="82" t="s">
        <v>430</v>
      </c>
      <c r="B55" s="83" t="str">
        <f>IFERROR(INDEX(tbl_ProduitsRef[Cde_Prdt],MATCH(A55,tbl_ProduitsRef[Produit],0)),"⚠️ Produit non trouvé")</f>
        <v>PUL008</v>
      </c>
      <c r="C55" s="17" t="str">
        <f>IFERROR(VLOOKUP(D55,Référentiels!$M$2:$N$267,2,FALSE),"Ingrédient non trouvé")</f>
        <v>VOL001</v>
      </c>
      <c r="D55" s="85" t="s">
        <v>390</v>
      </c>
      <c r="E55" s="85">
        <v>1000</v>
      </c>
      <c r="F55" s="86" t="str">
        <f>INDEX(tbl_IngrédientsRef[Unité], MATCH(C55, tbl_IngrédientsRef[Cde_Ingrdt],0))</f>
        <v>g</v>
      </c>
    </row>
    <row r="56" spans="1:6" x14ac:dyDescent="0.3">
      <c r="A56" s="82" t="s">
        <v>430</v>
      </c>
      <c r="B56" s="83" t="str">
        <f>IFERROR(INDEX(tbl_ProduitsRef[Cde_Prdt],MATCH(A56,tbl_ProduitsRef[Produit],0)),"⚠️ Produit non trouvé")</f>
        <v>PUL008</v>
      </c>
      <c r="C56" s="17" t="str">
        <f>IFERROR(VLOOKUP(D56,Référentiels!$M$2:$N$267,2,FALSE),"Ingrédient non trouvé")</f>
        <v>LEG012</v>
      </c>
      <c r="D56" s="85" t="s">
        <v>316</v>
      </c>
      <c r="E56" s="85">
        <v>20</v>
      </c>
      <c r="F56" s="86" t="str">
        <f>INDEX(tbl_IngrédientsRef[Unité], MATCH(C56, tbl_IngrédientsRef[Cde_Ingrdt],0))</f>
        <v>g</v>
      </c>
    </row>
    <row r="57" spans="1:6" x14ac:dyDescent="0.3">
      <c r="A57" s="82" t="s">
        <v>430</v>
      </c>
      <c r="B57" s="83" t="str">
        <f>IFERROR(INDEX(tbl_ProduitsRef[Cde_Prdt],MATCH(A57,tbl_ProduitsRef[Produit],0)),"⚠️ Produit non trouvé")</f>
        <v>PUL008</v>
      </c>
      <c r="C57" s="17" t="str">
        <f>IFERROR(VLOOKUP(D57,Référentiels!$M$2:$N$267,2,FALSE),"Ingrédient non trouvé")</f>
        <v>LEG007</v>
      </c>
      <c r="D57" s="85" t="s">
        <v>310</v>
      </c>
      <c r="E57" s="85">
        <v>20</v>
      </c>
      <c r="F57" s="86" t="str">
        <f>INDEX(tbl_IngrédientsRef[Unité], MATCH(C57, tbl_IngrédientsRef[Cde_Ingrdt],0))</f>
        <v>g</v>
      </c>
    </row>
    <row r="58" spans="1:6" x14ac:dyDescent="0.3">
      <c r="A58" s="82" t="s">
        <v>83</v>
      </c>
      <c r="B58" s="83" t="str">
        <f>IFERROR(INDEX(tbl_ProduitsRef[Cde_Prdt],MATCH(A58,tbl_ProduitsRef[Produit],0)),"⚠️ Produit non trouvé")</f>
        <v>VIA001</v>
      </c>
      <c r="C58" s="17" t="str">
        <f>IFERROR(VLOOKUP(D58,Référentiels!$M$2:$N$267,2,FALSE),"Ingrédient non trouvé")</f>
        <v>AGN004</v>
      </c>
      <c r="D58" s="85" t="s">
        <v>434</v>
      </c>
      <c r="E58" s="85">
        <v>1000</v>
      </c>
      <c r="F58" s="86" t="str">
        <f>INDEX(tbl_IngrédientsRef[Unité], MATCH(C58, tbl_IngrédientsRef[Cde_Ingrdt],0))</f>
        <v>g</v>
      </c>
    </row>
    <row r="59" spans="1:6" x14ac:dyDescent="0.3">
      <c r="A59" s="82" t="s">
        <v>435</v>
      </c>
      <c r="B59" s="83" t="str">
        <f>IFERROR(INDEX(tbl_ProduitsRef[Cde_Prdt],MATCH(A59,tbl_ProduitsRef[Produit],0)),"⚠️ Produit non trouvé")</f>
        <v>VIA003</v>
      </c>
      <c r="C59" s="17" t="str">
        <f>IFERROR(VLOOKUP(D59,Référentiels!$M$2:$N$267,2,FALSE),"Ingrédient non trouvé")</f>
        <v>VEA001</v>
      </c>
      <c r="D59" s="85" t="s">
        <v>227</v>
      </c>
      <c r="E59" s="85">
        <v>1000</v>
      </c>
      <c r="F59" s="86" t="str">
        <f>INDEX(tbl_IngrédientsRef[Unité], MATCH(C59, tbl_IngrédientsRef[Cde_Ingrdt],0))</f>
        <v>g</v>
      </c>
    </row>
    <row r="60" spans="1:6" x14ac:dyDescent="0.3">
      <c r="A60" s="82" t="s">
        <v>437</v>
      </c>
      <c r="B60" s="83" t="str">
        <f>IFERROR(INDEX(tbl_ProduitsRef[Cde_Prdt],MATCH(A60,tbl_ProduitsRef[Produit],0)),"⚠️ Produit non trouvé")</f>
        <v>VIA002</v>
      </c>
      <c r="C60" s="17" t="str">
        <f>IFERROR(VLOOKUP(D60,Référentiels!$M$2:$N$267,2,FALSE),"Ingrédient non trouvé")</f>
        <v>VEA005</v>
      </c>
      <c r="D60" s="85" t="s">
        <v>440</v>
      </c>
      <c r="E60" s="85">
        <v>1000</v>
      </c>
      <c r="F60" s="86" t="str">
        <f>INDEX(tbl_IngrédientsRef[Unité], MATCH(C60, tbl_IngrédientsRef[Cde_Ingrdt],0))</f>
        <v>g</v>
      </c>
    </row>
    <row r="61" spans="1:6" x14ac:dyDescent="0.3">
      <c r="A61" s="82" t="s">
        <v>441</v>
      </c>
      <c r="B61" s="83" t="str">
        <f>IFERROR(INDEX(tbl_ProduitsRef[Cde_Prdt],MATCH(A61,tbl_ProduitsRef[Produit],0)),"⚠️ Produit non trouvé")</f>
        <v>VIA004</v>
      </c>
      <c r="C61" s="17" t="str">
        <f>IFERROR(VLOOKUP(D61,Référentiels!$M$2:$N$267,2,FALSE),"Ingrédient non trouvé")</f>
        <v>VEA007</v>
      </c>
      <c r="D61" s="85" t="s">
        <v>444</v>
      </c>
      <c r="E61" s="85">
        <v>1000</v>
      </c>
      <c r="F61" s="86" t="str">
        <f>INDEX(tbl_IngrédientsRef[Unité], MATCH(C61, tbl_IngrédientsRef[Cde_Ingrdt],0))</f>
        <v>g</v>
      </c>
    </row>
    <row r="62" spans="1:6" x14ac:dyDescent="0.3">
      <c r="A62" s="82" t="s">
        <v>445</v>
      </c>
      <c r="B62" s="83" t="str">
        <f>IFERROR(INDEX(tbl_ProduitsRef[Cde_Prdt],MATCH(A62,tbl_ProduitsRef[Produit],0)),"⚠️ Produit non trouvé")</f>
        <v>VIA005</v>
      </c>
      <c r="C62" s="17" t="str">
        <f>IFERROR(VLOOKUP(D62,Référentiels!$M$2:$N$267,2,FALSE),"Ingrédient non trouvé")</f>
        <v>VEA002</v>
      </c>
      <c r="D62" s="85" t="s">
        <v>448</v>
      </c>
      <c r="E62" s="85">
        <v>1000</v>
      </c>
      <c r="F62" s="86" t="str">
        <f>INDEX(tbl_IngrédientsRef[Unité], MATCH(C62, tbl_IngrédientsRef[Cde_Ingrdt],0))</f>
        <v>g</v>
      </c>
    </row>
    <row r="63" spans="1:6" x14ac:dyDescent="0.3">
      <c r="A63" s="82" t="s">
        <v>449</v>
      </c>
      <c r="B63" s="83" t="str">
        <f>IFERROR(INDEX(tbl_ProduitsRef[Cde_Prdt],MATCH(A63,tbl_ProduitsRef[Produit],0)),"⚠️ Produit non trouvé")</f>
        <v>VIA006</v>
      </c>
      <c r="C63" s="17" t="str">
        <f>IFERROR(VLOOKUP(D63,Référentiels!$M$2:$N$267,2,FALSE),"Ingrédient non trouvé")</f>
        <v>VEA008</v>
      </c>
      <c r="D63" s="85" t="s">
        <v>452</v>
      </c>
      <c r="E63" s="85">
        <v>1000</v>
      </c>
      <c r="F63" s="86" t="str">
        <f>INDEX(tbl_IngrédientsRef[Unité], MATCH(C63, tbl_IngrédientsRef[Cde_Ingrdt],0))</f>
        <v>g</v>
      </c>
    </row>
    <row r="64" spans="1:6" x14ac:dyDescent="0.3">
      <c r="A64" s="82" t="s">
        <v>453</v>
      </c>
      <c r="B64" s="83" t="str">
        <f>IFERROR(INDEX(tbl_ProduitsRef[Cde_Prdt],MATCH(A64,tbl_ProduitsRef[Produit],0)),"⚠️ Produit non trouvé")</f>
        <v>VIA007</v>
      </c>
      <c r="C64" s="17" t="str">
        <f>IFERROR(VLOOKUP(D64,Référentiels!$M$2:$N$267,2,FALSE),"Ingrédient non trouvé")</f>
        <v>VEA009</v>
      </c>
      <c r="D64" s="85" t="s">
        <v>456</v>
      </c>
      <c r="E64" s="85">
        <v>1000</v>
      </c>
      <c r="F64" s="86" t="str">
        <f>INDEX(tbl_IngrédientsRef[Unité], MATCH(C64, tbl_IngrédientsRef[Cde_Ingrdt],0))</f>
        <v>g</v>
      </c>
    </row>
    <row r="65" spans="1:6" x14ac:dyDescent="0.3">
      <c r="A65" s="82" t="s">
        <v>457</v>
      </c>
      <c r="B65" s="83" t="str">
        <f>IFERROR(INDEX(tbl_ProduitsRef[Cde_Prdt],MATCH(A65,tbl_ProduitsRef[Produit],0)),"⚠️ Produit non trouvé")</f>
        <v>VIA008</v>
      </c>
      <c r="C65" s="17" t="str">
        <f>IFERROR(VLOOKUP(D65,Référentiels!$M$2:$N$267,2,FALSE),"Ingrédient non trouvé")</f>
        <v>AGN006</v>
      </c>
      <c r="D65" s="85" t="s">
        <v>460</v>
      </c>
      <c r="E65" s="85">
        <v>1000</v>
      </c>
      <c r="F65" s="86" t="str">
        <f>INDEX(tbl_IngrédientsRef[Unité], MATCH(C65, tbl_IngrédientsRef[Cde_Ingrdt],0))</f>
        <v>g</v>
      </c>
    </row>
    <row r="66" spans="1:6" x14ac:dyDescent="0.3">
      <c r="A66" s="82" t="s">
        <v>58</v>
      </c>
      <c r="B66" s="83" t="str">
        <f>IFERROR(INDEX(tbl_ProduitsRef[Cde_Prdt],MATCH(A66,tbl_ProduitsRef[Produit],0)),"⚠️ Produit non trouvé")</f>
        <v>VIA009</v>
      </c>
      <c r="C66" s="17" t="str">
        <f>IFERROR(VLOOKUP(D66,Référentiels!$M$2:$N$267,2,FALSE),"Ingrédient non trouvé")</f>
        <v>VEA010</v>
      </c>
      <c r="D66" s="85" t="s">
        <v>463</v>
      </c>
      <c r="E66" s="85">
        <v>1000</v>
      </c>
      <c r="F66" s="86" t="str">
        <f>INDEX(tbl_IngrédientsRef[Unité], MATCH(C66, tbl_IngrédientsRef[Cde_Ingrdt],0))</f>
        <v>g</v>
      </c>
    </row>
    <row r="67" spans="1:6" x14ac:dyDescent="0.3">
      <c r="A67" s="82" t="s">
        <v>464</v>
      </c>
      <c r="B67" s="83" t="str">
        <f>IFERROR(INDEX(tbl_ProduitsRef[Cde_Prdt],MATCH(A67,tbl_ProduitsRef[Produit],0)),"⚠️ Produit non trouvé")</f>
        <v>VIA010</v>
      </c>
      <c r="C67" s="17" t="str">
        <f>IFERROR(VLOOKUP(D67,Référentiels!$M$2:$N$267,2,FALSE),"Ingrédient non trouvé")</f>
        <v>AGN011</v>
      </c>
      <c r="D67" s="85" t="s">
        <v>467</v>
      </c>
      <c r="E67" s="85">
        <v>1000</v>
      </c>
      <c r="F67" s="86" t="str">
        <f>INDEX(tbl_IngrédientsRef[Unité], MATCH(C67, tbl_IngrédientsRef[Cde_Ingrdt],0))</f>
        <v>g</v>
      </c>
    </row>
    <row r="68" spans="1:6" x14ac:dyDescent="0.3">
      <c r="A68" s="82" t="s">
        <v>464</v>
      </c>
      <c r="B68" s="83" t="str">
        <f>IFERROR(INDEX(tbl_ProduitsRef[Cde_Prdt],MATCH(A68,tbl_ProduitsRef[Produit],0)),"⚠️ Produit non trouvé")</f>
        <v>VIA010</v>
      </c>
      <c r="C68" s="17" t="str">
        <f>IFERROR(VLOOKUP(D68,Référentiels!$M$2:$N$267,2,FALSE),"Ingrédient non trouvé")</f>
        <v>AGN010</v>
      </c>
      <c r="D68" s="85" t="s">
        <v>469</v>
      </c>
      <c r="E68" s="85">
        <v>1000</v>
      </c>
      <c r="F68" s="86" t="str">
        <f>INDEX(tbl_IngrédientsRef[Unité], MATCH(C68, tbl_IngrédientsRef[Cde_Ingrdt],0))</f>
        <v>g</v>
      </c>
    </row>
    <row r="69" spans="1:6" x14ac:dyDescent="0.3">
      <c r="A69" s="82" t="s">
        <v>470</v>
      </c>
      <c r="B69" s="83" t="str">
        <f>IFERROR(INDEX(tbl_ProduitsRef[Cde_Prdt],MATCH(A69,tbl_ProduitsRef[Produit],0)),"⚠️ Produit non trouvé")</f>
        <v>VIA012</v>
      </c>
      <c r="C69" s="17" t="str">
        <f>IFERROR(VLOOKUP(D69,Référentiels!$M$2:$N$267,2,FALSE),"Ingrédient non trouvé")</f>
        <v>BOE001</v>
      </c>
      <c r="D69" s="85" t="s">
        <v>473</v>
      </c>
      <c r="E69" s="85">
        <v>1000</v>
      </c>
      <c r="F69" s="86" t="str">
        <f>INDEX(tbl_IngrédientsRef[Unité], MATCH(C69, tbl_IngrédientsRef[Cde_Ingrdt],0))</f>
        <v>g</v>
      </c>
    </row>
    <row r="70" spans="1:6" x14ac:dyDescent="0.3">
      <c r="A70" s="82" t="s">
        <v>474</v>
      </c>
      <c r="B70" s="83" t="str">
        <f>IFERROR(INDEX(tbl_ProduitsRef[Cde_Prdt],MATCH(A70,tbl_ProduitsRef[Produit],0)),"⚠️ Produit non trouvé")</f>
        <v>VIA011</v>
      </c>
      <c r="C70" s="17" t="str">
        <f>IFERROR(VLOOKUP(D70,Référentiels!$M$2:$N$267,2,FALSE),"Ingrédient non trouvé")</f>
        <v>BOE002</v>
      </c>
      <c r="D70" s="85" t="s">
        <v>477</v>
      </c>
      <c r="E70" s="85">
        <v>1000</v>
      </c>
      <c r="F70" s="86" t="str">
        <f>INDEX(tbl_IngrédientsRef[Unité], MATCH(C70, tbl_IngrédientsRef[Cde_Ingrdt],0))</f>
        <v>g</v>
      </c>
    </row>
    <row r="71" spans="1:6" x14ac:dyDescent="0.3">
      <c r="A71" s="82" t="s">
        <v>474</v>
      </c>
      <c r="B71" s="83" t="str">
        <f>IFERROR(INDEX(tbl_ProduitsRef[Cde_Prdt],MATCH(A71,tbl_ProduitsRef[Produit],0)),"⚠️ Produit non trouvé")</f>
        <v>VIA011</v>
      </c>
      <c r="C71" s="17" t="str">
        <f>IFERROR(VLOOKUP(D71,Référentiels!$M$2:$N$267,2,FALSE),"Ingrédient non trouvé")</f>
        <v>BOE003</v>
      </c>
      <c r="D71" s="85" t="s">
        <v>479</v>
      </c>
      <c r="E71" s="85">
        <v>1000</v>
      </c>
      <c r="F71" s="86" t="str">
        <f>INDEX(tbl_IngrédientsRef[Unité], MATCH(C71, tbl_IngrédientsRef[Cde_Ingrdt],0))</f>
        <v>g</v>
      </c>
    </row>
    <row r="72" spans="1:6" x14ac:dyDescent="0.3">
      <c r="A72" s="82" t="s">
        <v>480</v>
      </c>
      <c r="B72" s="83" t="str">
        <f>IFERROR(INDEX(tbl_ProduitsRef[Cde_Prdt],MATCH(A72,tbl_ProduitsRef[Produit],0)),"⚠️ Produit non trouvé")</f>
        <v>VIA013</v>
      </c>
      <c r="C72" s="17" t="str">
        <f>IFERROR(VLOOKUP(D72,Référentiels!$M$2:$N$267,2,FALSE),"Ingrédient non trouvé")</f>
        <v>VEA011</v>
      </c>
      <c r="D72" s="85" t="s">
        <v>483</v>
      </c>
      <c r="E72" s="85">
        <v>1000</v>
      </c>
      <c r="F72" s="86" t="str">
        <f>INDEX(tbl_IngrédientsRef[Unité], MATCH(C72, tbl_IngrédientsRef[Cde_Ingrdt],0))</f>
        <v>g</v>
      </c>
    </row>
    <row r="73" spans="1:6" x14ac:dyDescent="0.3">
      <c r="A73" s="82" t="s">
        <v>484</v>
      </c>
      <c r="B73" s="83" t="str">
        <f>IFERROR(INDEX(tbl_ProduitsRef[Cde_Prdt],MATCH(A73,tbl_ProduitsRef[Produit],0)),"⚠️ Produit non trouvé")</f>
        <v>VIA014</v>
      </c>
      <c r="C73" s="17" t="str">
        <f>IFERROR(VLOOKUP(D73,Référentiels!$M$2:$N$267,2,FALSE),"Ingrédient non trouvé")</f>
        <v>VEA006</v>
      </c>
      <c r="D73" s="85" t="s">
        <v>487</v>
      </c>
      <c r="E73" s="85">
        <v>1000</v>
      </c>
      <c r="F73" s="86" t="str">
        <f>INDEX(tbl_IngrédientsRef[Unité], MATCH(C73, tbl_IngrédientsRef[Cde_Ingrdt],0))</f>
        <v>g</v>
      </c>
    </row>
    <row r="74" spans="1:6" x14ac:dyDescent="0.3">
      <c r="A74" s="87" t="s">
        <v>84</v>
      </c>
      <c r="B74" s="83" t="str">
        <f>IFERROR(INDEX(tbl_ProduitsRef[Cde_Prdt],MATCH(A74,tbl_ProduitsRef[Produit],0)),"⚠️ Produit non trouvé")</f>
        <v>VIA015</v>
      </c>
      <c r="C74" s="17" t="str">
        <f>IFERROR(VLOOKUP(D74,Référentiels!$M$2:$N$267,2,FALSE),"Ingrédient non trouvé")</f>
        <v>AGN007</v>
      </c>
      <c r="D74" s="85" t="s">
        <v>84</v>
      </c>
      <c r="E74" s="85">
        <v>1000</v>
      </c>
      <c r="F74" s="86" t="str">
        <f>INDEX(tbl_IngrédientsRef[Unité], MATCH(C74, tbl_IngrédientsRef[Cde_Ingrdt],0))</f>
        <v>g</v>
      </c>
    </row>
    <row r="75" spans="1:6" x14ac:dyDescent="0.3">
      <c r="A75" s="87" t="s">
        <v>84</v>
      </c>
      <c r="B75" s="83" t="str">
        <f>IFERROR(INDEX(tbl_ProduitsRef[Cde_Prdt],MATCH(A75,tbl_ProduitsRef[Produit],0)),"⚠️ Produit non trouvé")</f>
        <v>VIA015</v>
      </c>
      <c r="C75" s="17" t="str">
        <f>IFERROR(VLOOKUP(D75,Référentiels!$M$2:$N$267,2,FALSE),"Ingrédient non trouvé")</f>
        <v>LEG012</v>
      </c>
      <c r="D75" s="85" t="s">
        <v>316</v>
      </c>
      <c r="E75" s="85">
        <v>60</v>
      </c>
      <c r="F75" s="86" t="str">
        <f>INDEX(tbl_IngrédientsRef[Unité], MATCH(C75, tbl_IngrédientsRef[Cde_Ingrdt],0))</f>
        <v>g</v>
      </c>
    </row>
    <row r="76" spans="1:6" x14ac:dyDescent="0.3">
      <c r="A76" s="87" t="s">
        <v>84</v>
      </c>
      <c r="B76" s="83" t="str">
        <f>IFERROR(INDEX(tbl_ProduitsRef[Cde_Prdt],MATCH(A76,tbl_ProduitsRef[Produit],0)),"⚠️ Produit non trouvé")</f>
        <v>VIA015</v>
      </c>
      <c r="C76" s="17" t="str">
        <f>IFERROR(VLOOKUP(D76,Référentiels!$M$2:$N$267,2,FALSE),"Ingrédient non trouvé")</f>
        <v>LEG007</v>
      </c>
      <c r="D76" s="85" t="s">
        <v>310</v>
      </c>
      <c r="E76" s="85">
        <v>30</v>
      </c>
      <c r="F76" s="86" t="str">
        <f>INDEX(tbl_IngrédientsRef[Unité], MATCH(C76, tbl_IngrédientsRef[Cde_Ingrdt],0))</f>
        <v>g</v>
      </c>
    </row>
    <row r="77" spans="1:6" x14ac:dyDescent="0.3">
      <c r="A77" s="82" t="s">
        <v>490</v>
      </c>
      <c r="B77" s="83" t="str">
        <f>IFERROR(INDEX(tbl_ProduitsRef[Cde_Prdt],MATCH(A77,tbl_ProduitsRef[Produit],0)),"⚠️ Produit non trouvé")</f>
        <v>VIA016</v>
      </c>
      <c r="C77" s="17" t="str">
        <f>IFERROR(VLOOKUP(D77,Référentiels!$M$2:$N$267,2,FALSE),"Ingrédient non trouvé")</f>
        <v>BOE004</v>
      </c>
      <c r="D77" s="85" t="s">
        <v>493</v>
      </c>
      <c r="E77" s="85">
        <v>1000</v>
      </c>
      <c r="F77" s="86" t="str">
        <f>INDEX(tbl_IngrédientsRef[Unité], MATCH(C77, tbl_IngrédientsRef[Cde_Ingrdt],0))</f>
        <v>g</v>
      </c>
    </row>
    <row r="78" spans="1:6" x14ac:dyDescent="0.3">
      <c r="A78" s="82" t="s">
        <v>494</v>
      </c>
      <c r="B78" s="83" t="str">
        <f>IFERROR(INDEX(tbl_ProduitsRef[Cde_Prdt],MATCH(A78,tbl_ProduitsRef[Produit],0)),"⚠️ Produit non trouvé")</f>
        <v>POI002</v>
      </c>
      <c r="C78" s="17" t="str">
        <f>IFERROR(VLOOKUP(D78,Référentiels!$M$2:$N$267,2,FALSE),"Ingrédient non trouvé")</f>
        <v>POI005</v>
      </c>
      <c r="D78" s="85" t="s">
        <v>496</v>
      </c>
      <c r="E78" s="85">
        <v>1000</v>
      </c>
      <c r="F78" s="86" t="str">
        <f>INDEX(tbl_IngrédientsRef[Unité], MATCH(C78, tbl_IngrédientsRef[Cde_Ingrdt],0))</f>
        <v>g</v>
      </c>
    </row>
    <row r="79" spans="1:6" x14ac:dyDescent="0.3">
      <c r="A79" s="82" t="s">
        <v>494</v>
      </c>
      <c r="B79" s="83" t="str">
        <f>IFERROR(INDEX(tbl_ProduitsRef[Cde_Prdt],MATCH(A79,tbl_ProduitsRef[Produit],0)),"⚠️ Produit non trouvé")</f>
        <v>POI002</v>
      </c>
      <c r="C79" s="17" t="str">
        <f>IFERROR(VLOOKUP(D79,Référentiels!$M$2:$N$267,2,FALSE),"Ingrédient non trouvé")</f>
        <v>LEG025</v>
      </c>
      <c r="D79" s="85" t="s">
        <v>498</v>
      </c>
      <c r="E79" s="85">
        <v>50</v>
      </c>
      <c r="F79" s="86" t="str">
        <f>INDEX(tbl_IngrédientsRef[Unité], MATCH(C79, tbl_IngrédientsRef[Cde_Ingrdt],0))</f>
        <v>g</v>
      </c>
    </row>
    <row r="80" spans="1:6" x14ac:dyDescent="0.3">
      <c r="A80" s="82" t="s">
        <v>499</v>
      </c>
      <c r="B80" s="83" t="str">
        <f>IFERROR(INDEX(tbl_ProduitsRef[Cde_Prdt],MATCH(A80,tbl_ProduitsRef[Produit],0)),"⚠️ Produit non trouvé")</f>
        <v>POI001</v>
      </c>
      <c r="C80" s="17" t="str">
        <f>IFERROR(VLOOKUP(D80,Référentiels!$M$2:$N$267,2,FALSE),"Ingrédient non trouvé")</f>
        <v>POI005</v>
      </c>
      <c r="D80" s="85" t="s">
        <v>496</v>
      </c>
      <c r="E80" s="85">
        <v>350</v>
      </c>
      <c r="F80" s="86" t="str">
        <f>INDEX(tbl_IngrédientsRef[Unité], MATCH(C80, tbl_IngrédientsRef[Cde_Ingrdt],0))</f>
        <v>g</v>
      </c>
    </row>
    <row r="81" spans="1:6" x14ac:dyDescent="0.3">
      <c r="A81" s="82" t="s">
        <v>499</v>
      </c>
      <c r="B81" s="83" t="str">
        <f>IFERROR(INDEX(tbl_ProduitsRef[Cde_Prdt],MATCH(A81,tbl_ProduitsRef[Produit],0)),"⚠️ Produit non trouvé")</f>
        <v>POI001</v>
      </c>
      <c r="C81" s="17" t="str">
        <f>IFERROR(VLOOKUP(D81,Référentiels!$M$2:$N$267,2,FALSE),"Ingrédient non trouvé")</f>
        <v>LEG025</v>
      </c>
      <c r="D81" s="85" t="s">
        <v>498</v>
      </c>
      <c r="E81" s="85">
        <v>30</v>
      </c>
      <c r="F81" s="86" t="str">
        <f>INDEX(tbl_IngrédientsRef[Unité], MATCH(C81, tbl_IngrédientsRef[Cde_Ingrdt],0))</f>
        <v>g</v>
      </c>
    </row>
    <row r="82" spans="1:6" x14ac:dyDescent="0.3">
      <c r="A82" s="82" t="s">
        <v>500</v>
      </c>
      <c r="B82" s="83" t="str">
        <f>IFERROR(INDEX(tbl_ProduitsRef[Cde_Prdt],MATCH(A82,tbl_ProduitsRef[Produit],0)),"⚠️ Produit non trouvé")</f>
        <v>POI003</v>
      </c>
      <c r="C82" s="17" t="str">
        <f>IFERROR(VLOOKUP(D82,Référentiels!$M$2:$N$267,2,FALSE),"Ingrédient non trouvé")</f>
        <v>FEC005</v>
      </c>
      <c r="D82" s="85" t="s">
        <v>503</v>
      </c>
      <c r="E82" s="85">
        <v>100</v>
      </c>
      <c r="F82" s="86" t="str">
        <f>INDEX(tbl_IngrédientsRef[Unité], MATCH(C82, tbl_IngrédientsRef[Cde_Ingrdt],0))</f>
        <v>g</v>
      </c>
    </row>
    <row r="83" spans="1:6" x14ac:dyDescent="0.3">
      <c r="A83" s="82" t="s">
        <v>500</v>
      </c>
      <c r="B83" s="83" t="str">
        <f>IFERROR(INDEX(tbl_ProduitsRef[Cde_Prdt],MATCH(A83,tbl_ProduitsRef[Produit],0)),"⚠️ Produit non trouvé")</f>
        <v>POI003</v>
      </c>
      <c r="C83" s="17" t="str">
        <f>IFERROR(VLOOKUP(D83,Référentiels!$M$2:$N$267,2,FALSE),"Ingrédient non trouvé")</f>
        <v>VOL001</v>
      </c>
      <c r="D83" s="85" t="s">
        <v>390</v>
      </c>
      <c r="E83" s="85">
        <v>120</v>
      </c>
      <c r="F83" s="86" t="str">
        <f>INDEX(tbl_IngrédientsRef[Unité], MATCH(C83, tbl_IngrédientsRef[Cde_Ingrdt],0))</f>
        <v>g</v>
      </c>
    </row>
    <row r="84" spans="1:6" x14ac:dyDescent="0.3">
      <c r="A84" s="82" t="s">
        <v>500</v>
      </c>
      <c r="B84" s="83" t="str">
        <f>IFERROR(INDEX(tbl_ProduitsRef[Cde_Prdt],MATCH(A84,tbl_ProduitsRef[Produit],0)),"⚠️ Produit non trouvé")</f>
        <v>POI003</v>
      </c>
      <c r="C84" s="17" t="str">
        <f>IFERROR(VLOOKUP(D84,Référentiels!$M$2:$N$267,2,FALSE),"Ingrédient non trouvé")</f>
        <v>FDM001</v>
      </c>
      <c r="D84" s="85" t="s">
        <v>294</v>
      </c>
      <c r="E84" s="85">
        <v>50</v>
      </c>
      <c r="F84" s="86" t="str">
        <f>INDEX(tbl_IngrédientsRef[Unité], MATCH(C84, tbl_IngrédientsRef[Cde_Ingrdt],0))</f>
        <v>g</v>
      </c>
    </row>
    <row r="85" spans="1:6" x14ac:dyDescent="0.3">
      <c r="A85" s="82" t="s">
        <v>500</v>
      </c>
      <c r="B85" s="83" t="str">
        <f>IFERROR(INDEX(tbl_ProduitsRef[Cde_Prdt],MATCH(A85,tbl_ProduitsRef[Produit],0)),"⚠️ Produit non trouvé")</f>
        <v>POI003</v>
      </c>
      <c r="C85" s="17" t="str">
        <f>IFERROR(VLOOKUP(D85,Référentiels!$M$2:$N$267,2,FALSE),"Ingrédient non trouvé")</f>
        <v>FDM002</v>
      </c>
      <c r="D85" s="85" t="s">
        <v>354</v>
      </c>
      <c r="E85" s="85">
        <v>40</v>
      </c>
      <c r="F85" s="86" t="str">
        <f>INDEX(tbl_IngrédientsRef[Unité], MATCH(C85, tbl_IngrédientsRef[Cde_Ingrdt],0))</f>
        <v>g</v>
      </c>
    </row>
    <row r="86" spans="1:6" x14ac:dyDescent="0.3">
      <c r="A86" s="82" t="s">
        <v>500</v>
      </c>
      <c r="B86" s="83" t="str">
        <f>IFERROR(INDEX(tbl_ProduitsRef[Cde_Prdt],MATCH(A86,tbl_ProduitsRef[Produit],0)),"⚠️ Produit non trouvé")</f>
        <v>POI003</v>
      </c>
      <c r="C86" s="17" t="str">
        <f>IFERROR(VLOOKUP(D86,Référentiels!$M$2:$N$267,2,FALSE),"Ingrédient non trouvé")</f>
        <v>FDM004</v>
      </c>
      <c r="D86" s="85" t="s">
        <v>505</v>
      </c>
      <c r="E86" s="85">
        <v>40</v>
      </c>
      <c r="F86" s="86" t="str">
        <f>INDEX(tbl_IngrédientsRef[Unité], MATCH(C86, tbl_IngrédientsRef[Cde_Ingrdt],0))</f>
        <v>g</v>
      </c>
    </row>
    <row r="87" spans="1:6" x14ac:dyDescent="0.3">
      <c r="A87" s="82" t="s">
        <v>500</v>
      </c>
      <c r="B87" s="83" t="str">
        <f>IFERROR(INDEX(tbl_ProduitsRef[Cde_Prdt],MATCH(A87,tbl_ProduitsRef[Produit],0)),"⚠️ Produit non trouvé")</f>
        <v>POI003</v>
      </c>
      <c r="C87" s="17" t="str">
        <f>IFERROR(VLOOKUP(D87,Référentiels!$M$2:$N$267,2,FALSE),"Ingrédient non trouvé")</f>
        <v>LEG012</v>
      </c>
      <c r="D87" s="85" t="s">
        <v>316</v>
      </c>
      <c r="E87" s="85">
        <v>15</v>
      </c>
      <c r="F87" s="86" t="str">
        <f>INDEX(tbl_IngrédientsRef[Unité], MATCH(C87, tbl_IngrédientsRef[Cde_Ingrdt],0))</f>
        <v>g</v>
      </c>
    </row>
    <row r="88" spans="1:6" x14ac:dyDescent="0.3">
      <c r="A88" s="82" t="s">
        <v>500</v>
      </c>
      <c r="B88" s="83" t="str">
        <f>IFERROR(INDEX(tbl_ProduitsRef[Cde_Prdt],MATCH(A88,tbl_ProduitsRef[Produit],0)),"⚠️ Produit non trouvé")</f>
        <v>POI003</v>
      </c>
      <c r="C88" s="17" t="str">
        <f>IFERROR(VLOOKUP(D88,Référentiels!$M$2:$N$267,2,FALSE),"Ingrédient non trouvé")</f>
        <v>LEG013</v>
      </c>
      <c r="D88" s="85" t="s">
        <v>421</v>
      </c>
      <c r="E88" s="85">
        <v>15</v>
      </c>
      <c r="F88" s="86" t="str">
        <f>INDEX(tbl_IngrédientsRef[Unité], MATCH(C88, tbl_IngrédientsRef[Cde_Ingrdt],0))</f>
        <v>g</v>
      </c>
    </row>
    <row r="89" spans="1:6" x14ac:dyDescent="0.3">
      <c r="A89" s="82" t="s">
        <v>500</v>
      </c>
      <c r="B89" s="83" t="str">
        <f>IFERROR(INDEX(tbl_ProduitsRef[Cde_Prdt],MATCH(A89,tbl_ProduitsRef[Produit],0)),"⚠️ Produit non trouvé")</f>
        <v>POI003</v>
      </c>
      <c r="C89" s="17" t="str">
        <f>IFERROR(VLOOKUP(D89,Référentiels!$M$2:$N$267,2,FALSE),"Ingrédient non trouvé")</f>
        <v>LEG014</v>
      </c>
      <c r="D89" s="85" t="s">
        <v>423</v>
      </c>
      <c r="E89" s="85">
        <v>15</v>
      </c>
      <c r="F89" s="86" t="str">
        <f>INDEX(tbl_IngrédientsRef[Unité], MATCH(C89, tbl_IngrédientsRef[Cde_Ingrdt],0))</f>
        <v>g</v>
      </c>
    </row>
    <row r="90" spans="1:6" x14ac:dyDescent="0.3">
      <c r="A90" s="82" t="s">
        <v>500</v>
      </c>
      <c r="B90" s="83" t="str">
        <f>IFERROR(INDEX(tbl_ProduitsRef[Cde_Prdt],MATCH(A90,tbl_ProduitsRef[Produit],0)),"⚠️ Produit non trouvé")</f>
        <v>POI003</v>
      </c>
      <c r="C90" s="17" t="str">
        <f>IFERROR(VLOOKUP(D90,Référentiels!$M$2:$N$267,2,FALSE),"Ingrédient non trouvé")</f>
        <v>CDM007</v>
      </c>
      <c r="D90" s="85" t="s">
        <v>507</v>
      </c>
      <c r="E90" s="85">
        <v>30</v>
      </c>
      <c r="F90" s="86" t="str">
        <f>INDEX(tbl_IngrédientsRef[Unité], MATCH(C90, tbl_IngrédientsRef[Cde_Ingrdt],0))</f>
        <v>g</v>
      </c>
    </row>
    <row r="91" spans="1:6" x14ac:dyDescent="0.3">
      <c r="A91" s="82" t="s">
        <v>500</v>
      </c>
      <c r="B91" s="83" t="str">
        <f>IFERROR(INDEX(tbl_ProduitsRef[Cde_Prdt],MATCH(A91,tbl_ProduitsRef[Produit],0)),"⚠️ Produit non trouvé")</f>
        <v>POI003</v>
      </c>
      <c r="C91" s="17" t="str">
        <f>IFERROR(VLOOKUP(D91,Référentiels!$M$2:$N$267,2,FALSE),"Ingrédient non trouvé")</f>
        <v>LEG002</v>
      </c>
      <c r="D91" s="85" t="s">
        <v>308</v>
      </c>
      <c r="E91" s="85">
        <v>40</v>
      </c>
      <c r="F91" s="86" t="str">
        <f>INDEX(tbl_IngrédientsRef[Unité], MATCH(C91, tbl_IngrédientsRef[Cde_Ingrdt],0))</f>
        <v>g</v>
      </c>
    </row>
    <row r="92" spans="1:6" x14ac:dyDescent="0.3">
      <c r="A92" s="82" t="s">
        <v>500</v>
      </c>
      <c r="B92" s="83" t="str">
        <f>IFERROR(INDEX(tbl_ProduitsRef[Cde_Prdt],MATCH(A92,tbl_ProduitsRef[Produit],0)),"⚠️ Produit non trouvé")</f>
        <v>POI003</v>
      </c>
      <c r="C92" s="17" t="str">
        <f>IFERROR(VLOOKUP(D92,Référentiels!$M$2:$N$267,2,FALSE),"Ingrédient non trouvé")</f>
        <v>CDM013</v>
      </c>
      <c r="D92" s="85" t="s">
        <v>509</v>
      </c>
      <c r="E92" s="85">
        <v>1</v>
      </c>
      <c r="F92" s="86" t="str">
        <f>INDEX(tbl_IngrédientsRef[Unité], MATCH(C92, tbl_IngrédientsRef[Cde_Ingrdt],0))</f>
        <v>Pièce</v>
      </c>
    </row>
    <row r="93" spans="1:6" x14ac:dyDescent="0.3">
      <c r="A93" s="82" t="s">
        <v>500</v>
      </c>
      <c r="B93" s="83" t="str">
        <f>IFERROR(INDEX(tbl_ProduitsRef[Cde_Prdt],MATCH(A93,tbl_ProduitsRef[Produit],0)),"⚠️ Produit non trouvé")</f>
        <v>POI003</v>
      </c>
      <c r="C93" s="17" t="str">
        <f>IFERROR(VLOOKUP(D93,Référentiels!$M$2:$N$267,2,FALSE),"Ingrédient non trouvé")</f>
        <v>EPI002</v>
      </c>
      <c r="D93" s="85" t="s">
        <v>511</v>
      </c>
      <c r="E93" s="85">
        <v>1</v>
      </c>
      <c r="F93" s="86" t="str">
        <f>INDEX(tbl_IngrédientsRef[Unité], MATCH(C93, tbl_IngrédientsRef[Cde_Ingrdt],0))</f>
        <v>g</v>
      </c>
    </row>
    <row r="94" spans="1:6" x14ac:dyDescent="0.3">
      <c r="A94" s="82" t="s">
        <v>73</v>
      </c>
      <c r="B94" s="83" t="str">
        <f>IFERROR(INDEX(tbl_ProduitsRef[Cde_Prdt],MATCH(A94,tbl_ProduitsRef[Produit],0)),"⚠️ Produit non trouvé")</f>
        <v>POI005</v>
      </c>
      <c r="C94" s="17" t="str">
        <f>IFERROR(VLOOKUP(D94,Référentiels!$M$2:$N$267,2,FALSE),"Ingrédient non trouvé")</f>
        <v>POI006</v>
      </c>
      <c r="D94" s="85" t="s">
        <v>513</v>
      </c>
      <c r="E94" s="85">
        <v>250</v>
      </c>
      <c r="F94" s="86" t="str">
        <f>INDEX(tbl_IngrédientsRef[Unité], MATCH(C94, tbl_IngrédientsRef[Cde_Ingrdt],0))</f>
        <v>g</v>
      </c>
    </row>
    <row r="95" spans="1:6" x14ac:dyDescent="0.3">
      <c r="A95" s="82" t="s">
        <v>73</v>
      </c>
      <c r="B95" s="83" t="str">
        <f>IFERROR(INDEX(tbl_ProduitsRef[Cde_Prdt],MATCH(A95,tbl_ProduitsRef[Produit],0)),"⚠️ Produit non trouvé")</f>
        <v>POI005</v>
      </c>
      <c r="C95" s="17" t="str">
        <f>IFERROR(VLOOKUP(D95,Référentiels!$M$2:$N$267,2,FALSE),"Ingrédient non trouvé")</f>
        <v>LEG002</v>
      </c>
      <c r="D95" s="85" t="s">
        <v>308</v>
      </c>
      <c r="E95" s="85">
        <v>90</v>
      </c>
      <c r="F95" s="86" t="str">
        <f>INDEX(tbl_IngrédientsRef[Unité], MATCH(C95, tbl_IngrédientsRef[Cde_Ingrdt],0))</f>
        <v>g</v>
      </c>
    </row>
    <row r="96" spans="1:6" x14ac:dyDescent="0.3">
      <c r="A96" s="82" t="s">
        <v>73</v>
      </c>
      <c r="B96" s="83" t="str">
        <f>IFERROR(INDEX(tbl_ProduitsRef[Cde_Prdt],MATCH(A96,tbl_ProduitsRef[Produit],0)),"⚠️ Produit non trouvé")</f>
        <v>POI005</v>
      </c>
      <c r="C96" s="17" t="str">
        <f>IFERROR(VLOOKUP(D96,Référentiels!$M$2:$N$267,2,FALSE),"Ingrédient non trouvé")</f>
        <v>LEG012</v>
      </c>
      <c r="D96" s="85" t="s">
        <v>316</v>
      </c>
      <c r="E96" s="85">
        <v>25</v>
      </c>
      <c r="F96" s="86" t="str">
        <f>INDEX(tbl_IngrédientsRef[Unité], MATCH(C96, tbl_IngrédientsRef[Cde_Ingrdt],0))</f>
        <v>g</v>
      </c>
    </row>
    <row r="97" spans="1:6" x14ac:dyDescent="0.3">
      <c r="A97" s="82" t="s">
        <v>73</v>
      </c>
      <c r="B97" s="83" t="str">
        <f>IFERROR(INDEX(tbl_ProduitsRef[Cde_Prdt],MATCH(A97,tbl_ProduitsRef[Produit],0)),"⚠️ Produit non trouvé")</f>
        <v>POI005</v>
      </c>
      <c r="C97" s="17" t="str">
        <f>IFERROR(VLOOKUP(D97,Référentiels!$M$2:$N$267,2,FALSE),"Ingrédient non trouvé")</f>
        <v>LEG013</v>
      </c>
      <c r="D97" s="85" t="s">
        <v>421</v>
      </c>
      <c r="E97" s="85">
        <v>25</v>
      </c>
      <c r="F97" s="86" t="str">
        <f>INDEX(tbl_IngrédientsRef[Unité], MATCH(C97, tbl_IngrédientsRef[Cde_Ingrdt],0))</f>
        <v>g</v>
      </c>
    </row>
    <row r="98" spans="1:6" x14ac:dyDescent="0.3">
      <c r="A98" s="82" t="s">
        <v>73</v>
      </c>
      <c r="B98" s="83" t="str">
        <f>IFERROR(INDEX(tbl_ProduitsRef[Cde_Prdt],MATCH(A98,tbl_ProduitsRef[Produit],0)),"⚠️ Produit non trouvé")</f>
        <v>POI005</v>
      </c>
      <c r="C98" s="17" t="str">
        <f>IFERROR(VLOOKUP(D98,Référentiels!$M$2:$N$267,2,FALSE),"Ingrédient non trouvé")</f>
        <v>LEG007</v>
      </c>
      <c r="D98" s="85" t="s">
        <v>310</v>
      </c>
      <c r="E98" s="85">
        <v>40</v>
      </c>
      <c r="F98" s="86" t="str">
        <f>INDEX(tbl_IngrédientsRef[Unité], MATCH(C98, tbl_IngrédientsRef[Cde_Ingrdt],0))</f>
        <v>g</v>
      </c>
    </row>
    <row r="99" spans="1:6" x14ac:dyDescent="0.3">
      <c r="A99" s="82" t="s">
        <v>73</v>
      </c>
      <c r="B99" s="83" t="str">
        <f>IFERROR(INDEX(tbl_ProduitsRef[Cde_Prdt],MATCH(A99,tbl_ProduitsRef[Produit],0)),"⚠️ Produit non trouvé")</f>
        <v>POI005</v>
      </c>
      <c r="C99" s="17" t="str">
        <f>IFERROR(VLOOKUP(D99,Référentiels!$M$2:$N$267,2,FALSE),"Ingrédient non trouvé")</f>
        <v>EPI007</v>
      </c>
      <c r="D99" s="85" t="s">
        <v>515</v>
      </c>
      <c r="E99" s="85">
        <v>10</v>
      </c>
      <c r="F99" s="86" t="str">
        <f>INDEX(tbl_IngrédientsRef[Unité], MATCH(C99, tbl_IngrédientsRef[Cde_Ingrdt],0))</f>
        <v>g</v>
      </c>
    </row>
    <row r="100" spans="1:6" x14ac:dyDescent="0.3">
      <c r="A100" s="82" t="s">
        <v>73</v>
      </c>
      <c r="B100" s="83" t="str">
        <f>IFERROR(INDEX(tbl_ProduitsRef[Cde_Prdt],MATCH(A100,tbl_ProduitsRef[Produit],0)),"⚠️ Produit non trouvé")</f>
        <v>POI005</v>
      </c>
      <c r="C100" s="17" t="str">
        <f>IFERROR(VLOOKUP(D100,Référentiels!$M$2:$N$267,2,FALSE),"Ingrédient non trouvé")</f>
        <v>LEG029</v>
      </c>
      <c r="D100" s="85" t="s">
        <v>517</v>
      </c>
      <c r="E100" s="85">
        <v>5</v>
      </c>
      <c r="F100" s="86" t="str">
        <f>INDEX(tbl_IngrédientsRef[Unité], MATCH(C100, tbl_IngrédientsRef[Cde_Ingrdt],0))</f>
        <v>g</v>
      </c>
    </row>
    <row r="101" spans="1:6" x14ac:dyDescent="0.3">
      <c r="A101" s="82" t="s">
        <v>73</v>
      </c>
      <c r="B101" s="83" t="str">
        <f>IFERROR(INDEX(tbl_ProduitsRef[Cde_Prdt],MATCH(A101,tbl_ProduitsRef[Produit],0)),"⚠️ Produit non trouvé")</f>
        <v>POI005</v>
      </c>
      <c r="C101" s="17" t="str">
        <f>IFERROR(VLOOKUP(D101,Référentiels!$M$2:$N$267,2,FALSE),"Ingrédient non trouvé")</f>
        <v>CDM020</v>
      </c>
      <c r="D101" s="85" t="s">
        <v>298</v>
      </c>
      <c r="E101" s="85">
        <v>15</v>
      </c>
      <c r="F101" s="86" t="str">
        <f>INDEX(tbl_IngrédientsRef[Unité], MATCH(C101, tbl_IngrédientsRef[Cde_Ingrdt],0))</f>
        <v>ml</v>
      </c>
    </row>
    <row r="102" spans="1:6" x14ac:dyDescent="0.3">
      <c r="A102" s="82" t="s">
        <v>73</v>
      </c>
      <c r="B102" s="83" t="str">
        <f>IFERROR(INDEX(tbl_ProduitsRef[Cde_Prdt],MATCH(A102,tbl_ProduitsRef[Produit],0)),"⚠️ Produit non trouvé")</f>
        <v>POI005</v>
      </c>
      <c r="C102" s="17" t="str">
        <f>IFERROR(VLOOKUP(D102,Référentiels!$M$2:$N$267,2,FALSE),"Ingrédient non trouvé")</f>
        <v>EPI001</v>
      </c>
      <c r="D102" s="85" t="s">
        <v>1274</v>
      </c>
      <c r="E102" s="85">
        <v>5</v>
      </c>
      <c r="F102" s="86" t="str">
        <f>INDEX(tbl_IngrédientsRef[Unité], MATCH(C102, tbl_IngrédientsRef[Cde_Ingrdt],0))</f>
        <v>g</v>
      </c>
    </row>
    <row r="103" spans="1:6" x14ac:dyDescent="0.3">
      <c r="A103" s="82" t="s">
        <v>519</v>
      </c>
      <c r="B103" s="83" t="str">
        <f>IFERROR(INDEX(tbl_ProduitsRef[Cde_Prdt],MATCH(A103,tbl_ProduitsRef[Produit],0)),"⚠️ Produit non trouvé")</f>
        <v>POI006</v>
      </c>
      <c r="C103" s="17" t="str">
        <f>IFERROR(VLOOKUP(D103,Référentiels!$M$2:$N$267,2,FALSE),"Ingrédient non trouvé")</f>
        <v>FDM001</v>
      </c>
      <c r="D103" s="85" t="s">
        <v>294</v>
      </c>
      <c r="E103" s="85">
        <v>80</v>
      </c>
      <c r="F103" s="86" t="str">
        <f>INDEX(tbl_IngrédientsRef[Unité], MATCH(C103, tbl_IngrédientsRef[Cde_Ingrdt],0))</f>
        <v>g</v>
      </c>
    </row>
    <row r="104" spans="1:6" x14ac:dyDescent="0.3">
      <c r="A104" s="82" t="s">
        <v>519</v>
      </c>
      <c r="B104" s="83" t="str">
        <f>IFERROR(INDEX(tbl_ProduitsRef[Cde_Prdt],MATCH(A104,tbl_ProduitsRef[Produit],0)),"⚠️ Produit non trouvé")</f>
        <v>POI006</v>
      </c>
      <c r="C104" s="17" t="str">
        <f>IFERROR(VLOOKUP(D104,Référentiels!$M$2:$N$267,2,FALSE),"Ingrédient non trouvé")</f>
        <v>FDM002</v>
      </c>
      <c r="D104" s="85" t="s">
        <v>354</v>
      </c>
      <c r="E104" s="85">
        <v>60</v>
      </c>
      <c r="F104" s="86" t="str">
        <f>INDEX(tbl_IngrédientsRef[Unité], MATCH(C104, tbl_IngrédientsRef[Cde_Ingrdt],0))</f>
        <v>g</v>
      </c>
    </row>
    <row r="105" spans="1:6" x14ac:dyDescent="0.3">
      <c r="A105" s="82" t="s">
        <v>519</v>
      </c>
      <c r="B105" s="83" t="str">
        <f>IFERROR(INDEX(tbl_ProduitsRef[Cde_Prdt],MATCH(A105,tbl_ProduitsRef[Produit],0)),"⚠️ Produit non trouvé")</f>
        <v>POI006</v>
      </c>
      <c r="C105" s="17" t="str">
        <f>IFERROR(VLOOKUP(D105,Référentiels!$M$2:$N$267,2,FALSE),"Ingrédient non trouvé")</f>
        <v>FDM004</v>
      </c>
      <c r="D105" s="85" t="s">
        <v>505</v>
      </c>
      <c r="E105" s="85">
        <v>60</v>
      </c>
      <c r="F105" s="86" t="str">
        <f>INDEX(tbl_IngrédientsRef[Unité], MATCH(C105, tbl_IngrédientsRef[Cde_Ingrdt],0))</f>
        <v>g</v>
      </c>
    </row>
    <row r="106" spans="1:6" x14ac:dyDescent="0.3">
      <c r="A106" s="82" t="s">
        <v>519</v>
      </c>
      <c r="B106" s="83" t="str">
        <f>IFERROR(INDEX(tbl_ProduitsRef[Cde_Prdt],MATCH(A106,tbl_ProduitsRef[Produit],0)),"⚠️ Produit non trouvé")</f>
        <v>POI006</v>
      </c>
      <c r="C106" s="17" t="str">
        <f>IFERROR(VLOOKUP(D106,Référentiels!$M$2:$N$267,2,FALSE),"Ingrédient non trouvé")</f>
        <v>LEG027</v>
      </c>
      <c r="D106" s="85" t="s">
        <v>521</v>
      </c>
      <c r="E106" s="85">
        <v>10</v>
      </c>
      <c r="F106" s="86" t="str">
        <f>INDEX(tbl_IngrédientsRef[Unité], MATCH(C106, tbl_IngrédientsRef[Cde_Ingrdt],0))</f>
        <v>g</v>
      </c>
    </row>
    <row r="107" spans="1:6" x14ac:dyDescent="0.3">
      <c r="A107" s="82" t="s">
        <v>519</v>
      </c>
      <c r="B107" s="83" t="str">
        <f>IFERROR(INDEX(tbl_ProduitsRef[Cde_Prdt],MATCH(A107,tbl_ProduitsRef[Produit],0)),"⚠️ Produit non trouvé")</f>
        <v>POI006</v>
      </c>
      <c r="C107" s="17" t="str">
        <f>IFERROR(VLOOKUP(D107,Référentiels!$M$2:$N$267,2,FALSE),"Ingrédient non trouvé")</f>
        <v>EPI001</v>
      </c>
      <c r="D107" s="85" t="s">
        <v>1274</v>
      </c>
      <c r="E107" s="85">
        <v>5</v>
      </c>
      <c r="F107" s="86" t="str">
        <f>INDEX(tbl_IngrédientsRef[Unité], MATCH(C107, tbl_IngrédientsRef[Cde_Ingrdt],0))</f>
        <v>g</v>
      </c>
    </row>
    <row r="108" spans="1:6" x14ac:dyDescent="0.3">
      <c r="A108" s="82" t="s">
        <v>519</v>
      </c>
      <c r="B108" s="83" t="str">
        <f>IFERROR(INDEX(tbl_ProduitsRef[Cde_Prdt],MATCH(A108,tbl_ProduitsRef[Produit],0)),"⚠️ Produit non trouvé")</f>
        <v>POI006</v>
      </c>
      <c r="C108" s="17" t="str">
        <f>IFERROR(VLOOKUP(D108,Référentiels!$M$2:$N$267,2,FALSE),"Ingrédient non trouvé")</f>
        <v>CDM020</v>
      </c>
      <c r="D108" s="85" t="s">
        <v>298</v>
      </c>
      <c r="E108" s="85">
        <v>20</v>
      </c>
      <c r="F108" s="86" t="str">
        <f>INDEX(tbl_IngrédientsRef[Unité], MATCH(C108, tbl_IngrédientsRef[Cde_Ingrdt],0))</f>
        <v>ml</v>
      </c>
    </row>
    <row r="109" spans="1:6" x14ac:dyDescent="0.3">
      <c r="A109" s="82" t="s">
        <v>519</v>
      </c>
      <c r="B109" s="83" t="str">
        <f>IFERROR(INDEX(tbl_ProduitsRef[Cde_Prdt],MATCH(A109,tbl_ProduitsRef[Produit],0)),"⚠️ Produit non trouvé")</f>
        <v>POI006</v>
      </c>
      <c r="C109" s="17" t="str">
        <f>IFERROR(VLOOKUP(D109,Référentiels!$M$2:$N$267,2,FALSE),"Ingrédient non trouvé")</f>
        <v>LEG029</v>
      </c>
      <c r="D109" s="85" t="s">
        <v>517</v>
      </c>
      <c r="E109" s="85">
        <v>10</v>
      </c>
      <c r="F109" s="86" t="str">
        <f>INDEX(tbl_IngrédientsRef[Unité], MATCH(C109, tbl_IngrédientsRef[Cde_Ingrdt],0))</f>
        <v>g</v>
      </c>
    </row>
    <row r="110" spans="1:6" x14ac:dyDescent="0.3">
      <c r="A110" s="82" t="s">
        <v>522</v>
      </c>
      <c r="B110" s="83" t="str">
        <f>IFERROR(INDEX(tbl_ProduitsRef[Cde_Prdt],MATCH(A110,tbl_ProduitsRef[Produit],0)),"⚠️ Produit non trouvé")</f>
        <v>POI007</v>
      </c>
      <c r="C110" s="17" t="str">
        <f>IFERROR(VLOOKUP(D110,Référentiels!$M$2:$N$267,2,FALSE),"Ingrédient non trouvé")</f>
        <v>POI007</v>
      </c>
      <c r="D110" s="85" t="s">
        <v>524</v>
      </c>
      <c r="E110" s="85">
        <v>100</v>
      </c>
      <c r="F110" s="86" t="str">
        <f>INDEX(tbl_IngrédientsRef[Unité], MATCH(C110, tbl_IngrédientsRef[Cde_Ingrdt],0))</f>
        <v>g</v>
      </c>
    </row>
    <row r="111" spans="1:6" x14ac:dyDescent="0.3">
      <c r="A111" s="82" t="s">
        <v>522</v>
      </c>
      <c r="B111" s="83" t="str">
        <f>IFERROR(INDEX(tbl_ProduitsRef[Cde_Prdt],MATCH(A111,tbl_ProduitsRef[Produit],0)),"⚠️ Produit non trouvé")</f>
        <v>POI007</v>
      </c>
      <c r="C111" s="17" t="str">
        <f>IFERROR(VLOOKUP(D111,Référentiels!$M$2:$N$267,2,FALSE),"Ingrédient non trouvé")</f>
        <v>LEG002</v>
      </c>
      <c r="D111" s="85" t="s">
        <v>308</v>
      </c>
      <c r="E111" s="85">
        <v>60</v>
      </c>
      <c r="F111" s="86" t="str">
        <f>INDEX(tbl_IngrédientsRef[Unité], MATCH(C111, tbl_IngrédientsRef[Cde_Ingrdt],0))</f>
        <v>g</v>
      </c>
    </row>
    <row r="112" spans="1:6" x14ac:dyDescent="0.3">
      <c r="A112" s="82" t="s">
        <v>522</v>
      </c>
      <c r="B112" s="83" t="str">
        <f>IFERROR(INDEX(tbl_ProduitsRef[Cde_Prdt],MATCH(A112,tbl_ProduitsRef[Produit],0)),"⚠️ Produit non trouvé")</f>
        <v>POI007</v>
      </c>
      <c r="C112" s="17" t="str">
        <f>IFERROR(VLOOKUP(D112,Référentiels!$M$2:$N$267,2,FALSE),"Ingrédient non trouvé")</f>
        <v>LEG007</v>
      </c>
      <c r="D112" s="85" t="s">
        <v>310</v>
      </c>
      <c r="E112" s="85">
        <v>40</v>
      </c>
      <c r="F112" s="86" t="str">
        <f>INDEX(tbl_IngrédientsRef[Unité], MATCH(C112, tbl_IngrédientsRef[Cde_Ingrdt],0))</f>
        <v>g</v>
      </c>
    </row>
    <row r="113" spans="1:6" x14ac:dyDescent="0.3">
      <c r="A113" s="82" t="s">
        <v>522</v>
      </c>
      <c r="B113" s="83" t="str">
        <f>IFERROR(INDEX(tbl_ProduitsRef[Cde_Prdt],MATCH(A113,tbl_ProduitsRef[Produit],0)),"⚠️ Produit non trouvé")</f>
        <v>POI007</v>
      </c>
      <c r="C113" s="17" t="str">
        <f>IFERROR(VLOOKUP(D113,Référentiels!$M$2:$N$267,2,FALSE),"Ingrédient non trouvé")</f>
        <v>LEG020</v>
      </c>
      <c r="D113" s="85" t="s">
        <v>402</v>
      </c>
      <c r="E113" s="85">
        <v>40</v>
      </c>
      <c r="F113" s="86" t="str">
        <f>INDEX(tbl_IngrédientsRef[Unité], MATCH(C113, tbl_IngrédientsRef[Cde_Ingrdt],0))</f>
        <v>g</v>
      </c>
    </row>
    <row r="114" spans="1:6" x14ac:dyDescent="0.3">
      <c r="A114" s="82" t="s">
        <v>522</v>
      </c>
      <c r="B114" s="83" t="str">
        <f>IFERROR(INDEX(tbl_ProduitsRef[Cde_Prdt],MATCH(A114,tbl_ProduitsRef[Produit],0)),"⚠️ Produit non trouvé")</f>
        <v>POI007</v>
      </c>
      <c r="C114" s="17" t="str">
        <f>IFERROR(VLOOKUP(D114,Référentiels!$M$2:$N$267,2,FALSE),"Ingrédient non trouvé")</f>
        <v>LEG026</v>
      </c>
      <c r="D114" s="85" t="s">
        <v>526</v>
      </c>
      <c r="E114" s="85">
        <v>30</v>
      </c>
      <c r="F114" s="86" t="str">
        <f>INDEX(tbl_IngrédientsRef[Unité], MATCH(C114, tbl_IngrédientsRef[Cde_Ingrdt],0))</f>
        <v>g</v>
      </c>
    </row>
    <row r="115" spans="1:6" x14ac:dyDescent="0.3">
      <c r="A115" s="82" t="s">
        <v>522</v>
      </c>
      <c r="B115" s="83" t="str">
        <f>IFERROR(INDEX(tbl_ProduitsRef[Cde_Prdt],MATCH(A115,tbl_ProduitsRef[Produit],0)),"⚠️ Produit non trouvé")</f>
        <v>POI007</v>
      </c>
      <c r="C115" s="17" t="str">
        <f>IFERROR(VLOOKUP(D115,Référentiels!$M$2:$N$267,2,FALSE),"Ingrédient non trouvé")</f>
        <v>LEG027</v>
      </c>
      <c r="D115" s="85" t="s">
        <v>521</v>
      </c>
      <c r="E115" s="85">
        <v>5</v>
      </c>
      <c r="F115" s="86" t="str">
        <f>INDEX(tbl_IngrédientsRef[Unité], MATCH(C115, tbl_IngrédientsRef[Cde_Ingrdt],0))</f>
        <v>g</v>
      </c>
    </row>
    <row r="116" spans="1:6" x14ac:dyDescent="0.3">
      <c r="A116" s="82" t="s">
        <v>522</v>
      </c>
      <c r="B116" s="83" t="str">
        <f>IFERROR(INDEX(tbl_ProduitsRef[Cde_Prdt],MATCH(A116,tbl_ProduitsRef[Produit],0)),"⚠️ Produit non trouvé")</f>
        <v>POI007</v>
      </c>
      <c r="C116" s="17" t="str">
        <f>IFERROR(VLOOKUP(D116,Référentiels!$M$2:$N$267,2,FALSE),"Ingrédient non trouvé")</f>
        <v>CDM020</v>
      </c>
      <c r="D116" s="85" t="s">
        <v>298</v>
      </c>
      <c r="E116" s="85">
        <v>10</v>
      </c>
      <c r="F116" s="86" t="str">
        <f>INDEX(tbl_IngrédientsRef[Unité], MATCH(C116, tbl_IngrédientsRef[Cde_Ingrdt],0))</f>
        <v>ml</v>
      </c>
    </row>
    <row r="117" spans="1:6" x14ac:dyDescent="0.3">
      <c r="A117" s="82" t="s">
        <v>522</v>
      </c>
      <c r="B117" s="83" t="str">
        <f>IFERROR(INDEX(tbl_ProduitsRef[Cde_Prdt],MATCH(A117,tbl_ProduitsRef[Produit],0)),"⚠️ Produit non trouvé")</f>
        <v>POI007</v>
      </c>
      <c r="C117" s="17" t="str">
        <f>IFERROR(VLOOKUP(D117,Référentiels!$M$2:$N$267,2,FALSE),"Ingrédient non trouvé")</f>
        <v>CDM013</v>
      </c>
      <c r="D117" s="85" t="s">
        <v>509</v>
      </c>
      <c r="E117" s="85">
        <v>1</v>
      </c>
      <c r="F117" s="86" t="str">
        <f>INDEX(tbl_IngrédientsRef[Unité], MATCH(C117, tbl_IngrédientsRef[Cde_Ingrdt],0))</f>
        <v>Pièce</v>
      </c>
    </row>
    <row r="118" spans="1:6" x14ac:dyDescent="0.3">
      <c r="A118" s="82" t="s">
        <v>522</v>
      </c>
      <c r="B118" s="83" t="str">
        <f>IFERROR(INDEX(tbl_ProduitsRef[Cde_Prdt],MATCH(A118,tbl_ProduitsRef[Produit],0)),"⚠️ Produit non trouvé")</f>
        <v>POI007</v>
      </c>
      <c r="C118" s="17" t="str">
        <f>IFERROR(VLOOKUP(D118,Référentiels!$M$2:$N$267,2,FALSE),"Ingrédient non trouvé")</f>
        <v>EPI001</v>
      </c>
      <c r="D118" s="85" t="s">
        <v>1274</v>
      </c>
      <c r="E118" s="85">
        <v>5</v>
      </c>
      <c r="F118" s="86" t="str">
        <f>INDEX(tbl_IngrédientsRef[Unité], MATCH(C118, tbl_IngrédientsRef[Cde_Ingrdt],0))</f>
        <v>g</v>
      </c>
    </row>
    <row r="119" spans="1:6" x14ac:dyDescent="0.3">
      <c r="A119" s="82" t="s">
        <v>527</v>
      </c>
      <c r="B119" s="83" t="str">
        <f>IFERROR(INDEX(tbl_ProduitsRef[Cde_Prdt],MATCH(A119,tbl_ProduitsRef[Produit],0)),"⚠️ Produit non trouvé")</f>
        <v>POI008</v>
      </c>
      <c r="C119" s="17" t="str">
        <f>IFERROR(VLOOKUP(D119,Référentiels!$M$2:$N$267,2,FALSE),"Ingrédient non trouvé")</f>
        <v>POI005</v>
      </c>
      <c r="D119" s="85" t="s">
        <v>496</v>
      </c>
      <c r="E119" s="85">
        <v>500</v>
      </c>
      <c r="F119" s="86" t="str">
        <f>INDEX(tbl_IngrédientsRef[Unité], MATCH(C119, tbl_IngrédientsRef[Cde_Ingrdt],0))</f>
        <v>g</v>
      </c>
    </row>
    <row r="120" spans="1:6" x14ac:dyDescent="0.3">
      <c r="A120" s="82" t="s">
        <v>529</v>
      </c>
      <c r="B120" s="83" t="str">
        <f>IFERROR(INDEX(tbl_ProduitsRef[Cde_Prdt],MATCH(A120,tbl_ProduitsRef[Produit],0)),"⚠️ Produit non trouvé")</f>
        <v>POI004</v>
      </c>
      <c r="C120" s="17" t="str">
        <f>IFERROR(VLOOKUP(D120,Référentiels!$M$2:$N$267,2,FALSE),"Ingrédient non trouvé")</f>
        <v>POI005</v>
      </c>
      <c r="D120" s="85" t="s">
        <v>496</v>
      </c>
      <c r="E120" s="85">
        <v>500</v>
      </c>
      <c r="F120" s="86" t="str">
        <f>INDEX(tbl_IngrédientsRef[Unité], MATCH(C120, tbl_IngrédientsRef[Cde_Ingrdt],0))</f>
        <v>g</v>
      </c>
    </row>
    <row r="121" spans="1:6" x14ac:dyDescent="0.3">
      <c r="A121" s="82" t="s">
        <v>531</v>
      </c>
      <c r="B121" s="83" t="str">
        <f>IFERROR(INDEX(tbl_ProduitsRef[Cde_Prdt],MATCH(A121,tbl_ProduitsRef[Produit],0)),"⚠️ Produit non trouvé")</f>
        <v>POI009</v>
      </c>
      <c r="C121" s="17" t="str">
        <f>IFERROR(VLOOKUP(D121,Référentiels!$M$2:$N$267,2,FALSE),"Ingrédient non trouvé")</f>
        <v>POI006</v>
      </c>
      <c r="D121" s="85" t="s">
        <v>513</v>
      </c>
      <c r="E121" s="85">
        <v>500</v>
      </c>
      <c r="F121" s="86" t="str">
        <f>INDEX(tbl_IngrédientsRef[Unité], MATCH(C121, tbl_IngrédientsRef[Cde_Ingrdt],0))</f>
        <v>g</v>
      </c>
    </row>
    <row r="122" spans="1:6" x14ac:dyDescent="0.3">
      <c r="A122" s="82" t="s">
        <v>533</v>
      </c>
      <c r="B122" s="83" t="str">
        <f>IFERROR(INDEX(tbl_ProduitsRef[Cde_Prdt],MATCH(A122,tbl_ProduitsRef[Produit],0)),"⚠️ Produit non trouvé")</f>
        <v>POI010</v>
      </c>
      <c r="C122" s="17" t="str">
        <f>IFERROR(VLOOKUP(D122,Référentiels!$M$2:$N$267,2,FALSE),"Ingrédient non trouvé")</f>
        <v>POI002</v>
      </c>
      <c r="D122" s="85" t="s">
        <v>378</v>
      </c>
      <c r="E122" s="85">
        <v>180</v>
      </c>
      <c r="F122" s="86" t="str">
        <f>INDEX(tbl_IngrédientsRef[Unité], MATCH(C122, tbl_IngrédientsRef[Cde_Ingrdt],0))</f>
        <v>g</v>
      </c>
    </row>
    <row r="123" spans="1:6" x14ac:dyDescent="0.3">
      <c r="A123" s="82" t="s">
        <v>533</v>
      </c>
      <c r="B123" s="83" t="str">
        <f>IFERROR(INDEX(tbl_ProduitsRef[Cde_Prdt],MATCH(A123,tbl_ProduitsRef[Produit],0)),"⚠️ Produit non trouvé")</f>
        <v>POI010</v>
      </c>
      <c r="C123" s="17" t="str">
        <f>IFERROR(VLOOKUP(D123,Référentiels!$M$2:$N$267,2,FALSE),"Ingrédient non trouvé")</f>
        <v>SOS017</v>
      </c>
      <c r="D123" s="85" t="s">
        <v>535</v>
      </c>
      <c r="E123" s="85">
        <v>40</v>
      </c>
      <c r="F123" s="86" t="str">
        <f>INDEX(tbl_IngrédientsRef[Unité], MATCH(C123, tbl_IngrédientsRef[Cde_Ingrdt],0))</f>
        <v>ml</v>
      </c>
    </row>
    <row r="124" spans="1:6" x14ac:dyDescent="0.3">
      <c r="A124" s="82" t="s">
        <v>533</v>
      </c>
      <c r="B124" s="83" t="str">
        <f>IFERROR(INDEX(tbl_ProduitsRef[Cde_Prdt],MATCH(A124,tbl_ProduitsRef[Produit],0)),"⚠️ Produit non trouvé")</f>
        <v>POI010</v>
      </c>
      <c r="C124" s="17" t="str">
        <f>IFERROR(VLOOKUP(D124,Référentiels!$M$2:$N$267,2,FALSE),"Ingrédient non trouvé")</f>
        <v>LEG028</v>
      </c>
      <c r="D124" s="85" t="s">
        <v>537</v>
      </c>
      <c r="E124" s="85">
        <v>20</v>
      </c>
      <c r="F124" s="86" t="str">
        <f>INDEX(tbl_IngrédientsRef[Unité], MATCH(C124, tbl_IngrédientsRef[Cde_Ingrdt],0))</f>
        <v>g</v>
      </c>
    </row>
    <row r="125" spans="1:6" x14ac:dyDescent="0.3">
      <c r="A125" s="82" t="s">
        <v>538</v>
      </c>
      <c r="B125" s="83" t="str">
        <f>IFERROR(INDEX(tbl_ProduitsRef[Cde_Prdt],MATCH(A125,tbl_ProduitsRef[Produit],0)),"⚠️ Produit non trouvé")</f>
        <v>POI011</v>
      </c>
      <c r="C125" s="17" t="str">
        <f>IFERROR(VLOOKUP(D125,Référentiels!$M$2:$N$267,2,FALSE),"Ingrédient non trouvé")</f>
        <v>POI007</v>
      </c>
      <c r="D125" s="85" t="s">
        <v>524</v>
      </c>
      <c r="E125" s="85">
        <v>120</v>
      </c>
      <c r="F125" s="86" t="str">
        <f>INDEX(tbl_IngrédientsRef[Unité], MATCH(C125, tbl_IngrédientsRef[Cde_Ingrdt],0))</f>
        <v>g</v>
      </c>
    </row>
    <row r="126" spans="1:6" x14ac:dyDescent="0.3">
      <c r="A126" s="82" t="s">
        <v>538</v>
      </c>
      <c r="B126" s="83" t="str">
        <f>IFERROR(INDEX(tbl_ProduitsRef[Cde_Prdt],MATCH(A126,tbl_ProduitsRef[Produit],0)),"⚠️ Produit non trouvé")</f>
        <v>POI011</v>
      </c>
      <c r="C126" s="17" t="str">
        <f>IFERROR(VLOOKUP(D126,Référentiels!$M$2:$N$267,2,FALSE),"Ingrédient non trouvé")</f>
        <v>POI002</v>
      </c>
      <c r="D126" s="85" t="s">
        <v>378</v>
      </c>
      <c r="E126" s="85">
        <v>60</v>
      </c>
      <c r="F126" s="86" t="str">
        <f>INDEX(tbl_IngrédientsRef[Unité], MATCH(C126, tbl_IngrédientsRef[Cde_Ingrdt],0))</f>
        <v>g</v>
      </c>
    </row>
    <row r="127" spans="1:6" x14ac:dyDescent="0.3">
      <c r="A127" s="82" t="s">
        <v>538</v>
      </c>
      <c r="B127" s="83" t="str">
        <f>IFERROR(INDEX(tbl_ProduitsRef[Cde_Prdt],MATCH(A127,tbl_ProduitsRef[Produit],0)),"⚠️ Produit non trouvé")</f>
        <v>POI011</v>
      </c>
      <c r="C127" s="17" t="str">
        <f>IFERROR(VLOOKUP(D127,Référentiels!$M$2:$N$267,2,FALSE),"Ingrédient non trouvé")</f>
        <v>FDM002</v>
      </c>
      <c r="D127" s="85" t="s">
        <v>354</v>
      </c>
      <c r="E127" s="85">
        <v>60</v>
      </c>
      <c r="F127" s="86" t="str">
        <f>INDEX(tbl_IngrédientsRef[Unité], MATCH(C127, tbl_IngrédientsRef[Cde_Ingrdt],0))</f>
        <v>g</v>
      </c>
    </row>
    <row r="128" spans="1:6" x14ac:dyDescent="0.3">
      <c r="A128" s="82" t="s">
        <v>538</v>
      </c>
      <c r="B128" s="83" t="str">
        <f>IFERROR(INDEX(tbl_ProduitsRef[Cde_Prdt],MATCH(A128,tbl_ProduitsRef[Produit],0)),"⚠️ Produit non trouvé")</f>
        <v>POI011</v>
      </c>
      <c r="C128" s="17" t="str">
        <f>IFERROR(VLOOKUP(D128,Référentiels!$M$2:$N$267,2,FALSE),"Ingrédient non trouvé")</f>
        <v>SOS005</v>
      </c>
      <c r="D128" s="85" t="s">
        <v>541</v>
      </c>
      <c r="E128" s="85">
        <v>20</v>
      </c>
      <c r="F128" s="86" t="str">
        <f>INDEX(tbl_IngrédientsRef[Unité], MATCH(C128, tbl_IngrédientsRef[Cde_Ingrdt],0))</f>
        <v>ml</v>
      </c>
    </row>
    <row r="129" spans="1:6" x14ac:dyDescent="0.3">
      <c r="A129" s="82" t="s">
        <v>542</v>
      </c>
      <c r="B129" s="83" t="str">
        <f>IFERROR(INDEX(tbl_ProduitsRef[Cde_Prdt],MATCH(A129,tbl_ProduitsRef[Produit],0)),"⚠️ Produit non trouvé")</f>
        <v>POI012</v>
      </c>
      <c r="C129" s="17" t="str">
        <f>IFERROR(VLOOKUP(D129,Référentiels!$M$2:$N$267,2,FALSE),"Ingrédient non trouvé")</f>
        <v>POI004</v>
      </c>
      <c r="D129" s="85" t="s">
        <v>544</v>
      </c>
      <c r="E129" s="85">
        <v>180</v>
      </c>
      <c r="F129" s="86" t="str">
        <f>INDEX(tbl_IngrédientsRef[Unité], MATCH(C129, tbl_IngrédientsRef[Cde_Ingrdt],0))</f>
        <v>g</v>
      </c>
    </row>
    <row r="130" spans="1:6" x14ac:dyDescent="0.3">
      <c r="A130" s="82" t="s">
        <v>542</v>
      </c>
      <c r="B130" s="83" t="str">
        <f>IFERROR(INDEX(tbl_ProduitsRef[Cde_Prdt],MATCH(A130,tbl_ProduitsRef[Produit],0)),"⚠️ Produit non trouvé")</f>
        <v>POI012</v>
      </c>
      <c r="C130" s="17" t="str">
        <f>IFERROR(VLOOKUP(D130,Référentiels!$M$2:$N$267,2,FALSE),"Ingrédient non trouvé")</f>
        <v>PRL023</v>
      </c>
      <c r="D130" s="85" t="s">
        <v>546</v>
      </c>
      <c r="E130" s="85">
        <v>40</v>
      </c>
      <c r="F130" s="86" t="str">
        <f>INDEX(tbl_IngrédientsRef[Unité], MATCH(C130, tbl_IngrédientsRef[Cde_Ingrdt],0))</f>
        <v>g</v>
      </c>
    </row>
    <row r="131" spans="1:6" x14ac:dyDescent="0.3">
      <c r="A131" s="82" t="s">
        <v>542</v>
      </c>
      <c r="B131" s="83" t="str">
        <f>IFERROR(INDEX(tbl_ProduitsRef[Cde_Prdt],MATCH(A131,tbl_ProduitsRef[Produit],0)),"⚠️ Produit non trouvé")</f>
        <v>POI012</v>
      </c>
      <c r="C131" s="17" t="str">
        <f>IFERROR(VLOOKUP(D131,Référentiels!$M$2:$N$267,2,FALSE),"Ingrédient non trouvé")</f>
        <v>FDM001</v>
      </c>
      <c r="D131" s="85" t="s">
        <v>294</v>
      </c>
      <c r="E131" s="85">
        <v>40</v>
      </c>
      <c r="F131" s="86" t="str">
        <f>INDEX(tbl_IngrédientsRef[Unité], MATCH(C131, tbl_IngrédientsRef[Cde_Ingrdt],0))</f>
        <v>g</v>
      </c>
    </row>
    <row r="132" spans="1:6" x14ac:dyDescent="0.3">
      <c r="A132" s="82" t="s">
        <v>547</v>
      </c>
      <c r="B132" s="83" t="str">
        <f>IFERROR(INDEX(tbl_ProduitsRef[Cde_Prdt],MATCH(A132,tbl_ProduitsRef[Produit],0)),"⚠️ Produit non trouvé")</f>
        <v>POI013</v>
      </c>
      <c r="C132" s="17" t="str">
        <f>IFERROR(VLOOKUP(D132,Référentiels!$M$2:$N$267,2,FALSE),"Ingrédient non trouvé")</f>
        <v>POI007</v>
      </c>
      <c r="D132" s="85" t="s">
        <v>524</v>
      </c>
      <c r="E132" s="85">
        <v>180</v>
      </c>
      <c r="F132" s="86" t="str">
        <f>INDEX(tbl_IngrédientsRef[Unité], MATCH(C132, tbl_IngrédientsRef[Cde_Ingrdt],0))</f>
        <v>g</v>
      </c>
    </row>
    <row r="133" spans="1:6" x14ac:dyDescent="0.3">
      <c r="A133" s="82" t="s">
        <v>547</v>
      </c>
      <c r="B133" s="83" t="str">
        <f>IFERROR(INDEX(tbl_ProduitsRef[Cde_Prdt],MATCH(A133,tbl_ProduitsRef[Produit],0)),"⚠️ Produit non trouvé")</f>
        <v>POI013</v>
      </c>
      <c r="C133" s="17" t="str">
        <f>IFERROR(VLOOKUP(D133,Référentiels!$M$2:$N$267,2,FALSE),"Ingrédient non trouvé")</f>
        <v>SOS006</v>
      </c>
      <c r="D133" s="85" t="s">
        <v>550</v>
      </c>
      <c r="E133" s="85">
        <v>40</v>
      </c>
      <c r="F133" s="86" t="str">
        <f>INDEX(tbl_IngrédientsRef[Unité], MATCH(C133, tbl_IngrédientsRef[Cde_Ingrdt],0))</f>
        <v>ml</v>
      </c>
    </row>
    <row r="134" spans="1:6" x14ac:dyDescent="0.3">
      <c r="A134" s="82" t="s">
        <v>547</v>
      </c>
      <c r="B134" s="83" t="str">
        <f>IFERROR(INDEX(tbl_ProduitsRef[Cde_Prdt],MATCH(A134,tbl_ProduitsRef[Produit],0)),"⚠️ Produit non trouvé")</f>
        <v>POI013</v>
      </c>
      <c r="C134" s="17" t="str">
        <f>IFERROR(VLOOKUP(D134,Référentiels!$M$2:$N$267,2,FALSE),"Ingrédient non trouvé")</f>
        <v>FDM001</v>
      </c>
      <c r="D134" s="85" t="s">
        <v>294</v>
      </c>
      <c r="E134" s="85">
        <v>40</v>
      </c>
      <c r="F134" s="86" t="str">
        <f>INDEX(tbl_IngrédientsRef[Unité], MATCH(C134, tbl_IngrédientsRef[Cde_Ingrdt],0))</f>
        <v>g</v>
      </c>
    </row>
    <row r="135" spans="1:6" x14ac:dyDescent="0.3">
      <c r="A135" s="82" t="s">
        <v>547</v>
      </c>
      <c r="B135" s="83" t="str">
        <f>IFERROR(INDEX(tbl_ProduitsRef[Cde_Prdt],MATCH(A135,tbl_ProduitsRef[Produit],0)),"⚠️ Produit non trouvé")</f>
        <v>POI013</v>
      </c>
      <c r="C135" s="17" t="str">
        <f>IFERROR(VLOOKUP(D135,Référentiels!$M$2:$N$267,2,FALSE),"Ingrédient non trouvé")</f>
        <v>CDM004</v>
      </c>
      <c r="D135" s="85" t="s">
        <v>312</v>
      </c>
      <c r="E135" s="85">
        <v>0.5</v>
      </c>
      <c r="F135" s="86" t="str">
        <f>INDEX(tbl_IngrédientsRef[Unité], MATCH(C135, tbl_IngrédientsRef[Cde_Ingrdt],0))</f>
        <v>Pièce</v>
      </c>
    </row>
    <row r="136" spans="1:6" x14ac:dyDescent="0.3">
      <c r="A136" s="82" t="s">
        <v>551</v>
      </c>
      <c r="B136" s="83" t="str">
        <f>IFERROR(INDEX(tbl_ProduitsRef[Cde_Prdt],MATCH(A136,tbl_ProduitsRef[Produit],0)),"⚠️ Produit non trouvé")</f>
        <v>VIA017</v>
      </c>
      <c r="C136" s="84" t="str">
        <f>IFERROR(VLOOKUP(D136,Référentiels!$M$2:$N$267,2,FALSE),"Ingrédient non trouvé")</f>
        <v>VEA003</v>
      </c>
      <c r="D136" s="85" t="s">
        <v>554</v>
      </c>
      <c r="E136" s="85">
        <v>250</v>
      </c>
      <c r="F136" s="86" t="str">
        <f>INDEX(tbl_IngrédientsRef[Unité], MATCH(C136, tbl_IngrédientsRef[Cde_Ingrdt],0))</f>
        <v>g</v>
      </c>
    </row>
    <row r="137" spans="1:6" x14ac:dyDescent="0.3">
      <c r="A137" s="82" t="s">
        <v>551</v>
      </c>
      <c r="B137" s="83" t="str">
        <f>IFERROR(INDEX(tbl_ProduitsRef[Cde_Prdt],MATCH(A137,tbl_ProduitsRef[Produit],0)),"⚠️ Produit non trouvé")</f>
        <v>VIA017</v>
      </c>
      <c r="C137" s="84" t="str">
        <f>IFERROR(VLOOKUP(D137,Référentiels!$M$2:$N$267,2,FALSE),"Ingrédient non trouvé")</f>
        <v>LEG001</v>
      </c>
      <c r="D137" s="85" t="s">
        <v>556</v>
      </c>
      <c r="E137" s="85">
        <v>100</v>
      </c>
      <c r="F137" s="86" t="str">
        <f>INDEX(tbl_IngrédientsRef[Unité], MATCH(C137, tbl_IngrédientsRef[Cde_Ingrdt],0))</f>
        <v>g</v>
      </c>
    </row>
    <row r="138" spans="1:6" x14ac:dyDescent="0.3">
      <c r="A138" s="82" t="s">
        <v>551</v>
      </c>
      <c r="B138" s="83" t="str">
        <f>IFERROR(INDEX(tbl_ProduitsRef[Cde_Prdt],MATCH(A138,tbl_ProduitsRef[Produit],0)),"⚠️ Produit non trouvé")</f>
        <v>VIA017</v>
      </c>
      <c r="C138" s="84" t="str">
        <f>IFERROR(VLOOKUP(D138,Référentiels!$M$2:$N$267,2,FALSE),"Ingrédient non trouvé")</f>
        <v>CDM020</v>
      </c>
      <c r="D138" s="85" t="s">
        <v>298</v>
      </c>
      <c r="E138" s="85">
        <v>15</v>
      </c>
      <c r="F138" s="86" t="str">
        <f>INDEX(tbl_IngrédientsRef[Unité], MATCH(C138, tbl_IngrédientsRef[Cde_Ingrdt],0))</f>
        <v>ml</v>
      </c>
    </row>
    <row r="139" spans="1:6" x14ac:dyDescent="0.3">
      <c r="A139" s="82" t="s">
        <v>551</v>
      </c>
      <c r="B139" s="83" t="str">
        <f>IFERROR(INDEX(tbl_ProduitsRef[Cde_Prdt],MATCH(A139,tbl_ProduitsRef[Produit],0)),"⚠️ Produit non trouvé")</f>
        <v>VIA017</v>
      </c>
      <c r="C139" s="84" t="str">
        <f>IFERROR(VLOOKUP(D139,Référentiels!$M$2:$N$267,2,FALSE),"Ingrédient non trouvé")</f>
        <v>EPI001</v>
      </c>
      <c r="D139" s="85" t="s">
        <v>1274</v>
      </c>
      <c r="E139" s="85">
        <v>5</v>
      </c>
      <c r="F139" s="86" t="str">
        <f>INDEX(tbl_IngrédientsRef[Unité], MATCH(C139, tbl_IngrédientsRef[Cde_Ingrdt],0))</f>
        <v>g</v>
      </c>
    </row>
    <row r="140" spans="1:6" x14ac:dyDescent="0.3">
      <c r="A140" s="82" t="s">
        <v>557</v>
      </c>
      <c r="B140" s="83" t="str">
        <f>IFERROR(INDEX(tbl_ProduitsRef[Cde_Prdt],MATCH(A140,tbl_ProduitsRef[Produit],0)),"⚠️ Produit non trouvé")</f>
        <v>VIA018</v>
      </c>
      <c r="C140" s="84" t="str">
        <f>IFERROR(VLOOKUP(D140,Référentiels!$M$2:$N$267,2,FALSE),"Ingrédient non trouvé")</f>
        <v>BOE010</v>
      </c>
      <c r="D140" s="85" t="s">
        <v>560</v>
      </c>
      <c r="E140" s="85">
        <v>250</v>
      </c>
      <c r="F140" s="86" t="str">
        <f>INDEX(tbl_IngrédientsRef[Unité], MATCH(C140, tbl_IngrédientsRef[Cde_Ingrdt],0))</f>
        <v>g</v>
      </c>
    </row>
    <row r="141" spans="1:6" x14ac:dyDescent="0.3">
      <c r="A141" s="82" t="s">
        <v>557</v>
      </c>
      <c r="B141" s="83" t="str">
        <f>IFERROR(INDEX(tbl_ProduitsRef[Cde_Prdt],MATCH(A141,tbl_ProduitsRef[Produit],0)),"⚠️ Produit non trouvé")</f>
        <v>VIA018</v>
      </c>
      <c r="C141" s="84" t="str">
        <f>IFERROR(VLOOKUP(D141,Référentiels!$M$2:$N$267,2,FALSE),"Ingrédient non trouvé")</f>
        <v>CDM020</v>
      </c>
      <c r="D141" s="85" t="s">
        <v>298</v>
      </c>
      <c r="E141" s="85">
        <v>10</v>
      </c>
      <c r="F141" s="86" t="str">
        <f>INDEX(tbl_IngrédientsRef[Unité], MATCH(C141, tbl_IngrédientsRef[Cde_Ingrdt],0))</f>
        <v>ml</v>
      </c>
    </row>
    <row r="142" spans="1:6" x14ac:dyDescent="0.3">
      <c r="A142" s="82" t="s">
        <v>557</v>
      </c>
      <c r="B142" s="83" t="str">
        <f>IFERROR(INDEX(tbl_ProduitsRef[Cde_Prdt],MATCH(A142,tbl_ProduitsRef[Produit],0)),"⚠️ Produit non trouvé")</f>
        <v>VIA018</v>
      </c>
      <c r="C142" s="84" t="str">
        <f>IFERROR(VLOOKUP(D142,Référentiels!$M$2:$N$267,2,FALSE),"Ingrédient non trouvé")</f>
        <v>LEG001</v>
      </c>
      <c r="D142" s="85" t="s">
        <v>556</v>
      </c>
      <c r="E142" s="85">
        <v>100</v>
      </c>
      <c r="F142" s="86" t="str">
        <f>INDEX(tbl_IngrédientsRef[Unité], MATCH(C142, tbl_IngrédientsRef[Cde_Ingrdt],0))</f>
        <v>g</v>
      </c>
    </row>
    <row r="143" spans="1:6" x14ac:dyDescent="0.3">
      <c r="A143" s="82" t="s">
        <v>557</v>
      </c>
      <c r="B143" s="83" t="str">
        <f>IFERROR(INDEX(tbl_ProduitsRef[Cde_Prdt],MATCH(A143,tbl_ProduitsRef[Produit],0)),"⚠️ Produit non trouvé")</f>
        <v>VIA018</v>
      </c>
      <c r="C143" s="84" t="str">
        <f>IFERROR(VLOOKUP(D143,Référentiels!$M$2:$N$267,2,FALSE),"Ingrédient non trouvé")</f>
        <v>EPI005</v>
      </c>
      <c r="D143" s="85" t="s">
        <v>300</v>
      </c>
      <c r="E143" s="85">
        <v>3</v>
      </c>
      <c r="F143" s="86" t="str">
        <f>INDEX(tbl_IngrédientsRef[Unité], MATCH(C143, tbl_IngrédientsRef[Cde_Ingrdt],0))</f>
        <v>g</v>
      </c>
    </row>
    <row r="144" spans="1:6" x14ac:dyDescent="0.3">
      <c r="A144" s="82" t="s">
        <v>561</v>
      </c>
      <c r="B144" s="83" t="str">
        <f>IFERROR(INDEX(tbl_ProduitsRef[Cde_Prdt],MATCH(A144,tbl_ProduitsRef[Produit],0)),"⚠️ Produit non trouvé")</f>
        <v>VIA019</v>
      </c>
      <c r="C144" s="84" t="str">
        <f>IFERROR(VLOOKUP(D144,Référentiels!$M$2:$N$267,2,FALSE),"Ingrédient non trouvé")</f>
        <v>AGN005</v>
      </c>
      <c r="D144" s="85" t="s">
        <v>564</v>
      </c>
      <c r="E144" s="85">
        <v>250</v>
      </c>
      <c r="F144" s="86" t="str">
        <f>INDEX(tbl_IngrédientsRef[Unité], MATCH(C144, tbl_IngrédientsRef[Cde_Ingrdt],0))</f>
        <v>g</v>
      </c>
    </row>
    <row r="145" spans="1:6" x14ac:dyDescent="0.3">
      <c r="A145" s="82" t="s">
        <v>561</v>
      </c>
      <c r="B145" s="83" t="str">
        <f>IFERROR(INDEX(tbl_ProduitsRef[Cde_Prdt],MATCH(A145,tbl_ProduitsRef[Produit],0)),"⚠️ Produit non trouvé")</f>
        <v>VIA019</v>
      </c>
      <c r="C145" s="84" t="str">
        <f>IFERROR(VLOOKUP(D145,Référentiels!$M$2:$N$267,2,FALSE),"Ingrédient non trouvé")</f>
        <v>SOS012</v>
      </c>
      <c r="D145" s="85" t="s">
        <v>252</v>
      </c>
      <c r="E145" s="85">
        <v>50</v>
      </c>
      <c r="F145" s="86" t="str">
        <f>INDEX(tbl_IngrédientsRef[Unité], MATCH(C145, tbl_IngrédientsRef[Cde_Ingrdt],0))</f>
        <v>ml</v>
      </c>
    </row>
    <row r="146" spans="1:6" x14ac:dyDescent="0.3">
      <c r="A146" s="82" t="s">
        <v>561</v>
      </c>
      <c r="B146" s="83" t="str">
        <f>IFERROR(INDEX(tbl_ProduitsRef[Cde_Prdt],MATCH(A146,tbl_ProduitsRef[Produit],0)),"⚠️ Produit non trouvé")</f>
        <v>VIA019</v>
      </c>
      <c r="C146" s="84" t="str">
        <f>IFERROR(VLOOKUP(D146,Référentiels!$M$2:$N$267,2,FALSE),"Ingrédient non trouvé")</f>
        <v>LEG001</v>
      </c>
      <c r="D146" s="85" t="s">
        <v>556</v>
      </c>
      <c r="E146" s="85">
        <v>100</v>
      </c>
      <c r="F146" s="86" t="str">
        <f>INDEX(tbl_IngrédientsRef[Unité], MATCH(C146, tbl_IngrédientsRef[Cde_Ingrdt],0))</f>
        <v>g</v>
      </c>
    </row>
    <row r="147" spans="1:6" x14ac:dyDescent="0.3">
      <c r="A147" s="82" t="s">
        <v>565</v>
      </c>
      <c r="B147" s="83" t="str">
        <f>IFERROR(INDEX(tbl_ProduitsRef[Cde_Prdt],MATCH(A147,tbl_ProduitsRef[Produit],0)),"⚠️ Produit non trouvé")</f>
        <v>VIA020</v>
      </c>
      <c r="C147" s="84" t="str">
        <f>IFERROR(VLOOKUP(D147,Référentiels!$M$2:$N$267,2,FALSE),"Ingrédient non trouvé")</f>
        <v>BOE009</v>
      </c>
      <c r="D147" s="85" t="s">
        <v>568</v>
      </c>
      <c r="E147" s="85">
        <v>250</v>
      </c>
      <c r="F147" s="86" t="str">
        <f>INDEX(tbl_IngrédientsRef[Unité], MATCH(C147, tbl_IngrédientsRef[Cde_Ingrdt],0))</f>
        <v>g</v>
      </c>
    </row>
    <row r="148" spans="1:6" x14ac:dyDescent="0.3">
      <c r="A148" s="82" t="s">
        <v>565</v>
      </c>
      <c r="B148" s="83" t="str">
        <f>IFERROR(INDEX(tbl_ProduitsRef[Cde_Prdt],MATCH(A148,tbl_ProduitsRef[Produit],0)),"⚠️ Produit non trouvé")</f>
        <v>VIA020</v>
      </c>
      <c r="C148" s="84" t="str">
        <f>IFERROR(VLOOKUP(D148,Référentiels!$M$2:$N$267,2,FALSE),"Ingrédient non trouvé")</f>
        <v>LEG001</v>
      </c>
      <c r="D148" s="85" t="s">
        <v>556</v>
      </c>
      <c r="E148" s="85">
        <v>100</v>
      </c>
      <c r="F148" s="86" t="str">
        <f>INDEX(tbl_IngrédientsRef[Unité], MATCH(C148, tbl_IngrédientsRef[Cde_Ingrdt],0))</f>
        <v>g</v>
      </c>
    </row>
    <row r="149" spans="1:6" x14ac:dyDescent="0.3">
      <c r="A149" s="82" t="s">
        <v>565</v>
      </c>
      <c r="B149" s="83" t="str">
        <f>IFERROR(INDEX(tbl_ProduitsRef[Cde_Prdt],MATCH(A149,tbl_ProduitsRef[Produit],0)),"⚠️ Produit non trouvé")</f>
        <v>VIA020</v>
      </c>
      <c r="C149" s="84" t="str">
        <f>IFERROR(VLOOKUP(D149,Référentiels!$M$2:$N$267,2,FALSE),"Ingrédient non trouvé")</f>
        <v>CDM020</v>
      </c>
      <c r="D149" s="85" t="s">
        <v>298</v>
      </c>
      <c r="E149" s="85">
        <v>10</v>
      </c>
      <c r="F149" s="86" t="str">
        <f>INDEX(tbl_IngrédientsRef[Unité], MATCH(C149, tbl_IngrédientsRef[Cde_Ingrdt],0))</f>
        <v>ml</v>
      </c>
    </row>
    <row r="150" spans="1:6" x14ac:dyDescent="0.3">
      <c r="A150" s="82" t="s">
        <v>569</v>
      </c>
      <c r="B150" s="83" t="str">
        <f>IFERROR(INDEX(tbl_ProduitsRef[Cde_Prdt],MATCH(A150,tbl_ProduitsRef[Produit],0)),"⚠️ Produit non trouvé")</f>
        <v>VIA021</v>
      </c>
      <c r="C150" s="84" t="str">
        <f>IFERROR(VLOOKUP(D150,Référentiels!$M$2:$N$267,2,FALSE),"Ingrédient non trouvé")</f>
        <v>BOE008</v>
      </c>
      <c r="D150" s="85" t="s">
        <v>572</v>
      </c>
      <c r="E150" s="85">
        <v>180</v>
      </c>
      <c r="F150" s="86" t="str">
        <f>INDEX(tbl_IngrédientsRef[Unité], MATCH(C150, tbl_IngrédientsRef[Cde_Ingrdt],0))</f>
        <v>g</v>
      </c>
    </row>
    <row r="151" spans="1:6" x14ac:dyDescent="0.3">
      <c r="A151" s="82" t="s">
        <v>569</v>
      </c>
      <c r="B151" s="83" t="str">
        <f>IFERROR(INDEX(tbl_ProduitsRef[Cde_Prdt],MATCH(A151,tbl_ProduitsRef[Produit],0)),"⚠️ Produit non trouvé")</f>
        <v>VIA021</v>
      </c>
      <c r="C151" s="84" t="str">
        <f>IFERROR(VLOOKUP(D151,Référentiels!$M$2:$N$267,2,FALSE),"Ingrédient non trouvé")</f>
        <v>LEG007</v>
      </c>
      <c r="D151" s="85" t="s">
        <v>310</v>
      </c>
      <c r="E151" s="85">
        <v>40</v>
      </c>
      <c r="F151" s="86" t="str">
        <f>INDEX(tbl_IngrédientsRef[Unité], MATCH(C151, tbl_IngrédientsRef[Cde_Ingrdt],0))</f>
        <v>g</v>
      </c>
    </row>
    <row r="152" spans="1:6" x14ac:dyDescent="0.3">
      <c r="A152" s="82" t="s">
        <v>569</v>
      </c>
      <c r="B152" s="83" t="str">
        <f>IFERROR(INDEX(tbl_ProduitsRef[Cde_Prdt],MATCH(A152,tbl_ProduitsRef[Produit],0)),"⚠️ Produit non trouvé")</f>
        <v>VIA021</v>
      </c>
      <c r="C152" s="84" t="str">
        <f>IFERROR(VLOOKUP(D152,Référentiels!$M$2:$N$267,2,FALSE),"Ingrédient non trouvé")</f>
        <v>LEG012</v>
      </c>
      <c r="D152" s="85" t="s">
        <v>316</v>
      </c>
      <c r="E152" s="85">
        <v>40</v>
      </c>
      <c r="F152" s="86" t="str">
        <f>INDEX(tbl_IngrédientsRef[Unité], MATCH(C152, tbl_IngrédientsRef[Cde_Ingrdt],0))</f>
        <v>g</v>
      </c>
    </row>
    <row r="153" spans="1:6" x14ac:dyDescent="0.3">
      <c r="A153" s="82" t="s">
        <v>569</v>
      </c>
      <c r="B153" s="83" t="str">
        <f>IFERROR(INDEX(tbl_ProduitsRef[Cde_Prdt],MATCH(A153,tbl_ProduitsRef[Produit],0)),"⚠️ Produit non trouvé")</f>
        <v>VIA021</v>
      </c>
      <c r="C153" s="84" t="str">
        <f>IFERROR(VLOOKUP(D153,Référentiels!$M$2:$N$267,2,FALSE),"Ingrédient non trouvé")</f>
        <v>LEG018</v>
      </c>
      <c r="D153" s="85" t="s">
        <v>574</v>
      </c>
      <c r="E153" s="85">
        <v>40</v>
      </c>
      <c r="F153" s="86" t="str">
        <f>INDEX(tbl_IngrédientsRef[Unité], MATCH(C153, tbl_IngrédientsRef[Cde_Ingrdt],0))</f>
        <v>g</v>
      </c>
    </row>
    <row r="154" spans="1:6" x14ac:dyDescent="0.3">
      <c r="A154" s="82" t="s">
        <v>569</v>
      </c>
      <c r="B154" s="83" t="str">
        <f>IFERROR(INDEX(tbl_ProduitsRef[Cde_Prdt],MATCH(A154,tbl_ProduitsRef[Produit],0)),"⚠️ Produit non trouvé")</f>
        <v>VIA021</v>
      </c>
      <c r="C154" s="84" t="str">
        <f>IFERROR(VLOOKUP(D154,Référentiels!$M$2:$N$267,2,FALSE),"Ingrédient non trouvé")</f>
        <v>SOS004</v>
      </c>
      <c r="D154" s="85" t="s">
        <v>220</v>
      </c>
      <c r="E154" s="85">
        <v>40</v>
      </c>
      <c r="F154" s="86" t="str">
        <f>INDEX(tbl_IngrédientsRef[Unité], MATCH(C154, tbl_IngrédientsRef[Cde_Ingrdt],0))</f>
        <v>ml</v>
      </c>
    </row>
    <row r="155" spans="1:6" x14ac:dyDescent="0.3">
      <c r="A155" s="82" t="s">
        <v>569</v>
      </c>
      <c r="B155" s="83" t="str">
        <f>IFERROR(INDEX(tbl_ProduitsRef[Cde_Prdt],MATCH(A155,tbl_ProduitsRef[Produit],0)),"⚠️ Produit non trouvé")</f>
        <v>VIA021</v>
      </c>
      <c r="C155" s="84" t="str">
        <f>IFERROR(VLOOKUP(D155,Référentiels!$M$2:$N$267,2,FALSE),"Ingrédient non trouvé")</f>
        <v>CDM020</v>
      </c>
      <c r="D155" s="85" t="s">
        <v>298</v>
      </c>
      <c r="E155" s="85">
        <v>10</v>
      </c>
      <c r="F155" s="86" t="str">
        <f>INDEX(tbl_IngrédientsRef[Unité], MATCH(C155, tbl_IngrédientsRef[Cde_Ingrdt],0))</f>
        <v>ml</v>
      </c>
    </row>
    <row r="156" spans="1:6" x14ac:dyDescent="0.3">
      <c r="A156" s="82" t="s">
        <v>575</v>
      </c>
      <c r="B156" s="83" t="str">
        <f>IFERROR(INDEX(tbl_ProduitsRef[Cde_Prdt],MATCH(A156,tbl_ProduitsRef[Produit],0)),"⚠️ Produit non trouvé")</f>
        <v>PUL010</v>
      </c>
      <c r="C156" s="84" t="str">
        <f>IFERROR(VLOOKUP(D156,Référentiels!$M$2:$N$267,2,FALSE),"Ingrédient non trouvé")</f>
        <v>VOL001</v>
      </c>
      <c r="D156" s="85" t="s">
        <v>390</v>
      </c>
      <c r="E156" s="85">
        <v>180</v>
      </c>
      <c r="F156" s="86" t="str">
        <f>INDEX(tbl_IngrédientsRef[Unité], MATCH(C156, tbl_IngrédientsRef[Cde_Ingrdt],0))</f>
        <v>g</v>
      </c>
    </row>
    <row r="157" spans="1:6" x14ac:dyDescent="0.3">
      <c r="A157" s="82" t="s">
        <v>575</v>
      </c>
      <c r="B157" s="83" t="str">
        <f>IFERROR(INDEX(tbl_ProduitsRef[Cde_Prdt],MATCH(A157,tbl_ProduitsRef[Produit],0)),"⚠️ Produit non trouvé")</f>
        <v>PUL010</v>
      </c>
      <c r="C157" s="84" t="str">
        <f>IFERROR(VLOOKUP(D157,Référentiels!$M$2:$N$267,2,FALSE),"Ingrédient non trouvé")</f>
        <v>LEG001</v>
      </c>
      <c r="D157" s="85" t="s">
        <v>556</v>
      </c>
      <c r="E157" s="85">
        <v>100</v>
      </c>
      <c r="F157" s="86" t="str">
        <f>INDEX(tbl_IngrédientsRef[Unité], MATCH(C157, tbl_IngrédientsRef[Cde_Ingrdt],0))</f>
        <v>g</v>
      </c>
    </row>
    <row r="158" spans="1:6" x14ac:dyDescent="0.3">
      <c r="A158" s="82" t="s">
        <v>575</v>
      </c>
      <c r="B158" s="83" t="str">
        <f>IFERROR(INDEX(tbl_ProduitsRef[Cde_Prdt],MATCH(A158,tbl_ProduitsRef[Produit],0)),"⚠️ Produit non trouvé")</f>
        <v>PUL010</v>
      </c>
      <c r="C158" s="84" t="str">
        <f>IFERROR(VLOOKUP(D158,Référentiels!$M$2:$N$267,2,FALSE),"Ingrédient non trouvé")</f>
        <v>VOL003</v>
      </c>
      <c r="D158" s="85" t="s">
        <v>417</v>
      </c>
      <c r="E158" s="85">
        <v>180</v>
      </c>
      <c r="F158" s="86" t="str">
        <f>INDEX(tbl_IngrédientsRef[Unité], MATCH(C158, tbl_IngrédientsRef[Cde_Ingrdt],0))</f>
        <v>g</v>
      </c>
    </row>
    <row r="159" spans="1:6" x14ac:dyDescent="0.3">
      <c r="A159" s="82" t="s">
        <v>575</v>
      </c>
      <c r="B159" s="83" t="str">
        <f>IFERROR(INDEX(tbl_ProduitsRef[Cde_Prdt],MATCH(A159,tbl_ProduitsRef[Produit],0)),"⚠️ Produit non trouvé")</f>
        <v>PUL010</v>
      </c>
      <c r="C159" s="84" t="str">
        <f>IFERROR(VLOOKUP(D159,Référentiels!$M$2:$N$267,2,FALSE),"Ingrédient non trouvé")</f>
        <v>LEG018</v>
      </c>
      <c r="D159" s="85" t="s">
        <v>574</v>
      </c>
      <c r="E159" s="85">
        <v>40</v>
      </c>
      <c r="F159" s="86" t="str">
        <f>INDEX(tbl_IngrédientsRef[Unité], MATCH(C159, tbl_IngrédientsRef[Cde_Ingrdt],0))</f>
        <v>g</v>
      </c>
    </row>
    <row r="160" spans="1:6" x14ac:dyDescent="0.3">
      <c r="A160" s="82" t="s">
        <v>575</v>
      </c>
      <c r="B160" s="83" t="str">
        <f>IFERROR(INDEX(tbl_ProduitsRef[Cde_Prdt],MATCH(A160,tbl_ProduitsRef[Produit],0)),"⚠️ Produit non trouvé")</f>
        <v>PUL010</v>
      </c>
      <c r="C160" s="84" t="str">
        <f>IFERROR(VLOOKUP(D160,Référentiels!$M$2:$N$267,2,FALSE),"Ingrédient non trouvé")</f>
        <v>CDM005</v>
      </c>
      <c r="D160" s="85" t="s">
        <v>578</v>
      </c>
      <c r="E160" s="85">
        <v>10</v>
      </c>
      <c r="F160" s="86" t="str">
        <f>INDEX(tbl_IngrédientsRef[Unité], MATCH(C160, tbl_IngrédientsRef[Cde_Ingrdt],0))</f>
        <v>g</v>
      </c>
    </row>
    <row r="161" spans="1:6" x14ac:dyDescent="0.3">
      <c r="A161" s="82" t="s">
        <v>575</v>
      </c>
      <c r="B161" s="83" t="str">
        <f>IFERROR(INDEX(tbl_ProduitsRef[Cde_Prdt],MATCH(A161,tbl_ProduitsRef[Produit],0)),"⚠️ Produit non trouvé")</f>
        <v>PUL010</v>
      </c>
      <c r="C161" s="84" t="str">
        <f>IFERROR(VLOOKUP(D161,Référentiels!$M$2:$N$267,2,FALSE),"Ingrédient non trouvé")</f>
        <v>PRL007</v>
      </c>
      <c r="D161" s="85" t="s">
        <v>304</v>
      </c>
      <c r="E161" s="85">
        <v>40</v>
      </c>
      <c r="F161" s="86" t="str">
        <f>INDEX(tbl_IngrédientsRef[Unité], MATCH(C161, tbl_IngrédientsRef[Cde_Ingrdt],0))</f>
        <v>g</v>
      </c>
    </row>
    <row r="162" spans="1:6" x14ac:dyDescent="0.3">
      <c r="A162" s="82" t="s">
        <v>575</v>
      </c>
      <c r="B162" s="83" t="str">
        <f>IFERROR(INDEX(tbl_ProduitsRef[Cde_Prdt],MATCH(A162,tbl_ProduitsRef[Produit],0)),"⚠️ Produit non trouvé")</f>
        <v>PUL010</v>
      </c>
      <c r="C162" s="84" t="str">
        <f>IFERROR(VLOOKUP(D162,Référentiels!$M$2:$N$267,2,FALSE),"Ingrédient non trouvé")</f>
        <v>SOS019</v>
      </c>
      <c r="D162" s="85" t="s">
        <v>580</v>
      </c>
      <c r="E162" s="85">
        <v>40</v>
      </c>
      <c r="F162" s="86" t="str">
        <f>INDEX(tbl_IngrédientsRef[Unité], MATCH(C162, tbl_IngrédientsRef[Cde_Ingrdt],0))</f>
        <v>ml</v>
      </c>
    </row>
    <row r="163" spans="1:6" x14ac:dyDescent="0.3">
      <c r="A163" s="82" t="s">
        <v>581</v>
      </c>
      <c r="B163" s="83" t="str">
        <f>IFERROR(INDEX(tbl_ProduitsRef[Cde_Prdt],MATCH(A163,tbl_ProduitsRef[Produit],0)),"⚠️ Produit non trouvé")</f>
        <v>PUL011</v>
      </c>
      <c r="C163" s="84" t="str">
        <f>IFERROR(VLOOKUP(D163,Référentiels!$M$2:$N$267,2,FALSE),"Ingrédient non trouvé")</f>
        <v>VOL001</v>
      </c>
      <c r="D163" s="85" t="s">
        <v>390</v>
      </c>
      <c r="E163" s="85">
        <v>180</v>
      </c>
      <c r="F163" s="86" t="str">
        <f>INDEX(tbl_IngrédientsRef[Unité], MATCH(C163, tbl_IngrédientsRef[Cde_Ingrdt],0))</f>
        <v>g</v>
      </c>
    </row>
    <row r="164" spans="1:6" x14ac:dyDescent="0.3">
      <c r="A164" s="82" t="s">
        <v>581</v>
      </c>
      <c r="B164" s="83" t="str">
        <f>IFERROR(INDEX(tbl_ProduitsRef[Cde_Prdt],MATCH(A164,tbl_ProduitsRef[Produit],0)),"⚠️ Produit non trouvé")</f>
        <v>PUL011</v>
      </c>
      <c r="C164" s="84" t="str">
        <f>IFERROR(VLOOKUP(D164,Référentiels!$M$2:$N$267,2,FALSE),"Ingrédient non trouvé")</f>
        <v>LEG017</v>
      </c>
      <c r="D164" s="85" t="s">
        <v>254</v>
      </c>
      <c r="E164" s="85">
        <v>60</v>
      </c>
      <c r="F164" s="86" t="str">
        <f>INDEX(tbl_IngrédientsRef[Unité], MATCH(C164, tbl_IngrédientsRef[Cde_Ingrdt],0))</f>
        <v>g</v>
      </c>
    </row>
    <row r="165" spans="1:6" x14ac:dyDescent="0.3">
      <c r="A165" s="82" t="s">
        <v>581</v>
      </c>
      <c r="B165" s="83" t="str">
        <f>IFERROR(INDEX(tbl_ProduitsRef[Cde_Prdt],MATCH(A165,tbl_ProduitsRef[Produit],0)),"⚠️ Produit non trouvé")</f>
        <v>PUL011</v>
      </c>
      <c r="C165" s="84" t="str">
        <f>IFERROR(VLOOKUP(D165,Référentiels!$M$2:$N$267,2,FALSE),"Ingrédient non trouvé")</f>
        <v>PRL021</v>
      </c>
      <c r="D165" s="85" t="s">
        <v>325</v>
      </c>
      <c r="E165" s="85">
        <v>40</v>
      </c>
      <c r="F165" s="86" t="str">
        <f>INDEX(tbl_IngrédientsRef[Unité], MATCH(C165, tbl_IngrédientsRef[Cde_Ingrdt],0))</f>
        <v>g</v>
      </c>
    </row>
    <row r="166" spans="1:6" x14ac:dyDescent="0.3">
      <c r="A166" s="82" t="s">
        <v>581</v>
      </c>
      <c r="B166" s="83" t="str">
        <f>IFERROR(INDEX(tbl_ProduitsRef[Cde_Prdt],MATCH(A166,tbl_ProduitsRef[Produit],0)),"⚠️ Produit non trouvé")</f>
        <v>PUL011</v>
      </c>
      <c r="C166" s="84" t="str">
        <f>IFERROR(VLOOKUP(D166,Référentiels!$M$2:$N$267,2,FALSE),"Ingrédient non trouvé")</f>
        <v>SOS019</v>
      </c>
      <c r="D166" s="85" t="s">
        <v>580</v>
      </c>
      <c r="E166" s="85">
        <v>40</v>
      </c>
      <c r="F166" s="86" t="str">
        <f>INDEX(tbl_IngrédientsRef[Unité], MATCH(C166, tbl_IngrédientsRef[Cde_Ingrdt],0))</f>
        <v>ml</v>
      </c>
    </row>
    <row r="167" spans="1:6" x14ac:dyDescent="0.3">
      <c r="A167" s="82" t="s">
        <v>583</v>
      </c>
      <c r="B167" s="83" t="str">
        <f>IFERROR(INDEX(tbl_ProduitsRef[Cde_Prdt],MATCH(A167,tbl_ProduitsRef[Produit],0)),"⚠️ Produit non trouvé")</f>
        <v>PUL012</v>
      </c>
      <c r="C167" s="84" t="str">
        <f>IFERROR(VLOOKUP(D167,Référentiels!$M$2:$N$267,2,FALSE),"Ingrédient non trouvé")</f>
        <v>VOL001</v>
      </c>
      <c r="D167" s="85" t="s">
        <v>390</v>
      </c>
      <c r="E167" s="85">
        <v>150</v>
      </c>
      <c r="F167" s="86" t="str">
        <f>INDEX(tbl_IngrédientsRef[Unité], MATCH(C167, tbl_IngrédientsRef[Cde_Ingrdt],0))</f>
        <v>g</v>
      </c>
    </row>
    <row r="168" spans="1:6" x14ac:dyDescent="0.3">
      <c r="A168" s="82" t="s">
        <v>583</v>
      </c>
      <c r="B168" s="83" t="str">
        <f>IFERROR(INDEX(tbl_ProduitsRef[Cde_Prdt],MATCH(A168,tbl_ProduitsRef[Produit],0)),"⚠️ Produit non trouvé")</f>
        <v>PUL012</v>
      </c>
      <c r="C168" s="84" t="str">
        <f>IFERROR(VLOOKUP(D168,Référentiels!$M$2:$N$267,2,FALSE),"Ingrédient non trouvé")</f>
        <v>LEG018</v>
      </c>
      <c r="D168" s="85" t="s">
        <v>574</v>
      </c>
      <c r="E168" s="85">
        <v>60</v>
      </c>
      <c r="F168" s="86" t="str">
        <f>INDEX(tbl_IngrédientsRef[Unité], MATCH(C168, tbl_IngrédientsRef[Cde_Ingrdt],0))</f>
        <v>g</v>
      </c>
    </row>
    <row r="169" spans="1:6" x14ac:dyDescent="0.3">
      <c r="A169" s="82" t="s">
        <v>583</v>
      </c>
      <c r="B169" s="83" t="str">
        <f>IFERROR(INDEX(tbl_ProduitsRef[Cde_Prdt],MATCH(A169,tbl_ProduitsRef[Produit],0)),"⚠️ Produit non trouvé")</f>
        <v>PUL012</v>
      </c>
      <c r="C169" s="84" t="str">
        <f>IFERROR(VLOOKUP(D169,Référentiels!$M$2:$N$267,2,FALSE),"Ingrédient non trouvé")</f>
        <v>PRL023</v>
      </c>
      <c r="D169" s="85" t="s">
        <v>546</v>
      </c>
      <c r="E169" s="85">
        <v>40</v>
      </c>
      <c r="F169" s="86" t="str">
        <f>INDEX(tbl_IngrédientsRef[Unité], MATCH(C169, tbl_IngrédientsRef[Cde_Ingrdt],0))</f>
        <v>g</v>
      </c>
    </row>
    <row r="170" spans="1:6" x14ac:dyDescent="0.3">
      <c r="A170" s="82" t="s">
        <v>583</v>
      </c>
      <c r="B170" s="83" t="str">
        <f>IFERROR(INDEX(tbl_ProduitsRef[Cde_Prdt],MATCH(A170,tbl_ProduitsRef[Produit],0)),"⚠️ Produit non trouvé")</f>
        <v>PUL012</v>
      </c>
      <c r="C170" s="84" t="str">
        <f>IFERROR(VLOOKUP(D170,Référentiels!$M$2:$N$267,2,FALSE),"Ingrédient non trouvé")</f>
        <v>LEG007</v>
      </c>
      <c r="D170" s="85" t="s">
        <v>310</v>
      </c>
      <c r="E170" s="85">
        <v>30</v>
      </c>
      <c r="F170" s="86" t="str">
        <f>INDEX(tbl_IngrédientsRef[Unité], MATCH(C170, tbl_IngrédientsRef[Cde_Ingrdt],0))</f>
        <v>g</v>
      </c>
    </row>
    <row r="171" spans="1:6" x14ac:dyDescent="0.3">
      <c r="A171" s="82" t="s">
        <v>585</v>
      </c>
      <c r="B171" s="83" t="str">
        <f>IFERROR(INDEX(tbl_ProduitsRef[Cde_Prdt],MATCH(A171,tbl_ProduitsRef[Produit],0)),"⚠️ Produit non trouvé")</f>
        <v>PUL013</v>
      </c>
      <c r="C171" s="84" t="str">
        <f>IFERROR(VLOOKUP(D171,Référentiels!$M$2:$N$267,2,FALSE),"Ingrédient non trouvé")</f>
        <v>VOL001</v>
      </c>
      <c r="D171" s="85" t="s">
        <v>390</v>
      </c>
      <c r="E171" s="85">
        <v>150</v>
      </c>
      <c r="F171" s="86" t="str">
        <f>INDEX(tbl_IngrédientsRef[Unité], MATCH(C171, tbl_IngrédientsRef[Cde_Ingrdt],0))</f>
        <v>g</v>
      </c>
    </row>
    <row r="172" spans="1:6" x14ac:dyDescent="0.3">
      <c r="A172" s="82" t="s">
        <v>585</v>
      </c>
      <c r="B172" s="83" t="str">
        <f>IFERROR(INDEX(tbl_ProduitsRef[Cde_Prdt],MATCH(A172,tbl_ProduitsRef[Produit],0)),"⚠️ Produit non trouvé")</f>
        <v>PUL013</v>
      </c>
      <c r="C172" s="84" t="str">
        <f>IFERROR(VLOOKUP(D172,Référentiels!$M$2:$N$267,2,FALSE),"Ingrédient non trouvé")</f>
        <v>PRL023</v>
      </c>
      <c r="D172" s="85" t="s">
        <v>546</v>
      </c>
      <c r="E172" s="85">
        <v>40</v>
      </c>
      <c r="F172" s="86" t="str">
        <f>INDEX(tbl_IngrédientsRef[Unité], MATCH(C172, tbl_IngrédientsRef[Cde_Ingrdt],0))</f>
        <v>g</v>
      </c>
    </row>
    <row r="173" spans="1:6" x14ac:dyDescent="0.3">
      <c r="A173" s="82" t="s">
        <v>585</v>
      </c>
      <c r="B173" s="83" t="str">
        <f>IFERROR(INDEX(tbl_ProduitsRef[Cde_Prdt],MATCH(A173,tbl_ProduitsRef[Produit],0)),"⚠️ Produit non trouvé")</f>
        <v>PUL013</v>
      </c>
      <c r="C173" s="84" t="str">
        <f>IFERROR(VLOOKUP(D173,Référentiels!$M$2:$N$267,2,FALSE),"Ingrédient non trouvé")</f>
        <v>SOS013</v>
      </c>
      <c r="D173" s="85" t="s">
        <v>588</v>
      </c>
      <c r="E173" s="85">
        <v>20</v>
      </c>
      <c r="F173" s="86" t="str">
        <f>INDEX(tbl_IngrédientsRef[Unité], MATCH(C173, tbl_IngrédientsRef[Cde_Ingrdt],0))</f>
        <v>g</v>
      </c>
    </row>
    <row r="174" spans="1:6" x14ac:dyDescent="0.3">
      <c r="A174" s="82" t="s">
        <v>585</v>
      </c>
      <c r="B174" s="83" t="str">
        <f>IFERROR(INDEX(tbl_ProduitsRef[Cde_Prdt],MATCH(A174,tbl_ProduitsRef[Produit],0)),"⚠️ Produit non trouvé")</f>
        <v>PUL013</v>
      </c>
      <c r="C174" s="84" t="str">
        <f>IFERROR(VLOOKUP(D174,Référentiels!$M$2:$N$267,2,FALSE),"Ingrédient non trouvé")</f>
        <v>LEG007</v>
      </c>
      <c r="D174" s="85" t="s">
        <v>310</v>
      </c>
      <c r="E174" s="85">
        <v>30</v>
      </c>
      <c r="F174" s="86" t="str">
        <f>INDEX(tbl_IngrédientsRef[Unité], MATCH(C174, tbl_IngrédientsRef[Cde_Ingrdt],0))</f>
        <v>g</v>
      </c>
    </row>
    <row r="175" spans="1:6" x14ac:dyDescent="0.3">
      <c r="A175" s="87" t="s">
        <v>589</v>
      </c>
      <c r="B175" s="83" t="str">
        <f>IFERROR(INDEX(tbl_ProduitsRef[Cde_Prdt],MATCH(A175,tbl_ProduitsRef[Produit],0)),"⚠️ Produit non trouvé")</f>
        <v>PUL014</v>
      </c>
      <c r="C175" s="84" t="str">
        <f>IFERROR(VLOOKUP(D175,Référentiels!$M$2:$N$267,2,FALSE),"Ingrédient non trouvé")</f>
        <v>VOL001</v>
      </c>
      <c r="D175" s="85" t="s">
        <v>390</v>
      </c>
      <c r="E175" s="85">
        <v>150</v>
      </c>
      <c r="F175" s="86" t="str">
        <f>INDEX(tbl_IngrédientsRef[Unité], MATCH(C175, tbl_IngrédientsRef[Cde_Ingrdt],0))</f>
        <v>g</v>
      </c>
    </row>
    <row r="176" spans="1:6" x14ac:dyDescent="0.3">
      <c r="A176" s="87" t="s">
        <v>589</v>
      </c>
      <c r="B176" s="83" t="str">
        <f>IFERROR(INDEX(tbl_ProduitsRef[Cde_Prdt],MATCH(A176,tbl_ProduitsRef[Produit],0)),"⚠️ Produit non trouvé")</f>
        <v>PUL014</v>
      </c>
      <c r="C176" s="84" t="str">
        <f>IFERROR(VLOOKUP(D176,Référentiels!$M$2:$N$267,2,FALSE),"Ingrédient non trouvé")</f>
        <v>LEG012</v>
      </c>
      <c r="D176" s="85" t="s">
        <v>316</v>
      </c>
      <c r="E176" s="85">
        <v>30</v>
      </c>
      <c r="F176" s="86" t="str">
        <f>INDEX(tbl_IngrédientsRef[Unité], MATCH(C176, tbl_IngrédientsRef[Cde_Ingrdt],0))</f>
        <v>g</v>
      </c>
    </row>
    <row r="177" spans="1:6" x14ac:dyDescent="0.3">
      <c r="A177" s="87" t="s">
        <v>589</v>
      </c>
      <c r="B177" s="83" t="str">
        <f>IFERROR(INDEX(tbl_ProduitsRef[Cde_Prdt],MATCH(A177,tbl_ProduitsRef[Produit],0)),"⚠️ Produit non trouvé")</f>
        <v>PUL014</v>
      </c>
      <c r="C177" s="84" t="str">
        <f>IFERROR(VLOOKUP(D177,Référentiels!$M$2:$N$267,2,FALSE),"Ingrédient non trouvé")</f>
        <v>LEG007</v>
      </c>
      <c r="D177" s="85" t="s">
        <v>310</v>
      </c>
      <c r="E177" s="85">
        <v>30</v>
      </c>
      <c r="F177" s="86" t="str">
        <f>INDEX(tbl_IngrédientsRef[Unité], MATCH(C177, tbl_IngrédientsRef[Cde_Ingrdt],0))</f>
        <v>g</v>
      </c>
    </row>
    <row r="178" spans="1:6" x14ac:dyDescent="0.3">
      <c r="A178" s="87" t="s">
        <v>589</v>
      </c>
      <c r="B178" s="83" t="str">
        <f>IFERROR(INDEX(tbl_ProduitsRef[Cde_Prdt],MATCH(A178,tbl_ProduitsRef[Produit],0)),"⚠️ Produit non trouvé")</f>
        <v>PUL014</v>
      </c>
      <c r="C178" s="84" t="str">
        <f>IFERROR(VLOOKUP(D178,Référentiels!$M$2:$N$267,2,FALSE),"Ingrédient non trouvé")</f>
        <v>CDM020</v>
      </c>
      <c r="D178" s="85" t="s">
        <v>298</v>
      </c>
      <c r="E178" s="85">
        <v>15</v>
      </c>
      <c r="F178" s="86" t="str">
        <f>INDEX(tbl_IngrédientsRef[Unité], MATCH(C178, tbl_IngrédientsRef[Cde_Ingrdt],0))</f>
        <v>ml</v>
      </c>
    </row>
    <row r="179" spans="1:6" x14ac:dyDescent="0.3">
      <c r="A179" s="89" t="s">
        <v>52</v>
      </c>
      <c r="B179" s="83" t="str">
        <f>IFERROR(INDEX(tbl_ProduitsRef[Cde_Prdt],MATCH(A179,tbl_ProduitsRef[Produit],0)),"⚠️ Produit non trouvé")</f>
        <v>TAJ001</v>
      </c>
      <c r="C179" s="17" t="str">
        <f>IFERROR(VLOOKUP(D179,Référentiels!$M$2:$N$267,2,FALSE),"Ingrédient non trouvé")</f>
        <v>AGN001</v>
      </c>
      <c r="D179" s="85" t="s">
        <v>593</v>
      </c>
      <c r="E179" s="85">
        <v>500</v>
      </c>
      <c r="F179" s="86" t="str">
        <f>INDEX(tbl_IngrédientsRef[Unité], MATCH(C179, tbl_IngrédientsRef[Cde_Ingrdt],0))</f>
        <v>g</v>
      </c>
    </row>
    <row r="180" spans="1:6" x14ac:dyDescent="0.3">
      <c r="A180" s="89" t="s">
        <v>52</v>
      </c>
      <c r="B180" s="83" t="str">
        <f>IFERROR(INDEX(tbl_ProduitsRef[Cde_Prdt],MATCH(A180,tbl_ProduitsRef[Produit],0)),"⚠️ Produit non trouvé")</f>
        <v>TAJ001</v>
      </c>
      <c r="C180" s="17" t="str">
        <f>IFERROR(VLOOKUP(D180,Référentiels!$M$2:$N$267,2,FALSE),"Ingrédient non trouvé")</f>
        <v>CDM007</v>
      </c>
      <c r="D180" s="85" t="s">
        <v>507</v>
      </c>
      <c r="E180" s="85">
        <v>80</v>
      </c>
      <c r="F180" s="86" t="str">
        <f>INDEX(tbl_IngrédientsRef[Unité], MATCH(C180, tbl_IngrédientsRef[Cde_Ingrdt],0))</f>
        <v>g</v>
      </c>
    </row>
    <row r="181" spans="1:6" x14ac:dyDescent="0.3">
      <c r="A181" s="89" t="s">
        <v>52</v>
      </c>
      <c r="B181" s="83" t="str">
        <f>IFERROR(INDEX(tbl_ProduitsRef[Cde_Prdt],MATCH(A181,tbl_ProduitsRef[Produit],0)),"⚠️ Produit non trouvé")</f>
        <v>TAJ001</v>
      </c>
      <c r="C181" s="17" t="str">
        <f>IFERROR(VLOOKUP(D181,Référentiels!$M$2:$N$267,2,FALSE),"Ingrédient non trouvé")</f>
        <v>LEG006</v>
      </c>
      <c r="D181" s="85" t="s">
        <v>398</v>
      </c>
      <c r="E181" s="85">
        <v>150</v>
      </c>
      <c r="F181" s="86" t="str">
        <f>INDEX(tbl_IngrédientsRef[Unité], MATCH(C181, tbl_IngrédientsRef[Cde_Ingrdt],0))</f>
        <v>g</v>
      </c>
    </row>
    <row r="182" spans="1:6" x14ac:dyDescent="0.3">
      <c r="A182" s="89" t="s">
        <v>52</v>
      </c>
      <c r="B182" s="83" t="str">
        <f>IFERROR(INDEX(tbl_ProduitsRef[Cde_Prdt],MATCH(A182,tbl_ProduitsRef[Produit],0)),"⚠️ Produit non trouvé")</f>
        <v>TAJ001</v>
      </c>
      <c r="C182" s="17" t="str">
        <f>IFERROR(VLOOKUP(D182,Référentiels!$M$2:$N$267,2,FALSE),"Ingrédient non trouvé")</f>
        <v>LEG007</v>
      </c>
      <c r="D182" s="85" t="s">
        <v>310</v>
      </c>
      <c r="E182" s="85">
        <v>100</v>
      </c>
      <c r="F182" s="86" t="str">
        <f>INDEX(tbl_IngrédientsRef[Unité], MATCH(C182, tbl_IngrédientsRef[Cde_Ingrdt],0))</f>
        <v>g</v>
      </c>
    </row>
    <row r="183" spans="1:6" x14ac:dyDescent="0.3">
      <c r="A183" s="89" t="s">
        <v>52</v>
      </c>
      <c r="B183" s="83" t="str">
        <f>IFERROR(INDEX(tbl_ProduitsRef[Cde_Prdt],MATCH(A183,tbl_ProduitsRef[Produit],0)),"⚠️ Produit non trouvé")</f>
        <v>TAJ001</v>
      </c>
      <c r="C183" s="17" t="str">
        <f>IFERROR(VLOOKUP(D183,Référentiels!$M$2:$N$267,2,FALSE),"Ingrédient non trouvé")</f>
        <v>LEG002</v>
      </c>
      <c r="D183" s="85" t="s">
        <v>308</v>
      </c>
      <c r="E183" s="85">
        <v>90</v>
      </c>
      <c r="F183" s="86" t="str">
        <f>INDEX(tbl_IngrédientsRef[Unité], MATCH(C183, tbl_IngrédientsRef[Cde_Ingrdt],0))</f>
        <v>g</v>
      </c>
    </row>
    <row r="184" spans="1:6" x14ac:dyDescent="0.3">
      <c r="A184" s="89" t="s">
        <v>52</v>
      </c>
      <c r="B184" s="83" t="str">
        <f>IFERROR(INDEX(tbl_ProduitsRef[Cde_Prdt],MATCH(A184,tbl_ProduitsRef[Produit],0)),"⚠️ Produit non trouvé")</f>
        <v>TAJ001</v>
      </c>
      <c r="C184" s="17" t="str">
        <f>IFERROR(VLOOKUP(D184,Référentiels!$M$2:$N$267,2,FALSE),"Ingrédient non trouvé")</f>
        <v>CDM020</v>
      </c>
      <c r="D184" s="85" t="s">
        <v>298</v>
      </c>
      <c r="E184" s="85">
        <v>20</v>
      </c>
      <c r="F184" s="86" t="str">
        <f>INDEX(tbl_IngrédientsRef[Unité], MATCH(C184, tbl_IngrédientsRef[Cde_Ingrdt],0))</f>
        <v>ml</v>
      </c>
    </row>
    <row r="185" spans="1:6" x14ac:dyDescent="0.3">
      <c r="A185" s="89" t="s">
        <v>52</v>
      </c>
      <c r="B185" s="83" t="str">
        <f>IFERROR(INDEX(tbl_ProduitsRef[Cde_Prdt],MATCH(A185,tbl_ProduitsRef[Produit],0)),"⚠️ Produit non trouvé")</f>
        <v>TAJ001</v>
      </c>
      <c r="C185" s="17" t="str">
        <f>IFERROR(VLOOKUP(D185,Référentiels!$M$2:$N$267,2,FALSE),"Ingrédient non trouvé")</f>
        <v>EPI001</v>
      </c>
      <c r="D185" s="85" t="s">
        <v>1274</v>
      </c>
      <c r="E185" s="85">
        <v>5</v>
      </c>
      <c r="F185" s="86" t="str">
        <f>INDEX(tbl_IngrédientsRef[Unité], MATCH(C185, tbl_IngrédientsRef[Cde_Ingrdt],0))</f>
        <v>g</v>
      </c>
    </row>
    <row r="186" spans="1:6" x14ac:dyDescent="0.3">
      <c r="A186" s="89" t="s">
        <v>594</v>
      </c>
      <c r="B186" s="83" t="str">
        <f>IFERROR(INDEX(tbl_ProduitsRef[Cde_Prdt],MATCH(A186,tbl_ProduitsRef[Produit],0)),"⚠️ Produit non trouvé")</f>
        <v>TAJ002</v>
      </c>
      <c r="C186" s="17" t="str">
        <f>IFERROR(VLOOKUP(D186,Référentiels!$M$2:$N$267,2,FALSE),"Ingrédient non trouvé")</f>
        <v>AGN001</v>
      </c>
      <c r="D186" s="85" t="s">
        <v>593</v>
      </c>
      <c r="E186" s="85">
        <v>1000</v>
      </c>
      <c r="F186" s="86" t="str">
        <f>INDEX(tbl_IngrédientsRef[Unité], MATCH(C186, tbl_IngrédientsRef[Cde_Ingrdt],0))</f>
        <v>g</v>
      </c>
    </row>
    <row r="187" spans="1:6" x14ac:dyDescent="0.3">
      <c r="A187" s="89" t="s">
        <v>594</v>
      </c>
      <c r="B187" s="83" t="str">
        <f>IFERROR(INDEX(tbl_ProduitsRef[Cde_Prdt],MATCH(A187,tbl_ProduitsRef[Produit],0)),"⚠️ Produit non trouvé")</f>
        <v>TAJ002</v>
      </c>
      <c r="C187" s="17" t="str">
        <f>IFERROR(VLOOKUP(D187,Référentiels!$M$2:$N$267,2,FALSE),"Ingrédient non trouvé")</f>
        <v>CDM007</v>
      </c>
      <c r="D187" s="85" t="s">
        <v>507</v>
      </c>
      <c r="E187" s="85">
        <v>150</v>
      </c>
      <c r="F187" s="86" t="str">
        <f>INDEX(tbl_IngrédientsRef[Unité], MATCH(C187, tbl_IngrédientsRef[Cde_Ingrdt],0))</f>
        <v>g</v>
      </c>
    </row>
    <row r="188" spans="1:6" x14ac:dyDescent="0.3">
      <c r="A188" s="89" t="s">
        <v>594</v>
      </c>
      <c r="B188" s="83" t="str">
        <f>IFERROR(INDEX(tbl_ProduitsRef[Cde_Prdt],MATCH(A188,tbl_ProduitsRef[Produit],0)),"⚠️ Produit non trouvé")</f>
        <v>TAJ002</v>
      </c>
      <c r="C188" s="17" t="str">
        <f>IFERROR(VLOOKUP(D188,Référentiels!$M$2:$N$267,2,FALSE),"Ingrédient non trouvé")</f>
        <v>LEG006</v>
      </c>
      <c r="D188" s="85" t="s">
        <v>398</v>
      </c>
      <c r="E188" s="85">
        <v>300</v>
      </c>
      <c r="F188" s="86" t="str">
        <f>INDEX(tbl_IngrédientsRef[Unité], MATCH(C188, tbl_IngrédientsRef[Cde_Ingrdt],0))</f>
        <v>g</v>
      </c>
    </row>
    <row r="189" spans="1:6" x14ac:dyDescent="0.3">
      <c r="A189" s="89" t="s">
        <v>594</v>
      </c>
      <c r="B189" s="83" t="str">
        <f>IFERROR(INDEX(tbl_ProduitsRef[Cde_Prdt],MATCH(A189,tbl_ProduitsRef[Produit],0)),"⚠️ Produit non trouvé")</f>
        <v>TAJ002</v>
      </c>
      <c r="C189" s="17" t="str">
        <f>IFERROR(VLOOKUP(D189,Référentiels!$M$2:$N$267,2,FALSE),"Ingrédient non trouvé")</f>
        <v>LEG007</v>
      </c>
      <c r="D189" s="85" t="s">
        <v>310</v>
      </c>
      <c r="E189" s="85">
        <v>200</v>
      </c>
      <c r="F189" s="86" t="str">
        <f>INDEX(tbl_IngrédientsRef[Unité], MATCH(C189, tbl_IngrédientsRef[Cde_Ingrdt],0))</f>
        <v>g</v>
      </c>
    </row>
    <row r="190" spans="1:6" x14ac:dyDescent="0.3">
      <c r="A190" s="89" t="s">
        <v>594</v>
      </c>
      <c r="B190" s="83" t="str">
        <f>IFERROR(INDEX(tbl_ProduitsRef[Cde_Prdt],MATCH(A190,tbl_ProduitsRef[Produit],0)),"⚠️ Produit non trouvé")</f>
        <v>TAJ002</v>
      </c>
      <c r="C190" s="17" t="str">
        <f>IFERROR(VLOOKUP(D190,Référentiels!$M$2:$N$267,2,FALSE),"Ingrédient non trouvé")</f>
        <v>LEG002</v>
      </c>
      <c r="D190" s="85" t="s">
        <v>308</v>
      </c>
      <c r="E190" s="85">
        <v>180</v>
      </c>
      <c r="F190" s="86" t="str">
        <f>INDEX(tbl_IngrédientsRef[Unité], MATCH(C190, tbl_IngrédientsRef[Cde_Ingrdt],0))</f>
        <v>g</v>
      </c>
    </row>
    <row r="191" spans="1:6" x14ac:dyDescent="0.3">
      <c r="A191" s="89" t="s">
        <v>594</v>
      </c>
      <c r="B191" s="83" t="str">
        <f>IFERROR(INDEX(tbl_ProduitsRef[Cde_Prdt],MATCH(A191,tbl_ProduitsRef[Produit],0)),"⚠️ Produit non trouvé")</f>
        <v>TAJ002</v>
      </c>
      <c r="C191" s="17" t="str">
        <f>IFERROR(VLOOKUP(D191,Référentiels!$M$2:$N$267,2,FALSE),"Ingrédient non trouvé")</f>
        <v>CDM020</v>
      </c>
      <c r="D191" s="85" t="s">
        <v>298</v>
      </c>
      <c r="E191" s="85">
        <v>50</v>
      </c>
      <c r="F191" s="86" t="str">
        <f>INDEX(tbl_IngrédientsRef[Unité], MATCH(C191, tbl_IngrédientsRef[Cde_Ingrdt],0))</f>
        <v>ml</v>
      </c>
    </row>
    <row r="192" spans="1:6" x14ac:dyDescent="0.3">
      <c r="A192" s="89" t="s">
        <v>594</v>
      </c>
      <c r="B192" s="83" t="str">
        <f>IFERROR(INDEX(tbl_ProduitsRef[Cde_Prdt],MATCH(A192,tbl_ProduitsRef[Produit],0)),"⚠️ Produit non trouvé")</f>
        <v>TAJ002</v>
      </c>
      <c r="C192" s="17" t="str">
        <f>IFERROR(VLOOKUP(D192,Référentiels!$M$2:$N$267,2,FALSE),"Ingrédient non trouvé")</f>
        <v>EPI001</v>
      </c>
      <c r="D192" s="85" t="s">
        <v>1274</v>
      </c>
      <c r="E192" s="85">
        <v>10</v>
      </c>
      <c r="F192" s="86" t="str">
        <f>INDEX(tbl_IngrédientsRef[Unité], MATCH(C192, tbl_IngrédientsRef[Cde_Ingrdt],0))</f>
        <v>g</v>
      </c>
    </row>
    <row r="193" spans="1:6" x14ac:dyDescent="0.3">
      <c r="A193" s="82" t="s">
        <v>596</v>
      </c>
      <c r="B193" s="83" t="str">
        <f>IFERROR(INDEX(tbl_ProduitsRef[Cde_Prdt],MATCH(A193,tbl_ProduitsRef[Produit],0)),"⚠️ Produit non trouvé")</f>
        <v>TAJ003</v>
      </c>
      <c r="C193" s="17" t="str">
        <f>IFERROR(VLOOKUP(D193,Référentiels!$M$2:$N$267,2,FALSE),"Ingrédient non trouvé")</f>
        <v>AGN002</v>
      </c>
      <c r="D193" s="85" t="s">
        <v>599</v>
      </c>
      <c r="E193" s="85">
        <v>500</v>
      </c>
      <c r="F193" s="86" t="str">
        <f>INDEX(tbl_IngrédientsRef[Unité], MATCH(C193, tbl_IngrédientsRef[Cde_Ingrdt],0))</f>
        <v>g</v>
      </c>
    </row>
    <row r="194" spans="1:6" x14ac:dyDescent="0.3">
      <c r="A194" s="82" t="s">
        <v>596</v>
      </c>
      <c r="B194" s="83" t="str">
        <f>IFERROR(INDEX(tbl_ProduitsRef[Cde_Prdt],MATCH(A194,tbl_ProduitsRef[Produit],0)),"⚠️ Produit non trouvé")</f>
        <v>TAJ003</v>
      </c>
      <c r="C194" s="17" t="str">
        <f>IFERROR(VLOOKUP(D194,Référentiels!$M$2:$N$267,2,FALSE),"Ingrédient non trouvé")</f>
        <v>LEG015</v>
      </c>
      <c r="D194" s="85" t="s">
        <v>601</v>
      </c>
      <c r="E194" s="85">
        <v>80</v>
      </c>
      <c r="F194" s="86" t="str">
        <f>INDEX(tbl_IngrédientsRef[Unité], MATCH(C194, tbl_IngrédientsRef[Cde_Ingrdt],0))</f>
        <v>g</v>
      </c>
    </row>
    <row r="195" spans="1:6" x14ac:dyDescent="0.3">
      <c r="A195" s="82" t="s">
        <v>596</v>
      </c>
      <c r="B195" s="83" t="str">
        <f>IFERROR(INDEX(tbl_ProduitsRef[Cde_Prdt],MATCH(A195,tbl_ProduitsRef[Produit],0)),"⚠️ Produit non trouvé")</f>
        <v>TAJ003</v>
      </c>
      <c r="C195" s="17" t="str">
        <f>IFERROR(VLOOKUP(D195,Référentiels!$M$2:$N$267,2,FALSE),"Ingrédient non trouvé")</f>
        <v>LEG020</v>
      </c>
      <c r="D195" s="85" t="s">
        <v>402</v>
      </c>
      <c r="E195" s="85">
        <v>80</v>
      </c>
      <c r="F195" s="86" t="str">
        <f>INDEX(tbl_IngrédientsRef[Unité], MATCH(C195, tbl_IngrédientsRef[Cde_Ingrdt],0))</f>
        <v>g</v>
      </c>
    </row>
    <row r="196" spans="1:6" x14ac:dyDescent="0.3">
      <c r="A196" s="82" t="s">
        <v>596</v>
      </c>
      <c r="B196" s="83" t="str">
        <f>IFERROR(INDEX(tbl_ProduitsRef[Cde_Prdt],MATCH(A196,tbl_ProduitsRef[Produit],0)),"⚠️ Produit non trouvé")</f>
        <v>TAJ003</v>
      </c>
      <c r="C196" s="17" t="str">
        <f>IFERROR(VLOOKUP(D196,Référentiels!$M$2:$N$267,2,FALSE),"Ingrédient non trouvé")</f>
        <v>LEG006</v>
      </c>
      <c r="D196" s="85" t="s">
        <v>398</v>
      </c>
      <c r="E196" s="85">
        <v>150</v>
      </c>
      <c r="F196" s="86" t="str">
        <f>INDEX(tbl_IngrédientsRef[Unité], MATCH(C196, tbl_IngrédientsRef[Cde_Ingrdt],0))</f>
        <v>g</v>
      </c>
    </row>
    <row r="197" spans="1:6" x14ac:dyDescent="0.3">
      <c r="A197" s="82" t="s">
        <v>596</v>
      </c>
      <c r="B197" s="83" t="str">
        <f>IFERROR(INDEX(tbl_ProduitsRef[Cde_Prdt],MATCH(A197,tbl_ProduitsRef[Produit],0)),"⚠️ Produit non trouvé")</f>
        <v>TAJ003</v>
      </c>
      <c r="C197" s="17" t="str">
        <f>IFERROR(VLOOKUP(D197,Référentiels!$M$2:$N$267,2,FALSE),"Ingrédient non trouvé")</f>
        <v>LEG007</v>
      </c>
      <c r="D197" s="85" t="s">
        <v>310</v>
      </c>
      <c r="E197" s="85">
        <v>60</v>
      </c>
      <c r="F197" s="86" t="str">
        <f>INDEX(tbl_IngrédientsRef[Unité], MATCH(C197, tbl_IngrédientsRef[Cde_Ingrdt],0))</f>
        <v>g</v>
      </c>
    </row>
    <row r="198" spans="1:6" x14ac:dyDescent="0.3">
      <c r="A198" s="82" t="s">
        <v>596</v>
      </c>
      <c r="B198" s="83" t="str">
        <f>IFERROR(INDEX(tbl_ProduitsRef[Cde_Prdt],MATCH(A198,tbl_ProduitsRef[Produit],0)),"⚠️ Produit non trouvé")</f>
        <v>TAJ003</v>
      </c>
      <c r="C198" s="17" t="str">
        <f>IFERROR(VLOOKUP(D198,Référentiels!$M$2:$N$267,2,FALSE),"Ingrédient non trouvé")</f>
        <v>LEG002</v>
      </c>
      <c r="D198" s="85" t="s">
        <v>308</v>
      </c>
      <c r="E198" s="85">
        <v>40</v>
      </c>
      <c r="F198" s="86" t="str">
        <f>INDEX(tbl_IngrédientsRef[Unité], MATCH(C198, tbl_IngrédientsRef[Cde_Ingrdt],0))</f>
        <v>g</v>
      </c>
    </row>
    <row r="199" spans="1:6" x14ac:dyDescent="0.3">
      <c r="A199" s="82" t="s">
        <v>596</v>
      </c>
      <c r="B199" s="83" t="str">
        <f>IFERROR(INDEX(tbl_ProduitsRef[Cde_Prdt],MATCH(A199,tbl_ProduitsRef[Produit],0)),"⚠️ Produit non trouvé")</f>
        <v>TAJ003</v>
      </c>
      <c r="C199" s="17" t="str">
        <f>IFERROR(VLOOKUP(D199,Référentiels!$M$2:$N$267,2,FALSE),"Ingrédient non trouvé")</f>
        <v>CDM020</v>
      </c>
      <c r="D199" s="85" t="s">
        <v>298</v>
      </c>
      <c r="E199" s="85">
        <v>15</v>
      </c>
      <c r="F199" s="86" t="str">
        <f>INDEX(tbl_IngrédientsRef[Unité], MATCH(C199, tbl_IngrédientsRef[Cde_Ingrdt],0))</f>
        <v>ml</v>
      </c>
    </row>
    <row r="200" spans="1:6" x14ac:dyDescent="0.3">
      <c r="A200" s="82" t="s">
        <v>596</v>
      </c>
      <c r="B200" s="83" t="str">
        <f>IFERROR(INDEX(tbl_ProduitsRef[Cde_Prdt],MATCH(A200,tbl_ProduitsRef[Produit],0)),"⚠️ Produit non trouvé")</f>
        <v>TAJ003</v>
      </c>
      <c r="C200" s="17" t="str">
        <f>IFERROR(VLOOKUP(D200,Référentiels!$M$2:$N$267,2,FALSE),"Ingrédient non trouvé")</f>
        <v>EPI001</v>
      </c>
      <c r="D200" s="85" t="s">
        <v>1274</v>
      </c>
      <c r="E200" s="85">
        <v>5</v>
      </c>
      <c r="F200" s="86" t="str">
        <f>INDEX(tbl_IngrédientsRef[Unité], MATCH(C200, tbl_IngrédientsRef[Cde_Ingrdt],0))</f>
        <v>g</v>
      </c>
    </row>
    <row r="201" spans="1:6" x14ac:dyDescent="0.3">
      <c r="A201" s="82" t="s">
        <v>77</v>
      </c>
      <c r="B201" s="83" t="str">
        <f>IFERROR(INDEX(tbl_ProduitsRef[Cde_Prdt],MATCH(A201,tbl_ProduitsRef[Produit],0)),"⚠️ Produit non trouvé")</f>
        <v>TAJ004</v>
      </c>
      <c r="C201" s="17" t="str">
        <f>IFERROR(VLOOKUP(D201,Référentiels!$M$2:$N$267,2,FALSE),"Ingrédient non trouvé")</f>
        <v>AGN002</v>
      </c>
      <c r="D201" s="85" t="s">
        <v>599</v>
      </c>
      <c r="E201" s="85">
        <v>1000</v>
      </c>
      <c r="F201" s="86" t="str">
        <f>INDEX(tbl_IngrédientsRef[Unité], MATCH(C201, tbl_IngrédientsRef[Cde_Ingrdt],0))</f>
        <v>g</v>
      </c>
    </row>
    <row r="202" spans="1:6" x14ac:dyDescent="0.3">
      <c r="A202" s="82" t="s">
        <v>77</v>
      </c>
      <c r="B202" s="83" t="str">
        <f>IFERROR(INDEX(tbl_ProduitsRef[Cde_Prdt],MATCH(A202,tbl_ProduitsRef[Produit],0)),"⚠️ Produit non trouvé")</f>
        <v>TAJ004</v>
      </c>
      <c r="C202" s="17" t="str">
        <f>IFERROR(VLOOKUP(D202,Référentiels!$M$2:$N$267,2,FALSE),"Ingrédient non trouvé")</f>
        <v>LEG015</v>
      </c>
      <c r="D202" s="85" t="s">
        <v>601</v>
      </c>
      <c r="E202" s="85">
        <v>160</v>
      </c>
      <c r="F202" s="86" t="str">
        <f>INDEX(tbl_IngrédientsRef[Unité], MATCH(C202, tbl_IngrédientsRef[Cde_Ingrdt],0))</f>
        <v>g</v>
      </c>
    </row>
    <row r="203" spans="1:6" x14ac:dyDescent="0.3">
      <c r="A203" s="82" t="s">
        <v>77</v>
      </c>
      <c r="B203" s="83" t="str">
        <f>IFERROR(INDEX(tbl_ProduitsRef[Cde_Prdt],MATCH(A203,tbl_ProduitsRef[Produit],0)),"⚠️ Produit non trouvé")</f>
        <v>TAJ004</v>
      </c>
      <c r="C203" s="17" t="str">
        <f>IFERROR(VLOOKUP(D203,Référentiels!$M$2:$N$267,2,FALSE),"Ingrédient non trouvé")</f>
        <v>LEG020</v>
      </c>
      <c r="D203" s="85" t="s">
        <v>402</v>
      </c>
      <c r="E203" s="85">
        <v>160</v>
      </c>
      <c r="F203" s="86" t="str">
        <f>INDEX(tbl_IngrédientsRef[Unité], MATCH(C203, tbl_IngrédientsRef[Cde_Ingrdt],0))</f>
        <v>g</v>
      </c>
    </row>
    <row r="204" spans="1:6" x14ac:dyDescent="0.3">
      <c r="A204" s="82" t="s">
        <v>77</v>
      </c>
      <c r="B204" s="83" t="str">
        <f>IFERROR(INDEX(tbl_ProduitsRef[Cde_Prdt],MATCH(A204,tbl_ProduitsRef[Produit],0)),"⚠️ Produit non trouvé")</f>
        <v>TAJ004</v>
      </c>
      <c r="C204" s="17" t="str">
        <f>IFERROR(VLOOKUP(D204,Référentiels!$M$2:$N$267,2,FALSE),"Ingrédient non trouvé")</f>
        <v>LEG006</v>
      </c>
      <c r="D204" s="85" t="s">
        <v>398</v>
      </c>
      <c r="E204" s="85">
        <v>300</v>
      </c>
      <c r="F204" s="86" t="str">
        <f>INDEX(tbl_IngrédientsRef[Unité], MATCH(C204, tbl_IngrédientsRef[Cde_Ingrdt],0))</f>
        <v>g</v>
      </c>
    </row>
    <row r="205" spans="1:6" x14ac:dyDescent="0.3">
      <c r="A205" s="82" t="s">
        <v>77</v>
      </c>
      <c r="B205" s="83" t="str">
        <f>IFERROR(INDEX(tbl_ProduitsRef[Cde_Prdt],MATCH(A205,tbl_ProduitsRef[Produit],0)),"⚠️ Produit non trouvé")</f>
        <v>TAJ004</v>
      </c>
      <c r="C205" s="17" t="str">
        <f>IFERROR(VLOOKUP(D205,Référentiels!$M$2:$N$267,2,FALSE),"Ingrédient non trouvé")</f>
        <v>LEG007</v>
      </c>
      <c r="D205" s="85" t="s">
        <v>310</v>
      </c>
      <c r="E205" s="85">
        <v>120</v>
      </c>
      <c r="F205" s="86" t="str">
        <f>INDEX(tbl_IngrédientsRef[Unité], MATCH(C205, tbl_IngrédientsRef[Cde_Ingrdt],0))</f>
        <v>g</v>
      </c>
    </row>
    <row r="206" spans="1:6" x14ac:dyDescent="0.3">
      <c r="A206" s="82" t="s">
        <v>77</v>
      </c>
      <c r="B206" s="83" t="str">
        <f>IFERROR(INDEX(tbl_ProduitsRef[Cde_Prdt],MATCH(A206,tbl_ProduitsRef[Produit],0)),"⚠️ Produit non trouvé")</f>
        <v>TAJ004</v>
      </c>
      <c r="C206" s="17" t="str">
        <f>IFERROR(VLOOKUP(D206,Référentiels!$M$2:$N$267,2,FALSE),"Ingrédient non trouvé")</f>
        <v>LEG002</v>
      </c>
      <c r="D206" s="85" t="s">
        <v>308</v>
      </c>
      <c r="E206" s="85">
        <v>100</v>
      </c>
      <c r="F206" s="86" t="str">
        <f>INDEX(tbl_IngrédientsRef[Unité], MATCH(C206, tbl_IngrédientsRef[Cde_Ingrdt],0))</f>
        <v>g</v>
      </c>
    </row>
    <row r="207" spans="1:6" x14ac:dyDescent="0.3">
      <c r="A207" s="82" t="s">
        <v>77</v>
      </c>
      <c r="B207" s="83" t="str">
        <f>IFERROR(INDEX(tbl_ProduitsRef[Cde_Prdt],MATCH(A207,tbl_ProduitsRef[Produit],0)),"⚠️ Produit non trouvé")</f>
        <v>TAJ004</v>
      </c>
      <c r="C207" s="17" t="str">
        <f>IFERROR(VLOOKUP(D207,Référentiels!$M$2:$N$267,2,FALSE),"Ingrédient non trouvé")</f>
        <v>CDM020</v>
      </c>
      <c r="D207" s="85" t="s">
        <v>298</v>
      </c>
      <c r="E207" s="85">
        <v>30</v>
      </c>
      <c r="F207" s="86" t="str">
        <f>INDEX(tbl_IngrédientsRef[Unité], MATCH(C207, tbl_IngrédientsRef[Cde_Ingrdt],0))</f>
        <v>ml</v>
      </c>
    </row>
    <row r="208" spans="1:6" x14ac:dyDescent="0.3">
      <c r="A208" s="82" t="s">
        <v>77</v>
      </c>
      <c r="B208" s="83" t="str">
        <f>IFERROR(INDEX(tbl_ProduitsRef[Cde_Prdt],MATCH(A208,tbl_ProduitsRef[Produit],0)),"⚠️ Produit non trouvé")</f>
        <v>TAJ004</v>
      </c>
      <c r="C208" s="17" t="str">
        <f>IFERROR(VLOOKUP(D208,Référentiels!$M$2:$N$267,2,FALSE),"Ingrédient non trouvé")</f>
        <v>EPI001</v>
      </c>
      <c r="D208" s="85" t="s">
        <v>1274</v>
      </c>
      <c r="E208" s="85">
        <v>10</v>
      </c>
      <c r="F208" s="86" t="str">
        <f>INDEX(tbl_IngrédientsRef[Unité], MATCH(C208, tbl_IngrédientsRef[Cde_Ingrdt],0))</f>
        <v>g</v>
      </c>
    </row>
    <row r="209" spans="1:6" x14ac:dyDescent="0.3">
      <c r="A209" s="82" t="s">
        <v>603</v>
      </c>
      <c r="B209" s="83" t="str">
        <f>IFERROR(INDEX(tbl_ProduitsRef[Cde_Prdt],MATCH(A209,tbl_ProduitsRef[Produit],0)),"⚠️ Produit non trouvé")</f>
        <v>TAJ005</v>
      </c>
      <c r="C209" s="17" t="str">
        <f>IFERROR(VLOOKUP(D209,Référentiels!$M$2:$N$267,2,FALSE),"Ingrédient non trouvé")</f>
        <v>VOL008</v>
      </c>
      <c r="D209" s="85" t="s">
        <v>606</v>
      </c>
      <c r="E209" s="85">
        <v>500</v>
      </c>
      <c r="F209" s="86" t="str">
        <f>INDEX(tbl_IngrédientsRef[Unité], MATCH(C209, tbl_IngrédientsRef[Cde_Ingrdt],0))</f>
        <v>g</v>
      </c>
    </row>
    <row r="210" spans="1:6" x14ac:dyDescent="0.3">
      <c r="A210" s="82" t="s">
        <v>603</v>
      </c>
      <c r="B210" s="83" t="str">
        <f>IFERROR(INDEX(tbl_ProduitsRef[Cde_Prdt],MATCH(A210,tbl_ProduitsRef[Produit],0)),"⚠️ Produit non trouvé")</f>
        <v>TAJ005</v>
      </c>
      <c r="C210" s="17" t="str">
        <f>IFERROR(VLOOKUP(D210,Référentiels!$M$2:$N$267,2,FALSE),"Ingrédient non trouvé")</f>
        <v>LEG007</v>
      </c>
      <c r="D210" s="85" t="s">
        <v>310</v>
      </c>
      <c r="E210" s="85">
        <v>150</v>
      </c>
      <c r="F210" s="86" t="str">
        <f>INDEX(tbl_IngrédientsRef[Unité], MATCH(C210, tbl_IngrédientsRef[Cde_Ingrdt],0))</f>
        <v>g</v>
      </c>
    </row>
    <row r="211" spans="1:6" x14ac:dyDescent="0.3">
      <c r="A211" s="82" t="s">
        <v>603</v>
      </c>
      <c r="B211" s="83" t="str">
        <f>IFERROR(INDEX(tbl_ProduitsRef[Cde_Prdt],MATCH(A211,tbl_ProduitsRef[Produit],0)),"⚠️ Produit non trouvé")</f>
        <v>TAJ005</v>
      </c>
      <c r="C211" s="17" t="str">
        <f>IFERROR(VLOOKUP(D211,Référentiels!$M$2:$N$267,2,FALSE),"Ingrédient non trouvé")</f>
        <v>CDM009</v>
      </c>
      <c r="D211" s="85" t="s">
        <v>608</v>
      </c>
      <c r="E211" s="85">
        <v>30</v>
      </c>
      <c r="F211" s="86" t="str">
        <f>INDEX(tbl_IngrédientsRef[Unité], MATCH(C211, tbl_IngrédientsRef[Cde_Ingrdt],0))</f>
        <v>g</v>
      </c>
    </row>
    <row r="212" spans="1:6" x14ac:dyDescent="0.3">
      <c r="A212" s="82" t="s">
        <v>603</v>
      </c>
      <c r="B212" s="83" t="str">
        <f>IFERROR(INDEX(tbl_ProduitsRef[Cde_Prdt],MATCH(A212,tbl_ProduitsRef[Produit],0)),"⚠️ Produit non trouvé")</f>
        <v>TAJ005</v>
      </c>
      <c r="C212" s="17" t="str">
        <f>IFERROR(VLOOKUP(D212,Référentiels!$M$2:$N$267,2,FALSE),"Ingrédient non trouvé")</f>
        <v>CDM020</v>
      </c>
      <c r="D212" s="85" t="s">
        <v>298</v>
      </c>
      <c r="E212" s="85">
        <v>20</v>
      </c>
      <c r="F212" s="86" t="str">
        <f>INDEX(tbl_IngrédientsRef[Unité], MATCH(C212, tbl_IngrédientsRef[Cde_Ingrdt],0))</f>
        <v>ml</v>
      </c>
    </row>
    <row r="213" spans="1:6" x14ac:dyDescent="0.3">
      <c r="A213" s="82" t="s">
        <v>603</v>
      </c>
      <c r="B213" s="83" t="str">
        <f>IFERROR(INDEX(tbl_ProduitsRef[Cde_Prdt],MATCH(A213,tbl_ProduitsRef[Produit],0)),"⚠️ Produit non trouvé")</f>
        <v>TAJ005</v>
      </c>
      <c r="C213" s="17" t="str">
        <f>IFERROR(VLOOKUP(D213,Référentiels!$M$2:$N$267,2,FALSE),"Ingrédient non trouvé")</f>
        <v>EPI003</v>
      </c>
      <c r="D213" s="85" t="s">
        <v>610</v>
      </c>
      <c r="E213" s="85">
        <v>5</v>
      </c>
      <c r="F213" s="86" t="str">
        <f>INDEX(tbl_IngrédientsRef[Unité], MATCH(C213, tbl_IngrédientsRef[Cde_Ingrdt],0))</f>
        <v>g</v>
      </c>
    </row>
    <row r="214" spans="1:6" x14ac:dyDescent="0.3">
      <c r="A214" s="82" t="s">
        <v>611</v>
      </c>
      <c r="B214" s="83" t="str">
        <f>IFERROR(INDEX(tbl_ProduitsRef[Cde_Prdt],MATCH(A214,tbl_ProduitsRef[Produit],0)),"⚠️ Produit non trouvé")</f>
        <v>TAJ006</v>
      </c>
      <c r="C214" s="17" t="str">
        <f>IFERROR(VLOOKUP(D214,Référentiels!$M$2:$N$267,2,FALSE),"Ingrédient non trouvé")</f>
        <v>VOL008</v>
      </c>
      <c r="D214" s="85" t="s">
        <v>606</v>
      </c>
      <c r="E214" s="85">
        <v>1000</v>
      </c>
      <c r="F214" s="86" t="str">
        <f>INDEX(tbl_IngrédientsRef[Unité], MATCH(C214, tbl_IngrédientsRef[Cde_Ingrdt],0))</f>
        <v>g</v>
      </c>
    </row>
    <row r="215" spans="1:6" x14ac:dyDescent="0.3">
      <c r="A215" s="82" t="s">
        <v>611</v>
      </c>
      <c r="B215" s="83" t="str">
        <f>IFERROR(INDEX(tbl_ProduitsRef[Cde_Prdt],MATCH(A215,tbl_ProduitsRef[Produit],0)),"⚠️ Produit non trouvé")</f>
        <v>TAJ006</v>
      </c>
      <c r="C215" s="17" t="str">
        <f>IFERROR(VLOOKUP(D215,Référentiels!$M$2:$N$267,2,FALSE),"Ingrédient non trouvé")</f>
        <v>LEG007</v>
      </c>
      <c r="D215" s="85" t="s">
        <v>310</v>
      </c>
      <c r="E215" s="85">
        <v>300</v>
      </c>
      <c r="F215" s="86" t="str">
        <f>INDEX(tbl_IngrédientsRef[Unité], MATCH(C215, tbl_IngrédientsRef[Cde_Ingrdt],0))</f>
        <v>g</v>
      </c>
    </row>
    <row r="216" spans="1:6" x14ac:dyDescent="0.3">
      <c r="A216" s="82" t="s">
        <v>611</v>
      </c>
      <c r="B216" s="83" t="str">
        <f>IFERROR(INDEX(tbl_ProduitsRef[Cde_Prdt],MATCH(A216,tbl_ProduitsRef[Produit],0)),"⚠️ Produit non trouvé")</f>
        <v>TAJ006</v>
      </c>
      <c r="C216" s="17" t="str">
        <f>IFERROR(VLOOKUP(D216,Référentiels!$M$2:$N$267,2,FALSE),"Ingrédient non trouvé")</f>
        <v>CDM009</v>
      </c>
      <c r="D216" s="85" t="s">
        <v>608</v>
      </c>
      <c r="E216" s="85">
        <v>60</v>
      </c>
      <c r="F216" s="86" t="str">
        <f>INDEX(tbl_IngrédientsRef[Unité], MATCH(C216, tbl_IngrédientsRef[Cde_Ingrdt],0))</f>
        <v>g</v>
      </c>
    </row>
    <row r="217" spans="1:6" x14ac:dyDescent="0.3">
      <c r="A217" s="82" t="s">
        <v>611</v>
      </c>
      <c r="B217" s="83" t="str">
        <f>IFERROR(INDEX(tbl_ProduitsRef[Cde_Prdt],MATCH(A217,tbl_ProduitsRef[Produit],0)),"⚠️ Produit non trouvé")</f>
        <v>TAJ006</v>
      </c>
      <c r="C217" s="17" t="str">
        <f>IFERROR(VLOOKUP(D217,Référentiels!$M$2:$N$267,2,FALSE),"Ingrédient non trouvé")</f>
        <v>CDM020</v>
      </c>
      <c r="D217" s="85" t="s">
        <v>298</v>
      </c>
      <c r="E217" s="85">
        <v>40</v>
      </c>
      <c r="F217" s="86" t="str">
        <f>INDEX(tbl_IngrédientsRef[Unité], MATCH(C217, tbl_IngrédientsRef[Cde_Ingrdt],0))</f>
        <v>ml</v>
      </c>
    </row>
    <row r="218" spans="1:6" x14ac:dyDescent="0.3">
      <c r="A218" s="82" t="s">
        <v>611</v>
      </c>
      <c r="B218" s="83" t="str">
        <f>IFERROR(INDEX(tbl_ProduitsRef[Cde_Prdt],MATCH(A218,tbl_ProduitsRef[Produit],0)),"⚠️ Produit non trouvé")</f>
        <v>TAJ006</v>
      </c>
      <c r="C218" s="17" t="str">
        <f>IFERROR(VLOOKUP(D218,Référentiels!$M$2:$N$267,2,FALSE),"Ingrédient non trouvé")</f>
        <v>EPI003</v>
      </c>
      <c r="D218" s="85" t="s">
        <v>610</v>
      </c>
      <c r="E218" s="85">
        <v>10</v>
      </c>
      <c r="F218" s="86" t="str">
        <f>INDEX(tbl_IngrédientsRef[Unité], MATCH(C218, tbl_IngrédientsRef[Cde_Ingrdt],0))</f>
        <v>g</v>
      </c>
    </row>
    <row r="219" spans="1:6" x14ac:dyDescent="0.3">
      <c r="A219" s="82" t="s">
        <v>613</v>
      </c>
      <c r="B219" s="83" t="str">
        <f>IFERROR(INDEX(tbl_ProduitsRef[Cde_Prdt],MATCH(A219,tbl_ProduitsRef[Produit],0)),"⚠️ Produit non trouvé")</f>
        <v>TAJ009</v>
      </c>
      <c r="C219" s="17" t="str">
        <f>IFERROR(VLOOKUP(D219,Référentiels!$M$2:$N$267,2,FALSE),"Ingrédient non trouvé")</f>
        <v>BOE005</v>
      </c>
      <c r="D219" s="85" t="s">
        <v>616</v>
      </c>
      <c r="E219" s="85">
        <v>500</v>
      </c>
      <c r="F219" s="86" t="str">
        <f>INDEX(tbl_IngrédientsRef[Unité], MATCH(C219, tbl_IngrédientsRef[Cde_Ingrdt],0))</f>
        <v>g</v>
      </c>
    </row>
    <row r="220" spans="1:6" x14ac:dyDescent="0.3">
      <c r="A220" s="82" t="s">
        <v>613</v>
      </c>
      <c r="B220" s="83" t="str">
        <f>IFERROR(INDEX(tbl_ProduitsRef[Cde_Prdt],MATCH(A220,tbl_ProduitsRef[Produit],0)),"⚠️ Produit non trouvé")</f>
        <v>TAJ009</v>
      </c>
      <c r="C220" s="17" t="str">
        <f>IFERROR(VLOOKUP(D220,Référentiels!$M$2:$N$267,2,FALSE),"Ingrédient non trouvé")</f>
        <v>LEG007</v>
      </c>
      <c r="D220" s="85" t="s">
        <v>310</v>
      </c>
      <c r="E220" s="85">
        <v>100</v>
      </c>
      <c r="F220" s="86" t="str">
        <f>INDEX(tbl_IngrédientsRef[Unité], MATCH(C220, tbl_IngrédientsRef[Cde_Ingrdt],0))</f>
        <v>g</v>
      </c>
    </row>
    <row r="221" spans="1:6" x14ac:dyDescent="0.3">
      <c r="A221" s="82" t="s">
        <v>613</v>
      </c>
      <c r="B221" s="83" t="str">
        <f>IFERROR(INDEX(tbl_ProduitsRef[Cde_Prdt],MATCH(A221,tbl_ProduitsRef[Produit],0)),"⚠️ Produit non trouvé")</f>
        <v>TAJ009</v>
      </c>
      <c r="C221" s="17" t="str">
        <f>IFERROR(VLOOKUP(D221,Référentiels!$M$2:$N$267,2,FALSE),"Ingrédient non trouvé")</f>
        <v>LEG001</v>
      </c>
      <c r="D221" s="85" t="s">
        <v>556</v>
      </c>
      <c r="E221" s="85">
        <v>100</v>
      </c>
      <c r="F221" s="86" t="str">
        <f>INDEX(tbl_IngrédientsRef[Unité], MATCH(C221, tbl_IngrédientsRef[Cde_Ingrdt],0))</f>
        <v>g</v>
      </c>
    </row>
    <row r="222" spans="1:6" x14ac:dyDescent="0.3">
      <c r="A222" s="82" t="s">
        <v>75</v>
      </c>
      <c r="B222" s="83" t="str">
        <f>IFERROR(INDEX(tbl_ProduitsRef[Cde_Prdt],MATCH(A222,tbl_ProduitsRef[Produit],0)),"⚠️ Produit non trouvé")</f>
        <v>TAJ010</v>
      </c>
      <c r="C222" s="17" t="str">
        <f>IFERROR(VLOOKUP(D222,Référentiels!$M$2:$N$267,2,FALSE),"Ingrédient non trouvé")</f>
        <v>BOE005</v>
      </c>
      <c r="D222" s="85" t="s">
        <v>616</v>
      </c>
      <c r="E222" s="85">
        <v>1000</v>
      </c>
      <c r="F222" s="86" t="str">
        <f>INDEX(tbl_IngrédientsRef[Unité], MATCH(C222, tbl_IngrédientsRef[Cde_Ingrdt],0))</f>
        <v>g</v>
      </c>
    </row>
    <row r="223" spans="1:6" x14ac:dyDescent="0.3">
      <c r="A223" s="82" t="s">
        <v>75</v>
      </c>
      <c r="B223" s="83" t="str">
        <f>IFERROR(INDEX(tbl_ProduitsRef[Cde_Prdt],MATCH(A223,tbl_ProduitsRef[Produit],0)),"⚠️ Produit non trouvé")</f>
        <v>TAJ010</v>
      </c>
      <c r="C223" s="17" t="str">
        <f>IFERROR(VLOOKUP(D223,Référentiels!$M$2:$N$267,2,FALSE),"Ingrédient non trouvé")</f>
        <v>LEG007</v>
      </c>
      <c r="D223" s="85" t="s">
        <v>310</v>
      </c>
      <c r="E223" s="85">
        <v>200</v>
      </c>
      <c r="F223" s="86" t="str">
        <f>INDEX(tbl_IngrédientsRef[Unité], MATCH(C223, tbl_IngrédientsRef[Cde_Ingrdt],0))</f>
        <v>g</v>
      </c>
    </row>
    <row r="224" spans="1:6" x14ac:dyDescent="0.3">
      <c r="A224" s="82" t="s">
        <v>75</v>
      </c>
      <c r="B224" s="83" t="str">
        <f>IFERROR(INDEX(tbl_ProduitsRef[Cde_Prdt],MATCH(A224,tbl_ProduitsRef[Produit],0)),"⚠️ Produit non trouvé")</f>
        <v>TAJ010</v>
      </c>
      <c r="C224" s="17" t="str">
        <f>IFERROR(VLOOKUP(D224,Référentiels!$M$2:$N$267,2,FALSE),"Ingrédient non trouvé")</f>
        <v>LEG001</v>
      </c>
      <c r="D224" s="85" t="s">
        <v>556</v>
      </c>
      <c r="E224" s="85">
        <v>300</v>
      </c>
      <c r="F224" s="86" t="str">
        <f>INDEX(tbl_IngrédientsRef[Unité], MATCH(C224, tbl_IngrédientsRef[Cde_Ingrdt],0))</f>
        <v>g</v>
      </c>
    </row>
    <row r="225" spans="1:6" x14ac:dyDescent="0.3">
      <c r="A225" s="82" t="s">
        <v>618</v>
      </c>
      <c r="B225" s="83" t="str">
        <f>IFERROR(INDEX(tbl_ProduitsRef[Cde_Prdt],MATCH(A225,tbl_ProduitsRef[Produit],0)),"⚠️ Produit non trouvé")</f>
        <v>TAJ011</v>
      </c>
      <c r="C225" s="17" t="str">
        <f>IFERROR(VLOOKUP(D225,Référentiels!$M$2:$N$267,2,FALSE),"Ingrédient non trouvé")</f>
        <v>BOE005</v>
      </c>
      <c r="D225" s="85" t="s">
        <v>616</v>
      </c>
      <c r="E225" s="85">
        <v>500</v>
      </c>
      <c r="F225" s="86" t="str">
        <f>INDEX(tbl_IngrédientsRef[Unité], MATCH(C225, tbl_IngrédientsRef[Cde_Ingrdt],0))</f>
        <v>g</v>
      </c>
    </row>
    <row r="226" spans="1:6" x14ac:dyDescent="0.3">
      <c r="A226" s="82" t="s">
        <v>618</v>
      </c>
      <c r="B226" s="83" t="str">
        <f>IFERROR(INDEX(tbl_ProduitsRef[Cde_Prdt],MATCH(A226,tbl_ProduitsRef[Produit],0)),"⚠️ Produit non trouvé")</f>
        <v>TAJ011</v>
      </c>
      <c r="C226" s="17" t="str">
        <f>IFERROR(VLOOKUP(D226,Référentiels!$M$2:$N$267,2,FALSE),"Ingrédient non trouvé")</f>
        <v>EPI001</v>
      </c>
      <c r="D226" s="85" t="s">
        <v>1274</v>
      </c>
      <c r="E226" s="85">
        <v>20</v>
      </c>
      <c r="F226" s="86" t="str">
        <f>INDEX(tbl_IngrédientsRef[Unité], MATCH(C226, tbl_IngrédientsRef[Cde_Ingrdt],0))</f>
        <v>g</v>
      </c>
    </row>
    <row r="227" spans="1:6" x14ac:dyDescent="0.3">
      <c r="A227" s="82" t="s">
        <v>618</v>
      </c>
      <c r="B227" s="83" t="str">
        <f>IFERROR(INDEX(tbl_ProduitsRef[Cde_Prdt],MATCH(A227,tbl_ProduitsRef[Produit],0)),"⚠️ Produit non trouvé")</f>
        <v>TAJ011</v>
      </c>
      <c r="C227" s="17" t="str">
        <f>IFERROR(VLOOKUP(D227,Référentiels!$M$2:$N$267,2,FALSE),"Ingrédient non trouvé")</f>
        <v>CDM020</v>
      </c>
      <c r="D227" s="85" t="s">
        <v>298</v>
      </c>
      <c r="E227" s="85">
        <v>50</v>
      </c>
      <c r="F227" s="86" t="str">
        <f>INDEX(tbl_IngrédientsRef[Unité], MATCH(C227, tbl_IngrédientsRef[Cde_Ingrdt],0))</f>
        <v>ml</v>
      </c>
    </row>
    <row r="228" spans="1:6" x14ac:dyDescent="0.3">
      <c r="A228" s="82" t="s">
        <v>620</v>
      </c>
      <c r="B228" s="83" t="str">
        <f>IFERROR(INDEX(tbl_ProduitsRef[Cde_Prdt],MATCH(A228,tbl_ProduitsRef[Produit],0)),"⚠️ Produit non trouvé")</f>
        <v>TAJ012</v>
      </c>
      <c r="C228" s="17" t="str">
        <f>IFERROR(VLOOKUP(D228,Référentiels!$M$2:$N$267,2,FALSE),"Ingrédient non trouvé")</f>
        <v>BOE005</v>
      </c>
      <c r="D228" s="85" t="s">
        <v>616</v>
      </c>
      <c r="E228" s="85">
        <v>1000</v>
      </c>
      <c r="F228" s="86" t="str">
        <f>INDEX(tbl_IngrédientsRef[Unité], MATCH(C228, tbl_IngrédientsRef[Cde_Ingrdt],0))</f>
        <v>g</v>
      </c>
    </row>
    <row r="229" spans="1:6" x14ac:dyDescent="0.3">
      <c r="A229" s="82" t="s">
        <v>620</v>
      </c>
      <c r="B229" s="83" t="str">
        <f>IFERROR(INDEX(tbl_ProduitsRef[Cde_Prdt],MATCH(A229,tbl_ProduitsRef[Produit],0)),"⚠️ Produit non trouvé")</f>
        <v>TAJ012</v>
      </c>
      <c r="C229" s="17" t="str">
        <f>IFERROR(VLOOKUP(D229,Référentiels!$M$2:$N$267,2,FALSE),"Ingrédient non trouvé")</f>
        <v>EPI001</v>
      </c>
      <c r="D229" s="85" t="s">
        <v>1274</v>
      </c>
      <c r="E229" s="85">
        <v>40</v>
      </c>
      <c r="F229" s="86" t="str">
        <f>INDEX(tbl_IngrédientsRef[Unité], MATCH(C229, tbl_IngrédientsRef[Cde_Ingrdt],0))</f>
        <v>g</v>
      </c>
    </row>
    <row r="230" spans="1:6" x14ac:dyDescent="0.3">
      <c r="A230" s="82" t="s">
        <v>620</v>
      </c>
      <c r="B230" s="83" t="str">
        <f>IFERROR(INDEX(tbl_ProduitsRef[Cde_Prdt],MATCH(A230,tbl_ProduitsRef[Produit],0)),"⚠️ Produit non trouvé")</f>
        <v>TAJ012</v>
      </c>
      <c r="C230" s="17" t="str">
        <f>IFERROR(VLOOKUP(D230,Référentiels!$M$2:$N$267,2,FALSE),"Ingrédient non trouvé")</f>
        <v>CDM020</v>
      </c>
      <c r="D230" s="85" t="s">
        <v>298</v>
      </c>
      <c r="E230" s="85">
        <v>100</v>
      </c>
      <c r="F230" s="86" t="str">
        <f>INDEX(tbl_IngrédientsRef[Unité], MATCH(C230, tbl_IngrédientsRef[Cde_Ingrdt],0))</f>
        <v>ml</v>
      </c>
    </row>
    <row r="231" spans="1:6" x14ac:dyDescent="0.3">
      <c r="A231" s="82" t="s">
        <v>74</v>
      </c>
      <c r="B231" s="83" t="str">
        <f>IFERROR(INDEX(tbl_ProduitsRef[Cde_Prdt],MATCH(A231,tbl_ProduitsRef[Produit],0)),"⚠️ Produit non trouvé")</f>
        <v>TAJ007</v>
      </c>
      <c r="C231" s="17" t="str">
        <f>IFERROR(VLOOKUP(D231,Référentiels!$M$2:$N$267,2,FALSE),"Ingrédient non trouvé")</f>
        <v>VOL008</v>
      </c>
      <c r="D231" s="85" t="s">
        <v>606</v>
      </c>
      <c r="E231" s="85">
        <v>500</v>
      </c>
      <c r="F231" s="86" t="str">
        <f>INDEX(tbl_IngrédientsRef[Unité], MATCH(C231, tbl_IngrédientsRef[Cde_Ingrdt],0))</f>
        <v>g</v>
      </c>
    </row>
    <row r="232" spans="1:6" x14ac:dyDescent="0.3">
      <c r="A232" s="82" t="s">
        <v>74</v>
      </c>
      <c r="B232" s="83" t="str">
        <f>IFERROR(INDEX(tbl_ProduitsRef[Cde_Prdt],MATCH(A232,tbl_ProduitsRef[Produit],0)),"⚠️ Produit non trouvé")</f>
        <v>TAJ007</v>
      </c>
      <c r="C232" s="17" t="str">
        <f>IFERROR(VLOOKUP(D232,Référentiels!$M$2:$N$267,2,FALSE),"Ingrédient non trouvé")</f>
        <v>CDM006</v>
      </c>
      <c r="D232" s="85" t="s">
        <v>624</v>
      </c>
      <c r="E232" s="85">
        <v>0.5</v>
      </c>
      <c r="F232" s="86" t="str">
        <f>INDEX(tbl_IngrédientsRef[Unité], MATCH(C232, tbl_IngrédientsRef[Cde_Ingrdt],0))</f>
        <v>Pièce</v>
      </c>
    </row>
    <row r="233" spans="1:6" x14ac:dyDescent="0.3">
      <c r="A233" s="82" t="s">
        <v>74</v>
      </c>
      <c r="B233" s="83" t="str">
        <f>IFERROR(INDEX(tbl_ProduitsRef[Cde_Prdt],MATCH(A233,tbl_ProduitsRef[Produit],0)),"⚠️ Produit non trouvé")</f>
        <v>TAJ007</v>
      </c>
      <c r="C233" s="17" t="str">
        <f>IFERROR(VLOOKUP(D233,Référentiels!$M$2:$N$267,2,FALSE),"Ingrédient non trouvé")</f>
        <v>CDM011</v>
      </c>
      <c r="D233" s="85" t="s">
        <v>626</v>
      </c>
      <c r="E233" s="85">
        <v>30</v>
      </c>
      <c r="F233" s="86" t="str">
        <f>INDEX(tbl_IngrédientsRef[Unité], MATCH(C233, tbl_IngrédientsRef[Cde_Ingrdt],0))</f>
        <v>g</v>
      </c>
    </row>
    <row r="234" spans="1:6" x14ac:dyDescent="0.3">
      <c r="A234" s="82" t="s">
        <v>74</v>
      </c>
      <c r="B234" s="83" t="str">
        <f>IFERROR(INDEX(tbl_ProduitsRef[Cde_Prdt],MATCH(A234,tbl_ProduitsRef[Produit],0)),"⚠️ Produit non trouvé")</f>
        <v>TAJ007</v>
      </c>
      <c r="C234" s="17" t="str">
        <f>IFERROR(VLOOKUP(D234,Référentiels!$M$2:$N$267,2,FALSE),"Ingrédient non trouvé")</f>
        <v>LEG007</v>
      </c>
      <c r="D234" s="85" t="s">
        <v>310</v>
      </c>
      <c r="E234" s="85">
        <v>60</v>
      </c>
      <c r="F234" s="86" t="str">
        <f>INDEX(tbl_IngrédientsRef[Unité], MATCH(C234, tbl_IngrédientsRef[Cde_Ingrdt],0))</f>
        <v>g</v>
      </c>
    </row>
    <row r="235" spans="1:6" x14ac:dyDescent="0.3">
      <c r="A235" s="82" t="s">
        <v>74</v>
      </c>
      <c r="B235" s="83" t="str">
        <f>IFERROR(INDEX(tbl_ProduitsRef[Cde_Prdt],MATCH(A235,tbl_ProduitsRef[Produit],0)),"⚠️ Produit non trouvé")</f>
        <v>TAJ007</v>
      </c>
      <c r="C235" s="17" t="str">
        <f>IFERROR(VLOOKUP(D235,Référentiels!$M$2:$N$267,2,FALSE),"Ingrédient non trouvé")</f>
        <v>CDM020</v>
      </c>
      <c r="D235" s="85" t="s">
        <v>298</v>
      </c>
      <c r="E235" s="85">
        <v>15</v>
      </c>
      <c r="F235" s="86" t="str">
        <f>INDEX(tbl_IngrédientsRef[Unité], MATCH(C235, tbl_IngrédientsRef[Cde_Ingrdt],0))</f>
        <v>ml</v>
      </c>
    </row>
    <row r="236" spans="1:6" x14ac:dyDescent="0.3">
      <c r="A236" s="82" t="s">
        <v>74</v>
      </c>
      <c r="B236" s="83" t="str">
        <f>IFERROR(INDEX(tbl_ProduitsRef[Cde_Prdt],MATCH(A236,tbl_ProduitsRef[Produit],0)),"⚠️ Produit non trouvé")</f>
        <v>TAJ007</v>
      </c>
      <c r="C236" s="17" t="str">
        <f>IFERROR(VLOOKUP(D236,Référentiels!$M$2:$N$267,2,FALSE),"Ingrédient non trouvé")</f>
        <v>EPI001</v>
      </c>
      <c r="D236" s="85" t="s">
        <v>1274</v>
      </c>
      <c r="E236" s="85">
        <v>5</v>
      </c>
      <c r="F236" s="86" t="str">
        <f>INDEX(tbl_IngrédientsRef[Unité], MATCH(C236, tbl_IngrédientsRef[Cde_Ingrdt],0))</f>
        <v>g</v>
      </c>
    </row>
    <row r="237" spans="1:6" x14ac:dyDescent="0.3">
      <c r="A237" s="82" t="s">
        <v>54</v>
      </c>
      <c r="B237" s="83" t="str">
        <f>IFERROR(INDEX(tbl_ProduitsRef[Cde_Prdt],MATCH(A237,tbl_ProduitsRef[Produit],0)),"⚠️ Produit non trouvé")</f>
        <v>TAJ008</v>
      </c>
      <c r="C237" s="17" t="str">
        <f>IFERROR(VLOOKUP(D237,Référentiels!$M$2:$N$267,2,FALSE),"Ingrédient non trouvé")</f>
        <v>VOL008</v>
      </c>
      <c r="D237" s="85" t="s">
        <v>606</v>
      </c>
      <c r="E237" s="85">
        <v>1000</v>
      </c>
      <c r="F237" s="86" t="str">
        <f>INDEX(tbl_IngrédientsRef[Unité], MATCH(C237, tbl_IngrédientsRef[Cde_Ingrdt],0))</f>
        <v>g</v>
      </c>
    </row>
    <row r="238" spans="1:6" x14ac:dyDescent="0.3">
      <c r="A238" s="82" t="s">
        <v>54</v>
      </c>
      <c r="B238" s="83" t="str">
        <f>IFERROR(INDEX(tbl_ProduitsRef[Cde_Prdt],MATCH(A238,tbl_ProduitsRef[Produit],0)),"⚠️ Produit non trouvé")</f>
        <v>TAJ008</v>
      </c>
      <c r="C238" s="17" t="str">
        <f>IFERROR(VLOOKUP(D238,Référentiels!$M$2:$N$267,2,FALSE),"Ingrédient non trouvé")</f>
        <v>CDM006</v>
      </c>
      <c r="D238" s="85" t="s">
        <v>624</v>
      </c>
      <c r="E238" s="85">
        <v>1</v>
      </c>
      <c r="F238" s="86" t="str">
        <f>INDEX(tbl_IngrédientsRef[Unité], MATCH(C238, tbl_IngrédientsRef[Cde_Ingrdt],0))</f>
        <v>Pièce</v>
      </c>
    </row>
    <row r="239" spans="1:6" x14ac:dyDescent="0.3">
      <c r="A239" s="82" t="s">
        <v>54</v>
      </c>
      <c r="B239" s="83" t="str">
        <f>IFERROR(INDEX(tbl_ProduitsRef[Cde_Prdt],MATCH(A239,tbl_ProduitsRef[Produit],0)),"⚠️ Produit non trouvé")</f>
        <v>TAJ008</v>
      </c>
      <c r="C239" s="17" t="str">
        <f>IFERROR(VLOOKUP(D239,Référentiels!$M$2:$N$267,2,FALSE),"Ingrédient non trouvé")</f>
        <v>CDM011</v>
      </c>
      <c r="D239" s="88" t="s">
        <v>626</v>
      </c>
      <c r="E239" s="88">
        <v>60</v>
      </c>
      <c r="F239" s="86" t="str">
        <f>INDEX(tbl_IngrédientsRef[Unité], MATCH(C239, tbl_IngrédientsRef[Cde_Ingrdt],0))</f>
        <v>g</v>
      </c>
    </row>
    <row r="240" spans="1:6" x14ac:dyDescent="0.3">
      <c r="A240" s="82" t="s">
        <v>54</v>
      </c>
      <c r="B240" s="83" t="str">
        <f>IFERROR(INDEX(tbl_ProduitsRef[Cde_Prdt],MATCH(A240,tbl_ProduitsRef[Produit],0)),"⚠️ Produit non trouvé")</f>
        <v>TAJ008</v>
      </c>
      <c r="C240" s="17" t="str">
        <f>IFERROR(VLOOKUP(D240,Référentiels!$M$2:$N$267,2,FALSE),"Ingrédient non trouvé")</f>
        <v>LEG007</v>
      </c>
      <c r="D240" s="88" t="s">
        <v>310</v>
      </c>
      <c r="E240" s="88">
        <v>120</v>
      </c>
      <c r="F240" s="86" t="str">
        <f>INDEX(tbl_IngrédientsRef[Unité], MATCH(C240, tbl_IngrédientsRef[Cde_Ingrdt],0))</f>
        <v>g</v>
      </c>
    </row>
    <row r="241" spans="1:6" x14ac:dyDescent="0.3">
      <c r="A241" s="82" t="s">
        <v>54</v>
      </c>
      <c r="B241" s="83" t="str">
        <f>IFERROR(INDEX(tbl_ProduitsRef[Cde_Prdt],MATCH(A241,tbl_ProduitsRef[Produit],0)),"⚠️ Produit non trouvé")</f>
        <v>TAJ008</v>
      </c>
      <c r="C241" s="17" t="str">
        <f>IFERROR(VLOOKUP(D241,Référentiels!$M$2:$N$267,2,FALSE),"Ingrédient non trouvé")</f>
        <v>CDM020</v>
      </c>
      <c r="D241" s="88" t="s">
        <v>298</v>
      </c>
      <c r="E241" s="88">
        <v>30</v>
      </c>
      <c r="F241" s="86" t="str">
        <f>INDEX(tbl_IngrédientsRef[Unité], MATCH(C241, tbl_IngrédientsRef[Cde_Ingrdt],0))</f>
        <v>ml</v>
      </c>
    </row>
    <row r="242" spans="1:6" x14ac:dyDescent="0.3">
      <c r="A242" s="82" t="s">
        <v>54</v>
      </c>
      <c r="B242" s="83" t="str">
        <f>IFERROR(INDEX(tbl_ProduitsRef[Cde_Prdt],MATCH(A242,tbl_ProduitsRef[Produit],0)),"⚠️ Produit non trouvé")</f>
        <v>TAJ008</v>
      </c>
      <c r="C242" s="17" t="str">
        <f>IFERROR(VLOOKUP(D242,Référentiels!$M$2:$N$267,2,FALSE),"Ingrédient non trouvé")</f>
        <v>EPI001</v>
      </c>
      <c r="D242" s="88" t="s">
        <v>1274</v>
      </c>
      <c r="E242" s="88">
        <v>10</v>
      </c>
      <c r="F242" s="86" t="str">
        <f>INDEX(tbl_IngrédientsRef[Unité], MATCH(C242, tbl_IngrédientsRef[Cde_Ingrdt],0))</f>
        <v>g</v>
      </c>
    </row>
    <row r="243" spans="1:6" x14ac:dyDescent="0.3">
      <c r="A243" s="89" t="s">
        <v>628</v>
      </c>
      <c r="B243" s="83" t="str">
        <f>IFERROR(INDEX(tbl_ProduitsRef[Cde_Prdt],MATCH(A243,tbl_ProduitsRef[Produit],0)),"⚠️ Produit non trouvé")</f>
        <v>TAJ013</v>
      </c>
      <c r="C243" s="17" t="str">
        <f>IFERROR(VLOOKUP(D243,Référentiels!$M$2:$N$267,2,FALSE),"Ingrédient non trouvé")</f>
        <v>VSP001</v>
      </c>
      <c r="D243" s="88" t="s">
        <v>631</v>
      </c>
      <c r="E243" s="88">
        <v>500</v>
      </c>
      <c r="F243" s="86" t="str">
        <f>INDEX(tbl_IngrédientsRef[Unité], MATCH(C243, tbl_IngrédientsRef[Cde_Ingrdt],0))</f>
        <v>g</v>
      </c>
    </row>
    <row r="244" spans="1:6" x14ac:dyDescent="0.3">
      <c r="A244" s="89" t="s">
        <v>628</v>
      </c>
      <c r="B244" s="83" t="str">
        <f>IFERROR(INDEX(tbl_ProduitsRef[Cde_Prdt],MATCH(A244,tbl_ProduitsRef[Produit],0)),"⚠️ Produit non trouvé")</f>
        <v>TAJ013</v>
      </c>
      <c r="C244" s="17" t="str">
        <f>IFERROR(VLOOKUP(D244,Référentiels!$M$2:$N$267,2,FALSE),"Ingrédient non trouvé")</f>
        <v>LEG007</v>
      </c>
      <c r="D244" s="88" t="s">
        <v>310</v>
      </c>
      <c r="E244" s="88">
        <v>60</v>
      </c>
      <c r="F244" s="86" t="str">
        <f>INDEX(tbl_IngrédientsRef[Unité], MATCH(C244, tbl_IngrédientsRef[Cde_Ingrdt],0))</f>
        <v>g</v>
      </c>
    </row>
    <row r="245" spans="1:6" x14ac:dyDescent="0.3">
      <c r="A245" s="89" t="s">
        <v>628</v>
      </c>
      <c r="B245" s="83" t="str">
        <f>IFERROR(INDEX(tbl_ProduitsRef[Cde_Prdt],MATCH(A245,tbl_ProduitsRef[Produit],0)),"⚠️ Produit non trouvé")</f>
        <v>TAJ013</v>
      </c>
      <c r="C245" s="17" t="str">
        <f>IFERROR(VLOOKUP(D245,Référentiels!$M$2:$N$267,2,FALSE),"Ingrédient non trouvé")</f>
        <v>LEG002</v>
      </c>
      <c r="D245" s="88" t="s">
        <v>308</v>
      </c>
      <c r="E245" s="88">
        <v>40</v>
      </c>
      <c r="F245" s="86" t="str">
        <f>INDEX(tbl_IngrédientsRef[Unité], MATCH(C245, tbl_IngrédientsRef[Cde_Ingrdt],0))</f>
        <v>g</v>
      </c>
    </row>
    <row r="246" spans="1:6" x14ac:dyDescent="0.3">
      <c r="A246" s="89" t="s">
        <v>628</v>
      </c>
      <c r="B246" s="83" t="str">
        <f>IFERROR(INDEX(tbl_ProduitsRef[Cde_Prdt],MATCH(A246,tbl_ProduitsRef[Produit],0)),"⚠️ Produit non trouvé")</f>
        <v>TAJ013</v>
      </c>
      <c r="C246" s="17" t="str">
        <f>IFERROR(VLOOKUP(D246,Référentiels!$M$2:$N$267,2,FALSE),"Ingrédient non trouvé")</f>
        <v>CDM020</v>
      </c>
      <c r="D246" s="88" t="s">
        <v>298</v>
      </c>
      <c r="E246" s="88">
        <v>15</v>
      </c>
      <c r="F246" s="86" t="str">
        <f>INDEX(tbl_IngrédientsRef[Unité], MATCH(C246, tbl_IngrédientsRef[Cde_Ingrdt],0))</f>
        <v>ml</v>
      </c>
    </row>
    <row r="247" spans="1:6" x14ac:dyDescent="0.3">
      <c r="A247" s="89" t="s">
        <v>628</v>
      </c>
      <c r="B247" s="83" t="str">
        <f>IFERROR(INDEX(tbl_ProduitsRef[Cde_Prdt],MATCH(A247,tbl_ProduitsRef[Produit],0)),"⚠️ Produit non trouvé")</f>
        <v>TAJ013</v>
      </c>
      <c r="C247" s="17" t="str">
        <f>IFERROR(VLOOKUP(D247,Référentiels!$M$2:$N$267,2,FALSE),"Ingrédient non trouvé")</f>
        <v>EPI001</v>
      </c>
      <c r="D247" s="88" t="s">
        <v>1274</v>
      </c>
      <c r="E247" s="88">
        <v>5</v>
      </c>
      <c r="F247" s="86" t="str">
        <f>INDEX(tbl_IngrédientsRef[Unité], MATCH(C247, tbl_IngrédientsRef[Cde_Ingrdt],0))</f>
        <v>g</v>
      </c>
    </row>
    <row r="248" spans="1:6" x14ac:dyDescent="0.3">
      <c r="A248" s="89" t="s">
        <v>78</v>
      </c>
      <c r="B248" s="83" t="str">
        <f>IFERROR(INDEX(tbl_ProduitsRef[Cde_Prdt],MATCH(A248,tbl_ProduitsRef[Produit],0)),"⚠️ Produit non trouvé")</f>
        <v>TAJ014</v>
      </c>
      <c r="C248" s="17" t="str">
        <f>IFERROR(VLOOKUP(D248,Référentiels!$M$2:$N$267,2,FALSE),"Ingrédient non trouvé")</f>
        <v>VSP001</v>
      </c>
      <c r="D248" s="88" t="s">
        <v>631</v>
      </c>
      <c r="E248" s="88">
        <v>1000</v>
      </c>
      <c r="F248" s="86" t="str">
        <f>INDEX(tbl_IngrédientsRef[Unité], MATCH(C248, tbl_IngrédientsRef[Cde_Ingrdt],0))</f>
        <v>g</v>
      </c>
    </row>
    <row r="249" spans="1:6" x14ac:dyDescent="0.3">
      <c r="A249" s="89" t="s">
        <v>78</v>
      </c>
      <c r="B249" s="83" t="str">
        <f>IFERROR(INDEX(tbl_ProduitsRef[Cde_Prdt],MATCH(A249,tbl_ProduitsRef[Produit],0)),"⚠️ Produit non trouvé")</f>
        <v>TAJ014</v>
      </c>
      <c r="C249" s="17" t="str">
        <f>IFERROR(VLOOKUP(D249,Référentiels!$M$2:$N$267,2,FALSE),"Ingrédient non trouvé")</f>
        <v>LEG007</v>
      </c>
      <c r="D249" s="88" t="s">
        <v>310</v>
      </c>
      <c r="E249" s="88">
        <v>120</v>
      </c>
      <c r="F249" s="86" t="str">
        <f>INDEX(tbl_IngrédientsRef[Unité], MATCH(C249, tbl_IngrédientsRef[Cde_Ingrdt],0))</f>
        <v>g</v>
      </c>
    </row>
    <row r="250" spans="1:6" x14ac:dyDescent="0.3">
      <c r="A250" s="89" t="s">
        <v>78</v>
      </c>
      <c r="B250" s="83" t="str">
        <f>IFERROR(INDEX(tbl_ProduitsRef[Cde_Prdt],MATCH(A250,tbl_ProduitsRef[Produit],0)),"⚠️ Produit non trouvé")</f>
        <v>TAJ014</v>
      </c>
      <c r="C250" s="17" t="str">
        <f>IFERROR(VLOOKUP(D250,Référentiels!$M$2:$N$267,2,FALSE),"Ingrédient non trouvé")</f>
        <v>LEG002</v>
      </c>
      <c r="D250" s="88" t="s">
        <v>308</v>
      </c>
      <c r="E250" s="88">
        <v>80</v>
      </c>
      <c r="F250" s="86" t="str">
        <f>INDEX(tbl_IngrédientsRef[Unité], MATCH(C250, tbl_IngrédientsRef[Cde_Ingrdt],0))</f>
        <v>g</v>
      </c>
    </row>
    <row r="251" spans="1:6" x14ac:dyDescent="0.3">
      <c r="A251" s="89" t="s">
        <v>78</v>
      </c>
      <c r="B251" s="83" t="str">
        <f>IFERROR(INDEX(tbl_ProduitsRef[Cde_Prdt],MATCH(A251,tbl_ProduitsRef[Produit],0)),"⚠️ Produit non trouvé")</f>
        <v>TAJ014</v>
      </c>
      <c r="C251" s="17" t="str">
        <f>IFERROR(VLOOKUP(D251,Référentiels!$M$2:$N$267,2,FALSE),"Ingrédient non trouvé")</f>
        <v>CDM020</v>
      </c>
      <c r="D251" s="88" t="s">
        <v>298</v>
      </c>
      <c r="E251" s="88">
        <v>30</v>
      </c>
      <c r="F251" s="86" t="str">
        <f>INDEX(tbl_IngrédientsRef[Unité], MATCH(C251, tbl_IngrédientsRef[Cde_Ingrdt],0))</f>
        <v>ml</v>
      </c>
    </row>
    <row r="252" spans="1:6" x14ac:dyDescent="0.3">
      <c r="A252" s="89" t="s">
        <v>78</v>
      </c>
      <c r="B252" s="83" t="str">
        <f>IFERROR(INDEX(tbl_ProduitsRef[Cde_Prdt],MATCH(A252,tbl_ProduitsRef[Produit],0)),"⚠️ Produit non trouvé")</f>
        <v>TAJ014</v>
      </c>
      <c r="C252" s="17" t="str">
        <f>IFERROR(VLOOKUP(D252,Référentiels!$M$2:$N$267,2,FALSE),"Ingrédient non trouvé")</f>
        <v>EPI001</v>
      </c>
      <c r="D252" s="88" t="s">
        <v>1274</v>
      </c>
      <c r="E252" s="88">
        <v>5</v>
      </c>
      <c r="F252" s="86" t="str">
        <f>INDEX(tbl_IngrédientsRef[Unité], MATCH(C252, tbl_IngrédientsRef[Cde_Ingrdt],0))</f>
        <v>g</v>
      </c>
    </row>
    <row r="253" spans="1:6" x14ac:dyDescent="0.3">
      <c r="A253" s="89" t="s">
        <v>633</v>
      </c>
      <c r="B253" s="83" t="str">
        <f>IFERROR(INDEX(tbl_ProduitsRef[Cde_Prdt],MATCH(A253,tbl_ProduitsRef[Produit],0)),"⚠️ Produit non trouvé")</f>
        <v>TAJ015</v>
      </c>
      <c r="C253" s="17" t="str">
        <f>IFERROR(VLOOKUP(D253,Référentiels!$M$2:$N$267,2,FALSE),"Ingrédient non trouvé")</f>
        <v>VOL009</v>
      </c>
      <c r="D253" s="88" t="s">
        <v>636</v>
      </c>
      <c r="E253" s="88">
        <v>500</v>
      </c>
      <c r="F253" s="86" t="str">
        <f>INDEX(tbl_IngrédientsRef[Unité], MATCH(C253, tbl_IngrédientsRef[Cde_Ingrdt],0))</f>
        <v>g</v>
      </c>
    </row>
    <row r="254" spans="1:6" x14ac:dyDescent="0.3">
      <c r="A254" s="89" t="s">
        <v>633</v>
      </c>
      <c r="B254" s="83" t="str">
        <f>IFERROR(INDEX(tbl_ProduitsRef[Cde_Prdt],MATCH(A254,tbl_ProduitsRef[Produit],0)),"⚠️ Produit non trouvé")</f>
        <v>TAJ015</v>
      </c>
      <c r="C254" s="17" t="str">
        <f>IFERROR(VLOOKUP(D254,Référentiels!$M$2:$N$267,2,FALSE),"Ingrédient non trouvé")</f>
        <v>CDM006</v>
      </c>
      <c r="D254" s="88" t="s">
        <v>624</v>
      </c>
      <c r="E254" s="88">
        <v>0.5</v>
      </c>
      <c r="F254" s="86" t="str">
        <f>INDEX(tbl_IngrédientsRef[Unité], MATCH(C254, tbl_IngrédientsRef[Cde_Ingrdt],0))</f>
        <v>Pièce</v>
      </c>
    </row>
    <row r="255" spans="1:6" x14ac:dyDescent="0.3">
      <c r="A255" s="89" t="s">
        <v>633</v>
      </c>
      <c r="B255" s="83" t="str">
        <f>IFERROR(INDEX(tbl_ProduitsRef[Cde_Prdt],MATCH(A255,tbl_ProduitsRef[Produit],0)),"⚠️ Produit non trouvé")</f>
        <v>TAJ015</v>
      </c>
      <c r="C255" s="17" t="str">
        <f>IFERROR(VLOOKUP(D255,Référentiels!$M$2:$N$267,2,FALSE),"Ingrédient non trouvé")</f>
        <v>CDM011</v>
      </c>
      <c r="D255" s="88" t="s">
        <v>626</v>
      </c>
      <c r="E255" s="88">
        <v>30</v>
      </c>
      <c r="F255" s="86" t="str">
        <f>INDEX(tbl_IngrédientsRef[Unité], MATCH(C255, tbl_IngrédientsRef[Cde_Ingrdt],0))</f>
        <v>g</v>
      </c>
    </row>
    <row r="256" spans="1:6" x14ac:dyDescent="0.3">
      <c r="A256" s="89" t="s">
        <v>633</v>
      </c>
      <c r="B256" s="83" t="str">
        <f>IFERROR(INDEX(tbl_ProduitsRef[Cde_Prdt],MATCH(A256,tbl_ProduitsRef[Produit],0)),"⚠️ Produit non trouvé")</f>
        <v>TAJ015</v>
      </c>
      <c r="C256" s="17" t="str">
        <f>IFERROR(VLOOKUP(D256,Référentiels!$M$2:$N$267,2,FALSE),"Ingrédient non trouvé")</f>
        <v>LEG007</v>
      </c>
      <c r="D256" s="88" t="s">
        <v>310</v>
      </c>
      <c r="E256" s="88">
        <v>60</v>
      </c>
      <c r="F256" s="86" t="str">
        <f>INDEX(tbl_IngrédientsRef[Unité], MATCH(C256, tbl_IngrédientsRef[Cde_Ingrdt],0))</f>
        <v>g</v>
      </c>
    </row>
    <row r="257" spans="1:6" x14ac:dyDescent="0.3">
      <c r="A257" s="89" t="s">
        <v>633</v>
      </c>
      <c r="B257" s="83" t="str">
        <f>IFERROR(INDEX(tbl_ProduitsRef[Cde_Prdt],MATCH(A257,tbl_ProduitsRef[Produit],0)),"⚠️ Produit non trouvé")</f>
        <v>TAJ015</v>
      </c>
      <c r="C257" s="17" t="str">
        <f>IFERROR(VLOOKUP(D257,Référentiels!$M$2:$N$267,2,FALSE),"Ingrédient non trouvé")</f>
        <v>CDM020</v>
      </c>
      <c r="D257" s="88" t="s">
        <v>298</v>
      </c>
      <c r="E257" s="88">
        <v>15</v>
      </c>
      <c r="F257" s="86" t="str">
        <f>INDEX(tbl_IngrédientsRef[Unité], MATCH(C257, tbl_IngrédientsRef[Cde_Ingrdt],0))</f>
        <v>ml</v>
      </c>
    </row>
    <row r="258" spans="1:6" x14ac:dyDescent="0.3">
      <c r="A258" s="89" t="s">
        <v>637</v>
      </c>
      <c r="B258" s="83" t="str">
        <f>IFERROR(INDEX(tbl_ProduitsRef[Cde_Prdt],MATCH(A258,tbl_ProduitsRef[Produit],0)),"⚠️ Produit non trouvé")</f>
        <v>TAJ016</v>
      </c>
      <c r="C258" s="17" t="str">
        <f>IFERROR(VLOOKUP(D258,Référentiels!$M$2:$N$267,2,FALSE),"Ingrédient non trouvé")</f>
        <v>VOL009</v>
      </c>
      <c r="D258" s="88" t="s">
        <v>636</v>
      </c>
      <c r="E258" s="88">
        <v>1000</v>
      </c>
      <c r="F258" s="86" t="str">
        <f>INDEX(tbl_IngrédientsRef[Unité], MATCH(C258, tbl_IngrédientsRef[Cde_Ingrdt],0))</f>
        <v>g</v>
      </c>
    </row>
    <row r="259" spans="1:6" x14ac:dyDescent="0.3">
      <c r="A259" s="89" t="s">
        <v>637</v>
      </c>
      <c r="B259" s="83" t="str">
        <f>IFERROR(INDEX(tbl_ProduitsRef[Cde_Prdt],MATCH(A259,tbl_ProduitsRef[Produit],0)),"⚠️ Produit non trouvé")</f>
        <v>TAJ016</v>
      </c>
      <c r="C259" s="17" t="str">
        <f>IFERROR(VLOOKUP(D259,Référentiels!$M$2:$N$267,2,FALSE),"Ingrédient non trouvé")</f>
        <v>CDM006</v>
      </c>
      <c r="D259" s="88" t="s">
        <v>624</v>
      </c>
      <c r="E259" s="88">
        <v>1</v>
      </c>
      <c r="F259" s="86" t="str">
        <f>INDEX(tbl_IngrédientsRef[Unité], MATCH(C259, tbl_IngrédientsRef[Cde_Ingrdt],0))</f>
        <v>Pièce</v>
      </c>
    </row>
    <row r="260" spans="1:6" x14ac:dyDescent="0.3">
      <c r="A260" s="89" t="s">
        <v>637</v>
      </c>
      <c r="B260" s="83" t="str">
        <f>IFERROR(INDEX(tbl_ProduitsRef[Cde_Prdt],MATCH(A260,tbl_ProduitsRef[Produit],0)),"⚠️ Produit non trouvé")</f>
        <v>TAJ016</v>
      </c>
      <c r="C260" s="17" t="str">
        <f>IFERROR(VLOOKUP(D260,Référentiels!$M$2:$N$267,2,FALSE),"Ingrédient non trouvé")</f>
        <v>CDM011</v>
      </c>
      <c r="D260" s="88" t="s">
        <v>626</v>
      </c>
      <c r="E260" s="88">
        <v>60</v>
      </c>
      <c r="F260" s="86" t="str">
        <f>INDEX(tbl_IngrédientsRef[Unité], MATCH(C260, tbl_IngrédientsRef[Cde_Ingrdt],0))</f>
        <v>g</v>
      </c>
    </row>
    <row r="261" spans="1:6" x14ac:dyDescent="0.3">
      <c r="A261" s="89" t="s">
        <v>637</v>
      </c>
      <c r="B261" s="83" t="str">
        <f>IFERROR(INDEX(tbl_ProduitsRef[Cde_Prdt],MATCH(A261,tbl_ProduitsRef[Produit],0)),"⚠️ Produit non trouvé")</f>
        <v>TAJ016</v>
      </c>
      <c r="C261" s="17" t="str">
        <f>IFERROR(VLOOKUP(D261,Référentiels!$M$2:$N$267,2,FALSE),"Ingrédient non trouvé")</f>
        <v>LEG007</v>
      </c>
      <c r="D261" s="88" t="s">
        <v>310</v>
      </c>
      <c r="E261" s="88">
        <v>120</v>
      </c>
      <c r="F261" s="86" t="str">
        <f>INDEX(tbl_IngrédientsRef[Unité], MATCH(C261, tbl_IngrédientsRef[Cde_Ingrdt],0))</f>
        <v>g</v>
      </c>
    </row>
    <row r="262" spans="1:6" x14ac:dyDescent="0.3">
      <c r="A262" s="89" t="s">
        <v>637</v>
      </c>
      <c r="B262" s="83" t="str">
        <f>IFERROR(INDEX(tbl_ProduitsRef[Cde_Prdt],MATCH(A262,tbl_ProduitsRef[Produit],0)),"⚠️ Produit non trouvé")</f>
        <v>TAJ016</v>
      </c>
      <c r="C262" s="17" t="str">
        <f>IFERROR(VLOOKUP(D262,Référentiels!$M$2:$N$267,2,FALSE),"Ingrédient non trouvé")</f>
        <v>CDM020</v>
      </c>
      <c r="D262" s="88" t="s">
        <v>298</v>
      </c>
      <c r="E262" s="88">
        <v>30</v>
      </c>
      <c r="F262" s="86" t="str">
        <f>INDEX(tbl_IngrédientsRef[Unité], MATCH(C262, tbl_IngrédientsRef[Cde_Ingrdt],0))</f>
        <v>ml</v>
      </c>
    </row>
    <row r="263" spans="1:6" x14ac:dyDescent="0.3">
      <c r="A263" s="89" t="s">
        <v>639</v>
      </c>
      <c r="B263" s="83" t="str">
        <f>IFERROR(INDEX(tbl_ProduitsRef[Cde_Prdt],MATCH(A263,tbl_ProduitsRef[Produit],0)),"⚠️ Produit non trouvé")</f>
        <v>TAJ018</v>
      </c>
      <c r="C263" s="17" t="str">
        <f>IFERROR(VLOOKUP(D263,Référentiels!$M$2:$N$267,2,FALSE),"Ingrédient non trouvé")</f>
        <v>VEA004</v>
      </c>
      <c r="D263" s="88" t="s">
        <v>642</v>
      </c>
      <c r="E263" s="88">
        <v>300</v>
      </c>
      <c r="F263" s="86" t="str">
        <f>INDEX(tbl_IngrédientsRef[Unité], MATCH(C263, tbl_IngrédientsRef[Cde_Ingrdt],0))</f>
        <v>g</v>
      </c>
    </row>
    <row r="264" spans="1:6" x14ac:dyDescent="0.3">
      <c r="A264" s="89" t="s">
        <v>639</v>
      </c>
      <c r="B264" s="83" t="str">
        <f>IFERROR(INDEX(tbl_ProduitsRef[Cde_Prdt],MATCH(A264,tbl_ProduitsRef[Produit],0)),"⚠️ Produit non trouvé")</f>
        <v>TAJ018</v>
      </c>
      <c r="C264" s="17" t="str">
        <f>IFERROR(VLOOKUP(D264,Référentiels!$M$2:$N$267,2,FALSE),"Ingrédient non trouvé")</f>
        <v>CDM019</v>
      </c>
      <c r="D264" s="88" t="s">
        <v>644</v>
      </c>
      <c r="E264" s="88">
        <v>80</v>
      </c>
      <c r="F264" s="86" t="str">
        <f>INDEX(tbl_IngrédientsRef[Unité], MATCH(C264, tbl_IngrédientsRef[Cde_Ingrdt],0))</f>
        <v>g</v>
      </c>
    </row>
    <row r="265" spans="1:6" x14ac:dyDescent="0.3">
      <c r="A265" s="89" t="s">
        <v>639</v>
      </c>
      <c r="B265" s="83" t="str">
        <f>IFERROR(INDEX(tbl_ProduitsRef[Cde_Prdt],MATCH(A265,tbl_ProduitsRef[Produit],0)),"⚠️ Produit non trouvé")</f>
        <v>TAJ018</v>
      </c>
      <c r="C265" s="17" t="str">
        <f>IFERROR(VLOOKUP(D265,Référentiels!$M$2:$N$267,2,FALSE),"Ingrédient non trouvé")</f>
        <v>LEG007</v>
      </c>
      <c r="D265" s="88" t="s">
        <v>310</v>
      </c>
      <c r="E265" s="88">
        <v>60</v>
      </c>
      <c r="F265" s="86" t="str">
        <f>INDEX(tbl_IngrédientsRef[Unité], MATCH(C265, tbl_IngrédientsRef[Cde_Ingrdt],0))</f>
        <v>g</v>
      </c>
    </row>
    <row r="266" spans="1:6" x14ac:dyDescent="0.3">
      <c r="A266" s="89" t="s">
        <v>639</v>
      </c>
      <c r="B266" s="83" t="str">
        <f>IFERROR(INDEX(tbl_ProduitsRef[Cde_Prdt],MATCH(A266,tbl_ProduitsRef[Produit],0)),"⚠️ Produit non trouvé")</f>
        <v>TAJ018</v>
      </c>
      <c r="C266" s="17" t="str">
        <f>IFERROR(VLOOKUP(D266,Référentiels!$M$2:$N$267,2,FALSE),"Ingrédient non trouvé")</f>
        <v>EPI004</v>
      </c>
      <c r="D266" s="88" t="s">
        <v>646</v>
      </c>
      <c r="E266" s="88">
        <v>30</v>
      </c>
      <c r="F266" s="86" t="str">
        <f>INDEX(tbl_IngrédientsRef[Unité], MATCH(C266, tbl_IngrédientsRef[Cde_Ingrdt],0))</f>
        <v>g</v>
      </c>
    </row>
    <row r="267" spans="1:6" x14ac:dyDescent="0.3">
      <c r="A267" s="89" t="s">
        <v>639</v>
      </c>
      <c r="B267" s="83" t="str">
        <f>IFERROR(INDEX(tbl_ProduitsRef[Cde_Prdt],MATCH(A267,tbl_ProduitsRef[Produit],0)),"⚠️ Produit non trouvé")</f>
        <v>TAJ018</v>
      </c>
      <c r="C267" s="17" t="str">
        <f>IFERROR(VLOOKUP(D267,Référentiels!$M$2:$N$267,2,FALSE),"Ingrédient non trouvé")</f>
        <v>CDM020</v>
      </c>
      <c r="D267" s="88" t="s">
        <v>298</v>
      </c>
      <c r="E267" s="88">
        <v>30</v>
      </c>
      <c r="F267" s="86" t="str">
        <f>INDEX(tbl_IngrédientsRef[Unité], MATCH(C267, tbl_IngrédientsRef[Cde_Ingrdt],0))</f>
        <v>ml</v>
      </c>
    </row>
    <row r="268" spans="1:6" x14ac:dyDescent="0.3">
      <c r="A268" s="89" t="s">
        <v>639</v>
      </c>
      <c r="B268" s="83" t="str">
        <f>IFERROR(INDEX(tbl_ProduitsRef[Cde_Prdt],MATCH(A268,tbl_ProduitsRef[Produit],0)),"⚠️ Produit non trouvé")</f>
        <v>TAJ018</v>
      </c>
      <c r="C268" s="17" t="str">
        <f>IFERROR(VLOOKUP(D268,Référentiels!$M$2:$N$267,2,FALSE),"Ingrédient non trouvé")</f>
        <v>EPI003</v>
      </c>
      <c r="D268" s="88" t="s">
        <v>610</v>
      </c>
      <c r="E268" s="88">
        <v>5</v>
      </c>
      <c r="F268" s="86" t="str">
        <f>INDEX(tbl_IngrédientsRef[Unité], MATCH(C268, tbl_IngrédientsRef[Cde_Ingrdt],0))</f>
        <v>g</v>
      </c>
    </row>
    <row r="269" spans="1:6" x14ac:dyDescent="0.3">
      <c r="A269" s="89" t="s">
        <v>647</v>
      </c>
      <c r="B269" s="83" t="str">
        <f>IFERROR(INDEX(tbl_ProduitsRef[Cde_Prdt],MATCH(A269,tbl_ProduitsRef[Produit],0)),"⚠️ Produit non trouvé")</f>
        <v>TAJ017</v>
      </c>
      <c r="C269" s="17" t="str">
        <f>IFERROR(VLOOKUP(D269,Référentiels!$M$2:$N$267,2,FALSE),"Ingrédient non trouvé")</f>
        <v>VOL009</v>
      </c>
      <c r="D269" s="88" t="s">
        <v>636</v>
      </c>
      <c r="E269" s="88">
        <v>300</v>
      </c>
      <c r="F269" s="86" t="str">
        <f>INDEX(tbl_IngrédientsRef[Unité], MATCH(C269, tbl_IngrédientsRef[Cde_Ingrdt],0))</f>
        <v>g</v>
      </c>
    </row>
    <row r="270" spans="1:6" x14ac:dyDescent="0.3">
      <c r="A270" s="89" t="s">
        <v>647</v>
      </c>
      <c r="B270" s="83" t="str">
        <f>IFERROR(INDEX(tbl_ProduitsRef[Cde_Prdt],MATCH(A270,tbl_ProduitsRef[Produit],0)),"⚠️ Produit non trouvé")</f>
        <v>TAJ017</v>
      </c>
      <c r="C270" s="17" t="str">
        <f>IFERROR(VLOOKUP(D270,Référentiels!$M$2:$N$267,2,FALSE),"Ingrédient non trouvé")</f>
        <v>CDM006</v>
      </c>
      <c r="D270" s="88" t="s">
        <v>624</v>
      </c>
      <c r="E270" s="88">
        <v>0.5</v>
      </c>
      <c r="F270" s="86" t="str">
        <f>INDEX(tbl_IngrédientsRef[Unité], MATCH(C270, tbl_IngrédientsRef[Cde_Ingrdt],0))</f>
        <v>Pièce</v>
      </c>
    </row>
    <row r="271" spans="1:6" x14ac:dyDescent="0.3">
      <c r="A271" s="89" t="s">
        <v>647</v>
      </c>
      <c r="B271" s="83" t="str">
        <f>IFERROR(INDEX(tbl_ProduitsRef[Cde_Prdt],MATCH(A271,tbl_ProduitsRef[Produit],0)),"⚠️ Produit non trouvé")</f>
        <v>TAJ017</v>
      </c>
      <c r="C271" s="17" t="str">
        <f>IFERROR(VLOOKUP(D271,Référentiels!$M$2:$N$267,2,FALSE),"Ingrédient non trouvé")</f>
        <v>CDM011</v>
      </c>
      <c r="D271" s="88" t="s">
        <v>626</v>
      </c>
      <c r="E271" s="88">
        <v>30</v>
      </c>
      <c r="F271" s="86" t="str">
        <f>INDEX(tbl_IngrédientsRef[Unité], MATCH(C271, tbl_IngrédientsRef[Cde_Ingrdt],0))</f>
        <v>g</v>
      </c>
    </row>
    <row r="272" spans="1:6" x14ac:dyDescent="0.3">
      <c r="A272" s="89" t="s">
        <v>647</v>
      </c>
      <c r="B272" s="83" t="str">
        <f>IFERROR(INDEX(tbl_ProduitsRef[Cde_Prdt],MATCH(A272,tbl_ProduitsRef[Produit],0)),"⚠️ Produit non trouvé")</f>
        <v>TAJ017</v>
      </c>
      <c r="C272" s="17" t="str">
        <f>IFERROR(VLOOKUP(D272,Référentiels!$M$2:$N$267,2,FALSE),"Ingrédient non trouvé")</f>
        <v>LEG007</v>
      </c>
      <c r="D272" s="88" t="s">
        <v>310</v>
      </c>
      <c r="E272" s="88">
        <v>60</v>
      </c>
      <c r="F272" s="86" t="str">
        <f>INDEX(tbl_IngrédientsRef[Unité], MATCH(C272, tbl_IngrédientsRef[Cde_Ingrdt],0))</f>
        <v>g</v>
      </c>
    </row>
    <row r="273" spans="1:6" x14ac:dyDescent="0.3">
      <c r="A273" s="89" t="s">
        <v>649</v>
      </c>
      <c r="B273" s="83" t="str">
        <f>IFERROR(INDEX(tbl_ProduitsRef[Cde_Prdt],MATCH(A273,tbl_ProduitsRef[Produit],0)),"⚠️ Produit non trouvé")</f>
        <v>TAJ019</v>
      </c>
      <c r="C273" s="17" t="str">
        <f>IFERROR(VLOOKUP(D273,Référentiels!$M$2:$N$267,2,FALSE),"Ingrédient non trouvé")</f>
        <v>VEA010</v>
      </c>
      <c r="D273" s="88" t="s">
        <v>463</v>
      </c>
      <c r="E273" s="88">
        <v>150</v>
      </c>
      <c r="F273" s="86" t="str">
        <f>INDEX(tbl_IngrédientsRef[Unité], MATCH(C273, tbl_IngrédientsRef[Cde_Ingrdt],0))</f>
        <v>g</v>
      </c>
    </row>
    <row r="274" spans="1:6" x14ac:dyDescent="0.3">
      <c r="A274" s="89" t="s">
        <v>649</v>
      </c>
      <c r="B274" s="83" t="str">
        <f>IFERROR(INDEX(tbl_ProduitsRef[Cde_Prdt],MATCH(A274,tbl_ProduitsRef[Produit],0)),"⚠️ Produit non trouvé")</f>
        <v>TAJ019</v>
      </c>
      <c r="C274" s="17" t="str">
        <f>IFERROR(VLOOKUP(D274,Référentiels!$M$2:$N$267,2,FALSE),"Ingrédient non trouvé")</f>
        <v>SOS007</v>
      </c>
      <c r="D274" s="88" t="s">
        <v>652</v>
      </c>
      <c r="E274" s="88">
        <v>20</v>
      </c>
      <c r="F274" s="86" t="str">
        <f>INDEX(tbl_IngrédientsRef[Unité], MATCH(C274, tbl_IngrédientsRef[Cde_Ingrdt],0))</f>
        <v>g</v>
      </c>
    </row>
    <row r="275" spans="1:6" x14ac:dyDescent="0.3">
      <c r="A275" s="89" t="s">
        <v>653</v>
      </c>
      <c r="B275" s="83" t="str">
        <f>IFERROR(INDEX(tbl_ProduitsRef[Cde_Prdt],MATCH(A275,tbl_ProduitsRef[Produit],0)),"⚠️ Produit non trouvé")</f>
        <v>TAJ020</v>
      </c>
      <c r="C275" s="17" t="str">
        <f>IFERROR(VLOOKUP(D275,Référentiels!$M$2:$N$267,2,FALSE),"Ingrédient non trouvé")</f>
        <v>AGN006</v>
      </c>
      <c r="D275" s="88" t="s">
        <v>460</v>
      </c>
      <c r="E275" s="88">
        <v>150</v>
      </c>
      <c r="F275" s="86" t="str">
        <f>INDEX(tbl_IngrédientsRef[Unité], MATCH(C275, tbl_IngrédientsRef[Cde_Ingrdt],0))</f>
        <v>g</v>
      </c>
    </row>
    <row r="276" spans="1:6" x14ac:dyDescent="0.3">
      <c r="A276" s="89" t="s">
        <v>653</v>
      </c>
      <c r="B276" s="83" t="str">
        <f>IFERROR(INDEX(tbl_ProduitsRef[Cde_Prdt],MATCH(A276,tbl_ProduitsRef[Produit],0)),"⚠️ Produit non trouvé")</f>
        <v>TAJ020</v>
      </c>
      <c r="C276" s="17" t="str">
        <f>IFERROR(VLOOKUP(D276,Référentiels!$M$2:$N$267,2,FALSE),"Ingrédient non trouvé")</f>
        <v>SOS007</v>
      </c>
      <c r="D276" s="88" t="s">
        <v>652</v>
      </c>
      <c r="E276" s="88">
        <v>10</v>
      </c>
      <c r="F276" s="86" t="str">
        <f>INDEX(tbl_IngrédientsRef[Unité], MATCH(C276, tbl_IngrédientsRef[Cde_Ingrdt],0))</f>
        <v>g</v>
      </c>
    </row>
    <row r="277" spans="1:6" x14ac:dyDescent="0.3">
      <c r="A277" s="89" t="s">
        <v>655</v>
      </c>
      <c r="B277" s="83" t="str">
        <f>IFERROR(INDEX(tbl_ProduitsRef[Cde_Prdt],MATCH(A277,tbl_ProduitsRef[Produit],0)),"⚠️ Produit non trouvé")</f>
        <v>TAJ021</v>
      </c>
      <c r="C277" s="17" t="str">
        <f>IFERROR(VLOOKUP(D277,Référentiels!$M$2:$N$267,2,FALSE),"Ingrédient non trouvé")</f>
        <v>BOE002</v>
      </c>
      <c r="D277" s="88" t="s">
        <v>477</v>
      </c>
      <c r="E277" s="88">
        <v>180</v>
      </c>
      <c r="F277" s="86" t="str">
        <f>INDEX(tbl_IngrédientsRef[Unité], MATCH(C277, tbl_IngrédientsRef[Cde_Ingrdt],0))</f>
        <v>g</v>
      </c>
    </row>
    <row r="278" spans="1:6" x14ac:dyDescent="0.3">
      <c r="A278" s="89" t="s">
        <v>655</v>
      </c>
      <c r="B278" s="83" t="str">
        <f>IFERROR(INDEX(tbl_ProduitsRef[Cde_Prdt],MATCH(A278,tbl_ProduitsRef[Produit],0)),"⚠️ Produit non trouvé")</f>
        <v>TAJ021</v>
      </c>
      <c r="C278" s="17" t="str">
        <f>IFERROR(VLOOKUP(D278,Référentiels!$M$2:$N$267,2,FALSE),"Ingrédient non trouvé")</f>
        <v>SOS004</v>
      </c>
      <c r="D278" s="88" t="s">
        <v>220</v>
      </c>
      <c r="E278" s="88">
        <v>80</v>
      </c>
      <c r="F278" s="86" t="str">
        <f>INDEX(tbl_IngrédientsRef[Unité], MATCH(C278, tbl_IngrédientsRef[Cde_Ingrdt],0))</f>
        <v>ml</v>
      </c>
    </row>
    <row r="279" spans="1:6" x14ac:dyDescent="0.3">
      <c r="A279" s="89" t="s">
        <v>655</v>
      </c>
      <c r="B279" s="83" t="str">
        <f>IFERROR(INDEX(tbl_ProduitsRef[Cde_Prdt],MATCH(A279,tbl_ProduitsRef[Produit],0)),"⚠️ Produit non trouvé")</f>
        <v>TAJ021</v>
      </c>
      <c r="C279" s="17" t="str">
        <f>IFERROR(VLOOKUP(D279,Référentiels!$M$2:$N$267,2,FALSE),"Ingrédient non trouvé")</f>
        <v>PRL001</v>
      </c>
      <c r="D279" s="88" t="s">
        <v>211</v>
      </c>
      <c r="E279" s="88">
        <v>1</v>
      </c>
      <c r="F279" s="86" t="str">
        <f>INDEX(tbl_IngrédientsRef[Unité], MATCH(C279, tbl_IngrédientsRef[Cde_Ingrdt],0))</f>
        <v>Pièce</v>
      </c>
    </row>
    <row r="280" spans="1:6" x14ac:dyDescent="0.3">
      <c r="A280" s="89" t="s">
        <v>657</v>
      </c>
      <c r="B280" s="83" t="str">
        <f>IFERROR(INDEX(tbl_ProduitsRef[Cde_Prdt],MATCH(A280,tbl_ProduitsRef[Produit],0)),"⚠️ Produit non trouvé")</f>
        <v>TAJ022</v>
      </c>
      <c r="C280" s="17" t="str">
        <f>IFERROR(VLOOKUP(D280,Référentiels!$M$2:$N$267,2,FALSE),"Ingrédient non trouvé")</f>
        <v>AGN009</v>
      </c>
      <c r="D280" s="88" t="s">
        <v>660</v>
      </c>
      <c r="E280" s="88">
        <v>200</v>
      </c>
      <c r="F280" s="86" t="str">
        <f>INDEX(tbl_IngrédientsRef[Unité], MATCH(C280, tbl_IngrédientsRef[Cde_Ingrdt],0))</f>
        <v>g</v>
      </c>
    </row>
    <row r="281" spans="1:6" x14ac:dyDescent="0.3">
      <c r="A281" s="89" t="s">
        <v>657</v>
      </c>
      <c r="B281" s="83" t="str">
        <f>IFERROR(INDEX(tbl_ProduitsRef[Cde_Prdt],MATCH(A281,tbl_ProduitsRef[Produit],0)),"⚠️ Produit non trouvé")</f>
        <v>TAJ022</v>
      </c>
      <c r="C281" s="17" t="str">
        <f>IFERROR(VLOOKUP(D281,Référentiels!$M$2:$N$267,2,FALSE),"Ingrédient non trouvé")</f>
        <v>SOS004</v>
      </c>
      <c r="D281" s="88" t="s">
        <v>220</v>
      </c>
      <c r="E281" s="88">
        <v>80</v>
      </c>
      <c r="F281" s="86" t="str">
        <f>INDEX(tbl_IngrédientsRef[Unité], MATCH(C281, tbl_IngrédientsRef[Cde_Ingrdt],0))</f>
        <v>ml</v>
      </c>
    </row>
    <row r="282" spans="1:6" x14ac:dyDescent="0.3">
      <c r="A282" s="89" t="s">
        <v>657</v>
      </c>
      <c r="B282" s="83" t="str">
        <f>IFERROR(INDEX(tbl_ProduitsRef[Cde_Prdt],MATCH(A282,tbl_ProduitsRef[Produit],0)),"⚠️ Produit non trouvé")</f>
        <v>TAJ022</v>
      </c>
      <c r="C282" s="17" t="str">
        <f>IFERROR(VLOOKUP(D282,Référentiels!$M$2:$N$267,2,FALSE),"Ingrédient non trouvé")</f>
        <v>LEG029</v>
      </c>
      <c r="D282" s="88" t="s">
        <v>517</v>
      </c>
      <c r="E282" s="88">
        <v>20</v>
      </c>
      <c r="F282" s="86" t="str">
        <f>INDEX(tbl_IngrédientsRef[Unité], MATCH(C282, tbl_IngrédientsRef[Cde_Ingrdt],0))</f>
        <v>g</v>
      </c>
    </row>
    <row r="283" spans="1:6" x14ac:dyDescent="0.3">
      <c r="A283" s="89" t="s">
        <v>76</v>
      </c>
      <c r="B283" s="83" t="str">
        <f>IFERROR(INDEX(tbl_ProduitsRef[Cde_Prdt],MATCH(A283,tbl_ProduitsRef[Produit],0)),"⚠️ Produit non trouvé")</f>
        <v>TAJ024</v>
      </c>
      <c r="C283" s="17" t="str">
        <f>IFERROR(VLOOKUP(D283,Référentiels!$M$2:$N$267,2,FALSE),"Ingrédient non trouvé")</f>
        <v>FEC007</v>
      </c>
      <c r="D283" s="88" t="s">
        <v>663</v>
      </c>
      <c r="E283" s="88">
        <v>150</v>
      </c>
      <c r="F283" s="86" t="str">
        <f>INDEX(tbl_IngrédientsRef[Unité], MATCH(C283, tbl_IngrédientsRef[Cde_Ingrdt],0))</f>
        <v>g</v>
      </c>
    </row>
    <row r="284" spans="1:6" x14ac:dyDescent="0.3">
      <c r="A284" s="89" t="s">
        <v>76</v>
      </c>
      <c r="B284" s="83" t="str">
        <f>IFERROR(INDEX(tbl_ProduitsRef[Cde_Prdt],MATCH(A284,tbl_ProduitsRef[Produit],0)),"⚠️ Produit non trouvé")</f>
        <v>TAJ024</v>
      </c>
      <c r="C284" s="17" t="str">
        <f>IFERROR(VLOOKUP(D284,Référentiels!$M$2:$N$267,2,FALSE),"Ingrédient non trouvé")</f>
        <v>BOE005</v>
      </c>
      <c r="D284" s="88" t="s">
        <v>616</v>
      </c>
      <c r="E284" s="88">
        <v>200</v>
      </c>
      <c r="F284" s="86" t="str">
        <f>INDEX(tbl_IngrédientsRef[Unité], MATCH(C284, tbl_IngrédientsRef[Cde_Ingrdt],0))</f>
        <v>g</v>
      </c>
    </row>
    <row r="285" spans="1:6" x14ac:dyDescent="0.3">
      <c r="A285" s="89" t="s">
        <v>76</v>
      </c>
      <c r="B285" s="83" t="str">
        <f>IFERROR(INDEX(tbl_ProduitsRef[Cde_Prdt],MATCH(A285,tbl_ProduitsRef[Produit],0)),"⚠️ Produit non trouvé")</f>
        <v>TAJ024</v>
      </c>
      <c r="C285" s="17" t="str">
        <f>IFERROR(VLOOKUP(D285,Référentiels!$M$2:$N$267,2,FALSE),"Ingrédient non trouvé")</f>
        <v>LEG001</v>
      </c>
      <c r="D285" s="88" t="s">
        <v>556</v>
      </c>
      <c r="E285" s="88">
        <v>200</v>
      </c>
      <c r="F285" s="86" t="str">
        <f>INDEX(tbl_IngrédientsRef[Unité], MATCH(C285, tbl_IngrédientsRef[Cde_Ingrdt],0))</f>
        <v>g</v>
      </c>
    </row>
    <row r="286" spans="1:6" x14ac:dyDescent="0.3">
      <c r="A286" s="89" t="s">
        <v>76</v>
      </c>
      <c r="B286" s="83" t="str">
        <f>IFERROR(INDEX(tbl_ProduitsRef[Cde_Prdt],MATCH(A286,tbl_ProduitsRef[Produit],0)),"⚠️ Produit non trouvé")</f>
        <v>TAJ024</v>
      </c>
      <c r="C286" s="17" t="str">
        <f>IFERROR(VLOOKUP(D286,Référentiels!$M$2:$N$267,2,FALSE),"Ingrédient non trouvé")</f>
        <v>CDM008</v>
      </c>
      <c r="D286" s="88" t="s">
        <v>665</v>
      </c>
      <c r="E286" s="88">
        <v>40</v>
      </c>
      <c r="F286" s="86" t="str">
        <f>INDEX(tbl_IngrédientsRef[Unité], MATCH(C286, tbl_IngrédientsRef[Cde_Ingrdt],0))</f>
        <v>g</v>
      </c>
    </row>
    <row r="287" spans="1:6" x14ac:dyDescent="0.3">
      <c r="A287" s="89" t="s">
        <v>76</v>
      </c>
      <c r="B287" s="83" t="str">
        <f>IFERROR(INDEX(tbl_ProduitsRef[Cde_Prdt],MATCH(A287,tbl_ProduitsRef[Produit],0)),"⚠️ Produit non trouvé")</f>
        <v>TAJ024</v>
      </c>
      <c r="C287" s="17" t="str">
        <f>IFERROR(VLOOKUP(D287,Référentiels!$M$2:$N$267,2,FALSE),"Ingrédient non trouvé")</f>
        <v>CDM020</v>
      </c>
      <c r="D287" s="88" t="s">
        <v>298</v>
      </c>
      <c r="E287" s="88">
        <v>15</v>
      </c>
      <c r="F287" s="86" t="str">
        <f>INDEX(tbl_IngrédientsRef[Unité], MATCH(C287, tbl_IngrédientsRef[Cde_Ingrdt],0))</f>
        <v>ml</v>
      </c>
    </row>
    <row r="288" spans="1:6" x14ac:dyDescent="0.3">
      <c r="A288" s="89" t="s">
        <v>666</v>
      </c>
      <c r="B288" s="83" t="str">
        <f>IFERROR(INDEX(tbl_ProduitsRef[Cde_Prdt],MATCH(A288,tbl_ProduitsRef[Produit],0)),"⚠️ Produit non trouvé")</f>
        <v>TAJ023</v>
      </c>
      <c r="C288" s="17" t="str">
        <f>IFERROR(VLOOKUP(D288,Référentiels!$M$2:$N$267,2,FALSE),"Ingrédient non trouvé")</f>
        <v>FEC007</v>
      </c>
      <c r="D288" s="88" t="s">
        <v>663</v>
      </c>
      <c r="E288" s="88">
        <v>150</v>
      </c>
      <c r="F288" s="86" t="str">
        <f>INDEX(tbl_IngrédientsRef[Unité], MATCH(C288, tbl_IngrédientsRef[Cde_Ingrdt],0))</f>
        <v>g</v>
      </c>
    </row>
    <row r="289" spans="1:6" x14ac:dyDescent="0.3">
      <c r="A289" s="89" t="s">
        <v>666</v>
      </c>
      <c r="B289" s="83" t="str">
        <f>IFERROR(INDEX(tbl_ProduitsRef[Cde_Prdt],MATCH(A289,tbl_ProduitsRef[Produit],0)),"⚠️ Produit non trouvé")</f>
        <v>TAJ023</v>
      </c>
      <c r="C289" s="17" t="str">
        <f>IFERROR(VLOOKUP(D289,Référentiels!$M$2:$N$267,2,FALSE),"Ingrédient non trouvé")</f>
        <v>VOL009</v>
      </c>
      <c r="D289" s="88" t="s">
        <v>636</v>
      </c>
      <c r="E289" s="88">
        <v>200</v>
      </c>
      <c r="F289" s="86" t="str">
        <f>INDEX(tbl_IngrédientsRef[Unité], MATCH(C289, tbl_IngrédientsRef[Cde_Ingrdt],0))</f>
        <v>g</v>
      </c>
    </row>
    <row r="290" spans="1:6" x14ac:dyDescent="0.3">
      <c r="A290" s="89" t="s">
        <v>666</v>
      </c>
      <c r="B290" s="83" t="str">
        <f>IFERROR(INDEX(tbl_ProduitsRef[Cde_Prdt],MATCH(A290,tbl_ProduitsRef[Produit],0)),"⚠️ Produit non trouvé")</f>
        <v>TAJ023</v>
      </c>
      <c r="C290" s="17" t="str">
        <f>IFERROR(VLOOKUP(D290,Référentiels!$M$2:$N$267,2,FALSE),"Ingrédient non trouvé")</f>
        <v>LEG001</v>
      </c>
      <c r="D290" s="88" t="s">
        <v>556</v>
      </c>
      <c r="E290" s="88">
        <v>200</v>
      </c>
      <c r="F290" s="86" t="str">
        <f>INDEX(tbl_IngrédientsRef[Unité], MATCH(C290, tbl_IngrédientsRef[Cde_Ingrdt],0))</f>
        <v>g</v>
      </c>
    </row>
    <row r="291" spans="1:6" x14ac:dyDescent="0.3">
      <c r="A291" s="89" t="s">
        <v>666</v>
      </c>
      <c r="B291" s="83" t="str">
        <f>IFERROR(INDEX(tbl_ProduitsRef[Cde_Prdt],MATCH(A291,tbl_ProduitsRef[Produit],0)),"⚠️ Produit non trouvé")</f>
        <v>TAJ023</v>
      </c>
      <c r="C291" s="17" t="str">
        <f>IFERROR(VLOOKUP(D291,Référentiels!$M$2:$N$267,2,FALSE),"Ingrédient non trouvé")</f>
        <v>CDM008</v>
      </c>
      <c r="D291" s="88" t="s">
        <v>665</v>
      </c>
      <c r="E291" s="88">
        <v>40</v>
      </c>
      <c r="F291" s="86" t="str">
        <f>INDEX(tbl_IngrédientsRef[Unité], MATCH(C291, tbl_IngrédientsRef[Cde_Ingrdt],0))</f>
        <v>g</v>
      </c>
    </row>
    <row r="292" spans="1:6" x14ac:dyDescent="0.3">
      <c r="A292" s="89" t="s">
        <v>668</v>
      </c>
      <c r="B292" s="83" t="str">
        <f>IFERROR(INDEX(tbl_ProduitsRef[Cde_Prdt],MATCH(A292,tbl_ProduitsRef[Produit],0)),"⚠️ Produit non trouvé")</f>
        <v>ENT007</v>
      </c>
      <c r="C292" s="17" t="str">
        <f>IFERROR(VLOOKUP(D292,Référentiels!$M$2:$N$267,2,FALSE),"Ingrédient non trouvé")</f>
        <v>PRP001</v>
      </c>
      <c r="D292" s="88" t="s">
        <v>671</v>
      </c>
      <c r="E292" s="88">
        <v>1</v>
      </c>
      <c r="F292" s="86" t="str">
        <f>INDEX(tbl_IngrédientsRef[Unité], MATCH(C292, tbl_IngrédientsRef[Cde_Ingrdt],0))</f>
        <v>Pièce</v>
      </c>
    </row>
    <row r="293" spans="1:6" x14ac:dyDescent="0.3">
      <c r="A293" s="89" t="s">
        <v>668</v>
      </c>
      <c r="B293" s="83" t="str">
        <f>IFERROR(INDEX(tbl_ProduitsRef[Cde_Prdt],MATCH(A293,tbl_ProduitsRef[Produit],0)),"⚠️ Produit non trouvé")</f>
        <v>ENT007</v>
      </c>
      <c r="C293" s="17" t="str">
        <f>IFERROR(VLOOKUP(D293,Référentiels!$M$2:$N$267,2,FALSE),"Ingrédient non trouvé")</f>
        <v>PRP002</v>
      </c>
      <c r="D293" s="88" t="s">
        <v>673</v>
      </c>
      <c r="E293" s="88">
        <v>1</v>
      </c>
      <c r="F293" s="86" t="str">
        <f>INDEX(tbl_IngrédientsRef[Unité], MATCH(C293, tbl_IngrédientsRef[Cde_Ingrdt],0))</f>
        <v>Pièce</v>
      </c>
    </row>
    <row r="294" spans="1:6" x14ac:dyDescent="0.3">
      <c r="A294" s="89" t="s">
        <v>668</v>
      </c>
      <c r="B294" s="83" t="str">
        <f>IFERROR(INDEX(tbl_ProduitsRef[Cde_Prdt],MATCH(A294,tbl_ProduitsRef[Produit],0)),"⚠️ Produit non trouvé")</f>
        <v>ENT007</v>
      </c>
      <c r="C294" s="17" t="str">
        <f>IFERROR(VLOOKUP(D294,Référentiels!$M$2:$N$267,2,FALSE),"Ingrédient non trouvé")</f>
        <v>PRP003</v>
      </c>
      <c r="D294" s="88" t="s">
        <v>675</v>
      </c>
      <c r="E294" s="88">
        <v>1</v>
      </c>
      <c r="F294" s="86" t="str">
        <f>INDEX(tbl_IngrédientsRef[Unité], MATCH(C294, tbl_IngrédientsRef[Cde_Ingrdt],0))</f>
        <v>Pièce</v>
      </c>
    </row>
    <row r="295" spans="1:6" x14ac:dyDescent="0.3">
      <c r="A295" s="89" t="s">
        <v>668</v>
      </c>
      <c r="B295" s="83" t="str">
        <f>IFERROR(INDEX(tbl_ProduitsRef[Cde_Prdt],MATCH(A295,tbl_ProduitsRef[Produit],0)),"⚠️ Produit non trouvé")</f>
        <v>ENT007</v>
      </c>
      <c r="C295" s="17" t="str">
        <f>IFERROR(VLOOKUP(D295,Référentiels!$M$2:$N$267,2,FALSE),"Ingrédient non trouvé")</f>
        <v>PRP004</v>
      </c>
      <c r="D295" s="88" t="s">
        <v>677</v>
      </c>
      <c r="E295" s="88">
        <v>1</v>
      </c>
      <c r="F295" s="86" t="str">
        <f>INDEX(tbl_IngrédientsRef[Unité], MATCH(C295, tbl_IngrédientsRef[Cde_Ingrdt],0))</f>
        <v>Pièce</v>
      </c>
    </row>
    <row r="296" spans="1:6" x14ac:dyDescent="0.3">
      <c r="A296" s="89" t="s">
        <v>668</v>
      </c>
      <c r="B296" s="83" t="str">
        <f>IFERROR(INDEX(tbl_ProduitsRef[Cde_Prdt],MATCH(A296,tbl_ProduitsRef[Produit],0)),"⚠️ Produit non trouvé")</f>
        <v>ENT007</v>
      </c>
      <c r="C296" s="17" t="str">
        <f>IFERROR(VLOOKUP(D296,Référentiels!$M$2:$N$267,2,FALSE),"Ingrédient non trouvé")</f>
        <v>PRP005</v>
      </c>
      <c r="D296" s="88" t="s">
        <v>679</v>
      </c>
      <c r="E296" s="88">
        <v>1</v>
      </c>
      <c r="F296" s="86" t="str">
        <f>INDEX(tbl_IngrédientsRef[Unité], MATCH(C296, tbl_IngrédientsRef[Cde_Ingrdt],0))</f>
        <v>Pièce</v>
      </c>
    </row>
    <row r="297" spans="1:6" x14ac:dyDescent="0.3">
      <c r="A297" s="89" t="s">
        <v>680</v>
      </c>
      <c r="B297" s="83" t="str">
        <f>IFERROR(INDEX(tbl_ProduitsRef[Cde_Prdt],MATCH(A297,tbl_ProduitsRef[Produit],0)),"⚠️ Produit non trouvé")</f>
        <v>ENT008</v>
      </c>
      <c r="C297" s="17" t="str">
        <f>IFERROR(VLOOKUP(D297,Référentiels!$M$2:$N$267,2,FALSE),"Ingrédient non trouvé")</f>
        <v>LEG002</v>
      </c>
      <c r="D297" s="88" t="s">
        <v>308</v>
      </c>
      <c r="E297" s="88">
        <v>180</v>
      </c>
      <c r="F297" s="86" t="str">
        <f>INDEX(tbl_IngrédientsRef[Unité], MATCH(C297, tbl_IngrédientsRef[Cde_Ingrdt],0))</f>
        <v>g</v>
      </c>
    </row>
    <row r="298" spans="1:6" x14ac:dyDescent="0.3">
      <c r="A298" s="89" t="s">
        <v>680</v>
      </c>
      <c r="B298" s="83" t="str">
        <f>IFERROR(INDEX(tbl_ProduitsRef[Cde_Prdt],MATCH(A298,tbl_ProduitsRef[Produit],0)),"⚠️ Produit non trouvé")</f>
        <v>ENT008</v>
      </c>
      <c r="C298" s="17" t="str">
        <f>IFERROR(VLOOKUP(D298,Référentiels!$M$2:$N$267,2,FALSE),"Ingrédient non trouvé")</f>
        <v>LEG013</v>
      </c>
      <c r="D298" s="88" t="s">
        <v>421</v>
      </c>
      <c r="E298" s="88">
        <v>60</v>
      </c>
      <c r="F298" s="86" t="str">
        <f>INDEX(tbl_IngrédientsRef[Unité], MATCH(C298, tbl_IngrédientsRef[Cde_Ingrdt],0))</f>
        <v>g</v>
      </c>
    </row>
    <row r="299" spans="1:6" x14ac:dyDescent="0.3">
      <c r="A299" s="89" t="s">
        <v>680</v>
      </c>
      <c r="B299" s="83" t="str">
        <f>IFERROR(INDEX(tbl_ProduitsRef[Cde_Prdt],MATCH(A299,tbl_ProduitsRef[Produit],0)),"⚠️ Produit non trouvé")</f>
        <v>ENT008</v>
      </c>
      <c r="C299" s="17" t="str">
        <f>IFERROR(VLOOKUP(D299,Référentiels!$M$2:$N$267,2,FALSE),"Ingrédient non trouvé")</f>
        <v>LEG012</v>
      </c>
      <c r="D299" s="88" t="s">
        <v>316</v>
      </c>
      <c r="E299" s="88">
        <v>60</v>
      </c>
      <c r="F299" s="86" t="str">
        <f>INDEX(tbl_IngrédientsRef[Unité], MATCH(C299, tbl_IngrédientsRef[Cde_Ingrdt],0))</f>
        <v>g</v>
      </c>
    </row>
    <row r="300" spans="1:6" x14ac:dyDescent="0.3">
      <c r="A300" s="89" t="s">
        <v>682</v>
      </c>
      <c r="B300" s="83" t="str">
        <f>IFERROR(INDEX(tbl_ProduitsRef[Cde_Prdt],MATCH(A300,tbl_ProduitsRef[Produit],0)),"⚠️ Produit non trouvé")</f>
        <v>ENT009</v>
      </c>
      <c r="C300" s="17" t="str">
        <f>IFERROR(VLOOKUP(D300,Référentiels!$M$2:$N$267,2,FALSE),"Ingrédient non trouvé")</f>
        <v>LEG008</v>
      </c>
      <c r="D300" s="88" t="s">
        <v>386</v>
      </c>
      <c r="E300" s="88">
        <v>0.5</v>
      </c>
      <c r="F300" s="86" t="str">
        <f>INDEX(tbl_IngrédientsRef[Unité], MATCH(C300, tbl_IngrédientsRef[Cde_Ingrdt],0))</f>
        <v>Pièce</v>
      </c>
    </row>
    <row r="301" spans="1:6" x14ac:dyDescent="0.3">
      <c r="A301" s="89" t="s">
        <v>682</v>
      </c>
      <c r="B301" s="83" t="str">
        <f>IFERROR(INDEX(tbl_ProduitsRef[Cde_Prdt],MATCH(A301,tbl_ProduitsRef[Produit],0)),"⚠️ Produit non trouvé")</f>
        <v>ENT009</v>
      </c>
      <c r="C301" s="17" t="str">
        <f>IFERROR(VLOOKUP(D301,Référentiels!$M$2:$N$267,2,FALSE),"Ingrédient non trouvé")</f>
        <v>LEG019</v>
      </c>
      <c r="D301" s="88" t="s">
        <v>685</v>
      </c>
      <c r="E301" s="88">
        <v>60</v>
      </c>
      <c r="F301" s="86" t="str">
        <f>INDEX(tbl_IngrédientsRef[Unité], MATCH(C301, tbl_IngrédientsRef[Cde_Ingrdt],0))</f>
        <v>g</v>
      </c>
    </row>
    <row r="302" spans="1:6" x14ac:dyDescent="0.3">
      <c r="A302" s="89" t="s">
        <v>682</v>
      </c>
      <c r="B302" s="83" t="str">
        <f>IFERROR(INDEX(tbl_ProduitsRef[Cde_Prdt],MATCH(A302,tbl_ProduitsRef[Produit],0)),"⚠️ Produit non trouvé")</f>
        <v>ENT009</v>
      </c>
      <c r="C302" s="17" t="str">
        <f>IFERROR(VLOOKUP(D302,Référentiels!$M$2:$N$267,2,FALSE),"Ingrédient non trouvé")</f>
        <v>LEG002</v>
      </c>
      <c r="D302" s="88" t="s">
        <v>308</v>
      </c>
      <c r="E302" s="88">
        <v>80</v>
      </c>
      <c r="F302" s="86" t="str">
        <f>INDEX(tbl_IngrédientsRef[Unité], MATCH(C302, tbl_IngrédientsRef[Cde_Ingrdt],0))</f>
        <v>g</v>
      </c>
    </row>
    <row r="303" spans="1:6" x14ac:dyDescent="0.3">
      <c r="A303" s="89" t="s">
        <v>682</v>
      </c>
      <c r="B303" s="83" t="str">
        <f>IFERROR(INDEX(tbl_ProduitsRef[Cde_Prdt],MATCH(A303,tbl_ProduitsRef[Produit],0)),"⚠️ Produit non trouvé")</f>
        <v>ENT009</v>
      </c>
      <c r="C303" s="17" t="str">
        <f>IFERROR(VLOOKUP(D303,Référentiels!$M$2:$N$267,2,FALSE),"Ingrédient non trouvé")</f>
        <v>LEG007</v>
      </c>
      <c r="D303" s="88" t="s">
        <v>310</v>
      </c>
      <c r="E303" s="88">
        <v>30</v>
      </c>
      <c r="F303" s="86" t="str">
        <f>INDEX(tbl_IngrédientsRef[Unité], MATCH(C303, tbl_IngrédientsRef[Cde_Ingrdt],0))</f>
        <v>g</v>
      </c>
    </row>
    <row r="304" spans="1:6" x14ac:dyDescent="0.3">
      <c r="A304" s="89" t="s">
        <v>682</v>
      </c>
      <c r="B304" s="83" t="str">
        <f>IFERROR(INDEX(tbl_ProduitsRef[Cde_Prdt],MATCH(A304,tbl_ProduitsRef[Produit],0)),"⚠️ Produit non trouvé")</f>
        <v>ENT009</v>
      </c>
      <c r="C304" s="17" t="str">
        <f>IFERROR(VLOOKUP(D304,Référentiels!$M$2:$N$267,2,FALSE),"Ingrédient non trouvé")</f>
        <v>POI010</v>
      </c>
      <c r="D304" s="88" t="s">
        <v>400</v>
      </c>
      <c r="E304" s="88">
        <v>90</v>
      </c>
      <c r="F304" s="86" t="str">
        <f>INDEX(tbl_IngrédientsRef[Unité], MATCH(C304, tbl_IngrédientsRef[Cde_Ingrdt],0))</f>
        <v>g</v>
      </c>
    </row>
    <row r="305" spans="1:6" x14ac:dyDescent="0.3">
      <c r="A305" s="89" t="s">
        <v>686</v>
      </c>
      <c r="B305" s="83" t="str">
        <f>IFERROR(INDEX(tbl_ProduitsRef[Cde_Prdt],MATCH(A305,tbl_ProduitsRef[Produit],0)),"⚠️ Produit non trouvé")</f>
        <v>ENT010</v>
      </c>
      <c r="C305" s="17" t="str">
        <f>IFERROR(VLOOKUP(D305,Référentiels!$M$2:$N$267,2,FALSE),"Ingrédient non trouvé")</f>
        <v>LEG008</v>
      </c>
      <c r="D305" s="88" t="s">
        <v>386</v>
      </c>
      <c r="E305" s="88">
        <v>0.5</v>
      </c>
      <c r="F305" s="86" t="str">
        <f>INDEX(tbl_IngrédientsRef[Unité], MATCH(C305, tbl_IngrédientsRef[Cde_Ingrdt],0))</f>
        <v>Pièce</v>
      </c>
    </row>
    <row r="306" spans="1:6" x14ac:dyDescent="0.3">
      <c r="A306" s="89" t="s">
        <v>686</v>
      </c>
      <c r="B306" s="83" t="str">
        <f>IFERROR(INDEX(tbl_ProduitsRef[Cde_Prdt],MATCH(A306,tbl_ProduitsRef[Produit],0)),"⚠️ Produit non trouvé")</f>
        <v>ENT010</v>
      </c>
      <c r="C306" s="17" t="str">
        <f>IFERROR(VLOOKUP(D306,Référentiels!$M$2:$N$267,2,FALSE),"Ingrédient non trouvé")</f>
        <v>LEG002</v>
      </c>
      <c r="D306" s="88" t="s">
        <v>308</v>
      </c>
      <c r="E306" s="88">
        <v>90</v>
      </c>
      <c r="F306" s="86" t="str">
        <f>INDEX(tbl_IngrédientsRef[Unité], MATCH(C306, tbl_IngrédientsRef[Cde_Ingrdt],0))</f>
        <v>g</v>
      </c>
    </row>
    <row r="307" spans="1:6" x14ac:dyDescent="0.3">
      <c r="A307" s="89" t="s">
        <v>686</v>
      </c>
      <c r="B307" s="83" t="str">
        <f>IFERROR(INDEX(tbl_ProduitsRef[Cde_Prdt],MATCH(A307,tbl_ProduitsRef[Produit],0)),"⚠️ Produit non trouvé")</f>
        <v>ENT010</v>
      </c>
      <c r="C307" s="17" t="str">
        <f>IFERROR(VLOOKUP(D307,Référentiels!$M$2:$N$267,2,FALSE),"Ingrédient non trouvé")</f>
        <v>LEG007</v>
      </c>
      <c r="D307" s="88" t="s">
        <v>310</v>
      </c>
      <c r="E307" s="88">
        <v>50</v>
      </c>
      <c r="F307" s="86" t="str">
        <f>INDEX(tbl_IngrédientsRef[Unité], MATCH(C307, tbl_IngrédientsRef[Cde_Ingrdt],0))</f>
        <v>g</v>
      </c>
    </row>
    <row r="308" spans="1:6" x14ac:dyDescent="0.3">
      <c r="A308" s="89" t="s">
        <v>686</v>
      </c>
      <c r="B308" s="83" t="str">
        <f>IFERROR(INDEX(tbl_ProduitsRef[Cde_Prdt],MATCH(A308,tbl_ProduitsRef[Produit],0)),"⚠️ Produit non trouvé")</f>
        <v>ENT010</v>
      </c>
      <c r="C308" s="17" t="str">
        <f>IFERROR(VLOOKUP(D308,Référentiels!$M$2:$N$267,2,FALSE),"Ingrédient non trouvé")</f>
        <v>LEG019</v>
      </c>
      <c r="D308" s="88" t="s">
        <v>685</v>
      </c>
      <c r="E308" s="88">
        <v>70</v>
      </c>
      <c r="F308" s="86" t="str">
        <f>INDEX(tbl_IngrédientsRef[Unité], MATCH(C308, tbl_IngrédientsRef[Cde_Ingrdt],0))</f>
        <v>g</v>
      </c>
    </row>
    <row r="309" spans="1:6" x14ac:dyDescent="0.3">
      <c r="A309" s="89" t="s">
        <v>688</v>
      </c>
      <c r="B309" s="83" t="str">
        <f>IFERROR(INDEX(tbl_ProduitsRef[Cde_Prdt],MATCH(A309,tbl_ProduitsRef[Produit],0)),"⚠️ Produit non trouvé")</f>
        <v>SNK023</v>
      </c>
      <c r="C309" s="17" t="str">
        <f>IFERROR(VLOOKUP(D309,Référentiels!$M$2:$N$267,2,FALSE),"Ingrédient non trouvé")</f>
        <v>LEG006</v>
      </c>
      <c r="D309" s="88" t="s">
        <v>398</v>
      </c>
      <c r="E309" s="88">
        <v>400</v>
      </c>
      <c r="F309" s="86" t="str">
        <f>INDEX(tbl_IngrédientsRef[Unité], MATCH(C309, tbl_IngrédientsRef[Cde_Ingrdt],0))</f>
        <v>g</v>
      </c>
    </row>
    <row r="310" spans="1:6" x14ac:dyDescent="0.3">
      <c r="A310" s="89" t="s">
        <v>690</v>
      </c>
      <c r="B310" s="83" t="str">
        <f>IFERROR(INDEX(tbl_ProduitsRef[Cde_Prdt],MATCH(A310,tbl_ProduitsRef[Produit],0)),"⚠️ Produit non trouvé")</f>
        <v>VIA022</v>
      </c>
      <c r="C310" s="17" t="str">
        <f>IFERROR(VLOOKUP(D310,Référentiels!$M$2:$N$267,2,FALSE),"Ingrédient non trouvé")</f>
        <v>LEG002</v>
      </c>
      <c r="D310" s="88" t="s">
        <v>308</v>
      </c>
      <c r="E310" s="88">
        <v>360</v>
      </c>
      <c r="F310" s="86" t="str">
        <f>INDEX(tbl_IngrédientsRef[Unité], MATCH(C310, tbl_IngrédientsRef[Cde_Ingrdt],0))</f>
        <v>g</v>
      </c>
    </row>
    <row r="311" spans="1:6" x14ac:dyDescent="0.3">
      <c r="A311" s="89" t="s">
        <v>690</v>
      </c>
      <c r="B311" s="83" t="str">
        <f>IFERROR(INDEX(tbl_ProduitsRef[Cde_Prdt],MATCH(A311,tbl_ProduitsRef[Produit],0)),"⚠️ Produit non trouvé")</f>
        <v>VIA022</v>
      </c>
      <c r="C311" s="17" t="str">
        <f>IFERROR(VLOOKUP(D311,Référentiels!$M$2:$N$267,2,FALSE),"Ingrédient non trouvé")</f>
        <v>LEG007</v>
      </c>
      <c r="D311" s="88" t="s">
        <v>310</v>
      </c>
      <c r="E311" s="88">
        <v>200</v>
      </c>
      <c r="F311" s="86" t="str">
        <f>INDEX(tbl_IngrédientsRef[Unité], MATCH(C311, tbl_IngrédientsRef[Cde_Ingrdt],0))</f>
        <v>g</v>
      </c>
    </row>
    <row r="312" spans="1:6" x14ac:dyDescent="0.3">
      <c r="A312" s="89" t="s">
        <v>692</v>
      </c>
      <c r="B312" s="83" t="str">
        <f>IFERROR(INDEX(tbl_ProduitsRef[Cde_Prdt],MATCH(A312,tbl_ProduitsRef[Produit],0)),"⚠️ Produit non trouvé")</f>
        <v>TAJ025</v>
      </c>
      <c r="C312" s="17" t="str">
        <f>IFERROR(VLOOKUP(D312,Référentiels!$M$2:$N$267,2,FALSE),"Ingrédient non trouvé")</f>
        <v>BOU016</v>
      </c>
      <c r="D312" s="88" t="s">
        <v>695</v>
      </c>
      <c r="E312" s="88">
        <v>1</v>
      </c>
      <c r="F312" s="86" t="str">
        <f>INDEX(tbl_IngrédientsRef[Unité], MATCH(C312, tbl_IngrédientsRef[Cde_Ingrdt],0))</f>
        <v>Pièce</v>
      </c>
    </row>
    <row r="313" spans="1:6" x14ac:dyDescent="0.3">
      <c r="A313" s="89" t="s">
        <v>696</v>
      </c>
      <c r="B313" s="83" t="str">
        <f>IFERROR(INDEX(tbl_ProduitsRef[Cde_Prdt],MATCH(A313,tbl_ProduitsRef[Produit],0)),"⚠️ Produit non trouvé")</f>
        <v>POI014</v>
      </c>
      <c r="C313" s="17" t="str">
        <f>IFERROR(VLOOKUP(D313,Référentiels!$M$2:$N$267,2,FALSE),"Ingrédient non trouvé")</f>
        <v>FDM001</v>
      </c>
      <c r="D313" s="88" t="s">
        <v>294</v>
      </c>
      <c r="E313" s="88">
        <v>80</v>
      </c>
      <c r="F313" s="86" t="str">
        <f>INDEX(tbl_IngrédientsRef[Unité], MATCH(C313, tbl_IngrédientsRef[Cde_Ingrdt],0))</f>
        <v>g</v>
      </c>
    </row>
    <row r="314" spans="1:6" x14ac:dyDescent="0.3">
      <c r="A314" s="89" t="s">
        <v>696</v>
      </c>
      <c r="B314" s="83" t="str">
        <f>IFERROR(INDEX(tbl_ProduitsRef[Cde_Prdt],MATCH(A314,tbl_ProduitsRef[Produit],0)),"⚠️ Produit non trouvé")</f>
        <v>POI014</v>
      </c>
      <c r="C314" s="17" t="str">
        <f>IFERROR(VLOOKUP(D314,Référentiels!$M$2:$N$267,2,FALSE),"Ingrédient non trouvé")</f>
        <v>FDM002</v>
      </c>
      <c r="D314" s="88" t="s">
        <v>354</v>
      </c>
      <c r="E314" s="88">
        <v>60</v>
      </c>
      <c r="F314" s="86" t="str">
        <f>INDEX(tbl_IngrédientsRef[Unité], MATCH(C314, tbl_IngrédientsRef[Cde_Ingrdt],0))</f>
        <v>g</v>
      </c>
    </row>
    <row r="315" spans="1:6" x14ac:dyDescent="0.3">
      <c r="A315" s="89" t="s">
        <v>696</v>
      </c>
      <c r="B315" s="83" t="str">
        <f>IFERROR(INDEX(tbl_ProduitsRef[Cde_Prdt],MATCH(A315,tbl_ProduitsRef[Produit],0)),"⚠️ Produit non trouvé")</f>
        <v>POI014</v>
      </c>
      <c r="C315" s="17" t="str">
        <f>IFERROR(VLOOKUP(D315,Référentiels!$M$2:$N$267,2,FALSE),"Ingrédient non trouvé")</f>
        <v>SOS007</v>
      </c>
      <c r="D315" s="88" t="s">
        <v>652</v>
      </c>
      <c r="E315" s="88">
        <v>30</v>
      </c>
      <c r="F315" s="86" t="str">
        <f>INDEX(tbl_IngrédientsRef[Unité], MATCH(C315, tbl_IngrédientsRef[Cde_Ingrdt],0))</f>
        <v>g</v>
      </c>
    </row>
    <row r="316" spans="1:6" x14ac:dyDescent="0.3">
      <c r="A316" s="89" t="s">
        <v>698</v>
      </c>
      <c r="B316" s="83" t="str">
        <f>IFERROR(INDEX(tbl_ProduitsRef[Cde_Prdt],MATCH(A316,tbl_ProduitsRef[Produit],0)),"⚠️ Produit non trouvé")</f>
        <v>ENT011</v>
      </c>
      <c r="C316" s="17" t="str">
        <f>IFERROR(VLOOKUP(D316,Référentiels!$M$2:$N$267,2,FALSE),"Ingrédient non trouvé")</f>
        <v>PST003</v>
      </c>
      <c r="D316" s="88" t="s">
        <v>701</v>
      </c>
      <c r="E316" s="88">
        <v>120</v>
      </c>
      <c r="F316" s="86" t="str">
        <f>INDEX(tbl_IngrédientsRef[Unité], MATCH(C316, tbl_IngrédientsRef[Cde_Ingrdt],0))</f>
        <v>g</v>
      </c>
    </row>
    <row r="317" spans="1:6" x14ac:dyDescent="0.3">
      <c r="A317" s="89" t="s">
        <v>698</v>
      </c>
      <c r="B317" s="83" t="str">
        <f>IFERROR(INDEX(tbl_ProduitsRef[Cde_Prdt],MATCH(A317,tbl_ProduitsRef[Produit],0)),"⚠️ Produit non trouvé")</f>
        <v>ENT011</v>
      </c>
      <c r="C317" s="17" t="str">
        <f>IFERROR(VLOOKUP(D317,Référentiels!$M$2:$N$267,2,FALSE),"Ingrédient non trouvé")</f>
        <v>BOE001</v>
      </c>
      <c r="D317" s="88" t="s">
        <v>473</v>
      </c>
      <c r="E317" s="88">
        <v>80</v>
      </c>
      <c r="F317" s="86" t="str">
        <f>INDEX(tbl_IngrédientsRef[Unité], MATCH(C317, tbl_IngrédientsRef[Cde_Ingrdt],0))</f>
        <v>g</v>
      </c>
    </row>
    <row r="318" spans="1:6" x14ac:dyDescent="0.3">
      <c r="A318" s="89" t="s">
        <v>698</v>
      </c>
      <c r="B318" s="83" t="str">
        <f>IFERROR(INDEX(tbl_ProduitsRef[Cde_Prdt],MATCH(A318,tbl_ProduitsRef[Produit],0)),"⚠️ Produit non trouvé")</f>
        <v>ENT011</v>
      </c>
      <c r="C318" s="17" t="str">
        <f>IFERROR(VLOOKUP(D318,Référentiels!$M$2:$N$267,2,FALSE),"Ingrédient non trouvé")</f>
        <v>CHA005</v>
      </c>
      <c r="D318" s="88" t="s">
        <v>337</v>
      </c>
      <c r="E318" s="88">
        <v>50</v>
      </c>
      <c r="F318" s="86" t="str">
        <f>INDEX(tbl_IngrédientsRef[Unité], MATCH(C318, tbl_IngrédientsRef[Cde_Ingrdt],0))</f>
        <v>g</v>
      </c>
    </row>
    <row r="319" spans="1:6" x14ac:dyDescent="0.3">
      <c r="A319" s="89" t="s">
        <v>698</v>
      </c>
      <c r="B319" s="83" t="str">
        <f>IFERROR(INDEX(tbl_ProduitsRef[Cde_Prdt],MATCH(A319,tbl_ProduitsRef[Produit],0)),"⚠️ Produit non trouvé")</f>
        <v>ENT011</v>
      </c>
      <c r="C319" s="17" t="str">
        <f>IFERROR(VLOOKUP(D319,Référentiels!$M$2:$N$267,2,FALSE),"Ingrédient non trouvé")</f>
        <v>SOS004</v>
      </c>
      <c r="D319" s="88" t="s">
        <v>220</v>
      </c>
      <c r="E319" s="88">
        <v>40</v>
      </c>
      <c r="F319" s="86" t="str">
        <f>INDEX(tbl_IngrédientsRef[Unité], MATCH(C319, tbl_IngrédientsRef[Cde_Ingrdt],0))</f>
        <v>ml</v>
      </c>
    </row>
    <row r="320" spans="1:6" x14ac:dyDescent="0.3">
      <c r="A320" s="89" t="s">
        <v>698</v>
      </c>
      <c r="B320" s="83" t="str">
        <f>IFERROR(INDEX(tbl_ProduitsRef[Cde_Prdt],MATCH(A320,tbl_ProduitsRef[Produit],0)),"⚠️ Produit non trouvé")</f>
        <v>ENT011</v>
      </c>
      <c r="C320" s="17" t="str">
        <f>IFERROR(VLOOKUP(D320,Référentiels!$M$2:$N$267,2,FALSE),"Ingrédient non trouvé")</f>
        <v>PRL007</v>
      </c>
      <c r="D320" s="88" t="s">
        <v>304</v>
      </c>
      <c r="E320" s="88">
        <v>50</v>
      </c>
      <c r="F320" s="86" t="str">
        <f>INDEX(tbl_IngrédientsRef[Unité], MATCH(C320, tbl_IngrédientsRef[Cde_Ingrdt],0))</f>
        <v>g</v>
      </c>
    </row>
    <row r="321" spans="1:6" x14ac:dyDescent="0.3">
      <c r="A321" s="89" t="s">
        <v>702</v>
      </c>
      <c r="B321" s="83" t="str">
        <f>IFERROR(INDEX(tbl_ProduitsRef[Cde_Prdt],MATCH(A321,tbl_ProduitsRef[Produit],0)),"⚠️ Produit non trouvé")</f>
        <v>ENT012</v>
      </c>
      <c r="C321" s="17" t="str">
        <f>IFERROR(VLOOKUP(D321,Référentiels!$M$2:$N$267,2,FALSE),"Ingrédient non trouvé")</f>
        <v>PST003</v>
      </c>
      <c r="D321" s="88" t="s">
        <v>701</v>
      </c>
      <c r="E321" s="88">
        <v>120</v>
      </c>
      <c r="F321" s="86" t="str">
        <f>INDEX(tbl_IngrédientsRef[Unité], MATCH(C321, tbl_IngrédientsRef[Cde_Ingrdt],0))</f>
        <v>g</v>
      </c>
    </row>
    <row r="322" spans="1:6" x14ac:dyDescent="0.3">
      <c r="A322" s="89" t="s">
        <v>702</v>
      </c>
      <c r="B322" s="83" t="str">
        <f>IFERROR(INDEX(tbl_ProduitsRef[Cde_Prdt],MATCH(A322,tbl_ProduitsRef[Produit],0)),"⚠️ Produit non trouvé")</f>
        <v>ENT012</v>
      </c>
      <c r="C322" s="17" t="str">
        <f>IFERROR(VLOOKUP(D322,Référentiels!$M$2:$N$267,2,FALSE),"Ingrédient non trouvé")</f>
        <v>VOL001</v>
      </c>
      <c r="D322" s="88" t="s">
        <v>390</v>
      </c>
      <c r="E322" s="88">
        <v>80</v>
      </c>
      <c r="F322" s="86" t="str">
        <f>INDEX(tbl_IngrédientsRef[Unité], MATCH(C322, tbl_IngrédientsRef[Cde_Ingrdt],0))</f>
        <v>g</v>
      </c>
    </row>
    <row r="323" spans="1:6" x14ac:dyDescent="0.3">
      <c r="A323" s="89" t="s">
        <v>702</v>
      </c>
      <c r="B323" s="83" t="str">
        <f>IFERROR(INDEX(tbl_ProduitsRef[Cde_Prdt],MATCH(A323,tbl_ProduitsRef[Produit],0)),"⚠️ Produit non trouvé")</f>
        <v>ENT012</v>
      </c>
      <c r="C323" s="17" t="str">
        <f>IFERROR(VLOOKUP(D323,Référentiels!$M$2:$N$267,2,FALSE),"Ingrédient non trouvé")</f>
        <v>CHA004</v>
      </c>
      <c r="D323" s="88" t="s">
        <v>234</v>
      </c>
      <c r="E323" s="88">
        <v>40</v>
      </c>
      <c r="F323" s="86" t="str">
        <f>INDEX(tbl_IngrédientsRef[Unité], MATCH(C323, tbl_IngrédientsRef[Cde_Ingrdt],0))</f>
        <v>g</v>
      </c>
    </row>
    <row r="324" spans="1:6" x14ac:dyDescent="0.3">
      <c r="A324" s="89" t="s">
        <v>702</v>
      </c>
      <c r="B324" s="83" t="str">
        <f>IFERROR(INDEX(tbl_ProduitsRef[Cde_Prdt],MATCH(A324,tbl_ProduitsRef[Produit],0)),"⚠️ Produit non trouvé")</f>
        <v>ENT012</v>
      </c>
      <c r="C324" s="17" t="str">
        <f>IFERROR(VLOOKUP(D324,Référentiels!$M$2:$N$267,2,FALSE),"Ingrédient non trouvé")</f>
        <v>SOS004</v>
      </c>
      <c r="D324" s="88" t="s">
        <v>220</v>
      </c>
      <c r="E324" s="88">
        <v>60</v>
      </c>
      <c r="F324" s="86" t="str">
        <f>INDEX(tbl_IngrédientsRef[Unité], MATCH(C324, tbl_IngrédientsRef[Cde_Ingrdt],0))</f>
        <v>ml</v>
      </c>
    </row>
    <row r="325" spans="1:6" x14ac:dyDescent="0.3">
      <c r="A325" s="89" t="s">
        <v>702</v>
      </c>
      <c r="B325" s="83" t="str">
        <f>IFERROR(INDEX(tbl_ProduitsRef[Cde_Prdt],MATCH(A325,tbl_ProduitsRef[Produit],0)),"⚠️ Produit non trouvé")</f>
        <v>ENT012</v>
      </c>
      <c r="C325" s="17" t="str">
        <f>IFERROR(VLOOKUP(D325,Référentiels!$M$2:$N$267,2,FALSE),"Ingrédient non trouvé")</f>
        <v>PRL007</v>
      </c>
      <c r="D325" s="88" t="s">
        <v>304</v>
      </c>
      <c r="E325" s="88">
        <v>30</v>
      </c>
      <c r="F325" s="86" t="str">
        <f>INDEX(tbl_IngrédientsRef[Unité], MATCH(C325, tbl_IngrédientsRef[Cde_Ingrdt],0))</f>
        <v>g</v>
      </c>
    </row>
    <row r="326" spans="1:6" x14ac:dyDescent="0.3">
      <c r="A326" s="89" t="s">
        <v>704</v>
      </c>
      <c r="B326" s="83" t="str">
        <f>IFERROR(INDEX(tbl_ProduitsRef[Cde_Prdt],MATCH(A326,tbl_ProduitsRef[Produit],0)),"⚠️ Produit non trouvé")</f>
        <v>POI015</v>
      </c>
      <c r="C326" s="17" t="str">
        <f>IFERROR(VLOOKUP(D326,Référentiels!$M$2:$N$267,2,FALSE),"Ingrédient non trouvé")</f>
        <v>FEC001</v>
      </c>
      <c r="D326" s="88" t="s">
        <v>707</v>
      </c>
      <c r="E326" s="88">
        <v>3</v>
      </c>
      <c r="F326" s="86" t="str">
        <f>INDEX(tbl_IngrédientsRef[Unité], MATCH(C326, tbl_IngrédientsRef[Cde_Ingrdt],0))</f>
        <v>Pièce</v>
      </c>
    </row>
    <row r="327" spans="1:6" x14ac:dyDescent="0.3">
      <c r="A327" s="89" t="s">
        <v>704</v>
      </c>
      <c r="B327" s="83" t="str">
        <f>IFERROR(INDEX(tbl_ProduitsRef[Cde_Prdt],MATCH(A327,tbl_ProduitsRef[Produit],0)),"⚠️ Produit non trouvé")</f>
        <v>POI015</v>
      </c>
      <c r="C327" s="17" t="str">
        <f>IFERROR(VLOOKUP(D327,Référentiels!$M$2:$N$267,2,FALSE),"Ingrédient non trouvé")</f>
        <v>FDM001</v>
      </c>
      <c r="D327" s="88" t="s">
        <v>294</v>
      </c>
      <c r="E327" s="88">
        <v>40</v>
      </c>
      <c r="F327" s="86" t="str">
        <f>INDEX(tbl_IngrédientsRef[Unité], MATCH(C327, tbl_IngrédientsRef[Cde_Ingrdt],0))</f>
        <v>g</v>
      </c>
    </row>
    <row r="328" spans="1:6" x14ac:dyDescent="0.3">
      <c r="A328" s="89" t="s">
        <v>704</v>
      </c>
      <c r="B328" s="83" t="str">
        <f>IFERROR(INDEX(tbl_ProduitsRef[Cde_Prdt],MATCH(A328,tbl_ProduitsRef[Produit],0)),"⚠️ Produit non trouvé")</f>
        <v>POI015</v>
      </c>
      <c r="C328" s="17" t="str">
        <f>IFERROR(VLOOKUP(D328,Référentiels!$M$2:$N$267,2,FALSE),"Ingrédient non trouvé")</f>
        <v>FDM002</v>
      </c>
      <c r="D328" s="88" t="s">
        <v>354</v>
      </c>
      <c r="E328" s="88">
        <v>30</v>
      </c>
      <c r="F328" s="86" t="str">
        <f>INDEX(tbl_IngrédientsRef[Unité], MATCH(C328, tbl_IngrédientsRef[Cde_Ingrdt],0))</f>
        <v>g</v>
      </c>
    </row>
    <row r="329" spans="1:6" x14ac:dyDescent="0.3">
      <c r="A329" s="89" t="s">
        <v>704</v>
      </c>
      <c r="B329" s="83" t="str">
        <f>IFERROR(INDEX(tbl_ProduitsRef[Cde_Prdt],MATCH(A329,tbl_ProduitsRef[Produit],0)),"⚠️ Produit non trouvé")</f>
        <v>POI015</v>
      </c>
      <c r="C329" s="17" t="str">
        <f>IFERROR(VLOOKUP(D329,Référentiels!$M$2:$N$267,2,FALSE),"Ingrédient non trouvé")</f>
        <v>POI007</v>
      </c>
      <c r="D329" s="88" t="s">
        <v>524</v>
      </c>
      <c r="E329" s="88">
        <v>30</v>
      </c>
      <c r="F329" s="86" t="str">
        <f>INDEX(tbl_IngrédientsRef[Unité], MATCH(C329, tbl_IngrédientsRef[Cde_Ingrdt],0))</f>
        <v>g</v>
      </c>
    </row>
    <row r="330" spans="1:6" x14ac:dyDescent="0.3">
      <c r="A330" s="89" t="s">
        <v>704</v>
      </c>
      <c r="B330" s="83" t="str">
        <f>IFERROR(INDEX(tbl_ProduitsRef[Cde_Prdt],MATCH(A330,tbl_ProduitsRef[Produit],0)),"⚠️ Produit non trouvé")</f>
        <v>POI015</v>
      </c>
      <c r="C330" s="17" t="str">
        <f>IFERROR(VLOOKUP(D330,Référentiels!$M$2:$N$267,2,FALSE),"Ingrédient non trouvé")</f>
        <v>PRL007</v>
      </c>
      <c r="D330" s="88" t="s">
        <v>304</v>
      </c>
      <c r="E330" s="88">
        <v>20</v>
      </c>
      <c r="F330" s="86" t="str">
        <f>INDEX(tbl_IngrédientsRef[Unité], MATCH(C330, tbl_IngrédientsRef[Cde_Ingrdt],0))</f>
        <v>g</v>
      </c>
    </row>
    <row r="331" spans="1:6" x14ac:dyDescent="0.3">
      <c r="A331" s="89" t="s">
        <v>708</v>
      </c>
      <c r="B331" s="83" t="str">
        <f>IFERROR(INDEX(tbl_ProduitsRef[Cde_Prdt],MATCH(A331,tbl_ProduitsRef[Produit],0)),"⚠️ Produit non trouvé")</f>
        <v>ENT013</v>
      </c>
      <c r="C331" s="17" t="str">
        <f>IFERROR(VLOOKUP(D331,Référentiels!$M$2:$N$267,2,FALSE),"Ingrédient non trouvé")</f>
        <v>FEC001</v>
      </c>
      <c r="D331" s="88" t="s">
        <v>707</v>
      </c>
      <c r="E331" s="88">
        <v>3</v>
      </c>
      <c r="F331" s="86" t="str">
        <f>INDEX(tbl_IngrédientsRef[Unité], MATCH(C331, tbl_IngrédientsRef[Cde_Ingrdt],0))</f>
        <v>Pièce</v>
      </c>
    </row>
    <row r="332" spans="1:6" x14ac:dyDescent="0.3">
      <c r="A332" s="89" t="s">
        <v>708</v>
      </c>
      <c r="B332" s="83" t="str">
        <f>IFERROR(INDEX(tbl_ProduitsRef[Cde_Prdt],MATCH(A332,tbl_ProduitsRef[Produit],0)),"⚠️ Produit non trouvé")</f>
        <v>ENT013</v>
      </c>
      <c r="C332" s="17" t="str">
        <f>IFERROR(VLOOKUP(D332,Référentiels!$M$2:$N$267,2,FALSE),"Ingrédient non trouvé")</f>
        <v>VOL001</v>
      </c>
      <c r="D332" s="88" t="s">
        <v>390</v>
      </c>
      <c r="E332" s="88">
        <v>60</v>
      </c>
      <c r="F332" s="86" t="str">
        <f>INDEX(tbl_IngrédientsRef[Unité], MATCH(C332, tbl_IngrédientsRef[Cde_Ingrdt],0))</f>
        <v>g</v>
      </c>
    </row>
    <row r="333" spans="1:6" x14ac:dyDescent="0.3">
      <c r="A333" s="89" t="s">
        <v>708</v>
      </c>
      <c r="B333" s="83" t="str">
        <f>IFERROR(INDEX(tbl_ProduitsRef[Cde_Prdt],MATCH(A333,tbl_ProduitsRef[Produit],0)),"⚠️ Produit non trouvé")</f>
        <v>ENT013</v>
      </c>
      <c r="C333" s="17" t="str">
        <f>IFERROR(VLOOKUP(D333,Référentiels!$M$2:$N$267,2,FALSE),"Ingrédient non trouvé")</f>
        <v>LEG007</v>
      </c>
      <c r="D333" s="88" t="s">
        <v>310</v>
      </c>
      <c r="E333" s="88">
        <v>20</v>
      </c>
      <c r="F333" s="86" t="str">
        <f>INDEX(tbl_IngrédientsRef[Unité], MATCH(C333, tbl_IngrédientsRef[Cde_Ingrdt],0))</f>
        <v>g</v>
      </c>
    </row>
    <row r="334" spans="1:6" x14ac:dyDescent="0.3">
      <c r="A334" s="89" t="s">
        <v>708</v>
      </c>
      <c r="B334" s="83" t="str">
        <f>IFERROR(INDEX(tbl_ProduitsRef[Cde_Prdt],MATCH(A334,tbl_ProduitsRef[Produit],0)),"⚠️ Produit non trouvé")</f>
        <v>ENT013</v>
      </c>
      <c r="C334" s="17" t="str">
        <f>IFERROR(VLOOKUP(D334,Référentiels!$M$2:$N$267,2,FALSE),"Ingrédient non trouvé")</f>
        <v>EPI001</v>
      </c>
      <c r="D334" s="88" t="s">
        <v>1274</v>
      </c>
      <c r="E334" s="88">
        <v>5</v>
      </c>
      <c r="F334" s="86" t="str">
        <f>INDEX(tbl_IngrédientsRef[Unité], MATCH(C334, tbl_IngrédientsRef[Cde_Ingrdt],0))</f>
        <v>g</v>
      </c>
    </row>
    <row r="335" spans="1:6" x14ac:dyDescent="0.3">
      <c r="A335" s="89" t="s">
        <v>710</v>
      </c>
      <c r="B335" s="83" t="str">
        <f>IFERROR(INDEX(tbl_ProduitsRef[Cde_Prdt],MATCH(A335,tbl_ProduitsRef[Produit],0)),"⚠️ Produit non trouvé")</f>
        <v>ENT015</v>
      </c>
      <c r="C335" s="17" t="str">
        <f>IFERROR(VLOOKUP(D335,Référentiels!$M$2:$N$267,2,FALSE),"Ingrédient non trouvé")</f>
        <v>FEC002</v>
      </c>
      <c r="D335" s="88" t="s">
        <v>713</v>
      </c>
      <c r="E335" s="88">
        <v>3</v>
      </c>
      <c r="F335" s="86" t="str">
        <f>INDEX(tbl_IngrédientsRef[Unité], MATCH(C335, tbl_IngrédientsRef[Cde_Ingrdt],0))</f>
        <v>Pièce</v>
      </c>
    </row>
    <row r="336" spans="1:6" x14ac:dyDescent="0.3">
      <c r="A336" s="89" t="s">
        <v>710</v>
      </c>
      <c r="B336" s="83" t="str">
        <f>IFERROR(INDEX(tbl_ProduitsRef[Cde_Prdt],MATCH(A336,tbl_ProduitsRef[Produit],0)),"⚠️ Produit non trouvé")</f>
        <v>ENT015</v>
      </c>
      <c r="C336" s="17" t="str">
        <f>IFERROR(VLOOKUP(D336,Référentiels!$M$2:$N$267,2,FALSE),"Ingrédient non trouvé")</f>
        <v>VOL001</v>
      </c>
      <c r="D336" s="88" t="s">
        <v>390</v>
      </c>
      <c r="E336" s="88">
        <v>60</v>
      </c>
      <c r="F336" s="86" t="str">
        <f>INDEX(tbl_IngrédientsRef[Unité], MATCH(C336, tbl_IngrédientsRef[Cde_Ingrdt],0))</f>
        <v>g</v>
      </c>
    </row>
    <row r="337" spans="1:6" x14ac:dyDescent="0.3">
      <c r="A337" s="89" t="s">
        <v>710</v>
      </c>
      <c r="B337" s="83" t="str">
        <f>IFERROR(INDEX(tbl_ProduitsRef[Cde_Prdt],MATCH(A337,tbl_ProduitsRef[Produit],0)),"⚠️ Produit non trouvé")</f>
        <v>ENT015</v>
      </c>
      <c r="C337" s="17" t="str">
        <f>IFERROR(VLOOKUP(D337,Référentiels!$M$2:$N$267,2,FALSE),"Ingrédient non trouvé")</f>
        <v>LEG020</v>
      </c>
      <c r="D337" s="88" t="s">
        <v>402</v>
      </c>
      <c r="E337" s="88">
        <v>20</v>
      </c>
      <c r="F337" s="86" t="str">
        <f>INDEX(tbl_IngrédientsRef[Unité], MATCH(C337, tbl_IngrédientsRef[Cde_Ingrdt],0))</f>
        <v>g</v>
      </c>
    </row>
    <row r="338" spans="1:6" x14ac:dyDescent="0.3">
      <c r="A338" s="89" t="s">
        <v>710</v>
      </c>
      <c r="B338" s="83" t="str">
        <f>IFERROR(INDEX(tbl_ProduitsRef[Cde_Prdt],MATCH(A338,tbl_ProduitsRef[Produit],0)),"⚠️ Produit non trouvé")</f>
        <v>ENT015</v>
      </c>
      <c r="C338" s="17" t="str">
        <f>IFERROR(VLOOKUP(D338,Référentiels!$M$2:$N$267,2,FALSE),"Ingrédient non trouvé")</f>
        <v>FEC003</v>
      </c>
      <c r="D338" s="88" t="s">
        <v>715</v>
      </c>
      <c r="E338" s="88">
        <v>30</v>
      </c>
      <c r="F338" s="86" t="str">
        <f>INDEX(tbl_IngrédientsRef[Unité], MATCH(C338, tbl_IngrédientsRef[Cde_Ingrdt],0))</f>
        <v>g</v>
      </c>
    </row>
    <row r="339" spans="1:6" x14ac:dyDescent="0.3">
      <c r="A339" s="89" t="s">
        <v>710</v>
      </c>
      <c r="B339" s="83" t="str">
        <f>IFERROR(INDEX(tbl_ProduitsRef[Cde_Prdt],MATCH(A339,tbl_ProduitsRef[Produit],0)),"⚠️ Produit non trouvé")</f>
        <v>ENT015</v>
      </c>
      <c r="C339" s="17" t="str">
        <f>IFERROR(VLOOKUP(D339,Référentiels!$M$2:$N$267,2,FALSE),"Ingrédient non trouvé")</f>
        <v>SOS015</v>
      </c>
      <c r="D339" s="88" t="s">
        <v>717</v>
      </c>
      <c r="E339" s="88">
        <v>10</v>
      </c>
      <c r="F339" s="86" t="str">
        <f>INDEX(tbl_IngrédientsRef[Unité], MATCH(C339, tbl_IngrédientsRef[Cde_Ingrdt],0))</f>
        <v>ml</v>
      </c>
    </row>
    <row r="340" spans="1:6" x14ac:dyDescent="0.3">
      <c r="A340" s="89" t="s">
        <v>718</v>
      </c>
      <c r="B340" s="83" t="str">
        <f>IFERROR(INDEX(tbl_ProduitsRef[Cde_Prdt],MATCH(A340,tbl_ProduitsRef[Produit],0)),"⚠️ Produit non trouvé")</f>
        <v>ENT016</v>
      </c>
      <c r="C340" s="17" t="str">
        <f>IFERROR(VLOOKUP(D340,Référentiels!$M$2:$N$267,2,FALSE),"Ingrédient non trouvé")</f>
        <v>LEG001</v>
      </c>
      <c r="D340" s="88" t="s">
        <v>556</v>
      </c>
      <c r="E340" s="88">
        <v>200</v>
      </c>
      <c r="F340" s="86" t="str">
        <f>INDEX(tbl_IngrédientsRef[Unité], MATCH(C340, tbl_IngrédientsRef[Cde_Ingrdt],0))</f>
        <v>g</v>
      </c>
    </row>
    <row r="341" spans="1:6" x14ac:dyDescent="0.3">
      <c r="A341" s="89" t="s">
        <v>718</v>
      </c>
      <c r="B341" s="83" t="str">
        <f>IFERROR(INDEX(tbl_ProduitsRef[Cde_Prdt],MATCH(A341,tbl_ProduitsRef[Produit],0)),"⚠️ Produit non trouvé")</f>
        <v>ENT016</v>
      </c>
      <c r="C341" s="17" t="str">
        <f>IFERROR(VLOOKUP(D341,Référentiels!$M$2:$N$267,2,FALSE),"Ingrédient non trouvé")</f>
        <v>CDM014</v>
      </c>
      <c r="D341" s="88" t="s">
        <v>721</v>
      </c>
      <c r="E341" s="88">
        <v>1</v>
      </c>
      <c r="F341" s="86" t="str">
        <f>INDEX(tbl_IngrédientsRef[Unité], MATCH(C341, tbl_IngrédientsRef[Cde_Ingrdt],0))</f>
        <v>Pièce</v>
      </c>
    </row>
    <row r="342" spans="1:6" x14ac:dyDescent="0.3">
      <c r="A342" s="89" t="s">
        <v>718</v>
      </c>
      <c r="B342" s="83" t="str">
        <f>IFERROR(INDEX(tbl_ProduitsRef[Cde_Prdt],MATCH(A342,tbl_ProduitsRef[Produit],0)),"⚠️ Produit non trouvé")</f>
        <v>ENT016</v>
      </c>
      <c r="C342" s="17" t="str">
        <f>IFERROR(VLOOKUP(D342,Référentiels!$M$2:$N$267,2,FALSE),"Ingrédient non trouvé")</f>
        <v>BOU003</v>
      </c>
      <c r="D342" s="88" t="s">
        <v>238</v>
      </c>
      <c r="E342" s="88">
        <v>1</v>
      </c>
      <c r="F342" s="86" t="str">
        <f>INDEX(tbl_IngrédientsRef[Unité], MATCH(C342, tbl_IngrédientsRef[Cde_Ingrdt],0))</f>
        <v>Pièce</v>
      </c>
    </row>
    <row r="343" spans="1:6" x14ac:dyDescent="0.3">
      <c r="A343" s="89" t="s">
        <v>722</v>
      </c>
      <c r="B343" s="83" t="str">
        <f>IFERROR(INDEX(tbl_ProduitsRef[Cde_Prdt],MATCH(A343,tbl_ProduitsRef[Produit],0)),"⚠️ Produit non trouvé")</f>
        <v>ENT014</v>
      </c>
      <c r="C343" s="17" t="str">
        <f>IFERROR(VLOOKUP(D343,Référentiels!$M$2:$N$267,2,FALSE),"Ingrédient non trouvé")</f>
        <v>FEC001</v>
      </c>
      <c r="D343" s="88" t="s">
        <v>707</v>
      </c>
      <c r="E343" s="88">
        <v>3</v>
      </c>
      <c r="F343" s="86" t="str">
        <f>INDEX(tbl_IngrédientsRef[Unité], MATCH(C343, tbl_IngrédientsRef[Cde_Ingrdt],0))</f>
        <v>Pièce</v>
      </c>
    </row>
    <row r="344" spans="1:6" x14ac:dyDescent="0.3">
      <c r="A344" s="89" t="s">
        <v>722</v>
      </c>
      <c r="B344" s="83" t="str">
        <f>IFERROR(INDEX(tbl_ProduitsRef[Cde_Prdt],MATCH(A344,tbl_ProduitsRef[Produit],0)),"⚠️ Produit non trouvé")</f>
        <v>ENT014</v>
      </c>
      <c r="C344" s="17" t="str">
        <f>IFERROR(VLOOKUP(D344,Référentiels!$M$2:$N$267,2,FALSE),"Ingrédient non trouvé")</f>
        <v>PRL007</v>
      </c>
      <c r="D344" s="88" t="s">
        <v>304</v>
      </c>
      <c r="E344" s="88">
        <v>60</v>
      </c>
      <c r="F344" s="86" t="str">
        <f>INDEX(tbl_IngrédientsRef[Unité], MATCH(C344, tbl_IngrédientsRef[Cde_Ingrdt],0))</f>
        <v>g</v>
      </c>
    </row>
    <row r="345" spans="1:6" x14ac:dyDescent="0.3">
      <c r="A345" s="99" t="s">
        <v>722</v>
      </c>
      <c r="B345" s="92" t="str">
        <f>IFERROR(INDEX(tbl_ProduitsRef[Cde_Prdt],MATCH(A345,tbl_ProduitsRef[Produit],0)),"⚠️ Produit non trouvé")</f>
        <v>ENT014</v>
      </c>
      <c r="C345" s="19" t="str">
        <f>IFERROR(VLOOKUP(D345,Référentiels!$M$2:$N$267,2,FALSE),"Ingrédient non trouvé")</f>
        <v>PRL005</v>
      </c>
      <c r="D345" s="94" t="s">
        <v>215</v>
      </c>
      <c r="E345" s="94">
        <v>60</v>
      </c>
      <c r="F345" s="95" t="str">
        <f>INDEX(tbl_IngrédientsRef[Unité], MATCH(C345, tbl_IngrédientsRef[Cde_Ingrdt],0))</f>
        <v>g</v>
      </c>
    </row>
  </sheetData>
  <conditionalFormatting sqref="F1:F345">
    <cfRule type="containsText" dxfId="3" priority="1" operator="containsText" text="pièce">
      <formula>NOT(ISERROR(SEARCH("pièce",F1)))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46C342-DEFA-4B22-B86D-8975C8DFDCB1}">
          <x14:formula1>
            <xm:f>Référentiels!$M$2:$M$267</xm:f>
          </x14:formula1>
          <xm:sqref>D2:D345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8">
    <tabColor theme="9" tint="-0.249977111117893"/>
  </sheetPr>
  <dimension ref="A1:F223"/>
  <sheetViews>
    <sheetView workbookViewId="0">
      <selection activeCell="A11" sqref="A11"/>
    </sheetView>
  </sheetViews>
  <sheetFormatPr baseColWidth="10" defaultColWidth="10.85546875" defaultRowHeight="16.5" x14ac:dyDescent="0.3"/>
  <cols>
    <col min="1" max="1" width="46.42578125" style="1" bestFit="1" customWidth="1"/>
    <col min="2" max="2" width="15.85546875" style="1" bestFit="1" customWidth="1"/>
    <col min="3" max="3" width="18.140625" style="1" bestFit="1" customWidth="1"/>
    <col min="4" max="4" width="25.5703125" style="1" bestFit="1" customWidth="1"/>
    <col min="5" max="5" width="15.28515625" style="1" bestFit="1" customWidth="1"/>
    <col min="6" max="6" width="11.28515625" style="1" bestFit="1" customWidth="1"/>
    <col min="7" max="7" width="10.85546875" style="1" customWidth="1"/>
    <col min="8" max="16384" width="10.85546875" style="1"/>
  </cols>
  <sheetData>
    <row r="1" spans="1:6" ht="17.25" customHeight="1" x14ac:dyDescent="0.3">
      <c r="A1" s="127" t="s">
        <v>41</v>
      </c>
      <c r="B1" s="128" t="s">
        <v>42</v>
      </c>
      <c r="C1" s="128" t="s">
        <v>199</v>
      </c>
      <c r="D1" s="128" t="s">
        <v>200</v>
      </c>
      <c r="E1" s="128" t="s">
        <v>201</v>
      </c>
      <c r="F1" s="129" t="s">
        <v>202</v>
      </c>
    </row>
    <row r="2" spans="1:6" x14ac:dyDescent="0.3">
      <c r="A2" s="82" t="s">
        <v>724</v>
      </c>
      <c r="B2" s="83" t="str">
        <f>IFERROR(INDEX(tbl_ProduitsRef[Cde_Prdt],MATCH(A2,tbl_ProduitsRef[Produit],0)),"⚠️ Produit non trouvé")</f>
        <v>SNK012</v>
      </c>
      <c r="C2" s="88" t="str">
        <f>IFERROR(VLOOKUP(D2,Référentiels!$M$2:$N$267,2,FALSE),"Ingrédient non trouvé")</f>
        <v>BOU017</v>
      </c>
      <c r="D2" s="85" t="s">
        <v>727</v>
      </c>
      <c r="E2" s="85">
        <v>1</v>
      </c>
      <c r="F2" s="86" t="str">
        <f>INDEX(tbl_IngrédientsRef[Unité], MATCH(C2, tbl_IngrédientsRef[Cde_Ingrdt],0))</f>
        <v>Pièce</v>
      </c>
    </row>
    <row r="3" spans="1:6" x14ac:dyDescent="0.3">
      <c r="A3" s="82" t="s">
        <v>724</v>
      </c>
      <c r="B3" s="83" t="str">
        <f>IFERROR(INDEX(tbl_ProduitsRef[Cde_Prdt],MATCH(A3,tbl_ProduitsRef[Produit],0)),"⚠️ Produit non trouvé")</f>
        <v>SNK012</v>
      </c>
      <c r="C3" s="88" t="str">
        <f>IFERROR(VLOOKUP(D3,Référentiels!$M$2:$N$267,2,FALSE),"Ingrédient non trouvé")</f>
        <v>VOL005</v>
      </c>
      <c r="D3" s="85" t="s">
        <v>729</v>
      </c>
      <c r="E3" s="85">
        <v>120</v>
      </c>
      <c r="F3" s="86" t="str">
        <f>INDEX(tbl_IngrédientsRef[Unité], MATCH(C3, tbl_IngrédientsRef[Cde_Ingrdt],0))</f>
        <v>g</v>
      </c>
    </row>
    <row r="4" spans="1:6" x14ac:dyDescent="0.3">
      <c r="A4" s="82" t="s">
        <v>724</v>
      </c>
      <c r="B4" s="83" t="str">
        <f>IFERROR(INDEX(tbl_ProduitsRef[Cde_Prdt],MATCH(A4,tbl_ProduitsRef[Produit],0)),"⚠️ Produit non trouvé")</f>
        <v>SNK012</v>
      </c>
      <c r="C4" s="88" t="str">
        <f>IFERROR(VLOOKUP(D4,Référentiels!$M$2:$N$267,2,FALSE),"Ingrédient non trouvé")</f>
        <v>LEG022</v>
      </c>
      <c r="D4" s="85" t="s">
        <v>731</v>
      </c>
      <c r="E4" s="85">
        <v>0.5</v>
      </c>
      <c r="F4" s="86" t="str">
        <f>INDEX(tbl_IngrédientsRef[Unité], MATCH(C4, tbl_IngrédientsRef[Cde_Ingrdt],0))</f>
        <v>Pièce</v>
      </c>
    </row>
    <row r="5" spans="1:6" x14ac:dyDescent="0.3">
      <c r="A5" s="82" t="s">
        <v>724</v>
      </c>
      <c r="B5" s="83" t="str">
        <f>IFERROR(INDEX(tbl_ProduitsRef[Cde_Prdt],MATCH(A5,tbl_ProduitsRef[Produit],0)),"⚠️ Produit non trouvé")</f>
        <v>SNK012</v>
      </c>
      <c r="C5" s="88" t="str">
        <f>IFERROR(VLOOKUP(D5,Référentiels!$M$2:$N$267,2,FALSE),"Ingrédient non trouvé")</f>
        <v>LEG002</v>
      </c>
      <c r="D5" s="85" t="s">
        <v>308</v>
      </c>
      <c r="E5" s="85">
        <v>20</v>
      </c>
      <c r="F5" s="86" t="str">
        <f>INDEX(tbl_IngrédientsRef[Unité], MATCH(C5, tbl_IngrédientsRef[Cde_Ingrdt],0))</f>
        <v>g</v>
      </c>
    </row>
    <row r="6" spans="1:6" x14ac:dyDescent="0.3">
      <c r="A6" s="82" t="s">
        <v>724</v>
      </c>
      <c r="B6" s="83" t="str">
        <f>IFERROR(INDEX(tbl_ProduitsRef[Cde_Prdt],MATCH(A6,tbl_ProduitsRef[Produit],0)),"⚠️ Produit non trouvé")</f>
        <v>SNK012</v>
      </c>
      <c r="C6" s="88" t="str">
        <f>IFERROR(VLOOKUP(D6,Référentiels!$M$2:$N$267,2,FALSE),"Ingrédient non trouvé")</f>
        <v>LEG007</v>
      </c>
      <c r="D6" s="85" t="s">
        <v>310</v>
      </c>
      <c r="E6" s="85">
        <v>20</v>
      </c>
      <c r="F6" s="86" t="str">
        <f>INDEX(tbl_IngrédientsRef[Unité], MATCH(C6, tbl_IngrédientsRef[Cde_Ingrdt],0))</f>
        <v>g</v>
      </c>
    </row>
    <row r="7" spans="1:6" x14ac:dyDescent="0.3">
      <c r="A7" s="82" t="s">
        <v>724</v>
      </c>
      <c r="B7" s="83" t="str">
        <f>IFERROR(INDEX(tbl_ProduitsRef[Cde_Prdt],MATCH(A7,tbl_ProduitsRef[Produit],0)),"⚠️ Produit non trouvé")</f>
        <v>SNK012</v>
      </c>
      <c r="C7" s="88" t="str">
        <f>IFERROR(VLOOKUP(D7,Référentiels!$M$2:$N$267,2,FALSE),"Ingrédient non trouvé")</f>
        <v>SOS008</v>
      </c>
      <c r="D7" s="85" t="s">
        <v>733</v>
      </c>
      <c r="E7" s="85">
        <v>20</v>
      </c>
      <c r="F7" s="86" t="str">
        <f>INDEX(tbl_IngrédientsRef[Unité], MATCH(C7, tbl_IngrédientsRef[Cde_Ingrdt],0))</f>
        <v>ml</v>
      </c>
    </row>
    <row r="8" spans="1:6" x14ac:dyDescent="0.3">
      <c r="A8" s="82" t="s">
        <v>734</v>
      </c>
      <c r="B8" s="83" t="str">
        <f>IFERROR(INDEX(tbl_ProduitsRef[Cde_Prdt],MATCH(A8,tbl_ProduitsRef[Produit],0)),"⚠️ Produit non trouvé")</f>
        <v>SNK011</v>
      </c>
      <c r="C8" s="88" t="str">
        <f>IFERROR(VLOOKUP(D8,Référentiels!$M$2:$N$267,2,FALSE),"Ingrédient non trouvé")</f>
        <v>BOU017</v>
      </c>
      <c r="D8" s="85" t="s">
        <v>727</v>
      </c>
      <c r="E8" s="85">
        <v>1</v>
      </c>
      <c r="F8" s="86" t="str">
        <f>INDEX(tbl_IngrédientsRef[Unité], MATCH(C8, tbl_IngrédientsRef[Cde_Ingrdt],0))</f>
        <v>Pièce</v>
      </c>
    </row>
    <row r="9" spans="1:6" x14ac:dyDescent="0.3">
      <c r="A9" s="82" t="s">
        <v>734</v>
      </c>
      <c r="B9" s="83" t="str">
        <f>IFERROR(INDEX(tbl_ProduitsRef[Cde_Prdt],MATCH(A9,tbl_ProduitsRef[Produit],0)),"⚠️ Produit non trouvé")</f>
        <v>SNK011</v>
      </c>
      <c r="C9" s="88" t="str">
        <f>IFERROR(VLOOKUP(D9,Référentiels!$M$2:$N$267,2,FALSE),"Ingrédient non trouvé")</f>
        <v>VOL005</v>
      </c>
      <c r="D9" s="85" t="s">
        <v>729</v>
      </c>
      <c r="E9" s="85">
        <v>100</v>
      </c>
      <c r="F9" s="86" t="str">
        <f>INDEX(tbl_IngrédientsRef[Unité], MATCH(C9, tbl_IngrédientsRef[Cde_Ingrdt],0))</f>
        <v>g</v>
      </c>
    </row>
    <row r="10" spans="1:6" x14ac:dyDescent="0.3">
      <c r="A10" s="82" t="s">
        <v>734</v>
      </c>
      <c r="B10" s="83" t="str">
        <f>IFERROR(INDEX(tbl_ProduitsRef[Cde_Prdt],MATCH(A10,tbl_ProduitsRef[Produit],0)),"⚠️ Produit non trouvé")</f>
        <v>SNK011</v>
      </c>
      <c r="C10" s="88" t="str">
        <f>IFERROR(VLOOKUP(D10,Référentiels!$M$2:$N$267,2,FALSE),"Ingrédient non trouvé")</f>
        <v>LEG022</v>
      </c>
      <c r="D10" s="85" t="s">
        <v>731</v>
      </c>
      <c r="E10" s="85">
        <v>0.5</v>
      </c>
      <c r="F10" s="86" t="str">
        <f>INDEX(tbl_IngrédientsRef[Unité], MATCH(C10, tbl_IngrédientsRef[Cde_Ingrdt],0))</f>
        <v>Pièce</v>
      </c>
    </row>
    <row r="11" spans="1:6" x14ac:dyDescent="0.3">
      <c r="A11" s="82" t="s">
        <v>734</v>
      </c>
      <c r="B11" s="83" t="str">
        <f>IFERROR(INDEX(tbl_ProduitsRef[Cde_Prdt],MATCH(A11,tbl_ProduitsRef[Produit],0)),"⚠️ Produit non trouvé")</f>
        <v>SNK011</v>
      </c>
      <c r="C11" s="88" t="str">
        <f>IFERROR(VLOOKUP(D11,Référentiels!$M$2:$N$267,2,FALSE),"Ingrédient non trouvé")</f>
        <v>LEG002</v>
      </c>
      <c r="D11" s="85" t="s">
        <v>308</v>
      </c>
      <c r="E11" s="85">
        <v>20</v>
      </c>
      <c r="F11" s="86" t="str">
        <f>INDEX(tbl_IngrédientsRef[Unité], MATCH(C11, tbl_IngrédientsRef[Cde_Ingrdt],0))</f>
        <v>g</v>
      </c>
    </row>
    <row r="12" spans="1:6" x14ac:dyDescent="0.3">
      <c r="A12" s="82" t="s">
        <v>734</v>
      </c>
      <c r="B12" s="83" t="str">
        <f>IFERROR(INDEX(tbl_ProduitsRef[Cde_Prdt],MATCH(A12,tbl_ProduitsRef[Produit],0)),"⚠️ Produit non trouvé")</f>
        <v>SNK011</v>
      </c>
      <c r="C12" s="88" t="str">
        <f>IFERROR(VLOOKUP(D12,Référentiels!$M$2:$N$267,2,FALSE),"Ingrédient non trouvé")</f>
        <v>SOS008</v>
      </c>
      <c r="D12" s="88" t="s">
        <v>733</v>
      </c>
      <c r="E12" s="88">
        <v>20</v>
      </c>
      <c r="F12" s="86" t="str">
        <f>INDEX(tbl_IngrédientsRef[Unité], MATCH(C12, tbl_IngrédientsRef[Cde_Ingrdt],0))</f>
        <v>ml</v>
      </c>
    </row>
    <row r="13" spans="1:6" x14ac:dyDescent="0.3">
      <c r="A13" s="89" t="s">
        <v>736</v>
      </c>
      <c r="B13" s="83" t="str">
        <f>IFERROR(INDEX(tbl_ProduitsRef[Cde_Prdt],MATCH(A13,tbl_ProduitsRef[Produit],0)),"⚠️ Produit non trouvé")</f>
        <v>PAT001</v>
      </c>
      <c r="C13" s="88" t="str">
        <f>IFERROR(VLOOKUP(D13,Référentiels!$M$2:$N$267,2,FALSE),"Ingrédient non trouvé")</f>
        <v>PST001</v>
      </c>
      <c r="D13" s="88" t="s">
        <v>739</v>
      </c>
      <c r="E13" s="88">
        <v>120</v>
      </c>
      <c r="F13" s="86" t="str">
        <f>INDEX(tbl_IngrédientsRef[Unité], MATCH(C13, tbl_IngrédientsRef[Cde_Ingrdt],0))</f>
        <v>g</v>
      </c>
    </row>
    <row r="14" spans="1:6" x14ac:dyDescent="0.3">
      <c r="A14" s="89" t="s">
        <v>736</v>
      </c>
      <c r="B14" s="83" t="str">
        <f>IFERROR(INDEX(tbl_ProduitsRef[Cde_Prdt],MATCH(A14,tbl_ProduitsRef[Produit],0)),"⚠️ Produit non trouvé")</f>
        <v>PAT001</v>
      </c>
      <c r="C14" s="88" t="str">
        <f>IFERROR(VLOOKUP(D14,Référentiels!$M$2:$N$267,2,FALSE),"Ingrédient non trouvé")</f>
        <v>POI002</v>
      </c>
      <c r="D14" s="88" t="s">
        <v>378</v>
      </c>
      <c r="E14" s="88">
        <v>80</v>
      </c>
      <c r="F14" s="86" t="str">
        <f>INDEX(tbl_IngrédientsRef[Unité], MATCH(C14, tbl_IngrédientsRef[Cde_Ingrdt],0))</f>
        <v>g</v>
      </c>
    </row>
    <row r="15" spans="1:6" x14ac:dyDescent="0.3">
      <c r="A15" s="89" t="s">
        <v>736</v>
      </c>
      <c r="B15" s="83" t="str">
        <f>IFERROR(INDEX(tbl_ProduitsRef[Cde_Prdt],MATCH(A15,tbl_ProduitsRef[Produit],0)),"⚠️ Produit non trouvé")</f>
        <v>PAT001</v>
      </c>
      <c r="C15" s="88" t="str">
        <f>IFERROR(VLOOKUP(D15,Référentiels!$M$2:$N$267,2,FALSE),"Ingrédient non trouvé")</f>
        <v>PRL023</v>
      </c>
      <c r="D15" s="88" t="s">
        <v>546</v>
      </c>
      <c r="E15" s="88">
        <v>50</v>
      </c>
      <c r="F15" s="86" t="str">
        <f>INDEX(tbl_IngrédientsRef[Unité], MATCH(C15, tbl_IngrédientsRef[Cde_Ingrdt],0))</f>
        <v>g</v>
      </c>
    </row>
    <row r="16" spans="1:6" x14ac:dyDescent="0.3">
      <c r="A16" s="89" t="s">
        <v>736</v>
      </c>
      <c r="B16" s="83" t="str">
        <f>IFERROR(INDEX(tbl_ProduitsRef[Cde_Prdt],MATCH(A16,tbl_ProduitsRef[Produit],0)),"⚠️ Produit non trouvé")</f>
        <v>PAT001</v>
      </c>
      <c r="C16" s="88" t="str">
        <f>IFERROR(VLOOKUP(D16,Référentiels!$M$2:$N$267,2,FALSE),"Ingrédient non trouvé")</f>
        <v>LEG028</v>
      </c>
      <c r="D16" s="88" t="s">
        <v>537</v>
      </c>
      <c r="E16" s="88">
        <v>20</v>
      </c>
      <c r="F16" s="86" t="str">
        <f>INDEX(tbl_IngrédientsRef[Unité], MATCH(C16, tbl_IngrédientsRef[Cde_Ingrdt],0))</f>
        <v>g</v>
      </c>
    </row>
    <row r="17" spans="1:6" x14ac:dyDescent="0.3">
      <c r="A17" s="89" t="s">
        <v>736</v>
      </c>
      <c r="B17" s="83" t="str">
        <f>IFERROR(INDEX(tbl_ProduitsRef[Cde_Prdt],MATCH(A17,tbl_ProduitsRef[Produit],0)),"⚠️ Produit non trouvé")</f>
        <v>PAT001</v>
      </c>
      <c r="C17" s="88" t="str">
        <f>IFERROR(VLOOKUP(D17,Référentiels!$M$2:$N$267,2,FALSE),"Ingrédient non trouvé")</f>
        <v>CDM020</v>
      </c>
      <c r="D17" s="88" t="s">
        <v>298</v>
      </c>
      <c r="E17" s="88">
        <v>10</v>
      </c>
      <c r="F17" s="86" t="str">
        <f>INDEX(tbl_IngrédientsRef[Unité], MATCH(C17, tbl_IngrédientsRef[Cde_Ingrdt],0))</f>
        <v>ml</v>
      </c>
    </row>
    <row r="18" spans="1:6" x14ac:dyDescent="0.3">
      <c r="A18" s="89" t="s">
        <v>740</v>
      </c>
      <c r="B18" s="83" t="str">
        <f>IFERROR(INDEX(tbl_ProduitsRef[Cde_Prdt],MATCH(A18,tbl_ProduitsRef[Produit],0)),"⚠️ Produit non trouvé")</f>
        <v>PAT002</v>
      </c>
      <c r="C18" s="88" t="str">
        <f>IFERROR(VLOOKUP(D18,Référentiels!$M$2:$N$267,2,FALSE),"Ingrédient non trouvé")</f>
        <v>PST001</v>
      </c>
      <c r="D18" s="88" t="s">
        <v>739</v>
      </c>
      <c r="E18" s="88">
        <v>120</v>
      </c>
      <c r="F18" s="86" t="str">
        <f>INDEX(tbl_IngrédientsRef[Unité], MATCH(C18, tbl_IngrédientsRef[Cde_Ingrdt],0))</f>
        <v>g</v>
      </c>
    </row>
    <row r="19" spans="1:6" x14ac:dyDescent="0.3">
      <c r="A19" s="89" t="s">
        <v>740</v>
      </c>
      <c r="B19" s="83" t="str">
        <f>IFERROR(INDEX(tbl_ProduitsRef[Cde_Prdt],MATCH(A19,tbl_ProduitsRef[Produit],0)),"⚠️ Produit non trouvé")</f>
        <v>PAT002</v>
      </c>
      <c r="C19" s="88" t="str">
        <f>IFERROR(VLOOKUP(D19,Référentiels!$M$2:$N$267,2,FALSE),"Ingrédient non trouvé")</f>
        <v>FDM001</v>
      </c>
      <c r="D19" s="88" t="s">
        <v>294</v>
      </c>
      <c r="E19" s="88">
        <v>60</v>
      </c>
      <c r="F19" s="86" t="str">
        <f>INDEX(tbl_IngrédientsRef[Unité], MATCH(C19, tbl_IngrédientsRef[Cde_Ingrdt],0))</f>
        <v>g</v>
      </c>
    </row>
    <row r="20" spans="1:6" x14ac:dyDescent="0.3">
      <c r="A20" s="89" t="s">
        <v>740</v>
      </c>
      <c r="B20" s="83" t="str">
        <f>IFERROR(INDEX(tbl_ProduitsRef[Cde_Prdt],MATCH(A20,tbl_ProduitsRef[Produit],0)),"⚠️ Produit non trouvé")</f>
        <v>PAT002</v>
      </c>
      <c r="C20" s="88" t="str">
        <f>IFERROR(VLOOKUP(D20,Référentiels!$M$2:$N$267,2,FALSE),"Ingrédient non trouvé")</f>
        <v>FDM002</v>
      </c>
      <c r="D20" s="88" t="s">
        <v>354</v>
      </c>
      <c r="E20" s="88">
        <v>40</v>
      </c>
      <c r="F20" s="86" t="str">
        <f>INDEX(tbl_IngrédientsRef[Unité], MATCH(C20, tbl_IngrédientsRef[Cde_Ingrdt],0))</f>
        <v>g</v>
      </c>
    </row>
    <row r="21" spans="1:6" x14ac:dyDescent="0.3">
      <c r="A21" s="89" t="s">
        <v>740</v>
      </c>
      <c r="B21" s="83" t="str">
        <f>IFERROR(INDEX(tbl_ProduitsRef[Cde_Prdt],MATCH(A21,tbl_ProduitsRef[Produit],0)),"⚠️ Produit non trouvé")</f>
        <v>PAT002</v>
      </c>
      <c r="C21" s="88" t="str">
        <f>IFERROR(VLOOKUP(D21,Référentiels!$M$2:$N$267,2,FALSE),"Ingrédient non trouvé")</f>
        <v>FDM004</v>
      </c>
      <c r="D21" s="88" t="s">
        <v>505</v>
      </c>
      <c r="E21" s="88">
        <v>40</v>
      </c>
      <c r="F21" s="86" t="str">
        <f>INDEX(tbl_IngrédientsRef[Unité], MATCH(C21, tbl_IngrédientsRef[Cde_Ingrdt],0))</f>
        <v>g</v>
      </c>
    </row>
    <row r="22" spans="1:6" x14ac:dyDescent="0.3">
      <c r="A22" s="89" t="s">
        <v>740</v>
      </c>
      <c r="B22" s="83" t="str">
        <f>IFERROR(INDEX(tbl_ProduitsRef[Cde_Prdt],MATCH(A22,tbl_ProduitsRef[Produit],0)),"⚠️ Produit non trouvé")</f>
        <v>PAT002</v>
      </c>
      <c r="C22" s="88" t="str">
        <f>IFERROR(VLOOKUP(D22,Référentiels!$M$2:$N$267,2,FALSE),"Ingrédient non trouvé")</f>
        <v>SOS004</v>
      </c>
      <c r="D22" s="88" t="s">
        <v>220</v>
      </c>
      <c r="E22" s="88">
        <v>50</v>
      </c>
      <c r="F22" s="86" t="str">
        <f>INDEX(tbl_IngrédientsRef[Unité], MATCH(C22, tbl_IngrédientsRef[Cde_Ingrdt],0))</f>
        <v>ml</v>
      </c>
    </row>
    <row r="23" spans="1:6" x14ac:dyDescent="0.3">
      <c r="A23" s="89" t="s">
        <v>740</v>
      </c>
      <c r="B23" s="83" t="str">
        <f>IFERROR(INDEX(tbl_ProduitsRef[Cde_Prdt],MATCH(A23,tbl_ProduitsRef[Produit],0)),"⚠️ Produit non trouvé")</f>
        <v>PAT002</v>
      </c>
      <c r="C23" s="88" t="str">
        <f>IFERROR(VLOOKUP(D23,Référentiels!$M$2:$N$267,2,FALSE),"Ingrédient non trouvé")</f>
        <v>LEG003</v>
      </c>
      <c r="D23" s="88" t="s">
        <v>223</v>
      </c>
      <c r="E23" s="88">
        <v>30</v>
      </c>
      <c r="F23" s="86" t="str">
        <f>INDEX(tbl_IngrédientsRef[Unité], MATCH(C23, tbl_IngrédientsRef[Cde_Ingrdt],0))</f>
        <v>g</v>
      </c>
    </row>
    <row r="24" spans="1:6" x14ac:dyDescent="0.3">
      <c r="A24" s="89" t="s">
        <v>740</v>
      </c>
      <c r="B24" s="83" t="str">
        <f>IFERROR(INDEX(tbl_ProduitsRef[Cde_Prdt],MATCH(A24,tbl_ProduitsRef[Produit],0)),"⚠️ Produit non trouvé")</f>
        <v>PAT002</v>
      </c>
      <c r="C24" s="88" t="str">
        <f>IFERROR(VLOOKUP(D24,Référentiels!$M$2:$N$267,2,FALSE),"Ingrédient non trouvé")</f>
        <v>CDM020</v>
      </c>
      <c r="D24" s="88" t="s">
        <v>298</v>
      </c>
      <c r="E24" s="88">
        <v>10</v>
      </c>
      <c r="F24" s="86" t="str">
        <f>INDEX(tbl_IngrédientsRef[Unité], MATCH(C24, tbl_IngrédientsRef[Cde_Ingrdt],0))</f>
        <v>ml</v>
      </c>
    </row>
    <row r="25" spans="1:6" x14ac:dyDescent="0.3">
      <c r="A25" s="89" t="s">
        <v>740</v>
      </c>
      <c r="B25" s="83" t="str">
        <f>IFERROR(INDEX(tbl_ProduitsRef[Cde_Prdt],MATCH(A25,tbl_ProduitsRef[Produit],0)),"⚠️ Produit non trouvé")</f>
        <v>PAT002</v>
      </c>
      <c r="C25" s="88" t="str">
        <f>IFERROR(VLOOKUP(D25,Référentiels!$M$2:$N$267,2,FALSE),"Ingrédient non trouvé")</f>
        <v>LEG030</v>
      </c>
      <c r="D25" s="88" t="s">
        <v>743</v>
      </c>
      <c r="E25" s="88">
        <v>5</v>
      </c>
      <c r="F25" s="86" t="str">
        <f>INDEX(tbl_IngrédientsRef[Unité], MATCH(C25, tbl_IngrédientsRef[Cde_Ingrdt],0))</f>
        <v>g</v>
      </c>
    </row>
    <row r="26" spans="1:6" x14ac:dyDescent="0.3">
      <c r="A26" s="89" t="s">
        <v>744</v>
      </c>
      <c r="B26" s="83" t="str">
        <f>IFERROR(INDEX(tbl_ProduitsRef[Cde_Prdt],MATCH(A26,tbl_ProduitsRef[Produit],0)),"⚠️ Produit non trouvé")</f>
        <v>PAT003</v>
      </c>
      <c r="C26" s="88" t="str">
        <f>IFERROR(VLOOKUP(D26,Référentiels!$M$2:$N$267,2,FALSE),"Ingrédient non trouvé")</f>
        <v>PST001</v>
      </c>
      <c r="D26" s="88" t="s">
        <v>739</v>
      </c>
      <c r="E26" s="88">
        <v>120</v>
      </c>
      <c r="F26" s="86" t="str">
        <f>INDEX(tbl_IngrédientsRef[Unité], MATCH(C26, tbl_IngrédientsRef[Cde_Ingrdt],0))</f>
        <v>g</v>
      </c>
    </row>
    <row r="27" spans="1:6" x14ac:dyDescent="0.3">
      <c r="A27" s="89" t="s">
        <v>744</v>
      </c>
      <c r="B27" s="83" t="str">
        <f>IFERROR(INDEX(tbl_ProduitsRef[Cde_Prdt],MATCH(A27,tbl_ProduitsRef[Produit],0)),"⚠️ Produit non trouvé")</f>
        <v>PAT003</v>
      </c>
      <c r="C27" s="88" t="str">
        <f>IFERROR(VLOOKUP(D27,Référentiels!$M$2:$N$267,2,FALSE),"Ingrédient non trouvé")</f>
        <v>VOL001</v>
      </c>
      <c r="D27" s="88" t="s">
        <v>390</v>
      </c>
      <c r="E27" s="88">
        <v>80</v>
      </c>
      <c r="F27" s="86" t="str">
        <f>INDEX(tbl_IngrédientsRef[Unité], MATCH(C27, tbl_IngrédientsRef[Cde_Ingrdt],0))</f>
        <v>g</v>
      </c>
    </row>
    <row r="28" spans="1:6" x14ac:dyDescent="0.3">
      <c r="A28" s="89" t="s">
        <v>744</v>
      </c>
      <c r="B28" s="83" t="str">
        <f>IFERROR(INDEX(tbl_ProduitsRef[Cde_Prdt],MATCH(A28,tbl_ProduitsRef[Produit],0)),"⚠️ Produit non trouvé")</f>
        <v>PAT003</v>
      </c>
      <c r="C28" s="88" t="str">
        <f>IFERROR(VLOOKUP(D28,Référentiels!$M$2:$N$267,2,FALSE),"Ingrédient non trouvé")</f>
        <v>CDM004</v>
      </c>
      <c r="D28" s="88" t="s">
        <v>312</v>
      </c>
      <c r="E28" s="88">
        <v>0.3</v>
      </c>
      <c r="F28" s="86" t="str">
        <f>INDEX(tbl_IngrédientsRef[Unité], MATCH(C28, tbl_IngrédientsRef[Cde_Ingrdt],0))</f>
        <v>Pièce</v>
      </c>
    </row>
    <row r="29" spans="1:6" x14ac:dyDescent="0.3">
      <c r="A29" s="89" t="s">
        <v>744</v>
      </c>
      <c r="B29" s="83" t="str">
        <f>IFERROR(INDEX(tbl_ProduitsRef[Cde_Prdt],MATCH(A29,tbl_ProduitsRef[Produit],0)),"⚠️ Produit non trouvé")</f>
        <v>PAT003</v>
      </c>
      <c r="C29" s="88" t="str">
        <f>IFERROR(VLOOKUP(D29,Référentiels!$M$2:$N$267,2,FALSE),"Ingrédient non trouvé")</f>
        <v>PRL023</v>
      </c>
      <c r="D29" s="88" t="s">
        <v>546</v>
      </c>
      <c r="E29" s="88">
        <v>50</v>
      </c>
      <c r="F29" s="86" t="str">
        <f>INDEX(tbl_IngrédientsRef[Unité], MATCH(C29, tbl_IngrédientsRef[Cde_Ingrdt],0))</f>
        <v>g</v>
      </c>
    </row>
    <row r="30" spans="1:6" x14ac:dyDescent="0.3">
      <c r="A30" s="89" t="s">
        <v>744</v>
      </c>
      <c r="B30" s="83" t="str">
        <f>IFERROR(INDEX(tbl_ProduitsRef[Cde_Prdt],MATCH(A30,tbl_ProduitsRef[Produit],0)),"⚠️ Produit non trouvé")</f>
        <v>PAT003</v>
      </c>
      <c r="C30" s="88" t="str">
        <f>IFERROR(VLOOKUP(D30,Référentiels!$M$2:$N$267,2,FALSE),"Ingrédient non trouvé")</f>
        <v>LEG007</v>
      </c>
      <c r="D30" s="88" t="s">
        <v>310</v>
      </c>
      <c r="E30" s="88">
        <v>20</v>
      </c>
      <c r="F30" s="86" t="str">
        <f>INDEX(tbl_IngrédientsRef[Unité], MATCH(C30, tbl_IngrédientsRef[Cde_Ingrdt],0))</f>
        <v>g</v>
      </c>
    </row>
    <row r="31" spans="1:6" x14ac:dyDescent="0.3">
      <c r="A31" s="89" t="s">
        <v>746</v>
      </c>
      <c r="B31" s="83" t="str">
        <f>IFERROR(INDEX(tbl_ProduitsRef[Cde_Prdt],MATCH(A31,tbl_ProduitsRef[Produit],0)),"⚠️ Produit non trouvé")</f>
        <v>PAT004</v>
      </c>
      <c r="C31" s="88" t="str">
        <f>IFERROR(VLOOKUP(D31,Référentiels!$M$2:$N$267,2,FALSE),"Ingrédient non trouvé")</f>
        <v>PST002</v>
      </c>
      <c r="D31" s="88" t="s">
        <v>749</v>
      </c>
      <c r="E31" s="88">
        <v>120</v>
      </c>
      <c r="F31" s="86" t="str">
        <f>INDEX(tbl_IngrédientsRef[Unité], MATCH(C31, tbl_IngrédientsRef[Cde_Ingrdt],0))</f>
        <v>g</v>
      </c>
    </row>
    <row r="32" spans="1:6" x14ac:dyDescent="0.3">
      <c r="A32" s="89" t="s">
        <v>746</v>
      </c>
      <c r="B32" s="83" t="str">
        <f>IFERROR(INDEX(tbl_ProduitsRef[Cde_Prdt],MATCH(A32,tbl_ProduitsRef[Produit],0)),"⚠️ Produit non trouvé")</f>
        <v>PAT004</v>
      </c>
      <c r="C32" s="88" t="str">
        <f>IFERROR(VLOOKUP(D32,Référentiels!$M$2:$N$267,2,FALSE),"Ingrédient non trouvé")</f>
        <v>CHA004</v>
      </c>
      <c r="D32" s="88" t="s">
        <v>234</v>
      </c>
      <c r="E32" s="88">
        <v>60</v>
      </c>
      <c r="F32" s="86" t="str">
        <f>INDEX(tbl_IngrédientsRef[Unité], MATCH(C32, tbl_IngrédientsRef[Cde_Ingrdt],0))</f>
        <v>g</v>
      </c>
    </row>
    <row r="33" spans="1:6" x14ac:dyDescent="0.3">
      <c r="A33" s="89" t="s">
        <v>746</v>
      </c>
      <c r="B33" s="83" t="str">
        <f>IFERROR(INDEX(tbl_ProduitsRef[Cde_Prdt],MATCH(A33,tbl_ProduitsRef[Produit],0)),"⚠️ Produit non trouvé")</f>
        <v>PAT004</v>
      </c>
      <c r="C33" s="88" t="str">
        <f>IFERROR(VLOOKUP(D33,Référentiels!$M$2:$N$267,2,FALSE),"Ingrédient non trouvé")</f>
        <v>PRL023</v>
      </c>
      <c r="D33" s="88" t="s">
        <v>546</v>
      </c>
      <c r="E33" s="88">
        <v>50</v>
      </c>
      <c r="F33" s="86" t="str">
        <f>INDEX(tbl_IngrédientsRef[Unité], MATCH(C33, tbl_IngrédientsRef[Cde_Ingrdt],0))</f>
        <v>g</v>
      </c>
    </row>
    <row r="34" spans="1:6" x14ac:dyDescent="0.3">
      <c r="A34" s="89" t="s">
        <v>746</v>
      </c>
      <c r="B34" s="83" t="str">
        <f>IFERROR(INDEX(tbl_ProduitsRef[Cde_Prdt],MATCH(A34,tbl_ProduitsRef[Produit],0)),"⚠️ Produit non trouvé")</f>
        <v>PAT004</v>
      </c>
      <c r="C34" s="88" t="str">
        <f>IFERROR(VLOOKUP(D34,Référentiels!$M$2:$N$267,2,FALSE),"Ingrédient non trouvé")</f>
        <v>PRL001</v>
      </c>
      <c r="D34" s="88" t="s">
        <v>211</v>
      </c>
      <c r="E34" s="88">
        <v>1</v>
      </c>
      <c r="F34" s="86" t="str">
        <f>INDEX(tbl_IngrédientsRef[Unité], MATCH(C34, tbl_IngrédientsRef[Cde_Ingrdt],0))</f>
        <v>Pièce</v>
      </c>
    </row>
    <row r="35" spans="1:6" x14ac:dyDescent="0.3">
      <c r="A35" s="89" t="s">
        <v>746</v>
      </c>
      <c r="B35" s="83" t="str">
        <f>IFERROR(INDEX(tbl_ProduitsRef[Cde_Prdt],MATCH(A35,tbl_ProduitsRef[Produit],0)),"⚠️ Produit non trouvé")</f>
        <v>PAT004</v>
      </c>
      <c r="C35" s="88" t="str">
        <f>IFERROR(VLOOKUP(D35,Référentiels!$M$2:$N$267,2,FALSE),"Ingrédient non trouvé")</f>
        <v>PRL016</v>
      </c>
      <c r="D35" s="88" t="s">
        <v>392</v>
      </c>
      <c r="E35" s="88">
        <v>10</v>
      </c>
      <c r="F35" s="86" t="str">
        <f>INDEX(tbl_IngrédientsRef[Unité], MATCH(C35, tbl_IngrédientsRef[Cde_Ingrdt],0))</f>
        <v>g</v>
      </c>
    </row>
    <row r="36" spans="1:6" x14ac:dyDescent="0.3">
      <c r="A36" s="89" t="s">
        <v>746</v>
      </c>
      <c r="B36" s="83" t="str">
        <f>IFERROR(INDEX(tbl_ProduitsRef[Cde_Prdt],MATCH(A36,tbl_ProduitsRef[Produit],0)),"⚠️ Produit non trouvé")</f>
        <v>PAT004</v>
      </c>
      <c r="C36" s="88" t="str">
        <f>IFERROR(VLOOKUP(D36,Référentiels!$M$2:$N$267,2,FALSE),"Ingrédient non trouvé")</f>
        <v>EPI005</v>
      </c>
      <c r="D36" s="88" t="s">
        <v>300</v>
      </c>
      <c r="E36" s="88">
        <v>2</v>
      </c>
      <c r="F36" s="86" t="str">
        <f>INDEX(tbl_IngrédientsRef[Unité], MATCH(C36, tbl_IngrédientsRef[Cde_Ingrdt],0))</f>
        <v>g</v>
      </c>
    </row>
    <row r="37" spans="1:6" x14ac:dyDescent="0.3">
      <c r="A37" s="89" t="s">
        <v>750</v>
      </c>
      <c r="B37" s="83" t="str">
        <f>IFERROR(INDEX(tbl_ProduitsRef[Cde_Prdt],MATCH(A37,tbl_ProduitsRef[Produit],0)),"⚠️ Produit non trouvé")</f>
        <v>PAT005</v>
      </c>
      <c r="C37" s="88" t="str">
        <f>IFERROR(VLOOKUP(D37,Référentiels!$M$2:$N$267,2,FALSE),"Ingrédient non trouvé")</f>
        <v>PST002</v>
      </c>
      <c r="D37" s="88" t="s">
        <v>749</v>
      </c>
      <c r="E37" s="88">
        <v>120</v>
      </c>
      <c r="F37" s="86" t="str">
        <f>INDEX(tbl_IngrédientsRef[Unité], MATCH(C37, tbl_IngrédientsRef[Cde_Ingrdt],0))</f>
        <v>g</v>
      </c>
    </row>
    <row r="38" spans="1:6" x14ac:dyDescent="0.3">
      <c r="A38" s="89" t="s">
        <v>750</v>
      </c>
      <c r="B38" s="83" t="str">
        <f>IFERROR(INDEX(tbl_ProduitsRef[Cde_Prdt],MATCH(A38,tbl_ProduitsRef[Produit],0)),"⚠️ Produit non trouvé")</f>
        <v>PAT005</v>
      </c>
      <c r="C38" s="88" t="str">
        <f>IFERROR(VLOOKUP(D38,Référentiels!$M$2:$N$267,2,FALSE),"Ingrédient non trouvé")</f>
        <v>BOE001</v>
      </c>
      <c r="D38" s="88" t="s">
        <v>473</v>
      </c>
      <c r="E38" s="88">
        <v>100</v>
      </c>
      <c r="F38" s="86" t="str">
        <f>INDEX(tbl_IngrédientsRef[Unité], MATCH(C38, tbl_IngrédientsRef[Cde_Ingrdt],0))</f>
        <v>g</v>
      </c>
    </row>
    <row r="39" spans="1:6" x14ac:dyDescent="0.3">
      <c r="A39" s="89" t="s">
        <v>750</v>
      </c>
      <c r="B39" s="83" t="str">
        <f>IFERROR(INDEX(tbl_ProduitsRef[Cde_Prdt],MATCH(A39,tbl_ProduitsRef[Produit],0)),"⚠️ Produit non trouvé")</f>
        <v>PAT005</v>
      </c>
      <c r="C39" s="88" t="str">
        <f>IFERROR(VLOOKUP(D39,Référentiels!$M$2:$N$267,2,FALSE),"Ingrédient non trouvé")</f>
        <v>SOS004</v>
      </c>
      <c r="D39" s="88" t="s">
        <v>220</v>
      </c>
      <c r="E39" s="88">
        <v>60</v>
      </c>
      <c r="F39" s="86" t="str">
        <f>INDEX(tbl_IngrédientsRef[Unité], MATCH(C39, tbl_IngrédientsRef[Cde_Ingrdt],0))</f>
        <v>ml</v>
      </c>
    </row>
    <row r="40" spans="1:6" x14ac:dyDescent="0.3">
      <c r="A40" s="89" t="s">
        <v>750</v>
      </c>
      <c r="B40" s="83" t="str">
        <f>IFERROR(INDEX(tbl_ProduitsRef[Cde_Prdt],MATCH(A40,tbl_ProduitsRef[Produit],0)),"⚠️ Produit non trouvé")</f>
        <v>PAT005</v>
      </c>
      <c r="C40" s="88" t="str">
        <f>IFERROR(VLOOKUP(D40,Référentiels!$M$2:$N$267,2,FALSE),"Ingrédient non trouvé")</f>
        <v>LEG007</v>
      </c>
      <c r="D40" s="88" t="s">
        <v>310</v>
      </c>
      <c r="E40" s="88">
        <v>30</v>
      </c>
      <c r="F40" s="86" t="str">
        <f>INDEX(tbl_IngrédientsRef[Unité], MATCH(C40, tbl_IngrédientsRef[Cde_Ingrdt],0))</f>
        <v>g</v>
      </c>
    </row>
    <row r="41" spans="1:6" x14ac:dyDescent="0.3">
      <c r="A41" s="89" t="s">
        <v>750</v>
      </c>
      <c r="B41" s="83" t="str">
        <f>IFERROR(INDEX(tbl_ProduitsRef[Cde_Prdt],MATCH(A41,tbl_ProduitsRef[Produit],0)),"⚠️ Produit non trouvé")</f>
        <v>PAT005</v>
      </c>
      <c r="C41" s="88" t="str">
        <f>IFERROR(VLOOKUP(D41,Référentiels!$M$2:$N$267,2,FALSE),"Ingrédient non trouvé")</f>
        <v>CDM020</v>
      </c>
      <c r="D41" s="88" t="s">
        <v>298</v>
      </c>
      <c r="E41" s="88">
        <v>10</v>
      </c>
      <c r="F41" s="86" t="str">
        <f>INDEX(tbl_IngrédientsRef[Unité], MATCH(C41, tbl_IngrédientsRef[Cde_Ingrdt],0))</f>
        <v>ml</v>
      </c>
    </row>
    <row r="42" spans="1:6" x14ac:dyDescent="0.3">
      <c r="A42" s="89" t="s">
        <v>750</v>
      </c>
      <c r="B42" s="83" t="str">
        <f>IFERROR(INDEX(tbl_ProduitsRef[Cde_Prdt],MATCH(A42,tbl_ProduitsRef[Produit],0)),"⚠️ Produit non trouvé")</f>
        <v>PAT005</v>
      </c>
      <c r="C42" s="88" t="str">
        <f>IFERROR(VLOOKUP(D42,Référentiels!$M$2:$N$267,2,FALSE),"Ingrédient non trouvé")</f>
        <v>PRL016</v>
      </c>
      <c r="D42" s="88" t="s">
        <v>392</v>
      </c>
      <c r="E42" s="88">
        <v>10</v>
      </c>
      <c r="F42" s="86" t="str">
        <f>INDEX(tbl_IngrédientsRef[Unité], MATCH(C42, tbl_IngrédientsRef[Cde_Ingrdt],0))</f>
        <v>g</v>
      </c>
    </row>
    <row r="43" spans="1:6" x14ac:dyDescent="0.3">
      <c r="A43" s="89" t="s">
        <v>752</v>
      </c>
      <c r="B43" s="83" t="str">
        <f>IFERROR(INDEX(tbl_ProduitsRef[Cde_Prdt],MATCH(A43,tbl_ProduitsRef[Produit],0)),"⚠️ Produit non trouvé")</f>
        <v>PAT006</v>
      </c>
      <c r="C43" s="88" t="str">
        <f>IFERROR(VLOOKUP(D43,Référentiels!$M$2:$N$267,2,FALSE),"Ingrédient non trouvé")</f>
        <v>PST003</v>
      </c>
      <c r="D43" s="88" t="s">
        <v>701</v>
      </c>
      <c r="E43" s="88">
        <v>120</v>
      </c>
      <c r="F43" s="86" t="str">
        <f>INDEX(tbl_IngrédientsRef[Unité], MATCH(C43, tbl_IngrédientsRef[Cde_Ingrdt],0))</f>
        <v>g</v>
      </c>
    </row>
    <row r="44" spans="1:6" x14ac:dyDescent="0.3">
      <c r="A44" s="89" t="s">
        <v>752</v>
      </c>
      <c r="B44" s="83" t="str">
        <f>IFERROR(INDEX(tbl_ProduitsRef[Cde_Prdt],MATCH(A44,tbl_ProduitsRef[Produit],0)),"⚠️ Produit non trouvé")</f>
        <v>PAT006</v>
      </c>
      <c r="C44" s="88" t="str">
        <f>IFERROR(VLOOKUP(D44,Référentiels!$M$2:$N$267,2,FALSE),"Ingrédient non trouvé")</f>
        <v>CHA003</v>
      </c>
      <c r="D44" s="88" t="s">
        <v>754</v>
      </c>
      <c r="E44" s="88">
        <v>60</v>
      </c>
      <c r="F44" s="86" t="str">
        <f>INDEX(tbl_IngrédientsRef[Unité], MATCH(C44, tbl_IngrédientsRef[Cde_Ingrdt],0))</f>
        <v>g</v>
      </c>
    </row>
    <row r="45" spans="1:6" x14ac:dyDescent="0.3">
      <c r="A45" s="89" t="s">
        <v>752</v>
      </c>
      <c r="B45" s="83" t="str">
        <f>IFERROR(INDEX(tbl_ProduitsRef[Cde_Prdt],MATCH(A45,tbl_ProduitsRef[Produit],0)),"⚠️ Produit non trouvé")</f>
        <v>PAT006</v>
      </c>
      <c r="C45" s="88" t="str">
        <f>IFERROR(VLOOKUP(D45,Référentiels!$M$2:$N$267,2,FALSE),"Ingrédient non trouvé")</f>
        <v>FDM001</v>
      </c>
      <c r="D45" s="88" t="s">
        <v>294</v>
      </c>
      <c r="E45" s="88">
        <v>40</v>
      </c>
      <c r="F45" s="86" t="str">
        <f>INDEX(tbl_IngrédientsRef[Unité], MATCH(C45, tbl_IngrédientsRef[Cde_Ingrdt],0))</f>
        <v>g</v>
      </c>
    </row>
    <row r="46" spans="1:6" x14ac:dyDescent="0.3">
      <c r="A46" s="89" t="s">
        <v>752</v>
      </c>
      <c r="B46" s="83" t="str">
        <f>IFERROR(INDEX(tbl_ProduitsRef[Cde_Prdt],MATCH(A46,tbl_ProduitsRef[Produit],0)),"⚠️ Produit non trouvé")</f>
        <v>PAT006</v>
      </c>
      <c r="C46" s="88" t="str">
        <f>IFERROR(VLOOKUP(D46,Référentiels!$M$2:$N$267,2,FALSE),"Ingrédient non trouvé")</f>
        <v>CDM004</v>
      </c>
      <c r="D46" s="88" t="s">
        <v>312</v>
      </c>
      <c r="E46" s="88">
        <v>0.3</v>
      </c>
      <c r="F46" s="86" t="str">
        <f>INDEX(tbl_IngrédientsRef[Unité], MATCH(C46, tbl_IngrédientsRef[Cde_Ingrdt],0))</f>
        <v>Pièce</v>
      </c>
    </row>
    <row r="47" spans="1:6" x14ac:dyDescent="0.3">
      <c r="A47" s="89" t="s">
        <v>752</v>
      </c>
      <c r="B47" s="83" t="str">
        <f>IFERROR(INDEX(tbl_ProduitsRef[Cde_Prdt],MATCH(A47,tbl_ProduitsRef[Produit],0)),"⚠️ Produit non trouvé")</f>
        <v>PAT006</v>
      </c>
      <c r="C47" s="88" t="str">
        <f>IFERROR(VLOOKUP(D47,Référentiels!$M$2:$N$267,2,FALSE),"Ingrédient non trouvé")</f>
        <v>LEG002</v>
      </c>
      <c r="D47" s="88" t="s">
        <v>308</v>
      </c>
      <c r="E47" s="88">
        <v>30</v>
      </c>
      <c r="F47" s="86" t="str">
        <f>INDEX(tbl_IngrédientsRef[Unité], MATCH(C47, tbl_IngrédientsRef[Cde_Ingrdt],0))</f>
        <v>g</v>
      </c>
    </row>
    <row r="48" spans="1:6" x14ac:dyDescent="0.3">
      <c r="A48" s="89" t="s">
        <v>752</v>
      </c>
      <c r="B48" s="83" t="str">
        <f>IFERROR(INDEX(tbl_ProduitsRef[Cde_Prdt],MATCH(A48,tbl_ProduitsRef[Produit],0)),"⚠️ Produit non trouvé")</f>
        <v>PAT006</v>
      </c>
      <c r="C48" s="88" t="str">
        <f>IFERROR(VLOOKUP(D48,Référentiels!$M$2:$N$267,2,FALSE),"Ingrédient non trouvé")</f>
        <v>PRL023</v>
      </c>
      <c r="D48" s="88" t="s">
        <v>546</v>
      </c>
      <c r="E48" s="88">
        <v>50</v>
      </c>
      <c r="F48" s="86" t="str">
        <f>INDEX(tbl_IngrédientsRef[Unité], MATCH(C48, tbl_IngrédientsRef[Cde_Ingrdt],0))</f>
        <v>g</v>
      </c>
    </row>
    <row r="49" spans="1:6" x14ac:dyDescent="0.3">
      <c r="A49" s="89" t="s">
        <v>755</v>
      </c>
      <c r="B49" s="83" t="str">
        <f>IFERROR(INDEX(tbl_ProduitsRef[Cde_Prdt],MATCH(A49,tbl_ProduitsRef[Produit],0)),"⚠️ Produit non trouvé")</f>
        <v>PAT007</v>
      </c>
      <c r="C49" s="88" t="str">
        <f>IFERROR(VLOOKUP(D49,Référentiels!$M$2:$N$267,2,FALSE),"Ingrédient non trouvé")</f>
        <v>PST005</v>
      </c>
      <c r="D49" s="88" t="s">
        <v>758</v>
      </c>
      <c r="E49" s="88">
        <v>50</v>
      </c>
      <c r="F49" s="86" t="str">
        <f>INDEX(tbl_IngrédientsRef[Unité], MATCH(C49, tbl_IngrédientsRef[Cde_Ingrdt],0))</f>
        <v>g</v>
      </c>
    </row>
    <row r="50" spans="1:6" x14ac:dyDescent="0.3">
      <c r="A50" s="89" t="s">
        <v>755</v>
      </c>
      <c r="B50" s="83" t="str">
        <f>IFERROR(INDEX(tbl_ProduitsRef[Cde_Prdt],MATCH(A50,tbl_ProduitsRef[Produit],0)),"⚠️ Produit non trouvé")</f>
        <v>PAT007</v>
      </c>
      <c r="C50" s="88" t="str">
        <f>IFERROR(VLOOKUP(D50,Référentiels!$M$2:$N$267,2,FALSE),"Ingrédient non trouvé")</f>
        <v>PST002</v>
      </c>
      <c r="D50" s="88" t="s">
        <v>749</v>
      </c>
      <c r="E50" s="88">
        <v>50</v>
      </c>
      <c r="F50" s="86" t="str">
        <f>INDEX(tbl_IngrédientsRef[Unité], MATCH(C50, tbl_IngrédientsRef[Cde_Ingrdt],0))</f>
        <v>g</v>
      </c>
    </row>
    <row r="51" spans="1:6" x14ac:dyDescent="0.3">
      <c r="A51" s="89" t="s">
        <v>755</v>
      </c>
      <c r="B51" s="83" t="str">
        <f>IFERROR(INDEX(tbl_ProduitsRef[Cde_Prdt],MATCH(A51,tbl_ProduitsRef[Produit],0)),"⚠️ Produit non trouvé")</f>
        <v>PAT007</v>
      </c>
      <c r="C51" s="88" t="str">
        <f>IFERROR(VLOOKUP(D51,Référentiels!$M$2:$N$267,2,FALSE),"Ingrédient non trouvé")</f>
        <v>PST001</v>
      </c>
      <c r="D51" s="88" t="s">
        <v>739</v>
      </c>
      <c r="E51" s="88">
        <v>50</v>
      </c>
      <c r="F51" s="86" t="str">
        <f>INDEX(tbl_IngrédientsRef[Unité], MATCH(C51, tbl_IngrédientsRef[Cde_Ingrdt],0))</f>
        <v>g</v>
      </c>
    </row>
    <row r="52" spans="1:6" x14ac:dyDescent="0.3">
      <c r="A52" s="89" t="s">
        <v>755</v>
      </c>
      <c r="B52" s="83" t="str">
        <f>IFERROR(INDEX(tbl_ProduitsRef[Cde_Prdt],MATCH(A52,tbl_ProduitsRef[Produit],0)),"⚠️ Produit non trouvé")</f>
        <v>PAT007</v>
      </c>
      <c r="C52" s="88" t="str">
        <f>IFERROR(VLOOKUP(D52,Référentiels!$M$2:$N$267,2,FALSE),"Ingrédient non trouvé")</f>
        <v>POI002</v>
      </c>
      <c r="D52" s="88" t="s">
        <v>378</v>
      </c>
      <c r="E52" s="88">
        <v>50</v>
      </c>
      <c r="F52" s="86" t="str">
        <f>INDEX(tbl_IngrédientsRef[Unité], MATCH(C52, tbl_IngrédientsRef[Cde_Ingrdt],0))</f>
        <v>g</v>
      </c>
    </row>
    <row r="53" spans="1:6" x14ac:dyDescent="0.3">
      <c r="A53" s="89" t="s">
        <v>755</v>
      </c>
      <c r="B53" s="83" t="str">
        <f>IFERROR(INDEX(tbl_ProduitsRef[Cde_Prdt],MATCH(A53,tbl_ProduitsRef[Produit],0)),"⚠️ Produit non trouvé")</f>
        <v>PAT007</v>
      </c>
      <c r="C53" s="88" t="str">
        <f>IFERROR(VLOOKUP(D53,Référentiels!$M$2:$N$267,2,FALSE),"Ingrédient non trouvé")</f>
        <v>FDM001</v>
      </c>
      <c r="D53" s="88" t="s">
        <v>294</v>
      </c>
      <c r="E53" s="88">
        <v>20</v>
      </c>
      <c r="F53" s="86" t="str">
        <f>INDEX(tbl_IngrédientsRef[Unité], MATCH(C53, tbl_IngrédientsRef[Cde_Ingrdt],0))</f>
        <v>g</v>
      </c>
    </row>
    <row r="54" spans="1:6" x14ac:dyDescent="0.3">
      <c r="A54" s="89" t="s">
        <v>755</v>
      </c>
      <c r="B54" s="83" t="str">
        <f>IFERROR(INDEX(tbl_ProduitsRef[Cde_Prdt],MATCH(A54,tbl_ProduitsRef[Produit],0)),"⚠️ Produit non trouvé")</f>
        <v>PAT007</v>
      </c>
      <c r="C54" s="88" t="str">
        <f>IFERROR(VLOOKUP(D54,Référentiels!$M$2:$N$267,2,FALSE),"Ingrédient non trouvé")</f>
        <v>FDM004</v>
      </c>
      <c r="D54" s="88" t="s">
        <v>505</v>
      </c>
      <c r="E54" s="88">
        <v>20</v>
      </c>
      <c r="F54" s="86" t="str">
        <f>INDEX(tbl_IngrédientsRef[Unité], MATCH(C54, tbl_IngrédientsRef[Cde_Ingrdt],0))</f>
        <v>g</v>
      </c>
    </row>
    <row r="55" spans="1:6" x14ac:dyDescent="0.3">
      <c r="A55" s="89" t="s">
        <v>755</v>
      </c>
      <c r="B55" s="83" t="str">
        <f>IFERROR(INDEX(tbl_ProduitsRef[Cde_Prdt],MATCH(A55,tbl_ProduitsRef[Produit],0)),"⚠️ Produit non trouvé")</f>
        <v>PAT007</v>
      </c>
      <c r="C55" s="88" t="str">
        <f>IFERROR(VLOOKUP(D55,Référentiels!$M$2:$N$267,2,FALSE),"Ingrédient non trouvé")</f>
        <v>FDM002</v>
      </c>
      <c r="D55" s="88" t="s">
        <v>354</v>
      </c>
      <c r="E55" s="88">
        <v>20</v>
      </c>
      <c r="F55" s="86" t="str">
        <f>INDEX(tbl_IngrédientsRef[Unité], MATCH(C55, tbl_IngrédientsRef[Cde_Ingrdt],0))</f>
        <v>g</v>
      </c>
    </row>
    <row r="56" spans="1:6" x14ac:dyDescent="0.3">
      <c r="A56" s="89" t="s">
        <v>755</v>
      </c>
      <c r="B56" s="83" t="str">
        <f>IFERROR(INDEX(tbl_ProduitsRef[Cde_Prdt],MATCH(A56,tbl_ProduitsRef[Produit],0)),"⚠️ Produit non trouvé")</f>
        <v>PAT007</v>
      </c>
      <c r="C56" s="88" t="str">
        <f>IFERROR(VLOOKUP(D56,Référentiels!$M$2:$N$267,2,FALSE),"Ingrédient non trouvé")</f>
        <v>BOE001</v>
      </c>
      <c r="D56" s="88" t="s">
        <v>473</v>
      </c>
      <c r="E56" s="88">
        <v>50</v>
      </c>
      <c r="F56" s="86" t="str">
        <f>INDEX(tbl_IngrédientsRef[Unité], MATCH(C56, tbl_IngrédientsRef[Cde_Ingrdt],0))</f>
        <v>g</v>
      </c>
    </row>
    <row r="57" spans="1:6" x14ac:dyDescent="0.3">
      <c r="A57" s="89" t="s">
        <v>755</v>
      </c>
      <c r="B57" s="83" t="str">
        <f>IFERROR(INDEX(tbl_ProduitsRef[Cde_Prdt],MATCH(A57,tbl_ProduitsRef[Produit],0)),"⚠️ Produit non trouvé")</f>
        <v>PAT007</v>
      </c>
      <c r="C57" s="88" t="str">
        <f>IFERROR(VLOOKUP(D57,Référentiels!$M$2:$N$267,2,FALSE),"Ingrédient non trouvé")</f>
        <v>SOS004</v>
      </c>
      <c r="D57" s="88" t="s">
        <v>220</v>
      </c>
      <c r="E57" s="88">
        <v>40</v>
      </c>
      <c r="F57" s="86" t="str">
        <f>INDEX(tbl_IngrédientsRef[Unité], MATCH(C57, tbl_IngrédientsRef[Cde_Ingrdt],0))</f>
        <v>ml</v>
      </c>
    </row>
    <row r="58" spans="1:6" x14ac:dyDescent="0.3">
      <c r="A58" s="89" t="s">
        <v>755</v>
      </c>
      <c r="B58" s="83" t="str">
        <f>IFERROR(INDEX(tbl_ProduitsRef[Cde_Prdt],MATCH(A58,tbl_ProduitsRef[Produit],0)),"⚠️ Produit non trouvé")</f>
        <v>PAT007</v>
      </c>
      <c r="C58" s="88" t="str">
        <f>IFERROR(VLOOKUP(D58,Référentiels!$M$2:$N$267,2,FALSE),"Ingrédient non trouvé")</f>
        <v>PRL023</v>
      </c>
      <c r="D58" s="88" t="s">
        <v>546</v>
      </c>
      <c r="E58" s="88">
        <v>40</v>
      </c>
      <c r="F58" s="86" t="str">
        <f>INDEX(tbl_IngrédientsRef[Unité], MATCH(C58, tbl_IngrédientsRef[Cde_Ingrdt],0))</f>
        <v>g</v>
      </c>
    </row>
    <row r="59" spans="1:6" x14ac:dyDescent="0.3">
      <c r="A59" s="89" t="s">
        <v>755</v>
      </c>
      <c r="B59" s="83" t="str">
        <f>IFERROR(INDEX(tbl_ProduitsRef[Cde_Prdt],MATCH(A59,tbl_ProduitsRef[Produit],0)),"⚠️ Produit non trouvé")</f>
        <v>PAT007</v>
      </c>
      <c r="C59" s="88" t="str">
        <f>IFERROR(VLOOKUP(D59,Référentiels!$M$2:$N$267,2,FALSE),"Ingrédient non trouvé")</f>
        <v>PRL007</v>
      </c>
      <c r="D59" s="88" t="s">
        <v>304</v>
      </c>
      <c r="E59" s="88">
        <v>60</v>
      </c>
      <c r="F59" s="86" t="str">
        <f>INDEX(tbl_IngrédientsRef[Unité], MATCH(C59, tbl_IngrédientsRef[Cde_Ingrdt],0))</f>
        <v>g</v>
      </c>
    </row>
    <row r="60" spans="1:6" x14ac:dyDescent="0.3">
      <c r="A60" s="89" t="s">
        <v>759</v>
      </c>
      <c r="B60" s="83" t="str">
        <f>IFERROR(INDEX(tbl_ProduitsRef[Cde_Prdt],MATCH(A60,tbl_ProduitsRef[Produit],0)),"⚠️ Produit non trouvé")</f>
        <v>PAT008</v>
      </c>
      <c r="C60" s="88" t="str">
        <f>IFERROR(VLOOKUP(D60,Référentiels!$M$2:$N$267,2,FALSE),"Ingrédient non trouvé")</f>
        <v>PST004</v>
      </c>
      <c r="D60" s="88" t="s">
        <v>762</v>
      </c>
      <c r="E60" s="88">
        <v>150</v>
      </c>
      <c r="F60" s="86" t="str">
        <f>INDEX(tbl_IngrédientsRef[Unité], MATCH(C60, tbl_IngrédientsRef[Cde_Ingrdt],0))</f>
        <v>g</v>
      </c>
    </row>
    <row r="61" spans="1:6" x14ac:dyDescent="0.3">
      <c r="A61" s="89" t="s">
        <v>759</v>
      </c>
      <c r="B61" s="83" t="str">
        <f>IFERROR(INDEX(tbl_ProduitsRef[Cde_Prdt],MATCH(A61,tbl_ProduitsRef[Produit],0)),"⚠️ Produit non trouvé")</f>
        <v>PAT008</v>
      </c>
      <c r="C61" s="88" t="str">
        <f>IFERROR(VLOOKUP(D61,Référentiels!$M$2:$N$267,2,FALSE),"Ingrédient non trouvé")</f>
        <v>FDM001</v>
      </c>
      <c r="D61" s="88" t="s">
        <v>294</v>
      </c>
      <c r="E61" s="88">
        <v>60</v>
      </c>
      <c r="F61" s="86" t="str">
        <f>INDEX(tbl_IngrédientsRef[Unité], MATCH(C61, tbl_IngrédientsRef[Cde_Ingrdt],0))</f>
        <v>g</v>
      </c>
    </row>
    <row r="62" spans="1:6" x14ac:dyDescent="0.3">
      <c r="A62" s="89" t="s">
        <v>759</v>
      </c>
      <c r="B62" s="83" t="str">
        <f>IFERROR(INDEX(tbl_ProduitsRef[Cde_Prdt],MATCH(A62,tbl_ProduitsRef[Produit],0)),"⚠️ Produit non trouvé")</f>
        <v>PAT008</v>
      </c>
      <c r="C62" s="88" t="str">
        <f>IFERROR(VLOOKUP(D62,Référentiels!$M$2:$N$267,2,FALSE),"Ingrédient non trouvé")</f>
        <v>FDM002</v>
      </c>
      <c r="D62" s="88" t="s">
        <v>354</v>
      </c>
      <c r="E62" s="88">
        <v>40</v>
      </c>
      <c r="F62" s="86" t="str">
        <f>INDEX(tbl_IngrédientsRef[Unité], MATCH(C62, tbl_IngrédientsRef[Cde_Ingrdt],0))</f>
        <v>g</v>
      </c>
    </row>
    <row r="63" spans="1:6" x14ac:dyDescent="0.3">
      <c r="A63" s="89" t="s">
        <v>759</v>
      </c>
      <c r="B63" s="83" t="str">
        <f>IFERROR(INDEX(tbl_ProduitsRef[Cde_Prdt],MATCH(A63,tbl_ProduitsRef[Produit],0)),"⚠️ Produit non trouvé")</f>
        <v>PAT008</v>
      </c>
      <c r="C63" s="88" t="str">
        <f>IFERROR(VLOOKUP(D63,Référentiels!$M$2:$N$267,2,FALSE),"Ingrédient non trouvé")</f>
        <v>FDM004</v>
      </c>
      <c r="D63" s="88" t="s">
        <v>505</v>
      </c>
      <c r="E63" s="88">
        <v>40</v>
      </c>
      <c r="F63" s="86" t="str">
        <f>INDEX(tbl_IngrédientsRef[Unité], MATCH(C63, tbl_IngrédientsRef[Cde_Ingrdt],0))</f>
        <v>g</v>
      </c>
    </row>
    <row r="64" spans="1:6" x14ac:dyDescent="0.3">
      <c r="A64" s="89" t="s">
        <v>759</v>
      </c>
      <c r="B64" s="83" t="str">
        <f>IFERROR(INDEX(tbl_ProduitsRef[Cde_Prdt],MATCH(A64,tbl_ProduitsRef[Produit],0)),"⚠️ Produit non trouvé")</f>
        <v>PAT008</v>
      </c>
      <c r="C64" s="88" t="str">
        <f>IFERROR(VLOOKUP(D64,Référentiels!$M$2:$N$267,2,FALSE),"Ingrédient non trouvé")</f>
        <v>SOS004</v>
      </c>
      <c r="D64" s="88" t="s">
        <v>220</v>
      </c>
      <c r="E64" s="88">
        <v>50</v>
      </c>
      <c r="F64" s="86" t="str">
        <f>INDEX(tbl_IngrédientsRef[Unité], MATCH(C64, tbl_IngrédientsRef[Cde_Ingrdt],0))</f>
        <v>ml</v>
      </c>
    </row>
    <row r="65" spans="1:6" x14ac:dyDescent="0.3">
      <c r="A65" s="89" t="s">
        <v>759</v>
      </c>
      <c r="B65" s="83" t="str">
        <f>IFERROR(INDEX(tbl_ProduitsRef[Cde_Prdt],MATCH(A65,tbl_ProduitsRef[Produit],0)),"⚠️ Produit non trouvé")</f>
        <v>PAT008</v>
      </c>
      <c r="C65" s="88" t="str">
        <f>IFERROR(VLOOKUP(D65,Référentiels!$M$2:$N$267,2,FALSE),"Ingrédient non trouvé")</f>
        <v>PRL023</v>
      </c>
      <c r="D65" s="88" t="s">
        <v>546</v>
      </c>
      <c r="E65" s="88">
        <v>40</v>
      </c>
      <c r="F65" s="86" t="str">
        <f>INDEX(tbl_IngrédientsRef[Unité], MATCH(C65, tbl_IngrédientsRef[Cde_Ingrdt],0))</f>
        <v>g</v>
      </c>
    </row>
    <row r="66" spans="1:6" x14ac:dyDescent="0.3">
      <c r="A66" s="89" t="s">
        <v>763</v>
      </c>
      <c r="B66" s="83" t="str">
        <f>IFERROR(INDEX(tbl_ProduitsRef[Cde_Prdt],MATCH(A66,tbl_ProduitsRef[Produit],0)),"⚠️ Produit non trouvé")</f>
        <v>PAT009</v>
      </c>
      <c r="C66" s="88" t="str">
        <f>IFERROR(VLOOKUP(D66,Référentiels!$M$2:$N$267,2,FALSE),"Ingrédient non trouvé")</f>
        <v>PST004</v>
      </c>
      <c r="D66" s="88" t="s">
        <v>762</v>
      </c>
      <c r="E66" s="88">
        <v>150</v>
      </c>
      <c r="F66" s="86" t="str">
        <f>INDEX(tbl_IngrédientsRef[Unité], MATCH(C66, tbl_IngrédientsRef[Cde_Ingrdt],0))</f>
        <v>g</v>
      </c>
    </row>
    <row r="67" spans="1:6" x14ac:dyDescent="0.3">
      <c r="A67" s="89" t="s">
        <v>763</v>
      </c>
      <c r="B67" s="83" t="str">
        <f>IFERROR(INDEX(tbl_ProduitsRef[Cde_Prdt],MATCH(A67,tbl_ProduitsRef[Produit],0)),"⚠️ Produit non trouvé")</f>
        <v>PAT009</v>
      </c>
      <c r="C67" s="88" t="str">
        <f>IFERROR(VLOOKUP(D67,Référentiels!$M$2:$N$267,2,FALSE),"Ingrédient non trouvé")</f>
        <v>BOE001</v>
      </c>
      <c r="D67" s="88" t="s">
        <v>473</v>
      </c>
      <c r="E67" s="88">
        <v>100</v>
      </c>
      <c r="F67" s="86" t="str">
        <f>INDEX(tbl_IngrédientsRef[Unité], MATCH(C67, tbl_IngrédientsRef[Cde_Ingrdt],0))</f>
        <v>g</v>
      </c>
    </row>
    <row r="68" spans="1:6" x14ac:dyDescent="0.3">
      <c r="A68" s="89" t="s">
        <v>763</v>
      </c>
      <c r="B68" s="83" t="str">
        <f>IFERROR(INDEX(tbl_ProduitsRef[Cde_Prdt],MATCH(A68,tbl_ProduitsRef[Produit],0)),"⚠️ Produit non trouvé")</f>
        <v>PAT009</v>
      </c>
      <c r="C68" s="88" t="str">
        <f>IFERROR(VLOOKUP(D68,Référentiels!$M$2:$N$267,2,FALSE),"Ingrédient non trouvé")</f>
        <v>SOS004</v>
      </c>
      <c r="D68" s="88" t="s">
        <v>220</v>
      </c>
      <c r="E68" s="88">
        <v>60</v>
      </c>
      <c r="F68" s="86" t="str">
        <f>INDEX(tbl_IngrédientsRef[Unité], MATCH(C68, tbl_IngrédientsRef[Cde_Ingrdt],0))</f>
        <v>ml</v>
      </c>
    </row>
    <row r="69" spans="1:6" x14ac:dyDescent="0.3">
      <c r="A69" s="89" t="s">
        <v>763</v>
      </c>
      <c r="B69" s="83" t="str">
        <f>IFERROR(INDEX(tbl_ProduitsRef[Cde_Prdt],MATCH(A69,tbl_ProduitsRef[Produit],0)),"⚠️ Produit non trouvé")</f>
        <v>PAT009</v>
      </c>
      <c r="C69" s="88" t="str">
        <f>IFERROR(VLOOKUP(D69,Référentiels!$M$2:$N$267,2,FALSE),"Ingrédient non trouvé")</f>
        <v>PRL007</v>
      </c>
      <c r="D69" s="88" t="s">
        <v>304</v>
      </c>
      <c r="E69" s="88">
        <v>40</v>
      </c>
      <c r="F69" s="86" t="str">
        <f>INDEX(tbl_IngrédientsRef[Unité], MATCH(C69, tbl_IngrédientsRef[Cde_Ingrdt],0))</f>
        <v>g</v>
      </c>
    </row>
    <row r="70" spans="1:6" x14ac:dyDescent="0.3">
      <c r="A70" s="89" t="s">
        <v>765</v>
      </c>
      <c r="B70" s="83" t="str">
        <f>IFERROR(INDEX(tbl_ProduitsRef[Cde_Prdt],MATCH(A70,tbl_ProduitsRef[Produit],0)),"⚠️ Produit non trouvé")</f>
        <v>PAT010</v>
      </c>
      <c r="C70" s="88" t="str">
        <f>IFERROR(VLOOKUP(D70,Référentiels!$M$2:$N$267,2,FALSE),"Ingrédient non trouvé")</f>
        <v>PST005</v>
      </c>
      <c r="D70" s="88" t="s">
        <v>758</v>
      </c>
      <c r="E70" s="88">
        <v>150</v>
      </c>
      <c r="F70" s="86" t="str">
        <f>INDEX(tbl_IngrédientsRef[Unité], MATCH(C70, tbl_IngrédientsRef[Cde_Ingrdt],0))</f>
        <v>g</v>
      </c>
    </row>
    <row r="71" spans="1:6" x14ac:dyDescent="0.3">
      <c r="A71" s="89" t="s">
        <v>765</v>
      </c>
      <c r="B71" s="83" t="str">
        <f>IFERROR(INDEX(tbl_ProduitsRef[Cde_Prdt],MATCH(A71,tbl_ProduitsRef[Produit],0)),"⚠️ Produit non trouvé")</f>
        <v>PAT010</v>
      </c>
      <c r="C71" s="88" t="str">
        <f>IFERROR(VLOOKUP(D71,Référentiels!$M$2:$N$267,2,FALSE),"Ingrédient non trouvé")</f>
        <v>FDM001</v>
      </c>
      <c r="D71" s="88" t="s">
        <v>294</v>
      </c>
      <c r="E71" s="88">
        <v>60</v>
      </c>
      <c r="F71" s="86" t="str">
        <f>INDEX(tbl_IngrédientsRef[Unité], MATCH(C71, tbl_IngrédientsRef[Cde_Ingrdt],0))</f>
        <v>g</v>
      </c>
    </row>
    <row r="72" spans="1:6" x14ac:dyDescent="0.3">
      <c r="A72" s="89" t="s">
        <v>765</v>
      </c>
      <c r="B72" s="83" t="str">
        <f>IFERROR(INDEX(tbl_ProduitsRef[Cde_Prdt],MATCH(A72,tbl_ProduitsRef[Produit],0)),"⚠️ Produit non trouvé")</f>
        <v>PAT010</v>
      </c>
      <c r="C72" s="88" t="str">
        <f>IFERROR(VLOOKUP(D72,Référentiels!$M$2:$N$267,2,FALSE),"Ingrédient non trouvé")</f>
        <v>FDM002</v>
      </c>
      <c r="D72" s="88" t="s">
        <v>354</v>
      </c>
      <c r="E72" s="88">
        <v>40</v>
      </c>
      <c r="F72" s="86" t="str">
        <f>INDEX(tbl_IngrédientsRef[Unité], MATCH(C72, tbl_IngrédientsRef[Cde_Ingrdt],0))</f>
        <v>g</v>
      </c>
    </row>
    <row r="73" spans="1:6" x14ac:dyDescent="0.3">
      <c r="A73" s="89" t="s">
        <v>765</v>
      </c>
      <c r="B73" s="83" t="str">
        <f>IFERROR(INDEX(tbl_ProduitsRef[Cde_Prdt],MATCH(A73,tbl_ProduitsRef[Produit],0)),"⚠️ Produit non trouvé")</f>
        <v>PAT010</v>
      </c>
      <c r="C73" s="88" t="str">
        <f>IFERROR(VLOOKUP(D73,Référentiels!$M$2:$N$267,2,FALSE),"Ingrédient non trouvé")</f>
        <v>FDM004</v>
      </c>
      <c r="D73" s="88" t="s">
        <v>505</v>
      </c>
      <c r="E73" s="88">
        <v>40</v>
      </c>
      <c r="F73" s="86" t="str">
        <f>INDEX(tbl_IngrédientsRef[Unité], MATCH(C73, tbl_IngrédientsRef[Cde_Ingrdt],0))</f>
        <v>g</v>
      </c>
    </row>
    <row r="74" spans="1:6" x14ac:dyDescent="0.3">
      <c r="A74" s="89" t="s">
        <v>765</v>
      </c>
      <c r="B74" s="83" t="str">
        <f>IFERROR(INDEX(tbl_ProduitsRef[Cde_Prdt],MATCH(A74,tbl_ProduitsRef[Produit],0)),"⚠️ Produit non trouvé")</f>
        <v>PAT010</v>
      </c>
      <c r="C74" s="88" t="str">
        <f>IFERROR(VLOOKUP(D74,Référentiels!$M$2:$N$267,2,FALSE),"Ingrédient non trouvé")</f>
        <v>SOS004</v>
      </c>
      <c r="D74" s="88" t="s">
        <v>220</v>
      </c>
      <c r="E74" s="88">
        <v>50</v>
      </c>
      <c r="F74" s="86" t="str">
        <f>INDEX(tbl_IngrédientsRef[Unité], MATCH(C74, tbl_IngrédientsRef[Cde_Ingrdt],0))</f>
        <v>ml</v>
      </c>
    </row>
    <row r="75" spans="1:6" x14ac:dyDescent="0.3">
      <c r="A75" s="89" t="s">
        <v>765</v>
      </c>
      <c r="B75" s="83" t="str">
        <f>IFERROR(INDEX(tbl_ProduitsRef[Cde_Prdt],MATCH(A75,tbl_ProduitsRef[Produit],0)),"⚠️ Produit non trouvé")</f>
        <v>PAT010</v>
      </c>
      <c r="C75" s="88" t="str">
        <f>IFERROR(VLOOKUP(D75,Référentiels!$M$2:$N$267,2,FALSE),"Ingrédient non trouvé")</f>
        <v>PRL023</v>
      </c>
      <c r="D75" s="88" t="s">
        <v>546</v>
      </c>
      <c r="E75" s="88">
        <v>40</v>
      </c>
      <c r="F75" s="86" t="str">
        <f>INDEX(tbl_IngrédientsRef[Unité], MATCH(C75, tbl_IngrédientsRef[Cde_Ingrdt],0))</f>
        <v>g</v>
      </c>
    </row>
    <row r="76" spans="1:6" x14ac:dyDescent="0.3">
      <c r="A76" s="89" t="s">
        <v>767</v>
      </c>
      <c r="B76" s="83" t="str">
        <f>IFERROR(INDEX(tbl_ProduitsRef[Cde_Prdt],MATCH(A76,tbl_ProduitsRef[Produit],0)),"⚠️ Produit non trouvé")</f>
        <v>PAT011</v>
      </c>
      <c r="C76" s="88" t="str">
        <f>IFERROR(VLOOKUP(D76,Référentiels!$M$2:$N$267,2,FALSE),"Ingrédient non trouvé")</f>
        <v>PST005</v>
      </c>
      <c r="D76" s="88" t="s">
        <v>758</v>
      </c>
      <c r="E76" s="88">
        <v>150</v>
      </c>
      <c r="F76" s="86" t="str">
        <f>INDEX(tbl_IngrédientsRef[Unité], MATCH(C76, tbl_IngrédientsRef[Cde_Ingrdt],0))</f>
        <v>g</v>
      </c>
    </row>
    <row r="77" spans="1:6" x14ac:dyDescent="0.3">
      <c r="A77" s="89" t="s">
        <v>767</v>
      </c>
      <c r="B77" s="83" t="str">
        <f>IFERROR(INDEX(tbl_ProduitsRef[Cde_Prdt],MATCH(A77,tbl_ProduitsRef[Produit],0)),"⚠️ Produit non trouvé")</f>
        <v>PAT011</v>
      </c>
      <c r="C77" s="88" t="str">
        <f>IFERROR(VLOOKUP(D77,Référentiels!$M$2:$N$267,2,FALSE),"Ingrédient non trouvé")</f>
        <v>BOE001</v>
      </c>
      <c r="D77" s="88" t="s">
        <v>473</v>
      </c>
      <c r="E77" s="88">
        <v>100</v>
      </c>
      <c r="F77" s="86" t="str">
        <f>INDEX(tbl_IngrédientsRef[Unité], MATCH(C77, tbl_IngrédientsRef[Cde_Ingrdt],0))</f>
        <v>g</v>
      </c>
    </row>
    <row r="78" spans="1:6" x14ac:dyDescent="0.3">
      <c r="A78" s="89" t="s">
        <v>767</v>
      </c>
      <c r="B78" s="83" t="str">
        <f>IFERROR(INDEX(tbl_ProduitsRef[Cde_Prdt],MATCH(A78,tbl_ProduitsRef[Produit],0)),"⚠️ Produit non trouvé")</f>
        <v>PAT011</v>
      </c>
      <c r="C78" s="88" t="str">
        <f>IFERROR(VLOOKUP(D78,Référentiels!$M$2:$N$267,2,FALSE),"Ingrédient non trouvé")</f>
        <v>SOS004</v>
      </c>
      <c r="D78" s="88" t="s">
        <v>220</v>
      </c>
      <c r="E78" s="88">
        <v>60</v>
      </c>
      <c r="F78" s="86" t="str">
        <f>INDEX(tbl_IngrédientsRef[Unité], MATCH(C78, tbl_IngrédientsRef[Cde_Ingrdt],0))</f>
        <v>ml</v>
      </c>
    </row>
    <row r="79" spans="1:6" x14ac:dyDescent="0.3">
      <c r="A79" s="89" t="s">
        <v>767</v>
      </c>
      <c r="B79" s="83" t="str">
        <f>IFERROR(INDEX(tbl_ProduitsRef[Cde_Prdt],MATCH(A79,tbl_ProduitsRef[Produit],0)),"⚠️ Produit non trouvé")</f>
        <v>PAT011</v>
      </c>
      <c r="C79" s="88" t="str">
        <f>IFERROR(VLOOKUP(D79,Référentiels!$M$2:$N$267,2,FALSE),"Ingrédient non trouvé")</f>
        <v>PRL007</v>
      </c>
      <c r="D79" s="88" t="s">
        <v>304</v>
      </c>
      <c r="E79" s="88">
        <v>40</v>
      </c>
      <c r="F79" s="86" t="str">
        <f>INDEX(tbl_IngrédientsRef[Unité], MATCH(C79, tbl_IngrédientsRef[Cde_Ingrdt],0))</f>
        <v>g</v>
      </c>
    </row>
    <row r="80" spans="1:6" x14ac:dyDescent="0.3">
      <c r="A80" s="89" t="s">
        <v>62</v>
      </c>
      <c r="B80" s="83" t="str">
        <f>IFERROR(INDEX(tbl_ProduitsRef[Cde_Prdt],MATCH(A80,tbl_ProduitsRef[Produit],0)),"⚠️ Produit non trouvé")</f>
        <v>PAT012</v>
      </c>
      <c r="C80" s="88" t="str">
        <f>IFERROR(VLOOKUP(D80,Référentiels!$M$2:$N$267,2,FALSE),"Ingrédient non trouvé")</f>
        <v>PST006</v>
      </c>
      <c r="D80" s="88" t="s">
        <v>771</v>
      </c>
      <c r="E80" s="88">
        <v>120</v>
      </c>
      <c r="F80" s="86" t="str">
        <f>INDEX(tbl_IngrédientsRef[Unité], MATCH(C80, tbl_IngrédientsRef[Cde_Ingrdt],0))</f>
        <v>g</v>
      </c>
    </row>
    <row r="81" spans="1:6" x14ac:dyDescent="0.3">
      <c r="A81" s="89" t="s">
        <v>62</v>
      </c>
      <c r="B81" s="83" t="str">
        <f>IFERROR(INDEX(tbl_ProduitsRef[Cde_Prdt],MATCH(A81,tbl_ProduitsRef[Produit],0)),"⚠️ Produit non trouvé")</f>
        <v>PAT012</v>
      </c>
      <c r="C81" s="88" t="str">
        <f>IFERROR(VLOOKUP(D81,Référentiels!$M$2:$N$267,2,FALSE),"Ingrédient non trouvé")</f>
        <v>BOE007</v>
      </c>
      <c r="D81" s="88" t="s">
        <v>773</v>
      </c>
      <c r="E81" s="88">
        <v>100</v>
      </c>
      <c r="F81" s="86" t="str">
        <f>INDEX(tbl_IngrédientsRef[Unité], MATCH(C81, tbl_IngrédientsRef[Cde_Ingrdt],0))</f>
        <v>g</v>
      </c>
    </row>
    <row r="82" spans="1:6" x14ac:dyDescent="0.3">
      <c r="A82" s="89" t="s">
        <v>62</v>
      </c>
      <c r="B82" s="83" t="str">
        <f>IFERROR(INDEX(tbl_ProduitsRef[Cde_Prdt],MATCH(A82,tbl_ProduitsRef[Produit],0)),"⚠️ Produit non trouvé")</f>
        <v>PAT012</v>
      </c>
      <c r="C82" s="88" t="str">
        <f>IFERROR(VLOOKUP(D82,Référentiels!$M$2:$N$267,2,FALSE),"Ingrédient non trouvé")</f>
        <v>LEG018</v>
      </c>
      <c r="D82" s="88" t="s">
        <v>574</v>
      </c>
      <c r="E82" s="88">
        <v>40</v>
      </c>
      <c r="F82" s="86" t="str">
        <f>INDEX(tbl_IngrédientsRef[Unité], MATCH(C82, tbl_IngrédientsRef[Cde_Ingrdt],0))</f>
        <v>g</v>
      </c>
    </row>
    <row r="83" spans="1:6" x14ac:dyDescent="0.3">
      <c r="A83" s="89" t="s">
        <v>62</v>
      </c>
      <c r="B83" s="83" t="str">
        <f>IFERROR(INDEX(tbl_ProduitsRef[Cde_Prdt],MATCH(A83,tbl_ProduitsRef[Produit],0)),"⚠️ Produit non trouvé")</f>
        <v>PAT012</v>
      </c>
      <c r="C83" s="88" t="str">
        <f>IFERROR(VLOOKUP(D83,Référentiels!$M$2:$N$267,2,FALSE),"Ingrédient non trouvé")</f>
        <v>LEG002</v>
      </c>
      <c r="D83" s="88" t="s">
        <v>308</v>
      </c>
      <c r="E83" s="88">
        <v>30</v>
      </c>
      <c r="F83" s="86" t="str">
        <f>INDEX(tbl_IngrédientsRef[Unité], MATCH(C83, tbl_IngrédientsRef[Cde_Ingrdt],0))</f>
        <v>g</v>
      </c>
    </row>
    <row r="84" spans="1:6" x14ac:dyDescent="0.3">
      <c r="A84" s="89" t="s">
        <v>62</v>
      </c>
      <c r="B84" s="83" t="str">
        <f>IFERROR(INDEX(tbl_ProduitsRef[Cde_Prdt],MATCH(A84,tbl_ProduitsRef[Produit],0)),"⚠️ Produit non trouvé")</f>
        <v>PAT012</v>
      </c>
      <c r="C84" s="88" t="str">
        <f>IFERROR(VLOOKUP(D84,Référentiels!$M$2:$N$267,2,FALSE),"Ingrédient non trouvé")</f>
        <v>PRL007</v>
      </c>
      <c r="D84" s="88" t="s">
        <v>304</v>
      </c>
      <c r="E84" s="88">
        <v>30</v>
      </c>
      <c r="F84" s="86" t="str">
        <f>INDEX(tbl_IngrédientsRef[Unité], MATCH(C84, tbl_IngrédientsRef[Cde_Ingrdt],0))</f>
        <v>g</v>
      </c>
    </row>
    <row r="85" spans="1:6" x14ac:dyDescent="0.3">
      <c r="A85" s="82" t="s">
        <v>774</v>
      </c>
      <c r="B85" s="83" t="str">
        <f>IFERROR(INDEX(tbl_ProduitsRef[Cde_Prdt],MATCH(A85,tbl_ProduitsRef[Produit],0)),"⚠️ Produit non trouvé")</f>
        <v>SNK001</v>
      </c>
      <c r="C85" s="88" t="str">
        <f>IFERROR(VLOOKUP(D85,Référentiels!$M$2:$N$267,2,FALSE),"Ingrédient non trouvé")</f>
        <v>BOU013</v>
      </c>
      <c r="D85" s="85" t="s">
        <v>250</v>
      </c>
      <c r="E85" s="85">
        <v>1</v>
      </c>
      <c r="F85" s="86" t="str">
        <f>INDEX(tbl_IngrédientsRef[Unité], MATCH(C85, tbl_IngrédientsRef[Cde_Ingrdt],0))</f>
        <v>Pièce</v>
      </c>
    </row>
    <row r="86" spans="1:6" x14ac:dyDescent="0.3">
      <c r="A86" s="82" t="s">
        <v>774</v>
      </c>
      <c r="B86" s="83" t="str">
        <f>IFERROR(INDEX(tbl_ProduitsRef[Cde_Prdt],MATCH(A86,tbl_ProduitsRef[Produit],0)),"⚠️ Produit non trouvé")</f>
        <v>SNK001</v>
      </c>
      <c r="C86" s="88" t="str">
        <f>IFERROR(VLOOKUP(D86,Référentiels!$M$2:$N$267,2,FALSE),"Ingrédient non trouvé")</f>
        <v>BOE001</v>
      </c>
      <c r="D86" s="85" t="s">
        <v>473</v>
      </c>
      <c r="E86" s="85">
        <v>120</v>
      </c>
      <c r="F86" s="86" t="str">
        <f>INDEX(tbl_IngrédientsRef[Unité], MATCH(C86, tbl_IngrédientsRef[Cde_Ingrdt],0))</f>
        <v>g</v>
      </c>
    </row>
    <row r="87" spans="1:6" x14ac:dyDescent="0.3">
      <c r="A87" s="82" t="s">
        <v>774</v>
      </c>
      <c r="B87" s="83" t="str">
        <f>IFERROR(INDEX(tbl_ProduitsRef[Cde_Prdt],MATCH(A87,tbl_ProduitsRef[Produit],0)),"⚠️ Produit non trouvé")</f>
        <v>SNK001</v>
      </c>
      <c r="C87" s="88" t="str">
        <f>IFERROR(VLOOKUP(D87,Référentiels!$M$2:$N$267,2,FALSE),"Ingrédient non trouvé")</f>
        <v>CDM003</v>
      </c>
      <c r="D87" s="85" t="s">
        <v>777</v>
      </c>
      <c r="E87" s="85">
        <v>30</v>
      </c>
      <c r="F87" s="86" t="str">
        <f>INDEX(tbl_IngrédientsRef[Unité], MATCH(C87, tbl_IngrédientsRef[Cde_Ingrdt],0))</f>
        <v>g</v>
      </c>
    </row>
    <row r="88" spans="1:6" x14ac:dyDescent="0.3">
      <c r="A88" s="82" t="s">
        <v>774</v>
      </c>
      <c r="B88" s="83" t="str">
        <f>IFERROR(INDEX(tbl_ProduitsRef[Cde_Prdt],MATCH(A88,tbl_ProduitsRef[Produit],0)),"⚠️ Produit non trouvé")</f>
        <v>SNK001</v>
      </c>
      <c r="C88" s="88" t="str">
        <f>IFERROR(VLOOKUP(D88,Référentiels!$M$2:$N$267,2,FALSE),"Ingrédient non trouvé")</f>
        <v>CDM002</v>
      </c>
      <c r="D88" s="85" t="s">
        <v>779</v>
      </c>
      <c r="E88" s="85">
        <v>20</v>
      </c>
      <c r="F88" s="86" t="str">
        <f>INDEX(tbl_IngrédientsRef[Unité], MATCH(C88, tbl_IngrédientsRef[Cde_Ingrdt],0))</f>
        <v>g</v>
      </c>
    </row>
    <row r="89" spans="1:6" x14ac:dyDescent="0.3">
      <c r="A89" s="82" t="s">
        <v>774</v>
      </c>
      <c r="B89" s="83" t="str">
        <f>IFERROR(INDEX(tbl_ProduitsRef[Cde_Prdt],MATCH(A89,tbl_ProduitsRef[Produit],0)),"⚠️ Produit non trouvé")</f>
        <v>SNK001</v>
      </c>
      <c r="C89" s="88" t="str">
        <f>IFERROR(VLOOKUP(D89,Référentiels!$M$2:$N$267,2,FALSE),"Ingrédient non trouvé")</f>
        <v>PRL026</v>
      </c>
      <c r="D89" s="85" t="s">
        <v>781</v>
      </c>
      <c r="E89" s="85">
        <v>20</v>
      </c>
      <c r="F89" s="86" t="str">
        <f>INDEX(tbl_IngrédientsRef[Unité], MATCH(C89, tbl_IngrédientsRef[Cde_Ingrdt],0))</f>
        <v>g</v>
      </c>
    </row>
    <row r="90" spans="1:6" x14ac:dyDescent="0.3">
      <c r="A90" s="82" t="s">
        <v>774</v>
      </c>
      <c r="B90" s="83" t="str">
        <f>IFERROR(INDEX(tbl_ProduitsRef[Cde_Prdt],MATCH(A90,tbl_ProduitsRef[Produit],0)),"⚠️ Produit non trouvé")</f>
        <v>SNK001</v>
      </c>
      <c r="C90" s="88" t="str">
        <f>IFERROR(VLOOKUP(D90,Référentiels!$M$2:$N$267,2,FALSE),"Ingrédient non trouvé")</f>
        <v>SOS012</v>
      </c>
      <c r="D90" s="85" t="s">
        <v>252</v>
      </c>
      <c r="E90" s="85">
        <v>20</v>
      </c>
      <c r="F90" s="86" t="str">
        <f>INDEX(tbl_IngrédientsRef[Unité], MATCH(C90, tbl_IngrédientsRef[Cde_Ingrdt],0))</f>
        <v>ml</v>
      </c>
    </row>
    <row r="91" spans="1:6" x14ac:dyDescent="0.3">
      <c r="A91" s="82" t="s">
        <v>782</v>
      </c>
      <c r="B91" s="83" t="str">
        <f>IFERROR(INDEX(tbl_ProduitsRef[Cde_Prdt],MATCH(A91,tbl_ProduitsRef[Produit],0)),"⚠️ Produit non trouvé")</f>
        <v>SNK002</v>
      </c>
      <c r="C91" s="88" t="str">
        <f>IFERROR(VLOOKUP(D91,Référentiels!$M$2:$N$267,2,FALSE),"Ingrédient non trouvé")</f>
        <v>BOU013</v>
      </c>
      <c r="D91" s="85" t="s">
        <v>250</v>
      </c>
      <c r="E91" s="85">
        <v>1</v>
      </c>
      <c r="F91" s="86" t="str">
        <f>INDEX(tbl_IngrédientsRef[Unité], MATCH(C91, tbl_IngrédientsRef[Cde_Ingrdt],0))</f>
        <v>Pièce</v>
      </c>
    </row>
    <row r="92" spans="1:6" x14ac:dyDescent="0.3">
      <c r="A92" s="82" t="s">
        <v>782</v>
      </c>
      <c r="B92" s="83" t="str">
        <f>IFERROR(INDEX(tbl_ProduitsRef[Cde_Prdt],MATCH(A92,tbl_ProduitsRef[Produit],0)),"⚠️ Produit non trouvé")</f>
        <v>SNK002</v>
      </c>
      <c r="C92" s="88" t="str">
        <f>IFERROR(VLOOKUP(D92,Référentiels!$M$2:$N$267,2,FALSE),"Ingrédient non trouvé")</f>
        <v>BOE001</v>
      </c>
      <c r="D92" s="85" t="s">
        <v>473</v>
      </c>
      <c r="E92" s="85">
        <v>200</v>
      </c>
      <c r="F92" s="86" t="str">
        <f>INDEX(tbl_IngrédientsRef[Unité], MATCH(C92, tbl_IngrédientsRef[Cde_Ingrdt],0))</f>
        <v>g</v>
      </c>
    </row>
    <row r="93" spans="1:6" x14ac:dyDescent="0.3">
      <c r="A93" s="82" t="s">
        <v>782</v>
      </c>
      <c r="B93" s="83" t="str">
        <f>IFERROR(INDEX(tbl_ProduitsRef[Cde_Prdt],MATCH(A93,tbl_ProduitsRef[Produit],0)),"⚠️ Produit non trouvé")</f>
        <v>SNK002</v>
      </c>
      <c r="C93" s="88" t="str">
        <f>IFERROR(VLOOKUP(D93,Référentiels!$M$2:$N$267,2,FALSE),"Ingrédient non trouvé")</f>
        <v>LEG022</v>
      </c>
      <c r="D93" s="85" t="s">
        <v>731</v>
      </c>
      <c r="E93" s="85">
        <v>0.5</v>
      </c>
      <c r="F93" s="86" t="str">
        <f>INDEX(tbl_IngrédientsRef[Unité], MATCH(C93, tbl_IngrédientsRef[Cde_Ingrdt],0))</f>
        <v>Pièce</v>
      </c>
    </row>
    <row r="94" spans="1:6" x14ac:dyDescent="0.3">
      <c r="A94" s="82" t="s">
        <v>782</v>
      </c>
      <c r="B94" s="83" t="str">
        <f>IFERROR(INDEX(tbl_ProduitsRef[Cde_Prdt],MATCH(A94,tbl_ProduitsRef[Produit],0)),"⚠️ Produit non trouvé")</f>
        <v>SNK002</v>
      </c>
      <c r="C94" s="88" t="str">
        <f>IFERROR(VLOOKUP(D94,Référentiels!$M$2:$N$267,2,FALSE),"Ingrédient non trouvé")</f>
        <v>CDM002</v>
      </c>
      <c r="D94" s="85" t="s">
        <v>779</v>
      </c>
      <c r="E94" s="85">
        <v>20</v>
      </c>
      <c r="F94" s="86" t="str">
        <f>INDEX(tbl_IngrédientsRef[Unité], MATCH(C94, tbl_IngrédientsRef[Cde_Ingrdt],0))</f>
        <v>g</v>
      </c>
    </row>
    <row r="95" spans="1:6" x14ac:dyDescent="0.3">
      <c r="A95" s="82" t="s">
        <v>782</v>
      </c>
      <c r="B95" s="83" t="str">
        <f>IFERROR(INDEX(tbl_ProduitsRef[Cde_Prdt],MATCH(A95,tbl_ProduitsRef[Produit],0)),"⚠️ Produit non trouvé")</f>
        <v>SNK002</v>
      </c>
      <c r="C95" s="88" t="str">
        <f>IFERROR(VLOOKUP(D95,Référentiels!$M$2:$N$267,2,FALSE),"Ingrédient non trouvé")</f>
        <v>PRL026</v>
      </c>
      <c r="D95" s="85" t="s">
        <v>781</v>
      </c>
      <c r="E95" s="85">
        <v>30</v>
      </c>
      <c r="F95" s="86" t="str">
        <f>INDEX(tbl_IngrédientsRef[Unité], MATCH(C95, tbl_IngrédientsRef[Cde_Ingrdt],0))</f>
        <v>g</v>
      </c>
    </row>
    <row r="96" spans="1:6" x14ac:dyDescent="0.3">
      <c r="A96" s="82" t="s">
        <v>782</v>
      </c>
      <c r="B96" s="83" t="str">
        <f>IFERROR(INDEX(tbl_ProduitsRef[Cde_Prdt],MATCH(A96,tbl_ProduitsRef[Produit],0)),"⚠️ Produit non trouvé")</f>
        <v>SNK002</v>
      </c>
      <c r="C96" s="88" t="str">
        <f>IFERROR(VLOOKUP(D96,Référentiels!$M$2:$N$267,2,FALSE),"Ingrédient non trouvé")</f>
        <v>SOS018</v>
      </c>
      <c r="D96" s="85" t="s">
        <v>785</v>
      </c>
      <c r="E96" s="85">
        <v>20</v>
      </c>
      <c r="F96" s="86" t="str">
        <f>INDEX(tbl_IngrédientsRef[Unité], MATCH(C96, tbl_IngrédientsRef[Cde_Ingrdt],0))</f>
        <v>ml</v>
      </c>
    </row>
    <row r="97" spans="1:6" x14ac:dyDescent="0.3">
      <c r="A97" s="82" t="s">
        <v>786</v>
      </c>
      <c r="B97" s="83" t="str">
        <f>IFERROR(INDEX(tbl_ProduitsRef[Cde_Prdt],MATCH(A97,tbl_ProduitsRef[Produit],0)),"⚠️ Produit non trouvé")</f>
        <v>SNK003</v>
      </c>
      <c r="C97" s="88" t="str">
        <f>IFERROR(VLOOKUP(D97,Référentiels!$M$2:$N$267,2,FALSE),"Ingrédient non trouvé")</f>
        <v>BOU013</v>
      </c>
      <c r="D97" s="85" t="s">
        <v>250</v>
      </c>
      <c r="E97" s="85">
        <v>1</v>
      </c>
      <c r="F97" s="86" t="str">
        <f>INDEX(tbl_IngrédientsRef[Unité], MATCH(C97, tbl_IngrédientsRef[Cde_Ingrdt],0))</f>
        <v>Pièce</v>
      </c>
    </row>
    <row r="98" spans="1:6" x14ac:dyDescent="0.3">
      <c r="A98" s="82" t="s">
        <v>786</v>
      </c>
      <c r="B98" s="83" t="str">
        <f>IFERROR(INDEX(tbl_ProduitsRef[Cde_Prdt],MATCH(A98,tbl_ProduitsRef[Produit],0)),"⚠️ Produit non trouvé")</f>
        <v>SNK003</v>
      </c>
      <c r="C98" s="88" t="str">
        <f>IFERROR(VLOOKUP(D98,Référentiels!$M$2:$N$267,2,FALSE),"Ingrédient non trouvé")</f>
        <v>BOE001</v>
      </c>
      <c r="D98" s="85" t="s">
        <v>473</v>
      </c>
      <c r="E98" s="85">
        <v>120</v>
      </c>
      <c r="F98" s="86" t="str">
        <f>INDEX(tbl_IngrédientsRef[Unité], MATCH(C98, tbl_IngrédientsRef[Cde_Ingrdt],0))</f>
        <v>g</v>
      </c>
    </row>
    <row r="99" spans="1:6" x14ac:dyDescent="0.3">
      <c r="A99" s="82" t="s">
        <v>786</v>
      </c>
      <c r="B99" s="83" t="str">
        <f>IFERROR(INDEX(tbl_ProduitsRef[Cde_Prdt],MATCH(A99,tbl_ProduitsRef[Produit],0)),"⚠️ Produit non trouvé")</f>
        <v>SNK003</v>
      </c>
      <c r="C99" s="88" t="str">
        <f>IFERROR(VLOOKUP(D99,Référentiels!$M$2:$N$267,2,FALSE),"Ingrédient non trouvé")</f>
        <v>PRL001</v>
      </c>
      <c r="D99" s="85" t="s">
        <v>211</v>
      </c>
      <c r="E99" s="85">
        <v>1</v>
      </c>
      <c r="F99" s="86" t="str">
        <f>INDEX(tbl_IngrédientsRef[Unité], MATCH(C99, tbl_IngrédientsRef[Cde_Ingrdt],0))</f>
        <v>Pièce</v>
      </c>
    </row>
    <row r="100" spans="1:6" x14ac:dyDescent="0.3">
      <c r="A100" s="82" t="s">
        <v>786</v>
      </c>
      <c r="B100" s="83" t="str">
        <f>IFERROR(INDEX(tbl_ProduitsRef[Cde_Prdt],MATCH(A100,tbl_ProduitsRef[Produit],0)),"⚠️ Produit non trouvé")</f>
        <v>SNK003</v>
      </c>
      <c r="C100" s="88" t="str">
        <f>IFERROR(VLOOKUP(D100,Référentiels!$M$2:$N$267,2,FALSE),"Ingrédient non trouvé")</f>
        <v>CDM003</v>
      </c>
      <c r="D100" s="85" t="s">
        <v>777</v>
      </c>
      <c r="E100" s="85">
        <v>30</v>
      </c>
      <c r="F100" s="86" t="str">
        <f>INDEX(tbl_IngrédientsRef[Unité], MATCH(C100, tbl_IngrédientsRef[Cde_Ingrdt],0))</f>
        <v>g</v>
      </c>
    </row>
    <row r="101" spans="1:6" x14ac:dyDescent="0.3">
      <c r="A101" s="82" t="s">
        <v>786</v>
      </c>
      <c r="B101" s="83" t="str">
        <f>IFERROR(INDEX(tbl_ProduitsRef[Cde_Prdt],MATCH(A101,tbl_ProduitsRef[Produit],0)),"⚠️ Produit non trouvé")</f>
        <v>SNK003</v>
      </c>
      <c r="C101" s="88" t="str">
        <f>IFERROR(VLOOKUP(D101,Référentiels!$M$2:$N$267,2,FALSE),"Ingrédient non trouvé")</f>
        <v>CDM002</v>
      </c>
      <c r="D101" s="85" t="s">
        <v>779</v>
      </c>
      <c r="E101" s="85">
        <v>20</v>
      </c>
      <c r="F101" s="86" t="str">
        <f>INDEX(tbl_IngrédientsRef[Unité], MATCH(C101, tbl_IngrédientsRef[Cde_Ingrdt],0))</f>
        <v>g</v>
      </c>
    </row>
    <row r="102" spans="1:6" x14ac:dyDescent="0.3">
      <c r="A102" s="82" t="s">
        <v>786</v>
      </c>
      <c r="B102" s="83" t="str">
        <f>IFERROR(INDEX(tbl_ProduitsRef[Cde_Prdt],MATCH(A102,tbl_ProduitsRef[Produit],0)),"⚠️ Produit non trouvé")</f>
        <v>SNK003</v>
      </c>
      <c r="C102" s="88" t="str">
        <f>IFERROR(VLOOKUP(D102,Référentiels!$M$2:$N$267,2,FALSE),"Ingrédient non trouvé")</f>
        <v>PRL026</v>
      </c>
      <c r="D102" s="85" t="s">
        <v>781</v>
      </c>
      <c r="E102" s="85">
        <v>20</v>
      </c>
      <c r="F102" s="86" t="str">
        <f>INDEX(tbl_IngrédientsRef[Unité], MATCH(C102, tbl_IngrédientsRef[Cde_Ingrdt],0))</f>
        <v>g</v>
      </c>
    </row>
    <row r="103" spans="1:6" x14ac:dyDescent="0.3">
      <c r="A103" s="82" t="s">
        <v>786</v>
      </c>
      <c r="B103" s="83" t="str">
        <f>IFERROR(INDEX(tbl_ProduitsRef[Cde_Prdt],MATCH(A103,tbl_ProduitsRef[Produit],0)),"⚠️ Produit non trouvé")</f>
        <v>SNK003</v>
      </c>
      <c r="C103" s="88" t="str">
        <f>IFERROR(VLOOKUP(D103,Référentiels!$M$2:$N$267,2,FALSE),"Ingrédient non trouvé")</f>
        <v>SOS018</v>
      </c>
      <c r="D103" s="85" t="s">
        <v>785</v>
      </c>
      <c r="E103" s="85">
        <v>20</v>
      </c>
      <c r="F103" s="86" t="str">
        <f>INDEX(tbl_IngrédientsRef[Unité], MATCH(C103, tbl_IngrédientsRef[Cde_Ingrdt],0))</f>
        <v>ml</v>
      </c>
    </row>
    <row r="104" spans="1:6" x14ac:dyDescent="0.3">
      <c r="A104" s="82" t="s">
        <v>788</v>
      </c>
      <c r="B104" s="83" t="str">
        <f>IFERROR(INDEX(tbl_ProduitsRef[Cde_Prdt],MATCH(A104,tbl_ProduitsRef[Produit],0)),"⚠️ Produit non trouvé")</f>
        <v>SNK004</v>
      </c>
      <c r="C104" s="88" t="str">
        <f>IFERROR(VLOOKUP(D104,Référentiels!$M$2:$N$267,2,FALSE),"Ingrédient non trouvé")</f>
        <v>BOU013</v>
      </c>
      <c r="D104" s="85" t="s">
        <v>250</v>
      </c>
      <c r="E104" s="85">
        <v>1</v>
      </c>
      <c r="F104" s="86" t="str">
        <f>INDEX(tbl_IngrédientsRef[Unité], MATCH(C104, tbl_IngrédientsRef[Cde_Ingrdt],0))</f>
        <v>Pièce</v>
      </c>
    </row>
    <row r="105" spans="1:6" x14ac:dyDescent="0.3">
      <c r="A105" s="82" t="s">
        <v>788</v>
      </c>
      <c r="B105" s="83" t="str">
        <f>IFERROR(INDEX(tbl_ProduitsRef[Cde_Prdt],MATCH(A105,tbl_ProduitsRef[Produit],0)),"⚠️ Produit non trouvé")</f>
        <v>SNK004</v>
      </c>
      <c r="C105" s="88" t="str">
        <f>IFERROR(VLOOKUP(D105,Référentiels!$M$2:$N$267,2,FALSE),"Ingrédient non trouvé")</f>
        <v>BOE001</v>
      </c>
      <c r="D105" s="85" t="s">
        <v>473</v>
      </c>
      <c r="E105" s="85">
        <v>120</v>
      </c>
      <c r="F105" s="86" t="str">
        <f>INDEX(tbl_IngrédientsRef[Unité], MATCH(C105, tbl_IngrédientsRef[Cde_Ingrdt],0))</f>
        <v>g</v>
      </c>
    </row>
    <row r="106" spans="1:6" x14ac:dyDescent="0.3">
      <c r="A106" s="82" t="s">
        <v>788</v>
      </c>
      <c r="B106" s="83" t="str">
        <f>IFERROR(INDEX(tbl_ProduitsRef[Cde_Prdt],MATCH(A106,tbl_ProduitsRef[Produit],0)),"⚠️ Produit non trouvé")</f>
        <v>SNK004</v>
      </c>
      <c r="C106" s="88" t="str">
        <f>IFERROR(VLOOKUP(D106,Référentiels!$M$2:$N$267,2,FALSE),"Ingrédient non trouvé")</f>
        <v>LEG018</v>
      </c>
      <c r="D106" s="85" t="s">
        <v>574</v>
      </c>
      <c r="E106" s="85">
        <v>40</v>
      </c>
      <c r="F106" s="86" t="str">
        <f>INDEX(tbl_IngrédientsRef[Unité], MATCH(C106, tbl_IngrédientsRef[Cde_Ingrdt],0))</f>
        <v>g</v>
      </c>
    </row>
    <row r="107" spans="1:6" x14ac:dyDescent="0.3">
      <c r="A107" s="82" t="s">
        <v>788</v>
      </c>
      <c r="B107" s="83" t="str">
        <f>IFERROR(INDEX(tbl_ProduitsRef[Cde_Prdt],MATCH(A107,tbl_ProduitsRef[Produit],0)),"⚠️ Produit non trouvé")</f>
        <v>SNK004</v>
      </c>
      <c r="C107" s="88" t="str">
        <f>IFERROR(VLOOKUP(D107,Référentiels!$M$2:$N$267,2,FALSE),"Ingrédient non trouvé")</f>
        <v>CDM003</v>
      </c>
      <c r="D107" s="85" t="s">
        <v>777</v>
      </c>
      <c r="E107" s="85">
        <v>30</v>
      </c>
      <c r="F107" s="86" t="str">
        <f>INDEX(tbl_IngrédientsRef[Unité], MATCH(C107, tbl_IngrédientsRef[Cde_Ingrdt],0))</f>
        <v>g</v>
      </c>
    </row>
    <row r="108" spans="1:6" x14ac:dyDescent="0.3">
      <c r="A108" s="82" t="s">
        <v>790</v>
      </c>
      <c r="B108" s="83" t="str">
        <f>IFERROR(INDEX(tbl_ProduitsRef[Cde_Prdt],MATCH(A108,tbl_ProduitsRef[Produit],0)),"⚠️ Produit non trouvé")</f>
        <v>SNK005</v>
      </c>
      <c r="C108" s="88" t="str">
        <f>IFERROR(VLOOKUP(D108,Référentiels!$M$2:$N$267,2,FALSE),"Ingrédient non trouvé")</f>
        <v>BOU013</v>
      </c>
      <c r="D108" s="85" t="s">
        <v>250</v>
      </c>
      <c r="E108" s="85">
        <v>1</v>
      </c>
      <c r="F108" s="86" t="str">
        <f>INDEX(tbl_IngrédientsRef[Unité], MATCH(C108, tbl_IngrédientsRef[Cde_Ingrdt],0))</f>
        <v>Pièce</v>
      </c>
    </row>
    <row r="109" spans="1:6" x14ac:dyDescent="0.3">
      <c r="A109" s="82" t="s">
        <v>790</v>
      </c>
      <c r="B109" s="83" t="str">
        <f>IFERROR(INDEX(tbl_ProduitsRef[Cde_Prdt],MATCH(A109,tbl_ProduitsRef[Produit],0)),"⚠️ Produit non trouvé")</f>
        <v>SNK005</v>
      </c>
      <c r="C109" s="88" t="str">
        <f>IFERROR(VLOOKUP(D109,Référentiels!$M$2:$N$267,2,FALSE),"Ingrédient non trouvé")</f>
        <v>VOL001</v>
      </c>
      <c r="D109" s="85" t="s">
        <v>390</v>
      </c>
      <c r="E109" s="85">
        <v>100</v>
      </c>
      <c r="F109" s="86" t="str">
        <f>INDEX(tbl_IngrédientsRef[Unité], MATCH(C109, tbl_IngrédientsRef[Cde_Ingrdt],0))</f>
        <v>g</v>
      </c>
    </row>
    <row r="110" spans="1:6" x14ac:dyDescent="0.3">
      <c r="A110" s="82" t="s">
        <v>790</v>
      </c>
      <c r="B110" s="83" t="str">
        <f>IFERROR(INDEX(tbl_ProduitsRef[Cde_Prdt],MATCH(A110,tbl_ProduitsRef[Produit],0)),"⚠️ Produit non trouvé")</f>
        <v>SNK005</v>
      </c>
      <c r="C110" s="88" t="str">
        <f>IFERROR(VLOOKUP(D110,Référentiels!$M$2:$N$267,2,FALSE),"Ingrédient non trouvé")</f>
        <v>LEG022</v>
      </c>
      <c r="D110" s="85" t="s">
        <v>731</v>
      </c>
      <c r="E110" s="85">
        <v>0.5</v>
      </c>
      <c r="F110" s="86" t="str">
        <f>INDEX(tbl_IngrédientsRef[Unité], MATCH(C110, tbl_IngrédientsRef[Cde_Ingrdt],0))</f>
        <v>Pièce</v>
      </c>
    </row>
    <row r="111" spans="1:6" x14ac:dyDescent="0.3">
      <c r="A111" s="82" t="s">
        <v>790</v>
      </c>
      <c r="B111" s="83" t="str">
        <f>IFERROR(INDEX(tbl_ProduitsRef[Cde_Prdt],MATCH(A111,tbl_ProduitsRef[Produit],0)),"⚠️ Produit non trouvé")</f>
        <v>SNK005</v>
      </c>
      <c r="C111" s="88" t="str">
        <f>IFERROR(VLOOKUP(D111,Référentiels!$M$2:$N$267,2,FALSE),"Ingrédient non trouvé")</f>
        <v>LEG007</v>
      </c>
      <c r="D111" s="85" t="s">
        <v>310</v>
      </c>
      <c r="E111" s="85">
        <v>20</v>
      </c>
      <c r="F111" s="86" t="str">
        <f>INDEX(tbl_IngrédientsRef[Unité], MATCH(C111, tbl_IngrédientsRef[Cde_Ingrdt],0))</f>
        <v>g</v>
      </c>
    </row>
    <row r="112" spans="1:6" x14ac:dyDescent="0.3">
      <c r="A112" s="82" t="s">
        <v>792</v>
      </c>
      <c r="B112" s="83" t="str">
        <f>IFERROR(INDEX(tbl_ProduitsRef[Cde_Prdt],MATCH(A112,tbl_ProduitsRef[Produit],0)),"⚠️ Produit non trouvé")</f>
        <v>SNK006</v>
      </c>
      <c r="C112" s="88" t="str">
        <f>IFERROR(VLOOKUP(D112,Référentiels!$M$2:$N$267,2,FALSE),"Ingrédient non trouvé")</f>
        <v>BOU013</v>
      </c>
      <c r="D112" s="85" t="s">
        <v>250</v>
      </c>
      <c r="E112" s="85">
        <v>1</v>
      </c>
      <c r="F112" s="86" t="str">
        <f>INDEX(tbl_IngrédientsRef[Unité], MATCH(C112, tbl_IngrédientsRef[Cde_Ingrdt],0))</f>
        <v>Pièce</v>
      </c>
    </row>
    <row r="113" spans="1:6" x14ac:dyDescent="0.3">
      <c r="A113" s="82" t="s">
        <v>792</v>
      </c>
      <c r="B113" s="83" t="str">
        <f>IFERROR(INDEX(tbl_ProduitsRef[Cde_Prdt],MATCH(A113,tbl_ProduitsRef[Produit],0)),"⚠️ Produit non trouvé")</f>
        <v>SNK006</v>
      </c>
      <c r="C113" s="88" t="str">
        <f>IFERROR(VLOOKUP(D113,Référentiels!$M$2:$N$267,2,FALSE),"Ingrédient non trouvé")</f>
        <v>BOE001</v>
      </c>
      <c r="D113" s="85" t="s">
        <v>473</v>
      </c>
      <c r="E113" s="85">
        <v>120</v>
      </c>
      <c r="F113" s="86" t="str">
        <f>INDEX(tbl_IngrédientsRef[Unité], MATCH(C113, tbl_IngrédientsRef[Cde_Ingrdt],0))</f>
        <v>g</v>
      </c>
    </row>
    <row r="114" spans="1:6" x14ac:dyDescent="0.3">
      <c r="A114" s="82" t="s">
        <v>792</v>
      </c>
      <c r="B114" s="83" t="str">
        <f>IFERROR(INDEX(tbl_ProduitsRef[Cde_Prdt],MATCH(A114,tbl_ProduitsRef[Produit],0)),"⚠️ Produit non trouvé")</f>
        <v>SNK006</v>
      </c>
      <c r="C114" s="88" t="str">
        <f>IFERROR(VLOOKUP(D114,Référentiels!$M$2:$N$267,2,FALSE),"Ingrédient non trouvé")</f>
        <v>LEG022</v>
      </c>
      <c r="D114" s="85" t="s">
        <v>731</v>
      </c>
      <c r="E114" s="85">
        <v>0.5</v>
      </c>
      <c r="F114" s="86" t="str">
        <f>INDEX(tbl_IngrédientsRef[Unité], MATCH(C114, tbl_IngrédientsRef[Cde_Ingrdt],0))</f>
        <v>Pièce</v>
      </c>
    </row>
    <row r="115" spans="1:6" x14ac:dyDescent="0.3">
      <c r="A115" s="82" t="s">
        <v>792</v>
      </c>
      <c r="B115" s="83" t="str">
        <f>IFERROR(INDEX(tbl_ProduitsRef[Cde_Prdt],MATCH(A115,tbl_ProduitsRef[Produit],0)),"⚠️ Produit non trouvé")</f>
        <v>SNK006</v>
      </c>
      <c r="C115" s="88" t="str">
        <f>IFERROR(VLOOKUP(D115,Référentiels!$M$2:$N$267,2,FALSE),"Ingrédient non trouvé")</f>
        <v>LEG007</v>
      </c>
      <c r="D115" s="85" t="s">
        <v>310</v>
      </c>
      <c r="E115" s="85">
        <v>20</v>
      </c>
      <c r="F115" s="86" t="str">
        <f>INDEX(tbl_IngrédientsRef[Unité], MATCH(C115, tbl_IngrédientsRef[Cde_Ingrdt],0))</f>
        <v>g</v>
      </c>
    </row>
    <row r="116" spans="1:6" x14ac:dyDescent="0.3">
      <c r="A116" s="82" t="s">
        <v>794</v>
      </c>
      <c r="B116" s="83" t="str">
        <f>IFERROR(INDEX(tbl_ProduitsRef[Cde_Prdt],MATCH(A116,tbl_ProduitsRef[Produit],0)),"⚠️ Produit non trouvé")</f>
        <v>SNK007</v>
      </c>
      <c r="C116" s="88" t="str">
        <f>IFERROR(VLOOKUP(D116,Référentiels!$M$2:$N$267,2,FALSE),"Ingrédient non trouvé")</f>
        <v>BOU018</v>
      </c>
      <c r="D116" s="85" t="s">
        <v>797</v>
      </c>
      <c r="E116" s="85">
        <v>1</v>
      </c>
      <c r="F116" s="86" t="str">
        <f>INDEX(tbl_IngrédientsRef[Unité], MATCH(C116, tbl_IngrédientsRef[Cde_Ingrdt],0))</f>
        <v>Pièce</v>
      </c>
    </row>
    <row r="117" spans="1:6" x14ac:dyDescent="0.3">
      <c r="A117" s="82" t="s">
        <v>794</v>
      </c>
      <c r="B117" s="83" t="str">
        <f>IFERROR(INDEX(tbl_ProduitsRef[Cde_Prdt],MATCH(A117,tbl_ProduitsRef[Produit],0)),"⚠️ Produit non trouvé")</f>
        <v>SNK007</v>
      </c>
      <c r="C117" s="88" t="str">
        <f>IFERROR(VLOOKUP(D117,Référentiels!$M$2:$N$267,2,FALSE),"Ingrédient non trouvé")</f>
        <v>BOE001</v>
      </c>
      <c r="D117" s="85" t="s">
        <v>473</v>
      </c>
      <c r="E117" s="85">
        <v>80</v>
      </c>
      <c r="F117" s="86" t="str">
        <f>INDEX(tbl_IngrédientsRef[Unité], MATCH(C117, tbl_IngrédientsRef[Cde_Ingrdt],0))</f>
        <v>g</v>
      </c>
    </row>
    <row r="118" spans="1:6" x14ac:dyDescent="0.3">
      <c r="A118" s="82" t="s">
        <v>794</v>
      </c>
      <c r="B118" s="83" t="str">
        <f>IFERROR(INDEX(tbl_ProduitsRef[Cde_Prdt],MATCH(A118,tbl_ProduitsRef[Produit],0)),"⚠️ Produit non trouvé")</f>
        <v>SNK007</v>
      </c>
      <c r="C118" s="88" t="str">
        <f>IFERROR(VLOOKUP(D118,Référentiels!$M$2:$N$267,2,FALSE),"Ingrédient non trouvé")</f>
        <v>VOL005</v>
      </c>
      <c r="D118" s="85" t="s">
        <v>729</v>
      </c>
      <c r="E118" s="85">
        <v>80</v>
      </c>
      <c r="F118" s="86" t="str">
        <f>INDEX(tbl_IngrédientsRef[Unité], MATCH(C118, tbl_IngrédientsRef[Cde_Ingrdt],0))</f>
        <v>g</v>
      </c>
    </row>
    <row r="119" spans="1:6" x14ac:dyDescent="0.3">
      <c r="A119" s="82" t="s">
        <v>794</v>
      </c>
      <c r="B119" s="83" t="str">
        <f>IFERROR(INDEX(tbl_ProduitsRef[Cde_Prdt],MATCH(A119,tbl_ProduitsRef[Produit],0)),"⚠️ Produit non trouvé")</f>
        <v>SNK007</v>
      </c>
      <c r="C119" s="88" t="str">
        <f>IFERROR(VLOOKUP(D119,Référentiels!$M$2:$N$267,2,FALSE),"Ingrédient non trouvé")</f>
        <v>PRL007</v>
      </c>
      <c r="D119" s="85" t="s">
        <v>304</v>
      </c>
      <c r="E119" s="85">
        <v>30</v>
      </c>
      <c r="F119" s="86" t="str">
        <f>INDEX(tbl_IngrédientsRef[Unité], MATCH(C119, tbl_IngrédientsRef[Cde_Ingrdt],0))</f>
        <v>g</v>
      </c>
    </row>
    <row r="120" spans="1:6" x14ac:dyDescent="0.3">
      <c r="A120" s="82" t="s">
        <v>794</v>
      </c>
      <c r="B120" s="83" t="str">
        <f>IFERROR(INDEX(tbl_ProduitsRef[Cde_Prdt],MATCH(A120,tbl_ProduitsRef[Produit],0)),"⚠️ Produit non trouvé")</f>
        <v>SNK007</v>
      </c>
      <c r="C120" s="88" t="str">
        <f>IFERROR(VLOOKUP(D120,Référentiels!$M$2:$N$267,2,FALSE),"Ingrédient non trouvé")</f>
        <v>SOS009</v>
      </c>
      <c r="D120" s="85" t="s">
        <v>799</v>
      </c>
      <c r="E120" s="85">
        <v>20</v>
      </c>
      <c r="F120" s="86" t="str">
        <f>INDEX(tbl_IngrédientsRef[Unité], MATCH(C120, tbl_IngrédientsRef[Cde_Ingrdt],0))</f>
        <v>ml</v>
      </c>
    </row>
    <row r="121" spans="1:6" x14ac:dyDescent="0.3">
      <c r="A121" s="82" t="s">
        <v>800</v>
      </c>
      <c r="B121" s="83" t="str">
        <f>IFERROR(INDEX(tbl_ProduitsRef[Cde_Prdt],MATCH(A121,tbl_ProduitsRef[Produit],0)),"⚠️ Produit non trouvé")</f>
        <v>SNK008</v>
      </c>
      <c r="C121" s="88" t="str">
        <f>IFERROR(VLOOKUP(D121,Référentiels!$M$2:$N$267,2,FALSE),"Ingrédient non trouvé")</f>
        <v>BOU018</v>
      </c>
      <c r="D121" s="85" t="s">
        <v>797</v>
      </c>
      <c r="E121" s="85">
        <v>1</v>
      </c>
      <c r="F121" s="86" t="str">
        <f>INDEX(tbl_IngrédientsRef[Unité], MATCH(C121, tbl_IngrédientsRef[Cde_Ingrdt],0))</f>
        <v>Pièce</v>
      </c>
    </row>
    <row r="122" spans="1:6" x14ac:dyDescent="0.3">
      <c r="A122" s="82" t="s">
        <v>800</v>
      </c>
      <c r="B122" s="83" t="str">
        <f>IFERROR(INDEX(tbl_ProduitsRef[Cde_Prdt],MATCH(A122,tbl_ProduitsRef[Produit],0)),"⚠️ Produit non trouvé")</f>
        <v>SNK008</v>
      </c>
      <c r="C122" s="88" t="str">
        <f>IFERROR(VLOOKUP(D122,Référentiels!$M$2:$N$267,2,FALSE),"Ingrédient non trouvé")</f>
        <v>BOE001</v>
      </c>
      <c r="D122" s="85" t="s">
        <v>473</v>
      </c>
      <c r="E122" s="85">
        <v>100</v>
      </c>
      <c r="F122" s="86" t="str">
        <f>INDEX(tbl_IngrédientsRef[Unité], MATCH(C122, tbl_IngrédientsRef[Cde_Ingrdt],0))</f>
        <v>g</v>
      </c>
    </row>
    <row r="123" spans="1:6" x14ac:dyDescent="0.3">
      <c r="A123" s="82" t="s">
        <v>800</v>
      </c>
      <c r="B123" s="83" t="str">
        <f>IFERROR(INDEX(tbl_ProduitsRef[Cde_Prdt],MATCH(A123,tbl_ProduitsRef[Produit],0)),"⚠️ Produit non trouvé")</f>
        <v>SNK008</v>
      </c>
      <c r="C123" s="88" t="str">
        <f>IFERROR(VLOOKUP(D123,Référentiels!$M$2:$N$267,2,FALSE),"Ingrédient non trouvé")</f>
        <v>PRL007</v>
      </c>
      <c r="D123" s="85" t="s">
        <v>304</v>
      </c>
      <c r="E123" s="85">
        <v>30</v>
      </c>
      <c r="F123" s="86" t="str">
        <f>INDEX(tbl_IngrédientsRef[Unité], MATCH(C123, tbl_IngrédientsRef[Cde_Ingrdt],0))</f>
        <v>g</v>
      </c>
    </row>
    <row r="124" spans="1:6" x14ac:dyDescent="0.3">
      <c r="A124" s="82" t="s">
        <v>800</v>
      </c>
      <c r="B124" s="83" t="str">
        <f>IFERROR(INDEX(tbl_ProduitsRef[Cde_Prdt],MATCH(A124,tbl_ProduitsRef[Produit],0)),"⚠️ Produit non trouvé")</f>
        <v>SNK008</v>
      </c>
      <c r="C124" s="88" t="str">
        <f>IFERROR(VLOOKUP(D124,Référentiels!$M$2:$N$267,2,FALSE),"Ingrédient non trouvé")</f>
        <v>SOS009</v>
      </c>
      <c r="D124" s="85" t="s">
        <v>799</v>
      </c>
      <c r="E124" s="85">
        <v>20</v>
      </c>
      <c r="F124" s="86" t="str">
        <f>INDEX(tbl_IngrédientsRef[Unité], MATCH(C124, tbl_IngrédientsRef[Cde_Ingrdt],0))</f>
        <v>ml</v>
      </c>
    </row>
    <row r="125" spans="1:6" x14ac:dyDescent="0.3">
      <c r="A125" s="82" t="s">
        <v>802</v>
      </c>
      <c r="B125" s="83" t="str">
        <f>IFERROR(INDEX(tbl_ProduitsRef[Cde_Prdt],MATCH(A125,tbl_ProduitsRef[Produit],0)),"⚠️ Produit non trouvé")</f>
        <v>SNK009</v>
      </c>
      <c r="C125" s="88" t="str">
        <f>IFERROR(VLOOKUP(D125,Référentiels!$M$2:$N$267,2,FALSE),"Ingrédient non trouvé")</f>
        <v>BOU018</v>
      </c>
      <c r="D125" s="85" t="s">
        <v>797</v>
      </c>
      <c r="E125" s="85">
        <v>1</v>
      </c>
      <c r="F125" s="86" t="str">
        <f>INDEX(tbl_IngrédientsRef[Unité], MATCH(C125, tbl_IngrédientsRef[Cde_Ingrdt],0))</f>
        <v>Pièce</v>
      </c>
    </row>
    <row r="126" spans="1:6" x14ac:dyDescent="0.3">
      <c r="A126" s="82" t="s">
        <v>802</v>
      </c>
      <c r="B126" s="83" t="str">
        <f>IFERROR(INDEX(tbl_ProduitsRef[Cde_Prdt],MATCH(A126,tbl_ProduitsRef[Produit],0)),"⚠️ Produit non trouvé")</f>
        <v>SNK009</v>
      </c>
      <c r="C126" s="88" t="str">
        <f>IFERROR(VLOOKUP(D126,Référentiels!$M$2:$N$267,2,FALSE),"Ingrédient non trouvé")</f>
        <v>VOL005</v>
      </c>
      <c r="D126" s="85" t="s">
        <v>729</v>
      </c>
      <c r="E126" s="85">
        <v>100</v>
      </c>
      <c r="F126" s="86" t="str">
        <f>INDEX(tbl_IngrédientsRef[Unité], MATCH(C126, tbl_IngrédientsRef[Cde_Ingrdt],0))</f>
        <v>g</v>
      </c>
    </row>
    <row r="127" spans="1:6" x14ac:dyDescent="0.3">
      <c r="A127" s="82" t="s">
        <v>802</v>
      </c>
      <c r="B127" s="83" t="str">
        <f>IFERROR(INDEX(tbl_ProduitsRef[Cde_Prdt],MATCH(A127,tbl_ProduitsRef[Produit],0)),"⚠️ Produit non trouvé")</f>
        <v>SNK009</v>
      </c>
      <c r="C127" s="88" t="str">
        <f>IFERROR(VLOOKUP(D127,Référentiels!$M$2:$N$267,2,FALSE),"Ingrédient non trouvé")</f>
        <v>PRL007</v>
      </c>
      <c r="D127" s="85" t="s">
        <v>304</v>
      </c>
      <c r="E127" s="85">
        <v>30</v>
      </c>
      <c r="F127" s="86" t="str">
        <f>INDEX(tbl_IngrédientsRef[Unité], MATCH(C127, tbl_IngrédientsRef[Cde_Ingrdt],0))</f>
        <v>g</v>
      </c>
    </row>
    <row r="128" spans="1:6" x14ac:dyDescent="0.3">
      <c r="A128" s="82" t="s">
        <v>804</v>
      </c>
      <c r="B128" s="83" t="str">
        <f>IFERROR(INDEX(tbl_ProduitsRef[Cde_Prdt],MATCH(A128,tbl_ProduitsRef[Produit],0)),"⚠️ Produit non trouvé")</f>
        <v>SNK010</v>
      </c>
      <c r="C128" s="88" t="str">
        <f>IFERROR(VLOOKUP(D128,Référentiels!$M$2:$N$267,2,FALSE),"Ingrédient non trouvé")</f>
        <v>BOU018</v>
      </c>
      <c r="D128" s="85" t="s">
        <v>797</v>
      </c>
      <c r="E128" s="85">
        <v>1</v>
      </c>
      <c r="F128" s="86" t="str">
        <f>INDEX(tbl_IngrédientsRef[Unité], MATCH(C128, tbl_IngrédientsRef[Cde_Ingrdt],0))</f>
        <v>Pièce</v>
      </c>
    </row>
    <row r="129" spans="1:6" x14ac:dyDescent="0.3">
      <c r="A129" s="82" t="s">
        <v>804</v>
      </c>
      <c r="B129" s="83" t="str">
        <f>IFERROR(INDEX(tbl_ProduitsRef[Cde_Prdt],MATCH(A129,tbl_ProduitsRef[Produit],0)),"⚠️ Produit non trouvé")</f>
        <v>SNK010</v>
      </c>
      <c r="C129" s="88" t="str">
        <f>IFERROR(VLOOKUP(D129,Référentiels!$M$2:$N$267,2,FALSE),"Ingrédient non trouvé")</f>
        <v>VOL006</v>
      </c>
      <c r="D129" s="85" t="s">
        <v>413</v>
      </c>
      <c r="E129" s="85">
        <v>100</v>
      </c>
      <c r="F129" s="86" t="str">
        <f>INDEX(tbl_IngrédientsRef[Unité], MATCH(C129, tbl_IngrédientsRef[Cde_Ingrdt],0))</f>
        <v>Pièce</v>
      </c>
    </row>
    <row r="130" spans="1:6" x14ac:dyDescent="0.3">
      <c r="A130" s="82" t="s">
        <v>804</v>
      </c>
      <c r="B130" s="83" t="str">
        <f>IFERROR(INDEX(tbl_ProduitsRef[Cde_Prdt],MATCH(A130,tbl_ProduitsRef[Produit],0)),"⚠️ Produit non trouvé")</f>
        <v>SNK010</v>
      </c>
      <c r="C130" s="88" t="str">
        <f>IFERROR(VLOOKUP(D130,Référentiels!$M$2:$N$267,2,FALSE),"Ingrédient non trouvé")</f>
        <v>PRL007</v>
      </c>
      <c r="D130" s="85" t="s">
        <v>304</v>
      </c>
      <c r="E130" s="85">
        <v>30</v>
      </c>
      <c r="F130" s="86" t="str">
        <f>INDEX(tbl_IngrédientsRef[Unité], MATCH(C130, tbl_IngrédientsRef[Cde_Ingrdt],0))</f>
        <v>g</v>
      </c>
    </row>
    <row r="131" spans="1:6" x14ac:dyDescent="0.3">
      <c r="A131" s="82" t="s">
        <v>804</v>
      </c>
      <c r="B131" s="83" t="str">
        <f>IFERROR(INDEX(tbl_ProduitsRef[Cde_Prdt],MATCH(A131,tbl_ProduitsRef[Produit],0)),"⚠️ Produit non trouvé")</f>
        <v>SNK010</v>
      </c>
      <c r="C131" s="88" t="str">
        <f>IFERROR(VLOOKUP(D131,Référentiels!$M$2:$N$267,2,FALSE),"Ingrédient non trouvé")</f>
        <v>SOS009</v>
      </c>
      <c r="D131" s="85" t="s">
        <v>799</v>
      </c>
      <c r="E131" s="85">
        <v>20</v>
      </c>
      <c r="F131" s="86" t="str">
        <f>INDEX(tbl_IngrédientsRef[Unité], MATCH(C131, tbl_IngrédientsRef[Cde_Ingrdt],0))</f>
        <v>ml</v>
      </c>
    </row>
    <row r="132" spans="1:6" x14ac:dyDescent="0.3">
      <c r="A132" s="89" t="s">
        <v>806</v>
      </c>
      <c r="B132" s="83" t="str">
        <f>IFERROR(INDEX(tbl_ProduitsRef[Cde_Prdt],MATCH(A132,tbl_ProduitsRef[Produit],0)),"⚠️ Produit non trouvé")</f>
        <v>PIZ001</v>
      </c>
      <c r="C132" s="88" t="str">
        <f>IFERROR(VLOOKUP(D132,Référentiels!$M$2:$N$267,2,FALSE),"Ingrédient non trouvé")</f>
        <v>BOU011</v>
      </c>
      <c r="D132" s="88" t="s">
        <v>809</v>
      </c>
      <c r="E132" s="88">
        <v>1</v>
      </c>
      <c r="F132" s="86" t="str">
        <f>INDEX(tbl_IngrédientsRef[Unité], MATCH(C132, tbl_IngrédientsRef[Cde_Ingrdt],0))</f>
        <v>Pièce</v>
      </c>
    </row>
    <row r="133" spans="1:6" x14ac:dyDescent="0.3">
      <c r="A133" s="89" t="s">
        <v>806</v>
      </c>
      <c r="B133" s="83" t="str">
        <f>IFERROR(INDEX(tbl_ProduitsRef[Cde_Prdt],MATCH(A133,tbl_ProduitsRef[Produit],0)),"⚠️ Produit non trouvé")</f>
        <v>PIZ001</v>
      </c>
      <c r="C133" s="88" t="str">
        <f>IFERROR(VLOOKUP(D133,Référentiels!$M$2:$N$267,2,FALSE),"Ingrédient non trouvé")</f>
        <v>SOS004</v>
      </c>
      <c r="D133" s="88" t="s">
        <v>220</v>
      </c>
      <c r="E133" s="88">
        <v>60</v>
      </c>
      <c r="F133" s="86" t="str">
        <f>INDEX(tbl_IngrédientsRef[Unité], MATCH(C133, tbl_IngrédientsRef[Cde_Ingrdt],0))</f>
        <v>ml</v>
      </c>
    </row>
    <row r="134" spans="1:6" x14ac:dyDescent="0.3">
      <c r="A134" s="89" t="s">
        <v>806</v>
      </c>
      <c r="B134" s="83" t="str">
        <f>IFERROR(INDEX(tbl_ProduitsRef[Cde_Prdt],MATCH(A134,tbl_ProduitsRef[Produit],0)),"⚠️ Produit non trouvé")</f>
        <v>PIZ001</v>
      </c>
      <c r="C134" s="88" t="str">
        <f>IFERROR(VLOOKUP(D134,Référentiels!$M$2:$N$267,2,FALSE),"Ingrédient non trouvé")</f>
        <v>LEG004</v>
      </c>
      <c r="D134" s="88" t="s">
        <v>811</v>
      </c>
      <c r="E134" s="88">
        <v>20</v>
      </c>
      <c r="F134" s="86" t="str">
        <f>INDEX(tbl_IngrédientsRef[Unité], MATCH(C134, tbl_IngrédientsRef[Cde_Ingrdt],0))</f>
        <v>g</v>
      </c>
    </row>
    <row r="135" spans="1:6" x14ac:dyDescent="0.3">
      <c r="A135" s="89" t="s">
        <v>806</v>
      </c>
      <c r="B135" s="83" t="str">
        <f>IFERROR(INDEX(tbl_ProduitsRef[Cde_Prdt],MATCH(A135,tbl_ProduitsRef[Produit],0)),"⚠️ Produit non trouvé")</f>
        <v>PIZ001</v>
      </c>
      <c r="C135" s="88" t="str">
        <f>IFERROR(VLOOKUP(D135,Référentiels!$M$2:$N$267,2,FALSE),"Ingrédient non trouvé")</f>
        <v>FDM001</v>
      </c>
      <c r="D135" s="88" t="s">
        <v>294</v>
      </c>
      <c r="E135" s="88">
        <v>40</v>
      </c>
      <c r="F135" s="86" t="str">
        <f>INDEX(tbl_IngrédientsRef[Unité], MATCH(C135, tbl_IngrédientsRef[Cde_Ingrdt],0))</f>
        <v>g</v>
      </c>
    </row>
    <row r="136" spans="1:6" x14ac:dyDescent="0.3">
      <c r="A136" s="89" t="s">
        <v>806</v>
      </c>
      <c r="B136" s="83" t="str">
        <f>IFERROR(INDEX(tbl_ProduitsRef[Cde_Prdt],MATCH(A136,tbl_ProduitsRef[Produit],0)),"⚠️ Produit non trouvé")</f>
        <v>PIZ001</v>
      </c>
      <c r="C136" s="88" t="str">
        <f>IFERROR(VLOOKUP(D136,Référentiels!$M$2:$N$267,2,FALSE),"Ingrédient non trouvé")</f>
        <v>FDM002</v>
      </c>
      <c r="D136" s="88" t="s">
        <v>354</v>
      </c>
      <c r="E136" s="88">
        <v>40</v>
      </c>
      <c r="F136" s="86" t="str">
        <f>INDEX(tbl_IngrédientsRef[Unité], MATCH(C136, tbl_IngrédientsRef[Cde_Ingrdt],0))</f>
        <v>g</v>
      </c>
    </row>
    <row r="137" spans="1:6" x14ac:dyDescent="0.3">
      <c r="A137" s="89" t="s">
        <v>806</v>
      </c>
      <c r="B137" s="83" t="str">
        <f>IFERROR(INDEX(tbl_ProduitsRef[Cde_Prdt],MATCH(A137,tbl_ProduitsRef[Produit],0)),"⚠️ Produit non trouvé")</f>
        <v>PIZ001</v>
      </c>
      <c r="C137" s="88" t="str">
        <f>IFERROR(VLOOKUP(D137,Référentiels!$M$2:$N$267,2,FALSE),"Ingrédient non trouvé")</f>
        <v>FDM004</v>
      </c>
      <c r="D137" s="88" t="s">
        <v>505</v>
      </c>
      <c r="E137" s="88">
        <v>40</v>
      </c>
      <c r="F137" s="86" t="str">
        <f>INDEX(tbl_IngrédientsRef[Unité], MATCH(C137, tbl_IngrédientsRef[Cde_Ingrdt],0))</f>
        <v>g</v>
      </c>
    </row>
    <row r="138" spans="1:6" x14ac:dyDescent="0.3">
      <c r="A138" s="89" t="s">
        <v>806</v>
      </c>
      <c r="B138" s="83" t="str">
        <f>IFERROR(INDEX(tbl_ProduitsRef[Cde_Prdt],MATCH(A138,tbl_ProduitsRef[Produit],0)),"⚠️ Produit non trouvé")</f>
        <v>PIZ001</v>
      </c>
      <c r="C138" s="88" t="str">
        <f>IFERROR(VLOOKUP(D138,Référentiels!$M$2:$N$267,2,FALSE),"Ingrédient non trouvé")</f>
        <v>CDM012</v>
      </c>
      <c r="D138" s="88" t="s">
        <v>813</v>
      </c>
      <c r="E138" s="88">
        <v>20</v>
      </c>
      <c r="F138" s="86" t="str">
        <f>INDEX(tbl_IngrédientsRef[Unité], MATCH(C138, tbl_IngrédientsRef[Cde_Ingrdt],0))</f>
        <v>g</v>
      </c>
    </row>
    <row r="139" spans="1:6" x14ac:dyDescent="0.3">
      <c r="A139" s="89" t="s">
        <v>806</v>
      </c>
      <c r="B139" s="83" t="str">
        <f>IFERROR(INDEX(tbl_ProduitsRef[Cde_Prdt],MATCH(A139,tbl_ProduitsRef[Produit],0)),"⚠️ Produit non trouvé")</f>
        <v>PIZ001</v>
      </c>
      <c r="C139" s="88" t="str">
        <f>IFERROR(VLOOKUP(D139,Référentiels!$M$2:$N$267,2,FALSE),"Ingrédient non trouvé")</f>
        <v>PRL007</v>
      </c>
      <c r="D139" s="88" t="s">
        <v>304</v>
      </c>
      <c r="E139" s="88">
        <v>40</v>
      </c>
      <c r="F139" s="86" t="str">
        <f>INDEX(tbl_IngrédientsRef[Unité], MATCH(C139, tbl_IngrédientsRef[Cde_Ingrdt],0))</f>
        <v>g</v>
      </c>
    </row>
    <row r="140" spans="1:6" x14ac:dyDescent="0.3">
      <c r="A140" s="89" t="s">
        <v>814</v>
      </c>
      <c r="B140" s="83" t="str">
        <f>IFERROR(INDEX(tbl_ProduitsRef[Cde_Prdt],MATCH(A140,tbl_ProduitsRef[Produit],0)),"⚠️ Produit non trouvé")</f>
        <v>PIZ002</v>
      </c>
      <c r="C140" s="88" t="str">
        <f>IFERROR(VLOOKUP(D140,Référentiels!$M$2:$N$267,2,FALSE),"Ingrédient non trouvé")</f>
        <v>BOU011</v>
      </c>
      <c r="D140" s="88" t="s">
        <v>809</v>
      </c>
      <c r="E140" s="88">
        <v>1</v>
      </c>
      <c r="F140" s="86" t="str">
        <f>INDEX(tbl_IngrédientsRef[Unité], MATCH(C140, tbl_IngrédientsRef[Cde_Ingrdt],0))</f>
        <v>Pièce</v>
      </c>
    </row>
    <row r="141" spans="1:6" x14ac:dyDescent="0.3">
      <c r="A141" s="89" t="s">
        <v>814</v>
      </c>
      <c r="B141" s="83" t="str">
        <f>IFERROR(INDEX(tbl_ProduitsRef[Cde_Prdt],MATCH(A141,tbl_ProduitsRef[Produit],0)),"⚠️ Produit non trouvé")</f>
        <v>PIZ002</v>
      </c>
      <c r="C141" s="88" t="str">
        <f>IFERROR(VLOOKUP(D141,Référentiels!$M$2:$N$267,2,FALSE),"Ingrédient non trouvé")</f>
        <v>SOS004</v>
      </c>
      <c r="D141" s="88" t="s">
        <v>220</v>
      </c>
      <c r="E141" s="88">
        <v>60</v>
      </c>
      <c r="F141" s="86" t="str">
        <f>INDEX(tbl_IngrédientsRef[Unité], MATCH(C141, tbl_IngrédientsRef[Cde_Ingrdt],0))</f>
        <v>ml</v>
      </c>
    </row>
    <row r="142" spans="1:6" x14ac:dyDescent="0.3">
      <c r="A142" s="89" t="s">
        <v>814</v>
      </c>
      <c r="B142" s="83" t="str">
        <f>IFERROR(INDEX(tbl_ProduitsRef[Cde_Prdt],MATCH(A142,tbl_ProduitsRef[Produit],0)),"⚠️ Produit non trouvé")</f>
        <v>PIZ002</v>
      </c>
      <c r="C142" s="88" t="str">
        <f>IFERROR(VLOOKUP(D142,Référentiels!$M$2:$N$267,2,FALSE),"Ingrédient non trouvé")</f>
        <v>FDM001</v>
      </c>
      <c r="D142" s="88" t="s">
        <v>294</v>
      </c>
      <c r="E142" s="88">
        <v>30</v>
      </c>
      <c r="F142" s="86" t="str">
        <f>INDEX(tbl_IngrédientsRef[Unité], MATCH(C142, tbl_IngrédientsRef[Cde_Ingrdt],0))</f>
        <v>g</v>
      </c>
    </row>
    <row r="143" spans="1:6" x14ac:dyDescent="0.3">
      <c r="A143" s="89" t="s">
        <v>814</v>
      </c>
      <c r="B143" s="83" t="str">
        <f>IFERROR(INDEX(tbl_ProduitsRef[Cde_Prdt],MATCH(A143,tbl_ProduitsRef[Produit],0)),"⚠️ Produit non trouvé")</f>
        <v>PIZ002</v>
      </c>
      <c r="C143" s="88" t="str">
        <f>IFERROR(VLOOKUP(D143,Référentiels!$M$2:$N$267,2,FALSE),"Ingrédient non trouvé")</f>
        <v>FDM002</v>
      </c>
      <c r="D143" s="88" t="s">
        <v>354</v>
      </c>
      <c r="E143" s="88">
        <v>30</v>
      </c>
      <c r="F143" s="86" t="str">
        <f>INDEX(tbl_IngrédientsRef[Unité], MATCH(C143, tbl_IngrédientsRef[Cde_Ingrdt],0))</f>
        <v>g</v>
      </c>
    </row>
    <row r="144" spans="1:6" x14ac:dyDescent="0.3">
      <c r="A144" s="89" t="s">
        <v>814</v>
      </c>
      <c r="B144" s="83" t="str">
        <f>IFERROR(INDEX(tbl_ProduitsRef[Cde_Prdt],MATCH(A144,tbl_ProduitsRef[Produit],0)),"⚠️ Produit non trouvé")</f>
        <v>PIZ002</v>
      </c>
      <c r="C144" s="88" t="str">
        <f>IFERROR(VLOOKUP(D144,Référentiels!$M$2:$N$267,2,FALSE),"Ingrédient non trouvé")</f>
        <v>BOE001</v>
      </c>
      <c r="D144" s="88" t="s">
        <v>473</v>
      </c>
      <c r="E144" s="88">
        <v>40</v>
      </c>
      <c r="F144" s="86" t="str">
        <f>INDEX(tbl_IngrédientsRef[Unité], MATCH(C144, tbl_IngrédientsRef[Cde_Ingrdt],0))</f>
        <v>g</v>
      </c>
    </row>
    <row r="145" spans="1:6" x14ac:dyDescent="0.3">
      <c r="A145" s="89" t="s">
        <v>814</v>
      </c>
      <c r="B145" s="83" t="str">
        <f>IFERROR(INDEX(tbl_ProduitsRef[Cde_Prdt],MATCH(A145,tbl_ProduitsRef[Produit],0)),"⚠️ Produit non trouvé")</f>
        <v>PIZ002</v>
      </c>
      <c r="C145" s="88" t="str">
        <f>IFERROR(VLOOKUP(D145,Référentiels!$M$2:$N$267,2,FALSE),"Ingrédient non trouvé")</f>
        <v>LEG015</v>
      </c>
      <c r="D145" s="88" t="s">
        <v>601</v>
      </c>
      <c r="E145" s="88">
        <v>30</v>
      </c>
      <c r="F145" s="86" t="str">
        <f>INDEX(tbl_IngrédientsRef[Unité], MATCH(C145, tbl_IngrédientsRef[Cde_Ingrdt],0))</f>
        <v>g</v>
      </c>
    </row>
    <row r="146" spans="1:6" x14ac:dyDescent="0.3">
      <c r="A146" s="89" t="s">
        <v>814</v>
      </c>
      <c r="B146" s="83" t="str">
        <f>IFERROR(INDEX(tbl_ProduitsRef[Cde_Prdt],MATCH(A146,tbl_ProduitsRef[Produit],0)),"⚠️ Produit non trouvé")</f>
        <v>PIZ002</v>
      </c>
      <c r="C146" s="88" t="str">
        <f>IFERROR(VLOOKUP(D146,Référentiels!$M$2:$N$267,2,FALSE),"Ingrédient non trouvé")</f>
        <v>LEG012</v>
      </c>
      <c r="D146" s="88" t="s">
        <v>316</v>
      </c>
      <c r="E146" s="88">
        <v>30</v>
      </c>
      <c r="F146" s="86" t="str">
        <f>INDEX(tbl_IngrédientsRef[Unité], MATCH(C146, tbl_IngrédientsRef[Cde_Ingrdt],0))</f>
        <v>g</v>
      </c>
    </row>
    <row r="147" spans="1:6" x14ac:dyDescent="0.3">
      <c r="A147" s="89" t="s">
        <v>814</v>
      </c>
      <c r="B147" s="83" t="str">
        <f>IFERROR(INDEX(tbl_ProduitsRef[Cde_Prdt],MATCH(A147,tbl_ProduitsRef[Produit],0)),"⚠️ Produit non trouvé")</f>
        <v>PIZ002</v>
      </c>
      <c r="C147" s="88" t="str">
        <f>IFERROR(VLOOKUP(D147,Référentiels!$M$2:$N$267,2,FALSE),"Ingrédient non trouvé")</f>
        <v>VOL001</v>
      </c>
      <c r="D147" s="88" t="s">
        <v>390</v>
      </c>
      <c r="E147" s="88">
        <v>40</v>
      </c>
      <c r="F147" s="86" t="str">
        <f>INDEX(tbl_IngrédientsRef[Unité], MATCH(C147, tbl_IngrédientsRef[Cde_Ingrdt],0))</f>
        <v>g</v>
      </c>
    </row>
    <row r="148" spans="1:6" x14ac:dyDescent="0.3">
      <c r="A148" s="89" t="s">
        <v>814</v>
      </c>
      <c r="B148" s="83" t="str">
        <f>IFERROR(INDEX(tbl_ProduitsRef[Cde_Prdt],MATCH(A148,tbl_ProduitsRef[Produit],0)),"⚠️ Produit non trouvé")</f>
        <v>PIZ002</v>
      </c>
      <c r="C148" s="88" t="str">
        <f>IFERROR(VLOOKUP(D148,Référentiels!$M$2:$N$267,2,FALSE),"Ingrédient non trouvé")</f>
        <v>LEG018</v>
      </c>
      <c r="D148" s="88" t="s">
        <v>574</v>
      </c>
      <c r="E148" s="88">
        <v>30</v>
      </c>
      <c r="F148" s="86" t="str">
        <f>INDEX(tbl_IngrédientsRef[Unité], MATCH(C148, tbl_IngrédientsRef[Cde_Ingrdt],0))</f>
        <v>g</v>
      </c>
    </row>
    <row r="149" spans="1:6" x14ac:dyDescent="0.3">
      <c r="A149" s="89" t="s">
        <v>814</v>
      </c>
      <c r="B149" s="83" t="str">
        <f>IFERROR(INDEX(tbl_ProduitsRef[Cde_Prdt],MATCH(A149,tbl_ProduitsRef[Produit],0)),"⚠️ Produit non trouvé")</f>
        <v>PIZ002</v>
      </c>
      <c r="C149" s="88" t="str">
        <f>IFERROR(VLOOKUP(D149,Référentiels!$M$2:$N$267,2,FALSE),"Ingrédient non trouvé")</f>
        <v>PRL007</v>
      </c>
      <c r="D149" s="88" t="s">
        <v>304</v>
      </c>
      <c r="E149" s="88">
        <v>40</v>
      </c>
      <c r="F149" s="86" t="str">
        <f>INDEX(tbl_IngrédientsRef[Unité], MATCH(C149, tbl_IngrédientsRef[Cde_Ingrdt],0))</f>
        <v>g</v>
      </c>
    </row>
    <row r="150" spans="1:6" x14ac:dyDescent="0.3">
      <c r="A150" s="89" t="s">
        <v>816</v>
      </c>
      <c r="B150" s="83" t="str">
        <f>IFERROR(INDEX(tbl_ProduitsRef[Cde_Prdt],MATCH(A150,tbl_ProduitsRef[Produit],0)),"⚠️ Produit non trouvé")</f>
        <v>PIZ003</v>
      </c>
      <c r="C150" s="88" t="str">
        <f>IFERROR(VLOOKUP(D150,Référentiels!$M$2:$N$267,2,FALSE),"Ingrédient non trouvé")</f>
        <v>BOU011</v>
      </c>
      <c r="D150" s="88" t="s">
        <v>809</v>
      </c>
      <c r="E150" s="88">
        <v>180</v>
      </c>
      <c r="F150" s="86" t="str">
        <f>INDEX(tbl_IngrédientsRef[Unité], MATCH(C150, tbl_IngrédientsRef[Cde_Ingrdt],0))</f>
        <v>Pièce</v>
      </c>
    </row>
    <row r="151" spans="1:6" x14ac:dyDescent="0.3">
      <c r="A151" s="89" t="s">
        <v>816</v>
      </c>
      <c r="B151" s="83" t="str">
        <f>IFERROR(INDEX(tbl_ProduitsRef[Cde_Prdt],MATCH(A151,tbl_ProduitsRef[Produit],0)),"⚠️ Produit non trouvé")</f>
        <v>PIZ003</v>
      </c>
      <c r="C151" s="88" t="str">
        <f>IFERROR(VLOOKUP(D151,Référentiels!$M$2:$N$267,2,FALSE),"Ingrédient non trouvé")</f>
        <v>SOS004</v>
      </c>
      <c r="D151" s="88" t="s">
        <v>220</v>
      </c>
      <c r="E151" s="88">
        <v>60</v>
      </c>
      <c r="F151" s="86" t="str">
        <f>INDEX(tbl_IngrédientsRef[Unité], MATCH(C151, tbl_IngrédientsRef[Cde_Ingrdt],0))</f>
        <v>ml</v>
      </c>
    </row>
    <row r="152" spans="1:6" x14ac:dyDescent="0.3">
      <c r="A152" s="89" t="s">
        <v>816</v>
      </c>
      <c r="B152" s="83" t="str">
        <f>IFERROR(INDEX(tbl_ProduitsRef[Cde_Prdt],MATCH(A152,tbl_ProduitsRef[Produit],0)),"⚠️ Produit non trouvé")</f>
        <v>PIZ003</v>
      </c>
      <c r="C152" s="88" t="str">
        <f>IFERROR(VLOOKUP(D152,Référentiels!$M$2:$N$267,2,FALSE),"Ingrédient non trouvé")</f>
        <v>PRL017</v>
      </c>
      <c r="D152" s="88" t="s">
        <v>819</v>
      </c>
      <c r="E152" s="88">
        <v>40</v>
      </c>
      <c r="F152" s="86" t="str">
        <f>INDEX(tbl_IngrédientsRef[Unité], MATCH(C152, tbl_IngrédientsRef[Cde_Ingrdt],0))</f>
        <v>g</v>
      </c>
    </row>
    <row r="153" spans="1:6" x14ac:dyDescent="0.3">
      <c r="A153" s="89" t="s">
        <v>816</v>
      </c>
      <c r="B153" s="83" t="str">
        <f>IFERROR(INDEX(tbl_ProduitsRef[Cde_Prdt],MATCH(A153,tbl_ProduitsRef[Produit],0)),"⚠️ Produit non trouvé")</f>
        <v>PIZ003</v>
      </c>
      <c r="C153" s="88" t="str">
        <f>IFERROR(VLOOKUP(D153,Référentiels!$M$2:$N$267,2,FALSE),"Ingrédient non trouvé")</f>
        <v>PRL014</v>
      </c>
      <c r="D153" s="88" t="s">
        <v>233</v>
      </c>
      <c r="E153" s="88">
        <v>30</v>
      </c>
      <c r="F153" s="86" t="str">
        <f>INDEX(tbl_IngrédientsRef[Unité], MATCH(C153, tbl_IngrédientsRef[Cde_Ingrdt],0))</f>
        <v>g</v>
      </c>
    </row>
    <row r="154" spans="1:6" x14ac:dyDescent="0.3">
      <c r="A154" s="89" t="s">
        <v>816</v>
      </c>
      <c r="B154" s="83" t="str">
        <f>IFERROR(INDEX(tbl_ProduitsRef[Cde_Prdt],MATCH(A154,tbl_ProduitsRef[Produit],0)),"⚠️ Produit non trouvé")</f>
        <v>PIZ003</v>
      </c>
      <c r="C154" s="88" t="str">
        <f>IFERROR(VLOOKUP(D154,Référentiels!$M$2:$N$267,2,FALSE),"Ingrédient non trouvé")</f>
        <v>PRL019</v>
      </c>
      <c r="D154" s="88" t="s">
        <v>821</v>
      </c>
      <c r="E154" s="88">
        <v>30</v>
      </c>
      <c r="F154" s="86" t="str">
        <f>INDEX(tbl_IngrédientsRef[Unité], MATCH(C154, tbl_IngrédientsRef[Cde_Ingrdt],0))</f>
        <v>g</v>
      </c>
    </row>
    <row r="155" spans="1:6" x14ac:dyDescent="0.3">
      <c r="A155" s="89" t="s">
        <v>816</v>
      </c>
      <c r="B155" s="83" t="str">
        <f>IFERROR(INDEX(tbl_ProduitsRef[Cde_Prdt],MATCH(A155,tbl_ProduitsRef[Produit],0)),"⚠️ Produit non trouvé")</f>
        <v>PIZ003</v>
      </c>
      <c r="C155" s="88" t="str">
        <f>IFERROR(VLOOKUP(D155,Référentiels!$M$2:$N$267,2,FALSE),"Ingrédient non trouvé")</f>
        <v>PRL018</v>
      </c>
      <c r="D155" s="88" t="s">
        <v>823</v>
      </c>
      <c r="E155" s="88">
        <v>30</v>
      </c>
      <c r="F155" s="86" t="str">
        <f>INDEX(tbl_IngrédientsRef[Unité], MATCH(C155, tbl_IngrédientsRef[Cde_Ingrdt],0))</f>
        <v>g</v>
      </c>
    </row>
    <row r="156" spans="1:6" x14ac:dyDescent="0.3">
      <c r="A156" s="89" t="s">
        <v>824</v>
      </c>
      <c r="B156" s="83" t="str">
        <f>IFERROR(INDEX(tbl_ProduitsRef[Cde_Prdt],MATCH(A156,tbl_ProduitsRef[Produit],0)),"⚠️ Produit non trouvé")</f>
        <v>PIZ004</v>
      </c>
      <c r="C156" s="88" t="str">
        <f>IFERROR(VLOOKUP(D156,Référentiels!$M$2:$N$267,2,FALSE),"Ingrédient non trouvé")</f>
        <v>BOU011</v>
      </c>
      <c r="D156" s="88" t="s">
        <v>809</v>
      </c>
      <c r="E156" s="88">
        <v>1</v>
      </c>
      <c r="F156" s="86" t="str">
        <f>INDEX(tbl_IngrédientsRef[Unité], MATCH(C156, tbl_IngrédientsRef[Cde_Ingrdt],0))</f>
        <v>Pièce</v>
      </c>
    </row>
    <row r="157" spans="1:6" x14ac:dyDescent="0.3">
      <c r="A157" s="89" t="s">
        <v>824</v>
      </c>
      <c r="B157" s="83" t="str">
        <f>IFERROR(INDEX(tbl_ProduitsRef[Cde_Prdt],MATCH(A157,tbl_ProduitsRef[Produit],0)),"⚠️ Produit non trouvé")</f>
        <v>PIZ004</v>
      </c>
      <c r="C157" s="88" t="str">
        <f>IFERROR(VLOOKUP(D157,Référentiels!$M$2:$N$267,2,FALSE),"Ingrédient non trouvé")</f>
        <v>SOS004</v>
      </c>
      <c r="D157" s="88" t="s">
        <v>220</v>
      </c>
      <c r="E157" s="88">
        <v>60</v>
      </c>
      <c r="F157" s="86" t="str">
        <f>INDEX(tbl_IngrédientsRef[Unité], MATCH(C157, tbl_IngrédientsRef[Cde_Ingrdt],0))</f>
        <v>ml</v>
      </c>
    </row>
    <row r="158" spans="1:6" x14ac:dyDescent="0.3">
      <c r="A158" s="89" t="s">
        <v>824</v>
      </c>
      <c r="B158" s="83" t="str">
        <f>IFERROR(INDEX(tbl_ProduitsRef[Cde_Prdt],MATCH(A158,tbl_ProduitsRef[Produit],0)),"⚠️ Produit non trouvé")</f>
        <v>PIZ004</v>
      </c>
      <c r="C158" s="88" t="str">
        <f>IFERROR(VLOOKUP(D158,Référentiels!$M$2:$N$267,2,FALSE),"Ingrédient non trouvé")</f>
        <v>PRL017</v>
      </c>
      <c r="D158" s="88" t="s">
        <v>819</v>
      </c>
      <c r="E158" s="88">
        <v>80</v>
      </c>
      <c r="F158" s="86" t="str">
        <f>INDEX(tbl_IngrédientsRef[Unité], MATCH(C158, tbl_IngrédientsRef[Cde_Ingrdt],0))</f>
        <v>g</v>
      </c>
    </row>
    <row r="159" spans="1:6" x14ac:dyDescent="0.3">
      <c r="A159" s="89" t="s">
        <v>824</v>
      </c>
      <c r="B159" s="83" t="str">
        <f>IFERROR(INDEX(tbl_ProduitsRef[Cde_Prdt],MATCH(A159,tbl_ProduitsRef[Produit],0)),"⚠️ Produit non trouvé")</f>
        <v>PIZ004</v>
      </c>
      <c r="C159" s="88" t="str">
        <f>IFERROR(VLOOKUP(D159,Référentiels!$M$2:$N$267,2,FALSE),"Ingrédient non trouvé")</f>
        <v>BOE006</v>
      </c>
      <c r="D159" s="88" t="s">
        <v>827</v>
      </c>
      <c r="E159" s="88">
        <v>40</v>
      </c>
      <c r="F159" s="86" t="str">
        <f>INDEX(tbl_IngrédientsRef[Unité], MATCH(C159, tbl_IngrédientsRef[Cde_Ingrdt],0))</f>
        <v>g</v>
      </c>
    </row>
    <row r="160" spans="1:6" x14ac:dyDescent="0.3">
      <c r="A160" s="89" t="s">
        <v>828</v>
      </c>
      <c r="B160" s="83" t="str">
        <f>IFERROR(INDEX(tbl_ProduitsRef[Cde_Prdt],MATCH(A160,tbl_ProduitsRef[Produit],0)),"⚠️ Produit non trouvé")</f>
        <v>PIZ005</v>
      </c>
      <c r="C160" s="88" t="str">
        <f>IFERROR(VLOOKUP(D160,Référentiels!$M$2:$N$267,2,FALSE),"Ingrédient non trouvé")</f>
        <v>BOU011</v>
      </c>
      <c r="D160" s="88" t="s">
        <v>809</v>
      </c>
      <c r="E160" s="88">
        <v>1</v>
      </c>
      <c r="F160" s="86" t="str">
        <f>INDEX(tbl_IngrédientsRef[Unité], MATCH(C160, tbl_IngrédientsRef[Cde_Ingrdt],0))</f>
        <v>Pièce</v>
      </c>
    </row>
    <row r="161" spans="1:6" x14ac:dyDescent="0.3">
      <c r="A161" s="89" t="s">
        <v>828</v>
      </c>
      <c r="B161" s="83" t="str">
        <f>IFERROR(INDEX(tbl_ProduitsRef[Cde_Prdt],MATCH(A161,tbl_ProduitsRef[Produit],0)),"⚠️ Produit non trouvé")</f>
        <v>PIZ005</v>
      </c>
      <c r="C161" s="88" t="str">
        <f>IFERROR(VLOOKUP(D161,Référentiels!$M$2:$N$267,2,FALSE),"Ingrédient non trouvé")</f>
        <v>VOL005</v>
      </c>
      <c r="D161" s="88" t="s">
        <v>729</v>
      </c>
      <c r="E161" s="88">
        <v>80</v>
      </c>
      <c r="F161" s="86" t="str">
        <f>INDEX(tbl_IngrédientsRef[Unité], MATCH(C161, tbl_IngrédientsRef[Cde_Ingrdt],0))</f>
        <v>g</v>
      </c>
    </row>
    <row r="162" spans="1:6" x14ac:dyDescent="0.3">
      <c r="A162" s="89" t="s">
        <v>828</v>
      </c>
      <c r="B162" s="83" t="str">
        <f>IFERROR(INDEX(tbl_ProduitsRef[Cde_Prdt],MATCH(A162,tbl_ProduitsRef[Produit],0)),"⚠️ Produit non trouvé")</f>
        <v>PIZ005</v>
      </c>
      <c r="C162" s="88" t="str">
        <f>IFERROR(VLOOKUP(D162,Référentiels!$M$2:$N$267,2,FALSE),"Ingrédient non trouvé")</f>
        <v>LEG018</v>
      </c>
      <c r="D162" s="88" t="s">
        <v>574</v>
      </c>
      <c r="E162" s="88">
        <v>40</v>
      </c>
      <c r="F162" s="86" t="str">
        <f>INDEX(tbl_IngrédientsRef[Unité], MATCH(C162, tbl_IngrédientsRef[Cde_Ingrdt],0))</f>
        <v>g</v>
      </c>
    </row>
    <row r="163" spans="1:6" x14ac:dyDescent="0.3">
      <c r="A163" s="89" t="s">
        <v>828</v>
      </c>
      <c r="B163" s="83" t="str">
        <f>IFERROR(INDEX(tbl_ProduitsRef[Cde_Prdt],MATCH(A163,tbl_ProduitsRef[Produit],0)),"⚠️ Produit non trouvé")</f>
        <v>PIZ005</v>
      </c>
      <c r="C163" s="88" t="str">
        <f>IFERROR(VLOOKUP(D163,Référentiels!$M$2:$N$267,2,FALSE),"Ingrédient non trouvé")</f>
        <v>PRL024</v>
      </c>
      <c r="D163" s="88" t="s">
        <v>831</v>
      </c>
      <c r="E163" s="88">
        <v>40</v>
      </c>
      <c r="F163" s="86" t="str">
        <f>INDEX(tbl_IngrédientsRef[Unité], MATCH(C163, tbl_IngrédientsRef[Cde_Ingrdt],0))</f>
        <v>g</v>
      </c>
    </row>
    <row r="164" spans="1:6" x14ac:dyDescent="0.3">
      <c r="A164" s="89" t="s">
        <v>832</v>
      </c>
      <c r="B164" s="83" t="str">
        <f>IFERROR(INDEX(tbl_ProduitsRef[Cde_Prdt],MATCH(A164,tbl_ProduitsRef[Produit],0)),"⚠️ Produit non trouvé")</f>
        <v>PIZ006</v>
      </c>
      <c r="C164" s="88" t="str">
        <f>IFERROR(VLOOKUP(D164,Référentiels!$M$2:$N$267,2,FALSE),"Ingrédient non trouvé")</f>
        <v>BOU011</v>
      </c>
      <c r="D164" s="88" t="s">
        <v>809</v>
      </c>
      <c r="E164" s="88">
        <v>1</v>
      </c>
      <c r="F164" s="86" t="str">
        <f>INDEX(tbl_IngrédientsRef[Unité], MATCH(C164, tbl_IngrédientsRef[Cde_Ingrdt],0))</f>
        <v>Pièce</v>
      </c>
    </row>
    <row r="165" spans="1:6" x14ac:dyDescent="0.3">
      <c r="A165" s="89" t="s">
        <v>832</v>
      </c>
      <c r="B165" s="83" t="str">
        <f>IFERROR(INDEX(tbl_ProduitsRef[Cde_Prdt],MATCH(A165,tbl_ProduitsRef[Produit],0)),"⚠️ Produit non trouvé")</f>
        <v>PIZ006</v>
      </c>
      <c r="C165" s="88" t="str">
        <f>IFERROR(VLOOKUP(D165,Référentiels!$M$2:$N$267,2,FALSE),"Ingrédient non trouvé")</f>
        <v>BOE001</v>
      </c>
      <c r="D165" s="88" t="s">
        <v>473</v>
      </c>
      <c r="E165" s="88">
        <v>80</v>
      </c>
      <c r="F165" s="86" t="str">
        <f>INDEX(tbl_IngrédientsRef[Unité], MATCH(C165, tbl_IngrédientsRef[Cde_Ingrdt],0))</f>
        <v>g</v>
      </c>
    </row>
    <row r="166" spans="1:6" x14ac:dyDescent="0.3">
      <c r="A166" s="89" t="s">
        <v>832</v>
      </c>
      <c r="B166" s="83" t="str">
        <f>IFERROR(INDEX(tbl_ProduitsRef[Cde_Prdt],MATCH(A166,tbl_ProduitsRef[Produit],0)),"⚠️ Produit non trouvé")</f>
        <v>PIZ006</v>
      </c>
      <c r="C166" s="88" t="str">
        <f>IFERROR(VLOOKUP(D166,Référentiels!$M$2:$N$267,2,FALSE),"Ingrédient non trouvé")</f>
        <v>EPI007</v>
      </c>
      <c r="D166" s="88" t="s">
        <v>515</v>
      </c>
      <c r="E166" s="88">
        <v>5</v>
      </c>
      <c r="F166" s="86" t="str">
        <f>INDEX(tbl_IngrédientsRef[Unité], MATCH(C166, tbl_IngrédientsRef[Cde_Ingrdt],0))</f>
        <v>g</v>
      </c>
    </row>
    <row r="167" spans="1:6" x14ac:dyDescent="0.3">
      <c r="A167" s="89" t="s">
        <v>832</v>
      </c>
      <c r="B167" s="83" t="str">
        <f>IFERROR(INDEX(tbl_ProduitsRef[Cde_Prdt],MATCH(A167,tbl_ProduitsRef[Produit],0)),"⚠️ Produit non trouvé")</f>
        <v>PIZ006</v>
      </c>
      <c r="C167" s="88" t="str">
        <f>IFERROR(VLOOKUP(D167,Référentiels!$M$2:$N$267,2,FALSE),"Ingrédient non trouvé")</f>
        <v>SOS004</v>
      </c>
      <c r="D167" s="88" t="s">
        <v>220</v>
      </c>
      <c r="E167" s="88">
        <v>60</v>
      </c>
      <c r="F167" s="86" t="str">
        <f>INDEX(tbl_IngrédientsRef[Unité], MATCH(C167, tbl_IngrédientsRef[Cde_Ingrdt],0))</f>
        <v>ml</v>
      </c>
    </row>
    <row r="168" spans="1:6" x14ac:dyDescent="0.3">
      <c r="A168" s="89" t="s">
        <v>832</v>
      </c>
      <c r="B168" s="83" t="str">
        <f>IFERROR(INDEX(tbl_ProduitsRef[Cde_Prdt],MATCH(A168,tbl_ProduitsRef[Produit],0)),"⚠️ Produit non trouvé")</f>
        <v>PIZ006</v>
      </c>
      <c r="C168" s="88" t="str">
        <f>IFERROR(VLOOKUP(D168,Référentiels!$M$2:$N$267,2,FALSE),"Ingrédient non trouvé")</f>
        <v>PRL007</v>
      </c>
      <c r="D168" s="88" t="s">
        <v>304</v>
      </c>
      <c r="E168" s="88">
        <v>40</v>
      </c>
      <c r="F168" s="86" t="str">
        <f>INDEX(tbl_IngrédientsRef[Unité], MATCH(C168, tbl_IngrédientsRef[Cde_Ingrdt],0))</f>
        <v>g</v>
      </c>
    </row>
    <row r="169" spans="1:6" x14ac:dyDescent="0.3">
      <c r="A169" s="89" t="s">
        <v>834</v>
      </c>
      <c r="B169" s="83" t="str">
        <f>IFERROR(INDEX(tbl_ProduitsRef[Cde_Prdt],MATCH(A169,tbl_ProduitsRef[Produit],0)),"⚠️ Produit non trouvé")</f>
        <v>PIZ007</v>
      </c>
      <c r="C169" s="88" t="str">
        <f>IFERROR(VLOOKUP(D169,Référentiels!$M$2:$N$267,2,FALSE),"Ingrédient non trouvé")</f>
        <v>BOU011</v>
      </c>
      <c r="D169" s="88" t="s">
        <v>809</v>
      </c>
      <c r="E169" s="88">
        <v>1</v>
      </c>
      <c r="F169" s="86" t="str">
        <f>INDEX(tbl_IngrédientsRef[Unité], MATCH(C169, tbl_IngrédientsRef[Cde_Ingrdt],0))</f>
        <v>Pièce</v>
      </c>
    </row>
    <row r="170" spans="1:6" x14ac:dyDescent="0.3">
      <c r="A170" s="89" t="s">
        <v>834</v>
      </c>
      <c r="B170" s="83" t="str">
        <f>IFERROR(INDEX(tbl_ProduitsRef[Cde_Prdt],MATCH(A170,tbl_ProduitsRef[Produit],0)),"⚠️ Produit non trouvé")</f>
        <v>PIZ007</v>
      </c>
      <c r="C170" s="88" t="str">
        <f>IFERROR(VLOOKUP(D170,Référentiels!$M$2:$N$267,2,FALSE),"Ingrédient non trouvé")</f>
        <v>POI010</v>
      </c>
      <c r="D170" s="88" t="s">
        <v>400</v>
      </c>
      <c r="E170" s="88">
        <v>60</v>
      </c>
      <c r="F170" s="86" t="str">
        <f>INDEX(tbl_IngrédientsRef[Unité], MATCH(C170, tbl_IngrédientsRef[Cde_Ingrdt],0))</f>
        <v>g</v>
      </c>
    </row>
    <row r="171" spans="1:6" x14ac:dyDescent="0.3">
      <c r="A171" s="89" t="s">
        <v>834</v>
      </c>
      <c r="B171" s="83" t="str">
        <f>IFERROR(INDEX(tbl_ProduitsRef[Cde_Prdt],MATCH(A171,tbl_ProduitsRef[Produit],0)),"⚠️ Produit non trouvé")</f>
        <v>PIZ007</v>
      </c>
      <c r="C171" s="88" t="str">
        <f>IFERROR(VLOOKUP(D171,Référentiels!$M$2:$N$267,2,FALSE),"Ingrédient non trouvé")</f>
        <v>SOS004</v>
      </c>
      <c r="D171" s="88" t="s">
        <v>220</v>
      </c>
      <c r="E171" s="88">
        <v>60</v>
      </c>
      <c r="F171" s="86" t="str">
        <f>INDEX(tbl_IngrédientsRef[Unité], MATCH(C171, tbl_IngrédientsRef[Cde_Ingrdt],0))</f>
        <v>ml</v>
      </c>
    </row>
    <row r="172" spans="1:6" x14ac:dyDescent="0.3">
      <c r="A172" s="89" t="s">
        <v>834</v>
      </c>
      <c r="B172" s="83" t="str">
        <f>IFERROR(INDEX(tbl_ProduitsRef[Cde_Prdt],MATCH(A172,tbl_ProduitsRef[Produit],0)),"⚠️ Produit non trouvé")</f>
        <v>PIZ007</v>
      </c>
      <c r="C172" s="88" t="str">
        <f>IFERROR(VLOOKUP(D172,Référentiels!$M$2:$N$267,2,FALSE),"Ingrédient non trouvé")</f>
        <v>CDM012</v>
      </c>
      <c r="D172" s="88" t="s">
        <v>813</v>
      </c>
      <c r="E172" s="88">
        <v>20</v>
      </c>
      <c r="F172" s="86" t="str">
        <f>INDEX(tbl_IngrédientsRef[Unité], MATCH(C172, tbl_IngrédientsRef[Cde_Ingrdt],0))</f>
        <v>g</v>
      </c>
    </row>
    <row r="173" spans="1:6" x14ac:dyDescent="0.3">
      <c r="A173" s="89" t="s">
        <v>834</v>
      </c>
      <c r="B173" s="83" t="str">
        <f>IFERROR(INDEX(tbl_ProduitsRef[Cde_Prdt],MATCH(A173,tbl_ProduitsRef[Produit],0)),"⚠️ Produit non trouvé")</f>
        <v>PIZ007</v>
      </c>
      <c r="C173" s="88" t="str">
        <f>IFERROR(VLOOKUP(D173,Référentiels!$M$2:$N$267,2,FALSE),"Ingrédient non trouvé")</f>
        <v>CDM003</v>
      </c>
      <c r="D173" s="88" t="s">
        <v>777</v>
      </c>
      <c r="E173" s="88">
        <v>30</v>
      </c>
      <c r="F173" s="86" t="str">
        <f>INDEX(tbl_IngrédientsRef[Unité], MATCH(C173, tbl_IngrédientsRef[Cde_Ingrdt],0))</f>
        <v>g</v>
      </c>
    </row>
    <row r="174" spans="1:6" x14ac:dyDescent="0.3">
      <c r="A174" s="89" t="s">
        <v>834</v>
      </c>
      <c r="B174" s="83" t="str">
        <f>IFERROR(INDEX(tbl_ProduitsRef[Cde_Prdt],MATCH(A174,tbl_ProduitsRef[Produit],0)),"⚠️ Produit non trouvé")</f>
        <v>PIZ007</v>
      </c>
      <c r="C174" s="88" t="str">
        <f>IFERROR(VLOOKUP(D174,Référentiels!$M$2:$N$267,2,FALSE),"Ingrédient non trouvé")</f>
        <v>PRL007</v>
      </c>
      <c r="D174" s="88" t="s">
        <v>304</v>
      </c>
      <c r="E174" s="88">
        <v>40</v>
      </c>
      <c r="F174" s="86" t="str">
        <f>INDEX(tbl_IngrédientsRef[Unité], MATCH(C174, tbl_IngrédientsRef[Cde_Ingrdt],0))</f>
        <v>g</v>
      </c>
    </row>
    <row r="175" spans="1:6" x14ac:dyDescent="0.3">
      <c r="A175" s="89" t="s">
        <v>836</v>
      </c>
      <c r="B175" s="83" t="str">
        <f>IFERROR(INDEX(tbl_ProduitsRef[Cde_Prdt],MATCH(A175,tbl_ProduitsRef[Produit],0)),"⚠️ Produit non trouvé")</f>
        <v>PIZ008</v>
      </c>
      <c r="C175" s="88" t="str">
        <f>IFERROR(VLOOKUP(D175,Référentiels!$M$2:$N$267,2,FALSE),"Ingrédient non trouvé")</f>
        <v>BOU011</v>
      </c>
      <c r="D175" s="88" t="s">
        <v>809</v>
      </c>
      <c r="E175" s="88">
        <v>1</v>
      </c>
      <c r="F175" s="86" t="str">
        <f>INDEX(tbl_IngrédientsRef[Unité], MATCH(C175, tbl_IngrédientsRef[Cde_Ingrdt],0))</f>
        <v>Pièce</v>
      </c>
    </row>
    <row r="176" spans="1:6" x14ac:dyDescent="0.3">
      <c r="A176" s="89" t="s">
        <v>836</v>
      </c>
      <c r="B176" s="83" t="str">
        <f>IFERROR(INDEX(tbl_ProduitsRef[Cde_Prdt],MATCH(A176,tbl_ProduitsRef[Produit],0)),"⚠️ Produit non trouvé")</f>
        <v>PIZ008</v>
      </c>
      <c r="C176" s="88" t="str">
        <f>IFERROR(VLOOKUP(D176,Référentiels!$M$2:$N$267,2,FALSE),"Ingrédient non trouvé")</f>
        <v>LEG003</v>
      </c>
      <c r="D176" s="88" t="s">
        <v>223</v>
      </c>
      <c r="E176" s="88">
        <v>20</v>
      </c>
      <c r="F176" s="86" t="str">
        <f>INDEX(tbl_IngrédientsRef[Unité], MATCH(C176, tbl_IngrédientsRef[Cde_Ingrdt],0))</f>
        <v>g</v>
      </c>
    </row>
    <row r="177" spans="1:6" x14ac:dyDescent="0.3">
      <c r="A177" s="89" t="s">
        <v>836</v>
      </c>
      <c r="B177" s="83" t="str">
        <f>IFERROR(INDEX(tbl_ProduitsRef[Cde_Prdt],MATCH(A177,tbl_ProduitsRef[Produit],0)),"⚠️ Produit non trouvé")</f>
        <v>PIZ008</v>
      </c>
      <c r="C177" s="88" t="str">
        <f>IFERROR(VLOOKUP(D177,Référentiels!$M$2:$N$267,2,FALSE),"Ingrédient non trouvé")</f>
        <v>LEG015</v>
      </c>
      <c r="D177" s="88" t="s">
        <v>601</v>
      </c>
      <c r="E177" s="88">
        <v>30</v>
      </c>
      <c r="F177" s="86" t="str">
        <f>INDEX(tbl_IngrédientsRef[Unité], MATCH(C177, tbl_IngrédientsRef[Cde_Ingrdt],0))</f>
        <v>g</v>
      </c>
    </row>
    <row r="178" spans="1:6" x14ac:dyDescent="0.3">
      <c r="A178" s="89" t="s">
        <v>836</v>
      </c>
      <c r="B178" s="83" t="str">
        <f>IFERROR(INDEX(tbl_ProduitsRef[Cde_Prdt],MATCH(A178,tbl_ProduitsRef[Produit],0)),"⚠️ Produit non trouvé")</f>
        <v>PIZ008</v>
      </c>
      <c r="C178" s="88" t="str">
        <f>IFERROR(VLOOKUP(D178,Référentiels!$M$2:$N$267,2,FALSE),"Ingrédient non trouvé")</f>
        <v>LEG016</v>
      </c>
      <c r="D178" s="88" t="s">
        <v>839</v>
      </c>
      <c r="E178" s="88">
        <v>30</v>
      </c>
      <c r="F178" s="86" t="str">
        <f>INDEX(tbl_IngrédientsRef[Unité], MATCH(C178, tbl_IngrédientsRef[Cde_Ingrdt],0))</f>
        <v>g</v>
      </c>
    </row>
    <row r="179" spans="1:6" x14ac:dyDescent="0.3">
      <c r="A179" s="89" t="s">
        <v>836</v>
      </c>
      <c r="B179" s="83" t="str">
        <f>IFERROR(INDEX(tbl_ProduitsRef[Cde_Prdt],MATCH(A179,tbl_ProduitsRef[Produit],0)),"⚠️ Produit non trouvé")</f>
        <v>PIZ008</v>
      </c>
      <c r="C179" s="88" t="str">
        <f>IFERROR(VLOOKUP(D179,Référentiels!$M$2:$N$267,2,FALSE),"Ingrédient non trouvé")</f>
        <v>LEG012</v>
      </c>
      <c r="D179" s="88" t="s">
        <v>316</v>
      </c>
      <c r="E179" s="88">
        <v>10</v>
      </c>
      <c r="F179" s="86" t="str">
        <f>INDEX(tbl_IngrédientsRef[Unité], MATCH(C179, tbl_IngrédientsRef[Cde_Ingrdt],0))</f>
        <v>g</v>
      </c>
    </row>
    <row r="180" spans="1:6" x14ac:dyDescent="0.3">
      <c r="A180" s="89" t="s">
        <v>836</v>
      </c>
      <c r="B180" s="83" t="str">
        <f>IFERROR(INDEX(tbl_ProduitsRef[Cde_Prdt],MATCH(A180,tbl_ProduitsRef[Produit],0)),"⚠️ Produit non trouvé")</f>
        <v>PIZ008</v>
      </c>
      <c r="C180" s="88" t="str">
        <f>IFERROR(VLOOKUP(D180,Référentiels!$M$2:$N$267,2,FALSE),"Ingrédient non trouvé")</f>
        <v>LEG013</v>
      </c>
      <c r="D180" s="88" t="s">
        <v>421</v>
      </c>
      <c r="E180" s="88">
        <v>10</v>
      </c>
      <c r="F180" s="86" t="str">
        <f>INDEX(tbl_IngrédientsRef[Unité], MATCH(C180, tbl_IngrédientsRef[Cde_Ingrdt],0))</f>
        <v>g</v>
      </c>
    </row>
    <row r="181" spans="1:6" x14ac:dyDescent="0.3">
      <c r="A181" s="89" t="s">
        <v>836</v>
      </c>
      <c r="B181" s="83" t="str">
        <f>IFERROR(INDEX(tbl_ProduitsRef[Cde_Prdt],MATCH(A181,tbl_ProduitsRef[Produit],0)),"⚠️ Produit non trouvé")</f>
        <v>PIZ008</v>
      </c>
      <c r="C181" s="88" t="str">
        <f>IFERROR(VLOOKUP(D181,Référentiels!$M$2:$N$267,2,FALSE),"Ingrédient non trouvé")</f>
        <v>LEG014</v>
      </c>
      <c r="D181" s="88" t="s">
        <v>423</v>
      </c>
      <c r="E181" s="88">
        <v>10</v>
      </c>
      <c r="F181" s="86" t="str">
        <f>INDEX(tbl_IngrédientsRef[Unité], MATCH(C181, tbl_IngrédientsRef[Cde_Ingrdt],0))</f>
        <v>g</v>
      </c>
    </row>
    <row r="182" spans="1:6" x14ac:dyDescent="0.3">
      <c r="A182" s="89" t="s">
        <v>836</v>
      </c>
      <c r="B182" s="83" t="str">
        <f>IFERROR(INDEX(tbl_ProduitsRef[Cde_Prdt],MATCH(A182,tbl_ProduitsRef[Produit],0)),"⚠️ Produit non trouvé")</f>
        <v>PIZ008</v>
      </c>
      <c r="C182" s="88" t="str">
        <f>IFERROR(VLOOKUP(D182,Référentiels!$M$2:$N$267,2,FALSE),"Ingrédient non trouvé")</f>
        <v>EPI008</v>
      </c>
      <c r="D182" s="88" t="s">
        <v>841</v>
      </c>
      <c r="E182" s="88">
        <v>2</v>
      </c>
      <c r="F182" s="86" t="str">
        <f>INDEX(tbl_IngrédientsRef[Unité], MATCH(C182, tbl_IngrédientsRef[Cde_Ingrdt],0))</f>
        <v>g</v>
      </c>
    </row>
    <row r="183" spans="1:6" x14ac:dyDescent="0.3">
      <c r="A183" s="89" t="s">
        <v>836</v>
      </c>
      <c r="B183" s="83" t="str">
        <f>IFERROR(INDEX(tbl_ProduitsRef[Cde_Prdt],MATCH(A183,tbl_ProduitsRef[Produit],0)),"⚠️ Produit non trouvé")</f>
        <v>PIZ008</v>
      </c>
      <c r="C183" s="88" t="str">
        <f>IFERROR(VLOOKUP(D183,Référentiels!$M$2:$N$267,2,FALSE),"Ingrédient non trouvé")</f>
        <v>SOS004</v>
      </c>
      <c r="D183" s="88" t="s">
        <v>220</v>
      </c>
      <c r="E183" s="88">
        <v>60</v>
      </c>
      <c r="F183" s="86" t="str">
        <f>INDEX(tbl_IngrédientsRef[Unité], MATCH(C183, tbl_IngrédientsRef[Cde_Ingrdt],0))</f>
        <v>ml</v>
      </c>
    </row>
    <row r="184" spans="1:6" x14ac:dyDescent="0.3">
      <c r="A184" s="89" t="s">
        <v>836</v>
      </c>
      <c r="B184" s="83" t="str">
        <f>IFERROR(INDEX(tbl_ProduitsRef[Cde_Prdt],MATCH(A184,tbl_ProduitsRef[Produit],0)),"⚠️ Produit non trouvé")</f>
        <v>PIZ008</v>
      </c>
      <c r="C184" s="88" t="str">
        <f>IFERROR(VLOOKUP(D184,Référentiels!$M$2:$N$267,2,FALSE),"Ingrédient non trouvé")</f>
        <v>PRL017</v>
      </c>
      <c r="D184" s="88" t="s">
        <v>819</v>
      </c>
      <c r="E184" s="88">
        <v>40</v>
      </c>
      <c r="F184" s="86" t="str">
        <f>INDEX(tbl_IngrédientsRef[Unité], MATCH(C184, tbl_IngrédientsRef[Cde_Ingrdt],0))</f>
        <v>g</v>
      </c>
    </row>
    <row r="185" spans="1:6" x14ac:dyDescent="0.3">
      <c r="A185" s="89" t="s">
        <v>842</v>
      </c>
      <c r="B185" s="83" t="str">
        <f>IFERROR(INDEX(tbl_ProduitsRef[Cde_Prdt],MATCH(A185,tbl_ProduitsRef[Produit],0)),"⚠️ Produit non trouvé")</f>
        <v>PIZ009</v>
      </c>
      <c r="C185" s="88" t="str">
        <f>IFERROR(VLOOKUP(D185,Référentiels!$M$2:$N$267,2,FALSE),"Ingrédient non trouvé")</f>
        <v>BOU011</v>
      </c>
      <c r="D185" s="88" t="s">
        <v>809</v>
      </c>
      <c r="E185" s="88">
        <v>1</v>
      </c>
      <c r="F185" s="86" t="str">
        <f>INDEX(tbl_IngrédientsRef[Unité], MATCH(C185, tbl_IngrédientsRef[Cde_Ingrdt],0))</f>
        <v>Pièce</v>
      </c>
    </row>
    <row r="186" spans="1:6" x14ac:dyDescent="0.3">
      <c r="A186" s="89" t="s">
        <v>842</v>
      </c>
      <c r="B186" s="83" t="str">
        <f>IFERROR(INDEX(tbl_ProduitsRef[Cde_Prdt],MATCH(A186,tbl_ProduitsRef[Produit],0)),"⚠️ Produit non trouvé")</f>
        <v>PIZ009</v>
      </c>
      <c r="C186" s="88" t="str">
        <f>IFERROR(VLOOKUP(D186,Référentiels!$M$2:$N$267,2,FALSE),"Ingrédient non trouvé")</f>
        <v>SOS004</v>
      </c>
      <c r="D186" s="88" t="s">
        <v>220</v>
      </c>
      <c r="E186" s="88">
        <v>60</v>
      </c>
      <c r="F186" s="86" t="str">
        <f>INDEX(tbl_IngrédientsRef[Unité], MATCH(C186, tbl_IngrédientsRef[Cde_Ingrdt],0))</f>
        <v>ml</v>
      </c>
    </row>
    <row r="187" spans="1:6" x14ac:dyDescent="0.3">
      <c r="A187" s="89" t="s">
        <v>842</v>
      </c>
      <c r="B187" s="83" t="str">
        <f>IFERROR(INDEX(tbl_ProduitsRef[Cde_Prdt],MATCH(A187,tbl_ProduitsRef[Produit],0)),"⚠️ Produit non trouvé")</f>
        <v>PIZ009</v>
      </c>
      <c r="C187" s="88" t="str">
        <f>IFERROR(VLOOKUP(D187,Référentiels!$M$2:$N$267,2,FALSE),"Ingrédient non trouvé")</f>
        <v>PRL017</v>
      </c>
      <c r="D187" s="88" t="s">
        <v>819</v>
      </c>
      <c r="E187" s="88">
        <v>80</v>
      </c>
      <c r="F187" s="86" t="str">
        <f>INDEX(tbl_IngrédientsRef[Unité], MATCH(C187, tbl_IngrédientsRef[Cde_Ingrdt],0))</f>
        <v>g</v>
      </c>
    </row>
    <row r="188" spans="1:6" x14ac:dyDescent="0.3">
      <c r="A188" s="89" t="s">
        <v>842</v>
      </c>
      <c r="B188" s="83" t="str">
        <f>IFERROR(INDEX(tbl_ProduitsRef[Cde_Prdt],MATCH(A188,tbl_ProduitsRef[Produit],0)),"⚠️ Produit non trouvé")</f>
        <v>PIZ009</v>
      </c>
      <c r="C188" s="88" t="str">
        <f>IFERROR(VLOOKUP(D188,Référentiels!$M$2:$N$267,2,FALSE),"Ingrédient non trouvé")</f>
        <v>LEG030</v>
      </c>
      <c r="D188" s="88" t="s">
        <v>743</v>
      </c>
      <c r="E188" s="88">
        <v>5</v>
      </c>
      <c r="F188" s="86" t="str">
        <f>INDEX(tbl_IngrédientsRef[Unité], MATCH(C188, tbl_IngrédientsRef[Cde_Ingrdt],0))</f>
        <v>g</v>
      </c>
    </row>
    <row r="189" spans="1:6" x14ac:dyDescent="0.3">
      <c r="A189" s="82" t="s">
        <v>844</v>
      </c>
      <c r="B189" s="83" t="str">
        <f>IFERROR(INDEX(tbl_ProduitsRef[Cde_Prdt],MATCH(A189,tbl_ProduitsRef[Produit],0)),"⚠️ Produit non trouvé")</f>
        <v>SNK013</v>
      </c>
      <c r="C189" s="64" t="str">
        <f>IFERROR(VLOOKUP(D189,Référentiels!$M$2:$N$267,2,FALSE),"Ingrédient non trouvé")</f>
        <v>BOU014</v>
      </c>
      <c r="D189" s="85" t="s">
        <v>847</v>
      </c>
      <c r="E189" s="85">
        <v>1</v>
      </c>
      <c r="F189" s="86" t="str">
        <f>INDEX(tbl_IngrédientsRef[Unité], MATCH(C189, tbl_IngrédientsRef[Cde_Ingrdt],0))</f>
        <v>Pièce</v>
      </c>
    </row>
    <row r="190" spans="1:6" x14ac:dyDescent="0.3">
      <c r="A190" s="82" t="s">
        <v>844</v>
      </c>
      <c r="B190" s="83" t="str">
        <f>IFERROR(INDEX(tbl_ProduitsRef[Cde_Prdt],MATCH(A190,tbl_ProduitsRef[Produit],0)),"⚠️ Produit non trouvé")</f>
        <v>SNK013</v>
      </c>
      <c r="C190" s="64" t="str">
        <f>IFERROR(VLOOKUP(D190,Référentiels!$M$2:$N$267,2,FALSE),"Ingrédient non trouvé")</f>
        <v>BOE001</v>
      </c>
      <c r="D190" s="85" t="s">
        <v>473</v>
      </c>
      <c r="E190" s="85">
        <v>60</v>
      </c>
      <c r="F190" s="86" t="str">
        <f>INDEX(tbl_IngrédientsRef[Unité], MATCH(C190, tbl_IngrédientsRef[Cde_Ingrdt],0))</f>
        <v>g</v>
      </c>
    </row>
    <row r="191" spans="1:6" x14ac:dyDescent="0.3">
      <c r="A191" s="82" t="s">
        <v>844</v>
      </c>
      <c r="B191" s="83" t="str">
        <f>IFERROR(INDEX(tbl_ProduitsRef[Cde_Prdt],MATCH(A191,tbl_ProduitsRef[Produit],0)),"⚠️ Produit non trouvé")</f>
        <v>SNK013</v>
      </c>
      <c r="C191" s="64" t="str">
        <f>IFERROR(VLOOKUP(D191,Référentiels!$M$2:$N$267,2,FALSE),"Ingrédient non trouvé")</f>
        <v>VOL005</v>
      </c>
      <c r="D191" s="85" t="s">
        <v>729</v>
      </c>
      <c r="E191" s="85">
        <v>60</v>
      </c>
      <c r="F191" s="86" t="str">
        <f>INDEX(tbl_IngrédientsRef[Unité], MATCH(C191, tbl_IngrédientsRef[Cde_Ingrdt],0))</f>
        <v>g</v>
      </c>
    </row>
    <row r="192" spans="1:6" x14ac:dyDescent="0.3">
      <c r="A192" s="82" t="s">
        <v>844</v>
      </c>
      <c r="B192" s="83" t="str">
        <f>IFERROR(INDEX(tbl_ProduitsRef[Cde_Prdt],MATCH(A192,tbl_ProduitsRef[Produit],0)),"⚠️ Produit non trouvé")</f>
        <v>SNK013</v>
      </c>
      <c r="C192" s="64" t="str">
        <f>IFERROR(VLOOKUP(D192,Référentiels!$M$2:$N$267,2,FALSE),"Ingrédient non trouvé")</f>
        <v>FEC004</v>
      </c>
      <c r="D192" s="85" t="s">
        <v>404</v>
      </c>
      <c r="E192" s="85">
        <v>50</v>
      </c>
      <c r="F192" s="86" t="str">
        <f>INDEX(tbl_IngrédientsRef[Unité], MATCH(C192, tbl_IngrédientsRef[Cde_Ingrdt],0))</f>
        <v>g</v>
      </c>
    </row>
    <row r="193" spans="1:6" x14ac:dyDescent="0.3">
      <c r="A193" s="82" t="s">
        <v>844</v>
      </c>
      <c r="B193" s="83" t="str">
        <f>IFERROR(INDEX(tbl_ProduitsRef[Cde_Prdt],MATCH(A193,tbl_ProduitsRef[Produit],0)),"⚠️ Produit non trouvé")</f>
        <v>SNK013</v>
      </c>
      <c r="C193" s="64" t="str">
        <f>IFERROR(VLOOKUP(D193,Référentiels!$M$2:$N$267,2,FALSE),"Ingrédient non trouvé")</f>
        <v>CDM010</v>
      </c>
      <c r="D193" s="85" t="s">
        <v>849</v>
      </c>
      <c r="E193" s="85">
        <v>40</v>
      </c>
      <c r="F193" s="86" t="str">
        <f>INDEX(tbl_IngrédientsRef[Unité], MATCH(C193, tbl_IngrédientsRef[Cde_Ingrdt],0))</f>
        <v>g</v>
      </c>
    </row>
    <row r="194" spans="1:6" x14ac:dyDescent="0.3">
      <c r="A194" s="82" t="s">
        <v>844</v>
      </c>
      <c r="B194" s="83" t="str">
        <f>IFERROR(INDEX(tbl_ProduitsRef[Cde_Prdt],MATCH(A194,tbl_ProduitsRef[Produit],0)),"⚠️ Produit non trouvé")</f>
        <v>SNK013</v>
      </c>
      <c r="C194" s="64" t="str">
        <f>IFERROR(VLOOKUP(D194,Référentiels!$M$2:$N$267,2,FALSE),"Ingrédient non trouvé")</f>
        <v>PRL007</v>
      </c>
      <c r="D194" s="85" t="s">
        <v>304</v>
      </c>
      <c r="E194" s="85">
        <v>30</v>
      </c>
      <c r="F194" s="86" t="str">
        <f>INDEX(tbl_IngrédientsRef[Unité], MATCH(C194, tbl_IngrédientsRef[Cde_Ingrdt],0))</f>
        <v>g</v>
      </c>
    </row>
    <row r="195" spans="1:6" x14ac:dyDescent="0.3">
      <c r="A195" s="82" t="s">
        <v>844</v>
      </c>
      <c r="B195" s="83" t="str">
        <f>IFERROR(INDEX(tbl_ProduitsRef[Cde_Prdt],MATCH(A195,tbl_ProduitsRef[Produit],0)),"⚠️ Produit non trouvé")</f>
        <v>SNK013</v>
      </c>
      <c r="C195" s="64" t="str">
        <f>IFERROR(VLOOKUP(D195,Référentiels!$M$2:$N$267,2,FALSE),"Ingrédient non trouvé")</f>
        <v>SOS004</v>
      </c>
      <c r="D195" s="85" t="s">
        <v>220</v>
      </c>
      <c r="E195" s="85">
        <v>30</v>
      </c>
      <c r="F195" s="86" t="str">
        <f>INDEX(tbl_IngrédientsRef[Unité], MATCH(C195, tbl_IngrédientsRef[Cde_Ingrdt],0))</f>
        <v>ml</v>
      </c>
    </row>
    <row r="196" spans="1:6" x14ac:dyDescent="0.3">
      <c r="A196" s="82" t="s">
        <v>850</v>
      </c>
      <c r="B196" s="83" t="str">
        <f>IFERROR(INDEX(tbl_ProduitsRef[Cde_Prdt],MATCH(A196,tbl_ProduitsRef[Produit],0)),"⚠️ Produit non trouvé")</f>
        <v>SNK014</v>
      </c>
      <c r="C196" s="64" t="str">
        <f>IFERROR(VLOOKUP(D196,Référentiels!$M$2:$N$267,2,FALSE),"Ingrédient non trouvé")</f>
        <v>BOU014</v>
      </c>
      <c r="D196" s="85" t="s">
        <v>847</v>
      </c>
      <c r="E196" s="85">
        <v>1</v>
      </c>
      <c r="F196" s="86" t="str">
        <f>INDEX(tbl_IngrédientsRef[Unité], MATCH(C196, tbl_IngrédientsRef[Cde_Ingrdt],0))</f>
        <v>Pièce</v>
      </c>
    </row>
    <row r="197" spans="1:6" x14ac:dyDescent="0.3">
      <c r="A197" s="82" t="s">
        <v>850</v>
      </c>
      <c r="B197" s="83" t="str">
        <f>IFERROR(INDEX(tbl_ProduitsRef[Cde_Prdt],MATCH(A197,tbl_ProduitsRef[Produit],0)),"⚠️ Produit non trouvé")</f>
        <v>SNK014</v>
      </c>
      <c r="C197" s="64" t="str">
        <f>IFERROR(VLOOKUP(D197,Référentiels!$M$2:$N$267,2,FALSE),"Ingrédient non trouvé")</f>
        <v>BOE001</v>
      </c>
      <c r="D197" s="85" t="s">
        <v>473</v>
      </c>
      <c r="E197" s="85">
        <v>100</v>
      </c>
      <c r="F197" s="86" t="str">
        <f>INDEX(tbl_IngrédientsRef[Unité], MATCH(C197, tbl_IngrédientsRef[Cde_Ingrdt],0))</f>
        <v>g</v>
      </c>
    </row>
    <row r="198" spans="1:6" x14ac:dyDescent="0.3">
      <c r="A198" s="82" t="s">
        <v>850</v>
      </c>
      <c r="B198" s="83" t="str">
        <f>IFERROR(INDEX(tbl_ProduitsRef[Cde_Prdt],MATCH(A198,tbl_ProduitsRef[Produit],0)),"⚠️ Produit non trouvé")</f>
        <v>SNK014</v>
      </c>
      <c r="C198" s="64" t="str">
        <f>IFERROR(VLOOKUP(D198,Référentiels!$M$2:$N$267,2,FALSE),"Ingrédient non trouvé")</f>
        <v>FEC004</v>
      </c>
      <c r="D198" s="85" t="s">
        <v>404</v>
      </c>
      <c r="E198" s="85">
        <v>50</v>
      </c>
      <c r="F198" s="86" t="str">
        <f>INDEX(tbl_IngrédientsRef[Unité], MATCH(C198, tbl_IngrédientsRef[Cde_Ingrdt],0))</f>
        <v>g</v>
      </c>
    </row>
    <row r="199" spans="1:6" x14ac:dyDescent="0.3">
      <c r="A199" s="82" t="s">
        <v>850</v>
      </c>
      <c r="B199" s="83" t="str">
        <f>IFERROR(INDEX(tbl_ProduitsRef[Cde_Prdt],MATCH(A199,tbl_ProduitsRef[Produit],0)),"⚠️ Produit non trouvé")</f>
        <v>SNK014</v>
      </c>
      <c r="C199" s="64" t="str">
        <f>IFERROR(VLOOKUP(D199,Référentiels!$M$2:$N$267,2,FALSE),"Ingrédient non trouvé")</f>
        <v>CDM010</v>
      </c>
      <c r="D199" s="85" t="s">
        <v>849</v>
      </c>
      <c r="E199" s="85">
        <v>40</v>
      </c>
      <c r="F199" s="86" t="str">
        <f>INDEX(tbl_IngrédientsRef[Unité], MATCH(C199, tbl_IngrédientsRef[Cde_Ingrdt],0))</f>
        <v>g</v>
      </c>
    </row>
    <row r="200" spans="1:6" x14ac:dyDescent="0.3">
      <c r="A200" s="82" t="s">
        <v>850</v>
      </c>
      <c r="B200" s="83" t="str">
        <f>IFERROR(INDEX(tbl_ProduitsRef[Cde_Prdt],MATCH(A200,tbl_ProduitsRef[Produit],0)),"⚠️ Produit non trouvé")</f>
        <v>SNK014</v>
      </c>
      <c r="C200" s="64" t="str">
        <f>IFERROR(VLOOKUP(D200,Référentiels!$M$2:$N$267,2,FALSE),"Ingrédient non trouvé")</f>
        <v>PRL007</v>
      </c>
      <c r="D200" s="85" t="s">
        <v>304</v>
      </c>
      <c r="E200" s="85">
        <v>30</v>
      </c>
      <c r="F200" s="86" t="str">
        <f>INDEX(tbl_IngrédientsRef[Unité], MATCH(C200, tbl_IngrédientsRef[Cde_Ingrdt],0))</f>
        <v>g</v>
      </c>
    </row>
    <row r="201" spans="1:6" x14ac:dyDescent="0.3">
      <c r="A201" s="82" t="s">
        <v>850</v>
      </c>
      <c r="B201" s="83" t="str">
        <f>IFERROR(INDEX(tbl_ProduitsRef[Cde_Prdt],MATCH(A201,tbl_ProduitsRef[Produit],0)),"⚠️ Produit non trouvé")</f>
        <v>SNK014</v>
      </c>
      <c r="C201" s="64" t="str">
        <f>IFERROR(VLOOKUP(D201,Référentiels!$M$2:$N$267,2,FALSE),"Ingrédient non trouvé")</f>
        <v>SOS004</v>
      </c>
      <c r="D201" s="85" t="s">
        <v>220</v>
      </c>
      <c r="E201" s="85">
        <v>30</v>
      </c>
      <c r="F201" s="86" t="str">
        <f>INDEX(tbl_IngrédientsRef[Unité], MATCH(C201, tbl_IngrédientsRef[Cde_Ingrdt],0))</f>
        <v>ml</v>
      </c>
    </row>
    <row r="202" spans="1:6" x14ac:dyDescent="0.3">
      <c r="A202" s="82" t="s">
        <v>852</v>
      </c>
      <c r="B202" s="83" t="str">
        <f>IFERROR(INDEX(tbl_ProduitsRef[Cde_Prdt],MATCH(A202,tbl_ProduitsRef[Produit],0)),"⚠️ Produit non trouvé")</f>
        <v>SNK015</v>
      </c>
      <c r="C202" s="64" t="str">
        <f>IFERROR(VLOOKUP(D202,Référentiels!$M$2:$N$267,2,FALSE),"Ingrédient non trouvé")</f>
        <v>BOU014</v>
      </c>
      <c r="D202" s="85" t="s">
        <v>847</v>
      </c>
      <c r="E202" s="85">
        <v>1</v>
      </c>
      <c r="F202" s="86" t="str">
        <f>INDEX(tbl_IngrédientsRef[Unité], MATCH(C202, tbl_IngrédientsRef[Cde_Ingrdt],0))</f>
        <v>Pièce</v>
      </c>
    </row>
    <row r="203" spans="1:6" x14ac:dyDescent="0.3">
      <c r="A203" s="82" t="s">
        <v>852</v>
      </c>
      <c r="B203" s="83" t="str">
        <f>IFERROR(INDEX(tbl_ProduitsRef[Cde_Prdt],MATCH(A203,tbl_ProduitsRef[Produit],0)),"⚠️ Produit non trouvé")</f>
        <v>SNK015</v>
      </c>
      <c r="C203" s="64" t="str">
        <f>IFERROR(VLOOKUP(D203,Référentiels!$M$2:$N$267,2,FALSE),"Ingrédient non trouvé")</f>
        <v>VOL005</v>
      </c>
      <c r="D203" s="85" t="s">
        <v>729</v>
      </c>
      <c r="E203" s="85">
        <v>100</v>
      </c>
      <c r="F203" s="86" t="str">
        <f>INDEX(tbl_IngrédientsRef[Unité], MATCH(C203, tbl_IngrédientsRef[Cde_Ingrdt],0))</f>
        <v>g</v>
      </c>
    </row>
    <row r="204" spans="1:6" x14ac:dyDescent="0.3">
      <c r="A204" s="82" t="s">
        <v>852</v>
      </c>
      <c r="B204" s="83" t="str">
        <f>IFERROR(INDEX(tbl_ProduitsRef[Cde_Prdt],MATCH(A204,tbl_ProduitsRef[Produit],0)),"⚠️ Produit non trouvé")</f>
        <v>SNK015</v>
      </c>
      <c r="C204" s="64" t="str">
        <f>IFERROR(VLOOKUP(D204,Référentiels!$M$2:$N$267,2,FALSE),"Ingrédient non trouvé")</f>
        <v>FEC004</v>
      </c>
      <c r="D204" s="85" t="s">
        <v>404</v>
      </c>
      <c r="E204" s="85">
        <v>50</v>
      </c>
      <c r="F204" s="86" t="str">
        <f>INDEX(tbl_IngrédientsRef[Unité], MATCH(C204, tbl_IngrédientsRef[Cde_Ingrdt],0))</f>
        <v>g</v>
      </c>
    </row>
    <row r="205" spans="1:6" x14ac:dyDescent="0.3">
      <c r="A205" s="82" t="s">
        <v>852</v>
      </c>
      <c r="B205" s="83" t="str">
        <f>IFERROR(INDEX(tbl_ProduitsRef[Cde_Prdt],MATCH(A205,tbl_ProduitsRef[Produit],0)),"⚠️ Produit non trouvé")</f>
        <v>SNK015</v>
      </c>
      <c r="C205" s="64" t="str">
        <f>IFERROR(VLOOKUP(D205,Référentiels!$M$2:$N$267,2,FALSE),"Ingrédient non trouvé")</f>
        <v>CDM010</v>
      </c>
      <c r="D205" s="85" t="s">
        <v>849</v>
      </c>
      <c r="E205" s="85">
        <v>40</v>
      </c>
      <c r="F205" s="86" t="str">
        <f>INDEX(tbl_IngrédientsRef[Unité], MATCH(C205, tbl_IngrédientsRef[Cde_Ingrdt],0))</f>
        <v>g</v>
      </c>
    </row>
    <row r="206" spans="1:6" x14ac:dyDescent="0.3">
      <c r="A206" s="82" t="s">
        <v>852</v>
      </c>
      <c r="B206" s="83" t="str">
        <f>IFERROR(INDEX(tbl_ProduitsRef[Cde_Prdt],MATCH(A206,tbl_ProduitsRef[Produit],0)),"⚠️ Produit non trouvé")</f>
        <v>SNK015</v>
      </c>
      <c r="C206" s="64" t="str">
        <f>IFERROR(VLOOKUP(D206,Référentiels!$M$2:$N$267,2,FALSE),"Ingrédient non trouvé")</f>
        <v>PRL007</v>
      </c>
      <c r="D206" s="85" t="s">
        <v>304</v>
      </c>
      <c r="E206" s="85">
        <v>30</v>
      </c>
      <c r="F206" s="86" t="str">
        <f>INDEX(tbl_IngrédientsRef[Unité], MATCH(C206, tbl_IngrédientsRef[Cde_Ingrdt],0))</f>
        <v>g</v>
      </c>
    </row>
    <row r="207" spans="1:6" x14ac:dyDescent="0.3">
      <c r="A207" s="82" t="s">
        <v>852</v>
      </c>
      <c r="B207" s="83" t="str">
        <f>IFERROR(INDEX(tbl_ProduitsRef[Cde_Prdt],MATCH(A207,tbl_ProduitsRef[Produit],0)),"⚠️ Produit non trouvé")</f>
        <v>SNK015</v>
      </c>
      <c r="C207" s="64" t="str">
        <f>IFERROR(VLOOKUP(D207,Référentiels!$M$2:$N$267,2,FALSE),"Ingrédient non trouvé")</f>
        <v>SOS004</v>
      </c>
      <c r="D207" s="85" t="s">
        <v>220</v>
      </c>
      <c r="E207" s="85">
        <v>30</v>
      </c>
      <c r="F207" s="86" t="str">
        <f>INDEX(tbl_IngrédientsRef[Unité], MATCH(C207, tbl_IngrédientsRef[Cde_Ingrdt],0))</f>
        <v>ml</v>
      </c>
    </row>
    <row r="208" spans="1:6" x14ac:dyDescent="0.3">
      <c r="A208" s="82" t="s">
        <v>854</v>
      </c>
      <c r="B208" s="83" t="str">
        <f>IFERROR(INDEX(tbl_ProduitsRef[Cde_Prdt],MATCH(A208,tbl_ProduitsRef[Produit],0)),"⚠️ Produit non trouvé")</f>
        <v>SNK018</v>
      </c>
      <c r="C208" s="64" t="str">
        <f>IFERROR(VLOOKUP(D208,Référentiels!$M$2:$N$267,2,FALSE),"Ingrédient non trouvé")</f>
        <v>BOU014</v>
      </c>
      <c r="D208" s="85" t="s">
        <v>847</v>
      </c>
      <c r="E208" s="85">
        <v>2</v>
      </c>
      <c r="F208" s="86" t="str">
        <f>INDEX(tbl_IngrédientsRef[Unité], MATCH(C208, tbl_IngrédientsRef[Cde_Ingrdt],0))</f>
        <v>Pièce</v>
      </c>
    </row>
    <row r="209" spans="1:6" x14ac:dyDescent="0.3">
      <c r="A209" s="82" t="s">
        <v>854</v>
      </c>
      <c r="B209" s="83" t="str">
        <f>IFERROR(INDEX(tbl_ProduitsRef[Cde_Prdt],MATCH(A209,tbl_ProduitsRef[Produit],0)),"⚠️ Produit non trouvé")</f>
        <v>SNK018</v>
      </c>
      <c r="C209" s="64" t="str">
        <f>IFERROR(VLOOKUP(D209,Référentiels!$M$2:$N$267,2,FALSE),"Ingrédient non trouvé")</f>
        <v>BOE001</v>
      </c>
      <c r="D209" s="85" t="s">
        <v>473</v>
      </c>
      <c r="E209" s="85">
        <v>60</v>
      </c>
      <c r="F209" s="86" t="str">
        <f>INDEX(tbl_IngrédientsRef[Unité], MATCH(C209, tbl_IngrédientsRef[Cde_Ingrdt],0))</f>
        <v>g</v>
      </c>
    </row>
    <row r="210" spans="1:6" x14ac:dyDescent="0.3">
      <c r="A210" s="82" t="s">
        <v>854</v>
      </c>
      <c r="B210" s="83" t="str">
        <f>IFERROR(INDEX(tbl_ProduitsRef[Cde_Prdt],MATCH(A210,tbl_ProduitsRef[Produit],0)),"⚠️ Produit non trouvé")</f>
        <v>SNK018</v>
      </c>
      <c r="C210" s="64" t="str">
        <f>IFERROR(VLOOKUP(D210,Référentiels!$M$2:$N$267,2,FALSE),"Ingrédient non trouvé")</f>
        <v>VOL005</v>
      </c>
      <c r="D210" s="85" t="s">
        <v>729</v>
      </c>
      <c r="E210" s="85">
        <v>60</v>
      </c>
      <c r="F210" s="86" t="str">
        <f>INDEX(tbl_IngrédientsRef[Unité], MATCH(C210, tbl_IngrédientsRef[Cde_Ingrdt],0))</f>
        <v>g</v>
      </c>
    </row>
    <row r="211" spans="1:6" x14ac:dyDescent="0.3">
      <c r="A211" s="82" t="s">
        <v>854</v>
      </c>
      <c r="B211" s="83" t="str">
        <f>IFERROR(INDEX(tbl_ProduitsRef[Cde_Prdt],MATCH(A211,tbl_ProduitsRef[Produit],0)),"⚠️ Produit non trouvé")</f>
        <v>SNK018</v>
      </c>
      <c r="C211" s="64" t="str">
        <f>IFERROR(VLOOKUP(D211,Référentiels!$M$2:$N$267,2,FALSE),"Ingrédient non trouvé")</f>
        <v>PRL007</v>
      </c>
      <c r="D211" s="85" t="s">
        <v>304</v>
      </c>
      <c r="E211" s="85">
        <v>30</v>
      </c>
      <c r="F211" s="86" t="str">
        <f>INDEX(tbl_IngrédientsRef[Unité], MATCH(C211, tbl_IngrédientsRef[Cde_Ingrdt],0))</f>
        <v>g</v>
      </c>
    </row>
    <row r="212" spans="1:6" x14ac:dyDescent="0.3">
      <c r="A212" s="82" t="s">
        <v>854</v>
      </c>
      <c r="B212" s="83" t="str">
        <f>IFERROR(INDEX(tbl_ProduitsRef[Cde_Prdt],MATCH(A212,tbl_ProduitsRef[Produit],0)),"⚠️ Produit non trouvé")</f>
        <v>SNK018</v>
      </c>
      <c r="C212" s="64" t="str">
        <f>IFERROR(VLOOKUP(D212,Référentiels!$M$2:$N$267,2,FALSE),"Ingrédient non trouvé")</f>
        <v>SOS012</v>
      </c>
      <c r="D212" s="85" t="s">
        <v>252</v>
      </c>
      <c r="E212" s="85">
        <v>30</v>
      </c>
      <c r="F212" s="86" t="str">
        <f>INDEX(tbl_IngrédientsRef[Unité], MATCH(C212, tbl_IngrédientsRef[Cde_Ingrdt],0))</f>
        <v>ml</v>
      </c>
    </row>
    <row r="213" spans="1:6" x14ac:dyDescent="0.3">
      <c r="A213" s="82" t="s">
        <v>856</v>
      </c>
      <c r="B213" s="83" t="str">
        <f>IFERROR(INDEX(tbl_ProduitsRef[Cde_Prdt],MATCH(A213,tbl_ProduitsRef[Produit],0)),"⚠️ Produit non trouvé")</f>
        <v>SNK019</v>
      </c>
      <c r="C213" s="64" t="str">
        <f>IFERROR(VLOOKUP(D213,Référentiels!$M$2:$N$267,2,FALSE),"Ingrédient non trouvé")</f>
        <v>BOU014</v>
      </c>
      <c r="D213" s="85" t="s">
        <v>847</v>
      </c>
      <c r="E213" s="85">
        <v>2</v>
      </c>
      <c r="F213" s="86" t="str">
        <f>INDEX(tbl_IngrédientsRef[Unité], MATCH(C213, tbl_IngrédientsRef[Cde_Ingrdt],0))</f>
        <v>Pièce</v>
      </c>
    </row>
    <row r="214" spans="1:6" x14ac:dyDescent="0.3">
      <c r="A214" s="82" t="s">
        <v>856</v>
      </c>
      <c r="B214" s="83" t="str">
        <f>IFERROR(INDEX(tbl_ProduitsRef[Cde_Prdt],MATCH(A214,tbl_ProduitsRef[Produit],0)),"⚠️ Produit non trouvé")</f>
        <v>SNK019</v>
      </c>
      <c r="C214" s="64" t="str">
        <f>IFERROR(VLOOKUP(D214,Référentiels!$M$2:$N$267,2,FALSE),"Ingrédient non trouvé")</f>
        <v>BOE001</v>
      </c>
      <c r="D214" s="85" t="s">
        <v>473</v>
      </c>
      <c r="E214" s="85">
        <v>100</v>
      </c>
      <c r="F214" s="86" t="str">
        <f>INDEX(tbl_IngrédientsRef[Unité], MATCH(C214, tbl_IngrédientsRef[Cde_Ingrdt],0))</f>
        <v>g</v>
      </c>
    </row>
    <row r="215" spans="1:6" x14ac:dyDescent="0.3">
      <c r="A215" s="82" t="s">
        <v>856</v>
      </c>
      <c r="B215" s="83" t="str">
        <f>IFERROR(INDEX(tbl_ProduitsRef[Cde_Prdt],MATCH(A215,tbl_ProduitsRef[Produit],0)),"⚠️ Produit non trouvé")</f>
        <v>SNK019</v>
      </c>
      <c r="C215" s="64" t="str">
        <f>IFERROR(VLOOKUP(D215,Référentiels!$M$2:$N$267,2,FALSE),"Ingrédient non trouvé")</f>
        <v>PRL007</v>
      </c>
      <c r="D215" s="85" t="s">
        <v>304</v>
      </c>
      <c r="E215" s="85">
        <v>30</v>
      </c>
      <c r="F215" s="86" t="str">
        <f>INDEX(tbl_IngrédientsRef[Unité], MATCH(C215, tbl_IngrédientsRef[Cde_Ingrdt],0))</f>
        <v>g</v>
      </c>
    </row>
    <row r="216" spans="1:6" x14ac:dyDescent="0.3">
      <c r="A216" s="82" t="s">
        <v>856</v>
      </c>
      <c r="B216" s="83" t="str">
        <f>IFERROR(INDEX(tbl_ProduitsRef[Cde_Prdt],MATCH(A216,tbl_ProduitsRef[Produit],0)),"⚠️ Produit non trouvé")</f>
        <v>SNK019</v>
      </c>
      <c r="C216" s="64" t="str">
        <f>IFERROR(VLOOKUP(D216,Référentiels!$M$2:$N$267,2,FALSE),"Ingrédient non trouvé")</f>
        <v>SOS012</v>
      </c>
      <c r="D216" s="85" t="s">
        <v>252</v>
      </c>
      <c r="E216" s="85">
        <v>30</v>
      </c>
      <c r="F216" s="86" t="str">
        <f>INDEX(tbl_IngrédientsRef[Unité], MATCH(C216, tbl_IngrédientsRef[Cde_Ingrdt],0))</f>
        <v>ml</v>
      </c>
    </row>
    <row r="217" spans="1:6" x14ac:dyDescent="0.3">
      <c r="A217" s="82" t="s">
        <v>68</v>
      </c>
      <c r="B217" s="83" t="str">
        <f>IFERROR(INDEX(tbl_ProduitsRef[Cde_Prdt],MATCH(A217,tbl_ProduitsRef[Produit],0)),"⚠️ Produit non trouvé")</f>
        <v>SNK016</v>
      </c>
      <c r="C217" s="64" t="str">
        <f>IFERROR(VLOOKUP(D217,Référentiels!$M$2:$N$267,2,FALSE),"Ingrédient non trouvé")</f>
        <v>BOU014</v>
      </c>
      <c r="D217" s="85" t="s">
        <v>847</v>
      </c>
      <c r="E217" s="85">
        <v>2</v>
      </c>
      <c r="F217" s="86" t="str">
        <f>INDEX(tbl_IngrédientsRef[Unité], MATCH(C217, tbl_IngrédientsRef[Cde_Ingrdt],0))</f>
        <v>Pièce</v>
      </c>
    </row>
    <row r="218" spans="1:6" x14ac:dyDescent="0.3">
      <c r="A218" s="82" t="s">
        <v>68</v>
      </c>
      <c r="B218" s="83" t="str">
        <f>IFERROR(INDEX(tbl_ProduitsRef[Cde_Prdt],MATCH(A218,tbl_ProduitsRef[Produit],0)),"⚠️ Produit non trouvé")</f>
        <v>SNK016</v>
      </c>
      <c r="C218" s="64" t="str">
        <f>IFERROR(VLOOKUP(D218,Référentiels!$M$2:$N$267,2,FALSE),"Ingrédient non trouvé")</f>
        <v>VOL005</v>
      </c>
      <c r="D218" s="85" t="s">
        <v>729</v>
      </c>
      <c r="E218" s="85">
        <v>100</v>
      </c>
      <c r="F218" s="86" t="str">
        <f>INDEX(tbl_IngrédientsRef[Unité], MATCH(C218, tbl_IngrédientsRef[Cde_Ingrdt],0))</f>
        <v>g</v>
      </c>
    </row>
    <row r="219" spans="1:6" x14ac:dyDescent="0.3">
      <c r="A219" s="82" t="s">
        <v>68</v>
      </c>
      <c r="B219" s="83" t="str">
        <f>IFERROR(INDEX(tbl_ProduitsRef[Cde_Prdt],MATCH(A219,tbl_ProduitsRef[Produit],0)),"⚠️ Produit non trouvé")</f>
        <v>SNK016</v>
      </c>
      <c r="C219" s="64" t="str">
        <f>IFERROR(VLOOKUP(D219,Référentiels!$M$2:$N$267,2,FALSE),"Ingrédient non trouvé")</f>
        <v>PRL007</v>
      </c>
      <c r="D219" s="85" t="s">
        <v>304</v>
      </c>
      <c r="E219" s="85">
        <v>30</v>
      </c>
      <c r="F219" s="86" t="str">
        <f>INDEX(tbl_IngrédientsRef[Unité], MATCH(C219, tbl_IngrédientsRef[Cde_Ingrdt],0))</f>
        <v>g</v>
      </c>
    </row>
    <row r="220" spans="1:6" x14ac:dyDescent="0.3">
      <c r="A220" s="82" t="s">
        <v>68</v>
      </c>
      <c r="B220" s="83" t="str">
        <f>IFERROR(INDEX(tbl_ProduitsRef[Cde_Prdt],MATCH(A220,tbl_ProduitsRef[Produit],0)),"⚠️ Produit non trouvé")</f>
        <v>SNK016</v>
      </c>
      <c r="C220" s="64" t="str">
        <f>IFERROR(VLOOKUP(D220,Référentiels!$M$2:$N$267,2,FALSE),"Ingrédient non trouvé")</f>
        <v>SOS012</v>
      </c>
      <c r="D220" s="85" t="s">
        <v>252</v>
      </c>
      <c r="E220" s="85">
        <v>30</v>
      </c>
      <c r="F220" s="86" t="str">
        <f>INDEX(tbl_IngrédientsRef[Unité], MATCH(C220, tbl_IngrédientsRef[Cde_Ingrdt],0))</f>
        <v>ml</v>
      </c>
    </row>
    <row r="221" spans="1:6" x14ac:dyDescent="0.3">
      <c r="A221" s="82" t="s">
        <v>61</v>
      </c>
      <c r="B221" s="83" t="str">
        <f>IFERROR(INDEX(tbl_ProduitsRef[Cde_Prdt],MATCH(A221,tbl_ProduitsRef[Produit],0)),"⚠️ Produit non trouvé")</f>
        <v>SNK017</v>
      </c>
      <c r="C221" s="64" t="str">
        <f>IFERROR(VLOOKUP(D221,Référentiels!$M$2:$N$267,2,FALSE),"Ingrédient non trouvé")</f>
        <v>VOL006</v>
      </c>
      <c r="D221" s="85" t="s">
        <v>413</v>
      </c>
      <c r="E221" s="85">
        <v>1</v>
      </c>
      <c r="F221" s="86" t="str">
        <f>INDEX(tbl_IngrédientsRef[Unité], MATCH(C221, tbl_IngrédientsRef[Cde_Ingrdt],0))</f>
        <v>Pièce</v>
      </c>
    </row>
    <row r="222" spans="1:6" x14ac:dyDescent="0.3">
      <c r="A222" s="82" t="s">
        <v>61</v>
      </c>
      <c r="B222" s="83" t="str">
        <f>IFERROR(INDEX(tbl_ProduitsRef[Cde_Prdt],MATCH(A222,tbl_ProduitsRef[Produit],0)),"⚠️ Produit non trouvé")</f>
        <v>SNK017</v>
      </c>
      <c r="C222" s="64" t="str">
        <f>IFERROR(VLOOKUP(D222,Référentiels!$M$2:$N$267,2,FALSE),"Ingrédient non trouvé")</f>
        <v>PRL021</v>
      </c>
      <c r="D222" s="85" t="s">
        <v>325</v>
      </c>
      <c r="E222" s="85">
        <v>40</v>
      </c>
      <c r="F222" s="86" t="str">
        <f>INDEX(tbl_IngrédientsRef[Unité], MATCH(C222, tbl_IngrédientsRef[Cde_Ingrdt],0))</f>
        <v>g</v>
      </c>
    </row>
    <row r="223" spans="1:6" x14ac:dyDescent="0.3">
      <c r="A223" s="98" t="s">
        <v>61</v>
      </c>
      <c r="B223" s="92" t="str">
        <f>IFERROR(INDEX(tbl_ProduitsRef[Cde_Prdt],MATCH(A223,tbl_ProduitsRef[Produit],0)),"⚠️ Produit non trouvé")</f>
        <v>SNK017</v>
      </c>
      <c r="C223" s="70" t="str">
        <f>IFERROR(VLOOKUP(D223,Référentiels!$M$2:$N$267,2,FALSE),"Ingrédient non trouvé")</f>
        <v>CHA004</v>
      </c>
      <c r="D223" s="93" t="s">
        <v>234</v>
      </c>
      <c r="E223" s="93">
        <v>40</v>
      </c>
      <c r="F223" s="95" t="str">
        <f>INDEX(tbl_IngrédientsRef[Unité], MATCH(C223, tbl_IngrédientsRef[Cde_Ingrdt],0))</f>
        <v>g</v>
      </c>
    </row>
  </sheetData>
  <conditionalFormatting sqref="F1:F223">
    <cfRule type="containsText" dxfId="2" priority="1" operator="containsText" text="pièce">
      <formula>NOT(ISERROR(SEARCH("pièce",F1)))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2DBC1B-DC24-4095-9E2E-746742C48E7A}">
          <x14:formula1>
            <xm:f>Référentiels!$M$2:$M$267</xm:f>
          </x14:formula1>
          <xm:sqref>D2:D223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9">
    <tabColor theme="9" tint="-0.249977111117893"/>
  </sheetPr>
  <dimension ref="A1:F108"/>
  <sheetViews>
    <sheetView workbookViewId="0">
      <selection activeCell="B12" sqref="B12"/>
    </sheetView>
  </sheetViews>
  <sheetFormatPr baseColWidth="10" defaultColWidth="22.28515625" defaultRowHeight="16.5" x14ac:dyDescent="0.3"/>
  <cols>
    <col min="1" max="1" width="30.7109375" style="1" bestFit="1" customWidth="1"/>
    <col min="2" max="2" width="15.85546875" style="1" bestFit="1" customWidth="1"/>
    <col min="3" max="3" width="18.140625" style="1" bestFit="1" customWidth="1"/>
    <col min="4" max="4" width="34.85546875" style="1" bestFit="1" customWidth="1"/>
    <col min="5" max="5" width="15.28515625" style="1" bestFit="1" customWidth="1"/>
    <col min="6" max="6" width="11.28515625" style="1" bestFit="1" customWidth="1"/>
    <col min="7" max="7" width="18.5703125" style="1" bestFit="1" customWidth="1"/>
    <col min="8" max="8" width="22.28515625" style="1" customWidth="1"/>
    <col min="9" max="16384" width="22.28515625" style="1"/>
  </cols>
  <sheetData>
    <row r="1" spans="1:6" ht="17.25" customHeight="1" x14ac:dyDescent="0.3">
      <c r="A1" s="127" t="s">
        <v>41</v>
      </c>
      <c r="B1" s="128" t="s">
        <v>42</v>
      </c>
      <c r="C1" s="128" t="s">
        <v>199</v>
      </c>
      <c r="D1" s="128" t="s">
        <v>200</v>
      </c>
      <c r="E1" s="128" t="s">
        <v>201</v>
      </c>
      <c r="F1" s="129" t="s">
        <v>202</v>
      </c>
    </row>
    <row r="2" spans="1:6" x14ac:dyDescent="0.3">
      <c r="A2" s="82" t="s">
        <v>860</v>
      </c>
      <c r="B2" s="83" t="str">
        <f>IFERROR(INDEX(tbl_ProduitsRef[Cde_Prdt],MATCH(A2,tbl_ProduitsRef[Produit],0)),"⚠️ Produit non trouvé")</f>
        <v>CRP001</v>
      </c>
      <c r="C2" s="64" t="str">
        <f>IFERROR(VLOOKUP(D2,Référentiels!$M$2:$N$267,2,FALSE),"Ingrédient non trouvé")</f>
        <v>BOU015</v>
      </c>
      <c r="D2" s="85" t="s">
        <v>863</v>
      </c>
      <c r="E2" s="85">
        <v>1</v>
      </c>
      <c r="F2" s="86" t="str">
        <f>INDEX(tbl_IngrédientsRef[Unité], MATCH(C2, tbl_IngrédientsRef[Cde_Ingrdt],0))</f>
        <v>Pièce</v>
      </c>
    </row>
    <row r="3" spans="1:6" x14ac:dyDescent="0.3">
      <c r="A3" s="82" t="s">
        <v>860</v>
      </c>
      <c r="B3" s="83" t="str">
        <f>IFERROR(INDEX(tbl_ProduitsRef[Cde_Prdt],MATCH(A3,tbl_ProduitsRef[Produit],0)),"⚠️ Produit non trouvé")</f>
        <v>CRP001</v>
      </c>
      <c r="C3" s="64" t="str">
        <f>IFERROR(VLOOKUP(D3,Référentiels!$M$2:$N$267,2,FALSE),"Ingrédient non trouvé")</f>
        <v>PSU003</v>
      </c>
      <c r="D3" s="85" t="s">
        <v>865</v>
      </c>
      <c r="E3" s="85">
        <v>30</v>
      </c>
      <c r="F3" s="86" t="str">
        <f>INDEX(tbl_IngrédientsRef[Unité], MATCH(C3, tbl_IngrédientsRef[Cde_Ingrdt],0))</f>
        <v>g</v>
      </c>
    </row>
    <row r="4" spans="1:6" x14ac:dyDescent="0.3">
      <c r="A4" s="82" t="s">
        <v>860</v>
      </c>
      <c r="B4" s="83" t="str">
        <f>IFERROR(INDEX(tbl_ProduitsRef[Cde_Prdt],MATCH(A4,tbl_ProduitsRef[Produit],0)),"⚠️ Produit non trouvé")</f>
        <v>CRP001</v>
      </c>
      <c r="C4" s="64" t="str">
        <f>IFERROR(VLOOKUP(D4,Référentiels!$M$2:$N$267,2,FALSE),"Ingrédient non trouvé")</f>
        <v>PSU004</v>
      </c>
      <c r="D4" s="85" t="s">
        <v>867</v>
      </c>
      <c r="E4" s="85">
        <v>1</v>
      </c>
      <c r="F4" s="86" t="str">
        <f>INDEX(tbl_IngrédientsRef[Unité], MATCH(C4, tbl_IngrédientsRef[Cde_Ingrdt],0))</f>
        <v>Pièce</v>
      </c>
    </row>
    <row r="5" spans="1:6" x14ac:dyDescent="0.3">
      <c r="A5" s="82" t="s">
        <v>860</v>
      </c>
      <c r="B5" s="83" t="str">
        <f>IFERROR(INDEX(tbl_ProduitsRef[Cde_Prdt],MATCH(A5,tbl_ProduitsRef[Produit],0)),"⚠️ Produit non trouvé")</f>
        <v>CRP001</v>
      </c>
      <c r="C5" s="64" t="str">
        <f>IFERROR(VLOOKUP(D5,Référentiels!$M$2:$N$267,2,FALSE),"Ingrédient non trouvé")</f>
        <v>GLA001</v>
      </c>
      <c r="D5" s="85" t="s">
        <v>869</v>
      </c>
      <c r="E5" s="85">
        <v>1</v>
      </c>
      <c r="F5" s="86" t="str">
        <f>INDEX(tbl_IngrédientsRef[Unité], MATCH(C5, tbl_IngrédientsRef[Cde_Ingrdt],0))</f>
        <v>Pièce</v>
      </c>
    </row>
    <row r="6" spans="1:6" x14ac:dyDescent="0.3">
      <c r="A6" s="82" t="s">
        <v>860</v>
      </c>
      <c r="B6" s="83" t="str">
        <f>IFERROR(INDEX(tbl_ProduitsRef[Cde_Prdt],MATCH(A6,tbl_ProduitsRef[Produit],0)),"⚠️ Produit non trouvé")</f>
        <v>CRP001</v>
      </c>
      <c r="C6" s="64" t="str">
        <f>IFERROR(VLOOKUP(D6,Référentiels!$M$2:$N$267,2,FALSE),"Ingrédient non trouvé")</f>
        <v>CDM001</v>
      </c>
      <c r="D6" s="85" t="s">
        <v>871</v>
      </c>
      <c r="E6" s="85">
        <v>30</v>
      </c>
      <c r="F6" s="86" t="str">
        <f>INDEX(tbl_IngrédientsRef[Unité], MATCH(C6, tbl_IngrédientsRef[Cde_Ingrdt],0))</f>
        <v>g</v>
      </c>
    </row>
    <row r="7" spans="1:6" x14ac:dyDescent="0.3">
      <c r="A7" s="82" t="s">
        <v>872</v>
      </c>
      <c r="B7" s="83" t="str">
        <f>IFERROR(INDEX(tbl_ProduitsRef[Cde_Prdt],MATCH(A7,tbl_ProduitsRef[Produit],0)),"⚠️ Produit non trouvé")</f>
        <v>CRP002</v>
      </c>
      <c r="C7" s="64" t="str">
        <f>IFERROR(VLOOKUP(D7,Référentiels!$M$2:$N$267,2,FALSE),"Ingrédient non trouvé")</f>
        <v>BOU015</v>
      </c>
      <c r="D7" s="85" t="s">
        <v>863</v>
      </c>
      <c r="E7" s="85">
        <v>1</v>
      </c>
      <c r="F7" s="86" t="str">
        <f>INDEX(tbl_IngrédientsRef[Unité], MATCH(C7, tbl_IngrédientsRef[Cde_Ingrdt],0))</f>
        <v>Pièce</v>
      </c>
    </row>
    <row r="8" spans="1:6" x14ac:dyDescent="0.3">
      <c r="A8" s="82" t="s">
        <v>872</v>
      </c>
      <c r="B8" s="83" t="str">
        <f>IFERROR(INDEX(tbl_ProduitsRef[Cde_Prdt],MATCH(A8,tbl_ProduitsRef[Produit],0)),"⚠️ Produit non trouvé")</f>
        <v>CRP002</v>
      </c>
      <c r="C8" s="64" t="str">
        <f>IFERROR(VLOOKUP(D8,Référentiels!$M$2:$N$267,2,FALSE),"Ingrédient non trouvé")</f>
        <v>PSU003</v>
      </c>
      <c r="D8" s="85" t="s">
        <v>865</v>
      </c>
      <c r="E8" s="85">
        <v>25</v>
      </c>
      <c r="F8" s="86" t="str">
        <f>INDEX(tbl_IngrédientsRef[Unité], MATCH(C8, tbl_IngrédientsRef[Cde_Ingrdt],0))</f>
        <v>g</v>
      </c>
    </row>
    <row r="9" spans="1:6" x14ac:dyDescent="0.3">
      <c r="A9" s="82" t="s">
        <v>872</v>
      </c>
      <c r="B9" s="83" t="str">
        <f>IFERROR(INDEX(tbl_ProduitsRef[Cde_Prdt],MATCH(A9,tbl_ProduitsRef[Produit],0)),"⚠️ Produit non trouvé")</f>
        <v>CRP002</v>
      </c>
      <c r="C9" s="64" t="str">
        <f>IFERROR(VLOOKUP(D9,Référentiels!$M$2:$N$267,2,FALSE),"Ingrédient non trouvé")</f>
        <v>SOS001</v>
      </c>
      <c r="D9" s="85" t="s">
        <v>875</v>
      </c>
      <c r="E9" s="85">
        <v>20</v>
      </c>
      <c r="F9" s="86" t="str">
        <f>INDEX(tbl_IngrédientsRef[Unité], MATCH(C9, tbl_IngrédientsRef[Cde_Ingrdt],0))</f>
        <v>ml</v>
      </c>
    </row>
    <row r="10" spans="1:6" x14ac:dyDescent="0.3">
      <c r="A10" s="82" t="s">
        <v>872</v>
      </c>
      <c r="B10" s="83" t="str">
        <f>IFERROR(INDEX(tbl_ProduitsRef[Cde_Prdt],MATCH(A10,tbl_ProduitsRef[Produit],0)),"⚠️ Produit non trouvé")</f>
        <v>CRP002</v>
      </c>
      <c r="C10" s="64" t="str">
        <f>IFERROR(VLOOKUP(D10,Référentiels!$M$2:$N$267,2,FALSE),"Ingrédient non trouvé")</f>
        <v>CDM015</v>
      </c>
      <c r="D10" s="85" t="s">
        <v>1264</v>
      </c>
      <c r="E10" s="85">
        <v>20</v>
      </c>
      <c r="F10" s="86" t="str">
        <f>INDEX(tbl_IngrédientsRef[Unité], MATCH(C10, tbl_IngrédientsRef[Cde_Ingrdt],0))</f>
        <v>g</v>
      </c>
    </row>
    <row r="11" spans="1:6" x14ac:dyDescent="0.3">
      <c r="A11" s="82" t="s">
        <v>872</v>
      </c>
      <c r="B11" s="83" t="str">
        <f>IFERROR(INDEX(tbl_ProduitsRef[Cde_Prdt],MATCH(A11,tbl_ProduitsRef[Produit],0)),"⚠️ Produit non trouvé")</f>
        <v>CRP002</v>
      </c>
      <c r="C11" s="64" t="str">
        <f>IFERROR(VLOOKUP(D11,Référentiels!$M$2:$N$267,2,FALSE),"Ingrédient non trouvé")</f>
        <v>FRU004</v>
      </c>
      <c r="D11" s="85" t="s">
        <v>877</v>
      </c>
      <c r="E11" s="85">
        <v>80</v>
      </c>
      <c r="F11" s="86" t="str">
        <f>INDEX(tbl_IngrédientsRef[Unité], MATCH(C11, tbl_IngrédientsRef[Cde_Ingrdt],0))</f>
        <v>g</v>
      </c>
    </row>
    <row r="12" spans="1:6" x14ac:dyDescent="0.3">
      <c r="A12" s="82" t="s">
        <v>872</v>
      </c>
      <c r="B12" s="83" t="str">
        <f>IFERROR(INDEX(tbl_ProduitsRef[Cde_Prdt],MATCH(A12,tbl_ProduitsRef[Produit],0)),"⚠️ Produit non trouvé")</f>
        <v>CRP002</v>
      </c>
      <c r="C12" s="64" t="str">
        <f>IFERROR(VLOOKUP(D12,Référentiels!$M$2:$N$267,2,FALSE),"Ingrédient non trouvé")</f>
        <v>CDM001</v>
      </c>
      <c r="D12" s="85" t="s">
        <v>871</v>
      </c>
      <c r="E12" s="85">
        <v>30</v>
      </c>
      <c r="F12" s="86" t="str">
        <f>INDEX(tbl_IngrédientsRef[Unité], MATCH(C12, tbl_IngrédientsRef[Cde_Ingrdt],0))</f>
        <v>g</v>
      </c>
    </row>
    <row r="13" spans="1:6" x14ac:dyDescent="0.3">
      <c r="A13" s="87" t="s">
        <v>878</v>
      </c>
      <c r="B13" s="83" t="str">
        <f>IFERROR(INDEX(tbl_ProduitsRef[Cde_Prdt],MATCH(A13,tbl_ProduitsRef[Produit],0)),"⚠️ Produit non trouvé")</f>
        <v>CRP003</v>
      </c>
      <c r="C13" s="64" t="str">
        <f>IFERROR(VLOOKUP(D13,Référentiels!$M$2:$N$267,2,FALSE),"Ingrédient non trouvé")</f>
        <v>BOU015</v>
      </c>
      <c r="D13" s="85" t="s">
        <v>863</v>
      </c>
      <c r="E13" s="85">
        <v>1</v>
      </c>
      <c r="F13" s="86" t="str">
        <f>INDEX(tbl_IngrédientsRef[Unité], MATCH(C13, tbl_IngrédientsRef[Cde_Ingrdt],0))</f>
        <v>Pièce</v>
      </c>
    </row>
    <row r="14" spans="1:6" x14ac:dyDescent="0.3">
      <c r="A14" s="87" t="s">
        <v>878</v>
      </c>
      <c r="B14" s="83" t="str">
        <f>IFERROR(INDEX(tbl_ProduitsRef[Cde_Prdt],MATCH(A14,tbl_ProduitsRef[Produit],0)),"⚠️ Produit non trouvé")</f>
        <v>CRP003</v>
      </c>
      <c r="C14" s="64" t="str">
        <f>IFERROR(VLOOKUP(D14,Référentiels!$M$2:$N$267,2,FALSE),"Ingrédient non trouvé")</f>
        <v>FRU017</v>
      </c>
      <c r="D14" s="85" t="s">
        <v>881</v>
      </c>
      <c r="E14" s="85">
        <v>1</v>
      </c>
      <c r="F14" s="86" t="str">
        <f>INDEX(tbl_IngrédientsRef[Unité], MATCH(C14, tbl_IngrédientsRef[Cde_Ingrdt],0))</f>
        <v>Pièce</v>
      </c>
    </row>
    <row r="15" spans="1:6" x14ac:dyDescent="0.3">
      <c r="A15" s="87" t="s">
        <v>878</v>
      </c>
      <c r="B15" s="83" t="str">
        <f>IFERROR(INDEX(tbl_ProduitsRef[Cde_Prdt],MATCH(A15,tbl_ProduitsRef[Produit],0)),"⚠️ Produit non trouvé")</f>
        <v>CRP003</v>
      </c>
      <c r="C15" s="64" t="str">
        <f>IFERROR(VLOOKUP(D15,Référentiels!$M$2:$N$267,2,FALSE),"Ingrédient non trouvé")</f>
        <v>SOS001</v>
      </c>
      <c r="D15" s="85" t="s">
        <v>875</v>
      </c>
      <c r="E15" s="85">
        <v>20</v>
      </c>
      <c r="F15" s="86" t="str">
        <f>INDEX(tbl_IngrédientsRef[Unité], MATCH(C15, tbl_IngrédientsRef[Cde_Ingrdt],0))</f>
        <v>ml</v>
      </c>
    </row>
    <row r="16" spans="1:6" x14ac:dyDescent="0.3">
      <c r="A16" s="82" t="s">
        <v>882</v>
      </c>
      <c r="B16" s="83" t="str">
        <f>IFERROR(INDEX(tbl_ProduitsRef[Cde_Prdt],MATCH(A16,tbl_ProduitsRef[Produit],0)),"⚠️ Produit non trouvé")</f>
        <v>CRP004</v>
      </c>
      <c r="C16" s="64" t="str">
        <f>IFERROR(VLOOKUP(D16,Référentiels!$M$2:$N$267,2,FALSE),"Ingrédient non trouvé")</f>
        <v>BOU015</v>
      </c>
      <c r="D16" s="85" t="s">
        <v>863</v>
      </c>
      <c r="E16" s="85">
        <v>1</v>
      </c>
      <c r="F16" s="86" t="str">
        <f>INDEX(tbl_IngrédientsRef[Unité], MATCH(C16, tbl_IngrédientsRef[Cde_Ingrdt],0))</f>
        <v>Pièce</v>
      </c>
    </row>
    <row r="17" spans="1:6" x14ac:dyDescent="0.3">
      <c r="A17" s="82" t="s">
        <v>882</v>
      </c>
      <c r="B17" s="83" t="str">
        <f>IFERROR(INDEX(tbl_ProduitsRef[Cde_Prdt],MATCH(A17,tbl_ProduitsRef[Produit],0)),"⚠️ Produit non trouvé")</f>
        <v>CRP004</v>
      </c>
      <c r="C17" s="64" t="str">
        <f>IFERROR(VLOOKUP(D17,Référentiels!$M$2:$N$267,2,FALSE),"Ingrédient non trouvé")</f>
        <v>PSU003</v>
      </c>
      <c r="D17" s="85" t="s">
        <v>865</v>
      </c>
      <c r="E17" s="85">
        <v>30</v>
      </c>
      <c r="F17" s="86" t="str">
        <f>INDEX(tbl_IngrédientsRef[Unité], MATCH(C17, tbl_IngrédientsRef[Cde_Ingrdt],0))</f>
        <v>g</v>
      </c>
    </row>
    <row r="18" spans="1:6" x14ac:dyDescent="0.3">
      <c r="A18" s="82" t="s">
        <v>882</v>
      </c>
      <c r="B18" s="83" t="str">
        <f>IFERROR(INDEX(tbl_ProduitsRef[Cde_Prdt],MATCH(A18,tbl_ProduitsRef[Produit],0)),"⚠️ Produit non trouvé")</f>
        <v>CRP004</v>
      </c>
      <c r="C18" s="64" t="str">
        <f>IFERROR(VLOOKUP(D18,Référentiels!$M$2:$N$267,2,FALSE),"Ingrédient non trouvé")</f>
        <v>FRU004</v>
      </c>
      <c r="D18" s="85" t="s">
        <v>877</v>
      </c>
      <c r="E18" s="85">
        <v>80</v>
      </c>
      <c r="F18" s="86" t="str">
        <f>INDEX(tbl_IngrédientsRef[Unité], MATCH(C18, tbl_IngrédientsRef[Cde_Ingrdt],0))</f>
        <v>g</v>
      </c>
    </row>
    <row r="19" spans="1:6" x14ac:dyDescent="0.3">
      <c r="A19" s="82" t="s">
        <v>884</v>
      </c>
      <c r="B19" s="83" t="str">
        <f>IFERROR(INDEX(tbl_ProduitsRef[Cde_Prdt],MATCH(A19,tbl_ProduitsRef[Produit],0)),"⚠️ Produit non trouvé")</f>
        <v>CRP005</v>
      </c>
      <c r="C19" s="64" t="str">
        <f>IFERROR(VLOOKUP(D19,Référentiels!$M$2:$N$267,2,FALSE),"Ingrédient non trouvé")</f>
        <v>BOU015</v>
      </c>
      <c r="D19" s="85" t="s">
        <v>863</v>
      </c>
      <c r="E19" s="85">
        <v>1</v>
      </c>
      <c r="F19" s="86" t="str">
        <f>INDEX(tbl_IngrédientsRef[Unité], MATCH(C19, tbl_IngrédientsRef[Cde_Ingrdt],0))</f>
        <v>Pièce</v>
      </c>
    </row>
    <row r="20" spans="1:6" x14ac:dyDescent="0.3">
      <c r="A20" s="82" t="s">
        <v>884</v>
      </c>
      <c r="B20" s="83" t="str">
        <f>IFERROR(INDEX(tbl_ProduitsRef[Cde_Prdt],MATCH(A20,tbl_ProduitsRef[Produit],0)),"⚠️ Produit non trouvé")</f>
        <v>CRP005</v>
      </c>
      <c r="C20" s="64" t="str">
        <f>IFERROR(VLOOKUP(D20,Référentiels!$M$2:$N$267,2,FALSE),"Ingrédient non trouvé")</f>
        <v>PSU003</v>
      </c>
      <c r="D20" s="85" t="s">
        <v>865</v>
      </c>
      <c r="E20" s="85">
        <v>35</v>
      </c>
      <c r="F20" s="86" t="str">
        <f>INDEX(tbl_IngrédientsRef[Unité], MATCH(C20, tbl_IngrédientsRef[Cde_Ingrdt],0))</f>
        <v>g</v>
      </c>
    </row>
    <row r="21" spans="1:6" x14ac:dyDescent="0.3">
      <c r="A21" s="82" t="s">
        <v>886</v>
      </c>
      <c r="B21" s="83" t="str">
        <f>IFERROR(INDEX(tbl_ProduitsRef[Cde_Prdt],MATCH(A21,tbl_ProduitsRef[Produit],0)),"⚠️ Produit non trouvé")</f>
        <v>CRP006</v>
      </c>
      <c r="C21" s="64" t="str">
        <f>IFERROR(VLOOKUP(D21,Référentiels!$M$2:$N$267,2,FALSE),"Ingrédient non trouvé")</f>
        <v>BOU015</v>
      </c>
      <c r="D21" s="85" t="s">
        <v>863</v>
      </c>
      <c r="E21" s="85">
        <v>1</v>
      </c>
      <c r="F21" s="86" t="str">
        <f>INDEX(tbl_IngrédientsRef[Unité], MATCH(C21, tbl_IngrédientsRef[Cde_Ingrdt],0))</f>
        <v>Pièce</v>
      </c>
    </row>
    <row r="22" spans="1:6" x14ac:dyDescent="0.3">
      <c r="A22" s="82" t="s">
        <v>886</v>
      </c>
      <c r="B22" s="83" t="str">
        <f>IFERROR(INDEX(tbl_ProduitsRef[Cde_Prdt],MATCH(A22,tbl_ProduitsRef[Produit],0)),"⚠️ Produit non trouvé")</f>
        <v>CRP006</v>
      </c>
      <c r="C22" s="64" t="str">
        <f>IFERROR(VLOOKUP(D22,Référentiels!$M$2:$N$267,2,FALSE),"Ingrédient non trouvé")</f>
        <v>PSU002</v>
      </c>
      <c r="D22" s="85" t="s">
        <v>282</v>
      </c>
      <c r="E22" s="85">
        <v>30</v>
      </c>
      <c r="F22" s="86" t="str">
        <f>INDEX(tbl_IngrédientsRef[Unité], MATCH(C22, tbl_IngrédientsRef[Cde_Ingrdt],0))</f>
        <v>g</v>
      </c>
    </row>
    <row r="23" spans="1:6" x14ac:dyDescent="0.3">
      <c r="A23" s="82" t="s">
        <v>888</v>
      </c>
      <c r="B23" s="83" t="str">
        <f>IFERROR(INDEX(tbl_ProduitsRef[Cde_Prdt],MATCH(A23,tbl_ProduitsRef[Produit],0)),"⚠️ Produit non trouvé")</f>
        <v>CRP007</v>
      </c>
      <c r="C23" s="64" t="str">
        <f>IFERROR(VLOOKUP(D23,Référentiels!$M$2:$N$267,2,FALSE),"Ingrédient non trouvé")</f>
        <v>BOU015</v>
      </c>
      <c r="D23" s="85" t="s">
        <v>863</v>
      </c>
      <c r="E23" s="85">
        <v>1</v>
      </c>
      <c r="F23" s="86" t="str">
        <f>INDEX(tbl_IngrédientsRef[Unité], MATCH(C23, tbl_IngrédientsRef[Cde_Ingrdt],0))</f>
        <v>Pièce</v>
      </c>
    </row>
    <row r="24" spans="1:6" x14ac:dyDescent="0.3">
      <c r="A24" s="82" t="s">
        <v>888</v>
      </c>
      <c r="B24" s="83" t="str">
        <f>IFERROR(INDEX(tbl_ProduitsRef[Cde_Prdt],MATCH(A24,tbl_ProduitsRef[Produit],0)),"⚠️ Produit non trouvé")</f>
        <v>CRP007</v>
      </c>
      <c r="C24" s="64" t="str">
        <f>IFERROR(VLOOKUP(D24,Référentiels!$M$2:$N$267,2,FALSE),"Ingrédient non trouvé")</f>
        <v>SOS002</v>
      </c>
      <c r="D24" s="85" t="s">
        <v>891</v>
      </c>
      <c r="E24" s="85">
        <v>20</v>
      </c>
      <c r="F24" s="86" t="str">
        <f>INDEX(tbl_IngrédientsRef[Unité], MATCH(C24, tbl_IngrédientsRef[Cde_Ingrdt],0))</f>
        <v>ml</v>
      </c>
    </row>
    <row r="25" spans="1:6" x14ac:dyDescent="0.3">
      <c r="A25" s="82" t="s">
        <v>888</v>
      </c>
      <c r="B25" s="83" t="str">
        <f>IFERROR(INDEX(tbl_ProduitsRef[Cde_Prdt],MATCH(A25,tbl_ProduitsRef[Produit],0)),"⚠️ Produit non trouvé")</f>
        <v>CRP007</v>
      </c>
      <c r="C25" s="64" t="str">
        <f>IFERROR(VLOOKUP(D25,Référentiels!$M$2:$N$267,2,FALSE),"Ingrédient non trouvé")</f>
        <v>PSU017</v>
      </c>
      <c r="D25" s="85" t="s">
        <v>893</v>
      </c>
      <c r="E25" s="85">
        <v>5</v>
      </c>
      <c r="F25" s="86" t="str">
        <f>INDEX(tbl_IngrédientsRef[Unité], MATCH(C25, tbl_IngrédientsRef[Cde_Ingrdt],0))</f>
        <v>g</v>
      </c>
    </row>
    <row r="26" spans="1:6" x14ac:dyDescent="0.3">
      <c r="A26" s="82" t="s">
        <v>894</v>
      </c>
      <c r="B26" s="83" t="str">
        <f>IFERROR(INDEX(tbl_ProduitsRef[Cde_Prdt],MATCH(A26,tbl_ProduitsRef[Produit],0)),"⚠️ Produit non trouvé")</f>
        <v>DES011</v>
      </c>
      <c r="C26" s="64" t="str">
        <f>IFERROR(VLOOKUP(D26,Référentiels!$M$2:$N$267,2,FALSE),"Ingrédient non trouvé")</f>
        <v>DES006</v>
      </c>
      <c r="D26" s="85" t="s">
        <v>897</v>
      </c>
      <c r="E26" s="85">
        <v>1</v>
      </c>
      <c r="F26" s="86" t="str">
        <f>INDEX(tbl_IngrédientsRef[Unité], MATCH(C26, tbl_IngrédientsRef[Cde_Ingrdt],0))</f>
        <v>Pièce</v>
      </c>
    </row>
    <row r="27" spans="1:6" x14ac:dyDescent="0.3">
      <c r="A27" s="82" t="s">
        <v>898</v>
      </c>
      <c r="B27" s="83" t="str">
        <f>IFERROR(INDEX(tbl_ProduitsRef[Cde_Prdt],MATCH(A27,tbl_ProduitsRef[Produit],0)),"⚠️ Produit non trouvé")</f>
        <v>DES013</v>
      </c>
      <c r="C27" s="64" t="str">
        <f>IFERROR(VLOOKUP(D27,Référentiels!$M$2:$N$267,2,FALSE),"Ingrédient non trouvé")</f>
        <v>DES007</v>
      </c>
      <c r="D27" s="85" t="s">
        <v>898</v>
      </c>
      <c r="E27" s="85">
        <v>1</v>
      </c>
      <c r="F27" s="86" t="str">
        <f>INDEX(tbl_IngrédientsRef[Unité], MATCH(C27, tbl_IngrédientsRef[Cde_Ingrdt],0))</f>
        <v>Pièce</v>
      </c>
    </row>
    <row r="28" spans="1:6" x14ac:dyDescent="0.3">
      <c r="A28" s="82" t="s">
        <v>901</v>
      </c>
      <c r="B28" s="83" t="str">
        <f>IFERROR(INDEX(tbl_ProduitsRef[Cde_Prdt],MATCH(A28,tbl_ProduitsRef[Produit],0)),"⚠️ Produit non trouvé")</f>
        <v>DES012</v>
      </c>
      <c r="C28" s="64" t="str">
        <f>IFERROR(VLOOKUP(D28,Référentiels!$M$2:$N$267,2,FALSE),"Ingrédient non trouvé")</f>
        <v>DES008</v>
      </c>
      <c r="D28" s="85" t="s">
        <v>901</v>
      </c>
      <c r="E28" s="85">
        <v>1</v>
      </c>
      <c r="F28" s="86" t="str">
        <f>INDEX(tbl_IngrédientsRef[Unité], MATCH(C28, tbl_IngrédientsRef[Cde_Ingrdt],0))</f>
        <v>Pièce</v>
      </c>
    </row>
    <row r="29" spans="1:6" x14ac:dyDescent="0.3">
      <c r="A29" s="82" t="s">
        <v>904</v>
      </c>
      <c r="B29" s="83" t="str">
        <f>IFERROR(INDEX(tbl_ProduitsRef[Cde_Prdt],MATCH(A29,tbl_ProduitsRef[Produit],0)),"⚠️ Produit non trouvé")</f>
        <v>DES014</v>
      </c>
      <c r="C29" s="64" t="str">
        <f>IFERROR(VLOOKUP(D29,Référentiels!$M$2:$N$267,2,FALSE),"Ingrédient non trouvé")</f>
        <v>DES005</v>
      </c>
      <c r="D29" s="85" t="s">
        <v>907</v>
      </c>
      <c r="E29" s="85">
        <v>1</v>
      </c>
      <c r="F29" s="86" t="str">
        <f>INDEX(tbl_IngrédientsRef[Unité], MATCH(C29, tbl_IngrédientsRef[Cde_Ingrdt],0))</f>
        <v>Pièce</v>
      </c>
    </row>
    <row r="30" spans="1:6" x14ac:dyDescent="0.3">
      <c r="A30" s="82" t="s">
        <v>908</v>
      </c>
      <c r="B30" s="83" t="str">
        <f>IFERROR(INDEX(tbl_ProduitsRef[Cde_Prdt],MATCH(A30,tbl_ProduitsRef[Produit],0)),"⚠️ Produit non trouvé")</f>
        <v>DES015</v>
      </c>
      <c r="C30" s="64" t="str">
        <f>IFERROR(VLOOKUP(D30,Référentiels!$M$2:$N$267,2,FALSE),"Ingrédient non trouvé")</f>
        <v>DES004</v>
      </c>
      <c r="D30" s="85" t="s">
        <v>908</v>
      </c>
      <c r="E30" s="85">
        <v>1</v>
      </c>
      <c r="F30" s="86" t="str">
        <f>INDEX(tbl_IngrédientsRef[Unité], MATCH(C30, tbl_IngrédientsRef[Cde_Ingrdt],0))</f>
        <v>Pièce</v>
      </c>
    </row>
    <row r="31" spans="1:6" x14ac:dyDescent="0.3">
      <c r="A31" s="82" t="s">
        <v>911</v>
      </c>
      <c r="B31" s="83" t="str">
        <f>IFERROR(INDEX(tbl_ProduitsRef[Cde_Prdt],MATCH(A31,tbl_ProduitsRef[Produit],0)),"⚠️ Produit non trouvé")</f>
        <v>DES016</v>
      </c>
      <c r="C31" s="64" t="str">
        <f>IFERROR(VLOOKUP(D31,Référentiels!$M$2:$N$267,2,FALSE),"Ingrédient non trouvé")</f>
        <v>DES009</v>
      </c>
      <c r="D31" s="85" t="s">
        <v>911</v>
      </c>
      <c r="E31" s="85">
        <v>1</v>
      </c>
      <c r="F31" s="86" t="str">
        <f>INDEX(tbl_IngrédientsRef[Unité], MATCH(C31, tbl_IngrédientsRef[Cde_Ingrdt],0))</f>
        <v>Pièce</v>
      </c>
    </row>
    <row r="32" spans="1:6" x14ac:dyDescent="0.3">
      <c r="A32" s="82" t="s">
        <v>914</v>
      </c>
      <c r="B32" s="83" t="str">
        <f>IFERROR(INDEX(tbl_ProduitsRef[Cde_Prdt],MATCH(A32,tbl_ProduitsRef[Produit],0)),"⚠️ Produit non trouvé")</f>
        <v>CRP008</v>
      </c>
      <c r="C32" s="64" t="str">
        <f>IFERROR(VLOOKUP(D32,Référentiels!$M$2:$N$267,2,FALSE),"Ingrédient non trouvé")</f>
        <v>BOU019</v>
      </c>
      <c r="D32" s="85" t="s">
        <v>917</v>
      </c>
      <c r="E32" s="85">
        <v>1</v>
      </c>
      <c r="F32" s="86" t="str">
        <f>INDEX(tbl_IngrédientsRef[Unité], MATCH(C32, tbl_IngrédientsRef[Cde_Ingrdt],0))</f>
        <v>Pièce</v>
      </c>
    </row>
    <row r="33" spans="1:6" x14ac:dyDescent="0.3">
      <c r="A33" s="82" t="s">
        <v>914</v>
      </c>
      <c r="B33" s="83" t="str">
        <f>IFERROR(INDEX(tbl_ProduitsRef[Cde_Prdt],MATCH(A33,tbl_ProduitsRef[Produit],0)),"⚠️ Produit non trouvé")</f>
        <v>CRP008</v>
      </c>
      <c r="C33" s="64" t="str">
        <f>IFERROR(VLOOKUP(D33,Référentiels!$M$2:$N$267,2,FALSE),"Ingrédient non trouvé")</f>
        <v>CHA002</v>
      </c>
      <c r="D33" s="85" t="s">
        <v>918</v>
      </c>
      <c r="E33" s="85">
        <v>80</v>
      </c>
      <c r="F33" s="86" t="str">
        <f>INDEX(tbl_IngrédientsRef[Unité], MATCH(C33, tbl_IngrédientsRef[Cde_Ingrdt],0))</f>
        <v>g</v>
      </c>
    </row>
    <row r="34" spans="1:6" x14ac:dyDescent="0.3">
      <c r="A34" s="82" t="s">
        <v>914</v>
      </c>
      <c r="B34" s="83" t="str">
        <f>IFERROR(INDEX(tbl_ProduitsRef[Cde_Prdt],MATCH(A34,tbl_ProduitsRef[Produit],0)),"⚠️ Produit non trouvé")</f>
        <v>CRP008</v>
      </c>
      <c r="C34" s="64" t="str">
        <f>IFERROR(VLOOKUP(D34,Référentiels!$M$2:$N$267,2,FALSE),"Ingrédient non trouvé")</f>
        <v>PRL001</v>
      </c>
      <c r="D34" s="85" t="s">
        <v>211</v>
      </c>
      <c r="E34" s="85">
        <v>1</v>
      </c>
      <c r="F34" s="86" t="str">
        <f>INDEX(tbl_IngrédientsRef[Unité], MATCH(C34, tbl_IngrédientsRef[Cde_Ingrdt],0))</f>
        <v>Pièce</v>
      </c>
    </row>
    <row r="35" spans="1:6" x14ac:dyDescent="0.3">
      <c r="A35" s="82" t="s">
        <v>919</v>
      </c>
      <c r="B35" s="83" t="str">
        <f>IFERROR(INDEX(tbl_ProduitsRef[Cde_Prdt],MATCH(A35,tbl_ProduitsRef[Produit],0)),"⚠️ Produit non trouvé")</f>
        <v>CRP016</v>
      </c>
      <c r="C35" s="64" t="str">
        <f>IFERROR(VLOOKUP(D35,Référentiels!$M$2:$N$267,2,FALSE),"Ingrédient non trouvé")</f>
        <v>BOU019</v>
      </c>
      <c r="D35" s="85" t="s">
        <v>917</v>
      </c>
      <c r="E35" s="85">
        <v>1</v>
      </c>
      <c r="F35" s="86" t="str">
        <f>INDEX(tbl_IngrédientsRef[Unité], MATCH(C35, tbl_IngrédientsRef[Cde_Ingrdt],0))</f>
        <v>Pièce</v>
      </c>
    </row>
    <row r="36" spans="1:6" x14ac:dyDescent="0.3">
      <c r="A36" s="82" t="s">
        <v>919</v>
      </c>
      <c r="B36" s="83" t="str">
        <f>IFERROR(INDEX(tbl_ProduitsRef[Cde_Prdt],MATCH(A36,tbl_ProduitsRef[Produit],0)),"⚠️ Produit non trouvé")</f>
        <v>CRP016</v>
      </c>
      <c r="C36" s="64" t="str">
        <f>IFERROR(VLOOKUP(D36,Référentiels!$M$2:$N$267,2,FALSE),"Ingrédient non trouvé")</f>
        <v>FDM001</v>
      </c>
      <c r="D36" s="85" t="s">
        <v>294</v>
      </c>
      <c r="E36" s="85">
        <v>60</v>
      </c>
      <c r="F36" s="86" t="str">
        <f>INDEX(tbl_IngrédientsRef[Unité], MATCH(C36, tbl_IngrédientsRef[Cde_Ingrdt],0))</f>
        <v>g</v>
      </c>
    </row>
    <row r="37" spans="1:6" x14ac:dyDescent="0.3">
      <c r="A37" s="82" t="s">
        <v>919</v>
      </c>
      <c r="B37" s="83" t="str">
        <f>IFERROR(INDEX(tbl_ProduitsRef[Cde_Prdt],MATCH(A37,tbl_ProduitsRef[Produit],0)),"⚠️ Produit non trouvé")</f>
        <v>CRP016</v>
      </c>
      <c r="C37" s="64" t="str">
        <f>IFERROR(VLOOKUP(D37,Référentiels!$M$2:$N$267,2,FALSE),"Ingrédient non trouvé")</f>
        <v>FDM002</v>
      </c>
      <c r="D37" s="85" t="s">
        <v>354</v>
      </c>
      <c r="E37" s="85">
        <v>40</v>
      </c>
      <c r="F37" s="86" t="str">
        <f>INDEX(tbl_IngrédientsRef[Unité], MATCH(C37, tbl_IngrédientsRef[Cde_Ingrdt],0))</f>
        <v>g</v>
      </c>
    </row>
    <row r="38" spans="1:6" x14ac:dyDescent="0.3">
      <c r="A38" s="82" t="s">
        <v>919</v>
      </c>
      <c r="B38" s="83" t="str">
        <f>IFERROR(INDEX(tbl_ProduitsRef[Cde_Prdt],MATCH(A38,tbl_ProduitsRef[Produit],0)),"⚠️ Produit non trouvé")</f>
        <v>CRP016</v>
      </c>
      <c r="C38" s="64" t="str">
        <f>IFERROR(VLOOKUP(D38,Référentiels!$M$2:$N$267,2,FALSE),"Ingrédient non trouvé")</f>
        <v>FDM004</v>
      </c>
      <c r="D38" s="85" t="s">
        <v>505</v>
      </c>
      <c r="E38" s="85">
        <v>40</v>
      </c>
      <c r="F38" s="86" t="str">
        <f>INDEX(tbl_IngrédientsRef[Unité], MATCH(C38, tbl_IngrédientsRef[Cde_Ingrdt],0))</f>
        <v>g</v>
      </c>
    </row>
    <row r="39" spans="1:6" x14ac:dyDescent="0.3">
      <c r="A39" s="82" t="s">
        <v>919</v>
      </c>
      <c r="B39" s="83" t="str">
        <f>IFERROR(INDEX(tbl_ProduitsRef[Cde_Prdt],MATCH(A39,tbl_ProduitsRef[Produit],0)),"⚠️ Produit non trouvé")</f>
        <v>CRP016</v>
      </c>
      <c r="C39" s="64" t="str">
        <f>IFERROR(VLOOKUP(D39,Référentiels!$M$2:$N$267,2,FALSE),"Ingrédient non trouvé")</f>
        <v>PRP006</v>
      </c>
      <c r="D39" s="85" t="s">
        <v>922</v>
      </c>
      <c r="E39" s="85">
        <v>40</v>
      </c>
      <c r="F39" s="86" t="str">
        <f>INDEX(tbl_IngrédientsRef[Unité], MATCH(C39, tbl_IngrédientsRef[Cde_Ingrdt],0))</f>
        <v>g</v>
      </c>
    </row>
    <row r="40" spans="1:6" x14ac:dyDescent="0.3">
      <c r="A40" s="82" t="s">
        <v>923</v>
      </c>
      <c r="B40" s="83" t="str">
        <f>IFERROR(INDEX(tbl_ProduitsRef[Cde_Prdt],MATCH(A40,tbl_ProduitsRef[Produit],0)),"⚠️ Produit non trouvé")</f>
        <v>CRP017</v>
      </c>
      <c r="C40" s="64" t="str">
        <f>IFERROR(VLOOKUP(D40,Référentiels!$M$2:$N$267,2,FALSE),"Ingrédient non trouvé")</f>
        <v>BOU019</v>
      </c>
      <c r="D40" s="85" t="s">
        <v>917</v>
      </c>
      <c r="E40" s="85">
        <v>1</v>
      </c>
      <c r="F40" s="86" t="str">
        <f>INDEX(tbl_IngrédientsRef[Unité], MATCH(C40, tbl_IngrédientsRef[Cde_Ingrdt],0))</f>
        <v>Pièce</v>
      </c>
    </row>
    <row r="41" spans="1:6" x14ac:dyDescent="0.3">
      <c r="A41" s="82" t="s">
        <v>923</v>
      </c>
      <c r="B41" s="83" t="str">
        <f>IFERROR(INDEX(tbl_ProduitsRef[Cde_Prdt],MATCH(A41,tbl_ProduitsRef[Produit],0)),"⚠️ Produit non trouvé")</f>
        <v>CRP017</v>
      </c>
      <c r="C41" s="64" t="str">
        <f>IFERROR(VLOOKUP(D41,Référentiels!$M$2:$N$267,2,FALSE),"Ingrédient non trouvé")</f>
        <v>BOE002</v>
      </c>
      <c r="D41" s="85" t="s">
        <v>477</v>
      </c>
      <c r="E41" s="85">
        <v>80</v>
      </c>
      <c r="F41" s="86" t="str">
        <f>INDEX(tbl_IngrédientsRef[Unité], MATCH(C41, tbl_IngrédientsRef[Cde_Ingrdt],0))</f>
        <v>g</v>
      </c>
    </row>
    <row r="42" spans="1:6" x14ac:dyDescent="0.3">
      <c r="A42" s="82" t="s">
        <v>923</v>
      </c>
      <c r="B42" s="83" t="str">
        <f>IFERROR(INDEX(tbl_ProduitsRef[Cde_Prdt],MATCH(A42,tbl_ProduitsRef[Produit],0)),"⚠️ Produit non trouvé")</f>
        <v>CRP017</v>
      </c>
      <c r="C42" s="64" t="str">
        <f>IFERROR(VLOOKUP(D42,Référentiels!$M$2:$N$267,2,FALSE),"Ingrédient non trouvé")</f>
        <v>LEG007</v>
      </c>
      <c r="D42" s="85" t="s">
        <v>310</v>
      </c>
      <c r="E42" s="85">
        <v>30</v>
      </c>
      <c r="F42" s="86" t="str">
        <f>INDEX(tbl_IngrédientsRef[Unité], MATCH(C42, tbl_IngrédientsRef[Cde_Ingrdt],0))</f>
        <v>g</v>
      </c>
    </row>
    <row r="43" spans="1:6" x14ac:dyDescent="0.3">
      <c r="A43" s="82" t="s">
        <v>923</v>
      </c>
      <c r="B43" s="83" t="str">
        <f>IFERROR(INDEX(tbl_ProduitsRef[Cde_Prdt],MATCH(A43,tbl_ProduitsRef[Produit],0)),"⚠️ Produit non trouvé")</f>
        <v>CRP017</v>
      </c>
      <c r="C43" s="64" t="str">
        <f>IFERROR(VLOOKUP(D43,Référentiels!$M$2:$N$267,2,FALSE),"Ingrédient non trouvé")</f>
        <v>LEG002</v>
      </c>
      <c r="D43" s="85" t="s">
        <v>308</v>
      </c>
      <c r="E43" s="85">
        <v>40</v>
      </c>
      <c r="F43" s="86" t="str">
        <f>INDEX(tbl_IngrédientsRef[Unité], MATCH(C43, tbl_IngrédientsRef[Cde_Ingrdt],0))</f>
        <v>g</v>
      </c>
    </row>
    <row r="44" spans="1:6" x14ac:dyDescent="0.3">
      <c r="A44" s="82" t="s">
        <v>923</v>
      </c>
      <c r="B44" s="83" t="str">
        <f>IFERROR(INDEX(tbl_ProduitsRef[Cde_Prdt],MATCH(A44,tbl_ProduitsRef[Produit],0)),"⚠️ Produit non trouvé")</f>
        <v>CRP017</v>
      </c>
      <c r="C44" s="64" t="str">
        <f>IFERROR(VLOOKUP(D44,Référentiels!$M$2:$N$267,2,FALSE),"Ingrédient non trouvé")</f>
        <v>PRL007</v>
      </c>
      <c r="D44" s="85" t="s">
        <v>304</v>
      </c>
      <c r="E44" s="85">
        <v>30</v>
      </c>
      <c r="F44" s="86" t="str">
        <f>INDEX(tbl_IngrédientsRef[Unité], MATCH(C44, tbl_IngrédientsRef[Cde_Ingrdt],0))</f>
        <v>g</v>
      </c>
    </row>
    <row r="45" spans="1:6" x14ac:dyDescent="0.3">
      <c r="A45" s="82" t="s">
        <v>925</v>
      </c>
      <c r="B45" s="83" t="str">
        <f>IFERROR(INDEX(tbl_ProduitsRef[Cde_Prdt],MATCH(A45,tbl_ProduitsRef[Produit],0)),"⚠️ Produit non trouvé")</f>
        <v>CRP018</v>
      </c>
      <c r="C45" s="64" t="str">
        <f>IFERROR(VLOOKUP(D45,Référentiels!$M$2:$N$267,2,FALSE),"Ingrédient non trouvé")</f>
        <v>BOU019</v>
      </c>
      <c r="D45" s="85" t="s">
        <v>917</v>
      </c>
      <c r="E45" s="85">
        <v>1</v>
      </c>
      <c r="F45" s="86" t="str">
        <f>INDEX(tbl_IngrédientsRef[Unité], MATCH(C45, tbl_IngrédientsRef[Cde_Ingrdt],0))</f>
        <v>Pièce</v>
      </c>
    </row>
    <row r="46" spans="1:6" x14ac:dyDescent="0.3">
      <c r="A46" s="82" t="s">
        <v>925</v>
      </c>
      <c r="B46" s="83" t="str">
        <f>IFERROR(INDEX(tbl_ProduitsRef[Cde_Prdt],MATCH(A46,tbl_ProduitsRef[Produit],0)),"⚠️ Produit non trouvé")</f>
        <v>CRP018</v>
      </c>
      <c r="C46" s="64" t="str">
        <f>IFERROR(VLOOKUP(D46,Référentiels!$M$2:$N$267,2,FALSE),"Ingrédient non trouvé")</f>
        <v>VOL005</v>
      </c>
      <c r="D46" s="85" t="s">
        <v>729</v>
      </c>
      <c r="E46" s="85">
        <v>80</v>
      </c>
      <c r="F46" s="86" t="str">
        <f>INDEX(tbl_IngrédientsRef[Unité], MATCH(C46, tbl_IngrédientsRef[Cde_Ingrdt],0))</f>
        <v>g</v>
      </c>
    </row>
    <row r="47" spans="1:6" x14ac:dyDescent="0.3">
      <c r="A47" s="82" t="s">
        <v>925</v>
      </c>
      <c r="B47" s="83" t="str">
        <f>IFERROR(INDEX(tbl_ProduitsRef[Cde_Prdt],MATCH(A47,tbl_ProduitsRef[Produit],0)),"⚠️ Produit non trouvé")</f>
        <v>CRP018</v>
      </c>
      <c r="C47" s="64" t="str">
        <f>IFERROR(VLOOKUP(D47,Référentiels!$M$2:$N$267,2,FALSE),"Ingrédient non trouvé")</f>
        <v>CDM004</v>
      </c>
      <c r="D47" s="85" t="s">
        <v>312</v>
      </c>
      <c r="E47" s="85">
        <v>0.3</v>
      </c>
      <c r="F47" s="86" t="str">
        <f>INDEX(tbl_IngrédientsRef[Unité], MATCH(C47, tbl_IngrédientsRef[Cde_Ingrdt],0))</f>
        <v>Pièce</v>
      </c>
    </row>
    <row r="48" spans="1:6" x14ac:dyDescent="0.3">
      <c r="A48" s="82" t="s">
        <v>925</v>
      </c>
      <c r="B48" s="83" t="str">
        <f>IFERROR(INDEX(tbl_ProduitsRef[Cde_Prdt],MATCH(A48,tbl_ProduitsRef[Produit],0)),"⚠️ Produit non trouvé")</f>
        <v>CRP018</v>
      </c>
      <c r="C48" s="64" t="str">
        <f>IFERROR(VLOOKUP(D48,Référentiels!$M$2:$N$267,2,FALSE),"Ingrédient non trouvé")</f>
        <v>PRP006</v>
      </c>
      <c r="D48" s="85" t="s">
        <v>922</v>
      </c>
      <c r="E48" s="85">
        <v>40</v>
      </c>
      <c r="F48" s="86" t="str">
        <f>INDEX(tbl_IngrédientsRef[Unité], MATCH(C48, tbl_IngrédientsRef[Cde_Ingrdt],0))</f>
        <v>g</v>
      </c>
    </row>
    <row r="49" spans="1:6" x14ac:dyDescent="0.3">
      <c r="A49" s="82" t="s">
        <v>925</v>
      </c>
      <c r="B49" s="83" t="str">
        <f>IFERROR(INDEX(tbl_ProduitsRef[Cde_Prdt],MATCH(A49,tbl_ProduitsRef[Produit],0)),"⚠️ Produit non trouvé")</f>
        <v>CRP018</v>
      </c>
      <c r="C49" s="64" t="str">
        <f>IFERROR(VLOOKUP(D49,Référentiels!$M$2:$N$267,2,FALSE),"Ingrédient non trouvé")</f>
        <v>PRL007</v>
      </c>
      <c r="D49" s="85" t="s">
        <v>304</v>
      </c>
      <c r="E49" s="85">
        <v>30</v>
      </c>
      <c r="F49" s="86" t="str">
        <f>INDEX(tbl_IngrédientsRef[Unité], MATCH(C49, tbl_IngrédientsRef[Cde_Ingrdt],0))</f>
        <v>g</v>
      </c>
    </row>
    <row r="50" spans="1:6" x14ac:dyDescent="0.3">
      <c r="A50" s="82" t="s">
        <v>927</v>
      </c>
      <c r="B50" s="83" t="str">
        <f>IFERROR(INDEX(tbl_ProduitsRef[Cde_Prdt],MATCH(A50,tbl_ProduitsRef[Produit],0)),"⚠️ Produit non trouvé")</f>
        <v>CRP019</v>
      </c>
      <c r="C50" s="64" t="str">
        <f>IFERROR(VLOOKUP(D50,Référentiels!$M$2:$N$267,2,FALSE),"Ingrédient non trouvé")</f>
        <v>BOU019</v>
      </c>
      <c r="D50" s="85" t="s">
        <v>917</v>
      </c>
      <c r="E50" s="85">
        <v>1</v>
      </c>
      <c r="F50" s="86" t="str">
        <f>INDEX(tbl_IngrédientsRef[Unité], MATCH(C50, tbl_IngrédientsRef[Cde_Ingrdt],0))</f>
        <v>Pièce</v>
      </c>
    </row>
    <row r="51" spans="1:6" x14ac:dyDescent="0.3">
      <c r="A51" s="82" t="s">
        <v>927</v>
      </c>
      <c r="B51" s="83" t="str">
        <f>IFERROR(INDEX(tbl_ProduitsRef[Cde_Prdt],MATCH(A51,tbl_ProduitsRef[Produit],0)),"⚠️ Produit non trouvé")</f>
        <v>CRP019</v>
      </c>
      <c r="C51" s="64" t="str">
        <f>IFERROR(VLOOKUP(D51,Référentiels!$M$2:$N$267,2,FALSE),"Ingrédient non trouvé")</f>
        <v>PRL007</v>
      </c>
      <c r="D51" s="85" t="s">
        <v>304</v>
      </c>
      <c r="E51" s="85">
        <v>60</v>
      </c>
      <c r="F51" s="86" t="str">
        <f>INDEX(tbl_IngrédientsRef[Unité], MATCH(C51, tbl_IngrédientsRef[Cde_Ingrdt],0))</f>
        <v>g</v>
      </c>
    </row>
    <row r="52" spans="1:6" x14ac:dyDescent="0.3">
      <c r="A52" s="82" t="s">
        <v>929</v>
      </c>
      <c r="B52" s="83" t="str">
        <f>IFERROR(INDEX(tbl_ProduitsRef[Cde_Prdt],MATCH(A52,tbl_ProduitsRef[Produit],0)),"⚠️ Produit non trouvé")</f>
        <v>CRP020</v>
      </c>
      <c r="C52" s="64" t="str">
        <f>IFERROR(VLOOKUP(D52,Référentiels!$M$2:$N$267,2,FALSE),"Ingrédient non trouvé")</f>
        <v>BOU019</v>
      </c>
      <c r="D52" s="85" t="s">
        <v>917</v>
      </c>
      <c r="E52" s="85">
        <v>1</v>
      </c>
      <c r="F52" s="86" t="str">
        <f>INDEX(tbl_IngrédientsRef[Unité], MATCH(C52, tbl_IngrédientsRef[Cde_Ingrdt],0))</f>
        <v>Pièce</v>
      </c>
    </row>
    <row r="53" spans="1:6" x14ac:dyDescent="0.3">
      <c r="A53" s="82" t="s">
        <v>929</v>
      </c>
      <c r="B53" s="83" t="str">
        <f>IFERROR(INDEX(tbl_ProduitsRef[Cde_Prdt],MATCH(A53,tbl_ProduitsRef[Produit],0)),"⚠️ Produit non trouvé")</f>
        <v>CRP020</v>
      </c>
      <c r="C53" s="64" t="str">
        <f>IFERROR(VLOOKUP(D53,Référentiels!$M$2:$N$267,2,FALSE),"Ingrédient non trouvé")</f>
        <v>CHA004</v>
      </c>
      <c r="D53" s="85" t="s">
        <v>234</v>
      </c>
      <c r="E53" s="85">
        <v>80</v>
      </c>
      <c r="F53" s="86" t="str">
        <f>INDEX(tbl_IngrédientsRef[Unité], MATCH(C53, tbl_IngrédientsRef[Cde_Ingrdt],0))</f>
        <v>g</v>
      </c>
    </row>
    <row r="54" spans="1:6" x14ac:dyDescent="0.3">
      <c r="A54" s="82" t="s">
        <v>929</v>
      </c>
      <c r="B54" s="83" t="str">
        <f>IFERROR(INDEX(tbl_ProduitsRef[Cde_Prdt],MATCH(A54,tbl_ProduitsRef[Produit],0)),"⚠️ Produit non trouvé")</f>
        <v>CRP020</v>
      </c>
      <c r="C54" s="64" t="str">
        <f>IFERROR(VLOOKUP(D54,Référentiels!$M$2:$N$267,2,FALSE),"Ingrédient non trouvé")</f>
        <v>PRL007</v>
      </c>
      <c r="D54" s="85" t="s">
        <v>304</v>
      </c>
      <c r="E54" s="85">
        <v>30</v>
      </c>
      <c r="F54" s="86" t="str">
        <f>INDEX(tbl_IngrédientsRef[Unité], MATCH(C54, tbl_IngrédientsRef[Cde_Ingrdt],0))</f>
        <v>g</v>
      </c>
    </row>
    <row r="55" spans="1:6" x14ac:dyDescent="0.3">
      <c r="A55" s="82" t="s">
        <v>931</v>
      </c>
      <c r="B55" s="83" t="str">
        <f>IFERROR(INDEX(tbl_ProduitsRef[Cde_Prdt],MATCH(A55,tbl_ProduitsRef[Produit],0)),"⚠️ Produit non trouvé")</f>
        <v>CRP009</v>
      </c>
      <c r="C55" s="64" t="str">
        <f>IFERROR(VLOOKUP(D55,Référentiels!$M$2:$N$267,2,FALSE),"Ingrédient non trouvé")</f>
        <v>BOU019</v>
      </c>
      <c r="D55" s="85" t="s">
        <v>917</v>
      </c>
      <c r="E55" s="85">
        <v>1</v>
      </c>
      <c r="F55" s="86" t="str">
        <f>INDEX(tbl_IngrédientsRef[Unité], MATCH(C55, tbl_IngrédientsRef[Cde_Ingrdt],0))</f>
        <v>Pièce</v>
      </c>
    </row>
    <row r="56" spans="1:6" x14ac:dyDescent="0.3">
      <c r="A56" s="82" t="s">
        <v>931</v>
      </c>
      <c r="B56" s="83" t="str">
        <f>IFERROR(INDEX(tbl_ProduitsRef[Cde_Prdt],MATCH(A56,tbl_ProduitsRef[Produit],0)),"⚠️ Produit non trouvé")</f>
        <v>CRP009</v>
      </c>
      <c r="C56" s="64" t="str">
        <f>IFERROR(VLOOKUP(D56,Référentiels!$M$2:$N$267,2,FALSE),"Ingrédient non trouvé")</f>
        <v>PSU003</v>
      </c>
      <c r="D56" s="88" t="s">
        <v>865</v>
      </c>
      <c r="E56" s="85">
        <v>30</v>
      </c>
      <c r="F56" s="86" t="str">
        <f>INDEX(tbl_IngrédientsRef[Unité], MATCH(C56, tbl_IngrédientsRef[Cde_Ingrdt],0))</f>
        <v>g</v>
      </c>
    </row>
    <row r="57" spans="1:6" x14ac:dyDescent="0.3">
      <c r="A57" s="82" t="s">
        <v>931</v>
      </c>
      <c r="B57" s="83" t="str">
        <f>IFERROR(INDEX(tbl_ProduitsRef[Cde_Prdt],MATCH(A57,tbl_ProduitsRef[Produit],0)),"⚠️ Produit non trouvé")</f>
        <v>CRP009</v>
      </c>
      <c r="C57" s="64" t="str">
        <f>IFERROR(VLOOKUP(D57,Référentiels!$M$2:$N$267,2,FALSE),"Ingrédient non trouvé")</f>
        <v>PSU005</v>
      </c>
      <c r="D57" s="85" t="s">
        <v>934</v>
      </c>
      <c r="E57" s="85">
        <v>1</v>
      </c>
      <c r="F57" s="86" t="str">
        <f>INDEX(tbl_IngrédientsRef[Unité], MATCH(C57, tbl_IngrédientsRef[Cde_Ingrdt],0))</f>
        <v>Pièce</v>
      </c>
    </row>
    <row r="58" spans="1:6" x14ac:dyDescent="0.3">
      <c r="A58" s="82" t="s">
        <v>931</v>
      </c>
      <c r="B58" s="83" t="str">
        <f>IFERROR(INDEX(tbl_ProduitsRef[Cde_Prdt],MATCH(A58,tbl_ProduitsRef[Produit],0)),"⚠️ Produit non trouvé")</f>
        <v>CRP009</v>
      </c>
      <c r="C58" s="64" t="str">
        <f>IFERROR(VLOOKUP(D58,Référentiels!$M$2:$N$267,2,FALSE),"Ingrédient non trouvé")</f>
        <v>GLA001</v>
      </c>
      <c r="D58" s="85" t="s">
        <v>869</v>
      </c>
      <c r="E58" s="85">
        <v>1</v>
      </c>
      <c r="F58" s="86" t="str">
        <f>INDEX(tbl_IngrédientsRef[Unité], MATCH(C58, tbl_IngrédientsRef[Cde_Ingrdt],0))</f>
        <v>Pièce</v>
      </c>
    </row>
    <row r="59" spans="1:6" x14ac:dyDescent="0.3">
      <c r="A59" s="82" t="s">
        <v>931</v>
      </c>
      <c r="B59" s="83" t="str">
        <f>IFERROR(INDEX(tbl_ProduitsRef[Cde_Prdt],MATCH(A59,tbl_ProduitsRef[Produit],0)),"⚠️ Produit non trouvé")</f>
        <v>CRP009</v>
      </c>
      <c r="C59" s="64" t="str">
        <f>IFERROR(VLOOKUP(D59,Référentiels!$M$2:$N$267,2,FALSE),"Ingrédient non trouvé")</f>
        <v>CDM001</v>
      </c>
      <c r="D59" s="85" t="s">
        <v>871</v>
      </c>
      <c r="E59" s="85">
        <v>30</v>
      </c>
      <c r="F59" s="86" t="str">
        <f>INDEX(tbl_IngrédientsRef[Unité], MATCH(C59, tbl_IngrédientsRef[Cde_Ingrdt],0))</f>
        <v>g</v>
      </c>
    </row>
    <row r="60" spans="1:6" x14ac:dyDescent="0.3">
      <c r="A60" s="89" t="s">
        <v>935</v>
      </c>
      <c r="B60" s="83" t="str">
        <f>IFERROR(INDEX(tbl_ProduitsRef[Cde_Prdt],MATCH(A60,tbl_ProduitsRef[Produit],0)),"⚠️ Produit non trouvé")</f>
        <v>CRP010</v>
      </c>
      <c r="C60" s="64" t="str">
        <f>IFERROR(VLOOKUP(D60,Référentiels!$M$2:$N$267,2,FALSE),"Ingrédient non trouvé")</f>
        <v>BOU019</v>
      </c>
      <c r="D60" s="88" t="s">
        <v>917</v>
      </c>
      <c r="E60" s="88">
        <v>1</v>
      </c>
      <c r="F60" s="86" t="str">
        <f>INDEX(tbl_IngrédientsRef[Unité], MATCH(C60, tbl_IngrédientsRef[Cde_Ingrdt],0))</f>
        <v>Pièce</v>
      </c>
    </row>
    <row r="61" spans="1:6" x14ac:dyDescent="0.3">
      <c r="A61" s="89" t="s">
        <v>935</v>
      </c>
      <c r="B61" s="83" t="str">
        <f>IFERROR(INDEX(tbl_ProduitsRef[Cde_Prdt],MATCH(A61,tbl_ProduitsRef[Produit],0)),"⚠️ Produit non trouvé")</f>
        <v>CRP010</v>
      </c>
      <c r="C61" s="64" t="str">
        <f>IFERROR(VLOOKUP(D61,Référentiels!$M$2:$N$267,2,FALSE),"Ingrédient non trouvé")</f>
        <v>PSU003</v>
      </c>
      <c r="D61" s="88" t="s">
        <v>865</v>
      </c>
      <c r="E61" s="88">
        <v>25</v>
      </c>
      <c r="F61" s="86" t="str">
        <f>INDEX(tbl_IngrédientsRef[Unité], MATCH(C61, tbl_IngrédientsRef[Cde_Ingrdt],0))</f>
        <v>g</v>
      </c>
    </row>
    <row r="62" spans="1:6" x14ac:dyDescent="0.3">
      <c r="A62" s="89" t="s">
        <v>935</v>
      </c>
      <c r="B62" s="83" t="str">
        <f>IFERROR(INDEX(tbl_ProduitsRef[Cde_Prdt],MATCH(A62,tbl_ProduitsRef[Produit],0)),"⚠️ Produit non trouvé")</f>
        <v>CRP010</v>
      </c>
      <c r="C62" s="64" t="str">
        <f>IFERROR(VLOOKUP(D62,Référentiels!$M$2:$N$267,2,FALSE),"Ingrédient non trouvé")</f>
        <v>SOS001</v>
      </c>
      <c r="D62" s="88" t="s">
        <v>875</v>
      </c>
      <c r="E62" s="88">
        <v>20</v>
      </c>
      <c r="F62" s="86" t="str">
        <f>INDEX(tbl_IngrédientsRef[Unité], MATCH(C62, tbl_IngrédientsRef[Cde_Ingrdt],0))</f>
        <v>ml</v>
      </c>
    </row>
    <row r="63" spans="1:6" x14ac:dyDescent="0.3">
      <c r="A63" s="89" t="s">
        <v>935</v>
      </c>
      <c r="B63" s="83" t="str">
        <f>IFERROR(INDEX(tbl_ProduitsRef[Cde_Prdt],MATCH(A63,tbl_ProduitsRef[Produit],0)),"⚠️ Produit non trouvé")</f>
        <v>CRP010</v>
      </c>
      <c r="C63" s="64" t="str">
        <f>IFERROR(VLOOKUP(D63,Référentiels!$M$2:$N$267,2,FALSE),"Ingrédient non trouvé")</f>
        <v>CDM015</v>
      </c>
      <c r="D63" s="88" t="s">
        <v>1264</v>
      </c>
      <c r="E63" s="88">
        <v>20</v>
      </c>
      <c r="F63" s="86" t="str">
        <f>INDEX(tbl_IngrédientsRef[Unité], MATCH(C63, tbl_IngrédientsRef[Cde_Ingrdt],0))</f>
        <v>g</v>
      </c>
    </row>
    <row r="64" spans="1:6" x14ac:dyDescent="0.3">
      <c r="A64" s="89" t="s">
        <v>935</v>
      </c>
      <c r="B64" s="83" t="str">
        <f>IFERROR(INDEX(tbl_ProduitsRef[Cde_Prdt],MATCH(A64,tbl_ProduitsRef[Produit],0)),"⚠️ Produit non trouvé")</f>
        <v>CRP010</v>
      </c>
      <c r="C64" s="64" t="str">
        <f>IFERROR(VLOOKUP(D64,Référentiels!$M$2:$N$267,2,FALSE),"Ingrédient non trouvé")</f>
        <v>FRU004</v>
      </c>
      <c r="D64" s="88" t="s">
        <v>877</v>
      </c>
      <c r="E64" s="88">
        <v>80</v>
      </c>
      <c r="F64" s="86" t="str">
        <f>INDEX(tbl_IngrédientsRef[Unité], MATCH(C64, tbl_IngrédientsRef[Cde_Ingrdt],0))</f>
        <v>g</v>
      </c>
    </row>
    <row r="65" spans="1:6" x14ac:dyDescent="0.3">
      <c r="A65" s="89" t="s">
        <v>935</v>
      </c>
      <c r="B65" s="83" t="str">
        <f>IFERROR(INDEX(tbl_ProduitsRef[Cde_Prdt],MATCH(A65,tbl_ProduitsRef[Produit],0)),"⚠️ Produit non trouvé")</f>
        <v>CRP010</v>
      </c>
      <c r="C65" s="64" t="str">
        <f>IFERROR(VLOOKUP(D65,Référentiels!$M$2:$N$267,2,FALSE),"Ingrédient non trouvé")</f>
        <v>CDM001</v>
      </c>
      <c r="D65" s="88" t="s">
        <v>871</v>
      </c>
      <c r="E65" s="88">
        <v>30</v>
      </c>
      <c r="F65" s="86" t="str">
        <f>INDEX(tbl_IngrédientsRef[Unité], MATCH(C65, tbl_IngrédientsRef[Cde_Ingrdt],0))</f>
        <v>g</v>
      </c>
    </row>
    <row r="66" spans="1:6" x14ac:dyDescent="0.3">
      <c r="A66" s="89" t="s">
        <v>937</v>
      </c>
      <c r="B66" s="83" t="str">
        <f>IFERROR(INDEX(tbl_ProduitsRef[Cde_Prdt],MATCH(A66,tbl_ProduitsRef[Produit],0)),"⚠️ Produit non trouvé")</f>
        <v>CRP011</v>
      </c>
      <c r="C66" s="64" t="str">
        <f>IFERROR(VLOOKUP(D66,Référentiels!$M$2:$N$267,2,FALSE),"Ingrédient non trouvé")</f>
        <v>BOU019</v>
      </c>
      <c r="D66" s="88" t="s">
        <v>917</v>
      </c>
      <c r="E66" s="88">
        <v>1</v>
      </c>
      <c r="F66" s="86" t="str">
        <f>INDEX(tbl_IngrédientsRef[Unité], MATCH(C66, tbl_IngrédientsRef[Cde_Ingrdt],0))</f>
        <v>Pièce</v>
      </c>
    </row>
    <row r="67" spans="1:6" x14ac:dyDescent="0.3">
      <c r="A67" s="89" t="s">
        <v>937</v>
      </c>
      <c r="B67" s="83" t="str">
        <f>IFERROR(INDEX(tbl_ProduitsRef[Cde_Prdt],MATCH(A67,tbl_ProduitsRef[Produit],0)),"⚠️ Produit non trouvé")</f>
        <v>CRP011</v>
      </c>
      <c r="C67" s="64" t="str">
        <f>IFERROR(VLOOKUP(D67,Référentiels!$M$2:$N$267,2,FALSE),"Ingrédient non trouvé")</f>
        <v>FRU017</v>
      </c>
      <c r="D67" s="85" t="s">
        <v>881</v>
      </c>
      <c r="E67" s="88">
        <v>1</v>
      </c>
      <c r="F67" s="86" t="str">
        <f>INDEX(tbl_IngrédientsRef[Unité], MATCH(C67, tbl_IngrédientsRef[Cde_Ingrdt],0))</f>
        <v>Pièce</v>
      </c>
    </row>
    <row r="68" spans="1:6" x14ac:dyDescent="0.3">
      <c r="A68" s="89" t="s">
        <v>937</v>
      </c>
      <c r="B68" s="83" t="str">
        <f>IFERROR(INDEX(tbl_ProduitsRef[Cde_Prdt],MATCH(A68,tbl_ProduitsRef[Produit],0)),"⚠️ Produit non trouvé")</f>
        <v>CRP011</v>
      </c>
      <c r="C68" s="64" t="str">
        <f>IFERROR(VLOOKUP(D68,Référentiels!$M$2:$N$267,2,FALSE),"Ingrédient non trouvé")</f>
        <v>SOS001</v>
      </c>
      <c r="D68" s="88" t="s">
        <v>875</v>
      </c>
      <c r="E68" s="88">
        <v>20</v>
      </c>
      <c r="F68" s="86" t="str">
        <f>INDEX(tbl_IngrédientsRef[Unité], MATCH(C68, tbl_IngrédientsRef[Cde_Ingrdt],0))</f>
        <v>ml</v>
      </c>
    </row>
    <row r="69" spans="1:6" x14ac:dyDescent="0.3">
      <c r="A69" s="89" t="s">
        <v>939</v>
      </c>
      <c r="B69" s="83" t="str">
        <f>IFERROR(INDEX(tbl_ProduitsRef[Cde_Prdt],MATCH(A69,tbl_ProduitsRef[Produit],0)),"⚠️ Produit non trouvé")</f>
        <v>CRP012</v>
      </c>
      <c r="C69" s="64" t="str">
        <f>IFERROR(VLOOKUP(D69,Référentiels!$M$2:$N$267,2,FALSE),"Ingrédient non trouvé")</f>
        <v>BOU019</v>
      </c>
      <c r="D69" s="88" t="s">
        <v>917</v>
      </c>
      <c r="E69" s="88">
        <v>1</v>
      </c>
      <c r="F69" s="86" t="str">
        <f>INDEX(tbl_IngrédientsRef[Unité], MATCH(C69, tbl_IngrédientsRef[Cde_Ingrdt],0))</f>
        <v>Pièce</v>
      </c>
    </row>
    <row r="70" spans="1:6" x14ac:dyDescent="0.3">
      <c r="A70" s="89" t="s">
        <v>939</v>
      </c>
      <c r="B70" s="83" t="str">
        <f>IFERROR(INDEX(tbl_ProduitsRef[Cde_Prdt],MATCH(A70,tbl_ProduitsRef[Produit],0)),"⚠️ Produit non trouvé")</f>
        <v>CRP012</v>
      </c>
      <c r="C70" s="64" t="str">
        <f>IFERROR(VLOOKUP(D70,Référentiels!$M$2:$N$267,2,FALSE),"Ingrédient non trouvé")</f>
        <v>PSU003</v>
      </c>
      <c r="D70" s="88" t="s">
        <v>865</v>
      </c>
      <c r="E70" s="88">
        <v>30</v>
      </c>
      <c r="F70" s="86" t="str">
        <f>INDEX(tbl_IngrédientsRef[Unité], MATCH(C70, tbl_IngrédientsRef[Cde_Ingrdt],0))</f>
        <v>g</v>
      </c>
    </row>
    <row r="71" spans="1:6" x14ac:dyDescent="0.3">
      <c r="A71" s="89" t="s">
        <v>939</v>
      </c>
      <c r="B71" s="83" t="str">
        <f>IFERROR(INDEX(tbl_ProduitsRef[Cde_Prdt],MATCH(A71,tbl_ProduitsRef[Produit],0)),"⚠️ Produit non trouvé")</f>
        <v>CRP012</v>
      </c>
      <c r="C71" s="64" t="str">
        <f>IFERROR(VLOOKUP(D71,Référentiels!$M$2:$N$267,2,FALSE),"Ingrédient non trouvé")</f>
        <v>FRU004</v>
      </c>
      <c r="D71" s="88" t="s">
        <v>877</v>
      </c>
      <c r="E71" s="88">
        <v>80</v>
      </c>
      <c r="F71" s="86" t="str">
        <f>INDEX(tbl_IngrédientsRef[Unité], MATCH(C71, tbl_IngrédientsRef[Cde_Ingrdt],0))</f>
        <v>g</v>
      </c>
    </row>
    <row r="72" spans="1:6" x14ac:dyDescent="0.3">
      <c r="A72" s="89" t="s">
        <v>941</v>
      </c>
      <c r="B72" s="83" t="str">
        <f>IFERROR(INDEX(tbl_ProduitsRef[Cde_Prdt],MATCH(A72,tbl_ProduitsRef[Produit],0)),"⚠️ Produit non trouvé")</f>
        <v>CRP013</v>
      </c>
      <c r="C72" s="64" t="str">
        <f>IFERROR(VLOOKUP(D72,Référentiels!$M$2:$N$267,2,FALSE),"Ingrédient non trouvé")</f>
        <v>BOU019</v>
      </c>
      <c r="D72" s="88" t="s">
        <v>917</v>
      </c>
      <c r="E72" s="88">
        <v>1</v>
      </c>
      <c r="F72" s="86" t="str">
        <f>INDEX(tbl_IngrédientsRef[Unité], MATCH(C72, tbl_IngrédientsRef[Cde_Ingrdt],0))</f>
        <v>Pièce</v>
      </c>
    </row>
    <row r="73" spans="1:6" x14ac:dyDescent="0.3">
      <c r="A73" s="89" t="s">
        <v>941</v>
      </c>
      <c r="B73" s="83" t="str">
        <f>IFERROR(INDEX(tbl_ProduitsRef[Cde_Prdt],MATCH(A73,tbl_ProduitsRef[Produit],0)),"⚠️ Produit non trouvé")</f>
        <v>CRP013</v>
      </c>
      <c r="C73" s="64" t="str">
        <f>IFERROR(VLOOKUP(D73,Référentiels!$M$2:$N$267,2,FALSE),"Ingrédient non trouvé")</f>
        <v>PSU003</v>
      </c>
      <c r="D73" s="88" t="s">
        <v>865</v>
      </c>
      <c r="E73" s="88">
        <v>35</v>
      </c>
      <c r="F73" s="86" t="str">
        <f>INDEX(tbl_IngrédientsRef[Unité], MATCH(C73, tbl_IngrédientsRef[Cde_Ingrdt],0))</f>
        <v>g</v>
      </c>
    </row>
    <row r="74" spans="1:6" x14ac:dyDescent="0.3">
      <c r="A74" s="89" t="s">
        <v>943</v>
      </c>
      <c r="B74" s="83" t="str">
        <f>IFERROR(INDEX(tbl_ProduitsRef[Cde_Prdt],MATCH(A74,tbl_ProduitsRef[Produit],0)),"⚠️ Produit non trouvé")</f>
        <v>CRP014</v>
      </c>
      <c r="C74" s="64" t="str">
        <f>IFERROR(VLOOKUP(D74,Référentiels!$M$2:$N$267,2,FALSE),"Ingrédient non trouvé")</f>
        <v>BOU019</v>
      </c>
      <c r="D74" s="88" t="s">
        <v>917</v>
      </c>
      <c r="E74" s="88">
        <v>1</v>
      </c>
      <c r="F74" s="86" t="str">
        <f>INDEX(tbl_IngrédientsRef[Unité], MATCH(C74, tbl_IngrédientsRef[Cde_Ingrdt],0))</f>
        <v>Pièce</v>
      </c>
    </row>
    <row r="75" spans="1:6" x14ac:dyDescent="0.3">
      <c r="A75" s="89" t="s">
        <v>943</v>
      </c>
      <c r="B75" s="83" t="str">
        <f>IFERROR(INDEX(tbl_ProduitsRef[Cde_Prdt],MATCH(A75,tbl_ProduitsRef[Produit],0)),"⚠️ Produit non trouvé")</f>
        <v>CRP014</v>
      </c>
      <c r="C75" s="64" t="str">
        <f>IFERROR(VLOOKUP(D75,Référentiels!$M$2:$N$267,2,FALSE),"Ingrédient non trouvé")</f>
        <v>PSU002</v>
      </c>
      <c r="D75" s="88" t="s">
        <v>282</v>
      </c>
      <c r="E75" s="88">
        <v>30</v>
      </c>
      <c r="F75" s="86" t="str">
        <f>INDEX(tbl_IngrédientsRef[Unité], MATCH(C75, tbl_IngrédientsRef[Cde_Ingrdt],0))</f>
        <v>g</v>
      </c>
    </row>
    <row r="76" spans="1:6" x14ac:dyDescent="0.3">
      <c r="A76" s="89" t="s">
        <v>945</v>
      </c>
      <c r="B76" s="83" t="str">
        <f>IFERROR(INDEX(tbl_ProduitsRef[Cde_Prdt],MATCH(A76,tbl_ProduitsRef[Produit],0)),"⚠️ Produit non trouvé")</f>
        <v>CRP015</v>
      </c>
      <c r="C76" s="64" t="str">
        <f>IFERROR(VLOOKUP(D76,Référentiels!$M$2:$N$267,2,FALSE),"Ingrédient non trouvé")</f>
        <v>BOU019</v>
      </c>
      <c r="D76" s="88" t="s">
        <v>917</v>
      </c>
      <c r="E76" s="88">
        <v>1</v>
      </c>
      <c r="F76" s="86" t="str">
        <f>INDEX(tbl_IngrédientsRef[Unité], MATCH(C76, tbl_IngrédientsRef[Cde_Ingrdt],0))</f>
        <v>Pièce</v>
      </c>
    </row>
    <row r="77" spans="1:6" x14ac:dyDescent="0.3">
      <c r="A77" s="89" t="s">
        <v>945</v>
      </c>
      <c r="B77" s="83" t="str">
        <f>IFERROR(INDEX(tbl_ProduitsRef[Cde_Prdt],MATCH(A77,tbl_ProduitsRef[Produit],0)),"⚠️ Produit non trouvé")</f>
        <v>CRP015</v>
      </c>
      <c r="C77" s="64" t="str">
        <f>IFERROR(VLOOKUP(D77,Référentiels!$M$2:$N$267,2,FALSE),"Ingrédient non trouvé")</f>
        <v>SOS002</v>
      </c>
      <c r="D77" s="88" t="s">
        <v>891</v>
      </c>
      <c r="E77" s="88">
        <v>20</v>
      </c>
      <c r="F77" s="86" t="str">
        <f>INDEX(tbl_IngrédientsRef[Unité], MATCH(C77, tbl_IngrédientsRef[Cde_Ingrdt],0))</f>
        <v>ml</v>
      </c>
    </row>
    <row r="78" spans="1:6" x14ac:dyDescent="0.3">
      <c r="A78" s="87" t="s">
        <v>947</v>
      </c>
      <c r="B78" s="83" t="str">
        <f>IFERROR(INDEX(tbl_ProduitsRef[Cde_Prdt],MATCH(A78,tbl_ProduitsRef[Produit],0)),"⚠️ Produit non trouvé")</f>
        <v>DES001</v>
      </c>
      <c r="C78" s="88" t="str">
        <f>IFERROR(VLOOKUP(D78,Référentiels!$M$2:$N$267,2,FALSE),"Ingrédient non trouvé")</f>
        <v>GLA001</v>
      </c>
      <c r="D78" s="85" t="s">
        <v>869</v>
      </c>
      <c r="E78" s="85">
        <v>3</v>
      </c>
      <c r="F78" s="86" t="str">
        <f>INDEX(tbl_IngrédientsRef[Unité], MATCH(C78, tbl_IngrédientsRef[Cde_Ingrdt],0))</f>
        <v>Pièce</v>
      </c>
    </row>
    <row r="79" spans="1:6" x14ac:dyDescent="0.3">
      <c r="A79" s="87" t="s">
        <v>947</v>
      </c>
      <c r="B79" s="83" t="str">
        <f>IFERROR(INDEX(tbl_ProduitsRef[Cde_Prdt],MATCH(A79,tbl_ProduitsRef[Produit],0)),"⚠️ Produit non trouvé")</f>
        <v>DES001</v>
      </c>
      <c r="C79" s="88" t="str">
        <f>IFERROR(VLOOKUP(D79,Référentiels!$M$2:$N$267,2,FALSE),"Ingrédient non trouvé")</f>
        <v>FRU018</v>
      </c>
      <c r="D79" s="85" t="s">
        <v>950</v>
      </c>
      <c r="E79" s="85">
        <v>80</v>
      </c>
      <c r="F79" s="86" t="str">
        <f>INDEX(tbl_IngrédientsRef[Unité], MATCH(C79, tbl_IngrédientsRef[Cde_Ingrdt],0))</f>
        <v>g</v>
      </c>
    </row>
    <row r="80" spans="1:6" x14ac:dyDescent="0.3">
      <c r="A80" s="87" t="s">
        <v>947</v>
      </c>
      <c r="B80" s="83" t="str">
        <f>IFERROR(INDEX(tbl_ProduitsRef[Cde_Prdt],MATCH(A80,tbl_ProduitsRef[Produit],0)),"⚠️ Produit non trouvé")</f>
        <v>DES001</v>
      </c>
      <c r="C80" s="88" t="str">
        <f>IFERROR(VLOOKUP(D80,Référentiels!$M$2:$N$267,2,FALSE),"Ingrédient non trouvé")</f>
        <v>CDM001</v>
      </c>
      <c r="D80" s="85" t="s">
        <v>871</v>
      </c>
      <c r="E80" s="85">
        <v>30</v>
      </c>
      <c r="F80" s="86" t="str">
        <f>INDEX(tbl_IngrédientsRef[Unité], MATCH(C80, tbl_IngrédientsRef[Cde_Ingrdt],0))</f>
        <v>g</v>
      </c>
    </row>
    <row r="81" spans="1:6" x14ac:dyDescent="0.3">
      <c r="A81" s="87" t="s">
        <v>951</v>
      </c>
      <c r="B81" s="83" t="str">
        <f>IFERROR(INDEX(tbl_ProduitsRef[Cde_Prdt],MATCH(A81,tbl_ProduitsRef[Produit],0)),"⚠️ Produit non trouvé")</f>
        <v>DES002</v>
      </c>
      <c r="C81" s="88" t="str">
        <f>IFERROR(VLOOKUP(D81,Référentiels!$M$2:$N$267,2,FALSE),"Ingrédient non trouvé")</f>
        <v>GLA001</v>
      </c>
      <c r="D81" s="85" t="s">
        <v>869</v>
      </c>
      <c r="E81" s="85">
        <v>3</v>
      </c>
      <c r="F81" s="86" t="str">
        <f>INDEX(tbl_IngrédientsRef[Unité], MATCH(C81, tbl_IngrédientsRef[Cde_Ingrdt],0))</f>
        <v>Pièce</v>
      </c>
    </row>
    <row r="82" spans="1:6" x14ac:dyDescent="0.3">
      <c r="A82" s="87" t="s">
        <v>951</v>
      </c>
      <c r="B82" s="83" t="str">
        <f>IFERROR(INDEX(tbl_ProduitsRef[Cde_Prdt],MATCH(A82,tbl_ProduitsRef[Produit],0)),"⚠️ Produit non trouvé")</f>
        <v>DES002</v>
      </c>
      <c r="C82" s="88" t="str">
        <f>IFERROR(VLOOKUP(D82,Référentiels!$M$2:$N$267,2,FALSE),"Ingrédient non trouvé")</f>
        <v>CDM015</v>
      </c>
      <c r="D82" s="85" t="s">
        <v>1264</v>
      </c>
      <c r="E82" s="85">
        <v>20</v>
      </c>
      <c r="F82" s="86" t="str">
        <f>INDEX(tbl_IngrédientsRef[Unité], MATCH(C82, tbl_IngrédientsRef[Cde_Ingrdt],0))</f>
        <v>g</v>
      </c>
    </row>
    <row r="83" spans="1:6" x14ac:dyDescent="0.3">
      <c r="A83" s="87" t="s">
        <v>951</v>
      </c>
      <c r="B83" s="83" t="str">
        <f>IFERROR(INDEX(tbl_ProduitsRef[Cde_Prdt],MATCH(A83,tbl_ProduitsRef[Produit],0)),"⚠️ Produit non trouvé")</f>
        <v>DES002</v>
      </c>
      <c r="C83" s="88" t="str">
        <f>IFERROR(VLOOKUP(D83,Référentiels!$M$2:$N$267,2,FALSE),"Ingrédient non trouvé")</f>
        <v>FRU004</v>
      </c>
      <c r="D83" s="85" t="s">
        <v>877</v>
      </c>
      <c r="E83" s="85">
        <v>80</v>
      </c>
      <c r="F83" s="86" t="str">
        <f>INDEX(tbl_IngrédientsRef[Unité], MATCH(C83, tbl_IngrédientsRef[Cde_Ingrdt],0))</f>
        <v>g</v>
      </c>
    </row>
    <row r="84" spans="1:6" x14ac:dyDescent="0.3">
      <c r="A84" s="87" t="s">
        <v>951</v>
      </c>
      <c r="B84" s="83" t="str">
        <f>IFERROR(INDEX(tbl_ProduitsRef[Cde_Prdt],MATCH(A84,tbl_ProduitsRef[Produit],0)),"⚠️ Produit non trouvé")</f>
        <v>DES002</v>
      </c>
      <c r="C84" s="88" t="str">
        <f>IFERROR(VLOOKUP(D84,Référentiels!$M$2:$N$267,2,FALSE),"Ingrédient non trouvé")</f>
        <v>SOS001</v>
      </c>
      <c r="D84" s="85" t="s">
        <v>875</v>
      </c>
      <c r="E84" s="85">
        <v>20</v>
      </c>
      <c r="F84" s="86" t="str">
        <f>INDEX(tbl_IngrédientsRef[Unité], MATCH(C84, tbl_IngrédientsRef[Cde_Ingrdt],0))</f>
        <v>ml</v>
      </c>
    </row>
    <row r="85" spans="1:6" x14ac:dyDescent="0.3">
      <c r="A85" s="87" t="s">
        <v>951</v>
      </c>
      <c r="B85" s="83" t="str">
        <f>IFERROR(INDEX(tbl_ProduitsRef[Cde_Prdt],MATCH(A85,tbl_ProduitsRef[Produit],0)),"⚠️ Produit non trouvé")</f>
        <v>DES002</v>
      </c>
      <c r="C85" s="88" t="str">
        <f>IFERROR(VLOOKUP(D85,Référentiels!$M$2:$N$267,2,FALSE),"Ingrédient non trouvé")</f>
        <v>CDM001</v>
      </c>
      <c r="D85" s="85" t="s">
        <v>871</v>
      </c>
      <c r="E85" s="85">
        <v>30</v>
      </c>
      <c r="F85" s="86" t="str">
        <f>INDEX(tbl_IngrédientsRef[Unité], MATCH(C85, tbl_IngrédientsRef[Cde_Ingrdt],0))</f>
        <v>g</v>
      </c>
    </row>
    <row r="86" spans="1:6" x14ac:dyDescent="0.3">
      <c r="A86" s="91" t="s">
        <v>953</v>
      </c>
      <c r="B86" s="83" t="str">
        <f>IFERROR(INDEX(tbl_ProduitsRef[Cde_Prdt],MATCH(A86,tbl_ProduitsRef[Produit],0)),"⚠️ Produit non trouvé")</f>
        <v>DES003</v>
      </c>
      <c r="C86" s="88" t="str">
        <f>IFERROR(VLOOKUP(D86,Référentiels!$M$2:$N$267,2,FALSE),"Ingrédient non trouvé")</f>
        <v>GLA001</v>
      </c>
      <c r="D86" s="88" t="s">
        <v>869</v>
      </c>
      <c r="E86" s="88">
        <v>3</v>
      </c>
      <c r="F86" s="86" t="str">
        <f>INDEX(tbl_IngrédientsRef[Unité], MATCH(C86, tbl_IngrédientsRef[Cde_Ingrdt],0))</f>
        <v>Pièce</v>
      </c>
    </row>
    <row r="87" spans="1:6" x14ac:dyDescent="0.3">
      <c r="A87" s="91" t="s">
        <v>953</v>
      </c>
      <c r="B87" s="83" t="str">
        <f>IFERROR(INDEX(tbl_ProduitsRef[Cde_Prdt],MATCH(A87,tbl_ProduitsRef[Produit],0)),"⚠️ Produit non trouvé")</f>
        <v>DES003</v>
      </c>
      <c r="C87" s="88" t="str">
        <f>IFERROR(VLOOKUP(D87,Référentiels!$M$2:$N$267,2,FALSE),"Ingrédient non trouvé")</f>
        <v>SOS002</v>
      </c>
      <c r="D87" s="88" t="s">
        <v>891</v>
      </c>
      <c r="E87" s="88">
        <v>30</v>
      </c>
      <c r="F87" s="86" t="str">
        <f>INDEX(tbl_IngrédientsRef[Unité], MATCH(C87, tbl_IngrédientsRef[Cde_Ingrdt],0))</f>
        <v>ml</v>
      </c>
    </row>
    <row r="88" spans="1:6" x14ac:dyDescent="0.3">
      <c r="A88" s="91" t="s">
        <v>953</v>
      </c>
      <c r="B88" s="83" t="str">
        <f>IFERROR(INDEX(tbl_ProduitsRef[Cde_Prdt],MATCH(A88,tbl_ProduitsRef[Produit],0)),"⚠️ Produit non trouvé")</f>
        <v>DES003</v>
      </c>
      <c r="C88" s="88" t="str">
        <f>IFERROR(VLOOKUP(D88,Référentiels!$M$2:$N$267,2,FALSE),"Ingrédient non trouvé")</f>
        <v>CDM001</v>
      </c>
      <c r="D88" s="88" t="s">
        <v>871</v>
      </c>
      <c r="E88" s="88">
        <v>30</v>
      </c>
      <c r="F88" s="86" t="str">
        <f>INDEX(tbl_IngrédientsRef[Unité], MATCH(C88, tbl_IngrédientsRef[Cde_Ingrdt],0))</f>
        <v>g</v>
      </c>
    </row>
    <row r="89" spans="1:6" x14ac:dyDescent="0.3">
      <c r="A89" s="91" t="s">
        <v>955</v>
      </c>
      <c r="B89" s="83" t="str">
        <f>IFERROR(INDEX(tbl_ProduitsRef[Cde_Prdt],MATCH(A89,tbl_ProduitsRef[Produit],0)),"⚠️ Produit non trouvé")</f>
        <v>DES004</v>
      </c>
      <c r="C89" s="88" t="str">
        <f>IFERROR(VLOOKUP(D89,Référentiels!$M$2:$N$267,2,FALSE),"Ingrédient non trouvé")</f>
        <v>GLA001</v>
      </c>
      <c r="D89" s="88" t="s">
        <v>869</v>
      </c>
      <c r="E89" s="88">
        <v>3</v>
      </c>
      <c r="F89" s="86" t="str">
        <f>INDEX(tbl_IngrédientsRef[Unité], MATCH(C89, tbl_IngrédientsRef[Cde_Ingrdt],0))</f>
        <v>Pièce</v>
      </c>
    </row>
    <row r="90" spans="1:6" x14ac:dyDescent="0.3">
      <c r="A90" s="91" t="s">
        <v>955</v>
      </c>
      <c r="B90" s="83" t="str">
        <f>IFERROR(INDEX(tbl_ProduitsRef[Cde_Prdt],MATCH(A90,tbl_ProduitsRef[Produit],0)),"⚠️ Produit non trouvé")</f>
        <v>DES004</v>
      </c>
      <c r="C90" s="88" t="str">
        <f>IFERROR(VLOOKUP(D90,Référentiels!$M$2:$N$267,2,FALSE),"Ingrédient non trouvé")</f>
        <v>FRU004</v>
      </c>
      <c r="D90" s="88" t="s">
        <v>877</v>
      </c>
      <c r="E90" s="88">
        <v>80</v>
      </c>
      <c r="F90" s="86" t="str">
        <f>INDEX(tbl_IngrédientsRef[Unité], MATCH(C90, tbl_IngrédientsRef[Cde_Ingrdt],0))</f>
        <v>g</v>
      </c>
    </row>
    <row r="91" spans="1:6" x14ac:dyDescent="0.3">
      <c r="A91" s="91" t="s">
        <v>955</v>
      </c>
      <c r="B91" s="83" t="str">
        <f>IFERROR(INDEX(tbl_ProduitsRef[Cde_Prdt],MATCH(A91,tbl_ProduitsRef[Produit],0)),"⚠️ Produit non trouvé")</f>
        <v>DES004</v>
      </c>
      <c r="C91" s="88" t="str">
        <f>IFERROR(VLOOKUP(D91,Référentiels!$M$2:$N$267,2,FALSE),"Ingrédient non trouvé")</f>
        <v>SOS002</v>
      </c>
      <c r="D91" s="88" t="s">
        <v>891</v>
      </c>
      <c r="E91" s="88">
        <v>20</v>
      </c>
      <c r="F91" s="86" t="str">
        <f>INDEX(tbl_IngrédientsRef[Unité], MATCH(C91, tbl_IngrédientsRef[Cde_Ingrdt],0))</f>
        <v>ml</v>
      </c>
    </row>
    <row r="92" spans="1:6" x14ac:dyDescent="0.3">
      <c r="A92" s="91" t="s">
        <v>955</v>
      </c>
      <c r="B92" s="83" t="str">
        <f>IFERROR(INDEX(tbl_ProduitsRef[Cde_Prdt],MATCH(A92,tbl_ProduitsRef[Produit],0)),"⚠️ Produit non trouvé")</f>
        <v>DES004</v>
      </c>
      <c r="C92" s="88" t="str">
        <f>IFERROR(VLOOKUP(D92,Référentiels!$M$2:$N$267,2,FALSE),"Ingrédient non trouvé")</f>
        <v>CDM001</v>
      </c>
      <c r="D92" s="88" t="s">
        <v>871</v>
      </c>
      <c r="E92" s="88">
        <v>30</v>
      </c>
      <c r="F92" s="86" t="str">
        <f>INDEX(tbl_IngrédientsRef[Unité], MATCH(C92, tbl_IngrédientsRef[Cde_Ingrdt],0))</f>
        <v>g</v>
      </c>
    </row>
    <row r="93" spans="1:6" x14ac:dyDescent="0.3">
      <c r="A93" s="91" t="s">
        <v>956</v>
      </c>
      <c r="B93" s="83" t="str">
        <f>IFERROR(INDEX(tbl_ProduitsRef[Cde_Prdt],MATCH(A93,tbl_ProduitsRef[Produit],0)),"⚠️ Produit non trouvé")</f>
        <v>DES005</v>
      </c>
      <c r="C93" s="88" t="str">
        <f>IFERROR(VLOOKUP(D93,Référentiels!$M$2:$N$267,2,FALSE),"Ingrédient non trouvé")</f>
        <v>GLA001</v>
      </c>
      <c r="D93" s="88" t="s">
        <v>869</v>
      </c>
      <c r="E93" s="88">
        <v>2</v>
      </c>
      <c r="F93" s="86" t="str">
        <f>INDEX(tbl_IngrédientsRef[Unité], MATCH(C93, tbl_IngrédientsRef[Cde_Ingrdt],0))</f>
        <v>Pièce</v>
      </c>
    </row>
    <row r="94" spans="1:6" x14ac:dyDescent="0.3">
      <c r="A94" s="91" t="s">
        <v>956</v>
      </c>
      <c r="B94" s="83" t="str">
        <f>IFERROR(INDEX(tbl_ProduitsRef[Cde_Prdt],MATCH(A94,tbl_ProduitsRef[Produit],0)),"⚠️ Produit non trouvé")</f>
        <v>DES005</v>
      </c>
      <c r="C94" s="88" t="str">
        <f>IFERROR(VLOOKUP(D94,Référentiels!$M$2:$N$267,2,FALSE),"Ingrédient non trouvé")</f>
        <v>CDM001</v>
      </c>
      <c r="D94" s="88" t="s">
        <v>871</v>
      </c>
      <c r="E94" s="88">
        <v>20</v>
      </c>
      <c r="F94" s="86" t="str">
        <f>INDEX(tbl_IngrédientsRef[Unité], MATCH(C94, tbl_IngrédientsRef[Cde_Ingrdt],0))</f>
        <v>g</v>
      </c>
    </row>
    <row r="95" spans="1:6" x14ac:dyDescent="0.3">
      <c r="A95" s="91" t="s">
        <v>957</v>
      </c>
      <c r="B95" s="83" t="str">
        <f>IFERROR(INDEX(tbl_ProduitsRef[Cde_Prdt],MATCH(A95,tbl_ProduitsRef[Produit],0)),"⚠️ Produit non trouvé")</f>
        <v>DES006</v>
      </c>
      <c r="C95" s="88" t="str">
        <f>IFERROR(VLOOKUP(D95,Référentiels!$M$2:$N$267,2,FALSE),"Ingrédient non trouvé")</f>
        <v>GLA001</v>
      </c>
      <c r="D95" s="88" t="s">
        <v>869</v>
      </c>
      <c r="E95" s="88">
        <v>1</v>
      </c>
      <c r="F95" s="86" t="str">
        <f>INDEX(tbl_IngrédientsRef[Unité], MATCH(C95, tbl_IngrédientsRef[Cde_Ingrdt],0))</f>
        <v>Pièce</v>
      </c>
    </row>
    <row r="96" spans="1:6" x14ac:dyDescent="0.3">
      <c r="A96" s="91" t="s">
        <v>958</v>
      </c>
      <c r="B96" s="83" t="str">
        <f>IFERROR(INDEX(tbl_ProduitsRef[Cde_Prdt],MATCH(A96,tbl_ProduitsRef[Produit],0)),"⚠️ Produit non trouvé")</f>
        <v>DES007</v>
      </c>
      <c r="C96" s="88" t="str">
        <f>IFERROR(VLOOKUP(D96,Référentiels!$M$2:$N$267,2,FALSE),"Ingrédient non trouvé")</f>
        <v>CDM017</v>
      </c>
      <c r="D96" s="88" t="s">
        <v>960</v>
      </c>
      <c r="E96" s="88">
        <v>10</v>
      </c>
      <c r="F96" s="86" t="str">
        <f>INDEX(tbl_IngrédientsRef[Unité], MATCH(C96, tbl_IngrédientsRef[Cde_Ingrdt],0))</f>
        <v>Pièce</v>
      </c>
    </row>
    <row r="97" spans="1:6" x14ac:dyDescent="0.3">
      <c r="A97" s="91" t="s">
        <v>958</v>
      </c>
      <c r="B97" s="83" t="str">
        <f>IFERROR(INDEX(tbl_ProduitsRef[Cde_Prdt],MATCH(A97,tbl_ProduitsRef[Produit],0)),"⚠️ Produit non trouvé")</f>
        <v>DES007</v>
      </c>
      <c r="C97" s="88" t="str">
        <f>IFERROR(VLOOKUP(D97,Référentiels!$M$2:$N$267,2,FALSE),"Ingrédient non trouvé")</f>
        <v>PRL024</v>
      </c>
      <c r="D97" s="88" t="s">
        <v>831</v>
      </c>
      <c r="E97" s="88">
        <v>60</v>
      </c>
      <c r="F97" s="86" t="str">
        <f>INDEX(tbl_IngrédientsRef[Unité], MATCH(C97, tbl_IngrédientsRef[Cde_Ingrdt],0))</f>
        <v>g</v>
      </c>
    </row>
    <row r="98" spans="1:6" x14ac:dyDescent="0.3">
      <c r="A98" s="91" t="s">
        <v>958</v>
      </c>
      <c r="B98" s="83" t="str">
        <f>IFERROR(INDEX(tbl_ProduitsRef[Cde_Prdt],MATCH(A98,tbl_ProduitsRef[Produit],0)),"⚠️ Produit non trouvé")</f>
        <v>DES007</v>
      </c>
      <c r="C98" s="88" t="str">
        <f>IFERROR(VLOOKUP(D98,Référentiels!$M$2:$N$267,2,FALSE),"Ingrédient non trouvé")</f>
        <v>PRL001</v>
      </c>
      <c r="D98" s="88" t="s">
        <v>211</v>
      </c>
      <c r="E98" s="88">
        <v>1</v>
      </c>
      <c r="F98" s="86" t="str">
        <f>INDEX(tbl_IngrédientsRef[Unité], MATCH(C98, tbl_IngrédientsRef[Cde_Ingrdt],0))</f>
        <v>Pièce</v>
      </c>
    </row>
    <row r="99" spans="1:6" x14ac:dyDescent="0.3">
      <c r="A99" s="91" t="s">
        <v>958</v>
      </c>
      <c r="B99" s="83" t="str">
        <f>IFERROR(INDEX(tbl_ProduitsRef[Cde_Prdt],MATCH(A99,tbl_ProduitsRef[Produit],0)),"⚠️ Produit non trouvé")</f>
        <v>DES007</v>
      </c>
      <c r="C99" s="88" t="str">
        <f>IFERROR(VLOOKUP(D99,Référentiels!$M$2:$N$267,2,FALSE),"Ingrédient non trouvé")</f>
        <v>PSU017</v>
      </c>
      <c r="D99" s="88" t="s">
        <v>893</v>
      </c>
      <c r="E99" s="88">
        <v>20</v>
      </c>
      <c r="F99" s="86" t="str">
        <f>INDEX(tbl_IngrédientsRef[Unité], MATCH(C99, tbl_IngrédientsRef[Cde_Ingrdt],0))</f>
        <v>g</v>
      </c>
    </row>
    <row r="100" spans="1:6" x14ac:dyDescent="0.3">
      <c r="A100" s="91" t="s">
        <v>958</v>
      </c>
      <c r="B100" s="83" t="str">
        <f>IFERROR(INDEX(tbl_ProduitsRef[Cde_Prdt],MATCH(A100,tbl_ProduitsRef[Produit],0)),"⚠️ Produit non trouvé")</f>
        <v>DES007</v>
      </c>
      <c r="C100" s="88" t="str">
        <f>IFERROR(VLOOKUP(D100,Référentiels!$M$2:$N$267,2,FALSE),"Ingrédient non trouvé")</f>
        <v>SOS003</v>
      </c>
      <c r="D100" s="88" t="s">
        <v>962</v>
      </c>
      <c r="E100" s="88">
        <v>30</v>
      </c>
      <c r="F100" s="86" t="str">
        <f>INDEX(tbl_IngrédientsRef[Unité], MATCH(C100, tbl_IngrédientsRef[Cde_Ingrdt],0))</f>
        <v>ml</v>
      </c>
    </row>
    <row r="101" spans="1:6" x14ac:dyDescent="0.3">
      <c r="A101" s="91" t="s">
        <v>963</v>
      </c>
      <c r="B101" s="83" t="str">
        <f>IFERROR(INDEX(tbl_ProduitsRef[Cde_Prdt],MATCH(A101,tbl_ProduitsRef[Produit],0)),"⚠️ Produit non trouvé")</f>
        <v>DES008</v>
      </c>
      <c r="C101" s="88" t="str">
        <f>IFERROR(VLOOKUP(D101,Référentiels!$M$2:$N$267,2,FALSE),"Ingrédient non trouvé")</f>
        <v>DES002</v>
      </c>
      <c r="D101" s="88" t="s">
        <v>964</v>
      </c>
      <c r="E101" s="88">
        <v>1</v>
      </c>
      <c r="F101" s="86" t="str">
        <f>INDEX(tbl_IngrédientsRef[Unité], MATCH(C101, tbl_IngrédientsRef[Cde_Ingrdt],0))</f>
        <v>Pièce</v>
      </c>
    </row>
    <row r="102" spans="1:6" x14ac:dyDescent="0.3">
      <c r="A102" s="91" t="s">
        <v>963</v>
      </c>
      <c r="B102" s="83" t="str">
        <f>IFERROR(INDEX(tbl_ProduitsRef[Cde_Prdt],MATCH(A102,tbl_ProduitsRef[Produit],0)),"⚠️ Produit non trouvé")</f>
        <v>DES008</v>
      </c>
      <c r="C102" s="88" t="str">
        <f>IFERROR(VLOOKUP(D102,Référentiels!$M$2:$N$267,2,FALSE),"Ingrédient non trouvé")</f>
        <v>GLA001</v>
      </c>
      <c r="D102" s="88" t="s">
        <v>869</v>
      </c>
      <c r="E102" s="88">
        <v>1</v>
      </c>
      <c r="F102" s="86" t="str">
        <f>INDEX(tbl_IngrédientsRef[Unité], MATCH(C102, tbl_IngrédientsRef[Cde_Ingrdt],0))</f>
        <v>Pièce</v>
      </c>
    </row>
    <row r="103" spans="1:6" x14ac:dyDescent="0.3">
      <c r="A103" s="91" t="s">
        <v>965</v>
      </c>
      <c r="B103" s="83" t="str">
        <f>IFERROR(INDEX(tbl_ProduitsRef[Cde_Prdt],MATCH(A103,tbl_ProduitsRef[Produit],0)),"⚠️ Produit non trouvé")</f>
        <v>DES009</v>
      </c>
      <c r="C103" s="88" t="str">
        <f>IFERROR(VLOOKUP(D103,Référentiels!$M$2:$N$267,2,FALSE),"Ingrédient non trouvé")</f>
        <v>DES003</v>
      </c>
      <c r="D103" s="88" t="s">
        <v>966</v>
      </c>
      <c r="E103" s="88">
        <v>120</v>
      </c>
      <c r="F103" s="86" t="str">
        <f>INDEX(tbl_IngrédientsRef[Unité], MATCH(C103, tbl_IngrédientsRef[Cde_Ingrdt],0))</f>
        <v>ml</v>
      </c>
    </row>
    <row r="104" spans="1:6" x14ac:dyDescent="0.3">
      <c r="A104" s="91" t="s">
        <v>965</v>
      </c>
      <c r="B104" s="83" t="str">
        <f>IFERROR(INDEX(tbl_ProduitsRef[Cde_Prdt],MATCH(A104,tbl_ProduitsRef[Produit],0)),"⚠️ Produit non trouvé")</f>
        <v>DES009</v>
      </c>
      <c r="C104" s="88" t="str">
        <f>IFERROR(VLOOKUP(D104,Référentiels!$M$2:$N$267,2,FALSE),"Ingrédient non trouvé")</f>
        <v>PRL002</v>
      </c>
      <c r="D104" s="88" t="s">
        <v>968</v>
      </c>
      <c r="E104" s="88">
        <v>2</v>
      </c>
      <c r="F104" s="86" t="str">
        <f>INDEX(tbl_IngrédientsRef[Unité], MATCH(C104, tbl_IngrédientsRef[Cde_Ingrdt],0))</f>
        <v>Pièce</v>
      </c>
    </row>
    <row r="105" spans="1:6" x14ac:dyDescent="0.3">
      <c r="A105" s="91" t="s">
        <v>965</v>
      </c>
      <c r="B105" s="83" t="str">
        <f>IFERROR(INDEX(tbl_ProduitsRef[Cde_Prdt],MATCH(A105,tbl_ProduitsRef[Produit],0)),"⚠️ Produit non trouvé")</f>
        <v>DES009</v>
      </c>
      <c r="C105" s="88" t="str">
        <f>IFERROR(VLOOKUP(D105,Référentiels!$M$2:$N$267,2,FALSE),"Ingrédient non trouvé")</f>
        <v>PSU017</v>
      </c>
      <c r="D105" s="88" t="s">
        <v>893</v>
      </c>
      <c r="E105" s="88">
        <v>30</v>
      </c>
      <c r="F105" s="86" t="str">
        <f>INDEX(tbl_IngrédientsRef[Unité], MATCH(C105, tbl_IngrédientsRef[Cde_Ingrdt],0))</f>
        <v>g</v>
      </c>
    </row>
    <row r="106" spans="1:6" x14ac:dyDescent="0.3">
      <c r="A106" s="91" t="s">
        <v>965</v>
      </c>
      <c r="B106" s="83" t="str">
        <f>IFERROR(INDEX(tbl_ProduitsRef[Cde_Prdt],MATCH(A106,tbl_ProduitsRef[Produit],0)),"⚠️ Produit non trouvé")</f>
        <v>DES009</v>
      </c>
      <c r="C106" s="88" t="str">
        <f>IFERROR(VLOOKUP(D106,Référentiels!$M$2:$N$267,2,FALSE),"Ingrédient non trouvé")</f>
        <v>LEG025</v>
      </c>
      <c r="D106" s="88" t="s">
        <v>498</v>
      </c>
      <c r="E106" s="88">
        <v>5</v>
      </c>
      <c r="F106" s="86" t="str">
        <f>INDEX(tbl_IngrédientsRef[Unité], MATCH(C106, tbl_IngrédientsRef[Cde_Ingrdt],0))</f>
        <v>g</v>
      </c>
    </row>
    <row r="107" spans="1:6" x14ac:dyDescent="0.3">
      <c r="A107" s="91" t="s">
        <v>965</v>
      </c>
      <c r="B107" s="83" t="str">
        <f>IFERROR(INDEX(tbl_ProduitsRef[Cde_Prdt],MATCH(A107,tbl_ProduitsRef[Produit],0)),"⚠️ Produit non trouvé")</f>
        <v>DES009</v>
      </c>
      <c r="C107" s="88" t="str">
        <f>IFERROR(VLOOKUP(D107,Référentiels!$M$2:$N$267,2,FALSE),"Ingrédient non trouvé")</f>
        <v>EPI003</v>
      </c>
      <c r="D107" s="88" t="s">
        <v>610</v>
      </c>
      <c r="E107" s="88">
        <v>1</v>
      </c>
      <c r="F107" s="86" t="str">
        <f>INDEX(tbl_IngrédientsRef[Unité], MATCH(C107, tbl_IngrédientsRef[Cde_Ingrdt],0))</f>
        <v>g</v>
      </c>
    </row>
    <row r="108" spans="1:6" x14ac:dyDescent="0.3">
      <c r="A108" s="96" t="s">
        <v>969</v>
      </c>
      <c r="B108" s="92" t="str">
        <f>IFERROR(INDEX(tbl_ProduitsRef[Cde_Prdt],MATCH(A108,tbl_ProduitsRef[Produit],0)),"⚠️ Produit non trouvé")</f>
        <v>DES010</v>
      </c>
      <c r="C108" s="94" t="str">
        <f>IFERROR(VLOOKUP(D108,Référentiels!$M$2:$N$267,2,FALSE),"Ingrédient non trouvé")</f>
        <v>FRU016</v>
      </c>
      <c r="D108" s="94" t="s">
        <v>972</v>
      </c>
      <c r="E108" s="94">
        <v>1</v>
      </c>
      <c r="F108" s="95" t="str">
        <f>INDEX(tbl_IngrédientsRef[Unité], MATCH(C108, tbl_IngrédientsRef[Cde_Ingrdt],0))</f>
        <v>Pièce</v>
      </c>
    </row>
  </sheetData>
  <conditionalFormatting sqref="F1:F108">
    <cfRule type="containsText" dxfId="1" priority="1" operator="containsText" text="pièce">
      <formula>NOT(ISERROR(SEARCH("pièce",F1)))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8E18DF-E9DE-43A0-A88B-A40E6197BDEF}">
          <x14:formula1>
            <xm:f>Référentiels!$M$2:$M$267</xm:f>
          </x14:formula1>
          <xm:sqref>D2:D108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0">
    <tabColor theme="9" tint="-0.249977111117893"/>
  </sheetPr>
  <dimension ref="A1:F185"/>
  <sheetViews>
    <sheetView topLeftCell="A91" zoomScaleNormal="100" workbookViewId="0">
      <selection activeCell="E96" sqref="E96"/>
    </sheetView>
  </sheetViews>
  <sheetFormatPr baseColWidth="10" defaultColWidth="20.42578125" defaultRowHeight="17.25" x14ac:dyDescent="0.3"/>
  <cols>
    <col min="1" max="1" width="37.7109375" style="114" bestFit="1" customWidth="1"/>
    <col min="2" max="2" width="15.85546875" style="114" bestFit="1" customWidth="1"/>
    <col min="3" max="3" width="18.140625" style="114" bestFit="1" customWidth="1"/>
    <col min="4" max="4" width="24.140625" style="114" bestFit="1" customWidth="1"/>
    <col min="5" max="5" width="15.28515625" style="114" bestFit="1" customWidth="1"/>
    <col min="6" max="6" width="11.28515625" style="114" bestFit="1" customWidth="1"/>
    <col min="7" max="7" width="20.42578125" style="114" customWidth="1"/>
    <col min="8" max="16384" width="20.42578125" style="114"/>
  </cols>
  <sheetData>
    <row r="1" spans="1:6" x14ac:dyDescent="0.3">
      <c r="A1" s="127" t="s">
        <v>41</v>
      </c>
      <c r="B1" s="128" t="s">
        <v>42</v>
      </c>
      <c r="C1" s="128" t="s">
        <v>199</v>
      </c>
      <c r="D1" s="128" t="s">
        <v>200</v>
      </c>
      <c r="E1" s="128" t="s">
        <v>201</v>
      </c>
      <c r="F1" s="129" t="s">
        <v>202</v>
      </c>
    </row>
    <row r="2" spans="1:6" x14ac:dyDescent="0.3">
      <c r="A2" s="115" t="s">
        <v>973</v>
      </c>
      <c r="B2" s="116" t="str">
        <f>IFERROR(INDEX(tbl_ProduitsRef[Cde_Prdt],MATCH(A2,tbl_ProduitsRef[Produit],0)),"⚠️ Produit non trouvé")</f>
        <v>JUS011</v>
      </c>
      <c r="C2" s="120" t="str">
        <f>IFERROR(VLOOKUP(D2,Référentiels!$M$2:$N$267,2,FALSE),"Ingrédient non trouvé")</f>
        <v>FRU013</v>
      </c>
      <c r="D2" s="117" t="s">
        <v>976</v>
      </c>
      <c r="E2" s="117">
        <v>30</v>
      </c>
      <c r="F2" s="118" t="str">
        <f>INDEX(tbl_IngrédientsRef[Unité], MATCH(C2, tbl_IngrédientsRef[Cde_Ingrdt],0))</f>
        <v>g</v>
      </c>
    </row>
    <row r="3" spans="1:6" x14ac:dyDescent="0.3">
      <c r="A3" s="115" t="s">
        <v>973</v>
      </c>
      <c r="B3" s="116" t="str">
        <f>IFERROR(INDEX(tbl_ProduitsRef[Cde_Prdt],MATCH(A3,tbl_ProduitsRef[Produit],0)),"⚠️ Produit non trouvé")</f>
        <v>JUS011</v>
      </c>
      <c r="C3" s="120" t="str">
        <f>IFERROR(VLOOKUP(D3,Référentiels!$M$2:$N$267,2,FALSE),"Ingrédient non trouvé")</f>
        <v>FRU004</v>
      </c>
      <c r="D3" s="117" t="s">
        <v>877</v>
      </c>
      <c r="E3" s="117">
        <v>80</v>
      </c>
      <c r="F3" s="118" t="str">
        <f>INDEX(tbl_IngrédientsRef[Unité], MATCH(C3, tbl_IngrédientsRef[Cde_Ingrdt],0))</f>
        <v>g</v>
      </c>
    </row>
    <row r="4" spans="1:6" x14ac:dyDescent="0.3">
      <c r="A4" s="115" t="s">
        <v>973</v>
      </c>
      <c r="B4" s="116" t="str">
        <f>IFERROR(INDEX(tbl_ProduitsRef[Cde_Prdt],MATCH(A4,tbl_ProduitsRef[Produit],0)),"⚠️ Produit non trouvé")</f>
        <v>JUS011</v>
      </c>
      <c r="C4" s="120" t="str">
        <f>IFERROR(VLOOKUP(D4,Référentiels!$M$2:$N$267,2,FALSE),"Ingrédient non trouvé")</f>
        <v>FRU010</v>
      </c>
      <c r="D4" s="117" t="s">
        <v>978</v>
      </c>
      <c r="E4" s="117">
        <v>100</v>
      </c>
      <c r="F4" s="118" t="str">
        <f>INDEX(tbl_IngrédientsRef[Unité], MATCH(C4, tbl_IngrédientsRef[Cde_Ingrdt],0))</f>
        <v>g</v>
      </c>
    </row>
    <row r="5" spans="1:6" x14ac:dyDescent="0.3">
      <c r="A5" s="115" t="s">
        <v>973</v>
      </c>
      <c r="B5" s="116" t="str">
        <f>IFERROR(INDEX(tbl_ProduitsRef[Cde_Prdt],MATCH(A5,tbl_ProduitsRef[Produit],0)),"⚠️ Produit non trouvé")</f>
        <v>JUS011</v>
      </c>
      <c r="C5" s="120" t="str">
        <f>IFERROR(VLOOKUP(D5,Référentiels!$M$2:$N$267,2,FALSE),"Ingrédient non trouvé")</f>
        <v>FRU007</v>
      </c>
      <c r="D5" s="117" t="s">
        <v>980</v>
      </c>
      <c r="E5" s="117">
        <v>80</v>
      </c>
      <c r="F5" s="118" t="str">
        <f>INDEX(tbl_IngrédientsRef[Unité], MATCH(C5, tbl_IngrédientsRef[Cde_Ingrdt],0))</f>
        <v>g</v>
      </c>
    </row>
    <row r="6" spans="1:6" x14ac:dyDescent="0.3">
      <c r="A6" s="115" t="s">
        <v>981</v>
      </c>
      <c r="B6" s="116" t="str">
        <f>IFERROR(INDEX(tbl_ProduitsRef[Cde_Prdt],MATCH(A6,tbl_ProduitsRef[Produit],0)),"⚠️ Produit non trouvé")</f>
        <v>JUS008</v>
      </c>
      <c r="C6" s="120" t="str">
        <f>IFERROR(VLOOKUP(D6,Référentiels!$M$2:$N$267,2,FALSE),"Ingrédient non trouvé")</f>
        <v>FRU008</v>
      </c>
      <c r="D6" s="117" t="s">
        <v>984</v>
      </c>
      <c r="E6" s="117">
        <v>80</v>
      </c>
      <c r="F6" s="118" t="str">
        <f>INDEX(tbl_IngrédientsRef[Unité], MATCH(C6, tbl_IngrédientsRef[Cde_Ingrdt],0))</f>
        <v>g</v>
      </c>
    </row>
    <row r="7" spans="1:6" x14ac:dyDescent="0.3">
      <c r="A7" s="115" t="s">
        <v>985</v>
      </c>
      <c r="B7" s="116" t="str">
        <f>IFERROR(INDEX(tbl_ProduitsRef[Cde_Prdt],MATCH(A7,tbl_ProduitsRef[Produit],0)),"⚠️ Produit non trouvé")</f>
        <v>JUS004</v>
      </c>
      <c r="C7" s="120" t="str">
        <f>IFERROR(VLOOKUP(D7,Référentiels!$M$2:$N$267,2,FALSE),"Ingrédient non trouvé")</f>
        <v>FRU006</v>
      </c>
      <c r="D7" s="117" t="s">
        <v>356</v>
      </c>
      <c r="E7" s="117">
        <v>150</v>
      </c>
      <c r="F7" s="118" t="str">
        <f>INDEX(tbl_IngrédientsRef[Unité], MATCH(C7, tbl_IngrédientsRef[Cde_Ingrdt],0))</f>
        <v>g</v>
      </c>
    </row>
    <row r="8" spans="1:6" x14ac:dyDescent="0.3">
      <c r="A8" s="115" t="s">
        <v>987</v>
      </c>
      <c r="B8" s="116" t="str">
        <f>IFERROR(INDEX(tbl_ProduitsRef[Cde_Prdt],MATCH(A8,tbl_ProduitsRef[Produit],0)),"⚠️ Produit non trouvé")</f>
        <v>JUS010</v>
      </c>
      <c r="C8" s="120" t="str">
        <f>IFERROR(VLOOKUP(D8,Référentiels!$M$2:$N$267,2,FALSE),"Ingrédient non trouvé")</f>
        <v>FRU012</v>
      </c>
      <c r="D8" s="117" t="s">
        <v>358</v>
      </c>
      <c r="E8" s="117">
        <v>150</v>
      </c>
      <c r="F8" s="118" t="str">
        <f>INDEX(tbl_IngrédientsRef[Unité], MATCH(C8, tbl_IngrédientsRef[Cde_Ingrdt],0))</f>
        <v>g</v>
      </c>
    </row>
    <row r="9" spans="1:6" x14ac:dyDescent="0.3">
      <c r="A9" s="115" t="s">
        <v>989</v>
      </c>
      <c r="B9" s="116" t="str">
        <f>IFERROR(INDEX(tbl_ProduitsRef[Cde_Prdt],MATCH(A9,tbl_ProduitsRef[Produit],0)),"⚠️ Produit non trouvé")</f>
        <v>JUS009</v>
      </c>
      <c r="C9" s="120" t="str">
        <f>IFERROR(VLOOKUP(D9,Référentiels!$M$2:$N$267,2,FALSE),"Ingrédient non trouvé")</f>
        <v>FRU001</v>
      </c>
      <c r="D9" s="117" t="s">
        <v>256</v>
      </c>
      <c r="E9" s="117">
        <v>100</v>
      </c>
      <c r="F9" s="118" t="str">
        <f>INDEX(tbl_IngrédientsRef[Unité], MATCH(C9, tbl_IngrédientsRef[Cde_Ingrdt],0))</f>
        <v>g</v>
      </c>
    </row>
    <row r="10" spans="1:6" x14ac:dyDescent="0.3">
      <c r="A10" s="115" t="s">
        <v>989</v>
      </c>
      <c r="B10" s="116" t="str">
        <f>IFERROR(INDEX(tbl_ProduitsRef[Cde_Prdt],MATCH(A10,tbl_ProduitsRef[Produit],0)),"⚠️ Produit non trouvé")</f>
        <v>JUS009</v>
      </c>
      <c r="C10" s="120" t="str">
        <f>IFERROR(VLOOKUP(D10,Référentiels!$M$2:$N$267,2,FALSE),"Ingrédient non trouvé")</f>
        <v>PRL010</v>
      </c>
      <c r="D10" s="117" t="s">
        <v>992</v>
      </c>
      <c r="E10" s="117">
        <v>200</v>
      </c>
      <c r="F10" s="118" t="str">
        <f>INDEX(tbl_IngrédientsRef[Unité], MATCH(C10, tbl_IngrédientsRef[Cde_Ingrdt],0))</f>
        <v>ml</v>
      </c>
    </row>
    <row r="11" spans="1:6" x14ac:dyDescent="0.3">
      <c r="A11" s="115" t="s">
        <v>993</v>
      </c>
      <c r="B11" s="116" t="str">
        <f>IFERROR(INDEX(tbl_ProduitsRef[Cde_Prdt],MATCH(A11,tbl_ProduitsRef[Produit],0)),"⚠️ Produit non trouvé")</f>
        <v>JUS003</v>
      </c>
      <c r="C11" s="120" t="str">
        <f>IFERROR(VLOOKUP(D11,Référentiels!$M$2:$N$267,2,FALSE),"Ingrédient non trouvé")</f>
        <v>FRU007</v>
      </c>
      <c r="D11" s="117" t="s">
        <v>980</v>
      </c>
      <c r="E11" s="117">
        <v>150</v>
      </c>
      <c r="F11" s="118" t="str">
        <f>INDEX(tbl_IngrédientsRef[Unité], MATCH(C11, tbl_IngrédientsRef[Cde_Ingrdt],0))</f>
        <v>g</v>
      </c>
    </row>
    <row r="12" spans="1:6" x14ac:dyDescent="0.3">
      <c r="A12" s="115" t="s">
        <v>995</v>
      </c>
      <c r="B12" s="116" t="str">
        <f>IFERROR(INDEX(tbl_ProduitsRef[Cde_Prdt],MATCH(A12,tbl_ProduitsRef[Produit],0)),"⚠️ Produit non trouvé")</f>
        <v>JUS005</v>
      </c>
      <c r="C12" s="120" t="str">
        <f>IFERROR(VLOOKUP(D12,Référentiels!$M$2:$N$267,2,FALSE),"Ingrédient non trouvé")</f>
        <v>FRU011</v>
      </c>
      <c r="D12" s="117" t="s">
        <v>998</v>
      </c>
      <c r="E12" s="117">
        <v>200</v>
      </c>
      <c r="F12" s="118" t="str">
        <f>INDEX(tbl_IngrédientsRef[Unité], MATCH(C12, tbl_IngrédientsRef[Cde_Ingrdt],0))</f>
        <v>g</v>
      </c>
    </row>
    <row r="13" spans="1:6" x14ac:dyDescent="0.3">
      <c r="A13" s="115" t="s">
        <v>999</v>
      </c>
      <c r="B13" s="116" t="str">
        <f>IFERROR(INDEX(tbl_ProduitsRef[Cde_Prdt],MATCH(A13,tbl_ProduitsRef[Produit],0)),"⚠️ Produit non trouvé")</f>
        <v>JUS007</v>
      </c>
      <c r="C13" s="120" t="str">
        <f>IFERROR(VLOOKUP(D13,Référentiels!$M$2:$N$267,2,FALSE),"Ingrédient non trouvé")</f>
        <v>FRU009</v>
      </c>
      <c r="D13" s="117" t="s">
        <v>1002</v>
      </c>
      <c r="E13" s="117">
        <v>1</v>
      </c>
      <c r="F13" s="118" t="str">
        <f>INDEX(tbl_IngrédientsRef[Unité], MATCH(C13, tbl_IngrédientsRef[Cde_Ingrdt],0))</f>
        <v>g</v>
      </c>
    </row>
    <row r="14" spans="1:6" x14ac:dyDescent="0.3">
      <c r="A14" s="115" t="s">
        <v>1003</v>
      </c>
      <c r="B14" s="116" t="str">
        <f>IFERROR(INDEX(tbl_ProduitsRef[Cde_Prdt],MATCH(A14,tbl_ProduitsRef[Produit],0)),"⚠️ Produit non trouvé")</f>
        <v>JUS006</v>
      </c>
      <c r="C14" s="120" t="str">
        <f>IFERROR(VLOOKUP(D14,Référentiels!$M$2:$N$267,2,FALSE),"Ingrédient non trouvé")</f>
        <v>FRU010</v>
      </c>
      <c r="D14" s="117" t="s">
        <v>978</v>
      </c>
      <c r="E14" s="117">
        <v>200</v>
      </c>
      <c r="F14" s="118" t="str">
        <f>INDEX(tbl_IngrédientsRef[Unité], MATCH(C14, tbl_IngrédientsRef[Cde_Ingrdt],0))</f>
        <v>g</v>
      </c>
    </row>
    <row r="15" spans="1:6" x14ac:dyDescent="0.3">
      <c r="A15" s="115" t="s">
        <v>1005</v>
      </c>
      <c r="B15" s="116" t="str">
        <f>IFERROR(INDEX(tbl_ProduitsRef[Cde_Prdt],MATCH(A15,tbl_ProduitsRef[Produit],0)),"⚠️ Produit non trouvé")</f>
        <v>JUS002</v>
      </c>
      <c r="C15" s="120" t="str">
        <f>IFERROR(VLOOKUP(D15,Référentiels!$M$2:$N$267,2,FALSE),"Ingrédient non trouvé")</f>
        <v>FRU004</v>
      </c>
      <c r="D15" s="117" t="s">
        <v>877</v>
      </c>
      <c r="E15" s="117">
        <v>80</v>
      </c>
      <c r="F15" s="118" t="str">
        <f>INDEX(tbl_IngrédientsRef[Unité], MATCH(C15, tbl_IngrédientsRef[Cde_Ingrdt],0))</f>
        <v>g</v>
      </c>
    </row>
    <row r="16" spans="1:6" x14ac:dyDescent="0.3">
      <c r="A16" s="115" t="s">
        <v>49</v>
      </c>
      <c r="B16" s="116" t="str">
        <f>IFERROR(INDEX(tbl_ProduitsRef[Cde_Prdt],MATCH(A16,tbl_ProduitsRef[Produit],0)),"⚠️ Produit non trouvé")</f>
        <v>JUS001</v>
      </c>
      <c r="C16" s="120" t="str">
        <f>IFERROR(VLOOKUP(D16,Référentiels!$M$2:$N$267,2,FALSE),"Ingrédient non trouvé")</f>
        <v>FRU013</v>
      </c>
      <c r="D16" s="117" t="s">
        <v>976</v>
      </c>
      <c r="E16" s="117">
        <v>400</v>
      </c>
      <c r="F16" s="118" t="str">
        <f>INDEX(tbl_IngrédientsRef[Unité], MATCH(C16, tbl_IngrédientsRef[Cde_Ingrdt],0))</f>
        <v>g</v>
      </c>
    </row>
    <row r="17" spans="1:6" x14ac:dyDescent="0.3">
      <c r="A17" s="115" t="s">
        <v>1008</v>
      </c>
      <c r="B17" s="116" t="str">
        <f>IFERROR(INDEX(tbl_ProduitsRef[Cde_Prdt],MATCH(A17,tbl_ProduitsRef[Produit],0)),"⚠️ Produit non trouvé")</f>
        <v>MKS001</v>
      </c>
      <c r="C17" s="120" t="str">
        <f>IFERROR(VLOOKUP(D17,Référentiels!$M$2:$N$267,2,FALSE),"Ingrédient non trouvé")</f>
        <v>PRL010</v>
      </c>
      <c r="D17" s="117" t="s">
        <v>992</v>
      </c>
      <c r="E17" s="117">
        <v>200</v>
      </c>
      <c r="F17" s="118" t="str">
        <f>INDEX(tbl_IngrédientsRef[Unité], MATCH(C17, tbl_IngrédientsRef[Cde_Ingrdt],0))</f>
        <v>ml</v>
      </c>
    </row>
    <row r="18" spans="1:6" x14ac:dyDescent="0.3">
      <c r="A18" s="115" t="s">
        <v>1008</v>
      </c>
      <c r="B18" s="116" t="str">
        <f>IFERROR(INDEX(tbl_ProduitsRef[Cde_Prdt],MATCH(A18,tbl_ProduitsRef[Produit],0)),"⚠️ Produit non trouvé")</f>
        <v>MKS001</v>
      </c>
      <c r="C18" s="120" t="str">
        <f>IFERROR(VLOOKUP(D18,Référentiels!$M$2:$N$267,2,FALSE),"Ingrédient non trouvé")</f>
        <v>GLA001</v>
      </c>
      <c r="D18" s="117" t="s">
        <v>869</v>
      </c>
      <c r="E18" s="117">
        <v>1</v>
      </c>
      <c r="F18" s="118" t="str">
        <f>INDEX(tbl_IngrédientsRef[Unité], MATCH(C18, tbl_IngrédientsRef[Cde_Ingrdt],0))</f>
        <v>Pièce</v>
      </c>
    </row>
    <row r="19" spans="1:6" x14ac:dyDescent="0.3">
      <c r="A19" s="115" t="s">
        <v>1008</v>
      </c>
      <c r="B19" s="116" t="str">
        <f>IFERROR(INDEX(tbl_ProduitsRef[Cde_Prdt],MATCH(A19,tbl_ProduitsRef[Produit],0)),"⚠️ Produit non trouvé")</f>
        <v>MKS001</v>
      </c>
      <c r="C19" s="120" t="str">
        <f>IFERROR(VLOOKUP(D19,Référentiels!$M$2:$N$267,2,FALSE),"Ingrédient non trouvé")</f>
        <v>PSU005</v>
      </c>
      <c r="D19" s="117" t="s">
        <v>934</v>
      </c>
      <c r="E19" s="117">
        <v>1</v>
      </c>
      <c r="F19" s="118" t="str">
        <f>INDEX(tbl_IngrédientsRef[Unité], MATCH(C19, tbl_IngrédientsRef[Cde_Ingrdt],0))</f>
        <v>Pièce</v>
      </c>
    </row>
    <row r="20" spans="1:6" x14ac:dyDescent="0.3">
      <c r="A20" s="115" t="s">
        <v>51</v>
      </c>
      <c r="B20" s="116" t="str">
        <f>IFERROR(INDEX(tbl_ProduitsRef[Cde_Prdt],MATCH(A20,tbl_ProduitsRef[Produit],0)),"⚠️ Produit non trouvé")</f>
        <v>MKS002</v>
      </c>
      <c r="C20" s="120" t="str">
        <f>IFERROR(VLOOKUP(D20,Référentiels!$M$2:$N$267,2,FALSE),"Ingrédient non trouvé")</f>
        <v>PRL010</v>
      </c>
      <c r="D20" s="117" t="s">
        <v>992</v>
      </c>
      <c r="E20" s="117">
        <v>200</v>
      </c>
      <c r="F20" s="118" t="str">
        <f>INDEX(tbl_IngrédientsRef[Unité], MATCH(C20, tbl_IngrédientsRef[Cde_Ingrdt],0))</f>
        <v>ml</v>
      </c>
    </row>
    <row r="21" spans="1:6" x14ac:dyDescent="0.3">
      <c r="A21" s="115" t="s">
        <v>51</v>
      </c>
      <c r="B21" s="116" t="str">
        <f>IFERROR(INDEX(tbl_ProduitsRef[Cde_Prdt],MATCH(A21,tbl_ProduitsRef[Produit],0)),"⚠️ Produit non trouvé")</f>
        <v>MKS002</v>
      </c>
      <c r="C21" s="120" t="str">
        <f>IFERROR(VLOOKUP(D21,Référentiels!$M$2:$N$267,2,FALSE),"Ingrédient non trouvé")</f>
        <v>GLA001</v>
      </c>
      <c r="D21" s="117" t="s">
        <v>869</v>
      </c>
      <c r="E21" s="117">
        <v>1</v>
      </c>
      <c r="F21" s="118" t="str">
        <f>INDEX(tbl_IngrédientsRef[Unité], MATCH(C21, tbl_IngrédientsRef[Cde_Ingrdt],0))</f>
        <v>Pièce</v>
      </c>
    </row>
    <row r="22" spans="1:6" x14ac:dyDescent="0.3">
      <c r="A22" s="115" t="s">
        <v>51</v>
      </c>
      <c r="B22" s="116" t="str">
        <f>IFERROR(INDEX(tbl_ProduitsRef[Cde_Prdt],MATCH(A22,tbl_ProduitsRef[Produit],0)),"⚠️ Produit non trouvé")</f>
        <v>MKS002</v>
      </c>
      <c r="C22" s="120" t="str">
        <f>IFERROR(VLOOKUP(D22,Référentiels!$M$2:$N$267,2,FALSE),"Ingrédient non trouvé")</f>
        <v>PSU007</v>
      </c>
      <c r="D22" s="117" t="s">
        <v>1012</v>
      </c>
      <c r="E22" s="117">
        <v>1</v>
      </c>
      <c r="F22" s="118" t="str">
        <f>INDEX(tbl_IngrédientsRef[Unité], MATCH(C22, tbl_IngrédientsRef[Cde_Ingrdt],0))</f>
        <v>Pièce</v>
      </c>
    </row>
    <row r="23" spans="1:6" x14ac:dyDescent="0.3">
      <c r="A23" s="115" t="s">
        <v>51</v>
      </c>
      <c r="B23" s="116" t="str">
        <f>IFERROR(INDEX(tbl_ProduitsRef[Cde_Prdt],MATCH(A23,tbl_ProduitsRef[Produit],0)),"⚠️ Produit non trouvé")</f>
        <v>MKS002</v>
      </c>
      <c r="C23" s="120" t="str">
        <f>IFERROR(VLOOKUP(D23,Référentiels!$M$2:$N$267,2,FALSE),"Ingrédient non trouvé")</f>
        <v>SOS001</v>
      </c>
      <c r="D23" s="117" t="s">
        <v>875</v>
      </c>
      <c r="E23" s="117">
        <v>10</v>
      </c>
      <c r="F23" s="118" t="str">
        <f>INDEX(tbl_IngrédientsRef[Unité], MATCH(C23, tbl_IngrédientsRef[Cde_Ingrdt],0))</f>
        <v>ml</v>
      </c>
    </row>
    <row r="24" spans="1:6" x14ac:dyDescent="0.3">
      <c r="A24" s="115" t="s">
        <v>1013</v>
      </c>
      <c r="B24" s="116" t="str">
        <f>IFERROR(INDEX(tbl_ProduitsRef[Cde_Prdt],MATCH(A24,tbl_ProduitsRef[Produit],0)),"⚠️ Produit non trouvé")</f>
        <v>MKS003</v>
      </c>
      <c r="C24" s="120" t="str">
        <f>IFERROR(VLOOKUP(D24,Référentiels!$M$2:$N$267,2,FALSE),"Ingrédient non trouvé")</f>
        <v>PRL010</v>
      </c>
      <c r="D24" s="117" t="s">
        <v>992</v>
      </c>
      <c r="E24" s="117">
        <v>200</v>
      </c>
      <c r="F24" s="118" t="str">
        <f>INDEX(tbl_IngrédientsRef[Unité], MATCH(C24, tbl_IngrédientsRef[Cde_Ingrdt],0))</f>
        <v>ml</v>
      </c>
    </row>
    <row r="25" spans="1:6" x14ac:dyDescent="0.3">
      <c r="A25" s="115" t="s">
        <v>1013</v>
      </c>
      <c r="B25" s="116" t="str">
        <f>IFERROR(INDEX(tbl_ProduitsRef[Cde_Prdt],MATCH(A25,tbl_ProduitsRef[Produit],0)),"⚠️ Produit non trouvé")</f>
        <v>MKS003</v>
      </c>
      <c r="C25" s="120" t="str">
        <f>IFERROR(VLOOKUP(D25,Référentiels!$M$2:$N$267,2,FALSE),"Ingrédient non trouvé")</f>
        <v>GLA001</v>
      </c>
      <c r="D25" s="117" t="s">
        <v>869</v>
      </c>
      <c r="E25" s="117">
        <v>1</v>
      </c>
      <c r="F25" s="118" t="str">
        <f>INDEX(tbl_IngrédientsRef[Unité], MATCH(C25, tbl_IngrédientsRef[Cde_Ingrdt],0))</f>
        <v>Pièce</v>
      </c>
    </row>
    <row r="26" spans="1:6" x14ac:dyDescent="0.3">
      <c r="A26" s="115" t="s">
        <v>1013</v>
      </c>
      <c r="B26" s="116" t="str">
        <f>IFERROR(INDEX(tbl_ProduitsRef[Cde_Prdt],MATCH(A26,tbl_ProduitsRef[Produit],0)),"⚠️ Produit non trouvé")</f>
        <v>MKS003</v>
      </c>
      <c r="C26" s="120" t="str">
        <f>IFERROR(VLOOKUP(D26,Référentiels!$M$2:$N$267,2,FALSE),"Ingrédient non trouvé")</f>
        <v>PSU004</v>
      </c>
      <c r="D26" s="117" t="s">
        <v>867</v>
      </c>
      <c r="E26" s="117">
        <v>1</v>
      </c>
      <c r="F26" s="118" t="str">
        <f>INDEX(tbl_IngrédientsRef[Unité], MATCH(C26, tbl_IngrédientsRef[Cde_Ingrdt],0))</f>
        <v>Pièce</v>
      </c>
    </row>
    <row r="27" spans="1:6" x14ac:dyDescent="0.3">
      <c r="A27" s="115" t="s">
        <v>1015</v>
      </c>
      <c r="B27" s="116" t="str">
        <f>IFERROR(INDEX(tbl_ProduitsRef[Cde_Prdt],MATCH(A27,tbl_ProduitsRef[Produit],0)),"⚠️ Produit non trouvé")</f>
        <v>MKS004</v>
      </c>
      <c r="C27" s="120" t="str">
        <f>IFERROR(VLOOKUP(D27,Référentiels!$M$2:$N$267,2,FALSE),"Ingrédient non trouvé")</f>
        <v>PRL010</v>
      </c>
      <c r="D27" s="117" t="s">
        <v>992</v>
      </c>
      <c r="E27" s="117">
        <v>200</v>
      </c>
      <c r="F27" s="118" t="str">
        <f>INDEX(tbl_IngrédientsRef[Unité], MATCH(C27, tbl_IngrédientsRef[Cde_Ingrdt],0))</f>
        <v>ml</v>
      </c>
    </row>
    <row r="28" spans="1:6" x14ac:dyDescent="0.3">
      <c r="A28" s="115" t="s">
        <v>1015</v>
      </c>
      <c r="B28" s="116" t="str">
        <f>IFERROR(INDEX(tbl_ProduitsRef[Cde_Prdt],MATCH(A28,tbl_ProduitsRef[Produit],0)),"⚠️ Produit non trouvé")</f>
        <v>MKS004</v>
      </c>
      <c r="C28" s="120" t="str">
        <f>IFERROR(VLOOKUP(D28,Référentiels!$M$2:$N$267,2,FALSE),"Ingrédient non trouvé")</f>
        <v>GLA001</v>
      </c>
      <c r="D28" s="117" t="s">
        <v>869</v>
      </c>
      <c r="E28" s="117">
        <v>1</v>
      </c>
      <c r="F28" s="118" t="str">
        <f>INDEX(tbl_IngrédientsRef[Unité], MATCH(C28, tbl_IngrédientsRef[Cde_Ingrdt],0))</f>
        <v>Pièce</v>
      </c>
    </row>
    <row r="29" spans="1:6" x14ac:dyDescent="0.3">
      <c r="A29" s="115" t="s">
        <v>1015</v>
      </c>
      <c r="B29" s="116" t="str">
        <f>IFERROR(INDEX(tbl_ProduitsRef[Cde_Prdt],MATCH(A29,tbl_ProduitsRef[Produit],0)),"⚠️ Produit non trouvé")</f>
        <v>MKS004</v>
      </c>
      <c r="C29" s="120" t="str">
        <f>IFERROR(VLOOKUP(D29,Référentiels!$M$2:$N$267,2,FALSE),"Ingrédient non trouvé")</f>
        <v>PSU006</v>
      </c>
      <c r="D29" s="117" t="s">
        <v>1018</v>
      </c>
      <c r="E29" s="117">
        <v>1</v>
      </c>
      <c r="F29" s="118" t="str">
        <f>INDEX(tbl_IngrédientsRef[Unité], MATCH(C29, tbl_IngrédientsRef[Cde_Ingrdt],0))</f>
        <v>Pièce</v>
      </c>
    </row>
    <row r="30" spans="1:6" x14ac:dyDescent="0.3">
      <c r="A30" s="115" t="s">
        <v>1019</v>
      </c>
      <c r="B30" s="116" t="str">
        <f>IFERROR(INDEX(tbl_ProduitsRef[Cde_Prdt],MATCH(A30,tbl_ProduitsRef[Produit],0)),"⚠️ Produit non trouvé")</f>
        <v>MKS005</v>
      </c>
      <c r="C30" s="120" t="str">
        <f>IFERROR(VLOOKUP(D30,Référentiels!$M$2:$N$267,2,FALSE),"Ingrédient non trouvé")</f>
        <v>PRL010</v>
      </c>
      <c r="D30" s="117" t="s">
        <v>992</v>
      </c>
      <c r="E30" s="117">
        <v>200</v>
      </c>
      <c r="F30" s="118" t="str">
        <f>INDEX(tbl_IngrédientsRef[Unité], MATCH(C30, tbl_IngrédientsRef[Cde_Ingrdt],0))</f>
        <v>ml</v>
      </c>
    </row>
    <row r="31" spans="1:6" x14ac:dyDescent="0.3">
      <c r="A31" s="115" t="s">
        <v>1019</v>
      </c>
      <c r="B31" s="116" t="str">
        <f>IFERROR(INDEX(tbl_ProduitsRef[Cde_Prdt],MATCH(A31,tbl_ProduitsRef[Produit],0)),"⚠️ Produit non trouvé")</f>
        <v>MKS005</v>
      </c>
      <c r="C31" s="120" t="str">
        <f>IFERROR(VLOOKUP(D31,Référentiels!$M$2:$N$267,2,FALSE),"Ingrédient non trouvé")</f>
        <v>GLA001</v>
      </c>
      <c r="D31" s="117" t="s">
        <v>869</v>
      </c>
      <c r="E31" s="117">
        <v>1</v>
      </c>
      <c r="F31" s="118" t="str">
        <f>INDEX(tbl_IngrédientsRef[Unité], MATCH(C31, tbl_IngrédientsRef[Cde_Ingrdt],0))</f>
        <v>Pièce</v>
      </c>
    </row>
    <row r="32" spans="1:6" x14ac:dyDescent="0.3">
      <c r="A32" s="115" t="s">
        <v>1019</v>
      </c>
      <c r="B32" s="116" t="str">
        <f>IFERROR(INDEX(tbl_ProduitsRef[Cde_Prdt],MATCH(A32,tbl_ProduitsRef[Produit],0)),"⚠️ Produit non trouvé")</f>
        <v>MKS005</v>
      </c>
      <c r="C32" s="120" t="str">
        <f>IFERROR(VLOOKUP(D32,Référentiels!$M$2:$N$267,2,FALSE),"Ingrédient non trouvé")</f>
        <v>FRU007</v>
      </c>
      <c r="D32" s="117" t="s">
        <v>980</v>
      </c>
      <c r="E32" s="117">
        <v>80</v>
      </c>
      <c r="F32" s="118" t="str">
        <f>INDEX(tbl_IngrédientsRef[Unité], MATCH(C32, tbl_IngrédientsRef[Cde_Ingrdt],0))</f>
        <v>g</v>
      </c>
    </row>
    <row r="33" spans="1:6" x14ac:dyDescent="0.3">
      <c r="A33" s="115" t="s">
        <v>1021</v>
      </c>
      <c r="B33" s="116" t="str">
        <f>IFERROR(INDEX(tbl_ProduitsRef[Cde_Prdt],MATCH(A33,tbl_ProduitsRef[Produit],0)),"⚠️ Produit non trouvé")</f>
        <v>MKS006</v>
      </c>
      <c r="C33" s="120" t="str">
        <f>IFERROR(VLOOKUP(D33,Référentiels!$M$2:$N$267,2,FALSE),"Ingrédient non trouvé")</f>
        <v>PRL010</v>
      </c>
      <c r="D33" s="117" t="s">
        <v>992</v>
      </c>
      <c r="E33" s="117">
        <v>200</v>
      </c>
      <c r="F33" s="118" t="str">
        <f>INDEX(tbl_IngrédientsRef[Unité], MATCH(C33, tbl_IngrédientsRef[Cde_Ingrdt],0))</f>
        <v>ml</v>
      </c>
    </row>
    <row r="34" spans="1:6" x14ac:dyDescent="0.3">
      <c r="A34" s="115" t="s">
        <v>1021</v>
      </c>
      <c r="B34" s="116" t="str">
        <f>IFERROR(INDEX(tbl_ProduitsRef[Cde_Prdt],MATCH(A34,tbl_ProduitsRef[Produit],0)),"⚠️ Produit non trouvé")</f>
        <v>MKS006</v>
      </c>
      <c r="C34" s="120" t="str">
        <f>IFERROR(VLOOKUP(D34,Référentiels!$M$2:$N$267,2,FALSE),"Ingrédient non trouvé")</f>
        <v>GLA001</v>
      </c>
      <c r="D34" s="117" t="s">
        <v>869</v>
      </c>
      <c r="E34" s="117">
        <v>1</v>
      </c>
      <c r="F34" s="118" t="str">
        <f>INDEX(tbl_IngrédientsRef[Unité], MATCH(C34, tbl_IngrédientsRef[Cde_Ingrdt],0))</f>
        <v>Pièce</v>
      </c>
    </row>
    <row r="35" spans="1:6" x14ac:dyDescent="0.3">
      <c r="A35" s="115" t="s">
        <v>1021</v>
      </c>
      <c r="B35" s="116" t="str">
        <f>IFERROR(INDEX(tbl_ProduitsRef[Cde_Prdt],MATCH(A35,tbl_ProduitsRef[Produit],0)),"⚠️ Produit non trouvé")</f>
        <v>MKS006</v>
      </c>
      <c r="C35" s="120" t="str">
        <f>IFERROR(VLOOKUP(D35,Référentiels!$M$2:$N$267,2,FALSE),"Ingrédient non trouvé")</f>
        <v>CDM016</v>
      </c>
      <c r="D35" s="117" t="s">
        <v>1024</v>
      </c>
      <c r="E35" s="117">
        <v>30</v>
      </c>
      <c r="F35" s="118" t="str">
        <f>INDEX(tbl_IngrédientsRef[Unité], MATCH(C35, tbl_IngrédientsRef[Cde_Ingrdt],0))</f>
        <v>g</v>
      </c>
    </row>
    <row r="36" spans="1:6" x14ac:dyDescent="0.3">
      <c r="A36" s="119" t="s">
        <v>1025</v>
      </c>
      <c r="B36" s="116" t="str">
        <f>IFERROR(INDEX(tbl_ProduitsRef[Cde_Prdt],MATCH(A36,tbl_ProduitsRef[Produit],0)),"⚠️ Produit non trouvé")</f>
        <v>MKS007</v>
      </c>
      <c r="C36" s="120" t="str">
        <f>IFERROR(VLOOKUP(D36,Référentiels!$M$2:$N$267,2,FALSE),"Ingrédient non trouvé")</f>
        <v>PRL010</v>
      </c>
      <c r="D36" s="117" t="s">
        <v>992</v>
      </c>
      <c r="E36" s="117">
        <v>200</v>
      </c>
      <c r="F36" s="118" t="str">
        <f>INDEX(tbl_IngrédientsRef[Unité], MATCH(C36, tbl_IngrédientsRef[Cde_Ingrdt],0))</f>
        <v>ml</v>
      </c>
    </row>
    <row r="37" spans="1:6" x14ac:dyDescent="0.3">
      <c r="A37" s="119" t="s">
        <v>1025</v>
      </c>
      <c r="B37" s="116" t="str">
        <f>IFERROR(INDEX(tbl_ProduitsRef[Cde_Prdt],MATCH(A37,tbl_ProduitsRef[Produit],0)),"⚠️ Produit non trouvé")</f>
        <v>MKS007</v>
      </c>
      <c r="C37" s="120" t="str">
        <f>IFERROR(VLOOKUP(D37,Référentiels!$M$2:$N$267,2,FALSE),"Ingrédient non trouvé")</f>
        <v>GLA001</v>
      </c>
      <c r="D37" s="117" t="s">
        <v>869</v>
      </c>
      <c r="E37" s="117">
        <v>1</v>
      </c>
      <c r="F37" s="118" t="str">
        <f>INDEX(tbl_IngrédientsRef[Unité], MATCH(C37, tbl_IngrédientsRef[Cde_Ingrdt],0))</f>
        <v>Pièce</v>
      </c>
    </row>
    <row r="38" spans="1:6" x14ac:dyDescent="0.3">
      <c r="A38" s="119" t="s">
        <v>1025</v>
      </c>
      <c r="B38" s="116" t="str">
        <f>IFERROR(INDEX(tbl_ProduitsRef[Cde_Prdt],MATCH(A38,tbl_ProduitsRef[Produit],0)),"⚠️ Produit non trouvé")</f>
        <v>MKS007</v>
      </c>
      <c r="C38" s="120" t="str">
        <f>IFERROR(VLOOKUP(D38,Référentiels!$M$2:$N$267,2,FALSE),"Ingrédient non trouvé")</f>
        <v>SOS001</v>
      </c>
      <c r="D38" s="117" t="s">
        <v>875</v>
      </c>
      <c r="E38" s="117">
        <v>25</v>
      </c>
      <c r="F38" s="118" t="str">
        <f>INDEX(tbl_IngrédientsRef[Unité], MATCH(C38, tbl_IngrédientsRef[Cde_Ingrdt],0))</f>
        <v>ml</v>
      </c>
    </row>
    <row r="39" spans="1:6" x14ac:dyDescent="0.3">
      <c r="A39" s="115" t="s">
        <v>1027</v>
      </c>
      <c r="B39" s="116" t="str">
        <f>IFERROR(INDEX(tbl_ProduitsRef[Cde_Prdt],MATCH(A39,tbl_ProduitsRef[Produit],0)),"⚠️ Produit non trouvé")</f>
        <v>MKS008</v>
      </c>
      <c r="C39" s="120" t="str">
        <f>IFERROR(VLOOKUP(D39,Référentiels!$M$2:$N$267,2,FALSE),"Ingrédient non trouvé")</f>
        <v>PRL010</v>
      </c>
      <c r="D39" s="117" t="s">
        <v>992</v>
      </c>
      <c r="E39" s="117">
        <v>200</v>
      </c>
      <c r="F39" s="118" t="str">
        <f>INDEX(tbl_IngrédientsRef[Unité], MATCH(C39, tbl_IngrédientsRef[Cde_Ingrdt],0))</f>
        <v>ml</v>
      </c>
    </row>
    <row r="40" spans="1:6" x14ac:dyDescent="0.3">
      <c r="A40" s="119" t="s">
        <v>1027</v>
      </c>
      <c r="B40" s="116" t="str">
        <f>IFERROR(INDEX(tbl_ProduitsRef[Cde_Prdt],MATCH(A40,tbl_ProduitsRef[Produit],0)),"⚠️ Produit non trouvé")</f>
        <v>MKS008</v>
      </c>
      <c r="C40" s="120" t="str">
        <f>IFERROR(VLOOKUP(D40,Référentiels!$M$2:$N$267,2,FALSE),"Ingrédient non trouvé")</f>
        <v>GLA001</v>
      </c>
      <c r="D40" s="117" t="s">
        <v>869</v>
      </c>
      <c r="E40" s="117">
        <v>1</v>
      </c>
      <c r="F40" s="118" t="str">
        <f>INDEX(tbl_IngrédientsRef[Unité], MATCH(C40, tbl_IngrédientsRef[Cde_Ingrdt],0))</f>
        <v>Pièce</v>
      </c>
    </row>
    <row r="41" spans="1:6" x14ac:dyDescent="0.3">
      <c r="A41" s="115" t="s">
        <v>1027</v>
      </c>
      <c r="B41" s="116" t="str">
        <f>IFERROR(INDEX(tbl_ProduitsRef[Cde_Prdt],MATCH(A41,tbl_ProduitsRef[Produit],0)),"⚠️ Produit non trouvé")</f>
        <v>MKS008</v>
      </c>
      <c r="C41" s="120" t="str">
        <f>IFERROR(VLOOKUP(D41,Référentiels!$M$2:$N$267,2,FALSE),"Ingrédient non trouvé")</f>
        <v>PSU008</v>
      </c>
      <c r="D41" s="117" t="s">
        <v>1030</v>
      </c>
      <c r="E41" s="117">
        <v>10</v>
      </c>
      <c r="F41" s="118" t="str">
        <f>INDEX(tbl_IngrédientsRef[Unité], MATCH(C41, tbl_IngrédientsRef[Cde_Ingrdt],0))</f>
        <v>g</v>
      </c>
    </row>
    <row r="42" spans="1:6" x14ac:dyDescent="0.3">
      <c r="A42" s="115" t="s">
        <v>1031</v>
      </c>
      <c r="B42" s="116" t="str">
        <f>IFERROR(INDEX(tbl_ProduitsRef[Cde_Prdt],MATCH(A42,tbl_ProduitsRef[Produit],0)),"⚠️ Produit non trouvé")</f>
        <v>SmCk001</v>
      </c>
      <c r="C42" s="120" t="str">
        <f>IFERROR(VLOOKUP(D42,Référentiels!$M$2:$N$267,2,FALSE),"Ingrédient non trouvé")</f>
        <v>PRL010</v>
      </c>
      <c r="D42" s="117" t="s">
        <v>992</v>
      </c>
      <c r="E42" s="117">
        <v>200</v>
      </c>
      <c r="F42" s="118" t="str">
        <f>INDEX(tbl_IngrédientsRef[Unité], MATCH(C42, tbl_IngrédientsRef[Cde_Ingrdt],0))</f>
        <v>ml</v>
      </c>
    </row>
    <row r="43" spans="1:6" x14ac:dyDescent="0.3">
      <c r="A43" s="115" t="s">
        <v>1031</v>
      </c>
      <c r="B43" s="116" t="str">
        <f>IFERROR(INDEX(tbl_ProduitsRef[Cde_Prdt],MATCH(A43,tbl_ProduitsRef[Produit],0)),"⚠️ Produit non trouvé")</f>
        <v>SmCk001</v>
      </c>
      <c r="C43" s="120" t="str">
        <f>IFERROR(VLOOKUP(D43,Référentiels!$M$2:$N$267,2,FALSE),"Ingrédient non trouvé")</f>
        <v>FRU004</v>
      </c>
      <c r="D43" s="120" t="s">
        <v>877</v>
      </c>
      <c r="E43" s="120">
        <v>80</v>
      </c>
      <c r="F43" s="118" t="str">
        <f>INDEX(tbl_IngrédientsRef[Unité], MATCH(C43, tbl_IngrédientsRef[Cde_Ingrdt],0))</f>
        <v>g</v>
      </c>
    </row>
    <row r="44" spans="1:6" x14ac:dyDescent="0.3">
      <c r="A44" s="115" t="s">
        <v>1031</v>
      </c>
      <c r="B44" s="116" t="str">
        <f>IFERROR(INDEX(tbl_ProduitsRef[Cde_Prdt],MATCH(A44,tbl_ProduitsRef[Produit],0)),"⚠️ Produit non trouvé")</f>
        <v>SmCk001</v>
      </c>
      <c r="C44" s="120" t="str">
        <f>IFERROR(VLOOKUP(D44,Référentiels!$M$2:$N$267,2,FALSE),"Ingrédient non trouvé")</f>
        <v>PSU008</v>
      </c>
      <c r="D44" s="120" t="s">
        <v>1030</v>
      </c>
      <c r="E44" s="120">
        <v>10</v>
      </c>
      <c r="F44" s="118" t="str">
        <f>INDEX(tbl_IngrédientsRef[Unité], MATCH(C44, tbl_IngrédientsRef[Cde_Ingrdt],0))</f>
        <v>g</v>
      </c>
    </row>
    <row r="45" spans="1:6" x14ac:dyDescent="0.3">
      <c r="A45" s="121" t="s">
        <v>1033</v>
      </c>
      <c r="B45" s="116" t="str">
        <f>IFERROR(INDEX(tbl_ProduitsRef[Cde_Prdt],MATCH(A45,tbl_ProduitsRef[Produit],0)),"⚠️ Produit non trouvé")</f>
        <v>SmCk002</v>
      </c>
      <c r="C45" s="120" t="str">
        <f>IFERROR(VLOOKUP(D45,Référentiels!$M$2:$N$267,2,FALSE),"Ingrédient non trouvé")</f>
        <v>FRU006</v>
      </c>
      <c r="D45" s="120" t="s">
        <v>356</v>
      </c>
      <c r="E45" s="120">
        <v>120</v>
      </c>
      <c r="F45" s="118" t="str">
        <f>INDEX(tbl_IngrédientsRef[Unité], MATCH(C45, tbl_IngrédientsRef[Cde_Ingrdt],0))</f>
        <v>g</v>
      </c>
    </row>
    <row r="46" spans="1:6" x14ac:dyDescent="0.3">
      <c r="A46" s="121" t="s">
        <v>1033</v>
      </c>
      <c r="B46" s="116" t="str">
        <f>IFERROR(INDEX(tbl_ProduitsRef[Cde_Prdt],MATCH(A46,tbl_ProduitsRef[Produit],0)),"⚠️ Produit non trouvé")</f>
        <v>SmCk002</v>
      </c>
      <c r="C46" s="120" t="str">
        <f>IFERROR(VLOOKUP(D46,Référentiels!$M$2:$N$267,2,FALSE),"Ingrédient non trouvé")</f>
        <v>PRL010</v>
      </c>
      <c r="D46" s="120" t="s">
        <v>992</v>
      </c>
      <c r="E46" s="120">
        <v>150</v>
      </c>
      <c r="F46" s="118" t="str">
        <f>INDEX(tbl_IngrédientsRef[Unité], MATCH(C46, tbl_IngrédientsRef[Cde_Ingrdt],0))</f>
        <v>ml</v>
      </c>
    </row>
    <row r="47" spans="1:6" x14ac:dyDescent="0.3">
      <c r="A47" s="121" t="s">
        <v>1035</v>
      </c>
      <c r="B47" s="116" t="str">
        <f>IFERROR(INDEX(tbl_ProduitsRef[Cde_Prdt],MATCH(A47,tbl_ProduitsRef[Produit],0)),"⚠️ Produit non trouvé")</f>
        <v>SmCk003</v>
      </c>
      <c r="C47" s="120" t="str">
        <f>IFERROR(VLOOKUP(D47,Référentiels!$M$2:$N$267,2,FALSE),"Ingrédient non trouvé")</f>
        <v>FRU015</v>
      </c>
      <c r="D47" s="120" t="s">
        <v>1038</v>
      </c>
      <c r="E47" s="120">
        <v>80</v>
      </c>
      <c r="F47" s="118" t="str">
        <f>INDEX(tbl_IngrédientsRef[Unité], MATCH(C47, tbl_IngrédientsRef[Cde_Ingrdt],0))</f>
        <v>g</v>
      </c>
    </row>
    <row r="48" spans="1:6" x14ac:dyDescent="0.3">
      <c r="A48" s="121" t="s">
        <v>1035</v>
      </c>
      <c r="B48" s="116" t="str">
        <f>IFERROR(INDEX(tbl_ProduitsRef[Cde_Prdt],MATCH(A48,tbl_ProduitsRef[Produit],0)),"⚠️ Produit non trouvé")</f>
        <v>SmCk003</v>
      </c>
      <c r="C48" s="120" t="str">
        <f>IFERROR(VLOOKUP(D48,Référentiels!$M$2:$N$267,2,FALSE),"Ingrédient non trouvé")</f>
        <v>FRU013</v>
      </c>
      <c r="D48" s="120" t="s">
        <v>976</v>
      </c>
      <c r="E48" s="120">
        <v>120</v>
      </c>
      <c r="F48" s="118" t="str">
        <f>INDEX(tbl_IngrédientsRef[Unité], MATCH(C48, tbl_IngrédientsRef[Cde_Ingrdt],0))</f>
        <v>g</v>
      </c>
    </row>
    <row r="49" spans="1:6" x14ac:dyDescent="0.3">
      <c r="A49" s="121" t="s">
        <v>1035</v>
      </c>
      <c r="B49" s="116" t="str">
        <f>IFERROR(INDEX(tbl_ProduitsRef[Cde_Prdt],MATCH(A49,tbl_ProduitsRef[Produit],0)),"⚠️ Produit non trouvé")</f>
        <v>SmCk003</v>
      </c>
      <c r="C49" s="120" t="str">
        <f>IFERROR(VLOOKUP(D49,Référentiels!$M$2:$N$267,2,FALSE),"Ingrédient non trouvé")</f>
        <v>PRL003</v>
      </c>
      <c r="D49" s="120" t="s">
        <v>1040</v>
      </c>
      <c r="E49" s="120">
        <v>1</v>
      </c>
      <c r="F49" s="118" t="str">
        <f>INDEX(tbl_IngrédientsRef[Unité], MATCH(C49, tbl_IngrédientsRef[Cde_Ingrdt],0))</f>
        <v>Pièce</v>
      </c>
    </row>
    <row r="50" spans="1:6" x14ac:dyDescent="0.3">
      <c r="A50" s="121" t="s">
        <v>1041</v>
      </c>
      <c r="B50" s="116" t="str">
        <f>IFERROR(INDEX(tbl_ProduitsRef[Cde_Prdt],MATCH(A50,tbl_ProduitsRef[Produit],0)),"⚠️ Produit non trouvé")</f>
        <v>SmCk004</v>
      </c>
      <c r="C50" s="120" t="str">
        <f>IFERROR(VLOOKUP(D50,Référentiels!$M$2:$N$267,2,FALSE),"Ingrédient non trouvé")</f>
        <v>FRU004</v>
      </c>
      <c r="D50" s="120" t="s">
        <v>877</v>
      </c>
      <c r="E50" s="120">
        <v>80</v>
      </c>
      <c r="F50" s="118" t="str">
        <f>INDEX(tbl_IngrédientsRef[Unité], MATCH(C50, tbl_IngrédientsRef[Cde_Ingrdt],0))</f>
        <v>g</v>
      </c>
    </row>
    <row r="51" spans="1:6" x14ac:dyDescent="0.3">
      <c r="A51" s="121" t="s">
        <v>1041</v>
      </c>
      <c r="B51" s="116" t="str">
        <f>IFERROR(INDEX(tbl_ProduitsRef[Cde_Prdt],MATCH(A51,tbl_ProduitsRef[Produit],0)),"⚠️ Produit non trouvé")</f>
        <v>SmCk004</v>
      </c>
      <c r="C51" s="120" t="str">
        <f>IFERROR(VLOOKUP(D51,Référentiels!$M$2:$N$267,2,FALSE),"Ingrédient non trouvé")</f>
        <v>PRL010</v>
      </c>
      <c r="D51" s="120" t="s">
        <v>992</v>
      </c>
      <c r="E51" s="120">
        <v>150</v>
      </c>
      <c r="F51" s="118" t="str">
        <f>INDEX(tbl_IngrédientsRef[Unité], MATCH(C51, tbl_IngrédientsRef[Cde_Ingrdt],0))</f>
        <v>ml</v>
      </c>
    </row>
    <row r="52" spans="1:6" x14ac:dyDescent="0.3">
      <c r="A52" s="121" t="s">
        <v>1041</v>
      </c>
      <c r="B52" s="116" t="str">
        <f>IFERROR(INDEX(tbl_ProduitsRef[Cde_Prdt],MATCH(A52,tbl_ProduitsRef[Produit],0)),"⚠️ Produit non trouvé")</f>
        <v>SmCk004</v>
      </c>
      <c r="C52" s="120" t="str">
        <f>IFERROR(VLOOKUP(D52,Référentiels!$M$2:$N$267,2,FALSE),"Ingrédient non trouvé")</f>
        <v>PRL003</v>
      </c>
      <c r="D52" s="120" t="s">
        <v>1040</v>
      </c>
      <c r="E52" s="120">
        <v>1</v>
      </c>
      <c r="F52" s="118" t="str">
        <f>INDEX(tbl_IngrédientsRef[Unité], MATCH(C52, tbl_IngrédientsRef[Cde_Ingrdt],0))</f>
        <v>Pièce</v>
      </c>
    </row>
    <row r="53" spans="1:6" x14ac:dyDescent="0.3">
      <c r="A53" s="121" t="s">
        <v>1041</v>
      </c>
      <c r="B53" s="116" t="str">
        <f>IFERROR(INDEX(tbl_ProduitsRef[Cde_Prdt],MATCH(A53,tbl_ProduitsRef[Produit],0)),"⚠️ Produit non trouvé")</f>
        <v>SmCk004</v>
      </c>
      <c r="C53" s="120" t="str">
        <f>IFERROR(VLOOKUP(D53,Référentiels!$M$2:$N$267,2,FALSE),"Ingrédient non trouvé")</f>
        <v>PSU018</v>
      </c>
      <c r="D53" s="120" t="s">
        <v>284</v>
      </c>
      <c r="E53" s="120">
        <v>10</v>
      </c>
      <c r="F53" s="118" t="str">
        <f>INDEX(tbl_IngrédientsRef[Unité], MATCH(C53, tbl_IngrédientsRef[Cde_Ingrdt],0))</f>
        <v>ml</v>
      </c>
    </row>
    <row r="54" spans="1:6" x14ac:dyDescent="0.3">
      <c r="A54" s="121" t="s">
        <v>1043</v>
      </c>
      <c r="B54" s="116" t="str">
        <f>IFERROR(INDEX(tbl_ProduitsRef[Cde_Prdt],MATCH(A54,tbl_ProduitsRef[Produit],0)),"⚠️ Produit non trouvé")</f>
        <v>SmCk005</v>
      </c>
      <c r="C54" s="120" t="str">
        <f>IFERROR(VLOOKUP(D54,Référentiels!$M$2:$N$267,2,FALSE),"Ingrédient non trouvé")</f>
        <v>FRU008</v>
      </c>
      <c r="D54" s="120" t="s">
        <v>984</v>
      </c>
      <c r="E54" s="120">
        <v>30</v>
      </c>
      <c r="F54" s="118" t="str">
        <f>INDEX(tbl_IngrédientsRef[Unité], MATCH(C54, tbl_IngrédientsRef[Cde_Ingrdt],0))</f>
        <v>g</v>
      </c>
    </row>
    <row r="55" spans="1:6" x14ac:dyDescent="0.3">
      <c r="A55" s="121" t="s">
        <v>1043</v>
      </c>
      <c r="B55" s="116" t="str">
        <f>IFERROR(INDEX(tbl_ProduitsRef[Cde_Prdt],MATCH(A55,tbl_ProduitsRef[Produit],0)),"⚠️ Produit non trouvé")</f>
        <v>SmCk005</v>
      </c>
      <c r="C55" s="120" t="str">
        <f>IFERROR(VLOOKUP(D55,Référentiels!$M$2:$N$267,2,FALSE),"Ingrédient non trouvé")</f>
        <v>FRU010</v>
      </c>
      <c r="D55" s="120" t="s">
        <v>978</v>
      </c>
      <c r="E55" s="120">
        <v>100</v>
      </c>
      <c r="F55" s="118" t="str">
        <f>INDEX(tbl_IngrédientsRef[Unité], MATCH(C55, tbl_IngrédientsRef[Cde_Ingrdt],0))</f>
        <v>g</v>
      </c>
    </row>
    <row r="56" spans="1:6" x14ac:dyDescent="0.3">
      <c r="A56" s="121" t="s">
        <v>1043</v>
      </c>
      <c r="B56" s="116" t="str">
        <f>IFERROR(INDEX(tbl_ProduitsRef[Cde_Prdt],MATCH(A56,tbl_ProduitsRef[Produit],0)),"⚠️ Produit non trouvé")</f>
        <v>SmCk005</v>
      </c>
      <c r="C56" s="120" t="str">
        <f>IFERROR(VLOOKUP(D56,Référentiels!$M$2:$N$267,2,FALSE),"Ingrédient non trouvé")</f>
        <v>PRL003</v>
      </c>
      <c r="D56" s="120" t="s">
        <v>1040</v>
      </c>
      <c r="E56" s="120">
        <v>1</v>
      </c>
      <c r="F56" s="118" t="str">
        <f>INDEX(tbl_IngrédientsRef[Unité], MATCH(C56, tbl_IngrédientsRef[Cde_Ingrdt],0))</f>
        <v>Pièce</v>
      </c>
    </row>
    <row r="57" spans="1:6" x14ac:dyDescent="0.3">
      <c r="A57" s="122" t="s">
        <v>1045</v>
      </c>
      <c r="B57" s="116" t="str">
        <f>IFERROR(INDEX(tbl_ProduitsRef[Cde_Prdt],MATCH(A57,tbl_ProduitsRef[Produit],0)),"⚠️ Produit non trouvé")</f>
        <v>BCH003</v>
      </c>
      <c r="C57" s="120" t="str">
        <f>IFERROR(VLOOKUP(D57,Référentiels!$M$2:$N$267,2,FALSE),"Ingrédient non trouvé")</f>
        <v>BOI002</v>
      </c>
      <c r="D57" s="120" t="s">
        <v>1048</v>
      </c>
      <c r="E57" s="120">
        <v>1</v>
      </c>
      <c r="F57" s="118" t="str">
        <f>INDEX(tbl_IngrédientsRef[Unité], MATCH(C57, tbl_IngrédientsRef[Cde_Ingrdt],0))</f>
        <v>Pièce</v>
      </c>
    </row>
    <row r="58" spans="1:6" x14ac:dyDescent="0.3">
      <c r="A58" s="122" t="s">
        <v>1045</v>
      </c>
      <c r="B58" s="116" t="str">
        <f>IFERROR(INDEX(tbl_ProduitsRef[Cde_Prdt],MATCH(A58,tbl_ProduitsRef[Produit],0)),"⚠️ Produit non trouvé")</f>
        <v>BCH003</v>
      </c>
      <c r="C58" s="120" t="str">
        <f>IFERROR(VLOOKUP(D58,Référentiels!$M$2:$N$267,2,FALSE),"Ingrédient non trouvé")</f>
        <v>PSU016</v>
      </c>
      <c r="D58" s="120" t="s">
        <v>1050</v>
      </c>
      <c r="E58" s="120">
        <v>10</v>
      </c>
      <c r="F58" s="118" t="str">
        <f>INDEX(tbl_IngrédientsRef[Unité], MATCH(C58, tbl_IngrédientsRef[Cde_Ingrdt],0))</f>
        <v>ml</v>
      </c>
    </row>
    <row r="59" spans="1:6" x14ac:dyDescent="0.3">
      <c r="A59" s="122" t="s">
        <v>1048</v>
      </c>
      <c r="B59" s="116" t="str">
        <f>IFERROR(INDEX(tbl_ProduitsRef[Cde_Prdt],MATCH(A59,tbl_ProduitsRef[Produit],0)),"⚠️ Produit non trouvé")</f>
        <v>BCH001</v>
      </c>
      <c r="C59" s="120" t="str">
        <f>IFERROR(VLOOKUP(D59,Référentiels!$M$2:$N$267,2,FALSE),"Ingrédient non trouvé")</f>
        <v>BOI002</v>
      </c>
      <c r="D59" s="120" t="s">
        <v>1048</v>
      </c>
      <c r="E59" s="120">
        <v>1</v>
      </c>
      <c r="F59" s="118" t="str">
        <f>INDEX(tbl_IngrédientsRef[Unité], MATCH(C59, tbl_IngrédientsRef[Cde_Ingrdt],0))</f>
        <v>Pièce</v>
      </c>
    </row>
    <row r="60" spans="1:6" x14ac:dyDescent="0.3">
      <c r="A60" s="122" t="s">
        <v>64</v>
      </c>
      <c r="B60" s="116" t="str">
        <f>IFERROR(INDEX(tbl_ProduitsRef[Cde_Prdt],MATCH(A60,tbl_ProduitsRef[Produit],0)),"⚠️ Produit non trouvé")</f>
        <v>BCH002</v>
      </c>
      <c r="C60" s="120" t="str">
        <f>IFERROR(VLOOKUP(D60,Référentiels!$M$2:$N$267,2,FALSE),"Ingrédient non trouvé")</f>
        <v>BOI002</v>
      </c>
      <c r="D60" s="120" t="s">
        <v>1048</v>
      </c>
      <c r="E60" s="120">
        <v>2</v>
      </c>
      <c r="F60" s="118" t="str">
        <f>INDEX(tbl_IngrédientsRef[Unité], MATCH(C60, tbl_IngrédientsRef[Cde_Ingrdt],0))</f>
        <v>Pièce</v>
      </c>
    </row>
    <row r="61" spans="1:6" x14ac:dyDescent="0.3">
      <c r="A61" s="122" t="s">
        <v>1053</v>
      </c>
      <c r="B61" s="116" t="str">
        <f>IFERROR(INDEX(tbl_ProduitsRef[Cde_Prdt],MATCH(A61,tbl_ProduitsRef[Produit],0)),"⚠️ Produit non trouvé")</f>
        <v>BCH004</v>
      </c>
      <c r="C61" s="120" t="str">
        <f>IFERROR(VLOOKUP(D61,Référentiels!$M$2:$N$267,2,FALSE),"Ingrédient non trouvé")</f>
        <v>PRL010</v>
      </c>
      <c r="D61" s="120" t="s">
        <v>992</v>
      </c>
      <c r="E61" s="120">
        <v>120</v>
      </c>
      <c r="F61" s="118" t="str">
        <f>INDEX(tbl_IngrédientsRef[Unité], MATCH(C61, tbl_IngrédientsRef[Cde_Ingrdt],0))</f>
        <v>ml</v>
      </c>
    </row>
    <row r="62" spans="1:6" x14ac:dyDescent="0.3">
      <c r="A62" s="122" t="s">
        <v>1053</v>
      </c>
      <c r="B62" s="116" t="str">
        <f>IFERROR(INDEX(tbl_ProduitsRef[Cde_Prdt],MATCH(A62,tbl_ProduitsRef[Produit],0)),"⚠️ Produit non trouvé")</f>
        <v>BCH004</v>
      </c>
      <c r="C62" s="120" t="str">
        <f>IFERROR(VLOOKUP(D62,Référentiels!$M$2:$N$267,2,FALSE),"Ingrédient non trouvé")</f>
        <v>BOI002</v>
      </c>
      <c r="D62" s="120" t="s">
        <v>1048</v>
      </c>
      <c r="E62" s="120">
        <v>1</v>
      </c>
      <c r="F62" s="118" t="str">
        <f>INDEX(tbl_IngrédientsRef[Unité], MATCH(C62, tbl_IngrédientsRef[Cde_Ingrdt],0))</f>
        <v>Pièce</v>
      </c>
    </row>
    <row r="63" spans="1:6" x14ac:dyDescent="0.3">
      <c r="A63" s="122" t="s">
        <v>1055</v>
      </c>
      <c r="B63" s="116" t="str">
        <f>IFERROR(INDEX(tbl_ProduitsRef[Cde_Prdt],MATCH(A63,tbl_ProduitsRef[Produit],0)),"⚠️ Produit non trouvé")</f>
        <v>BCH005</v>
      </c>
      <c r="C63" s="120" t="str">
        <f>IFERROR(VLOOKUP(D63,Référentiels!$M$2:$N$267,2,FALSE),"Ingrédient non trouvé")</f>
        <v>BOI001</v>
      </c>
      <c r="D63" s="120" t="s">
        <v>1058</v>
      </c>
      <c r="E63" s="120">
        <v>1</v>
      </c>
      <c r="F63" s="118" t="str">
        <f>INDEX(tbl_IngrédientsRef[Unité], MATCH(C63, tbl_IngrédientsRef[Cde_Ingrdt],0))</f>
        <v>Pièce</v>
      </c>
    </row>
    <row r="64" spans="1:6" x14ac:dyDescent="0.3">
      <c r="A64" s="122" t="s">
        <v>1059</v>
      </c>
      <c r="B64" s="116" t="str">
        <f>IFERROR(INDEX(tbl_ProduitsRef[Cde_Prdt],MATCH(A64,tbl_ProduitsRef[Produit],0)),"⚠️ Produit non trouvé")</f>
        <v>BCH006</v>
      </c>
      <c r="C64" s="120" t="str">
        <f>IFERROR(VLOOKUP(D64,Référentiels!$M$2:$N$267,2,FALSE),"Ingrédient non trouvé")</f>
        <v>PSU016</v>
      </c>
      <c r="D64" s="120" t="s">
        <v>1050</v>
      </c>
      <c r="E64" s="120">
        <v>10</v>
      </c>
      <c r="F64" s="118" t="str">
        <f>INDEX(tbl_IngrédientsRef[Unité], MATCH(C64, tbl_IngrédientsRef[Cde_Ingrdt],0))</f>
        <v>ml</v>
      </c>
    </row>
    <row r="65" spans="1:6" x14ac:dyDescent="0.3">
      <c r="A65" s="122" t="s">
        <v>1059</v>
      </c>
      <c r="B65" s="116" t="str">
        <f>IFERROR(INDEX(tbl_ProduitsRef[Cde_Prdt],MATCH(A65,tbl_ProduitsRef[Produit],0)),"⚠️ Produit non trouvé")</f>
        <v>BCH006</v>
      </c>
      <c r="C65" s="120" t="str">
        <f>IFERROR(VLOOKUP(D65,Référentiels!$M$2:$N$267,2,FALSE),"Ingrédient non trouvé")</f>
        <v>BOI001</v>
      </c>
      <c r="D65" s="120" t="s">
        <v>1058</v>
      </c>
      <c r="E65" s="120">
        <v>1</v>
      </c>
      <c r="F65" s="118" t="str">
        <f>INDEX(tbl_IngrédientsRef[Unité], MATCH(C65, tbl_IngrédientsRef[Cde_Ingrdt],0))</f>
        <v>Pièce</v>
      </c>
    </row>
    <row r="66" spans="1:6" x14ac:dyDescent="0.3">
      <c r="A66" s="122" t="s">
        <v>1061</v>
      </c>
      <c r="B66" s="116" t="str">
        <f>IFERROR(INDEX(tbl_ProduitsRef[Cde_Prdt],MATCH(A66,tbl_ProduitsRef[Produit],0)),"⚠️ Produit non trouvé")</f>
        <v>BCH007</v>
      </c>
      <c r="C66" s="120" t="str">
        <f>IFERROR(VLOOKUP(D66,Référentiels!$M$2:$N$267,2,FALSE),"Ingrédient non trouvé")</f>
        <v>PSU016</v>
      </c>
      <c r="D66" s="120" t="s">
        <v>1050</v>
      </c>
      <c r="E66" s="120">
        <v>8</v>
      </c>
      <c r="F66" s="118" t="str">
        <f>INDEX(tbl_IngrédientsRef[Unité], MATCH(C66, tbl_IngrédientsRef[Cde_Ingrdt],0))</f>
        <v>ml</v>
      </c>
    </row>
    <row r="67" spans="1:6" x14ac:dyDescent="0.3">
      <c r="A67" s="122" t="s">
        <v>1061</v>
      </c>
      <c r="B67" s="116" t="str">
        <f>IFERROR(INDEX(tbl_ProduitsRef[Cde_Prdt],MATCH(A67,tbl_ProduitsRef[Produit],0)),"⚠️ Produit non trouvé")</f>
        <v>BCH007</v>
      </c>
      <c r="C67" s="120" t="str">
        <f>IFERROR(VLOOKUP(D67,Référentiels!$M$2:$N$267,2,FALSE),"Ingrédient non trouvé")</f>
        <v>BOI001</v>
      </c>
      <c r="D67" s="120" t="s">
        <v>1058</v>
      </c>
      <c r="E67" s="120">
        <v>1</v>
      </c>
      <c r="F67" s="118" t="str">
        <f>INDEX(tbl_IngrédientsRef[Unité], MATCH(C67, tbl_IngrédientsRef[Cde_Ingrdt],0))</f>
        <v>Pièce</v>
      </c>
    </row>
    <row r="68" spans="1:6" x14ac:dyDescent="0.3">
      <c r="A68" s="122" t="s">
        <v>1061</v>
      </c>
      <c r="B68" s="116" t="str">
        <f>IFERROR(INDEX(tbl_ProduitsRef[Cde_Prdt],MATCH(A68,tbl_ProduitsRef[Produit],0)),"⚠️ Produit non trouvé")</f>
        <v>BCH007</v>
      </c>
      <c r="C68" s="120" t="str">
        <f>IFERROR(VLOOKUP(D68,Référentiels!$M$2:$N$267,2,FALSE),"Ingrédient non trouvé")</f>
        <v>PRL010</v>
      </c>
      <c r="D68" s="120" t="s">
        <v>992</v>
      </c>
      <c r="E68" s="120">
        <v>120</v>
      </c>
      <c r="F68" s="118" t="str">
        <f>INDEX(tbl_IngrédientsRef[Unité], MATCH(C68, tbl_IngrédientsRef[Cde_Ingrdt],0))</f>
        <v>ml</v>
      </c>
    </row>
    <row r="69" spans="1:6" x14ac:dyDescent="0.3">
      <c r="A69" s="122" t="s">
        <v>1063</v>
      </c>
      <c r="B69" s="116" t="str">
        <f>IFERROR(INDEX(tbl_ProduitsRef[Cde_Prdt],MATCH(A69,tbl_ProduitsRef[Produit],0)),"⚠️ Produit non trouvé")</f>
        <v>BCH010</v>
      </c>
      <c r="C69" s="120" t="str">
        <f>IFERROR(VLOOKUP(D69,Référentiels!$M$2:$N$267,2,FALSE),"Ingrédient non trouvé")</f>
        <v>PSU016</v>
      </c>
      <c r="D69" s="120" t="s">
        <v>1050</v>
      </c>
      <c r="E69" s="120">
        <v>8</v>
      </c>
      <c r="F69" s="118" t="str">
        <f>INDEX(tbl_IngrédientsRef[Unité], MATCH(C69, tbl_IngrédientsRef[Cde_Ingrdt],0))</f>
        <v>ml</v>
      </c>
    </row>
    <row r="70" spans="1:6" x14ac:dyDescent="0.3">
      <c r="A70" s="122" t="s">
        <v>1063</v>
      </c>
      <c r="B70" s="116" t="str">
        <f>IFERROR(INDEX(tbl_ProduitsRef[Cde_Prdt],MATCH(A70,tbl_ProduitsRef[Produit],0)),"⚠️ Produit non trouvé")</f>
        <v>BCH010</v>
      </c>
      <c r="C70" s="120" t="str">
        <f>IFERROR(VLOOKUP(D70,Référentiels!$M$2:$N$267,2,FALSE),"Ingrédient non trouvé")</f>
        <v>BOI001</v>
      </c>
      <c r="D70" s="120" t="s">
        <v>1058</v>
      </c>
      <c r="E70" s="120">
        <v>2</v>
      </c>
      <c r="F70" s="118" t="str">
        <f>INDEX(tbl_IngrédientsRef[Unité], MATCH(C70, tbl_IngrédientsRef[Cde_Ingrdt],0))</f>
        <v>Pièce</v>
      </c>
    </row>
    <row r="71" spans="1:6" x14ac:dyDescent="0.3">
      <c r="A71" s="122" t="s">
        <v>50</v>
      </c>
      <c r="B71" s="116" t="str">
        <f>IFERROR(INDEX(tbl_ProduitsRef[Cde_Prdt],MATCH(A71,tbl_ProduitsRef[Produit],0)),"⚠️ Produit non trouvé")</f>
        <v>BCH009</v>
      </c>
      <c r="C71" s="120" t="str">
        <f>IFERROR(VLOOKUP(D71,Référentiels!$M$2:$N$267,2,FALSE),"Ingrédient non trouvé")</f>
        <v>BOI001</v>
      </c>
      <c r="D71" s="120" t="s">
        <v>1058</v>
      </c>
      <c r="E71" s="120">
        <v>2</v>
      </c>
      <c r="F71" s="118" t="str">
        <f>INDEX(tbl_IngrédientsRef[Unité], MATCH(C71, tbl_IngrédientsRef[Cde_Ingrdt],0))</f>
        <v>Pièce</v>
      </c>
    </row>
    <row r="72" spans="1:6" x14ac:dyDescent="0.3">
      <c r="A72" s="122" t="s">
        <v>1066</v>
      </c>
      <c r="B72" s="116" t="str">
        <f>IFERROR(INDEX(tbl_ProduitsRef[Cde_Prdt],MATCH(A72,tbl_ProduitsRef[Produit],0)),"⚠️ Produit non trouvé")</f>
        <v>BCH011</v>
      </c>
      <c r="C72" s="120" t="str">
        <f>IFERROR(VLOOKUP(D72,Référentiels!$M$2:$N$267,2,FALSE),"Ingrédient non trouvé")</f>
        <v>PRL011</v>
      </c>
      <c r="D72" s="120" t="s">
        <v>1069</v>
      </c>
      <c r="E72" s="120">
        <v>15</v>
      </c>
      <c r="F72" s="118" t="str">
        <f>INDEX(tbl_IngrédientsRef[Unité], MATCH(C72, tbl_IngrédientsRef[Cde_Ingrdt],0))</f>
        <v>ml</v>
      </c>
    </row>
    <row r="73" spans="1:6" x14ac:dyDescent="0.3">
      <c r="A73" s="122" t="s">
        <v>1066</v>
      </c>
      <c r="B73" s="116" t="str">
        <f>IFERROR(INDEX(tbl_ProduitsRef[Cde_Prdt],MATCH(A73,tbl_ProduitsRef[Produit],0)),"⚠️ Produit non trouvé")</f>
        <v>BCH011</v>
      </c>
      <c r="C73" s="120" t="str">
        <f>IFERROR(VLOOKUP(D73,Référentiels!$M$2:$N$267,2,FALSE),"Ingrédient non trouvé")</f>
        <v>PSU003</v>
      </c>
      <c r="D73" s="120" t="s">
        <v>865</v>
      </c>
      <c r="E73" s="120">
        <v>15</v>
      </c>
      <c r="F73" s="118" t="str">
        <f>INDEX(tbl_IngrédientsRef[Unité], MATCH(C73, tbl_IngrédientsRef[Cde_Ingrdt],0))</f>
        <v>g</v>
      </c>
    </row>
    <row r="74" spans="1:6" x14ac:dyDescent="0.3">
      <c r="A74" s="122" t="s">
        <v>1066</v>
      </c>
      <c r="B74" s="116" t="str">
        <f>IFERROR(INDEX(tbl_ProduitsRef[Cde_Prdt],MATCH(A74,tbl_ProduitsRef[Produit],0)),"⚠️ Produit non trouvé")</f>
        <v>BCH011</v>
      </c>
      <c r="C74" s="120" t="str">
        <f>IFERROR(VLOOKUP(D74,Référentiels!$M$2:$N$267,2,FALSE),"Ingrédient non trouvé")</f>
        <v>PRL010</v>
      </c>
      <c r="D74" s="120" t="s">
        <v>992</v>
      </c>
      <c r="E74" s="120">
        <v>100</v>
      </c>
      <c r="F74" s="118" t="str">
        <f>INDEX(tbl_IngrédientsRef[Unité], MATCH(C74, tbl_IngrédientsRef[Cde_Ingrdt],0))</f>
        <v>ml</v>
      </c>
    </row>
    <row r="75" spans="1:6" x14ac:dyDescent="0.3">
      <c r="A75" s="122" t="s">
        <v>1066</v>
      </c>
      <c r="B75" s="116" t="str">
        <f>IFERROR(INDEX(tbl_ProduitsRef[Cde_Prdt],MATCH(A75,tbl_ProduitsRef[Produit],0)),"⚠️ Produit non trouvé")</f>
        <v>BCH011</v>
      </c>
      <c r="C75" s="120" t="str">
        <f>IFERROR(VLOOKUP(D75,Référentiels!$M$2:$N$267,2,FALSE),"Ingrédient non trouvé")</f>
        <v>CDM001</v>
      </c>
      <c r="D75" s="120" t="s">
        <v>871</v>
      </c>
      <c r="E75" s="120">
        <v>20</v>
      </c>
      <c r="F75" s="118" t="str">
        <f>INDEX(tbl_IngrédientsRef[Unité], MATCH(C75, tbl_IngrédientsRef[Cde_Ingrdt],0))</f>
        <v>g</v>
      </c>
    </row>
    <row r="76" spans="1:6" x14ac:dyDescent="0.3">
      <c r="A76" s="122" t="s">
        <v>1070</v>
      </c>
      <c r="B76" s="116" t="str">
        <f>IFERROR(INDEX(tbl_ProduitsRef[Cde_Prdt],MATCH(A76,tbl_ProduitsRef[Produit],0)),"⚠️ Produit non trouvé")</f>
        <v>BCH013</v>
      </c>
      <c r="C76" s="120" t="str">
        <f>IFERROR(VLOOKUP(D76,Référentiels!$M$2:$N$267,2,FALSE),"Ingrédient non trouvé")</f>
        <v>BOI001</v>
      </c>
      <c r="D76" s="120" t="s">
        <v>1058</v>
      </c>
      <c r="E76" s="120">
        <v>1</v>
      </c>
      <c r="F76" s="118" t="str">
        <f>INDEX(tbl_IngrédientsRef[Unité], MATCH(C76, tbl_IngrédientsRef[Cde_Ingrdt],0))</f>
        <v>Pièce</v>
      </c>
    </row>
    <row r="77" spans="1:6" x14ac:dyDescent="0.3">
      <c r="A77" s="122" t="s">
        <v>1070</v>
      </c>
      <c r="B77" s="116" t="str">
        <f>IFERROR(INDEX(tbl_ProduitsRef[Cde_Prdt],MATCH(A77,tbl_ProduitsRef[Produit],0)),"⚠️ Produit non trouvé")</f>
        <v>BCH013</v>
      </c>
      <c r="C77" s="120" t="str">
        <f>IFERROR(VLOOKUP(D77,Référentiels!$M$2:$N$267,2,FALSE),"Ingrédient non trouvé")</f>
        <v>PSU008</v>
      </c>
      <c r="D77" s="120" t="s">
        <v>1030</v>
      </c>
      <c r="E77" s="120">
        <v>10</v>
      </c>
      <c r="F77" s="118" t="str">
        <f>INDEX(tbl_IngrédientsRef[Unité], MATCH(C77, tbl_IngrédientsRef[Cde_Ingrdt],0))</f>
        <v>g</v>
      </c>
    </row>
    <row r="78" spans="1:6" x14ac:dyDescent="0.3">
      <c r="A78" s="122" t="s">
        <v>1070</v>
      </c>
      <c r="B78" s="116" t="str">
        <f>IFERROR(INDEX(tbl_ProduitsRef[Cde_Prdt],MATCH(A78,tbl_ProduitsRef[Produit],0)),"⚠️ Produit non trouvé")</f>
        <v>BCH013</v>
      </c>
      <c r="C78" s="120" t="str">
        <f>IFERROR(VLOOKUP(D78,Référentiels!$M$2:$N$267,2,FALSE),"Ingrédient non trouvé")</f>
        <v>PRL010</v>
      </c>
      <c r="D78" s="120" t="s">
        <v>992</v>
      </c>
      <c r="E78" s="120">
        <v>100</v>
      </c>
      <c r="F78" s="118" t="str">
        <f>INDEX(tbl_IngrédientsRef[Unité], MATCH(C78, tbl_IngrédientsRef[Cde_Ingrdt],0))</f>
        <v>ml</v>
      </c>
    </row>
    <row r="79" spans="1:6" x14ac:dyDescent="0.3">
      <c r="A79" s="122" t="s">
        <v>1072</v>
      </c>
      <c r="B79" s="116" t="str">
        <f>IFERROR(INDEX(tbl_ProduitsRef[Cde_Prdt],MATCH(A79,tbl_ProduitsRef[Produit],0)),"⚠️ Produit non trouvé")</f>
        <v>BCH012</v>
      </c>
      <c r="C79" s="120" t="str">
        <f>IFERROR(VLOOKUP(D79,Référentiels!$M$2:$N$267,2,FALSE),"Ingrédient non trouvé")</f>
        <v>BOI001</v>
      </c>
      <c r="D79" s="120" t="s">
        <v>1058</v>
      </c>
      <c r="E79" s="120">
        <v>1</v>
      </c>
      <c r="F79" s="118" t="str">
        <f>INDEX(tbl_IngrédientsRef[Unité], MATCH(C79, tbl_IngrédientsRef[Cde_Ingrdt],0))</f>
        <v>Pièce</v>
      </c>
    </row>
    <row r="80" spans="1:6" x14ac:dyDescent="0.3">
      <c r="A80" s="122" t="s">
        <v>1072</v>
      </c>
      <c r="B80" s="116" t="str">
        <f>IFERROR(INDEX(tbl_ProduitsRef[Cde_Prdt],MATCH(A80,tbl_ProduitsRef[Produit],0)),"⚠️ Produit non trouvé")</f>
        <v>BCH012</v>
      </c>
      <c r="C80" s="120" t="str">
        <f>IFERROR(VLOOKUP(D80,Référentiels!$M$2:$N$267,2,FALSE),"Ingrédient non trouvé")</f>
        <v>PSU009</v>
      </c>
      <c r="D80" s="120" t="s">
        <v>1075</v>
      </c>
      <c r="E80" s="120">
        <v>15</v>
      </c>
      <c r="F80" s="118" t="str">
        <f>INDEX(tbl_IngrédientsRef[Unité], MATCH(C80, tbl_IngrédientsRef[Cde_Ingrdt],0))</f>
        <v>g</v>
      </c>
    </row>
    <row r="81" spans="1:6" x14ac:dyDescent="0.3">
      <c r="A81" s="122" t="s">
        <v>1072</v>
      </c>
      <c r="B81" s="116" t="str">
        <f>IFERROR(INDEX(tbl_ProduitsRef[Cde_Prdt],MATCH(A81,tbl_ProduitsRef[Produit],0)),"⚠️ Produit non trouvé")</f>
        <v>BCH012</v>
      </c>
      <c r="C81" s="120" t="str">
        <f>IFERROR(VLOOKUP(D81,Référentiels!$M$2:$N$267,2,FALSE),"Ingrédient non trouvé")</f>
        <v>PRL010</v>
      </c>
      <c r="D81" s="120" t="s">
        <v>992</v>
      </c>
      <c r="E81" s="120">
        <v>100</v>
      </c>
      <c r="F81" s="118" t="str">
        <f>INDEX(tbl_IngrédientsRef[Unité], MATCH(C81, tbl_IngrédientsRef[Cde_Ingrdt],0))</f>
        <v>ml</v>
      </c>
    </row>
    <row r="82" spans="1:6" x14ac:dyDescent="0.3">
      <c r="A82" s="122" t="s">
        <v>1072</v>
      </c>
      <c r="B82" s="116" t="str">
        <f>IFERROR(INDEX(tbl_ProduitsRef[Cde_Prdt],MATCH(A82,tbl_ProduitsRef[Produit],0)),"⚠️ Produit non trouvé")</f>
        <v>BCH012</v>
      </c>
      <c r="C82" s="120" t="str">
        <f>IFERROR(VLOOKUP(D82,Référentiels!$M$2:$N$267,2,FALSE),"Ingrédient non trouvé")</f>
        <v>CDM001</v>
      </c>
      <c r="D82" s="120" t="s">
        <v>871</v>
      </c>
      <c r="E82" s="120">
        <v>15</v>
      </c>
      <c r="F82" s="118" t="str">
        <f>INDEX(tbl_IngrédientsRef[Unité], MATCH(C82, tbl_IngrédientsRef[Cde_Ingrdt],0))</f>
        <v>g</v>
      </c>
    </row>
    <row r="83" spans="1:6" x14ac:dyDescent="0.3">
      <c r="A83" s="122" t="s">
        <v>1076</v>
      </c>
      <c r="B83" s="116" t="str">
        <f>IFERROR(INDEX(tbl_ProduitsRef[Cde_Prdt],MATCH(A83,tbl_ProduitsRef[Produit],0)),"⚠️ Produit non trouvé")</f>
        <v>BCH014</v>
      </c>
      <c r="C83" s="120" t="str">
        <f>IFERROR(VLOOKUP(D83,Référentiels!$M$2:$N$267,2,FALSE),"Ingrédient non trouvé")</f>
        <v>BOI001</v>
      </c>
      <c r="D83" s="120" t="s">
        <v>1058</v>
      </c>
      <c r="E83" s="120">
        <v>1</v>
      </c>
      <c r="F83" s="118" t="str">
        <f>INDEX(tbl_IngrédientsRef[Unité], MATCH(C83, tbl_IngrédientsRef[Cde_Ingrdt],0))</f>
        <v>Pièce</v>
      </c>
    </row>
    <row r="84" spans="1:6" x14ac:dyDescent="0.3">
      <c r="A84" s="122" t="s">
        <v>1076</v>
      </c>
      <c r="B84" s="116" t="str">
        <f>IFERROR(INDEX(tbl_ProduitsRef[Cde_Prdt],MATCH(A84,tbl_ProduitsRef[Produit],0)),"⚠️ Produit non trouvé")</f>
        <v>BCH014</v>
      </c>
      <c r="C84" s="120" t="str">
        <f>IFERROR(VLOOKUP(D84,Référentiels!$M$2:$N$267,2,FALSE),"Ingrédient non trouvé")</f>
        <v>PRL010</v>
      </c>
      <c r="D84" s="120" t="s">
        <v>992</v>
      </c>
      <c r="E84" s="120">
        <v>100</v>
      </c>
      <c r="F84" s="118" t="str">
        <f>INDEX(tbl_IngrédientsRef[Unité], MATCH(C84, tbl_IngrédientsRef[Cde_Ingrdt],0))</f>
        <v>ml</v>
      </c>
    </row>
    <row r="85" spans="1:6" x14ac:dyDescent="0.3">
      <c r="A85" s="122" t="s">
        <v>1076</v>
      </c>
      <c r="B85" s="116" t="str">
        <f>IFERROR(INDEX(tbl_ProduitsRef[Cde_Prdt],MATCH(A85,tbl_ProduitsRef[Produit],0)),"⚠️ Produit non trouvé")</f>
        <v>BCH014</v>
      </c>
      <c r="C85" s="120" t="str">
        <f>IFERROR(VLOOKUP(D85,Référentiels!$M$2:$N$267,2,FALSE),"Ingrédient non trouvé")</f>
        <v>PSU016</v>
      </c>
      <c r="D85" s="120" t="s">
        <v>1050</v>
      </c>
      <c r="E85" s="120">
        <v>10</v>
      </c>
      <c r="F85" s="118" t="str">
        <f>INDEX(tbl_IngrédientsRef[Unité], MATCH(C85, tbl_IngrédientsRef[Cde_Ingrdt],0))</f>
        <v>ml</v>
      </c>
    </row>
    <row r="86" spans="1:6" x14ac:dyDescent="0.3">
      <c r="A86" s="122" t="s">
        <v>1078</v>
      </c>
      <c r="B86" s="116" t="str">
        <f>IFERROR(INDEX(tbl_ProduitsRef[Cde_Prdt],MATCH(A86,tbl_ProduitsRef[Produit],0)),"⚠️ Produit non trouvé")</f>
        <v>BCH015</v>
      </c>
      <c r="C86" s="120" t="str">
        <f>IFERROR(VLOOKUP(D86,Référentiels!$M$2:$N$267,2,FALSE),"Ingrédient non trouvé")</f>
        <v>CDM001</v>
      </c>
      <c r="D86" s="120" t="s">
        <v>871</v>
      </c>
      <c r="E86" s="120">
        <v>15</v>
      </c>
      <c r="F86" s="118" t="str">
        <f>INDEX(tbl_IngrédientsRef[Unité], MATCH(C86, tbl_IngrédientsRef[Cde_Ingrdt],0))</f>
        <v>g</v>
      </c>
    </row>
    <row r="87" spans="1:6" x14ac:dyDescent="0.3">
      <c r="A87" s="122" t="s">
        <v>1078</v>
      </c>
      <c r="B87" s="116" t="str">
        <f>IFERROR(INDEX(tbl_ProduitsRef[Cde_Prdt],MATCH(A87,tbl_ProduitsRef[Produit],0)),"⚠️ Produit non trouvé")</f>
        <v>BCH015</v>
      </c>
      <c r="C87" s="120" t="str">
        <f>IFERROR(VLOOKUP(D87,Référentiels!$M$2:$N$267,2,FALSE),"Ingrédient non trouvé")</f>
        <v>BOI001</v>
      </c>
      <c r="D87" s="120" t="s">
        <v>1058</v>
      </c>
      <c r="E87" s="120">
        <v>1</v>
      </c>
      <c r="F87" s="118" t="str">
        <f>INDEX(tbl_IngrédientsRef[Unité], MATCH(C87, tbl_IngrédientsRef[Cde_Ingrdt],0))</f>
        <v>Pièce</v>
      </c>
    </row>
    <row r="88" spans="1:6" x14ac:dyDescent="0.3">
      <c r="A88" s="122" t="s">
        <v>1078</v>
      </c>
      <c r="B88" s="116" t="str">
        <f>IFERROR(INDEX(tbl_ProduitsRef[Cde_Prdt],MATCH(A88,tbl_ProduitsRef[Produit],0)),"⚠️ Produit non trouvé")</f>
        <v>BCH015</v>
      </c>
      <c r="C88" s="120" t="str">
        <f>IFERROR(VLOOKUP(D88,Référentiels!$M$2:$N$267,2,FALSE),"Ingrédient non trouvé")</f>
        <v>PRL010</v>
      </c>
      <c r="D88" s="120" t="s">
        <v>992</v>
      </c>
      <c r="E88" s="120">
        <v>100</v>
      </c>
      <c r="F88" s="118" t="str">
        <f>INDEX(tbl_IngrédientsRef[Unité], MATCH(C88, tbl_IngrédientsRef[Cde_Ingrdt],0))</f>
        <v>ml</v>
      </c>
    </row>
    <row r="89" spans="1:6" x14ac:dyDescent="0.3">
      <c r="A89" s="122" t="s">
        <v>1078</v>
      </c>
      <c r="B89" s="116" t="str">
        <f>IFERROR(INDEX(tbl_ProduitsRef[Cde_Prdt],MATCH(A89,tbl_ProduitsRef[Produit],0)),"⚠️ Produit non trouvé")</f>
        <v>BCH015</v>
      </c>
      <c r="C89" s="120" t="str">
        <f>IFERROR(VLOOKUP(D89,Référentiels!$M$2:$N$267,2,FALSE),"Ingrédient non trouvé")</f>
        <v>PSU016</v>
      </c>
      <c r="D89" s="120" t="s">
        <v>1050</v>
      </c>
      <c r="E89" s="120">
        <v>8</v>
      </c>
      <c r="F89" s="118" t="str">
        <f>INDEX(tbl_IngrédientsRef[Unité], MATCH(C89, tbl_IngrédientsRef[Cde_Ingrdt],0))</f>
        <v>ml</v>
      </c>
    </row>
    <row r="90" spans="1:6" x14ac:dyDescent="0.3">
      <c r="A90" s="122" t="s">
        <v>1080</v>
      </c>
      <c r="B90" s="116" t="str">
        <f>IFERROR(INDEX(tbl_ProduitsRef[Cde_Prdt],MATCH(A90,tbl_ProduitsRef[Produit],0)),"⚠️ Produit non trouvé")</f>
        <v>BCH016</v>
      </c>
      <c r="C90" s="120" t="str">
        <f>IFERROR(VLOOKUP(D90,Référentiels!$M$2:$N$267,2,FALSE),"Ingrédient non trouvé")</f>
        <v>CDM001</v>
      </c>
      <c r="D90" s="120" t="s">
        <v>871</v>
      </c>
      <c r="E90" s="120">
        <v>20</v>
      </c>
      <c r="F90" s="118" t="str">
        <f>INDEX(tbl_IngrédientsRef[Unité], MATCH(C90, tbl_IngrédientsRef[Cde_Ingrdt],0))</f>
        <v>g</v>
      </c>
    </row>
    <row r="91" spans="1:6" x14ac:dyDescent="0.3">
      <c r="A91" s="122" t="s">
        <v>1080</v>
      </c>
      <c r="B91" s="116" t="str">
        <f>IFERROR(INDEX(tbl_ProduitsRef[Cde_Prdt],MATCH(A91,tbl_ProduitsRef[Produit],0)),"⚠️ Produit non trouvé")</f>
        <v>BCH016</v>
      </c>
      <c r="C91" s="120" t="str">
        <f>IFERROR(VLOOKUP(D91,Référentiels!$M$2:$N$267,2,FALSE),"Ingrédient non trouvé")</f>
        <v>BOI001</v>
      </c>
      <c r="D91" s="120" t="s">
        <v>1058</v>
      </c>
      <c r="E91" s="120">
        <v>1</v>
      </c>
      <c r="F91" s="118" t="str">
        <f>INDEX(tbl_IngrédientsRef[Unité], MATCH(C91, tbl_IngrédientsRef[Cde_Ingrdt],0))</f>
        <v>Pièce</v>
      </c>
    </row>
    <row r="92" spans="1:6" x14ac:dyDescent="0.3">
      <c r="A92" s="122" t="s">
        <v>1080</v>
      </c>
      <c r="B92" s="116" t="str">
        <f>IFERROR(INDEX(tbl_ProduitsRef[Cde_Prdt],MATCH(A92,tbl_ProduitsRef[Produit],0)),"⚠️ Produit non trouvé")</f>
        <v>BCH016</v>
      </c>
      <c r="C92" s="120" t="str">
        <f>IFERROR(VLOOKUP(D92,Référentiels!$M$2:$N$267,2,FALSE),"Ingrédient non trouvé")</f>
        <v>PRL010</v>
      </c>
      <c r="D92" s="120" t="s">
        <v>992</v>
      </c>
      <c r="E92" s="120">
        <v>100</v>
      </c>
      <c r="F92" s="118" t="str">
        <f>INDEX(tbl_IngrédientsRef[Unité], MATCH(C92, tbl_IngrédientsRef[Cde_Ingrdt],0))</f>
        <v>ml</v>
      </c>
    </row>
    <row r="93" spans="1:6" x14ac:dyDescent="0.3">
      <c r="A93" s="122" t="s">
        <v>1277</v>
      </c>
      <c r="B93" s="116" t="str">
        <f>IFERROR(INDEX(tbl_ProduitsRef[Cde_Prdt],MATCH(A93,tbl_ProduitsRef[Produit],0)),"⚠️ Produit non trouvé")</f>
        <v>BCH017</v>
      </c>
      <c r="C93" s="120" t="str">
        <f>IFERROR(VLOOKUP(D93,Référentiels!$M$2:$N$267,2,FALSE),"Ingrédient non trouvé")</f>
        <v>PSU009</v>
      </c>
      <c r="D93" s="120" t="s">
        <v>1075</v>
      </c>
      <c r="E93" s="120">
        <v>100</v>
      </c>
      <c r="F93" s="118" t="str">
        <f>INDEX(tbl_IngrédientsRef[Unité], MATCH(C93, tbl_IngrédientsRef[Cde_Ingrdt],0))</f>
        <v>g</v>
      </c>
    </row>
    <row r="94" spans="1:6" x14ac:dyDescent="0.3">
      <c r="A94" s="122" t="s">
        <v>1277</v>
      </c>
      <c r="B94" s="116" t="str">
        <f>IFERROR(INDEX(tbl_ProduitsRef[Cde_Prdt],MATCH(A94,tbl_ProduitsRef[Produit],0)),"⚠️ Produit non trouvé")</f>
        <v>BCH017</v>
      </c>
      <c r="C94" s="120" t="str">
        <f>IFERROR(VLOOKUP(D94,Référentiels!$M$2:$N$267,2,FALSE),"Ingrédient non trouvé")</f>
        <v>BOI001</v>
      </c>
      <c r="D94" s="120" t="s">
        <v>1058</v>
      </c>
      <c r="E94" s="120">
        <v>1</v>
      </c>
      <c r="F94" s="118" t="str">
        <f>INDEX(tbl_IngrédientsRef[Unité], MATCH(C94, tbl_IngrédientsRef[Cde_Ingrdt],0))</f>
        <v>Pièce</v>
      </c>
    </row>
    <row r="95" spans="1:6" x14ac:dyDescent="0.3">
      <c r="A95" s="122" t="s">
        <v>1277</v>
      </c>
      <c r="B95" s="116" t="str">
        <f>IFERROR(INDEX(tbl_ProduitsRef[Cde_Prdt],MATCH(A95,tbl_ProduitsRef[Produit],0)),"⚠️ Produit non trouvé")</f>
        <v>BCH017</v>
      </c>
      <c r="C95" s="120" t="str">
        <f>IFERROR(VLOOKUP(D95,Référentiels!$M$2:$N$267,2,FALSE),"Ingrédient non trouvé")</f>
        <v>EPI001</v>
      </c>
      <c r="D95" s="120" t="s">
        <v>1274</v>
      </c>
      <c r="E95" s="120">
        <v>2</v>
      </c>
      <c r="F95" s="118" t="str">
        <f>INDEX(tbl_IngrédientsRef[Unité], MATCH(C95, tbl_IngrédientsRef[Cde_Ingrdt],0))</f>
        <v>g</v>
      </c>
    </row>
    <row r="96" spans="1:6" x14ac:dyDescent="0.3">
      <c r="A96" s="122" t="s">
        <v>1078</v>
      </c>
      <c r="B96" s="116" t="str">
        <f>IFERROR(INDEX(tbl_ProduitsRef[Cde_Prdt],MATCH(A96,tbl_ProduitsRef[Produit],0)),"⚠️ Produit non trouvé")</f>
        <v>BCH015</v>
      </c>
      <c r="C96" s="120" t="str">
        <f>IFERROR(VLOOKUP(D96,Référentiels!$M$2:$N$267,2,FALSE),"Ingrédient non trouvé")</f>
        <v>CDM001</v>
      </c>
      <c r="D96" s="120" t="s">
        <v>871</v>
      </c>
      <c r="E96" s="120">
        <v>20</v>
      </c>
      <c r="F96" s="118" t="str">
        <f>INDEX(tbl_IngrédientsRef[Unité], MATCH(C96, tbl_IngrédientsRef[Cde_Ingrdt],0))</f>
        <v>g</v>
      </c>
    </row>
    <row r="97" spans="1:6" x14ac:dyDescent="0.3">
      <c r="A97" s="122" t="s">
        <v>1078</v>
      </c>
      <c r="B97" s="116" t="str">
        <f>IFERROR(INDEX(tbl_ProduitsRef[Cde_Prdt],MATCH(A97,tbl_ProduitsRef[Produit],0)),"⚠️ Produit non trouvé")</f>
        <v>BCH015</v>
      </c>
      <c r="C97" s="120" t="str">
        <f>IFERROR(VLOOKUP(D97,Référentiels!$M$2:$N$267,2,FALSE),"Ingrédient non trouvé")</f>
        <v>BOI001</v>
      </c>
      <c r="D97" s="120" t="s">
        <v>1058</v>
      </c>
      <c r="E97" s="120">
        <v>1</v>
      </c>
      <c r="F97" s="118" t="str">
        <f>INDEX(tbl_IngrédientsRef[Unité], MATCH(C97, tbl_IngrédientsRef[Cde_Ingrdt],0))</f>
        <v>Pièce</v>
      </c>
    </row>
    <row r="98" spans="1:6" x14ac:dyDescent="0.3">
      <c r="A98" s="122" t="s">
        <v>1078</v>
      </c>
      <c r="B98" s="116" t="str">
        <f>IFERROR(INDEX(tbl_ProduitsRef[Cde_Prdt],MATCH(A98,tbl_ProduitsRef[Produit],0)),"⚠️ Produit non trouvé")</f>
        <v>BCH015</v>
      </c>
      <c r="C98" s="120" t="str">
        <f>IFERROR(VLOOKUP(D98,Référentiels!$M$2:$N$267,2,FALSE),"Ingrédient non trouvé")</f>
        <v>PRL010</v>
      </c>
      <c r="D98" s="120" t="s">
        <v>992</v>
      </c>
      <c r="E98" s="120">
        <v>100</v>
      </c>
      <c r="F98" s="118" t="str">
        <f>INDEX(tbl_IngrédientsRef[Unité], MATCH(C98, tbl_IngrédientsRef[Cde_Ingrdt],0))</f>
        <v>ml</v>
      </c>
    </row>
    <row r="99" spans="1:6" x14ac:dyDescent="0.3">
      <c r="A99" s="122" t="s">
        <v>1078</v>
      </c>
      <c r="B99" s="116" t="str">
        <f>IFERROR(INDEX(tbl_ProduitsRef[Cde_Prdt],MATCH(A99,tbl_ProduitsRef[Produit],0)),"⚠️ Produit non trouvé")</f>
        <v>BCH015</v>
      </c>
      <c r="C99" s="120" t="str">
        <f>IFERROR(VLOOKUP(D99,Référentiels!$M$2:$N$267,2,FALSE),"Ingrédient non trouvé")</f>
        <v>PSU016</v>
      </c>
      <c r="D99" s="120" t="s">
        <v>1050</v>
      </c>
      <c r="E99" s="120">
        <v>8</v>
      </c>
      <c r="F99" s="118" t="str">
        <f>INDEX(tbl_IngrédientsRef[Unité], MATCH(C99, tbl_IngrédientsRef[Cde_Ingrdt],0))</f>
        <v>ml</v>
      </c>
    </row>
    <row r="100" spans="1:6" x14ac:dyDescent="0.3">
      <c r="A100" s="122" t="s">
        <v>1082</v>
      </c>
      <c r="B100" s="116" t="str">
        <f>IFERROR(INDEX(tbl_ProduitsRef[Cde_Prdt],MATCH(A100,tbl_ProduitsRef[Produit],0)),"⚠️ Produit non trouvé")</f>
        <v>BCH008</v>
      </c>
      <c r="C100" s="120" t="str">
        <f>IFERROR(VLOOKUP(D100,Référentiels!$M$2:$N$267,2,FALSE),"Ingrédient non trouvé")</f>
        <v>BOI001</v>
      </c>
      <c r="D100" s="120" t="s">
        <v>1058</v>
      </c>
      <c r="E100" s="120">
        <v>1</v>
      </c>
      <c r="F100" s="118" t="str">
        <f>INDEX(tbl_IngrédientsRef[Unité], MATCH(C100, tbl_IngrédientsRef[Cde_Ingrdt],0))</f>
        <v>Pièce</v>
      </c>
    </row>
    <row r="101" spans="1:6" x14ac:dyDescent="0.3">
      <c r="A101" s="122" t="s">
        <v>1082</v>
      </c>
      <c r="B101" s="116" t="str">
        <f>IFERROR(INDEX(tbl_ProduitsRef[Cde_Prdt],MATCH(A101,tbl_ProduitsRef[Produit],0)),"⚠️ Produit non trouvé")</f>
        <v>BCH008</v>
      </c>
      <c r="C101" s="120" t="str">
        <f>IFERROR(VLOOKUP(D101,Référentiels!$M$2:$N$267,2,FALSE),"Ingrédient non trouvé")</f>
        <v>PRL010</v>
      </c>
      <c r="D101" s="120" t="s">
        <v>992</v>
      </c>
      <c r="E101" s="120">
        <v>100</v>
      </c>
      <c r="F101" s="118" t="str">
        <f>INDEX(tbl_IngrédientsRef[Unité], MATCH(C101, tbl_IngrédientsRef[Cde_Ingrdt],0))</f>
        <v>ml</v>
      </c>
    </row>
    <row r="102" spans="1:6" x14ac:dyDescent="0.3">
      <c r="A102" s="122" t="s">
        <v>1084</v>
      </c>
      <c r="B102" s="116" t="str">
        <f>IFERROR(INDEX(tbl_ProduitsRef[Cde_Prdt],MATCH(A102,tbl_ProduitsRef[Produit],0)),"⚠️ Produit non trouvé")</f>
        <v>BCH020</v>
      </c>
      <c r="C102" s="120" t="str">
        <f>IFERROR(VLOOKUP(D102,Référentiels!$M$2:$N$267,2,FALSE),"Ingrédient non trouvé")</f>
        <v>PRL010</v>
      </c>
      <c r="D102" s="120" t="s">
        <v>992</v>
      </c>
      <c r="E102" s="120">
        <v>120</v>
      </c>
      <c r="F102" s="118" t="str">
        <f>INDEX(tbl_IngrédientsRef[Unité], MATCH(C102, tbl_IngrédientsRef[Cde_Ingrdt],0))</f>
        <v>ml</v>
      </c>
    </row>
    <row r="103" spans="1:6" x14ac:dyDescent="0.3">
      <c r="A103" s="122" t="s">
        <v>1084</v>
      </c>
      <c r="B103" s="116" t="str">
        <f>IFERROR(INDEX(tbl_ProduitsRef[Cde_Prdt],MATCH(A103,tbl_ProduitsRef[Produit],0)),"⚠️ Produit non trouvé")</f>
        <v>BCH020</v>
      </c>
      <c r="C103" s="120" t="str">
        <f>IFERROR(VLOOKUP(D103,Référentiels!$M$2:$N$267,2,FALSE),"Ingrédient non trouvé")</f>
        <v>BOI001</v>
      </c>
      <c r="D103" s="120" t="s">
        <v>1058</v>
      </c>
      <c r="E103" s="120">
        <v>1</v>
      </c>
      <c r="F103" s="118" t="str">
        <f>INDEX(tbl_IngrédientsRef[Unité], MATCH(C103, tbl_IngrédientsRef[Cde_Ingrdt],0))</f>
        <v>Pièce</v>
      </c>
    </row>
    <row r="104" spans="1:6" x14ac:dyDescent="0.3">
      <c r="A104" s="122" t="s">
        <v>1084</v>
      </c>
      <c r="B104" s="116" t="str">
        <f>IFERROR(INDEX(tbl_ProduitsRef[Cde_Prdt],MATCH(A104,tbl_ProduitsRef[Produit],0)),"⚠️ Produit non trouvé")</f>
        <v>BCH020</v>
      </c>
      <c r="C104" s="120" t="str">
        <f>IFERROR(VLOOKUP(D104,Référentiels!$M$2:$N$267,2,FALSE),"Ingrédient non trouvé")</f>
        <v>PSU009</v>
      </c>
      <c r="D104" s="120" t="s">
        <v>1075</v>
      </c>
      <c r="E104" s="120">
        <v>40</v>
      </c>
      <c r="F104" s="118" t="str">
        <f>INDEX(tbl_IngrédientsRef[Unité], MATCH(C104, tbl_IngrédientsRef[Cde_Ingrdt],0))</f>
        <v>g</v>
      </c>
    </row>
    <row r="105" spans="1:6" x14ac:dyDescent="0.3">
      <c r="A105" s="122" t="s">
        <v>1084</v>
      </c>
      <c r="B105" s="116" t="str">
        <f>IFERROR(INDEX(tbl_ProduitsRef[Cde_Prdt],MATCH(A105,tbl_ProduitsRef[Produit],0)),"⚠️ Produit non trouvé")</f>
        <v>BCH020</v>
      </c>
      <c r="C105" s="120" t="str">
        <f>IFERROR(VLOOKUP(D105,Référentiels!$M$2:$N$267,2,FALSE),"Ingrédient non trouvé")</f>
        <v>PRL011</v>
      </c>
      <c r="D105" s="120" t="s">
        <v>1069</v>
      </c>
      <c r="E105" s="120">
        <v>10</v>
      </c>
      <c r="F105" s="118" t="str">
        <f>INDEX(tbl_IngrédientsRef[Unité], MATCH(C105, tbl_IngrédientsRef[Cde_Ingrdt],0))</f>
        <v>ml</v>
      </c>
    </row>
    <row r="106" spans="1:6" x14ac:dyDescent="0.3">
      <c r="A106" s="122" t="s">
        <v>1084</v>
      </c>
      <c r="B106" s="116" t="str">
        <f>IFERROR(INDEX(tbl_ProduitsRef[Cde_Prdt],MATCH(A106,tbl_ProduitsRef[Produit],0)),"⚠️ Produit non trouvé")</f>
        <v>BCH020</v>
      </c>
      <c r="C106" s="120" t="str">
        <f>IFERROR(VLOOKUP(D106,Référentiels!$M$2:$N$267,2,FALSE),"Ingrédient non trouvé")</f>
        <v>CDM001</v>
      </c>
      <c r="D106" s="120" t="s">
        <v>871</v>
      </c>
      <c r="E106" s="120">
        <v>20</v>
      </c>
      <c r="F106" s="118" t="str">
        <f>INDEX(tbl_IngrédientsRef[Unité], MATCH(C106, tbl_IngrédientsRef[Cde_Ingrdt],0))</f>
        <v>g</v>
      </c>
    </row>
    <row r="107" spans="1:6" x14ac:dyDescent="0.3">
      <c r="A107" s="122" t="s">
        <v>1084</v>
      </c>
      <c r="B107" s="116" t="str">
        <f>IFERROR(INDEX(tbl_ProduitsRef[Cde_Prdt],MATCH(A107,tbl_ProduitsRef[Produit],0)),"⚠️ Produit non trouvé")</f>
        <v>BCH020</v>
      </c>
      <c r="C107" s="120" t="str">
        <f>IFERROR(VLOOKUP(D107,Référentiels!$M$2:$N$267,2,FALSE),"Ingrédient non trouvé")</f>
        <v>PSU013</v>
      </c>
      <c r="D107" s="120" t="s">
        <v>1087</v>
      </c>
      <c r="E107" s="120">
        <v>3</v>
      </c>
      <c r="F107" s="118" t="str">
        <f>INDEX(tbl_IngrédientsRef[Unité], MATCH(C107, tbl_IngrédientsRef[Cde_Ingrdt],0))</f>
        <v>g</v>
      </c>
    </row>
    <row r="108" spans="1:6" x14ac:dyDescent="0.3">
      <c r="A108" s="122" t="s">
        <v>1084</v>
      </c>
      <c r="B108" s="116" t="str">
        <f>IFERROR(INDEX(tbl_ProduitsRef[Cde_Prdt],MATCH(A108,tbl_ProduitsRef[Produit],0)),"⚠️ Produit non trouvé")</f>
        <v>BCH020</v>
      </c>
      <c r="C108" s="120" t="str">
        <f>IFERROR(VLOOKUP(D108,Référentiels!$M$2:$N$267,2,FALSE),"Ingrédient non trouvé")</f>
        <v>PSU015</v>
      </c>
      <c r="D108" s="120" t="s">
        <v>1089</v>
      </c>
      <c r="E108" s="120">
        <v>20</v>
      </c>
      <c r="F108" s="118" t="str">
        <f>INDEX(tbl_IngrédientsRef[Unité], MATCH(C108, tbl_IngrédientsRef[Cde_Ingrdt],0))</f>
        <v>ml</v>
      </c>
    </row>
    <row r="109" spans="1:6" x14ac:dyDescent="0.3">
      <c r="A109" s="122" t="s">
        <v>1090</v>
      </c>
      <c r="B109" s="116" t="str">
        <f>IFERROR(INDEX(tbl_ProduitsRef[Cde_Prdt],MATCH(A109,tbl_ProduitsRef[Produit],0)),"⚠️ Produit non trouvé")</f>
        <v>BCH021</v>
      </c>
      <c r="C109" s="120" t="str">
        <f>IFERROR(VLOOKUP(D109,Référentiels!$M$2:$N$267,2,FALSE),"Ingrédient non trouvé")</f>
        <v>PSU009</v>
      </c>
      <c r="D109" s="120" t="s">
        <v>1075</v>
      </c>
      <c r="E109" s="120">
        <v>40</v>
      </c>
      <c r="F109" s="118" t="str">
        <f>INDEX(tbl_IngrédientsRef[Unité], MATCH(C109, tbl_IngrédientsRef[Cde_Ingrdt],0))</f>
        <v>g</v>
      </c>
    </row>
    <row r="110" spans="1:6" x14ac:dyDescent="0.3">
      <c r="A110" s="122" t="s">
        <v>1090</v>
      </c>
      <c r="B110" s="116" t="str">
        <f>IFERROR(INDEX(tbl_ProduitsRef[Cde_Prdt],MATCH(A110,tbl_ProduitsRef[Produit],0)),"⚠️ Produit non trouvé")</f>
        <v>BCH021</v>
      </c>
      <c r="C110" s="120" t="str">
        <f>IFERROR(VLOOKUP(D110,Référentiels!$M$2:$N$267,2,FALSE),"Ingrédient non trouvé")</f>
        <v>PSU016</v>
      </c>
      <c r="D110" s="120" t="s">
        <v>1050</v>
      </c>
      <c r="E110" s="120">
        <v>5</v>
      </c>
      <c r="F110" s="118" t="str">
        <f>INDEX(tbl_IngrédientsRef[Unité], MATCH(C110, tbl_IngrédientsRef[Cde_Ingrdt],0))</f>
        <v>ml</v>
      </c>
    </row>
    <row r="111" spans="1:6" x14ac:dyDescent="0.3">
      <c r="A111" s="122" t="s">
        <v>1090</v>
      </c>
      <c r="B111" s="116" t="str">
        <f>IFERROR(INDEX(tbl_ProduitsRef[Cde_Prdt],MATCH(A111,tbl_ProduitsRef[Produit],0)),"⚠️ Produit non trouvé")</f>
        <v>BCH021</v>
      </c>
      <c r="C111" s="120" t="str">
        <f>IFERROR(VLOOKUP(D111,Référentiels!$M$2:$N$267,2,FALSE),"Ingrédient non trouvé")</f>
        <v>PSU003</v>
      </c>
      <c r="D111" s="120" t="s">
        <v>865</v>
      </c>
      <c r="E111" s="120">
        <v>10</v>
      </c>
      <c r="F111" s="118" t="str">
        <f>INDEX(tbl_IngrédientsRef[Unité], MATCH(C111, tbl_IngrédientsRef[Cde_Ingrdt],0))</f>
        <v>g</v>
      </c>
    </row>
    <row r="112" spans="1:6" x14ac:dyDescent="0.3">
      <c r="A112" s="122" t="s">
        <v>1090</v>
      </c>
      <c r="B112" s="116" t="str">
        <f>IFERROR(INDEX(tbl_ProduitsRef[Cde_Prdt],MATCH(A112,tbl_ProduitsRef[Produit],0)),"⚠️ Produit non trouvé")</f>
        <v>BCH021</v>
      </c>
      <c r="C112" s="120" t="str">
        <f>IFERROR(VLOOKUP(D112,Référentiels!$M$2:$N$267,2,FALSE),"Ingrédient non trouvé")</f>
        <v>CDM001</v>
      </c>
      <c r="D112" s="120" t="s">
        <v>871</v>
      </c>
      <c r="E112" s="120">
        <v>15</v>
      </c>
      <c r="F112" s="118" t="str">
        <f>INDEX(tbl_IngrédientsRef[Unité], MATCH(C112, tbl_IngrédientsRef[Cde_Ingrdt],0))</f>
        <v>g</v>
      </c>
    </row>
    <row r="113" spans="1:6" x14ac:dyDescent="0.3">
      <c r="A113" s="122" t="s">
        <v>1092</v>
      </c>
      <c r="B113" s="116" t="str">
        <f>IFERROR(INDEX(tbl_ProduitsRef[Cde_Prdt],MATCH(A113,tbl_ProduitsRef[Produit],0)),"⚠️ Produit non trouvé")</f>
        <v>BCH024</v>
      </c>
      <c r="C113" s="120" t="str">
        <f>IFERROR(VLOOKUP(D113,Référentiels!$M$2:$N$267,2,FALSE),"Ingrédient non trouvé")</f>
        <v>PSU009</v>
      </c>
      <c r="D113" s="120" t="s">
        <v>1075</v>
      </c>
      <c r="E113" s="120">
        <v>30</v>
      </c>
      <c r="F113" s="118" t="str">
        <f>INDEX(tbl_IngrédientsRef[Unité], MATCH(C113, tbl_IngrédientsRef[Cde_Ingrdt],0))</f>
        <v>g</v>
      </c>
    </row>
    <row r="114" spans="1:6" x14ac:dyDescent="0.3">
      <c r="A114" s="122" t="s">
        <v>1092</v>
      </c>
      <c r="B114" s="116" t="str">
        <f>IFERROR(INDEX(tbl_ProduitsRef[Cde_Prdt],MATCH(A114,tbl_ProduitsRef[Produit],0)),"⚠️ Produit non trouvé")</f>
        <v>BCH024</v>
      </c>
      <c r="C114" s="120" t="str">
        <f>IFERROR(VLOOKUP(D114,Référentiels!$M$2:$N$267,2,FALSE),"Ingrédient non trouvé")</f>
        <v>PSU009</v>
      </c>
      <c r="D114" s="120" t="s">
        <v>1075</v>
      </c>
      <c r="E114" s="120">
        <v>30</v>
      </c>
      <c r="F114" s="118" t="str">
        <f>INDEX(tbl_IngrédientsRef[Unité], MATCH(C114, tbl_IngrédientsRef[Cde_Ingrdt],0))</f>
        <v>g</v>
      </c>
    </row>
    <row r="115" spans="1:6" x14ac:dyDescent="0.3">
      <c r="A115" s="122" t="s">
        <v>1092</v>
      </c>
      <c r="B115" s="116" t="str">
        <f>IFERROR(INDEX(tbl_ProduitsRef[Cde_Prdt],MATCH(A115,tbl_ProduitsRef[Produit],0)),"⚠️ Produit non trouvé")</f>
        <v>BCH024</v>
      </c>
      <c r="C115" s="120" t="str">
        <f>IFERROR(VLOOKUP(D115,Référentiels!$M$2:$N$267,2,FALSE),"Ingrédient non trouvé")</f>
        <v>PSU009</v>
      </c>
      <c r="D115" s="120" t="s">
        <v>1075</v>
      </c>
      <c r="E115" s="120">
        <v>30</v>
      </c>
      <c r="F115" s="118" t="str">
        <f>INDEX(tbl_IngrédientsRef[Unité], MATCH(C115, tbl_IngrédientsRef[Cde_Ingrdt],0))</f>
        <v>g</v>
      </c>
    </row>
    <row r="116" spans="1:6" x14ac:dyDescent="0.3">
      <c r="A116" s="122" t="s">
        <v>1092</v>
      </c>
      <c r="B116" s="116" t="str">
        <f>IFERROR(INDEX(tbl_ProduitsRef[Cde_Prdt],MATCH(A116,tbl_ProduitsRef[Produit],0)),"⚠️ Produit non trouvé")</f>
        <v>BCH024</v>
      </c>
      <c r="C116" s="120" t="str">
        <f>IFERROR(VLOOKUP(D116,Référentiels!$M$2:$N$267,2,FALSE),"Ingrédient non trouvé")</f>
        <v>PRL010</v>
      </c>
      <c r="D116" s="120" t="s">
        <v>992</v>
      </c>
      <c r="E116" s="120">
        <v>100</v>
      </c>
      <c r="F116" s="118" t="str">
        <f>INDEX(tbl_IngrédientsRef[Unité], MATCH(C116, tbl_IngrédientsRef[Cde_Ingrdt],0))</f>
        <v>ml</v>
      </c>
    </row>
    <row r="117" spans="1:6" x14ac:dyDescent="0.3">
      <c r="A117" s="122" t="s">
        <v>1094</v>
      </c>
      <c r="B117" s="116" t="str">
        <f>IFERROR(INDEX(tbl_ProduitsRef[Cde_Prdt],MATCH(A117,tbl_ProduitsRef[Produit],0)),"⚠️ Produit non trouvé")</f>
        <v>BCH022</v>
      </c>
      <c r="C117" s="120" t="str">
        <f>IFERROR(VLOOKUP(D117,Référentiels!$M$2:$N$267,2,FALSE),"Ingrédient non trouvé")</f>
        <v>CDM001</v>
      </c>
      <c r="D117" s="120" t="s">
        <v>871</v>
      </c>
      <c r="E117" s="120">
        <v>15</v>
      </c>
      <c r="F117" s="118" t="str">
        <f>INDEX(tbl_IngrédientsRef[Unité], MATCH(C117, tbl_IngrédientsRef[Cde_Ingrdt],0))</f>
        <v>g</v>
      </c>
    </row>
    <row r="118" spans="1:6" x14ac:dyDescent="0.3">
      <c r="A118" s="122" t="s">
        <v>1094</v>
      </c>
      <c r="B118" s="116" t="str">
        <f>IFERROR(INDEX(tbl_ProduitsRef[Cde_Prdt],MATCH(A118,tbl_ProduitsRef[Produit],0)),"⚠️ Produit non trouvé")</f>
        <v>BCH022</v>
      </c>
      <c r="C118" s="120" t="str">
        <f>IFERROR(VLOOKUP(D118,Référentiels!$M$2:$N$267,2,FALSE),"Ingrédient non trouvé")</f>
        <v>PSU009</v>
      </c>
      <c r="D118" s="120" t="s">
        <v>1075</v>
      </c>
      <c r="E118" s="120">
        <v>40</v>
      </c>
      <c r="F118" s="118" t="str">
        <f>INDEX(tbl_IngrédientsRef[Unité], MATCH(C118, tbl_IngrédientsRef[Cde_Ingrdt],0))</f>
        <v>g</v>
      </c>
    </row>
    <row r="119" spans="1:6" x14ac:dyDescent="0.3">
      <c r="A119" s="122" t="s">
        <v>1094</v>
      </c>
      <c r="B119" s="116" t="str">
        <f>IFERROR(INDEX(tbl_ProduitsRef[Cde_Prdt],MATCH(A119,tbl_ProduitsRef[Produit],0)),"⚠️ Produit non trouvé")</f>
        <v>BCH022</v>
      </c>
      <c r="C119" s="120" t="str">
        <f>IFERROR(VLOOKUP(D119,Référentiels!$M$2:$N$267,2,FALSE),"Ingrédient non trouvé")</f>
        <v>SOS019</v>
      </c>
      <c r="D119" s="120" t="s">
        <v>580</v>
      </c>
      <c r="E119" s="120">
        <v>15</v>
      </c>
      <c r="F119" s="118" t="str">
        <f>INDEX(tbl_IngrédientsRef[Unité], MATCH(C119, tbl_IngrédientsRef[Cde_Ingrdt],0))</f>
        <v>ml</v>
      </c>
    </row>
    <row r="120" spans="1:6" x14ac:dyDescent="0.3">
      <c r="A120" s="122" t="s">
        <v>1096</v>
      </c>
      <c r="B120" s="116" t="str">
        <f>IFERROR(INDEX(tbl_ProduitsRef[Cde_Prdt],MATCH(A120,tbl_ProduitsRef[Produit],0)),"⚠️ Produit non trouvé")</f>
        <v>BCH027</v>
      </c>
      <c r="C120" s="120" t="str">
        <f>IFERROR(VLOOKUP(D120,Référentiels!$M$2:$N$267,2,FALSE),"Ingrédient non trouvé")</f>
        <v>PSU009</v>
      </c>
      <c r="D120" s="120" t="s">
        <v>1075</v>
      </c>
      <c r="E120" s="120">
        <v>40</v>
      </c>
      <c r="F120" s="118" t="str">
        <f>INDEX(tbl_IngrédientsRef[Unité], MATCH(C120, tbl_IngrédientsRef[Cde_Ingrdt],0))</f>
        <v>g</v>
      </c>
    </row>
    <row r="121" spans="1:6" x14ac:dyDescent="0.3">
      <c r="A121" s="122" t="s">
        <v>1096</v>
      </c>
      <c r="B121" s="116" t="str">
        <f>IFERROR(INDEX(tbl_ProduitsRef[Cde_Prdt],MATCH(A121,tbl_ProduitsRef[Produit],0)),"⚠️ Produit non trouvé")</f>
        <v>BCH027</v>
      </c>
      <c r="C121" s="120" t="str">
        <f>IFERROR(VLOOKUP(D121,Référentiels!$M$2:$N$267,2,FALSE),"Ingrédient non trouvé")</f>
        <v>PRL010</v>
      </c>
      <c r="D121" s="120" t="s">
        <v>992</v>
      </c>
      <c r="E121" s="120">
        <v>100</v>
      </c>
      <c r="F121" s="118" t="str">
        <f>INDEX(tbl_IngrédientsRef[Unité], MATCH(C121, tbl_IngrédientsRef[Cde_Ingrdt],0))</f>
        <v>ml</v>
      </c>
    </row>
    <row r="122" spans="1:6" x14ac:dyDescent="0.3">
      <c r="A122" s="122" t="s">
        <v>1098</v>
      </c>
      <c r="B122" s="116" t="str">
        <f>IFERROR(INDEX(tbl_ProduitsRef[Cde_Prdt],MATCH(A122,tbl_ProduitsRef[Produit],0)),"⚠️ Produit non trouvé")</f>
        <v>BCH023</v>
      </c>
      <c r="C122" s="120" t="str">
        <f>IFERROR(VLOOKUP(D122,Référentiels!$M$2:$N$267,2,FALSE),"Ingrédient non trouvé")</f>
        <v>PSU009</v>
      </c>
      <c r="D122" s="120" t="s">
        <v>1075</v>
      </c>
      <c r="E122" s="120">
        <v>40</v>
      </c>
      <c r="F122" s="118" t="str">
        <f>INDEX(tbl_IngrédientsRef[Unité], MATCH(C122, tbl_IngrédientsRef[Cde_Ingrdt],0))</f>
        <v>g</v>
      </c>
    </row>
    <row r="123" spans="1:6" x14ac:dyDescent="0.3">
      <c r="A123" s="122" t="s">
        <v>1098</v>
      </c>
      <c r="B123" s="116" t="str">
        <f>IFERROR(INDEX(tbl_ProduitsRef[Cde_Prdt],MATCH(A123,tbl_ProduitsRef[Produit],0)),"⚠️ Produit non trouvé")</f>
        <v>BCH023</v>
      </c>
      <c r="C123" s="120" t="str">
        <f>IFERROR(VLOOKUP(D123,Référentiels!$M$2:$N$267,2,FALSE),"Ingrédient non trouvé")</f>
        <v>BOI001</v>
      </c>
      <c r="D123" s="120" t="s">
        <v>1058</v>
      </c>
      <c r="E123" s="120">
        <v>1</v>
      </c>
      <c r="F123" s="118" t="str">
        <f>INDEX(tbl_IngrédientsRef[Unité], MATCH(C123, tbl_IngrédientsRef[Cde_Ingrdt],0))</f>
        <v>Pièce</v>
      </c>
    </row>
    <row r="124" spans="1:6" x14ac:dyDescent="0.3">
      <c r="A124" s="122" t="s">
        <v>1098</v>
      </c>
      <c r="B124" s="116" t="str">
        <f>IFERROR(INDEX(tbl_ProduitsRef[Cde_Prdt],MATCH(A124,tbl_ProduitsRef[Produit],0)),"⚠️ Produit non trouvé")</f>
        <v>BCH023</v>
      </c>
      <c r="C124" s="120" t="str">
        <f>IFERROR(VLOOKUP(D124,Référentiels!$M$2:$N$267,2,FALSE),"Ingrédient non trouvé")</f>
        <v>PSU008</v>
      </c>
      <c r="D124" s="120" t="s">
        <v>1030</v>
      </c>
      <c r="E124" s="120">
        <v>15</v>
      </c>
      <c r="F124" s="118" t="str">
        <f>INDEX(tbl_IngrédientsRef[Unité], MATCH(C124, tbl_IngrédientsRef[Cde_Ingrdt],0))</f>
        <v>g</v>
      </c>
    </row>
    <row r="125" spans="1:6" x14ac:dyDescent="0.3">
      <c r="A125" s="122" t="s">
        <v>1098</v>
      </c>
      <c r="B125" s="116" t="str">
        <f>IFERROR(INDEX(tbl_ProduitsRef[Cde_Prdt],MATCH(A125,tbl_ProduitsRef[Produit],0)),"⚠️ Produit non trouvé")</f>
        <v>BCH023</v>
      </c>
      <c r="C125" s="120" t="str">
        <f>IFERROR(VLOOKUP(D125,Référentiels!$M$2:$N$267,2,FALSE),"Ingrédient non trouvé")</f>
        <v>PRL010</v>
      </c>
      <c r="D125" s="120" t="s">
        <v>992</v>
      </c>
      <c r="E125" s="120">
        <v>100</v>
      </c>
      <c r="F125" s="118" t="str">
        <f>INDEX(tbl_IngrédientsRef[Unité], MATCH(C125, tbl_IngrédientsRef[Cde_Ingrdt],0))</f>
        <v>ml</v>
      </c>
    </row>
    <row r="126" spans="1:6" x14ac:dyDescent="0.3">
      <c r="A126" s="122" t="s">
        <v>1098</v>
      </c>
      <c r="B126" s="116" t="str">
        <f>IFERROR(INDEX(tbl_ProduitsRef[Cde_Prdt],MATCH(A126,tbl_ProduitsRef[Produit],0)),"⚠️ Produit non trouvé")</f>
        <v>BCH023</v>
      </c>
      <c r="C126" s="120" t="str">
        <f>IFERROR(VLOOKUP(D126,Référentiels!$M$2:$N$267,2,FALSE),"Ingrédient non trouvé")</f>
        <v>PSU017</v>
      </c>
      <c r="D126" s="120" t="s">
        <v>893</v>
      </c>
      <c r="E126" s="120">
        <v>10</v>
      </c>
      <c r="F126" s="118" t="str">
        <f>INDEX(tbl_IngrédientsRef[Unité], MATCH(C126, tbl_IngrédientsRef[Cde_Ingrdt],0))</f>
        <v>g</v>
      </c>
    </row>
    <row r="127" spans="1:6" x14ac:dyDescent="0.3">
      <c r="A127" s="122" t="s">
        <v>1100</v>
      </c>
      <c r="B127" s="116" t="str">
        <f>IFERROR(INDEX(tbl_ProduitsRef[Cde_Prdt],MATCH(A127,tbl_ProduitsRef[Produit],0)),"⚠️ Produit non trouvé")</f>
        <v>BCH028</v>
      </c>
      <c r="C127" s="120" t="str">
        <f>IFERROR(VLOOKUP(D127,Référentiels!$M$2:$N$267,2,FALSE),"Ingrédient non trouvé")</f>
        <v>EPI010</v>
      </c>
      <c r="D127" s="120" t="s">
        <v>1103</v>
      </c>
      <c r="E127" s="120">
        <v>15</v>
      </c>
      <c r="F127" s="118" t="str">
        <f>INDEX(tbl_IngrédientsRef[Unité], MATCH(C127, tbl_IngrédientsRef[Cde_Ingrdt],0))</f>
        <v>g</v>
      </c>
    </row>
    <row r="128" spans="1:6" x14ac:dyDescent="0.3">
      <c r="A128" s="122" t="s">
        <v>1100</v>
      </c>
      <c r="B128" s="116" t="str">
        <f>IFERROR(INDEX(tbl_ProduitsRef[Cde_Prdt],MATCH(A128,tbl_ProduitsRef[Produit],0)),"⚠️ Produit non trouvé")</f>
        <v>BCH028</v>
      </c>
      <c r="C128" s="120" t="str">
        <f>IFERROR(VLOOKUP(D128,Référentiels!$M$2:$N$267,2,FALSE),"Ingrédient non trouvé")</f>
        <v>BOI003</v>
      </c>
      <c r="D128" s="120" t="s">
        <v>1105</v>
      </c>
      <c r="E128" s="120">
        <v>1.5</v>
      </c>
      <c r="F128" s="118" t="str">
        <f>INDEX(tbl_IngrédientsRef[Unité], MATCH(C128, tbl_IngrédientsRef[Cde_Ingrdt],0))</f>
        <v>Pièce</v>
      </c>
    </row>
    <row r="129" spans="1:6" x14ac:dyDescent="0.3">
      <c r="A129" s="122" t="s">
        <v>1100</v>
      </c>
      <c r="B129" s="116" t="str">
        <f>IFERROR(INDEX(tbl_ProduitsRef[Cde_Prdt],MATCH(A129,tbl_ProduitsRef[Produit],0)),"⚠️ Produit non trouvé")</f>
        <v>BCH028</v>
      </c>
      <c r="C129" s="120" t="str">
        <f>IFERROR(VLOOKUP(D129,Référentiels!$M$2:$N$267,2,FALSE),"Ingrédient non trouvé")</f>
        <v>PSU017</v>
      </c>
      <c r="D129" s="120" t="s">
        <v>893</v>
      </c>
      <c r="E129" s="120">
        <v>15</v>
      </c>
      <c r="F129" s="118" t="str">
        <f>INDEX(tbl_IngrédientsRef[Unité], MATCH(C129, tbl_IngrédientsRef[Cde_Ingrdt],0))</f>
        <v>g</v>
      </c>
    </row>
    <row r="130" spans="1:6" x14ac:dyDescent="0.3">
      <c r="A130" s="122" t="s">
        <v>1106</v>
      </c>
      <c r="B130" s="116" t="str">
        <f>IFERROR(INDEX(tbl_ProduitsRef[Cde_Prdt],MATCH(A130,tbl_ProduitsRef[Produit],0)),"⚠️ Produit non trouvé")</f>
        <v>BCH029</v>
      </c>
      <c r="C130" s="120" t="str">
        <f>IFERROR(VLOOKUP(D130,Référentiels!$M$2:$N$267,2,FALSE),"Ingrédient non trouvé")</f>
        <v>EPI010</v>
      </c>
      <c r="D130" s="120" t="s">
        <v>1103</v>
      </c>
      <c r="E130" s="120">
        <v>10</v>
      </c>
      <c r="F130" s="118" t="str">
        <f>INDEX(tbl_IngrédientsRef[Unité], MATCH(C130, tbl_IngrédientsRef[Cde_Ingrdt],0))</f>
        <v>g</v>
      </c>
    </row>
    <row r="131" spans="1:6" x14ac:dyDescent="0.3">
      <c r="A131" s="122" t="s">
        <v>1106</v>
      </c>
      <c r="B131" s="116" t="str">
        <f>IFERROR(INDEX(tbl_ProduitsRef[Cde_Prdt],MATCH(A131,tbl_ProduitsRef[Produit],0)),"⚠️ Produit non trouvé")</f>
        <v>BCH029</v>
      </c>
      <c r="C131" s="120" t="str">
        <f>IFERROR(VLOOKUP(D131,Référentiels!$M$2:$N$267,2,FALSE),"Ingrédient non trouvé")</f>
        <v>BOI003</v>
      </c>
      <c r="D131" s="120" t="s">
        <v>1105</v>
      </c>
      <c r="E131" s="120">
        <v>1</v>
      </c>
      <c r="F131" s="118" t="str">
        <f>INDEX(tbl_IngrédientsRef[Unité], MATCH(C131, tbl_IngrédientsRef[Cde_Ingrdt],0))</f>
        <v>Pièce</v>
      </c>
    </row>
    <row r="132" spans="1:6" x14ac:dyDescent="0.3">
      <c r="A132" s="122" t="s">
        <v>1106</v>
      </c>
      <c r="B132" s="116" t="str">
        <f>IFERROR(INDEX(tbl_ProduitsRef[Cde_Prdt],MATCH(A132,tbl_ProduitsRef[Produit],0)),"⚠️ Produit non trouvé")</f>
        <v>BCH029</v>
      </c>
      <c r="C132" s="120" t="str">
        <f>IFERROR(VLOOKUP(D132,Référentiels!$M$2:$N$267,2,FALSE),"Ingrédient non trouvé")</f>
        <v>PSU017</v>
      </c>
      <c r="D132" s="120" t="s">
        <v>893</v>
      </c>
      <c r="E132" s="120">
        <v>12</v>
      </c>
      <c r="F132" s="118" t="str">
        <f>INDEX(tbl_IngrédientsRef[Unité], MATCH(C132, tbl_IngrédientsRef[Cde_Ingrdt],0))</f>
        <v>g</v>
      </c>
    </row>
    <row r="133" spans="1:6" x14ac:dyDescent="0.3">
      <c r="A133" s="122" t="s">
        <v>1108</v>
      </c>
      <c r="B133" s="116" t="str">
        <f>IFERROR(INDEX(tbl_ProduitsRef[Cde_Prdt],MATCH(A133,tbl_ProduitsRef[Produit],0)),"⚠️ Produit non trouvé")</f>
        <v>BCH032</v>
      </c>
      <c r="C133" s="120" t="str">
        <f>IFERROR(VLOOKUP(D133,Référentiels!$M$2:$N$267,2,FALSE),"Ingrédient non trouvé")</f>
        <v>BOI005</v>
      </c>
      <c r="D133" s="120" t="s">
        <v>1111</v>
      </c>
      <c r="E133" s="120">
        <v>1</v>
      </c>
      <c r="F133" s="118" t="str">
        <f>INDEX(tbl_IngrédientsRef[Unité], MATCH(C133, tbl_IngrédientsRef[Cde_Ingrdt],0))</f>
        <v>Pièce</v>
      </c>
    </row>
    <row r="134" spans="1:6" x14ac:dyDescent="0.3">
      <c r="A134" s="122" t="s">
        <v>1108</v>
      </c>
      <c r="B134" s="116" t="str">
        <f>IFERROR(INDEX(tbl_ProduitsRef[Cde_Prdt],MATCH(A134,tbl_ProduitsRef[Produit],0)),"⚠️ Produit non trouvé")</f>
        <v>BCH032</v>
      </c>
      <c r="C134" s="120" t="str">
        <f>IFERROR(VLOOKUP(D134,Référentiels!$M$2:$N$267,2,FALSE),"Ingrédient non trouvé")</f>
        <v>PRL010</v>
      </c>
      <c r="D134" s="120" t="s">
        <v>992</v>
      </c>
      <c r="E134" s="120">
        <v>50</v>
      </c>
      <c r="F134" s="118" t="str">
        <f>INDEX(tbl_IngrédientsRef[Unité], MATCH(C134, tbl_IngrédientsRef[Cde_Ingrdt],0))</f>
        <v>ml</v>
      </c>
    </row>
    <row r="135" spans="1:6" x14ac:dyDescent="0.3">
      <c r="A135" s="122" t="s">
        <v>1112</v>
      </c>
      <c r="B135" s="116" t="str">
        <f>IFERROR(INDEX(tbl_ProduitsRef[Cde_Prdt],MATCH(A135,tbl_ProduitsRef[Produit],0)),"⚠️ Produit non trouvé")</f>
        <v>BCH031</v>
      </c>
      <c r="C135" s="120" t="str">
        <f>IFERROR(VLOOKUP(D135,Référentiels!$M$2:$N$267,2,FALSE),"Ingrédient non trouvé")</f>
        <v>BOI004</v>
      </c>
      <c r="D135" s="120" t="s">
        <v>1115</v>
      </c>
      <c r="E135" s="120">
        <v>1</v>
      </c>
      <c r="F135" s="118" t="str">
        <f>INDEX(tbl_IngrédientsRef[Unité], MATCH(C135, tbl_IngrédientsRef[Cde_Ingrdt],0))</f>
        <v>g</v>
      </c>
    </row>
    <row r="136" spans="1:6" x14ac:dyDescent="0.3">
      <c r="A136" s="122" t="s">
        <v>1112</v>
      </c>
      <c r="B136" s="116" t="str">
        <f>IFERROR(INDEX(tbl_ProduitsRef[Cde_Prdt],MATCH(A136,tbl_ProduitsRef[Produit],0)),"⚠️ Produit non trouvé")</f>
        <v>BCH031</v>
      </c>
      <c r="C136" s="120" t="str">
        <f>IFERROR(VLOOKUP(D136,Référentiels!$M$2:$N$267,2,FALSE),"Ingrédient non trouvé")</f>
        <v>PRL010</v>
      </c>
      <c r="D136" s="120" t="s">
        <v>992</v>
      </c>
      <c r="E136" s="120">
        <v>50</v>
      </c>
      <c r="F136" s="118" t="str">
        <f>INDEX(tbl_IngrédientsRef[Unité], MATCH(C136, tbl_IngrédientsRef[Cde_Ingrdt],0))</f>
        <v>ml</v>
      </c>
    </row>
    <row r="137" spans="1:6" x14ac:dyDescent="0.3">
      <c r="A137" s="122" t="s">
        <v>1116</v>
      </c>
      <c r="B137" s="116" t="str">
        <f>IFERROR(INDEX(tbl_ProduitsRef[Cde_Prdt],MATCH(A137,tbl_ProduitsRef[Produit],0)),"⚠️ Produit non trouvé")</f>
        <v>BCH030</v>
      </c>
      <c r="C137" s="120" t="str">
        <f>IFERROR(VLOOKUP(D137,Référentiels!$M$2:$N$267,2,FALSE),"Ingrédient non trouvé")</f>
        <v>EPI010</v>
      </c>
      <c r="D137" s="120" t="s">
        <v>1103</v>
      </c>
      <c r="E137" s="120">
        <v>5</v>
      </c>
      <c r="F137" s="118" t="str">
        <f>INDEX(tbl_IngrédientsRef[Unité], MATCH(C137, tbl_IngrédientsRef[Cde_Ingrdt],0))</f>
        <v>g</v>
      </c>
    </row>
    <row r="138" spans="1:6" x14ac:dyDescent="0.3">
      <c r="A138" s="122" t="s">
        <v>1116</v>
      </c>
      <c r="B138" s="116" t="str">
        <f>IFERROR(INDEX(tbl_ProduitsRef[Cde_Prdt],MATCH(A138,tbl_ProduitsRef[Produit],0)),"⚠️ Produit non trouvé")</f>
        <v>BCH030</v>
      </c>
      <c r="C138" s="120" t="str">
        <f>IFERROR(VLOOKUP(D138,Référentiels!$M$2:$N$267,2,FALSE),"Ingrédient non trouvé")</f>
        <v>BOI003</v>
      </c>
      <c r="D138" s="120" t="s">
        <v>1105</v>
      </c>
      <c r="E138" s="120">
        <v>0.5</v>
      </c>
      <c r="F138" s="118" t="str">
        <f>INDEX(tbl_IngrédientsRef[Unité], MATCH(C138, tbl_IngrédientsRef[Cde_Ingrdt],0))</f>
        <v>Pièce</v>
      </c>
    </row>
    <row r="139" spans="1:6" x14ac:dyDescent="0.3">
      <c r="A139" s="122" t="s">
        <v>1116</v>
      </c>
      <c r="B139" s="116" t="str">
        <f>IFERROR(INDEX(tbl_ProduitsRef[Cde_Prdt],MATCH(A139,tbl_ProduitsRef[Produit],0)),"⚠️ Produit non trouvé")</f>
        <v>BCH030</v>
      </c>
      <c r="C139" s="120" t="str">
        <f>IFERROR(VLOOKUP(D139,Référentiels!$M$2:$N$267,2,FALSE),"Ingrédient non trouvé")</f>
        <v>PSU017</v>
      </c>
      <c r="D139" s="120" t="s">
        <v>893</v>
      </c>
      <c r="E139" s="120">
        <v>10</v>
      </c>
      <c r="F139" s="118" t="str">
        <f>INDEX(tbl_IngrédientsRef[Unité], MATCH(C139, tbl_IngrédientsRef[Cde_Ingrdt],0))</f>
        <v>g</v>
      </c>
    </row>
    <row r="140" spans="1:6" x14ac:dyDescent="0.3">
      <c r="A140" s="122" t="s">
        <v>1116</v>
      </c>
      <c r="B140" s="116" t="str">
        <f>IFERROR(INDEX(tbl_ProduitsRef[Cde_Prdt],MATCH(A140,tbl_ProduitsRef[Produit],0)),"⚠️ Produit non trouvé")</f>
        <v>BCH030</v>
      </c>
      <c r="C140" s="120" t="str">
        <f>IFERROR(VLOOKUP(D140,Référentiels!$M$2:$N$267,2,FALSE),"Ingrédient non trouvé")</f>
        <v>BOI006</v>
      </c>
      <c r="D140" s="120" t="s">
        <v>1119</v>
      </c>
      <c r="E140" s="120">
        <v>2</v>
      </c>
      <c r="F140" s="118" t="str">
        <f>INDEX(tbl_IngrédientsRef[Unité], MATCH(C140, tbl_IngrédientsRef[Cde_Ingrdt],0))</f>
        <v>Pièce</v>
      </c>
    </row>
    <row r="141" spans="1:6" x14ac:dyDescent="0.3">
      <c r="A141" s="122" t="s">
        <v>1120</v>
      </c>
      <c r="B141" s="116" t="str">
        <f>IFERROR(INDEX(tbl_ProduitsRef[Cde_Prdt],MATCH(A141,tbl_ProduitsRef[Produit],0)),"⚠️ Produit non trouvé")</f>
        <v>SmCk006</v>
      </c>
      <c r="C141" s="117" t="str">
        <f>IFERROR(VLOOKUP(D141,Référentiels!$M$2:$N$267,2,FALSE),"Ingrédient non trouvé")</f>
        <v>FRU012</v>
      </c>
      <c r="D141" s="120" t="s">
        <v>358</v>
      </c>
      <c r="E141" s="120">
        <v>80</v>
      </c>
      <c r="F141" s="118" t="str">
        <f>INDEX(tbl_IngrédientsRef[Unité], MATCH(C141, tbl_IngrédientsRef[Cde_Ingrdt],0))</f>
        <v>g</v>
      </c>
    </row>
    <row r="142" spans="1:6" x14ac:dyDescent="0.3">
      <c r="A142" s="122" t="s">
        <v>1120</v>
      </c>
      <c r="B142" s="116" t="str">
        <f>IFERROR(INDEX(tbl_ProduitsRef[Cde_Prdt],MATCH(A142,tbl_ProduitsRef[Produit],0)),"⚠️ Produit non trouvé")</f>
        <v>SmCk006</v>
      </c>
      <c r="C142" s="117" t="str">
        <f>IFERROR(VLOOKUP(D142,Référentiels!$M$2:$N$267,2,FALSE),"Ingrédient non trouvé")</f>
        <v>FRU006</v>
      </c>
      <c r="D142" s="120" t="s">
        <v>356</v>
      </c>
      <c r="E142" s="120">
        <v>60</v>
      </c>
      <c r="F142" s="118" t="str">
        <f>INDEX(tbl_IngrédientsRef[Unité], MATCH(C142, tbl_IngrédientsRef[Cde_Ingrdt],0))</f>
        <v>g</v>
      </c>
    </row>
    <row r="143" spans="1:6" x14ac:dyDescent="0.3">
      <c r="A143" s="122" t="s">
        <v>1120</v>
      </c>
      <c r="B143" s="116" t="str">
        <f>IFERROR(INDEX(tbl_ProduitsRef[Cde_Prdt],MATCH(A143,tbl_ProduitsRef[Produit],0)),"⚠️ Produit non trouvé")</f>
        <v>SmCk006</v>
      </c>
      <c r="C143" s="117" t="str">
        <f>IFERROR(VLOOKUP(D143,Référentiels!$M$2:$N$267,2,FALSE),"Ingrédient non trouvé")</f>
        <v>EPI006</v>
      </c>
      <c r="D143" s="120" t="s">
        <v>1123</v>
      </c>
      <c r="E143" s="120">
        <v>2</v>
      </c>
      <c r="F143" s="118" t="str">
        <f>INDEX(tbl_IngrédientsRef[Unité], MATCH(C143, tbl_IngrédientsRef[Cde_Ingrdt],0))</f>
        <v>g</v>
      </c>
    </row>
    <row r="144" spans="1:6" x14ac:dyDescent="0.3">
      <c r="A144" s="122" t="s">
        <v>1120</v>
      </c>
      <c r="B144" s="116" t="str">
        <f>IFERROR(INDEX(tbl_ProduitsRef[Cde_Prdt],MATCH(A144,tbl_ProduitsRef[Produit],0)),"⚠️ Produit non trouvé")</f>
        <v>SmCk006</v>
      </c>
      <c r="C144" s="117" t="str">
        <f>IFERROR(VLOOKUP(D144,Référentiels!$M$2:$N$267,2,FALSE),"Ingrédient non trouvé")</f>
        <v>LEG025</v>
      </c>
      <c r="D144" s="120" t="s">
        <v>498</v>
      </c>
      <c r="E144" s="120">
        <v>10</v>
      </c>
      <c r="F144" s="118" t="str">
        <f>INDEX(tbl_IngrédientsRef[Unité], MATCH(C144, tbl_IngrédientsRef[Cde_Ingrdt],0))</f>
        <v>g</v>
      </c>
    </row>
    <row r="145" spans="1:6" x14ac:dyDescent="0.3">
      <c r="A145" s="122" t="s">
        <v>1120</v>
      </c>
      <c r="B145" s="116" t="str">
        <f>IFERROR(INDEX(tbl_ProduitsRef[Cde_Prdt],MATCH(A145,tbl_ProduitsRef[Produit],0)),"⚠️ Produit non trouvé")</f>
        <v>SmCk006</v>
      </c>
      <c r="C145" s="117" t="str">
        <f>IFERROR(VLOOKUP(D145,Référentiels!$M$2:$N$267,2,FALSE),"Ingrédient non trouvé")</f>
        <v>BOI003</v>
      </c>
      <c r="D145" s="120" t="s">
        <v>1105</v>
      </c>
      <c r="E145" s="120">
        <v>0.1</v>
      </c>
      <c r="F145" s="118" t="str">
        <f>INDEX(tbl_IngrédientsRef[Unité], MATCH(C145, tbl_IngrédientsRef[Cde_Ingrdt],0))</f>
        <v>Pièce</v>
      </c>
    </row>
    <row r="146" spans="1:6" x14ac:dyDescent="0.3">
      <c r="A146" s="122" t="s">
        <v>1124</v>
      </c>
      <c r="B146" s="116" t="str">
        <f>IFERROR(INDEX(tbl_ProduitsRef[Cde_Prdt],MATCH(A146,tbl_ProduitsRef[Produit],0)),"⚠️ Produit non trouvé")</f>
        <v>SmCk007</v>
      </c>
      <c r="C146" s="117" t="str">
        <f>IFERROR(VLOOKUP(D146,Référentiels!$M$2:$N$267,2,FALSE),"Ingrédient non trouvé")</f>
        <v>FRU005</v>
      </c>
      <c r="D146" s="120" t="s">
        <v>1127</v>
      </c>
      <c r="E146" s="120">
        <v>60</v>
      </c>
      <c r="F146" s="118" t="str">
        <f>INDEX(tbl_IngrédientsRef[Unité], MATCH(C146, tbl_IngrédientsRef[Cde_Ingrdt],0))</f>
        <v>g</v>
      </c>
    </row>
    <row r="147" spans="1:6" x14ac:dyDescent="0.3">
      <c r="A147" s="122" t="s">
        <v>1124</v>
      </c>
      <c r="B147" s="116" t="str">
        <f>IFERROR(INDEX(tbl_ProduitsRef[Cde_Prdt],MATCH(A147,tbl_ProduitsRef[Produit],0)),"⚠️ Produit non trouvé")</f>
        <v>SmCk007</v>
      </c>
      <c r="C147" s="117" t="str">
        <f>IFERROR(VLOOKUP(D147,Référentiels!$M$2:$N$267,2,FALSE),"Ingrédient non trouvé")</f>
        <v>FRU015</v>
      </c>
      <c r="D147" s="120" t="s">
        <v>1038</v>
      </c>
      <c r="E147" s="120">
        <v>60</v>
      </c>
      <c r="F147" s="118" t="str">
        <f>INDEX(tbl_IngrédientsRef[Unité], MATCH(C147, tbl_IngrédientsRef[Cde_Ingrdt],0))</f>
        <v>g</v>
      </c>
    </row>
    <row r="148" spans="1:6" x14ac:dyDescent="0.3">
      <c r="A148" s="122" t="s">
        <v>1124</v>
      </c>
      <c r="B148" s="116" t="str">
        <f>IFERROR(INDEX(tbl_ProduitsRef[Cde_Prdt],MATCH(A148,tbl_ProduitsRef[Produit],0)),"⚠️ Produit non trouvé")</f>
        <v>SmCk007</v>
      </c>
      <c r="C148" s="117" t="str">
        <f>IFERROR(VLOOKUP(D148,Référentiels!$M$2:$N$267,2,FALSE),"Ingrédient non trouvé")</f>
        <v>PRL025</v>
      </c>
      <c r="D148" s="120" t="s">
        <v>1129</v>
      </c>
      <c r="E148" s="120">
        <v>40</v>
      </c>
      <c r="F148" s="118" t="str">
        <f>INDEX(tbl_IngrédientsRef[Unité], MATCH(C148, tbl_IngrédientsRef[Cde_Ingrdt],0))</f>
        <v>ml</v>
      </c>
    </row>
    <row r="149" spans="1:6" x14ac:dyDescent="0.3">
      <c r="A149" s="122" t="s">
        <v>1124</v>
      </c>
      <c r="B149" s="116" t="str">
        <f>IFERROR(INDEX(tbl_ProduitsRef[Cde_Prdt],MATCH(A149,tbl_ProduitsRef[Produit],0)),"⚠️ Produit non trouvé")</f>
        <v>SmCk007</v>
      </c>
      <c r="C149" s="117" t="str">
        <f>IFERROR(VLOOKUP(D149,Référentiels!$M$2:$N$267,2,FALSE),"Ingrédient non trouvé")</f>
        <v>PSU016</v>
      </c>
      <c r="D149" s="120" t="s">
        <v>1050</v>
      </c>
      <c r="E149" s="120">
        <v>10</v>
      </c>
      <c r="F149" s="118" t="str">
        <f>INDEX(tbl_IngrédientsRef[Unité], MATCH(C149, tbl_IngrédientsRef[Cde_Ingrdt],0))</f>
        <v>ml</v>
      </c>
    </row>
    <row r="150" spans="1:6" x14ac:dyDescent="0.3">
      <c r="A150" s="122" t="s">
        <v>1130</v>
      </c>
      <c r="B150" s="116" t="str">
        <f>IFERROR(INDEX(tbl_ProduitsRef[Cde_Prdt],MATCH(A150,tbl_ProduitsRef[Produit],0)),"⚠️ Produit non trouvé")</f>
        <v>SmCk008</v>
      </c>
      <c r="C150" s="117" t="str">
        <f>IFERROR(VLOOKUP(D150,Référentiels!$M$2:$N$267,2,FALSE),"Ingrédient non trouvé")</f>
        <v>FRU010</v>
      </c>
      <c r="D150" s="120" t="s">
        <v>978</v>
      </c>
      <c r="E150" s="120">
        <v>100</v>
      </c>
      <c r="F150" s="118" t="str">
        <f>INDEX(tbl_IngrédientsRef[Unité], MATCH(C150, tbl_IngrédientsRef[Cde_Ingrdt],0))</f>
        <v>g</v>
      </c>
    </row>
    <row r="151" spans="1:6" x14ac:dyDescent="0.3">
      <c r="A151" s="122" t="s">
        <v>1130</v>
      </c>
      <c r="B151" s="116" t="str">
        <f>IFERROR(INDEX(tbl_ProduitsRef[Cde_Prdt],MATCH(A151,tbl_ProduitsRef[Produit],0)),"⚠️ Produit non trouvé")</f>
        <v>SmCk008</v>
      </c>
      <c r="C151" s="117" t="str">
        <f>IFERROR(VLOOKUP(D151,Référentiels!$M$2:$N$267,2,FALSE),"Ingrédient non trouvé")</f>
        <v>FRU011</v>
      </c>
      <c r="D151" s="120" t="s">
        <v>998</v>
      </c>
      <c r="E151" s="120">
        <v>100</v>
      </c>
      <c r="F151" s="118" t="str">
        <f>INDEX(tbl_IngrédientsRef[Unité], MATCH(C151, tbl_IngrédientsRef[Cde_Ingrdt],0))</f>
        <v>g</v>
      </c>
    </row>
    <row r="152" spans="1:6" x14ac:dyDescent="0.3">
      <c r="A152" s="122" t="s">
        <v>1130</v>
      </c>
      <c r="B152" s="116" t="str">
        <f>IFERROR(INDEX(tbl_ProduitsRef[Cde_Prdt],MATCH(A152,tbl_ProduitsRef[Produit],0)),"⚠️ Produit non trouvé")</f>
        <v>SmCk008</v>
      </c>
      <c r="C152" s="117" t="str">
        <f>IFERROR(VLOOKUP(D152,Référentiels!$M$2:$N$267,2,FALSE),"Ingrédient non trouvé")</f>
        <v>LEG025</v>
      </c>
      <c r="D152" s="120" t="s">
        <v>498</v>
      </c>
      <c r="E152" s="120">
        <v>40</v>
      </c>
      <c r="F152" s="118" t="str">
        <f>INDEX(tbl_IngrédientsRef[Unité], MATCH(C152, tbl_IngrédientsRef[Cde_Ingrdt],0))</f>
        <v>g</v>
      </c>
    </row>
    <row r="153" spans="1:6" x14ac:dyDescent="0.3">
      <c r="A153" s="122" t="s">
        <v>1130</v>
      </c>
      <c r="B153" s="116" t="str">
        <f>IFERROR(INDEX(tbl_ProduitsRef[Cde_Prdt],MATCH(A153,tbl_ProduitsRef[Produit],0)),"⚠️ Produit non trouvé")</f>
        <v>SmCk008</v>
      </c>
      <c r="C153" s="117" t="str">
        <f>IFERROR(VLOOKUP(D153,Référentiels!$M$2:$N$267,2,FALSE),"Ingrédient non trouvé")</f>
        <v>PSU016</v>
      </c>
      <c r="D153" s="120" t="s">
        <v>1050</v>
      </c>
      <c r="E153" s="120">
        <v>10</v>
      </c>
      <c r="F153" s="118" t="str">
        <f>INDEX(tbl_IngrédientsRef[Unité], MATCH(C153, tbl_IngrédientsRef[Cde_Ingrdt],0))</f>
        <v>ml</v>
      </c>
    </row>
    <row r="154" spans="1:6" x14ac:dyDescent="0.3">
      <c r="A154" s="122" t="s">
        <v>1130</v>
      </c>
      <c r="B154" s="116" t="str">
        <f>IFERROR(INDEX(tbl_ProduitsRef[Cde_Prdt],MATCH(A154,tbl_ProduitsRef[Produit],0)),"⚠️ Produit non trouvé")</f>
        <v>SmCk008</v>
      </c>
      <c r="C154" s="117" t="str">
        <f>IFERROR(VLOOKUP(D154,Référentiels!$M$2:$N$267,2,FALSE),"Ingrédient non trouvé")</f>
        <v>FRU011</v>
      </c>
      <c r="D154" s="120" t="s">
        <v>998</v>
      </c>
      <c r="E154" s="120">
        <v>10</v>
      </c>
      <c r="F154" s="118" t="str">
        <f>INDEX(tbl_IngrédientsRef[Unité], MATCH(C154, tbl_IngrédientsRef[Cde_Ingrdt],0))</f>
        <v>g</v>
      </c>
    </row>
    <row r="155" spans="1:6" x14ac:dyDescent="0.3">
      <c r="A155" s="122" t="s">
        <v>1132</v>
      </c>
      <c r="B155" s="116" t="str">
        <f>IFERROR(INDEX(tbl_ProduitsRef[Cde_Prdt],MATCH(A155,tbl_ProduitsRef[Produit],0)),"⚠️ Produit non trouvé")</f>
        <v>SmCk009</v>
      </c>
      <c r="C155" s="117" t="str">
        <f>IFERROR(VLOOKUP(D155,Référentiels!$M$2:$N$267,2,FALSE),"Ingrédient non trouvé")</f>
        <v>FRU007</v>
      </c>
      <c r="D155" s="120" t="s">
        <v>980</v>
      </c>
      <c r="E155" s="120">
        <v>60</v>
      </c>
      <c r="F155" s="118" t="str">
        <f>INDEX(tbl_IngrédientsRef[Unité], MATCH(C155, tbl_IngrédientsRef[Cde_Ingrdt],0))</f>
        <v>g</v>
      </c>
    </row>
    <row r="156" spans="1:6" x14ac:dyDescent="0.3">
      <c r="A156" s="122" t="s">
        <v>1132</v>
      </c>
      <c r="B156" s="116" t="str">
        <f>IFERROR(INDEX(tbl_ProduitsRef[Cde_Prdt],MATCH(A156,tbl_ProduitsRef[Produit],0)),"⚠️ Produit non trouvé")</f>
        <v>SmCk009</v>
      </c>
      <c r="C156" s="117" t="str">
        <f>IFERROR(VLOOKUP(D156,Référentiels!$M$2:$N$267,2,FALSE),"Ingrédient non trouvé")</f>
        <v>FRU008</v>
      </c>
      <c r="D156" s="120" t="s">
        <v>984</v>
      </c>
      <c r="E156" s="120">
        <v>40</v>
      </c>
      <c r="F156" s="118" t="str">
        <f>INDEX(tbl_IngrédientsRef[Unité], MATCH(C156, tbl_IngrédientsRef[Cde_Ingrdt],0))</f>
        <v>g</v>
      </c>
    </row>
    <row r="157" spans="1:6" x14ac:dyDescent="0.3">
      <c r="A157" s="122" t="s">
        <v>1132</v>
      </c>
      <c r="B157" s="116" t="str">
        <f>IFERROR(INDEX(tbl_ProduitsRef[Cde_Prdt],MATCH(A157,tbl_ProduitsRef[Produit],0)),"⚠️ Produit non trouvé")</f>
        <v>SmCk009</v>
      </c>
      <c r="C157" s="117" t="str">
        <f>IFERROR(VLOOKUP(D157,Référentiels!$M$2:$N$267,2,FALSE),"Ingrédient non trouvé")</f>
        <v>FRU003</v>
      </c>
      <c r="D157" s="120" t="s">
        <v>1135</v>
      </c>
      <c r="E157" s="120">
        <v>50</v>
      </c>
      <c r="F157" s="118" t="str">
        <f>INDEX(tbl_IngrédientsRef[Unité], MATCH(C157, tbl_IngrédientsRef[Cde_Ingrdt],0))</f>
        <v>g</v>
      </c>
    </row>
    <row r="158" spans="1:6" x14ac:dyDescent="0.3">
      <c r="A158" s="122" t="s">
        <v>1132</v>
      </c>
      <c r="B158" s="116" t="str">
        <f>IFERROR(INDEX(tbl_ProduitsRef[Cde_Prdt],MATCH(A158,tbl_ProduitsRef[Produit],0)),"⚠️ Produit non trouvé")</f>
        <v>SmCk009</v>
      </c>
      <c r="C158" s="117" t="str">
        <f>IFERROR(VLOOKUP(D158,Référentiels!$M$2:$N$267,2,FALSE),"Ingrédient non trouvé")</f>
        <v>PSU016</v>
      </c>
      <c r="D158" s="120" t="s">
        <v>1050</v>
      </c>
      <c r="E158" s="120">
        <v>10</v>
      </c>
      <c r="F158" s="118" t="str">
        <f>INDEX(tbl_IngrédientsRef[Unité], MATCH(C158, tbl_IngrédientsRef[Cde_Ingrdt],0))</f>
        <v>ml</v>
      </c>
    </row>
    <row r="159" spans="1:6" x14ac:dyDescent="0.3">
      <c r="A159" s="122" t="s">
        <v>1132</v>
      </c>
      <c r="B159" s="116" t="str">
        <f>IFERROR(INDEX(tbl_ProduitsRef[Cde_Prdt],MATCH(A159,tbl_ProduitsRef[Produit],0)),"⚠️ Produit non trouvé")</f>
        <v>SmCk009</v>
      </c>
      <c r="C159" s="117" t="str">
        <f>IFERROR(VLOOKUP(D159,Référentiels!$M$2:$N$267,2,FALSE),"Ingrédient non trouvé")</f>
        <v>FRU018</v>
      </c>
      <c r="D159" s="120" t="s">
        <v>950</v>
      </c>
      <c r="E159" s="120">
        <v>20</v>
      </c>
      <c r="F159" s="118" t="str">
        <f>INDEX(tbl_IngrédientsRef[Unité], MATCH(C159, tbl_IngrédientsRef[Cde_Ingrdt],0))</f>
        <v>g</v>
      </c>
    </row>
    <row r="160" spans="1:6" x14ac:dyDescent="0.3">
      <c r="A160" s="122" t="s">
        <v>1136</v>
      </c>
      <c r="B160" s="116" t="str">
        <f>IFERROR(INDEX(tbl_ProduitsRef[Cde_Prdt],MATCH(A160,tbl_ProduitsRef[Produit],0)),"⚠️ Produit non trouvé")</f>
        <v>SmCk010</v>
      </c>
      <c r="C160" s="117" t="str">
        <f>IFERROR(VLOOKUP(D160,Référentiels!$M$2:$N$267,2,FALSE),"Ingrédient non trouvé")</f>
        <v>FRU013</v>
      </c>
      <c r="D160" s="120" t="s">
        <v>976</v>
      </c>
      <c r="E160" s="120">
        <v>200</v>
      </c>
      <c r="F160" s="118" t="str">
        <f>INDEX(tbl_IngrédientsRef[Unité], MATCH(C160, tbl_IngrédientsRef[Cde_Ingrdt],0))</f>
        <v>g</v>
      </c>
    </row>
    <row r="161" spans="1:6" x14ac:dyDescent="0.3">
      <c r="A161" s="122" t="s">
        <v>1136</v>
      </c>
      <c r="B161" s="116" t="str">
        <f>IFERROR(INDEX(tbl_ProduitsRef[Cde_Prdt],MATCH(A161,tbl_ProduitsRef[Produit],0)),"⚠️ Produit non trouvé")</f>
        <v>SmCk010</v>
      </c>
      <c r="C161" s="117" t="str">
        <f>IFERROR(VLOOKUP(D161,Référentiels!$M$2:$N$267,2,FALSE),"Ingrédient non trouvé")</f>
        <v>LEG020</v>
      </c>
      <c r="D161" s="120" t="s">
        <v>402</v>
      </c>
      <c r="E161" s="120">
        <v>100</v>
      </c>
      <c r="F161" s="118" t="str">
        <f>INDEX(tbl_IngrédientsRef[Unité], MATCH(C161, tbl_IngrédientsRef[Cde_Ingrdt],0))</f>
        <v>g</v>
      </c>
    </row>
    <row r="162" spans="1:6" x14ac:dyDescent="0.3">
      <c r="A162" s="122" t="s">
        <v>1136</v>
      </c>
      <c r="B162" s="116" t="str">
        <f>IFERROR(INDEX(tbl_ProduitsRef[Cde_Prdt],MATCH(A162,tbl_ProduitsRef[Produit],0)),"⚠️ Produit non trouvé")</f>
        <v>SmCk010</v>
      </c>
      <c r="C162" s="117" t="str">
        <f>IFERROR(VLOOKUP(D162,Référentiels!$M$2:$N$267,2,FALSE),"Ingrédient non trouvé")</f>
        <v>EPI006</v>
      </c>
      <c r="D162" s="120" t="s">
        <v>1123</v>
      </c>
      <c r="E162" s="120">
        <v>10</v>
      </c>
      <c r="F162" s="118" t="str">
        <f>INDEX(tbl_IngrédientsRef[Unité], MATCH(C162, tbl_IngrédientsRef[Cde_Ingrdt],0))</f>
        <v>g</v>
      </c>
    </row>
    <row r="163" spans="1:6" x14ac:dyDescent="0.3">
      <c r="A163" s="122" t="s">
        <v>1136</v>
      </c>
      <c r="B163" s="116" t="str">
        <f>IFERROR(INDEX(tbl_ProduitsRef[Cde_Prdt],MATCH(A163,tbl_ProduitsRef[Produit],0)),"⚠️ Produit non trouvé")</f>
        <v>SmCk010</v>
      </c>
      <c r="C163" s="117" t="str">
        <f>IFERROR(VLOOKUP(D163,Référentiels!$M$2:$N$267,2,FALSE),"Ingrédient non trouvé")</f>
        <v>PSU018</v>
      </c>
      <c r="D163" s="120" t="s">
        <v>284</v>
      </c>
      <c r="E163" s="120">
        <v>10</v>
      </c>
      <c r="F163" s="118" t="str">
        <f>INDEX(tbl_IngrédientsRef[Unité], MATCH(C163, tbl_IngrédientsRef[Cde_Ingrdt],0))</f>
        <v>ml</v>
      </c>
    </row>
    <row r="164" spans="1:6" x14ac:dyDescent="0.3">
      <c r="A164" s="122" t="s">
        <v>1136</v>
      </c>
      <c r="B164" s="116" t="str">
        <f>IFERROR(INDEX(tbl_ProduitsRef[Cde_Prdt],MATCH(A164,tbl_ProduitsRef[Produit],0)),"⚠️ Produit non trouvé")</f>
        <v>SmCk010</v>
      </c>
      <c r="C164" s="117" t="str">
        <f>IFERROR(VLOOKUP(D164,Référentiels!$M$2:$N$267,2,FALSE),"Ingrédient non trouvé")</f>
        <v>FRU013</v>
      </c>
      <c r="D164" s="120" t="s">
        <v>976</v>
      </c>
      <c r="E164" s="120">
        <v>30</v>
      </c>
      <c r="F164" s="118" t="str">
        <f>INDEX(tbl_IngrédientsRef[Unité], MATCH(C164, tbl_IngrédientsRef[Cde_Ingrdt],0))</f>
        <v>g</v>
      </c>
    </row>
    <row r="165" spans="1:6" x14ac:dyDescent="0.3">
      <c r="A165" s="122" t="s">
        <v>69</v>
      </c>
      <c r="B165" s="116" t="str">
        <f>IFERROR(INDEX(tbl_ProduitsRef[Cde_Prdt],MATCH(A165,tbl_ProduitsRef[Produit],0)),"⚠️ Produit non trouvé")</f>
        <v>SmCk011</v>
      </c>
      <c r="C165" s="117" t="str">
        <f>IFERROR(VLOOKUP(D165,Référentiels!$M$2:$N$267,2,FALSE),"Ingrédient non trouvé")</f>
        <v>FRU012</v>
      </c>
      <c r="D165" s="120" t="s">
        <v>358</v>
      </c>
      <c r="E165" s="120">
        <v>100</v>
      </c>
      <c r="F165" s="118" t="str">
        <f>INDEX(tbl_IngrédientsRef[Unité], MATCH(C165, tbl_IngrédientsRef[Cde_Ingrdt],0))</f>
        <v>g</v>
      </c>
    </row>
    <row r="166" spans="1:6" x14ac:dyDescent="0.3">
      <c r="A166" s="122" t="s">
        <v>69</v>
      </c>
      <c r="B166" s="116" t="str">
        <f>IFERROR(INDEX(tbl_ProduitsRef[Cde_Prdt],MATCH(A166,tbl_ProduitsRef[Produit],0)),"⚠️ Produit non trouvé")</f>
        <v>SmCk011</v>
      </c>
      <c r="C166" s="117" t="str">
        <f>IFERROR(VLOOKUP(D166,Référentiels!$M$2:$N$267,2,FALSE),"Ingrédient non trouvé")</f>
        <v>PRL025</v>
      </c>
      <c r="D166" s="120" t="s">
        <v>1129</v>
      </c>
      <c r="E166" s="120">
        <v>40</v>
      </c>
      <c r="F166" s="118" t="str">
        <f>INDEX(tbl_IngrédientsRef[Unité], MATCH(C166, tbl_IngrédientsRef[Cde_Ingrdt],0))</f>
        <v>ml</v>
      </c>
    </row>
    <row r="167" spans="1:6" x14ac:dyDescent="0.3">
      <c r="A167" s="122" t="s">
        <v>69</v>
      </c>
      <c r="B167" s="116" t="str">
        <f>IFERROR(INDEX(tbl_ProduitsRef[Cde_Prdt],MATCH(A167,tbl_ProduitsRef[Produit],0)),"⚠️ Produit non trouvé")</f>
        <v>SmCk011</v>
      </c>
      <c r="C167" s="117" t="str">
        <f>IFERROR(VLOOKUP(D167,Référentiels!$M$2:$N$267,2,FALSE),"Ingrédient non trouvé")</f>
        <v>SOS019</v>
      </c>
      <c r="D167" s="120" t="s">
        <v>580</v>
      </c>
      <c r="E167" s="120">
        <v>30</v>
      </c>
      <c r="F167" s="118" t="str">
        <f>INDEX(tbl_IngrédientsRef[Unité], MATCH(C167, tbl_IngrédientsRef[Cde_Ingrdt],0))</f>
        <v>ml</v>
      </c>
    </row>
    <row r="168" spans="1:6" x14ac:dyDescent="0.3">
      <c r="A168" s="122" t="s">
        <v>69</v>
      </c>
      <c r="B168" s="116" t="str">
        <f>IFERROR(INDEX(tbl_ProduitsRef[Cde_Prdt],MATCH(A168,tbl_ProduitsRef[Produit],0)),"⚠️ Produit non trouvé")</f>
        <v>SmCk011</v>
      </c>
      <c r="C168" s="117" t="str">
        <f>IFERROR(VLOOKUP(D168,Référentiels!$M$2:$N$267,2,FALSE),"Ingrédient non trouvé")</f>
        <v>PSU017</v>
      </c>
      <c r="D168" s="120" t="s">
        <v>893</v>
      </c>
      <c r="E168" s="120">
        <v>15</v>
      </c>
      <c r="F168" s="118" t="str">
        <f>INDEX(tbl_IngrédientsRef[Unité], MATCH(C168, tbl_IngrédientsRef[Cde_Ingrdt],0))</f>
        <v>g</v>
      </c>
    </row>
    <row r="169" spans="1:6" x14ac:dyDescent="0.3">
      <c r="A169" s="122" t="s">
        <v>53</v>
      </c>
      <c r="B169" s="116" t="str">
        <f>IFERROR(INDEX(tbl_ProduitsRef[Cde_Prdt],MATCH(A169,tbl_ProduitsRef[Produit],0)),"⚠️ Produit non trouvé")</f>
        <v>SmCk012</v>
      </c>
      <c r="C169" s="117" t="str">
        <f>IFERROR(VLOOKUP(D169,Référentiels!$M$2:$N$267,2,FALSE),"Ingrédient non trouvé")</f>
        <v>FRU007</v>
      </c>
      <c r="D169" s="120" t="s">
        <v>980</v>
      </c>
      <c r="E169" s="120">
        <v>100</v>
      </c>
      <c r="F169" s="118" t="str">
        <f>INDEX(tbl_IngrédientsRef[Unité], MATCH(C169, tbl_IngrédientsRef[Cde_Ingrdt],0))</f>
        <v>g</v>
      </c>
    </row>
    <row r="170" spans="1:6" x14ac:dyDescent="0.3">
      <c r="A170" s="122" t="s">
        <v>53</v>
      </c>
      <c r="B170" s="116" t="str">
        <f>IFERROR(INDEX(tbl_ProduitsRef[Cde_Prdt],MATCH(A170,tbl_ProduitsRef[Produit],0)),"⚠️ Produit non trouvé")</f>
        <v>SmCk012</v>
      </c>
      <c r="C170" s="117" t="str">
        <f>IFERROR(VLOOKUP(D170,Référentiels!$M$2:$N$267,2,FALSE),"Ingrédient non trouvé")</f>
        <v>LEG025</v>
      </c>
      <c r="D170" s="120" t="s">
        <v>498</v>
      </c>
      <c r="E170" s="120">
        <v>30</v>
      </c>
      <c r="F170" s="118" t="str">
        <f>INDEX(tbl_IngrédientsRef[Unité], MATCH(C170, tbl_IngrédientsRef[Cde_Ingrdt],0))</f>
        <v>g</v>
      </c>
    </row>
    <row r="171" spans="1:6" x14ac:dyDescent="0.3">
      <c r="A171" s="122" t="s">
        <v>53</v>
      </c>
      <c r="B171" s="116" t="str">
        <f>IFERROR(INDEX(tbl_ProduitsRef[Cde_Prdt],MATCH(A171,tbl_ProduitsRef[Produit],0)),"⚠️ Produit non trouvé")</f>
        <v>SmCk012</v>
      </c>
      <c r="C171" s="117" t="str">
        <f>IFERROR(VLOOKUP(D171,Référentiels!$M$2:$N$267,2,FALSE),"Ingrédient non trouvé")</f>
        <v>PSU016</v>
      </c>
      <c r="D171" s="120" t="s">
        <v>1050</v>
      </c>
      <c r="E171" s="120">
        <v>10</v>
      </c>
      <c r="F171" s="118" t="str">
        <f>INDEX(tbl_IngrédientsRef[Unité], MATCH(C171, tbl_IngrédientsRef[Cde_Ingrdt],0))</f>
        <v>ml</v>
      </c>
    </row>
    <row r="172" spans="1:6" x14ac:dyDescent="0.3">
      <c r="A172" s="122" t="s">
        <v>53</v>
      </c>
      <c r="B172" s="116" t="str">
        <f>IFERROR(INDEX(tbl_ProduitsRef[Cde_Prdt],MATCH(A172,tbl_ProduitsRef[Produit],0)),"⚠️ Produit non trouvé")</f>
        <v>SmCk012</v>
      </c>
      <c r="C172" s="117" t="str">
        <f>IFERROR(VLOOKUP(D172,Référentiels!$M$2:$N$267,2,FALSE),"Ingrédient non trouvé")</f>
        <v>BOI003</v>
      </c>
      <c r="D172" s="120" t="s">
        <v>1105</v>
      </c>
      <c r="E172" s="120">
        <v>0.1</v>
      </c>
      <c r="F172" s="118" t="str">
        <f>INDEX(tbl_IngrédientsRef[Unité], MATCH(C172, tbl_IngrédientsRef[Cde_Ingrdt],0))</f>
        <v>Pièce</v>
      </c>
    </row>
    <row r="173" spans="1:6" x14ac:dyDescent="0.3">
      <c r="A173" s="122" t="s">
        <v>53</v>
      </c>
      <c r="B173" s="116" t="str">
        <f>IFERROR(INDEX(tbl_ProduitsRef[Cde_Prdt],MATCH(A173,tbl_ProduitsRef[Produit],0)),"⚠️ Produit non trouvé")</f>
        <v>SmCk012</v>
      </c>
      <c r="C173" s="117" t="str">
        <f>IFERROR(VLOOKUP(D173,Référentiels!$M$2:$N$267,2,FALSE),"Ingrédient non trouvé")</f>
        <v>BOI011</v>
      </c>
      <c r="D173" s="120" t="s">
        <v>1141</v>
      </c>
      <c r="E173" s="120">
        <v>0.5</v>
      </c>
      <c r="F173" s="118" t="str">
        <f>INDEX(tbl_IngrédientsRef[Unité], MATCH(C173, tbl_IngrédientsRef[Cde_Ingrdt],0))</f>
        <v>Pièce</v>
      </c>
    </row>
    <row r="174" spans="1:6" x14ac:dyDescent="0.3">
      <c r="A174" s="122" t="s">
        <v>55</v>
      </c>
      <c r="B174" s="116" t="str">
        <f>IFERROR(INDEX(tbl_ProduitsRef[Cde_Prdt],MATCH(A174,tbl_ProduitsRef[Produit],0)),"⚠️ Produit non trouvé")</f>
        <v>SmCk013</v>
      </c>
      <c r="C174" s="117" t="str">
        <f>IFERROR(VLOOKUP(D174,Référentiels!$M$2:$N$267,2,FALSE),"Ingrédient non trouvé")</f>
        <v>LEG025</v>
      </c>
      <c r="D174" s="120" t="s">
        <v>498</v>
      </c>
      <c r="E174" s="120">
        <v>15</v>
      </c>
      <c r="F174" s="118" t="str">
        <f>INDEX(tbl_IngrédientsRef[Unité], MATCH(C174, tbl_IngrédientsRef[Cde_Ingrdt],0))</f>
        <v>g</v>
      </c>
    </row>
    <row r="175" spans="1:6" x14ac:dyDescent="0.3">
      <c r="A175" s="122" t="s">
        <v>55</v>
      </c>
      <c r="B175" s="116" t="str">
        <f>IFERROR(INDEX(tbl_ProduitsRef[Cde_Prdt],MATCH(A175,tbl_ProduitsRef[Produit],0)),"⚠️ Produit non trouvé")</f>
        <v>SmCk013</v>
      </c>
      <c r="C175" s="117" t="str">
        <f>IFERROR(VLOOKUP(D175,Référentiels!$M$2:$N$267,2,FALSE),"Ingrédient non trouvé")</f>
        <v>PSU016</v>
      </c>
      <c r="D175" s="120" t="s">
        <v>1050</v>
      </c>
      <c r="E175" s="120">
        <v>10</v>
      </c>
      <c r="F175" s="118" t="str">
        <f>INDEX(tbl_IngrédientsRef[Unité], MATCH(C175, tbl_IngrédientsRef[Cde_Ingrdt],0))</f>
        <v>ml</v>
      </c>
    </row>
    <row r="176" spans="1:6" x14ac:dyDescent="0.3">
      <c r="A176" s="122" t="s">
        <v>55</v>
      </c>
      <c r="B176" s="116" t="str">
        <f>IFERROR(INDEX(tbl_ProduitsRef[Cde_Prdt],MATCH(A176,tbl_ProduitsRef[Produit],0)),"⚠️ Produit non trouvé")</f>
        <v>SmCk013</v>
      </c>
      <c r="C176" s="117" t="str">
        <f>IFERROR(VLOOKUP(D176,Référentiels!$M$2:$N$267,2,FALSE),"Ingrédient non trouvé")</f>
        <v>BOI003</v>
      </c>
      <c r="D176" s="120" t="s">
        <v>1105</v>
      </c>
      <c r="E176" s="120">
        <v>0.25</v>
      </c>
      <c r="F176" s="118" t="str">
        <f>INDEX(tbl_IngrédientsRef[Unité], MATCH(C176, tbl_IngrédientsRef[Cde_Ingrdt],0))</f>
        <v>Pièce</v>
      </c>
    </row>
    <row r="177" spans="1:6" x14ac:dyDescent="0.3">
      <c r="A177" s="122" t="s">
        <v>55</v>
      </c>
      <c r="B177" s="116" t="str">
        <f>IFERROR(INDEX(tbl_ProduitsRef[Cde_Prdt],MATCH(A177,tbl_ProduitsRef[Produit],0)),"⚠️ Produit non trouvé")</f>
        <v>SmCk013</v>
      </c>
      <c r="C177" s="117" t="str">
        <f>IFERROR(VLOOKUP(D177,Référentiels!$M$2:$N$267,2,FALSE),"Ingrédient non trouvé")</f>
        <v>BOI011</v>
      </c>
      <c r="D177" s="120" t="s">
        <v>1141</v>
      </c>
      <c r="E177" s="120">
        <v>0.5</v>
      </c>
      <c r="F177" s="118" t="str">
        <f>INDEX(tbl_IngrédientsRef[Unité], MATCH(C177, tbl_IngrédientsRef[Cde_Ingrdt],0))</f>
        <v>Pièce</v>
      </c>
    </row>
    <row r="178" spans="1:6" x14ac:dyDescent="0.3">
      <c r="A178" s="122" t="s">
        <v>1143</v>
      </c>
      <c r="B178" s="116" t="str">
        <f>IFERROR(INDEX(tbl_ProduitsRef[Cde_Prdt],MATCH(A178,tbl_ProduitsRef[Produit],0)),"⚠️ Produit non trouvé")</f>
        <v>SmCk014</v>
      </c>
      <c r="C178" s="117" t="str">
        <f>IFERROR(VLOOKUP(D178,Référentiels!$M$2:$N$267,2,FALSE),"Ingrédient non trouvé")</f>
        <v>LEG025</v>
      </c>
      <c r="D178" s="120" t="s">
        <v>498</v>
      </c>
      <c r="E178" s="120">
        <v>150</v>
      </c>
      <c r="F178" s="118" t="str">
        <f>INDEX(tbl_IngrédientsRef[Unité], MATCH(C178, tbl_IngrédientsRef[Cde_Ingrdt],0))</f>
        <v>g</v>
      </c>
    </row>
    <row r="179" spans="1:6" x14ac:dyDescent="0.3">
      <c r="A179" s="122" t="s">
        <v>1143</v>
      </c>
      <c r="B179" s="116" t="str">
        <f>IFERROR(INDEX(tbl_ProduitsRef[Cde_Prdt],MATCH(A179,tbl_ProduitsRef[Produit],0)),"⚠️ Produit non trouvé")</f>
        <v>SmCk014</v>
      </c>
      <c r="C179" s="117" t="str">
        <f>IFERROR(VLOOKUP(D179,Référentiels!$M$2:$N$267,2,FALSE),"Ingrédient non trouvé")</f>
        <v>PSU017</v>
      </c>
      <c r="D179" s="120" t="s">
        <v>893</v>
      </c>
      <c r="E179" s="120">
        <v>30</v>
      </c>
      <c r="F179" s="118" t="str">
        <f>INDEX(tbl_IngrédientsRef[Unité], MATCH(C179, tbl_IngrédientsRef[Cde_Ingrdt],0))</f>
        <v>g</v>
      </c>
    </row>
    <row r="180" spans="1:6" x14ac:dyDescent="0.3">
      <c r="A180" s="122" t="s">
        <v>56</v>
      </c>
      <c r="B180" s="116" t="str">
        <f>IFERROR(INDEX(tbl_ProduitsRef[Cde_Prdt],MATCH(A180,tbl_ProduitsRef[Produit],0)),"⚠️ Produit non trouvé")</f>
        <v>BFR001</v>
      </c>
      <c r="C180" s="117" t="str">
        <f>IFERROR(VLOOKUP(D180,Référentiels!$M$2:$N$267,2,FALSE),"Ingrédient non trouvé")</f>
        <v>BOI007</v>
      </c>
      <c r="D180" s="120" t="s">
        <v>1147</v>
      </c>
      <c r="E180" s="120">
        <v>1</v>
      </c>
      <c r="F180" s="118" t="str">
        <f>INDEX(tbl_IngrédientsRef[Unité], MATCH(C180, tbl_IngrédientsRef[Cde_Ingrdt],0))</f>
        <v>Pièce</v>
      </c>
    </row>
    <row r="181" spans="1:6" x14ac:dyDescent="0.3">
      <c r="A181" s="122" t="s">
        <v>63</v>
      </c>
      <c r="B181" s="116" t="str">
        <f>IFERROR(INDEX(tbl_ProduitsRef[Cde_Prdt],MATCH(A181,tbl_ProduitsRef[Produit],0)),"⚠️ Produit non trouvé")</f>
        <v>BFR002</v>
      </c>
      <c r="C181" s="117" t="str">
        <f>IFERROR(VLOOKUP(D181,Référentiels!$M$2:$N$267,2,FALSE),"Ingrédient non trouvé")</f>
        <v>BOI008</v>
      </c>
      <c r="D181" s="120" t="s">
        <v>1150</v>
      </c>
      <c r="E181" s="120">
        <v>1</v>
      </c>
      <c r="F181" s="118" t="str">
        <f>INDEX(tbl_IngrédientsRef[Unité], MATCH(C181, tbl_IngrédientsRef[Cde_Ingrdt],0))</f>
        <v>Pièce</v>
      </c>
    </row>
    <row r="182" spans="1:6" x14ac:dyDescent="0.3">
      <c r="A182" s="122" t="s">
        <v>59</v>
      </c>
      <c r="B182" s="116" t="str">
        <f>IFERROR(INDEX(tbl_ProduitsRef[Cde_Prdt],MATCH(A182,tbl_ProduitsRef[Produit],0)),"⚠️ Produit non trouvé")</f>
        <v>BFR003</v>
      </c>
      <c r="C182" s="117" t="str">
        <f>IFERROR(VLOOKUP(D182,Référentiels!$M$2:$N$267,2,FALSE),"Ingrédient non trouvé")</f>
        <v>BOI009</v>
      </c>
      <c r="D182" s="120" t="s">
        <v>1153</v>
      </c>
      <c r="E182" s="120">
        <v>1</v>
      </c>
      <c r="F182" s="118" t="str">
        <f>INDEX(tbl_IngrédientsRef[Unité], MATCH(C182, tbl_IngrédientsRef[Cde_Ingrdt],0))</f>
        <v>Pièce</v>
      </c>
    </row>
    <row r="183" spans="1:6" x14ac:dyDescent="0.3">
      <c r="A183" s="122" t="s">
        <v>60</v>
      </c>
      <c r="B183" s="116" t="str">
        <f>IFERROR(INDEX(tbl_ProduitsRef[Cde_Prdt],MATCH(A183,tbl_ProduitsRef[Produit],0)),"⚠️ Produit non trouvé")</f>
        <v>BFR004</v>
      </c>
      <c r="C183" s="117" t="str">
        <f>IFERROR(VLOOKUP(D183,Référentiels!$M$2:$N$267,2,FALSE),"Ingrédient non trouvé")</f>
        <v>BOI010</v>
      </c>
      <c r="D183" s="120" t="s">
        <v>1156</v>
      </c>
      <c r="E183" s="120">
        <v>1</v>
      </c>
      <c r="F183" s="118" t="str">
        <f>INDEX(tbl_IngrédientsRef[Unité], MATCH(C183, tbl_IngrédientsRef[Cde_Ingrdt],0))</f>
        <v>Pièce</v>
      </c>
    </row>
    <row r="184" spans="1:6" x14ac:dyDescent="0.3">
      <c r="A184" s="122" t="s">
        <v>66</v>
      </c>
      <c r="B184" s="116" t="str">
        <f>IFERROR(INDEX(tbl_ProduitsRef[Cde_Prdt],MATCH(A184,tbl_ProduitsRef[Produit],0)),"⚠️ Produit non trouvé")</f>
        <v>BFR005</v>
      </c>
      <c r="C184" s="117" t="str">
        <f>IFERROR(VLOOKUP(D184,Référentiels!$M$2:$N$267,2,FALSE),"Ingrédient non trouvé")</f>
        <v>BOI011</v>
      </c>
      <c r="D184" s="120" t="s">
        <v>1141</v>
      </c>
      <c r="E184" s="120">
        <v>1</v>
      </c>
      <c r="F184" s="118" t="str">
        <f>INDEX(tbl_IngrédientsRef[Unité], MATCH(C184, tbl_IngrédientsRef[Cde_Ingrdt],0))</f>
        <v>Pièce</v>
      </c>
    </row>
    <row r="185" spans="1:6" x14ac:dyDescent="0.3">
      <c r="A185" s="130" t="s">
        <v>1158</v>
      </c>
      <c r="B185" s="123" t="str">
        <f>IFERROR(INDEX(tbl_ProduitsRef[Cde_Prdt],MATCH(A185,tbl_ProduitsRef[Produit],0)),"⚠️ Produit non trouvé")</f>
        <v>BFR006</v>
      </c>
      <c r="C185" s="124" t="str">
        <f>IFERROR(VLOOKUP(D185,Référentiels!$M$2:$N$267,2,FALSE),"Ingrédient non trouvé")</f>
        <v>BOI012</v>
      </c>
      <c r="D185" s="125" t="s">
        <v>1161</v>
      </c>
      <c r="E185" s="125">
        <v>1</v>
      </c>
      <c r="F185" s="126" t="str">
        <f>INDEX(tbl_IngrédientsRef[Unité], MATCH(C185, tbl_IngrédientsRef[Cde_Ingrdt],0))</f>
        <v>Pièce</v>
      </c>
    </row>
  </sheetData>
  <conditionalFormatting sqref="F1:F185">
    <cfRule type="containsText" dxfId="0" priority="1" operator="containsText" text="pièce">
      <formula>NOT(ISERROR(SEARCH("pièce",F1)))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88E3782-1A73-4477-A089-47C6C75BC81F}">
          <x14:formula1>
            <xm:f>Référentiels!$M$2:$M$267</xm:f>
          </x14:formula1>
          <xm:sqref>D2:D185</xm:sqref>
        </x14:dataValidation>
        <x14:dataValidation type="list" allowBlank="1" showInputMessage="1" showErrorMessage="1" xr:uid="{05D8A466-8C9E-48EB-9DE2-FEC5D5519D6D}">
          <x14:formula1>
            <xm:f>Référentiels!$H$2:$H$276</xm:f>
          </x14:formula1>
          <xm:sqref>A2:A185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BF60F3-A879-47F4-B66A-6ABDE4478F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5</vt:i4>
      </vt:variant>
    </vt:vector>
  </HeadingPairs>
  <TitlesOfParts>
    <vt:vector size="19" baseType="lpstr">
      <vt:lpstr>Dashboard</vt:lpstr>
      <vt:lpstr>tbl_Ventes</vt:lpstr>
      <vt:lpstr>tbl_Charges_Fixes</vt:lpstr>
      <vt:lpstr>tbl_Produits</vt:lpstr>
      <vt:lpstr>tbl_Recettes</vt:lpstr>
      <vt:lpstr>tbl_Stock</vt:lpstr>
      <vt:lpstr>tbl_Achats</vt:lpstr>
      <vt:lpstr>tbl_Sorties</vt:lpstr>
      <vt:lpstr>Référentiels</vt:lpstr>
      <vt:lpstr>tbl_PtDj&amp;Sup</vt:lpstr>
      <vt:lpstr>tbl_Taj&amp;Pla</vt:lpstr>
      <vt:lpstr>tbl_Snk&amp;Ita</vt:lpstr>
      <vt:lpstr>tbl_GaufCre&amp;Dsrt</vt:lpstr>
      <vt:lpstr>tbl_BoissonJus</vt:lpstr>
      <vt:lpstr>tbl_BoissonJus!Plage_BoissonJus</vt:lpstr>
      <vt:lpstr>'tbl_GaufCre&amp;Dsrt'!Plage_GauffreCrepe</vt:lpstr>
      <vt:lpstr>'tbl_Taj&amp;Pla'!Plage_Marocains</vt:lpstr>
      <vt:lpstr>'tbl_PtDj&amp;Sup'!Plage_PtiDej</vt:lpstr>
      <vt:lpstr>'tbl_Snk&amp;Ita'!Plage_Snack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Soufiane Msammet</dc:creator>
  <cp:lastModifiedBy>Soufiane Msammet</cp:lastModifiedBy>
  <dcterms:created xsi:type="dcterms:W3CDTF">2025-10-24T12:50:32Z</dcterms:created>
  <dcterms:modified xsi:type="dcterms:W3CDTF">2025-11-08T13:57:23Z</dcterms:modified>
</cp:coreProperties>
</file>